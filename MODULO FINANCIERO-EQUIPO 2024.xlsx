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ENERO-2024" sheetId="1" state="visible" r:id="rId3"/>
    <sheet name="FEBRERO-2024" sheetId="2" state="visible" r:id="rId4"/>
    <sheet name="MARZO-2024" sheetId="3" state="visible" r:id="rId5"/>
    <sheet name="ABRIL-2024" sheetId="4" state="visible" r:id="rId6"/>
    <sheet name="MAYO-2024" sheetId="5" state="visible" r:id="rId7"/>
    <sheet name="JULIO-" sheetId="6" state="visible" r:id="rId8"/>
    <sheet name="JUNIO-2024" sheetId="7" state="visible" r:id="rId9"/>
    <sheet name="AGOSTO" sheetId="8" state="visible" r:id="rId10"/>
    <sheet name="SETIEMBRE-2024" sheetId="9" state="visible" r:id="rId11"/>
    <sheet name="OCTUBRE-" sheetId="10" state="visible" r:id="rId12"/>
  </sheets>
  <definedNames>
    <definedName function="false" hidden="true" localSheetId="0" name="_xlnm._FilterDatabase" vbProcedure="false">'ENERO-2024'!$A$6:$H$1982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I3" authorId="0">
      <text>
        <r>
          <rPr>
            <sz val="10"/>
            <rFont val="Arial"/>
            <family val="2"/>
          </rPr>
          <t xml:space="preserve">======
ID#AAABMdVMKyI
UNA    (2024-02-02 16:03:58)
25% para cada uno es decir 25 para miranda y 25 para jonathan</t>
        </r>
      </text>
    </comment>
  </commentList>
</comments>
</file>

<file path=xl/sharedStrings.xml><?xml version="1.0" encoding="utf-8"?>
<sst xmlns="http://schemas.openxmlformats.org/spreadsheetml/2006/main" count="20866" uniqueCount="324">
  <si>
    <t xml:space="preserve"> </t>
  </si>
  <si>
    <t xml:space="preserve">EQUIPO DE VENTAS</t>
  </si>
  <si>
    <t xml:space="preserve">COMISION ACUMULADA DEL EQUIPO</t>
  </si>
  <si>
    <t xml:space="preserve">INGRESOS BRUTO ACUMULADOS</t>
  </si>
  <si>
    <t xml:space="preserve">INGRESO NETO PARA RODIEJA</t>
  </si>
  <si>
    <t xml:space="preserve">COMISION 3% ( Monto que corresponde a cada Vendedor</t>
  </si>
  <si>
    <t xml:space="preserve">LUIS MIRANDA</t>
  </si>
  <si>
    <t xml:space="preserve">CACHORRO</t>
  </si>
  <si>
    <t xml:space="preserve">COMISION PARA CACHORRO</t>
  </si>
  <si>
    <t xml:space="preserve">COMISION PARA JHONATHAN</t>
  </si>
  <si>
    <t xml:space="preserve">COMISION PARA  LUIS MIRANDA</t>
  </si>
  <si>
    <t xml:space="preserve">JHONATHAN</t>
  </si>
  <si>
    <t xml:space="preserve">EGRESOS ACUMULADOS</t>
  </si>
  <si>
    <t xml:space="preserve">FECHA</t>
  </si>
  <si>
    <t xml:space="preserve">NOMBRE DEL VENDEDOR</t>
  </si>
  <si>
    <t xml:space="preserve">EQUIPO</t>
  </si>
  <si>
    <t xml:space="preserve">DESCRIPCIÓN-OBSERVACION</t>
  </si>
  <si>
    <t xml:space="preserve">COMISION -EQUIPO</t>
  </si>
  <si>
    <t xml:space="preserve">INGRESO</t>
  </si>
  <si>
    <t xml:space="preserve">EGRESOS</t>
  </si>
  <si>
    <t xml:space="preserve">COMISION P/EQUIPO</t>
  </si>
  <si>
    <t xml:space="preserve">tambores y forros colo</t>
  </si>
  <si>
    <t xml:space="preserve">cigue</t>
  </si>
  <si>
    <t xml:space="preserve">manilla </t>
  </si>
  <si>
    <t xml:space="preserve">balla de cherokee </t>
  </si>
  <si>
    <t xml:space="preserve">compresor y tijereta de kia </t>
  </si>
  <si>
    <t xml:space="preserve">TOTAL </t>
  </si>
  <si>
    <t xml:space="preserve">EQUIPO DE VENTAS RODIEJA
MES : ENERO 2024</t>
  </si>
  <si>
    <t xml:space="preserve">FORMA DE PAGO</t>
  </si>
  <si>
    <t xml:space="preserve">AREA DE CALCULO MATEMATICO</t>
  </si>
  <si>
    <t xml:space="preserve">EFECTIVO</t>
  </si>
  <si>
    <t xml:space="preserve">SINPE</t>
  </si>
  <si>
    <t xml:space="preserve">TRANSFERENCIA</t>
  </si>
  <si>
    <t xml:space="preserve">stop de santa fe 2020</t>
  </si>
  <si>
    <t xml:space="preserve">sensor de abs colo</t>
  </si>
  <si>
    <t xml:space="preserve">motor escobillas korando</t>
  </si>
  <si>
    <t xml:space="preserve">puerta beat del der</t>
  </si>
  <si>
    <t xml:space="preserve">retrovisor korando izq</t>
  </si>
  <si>
    <t xml:space="preserve">colorado techo, batea, parabrisas, retrovisor</t>
  </si>
  <si>
    <t xml:space="preserve">tanque asx</t>
  </si>
  <si>
    <t xml:space="preserve">stop de santa fe </t>
  </si>
  <si>
    <t xml:space="preserve">tapa de spark</t>
  </si>
  <si>
    <t xml:space="preserve">retroviso de colorado</t>
  </si>
  <si>
    <t xml:space="preserve">espejo de sportage </t>
  </si>
  <si>
    <t xml:space="preserve">motor de alto </t>
  </si>
  <si>
    <t xml:space="preserve">tornillos de motor</t>
  </si>
  <si>
    <t xml:space="preserve">tapa de motor </t>
  </si>
  <si>
    <t xml:space="preserve">agarradera changan</t>
  </si>
  <si>
    <t xml:space="preserve">soporte de changan</t>
  </si>
  <si>
    <t xml:space="preserve">tensor colorado</t>
  </si>
  <si>
    <t xml:space="preserve">tapa y bumper spot</t>
  </si>
  <si>
    <t xml:space="preserve">manguera kora</t>
  </si>
  <si>
    <t xml:space="preserve">cremallera gla</t>
  </si>
  <si>
    <t xml:space="preserve">manguera y boca gla</t>
  </si>
  <si>
    <t xml:space="preserve">enfriador colorado</t>
  </si>
  <si>
    <t xml:space="preserve">computadora de mcdz</t>
  </si>
  <si>
    <t xml:space="preserve">Stop outlander</t>
  </si>
  <si>
    <t xml:space="preserve">sensor santa fe </t>
  </si>
  <si>
    <t xml:space="preserve">bomba agua </t>
  </si>
  <si>
    <t xml:space="preserve">motor spark</t>
  </si>
  <si>
    <t xml:space="preserve">tapa y focos alto</t>
  </si>
  <si>
    <t xml:space="preserve">arrancador de i10</t>
  </si>
  <si>
    <t xml:space="preserve">bomba de agua </t>
  </si>
  <si>
    <t xml:space="preserve">cremallera cora</t>
  </si>
  <si>
    <t xml:space="preserve">retrovisor de cerato</t>
  </si>
  <si>
    <t xml:space="preserve">YUGOS SUSPENSION Y BARRA ESTABILISADORA  KIKS</t>
  </si>
  <si>
    <t xml:space="preserve">CALIPER ASX TRACERO</t>
  </si>
  <si>
    <t xml:space="preserve">GURDABARRO RETROBISOR Y MANILLA PUERTA CORANDO 2016</t>
  </si>
  <si>
    <t xml:space="preserve">ANTENA ASX</t>
  </si>
  <si>
    <t xml:space="preserve"> TAPA TIRANTES PARRILLA BASE RADIADOR CORANDO</t>
  </si>
  <si>
    <t xml:space="preserve">ARRANCADOR DE CORANDO</t>
  </si>
  <si>
    <t xml:space="preserve">MOTOR ALTO800 230 EFECTIVO Y 200 EN SIMPE</t>
  </si>
  <si>
    <t xml:space="preserve">PUERTA COLORADO 3 VIDRIOS  Y RETROVISOR </t>
  </si>
  <si>
    <t xml:space="preserve">DEPOCITO COLAND CORANDO</t>
  </si>
  <si>
    <t xml:space="preserve">PARRILLA COROLLA </t>
  </si>
  <si>
    <t xml:space="preserve">MANGUERA DEPURADOR CORANDO</t>
  </si>
  <si>
    <t xml:space="preserve">ANTENA SPARK</t>
  </si>
  <si>
    <t xml:space="preserve">MASERATI 2 CORTINAS TECHO UN FLERS TAPA GASOLINA MANILLA PUERTA</t>
  </si>
  <si>
    <t xml:space="preserve">NALLELY</t>
  </si>
  <si>
    <t xml:space="preserve">CUBANO</t>
  </si>
  <si>
    <t xml:space="preserve">COMISION PARA CUBANO</t>
  </si>
  <si>
    <t xml:space="preserve">COMISION PARA  NAYELY</t>
  </si>
  <si>
    <t xml:space="preserve">N° DE FACTURA</t>
  </si>
  <si>
    <t xml:space="preserve">PRECIO UNITARIO</t>
  </si>
  <si>
    <t xml:space="preserve">DIFERENCIAL COLORADO</t>
  </si>
  <si>
    <t xml:space="preserve">TAPITAS3 GUARDABARRO Y GANCHITO DE APERTURA DE MASERATI</t>
  </si>
  <si>
    <t xml:space="preserve">BUMPER TRACERO Y REFLECTIBO TLH ASX</t>
  </si>
  <si>
    <t xml:space="preserve">CATALISADOR BLUE2013 Y UNO DE SPORTAGE 2008</t>
  </si>
  <si>
    <t xml:space="preserve">BLOWER DMAX</t>
  </si>
  <si>
    <t xml:space="preserve">SENSOR ABS DMAX</t>
  </si>
  <si>
    <t xml:space="preserve">SOPORTE MOTOR SONATA</t>
  </si>
  <si>
    <t xml:space="preserve"> ASIENTOS DELANTEROS DMAX 110 EFECTIVO 20 SIMPE</t>
  </si>
  <si>
    <t xml:space="preserve">CABLE AJUSTE FRENO DE MANO SWIFT </t>
  </si>
  <si>
    <t xml:space="preserve">FORRO DE GUARDABARRO XTRAIL</t>
  </si>
  <si>
    <t xml:space="preserve"> DESCANSA PIES DIMAX </t>
  </si>
  <si>
    <t xml:space="preserve">2 CABECERAS DE ASIENTO </t>
  </si>
  <si>
    <t xml:space="preserve">2 CALIPER DE G i10</t>
  </si>
  <si>
    <t xml:space="preserve">BUSTER DE TUCSON </t>
  </si>
  <si>
    <t xml:space="preserve">TIJERETA SUPERIOR DE COLORADO  - 80 SINPE Y 20 MIL EFECTIVO</t>
  </si>
  <si>
    <t xml:space="preserve">nalle FORRO DE GUARDABARRO Y RECIBIDOR DE CINTURON DE COLORADO - 79 MIL SINPE Y 6 MIL EFECTIVO </t>
  </si>
  <si>
    <t xml:space="preserve">nalle TUVO PLASTICO(BOMBA DE AGUA) DE CHEVROLET COLORADO</t>
  </si>
  <si>
    <t xml:space="preserve">GUARDABARRO SOLO - FAROL - GUIA - ROLLO DE PITO - FORRO DE GUARDABARRO  (EFECTIVO 180 MIL, 110 DEPOSITO)</t>
  </si>
  <si>
    <t xml:space="preserve">nalle RETROVISOR HYUNDAI GRANi10 2017 DERECHO </t>
  </si>
  <si>
    <t xml:space="preserve">BATEA DMAX (100 MIL SINPE-700 MIL DEPOSITO)</t>
  </si>
  <si>
    <t xml:space="preserve">ASPA DE ABANICO </t>
  </si>
  <si>
    <t xml:space="preserve">COLORADO (ALOGENO-FAROL-2 VENILLAS DE TECHO- CERRADURA DE TAPA)</t>
  </si>
  <si>
    <t xml:space="preserve">nalle BOMBA HIDRAULICA SSANYONG </t>
  </si>
  <si>
    <t xml:space="preserve">nalle TAPA DE SSANGYONG TRIVOLI - ALMA TRASERA (110 SINPE -  100 EFECTIVO)</t>
  </si>
  <si>
    <t xml:space="preserve">RACKS DE KIA SPORTAGE </t>
  </si>
  <si>
    <t xml:space="preserve">RETROVISOR IZQUIERDO DE CELERIO </t>
  </si>
  <si>
    <t xml:space="preserve">DMAX TAPA DE RUEDA LIBRE-TORNILLO TRAMA Y TORNILLO COMPENSADOR-SEGURO DE EJE </t>
  </si>
  <si>
    <t xml:space="preserve">nalle CHEVROLET COLORADO: RADIADOR-RECARTER-TRANSFER-DIFERENCIAL DELANTERO (700 EFE-780 DEP)</t>
  </si>
  <si>
    <t xml:space="preserve">EQUIPO DE VENTAS RODIEJA
MES : MAYO- 2024</t>
  </si>
  <si>
    <t xml:space="preserve">N° FACTURA</t>
  </si>
  <si>
    <t xml:space="preserve">STOP DE NISSAN SENTRA B17 </t>
  </si>
  <si>
    <t xml:space="preserve">N</t>
  </si>
  <si>
    <t xml:space="preserve">vicky TRANCA PUERTA TRASERA SSANGYONG</t>
  </si>
  <si>
    <t xml:space="preserve">diego ARANDELA DIMAX </t>
  </si>
  <si>
    <t xml:space="preserve">COMPRESOR DE KORANDO 2013</t>
  </si>
  <si>
    <t xml:space="preserve">FAROL DE CHANGAN C35</t>
  </si>
  <si>
    <t xml:space="preserve">TAPA DE FILTRO DE AIRE ACONDICIONADO Y RETROVISOR DE PARABRISAS DMAX</t>
  </si>
  <si>
    <t xml:space="preserve">STOP SPORTAGE 2008 CON DETALLES</t>
  </si>
  <si>
    <t xml:space="preserve">TRANCA TRASERA DERECHA KORANDO</t>
  </si>
  <si>
    <t xml:space="preserve">MAQUINA LADO DEL CHOFER COLORADO </t>
  </si>
  <si>
    <t xml:space="preserve">MOTOR KORANDO DIESEL 2013 (100 MIL EFECTIVO)</t>
  </si>
  <si>
    <t xml:space="preserve">BUMPER-SPOILER-TAPA ALOGENOS-YUGO DELANTERO-YIJERETA-GUARDABARRO COMPLETO CHANGANC35 (520 DEP Y 20 EFEC)</t>
  </si>
  <si>
    <t xml:space="preserve">LUZ DE PLACA COLORADO </t>
  </si>
  <si>
    <t xml:space="preserve">NABO CON BOCINA CHANGAN </t>
  </si>
  <si>
    <t xml:space="preserve">DEVOLUSION </t>
  </si>
  <si>
    <t xml:space="preserve">TIJERETA SUPERIOR DMAX Y 2 TORNILLOS DE TRAMA </t>
  </si>
  <si>
    <t xml:space="preserve">LETRAS Y GUANTERA SPORTAGE</t>
  </si>
  <si>
    <t xml:space="preserve">LUZ COSTADO TRASERO DE XTRAIL</t>
  </si>
  <si>
    <t xml:space="preserve">ANTENA DMAX</t>
  </si>
  <si>
    <t xml:space="preserve">PIEZA COBERTOR PLASTICA INTERNA KORANDO</t>
  </si>
  <si>
    <t xml:space="preserve">2 EJES DE COLORADO </t>
  </si>
  <si>
    <t xml:space="preserve">FAROL SANTA FE 2020 (110 EFEC 90 SINPE)</t>
  </si>
  <si>
    <t xml:space="preserve">RADIADOR DE KORANDO </t>
  </si>
  <si>
    <t xml:space="preserve">STOP DERECHO DEL GEELY</t>
  </si>
  <si>
    <t xml:space="preserve">CALIPER DMAX (50 EFECTIVO- 40 SINPE)</t>
  </si>
  <si>
    <t xml:space="preserve">ARO GALLETA</t>
  </si>
  <si>
    <t xml:space="preserve">BOCINA KORANDO</t>
  </si>
  <si>
    <t xml:space="preserve">TECHO CON FORRO PUERTA EN LATA Y VIDRIO DE PUERTA (610 EFECTIVO - 90 SINPE) </t>
  </si>
  <si>
    <t xml:space="preserve">CERRADURA DELANTERA IZQ SPORTAGE 2008</t>
  </si>
  <si>
    <t xml:space="preserve">ANULADA</t>
  </si>
  <si>
    <t xml:space="preserve">DEVOLVER 120 M</t>
  </si>
  <si>
    <t xml:space="preserve">ROL TIVOLI</t>
  </si>
  <si>
    <t xml:space="preserve">DEVOLUCION</t>
  </si>
  <si>
    <t xml:space="preserve">SPORTAGE 2008</t>
  </si>
  <si>
    <t xml:space="preserve">STOP TIVOLI</t>
  </si>
  <si>
    <t xml:space="preserve">COMPUT. XTRAIL</t>
  </si>
  <si>
    <t xml:space="preserve">sin recibo</t>
  </si>
  <si>
    <t xml:space="preserve">MANGUERA CELE</t>
  </si>
  <si>
    <t xml:space="preserve">EQUIPO DE VENTAS RODIEJA
MES : JULIO- 2024</t>
  </si>
  <si>
    <t xml:space="preserve">VICTORIA</t>
  </si>
  <si>
    <t xml:space="preserve">COMISION PARA  VICTORIA</t>
  </si>
  <si>
    <t xml:space="preserve">sin factura </t>
  </si>
  <si>
    <t xml:space="preserve">retrovisor eqiox</t>
  </si>
  <si>
    <t xml:space="preserve">stop diax</t>
  </si>
  <si>
    <t xml:space="preserve">colorado</t>
  </si>
  <si>
    <t xml:space="preserve">soporte sa o</t>
  </si>
  <si>
    <t xml:space="preserve">arco colorado </t>
  </si>
  <si>
    <t xml:space="preserve">cable freo asx</t>
  </si>
  <si>
    <t xml:space="preserve">manilla p.alto tras</t>
  </si>
  <si>
    <t xml:space="preserve">motor spak</t>
  </si>
  <si>
    <t xml:space="preserve">caliper</t>
  </si>
  <si>
    <t xml:space="preserve">columna i10</t>
  </si>
  <si>
    <t xml:space="preserve">retrovisor rav</t>
  </si>
  <si>
    <t xml:space="preserve">bomba swith</t>
  </si>
  <si>
    <t xml:space="preserve">hule colorado</t>
  </si>
  <si>
    <t xml:space="preserve">reflector cabga</t>
  </si>
  <si>
    <t xml:space="preserve">rep. geel coodra</t>
  </si>
  <si>
    <t xml:space="preserve">rep. ford edgee</t>
  </si>
  <si>
    <t xml:space="preserve">parrilla baleo</t>
  </si>
  <si>
    <t xml:space="preserve">reibidor gla 180</t>
  </si>
  <si>
    <t xml:space="preserve">VALVULA DMAX</t>
  </si>
  <si>
    <t xml:space="preserve">RETRO. AUTHAN</t>
  </si>
  <si>
    <t xml:space="preserve">BISAGRAS TIVOLI</t>
  </si>
  <si>
    <t xml:space="preserve">PUNTA TRA DIMAX</t>
  </si>
  <si>
    <t xml:space="preserve">punta de dimax</t>
  </si>
  <si>
    <t xml:space="preserve">plastico colorado</t>
  </si>
  <si>
    <t xml:space="preserve">rep. tivoli</t>
  </si>
  <si>
    <t xml:space="preserve">forro guardabarro</t>
  </si>
  <si>
    <t xml:space="preserve">mercedes</t>
  </si>
  <si>
    <t xml:space="preserve">tortuga dmax</t>
  </si>
  <si>
    <t xml:space="preserve">manillas dmax</t>
  </si>
  <si>
    <t xml:space="preserve">caliper outhander</t>
  </si>
  <si>
    <t xml:space="preserve">repuestos outhan</t>
  </si>
  <si>
    <t xml:space="preserve">tapitas outhan</t>
  </si>
  <si>
    <t xml:space="preserve">EQUIPO DE VENTAS RODIEJA
MES : JUNIO- 2024</t>
  </si>
  <si>
    <t xml:space="preserve">RESONADOR</t>
  </si>
  <si>
    <t xml:space="preserve">CALIPER ASX</t>
  </si>
  <si>
    <t xml:space="preserve">SIN FACTURA</t>
  </si>
  <si>
    <t xml:space="preserve">MAN. SPORTAGE</t>
  </si>
  <si>
    <t xml:space="preserve">VOLANTE SPORT</t>
  </si>
  <si>
    <t xml:space="preserve">CAJA Y ARNES</t>
  </si>
  <si>
    <t xml:space="preserve">CUERPO ACEL</t>
  </si>
  <si>
    <t xml:space="preserve">VENILLA T. DIMAX</t>
  </si>
  <si>
    <t xml:space="preserve">TENS. COLORADO</t>
  </si>
  <si>
    <t xml:space="preserve">DEP. SWIFT </t>
  </si>
  <si>
    <t xml:space="preserve">DEPUR. SWIF</t>
  </si>
  <si>
    <t xml:space="preserve">CATALIZADOR SWIF</t>
  </si>
  <si>
    <t xml:space="preserve">MO</t>
  </si>
  <si>
    <t xml:space="preserve">MOTOR COLORA</t>
  </si>
  <si>
    <t xml:space="preserve">FAROL CHANGAN</t>
  </si>
  <si>
    <t xml:space="preserve">TACOMETRO SPAR</t>
  </si>
  <si>
    <t xml:space="preserve">PUERTA ALTO</t>
  </si>
  <si>
    <t xml:space="preserve">MANG. DEP TUCS</t>
  </si>
  <si>
    <t xml:space="preserve">XRAIL</t>
  </si>
  <si>
    <t xml:space="preserve">COMPYATOPCHAN</t>
  </si>
  <si>
    <t xml:space="preserve">KIA ARO,VID,MOL</t>
  </si>
  <si>
    <t xml:space="preserve">MAN,MOLDURA</t>
  </si>
  <si>
    <t xml:space="preserve">COSTADO BEAT</t>
  </si>
  <si>
    <t xml:space="preserve">PAGO AROS DIMA</t>
  </si>
  <si>
    <t xml:space="preserve">REP. EQUINOX</t>
  </si>
  <si>
    <t xml:space="preserve">ESCOBILLA PEUGEO</t>
  </si>
  <si>
    <t xml:space="preserve">CABLE FRENO ASX</t>
  </si>
  <si>
    <t xml:space="preserve">COMP. COMP TIVO</t>
  </si>
  <si>
    <t xml:space="preserve">VAL.CELEN.DIMAX</t>
  </si>
  <si>
    <t xml:space="preserve">ALT. DEL GLA180</t>
  </si>
  <si>
    <t xml:space="preserve">REFLECTOR Q7</t>
  </si>
  <si>
    <t xml:space="preserve">PUER. TRAS.ALTO</t>
  </si>
  <si>
    <t xml:space="preserve">DEPUR.EQUINOX</t>
  </si>
  <si>
    <t xml:space="preserve">POLEAS COLORAD</t>
  </si>
  <si>
    <t xml:space="preserve">LUCES DE PLACA</t>
  </si>
  <si>
    <t xml:space="preserve">MOTOR H1</t>
  </si>
  <si>
    <t xml:space="preserve">COMPUERTA OUTH</t>
  </si>
  <si>
    <t xml:space="preserve">PITO EQUINOX</t>
  </si>
  <si>
    <t xml:space="preserve">PARABRISAS</t>
  </si>
  <si>
    <t xml:space="preserve">COMP. DIMAX</t>
  </si>
  <si>
    <t xml:space="preserve">PARRILLA CHANGA</t>
  </si>
  <si>
    <t xml:space="preserve">PERILLAS DMAS</t>
  </si>
  <si>
    <t xml:space="preserve">MOTORES PEUGEO</t>
  </si>
  <si>
    <t xml:space="preserve">ESCOBILLAS PEUGE</t>
  </si>
  <si>
    <t xml:space="preserve">RESO. Y MANGUER</t>
  </si>
  <si>
    <t xml:space="preserve">DEP. COOLAN DE TI</t>
  </si>
  <si>
    <t xml:space="preserve">MES SETIEMBRE-2024</t>
  </si>
  <si>
    <t xml:space="preserve">INGRESO NETO</t>
  </si>
  <si>
    <t xml:space="preserve">COMISION PARA ACXEL</t>
  </si>
  <si>
    <t xml:space="preserve">COMISION PARA ADRIANA  </t>
  </si>
  <si>
    <t xml:space="preserve">ADRIANA</t>
  </si>
  <si>
    <t xml:space="preserve">ACXEL</t>
  </si>
  <si>
    <t xml:space="preserve">TRANSFERECIA</t>
  </si>
  <si>
    <t xml:space="preserve">EFECTIV0</t>
  </si>
  <si>
    <t xml:space="preserve">SIMPE</t>
  </si>
  <si>
    <t xml:space="preserve">EFECTIVO </t>
  </si>
  <si>
    <t xml:space="preserve">TRANSFERENCIA </t>
  </si>
  <si>
    <t xml:space="preserve">AMAURIS</t>
  </si>
  <si>
    <t xml:space="preserve">jHONATHAN</t>
  </si>
  <si>
    <t xml:space="preserve">CALIPER OUTLANDER</t>
  </si>
  <si>
    <t xml:space="preserve">MAQUINA DE VIDRIO Y BOTONERA RH</t>
  </si>
  <si>
    <t xml:space="preserve">CAJA SUSUKI ALTO</t>
  </si>
  <si>
    <t xml:space="preserve">EFECTIVO Y SINPE</t>
  </si>
  <si>
    <t xml:space="preserve">CAJA SPARK GO</t>
  </si>
  <si>
    <t xml:space="preserve">MANGUERA GLA</t>
  </si>
  <si>
    <t xml:space="preserve">DIEGO</t>
  </si>
  <si>
    <t xml:space="preserve">PUERTA GLA 180</t>
  </si>
  <si>
    <t xml:space="preserve">MODULO ABS TUCSON</t>
  </si>
  <si>
    <t xml:space="preserve">RADIADOR, ABANICO Y CONDENSADOR KORANDO</t>
  </si>
  <si>
    <t xml:space="preserve">BOTONERAS KIA OPTIMA</t>
  </si>
  <si>
    <t xml:space="preserve">TACOMETRO SPARK GO</t>
  </si>
  <si>
    <t xml:space="preserve">STOP KIA</t>
  </si>
  <si>
    <t xml:space="preserve">COMPUERTA CELERIO</t>
  </si>
  <si>
    <t xml:space="preserve">STOP MONTERO</t>
  </si>
  <si>
    <t xml:space="preserve">NAVOS, COMPENSADORES Y TIJERETAS DE KORANDO</t>
  </si>
  <si>
    <t xml:space="preserve">STOP B17</t>
  </si>
  <si>
    <t xml:space="preserve">BOTON B17</t>
  </si>
  <si>
    <t xml:space="preserve">COVERTOR LLANTA RAV4</t>
  </si>
  <si>
    <t xml:space="preserve">MOTOR SUZUKI DZIRE</t>
  </si>
  <si>
    <t xml:space="preserve">PUERTA ASX </t>
  </si>
  <si>
    <t xml:space="preserve">ASIENTOS SPARK</t>
  </si>
  <si>
    <t xml:space="preserve">PARABRISAS Y VISAGRAS DEL TIVOLI</t>
  </si>
  <si>
    <t xml:space="preserve">BOTONERAS TUCSON</t>
  </si>
  <si>
    <t xml:space="preserve">BCM COLORADO</t>
  </si>
  <si>
    <t xml:space="preserve">MARCO RADFIADOR Y TRANCA DEL GEELY</t>
  </si>
  <si>
    <t xml:space="preserve">TRANSFERENCIA Y EFECTIVO</t>
  </si>
  <si>
    <t xml:space="preserve">ASIENTOS OUTLANDER</t>
  </si>
  <si>
    <t xml:space="preserve">COMPUTADORA AUTOMATICA </t>
  </si>
  <si>
    <t xml:space="preserve">TRANFERENCIA</t>
  </si>
  <si>
    <t xml:space="preserve">TAPA Y VISAGRAS DE GEELY GX3</t>
  </si>
  <si>
    <t xml:space="preserve">MANGUERA GEELY GX3</t>
  </si>
  <si>
    <t xml:space="preserve">BARRA ESTABILIZADORA SPARK 2010</t>
  </si>
  <si>
    <t xml:space="preserve">TIJERETA TORNILLO DE TRAMA Y SOPORTE</t>
  </si>
  <si>
    <t xml:space="preserve">TAPA  PLASTICA TUCSON</t>
  </si>
  <si>
    <t xml:space="preserve">MOTOR Y ARRANCADOR COOLRAY</t>
  </si>
  <si>
    <t xml:space="preserve">APARTADO REPUESTOS SONATA</t>
  </si>
  <si>
    <t xml:space="preserve">BUMPER CELERIO</t>
  </si>
  <si>
    <t xml:space="preserve">BCM EQUINOX</t>
  </si>
  <si>
    <t xml:space="preserve">TAPA PLASTICA TUCSON</t>
  </si>
  <si>
    <t xml:space="preserve">FOCO JAGUAR</t>
  </si>
  <si>
    <t xml:space="preserve">BOTONERA PEUGEOT</t>
  </si>
  <si>
    <t xml:space="preserve">COLUMNA DIRECCION DZIRE</t>
  </si>
  <si>
    <t xml:space="preserve">CAJA GEELY GX3</t>
  </si>
  <si>
    <t xml:space="preserve">BOMBA AGUA GEELY</t>
  </si>
  <si>
    <t xml:space="preserve">PUERTA TRAC. SPORTAGE </t>
  </si>
  <si>
    <t xml:space="preserve">TACOMETRO L200</t>
  </si>
  <si>
    <t xml:space="preserve">FORROS PUERTA TUCSON</t>
  </si>
  <si>
    <t xml:space="preserve">BOTON Y GUARDABARRO OUTLANDER</t>
  </si>
  <si>
    <t xml:space="preserve">CUERPO ACELERACION SPARK GO</t>
  </si>
  <si>
    <t xml:space="preserve">ASIENTOS </t>
  </si>
  <si>
    <t xml:space="preserve">PARRILLA KORANDO</t>
  </si>
  <si>
    <t xml:space="preserve">GUARDABARRO SPORTAGE </t>
  </si>
  <si>
    <t xml:space="preserve">APARTADO ENFRIADOR DE ACEITE  COOLRAY</t>
  </si>
  <si>
    <t xml:space="preserve">MOLDURAS PLASTICAS DELANTERAS</t>
  </si>
  <si>
    <t xml:space="preserve">LLANTA DE REPUESTO GEELY</t>
  </si>
  <si>
    <t xml:space="preserve">MOTOR TRAX</t>
  </si>
  <si>
    <t xml:space="preserve">RETROVISOR GEELY</t>
  </si>
  <si>
    <t xml:space="preserve">BOMBA DE HIDRAULICO DMAX</t>
  </si>
  <si>
    <t xml:space="preserve">BUMPER ASX</t>
  </si>
  <si>
    <t xml:space="preserve">PARABRISAS GEELY GUARDABARRO PLASTICO</t>
  </si>
  <si>
    <t xml:space="preserve">AROS GEELY GX3</t>
  </si>
  <si>
    <t xml:space="preserve">COMPUERTA FRONTIER</t>
  </si>
  <si>
    <t xml:space="preserve">ENFRIADOR ACEITE MOTOR TRAX</t>
  </si>
  <si>
    <t xml:space="preserve">MANILLA PUERTA CELERIO</t>
  </si>
  <si>
    <t xml:space="preserve">REPUESTOS H1</t>
  </si>
  <si>
    <t xml:space="preserve">MANILLA DMAX</t>
  </si>
  <si>
    <t xml:space="preserve">GUARDABARRO KORANDO</t>
  </si>
  <si>
    <t xml:space="preserve">COMPENSADOR ALTO</t>
  </si>
  <si>
    <t xml:space="preserve">MOTOR ESCOBILLAS PICANTO</t>
  </si>
  <si>
    <t xml:space="preserve">MOTOR SPARK CLASIC</t>
  </si>
  <si>
    <t xml:space="preserve">RETROVISOR SPARK GO</t>
  </si>
  <si>
    <t xml:space="preserve">VIDRIO PUERTA SPARK </t>
  </si>
  <si>
    <t xml:space="preserve">PEDALERA SPARK</t>
  </si>
  <si>
    <t xml:space="preserve">TAPA MOTOR CHEROKEE</t>
  </si>
  <si>
    <t xml:space="preserve">/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</si>
</sst>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₡#,##0.00"/>
    <numFmt numFmtId="166" formatCode="General"/>
    <numFmt numFmtId="167" formatCode="#,##0.00"/>
    <numFmt numFmtId="168" formatCode="d/m/yy"/>
    <numFmt numFmtId="169" formatCode="0.00\ %"/>
    <numFmt numFmtId="170" formatCode="mm/dd/yy"/>
    <numFmt numFmtId="171" formatCode="dd/mm/yy"/>
    <numFmt numFmtId="172" formatCode="0"/>
    <numFmt numFmtId="173" formatCode="dd\ mm\ yyyy"/>
    <numFmt numFmtId="174" formatCode="d/m/yyyy"/>
    <numFmt numFmtId="175" formatCode="dd/mm"/>
    <numFmt numFmtId="176" formatCode="dd/mm/yyyy"/>
    <numFmt numFmtId="177" formatCode="d/m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9900"/>
      <name val="Arial Black"/>
      <family val="0"/>
      <charset val="1"/>
    </font>
    <font>
      <sz val="11"/>
      <color theme="0"/>
      <name val="Arial Black"/>
      <family val="0"/>
      <charset val="1"/>
    </font>
    <font>
      <sz val="11"/>
      <color rgb="FF006100"/>
      <name val="Calibri"/>
      <family val="0"/>
      <charset val="1"/>
    </font>
    <font>
      <sz val="11"/>
      <color rgb="FF3F3F76"/>
      <name val="Calibri"/>
      <family val="0"/>
      <charset val="1"/>
    </font>
    <font>
      <sz val="11"/>
      <color theme="0"/>
      <name val="Calibri"/>
      <family val="0"/>
      <charset val="1"/>
    </font>
    <font>
      <u val="single"/>
      <sz val="11"/>
      <color rgb="FF3F3F76"/>
      <name val="Calibri"/>
      <family val="0"/>
      <charset val="1"/>
    </font>
    <font>
      <b val="true"/>
      <sz val="14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sz val="11"/>
      <color rgb="FFFF0000"/>
      <name val="Calibri"/>
      <family val="0"/>
      <charset val="1"/>
    </font>
    <font>
      <b val="true"/>
      <sz val="11"/>
      <color rgb="FF0061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0"/>
      <name val="Arial"/>
      <family val="2"/>
    </font>
    <font>
      <sz val="11"/>
      <color rgb="FF000000"/>
      <name val="Calibri"/>
      <family val="0"/>
      <charset val="1"/>
    </font>
    <font>
      <sz val="11"/>
      <color rgb="FFFFFFFF"/>
      <name val="Arial Black"/>
      <family val="0"/>
      <charset val="1"/>
    </font>
    <font>
      <sz val="11"/>
      <color rgb="FFFFFFFF"/>
      <name val="Calibri"/>
      <family val="0"/>
      <charset val="1"/>
    </font>
    <font>
      <sz val="11"/>
      <color rgb="FF000000"/>
      <name val="Arial Black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351C75"/>
        <bgColor rgb="FF3F3F76"/>
      </patternFill>
    </fill>
    <fill>
      <patternFill patternType="solid">
        <fgColor rgb="FF385623"/>
        <bgColor rgb="FF333300"/>
      </patternFill>
    </fill>
    <fill>
      <patternFill patternType="solid">
        <fgColor rgb="FFFFD966"/>
        <bgColor rgb="FFFFD965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993300"/>
      </patternFill>
    </fill>
    <fill>
      <patternFill patternType="solid">
        <fgColor rgb="FFC6EFCE"/>
        <bgColor rgb="FFC5E0B3"/>
      </patternFill>
    </fill>
    <fill>
      <patternFill patternType="solid">
        <fgColor rgb="FFCCCCCC"/>
        <bgColor rgb="FFD8D8D8"/>
      </patternFill>
    </fill>
    <fill>
      <patternFill patternType="solid">
        <fgColor rgb="FFD8D8D8"/>
        <bgColor rgb="FFCCCCCC"/>
      </patternFill>
    </fill>
    <fill>
      <patternFill patternType="solid">
        <fgColor rgb="FFFFE598"/>
        <bgColor rgb="FFFFD966"/>
      </patternFill>
    </fill>
    <fill>
      <patternFill patternType="solid">
        <fgColor rgb="FFC5E0B3"/>
        <bgColor rgb="FFC6EFCE"/>
      </patternFill>
    </fill>
    <fill>
      <patternFill patternType="solid">
        <fgColor rgb="FFA8D08D"/>
        <bgColor rgb="FFC5E0B3"/>
      </patternFill>
    </fill>
    <fill>
      <patternFill patternType="solid">
        <fgColor rgb="FFB4C6E7"/>
        <bgColor rgb="FFCCCCCC"/>
      </patternFill>
    </fill>
    <fill>
      <patternFill patternType="solid">
        <fgColor rgb="FFFFD965"/>
        <bgColor rgb="FFFFD966"/>
      </patternFill>
    </fill>
    <fill>
      <patternFill patternType="solid">
        <fgColor theme="0"/>
        <bgColor rgb="FFEFEFEF"/>
      </patternFill>
    </fill>
    <fill>
      <patternFill patternType="solid">
        <fgColor rgb="FFFFC000"/>
        <bgColor rgb="FFFF9900"/>
      </patternFill>
    </fill>
    <fill>
      <patternFill patternType="solid">
        <fgColor rgb="FFE6B8AF"/>
        <bgColor rgb="FFF4CCCC"/>
      </patternFill>
    </fill>
    <fill>
      <patternFill patternType="solid">
        <fgColor rgb="FFEFEFEF"/>
        <bgColor rgb="FFFFFFFF"/>
      </patternFill>
    </fill>
    <fill>
      <patternFill patternType="solid">
        <fgColor rgb="FFF4CCCC"/>
        <bgColor rgb="FFD8D8D8"/>
      </patternFill>
    </fill>
    <fill>
      <patternFill patternType="solid">
        <fgColor rgb="FF00FFFF"/>
        <bgColor rgb="FF00FFFF"/>
      </patternFill>
    </fill>
  </fills>
  <borders count="3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>
        <color rgb="FF7F7F7F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thin">
        <color rgb="FF7F7F7F"/>
      </top>
      <bottom style="thin">
        <color rgb="FF7F7F7F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 style="thin">
        <color rgb="FF7F7F7F"/>
      </bottom>
      <diagonal/>
    </border>
    <border diagonalUp="false" diagonalDown="false">
      <left/>
      <right style="medium"/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1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3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1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14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1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1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15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4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6" fillId="1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6" fillId="1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10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16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2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7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18" borderId="3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7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7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8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15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8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9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1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15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1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1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0" fillId="6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7" fillId="3" borderId="3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8" fillId="3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4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7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A8D08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4C6E7"/>
          <bgColor rgb="FF000000"/>
        </patternFill>
      </fill>
    </dxf>
    <dxf>
      <fill>
        <patternFill patternType="solid">
          <fgColor rgb="FFFFD965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D96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EFEFEF"/>
      <rgbColor rgb="FFD8D8D8"/>
      <rgbColor rgb="FF660066"/>
      <rgbColor rgb="FFFF8080"/>
      <rgbColor rgb="FF0066CC"/>
      <rgbColor rgb="FFB4C6E7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C5E0B3"/>
      <rgbColor rgb="FFC6EFCE"/>
      <rgbColor rgb="FFFFE598"/>
      <rgbColor rgb="FFA8D08D"/>
      <rgbColor rgb="FFE6B8AF"/>
      <rgbColor rgb="FFCC99FF"/>
      <rgbColor rgb="FFF4CCCC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351C75"/>
      <rgbColor rgb="FF339966"/>
      <rgbColor rgb="FF003300"/>
      <rgbColor rgb="FF333300"/>
      <rgbColor rgb="FF993300"/>
      <rgbColor rgb="FF993366"/>
      <rgbColor rgb="FF3F3F76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H7" activeCellId="0" sqref="H7"/>
    </sheetView>
  </sheetViews>
  <sheetFormatPr defaultColWidth="14.4296875" defaultRowHeight="15" zeroHeight="false" outlineLevelRow="0" outlineLevelCol="0"/>
  <cols>
    <col collapsed="false" customWidth="true" hidden="false" outlineLevel="0" max="2" min="2" style="0" width="19.86"/>
    <col collapsed="false" customWidth="true" hidden="false" outlineLevel="0" max="3" min="3" style="0" width="17.14"/>
    <col collapsed="false" customWidth="true" hidden="false" outlineLevel="0" max="4" min="4" style="0" width="20.57"/>
    <col collapsed="false" customWidth="true" hidden="true" outlineLevel="0" max="5" min="5" style="0" width="23"/>
    <col collapsed="false" customWidth="true" hidden="false" outlineLevel="0" max="6" min="6" style="0" width="18.43"/>
    <col collapsed="false" customWidth="true" hidden="false" outlineLevel="0" max="8" min="7" style="0" width="13.86"/>
    <col collapsed="false" customWidth="true" hidden="false" outlineLevel="0" max="14" min="9" style="0" width="10.7"/>
    <col collapsed="false" customWidth="true" hidden="false" outlineLevel="0" max="15" min="15" style="0" width="13.57"/>
    <col collapsed="false" customWidth="true" hidden="false" outlineLevel="0" max="16" min="16" style="0" width="14.7"/>
    <col collapsed="false" customWidth="true" hidden="false" outlineLevel="0" max="25" min="17" style="0" width="10.7"/>
  </cols>
  <sheetData>
    <row r="1" customFormat="false" ht="41.2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/>
      <c r="F1" s="6" t="s">
        <v>4</v>
      </c>
      <c r="G1" s="7" t="s">
        <v>5</v>
      </c>
      <c r="H1" s="7"/>
    </row>
    <row r="2" customFormat="false" ht="16.4" hidden="false" customHeight="false" outlineLevel="0" collapsed="false">
      <c r="A2" s="1"/>
      <c r="B2" s="8" t="s">
        <v>6</v>
      </c>
      <c r="C2" s="9" t="n">
        <f aca="false">+H1982</f>
        <v>15150</v>
      </c>
      <c r="D2" s="10" t="n">
        <f aca="false">+F1982</f>
        <v>505000</v>
      </c>
      <c r="E2" s="11"/>
      <c r="F2" s="12" t="n">
        <f aca="false">+D2-(C2+E2)</f>
        <v>489850</v>
      </c>
      <c r="G2" s="13" t="n">
        <f aca="false">+C2/3</f>
        <v>5050</v>
      </c>
      <c r="H2" s="13"/>
      <c r="Y2" s="14"/>
    </row>
    <row r="3" customFormat="false" ht="47.25" hidden="false" customHeight="true" outlineLevel="0" collapsed="false">
      <c r="A3" s="1"/>
      <c r="B3" s="8" t="s">
        <v>7</v>
      </c>
      <c r="C3" s="15" t="s">
        <v>8</v>
      </c>
      <c r="D3" s="16" t="s">
        <v>9</v>
      </c>
      <c r="E3" s="17"/>
      <c r="F3" s="18" t="s">
        <v>10</v>
      </c>
      <c r="H3" s="19"/>
      <c r="Y3" s="14"/>
    </row>
    <row r="4" customFormat="false" ht="15" hidden="false" customHeight="false" outlineLevel="0" collapsed="false">
      <c r="A4" s="1"/>
      <c r="B4" s="8" t="s">
        <v>11</v>
      </c>
      <c r="C4" s="20" t="n">
        <f aca="false">0.2*G2</f>
        <v>1010</v>
      </c>
      <c r="D4" s="21" t="n">
        <f aca="false">+(G2-C4)/2</f>
        <v>2020</v>
      </c>
      <c r="E4" s="17"/>
      <c r="F4" s="22" t="n">
        <f aca="false">+D4</f>
        <v>2020</v>
      </c>
    </row>
    <row r="5" customFormat="false" ht="31.3" hidden="false" customHeight="false" outlineLevel="0" collapsed="false">
      <c r="A5" s="1"/>
      <c r="B5" s="23" t="s">
        <v>12</v>
      </c>
      <c r="C5" s="24" t="n">
        <f aca="false">G1982</f>
        <v>0</v>
      </c>
      <c r="D5" s="24"/>
      <c r="E5" s="24"/>
      <c r="F5" s="24"/>
      <c r="G5" s="24"/>
      <c r="H5" s="24"/>
    </row>
    <row r="6" customFormat="false" ht="34.3" hidden="false" customHeight="false" outlineLevel="0" collapsed="false">
      <c r="A6" s="25" t="s">
        <v>13</v>
      </c>
      <c r="B6" s="25" t="s">
        <v>14</v>
      </c>
      <c r="C6" s="25" t="s">
        <v>15</v>
      </c>
      <c r="D6" s="26" t="s">
        <v>16</v>
      </c>
      <c r="E6" s="26" t="s">
        <v>17</v>
      </c>
      <c r="F6" s="27" t="s">
        <v>18</v>
      </c>
      <c r="G6" s="28" t="s">
        <v>19</v>
      </c>
      <c r="H6" s="29" t="s">
        <v>20</v>
      </c>
      <c r="O6" s="19"/>
    </row>
    <row r="7" customFormat="false" ht="16.4" hidden="false" customHeight="false" outlineLevel="0" collapsed="false">
      <c r="A7" s="30" t="n">
        <v>45318</v>
      </c>
      <c r="B7" s="31" t="s">
        <v>11</v>
      </c>
      <c r="C7" s="32" t="s">
        <v>15</v>
      </c>
      <c r="D7" s="32" t="s">
        <v>21</v>
      </c>
      <c r="E7" s="19" t="n">
        <f aca="false">+IF(C7="EQUIPO",F7,0)</f>
        <v>110000</v>
      </c>
      <c r="F7" s="33" t="n">
        <v>110000</v>
      </c>
      <c r="G7" s="34" t="n">
        <v>0</v>
      </c>
      <c r="H7" s="34" t="n">
        <f aca="false">+IF(E7=0,0,E7*0.03)</f>
        <v>3300</v>
      </c>
      <c r="O7" s="19"/>
    </row>
    <row r="8" customFormat="false" ht="16.4" hidden="false" customHeight="false" outlineLevel="0" collapsed="false">
      <c r="A8" s="30" t="n">
        <v>45292</v>
      </c>
      <c r="B8" s="31" t="s">
        <v>11</v>
      </c>
      <c r="C8" s="32" t="s">
        <v>15</v>
      </c>
      <c r="D8" s="32" t="s">
        <v>22</v>
      </c>
      <c r="E8" s="19" t="n">
        <f aca="false">+IF(C8="EQUIPO",F8,0)</f>
        <v>90000</v>
      </c>
      <c r="F8" s="33" t="n">
        <v>90000</v>
      </c>
      <c r="G8" s="34" t="n">
        <v>0</v>
      </c>
      <c r="H8" s="34" t="n">
        <f aca="false">+IF(E8=0,0,E8*0.03)</f>
        <v>2700</v>
      </c>
    </row>
    <row r="9" customFormat="false" ht="16.4" hidden="false" customHeight="false" outlineLevel="0" collapsed="false">
      <c r="A9" s="30" t="n">
        <v>45292</v>
      </c>
      <c r="B9" s="31" t="s">
        <v>11</v>
      </c>
      <c r="C9" s="32" t="s">
        <v>15</v>
      </c>
      <c r="D9" s="32" t="s">
        <v>23</v>
      </c>
      <c r="E9" s="19" t="n">
        <f aca="false">+IF(C9="EQUIPO",F9,0)</f>
        <v>30000</v>
      </c>
      <c r="F9" s="33" t="n">
        <v>30000</v>
      </c>
      <c r="G9" s="34" t="n">
        <v>0</v>
      </c>
      <c r="H9" s="34" t="n">
        <f aca="false">+IF(E9=0,0,E9*0.03)</f>
        <v>900</v>
      </c>
    </row>
    <row r="10" customFormat="false" ht="16.4" hidden="false" customHeight="false" outlineLevel="0" collapsed="false">
      <c r="A10" s="30" t="n">
        <v>45292</v>
      </c>
      <c r="B10" s="31" t="s">
        <v>11</v>
      </c>
      <c r="C10" s="32" t="s">
        <v>15</v>
      </c>
      <c r="D10" s="32" t="s">
        <v>24</v>
      </c>
      <c r="E10" s="19" t="n">
        <f aca="false">+IF(C10="EQUIPO",F10,0)</f>
        <v>200000</v>
      </c>
      <c r="F10" s="33" t="n">
        <v>200000</v>
      </c>
      <c r="G10" s="34" t="n">
        <v>0</v>
      </c>
      <c r="H10" s="34" t="n">
        <f aca="false">+IF(E10=0,0,E10*0.03)</f>
        <v>6000</v>
      </c>
    </row>
    <row r="11" customFormat="false" ht="31.3" hidden="false" customHeight="false" outlineLevel="0" collapsed="false">
      <c r="A11" s="30" t="n">
        <v>45292</v>
      </c>
      <c r="B11" s="31" t="s">
        <v>11</v>
      </c>
      <c r="C11" s="32" t="s">
        <v>15</v>
      </c>
      <c r="D11" s="32" t="s">
        <v>25</v>
      </c>
      <c r="E11" s="19" t="n">
        <f aca="false">+IF(C11="EQUIPO",F11,0)</f>
        <v>75000</v>
      </c>
      <c r="F11" s="33" t="n">
        <v>75000</v>
      </c>
      <c r="G11" s="35" t="n">
        <v>0</v>
      </c>
      <c r="H11" s="34" t="n">
        <f aca="false">+IF(E11=0,0,E11*0.03)</f>
        <v>2250</v>
      </c>
      <c r="O11" s="36"/>
    </row>
    <row r="12" customFormat="false" ht="16.4" hidden="false" customHeight="false" outlineLevel="0" collapsed="false">
      <c r="A12" s="30" t="n">
        <v>45292</v>
      </c>
      <c r="B12" s="31" t="s">
        <v>11</v>
      </c>
      <c r="C12" s="32" t="s">
        <v>15</v>
      </c>
      <c r="D12" s="32"/>
      <c r="E12" s="19" t="n">
        <f aca="false">+IF(C12="EQUIPO",F12,0)</f>
        <v>0</v>
      </c>
      <c r="F12" s="33" t="n">
        <v>0</v>
      </c>
      <c r="G12" s="35" t="n">
        <v>0</v>
      </c>
      <c r="H12" s="34" t="n">
        <f aca="false">+IF(E12=0,0,E12*0.03)</f>
        <v>0</v>
      </c>
    </row>
    <row r="13" customFormat="false" ht="16.4" hidden="false" customHeight="false" outlineLevel="0" collapsed="false">
      <c r="A13" s="30" t="n">
        <v>45292</v>
      </c>
      <c r="B13" s="31" t="s">
        <v>11</v>
      </c>
      <c r="C13" s="32" t="s">
        <v>15</v>
      </c>
      <c r="D13" s="32"/>
      <c r="E13" s="19" t="n">
        <f aca="false">+IF(C13="EQUIPO",F13,0)</f>
        <v>0</v>
      </c>
      <c r="F13" s="33" t="n">
        <v>0</v>
      </c>
      <c r="G13" s="35" t="n">
        <v>0</v>
      </c>
      <c r="H13" s="34" t="n">
        <f aca="false">+IF(E13=0,0,E13*0.03)</f>
        <v>0</v>
      </c>
    </row>
    <row r="14" customFormat="false" ht="16.4" hidden="false" customHeight="false" outlineLevel="0" collapsed="false">
      <c r="A14" s="30" t="n">
        <v>45292</v>
      </c>
      <c r="B14" s="31" t="s">
        <v>11</v>
      </c>
      <c r="C14" s="32" t="s">
        <v>15</v>
      </c>
      <c r="D14" s="32"/>
      <c r="E14" s="19" t="n">
        <f aca="false">+IF(C14="EQUIPO",F14,0)</f>
        <v>0</v>
      </c>
      <c r="F14" s="33" t="n">
        <v>0</v>
      </c>
      <c r="G14" s="35" t="n">
        <v>0</v>
      </c>
      <c r="H14" s="34" t="n">
        <f aca="false">+IF(E14=0,0,E14*0.03)</f>
        <v>0</v>
      </c>
    </row>
    <row r="15" customFormat="false" ht="16.4" hidden="false" customHeight="false" outlineLevel="0" collapsed="false">
      <c r="A15" s="30" t="n">
        <v>45292</v>
      </c>
      <c r="B15" s="31" t="s">
        <v>11</v>
      </c>
      <c r="C15" s="32" t="s">
        <v>15</v>
      </c>
      <c r="D15" s="32"/>
      <c r="E15" s="19" t="n">
        <f aca="false">+IF(C15="EQUIPO",F15,0)</f>
        <v>0</v>
      </c>
      <c r="F15" s="33" t="n">
        <v>0</v>
      </c>
      <c r="G15" s="35" t="n">
        <v>0</v>
      </c>
      <c r="H15" s="34" t="n">
        <f aca="false">+IF(E15=0,0,E15*0.03)</f>
        <v>0</v>
      </c>
    </row>
    <row r="16" customFormat="false" ht="16.4" hidden="false" customHeight="false" outlineLevel="0" collapsed="false">
      <c r="A16" s="30" t="n">
        <v>45292</v>
      </c>
      <c r="B16" s="31" t="s">
        <v>11</v>
      </c>
      <c r="C16" s="32" t="s">
        <v>15</v>
      </c>
      <c r="D16" s="32"/>
      <c r="E16" s="19" t="n">
        <f aca="false">+IF(C16="EQUIPO",F16,0)</f>
        <v>0</v>
      </c>
      <c r="F16" s="33" t="n">
        <v>0</v>
      </c>
      <c r="G16" s="35" t="n">
        <v>0</v>
      </c>
      <c r="H16" s="34" t="n">
        <f aca="false">+IF(E16=0,0,E16*0.03)</f>
        <v>0</v>
      </c>
    </row>
    <row r="17" customFormat="false" ht="16.4" hidden="false" customHeight="false" outlineLevel="0" collapsed="false">
      <c r="A17" s="30" t="n">
        <v>45292</v>
      </c>
      <c r="B17" s="31" t="s">
        <v>11</v>
      </c>
      <c r="C17" s="32" t="s">
        <v>15</v>
      </c>
      <c r="D17" s="32"/>
      <c r="E17" s="19" t="n">
        <f aca="false">+IF(C17="EQUIPO",F17,0)</f>
        <v>0</v>
      </c>
      <c r="F17" s="33" t="n">
        <v>0</v>
      </c>
      <c r="G17" s="35" t="n">
        <v>0</v>
      </c>
      <c r="H17" s="34" t="n">
        <f aca="false">+IF(E17=0,0,E17*0.03)</f>
        <v>0</v>
      </c>
    </row>
    <row r="18" customFormat="false" ht="16.4" hidden="false" customHeight="false" outlineLevel="0" collapsed="false">
      <c r="A18" s="30" t="n">
        <v>45292</v>
      </c>
      <c r="B18" s="31" t="s">
        <v>11</v>
      </c>
      <c r="C18" s="32" t="s">
        <v>15</v>
      </c>
      <c r="D18" s="32"/>
      <c r="E18" s="19" t="n">
        <f aca="false">+IF(C18="EQUIPO",F18,0)</f>
        <v>0</v>
      </c>
      <c r="F18" s="33" t="n">
        <v>0</v>
      </c>
      <c r="G18" s="35" t="n">
        <v>0</v>
      </c>
      <c r="H18" s="34" t="n">
        <f aca="false">+IF(E18=0,0,E18*0.03)</f>
        <v>0</v>
      </c>
    </row>
    <row r="19" customFormat="false" ht="16.4" hidden="false" customHeight="false" outlineLevel="0" collapsed="false">
      <c r="A19" s="30" t="n">
        <v>45292</v>
      </c>
      <c r="B19" s="31" t="s">
        <v>11</v>
      </c>
      <c r="C19" s="32" t="s">
        <v>15</v>
      </c>
      <c r="D19" s="32"/>
      <c r="E19" s="19" t="n">
        <f aca="false">+IF(C19="EQUIPO",F19,0)</f>
        <v>0</v>
      </c>
      <c r="F19" s="33" t="n">
        <v>0</v>
      </c>
      <c r="G19" s="35" t="n">
        <v>0</v>
      </c>
      <c r="H19" s="34" t="n">
        <f aca="false">+IF(E19=0,0,E19*0.03)</f>
        <v>0</v>
      </c>
    </row>
    <row r="20" customFormat="false" ht="16.4" hidden="false" customHeight="false" outlineLevel="0" collapsed="false">
      <c r="A20" s="30" t="n">
        <v>45292</v>
      </c>
      <c r="B20" s="31" t="s">
        <v>11</v>
      </c>
      <c r="C20" s="32" t="s">
        <v>15</v>
      </c>
      <c r="D20" s="32"/>
      <c r="E20" s="19" t="n">
        <f aca="false">+IF(C20="EQUIPO",F20,0)</f>
        <v>0</v>
      </c>
      <c r="F20" s="33" t="n">
        <v>0</v>
      </c>
      <c r="G20" s="35" t="n">
        <v>0</v>
      </c>
      <c r="H20" s="34" t="n">
        <f aca="false">+IF(E20=0,0,E20*0.03)</f>
        <v>0</v>
      </c>
    </row>
    <row r="21" customFormat="false" ht="15.75" hidden="false" customHeight="true" outlineLevel="0" collapsed="false">
      <c r="A21" s="30" t="n">
        <v>45292</v>
      </c>
      <c r="B21" s="31" t="s">
        <v>11</v>
      </c>
      <c r="C21" s="32" t="s">
        <v>15</v>
      </c>
      <c r="D21" s="32"/>
      <c r="E21" s="19" t="n">
        <f aca="false">+IF(C21="EQUIPO",F21,0)</f>
        <v>0</v>
      </c>
      <c r="F21" s="33" t="n">
        <v>0</v>
      </c>
      <c r="G21" s="35" t="n">
        <v>0</v>
      </c>
      <c r="H21" s="34" t="n">
        <f aca="false">+IF(E21=0,0,E21*0.03)</f>
        <v>0</v>
      </c>
    </row>
    <row r="22" customFormat="false" ht="15.75" hidden="false" customHeight="true" outlineLevel="0" collapsed="false">
      <c r="A22" s="30" t="n">
        <v>45292</v>
      </c>
      <c r="B22" s="31" t="s">
        <v>11</v>
      </c>
      <c r="C22" s="32" t="s">
        <v>15</v>
      </c>
      <c r="D22" s="32"/>
      <c r="E22" s="19" t="n">
        <f aca="false">+IF(C22="EQUIPO",F22,0)</f>
        <v>0</v>
      </c>
      <c r="F22" s="33" t="n">
        <v>0</v>
      </c>
      <c r="G22" s="35" t="n">
        <v>0</v>
      </c>
      <c r="H22" s="34" t="n">
        <f aca="false">+IF(E22=0,0,E22*0.03)</f>
        <v>0</v>
      </c>
    </row>
    <row r="23" customFormat="false" ht="15.75" hidden="false" customHeight="true" outlineLevel="0" collapsed="false">
      <c r="A23" s="30" t="n">
        <v>45292</v>
      </c>
      <c r="B23" s="31" t="s">
        <v>11</v>
      </c>
      <c r="C23" s="32" t="s">
        <v>15</v>
      </c>
      <c r="D23" s="32"/>
      <c r="E23" s="19" t="n">
        <f aca="false">+IF(C23="EQUIPO",F23,0)</f>
        <v>0</v>
      </c>
      <c r="F23" s="33" t="n">
        <v>0</v>
      </c>
      <c r="G23" s="35" t="n">
        <v>0</v>
      </c>
      <c r="H23" s="34" t="n">
        <f aca="false">+IF(E23=0,0,E23*0.03)</f>
        <v>0</v>
      </c>
    </row>
    <row r="24" customFormat="false" ht="15.75" hidden="false" customHeight="true" outlineLevel="0" collapsed="false">
      <c r="A24" s="30" t="n">
        <v>45292</v>
      </c>
      <c r="B24" s="31" t="s">
        <v>11</v>
      </c>
      <c r="C24" s="32" t="s">
        <v>15</v>
      </c>
      <c r="D24" s="32"/>
      <c r="E24" s="19" t="n">
        <f aca="false">+IF(C24="EQUIPO",F24,0)</f>
        <v>0</v>
      </c>
      <c r="F24" s="33" t="n">
        <v>0</v>
      </c>
      <c r="G24" s="35" t="n">
        <v>0</v>
      </c>
      <c r="H24" s="34" t="n">
        <f aca="false">+IF(E24=0,0,E24*0.03)</f>
        <v>0</v>
      </c>
    </row>
    <row r="25" customFormat="false" ht="15.75" hidden="false" customHeight="true" outlineLevel="0" collapsed="false">
      <c r="A25" s="30" t="n">
        <v>45292</v>
      </c>
      <c r="B25" s="31" t="s">
        <v>11</v>
      </c>
      <c r="C25" s="32" t="s">
        <v>15</v>
      </c>
      <c r="D25" s="32"/>
      <c r="E25" s="19" t="n">
        <f aca="false">+IF(C25="EQUIPO",F25,0)</f>
        <v>0</v>
      </c>
      <c r="F25" s="33" t="n">
        <v>0</v>
      </c>
      <c r="G25" s="35" t="n">
        <v>0</v>
      </c>
      <c r="H25" s="34" t="n">
        <f aca="false">+IF(E25=0,0,E25*0.03)</f>
        <v>0</v>
      </c>
    </row>
    <row r="26" customFormat="false" ht="15.75" hidden="false" customHeight="true" outlineLevel="0" collapsed="false">
      <c r="A26" s="30" t="n">
        <v>45292</v>
      </c>
      <c r="B26" s="31" t="s">
        <v>11</v>
      </c>
      <c r="C26" s="32" t="s">
        <v>15</v>
      </c>
      <c r="D26" s="32"/>
      <c r="E26" s="19" t="n">
        <f aca="false">+IF(C26="EQUIPO",F26,0)</f>
        <v>0</v>
      </c>
      <c r="F26" s="33" t="n">
        <v>0</v>
      </c>
      <c r="G26" s="35" t="n">
        <v>0</v>
      </c>
      <c r="H26" s="34" t="n">
        <f aca="false">+IF(E26=0,0,E26*0.03)</f>
        <v>0</v>
      </c>
    </row>
    <row r="27" customFormat="false" ht="15.75" hidden="false" customHeight="true" outlineLevel="0" collapsed="false">
      <c r="A27" s="30" t="n">
        <v>45292</v>
      </c>
      <c r="B27" s="31" t="s">
        <v>11</v>
      </c>
      <c r="C27" s="32" t="s">
        <v>15</v>
      </c>
      <c r="D27" s="32"/>
      <c r="E27" s="19" t="n">
        <f aca="false">+IF(C27="EQUIPO",F27,0)</f>
        <v>0</v>
      </c>
      <c r="F27" s="33" t="n">
        <v>0</v>
      </c>
      <c r="G27" s="35" t="n">
        <v>0</v>
      </c>
      <c r="H27" s="34" t="n">
        <f aca="false">+IF(E27=0,0,E27*0.03)</f>
        <v>0</v>
      </c>
    </row>
    <row r="28" customFormat="false" ht="15.75" hidden="false" customHeight="true" outlineLevel="0" collapsed="false">
      <c r="A28" s="30" t="n">
        <v>45292</v>
      </c>
      <c r="B28" s="31" t="s">
        <v>11</v>
      </c>
      <c r="C28" s="32" t="s">
        <v>15</v>
      </c>
      <c r="D28" s="32"/>
      <c r="E28" s="19" t="n">
        <f aca="false">+IF(C28="EQUIPO",F28,0)</f>
        <v>0</v>
      </c>
      <c r="F28" s="33" t="n">
        <v>0</v>
      </c>
      <c r="G28" s="35" t="n">
        <v>0</v>
      </c>
      <c r="H28" s="34" t="n">
        <f aca="false">+IF(E28=0,0,E28*0.03)</f>
        <v>0</v>
      </c>
    </row>
    <row r="29" customFormat="false" ht="15.75" hidden="false" customHeight="true" outlineLevel="0" collapsed="false">
      <c r="A29" s="30" t="n">
        <v>45292</v>
      </c>
      <c r="B29" s="31" t="s">
        <v>11</v>
      </c>
      <c r="C29" s="32" t="s">
        <v>15</v>
      </c>
      <c r="D29" s="32"/>
      <c r="E29" s="19" t="n">
        <f aca="false">+IF(C29="EQUIPO",F29,0)</f>
        <v>0</v>
      </c>
      <c r="F29" s="33" t="n">
        <v>0</v>
      </c>
      <c r="G29" s="35" t="n">
        <v>0</v>
      </c>
      <c r="H29" s="34" t="n">
        <f aca="false">+IF(E29=0,0,E29*0.03)</f>
        <v>0</v>
      </c>
    </row>
    <row r="30" customFormat="false" ht="15.75" hidden="false" customHeight="true" outlineLevel="0" collapsed="false">
      <c r="A30" s="30" t="n">
        <v>45292</v>
      </c>
      <c r="B30" s="31" t="s">
        <v>11</v>
      </c>
      <c r="C30" s="32" t="s">
        <v>15</v>
      </c>
      <c r="D30" s="32"/>
      <c r="E30" s="19" t="n">
        <f aca="false">+IF(C30="EQUIPO",F30,0)</f>
        <v>0</v>
      </c>
      <c r="F30" s="33" t="n">
        <v>0</v>
      </c>
      <c r="G30" s="35" t="n">
        <v>0</v>
      </c>
      <c r="H30" s="34" t="n">
        <f aca="false">+IF(E30=0,0,E30*0.03)</f>
        <v>0</v>
      </c>
    </row>
    <row r="31" customFormat="false" ht="15.75" hidden="false" customHeight="true" outlineLevel="0" collapsed="false">
      <c r="A31" s="30" t="n">
        <v>45292</v>
      </c>
      <c r="B31" s="31" t="s">
        <v>11</v>
      </c>
      <c r="C31" s="32" t="s">
        <v>15</v>
      </c>
      <c r="D31" s="32"/>
      <c r="E31" s="19" t="n">
        <f aca="false">+IF(C31="EQUIPO",F31,0)</f>
        <v>0</v>
      </c>
      <c r="F31" s="33" t="n">
        <v>0</v>
      </c>
      <c r="G31" s="35" t="n">
        <v>0</v>
      </c>
      <c r="H31" s="34" t="n">
        <f aca="false">+IF(E31=0,0,E31*0.03)</f>
        <v>0</v>
      </c>
    </row>
    <row r="32" customFormat="false" ht="15.75" hidden="false" customHeight="true" outlineLevel="0" collapsed="false">
      <c r="A32" s="30" t="n">
        <v>45292</v>
      </c>
      <c r="B32" s="31" t="s">
        <v>11</v>
      </c>
      <c r="C32" s="32" t="s">
        <v>15</v>
      </c>
      <c r="D32" s="32"/>
      <c r="E32" s="19" t="n">
        <f aca="false">+IF(C32="EQUIPO",F32,0)</f>
        <v>0</v>
      </c>
      <c r="F32" s="33" t="n">
        <v>0</v>
      </c>
      <c r="G32" s="35" t="n">
        <v>0</v>
      </c>
      <c r="H32" s="34" t="n">
        <f aca="false">+IF(E32=0,0,E32*0.03)</f>
        <v>0</v>
      </c>
    </row>
    <row r="33" customFormat="false" ht="15.75" hidden="false" customHeight="true" outlineLevel="0" collapsed="false">
      <c r="A33" s="30" t="n">
        <v>45292</v>
      </c>
      <c r="B33" s="31" t="s">
        <v>11</v>
      </c>
      <c r="C33" s="32" t="s">
        <v>15</v>
      </c>
      <c r="D33" s="32"/>
      <c r="E33" s="19" t="n">
        <f aca="false">+IF(C33="EQUIPO",F33,0)</f>
        <v>0</v>
      </c>
      <c r="F33" s="33" t="n">
        <v>0</v>
      </c>
      <c r="G33" s="35" t="n">
        <v>0</v>
      </c>
      <c r="H33" s="34" t="n">
        <f aca="false">+IF(E33=0,0,E33*0.03)</f>
        <v>0</v>
      </c>
    </row>
    <row r="34" customFormat="false" ht="15.75" hidden="false" customHeight="true" outlineLevel="0" collapsed="false">
      <c r="A34" s="30" t="n">
        <v>45292</v>
      </c>
      <c r="B34" s="31" t="s">
        <v>11</v>
      </c>
      <c r="C34" s="32" t="s">
        <v>15</v>
      </c>
      <c r="D34" s="32"/>
      <c r="E34" s="19" t="n">
        <f aca="false">+IF(C34="EQUIPO",F34,0)</f>
        <v>0</v>
      </c>
      <c r="F34" s="33" t="n">
        <v>0</v>
      </c>
      <c r="G34" s="35" t="n">
        <v>0</v>
      </c>
      <c r="H34" s="34" t="n">
        <f aca="false">+IF(E34=0,0,E34*0.03)</f>
        <v>0</v>
      </c>
    </row>
    <row r="35" customFormat="false" ht="15.75" hidden="false" customHeight="true" outlineLevel="0" collapsed="false">
      <c r="A35" s="30" t="n">
        <v>45292</v>
      </c>
      <c r="B35" s="31" t="s">
        <v>11</v>
      </c>
      <c r="C35" s="32" t="s">
        <v>15</v>
      </c>
      <c r="D35" s="32"/>
      <c r="E35" s="19" t="n">
        <f aca="false">+IF(C35="EQUIPO",F35,0)</f>
        <v>0</v>
      </c>
      <c r="F35" s="33" t="n">
        <v>0</v>
      </c>
      <c r="G35" s="35" t="n">
        <v>0</v>
      </c>
      <c r="H35" s="34" t="n">
        <f aca="false">+IF(E35=0,0,E35*0.03)</f>
        <v>0</v>
      </c>
    </row>
    <row r="36" customFormat="false" ht="15.75" hidden="false" customHeight="true" outlineLevel="0" collapsed="false">
      <c r="A36" s="30" t="n">
        <v>45292</v>
      </c>
      <c r="B36" s="31" t="s">
        <v>11</v>
      </c>
      <c r="C36" s="32" t="s">
        <v>15</v>
      </c>
      <c r="D36" s="32"/>
      <c r="E36" s="19" t="n">
        <f aca="false">+IF(C36="EQUIPO",F36,0)</f>
        <v>0</v>
      </c>
      <c r="F36" s="33" t="n">
        <v>0</v>
      </c>
      <c r="G36" s="35" t="n">
        <v>0</v>
      </c>
      <c r="H36" s="34" t="n">
        <f aca="false">+IF(E36=0,0,E36*0.03)</f>
        <v>0</v>
      </c>
    </row>
    <row r="37" customFormat="false" ht="15.75" hidden="false" customHeight="true" outlineLevel="0" collapsed="false">
      <c r="A37" s="30" t="n">
        <v>45292</v>
      </c>
      <c r="B37" s="31" t="s">
        <v>11</v>
      </c>
      <c r="C37" s="32" t="s">
        <v>15</v>
      </c>
      <c r="D37" s="32"/>
      <c r="E37" s="19" t="n">
        <f aca="false">+IF(C37="EQUIPO",F37,0)</f>
        <v>0</v>
      </c>
      <c r="F37" s="33" t="n">
        <v>0</v>
      </c>
      <c r="G37" s="35" t="n">
        <v>0</v>
      </c>
      <c r="H37" s="34" t="n">
        <f aca="false">+IF(E37=0,0,E37*0.03)</f>
        <v>0</v>
      </c>
    </row>
    <row r="38" customFormat="false" ht="15.75" hidden="false" customHeight="true" outlineLevel="0" collapsed="false">
      <c r="A38" s="30" t="n">
        <v>45292</v>
      </c>
      <c r="B38" s="31" t="s">
        <v>11</v>
      </c>
      <c r="C38" s="32" t="s">
        <v>15</v>
      </c>
      <c r="D38" s="32"/>
      <c r="E38" s="19" t="n">
        <f aca="false">+IF(C38="EQUIPO",F38,0)</f>
        <v>0</v>
      </c>
      <c r="F38" s="33" t="n">
        <v>0</v>
      </c>
      <c r="G38" s="35" t="n">
        <v>0</v>
      </c>
      <c r="H38" s="34" t="n">
        <f aca="false">+IF(E38=0,0,E38*0.03)</f>
        <v>0</v>
      </c>
    </row>
    <row r="39" customFormat="false" ht="15.75" hidden="false" customHeight="true" outlineLevel="0" collapsed="false">
      <c r="A39" s="30" t="n">
        <v>45292</v>
      </c>
      <c r="B39" s="31" t="s">
        <v>11</v>
      </c>
      <c r="C39" s="32" t="s">
        <v>15</v>
      </c>
      <c r="D39" s="32"/>
      <c r="E39" s="19" t="n">
        <f aca="false">+IF(C39="EQUIPO",F39,0)</f>
        <v>0</v>
      </c>
      <c r="F39" s="33" t="n">
        <v>0</v>
      </c>
      <c r="G39" s="35" t="n">
        <v>0</v>
      </c>
      <c r="H39" s="34" t="n">
        <f aca="false">+IF(E39=0,0,E39*0.03)</f>
        <v>0</v>
      </c>
    </row>
    <row r="40" customFormat="false" ht="15.75" hidden="false" customHeight="true" outlineLevel="0" collapsed="false">
      <c r="A40" s="30" t="n">
        <v>45292</v>
      </c>
      <c r="B40" s="31" t="s">
        <v>11</v>
      </c>
      <c r="C40" s="32" t="s">
        <v>15</v>
      </c>
      <c r="D40" s="32"/>
      <c r="E40" s="19" t="n">
        <f aca="false">+IF(C40="EQUIPO",F40,0)</f>
        <v>0</v>
      </c>
      <c r="F40" s="33" t="n">
        <v>0</v>
      </c>
      <c r="G40" s="35" t="n">
        <v>0</v>
      </c>
      <c r="H40" s="34" t="n">
        <f aca="false">+IF(E40=0,0,E40*0.03)</f>
        <v>0</v>
      </c>
    </row>
    <row r="41" customFormat="false" ht="15.75" hidden="false" customHeight="true" outlineLevel="0" collapsed="false">
      <c r="A41" s="30" t="n">
        <v>45292</v>
      </c>
      <c r="B41" s="31" t="s">
        <v>11</v>
      </c>
      <c r="C41" s="32" t="s">
        <v>15</v>
      </c>
      <c r="D41" s="32"/>
      <c r="E41" s="19" t="n">
        <f aca="false">+IF(C41="EQUIPO",F41,0)</f>
        <v>0</v>
      </c>
      <c r="F41" s="33" t="n">
        <v>0</v>
      </c>
      <c r="G41" s="35" t="n">
        <v>0</v>
      </c>
      <c r="H41" s="34" t="n">
        <f aca="false">+IF(E41=0,0,E41*0.03)</f>
        <v>0</v>
      </c>
    </row>
    <row r="42" customFormat="false" ht="15.75" hidden="false" customHeight="true" outlineLevel="0" collapsed="false">
      <c r="A42" s="30" t="n">
        <v>45292</v>
      </c>
      <c r="B42" s="31" t="s">
        <v>11</v>
      </c>
      <c r="C42" s="32"/>
      <c r="D42" s="32"/>
      <c r="E42" s="19" t="n">
        <f aca="false">+IF(C42="EQUIPO",F42,0)</f>
        <v>0</v>
      </c>
      <c r="F42" s="33" t="n">
        <v>0</v>
      </c>
      <c r="G42" s="35" t="n">
        <v>0</v>
      </c>
      <c r="H42" s="34" t="n">
        <f aca="false">+IF(E42=0,0,E42*0.03)</f>
        <v>0</v>
      </c>
    </row>
    <row r="43" customFormat="false" ht="15.75" hidden="false" customHeight="true" outlineLevel="0" collapsed="false">
      <c r="A43" s="30" t="n">
        <v>45292</v>
      </c>
      <c r="B43" s="31" t="s">
        <v>11</v>
      </c>
      <c r="C43" s="32"/>
      <c r="D43" s="32"/>
      <c r="E43" s="19" t="n">
        <f aca="false">+IF(C43="EQUIPO",F43,0)</f>
        <v>0</v>
      </c>
      <c r="F43" s="33" t="n">
        <v>0</v>
      </c>
      <c r="G43" s="35" t="n">
        <v>0</v>
      </c>
      <c r="H43" s="34" t="n">
        <f aca="false">+IF(E43=0,0,E43*0.03)</f>
        <v>0</v>
      </c>
    </row>
    <row r="44" customFormat="false" ht="15.75" hidden="false" customHeight="true" outlineLevel="0" collapsed="false">
      <c r="A44" s="30" t="n">
        <v>45292</v>
      </c>
      <c r="B44" s="31" t="s">
        <v>11</v>
      </c>
      <c r="C44" s="32"/>
      <c r="D44" s="32"/>
      <c r="E44" s="19" t="n">
        <f aca="false">+IF(C44="EQUIPO",F44,0)</f>
        <v>0</v>
      </c>
      <c r="F44" s="33" t="n">
        <v>0</v>
      </c>
      <c r="G44" s="35" t="n">
        <v>0</v>
      </c>
      <c r="H44" s="34" t="n">
        <f aca="false">+IF(E44=0,0,E44*0.03)</f>
        <v>0</v>
      </c>
    </row>
    <row r="45" customFormat="false" ht="15.75" hidden="false" customHeight="true" outlineLevel="0" collapsed="false">
      <c r="A45" s="30" t="n">
        <v>45292</v>
      </c>
      <c r="B45" s="31" t="s">
        <v>11</v>
      </c>
      <c r="C45" s="32"/>
      <c r="D45" s="32"/>
      <c r="E45" s="19" t="n">
        <f aca="false">+IF(C45="EQUIPO",F45,0)</f>
        <v>0</v>
      </c>
      <c r="F45" s="33" t="n">
        <v>0</v>
      </c>
      <c r="G45" s="35" t="n">
        <v>0</v>
      </c>
      <c r="H45" s="34" t="n">
        <f aca="false">+IF(E45=0,0,E45*0.03)</f>
        <v>0</v>
      </c>
    </row>
    <row r="46" customFormat="false" ht="15.75" hidden="false" customHeight="true" outlineLevel="0" collapsed="false">
      <c r="A46" s="30" t="n">
        <v>45292</v>
      </c>
      <c r="B46" s="31" t="s">
        <v>11</v>
      </c>
      <c r="C46" s="32"/>
      <c r="D46" s="32"/>
      <c r="E46" s="19" t="n">
        <f aca="false">+IF(C46="EQUIPO",F46,0)</f>
        <v>0</v>
      </c>
      <c r="F46" s="33" t="n">
        <v>0</v>
      </c>
      <c r="G46" s="35" t="n">
        <v>0</v>
      </c>
      <c r="H46" s="34" t="n">
        <f aca="false">+IF(E46=0,0,E46*0.03)</f>
        <v>0</v>
      </c>
    </row>
    <row r="47" customFormat="false" ht="15.75" hidden="false" customHeight="true" outlineLevel="0" collapsed="false">
      <c r="A47" s="30" t="n">
        <v>45292</v>
      </c>
      <c r="B47" s="31" t="s">
        <v>11</v>
      </c>
      <c r="C47" s="32"/>
      <c r="D47" s="32"/>
      <c r="E47" s="19" t="n">
        <f aca="false">+IF(C47="EQUIPO",F47,0)</f>
        <v>0</v>
      </c>
      <c r="F47" s="33" t="n">
        <v>0</v>
      </c>
      <c r="G47" s="35" t="n">
        <v>0</v>
      </c>
      <c r="H47" s="34" t="n">
        <f aca="false">+IF(E47=0,0,E47*0.03)</f>
        <v>0</v>
      </c>
    </row>
    <row r="48" customFormat="false" ht="15.75" hidden="false" customHeight="true" outlineLevel="0" collapsed="false">
      <c r="A48" s="30" t="n">
        <v>45292</v>
      </c>
      <c r="B48" s="31" t="s">
        <v>11</v>
      </c>
      <c r="C48" s="32"/>
      <c r="D48" s="32"/>
      <c r="E48" s="19" t="n">
        <f aca="false">+IF(C48="EQUIPO",F48,0)</f>
        <v>0</v>
      </c>
      <c r="F48" s="33" t="n">
        <v>0</v>
      </c>
      <c r="G48" s="35" t="n">
        <v>0</v>
      </c>
      <c r="H48" s="34" t="n">
        <f aca="false">+IF(E48=0,0,E48*0.03)</f>
        <v>0</v>
      </c>
    </row>
    <row r="49" customFormat="false" ht="15.75" hidden="false" customHeight="true" outlineLevel="0" collapsed="false">
      <c r="A49" s="30" t="n">
        <v>45292</v>
      </c>
      <c r="B49" s="31" t="s">
        <v>11</v>
      </c>
      <c r="C49" s="32"/>
      <c r="D49" s="32"/>
      <c r="E49" s="19" t="n">
        <f aca="false">+IF(C49="EQUIPO",F49,0)</f>
        <v>0</v>
      </c>
      <c r="F49" s="33" t="n">
        <v>0</v>
      </c>
      <c r="G49" s="35" t="n">
        <v>0</v>
      </c>
      <c r="H49" s="34" t="n">
        <f aca="false">+IF(E49=0,0,E49*0.03)</f>
        <v>0</v>
      </c>
    </row>
    <row r="50" customFormat="false" ht="15.75" hidden="false" customHeight="true" outlineLevel="0" collapsed="false">
      <c r="A50" s="30" t="n">
        <v>45292</v>
      </c>
      <c r="B50" s="31" t="s">
        <v>11</v>
      </c>
      <c r="C50" s="32"/>
      <c r="D50" s="32"/>
      <c r="E50" s="19" t="n">
        <f aca="false">+IF(C50="EQUIPO",F50,0)</f>
        <v>0</v>
      </c>
      <c r="F50" s="33" t="n">
        <v>0</v>
      </c>
      <c r="G50" s="35" t="n">
        <v>0</v>
      </c>
      <c r="H50" s="34" t="n">
        <f aca="false">+IF(E50=0,0,E50*0.03)</f>
        <v>0</v>
      </c>
    </row>
    <row r="51" customFormat="false" ht="15.75" hidden="false" customHeight="true" outlineLevel="0" collapsed="false">
      <c r="A51" s="30" t="n">
        <v>45292</v>
      </c>
      <c r="B51" s="31" t="s">
        <v>11</v>
      </c>
      <c r="C51" s="32"/>
      <c r="D51" s="32"/>
      <c r="E51" s="19" t="n">
        <f aca="false">+IF(C51="EQUIPO",F51,0)</f>
        <v>0</v>
      </c>
      <c r="F51" s="33" t="n">
        <v>0</v>
      </c>
      <c r="G51" s="35" t="n">
        <v>0</v>
      </c>
      <c r="H51" s="34" t="n">
        <f aca="false">+IF(E51=0,0,E51*0.03)</f>
        <v>0</v>
      </c>
    </row>
    <row r="52" customFormat="false" ht="15.75" hidden="false" customHeight="true" outlineLevel="0" collapsed="false">
      <c r="A52" s="30" t="n">
        <v>45292</v>
      </c>
      <c r="B52" s="31" t="s">
        <v>11</v>
      </c>
      <c r="C52" s="32"/>
      <c r="D52" s="32"/>
      <c r="E52" s="19" t="n">
        <f aca="false">+IF(C52="EQUIPO",F52,0)</f>
        <v>0</v>
      </c>
      <c r="F52" s="33" t="n">
        <v>0</v>
      </c>
      <c r="G52" s="35" t="n">
        <v>0</v>
      </c>
      <c r="H52" s="34" t="n">
        <f aca="false">+IF(E52=0,0,E52*0.03)</f>
        <v>0</v>
      </c>
    </row>
    <row r="53" customFormat="false" ht="15.75" hidden="false" customHeight="true" outlineLevel="0" collapsed="false">
      <c r="A53" s="30" t="n">
        <v>45292</v>
      </c>
      <c r="B53" s="31" t="s">
        <v>11</v>
      </c>
      <c r="C53" s="32"/>
      <c r="D53" s="32"/>
      <c r="E53" s="19" t="n">
        <f aca="false">+IF(C53="EQUIPO",F53,0)</f>
        <v>0</v>
      </c>
      <c r="F53" s="33" t="n">
        <v>0</v>
      </c>
      <c r="G53" s="35" t="n">
        <v>0</v>
      </c>
      <c r="H53" s="34" t="n">
        <f aca="false">+IF(E53=0,0,E53*0.03)</f>
        <v>0</v>
      </c>
    </row>
    <row r="54" customFormat="false" ht="15.75" hidden="false" customHeight="true" outlineLevel="0" collapsed="false">
      <c r="A54" s="30" t="n">
        <v>45292</v>
      </c>
      <c r="B54" s="31" t="s">
        <v>11</v>
      </c>
      <c r="C54" s="32"/>
      <c r="D54" s="32"/>
      <c r="E54" s="19" t="n">
        <f aca="false">+IF(C54="EQUIPO",F54,0)</f>
        <v>0</v>
      </c>
      <c r="F54" s="33" t="n">
        <v>0</v>
      </c>
      <c r="G54" s="35" t="n">
        <v>0</v>
      </c>
      <c r="H54" s="34" t="n">
        <f aca="false">+IF(E54=0,0,E54*0.03)</f>
        <v>0</v>
      </c>
    </row>
    <row r="55" customFormat="false" ht="15.75" hidden="false" customHeight="true" outlineLevel="0" collapsed="false">
      <c r="A55" s="30" t="n">
        <v>45292</v>
      </c>
      <c r="B55" s="31" t="s">
        <v>11</v>
      </c>
      <c r="C55" s="32"/>
      <c r="D55" s="32"/>
      <c r="E55" s="19" t="n">
        <f aca="false">+IF(C55="EQUIPO",F55,0)</f>
        <v>0</v>
      </c>
      <c r="F55" s="33" t="n">
        <v>0</v>
      </c>
      <c r="G55" s="35" t="n">
        <v>0</v>
      </c>
      <c r="H55" s="34" t="n">
        <f aca="false">+IF(E55=0,0,E55*0.03)</f>
        <v>0</v>
      </c>
    </row>
    <row r="56" customFormat="false" ht="15.75" hidden="false" customHeight="true" outlineLevel="0" collapsed="false">
      <c r="A56" s="30" t="n">
        <v>45292</v>
      </c>
      <c r="B56" s="31" t="s">
        <v>11</v>
      </c>
      <c r="C56" s="32"/>
      <c r="D56" s="32"/>
      <c r="E56" s="19" t="n">
        <f aca="false">+IF(C56="EQUIPO",F56,0)</f>
        <v>0</v>
      </c>
      <c r="F56" s="33" t="n">
        <v>0</v>
      </c>
      <c r="G56" s="35" t="n">
        <v>0</v>
      </c>
      <c r="H56" s="34" t="n">
        <f aca="false">+IF(E56=0,0,E56*0.03)</f>
        <v>0</v>
      </c>
    </row>
    <row r="57" customFormat="false" ht="15.75" hidden="false" customHeight="true" outlineLevel="0" collapsed="false">
      <c r="A57" s="30" t="n">
        <v>45292</v>
      </c>
      <c r="B57" s="31" t="s">
        <v>11</v>
      </c>
      <c r="C57" s="32"/>
      <c r="D57" s="32"/>
      <c r="E57" s="19" t="n">
        <f aca="false">+IF(C57="EQUIPO",F57,0)</f>
        <v>0</v>
      </c>
      <c r="F57" s="33" t="n">
        <v>0</v>
      </c>
      <c r="G57" s="35" t="n">
        <v>0</v>
      </c>
      <c r="H57" s="34" t="n">
        <f aca="false">+IF(E57=0,0,E57*0.03)</f>
        <v>0</v>
      </c>
    </row>
    <row r="58" customFormat="false" ht="15.75" hidden="false" customHeight="true" outlineLevel="0" collapsed="false">
      <c r="A58" s="30" t="n">
        <v>45292</v>
      </c>
      <c r="B58" s="31" t="s">
        <v>11</v>
      </c>
      <c r="C58" s="32"/>
      <c r="D58" s="32"/>
      <c r="E58" s="19" t="n">
        <f aca="false">+IF(C58="EQUIPO",F58,0)</f>
        <v>0</v>
      </c>
      <c r="F58" s="33" t="n">
        <v>0</v>
      </c>
      <c r="G58" s="35" t="n">
        <v>0</v>
      </c>
      <c r="H58" s="34" t="n">
        <f aca="false">+IF(E58=0,0,E58*0.03)</f>
        <v>0</v>
      </c>
    </row>
    <row r="59" customFormat="false" ht="15.75" hidden="false" customHeight="true" outlineLevel="0" collapsed="false">
      <c r="A59" s="30" t="n">
        <v>45292</v>
      </c>
      <c r="B59" s="31" t="s">
        <v>11</v>
      </c>
      <c r="C59" s="32"/>
      <c r="D59" s="32"/>
      <c r="E59" s="19" t="n">
        <f aca="false">+IF(C59="EQUIPO",F59,0)</f>
        <v>0</v>
      </c>
      <c r="F59" s="33" t="n">
        <v>0</v>
      </c>
      <c r="G59" s="35" t="n">
        <v>0</v>
      </c>
      <c r="H59" s="34" t="n">
        <f aca="false">+IF(E59=0,0,E59*0.03)</f>
        <v>0</v>
      </c>
    </row>
    <row r="60" customFormat="false" ht="15.75" hidden="false" customHeight="true" outlineLevel="0" collapsed="false">
      <c r="A60" s="30" t="n">
        <v>45292</v>
      </c>
      <c r="B60" s="31" t="s">
        <v>11</v>
      </c>
      <c r="C60" s="32"/>
      <c r="D60" s="32"/>
      <c r="E60" s="19" t="n">
        <f aca="false">+IF(C60="EQUIPO",F60,0)</f>
        <v>0</v>
      </c>
      <c r="F60" s="33" t="n">
        <v>0</v>
      </c>
      <c r="G60" s="35" t="n">
        <v>0</v>
      </c>
      <c r="H60" s="34" t="n">
        <f aca="false">+IF(E60=0,0,E60*0.03)</f>
        <v>0</v>
      </c>
    </row>
    <row r="61" customFormat="false" ht="15.75" hidden="false" customHeight="true" outlineLevel="0" collapsed="false">
      <c r="A61" s="30" t="n">
        <v>45292</v>
      </c>
      <c r="B61" s="31" t="s">
        <v>11</v>
      </c>
      <c r="C61" s="32"/>
      <c r="D61" s="32"/>
      <c r="E61" s="19" t="n">
        <f aca="false">+IF(C61="EQUIPO",F61,0)</f>
        <v>0</v>
      </c>
      <c r="F61" s="33" t="n">
        <v>0</v>
      </c>
      <c r="G61" s="35" t="n">
        <v>0</v>
      </c>
      <c r="H61" s="34" t="n">
        <f aca="false">+IF(E61=0,0,E61*0.03)</f>
        <v>0</v>
      </c>
    </row>
    <row r="62" customFormat="false" ht="15.75" hidden="false" customHeight="true" outlineLevel="0" collapsed="false">
      <c r="A62" s="30" t="n">
        <v>45292</v>
      </c>
      <c r="B62" s="31" t="s">
        <v>11</v>
      </c>
      <c r="C62" s="32"/>
      <c r="D62" s="32"/>
      <c r="E62" s="19" t="n">
        <f aca="false">+IF(C62="EQUIPO",F62,0)</f>
        <v>0</v>
      </c>
      <c r="F62" s="33" t="n">
        <v>0</v>
      </c>
      <c r="G62" s="35" t="n">
        <v>0</v>
      </c>
      <c r="H62" s="34" t="n">
        <f aca="false">+IF(E62=0,0,E62*0.03)</f>
        <v>0</v>
      </c>
    </row>
    <row r="63" customFormat="false" ht="15.75" hidden="false" customHeight="true" outlineLevel="0" collapsed="false">
      <c r="A63" s="30" t="n">
        <v>45292</v>
      </c>
      <c r="B63" s="31" t="s">
        <v>11</v>
      </c>
      <c r="C63" s="32"/>
      <c r="D63" s="32"/>
      <c r="E63" s="19" t="n">
        <f aca="false">+IF(C63="EQUIPO",F63,0)</f>
        <v>0</v>
      </c>
      <c r="F63" s="33" t="n">
        <v>0</v>
      </c>
      <c r="G63" s="35" t="n">
        <v>0</v>
      </c>
      <c r="H63" s="34" t="n">
        <f aca="false">+IF(E63=0,0,E63*0.03)</f>
        <v>0</v>
      </c>
    </row>
    <row r="64" customFormat="false" ht="15.75" hidden="false" customHeight="true" outlineLevel="0" collapsed="false">
      <c r="A64" s="30" t="n">
        <v>45292</v>
      </c>
      <c r="B64" s="31" t="s">
        <v>11</v>
      </c>
      <c r="C64" s="32"/>
      <c r="D64" s="32"/>
      <c r="E64" s="19" t="n">
        <f aca="false">+IF(C64="EQUIPO",F64,0)</f>
        <v>0</v>
      </c>
      <c r="F64" s="33" t="n">
        <v>0</v>
      </c>
      <c r="G64" s="35" t="n">
        <v>0</v>
      </c>
      <c r="H64" s="34" t="n">
        <f aca="false">+IF(E64=0,0,E64*0.03)</f>
        <v>0</v>
      </c>
    </row>
    <row r="65" customFormat="false" ht="15.75" hidden="false" customHeight="true" outlineLevel="0" collapsed="false">
      <c r="A65" s="30" t="n">
        <v>45292</v>
      </c>
      <c r="B65" s="31" t="s">
        <v>11</v>
      </c>
      <c r="C65" s="32"/>
      <c r="D65" s="32"/>
      <c r="E65" s="19" t="n">
        <f aca="false">+IF(C65="EQUIPO",F65,0)</f>
        <v>0</v>
      </c>
      <c r="F65" s="33" t="n">
        <v>0</v>
      </c>
      <c r="G65" s="35" t="n">
        <v>0</v>
      </c>
      <c r="H65" s="34" t="n">
        <f aca="false">+IF(E65=0,0,E65*0.03)</f>
        <v>0</v>
      </c>
    </row>
    <row r="66" customFormat="false" ht="15.75" hidden="false" customHeight="true" outlineLevel="0" collapsed="false">
      <c r="A66" s="30" t="n">
        <v>45292</v>
      </c>
      <c r="B66" s="31" t="s">
        <v>11</v>
      </c>
      <c r="C66" s="32"/>
      <c r="D66" s="32"/>
      <c r="E66" s="19" t="n">
        <f aca="false">+IF(C66="EQUIPO",F66,0)</f>
        <v>0</v>
      </c>
      <c r="F66" s="33" t="n">
        <v>0</v>
      </c>
      <c r="G66" s="35" t="n">
        <v>0</v>
      </c>
      <c r="H66" s="34" t="n">
        <f aca="false">+IF(E66=0,0,E66*0.03)</f>
        <v>0</v>
      </c>
    </row>
    <row r="67" customFormat="false" ht="15.75" hidden="false" customHeight="true" outlineLevel="0" collapsed="false">
      <c r="A67" s="30" t="n">
        <v>45292</v>
      </c>
      <c r="B67" s="31" t="s">
        <v>11</v>
      </c>
      <c r="C67" s="32"/>
      <c r="D67" s="32"/>
      <c r="E67" s="19" t="n">
        <f aca="false">+IF(C67="EQUIPO",F67,0)</f>
        <v>0</v>
      </c>
      <c r="F67" s="33" t="n">
        <v>0</v>
      </c>
      <c r="G67" s="35" t="n">
        <v>0</v>
      </c>
      <c r="H67" s="34" t="n">
        <f aca="false">+IF(E67=0,0,E67*0.03)</f>
        <v>0</v>
      </c>
    </row>
    <row r="68" customFormat="false" ht="15.75" hidden="false" customHeight="true" outlineLevel="0" collapsed="false">
      <c r="A68" s="30" t="n">
        <v>45292</v>
      </c>
      <c r="B68" s="31" t="s">
        <v>11</v>
      </c>
      <c r="C68" s="32"/>
      <c r="D68" s="32"/>
      <c r="E68" s="19" t="n">
        <f aca="false">+IF(C68="EQUIPO",F68,0)</f>
        <v>0</v>
      </c>
      <c r="F68" s="33" t="n">
        <v>0</v>
      </c>
      <c r="G68" s="35" t="n">
        <v>0</v>
      </c>
      <c r="H68" s="34" t="n">
        <f aca="false">+IF(E68=0,0,E68*0.03)</f>
        <v>0</v>
      </c>
    </row>
    <row r="69" customFormat="false" ht="15.75" hidden="false" customHeight="true" outlineLevel="0" collapsed="false">
      <c r="A69" s="30" t="n">
        <v>45292</v>
      </c>
      <c r="B69" s="31" t="s">
        <v>11</v>
      </c>
      <c r="C69" s="32"/>
      <c r="D69" s="32"/>
      <c r="E69" s="19" t="n">
        <f aca="false">+IF(C69="EQUIPO",F69,0)</f>
        <v>0</v>
      </c>
      <c r="F69" s="33" t="n">
        <v>0</v>
      </c>
      <c r="G69" s="35" t="n">
        <v>0</v>
      </c>
      <c r="H69" s="34" t="n">
        <f aca="false">+IF(E69=0,0,E69*0.03)</f>
        <v>0</v>
      </c>
    </row>
    <row r="70" customFormat="false" ht="15.75" hidden="false" customHeight="true" outlineLevel="0" collapsed="false">
      <c r="A70" s="30" t="n">
        <v>45292</v>
      </c>
      <c r="B70" s="31" t="s">
        <v>11</v>
      </c>
      <c r="C70" s="32"/>
      <c r="D70" s="32"/>
      <c r="E70" s="19" t="n">
        <f aca="false">+IF(C70="EQUIPO",F70,0)</f>
        <v>0</v>
      </c>
      <c r="F70" s="33" t="n">
        <v>0</v>
      </c>
      <c r="G70" s="35" t="n">
        <v>0</v>
      </c>
      <c r="H70" s="34" t="n">
        <f aca="false">+IF(E70=0,0,E70*0.03)</f>
        <v>0</v>
      </c>
    </row>
    <row r="71" customFormat="false" ht="15.75" hidden="false" customHeight="true" outlineLevel="0" collapsed="false">
      <c r="A71" s="30" t="n">
        <v>45292</v>
      </c>
      <c r="B71" s="31" t="s">
        <v>11</v>
      </c>
      <c r="C71" s="32"/>
      <c r="D71" s="32"/>
      <c r="E71" s="19" t="n">
        <f aca="false">+IF(C71="EQUIPO",F71,0)</f>
        <v>0</v>
      </c>
      <c r="F71" s="33" t="n">
        <v>0</v>
      </c>
      <c r="G71" s="35" t="n">
        <v>0</v>
      </c>
      <c r="H71" s="34" t="n">
        <f aca="false">+IF(E71=0,0,E71*0.03)</f>
        <v>0</v>
      </c>
    </row>
    <row r="72" customFormat="false" ht="15.75" hidden="false" customHeight="true" outlineLevel="0" collapsed="false">
      <c r="A72" s="30" t="n">
        <v>45292</v>
      </c>
      <c r="B72" s="31" t="s">
        <v>11</v>
      </c>
      <c r="C72" s="32"/>
      <c r="D72" s="32"/>
      <c r="E72" s="19" t="n">
        <f aca="false">+IF(C72="EQUIPO",F72,0)</f>
        <v>0</v>
      </c>
      <c r="F72" s="33" t="n">
        <v>0</v>
      </c>
      <c r="G72" s="35" t="n">
        <v>0</v>
      </c>
      <c r="H72" s="34" t="n">
        <f aca="false">+IF(E72=0,0,E72*0.03)</f>
        <v>0</v>
      </c>
    </row>
    <row r="73" customFormat="false" ht="15.75" hidden="false" customHeight="true" outlineLevel="0" collapsed="false">
      <c r="A73" s="30" t="n">
        <v>45292</v>
      </c>
      <c r="B73" s="31" t="s">
        <v>11</v>
      </c>
      <c r="C73" s="32"/>
      <c r="D73" s="32"/>
      <c r="E73" s="19" t="n">
        <f aca="false">+IF(C73="EQUIPO",F73,0)</f>
        <v>0</v>
      </c>
      <c r="F73" s="33" t="n">
        <v>0</v>
      </c>
      <c r="G73" s="35" t="n">
        <v>0</v>
      </c>
      <c r="H73" s="34" t="n">
        <f aca="false">+IF(E73=0,0,E73*0.03)</f>
        <v>0</v>
      </c>
    </row>
    <row r="74" customFormat="false" ht="15.75" hidden="false" customHeight="true" outlineLevel="0" collapsed="false">
      <c r="A74" s="30" t="n">
        <v>45292</v>
      </c>
      <c r="B74" s="31" t="s">
        <v>11</v>
      </c>
      <c r="C74" s="32"/>
      <c r="D74" s="32"/>
      <c r="E74" s="19" t="n">
        <f aca="false">+IF(C74="EQUIPO",F74,0)</f>
        <v>0</v>
      </c>
      <c r="F74" s="33" t="n">
        <v>0</v>
      </c>
      <c r="G74" s="35" t="n">
        <v>0</v>
      </c>
      <c r="H74" s="34" t="n">
        <f aca="false">+IF(E74=0,0,E74*0.03)</f>
        <v>0</v>
      </c>
    </row>
    <row r="75" customFormat="false" ht="15.75" hidden="false" customHeight="true" outlineLevel="0" collapsed="false">
      <c r="A75" s="30" t="n">
        <v>45292</v>
      </c>
      <c r="B75" s="31" t="s">
        <v>11</v>
      </c>
      <c r="C75" s="32"/>
      <c r="D75" s="32"/>
      <c r="E75" s="19" t="n">
        <f aca="false">+IF(C75="EQUIPO",F75,0)</f>
        <v>0</v>
      </c>
      <c r="F75" s="33" t="n">
        <v>0</v>
      </c>
      <c r="G75" s="35" t="n">
        <v>0</v>
      </c>
      <c r="H75" s="34" t="n">
        <f aca="false">+IF(E75=0,0,E75*0.03)</f>
        <v>0</v>
      </c>
    </row>
    <row r="76" customFormat="false" ht="15.75" hidden="false" customHeight="true" outlineLevel="0" collapsed="false">
      <c r="A76" s="30" t="n">
        <v>45292</v>
      </c>
      <c r="B76" s="31" t="s">
        <v>11</v>
      </c>
      <c r="C76" s="32"/>
      <c r="D76" s="32"/>
      <c r="E76" s="19" t="n">
        <f aca="false">+IF(C76="EQUIPO",F76,0)</f>
        <v>0</v>
      </c>
      <c r="F76" s="33" t="n">
        <v>0</v>
      </c>
      <c r="G76" s="35" t="n">
        <v>0</v>
      </c>
      <c r="H76" s="34" t="n">
        <f aca="false">+IF(E76=0,0,E76*0.03)</f>
        <v>0</v>
      </c>
    </row>
    <row r="77" customFormat="false" ht="15.75" hidden="false" customHeight="true" outlineLevel="0" collapsed="false">
      <c r="A77" s="30" t="n">
        <v>45292</v>
      </c>
      <c r="B77" s="31" t="s">
        <v>11</v>
      </c>
      <c r="C77" s="32"/>
      <c r="D77" s="32"/>
      <c r="E77" s="19" t="n">
        <f aca="false">+IF(C77="EQUIPO",F77,0)</f>
        <v>0</v>
      </c>
      <c r="F77" s="33" t="n">
        <v>0</v>
      </c>
      <c r="G77" s="35" t="n">
        <v>0</v>
      </c>
      <c r="H77" s="34" t="n">
        <f aca="false">+IF(E77=0,0,E77*0.03)</f>
        <v>0</v>
      </c>
    </row>
    <row r="78" customFormat="false" ht="15.75" hidden="false" customHeight="true" outlineLevel="0" collapsed="false">
      <c r="A78" s="30" t="n">
        <v>45292</v>
      </c>
      <c r="B78" s="31" t="s">
        <v>11</v>
      </c>
      <c r="C78" s="32"/>
      <c r="D78" s="32"/>
      <c r="E78" s="19" t="n">
        <f aca="false">+IF(C78="EQUIPO",F78,0)</f>
        <v>0</v>
      </c>
      <c r="F78" s="33" t="n">
        <v>0</v>
      </c>
      <c r="G78" s="35" t="n">
        <v>0</v>
      </c>
      <c r="H78" s="34" t="n">
        <f aca="false">+IF(E78=0,0,E78*0.03)</f>
        <v>0</v>
      </c>
    </row>
    <row r="79" customFormat="false" ht="15.75" hidden="false" customHeight="true" outlineLevel="0" collapsed="false">
      <c r="A79" s="30" t="n">
        <v>45292</v>
      </c>
      <c r="B79" s="31" t="s">
        <v>11</v>
      </c>
      <c r="C79" s="32"/>
      <c r="D79" s="32"/>
      <c r="E79" s="19" t="n">
        <f aca="false">+IF(C79="EQUIPO",F79,0)</f>
        <v>0</v>
      </c>
      <c r="F79" s="33" t="n">
        <v>0</v>
      </c>
      <c r="G79" s="35" t="n">
        <v>0</v>
      </c>
      <c r="H79" s="34" t="n">
        <f aca="false">+IF(E79=0,0,E79*0.03)</f>
        <v>0</v>
      </c>
    </row>
    <row r="80" customFormat="false" ht="15.75" hidden="false" customHeight="true" outlineLevel="0" collapsed="false">
      <c r="A80" s="30" t="n">
        <v>45292</v>
      </c>
      <c r="B80" s="31" t="s">
        <v>11</v>
      </c>
      <c r="C80" s="32"/>
      <c r="D80" s="32"/>
      <c r="E80" s="19" t="n">
        <f aca="false">+IF(C80="EQUIPO",F80,0)</f>
        <v>0</v>
      </c>
      <c r="F80" s="33" t="n">
        <v>0</v>
      </c>
      <c r="G80" s="35" t="n">
        <v>0</v>
      </c>
      <c r="H80" s="34" t="n">
        <f aca="false">+IF(E80=0,0,E80*0.03)</f>
        <v>0</v>
      </c>
    </row>
    <row r="81" customFormat="false" ht="15.75" hidden="false" customHeight="true" outlineLevel="0" collapsed="false">
      <c r="A81" s="30" t="n">
        <v>45292</v>
      </c>
      <c r="B81" s="31" t="s">
        <v>11</v>
      </c>
      <c r="C81" s="32"/>
      <c r="D81" s="32"/>
      <c r="E81" s="19" t="n">
        <f aca="false">+IF(C81="EQUIPO",F81,0)</f>
        <v>0</v>
      </c>
      <c r="F81" s="33" t="n">
        <v>0</v>
      </c>
      <c r="G81" s="35" t="n">
        <v>0</v>
      </c>
      <c r="H81" s="34" t="n">
        <f aca="false">+IF(E81=0,0,E81*0.03)</f>
        <v>0</v>
      </c>
    </row>
    <row r="82" customFormat="false" ht="15.75" hidden="false" customHeight="true" outlineLevel="0" collapsed="false">
      <c r="A82" s="30" t="n">
        <v>45292</v>
      </c>
      <c r="B82" s="31" t="s">
        <v>11</v>
      </c>
      <c r="C82" s="32"/>
      <c r="D82" s="32"/>
      <c r="E82" s="19" t="n">
        <f aca="false">+IF(C82="EQUIPO",F82,0)</f>
        <v>0</v>
      </c>
      <c r="F82" s="33" t="n">
        <v>0</v>
      </c>
      <c r="G82" s="35" t="n">
        <v>0</v>
      </c>
      <c r="H82" s="34" t="n">
        <f aca="false">+IF(E82=0,0,E82*0.03)</f>
        <v>0</v>
      </c>
    </row>
    <row r="83" customFormat="false" ht="15.75" hidden="false" customHeight="true" outlineLevel="0" collapsed="false">
      <c r="A83" s="30" t="n">
        <v>45292</v>
      </c>
      <c r="B83" s="31" t="s">
        <v>11</v>
      </c>
      <c r="C83" s="32"/>
      <c r="D83" s="32"/>
      <c r="E83" s="19" t="n">
        <f aca="false">+IF(C83="EQUIPO",F83,0)</f>
        <v>0</v>
      </c>
      <c r="F83" s="33" t="n">
        <v>0</v>
      </c>
      <c r="G83" s="35" t="n">
        <v>0</v>
      </c>
      <c r="H83" s="34" t="n">
        <f aca="false">+IF(E83=0,0,E83*0.03)</f>
        <v>0</v>
      </c>
    </row>
    <row r="84" customFormat="false" ht="15.75" hidden="false" customHeight="true" outlineLevel="0" collapsed="false">
      <c r="A84" s="30" t="n">
        <v>45292</v>
      </c>
      <c r="B84" s="31" t="s">
        <v>11</v>
      </c>
      <c r="C84" s="32"/>
      <c r="D84" s="32"/>
      <c r="E84" s="19" t="n">
        <f aca="false">+IF(C84="EQUIPO",F84,0)</f>
        <v>0</v>
      </c>
      <c r="F84" s="33" t="n">
        <v>0</v>
      </c>
      <c r="G84" s="35" t="n">
        <v>0</v>
      </c>
      <c r="H84" s="34" t="n">
        <f aca="false">+IF(E84=0,0,E84*0.03)</f>
        <v>0</v>
      </c>
    </row>
    <row r="85" customFormat="false" ht="15.75" hidden="false" customHeight="true" outlineLevel="0" collapsed="false">
      <c r="A85" s="30" t="n">
        <v>45292</v>
      </c>
      <c r="B85" s="31" t="s">
        <v>11</v>
      </c>
      <c r="C85" s="32"/>
      <c r="D85" s="32"/>
      <c r="E85" s="19" t="n">
        <f aca="false">+IF(C85="EQUIPO",F85,0)</f>
        <v>0</v>
      </c>
      <c r="F85" s="33" t="n">
        <v>0</v>
      </c>
      <c r="G85" s="35" t="n">
        <v>0</v>
      </c>
      <c r="H85" s="34" t="n">
        <f aca="false">+IF(E85=0,0,E85*0.03)</f>
        <v>0</v>
      </c>
    </row>
    <row r="86" customFormat="false" ht="15.75" hidden="false" customHeight="true" outlineLevel="0" collapsed="false">
      <c r="A86" s="30" t="n">
        <v>45292</v>
      </c>
      <c r="B86" s="31" t="s">
        <v>11</v>
      </c>
      <c r="C86" s="32"/>
      <c r="D86" s="32"/>
      <c r="E86" s="19" t="n">
        <f aca="false">+IF(C86="EQUIPO",F86,0)</f>
        <v>0</v>
      </c>
      <c r="F86" s="33" t="n">
        <v>0</v>
      </c>
      <c r="G86" s="35" t="n">
        <v>0</v>
      </c>
      <c r="H86" s="34" t="n">
        <f aca="false">+IF(E86=0,0,E86*0.03)</f>
        <v>0</v>
      </c>
    </row>
    <row r="87" customFormat="false" ht="15.75" hidden="false" customHeight="true" outlineLevel="0" collapsed="false">
      <c r="A87" s="30" t="n">
        <v>45292</v>
      </c>
      <c r="B87" s="31" t="s">
        <v>11</v>
      </c>
      <c r="C87" s="32"/>
      <c r="D87" s="32"/>
      <c r="E87" s="19" t="n">
        <f aca="false">+IF(C87="EQUIPO",F87,0)</f>
        <v>0</v>
      </c>
      <c r="F87" s="33" t="n">
        <v>0</v>
      </c>
      <c r="G87" s="35" t="n">
        <v>0</v>
      </c>
      <c r="H87" s="34" t="n">
        <f aca="false">+IF(E87=0,0,E87*0.03)</f>
        <v>0</v>
      </c>
    </row>
    <row r="88" customFormat="false" ht="15.75" hidden="false" customHeight="true" outlineLevel="0" collapsed="false">
      <c r="A88" s="30" t="n">
        <v>45292</v>
      </c>
      <c r="B88" s="31" t="s">
        <v>11</v>
      </c>
      <c r="C88" s="32"/>
      <c r="D88" s="32"/>
      <c r="E88" s="19" t="n">
        <f aca="false">+IF(C88="EQUIPO",F88,0)</f>
        <v>0</v>
      </c>
      <c r="F88" s="33" t="n">
        <v>0</v>
      </c>
      <c r="G88" s="35" t="n">
        <v>0</v>
      </c>
      <c r="H88" s="34" t="n">
        <f aca="false">+IF(E88=0,0,E88*0.03)</f>
        <v>0</v>
      </c>
    </row>
    <row r="89" customFormat="false" ht="15.75" hidden="false" customHeight="true" outlineLevel="0" collapsed="false">
      <c r="A89" s="30" t="n">
        <v>45292</v>
      </c>
      <c r="B89" s="31" t="s">
        <v>11</v>
      </c>
      <c r="C89" s="32"/>
      <c r="D89" s="32"/>
      <c r="E89" s="19" t="n">
        <f aca="false">+IF(C89="EQUIPO",F89,0)</f>
        <v>0</v>
      </c>
      <c r="F89" s="33" t="n">
        <v>0</v>
      </c>
      <c r="G89" s="35" t="n">
        <v>0</v>
      </c>
      <c r="H89" s="34" t="n">
        <f aca="false">+IF(E89=0,0,E89*0.03)</f>
        <v>0</v>
      </c>
    </row>
    <row r="90" customFormat="false" ht="15.75" hidden="false" customHeight="true" outlineLevel="0" collapsed="false">
      <c r="A90" s="30" t="n">
        <v>45292</v>
      </c>
      <c r="B90" s="31" t="s">
        <v>11</v>
      </c>
      <c r="C90" s="32"/>
      <c r="D90" s="32"/>
      <c r="E90" s="19" t="n">
        <f aca="false">+IF(C90="EQUIPO",F90,0)</f>
        <v>0</v>
      </c>
      <c r="F90" s="33" t="n">
        <v>0</v>
      </c>
      <c r="G90" s="35" t="n">
        <v>0</v>
      </c>
      <c r="H90" s="34" t="n">
        <f aca="false">+IF(E90=0,0,E90*0.03)</f>
        <v>0</v>
      </c>
    </row>
    <row r="91" customFormat="false" ht="15.75" hidden="false" customHeight="true" outlineLevel="0" collapsed="false">
      <c r="A91" s="30" t="n">
        <v>45292</v>
      </c>
      <c r="B91" s="31" t="s">
        <v>11</v>
      </c>
      <c r="C91" s="32"/>
      <c r="D91" s="32"/>
      <c r="E91" s="19" t="n">
        <f aca="false">+IF(C91="EQUIPO",F91,0)</f>
        <v>0</v>
      </c>
      <c r="F91" s="33" t="n">
        <v>0</v>
      </c>
      <c r="G91" s="35" t="n">
        <v>0</v>
      </c>
      <c r="H91" s="34" t="n">
        <f aca="false">+IF(E91=0,0,E91*0.03)</f>
        <v>0</v>
      </c>
    </row>
    <row r="92" customFormat="false" ht="15.75" hidden="false" customHeight="true" outlineLevel="0" collapsed="false">
      <c r="A92" s="30" t="n">
        <v>45292</v>
      </c>
      <c r="B92" s="31" t="s">
        <v>11</v>
      </c>
      <c r="C92" s="32"/>
      <c r="D92" s="32"/>
      <c r="E92" s="19" t="n">
        <f aca="false">+IF(C92="EQUIPO",F92,0)</f>
        <v>0</v>
      </c>
      <c r="F92" s="33" t="n">
        <v>0</v>
      </c>
      <c r="G92" s="35" t="n">
        <v>0</v>
      </c>
      <c r="H92" s="34" t="n">
        <f aca="false">+IF(E92=0,0,E92*0.03)</f>
        <v>0</v>
      </c>
    </row>
    <row r="93" customFormat="false" ht="15.75" hidden="false" customHeight="true" outlineLevel="0" collapsed="false">
      <c r="A93" s="30" t="n">
        <v>45292</v>
      </c>
      <c r="B93" s="31" t="s">
        <v>11</v>
      </c>
      <c r="C93" s="32"/>
      <c r="D93" s="32"/>
      <c r="E93" s="19" t="n">
        <f aca="false">+IF(C93="EQUIPO",F93,0)</f>
        <v>0</v>
      </c>
      <c r="F93" s="33" t="n">
        <v>0</v>
      </c>
      <c r="G93" s="35" t="n">
        <v>0</v>
      </c>
      <c r="H93" s="34" t="n">
        <f aca="false">+IF(E93=0,0,E93*0.03)</f>
        <v>0</v>
      </c>
    </row>
    <row r="94" customFormat="false" ht="15.75" hidden="false" customHeight="true" outlineLevel="0" collapsed="false">
      <c r="A94" s="30" t="n">
        <v>45292</v>
      </c>
      <c r="B94" s="31" t="s">
        <v>11</v>
      </c>
      <c r="C94" s="32"/>
      <c r="D94" s="32"/>
      <c r="E94" s="19" t="n">
        <f aca="false">+IF(C94="EQUIPO",F94,0)</f>
        <v>0</v>
      </c>
      <c r="F94" s="33" t="n">
        <v>0</v>
      </c>
      <c r="G94" s="35" t="n">
        <v>0</v>
      </c>
      <c r="H94" s="34" t="n">
        <f aca="false">+IF(E94=0,0,E94*0.03)</f>
        <v>0</v>
      </c>
    </row>
    <row r="95" customFormat="false" ht="15.75" hidden="false" customHeight="true" outlineLevel="0" collapsed="false">
      <c r="A95" s="30" t="n">
        <v>45292</v>
      </c>
      <c r="B95" s="31" t="s">
        <v>11</v>
      </c>
      <c r="C95" s="32"/>
      <c r="D95" s="32"/>
      <c r="E95" s="19" t="n">
        <f aca="false">+IF(C95="EQUIPO",F95,0)</f>
        <v>0</v>
      </c>
      <c r="F95" s="33" t="n">
        <v>0</v>
      </c>
      <c r="G95" s="35" t="n">
        <v>0</v>
      </c>
      <c r="H95" s="34" t="n">
        <f aca="false">+IF(E95=0,0,E95*0.03)</f>
        <v>0</v>
      </c>
    </row>
    <row r="96" customFormat="false" ht="15.75" hidden="false" customHeight="true" outlineLevel="0" collapsed="false">
      <c r="A96" s="30" t="n">
        <v>45292</v>
      </c>
      <c r="B96" s="31" t="s">
        <v>11</v>
      </c>
      <c r="C96" s="32"/>
      <c r="D96" s="32"/>
      <c r="E96" s="19" t="n">
        <f aca="false">+IF(C96="EQUIPO",F96,0)</f>
        <v>0</v>
      </c>
      <c r="F96" s="33" t="n">
        <v>0</v>
      </c>
      <c r="G96" s="35" t="n">
        <v>0</v>
      </c>
      <c r="H96" s="34" t="n">
        <f aca="false">+IF(E96=0,0,E96*0.03)</f>
        <v>0</v>
      </c>
    </row>
    <row r="97" customFormat="false" ht="15.75" hidden="false" customHeight="true" outlineLevel="0" collapsed="false">
      <c r="A97" s="30" t="n">
        <v>45292</v>
      </c>
      <c r="B97" s="31" t="s">
        <v>11</v>
      </c>
      <c r="C97" s="32"/>
      <c r="D97" s="32"/>
      <c r="E97" s="19" t="n">
        <f aca="false">+IF(C97="EQUIPO",F97,0)</f>
        <v>0</v>
      </c>
      <c r="F97" s="33" t="n">
        <v>0</v>
      </c>
      <c r="G97" s="35" t="n">
        <v>0</v>
      </c>
      <c r="H97" s="34" t="n">
        <f aca="false">+IF(E97=0,0,E97*0.03)</f>
        <v>0</v>
      </c>
    </row>
    <row r="98" customFormat="false" ht="15.75" hidden="false" customHeight="true" outlineLevel="0" collapsed="false">
      <c r="A98" s="30" t="n">
        <v>45292</v>
      </c>
      <c r="B98" s="31" t="s">
        <v>11</v>
      </c>
      <c r="C98" s="32"/>
      <c r="D98" s="32"/>
      <c r="E98" s="19" t="n">
        <f aca="false">+IF(C98="EQUIPO",F98,0)</f>
        <v>0</v>
      </c>
      <c r="F98" s="33" t="n">
        <v>0</v>
      </c>
      <c r="G98" s="35" t="n">
        <v>0</v>
      </c>
      <c r="H98" s="34" t="n">
        <f aca="false">+IF(E98=0,0,E98*0.03)</f>
        <v>0</v>
      </c>
    </row>
    <row r="99" customFormat="false" ht="15.75" hidden="false" customHeight="true" outlineLevel="0" collapsed="false">
      <c r="A99" s="30" t="n">
        <v>45292</v>
      </c>
      <c r="B99" s="31" t="s">
        <v>11</v>
      </c>
      <c r="C99" s="32"/>
      <c r="D99" s="32"/>
      <c r="E99" s="19" t="n">
        <f aca="false">+IF(C99="EQUIPO",F99,0)</f>
        <v>0</v>
      </c>
      <c r="F99" s="33" t="n">
        <v>0</v>
      </c>
      <c r="G99" s="35" t="n">
        <v>0</v>
      </c>
      <c r="H99" s="34" t="n">
        <f aca="false">+IF(E99=0,0,E99*0.03)</f>
        <v>0</v>
      </c>
    </row>
    <row r="100" customFormat="false" ht="15.75" hidden="false" customHeight="true" outlineLevel="0" collapsed="false">
      <c r="A100" s="30" t="n">
        <v>45292</v>
      </c>
      <c r="B100" s="31" t="s">
        <v>11</v>
      </c>
      <c r="C100" s="32"/>
      <c r="D100" s="32"/>
      <c r="E100" s="19" t="n">
        <f aca="false">+IF(C100="EQUIPO",F100,0)</f>
        <v>0</v>
      </c>
      <c r="F100" s="33" t="n">
        <v>0</v>
      </c>
      <c r="G100" s="35" t="n">
        <v>0</v>
      </c>
      <c r="H100" s="34" t="n">
        <f aca="false">+IF(E100=0,0,E100*0.03)</f>
        <v>0</v>
      </c>
    </row>
    <row r="101" customFormat="false" ht="15.75" hidden="false" customHeight="true" outlineLevel="0" collapsed="false">
      <c r="A101" s="30" t="n">
        <v>45292</v>
      </c>
      <c r="B101" s="31" t="s">
        <v>11</v>
      </c>
      <c r="C101" s="32"/>
      <c r="D101" s="32"/>
      <c r="E101" s="19" t="n">
        <f aca="false">+IF(C101="EQUIPO",F101,0)</f>
        <v>0</v>
      </c>
      <c r="F101" s="33" t="n">
        <v>0</v>
      </c>
      <c r="G101" s="35" t="n">
        <v>0</v>
      </c>
      <c r="H101" s="34" t="n">
        <f aca="false">+IF(E101=0,0,E101*0.03)</f>
        <v>0</v>
      </c>
    </row>
    <row r="102" customFormat="false" ht="15.75" hidden="false" customHeight="true" outlineLevel="0" collapsed="false">
      <c r="A102" s="30" t="n">
        <v>45292</v>
      </c>
      <c r="B102" s="31" t="s">
        <v>11</v>
      </c>
      <c r="C102" s="32"/>
      <c r="D102" s="32"/>
      <c r="E102" s="19" t="n">
        <f aca="false">+IF(C102="EQUIPO",F102,0)</f>
        <v>0</v>
      </c>
      <c r="F102" s="33" t="n">
        <v>0</v>
      </c>
      <c r="G102" s="35" t="n">
        <v>0</v>
      </c>
      <c r="H102" s="34" t="n">
        <f aca="false">+IF(E102=0,0,E102*0.03)</f>
        <v>0</v>
      </c>
    </row>
    <row r="103" customFormat="false" ht="15.75" hidden="false" customHeight="true" outlineLevel="0" collapsed="false">
      <c r="A103" s="30" t="n">
        <v>45292</v>
      </c>
      <c r="B103" s="31" t="s">
        <v>11</v>
      </c>
      <c r="C103" s="32"/>
      <c r="D103" s="32"/>
      <c r="E103" s="19" t="n">
        <f aca="false">+IF(C103="EQUIPO",F103,0)</f>
        <v>0</v>
      </c>
      <c r="F103" s="33" t="n">
        <v>0</v>
      </c>
      <c r="G103" s="35" t="n">
        <v>0</v>
      </c>
      <c r="H103" s="34" t="n">
        <f aca="false">+IF(E103=0,0,E103*0.03)</f>
        <v>0</v>
      </c>
    </row>
    <row r="104" customFormat="false" ht="15.75" hidden="false" customHeight="true" outlineLevel="0" collapsed="false">
      <c r="A104" s="30" t="n">
        <v>45292</v>
      </c>
      <c r="B104" s="31" t="s">
        <v>11</v>
      </c>
      <c r="C104" s="32"/>
      <c r="D104" s="32"/>
      <c r="E104" s="19" t="n">
        <f aca="false">+IF(C104="EQUIPO",F104,0)</f>
        <v>0</v>
      </c>
      <c r="F104" s="33" t="n">
        <v>0</v>
      </c>
      <c r="G104" s="35" t="n">
        <v>0</v>
      </c>
      <c r="H104" s="34" t="n">
        <f aca="false">+IF(E104=0,0,E104*0.03)</f>
        <v>0</v>
      </c>
    </row>
    <row r="105" customFormat="false" ht="15.75" hidden="false" customHeight="true" outlineLevel="0" collapsed="false">
      <c r="A105" s="30" t="n">
        <v>45292</v>
      </c>
      <c r="B105" s="31" t="s">
        <v>11</v>
      </c>
      <c r="C105" s="32"/>
      <c r="D105" s="32"/>
      <c r="E105" s="19" t="n">
        <f aca="false">+IF(C105="EQUIPO",F105,0)</f>
        <v>0</v>
      </c>
      <c r="F105" s="33" t="n">
        <v>0</v>
      </c>
      <c r="G105" s="35" t="n">
        <v>0</v>
      </c>
      <c r="H105" s="34" t="n">
        <f aca="false">+IF(E105=0,0,E105*0.03)</f>
        <v>0</v>
      </c>
    </row>
    <row r="106" customFormat="false" ht="15.75" hidden="false" customHeight="true" outlineLevel="0" collapsed="false">
      <c r="A106" s="30" t="n">
        <v>45292</v>
      </c>
      <c r="B106" s="31" t="s">
        <v>11</v>
      </c>
      <c r="C106" s="32"/>
      <c r="D106" s="32"/>
      <c r="E106" s="19" t="n">
        <f aca="false">+IF(C106="EQUIPO",F106,0)</f>
        <v>0</v>
      </c>
      <c r="F106" s="33" t="n">
        <v>0</v>
      </c>
      <c r="G106" s="35" t="n">
        <v>0</v>
      </c>
      <c r="H106" s="34" t="n">
        <f aca="false">+IF(E106=0,0,E106*0.03)</f>
        <v>0</v>
      </c>
    </row>
    <row r="107" customFormat="false" ht="15.75" hidden="false" customHeight="true" outlineLevel="0" collapsed="false">
      <c r="A107" s="30" t="n">
        <v>45292</v>
      </c>
      <c r="B107" s="31" t="s">
        <v>11</v>
      </c>
      <c r="C107" s="32"/>
      <c r="D107" s="32"/>
      <c r="E107" s="19" t="n">
        <f aca="false">+IF(C107="EQUIPO",F107,0)</f>
        <v>0</v>
      </c>
      <c r="F107" s="33" t="n">
        <v>0</v>
      </c>
      <c r="G107" s="35" t="n">
        <v>0</v>
      </c>
      <c r="H107" s="34" t="n">
        <f aca="false">+IF(E107=0,0,E107*0.03)</f>
        <v>0</v>
      </c>
    </row>
    <row r="108" customFormat="false" ht="15.75" hidden="false" customHeight="true" outlineLevel="0" collapsed="false">
      <c r="A108" s="30" t="n">
        <v>45292</v>
      </c>
      <c r="B108" s="31" t="s">
        <v>11</v>
      </c>
      <c r="C108" s="32"/>
      <c r="D108" s="32"/>
      <c r="E108" s="19" t="n">
        <f aca="false">+IF(C108="EQUIPO",F108,0)</f>
        <v>0</v>
      </c>
      <c r="F108" s="33" t="n">
        <v>0</v>
      </c>
      <c r="G108" s="35" t="n">
        <v>0</v>
      </c>
      <c r="H108" s="34" t="n">
        <f aca="false">+IF(E108=0,0,E108*0.03)</f>
        <v>0</v>
      </c>
    </row>
    <row r="109" customFormat="false" ht="15.75" hidden="false" customHeight="true" outlineLevel="0" collapsed="false">
      <c r="A109" s="30" t="n">
        <v>45292</v>
      </c>
      <c r="B109" s="31" t="s">
        <v>11</v>
      </c>
      <c r="C109" s="32"/>
      <c r="D109" s="32"/>
      <c r="E109" s="19" t="n">
        <f aca="false">+IF(C109="EQUIPO",F109,0)</f>
        <v>0</v>
      </c>
      <c r="F109" s="33" t="n">
        <v>0</v>
      </c>
      <c r="G109" s="35" t="n">
        <v>0</v>
      </c>
      <c r="H109" s="34" t="n">
        <f aca="false">+IF(E109=0,0,E109*0.03)</f>
        <v>0</v>
      </c>
    </row>
    <row r="110" customFormat="false" ht="15.75" hidden="false" customHeight="true" outlineLevel="0" collapsed="false">
      <c r="A110" s="30" t="n">
        <v>45292</v>
      </c>
      <c r="B110" s="31" t="s">
        <v>11</v>
      </c>
      <c r="C110" s="32"/>
      <c r="D110" s="32"/>
      <c r="E110" s="19" t="n">
        <f aca="false">+IF(C110="EQUIPO",F110,0)</f>
        <v>0</v>
      </c>
      <c r="F110" s="33" t="n">
        <v>0</v>
      </c>
      <c r="G110" s="35" t="n">
        <v>0</v>
      </c>
      <c r="H110" s="34" t="n">
        <f aca="false">+IF(E110=0,0,E110*0.03)</f>
        <v>0</v>
      </c>
    </row>
    <row r="111" customFormat="false" ht="15.75" hidden="false" customHeight="true" outlineLevel="0" collapsed="false">
      <c r="A111" s="30" t="n">
        <v>45292</v>
      </c>
      <c r="B111" s="31" t="s">
        <v>11</v>
      </c>
      <c r="C111" s="32"/>
      <c r="D111" s="32"/>
      <c r="E111" s="19" t="n">
        <f aca="false">+IF(C111="EQUIPO",F111,0)</f>
        <v>0</v>
      </c>
      <c r="F111" s="33" t="n">
        <v>0</v>
      </c>
      <c r="G111" s="35" t="n">
        <v>0</v>
      </c>
      <c r="H111" s="34" t="n">
        <f aca="false">+IF(E111=0,0,E111*0.03)</f>
        <v>0</v>
      </c>
    </row>
    <row r="112" customFormat="false" ht="15.75" hidden="false" customHeight="true" outlineLevel="0" collapsed="false">
      <c r="A112" s="30" t="n">
        <v>45292</v>
      </c>
      <c r="B112" s="31" t="s">
        <v>11</v>
      </c>
      <c r="C112" s="32"/>
      <c r="D112" s="32"/>
      <c r="E112" s="19" t="n">
        <f aca="false">+IF(C112="EQUIPO",F112,0)</f>
        <v>0</v>
      </c>
      <c r="F112" s="33" t="n">
        <v>0</v>
      </c>
      <c r="G112" s="35" t="n">
        <v>0</v>
      </c>
      <c r="H112" s="34" t="n">
        <f aca="false">+IF(E112=0,0,E112*0.03)</f>
        <v>0</v>
      </c>
    </row>
    <row r="113" customFormat="false" ht="15.75" hidden="false" customHeight="true" outlineLevel="0" collapsed="false">
      <c r="A113" s="30" t="n">
        <v>45292</v>
      </c>
      <c r="B113" s="31" t="s">
        <v>11</v>
      </c>
      <c r="C113" s="32"/>
      <c r="D113" s="32"/>
      <c r="E113" s="19" t="n">
        <f aca="false">+IF(C113="EQUIPO",F113,0)</f>
        <v>0</v>
      </c>
      <c r="F113" s="33" t="n">
        <v>0</v>
      </c>
      <c r="G113" s="35" t="n">
        <v>0</v>
      </c>
      <c r="H113" s="34" t="n">
        <f aca="false">+IF(E113=0,0,E113*0.03)</f>
        <v>0</v>
      </c>
    </row>
    <row r="114" customFormat="false" ht="15.75" hidden="false" customHeight="true" outlineLevel="0" collapsed="false">
      <c r="A114" s="30" t="n">
        <v>45292</v>
      </c>
      <c r="B114" s="31" t="s">
        <v>11</v>
      </c>
      <c r="C114" s="32"/>
      <c r="D114" s="32"/>
      <c r="E114" s="19" t="n">
        <f aca="false">+IF(C114="EQUIPO",F114,0)</f>
        <v>0</v>
      </c>
      <c r="F114" s="33" t="n">
        <v>0</v>
      </c>
      <c r="G114" s="35" t="n">
        <v>0</v>
      </c>
      <c r="H114" s="34" t="n">
        <f aca="false">+IF(E114=0,0,E114*0.03)</f>
        <v>0</v>
      </c>
    </row>
    <row r="115" customFormat="false" ht="15.75" hidden="false" customHeight="true" outlineLevel="0" collapsed="false">
      <c r="A115" s="30" t="n">
        <v>45292</v>
      </c>
      <c r="B115" s="31" t="s">
        <v>11</v>
      </c>
      <c r="C115" s="32"/>
      <c r="D115" s="32"/>
      <c r="E115" s="19" t="n">
        <f aca="false">+IF(C115="EQUIPO",F115,0)</f>
        <v>0</v>
      </c>
      <c r="F115" s="33" t="n">
        <v>0</v>
      </c>
      <c r="G115" s="35" t="n">
        <v>0</v>
      </c>
      <c r="H115" s="34" t="n">
        <f aca="false">+IF(E115=0,0,E115*0.03)</f>
        <v>0</v>
      </c>
    </row>
    <row r="116" customFormat="false" ht="15.75" hidden="false" customHeight="true" outlineLevel="0" collapsed="false">
      <c r="A116" s="30" t="n">
        <v>45292</v>
      </c>
      <c r="B116" s="31" t="s">
        <v>11</v>
      </c>
      <c r="C116" s="32"/>
      <c r="D116" s="32"/>
      <c r="E116" s="19" t="n">
        <f aca="false">+IF(C116="EQUIPO",F116,0)</f>
        <v>0</v>
      </c>
      <c r="F116" s="33" t="n">
        <v>0</v>
      </c>
      <c r="G116" s="35" t="n">
        <v>0</v>
      </c>
      <c r="H116" s="34" t="n">
        <f aca="false">+IF(E116=0,0,E116*0.03)</f>
        <v>0</v>
      </c>
    </row>
    <row r="117" customFormat="false" ht="15.75" hidden="false" customHeight="true" outlineLevel="0" collapsed="false">
      <c r="A117" s="30" t="n">
        <v>45292</v>
      </c>
      <c r="B117" s="31" t="s">
        <v>11</v>
      </c>
      <c r="C117" s="32"/>
      <c r="D117" s="32"/>
      <c r="E117" s="19" t="n">
        <f aca="false">+IF(C117="EQUIPO",F117,0)</f>
        <v>0</v>
      </c>
      <c r="F117" s="33" t="n">
        <v>0</v>
      </c>
      <c r="G117" s="35" t="n">
        <v>0</v>
      </c>
      <c r="H117" s="34" t="n">
        <f aca="false">+IF(E117=0,0,E117*0.03)</f>
        <v>0</v>
      </c>
    </row>
    <row r="118" customFormat="false" ht="15.75" hidden="false" customHeight="true" outlineLevel="0" collapsed="false">
      <c r="A118" s="30" t="n">
        <v>45292</v>
      </c>
      <c r="B118" s="31" t="s">
        <v>11</v>
      </c>
      <c r="C118" s="32"/>
      <c r="D118" s="32"/>
      <c r="E118" s="19" t="n">
        <f aca="false">+IF(C118="EQUIPO",F118,0)</f>
        <v>0</v>
      </c>
      <c r="F118" s="33" t="n">
        <v>0</v>
      </c>
      <c r="G118" s="35" t="n">
        <v>0</v>
      </c>
      <c r="H118" s="34" t="n">
        <f aca="false">+IF(E118=0,0,E118*0.03)</f>
        <v>0</v>
      </c>
    </row>
    <row r="119" customFormat="false" ht="15.75" hidden="false" customHeight="true" outlineLevel="0" collapsed="false">
      <c r="A119" s="30" t="n">
        <v>45292</v>
      </c>
      <c r="B119" s="31" t="s">
        <v>11</v>
      </c>
      <c r="C119" s="32"/>
      <c r="D119" s="32"/>
      <c r="E119" s="19" t="n">
        <f aca="false">+IF(C119="EQUIPO",F119,0)</f>
        <v>0</v>
      </c>
      <c r="F119" s="33" t="n">
        <v>0</v>
      </c>
      <c r="G119" s="35" t="n">
        <v>0</v>
      </c>
      <c r="H119" s="34" t="n">
        <f aca="false">+IF(E119=0,0,E119*0.03)</f>
        <v>0</v>
      </c>
    </row>
    <row r="120" customFormat="false" ht="15.75" hidden="false" customHeight="true" outlineLevel="0" collapsed="false">
      <c r="A120" s="30" t="n">
        <v>45292</v>
      </c>
      <c r="B120" s="31" t="s">
        <v>11</v>
      </c>
      <c r="C120" s="32"/>
      <c r="D120" s="32"/>
      <c r="E120" s="19" t="n">
        <f aca="false">+IF(C120="EQUIPO",F120,0)</f>
        <v>0</v>
      </c>
      <c r="F120" s="33" t="n">
        <v>0</v>
      </c>
      <c r="G120" s="35" t="n">
        <v>0</v>
      </c>
      <c r="H120" s="34" t="n">
        <f aca="false">+IF(E120=0,0,E120*0.03)</f>
        <v>0</v>
      </c>
    </row>
    <row r="121" customFormat="false" ht="15.75" hidden="false" customHeight="true" outlineLevel="0" collapsed="false">
      <c r="A121" s="30" t="n">
        <v>45292</v>
      </c>
      <c r="B121" s="31" t="s">
        <v>11</v>
      </c>
      <c r="C121" s="32"/>
      <c r="D121" s="32"/>
      <c r="E121" s="19" t="n">
        <f aca="false">+IF(C121="EQUIPO",F121,0)</f>
        <v>0</v>
      </c>
      <c r="F121" s="33" t="n">
        <v>0</v>
      </c>
      <c r="G121" s="35" t="n">
        <v>0</v>
      </c>
      <c r="H121" s="34" t="n">
        <f aca="false">+IF(E121=0,0,E121*0.03)</f>
        <v>0</v>
      </c>
    </row>
    <row r="122" customFormat="false" ht="15.75" hidden="false" customHeight="true" outlineLevel="0" collapsed="false">
      <c r="A122" s="30" t="n">
        <v>45292</v>
      </c>
      <c r="B122" s="31" t="s">
        <v>11</v>
      </c>
      <c r="C122" s="32"/>
      <c r="D122" s="32"/>
      <c r="E122" s="19" t="n">
        <f aca="false">+IF(C122="EQUIPO",F122,0)</f>
        <v>0</v>
      </c>
      <c r="F122" s="33" t="n">
        <v>0</v>
      </c>
      <c r="G122" s="35" t="n">
        <v>0</v>
      </c>
      <c r="H122" s="34" t="n">
        <f aca="false">+IF(E122=0,0,E122*0.03)</f>
        <v>0</v>
      </c>
    </row>
    <row r="123" customFormat="false" ht="15.75" hidden="false" customHeight="true" outlineLevel="0" collapsed="false">
      <c r="A123" s="30" t="n">
        <v>45292</v>
      </c>
      <c r="B123" s="31" t="s">
        <v>11</v>
      </c>
      <c r="C123" s="32"/>
      <c r="D123" s="32"/>
      <c r="E123" s="19" t="n">
        <f aca="false">+IF(C123="EQUIPO",F123,0)</f>
        <v>0</v>
      </c>
      <c r="F123" s="33" t="n">
        <v>0</v>
      </c>
      <c r="G123" s="35" t="n">
        <v>0</v>
      </c>
      <c r="H123" s="34" t="n">
        <f aca="false">+IF(E123=0,0,E123*0.03)</f>
        <v>0</v>
      </c>
    </row>
    <row r="124" customFormat="false" ht="15.75" hidden="false" customHeight="true" outlineLevel="0" collapsed="false">
      <c r="A124" s="30" t="n">
        <v>45292</v>
      </c>
      <c r="B124" s="31" t="s">
        <v>11</v>
      </c>
      <c r="C124" s="32"/>
      <c r="D124" s="32"/>
      <c r="E124" s="19" t="n">
        <f aca="false">+IF(C124="EQUIPO",F124,0)</f>
        <v>0</v>
      </c>
      <c r="F124" s="33" t="n">
        <v>0</v>
      </c>
      <c r="G124" s="35" t="n">
        <v>0</v>
      </c>
      <c r="H124" s="34" t="n">
        <f aca="false">+IF(E124=0,0,E124*0.03)</f>
        <v>0</v>
      </c>
    </row>
    <row r="125" customFormat="false" ht="15.75" hidden="false" customHeight="true" outlineLevel="0" collapsed="false">
      <c r="A125" s="30" t="n">
        <v>45292</v>
      </c>
      <c r="B125" s="31" t="s">
        <v>11</v>
      </c>
      <c r="C125" s="32"/>
      <c r="D125" s="32"/>
      <c r="E125" s="19" t="n">
        <f aca="false">+IF(C125="EQUIPO",F125,0)</f>
        <v>0</v>
      </c>
      <c r="F125" s="33" t="n">
        <v>0</v>
      </c>
      <c r="G125" s="35" t="n">
        <v>0</v>
      </c>
      <c r="H125" s="34" t="n">
        <f aca="false">+IF(E125=0,0,E125*0.03)</f>
        <v>0</v>
      </c>
    </row>
    <row r="126" customFormat="false" ht="15.75" hidden="false" customHeight="true" outlineLevel="0" collapsed="false">
      <c r="A126" s="30" t="n">
        <v>45292</v>
      </c>
      <c r="B126" s="31" t="s">
        <v>11</v>
      </c>
      <c r="C126" s="32"/>
      <c r="D126" s="32"/>
      <c r="E126" s="19" t="n">
        <f aca="false">+IF(C126="EQUIPO",F126,0)</f>
        <v>0</v>
      </c>
      <c r="F126" s="33" t="n">
        <v>0</v>
      </c>
      <c r="G126" s="35" t="n">
        <v>0</v>
      </c>
      <c r="H126" s="34" t="n">
        <f aca="false">+IF(E126=0,0,E126*0.03)</f>
        <v>0</v>
      </c>
    </row>
    <row r="127" customFormat="false" ht="15.75" hidden="false" customHeight="true" outlineLevel="0" collapsed="false">
      <c r="A127" s="30" t="n">
        <v>45292</v>
      </c>
      <c r="B127" s="31" t="s">
        <v>11</v>
      </c>
      <c r="C127" s="32"/>
      <c r="D127" s="32"/>
      <c r="E127" s="19" t="n">
        <f aca="false">+IF(C127="EQUIPO",F127,0)</f>
        <v>0</v>
      </c>
      <c r="F127" s="33" t="n">
        <v>0</v>
      </c>
      <c r="G127" s="35" t="n">
        <v>0</v>
      </c>
      <c r="H127" s="34" t="n">
        <f aca="false">+IF(E127=0,0,E127*0.03)</f>
        <v>0</v>
      </c>
    </row>
    <row r="128" customFormat="false" ht="15.75" hidden="false" customHeight="true" outlineLevel="0" collapsed="false">
      <c r="A128" s="30" t="n">
        <v>45292</v>
      </c>
      <c r="B128" s="31" t="s">
        <v>11</v>
      </c>
      <c r="C128" s="32"/>
      <c r="D128" s="32"/>
      <c r="E128" s="19" t="n">
        <f aca="false">+IF(C128="EQUIPO",F128,0)</f>
        <v>0</v>
      </c>
      <c r="F128" s="33" t="n">
        <v>0</v>
      </c>
      <c r="G128" s="35" t="n">
        <v>0</v>
      </c>
      <c r="H128" s="34" t="n">
        <f aca="false">+IF(E128=0,0,E128*0.03)</f>
        <v>0</v>
      </c>
    </row>
    <row r="129" customFormat="false" ht="15.75" hidden="false" customHeight="true" outlineLevel="0" collapsed="false">
      <c r="A129" s="30" t="n">
        <v>45292</v>
      </c>
      <c r="B129" s="31" t="s">
        <v>11</v>
      </c>
      <c r="C129" s="32"/>
      <c r="D129" s="32"/>
      <c r="E129" s="19" t="n">
        <f aca="false">+IF(C129="EQUIPO",F129,0)</f>
        <v>0</v>
      </c>
      <c r="F129" s="33" t="n">
        <v>0</v>
      </c>
      <c r="G129" s="35" t="n">
        <v>0</v>
      </c>
      <c r="H129" s="34" t="n">
        <f aca="false">+IF(E129=0,0,E129*0.03)</f>
        <v>0</v>
      </c>
    </row>
    <row r="130" customFormat="false" ht="15.75" hidden="false" customHeight="true" outlineLevel="0" collapsed="false">
      <c r="A130" s="30" t="n">
        <v>45292</v>
      </c>
      <c r="B130" s="31" t="s">
        <v>11</v>
      </c>
      <c r="C130" s="32"/>
      <c r="D130" s="32"/>
      <c r="E130" s="19" t="n">
        <f aca="false">+IF(C130="EQUIPO",F130,0)</f>
        <v>0</v>
      </c>
      <c r="F130" s="33" t="n">
        <v>0</v>
      </c>
      <c r="G130" s="35" t="n">
        <v>0</v>
      </c>
      <c r="H130" s="34" t="n">
        <f aca="false">+IF(E130=0,0,E130*0.03)</f>
        <v>0</v>
      </c>
    </row>
    <row r="131" customFormat="false" ht="15.75" hidden="false" customHeight="true" outlineLevel="0" collapsed="false">
      <c r="A131" s="30" t="n">
        <v>45292</v>
      </c>
      <c r="B131" s="31" t="s">
        <v>11</v>
      </c>
      <c r="C131" s="32"/>
      <c r="D131" s="32"/>
      <c r="E131" s="19" t="n">
        <f aca="false">+IF(C131="EQUIPO",F131,0)</f>
        <v>0</v>
      </c>
      <c r="F131" s="33" t="n">
        <v>0</v>
      </c>
      <c r="G131" s="35" t="n">
        <v>0</v>
      </c>
      <c r="H131" s="34" t="n">
        <f aca="false">+IF(E131=0,0,E131*0.03)</f>
        <v>0</v>
      </c>
    </row>
    <row r="132" customFormat="false" ht="15.75" hidden="false" customHeight="true" outlineLevel="0" collapsed="false">
      <c r="A132" s="30" t="n">
        <v>45292</v>
      </c>
      <c r="B132" s="31" t="s">
        <v>11</v>
      </c>
      <c r="C132" s="32"/>
      <c r="D132" s="32"/>
      <c r="E132" s="19" t="n">
        <f aca="false">+IF(C132="EQUIPO",F132,0)</f>
        <v>0</v>
      </c>
      <c r="F132" s="33" t="n">
        <v>0</v>
      </c>
      <c r="G132" s="35" t="n">
        <v>0</v>
      </c>
      <c r="H132" s="34" t="n">
        <f aca="false">+IF(E132=0,0,E132*0.03)</f>
        <v>0</v>
      </c>
    </row>
    <row r="133" customFormat="false" ht="15.75" hidden="false" customHeight="true" outlineLevel="0" collapsed="false">
      <c r="A133" s="30" t="n">
        <v>45292</v>
      </c>
      <c r="B133" s="31" t="s">
        <v>11</v>
      </c>
      <c r="C133" s="32"/>
      <c r="D133" s="32"/>
      <c r="E133" s="19" t="n">
        <f aca="false">+IF(C133="EQUIPO",F133,0)</f>
        <v>0</v>
      </c>
      <c r="F133" s="33" t="n">
        <v>0</v>
      </c>
      <c r="G133" s="35" t="n">
        <v>0</v>
      </c>
      <c r="H133" s="34" t="n">
        <f aca="false">+IF(E133=0,0,E133*0.03)</f>
        <v>0</v>
      </c>
    </row>
    <row r="134" customFormat="false" ht="15.75" hidden="false" customHeight="true" outlineLevel="0" collapsed="false">
      <c r="A134" s="30" t="n">
        <v>45292</v>
      </c>
      <c r="B134" s="31" t="s">
        <v>11</v>
      </c>
      <c r="C134" s="32"/>
      <c r="D134" s="32"/>
      <c r="E134" s="19" t="n">
        <f aca="false">+IF(C134="EQUIPO",F134,0)</f>
        <v>0</v>
      </c>
      <c r="F134" s="33" t="n">
        <v>0</v>
      </c>
      <c r="G134" s="35" t="n">
        <v>0</v>
      </c>
      <c r="H134" s="34" t="n">
        <f aca="false">+IF(E134=0,0,E134*0.03)</f>
        <v>0</v>
      </c>
    </row>
    <row r="135" customFormat="false" ht="15.75" hidden="false" customHeight="true" outlineLevel="0" collapsed="false">
      <c r="A135" s="30" t="n">
        <v>45292</v>
      </c>
      <c r="B135" s="31" t="s">
        <v>11</v>
      </c>
      <c r="C135" s="32"/>
      <c r="D135" s="32"/>
      <c r="E135" s="19" t="n">
        <f aca="false">+IF(C135="EQUIPO",F135,0)</f>
        <v>0</v>
      </c>
      <c r="F135" s="33" t="n">
        <v>0</v>
      </c>
      <c r="G135" s="35" t="n">
        <v>0</v>
      </c>
      <c r="H135" s="34" t="n">
        <f aca="false">+IF(E135=0,0,E135*0.03)</f>
        <v>0</v>
      </c>
    </row>
    <row r="136" customFormat="false" ht="15.75" hidden="false" customHeight="true" outlineLevel="0" collapsed="false">
      <c r="A136" s="30" t="n">
        <v>45292</v>
      </c>
      <c r="B136" s="31" t="s">
        <v>11</v>
      </c>
      <c r="C136" s="32"/>
      <c r="D136" s="32"/>
      <c r="E136" s="19" t="n">
        <f aca="false">+IF(C136="EQUIPO",F136,0)</f>
        <v>0</v>
      </c>
      <c r="F136" s="33" t="n">
        <v>0</v>
      </c>
      <c r="G136" s="35" t="n">
        <v>0</v>
      </c>
      <c r="H136" s="34" t="n">
        <f aca="false">+IF(E136=0,0,E136*0.03)</f>
        <v>0</v>
      </c>
    </row>
    <row r="137" customFormat="false" ht="15.75" hidden="false" customHeight="true" outlineLevel="0" collapsed="false">
      <c r="A137" s="30" t="n">
        <v>45292</v>
      </c>
      <c r="B137" s="31" t="s">
        <v>11</v>
      </c>
      <c r="C137" s="32"/>
      <c r="D137" s="32"/>
      <c r="E137" s="19" t="n">
        <f aca="false">+IF(C137="EQUIPO",F137,0)</f>
        <v>0</v>
      </c>
      <c r="F137" s="33" t="n">
        <v>0</v>
      </c>
      <c r="G137" s="35" t="n">
        <v>0</v>
      </c>
      <c r="H137" s="34" t="n">
        <f aca="false">+IF(E137=0,0,E137*0.03)</f>
        <v>0</v>
      </c>
    </row>
    <row r="138" customFormat="false" ht="15.75" hidden="false" customHeight="true" outlineLevel="0" collapsed="false">
      <c r="A138" s="30" t="n">
        <v>45292</v>
      </c>
      <c r="B138" s="31" t="s">
        <v>11</v>
      </c>
      <c r="C138" s="32"/>
      <c r="D138" s="32"/>
      <c r="E138" s="19" t="n">
        <f aca="false">+IF(C138="EQUIPO",F138,0)</f>
        <v>0</v>
      </c>
      <c r="F138" s="33" t="n">
        <v>0</v>
      </c>
      <c r="G138" s="35" t="n">
        <v>0</v>
      </c>
      <c r="H138" s="34" t="n">
        <f aca="false">+IF(E138=0,0,E138*0.03)</f>
        <v>0</v>
      </c>
    </row>
    <row r="139" customFormat="false" ht="15.75" hidden="false" customHeight="true" outlineLevel="0" collapsed="false">
      <c r="A139" s="30" t="n">
        <v>45292</v>
      </c>
      <c r="B139" s="31" t="s">
        <v>11</v>
      </c>
      <c r="C139" s="32"/>
      <c r="D139" s="32"/>
      <c r="E139" s="19" t="n">
        <f aca="false">+IF(C139="EQUIPO",F139,0)</f>
        <v>0</v>
      </c>
      <c r="F139" s="33" t="n">
        <v>0</v>
      </c>
      <c r="G139" s="35" t="n">
        <v>0</v>
      </c>
      <c r="H139" s="34" t="n">
        <f aca="false">+IF(E139=0,0,E139*0.03)</f>
        <v>0</v>
      </c>
    </row>
    <row r="140" customFormat="false" ht="15.75" hidden="false" customHeight="true" outlineLevel="0" collapsed="false">
      <c r="A140" s="30" t="n">
        <v>45292</v>
      </c>
      <c r="B140" s="31" t="s">
        <v>11</v>
      </c>
      <c r="C140" s="32"/>
      <c r="D140" s="32"/>
      <c r="E140" s="19" t="n">
        <f aca="false">+IF(C140="EQUIPO",F140,0)</f>
        <v>0</v>
      </c>
      <c r="F140" s="33" t="n">
        <v>0</v>
      </c>
      <c r="G140" s="35" t="n">
        <v>0</v>
      </c>
      <c r="H140" s="34" t="n">
        <f aca="false">+IF(E140=0,0,E140*0.03)</f>
        <v>0</v>
      </c>
    </row>
    <row r="141" customFormat="false" ht="15.75" hidden="false" customHeight="true" outlineLevel="0" collapsed="false">
      <c r="A141" s="30" t="n">
        <v>45292</v>
      </c>
      <c r="B141" s="31" t="s">
        <v>11</v>
      </c>
      <c r="C141" s="32"/>
      <c r="D141" s="32"/>
      <c r="E141" s="19" t="n">
        <f aca="false">+IF(C141="EQUIPO",F141,0)</f>
        <v>0</v>
      </c>
      <c r="F141" s="33" t="n">
        <v>0</v>
      </c>
      <c r="G141" s="35" t="n">
        <v>0</v>
      </c>
      <c r="H141" s="34" t="n">
        <f aca="false">+IF(E141=0,0,E141*0.03)</f>
        <v>0</v>
      </c>
    </row>
    <row r="142" customFormat="false" ht="15.75" hidden="false" customHeight="true" outlineLevel="0" collapsed="false">
      <c r="A142" s="30" t="n">
        <v>45292</v>
      </c>
      <c r="B142" s="31" t="s">
        <v>11</v>
      </c>
      <c r="C142" s="32"/>
      <c r="D142" s="32"/>
      <c r="E142" s="19" t="n">
        <f aca="false">+IF(C142="EQUIPO",F142,0)</f>
        <v>0</v>
      </c>
      <c r="F142" s="33" t="n">
        <v>0</v>
      </c>
      <c r="G142" s="35" t="n">
        <v>0</v>
      </c>
      <c r="H142" s="34" t="n">
        <f aca="false">+IF(E142=0,0,E142*0.03)</f>
        <v>0</v>
      </c>
    </row>
    <row r="143" customFormat="false" ht="15.75" hidden="false" customHeight="true" outlineLevel="0" collapsed="false">
      <c r="A143" s="30" t="n">
        <v>45292</v>
      </c>
      <c r="B143" s="31" t="s">
        <v>11</v>
      </c>
      <c r="C143" s="32"/>
      <c r="D143" s="32"/>
      <c r="E143" s="19" t="n">
        <f aca="false">+IF(C143="EQUIPO",F143,0)</f>
        <v>0</v>
      </c>
      <c r="F143" s="33" t="n">
        <v>0</v>
      </c>
      <c r="G143" s="35" t="n">
        <v>0</v>
      </c>
      <c r="H143" s="34" t="n">
        <f aca="false">+IF(E143=0,0,E143*0.03)</f>
        <v>0</v>
      </c>
    </row>
    <row r="144" customFormat="false" ht="15.75" hidden="false" customHeight="true" outlineLevel="0" collapsed="false">
      <c r="A144" s="30" t="n">
        <v>45292</v>
      </c>
      <c r="B144" s="31" t="s">
        <v>11</v>
      </c>
      <c r="C144" s="32"/>
      <c r="D144" s="32"/>
      <c r="E144" s="19" t="n">
        <f aca="false">+IF(C144="EQUIPO",F144,0)</f>
        <v>0</v>
      </c>
      <c r="F144" s="33" t="n">
        <v>0</v>
      </c>
      <c r="G144" s="35" t="n">
        <v>0</v>
      </c>
      <c r="H144" s="34" t="n">
        <f aca="false">+IF(E144=0,0,E144*0.03)</f>
        <v>0</v>
      </c>
    </row>
    <row r="145" customFormat="false" ht="15.75" hidden="false" customHeight="true" outlineLevel="0" collapsed="false">
      <c r="A145" s="30" t="n">
        <v>45292</v>
      </c>
      <c r="B145" s="31" t="s">
        <v>11</v>
      </c>
      <c r="C145" s="32"/>
      <c r="D145" s="32"/>
      <c r="E145" s="19" t="n">
        <f aca="false">+IF(C145="EQUIPO",F145,0)</f>
        <v>0</v>
      </c>
      <c r="F145" s="33" t="n">
        <v>0</v>
      </c>
      <c r="G145" s="35" t="n">
        <v>0</v>
      </c>
      <c r="H145" s="34" t="n">
        <f aca="false">+IF(E145=0,0,E145*0.03)</f>
        <v>0</v>
      </c>
    </row>
    <row r="146" customFormat="false" ht="15.75" hidden="false" customHeight="true" outlineLevel="0" collapsed="false">
      <c r="A146" s="30" t="n">
        <v>45292</v>
      </c>
      <c r="B146" s="31" t="s">
        <v>11</v>
      </c>
      <c r="C146" s="32"/>
      <c r="D146" s="32"/>
      <c r="E146" s="19" t="n">
        <f aca="false">+IF(C146="EQUIPO",F146,0)</f>
        <v>0</v>
      </c>
      <c r="F146" s="33" t="n">
        <v>0</v>
      </c>
      <c r="G146" s="35" t="n">
        <v>0</v>
      </c>
      <c r="H146" s="34" t="n">
        <f aca="false">+IF(E146=0,0,E146*0.03)</f>
        <v>0</v>
      </c>
    </row>
    <row r="147" customFormat="false" ht="15.75" hidden="false" customHeight="true" outlineLevel="0" collapsed="false">
      <c r="A147" s="30" t="n">
        <v>45292</v>
      </c>
      <c r="B147" s="31" t="s">
        <v>11</v>
      </c>
      <c r="C147" s="32"/>
      <c r="D147" s="32"/>
      <c r="E147" s="19" t="n">
        <f aca="false">+IF(C147="EQUIPO",F147,0)</f>
        <v>0</v>
      </c>
      <c r="F147" s="33" t="n">
        <v>0</v>
      </c>
      <c r="G147" s="35" t="n">
        <v>0</v>
      </c>
      <c r="H147" s="34" t="n">
        <f aca="false">+IF(E147=0,0,E147*0.03)</f>
        <v>0</v>
      </c>
    </row>
    <row r="148" customFormat="false" ht="15.75" hidden="false" customHeight="true" outlineLevel="0" collapsed="false">
      <c r="A148" s="30" t="n">
        <v>45292</v>
      </c>
      <c r="B148" s="31" t="s">
        <v>11</v>
      </c>
      <c r="C148" s="32"/>
      <c r="D148" s="32"/>
      <c r="E148" s="19" t="n">
        <f aca="false">+IF(C148="EQUIPO",F148,0)</f>
        <v>0</v>
      </c>
      <c r="F148" s="33" t="n">
        <v>0</v>
      </c>
      <c r="G148" s="35" t="n">
        <v>0</v>
      </c>
      <c r="H148" s="34" t="n">
        <f aca="false">+IF(E148=0,0,E148*0.03)</f>
        <v>0</v>
      </c>
    </row>
    <row r="149" customFormat="false" ht="15.75" hidden="false" customHeight="true" outlineLevel="0" collapsed="false">
      <c r="A149" s="30" t="n">
        <v>45292</v>
      </c>
      <c r="B149" s="31" t="s">
        <v>11</v>
      </c>
      <c r="C149" s="32"/>
      <c r="D149" s="32"/>
      <c r="E149" s="19" t="n">
        <f aca="false">+IF(C149="EQUIPO",F149,0)</f>
        <v>0</v>
      </c>
      <c r="F149" s="33" t="n">
        <v>0</v>
      </c>
      <c r="G149" s="35" t="n">
        <v>0</v>
      </c>
      <c r="H149" s="34" t="n">
        <f aca="false">+IF(E149=0,0,E149*0.03)</f>
        <v>0</v>
      </c>
    </row>
    <row r="150" customFormat="false" ht="15.75" hidden="false" customHeight="true" outlineLevel="0" collapsed="false">
      <c r="A150" s="30" t="n">
        <v>45292</v>
      </c>
      <c r="B150" s="31" t="s">
        <v>11</v>
      </c>
      <c r="C150" s="32"/>
      <c r="D150" s="32"/>
      <c r="E150" s="19" t="n">
        <f aca="false">+IF(C150="EQUIPO",F150,0)</f>
        <v>0</v>
      </c>
      <c r="F150" s="33" t="n">
        <v>0</v>
      </c>
      <c r="G150" s="35" t="n">
        <v>0</v>
      </c>
      <c r="H150" s="34" t="n">
        <f aca="false">+IF(E150=0,0,E150*0.03)</f>
        <v>0</v>
      </c>
    </row>
    <row r="151" customFormat="false" ht="15.75" hidden="false" customHeight="true" outlineLevel="0" collapsed="false">
      <c r="A151" s="30" t="n">
        <v>45292</v>
      </c>
      <c r="B151" s="31" t="s">
        <v>11</v>
      </c>
      <c r="C151" s="32"/>
      <c r="D151" s="32"/>
      <c r="E151" s="19" t="n">
        <f aca="false">+IF(C151="EQUIPO",F151,0)</f>
        <v>0</v>
      </c>
      <c r="F151" s="33" t="n">
        <v>0</v>
      </c>
      <c r="G151" s="35" t="n">
        <v>0</v>
      </c>
      <c r="H151" s="34" t="n">
        <f aca="false">+IF(E151=0,0,E151*0.03)</f>
        <v>0</v>
      </c>
    </row>
    <row r="152" customFormat="false" ht="15.75" hidden="false" customHeight="true" outlineLevel="0" collapsed="false">
      <c r="A152" s="30" t="n">
        <v>45292</v>
      </c>
      <c r="B152" s="31" t="s">
        <v>11</v>
      </c>
      <c r="C152" s="32"/>
      <c r="D152" s="32"/>
      <c r="E152" s="19" t="n">
        <f aca="false">+IF(C152="EQUIPO",F152,0)</f>
        <v>0</v>
      </c>
      <c r="F152" s="33" t="n">
        <v>0</v>
      </c>
      <c r="G152" s="35" t="n">
        <v>0</v>
      </c>
      <c r="H152" s="34" t="n">
        <f aca="false">+IF(E152=0,0,E152*0.03)</f>
        <v>0</v>
      </c>
    </row>
    <row r="153" customFormat="false" ht="15.75" hidden="false" customHeight="true" outlineLevel="0" collapsed="false">
      <c r="A153" s="30" t="n">
        <v>45292</v>
      </c>
      <c r="B153" s="31" t="s">
        <v>11</v>
      </c>
      <c r="C153" s="32"/>
      <c r="D153" s="32"/>
      <c r="E153" s="19" t="n">
        <f aca="false">+IF(C153="EQUIPO",F153,0)</f>
        <v>0</v>
      </c>
      <c r="F153" s="33" t="n">
        <v>0</v>
      </c>
      <c r="G153" s="35" t="n">
        <v>0</v>
      </c>
      <c r="H153" s="34" t="n">
        <f aca="false">+IF(E153=0,0,E153*0.03)</f>
        <v>0</v>
      </c>
    </row>
    <row r="154" customFormat="false" ht="15.75" hidden="false" customHeight="true" outlineLevel="0" collapsed="false">
      <c r="A154" s="30" t="n">
        <v>45292</v>
      </c>
      <c r="B154" s="31" t="s">
        <v>11</v>
      </c>
      <c r="C154" s="32"/>
      <c r="D154" s="32"/>
      <c r="E154" s="19" t="n">
        <f aca="false">+IF(C154="EQUIPO",F154,0)</f>
        <v>0</v>
      </c>
      <c r="F154" s="33" t="n">
        <v>0</v>
      </c>
      <c r="G154" s="35" t="n">
        <v>0</v>
      </c>
      <c r="H154" s="34" t="n">
        <f aca="false">+IF(E154=0,0,E154*0.03)</f>
        <v>0</v>
      </c>
    </row>
    <row r="155" customFormat="false" ht="15.75" hidden="false" customHeight="true" outlineLevel="0" collapsed="false">
      <c r="A155" s="30" t="n">
        <v>45292</v>
      </c>
      <c r="B155" s="31" t="s">
        <v>11</v>
      </c>
      <c r="C155" s="32"/>
      <c r="D155" s="32"/>
      <c r="E155" s="19" t="n">
        <f aca="false">+IF(C155="EQUIPO",F155,0)</f>
        <v>0</v>
      </c>
      <c r="F155" s="33" t="n">
        <v>0</v>
      </c>
      <c r="G155" s="35" t="n">
        <v>0</v>
      </c>
      <c r="H155" s="34" t="n">
        <f aca="false">+IF(E155=0,0,E155*0.03)</f>
        <v>0</v>
      </c>
    </row>
    <row r="156" customFormat="false" ht="15.75" hidden="false" customHeight="true" outlineLevel="0" collapsed="false">
      <c r="A156" s="30" t="n">
        <v>45292</v>
      </c>
      <c r="B156" s="31" t="s">
        <v>11</v>
      </c>
      <c r="C156" s="32"/>
      <c r="D156" s="32"/>
      <c r="E156" s="19" t="n">
        <f aca="false">+IF(C156="EQUIPO",F156,0)</f>
        <v>0</v>
      </c>
      <c r="F156" s="33" t="n">
        <v>0</v>
      </c>
      <c r="G156" s="35" t="n">
        <v>0</v>
      </c>
      <c r="H156" s="34" t="n">
        <f aca="false">+IF(E156=0,0,E156*0.03)</f>
        <v>0</v>
      </c>
    </row>
    <row r="157" customFormat="false" ht="15.75" hidden="false" customHeight="true" outlineLevel="0" collapsed="false">
      <c r="A157" s="30" t="n">
        <v>45292</v>
      </c>
      <c r="B157" s="31" t="s">
        <v>11</v>
      </c>
      <c r="C157" s="32"/>
      <c r="D157" s="32"/>
      <c r="E157" s="19" t="n">
        <f aca="false">+IF(C157="EQUIPO",F157,0)</f>
        <v>0</v>
      </c>
      <c r="F157" s="33" t="n">
        <v>0</v>
      </c>
      <c r="G157" s="35" t="n">
        <v>0</v>
      </c>
      <c r="H157" s="34" t="n">
        <f aca="false">+IF(E157=0,0,E157*0.03)</f>
        <v>0</v>
      </c>
    </row>
    <row r="158" customFormat="false" ht="15.75" hidden="false" customHeight="true" outlineLevel="0" collapsed="false">
      <c r="A158" s="30" t="n">
        <v>45292</v>
      </c>
      <c r="B158" s="31" t="s">
        <v>11</v>
      </c>
      <c r="C158" s="32"/>
      <c r="D158" s="32"/>
      <c r="E158" s="19" t="n">
        <f aca="false">+IF(C158="EQUIPO",F158,0)</f>
        <v>0</v>
      </c>
      <c r="F158" s="33" t="n">
        <v>0</v>
      </c>
      <c r="G158" s="35" t="n">
        <v>0</v>
      </c>
      <c r="H158" s="34" t="n">
        <f aca="false">+IF(E158=0,0,E158*0.03)</f>
        <v>0</v>
      </c>
    </row>
    <row r="159" customFormat="false" ht="15.75" hidden="false" customHeight="true" outlineLevel="0" collapsed="false">
      <c r="A159" s="30" t="n">
        <v>45292</v>
      </c>
      <c r="B159" s="31" t="s">
        <v>11</v>
      </c>
      <c r="C159" s="32"/>
      <c r="D159" s="32"/>
      <c r="E159" s="19" t="n">
        <f aca="false">+IF(C159="EQUIPO",F159,0)</f>
        <v>0</v>
      </c>
      <c r="F159" s="33" t="n">
        <v>0</v>
      </c>
      <c r="G159" s="35" t="n">
        <v>0</v>
      </c>
      <c r="H159" s="34" t="n">
        <f aca="false">+IF(E159=0,0,E159*0.03)</f>
        <v>0</v>
      </c>
    </row>
    <row r="160" customFormat="false" ht="15.75" hidden="false" customHeight="true" outlineLevel="0" collapsed="false">
      <c r="A160" s="30" t="n">
        <v>45292</v>
      </c>
      <c r="B160" s="31" t="s">
        <v>11</v>
      </c>
      <c r="C160" s="32"/>
      <c r="D160" s="32"/>
      <c r="E160" s="19" t="n">
        <f aca="false">+IF(C160="EQUIPO",F160,0)</f>
        <v>0</v>
      </c>
      <c r="F160" s="33" t="n">
        <v>0</v>
      </c>
      <c r="G160" s="35" t="n">
        <v>0</v>
      </c>
      <c r="H160" s="34" t="n">
        <f aca="false">+IF(E160=0,0,E160*0.03)</f>
        <v>0</v>
      </c>
    </row>
    <row r="161" customFormat="false" ht="15.75" hidden="false" customHeight="true" outlineLevel="0" collapsed="false">
      <c r="A161" s="30" t="n">
        <v>45292</v>
      </c>
      <c r="B161" s="31" t="s">
        <v>11</v>
      </c>
      <c r="C161" s="32"/>
      <c r="D161" s="32"/>
      <c r="E161" s="19" t="n">
        <f aca="false">+IF(C161="EQUIPO",F161,0)</f>
        <v>0</v>
      </c>
      <c r="F161" s="33" t="n">
        <v>0</v>
      </c>
      <c r="G161" s="35" t="n">
        <v>0</v>
      </c>
      <c r="H161" s="34" t="n">
        <f aca="false">+IF(E161=0,0,E161*0.03)</f>
        <v>0</v>
      </c>
    </row>
    <row r="162" customFormat="false" ht="15.75" hidden="false" customHeight="true" outlineLevel="0" collapsed="false">
      <c r="A162" s="30" t="n">
        <v>45292</v>
      </c>
      <c r="B162" s="31" t="s">
        <v>11</v>
      </c>
      <c r="C162" s="32"/>
      <c r="D162" s="32"/>
      <c r="E162" s="19" t="n">
        <f aca="false">+IF(C162="EQUIPO",F162,0)</f>
        <v>0</v>
      </c>
      <c r="F162" s="33" t="n">
        <v>0</v>
      </c>
      <c r="G162" s="35" t="n">
        <v>0</v>
      </c>
      <c r="H162" s="34" t="n">
        <f aca="false">+IF(E162=0,0,E162*0.03)</f>
        <v>0</v>
      </c>
    </row>
    <row r="163" customFormat="false" ht="15.75" hidden="false" customHeight="true" outlineLevel="0" collapsed="false">
      <c r="A163" s="30" t="n">
        <v>45292</v>
      </c>
      <c r="B163" s="31" t="s">
        <v>11</v>
      </c>
      <c r="C163" s="32"/>
      <c r="D163" s="32"/>
      <c r="E163" s="19" t="n">
        <f aca="false">+IF(C163="EQUIPO",F163,0)</f>
        <v>0</v>
      </c>
      <c r="F163" s="33" t="n">
        <v>0</v>
      </c>
      <c r="G163" s="35" t="n">
        <v>0</v>
      </c>
      <c r="H163" s="34" t="n">
        <f aca="false">+IF(E163=0,0,E163*0.03)</f>
        <v>0</v>
      </c>
    </row>
    <row r="164" customFormat="false" ht="15.75" hidden="false" customHeight="true" outlineLevel="0" collapsed="false">
      <c r="A164" s="30" t="n">
        <v>45292</v>
      </c>
      <c r="B164" s="31" t="s">
        <v>11</v>
      </c>
      <c r="C164" s="32"/>
      <c r="D164" s="32"/>
      <c r="E164" s="19" t="n">
        <f aca="false">+IF(C164="EQUIPO",F164,0)</f>
        <v>0</v>
      </c>
      <c r="F164" s="33" t="n">
        <v>0</v>
      </c>
      <c r="G164" s="35" t="n">
        <v>0</v>
      </c>
      <c r="H164" s="34" t="n">
        <f aca="false">+IF(E164=0,0,E164*0.03)</f>
        <v>0</v>
      </c>
    </row>
    <row r="165" customFormat="false" ht="15.75" hidden="false" customHeight="true" outlineLevel="0" collapsed="false">
      <c r="A165" s="30" t="n">
        <v>45292</v>
      </c>
      <c r="B165" s="31" t="s">
        <v>11</v>
      </c>
      <c r="C165" s="32"/>
      <c r="D165" s="32"/>
      <c r="E165" s="19" t="n">
        <f aca="false">+IF(C165="EQUIPO",F165,0)</f>
        <v>0</v>
      </c>
      <c r="F165" s="33" t="n">
        <v>0</v>
      </c>
      <c r="G165" s="35" t="n">
        <v>0</v>
      </c>
      <c r="H165" s="34" t="n">
        <f aca="false">+IF(E165=0,0,E165*0.03)</f>
        <v>0</v>
      </c>
    </row>
    <row r="166" customFormat="false" ht="15.75" hidden="false" customHeight="true" outlineLevel="0" collapsed="false">
      <c r="A166" s="30" t="n">
        <v>45292</v>
      </c>
      <c r="B166" s="31" t="s">
        <v>11</v>
      </c>
      <c r="C166" s="32"/>
      <c r="D166" s="32"/>
      <c r="E166" s="19" t="n">
        <f aca="false">+IF(C166="EQUIPO",F166,0)</f>
        <v>0</v>
      </c>
      <c r="F166" s="33" t="n">
        <v>0</v>
      </c>
      <c r="G166" s="35" t="n">
        <v>0</v>
      </c>
      <c r="H166" s="34" t="n">
        <f aca="false">+IF(E166=0,0,E166*0.03)</f>
        <v>0</v>
      </c>
    </row>
    <row r="167" customFormat="false" ht="15.75" hidden="false" customHeight="true" outlineLevel="0" collapsed="false">
      <c r="A167" s="30" t="n">
        <v>45292</v>
      </c>
      <c r="B167" s="31" t="s">
        <v>11</v>
      </c>
      <c r="C167" s="32"/>
      <c r="D167" s="32"/>
      <c r="E167" s="19" t="n">
        <f aca="false">+IF(C167="EQUIPO",F167,0)</f>
        <v>0</v>
      </c>
      <c r="F167" s="33" t="n">
        <v>0</v>
      </c>
      <c r="G167" s="35" t="n">
        <v>0</v>
      </c>
      <c r="H167" s="34" t="n">
        <f aca="false">+IF(E167=0,0,E167*0.03)</f>
        <v>0</v>
      </c>
    </row>
    <row r="168" customFormat="false" ht="15.75" hidden="false" customHeight="true" outlineLevel="0" collapsed="false">
      <c r="A168" s="30" t="n">
        <v>45292</v>
      </c>
      <c r="B168" s="31" t="s">
        <v>11</v>
      </c>
      <c r="C168" s="32"/>
      <c r="D168" s="32"/>
      <c r="E168" s="19" t="n">
        <f aca="false">+IF(C168="EQUIPO",F168,0)</f>
        <v>0</v>
      </c>
      <c r="F168" s="33" t="n">
        <v>0</v>
      </c>
      <c r="G168" s="35" t="n">
        <v>0</v>
      </c>
      <c r="H168" s="34" t="n">
        <f aca="false">+IF(E168=0,0,E168*0.03)</f>
        <v>0</v>
      </c>
    </row>
    <row r="169" customFormat="false" ht="15.75" hidden="false" customHeight="true" outlineLevel="0" collapsed="false">
      <c r="A169" s="30" t="n">
        <v>45292</v>
      </c>
      <c r="B169" s="31" t="s">
        <v>11</v>
      </c>
      <c r="C169" s="32"/>
      <c r="D169" s="32"/>
      <c r="E169" s="19" t="n">
        <f aca="false">+IF(C169="EQUIPO",F169,0)</f>
        <v>0</v>
      </c>
      <c r="F169" s="33" t="n">
        <v>0</v>
      </c>
      <c r="G169" s="35" t="n">
        <v>0</v>
      </c>
      <c r="H169" s="34" t="n">
        <f aca="false">+IF(E169=0,0,E169*0.03)</f>
        <v>0</v>
      </c>
    </row>
    <row r="170" customFormat="false" ht="15.75" hidden="false" customHeight="true" outlineLevel="0" collapsed="false">
      <c r="A170" s="30" t="n">
        <v>45292</v>
      </c>
      <c r="B170" s="31" t="s">
        <v>11</v>
      </c>
      <c r="C170" s="32"/>
      <c r="D170" s="32"/>
      <c r="E170" s="19" t="n">
        <f aca="false">+IF(C170="EQUIPO",F170,0)</f>
        <v>0</v>
      </c>
      <c r="F170" s="33" t="n">
        <v>0</v>
      </c>
      <c r="G170" s="35" t="n">
        <v>0</v>
      </c>
      <c r="H170" s="34" t="n">
        <f aca="false">+IF(E170=0,0,E170*0.03)</f>
        <v>0</v>
      </c>
    </row>
    <row r="171" customFormat="false" ht="15.75" hidden="false" customHeight="true" outlineLevel="0" collapsed="false">
      <c r="A171" s="30" t="n">
        <v>45292</v>
      </c>
      <c r="B171" s="31" t="s">
        <v>11</v>
      </c>
      <c r="C171" s="32"/>
      <c r="D171" s="32"/>
      <c r="E171" s="19" t="n">
        <f aca="false">+IF(C171="EQUIPO",F171,0)</f>
        <v>0</v>
      </c>
      <c r="F171" s="33" t="n">
        <v>0</v>
      </c>
      <c r="G171" s="35" t="n">
        <v>0</v>
      </c>
      <c r="H171" s="34" t="n">
        <f aca="false">+IF(E171=0,0,E171*0.03)</f>
        <v>0</v>
      </c>
    </row>
    <row r="172" customFormat="false" ht="15.75" hidden="false" customHeight="true" outlineLevel="0" collapsed="false">
      <c r="A172" s="30" t="n">
        <v>45292</v>
      </c>
      <c r="B172" s="31" t="s">
        <v>11</v>
      </c>
      <c r="C172" s="32"/>
      <c r="D172" s="32"/>
      <c r="E172" s="19" t="n">
        <f aca="false">+IF(C172="EQUIPO",F172,0)</f>
        <v>0</v>
      </c>
      <c r="F172" s="33" t="n">
        <v>0</v>
      </c>
      <c r="G172" s="35" t="n">
        <v>0</v>
      </c>
      <c r="H172" s="34" t="n">
        <f aca="false">+IF(E172=0,0,E172*0.03)</f>
        <v>0</v>
      </c>
    </row>
    <row r="173" customFormat="false" ht="15.75" hidden="false" customHeight="true" outlineLevel="0" collapsed="false">
      <c r="A173" s="30" t="n">
        <v>45292</v>
      </c>
      <c r="B173" s="31" t="s">
        <v>11</v>
      </c>
      <c r="C173" s="32"/>
      <c r="D173" s="32"/>
      <c r="E173" s="19" t="n">
        <f aca="false">+IF(C173="EQUIPO",F173,0)</f>
        <v>0</v>
      </c>
      <c r="F173" s="33" t="n">
        <v>0</v>
      </c>
      <c r="G173" s="35" t="n">
        <v>0</v>
      </c>
      <c r="H173" s="34" t="n">
        <f aca="false">+IF(E173=0,0,E173*0.03)</f>
        <v>0</v>
      </c>
    </row>
    <row r="174" customFormat="false" ht="15.75" hidden="false" customHeight="true" outlineLevel="0" collapsed="false">
      <c r="A174" s="30" t="n">
        <v>45292</v>
      </c>
      <c r="B174" s="31" t="s">
        <v>11</v>
      </c>
      <c r="C174" s="32"/>
      <c r="D174" s="32"/>
      <c r="E174" s="19" t="n">
        <f aca="false">+IF(C174="EQUIPO",F174,0)</f>
        <v>0</v>
      </c>
      <c r="F174" s="33" t="n">
        <v>0</v>
      </c>
      <c r="G174" s="35" t="n">
        <v>0</v>
      </c>
      <c r="H174" s="34" t="n">
        <f aca="false">+IF(E174=0,0,E174*0.03)</f>
        <v>0</v>
      </c>
    </row>
    <row r="175" customFormat="false" ht="15.75" hidden="false" customHeight="true" outlineLevel="0" collapsed="false">
      <c r="A175" s="30" t="n">
        <v>45292</v>
      </c>
      <c r="B175" s="31" t="s">
        <v>11</v>
      </c>
      <c r="C175" s="32"/>
      <c r="D175" s="32"/>
      <c r="E175" s="19" t="n">
        <f aca="false">+IF(C175="EQUIPO",F175,0)</f>
        <v>0</v>
      </c>
      <c r="F175" s="33" t="n">
        <v>0</v>
      </c>
      <c r="G175" s="35" t="n">
        <v>0</v>
      </c>
      <c r="H175" s="34" t="n">
        <f aca="false">+IF(E175=0,0,E175*0.03)</f>
        <v>0</v>
      </c>
    </row>
    <row r="176" customFormat="false" ht="15.75" hidden="false" customHeight="true" outlineLevel="0" collapsed="false">
      <c r="A176" s="30" t="n">
        <v>45292</v>
      </c>
      <c r="B176" s="31" t="s">
        <v>11</v>
      </c>
      <c r="C176" s="32"/>
      <c r="D176" s="32"/>
      <c r="E176" s="19" t="n">
        <f aca="false">+IF(C176="EQUIPO",F176,0)</f>
        <v>0</v>
      </c>
      <c r="F176" s="33" t="n">
        <v>0</v>
      </c>
      <c r="G176" s="35" t="n">
        <v>0</v>
      </c>
      <c r="H176" s="34" t="n">
        <f aca="false">+IF(E176=0,0,E176*0.03)</f>
        <v>0</v>
      </c>
    </row>
    <row r="177" customFormat="false" ht="15.75" hidden="false" customHeight="true" outlineLevel="0" collapsed="false">
      <c r="A177" s="30" t="n">
        <v>45292</v>
      </c>
      <c r="B177" s="31" t="s">
        <v>11</v>
      </c>
      <c r="C177" s="32"/>
      <c r="D177" s="32"/>
      <c r="E177" s="19" t="n">
        <f aca="false">+IF(C177="EQUIPO",F177,0)</f>
        <v>0</v>
      </c>
      <c r="F177" s="33" t="n">
        <v>0</v>
      </c>
      <c r="G177" s="35" t="n">
        <v>0</v>
      </c>
      <c r="H177" s="34" t="n">
        <f aca="false">+IF(E177=0,0,E177*0.03)</f>
        <v>0</v>
      </c>
    </row>
    <row r="178" customFormat="false" ht="15.75" hidden="false" customHeight="true" outlineLevel="0" collapsed="false">
      <c r="A178" s="30" t="n">
        <v>45292</v>
      </c>
      <c r="B178" s="31" t="s">
        <v>11</v>
      </c>
      <c r="C178" s="32"/>
      <c r="D178" s="32"/>
      <c r="E178" s="19" t="n">
        <f aca="false">+IF(C178="EQUIPO",F178,0)</f>
        <v>0</v>
      </c>
      <c r="F178" s="33" t="n">
        <v>0</v>
      </c>
      <c r="G178" s="35" t="n">
        <v>0</v>
      </c>
      <c r="H178" s="34" t="n">
        <f aca="false">+IF(E178=0,0,E178*0.03)</f>
        <v>0</v>
      </c>
    </row>
    <row r="179" customFormat="false" ht="15.75" hidden="false" customHeight="true" outlineLevel="0" collapsed="false">
      <c r="A179" s="30" t="n">
        <v>45292</v>
      </c>
      <c r="B179" s="31" t="s">
        <v>11</v>
      </c>
      <c r="C179" s="32"/>
      <c r="D179" s="32"/>
      <c r="E179" s="19" t="n">
        <f aca="false">+IF(C179="EQUIPO",F179,0)</f>
        <v>0</v>
      </c>
      <c r="F179" s="33" t="n">
        <v>0</v>
      </c>
      <c r="G179" s="35" t="n">
        <v>0</v>
      </c>
      <c r="H179" s="34" t="n">
        <f aca="false">+IF(E179=0,0,E179*0.03)</f>
        <v>0</v>
      </c>
    </row>
    <row r="180" customFormat="false" ht="15.75" hidden="false" customHeight="true" outlineLevel="0" collapsed="false">
      <c r="A180" s="30" t="n">
        <v>45292</v>
      </c>
      <c r="B180" s="31" t="s">
        <v>11</v>
      </c>
      <c r="C180" s="32"/>
      <c r="D180" s="32"/>
      <c r="E180" s="19" t="n">
        <f aca="false">+IF(C180="EQUIPO",F180,0)</f>
        <v>0</v>
      </c>
      <c r="F180" s="33" t="n">
        <v>0</v>
      </c>
      <c r="G180" s="35" t="n">
        <v>0</v>
      </c>
      <c r="H180" s="34" t="n">
        <f aca="false">+IF(E180=0,0,E180*0.03)</f>
        <v>0</v>
      </c>
    </row>
    <row r="181" customFormat="false" ht="15.75" hidden="false" customHeight="true" outlineLevel="0" collapsed="false">
      <c r="A181" s="30" t="n">
        <v>45292</v>
      </c>
      <c r="B181" s="31" t="s">
        <v>11</v>
      </c>
      <c r="C181" s="32"/>
      <c r="D181" s="32"/>
      <c r="E181" s="19" t="n">
        <f aca="false">+IF(C181="EQUIPO",F181,0)</f>
        <v>0</v>
      </c>
      <c r="F181" s="33" t="n">
        <v>0</v>
      </c>
      <c r="G181" s="35" t="n">
        <v>0</v>
      </c>
      <c r="H181" s="34" t="n">
        <f aca="false">+IF(E181=0,0,E181*0.03)</f>
        <v>0</v>
      </c>
    </row>
    <row r="182" customFormat="false" ht="15.75" hidden="false" customHeight="true" outlineLevel="0" collapsed="false">
      <c r="A182" s="30" t="n">
        <v>45292</v>
      </c>
      <c r="B182" s="31" t="s">
        <v>11</v>
      </c>
      <c r="C182" s="32"/>
      <c r="D182" s="32"/>
      <c r="E182" s="19" t="n">
        <f aca="false">+IF(C182="EQUIPO",F182,0)</f>
        <v>0</v>
      </c>
      <c r="F182" s="33" t="n">
        <v>0</v>
      </c>
      <c r="G182" s="35" t="n">
        <v>0</v>
      </c>
      <c r="H182" s="34" t="n">
        <f aca="false">+IF(E182=0,0,E182*0.03)</f>
        <v>0</v>
      </c>
    </row>
    <row r="183" customFormat="false" ht="15.75" hidden="false" customHeight="true" outlineLevel="0" collapsed="false">
      <c r="A183" s="30" t="n">
        <v>45292</v>
      </c>
      <c r="B183" s="31" t="s">
        <v>11</v>
      </c>
      <c r="C183" s="32"/>
      <c r="D183" s="32"/>
      <c r="E183" s="19" t="n">
        <f aca="false">+IF(C183="EQUIPO",F183,0)</f>
        <v>0</v>
      </c>
      <c r="F183" s="33" t="n">
        <v>0</v>
      </c>
      <c r="G183" s="35" t="n">
        <v>0</v>
      </c>
      <c r="H183" s="34" t="n">
        <f aca="false">+IF(E183=0,0,E183*0.03)</f>
        <v>0</v>
      </c>
    </row>
    <row r="184" customFormat="false" ht="15.75" hidden="false" customHeight="true" outlineLevel="0" collapsed="false">
      <c r="A184" s="30" t="n">
        <v>45292</v>
      </c>
      <c r="B184" s="31" t="s">
        <v>11</v>
      </c>
      <c r="C184" s="32"/>
      <c r="D184" s="32"/>
      <c r="E184" s="19" t="n">
        <f aca="false">+IF(C184="EQUIPO",F184,0)</f>
        <v>0</v>
      </c>
      <c r="F184" s="33" t="n">
        <v>0</v>
      </c>
      <c r="G184" s="35" t="n">
        <v>0</v>
      </c>
      <c r="H184" s="34" t="n">
        <f aca="false">+IF(E184=0,0,E184*0.03)</f>
        <v>0</v>
      </c>
    </row>
    <row r="185" customFormat="false" ht="15.75" hidden="false" customHeight="true" outlineLevel="0" collapsed="false">
      <c r="A185" s="30" t="n">
        <v>45292</v>
      </c>
      <c r="B185" s="31" t="s">
        <v>11</v>
      </c>
      <c r="C185" s="32"/>
      <c r="D185" s="32"/>
      <c r="E185" s="19" t="n">
        <f aca="false">+IF(C185="EQUIPO",F185,0)</f>
        <v>0</v>
      </c>
      <c r="F185" s="33" t="n">
        <v>0</v>
      </c>
      <c r="G185" s="35" t="n">
        <v>0</v>
      </c>
      <c r="H185" s="34" t="n">
        <f aca="false">+IF(E185=0,0,E185*0.03)</f>
        <v>0</v>
      </c>
    </row>
    <row r="186" customFormat="false" ht="15.75" hidden="false" customHeight="true" outlineLevel="0" collapsed="false">
      <c r="A186" s="30" t="n">
        <v>45292</v>
      </c>
      <c r="B186" s="31" t="s">
        <v>11</v>
      </c>
      <c r="C186" s="32"/>
      <c r="D186" s="32"/>
      <c r="E186" s="19" t="n">
        <f aca="false">+IF(C186="EQUIPO",F186,0)</f>
        <v>0</v>
      </c>
      <c r="F186" s="33" t="n">
        <v>0</v>
      </c>
      <c r="G186" s="35" t="n">
        <v>0</v>
      </c>
      <c r="H186" s="34" t="n">
        <f aca="false">+IF(E186=0,0,E186*0.03)</f>
        <v>0</v>
      </c>
    </row>
    <row r="187" customFormat="false" ht="15.75" hidden="false" customHeight="true" outlineLevel="0" collapsed="false">
      <c r="A187" s="30" t="n">
        <v>45292</v>
      </c>
      <c r="B187" s="31" t="s">
        <v>11</v>
      </c>
      <c r="C187" s="32"/>
      <c r="D187" s="32"/>
      <c r="E187" s="19" t="n">
        <f aca="false">+IF(C187="EQUIPO",F187,0)</f>
        <v>0</v>
      </c>
      <c r="F187" s="33" t="n">
        <v>0</v>
      </c>
      <c r="G187" s="35" t="n">
        <v>0</v>
      </c>
      <c r="H187" s="34" t="n">
        <f aca="false">+IF(E187=0,0,E187*0.03)</f>
        <v>0</v>
      </c>
    </row>
    <row r="188" customFormat="false" ht="15.75" hidden="false" customHeight="true" outlineLevel="0" collapsed="false">
      <c r="A188" s="30" t="n">
        <v>45292</v>
      </c>
      <c r="B188" s="31" t="s">
        <v>11</v>
      </c>
      <c r="C188" s="32"/>
      <c r="D188" s="32"/>
      <c r="E188" s="19" t="n">
        <f aca="false">+IF(C188="EQUIPO",F188,0)</f>
        <v>0</v>
      </c>
      <c r="F188" s="33" t="n">
        <v>0</v>
      </c>
      <c r="G188" s="35" t="n">
        <v>0</v>
      </c>
      <c r="H188" s="34" t="n">
        <f aca="false">+IF(E188=0,0,E188*0.03)</f>
        <v>0</v>
      </c>
    </row>
    <row r="189" customFormat="false" ht="15.75" hidden="false" customHeight="true" outlineLevel="0" collapsed="false">
      <c r="A189" s="30" t="n">
        <v>45292</v>
      </c>
      <c r="B189" s="31" t="s">
        <v>11</v>
      </c>
      <c r="C189" s="32"/>
      <c r="D189" s="32"/>
      <c r="E189" s="19" t="n">
        <f aca="false">+IF(C189="EQUIPO",F189,0)</f>
        <v>0</v>
      </c>
      <c r="F189" s="33" t="n">
        <v>0</v>
      </c>
      <c r="G189" s="35" t="n">
        <v>0</v>
      </c>
      <c r="H189" s="34" t="n">
        <f aca="false">+IF(E189=0,0,E189*0.03)</f>
        <v>0</v>
      </c>
    </row>
    <row r="190" customFormat="false" ht="15.75" hidden="false" customHeight="true" outlineLevel="0" collapsed="false">
      <c r="A190" s="30" t="n">
        <v>45292</v>
      </c>
      <c r="B190" s="31" t="s">
        <v>11</v>
      </c>
      <c r="C190" s="32"/>
      <c r="D190" s="32"/>
      <c r="E190" s="19" t="n">
        <f aca="false">+IF(C190="EQUIPO",F190,0)</f>
        <v>0</v>
      </c>
      <c r="F190" s="33" t="n">
        <v>0</v>
      </c>
      <c r="G190" s="35" t="n">
        <v>0</v>
      </c>
      <c r="H190" s="34" t="n">
        <f aca="false">+IF(E190=0,0,E190*0.03)</f>
        <v>0</v>
      </c>
    </row>
    <row r="191" customFormat="false" ht="15.75" hidden="false" customHeight="true" outlineLevel="0" collapsed="false">
      <c r="A191" s="30" t="n">
        <v>45292</v>
      </c>
      <c r="B191" s="31" t="s">
        <v>11</v>
      </c>
      <c r="C191" s="32"/>
      <c r="D191" s="32"/>
      <c r="E191" s="19" t="n">
        <f aca="false">+IF(C191="EQUIPO",F191,0)</f>
        <v>0</v>
      </c>
      <c r="F191" s="33" t="n">
        <v>0</v>
      </c>
      <c r="G191" s="35" t="n">
        <v>0</v>
      </c>
      <c r="H191" s="34" t="n">
        <f aca="false">+IF(E191=0,0,E191*0.03)</f>
        <v>0</v>
      </c>
    </row>
    <row r="192" customFormat="false" ht="15.75" hidden="false" customHeight="true" outlineLevel="0" collapsed="false">
      <c r="A192" s="30" t="n">
        <v>45292</v>
      </c>
      <c r="B192" s="31" t="s">
        <v>11</v>
      </c>
      <c r="C192" s="32"/>
      <c r="D192" s="32"/>
      <c r="E192" s="19" t="n">
        <f aca="false">+IF(C192="EQUIPO",F192,0)</f>
        <v>0</v>
      </c>
      <c r="F192" s="33" t="n">
        <v>0</v>
      </c>
      <c r="G192" s="35" t="n">
        <v>0</v>
      </c>
      <c r="H192" s="34" t="n">
        <f aca="false">+IF(E192=0,0,E192*0.03)</f>
        <v>0</v>
      </c>
    </row>
    <row r="193" customFormat="false" ht="15.75" hidden="false" customHeight="true" outlineLevel="0" collapsed="false">
      <c r="A193" s="30" t="n">
        <v>45292</v>
      </c>
      <c r="B193" s="31" t="s">
        <v>11</v>
      </c>
      <c r="C193" s="32"/>
      <c r="D193" s="32"/>
      <c r="E193" s="19" t="n">
        <f aca="false">+IF(C193="EQUIPO",F193,0)</f>
        <v>0</v>
      </c>
      <c r="F193" s="33" t="n">
        <v>0</v>
      </c>
      <c r="G193" s="35" t="n">
        <v>0</v>
      </c>
      <c r="H193" s="34" t="n">
        <f aca="false">+IF(E193=0,0,E193*0.03)</f>
        <v>0</v>
      </c>
    </row>
    <row r="194" customFormat="false" ht="15.75" hidden="false" customHeight="true" outlineLevel="0" collapsed="false">
      <c r="A194" s="30" t="n">
        <v>45292</v>
      </c>
      <c r="B194" s="31" t="s">
        <v>11</v>
      </c>
      <c r="C194" s="32"/>
      <c r="D194" s="32"/>
      <c r="E194" s="19" t="n">
        <f aca="false">+IF(C194="EQUIPO",F194,0)</f>
        <v>0</v>
      </c>
      <c r="F194" s="33" t="n">
        <v>0</v>
      </c>
      <c r="G194" s="35" t="n">
        <v>0</v>
      </c>
      <c r="H194" s="34" t="n">
        <f aca="false">+IF(E194=0,0,E194*0.03)</f>
        <v>0</v>
      </c>
    </row>
    <row r="195" customFormat="false" ht="15.75" hidden="false" customHeight="true" outlineLevel="0" collapsed="false">
      <c r="A195" s="30" t="n">
        <v>45292</v>
      </c>
      <c r="B195" s="31" t="s">
        <v>11</v>
      </c>
      <c r="C195" s="32"/>
      <c r="D195" s="32"/>
      <c r="E195" s="19" t="n">
        <f aca="false">+IF(C195="EQUIPO",F195,0)</f>
        <v>0</v>
      </c>
      <c r="F195" s="33" t="n">
        <v>0</v>
      </c>
      <c r="G195" s="35" t="n">
        <v>0</v>
      </c>
      <c r="H195" s="34" t="n">
        <f aca="false">+IF(E195=0,0,E195*0.03)</f>
        <v>0</v>
      </c>
    </row>
    <row r="196" customFormat="false" ht="15.75" hidden="false" customHeight="true" outlineLevel="0" collapsed="false">
      <c r="A196" s="30" t="n">
        <v>45292</v>
      </c>
      <c r="B196" s="31" t="s">
        <v>11</v>
      </c>
      <c r="C196" s="32"/>
      <c r="D196" s="32"/>
      <c r="E196" s="19" t="n">
        <f aca="false">+IF(C196="EQUIPO",F196,0)</f>
        <v>0</v>
      </c>
      <c r="F196" s="33" t="n">
        <v>0</v>
      </c>
      <c r="G196" s="35" t="n">
        <v>0</v>
      </c>
      <c r="H196" s="34" t="n">
        <f aca="false">+IF(E196=0,0,E196*0.03)</f>
        <v>0</v>
      </c>
    </row>
    <row r="197" customFormat="false" ht="15.75" hidden="false" customHeight="true" outlineLevel="0" collapsed="false">
      <c r="A197" s="30" t="n">
        <v>45292</v>
      </c>
      <c r="B197" s="31" t="s">
        <v>11</v>
      </c>
      <c r="C197" s="32"/>
      <c r="D197" s="32"/>
      <c r="E197" s="19" t="n">
        <f aca="false">+IF(C197="EQUIPO",F197,0)</f>
        <v>0</v>
      </c>
      <c r="F197" s="33" t="n">
        <v>0</v>
      </c>
      <c r="G197" s="35" t="n">
        <v>0</v>
      </c>
      <c r="H197" s="34" t="n">
        <f aca="false">+IF(E197=0,0,E197*0.03)</f>
        <v>0</v>
      </c>
    </row>
    <row r="198" customFormat="false" ht="15.75" hidden="false" customHeight="true" outlineLevel="0" collapsed="false">
      <c r="A198" s="30" t="n">
        <v>45292</v>
      </c>
      <c r="B198" s="31" t="s">
        <v>11</v>
      </c>
      <c r="C198" s="32"/>
      <c r="D198" s="32"/>
      <c r="E198" s="19" t="n">
        <f aca="false">+IF(C198="EQUIPO",F198,0)</f>
        <v>0</v>
      </c>
      <c r="F198" s="33" t="n">
        <v>0</v>
      </c>
      <c r="G198" s="35" t="n">
        <v>0</v>
      </c>
      <c r="H198" s="34" t="n">
        <f aca="false">+IF(E198=0,0,E198*0.03)</f>
        <v>0</v>
      </c>
    </row>
    <row r="199" customFormat="false" ht="15.75" hidden="false" customHeight="true" outlineLevel="0" collapsed="false">
      <c r="A199" s="30" t="n">
        <v>45292</v>
      </c>
      <c r="B199" s="31" t="s">
        <v>11</v>
      </c>
      <c r="C199" s="32"/>
      <c r="D199" s="32"/>
      <c r="E199" s="19" t="n">
        <f aca="false">+IF(C199="EQUIPO",F199,0)</f>
        <v>0</v>
      </c>
      <c r="F199" s="33" t="n">
        <v>0</v>
      </c>
      <c r="G199" s="35" t="n">
        <v>0</v>
      </c>
      <c r="H199" s="34" t="n">
        <f aca="false">+IF(E199=0,0,E199*0.03)</f>
        <v>0</v>
      </c>
    </row>
    <row r="200" customFormat="false" ht="15.75" hidden="false" customHeight="true" outlineLevel="0" collapsed="false">
      <c r="A200" s="30" t="n">
        <v>45292</v>
      </c>
      <c r="B200" s="31" t="s">
        <v>11</v>
      </c>
      <c r="C200" s="32"/>
      <c r="D200" s="32"/>
      <c r="E200" s="19" t="n">
        <f aca="false">+IF(C200="EQUIPO",F200,0)</f>
        <v>0</v>
      </c>
      <c r="F200" s="33" t="n">
        <v>0</v>
      </c>
      <c r="G200" s="35" t="n">
        <v>0</v>
      </c>
      <c r="H200" s="34" t="n">
        <f aca="false">+IF(E200=0,0,E200*0.03)</f>
        <v>0</v>
      </c>
    </row>
    <row r="201" customFormat="false" ht="15.75" hidden="false" customHeight="true" outlineLevel="0" collapsed="false">
      <c r="A201" s="30" t="n">
        <v>45292</v>
      </c>
      <c r="B201" s="31" t="s">
        <v>11</v>
      </c>
      <c r="C201" s="32"/>
      <c r="D201" s="32"/>
      <c r="E201" s="19" t="n">
        <f aca="false">+IF(C201="EQUIPO",F201,0)</f>
        <v>0</v>
      </c>
      <c r="F201" s="33" t="n">
        <v>0</v>
      </c>
      <c r="G201" s="35" t="n">
        <v>0</v>
      </c>
      <c r="H201" s="34" t="n">
        <f aca="false">+IF(E201=0,0,E201*0.03)</f>
        <v>0</v>
      </c>
    </row>
    <row r="202" customFormat="false" ht="15.75" hidden="false" customHeight="true" outlineLevel="0" collapsed="false">
      <c r="A202" s="30" t="n">
        <v>45292</v>
      </c>
      <c r="B202" s="31" t="s">
        <v>11</v>
      </c>
      <c r="C202" s="32"/>
      <c r="D202" s="32"/>
      <c r="E202" s="19" t="n">
        <f aca="false">+IF(C202="EQUIPO",F202,0)</f>
        <v>0</v>
      </c>
      <c r="F202" s="33" t="n">
        <v>0</v>
      </c>
      <c r="G202" s="35" t="n">
        <v>0</v>
      </c>
      <c r="H202" s="34" t="n">
        <f aca="false">+IF(E202=0,0,E202*0.03)</f>
        <v>0</v>
      </c>
    </row>
    <row r="203" customFormat="false" ht="15.75" hidden="false" customHeight="true" outlineLevel="0" collapsed="false">
      <c r="A203" s="30" t="n">
        <v>45292</v>
      </c>
      <c r="B203" s="31" t="s">
        <v>11</v>
      </c>
      <c r="C203" s="32"/>
      <c r="D203" s="32"/>
      <c r="E203" s="19" t="n">
        <f aca="false">+IF(C203="EQUIPO",F203,0)</f>
        <v>0</v>
      </c>
      <c r="F203" s="33" t="n">
        <v>0</v>
      </c>
      <c r="G203" s="35" t="n">
        <v>0</v>
      </c>
      <c r="H203" s="34" t="n">
        <f aca="false">+IF(E203=0,0,E203*0.03)</f>
        <v>0</v>
      </c>
    </row>
    <row r="204" customFormat="false" ht="15.75" hidden="false" customHeight="true" outlineLevel="0" collapsed="false">
      <c r="A204" s="30" t="n">
        <v>45292</v>
      </c>
      <c r="B204" s="31" t="s">
        <v>11</v>
      </c>
      <c r="C204" s="32"/>
      <c r="D204" s="32"/>
      <c r="E204" s="19" t="n">
        <f aca="false">+IF(C204="EQUIPO",F204,0)</f>
        <v>0</v>
      </c>
      <c r="F204" s="33" t="n">
        <v>0</v>
      </c>
      <c r="G204" s="35" t="n">
        <v>0</v>
      </c>
      <c r="H204" s="34" t="n">
        <f aca="false">+IF(E204=0,0,E204*0.03)</f>
        <v>0</v>
      </c>
    </row>
    <row r="205" customFormat="false" ht="15.75" hidden="false" customHeight="true" outlineLevel="0" collapsed="false">
      <c r="A205" s="30" t="n">
        <v>45292</v>
      </c>
      <c r="B205" s="31" t="s">
        <v>11</v>
      </c>
      <c r="C205" s="32"/>
      <c r="D205" s="32"/>
      <c r="E205" s="19" t="n">
        <f aca="false">+IF(C205="EQUIPO",F205,0)</f>
        <v>0</v>
      </c>
      <c r="F205" s="33" t="n">
        <v>0</v>
      </c>
      <c r="G205" s="35" t="n">
        <v>0</v>
      </c>
      <c r="H205" s="34" t="n">
        <f aca="false">+IF(E205=0,0,E205*0.03)</f>
        <v>0</v>
      </c>
    </row>
    <row r="206" customFormat="false" ht="15.75" hidden="false" customHeight="true" outlineLevel="0" collapsed="false">
      <c r="A206" s="30" t="n">
        <v>45292</v>
      </c>
      <c r="B206" s="31" t="s">
        <v>11</v>
      </c>
      <c r="C206" s="32"/>
      <c r="D206" s="32"/>
      <c r="E206" s="19" t="n">
        <f aca="false">+IF(C206="EQUIPO",F206,0)</f>
        <v>0</v>
      </c>
      <c r="F206" s="33" t="n">
        <v>0</v>
      </c>
      <c r="G206" s="35" t="n">
        <v>0</v>
      </c>
      <c r="H206" s="34" t="n">
        <f aca="false">+IF(E206=0,0,E206*0.03)</f>
        <v>0</v>
      </c>
    </row>
    <row r="207" customFormat="false" ht="15.75" hidden="false" customHeight="true" outlineLevel="0" collapsed="false">
      <c r="A207" s="30" t="n">
        <v>45292</v>
      </c>
      <c r="B207" s="31" t="s">
        <v>11</v>
      </c>
      <c r="C207" s="32"/>
      <c r="D207" s="32"/>
      <c r="E207" s="19" t="n">
        <f aca="false">+IF(C207="EQUIPO",F207,0)</f>
        <v>0</v>
      </c>
      <c r="F207" s="33" t="n">
        <v>0</v>
      </c>
      <c r="G207" s="35" t="n">
        <v>0</v>
      </c>
      <c r="H207" s="34" t="n">
        <f aca="false">+IF(E207=0,0,E207*0.03)</f>
        <v>0</v>
      </c>
    </row>
    <row r="208" customFormat="false" ht="15.75" hidden="false" customHeight="true" outlineLevel="0" collapsed="false">
      <c r="A208" s="30" t="n">
        <v>45292</v>
      </c>
      <c r="B208" s="31" t="s">
        <v>11</v>
      </c>
      <c r="C208" s="32"/>
      <c r="D208" s="32"/>
      <c r="E208" s="19" t="n">
        <f aca="false">+IF(C208="EQUIPO",F208,0)</f>
        <v>0</v>
      </c>
      <c r="F208" s="33" t="n">
        <v>0</v>
      </c>
      <c r="G208" s="35" t="n">
        <v>0</v>
      </c>
      <c r="H208" s="34" t="n">
        <f aca="false">+IF(E208=0,0,E208*0.03)</f>
        <v>0</v>
      </c>
    </row>
    <row r="209" customFormat="false" ht="15.75" hidden="false" customHeight="true" outlineLevel="0" collapsed="false">
      <c r="A209" s="30" t="n">
        <v>45292</v>
      </c>
      <c r="B209" s="31" t="s">
        <v>11</v>
      </c>
      <c r="C209" s="32"/>
      <c r="D209" s="32"/>
      <c r="E209" s="19" t="n">
        <f aca="false">+IF(C209="EQUIPO",F209,0)</f>
        <v>0</v>
      </c>
      <c r="F209" s="33" t="n">
        <v>0</v>
      </c>
      <c r="G209" s="35" t="n">
        <v>0</v>
      </c>
      <c r="H209" s="34" t="n">
        <f aca="false">+IF(E209=0,0,E209*0.03)</f>
        <v>0</v>
      </c>
    </row>
    <row r="210" customFormat="false" ht="15.75" hidden="false" customHeight="true" outlineLevel="0" collapsed="false">
      <c r="A210" s="30" t="n">
        <v>0</v>
      </c>
      <c r="B210" s="31" t="s">
        <v>11</v>
      </c>
      <c r="C210" s="32"/>
      <c r="D210" s="32"/>
      <c r="E210" s="19" t="n">
        <f aca="false">+IF(C210="EQUIPO",F210,0)</f>
        <v>0</v>
      </c>
      <c r="F210" s="33" t="n">
        <v>0</v>
      </c>
      <c r="G210" s="35" t="n">
        <v>0</v>
      </c>
      <c r="H210" s="34" t="n">
        <f aca="false">+IF(E210=0,0,E210*0.03)</f>
        <v>0</v>
      </c>
    </row>
    <row r="211" customFormat="false" ht="15.75" hidden="false" customHeight="true" outlineLevel="0" collapsed="false">
      <c r="A211" s="30" t="n">
        <v>0</v>
      </c>
      <c r="B211" s="31" t="s">
        <v>11</v>
      </c>
      <c r="C211" s="32"/>
      <c r="D211" s="32"/>
      <c r="E211" s="19" t="n">
        <f aca="false">+IF(C211="EQUIPO",F211,0)</f>
        <v>0</v>
      </c>
      <c r="F211" s="33" t="n">
        <v>0</v>
      </c>
      <c r="G211" s="35" t="n">
        <v>0</v>
      </c>
      <c r="H211" s="34" t="n">
        <f aca="false">+IF(E211=0,0,E211*0.03)</f>
        <v>0</v>
      </c>
    </row>
    <row r="212" customFormat="false" ht="15.75" hidden="false" customHeight="true" outlineLevel="0" collapsed="false">
      <c r="A212" s="30" t="n">
        <v>0</v>
      </c>
      <c r="B212" s="31" t="s">
        <v>11</v>
      </c>
      <c r="C212" s="32"/>
      <c r="D212" s="32"/>
      <c r="E212" s="19" t="n">
        <f aca="false">+IF(C212="EQUIPO",F212,0)</f>
        <v>0</v>
      </c>
      <c r="F212" s="33" t="n">
        <v>0</v>
      </c>
      <c r="G212" s="35" t="n">
        <v>0</v>
      </c>
      <c r="H212" s="34" t="n">
        <f aca="false">+IF(E212=0,0,E212*0.03)</f>
        <v>0</v>
      </c>
    </row>
    <row r="213" customFormat="false" ht="15.75" hidden="false" customHeight="true" outlineLevel="0" collapsed="false">
      <c r="A213" s="30" t="n">
        <v>0</v>
      </c>
      <c r="B213" s="31" t="s">
        <v>11</v>
      </c>
      <c r="C213" s="32"/>
      <c r="D213" s="32"/>
      <c r="E213" s="19" t="n">
        <f aca="false">+IF(C213="EQUIPO",F213,0)</f>
        <v>0</v>
      </c>
      <c r="F213" s="33" t="n">
        <v>0</v>
      </c>
      <c r="G213" s="35" t="n">
        <v>0</v>
      </c>
      <c r="H213" s="34" t="n">
        <f aca="false">+IF(E213=0,0,E213*0.03)</f>
        <v>0</v>
      </c>
    </row>
    <row r="214" customFormat="false" ht="15.75" hidden="false" customHeight="true" outlineLevel="0" collapsed="false">
      <c r="A214" s="30" t="n">
        <v>0</v>
      </c>
      <c r="B214" s="31" t="s">
        <v>11</v>
      </c>
      <c r="C214" s="32"/>
      <c r="D214" s="32"/>
      <c r="E214" s="19" t="n">
        <f aca="false">+IF(C214="EQUIPO",F214,0)</f>
        <v>0</v>
      </c>
      <c r="F214" s="33" t="n">
        <v>0</v>
      </c>
      <c r="G214" s="35" t="n">
        <v>0</v>
      </c>
      <c r="H214" s="34" t="n">
        <f aca="false">+IF(E214=0,0,E214*0.03)</f>
        <v>0</v>
      </c>
    </row>
    <row r="215" customFormat="false" ht="15.75" hidden="false" customHeight="true" outlineLevel="0" collapsed="false">
      <c r="A215" s="30" t="n">
        <v>0</v>
      </c>
      <c r="B215" s="31" t="s">
        <v>11</v>
      </c>
      <c r="C215" s="32"/>
      <c r="D215" s="32"/>
      <c r="E215" s="19" t="n">
        <f aca="false">+IF(C215="EQUIPO",F215,0)</f>
        <v>0</v>
      </c>
      <c r="F215" s="33" t="n">
        <v>0</v>
      </c>
      <c r="G215" s="35" t="n">
        <v>0</v>
      </c>
      <c r="H215" s="34" t="n">
        <f aca="false">+IF(E215=0,0,E215*0.03)</f>
        <v>0</v>
      </c>
    </row>
    <row r="216" customFormat="false" ht="15.75" hidden="false" customHeight="true" outlineLevel="0" collapsed="false">
      <c r="A216" s="30" t="n">
        <v>0</v>
      </c>
      <c r="B216" s="31" t="s">
        <v>11</v>
      </c>
      <c r="C216" s="32"/>
      <c r="D216" s="32"/>
      <c r="E216" s="19" t="n">
        <f aca="false">+IF(C216="EQUIPO",F216,0)</f>
        <v>0</v>
      </c>
      <c r="F216" s="33" t="n">
        <v>0</v>
      </c>
      <c r="G216" s="35" t="n">
        <v>0</v>
      </c>
      <c r="H216" s="34" t="n">
        <f aca="false">+IF(E216=0,0,E216*0.03)</f>
        <v>0</v>
      </c>
    </row>
    <row r="217" customFormat="false" ht="15.75" hidden="false" customHeight="true" outlineLevel="0" collapsed="false">
      <c r="A217" s="30" t="n">
        <v>0</v>
      </c>
      <c r="B217" s="31" t="s">
        <v>11</v>
      </c>
      <c r="C217" s="32"/>
      <c r="D217" s="32"/>
      <c r="E217" s="19" t="n">
        <f aca="false">+IF(C217="EQUIPO",F217,0)</f>
        <v>0</v>
      </c>
      <c r="F217" s="33" t="n">
        <v>0</v>
      </c>
      <c r="G217" s="35" t="n">
        <v>0</v>
      </c>
      <c r="H217" s="34" t="n">
        <f aca="false">+IF(E217=0,0,E217*0.03)</f>
        <v>0</v>
      </c>
    </row>
    <row r="218" customFormat="false" ht="15.75" hidden="false" customHeight="true" outlineLevel="0" collapsed="false">
      <c r="A218" s="30" t="n">
        <v>0</v>
      </c>
      <c r="B218" s="31" t="s">
        <v>11</v>
      </c>
      <c r="C218" s="32"/>
      <c r="D218" s="32"/>
      <c r="E218" s="19" t="n">
        <f aca="false">+IF(C218="EQUIPO",F218,0)</f>
        <v>0</v>
      </c>
      <c r="F218" s="33" t="n">
        <v>0</v>
      </c>
      <c r="G218" s="35" t="n">
        <v>0</v>
      </c>
      <c r="H218" s="34" t="n">
        <f aca="false">+IF(E218=0,0,E218*0.03)</f>
        <v>0</v>
      </c>
    </row>
    <row r="219" customFormat="false" ht="15.75" hidden="false" customHeight="true" outlineLevel="0" collapsed="false">
      <c r="A219" s="30" t="n">
        <v>0</v>
      </c>
      <c r="B219" s="31" t="s">
        <v>11</v>
      </c>
      <c r="C219" s="32"/>
      <c r="D219" s="32"/>
      <c r="E219" s="19" t="n">
        <f aca="false">+IF(C219="EQUIPO",F219,0)</f>
        <v>0</v>
      </c>
      <c r="F219" s="33" t="n">
        <v>0</v>
      </c>
      <c r="G219" s="35" t="n">
        <v>0</v>
      </c>
      <c r="H219" s="34" t="n">
        <f aca="false">+IF(E219=0,0,E219*0.03)</f>
        <v>0</v>
      </c>
    </row>
    <row r="220" customFormat="false" ht="15.75" hidden="false" customHeight="true" outlineLevel="0" collapsed="false">
      <c r="A220" s="30" t="n">
        <v>0</v>
      </c>
      <c r="B220" s="31" t="s">
        <v>11</v>
      </c>
      <c r="C220" s="32"/>
      <c r="D220" s="32"/>
      <c r="E220" s="19" t="n">
        <f aca="false">+IF(C220="EQUIPO",F220,0)</f>
        <v>0</v>
      </c>
      <c r="F220" s="33" t="n">
        <v>0</v>
      </c>
      <c r="G220" s="35" t="n">
        <v>0</v>
      </c>
      <c r="H220" s="34" t="n">
        <f aca="false">+IF(E220=0,0,E220*0.03)</f>
        <v>0</v>
      </c>
    </row>
    <row r="221" customFormat="false" ht="15.75" hidden="false" customHeight="true" outlineLevel="0" collapsed="false">
      <c r="A221" s="30" t="n">
        <v>0</v>
      </c>
      <c r="B221" s="31" t="s">
        <v>11</v>
      </c>
      <c r="C221" s="32"/>
      <c r="D221" s="32"/>
      <c r="E221" s="19" t="n">
        <f aca="false">+IF(C221="EQUIPO",F221,0)</f>
        <v>0</v>
      </c>
      <c r="F221" s="33" t="n">
        <v>0</v>
      </c>
      <c r="G221" s="35" t="n">
        <v>0</v>
      </c>
      <c r="H221" s="34" t="n">
        <f aca="false">+IF(E221=0,0,E221*0.03)</f>
        <v>0</v>
      </c>
    </row>
    <row r="222" customFormat="false" ht="15.75" hidden="false" customHeight="true" outlineLevel="0" collapsed="false">
      <c r="A222" s="30" t="n">
        <v>0</v>
      </c>
      <c r="B222" s="31" t="s">
        <v>11</v>
      </c>
      <c r="C222" s="32"/>
      <c r="D222" s="32"/>
      <c r="E222" s="19" t="n">
        <f aca="false">+IF(C222="EQUIPO",F222,0)</f>
        <v>0</v>
      </c>
      <c r="F222" s="33" t="n">
        <v>0</v>
      </c>
      <c r="G222" s="35" t="n">
        <v>0</v>
      </c>
      <c r="H222" s="34" t="n">
        <f aca="false">+IF(E222=0,0,E222*0.03)</f>
        <v>0</v>
      </c>
    </row>
    <row r="223" customFormat="false" ht="15.75" hidden="false" customHeight="true" outlineLevel="0" collapsed="false">
      <c r="A223" s="30" t="n">
        <v>0</v>
      </c>
      <c r="B223" s="31" t="s">
        <v>11</v>
      </c>
      <c r="C223" s="32"/>
      <c r="D223" s="32"/>
      <c r="E223" s="19" t="n">
        <f aca="false">+IF(C223="EQUIPO",F223,0)</f>
        <v>0</v>
      </c>
      <c r="F223" s="33" t="n">
        <v>0</v>
      </c>
      <c r="G223" s="35" t="n">
        <v>0</v>
      </c>
      <c r="H223" s="34" t="n">
        <f aca="false">+IF(E223=0,0,E223*0.03)</f>
        <v>0</v>
      </c>
    </row>
    <row r="224" customFormat="false" ht="15.75" hidden="false" customHeight="true" outlineLevel="0" collapsed="false">
      <c r="A224" s="30" t="n">
        <v>0</v>
      </c>
      <c r="B224" s="31" t="s">
        <v>11</v>
      </c>
      <c r="C224" s="32"/>
      <c r="D224" s="32"/>
      <c r="E224" s="19" t="n">
        <f aca="false">+IF(C224="EQUIPO",F224,0)</f>
        <v>0</v>
      </c>
      <c r="F224" s="33" t="n">
        <v>0</v>
      </c>
      <c r="G224" s="35" t="n">
        <v>0</v>
      </c>
      <c r="H224" s="34" t="n">
        <f aca="false">+IF(E224=0,0,E224*0.03)</f>
        <v>0</v>
      </c>
    </row>
    <row r="225" customFormat="false" ht="15.75" hidden="false" customHeight="true" outlineLevel="0" collapsed="false">
      <c r="A225" s="30" t="n">
        <v>0</v>
      </c>
      <c r="B225" s="31" t="s">
        <v>11</v>
      </c>
      <c r="C225" s="32"/>
      <c r="D225" s="32"/>
      <c r="E225" s="19" t="n">
        <f aca="false">+IF(C225="EQUIPO",F225,0)</f>
        <v>0</v>
      </c>
      <c r="F225" s="33" t="n">
        <v>0</v>
      </c>
      <c r="G225" s="35" t="n">
        <v>0</v>
      </c>
      <c r="H225" s="34" t="n">
        <f aca="false">+IF(E225=0,0,E225*0.03)</f>
        <v>0</v>
      </c>
    </row>
    <row r="226" customFormat="false" ht="15.75" hidden="false" customHeight="true" outlineLevel="0" collapsed="false">
      <c r="A226" s="30" t="n">
        <v>0</v>
      </c>
      <c r="B226" s="31" t="s">
        <v>11</v>
      </c>
      <c r="C226" s="32"/>
      <c r="D226" s="32"/>
      <c r="E226" s="19" t="n">
        <f aca="false">+IF(C226="EQUIPO",F226,0)</f>
        <v>0</v>
      </c>
      <c r="F226" s="33" t="n">
        <v>0</v>
      </c>
      <c r="G226" s="35" t="n">
        <v>0</v>
      </c>
      <c r="H226" s="34" t="n">
        <f aca="false">+IF(E226=0,0,E226*0.03)</f>
        <v>0</v>
      </c>
    </row>
    <row r="227" customFormat="false" ht="15.75" hidden="false" customHeight="true" outlineLevel="0" collapsed="false">
      <c r="A227" s="30" t="n">
        <v>0</v>
      </c>
      <c r="B227" s="31" t="s">
        <v>11</v>
      </c>
      <c r="C227" s="32"/>
      <c r="D227" s="32"/>
      <c r="E227" s="19" t="n">
        <f aca="false">+IF(C227="EQUIPO",F227,0)</f>
        <v>0</v>
      </c>
      <c r="F227" s="33" t="n">
        <v>0</v>
      </c>
      <c r="G227" s="35" t="n">
        <v>0</v>
      </c>
      <c r="H227" s="34" t="n">
        <f aca="false">+IF(E227=0,0,E227*0.03)</f>
        <v>0</v>
      </c>
    </row>
    <row r="228" customFormat="false" ht="15.75" hidden="false" customHeight="true" outlineLevel="0" collapsed="false">
      <c r="A228" s="30" t="n">
        <v>0</v>
      </c>
      <c r="B228" s="31" t="s">
        <v>11</v>
      </c>
      <c r="C228" s="32"/>
      <c r="D228" s="32"/>
      <c r="E228" s="19" t="n">
        <f aca="false">+IF(C228="EQUIPO",F228,0)</f>
        <v>0</v>
      </c>
      <c r="F228" s="33" t="n">
        <v>0</v>
      </c>
      <c r="G228" s="35" t="n">
        <v>0</v>
      </c>
      <c r="H228" s="34" t="n">
        <f aca="false">+IF(E228=0,0,E228*0.03)</f>
        <v>0</v>
      </c>
    </row>
    <row r="229" customFormat="false" ht="15.75" hidden="false" customHeight="true" outlineLevel="0" collapsed="false">
      <c r="A229" s="30" t="n">
        <v>0</v>
      </c>
      <c r="B229" s="31" t="s">
        <v>11</v>
      </c>
      <c r="C229" s="32"/>
      <c r="D229" s="32"/>
      <c r="E229" s="19" t="n">
        <f aca="false">+IF(C229="EQUIPO",F229,0)</f>
        <v>0</v>
      </c>
      <c r="F229" s="33" t="n">
        <v>0</v>
      </c>
      <c r="G229" s="35" t="n">
        <v>0</v>
      </c>
      <c r="H229" s="34" t="n">
        <f aca="false">+IF(E229=0,0,E229*0.03)</f>
        <v>0</v>
      </c>
    </row>
    <row r="230" customFormat="false" ht="15.75" hidden="false" customHeight="true" outlineLevel="0" collapsed="false">
      <c r="A230" s="30" t="n">
        <v>0</v>
      </c>
      <c r="B230" s="31" t="s">
        <v>11</v>
      </c>
      <c r="C230" s="32"/>
      <c r="D230" s="32"/>
      <c r="E230" s="19" t="n">
        <f aca="false">+IF(C230="EQUIPO",F230,0)</f>
        <v>0</v>
      </c>
      <c r="F230" s="33" t="n">
        <v>0</v>
      </c>
      <c r="G230" s="35" t="n">
        <v>0</v>
      </c>
      <c r="H230" s="34" t="n">
        <f aca="false">+IF(E230=0,0,E230*0.03)</f>
        <v>0</v>
      </c>
    </row>
    <row r="231" customFormat="false" ht="15.75" hidden="false" customHeight="true" outlineLevel="0" collapsed="false">
      <c r="A231" s="30" t="n">
        <v>0</v>
      </c>
      <c r="B231" s="31" t="s">
        <v>11</v>
      </c>
      <c r="C231" s="32"/>
      <c r="D231" s="32"/>
      <c r="E231" s="19" t="n">
        <f aca="false">+IF(C231="EQUIPO",F231,0)</f>
        <v>0</v>
      </c>
      <c r="F231" s="33" t="n">
        <v>0</v>
      </c>
      <c r="G231" s="35" t="n">
        <v>0</v>
      </c>
      <c r="H231" s="34" t="n">
        <f aca="false">+IF(E231=0,0,E231*0.03)</f>
        <v>0</v>
      </c>
    </row>
    <row r="232" customFormat="false" ht="15.75" hidden="false" customHeight="true" outlineLevel="0" collapsed="false">
      <c r="A232" s="30" t="n">
        <v>0</v>
      </c>
      <c r="B232" s="31" t="s">
        <v>11</v>
      </c>
      <c r="C232" s="32"/>
      <c r="D232" s="32"/>
      <c r="E232" s="19" t="n">
        <f aca="false">+IF(C232="EQUIPO",F232,0)</f>
        <v>0</v>
      </c>
      <c r="F232" s="33" t="n">
        <v>0</v>
      </c>
      <c r="G232" s="35" t="n">
        <v>0</v>
      </c>
      <c r="H232" s="34" t="n">
        <f aca="false">+IF(E232=0,0,E232*0.03)</f>
        <v>0</v>
      </c>
    </row>
    <row r="233" customFormat="false" ht="15.75" hidden="false" customHeight="true" outlineLevel="0" collapsed="false">
      <c r="A233" s="30" t="n">
        <v>0</v>
      </c>
      <c r="B233" s="31" t="s">
        <v>11</v>
      </c>
      <c r="C233" s="32"/>
      <c r="D233" s="32"/>
      <c r="E233" s="19" t="n">
        <f aca="false">+IF(C233="EQUIPO",F233,0)</f>
        <v>0</v>
      </c>
      <c r="F233" s="33" t="n">
        <v>0</v>
      </c>
      <c r="G233" s="35" t="n">
        <v>0</v>
      </c>
      <c r="H233" s="34" t="n">
        <f aca="false">+IF(E233=0,0,E233*0.03)</f>
        <v>0</v>
      </c>
    </row>
    <row r="234" customFormat="false" ht="15.75" hidden="false" customHeight="true" outlineLevel="0" collapsed="false">
      <c r="A234" s="30" t="n">
        <v>0</v>
      </c>
      <c r="B234" s="31" t="s">
        <v>11</v>
      </c>
      <c r="C234" s="32"/>
      <c r="D234" s="32"/>
      <c r="E234" s="19" t="n">
        <f aca="false">+IF(C234="EQUIPO",F234,0)</f>
        <v>0</v>
      </c>
      <c r="F234" s="33" t="n">
        <v>0</v>
      </c>
      <c r="G234" s="35" t="n">
        <v>0</v>
      </c>
      <c r="H234" s="34" t="n">
        <f aca="false">+IF(E234=0,0,E234*0.03)</f>
        <v>0</v>
      </c>
    </row>
    <row r="235" customFormat="false" ht="15.75" hidden="false" customHeight="true" outlineLevel="0" collapsed="false">
      <c r="A235" s="30" t="n">
        <v>0</v>
      </c>
      <c r="B235" s="31" t="s">
        <v>11</v>
      </c>
      <c r="C235" s="32"/>
      <c r="D235" s="32"/>
      <c r="E235" s="19" t="n">
        <f aca="false">+IF(C235="EQUIPO",F235,0)</f>
        <v>0</v>
      </c>
      <c r="F235" s="33" t="n">
        <v>0</v>
      </c>
      <c r="G235" s="35" t="n">
        <v>0</v>
      </c>
      <c r="H235" s="34" t="n">
        <f aca="false">+IF(E235=0,0,E235*0.03)</f>
        <v>0</v>
      </c>
    </row>
    <row r="236" customFormat="false" ht="15.75" hidden="false" customHeight="true" outlineLevel="0" collapsed="false">
      <c r="A236" s="30" t="n">
        <v>0</v>
      </c>
      <c r="B236" s="31" t="s">
        <v>11</v>
      </c>
      <c r="C236" s="32"/>
      <c r="D236" s="32"/>
      <c r="E236" s="19" t="n">
        <f aca="false">+IF(C236="EQUIPO",F236,0)</f>
        <v>0</v>
      </c>
      <c r="F236" s="33" t="n">
        <v>0</v>
      </c>
      <c r="G236" s="35" t="n">
        <v>0</v>
      </c>
      <c r="H236" s="34" t="n">
        <f aca="false">+IF(E236=0,0,E236*0.03)</f>
        <v>0</v>
      </c>
    </row>
    <row r="237" customFormat="false" ht="15.75" hidden="false" customHeight="true" outlineLevel="0" collapsed="false">
      <c r="A237" s="30" t="n">
        <v>0</v>
      </c>
      <c r="B237" s="31" t="s">
        <v>11</v>
      </c>
      <c r="C237" s="32"/>
      <c r="D237" s="32"/>
      <c r="E237" s="19" t="n">
        <f aca="false">+IF(C237="EQUIPO",F237,0)</f>
        <v>0</v>
      </c>
      <c r="F237" s="33" t="n">
        <v>0</v>
      </c>
      <c r="G237" s="35" t="n">
        <v>0</v>
      </c>
      <c r="H237" s="34" t="n">
        <f aca="false">+IF(E237=0,0,E237*0.03)</f>
        <v>0</v>
      </c>
    </row>
    <row r="238" customFormat="false" ht="15.75" hidden="false" customHeight="true" outlineLevel="0" collapsed="false">
      <c r="A238" s="30" t="n">
        <v>0</v>
      </c>
      <c r="B238" s="31" t="s">
        <v>11</v>
      </c>
      <c r="C238" s="32"/>
      <c r="D238" s="32"/>
      <c r="E238" s="19" t="n">
        <f aca="false">+IF(C238="EQUIPO",F238,0)</f>
        <v>0</v>
      </c>
      <c r="F238" s="33" t="n">
        <v>0</v>
      </c>
      <c r="G238" s="35" t="n">
        <v>0</v>
      </c>
      <c r="H238" s="34" t="n">
        <f aca="false">+IF(E238=0,0,E238*0.03)</f>
        <v>0</v>
      </c>
    </row>
    <row r="239" customFormat="false" ht="15.75" hidden="false" customHeight="true" outlineLevel="0" collapsed="false">
      <c r="A239" s="30" t="n">
        <v>0</v>
      </c>
      <c r="B239" s="31" t="s">
        <v>11</v>
      </c>
      <c r="C239" s="32"/>
      <c r="D239" s="32"/>
      <c r="E239" s="19" t="n">
        <f aca="false">+IF(C239="EQUIPO",F239,0)</f>
        <v>0</v>
      </c>
      <c r="F239" s="33" t="n">
        <v>0</v>
      </c>
      <c r="G239" s="35" t="n">
        <v>0</v>
      </c>
      <c r="H239" s="34" t="n">
        <f aca="false">+IF(E239=0,0,E239*0.03)</f>
        <v>0</v>
      </c>
    </row>
    <row r="240" customFormat="false" ht="15.75" hidden="false" customHeight="true" outlineLevel="0" collapsed="false">
      <c r="A240" s="30" t="n">
        <v>0</v>
      </c>
      <c r="B240" s="31" t="s">
        <v>11</v>
      </c>
      <c r="C240" s="32"/>
      <c r="D240" s="32"/>
      <c r="E240" s="19" t="n">
        <f aca="false">+IF(C240="EQUIPO",F240,0)</f>
        <v>0</v>
      </c>
      <c r="F240" s="33" t="n">
        <v>0</v>
      </c>
      <c r="G240" s="35" t="n">
        <v>0</v>
      </c>
      <c r="H240" s="34" t="n">
        <f aca="false">+IF(E240=0,0,E240*0.03)</f>
        <v>0</v>
      </c>
    </row>
    <row r="241" customFormat="false" ht="15.75" hidden="false" customHeight="true" outlineLevel="0" collapsed="false">
      <c r="A241" s="30" t="n">
        <v>0</v>
      </c>
      <c r="B241" s="31" t="s">
        <v>11</v>
      </c>
      <c r="C241" s="32"/>
      <c r="D241" s="32"/>
      <c r="E241" s="19" t="n">
        <f aca="false">+IF(C241="EQUIPO",F241,0)</f>
        <v>0</v>
      </c>
      <c r="F241" s="33" t="n">
        <v>0</v>
      </c>
      <c r="G241" s="35" t="n">
        <v>0</v>
      </c>
      <c r="H241" s="34" t="n">
        <f aca="false">+IF(E241=0,0,E241*0.03)</f>
        <v>0</v>
      </c>
    </row>
    <row r="242" customFormat="false" ht="15.75" hidden="false" customHeight="true" outlineLevel="0" collapsed="false">
      <c r="A242" s="30" t="n">
        <v>0</v>
      </c>
      <c r="B242" s="31" t="s">
        <v>11</v>
      </c>
      <c r="C242" s="32"/>
      <c r="D242" s="32"/>
      <c r="E242" s="19" t="n">
        <f aca="false">+IF(C242="EQUIPO",F242,0)</f>
        <v>0</v>
      </c>
      <c r="F242" s="33" t="n">
        <v>0</v>
      </c>
      <c r="G242" s="35" t="n">
        <v>0</v>
      </c>
      <c r="H242" s="34" t="n">
        <f aca="false">+IF(E242=0,0,E242*0.03)</f>
        <v>0</v>
      </c>
    </row>
    <row r="243" customFormat="false" ht="15.75" hidden="false" customHeight="true" outlineLevel="0" collapsed="false">
      <c r="A243" s="30" t="n">
        <v>0</v>
      </c>
      <c r="B243" s="31" t="s">
        <v>11</v>
      </c>
      <c r="C243" s="32"/>
      <c r="D243" s="32"/>
      <c r="E243" s="19" t="n">
        <f aca="false">+IF(C243="EQUIPO",F243,0)</f>
        <v>0</v>
      </c>
      <c r="F243" s="33" t="n">
        <v>0</v>
      </c>
      <c r="G243" s="35" t="n">
        <v>0</v>
      </c>
      <c r="H243" s="34" t="n">
        <f aca="false">+IF(E243=0,0,E243*0.03)</f>
        <v>0</v>
      </c>
    </row>
    <row r="244" customFormat="false" ht="15.75" hidden="false" customHeight="true" outlineLevel="0" collapsed="false">
      <c r="A244" s="30" t="n">
        <v>0</v>
      </c>
      <c r="B244" s="31" t="s">
        <v>11</v>
      </c>
      <c r="C244" s="32"/>
      <c r="D244" s="32"/>
      <c r="E244" s="19" t="n">
        <f aca="false">+IF(C244="EQUIPO",F244,0)</f>
        <v>0</v>
      </c>
      <c r="F244" s="33" t="n">
        <v>0</v>
      </c>
      <c r="G244" s="35" t="n">
        <v>0</v>
      </c>
      <c r="H244" s="34" t="n">
        <f aca="false">+IF(E244=0,0,E244*0.03)</f>
        <v>0</v>
      </c>
    </row>
    <row r="245" customFormat="false" ht="15.75" hidden="false" customHeight="true" outlineLevel="0" collapsed="false">
      <c r="A245" s="30" t="n">
        <v>0</v>
      </c>
      <c r="B245" s="31" t="s">
        <v>11</v>
      </c>
      <c r="C245" s="32"/>
      <c r="D245" s="32"/>
      <c r="E245" s="19" t="n">
        <f aca="false">+IF(C245="EQUIPO",F245,0)</f>
        <v>0</v>
      </c>
      <c r="F245" s="33" t="n">
        <v>0</v>
      </c>
      <c r="G245" s="35" t="n">
        <v>0</v>
      </c>
      <c r="H245" s="34" t="n">
        <f aca="false">+IF(E245=0,0,E245*0.03)</f>
        <v>0</v>
      </c>
    </row>
    <row r="246" customFormat="false" ht="15.75" hidden="false" customHeight="true" outlineLevel="0" collapsed="false">
      <c r="A246" s="30" t="n">
        <v>0</v>
      </c>
      <c r="B246" s="31" t="s">
        <v>11</v>
      </c>
      <c r="C246" s="32"/>
      <c r="D246" s="32"/>
      <c r="E246" s="19" t="n">
        <f aca="false">+IF(C246="EQUIPO",F246,0)</f>
        <v>0</v>
      </c>
      <c r="F246" s="33" t="n">
        <v>0</v>
      </c>
      <c r="G246" s="35" t="n">
        <v>0</v>
      </c>
      <c r="H246" s="34" t="n">
        <f aca="false">+IF(E246=0,0,E246*0.03)</f>
        <v>0</v>
      </c>
    </row>
    <row r="247" customFormat="false" ht="15.75" hidden="false" customHeight="true" outlineLevel="0" collapsed="false">
      <c r="A247" s="30" t="n">
        <v>0</v>
      </c>
      <c r="B247" s="31" t="s">
        <v>11</v>
      </c>
      <c r="C247" s="32"/>
      <c r="D247" s="32"/>
      <c r="E247" s="19" t="n">
        <f aca="false">+IF(C247="EQUIPO",F247,0)</f>
        <v>0</v>
      </c>
      <c r="F247" s="33" t="n">
        <v>0</v>
      </c>
      <c r="G247" s="35" t="n">
        <v>0</v>
      </c>
      <c r="H247" s="34" t="n">
        <f aca="false">+IF(E247=0,0,E247*0.03)</f>
        <v>0</v>
      </c>
    </row>
    <row r="248" customFormat="false" ht="15.75" hidden="false" customHeight="true" outlineLevel="0" collapsed="false">
      <c r="A248" s="30" t="n">
        <v>0</v>
      </c>
      <c r="B248" s="31" t="s">
        <v>11</v>
      </c>
      <c r="C248" s="32"/>
      <c r="D248" s="32"/>
      <c r="E248" s="19" t="n">
        <f aca="false">+IF(C248="EQUIPO",F248,0)</f>
        <v>0</v>
      </c>
      <c r="F248" s="33" t="n">
        <v>0</v>
      </c>
      <c r="G248" s="35" t="n">
        <v>0</v>
      </c>
      <c r="H248" s="34" t="n">
        <f aca="false">+IF(E248=0,0,E248*0.03)</f>
        <v>0</v>
      </c>
    </row>
    <row r="249" customFormat="false" ht="15.75" hidden="false" customHeight="true" outlineLevel="0" collapsed="false">
      <c r="A249" s="30" t="n">
        <v>0</v>
      </c>
      <c r="B249" s="31" t="s">
        <v>11</v>
      </c>
      <c r="C249" s="32"/>
      <c r="D249" s="32"/>
      <c r="E249" s="19" t="n">
        <f aca="false">+IF(C249="EQUIPO",F249,0)</f>
        <v>0</v>
      </c>
      <c r="F249" s="33" t="n">
        <v>0</v>
      </c>
      <c r="G249" s="35" t="n">
        <v>0</v>
      </c>
      <c r="H249" s="34" t="n">
        <f aca="false">+IF(E249=0,0,E249*0.03)</f>
        <v>0</v>
      </c>
    </row>
    <row r="250" customFormat="false" ht="15.75" hidden="false" customHeight="true" outlineLevel="0" collapsed="false">
      <c r="A250" s="30" t="n">
        <v>0</v>
      </c>
      <c r="B250" s="31" t="s">
        <v>11</v>
      </c>
      <c r="C250" s="32"/>
      <c r="D250" s="32"/>
      <c r="E250" s="19" t="n">
        <f aca="false">+IF(C250="EQUIPO",F250,0)</f>
        <v>0</v>
      </c>
      <c r="F250" s="33" t="n">
        <v>0</v>
      </c>
      <c r="G250" s="35" t="n">
        <v>0</v>
      </c>
      <c r="H250" s="34" t="n">
        <f aca="false">+IF(E250=0,0,E250*0.03)</f>
        <v>0</v>
      </c>
    </row>
    <row r="251" customFormat="false" ht="15.75" hidden="false" customHeight="true" outlineLevel="0" collapsed="false">
      <c r="A251" s="30" t="n">
        <v>0</v>
      </c>
      <c r="B251" s="31" t="s">
        <v>11</v>
      </c>
      <c r="C251" s="32"/>
      <c r="D251" s="32"/>
      <c r="E251" s="19" t="n">
        <f aca="false">+IF(C251="EQUIPO",F251,0)</f>
        <v>0</v>
      </c>
      <c r="F251" s="33" t="n">
        <v>0</v>
      </c>
      <c r="G251" s="35" t="n">
        <v>0</v>
      </c>
      <c r="H251" s="34" t="n">
        <f aca="false">+IF(E251=0,0,E251*0.03)</f>
        <v>0</v>
      </c>
    </row>
    <row r="252" customFormat="false" ht="15.75" hidden="false" customHeight="true" outlineLevel="0" collapsed="false">
      <c r="A252" s="30" t="n">
        <v>0</v>
      </c>
      <c r="B252" s="31" t="s">
        <v>11</v>
      </c>
      <c r="C252" s="32"/>
      <c r="D252" s="32"/>
      <c r="E252" s="19" t="n">
        <f aca="false">+IF(C252="EQUIPO",F252,0)</f>
        <v>0</v>
      </c>
      <c r="F252" s="33" t="n">
        <v>0</v>
      </c>
      <c r="G252" s="35" t="n">
        <v>0</v>
      </c>
      <c r="H252" s="34" t="n">
        <f aca="false">+IF(E252=0,0,E252*0.03)</f>
        <v>0</v>
      </c>
    </row>
    <row r="253" customFormat="false" ht="15.75" hidden="false" customHeight="true" outlineLevel="0" collapsed="false">
      <c r="A253" s="30" t="n">
        <v>0</v>
      </c>
      <c r="B253" s="31" t="s">
        <v>11</v>
      </c>
      <c r="C253" s="32"/>
      <c r="D253" s="32"/>
      <c r="E253" s="19" t="n">
        <f aca="false">+IF(C253="EQUIPO",F253,0)</f>
        <v>0</v>
      </c>
      <c r="F253" s="33" t="n">
        <v>0</v>
      </c>
      <c r="G253" s="35" t="n">
        <v>0</v>
      </c>
      <c r="H253" s="34" t="n">
        <f aca="false">+IF(E253=0,0,E253*0.03)</f>
        <v>0</v>
      </c>
    </row>
    <row r="254" customFormat="false" ht="15.75" hidden="false" customHeight="true" outlineLevel="0" collapsed="false">
      <c r="A254" s="30" t="n">
        <v>0</v>
      </c>
      <c r="B254" s="31" t="s">
        <v>11</v>
      </c>
      <c r="C254" s="32"/>
      <c r="D254" s="32"/>
      <c r="E254" s="19" t="n">
        <f aca="false">+IF(C254="EQUIPO",F254,0)</f>
        <v>0</v>
      </c>
      <c r="F254" s="33" t="n">
        <v>0</v>
      </c>
      <c r="G254" s="35" t="n">
        <v>0</v>
      </c>
      <c r="H254" s="34" t="n">
        <f aca="false">+IF(E254=0,0,E254*0.03)</f>
        <v>0</v>
      </c>
    </row>
    <row r="255" customFormat="false" ht="15.75" hidden="false" customHeight="true" outlineLevel="0" collapsed="false">
      <c r="A255" s="30" t="n">
        <v>0</v>
      </c>
      <c r="B255" s="31" t="s">
        <v>11</v>
      </c>
      <c r="C255" s="32"/>
      <c r="D255" s="32"/>
      <c r="E255" s="19" t="n">
        <f aca="false">+IF(C255="EQUIPO",F255,0)</f>
        <v>0</v>
      </c>
      <c r="F255" s="33" t="n">
        <v>0</v>
      </c>
      <c r="G255" s="35" t="n">
        <v>0</v>
      </c>
      <c r="H255" s="34" t="n">
        <f aca="false">+IF(E255=0,0,E255*0.03)</f>
        <v>0</v>
      </c>
    </row>
    <row r="256" customFormat="false" ht="15.75" hidden="false" customHeight="true" outlineLevel="0" collapsed="false">
      <c r="A256" s="30" t="n">
        <v>0</v>
      </c>
      <c r="B256" s="31" t="s">
        <v>11</v>
      </c>
      <c r="C256" s="32"/>
      <c r="D256" s="32"/>
      <c r="E256" s="19" t="n">
        <f aca="false">+IF(C256="EQUIPO",F256,0)</f>
        <v>0</v>
      </c>
      <c r="F256" s="33" t="n">
        <v>0</v>
      </c>
      <c r="G256" s="35" t="n">
        <v>0</v>
      </c>
      <c r="H256" s="34" t="n">
        <f aca="false">+IF(E256=0,0,E256*0.03)</f>
        <v>0</v>
      </c>
    </row>
    <row r="257" customFormat="false" ht="15.75" hidden="false" customHeight="true" outlineLevel="0" collapsed="false">
      <c r="A257" s="30" t="n">
        <v>0</v>
      </c>
      <c r="B257" s="31" t="s">
        <v>11</v>
      </c>
      <c r="C257" s="32"/>
      <c r="D257" s="32"/>
      <c r="E257" s="19" t="n">
        <f aca="false">+IF(C257="EQUIPO",F257,0)</f>
        <v>0</v>
      </c>
      <c r="F257" s="33" t="n">
        <v>0</v>
      </c>
      <c r="G257" s="35" t="n">
        <v>0</v>
      </c>
      <c r="H257" s="34" t="n">
        <f aca="false">+IF(E257=0,0,E257*0.03)</f>
        <v>0</v>
      </c>
    </row>
    <row r="258" customFormat="false" ht="15.75" hidden="false" customHeight="true" outlineLevel="0" collapsed="false">
      <c r="A258" s="30" t="n">
        <v>0</v>
      </c>
      <c r="B258" s="31" t="s">
        <v>11</v>
      </c>
      <c r="C258" s="32"/>
      <c r="D258" s="32"/>
      <c r="E258" s="19" t="n">
        <f aca="false">+IF(C258="EQUIPO",F258,0)</f>
        <v>0</v>
      </c>
      <c r="F258" s="33" t="n">
        <v>0</v>
      </c>
      <c r="G258" s="35" t="n">
        <v>0</v>
      </c>
      <c r="H258" s="34" t="n">
        <f aca="false">+IF(E258=0,0,E258*0.03)</f>
        <v>0</v>
      </c>
    </row>
    <row r="259" customFormat="false" ht="15.75" hidden="false" customHeight="true" outlineLevel="0" collapsed="false">
      <c r="A259" s="30" t="n">
        <v>0</v>
      </c>
      <c r="B259" s="31" t="s">
        <v>11</v>
      </c>
      <c r="C259" s="32"/>
      <c r="D259" s="32"/>
      <c r="E259" s="19" t="n">
        <f aca="false">+IF(C259="EQUIPO",F259,0)</f>
        <v>0</v>
      </c>
      <c r="F259" s="33" t="n">
        <v>0</v>
      </c>
      <c r="G259" s="35" t="n">
        <v>0</v>
      </c>
      <c r="H259" s="34" t="n">
        <f aca="false">+IF(E259=0,0,E259*0.03)</f>
        <v>0</v>
      </c>
    </row>
    <row r="260" customFormat="false" ht="15.75" hidden="false" customHeight="true" outlineLevel="0" collapsed="false">
      <c r="A260" s="30" t="n">
        <v>0</v>
      </c>
      <c r="B260" s="31" t="s">
        <v>11</v>
      </c>
      <c r="C260" s="32"/>
      <c r="D260" s="32"/>
      <c r="E260" s="19" t="n">
        <f aca="false">+IF(C260="EQUIPO",F260,0)</f>
        <v>0</v>
      </c>
      <c r="F260" s="33" t="n">
        <v>0</v>
      </c>
      <c r="G260" s="35" t="n">
        <v>0</v>
      </c>
      <c r="H260" s="34" t="n">
        <f aca="false">+IF(E260=0,0,E260*0.03)</f>
        <v>0</v>
      </c>
    </row>
    <row r="261" customFormat="false" ht="15.75" hidden="false" customHeight="true" outlineLevel="0" collapsed="false">
      <c r="A261" s="30" t="n">
        <v>0</v>
      </c>
      <c r="B261" s="31" t="s">
        <v>11</v>
      </c>
      <c r="C261" s="32"/>
      <c r="D261" s="32"/>
      <c r="E261" s="19" t="n">
        <f aca="false">+IF(C261="EQUIPO",F261,0)</f>
        <v>0</v>
      </c>
      <c r="F261" s="33" t="n">
        <v>0</v>
      </c>
      <c r="G261" s="35" t="n">
        <v>0</v>
      </c>
      <c r="H261" s="34" t="n">
        <f aca="false">+IF(E261=0,0,E261*0.03)</f>
        <v>0</v>
      </c>
    </row>
    <row r="262" customFormat="false" ht="15.75" hidden="false" customHeight="true" outlineLevel="0" collapsed="false">
      <c r="A262" s="30" t="n">
        <v>0</v>
      </c>
      <c r="B262" s="31" t="s">
        <v>11</v>
      </c>
      <c r="C262" s="32"/>
      <c r="D262" s="32"/>
      <c r="E262" s="19" t="n">
        <f aca="false">+IF(C262="EQUIPO",F262,0)</f>
        <v>0</v>
      </c>
      <c r="F262" s="33" t="n">
        <v>0</v>
      </c>
      <c r="G262" s="35" t="n">
        <v>0</v>
      </c>
      <c r="H262" s="34" t="n">
        <f aca="false">+IF(E262=0,0,E262*0.03)</f>
        <v>0</v>
      </c>
    </row>
    <row r="263" customFormat="false" ht="15.75" hidden="false" customHeight="true" outlineLevel="0" collapsed="false">
      <c r="A263" s="30" t="n">
        <v>0</v>
      </c>
      <c r="B263" s="31" t="s">
        <v>11</v>
      </c>
      <c r="C263" s="32"/>
      <c r="D263" s="32"/>
      <c r="E263" s="19" t="n">
        <f aca="false">+IF(C263="EQUIPO",F263,0)</f>
        <v>0</v>
      </c>
      <c r="F263" s="33" t="n">
        <v>0</v>
      </c>
      <c r="G263" s="35" t="n">
        <v>0</v>
      </c>
      <c r="H263" s="34" t="n">
        <f aca="false">+IF(E263=0,0,E263*0.03)</f>
        <v>0</v>
      </c>
    </row>
    <row r="264" customFormat="false" ht="15.75" hidden="false" customHeight="true" outlineLevel="0" collapsed="false">
      <c r="A264" s="30" t="n">
        <v>0</v>
      </c>
      <c r="B264" s="31" t="s">
        <v>11</v>
      </c>
      <c r="C264" s="32"/>
      <c r="D264" s="32"/>
      <c r="E264" s="19" t="n">
        <f aca="false">+IF(C264="EQUIPO",F264,0)</f>
        <v>0</v>
      </c>
      <c r="F264" s="33" t="n">
        <v>0</v>
      </c>
      <c r="G264" s="35" t="n">
        <v>0</v>
      </c>
      <c r="H264" s="34" t="n">
        <f aca="false">+IF(E264=0,0,E264*0.03)</f>
        <v>0</v>
      </c>
    </row>
    <row r="265" customFormat="false" ht="15.75" hidden="false" customHeight="true" outlineLevel="0" collapsed="false">
      <c r="A265" s="30" t="n">
        <v>0</v>
      </c>
      <c r="B265" s="31" t="s">
        <v>11</v>
      </c>
      <c r="C265" s="32"/>
      <c r="D265" s="32"/>
      <c r="E265" s="19" t="n">
        <f aca="false">+IF(C265="EQUIPO",F265,0)</f>
        <v>0</v>
      </c>
      <c r="F265" s="33" t="n">
        <v>0</v>
      </c>
      <c r="G265" s="35" t="n">
        <v>0</v>
      </c>
      <c r="H265" s="34" t="n">
        <f aca="false">+IF(E265=0,0,E265*0.03)</f>
        <v>0</v>
      </c>
    </row>
    <row r="266" customFormat="false" ht="15.75" hidden="false" customHeight="true" outlineLevel="0" collapsed="false">
      <c r="A266" s="30" t="n">
        <v>0</v>
      </c>
      <c r="B266" s="31" t="s">
        <v>11</v>
      </c>
      <c r="C266" s="32"/>
      <c r="D266" s="32"/>
      <c r="E266" s="19" t="n">
        <f aca="false">+IF(C266="EQUIPO",F266,0)</f>
        <v>0</v>
      </c>
      <c r="F266" s="33" t="n">
        <v>0</v>
      </c>
      <c r="G266" s="35" t="n">
        <v>0</v>
      </c>
      <c r="H266" s="34" t="n">
        <f aca="false">+IF(E266=0,0,E266*0.03)</f>
        <v>0</v>
      </c>
    </row>
    <row r="267" customFormat="false" ht="15.75" hidden="false" customHeight="true" outlineLevel="0" collapsed="false">
      <c r="A267" s="30" t="n">
        <v>0</v>
      </c>
      <c r="B267" s="31" t="s">
        <v>11</v>
      </c>
      <c r="C267" s="32"/>
      <c r="D267" s="32"/>
      <c r="E267" s="19" t="n">
        <f aca="false">+IF(C267="EQUIPO",F267,0)</f>
        <v>0</v>
      </c>
      <c r="F267" s="33" t="n">
        <v>0</v>
      </c>
      <c r="G267" s="35" t="n">
        <v>0</v>
      </c>
      <c r="H267" s="34" t="n">
        <f aca="false">+IF(E267=0,0,E267*0.03)</f>
        <v>0</v>
      </c>
    </row>
    <row r="268" customFormat="false" ht="15.75" hidden="false" customHeight="true" outlineLevel="0" collapsed="false">
      <c r="A268" s="30" t="n">
        <v>0</v>
      </c>
      <c r="B268" s="31" t="s">
        <v>11</v>
      </c>
      <c r="C268" s="32"/>
      <c r="D268" s="32"/>
      <c r="E268" s="19" t="n">
        <f aca="false">+IF(C268="EQUIPO",F268,0)</f>
        <v>0</v>
      </c>
      <c r="F268" s="33" t="n">
        <v>0</v>
      </c>
      <c r="G268" s="35" t="n">
        <v>0</v>
      </c>
      <c r="H268" s="34" t="n">
        <f aca="false">+IF(E268=0,0,E268*0.03)</f>
        <v>0</v>
      </c>
    </row>
    <row r="269" customFormat="false" ht="15.75" hidden="false" customHeight="true" outlineLevel="0" collapsed="false">
      <c r="A269" s="30" t="n">
        <v>0</v>
      </c>
      <c r="B269" s="31" t="s">
        <v>11</v>
      </c>
      <c r="C269" s="32"/>
      <c r="D269" s="32"/>
      <c r="E269" s="19" t="n">
        <f aca="false">+IF(C269="EQUIPO",F269,0)</f>
        <v>0</v>
      </c>
      <c r="F269" s="33" t="n">
        <v>0</v>
      </c>
      <c r="G269" s="35" t="n">
        <v>0</v>
      </c>
      <c r="H269" s="34" t="n">
        <f aca="false">+IF(E269=0,0,E269*0.03)</f>
        <v>0</v>
      </c>
    </row>
    <row r="270" customFormat="false" ht="15.75" hidden="false" customHeight="true" outlineLevel="0" collapsed="false">
      <c r="A270" s="30" t="n">
        <v>0</v>
      </c>
      <c r="B270" s="31" t="s">
        <v>11</v>
      </c>
      <c r="C270" s="32"/>
      <c r="D270" s="32"/>
      <c r="E270" s="19" t="n">
        <f aca="false">+IF(C270="EQUIPO",F270,0)</f>
        <v>0</v>
      </c>
      <c r="F270" s="33" t="n">
        <v>0</v>
      </c>
      <c r="G270" s="35" t="n">
        <v>0</v>
      </c>
      <c r="H270" s="34" t="n">
        <f aca="false">+IF(E270=0,0,E270*0.03)</f>
        <v>0</v>
      </c>
    </row>
    <row r="271" customFormat="false" ht="15.75" hidden="false" customHeight="true" outlineLevel="0" collapsed="false">
      <c r="A271" s="30" t="n">
        <v>0</v>
      </c>
      <c r="B271" s="31" t="s">
        <v>11</v>
      </c>
      <c r="C271" s="32"/>
      <c r="D271" s="32"/>
      <c r="E271" s="19" t="n">
        <f aca="false">+IF(C271="EQUIPO",F271,0)</f>
        <v>0</v>
      </c>
      <c r="F271" s="33" t="n">
        <v>0</v>
      </c>
      <c r="G271" s="35" t="n">
        <v>0</v>
      </c>
      <c r="H271" s="34" t="n">
        <f aca="false">+IF(E271=0,0,E271*0.03)</f>
        <v>0</v>
      </c>
    </row>
    <row r="272" customFormat="false" ht="15.75" hidden="false" customHeight="true" outlineLevel="0" collapsed="false">
      <c r="A272" s="30" t="n">
        <v>0</v>
      </c>
      <c r="B272" s="31" t="s">
        <v>11</v>
      </c>
      <c r="C272" s="32"/>
      <c r="D272" s="32"/>
      <c r="E272" s="19" t="n">
        <f aca="false">+IF(C272="EQUIPO",F272,0)</f>
        <v>0</v>
      </c>
      <c r="F272" s="33" t="n">
        <v>0</v>
      </c>
      <c r="G272" s="35" t="n">
        <v>0</v>
      </c>
      <c r="H272" s="34" t="n">
        <f aca="false">+IF(E272=0,0,E272*0.03)</f>
        <v>0</v>
      </c>
    </row>
    <row r="273" customFormat="false" ht="15.75" hidden="false" customHeight="true" outlineLevel="0" collapsed="false">
      <c r="A273" s="30" t="n">
        <v>0</v>
      </c>
      <c r="B273" s="31" t="s">
        <v>11</v>
      </c>
      <c r="C273" s="32"/>
      <c r="D273" s="32"/>
      <c r="E273" s="19" t="n">
        <f aca="false">+IF(C273="EQUIPO",F273,0)</f>
        <v>0</v>
      </c>
      <c r="F273" s="33" t="n">
        <v>0</v>
      </c>
      <c r="G273" s="35" t="n">
        <v>0</v>
      </c>
      <c r="H273" s="34" t="n">
        <f aca="false">+IF(E273=0,0,E273*0.03)</f>
        <v>0</v>
      </c>
    </row>
    <row r="274" customFormat="false" ht="15.75" hidden="false" customHeight="true" outlineLevel="0" collapsed="false">
      <c r="A274" s="30" t="n">
        <v>0</v>
      </c>
      <c r="B274" s="31" t="s">
        <v>11</v>
      </c>
      <c r="C274" s="32"/>
      <c r="D274" s="32"/>
      <c r="E274" s="19" t="n">
        <f aca="false">+IF(C274="EQUIPO",F274,0)</f>
        <v>0</v>
      </c>
      <c r="F274" s="33" t="n">
        <v>0</v>
      </c>
      <c r="G274" s="35" t="n">
        <v>0</v>
      </c>
      <c r="H274" s="34" t="n">
        <f aca="false">+IF(E274=0,0,E274*0.03)</f>
        <v>0</v>
      </c>
    </row>
    <row r="275" customFormat="false" ht="15.75" hidden="false" customHeight="true" outlineLevel="0" collapsed="false">
      <c r="A275" s="30" t="n">
        <v>0</v>
      </c>
      <c r="B275" s="31" t="s">
        <v>11</v>
      </c>
      <c r="C275" s="32"/>
      <c r="D275" s="32"/>
      <c r="E275" s="19" t="n">
        <f aca="false">+IF(C275="EQUIPO",F275,0)</f>
        <v>0</v>
      </c>
      <c r="F275" s="33" t="n">
        <v>0</v>
      </c>
      <c r="G275" s="35" t="n">
        <v>0</v>
      </c>
      <c r="H275" s="34" t="n">
        <f aca="false">+IF(E275=0,0,E275*0.03)</f>
        <v>0</v>
      </c>
    </row>
    <row r="276" customFormat="false" ht="15.75" hidden="false" customHeight="true" outlineLevel="0" collapsed="false">
      <c r="A276" s="30" t="n">
        <v>0</v>
      </c>
      <c r="B276" s="31" t="s">
        <v>11</v>
      </c>
      <c r="C276" s="32"/>
      <c r="D276" s="32"/>
      <c r="E276" s="19" t="n">
        <f aca="false">+IF(C276="EQUIPO",F276,0)</f>
        <v>0</v>
      </c>
      <c r="F276" s="33" t="n">
        <v>0</v>
      </c>
      <c r="G276" s="35" t="n">
        <v>0</v>
      </c>
      <c r="H276" s="34" t="n">
        <f aca="false">+IF(E276=0,0,E276*0.03)</f>
        <v>0</v>
      </c>
    </row>
    <row r="277" customFormat="false" ht="15.75" hidden="false" customHeight="true" outlineLevel="0" collapsed="false">
      <c r="A277" s="30" t="n">
        <v>0</v>
      </c>
      <c r="B277" s="31" t="s">
        <v>11</v>
      </c>
      <c r="C277" s="32"/>
      <c r="D277" s="32"/>
      <c r="E277" s="19" t="n">
        <f aca="false">+IF(C277="EQUIPO",F277,0)</f>
        <v>0</v>
      </c>
      <c r="F277" s="33" t="n">
        <v>0</v>
      </c>
      <c r="G277" s="35" t="n">
        <v>0</v>
      </c>
      <c r="H277" s="34" t="n">
        <f aca="false">+IF(E277=0,0,E277*0.03)</f>
        <v>0</v>
      </c>
    </row>
    <row r="278" customFormat="false" ht="15.75" hidden="false" customHeight="true" outlineLevel="0" collapsed="false">
      <c r="A278" s="30" t="n">
        <v>0</v>
      </c>
      <c r="B278" s="31" t="s">
        <v>11</v>
      </c>
      <c r="C278" s="32"/>
      <c r="D278" s="32"/>
      <c r="E278" s="19" t="n">
        <f aca="false">+IF(C278="EQUIPO",F278,0)</f>
        <v>0</v>
      </c>
      <c r="F278" s="33" t="n">
        <v>0</v>
      </c>
      <c r="G278" s="35" t="n">
        <v>0</v>
      </c>
      <c r="H278" s="34" t="n">
        <f aca="false">+IF(E278=0,0,E278*0.03)</f>
        <v>0</v>
      </c>
    </row>
    <row r="279" customFormat="false" ht="15.75" hidden="false" customHeight="true" outlineLevel="0" collapsed="false">
      <c r="A279" s="30" t="n">
        <v>0</v>
      </c>
      <c r="B279" s="31" t="s">
        <v>11</v>
      </c>
      <c r="C279" s="32"/>
      <c r="D279" s="32"/>
      <c r="E279" s="19" t="n">
        <f aca="false">+IF(C279="EQUIPO",F279,0)</f>
        <v>0</v>
      </c>
      <c r="F279" s="33" t="n">
        <v>0</v>
      </c>
      <c r="G279" s="35" t="n">
        <v>0</v>
      </c>
      <c r="H279" s="34" t="n">
        <f aca="false">+IF(E279=0,0,E279*0.03)</f>
        <v>0</v>
      </c>
    </row>
    <row r="280" customFormat="false" ht="15.75" hidden="false" customHeight="true" outlineLevel="0" collapsed="false">
      <c r="A280" s="30" t="n">
        <v>0</v>
      </c>
      <c r="B280" s="31" t="s">
        <v>11</v>
      </c>
      <c r="C280" s="32"/>
      <c r="D280" s="32"/>
      <c r="E280" s="19" t="n">
        <f aca="false">+IF(C280="EQUIPO",F280,0)</f>
        <v>0</v>
      </c>
      <c r="F280" s="33" t="n">
        <v>0</v>
      </c>
      <c r="G280" s="35" t="n">
        <v>0</v>
      </c>
      <c r="H280" s="34" t="n">
        <f aca="false">+IF(E280=0,0,E280*0.03)</f>
        <v>0</v>
      </c>
    </row>
    <row r="281" customFormat="false" ht="15.75" hidden="false" customHeight="true" outlineLevel="0" collapsed="false">
      <c r="A281" s="30" t="n">
        <v>0</v>
      </c>
      <c r="B281" s="31" t="s">
        <v>11</v>
      </c>
      <c r="C281" s="32"/>
      <c r="D281" s="32"/>
      <c r="E281" s="19" t="n">
        <f aca="false">+IF(C281="EQUIPO",F281,0)</f>
        <v>0</v>
      </c>
      <c r="F281" s="33" t="n">
        <v>0</v>
      </c>
      <c r="G281" s="35" t="n">
        <v>0</v>
      </c>
      <c r="H281" s="34" t="n">
        <f aca="false">+IF(E281=0,0,E281*0.03)</f>
        <v>0</v>
      </c>
    </row>
    <row r="282" customFormat="false" ht="15.75" hidden="false" customHeight="true" outlineLevel="0" collapsed="false">
      <c r="A282" s="30" t="n">
        <v>0</v>
      </c>
      <c r="B282" s="31" t="s">
        <v>11</v>
      </c>
      <c r="C282" s="32"/>
      <c r="D282" s="32"/>
      <c r="E282" s="19" t="n">
        <f aca="false">+IF(C282="EQUIPO",F282,0)</f>
        <v>0</v>
      </c>
      <c r="F282" s="33" t="n">
        <v>0</v>
      </c>
      <c r="G282" s="35" t="n">
        <v>0</v>
      </c>
      <c r="H282" s="34" t="n">
        <f aca="false">+IF(E282=0,0,E282*0.03)</f>
        <v>0</v>
      </c>
    </row>
    <row r="283" customFormat="false" ht="15.75" hidden="false" customHeight="true" outlineLevel="0" collapsed="false">
      <c r="A283" s="30" t="n">
        <v>0</v>
      </c>
      <c r="B283" s="31" t="s">
        <v>11</v>
      </c>
      <c r="C283" s="32"/>
      <c r="D283" s="32"/>
      <c r="E283" s="19" t="n">
        <f aca="false">+IF(C283="EQUIPO",F283,0)</f>
        <v>0</v>
      </c>
      <c r="F283" s="33" t="n">
        <v>0</v>
      </c>
      <c r="G283" s="35" t="n">
        <v>0</v>
      </c>
      <c r="H283" s="34" t="n">
        <f aca="false">+IF(E283=0,0,E283*0.03)</f>
        <v>0</v>
      </c>
    </row>
    <row r="284" customFormat="false" ht="15.75" hidden="false" customHeight="true" outlineLevel="0" collapsed="false">
      <c r="A284" s="30" t="n">
        <v>0</v>
      </c>
      <c r="B284" s="31" t="s">
        <v>11</v>
      </c>
      <c r="C284" s="32"/>
      <c r="D284" s="32"/>
      <c r="E284" s="19" t="n">
        <f aca="false">+IF(C284="EQUIPO",F284,0)</f>
        <v>0</v>
      </c>
      <c r="F284" s="33" t="n">
        <v>0</v>
      </c>
      <c r="G284" s="35" t="n">
        <v>0</v>
      </c>
      <c r="H284" s="34" t="n">
        <f aca="false">+IF(E284=0,0,E284*0.03)</f>
        <v>0</v>
      </c>
    </row>
    <row r="285" customFormat="false" ht="15.75" hidden="false" customHeight="true" outlineLevel="0" collapsed="false">
      <c r="A285" s="30" t="n">
        <v>0</v>
      </c>
      <c r="B285" s="31" t="s">
        <v>11</v>
      </c>
      <c r="C285" s="32"/>
      <c r="D285" s="32"/>
      <c r="E285" s="19" t="n">
        <f aca="false">+IF(C285="EQUIPO",F285,0)</f>
        <v>0</v>
      </c>
      <c r="F285" s="33" t="n">
        <v>0</v>
      </c>
      <c r="G285" s="35" t="n">
        <v>0</v>
      </c>
      <c r="H285" s="34" t="n">
        <f aca="false">+IF(E285=0,0,E285*0.03)</f>
        <v>0</v>
      </c>
    </row>
    <row r="286" customFormat="false" ht="15.75" hidden="false" customHeight="true" outlineLevel="0" collapsed="false">
      <c r="A286" s="30" t="n">
        <v>0</v>
      </c>
      <c r="B286" s="31" t="s">
        <v>11</v>
      </c>
      <c r="C286" s="32"/>
      <c r="D286" s="32"/>
      <c r="E286" s="19" t="n">
        <f aca="false">+IF(C286="EQUIPO",F286,0)</f>
        <v>0</v>
      </c>
      <c r="F286" s="33" t="n">
        <v>0</v>
      </c>
      <c r="G286" s="35" t="n">
        <v>0</v>
      </c>
      <c r="H286" s="34" t="n">
        <f aca="false">+IF(E286=0,0,E286*0.03)</f>
        <v>0</v>
      </c>
    </row>
    <row r="287" customFormat="false" ht="15.75" hidden="false" customHeight="true" outlineLevel="0" collapsed="false">
      <c r="A287" s="30" t="n">
        <v>0</v>
      </c>
      <c r="B287" s="31" t="s">
        <v>11</v>
      </c>
      <c r="C287" s="32"/>
      <c r="D287" s="32"/>
      <c r="E287" s="19" t="n">
        <f aca="false">+IF(C287="EQUIPO",F287,0)</f>
        <v>0</v>
      </c>
      <c r="F287" s="33" t="n">
        <v>0</v>
      </c>
      <c r="G287" s="35" t="n">
        <v>0</v>
      </c>
      <c r="H287" s="34" t="n">
        <f aca="false">+IF(E287=0,0,E287*0.03)</f>
        <v>0</v>
      </c>
    </row>
    <row r="288" customFormat="false" ht="15.75" hidden="false" customHeight="true" outlineLevel="0" collapsed="false">
      <c r="A288" s="30" t="n">
        <v>0</v>
      </c>
      <c r="B288" s="31" t="s">
        <v>11</v>
      </c>
      <c r="C288" s="32"/>
      <c r="D288" s="32"/>
      <c r="E288" s="19" t="n">
        <f aca="false">+IF(C288="EQUIPO",F288,0)</f>
        <v>0</v>
      </c>
      <c r="F288" s="33" t="n">
        <v>0</v>
      </c>
      <c r="G288" s="35" t="n">
        <v>0</v>
      </c>
      <c r="H288" s="34" t="n">
        <f aca="false">+IF(E288=0,0,E288*0.03)</f>
        <v>0</v>
      </c>
    </row>
    <row r="289" customFormat="false" ht="15.75" hidden="false" customHeight="true" outlineLevel="0" collapsed="false">
      <c r="A289" s="30" t="n">
        <v>0</v>
      </c>
      <c r="B289" s="31" t="s">
        <v>11</v>
      </c>
      <c r="C289" s="32"/>
      <c r="D289" s="32"/>
      <c r="E289" s="19" t="n">
        <f aca="false">+IF(C289="EQUIPO",F289,0)</f>
        <v>0</v>
      </c>
      <c r="F289" s="33" t="n">
        <v>0</v>
      </c>
      <c r="G289" s="35" t="n">
        <v>0</v>
      </c>
      <c r="H289" s="34" t="n">
        <f aca="false">+IF(E289=0,0,E289*0.03)</f>
        <v>0</v>
      </c>
    </row>
    <row r="290" customFormat="false" ht="15.75" hidden="false" customHeight="true" outlineLevel="0" collapsed="false">
      <c r="A290" s="30" t="n">
        <v>0</v>
      </c>
      <c r="B290" s="31" t="s">
        <v>11</v>
      </c>
      <c r="C290" s="32"/>
      <c r="D290" s="32"/>
      <c r="E290" s="19" t="n">
        <f aca="false">+IF(C290="EQUIPO",F290,0)</f>
        <v>0</v>
      </c>
      <c r="F290" s="33" t="n">
        <v>0</v>
      </c>
      <c r="G290" s="35" t="n">
        <v>0</v>
      </c>
      <c r="H290" s="34" t="n">
        <f aca="false">+IF(E290=0,0,E290*0.03)</f>
        <v>0</v>
      </c>
    </row>
    <row r="291" customFormat="false" ht="15.75" hidden="false" customHeight="true" outlineLevel="0" collapsed="false">
      <c r="A291" s="30" t="n">
        <v>0</v>
      </c>
      <c r="B291" s="31" t="s">
        <v>11</v>
      </c>
      <c r="C291" s="32"/>
      <c r="D291" s="32"/>
      <c r="E291" s="19" t="n">
        <f aca="false">+IF(C291="EQUIPO",F291,0)</f>
        <v>0</v>
      </c>
      <c r="F291" s="33" t="n">
        <v>0</v>
      </c>
      <c r="G291" s="35" t="n">
        <v>0</v>
      </c>
      <c r="H291" s="34" t="n">
        <f aca="false">+IF(E291=0,0,E291*0.03)</f>
        <v>0</v>
      </c>
    </row>
    <row r="292" customFormat="false" ht="15.75" hidden="false" customHeight="true" outlineLevel="0" collapsed="false">
      <c r="A292" s="30" t="n">
        <v>0</v>
      </c>
      <c r="B292" s="31" t="s">
        <v>11</v>
      </c>
      <c r="C292" s="32"/>
      <c r="D292" s="32"/>
      <c r="E292" s="19" t="n">
        <f aca="false">+IF(C292="EQUIPO",F292,0)</f>
        <v>0</v>
      </c>
      <c r="F292" s="33" t="n">
        <v>0</v>
      </c>
      <c r="G292" s="35" t="n">
        <v>0</v>
      </c>
      <c r="H292" s="34" t="n">
        <f aca="false">+IF(E292=0,0,E292*0.03)</f>
        <v>0</v>
      </c>
    </row>
    <row r="293" customFormat="false" ht="15.75" hidden="false" customHeight="true" outlineLevel="0" collapsed="false">
      <c r="A293" s="30" t="n">
        <v>0</v>
      </c>
      <c r="B293" s="31" t="s">
        <v>11</v>
      </c>
      <c r="C293" s="32"/>
      <c r="D293" s="32"/>
      <c r="E293" s="19" t="n">
        <f aca="false">+IF(C293="EQUIPO",F293,0)</f>
        <v>0</v>
      </c>
      <c r="F293" s="33" t="n">
        <v>0</v>
      </c>
      <c r="G293" s="35" t="n">
        <v>0</v>
      </c>
      <c r="H293" s="34" t="n">
        <f aca="false">+IF(E293=0,0,E293*0.03)</f>
        <v>0</v>
      </c>
    </row>
    <row r="294" customFormat="false" ht="15.75" hidden="false" customHeight="true" outlineLevel="0" collapsed="false">
      <c r="A294" s="30" t="n">
        <v>0</v>
      </c>
      <c r="B294" s="31" t="s">
        <v>11</v>
      </c>
      <c r="C294" s="32"/>
      <c r="D294" s="32"/>
      <c r="E294" s="19" t="n">
        <f aca="false">+IF(C294="EQUIPO",F294,0)</f>
        <v>0</v>
      </c>
      <c r="F294" s="33" t="n">
        <v>0</v>
      </c>
      <c r="G294" s="35" t="n">
        <v>0</v>
      </c>
      <c r="H294" s="34" t="n">
        <f aca="false">+IF(E294=0,0,E294*0.03)</f>
        <v>0</v>
      </c>
    </row>
    <row r="295" customFormat="false" ht="15.75" hidden="false" customHeight="true" outlineLevel="0" collapsed="false">
      <c r="A295" s="30" t="n">
        <v>0</v>
      </c>
      <c r="B295" s="31" t="s">
        <v>11</v>
      </c>
      <c r="C295" s="32"/>
      <c r="D295" s="32"/>
      <c r="E295" s="19" t="n">
        <f aca="false">+IF(C295="EQUIPO",F295,0)</f>
        <v>0</v>
      </c>
      <c r="F295" s="33" t="n">
        <v>0</v>
      </c>
      <c r="G295" s="35" t="n">
        <v>0</v>
      </c>
      <c r="H295" s="34" t="n">
        <f aca="false">+IF(E295=0,0,E295*0.03)</f>
        <v>0</v>
      </c>
    </row>
    <row r="296" customFormat="false" ht="15.75" hidden="false" customHeight="true" outlineLevel="0" collapsed="false">
      <c r="A296" s="30" t="n">
        <v>0</v>
      </c>
      <c r="B296" s="31" t="s">
        <v>11</v>
      </c>
      <c r="C296" s="32"/>
      <c r="D296" s="32"/>
      <c r="E296" s="19" t="n">
        <f aca="false">+IF(C296="EQUIPO",F296,0)</f>
        <v>0</v>
      </c>
      <c r="F296" s="33" t="n">
        <v>0</v>
      </c>
      <c r="G296" s="35" t="n">
        <v>0</v>
      </c>
      <c r="H296" s="34" t="n">
        <f aca="false">+IF(E296=0,0,E296*0.03)</f>
        <v>0</v>
      </c>
    </row>
    <row r="297" customFormat="false" ht="15.75" hidden="false" customHeight="true" outlineLevel="0" collapsed="false">
      <c r="A297" s="30" t="n">
        <v>0</v>
      </c>
      <c r="B297" s="31" t="s">
        <v>11</v>
      </c>
      <c r="C297" s="32"/>
      <c r="D297" s="32"/>
      <c r="E297" s="19" t="n">
        <f aca="false">+IF(C297="EQUIPO",F297,0)</f>
        <v>0</v>
      </c>
      <c r="F297" s="33" t="n">
        <v>0</v>
      </c>
      <c r="G297" s="35" t="n">
        <v>0</v>
      </c>
      <c r="H297" s="34" t="n">
        <f aca="false">+IF(E297=0,0,E297*0.03)</f>
        <v>0</v>
      </c>
    </row>
    <row r="298" customFormat="false" ht="15.75" hidden="false" customHeight="true" outlineLevel="0" collapsed="false">
      <c r="A298" s="30" t="n">
        <v>0</v>
      </c>
      <c r="B298" s="31" t="s">
        <v>11</v>
      </c>
      <c r="C298" s="32"/>
      <c r="D298" s="32"/>
      <c r="E298" s="19" t="n">
        <f aca="false">+IF(C298="EQUIPO",F298,0)</f>
        <v>0</v>
      </c>
      <c r="F298" s="33" t="n">
        <v>0</v>
      </c>
      <c r="G298" s="35" t="n">
        <v>0</v>
      </c>
      <c r="H298" s="34" t="n">
        <f aca="false">+IF(E298=0,0,E298*0.03)</f>
        <v>0</v>
      </c>
    </row>
    <row r="299" customFormat="false" ht="15.75" hidden="false" customHeight="true" outlineLevel="0" collapsed="false">
      <c r="A299" s="30" t="n">
        <v>0</v>
      </c>
      <c r="B299" s="31" t="s">
        <v>11</v>
      </c>
      <c r="C299" s="32"/>
      <c r="D299" s="32"/>
      <c r="E299" s="19" t="n">
        <f aca="false">+IF(C299="EQUIPO",F299,0)</f>
        <v>0</v>
      </c>
      <c r="F299" s="33" t="n">
        <v>0</v>
      </c>
      <c r="G299" s="35" t="n">
        <v>0</v>
      </c>
      <c r="H299" s="34" t="n">
        <f aca="false">+IF(E299=0,0,E299*0.03)</f>
        <v>0</v>
      </c>
    </row>
    <row r="300" customFormat="false" ht="15.75" hidden="false" customHeight="true" outlineLevel="0" collapsed="false">
      <c r="A300" s="30" t="n">
        <v>0</v>
      </c>
      <c r="B300" s="31" t="s">
        <v>11</v>
      </c>
      <c r="C300" s="32"/>
      <c r="D300" s="32"/>
      <c r="E300" s="19" t="n">
        <f aca="false">+IF(C300="EQUIPO",F300,0)</f>
        <v>0</v>
      </c>
      <c r="F300" s="33" t="n">
        <v>0</v>
      </c>
      <c r="G300" s="35" t="n">
        <v>0</v>
      </c>
      <c r="H300" s="34" t="n">
        <f aca="false">+IF(E300=0,0,E300*0.03)</f>
        <v>0</v>
      </c>
    </row>
    <row r="301" customFormat="false" ht="15.75" hidden="false" customHeight="true" outlineLevel="0" collapsed="false">
      <c r="A301" s="30" t="n">
        <v>0</v>
      </c>
      <c r="B301" s="31" t="s">
        <v>11</v>
      </c>
      <c r="C301" s="32"/>
      <c r="D301" s="32"/>
      <c r="E301" s="19" t="n">
        <f aca="false">+IF(C301="EQUIPO",F301,0)</f>
        <v>0</v>
      </c>
      <c r="F301" s="33" t="n">
        <v>0</v>
      </c>
      <c r="G301" s="35" t="n">
        <v>0</v>
      </c>
      <c r="H301" s="34" t="n">
        <f aca="false">+IF(E301=0,0,E301*0.03)</f>
        <v>0</v>
      </c>
    </row>
    <row r="302" customFormat="false" ht="15.75" hidden="false" customHeight="true" outlineLevel="0" collapsed="false">
      <c r="A302" s="30" t="n">
        <v>0</v>
      </c>
      <c r="B302" s="31" t="s">
        <v>11</v>
      </c>
      <c r="C302" s="32"/>
      <c r="D302" s="32"/>
      <c r="E302" s="19" t="n">
        <f aca="false">+IF(C302="EQUIPO",F302,0)</f>
        <v>0</v>
      </c>
      <c r="F302" s="33" t="n">
        <v>0</v>
      </c>
      <c r="G302" s="35" t="n">
        <v>0</v>
      </c>
      <c r="H302" s="34" t="n">
        <f aca="false">+IF(E302=0,0,E302*0.03)</f>
        <v>0</v>
      </c>
    </row>
    <row r="303" customFormat="false" ht="15.75" hidden="false" customHeight="true" outlineLevel="0" collapsed="false">
      <c r="A303" s="30" t="n">
        <v>0</v>
      </c>
      <c r="B303" s="31" t="s">
        <v>11</v>
      </c>
      <c r="C303" s="32"/>
      <c r="D303" s="32"/>
      <c r="E303" s="19" t="n">
        <f aca="false">+IF(C303="EQUIPO",F303,0)</f>
        <v>0</v>
      </c>
      <c r="F303" s="33" t="n">
        <v>0</v>
      </c>
      <c r="G303" s="35" t="n">
        <v>0</v>
      </c>
      <c r="H303" s="34" t="n">
        <f aca="false">+IF(E303=0,0,E303*0.03)</f>
        <v>0</v>
      </c>
    </row>
    <row r="304" customFormat="false" ht="15.75" hidden="false" customHeight="true" outlineLevel="0" collapsed="false">
      <c r="A304" s="30" t="n">
        <v>0</v>
      </c>
      <c r="B304" s="31" t="s">
        <v>11</v>
      </c>
      <c r="C304" s="32"/>
      <c r="D304" s="32"/>
      <c r="E304" s="19" t="n">
        <f aca="false">+IF(C304="EQUIPO",F304,0)</f>
        <v>0</v>
      </c>
      <c r="F304" s="33" t="n">
        <v>0</v>
      </c>
      <c r="G304" s="35" t="n">
        <v>0</v>
      </c>
      <c r="H304" s="34" t="n">
        <f aca="false">+IF(E304=0,0,E304*0.03)</f>
        <v>0</v>
      </c>
    </row>
    <row r="305" customFormat="false" ht="15.75" hidden="false" customHeight="true" outlineLevel="0" collapsed="false">
      <c r="A305" s="30" t="n">
        <v>0</v>
      </c>
      <c r="B305" s="31" t="s">
        <v>11</v>
      </c>
      <c r="C305" s="32"/>
      <c r="D305" s="32"/>
      <c r="E305" s="19" t="n">
        <f aca="false">+IF(C305="EQUIPO",F305,0)</f>
        <v>0</v>
      </c>
      <c r="F305" s="33" t="n">
        <v>0</v>
      </c>
      <c r="G305" s="35" t="n">
        <v>0</v>
      </c>
      <c r="H305" s="34" t="n">
        <f aca="false">+IF(E305=0,0,E305*0.03)</f>
        <v>0</v>
      </c>
    </row>
    <row r="306" customFormat="false" ht="15.75" hidden="false" customHeight="true" outlineLevel="0" collapsed="false">
      <c r="A306" s="30" t="n">
        <v>0</v>
      </c>
      <c r="B306" s="31" t="s">
        <v>11</v>
      </c>
      <c r="C306" s="32"/>
      <c r="D306" s="32"/>
      <c r="E306" s="19" t="n">
        <f aca="false">+IF(C306="EQUIPO",F306,0)</f>
        <v>0</v>
      </c>
      <c r="F306" s="33" t="n">
        <v>0</v>
      </c>
      <c r="G306" s="35" t="n">
        <v>0</v>
      </c>
      <c r="H306" s="34" t="n">
        <f aca="false">+IF(E306=0,0,E306*0.03)</f>
        <v>0</v>
      </c>
    </row>
    <row r="307" customFormat="false" ht="15.75" hidden="false" customHeight="true" outlineLevel="0" collapsed="false">
      <c r="A307" s="30" t="n">
        <v>0</v>
      </c>
      <c r="B307" s="31" t="s">
        <v>11</v>
      </c>
      <c r="C307" s="32"/>
      <c r="D307" s="32"/>
      <c r="E307" s="19" t="n">
        <f aca="false">+IF(C307="EQUIPO",F307,0)</f>
        <v>0</v>
      </c>
      <c r="F307" s="33" t="n">
        <v>0</v>
      </c>
      <c r="G307" s="35" t="n">
        <v>0</v>
      </c>
      <c r="H307" s="34" t="n">
        <f aca="false">+IF(E307=0,0,E307*0.03)</f>
        <v>0</v>
      </c>
    </row>
    <row r="308" customFormat="false" ht="15.75" hidden="false" customHeight="true" outlineLevel="0" collapsed="false">
      <c r="A308" s="30" t="n">
        <v>0</v>
      </c>
      <c r="B308" s="31" t="s">
        <v>11</v>
      </c>
      <c r="C308" s="32"/>
      <c r="D308" s="32"/>
      <c r="E308" s="19" t="n">
        <f aca="false">+IF(C308="EQUIPO",F308,0)</f>
        <v>0</v>
      </c>
      <c r="F308" s="33" t="n">
        <v>0</v>
      </c>
      <c r="G308" s="35" t="n">
        <v>0</v>
      </c>
      <c r="H308" s="34" t="n">
        <f aca="false">+IF(E308=0,0,E308*0.03)</f>
        <v>0</v>
      </c>
    </row>
    <row r="309" customFormat="false" ht="15.75" hidden="false" customHeight="true" outlineLevel="0" collapsed="false">
      <c r="A309" s="30" t="n">
        <v>0</v>
      </c>
      <c r="B309" s="31" t="s">
        <v>11</v>
      </c>
      <c r="C309" s="32"/>
      <c r="D309" s="32"/>
      <c r="E309" s="19" t="n">
        <f aca="false">+IF(C309="EQUIPO",F309,0)</f>
        <v>0</v>
      </c>
      <c r="F309" s="33" t="n">
        <v>0</v>
      </c>
      <c r="G309" s="35" t="n">
        <v>0</v>
      </c>
      <c r="H309" s="34" t="n">
        <f aca="false">+IF(E309=0,0,E309*0.03)</f>
        <v>0</v>
      </c>
    </row>
    <row r="310" customFormat="false" ht="15.75" hidden="false" customHeight="true" outlineLevel="0" collapsed="false">
      <c r="A310" s="30" t="n">
        <v>0</v>
      </c>
      <c r="B310" s="31" t="s">
        <v>11</v>
      </c>
      <c r="C310" s="32"/>
      <c r="D310" s="32"/>
      <c r="E310" s="19" t="n">
        <f aca="false">+IF(C310="EQUIPO",F310,0)</f>
        <v>0</v>
      </c>
      <c r="F310" s="33" t="n">
        <v>0</v>
      </c>
      <c r="G310" s="35" t="n">
        <v>0</v>
      </c>
      <c r="H310" s="34" t="n">
        <f aca="false">+IF(E310=0,0,E310*0.03)</f>
        <v>0</v>
      </c>
    </row>
    <row r="311" customFormat="false" ht="15.75" hidden="false" customHeight="true" outlineLevel="0" collapsed="false">
      <c r="A311" s="30" t="n">
        <v>0</v>
      </c>
      <c r="B311" s="31" t="s">
        <v>11</v>
      </c>
      <c r="C311" s="32"/>
      <c r="D311" s="32"/>
      <c r="E311" s="19" t="n">
        <f aca="false">+IF(C311="EQUIPO",F311,0)</f>
        <v>0</v>
      </c>
      <c r="F311" s="33" t="n">
        <v>0</v>
      </c>
      <c r="G311" s="35" t="n">
        <v>0</v>
      </c>
      <c r="H311" s="34" t="n">
        <f aca="false">+IF(E311=0,0,E311*0.03)</f>
        <v>0</v>
      </c>
    </row>
    <row r="312" customFormat="false" ht="15.75" hidden="false" customHeight="true" outlineLevel="0" collapsed="false">
      <c r="A312" s="30" t="n">
        <v>0</v>
      </c>
      <c r="B312" s="31" t="s">
        <v>11</v>
      </c>
      <c r="C312" s="32"/>
      <c r="D312" s="32"/>
      <c r="E312" s="19" t="n">
        <f aca="false">+IF(C312="EQUIPO",F312,0)</f>
        <v>0</v>
      </c>
      <c r="F312" s="33" t="n">
        <v>0</v>
      </c>
      <c r="G312" s="35" t="n">
        <v>0</v>
      </c>
      <c r="H312" s="34" t="n">
        <f aca="false">+IF(E312=0,0,E312*0.03)</f>
        <v>0</v>
      </c>
    </row>
    <row r="313" customFormat="false" ht="15.75" hidden="false" customHeight="true" outlineLevel="0" collapsed="false">
      <c r="A313" s="30" t="n">
        <v>0</v>
      </c>
      <c r="B313" s="31" t="s">
        <v>11</v>
      </c>
      <c r="C313" s="32"/>
      <c r="D313" s="32"/>
      <c r="E313" s="19" t="n">
        <f aca="false">+IF(C313="EQUIPO",F313,0)</f>
        <v>0</v>
      </c>
      <c r="F313" s="33" t="n">
        <v>0</v>
      </c>
      <c r="G313" s="35" t="n">
        <v>0</v>
      </c>
      <c r="H313" s="34" t="n">
        <f aca="false">+IF(E313=0,0,E313*0.03)</f>
        <v>0</v>
      </c>
    </row>
    <row r="314" customFormat="false" ht="15.75" hidden="false" customHeight="true" outlineLevel="0" collapsed="false">
      <c r="A314" s="30" t="n">
        <v>0</v>
      </c>
      <c r="B314" s="31" t="s">
        <v>11</v>
      </c>
      <c r="C314" s="32"/>
      <c r="D314" s="32"/>
      <c r="E314" s="19" t="n">
        <f aca="false">+IF(C314="EQUIPO",F314,0)</f>
        <v>0</v>
      </c>
      <c r="F314" s="33" t="n">
        <v>0</v>
      </c>
      <c r="G314" s="35" t="n">
        <v>0</v>
      </c>
      <c r="H314" s="34" t="n">
        <f aca="false">+IF(E314=0,0,E314*0.03)</f>
        <v>0</v>
      </c>
    </row>
    <row r="315" customFormat="false" ht="15.75" hidden="false" customHeight="true" outlineLevel="0" collapsed="false">
      <c r="A315" s="30" t="n">
        <v>0</v>
      </c>
      <c r="B315" s="31" t="s">
        <v>11</v>
      </c>
      <c r="C315" s="32"/>
      <c r="D315" s="32"/>
      <c r="E315" s="19" t="n">
        <f aca="false">+IF(C315="EQUIPO",F315,0)</f>
        <v>0</v>
      </c>
      <c r="F315" s="33" t="n">
        <v>0</v>
      </c>
      <c r="G315" s="35" t="n">
        <v>0</v>
      </c>
      <c r="H315" s="34" t="n">
        <f aca="false">+IF(E315=0,0,E315*0.03)</f>
        <v>0</v>
      </c>
    </row>
    <row r="316" customFormat="false" ht="15.75" hidden="false" customHeight="true" outlineLevel="0" collapsed="false">
      <c r="A316" s="30" t="n">
        <v>0</v>
      </c>
      <c r="B316" s="31" t="s">
        <v>11</v>
      </c>
      <c r="C316" s="32"/>
      <c r="D316" s="32"/>
      <c r="E316" s="19" t="n">
        <f aca="false">+IF(C316="EQUIPO",F316,0)</f>
        <v>0</v>
      </c>
      <c r="F316" s="33" t="n">
        <v>0</v>
      </c>
      <c r="G316" s="35" t="n">
        <v>0</v>
      </c>
      <c r="H316" s="34" t="n">
        <f aca="false">+IF(E316=0,0,E316*0.03)</f>
        <v>0</v>
      </c>
    </row>
    <row r="317" customFormat="false" ht="15.75" hidden="false" customHeight="true" outlineLevel="0" collapsed="false">
      <c r="A317" s="30" t="n">
        <v>0</v>
      </c>
      <c r="B317" s="31" t="s">
        <v>11</v>
      </c>
      <c r="C317" s="32"/>
      <c r="D317" s="32"/>
      <c r="E317" s="19" t="n">
        <f aca="false">+IF(C317="EQUIPO",F317,0)</f>
        <v>0</v>
      </c>
      <c r="F317" s="33" t="n">
        <v>0</v>
      </c>
      <c r="G317" s="35" t="n">
        <v>0</v>
      </c>
      <c r="H317" s="34" t="n">
        <f aca="false">+IF(E317=0,0,E317*0.03)</f>
        <v>0</v>
      </c>
    </row>
    <row r="318" customFormat="false" ht="15.75" hidden="false" customHeight="true" outlineLevel="0" collapsed="false">
      <c r="A318" s="30" t="n">
        <v>0</v>
      </c>
      <c r="B318" s="31" t="s">
        <v>11</v>
      </c>
      <c r="C318" s="32"/>
      <c r="D318" s="32"/>
      <c r="E318" s="19" t="n">
        <f aca="false">+IF(C318="EQUIPO",F318,0)</f>
        <v>0</v>
      </c>
      <c r="F318" s="33" t="n">
        <v>0</v>
      </c>
      <c r="G318" s="35" t="n">
        <v>0</v>
      </c>
      <c r="H318" s="34" t="n">
        <f aca="false">+IF(E318=0,0,E318*0.03)</f>
        <v>0</v>
      </c>
    </row>
    <row r="319" customFormat="false" ht="15.75" hidden="false" customHeight="true" outlineLevel="0" collapsed="false">
      <c r="A319" s="30" t="n">
        <v>0</v>
      </c>
      <c r="B319" s="31" t="s">
        <v>11</v>
      </c>
      <c r="C319" s="32"/>
      <c r="D319" s="32"/>
      <c r="E319" s="19" t="n">
        <f aca="false">+IF(C319="EQUIPO",F319,0)</f>
        <v>0</v>
      </c>
      <c r="F319" s="33" t="n">
        <v>0</v>
      </c>
      <c r="G319" s="35" t="n">
        <v>0</v>
      </c>
      <c r="H319" s="34" t="n">
        <f aca="false">+IF(E319=0,0,E319*0.03)</f>
        <v>0</v>
      </c>
    </row>
    <row r="320" customFormat="false" ht="15.75" hidden="false" customHeight="true" outlineLevel="0" collapsed="false">
      <c r="A320" s="30" t="n">
        <v>0</v>
      </c>
      <c r="B320" s="31" t="s">
        <v>11</v>
      </c>
      <c r="C320" s="32"/>
      <c r="D320" s="32"/>
      <c r="E320" s="19" t="n">
        <f aca="false">+IF(C320="EQUIPO",F320,0)</f>
        <v>0</v>
      </c>
      <c r="F320" s="33" t="n">
        <v>0</v>
      </c>
      <c r="G320" s="35" t="n">
        <v>0</v>
      </c>
      <c r="H320" s="34" t="n">
        <f aca="false">+IF(E320=0,0,E320*0.03)</f>
        <v>0</v>
      </c>
    </row>
    <row r="321" customFormat="false" ht="15.75" hidden="false" customHeight="true" outlineLevel="0" collapsed="false">
      <c r="A321" s="30" t="n">
        <v>0</v>
      </c>
      <c r="B321" s="31" t="s">
        <v>11</v>
      </c>
      <c r="C321" s="32"/>
      <c r="D321" s="32"/>
      <c r="E321" s="19" t="n">
        <f aca="false">+IF(C321="EQUIPO",F321,0)</f>
        <v>0</v>
      </c>
      <c r="F321" s="33" t="n">
        <v>0</v>
      </c>
      <c r="G321" s="35" t="n">
        <v>0</v>
      </c>
      <c r="H321" s="34" t="n">
        <f aca="false">+IF(E321=0,0,E321*0.03)</f>
        <v>0</v>
      </c>
    </row>
    <row r="322" customFormat="false" ht="15.75" hidden="false" customHeight="true" outlineLevel="0" collapsed="false">
      <c r="A322" s="30" t="n">
        <v>0</v>
      </c>
      <c r="B322" s="31" t="s">
        <v>11</v>
      </c>
      <c r="C322" s="32"/>
      <c r="D322" s="32"/>
      <c r="E322" s="19" t="n">
        <f aca="false">+IF(C322="EQUIPO",F322,0)</f>
        <v>0</v>
      </c>
      <c r="F322" s="33" t="n">
        <v>0</v>
      </c>
      <c r="G322" s="35" t="n">
        <v>0</v>
      </c>
      <c r="H322" s="34" t="n">
        <f aca="false">+IF(E322=0,0,E322*0.03)</f>
        <v>0</v>
      </c>
    </row>
    <row r="323" customFormat="false" ht="15.75" hidden="false" customHeight="true" outlineLevel="0" collapsed="false">
      <c r="A323" s="30" t="n">
        <v>0</v>
      </c>
      <c r="B323" s="31" t="s">
        <v>11</v>
      </c>
      <c r="C323" s="32"/>
      <c r="D323" s="32"/>
      <c r="E323" s="19" t="n">
        <f aca="false">+IF(C323="EQUIPO",F323,0)</f>
        <v>0</v>
      </c>
      <c r="F323" s="33" t="n">
        <v>0</v>
      </c>
      <c r="G323" s="35" t="n">
        <v>0</v>
      </c>
      <c r="H323" s="34" t="n">
        <f aca="false">+IF(E323=0,0,E323*0.03)</f>
        <v>0</v>
      </c>
    </row>
    <row r="324" customFormat="false" ht="15.75" hidden="false" customHeight="true" outlineLevel="0" collapsed="false">
      <c r="A324" s="30" t="n">
        <v>0</v>
      </c>
      <c r="B324" s="31" t="s">
        <v>11</v>
      </c>
      <c r="C324" s="32"/>
      <c r="D324" s="32"/>
      <c r="E324" s="19" t="n">
        <f aca="false">+IF(C324="EQUIPO",F324,0)</f>
        <v>0</v>
      </c>
      <c r="F324" s="33" t="n">
        <v>0</v>
      </c>
      <c r="G324" s="35" t="n">
        <v>0</v>
      </c>
      <c r="H324" s="34" t="n">
        <f aca="false">+IF(E324=0,0,E324*0.03)</f>
        <v>0</v>
      </c>
    </row>
    <row r="325" customFormat="false" ht="15.75" hidden="false" customHeight="true" outlineLevel="0" collapsed="false">
      <c r="A325" s="30" t="n">
        <v>0</v>
      </c>
      <c r="B325" s="31" t="s">
        <v>11</v>
      </c>
      <c r="C325" s="32"/>
      <c r="D325" s="32"/>
      <c r="E325" s="19" t="n">
        <f aca="false">+IF(C325="EQUIPO",F325,0)</f>
        <v>0</v>
      </c>
      <c r="F325" s="33" t="n">
        <v>0</v>
      </c>
      <c r="G325" s="35" t="n">
        <v>0</v>
      </c>
      <c r="H325" s="34" t="n">
        <f aca="false">+IF(E325=0,0,E325*0.03)</f>
        <v>0</v>
      </c>
    </row>
    <row r="326" customFormat="false" ht="15.75" hidden="false" customHeight="true" outlineLevel="0" collapsed="false">
      <c r="A326" s="30" t="n">
        <v>0</v>
      </c>
      <c r="B326" s="31" t="s">
        <v>11</v>
      </c>
      <c r="C326" s="32"/>
      <c r="D326" s="32"/>
      <c r="E326" s="19" t="n">
        <f aca="false">+IF(C326="EQUIPO",F326,0)</f>
        <v>0</v>
      </c>
      <c r="F326" s="33" t="n">
        <v>0</v>
      </c>
      <c r="G326" s="35" t="n">
        <v>0</v>
      </c>
      <c r="H326" s="34" t="n">
        <f aca="false">+IF(E326=0,0,E326*0.03)</f>
        <v>0</v>
      </c>
    </row>
    <row r="327" customFormat="false" ht="15.75" hidden="false" customHeight="true" outlineLevel="0" collapsed="false">
      <c r="A327" s="30" t="n">
        <v>0</v>
      </c>
      <c r="B327" s="31" t="s">
        <v>11</v>
      </c>
      <c r="C327" s="32"/>
      <c r="D327" s="32"/>
      <c r="E327" s="19" t="n">
        <f aca="false">+IF(C327="EQUIPO",F327,0)</f>
        <v>0</v>
      </c>
      <c r="F327" s="33" t="n">
        <v>0</v>
      </c>
      <c r="G327" s="35" t="n">
        <v>0</v>
      </c>
      <c r="H327" s="34" t="n">
        <f aca="false">+IF(E327=0,0,E327*0.03)</f>
        <v>0</v>
      </c>
    </row>
    <row r="328" customFormat="false" ht="15.75" hidden="false" customHeight="true" outlineLevel="0" collapsed="false">
      <c r="A328" s="30" t="n">
        <v>0</v>
      </c>
      <c r="B328" s="31" t="s">
        <v>11</v>
      </c>
      <c r="C328" s="32"/>
      <c r="D328" s="32"/>
      <c r="E328" s="19" t="n">
        <f aca="false">+IF(C328="EQUIPO",F328,0)</f>
        <v>0</v>
      </c>
      <c r="F328" s="33" t="n">
        <v>0</v>
      </c>
      <c r="G328" s="35" t="n">
        <v>0</v>
      </c>
      <c r="H328" s="34" t="n">
        <f aca="false">+IF(E328=0,0,E328*0.03)</f>
        <v>0</v>
      </c>
    </row>
    <row r="329" customFormat="false" ht="15.75" hidden="false" customHeight="true" outlineLevel="0" collapsed="false">
      <c r="A329" s="30" t="n">
        <v>0</v>
      </c>
      <c r="B329" s="31" t="s">
        <v>11</v>
      </c>
      <c r="C329" s="32"/>
      <c r="D329" s="32"/>
      <c r="E329" s="19" t="n">
        <f aca="false">+IF(C329="EQUIPO",F329,0)</f>
        <v>0</v>
      </c>
      <c r="F329" s="33" t="n">
        <v>0</v>
      </c>
      <c r="G329" s="35" t="n">
        <v>0</v>
      </c>
      <c r="H329" s="34" t="n">
        <f aca="false">+IF(E329=0,0,E329*0.03)</f>
        <v>0</v>
      </c>
    </row>
    <row r="330" customFormat="false" ht="15.75" hidden="false" customHeight="true" outlineLevel="0" collapsed="false">
      <c r="A330" s="30" t="n">
        <v>0</v>
      </c>
      <c r="B330" s="31" t="s">
        <v>11</v>
      </c>
      <c r="C330" s="32"/>
      <c r="D330" s="32"/>
      <c r="E330" s="19" t="n">
        <f aca="false">+IF(C330="EQUIPO",F330,0)</f>
        <v>0</v>
      </c>
      <c r="F330" s="33" t="n">
        <v>0</v>
      </c>
      <c r="G330" s="35" t="n">
        <v>0</v>
      </c>
      <c r="H330" s="34" t="n">
        <f aca="false">+IF(E330=0,0,E330*0.03)</f>
        <v>0</v>
      </c>
    </row>
    <row r="331" customFormat="false" ht="15.75" hidden="false" customHeight="true" outlineLevel="0" collapsed="false">
      <c r="A331" s="30" t="n">
        <v>0</v>
      </c>
      <c r="B331" s="31" t="s">
        <v>11</v>
      </c>
      <c r="C331" s="32"/>
      <c r="D331" s="32"/>
      <c r="E331" s="19" t="n">
        <f aca="false">+IF(C331="EQUIPO",F331,0)</f>
        <v>0</v>
      </c>
      <c r="F331" s="33" t="n">
        <v>0</v>
      </c>
      <c r="G331" s="35" t="n">
        <v>0</v>
      </c>
      <c r="H331" s="34" t="n">
        <f aca="false">+IF(E331=0,0,E331*0.03)</f>
        <v>0</v>
      </c>
    </row>
    <row r="332" customFormat="false" ht="15.75" hidden="false" customHeight="true" outlineLevel="0" collapsed="false">
      <c r="A332" s="30" t="n">
        <v>0</v>
      </c>
      <c r="B332" s="31" t="s">
        <v>11</v>
      </c>
      <c r="C332" s="32"/>
      <c r="D332" s="32"/>
      <c r="E332" s="19" t="n">
        <f aca="false">+IF(C332="EQUIPO",F332,0)</f>
        <v>0</v>
      </c>
      <c r="F332" s="33" t="n">
        <v>0</v>
      </c>
      <c r="G332" s="35" t="n">
        <v>0</v>
      </c>
      <c r="H332" s="34" t="n">
        <f aca="false">+IF(E332=0,0,E332*0.03)</f>
        <v>0</v>
      </c>
    </row>
    <row r="333" customFormat="false" ht="15.75" hidden="false" customHeight="true" outlineLevel="0" collapsed="false">
      <c r="A333" s="30" t="n">
        <v>0</v>
      </c>
      <c r="B333" s="31" t="s">
        <v>11</v>
      </c>
      <c r="C333" s="32"/>
      <c r="D333" s="32"/>
      <c r="E333" s="19" t="n">
        <f aca="false">+IF(C333="EQUIPO",F333,0)</f>
        <v>0</v>
      </c>
      <c r="F333" s="33" t="n">
        <v>0</v>
      </c>
      <c r="G333" s="35" t="n">
        <v>0</v>
      </c>
      <c r="H333" s="34" t="n">
        <f aca="false">+IF(E333=0,0,E333*0.03)</f>
        <v>0</v>
      </c>
    </row>
    <row r="334" customFormat="false" ht="15.75" hidden="false" customHeight="true" outlineLevel="0" collapsed="false">
      <c r="A334" s="30" t="n">
        <v>0</v>
      </c>
      <c r="B334" s="31" t="s">
        <v>11</v>
      </c>
      <c r="C334" s="32"/>
      <c r="D334" s="32"/>
      <c r="E334" s="19" t="n">
        <f aca="false">+IF(C334="EQUIPO",F334,0)</f>
        <v>0</v>
      </c>
      <c r="F334" s="33" t="n">
        <v>0</v>
      </c>
      <c r="G334" s="35" t="n">
        <v>0</v>
      </c>
      <c r="H334" s="34" t="n">
        <f aca="false">+IF(E334=0,0,E334*0.03)</f>
        <v>0</v>
      </c>
    </row>
    <row r="335" customFormat="false" ht="15.75" hidden="false" customHeight="true" outlineLevel="0" collapsed="false">
      <c r="A335" s="30" t="n">
        <v>0</v>
      </c>
      <c r="B335" s="31" t="s">
        <v>11</v>
      </c>
      <c r="C335" s="32"/>
      <c r="D335" s="32"/>
      <c r="E335" s="19" t="n">
        <f aca="false">+IF(C335="EQUIPO",F335,0)</f>
        <v>0</v>
      </c>
      <c r="F335" s="33" t="n">
        <v>0</v>
      </c>
      <c r="G335" s="35" t="n">
        <v>0</v>
      </c>
      <c r="H335" s="34" t="n">
        <f aca="false">+IF(E335=0,0,E335*0.03)</f>
        <v>0</v>
      </c>
    </row>
    <row r="336" customFormat="false" ht="15.75" hidden="false" customHeight="true" outlineLevel="0" collapsed="false">
      <c r="A336" s="30" t="n">
        <v>0</v>
      </c>
      <c r="B336" s="31" t="s">
        <v>11</v>
      </c>
      <c r="C336" s="32"/>
      <c r="D336" s="32"/>
      <c r="E336" s="19" t="n">
        <f aca="false">+IF(C336="EQUIPO",F336,0)</f>
        <v>0</v>
      </c>
      <c r="F336" s="33" t="n">
        <v>0</v>
      </c>
      <c r="G336" s="35" t="n">
        <v>0</v>
      </c>
      <c r="H336" s="34" t="n">
        <f aca="false">+IF(E336=0,0,E336*0.03)</f>
        <v>0</v>
      </c>
    </row>
    <row r="337" customFormat="false" ht="15.75" hidden="false" customHeight="true" outlineLevel="0" collapsed="false">
      <c r="A337" s="30" t="n">
        <v>0</v>
      </c>
      <c r="B337" s="31" t="s">
        <v>11</v>
      </c>
      <c r="C337" s="32"/>
      <c r="D337" s="32"/>
      <c r="E337" s="19" t="n">
        <f aca="false">+IF(C337="EQUIPO",F337,0)</f>
        <v>0</v>
      </c>
      <c r="F337" s="33" t="n">
        <v>0</v>
      </c>
      <c r="G337" s="35" t="n">
        <v>0</v>
      </c>
      <c r="H337" s="34" t="n">
        <f aca="false">+IF(E337=0,0,E337*0.03)</f>
        <v>0</v>
      </c>
    </row>
    <row r="338" customFormat="false" ht="15.75" hidden="false" customHeight="true" outlineLevel="0" collapsed="false">
      <c r="A338" s="30" t="n">
        <v>0</v>
      </c>
      <c r="B338" s="31" t="s">
        <v>11</v>
      </c>
      <c r="C338" s="32"/>
      <c r="D338" s="32"/>
      <c r="E338" s="19" t="n">
        <f aca="false">+IF(C338="EQUIPO",F338,0)</f>
        <v>0</v>
      </c>
      <c r="F338" s="33" t="n">
        <v>0</v>
      </c>
      <c r="G338" s="35" t="n">
        <v>0</v>
      </c>
      <c r="H338" s="34" t="n">
        <f aca="false">+IF(E338=0,0,E338*0.03)</f>
        <v>0</v>
      </c>
    </row>
    <row r="339" customFormat="false" ht="15.75" hidden="false" customHeight="true" outlineLevel="0" collapsed="false">
      <c r="A339" s="30" t="n">
        <v>0</v>
      </c>
      <c r="B339" s="31" t="s">
        <v>11</v>
      </c>
      <c r="C339" s="32"/>
      <c r="D339" s="32"/>
      <c r="E339" s="19" t="n">
        <f aca="false">+IF(C339="EQUIPO",F339,0)</f>
        <v>0</v>
      </c>
      <c r="F339" s="33" t="n">
        <v>0</v>
      </c>
      <c r="G339" s="35" t="n">
        <v>0</v>
      </c>
      <c r="H339" s="34" t="n">
        <f aca="false">+IF(E339=0,0,E339*0.03)</f>
        <v>0</v>
      </c>
    </row>
    <row r="340" customFormat="false" ht="15.75" hidden="false" customHeight="true" outlineLevel="0" collapsed="false">
      <c r="A340" s="30" t="n">
        <v>0</v>
      </c>
      <c r="B340" s="31" t="s">
        <v>11</v>
      </c>
      <c r="C340" s="32"/>
      <c r="D340" s="32"/>
      <c r="E340" s="19" t="n">
        <f aca="false">+IF(C340="EQUIPO",F340,0)</f>
        <v>0</v>
      </c>
      <c r="F340" s="33" t="n">
        <v>0</v>
      </c>
      <c r="G340" s="35" t="n">
        <v>0</v>
      </c>
      <c r="H340" s="34" t="n">
        <f aca="false">+IF(E340=0,0,E340*0.03)</f>
        <v>0</v>
      </c>
    </row>
    <row r="341" customFormat="false" ht="15.75" hidden="false" customHeight="true" outlineLevel="0" collapsed="false">
      <c r="A341" s="30" t="n">
        <v>0</v>
      </c>
      <c r="B341" s="31" t="s">
        <v>11</v>
      </c>
      <c r="C341" s="32"/>
      <c r="D341" s="32"/>
      <c r="E341" s="19" t="n">
        <f aca="false">+IF(C341="EQUIPO",F341,0)</f>
        <v>0</v>
      </c>
      <c r="F341" s="33" t="n">
        <v>0</v>
      </c>
      <c r="G341" s="35" t="n">
        <v>0</v>
      </c>
      <c r="H341" s="34" t="n">
        <f aca="false">+IF(E341=0,0,E341*0.03)</f>
        <v>0</v>
      </c>
    </row>
    <row r="342" customFormat="false" ht="15.75" hidden="false" customHeight="true" outlineLevel="0" collapsed="false">
      <c r="A342" s="30" t="n">
        <v>0</v>
      </c>
      <c r="B342" s="31" t="s">
        <v>11</v>
      </c>
      <c r="C342" s="32"/>
      <c r="D342" s="32"/>
      <c r="E342" s="19" t="n">
        <f aca="false">+IF(C342="EQUIPO",F342,0)</f>
        <v>0</v>
      </c>
      <c r="F342" s="33" t="n">
        <v>0</v>
      </c>
      <c r="G342" s="35" t="n">
        <v>0</v>
      </c>
      <c r="H342" s="34" t="n">
        <f aca="false">+IF(E342=0,0,E342*0.03)</f>
        <v>0</v>
      </c>
    </row>
    <row r="343" customFormat="false" ht="15.75" hidden="false" customHeight="true" outlineLevel="0" collapsed="false">
      <c r="A343" s="30" t="n">
        <v>0</v>
      </c>
      <c r="B343" s="31" t="s">
        <v>11</v>
      </c>
      <c r="C343" s="32"/>
      <c r="D343" s="32"/>
      <c r="E343" s="19" t="n">
        <f aca="false">+IF(C343="EQUIPO",F343,0)</f>
        <v>0</v>
      </c>
      <c r="F343" s="33" t="n">
        <v>0</v>
      </c>
      <c r="G343" s="35" t="n">
        <v>0</v>
      </c>
      <c r="H343" s="34" t="n">
        <f aca="false">+IF(E343=0,0,E343*0.03)</f>
        <v>0</v>
      </c>
    </row>
    <row r="344" customFormat="false" ht="15.75" hidden="false" customHeight="true" outlineLevel="0" collapsed="false">
      <c r="A344" s="30" t="n">
        <v>0</v>
      </c>
      <c r="B344" s="31" t="s">
        <v>11</v>
      </c>
      <c r="C344" s="32"/>
      <c r="D344" s="32"/>
      <c r="E344" s="19" t="n">
        <f aca="false">+IF(C344="EQUIPO",F344,0)</f>
        <v>0</v>
      </c>
      <c r="F344" s="33" t="n">
        <v>0</v>
      </c>
      <c r="G344" s="35" t="n">
        <v>0</v>
      </c>
      <c r="H344" s="34" t="n">
        <f aca="false">+IF(E344=0,0,E344*0.03)</f>
        <v>0</v>
      </c>
    </row>
    <row r="345" customFormat="false" ht="15.75" hidden="false" customHeight="true" outlineLevel="0" collapsed="false">
      <c r="A345" s="30" t="n">
        <v>0</v>
      </c>
      <c r="B345" s="31" t="s">
        <v>11</v>
      </c>
      <c r="C345" s="32"/>
      <c r="D345" s="32"/>
      <c r="E345" s="19" t="n">
        <f aca="false">+IF(C345="EQUIPO",F345,0)</f>
        <v>0</v>
      </c>
      <c r="F345" s="33" t="n">
        <v>0</v>
      </c>
      <c r="G345" s="35" t="n">
        <v>0</v>
      </c>
      <c r="H345" s="34" t="n">
        <f aca="false">+IF(E345=0,0,E345*0.03)</f>
        <v>0</v>
      </c>
    </row>
    <row r="346" customFormat="false" ht="15.75" hidden="false" customHeight="true" outlineLevel="0" collapsed="false">
      <c r="A346" s="30" t="n">
        <v>0</v>
      </c>
      <c r="B346" s="31" t="s">
        <v>11</v>
      </c>
      <c r="C346" s="32"/>
      <c r="D346" s="32"/>
      <c r="E346" s="19" t="n">
        <f aca="false">+IF(C346="EQUIPO",F346,0)</f>
        <v>0</v>
      </c>
      <c r="F346" s="33" t="n">
        <v>0</v>
      </c>
      <c r="G346" s="35" t="n">
        <v>0</v>
      </c>
      <c r="H346" s="34" t="n">
        <f aca="false">+IF(E346=0,0,E346*0.03)</f>
        <v>0</v>
      </c>
    </row>
    <row r="347" customFormat="false" ht="15.75" hidden="false" customHeight="true" outlineLevel="0" collapsed="false">
      <c r="A347" s="30" t="n">
        <v>0</v>
      </c>
      <c r="B347" s="31" t="s">
        <v>11</v>
      </c>
      <c r="C347" s="32"/>
      <c r="D347" s="32"/>
      <c r="E347" s="19" t="n">
        <f aca="false">+IF(C347="EQUIPO",F347,0)</f>
        <v>0</v>
      </c>
      <c r="F347" s="33" t="n">
        <v>0</v>
      </c>
      <c r="G347" s="35" t="n">
        <v>0</v>
      </c>
      <c r="H347" s="34" t="n">
        <f aca="false">+IF(E347=0,0,E347*0.03)</f>
        <v>0</v>
      </c>
    </row>
    <row r="348" customFormat="false" ht="15.75" hidden="false" customHeight="true" outlineLevel="0" collapsed="false">
      <c r="A348" s="30" t="n">
        <v>0</v>
      </c>
      <c r="B348" s="31" t="s">
        <v>11</v>
      </c>
      <c r="C348" s="32"/>
      <c r="D348" s="32"/>
      <c r="E348" s="19" t="n">
        <f aca="false">+IF(C348="EQUIPO",F348,0)</f>
        <v>0</v>
      </c>
      <c r="F348" s="33" t="n">
        <v>0</v>
      </c>
      <c r="G348" s="35" t="n">
        <v>0</v>
      </c>
      <c r="H348" s="34" t="n">
        <f aca="false">+IF(E348=0,0,E348*0.03)</f>
        <v>0</v>
      </c>
    </row>
    <row r="349" customFormat="false" ht="15.75" hidden="false" customHeight="true" outlineLevel="0" collapsed="false">
      <c r="A349" s="30" t="n">
        <v>0</v>
      </c>
      <c r="B349" s="31" t="s">
        <v>11</v>
      </c>
      <c r="C349" s="32"/>
      <c r="D349" s="32"/>
      <c r="E349" s="19" t="n">
        <f aca="false">+IF(C349="EQUIPO",F349,0)</f>
        <v>0</v>
      </c>
      <c r="F349" s="33" t="n">
        <v>0</v>
      </c>
      <c r="G349" s="35" t="n">
        <v>0</v>
      </c>
      <c r="H349" s="34" t="n">
        <f aca="false">+IF(E349=0,0,E349*0.03)</f>
        <v>0</v>
      </c>
    </row>
    <row r="350" customFormat="false" ht="15.75" hidden="false" customHeight="true" outlineLevel="0" collapsed="false">
      <c r="A350" s="30" t="n">
        <v>0</v>
      </c>
      <c r="B350" s="31" t="s">
        <v>11</v>
      </c>
      <c r="C350" s="32"/>
      <c r="D350" s="32"/>
      <c r="E350" s="19" t="n">
        <f aca="false">+IF(C350="EQUIPO",F350,0)</f>
        <v>0</v>
      </c>
      <c r="F350" s="33" t="n">
        <v>0</v>
      </c>
      <c r="G350" s="35" t="n">
        <v>0</v>
      </c>
      <c r="H350" s="34" t="n">
        <f aca="false">+IF(E350=0,0,E350*0.03)</f>
        <v>0</v>
      </c>
    </row>
    <row r="351" customFormat="false" ht="15.75" hidden="false" customHeight="true" outlineLevel="0" collapsed="false">
      <c r="A351" s="30" t="n">
        <v>0</v>
      </c>
      <c r="B351" s="31" t="s">
        <v>11</v>
      </c>
      <c r="C351" s="32"/>
      <c r="D351" s="32"/>
      <c r="E351" s="19" t="n">
        <f aca="false">+IF(C351="EQUIPO",F351,0)</f>
        <v>0</v>
      </c>
      <c r="F351" s="33" t="n">
        <v>0</v>
      </c>
      <c r="G351" s="35" t="n">
        <v>0</v>
      </c>
      <c r="H351" s="34" t="n">
        <f aca="false">+IF(E351=0,0,E351*0.03)</f>
        <v>0</v>
      </c>
    </row>
    <row r="352" customFormat="false" ht="15.75" hidden="false" customHeight="true" outlineLevel="0" collapsed="false">
      <c r="A352" s="30" t="n">
        <v>0</v>
      </c>
      <c r="B352" s="31" t="s">
        <v>11</v>
      </c>
      <c r="C352" s="32"/>
      <c r="D352" s="32"/>
      <c r="E352" s="19" t="n">
        <f aca="false">+IF(C352="EQUIPO",F352,0)</f>
        <v>0</v>
      </c>
      <c r="F352" s="33" t="n">
        <v>0</v>
      </c>
      <c r="G352" s="35" t="n">
        <v>0</v>
      </c>
      <c r="H352" s="34" t="n">
        <f aca="false">+IF(E352=0,0,E352*0.03)</f>
        <v>0</v>
      </c>
    </row>
    <row r="353" customFormat="false" ht="15.75" hidden="false" customHeight="true" outlineLevel="0" collapsed="false">
      <c r="A353" s="30" t="n">
        <v>0</v>
      </c>
      <c r="B353" s="31" t="s">
        <v>11</v>
      </c>
      <c r="C353" s="32"/>
      <c r="D353" s="32"/>
      <c r="E353" s="19" t="n">
        <f aca="false">+IF(C353="EQUIPO",F353,0)</f>
        <v>0</v>
      </c>
      <c r="F353" s="33" t="n">
        <v>0</v>
      </c>
      <c r="G353" s="35" t="n">
        <v>0</v>
      </c>
      <c r="H353" s="34" t="n">
        <f aca="false">+IF(E353=0,0,E353*0.03)</f>
        <v>0</v>
      </c>
    </row>
    <row r="354" customFormat="false" ht="15.75" hidden="false" customHeight="true" outlineLevel="0" collapsed="false">
      <c r="A354" s="30" t="n">
        <v>0</v>
      </c>
      <c r="B354" s="31" t="s">
        <v>11</v>
      </c>
      <c r="C354" s="32"/>
      <c r="D354" s="32"/>
      <c r="E354" s="19" t="n">
        <f aca="false">+IF(C354="EQUIPO",F354,0)</f>
        <v>0</v>
      </c>
      <c r="F354" s="33" t="n">
        <v>0</v>
      </c>
      <c r="G354" s="35" t="n">
        <v>0</v>
      </c>
      <c r="H354" s="34" t="n">
        <f aca="false">+IF(E354=0,0,E354*0.03)</f>
        <v>0</v>
      </c>
    </row>
    <row r="355" customFormat="false" ht="15.75" hidden="false" customHeight="true" outlineLevel="0" collapsed="false">
      <c r="A355" s="30" t="n">
        <v>0</v>
      </c>
      <c r="B355" s="31" t="s">
        <v>11</v>
      </c>
      <c r="C355" s="32"/>
      <c r="D355" s="32"/>
      <c r="E355" s="19" t="n">
        <f aca="false">+IF(C355="EQUIPO",F355,0)</f>
        <v>0</v>
      </c>
      <c r="F355" s="33" t="n">
        <v>0</v>
      </c>
      <c r="G355" s="35" t="n">
        <v>0</v>
      </c>
      <c r="H355" s="34" t="n">
        <f aca="false">+IF(E355=0,0,E355*0.03)</f>
        <v>0</v>
      </c>
    </row>
    <row r="356" customFormat="false" ht="15.75" hidden="false" customHeight="true" outlineLevel="0" collapsed="false">
      <c r="A356" s="30" t="n">
        <v>0</v>
      </c>
      <c r="B356" s="31" t="s">
        <v>11</v>
      </c>
      <c r="C356" s="32"/>
      <c r="D356" s="32"/>
      <c r="E356" s="19" t="n">
        <f aca="false">+IF(C356="EQUIPO",F356,0)</f>
        <v>0</v>
      </c>
      <c r="F356" s="33" t="n">
        <v>0</v>
      </c>
      <c r="G356" s="35" t="n">
        <v>0</v>
      </c>
      <c r="H356" s="34" t="n">
        <f aca="false">+IF(E356=0,0,E356*0.03)</f>
        <v>0</v>
      </c>
    </row>
    <row r="357" customFormat="false" ht="15.75" hidden="false" customHeight="true" outlineLevel="0" collapsed="false">
      <c r="A357" s="30" t="n">
        <v>0</v>
      </c>
      <c r="B357" s="31" t="s">
        <v>11</v>
      </c>
      <c r="C357" s="32"/>
      <c r="D357" s="32"/>
      <c r="E357" s="19" t="n">
        <f aca="false">+IF(C357="EQUIPO",F357,0)</f>
        <v>0</v>
      </c>
      <c r="F357" s="33" t="n">
        <v>0</v>
      </c>
      <c r="G357" s="35" t="n">
        <v>0</v>
      </c>
      <c r="H357" s="34" t="n">
        <f aca="false">+IF(E357=0,0,E357*0.03)</f>
        <v>0</v>
      </c>
    </row>
    <row r="358" customFormat="false" ht="15.75" hidden="false" customHeight="true" outlineLevel="0" collapsed="false">
      <c r="A358" s="30" t="n">
        <v>0</v>
      </c>
      <c r="B358" s="31" t="s">
        <v>11</v>
      </c>
      <c r="C358" s="32"/>
      <c r="D358" s="32"/>
      <c r="E358" s="19" t="n">
        <f aca="false">+IF(C358="EQUIPO",F358,0)</f>
        <v>0</v>
      </c>
      <c r="F358" s="33" t="n">
        <v>0</v>
      </c>
      <c r="G358" s="35" t="n">
        <v>0</v>
      </c>
      <c r="H358" s="34" t="n">
        <f aca="false">+IF(E358=0,0,E358*0.03)</f>
        <v>0</v>
      </c>
    </row>
    <row r="359" customFormat="false" ht="15.75" hidden="false" customHeight="true" outlineLevel="0" collapsed="false">
      <c r="A359" s="30" t="n">
        <v>0</v>
      </c>
      <c r="B359" s="31" t="s">
        <v>11</v>
      </c>
      <c r="C359" s="32"/>
      <c r="D359" s="32"/>
      <c r="E359" s="19" t="n">
        <f aca="false">+IF(C359="EQUIPO",F359,0)</f>
        <v>0</v>
      </c>
      <c r="F359" s="33" t="n">
        <v>0</v>
      </c>
      <c r="G359" s="35" t="n">
        <v>0</v>
      </c>
      <c r="H359" s="34" t="n">
        <f aca="false">+IF(E359=0,0,E359*0.03)</f>
        <v>0</v>
      </c>
    </row>
    <row r="360" customFormat="false" ht="15.75" hidden="false" customHeight="true" outlineLevel="0" collapsed="false">
      <c r="A360" s="30" t="n">
        <v>0</v>
      </c>
      <c r="B360" s="31" t="s">
        <v>11</v>
      </c>
      <c r="C360" s="32"/>
      <c r="D360" s="32"/>
      <c r="E360" s="19" t="n">
        <f aca="false">+IF(C360="EQUIPO",F360,0)</f>
        <v>0</v>
      </c>
      <c r="F360" s="33" t="n">
        <v>0</v>
      </c>
      <c r="G360" s="35" t="n">
        <v>0</v>
      </c>
      <c r="H360" s="34" t="n">
        <f aca="false">+IF(E360=0,0,E360*0.03)</f>
        <v>0</v>
      </c>
    </row>
    <row r="361" customFormat="false" ht="15.75" hidden="false" customHeight="true" outlineLevel="0" collapsed="false">
      <c r="A361" s="30" t="n">
        <v>0</v>
      </c>
      <c r="B361" s="31" t="s">
        <v>11</v>
      </c>
      <c r="C361" s="32"/>
      <c r="D361" s="32"/>
      <c r="E361" s="19" t="n">
        <f aca="false">+IF(C361="EQUIPO",F361,0)</f>
        <v>0</v>
      </c>
      <c r="F361" s="33" t="n">
        <v>0</v>
      </c>
      <c r="G361" s="35" t="n">
        <v>0</v>
      </c>
      <c r="H361" s="34" t="n">
        <f aca="false">+IF(E361=0,0,E361*0.03)</f>
        <v>0</v>
      </c>
    </row>
    <row r="362" customFormat="false" ht="15.75" hidden="false" customHeight="true" outlineLevel="0" collapsed="false">
      <c r="A362" s="30" t="n">
        <v>0</v>
      </c>
      <c r="B362" s="31" t="s">
        <v>11</v>
      </c>
      <c r="C362" s="32"/>
      <c r="D362" s="32"/>
      <c r="E362" s="19" t="n">
        <f aca="false">+IF(C362="EQUIPO",F362,0)</f>
        <v>0</v>
      </c>
      <c r="F362" s="33" t="n">
        <v>0</v>
      </c>
      <c r="G362" s="35" t="n">
        <v>0</v>
      </c>
      <c r="H362" s="34" t="n">
        <f aca="false">+IF(E362=0,0,E362*0.03)</f>
        <v>0</v>
      </c>
    </row>
    <row r="363" customFormat="false" ht="15.75" hidden="false" customHeight="true" outlineLevel="0" collapsed="false">
      <c r="A363" s="30" t="n">
        <v>0</v>
      </c>
      <c r="B363" s="31" t="s">
        <v>11</v>
      </c>
      <c r="C363" s="32"/>
      <c r="D363" s="32"/>
      <c r="E363" s="19" t="n">
        <f aca="false">+IF(C363="EQUIPO",F363,0)</f>
        <v>0</v>
      </c>
      <c r="F363" s="33" t="n">
        <v>0</v>
      </c>
      <c r="G363" s="35" t="n">
        <v>0</v>
      </c>
      <c r="H363" s="34" t="n">
        <f aca="false">+IF(E363=0,0,E363*0.03)</f>
        <v>0</v>
      </c>
    </row>
    <row r="364" customFormat="false" ht="15.75" hidden="false" customHeight="true" outlineLevel="0" collapsed="false">
      <c r="A364" s="30" t="n">
        <v>0</v>
      </c>
      <c r="B364" s="31" t="s">
        <v>11</v>
      </c>
      <c r="C364" s="32"/>
      <c r="D364" s="32"/>
      <c r="E364" s="19" t="n">
        <f aca="false">+IF(C364="EQUIPO",F364,0)</f>
        <v>0</v>
      </c>
      <c r="F364" s="33" t="n">
        <v>0</v>
      </c>
      <c r="G364" s="35" t="n">
        <v>0</v>
      </c>
      <c r="H364" s="34" t="n">
        <f aca="false">+IF(E364=0,0,E364*0.03)</f>
        <v>0</v>
      </c>
    </row>
    <row r="365" customFormat="false" ht="15.75" hidden="false" customHeight="true" outlineLevel="0" collapsed="false">
      <c r="A365" s="30" t="n">
        <v>0</v>
      </c>
      <c r="B365" s="31" t="s">
        <v>11</v>
      </c>
      <c r="C365" s="32"/>
      <c r="D365" s="32"/>
      <c r="E365" s="19" t="n">
        <f aca="false">+IF(C365="EQUIPO",F365,0)</f>
        <v>0</v>
      </c>
      <c r="F365" s="33" t="n">
        <v>0</v>
      </c>
      <c r="G365" s="35" t="n">
        <v>0</v>
      </c>
      <c r="H365" s="34" t="n">
        <f aca="false">+IF(E365=0,0,E365*0.03)</f>
        <v>0</v>
      </c>
    </row>
    <row r="366" customFormat="false" ht="15.75" hidden="false" customHeight="true" outlineLevel="0" collapsed="false">
      <c r="A366" s="30" t="n">
        <v>0</v>
      </c>
      <c r="B366" s="31" t="s">
        <v>11</v>
      </c>
      <c r="C366" s="32"/>
      <c r="D366" s="32"/>
      <c r="E366" s="19" t="n">
        <f aca="false">+IF(C366="EQUIPO",F366,0)</f>
        <v>0</v>
      </c>
      <c r="F366" s="33" t="n">
        <v>0</v>
      </c>
      <c r="G366" s="35" t="n">
        <v>0</v>
      </c>
      <c r="H366" s="34" t="n">
        <f aca="false">+IF(E366=0,0,E366*0.03)</f>
        <v>0</v>
      </c>
    </row>
    <row r="367" customFormat="false" ht="15.75" hidden="false" customHeight="true" outlineLevel="0" collapsed="false">
      <c r="A367" s="30" t="n">
        <v>0</v>
      </c>
      <c r="B367" s="31" t="s">
        <v>11</v>
      </c>
      <c r="C367" s="32"/>
      <c r="D367" s="32"/>
      <c r="E367" s="19" t="n">
        <f aca="false">+IF(C367="EQUIPO",F367,0)</f>
        <v>0</v>
      </c>
      <c r="F367" s="33" t="n">
        <v>0</v>
      </c>
      <c r="G367" s="35" t="n">
        <v>0</v>
      </c>
      <c r="H367" s="34" t="n">
        <f aca="false">+IF(E367=0,0,E367*0.03)</f>
        <v>0</v>
      </c>
    </row>
    <row r="368" customFormat="false" ht="15.75" hidden="false" customHeight="true" outlineLevel="0" collapsed="false">
      <c r="A368" s="30" t="n">
        <v>0</v>
      </c>
      <c r="B368" s="31" t="s">
        <v>11</v>
      </c>
      <c r="C368" s="32"/>
      <c r="D368" s="32"/>
      <c r="E368" s="19" t="n">
        <f aca="false">+IF(C368="EQUIPO",F368,0)</f>
        <v>0</v>
      </c>
      <c r="F368" s="33" t="n">
        <v>0</v>
      </c>
      <c r="G368" s="35" t="n">
        <v>0</v>
      </c>
      <c r="H368" s="34" t="n">
        <f aca="false">+IF(E368=0,0,E368*0.03)</f>
        <v>0</v>
      </c>
    </row>
    <row r="369" customFormat="false" ht="15.75" hidden="false" customHeight="true" outlineLevel="0" collapsed="false">
      <c r="A369" s="30" t="n">
        <v>0</v>
      </c>
      <c r="B369" s="31" t="s">
        <v>11</v>
      </c>
      <c r="C369" s="32"/>
      <c r="D369" s="32"/>
      <c r="E369" s="19" t="n">
        <f aca="false">+IF(C369="EQUIPO",F369,0)</f>
        <v>0</v>
      </c>
      <c r="F369" s="33" t="n">
        <v>0</v>
      </c>
      <c r="G369" s="35" t="n">
        <v>0</v>
      </c>
      <c r="H369" s="34" t="n">
        <f aca="false">+IF(E369=0,0,E369*0.03)</f>
        <v>0</v>
      </c>
    </row>
    <row r="370" customFormat="false" ht="15.75" hidden="false" customHeight="true" outlineLevel="0" collapsed="false">
      <c r="A370" s="30" t="n">
        <v>0</v>
      </c>
      <c r="B370" s="31" t="s">
        <v>11</v>
      </c>
      <c r="C370" s="32"/>
      <c r="D370" s="32"/>
      <c r="E370" s="19" t="n">
        <f aca="false">+IF(C370="EQUIPO",F370,0)</f>
        <v>0</v>
      </c>
      <c r="F370" s="33" t="n">
        <v>0</v>
      </c>
      <c r="G370" s="35" t="n">
        <v>0</v>
      </c>
      <c r="H370" s="34" t="n">
        <f aca="false">+IF(E370=0,0,E370*0.03)</f>
        <v>0</v>
      </c>
    </row>
    <row r="371" customFormat="false" ht="15.75" hidden="false" customHeight="true" outlineLevel="0" collapsed="false">
      <c r="A371" s="30" t="n">
        <v>0</v>
      </c>
      <c r="B371" s="31" t="s">
        <v>11</v>
      </c>
      <c r="C371" s="32"/>
      <c r="D371" s="32"/>
      <c r="E371" s="19" t="n">
        <f aca="false">+IF(C371="EQUIPO",F371,0)</f>
        <v>0</v>
      </c>
      <c r="F371" s="33" t="n">
        <v>0</v>
      </c>
      <c r="G371" s="35" t="n">
        <v>0</v>
      </c>
      <c r="H371" s="34" t="n">
        <f aca="false">+IF(E371=0,0,E371*0.03)</f>
        <v>0</v>
      </c>
    </row>
    <row r="372" customFormat="false" ht="15.75" hidden="false" customHeight="true" outlineLevel="0" collapsed="false">
      <c r="A372" s="30" t="n">
        <v>0</v>
      </c>
      <c r="B372" s="31" t="s">
        <v>11</v>
      </c>
      <c r="C372" s="32"/>
      <c r="D372" s="32"/>
      <c r="E372" s="19" t="n">
        <f aca="false">+IF(C372="EQUIPO",F372,0)</f>
        <v>0</v>
      </c>
      <c r="F372" s="33" t="n">
        <v>0</v>
      </c>
      <c r="G372" s="35" t="n">
        <v>0</v>
      </c>
      <c r="H372" s="34" t="n">
        <f aca="false">+IF(E372=0,0,E372*0.03)</f>
        <v>0</v>
      </c>
    </row>
    <row r="373" customFormat="false" ht="15.75" hidden="false" customHeight="true" outlineLevel="0" collapsed="false">
      <c r="A373" s="30" t="n">
        <v>0</v>
      </c>
      <c r="B373" s="31" t="s">
        <v>11</v>
      </c>
      <c r="C373" s="32"/>
      <c r="D373" s="32"/>
      <c r="E373" s="19" t="n">
        <f aca="false">+IF(C373="EQUIPO",F373,0)</f>
        <v>0</v>
      </c>
      <c r="F373" s="33" t="n">
        <v>0</v>
      </c>
      <c r="G373" s="35" t="n">
        <v>0</v>
      </c>
      <c r="H373" s="34" t="n">
        <f aca="false">+IF(E373=0,0,E373*0.03)</f>
        <v>0</v>
      </c>
    </row>
    <row r="374" customFormat="false" ht="15.75" hidden="false" customHeight="true" outlineLevel="0" collapsed="false">
      <c r="A374" s="30" t="n">
        <v>0</v>
      </c>
      <c r="B374" s="31" t="s">
        <v>11</v>
      </c>
      <c r="C374" s="32"/>
      <c r="D374" s="32"/>
      <c r="E374" s="19" t="n">
        <f aca="false">+IF(C374="EQUIPO",F374,0)</f>
        <v>0</v>
      </c>
      <c r="F374" s="33" t="n">
        <v>0</v>
      </c>
      <c r="G374" s="35" t="n">
        <v>0</v>
      </c>
      <c r="H374" s="34" t="n">
        <f aca="false">+IF(E374=0,0,E374*0.03)</f>
        <v>0</v>
      </c>
    </row>
    <row r="375" customFormat="false" ht="15.75" hidden="false" customHeight="true" outlineLevel="0" collapsed="false">
      <c r="A375" s="30" t="n">
        <v>0</v>
      </c>
      <c r="B375" s="31" t="s">
        <v>11</v>
      </c>
      <c r="C375" s="32"/>
      <c r="D375" s="32"/>
      <c r="E375" s="19" t="n">
        <f aca="false">+IF(C375="EQUIPO",F375,0)</f>
        <v>0</v>
      </c>
      <c r="F375" s="33" t="n">
        <v>0</v>
      </c>
      <c r="G375" s="35" t="n">
        <v>0</v>
      </c>
      <c r="H375" s="34" t="n">
        <f aca="false">+IF(E375=0,0,E375*0.03)</f>
        <v>0</v>
      </c>
    </row>
    <row r="376" customFormat="false" ht="15.75" hidden="false" customHeight="true" outlineLevel="0" collapsed="false">
      <c r="A376" s="30" t="n">
        <v>0</v>
      </c>
      <c r="B376" s="31" t="s">
        <v>11</v>
      </c>
      <c r="C376" s="32"/>
      <c r="D376" s="32"/>
      <c r="E376" s="19" t="n">
        <f aca="false">+IF(C376="EQUIPO",F376,0)</f>
        <v>0</v>
      </c>
      <c r="F376" s="33" t="n">
        <v>0</v>
      </c>
      <c r="G376" s="35" t="n">
        <v>0</v>
      </c>
      <c r="H376" s="34" t="n">
        <f aca="false">+IF(E376=0,0,E376*0.03)</f>
        <v>0</v>
      </c>
    </row>
    <row r="377" customFormat="false" ht="15.75" hidden="false" customHeight="true" outlineLevel="0" collapsed="false">
      <c r="A377" s="30" t="n">
        <v>0</v>
      </c>
      <c r="B377" s="31" t="s">
        <v>11</v>
      </c>
      <c r="C377" s="32"/>
      <c r="D377" s="32"/>
      <c r="E377" s="19" t="n">
        <f aca="false">+IF(C377="EQUIPO",F377,0)</f>
        <v>0</v>
      </c>
      <c r="F377" s="33" t="n">
        <v>0</v>
      </c>
      <c r="G377" s="35" t="n">
        <v>0</v>
      </c>
      <c r="H377" s="34" t="n">
        <f aca="false">+IF(E377=0,0,E377*0.03)</f>
        <v>0</v>
      </c>
    </row>
    <row r="378" customFormat="false" ht="15.75" hidden="false" customHeight="true" outlineLevel="0" collapsed="false">
      <c r="A378" s="30" t="n">
        <v>0</v>
      </c>
      <c r="B378" s="31" t="s">
        <v>11</v>
      </c>
      <c r="C378" s="32"/>
      <c r="D378" s="32"/>
      <c r="E378" s="19" t="n">
        <f aca="false">+IF(C378="EQUIPO",F378,0)</f>
        <v>0</v>
      </c>
      <c r="F378" s="33" t="n">
        <v>0</v>
      </c>
      <c r="G378" s="35" t="n">
        <v>0</v>
      </c>
      <c r="H378" s="34" t="n">
        <f aca="false">+IF(E378=0,0,E378*0.03)</f>
        <v>0</v>
      </c>
    </row>
    <row r="379" customFormat="false" ht="15.75" hidden="false" customHeight="true" outlineLevel="0" collapsed="false">
      <c r="A379" s="30" t="n">
        <v>0</v>
      </c>
      <c r="B379" s="31" t="s">
        <v>11</v>
      </c>
      <c r="C379" s="32"/>
      <c r="D379" s="32"/>
      <c r="E379" s="19" t="n">
        <f aca="false">+IF(C379="EQUIPO",F379,0)</f>
        <v>0</v>
      </c>
      <c r="F379" s="33" t="n">
        <v>0</v>
      </c>
      <c r="G379" s="35" t="n">
        <v>0</v>
      </c>
      <c r="H379" s="34" t="n">
        <f aca="false">+IF(E379=0,0,E379*0.03)</f>
        <v>0</v>
      </c>
    </row>
    <row r="380" customFormat="false" ht="15.75" hidden="false" customHeight="true" outlineLevel="0" collapsed="false">
      <c r="A380" s="30" t="n">
        <v>0</v>
      </c>
      <c r="B380" s="31" t="s">
        <v>11</v>
      </c>
      <c r="C380" s="32"/>
      <c r="D380" s="32"/>
      <c r="E380" s="19" t="n">
        <f aca="false">+IF(C380="EQUIPO",F380,0)</f>
        <v>0</v>
      </c>
      <c r="F380" s="33" t="n">
        <v>0</v>
      </c>
      <c r="G380" s="35" t="n">
        <v>0</v>
      </c>
      <c r="H380" s="34" t="n">
        <f aca="false">+IF(E380=0,0,E380*0.03)</f>
        <v>0</v>
      </c>
    </row>
    <row r="381" customFormat="false" ht="15.75" hidden="false" customHeight="true" outlineLevel="0" collapsed="false">
      <c r="A381" s="30" t="n">
        <v>0</v>
      </c>
      <c r="B381" s="31" t="s">
        <v>11</v>
      </c>
      <c r="C381" s="32"/>
      <c r="D381" s="32"/>
      <c r="E381" s="19" t="n">
        <f aca="false">+IF(C381="EQUIPO",F381,0)</f>
        <v>0</v>
      </c>
      <c r="F381" s="33" t="n">
        <v>0</v>
      </c>
      <c r="G381" s="35" t="n">
        <v>0</v>
      </c>
      <c r="H381" s="34" t="n">
        <f aca="false">+IF(E381=0,0,E381*0.03)</f>
        <v>0</v>
      </c>
    </row>
    <row r="382" customFormat="false" ht="15.75" hidden="false" customHeight="true" outlineLevel="0" collapsed="false">
      <c r="A382" s="30" t="n">
        <v>0</v>
      </c>
      <c r="B382" s="31" t="s">
        <v>11</v>
      </c>
      <c r="C382" s="32"/>
      <c r="D382" s="32"/>
      <c r="E382" s="19" t="n">
        <f aca="false">+IF(C382="EQUIPO",F382,0)</f>
        <v>0</v>
      </c>
      <c r="F382" s="33" t="n">
        <v>0</v>
      </c>
      <c r="G382" s="35" t="n">
        <v>0</v>
      </c>
      <c r="H382" s="34" t="n">
        <f aca="false">+IF(E382=0,0,E382*0.03)</f>
        <v>0</v>
      </c>
    </row>
    <row r="383" customFormat="false" ht="15.75" hidden="false" customHeight="true" outlineLevel="0" collapsed="false">
      <c r="A383" s="30" t="n">
        <v>0</v>
      </c>
      <c r="B383" s="31" t="s">
        <v>11</v>
      </c>
      <c r="C383" s="32"/>
      <c r="D383" s="32"/>
      <c r="E383" s="19" t="n">
        <f aca="false">+IF(C383="EQUIPO",F383,0)</f>
        <v>0</v>
      </c>
      <c r="F383" s="33" t="n">
        <v>0</v>
      </c>
      <c r="G383" s="35" t="n">
        <v>0</v>
      </c>
      <c r="H383" s="34" t="n">
        <f aca="false">+IF(E383=0,0,E383*0.03)</f>
        <v>0</v>
      </c>
    </row>
    <row r="384" customFormat="false" ht="15.75" hidden="false" customHeight="true" outlineLevel="0" collapsed="false">
      <c r="A384" s="30" t="n">
        <v>0</v>
      </c>
      <c r="B384" s="31" t="s">
        <v>11</v>
      </c>
      <c r="C384" s="32"/>
      <c r="D384" s="32"/>
      <c r="E384" s="19" t="n">
        <f aca="false">+IF(C384="EQUIPO",F384,0)</f>
        <v>0</v>
      </c>
      <c r="F384" s="33" t="n">
        <v>0</v>
      </c>
      <c r="G384" s="35" t="n">
        <v>0</v>
      </c>
      <c r="H384" s="34" t="n">
        <f aca="false">+IF(E384=0,0,E384*0.03)</f>
        <v>0</v>
      </c>
    </row>
    <row r="385" customFormat="false" ht="15.75" hidden="false" customHeight="true" outlineLevel="0" collapsed="false">
      <c r="A385" s="30" t="n">
        <v>0</v>
      </c>
      <c r="B385" s="31" t="s">
        <v>11</v>
      </c>
      <c r="C385" s="32"/>
      <c r="D385" s="32"/>
      <c r="E385" s="19" t="n">
        <f aca="false">+IF(C385="EQUIPO",F385,0)</f>
        <v>0</v>
      </c>
      <c r="F385" s="33" t="n">
        <v>0</v>
      </c>
      <c r="G385" s="35" t="n">
        <v>0</v>
      </c>
      <c r="H385" s="34" t="n">
        <f aca="false">+IF(E385=0,0,E385*0.03)</f>
        <v>0</v>
      </c>
    </row>
    <row r="386" customFormat="false" ht="15.75" hidden="false" customHeight="true" outlineLevel="0" collapsed="false">
      <c r="A386" s="30" t="n">
        <v>0</v>
      </c>
      <c r="B386" s="31" t="s">
        <v>11</v>
      </c>
      <c r="C386" s="32"/>
      <c r="D386" s="32"/>
      <c r="E386" s="19" t="n">
        <f aca="false">+IF(C386="EQUIPO",F386,0)</f>
        <v>0</v>
      </c>
      <c r="F386" s="33" t="n">
        <v>0</v>
      </c>
      <c r="G386" s="35" t="n">
        <v>0</v>
      </c>
      <c r="H386" s="34" t="n">
        <f aca="false">+IF(E386=0,0,E386*0.03)</f>
        <v>0</v>
      </c>
    </row>
    <row r="387" customFormat="false" ht="15.75" hidden="false" customHeight="true" outlineLevel="0" collapsed="false">
      <c r="A387" s="30" t="n">
        <v>0</v>
      </c>
      <c r="B387" s="31" t="s">
        <v>11</v>
      </c>
      <c r="C387" s="32"/>
      <c r="D387" s="32"/>
      <c r="E387" s="19" t="n">
        <f aca="false">+IF(C387="EQUIPO",F387,0)</f>
        <v>0</v>
      </c>
      <c r="F387" s="33" t="n">
        <v>0</v>
      </c>
      <c r="G387" s="35" t="n">
        <v>0</v>
      </c>
      <c r="H387" s="34" t="n">
        <f aca="false">+IF(E387=0,0,E387*0.03)</f>
        <v>0</v>
      </c>
    </row>
    <row r="388" customFormat="false" ht="15.75" hidden="false" customHeight="true" outlineLevel="0" collapsed="false">
      <c r="A388" s="30" t="n">
        <v>0</v>
      </c>
      <c r="B388" s="31" t="s">
        <v>11</v>
      </c>
      <c r="C388" s="32"/>
      <c r="D388" s="32"/>
      <c r="E388" s="19" t="n">
        <f aca="false">+IF(C388="EQUIPO",F388,0)</f>
        <v>0</v>
      </c>
      <c r="F388" s="33" t="n">
        <v>0</v>
      </c>
      <c r="G388" s="35" t="n">
        <v>0</v>
      </c>
      <c r="H388" s="34" t="n">
        <f aca="false">+IF(E388=0,0,E388*0.03)</f>
        <v>0</v>
      </c>
    </row>
    <row r="389" customFormat="false" ht="15.75" hidden="false" customHeight="true" outlineLevel="0" collapsed="false">
      <c r="A389" s="30" t="n">
        <v>0</v>
      </c>
      <c r="B389" s="31" t="s">
        <v>11</v>
      </c>
      <c r="C389" s="32"/>
      <c r="D389" s="32"/>
      <c r="E389" s="19" t="n">
        <f aca="false">+IF(C389="EQUIPO",F389,0)</f>
        <v>0</v>
      </c>
      <c r="F389" s="33" t="n">
        <v>0</v>
      </c>
      <c r="G389" s="35" t="n">
        <v>0</v>
      </c>
      <c r="H389" s="34" t="n">
        <f aca="false">+IF(E389=0,0,E389*0.03)</f>
        <v>0</v>
      </c>
    </row>
    <row r="390" customFormat="false" ht="15.75" hidden="false" customHeight="true" outlineLevel="0" collapsed="false">
      <c r="A390" s="30" t="n">
        <v>0</v>
      </c>
      <c r="B390" s="31" t="s">
        <v>11</v>
      </c>
      <c r="C390" s="32"/>
      <c r="D390" s="32"/>
      <c r="E390" s="19" t="n">
        <f aca="false">+IF(C390="EQUIPO",F390,0)</f>
        <v>0</v>
      </c>
      <c r="F390" s="33" t="n">
        <v>0</v>
      </c>
      <c r="G390" s="35" t="n">
        <v>0</v>
      </c>
      <c r="H390" s="34" t="n">
        <f aca="false">+IF(E390=0,0,E390*0.03)</f>
        <v>0</v>
      </c>
    </row>
    <row r="391" customFormat="false" ht="15.75" hidden="false" customHeight="true" outlineLevel="0" collapsed="false">
      <c r="A391" s="30" t="n">
        <v>0</v>
      </c>
      <c r="B391" s="31" t="s">
        <v>11</v>
      </c>
      <c r="C391" s="32"/>
      <c r="D391" s="32"/>
      <c r="E391" s="19" t="n">
        <f aca="false">+IF(C391="EQUIPO",F391,0)</f>
        <v>0</v>
      </c>
      <c r="F391" s="33" t="n">
        <v>0</v>
      </c>
      <c r="G391" s="35" t="n">
        <v>0</v>
      </c>
      <c r="H391" s="34" t="n">
        <f aca="false">+IF(E391=0,0,E391*0.03)</f>
        <v>0</v>
      </c>
    </row>
    <row r="392" customFormat="false" ht="15.75" hidden="false" customHeight="true" outlineLevel="0" collapsed="false">
      <c r="A392" s="30" t="n">
        <v>0</v>
      </c>
      <c r="B392" s="31" t="s">
        <v>11</v>
      </c>
      <c r="C392" s="32"/>
      <c r="D392" s="32"/>
      <c r="E392" s="19" t="n">
        <f aca="false">+IF(C392="EQUIPO",F392,0)</f>
        <v>0</v>
      </c>
      <c r="F392" s="33" t="n">
        <v>0</v>
      </c>
      <c r="G392" s="35" t="n">
        <v>0</v>
      </c>
      <c r="H392" s="34" t="n">
        <f aca="false">+IF(E392=0,0,E392*0.03)</f>
        <v>0</v>
      </c>
    </row>
    <row r="393" customFormat="false" ht="15.75" hidden="false" customHeight="true" outlineLevel="0" collapsed="false">
      <c r="A393" s="30" t="n">
        <v>0</v>
      </c>
      <c r="B393" s="31" t="s">
        <v>11</v>
      </c>
      <c r="C393" s="32"/>
      <c r="D393" s="32"/>
      <c r="E393" s="19" t="n">
        <f aca="false">+IF(C393="EQUIPO",F393,0)</f>
        <v>0</v>
      </c>
      <c r="F393" s="33" t="n">
        <v>0</v>
      </c>
      <c r="G393" s="35" t="n">
        <v>0</v>
      </c>
      <c r="H393" s="34" t="n">
        <f aca="false">+IF(E393=0,0,E393*0.03)</f>
        <v>0</v>
      </c>
    </row>
    <row r="394" customFormat="false" ht="15.75" hidden="false" customHeight="true" outlineLevel="0" collapsed="false">
      <c r="A394" s="30" t="n">
        <v>0</v>
      </c>
      <c r="B394" s="31" t="s">
        <v>11</v>
      </c>
      <c r="C394" s="32"/>
      <c r="D394" s="32"/>
      <c r="E394" s="19" t="n">
        <f aca="false">+IF(C394="EQUIPO",F394,0)</f>
        <v>0</v>
      </c>
      <c r="F394" s="33" t="n">
        <v>0</v>
      </c>
      <c r="G394" s="35" t="n">
        <v>0</v>
      </c>
      <c r="H394" s="34" t="n">
        <f aca="false">+IF(E394=0,0,E394*0.03)</f>
        <v>0</v>
      </c>
    </row>
    <row r="395" customFormat="false" ht="15.75" hidden="false" customHeight="true" outlineLevel="0" collapsed="false">
      <c r="A395" s="30" t="n">
        <v>0</v>
      </c>
      <c r="B395" s="31" t="s">
        <v>11</v>
      </c>
      <c r="C395" s="32"/>
      <c r="D395" s="32"/>
      <c r="E395" s="19" t="n">
        <f aca="false">+IF(C395="EQUIPO",F395,0)</f>
        <v>0</v>
      </c>
      <c r="F395" s="33" t="n">
        <v>0</v>
      </c>
      <c r="G395" s="35" t="n">
        <v>0</v>
      </c>
      <c r="H395" s="34" t="n">
        <f aca="false">+IF(E395=0,0,E395*0.03)</f>
        <v>0</v>
      </c>
    </row>
    <row r="396" customFormat="false" ht="15.75" hidden="false" customHeight="true" outlineLevel="0" collapsed="false">
      <c r="A396" s="30" t="n">
        <v>0</v>
      </c>
      <c r="B396" s="31" t="s">
        <v>11</v>
      </c>
      <c r="C396" s="32"/>
      <c r="D396" s="32"/>
      <c r="E396" s="19" t="n">
        <f aca="false">+IF(C396="EQUIPO",F396,0)</f>
        <v>0</v>
      </c>
      <c r="F396" s="33" t="n">
        <v>0</v>
      </c>
      <c r="G396" s="35" t="n">
        <v>0</v>
      </c>
      <c r="H396" s="34" t="n">
        <f aca="false">+IF(E396=0,0,E396*0.03)</f>
        <v>0</v>
      </c>
    </row>
    <row r="397" customFormat="false" ht="15.75" hidden="false" customHeight="true" outlineLevel="0" collapsed="false">
      <c r="A397" s="30" t="n">
        <v>0</v>
      </c>
      <c r="B397" s="31" t="s">
        <v>11</v>
      </c>
      <c r="C397" s="32"/>
      <c r="D397" s="32"/>
      <c r="E397" s="19" t="n">
        <f aca="false">+IF(C397="EQUIPO",F397,0)</f>
        <v>0</v>
      </c>
      <c r="F397" s="33" t="n">
        <v>0</v>
      </c>
      <c r="G397" s="35" t="n">
        <v>0</v>
      </c>
      <c r="H397" s="34" t="n">
        <f aca="false">+IF(E397=0,0,E397*0.03)</f>
        <v>0</v>
      </c>
    </row>
    <row r="398" customFormat="false" ht="15.75" hidden="false" customHeight="true" outlineLevel="0" collapsed="false">
      <c r="A398" s="30" t="n">
        <v>0</v>
      </c>
      <c r="B398" s="31" t="s">
        <v>11</v>
      </c>
      <c r="C398" s="32"/>
      <c r="D398" s="32"/>
      <c r="E398" s="19" t="n">
        <f aca="false">+IF(C398="EQUIPO",F398,0)</f>
        <v>0</v>
      </c>
      <c r="F398" s="33" t="n">
        <v>0</v>
      </c>
      <c r="G398" s="35" t="n">
        <v>0</v>
      </c>
      <c r="H398" s="34" t="n">
        <f aca="false">+IF(E398=0,0,E398*0.03)</f>
        <v>0</v>
      </c>
    </row>
    <row r="399" customFormat="false" ht="15.75" hidden="false" customHeight="true" outlineLevel="0" collapsed="false">
      <c r="A399" s="30" t="n">
        <v>0</v>
      </c>
      <c r="B399" s="31" t="s">
        <v>11</v>
      </c>
      <c r="C399" s="32"/>
      <c r="D399" s="32"/>
      <c r="E399" s="19" t="n">
        <f aca="false">+IF(C399="EQUIPO",F399,0)</f>
        <v>0</v>
      </c>
      <c r="F399" s="33" t="n">
        <v>0</v>
      </c>
      <c r="G399" s="35" t="n">
        <v>0</v>
      </c>
      <c r="H399" s="34" t="n">
        <f aca="false">+IF(E399=0,0,E399*0.03)</f>
        <v>0</v>
      </c>
    </row>
    <row r="400" customFormat="false" ht="15.75" hidden="false" customHeight="true" outlineLevel="0" collapsed="false">
      <c r="A400" s="30" t="n">
        <v>0</v>
      </c>
      <c r="B400" s="31" t="s">
        <v>11</v>
      </c>
      <c r="C400" s="32"/>
      <c r="D400" s="32"/>
      <c r="E400" s="19" t="n">
        <f aca="false">+IF(C400="EQUIPO",F400,0)</f>
        <v>0</v>
      </c>
      <c r="F400" s="33" t="n">
        <v>0</v>
      </c>
      <c r="G400" s="35" t="n">
        <v>0</v>
      </c>
      <c r="H400" s="34" t="n">
        <f aca="false">+IF(E400=0,0,E400*0.03)</f>
        <v>0</v>
      </c>
    </row>
    <row r="401" customFormat="false" ht="15.75" hidden="false" customHeight="true" outlineLevel="0" collapsed="false">
      <c r="A401" s="30" t="n">
        <v>0</v>
      </c>
      <c r="B401" s="31" t="s">
        <v>11</v>
      </c>
      <c r="C401" s="32"/>
      <c r="D401" s="32"/>
      <c r="E401" s="19" t="n">
        <f aca="false">+IF(C401="EQUIPO",F401,0)</f>
        <v>0</v>
      </c>
      <c r="F401" s="33" t="n">
        <v>0</v>
      </c>
      <c r="G401" s="35" t="n">
        <v>0</v>
      </c>
      <c r="H401" s="34" t="n">
        <f aca="false">+IF(E401=0,0,E401*0.03)</f>
        <v>0</v>
      </c>
    </row>
    <row r="402" customFormat="false" ht="15.75" hidden="false" customHeight="true" outlineLevel="0" collapsed="false">
      <c r="A402" s="30" t="n">
        <v>0</v>
      </c>
      <c r="B402" s="31" t="s">
        <v>11</v>
      </c>
      <c r="C402" s="32"/>
      <c r="D402" s="32"/>
      <c r="E402" s="19" t="n">
        <f aca="false">+IF(C402="EQUIPO",F402,0)</f>
        <v>0</v>
      </c>
      <c r="F402" s="33" t="n">
        <v>0</v>
      </c>
      <c r="G402" s="35" t="n">
        <v>0</v>
      </c>
      <c r="H402" s="34" t="n">
        <f aca="false">+IF(E402=0,0,E402*0.03)</f>
        <v>0</v>
      </c>
    </row>
    <row r="403" customFormat="false" ht="15.75" hidden="false" customHeight="true" outlineLevel="0" collapsed="false">
      <c r="A403" s="30" t="n">
        <v>0</v>
      </c>
      <c r="B403" s="31" t="s">
        <v>11</v>
      </c>
      <c r="C403" s="32"/>
      <c r="D403" s="32"/>
      <c r="E403" s="19" t="n">
        <f aca="false">+IF(C403="EQUIPO",F403,0)</f>
        <v>0</v>
      </c>
      <c r="F403" s="33" t="n">
        <v>0</v>
      </c>
      <c r="G403" s="35" t="n">
        <v>0</v>
      </c>
      <c r="H403" s="34" t="n">
        <f aca="false">+IF(E403=0,0,E403*0.03)</f>
        <v>0</v>
      </c>
    </row>
    <row r="404" customFormat="false" ht="15.75" hidden="false" customHeight="true" outlineLevel="0" collapsed="false">
      <c r="A404" s="30" t="n">
        <v>0</v>
      </c>
      <c r="B404" s="31" t="s">
        <v>11</v>
      </c>
      <c r="C404" s="32"/>
      <c r="D404" s="32"/>
      <c r="E404" s="19" t="n">
        <f aca="false">+IF(C404="EQUIPO",F404,0)</f>
        <v>0</v>
      </c>
      <c r="F404" s="33" t="n">
        <v>0</v>
      </c>
      <c r="G404" s="35" t="n">
        <v>0</v>
      </c>
      <c r="H404" s="34" t="n">
        <f aca="false">+IF(E404=0,0,E404*0.03)</f>
        <v>0</v>
      </c>
    </row>
    <row r="405" customFormat="false" ht="15.75" hidden="false" customHeight="true" outlineLevel="0" collapsed="false">
      <c r="A405" s="30" t="n">
        <v>0</v>
      </c>
      <c r="B405" s="31" t="s">
        <v>11</v>
      </c>
      <c r="C405" s="32"/>
      <c r="D405" s="32"/>
      <c r="E405" s="19" t="n">
        <f aca="false">+IF(C405="EQUIPO",F405,0)</f>
        <v>0</v>
      </c>
      <c r="F405" s="33" t="n">
        <v>0</v>
      </c>
      <c r="G405" s="35" t="n">
        <v>0</v>
      </c>
      <c r="H405" s="34" t="n">
        <f aca="false">+IF(E405=0,0,E405*0.03)</f>
        <v>0</v>
      </c>
    </row>
    <row r="406" customFormat="false" ht="15.75" hidden="false" customHeight="true" outlineLevel="0" collapsed="false">
      <c r="A406" s="30" t="n">
        <v>0</v>
      </c>
      <c r="B406" s="31" t="s">
        <v>11</v>
      </c>
      <c r="C406" s="32"/>
      <c r="D406" s="32"/>
      <c r="E406" s="19" t="n">
        <f aca="false">+IF(C406="EQUIPO",F406,0)</f>
        <v>0</v>
      </c>
      <c r="F406" s="33" t="n">
        <v>0</v>
      </c>
      <c r="G406" s="35" t="n">
        <v>0</v>
      </c>
      <c r="H406" s="34" t="n">
        <f aca="false">+IF(E406=0,0,E406*0.03)</f>
        <v>0</v>
      </c>
    </row>
    <row r="407" customFormat="false" ht="15.75" hidden="false" customHeight="true" outlineLevel="0" collapsed="false">
      <c r="A407" s="30" t="n">
        <v>0</v>
      </c>
      <c r="B407" s="31" t="s">
        <v>11</v>
      </c>
      <c r="C407" s="32"/>
      <c r="D407" s="32"/>
      <c r="E407" s="19" t="n">
        <f aca="false">+IF(C407="EQUIPO",F407,0)</f>
        <v>0</v>
      </c>
      <c r="F407" s="33" t="n">
        <v>0</v>
      </c>
      <c r="G407" s="35" t="n">
        <v>0</v>
      </c>
      <c r="H407" s="34" t="n">
        <f aca="false">+IF(E407=0,0,E407*0.03)</f>
        <v>0</v>
      </c>
    </row>
    <row r="408" customFormat="false" ht="15.75" hidden="false" customHeight="true" outlineLevel="0" collapsed="false">
      <c r="A408" s="30" t="n">
        <v>0</v>
      </c>
      <c r="B408" s="31" t="s">
        <v>11</v>
      </c>
      <c r="C408" s="32"/>
      <c r="D408" s="32"/>
      <c r="E408" s="19" t="n">
        <f aca="false">+IF(C408="EQUIPO",F408,0)</f>
        <v>0</v>
      </c>
      <c r="F408" s="33" t="n">
        <v>0</v>
      </c>
      <c r="G408" s="35" t="n">
        <v>0</v>
      </c>
      <c r="H408" s="34" t="n">
        <f aca="false">+IF(E408=0,0,E408*0.03)</f>
        <v>0</v>
      </c>
    </row>
    <row r="409" customFormat="false" ht="15.75" hidden="false" customHeight="true" outlineLevel="0" collapsed="false">
      <c r="A409" s="30" t="n">
        <v>0</v>
      </c>
      <c r="B409" s="31" t="s">
        <v>11</v>
      </c>
      <c r="C409" s="32"/>
      <c r="D409" s="32"/>
      <c r="E409" s="19" t="n">
        <f aca="false">+IF(C409="EQUIPO",F409,0)</f>
        <v>0</v>
      </c>
      <c r="F409" s="33" t="n">
        <v>0</v>
      </c>
      <c r="G409" s="35" t="n">
        <v>0</v>
      </c>
      <c r="H409" s="34" t="n">
        <f aca="false">+IF(E409=0,0,E409*0.03)</f>
        <v>0</v>
      </c>
    </row>
    <row r="410" customFormat="false" ht="15.75" hidden="false" customHeight="true" outlineLevel="0" collapsed="false">
      <c r="A410" s="30" t="n">
        <v>0</v>
      </c>
      <c r="B410" s="31" t="s">
        <v>11</v>
      </c>
      <c r="C410" s="32"/>
      <c r="D410" s="32"/>
      <c r="E410" s="19" t="n">
        <f aca="false">+IF(C410="EQUIPO",F410,0)</f>
        <v>0</v>
      </c>
      <c r="F410" s="33" t="n">
        <v>0</v>
      </c>
      <c r="G410" s="35" t="n">
        <v>0</v>
      </c>
      <c r="H410" s="34" t="n">
        <f aca="false">+IF(E410=0,0,E410*0.03)</f>
        <v>0</v>
      </c>
    </row>
    <row r="411" customFormat="false" ht="15.75" hidden="false" customHeight="true" outlineLevel="0" collapsed="false">
      <c r="A411" s="30" t="n">
        <v>0</v>
      </c>
      <c r="B411" s="31" t="s">
        <v>11</v>
      </c>
      <c r="C411" s="32"/>
      <c r="D411" s="32"/>
      <c r="E411" s="19" t="n">
        <f aca="false">+IF(C411="EQUIPO",F411,0)</f>
        <v>0</v>
      </c>
      <c r="F411" s="33" t="n">
        <v>0</v>
      </c>
      <c r="G411" s="35" t="n">
        <v>0</v>
      </c>
      <c r="H411" s="34" t="n">
        <f aca="false">+IF(E411=0,0,E411*0.03)</f>
        <v>0</v>
      </c>
    </row>
    <row r="412" customFormat="false" ht="15.75" hidden="false" customHeight="true" outlineLevel="0" collapsed="false">
      <c r="A412" s="30" t="n">
        <v>0</v>
      </c>
      <c r="B412" s="31" t="s">
        <v>11</v>
      </c>
      <c r="C412" s="32"/>
      <c r="D412" s="32"/>
      <c r="E412" s="19" t="n">
        <f aca="false">+IF(C412="EQUIPO",F412,0)</f>
        <v>0</v>
      </c>
      <c r="F412" s="33" t="n">
        <v>0</v>
      </c>
      <c r="G412" s="35" t="n">
        <v>0</v>
      </c>
      <c r="H412" s="34" t="n">
        <f aca="false">+IF(E412=0,0,E412*0.03)</f>
        <v>0</v>
      </c>
    </row>
    <row r="413" customFormat="false" ht="15.75" hidden="false" customHeight="true" outlineLevel="0" collapsed="false">
      <c r="A413" s="30" t="n">
        <v>0</v>
      </c>
      <c r="B413" s="31" t="s">
        <v>11</v>
      </c>
      <c r="C413" s="32"/>
      <c r="D413" s="32"/>
      <c r="E413" s="19" t="n">
        <f aca="false">+IF(C413="EQUIPO",F413,0)</f>
        <v>0</v>
      </c>
      <c r="F413" s="33" t="n">
        <v>0</v>
      </c>
      <c r="G413" s="35" t="n">
        <v>0</v>
      </c>
      <c r="H413" s="34" t="n">
        <f aca="false">+IF(E413=0,0,E413*0.03)</f>
        <v>0</v>
      </c>
    </row>
    <row r="414" customFormat="false" ht="15.75" hidden="false" customHeight="true" outlineLevel="0" collapsed="false">
      <c r="A414" s="30" t="n">
        <v>0</v>
      </c>
      <c r="B414" s="31" t="s">
        <v>11</v>
      </c>
      <c r="C414" s="32"/>
      <c r="D414" s="32"/>
      <c r="E414" s="19" t="n">
        <f aca="false">+IF(C414="EQUIPO",F414,0)</f>
        <v>0</v>
      </c>
      <c r="F414" s="33" t="n">
        <v>0</v>
      </c>
      <c r="G414" s="35" t="n">
        <v>0</v>
      </c>
      <c r="H414" s="34" t="n">
        <f aca="false">+IF(E414=0,0,E414*0.03)</f>
        <v>0</v>
      </c>
    </row>
    <row r="415" customFormat="false" ht="15.75" hidden="false" customHeight="true" outlineLevel="0" collapsed="false">
      <c r="A415" s="30" t="n">
        <v>0</v>
      </c>
      <c r="B415" s="31" t="s">
        <v>11</v>
      </c>
      <c r="C415" s="32"/>
      <c r="D415" s="32"/>
      <c r="E415" s="19" t="n">
        <f aca="false">+IF(C415="EQUIPO",F415,0)</f>
        <v>0</v>
      </c>
      <c r="F415" s="33" t="n">
        <v>0</v>
      </c>
      <c r="G415" s="35" t="n">
        <v>0</v>
      </c>
      <c r="H415" s="34" t="n">
        <f aca="false">+IF(E415=0,0,E415*0.03)</f>
        <v>0</v>
      </c>
    </row>
    <row r="416" customFormat="false" ht="15.75" hidden="false" customHeight="true" outlineLevel="0" collapsed="false">
      <c r="A416" s="30" t="n">
        <v>0</v>
      </c>
      <c r="B416" s="31" t="s">
        <v>11</v>
      </c>
      <c r="C416" s="32"/>
      <c r="D416" s="32"/>
      <c r="E416" s="19" t="n">
        <f aca="false">+IF(C416="EQUIPO",F416,0)</f>
        <v>0</v>
      </c>
      <c r="F416" s="33" t="n">
        <v>0</v>
      </c>
      <c r="G416" s="35" t="n">
        <v>0</v>
      </c>
      <c r="H416" s="34" t="n">
        <f aca="false">+IF(E416=0,0,E416*0.03)</f>
        <v>0</v>
      </c>
    </row>
    <row r="417" customFormat="false" ht="15.75" hidden="false" customHeight="true" outlineLevel="0" collapsed="false">
      <c r="A417" s="30" t="n">
        <v>0</v>
      </c>
      <c r="B417" s="31" t="s">
        <v>11</v>
      </c>
      <c r="C417" s="32"/>
      <c r="D417" s="32"/>
      <c r="E417" s="19" t="n">
        <f aca="false">+IF(C417="EQUIPO",F417,0)</f>
        <v>0</v>
      </c>
      <c r="F417" s="33" t="n">
        <v>0</v>
      </c>
      <c r="G417" s="35" t="n">
        <v>0</v>
      </c>
      <c r="H417" s="34" t="n">
        <f aca="false">+IF(E417=0,0,E417*0.03)</f>
        <v>0</v>
      </c>
    </row>
    <row r="418" customFormat="false" ht="15.75" hidden="false" customHeight="true" outlineLevel="0" collapsed="false">
      <c r="A418" s="30" t="n">
        <v>0</v>
      </c>
      <c r="B418" s="31" t="s">
        <v>11</v>
      </c>
      <c r="C418" s="32"/>
      <c r="D418" s="32"/>
      <c r="E418" s="19" t="n">
        <f aca="false">+IF(C418="EQUIPO",F418,0)</f>
        <v>0</v>
      </c>
      <c r="F418" s="33" t="n">
        <v>0</v>
      </c>
      <c r="G418" s="35" t="n">
        <v>0</v>
      </c>
      <c r="H418" s="34" t="n">
        <f aca="false">+IF(E418=0,0,E418*0.03)</f>
        <v>0</v>
      </c>
    </row>
    <row r="419" customFormat="false" ht="15.75" hidden="false" customHeight="true" outlineLevel="0" collapsed="false">
      <c r="A419" s="30" t="n">
        <v>0</v>
      </c>
      <c r="B419" s="31" t="s">
        <v>11</v>
      </c>
      <c r="C419" s="32"/>
      <c r="D419" s="32"/>
      <c r="E419" s="19" t="n">
        <f aca="false">+IF(C419="EQUIPO",F419,0)</f>
        <v>0</v>
      </c>
      <c r="F419" s="33" t="n">
        <v>0</v>
      </c>
      <c r="G419" s="35" t="n">
        <v>0</v>
      </c>
      <c r="H419" s="34" t="n">
        <f aca="false">+IF(E419=0,0,E419*0.03)</f>
        <v>0</v>
      </c>
    </row>
    <row r="420" customFormat="false" ht="15.75" hidden="false" customHeight="true" outlineLevel="0" collapsed="false">
      <c r="A420" s="30" t="n">
        <v>0</v>
      </c>
      <c r="B420" s="31" t="s">
        <v>11</v>
      </c>
      <c r="C420" s="32"/>
      <c r="D420" s="32"/>
      <c r="E420" s="19" t="n">
        <f aca="false">+IF(C420="EQUIPO",F420,0)</f>
        <v>0</v>
      </c>
      <c r="F420" s="33" t="n">
        <v>0</v>
      </c>
      <c r="G420" s="35" t="n">
        <v>0</v>
      </c>
      <c r="H420" s="34" t="n">
        <f aca="false">+IF(E420=0,0,E420*0.03)</f>
        <v>0</v>
      </c>
    </row>
    <row r="421" customFormat="false" ht="15.75" hidden="false" customHeight="true" outlineLevel="0" collapsed="false">
      <c r="A421" s="30" t="n">
        <v>0</v>
      </c>
      <c r="B421" s="31" t="s">
        <v>11</v>
      </c>
      <c r="C421" s="32"/>
      <c r="D421" s="32"/>
      <c r="E421" s="19" t="n">
        <f aca="false">+IF(C421="EQUIPO",F421,0)</f>
        <v>0</v>
      </c>
      <c r="F421" s="33" t="n">
        <v>0</v>
      </c>
      <c r="G421" s="35" t="n">
        <v>0</v>
      </c>
      <c r="H421" s="34" t="n">
        <f aca="false">+IF(E421=0,0,E421*0.03)</f>
        <v>0</v>
      </c>
    </row>
    <row r="422" customFormat="false" ht="15.75" hidden="false" customHeight="true" outlineLevel="0" collapsed="false">
      <c r="A422" s="30" t="n">
        <v>0</v>
      </c>
      <c r="B422" s="31" t="s">
        <v>11</v>
      </c>
      <c r="C422" s="32"/>
      <c r="D422" s="32"/>
      <c r="E422" s="19" t="n">
        <f aca="false">+IF(C422="EQUIPO",F422,0)</f>
        <v>0</v>
      </c>
      <c r="F422" s="33" t="n">
        <v>0</v>
      </c>
      <c r="G422" s="35" t="n">
        <v>0</v>
      </c>
      <c r="H422" s="34" t="n">
        <f aca="false">+IF(E422=0,0,E422*0.03)</f>
        <v>0</v>
      </c>
    </row>
    <row r="423" customFormat="false" ht="15.75" hidden="false" customHeight="true" outlineLevel="0" collapsed="false">
      <c r="A423" s="30" t="n">
        <v>0</v>
      </c>
      <c r="B423" s="31" t="s">
        <v>11</v>
      </c>
      <c r="C423" s="32"/>
      <c r="D423" s="32"/>
      <c r="E423" s="19" t="n">
        <f aca="false">+IF(C423="EQUIPO",F423,0)</f>
        <v>0</v>
      </c>
      <c r="F423" s="33" t="n">
        <v>0</v>
      </c>
      <c r="G423" s="35" t="n">
        <v>0</v>
      </c>
      <c r="H423" s="34" t="n">
        <f aca="false">+IF(E423=0,0,E423*0.03)</f>
        <v>0</v>
      </c>
    </row>
    <row r="424" customFormat="false" ht="15.75" hidden="false" customHeight="true" outlineLevel="0" collapsed="false">
      <c r="A424" s="30" t="n">
        <v>0</v>
      </c>
      <c r="B424" s="31" t="s">
        <v>11</v>
      </c>
      <c r="C424" s="32"/>
      <c r="D424" s="32"/>
      <c r="E424" s="19" t="n">
        <f aca="false">+IF(C424="EQUIPO",F424,0)</f>
        <v>0</v>
      </c>
      <c r="F424" s="33" t="n">
        <v>0</v>
      </c>
      <c r="G424" s="35" t="n">
        <v>0</v>
      </c>
      <c r="H424" s="34" t="n">
        <f aca="false">+IF(E424=0,0,E424*0.03)</f>
        <v>0</v>
      </c>
    </row>
    <row r="425" customFormat="false" ht="15.75" hidden="false" customHeight="true" outlineLevel="0" collapsed="false">
      <c r="A425" s="30" t="n">
        <v>0</v>
      </c>
      <c r="B425" s="31" t="s">
        <v>11</v>
      </c>
      <c r="C425" s="32"/>
      <c r="D425" s="32"/>
      <c r="E425" s="19" t="n">
        <f aca="false">+IF(C425="EQUIPO",F425,0)</f>
        <v>0</v>
      </c>
      <c r="F425" s="33" t="n">
        <v>0</v>
      </c>
      <c r="G425" s="35" t="n">
        <v>0</v>
      </c>
      <c r="H425" s="34" t="n">
        <f aca="false">+IF(E425=0,0,E425*0.03)</f>
        <v>0</v>
      </c>
    </row>
    <row r="426" customFormat="false" ht="15.75" hidden="false" customHeight="true" outlineLevel="0" collapsed="false">
      <c r="A426" s="30" t="n">
        <v>0</v>
      </c>
      <c r="B426" s="31" t="s">
        <v>11</v>
      </c>
      <c r="C426" s="32"/>
      <c r="D426" s="32"/>
      <c r="E426" s="19" t="n">
        <f aca="false">+IF(C426="EQUIPO",F426,0)</f>
        <v>0</v>
      </c>
      <c r="F426" s="33" t="n">
        <v>0</v>
      </c>
      <c r="G426" s="35" t="n">
        <v>0</v>
      </c>
      <c r="H426" s="34" t="n">
        <f aca="false">+IF(E426=0,0,E426*0.03)</f>
        <v>0</v>
      </c>
    </row>
    <row r="427" customFormat="false" ht="15.75" hidden="false" customHeight="true" outlineLevel="0" collapsed="false">
      <c r="A427" s="30" t="n">
        <v>0</v>
      </c>
      <c r="B427" s="31" t="s">
        <v>11</v>
      </c>
      <c r="C427" s="32"/>
      <c r="D427" s="32"/>
      <c r="E427" s="19" t="n">
        <f aca="false">+IF(C427="EQUIPO",F427,0)</f>
        <v>0</v>
      </c>
      <c r="F427" s="33" t="n">
        <v>0</v>
      </c>
      <c r="G427" s="35" t="n">
        <v>0</v>
      </c>
      <c r="H427" s="34" t="n">
        <f aca="false">+IF(E427=0,0,E427*0.03)</f>
        <v>0</v>
      </c>
    </row>
    <row r="428" customFormat="false" ht="15.75" hidden="false" customHeight="true" outlineLevel="0" collapsed="false">
      <c r="A428" s="30" t="n">
        <v>0</v>
      </c>
      <c r="B428" s="31" t="s">
        <v>11</v>
      </c>
      <c r="C428" s="32"/>
      <c r="D428" s="32"/>
      <c r="E428" s="19" t="n">
        <f aca="false">+IF(C428="EQUIPO",F428,0)</f>
        <v>0</v>
      </c>
      <c r="F428" s="33" t="n">
        <v>0</v>
      </c>
      <c r="G428" s="35" t="n">
        <v>0</v>
      </c>
      <c r="H428" s="34" t="n">
        <f aca="false">+IF(E428=0,0,E428*0.03)</f>
        <v>0</v>
      </c>
    </row>
    <row r="429" customFormat="false" ht="15.75" hidden="false" customHeight="true" outlineLevel="0" collapsed="false">
      <c r="A429" s="30" t="n">
        <v>0</v>
      </c>
      <c r="B429" s="31" t="s">
        <v>11</v>
      </c>
      <c r="C429" s="32"/>
      <c r="D429" s="32"/>
      <c r="E429" s="19" t="n">
        <f aca="false">+IF(C429="EQUIPO",F429,0)</f>
        <v>0</v>
      </c>
      <c r="F429" s="33" t="n">
        <v>0</v>
      </c>
      <c r="G429" s="35" t="n">
        <v>0</v>
      </c>
      <c r="H429" s="34" t="n">
        <f aca="false">+IF(E429=0,0,E429*0.03)</f>
        <v>0</v>
      </c>
    </row>
    <row r="430" customFormat="false" ht="15.75" hidden="false" customHeight="true" outlineLevel="0" collapsed="false">
      <c r="A430" s="30" t="n">
        <v>0</v>
      </c>
      <c r="B430" s="31" t="s">
        <v>11</v>
      </c>
      <c r="C430" s="32"/>
      <c r="D430" s="32"/>
      <c r="E430" s="19" t="n">
        <f aca="false">+IF(C430="EQUIPO",F430,0)</f>
        <v>0</v>
      </c>
      <c r="F430" s="33" t="n">
        <v>0</v>
      </c>
      <c r="G430" s="35" t="n">
        <v>0</v>
      </c>
      <c r="H430" s="34" t="n">
        <f aca="false">+IF(E430=0,0,E430*0.03)</f>
        <v>0</v>
      </c>
    </row>
    <row r="431" customFormat="false" ht="15.75" hidden="false" customHeight="true" outlineLevel="0" collapsed="false">
      <c r="A431" s="30" t="n">
        <v>0</v>
      </c>
      <c r="B431" s="31" t="s">
        <v>11</v>
      </c>
      <c r="C431" s="32"/>
      <c r="D431" s="32"/>
      <c r="E431" s="19" t="n">
        <f aca="false">+IF(C431="EQUIPO",F431,0)</f>
        <v>0</v>
      </c>
      <c r="F431" s="33" t="n">
        <v>0</v>
      </c>
      <c r="G431" s="35" t="n">
        <v>0</v>
      </c>
      <c r="H431" s="34" t="n">
        <f aca="false">+IF(E431=0,0,E431*0.03)</f>
        <v>0</v>
      </c>
    </row>
    <row r="432" customFormat="false" ht="15.75" hidden="false" customHeight="true" outlineLevel="0" collapsed="false">
      <c r="A432" s="30" t="n">
        <v>0</v>
      </c>
      <c r="B432" s="31" t="s">
        <v>11</v>
      </c>
      <c r="C432" s="32"/>
      <c r="D432" s="32"/>
      <c r="E432" s="19" t="n">
        <f aca="false">+IF(C432="EQUIPO",F432,0)</f>
        <v>0</v>
      </c>
      <c r="F432" s="33" t="n">
        <v>0</v>
      </c>
      <c r="G432" s="35" t="n">
        <v>0</v>
      </c>
      <c r="H432" s="34" t="n">
        <f aca="false">+IF(E432=0,0,E432*0.03)</f>
        <v>0</v>
      </c>
    </row>
    <row r="433" customFormat="false" ht="15.75" hidden="false" customHeight="true" outlineLevel="0" collapsed="false">
      <c r="A433" s="30" t="n">
        <v>0</v>
      </c>
      <c r="B433" s="31" t="s">
        <v>11</v>
      </c>
      <c r="C433" s="32"/>
      <c r="D433" s="32"/>
      <c r="E433" s="19" t="n">
        <f aca="false">+IF(C433="EQUIPO",F433,0)</f>
        <v>0</v>
      </c>
      <c r="F433" s="33" t="n">
        <v>0</v>
      </c>
      <c r="G433" s="35" t="n">
        <v>0</v>
      </c>
      <c r="H433" s="34" t="n">
        <f aca="false">+IF(E433=0,0,E433*0.03)</f>
        <v>0</v>
      </c>
    </row>
    <row r="434" customFormat="false" ht="15.75" hidden="false" customHeight="true" outlineLevel="0" collapsed="false">
      <c r="A434" s="30" t="n">
        <v>0</v>
      </c>
      <c r="B434" s="31" t="s">
        <v>11</v>
      </c>
      <c r="C434" s="32"/>
      <c r="D434" s="32"/>
      <c r="E434" s="19" t="n">
        <f aca="false">+IF(C434="EQUIPO",F434,0)</f>
        <v>0</v>
      </c>
      <c r="F434" s="33" t="n">
        <v>0</v>
      </c>
      <c r="G434" s="35" t="n">
        <v>0</v>
      </c>
      <c r="H434" s="34" t="n">
        <f aca="false">+IF(E434=0,0,E434*0.03)</f>
        <v>0</v>
      </c>
    </row>
    <row r="435" customFormat="false" ht="15.75" hidden="false" customHeight="true" outlineLevel="0" collapsed="false">
      <c r="A435" s="30" t="n">
        <v>0</v>
      </c>
      <c r="B435" s="31" t="s">
        <v>11</v>
      </c>
      <c r="C435" s="32"/>
      <c r="D435" s="32"/>
      <c r="E435" s="19" t="n">
        <f aca="false">+IF(C435="EQUIPO",F435,0)</f>
        <v>0</v>
      </c>
      <c r="F435" s="33" t="n">
        <v>0</v>
      </c>
      <c r="G435" s="35" t="n">
        <v>0</v>
      </c>
      <c r="H435" s="34" t="n">
        <f aca="false">+IF(E435=0,0,E435*0.03)</f>
        <v>0</v>
      </c>
    </row>
    <row r="436" customFormat="false" ht="15.75" hidden="false" customHeight="true" outlineLevel="0" collapsed="false">
      <c r="A436" s="30" t="n">
        <v>0</v>
      </c>
      <c r="B436" s="31" t="s">
        <v>11</v>
      </c>
      <c r="C436" s="32"/>
      <c r="D436" s="32"/>
      <c r="E436" s="19" t="n">
        <f aca="false">+IF(C436="EQUIPO",F436,0)</f>
        <v>0</v>
      </c>
      <c r="F436" s="33" t="n">
        <v>0</v>
      </c>
      <c r="G436" s="35" t="n">
        <v>0</v>
      </c>
      <c r="H436" s="34" t="n">
        <f aca="false">+IF(E436=0,0,E436*0.03)</f>
        <v>0</v>
      </c>
    </row>
    <row r="437" customFormat="false" ht="15.75" hidden="false" customHeight="true" outlineLevel="0" collapsed="false">
      <c r="A437" s="30" t="n">
        <v>0</v>
      </c>
      <c r="B437" s="31" t="s">
        <v>11</v>
      </c>
      <c r="C437" s="32"/>
      <c r="D437" s="32"/>
      <c r="E437" s="19" t="n">
        <f aca="false">+IF(C437="EQUIPO",F437,0)</f>
        <v>0</v>
      </c>
      <c r="F437" s="33" t="n">
        <v>0</v>
      </c>
      <c r="G437" s="35" t="n">
        <v>0</v>
      </c>
      <c r="H437" s="34" t="n">
        <f aca="false">+IF(E437=0,0,E437*0.03)</f>
        <v>0</v>
      </c>
    </row>
    <row r="438" customFormat="false" ht="15.75" hidden="false" customHeight="true" outlineLevel="0" collapsed="false">
      <c r="A438" s="30" t="n">
        <v>0</v>
      </c>
      <c r="B438" s="31" t="s">
        <v>11</v>
      </c>
      <c r="C438" s="32"/>
      <c r="D438" s="32"/>
      <c r="E438" s="19" t="n">
        <f aca="false">+IF(C438="EQUIPO",F438,0)</f>
        <v>0</v>
      </c>
      <c r="F438" s="33" t="n">
        <v>0</v>
      </c>
      <c r="G438" s="35" t="n">
        <v>0</v>
      </c>
      <c r="H438" s="34" t="n">
        <f aca="false">+IF(E438=0,0,E438*0.03)</f>
        <v>0</v>
      </c>
    </row>
    <row r="439" customFormat="false" ht="15.75" hidden="false" customHeight="true" outlineLevel="0" collapsed="false">
      <c r="A439" s="30" t="n">
        <v>0</v>
      </c>
      <c r="B439" s="31" t="s">
        <v>11</v>
      </c>
      <c r="C439" s="32"/>
      <c r="D439" s="32"/>
      <c r="E439" s="19" t="n">
        <f aca="false">+IF(C439="EQUIPO",F439,0)</f>
        <v>0</v>
      </c>
      <c r="F439" s="33" t="n">
        <v>0</v>
      </c>
      <c r="G439" s="35" t="n">
        <v>0</v>
      </c>
      <c r="H439" s="34" t="n">
        <f aca="false">+IF(E439=0,0,E439*0.03)</f>
        <v>0</v>
      </c>
    </row>
    <row r="440" customFormat="false" ht="15.75" hidden="false" customHeight="true" outlineLevel="0" collapsed="false">
      <c r="A440" s="30" t="n">
        <v>0</v>
      </c>
      <c r="B440" s="31" t="s">
        <v>11</v>
      </c>
      <c r="C440" s="32"/>
      <c r="D440" s="32"/>
      <c r="E440" s="19" t="n">
        <f aca="false">+IF(C440="EQUIPO",F440,0)</f>
        <v>0</v>
      </c>
      <c r="F440" s="33" t="n">
        <v>0</v>
      </c>
      <c r="G440" s="35" t="n">
        <v>0</v>
      </c>
      <c r="H440" s="34" t="n">
        <f aca="false">+IF(E440=0,0,E440*0.03)</f>
        <v>0</v>
      </c>
    </row>
    <row r="441" customFormat="false" ht="15.75" hidden="false" customHeight="true" outlineLevel="0" collapsed="false">
      <c r="A441" s="30" t="n">
        <v>0</v>
      </c>
      <c r="B441" s="31" t="s">
        <v>11</v>
      </c>
      <c r="C441" s="32"/>
      <c r="D441" s="32"/>
      <c r="E441" s="19" t="n">
        <f aca="false">+IF(C441="EQUIPO",F441,0)</f>
        <v>0</v>
      </c>
      <c r="F441" s="33" t="n">
        <v>0</v>
      </c>
      <c r="G441" s="35" t="n">
        <v>0</v>
      </c>
      <c r="H441" s="34" t="n">
        <f aca="false">+IF(E441=0,0,E441*0.03)</f>
        <v>0</v>
      </c>
    </row>
    <row r="442" customFormat="false" ht="15.75" hidden="false" customHeight="true" outlineLevel="0" collapsed="false">
      <c r="A442" s="30" t="n">
        <v>0</v>
      </c>
      <c r="B442" s="31" t="s">
        <v>11</v>
      </c>
      <c r="C442" s="32"/>
      <c r="D442" s="32"/>
      <c r="E442" s="19" t="n">
        <f aca="false">+IF(C442="EQUIPO",F442,0)</f>
        <v>0</v>
      </c>
      <c r="F442" s="33" t="n">
        <v>0</v>
      </c>
      <c r="G442" s="35" t="n">
        <v>0</v>
      </c>
      <c r="H442" s="34" t="n">
        <f aca="false">+IF(E442=0,0,E442*0.03)</f>
        <v>0</v>
      </c>
    </row>
    <row r="443" customFormat="false" ht="15.75" hidden="false" customHeight="true" outlineLevel="0" collapsed="false">
      <c r="A443" s="30" t="n">
        <v>0</v>
      </c>
      <c r="B443" s="31" t="s">
        <v>11</v>
      </c>
      <c r="C443" s="32"/>
      <c r="D443" s="32"/>
      <c r="E443" s="19" t="n">
        <f aca="false">+IF(C443="EQUIPO",F443,0)</f>
        <v>0</v>
      </c>
      <c r="F443" s="33" t="n">
        <v>0</v>
      </c>
      <c r="G443" s="35" t="n">
        <v>0</v>
      </c>
      <c r="H443" s="34" t="n">
        <f aca="false">+IF(E443=0,0,E443*0.03)</f>
        <v>0</v>
      </c>
    </row>
    <row r="444" customFormat="false" ht="15.75" hidden="false" customHeight="true" outlineLevel="0" collapsed="false">
      <c r="A444" s="30" t="n">
        <v>0</v>
      </c>
      <c r="B444" s="31" t="s">
        <v>11</v>
      </c>
      <c r="C444" s="32"/>
      <c r="D444" s="32"/>
      <c r="E444" s="19" t="n">
        <f aca="false">+IF(C444="EQUIPO",F444,0)</f>
        <v>0</v>
      </c>
      <c r="F444" s="33" t="n">
        <v>0</v>
      </c>
      <c r="G444" s="35" t="n">
        <v>0</v>
      </c>
      <c r="H444" s="34" t="n">
        <f aca="false">+IF(E444=0,0,E444*0.03)</f>
        <v>0</v>
      </c>
    </row>
    <row r="445" customFormat="false" ht="15.75" hidden="false" customHeight="true" outlineLevel="0" collapsed="false">
      <c r="A445" s="30" t="n">
        <v>0</v>
      </c>
      <c r="B445" s="31" t="s">
        <v>11</v>
      </c>
      <c r="C445" s="32"/>
      <c r="D445" s="32"/>
      <c r="E445" s="19" t="n">
        <f aca="false">+IF(C445="EQUIPO",F445,0)</f>
        <v>0</v>
      </c>
      <c r="F445" s="33" t="n">
        <v>0</v>
      </c>
      <c r="G445" s="35" t="n">
        <v>0</v>
      </c>
      <c r="H445" s="34" t="n">
        <f aca="false">+IF(E445=0,0,E445*0.03)</f>
        <v>0</v>
      </c>
    </row>
    <row r="446" customFormat="false" ht="15.75" hidden="false" customHeight="true" outlineLevel="0" collapsed="false">
      <c r="A446" s="30" t="n">
        <v>0</v>
      </c>
      <c r="B446" s="31" t="s">
        <v>11</v>
      </c>
      <c r="C446" s="32"/>
      <c r="D446" s="32"/>
      <c r="E446" s="19" t="n">
        <f aca="false">+IF(C446="EQUIPO",F446,0)</f>
        <v>0</v>
      </c>
      <c r="F446" s="33" t="n">
        <v>0</v>
      </c>
      <c r="G446" s="35" t="n">
        <v>0</v>
      </c>
      <c r="H446" s="34" t="n">
        <f aca="false">+IF(E446=0,0,E446*0.03)</f>
        <v>0</v>
      </c>
    </row>
    <row r="447" customFormat="false" ht="15.75" hidden="false" customHeight="true" outlineLevel="0" collapsed="false">
      <c r="A447" s="30" t="n">
        <v>0</v>
      </c>
      <c r="B447" s="31" t="s">
        <v>11</v>
      </c>
      <c r="C447" s="32"/>
      <c r="D447" s="32"/>
      <c r="E447" s="19" t="n">
        <f aca="false">+IF(C447="EQUIPO",F447,0)</f>
        <v>0</v>
      </c>
      <c r="F447" s="33" t="n">
        <v>0</v>
      </c>
      <c r="G447" s="35" t="n">
        <v>0</v>
      </c>
      <c r="H447" s="34" t="n">
        <f aca="false">+IF(E447=0,0,E447*0.03)</f>
        <v>0</v>
      </c>
    </row>
    <row r="448" customFormat="false" ht="15.75" hidden="false" customHeight="true" outlineLevel="0" collapsed="false">
      <c r="A448" s="30" t="n">
        <v>0</v>
      </c>
      <c r="B448" s="31" t="s">
        <v>11</v>
      </c>
      <c r="C448" s="32"/>
      <c r="D448" s="32"/>
      <c r="E448" s="19" t="n">
        <f aca="false">+IF(C448="EQUIPO",F448,0)</f>
        <v>0</v>
      </c>
      <c r="F448" s="33" t="n">
        <v>0</v>
      </c>
      <c r="G448" s="35" t="n">
        <v>0</v>
      </c>
      <c r="H448" s="34" t="n">
        <f aca="false">+IF(E448=0,0,E448*0.03)</f>
        <v>0</v>
      </c>
    </row>
    <row r="449" customFormat="false" ht="15.75" hidden="false" customHeight="true" outlineLevel="0" collapsed="false">
      <c r="A449" s="30" t="n">
        <v>0</v>
      </c>
      <c r="B449" s="31" t="s">
        <v>11</v>
      </c>
      <c r="C449" s="32"/>
      <c r="D449" s="32"/>
      <c r="E449" s="19" t="n">
        <f aca="false">+IF(C449="EQUIPO",F449,0)</f>
        <v>0</v>
      </c>
      <c r="F449" s="33" t="n">
        <v>0</v>
      </c>
      <c r="G449" s="35" t="n">
        <v>0</v>
      </c>
      <c r="H449" s="34" t="n">
        <f aca="false">+IF(E449=0,0,E449*0.03)</f>
        <v>0</v>
      </c>
    </row>
    <row r="450" customFormat="false" ht="15.75" hidden="false" customHeight="true" outlineLevel="0" collapsed="false">
      <c r="A450" s="30" t="n">
        <v>0</v>
      </c>
      <c r="B450" s="31" t="s">
        <v>11</v>
      </c>
      <c r="C450" s="32"/>
      <c r="D450" s="32"/>
      <c r="E450" s="19" t="n">
        <f aca="false">+IF(C450="EQUIPO",F450,0)</f>
        <v>0</v>
      </c>
      <c r="F450" s="33" t="n">
        <v>0</v>
      </c>
      <c r="G450" s="35" t="n">
        <v>0</v>
      </c>
      <c r="H450" s="34" t="n">
        <f aca="false">+IF(E450=0,0,E450*0.03)</f>
        <v>0</v>
      </c>
    </row>
    <row r="451" customFormat="false" ht="15.75" hidden="false" customHeight="true" outlineLevel="0" collapsed="false">
      <c r="A451" s="30" t="n">
        <v>0</v>
      </c>
      <c r="B451" s="31" t="s">
        <v>11</v>
      </c>
      <c r="C451" s="32"/>
      <c r="D451" s="32"/>
      <c r="E451" s="19" t="n">
        <f aca="false">+IF(C451="EQUIPO",F451,0)</f>
        <v>0</v>
      </c>
      <c r="F451" s="33" t="n">
        <v>0</v>
      </c>
      <c r="G451" s="35" t="n">
        <v>0</v>
      </c>
      <c r="H451" s="34" t="n">
        <f aca="false">+IF(E451=0,0,E451*0.03)</f>
        <v>0</v>
      </c>
    </row>
    <row r="452" customFormat="false" ht="15.75" hidden="false" customHeight="true" outlineLevel="0" collapsed="false">
      <c r="A452" s="30" t="n">
        <v>0</v>
      </c>
      <c r="B452" s="31" t="s">
        <v>11</v>
      </c>
      <c r="C452" s="32"/>
      <c r="D452" s="32"/>
      <c r="E452" s="19" t="n">
        <f aca="false">+IF(C452="EQUIPO",F452,0)</f>
        <v>0</v>
      </c>
      <c r="F452" s="33" t="n">
        <v>0</v>
      </c>
      <c r="G452" s="35" t="n">
        <v>0</v>
      </c>
      <c r="H452" s="34" t="n">
        <f aca="false">+IF(E452=0,0,E452*0.03)</f>
        <v>0</v>
      </c>
    </row>
    <row r="453" customFormat="false" ht="15.75" hidden="false" customHeight="true" outlineLevel="0" collapsed="false">
      <c r="A453" s="30" t="n">
        <v>0</v>
      </c>
      <c r="B453" s="31" t="s">
        <v>11</v>
      </c>
      <c r="C453" s="32"/>
      <c r="D453" s="32"/>
      <c r="E453" s="19" t="n">
        <f aca="false">+IF(C453="EQUIPO",F453,0)</f>
        <v>0</v>
      </c>
      <c r="F453" s="33" t="n">
        <v>0</v>
      </c>
      <c r="G453" s="35" t="n">
        <v>0</v>
      </c>
      <c r="H453" s="34" t="n">
        <f aca="false">+IF(E453=0,0,E453*0.03)</f>
        <v>0</v>
      </c>
    </row>
    <row r="454" customFormat="false" ht="15.75" hidden="false" customHeight="true" outlineLevel="0" collapsed="false">
      <c r="A454" s="30" t="n">
        <v>0</v>
      </c>
      <c r="B454" s="31" t="s">
        <v>11</v>
      </c>
      <c r="C454" s="32"/>
      <c r="D454" s="32"/>
      <c r="E454" s="19" t="n">
        <f aca="false">+IF(C454="EQUIPO",F454,0)</f>
        <v>0</v>
      </c>
      <c r="F454" s="33" t="n">
        <v>0</v>
      </c>
      <c r="G454" s="35" t="n">
        <v>0</v>
      </c>
      <c r="H454" s="34" t="n">
        <f aca="false">+IF(E454=0,0,E454*0.03)</f>
        <v>0</v>
      </c>
    </row>
    <row r="455" customFormat="false" ht="15.75" hidden="false" customHeight="true" outlineLevel="0" collapsed="false">
      <c r="A455" s="30" t="n">
        <v>0</v>
      </c>
      <c r="B455" s="31" t="s">
        <v>11</v>
      </c>
      <c r="C455" s="32"/>
      <c r="D455" s="32"/>
      <c r="E455" s="19" t="n">
        <f aca="false">+IF(C455="EQUIPO",F455,0)</f>
        <v>0</v>
      </c>
      <c r="F455" s="33" t="n">
        <v>0</v>
      </c>
      <c r="G455" s="35" t="n">
        <v>0</v>
      </c>
      <c r="H455" s="34" t="n">
        <f aca="false">+IF(E455=0,0,E455*0.03)</f>
        <v>0</v>
      </c>
    </row>
    <row r="456" customFormat="false" ht="15.75" hidden="false" customHeight="true" outlineLevel="0" collapsed="false">
      <c r="A456" s="30" t="n">
        <v>0</v>
      </c>
      <c r="B456" s="31" t="s">
        <v>11</v>
      </c>
      <c r="C456" s="32"/>
      <c r="D456" s="32"/>
      <c r="E456" s="19" t="n">
        <f aca="false">+IF(C456="EQUIPO",F456,0)</f>
        <v>0</v>
      </c>
      <c r="F456" s="33" t="n">
        <v>0</v>
      </c>
      <c r="G456" s="35" t="n">
        <v>0</v>
      </c>
      <c r="H456" s="34" t="n">
        <f aca="false">+IF(E456=0,0,E456*0.03)</f>
        <v>0</v>
      </c>
    </row>
    <row r="457" customFormat="false" ht="15.75" hidden="false" customHeight="true" outlineLevel="0" collapsed="false">
      <c r="A457" s="30" t="n">
        <v>0</v>
      </c>
      <c r="B457" s="31" t="s">
        <v>11</v>
      </c>
      <c r="C457" s="32"/>
      <c r="D457" s="32"/>
      <c r="E457" s="19" t="n">
        <f aca="false">+IF(C457="EQUIPO",F457,0)</f>
        <v>0</v>
      </c>
      <c r="F457" s="33" t="n">
        <v>0</v>
      </c>
      <c r="G457" s="35" t="n">
        <v>0</v>
      </c>
      <c r="H457" s="34" t="n">
        <f aca="false">+IF(E457=0,0,E457*0.03)</f>
        <v>0</v>
      </c>
    </row>
    <row r="458" customFormat="false" ht="15.75" hidden="false" customHeight="true" outlineLevel="0" collapsed="false">
      <c r="A458" s="30" t="n">
        <v>0</v>
      </c>
      <c r="B458" s="31" t="s">
        <v>11</v>
      </c>
      <c r="C458" s="32"/>
      <c r="D458" s="32"/>
      <c r="E458" s="19" t="n">
        <f aca="false">+IF(C458="EQUIPO",F458,0)</f>
        <v>0</v>
      </c>
      <c r="F458" s="33" t="n">
        <v>0</v>
      </c>
      <c r="G458" s="35" t="n">
        <v>0</v>
      </c>
      <c r="H458" s="34" t="n">
        <f aca="false">+IF(E458=0,0,E458*0.03)</f>
        <v>0</v>
      </c>
    </row>
    <row r="459" customFormat="false" ht="15.75" hidden="false" customHeight="true" outlineLevel="0" collapsed="false">
      <c r="A459" s="30" t="n">
        <v>0</v>
      </c>
      <c r="B459" s="31" t="s">
        <v>11</v>
      </c>
      <c r="C459" s="32"/>
      <c r="D459" s="32"/>
      <c r="E459" s="19" t="n">
        <f aca="false">+IF(C459="EQUIPO",F459,0)</f>
        <v>0</v>
      </c>
      <c r="F459" s="33" t="n">
        <v>0</v>
      </c>
      <c r="G459" s="35" t="n">
        <v>0</v>
      </c>
      <c r="H459" s="34" t="n">
        <f aca="false">+IF(E459=0,0,E459*0.03)</f>
        <v>0</v>
      </c>
    </row>
    <row r="460" customFormat="false" ht="15.75" hidden="false" customHeight="true" outlineLevel="0" collapsed="false">
      <c r="A460" s="30" t="n">
        <v>0</v>
      </c>
      <c r="B460" s="31" t="s">
        <v>11</v>
      </c>
      <c r="C460" s="32"/>
      <c r="D460" s="32"/>
      <c r="E460" s="19" t="n">
        <f aca="false">+IF(C460="EQUIPO",F460,0)</f>
        <v>0</v>
      </c>
      <c r="F460" s="33" t="n">
        <v>0</v>
      </c>
      <c r="G460" s="35" t="n">
        <v>0</v>
      </c>
      <c r="H460" s="34" t="n">
        <f aca="false">+IF(E460=0,0,E460*0.03)</f>
        <v>0</v>
      </c>
    </row>
    <row r="461" customFormat="false" ht="15.75" hidden="false" customHeight="true" outlineLevel="0" collapsed="false">
      <c r="A461" s="30" t="n">
        <v>0</v>
      </c>
      <c r="B461" s="31" t="s">
        <v>11</v>
      </c>
      <c r="C461" s="32"/>
      <c r="D461" s="32"/>
      <c r="E461" s="19" t="n">
        <f aca="false">+IF(C461="EQUIPO",F461,0)</f>
        <v>0</v>
      </c>
      <c r="F461" s="33" t="n">
        <v>0</v>
      </c>
      <c r="G461" s="35" t="n">
        <v>0</v>
      </c>
      <c r="H461" s="34" t="n">
        <f aca="false">+IF(E461=0,0,E461*0.03)</f>
        <v>0</v>
      </c>
    </row>
    <row r="462" customFormat="false" ht="15.75" hidden="false" customHeight="true" outlineLevel="0" collapsed="false">
      <c r="A462" s="30" t="n">
        <v>0</v>
      </c>
      <c r="B462" s="31" t="s">
        <v>11</v>
      </c>
      <c r="C462" s="32"/>
      <c r="D462" s="32"/>
      <c r="E462" s="19" t="n">
        <f aca="false">+IF(C462="EQUIPO",F462,0)</f>
        <v>0</v>
      </c>
      <c r="F462" s="33" t="n">
        <v>0</v>
      </c>
      <c r="G462" s="35" t="n">
        <v>0</v>
      </c>
      <c r="H462" s="34" t="n">
        <f aca="false">+IF(E462=0,0,E462*0.03)</f>
        <v>0</v>
      </c>
    </row>
    <row r="463" customFormat="false" ht="15.75" hidden="false" customHeight="true" outlineLevel="0" collapsed="false">
      <c r="A463" s="30" t="n">
        <v>0</v>
      </c>
      <c r="B463" s="31" t="s">
        <v>11</v>
      </c>
      <c r="C463" s="32"/>
      <c r="D463" s="32"/>
      <c r="E463" s="19" t="n">
        <f aca="false">+IF(C463="EQUIPO",F463,0)</f>
        <v>0</v>
      </c>
      <c r="F463" s="33" t="n">
        <v>0</v>
      </c>
      <c r="G463" s="35" t="n">
        <v>0</v>
      </c>
      <c r="H463" s="34" t="n">
        <f aca="false">+IF(E463=0,0,E463*0.03)</f>
        <v>0</v>
      </c>
    </row>
    <row r="464" customFormat="false" ht="15.75" hidden="false" customHeight="true" outlineLevel="0" collapsed="false">
      <c r="A464" s="30" t="n">
        <v>0</v>
      </c>
      <c r="B464" s="31" t="s">
        <v>11</v>
      </c>
      <c r="C464" s="32"/>
      <c r="D464" s="32"/>
      <c r="E464" s="19" t="n">
        <f aca="false">+IF(C464="EQUIPO",F464,0)</f>
        <v>0</v>
      </c>
      <c r="F464" s="33" t="n">
        <v>0</v>
      </c>
      <c r="G464" s="35" t="n">
        <v>0</v>
      </c>
      <c r="H464" s="34" t="n">
        <f aca="false">+IF(E464=0,0,E464*0.03)</f>
        <v>0</v>
      </c>
    </row>
    <row r="465" customFormat="false" ht="15.75" hidden="false" customHeight="true" outlineLevel="0" collapsed="false">
      <c r="A465" s="30" t="n">
        <v>0</v>
      </c>
      <c r="B465" s="31" t="s">
        <v>11</v>
      </c>
      <c r="C465" s="32"/>
      <c r="D465" s="32"/>
      <c r="E465" s="19" t="n">
        <f aca="false">+IF(C465="EQUIPO",F465,0)</f>
        <v>0</v>
      </c>
      <c r="F465" s="33" t="n">
        <v>0</v>
      </c>
      <c r="G465" s="35" t="n">
        <v>0</v>
      </c>
      <c r="H465" s="34" t="n">
        <f aca="false">+IF(E465=0,0,E465*0.03)</f>
        <v>0</v>
      </c>
    </row>
    <row r="466" customFormat="false" ht="15.75" hidden="false" customHeight="true" outlineLevel="0" collapsed="false">
      <c r="A466" s="30" t="n">
        <v>0</v>
      </c>
      <c r="B466" s="31" t="s">
        <v>11</v>
      </c>
      <c r="C466" s="32"/>
      <c r="D466" s="32"/>
      <c r="E466" s="19" t="n">
        <f aca="false">+IF(C466="EQUIPO",F466,0)</f>
        <v>0</v>
      </c>
      <c r="F466" s="33" t="n">
        <v>0</v>
      </c>
      <c r="G466" s="35" t="n">
        <v>0</v>
      </c>
      <c r="H466" s="34" t="n">
        <f aca="false">+IF(E466=0,0,E466*0.03)</f>
        <v>0</v>
      </c>
    </row>
    <row r="467" customFormat="false" ht="15.75" hidden="false" customHeight="true" outlineLevel="0" collapsed="false">
      <c r="A467" s="30" t="n">
        <v>0</v>
      </c>
      <c r="B467" s="31" t="s">
        <v>11</v>
      </c>
      <c r="C467" s="32"/>
      <c r="D467" s="32"/>
      <c r="E467" s="19" t="n">
        <f aca="false">+IF(C467="EQUIPO",F467,0)</f>
        <v>0</v>
      </c>
      <c r="F467" s="33" t="n">
        <v>0</v>
      </c>
      <c r="G467" s="35" t="n">
        <v>0</v>
      </c>
      <c r="H467" s="34" t="n">
        <f aca="false">+IF(E467=0,0,E467*0.03)</f>
        <v>0</v>
      </c>
    </row>
    <row r="468" customFormat="false" ht="15.75" hidden="false" customHeight="true" outlineLevel="0" collapsed="false">
      <c r="A468" s="30" t="n">
        <v>0</v>
      </c>
      <c r="B468" s="31" t="s">
        <v>11</v>
      </c>
      <c r="C468" s="32"/>
      <c r="D468" s="32"/>
      <c r="E468" s="19" t="n">
        <f aca="false">+IF(C468="EQUIPO",F468,0)</f>
        <v>0</v>
      </c>
      <c r="F468" s="33" t="n">
        <v>0</v>
      </c>
      <c r="G468" s="35" t="n">
        <v>0</v>
      </c>
      <c r="H468" s="34" t="n">
        <f aca="false">+IF(E468=0,0,E468*0.03)</f>
        <v>0</v>
      </c>
    </row>
    <row r="469" customFormat="false" ht="15.75" hidden="false" customHeight="true" outlineLevel="0" collapsed="false">
      <c r="A469" s="30" t="n">
        <v>0</v>
      </c>
      <c r="B469" s="31" t="s">
        <v>11</v>
      </c>
      <c r="C469" s="32"/>
      <c r="D469" s="32"/>
      <c r="E469" s="19" t="n">
        <f aca="false">+IF(C469="EQUIPO",F469,0)</f>
        <v>0</v>
      </c>
      <c r="F469" s="33" t="n">
        <v>0</v>
      </c>
      <c r="G469" s="35" t="n">
        <v>0</v>
      </c>
      <c r="H469" s="34" t="n">
        <f aca="false">+IF(E469=0,0,E469*0.03)</f>
        <v>0</v>
      </c>
    </row>
    <row r="470" customFormat="false" ht="15.75" hidden="false" customHeight="true" outlineLevel="0" collapsed="false">
      <c r="A470" s="30" t="n">
        <v>0</v>
      </c>
      <c r="B470" s="31" t="s">
        <v>11</v>
      </c>
      <c r="C470" s="32"/>
      <c r="D470" s="32"/>
      <c r="E470" s="19" t="n">
        <f aca="false">+IF(C470="EQUIPO",F470,0)</f>
        <v>0</v>
      </c>
      <c r="F470" s="33" t="n">
        <v>0</v>
      </c>
      <c r="G470" s="35" t="n">
        <v>0</v>
      </c>
      <c r="H470" s="34" t="n">
        <f aca="false">+IF(E470=0,0,E470*0.03)</f>
        <v>0</v>
      </c>
    </row>
    <row r="471" customFormat="false" ht="15.75" hidden="false" customHeight="true" outlineLevel="0" collapsed="false">
      <c r="A471" s="30" t="n">
        <v>0</v>
      </c>
      <c r="B471" s="31" t="s">
        <v>11</v>
      </c>
      <c r="C471" s="32"/>
      <c r="D471" s="32"/>
      <c r="E471" s="19" t="n">
        <f aca="false">+IF(C471="EQUIPO",F471,0)</f>
        <v>0</v>
      </c>
      <c r="F471" s="33" t="n">
        <v>0</v>
      </c>
      <c r="G471" s="35" t="n">
        <v>0</v>
      </c>
      <c r="H471" s="34" t="n">
        <f aca="false">+IF(E471=0,0,E471*0.03)</f>
        <v>0</v>
      </c>
    </row>
    <row r="472" customFormat="false" ht="15.75" hidden="false" customHeight="true" outlineLevel="0" collapsed="false">
      <c r="A472" s="30" t="n">
        <v>0</v>
      </c>
      <c r="B472" s="31" t="s">
        <v>11</v>
      </c>
      <c r="C472" s="32"/>
      <c r="D472" s="32"/>
      <c r="E472" s="19" t="n">
        <f aca="false">+IF(C472="EQUIPO",F472,0)</f>
        <v>0</v>
      </c>
      <c r="F472" s="33" t="n">
        <v>0</v>
      </c>
      <c r="G472" s="35" t="n">
        <v>0</v>
      </c>
      <c r="H472" s="34" t="n">
        <f aca="false">+IF(E472=0,0,E472*0.03)</f>
        <v>0</v>
      </c>
    </row>
    <row r="473" customFormat="false" ht="15.75" hidden="false" customHeight="true" outlineLevel="0" collapsed="false">
      <c r="A473" s="30" t="n">
        <v>0</v>
      </c>
      <c r="B473" s="31" t="s">
        <v>11</v>
      </c>
      <c r="C473" s="32"/>
      <c r="D473" s="32"/>
      <c r="E473" s="19" t="n">
        <f aca="false">+IF(C473="EQUIPO",F473,0)</f>
        <v>0</v>
      </c>
      <c r="F473" s="33" t="n">
        <v>0</v>
      </c>
      <c r="G473" s="35" t="n">
        <v>0</v>
      </c>
      <c r="H473" s="34" t="n">
        <f aca="false">+IF(E473=0,0,E473*0.03)</f>
        <v>0</v>
      </c>
    </row>
    <row r="474" customFormat="false" ht="15.75" hidden="false" customHeight="true" outlineLevel="0" collapsed="false">
      <c r="A474" s="30" t="n">
        <v>0</v>
      </c>
      <c r="B474" s="31" t="s">
        <v>11</v>
      </c>
      <c r="C474" s="32"/>
      <c r="D474" s="32"/>
      <c r="E474" s="19" t="n">
        <f aca="false">+IF(C474="EQUIPO",F474,0)</f>
        <v>0</v>
      </c>
      <c r="F474" s="33" t="n">
        <v>0</v>
      </c>
      <c r="G474" s="35" t="n">
        <v>0</v>
      </c>
      <c r="H474" s="34" t="n">
        <f aca="false">+IF(E474=0,0,E474*0.03)</f>
        <v>0</v>
      </c>
    </row>
    <row r="475" customFormat="false" ht="15.75" hidden="false" customHeight="true" outlineLevel="0" collapsed="false">
      <c r="A475" s="30" t="n">
        <v>0</v>
      </c>
      <c r="B475" s="31" t="s">
        <v>11</v>
      </c>
      <c r="C475" s="32"/>
      <c r="D475" s="32"/>
      <c r="E475" s="19" t="n">
        <f aca="false">+IF(C475="EQUIPO",F475,0)</f>
        <v>0</v>
      </c>
      <c r="F475" s="33" t="n">
        <v>0</v>
      </c>
      <c r="G475" s="35" t="n">
        <v>0</v>
      </c>
      <c r="H475" s="34" t="n">
        <f aca="false">+IF(E475=0,0,E475*0.03)</f>
        <v>0</v>
      </c>
    </row>
    <row r="476" customFormat="false" ht="15.75" hidden="false" customHeight="true" outlineLevel="0" collapsed="false">
      <c r="A476" s="30" t="n">
        <v>0</v>
      </c>
      <c r="B476" s="31" t="s">
        <v>11</v>
      </c>
      <c r="C476" s="32"/>
      <c r="D476" s="32"/>
      <c r="E476" s="19" t="n">
        <f aca="false">+IF(C476="EQUIPO",F476,0)</f>
        <v>0</v>
      </c>
      <c r="F476" s="33" t="n">
        <v>0</v>
      </c>
      <c r="G476" s="35" t="n">
        <v>0</v>
      </c>
      <c r="H476" s="34" t="n">
        <f aca="false">+IF(E476=0,0,E476*0.03)</f>
        <v>0</v>
      </c>
    </row>
    <row r="477" customFormat="false" ht="15.75" hidden="false" customHeight="true" outlineLevel="0" collapsed="false">
      <c r="A477" s="30" t="n">
        <v>0</v>
      </c>
      <c r="B477" s="31" t="s">
        <v>11</v>
      </c>
      <c r="C477" s="32"/>
      <c r="D477" s="32"/>
      <c r="E477" s="19" t="n">
        <f aca="false">+IF(C477="EQUIPO",F477,0)</f>
        <v>0</v>
      </c>
      <c r="F477" s="33" t="n">
        <v>0</v>
      </c>
      <c r="G477" s="35" t="n">
        <v>0</v>
      </c>
      <c r="H477" s="34" t="n">
        <f aca="false">+IF(E477=0,0,E477*0.03)</f>
        <v>0</v>
      </c>
    </row>
    <row r="478" customFormat="false" ht="15.75" hidden="false" customHeight="true" outlineLevel="0" collapsed="false">
      <c r="A478" s="30" t="n">
        <v>0</v>
      </c>
      <c r="B478" s="31" t="s">
        <v>11</v>
      </c>
      <c r="C478" s="32"/>
      <c r="D478" s="32"/>
      <c r="E478" s="19" t="n">
        <f aca="false">+IF(C478="EQUIPO",F478,0)</f>
        <v>0</v>
      </c>
      <c r="F478" s="33" t="n">
        <v>0</v>
      </c>
      <c r="G478" s="35" t="n">
        <v>0</v>
      </c>
      <c r="H478" s="34" t="n">
        <f aca="false">+IF(E478=0,0,E478*0.03)</f>
        <v>0</v>
      </c>
    </row>
    <row r="479" customFormat="false" ht="15.75" hidden="false" customHeight="true" outlineLevel="0" collapsed="false">
      <c r="A479" s="30" t="n">
        <v>0</v>
      </c>
      <c r="B479" s="31" t="s">
        <v>11</v>
      </c>
      <c r="C479" s="32"/>
      <c r="D479" s="32"/>
      <c r="E479" s="19" t="n">
        <f aca="false">+IF(C479="EQUIPO",F479,0)</f>
        <v>0</v>
      </c>
      <c r="F479" s="33" t="n">
        <v>0</v>
      </c>
      <c r="G479" s="35" t="n">
        <v>0</v>
      </c>
      <c r="H479" s="34" t="n">
        <f aca="false">+IF(E479=0,0,E479*0.03)</f>
        <v>0</v>
      </c>
    </row>
    <row r="480" customFormat="false" ht="15.75" hidden="false" customHeight="true" outlineLevel="0" collapsed="false">
      <c r="A480" s="30" t="n">
        <v>0</v>
      </c>
      <c r="B480" s="31" t="s">
        <v>11</v>
      </c>
      <c r="C480" s="32"/>
      <c r="D480" s="32"/>
      <c r="E480" s="19" t="n">
        <f aca="false">+IF(C480="EQUIPO",F480,0)</f>
        <v>0</v>
      </c>
      <c r="F480" s="33" t="n">
        <v>0</v>
      </c>
      <c r="G480" s="35" t="n">
        <v>0</v>
      </c>
      <c r="H480" s="34" t="n">
        <f aca="false">+IF(E480=0,0,E480*0.03)</f>
        <v>0</v>
      </c>
    </row>
    <row r="481" customFormat="false" ht="15.75" hidden="false" customHeight="true" outlineLevel="0" collapsed="false">
      <c r="A481" s="30" t="n">
        <v>0</v>
      </c>
      <c r="B481" s="31" t="s">
        <v>11</v>
      </c>
      <c r="C481" s="32"/>
      <c r="D481" s="32"/>
      <c r="E481" s="19" t="n">
        <f aca="false">+IF(C481="EQUIPO",F481,0)</f>
        <v>0</v>
      </c>
      <c r="F481" s="33" t="n">
        <v>0</v>
      </c>
      <c r="G481" s="35" t="n">
        <v>0</v>
      </c>
      <c r="H481" s="34" t="n">
        <f aca="false">+IF(E481=0,0,E481*0.03)</f>
        <v>0</v>
      </c>
    </row>
    <row r="482" customFormat="false" ht="15.75" hidden="false" customHeight="true" outlineLevel="0" collapsed="false">
      <c r="A482" s="30" t="n">
        <v>0</v>
      </c>
      <c r="B482" s="31" t="s">
        <v>11</v>
      </c>
      <c r="C482" s="32"/>
      <c r="D482" s="32"/>
      <c r="E482" s="19" t="n">
        <f aca="false">+IF(C482="EQUIPO",F482,0)</f>
        <v>0</v>
      </c>
      <c r="F482" s="33" t="n">
        <v>0</v>
      </c>
      <c r="G482" s="35" t="n">
        <v>0</v>
      </c>
      <c r="H482" s="34" t="n">
        <f aca="false">+IF(E482=0,0,E482*0.03)</f>
        <v>0</v>
      </c>
    </row>
    <row r="483" customFormat="false" ht="15.75" hidden="false" customHeight="true" outlineLevel="0" collapsed="false">
      <c r="A483" s="30" t="n">
        <v>0</v>
      </c>
      <c r="B483" s="31" t="s">
        <v>11</v>
      </c>
      <c r="C483" s="32"/>
      <c r="D483" s="32"/>
      <c r="E483" s="19" t="n">
        <f aca="false">+IF(C483="EQUIPO",F483,0)</f>
        <v>0</v>
      </c>
      <c r="F483" s="33" t="n">
        <v>0</v>
      </c>
      <c r="G483" s="35" t="n">
        <v>0</v>
      </c>
      <c r="H483" s="34" t="n">
        <f aca="false">+IF(E483=0,0,E483*0.03)</f>
        <v>0</v>
      </c>
    </row>
    <row r="484" customFormat="false" ht="15.75" hidden="false" customHeight="true" outlineLevel="0" collapsed="false">
      <c r="A484" s="30" t="n">
        <v>0</v>
      </c>
      <c r="B484" s="31" t="s">
        <v>11</v>
      </c>
      <c r="C484" s="32"/>
      <c r="D484" s="32"/>
      <c r="E484" s="19" t="n">
        <f aca="false">+IF(C484="EQUIPO",F484,0)</f>
        <v>0</v>
      </c>
      <c r="F484" s="33" t="n">
        <v>0</v>
      </c>
      <c r="G484" s="35" t="n">
        <v>0</v>
      </c>
      <c r="H484" s="34" t="n">
        <f aca="false">+IF(E484=0,0,E484*0.03)</f>
        <v>0</v>
      </c>
    </row>
    <row r="485" customFormat="false" ht="15.75" hidden="false" customHeight="true" outlineLevel="0" collapsed="false">
      <c r="A485" s="30" t="n">
        <v>0</v>
      </c>
      <c r="B485" s="31" t="s">
        <v>11</v>
      </c>
      <c r="C485" s="32"/>
      <c r="D485" s="32"/>
      <c r="E485" s="19" t="n">
        <f aca="false">+IF(C485="EQUIPO",F485,0)</f>
        <v>0</v>
      </c>
      <c r="F485" s="33" t="n">
        <v>0</v>
      </c>
      <c r="G485" s="35" t="n">
        <v>0</v>
      </c>
      <c r="H485" s="34" t="n">
        <f aca="false">+IF(E485=0,0,E485*0.03)</f>
        <v>0</v>
      </c>
    </row>
    <row r="486" customFormat="false" ht="15.75" hidden="false" customHeight="true" outlineLevel="0" collapsed="false">
      <c r="A486" s="30" t="n">
        <v>0</v>
      </c>
      <c r="B486" s="31" t="s">
        <v>11</v>
      </c>
      <c r="C486" s="32"/>
      <c r="D486" s="32"/>
      <c r="E486" s="19" t="n">
        <f aca="false">+IF(C486="EQUIPO",F486,0)</f>
        <v>0</v>
      </c>
      <c r="F486" s="33" t="n">
        <v>0</v>
      </c>
      <c r="G486" s="35" t="n">
        <v>0</v>
      </c>
      <c r="H486" s="34" t="n">
        <f aca="false">+IF(E486=0,0,E486*0.03)</f>
        <v>0</v>
      </c>
    </row>
    <row r="487" customFormat="false" ht="15.75" hidden="false" customHeight="true" outlineLevel="0" collapsed="false">
      <c r="A487" s="30" t="n">
        <v>0</v>
      </c>
      <c r="B487" s="31" t="s">
        <v>11</v>
      </c>
      <c r="C487" s="32"/>
      <c r="D487" s="32"/>
      <c r="E487" s="19" t="n">
        <f aca="false">+IF(C487="EQUIPO",F487,0)</f>
        <v>0</v>
      </c>
      <c r="F487" s="33" t="n">
        <v>0</v>
      </c>
      <c r="G487" s="35" t="n">
        <v>0</v>
      </c>
      <c r="H487" s="34" t="n">
        <f aca="false">+IF(E487=0,0,E487*0.03)</f>
        <v>0</v>
      </c>
    </row>
    <row r="488" customFormat="false" ht="15.75" hidden="false" customHeight="true" outlineLevel="0" collapsed="false">
      <c r="A488" s="30" t="n">
        <v>0</v>
      </c>
      <c r="B488" s="31" t="s">
        <v>11</v>
      </c>
      <c r="C488" s="32"/>
      <c r="D488" s="32"/>
      <c r="E488" s="19" t="n">
        <f aca="false">+IF(C488="EQUIPO",F488,0)</f>
        <v>0</v>
      </c>
      <c r="F488" s="33" t="n">
        <v>0</v>
      </c>
      <c r="G488" s="35" t="n">
        <v>0</v>
      </c>
      <c r="H488" s="34" t="n">
        <f aca="false">+IF(E488=0,0,E488*0.03)</f>
        <v>0</v>
      </c>
    </row>
    <row r="489" customFormat="false" ht="15.75" hidden="false" customHeight="true" outlineLevel="0" collapsed="false">
      <c r="A489" s="30" t="n">
        <v>0</v>
      </c>
      <c r="B489" s="31" t="s">
        <v>11</v>
      </c>
      <c r="C489" s="32"/>
      <c r="D489" s="32"/>
      <c r="E489" s="19" t="n">
        <f aca="false">+IF(C489="EQUIPO",F489,0)</f>
        <v>0</v>
      </c>
      <c r="F489" s="33" t="n">
        <v>0</v>
      </c>
      <c r="G489" s="35" t="n">
        <v>0</v>
      </c>
      <c r="H489" s="34" t="n">
        <f aca="false">+IF(E489=0,0,E489*0.03)</f>
        <v>0</v>
      </c>
    </row>
    <row r="490" customFormat="false" ht="15.75" hidden="false" customHeight="true" outlineLevel="0" collapsed="false">
      <c r="A490" s="30" t="n">
        <v>0</v>
      </c>
      <c r="B490" s="31" t="s">
        <v>11</v>
      </c>
      <c r="C490" s="32"/>
      <c r="D490" s="32"/>
      <c r="E490" s="19" t="n">
        <f aca="false">+IF(C490="EQUIPO",F490,0)</f>
        <v>0</v>
      </c>
      <c r="F490" s="33" t="n">
        <v>0</v>
      </c>
      <c r="G490" s="35" t="n">
        <v>0</v>
      </c>
      <c r="H490" s="34" t="n">
        <f aca="false">+IF(E490=0,0,E490*0.03)</f>
        <v>0</v>
      </c>
    </row>
    <row r="491" customFormat="false" ht="15.75" hidden="false" customHeight="true" outlineLevel="0" collapsed="false">
      <c r="A491" s="30" t="n">
        <v>0</v>
      </c>
      <c r="B491" s="31" t="s">
        <v>11</v>
      </c>
      <c r="C491" s="32"/>
      <c r="D491" s="32"/>
      <c r="E491" s="19" t="n">
        <f aca="false">+IF(C491="EQUIPO",F491,0)</f>
        <v>0</v>
      </c>
      <c r="F491" s="33" t="n">
        <v>0</v>
      </c>
      <c r="G491" s="35" t="n">
        <v>0</v>
      </c>
      <c r="H491" s="34" t="n">
        <f aca="false">+IF(E491=0,0,E491*0.03)</f>
        <v>0</v>
      </c>
    </row>
    <row r="492" customFormat="false" ht="15.75" hidden="false" customHeight="true" outlineLevel="0" collapsed="false">
      <c r="A492" s="30" t="n">
        <v>0</v>
      </c>
      <c r="B492" s="31" t="s">
        <v>11</v>
      </c>
      <c r="C492" s="32"/>
      <c r="D492" s="32"/>
      <c r="E492" s="19" t="n">
        <f aca="false">+IF(C492="EQUIPO",F492,0)</f>
        <v>0</v>
      </c>
      <c r="F492" s="33" t="n">
        <v>0</v>
      </c>
      <c r="G492" s="35" t="n">
        <v>0</v>
      </c>
      <c r="H492" s="34" t="n">
        <f aca="false">+IF(E492=0,0,E492*0.03)</f>
        <v>0</v>
      </c>
    </row>
    <row r="493" customFormat="false" ht="15.75" hidden="false" customHeight="true" outlineLevel="0" collapsed="false">
      <c r="A493" s="30" t="n">
        <v>0</v>
      </c>
      <c r="B493" s="31" t="s">
        <v>11</v>
      </c>
      <c r="C493" s="32"/>
      <c r="D493" s="32"/>
      <c r="E493" s="19" t="n">
        <f aca="false">+IF(C493="EQUIPO",F493,0)</f>
        <v>0</v>
      </c>
      <c r="F493" s="33" t="n">
        <v>0</v>
      </c>
      <c r="G493" s="35" t="n">
        <v>0</v>
      </c>
      <c r="H493" s="34" t="n">
        <f aca="false">+IF(E493=0,0,E493*0.03)</f>
        <v>0</v>
      </c>
    </row>
    <row r="494" customFormat="false" ht="15.75" hidden="false" customHeight="true" outlineLevel="0" collapsed="false">
      <c r="A494" s="30" t="n">
        <v>0</v>
      </c>
      <c r="B494" s="31" t="s">
        <v>11</v>
      </c>
      <c r="C494" s="32"/>
      <c r="D494" s="32"/>
      <c r="E494" s="19" t="n">
        <f aca="false">+IF(C494="EQUIPO",F494,0)</f>
        <v>0</v>
      </c>
      <c r="F494" s="33" t="n">
        <v>0</v>
      </c>
      <c r="G494" s="35" t="n">
        <v>0</v>
      </c>
      <c r="H494" s="34" t="n">
        <f aca="false">+IF(E494=0,0,E494*0.03)</f>
        <v>0</v>
      </c>
    </row>
    <row r="495" customFormat="false" ht="15.75" hidden="false" customHeight="true" outlineLevel="0" collapsed="false">
      <c r="A495" s="30" t="n">
        <v>0</v>
      </c>
      <c r="B495" s="31" t="s">
        <v>11</v>
      </c>
      <c r="C495" s="32"/>
      <c r="D495" s="32"/>
      <c r="E495" s="19" t="n">
        <f aca="false">+IF(C495="EQUIPO",F495,0)</f>
        <v>0</v>
      </c>
      <c r="F495" s="33" t="n">
        <v>0</v>
      </c>
      <c r="G495" s="35" t="n">
        <v>0</v>
      </c>
      <c r="H495" s="34" t="n">
        <f aca="false">+IF(E495=0,0,E495*0.03)</f>
        <v>0</v>
      </c>
    </row>
    <row r="496" customFormat="false" ht="15.75" hidden="false" customHeight="true" outlineLevel="0" collapsed="false">
      <c r="A496" s="30" t="n">
        <v>0</v>
      </c>
      <c r="B496" s="31" t="s">
        <v>11</v>
      </c>
      <c r="C496" s="32"/>
      <c r="D496" s="32"/>
      <c r="E496" s="19" t="n">
        <f aca="false">+IF(C496="EQUIPO",F496,0)</f>
        <v>0</v>
      </c>
      <c r="F496" s="33" t="n">
        <v>0</v>
      </c>
      <c r="G496" s="35" t="n">
        <v>0</v>
      </c>
      <c r="H496" s="34" t="n">
        <f aca="false">+IF(E496=0,0,E496*0.03)</f>
        <v>0</v>
      </c>
    </row>
    <row r="497" customFormat="false" ht="15.75" hidden="false" customHeight="true" outlineLevel="0" collapsed="false">
      <c r="A497" s="30" t="n">
        <v>0</v>
      </c>
      <c r="B497" s="31" t="s">
        <v>11</v>
      </c>
      <c r="C497" s="32"/>
      <c r="D497" s="32"/>
      <c r="E497" s="19" t="n">
        <f aca="false">+IF(C497="EQUIPO",F497,0)</f>
        <v>0</v>
      </c>
      <c r="F497" s="33" t="n">
        <v>0</v>
      </c>
      <c r="G497" s="35" t="n">
        <v>0</v>
      </c>
      <c r="H497" s="34" t="n">
        <f aca="false">+IF(E497=0,0,E497*0.03)</f>
        <v>0</v>
      </c>
    </row>
    <row r="498" customFormat="false" ht="15.75" hidden="false" customHeight="true" outlineLevel="0" collapsed="false">
      <c r="A498" s="30" t="n">
        <v>0</v>
      </c>
      <c r="B498" s="31" t="s">
        <v>11</v>
      </c>
      <c r="C498" s="32"/>
      <c r="D498" s="32"/>
      <c r="E498" s="19" t="n">
        <f aca="false">+IF(C498="EQUIPO",F498,0)</f>
        <v>0</v>
      </c>
      <c r="F498" s="33" t="n">
        <v>0</v>
      </c>
      <c r="G498" s="35" t="n">
        <v>0</v>
      </c>
      <c r="H498" s="34" t="n">
        <f aca="false">+IF(E498=0,0,E498*0.03)</f>
        <v>0</v>
      </c>
    </row>
    <row r="499" customFormat="false" ht="15.75" hidden="false" customHeight="true" outlineLevel="0" collapsed="false">
      <c r="A499" s="30" t="n">
        <v>0</v>
      </c>
      <c r="B499" s="31" t="s">
        <v>11</v>
      </c>
      <c r="C499" s="32"/>
      <c r="D499" s="32"/>
      <c r="E499" s="19" t="n">
        <f aca="false">+IF(C499="EQUIPO",F499,0)</f>
        <v>0</v>
      </c>
      <c r="F499" s="33" t="n">
        <v>0</v>
      </c>
      <c r="G499" s="35" t="n">
        <v>0</v>
      </c>
      <c r="H499" s="34" t="n">
        <f aca="false">+IF(E499=0,0,E499*0.03)</f>
        <v>0</v>
      </c>
    </row>
    <row r="500" customFormat="false" ht="15.75" hidden="false" customHeight="true" outlineLevel="0" collapsed="false">
      <c r="A500" s="30" t="n">
        <v>0</v>
      </c>
      <c r="B500" s="31" t="s">
        <v>11</v>
      </c>
      <c r="C500" s="32"/>
      <c r="D500" s="32"/>
      <c r="E500" s="19" t="n">
        <f aca="false">+IF(C500="EQUIPO",F500,0)</f>
        <v>0</v>
      </c>
      <c r="F500" s="33" t="n">
        <v>0</v>
      </c>
      <c r="G500" s="35" t="n">
        <v>0</v>
      </c>
      <c r="H500" s="34" t="n">
        <f aca="false">+IF(E500=0,0,E500*0.03)</f>
        <v>0</v>
      </c>
    </row>
    <row r="501" customFormat="false" ht="15.75" hidden="false" customHeight="true" outlineLevel="0" collapsed="false">
      <c r="A501" s="30" t="n">
        <v>0</v>
      </c>
      <c r="B501" s="31" t="s">
        <v>11</v>
      </c>
      <c r="C501" s="32"/>
      <c r="D501" s="32"/>
      <c r="E501" s="19" t="n">
        <f aca="false">+IF(C501="EQUIPO",F501,0)</f>
        <v>0</v>
      </c>
      <c r="F501" s="33" t="n">
        <v>0</v>
      </c>
      <c r="G501" s="35" t="n">
        <v>0</v>
      </c>
      <c r="H501" s="34" t="n">
        <f aca="false">+IF(E501=0,0,E501*0.03)</f>
        <v>0</v>
      </c>
    </row>
    <row r="502" customFormat="false" ht="15.75" hidden="false" customHeight="true" outlineLevel="0" collapsed="false">
      <c r="A502" s="30" t="n">
        <v>0</v>
      </c>
      <c r="B502" s="31" t="s">
        <v>11</v>
      </c>
      <c r="C502" s="32"/>
      <c r="D502" s="32"/>
      <c r="E502" s="19" t="n">
        <f aca="false">+IF(C502="EQUIPO",F502,0)</f>
        <v>0</v>
      </c>
      <c r="F502" s="33" t="n">
        <v>0</v>
      </c>
      <c r="G502" s="35" t="n">
        <v>0</v>
      </c>
      <c r="H502" s="34" t="n">
        <f aca="false">+IF(E502=0,0,E502*0.03)</f>
        <v>0</v>
      </c>
    </row>
    <row r="503" customFormat="false" ht="15.75" hidden="false" customHeight="true" outlineLevel="0" collapsed="false">
      <c r="A503" s="30" t="n">
        <v>0</v>
      </c>
      <c r="B503" s="31" t="s">
        <v>11</v>
      </c>
      <c r="C503" s="32"/>
      <c r="D503" s="32"/>
      <c r="E503" s="19" t="n">
        <f aca="false">+IF(C503="EQUIPO",F503,0)</f>
        <v>0</v>
      </c>
      <c r="F503" s="33" t="n">
        <v>0</v>
      </c>
      <c r="G503" s="35" t="n">
        <v>0</v>
      </c>
      <c r="H503" s="34" t="n">
        <f aca="false">+IF(E503=0,0,E503*0.03)</f>
        <v>0</v>
      </c>
    </row>
    <row r="504" customFormat="false" ht="15.75" hidden="false" customHeight="true" outlineLevel="0" collapsed="false">
      <c r="A504" s="30" t="n">
        <v>0</v>
      </c>
      <c r="B504" s="31" t="s">
        <v>11</v>
      </c>
      <c r="C504" s="32"/>
      <c r="D504" s="32"/>
      <c r="E504" s="19" t="n">
        <f aca="false">+IF(C504="EQUIPO",F504,0)</f>
        <v>0</v>
      </c>
      <c r="F504" s="33" t="n">
        <v>0</v>
      </c>
      <c r="G504" s="35" t="n">
        <v>0</v>
      </c>
      <c r="H504" s="34" t="n">
        <f aca="false">+IF(E504=0,0,E504*0.03)</f>
        <v>0</v>
      </c>
    </row>
    <row r="505" customFormat="false" ht="15.75" hidden="false" customHeight="true" outlineLevel="0" collapsed="false">
      <c r="A505" s="30" t="n">
        <v>0</v>
      </c>
      <c r="B505" s="31" t="s">
        <v>11</v>
      </c>
      <c r="C505" s="32"/>
      <c r="D505" s="32"/>
      <c r="E505" s="19" t="n">
        <f aca="false">+IF(C505="EQUIPO",F505,0)</f>
        <v>0</v>
      </c>
      <c r="F505" s="33" t="n">
        <v>0</v>
      </c>
      <c r="G505" s="35" t="n">
        <v>0</v>
      </c>
      <c r="H505" s="34" t="n">
        <f aca="false">+IF(E505=0,0,E505*0.03)</f>
        <v>0</v>
      </c>
    </row>
    <row r="506" customFormat="false" ht="15.75" hidden="false" customHeight="true" outlineLevel="0" collapsed="false">
      <c r="A506" s="30" t="n">
        <v>0</v>
      </c>
      <c r="B506" s="31" t="s">
        <v>11</v>
      </c>
      <c r="C506" s="32"/>
      <c r="D506" s="32"/>
      <c r="E506" s="19" t="n">
        <f aca="false">+IF(C506="EQUIPO",F506,0)</f>
        <v>0</v>
      </c>
      <c r="F506" s="33" t="n">
        <v>0</v>
      </c>
      <c r="G506" s="35" t="n">
        <v>0</v>
      </c>
      <c r="H506" s="34" t="n">
        <f aca="false">+IF(E506=0,0,E506*0.03)</f>
        <v>0</v>
      </c>
    </row>
    <row r="507" customFormat="false" ht="15.75" hidden="false" customHeight="true" outlineLevel="0" collapsed="false">
      <c r="A507" s="30" t="n">
        <v>0</v>
      </c>
      <c r="B507" s="31" t="s">
        <v>11</v>
      </c>
      <c r="C507" s="32"/>
      <c r="D507" s="32"/>
      <c r="E507" s="19" t="n">
        <f aca="false">+IF(C507="EQUIPO",F507,0)</f>
        <v>0</v>
      </c>
      <c r="F507" s="33" t="n">
        <v>0</v>
      </c>
      <c r="G507" s="35" t="n">
        <v>0</v>
      </c>
      <c r="H507" s="34" t="n">
        <f aca="false">+IF(E507=0,0,E507*0.03)</f>
        <v>0</v>
      </c>
    </row>
    <row r="508" customFormat="false" ht="15.75" hidden="false" customHeight="true" outlineLevel="0" collapsed="false">
      <c r="A508" s="30" t="n">
        <v>0</v>
      </c>
      <c r="B508" s="31" t="s">
        <v>11</v>
      </c>
      <c r="C508" s="32"/>
      <c r="D508" s="32"/>
      <c r="E508" s="19" t="n">
        <f aca="false">+IF(C508="EQUIPO",F508,0)</f>
        <v>0</v>
      </c>
      <c r="F508" s="33" t="n">
        <v>0</v>
      </c>
      <c r="G508" s="35" t="n">
        <v>0</v>
      </c>
      <c r="H508" s="34" t="n">
        <f aca="false">+IF(E508=0,0,E508*0.03)</f>
        <v>0</v>
      </c>
    </row>
    <row r="509" customFormat="false" ht="15.75" hidden="false" customHeight="true" outlineLevel="0" collapsed="false">
      <c r="A509" s="30" t="n">
        <v>0</v>
      </c>
      <c r="B509" s="31" t="s">
        <v>11</v>
      </c>
      <c r="C509" s="32"/>
      <c r="D509" s="32"/>
      <c r="E509" s="19" t="n">
        <f aca="false">+IF(C509="EQUIPO",F509,0)</f>
        <v>0</v>
      </c>
      <c r="F509" s="33" t="n">
        <v>0</v>
      </c>
      <c r="G509" s="35" t="n">
        <v>0</v>
      </c>
      <c r="H509" s="34" t="n">
        <f aca="false">+IF(E509=0,0,E509*0.03)</f>
        <v>0</v>
      </c>
    </row>
    <row r="510" customFormat="false" ht="15.75" hidden="false" customHeight="true" outlineLevel="0" collapsed="false">
      <c r="A510" s="30" t="n">
        <v>0</v>
      </c>
      <c r="B510" s="31" t="s">
        <v>11</v>
      </c>
      <c r="C510" s="32"/>
      <c r="D510" s="32"/>
      <c r="E510" s="19" t="n">
        <f aca="false">+IF(C510="EQUIPO",F510,0)</f>
        <v>0</v>
      </c>
      <c r="F510" s="33" t="n">
        <v>0</v>
      </c>
      <c r="G510" s="35" t="n">
        <v>0</v>
      </c>
      <c r="H510" s="34" t="n">
        <f aca="false">+IF(E510=0,0,E510*0.03)</f>
        <v>0</v>
      </c>
    </row>
    <row r="511" customFormat="false" ht="15.75" hidden="false" customHeight="true" outlineLevel="0" collapsed="false">
      <c r="A511" s="30" t="n">
        <v>0</v>
      </c>
      <c r="B511" s="31" t="s">
        <v>11</v>
      </c>
      <c r="C511" s="32"/>
      <c r="D511" s="32"/>
      <c r="E511" s="19" t="n">
        <f aca="false">+IF(C511="EQUIPO",F511,0)</f>
        <v>0</v>
      </c>
      <c r="F511" s="33" t="n">
        <v>0</v>
      </c>
      <c r="G511" s="35" t="n">
        <v>0</v>
      </c>
      <c r="H511" s="34" t="n">
        <f aca="false">+IF(E511=0,0,E511*0.03)</f>
        <v>0</v>
      </c>
    </row>
    <row r="512" customFormat="false" ht="15.75" hidden="false" customHeight="true" outlineLevel="0" collapsed="false">
      <c r="A512" s="30" t="n">
        <v>0</v>
      </c>
      <c r="B512" s="31" t="s">
        <v>11</v>
      </c>
      <c r="C512" s="32"/>
      <c r="D512" s="32"/>
      <c r="E512" s="19" t="n">
        <f aca="false">+IF(C512="EQUIPO",F512,0)</f>
        <v>0</v>
      </c>
      <c r="F512" s="33" t="n">
        <v>0</v>
      </c>
      <c r="G512" s="35" t="n">
        <v>0</v>
      </c>
      <c r="H512" s="34" t="n">
        <f aca="false">+IF(E512=0,0,E512*0.03)</f>
        <v>0</v>
      </c>
    </row>
    <row r="513" customFormat="false" ht="15.75" hidden="false" customHeight="true" outlineLevel="0" collapsed="false">
      <c r="A513" s="30" t="n">
        <v>0</v>
      </c>
      <c r="B513" s="31" t="s">
        <v>11</v>
      </c>
      <c r="C513" s="32"/>
      <c r="D513" s="32"/>
      <c r="E513" s="19" t="n">
        <f aca="false">+IF(C513="EQUIPO",F513,0)</f>
        <v>0</v>
      </c>
      <c r="F513" s="33" t="n">
        <v>0</v>
      </c>
      <c r="G513" s="35" t="n">
        <v>0</v>
      </c>
      <c r="H513" s="34" t="n">
        <f aca="false">+IF(E513=0,0,E513*0.03)</f>
        <v>0</v>
      </c>
    </row>
    <row r="514" customFormat="false" ht="15.75" hidden="false" customHeight="true" outlineLevel="0" collapsed="false">
      <c r="A514" s="30" t="n">
        <v>0</v>
      </c>
      <c r="B514" s="31" t="s">
        <v>11</v>
      </c>
      <c r="C514" s="32"/>
      <c r="D514" s="32"/>
      <c r="E514" s="19" t="n">
        <f aca="false">+IF(C514="EQUIPO",F514,0)</f>
        <v>0</v>
      </c>
      <c r="F514" s="33" t="n">
        <v>0</v>
      </c>
      <c r="G514" s="35" t="n">
        <v>0</v>
      </c>
      <c r="H514" s="34" t="n">
        <f aca="false">+IF(E514=0,0,E514*0.03)</f>
        <v>0</v>
      </c>
    </row>
    <row r="515" customFormat="false" ht="15.75" hidden="false" customHeight="true" outlineLevel="0" collapsed="false">
      <c r="A515" s="30" t="n">
        <v>0</v>
      </c>
      <c r="B515" s="31" t="s">
        <v>11</v>
      </c>
      <c r="C515" s="32"/>
      <c r="D515" s="32"/>
      <c r="E515" s="19" t="n">
        <f aca="false">+IF(C515="EQUIPO",F515,0)</f>
        <v>0</v>
      </c>
      <c r="F515" s="33" t="n">
        <v>0</v>
      </c>
      <c r="G515" s="35" t="n">
        <v>0</v>
      </c>
      <c r="H515" s="34" t="n">
        <f aca="false">+IF(E515=0,0,E515*0.03)</f>
        <v>0</v>
      </c>
    </row>
    <row r="516" customFormat="false" ht="15.75" hidden="false" customHeight="true" outlineLevel="0" collapsed="false">
      <c r="A516" s="30" t="n">
        <v>0</v>
      </c>
      <c r="B516" s="31" t="s">
        <v>11</v>
      </c>
      <c r="C516" s="32"/>
      <c r="D516" s="32"/>
      <c r="E516" s="19" t="n">
        <f aca="false">+IF(C516="EQUIPO",F516,0)</f>
        <v>0</v>
      </c>
      <c r="F516" s="33" t="n">
        <v>0</v>
      </c>
      <c r="G516" s="35" t="n">
        <v>0</v>
      </c>
      <c r="H516" s="34" t="n">
        <f aca="false">+IF(E516=0,0,E516*0.03)</f>
        <v>0</v>
      </c>
    </row>
    <row r="517" customFormat="false" ht="15.75" hidden="false" customHeight="true" outlineLevel="0" collapsed="false">
      <c r="A517" s="30" t="n">
        <v>0</v>
      </c>
      <c r="B517" s="31" t="s">
        <v>11</v>
      </c>
      <c r="C517" s="32"/>
      <c r="D517" s="32"/>
      <c r="E517" s="19" t="n">
        <f aca="false">+IF(C517="EQUIPO",F517,0)</f>
        <v>0</v>
      </c>
      <c r="F517" s="33" t="n">
        <v>0</v>
      </c>
      <c r="G517" s="35" t="n">
        <v>0</v>
      </c>
      <c r="H517" s="34" t="n">
        <f aca="false">+IF(E517=0,0,E517*0.03)</f>
        <v>0</v>
      </c>
    </row>
    <row r="518" customFormat="false" ht="15.75" hidden="false" customHeight="true" outlineLevel="0" collapsed="false">
      <c r="A518" s="30" t="n">
        <v>0</v>
      </c>
      <c r="B518" s="31" t="s">
        <v>11</v>
      </c>
      <c r="C518" s="32"/>
      <c r="D518" s="32"/>
      <c r="E518" s="19" t="n">
        <f aca="false">+IF(C518="EQUIPO",F518,0)</f>
        <v>0</v>
      </c>
      <c r="F518" s="33" t="n">
        <v>0</v>
      </c>
      <c r="G518" s="35" t="n">
        <v>0</v>
      </c>
      <c r="H518" s="34" t="n">
        <f aca="false">+IF(E518=0,0,E518*0.03)</f>
        <v>0</v>
      </c>
    </row>
    <row r="519" customFormat="false" ht="15.75" hidden="false" customHeight="true" outlineLevel="0" collapsed="false">
      <c r="A519" s="30" t="n">
        <v>0</v>
      </c>
      <c r="B519" s="31" t="s">
        <v>11</v>
      </c>
      <c r="C519" s="32"/>
      <c r="D519" s="32"/>
      <c r="E519" s="19" t="n">
        <f aca="false">+IF(C519="EQUIPO",F519,0)</f>
        <v>0</v>
      </c>
      <c r="F519" s="33" t="n">
        <v>0</v>
      </c>
      <c r="G519" s="35" t="n">
        <v>0</v>
      </c>
      <c r="H519" s="34" t="n">
        <f aca="false">+IF(E519=0,0,E519*0.03)</f>
        <v>0</v>
      </c>
    </row>
    <row r="520" customFormat="false" ht="15.75" hidden="false" customHeight="true" outlineLevel="0" collapsed="false">
      <c r="A520" s="30" t="n">
        <v>0</v>
      </c>
      <c r="B520" s="31" t="s">
        <v>11</v>
      </c>
      <c r="C520" s="32"/>
      <c r="D520" s="32"/>
      <c r="E520" s="19" t="n">
        <f aca="false">+IF(C520="EQUIPO",F520,0)</f>
        <v>0</v>
      </c>
      <c r="F520" s="33" t="n">
        <v>0</v>
      </c>
      <c r="G520" s="35" t="n">
        <v>0</v>
      </c>
      <c r="H520" s="34" t="n">
        <f aca="false">+IF(E520=0,0,E520*0.03)</f>
        <v>0</v>
      </c>
    </row>
    <row r="521" customFormat="false" ht="15.75" hidden="false" customHeight="true" outlineLevel="0" collapsed="false">
      <c r="A521" s="30" t="n">
        <v>0</v>
      </c>
      <c r="B521" s="31" t="s">
        <v>11</v>
      </c>
      <c r="C521" s="32"/>
      <c r="D521" s="32"/>
      <c r="E521" s="19" t="n">
        <f aca="false">+IF(C521="EQUIPO",F521,0)</f>
        <v>0</v>
      </c>
      <c r="F521" s="33" t="n">
        <v>0</v>
      </c>
      <c r="G521" s="35" t="n">
        <v>0</v>
      </c>
      <c r="H521" s="34" t="n">
        <f aca="false">+IF(E521=0,0,E521*0.03)</f>
        <v>0</v>
      </c>
    </row>
    <row r="522" customFormat="false" ht="15.75" hidden="false" customHeight="true" outlineLevel="0" collapsed="false">
      <c r="A522" s="30" t="n">
        <v>0</v>
      </c>
      <c r="B522" s="31" t="s">
        <v>11</v>
      </c>
      <c r="C522" s="32"/>
      <c r="D522" s="32"/>
      <c r="E522" s="19" t="n">
        <f aca="false">+IF(C522="EQUIPO",F522,0)</f>
        <v>0</v>
      </c>
      <c r="F522" s="33" t="n">
        <v>0</v>
      </c>
      <c r="G522" s="35" t="n">
        <v>0</v>
      </c>
      <c r="H522" s="34" t="n">
        <f aca="false">+IF(E522=0,0,E522*0.03)</f>
        <v>0</v>
      </c>
    </row>
    <row r="523" customFormat="false" ht="15.75" hidden="false" customHeight="true" outlineLevel="0" collapsed="false">
      <c r="A523" s="30" t="n">
        <v>0</v>
      </c>
      <c r="B523" s="31" t="s">
        <v>11</v>
      </c>
      <c r="C523" s="32"/>
      <c r="D523" s="32"/>
      <c r="E523" s="19" t="n">
        <f aca="false">+IF(C523="EQUIPO",F523,0)</f>
        <v>0</v>
      </c>
      <c r="F523" s="33" t="n">
        <v>0</v>
      </c>
      <c r="G523" s="35" t="n">
        <v>0</v>
      </c>
      <c r="H523" s="34" t="n">
        <f aca="false">+IF(E523=0,0,E523*0.03)</f>
        <v>0</v>
      </c>
    </row>
    <row r="524" customFormat="false" ht="15.75" hidden="false" customHeight="true" outlineLevel="0" collapsed="false">
      <c r="A524" s="30" t="n">
        <v>0</v>
      </c>
      <c r="B524" s="31" t="s">
        <v>11</v>
      </c>
      <c r="C524" s="32"/>
      <c r="D524" s="32"/>
      <c r="E524" s="19" t="n">
        <f aca="false">+IF(C524="EQUIPO",F524,0)</f>
        <v>0</v>
      </c>
      <c r="F524" s="33" t="n">
        <v>0</v>
      </c>
      <c r="G524" s="35" t="n">
        <v>0</v>
      </c>
      <c r="H524" s="34" t="n">
        <f aca="false">+IF(E524=0,0,E524*0.03)</f>
        <v>0</v>
      </c>
    </row>
    <row r="525" customFormat="false" ht="15.75" hidden="false" customHeight="true" outlineLevel="0" collapsed="false">
      <c r="A525" s="30" t="n">
        <v>0</v>
      </c>
      <c r="B525" s="31" t="s">
        <v>11</v>
      </c>
      <c r="C525" s="32"/>
      <c r="D525" s="32"/>
      <c r="E525" s="19" t="n">
        <f aca="false">+IF(C525="EQUIPO",F525,0)</f>
        <v>0</v>
      </c>
      <c r="F525" s="33" t="n">
        <v>0</v>
      </c>
      <c r="G525" s="35" t="n">
        <v>0</v>
      </c>
      <c r="H525" s="34" t="n">
        <f aca="false">+IF(E525=0,0,E525*0.03)</f>
        <v>0</v>
      </c>
    </row>
    <row r="526" customFormat="false" ht="15.75" hidden="false" customHeight="true" outlineLevel="0" collapsed="false">
      <c r="A526" s="30" t="n">
        <v>0</v>
      </c>
      <c r="B526" s="31" t="s">
        <v>11</v>
      </c>
      <c r="C526" s="32"/>
      <c r="D526" s="32"/>
      <c r="E526" s="19" t="n">
        <f aca="false">+IF(C526="EQUIPO",F526,0)</f>
        <v>0</v>
      </c>
      <c r="F526" s="33" t="n">
        <v>0</v>
      </c>
      <c r="G526" s="35" t="n">
        <v>0</v>
      </c>
      <c r="H526" s="34" t="n">
        <f aca="false">+IF(E526=0,0,E526*0.03)</f>
        <v>0</v>
      </c>
    </row>
    <row r="527" customFormat="false" ht="15.75" hidden="false" customHeight="true" outlineLevel="0" collapsed="false">
      <c r="A527" s="30" t="n">
        <v>0</v>
      </c>
      <c r="B527" s="31" t="s">
        <v>11</v>
      </c>
      <c r="C527" s="32"/>
      <c r="D527" s="32"/>
      <c r="E527" s="19" t="n">
        <f aca="false">+IF(C527="EQUIPO",F527,0)</f>
        <v>0</v>
      </c>
      <c r="F527" s="33" t="n">
        <v>0</v>
      </c>
      <c r="G527" s="35" t="n">
        <v>0</v>
      </c>
      <c r="H527" s="34" t="n">
        <f aca="false">+IF(E527=0,0,E527*0.03)</f>
        <v>0</v>
      </c>
    </row>
    <row r="528" customFormat="false" ht="15.75" hidden="false" customHeight="true" outlineLevel="0" collapsed="false">
      <c r="A528" s="30" t="n">
        <v>0</v>
      </c>
      <c r="B528" s="31" t="s">
        <v>11</v>
      </c>
      <c r="C528" s="32"/>
      <c r="D528" s="32"/>
      <c r="E528" s="19" t="n">
        <f aca="false">+IF(C528="EQUIPO",F528,0)</f>
        <v>0</v>
      </c>
      <c r="F528" s="33" t="n">
        <v>0</v>
      </c>
      <c r="G528" s="35" t="n">
        <v>0</v>
      </c>
      <c r="H528" s="34" t="n">
        <f aca="false">+IF(E528=0,0,E528*0.03)</f>
        <v>0</v>
      </c>
    </row>
    <row r="529" customFormat="false" ht="15.75" hidden="false" customHeight="true" outlineLevel="0" collapsed="false">
      <c r="A529" s="30" t="n">
        <v>0</v>
      </c>
      <c r="B529" s="31" t="s">
        <v>11</v>
      </c>
      <c r="C529" s="32"/>
      <c r="D529" s="32"/>
      <c r="E529" s="19" t="n">
        <f aca="false">+IF(C529="EQUIPO",F529,0)</f>
        <v>0</v>
      </c>
      <c r="F529" s="33" t="n">
        <v>0</v>
      </c>
      <c r="G529" s="35" t="n">
        <v>0</v>
      </c>
      <c r="H529" s="34" t="n">
        <f aca="false">+IF(E529=0,0,E529*0.03)</f>
        <v>0</v>
      </c>
    </row>
    <row r="530" customFormat="false" ht="15.75" hidden="false" customHeight="true" outlineLevel="0" collapsed="false">
      <c r="A530" s="30" t="n">
        <v>0</v>
      </c>
      <c r="B530" s="31" t="s">
        <v>11</v>
      </c>
      <c r="C530" s="32"/>
      <c r="D530" s="32"/>
      <c r="E530" s="19" t="n">
        <f aca="false">+IF(C530="EQUIPO",F530,0)</f>
        <v>0</v>
      </c>
      <c r="F530" s="33" t="n">
        <v>0</v>
      </c>
      <c r="G530" s="35" t="n">
        <v>0</v>
      </c>
      <c r="H530" s="34" t="n">
        <f aca="false">+IF(E530=0,0,E530*0.03)</f>
        <v>0</v>
      </c>
    </row>
    <row r="531" customFormat="false" ht="15.75" hidden="false" customHeight="true" outlineLevel="0" collapsed="false">
      <c r="A531" s="30" t="n">
        <v>0</v>
      </c>
      <c r="B531" s="31" t="s">
        <v>11</v>
      </c>
      <c r="C531" s="32"/>
      <c r="D531" s="32"/>
      <c r="E531" s="19" t="n">
        <f aca="false">+IF(C531="EQUIPO",F531,0)</f>
        <v>0</v>
      </c>
      <c r="F531" s="33" t="n">
        <v>0</v>
      </c>
      <c r="G531" s="35" t="n">
        <v>0</v>
      </c>
      <c r="H531" s="34" t="n">
        <f aca="false">+IF(E531=0,0,E531*0.03)</f>
        <v>0</v>
      </c>
    </row>
    <row r="532" customFormat="false" ht="15.75" hidden="false" customHeight="true" outlineLevel="0" collapsed="false">
      <c r="A532" s="30" t="n">
        <v>0</v>
      </c>
      <c r="B532" s="31" t="s">
        <v>11</v>
      </c>
      <c r="C532" s="32"/>
      <c r="D532" s="32"/>
      <c r="E532" s="19" t="n">
        <f aca="false">+IF(C532="EQUIPO",F532,0)</f>
        <v>0</v>
      </c>
      <c r="F532" s="33" t="n">
        <v>0</v>
      </c>
      <c r="G532" s="35" t="n">
        <v>0</v>
      </c>
      <c r="H532" s="34" t="n">
        <f aca="false">+IF(E532=0,0,E532*0.03)</f>
        <v>0</v>
      </c>
    </row>
    <row r="533" customFormat="false" ht="15.75" hidden="false" customHeight="true" outlineLevel="0" collapsed="false">
      <c r="A533" s="30" t="n">
        <v>0</v>
      </c>
      <c r="B533" s="31" t="s">
        <v>11</v>
      </c>
      <c r="C533" s="32"/>
      <c r="D533" s="32"/>
      <c r="E533" s="19" t="n">
        <f aca="false">+IF(C533="EQUIPO",F533,0)</f>
        <v>0</v>
      </c>
      <c r="F533" s="33" t="n">
        <v>0</v>
      </c>
      <c r="G533" s="35" t="n">
        <v>0</v>
      </c>
      <c r="H533" s="34" t="n">
        <f aca="false">+IF(E533=0,0,E533*0.03)</f>
        <v>0</v>
      </c>
    </row>
    <row r="534" customFormat="false" ht="15.75" hidden="false" customHeight="true" outlineLevel="0" collapsed="false">
      <c r="A534" s="30" t="n">
        <v>0</v>
      </c>
      <c r="B534" s="31" t="s">
        <v>11</v>
      </c>
      <c r="C534" s="32"/>
      <c r="D534" s="32"/>
      <c r="E534" s="19" t="n">
        <f aca="false">+IF(C534="EQUIPO",F534,0)</f>
        <v>0</v>
      </c>
      <c r="F534" s="33" t="n">
        <v>0</v>
      </c>
      <c r="G534" s="35" t="n">
        <v>0</v>
      </c>
      <c r="H534" s="34" t="n">
        <f aca="false">+IF(E534=0,0,E534*0.03)</f>
        <v>0</v>
      </c>
    </row>
    <row r="535" customFormat="false" ht="15.75" hidden="false" customHeight="true" outlineLevel="0" collapsed="false">
      <c r="A535" s="30" t="n">
        <v>0</v>
      </c>
      <c r="B535" s="31" t="s">
        <v>11</v>
      </c>
      <c r="C535" s="32"/>
      <c r="D535" s="32"/>
      <c r="E535" s="19" t="n">
        <f aca="false">+IF(C535="EQUIPO",F535,0)</f>
        <v>0</v>
      </c>
      <c r="F535" s="33" t="n">
        <v>0</v>
      </c>
      <c r="G535" s="35" t="n">
        <v>0</v>
      </c>
      <c r="H535" s="34" t="n">
        <f aca="false">+IF(E535=0,0,E535*0.03)</f>
        <v>0</v>
      </c>
    </row>
    <row r="536" customFormat="false" ht="15.75" hidden="false" customHeight="true" outlineLevel="0" collapsed="false">
      <c r="A536" s="30" t="n">
        <v>0</v>
      </c>
      <c r="B536" s="31" t="s">
        <v>11</v>
      </c>
      <c r="C536" s="32"/>
      <c r="D536" s="32"/>
      <c r="E536" s="19" t="n">
        <f aca="false">+IF(C536="EQUIPO",F536,0)</f>
        <v>0</v>
      </c>
      <c r="F536" s="33" t="n">
        <v>0</v>
      </c>
      <c r="G536" s="35" t="n">
        <v>0</v>
      </c>
      <c r="H536" s="34" t="n">
        <f aca="false">+IF(E536=0,0,E536*0.03)</f>
        <v>0</v>
      </c>
    </row>
    <row r="537" customFormat="false" ht="15.75" hidden="false" customHeight="true" outlineLevel="0" collapsed="false">
      <c r="A537" s="30" t="n">
        <v>0</v>
      </c>
      <c r="B537" s="31" t="s">
        <v>11</v>
      </c>
      <c r="C537" s="32"/>
      <c r="D537" s="32"/>
      <c r="E537" s="19" t="n">
        <f aca="false">+IF(C537="EQUIPO",F537,0)</f>
        <v>0</v>
      </c>
      <c r="F537" s="33" t="n">
        <v>0</v>
      </c>
      <c r="G537" s="35" t="n">
        <v>0</v>
      </c>
      <c r="H537" s="34" t="n">
        <f aca="false">+IF(E537=0,0,E537*0.03)</f>
        <v>0</v>
      </c>
    </row>
    <row r="538" customFormat="false" ht="15.75" hidden="false" customHeight="true" outlineLevel="0" collapsed="false">
      <c r="A538" s="30" t="n">
        <v>0</v>
      </c>
      <c r="B538" s="31" t="s">
        <v>11</v>
      </c>
      <c r="C538" s="32"/>
      <c r="D538" s="32"/>
      <c r="E538" s="19" t="n">
        <f aca="false">+IF(C538="EQUIPO",F538,0)</f>
        <v>0</v>
      </c>
      <c r="F538" s="33" t="n">
        <v>0</v>
      </c>
      <c r="G538" s="35" t="n">
        <v>0</v>
      </c>
      <c r="H538" s="34" t="n">
        <f aca="false">+IF(E538=0,0,E538*0.03)</f>
        <v>0</v>
      </c>
    </row>
    <row r="539" customFormat="false" ht="15.75" hidden="false" customHeight="true" outlineLevel="0" collapsed="false">
      <c r="A539" s="30" t="n">
        <v>0</v>
      </c>
      <c r="B539" s="31" t="s">
        <v>11</v>
      </c>
      <c r="C539" s="32"/>
      <c r="D539" s="32"/>
      <c r="E539" s="19" t="n">
        <f aca="false">+IF(C539="EQUIPO",F539,0)</f>
        <v>0</v>
      </c>
      <c r="F539" s="33" t="n">
        <v>0</v>
      </c>
      <c r="G539" s="35" t="n">
        <v>0</v>
      </c>
      <c r="H539" s="34" t="n">
        <f aca="false">+IF(E539=0,0,E539*0.03)</f>
        <v>0</v>
      </c>
    </row>
    <row r="540" customFormat="false" ht="15.75" hidden="false" customHeight="true" outlineLevel="0" collapsed="false">
      <c r="A540" s="30" t="n">
        <v>0</v>
      </c>
      <c r="B540" s="31" t="s">
        <v>11</v>
      </c>
      <c r="C540" s="32"/>
      <c r="D540" s="32"/>
      <c r="E540" s="19" t="n">
        <f aca="false">+IF(C540="EQUIPO",F540,0)</f>
        <v>0</v>
      </c>
      <c r="F540" s="33" t="n">
        <v>0</v>
      </c>
      <c r="G540" s="35" t="n">
        <v>0</v>
      </c>
      <c r="H540" s="34" t="n">
        <f aca="false">+IF(E540=0,0,E540*0.03)</f>
        <v>0</v>
      </c>
    </row>
    <row r="541" customFormat="false" ht="15.75" hidden="false" customHeight="true" outlineLevel="0" collapsed="false">
      <c r="A541" s="30" t="n">
        <v>0</v>
      </c>
      <c r="B541" s="31" t="s">
        <v>11</v>
      </c>
      <c r="C541" s="32"/>
      <c r="D541" s="32"/>
      <c r="E541" s="19" t="n">
        <f aca="false">+IF(C541="EQUIPO",F541,0)</f>
        <v>0</v>
      </c>
      <c r="F541" s="33" t="n">
        <v>0</v>
      </c>
      <c r="G541" s="35" t="n">
        <v>0</v>
      </c>
      <c r="H541" s="34" t="n">
        <f aca="false">+IF(E541=0,0,E541*0.03)</f>
        <v>0</v>
      </c>
    </row>
    <row r="542" customFormat="false" ht="15.75" hidden="false" customHeight="true" outlineLevel="0" collapsed="false">
      <c r="A542" s="30" t="n">
        <v>0</v>
      </c>
      <c r="B542" s="31" t="s">
        <v>11</v>
      </c>
      <c r="C542" s="32"/>
      <c r="D542" s="32"/>
      <c r="E542" s="19" t="n">
        <f aca="false">+IF(C542="EQUIPO",F542,0)</f>
        <v>0</v>
      </c>
      <c r="F542" s="33" t="n">
        <v>0</v>
      </c>
      <c r="G542" s="35" t="n">
        <v>0</v>
      </c>
      <c r="H542" s="34" t="n">
        <f aca="false">+IF(E542=0,0,E542*0.03)</f>
        <v>0</v>
      </c>
    </row>
    <row r="543" customFormat="false" ht="15.75" hidden="false" customHeight="true" outlineLevel="0" collapsed="false">
      <c r="A543" s="30" t="n">
        <v>0</v>
      </c>
      <c r="B543" s="31" t="s">
        <v>11</v>
      </c>
      <c r="C543" s="32"/>
      <c r="D543" s="32"/>
      <c r="E543" s="19" t="n">
        <f aca="false">+IF(C543="EQUIPO",F543,0)</f>
        <v>0</v>
      </c>
      <c r="F543" s="33" t="n">
        <v>0</v>
      </c>
      <c r="G543" s="35" t="n">
        <v>0</v>
      </c>
      <c r="H543" s="34" t="n">
        <f aca="false">+IF(E543=0,0,E543*0.03)</f>
        <v>0</v>
      </c>
    </row>
    <row r="544" customFormat="false" ht="15.75" hidden="false" customHeight="true" outlineLevel="0" collapsed="false">
      <c r="A544" s="30" t="n">
        <v>0</v>
      </c>
      <c r="B544" s="31" t="s">
        <v>11</v>
      </c>
      <c r="C544" s="32"/>
      <c r="D544" s="32"/>
      <c r="E544" s="19" t="n">
        <f aca="false">+IF(C544="EQUIPO",F544,0)</f>
        <v>0</v>
      </c>
      <c r="F544" s="33" t="n">
        <v>0</v>
      </c>
      <c r="G544" s="35" t="n">
        <v>0</v>
      </c>
      <c r="H544" s="34" t="n">
        <f aca="false">+IF(E544=0,0,E544*0.03)</f>
        <v>0</v>
      </c>
    </row>
    <row r="545" customFormat="false" ht="15.75" hidden="false" customHeight="true" outlineLevel="0" collapsed="false">
      <c r="A545" s="30" t="n">
        <v>0</v>
      </c>
      <c r="B545" s="31" t="s">
        <v>11</v>
      </c>
      <c r="C545" s="32"/>
      <c r="D545" s="32"/>
      <c r="E545" s="19" t="n">
        <f aca="false">+IF(C545="EQUIPO",F545,0)</f>
        <v>0</v>
      </c>
      <c r="F545" s="33" t="n">
        <v>0</v>
      </c>
      <c r="G545" s="35" t="n">
        <v>0</v>
      </c>
      <c r="H545" s="34" t="n">
        <f aca="false">+IF(E545=0,0,E545*0.03)</f>
        <v>0</v>
      </c>
    </row>
    <row r="546" customFormat="false" ht="15.75" hidden="false" customHeight="true" outlineLevel="0" collapsed="false">
      <c r="A546" s="30" t="n">
        <v>0</v>
      </c>
      <c r="B546" s="31" t="s">
        <v>11</v>
      </c>
      <c r="C546" s="32"/>
      <c r="D546" s="32"/>
      <c r="E546" s="19" t="n">
        <f aca="false">+IF(C546="EQUIPO",F546,0)</f>
        <v>0</v>
      </c>
      <c r="F546" s="33" t="n">
        <v>0</v>
      </c>
      <c r="G546" s="35" t="n">
        <v>0</v>
      </c>
      <c r="H546" s="34" t="n">
        <f aca="false">+IF(E546=0,0,E546*0.03)</f>
        <v>0</v>
      </c>
    </row>
    <row r="547" customFormat="false" ht="15.75" hidden="false" customHeight="true" outlineLevel="0" collapsed="false">
      <c r="A547" s="30" t="n">
        <v>0</v>
      </c>
      <c r="B547" s="31" t="s">
        <v>11</v>
      </c>
      <c r="C547" s="32"/>
      <c r="D547" s="32"/>
      <c r="E547" s="19" t="n">
        <f aca="false">+IF(C547="EQUIPO",F547,0)</f>
        <v>0</v>
      </c>
      <c r="F547" s="33" t="n">
        <v>0</v>
      </c>
      <c r="G547" s="35" t="n">
        <v>0</v>
      </c>
      <c r="H547" s="34" t="n">
        <f aca="false">+IF(E547=0,0,E547*0.03)</f>
        <v>0</v>
      </c>
    </row>
    <row r="548" customFormat="false" ht="15.75" hidden="false" customHeight="true" outlineLevel="0" collapsed="false">
      <c r="A548" s="30" t="n">
        <v>0</v>
      </c>
      <c r="B548" s="31" t="s">
        <v>11</v>
      </c>
      <c r="C548" s="32"/>
      <c r="D548" s="32"/>
      <c r="E548" s="19" t="n">
        <f aca="false">+IF(C548="EQUIPO",F548,0)</f>
        <v>0</v>
      </c>
      <c r="F548" s="33" t="n">
        <v>0</v>
      </c>
      <c r="G548" s="35" t="n">
        <v>0</v>
      </c>
      <c r="H548" s="34" t="n">
        <f aca="false">+IF(E548=0,0,E548*0.03)</f>
        <v>0</v>
      </c>
    </row>
    <row r="549" customFormat="false" ht="15.75" hidden="false" customHeight="true" outlineLevel="0" collapsed="false">
      <c r="A549" s="30" t="n">
        <v>0</v>
      </c>
      <c r="B549" s="31" t="s">
        <v>11</v>
      </c>
      <c r="C549" s="32"/>
      <c r="D549" s="32"/>
      <c r="E549" s="19" t="n">
        <f aca="false">+IF(C549="EQUIPO",F549,0)</f>
        <v>0</v>
      </c>
      <c r="F549" s="33" t="n">
        <v>0</v>
      </c>
      <c r="G549" s="35" t="n">
        <v>0</v>
      </c>
      <c r="H549" s="34" t="n">
        <f aca="false">+IF(E549=0,0,E549*0.03)</f>
        <v>0</v>
      </c>
    </row>
    <row r="550" customFormat="false" ht="15.75" hidden="false" customHeight="true" outlineLevel="0" collapsed="false">
      <c r="A550" s="30" t="n">
        <v>0</v>
      </c>
      <c r="B550" s="31" t="s">
        <v>11</v>
      </c>
      <c r="C550" s="32"/>
      <c r="D550" s="32"/>
      <c r="E550" s="19" t="n">
        <f aca="false">+IF(C550="EQUIPO",F550,0)</f>
        <v>0</v>
      </c>
      <c r="F550" s="33" t="n">
        <v>0</v>
      </c>
      <c r="G550" s="35" t="n">
        <v>0</v>
      </c>
      <c r="H550" s="34" t="n">
        <f aca="false">+IF(E550=0,0,E550*0.03)</f>
        <v>0</v>
      </c>
    </row>
    <row r="551" customFormat="false" ht="15.75" hidden="false" customHeight="true" outlineLevel="0" collapsed="false">
      <c r="A551" s="30" t="n">
        <v>0</v>
      </c>
      <c r="B551" s="31" t="s">
        <v>11</v>
      </c>
      <c r="C551" s="32"/>
      <c r="D551" s="32"/>
      <c r="E551" s="19" t="n">
        <f aca="false">+IF(C551="EQUIPO",F551,0)</f>
        <v>0</v>
      </c>
      <c r="F551" s="33" t="n">
        <v>0</v>
      </c>
      <c r="G551" s="35" t="n">
        <v>0</v>
      </c>
      <c r="H551" s="34" t="n">
        <f aca="false">+IF(E551=0,0,E551*0.03)</f>
        <v>0</v>
      </c>
    </row>
    <row r="552" customFormat="false" ht="15.75" hidden="false" customHeight="true" outlineLevel="0" collapsed="false">
      <c r="A552" s="30" t="n">
        <v>0</v>
      </c>
      <c r="B552" s="31" t="s">
        <v>11</v>
      </c>
      <c r="C552" s="32"/>
      <c r="D552" s="32"/>
      <c r="E552" s="19" t="n">
        <f aca="false">+IF(C552="EQUIPO",F552,0)</f>
        <v>0</v>
      </c>
      <c r="F552" s="33" t="n">
        <v>0</v>
      </c>
      <c r="G552" s="35" t="n">
        <v>0</v>
      </c>
      <c r="H552" s="34" t="n">
        <f aca="false">+IF(E552=0,0,E552*0.03)</f>
        <v>0</v>
      </c>
    </row>
    <row r="553" customFormat="false" ht="15.75" hidden="false" customHeight="true" outlineLevel="0" collapsed="false">
      <c r="A553" s="30" t="n">
        <v>0</v>
      </c>
      <c r="B553" s="31" t="s">
        <v>11</v>
      </c>
      <c r="C553" s="32"/>
      <c r="D553" s="32"/>
      <c r="E553" s="19" t="n">
        <f aca="false">+IF(C553="EQUIPO",F553,0)</f>
        <v>0</v>
      </c>
      <c r="F553" s="33" t="n">
        <v>0</v>
      </c>
      <c r="G553" s="35" t="n">
        <v>0</v>
      </c>
      <c r="H553" s="34" t="n">
        <f aca="false">+IF(E553=0,0,E553*0.03)</f>
        <v>0</v>
      </c>
    </row>
    <row r="554" customFormat="false" ht="15.75" hidden="false" customHeight="true" outlineLevel="0" collapsed="false">
      <c r="A554" s="30" t="n">
        <v>0</v>
      </c>
      <c r="B554" s="31" t="s">
        <v>11</v>
      </c>
      <c r="C554" s="32"/>
      <c r="D554" s="32"/>
      <c r="E554" s="19" t="n">
        <f aca="false">+IF(C554="EQUIPO",F554,0)</f>
        <v>0</v>
      </c>
      <c r="F554" s="33" t="n">
        <v>0</v>
      </c>
      <c r="G554" s="35" t="n">
        <v>0</v>
      </c>
      <c r="H554" s="34" t="n">
        <f aca="false">+IF(E554=0,0,E554*0.03)</f>
        <v>0</v>
      </c>
    </row>
    <row r="555" customFormat="false" ht="15.75" hidden="false" customHeight="true" outlineLevel="0" collapsed="false">
      <c r="A555" s="30" t="n">
        <v>0</v>
      </c>
      <c r="B555" s="31" t="s">
        <v>11</v>
      </c>
      <c r="C555" s="32"/>
      <c r="D555" s="32"/>
      <c r="E555" s="19" t="n">
        <f aca="false">+IF(C555="EQUIPO",F555,0)</f>
        <v>0</v>
      </c>
      <c r="F555" s="33" t="n">
        <v>0</v>
      </c>
      <c r="G555" s="35" t="n">
        <v>0</v>
      </c>
      <c r="H555" s="34" t="n">
        <f aca="false">+IF(E555=0,0,E555*0.03)</f>
        <v>0</v>
      </c>
    </row>
    <row r="556" customFormat="false" ht="15.75" hidden="false" customHeight="true" outlineLevel="0" collapsed="false">
      <c r="A556" s="30" t="n">
        <v>0</v>
      </c>
      <c r="B556" s="31" t="s">
        <v>11</v>
      </c>
      <c r="C556" s="32"/>
      <c r="D556" s="32"/>
      <c r="E556" s="19" t="n">
        <f aca="false">+IF(C556="EQUIPO",F556,0)</f>
        <v>0</v>
      </c>
      <c r="F556" s="33" t="n">
        <v>0</v>
      </c>
      <c r="G556" s="35" t="n">
        <v>0</v>
      </c>
      <c r="H556" s="34" t="n">
        <f aca="false">+IF(E556=0,0,E556*0.03)</f>
        <v>0</v>
      </c>
    </row>
    <row r="557" customFormat="false" ht="15.75" hidden="false" customHeight="true" outlineLevel="0" collapsed="false">
      <c r="A557" s="30" t="n">
        <v>0</v>
      </c>
      <c r="B557" s="31" t="s">
        <v>11</v>
      </c>
      <c r="C557" s="32"/>
      <c r="D557" s="32"/>
      <c r="E557" s="19" t="n">
        <f aca="false">+IF(C557="EQUIPO",F557,0)</f>
        <v>0</v>
      </c>
      <c r="F557" s="33" t="n">
        <v>0</v>
      </c>
      <c r="G557" s="35" t="n">
        <v>0</v>
      </c>
      <c r="H557" s="34" t="n">
        <f aca="false">+IF(E557=0,0,E557*0.03)</f>
        <v>0</v>
      </c>
    </row>
    <row r="558" customFormat="false" ht="15.75" hidden="false" customHeight="true" outlineLevel="0" collapsed="false">
      <c r="A558" s="30" t="n">
        <v>0</v>
      </c>
      <c r="B558" s="31" t="s">
        <v>11</v>
      </c>
      <c r="C558" s="32"/>
      <c r="D558" s="32"/>
      <c r="E558" s="19" t="n">
        <f aca="false">+IF(C558="EQUIPO",F558,0)</f>
        <v>0</v>
      </c>
      <c r="F558" s="33" t="n">
        <v>0</v>
      </c>
      <c r="G558" s="35" t="n">
        <v>0</v>
      </c>
      <c r="H558" s="34" t="n">
        <f aca="false">+IF(E558=0,0,E558*0.03)</f>
        <v>0</v>
      </c>
    </row>
    <row r="559" customFormat="false" ht="15.75" hidden="false" customHeight="true" outlineLevel="0" collapsed="false">
      <c r="A559" s="30" t="n">
        <v>0</v>
      </c>
      <c r="B559" s="31" t="s">
        <v>11</v>
      </c>
      <c r="C559" s="32"/>
      <c r="D559" s="32"/>
      <c r="E559" s="19" t="n">
        <f aca="false">+IF(C559="EQUIPO",F559,0)</f>
        <v>0</v>
      </c>
      <c r="F559" s="33" t="n">
        <v>0</v>
      </c>
      <c r="G559" s="35" t="n">
        <v>0</v>
      </c>
      <c r="H559" s="34" t="n">
        <f aca="false">+IF(E559=0,0,E559*0.03)</f>
        <v>0</v>
      </c>
    </row>
    <row r="560" customFormat="false" ht="15.75" hidden="false" customHeight="true" outlineLevel="0" collapsed="false">
      <c r="A560" s="30" t="n">
        <v>0</v>
      </c>
      <c r="B560" s="31" t="s">
        <v>11</v>
      </c>
      <c r="C560" s="32"/>
      <c r="D560" s="32"/>
      <c r="E560" s="19" t="n">
        <f aca="false">+IF(C560="EQUIPO",F560,0)</f>
        <v>0</v>
      </c>
      <c r="F560" s="33" t="n">
        <v>0</v>
      </c>
      <c r="G560" s="35" t="n">
        <v>0</v>
      </c>
      <c r="H560" s="34" t="n">
        <f aca="false">+IF(E560=0,0,E560*0.03)</f>
        <v>0</v>
      </c>
    </row>
    <row r="561" customFormat="false" ht="15.75" hidden="false" customHeight="true" outlineLevel="0" collapsed="false">
      <c r="A561" s="30" t="n">
        <v>0</v>
      </c>
      <c r="B561" s="31" t="s">
        <v>11</v>
      </c>
      <c r="C561" s="32"/>
      <c r="D561" s="32"/>
      <c r="E561" s="19" t="n">
        <f aca="false">+IF(C561="EQUIPO",F561,0)</f>
        <v>0</v>
      </c>
      <c r="F561" s="33" t="n">
        <v>0</v>
      </c>
      <c r="G561" s="35" t="n">
        <v>0</v>
      </c>
      <c r="H561" s="34" t="n">
        <f aca="false">+IF(E561=0,0,E561*0.03)</f>
        <v>0</v>
      </c>
    </row>
    <row r="562" customFormat="false" ht="15.75" hidden="false" customHeight="true" outlineLevel="0" collapsed="false">
      <c r="A562" s="30" t="n">
        <v>0</v>
      </c>
      <c r="B562" s="31" t="s">
        <v>11</v>
      </c>
      <c r="C562" s="32"/>
      <c r="D562" s="32"/>
      <c r="E562" s="19" t="n">
        <f aca="false">+IF(C562="EQUIPO",F562,0)</f>
        <v>0</v>
      </c>
      <c r="F562" s="33" t="n">
        <v>0</v>
      </c>
      <c r="G562" s="35" t="n">
        <v>0</v>
      </c>
      <c r="H562" s="34" t="n">
        <f aca="false">+IF(E562=0,0,E562*0.03)</f>
        <v>0</v>
      </c>
    </row>
    <row r="563" customFormat="false" ht="15.75" hidden="false" customHeight="true" outlineLevel="0" collapsed="false">
      <c r="A563" s="30" t="n">
        <v>0</v>
      </c>
      <c r="B563" s="31" t="s">
        <v>11</v>
      </c>
      <c r="C563" s="32"/>
      <c r="D563" s="32"/>
      <c r="E563" s="19" t="n">
        <f aca="false">+IF(C563="EQUIPO",F563,0)</f>
        <v>0</v>
      </c>
      <c r="F563" s="33" t="n">
        <v>0</v>
      </c>
      <c r="G563" s="35" t="n">
        <v>0</v>
      </c>
      <c r="H563" s="34" t="n">
        <f aca="false">+IF(E563=0,0,E563*0.03)</f>
        <v>0</v>
      </c>
    </row>
    <row r="564" customFormat="false" ht="15.75" hidden="false" customHeight="true" outlineLevel="0" collapsed="false">
      <c r="A564" s="30" t="n">
        <v>0</v>
      </c>
      <c r="B564" s="31" t="s">
        <v>11</v>
      </c>
      <c r="C564" s="32"/>
      <c r="D564" s="32"/>
      <c r="E564" s="19" t="n">
        <f aca="false">+IF(C564="EQUIPO",F564,0)</f>
        <v>0</v>
      </c>
      <c r="F564" s="33" t="n">
        <v>0</v>
      </c>
      <c r="G564" s="35" t="n">
        <v>0</v>
      </c>
      <c r="H564" s="34" t="n">
        <f aca="false">+IF(E564=0,0,E564*0.03)</f>
        <v>0</v>
      </c>
    </row>
    <row r="565" customFormat="false" ht="15.75" hidden="false" customHeight="true" outlineLevel="0" collapsed="false">
      <c r="A565" s="30" t="n">
        <v>0</v>
      </c>
      <c r="B565" s="31" t="s">
        <v>11</v>
      </c>
      <c r="C565" s="32"/>
      <c r="D565" s="32"/>
      <c r="E565" s="19" t="n">
        <f aca="false">+IF(C565="EQUIPO",F565,0)</f>
        <v>0</v>
      </c>
      <c r="F565" s="33" t="n">
        <v>0</v>
      </c>
      <c r="G565" s="35" t="n">
        <v>0</v>
      </c>
      <c r="H565" s="34" t="n">
        <f aca="false">+IF(E565=0,0,E565*0.03)</f>
        <v>0</v>
      </c>
    </row>
    <row r="566" customFormat="false" ht="15.75" hidden="false" customHeight="true" outlineLevel="0" collapsed="false">
      <c r="A566" s="30" t="n">
        <v>0</v>
      </c>
      <c r="B566" s="31" t="s">
        <v>11</v>
      </c>
      <c r="C566" s="32"/>
      <c r="D566" s="32"/>
      <c r="E566" s="19" t="n">
        <f aca="false">+IF(C566="EQUIPO",F566,0)</f>
        <v>0</v>
      </c>
      <c r="F566" s="33" t="n">
        <v>0</v>
      </c>
      <c r="G566" s="35" t="n">
        <v>0</v>
      </c>
      <c r="H566" s="34" t="n">
        <f aca="false">+IF(E566=0,0,E566*0.03)</f>
        <v>0</v>
      </c>
    </row>
    <row r="567" customFormat="false" ht="15.75" hidden="false" customHeight="true" outlineLevel="0" collapsed="false">
      <c r="A567" s="30" t="n">
        <v>0</v>
      </c>
      <c r="B567" s="31" t="s">
        <v>11</v>
      </c>
      <c r="C567" s="32"/>
      <c r="D567" s="32"/>
      <c r="E567" s="19" t="n">
        <f aca="false">+IF(C567="EQUIPO",F567,0)</f>
        <v>0</v>
      </c>
      <c r="F567" s="33" t="n">
        <v>0</v>
      </c>
      <c r="G567" s="35" t="n">
        <v>0</v>
      </c>
      <c r="H567" s="34" t="n">
        <f aca="false">+IF(E567=0,0,E567*0.03)</f>
        <v>0</v>
      </c>
    </row>
    <row r="568" customFormat="false" ht="15.75" hidden="false" customHeight="true" outlineLevel="0" collapsed="false">
      <c r="A568" s="30" t="n">
        <v>0</v>
      </c>
      <c r="B568" s="31" t="s">
        <v>11</v>
      </c>
      <c r="C568" s="32"/>
      <c r="D568" s="32"/>
      <c r="E568" s="19" t="n">
        <f aca="false">+IF(C568="EQUIPO",F568,0)</f>
        <v>0</v>
      </c>
      <c r="F568" s="33" t="n">
        <v>0</v>
      </c>
      <c r="G568" s="35" t="n">
        <v>0</v>
      </c>
      <c r="H568" s="34" t="n">
        <f aca="false">+IF(E568=0,0,E568*0.03)</f>
        <v>0</v>
      </c>
    </row>
    <row r="569" customFormat="false" ht="15.75" hidden="false" customHeight="true" outlineLevel="0" collapsed="false">
      <c r="A569" s="30" t="n">
        <v>0</v>
      </c>
      <c r="B569" s="31" t="s">
        <v>11</v>
      </c>
      <c r="C569" s="32"/>
      <c r="D569" s="32"/>
      <c r="E569" s="19" t="n">
        <f aca="false">+IF(C569="EQUIPO",F569,0)</f>
        <v>0</v>
      </c>
      <c r="F569" s="33" t="n">
        <v>0</v>
      </c>
      <c r="G569" s="35" t="n">
        <v>0</v>
      </c>
      <c r="H569" s="34" t="n">
        <f aca="false">+IF(E569=0,0,E569*0.03)</f>
        <v>0</v>
      </c>
    </row>
    <row r="570" customFormat="false" ht="15.75" hidden="false" customHeight="true" outlineLevel="0" collapsed="false">
      <c r="A570" s="30" t="n">
        <v>0</v>
      </c>
      <c r="B570" s="31" t="s">
        <v>11</v>
      </c>
      <c r="C570" s="32"/>
      <c r="D570" s="32"/>
      <c r="E570" s="19" t="n">
        <f aca="false">+IF(C570="EQUIPO",F570,0)</f>
        <v>0</v>
      </c>
      <c r="F570" s="33" t="n">
        <v>0</v>
      </c>
      <c r="G570" s="35" t="n">
        <v>0</v>
      </c>
      <c r="H570" s="34" t="n">
        <f aca="false">+IF(E570=0,0,E570*0.03)</f>
        <v>0</v>
      </c>
    </row>
    <row r="571" customFormat="false" ht="15.75" hidden="false" customHeight="true" outlineLevel="0" collapsed="false">
      <c r="A571" s="30" t="n">
        <v>0</v>
      </c>
      <c r="B571" s="31" t="s">
        <v>11</v>
      </c>
      <c r="C571" s="32"/>
      <c r="D571" s="32"/>
      <c r="E571" s="19" t="n">
        <f aca="false">+IF(C571="EQUIPO",F571,0)</f>
        <v>0</v>
      </c>
      <c r="F571" s="33" t="n">
        <v>0</v>
      </c>
      <c r="G571" s="35" t="n">
        <v>0</v>
      </c>
      <c r="H571" s="34" t="n">
        <f aca="false">+IF(E571=0,0,E571*0.03)</f>
        <v>0</v>
      </c>
    </row>
    <row r="572" customFormat="false" ht="15.75" hidden="false" customHeight="true" outlineLevel="0" collapsed="false">
      <c r="A572" s="30" t="n">
        <v>0</v>
      </c>
      <c r="B572" s="31" t="s">
        <v>11</v>
      </c>
      <c r="C572" s="32"/>
      <c r="D572" s="32"/>
      <c r="E572" s="19" t="n">
        <f aca="false">+IF(C572="EQUIPO",F572,0)</f>
        <v>0</v>
      </c>
      <c r="F572" s="33" t="n">
        <v>0</v>
      </c>
      <c r="G572" s="35" t="n">
        <v>0</v>
      </c>
      <c r="H572" s="34" t="n">
        <f aca="false">+IF(E572=0,0,E572*0.03)</f>
        <v>0</v>
      </c>
    </row>
    <row r="573" customFormat="false" ht="15.75" hidden="false" customHeight="true" outlineLevel="0" collapsed="false">
      <c r="A573" s="30" t="n">
        <v>0</v>
      </c>
      <c r="B573" s="31" t="s">
        <v>11</v>
      </c>
      <c r="C573" s="32"/>
      <c r="D573" s="32"/>
      <c r="E573" s="19" t="n">
        <f aca="false">+IF(C573="EQUIPO",F573,0)</f>
        <v>0</v>
      </c>
      <c r="F573" s="33" t="n">
        <v>0</v>
      </c>
      <c r="G573" s="35" t="n">
        <v>0</v>
      </c>
      <c r="H573" s="34" t="n">
        <f aca="false">+IF(E573=0,0,E573*0.03)</f>
        <v>0</v>
      </c>
    </row>
    <row r="574" customFormat="false" ht="15.75" hidden="false" customHeight="true" outlineLevel="0" collapsed="false">
      <c r="A574" s="30" t="n">
        <v>0</v>
      </c>
      <c r="B574" s="31" t="s">
        <v>11</v>
      </c>
      <c r="C574" s="32"/>
      <c r="D574" s="32"/>
      <c r="E574" s="19" t="n">
        <f aca="false">+IF(C574="EQUIPO",F574,0)</f>
        <v>0</v>
      </c>
      <c r="F574" s="33" t="n">
        <v>0</v>
      </c>
      <c r="G574" s="35" t="n">
        <v>0</v>
      </c>
      <c r="H574" s="34" t="n">
        <f aca="false">+IF(E574=0,0,E574*0.03)</f>
        <v>0</v>
      </c>
    </row>
    <row r="575" customFormat="false" ht="15.75" hidden="false" customHeight="true" outlineLevel="0" collapsed="false">
      <c r="A575" s="30" t="n">
        <v>0</v>
      </c>
      <c r="B575" s="31" t="s">
        <v>11</v>
      </c>
      <c r="C575" s="32"/>
      <c r="D575" s="32"/>
      <c r="E575" s="19" t="n">
        <f aca="false">+IF(C575="EQUIPO",F575,0)</f>
        <v>0</v>
      </c>
      <c r="F575" s="33" t="n">
        <v>0</v>
      </c>
      <c r="G575" s="35" t="n">
        <v>0</v>
      </c>
      <c r="H575" s="34" t="n">
        <f aca="false">+IF(E575=0,0,E575*0.03)</f>
        <v>0</v>
      </c>
    </row>
    <row r="576" customFormat="false" ht="15.75" hidden="false" customHeight="true" outlineLevel="0" collapsed="false">
      <c r="A576" s="30" t="n">
        <v>0</v>
      </c>
      <c r="B576" s="31" t="s">
        <v>11</v>
      </c>
      <c r="C576" s="32"/>
      <c r="D576" s="32"/>
      <c r="E576" s="19" t="n">
        <f aca="false">+IF(C576="EQUIPO",F576,0)</f>
        <v>0</v>
      </c>
      <c r="F576" s="33" t="n">
        <v>0</v>
      </c>
      <c r="G576" s="35" t="n">
        <v>0</v>
      </c>
      <c r="H576" s="34" t="n">
        <f aca="false">+IF(E576=0,0,E576*0.03)</f>
        <v>0</v>
      </c>
    </row>
    <row r="577" customFormat="false" ht="15.75" hidden="false" customHeight="true" outlineLevel="0" collapsed="false">
      <c r="A577" s="30" t="n">
        <v>0</v>
      </c>
      <c r="B577" s="31" t="s">
        <v>11</v>
      </c>
      <c r="C577" s="32"/>
      <c r="D577" s="32"/>
      <c r="E577" s="19" t="n">
        <f aca="false">+IF(C577="EQUIPO",F577,0)</f>
        <v>0</v>
      </c>
      <c r="F577" s="33" t="n">
        <v>0</v>
      </c>
      <c r="G577" s="35" t="n">
        <v>0</v>
      </c>
      <c r="H577" s="34" t="n">
        <f aca="false">+IF(E577=0,0,E577*0.03)</f>
        <v>0</v>
      </c>
    </row>
    <row r="578" customFormat="false" ht="15.75" hidden="false" customHeight="true" outlineLevel="0" collapsed="false">
      <c r="A578" s="30" t="n">
        <v>0</v>
      </c>
      <c r="B578" s="31" t="s">
        <v>11</v>
      </c>
      <c r="C578" s="32"/>
      <c r="D578" s="32"/>
      <c r="E578" s="19" t="n">
        <f aca="false">+IF(C578="EQUIPO",F578,0)</f>
        <v>0</v>
      </c>
      <c r="F578" s="33" t="n">
        <v>0</v>
      </c>
      <c r="G578" s="35" t="n">
        <v>0</v>
      </c>
      <c r="H578" s="34" t="n">
        <f aca="false">+IF(E578=0,0,E578*0.03)</f>
        <v>0</v>
      </c>
    </row>
    <row r="579" customFormat="false" ht="15.75" hidden="false" customHeight="true" outlineLevel="0" collapsed="false">
      <c r="A579" s="30" t="n">
        <v>0</v>
      </c>
      <c r="B579" s="31" t="s">
        <v>11</v>
      </c>
      <c r="C579" s="32"/>
      <c r="D579" s="32"/>
      <c r="E579" s="19" t="n">
        <f aca="false">+IF(C579="EQUIPO",F579,0)</f>
        <v>0</v>
      </c>
      <c r="F579" s="33" t="n">
        <v>0</v>
      </c>
      <c r="G579" s="35" t="n">
        <v>0</v>
      </c>
      <c r="H579" s="34" t="n">
        <f aca="false">+IF(E579=0,0,E579*0.03)</f>
        <v>0</v>
      </c>
    </row>
    <row r="580" customFormat="false" ht="15.75" hidden="false" customHeight="true" outlineLevel="0" collapsed="false">
      <c r="A580" s="30" t="n">
        <v>0</v>
      </c>
      <c r="B580" s="31" t="s">
        <v>11</v>
      </c>
      <c r="C580" s="32"/>
      <c r="D580" s="32"/>
      <c r="E580" s="19" t="n">
        <f aca="false">+IF(C580="EQUIPO",F580,0)</f>
        <v>0</v>
      </c>
      <c r="F580" s="33" t="n">
        <v>0</v>
      </c>
      <c r="G580" s="35" t="n">
        <v>0</v>
      </c>
      <c r="H580" s="34" t="n">
        <f aca="false">+IF(E580=0,0,E580*0.03)</f>
        <v>0</v>
      </c>
    </row>
    <row r="581" customFormat="false" ht="15.75" hidden="false" customHeight="true" outlineLevel="0" collapsed="false">
      <c r="A581" s="30" t="n">
        <v>0</v>
      </c>
      <c r="B581" s="31" t="s">
        <v>11</v>
      </c>
      <c r="C581" s="32"/>
      <c r="D581" s="32"/>
      <c r="E581" s="19" t="n">
        <f aca="false">+IF(C581="EQUIPO",F581,0)</f>
        <v>0</v>
      </c>
      <c r="F581" s="33" t="n">
        <v>0</v>
      </c>
      <c r="G581" s="35" t="n">
        <v>0</v>
      </c>
      <c r="H581" s="34" t="n">
        <f aca="false">+IF(E581=0,0,E581*0.03)</f>
        <v>0</v>
      </c>
    </row>
    <row r="582" customFormat="false" ht="15.75" hidden="false" customHeight="true" outlineLevel="0" collapsed="false">
      <c r="A582" s="30" t="n">
        <v>0</v>
      </c>
      <c r="B582" s="31" t="s">
        <v>11</v>
      </c>
      <c r="C582" s="32"/>
      <c r="D582" s="32"/>
      <c r="E582" s="19" t="n">
        <f aca="false">+IF(C582="EQUIPO",F582,0)</f>
        <v>0</v>
      </c>
      <c r="F582" s="33" t="n">
        <v>0</v>
      </c>
      <c r="G582" s="35" t="n">
        <v>0</v>
      </c>
      <c r="H582" s="34" t="n">
        <f aca="false">+IF(E582=0,0,E582*0.03)</f>
        <v>0</v>
      </c>
    </row>
    <row r="583" customFormat="false" ht="15.75" hidden="false" customHeight="true" outlineLevel="0" collapsed="false">
      <c r="A583" s="30" t="n">
        <v>0</v>
      </c>
      <c r="B583" s="31" t="s">
        <v>11</v>
      </c>
      <c r="C583" s="32"/>
      <c r="D583" s="32"/>
      <c r="E583" s="19" t="n">
        <f aca="false">+IF(C583="EQUIPO",F583,0)</f>
        <v>0</v>
      </c>
      <c r="F583" s="33" t="n">
        <v>0</v>
      </c>
      <c r="G583" s="35" t="n">
        <v>0</v>
      </c>
      <c r="H583" s="34" t="n">
        <f aca="false">+IF(E583=0,0,E583*0.03)</f>
        <v>0</v>
      </c>
    </row>
    <row r="584" customFormat="false" ht="15.75" hidden="false" customHeight="true" outlineLevel="0" collapsed="false">
      <c r="A584" s="30" t="n">
        <v>0</v>
      </c>
      <c r="B584" s="31" t="s">
        <v>11</v>
      </c>
      <c r="C584" s="32"/>
      <c r="D584" s="32"/>
      <c r="E584" s="19" t="n">
        <f aca="false">+IF(C584="EQUIPO",F584,0)</f>
        <v>0</v>
      </c>
      <c r="F584" s="33" t="n">
        <v>0</v>
      </c>
      <c r="G584" s="35" t="n">
        <v>0</v>
      </c>
      <c r="H584" s="34" t="n">
        <f aca="false">+IF(E584=0,0,E584*0.03)</f>
        <v>0</v>
      </c>
    </row>
    <row r="585" customFormat="false" ht="15.75" hidden="false" customHeight="true" outlineLevel="0" collapsed="false">
      <c r="A585" s="30" t="n">
        <v>0</v>
      </c>
      <c r="B585" s="31" t="s">
        <v>11</v>
      </c>
      <c r="C585" s="32"/>
      <c r="D585" s="32"/>
      <c r="E585" s="19" t="n">
        <f aca="false">+IF(C585="EQUIPO",F585,0)</f>
        <v>0</v>
      </c>
      <c r="F585" s="33" t="n">
        <v>0</v>
      </c>
      <c r="G585" s="35" t="n">
        <v>0</v>
      </c>
      <c r="H585" s="34" t="n">
        <f aca="false">+IF(E585=0,0,E585*0.03)</f>
        <v>0</v>
      </c>
    </row>
    <row r="586" customFormat="false" ht="15.75" hidden="false" customHeight="true" outlineLevel="0" collapsed="false">
      <c r="A586" s="30" t="n">
        <v>0</v>
      </c>
      <c r="B586" s="31" t="s">
        <v>11</v>
      </c>
      <c r="C586" s="32"/>
      <c r="D586" s="32"/>
      <c r="E586" s="19" t="n">
        <f aca="false">+IF(C586="EQUIPO",F586,0)</f>
        <v>0</v>
      </c>
      <c r="F586" s="33" t="n">
        <v>0</v>
      </c>
      <c r="G586" s="35" t="n">
        <v>0</v>
      </c>
      <c r="H586" s="34" t="n">
        <f aca="false">+IF(E586=0,0,E586*0.03)</f>
        <v>0</v>
      </c>
    </row>
    <row r="587" customFormat="false" ht="15.75" hidden="false" customHeight="true" outlineLevel="0" collapsed="false">
      <c r="A587" s="30" t="n">
        <v>0</v>
      </c>
      <c r="B587" s="31" t="s">
        <v>11</v>
      </c>
      <c r="C587" s="32"/>
      <c r="D587" s="32"/>
      <c r="E587" s="19" t="n">
        <f aca="false">+IF(C587="EQUIPO",F587,0)</f>
        <v>0</v>
      </c>
      <c r="F587" s="33" t="n">
        <v>0</v>
      </c>
      <c r="G587" s="35" t="n">
        <v>0</v>
      </c>
      <c r="H587" s="34" t="n">
        <f aca="false">+IF(E587=0,0,E587*0.03)</f>
        <v>0</v>
      </c>
    </row>
    <row r="588" customFormat="false" ht="15.75" hidden="false" customHeight="true" outlineLevel="0" collapsed="false">
      <c r="A588" s="30" t="n">
        <v>0</v>
      </c>
      <c r="B588" s="31" t="s">
        <v>11</v>
      </c>
      <c r="C588" s="32"/>
      <c r="D588" s="32"/>
      <c r="E588" s="19" t="n">
        <f aca="false">+IF(C588="EQUIPO",F588,0)</f>
        <v>0</v>
      </c>
      <c r="F588" s="33" t="n">
        <v>0</v>
      </c>
      <c r="G588" s="35" t="n">
        <v>0</v>
      </c>
      <c r="H588" s="34" t="n">
        <f aca="false">+IF(E588=0,0,E588*0.03)</f>
        <v>0</v>
      </c>
    </row>
    <row r="589" customFormat="false" ht="15.75" hidden="false" customHeight="true" outlineLevel="0" collapsed="false">
      <c r="A589" s="30" t="n">
        <v>0</v>
      </c>
      <c r="B589" s="31" t="s">
        <v>11</v>
      </c>
      <c r="C589" s="32"/>
      <c r="D589" s="32"/>
      <c r="E589" s="19" t="n">
        <f aca="false">+IF(C589="EQUIPO",F589,0)</f>
        <v>0</v>
      </c>
      <c r="F589" s="33" t="n">
        <v>0</v>
      </c>
      <c r="G589" s="35" t="n">
        <v>0</v>
      </c>
      <c r="H589" s="34" t="n">
        <f aca="false">+IF(E589=0,0,E589*0.03)</f>
        <v>0</v>
      </c>
    </row>
    <row r="590" customFormat="false" ht="15.75" hidden="false" customHeight="true" outlineLevel="0" collapsed="false">
      <c r="A590" s="30" t="n">
        <v>0</v>
      </c>
      <c r="B590" s="31" t="s">
        <v>11</v>
      </c>
      <c r="C590" s="32"/>
      <c r="D590" s="32"/>
      <c r="E590" s="19" t="n">
        <f aca="false">+IF(C590="EQUIPO",F590,0)</f>
        <v>0</v>
      </c>
      <c r="F590" s="33" t="n">
        <v>0</v>
      </c>
      <c r="G590" s="35" t="n">
        <v>0</v>
      </c>
      <c r="H590" s="34" t="n">
        <f aca="false">+IF(E590=0,0,E590*0.03)</f>
        <v>0</v>
      </c>
    </row>
    <row r="591" customFormat="false" ht="15.75" hidden="false" customHeight="true" outlineLevel="0" collapsed="false">
      <c r="A591" s="30" t="n">
        <v>0</v>
      </c>
      <c r="B591" s="31" t="s">
        <v>11</v>
      </c>
      <c r="C591" s="32"/>
      <c r="D591" s="32"/>
      <c r="E591" s="19" t="n">
        <f aca="false">+IF(C591="EQUIPO",F591,0)</f>
        <v>0</v>
      </c>
      <c r="F591" s="33" t="n">
        <v>0</v>
      </c>
      <c r="G591" s="35" t="n">
        <v>0</v>
      </c>
      <c r="H591" s="34" t="n">
        <f aca="false">+IF(E591=0,0,E591*0.03)</f>
        <v>0</v>
      </c>
    </row>
    <row r="592" customFormat="false" ht="15.75" hidden="false" customHeight="true" outlineLevel="0" collapsed="false">
      <c r="A592" s="30" t="n">
        <v>0</v>
      </c>
      <c r="B592" s="31" t="s">
        <v>11</v>
      </c>
      <c r="C592" s="32"/>
      <c r="D592" s="32"/>
      <c r="E592" s="19" t="n">
        <f aca="false">+IF(C592="EQUIPO",F592,0)</f>
        <v>0</v>
      </c>
      <c r="F592" s="33" t="n">
        <v>0</v>
      </c>
      <c r="G592" s="35" t="n">
        <v>0</v>
      </c>
      <c r="H592" s="34" t="n">
        <f aca="false">+IF(E592=0,0,E592*0.03)</f>
        <v>0</v>
      </c>
    </row>
    <row r="593" customFormat="false" ht="15.75" hidden="false" customHeight="true" outlineLevel="0" collapsed="false">
      <c r="A593" s="30" t="n">
        <v>0</v>
      </c>
      <c r="B593" s="31" t="s">
        <v>11</v>
      </c>
      <c r="C593" s="32"/>
      <c r="D593" s="32"/>
      <c r="E593" s="19" t="n">
        <f aca="false">+IF(C593="EQUIPO",F593,0)</f>
        <v>0</v>
      </c>
      <c r="F593" s="33" t="n">
        <v>0</v>
      </c>
      <c r="G593" s="35" t="n">
        <v>0</v>
      </c>
      <c r="H593" s="34" t="n">
        <f aca="false">+IF(E593=0,0,E593*0.03)</f>
        <v>0</v>
      </c>
    </row>
    <row r="594" customFormat="false" ht="15.75" hidden="false" customHeight="true" outlineLevel="0" collapsed="false">
      <c r="A594" s="30" t="n">
        <v>0</v>
      </c>
      <c r="B594" s="31" t="s">
        <v>11</v>
      </c>
      <c r="C594" s="32"/>
      <c r="D594" s="32"/>
      <c r="E594" s="19" t="n">
        <f aca="false">+IF(C594="EQUIPO",F594,0)</f>
        <v>0</v>
      </c>
      <c r="F594" s="33" t="n">
        <v>0</v>
      </c>
      <c r="G594" s="35" t="n">
        <v>0</v>
      </c>
      <c r="H594" s="34" t="n">
        <f aca="false">+IF(E594=0,0,E594*0.03)</f>
        <v>0</v>
      </c>
    </row>
    <row r="595" customFormat="false" ht="15.75" hidden="false" customHeight="true" outlineLevel="0" collapsed="false">
      <c r="A595" s="30" t="n">
        <v>0</v>
      </c>
      <c r="B595" s="31" t="s">
        <v>11</v>
      </c>
      <c r="C595" s="32"/>
      <c r="D595" s="32"/>
      <c r="E595" s="19" t="n">
        <f aca="false">+IF(C595="EQUIPO",F595,0)</f>
        <v>0</v>
      </c>
      <c r="F595" s="33" t="n">
        <v>0</v>
      </c>
      <c r="G595" s="35" t="n">
        <v>0</v>
      </c>
      <c r="H595" s="34" t="n">
        <f aca="false">+IF(E595=0,0,E595*0.03)</f>
        <v>0</v>
      </c>
    </row>
    <row r="596" customFormat="false" ht="15.75" hidden="false" customHeight="true" outlineLevel="0" collapsed="false">
      <c r="A596" s="30" t="n">
        <v>0</v>
      </c>
      <c r="B596" s="31" t="s">
        <v>11</v>
      </c>
      <c r="C596" s="32"/>
      <c r="D596" s="32"/>
      <c r="E596" s="19" t="n">
        <f aca="false">+IF(C596="EQUIPO",F596,0)</f>
        <v>0</v>
      </c>
      <c r="F596" s="33" t="n">
        <v>0</v>
      </c>
      <c r="G596" s="35" t="n">
        <v>0</v>
      </c>
      <c r="H596" s="34" t="n">
        <f aca="false">+IF(E596=0,0,E596*0.03)</f>
        <v>0</v>
      </c>
    </row>
    <row r="597" customFormat="false" ht="15.75" hidden="false" customHeight="true" outlineLevel="0" collapsed="false">
      <c r="A597" s="30" t="n">
        <v>0</v>
      </c>
      <c r="B597" s="31" t="s">
        <v>11</v>
      </c>
      <c r="C597" s="32"/>
      <c r="D597" s="32"/>
      <c r="E597" s="19" t="n">
        <f aca="false">+IF(C597="EQUIPO",F597,0)</f>
        <v>0</v>
      </c>
      <c r="F597" s="33" t="n">
        <v>0</v>
      </c>
      <c r="G597" s="35" t="n">
        <v>0</v>
      </c>
      <c r="H597" s="34" t="n">
        <f aca="false">+IF(E597=0,0,E597*0.03)</f>
        <v>0</v>
      </c>
    </row>
    <row r="598" customFormat="false" ht="15.75" hidden="false" customHeight="true" outlineLevel="0" collapsed="false">
      <c r="A598" s="30" t="n">
        <v>0</v>
      </c>
      <c r="B598" s="31" t="s">
        <v>11</v>
      </c>
      <c r="C598" s="32"/>
      <c r="D598" s="32"/>
      <c r="E598" s="19" t="n">
        <f aca="false">+IF(C598="EQUIPO",F598,0)</f>
        <v>0</v>
      </c>
      <c r="F598" s="33" t="n">
        <v>0</v>
      </c>
      <c r="G598" s="35" t="n">
        <v>0</v>
      </c>
      <c r="H598" s="34" t="n">
        <f aca="false">+IF(E598=0,0,E598*0.03)</f>
        <v>0</v>
      </c>
    </row>
    <row r="599" customFormat="false" ht="15.75" hidden="false" customHeight="true" outlineLevel="0" collapsed="false">
      <c r="A599" s="30" t="n">
        <v>0</v>
      </c>
      <c r="B599" s="31" t="s">
        <v>11</v>
      </c>
      <c r="C599" s="32"/>
      <c r="D599" s="32"/>
      <c r="E599" s="19" t="n">
        <f aca="false">+IF(C599="EQUIPO",F599,0)</f>
        <v>0</v>
      </c>
      <c r="F599" s="33" t="n">
        <v>0</v>
      </c>
      <c r="G599" s="35" t="n">
        <v>0</v>
      </c>
      <c r="H599" s="34" t="n">
        <f aca="false">+IF(E599=0,0,E599*0.03)</f>
        <v>0</v>
      </c>
    </row>
    <row r="600" customFormat="false" ht="15.75" hidden="false" customHeight="true" outlineLevel="0" collapsed="false">
      <c r="A600" s="30" t="n">
        <v>0</v>
      </c>
      <c r="B600" s="31" t="s">
        <v>11</v>
      </c>
      <c r="C600" s="32"/>
      <c r="D600" s="32"/>
      <c r="E600" s="19" t="n">
        <f aca="false">+IF(C600="EQUIPO",F600,0)</f>
        <v>0</v>
      </c>
      <c r="F600" s="33" t="n">
        <v>0</v>
      </c>
      <c r="G600" s="35" t="n">
        <v>0</v>
      </c>
      <c r="H600" s="34" t="n">
        <f aca="false">+IF(E600=0,0,E600*0.03)</f>
        <v>0</v>
      </c>
    </row>
    <row r="601" customFormat="false" ht="15.75" hidden="false" customHeight="true" outlineLevel="0" collapsed="false">
      <c r="A601" s="30" t="n">
        <v>0</v>
      </c>
      <c r="B601" s="31" t="s">
        <v>11</v>
      </c>
      <c r="C601" s="32"/>
      <c r="D601" s="32"/>
      <c r="E601" s="19" t="n">
        <f aca="false">+IF(C601="EQUIPO",F601,0)</f>
        <v>0</v>
      </c>
      <c r="F601" s="33" t="n">
        <v>0</v>
      </c>
      <c r="G601" s="35" t="n">
        <v>0</v>
      </c>
      <c r="H601" s="34" t="n">
        <f aca="false">+IF(E601=0,0,E601*0.03)</f>
        <v>0</v>
      </c>
    </row>
    <row r="602" customFormat="false" ht="15.75" hidden="false" customHeight="true" outlineLevel="0" collapsed="false">
      <c r="A602" s="30" t="n">
        <v>0</v>
      </c>
      <c r="B602" s="31" t="s">
        <v>11</v>
      </c>
      <c r="C602" s="32"/>
      <c r="D602" s="32"/>
      <c r="E602" s="19" t="n">
        <f aca="false">+IF(C602="EQUIPO",F602,0)</f>
        <v>0</v>
      </c>
      <c r="F602" s="33" t="n">
        <v>0</v>
      </c>
      <c r="G602" s="35" t="n">
        <v>0</v>
      </c>
      <c r="H602" s="34" t="n">
        <f aca="false">+IF(E602=0,0,E602*0.03)</f>
        <v>0</v>
      </c>
    </row>
    <row r="603" customFormat="false" ht="15.75" hidden="false" customHeight="true" outlineLevel="0" collapsed="false">
      <c r="A603" s="30" t="n">
        <v>0</v>
      </c>
      <c r="B603" s="31" t="s">
        <v>11</v>
      </c>
      <c r="C603" s="32"/>
      <c r="D603" s="32"/>
      <c r="E603" s="19" t="n">
        <f aca="false">+IF(C603="EQUIPO",F603,0)</f>
        <v>0</v>
      </c>
      <c r="F603" s="33" t="n">
        <v>0</v>
      </c>
      <c r="G603" s="35" t="n">
        <v>0</v>
      </c>
      <c r="H603" s="34" t="n">
        <f aca="false">+IF(E603=0,0,E603*0.03)</f>
        <v>0</v>
      </c>
    </row>
    <row r="604" customFormat="false" ht="15.75" hidden="false" customHeight="true" outlineLevel="0" collapsed="false">
      <c r="A604" s="30" t="n">
        <v>0</v>
      </c>
      <c r="B604" s="31" t="s">
        <v>11</v>
      </c>
      <c r="C604" s="32"/>
      <c r="D604" s="32"/>
      <c r="E604" s="19" t="n">
        <f aca="false">+IF(C604="EQUIPO",F604,0)</f>
        <v>0</v>
      </c>
      <c r="F604" s="33" t="n">
        <v>0</v>
      </c>
      <c r="G604" s="35" t="n">
        <v>0</v>
      </c>
      <c r="H604" s="34" t="n">
        <f aca="false">+IF(E604=0,0,E604*0.03)</f>
        <v>0</v>
      </c>
    </row>
    <row r="605" customFormat="false" ht="15.75" hidden="false" customHeight="true" outlineLevel="0" collapsed="false">
      <c r="A605" s="30" t="n">
        <v>0</v>
      </c>
      <c r="B605" s="31" t="s">
        <v>11</v>
      </c>
      <c r="C605" s="32"/>
      <c r="D605" s="32"/>
      <c r="E605" s="19" t="n">
        <f aca="false">+IF(C605="EQUIPO",F605,0)</f>
        <v>0</v>
      </c>
      <c r="F605" s="33" t="n">
        <v>0</v>
      </c>
      <c r="G605" s="35" t="n">
        <v>0</v>
      </c>
      <c r="H605" s="34" t="n">
        <f aca="false">+IF(E605=0,0,E605*0.03)</f>
        <v>0</v>
      </c>
    </row>
    <row r="606" customFormat="false" ht="15.75" hidden="false" customHeight="true" outlineLevel="0" collapsed="false">
      <c r="A606" s="30" t="n">
        <v>0</v>
      </c>
      <c r="B606" s="31" t="s">
        <v>11</v>
      </c>
      <c r="C606" s="32"/>
      <c r="D606" s="32"/>
      <c r="E606" s="19" t="n">
        <f aca="false">+IF(C606="EQUIPO",F606,0)</f>
        <v>0</v>
      </c>
      <c r="F606" s="33" t="n">
        <v>0</v>
      </c>
      <c r="G606" s="35" t="n">
        <v>0</v>
      </c>
      <c r="H606" s="34" t="n">
        <f aca="false">+IF(E606=0,0,E606*0.03)</f>
        <v>0</v>
      </c>
    </row>
    <row r="607" customFormat="false" ht="15.75" hidden="false" customHeight="true" outlineLevel="0" collapsed="false">
      <c r="A607" s="30" t="n">
        <v>0</v>
      </c>
      <c r="B607" s="31" t="s">
        <v>11</v>
      </c>
      <c r="C607" s="32"/>
      <c r="D607" s="32"/>
      <c r="E607" s="19" t="n">
        <f aca="false">+IF(C607="EQUIPO",F607,0)</f>
        <v>0</v>
      </c>
      <c r="F607" s="33" t="n">
        <v>0</v>
      </c>
      <c r="G607" s="35" t="n">
        <v>0</v>
      </c>
      <c r="H607" s="34" t="n">
        <f aca="false">+IF(E607=0,0,E607*0.03)</f>
        <v>0</v>
      </c>
    </row>
    <row r="608" customFormat="false" ht="15.75" hidden="false" customHeight="true" outlineLevel="0" collapsed="false">
      <c r="A608" s="30" t="n">
        <v>0</v>
      </c>
      <c r="B608" s="31" t="s">
        <v>11</v>
      </c>
      <c r="C608" s="32"/>
      <c r="D608" s="32"/>
      <c r="E608" s="19" t="n">
        <f aca="false">+IF(C608="EQUIPO",F608,0)</f>
        <v>0</v>
      </c>
      <c r="F608" s="33" t="n">
        <v>0</v>
      </c>
      <c r="G608" s="35" t="n">
        <v>0</v>
      </c>
      <c r="H608" s="34" t="n">
        <f aca="false">+IF(E608=0,0,E608*0.03)</f>
        <v>0</v>
      </c>
    </row>
    <row r="609" customFormat="false" ht="15.75" hidden="false" customHeight="true" outlineLevel="0" collapsed="false">
      <c r="A609" s="30" t="n">
        <v>0</v>
      </c>
      <c r="B609" s="31" t="s">
        <v>11</v>
      </c>
      <c r="C609" s="32"/>
      <c r="D609" s="32"/>
      <c r="E609" s="19" t="n">
        <f aca="false">+IF(C609="EQUIPO",F609,0)</f>
        <v>0</v>
      </c>
      <c r="F609" s="33" t="n">
        <v>0</v>
      </c>
      <c r="G609" s="35" t="n">
        <v>0</v>
      </c>
      <c r="H609" s="34" t="n">
        <f aca="false">+IF(E609=0,0,E609*0.03)</f>
        <v>0</v>
      </c>
    </row>
    <row r="610" customFormat="false" ht="15.75" hidden="false" customHeight="true" outlineLevel="0" collapsed="false">
      <c r="A610" s="30" t="n">
        <v>0</v>
      </c>
      <c r="B610" s="31" t="s">
        <v>11</v>
      </c>
      <c r="C610" s="32"/>
      <c r="D610" s="32"/>
      <c r="E610" s="19" t="n">
        <f aca="false">+IF(C610="EQUIPO",F610,0)</f>
        <v>0</v>
      </c>
      <c r="F610" s="33" t="n">
        <v>0</v>
      </c>
      <c r="G610" s="35" t="n">
        <v>0</v>
      </c>
      <c r="H610" s="34" t="n">
        <f aca="false">+IF(E610=0,0,E610*0.03)</f>
        <v>0</v>
      </c>
    </row>
    <row r="611" customFormat="false" ht="15.75" hidden="false" customHeight="true" outlineLevel="0" collapsed="false">
      <c r="A611" s="30" t="n">
        <v>0</v>
      </c>
      <c r="B611" s="31" t="s">
        <v>11</v>
      </c>
      <c r="C611" s="32"/>
      <c r="D611" s="32"/>
      <c r="E611" s="19" t="n">
        <f aca="false">+IF(C611="EQUIPO",F611,0)</f>
        <v>0</v>
      </c>
      <c r="F611" s="33" t="n">
        <v>0</v>
      </c>
      <c r="G611" s="35" t="n">
        <v>0</v>
      </c>
      <c r="H611" s="34" t="n">
        <f aca="false">+IF(E611=0,0,E611*0.03)</f>
        <v>0</v>
      </c>
    </row>
    <row r="612" customFormat="false" ht="15.75" hidden="false" customHeight="true" outlineLevel="0" collapsed="false">
      <c r="A612" s="30" t="n">
        <v>0</v>
      </c>
      <c r="B612" s="31" t="s">
        <v>11</v>
      </c>
      <c r="C612" s="32"/>
      <c r="D612" s="32"/>
      <c r="E612" s="19" t="n">
        <f aca="false">+IF(C612="EQUIPO",F612,0)</f>
        <v>0</v>
      </c>
      <c r="F612" s="33" t="n">
        <v>0</v>
      </c>
      <c r="G612" s="35" t="n">
        <v>0</v>
      </c>
      <c r="H612" s="34" t="n">
        <f aca="false">+IF(E612=0,0,E612*0.03)</f>
        <v>0</v>
      </c>
    </row>
    <row r="613" customFormat="false" ht="15.75" hidden="false" customHeight="true" outlineLevel="0" collapsed="false">
      <c r="A613" s="30" t="n">
        <v>0</v>
      </c>
      <c r="B613" s="31" t="s">
        <v>11</v>
      </c>
      <c r="C613" s="32"/>
      <c r="D613" s="32"/>
      <c r="E613" s="19" t="n">
        <f aca="false">+IF(C613="EQUIPO",F613,0)</f>
        <v>0</v>
      </c>
      <c r="F613" s="33" t="n">
        <v>0</v>
      </c>
      <c r="G613" s="35" t="n">
        <v>0</v>
      </c>
      <c r="H613" s="34" t="n">
        <f aca="false">+IF(E613=0,0,E613*0.03)</f>
        <v>0</v>
      </c>
    </row>
    <row r="614" customFormat="false" ht="15.75" hidden="false" customHeight="true" outlineLevel="0" collapsed="false">
      <c r="A614" s="30" t="n">
        <v>0</v>
      </c>
      <c r="B614" s="31" t="s">
        <v>11</v>
      </c>
      <c r="C614" s="32"/>
      <c r="D614" s="32"/>
      <c r="E614" s="19" t="n">
        <f aca="false">+IF(C614="EQUIPO",F614,0)</f>
        <v>0</v>
      </c>
      <c r="F614" s="33" t="n">
        <v>0</v>
      </c>
      <c r="G614" s="35" t="n">
        <v>0</v>
      </c>
      <c r="H614" s="34" t="n">
        <f aca="false">+IF(E614=0,0,E614*0.03)</f>
        <v>0</v>
      </c>
    </row>
    <row r="615" customFormat="false" ht="15.75" hidden="false" customHeight="true" outlineLevel="0" collapsed="false">
      <c r="A615" s="30" t="n">
        <v>0</v>
      </c>
      <c r="B615" s="31" t="s">
        <v>11</v>
      </c>
      <c r="C615" s="32"/>
      <c r="D615" s="32"/>
      <c r="E615" s="19" t="n">
        <f aca="false">+IF(C615="EQUIPO",F615,0)</f>
        <v>0</v>
      </c>
      <c r="F615" s="33" t="n">
        <v>0</v>
      </c>
      <c r="G615" s="35" t="n">
        <v>0</v>
      </c>
      <c r="H615" s="34" t="n">
        <f aca="false">+IF(E615=0,0,E615*0.03)</f>
        <v>0</v>
      </c>
    </row>
    <row r="616" customFormat="false" ht="15.75" hidden="false" customHeight="true" outlineLevel="0" collapsed="false">
      <c r="A616" s="30" t="n">
        <v>0</v>
      </c>
      <c r="B616" s="31" t="s">
        <v>11</v>
      </c>
      <c r="C616" s="32"/>
      <c r="D616" s="32"/>
      <c r="E616" s="19" t="n">
        <f aca="false">+IF(C616="EQUIPO",F616,0)</f>
        <v>0</v>
      </c>
      <c r="F616" s="33" t="n">
        <v>0</v>
      </c>
      <c r="G616" s="35" t="n">
        <v>0</v>
      </c>
      <c r="H616" s="34" t="n">
        <f aca="false">+IF(E616=0,0,E616*0.03)</f>
        <v>0</v>
      </c>
    </row>
    <row r="617" customFormat="false" ht="15.75" hidden="false" customHeight="true" outlineLevel="0" collapsed="false">
      <c r="A617" s="30" t="n">
        <v>0</v>
      </c>
      <c r="B617" s="31" t="s">
        <v>11</v>
      </c>
      <c r="C617" s="32"/>
      <c r="D617" s="32"/>
      <c r="E617" s="19" t="n">
        <f aca="false">+IF(C617="EQUIPO",F617,0)</f>
        <v>0</v>
      </c>
      <c r="F617" s="33" t="n">
        <v>0</v>
      </c>
      <c r="G617" s="35" t="n">
        <v>0</v>
      </c>
      <c r="H617" s="34" t="n">
        <f aca="false">+IF(E617=0,0,E617*0.03)</f>
        <v>0</v>
      </c>
    </row>
    <row r="618" customFormat="false" ht="15.75" hidden="false" customHeight="true" outlineLevel="0" collapsed="false">
      <c r="A618" s="30" t="n">
        <v>0</v>
      </c>
      <c r="B618" s="31" t="s">
        <v>11</v>
      </c>
      <c r="C618" s="32"/>
      <c r="D618" s="32"/>
      <c r="E618" s="19" t="n">
        <f aca="false">+IF(C618="EQUIPO",F618,0)</f>
        <v>0</v>
      </c>
      <c r="F618" s="33" t="n">
        <v>0</v>
      </c>
      <c r="G618" s="35" t="n">
        <v>0</v>
      </c>
      <c r="H618" s="34" t="n">
        <f aca="false">+IF(E618=0,0,E618*0.03)</f>
        <v>0</v>
      </c>
    </row>
    <row r="619" customFormat="false" ht="15.75" hidden="false" customHeight="true" outlineLevel="0" collapsed="false">
      <c r="A619" s="30" t="n">
        <v>0</v>
      </c>
      <c r="B619" s="31" t="s">
        <v>11</v>
      </c>
      <c r="C619" s="32"/>
      <c r="D619" s="32"/>
      <c r="E619" s="19" t="n">
        <f aca="false">+IF(C619="EQUIPO",F619,0)</f>
        <v>0</v>
      </c>
      <c r="F619" s="33" t="n">
        <v>0</v>
      </c>
      <c r="G619" s="35" t="n">
        <v>0</v>
      </c>
      <c r="H619" s="34" t="n">
        <f aca="false">+IF(E619=0,0,E619*0.03)</f>
        <v>0</v>
      </c>
    </row>
    <row r="620" customFormat="false" ht="15.75" hidden="false" customHeight="true" outlineLevel="0" collapsed="false">
      <c r="A620" s="30" t="n">
        <v>0</v>
      </c>
      <c r="B620" s="31" t="s">
        <v>11</v>
      </c>
      <c r="C620" s="32"/>
      <c r="D620" s="32"/>
      <c r="E620" s="19" t="n">
        <f aca="false">+IF(C620="EQUIPO",F620,0)</f>
        <v>0</v>
      </c>
      <c r="F620" s="33" t="n">
        <v>0</v>
      </c>
      <c r="G620" s="35" t="n">
        <v>0</v>
      </c>
      <c r="H620" s="34" t="n">
        <f aca="false">+IF(E620=0,0,E620*0.03)</f>
        <v>0</v>
      </c>
    </row>
    <row r="621" customFormat="false" ht="15.75" hidden="false" customHeight="true" outlineLevel="0" collapsed="false">
      <c r="A621" s="30" t="n">
        <v>0</v>
      </c>
      <c r="B621" s="31" t="s">
        <v>11</v>
      </c>
      <c r="C621" s="32"/>
      <c r="D621" s="32"/>
      <c r="E621" s="19" t="n">
        <f aca="false">+IF(C621="EQUIPO",F621,0)</f>
        <v>0</v>
      </c>
      <c r="F621" s="33" t="n">
        <v>0</v>
      </c>
      <c r="G621" s="35" t="n">
        <v>0</v>
      </c>
      <c r="H621" s="34" t="n">
        <f aca="false">+IF(E621=0,0,E621*0.03)</f>
        <v>0</v>
      </c>
    </row>
    <row r="622" customFormat="false" ht="15.75" hidden="false" customHeight="true" outlineLevel="0" collapsed="false">
      <c r="A622" s="30" t="n">
        <v>0</v>
      </c>
      <c r="B622" s="31" t="s">
        <v>11</v>
      </c>
      <c r="C622" s="32"/>
      <c r="D622" s="32"/>
      <c r="E622" s="19" t="n">
        <f aca="false">+IF(C622="EQUIPO",F622,0)</f>
        <v>0</v>
      </c>
      <c r="F622" s="33" t="n">
        <v>0</v>
      </c>
      <c r="G622" s="35" t="n">
        <v>0</v>
      </c>
      <c r="H622" s="34" t="n">
        <f aca="false">+IF(E622=0,0,E622*0.03)</f>
        <v>0</v>
      </c>
    </row>
    <row r="623" customFormat="false" ht="15.75" hidden="false" customHeight="true" outlineLevel="0" collapsed="false">
      <c r="A623" s="30" t="n">
        <v>0</v>
      </c>
      <c r="B623" s="31" t="s">
        <v>11</v>
      </c>
      <c r="C623" s="32"/>
      <c r="D623" s="32"/>
      <c r="E623" s="19" t="n">
        <f aca="false">+IF(C623="EQUIPO",F623,0)</f>
        <v>0</v>
      </c>
      <c r="F623" s="33" t="n">
        <v>0</v>
      </c>
      <c r="G623" s="35" t="n">
        <v>0</v>
      </c>
      <c r="H623" s="34" t="n">
        <f aca="false">+IF(E623=0,0,E623*0.03)</f>
        <v>0</v>
      </c>
    </row>
    <row r="624" customFormat="false" ht="15.75" hidden="false" customHeight="true" outlineLevel="0" collapsed="false">
      <c r="A624" s="30" t="n">
        <v>0</v>
      </c>
      <c r="B624" s="31" t="s">
        <v>11</v>
      </c>
      <c r="C624" s="32"/>
      <c r="D624" s="32"/>
      <c r="E624" s="19" t="n">
        <f aca="false">+IF(C624="EQUIPO",F624,0)</f>
        <v>0</v>
      </c>
      <c r="F624" s="33" t="n">
        <v>0</v>
      </c>
      <c r="G624" s="35" t="n">
        <v>0</v>
      </c>
      <c r="H624" s="34" t="n">
        <f aca="false">+IF(E624=0,0,E624*0.03)</f>
        <v>0</v>
      </c>
    </row>
    <row r="625" customFormat="false" ht="15.75" hidden="false" customHeight="true" outlineLevel="0" collapsed="false">
      <c r="A625" s="30" t="n">
        <v>0</v>
      </c>
      <c r="B625" s="31" t="s">
        <v>11</v>
      </c>
      <c r="C625" s="32"/>
      <c r="D625" s="32"/>
      <c r="E625" s="19" t="n">
        <f aca="false">+IF(C625="EQUIPO",F625,0)</f>
        <v>0</v>
      </c>
      <c r="F625" s="33" t="n">
        <v>0</v>
      </c>
      <c r="G625" s="35" t="n">
        <v>0</v>
      </c>
      <c r="H625" s="34" t="n">
        <f aca="false">+IF(E625=0,0,E625*0.03)</f>
        <v>0</v>
      </c>
    </row>
    <row r="626" customFormat="false" ht="15.75" hidden="false" customHeight="true" outlineLevel="0" collapsed="false">
      <c r="A626" s="30" t="n">
        <v>0</v>
      </c>
      <c r="B626" s="31" t="s">
        <v>11</v>
      </c>
      <c r="C626" s="32"/>
      <c r="D626" s="32"/>
      <c r="E626" s="19" t="n">
        <f aca="false">+IF(C626="EQUIPO",F626,0)</f>
        <v>0</v>
      </c>
      <c r="F626" s="33" t="n">
        <v>0</v>
      </c>
      <c r="G626" s="35" t="n">
        <v>0</v>
      </c>
      <c r="H626" s="34" t="n">
        <f aca="false">+IF(E626=0,0,E626*0.03)</f>
        <v>0</v>
      </c>
    </row>
    <row r="627" customFormat="false" ht="15.75" hidden="false" customHeight="true" outlineLevel="0" collapsed="false">
      <c r="A627" s="30" t="n">
        <v>0</v>
      </c>
      <c r="B627" s="31" t="s">
        <v>11</v>
      </c>
      <c r="C627" s="32"/>
      <c r="D627" s="32"/>
      <c r="E627" s="19" t="n">
        <f aca="false">+IF(C627="EQUIPO",F627,0)</f>
        <v>0</v>
      </c>
      <c r="F627" s="33" t="n">
        <v>0</v>
      </c>
      <c r="G627" s="35" t="n">
        <v>0</v>
      </c>
      <c r="H627" s="34" t="n">
        <f aca="false">+IF(E627=0,0,E627*0.03)</f>
        <v>0</v>
      </c>
    </row>
    <row r="628" customFormat="false" ht="15.75" hidden="false" customHeight="true" outlineLevel="0" collapsed="false">
      <c r="A628" s="30" t="n">
        <v>0</v>
      </c>
      <c r="B628" s="31" t="s">
        <v>11</v>
      </c>
      <c r="C628" s="32"/>
      <c r="D628" s="32"/>
      <c r="E628" s="19" t="n">
        <f aca="false">+IF(C628="EQUIPO",F628,0)</f>
        <v>0</v>
      </c>
      <c r="F628" s="33" t="n">
        <v>0</v>
      </c>
      <c r="G628" s="35" t="n">
        <v>0</v>
      </c>
      <c r="H628" s="34" t="n">
        <f aca="false">+IF(E628=0,0,E628*0.03)</f>
        <v>0</v>
      </c>
    </row>
    <row r="629" customFormat="false" ht="15.75" hidden="false" customHeight="true" outlineLevel="0" collapsed="false">
      <c r="A629" s="30" t="n">
        <v>0</v>
      </c>
      <c r="B629" s="31" t="s">
        <v>11</v>
      </c>
      <c r="C629" s="32"/>
      <c r="D629" s="32"/>
      <c r="E629" s="19" t="n">
        <f aca="false">+IF(C629="EQUIPO",F629,0)</f>
        <v>0</v>
      </c>
      <c r="F629" s="33" t="n">
        <v>0</v>
      </c>
      <c r="G629" s="35" t="n">
        <v>0</v>
      </c>
      <c r="H629" s="34" t="n">
        <f aca="false">+IF(E629=0,0,E629*0.03)</f>
        <v>0</v>
      </c>
    </row>
    <row r="630" customFormat="false" ht="15.75" hidden="false" customHeight="true" outlineLevel="0" collapsed="false">
      <c r="A630" s="30" t="n">
        <v>0</v>
      </c>
      <c r="B630" s="31" t="s">
        <v>11</v>
      </c>
      <c r="C630" s="32"/>
      <c r="D630" s="32"/>
      <c r="E630" s="19" t="n">
        <f aca="false">+IF(C630="EQUIPO",F630,0)</f>
        <v>0</v>
      </c>
      <c r="F630" s="33" t="n">
        <v>0</v>
      </c>
      <c r="G630" s="35" t="n">
        <v>0</v>
      </c>
      <c r="H630" s="34" t="n">
        <f aca="false">+IF(E630=0,0,E630*0.03)</f>
        <v>0</v>
      </c>
    </row>
    <row r="631" customFormat="false" ht="15.75" hidden="false" customHeight="true" outlineLevel="0" collapsed="false">
      <c r="A631" s="30" t="n">
        <v>0</v>
      </c>
      <c r="B631" s="31" t="s">
        <v>11</v>
      </c>
      <c r="C631" s="32"/>
      <c r="D631" s="32"/>
      <c r="E631" s="19" t="n">
        <f aca="false">+IF(C631="EQUIPO",F631,0)</f>
        <v>0</v>
      </c>
      <c r="F631" s="33" t="n">
        <v>0</v>
      </c>
      <c r="G631" s="35" t="n">
        <v>0</v>
      </c>
      <c r="H631" s="34" t="n">
        <f aca="false">+IF(E631=0,0,E631*0.03)</f>
        <v>0</v>
      </c>
    </row>
    <row r="632" customFormat="false" ht="15.75" hidden="false" customHeight="true" outlineLevel="0" collapsed="false">
      <c r="A632" s="30" t="n">
        <v>0</v>
      </c>
      <c r="B632" s="31" t="s">
        <v>11</v>
      </c>
      <c r="C632" s="32"/>
      <c r="D632" s="32"/>
      <c r="E632" s="19" t="n">
        <f aca="false">+IF(C632="EQUIPO",F632,0)</f>
        <v>0</v>
      </c>
      <c r="F632" s="33" t="n">
        <v>0</v>
      </c>
      <c r="G632" s="35" t="n">
        <v>0</v>
      </c>
      <c r="H632" s="34" t="n">
        <f aca="false">+IF(E632=0,0,E632*0.03)</f>
        <v>0</v>
      </c>
    </row>
    <row r="633" customFormat="false" ht="15.75" hidden="false" customHeight="true" outlineLevel="0" collapsed="false">
      <c r="A633" s="30" t="n">
        <v>0</v>
      </c>
      <c r="B633" s="31" t="s">
        <v>11</v>
      </c>
      <c r="C633" s="32"/>
      <c r="D633" s="32"/>
      <c r="E633" s="19" t="n">
        <f aca="false">+IF(C633="EQUIPO",F633,0)</f>
        <v>0</v>
      </c>
      <c r="F633" s="33" t="n">
        <v>0</v>
      </c>
      <c r="G633" s="35" t="n">
        <v>0</v>
      </c>
      <c r="H633" s="34" t="n">
        <f aca="false">+IF(E633=0,0,E633*0.03)</f>
        <v>0</v>
      </c>
    </row>
    <row r="634" customFormat="false" ht="15.75" hidden="false" customHeight="true" outlineLevel="0" collapsed="false">
      <c r="A634" s="30" t="n">
        <v>0</v>
      </c>
      <c r="B634" s="31" t="s">
        <v>11</v>
      </c>
      <c r="C634" s="32"/>
      <c r="D634" s="32"/>
      <c r="E634" s="19" t="n">
        <f aca="false">+IF(C634="EQUIPO",F634,0)</f>
        <v>0</v>
      </c>
      <c r="F634" s="33" t="n">
        <v>0</v>
      </c>
      <c r="G634" s="35" t="n">
        <v>0</v>
      </c>
      <c r="H634" s="34" t="n">
        <f aca="false">+IF(E634=0,0,E634*0.03)</f>
        <v>0</v>
      </c>
    </row>
    <row r="635" customFormat="false" ht="15.75" hidden="false" customHeight="true" outlineLevel="0" collapsed="false">
      <c r="A635" s="30" t="n">
        <v>0</v>
      </c>
      <c r="B635" s="31" t="s">
        <v>11</v>
      </c>
      <c r="C635" s="32"/>
      <c r="D635" s="32"/>
      <c r="E635" s="19" t="n">
        <f aca="false">+IF(C635="EQUIPO",F635,0)</f>
        <v>0</v>
      </c>
      <c r="F635" s="33" t="n">
        <v>0</v>
      </c>
      <c r="G635" s="35" t="n">
        <v>0</v>
      </c>
      <c r="H635" s="34" t="n">
        <f aca="false">+IF(E635=0,0,E635*0.03)</f>
        <v>0</v>
      </c>
    </row>
    <row r="636" customFormat="false" ht="15.75" hidden="false" customHeight="true" outlineLevel="0" collapsed="false">
      <c r="A636" s="30" t="n">
        <v>0</v>
      </c>
      <c r="B636" s="31" t="s">
        <v>11</v>
      </c>
      <c r="C636" s="32"/>
      <c r="D636" s="32"/>
      <c r="E636" s="19" t="n">
        <f aca="false">+IF(C636="EQUIPO",F636,0)</f>
        <v>0</v>
      </c>
      <c r="F636" s="33" t="n">
        <v>0</v>
      </c>
      <c r="G636" s="35" t="n">
        <v>0</v>
      </c>
      <c r="H636" s="34" t="n">
        <f aca="false">+IF(E636=0,0,E636*0.03)</f>
        <v>0</v>
      </c>
    </row>
    <row r="637" customFormat="false" ht="15.75" hidden="false" customHeight="true" outlineLevel="0" collapsed="false">
      <c r="A637" s="30" t="n">
        <v>0</v>
      </c>
      <c r="B637" s="31" t="s">
        <v>11</v>
      </c>
      <c r="C637" s="32"/>
      <c r="D637" s="32"/>
      <c r="E637" s="19" t="n">
        <f aca="false">+IF(C637="EQUIPO",F637,0)</f>
        <v>0</v>
      </c>
      <c r="F637" s="33" t="n">
        <v>0</v>
      </c>
      <c r="G637" s="35" t="n">
        <v>0</v>
      </c>
      <c r="H637" s="34" t="n">
        <f aca="false">+IF(E637=0,0,E637*0.03)</f>
        <v>0</v>
      </c>
    </row>
    <row r="638" customFormat="false" ht="15.75" hidden="false" customHeight="true" outlineLevel="0" collapsed="false">
      <c r="A638" s="30" t="n">
        <v>0</v>
      </c>
      <c r="B638" s="31" t="s">
        <v>11</v>
      </c>
      <c r="C638" s="32"/>
      <c r="D638" s="32"/>
      <c r="E638" s="19" t="n">
        <f aca="false">+IF(C638="EQUIPO",F638,0)</f>
        <v>0</v>
      </c>
      <c r="F638" s="33" t="n">
        <v>0</v>
      </c>
      <c r="G638" s="35" t="n">
        <v>0</v>
      </c>
      <c r="H638" s="34" t="n">
        <f aca="false">+IF(E638=0,0,E638*0.03)</f>
        <v>0</v>
      </c>
    </row>
    <row r="639" customFormat="false" ht="15.75" hidden="false" customHeight="true" outlineLevel="0" collapsed="false">
      <c r="A639" s="30" t="n">
        <v>0</v>
      </c>
      <c r="B639" s="31" t="s">
        <v>11</v>
      </c>
      <c r="C639" s="32"/>
      <c r="D639" s="32"/>
      <c r="E639" s="19" t="n">
        <f aca="false">+IF(C639="EQUIPO",F639,0)</f>
        <v>0</v>
      </c>
      <c r="F639" s="33" t="n">
        <v>0</v>
      </c>
      <c r="G639" s="35" t="n">
        <v>0</v>
      </c>
      <c r="H639" s="34" t="n">
        <f aca="false">+IF(E639=0,0,E639*0.03)</f>
        <v>0</v>
      </c>
    </row>
    <row r="640" customFormat="false" ht="15.75" hidden="false" customHeight="true" outlineLevel="0" collapsed="false">
      <c r="A640" s="30" t="n">
        <v>0</v>
      </c>
      <c r="B640" s="31" t="s">
        <v>11</v>
      </c>
      <c r="C640" s="32"/>
      <c r="D640" s="32"/>
      <c r="E640" s="19" t="n">
        <f aca="false">+IF(C640="EQUIPO",F640,0)</f>
        <v>0</v>
      </c>
      <c r="F640" s="33" t="n">
        <v>0</v>
      </c>
      <c r="G640" s="35" t="n">
        <v>0</v>
      </c>
      <c r="H640" s="34" t="n">
        <f aca="false">+IF(E640=0,0,E640*0.03)</f>
        <v>0</v>
      </c>
    </row>
    <row r="641" customFormat="false" ht="15.75" hidden="false" customHeight="true" outlineLevel="0" collapsed="false">
      <c r="A641" s="30" t="n">
        <v>0</v>
      </c>
      <c r="B641" s="31" t="s">
        <v>11</v>
      </c>
      <c r="C641" s="32"/>
      <c r="D641" s="32"/>
      <c r="E641" s="19" t="n">
        <f aca="false">+IF(C641="EQUIPO",F641,0)</f>
        <v>0</v>
      </c>
      <c r="F641" s="33" t="n">
        <v>0</v>
      </c>
      <c r="G641" s="35" t="n">
        <v>0</v>
      </c>
      <c r="H641" s="34" t="n">
        <f aca="false">+IF(E641=0,0,E641*0.03)</f>
        <v>0</v>
      </c>
    </row>
    <row r="642" customFormat="false" ht="15.75" hidden="false" customHeight="true" outlineLevel="0" collapsed="false">
      <c r="A642" s="30" t="n">
        <v>0</v>
      </c>
      <c r="B642" s="31" t="s">
        <v>11</v>
      </c>
      <c r="C642" s="32"/>
      <c r="D642" s="32"/>
      <c r="E642" s="19" t="n">
        <f aca="false">+IF(C642="EQUIPO",F642,0)</f>
        <v>0</v>
      </c>
      <c r="F642" s="33" t="n">
        <v>0</v>
      </c>
      <c r="G642" s="35" t="n">
        <v>0</v>
      </c>
      <c r="H642" s="34" t="n">
        <f aca="false">+IF(E642=0,0,E642*0.03)</f>
        <v>0</v>
      </c>
    </row>
    <row r="643" customFormat="false" ht="15.75" hidden="false" customHeight="true" outlineLevel="0" collapsed="false">
      <c r="A643" s="30" t="n">
        <v>0</v>
      </c>
      <c r="B643" s="31" t="s">
        <v>11</v>
      </c>
      <c r="C643" s="32"/>
      <c r="D643" s="32"/>
      <c r="E643" s="19" t="n">
        <f aca="false">+IF(C643="EQUIPO",F643,0)</f>
        <v>0</v>
      </c>
      <c r="F643" s="33" t="n">
        <v>0</v>
      </c>
      <c r="G643" s="35" t="n">
        <v>0</v>
      </c>
      <c r="H643" s="34" t="n">
        <f aca="false">+IF(E643=0,0,E643*0.03)</f>
        <v>0</v>
      </c>
    </row>
    <row r="644" customFormat="false" ht="15.75" hidden="false" customHeight="true" outlineLevel="0" collapsed="false">
      <c r="A644" s="30" t="n">
        <v>0</v>
      </c>
      <c r="B644" s="31" t="s">
        <v>11</v>
      </c>
      <c r="C644" s="32"/>
      <c r="D644" s="32"/>
      <c r="E644" s="19" t="n">
        <f aca="false">+IF(C644="EQUIPO",F644,0)</f>
        <v>0</v>
      </c>
      <c r="F644" s="33" t="n">
        <v>0</v>
      </c>
      <c r="G644" s="35" t="n">
        <v>0</v>
      </c>
      <c r="H644" s="34" t="n">
        <f aca="false">+IF(E644=0,0,E644*0.03)</f>
        <v>0</v>
      </c>
    </row>
    <row r="645" customFormat="false" ht="15.75" hidden="false" customHeight="true" outlineLevel="0" collapsed="false">
      <c r="A645" s="30" t="n">
        <v>0</v>
      </c>
      <c r="B645" s="31" t="s">
        <v>11</v>
      </c>
      <c r="C645" s="32"/>
      <c r="D645" s="32"/>
      <c r="E645" s="19" t="n">
        <f aca="false">+IF(C645="EQUIPO",F645,0)</f>
        <v>0</v>
      </c>
      <c r="F645" s="33" t="n">
        <v>0</v>
      </c>
      <c r="G645" s="35" t="n">
        <v>0</v>
      </c>
      <c r="H645" s="34" t="n">
        <f aca="false">+IF(E645=0,0,E645*0.03)</f>
        <v>0</v>
      </c>
    </row>
    <row r="646" customFormat="false" ht="15.75" hidden="false" customHeight="true" outlineLevel="0" collapsed="false">
      <c r="A646" s="30" t="n">
        <v>0</v>
      </c>
      <c r="B646" s="31" t="s">
        <v>11</v>
      </c>
      <c r="C646" s="32"/>
      <c r="D646" s="32"/>
      <c r="E646" s="19" t="n">
        <f aca="false">+IF(C646="EQUIPO",F646,0)</f>
        <v>0</v>
      </c>
      <c r="F646" s="33" t="n">
        <v>0</v>
      </c>
      <c r="G646" s="35" t="n">
        <v>0</v>
      </c>
      <c r="H646" s="34" t="n">
        <f aca="false">+IF(E646=0,0,E646*0.03)</f>
        <v>0</v>
      </c>
    </row>
    <row r="647" customFormat="false" ht="15.75" hidden="false" customHeight="true" outlineLevel="0" collapsed="false">
      <c r="A647" s="30" t="n">
        <v>0</v>
      </c>
      <c r="B647" s="31" t="s">
        <v>11</v>
      </c>
      <c r="C647" s="32"/>
      <c r="D647" s="32"/>
      <c r="E647" s="19" t="n">
        <f aca="false">+IF(C647="EQUIPO",F647,0)</f>
        <v>0</v>
      </c>
      <c r="F647" s="33" t="n">
        <v>0</v>
      </c>
      <c r="G647" s="35" t="n">
        <v>0</v>
      </c>
      <c r="H647" s="34" t="n">
        <f aca="false">+IF(E647=0,0,E647*0.03)</f>
        <v>0</v>
      </c>
    </row>
    <row r="648" customFormat="false" ht="15.75" hidden="false" customHeight="true" outlineLevel="0" collapsed="false">
      <c r="A648" s="30" t="n">
        <v>0</v>
      </c>
      <c r="B648" s="31" t="s">
        <v>11</v>
      </c>
      <c r="C648" s="32"/>
      <c r="D648" s="32"/>
      <c r="E648" s="19" t="n">
        <f aca="false">+IF(C648="EQUIPO",F648,0)</f>
        <v>0</v>
      </c>
      <c r="F648" s="33" t="n">
        <v>0</v>
      </c>
      <c r="G648" s="35" t="n">
        <v>0</v>
      </c>
      <c r="H648" s="34" t="n">
        <f aca="false">+IF(E648=0,0,E648*0.03)</f>
        <v>0</v>
      </c>
    </row>
    <row r="649" customFormat="false" ht="15.75" hidden="false" customHeight="true" outlineLevel="0" collapsed="false">
      <c r="A649" s="30" t="n">
        <v>0</v>
      </c>
      <c r="B649" s="31" t="s">
        <v>11</v>
      </c>
      <c r="C649" s="32"/>
      <c r="D649" s="32"/>
      <c r="E649" s="19" t="n">
        <f aca="false">+IF(C649="EQUIPO",F649,0)</f>
        <v>0</v>
      </c>
      <c r="F649" s="33" t="n">
        <v>0</v>
      </c>
      <c r="G649" s="35" t="n">
        <v>0</v>
      </c>
      <c r="H649" s="34" t="n">
        <f aca="false">+IF(E649=0,0,E649*0.03)</f>
        <v>0</v>
      </c>
    </row>
    <row r="650" customFormat="false" ht="15.75" hidden="false" customHeight="true" outlineLevel="0" collapsed="false">
      <c r="A650" s="30" t="n">
        <v>0</v>
      </c>
      <c r="B650" s="31" t="s">
        <v>11</v>
      </c>
      <c r="C650" s="32"/>
      <c r="D650" s="32"/>
      <c r="E650" s="19" t="n">
        <f aca="false">+IF(C650="EQUIPO",F650,0)</f>
        <v>0</v>
      </c>
      <c r="F650" s="33" t="n">
        <v>0</v>
      </c>
      <c r="G650" s="35" t="n">
        <v>0</v>
      </c>
      <c r="H650" s="34" t="n">
        <f aca="false">+IF(E650=0,0,E650*0.03)</f>
        <v>0</v>
      </c>
    </row>
    <row r="651" customFormat="false" ht="15.75" hidden="false" customHeight="true" outlineLevel="0" collapsed="false">
      <c r="A651" s="30" t="n">
        <v>0</v>
      </c>
      <c r="B651" s="31" t="s">
        <v>11</v>
      </c>
      <c r="C651" s="32"/>
      <c r="D651" s="32"/>
      <c r="E651" s="19" t="n">
        <f aca="false">+IF(C651="EQUIPO",F651,0)</f>
        <v>0</v>
      </c>
      <c r="F651" s="33" t="n">
        <v>0</v>
      </c>
      <c r="G651" s="35" t="n">
        <v>0</v>
      </c>
      <c r="H651" s="34" t="n">
        <f aca="false">+IF(E651=0,0,E651*0.03)</f>
        <v>0</v>
      </c>
    </row>
    <row r="652" customFormat="false" ht="15.75" hidden="false" customHeight="true" outlineLevel="0" collapsed="false">
      <c r="A652" s="30" t="n">
        <v>0</v>
      </c>
      <c r="B652" s="31" t="s">
        <v>11</v>
      </c>
      <c r="C652" s="32"/>
      <c r="D652" s="32"/>
      <c r="E652" s="19" t="n">
        <f aca="false">+IF(C652="EQUIPO",F652,0)</f>
        <v>0</v>
      </c>
      <c r="F652" s="33" t="n">
        <v>0</v>
      </c>
      <c r="G652" s="35" t="n">
        <v>0</v>
      </c>
      <c r="H652" s="34" t="n">
        <f aca="false">+IF(E652=0,0,E652*0.03)</f>
        <v>0</v>
      </c>
    </row>
    <row r="653" customFormat="false" ht="15.75" hidden="false" customHeight="true" outlineLevel="0" collapsed="false">
      <c r="A653" s="30" t="n">
        <v>0</v>
      </c>
      <c r="B653" s="31" t="s">
        <v>11</v>
      </c>
      <c r="C653" s="32"/>
      <c r="D653" s="32"/>
      <c r="E653" s="19" t="n">
        <f aca="false">+IF(C653="EQUIPO",F653,0)</f>
        <v>0</v>
      </c>
      <c r="F653" s="33" t="n">
        <v>0</v>
      </c>
      <c r="G653" s="35" t="n">
        <v>0</v>
      </c>
      <c r="H653" s="34" t="n">
        <f aca="false">+IF(E653=0,0,E653*0.03)</f>
        <v>0</v>
      </c>
    </row>
    <row r="654" customFormat="false" ht="15.75" hidden="false" customHeight="true" outlineLevel="0" collapsed="false">
      <c r="A654" s="30" t="n">
        <v>0</v>
      </c>
      <c r="B654" s="31" t="s">
        <v>11</v>
      </c>
      <c r="C654" s="32"/>
      <c r="D654" s="32"/>
      <c r="E654" s="19" t="n">
        <f aca="false">+IF(C654="EQUIPO",F654,0)</f>
        <v>0</v>
      </c>
      <c r="F654" s="33" t="n">
        <v>0</v>
      </c>
      <c r="G654" s="35" t="n">
        <v>0</v>
      </c>
      <c r="H654" s="34" t="n">
        <f aca="false">+IF(E654=0,0,E654*0.03)</f>
        <v>0</v>
      </c>
    </row>
    <row r="655" customFormat="false" ht="15.75" hidden="false" customHeight="true" outlineLevel="0" collapsed="false">
      <c r="A655" s="30" t="n">
        <v>0</v>
      </c>
      <c r="B655" s="31" t="s">
        <v>11</v>
      </c>
      <c r="C655" s="32"/>
      <c r="D655" s="32"/>
      <c r="E655" s="19" t="n">
        <f aca="false">+IF(C655="EQUIPO",F655,0)</f>
        <v>0</v>
      </c>
      <c r="F655" s="33" t="n">
        <v>0</v>
      </c>
      <c r="G655" s="35" t="n">
        <v>0</v>
      </c>
      <c r="H655" s="34" t="n">
        <f aca="false">+IF(E655=0,0,E655*0.03)</f>
        <v>0</v>
      </c>
    </row>
    <row r="656" customFormat="false" ht="15.75" hidden="false" customHeight="true" outlineLevel="0" collapsed="false">
      <c r="A656" s="30" t="n">
        <v>0</v>
      </c>
      <c r="B656" s="31" t="s">
        <v>11</v>
      </c>
      <c r="C656" s="32"/>
      <c r="D656" s="32"/>
      <c r="E656" s="19" t="n">
        <f aca="false">+IF(C656="EQUIPO",F656,0)</f>
        <v>0</v>
      </c>
      <c r="F656" s="33" t="n">
        <v>0</v>
      </c>
      <c r="G656" s="35" t="n">
        <v>0</v>
      </c>
      <c r="H656" s="34" t="n">
        <f aca="false">+IF(E656=0,0,E656*0.03)</f>
        <v>0</v>
      </c>
    </row>
    <row r="657" customFormat="false" ht="15.75" hidden="false" customHeight="true" outlineLevel="0" collapsed="false">
      <c r="A657" s="30" t="n">
        <v>0</v>
      </c>
      <c r="B657" s="31" t="s">
        <v>11</v>
      </c>
      <c r="C657" s="32"/>
      <c r="D657" s="32"/>
      <c r="E657" s="19" t="n">
        <f aca="false">+IF(C657="EQUIPO",F657,0)</f>
        <v>0</v>
      </c>
      <c r="F657" s="33" t="n">
        <v>0</v>
      </c>
      <c r="G657" s="35" t="n">
        <v>0</v>
      </c>
      <c r="H657" s="34" t="n">
        <f aca="false">+IF(E657=0,0,E657*0.03)</f>
        <v>0</v>
      </c>
    </row>
    <row r="658" customFormat="false" ht="15.75" hidden="false" customHeight="true" outlineLevel="0" collapsed="false">
      <c r="A658" s="30" t="n">
        <v>0</v>
      </c>
      <c r="B658" s="31" t="s">
        <v>11</v>
      </c>
      <c r="C658" s="32"/>
      <c r="D658" s="32"/>
      <c r="E658" s="19" t="n">
        <f aca="false">+IF(C658="EQUIPO",F658,0)</f>
        <v>0</v>
      </c>
      <c r="F658" s="33" t="n">
        <v>0</v>
      </c>
      <c r="G658" s="35" t="n">
        <v>0</v>
      </c>
      <c r="H658" s="34" t="n">
        <f aca="false">+IF(E658=0,0,E658*0.03)</f>
        <v>0</v>
      </c>
    </row>
    <row r="659" customFormat="false" ht="15.75" hidden="false" customHeight="true" outlineLevel="0" collapsed="false">
      <c r="A659" s="30" t="n">
        <v>0</v>
      </c>
      <c r="B659" s="31" t="s">
        <v>11</v>
      </c>
      <c r="C659" s="32"/>
      <c r="D659" s="32"/>
      <c r="E659" s="19" t="n">
        <f aca="false">+IF(C659="EQUIPO",F659,0)</f>
        <v>0</v>
      </c>
      <c r="F659" s="33" t="n">
        <v>0</v>
      </c>
      <c r="G659" s="35" t="n">
        <v>0</v>
      </c>
      <c r="H659" s="34" t="n">
        <f aca="false">+IF(E659=0,0,E659*0.03)</f>
        <v>0</v>
      </c>
    </row>
    <row r="660" customFormat="false" ht="15.75" hidden="false" customHeight="true" outlineLevel="0" collapsed="false">
      <c r="A660" s="30" t="n">
        <v>0</v>
      </c>
      <c r="B660" s="31" t="s">
        <v>11</v>
      </c>
      <c r="C660" s="32"/>
      <c r="D660" s="32"/>
      <c r="E660" s="19" t="n">
        <f aca="false">+IF(C660="EQUIPO",F660,0)</f>
        <v>0</v>
      </c>
      <c r="F660" s="33" t="n">
        <v>0</v>
      </c>
      <c r="G660" s="35" t="n">
        <v>0</v>
      </c>
      <c r="H660" s="34" t="n">
        <f aca="false">+IF(E660=0,0,E660*0.03)</f>
        <v>0</v>
      </c>
    </row>
    <row r="661" customFormat="false" ht="15.75" hidden="false" customHeight="true" outlineLevel="0" collapsed="false">
      <c r="A661" s="30" t="n">
        <v>0</v>
      </c>
      <c r="B661" s="31" t="s">
        <v>11</v>
      </c>
      <c r="C661" s="32"/>
      <c r="D661" s="32"/>
      <c r="E661" s="19" t="n">
        <f aca="false">+IF(C661="EQUIPO",F661,0)</f>
        <v>0</v>
      </c>
      <c r="F661" s="33" t="n">
        <v>0</v>
      </c>
      <c r="G661" s="35" t="n">
        <v>0</v>
      </c>
      <c r="H661" s="34" t="n">
        <f aca="false">+IF(E661=0,0,E661*0.03)</f>
        <v>0</v>
      </c>
    </row>
    <row r="662" customFormat="false" ht="15.75" hidden="false" customHeight="true" outlineLevel="0" collapsed="false">
      <c r="A662" s="30" t="n">
        <v>0</v>
      </c>
      <c r="B662" s="31" t="s">
        <v>11</v>
      </c>
      <c r="C662" s="32"/>
      <c r="D662" s="32"/>
      <c r="E662" s="19" t="n">
        <f aca="false">+IF(C662="EQUIPO",F662,0)</f>
        <v>0</v>
      </c>
      <c r="F662" s="33" t="n">
        <v>0</v>
      </c>
      <c r="G662" s="35" t="n">
        <v>0</v>
      </c>
      <c r="H662" s="34" t="n">
        <f aca="false">+IF(E662=0,0,E662*0.03)</f>
        <v>0</v>
      </c>
    </row>
    <row r="663" customFormat="false" ht="15.75" hidden="false" customHeight="true" outlineLevel="0" collapsed="false">
      <c r="A663" s="30" t="n">
        <v>0</v>
      </c>
      <c r="B663" s="31" t="s">
        <v>11</v>
      </c>
      <c r="C663" s="32"/>
      <c r="D663" s="32"/>
      <c r="E663" s="19" t="n">
        <f aca="false">+IF(C663="EQUIPO",F663,0)</f>
        <v>0</v>
      </c>
      <c r="F663" s="33" t="n">
        <v>0</v>
      </c>
      <c r="G663" s="35" t="n">
        <v>0</v>
      </c>
      <c r="H663" s="34" t="n">
        <f aca="false">+IF(E663=0,0,E663*0.03)</f>
        <v>0</v>
      </c>
    </row>
    <row r="664" customFormat="false" ht="15.75" hidden="false" customHeight="true" outlineLevel="0" collapsed="false">
      <c r="A664" s="30" t="n">
        <v>0</v>
      </c>
      <c r="B664" s="31" t="s">
        <v>11</v>
      </c>
      <c r="C664" s="32"/>
      <c r="D664" s="32"/>
      <c r="E664" s="19" t="n">
        <f aca="false">+IF(C664="EQUIPO",F664,0)</f>
        <v>0</v>
      </c>
      <c r="F664" s="33" t="n">
        <v>0</v>
      </c>
      <c r="G664" s="35" t="n">
        <v>0</v>
      </c>
      <c r="H664" s="34" t="n">
        <f aca="false">+IF(E664=0,0,E664*0.03)</f>
        <v>0</v>
      </c>
    </row>
    <row r="665" customFormat="false" ht="15.75" hidden="false" customHeight="true" outlineLevel="0" collapsed="false">
      <c r="A665" s="30" t="n">
        <v>0</v>
      </c>
      <c r="B665" s="31" t="s">
        <v>11</v>
      </c>
      <c r="C665" s="32"/>
      <c r="D665" s="32"/>
      <c r="E665" s="19" t="n">
        <f aca="false">+IF(C665="EQUIPO",F665,0)</f>
        <v>0</v>
      </c>
      <c r="F665" s="33" t="n">
        <v>0</v>
      </c>
      <c r="G665" s="35" t="n">
        <v>0</v>
      </c>
      <c r="H665" s="34" t="n">
        <f aca="false">+IF(E665=0,0,E665*0.03)</f>
        <v>0</v>
      </c>
    </row>
    <row r="666" customFormat="false" ht="15.75" hidden="false" customHeight="true" outlineLevel="0" collapsed="false">
      <c r="A666" s="30" t="n">
        <v>0</v>
      </c>
      <c r="B666" s="31" t="s">
        <v>11</v>
      </c>
      <c r="C666" s="32"/>
      <c r="D666" s="32"/>
      <c r="E666" s="19" t="n">
        <f aca="false">+IF(C666="EQUIPO",F666,0)</f>
        <v>0</v>
      </c>
      <c r="F666" s="33" t="n">
        <v>0</v>
      </c>
      <c r="G666" s="35" t="n">
        <v>0</v>
      </c>
      <c r="H666" s="34" t="n">
        <f aca="false">+IF(E666=0,0,E666*0.03)</f>
        <v>0</v>
      </c>
    </row>
    <row r="667" customFormat="false" ht="15.75" hidden="false" customHeight="true" outlineLevel="0" collapsed="false">
      <c r="A667" s="30" t="n">
        <v>0</v>
      </c>
      <c r="B667" s="31" t="s">
        <v>11</v>
      </c>
      <c r="C667" s="32"/>
      <c r="D667" s="32"/>
      <c r="E667" s="19" t="n">
        <f aca="false">+IF(C667="EQUIPO",F667,0)</f>
        <v>0</v>
      </c>
      <c r="F667" s="33" t="n">
        <v>0</v>
      </c>
      <c r="G667" s="35" t="n">
        <v>0</v>
      </c>
      <c r="H667" s="34" t="n">
        <f aca="false">+IF(E667=0,0,E667*0.03)</f>
        <v>0</v>
      </c>
    </row>
    <row r="668" customFormat="false" ht="15.75" hidden="false" customHeight="true" outlineLevel="0" collapsed="false">
      <c r="A668" s="30" t="n">
        <v>0</v>
      </c>
      <c r="B668" s="31" t="s">
        <v>11</v>
      </c>
      <c r="C668" s="32"/>
      <c r="D668" s="32"/>
      <c r="E668" s="19" t="n">
        <f aca="false">+IF(C668="EQUIPO",F668,0)</f>
        <v>0</v>
      </c>
      <c r="F668" s="33" t="n">
        <v>0</v>
      </c>
      <c r="G668" s="35" t="n">
        <v>0</v>
      </c>
      <c r="H668" s="34" t="n">
        <f aca="false">+IF(E668=0,0,E668*0.03)</f>
        <v>0</v>
      </c>
    </row>
    <row r="669" customFormat="false" ht="15.75" hidden="false" customHeight="true" outlineLevel="0" collapsed="false">
      <c r="A669" s="30" t="n">
        <v>0</v>
      </c>
      <c r="B669" s="31" t="s">
        <v>11</v>
      </c>
      <c r="C669" s="32"/>
      <c r="D669" s="32"/>
      <c r="E669" s="19" t="n">
        <f aca="false">+IF(C669="EQUIPO",F669,0)</f>
        <v>0</v>
      </c>
      <c r="F669" s="33" t="n">
        <v>0</v>
      </c>
      <c r="G669" s="35" t="n">
        <v>0</v>
      </c>
      <c r="H669" s="34" t="n">
        <f aca="false">+IF(E669=0,0,E669*0.03)</f>
        <v>0</v>
      </c>
    </row>
    <row r="670" customFormat="false" ht="15.75" hidden="false" customHeight="true" outlineLevel="0" collapsed="false">
      <c r="A670" s="30" t="n">
        <v>0</v>
      </c>
      <c r="B670" s="31" t="s">
        <v>11</v>
      </c>
      <c r="C670" s="32"/>
      <c r="D670" s="32"/>
      <c r="E670" s="19" t="n">
        <f aca="false">+IF(C670="EQUIPO",F670,0)</f>
        <v>0</v>
      </c>
      <c r="F670" s="33" t="n">
        <v>0</v>
      </c>
      <c r="G670" s="35" t="n">
        <v>0</v>
      </c>
      <c r="H670" s="34" t="n">
        <f aca="false">+IF(E670=0,0,E670*0.03)</f>
        <v>0</v>
      </c>
    </row>
    <row r="671" customFormat="false" ht="15.75" hidden="false" customHeight="true" outlineLevel="0" collapsed="false">
      <c r="A671" s="30" t="n">
        <v>0</v>
      </c>
      <c r="B671" s="31" t="s">
        <v>11</v>
      </c>
      <c r="C671" s="32"/>
      <c r="D671" s="32"/>
      <c r="E671" s="19" t="n">
        <f aca="false">+IF(C671="EQUIPO",F671,0)</f>
        <v>0</v>
      </c>
      <c r="F671" s="33" t="n">
        <v>0</v>
      </c>
      <c r="G671" s="35" t="n">
        <v>0</v>
      </c>
      <c r="H671" s="34" t="n">
        <f aca="false">+IF(E671=0,0,E671*0.03)</f>
        <v>0</v>
      </c>
    </row>
    <row r="672" customFormat="false" ht="15.75" hidden="false" customHeight="true" outlineLevel="0" collapsed="false">
      <c r="A672" s="30" t="n">
        <v>0</v>
      </c>
      <c r="B672" s="31" t="s">
        <v>11</v>
      </c>
      <c r="C672" s="32"/>
      <c r="D672" s="32"/>
      <c r="E672" s="19" t="n">
        <f aca="false">+IF(C672="EQUIPO",F672,0)</f>
        <v>0</v>
      </c>
      <c r="F672" s="33" t="n">
        <v>0</v>
      </c>
      <c r="G672" s="35" t="n">
        <v>0</v>
      </c>
      <c r="H672" s="34" t="n">
        <f aca="false">+IF(E672=0,0,E672*0.03)</f>
        <v>0</v>
      </c>
    </row>
    <row r="673" customFormat="false" ht="15.75" hidden="false" customHeight="true" outlineLevel="0" collapsed="false">
      <c r="A673" s="30" t="n">
        <v>0</v>
      </c>
      <c r="B673" s="31" t="s">
        <v>11</v>
      </c>
      <c r="C673" s="32"/>
      <c r="D673" s="32"/>
      <c r="E673" s="19" t="n">
        <f aca="false">+IF(C673="EQUIPO",F673,0)</f>
        <v>0</v>
      </c>
      <c r="F673" s="33" t="n">
        <v>0</v>
      </c>
      <c r="G673" s="35" t="n">
        <v>0</v>
      </c>
      <c r="H673" s="34" t="n">
        <f aca="false">+IF(E673=0,0,E673*0.03)</f>
        <v>0</v>
      </c>
    </row>
    <row r="674" customFormat="false" ht="15.75" hidden="false" customHeight="true" outlineLevel="0" collapsed="false">
      <c r="A674" s="30" t="n">
        <v>0</v>
      </c>
      <c r="B674" s="31" t="s">
        <v>11</v>
      </c>
      <c r="C674" s="32"/>
      <c r="D674" s="32"/>
      <c r="E674" s="19" t="n">
        <f aca="false">+IF(C674="EQUIPO",F674,0)</f>
        <v>0</v>
      </c>
      <c r="F674" s="33" t="n">
        <v>0</v>
      </c>
      <c r="G674" s="35" t="n">
        <v>0</v>
      </c>
      <c r="H674" s="34" t="n">
        <f aca="false">+IF(E674=0,0,E674*0.03)</f>
        <v>0</v>
      </c>
    </row>
    <row r="675" customFormat="false" ht="15.75" hidden="false" customHeight="true" outlineLevel="0" collapsed="false">
      <c r="A675" s="30" t="n">
        <v>0</v>
      </c>
      <c r="B675" s="31" t="s">
        <v>11</v>
      </c>
      <c r="C675" s="32"/>
      <c r="D675" s="32"/>
      <c r="E675" s="19" t="n">
        <f aca="false">+IF(C675="EQUIPO",F675,0)</f>
        <v>0</v>
      </c>
      <c r="F675" s="33" t="n">
        <v>0</v>
      </c>
      <c r="G675" s="35" t="n">
        <v>0</v>
      </c>
      <c r="H675" s="34" t="n">
        <f aca="false">+IF(E675=0,0,E675*0.03)</f>
        <v>0</v>
      </c>
    </row>
    <row r="676" customFormat="false" ht="15.75" hidden="false" customHeight="true" outlineLevel="0" collapsed="false">
      <c r="A676" s="30" t="n">
        <v>0</v>
      </c>
      <c r="B676" s="31" t="s">
        <v>11</v>
      </c>
      <c r="C676" s="32"/>
      <c r="D676" s="32"/>
      <c r="E676" s="19" t="n">
        <f aca="false">+IF(C676="EQUIPO",F676,0)</f>
        <v>0</v>
      </c>
      <c r="F676" s="33" t="n">
        <v>0</v>
      </c>
      <c r="G676" s="35" t="n">
        <v>0</v>
      </c>
      <c r="H676" s="34" t="n">
        <f aca="false">+IF(E676=0,0,E676*0.03)</f>
        <v>0</v>
      </c>
    </row>
    <row r="677" customFormat="false" ht="15.75" hidden="false" customHeight="true" outlineLevel="0" collapsed="false">
      <c r="A677" s="30" t="n">
        <v>0</v>
      </c>
      <c r="B677" s="31" t="s">
        <v>11</v>
      </c>
      <c r="C677" s="32"/>
      <c r="D677" s="32"/>
      <c r="E677" s="19" t="n">
        <f aca="false">+IF(C677="EQUIPO",F677,0)</f>
        <v>0</v>
      </c>
      <c r="F677" s="33" t="n">
        <v>0</v>
      </c>
      <c r="G677" s="35" t="n">
        <v>0</v>
      </c>
      <c r="H677" s="34" t="n">
        <f aca="false">+IF(E677=0,0,E677*0.03)</f>
        <v>0</v>
      </c>
    </row>
    <row r="678" customFormat="false" ht="15.75" hidden="false" customHeight="true" outlineLevel="0" collapsed="false">
      <c r="A678" s="30" t="n">
        <v>0</v>
      </c>
      <c r="B678" s="31" t="s">
        <v>11</v>
      </c>
      <c r="C678" s="32"/>
      <c r="D678" s="32"/>
      <c r="E678" s="19" t="n">
        <f aca="false">+IF(C678="EQUIPO",F678,0)</f>
        <v>0</v>
      </c>
      <c r="F678" s="33" t="n">
        <v>0</v>
      </c>
      <c r="G678" s="35" t="n">
        <v>0</v>
      </c>
      <c r="H678" s="34" t="n">
        <f aca="false">+IF(E678=0,0,E678*0.03)</f>
        <v>0</v>
      </c>
    </row>
    <row r="679" customFormat="false" ht="15.75" hidden="false" customHeight="true" outlineLevel="0" collapsed="false">
      <c r="A679" s="30" t="n">
        <v>0</v>
      </c>
      <c r="B679" s="31" t="s">
        <v>11</v>
      </c>
      <c r="C679" s="32"/>
      <c r="D679" s="32"/>
      <c r="E679" s="19" t="n">
        <f aca="false">+IF(C679="EQUIPO",F679,0)</f>
        <v>0</v>
      </c>
      <c r="F679" s="33" t="n">
        <v>0</v>
      </c>
      <c r="G679" s="35" t="n">
        <v>0</v>
      </c>
      <c r="H679" s="34" t="n">
        <f aca="false">+IF(E679=0,0,E679*0.03)</f>
        <v>0</v>
      </c>
    </row>
    <row r="680" customFormat="false" ht="15.75" hidden="false" customHeight="true" outlineLevel="0" collapsed="false">
      <c r="A680" s="30" t="n">
        <v>0</v>
      </c>
      <c r="B680" s="31" t="s">
        <v>11</v>
      </c>
      <c r="C680" s="32"/>
      <c r="D680" s="32"/>
      <c r="E680" s="19" t="n">
        <f aca="false">+IF(C680="EQUIPO",F680,0)</f>
        <v>0</v>
      </c>
      <c r="F680" s="33" t="n">
        <v>0</v>
      </c>
      <c r="G680" s="35" t="n">
        <v>0</v>
      </c>
      <c r="H680" s="34" t="n">
        <f aca="false">+IF(E680=0,0,E680*0.03)</f>
        <v>0</v>
      </c>
    </row>
    <row r="681" customFormat="false" ht="15.75" hidden="false" customHeight="true" outlineLevel="0" collapsed="false">
      <c r="A681" s="30" t="n">
        <v>0</v>
      </c>
      <c r="B681" s="31" t="s">
        <v>11</v>
      </c>
      <c r="C681" s="32"/>
      <c r="D681" s="32"/>
      <c r="E681" s="19" t="n">
        <f aca="false">+IF(C681="EQUIPO",F681,0)</f>
        <v>0</v>
      </c>
      <c r="F681" s="33" t="n">
        <v>0</v>
      </c>
      <c r="G681" s="35" t="n">
        <v>0</v>
      </c>
      <c r="H681" s="34" t="n">
        <f aca="false">+IF(E681=0,0,E681*0.03)</f>
        <v>0</v>
      </c>
    </row>
    <row r="682" customFormat="false" ht="15.75" hidden="false" customHeight="true" outlineLevel="0" collapsed="false">
      <c r="A682" s="30" t="n">
        <v>0</v>
      </c>
      <c r="B682" s="31" t="s">
        <v>11</v>
      </c>
      <c r="C682" s="32"/>
      <c r="D682" s="32"/>
      <c r="E682" s="19" t="n">
        <f aca="false">+IF(C682="EQUIPO",F682,0)</f>
        <v>0</v>
      </c>
      <c r="F682" s="33" t="n">
        <v>0</v>
      </c>
      <c r="G682" s="35" t="n">
        <v>0</v>
      </c>
      <c r="H682" s="34" t="n">
        <f aca="false">+IF(E682=0,0,E682*0.03)</f>
        <v>0</v>
      </c>
    </row>
    <row r="683" customFormat="false" ht="15.75" hidden="false" customHeight="true" outlineLevel="0" collapsed="false">
      <c r="A683" s="30" t="n">
        <v>0</v>
      </c>
      <c r="B683" s="31" t="s">
        <v>11</v>
      </c>
      <c r="C683" s="32"/>
      <c r="D683" s="32"/>
      <c r="E683" s="19" t="n">
        <f aca="false">+IF(C683="EQUIPO",F683,0)</f>
        <v>0</v>
      </c>
      <c r="F683" s="33" t="n">
        <v>0</v>
      </c>
      <c r="G683" s="35" t="n">
        <v>0</v>
      </c>
      <c r="H683" s="34" t="n">
        <f aca="false">+IF(E683=0,0,E683*0.03)</f>
        <v>0</v>
      </c>
    </row>
    <row r="684" customFormat="false" ht="15.75" hidden="false" customHeight="true" outlineLevel="0" collapsed="false">
      <c r="A684" s="30" t="n">
        <v>0</v>
      </c>
      <c r="B684" s="31" t="s">
        <v>11</v>
      </c>
      <c r="C684" s="32"/>
      <c r="D684" s="32"/>
      <c r="E684" s="19" t="n">
        <f aca="false">+IF(C684="EQUIPO",F684,0)</f>
        <v>0</v>
      </c>
      <c r="F684" s="33" t="n">
        <v>0</v>
      </c>
      <c r="G684" s="35" t="n">
        <v>0</v>
      </c>
      <c r="H684" s="34" t="n">
        <f aca="false">+IF(E684=0,0,E684*0.03)</f>
        <v>0</v>
      </c>
    </row>
    <row r="685" customFormat="false" ht="15.75" hidden="false" customHeight="true" outlineLevel="0" collapsed="false">
      <c r="A685" s="30" t="n">
        <v>0</v>
      </c>
      <c r="B685" s="31" t="s">
        <v>11</v>
      </c>
      <c r="C685" s="32"/>
      <c r="D685" s="32"/>
      <c r="E685" s="19" t="n">
        <f aca="false">+IF(C685="EQUIPO",F685,0)</f>
        <v>0</v>
      </c>
      <c r="F685" s="33" t="n">
        <v>0</v>
      </c>
      <c r="G685" s="35" t="n">
        <v>0</v>
      </c>
      <c r="H685" s="34" t="n">
        <f aca="false">+IF(E685=0,0,E685*0.03)</f>
        <v>0</v>
      </c>
    </row>
    <row r="686" customFormat="false" ht="15.75" hidden="false" customHeight="true" outlineLevel="0" collapsed="false">
      <c r="A686" s="30" t="n">
        <v>0</v>
      </c>
      <c r="B686" s="31" t="s">
        <v>11</v>
      </c>
      <c r="C686" s="32"/>
      <c r="D686" s="32"/>
      <c r="E686" s="19" t="n">
        <f aca="false">+IF(C686="EQUIPO",F686,0)</f>
        <v>0</v>
      </c>
      <c r="F686" s="33" t="n">
        <v>0</v>
      </c>
      <c r="G686" s="35" t="n">
        <v>0</v>
      </c>
      <c r="H686" s="34" t="n">
        <f aca="false">+IF(E686=0,0,E686*0.03)</f>
        <v>0</v>
      </c>
    </row>
    <row r="687" customFormat="false" ht="15.75" hidden="false" customHeight="true" outlineLevel="0" collapsed="false">
      <c r="A687" s="30" t="n">
        <v>0</v>
      </c>
      <c r="B687" s="31" t="s">
        <v>11</v>
      </c>
      <c r="C687" s="32"/>
      <c r="D687" s="32"/>
      <c r="E687" s="19" t="n">
        <f aca="false">+IF(C687="EQUIPO",F687,0)</f>
        <v>0</v>
      </c>
      <c r="F687" s="33" t="n">
        <v>0</v>
      </c>
      <c r="G687" s="35" t="n">
        <v>0</v>
      </c>
      <c r="H687" s="34" t="n">
        <f aca="false">+IF(E687=0,0,E687*0.03)</f>
        <v>0</v>
      </c>
    </row>
    <row r="688" customFormat="false" ht="15.75" hidden="false" customHeight="true" outlineLevel="0" collapsed="false">
      <c r="A688" s="30" t="n">
        <v>0</v>
      </c>
      <c r="B688" s="31" t="s">
        <v>11</v>
      </c>
      <c r="C688" s="32"/>
      <c r="D688" s="32"/>
      <c r="E688" s="19" t="n">
        <f aca="false">+IF(C688="EQUIPO",F688,0)</f>
        <v>0</v>
      </c>
      <c r="F688" s="33" t="n">
        <v>0</v>
      </c>
      <c r="G688" s="35" t="n">
        <v>0</v>
      </c>
      <c r="H688" s="34" t="n">
        <f aca="false">+IF(E688=0,0,E688*0.03)</f>
        <v>0</v>
      </c>
    </row>
    <row r="689" customFormat="false" ht="15.75" hidden="false" customHeight="true" outlineLevel="0" collapsed="false">
      <c r="A689" s="30" t="n">
        <v>0</v>
      </c>
      <c r="B689" s="31" t="s">
        <v>11</v>
      </c>
      <c r="C689" s="32"/>
      <c r="D689" s="32"/>
      <c r="E689" s="19" t="n">
        <f aca="false">+IF(C689="EQUIPO",F689,0)</f>
        <v>0</v>
      </c>
      <c r="F689" s="33" t="n">
        <v>0</v>
      </c>
      <c r="G689" s="35" t="n">
        <v>0</v>
      </c>
      <c r="H689" s="34" t="n">
        <f aca="false">+IF(E689=0,0,E689*0.03)</f>
        <v>0</v>
      </c>
    </row>
    <row r="690" customFormat="false" ht="15.75" hidden="false" customHeight="true" outlineLevel="0" collapsed="false">
      <c r="A690" s="30" t="n">
        <v>0</v>
      </c>
      <c r="B690" s="31" t="s">
        <v>11</v>
      </c>
      <c r="C690" s="32"/>
      <c r="D690" s="32"/>
      <c r="E690" s="19" t="n">
        <f aca="false">+IF(C690="EQUIPO",F690,0)</f>
        <v>0</v>
      </c>
      <c r="F690" s="33" t="n">
        <v>0</v>
      </c>
      <c r="G690" s="35" t="n">
        <v>0</v>
      </c>
      <c r="H690" s="34" t="n">
        <f aca="false">+IF(E690=0,0,E690*0.03)</f>
        <v>0</v>
      </c>
    </row>
    <row r="691" customFormat="false" ht="15.75" hidden="false" customHeight="true" outlineLevel="0" collapsed="false">
      <c r="A691" s="30" t="n">
        <v>0</v>
      </c>
      <c r="B691" s="31" t="s">
        <v>11</v>
      </c>
      <c r="C691" s="32"/>
      <c r="D691" s="32"/>
      <c r="E691" s="19" t="n">
        <f aca="false">+IF(C691="EQUIPO",F691,0)</f>
        <v>0</v>
      </c>
      <c r="F691" s="33" t="n">
        <v>0</v>
      </c>
      <c r="G691" s="35" t="n">
        <v>0</v>
      </c>
      <c r="H691" s="34" t="n">
        <f aca="false">+IF(E691=0,0,E691*0.03)</f>
        <v>0</v>
      </c>
    </row>
    <row r="692" customFormat="false" ht="15.75" hidden="false" customHeight="true" outlineLevel="0" collapsed="false">
      <c r="A692" s="30" t="n">
        <v>0</v>
      </c>
      <c r="B692" s="31" t="s">
        <v>11</v>
      </c>
      <c r="C692" s="32"/>
      <c r="D692" s="32"/>
      <c r="E692" s="19" t="n">
        <f aca="false">+IF(C692="EQUIPO",F692,0)</f>
        <v>0</v>
      </c>
      <c r="F692" s="33" t="n">
        <v>0</v>
      </c>
      <c r="G692" s="35" t="n">
        <v>0</v>
      </c>
      <c r="H692" s="34" t="n">
        <f aca="false">+IF(E692=0,0,E692*0.03)</f>
        <v>0</v>
      </c>
    </row>
    <row r="693" customFormat="false" ht="15.75" hidden="false" customHeight="true" outlineLevel="0" collapsed="false">
      <c r="A693" s="30" t="n">
        <v>0</v>
      </c>
      <c r="B693" s="31" t="s">
        <v>11</v>
      </c>
      <c r="C693" s="32"/>
      <c r="D693" s="32"/>
      <c r="E693" s="19" t="n">
        <f aca="false">+IF(C693="EQUIPO",F693,0)</f>
        <v>0</v>
      </c>
      <c r="F693" s="33" t="n">
        <v>0</v>
      </c>
      <c r="G693" s="35" t="n">
        <v>0</v>
      </c>
      <c r="H693" s="34" t="n">
        <f aca="false">+IF(E693=0,0,E693*0.03)</f>
        <v>0</v>
      </c>
    </row>
    <row r="694" customFormat="false" ht="15.75" hidden="false" customHeight="true" outlineLevel="0" collapsed="false">
      <c r="A694" s="30" t="n">
        <v>0</v>
      </c>
      <c r="B694" s="31" t="s">
        <v>11</v>
      </c>
      <c r="C694" s="32"/>
      <c r="D694" s="32"/>
      <c r="E694" s="19" t="n">
        <f aca="false">+IF(C694="EQUIPO",F694,0)</f>
        <v>0</v>
      </c>
      <c r="F694" s="33" t="n">
        <v>0</v>
      </c>
      <c r="G694" s="35" t="n">
        <v>0</v>
      </c>
      <c r="H694" s="34" t="n">
        <f aca="false">+IF(E694=0,0,E694*0.03)</f>
        <v>0</v>
      </c>
    </row>
    <row r="695" customFormat="false" ht="15.75" hidden="false" customHeight="true" outlineLevel="0" collapsed="false">
      <c r="A695" s="30" t="n">
        <v>0</v>
      </c>
      <c r="B695" s="31" t="s">
        <v>11</v>
      </c>
      <c r="C695" s="32"/>
      <c r="D695" s="32"/>
      <c r="E695" s="19" t="n">
        <f aca="false">+IF(C695="EQUIPO",F695,0)</f>
        <v>0</v>
      </c>
      <c r="F695" s="33" t="n">
        <v>0</v>
      </c>
      <c r="G695" s="35" t="n">
        <v>0</v>
      </c>
      <c r="H695" s="34" t="n">
        <f aca="false">+IF(E695=0,0,E695*0.03)</f>
        <v>0</v>
      </c>
    </row>
    <row r="696" customFormat="false" ht="15.75" hidden="false" customHeight="true" outlineLevel="0" collapsed="false">
      <c r="A696" s="30" t="n">
        <v>0</v>
      </c>
      <c r="B696" s="31" t="s">
        <v>11</v>
      </c>
      <c r="C696" s="32"/>
      <c r="D696" s="32"/>
      <c r="E696" s="19" t="n">
        <f aca="false">+IF(C696="EQUIPO",F696,0)</f>
        <v>0</v>
      </c>
      <c r="F696" s="33" t="n">
        <v>0</v>
      </c>
      <c r="G696" s="35" t="n">
        <v>0</v>
      </c>
      <c r="H696" s="34" t="n">
        <f aca="false">+IF(E696=0,0,E696*0.03)</f>
        <v>0</v>
      </c>
    </row>
    <row r="697" customFormat="false" ht="15.75" hidden="false" customHeight="true" outlineLevel="0" collapsed="false">
      <c r="A697" s="30" t="n">
        <v>0</v>
      </c>
      <c r="B697" s="31" t="s">
        <v>11</v>
      </c>
      <c r="C697" s="32"/>
      <c r="D697" s="32"/>
      <c r="E697" s="19" t="n">
        <f aca="false">+IF(C697="EQUIPO",F697,0)</f>
        <v>0</v>
      </c>
      <c r="F697" s="33" t="n">
        <v>0</v>
      </c>
      <c r="G697" s="35" t="n">
        <v>0</v>
      </c>
      <c r="H697" s="34" t="n">
        <f aca="false">+IF(E697=0,0,E697*0.03)</f>
        <v>0</v>
      </c>
    </row>
    <row r="698" customFormat="false" ht="15.75" hidden="false" customHeight="true" outlineLevel="0" collapsed="false">
      <c r="A698" s="30" t="n">
        <v>0</v>
      </c>
      <c r="B698" s="31" t="s">
        <v>11</v>
      </c>
      <c r="C698" s="32"/>
      <c r="D698" s="32"/>
      <c r="E698" s="19" t="n">
        <f aca="false">+IF(C698="EQUIPO",F698,0)</f>
        <v>0</v>
      </c>
      <c r="F698" s="33" t="n">
        <v>0</v>
      </c>
      <c r="G698" s="35" t="n">
        <v>0</v>
      </c>
      <c r="H698" s="34" t="n">
        <f aca="false">+IF(E698=0,0,E698*0.03)</f>
        <v>0</v>
      </c>
    </row>
    <row r="699" customFormat="false" ht="15.75" hidden="false" customHeight="true" outlineLevel="0" collapsed="false">
      <c r="A699" s="30" t="n">
        <v>0</v>
      </c>
      <c r="B699" s="31" t="s">
        <v>11</v>
      </c>
      <c r="C699" s="32"/>
      <c r="D699" s="32"/>
      <c r="E699" s="19" t="n">
        <f aca="false">+IF(C699="EQUIPO",F699,0)</f>
        <v>0</v>
      </c>
      <c r="F699" s="33" t="n">
        <v>0</v>
      </c>
      <c r="G699" s="35" t="n">
        <v>0</v>
      </c>
      <c r="H699" s="34" t="n">
        <f aca="false">+IF(E699=0,0,E699*0.03)</f>
        <v>0</v>
      </c>
    </row>
    <row r="700" customFormat="false" ht="15.75" hidden="false" customHeight="true" outlineLevel="0" collapsed="false">
      <c r="A700" s="30" t="n">
        <v>0</v>
      </c>
      <c r="B700" s="31" t="s">
        <v>11</v>
      </c>
      <c r="C700" s="32"/>
      <c r="D700" s="32"/>
      <c r="E700" s="19" t="n">
        <f aca="false">+IF(C700="EQUIPO",F700,0)</f>
        <v>0</v>
      </c>
      <c r="F700" s="33" t="n">
        <v>0</v>
      </c>
      <c r="G700" s="35" t="n">
        <v>0</v>
      </c>
      <c r="H700" s="34" t="n">
        <f aca="false">+IF(E700=0,0,E700*0.03)</f>
        <v>0</v>
      </c>
    </row>
    <row r="701" customFormat="false" ht="15.75" hidden="false" customHeight="true" outlineLevel="0" collapsed="false">
      <c r="A701" s="30" t="n">
        <v>0</v>
      </c>
      <c r="B701" s="31" t="s">
        <v>11</v>
      </c>
      <c r="C701" s="32"/>
      <c r="D701" s="32"/>
      <c r="E701" s="19" t="n">
        <f aca="false">+IF(C701="EQUIPO",F701,0)</f>
        <v>0</v>
      </c>
      <c r="F701" s="33" t="n">
        <v>0</v>
      </c>
      <c r="G701" s="35" t="n">
        <v>0</v>
      </c>
      <c r="H701" s="34" t="n">
        <f aca="false">+IF(E701=0,0,E701*0.03)</f>
        <v>0</v>
      </c>
    </row>
    <row r="702" customFormat="false" ht="15.75" hidden="false" customHeight="true" outlineLevel="0" collapsed="false">
      <c r="A702" s="30" t="n">
        <v>0</v>
      </c>
      <c r="B702" s="31" t="s">
        <v>11</v>
      </c>
      <c r="C702" s="32"/>
      <c r="D702" s="32"/>
      <c r="E702" s="19" t="n">
        <f aca="false">+IF(C702="EQUIPO",F702,0)</f>
        <v>0</v>
      </c>
      <c r="F702" s="33" t="n">
        <v>0</v>
      </c>
      <c r="G702" s="35" t="n">
        <v>0</v>
      </c>
      <c r="H702" s="34" t="n">
        <f aca="false">+IF(E702=0,0,E702*0.03)</f>
        <v>0</v>
      </c>
    </row>
    <row r="703" customFormat="false" ht="15.75" hidden="false" customHeight="true" outlineLevel="0" collapsed="false">
      <c r="A703" s="30" t="n">
        <v>0</v>
      </c>
      <c r="B703" s="31" t="s">
        <v>11</v>
      </c>
      <c r="C703" s="32"/>
      <c r="D703" s="32"/>
      <c r="E703" s="19" t="n">
        <f aca="false">+IF(C703="EQUIPO",F703,0)</f>
        <v>0</v>
      </c>
      <c r="F703" s="33" t="n">
        <v>0</v>
      </c>
      <c r="G703" s="35" t="n">
        <v>0</v>
      </c>
      <c r="H703" s="34" t="n">
        <f aca="false">+IF(E703=0,0,E703*0.03)</f>
        <v>0</v>
      </c>
    </row>
    <row r="704" customFormat="false" ht="15.75" hidden="false" customHeight="true" outlineLevel="0" collapsed="false">
      <c r="A704" s="30" t="n">
        <v>0</v>
      </c>
      <c r="B704" s="31" t="s">
        <v>11</v>
      </c>
      <c r="C704" s="32"/>
      <c r="D704" s="32"/>
      <c r="E704" s="19" t="n">
        <f aca="false">+IF(C704="EQUIPO",F704,0)</f>
        <v>0</v>
      </c>
      <c r="F704" s="33" t="n">
        <v>0</v>
      </c>
      <c r="G704" s="35" t="n">
        <v>0</v>
      </c>
      <c r="H704" s="34" t="n">
        <f aca="false">+IF(E704=0,0,E704*0.03)</f>
        <v>0</v>
      </c>
    </row>
    <row r="705" customFormat="false" ht="15.75" hidden="false" customHeight="true" outlineLevel="0" collapsed="false">
      <c r="A705" s="30" t="n">
        <v>0</v>
      </c>
      <c r="B705" s="31" t="s">
        <v>11</v>
      </c>
      <c r="C705" s="32"/>
      <c r="D705" s="32"/>
      <c r="E705" s="19" t="n">
        <f aca="false">+IF(C705="EQUIPO",F705,0)</f>
        <v>0</v>
      </c>
      <c r="F705" s="33" t="n">
        <v>0</v>
      </c>
      <c r="G705" s="35" t="n">
        <v>0</v>
      </c>
      <c r="H705" s="34" t="n">
        <f aca="false">+IF(E705=0,0,E705*0.03)</f>
        <v>0</v>
      </c>
    </row>
    <row r="706" customFormat="false" ht="15.75" hidden="false" customHeight="true" outlineLevel="0" collapsed="false">
      <c r="A706" s="30" t="n">
        <v>0</v>
      </c>
      <c r="B706" s="31" t="s">
        <v>11</v>
      </c>
      <c r="C706" s="32"/>
      <c r="D706" s="32"/>
      <c r="E706" s="19" t="n">
        <f aca="false">+IF(C706="EQUIPO",F706,0)</f>
        <v>0</v>
      </c>
      <c r="F706" s="33" t="n">
        <v>0</v>
      </c>
      <c r="G706" s="35" t="n">
        <v>0</v>
      </c>
      <c r="H706" s="34" t="n">
        <f aca="false">+IF(E706=0,0,E706*0.03)</f>
        <v>0</v>
      </c>
    </row>
    <row r="707" customFormat="false" ht="15.75" hidden="false" customHeight="true" outlineLevel="0" collapsed="false">
      <c r="A707" s="30" t="n">
        <v>0</v>
      </c>
      <c r="B707" s="31" t="s">
        <v>11</v>
      </c>
      <c r="C707" s="32"/>
      <c r="D707" s="32"/>
      <c r="E707" s="19" t="n">
        <f aca="false">+IF(C707="EQUIPO",F707,0)</f>
        <v>0</v>
      </c>
      <c r="F707" s="33" t="n">
        <v>0</v>
      </c>
      <c r="G707" s="35" t="n">
        <v>0</v>
      </c>
      <c r="H707" s="34" t="n">
        <f aca="false">+IF(E707=0,0,E707*0.03)</f>
        <v>0</v>
      </c>
    </row>
    <row r="708" customFormat="false" ht="15.75" hidden="false" customHeight="true" outlineLevel="0" collapsed="false">
      <c r="A708" s="30" t="n">
        <v>0</v>
      </c>
      <c r="B708" s="31" t="s">
        <v>11</v>
      </c>
      <c r="C708" s="32"/>
      <c r="D708" s="32"/>
      <c r="E708" s="19" t="n">
        <f aca="false">+IF(C708="EQUIPO",F708,0)</f>
        <v>0</v>
      </c>
      <c r="F708" s="33" t="n">
        <v>0</v>
      </c>
      <c r="G708" s="35" t="n">
        <v>0</v>
      </c>
      <c r="H708" s="34" t="n">
        <f aca="false">+IF(E708=0,0,E708*0.03)</f>
        <v>0</v>
      </c>
    </row>
    <row r="709" customFormat="false" ht="15.75" hidden="false" customHeight="true" outlineLevel="0" collapsed="false">
      <c r="A709" s="30" t="n">
        <v>0</v>
      </c>
      <c r="B709" s="31" t="s">
        <v>11</v>
      </c>
      <c r="C709" s="32"/>
      <c r="D709" s="32"/>
      <c r="E709" s="19" t="n">
        <f aca="false">+IF(C709="EQUIPO",F709,0)</f>
        <v>0</v>
      </c>
      <c r="F709" s="33" t="n">
        <v>0</v>
      </c>
      <c r="G709" s="35" t="n">
        <v>0</v>
      </c>
      <c r="H709" s="34" t="n">
        <f aca="false">+IF(E709=0,0,E709*0.03)</f>
        <v>0</v>
      </c>
    </row>
    <row r="710" customFormat="false" ht="15.75" hidden="false" customHeight="true" outlineLevel="0" collapsed="false">
      <c r="A710" s="30" t="n">
        <v>0</v>
      </c>
      <c r="B710" s="31" t="s">
        <v>11</v>
      </c>
      <c r="C710" s="32"/>
      <c r="D710" s="32"/>
      <c r="E710" s="19" t="n">
        <f aca="false">+IF(C710="EQUIPO",F710,0)</f>
        <v>0</v>
      </c>
      <c r="F710" s="33" t="n">
        <v>0</v>
      </c>
      <c r="G710" s="35" t="n">
        <v>0</v>
      </c>
      <c r="H710" s="34" t="n">
        <f aca="false">+IF(E710=0,0,E710*0.03)</f>
        <v>0</v>
      </c>
    </row>
    <row r="711" customFormat="false" ht="15.75" hidden="false" customHeight="true" outlineLevel="0" collapsed="false">
      <c r="A711" s="30" t="n">
        <v>0</v>
      </c>
      <c r="B711" s="31" t="s">
        <v>11</v>
      </c>
      <c r="C711" s="32"/>
      <c r="D711" s="32"/>
      <c r="E711" s="19" t="n">
        <f aca="false">+IF(C711="EQUIPO",F711,0)</f>
        <v>0</v>
      </c>
      <c r="F711" s="33" t="n">
        <v>0</v>
      </c>
      <c r="G711" s="35" t="n">
        <v>0</v>
      </c>
      <c r="H711" s="34" t="n">
        <f aca="false">+IF(E711=0,0,E711*0.03)</f>
        <v>0</v>
      </c>
    </row>
    <row r="712" customFormat="false" ht="15.75" hidden="false" customHeight="true" outlineLevel="0" collapsed="false">
      <c r="A712" s="30" t="n">
        <v>0</v>
      </c>
      <c r="B712" s="31" t="s">
        <v>11</v>
      </c>
      <c r="C712" s="32"/>
      <c r="D712" s="32"/>
      <c r="E712" s="19" t="n">
        <f aca="false">+IF(C712="EQUIPO",F712,0)</f>
        <v>0</v>
      </c>
      <c r="F712" s="33" t="n">
        <v>0</v>
      </c>
      <c r="G712" s="35" t="n">
        <v>0</v>
      </c>
      <c r="H712" s="34" t="n">
        <f aca="false">+IF(E712=0,0,E712*0.03)</f>
        <v>0</v>
      </c>
    </row>
    <row r="713" customFormat="false" ht="15.75" hidden="false" customHeight="true" outlineLevel="0" collapsed="false">
      <c r="A713" s="30" t="n">
        <v>0</v>
      </c>
      <c r="B713" s="31" t="s">
        <v>11</v>
      </c>
      <c r="C713" s="32"/>
      <c r="D713" s="32"/>
      <c r="E713" s="19" t="n">
        <f aca="false">+IF(C713="EQUIPO",F713,0)</f>
        <v>0</v>
      </c>
      <c r="F713" s="33" t="n">
        <v>0</v>
      </c>
      <c r="G713" s="35" t="n">
        <v>0</v>
      </c>
      <c r="H713" s="34" t="n">
        <f aca="false">+IF(E713=0,0,E713*0.03)</f>
        <v>0</v>
      </c>
    </row>
    <row r="714" customFormat="false" ht="15.75" hidden="false" customHeight="true" outlineLevel="0" collapsed="false">
      <c r="A714" s="30" t="n">
        <v>0</v>
      </c>
      <c r="B714" s="31" t="s">
        <v>11</v>
      </c>
      <c r="C714" s="32"/>
      <c r="D714" s="32"/>
      <c r="E714" s="19" t="n">
        <f aca="false">+IF(C714="EQUIPO",F714,0)</f>
        <v>0</v>
      </c>
      <c r="F714" s="33" t="n">
        <v>0</v>
      </c>
      <c r="G714" s="35" t="n">
        <v>0</v>
      </c>
      <c r="H714" s="34" t="n">
        <f aca="false">+IF(E714=0,0,E714*0.03)</f>
        <v>0</v>
      </c>
    </row>
    <row r="715" customFormat="false" ht="15.75" hidden="false" customHeight="true" outlineLevel="0" collapsed="false">
      <c r="A715" s="30" t="n">
        <v>0</v>
      </c>
      <c r="B715" s="31" t="s">
        <v>11</v>
      </c>
      <c r="C715" s="32"/>
      <c r="D715" s="32"/>
      <c r="E715" s="19" t="n">
        <f aca="false">+IF(C715="EQUIPO",F715,0)</f>
        <v>0</v>
      </c>
      <c r="F715" s="33" t="n">
        <v>0</v>
      </c>
      <c r="G715" s="35" t="n">
        <v>0</v>
      </c>
      <c r="H715" s="34" t="n">
        <f aca="false">+IF(E715=0,0,E715*0.03)</f>
        <v>0</v>
      </c>
    </row>
    <row r="716" customFormat="false" ht="15.75" hidden="false" customHeight="true" outlineLevel="0" collapsed="false">
      <c r="A716" s="30" t="n">
        <v>0</v>
      </c>
      <c r="B716" s="31" t="s">
        <v>11</v>
      </c>
      <c r="C716" s="32"/>
      <c r="D716" s="32"/>
      <c r="E716" s="19" t="n">
        <f aca="false">+IF(C716="EQUIPO",F716,0)</f>
        <v>0</v>
      </c>
      <c r="F716" s="33" t="n">
        <v>0</v>
      </c>
      <c r="G716" s="35" t="n">
        <v>0</v>
      </c>
      <c r="H716" s="34" t="n">
        <f aca="false">+IF(E716=0,0,E716*0.03)</f>
        <v>0</v>
      </c>
    </row>
    <row r="717" customFormat="false" ht="15.75" hidden="false" customHeight="true" outlineLevel="0" collapsed="false">
      <c r="A717" s="30" t="n">
        <v>0</v>
      </c>
      <c r="B717" s="31" t="s">
        <v>11</v>
      </c>
      <c r="C717" s="32"/>
      <c r="D717" s="32"/>
      <c r="E717" s="19" t="n">
        <f aca="false">+IF(C717="EQUIPO",F717,0)</f>
        <v>0</v>
      </c>
      <c r="F717" s="33" t="n">
        <v>0</v>
      </c>
      <c r="G717" s="35" t="n">
        <v>0</v>
      </c>
      <c r="H717" s="34" t="n">
        <f aca="false">+IF(E717=0,0,E717*0.03)</f>
        <v>0</v>
      </c>
    </row>
    <row r="718" customFormat="false" ht="15.75" hidden="false" customHeight="true" outlineLevel="0" collapsed="false">
      <c r="A718" s="30" t="n">
        <v>0</v>
      </c>
      <c r="B718" s="31" t="s">
        <v>11</v>
      </c>
      <c r="C718" s="32"/>
      <c r="D718" s="32"/>
      <c r="E718" s="19" t="n">
        <f aca="false">+IF(C718="EQUIPO",F718,0)</f>
        <v>0</v>
      </c>
      <c r="F718" s="33" t="n">
        <v>0</v>
      </c>
      <c r="G718" s="35" t="n">
        <v>0</v>
      </c>
      <c r="H718" s="34" t="n">
        <f aca="false">+IF(E718=0,0,E718*0.03)</f>
        <v>0</v>
      </c>
    </row>
    <row r="719" customFormat="false" ht="15.75" hidden="false" customHeight="true" outlineLevel="0" collapsed="false">
      <c r="A719" s="30" t="n">
        <v>0</v>
      </c>
      <c r="B719" s="31" t="s">
        <v>11</v>
      </c>
      <c r="C719" s="32"/>
      <c r="D719" s="32"/>
      <c r="E719" s="19" t="n">
        <f aca="false">+IF(C719="EQUIPO",F719,0)</f>
        <v>0</v>
      </c>
      <c r="F719" s="33" t="n">
        <v>0</v>
      </c>
      <c r="G719" s="35" t="n">
        <v>0</v>
      </c>
      <c r="H719" s="34" t="n">
        <f aca="false">+IF(E719=0,0,E719*0.03)</f>
        <v>0</v>
      </c>
    </row>
    <row r="720" customFormat="false" ht="15.75" hidden="false" customHeight="true" outlineLevel="0" collapsed="false">
      <c r="A720" s="30" t="n">
        <v>0</v>
      </c>
      <c r="B720" s="31" t="s">
        <v>11</v>
      </c>
      <c r="C720" s="32"/>
      <c r="D720" s="32"/>
      <c r="E720" s="19" t="n">
        <f aca="false">+IF(C720="EQUIPO",F720,0)</f>
        <v>0</v>
      </c>
      <c r="F720" s="33" t="n">
        <v>0</v>
      </c>
      <c r="G720" s="35" t="n">
        <v>0</v>
      </c>
      <c r="H720" s="34" t="n">
        <f aca="false">+IF(E720=0,0,E720*0.03)</f>
        <v>0</v>
      </c>
    </row>
    <row r="721" customFormat="false" ht="15.75" hidden="false" customHeight="true" outlineLevel="0" collapsed="false">
      <c r="A721" s="30" t="n">
        <v>0</v>
      </c>
      <c r="B721" s="31" t="s">
        <v>11</v>
      </c>
      <c r="C721" s="32"/>
      <c r="D721" s="32"/>
      <c r="E721" s="19" t="n">
        <f aca="false">+IF(C721="EQUIPO",F721,0)</f>
        <v>0</v>
      </c>
      <c r="F721" s="33" t="n">
        <v>0</v>
      </c>
      <c r="G721" s="35" t="n">
        <v>0</v>
      </c>
      <c r="H721" s="34" t="n">
        <f aca="false">+IF(E721=0,0,E721*0.03)</f>
        <v>0</v>
      </c>
    </row>
    <row r="722" customFormat="false" ht="15.75" hidden="false" customHeight="true" outlineLevel="0" collapsed="false">
      <c r="A722" s="30" t="n">
        <v>0</v>
      </c>
      <c r="B722" s="31" t="s">
        <v>11</v>
      </c>
      <c r="C722" s="32"/>
      <c r="D722" s="32"/>
      <c r="E722" s="19" t="n">
        <f aca="false">+IF(C722="EQUIPO",F722,0)</f>
        <v>0</v>
      </c>
      <c r="F722" s="33" t="n">
        <v>0</v>
      </c>
      <c r="G722" s="35" t="n">
        <v>0</v>
      </c>
      <c r="H722" s="34" t="n">
        <f aca="false">+IF(E722=0,0,E722*0.03)</f>
        <v>0</v>
      </c>
    </row>
    <row r="723" customFormat="false" ht="15.75" hidden="false" customHeight="true" outlineLevel="0" collapsed="false">
      <c r="A723" s="30" t="n">
        <v>0</v>
      </c>
      <c r="B723" s="31" t="s">
        <v>11</v>
      </c>
      <c r="C723" s="32"/>
      <c r="D723" s="32"/>
      <c r="E723" s="19" t="n">
        <f aca="false">+IF(C723="EQUIPO",F723,0)</f>
        <v>0</v>
      </c>
      <c r="F723" s="33" t="n">
        <v>0</v>
      </c>
      <c r="G723" s="35" t="n">
        <v>0</v>
      </c>
      <c r="H723" s="34" t="n">
        <f aca="false">+IF(E723=0,0,E723*0.03)</f>
        <v>0</v>
      </c>
    </row>
    <row r="724" customFormat="false" ht="15.75" hidden="false" customHeight="true" outlineLevel="0" collapsed="false">
      <c r="A724" s="30" t="n">
        <v>0</v>
      </c>
      <c r="B724" s="31" t="s">
        <v>11</v>
      </c>
      <c r="C724" s="32"/>
      <c r="D724" s="32"/>
      <c r="E724" s="19" t="n">
        <f aca="false">+IF(C724="EQUIPO",F724,0)</f>
        <v>0</v>
      </c>
      <c r="F724" s="33" t="n">
        <v>0</v>
      </c>
      <c r="G724" s="35" t="n">
        <v>0</v>
      </c>
      <c r="H724" s="34" t="n">
        <f aca="false">+IF(E724=0,0,E724*0.03)</f>
        <v>0</v>
      </c>
    </row>
    <row r="725" customFormat="false" ht="15.75" hidden="false" customHeight="true" outlineLevel="0" collapsed="false">
      <c r="A725" s="30" t="n">
        <v>0</v>
      </c>
      <c r="B725" s="31" t="s">
        <v>11</v>
      </c>
      <c r="C725" s="32"/>
      <c r="D725" s="32"/>
      <c r="E725" s="19" t="n">
        <f aca="false">+IF(C725="EQUIPO",F725,0)</f>
        <v>0</v>
      </c>
      <c r="F725" s="33" t="n">
        <v>0</v>
      </c>
      <c r="G725" s="35" t="n">
        <v>0</v>
      </c>
      <c r="H725" s="34" t="n">
        <f aca="false">+IF(E725=0,0,E725*0.03)</f>
        <v>0</v>
      </c>
    </row>
    <row r="726" customFormat="false" ht="15.75" hidden="false" customHeight="true" outlineLevel="0" collapsed="false">
      <c r="A726" s="30" t="n">
        <v>0</v>
      </c>
      <c r="B726" s="31" t="s">
        <v>11</v>
      </c>
      <c r="C726" s="32"/>
      <c r="D726" s="32"/>
      <c r="E726" s="19" t="n">
        <f aca="false">+IF(C726="EQUIPO",F726,0)</f>
        <v>0</v>
      </c>
      <c r="F726" s="33" t="n">
        <v>0</v>
      </c>
      <c r="G726" s="35" t="n">
        <v>0</v>
      </c>
      <c r="H726" s="34" t="n">
        <f aca="false">+IF(E726=0,0,E726*0.03)</f>
        <v>0</v>
      </c>
    </row>
    <row r="727" customFormat="false" ht="15.75" hidden="false" customHeight="true" outlineLevel="0" collapsed="false">
      <c r="A727" s="30" t="n">
        <v>0</v>
      </c>
      <c r="B727" s="31" t="s">
        <v>11</v>
      </c>
      <c r="C727" s="32"/>
      <c r="D727" s="32"/>
      <c r="E727" s="19" t="n">
        <f aca="false">+IF(C727="EQUIPO",F727,0)</f>
        <v>0</v>
      </c>
      <c r="F727" s="33" t="n">
        <v>0</v>
      </c>
      <c r="G727" s="35" t="n">
        <v>0</v>
      </c>
      <c r="H727" s="34" t="n">
        <f aca="false">+IF(E727=0,0,E727*0.03)</f>
        <v>0</v>
      </c>
    </row>
    <row r="728" customFormat="false" ht="15.75" hidden="false" customHeight="true" outlineLevel="0" collapsed="false">
      <c r="A728" s="30" t="n">
        <v>0</v>
      </c>
      <c r="B728" s="31" t="s">
        <v>11</v>
      </c>
      <c r="C728" s="32"/>
      <c r="D728" s="32"/>
      <c r="E728" s="19" t="n">
        <f aca="false">+IF(C728="EQUIPO",F728,0)</f>
        <v>0</v>
      </c>
      <c r="F728" s="33" t="n">
        <v>0</v>
      </c>
      <c r="G728" s="35" t="n">
        <v>0</v>
      </c>
      <c r="H728" s="34" t="n">
        <f aca="false">+IF(E728=0,0,E728*0.03)</f>
        <v>0</v>
      </c>
    </row>
    <row r="729" customFormat="false" ht="15.75" hidden="false" customHeight="true" outlineLevel="0" collapsed="false">
      <c r="A729" s="30" t="n">
        <v>0</v>
      </c>
      <c r="B729" s="31" t="s">
        <v>11</v>
      </c>
      <c r="C729" s="32"/>
      <c r="D729" s="32"/>
      <c r="E729" s="19" t="n">
        <f aca="false">+IF(C729="EQUIPO",F729,0)</f>
        <v>0</v>
      </c>
      <c r="F729" s="33" t="n">
        <v>0</v>
      </c>
      <c r="G729" s="35" t="n">
        <v>0</v>
      </c>
      <c r="H729" s="34" t="n">
        <f aca="false">+IF(E729=0,0,E729*0.03)</f>
        <v>0</v>
      </c>
    </row>
    <row r="730" customFormat="false" ht="15.75" hidden="false" customHeight="true" outlineLevel="0" collapsed="false">
      <c r="A730" s="30" t="n">
        <v>0</v>
      </c>
      <c r="B730" s="31" t="s">
        <v>11</v>
      </c>
      <c r="C730" s="32"/>
      <c r="D730" s="32"/>
      <c r="E730" s="19" t="n">
        <f aca="false">+IF(C730="EQUIPO",F730,0)</f>
        <v>0</v>
      </c>
      <c r="F730" s="33" t="n">
        <v>0</v>
      </c>
      <c r="G730" s="35" t="n">
        <v>0</v>
      </c>
      <c r="H730" s="34" t="n">
        <f aca="false">+IF(E730=0,0,E730*0.03)</f>
        <v>0</v>
      </c>
    </row>
    <row r="731" customFormat="false" ht="15.75" hidden="false" customHeight="true" outlineLevel="0" collapsed="false">
      <c r="A731" s="30" t="n">
        <v>0</v>
      </c>
      <c r="B731" s="31" t="s">
        <v>11</v>
      </c>
      <c r="C731" s="32"/>
      <c r="D731" s="32"/>
      <c r="E731" s="19" t="n">
        <f aca="false">+IF(C731="EQUIPO",F731,0)</f>
        <v>0</v>
      </c>
      <c r="F731" s="33" t="n">
        <v>0</v>
      </c>
      <c r="G731" s="35" t="n">
        <v>0</v>
      </c>
      <c r="H731" s="34" t="n">
        <f aca="false">+IF(E731=0,0,E731*0.03)</f>
        <v>0</v>
      </c>
    </row>
    <row r="732" customFormat="false" ht="15.75" hidden="false" customHeight="true" outlineLevel="0" collapsed="false">
      <c r="A732" s="30" t="n">
        <v>0</v>
      </c>
      <c r="B732" s="31" t="s">
        <v>11</v>
      </c>
      <c r="C732" s="32"/>
      <c r="D732" s="32"/>
      <c r="E732" s="19" t="n">
        <f aca="false">+IF(C732="EQUIPO",F732,0)</f>
        <v>0</v>
      </c>
      <c r="F732" s="33" t="n">
        <v>0</v>
      </c>
      <c r="G732" s="35" t="n">
        <v>0</v>
      </c>
      <c r="H732" s="34" t="n">
        <f aca="false">+IF(E732=0,0,E732*0.03)</f>
        <v>0</v>
      </c>
    </row>
    <row r="733" customFormat="false" ht="15.75" hidden="false" customHeight="true" outlineLevel="0" collapsed="false">
      <c r="A733" s="30" t="n">
        <v>0</v>
      </c>
      <c r="B733" s="31" t="s">
        <v>11</v>
      </c>
      <c r="C733" s="32"/>
      <c r="D733" s="32"/>
      <c r="E733" s="19" t="n">
        <f aca="false">+IF(C733="EQUIPO",F733,0)</f>
        <v>0</v>
      </c>
      <c r="F733" s="33" t="n">
        <v>0</v>
      </c>
      <c r="G733" s="35" t="n">
        <v>0</v>
      </c>
      <c r="H733" s="34" t="n">
        <f aca="false">+IF(E733=0,0,E733*0.03)</f>
        <v>0</v>
      </c>
    </row>
    <row r="734" customFormat="false" ht="15.75" hidden="false" customHeight="true" outlineLevel="0" collapsed="false">
      <c r="A734" s="30" t="n">
        <v>0</v>
      </c>
      <c r="B734" s="31" t="s">
        <v>11</v>
      </c>
      <c r="C734" s="32"/>
      <c r="D734" s="32"/>
      <c r="E734" s="19" t="n">
        <f aca="false">+IF(C734="EQUIPO",F734,0)</f>
        <v>0</v>
      </c>
      <c r="F734" s="33" t="n">
        <v>0</v>
      </c>
      <c r="G734" s="35" t="n">
        <v>0</v>
      </c>
      <c r="H734" s="34" t="n">
        <f aca="false">+IF(E734=0,0,E734*0.03)</f>
        <v>0</v>
      </c>
    </row>
    <row r="735" customFormat="false" ht="15.75" hidden="false" customHeight="true" outlineLevel="0" collapsed="false">
      <c r="A735" s="30" t="n">
        <v>0</v>
      </c>
      <c r="B735" s="31" t="s">
        <v>11</v>
      </c>
      <c r="C735" s="32"/>
      <c r="D735" s="32"/>
      <c r="E735" s="19" t="n">
        <f aca="false">+IF(C735="EQUIPO",F735,0)</f>
        <v>0</v>
      </c>
      <c r="F735" s="33" t="n">
        <v>0</v>
      </c>
      <c r="G735" s="35" t="n">
        <v>0</v>
      </c>
      <c r="H735" s="34" t="n">
        <f aca="false">+IF(E735=0,0,E735*0.03)</f>
        <v>0</v>
      </c>
    </row>
    <row r="736" customFormat="false" ht="15.75" hidden="false" customHeight="true" outlineLevel="0" collapsed="false">
      <c r="A736" s="30" t="n">
        <v>0</v>
      </c>
      <c r="B736" s="31" t="s">
        <v>11</v>
      </c>
      <c r="C736" s="32"/>
      <c r="D736" s="32"/>
      <c r="E736" s="19" t="n">
        <f aca="false">+IF(C736="EQUIPO",F736,0)</f>
        <v>0</v>
      </c>
      <c r="F736" s="33" t="n">
        <v>0</v>
      </c>
      <c r="G736" s="35" t="n">
        <v>0</v>
      </c>
      <c r="H736" s="34" t="n">
        <f aca="false">+IF(E736=0,0,E736*0.03)</f>
        <v>0</v>
      </c>
    </row>
    <row r="737" customFormat="false" ht="15.75" hidden="false" customHeight="true" outlineLevel="0" collapsed="false">
      <c r="A737" s="30" t="n">
        <v>0</v>
      </c>
      <c r="B737" s="31" t="s">
        <v>11</v>
      </c>
      <c r="C737" s="32"/>
      <c r="D737" s="32"/>
      <c r="E737" s="19" t="n">
        <f aca="false">+IF(C737="EQUIPO",F737,0)</f>
        <v>0</v>
      </c>
      <c r="F737" s="33" t="n">
        <v>0</v>
      </c>
      <c r="G737" s="35" t="n">
        <v>0</v>
      </c>
      <c r="H737" s="34" t="n">
        <f aca="false">+IF(E737=0,0,E737*0.03)</f>
        <v>0</v>
      </c>
    </row>
    <row r="738" customFormat="false" ht="15.75" hidden="false" customHeight="true" outlineLevel="0" collapsed="false">
      <c r="A738" s="30" t="n">
        <v>0</v>
      </c>
      <c r="B738" s="31" t="s">
        <v>11</v>
      </c>
      <c r="C738" s="32"/>
      <c r="D738" s="32"/>
      <c r="E738" s="19" t="n">
        <f aca="false">+IF(C738="EQUIPO",F738,0)</f>
        <v>0</v>
      </c>
      <c r="F738" s="33" t="n">
        <v>0</v>
      </c>
      <c r="G738" s="35" t="n">
        <v>0</v>
      </c>
      <c r="H738" s="34" t="n">
        <f aca="false">+IF(E738=0,0,E738*0.03)</f>
        <v>0</v>
      </c>
    </row>
    <row r="739" customFormat="false" ht="15.75" hidden="false" customHeight="true" outlineLevel="0" collapsed="false">
      <c r="A739" s="30" t="n">
        <v>0</v>
      </c>
      <c r="B739" s="31" t="s">
        <v>11</v>
      </c>
      <c r="C739" s="32"/>
      <c r="D739" s="32"/>
      <c r="E739" s="19" t="n">
        <f aca="false">+IF(C739="EQUIPO",F739,0)</f>
        <v>0</v>
      </c>
      <c r="F739" s="33" t="n">
        <v>0</v>
      </c>
      <c r="G739" s="35" t="n">
        <v>0</v>
      </c>
      <c r="H739" s="34" t="n">
        <f aca="false">+IF(E739=0,0,E739*0.03)</f>
        <v>0</v>
      </c>
    </row>
    <row r="740" customFormat="false" ht="15.75" hidden="false" customHeight="true" outlineLevel="0" collapsed="false">
      <c r="A740" s="30" t="n">
        <v>0</v>
      </c>
      <c r="B740" s="31" t="s">
        <v>11</v>
      </c>
      <c r="C740" s="32"/>
      <c r="D740" s="32"/>
      <c r="E740" s="19" t="n">
        <f aca="false">+IF(C740="EQUIPO",F740,0)</f>
        <v>0</v>
      </c>
      <c r="F740" s="33" t="n">
        <v>0</v>
      </c>
      <c r="G740" s="35" t="n">
        <v>0</v>
      </c>
      <c r="H740" s="34" t="n">
        <f aca="false">+IF(E740=0,0,E740*0.03)</f>
        <v>0</v>
      </c>
    </row>
    <row r="741" customFormat="false" ht="15.75" hidden="false" customHeight="true" outlineLevel="0" collapsed="false">
      <c r="A741" s="30" t="n">
        <v>0</v>
      </c>
      <c r="B741" s="31" t="s">
        <v>11</v>
      </c>
      <c r="C741" s="32"/>
      <c r="D741" s="32"/>
      <c r="E741" s="19" t="n">
        <f aca="false">+IF(C741="EQUIPO",F741,0)</f>
        <v>0</v>
      </c>
      <c r="F741" s="33" t="n">
        <v>0</v>
      </c>
      <c r="G741" s="35" t="n">
        <v>0</v>
      </c>
      <c r="H741" s="34" t="n">
        <f aca="false">+IF(E741=0,0,E741*0.03)</f>
        <v>0</v>
      </c>
    </row>
    <row r="742" customFormat="false" ht="15.75" hidden="false" customHeight="true" outlineLevel="0" collapsed="false">
      <c r="A742" s="30" t="n">
        <v>0</v>
      </c>
      <c r="B742" s="31" t="s">
        <v>11</v>
      </c>
      <c r="C742" s="32"/>
      <c r="D742" s="32"/>
      <c r="E742" s="19" t="n">
        <f aca="false">+IF(C742="EQUIPO",F742,0)</f>
        <v>0</v>
      </c>
      <c r="F742" s="33" t="n">
        <v>0</v>
      </c>
      <c r="G742" s="35" t="n">
        <v>0</v>
      </c>
      <c r="H742" s="34" t="n">
        <f aca="false">+IF(E742=0,0,E742*0.03)</f>
        <v>0</v>
      </c>
    </row>
    <row r="743" customFormat="false" ht="15.75" hidden="false" customHeight="true" outlineLevel="0" collapsed="false">
      <c r="A743" s="30" t="n">
        <v>0</v>
      </c>
      <c r="B743" s="31" t="s">
        <v>11</v>
      </c>
      <c r="C743" s="32"/>
      <c r="D743" s="32"/>
      <c r="E743" s="19" t="n">
        <f aca="false">+IF(C743="EQUIPO",F743,0)</f>
        <v>0</v>
      </c>
      <c r="F743" s="33" t="n">
        <v>0</v>
      </c>
      <c r="G743" s="35" t="n">
        <v>0</v>
      </c>
      <c r="H743" s="34" t="n">
        <f aca="false">+IF(E743=0,0,E743*0.03)</f>
        <v>0</v>
      </c>
    </row>
    <row r="744" customFormat="false" ht="15.75" hidden="false" customHeight="true" outlineLevel="0" collapsed="false">
      <c r="A744" s="30" t="n">
        <v>0</v>
      </c>
      <c r="B744" s="31" t="s">
        <v>11</v>
      </c>
      <c r="C744" s="32"/>
      <c r="D744" s="32"/>
      <c r="E744" s="19" t="n">
        <f aca="false">+IF(C744="EQUIPO",F744,0)</f>
        <v>0</v>
      </c>
      <c r="F744" s="33" t="n">
        <v>0</v>
      </c>
      <c r="G744" s="35" t="n">
        <v>0</v>
      </c>
      <c r="H744" s="34" t="n">
        <f aca="false">+IF(E744=0,0,E744*0.03)</f>
        <v>0</v>
      </c>
    </row>
    <row r="745" customFormat="false" ht="15.75" hidden="false" customHeight="true" outlineLevel="0" collapsed="false">
      <c r="A745" s="30" t="n">
        <v>0</v>
      </c>
      <c r="B745" s="31" t="s">
        <v>11</v>
      </c>
      <c r="C745" s="32"/>
      <c r="D745" s="32"/>
      <c r="E745" s="19" t="n">
        <f aca="false">+IF(C745="EQUIPO",F745,0)</f>
        <v>0</v>
      </c>
      <c r="F745" s="33" t="n">
        <v>0</v>
      </c>
      <c r="G745" s="35" t="n">
        <v>0</v>
      </c>
      <c r="H745" s="34" t="n">
        <f aca="false">+IF(E745=0,0,E745*0.03)</f>
        <v>0</v>
      </c>
    </row>
    <row r="746" customFormat="false" ht="15.75" hidden="false" customHeight="true" outlineLevel="0" collapsed="false">
      <c r="A746" s="30" t="n">
        <v>0</v>
      </c>
      <c r="B746" s="31" t="s">
        <v>11</v>
      </c>
      <c r="C746" s="32"/>
      <c r="D746" s="32"/>
      <c r="E746" s="19" t="n">
        <f aca="false">+IF(C746="EQUIPO",F746,0)</f>
        <v>0</v>
      </c>
      <c r="F746" s="33" t="n">
        <v>0</v>
      </c>
      <c r="G746" s="35" t="n">
        <v>0</v>
      </c>
      <c r="H746" s="34" t="n">
        <f aca="false">+IF(E746=0,0,E746*0.03)</f>
        <v>0</v>
      </c>
    </row>
    <row r="747" customFormat="false" ht="15.75" hidden="false" customHeight="true" outlineLevel="0" collapsed="false">
      <c r="A747" s="30" t="n">
        <v>0</v>
      </c>
      <c r="B747" s="31" t="s">
        <v>11</v>
      </c>
      <c r="C747" s="32"/>
      <c r="D747" s="32"/>
      <c r="E747" s="19" t="n">
        <f aca="false">+IF(C747="EQUIPO",F747,0)</f>
        <v>0</v>
      </c>
      <c r="F747" s="33" t="n">
        <v>0</v>
      </c>
      <c r="G747" s="35" t="n">
        <v>0</v>
      </c>
      <c r="H747" s="34" t="n">
        <f aca="false">+IF(E747=0,0,E747*0.03)</f>
        <v>0</v>
      </c>
    </row>
    <row r="748" customFormat="false" ht="15.75" hidden="false" customHeight="true" outlineLevel="0" collapsed="false">
      <c r="A748" s="30" t="n">
        <v>0</v>
      </c>
      <c r="B748" s="31" t="s">
        <v>11</v>
      </c>
      <c r="C748" s="32"/>
      <c r="D748" s="32"/>
      <c r="E748" s="19" t="n">
        <f aca="false">+IF(C748="EQUIPO",F748,0)</f>
        <v>0</v>
      </c>
      <c r="F748" s="33" t="n">
        <v>0</v>
      </c>
      <c r="G748" s="35" t="n">
        <v>0</v>
      </c>
      <c r="H748" s="34" t="n">
        <f aca="false">+IF(E748=0,0,E748*0.03)</f>
        <v>0</v>
      </c>
    </row>
    <row r="749" customFormat="false" ht="15.75" hidden="false" customHeight="true" outlineLevel="0" collapsed="false">
      <c r="A749" s="30" t="n">
        <v>0</v>
      </c>
      <c r="B749" s="31" t="s">
        <v>11</v>
      </c>
      <c r="C749" s="32"/>
      <c r="D749" s="32"/>
      <c r="E749" s="19" t="n">
        <f aca="false">+IF(C749="EQUIPO",F749,0)</f>
        <v>0</v>
      </c>
      <c r="F749" s="33" t="n">
        <v>0</v>
      </c>
      <c r="G749" s="35" t="n">
        <v>0</v>
      </c>
      <c r="H749" s="34" t="n">
        <f aca="false">+IF(E749=0,0,E749*0.03)</f>
        <v>0</v>
      </c>
    </row>
    <row r="750" customFormat="false" ht="15.75" hidden="false" customHeight="true" outlineLevel="0" collapsed="false">
      <c r="A750" s="30" t="n">
        <v>0</v>
      </c>
      <c r="B750" s="31" t="s">
        <v>11</v>
      </c>
      <c r="C750" s="32"/>
      <c r="D750" s="32"/>
      <c r="E750" s="19" t="n">
        <f aca="false">+IF(C750="EQUIPO",F750,0)</f>
        <v>0</v>
      </c>
      <c r="F750" s="33" t="n">
        <v>0</v>
      </c>
      <c r="G750" s="35" t="n">
        <v>0</v>
      </c>
      <c r="H750" s="34" t="n">
        <f aca="false">+IF(E750=0,0,E750*0.03)</f>
        <v>0</v>
      </c>
    </row>
    <row r="751" customFormat="false" ht="15.75" hidden="false" customHeight="true" outlineLevel="0" collapsed="false">
      <c r="A751" s="30" t="n">
        <v>0</v>
      </c>
      <c r="B751" s="31" t="s">
        <v>11</v>
      </c>
      <c r="C751" s="32"/>
      <c r="D751" s="32"/>
      <c r="E751" s="19" t="n">
        <f aca="false">+IF(C751="EQUIPO",F751,0)</f>
        <v>0</v>
      </c>
      <c r="F751" s="33" t="n">
        <v>0</v>
      </c>
      <c r="G751" s="35" t="n">
        <v>0</v>
      </c>
      <c r="H751" s="34" t="n">
        <f aca="false">+IF(E751=0,0,E751*0.03)</f>
        <v>0</v>
      </c>
    </row>
    <row r="752" customFormat="false" ht="15.75" hidden="false" customHeight="true" outlineLevel="0" collapsed="false">
      <c r="A752" s="30" t="n">
        <v>0</v>
      </c>
      <c r="B752" s="31" t="s">
        <v>11</v>
      </c>
      <c r="C752" s="32"/>
      <c r="D752" s="32"/>
      <c r="E752" s="19" t="n">
        <f aca="false">+IF(C752="EQUIPO",F752,0)</f>
        <v>0</v>
      </c>
      <c r="F752" s="33" t="n">
        <v>0</v>
      </c>
      <c r="G752" s="35" t="n">
        <v>0</v>
      </c>
      <c r="H752" s="34" t="n">
        <f aca="false">+IF(E752=0,0,E752*0.03)</f>
        <v>0</v>
      </c>
    </row>
    <row r="753" customFormat="false" ht="15.75" hidden="false" customHeight="true" outlineLevel="0" collapsed="false">
      <c r="A753" s="30" t="n">
        <v>0</v>
      </c>
      <c r="B753" s="31" t="s">
        <v>11</v>
      </c>
      <c r="C753" s="32"/>
      <c r="D753" s="32"/>
      <c r="E753" s="19" t="n">
        <f aca="false">+IF(C753="EQUIPO",F753,0)</f>
        <v>0</v>
      </c>
      <c r="F753" s="33" t="n">
        <v>0</v>
      </c>
      <c r="G753" s="35" t="n">
        <v>0</v>
      </c>
      <c r="H753" s="34" t="n">
        <f aca="false">+IF(E753=0,0,E753*0.03)</f>
        <v>0</v>
      </c>
    </row>
    <row r="754" customFormat="false" ht="15.75" hidden="false" customHeight="true" outlineLevel="0" collapsed="false">
      <c r="A754" s="30" t="n">
        <v>0</v>
      </c>
      <c r="B754" s="31" t="s">
        <v>11</v>
      </c>
      <c r="C754" s="32"/>
      <c r="D754" s="32"/>
      <c r="E754" s="19" t="n">
        <f aca="false">+IF(C754="EQUIPO",F754,0)</f>
        <v>0</v>
      </c>
      <c r="F754" s="33" t="n">
        <v>0</v>
      </c>
      <c r="G754" s="35" t="n">
        <v>0</v>
      </c>
      <c r="H754" s="34" t="n">
        <f aca="false">+IF(E754=0,0,E754*0.03)</f>
        <v>0</v>
      </c>
    </row>
    <row r="755" customFormat="false" ht="15.75" hidden="false" customHeight="true" outlineLevel="0" collapsed="false">
      <c r="A755" s="30" t="n">
        <v>0</v>
      </c>
      <c r="B755" s="31" t="s">
        <v>11</v>
      </c>
      <c r="C755" s="32"/>
      <c r="D755" s="32"/>
      <c r="E755" s="19" t="n">
        <f aca="false">+IF(C755="EQUIPO",F755,0)</f>
        <v>0</v>
      </c>
      <c r="F755" s="33" t="n">
        <v>0</v>
      </c>
      <c r="G755" s="35" t="n">
        <v>0</v>
      </c>
      <c r="H755" s="34" t="n">
        <f aca="false">+IF(E755=0,0,E755*0.03)</f>
        <v>0</v>
      </c>
    </row>
    <row r="756" customFormat="false" ht="15.75" hidden="false" customHeight="true" outlineLevel="0" collapsed="false">
      <c r="A756" s="30" t="n">
        <v>0</v>
      </c>
      <c r="B756" s="31" t="s">
        <v>11</v>
      </c>
      <c r="C756" s="32"/>
      <c r="D756" s="32"/>
      <c r="E756" s="19" t="n">
        <f aca="false">+IF(C756="EQUIPO",F756,0)</f>
        <v>0</v>
      </c>
      <c r="F756" s="33" t="n">
        <v>0</v>
      </c>
      <c r="G756" s="35" t="n">
        <v>0</v>
      </c>
      <c r="H756" s="34" t="n">
        <f aca="false">+IF(E756=0,0,E756*0.03)</f>
        <v>0</v>
      </c>
    </row>
    <row r="757" customFormat="false" ht="15.75" hidden="false" customHeight="true" outlineLevel="0" collapsed="false">
      <c r="A757" s="30" t="n">
        <v>0</v>
      </c>
      <c r="B757" s="31" t="s">
        <v>11</v>
      </c>
      <c r="C757" s="32"/>
      <c r="D757" s="32"/>
      <c r="E757" s="19" t="n">
        <f aca="false">+IF(C757="EQUIPO",F757,0)</f>
        <v>0</v>
      </c>
      <c r="F757" s="33" t="n">
        <v>0</v>
      </c>
      <c r="G757" s="35" t="n">
        <v>0</v>
      </c>
      <c r="H757" s="34" t="n">
        <f aca="false">+IF(E757=0,0,E757*0.03)</f>
        <v>0</v>
      </c>
    </row>
    <row r="758" customFormat="false" ht="15.75" hidden="false" customHeight="true" outlineLevel="0" collapsed="false">
      <c r="A758" s="30" t="n">
        <v>0</v>
      </c>
      <c r="B758" s="31" t="s">
        <v>11</v>
      </c>
      <c r="C758" s="32"/>
      <c r="D758" s="32"/>
      <c r="E758" s="19" t="n">
        <f aca="false">+IF(C758="EQUIPO",F758,0)</f>
        <v>0</v>
      </c>
      <c r="F758" s="33" t="n">
        <v>0</v>
      </c>
      <c r="G758" s="35" t="n">
        <v>0</v>
      </c>
      <c r="H758" s="34" t="n">
        <f aca="false">+IF(E758=0,0,E758*0.03)</f>
        <v>0</v>
      </c>
    </row>
    <row r="759" customFormat="false" ht="15.75" hidden="false" customHeight="true" outlineLevel="0" collapsed="false">
      <c r="A759" s="30" t="n">
        <v>0</v>
      </c>
      <c r="B759" s="31" t="s">
        <v>11</v>
      </c>
      <c r="C759" s="32"/>
      <c r="D759" s="32"/>
      <c r="E759" s="19" t="n">
        <f aca="false">+IF(C759="EQUIPO",F759,0)</f>
        <v>0</v>
      </c>
      <c r="F759" s="33" t="n">
        <v>0</v>
      </c>
      <c r="G759" s="35" t="n">
        <v>0</v>
      </c>
      <c r="H759" s="34" t="n">
        <f aca="false">+IF(E759=0,0,E759*0.03)</f>
        <v>0</v>
      </c>
    </row>
    <row r="760" customFormat="false" ht="15.75" hidden="false" customHeight="true" outlineLevel="0" collapsed="false">
      <c r="A760" s="30" t="n">
        <v>0</v>
      </c>
      <c r="B760" s="31" t="s">
        <v>11</v>
      </c>
      <c r="C760" s="32"/>
      <c r="D760" s="32"/>
      <c r="E760" s="19" t="n">
        <f aca="false">+IF(C760="EQUIPO",F760,0)</f>
        <v>0</v>
      </c>
      <c r="F760" s="33" t="n">
        <v>0</v>
      </c>
      <c r="G760" s="35" t="n">
        <v>0</v>
      </c>
      <c r="H760" s="34" t="n">
        <f aca="false">+IF(E760=0,0,E760*0.03)</f>
        <v>0</v>
      </c>
    </row>
    <row r="761" customFormat="false" ht="15.75" hidden="false" customHeight="true" outlineLevel="0" collapsed="false">
      <c r="A761" s="30" t="n">
        <v>0</v>
      </c>
      <c r="B761" s="31" t="s">
        <v>11</v>
      </c>
      <c r="C761" s="32"/>
      <c r="D761" s="32"/>
      <c r="E761" s="19" t="n">
        <f aca="false">+IF(C761="EQUIPO",F761,0)</f>
        <v>0</v>
      </c>
      <c r="F761" s="33" t="n">
        <v>0</v>
      </c>
      <c r="G761" s="35" t="n">
        <v>0</v>
      </c>
      <c r="H761" s="34" t="n">
        <f aca="false">+IF(E761=0,0,E761*0.03)</f>
        <v>0</v>
      </c>
    </row>
    <row r="762" customFormat="false" ht="15.75" hidden="false" customHeight="true" outlineLevel="0" collapsed="false">
      <c r="A762" s="30" t="n">
        <v>0</v>
      </c>
      <c r="B762" s="31" t="s">
        <v>11</v>
      </c>
      <c r="C762" s="32"/>
      <c r="D762" s="32"/>
      <c r="E762" s="19" t="n">
        <f aca="false">+IF(C762="EQUIPO",F762,0)</f>
        <v>0</v>
      </c>
      <c r="F762" s="33" t="n">
        <v>0</v>
      </c>
      <c r="G762" s="35" t="n">
        <v>0</v>
      </c>
      <c r="H762" s="34" t="n">
        <f aca="false">+IF(E762=0,0,E762*0.03)</f>
        <v>0</v>
      </c>
    </row>
    <row r="763" customFormat="false" ht="15.75" hidden="false" customHeight="true" outlineLevel="0" collapsed="false">
      <c r="A763" s="30" t="n">
        <v>0</v>
      </c>
      <c r="B763" s="31" t="s">
        <v>11</v>
      </c>
      <c r="C763" s="32"/>
      <c r="D763" s="32"/>
      <c r="E763" s="19" t="n">
        <f aca="false">+IF(C763="EQUIPO",F763,0)</f>
        <v>0</v>
      </c>
      <c r="F763" s="33" t="n">
        <v>0</v>
      </c>
      <c r="G763" s="35" t="n">
        <v>0</v>
      </c>
      <c r="H763" s="34" t="n">
        <f aca="false">+IF(E763=0,0,E763*0.03)</f>
        <v>0</v>
      </c>
    </row>
    <row r="764" customFormat="false" ht="15.75" hidden="false" customHeight="true" outlineLevel="0" collapsed="false">
      <c r="A764" s="30" t="n">
        <v>0</v>
      </c>
      <c r="B764" s="31" t="s">
        <v>11</v>
      </c>
      <c r="C764" s="32"/>
      <c r="D764" s="32"/>
      <c r="E764" s="19" t="n">
        <f aca="false">+IF(C764="EQUIPO",F764,0)</f>
        <v>0</v>
      </c>
      <c r="F764" s="33" t="n">
        <v>0</v>
      </c>
      <c r="G764" s="35" t="n">
        <v>0</v>
      </c>
      <c r="H764" s="34" t="n">
        <f aca="false">+IF(E764=0,0,E764*0.03)</f>
        <v>0</v>
      </c>
    </row>
    <row r="765" customFormat="false" ht="15.75" hidden="false" customHeight="true" outlineLevel="0" collapsed="false">
      <c r="A765" s="30" t="n">
        <v>0</v>
      </c>
      <c r="B765" s="31" t="s">
        <v>11</v>
      </c>
      <c r="C765" s="32"/>
      <c r="D765" s="32"/>
      <c r="E765" s="19" t="n">
        <f aca="false">+IF(C765="EQUIPO",F765,0)</f>
        <v>0</v>
      </c>
      <c r="F765" s="33" t="n">
        <v>0</v>
      </c>
      <c r="G765" s="35" t="n">
        <v>0</v>
      </c>
      <c r="H765" s="34" t="n">
        <f aca="false">+IF(E765=0,0,E765*0.03)</f>
        <v>0</v>
      </c>
    </row>
    <row r="766" customFormat="false" ht="15.75" hidden="false" customHeight="true" outlineLevel="0" collapsed="false">
      <c r="A766" s="30" t="n">
        <v>0</v>
      </c>
      <c r="B766" s="31" t="s">
        <v>11</v>
      </c>
      <c r="C766" s="32"/>
      <c r="D766" s="32"/>
      <c r="E766" s="19" t="n">
        <f aca="false">+IF(C766="EQUIPO",F766,0)</f>
        <v>0</v>
      </c>
      <c r="F766" s="33" t="n">
        <v>0</v>
      </c>
      <c r="G766" s="35" t="n">
        <v>0</v>
      </c>
      <c r="H766" s="34" t="n">
        <f aca="false">+IF(E766=0,0,E766*0.03)</f>
        <v>0</v>
      </c>
    </row>
    <row r="767" customFormat="false" ht="15.75" hidden="false" customHeight="true" outlineLevel="0" collapsed="false">
      <c r="A767" s="30" t="n">
        <v>0</v>
      </c>
      <c r="B767" s="31" t="s">
        <v>11</v>
      </c>
      <c r="C767" s="32"/>
      <c r="D767" s="32"/>
      <c r="E767" s="19" t="n">
        <f aca="false">+IF(C767="EQUIPO",F767,0)</f>
        <v>0</v>
      </c>
      <c r="F767" s="33" t="n">
        <v>0</v>
      </c>
      <c r="G767" s="35" t="n">
        <v>0</v>
      </c>
      <c r="H767" s="34" t="n">
        <f aca="false">+IF(E767=0,0,E767*0.03)</f>
        <v>0</v>
      </c>
    </row>
    <row r="768" customFormat="false" ht="15.75" hidden="false" customHeight="true" outlineLevel="0" collapsed="false">
      <c r="A768" s="30" t="n">
        <v>0</v>
      </c>
      <c r="B768" s="31" t="s">
        <v>11</v>
      </c>
      <c r="C768" s="32"/>
      <c r="D768" s="32"/>
      <c r="E768" s="19" t="n">
        <f aca="false">+IF(C768="EQUIPO",F768,0)</f>
        <v>0</v>
      </c>
      <c r="F768" s="33" t="n">
        <v>0</v>
      </c>
      <c r="G768" s="35" t="n">
        <v>0</v>
      </c>
      <c r="H768" s="34" t="n">
        <f aca="false">+IF(E768=0,0,E768*0.03)</f>
        <v>0</v>
      </c>
    </row>
    <row r="769" customFormat="false" ht="15.75" hidden="false" customHeight="true" outlineLevel="0" collapsed="false">
      <c r="A769" s="30" t="n">
        <v>0</v>
      </c>
      <c r="B769" s="31" t="s">
        <v>11</v>
      </c>
      <c r="C769" s="32"/>
      <c r="D769" s="32"/>
      <c r="E769" s="19" t="n">
        <f aca="false">+IF(C769="EQUIPO",F769,0)</f>
        <v>0</v>
      </c>
      <c r="F769" s="33" t="n">
        <v>0</v>
      </c>
      <c r="G769" s="35" t="n">
        <v>0</v>
      </c>
      <c r="H769" s="34" t="n">
        <f aca="false">+IF(E769=0,0,E769*0.03)</f>
        <v>0</v>
      </c>
    </row>
    <row r="770" customFormat="false" ht="15.75" hidden="false" customHeight="true" outlineLevel="0" collapsed="false">
      <c r="A770" s="30" t="n">
        <v>0</v>
      </c>
      <c r="B770" s="31" t="s">
        <v>11</v>
      </c>
      <c r="C770" s="32"/>
      <c r="D770" s="32"/>
      <c r="E770" s="19" t="n">
        <f aca="false">+IF(C770="EQUIPO",F770,0)</f>
        <v>0</v>
      </c>
      <c r="F770" s="33" t="n">
        <v>0</v>
      </c>
      <c r="G770" s="35" t="n">
        <v>0</v>
      </c>
      <c r="H770" s="34" t="n">
        <f aca="false">+IF(E770=0,0,E770*0.03)</f>
        <v>0</v>
      </c>
    </row>
    <row r="771" customFormat="false" ht="15.75" hidden="false" customHeight="true" outlineLevel="0" collapsed="false">
      <c r="A771" s="30" t="n">
        <v>0</v>
      </c>
      <c r="B771" s="31" t="s">
        <v>11</v>
      </c>
      <c r="C771" s="32"/>
      <c r="D771" s="32"/>
      <c r="E771" s="19" t="n">
        <f aca="false">+IF(C771="EQUIPO",F771,0)</f>
        <v>0</v>
      </c>
      <c r="F771" s="33" t="n">
        <v>0</v>
      </c>
      <c r="G771" s="35" t="n">
        <v>0</v>
      </c>
      <c r="H771" s="34" t="n">
        <f aca="false">+IF(E771=0,0,E771*0.03)</f>
        <v>0</v>
      </c>
    </row>
    <row r="772" customFormat="false" ht="15.75" hidden="false" customHeight="true" outlineLevel="0" collapsed="false">
      <c r="A772" s="30" t="n">
        <v>0</v>
      </c>
      <c r="B772" s="31" t="s">
        <v>11</v>
      </c>
      <c r="C772" s="32"/>
      <c r="D772" s="32"/>
      <c r="E772" s="19" t="n">
        <f aca="false">+IF(C772="EQUIPO",F772,0)</f>
        <v>0</v>
      </c>
      <c r="F772" s="33" t="n">
        <v>0</v>
      </c>
      <c r="G772" s="35" t="n">
        <v>0</v>
      </c>
      <c r="H772" s="34" t="n">
        <f aca="false">+IF(E772=0,0,E772*0.03)</f>
        <v>0</v>
      </c>
    </row>
    <row r="773" customFormat="false" ht="15.75" hidden="false" customHeight="true" outlineLevel="0" collapsed="false">
      <c r="A773" s="30" t="n">
        <v>0</v>
      </c>
      <c r="B773" s="31" t="s">
        <v>11</v>
      </c>
      <c r="C773" s="32"/>
      <c r="D773" s="32"/>
      <c r="E773" s="19" t="n">
        <f aca="false">+IF(C773="EQUIPO",F773,0)</f>
        <v>0</v>
      </c>
      <c r="F773" s="33" t="n">
        <v>0</v>
      </c>
      <c r="G773" s="35" t="n">
        <v>0</v>
      </c>
      <c r="H773" s="34" t="n">
        <f aca="false">+IF(E773=0,0,E773*0.03)</f>
        <v>0</v>
      </c>
    </row>
    <row r="774" customFormat="false" ht="15.75" hidden="false" customHeight="true" outlineLevel="0" collapsed="false">
      <c r="A774" s="30" t="n">
        <v>0</v>
      </c>
      <c r="B774" s="31" t="s">
        <v>11</v>
      </c>
      <c r="C774" s="32"/>
      <c r="D774" s="32"/>
      <c r="E774" s="19" t="n">
        <f aca="false">+IF(C774="EQUIPO",F774,0)</f>
        <v>0</v>
      </c>
      <c r="F774" s="33" t="n">
        <v>0</v>
      </c>
      <c r="G774" s="35" t="n">
        <v>0</v>
      </c>
      <c r="H774" s="34" t="n">
        <f aca="false">+IF(E774=0,0,E774*0.03)</f>
        <v>0</v>
      </c>
    </row>
    <row r="775" customFormat="false" ht="15.75" hidden="false" customHeight="true" outlineLevel="0" collapsed="false">
      <c r="A775" s="30" t="n">
        <v>0</v>
      </c>
      <c r="B775" s="31" t="s">
        <v>11</v>
      </c>
      <c r="C775" s="32"/>
      <c r="D775" s="32"/>
      <c r="E775" s="19" t="n">
        <f aca="false">+IF(C775="EQUIPO",F775,0)</f>
        <v>0</v>
      </c>
      <c r="F775" s="33" t="n">
        <v>0</v>
      </c>
      <c r="G775" s="35" t="n">
        <v>0</v>
      </c>
      <c r="H775" s="34" t="n">
        <f aca="false">+IF(E775=0,0,E775*0.03)</f>
        <v>0</v>
      </c>
    </row>
    <row r="776" customFormat="false" ht="15.75" hidden="false" customHeight="true" outlineLevel="0" collapsed="false">
      <c r="A776" s="30" t="n">
        <v>0</v>
      </c>
      <c r="B776" s="31" t="s">
        <v>11</v>
      </c>
      <c r="C776" s="32"/>
      <c r="D776" s="32"/>
      <c r="E776" s="19" t="n">
        <f aca="false">+IF(C776="EQUIPO",F776,0)</f>
        <v>0</v>
      </c>
      <c r="F776" s="33" t="n">
        <v>0</v>
      </c>
      <c r="G776" s="35" t="n">
        <v>0</v>
      </c>
      <c r="H776" s="34" t="n">
        <f aca="false">+IF(E776=0,0,E776*0.03)</f>
        <v>0</v>
      </c>
    </row>
    <row r="777" customFormat="false" ht="15.75" hidden="false" customHeight="true" outlineLevel="0" collapsed="false">
      <c r="A777" s="30" t="n">
        <v>0</v>
      </c>
      <c r="B777" s="31" t="s">
        <v>11</v>
      </c>
      <c r="C777" s="32"/>
      <c r="D777" s="32"/>
      <c r="E777" s="19" t="n">
        <f aca="false">+IF(C777="EQUIPO",F777,0)</f>
        <v>0</v>
      </c>
      <c r="F777" s="33" t="n">
        <v>0</v>
      </c>
      <c r="G777" s="35" t="n">
        <v>0</v>
      </c>
      <c r="H777" s="34" t="n">
        <f aca="false">+IF(E777=0,0,E777*0.03)</f>
        <v>0</v>
      </c>
    </row>
    <row r="778" customFormat="false" ht="15.75" hidden="false" customHeight="true" outlineLevel="0" collapsed="false">
      <c r="A778" s="30" t="n">
        <v>0</v>
      </c>
      <c r="B778" s="31" t="s">
        <v>11</v>
      </c>
      <c r="C778" s="32"/>
      <c r="D778" s="32"/>
      <c r="E778" s="19" t="n">
        <f aca="false">+IF(C778="EQUIPO",F778,0)</f>
        <v>0</v>
      </c>
      <c r="F778" s="33" t="n">
        <v>0</v>
      </c>
      <c r="G778" s="35" t="n">
        <v>0</v>
      </c>
      <c r="H778" s="34" t="n">
        <f aca="false">+IF(E778=0,0,E778*0.03)</f>
        <v>0</v>
      </c>
    </row>
    <row r="779" customFormat="false" ht="15.75" hidden="false" customHeight="true" outlineLevel="0" collapsed="false">
      <c r="A779" s="30" t="n">
        <v>0</v>
      </c>
      <c r="B779" s="31" t="s">
        <v>11</v>
      </c>
      <c r="C779" s="32"/>
      <c r="D779" s="32"/>
      <c r="E779" s="19" t="n">
        <f aca="false">+IF(C779="EQUIPO",F779,0)</f>
        <v>0</v>
      </c>
      <c r="F779" s="33" t="n">
        <v>0</v>
      </c>
      <c r="G779" s="35" t="n">
        <v>0</v>
      </c>
      <c r="H779" s="34" t="n">
        <f aca="false">+IF(E779=0,0,E779*0.03)</f>
        <v>0</v>
      </c>
    </row>
    <row r="780" customFormat="false" ht="15.75" hidden="false" customHeight="true" outlineLevel="0" collapsed="false">
      <c r="A780" s="30" t="n">
        <v>0</v>
      </c>
      <c r="B780" s="31" t="s">
        <v>11</v>
      </c>
      <c r="C780" s="32"/>
      <c r="D780" s="32"/>
      <c r="E780" s="19" t="n">
        <f aca="false">+IF(C780="EQUIPO",F780,0)</f>
        <v>0</v>
      </c>
      <c r="F780" s="33" t="n">
        <v>0</v>
      </c>
      <c r="G780" s="35" t="n">
        <v>0</v>
      </c>
      <c r="H780" s="34" t="n">
        <f aca="false">+IF(E780=0,0,E780*0.03)</f>
        <v>0</v>
      </c>
    </row>
    <row r="781" customFormat="false" ht="15.75" hidden="false" customHeight="true" outlineLevel="0" collapsed="false">
      <c r="A781" s="30" t="n">
        <v>0</v>
      </c>
      <c r="B781" s="31" t="s">
        <v>11</v>
      </c>
      <c r="C781" s="32"/>
      <c r="D781" s="32"/>
      <c r="E781" s="19" t="n">
        <f aca="false">+IF(C781="EQUIPO",F781,0)</f>
        <v>0</v>
      </c>
      <c r="F781" s="33" t="n">
        <v>0</v>
      </c>
      <c r="G781" s="35" t="n">
        <v>0</v>
      </c>
      <c r="H781" s="34" t="n">
        <f aca="false">+IF(E781=0,0,E781*0.03)</f>
        <v>0</v>
      </c>
    </row>
    <row r="782" customFormat="false" ht="15.75" hidden="false" customHeight="true" outlineLevel="0" collapsed="false">
      <c r="A782" s="30" t="n">
        <v>0</v>
      </c>
      <c r="B782" s="31" t="s">
        <v>11</v>
      </c>
      <c r="C782" s="32"/>
      <c r="D782" s="32"/>
      <c r="E782" s="19" t="n">
        <f aca="false">+IF(C782="EQUIPO",F782,0)</f>
        <v>0</v>
      </c>
      <c r="F782" s="33" t="n">
        <v>0</v>
      </c>
      <c r="G782" s="35" t="n">
        <v>0</v>
      </c>
      <c r="H782" s="34" t="n">
        <f aca="false">+IF(E782=0,0,E782*0.03)</f>
        <v>0</v>
      </c>
    </row>
    <row r="783" customFormat="false" ht="15.75" hidden="false" customHeight="true" outlineLevel="0" collapsed="false">
      <c r="A783" s="30" t="n">
        <v>0</v>
      </c>
      <c r="B783" s="31" t="s">
        <v>11</v>
      </c>
      <c r="C783" s="32"/>
      <c r="D783" s="32"/>
      <c r="E783" s="19" t="n">
        <f aca="false">+IF(C783="EQUIPO",F783,0)</f>
        <v>0</v>
      </c>
      <c r="F783" s="33" t="n">
        <v>0</v>
      </c>
      <c r="G783" s="35" t="n">
        <v>0</v>
      </c>
      <c r="H783" s="34" t="n">
        <f aca="false">+IF(E783=0,0,E783*0.03)</f>
        <v>0</v>
      </c>
    </row>
    <row r="784" customFormat="false" ht="15.75" hidden="false" customHeight="true" outlineLevel="0" collapsed="false">
      <c r="A784" s="30" t="n">
        <v>0</v>
      </c>
      <c r="B784" s="31" t="s">
        <v>11</v>
      </c>
      <c r="C784" s="32"/>
      <c r="D784" s="32"/>
      <c r="E784" s="19" t="n">
        <f aca="false">+IF(C784="EQUIPO",F784,0)</f>
        <v>0</v>
      </c>
      <c r="F784" s="33" t="n">
        <v>0</v>
      </c>
      <c r="G784" s="35" t="n">
        <v>0</v>
      </c>
      <c r="H784" s="34" t="n">
        <f aca="false">+IF(E784=0,0,E784*0.03)</f>
        <v>0</v>
      </c>
    </row>
    <row r="785" customFormat="false" ht="15.75" hidden="false" customHeight="true" outlineLevel="0" collapsed="false">
      <c r="A785" s="30" t="n">
        <v>0</v>
      </c>
      <c r="B785" s="31" t="s">
        <v>11</v>
      </c>
      <c r="C785" s="32"/>
      <c r="D785" s="32"/>
      <c r="E785" s="19" t="n">
        <f aca="false">+IF(C785="EQUIPO",F785,0)</f>
        <v>0</v>
      </c>
      <c r="F785" s="33" t="n">
        <v>0</v>
      </c>
      <c r="G785" s="35" t="n">
        <v>0</v>
      </c>
      <c r="H785" s="34" t="n">
        <f aca="false">+IF(E785=0,0,E785*0.03)</f>
        <v>0</v>
      </c>
    </row>
    <row r="786" customFormat="false" ht="15.75" hidden="false" customHeight="true" outlineLevel="0" collapsed="false">
      <c r="A786" s="30" t="n">
        <v>0</v>
      </c>
      <c r="B786" s="31" t="s">
        <v>11</v>
      </c>
      <c r="C786" s="32"/>
      <c r="D786" s="32"/>
      <c r="E786" s="19" t="n">
        <f aca="false">+IF(C786="EQUIPO",F786,0)</f>
        <v>0</v>
      </c>
      <c r="F786" s="33" t="n">
        <v>0</v>
      </c>
      <c r="G786" s="35" t="n">
        <v>0</v>
      </c>
      <c r="H786" s="34" t="n">
        <f aca="false">+IF(E786=0,0,E786*0.03)</f>
        <v>0</v>
      </c>
    </row>
    <row r="787" customFormat="false" ht="15.75" hidden="false" customHeight="true" outlineLevel="0" collapsed="false">
      <c r="A787" s="30" t="n">
        <v>0</v>
      </c>
      <c r="B787" s="31" t="s">
        <v>11</v>
      </c>
      <c r="C787" s="32"/>
      <c r="D787" s="32"/>
      <c r="E787" s="19" t="n">
        <f aca="false">+IF(C787="EQUIPO",F787,0)</f>
        <v>0</v>
      </c>
      <c r="F787" s="33" t="n">
        <v>0</v>
      </c>
      <c r="G787" s="35" t="n">
        <v>0</v>
      </c>
      <c r="H787" s="34" t="n">
        <f aca="false">+IF(E787=0,0,E787*0.03)</f>
        <v>0</v>
      </c>
    </row>
    <row r="788" customFormat="false" ht="15.75" hidden="false" customHeight="true" outlineLevel="0" collapsed="false">
      <c r="A788" s="30" t="n">
        <v>0</v>
      </c>
      <c r="B788" s="31" t="s">
        <v>11</v>
      </c>
      <c r="C788" s="32"/>
      <c r="D788" s="32"/>
      <c r="E788" s="19" t="n">
        <f aca="false">+IF(C788="EQUIPO",F788,0)</f>
        <v>0</v>
      </c>
      <c r="F788" s="33" t="n">
        <v>0</v>
      </c>
      <c r="G788" s="35" t="n">
        <v>0</v>
      </c>
      <c r="H788" s="34" t="n">
        <f aca="false">+IF(E788=0,0,E788*0.03)</f>
        <v>0</v>
      </c>
    </row>
    <row r="789" customFormat="false" ht="15.75" hidden="false" customHeight="true" outlineLevel="0" collapsed="false">
      <c r="A789" s="30" t="n">
        <v>0</v>
      </c>
      <c r="B789" s="31" t="s">
        <v>11</v>
      </c>
      <c r="C789" s="32"/>
      <c r="D789" s="32"/>
      <c r="E789" s="19" t="n">
        <f aca="false">+IF(C789="EQUIPO",F789,0)</f>
        <v>0</v>
      </c>
      <c r="F789" s="33" t="n">
        <v>0</v>
      </c>
      <c r="G789" s="35" t="n">
        <v>0</v>
      </c>
      <c r="H789" s="34" t="n">
        <f aca="false">+IF(E789=0,0,E789*0.03)</f>
        <v>0</v>
      </c>
    </row>
    <row r="790" customFormat="false" ht="15.75" hidden="false" customHeight="true" outlineLevel="0" collapsed="false">
      <c r="A790" s="30" t="n">
        <v>0</v>
      </c>
      <c r="B790" s="31" t="s">
        <v>11</v>
      </c>
      <c r="C790" s="32"/>
      <c r="D790" s="32"/>
      <c r="E790" s="19" t="n">
        <f aca="false">+IF(C790="EQUIPO",F790,0)</f>
        <v>0</v>
      </c>
      <c r="F790" s="33" t="n">
        <v>0</v>
      </c>
      <c r="G790" s="35" t="n">
        <v>0</v>
      </c>
      <c r="H790" s="34" t="n">
        <f aca="false">+IF(E790=0,0,E790*0.03)</f>
        <v>0</v>
      </c>
    </row>
    <row r="791" customFormat="false" ht="15.75" hidden="false" customHeight="true" outlineLevel="0" collapsed="false">
      <c r="A791" s="30" t="n">
        <v>0</v>
      </c>
      <c r="B791" s="31" t="s">
        <v>11</v>
      </c>
      <c r="C791" s="32"/>
      <c r="D791" s="32"/>
      <c r="E791" s="19" t="n">
        <f aca="false">+IF(C791="EQUIPO",F791,0)</f>
        <v>0</v>
      </c>
      <c r="F791" s="33" t="n">
        <v>0</v>
      </c>
      <c r="G791" s="35" t="n">
        <v>0</v>
      </c>
      <c r="H791" s="34" t="n">
        <f aca="false">+IF(E791=0,0,E791*0.03)</f>
        <v>0</v>
      </c>
    </row>
    <row r="792" customFormat="false" ht="15.75" hidden="false" customHeight="true" outlineLevel="0" collapsed="false">
      <c r="A792" s="30" t="n">
        <v>0</v>
      </c>
      <c r="B792" s="31" t="s">
        <v>11</v>
      </c>
      <c r="C792" s="32"/>
      <c r="D792" s="32"/>
      <c r="E792" s="19" t="n">
        <f aca="false">+IF(C792="EQUIPO",F792,0)</f>
        <v>0</v>
      </c>
      <c r="F792" s="33" t="n">
        <v>0</v>
      </c>
      <c r="G792" s="35" t="n">
        <v>0</v>
      </c>
      <c r="H792" s="34" t="n">
        <f aca="false">+IF(E792=0,0,E792*0.03)</f>
        <v>0</v>
      </c>
    </row>
    <row r="793" customFormat="false" ht="15.75" hidden="false" customHeight="true" outlineLevel="0" collapsed="false">
      <c r="A793" s="30" t="n">
        <v>0</v>
      </c>
      <c r="B793" s="31" t="s">
        <v>11</v>
      </c>
      <c r="C793" s="32"/>
      <c r="D793" s="32"/>
      <c r="E793" s="19" t="n">
        <f aca="false">+IF(C793="EQUIPO",F793,0)</f>
        <v>0</v>
      </c>
      <c r="F793" s="33" t="n">
        <v>0</v>
      </c>
      <c r="G793" s="35" t="n">
        <v>0</v>
      </c>
      <c r="H793" s="34" t="n">
        <f aca="false">+IF(E793=0,0,E793*0.03)</f>
        <v>0</v>
      </c>
    </row>
    <row r="794" customFormat="false" ht="15.75" hidden="false" customHeight="true" outlineLevel="0" collapsed="false">
      <c r="A794" s="30" t="n">
        <v>0</v>
      </c>
      <c r="B794" s="31" t="s">
        <v>11</v>
      </c>
      <c r="C794" s="32"/>
      <c r="D794" s="32"/>
      <c r="E794" s="19" t="n">
        <f aca="false">+IF(C794="EQUIPO",F794,0)</f>
        <v>0</v>
      </c>
      <c r="F794" s="33" t="n">
        <v>0</v>
      </c>
      <c r="G794" s="35" t="n">
        <v>0</v>
      </c>
      <c r="H794" s="34" t="n">
        <f aca="false">+IF(E794=0,0,E794*0.03)</f>
        <v>0</v>
      </c>
    </row>
    <row r="795" customFormat="false" ht="15.75" hidden="false" customHeight="true" outlineLevel="0" collapsed="false">
      <c r="A795" s="30" t="n">
        <v>0</v>
      </c>
      <c r="B795" s="31" t="s">
        <v>11</v>
      </c>
      <c r="C795" s="32"/>
      <c r="D795" s="32"/>
      <c r="E795" s="19" t="n">
        <f aca="false">+IF(C795="EQUIPO",F795,0)</f>
        <v>0</v>
      </c>
      <c r="F795" s="33" t="n">
        <v>0</v>
      </c>
      <c r="G795" s="35" t="n">
        <v>0</v>
      </c>
      <c r="H795" s="34" t="n">
        <f aca="false">+IF(E795=0,0,E795*0.03)</f>
        <v>0</v>
      </c>
    </row>
    <row r="796" customFormat="false" ht="15.75" hidden="false" customHeight="true" outlineLevel="0" collapsed="false">
      <c r="A796" s="30" t="n">
        <v>0</v>
      </c>
      <c r="B796" s="31" t="s">
        <v>11</v>
      </c>
      <c r="C796" s="32"/>
      <c r="D796" s="32"/>
      <c r="E796" s="19" t="n">
        <f aca="false">+IF(C796="EQUIPO",F796,0)</f>
        <v>0</v>
      </c>
      <c r="F796" s="33" t="n">
        <v>0</v>
      </c>
      <c r="G796" s="35" t="n">
        <v>0</v>
      </c>
      <c r="H796" s="34" t="n">
        <f aca="false">+IF(E796=0,0,E796*0.03)</f>
        <v>0</v>
      </c>
    </row>
    <row r="797" customFormat="false" ht="15.75" hidden="false" customHeight="true" outlineLevel="0" collapsed="false">
      <c r="A797" s="30" t="n">
        <v>0</v>
      </c>
      <c r="B797" s="31" t="s">
        <v>11</v>
      </c>
      <c r="C797" s="32"/>
      <c r="D797" s="32"/>
      <c r="E797" s="19" t="n">
        <f aca="false">+IF(C797="EQUIPO",F797,0)</f>
        <v>0</v>
      </c>
      <c r="F797" s="33" t="n">
        <v>0</v>
      </c>
      <c r="G797" s="35" t="n">
        <v>0</v>
      </c>
      <c r="H797" s="34" t="n">
        <f aca="false">+IF(E797=0,0,E797*0.03)</f>
        <v>0</v>
      </c>
    </row>
    <row r="798" customFormat="false" ht="15.75" hidden="false" customHeight="true" outlineLevel="0" collapsed="false">
      <c r="A798" s="30" t="n">
        <v>0</v>
      </c>
      <c r="B798" s="31" t="s">
        <v>11</v>
      </c>
      <c r="C798" s="32"/>
      <c r="D798" s="32"/>
      <c r="E798" s="19" t="n">
        <f aca="false">+IF(C798="EQUIPO",F798,0)</f>
        <v>0</v>
      </c>
      <c r="F798" s="33" t="n">
        <v>0</v>
      </c>
      <c r="G798" s="35" t="n">
        <v>0</v>
      </c>
      <c r="H798" s="34" t="n">
        <f aca="false">+IF(E798=0,0,E798*0.03)</f>
        <v>0</v>
      </c>
    </row>
    <row r="799" customFormat="false" ht="15.75" hidden="false" customHeight="true" outlineLevel="0" collapsed="false">
      <c r="A799" s="30" t="n">
        <v>0</v>
      </c>
      <c r="B799" s="31" t="s">
        <v>11</v>
      </c>
      <c r="C799" s="32"/>
      <c r="D799" s="32"/>
      <c r="E799" s="19" t="n">
        <f aca="false">+IF(C799="EQUIPO",F799,0)</f>
        <v>0</v>
      </c>
      <c r="F799" s="33" t="n">
        <v>0</v>
      </c>
      <c r="G799" s="35" t="n">
        <v>0</v>
      </c>
      <c r="H799" s="34" t="n">
        <f aca="false">+IF(E799=0,0,E799*0.03)</f>
        <v>0</v>
      </c>
    </row>
    <row r="800" customFormat="false" ht="15.75" hidden="false" customHeight="true" outlineLevel="0" collapsed="false">
      <c r="A800" s="30" t="n">
        <v>0</v>
      </c>
      <c r="B800" s="31" t="s">
        <v>11</v>
      </c>
      <c r="C800" s="32"/>
      <c r="D800" s="32"/>
      <c r="E800" s="19" t="n">
        <f aca="false">+IF(C800="EQUIPO",F800,0)</f>
        <v>0</v>
      </c>
      <c r="F800" s="33" t="n">
        <v>0</v>
      </c>
      <c r="G800" s="35" t="n">
        <v>0</v>
      </c>
      <c r="H800" s="34" t="n">
        <f aca="false">+IF(E800=0,0,E800*0.03)</f>
        <v>0</v>
      </c>
    </row>
    <row r="801" customFormat="false" ht="15.75" hidden="false" customHeight="true" outlineLevel="0" collapsed="false">
      <c r="A801" s="30" t="n">
        <v>0</v>
      </c>
      <c r="B801" s="31" t="s">
        <v>11</v>
      </c>
      <c r="C801" s="32"/>
      <c r="D801" s="32"/>
      <c r="E801" s="19" t="n">
        <f aca="false">+IF(C801="EQUIPO",F801,0)</f>
        <v>0</v>
      </c>
      <c r="F801" s="33" t="n">
        <v>0</v>
      </c>
      <c r="G801" s="35" t="n">
        <v>0</v>
      </c>
      <c r="H801" s="34" t="n">
        <f aca="false">+IF(E801=0,0,E801*0.03)</f>
        <v>0</v>
      </c>
    </row>
    <row r="802" customFormat="false" ht="15.75" hidden="false" customHeight="true" outlineLevel="0" collapsed="false">
      <c r="A802" s="30" t="n">
        <v>0</v>
      </c>
      <c r="B802" s="31" t="s">
        <v>11</v>
      </c>
      <c r="C802" s="32"/>
      <c r="D802" s="32"/>
      <c r="E802" s="19" t="n">
        <f aca="false">+IF(C802="EQUIPO",F802,0)</f>
        <v>0</v>
      </c>
      <c r="F802" s="33" t="n">
        <v>0</v>
      </c>
      <c r="G802" s="35" t="n">
        <v>0</v>
      </c>
      <c r="H802" s="34" t="n">
        <f aca="false">+IF(E802=0,0,E802*0.03)</f>
        <v>0</v>
      </c>
    </row>
    <row r="803" customFormat="false" ht="15.75" hidden="false" customHeight="true" outlineLevel="0" collapsed="false">
      <c r="A803" s="30" t="n">
        <v>0</v>
      </c>
      <c r="B803" s="31" t="s">
        <v>11</v>
      </c>
      <c r="C803" s="32"/>
      <c r="D803" s="32"/>
      <c r="E803" s="19" t="n">
        <f aca="false">+IF(C803="EQUIPO",F803,0)</f>
        <v>0</v>
      </c>
      <c r="F803" s="33" t="n">
        <v>0</v>
      </c>
      <c r="G803" s="35" t="n">
        <v>0</v>
      </c>
      <c r="H803" s="34" t="n">
        <f aca="false">+IF(E803=0,0,E803*0.03)</f>
        <v>0</v>
      </c>
    </row>
    <row r="804" customFormat="false" ht="15.75" hidden="false" customHeight="true" outlineLevel="0" collapsed="false">
      <c r="A804" s="30" t="n">
        <v>0</v>
      </c>
      <c r="B804" s="31" t="s">
        <v>11</v>
      </c>
      <c r="C804" s="32"/>
      <c r="D804" s="32"/>
      <c r="E804" s="19" t="n">
        <f aca="false">+IF(C804="EQUIPO",F804,0)</f>
        <v>0</v>
      </c>
      <c r="F804" s="33" t="n">
        <v>0</v>
      </c>
      <c r="G804" s="35" t="n">
        <v>0</v>
      </c>
      <c r="H804" s="34" t="n">
        <f aca="false">+IF(E804=0,0,E804*0.03)</f>
        <v>0</v>
      </c>
    </row>
    <row r="805" customFormat="false" ht="15.75" hidden="false" customHeight="true" outlineLevel="0" collapsed="false">
      <c r="A805" s="30" t="n">
        <v>0</v>
      </c>
      <c r="B805" s="31" t="s">
        <v>11</v>
      </c>
      <c r="C805" s="32"/>
      <c r="D805" s="32"/>
      <c r="E805" s="19" t="n">
        <f aca="false">+IF(C805="EQUIPO",F805,0)</f>
        <v>0</v>
      </c>
      <c r="F805" s="33" t="n">
        <v>0</v>
      </c>
      <c r="G805" s="35" t="n">
        <v>0</v>
      </c>
      <c r="H805" s="34" t="n">
        <f aca="false">+IF(E805=0,0,E805*0.03)</f>
        <v>0</v>
      </c>
    </row>
    <row r="806" customFormat="false" ht="15.75" hidden="false" customHeight="true" outlineLevel="0" collapsed="false">
      <c r="A806" s="30" t="n">
        <v>0</v>
      </c>
      <c r="B806" s="31" t="s">
        <v>11</v>
      </c>
      <c r="C806" s="32"/>
      <c r="D806" s="32"/>
      <c r="E806" s="19" t="n">
        <f aca="false">+IF(C806="EQUIPO",F806,0)</f>
        <v>0</v>
      </c>
      <c r="F806" s="33" t="n">
        <v>0</v>
      </c>
      <c r="G806" s="35" t="n">
        <v>0</v>
      </c>
      <c r="H806" s="34" t="n">
        <f aca="false">+IF(E806=0,0,E806*0.03)</f>
        <v>0</v>
      </c>
    </row>
    <row r="807" customFormat="false" ht="15.75" hidden="false" customHeight="true" outlineLevel="0" collapsed="false">
      <c r="A807" s="30" t="n">
        <v>0</v>
      </c>
      <c r="B807" s="31" t="s">
        <v>11</v>
      </c>
      <c r="C807" s="32"/>
      <c r="D807" s="32"/>
      <c r="E807" s="19" t="n">
        <f aca="false">+IF(C807="EQUIPO",F807,0)</f>
        <v>0</v>
      </c>
      <c r="F807" s="33" t="n">
        <v>0</v>
      </c>
      <c r="G807" s="35" t="n">
        <v>0</v>
      </c>
      <c r="H807" s="34" t="n">
        <f aca="false">+IF(E807=0,0,E807*0.03)</f>
        <v>0</v>
      </c>
    </row>
    <row r="808" customFormat="false" ht="15.75" hidden="false" customHeight="true" outlineLevel="0" collapsed="false">
      <c r="A808" s="30" t="n">
        <v>0</v>
      </c>
      <c r="B808" s="31" t="s">
        <v>11</v>
      </c>
      <c r="C808" s="32"/>
      <c r="D808" s="32"/>
      <c r="E808" s="19" t="n">
        <f aca="false">+IF(C808="EQUIPO",F808,0)</f>
        <v>0</v>
      </c>
      <c r="F808" s="33" t="n">
        <v>0</v>
      </c>
      <c r="G808" s="35" t="n">
        <v>0</v>
      </c>
      <c r="H808" s="34" t="n">
        <f aca="false">+IF(E808=0,0,E808*0.03)</f>
        <v>0</v>
      </c>
    </row>
    <row r="809" customFormat="false" ht="15.75" hidden="false" customHeight="true" outlineLevel="0" collapsed="false">
      <c r="A809" s="30" t="n">
        <v>0</v>
      </c>
      <c r="B809" s="31" t="s">
        <v>11</v>
      </c>
      <c r="C809" s="32"/>
      <c r="D809" s="32"/>
      <c r="E809" s="19" t="n">
        <f aca="false">+IF(C809="EQUIPO",F809,0)</f>
        <v>0</v>
      </c>
      <c r="F809" s="33" t="n">
        <v>0</v>
      </c>
      <c r="G809" s="35" t="n">
        <v>0</v>
      </c>
      <c r="H809" s="34" t="n">
        <f aca="false">+IF(E809=0,0,E809*0.03)</f>
        <v>0</v>
      </c>
    </row>
    <row r="810" customFormat="false" ht="15.75" hidden="false" customHeight="true" outlineLevel="0" collapsed="false">
      <c r="A810" s="30" t="n">
        <v>0</v>
      </c>
      <c r="B810" s="31" t="s">
        <v>11</v>
      </c>
      <c r="C810" s="32"/>
      <c r="D810" s="32"/>
      <c r="E810" s="19" t="n">
        <f aca="false">+IF(C810="EQUIPO",F810,0)</f>
        <v>0</v>
      </c>
      <c r="F810" s="33" t="n">
        <v>0</v>
      </c>
      <c r="G810" s="35" t="n">
        <v>0</v>
      </c>
      <c r="H810" s="34" t="n">
        <f aca="false">+IF(E810=0,0,E810*0.03)</f>
        <v>0</v>
      </c>
    </row>
    <row r="811" customFormat="false" ht="15.75" hidden="false" customHeight="true" outlineLevel="0" collapsed="false">
      <c r="A811" s="30" t="n">
        <v>0</v>
      </c>
      <c r="B811" s="31" t="s">
        <v>11</v>
      </c>
      <c r="C811" s="32"/>
      <c r="D811" s="32"/>
      <c r="E811" s="19" t="n">
        <f aca="false">+IF(C811="EQUIPO",F811,0)</f>
        <v>0</v>
      </c>
      <c r="F811" s="33" t="n">
        <v>0</v>
      </c>
      <c r="G811" s="35" t="n">
        <v>0</v>
      </c>
      <c r="H811" s="34" t="n">
        <f aca="false">+IF(E811=0,0,E811*0.03)</f>
        <v>0</v>
      </c>
    </row>
    <row r="812" customFormat="false" ht="15.75" hidden="false" customHeight="true" outlineLevel="0" collapsed="false">
      <c r="A812" s="30" t="n">
        <v>0</v>
      </c>
      <c r="B812" s="31" t="s">
        <v>11</v>
      </c>
      <c r="C812" s="32"/>
      <c r="D812" s="32"/>
      <c r="E812" s="19" t="n">
        <f aca="false">+IF(C812="EQUIPO",F812,0)</f>
        <v>0</v>
      </c>
      <c r="F812" s="33" t="n">
        <v>0</v>
      </c>
      <c r="G812" s="35" t="n">
        <v>0</v>
      </c>
      <c r="H812" s="34" t="n">
        <f aca="false">+IF(E812=0,0,E812*0.03)</f>
        <v>0</v>
      </c>
    </row>
    <row r="813" customFormat="false" ht="15.75" hidden="false" customHeight="true" outlineLevel="0" collapsed="false">
      <c r="A813" s="30" t="n">
        <v>0</v>
      </c>
      <c r="B813" s="31" t="s">
        <v>11</v>
      </c>
      <c r="C813" s="32"/>
      <c r="D813" s="32"/>
      <c r="E813" s="19" t="n">
        <f aca="false">+IF(C813="EQUIPO",F813,0)</f>
        <v>0</v>
      </c>
      <c r="F813" s="33" t="n">
        <v>0</v>
      </c>
      <c r="G813" s="35" t="n">
        <v>0</v>
      </c>
      <c r="H813" s="34" t="n">
        <f aca="false">+IF(E813=0,0,E813*0.03)</f>
        <v>0</v>
      </c>
    </row>
    <row r="814" customFormat="false" ht="15.75" hidden="false" customHeight="true" outlineLevel="0" collapsed="false">
      <c r="A814" s="30" t="n">
        <v>0</v>
      </c>
      <c r="B814" s="31" t="s">
        <v>11</v>
      </c>
      <c r="C814" s="32"/>
      <c r="D814" s="32"/>
      <c r="E814" s="19" t="n">
        <f aca="false">+IF(C814="EQUIPO",F814,0)</f>
        <v>0</v>
      </c>
      <c r="F814" s="33" t="n">
        <v>0</v>
      </c>
      <c r="G814" s="35" t="n">
        <v>0</v>
      </c>
      <c r="H814" s="34" t="n">
        <f aca="false">+IF(E814=0,0,E814*0.03)</f>
        <v>0</v>
      </c>
    </row>
    <row r="815" customFormat="false" ht="15.75" hidden="false" customHeight="true" outlineLevel="0" collapsed="false">
      <c r="A815" s="30" t="n">
        <v>0</v>
      </c>
      <c r="B815" s="31" t="s">
        <v>11</v>
      </c>
      <c r="C815" s="32"/>
      <c r="D815" s="32"/>
      <c r="E815" s="19" t="n">
        <f aca="false">+IF(C815="EQUIPO",F815,0)</f>
        <v>0</v>
      </c>
      <c r="F815" s="33" t="n">
        <v>0</v>
      </c>
      <c r="G815" s="35" t="n">
        <v>0</v>
      </c>
      <c r="H815" s="34" t="n">
        <f aca="false">+IF(E815=0,0,E815*0.03)</f>
        <v>0</v>
      </c>
    </row>
    <row r="816" customFormat="false" ht="15.75" hidden="false" customHeight="true" outlineLevel="0" collapsed="false">
      <c r="A816" s="30" t="n">
        <v>0</v>
      </c>
      <c r="B816" s="31" t="s">
        <v>11</v>
      </c>
      <c r="C816" s="32"/>
      <c r="D816" s="32"/>
      <c r="E816" s="19" t="n">
        <f aca="false">+IF(C816="EQUIPO",F816,0)</f>
        <v>0</v>
      </c>
      <c r="F816" s="33" t="n">
        <v>0</v>
      </c>
      <c r="G816" s="35" t="n">
        <v>0</v>
      </c>
      <c r="H816" s="34" t="n">
        <f aca="false">+IF(E816=0,0,E816*0.03)</f>
        <v>0</v>
      </c>
    </row>
    <row r="817" customFormat="false" ht="15.75" hidden="false" customHeight="true" outlineLevel="0" collapsed="false">
      <c r="A817" s="30" t="n">
        <v>0</v>
      </c>
      <c r="B817" s="31" t="s">
        <v>11</v>
      </c>
      <c r="C817" s="32"/>
      <c r="D817" s="32"/>
      <c r="E817" s="19" t="n">
        <f aca="false">+IF(C817="EQUIPO",F817,0)</f>
        <v>0</v>
      </c>
      <c r="F817" s="33" t="n">
        <v>0</v>
      </c>
      <c r="G817" s="35" t="n">
        <v>0</v>
      </c>
      <c r="H817" s="34" t="n">
        <f aca="false">+IF(E817=0,0,E817*0.03)</f>
        <v>0</v>
      </c>
    </row>
    <row r="818" customFormat="false" ht="15.75" hidden="false" customHeight="true" outlineLevel="0" collapsed="false">
      <c r="A818" s="30" t="n">
        <v>0</v>
      </c>
      <c r="B818" s="31" t="s">
        <v>11</v>
      </c>
      <c r="C818" s="32"/>
      <c r="D818" s="32"/>
      <c r="E818" s="19" t="n">
        <f aca="false">+IF(C818="EQUIPO",F818,0)</f>
        <v>0</v>
      </c>
      <c r="F818" s="33" t="n">
        <v>0</v>
      </c>
      <c r="G818" s="35" t="n">
        <v>0</v>
      </c>
      <c r="H818" s="34" t="n">
        <f aca="false">+IF(E818=0,0,E818*0.03)</f>
        <v>0</v>
      </c>
    </row>
    <row r="819" customFormat="false" ht="15.75" hidden="false" customHeight="true" outlineLevel="0" collapsed="false">
      <c r="A819" s="30" t="n">
        <v>0</v>
      </c>
      <c r="B819" s="31" t="s">
        <v>11</v>
      </c>
      <c r="C819" s="32"/>
      <c r="D819" s="32"/>
      <c r="E819" s="19" t="n">
        <f aca="false">+IF(C819="EQUIPO",F819,0)</f>
        <v>0</v>
      </c>
      <c r="F819" s="33" t="n">
        <v>0</v>
      </c>
      <c r="G819" s="35" t="n">
        <v>0</v>
      </c>
      <c r="H819" s="34" t="n">
        <f aca="false">+IF(E819=0,0,E819*0.03)</f>
        <v>0</v>
      </c>
    </row>
    <row r="820" customFormat="false" ht="15.75" hidden="false" customHeight="true" outlineLevel="0" collapsed="false">
      <c r="A820" s="30" t="n">
        <v>0</v>
      </c>
      <c r="B820" s="31" t="s">
        <v>11</v>
      </c>
      <c r="C820" s="32"/>
      <c r="D820" s="32"/>
      <c r="E820" s="19" t="n">
        <f aca="false">+IF(C820="EQUIPO",F820,0)</f>
        <v>0</v>
      </c>
      <c r="F820" s="33" t="n">
        <v>0</v>
      </c>
      <c r="G820" s="35" t="n">
        <v>0</v>
      </c>
      <c r="H820" s="34" t="n">
        <f aca="false">+IF(E820=0,0,E820*0.03)</f>
        <v>0</v>
      </c>
    </row>
    <row r="821" customFormat="false" ht="15.75" hidden="false" customHeight="true" outlineLevel="0" collapsed="false">
      <c r="A821" s="30" t="n">
        <v>0</v>
      </c>
      <c r="B821" s="31" t="s">
        <v>11</v>
      </c>
      <c r="C821" s="32"/>
      <c r="D821" s="32"/>
      <c r="E821" s="19" t="n">
        <f aca="false">+IF(C821="EQUIPO",F821,0)</f>
        <v>0</v>
      </c>
      <c r="F821" s="33" t="n">
        <v>0</v>
      </c>
      <c r="G821" s="35" t="n">
        <v>0</v>
      </c>
      <c r="H821" s="34" t="n">
        <f aca="false">+IF(E821=0,0,E821*0.03)</f>
        <v>0</v>
      </c>
    </row>
    <row r="822" customFormat="false" ht="15.75" hidden="false" customHeight="true" outlineLevel="0" collapsed="false">
      <c r="A822" s="30" t="n">
        <v>0</v>
      </c>
      <c r="B822" s="31" t="s">
        <v>11</v>
      </c>
      <c r="C822" s="32"/>
      <c r="D822" s="32"/>
      <c r="E822" s="19" t="n">
        <f aca="false">+IF(C822="EQUIPO",F822,0)</f>
        <v>0</v>
      </c>
      <c r="F822" s="33" t="n">
        <v>0</v>
      </c>
      <c r="G822" s="35" t="n">
        <v>0</v>
      </c>
      <c r="H822" s="34" t="n">
        <f aca="false">+IF(E822=0,0,E822*0.03)</f>
        <v>0</v>
      </c>
    </row>
    <row r="823" customFormat="false" ht="15.75" hidden="false" customHeight="true" outlineLevel="0" collapsed="false">
      <c r="A823" s="30" t="n">
        <v>0</v>
      </c>
      <c r="B823" s="31" t="s">
        <v>11</v>
      </c>
      <c r="C823" s="32"/>
      <c r="D823" s="32"/>
      <c r="E823" s="19" t="n">
        <f aca="false">+IF(C823="EQUIPO",F823,0)</f>
        <v>0</v>
      </c>
      <c r="F823" s="33" t="n">
        <v>0</v>
      </c>
      <c r="G823" s="35" t="n">
        <v>0</v>
      </c>
      <c r="H823" s="34" t="n">
        <f aca="false">+IF(E823=0,0,E823*0.03)</f>
        <v>0</v>
      </c>
    </row>
    <row r="824" customFormat="false" ht="15.75" hidden="false" customHeight="true" outlineLevel="0" collapsed="false">
      <c r="A824" s="30" t="n">
        <v>0</v>
      </c>
      <c r="B824" s="31" t="s">
        <v>11</v>
      </c>
      <c r="C824" s="32"/>
      <c r="D824" s="32"/>
      <c r="E824" s="19" t="n">
        <f aca="false">+IF(C824="EQUIPO",F824,0)</f>
        <v>0</v>
      </c>
      <c r="F824" s="33" t="n">
        <v>0</v>
      </c>
      <c r="G824" s="35" t="n">
        <v>0</v>
      </c>
      <c r="H824" s="34" t="n">
        <f aca="false">+IF(E824=0,0,E824*0.03)</f>
        <v>0</v>
      </c>
    </row>
    <row r="825" customFormat="false" ht="15.75" hidden="false" customHeight="true" outlineLevel="0" collapsed="false">
      <c r="A825" s="30" t="n">
        <v>0</v>
      </c>
      <c r="B825" s="31" t="s">
        <v>11</v>
      </c>
      <c r="C825" s="32"/>
      <c r="D825" s="32"/>
      <c r="E825" s="19" t="n">
        <f aca="false">+IF(C825="EQUIPO",F825,0)</f>
        <v>0</v>
      </c>
      <c r="F825" s="33" t="n">
        <v>0</v>
      </c>
      <c r="G825" s="35" t="n">
        <v>0</v>
      </c>
      <c r="H825" s="34" t="n">
        <f aca="false">+IF(E825=0,0,E825*0.03)</f>
        <v>0</v>
      </c>
    </row>
    <row r="826" customFormat="false" ht="15.75" hidden="false" customHeight="true" outlineLevel="0" collapsed="false">
      <c r="A826" s="30" t="n">
        <v>0</v>
      </c>
      <c r="B826" s="31" t="s">
        <v>11</v>
      </c>
      <c r="C826" s="32"/>
      <c r="D826" s="32"/>
      <c r="E826" s="19" t="n">
        <f aca="false">+IF(C826="EQUIPO",F826,0)</f>
        <v>0</v>
      </c>
      <c r="F826" s="33" t="n">
        <v>0</v>
      </c>
      <c r="G826" s="35" t="n">
        <v>0</v>
      </c>
      <c r="H826" s="34" t="n">
        <f aca="false">+IF(E826=0,0,E826*0.03)</f>
        <v>0</v>
      </c>
    </row>
    <row r="827" customFormat="false" ht="15.75" hidden="false" customHeight="true" outlineLevel="0" collapsed="false">
      <c r="A827" s="30" t="n">
        <v>0</v>
      </c>
      <c r="B827" s="31" t="s">
        <v>11</v>
      </c>
      <c r="C827" s="32"/>
      <c r="D827" s="32"/>
      <c r="E827" s="19" t="n">
        <f aca="false">+IF(C827="EQUIPO",F827,0)</f>
        <v>0</v>
      </c>
      <c r="F827" s="33" t="n">
        <v>0</v>
      </c>
      <c r="G827" s="35" t="n">
        <v>0</v>
      </c>
      <c r="H827" s="34" t="n">
        <f aca="false">+IF(E827=0,0,E827*0.03)</f>
        <v>0</v>
      </c>
    </row>
    <row r="828" customFormat="false" ht="15.75" hidden="false" customHeight="true" outlineLevel="0" collapsed="false">
      <c r="A828" s="30" t="n">
        <v>0</v>
      </c>
      <c r="B828" s="31" t="s">
        <v>11</v>
      </c>
      <c r="C828" s="32"/>
      <c r="D828" s="32"/>
      <c r="E828" s="19" t="n">
        <f aca="false">+IF(C828="EQUIPO",F828,0)</f>
        <v>0</v>
      </c>
      <c r="F828" s="33" t="n">
        <v>0</v>
      </c>
      <c r="G828" s="35" t="n">
        <v>0</v>
      </c>
      <c r="H828" s="34" t="n">
        <f aca="false">+IF(E828=0,0,E828*0.03)</f>
        <v>0</v>
      </c>
    </row>
    <row r="829" customFormat="false" ht="15.75" hidden="false" customHeight="true" outlineLevel="0" collapsed="false">
      <c r="A829" s="30" t="n">
        <v>0</v>
      </c>
      <c r="B829" s="31" t="s">
        <v>11</v>
      </c>
      <c r="C829" s="32"/>
      <c r="D829" s="32"/>
      <c r="E829" s="19" t="n">
        <f aca="false">+IF(C829="EQUIPO",F829,0)</f>
        <v>0</v>
      </c>
      <c r="F829" s="33" t="n">
        <v>0</v>
      </c>
      <c r="G829" s="35" t="n">
        <v>0</v>
      </c>
      <c r="H829" s="34" t="n">
        <f aca="false">+IF(E829=0,0,E829*0.03)</f>
        <v>0</v>
      </c>
    </row>
    <row r="830" customFormat="false" ht="15.75" hidden="false" customHeight="true" outlineLevel="0" collapsed="false">
      <c r="A830" s="30" t="n">
        <v>0</v>
      </c>
      <c r="B830" s="31" t="s">
        <v>11</v>
      </c>
      <c r="C830" s="32"/>
      <c r="D830" s="32"/>
      <c r="E830" s="19" t="n">
        <f aca="false">+IF(C830="EQUIPO",F830,0)</f>
        <v>0</v>
      </c>
      <c r="F830" s="33" t="n">
        <v>0</v>
      </c>
      <c r="G830" s="35" t="n">
        <v>0</v>
      </c>
      <c r="H830" s="34" t="n">
        <f aca="false">+IF(E830=0,0,E830*0.03)</f>
        <v>0</v>
      </c>
    </row>
    <row r="831" customFormat="false" ht="15.75" hidden="false" customHeight="true" outlineLevel="0" collapsed="false">
      <c r="A831" s="30" t="n">
        <v>0</v>
      </c>
      <c r="B831" s="31" t="s">
        <v>11</v>
      </c>
      <c r="C831" s="32"/>
      <c r="D831" s="32"/>
      <c r="E831" s="19" t="n">
        <f aca="false">+IF(C831="EQUIPO",F831,0)</f>
        <v>0</v>
      </c>
      <c r="F831" s="33" t="n">
        <v>0</v>
      </c>
      <c r="G831" s="35" t="n">
        <v>0</v>
      </c>
      <c r="H831" s="34" t="n">
        <f aca="false">+IF(E831=0,0,E831*0.03)</f>
        <v>0</v>
      </c>
    </row>
    <row r="832" customFormat="false" ht="15.75" hidden="false" customHeight="true" outlineLevel="0" collapsed="false">
      <c r="A832" s="30" t="n">
        <v>0</v>
      </c>
      <c r="B832" s="31" t="s">
        <v>11</v>
      </c>
      <c r="C832" s="32"/>
      <c r="D832" s="32"/>
      <c r="E832" s="19" t="n">
        <f aca="false">+IF(C832="EQUIPO",F832,0)</f>
        <v>0</v>
      </c>
      <c r="F832" s="33" t="n">
        <v>0</v>
      </c>
      <c r="G832" s="35" t="n">
        <v>0</v>
      </c>
      <c r="H832" s="34" t="n">
        <f aca="false">+IF(E832=0,0,E832*0.03)</f>
        <v>0</v>
      </c>
    </row>
    <row r="833" customFormat="false" ht="15.75" hidden="false" customHeight="true" outlineLevel="0" collapsed="false">
      <c r="A833" s="30" t="n">
        <v>0</v>
      </c>
      <c r="B833" s="31" t="s">
        <v>11</v>
      </c>
      <c r="C833" s="32"/>
      <c r="D833" s="32"/>
      <c r="E833" s="19" t="n">
        <f aca="false">+IF(C833="EQUIPO",F833,0)</f>
        <v>0</v>
      </c>
      <c r="F833" s="33" t="n">
        <v>0</v>
      </c>
      <c r="G833" s="35" t="n">
        <v>0</v>
      </c>
      <c r="H833" s="34" t="n">
        <f aca="false">+IF(E833=0,0,E833*0.03)</f>
        <v>0</v>
      </c>
    </row>
    <row r="834" customFormat="false" ht="15.75" hidden="false" customHeight="true" outlineLevel="0" collapsed="false">
      <c r="A834" s="30" t="n">
        <v>0</v>
      </c>
      <c r="B834" s="31" t="s">
        <v>11</v>
      </c>
      <c r="C834" s="32"/>
      <c r="D834" s="32"/>
      <c r="E834" s="19" t="n">
        <f aca="false">+IF(C834="EQUIPO",F834,0)</f>
        <v>0</v>
      </c>
      <c r="F834" s="33" t="n">
        <v>0</v>
      </c>
      <c r="G834" s="35" t="n">
        <v>0</v>
      </c>
      <c r="H834" s="34" t="n">
        <f aca="false">+IF(E834=0,0,E834*0.03)</f>
        <v>0</v>
      </c>
    </row>
    <row r="835" customFormat="false" ht="15.75" hidden="false" customHeight="true" outlineLevel="0" collapsed="false">
      <c r="A835" s="30" t="n">
        <v>0</v>
      </c>
      <c r="B835" s="31" t="s">
        <v>11</v>
      </c>
      <c r="C835" s="32"/>
      <c r="D835" s="32"/>
      <c r="E835" s="19" t="n">
        <f aca="false">+IF(C835="EQUIPO",F835,0)</f>
        <v>0</v>
      </c>
      <c r="F835" s="33" t="n">
        <v>0</v>
      </c>
      <c r="G835" s="35" t="n">
        <v>0</v>
      </c>
      <c r="H835" s="34" t="n">
        <f aca="false">+IF(E835=0,0,E835*0.03)</f>
        <v>0</v>
      </c>
    </row>
    <row r="836" customFormat="false" ht="15.75" hidden="false" customHeight="true" outlineLevel="0" collapsed="false">
      <c r="A836" s="30" t="n">
        <v>0</v>
      </c>
      <c r="B836" s="31" t="s">
        <v>11</v>
      </c>
      <c r="C836" s="32"/>
      <c r="D836" s="32"/>
      <c r="E836" s="19" t="n">
        <f aca="false">+IF(C836="EQUIPO",F836,0)</f>
        <v>0</v>
      </c>
      <c r="F836" s="33" t="n">
        <v>0</v>
      </c>
      <c r="G836" s="35" t="n">
        <v>0</v>
      </c>
      <c r="H836" s="34" t="n">
        <f aca="false">+IF(E836=0,0,E836*0.03)</f>
        <v>0</v>
      </c>
    </row>
    <row r="837" customFormat="false" ht="15.75" hidden="false" customHeight="true" outlineLevel="0" collapsed="false">
      <c r="A837" s="30" t="n">
        <v>0</v>
      </c>
      <c r="B837" s="31" t="s">
        <v>11</v>
      </c>
      <c r="C837" s="32"/>
      <c r="D837" s="32"/>
      <c r="E837" s="19" t="n">
        <f aca="false">+IF(C837="EQUIPO",F837,0)</f>
        <v>0</v>
      </c>
      <c r="F837" s="33" t="n">
        <v>0</v>
      </c>
      <c r="G837" s="35" t="n">
        <v>0</v>
      </c>
      <c r="H837" s="34" t="n">
        <f aca="false">+IF(E837=0,0,E837*0.03)</f>
        <v>0</v>
      </c>
    </row>
    <row r="838" customFormat="false" ht="15.75" hidden="false" customHeight="true" outlineLevel="0" collapsed="false">
      <c r="A838" s="30" t="n">
        <v>0</v>
      </c>
      <c r="B838" s="31" t="s">
        <v>11</v>
      </c>
      <c r="C838" s="32"/>
      <c r="D838" s="32"/>
      <c r="E838" s="19" t="n">
        <f aca="false">+IF(C838="EQUIPO",F838,0)</f>
        <v>0</v>
      </c>
      <c r="F838" s="33" t="n">
        <v>0</v>
      </c>
      <c r="G838" s="35" t="n">
        <v>0</v>
      </c>
      <c r="H838" s="34" t="n">
        <f aca="false">+IF(E838=0,0,E838*0.03)</f>
        <v>0</v>
      </c>
    </row>
    <row r="839" customFormat="false" ht="15.75" hidden="false" customHeight="true" outlineLevel="0" collapsed="false">
      <c r="A839" s="30" t="n">
        <v>0</v>
      </c>
      <c r="B839" s="31" t="s">
        <v>11</v>
      </c>
      <c r="C839" s="32"/>
      <c r="D839" s="32"/>
      <c r="E839" s="19" t="n">
        <f aca="false">+IF(C839="EQUIPO",F839,0)</f>
        <v>0</v>
      </c>
      <c r="F839" s="33" t="n">
        <v>0</v>
      </c>
      <c r="G839" s="35" t="n">
        <v>0</v>
      </c>
      <c r="H839" s="34" t="n">
        <f aca="false">+IF(E839=0,0,E839*0.03)</f>
        <v>0</v>
      </c>
    </row>
    <row r="840" customFormat="false" ht="15.75" hidden="false" customHeight="true" outlineLevel="0" collapsed="false">
      <c r="A840" s="30" t="n">
        <v>0</v>
      </c>
      <c r="B840" s="31" t="s">
        <v>11</v>
      </c>
      <c r="C840" s="32"/>
      <c r="D840" s="32"/>
      <c r="E840" s="19" t="n">
        <f aca="false">+IF(C840="EQUIPO",F840,0)</f>
        <v>0</v>
      </c>
      <c r="F840" s="33" t="n">
        <v>0</v>
      </c>
      <c r="G840" s="35" t="n">
        <v>0</v>
      </c>
      <c r="H840" s="34" t="n">
        <f aca="false">+IF(E840=0,0,E840*0.03)</f>
        <v>0</v>
      </c>
    </row>
    <row r="841" customFormat="false" ht="15.75" hidden="false" customHeight="true" outlineLevel="0" collapsed="false">
      <c r="A841" s="30" t="n">
        <v>0</v>
      </c>
      <c r="B841" s="31" t="s">
        <v>11</v>
      </c>
      <c r="C841" s="32"/>
      <c r="D841" s="32"/>
      <c r="E841" s="19" t="n">
        <f aca="false">+IF(C841="EQUIPO",F841,0)</f>
        <v>0</v>
      </c>
      <c r="F841" s="33" t="n">
        <v>0</v>
      </c>
      <c r="G841" s="35" t="n">
        <v>0</v>
      </c>
      <c r="H841" s="34" t="n">
        <f aca="false">+IF(E841=0,0,E841*0.03)</f>
        <v>0</v>
      </c>
    </row>
    <row r="842" customFormat="false" ht="15.75" hidden="false" customHeight="true" outlineLevel="0" collapsed="false">
      <c r="A842" s="30" t="n">
        <v>0</v>
      </c>
      <c r="B842" s="31" t="s">
        <v>11</v>
      </c>
      <c r="C842" s="32"/>
      <c r="D842" s="32"/>
      <c r="E842" s="19" t="n">
        <f aca="false">+IF(C842="EQUIPO",F842,0)</f>
        <v>0</v>
      </c>
      <c r="F842" s="33" t="n">
        <v>0</v>
      </c>
      <c r="G842" s="35" t="n">
        <v>0</v>
      </c>
      <c r="H842" s="34" t="n">
        <f aca="false">+IF(E842=0,0,E842*0.03)</f>
        <v>0</v>
      </c>
    </row>
    <row r="843" customFormat="false" ht="15.75" hidden="false" customHeight="true" outlineLevel="0" collapsed="false">
      <c r="A843" s="30" t="n">
        <v>0</v>
      </c>
      <c r="B843" s="31" t="s">
        <v>11</v>
      </c>
      <c r="C843" s="32"/>
      <c r="D843" s="32"/>
      <c r="E843" s="19" t="n">
        <f aca="false">+IF(C843="EQUIPO",F843,0)</f>
        <v>0</v>
      </c>
      <c r="F843" s="33" t="n">
        <v>0</v>
      </c>
      <c r="G843" s="35" t="n">
        <v>0</v>
      </c>
      <c r="H843" s="34" t="n">
        <f aca="false">+IF(E843=0,0,E843*0.03)</f>
        <v>0</v>
      </c>
    </row>
    <row r="844" customFormat="false" ht="15.75" hidden="false" customHeight="true" outlineLevel="0" collapsed="false">
      <c r="A844" s="30" t="n">
        <v>0</v>
      </c>
      <c r="B844" s="31" t="s">
        <v>11</v>
      </c>
      <c r="C844" s="32"/>
      <c r="D844" s="32"/>
      <c r="E844" s="19" t="n">
        <f aca="false">+IF(C844="EQUIPO",F844,0)</f>
        <v>0</v>
      </c>
      <c r="F844" s="33" t="n">
        <v>0</v>
      </c>
      <c r="G844" s="35" t="n">
        <v>0</v>
      </c>
      <c r="H844" s="34" t="n">
        <f aca="false">+IF(E844=0,0,E844*0.03)</f>
        <v>0</v>
      </c>
    </row>
    <row r="845" customFormat="false" ht="15.75" hidden="false" customHeight="true" outlineLevel="0" collapsed="false">
      <c r="A845" s="30" t="n">
        <v>0</v>
      </c>
      <c r="B845" s="31" t="s">
        <v>11</v>
      </c>
      <c r="C845" s="32"/>
      <c r="D845" s="32"/>
      <c r="E845" s="19" t="n">
        <f aca="false">+IF(C845="EQUIPO",F845,0)</f>
        <v>0</v>
      </c>
      <c r="F845" s="33" t="n">
        <v>0</v>
      </c>
      <c r="G845" s="35" t="n">
        <v>0</v>
      </c>
      <c r="H845" s="34" t="n">
        <f aca="false">+IF(E845=0,0,E845*0.03)</f>
        <v>0</v>
      </c>
    </row>
    <row r="846" customFormat="false" ht="15.75" hidden="false" customHeight="true" outlineLevel="0" collapsed="false">
      <c r="A846" s="30" t="n">
        <v>0</v>
      </c>
      <c r="B846" s="31" t="s">
        <v>11</v>
      </c>
      <c r="C846" s="32"/>
      <c r="D846" s="32"/>
      <c r="E846" s="19" t="n">
        <f aca="false">+IF(C846="EQUIPO",F846,0)</f>
        <v>0</v>
      </c>
      <c r="F846" s="33" t="n">
        <v>0</v>
      </c>
      <c r="G846" s="35" t="n">
        <v>0</v>
      </c>
      <c r="H846" s="34" t="n">
        <f aca="false">+IF(E846=0,0,E846*0.03)</f>
        <v>0</v>
      </c>
    </row>
    <row r="847" customFormat="false" ht="15.75" hidden="false" customHeight="true" outlineLevel="0" collapsed="false">
      <c r="A847" s="30" t="n">
        <v>0</v>
      </c>
      <c r="B847" s="31" t="s">
        <v>11</v>
      </c>
      <c r="C847" s="32"/>
      <c r="D847" s="32"/>
      <c r="E847" s="19" t="n">
        <f aca="false">+IF(C847="EQUIPO",F847,0)</f>
        <v>0</v>
      </c>
      <c r="F847" s="33" t="n">
        <v>0</v>
      </c>
      <c r="G847" s="35" t="n">
        <v>0</v>
      </c>
      <c r="H847" s="34" t="n">
        <f aca="false">+IF(E847=0,0,E847*0.03)</f>
        <v>0</v>
      </c>
    </row>
    <row r="848" customFormat="false" ht="15.75" hidden="false" customHeight="true" outlineLevel="0" collapsed="false">
      <c r="A848" s="30" t="n">
        <v>0</v>
      </c>
      <c r="B848" s="31" t="s">
        <v>11</v>
      </c>
      <c r="C848" s="32"/>
      <c r="D848" s="32"/>
      <c r="E848" s="19" t="n">
        <f aca="false">+IF(C848="EQUIPO",F848,0)</f>
        <v>0</v>
      </c>
      <c r="F848" s="33" t="n">
        <v>0</v>
      </c>
      <c r="G848" s="35" t="n">
        <v>0</v>
      </c>
      <c r="H848" s="34" t="n">
        <f aca="false">+IF(E848=0,0,E848*0.03)</f>
        <v>0</v>
      </c>
    </row>
    <row r="849" customFormat="false" ht="15.75" hidden="false" customHeight="true" outlineLevel="0" collapsed="false">
      <c r="A849" s="30" t="n">
        <v>0</v>
      </c>
      <c r="B849" s="31" t="s">
        <v>11</v>
      </c>
      <c r="C849" s="32"/>
      <c r="D849" s="32"/>
      <c r="E849" s="19" t="n">
        <f aca="false">+IF(C849="EQUIPO",F849,0)</f>
        <v>0</v>
      </c>
      <c r="F849" s="33" t="n">
        <v>0</v>
      </c>
      <c r="G849" s="35" t="n">
        <v>0</v>
      </c>
      <c r="H849" s="34" t="n">
        <f aca="false">+IF(E849=0,0,E849*0.03)</f>
        <v>0</v>
      </c>
    </row>
    <row r="850" customFormat="false" ht="15.75" hidden="false" customHeight="true" outlineLevel="0" collapsed="false">
      <c r="A850" s="30" t="n">
        <v>0</v>
      </c>
      <c r="B850" s="31" t="s">
        <v>11</v>
      </c>
      <c r="C850" s="32"/>
      <c r="D850" s="32"/>
      <c r="E850" s="19" t="n">
        <f aca="false">+IF(C850="EQUIPO",F850,0)</f>
        <v>0</v>
      </c>
      <c r="F850" s="33" t="n">
        <v>0</v>
      </c>
      <c r="G850" s="35" t="n">
        <v>0</v>
      </c>
      <c r="H850" s="34" t="n">
        <f aca="false">+IF(E850=0,0,E850*0.03)</f>
        <v>0</v>
      </c>
    </row>
    <row r="851" customFormat="false" ht="15.75" hidden="false" customHeight="true" outlineLevel="0" collapsed="false">
      <c r="A851" s="30" t="n">
        <v>0</v>
      </c>
      <c r="B851" s="31" t="s">
        <v>11</v>
      </c>
      <c r="C851" s="32"/>
      <c r="D851" s="32"/>
      <c r="E851" s="19" t="n">
        <f aca="false">+IF(C851="EQUIPO",F851,0)</f>
        <v>0</v>
      </c>
      <c r="F851" s="33" t="n">
        <v>0</v>
      </c>
      <c r="G851" s="35" t="n">
        <v>0</v>
      </c>
      <c r="H851" s="34" t="n">
        <f aca="false">+IF(E851=0,0,E851*0.03)</f>
        <v>0</v>
      </c>
    </row>
    <row r="852" customFormat="false" ht="15.75" hidden="false" customHeight="true" outlineLevel="0" collapsed="false">
      <c r="A852" s="30" t="n">
        <v>0</v>
      </c>
      <c r="B852" s="31" t="s">
        <v>11</v>
      </c>
      <c r="C852" s="32"/>
      <c r="D852" s="32"/>
      <c r="E852" s="19" t="n">
        <f aca="false">+IF(C852="EQUIPO",F852,0)</f>
        <v>0</v>
      </c>
      <c r="F852" s="33" t="n">
        <v>0</v>
      </c>
      <c r="G852" s="35" t="n">
        <v>0</v>
      </c>
      <c r="H852" s="34" t="n">
        <f aca="false">+IF(E852=0,0,E852*0.03)</f>
        <v>0</v>
      </c>
    </row>
    <row r="853" customFormat="false" ht="15.75" hidden="false" customHeight="true" outlineLevel="0" collapsed="false">
      <c r="A853" s="30" t="n">
        <v>0</v>
      </c>
      <c r="B853" s="31" t="s">
        <v>11</v>
      </c>
      <c r="C853" s="32"/>
      <c r="D853" s="32"/>
      <c r="E853" s="19" t="n">
        <f aca="false">+IF(C853="EQUIPO",F853,0)</f>
        <v>0</v>
      </c>
      <c r="F853" s="33" t="n">
        <v>0</v>
      </c>
      <c r="G853" s="35" t="n">
        <v>0</v>
      </c>
      <c r="H853" s="34" t="n">
        <f aca="false">+IF(E853=0,0,E853*0.03)</f>
        <v>0</v>
      </c>
    </row>
    <row r="854" customFormat="false" ht="15.75" hidden="false" customHeight="true" outlineLevel="0" collapsed="false">
      <c r="A854" s="30" t="n">
        <v>0</v>
      </c>
      <c r="B854" s="31" t="s">
        <v>11</v>
      </c>
      <c r="C854" s="32"/>
      <c r="D854" s="32"/>
      <c r="E854" s="19" t="n">
        <f aca="false">+IF(C854="EQUIPO",F854,0)</f>
        <v>0</v>
      </c>
      <c r="F854" s="33" t="n">
        <v>0</v>
      </c>
      <c r="G854" s="35" t="n">
        <v>0</v>
      </c>
      <c r="H854" s="34" t="n">
        <f aca="false">+IF(E854=0,0,E854*0.03)</f>
        <v>0</v>
      </c>
    </row>
    <row r="855" customFormat="false" ht="15.75" hidden="false" customHeight="true" outlineLevel="0" collapsed="false">
      <c r="A855" s="30" t="n">
        <v>0</v>
      </c>
      <c r="B855" s="31" t="s">
        <v>11</v>
      </c>
      <c r="C855" s="32"/>
      <c r="D855" s="32"/>
      <c r="E855" s="19" t="n">
        <f aca="false">+IF(C855="EQUIPO",F855,0)</f>
        <v>0</v>
      </c>
      <c r="F855" s="33" t="n">
        <v>0</v>
      </c>
      <c r="G855" s="35" t="n">
        <v>0</v>
      </c>
      <c r="H855" s="34" t="n">
        <f aca="false">+IF(E855=0,0,E855*0.03)</f>
        <v>0</v>
      </c>
    </row>
    <row r="856" customFormat="false" ht="15.75" hidden="false" customHeight="true" outlineLevel="0" collapsed="false">
      <c r="A856" s="30" t="n">
        <v>0</v>
      </c>
      <c r="B856" s="31" t="s">
        <v>11</v>
      </c>
      <c r="C856" s="32"/>
      <c r="D856" s="32"/>
      <c r="E856" s="19" t="n">
        <f aca="false">+IF(C856="EQUIPO",F856,0)</f>
        <v>0</v>
      </c>
      <c r="F856" s="33" t="n">
        <v>0</v>
      </c>
      <c r="G856" s="35" t="n">
        <v>0</v>
      </c>
      <c r="H856" s="34" t="n">
        <f aca="false">+IF(E856=0,0,E856*0.03)</f>
        <v>0</v>
      </c>
    </row>
    <row r="857" customFormat="false" ht="15.75" hidden="false" customHeight="true" outlineLevel="0" collapsed="false">
      <c r="A857" s="30" t="n">
        <v>0</v>
      </c>
      <c r="B857" s="31" t="s">
        <v>11</v>
      </c>
      <c r="C857" s="32"/>
      <c r="D857" s="32"/>
      <c r="E857" s="19" t="n">
        <f aca="false">+IF(C857="EQUIPO",F857,0)</f>
        <v>0</v>
      </c>
      <c r="F857" s="33" t="n">
        <v>0</v>
      </c>
      <c r="G857" s="35" t="n">
        <v>0</v>
      </c>
      <c r="H857" s="34" t="n">
        <f aca="false">+IF(E857=0,0,E857*0.03)</f>
        <v>0</v>
      </c>
    </row>
    <row r="858" customFormat="false" ht="15.75" hidden="false" customHeight="true" outlineLevel="0" collapsed="false">
      <c r="A858" s="30" t="n">
        <v>0</v>
      </c>
      <c r="B858" s="31" t="s">
        <v>11</v>
      </c>
      <c r="C858" s="32"/>
      <c r="D858" s="32"/>
      <c r="E858" s="19" t="n">
        <f aca="false">+IF(C858="EQUIPO",F858,0)</f>
        <v>0</v>
      </c>
      <c r="F858" s="33" t="n">
        <v>0</v>
      </c>
      <c r="G858" s="35" t="n">
        <v>0</v>
      </c>
      <c r="H858" s="34" t="n">
        <f aca="false">+IF(E858=0,0,E858*0.03)</f>
        <v>0</v>
      </c>
    </row>
    <row r="859" customFormat="false" ht="15.75" hidden="false" customHeight="true" outlineLevel="0" collapsed="false">
      <c r="A859" s="30" t="n">
        <v>0</v>
      </c>
      <c r="B859" s="31" t="s">
        <v>11</v>
      </c>
      <c r="C859" s="32"/>
      <c r="D859" s="32"/>
      <c r="E859" s="19" t="n">
        <f aca="false">+IF(C859="EQUIPO",F859,0)</f>
        <v>0</v>
      </c>
      <c r="F859" s="33" t="n">
        <v>0</v>
      </c>
      <c r="G859" s="35" t="n">
        <v>0</v>
      </c>
      <c r="H859" s="34" t="n">
        <f aca="false">+IF(E859=0,0,E859*0.03)</f>
        <v>0</v>
      </c>
    </row>
    <row r="860" customFormat="false" ht="15.75" hidden="false" customHeight="true" outlineLevel="0" collapsed="false">
      <c r="A860" s="30" t="n">
        <v>0</v>
      </c>
      <c r="B860" s="31" t="s">
        <v>11</v>
      </c>
      <c r="C860" s="32"/>
      <c r="D860" s="32"/>
      <c r="E860" s="19" t="n">
        <f aca="false">+IF(C860="EQUIPO",F860,0)</f>
        <v>0</v>
      </c>
      <c r="F860" s="33" t="n">
        <v>0</v>
      </c>
      <c r="G860" s="35" t="n">
        <v>0</v>
      </c>
      <c r="H860" s="34" t="n">
        <f aca="false">+IF(E860=0,0,E860*0.03)</f>
        <v>0</v>
      </c>
    </row>
    <row r="861" customFormat="false" ht="15.75" hidden="false" customHeight="true" outlineLevel="0" collapsed="false">
      <c r="A861" s="30" t="n">
        <v>0</v>
      </c>
      <c r="B861" s="31" t="s">
        <v>11</v>
      </c>
      <c r="C861" s="32"/>
      <c r="D861" s="32"/>
      <c r="E861" s="19" t="n">
        <f aca="false">+IF(C861="EQUIPO",F861,0)</f>
        <v>0</v>
      </c>
      <c r="F861" s="33" t="n">
        <v>0</v>
      </c>
      <c r="G861" s="35" t="n">
        <v>0</v>
      </c>
      <c r="H861" s="34" t="n">
        <f aca="false">+IF(E861=0,0,E861*0.03)</f>
        <v>0</v>
      </c>
    </row>
    <row r="862" customFormat="false" ht="15.75" hidden="false" customHeight="true" outlineLevel="0" collapsed="false">
      <c r="A862" s="30" t="n">
        <v>0</v>
      </c>
      <c r="B862" s="31" t="s">
        <v>11</v>
      </c>
      <c r="C862" s="32"/>
      <c r="D862" s="32"/>
      <c r="E862" s="19" t="n">
        <f aca="false">+IF(C862="EQUIPO",F862,0)</f>
        <v>0</v>
      </c>
      <c r="F862" s="33" t="n">
        <v>0</v>
      </c>
      <c r="G862" s="35" t="n">
        <v>0</v>
      </c>
      <c r="H862" s="34" t="n">
        <f aca="false">+IF(E862=0,0,E862*0.03)</f>
        <v>0</v>
      </c>
    </row>
    <row r="863" customFormat="false" ht="15.75" hidden="false" customHeight="true" outlineLevel="0" collapsed="false">
      <c r="A863" s="30" t="n">
        <v>0</v>
      </c>
      <c r="B863" s="31" t="s">
        <v>11</v>
      </c>
      <c r="C863" s="32"/>
      <c r="D863" s="32"/>
      <c r="E863" s="19" t="n">
        <f aca="false">+IF(C863="EQUIPO",F863,0)</f>
        <v>0</v>
      </c>
      <c r="F863" s="33" t="n">
        <v>0</v>
      </c>
      <c r="G863" s="35" t="n">
        <v>0</v>
      </c>
      <c r="H863" s="34" t="n">
        <f aca="false">+IF(E863=0,0,E863*0.03)</f>
        <v>0</v>
      </c>
    </row>
    <row r="864" customFormat="false" ht="15.75" hidden="false" customHeight="true" outlineLevel="0" collapsed="false">
      <c r="A864" s="30" t="n">
        <v>0</v>
      </c>
      <c r="B864" s="31" t="s">
        <v>11</v>
      </c>
      <c r="C864" s="32"/>
      <c r="D864" s="32"/>
      <c r="E864" s="19" t="n">
        <f aca="false">+IF(C864="EQUIPO",F864,0)</f>
        <v>0</v>
      </c>
      <c r="F864" s="33" t="n">
        <v>0</v>
      </c>
      <c r="G864" s="35" t="n">
        <v>0</v>
      </c>
      <c r="H864" s="34" t="n">
        <f aca="false">+IF(E864=0,0,E864*0.03)</f>
        <v>0</v>
      </c>
    </row>
    <row r="865" customFormat="false" ht="15.75" hidden="false" customHeight="true" outlineLevel="0" collapsed="false">
      <c r="A865" s="30" t="n">
        <v>0</v>
      </c>
      <c r="B865" s="31" t="s">
        <v>11</v>
      </c>
      <c r="C865" s="32"/>
      <c r="D865" s="32"/>
      <c r="E865" s="19" t="n">
        <f aca="false">+IF(C865="EQUIPO",F865,0)</f>
        <v>0</v>
      </c>
      <c r="F865" s="33" t="n">
        <v>0</v>
      </c>
      <c r="G865" s="35" t="n">
        <v>0</v>
      </c>
      <c r="H865" s="34" t="n">
        <f aca="false">+IF(E865=0,0,E865*0.03)</f>
        <v>0</v>
      </c>
    </row>
    <row r="866" customFormat="false" ht="15.75" hidden="false" customHeight="true" outlineLevel="0" collapsed="false">
      <c r="A866" s="30" t="n">
        <v>0</v>
      </c>
      <c r="B866" s="31" t="s">
        <v>11</v>
      </c>
      <c r="C866" s="32"/>
      <c r="D866" s="32"/>
      <c r="E866" s="19" t="n">
        <f aca="false">+IF(C866="EQUIPO",F866,0)</f>
        <v>0</v>
      </c>
      <c r="F866" s="33" t="n">
        <v>0</v>
      </c>
      <c r="G866" s="35" t="n">
        <v>0</v>
      </c>
      <c r="H866" s="34" t="n">
        <f aca="false">+IF(E866=0,0,E866*0.03)</f>
        <v>0</v>
      </c>
    </row>
    <row r="867" customFormat="false" ht="15.75" hidden="false" customHeight="true" outlineLevel="0" collapsed="false">
      <c r="A867" s="30" t="n">
        <v>0</v>
      </c>
      <c r="B867" s="31" t="s">
        <v>11</v>
      </c>
      <c r="C867" s="32"/>
      <c r="D867" s="32"/>
      <c r="E867" s="19" t="n">
        <f aca="false">+IF(C867="EQUIPO",F867,0)</f>
        <v>0</v>
      </c>
      <c r="F867" s="33" t="n">
        <v>0</v>
      </c>
      <c r="G867" s="35" t="n">
        <v>0</v>
      </c>
      <c r="H867" s="34" t="n">
        <f aca="false">+IF(E867=0,0,E867*0.03)</f>
        <v>0</v>
      </c>
    </row>
    <row r="868" customFormat="false" ht="15.75" hidden="false" customHeight="true" outlineLevel="0" collapsed="false">
      <c r="A868" s="30" t="n">
        <v>0</v>
      </c>
      <c r="B868" s="31" t="s">
        <v>11</v>
      </c>
      <c r="C868" s="32"/>
      <c r="D868" s="32"/>
      <c r="E868" s="19" t="n">
        <f aca="false">+IF(C868="EQUIPO",F868,0)</f>
        <v>0</v>
      </c>
      <c r="F868" s="33" t="n">
        <v>0</v>
      </c>
      <c r="G868" s="35" t="n">
        <v>0</v>
      </c>
      <c r="H868" s="34" t="n">
        <f aca="false">+IF(E868=0,0,E868*0.03)</f>
        <v>0</v>
      </c>
    </row>
    <row r="869" customFormat="false" ht="15.75" hidden="false" customHeight="true" outlineLevel="0" collapsed="false">
      <c r="A869" s="30" t="n">
        <v>0</v>
      </c>
      <c r="B869" s="31" t="s">
        <v>11</v>
      </c>
      <c r="C869" s="32"/>
      <c r="D869" s="32"/>
      <c r="E869" s="19" t="n">
        <f aca="false">+IF(C869="EQUIPO",F869,0)</f>
        <v>0</v>
      </c>
      <c r="F869" s="33" t="n">
        <v>0</v>
      </c>
      <c r="G869" s="35" t="n">
        <v>0</v>
      </c>
      <c r="H869" s="34" t="n">
        <f aca="false">+IF(E869=0,0,E869*0.03)</f>
        <v>0</v>
      </c>
    </row>
    <row r="870" customFormat="false" ht="15.75" hidden="false" customHeight="true" outlineLevel="0" collapsed="false">
      <c r="A870" s="30" t="n">
        <v>0</v>
      </c>
      <c r="B870" s="31" t="s">
        <v>11</v>
      </c>
      <c r="C870" s="32"/>
      <c r="D870" s="32"/>
      <c r="E870" s="19" t="n">
        <f aca="false">+IF(C870="EQUIPO",F870,0)</f>
        <v>0</v>
      </c>
      <c r="F870" s="33" t="n">
        <v>0</v>
      </c>
      <c r="G870" s="35" t="n">
        <v>0</v>
      </c>
      <c r="H870" s="34" t="n">
        <f aca="false">+IF(E870=0,0,E870*0.03)</f>
        <v>0</v>
      </c>
    </row>
    <row r="871" customFormat="false" ht="15.75" hidden="false" customHeight="true" outlineLevel="0" collapsed="false">
      <c r="A871" s="30" t="n">
        <v>0</v>
      </c>
      <c r="B871" s="31" t="s">
        <v>11</v>
      </c>
      <c r="C871" s="32"/>
      <c r="D871" s="32"/>
      <c r="E871" s="19" t="n">
        <f aca="false">+IF(C871="EQUIPO",F871,0)</f>
        <v>0</v>
      </c>
      <c r="F871" s="33" t="n">
        <v>0</v>
      </c>
      <c r="G871" s="35" t="n">
        <v>0</v>
      </c>
      <c r="H871" s="34" t="n">
        <f aca="false">+IF(E871=0,0,E871*0.03)</f>
        <v>0</v>
      </c>
    </row>
    <row r="872" customFormat="false" ht="15.75" hidden="false" customHeight="true" outlineLevel="0" collapsed="false">
      <c r="A872" s="30" t="n">
        <v>0</v>
      </c>
      <c r="B872" s="31" t="s">
        <v>11</v>
      </c>
      <c r="C872" s="32"/>
      <c r="D872" s="32"/>
      <c r="E872" s="19" t="n">
        <f aca="false">+IF(C872="EQUIPO",F872,0)</f>
        <v>0</v>
      </c>
      <c r="F872" s="33" t="n">
        <v>0</v>
      </c>
      <c r="G872" s="35" t="n">
        <v>0</v>
      </c>
      <c r="H872" s="34" t="n">
        <f aca="false">+IF(E872=0,0,E872*0.03)</f>
        <v>0</v>
      </c>
    </row>
    <row r="873" customFormat="false" ht="15.75" hidden="false" customHeight="true" outlineLevel="0" collapsed="false">
      <c r="A873" s="30" t="n">
        <v>0</v>
      </c>
      <c r="B873" s="31" t="s">
        <v>11</v>
      </c>
      <c r="C873" s="32"/>
      <c r="D873" s="32"/>
      <c r="E873" s="19" t="n">
        <f aca="false">+IF(C873="EQUIPO",F873,0)</f>
        <v>0</v>
      </c>
      <c r="F873" s="33" t="n">
        <v>0</v>
      </c>
      <c r="G873" s="35" t="n">
        <v>0</v>
      </c>
      <c r="H873" s="34" t="n">
        <f aca="false">+IF(E873=0,0,E873*0.03)</f>
        <v>0</v>
      </c>
    </row>
    <row r="874" customFormat="false" ht="15.75" hidden="false" customHeight="true" outlineLevel="0" collapsed="false">
      <c r="A874" s="30" t="n">
        <v>0</v>
      </c>
      <c r="B874" s="31" t="s">
        <v>11</v>
      </c>
      <c r="C874" s="32"/>
      <c r="D874" s="32"/>
      <c r="E874" s="19" t="n">
        <f aca="false">+IF(C874="EQUIPO",F874,0)</f>
        <v>0</v>
      </c>
      <c r="F874" s="33" t="n">
        <v>0</v>
      </c>
      <c r="G874" s="35" t="n">
        <v>0</v>
      </c>
      <c r="H874" s="34" t="n">
        <f aca="false">+IF(E874=0,0,E874*0.03)</f>
        <v>0</v>
      </c>
    </row>
    <row r="875" customFormat="false" ht="15.75" hidden="false" customHeight="true" outlineLevel="0" collapsed="false">
      <c r="A875" s="30" t="n">
        <v>0</v>
      </c>
      <c r="B875" s="31" t="s">
        <v>11</v>
      </c>
      <c r="C875" s="32"/>
      <c r="D875" s="32"/>
      <c r="E875" s="19" t="n">
        <f aca="false">+IF(C875="EQUIPO",F875,0)</f>
        <v>0</v>
      </c>
      <c r="F875" s="33" t="n">
        <v>0</v>
      </c>
      <c r="G875" s="35" t="n">
        <v>0</v>
      </c>
      <c r="H875" s="34" t="n">
        <f aca="false">+IF(E875=0,0,E875*0.03)</f>
        <v>0</v>
      </c>
    </row>
    <row r="876" customFormat="false" ht="15.75" hidden="false" customHeight="true" outlineLevel="0" collapsed="false">
      <c r="A876" s="30" t="n">
        <v>0</v>
      </c>
      <c r="B876" s="31" t="s">
        <v>11</v>
      </c>
      <c r="C876" s="32"/>
      <c r="D876" s="32"/>
      <c r="E876" s="19" t="n">
        <f aca="false">+IF(C876="EQUIPO",F876,0)</f>
        <v>0</v>
      </c>
      <c r="F876" s="33" t="n">
        <v>0</v>
      </c>
      <c r="G876" s="35" t="n">
        <v>0</v>
      </c>
      <c r="H876" s="34" t="n">
        <f aca="false">+IF(E876=0,0,E876*0.03)</f>
        <v>0</v>
      </c>
    </row>
    <row r="877" customFormat="false" ht="15.75" hidden="false" customHeight="true" outlineLevel="0" collapsed="false">
      <c r="A877" s="30" t="n">
        <v>0</v>
      </c>
      <c r="B877" s="31" t="s">
        <v>11</v>
      </c>
      <c r="C877" s="32"/>
      <c r="D877" s="32"/>
      <c r="E877" s="19" t="n">
        <f aca="false">+IF(C877="EQUIPO",F877,0)</f>
        <v>0</v>
      </c>
      <c r="F877" s="33" t="n">
        <v>0</v>
      </c>
      <c r="G877" s="35" t="n">
        <v>0</v>
      </c>
      <c r="H877" s="34" t="n">
        <f aca="false">+IF(E877=0,0,E877*0.03)</f>
        <v>0</v>
      </c>
    </row>
    <row r="878" customFormat="false" ht="15.75" hidden="false" customHeight="true" outlineLevel="0" collapsed="false">
      <c r="A878" s="30" t="n">
        <v>0</v>
      </c>
      <c r="B878" s="31" t="s">
        <v>11</v>
      </c>
      <c r="C878" s="32"/>
      <c r="D878" s="32"/>
      <c r="E878" s="19" t="n">
        <f aca="false">+IF(C878="EQUIPO",F878,0)</f>
        <v>0</v>
      </c>
      <c r="F878" s="33" t="n">
        <v>0</v>
      </c>
      <c r="G878" s="35" t="n">
        <v>0</v>
      </c>
      <c r="H878" s="34" t="n">
        <f aca="false">+IF(E878=0,0,E878*0.03)</f>
        <v>0</v>
      </c>
    </row>
    <row r="879" customFormat="false" ht="15.75" hidden="false" customHeight="true" outlineLevel="0" collapsed="false">
      <c r="A879" s="30" t="n">
        <v>0</v>
      </c>
      <c r="B879" s="31" t="s">
        <v>11</v>
      </c>
      <c r="C879" s="32"/>
      <c r="D879" s="32"/>
      <c r="E879" s="19" t="n">
        <f aca="false">+IF(C879="EQUIPO",F879,0)</f>
        <v>0</v>
      </c>
      <c r="F879" s="33" t="n">
        <v>0</v>
      </c>
      <c r="G879" s="35" t="n">
        <v>0</v>
      </c>
      <c r="H879" s="34" t="n">
        <f aca="false">+IF(E879=0,0,E879*0.03)</f>
        <v>0</v>
      </c>
    </row>
    <row r="880" customFormat="false" ht="15.75" hidden="false" customHeight="true" outlineLevel="0" collapsed="false">
      <c r="A880" s="30" t="n">
        <v>0</v>
      </c>
      <c r="B880" s="31" t="s">
        <v>11</v>
      </c>
      <c r="C880" s="32"/>
      <c r="D880" s="32"/>
      <c r="E880" s="19" t="n">
        <f aca="false">+IF(C880="EQUIPO",F880,0)</f>
        <v>0</v>
      </c>
      <c r="F880" s="33" t="n">
        <v>0</v>
      </c>
      <c r="G880" s="35" t="n">
        <v>0</v>
      </c>
      <c r="H880" s="34" t="n">
        <f aca="false">+IF(E880=0,0,E880*0.03)</f>
        <v>0</v>
      </c>
    </row>
    <row r="881" customFormat="false" ht="15.75" hidden="false" customHeight="true" outlineLevel="0" collapsed="false">
      <c r="A881" s="30" t="n">
        <v>0</v>
      </c>
      <c r="B881" s="31" t="s">
        <v>11</v>
      </c>
      <c r="C881" s="32"/>
      <c r="D881" s="32"/>
      <c r="E881" s="19" t="n">
        <f aca="false">+IF(C881="EQUIPO",F881,0)</f>
        <v>0</v>
      </c>
      <c r="F881" s="33" t="n">
        <v>0</v>
      </c>
      <c r="G881" s="35" t="n">
        <v>0</v>
      </c>
      <c r="H881" s="34" t="n">
        <f aca="false">+IF(E881=0,0,E881*0.03)</f>
        <v>0</v>
      </c>
    </row>
    <row r="882" customFormat="false" ht="15.75" hidden="false" customHeight="true" outlineLevel="0" collapsed="false">
      <c r="A882" s="30" t="n">
        <v>0</v>
      </c>
      <c r="B882" s="31" t="s">
        <v>11</v>
      </c>
      <c r="C882" s="32"/>
      <c r="D882" s="32"/>
      <c r="E882" s="19" t="n">
        <f aca="false">+IF(C882="EQUIPO",F882,0)</f>
        <v>0</v>
      </c>
      <c r="F882" s="33" t="n">
        <v>0</v>
      </c>
      <c r="G882" s="35" t="n">
        <v>0</v>
      </c>
      <c r="H882" s="34" t="n">
        <f aca="false">+IF(E882=0,0,E882*0.03)</f>
        <v>0</v>
      </c>
    </row>
    <row r="883" customFormat="false" ht="15.75" hidden="false" customHeight="true" outlineLevel="0" collapsed="false">
      <c r="A883" s="30" t="n">
        <v>0</v>
      </c>
      <c r="B883" s="31" t="s">
        <v>11</v>
      </c>
      <c r="C883" s="32"/>
      <c r="D883" s="32"/>
      <c r="E883" s="19" t="n">
        <f aca="false">+IF(C883="EQUIPO",F883,0)</f>
        <v>0</v>
      </c>
      <c r="F883" s="33" t="n">
        <v>0</v>
      </c>
      <c r="G883" s="35" t="n">
        <v>0</v>
      </c>
      <c r="H883" s="34" t="n">
        <f aca="false">+IF(E883=0,0,E883*0.03)</f>
        <v>0</v>
      </c>
    </row>
    <row r="884" customFormat="false" ht="15.75" hidden="false" customHeight="true" outlineLevel="0" collapsed="false">
      <c r="A884" s="30" t="n">
        <v>0</v>
      </c>
      <c r="B884" s="31" t="s">
        <v>11</v>
      </c>
      <c r="C884" s="32"/>
      <c r="D884" s="32"/>
      <c r="E884" s="19" t="n">
        <f aca="false">+IF(C884="EQUIPO",F884,0)</f>
        <v>0</v>
      </c>
      <c r="F884" s="33" t="n">
        <v>0</v>
      </c>
      <c r="G884" s="35" t="n">
        <v>0</v>
      </c>
      <c r="H884" s="34" t="n">
        <f aca="false">+IF(E884=0,0,E884*0.03)</f>
        <v>0</v>
      </c>
    </row>
    <row r="885" customFormat="false" ht="15.75" hidden="false" customHeight="true" outlineLevel="0" collapsed="false">
      <c r="A885" s="30" t="n">
        <v>0</v>
      </c>
      <c r="B885" s="31" t="s">
        <v>11</v>
      </c>
      <c r="C885" s="32"/>
      <c r="D885" s="32"/>
      <c r="E885" s="19" t="n">
        <f aca="false">+IF(C885="EQUIPO",F885,0)</f>
        <v>0</v>
      </c>
      <c r="F885" s="33" t="n">
        <v>0</v>
      </c>
      <c r="G885" s="35" t="n">
        <v>0</v>
      </c>
      <c r="H885" s="34" t="n">
        <f aca="false">+IF(E885=0,0,E885*0.03)</f>
        <v>0</v>
      </c>
    </row>
    <row r="886" customFormat="false" ht="15.75" hidden="false" customHeight="true" outlineLevel="0" collapsed="false">
      <c r="A886" s="30" t="n">
        <v>0</v>
      </c>
      <c r="B886" s="31" t="s">
        <v>11</v>
      </c>
      <c r="C886" s="32"/>
      <c r="D886" s="32"/>
      <c r="E886" s="19" t="n">
        <f aca="false">+IF(C886="EQUIPO",F886,0)</f>
        <v>0</v>
      </c>
      <c r="F886" s="33" t="n">
        <v>0</v>
      </c>
      <c r="G886" s="35" t="n">
        <v>0</v>
      </c>
      <c r="H886" s="34" t="n">
        <f aca="false">+IF(E886=0,0,E886*0.03)</f>
        <v>0</v>
      </c>
    </row>
    <row r="887" customFormat="false" ht="15.75" hidden="false" customHeight="true" outlineLevel="0" collapsed="false">
      <c r="A887" s="30" t="n">
        <v>0</v>
      </c>
      <c r="B887" s="31" t="s">
        <v>11</v>
      </c>
      <c r="C887" s="32"/>
      <c r="D887" s="32"/>
      <c r="E887" s="19" t="n">
        <f aca="false">+IF(C887="EQUIPO",F887,0)</f>
        <v>0</v>
      </c>
      <c r="F887" s="33" t="n">
        <v>0</v>
      </c>
      <c r="G887" s="35" t="n">
        <v>0</v>
      </c>
      <c r="H887" s="34" t="n">
        <f aca="false">+IF(E887=0,0,E887*0.03)</f>
        <v>0</v>
      </c>
    </row>
    <row r="888" customFormat="false" ht="15.75" hidden="false" customHeight="true" outlineLevel="0" collapsed="false">
      <c r="A888" s="30" t="n">
        <v>0</v>
      </c>
      <c r="B888" s="31" t="s">
        <v>11</v>
      </c>
      <c r="C888" s="32"/>
      <c r="D888" s="32"/>
      <c r="E888" s="19" t="n">
        <f aca="false">+IF(C888="EQUIPO",F888,0)</f>
        <v>0</v>
      </c>
      <c r="F888" s="33" t="n">
        <v>0</v>
      </c>
      <c r="G888" s="35" t="n">
        <v>0</v>
      </c>
      <c r="H888" s="34" t="n">
        <f aca="false">+IF(E888=0,0,E888*0.03)</f>
        <v>0</v>
      </c>
    </row>
    <row r="889" customFormat="false" ht="15.75" hidden="false" customHeight="true" outlineLevel="0" collapsed="false">
      <c r="A889" s="30" t="n">
        <v>0</v>
      </c>
      <c r="B889" s="31" t="s">
        <v>11</v>
      </c>
      <c r="C889" s="32"/>
      <c r="D889" s="32"/>
      <c r="E889" s="19" t="n">
        <f aca="false">+IF(C889="EQUIPO",F889,0)</f>
        <v>0</v>
      </c>
      <c r="F889" s="33" t="n">
        <v>0</v>
      </c>
      <c r="G889" s="35" t="n">
        <v>0</v>
      </c>
      <c r="H889" s="34" t="n">
        <f aca="false">+IF(E889=0,0,E889*0.03)</f>
        <v>0</v>
      </c>
    </row>
    <row r="890" customFormat="false" ht="15.75" hidden="false" customHeight="true" outlineLevel="0" collapsed="false">
      <c r="A890" s="30" t="n">
        <v>0</v>
      </c>
      <c r="B890" s="31" t="s">
        <v>11</v>
      </c>
      <c r="C890" s="32"/>
      <c r="D890" s="32"/>
      <c r="E890" s="19" t="n">
        <f aca="false">+IF(C890="EQUIPO",F890,0)</f>
        <v>0</v>
      </c>
      <c r="F890" s="33" t="n">
        <v>0</v>
      </c>
      <c r="G890" s="35" t="n">
        <v>0</v>
      </c>
      <c r="H890" s="34" t="n">
        <f aca="false">+IF(E890=0,0,E890*0.03)</f>
        <v>0</v>
      </c>
    </row>
    <row r="891" customFormat="false" ht="15.75" hidden="false" customHeight="true" outlineLevel="0" collapsed="false">
      <c r="A891" s="30" t="n">
        <v>0</v>
      </c>
      <c r="B891" s="31" t="s">
        <v>11</v>
      </c>
      <c r="C891" s="32"/>
      <c r="D891" s="32"/>
      <c r="E891" s="19" t="n">
        <f aca="false">+IF(C891="EQUIPO",F891,0)</f>
        <v>0</v>
      </c>
      <c r="F891" s="33" t="n">
        <v>0</v>
      </c>
      <c r="G891" s="35" t="n">
        <v>0</v>
      </c>
      <c r="H891" s="34" t="n">
        <f aca="false">+IF(E891=0,0,E891*0.03)</f>
        <v>0</v>
      </c>
    </row>
    <row r="892" customFormat="false" ht="15.75" hidden="false" customHeight="true" outlineLevel="0" collapsed="false">
      <c r="A892" s="30" t="n">
        <v>0</v>
      </c>
      <c r="B892" s="31" t="s">
        <v>11</v>
      </c>
      <c r="C892" s="32"/>
      <c r="D892" s="32"/>
      <c r="E892" s="19" t="n">
        <f aca="false">+IF(C892="EQUIPO",F892,0)</f>
        <v>0</v>
      </c>
      <c r="F892" s="33" t="n">
        <v>0</v>
      </c>
      <c r="G892" s="35" t="n">
        <v>0</v>
      </c>
      <c r="H892" s="34" t="n">
        <f aca="false">+IF(E892=0,0,E892*0.03)</f>
        <v>0</v>
      </c>
    </row>
    <row r="893" customFormat="false" ht="15.75" hidden="false" customHeight="true" outlineLevel="0" collapsed="false">
      <c r="A893" s="30" t="n">
        <v>0</v>
      </c>
      <c r="B893" s="31" t="s">
        <v>11</v>
      </c>
      <c r="C893" s="32"/>
      <c r="D893" s="32"/>
      <c r="E893" s="19" t="n">
        <f aca="false">+IF(C893="EQUIPO",F893,0)</f>
        <v>0</v>
      </c>
      <c r="F893" s="33" t="n">
        <v>0</v>
      </c>
      <c r="G893" s="35" t="n">
        <v>0</v>
      </c>
      <c r="H893" s="34" t="n">
        <f aca="false">+IF(E893=0,0,E893*0.03)</f>
        <v>0</v>
      </c>
    </row>
    <row r="894" customFormat="false" ht="15.75" hidden="false" customHeight="true" outlineLevel="0" collapsed="false">
      <c r="A894" s="30" t="n">
        <v>0</v>
      </c>
      <c r="B894" s="31" t="s">
        <v>11</v>
      </c>
      <c r="C894" s="32"/>
      <c r="D894" s="32"/>
      <c r="E894" s="19" t="n">
        <f aca="false">+IF(C894="EQUIPO",F894,0)</f>
        <v>0</v>
      </c>
      <c r="F894" s="33" t="n">
        <v>0</v>
      </c>
      <c r="G894" s="35" t="n">
        <v>0</v>
      </c>
      <c r="H894" s="34" t="n">
        <f aca="false">+IF(E894=0,0,E894*0.03)</f>
        <v>0</v>
      </c>
    </row>
    <row r="895" customFormat="false" ht="15.75" hidden="false" customHeight="true" outlineLevel="0" collapsed="false">
      <c r="A895" s="30" t="n">
        <v>0</v>
      </c>
      <c r="B895" s="31" t="s">
        <v>11</v>
      </c>
      <c r="C895" s="32"/>
      <c r="D895" s="32"/>
      <c r="E895" s="19" t="n">
        <f aca="false">+IF(C895="EQUIPO",F895,0)</f>
        <v>0</v>
      </c>
      <c r="F895" s="33" t="n">
        <v>0</v>
      </c>
      <c r="G895" s="35" t="n">
        <v>0</v>
      </c>
      <c r="H895" s="34" t="n">
        <f aca="false">+IF(E895=0,0,E895*0.03)</f>
        <v>0</v>
      </c>
    </row>
    <row r="896" customFormat="false" ht="15.75" hidden="false" customHeight="true" outlineLevel="0" collapsed="false">
      <c r="A896" s="30" t="n">
        <v>0</v>
      </c>
      <c r="B896" s="31" t="s">
        <v>11</v>
      </c>
      <c r="C896" s="32"/>
      <c r="D896" s="32"/>
      <c r="E896" s="19" t="n">
        <f aca="false">+IF(C896="EQUIPO",F896,0)</f>
        <v>0</v>
      </c>
      <c r="F896" s="33" t="n">
        <v>0</v>
      </c>
      <c r="G896" s="35" t="n">
        <v>0</v>
      </c>
      <c r="H896" s="34" t="n">
        <f aca="false">+IF(E896=0,0,E896*0.03)</f>
        <v>0</v>
      </c>
    </row>
    <row r="897" customFormat="false" ht="15.75" hidden="false" customHeight="true" outlineLevel="0" collapsed="false">
      <c r="A897" s="30" t="n">
        <v>0</v>
      </c>
      <c r="B897" s="31" t="s">
        <v>11</v>
      </c>
      <c r="C897" s="32"/>
      <c r="D897" s="32"/>
      <c r="E897" s="19" t="n">
        <f aca="false">+IF(C897="EQUIPO",F897,0)</f>
        <v>0</v>
      </c>
      <c r="F897" s="33" t="n">
        <v>0</v>
      </c>
      <c r="G897" s="35" t="n">
        <v>0</v>
      </c>
      <c r="H897" s="34" t="n">
        <f aca="false">+IF(E897=0,0,E897*0.03)</f>
        <v>0</v>
      </c>
    </row>
    <row r="898" customFormat="false" ht="15.75" hidden="false" customHeight="true" outlineLevel="0" collapsed="false">
      <c r="A898" s="30" t="n">
        <v>0</v>
      </c>
      <c r="B898" s="31" t="s">
        <v>11</v>
      </c>
      <c r="C898" s="32"/>
      <c r="D898" s="32"/>
      <c r="E898" s="19" t="n">
        <f aca="false">+IF(C898="EQUIPO",F898,0)</f>
        <v>0</v>
      </c>
      <c r="F898" s="33" t="n">
        <v>0</v>
      </c>
      <c r="G898" s="35" t="n">
        <v>0</v>
      </c>
      <c r="H898" s="34" t="n">
        <f aca="false">+IF(E898=0,0,E898*0.03)</f>
        <v>0</v>
      </c>
    </row>
    <row r="899" customFormat="false" ht="15.75" hidden="false" customHeight="true" outlineLevel="0" collapsed="false">
      <c r="A899" s="30" t="n">
        <v>0</v>
      </c>
      <c r="B899" s="31" t="s">
        <v>11</v>
      </c>
      <c r="C899" s="32"/>
      <c r="D899" s="32"/>
      <c r="E899" s="19" t="n">
        <f aca="false">+IF(C899="EQUIPO",F899,0)</f>
        <v>0</v>
      </c>
      <c r="F899" s="33" t="n">
        <v>0</v>
      </c>
      <c r="G899" s="35" t="n">
        <v>0</v>
      </c>
      <c r="H899" s="34" t="n">
        <f aca="false">+IF(E899=0,0,E899*0.03)</f>
        <v>0</v>
      </c>
    </row>
    <row r="900" customFormat="false" ht="15.75" hidden="false" customHeight="true" outlineLevel="0" collapsed="false">
      <c r="A900" s="30" t="n">
        <v>0</v>
      </c>
      <c r="B900" s="31" t="s">
        <v>11</v>
      </c>
      <c r="C900" s="32"/>
      <c r="D900" s="32"/>
      <c r="E900" s="19" t="n">
        <f aca="false">+IF(C900="EQUIPO",F900,0)</f>
        <v>0</v>
      </c>
      <c r="F900" s="33" t="n">
        <v>0</v>
      </c>
      <c r="G900" s="35" t="n">
        <v>0</v>
      </c>
      <c r="H900" s="34" t="n">
        <f aca="false">+IF(E900=0,0,E900*0.03)</f>
        <v>0</v>
      </c>
    </row>
    <row r="901" customFormat="false" ht="15.75" hidden="false" customHeight="true" outlineLevel="0" collapsed="false">
      <c r="A901" s="30" t="n">
        <v>0</v>
      </c>
      <c r="B901" s="31" t="s">
        <v>11</v>
      </c>
      <c r="C901" s="32"/>
      <c r="D901" s="32"/>
      <c r="E901" s="19" t="n">
        <f aca="false">+IF(C901="EQUIPO",F901,0)</f>
        <v>0</v>
      </c>
      <c r="F901" s="33" t="n">
        <v>0</v>
      </c>
      <c r="G901" s="35" t="n">
        <v>0</v>
      </c>
      <c r="H901" s="34" t="n">
        <f aca="false">+IF(E901=0,0,E901*0.03)</f>
        <v>0</v>
      </c>
    </row>
    <row r="902" customFormat="false" ht="15.75" hidden="false" customHeight="true" outlineLevel="0" collapsed="false">
      <c r="A902" s="30" t="n">
        <v>0</v>
      </c>
      <c r="B902" s="31" t="s">
        <v>11</v>
      </c>
      <c r="C902" s="32"/>
      <c r="D902" s="32"/>
      <c r="E902" s="19" t="n">
        <f aca="false">+IF(C902="EQUIPO",F902,0)</f>
        <v>0</v>
      </c>
      <c r="F902" s="33" t="n">
        <v>0</v>
      </c>
      <c r="G902" s="35" t="n">
        <v>0</v>
      </c>
      <c r="H902" s="34" t="n">
        <f aca="false">+IF(E902=0,0,E902*0.03)</f>
        <v>0</v>
      </c>
    </row>
    <row r="903" customFormat="false" ht="15.75" hidden="false" customHeight="true" outlineLevel="0" collapsed="false">
      <c r="A903" s="30" t="n">
        <v>0</v>
      </c>
      <c r="B903" s="31" t="s">
        <v>11</v>
      </c>
      <c r="C903" s="32"/>
      <c r="D903" s="32"/>
      <c r="E903" s="19" t="n">
        <f aca="false">+IF(C903="EQUIPO",F903,0)</f>
        <v>0</v>
      </c>
      <c r="F903" s="33" t="n">
        <v>0</v>
      </c>
      <c r="G903" s="35" t="n">
        <v>0</v>
      </c>
      <c r="H903" s="34" t="n">
        <f aca="false">+IF(E903=0,0,E903*0.03)</f>
        <v>0</v>
      </c>
    </row>
    <row r="904" customFormat="false" ht="15.75" hidden="false" customHeight="true" outlineLevel="0" collapsed="false">
      <c r="A904" s="30" t="n">
        <v>0</v>
      </c>
      <c r="B904" s="31" t="s">
        <v>11</v>
      </c>
      <c r="C904" s="32"/>
      <c r="D904" s="32"/>
      <c r="E904" s="19" t="n">
        <f aca="false">+IF(C904="EQUIPO",F904,0)</f>
        <v>0</v>
      </c>
      <c r="F904" s="33" t="n">
        <v>0</v>
      </c>
      <c r="G904" s="35" t="n">
        <v>0</v>
      </c>
      <c r="H904" s="34" t="n">
        <f aca="false">+IF(E904=0,0,E904*0.03)</f>
        <v>0</v>
      </c>
    </row>
    <row r="905" customFormat="false" ht="15.75" hidden="false" customHeight="true" outlineLevel="0" collapsed="false">
      <c r="A905" s="30" t="n">
        <v>0</v>
      </c>
      <c r="B905" s="31" t="s">
        <v>11</v>
      </c>
      <c r="C905" s="32"/>
      <c r="D905" s="32"/>
      <c r="E905" s="19" t="n">
        <f aca="false">+IF(C905="EQUIPO",F905,0)</f>
        <v>0</v>
      </c>
      <c r="F905" s="33" t="n">
        <v>0</v>
      </c>
      <c r="G905" s="35" t="n">
        <v>0</v>
      </c>
      <c r="H905" s="34" t="n">
        <f aca="false">+IF(E905=0,0,E905*0.03)</f>
        <v>0</v>
      </c>
    </row>
    <row r="906" customFormat="false" ht="15.75" hidden="false" customHeight="true" outlineLevel="0" collapsed="false">
      <c r="A906" s="30" t="n">
        <v>0</v>
      </c>
      <c r="B906" s="31" t="s">
        <v>11</v>
      </c>
      <c r="C906" s="32"/>
      <c r="D906" s="32"/>
      <c r="E906" s="19" t="n">
        <f aca="false">+IF(C906="EQUIPO",F906,0)</f>
        <v>0</v>
      </c>
      <c r="F906" s="33" t="n">
        <v>0</v>
      </c>
      <c r="G906" s="35" t="n">
        <v>0</v>
      </c>
      <c r="H906" s="34" t="n">
        <f aca="false">+IF(E906=0,0,E906*0.03)</f>
        <v>0</v>
      </c>
    </row>
    <row r="907" customFormat="false" ht="15.75" hidden="false" customHeight="true" outlineLevel="0" collapsed="false">
      <c r="A907" s="30" t="n">
        <v>0</v>
      </c>
      <c r="B907" s="31" t="s">
        <v>11</v>
      </c>
      <c r="C907" s="32"/>
      <c r="D907" s="32"/>
      <c r="E907" s="19" t="n">
        <f aca="false">+IF(C907="EQUIPO",F907,0)</f>
        <v>0</v>
      </c>
      <c r="F907" s="33" t="n">
        <v>0</v>
      </c>
      <c r="G907" s="35" t="n">
        <v>0</v>
      </c>
      <c r="H907" s="34" t="n">
        <f aca="false">+IF(E907=0,0,E907*0.03)</f>
        <v>0</v>
      </c>
    </row>
    <row r="908" customFormat="false" ht="15.75" hidden="false" customHeight="true" outlineLevel="0" collapsed="false">
      <c r="A908" s="30" t="n">
        <v>0</v>
      </c>
      <c r="B908" s="31" t="s">
        <v>11</v>
      </c>
      <c r="C908" s="32"/>
      <c r="D908" s="32"/>
      <c r="E908" s="19" t="n">
        <f aca="false">+IF(C908="EQUIPO",F908,0)</f>
        <v>0</v>
      </c>
      <c r="F908" s="33" t="n">
        <v>0</v>
      </c>
      <c r="G908" s="35" t="n">
        <v>0</v>
      </c>
      <c r="H908" s="34" t="n">
        <f aca="false">+IF(E908=0,0,E908*0.03)</f>
        <v>0</v>
      </c>
    </row>
    <row r="909" customFormat="false" ht="15.75" hidden="false" customHeight="true" outlineLevel="0" collapsed="false">
      <c r="A909" s="30" t="n">
        <v>0</v>
      </c>
      <c r="B909" s="31" t="s">
        <v>11</v>
      </c>
      <c r="C909" s="32"/>
      <c r="D909" s="32"/>
      <c r="E909" s="19" t="n">
        <f aca="false">+IF(C909="EQUIPO",F909,0)</f>
        <v>0</v>
      </c>
      <c r="F909" s="33" t="n">
        <v>0</v>
      </c>
      <c r="G909" s="35" t="n">
        <v>0</v>
      </c>
      <c r="H909" s="34" t="n">
        <f aca="false">+IF(E909=0,0,E909*0.03)</f>
        <v>0</v>
      </c>
    </row>
    <row r="910" customFormat="false" ht="15.75" hidden="false" customHeight="true" outlineLevel="0" collapsed="false">
      <c r="A910" s="30" t="n">
        <v>0</v>
      </c>
      <c r="B910" s="31" t="s">
        <v>11</v>
      </c>
      <c r="C910" s="32"/>
      <c r="D910" s="32"/>
      <c r="E910" s="19" t="n">
        <f aca="false">+IF(C910="EQUIPO",F910,0)</f>
        <v>0</v>
      </c>
      <c r="F910" s="33" t="n">
        <v>0</v>
      </c>
      <c r="G910" s="35" t="n">
        <v>0</v>
      </c>
      <c r="H910" s="34" t="n">
        <f aca="false">+IF(E910=0,0,E910*0.03)</f>
        <v>0</v>
      </c>
    </row>
    <row r="911" customFormat="false" ht="15.75" hidden="false" customHeight="true" outlineLevel="0" collapsed="false">
      <c r="A911" s="30" t="n">
        <v>0</v>
      </c>
      <c r="B911" s="31" t="s">
        <v>11</v>
      </c>
      <c r="C911" s="32"/>
      <c r="D911" s="32"/>
      <c r="E911" s="19" t="n">
        <f aca="false">+IF(C911="EQUIPO",F911,0)</f>
        <v>0</v>
      </c>
      <c r="F911" s="33" t="n">
        <v>0</v>
      </c>
      <c r="G911" s="35" t="n">
        <v>0</v>
      </c>
      <c r="H911" s="34" t="n">
        <f aca="false">+IF(E911=0,0,E911*0.03)</f>
        <v>0</v>
      </c>
    </row>
    <row r="912" customFormat="false" ht="15.75" hidden="false" customHeight="true" outlineLevel="0" collapsed="false">
      <c r="A912" s="30" t="n">
        <v>0</v>
      </c>
      <c r="B912" s="31" t="s">
        <v>11</v>
      </c>
      <c r="C912" s="32"/>
      <c r="D912" s="32"/>
      <c r="E912" s="19" t="n">
        <f aca="false">+IF(C912="EQUIPO",F912,0)</f>
        <v>0</v>
      </c>
      <c r="F912" s="33" t="n">
        <v>0</v>
      </c>
      <c r="G912" s="35" t="n">
        <v>0</v>
      </c>
      <c r="H912" s="34" t="n">
        <f aca="false">+IF(E912=0,0,E912*0.03)</f>
        <v>0</v>
      </c>
    </row>
    <row r="913" customFormat="false" ht="15.75" hidden="false" customHeight="true" outlineLevel="0" collapsed="false">
      <c r="A913" s="30" t="n">
        <v>0</v>
      </c>
      <c r="B913" s="31" t="s">
        <v>11</v>
      </c>
      <c r="C913" s="32"/>
      <c r="D913" s="32"/>
      <c r="E913" s="19" t="n">
        <f aca="false">+IF(C913="EQUIPO",F913,0)</f>
        <v>0</v>
      </c>
      <c r="F913" s="33" t="n">
        <v>0</v>
      </c>
      <c r="G913" s="35" t="n">
        <v>0</v>
      </c>
      <c r="H913" s="34" t="n">
        <f aca="false">+IF(E913=0,0,E913*0.03)</f>
        <v>0</v>
      </c>
    </row>
    <row r="914" customFormat="false" ht="15.75" hidden="false" customHeight="true" outlineLevel="0" collapsed="false">
      <c r="A914" s="30" t="n">
        <v>0</v>
      </c>
      <c r="B914" s="31" t="s">
        <v>11</v>
      </c>
      <c r="C914" s="32"/>
      <c r="D914" s="32"/>
      <c r="E914" s="19" t="n">
        <f aca="false">+IF(C914="EQUIPO",F914,0)</f>
        <v>0</v>
      </c>
      <c r="F914" s="33" t="n">
        <v>0</v>
      </c>
      <c r="G914" s="35" t="n">
        <v>0</v>
      </c>
      <c r="H914" s="34" t="n">
        <f aca="false">+IF(E914=0,0,E914*0.03)</f>
        <v>0</v>
      </c>
    </row>
    <row r="915" customFormat="false" ht="15.75" hidden="false" customHeight="true" outlineLevel="0" collapsed="false">
      <c r="A915" s="30" t="n">
        <v>0</v>
      </c>
      <c r="B915" s="31" t="s">
        <v>11</v>
      </c>
      <c r="C915" s="32"/>
      <c r="D915" s="32"/>
      <c r="E915" s="19" t="n">
        <f aca="false">+IF(C915="EQUIPO",F915,0)</f>
        <v>0</v>
      </c>
      <c r="F915" s="33" t="n">
        <v>0</v>
      </c>
      <c r="G915" s="35" t="n">
        <v>0</v>
      </c>
      <c r="H915" s="34" t="n">
        <f aca="false">+IF(E915=0,0,E915*0.03)</f>
        <v>0</v>
      </c>
    </row>
    <row r="916" customFormat="false" ht="15.75" hidden="false" customHeight="true" outlineLevel="0" collapsed="false">
      <c r="A916" s="30" t="n">
        <v>0</v>
      </c>
      <c r="B916" s="31" t="s">
        <v>11</v>
      </c>
      <c r="C916" s="32"/>
      <c r="D916" s="32"/>
      <c r="E916" s="19" t="n">
        <f aca="false">+IF(C916="EQUIPO",F916,0)</f>
        <v>0</v>
      </c>
      <c r="F916" s="33" t="n">
        <v>0</v>
      </c>
      <c r="G916" s="35" t="n">
        <v>0</v>
      </c>
      <c r="H916" s="34" t="n">
        <f aca="false">+IF(E916=0,0,E916*0.03)</f>
        <v>0</v>
      </c>
    </row>
    <row r="917" customFormat="false" ht="15.75" hidden="false" customHeight="true" outlineLevel="0" collapsed="false">
      <c r="A917" s="30" t="n">
        <v>0</v>
      </c>
      <c r="B917" s="31" t="s">
        <v>11</v>
      </c>
      <c r="C917" s="32"/>
      <c r="D917" s="32"/>
      <c r="E917" s="19" t="n">
        <f aca="false">+IF(C917="EQUIPO",F917,0)</f>
        <v>0</v>
      </c>
      <c r="F917" s="33" t="n">
        <v>0</v>
      </c>
      <c r="G917" s="35" t="n">
        <v>0</v>
      </c>
      <c r="H917" s="34" t="n">
        <f aca="false">+IF(E917=0,0,E917*0.03)</f>
        <v>0</v>
      </c>
    </row>
    <row r="918" customFormat="false" ht="15.75" hidden="false" customHeight="true" outlineLevel="0" collapsed="false">
      <c r="A918" s="30" t="n">
        <v>0</v>
      </c>
      <c r="B918" s="31" t="s">
        <v>11</v>
      </c>
      <c r="C918" s="32"/>
      <c r="D918" s="32"/>
      <c r="E918" s="19" t="n">
        <f aca="false">+IF(C918="EQUIPO",F918,0)</f>
        <v>0</v>
      </c>
      <c r="F918" s="33" t="n">
        <v>0</v>
      </c>
      <c r="G918" s="35" t="n">
        <v>0</v>
      </c>
      <c r="H918" s="34" t="n">
        <f aca="false">+IF(E918=0,0,E918*0.03)</f>
        <v>0</v>
      </c>
    </row>
    <row r="919" customFormat="false" ht="15.75" hidden="false" customHeight="true" outlineLevel="0" collapsed="false">
      <c r="A919" s="30" t="n">
        <v>0</v>
      </c>
      <c r="B919" s="31" t="s">
        <v>11</v>
      </c>
      <c r="C919" s="32"/>
      <c r="D919" s="32"/>
      <c r="E919" s="19" t="n">
        <f aca="false">+IF(C919="EQUIPO",F919,0)</f>
        <v>0</v>
      </c>
      <c r="F919" s="33" t="n">
        <v>0</v>
      </c>
      <c r="G919" s="35" t="n">
        <v>0</v>
      </c>
      <c r="H919" s="34" t="n">
        <f aca="false">+IF(E919=0,0,E919*0.03)</f>
        <v>0</v>
      </c>
    </row>
    <row r="920" customFormat="false" ht="15.75" hidden="false" customHeight="true" outlineLevel="0" collapsed="false">
      <c r="A920" s="30" t="n">
        <v>0</v>
      </c>
      <c r="B920" s="31" t="s">
        <v>11</v>
      </c>
      <c r="C920" s="32"/>
      <c r="D920" s="32"/>
      <c r="E920" s="19" t="n">
        <f aca="false">+IF(C920="EQUIPO",F920,0)</f>
        <v>0</v>
      </c>
      <c r="F920" s="33" t="n">
        <v>0</v>
      </c>
      <c r="G920" s="35" t="n">
        <v>0</v>
      </c>
      <c r="H920" s="34" t="n">
        <f aca="false">+IF(E920=0,0,E920*0.03)</f>
        <v>0</v>
      </c>
    </row>
    <row r="921" customFormat="false" ht="15.75" hidden="false" customHeight="true" outlineLevel="0" collapsed="false">
      <c r="A921" s="30" t="n">
        <v>0</v>
      </c>
      <c r="B921" s="31" t="s">
        <v>11</v>
      </c>
      <c r="C921" s="32"/>
      <c r="D921" s="32"/>
      <c r="E921" s="19" t="n">
        <f aca="false">+IF(C921="EQUIPO",F921,0)</f>
        <v>0</v>
      </c>
      <c r="F921" s="33" t="n">
        <v>0</v>
      </c>
      <c r="G921" s="35" t="n">
        <v>0</v>
      </c>
      <c r="H921" s="34" t="n">
        <f aca="false">+IF(E921=0,0,E921*0.03)</f>
        <v>0</v>
      </c>
    </row>
    <row r="922" customFormat="false" ht="15.75" hidden="false" customHeight="true" outlineLevel="0" collapsed="false">
      <c r="A922" s="30" t="n">
        <v>0</v>
      </c>
      <c r="B922" s="31" t="s">
        <v>11</v>
      </c>
      <c r="C922" s="32"/>
      <c r="D922" s="32"/>
      <c r="E922" s="19" t="n">
        <f aca="false">+IF(C922="EQUIPO",F922,0)</f>
        <v>0</v>
      </c>
      <c r="F922" s="33" t="n">
        <v>0</v>
      </c>
      <c r="G922" s="35" t="n">
        <v>0</v>
      </c>
      <c r="H922" s="34" t="n">
        <f aca="false">+IF(E922=0,0,E922*0.03)</f>
        <v>0</v>
      </c>
    </row>
    <row r="923" customFormat="false" ht="15.75" hidden="false" customHeight="true" outlineLevel="0" collapsed="false">
      <c r="A923" s="30" t="n">
        <v>0</v>
      </c>
      <c r="B923" s="31" t="s">
        <v>11</v>
      </c>
      <c r="C923" s="32"/>
      <c r="D923" s="32"/>
      <c r="E923" s="19" t="n">
        <f aca="false">+IF(C923="EQUIPO",F923,0)</f>
        <v>0</v>
      </c>
      <c r="F923" s="33" t="n">
        <v>0</v>
      </c>
      <c r="G923" s="35" t="n">
        <v>0</v>
      </c>
      <c r="H923" s="34" t="n">
        <f aca="false">+IF(E923=0,0,E923*0.03)</f>
        <v>0</v>
      </c>
    </row>
    <row r="924" customFormat="false" ht="15.75" hidden="false" customHeight="true" outlineLevel="0" collapsed="false">
      <c r="A924" s="30" t="n">
        <v>0</v>
      </c>
      <c r="B924" s="31" t="s">
        <v>11</v>
      </c>
      <c r="C924" s="32"/>
      <c r="D924" s="32"/>
      <c r="E924" s="19" t="n">
        <f aca="false">+IF(C924="EQUIPO",F924,0)</f>
        <v>0</v>
      </c>
      <c r="F924" s="33" t="n">
        <v>0</v>
      </c>
      <c r="G924" s="35" t="n">
        <v>0</v>
      </c>
      <c r="H924" s="34" t="n">
        <f aca="false">+IF(E924=0,0,E924*0.03)</f>
        <v>0</v>
      </c>
    </row>
    <row r="925" customFormat="false" ht="15.75" hidden="false" customHeight="true" outlineLevel="0" collapsed="false">
      <c r="A925" s="30" t="n">
        <v>0</v>
      </c>
      <c r="B925" s="31" t="s">
        <v>11</v>
      </c>
      <c r="C925" s="32"/>
      <c r="D925" s="32"/>
      <c r="E925" s="19" t="n">
        <f aca="false">+IF(C925="EQUIPO",F925,0)</f>
        <v>0</v>
      </c>
      <c r="F925" s="33" t="n">
        <v>0</v>
      </c>
      <c r="G925" s="35" t="n">
        <v>0</v>
      </c>
      <c r="H925" s="34" t="n">
        <f aca="false">+IF(E925=0,0,E925*0.03)</f>
        <v>0</v>
      </c>
    </row>
    <row r="926" customFormat="false" ht="15.75" hidden="false" customHeight="true" outlineLevel="0" collapsed="false">
      <c r="A926" s="30" t="n">
        <v>0</v>
      </c>
      <c r="B926" s="31" t="s">
        <v>11</v>
      </c>
      <c r="C926" s="32"/>
      <c r="D926" s="32"/>
      <c r="E926" s="19" t="n">
        <f aca="false">+IF(C926="EQUIPO",F926,0)</f>
        <v>0</v>
      </c>
      <c r="F926" s="33" t="n">
        <v>0</v>
      </c>
      <c r="G926" s="35" t="n">
        <v>0</v>
      </c>
      <c r="H926" s="34" t="n">
        <f aca="false">+IF(E926=0,0,E926*0.03)</f>
        <v>0</v>
      </c>
    </row>
    <row r="927" customFormat="false" ht="15.75" hidden="false" customHeight="true" outlineLevel="0" collapsed="false">
      <c r="A927" s="30" t="n">
        <v>0</v>
      </c>
      <c r="B927" s="31" t="s">
        <v>11</v>
      </c>
      <c r="C927" s="32"/>
      <c r="D927" s="32"/>
      <c r="E927" s="19" t="n">
        <f aca="false">+IF(C927="EQUIPO",F927,0)</f>
        <v>0</v>
      </c>
      <c r="F927" s="33" t="n">
        <v>0</v>
      </c>
      <c r="G927" s="35" t="n">
        <v>0</v>
      </c>
      <c r="H927" s="34" t="n">
        <f aca="false">+IF(E927=0,0,E927*0.03)</f>
        <v>0</v>
      </c>
    </row>
    <row r="928" customFormat="false" ht="15.75" hidden="false" customHeight="true" outlineLevel="0" collapsed="false">
      <c r="A928" s="30" t="n">
        <v>0</v>
      </c>
      <c r="B928" s="31" t="s">
        <v>11</v>
      </c>
      <c r="C928" s="32"/>
      <c r="D928" s="32"/>
      <c r="E928" s="19" t="n">
        <f aca="false">+IF(C928="EQUIPO",F928,0)</f>
        <v>0</v>
      </c>
      <c r="F928" s="33" t="n">
        <v>0</v>
      </c>
      <c r="G928" s="35" t="n">
        <v>0</v>
      </c>
      <c r="H928" s="34" t="n">
        <f aca="false">+IF(E928=0,0,E928*0.03)</f>
        <v>0</v>
      </c>
    </row>
    <row r="929" customFormat="false" ht="15.75" hidden="false" customHeight="true" outlineLevel="0" collapsed="false">
      <c r="A929" s="30" t="n">
        <v>0</v>
      </c>
      <c r="B929" s="31" t="s">
        <v>11</v>
      </c>
      <c r="C929" s="32"/>
      <c r="D929" s="32"/>
      <c r="E929" s="19" t="n">
        <f aca="false">+IF(C929="EQUIPO",F929,0)</f>
        <v>0</v>
      </c>
      <c r="F929" s="33" t="n">
        <v>0</v>
      </c>
      <c r="G929" s="35" t="n">
        <v>0</v>
      </c>
      <c r="H929" s="34" t="n">
        <f aca="false">+IF(E929=0,0,E929*0.03)</f>
        <v>0</v>
      </c>
    </row>
    <row r="930" customFormat="false" ht="15.75" hidden="false" customHeight="true" outlineLevel="0" collapsed="false">
      <c r="A930" s="30" t="n">
        <v>0</v>
      </c>
      <c r="B930" s="31" t="s">
        <v>11</v>
      </c>
      <c r="C930" s="32"/>
      <c r="D930" s="32"/>
      <c r="E930" s="19" t="n">
        <f aca="false">+IF(C930="EQUIPO",F930,0)</f>
        <v>0</v>
      </c>
      <c r="F930" s="33" t="n">
        <v>0</v>
      </c>
      <c r="G930" s="35" t="n">
        <v>0</v>
      </c>
      <c r="H930" s="34" t="n">
        <f aca="false">+IF(E930=0,0,E930*0.03)</f>
        <v>0</v>
      </c>
    </row>
    <row r="931" customFormat="false" ht="15.75" hidden="false" customHeight="true" outlineLevel="0" collapsed="false">
      <c r="A931" s="30" t="n">
        <v>0</v>
      </c>
      <c r="B931" s="31" t="s">
        <v>11</v>
      </c>
      <c r="C931" s="32"/>
      <c r="D931" s="32"/>
      <c r="E931" s="19" t="n">
        <f aca="false">+IF(C931="EQUIPO",F931,0)</f>
        <v>0</v>
      </c>
      <c r="F931" s="33" t="n">
        <v>0</v>
      </c>
      <c r="G931" s="35" t="n">
        <v>0</v>
      </c>
      <c r="H931" s="34" t="n">
        <f aca="false">+IF(E931=0,0,E931*0.03)</f>
        <v>0</v>
      </c>
    </row>
    <row r="932" customFormat="false" ht="15.75" hidden="false" customHeight="true" outlineLevel="0" collapsed="false">
      <c r="A932" s="30" t="n">
        <v>0</v>
      </c>
      <c r="B932" s="31" t="s">
        <v>11</v>
      </c>
      <c r="C932" s="32"/>
      <c r="D932" s="32"/>
      <c r="E932" s="19" t="n">
        <f aca="false">+IF(C932="EQUIPO",F932,0)</f>
        <v>0</v>
      </c>
      <c r="F932" s="33" t="n">
        <v>0</v>
      </c>
      <c r="G932" s="35" t="n">
        <v>0</v>
      </c>
      <c r="H932" s="34" t="n">
        <f aca="false">+IF(E932=0,0,E932*0.03)</f>
        <v>0</v>
      </c>
    </row>
    <row r="933" customFormat="false" ht="15.75" hidden="false" customHeight="true" outlineLevel="0" collapsed="false">
      <c r="A933" s="30" t="n">
        <v>0</v>
      </c>
      <c r="B933" s="31" t="s">
        <v>11</v>
      </c>
      <c r="C933" s="32"/>
      <c r="D933" s="32"/>
      <c r="E933" s="19" t="n">
        <f aca="false">+IF(C933="EQUIPO",F933,0)</f>
        <v>0</v>
      </c>
      <c r="F933" s="33" t="n">
        <v>0</v>
      </c>
      <c r="G933" s="35" t="n">
        <v>0</v>
      </c>
      <c r="H933" s="34" t="n">
        <f aca="false">+IF(E933=0,0,E933*0.03)</f>
        <v>0</v>
      </c>
    </row>
    <row r="934" customFormat="false" ht="15.75" hidden="false" customHeight="true" outlineLevel="0" collapsed="false">
      <c r="A934" s="30" t="n">
        <v>0</v>
      </c>
      <c r="B934" s="31" t="s">
        <v>11</v>
      </c>
      <c r="C934" s="32"/>
      <c r="D934" s="32"/>
      <c r="E934" s="19" t="n">
        <f aca="false">+IF(C934="EQUIPO",F934,0)</f>
        <v>0</v>
      </c>
      <c r="F934" s="33" t="n">
        <v>0</v>
      </c>
      <c r="G934" s="35" t="n">
        <v>0</v>
      </c>
      <c r="H934" s="34" t="n">
        <f aca="false">+IF(E934=0,0,E934*0.03)</f>
        <v>0</v>
      </c>
    </row>
    <row r="935" customFormat="false" ht="15.75" hidden="false" customHeight="true" outlineLevel="0" collapsed="false">
      <c r="A935" s="30" t="n">
        <v>0</v>
      </c>
      <c r="B935" s="31" t="s">
        <v>11</v>
      </c>
      <c r="C935" s="32"/>
      <c r="D935" s="32"/>
      <c r="E935" s="19" t="n">
        <f aca="false">+IF(C935="EQUIPO",F935,0)</f>
        <v>0</v>
      </c>
      <c r="F935" s="33" t="n">
        <v>0</v>
      </c>
      <c r="G935" s="35" t="n">
        <v>0</v>
      </c>
      <c r="H935" s="34" t="n">
        <f aca="false">+IF(E935=0,0,E935*0.03)</f>
        <v>0</v>
      </c>
    </row>
    <row r="936" customFormat="false" ht="15.75" hidden="false" customHeight="true" outlineLevel="0" collapsed="false">
      <c r="A936" s="30" t="n">
        <v>0</v>
      </c>
      <c r="B936" s="31" t="s">
        <v>11</v>
      </c>
      <c r="C936" s="32"/>
      <c r="D936" s="32"/>
      <c r="E936" s="19" t="n">
        <f aca="false">+IF(C936="EQUIPO",F936,0)</f>
        <v>0</v>
      </c>
      <c r="F936" s="33" t="n">
        <v>0</v>
      </c>
      <c r="G936" s="35" t="n">
        <v>0</v>
      </c>
      <c r="H936" s="34" t="n">
        <f aca="false">+IF(E936=0,0,E936*0.03)</f>
        <v>0</v>
      </c>
    </row>
    <row r="937" customFormat="false" ht="15.75" hidden="false" customHeight="true" outlineLevel="0" collapsed="false">
      <c r="A937" s="30" t="n">
        <v>0</v>
      </c>
      <c r="B937" s="31" t="s">
        <v>11</v>
      </c>
      <c r="C937" s="32"/>
      <c r="D937" s="32"/>
      <c r="E937" s="19" t="n">
        <f aca="false">+IF(C937="EQUIPO",F937,0)</f>
        <v>0</v>
      </c>
      <c r="F937" s="33" t="n">
        <v>0</v>
      </c>
      <c r="G937" s="35" t="n">
        <v>0</v>
      </c>
      <c r="H937" s="34" t="n">
        <f aca="false">+IF(E937=0,0,E937*0.03)</f>
        <v>0</v>
      </c>
    </row>
    <row r="938" customFormat="false" ht="15.75" hidden="false" customHeight="true" outlineLevel="0" collapsed="false">
      <c r="A938" s="30" t="n">
        <v>0</v>
      </c>
      <c r="B938" s="31" t="s">
        <v>11</v>
      </c>
      <c r="C938" s="32"/>
      <c r="D938" s="32"/>
      <c r="E938" s="19" t="n">
        <f aca="false">+IF(C938="EQUIPO",F938,0)</f>
        <v>0</v>
      </c>
      <c r="F938" s="33" t="n">
        <v>0</v>
      </c>
      <c r="G938" s="35" t="n">
        <v>0</v>
      </c>
      <c r="H938" s="34" t="n">
        <f aca="false">+IF(E938=0,0,E938*0.03)</f>
        <v>0</v>
      </c>
    </row>
    <row r="939" customFormat="false" ht="15.75" hidden="false" customHeight="true" outlineLevel="0" collapsed="false">
      <c r="A939" s="30" t="n">
        <v>0</v>
      </c>
      <c r="B939" s="31" t="s">
        <v>11</v>
      </c>
      <c r="C939" s="32"/>
      <c r="D939" s="32"/>
      <c r="E939" s="19" t="n">
        <f aca="false">+IF(C939="EQUIPO",F939,0)</f>
        <v>0</v>
      </c>
      <c r="F939" s="33" t="n">
        <v>0</v>
      </c>
      <c r="G939" s="35" t="n">
        <v>0</v>
      </c>
      <c r="H939" s="34" t="n">
        <f aca="false">+IF(E939=0,0,E939*0.03)</f>
        <v>0</v>
      </c>
    </row>
    <row r="940" customFormat="false" ht="15.75" hidden="false" customHeight="true" outlineLevel="0" collapsed="false">
      <c r="A940" s="30" t="n">
        <v>0</v>
      </c>
      <c r="B940" s="31" t="s">
        <v>11</v>
      </c>
      <c r="C940" s="32"/>
      <c r="D940" s="32"/>
      <c r="E940" s="19" t="n">
        <f aca="false">+IF(C940="EQUIPO",F940,0)</f>
        <v>0</v>
      </c>
      <c r="F940" s="33" t="n">
        <v>0</v>
      </c>
      <c r="G940" s="35" t="n">
        <v>0</v>
      </c>
      <c r="H940" s="34" t="n">
        <f aca="false">+IF(E940=0,0,E940*0.03)</f>
        <v>0</v>
      </c>
    </row>
    <row r="941" customFormat="false" ht="15.75" hidden="false" customHeight="true" outlineLevel="0" collapsed="false">
      <c r="A941" s="30" t="n">
        <v>0</v>
      </c>
      <c r="B941" s="31" t="s">
        <v>11</v>
      </c>
      <c r="C941" s="32"/>
      <c r="D941" s="32"/>
      <c r="E941" s="19" t="n">
        <f aca="false">+IF(C941="EQUIPO",F941,0)</f>
        <v>0</v>
      </c>
      <c r="F941" s="33" t="n">
        <v>0</v>
      </c>
      <c r="G941" s="35" t="n">
        <v>0</v>
      </c>
      <c r="H941" s="34" t="n">
        <f aca="false">+IF(E941=0,0,E941*0.03)</f>
        <v>0</v>
      </c>
    </row>
    <row r="942" customFormat="false" ht="15.75" hidden="false" customHeight="true" outlineLevel="0" collapsed="false">
      <c r="A942" s="30" t="n">
        <v>0</v>
      </c>
      <c r="B942" s="31" t="s">
        <v>11</v>
      </c>
      <c r="C942" s="32"/>
      <c r="D942" s="32"/>
      <c r="E942" s="19" t="n">
        <f aca="false">+IF(C942="EQUIPO",F942,0)</f>
        <v>0</v>
      </c>
      <c r="F942" s="33" t="n">
        <v>0</v>
      </c>
      <c r="G942" s="35" t="n">
        <v>0</v>
      </c>
      <c r="H942" s="34" t="n">
        <f aca="false">+IF(E942=0,0,E942*0.03)</f>
        <v>0</v>
      </c>
    </row>
    <row r="943" customFormat="false" ht="15.75" hidden="false" customHeight="true" outlineLevel="0" collapsed="false">
      <c r="A943" s="30" t="n">
        <v>0</v>
      </c>
      <c r="B943" s="31" t="s">
        <v>11</v>
      </c>
      <c r="C943" s="32"/>
      <c r="D943" s="32"/>
      <c r="E943" s="19" t="n">
        <f aca="false">+IF(C943="EQUIPO",F943,0)</f>
        <v>0</v>
      </c>
      <c r="F943" s="33" t="n">
        <v>0</v>
      </c>
      <c r="G943" s="35" t="n">
        <v>0</v>
      </c>
      <c r="H943" s="34" t="n">
        <f aca="false">+IF(E943=0,0,E943*0.03)</f>
        <v>0</v>
      </c>
    </row>
    <row r="944" customFormat="false" ht="15.75" hidden="false" customHeight="true" outlineLevel="0" collapsed="false">
      <c r="A944" s="30" t="n">
        <v>0</v>
      </c>
      <c r="B944" s="31" t="s">
        <v>11</v>
      </c>
      <c r="C944" s="32"/>
      <c r="D944" s="32"/>
      <c r="E944" s="19" t="n">
        <f aca="false">+IF(C944="EQUIPO",F944,0)</f>
        <v>0</v>
      </c>
      <c r="F944" s="33" t="n">
        <v>0</v>
      </c>
      <c r="G944" s="35" t="n">
        <v>0</v>
      </c>
      <c r="H944" s="34" t="n">
        <f aca="false">+IF(E944=0,0,E944*0.03)</f>
        <v>0</v>
      </c>
    </row>
    <row r="945" customFormat="false" ht="15.75" hidden="false" customHeight="true" outlineLevel="0" collapsed="false">
      <c r="A945" s="30" t="n">
        <v>0</v>
      </c>
      <c r="B945" s="31" t="s">
        <v>11</v>
      </c>
      <c r="C945" s="32"/>
      <c r="D945" s="32"/>
      <c r="E945" s="19" t="n">
        <f aca="false">+IF(C945="EQUIPO",F945,0)</f>
        <v>0</v>
      </c>
      <c r="F945" s="33" t="n">
        <v>0</v>
      </c>
      <c r="G945" s="35" t="n">
        <v>0</v>
      </c>
      <c r="H945" s="34" t="n">
        <f aca="false">+IF(E945=0,0,E945*0.03)</f>
        <v>0</v>
      </c>
    </row>
    <row r="946" customFormat="false" ht="15.75" hidden="false" customHeight="true" outlineLevel="0" collapsed="false">
      <c r="A946" s="30" t="n">
        <v>0</v>
      </c>
      <c r="B946" s="31" t="s">
        <v>11</v>
      </c>
      <c r="C946" s="32"/>
      <c r="D946" s="32"/>
      <c r="E946" s="19" t="n">
        <f aca="false">+IF(C946="EQUIPO",F946,0)</f>
        <v>0</v>
      </c>
      <c r="F946" s="33" t="n">
        <v>0</v>
      </c>
      <c r="G946" s="35" t="n">
        <v>0</v>
      </c>
      <c r="H946" s="34" t="n">
        <f aca="false">+IF(E946=0,0,E946*0.03)</f>
        <v>0</v>
      </c>
    </row>
    <row r="947" customFormat="false" ht="15.75" hidden="false" customHeight="true" outlineLevel="0" collapsed="false">
      <c r="A947" s="30" t="n">
        <v>0</v>
      </c>
      <c r="B947" s="31" t="s">
        <v>11</v>
      </c>
      <c r="C947" s="32"/>
      <c r="D947" s="32"/>
      <c r="E947" s="19" t="n">
        <f aca="false">+IF(C947="EQUIPO",F947,0)</f>
        <v>0</v>
      </c>
      <c r="F947" s="33" t="n">
        <v>0</v>
      </c>
      <c r="G947" s="35" t="n">
        <v>0</v>
      </c>
      <c r="H947" s="34" t="n">
        <f aca="false">+IF(E947=0,0,E947*0.03)</f>
        <v>0</v>
      </c>
    </row>
    <row r="948" customFormat="false" ht="15.75" hidden="false" customHeight="true" outlineLevel="0" collapsed="false">
      <c r="A948" s="30" t="n">
        <v>0</v>
      </c>
      <c r="B948" s="31" t="s">
        <v>11</v>
      </c>
      <c r="C948" s="32"/>
      <c r="D948" s="32"/>
      <c r="E948" s="19" t="n">
        <f aca="false">+IF(C948="EQUIPO",F948,0)</f>
        <v>0</v>
      </c>
      <c r="F948" s="33" t="n">
        <v>0</v>
      </c>
      <c r="G948" s="35" t="n">
        <v>0</v>
      </c>
      <c r="H948" s="34" t="n">
        <f aca="false">+IF(E948=0,0,E948*0.03)</f>
        <v>0</v>
      </c>
    </row>
    <row r="949" customFormat="false" ht="15.75" hidden="false" customHeight="true" outlineLevel="0" collapsed="false">
      <c r="A949" s="30" t="n">
        <v>0</v>
      </c>
      <c r="B949" s="31" t="s">
        <v>11</v>
      </c>
      <c r="C949" s="32"/>
      <c r="D949" s="32"/>
      <c r="E949" s="19" t="n">
        <f aca="false">+IF(C949="EQUIPO",F949,0)</f>
        <v>0</v>
      </c>
      <c r="F949" s="33" t="n">
        <v>0</v>
      </c>
      <c r="G949" s="35" t="n">
        <v>0</v>
      </c>
      <c r="H949" s="34" t="n">
        <f aca="false">+IF(E949=0,0,E949*0.03)</f>
        <v>0</v>
      </c>
    </row>
    <row r="950" customFormat="false" ht="15.75" hidden="false" customHeight="true" outlineLevel="0" collapsed="false">
      <c r="A950" s="30" t="n">
        <v>0</v>
      </c>
      <c r="B950" s="31" t="s">
        <v>11</v>
      </c>
      <c r="C950" s="32"/>
      <c r="D950" s="32"/>
      <c r="E950" s="19" t="n">
        <f aca="false">+IF(C950="EQUIPO",F950,0)</f>
        <v>0</v>
      </c>
      <c r="F950" s="33" t="n">
        <v>0</v>
      </c>
      <c r="G950" s="35" t="n">
        <v>0</v>
      </c>
      <c r="H950" s="34" t="n">
        <f aca="false">+IF(E950=0,0,E950*0.03)</f>
        <v>0</v>
      </c>
    </row>
    <row r="951" customFormat="false" ht="15.75" hidden="false" customHeight="true" outlineLevel="0" collapsed="false">
      <c r="A951" s="30" t="n">
        <v>0</v>
      </c>
      <c r="B951" s="31" t="s">
        <v>11</v>
      </c>
      <c r="C951" s="32"/>
      <c r="D951" s="32"/>
      <c r="E951" s="19" t="n">
        <f aca="false">+IF(C951="EQUIPO",F951,0)</f>
        <v>0</v>
      </c>
      <c r="F951" s="33" t="n">
        <v>0</v>
      </c>
      <c r="G951" s="35" t="n">
        <v>0</v>
      </c>
      <c r="H951" s="34" t="n">
        <f aca="false">+IF(E951=0,0,E951*0.03)</f>
        <v>0</v>
      </c>
    </row>
    <row r="952" customFormat="false" ht="15.75" hidden="false" customHeight="true" outlineLevel="0" collapsed="false">
      <c r="A952" s="30" t="n">
        <v>0</v>
      </c>
      <c r="B952" s="31" t="s">
        <v>11</v>
      </c>
      <c r="C952" s="32"/>
      <c r="D952" s="32"/>
      <c r="E952" s="19" t="n">
        <f aca="false">+IF(C952="EQUIPO",F952,0)</f>
        <v>0</v>
      </c>
      <c r="F952" s="33" t="n">
        <v>0</v>
      </c>
      <c r="G952" s="35" t="n">
        <v>0</v>
      </c>
      <c r="H952" s="34" t="n">
        <f aca="false">+IF(E952=0,0,E952*0.03)</f>
        <v>0</v>
      </c>
    </row>
    <row r="953" customFormat="false" ht="15.75" hidden="false" customHeight="true" outlineLevel="0" collapsed="false">
      <c r="A953" s="30" t="n">
        <v>0</v>
      </c>
      <c r="B953" s="31" t="s">
        <v>11</v>
      </c>
      <c r="C953" s="32"/>
      <c r="D953" s="32"/>
      <c r="E953" s="19" t="n">
        <f aca="false">+IF(C953="EQUIPO",F953,0)</f>
        <v>0</v>
      </c>
      <c r="F953" s="33" t="n">
        <v>0</v>
      </c>
      <c r="G953" s="35" t="n">
        <v>0</v>
      </c>
      <c r="H953" s="34" t="n">
        <f aca="false">+IF(E953=0,0,E953*0.03)</f>
        <v>0</v>
      </c>
    </row>
    <row r="954" customFormat="false" ht="15.75" hidden="false" customHeight="true" outlineLevel="0" collapsed="false">
      <c r="A954" s="30" t="n">
        <v>0</v>
      </c>
      <c r="B954" s="31" t="s">
        <v>11</v>
      </c>
      <c r="C954" s="32"/>
      <c r="D954" s="32"/>
      <c r="E954" s="19" t="n">
        <f aca="false">+IF(C954="EQUIPO",F954,0)</f>
        <v>0</v>
      </c>
      <c r="F954" s="33" t="n">
        <v>0</v>
      </c>
      <c r="G954" s="35" t="n">
        <v>0</v>
      </c>
      <c r="H954" s="34" t="n">
        <f aca="false">+IF(E954=0,0,E954*0.03)</f>
        <v>0</v>
      </c>
    </row>
    <row r="955" customFormat="false" ht="15.75" hidden="false" customHeight="true" outlineLevel="0" collapsed="false">
      <c r="A955" s="30" t="n">
        <v>0</v>
      </c>
      <c r="B955" s="31" t="s">
        <v>11</v>
      </c>
      <c r="C955" s="32"/>
      <c r="D955" s="32"/>
      <c r="E955" s="19" t="n">
        <f aca="false">+IF(C955="EQUIPO",F955,0)</f>
        <v>0</v>
      </c>
      <c r="F955" s="33" t="n">
        <v>0</v>
      </c>
      <c r="G955" s="35" t="n">
        <v>0</v>
      </c>
      <c r="H955" s="34" t="n">
        <f aca="false">+IF(E955=0,0,E955*0.03)</f>
        <v>0</v>
      </c>
    </row>
    <row r="956" customFormat="false" ht="15.75" hidden="false" customHeight="true" outlineLevel="0" collapsed="false">
      <c r="A956" s="30" t="n">
        <v>0</v>
      </c>
      <c r="B956" s="31" t="s">
        <v>11</v>
      </c>
      <c r="C956" s="32"/>
      <c r="D956" s="32"/>
      <c r="E956" s="19" t="n">
        <f aca="false">+IF(C956="EQUIPO",F956,0)</f>
        <v>0</v>
      </c>
      <c r="F956" s="33" t="n">
        <v>0</v>
      </c>
      <c r="G956" s="35" t="n">
        <v>0</v>
      </c>
      <c r="H956" s="34" t="n">
        <f aca="false">+IF(E956=0,0,E956*0.03)</f>
        <v>0</v>
      </c>
    </row>
    <row r="957" customFormat="false" ht="15.75" hidden="false" customHeight="true" outlineLevel="0" collapsed="false">
      <c r="A957" s="30" t="n">
        <v>0</v>
      </c>
      <c r="B957" s="31" t="s">
        <v>11</v>
      </c>
      <c r="C957" s="32"/>
      <c r="D957" s="32"/>
      <c r="E957" s="19" t="n">
        <f aca="false">+IF(C957="EQUIPO",F957,0)</f>
        <v>0</v>
      </c>
      <c r="F957" s="33" t="n">
        <v>0</v>
      </c>
      <c r="G957" s="35" t="n">
        <v>0</v>
      </c>
      <c r="H957" s="34" t="n">
        <f aca="false">+IF(E957=0,0,E957*0.03)</f>
        <v>0</v>
      </c>
    </row>
    <row r="958" customFormat="false" ht="15.75" hidden="false" customHeight="true" outlineLevel="0" collapsed="false">
      <c r="A958" s="30" t="n">
        <v>0</v>
      </c>
      <c r="B958" s="31" t="s">
        <v>11</v>
      </c>
      <c r="C958" s="32"/>
      <c r="D958" s="32"/>
      <c r="E958" s="19" t="n">
        <f aca="false">+IF(C958="EQUIPO",F958,0)</f>
        <v>0</v>
      </c>
      <c r="F958" s="33" t="n">
        <v>0</v>
      </c>
      <c r="G958" s="35" t="n">
        <v>0</v>
      </c>
      <c r="H958" s="34" t="n">
        <f aca="false">+IF(E958=0,0,E958*0.03)</f>
        <v>0</v>
      </c>
    </row>
    <row r="959" customFormat="false" ht="15.75" hidden="false" customHeight="true" outlineLevel="0" collapsed="false">
      <c r="A959" s="30" t="n">
        <v>0</v>
      </c>
      <c r="B959" s="31" t="s">
        <v>11</v>
      </c>
      <c r="C959" s="32"/>
      <c r="D959" s="32"/>
      <c r="E959" s="19" t="n">
        <f aca="false">+IF(C959="EQUIPO",F959,0)</f>
        <v>0</v>
      </c>
      <c r="F959" s="33" t="n">
        <v>0</v>
      </c>
      <c r="G959" s="35" t="n">
        <v>0</v>
      </c>
      <c r="H959" s="34" t="n">
        <f aca="false">+IF(E959=0,0,E959*0.03)</f>
        <v>0</v>
      </c>
    </row>
    <row r="960" customFormat="false" ht="15.75" hidden="false" customHeight="true" outlineLevel="0" collapsed="false">
      <c r="A960" s="30" t="n">
        <v>0</v>
      </c>
      <c r="B960" s="31" t="s">
        <v>11</v>
      </c>
      <c r="C960" s="32"/>
      <c r="D960" s="32"/>
      <c r="E960" s="19" t="n">
        <f aca="false">+IF(C960="EQUIPO",F960,0)</f>
        <v>0</v>
      </c>
      <c r="F960" s="33" t="n">
        <v>0</v>
      </c>
      <c r="G960" s="35" t="n">
        <v>0</v>
      </c>
      <c r="H960" s="34" t="n">
        <f aca="false">+IF(E960=0,0,E960*0.03)</f>
        <v>0</v>
      </c>
    </row>
    <row r="961" customFormat="false" ht="15.75" hidden="false" customHeight="true" outlineLevel="0" collapsed="false">
      <c r="A961" s="30" t="n">
        <v>0</v>
      </c>
      <c r="B961" s="31" t="s">
        <v>11</v>
      </c>
      <c r="C961" s="32"/>
      <c r="D961" s="32"/>
      <c r="E961" s="19" t="n">
        <f aca="false">+IF(C961="EQUIPO",F961,0)</f>
        <v>0</v>
      </c>
      <c r="F961" s="33" t="n">
        <v>0</v>
      </c>
      <c r="G961" s="35" t="n">
        <v>0</v>
      </c>
      <c r="H961" s="34" t="n">
        <f aca="false">+IF(E961=0,0,E961*0.03)</f>
        <v>0</v>
      </c>
    </row>
    <row r="962" customFormat="false" ht="15.75" hidden="false" customHeight="true" outlineLevel="0" collapsed="false">
      <c r="A962" s="30" t="n">
        <v>0</v>
      </c>
      <c r="B962" s="31" t="s">
        <v>11</v>
      </c>
      <c r="C962" s="32"/>
      <c r="D962" s="32"/>
      <c r="E962" s="19" t="n">
        <f aca="false">+IF(C962="EQUIPO",F962,0)</f>
        <v>0</v>
      </c>
      <c r="F962" s="33" t="n">
        <v>0</v>
      </c>
      <c r="G962" s="35" t="n">
        <v>0</v>
      </c>
      <c r="H962" s="34" t="n">
        <f aca="false">+IF(E962=0,0,E962*0.03)</f>
        <v>0</v>
      </c>
    </row>
    <row r="963" customFormat="false" ht="15.75" hidden="false" customHeight="true" outlineLevel="0" collapsed="false">
      <c r="A963" s="30" t="n">
        <v>0</v>
      </c>
      <c r="B963" s="31" t="s">
        <v>11</v>
      </c>
      <c r="C963" s="32"/>
      <c r="D963" s="32"/>
      <c r="E963" s="19" t="n">
        <f aca="false">+IF(C963="EQUIPO",F963,0)</f>
        <v>0</v>
      </c>
      <c r="F963" s="33" t="n">
        <v>0</v>
      </c>
      <c r="G963" s="35" t="n">
        <v>0</v>
      </c>
      <c r="H963" s="34" t="n">
        <f aca="false">+IF(E963=0,0,E963*0.03)</f>
        <v>0</v>
      </c>
    </row>
    <row r="964" customFormat="false" ht="15.75" hidden="false" customHeight="true" outlineLevel="0" collapsed="false">
      <c r="A964" s="30" t="n">
        <v>0</v>
      </c>
      <c r="B964" s="31" t="s">
        <v>11</v>
      </c>
      <c r="C964" s="32"/>
      <c r="D964" s="32"/>
      <c r="E964" s="19" t="n">
        <f aca="false">+IF(C964="EQUIPO",F964,0)</f>
        <v>0</v>
      </c>
      <c r="F964" s="33" t="n">
        <v>0</v>
      </c>
      <c r="G964" s="35" t="n">
        <v>0</v>
      </c>
      <c r="H964" s="34" t="n">
        <f aca="false">+IF(E964=0,0,E964*0.03)</f>
        <v>0</v>
      </c>
    </row>
    <row r="965" customFormat="false" ht="15.75" hidden="false" customHeight="true" outlineLevel="0" collapsed="false">
      <c r="A965" s="30" t="n">
        <v>0</v>
      </c>
      <c r="B965" s="31" t="s">
        <v>11</v>
      </c>
      <c r="C965" s="32"/>
      <c r="D965" s="32"/>
      <c r="E965" s="19" t="n">
        <f aca="false">+IF(C965="EQUIPO",F965,0)</f>
        <v>0</v>
      </c>
      <c r="F965" s="33" t="n">
        <v>0</v>
      </c>
      <c r="G965" s="35" t="n">
        <v>0</v>
      </c>
      <c r="H965" s="34" t="n">
        <f aca="false">+IF(E965=0,0,E965*0.03)</f>
        <v>0</v>
      </c>
    </row>
    <row r="966" customFormat="false" ht="15.75" hidden="false" customHeight="true" outlineLevel="0" collapsed="false">
      <c r="A966" s="30" t="n">
        <v>0</v>
      </c>
      <c r="B966" s="31" t="s">
        <v>11</v>
      </c>
      <c r="C966" s="32"/>
      <c r="D966" s="32"/>
      <c r="E966" s="19" t="n">
        <f aca="false">+IF(C966="EQUIPO",F966,0)</f>
        <v>0</v>
      </c>
      <c r="F966" s="33" t="n">
        <v>0</v>
      </c>
      <c r="G966" s="35" t="n">
        <v>0</v>
      </c>
      <c r="H966" s="34" t="n">
        <f aca="false">+IF(E966=0,0,E966*0.03)</f>
        <v>0</v>
      </c>
    </row>
    <row r="967" customFormat="false" ht="15.75" hidden="false" customHeight="true" outlineLevel="0" collapsed="false">
      <c r="A967" s="30" t="n">
        <v>0</v>
      </c>
      <c r="B967" s="31" t="s">
        <v>11</v>
      </c>
      <c r="C967" s="32"/>
      <c r="D967" s="32"/>
      <c r="E967" s="19" t="n">
        <f aca="false">+IF(C967="EQUIPO",F967,0)</f>
        <v>0</v>
      </c>
      <c r="F967" s="33" t="n">
        <v>0</v>
      </c>
      <c r="G967" s="35" t="n">
        <v>0</v>
      </c>
      <c r="H967" s="34" t="n">
        <f aca="false">+IF(E967=0,0,E967*0.03)</f>
        <v>0</v>
      </c>
    </row>
    <row r="968" customFormat="false" ht="15.75" hidden="false" customHeight="true" outlineLevel="0" collapsed="false">
      <c r="A968" s="30" t="n">
        <v>0</v>
      </c>
      <c r="B968" s="31" t="s">
        <v>11</v>
      </c>
      <c r="C968" s="32"/>
      <c r="D968" s="32"/>
      <c r="E968" s="19" t="n">
        <f aca="false">+IF(C968="EQUIPO",F968,0)</f>
        <v>0</v>
      </c>
      <c r="F968" s="33" t="n">
        <v>0</v>
      </c>
      <c r="G968" s="35" t="n">
        <v>0</v>
      </c>
      <c r="H968" s="34" t="n">
        <f aca="false">+IF(E968=0,0,E968*0.03)</f>
        <v>0</v>
      </c>
    </row>
    <row r="969" customFormat="false" ht="15.75" hidden="false" customHeight="true" outlineLevel="0" collapsed="false">
      <c r="A969" s="30" t="n">
        <v>0</v>
      </c>
      <c r="B969" s="31" t="s">
        <v>11</v>
      </c>
      <c r="C969" s="32"/>
      <c r="D969" s="32"/>
      <c r="E969" s="19" t="n">
        <f aca="false">+IF(C969="EQUIPO",F969,0)</f>
        <v>0</v>
      </c>
      <c r="F969" s="33" t="n">
        <v>0</v>
      </c>
      <c r="G969" s="35" t="n">
        <v>0</v>
      </c>
      <c r="H969" s="34" t="n">
        <f aca="false">+IF(E969=0,0,E969*0.03)</f>
        <v>0</v>
      </c>
    </row>
    <row r="970" customFormat="false" ht="15.75" hidden="false" customHeight="true" outlineLevel="0" collapsed="false">
      <c r="A970" s="30" t="n">
        <v>0</v>
      </c>
      <c r="B970" s="31" t="s">
        <v>11</v>
      </c>
      <c r="C970" s="32"/>
      <c r="D970" s="32"/>
      <c r="E970" s="19" t="n">
        <f aca="false">+IF(C970="EQUIPO",F970,0)</f>
        <v>0</v>
      </c>
      <c r="F970" s="33" t="n">
        <v>0</v>
      </c>
      <c r="G970" s="35" t="n">
        <v>0</v>
      </c>
      <c r="H970" s="34" t="n">
        <f aca="false">+IF(E970=0,0,E970*0.03)</f>
        <v>0</v>
      </c>
    </row>
    <row r="971" customFormat="false" ht="15.75" hidden="false" customHeight="true" outlineLevel="0" collapsed="false">
      <c r="A971" s="30" t="n">
        <v>0</v>
      </c>
      <c r="B971" s="31" t="s">
        <v>11</v>
      </c>
      <c r="C971" s="32"/>
      <c r="D971" s="32"/>
      <c r="E971" s="19" t="n">
        <f aca="false">+IF(C971="EQUIPO",F971,0)</f>
        <v>0</v>
      </c>
      <c r="F971" s="33" t="n">
        <v>0</v>
      </c>
      <c r="G971" s="35" t="n">
        <v>0</v>
      </c>
      <c r="H971" s="34" t="n">
        <f aca="false">+IF(E971=0,0,E971*0.03)</f>
        <v>0</v>
      </c>
    </row>
    <row r="972" customFormat="false" ht="15.75" hidden="false" customHeight="true" outlineLevel="0" collapsed="false">
      <c r="A972" s="30" t="n">
        <v>0</v>
      </c>
      <c r="B972" s="31" t="s">
        <v>11</v>
      </c>
      <c r="C972" s="32"/>
      <c r="D972" s="32"/>
      <c r="E972" s="19" t="n">
        <f aca="false">+IF(C972="EQUIPO",F972,0)</f>
        <v>0</v>
      </c>
      <c r="F972" s="33" t="n">
        <v>0</v>
      </c>
      <c r="G972" s="35" t="n">
        <v>0</v>
      </c>
      <c r="H972" s="34" t="n">
        <f aca="false">+IF(E972=0,0,E972*0.03)</f>
        <v>0</v>
      </c>
    </row>
    <row r="973" customFormat="false" ht="15.75" hidden="false" customHeight="true" outlineLevel="0" collapsed="false">
      <c r="A973" s="30" t="n">
        <v>0</v>
      </c>
      <c r="B973" s="31" t="s">
        <v>11</v>
      </c>
      <c r="C973" s="32"/>
      <c r="D973" s="32"/>
      <c r="E973" s="19" t="n">
        <f aca="false">+IF(C973="EQUIPO",F973,0)</f>
        <v>0</v>
      </c>
      <c r="F973" s="33" t="n">
        <v>0</v>
      </c>
      <c r="G973" s="35" t="n">
        <v>0</v>
      </c>
      <c r="H973" s="34" t="n">
        <f aca="false">+IF(E973=0,0,E973*0.03)</f>
        <v>0</v>
      </c>
    </row>
    <row r="974" customFormat="false" ht="15.75" hidden="false" customHeight="true" outlineLevel="0" collapsed="false">
      <c r="A974" s="30" t="n">
        <v>0</v>
      </c>
      <c r="B974" s="31" t="s">
        <v>11</v>
      </c>
      <c r="C974" s="32"/>
      <c r="D974" s="32"/>
      <c r="E974" s="19" t="n">
        <f aca="false">+IF(C974="EQUIPO",F974,0)</f>
        <v>0</v>
      </c>
      <c r="F974" s="33" t="n">
        <v>0</v>
      </c>
      <c r="G974" s="35" t="n">
        <v>0</v>
      </c>
      <c r="H974" s="34" t="n">
        <f aca="false">+IF(E974=0,0,E974*0.03)</f>
        <v>0</v>
      </c>
    </row>
    <row r="975" customFormat="false" ht="15.75" hidden="false" customHeight="true" outlineLevel="0" collapsed="false">
      <c r="A975" s="30" t="n">
        <v>0</v>
      </c>
      <c r="B975" s="31" t="s">
        <v>11</v>
      </c>
      <c r="C975" s="32"/>
      <c r="D975" s="32"/>
      <c r="E975" s="19" t="n">
        <f aca="false">+IF(C975="EQUIPO",F975,0)</f>
        <v>0</v>
      </c>
      <c r="F975" s="33" t="n">
        <v>0</v>
      </c>
      <c r="G975" s="35" t="n">
        <v>0</v>
      </c>
      <c r="H975" s="34" t="n">
        <f aca="false">+IF(E975=0,0,E975*0.03)</f>
        <v>0</v>
      </c>
    </row>
    <row r="976" customFormat="false" ht="15.75" hidden="false" customHeight="true" outlineLevel="0" collapsed="false">
      <c r="A976" s="30" t="n">
        <v>0</v>
      </c>
      <c r="B976" s="31" t="s">
        <v>11</v>
      </c>
      <c r="C976" s="32"/>
      <c r="D976" s="32"/>
      <c r="E976" s="19" t="n">
        <f aca="false">+IF(C976="EQUIPO",F976,0)</f>
        <v>0</v>
      </c>
      <c r="F976" s="33" t="n">
        <v>0</v>
      </c>
      <c r="G976" s="35" t="n">
        <v>0</v>
      </c>
      <c r="H976" s="34" t="n">
        <f aca="false">+IF(E976=0,0,E976*0.03)</f>
        <v>0</v>
      </c>
    </row>
    <row r="977" customFormat="false" ht="15.75" hidden="false" customHeight="true" outlineLevel="0" collapsed="false">
      <c r="A977" s="30" t="n">
        <v>0</v>
      </c>
      <c r="B977" s="31" t="s">
        <v>11</v>
      </c>
      <c r="C977" s="32"/>
      <c r="D977" s="32"/>
      <c r="E977" s="19" t="n">
        <f aca="false">+IF(C977="EQUIPO",F977,0)</f>
        <v>0</v>
      </c>
      <c r="F977" s="33" t="n">
        <v>0</v>
      </c>
      <c r="G977" s="35" t="n">
        <v>0</v>
      </c>
      <c r="H977" s="34" t="n">
        <f aca="false">+IF(E977=0,0,E977*0.03)</f>
        <v>0</v>
      </c>
    </row>
    <row r="978" customFormat="false" ht="15.75" hidden="false" customHeight="true" outlineLevel="0" collapsed="false">
      <c r="A978" s="30" t="n">
        <v>0</v>
      </c>
      <c r="B978" s="31" t="s">
        <v>11</v>
      </c>
      <c r="C978" s="32"/>
      <c r="D978" s="32"/>
      <c r="E978" s="19" t="n">
        <f aca="false">+IF(C978="EQUIPO",F978,0)</f>
        <v>0</v>
      </c>
      <c r="F978" s="33" t="n">
        <v>0</v>
      </c>
      <c r="G978" s="35" t="n">
        <v>0</v>
      </c>
      <c r="H978" s="34" t="n">
        <f aca="false">+IF(E978=0,0,E978*0.03)</f>
        <v>0</v>
      </c>
    </row>
    <row r="979" customFormat="false" ht="15.75" hidden="false" customHeight="true" outlineLevel="0" collapsed="false">
      <c r="A979" s="30" t="n">
        <v>0</v>
      </c>
      <c r="B979" s="31" t="s">
        <v>11</v>
      </c>
      <c r="C979" s="32"/>
      <c r="D979" s="32"/>
      <c r="E979" s="19" t="n">
        <f aca="false">+IF(C979="EQUIPO",F979,0)</f>
        <v>0</v>
      </c>
      <c r="F979" s="33" t="n">
        <v>0</v>
      </c>
      <c r="G979" s="35" t="n">
        <v>0</v>
      </c>
      <c r="H979" s="34" t="n">
        <f aca="false">+IF(E979=0,0,E979*0.03)</f>
        <v>0</v>
      </c>
    </row>
    <row r="980" customFormat="false" ht="15.75" hidden="false" customHeight="true" outlineLevel="0" collapsed="false">
      <c r="A980" s="30" t="n">
        <v>0</v>
      </c>
      <c r="B980" s="31" t="s">
        <v>11</v>
      </c>
      <c r="C980" s="32"/>
      <c r="D980" s="32"/>
      <c r="E980" s="19" t="n">
        <f aca="false">+IF(C980="EQUIPO",F980,0)</f>
        <v>0</v>
      </c>
      <c r="F980" s="33" t="n">
        <v>0</v>
      </c>
      <c r="G980" s="35" t="n">
        <v>0</v>
      </c>
      <c r="H980" s="34" t="n">
        <f aca="false">+IF(E980=0,0,E980*0.03)</f>
        <v>0</v>
      </c>
    </row>
    <row r="981" customFormat="false" ht="15.75" hidden="false" customHeight="true" outlineLevel="0" collapsed="false">
      <c r="A981" s="30" t="n">
        <v>0</v>
      </c>
      <c r="B981" s="31" t="s">
        <v>11</v>
      </c>
      <c r="C981" s="32"/>
      <c r="D981" s="32"/>
      <c r="E981" s="19" t="n">
        <f aca="false">+IF(C981="EQUIPO",F981,0)</f>
        <v>0</v>
      </c>
      <c r="F981" s="33" t="n">
        <v>0</v>
      </c>
      <c r="G981" s="35" t="n">
        <v>0</v>
      </c>
      <c r="H981" s="34" t="n">
        <f aca="false">+IF(E981=0,0,E981*0.03)</f>
        <v>0</v>
      </c>
    </row>
    <row r="982" customFormat="false" ht="15.75" hidden="false" customHeight="true" outlineLevel="0" collapsed="false">
      <c r="A982" s="30" t="n">
        <v>0</v>
      </c>
      <c r="B982" s="31" t="s">
        <v>11</v>
      </c>
      <c r="C982" s="32"/>
      <c r="D982" s="32"/>
      <c r="E982" s="19" t="n">
        <f aca="false">+IF(C982="EQUIPO",F982,0)</f>
        <v>0</v>
      </c>
      <c r="F982" s="33" t="n">
        <v>0</v>
      </c>
      <c r="G982" s="35" t="n">
        <v>0</v>
      </c>
      <c r="H982" s="34" t="n">
        <f aca="false">+IF(E982=0,0,E982*0.03)</f>
        <v>0</v>
      </c>
    </row>
    <row r="983" customFormat="false" ht="15.75" hidden="false" customHeight="true" outlineLevel="0" collapsed="false">
      <c r="A983" s="30" t="n">
        <v>0</v>
      </c>
      <c r="B983" s="31" t="s">
        <v>11</v>
      </c>
      <c r="C983" s="32"/>
      <c r="D983" s="32"/>
      <c r="E983" s="19" t="n">
        <f aca="false">+IF(C983="EQUIPO",F983,0)</f>
        <v>0</v>
      </c>
      <c r="F983" s="33" t="n">
        <v>0</v>
      </c>
      <c r="G983" s="35" t="n">
        <v>0</v>
      </c>
      <c r="H983" s="34" t="n">
        <f aca="false">+IF(E983=0,0,E983*0.03)</f>
        <v>0</v>
      </c>
    </row>
    <row r="984" customFormat="false" ht="15.75" hidden="false" customHeight="true" outlineLevel="0" collapsed="false">
      <c r="A984" s="30" t="n">
        <v>0</v>
      </c>
      <c r="B984" s="31" t="s">
        <v>11</v>
      </c>
      <c r="C984" s="32"/>
      <c r="D984" s="32"/>
      <c r="E984" s="19" t="n">
        <f aca="false">+IF(C984="EQUIPO",F984,0)</f>
        <v>0</v>
      </c>
      <c r="F984" s="33" t="n">
        <v>0</v>
      </c>
      <c r="G984" s="35" t="n">
        <v>0</v>
      </c>
      <c r="H984" s="34" t="n">
        <f aca="false">+IF(E984=0,0,E984*0.03)</f>
        <v>0</v>
      </c>
    </row>
    <row r="985" customFormat="false" ht="15.75" hidden="false" customHeight="true" outlineLevel="0" collapsed="false">
      <c r="A985" s="30" t="n">
        <v>0</v>
      </c>
      <c r="B985" s="31" t="s">
        <v>11</v>
      </c>
      <c r="C985" s="32"/>
      <c r="D985" s="32"/>
      <c r="E985" s="19" t="n">
        <f aca="false">+IF(C985="EQUIPO",F985,0)</f>
        <v>0</v>
      </c>
      <c r="F985" s="33" t="n">
        <v>0</v>
      </c>
      <c r="G985" s="35" t="n">
        <v>0</v>
      </c>
      <c r="H985" s="34" t="n">
        <f aca="false">+IF(E985=0,0,E985*0.03)</f>
        <v>0</v>
      </c>
    </row>
    <row r="986" customFormat="false" ht="15.75" hidden="false" customHeight="true" outlineLevel="0" collapsed="false">
      <c r="A986" s="30" t="n">
        <v>0</v>
      </c>
      <c r="B986" s="31" t="s">
        <v>11</v>
      </c>
      <c r="C986" s="32"/>
      <c r="D986" s="32"/>
      <c r="E986" s="19" t="n">
        <f aca="false">+IF(C986="EQUIPO",F986,0)</f>
        <v>0</v>
      </c>
      <c r="F986" s="33" t="n">
        <v>0</v>
      </c>
      <c r="G986" s="35" t="n">
        <v>0</v>
      </c>
      <c r="H986" s="34" t="n">
        <f aca="false">+IF(E986=0,0,E986*0.03)</f>
        <v>0</v>
      </c>
    </row>
    <row r="987" customFormat="false" ht="15.75" hidden="false" customHeight="true" outlineLevel="0" collapsed="false">
      <c r="A987" s="30" t="n">
        <v>0</v>
      </c>
      <c r="B987" s="31" t="s">
        <v>11</v>
      </c>
      <c r="C987" s="32"/>
      <c r="D987" s="32"/>
      <c r="E987" s="19" t="n">
        <f aca="false">+IF(C987="EQUIPO",F987,0)</f>
        <v>0</v>
      </c>
      <c r="F987" s="33" t="n">
        <v>0</v>
      </c>
      <c r="G987" s="35" t="n">
        <v>0</v>
      </c>
      <c r="H987" s="34" t="n">
        <f aca="false">+IF(E987=0,0,E987*0.03)</f>
        <v>0</v>
      </c>
    </row>
    <row r="988" customFormat="false" ht="15.75" hidden="false" customHeight="true" outlineLevel="0" collapsed="false">
      <c r="A988" s="30" t="n">
        <v>0</v>
      </c>
      <c r="B988" s="31" t="s">
        <v>11</v>
      </c>
      <c r="C988" s="32"/>
      <c r="D988" s="32"/>
      <c r="E988" s="19" t="n">
        <f aca="false">+IF(C988="EQUIPO",F988,0)</f>
        <v>0</v>
      </c>
      <c r="F988" s="33" t="n">
        <v>0</v>
      </c>
      <c r="G988" s="35" t="n">
        <v>0</v>
      </c>
      <c r="H988" s="34" t="n">
        <f aca="false">+IF(E988=0,0,E988*0.03)</f>
        <v>0</v>
      </c>
    </row>
    <row r="989" customFormat="false" ht="15.75" hidden="false" customHeight="true" outlineLevel="0" collapsed="false">
      <c r="A989" s="30" t="n">
        <v>0</v>
      </c>
      <c r="B989" s="31" t="s">
        <v>11</v>
      </c>
      <c r="C989" s="32"/>
      <c r="D989" s="32"/>
      <c r="E989" s="19" t="n">
        <f aca="false">+IF(C989="EQUIPO",F989,0)</f>
        <v>0</v>
      </c>
      <c r="F989" s="33" t="n">
        <v>0</v>
      </c>
      <c r="G989" s="35" t="n">
        <v>0</v>
      </c>
      <c r="H989" s="34" t="n">
        <f aca="false">+IF(E989=0,0,E989*0.03)</f>
        <v>0</v>
      </c>
    </row>
    <row r="990" customFormat="false" ht="15.75" hidden="false" customHeight="true" outlineLevel="0" collapsed="false">
      <c r="A990" s="30" t="n">
        <v>0</v>
      </c>
      <c r="B990" s="31" t="s">
        <v>11</v>
      </c>
      <c r="C990" s="32"/>
      <c r="D990" s="32"/>
      <c r="E990" s="19" t="n">
        <f aca="false">+IF(C990="EQUIPO",F990,0)</f>
        <v>0</v>
      </c>
      <c r="F990" s="33" t="n">
        <v>0</v>
      </c>
      <c r="G990" s="35" t="n">
        <v>0</v>
      </c>
      <c r="H990" s="34" t="n">
        <f aca="false">+IF(E990=0,0,E990*0.03)</f>
        <v>0</v>
      </c>
    </row>
    <row r="991" customFormat="false" ht="15.75" hidden="false" customHeight="true" outlineLevel="0" collapsed="false">
      <c r="A991" s="30" t="n">
        <v>0</v>
      </c>
      <c r="B991" s="31" t="s">
        <v>11</v>
      </c>
      <c r="C991" s="32"/>
      <c r="D991" s="32"/>
      <c r="E991" s="19" t="n">
        <f aca="false">+IF(C991="EQUIPO",F991,0)</f>
        <v>0</v>
      </c>
      <c r="F991" s="33" t="n">
        <v>0</v>
      </c>
      <c r="G991" s="35" t="n">
        <v>0</v>
      </c>
      <c r="H991" s="34" t="n">
        <f aca="false">+IF(E991=0,0,E991*0.03)</f>
        <v>0</v>
      </c>
    </row>
    <row r="992" customFormat="false" ht="15.75" hidden="false" customHeight="true" outlineLevel="0" collapsed="false">
      <c r="A992" s="30" t="n">
        <v>0</v>
      </c>
      <c r="B992" s="31" t="s">
        <v>11</v>
      </c>
      <c r="C992" s="32"/>
      <c r="D992" s="32"/>
      <c r="E992" s="19" t="n">
        <f aca="false">+IF(C992="EQUIPO",F992,0)</f>
        <v>0</v>
      </c>
      <c r="F992" s="33" t="n">
        <v>0</v>
      </c>
      <c r="G992" s="35" t="n">
        <v>0</v>
      </c>
      <c r="H992" s="34" t="n">
        <f aca="false">+IF(E992=0,0,E992*0.03)</f>
        <v>0</v>
      </c>
    </row>
    <row r="993" customFormat="false" ht="15.75" hidden="false" customHeight="true" outlineLevel="0" collapsed="false">
      <c r="A993" s="30" t="n">
        <v>0</v>
      </c>
      <c r="B993" s="31" t="s">
        <v>11</v>
      </c>
      <c r="C993" s="32"/>
      <c r="D993" s="32"/>
      <c r="E993" s="19" t="n">
        <f aca="false">+IF(C993="EQUIPO",F993,0)</f>
        <v>0</v>
      </c>
      <c r="F993" s="33" t="n">
        <v>0</v>
      </c>
      <c r="G993" s="35" t="n">
        <v>0</v>
      </c>
      <c r="H993" s="34" t="n">
        <f aca="false">+IF(E993=0,0,E993*0.03)</f>
        <v>0</v>
      </c>
    </row>
    <row r="994" customFormat="false" ht="15.75" hidden="false" customHeight="true" outlineLevel="0" collapsed="false">
      <c r="A994" s="30" t="n">
        <v>0</v>
      </c>
      <c r="B994" s="31" t="s">
        <v>11</v>
      </c>
      <c r="C994" s="32"/>
      <c r="D994" s="32"/>
      <c r="E994" s="19" t="n">
        <f aca="false">+IF(C994="EQUIPO",F994,0)</f>
        <v>0</v>
      </c>
      <c r="F994" s="33" t="n">
        <v>0</v>
      </c>
      <c r="G994" s="35" t="n">
        <v>0</v>
      </c>
      <c r="H994" s="34" t="n">
        <f aca="false">+IF(E994=0,0,E994*0.03)</f>
        <v>0</v>
      </c>
    </row>
    <row r="995" customFormat="false" ht="15.75" hidden="false" customHeight="true" outlineLevel="0" collapsed="false">
      <c r="A995" s="30" t="n">
        <v>0</v>
      </c>
      <c r="B995" s="31" t="s">
        <v>11</v>
      </c>
      <c r="C995" s="32"/>
      <c r="D995" s="32"/>
      <c r="E995" s="19" t="n">
        <f aca="false">+IF(C995="EQUIPO",F995,0)</f>
        <v>0</v>
      </c>
      <c r="F995" s="33" t="n">
        <v>0</v>
      </c>
      <c r="G995" s="35" t="n">
        <v>0</v>
      </c>
      <c r="H995" s="34" t="n">
        <f aca="false">+IF(E995=0,0,E995*0.03)</f>
        <v>0</v>
      </c>
    </row>
    <row r="996" customFormat="false" ht="15.75" hidden="false" customHeight="true" outlineLevel="0" collapsed="false">
      <c r="A996" s="30" t="n">
        <v>0</v>
      </c>
      <c r="B996" s="31" t="s">
        <v>11</v>
      </c>
      <c r="C996" s="32"/>
      <c r="D996" s="32"/>
      <c r="E996" s="19" t="n">
        <f aca="false">+IF(C996="EQUIPO",F996,0)</f>
        <v>0</v>
      </c>
      <c r="F996" s="33" t="n">
        <v>0</v>
      </c>
      <c r="G996" s="35" t="n">
        <v>0</v>
      </c>
      <c r="H996" s="34" t="n">
        <f aca="false">+IF(E996=0,0,E996*0.03)</f>
        <v>0</v>
      </c>
    </row>
    <row r="997" customFormat="false" ht="15.75" hidden="false" customHeight="true" outlineLevel="0" collapsed="false">
      <c r="A997" s="30" t="n">
        <v>0</v>
      </c>
      <c r="B997" s="31" t="s">
        <v>11</v>
      </c>
      <c r="C997" s="32"/>
      <c r="D997" s="32"/>
      <c r="E997" s="19" t="n">
        <f aca="false">+IF(C997="EQUIPO",F997,0)</f>
        <v>0</v>
      </c>
      <c r="F997" s="33" t="n">
        <v>0</v>
      </c>
      <c r="G997" s="35" t="n">
        <v>0</v>
      </c>
      <c r="H997" s="34" t="n">
        <f aca="false">+IF(E997=0,0,E997*0.03)</f>
        <v>0</v>
      </c>
    </row>
    <row r="998" customFormat="false" ht="15.75" hidden="false" customHeight="true" outlineLevel="0" collapsed="false">
      <c r="A998" s="30" t="n">
        <v>0</v>
      </c>
      <c r="B998" s="31" t="s">
        <v>11</v>
      </c>
      <c r="C998" s="32"/>
      <c r="D998" s="32"/>
      <c r="E998" s="19" t="n">
        <f aca="false">+IF(C998="EQUIPO",F998,0)</f>
        <v>0</v>
      </c>
      <c r="F998" s="33" t="n">
        <v>0</v>
      </c>
      <c r="G998" s="35" t="n">
        <v>0</v>
      </c>
      <c r="H998" s="34" t="n">
        <f aca="false">+IF(E998=0,0,E998*0.03)</f>
        <v>0</v>
      </c>
    </row>
    <row r="999" customFormat="false" ht="15.75" hidden="false" customHeight="true" outlineLevel="0" collapsed="false">
      <c r="A999" s="30" t="n">
        <v>0</v>
      </c>
      <c r="B999" s="31" t="s">
        <v>11</v>
      </c>
      <c r="C999" s="32"/>
      <c r="D999" s="32"/>
      <c r="E999" s="19" t="n">
        <f aca="false">+IF(C999="EQUIPO",F999,0)</f>
        <v>0</v>
      </c>
      <c r="F999" s="33" t="n">
        <v>0</v>
      </c>
      <c r="G999" s="35" t="n">
        <v>0</v>
      </c>
      <c r="H999" s="34" t="n">
        <f aca="false">+IF(E999=0,0,E999*0.03)</f>
        <v>0</v>
      </c>
    </row>
    <row r="1000" customFormat="false" ht="15.75" hidden="false" customHeight="true" outlineLevel="0" collapsed="false">
      <c r="A1000" s="30" t="n">
        <v>0</v>
      </c>
      <c r="B1000" s="31" t="s">
        <v>11</v>
      </c>
      <c r="C1000" s="32"/>
      <c r="D1000" s="32"/>
      <c r="E1000" s="19" t="n">
        <f aca="false">+IF(C1000="EQUIPO",F1000,0)</f>
        <v>0</v>
      </c>
      <c r="F1000" s="33" t="n">
        <v>0</v>
      </c>
      <c r="G1000" s="35" t="n">
        <v>0</v>
      </c>
      <c r="H1000" s="34" t="n">
        <f aca="false">+IF(E1000=0,0,E1000*0.03)</f>
        <v>0</v>
      </c>
    </row>
    <row r="1001" customFormat="false" ht="15.75" hidden="false" customHeight="true" outlineLevel="0" collapsed="false">
      <c r="A1001" s="30" t="n">
        <v>0</v>
      </c>
      <c r="B1001" s="31" t="s">
        <v>11</v>
      </c>
      <c r="C1001" s="32"/>
      <c r="D1001" s="32"/>
      <c r="E1001" s="19" t="n">
        <f aca="false">+IF(C1001="EQUIPO",F1001,0)</f>
        <v>0</v>
      </c>
      <c r="F1001" s="33" t="n">
        <v>0</v>
      </c>
      <c r="G1001" s="35" t="n">
        <v>0</v>
      </c>
      <c r="H1001" s="34" t="n">
        <f aca="false">+IF(E1001=0,0,E1001*0.03)</f>
        <v>0</v>
      </c>
    </row>
    <row r="1002" customFormat="false" ht="15.75" hidden="false" customHeight="true" outlineLevel="0" collapsed="false">
      <c r="A1002" s="30" t="n">
        <v>0</v>
      </c>
      <c r="B1002" s="31" t="s">
        <v>11</v>
      </c>
      <c r="C1002" s="32"/>
      <c r="D1002" s="32"/>
      <c r="E1002" s="19" t="n">
        <f aca="false">+IF(C1002="EQUIPO",F1002,0)</f>
        <v>0</v>
      </c>
      <c r="F1002" s="33" t="n">
        <v>0</v>
      </c>
      <c r="G1002" s="35" t="n">
        <v>0</v>
      </c>
      <c r="H1002" s="34" t="n">
        <f aca="false">+IF(E1002=0,0,E1002*0.03)</f>
        <v>0</v>
      </c>
    </row>
    <row r="1003" customFormat="false" ht="15.75" hidden="false" customHeight="true" outlineLevel="0" collapsed="false">
      <c r="A1003" s="30" t="n">
        <v>0</v>
      </c>
      <c r="B1003" s="31" t="s">
        <v>11</v>
      </c>
      <c r="C1003" s="32"/>
      <c r="D1003" s="32"/>
      <c r="E1003" s="19" t="n">
        <f aca="false">+IF(C1003="EQUIPO",F1003,0)</f>
        <v>0</v>
      </c>
      <c r="F1003" s="33" t="n">
        <v>0</v>
      </c>
      <c r="G1003" s="35" t="n">
        <v>0</v>
      </c>
      <c r="H1003" s="34" t="n">
        <f aca="false">+IF(E1003=0,0,E1003*0.03)</f>
        <v>0</v>
      </c>
    </row>
    <row r="1004" customFormat="false" ht="15.75" hidden="false" customHeight="true" outlineLevel="0" collapsed="false">
      <c r="A1004" s="30" t="n">
        <v>0</v>
      </c>
      <c r="B1004" s="31" t="s">
        <v>11</v>
      </c>
      <c r="C1004" s="32"/>
      <c r="D1004" s="32"/>
      <c r="E1004" s="19" t="n">
        <f aca="false">+IF(C1004="EQUIPO",F1004,0)</f>
        <v>0</v>
      </c>
      <c r="F1004" s="33" t="n">
        <v>0</v>
      </c>
      <c r="G1004" s="35" t="n">
        <v>0</v>
      </c>
      <c r="H1004" s="34" t="n">
        <f aca="false">+IF(E1004=0,0,E1004*0.03)</f>
        <v>0</v>
      </c>
    </row>
    <row r="1005" customFormat="false" ht="15.75" hidden="false" customHeight="true" outlineLevel="0" collapsed="false">
      <c r="A1005" s="30" t="n">
        <v>0</v>
      </c>
      <c r="B1005" s="31" t="s">
        <v>11</v>
      </c>
      <c r="C1005" s="32"/>
      <c r="D1005" s="32"/>
      <c r="E1005" s="19" t="n">
        <f aca="false">+IF(C1005="EQUIPO",F1005,0)</f>
        <v>0</v>
      </c>
      <c r="F1005" s="33" t="n">
        <v>0</v>
      </c>
      <c r="G1005" s="35" t="n">
        <v>0</v>
      </c>
      <c r="H1005" s="34" t="n">
        <f aca="false">+IF(E1005=0,0,E1005*0.03)</f>
        <v>0</v>
      </c>
    </row>
    <row r="1006" customFormat="false" ht="15.75" hidden="false" customHeight="true" outlineLevel="0" collapsed="false">
      <c r="A1006" s="30" t="n">
        <v>0</v>
      </c>
      <c r="B1006" s="31" t="s">
        <v>11</v>
      </c>
      <c r="C1006" s="32"/>
      <c r="D1006" s="32"/>
      <c r="E1006" s="19" t="n">
        <f aca="false">+IF(C1006="EQUIPO",F1006,0)</f>
        <v>0</v>
      </c>
      <c r="F1006" s="33" t="n">
        <v>0</v>
      </c>
      <c r="G1006" s="35" t="n">
        <v>0</v>
      </c>
      <c r="H1006" s="34" t="n">
        <f aca="false">+IF(E1006=0,0,E1006*0.03)</f>
        <v>0</v>
      </c>
    </row>
    <row r="1007" customFormat="false" ht="15.75" hidden="false" customHeight="true" outlineLevel="0" collapsed="false">
      <c r="A1007" s="30" t="n">
        <v>0</v>
      </c>
      <c r="B1007" s="31" t="s">
        <v>11</v>
      </c>
      <c r="C1007" s="32"/>
      <c r="D1007" s="32"/>
      <c r="E1007" s="19" t="n">
        <f aca="false">+IF(C1007="EQUIPO",F1007,0)</f>
        <v>0</v>
      </c>
      <c r="F1007" s="33" t="n">
        <v>0</v>
      </c>
      <c r="G1007" s="35" t="n">
        <v>0</v>
      </c>
      <c r="H1007" s="34" t="n">
        <f aca="false">+IF(E1007=0,0,E1007*0.03)</f>
        <v>0</v>
      </c>
    </row>
    <row r="1008" customFormat="false" ht="15.75" hidden="false" customHeight="true" outlineLevel="0" collapsed="false">
      <c r="A1008" s="30" t="n">
        <v>0</v>
      </c>
      <c r="B1008" s="31" t="s">
        <v>11</v>
      </c>
      <c r="C1008" s="32"/>
      <c r="D1008" s="32"/>
      <c r="E1008" s="19" t="n">
        <f aca="false">+IF(C1008="EQUIPO",F1008,0)</f>
        <v>0</v>
      </c>
      <c r="F1008" s="33" t="n">
        <v>0</v>
      </c>
      <c r="G1008" s="35" t="n">
        <v>0</v>
      </c>
      <c r="H1008" s="34" t="n">
        <f aca="false">+IF(E1008=0,0,E1008*0.03)</f>
        <v>0</v>
      </c>
    </row>
    <row r="1009" customFormat="false" ht="15.75" hidden="false" customHeight="true" outlineLevel="0" collapsed="false">
      <c r="A1009" s="30" t="n">
        <v>0</v>
      </c>
      <c r="B1009" s="31" t="s">
        <v>11</v>
      </c>
      <c r="C1009" s="32"/>
      <c r="D1009" s="32"/>
      <c r="E1009" s="19" t="n">
        <f aca="false">+IF(C1009="EQUIPO",F1009,0)</f>
        <v>0</v>
      </c>
      <c r="F1009" s="33" t="n">
        <v>0</v>
      </c>
      <c r="G1009" s="35" t="n">
        <v>0</v>
      </c>
      <c r="H1009" s="34" t="n">
        <f aca="false">+IF(E1009=0,0,E1009*0.03)</f>
        <v>0</v>
      </c>
    </row>
    <row r="1010" customFormat="false" ht="15.75" hidden="false" customHeight="true" outlineLevel="0" collapsed="false">
      <c r="A1010" s="30" t="n">
        <v>0</v>
      </c>
      <c r="B1010" s="31" t="s">
        <v>11</v>
      </c>
      <c r="C1010" s="32"/>
      <c r="D1010" s="32"/>
      <c r="E1010" s="19" t="n">
        <f aca="false">+IF(C1010="EQUIPO",F1010,0)</f>
        <v>0</v>
      </c>
      <c r="F1010" s="33" t="n">
        <v>0</v>
      </c>
      <c r="G1010" s="35" t="n">
        <v>0</v>
      </c>
      <c r="H1010" s="34" t="n">
        <f aca="false">+IF(E1010=0,0,E1010*0.03)</f>
        <v>0</v>
      </c>
    </row>
    <row r="1011" customFormat="false" ht="15.75" hidden="false" customHeight="true" outlineLevel="0" collapsed="false">
      <c r="A1011" s="30" t="n">
        <v>0</v>
      </c>
      <c r="B1011" s="31" t="s">
        <v>11</v>
      </c>
      <c r="C1011" s="32"/>
      <c r="D1011" s="32"/>
      <c r="E1011" s="19" t="n">
        <f aca="false">+IF(C1011="EQUIPO",F1011,0)</f>
        <v>0</v>
      </c>
      <c r="F1011" s="33" t="n">
        <v>0</v>
      </c>
      <c r="G1011" s="35" t="n">
        <v>0</v>
      </c>
      <c r="H1011" s="34" t="n">
        <f aca="false">+IF(E1011=0,0,E1011*0.03)</f>
        <v>0</v>
      </c>
    </row>
    <row r="1012" customFormat="false" ht="15.75" hidden="false" customHeight="true" outlineLevel="0" collapsed="false">
      <c r="A1012" s="30" t="n">
        <v>0</v>
      </c>
      <c r="B1012" s="31" t="s">
        <v>11</v>
      </c>
      <c r="C1012" s="32"/>
      <c r="D1012" s="32"/>
      <c r="E1012" s="19" t="n">
        <f aca="false">+IF(C1012="EQUIPO",F1012,0)</f>
        <v>0</v>
      </c>
      <c r="F1012" s="33" t="n">
        <v>0</v>
      </c>
      <c r="G1012" s="35" t="n">
        <v>0</v>
      </c>
      <c r="H1012" s="34" t="n">
        <f aca="false">+IF(E1012=0,0,E1012*0.03)</f>
        <v>0</v>
      </c>
    </row>
    <row r="1013" customFormat="false" ht="15.75" hidden="false" customHeight="true" outlineLevel="0" collapsed="false">
      <c r="A1013" s="30" t="n">
        <v>0</v>
      </c>
      <c r="B1013" s="31" t="s">
        <v>11</v>
      </c>
      <c r="C1013" s="32"/>
      <c r="D1013" s="32"/>
      <c r="E1013" s="19" t="n">
        <f aca="false">+IF(C1013="EQUIPO",F1013,0)</f>
        <v>0</v>
      </c>
      <c r="F1013" s="33" t="n">
        <v>0</v>
      </c>
      <c r="G1013" s="35" t="n">
        <v>0</v>
      </c>
      <c r="H1013" s="34" t="n">
        <f aca="false">+IF(E1013=0,0,E1013*0.03)</f>
        <v>0</v>
      </c>
    </row>
    <row r="1014" customFormat="false" ht="15.75" hidden="false" customHeight="true" outlineLevel="0" collapsed="false">
      <c r="A1014" s="30" t="n">
        <v>0</v>
      </c>
      <c r="B1014" s="31" t="s">
        <v>11</v>
      </c>
      <c r="C1014" s="32"/>
      <c r="D1014" s="32"/>
      <c r="E1014" s="19" t="n">
        <f aca="false">+IF(C1014="EQUIPO",F1014,0)</f>
        <v>0</v>
      </c>
      <c r="F1014" s="33" t="n">
        <v>0</v>
      </c>
      <c r="G1014" s="35" t="n">
        <v>0</v>
      </c>
      <c r="H1014" s="34" t="n">
        <f aca="false">+IF(E1014=0,0,E1014*0.03)</f>
        <v>0</v>
      </c>
    </row>
    <row r="1015" customFormat="false" ht="15.75" hidden="false" customHeight="true" outlineLevel="0" collapsed="false">
      <c r="A1015" s="30" t="n">
        <v>0</v>
      </c>
      <c r="B1015" s="31" t="s">
        <v>11</v>
      </c>
      <c r="C1015" s="32"/>
      <c r="D1015" s="32"/>
      <c r="E1015" s="19" t="n">
        <f aca="false">+IF(C1015="EQUIPO",F1015,0)</f>
        <v>0</v>
      </c>
      <c r="F1015" s="33" t="n">
        <v>0</v>
      </c>
      <c r="G1015" s="35" t="n">
        <v>0</v>
      </c>
      <c r="H1015" s="34" t="n">
        <f aca="false">+IF(E1015=0,0,E1015*0.03)</f>
        <v>0</v>
      </c>
    </row>
    <row r="1016" customFormat="false" ht="15.75" hidden="false" customHeight="true" outlineLevel="0" collapsed="false">
      <c r="A1016" s="30" t="n">
        <v>0</v>
      </c>
      <c r="B1016" s="31" t="s">
        <v>11</v>
      </c>
      <c r="C1016" s="32"/>
      <c r="D1016" s="32"/>
      <c r="E1016" s="19" t="n">
        <f aca="false">+IF(C1016="EQUIPO",F1016,0)</f>
        <v>0</v>
      </c>
      <c r="F1016" s="33" t="n">
        <v>0</v>
      </c>
      <c r="G1016" s="35" t="n">
        <v>0</v>
      </c>
      <c r="H1016" s="34" t="n">
        <f aca="false">+IF(E1016=0,0,E1016*0.03)</f>
        <v>0</v>
      </c>
    </row>
    <row r="1017" customFormat="false" ht="15.75" hidden="false" customHeight="true" outlineLevel="0" collapsed="false">
      <c r="A1017" s="30" t="n">
        <v>0</v>
      </c>
      <c r="B1017" s="31" t="s">
        <v>11</v>
      </c>
      <c r="C1017" s="32"/>
      <c r="D1017" s="32"/>
      <c r="E1017" s="19" t="n">
        <f aca="false">+IF(C1017="EQUIPO",F1017,0)</f>
        <v>0</v>
      </c>
      <c r="F1017" s="33" t="n">
        <v>0</v>
      </c>
      <c r="G1017" s="35" t="n">
        <v>0</v>
      </c>
      <c r="H1017" s="34" t="n">
        <f aca="false">+IF(E1017=0,0,E1017*0.03)</f>
        <v>0</v>
      </c>
    </row>
    <row r="1018" customFormat="false" ht="15.75" hidden="false" customHeight="true" outlineLevel="0" collapsed="false">
      <c r="A1018" s="30" t="n">
        <v>0</v>
      </c>
      <c r="B1018" s="31" t="s">
        <v>11</v>
      </c>
      <c r="C1018" s="32"/>
      <c r="D1018" s="32"/>
      <c r="E1018" s="19" t="n">
        <f aca="false">+IF(C1018="EQUIPO",F1018,0)</f>
        <v>0</v>
      </c>
      <c r="F1018" s="33" t="n">
        <v>0</v>
      </c>
      <c r="G1018" s="35" t="n">
        <v>0</v>
      </c>
      <c r="H1018" s="34" t="n">
        <f aca="false">+IF(E1018=0,0,E1018*0.03)</f>
        <v>0</v>
      </c>
    </row>
    <row r="1019" customFormat="false" ht="15.75" hidden="false" customHeight="true" outlineLevel="0" collapsed="false">
      <c r="A1019" s="30" t="n">
        <v>0</v>
      </c>
      <c r="B1019" s="31" t="s">
        <v>11</v>
      </c>
      <c r="C1019" s="32"/>
      <c r="D1019" s="32"/>
      <c r="E1019" s="19" t="n">
        <f aca="false">+IF(C1019="EQUIPO",F1019,0)</f>
        <v>0</v>
      </c>
      <c r="F1019" s="33" t="n">
        <v>0</v>
      </c>
      <c r="G1019" s="35" t="n">
        <v>0</v>
      </c>
      <c r="H1019" s="34" t="n">
        <f aca="false">+IF(E1019=0,0,E1019*0.03)</f>
        <v>0</v>
      </c>
    </row>
    <row r="1020" customFormat="false" ht="15.75" hidden="false" customHeight="true" outlineLevel="0" collapsed="false">
      <c r="A1020" s="30" t="n">
        <v>0</v>
      </c>
      <c r="B1020" s="31" t="s">
        <v>11</v>
      </c>
      <c r="C1020" s="32"/>
      <c r="D1020" s="32"/>
      <c r="E1020" s="19" t="n">
        <f aca="false">+IF(C1020="EQUIPO",F1020,0)</f>
        <v>0</v>
      </c>
      <c r="F1020" s="33" t="n">
        <v>0</v>
      </c>
      <c r="G1020" s="35" t="n">
        <v>0</v>
      </c>
      <c r="H1020" s="34" t="n">
        <f aca="false">+IF(E1020=0,0,E1020*0.03)</f>
        <v>0</v>
      </c>
    </row>
    <row r="1021" customFormat="false" ht="15.75" hidden="false" customHeight="true" outlineLevel="0" collapsed="false">
      <c r="A1021" s="30" t="n">
        <v>0</v>
      </c>
      <c r="B1021" s="31" t="s">
        <v>11</v>
      </c>
      <c r="C1021" s="32"/>
      <c r="D1021" s="32"/>
      <c r="E1021" s="19" t="n">
        <f aca="false">+IF(C1021="EQUIPO",F1021,0)</f>
        <v>0</v>
      </c>
      <c r="F1021" s="33" t="n">
        <v>0</v>
      </c>
      <c r="G1021" s="35" t="n">
        <v>0</v>
      </c>
      <c r="H1021" s="34" t="n">
        <f aca="false">+IF(E1021=0,0,E1021*0.03)</f>
        <v>0</v>
      </c>
    </row>
    <row r="1022" customFormat="false" ht="15.75" hidden="false" customHeight="true" outlineLevel="0" collapsed="false">
      <c r="A1022" s="30" t="n">
        <v>0</v>
      </c>
      <c r="B1022" s="31" t="s">
        <v>11</v>
      </c>
      <c r="C1022" s="32"/>
      <c r="D1022" s="32"/>
      <c r="E1022" s="19" t="n">
        <f aca="false">+IF(C1022="EQUIPO",F1022,0)</f>
        <v>0</v>
      </c>
      <c r="F1022" s="33" t="n">
        <v>0</v>
      </c>
      <c r="G1022" s="35" t="n">
        <v>0</v>
      </c>
      <c r="H1022" s="34" t="n">
        <f aca="false">+IF(E1022=0,0,E1022*0.03)</f>
        <v>0</v>
      </c>
    </row>
    <row r="1023" customFormat="false" ht="15.75" hidden="false" customHeight="true" outlineLevel="0" collapsed="false">
      <c r="A1023" s="30" t="n">
        <v>0</v>
      </c>
      <c r="B1023" s="31" t="s">
        <v>11</v>
      </c>
      <c r="C1023" s="32"/>
      <c r="D1023" s="32"/>
      <c r="E1023" s="19" t="n">
        <f aca="false">+IF(C1023="EQUIPO",F1023,0)</f>
        <v>0</v>
      </c>
      <c r="F1023" s="33" t="n">
        <v>0</v>
      </c>
      <c r="G1023" s="35" t="n">
        <v>0</v>
      </c>
      <c r="H1023" s="34" t="n">
        <f aca="false">+IF(E1023=0,0,E1023*0.03)</f>
        <v>0</v>
      </c>
    </row>
    <row r="1024" customFormat="false" ht="15.75" hidden="false" customHeight="true" outlineLevel="0" collapsed="false">
      <c r="A1024" s="30" t="n">
        <v>0</v>
      </c>
      <c r="B1024" s="31" t="s">
        <v>11</v>
      </c>
      <c r="C1024" s="32"/>
      <c r="D1024" s="32"/>
      <c r="E1024" s="19" t="n">
        <f aca="false">+IF(C1024="EQUIPO",F1024,0)</f>
        <v>0</v>
      </c>
      <c r="F1024" s="33" t="n">
        <v>0</v>
      </c>
      <c r="G1024" s="35" t="n">
        <v>0</v>
      </c>
      <c r="H1024" s="34" t="n">
        <f aca="false">+IF(E1024=0,0,E1024*0.03)</f>
        <v>0</v>
      </c>
    </row>
    <row r="1025" customFormat="false" ht="15.75" hidden="false" customHeight="true" outlineLevel="0" collapsed="false">
      <c r="A1025" s="30" t="n">
        <v>0</v>
      </c>
      <c r="B1025" s="31" t="s">
        <v>11</v>
      </c>
      <c r="C1025" s="32"/>
      <c r="D1025" s="32"/>
      <c r="E1025" s="19" t="n">
        <f aca="false">+IF(C1025="EQUIPO",F1025,0)</f>
        <v>0</v>
      </c>
      <c r="F1025" s="33" t="n">
        <v>0</v>
      </c>
      <c r="G1025" s="35" t="n">
        <v>0</v>
      </c>
      <c r="H1025" s="34" t="n">
        <f aca="false">+IF(E1025=0,0,E1025*0.03)</f>
        <v>0</v>
      </c>
    </row>
    <row r="1026" customFormat="false" ht="15.75" hidden="false" customHeight="true" outlineLevel="0" collapsed="false">
      <c r="A1026" s="30" t="n">
        <v>0</v>
      </c>
      <c r="B1026" s="31" t="s">
        <v>11</v>
      </c>
      <c r="C1026" s="32"/>
      <c r="D1026" s="32"/>
      <c r="E1026" s="19" t="n">
        <f aca="false">+IF(C1026="EQUIPO",F1026,0)</f>
        <v>0</v>
      </c>
      <c r="F1026" s="33" t="n">
        <v>0</v>
      </c>
      <c r="G1026" s="35" t="n">
        <v>0</v>
      </c>
      <c r="H1026" s="34" t="n">
        <f aca="false">+IF(E1026=0,0,E1026*0.03)</f>
        <v>0</v>
      </c>
    </row>
    <row r="1027" customFormat="false" ht="15.75" hidden="false" customHeight="true" outlineLevel="0" collapsed="false">
      <c r="A1027" s="30" t="n">
        <v>0</v>
      </c>
      <c r="B1027" s="31" t="s">
        <v>11</v>
      </c>
      <c r="C1027" s="32"/>
      <c r="D1027" s="32"/>
      <c r="E1027" s="19" t="n">
        <f aca="false">+IF(C1027="EQUIPO",F1027,0)</f>
        <v>0</v>
      </c>
      <c r="F1027" s="33" t="n">
        <v>0</v>
      </c>
      <c r="G1027" s="35" t="n">
        <v>0</v>
      </c>
      <c r="H1027" s="34" t="n">
        <f aca="false">+IF(E1027=0,0,E1027*0.03)</f>
        <v>0</v>
      </c>
    </row>
    <row r="1028" customFormat="false" ht="15.75" hidden="false" customHeight="true" outlineLevel="0" collapsed="false">
      <c r="A1028" s="30" t="n">
        <v>0</v>
      </c>
      <c r="B1028" s="31" t="s">
        <v>11</v>
      </c>
      <c r="C1028" s="32"/>
      <c r="D1028" s="32"/>
      <c r="E1028" s="19" t="n">
        <f aca="false">+IF(C1028="EQUIPO",F1028,0)</f>
        <v>0</v>
      </c>
      <c r="F1028" s="33" t="n">
        <v>0</v>
      </c>
      <c r="G1028" s="35" t="n">
        <v>0</v>
      </c>
      <c r="H1028" s="34" t="n">
        <f aca="false">+IF(E1028=0,0,E1028*0.03)</f>
        <v>0</v>
      </c>
    </row>
    <row r="1029" customFormat="false" ht="15.75" hidden="false" customHeight="true" outlineLevel="0" collapsed="false">
      <c r="A1029" s="30" t="n">
        <v>0</v>
      </c>
      <c r="B1029" s="31" t="s">
        <v>11</v>
      </c>
      <c r="C1029" s="32"/>
      <c r="D1029" s="32"/>
      <c r="E1029" s="19" t="n">
        <f aca="false">+IF(C1029="EQUIPO",F1029,0)</f>
        <v>0</v>
      </c>
      <c r="F1029" s="33" t="n">
        <v>0</v>
      </c>
      <c r="G1029" s="35" t="n">
        <v>0</v>
      </c>
      <c r="H1029" s="34" t="n">
        <f aca="false">+IF(E1029=0,0,E1029*0.03)</f>
        <v>0</v>
      </c>
    </row>
    <row r="1030" customFormat="false" ht="15.75" hidden="false" customHeight="true" outlineLevel="0" collapsed="false">
      <c r="A1030" s="30" t="n">
        <v>0</v>
      </c>
      <c r="B1030" s="31" t="s">
        <v>11</v>
      </c>
      <c r="C1030" s="32"/>
      <c r="D1030" s="32"/>
      <c r="E1030" s="19" t="n">
        <f aca="false">+IF(C1030="EQUIPO",F1030,0)</f>
        <v>0</v>
      </c>
      <c r="F1030" s="33" t="n">
        <v>0</v>
      </c>
      <c r="G1030" s="35" t="n">
        <v>0</v>
      </c>
      <c r="H1030" s="34" t="n">
        <f aca="false">+IF(E1030=0,0,E1030*0.03)</f>
        <v>0</v>
      </c>
    </row>
    <row r="1031" customFormat="false" ht="15.75" hidden="false" customHeight="true" outlineLevel="0" collapsed="false">
      <c r="A1031" s="30" t="n">
        <v>0</v>
      </c>
      <c r="B1031" s="31" t="s">
        <v>11</v>
      </c>
      <c r="C1031" s="32"/>
      <c r="D1031" s="32"/>
      <c r="E1031" s="19" t="n">
        <f aca="false">+IF(C1031="EQUIPO",F1031,0)</f>
        <v>0</v>
      </c>
      <c r="F1031" s="33" t="n">
        <v>0</v>
      </c>
      <c r="G1031" s="35" t="n">
        <v>0</v>
      </c>
      <c r="H1031" s="34" t="n">
        <f aca="false">+IF(E1031=0,0,E1031*0.03)</f>
        <v>0</v>
      </c>
    </row>
    <row r="1032" customFormat="false" ht="15.75" hidden="false" customHeight="true" outlineLevel="0" collapsed="false">
      <c r="A1032" s="30" t="n">
        <v>0</v>
      </c>
      <c r="B1032" s="31" t="s">
        <v>11</v>
      </c>
      <c r="C1032" s="32"/>
      <c r="D1032" s="32"/>
      <c r="E1032" s="19" t="n">
        <f aca="false">+IF(C1032="EQUIPO",F1032,0)</f>
        <v>0</v>
      </c>
      <c r="F1032" s="33" t="n">
        <v>0</v>
      </c>
      <c r="G1032" s="35" t="n">
        <v>0</v>
      </c>
      <c r="H1032" s="34" t="n">
        <f aca="false">+IF(E1032=0,0,E1032*0.03)</f>
        <v>0</v>
      </c>
    </row>
    <row r="1033" customFormat="false" ht="15.75" hidden="false" customHeight="true" outlineLevel="0" collapsed="false">
      <c r="A1033" s="30" t="n">
        <v>0</v>
      </c>
      <c r="B1033" s="31" t="s">
        <v>11</v>
      </c>
      <c r="C1033" s="32"/>
      <c r="D1033" s="32"/>
      <c r="E1033" s="19" t="n">
        <f aca="false">+IF(C1033="EQUIPO",F1033,0)</f>
        <v>0</v>
      </c>
      <c r="F1033" s="33" t="n">
        <v>0</v>
      </c>
      <c r="G1033" s="35" t="n">
        <v>0</v>
      </c>
      <c r="H1033" s="34" t="n">
        <f aca="false">+IF(E1033=0,0,E1033*0.03)</f>
        <v>0</v>
      </c>
    </row>
    <row r="1034" customFormat="false" ht="15.75" hidden="false" customHeight="true" outlineLevel="0" collapsed="false">
      <c r="A1034" s="30" t="n">
        <v>0</v>
      </c>
      <c r="B1034" s="31" t="s">
        <v>11</v>
      </c>
      <c r="C1034" s="32"/>
      <c r="D1034" s="32"/>
      <c r="E1034" s="19" t="n">
        <f aca="false">+IF(C1034="EQUIPO",F1034,0)</f>
        <v>0</v>
      </c>
      <c r="F1034" s="33" t="n">
        <v>0</v>
      </c>
      <c r="G1034" s="35" t="n">
        <v>0</v>
      </c>
      <c r="H1034" s="34" t="n">
        <f aca="false">+IF(E1034=0,0,E1034*0.03)</f>
        <v>0</v>
      </c>
    </row>
    <row r="1035" customFormat="false" ht="15.75" hidden="false" customHeight="true" outlineLevel="0" collapsed="false">
      <c r="A1035" s="30" t="n">
        <v>0</v>
      </c>
      <c r="B1035" s="31" t="s">
        <v>11</v>
      </c>
      <c r="C1035" s="32"/>
      <c r="D1035" s="32"/>
      <c r="E1035" s="19" t="n">
        <f aca="false">+IF(C1035="EQUIPO",F1035,0)</f>
        <v>0</v>
      </c>
      <c r="F1035" s="33" t="n">
        <v>0</v>
      </c>
      <c r="G1035" s="35" t="n">
        <v>0</v>
      </c>
      <c r="H1035" s="34" t="n">
        <f aca="false">+IF(E1035=0,0,E1035*0.03)</f>
        <v>0</v>
      </c>
    </row>
    <row r="1036" customFormat="false" ht="15.75" hidden="false" customHeight="true" outlineLevel="0" collapsed="false">
      <c r="A1036" s="30" t="n">
        <v>0</v>
      </c>
      <c r="B1036" s="31" t="s">
        <v>11</v>
      </c>
      <c r="C1036" s="32"/>
      <c r="D1036" s="32"/>
      <c r="E1036" s="19" t="n">
        <f aca="false">+IF(C1036="EQUIPO",F1036,0)</f>
        <v>0</v>
      </c>
      <c r="F1036" s="33" t="n">
        <v>0</v>
      </c>
      <c r="G1036" s="35" t="n">
        <v>0</v>
      </c>
      <c r="H1036" s="34" t="n">
        <f aca="false">+IF(E1036=0,0,E1036*0.03)</f>
        <v>0</v>
      </c>
    </row>
    <row r="1037" customFormat="false" ht="15.75" hidden="false" customHeight="true" outlineLevel="0" collapsed="false">
      <c r="A1037" s="30" t="n">
        <v>0</v>
      </c>
      <c r="B1037" s="31" t="s">
        <v>11</v>
      </c>
      <c r="C1037" s="32"/>
      <c r="D1037" s="32"/>
      <c r="E1037" s="19" t="n">
        <f aca="false">+IF(C1037="EQUIPO",F1037,0)</f>
        <v>0</v>
      </c>
      <c r="F1037" s="33" t="n">
        <v>0</v>
      </c>
      <c r="G1037" s="35" t="n">
        <v>0</v>
      </c>
      <c r="H1037" s="34" t="n">
        <f aca="false">+IF(E1037=0,0,E1037*0.03)</f>
        <v>0</v>
      </c>
    </row>
    <row r="1038" customFormat="false" ht="15.75" hidden="false" customHeight="true" outlineLevel="0" collapsed="false">
      <c r="A1038" s="30" t="n">
        <v>0</v>
      </c>
      <c r="B1038" s="31" t="s">
        <v>11</v>
      </c>
      <c r="C1038" s="32"/>
      <c r="D1038" s="32"/>
      <c r="E1038" s="19" t="n">
        <f aca="false">+IF(C1038="EQUIPO",F1038,0)</f>
        <v>0</v>
      </c>
      <c r="F1038" s="33" t="n">
        <v>0</v>
      </c>
      <c r="G1038" s="35" t="n">
        <v>0</v>
      </c>
      <c r="H1038" s="34" t="n">
        <f aca="false">+IF(E1038=0,0,E1038*0.03)</f>
        <v>0</v>
      </c>
    </row>
    <row r="1039" customFormat="false" ht="15.75" hidden="false" customHeight="true" outlineLevel="0" collapsed="false">
      <c r="A1039" s="30" t="n">
        <v>0</v>
      </c>
      <c r="B1039" s="31" t="s">
        <v>11</v>
      </c>
      <c r="C1039" s="32"/>
      <c r="D1039" s="32"/>
      <c r="E1039" s="19" t="n">
        <f aca="false">+IF(C1039="EQUIPO",F1039,0)</f>
        <v>0</v>
      </c>
      <c r="F1039" s="33" t="n">
        <v>0</v>
      </c>
      <c r="G1039" s="35" t="n">
        <v>0</v>
      </c>
      <c r="H1039" s="34" t="n">
        <f aca="false">+IF(E1039=0,0,E1039*0.03)</f>
        <v>0</v>
      </c>
    </row>
    <row r="1040" customFormat="false" ht="15.75" hidden="false" customHeight="true" outlineLevel="0" collapsed="false">
      <c r="A1040" s="30" t="n">
        <v>0</v>
      </c>
      <c r="B1040" s="31" t="s">
        <v>11</v>
      </c>
      <c r="C1040" s="32"/>
      <c r="D1040" s="32"/>
      <c r="E1040" s="19" t="n">
        <f aca="false">+IF(C1040="EQUIPO",F1040,0)</f>
        <v>0</v>
      </c>
      <c r="F1040" s="33" t="n">
        <v>0</v>
      </c>
      <c r="G1040" s="35" t="n">
        <v>0</v>
      </c>
      <c r="H1040" s="34" t="n">
        <f aca="false">+IF(E1040=0,0,E1040*0.03)</f>
        <v>0</v>
      </c>
    </row>
    <row r="1041" customFormat="false" ht="15.75" hidden="false" customHeight="true" outlineLevel="0" collapsed="false">
      <c r="A1041" s="30" t="n">
        <v>0</v>
      </c>
      <c r="B1041" s="31" t="s">
        <v>11</v>
      </c>
      <c r="C1041" s="32"/>
      <c r="D1041" s="32"/>
      <c r="E1041" s="19" t="n">
        <f aca="false">+IF(C1041="EQUIPO",F1041,0)</f>
        <v>0</v>
      </c>
      <c r="F1041" s="33" t="n">
        <v>0</v>
      </c>
      <c r="G1041" s="35" t="n">
        <v>0</v>
      </c>
      <c r="H1041" s="34" t="n">
        <f aca="false">+IF(E1041=0,0,E1041*0.03)</f>
        <v>0</v>
      </c>
    </row>
    <row r="1042" customFormat="false" ht="15.75" hidden="false" customHeight="true" outlineLevel="0" collapsed="false">
      <c r="A1042" s="30" t="n">
        <v>0</v>
      </c>
      <c r="B1042" s="31" t="s">
        <v>11</v>
      </c>
      <c r="C1042" s="32"/>
      <c r="D1042" s="32"/>
      <c r="E1042" s="19" t="n">
        <f aca="false">+IF(C1042="EQUIPO",F1042,0)</f>
        <v>0</v>
      </c>
      <c r="F1042" s="33" t="n">
        <v>0</v>
      </c>
      <c r="G1042" s="35" t="n">
        <v>0</v>
      </c>
      <c r="H1042" s="34" t="n">
        <f aca="false">+IF(E1042=0,0,E1042*0.03)</f>
        <v>0</v>
      </c>
    </row>
    <row r="1043" customFormat="false" ht="15.75" hidden="false" customHeight="true" outlineLevel="0" collapsed="false">
      <c r="A1043" s="30" t="n">
        <v>0</v>
      </c>
      <c r="B1043" s="31" t="s">
        <v>11</v>
      </c>
      <c r="C1043" s="32"/>
      <c r="D1043" s="32"/>
      <c r="E1043" s="19" t="n">
        <f aca="false">+IF(C1043="EQUIPO",F1043,0)</f>
        <v>0</v>
      </c>
      <c r="F1043" s="33" t="n">
        <v>0</v>
      </c>
      <c r="G1043" s="35" t="n">
        <v>0</v>
      </c>
      <c r="H1043" s="34" t="n">
        <f aca="false">+IF(E1043=0,0,E1043*0.03)</f>
        <v>0</v>
      </c>
    </row>
    <row r="1044" customFormat="false" ht="15.75" hidden="false" customHeight="true" outlineLevel="0" collapsed="false">
      <c r="A1044" s="30" t="n">
        <v>0</v>
      </c>
      <c r="B1044" s="31" t="s">
        <v>11</v>
      </c>
      <c r="C1044" s="32"/>
      <c r="D1044" s="32"/>
      <c r="E1044" s="19" t="n">
        <f aca="false">+IF(C1044="EQUIPO",F1044,0)</f>
        <v>0</v>
      </c>
      <c r="F1044" s="33" t="n">
        <v>0</v>
      </c>
      <c r="G1044" s="35" t="n">
        <v>0</v>
      </c>
      <c r="H1044" s="34" t="n">
        <f aca="false">+IF(E1044=0,0,E1044*0.03)</f>
        <v>0</v>
      </c>
    </row>
    <row r="1045" customFormat="false" ht="15.75" hidden="false" customHeight="true" outlineLevel="0" collapsed="false">
      <c r="A1045" s="30" t="n">
        <v>0</v>
      </c>
      <c r="B1045" s="31" t="s">
        <v>11</v>
      </c>
      <c r="C1045" s="32"/>
      <c r="D1045" s="32"/>
      <c r="E1045" s="19" t="n">
        <f aca="false">+IF(C1045="EQUIPO",F1045,0)</f>
        <v>0</v>
      </c>
      <c r="F1045" s="33" t="n">
        <v>0</v>
      </c>
      <c r="G1045" s="35" t="n">
        <v>0</v>
      </c>
      <c r="H1045" s="34" t="n">
        <f aca="false">+IF(E1045=0,0,E1045*0.03)</f>
        <v>0</v>
      </c>
    </row>
    <row r="1046" customFormat="false" ht="15.75" hidden="false" customHeight="true" outlineLevel="0" collapsed="false">
      <c r="A1046" s="30" t="n">
        <v>0</v>
      </c>
      <c r="B1046" s="31" t="s">
        <v>11</v>
      </c>
      <c r="C1046" s="32"/>
      <c r="D1046" s="32"/>
      <c r="E1046" s="19" t="n">
        <f aca="false">+IF(C1046="EQUIPO",F1046,0)</f>
        <v>0</v>
      </c>
      <c r="F1046" s="33" t="n">
        <v>0</v>
      </c>
      <c r="G1046" s="35" t="n">
        <v>0</v>
      </c>
      <c r="H1046" s="34" t="n">
        <f aca="false">+IF(E1046=0,0,E1046*0.03)</f>
        <v>0</v>
      </c>
    </row>
    <row r="1047" customFormat="false" ht="15.75" hidden="false" customHeight="true" outlineLevel="0" collapsed="false">
      <c r="A1047" s="30" t="n">
        <v>0</v>
      </c>
      <c r="B1047" s="31" t="s">
        <v>11</v>
      </c>
      <c r="C1047" s="32"/>
      <c r="D1047" s="32"/>
      <c r="E1047" s="19" t="n">
        <f aca="false">+IF(C1047="EQUIPO",F1047,0)</f>
        <v>0</v>
      </c>
      <c r="F1047" s="33" t="n">
        <v>0</v>
      </c>
      <c r="G1047" s="35" t="n">
        <v>0</v>
      </c>
      <c r="H1047" s="34" t="n">
        <f aca="false">+IF(E1047=0,0,E1047*0.03)</f>
        <v>0</v>
      </c>
    </row>
    <row r="1048" customFormat="false" ht="15.75" hidden="false" customHeight="true" outlineLevel="0" collapsed="false">
      <c r="A1048" s="30" t="n">
        <v>0</v>
      </c>
      <c r="B1048" s="31" t="s">
        <v>11</v>
      </c>
      <c r="C1048" s="32"/>
      <c r="D1048" s="32"/>
      <c r="E1048" s="19" t="n">
        <f aca="false">+IF(C1048="EQUIPO",F1048,0)</f>
        <v>0</v>
      </c>
      <c r="F1048" s="33" t="n">
        <v>0</v>
      </c>
      <c r="G1048" s="35" t="n">
        <v>0</v>
      </c>
      <c r="H1048" s="34" t="n">
        <f aca="false">+IF(E1048=0,0,E1048*0.03)</f>
        <v>0</v>
      </c>
    </row>
    <row r="1049" customFormat="false" ht="15.75" hidden="false" customHeight="true" outlineLevel="0" collapsed="false">
      <c r="A1049" s="30" t="n">
        <v>0</v>
      </c>
      <c r="B1049" s="31" t="s">
        <v>11</v>
      </c>
      <c r="C1049" s="32"/>
      <c r="D1049" s="32"/>
      <c r="E1049" s="19" t="n">
        <f aca="false">+IF(C1049="EQUIPO",F1049,0)</f>
        <v>0</v>
      </c>
      <c r="F1049" s="33" t="n">
        <v>0</v>
      </c>
      <c r="G1049" s="35" t="n">
        <v>0</v>
      </c>
      <c r="H1049" s="34" t="n">
        <f aca="false">+IF(E1049=0,0,E1049*0.03)</f>
        <v>0</v>
      </c>
    </row>
    <row r="1050" customFormat="false" ht="15.75" hidden="false" customHeight="true" outlineLevel="0" collapsed="false">
      <c r="A1050" s="30" t="n">
        <v>0</v>
      </c>
      <c r="B1050" s="31" t="s">
        <v>11</v>
      </c>
      <c r="C1050" s="32"/>
      <c r="D1050" s="32"/>
      <c r="E1050" s="19" t="n">
        <f aca="false">+IF(C1050="EQUIPO",F1050,0)</f>
        <v>0</v>
      </c>
      <c r="F1050" s="33" t="n">
        <v>0</v>
      </c>
      <c r="G1050" s="35" t="n">
        <v>0</v>
      </c>
      <c r="H1050" s="34" t="n">
        <f aca="false">+IF(E1050=0,0,E1050*0.03)</f>
        <v>0</v>
      </c>
    </row>
    <row r="1051" customFormat="false" ht="15.75" hidden="false" customHeight="true" outlineLevel="0" collapsed="false">
      <c r="A1051" s="30" t="n">
        <v>0</v>
      </c>
      <c r="B1051" s="31" t="s">
        <v>11</v>
      </c>
      <c r="C1051" s="32"/>
      <c r="D1051" s="32"/>
      <c r="E1051" s="19" t="n">
        <f aca="false">+IF(C1051="EQUIPO",F1051,0)</f>
        <v>0</v>
      </c>
      <c r="F1051" s="33" t="n">
        <v>0</v>
      </c>
      <c r="G1051" s="35" t="n">
        <v>0</v>
      </c>
      <c r="H1051" s="34" t="n">
        <f aca="false">+IF(E1051=0,0,E1051*0.03)</f>
        <v>0</v>
      </c>
    </row>
    <row r="1052" customFormat="false" ht="15.75" hidden="false" customHeight="true" outlineLevel="0" collapsed="false">
      <c r="A1052" s="30" t="n">
        <v>0</v>
      </c>
      <c r="B1052" s="31" t="s">
        <v>11</v>
      </c>
      <c r="C1052" s="32"/>
      <c r="D1052" s="32"/>
      <c r="E1052" s="19" t="n">
        <f aca="false">+IF(C1052="EQUIPO",F1052,0)</f>
        <v>0</v>
      </c>
      <c r="F1052" s="33" t="n">
        <v>0</v>
      </c>
      <c r="G1052" s="35" t="n">
        <v>0</v>
      </c>
      <c r="H1052" s="34" t="n">
        <f aca="false">+IF(E1052=0,0,E1052*0.03)</f>
        <v>0</v>
      </c>
    </row>
    <row r="1053" customFormat="false" ht="15.75" hidden="false" customHeight="true" outlineLevel="0" collapsed="false">
      <c r="A1053" s="30" t="n">
        <v>0</v>
      </c>
      <c r="B1053" s="31" t="s">
        <v>11</v>
      </c>
      <c r="C1053" s="32"/>
      <c r="D1053" s="32"/>
      <c r="E1053" s="19" t="n">
        <f aca="false">+IF(C1053="EQUIPO",F1053,0)</f>
        <v>0</v>
      </c>
      <c r="F1053" s="33" t="n">
        <v>0</v>
      </c>
      <c r="G1053" s="35" t="n">
        <v>0</v>
      </c>
      <c r="H1053" s="34" t="n">
        <f aca="false">+IF(E1053=0,0,E1053*0.03)</f>
        <v>0</v>
      </c>
    </row>
    <row r="1054" customFormat="false" ht="15.75" hidden="false" customHeight="true" outlineLevel="0" collapsed="false">
      <c r="A1054" s="30" t="n">
        <v>0</v>
      </c>
      <c r="B1054" s="31" t="s">
        <v>11</v>
      </c>
      <c r="C1054" s="32"/>
      <c r="D1054" s="32"/>
      <c r="E1054" s="19" t="n">
        <f aca="false">+IF(C1054="EQUIPO",F1054,0)</f>
        <v>0</v>
      </c>
      <c r="F1054" s="33" t="n">
        <v>0</v>
      </c>
      <c r="G1054" s="35" t="n">
        <v>0</v>
      </c>
      <c r="H1054" s="34" t="n">
        <f aca="false">+IF(E1054=0,0,E1054*0.03)</f>
        <v>0</v>
      </c>
    </row>
    <row r="1055" customFormat="false" ht="15.75" hidden="false" customHeight="true" outlineLevel="0" collapsed="false">
      <c r="A1055" s="30" t="n">
        <v>0</v>
      </c>
      <c r="B1055" s="31" t="s">
        <v>11</v>
      </c>
      <c r="C1055" s="32"/>
      <c r="D1055" s="32"/>
      <c r="E1055" s="19" t="n">
        <f aca="false">+IF(C1055="EQUIPO",F1055,0)</f>
        <v>0</v>
      </c>
      <c r="F1055" s="33" t="n">
        <v>0</v>
      </c>
      <c r="G1055" s="35" t="n">
        <v>0</v>
      </c>
      <c r="H1055" s="34" t="n">
        <f aca="false">+IF(E1055=0,0,E1055*0.03)</f>
        <v>0</v>
      </c>
    </row>
    <row r="1056" customFormat="false" ht="15.75" hidden="false" customHeight="true" outlineLevel="0" collapsed="false">
      <c r="A1056" s="30" t="n">
        <v>0</v>
      </c>
      <c r="B1056" s="31" t="s">
        <v>11</v>
      </c>
      <c r="C1056" s="32"/>
      <c r="D1056" s="32"/>
      <c r="E1056" s="19" t="n">
        <f aca="false">+IF(C1056="EQUIPO",F1056,0)</f>
        <v>0</v>
      </c>
      <c r="F1056" s="33" t="n">
        <v>0</v>
      </c>
      <c r="G1056" s="35" t="n">
        <v>0</v>
      </c>
      <c r="H1056" s="34" t="n">
        <f aca="false">+IF(E1056=0,0,E1056*0.03)</f>
        <v>0</v>
      </c>
    </row>
    <row r="1057" customFormat="false" ht="15.75" hidden="false" customHeight="true" outlineLevel="0" collapsed="false">
      <c r="A1057" s="30" t="n">
        <v>0</v>
      </c>
      <c r="B1057" s="31" t="s">
        <v>11</v>
      </c>
      <c r="C1057" s="32"/>
      <c r="D1057" s="32"/>
      <c r="E1057" s="19" t="n">
        <f aca="false">+IF(C1057="EQUIPO",F1057,0)</f>
        <v>0</v>
      </c>
      <c r="F1057" s="33" t="n">
        <v>0</v>
      </c>
      <c r="G1057" s="35" t="n">
        <v>0</v>
      </c>
      <c r="H1057" s="34" t="n">
        <f aca="false">+IF(E1057=0,0,E1057*0.03)</f>
        <v>0</v>
      </c>
    </row>
    <row r="1058" customFormat="false" ht="15.75" hidden="false" customHeight="true" outlineLevel="0" collapsed="false">
      <c r="A1058" s="30" t="n">
        <v>0</v>
      </c>
      <c r="B1058" s="31" t="s">
        <v>11</v>
      </c>
      <c r="C1058" s="32"/>
      <c r="D1058" s="32"/>
      <c r="E1058" s="19" t="n">
        <f aca="false">+IF(C1058="EQUIPO",F1058,0)</f>
        <v>0</v>
      </c>
      <c r="F1058" s="33" t="n">
        <v>0</v>
      </c>
      <c r="G1058" s="35" t="n">
        <v>0</v>
      </c>
      <c r="H1058" s="34" t="n">
        <f aca="false">+IF(E1058=0,0,E1058*0.03)</f>
        <v>0</v>
      </c>
    </row>
    <row r="1059" customFormat="false" ht="15.75" hidden="false" customHeight="true" outlineLevel="0" collapsed="false">
      <c r="A1059" s="30" t="n">
        <v>0</v>
      </c>
      <c r="B1059" s="31" t="s">
        <v>11</v>
      </c>
      <c r="C1059" s="32"/>
      <c r="D1059" s="32"/>
      <c r="E1059" s="19" t="n">
        <f aca="false">+IF(C1059="EQUIPO",F1059,0)</f>
        <v>0</v>
      </c>
      <c r="F1059" s="33" t="n">
        <v>0</v>
      </c>
      <c r="G1059" s="35" t="n">
        <v>0</v>
      </c>
      <c r="H1059" s="34" t="n">
        <f aca="false">+IF(E1059=0,0,E1059*0.03)</f>
        <v>0</v>
      </c>
    </row>
    <row r="1060" customFormat="false" ht="15.75" hidden="false" customHeight="true" outlineLevel="0" collapsed="false">
      <c r="A1060" s="30" t="n">
        <v>0</v>
      </c>
      <c r="B1060" s="31" t="s">
        <v>11</v>
      </c>
      <c r="C1060" s="32"/>
      <c r="D1060" s="32"/>
      <c r="E1060" s="19" t="n">
        <f aca="false">+IF(C1060="EQUIPO",F1060,0)</f>
        <v>0</v>
      </c>
      <c r="F1060" s="33" t="n">
        <v>0</v>
      </c>
      <c r="G1060" s="35" t="n">
        <v>0</v>
      </c>
      <c r="H1060" s="34" t="n">
        <f aca="false">+IF(E1060=0,0,E1060*0.03)</f>
        <v>0</v>
      </c>
    </row>
    <row r="1061" customFormat="false" ht="15.75" hidden="false" customHeight="true" outlineLevel="0" collapsed="false">
      <c r="A1061" s="30" t="n">
        <v>0</v>
      </c>
      <c r="B1061" s="31" t="s">
        <v>11</v>
      </c>
      <c r="C1061" s="32"/>
      <c r="D1061" s="32"/>
      <c r="E1061" s="19" t="n">
        <f aca="false">+IF(C1061="EQUIPO",F1061,0)</f>
        <v>0</v>
      </c>
      <c r="F1061" s="33" t="n">
        <v>0</v>
      </c>
      <c r="G1061" s="35" t="n">
        <v>0</v>
      </c>
      <c r="H1061" s="34" t="n">
        <f aca="false">+IF(E1061=0,0,E1061*0.03)</f>
        <v>0</v>
      </c>
    </row>
    <row r="1062" customFormat="false" ht="15.75" hidden="false" customHeight="true" outlineLevel="0" collapsed="false">
      <c r="A1062" s="30" t="n">
        <v>0</v>
      </c>
      <c r="B1062" s="31" t="s">
        <v>11</v>
      </c>
      <c r="C1062" s="32"/>
      <c r="D1062" s="32"/>
      <c r="E1062" s="19" t="n">
        <f aca="false">+IF(C1062="EQUIPO",F1062,0)</f>
        <v>0</v>
      </c>
      <c r="F1062" s="33" t="n">
        <v>0</v>
      </c>
      <c r="G1062" s="35" t="n">
        <v>0</v>
      </c>
      <c r="H1062" s="34" t="n">
        <f aca="false">+IF(E1062=0,0,E1062*0.03)</f>
        <v>0</v>
      </c>
    </row>
    <row r="1063" customFormat="false" ht="15.75" hidden="false" customHeight="true" outlineLevel="0" collapsed="false">
      <c r="A1063" s="30" t="n">
        <v>0</v>
      </c>
      <c r="B1063" s="31" t="s">
        <v>11</v>
      </c>
      <c r="C1063" s="32"/>
      <c r="D1063" s="32"/>
      <c r="E1063" s="19" t="n">
        <f aca="false">+IF(C1063="EQUIPO",F1063,0)</f>
        <v>0</v>
      </c>
      <c r="F1063" s="33" t="n">
        <v>0</v>
      </c>
      <c r="G1063" s="35" t="n">
        <v>0</v>
      </c>
      <c r="H1063" s="34" t="n">
        <f aca="false">+IF(E1063=0,0,E1063*0.03)</f>
        <v>0</v>
      </c>
    </row>
    <row r="1064" customFormat="false" ht="15.75" hidden="false" customHeight="true" outlineLevel="0" collapsed="false">
      <c r="A1064" s="30" t="n">
        <v>0</v>
      </c>
      <c r="B1064" s="31" t="s">
        <v>11</v>
      </c>
      <c r="C1064" s="32"/>
      <c r="D1064" s="32"/>
      <c r="E1064" s="19" t="n">
        <f aca="false">+IF(C1064="EQUIPO",F1064,0)</f>
        <v>0</v>
      </c>
      <c r="F1064" s="33" t="n">
        <v>0</v>
      </c>
      <c r="G1064" s="35" t="n">
        <v>0</v>
      </c>
      <c r="H1064" s="34" t="n">
        <f aca="false">+IF(E1064=0,0,E1064*0.03)</f>
        <v>0</v>
      </c>
    </row>
    <row r="1065" customFormat="false" ht="15.75" hidden="false" customHeight="true" outlineLevel="0" collapsed="false">
      <c r="A1065" s="30" t="n">
        <v>0</v>
      </c>
      <c r="B1065" s="31" t="s">
        <v>11</v>
      </c>
      <c r="C1065" s="32"/>
      <c r="D1065" s="32"/>
      <c r="E1065" s="19" t="n">
        <f aca="false">+IF(C1065="EQUIPO",F1065,0)</f>
        <v>0</v>
      </c>
      <c r="F1065" s="33" t="n">
        <v>0</v>
      </c>
      <c r="G1065" s="35" t="n">
        <v>0</v>
      </c>
      <c r="H1065" s="34" t="n">
        <f aca="false">+IF(E1065=0,0,E1065*0.03)</f>
        <v>0</v>
      </c>
    </row>
    <row r="1066" customFormat="false" ht="15.75" hidden="false" customHeight="true" outlineLevel="0" collapsed="false">
      <c r="A1066" s="30" t="n">
        <v>0</v>
      </c>
      <c r="B1066" s="31" t="s">
        <v>11</v>
      </c>
      <c r="C1066" s="32"/>
      <c r="D1066" s="32"/>
      <c r="E1066" s="19" t="n">
        <f aca="false">+IF(C1066="EQUIPO",F1066,0)</f>
        <v>0</v>
      </c>
      <c r="F1066" s="33" t="n">
        <v>0</v>
      </c>
      <c r="G1066" s="35" t="n">
        <v>0</v>
      </c>
      <c r="H1066" s="34" t="n">
        <f aca="false">+IF(E1066=0,0,E1066*0.03)</f>
        <v>0</v>
      </c>
    </row>
    <row r="1067" customFormat="false" ht="15.75" hidden="false" customHeight="true" outlineLevel="0" collapsed="false">
      <c r="A1067" s="30" t="n">
        <v>0</v>
      </c>
      <c r="B1067" s="31" t="s">
        <v>11</v>
      </c>
      <c r="C1067" s="32"/>
      <c r="D1067" s="32"/>
      <c r="E1067" s="19" t="n">
        <f aca="false">+IF(C1067="EQUIPO",F1067,0)</f>
        <v>0</v>
      </c>
      <c r="F1067" s="33" t="n">
        <v>0</v>
      </c>
      <c r="G1067" s="35" t="n">
        <v>0</v>
      </c>
      <c r="H1067" s="34" t="n">
        <f aca="false">+IF(E1067=0,0,E1067*0.03)</f>
        <v>0</v>
      </c>
    </row>
    <row r="1068" customFormat="false" ht="15.75" hidden="false" customHeight="true" outlineLevel="0" collapsed="false">
      <c r="A1068" s="30" t="n">
        <v>0</v>
      </c>
      <c r="B1068" s="31" t="s">
        <v>11</v>
      </c>
      <c r="C1068" s="32"/>
      <c r="D1068" s="32"/>
      <c r="E1068" s="19" t="n">
        <f aca="false">+IF(C1068="EQUIPO",F1068,0)</f>
        <v>0</v>
      </c>
      <c r="F1068" s="33" t="n">
        <v>0</v>
      </c>
      <c r="G1068" s="35" t="n">
        <v>0</v>
      </c>
      <c r="H1068" s="34" t="n">
        <f aca="false">+IF(E1068=0,0,E1068*0.03)</f>
        <v>0</v>
      </c>
    </row>
    <row r="1069" customFormat="false" ht="15.75" hidden="false" customHeight="true" outlineLevel="0" collapsed="false">
      <c r="A1069" s="30" t="n">
        <v>0</v>
      </c>
      <c r="B1069" s="31" t="s">
        <v>11</v>
      </c>
      <c r="C1069" s="32"/>
      <c r="D1069" s="32"/>
      <c r="E1069" s="19" t="n">
        <f aca="false">+IF(C1069="EQUIPO",F1069,0)</f>
        <v>0</v>
      </c>
      <c r="F1069" s="33" t="n">
        <v>0</v>
      </c>
      <c r="G1069" s="35" t="n">
        <v>0</v>
      </c>
      <c r="H1069" s="34" t="n">
        <f aca="false">+IF(E1069=0,0,E1069*0.03)</f>
        <v>0</v>
      </c>
    </row>
    <row r="1070" customFormat="false" ht="15.75" hidden="false" customHeight="true" outlineLevel="0" collapsed="false">
      <c r="A1070" s="30" t="n">
        <v>0</v>
      </c>
      <c r="B1070" s="31" t="s">
        <v>11</v>
      </c>
      <c r="C1070" s="32"/>
      <c r="D1070" s="32"/>
      <c r="E1070" s="19" t="n">
        <f aca="false">+IF(C1070="EQUIPO",F1070,0)</f>
        <v>0</v>
      </c>
      <c r="F1070" s="33" t="n">
        <v>0</v>
      </c>
      <c r="G1070" s="35" t="n">
        <v>0</v>
      </c>
      <c r="H1070" s="34" t="n">
        <f aca="false">+IF(E1070=0,0,E1070*0.03)</f>
        <v>0</v>
      </c>
    </row>
    <row r="1071" customFormat="false" ht="15.75" hidden="false" customHeight="true" outlineLevel="0" collapsed="false">
      <c r="A1071" s="30" t="n">
        <v>0</v>
      </c>
      <c r="B1071" s="31" t="s">
        <v>11</v>
      </c>
      <c r="C1071" s="32"/>
      <c r="D1071" s="32"/>
      <c r="E1071" s="19" t="n">
        <f aca="false">+IF(C1071="EQUIPO",F1071,0)</f>
        <v>0</v>
      </c>
      <c r="F1071" s="33" t="n">
        <v>0</v>
      </c>
      <c r="G1071" s="35" t="n">
        <v>0</v>
      </c>
      <c r="H1071" s="34" t="n">
        <f aca="false">+IF(E1071=0,0,E1071*0.03)</f>
        <v>0</v>
      </c>
    </row>
    <row r="1072" customFormat="false" ht="15.75" hidden="false" customHeight="true" outlineLevel="0" collapsed="false">
      <c r="A1072" s="30" t="n">
        <v>0</v>
      </c>
      <c r="B1072" s="31" t="s">
        <v>11</v>
      </c>
      <c r="C1072" s="32"/>
      <c r="D1072" s="32"/>
      <c r="E1072" s="19" t="n">
        <f aca="false">+IF(C1072="EQUIPO",F1072,0)</f>
        <v>0</v>
      </c>
      <c r="F1072" s="33" t="n">
        <v>0</v>
      </c>
      <c r="G1072" s="35" t="n">
        <v>0</v>
      </c>
      <c r="H1072" s="34" t="n">
        <f aca="false">+IF(E1072=0,0,E1072*0.03)</f>
        <v>0</v>
      </c>
    </row>
    <row r="1073" customFormat="false" ht="15.75" hidden="false" customHeight="true" outlineLevel="0" collapsed="false">
      <c r="A1073" s="30" t="n">
        <v>0</v>
      </c>
      <c r="B1073" s="31" t="s">
        <v>11</v>
      </c>
      <c r="C1073" s="32"/>
      <c r="D1073" s="32"/>
      <c r="E1073" s="19" t="n">
        <f aca="false">+IF(C1073="EQUIPO",F1073,0)</f>
        <v>0</v>
      </c>
      <c r="F1073" s="33" t="n">
        <v>0</v>
      </c>
      <c r="G1073" s="35" t="n">
        <v>0</v>
      </c>
      <c r="H1073" s="34" t="n">
        <f aca="false">+IF(E1073=0,0,E1073*0.03)</f>
        <v>0</v>
      </c>
    </row>
    <row r="1074" customFormat="false" ht="15.75" hidden="false" customHeight="true" outlineLevel="0" collapsed="false">
      <c r="A1074" s="30" t="n">
        <v>0</v>
      </c>
      <c r="B1074" s="31" t="s">
        <v>11</v>
      </c>
      <c r="C1074" s="32"/>
      <c r="D1074" s="32"/>
      <c r="E1074" s="19" t="n">
        <f aca="false">+IF(C1074="EQUIPO",F1074,0)</f>
        <v>0</v>
      </c>
      <c r="F1074" s="33" t="n">
        <v>0</v>
      </c>
      <c r="G1074" s="35" t="n">
        <v>0</v>
      </c>
      <c r="H1074" s="34" t="n">
        <f aca="false">+IF(E1074=0,0,E1074*0.03)</f>
        <v>0</v>
      </c>
    </row>
    <row r="1075" customFormat="false" ht="15.75" hidden="false" customHeight="true" outlineLevel="0" collapsed="false">
      <c r="A1075" s="30" t="n">
        <v>0</v>
      </c>
      <c r="B1075" s="31" t="s">
        <v>11</v>
      </c>
      <c r="C1075" s="32"/>
      <c r="D1075" s="32"/>
      <c r="E1075" s="19" t="n">
        <f aca="false">+IF(C1075="EQUIPO",F1075,0)</f>
        <v>0</v>
      </c>
      <c r="F1075" s="33" t="n">
        <v>0</v>
      </c>
      <c r="G1075" s="35" t="n">
        <v>0</v>
      </c>
      <c r="H1075" s="34" t="n">
        <f aca="false">+IF(E1075=0,0,E1075*0.03)</f>
        <v>0</v>
      </c>
    </row>
    <row r="1076" customFormat="false" ht="15.75" hidden="false" customHeight="true" outlineLevel="0" collapsed="false">
      <c r="A1076" s="30" t="n">
        <v>0</v>
      </c>
      <c r="B1076" s="31" t="s">
        <v>11</v>
      </c>
      <c r="C1076" s="32"/>
      <c r="D1076" s="32"/>
      <c r="E1076" s="19" t="n">
        <f aca="false">+IF(C1076="EQUIPO",F1076,0)</f>
        <v>0</v>
      </c>
      <c r="F1076" s="33" t="n">
        <v>0</v>
      </c>
      <c r="G1076" s="35" t="n">
        <v>0</v>
      </c>
      <c r="H1076" s="34" t="n">
        <f aca="false">+IF(E1076=0,0,E1076*0.03)</f>
        <v>0</v>
      </c>
    </row>
    <row r="1077" customFormat="false" ht="15.75" hidden="false" customHeight="true" outlineLevel="0" collapsed="false">
      <c r="A1077" s="30" t="n">
        <v>0</v>
      </c>
      <c r="B1077" s="31" t="s">
        <v>11</v>
      </c>
      <c r="C1077" s="32"/>
      <c r="D1077" s="32"/>
      <c r="E1077" s="19" t="n">
        <f aca="false">+IF(C1077="EQUIPO",F1077,0)</f>
        <v>0</v>
      </c>
      <c r="F1077" s="33" t="n">
        <v>0</v>
      </c>
      <c r="G1077" s="35" t="n">
        <v>0</v>
      </c>
      <c r="H1077" s="34" t="n">
        <f aca="false">+IF(E1077=0,0,E1077*0.03)</f>
        <v>0</v>
      </c>
    </row>
    <row r="1078" customFormat="false" ht="15.75" hidden="false" customHeight="true" outlineLevel="0" collapsed="false">
      <c r="A1078" s="30" t="n">
        <v>0</v>
      </c>
      <c r="B1078" s="31" t="s">
        <v>11</v>
      </c>
      <c r="C1078" s="32"/>
      <c r="D1078" s="32"/>
      <c r="E1078" s="19" t="n">
        <f aca="false">+IF(C1078="EQUIPO",F1078,0)</f>
        <v>0</v>
      </c>
      <c r="F1078" s="33" t="n">
        <v>0</v>
      </c>
      <c r="G1078" s="35" t="n">
        <v>0</v>
      </c>
      <c r="H1078" s="34" t="n">
        <f aca="false">+IF(E1078=0,0,E1078*0.03)</f>
        <v>0</v>
      </c>
    </row>
    <row r="1079" customFormat="false" ht="15.75" hidden="false" customHeight="true" outlineLevel="0" collapsed="false">
      <c r="A1079" s="30" t="n">
        <v>0</v>
      </c>
      <c r="B1079" s="31" t="s">
        <v>11</v>
      </c>
      <c r="C1079" s="32"/>
      <c r="D1079" s="32"/>
      <c r="E1079" s="19" t="n">
        <f aca="false">+IF(C1079="EQUIPO",F1079,0)</f>
        <v>0</v>
      </c>
      <c r="F1079" s="33" t="n">
        <v>0</v>
      </c>
      <c r="G1079" s="35" t="n">
        <v>0</v>
      </c>
      <c r="H1079" s="34" t="n">
        <f aca="false">+IF(E1079=0,0,E1079*0.03)</f>
        <v>0</v>
      </c>
    </row>
    <row r="1080" customFormat="false" ht="15.75" hidden="false" customHeight="true" outlineLevel="0" collapsed="false">
      <c r="A1080" s="30" t="n">
        <v>0</v>
      </c>
      <c r="B1080" s="31" t="s">
        <v>11</v>
      </c>
      <c r="C1080" s="32"/>
      <c r="D1080" s="32"/>
      <c r="E1080" s="19" t="n">
        <f aca="false">+IF(C1080="EQUIPO",F1080,0)</f>
        <v>0</v>
      </c>
      <c r="F1080" s="33" t="n">
        <v>0</v>
      </c>
      <c r="G1080" s="35" t="n">
        <v>0</v>
      </c>
      <c r="H1080" s="34" t="n">
        <f aca="false">+IF(E1080=0,0,E1080*0.03)</f>
        <v>0</v>
      </c>
    </row>
    <row r="1081" customFormat="false" ht="15.75" hidden="false" customHeight="true" outlineLevel="0" collapsed="false">
      <c r="A1081" s="30" t="n">
        <v>0</v>
      </c>
      <c r="B1081" s="31" t="s">
        <v>11</v>
      </c>
      <c r="C1081" s="32"/>
      <c r="D1081" s="32"/>
      <c r="E1081" s="19" t="n">
        <f aca="false">+IF(C1081="EQUIPO",F1081,0)</f>
        <v>0</v>
      </c>
      <c r="F1081" s="33" t="n">
        <v>0</v>
      </c>
      <c r="G1081" s="35" t="n">
        <v>0</v>
      </c>
      <c r="H1081" s="34" t="n">
        <f aca="false">+IF(E1081=0,0,E1081*0.03)</f>
        <v>0</v>
      </c>
    </row>
    <row r="1082" customFormat="false" ht="15.75" hidden="false" customHeight="true" outlineLevel="0" collapsed="false">
      <c r="A1082" s="30" t="n">
        <v>0</v>
      </c>
      <c r="B1082" s="31" t="s">
        <v>11</v>
      </c>
      <c r="C1082" s="32"/>
      <c r="D1082" s="32"/>
      <c r="E1082" s="19" t="n">
        <f aca="false">+IF(C1082="EQUIPO",F1082,0)</f>
        <v>0</v>
      </c>
      <c r="F1082" s="33" t="n">
        <v>0</v>
      </c>
      <c r="G1082" s="35" t="n">
        <v>0</v>
      </c>
      <c r="H1082" s="34" t="n">
        <f aca="false">+IF(E1082=0,0,E1082*0.03)</f>
        <v>0</v>
      </c>
    </row>
    <row r="1083" customFormat="false" ht="15.75" hidden="false" customHeight="true" outlineLevel="0" collapsed="false">
      <c r="A1083" s="30" t="n">
        <v>0</v>
      </c>
      <c r="B1083" s="31" t="s">
        <v>11</v>
      </c>
      <c r="C1083" s="32"/>
      <c r="D1083" s="32"/>
      <c r="E1083" s="19" t="n">
        <f aca="false">+IF(C1083="EQUIPO",F1083,0)</f>
        <v>0</v>
      </c>
      <c r="F1083" s="33" t="n">
        <v>0</v>
      </c>
      <c r="G1083" s="35" t="n">
        <v>0</v>
      </c>
      <c r="H1083" s="34" t="n">
        <f aca="false">+IF(E1083=0,0,E1083*0.03)</f>
        <v>0</v>
      </c>
    </row>
    <row r="1084" customFormat="false" ht="15.75" hidden="false" customHeight="true" outlineLevel="0" collapsed="false">
      <c r="A1084" s="30" t="n">
        <v>0</v>
      </c>
      <c r="B1084" s="31" t="s">
        <v>11</v>
      </c>
      <c r="C1084" s="32"/>
      <c r="D1084" s="32"/>
      <c r="E1084" s="19" t="n">
        <f aca="false">+IF(C1084="EQUIPO",F1084,0)</f>
        <v>0</v>
      </c>
      <c r="F1084" s="33" t="n">
        <v>0</v>
      </c>
      <c r="G1084" s="35" t="n">
        <v>0</v>
      </c>
      <c r="H1084" s="34" t="n">
        <f aca="false">+IF(E1084=0,0,E1084*0.03)</f>
        <v>0</v>
      </c>
    </row>
    <row r="1085" customFormat="false" ht="15.75" hidden="false" customHeight="true" outlineLevel="0" collapsed="false">
      <c r="A1085" s="30" t="n">
        <v>0</v>
      </c>
      <c r="B1085" s="31" t="s">
        <v>11</v>
      </c>
      <c r="C1085" s="32"/>
      <c r="D1085" s="32"/>
      <c r="E1085" s="19" t="n">
        <f aca="false">+IF(C1085="EQUIPO",F1085,0)</f>
        <v>0</v>
      </c>
      <c r="F1085" s="33" t="n">
        <v>0</v>
      </c>
      <c r="G1085" s="35" t="n">
        <v>0</v>
      </c>
      <c r="H1085" s="34" t="n">
        <f aca="false">+IF(E1085=0,0,E1085*0.03)</f>
        <v>0</v>
      </c>
    </row>
    <row r="1086" customFormat="false" ht="15.75" hidden="false" customHeight="true" outlineLevel="0" collapsed="false">
      <c r="A1086" s="30" t="n">
        <v>0</v>
      </c>
      <c r="B1086" s="31" t="s">
        <v>11</v>
      </c>
      <c r="C1086" s="32"/>
      <c r="D1086" s="32"/>
      <c r="E1086" s="19" t="n">
        <f aca="false">+IF(C1086="EQUIPO",F1086,0)</f>
        <v>0</v>
      </c>
      <c r="F1086" s="33" t="n">
        <v>0</v>
      </c>
      <c r="G1086" s="35" t="n">
        <v>0</v>
      </c>
      <c r="H1086" s="34" t="n">
        <f aca="false">+IF(E1086=0,0,E1086*0.03)</f>
        <v>0</v>
      </c>
    </row>
    <row r="1087" customFormat="false" ht="15.75" hidden="false" customHeight="true" outlineLevel="0" collapsed="false">
      <c r="A1087" s="30" t="n">
        <v>0</v>
      </c>
      <c r="B1087" s="31" t="s">
        <v>11</v>
      </c>
      <c r="C1087" s="32"/>
      <c r="D1087" s="32"/>
      <c r="E1087" s="19" t="n">
        <f aca="false">+IF(C1087="EQUIPO",F1087,0)</f>
        <v>0</v>
      </c>
      <c r="F1087" s="33" t="n">
        <v>0</v>
      </c>
      <c r="G1087" s="35" t="n">
        <v>0</v>
      </c>
      <c r="H1087" s="34" t="n">
        <f aca="false">+IF(E1087=0,0,E1087*0.03)</f>
        <v>0</v>
      </c>
    </row>
    <row r="1088" customFormat="false" ht="15.75" hidden="false" customHeight="true" outlineLevel="0" collapsed="false">
      <c r="A1088" s="30" t="n">
        <v>0</v>
      </c>
      <c r="B1088" s="31" t="s">
        <v>11</v>
      </c>
      <c r="C1088" s="32"/>
      <c r="D1088" s="32"/>
      <c r="E1088" s="19" t="n">
        <f aca="false">+IF(C1088="EQUIPO",F1088,0)</f>
        <v>0</v>
      </c>
      <c r="F1088" s="33" t="n">
        <v>0</v>
      </c>
      <c r="G1088" s="35" t="n">
        <v>0</v>
      </c>
      <c r="H1088" s="34" t="n">
        <f aca="false">+IF(E1088=0,0,E1088*0.03)</f>
        <v>0</v>
      </c>
    </row>
    <row r="1089" customFormat="false" ht="15.75" hidden="false" customHeight="true" outlineLevel="0" collapsed="false">
      <c r="A1089" s="30" t="n">
        <v>0</v>
      </c>
      <c r="B1089" s="31" t="s">
        <v>11</v>
      </c>
      <c r="C1089" s="32"/>
      <c r="D1089" s="32"/>
      <c r="E1089" s="19" t="n">
        <f aca="false">+IF(C1089="EQUIPO",F1089,0)</f>
        <v>0</v>
      </c>
      <c r="F1089" s="33" t="n">
        <v>0</v>
      </c>
      <c r="G1089" s="35" t="n">
        <v>0</v>
      </c>
      <c r="H1089" s="34" t="n">
        <f aca="false">+IF(E1089=0,0,E1089*0.03)</f>
        <v>0</v>
      </c>
    </row>
    <row r="1090" customFormat="false" ht="15.75" hidden="false" customHeight="true" outlineLevel="0" collapsed="false">
      <c r="A1090" s="30" t="n">
        <v>0</v>
      </c>
      <c r="B1090" s="31" t="s">
        <v>11</v>
      </c>
      <c r="C1090" s="32"/>
      <c r="D1090" s="32"/>
      <c r="E1090" s="19" t="n">
        <f aca="false">+IF(C1090="EQUIPO",F1090,0)</f>
        <v>0</v>
      </c>
      <c r="F1090" s="33" t="n">
        <v>0</v>
      </c>
      <c r="G1090" s="35" t="n">
        <v>0</v>
      </c>
      <c r="H1090" s="34" t="n">
        <f aca="false">+IF(E1090=0,0,E1090*0.03)</f>
        <v>0</v>
      </c>
    </row>
    <row r="1091" customFormat="false" ht="15.75" hidden="false" customHeight="true" outlineLevel="0" collapsed="false">
      <c r="A1091" s="30" t="n">
        <v>0</v>
      </c>
      <c r="B1091" s="31" t="s">
        <v>11</v>
      </c>
      <c r="C1091" s="32"/>
      <c r="D1091" s="32"/>
      <c r="E1091" s="19" t="n">
        <f aca="false">+IF(C1091="EQUIPO",F1091,0)</f>
        <v>0</v>
      </c>
      <c r="F1091" s="33" t="n">
        <v>0</v>
      </c>
      <c r="G1091" s="35" t="n">
        <v>0</v>
      </c>
      <c r="H1091" s="34" t="n">
        <f aca="false">+IF(E1091=0,0,E1091*0.03)</f>
        <v>0</v>
      </c>
    </row>
    <row r="1092" customFormat="false" ht="15.75" hidden="false" customHeight="true" outlineLevel="0" collapsed="false">
      <c r="A1092" s="30" t="n">
        <v>0</v>
      </c>
      <c r="B1092" s="31" t="s">
        <v>11</v>
      </c>
      <c r="C1092" s="32"/>
      <c r="D1092" s="32"/>
      <c r="E1092" s="19" t="n">
        <f aca="false">+IF(C1092="EQUIPO",F1092,0)</f>
        <v>0</v>
      </c>
      <c r="F1092" s="33" t="n">
        <v>0</v>
      </c>
      <c r="G1092" s="35" t="n">
        <v>0</v>
      </c>
      <c r="H1092" s="34" t="n">
        <f aca="false">+IF(E1092=0,0,E1092*0.03)</f>
        <v>0</v>
      </c>
    </row>
    <row r="1093" customFormat="false" ht="15.75" hidden="false" customHeight="true" outlineLevel="0" collapsed="false">
      <c r="A1093" s="30" t="n">
        <v>0</v>
      </c>
      <c r="B1093" s="31" t="s">
        <v>11</v>
      </c>
      <c r="C1093" s="32"/>
      <c r="D1093" s="32"/>
      <c r="E1093" s="19" t="n">
        <f aca="false">+IF(C1093="EQUIPO",F1093,0)</f>
        <v>0</v>
      </c>
      <c r="F1093" s="33" t="n">
        <v>0</v>
      </c>
      <c r="G1093" s="35" t="n">
        <v>0</v>
      </c>
      <c r="H1093" s="34" t="n">
        <f aca="false">+IF(E1093=0,0,E1093*0.03)</f>
        <v>0</v>
      </c>
    </row>
    <row r="1094" customFormat="false" ht="15.75" hidden="false" customHeight="true" outlineLevel="0" collapsed="false">
      <c r="A1094" s="30" t="n">
        <v>0</v>
      </c>
      <c r="B1094" s="31" t="s">
        <v>11</v>
      </c>
      <c r="C1094" s="32"/>
      <c r="D1094" s="32"/>
      <c r="E1094" s="19" t="n">
        <f aca="false">+IF(C1094="EQUIPO",F1094,0)</f>
        <v>0</v>
      </c>
      <c r="F1094" s="33" t="n">
        <v>0</v>
      </c>
      <c r="G1094" s="35" t="n">
        <v>0</v>
      </c>
      <c r="H1094" s="34" t="n">
        <f aca="false">+IF(E1094=0,0,E1094*0.03)</f>
        <v>0</v>
      </c>
    </row>
    <row r="1095" customFormat="false" ht="15.75" hidden="false" customHeight="true" outlineLevel="0" collapsed="false">
      <c r="A1095" s="30" t="n">
        <v>0</v>
      </c>
      <c r="B1095" s="31" t="s">
        <v>11</v>
      </c>
      <c r="C1095" s="32"/>
      <c r="D1095" s="32"/>
      <c r="E1095" s="19" t="n">
        <f aca="false">+IF(C1095="EQUIPO",F1095,0)</f>
        <v>0</v>
      </c>
      <c r="F1095" s="33" t="n">
        <v>0</v>
      </c>
      <c r="G1095" s="35" t="n">
        <v>0</v>
      </c>
      <c r="H1095" s="34" t="n">
        <f aca="false">+IF(E1095=0,0,E1095*0.03)</f>
        <v>0</v>
      </c>
    </row>
    <row r="1096" customFormat="false" ht="15.75" hidden="false" customHeight="true" outlineLevel="0" collapsed="false">
      <c r="A1096" s="30" t="n">
        <v>0</v>
      </c>
      <c r="B1096" s="31" t="s">
        <v>11</v>
      </c>
      <c r="C1096" s="32"/>
      <c r="D1096" s="32"/>
      <c r="E1096" s="19" t="n">
        <f aca="false">+IF(C1096="EQUIPO",F1096,0)</f>
        <v>0</v>
      </c>
      <c r="F1096" s="33" t="n">
        <v>0</v>
      </c>
      <c r="G1096" s="35" t="n">
        <v>0</v>
      </c>
      <c r="H1096" s="34" t="n">
        <f aca="false">+IF(E1096=0,0,E1096*0.03)</f>
        <v>0</v>
      </c>
    </row>
    <row r="1097" customFormat="false" ht="15.75" hidden="false" customHeight="true" outlineLevel="0" collapsed="false">
      <c r="A1097" s="30" t="n">
        <v>0</v>
      </c>
      <c r="B1097" s="31" t="s">
        <v>11</v>
      </c>
      <c r="C1097" s="32"/>
      <c r="D1097" s="32"/>
      <c r="E1097" s="19" t="n">
        <f aca="false">+IF(C1097="EQUIPO",F1097,0)</f>
        <v>0</v>
      </c>
      <c r="F1097" s="33" t="n">
        <v>0</v>
      </c>
      <c r="G1097" s="35" t="n">
        <v>0</v>
      </c>
      <c r="H1097" s="34" t="n">
        <f aca="false">+IF(E1097=0,0,E1097*0.03)</f>
        <v>0</v>
      </c>
    </row>
    <row r="1098" customFormat="false" ht="15.75" hidden="false" customHeight="true" outlineLevel="0" collapsed="false">
      <c r="A1098" s="30" t="n">
        <v>0</v>
      </c>
      <c r="B1098" s="31" t="s">
        <v>11</v>
      </c>
      <c r="C1098" s="32"/>
      <c r="D1098" s="32"/>
      <c r="E1098" s="19" t="n">
        <f aca="false">+IF(C1098="EQUIPO",F1098,0)</f>
        <v>0</v>
      </c>
      <c r="F1098" s="33" t="n">
        <v>0</v>
      </c>
      <c r="G1098" s="35" t="n">
        <v>0</v>
      </c>
      <c r="H1098" s="34" t="n">
        <f aca="false">+IF(E1098=0,0,E1098*0.03)</f>
        <v>0</v>
      </c>
    </row>
    <row r="1099" customFormat="false" ht="15.75" hidden="false" customHeight="true" outlineLevel="0" collapsed="false">
      <c r="A1099" s="30" t="n">
        <v>0</v>
      </c>
      <c r="B1099" s="31" t="s">
        <v>11</v>
      </c>
      <c r="C1099" s="32"/>
      <c r="D1099" s="32"/>
      <c r="E1099" s="19" t="n">
        <f aca="false">+IF(C1099="EQUIPO",F1099,0)</f>
        <v>0</v>
      </c>
      <c r="F1099" s="33" t="n">
        <v>0</v>
      </c>
      <c r="G1099" s="35" t="n">
        <v>0</v>
      </c>
      <c r="H1099" s="34" t="n">
        <f aca="false">+IF(E1099=0,0,E1099*0.03)</f>
        <v>0</v>
      </c>
    </row>
    <row r="1100" customFormat="false" ht="15.75" hidden="false" customHeight="true" outlineLevel="0" collapsed="false">
      <c r="A1100" s="30" t="n">
        <v>0</v>
      </c>
      <c r="B1100" s="31" t="s">
        <v>11</v>
      </c>
      <c r="C1100" s="32"/>
      <c r="D1100" s="32"/>
      <c r="E1100" s="19" t="n">
        <f aca="false">+IF(C1100="EQUIPO",F1100,0)</f>
        <v>0</v>
      </c>
      <c r="F1100" s="33" t="n">
        <v>0</v>
      </c>
      <c r="G1100" s="35" t="n">
        <v>0</v>
      </c>
      <c r="H1100" s="34" t="n">
        <f aca="false">+IF(E1100=0,0,E1100*0.03)</f>
        <v>0</v>
      </c>
    </row>
    <row r="1101" customFormat="false" ht="15.75" hidden="false" customHeight="true" outlineLevel="0" collapsed="false">
      <c r="A1101" s="30" t="n">
        <v>0</v>
      </c>
      <c r="B1101" s="31" t="s">
        <v>11</v>
      </c>
      <c r="C1101" s="32"/>
      <c r="D1101" s="32"/>
      <c r="E1101" s="19" t="n">
        <f aca="false">+IF(C1101="EQUIPO",F1101,0)</f>
        <v>0</v>
      </c>
      <c r="F1101" s="33" t="n">
        <v>0</v>
      </c>
      <c r="G1101" s="35" t="n">
        <v>0</v>
      </c>
      <c r="H1101" s="34" t="n">
        <f aca="false">+IF(E1101=0,0,E1101*0.03)</f>
        <v>0</v>
      </c>
    </row>
    <row r="1102" customFormat="false" ht="15.75" hidden="false" customHeight="true" outlineLevel="0" collapsed="false">
      <c r="A1102" s="30" t="n">
        <v>0</v>
      </c>
      <c r="B1102" s="31" t="s">
        <v>11</v>
      </c>
      <c r="C1102" s="32"/>
      <c r="D1102" s="32"/>
      <c r="E1102" s="19" t="n">
        <f aca="false">+IF(C1102="EQUIPO",F1102,0)</f>
        <v>0</v>
      </c>
      <c r="F1102" s="33" t="n">
        <v>0</v>
      </c>
      <c r="G1102" s="35" t="n">
        <v>0</v>
      </c>
      <c r="H1102" s="34" t="n">
        <f aca="false">+IF(E1102=0,0,E1102*0.03)</f>
        <v>0</v>
      </c>
    </row>
    <row r="1103" customFormat="false" ht="15.75" hidden="false" customHeight="true" outlineLevel="0" collapsed="false">
      <c r="A1103" s="30" t="n">
        <v>0</v>
      </c>
      <c r="B1103" s="31" t="s">
        <v>11</v>
      </c>
      <c r="C1103" s="32"/>
      <c r="D1103" s="32"/>
      <c r="E1103" s="19" t="n">
        <f aca="false">+IF(C1103="EQUIPO",F1103,0)</f>
        <v>0</v>
      </c>
      <c r="F1103" s="33" t="n">
        <v>0</v>
      </c>
      <c r="G1103" s="35" t="n">
        <v>0</v>
      </c>
      <c r="H1103" s="34" t="n">
        <f aca="false">+IF(E1103=0,0,E1103*0.03)</f>
        <v>0</v>
      </c>
    </row>
    <row r="1104" customFormat="false" ht="15.75" hidden="false" customHeight="true" outlineLevel="0" collapsed="false">
      <c r="A1104" s="30" t="n">
        <v>0</v>
      </c>
      <c r="B1104" s="31" t="s">
        <v>11</v>
      </c>
      <c r="C1104" s="32"/>
      <c r="D1104" s="32"/>
      <c r="E1104" s="19" t="n">
        <f aca="false">+IF(C1104="EQUIPO",F1104,0)</f>
        <v>0</v>
      </c>
      <c r="F1104" s="33" t="n">
        <v>0</v>
      </c>
      <c r="G1104" s="35" t="n">
        <v>0</v>
      </c>
      <c r="H1104" s="34" t="n">
        <f aca="false">+IF(E1104=0,0,E1104*0.03)</f>
        <v>0</v>
      </c>
    </row>
    <row r="1105" customFormat="false" ht="15.75" hidden="false" customHeight="true" outlineLevel="0" collapsed="false">
      <c r="A1105" s="30" t="n">
        <v>0</v>
      </c>
      <c r="B1105" s="31" t="s">
        <v>11</v>
      </c>
      <c r="C1105" s="32"/>
      <c r="D1105" s="32"/>
      <c r="E1105" s="19" t="n">
        <f aca="false">+IF(C1105="EQUIPO",F1105,0)</f>
        <v>0</v>
      </c>
      <c r="F1105" s="33" t="n">
        <v>0</v>
      </c>
      <c r="G1105" s="35" t="n">
        <v>0</v>
      </c>
      <c r="H1105" s="34" t="n">
        <f aca="false">+IF(E1105=0,0,E1105*0.03)</f>
        <v>0</v>
      </c>
    </row>
    <row r="1106" customFormat="false" ht="15.75" hidden="false" customHeight="true" outlineLevel="0" collapsed="false">
      <c r="A1106" s="30" t="n">
        <v>0</v>
      </c>
      <c r="B1106" s="31" t="s">
        <v>11</v>
      </c>
      <c r="C1106" s="32"/>
      <c r="D1106" s="32"/>
      <c r="E1106" s="19" t="n">
        <f aca="false">+IF(C1106="EQUIPO",F1106,0)</f>
        <v>0</v>
      </c>
      <c r="F1106" s="33" t="n">
        <v>0</v>
      </c>
      <c r="G1106" s="35" t="n">
        <v>0</v>
      </c>
      <c r="H1106" s="34" t="n">
        <f aca="false">+IF(E1106=0,0,E1106*0.03)</f>
        <v>0</v>
      </c>
    </row>
    <row r="1107" customFormat="false" ht="15.75" hidden="false" customHeight="true" outlineLevel="0" collapsed="false">
      <c r="A1107" s="30" t="n">
        <v>0</v>
      </c>
      <c r="B1107" s="31" t="s">
        <v>11</v>
      </c>
      <c r="C1107" s="32"/>
      <c r="D1107" s="32"/>
      <c r="E1107" s="19" t="n">
        <f aca="false">+IF(C1107="EQUIPO",F1107,0)</f>
        <v>0</v>
      </c>
      <c r="F1107" s="33" t="n">
        <v>0</v>
      </c>
      <c r="G1107" s="35" t="n">
        <v>0</v>
      </c>
      <c r="H1107" s="34" t="n">
        <f aca="false">+IF(E1107=0,0,E1107*0.03)</f>
        <v>0</v>
      </c>
    </row>
    <row r="1108" customFormat="false" ht="15.75" hidden="false" customHeight="true" outlineLevel="0" collapsed="false">
      <c r="A1108" s="30" t="n">
        <v>0</v>
      </c>
      <c r="B1108" s="31" t="s">
        <v>11</v>
      </c>
      <c r="C1108" s="32"/>
      <c r="D1108" s="32"/>
      <c r="E1108" s="19" t="n">
        <f aca="false">+IF(C1108="EQUIPO",F1108,0)</f>
        <v>0</v>
      </c>
      <c r="F1108" s="33" t="n">
        <v>0</v>
      </c>
      <c r="G1108" s="35" t="n">
        <v>0</v>
      </c>
      <c r="H1108" s="34" t="n">
        <f aca="false">+IF(E1108=0,0,E1108*0.03)</f>
        <v>0</v>
      </c>
    </row>
    <row r="1109" customFormat="false" ht="15.75" hidden="false" customHeight="true" outlineLevel="0" collapsed="false">
      <c r="A1109" s="30" t="n">
        <v>0</v>
      </c>
      <c r="B1109" s="31" t="s">
        <v>11</v>
      </c>
      <c r="C1109" s="32"/>
      <c r="D1109" s="32"/>
      <c r="E1109" s="19" t="n">
        <f aca="false">+IF(C1109="EQUIPO",F1109,0)</f>
        <v>0</v>
      </c>
      <c r="F1109" s="33" t="n">
        <v>0</v>
      </c>
      <c r="G1109" s="35" t="n">
        <v>0</v>
      </c>
      <c r="H1109" s="34" t="n">
        <f aca="false">+IF(E1109=0,0,E1109*0.03)</f>
        <v>0</v>
      </c>
    </row>
    <row r="1110" customFormat="false" ht="15.75" hidden="false" customHeight="true" outlineLevel="0" collapsed="false">
      <c r="A1110" s="30" t="n">
        <v>0</v>
      </c>
      <c r="B1110" s="31" t="s">
        <v>11</v>
      </c>
      <c r="C1110" s="32"/>
      <c r="D1110" s="32"/>
      <c r="E1110" s="19" t="n">
        <f aca="false">+IF(C1110="EQUIPO",F1110,0)</f>
        <v>0</v>
      </c>
      <c r="F1110" s="33" t="n">
        <v>0</v>
      </c>
      <c r="G1110" s="35" t="n">
        <v>0</v>
      </c>
      <c r="H1110" s="34" t="n">
        <f aca="false">+IF(E1110=0,0,E1110*0.03)</f>
        <v>0</v>
      </c>
    </row>
    <row r="1111" customFormat="false" ht="15.75" hidden="false" customHeight="true" outlineLevel="0" collapsed="false">
      <c r="A1111" s="30" t="n">
        <v>0</v>
      </c>
      <c r="B1111" s="31" t="s">
        <v>11</v>
      </c>
      <c r="C1111" s="32"/>
      <c r="D1111" s="32"/>
      <c r="E1111" s="19" t="n">
        <f aca="false">+IF(C1111="EQUIPO",F1111,0)</f>
        <v>0</v>
      </c>
      <c r="F1111" s="33" t="n">
        <v>0</v>
      </c>
      <c r="G1111" s="35" t="n">
        <v>0</v>
      </c>
      <c r="H1111" s="34" t="n">
        <f aca="false">+IF(E1111=0,0,E1111*0.03)</f>
        <v>0</v>
      </c>
    </row>
    <row r="1112" customFormat="false" ht="15.75" hidden="false" customHeight="true" outlineLevel="0" collapsed="false">
      <c r="A1112" s="30" t="n">
        <v>0</v>
      </c>
      <c r="B1112" s="31" t="s">
        <v>11</v>
      </c>
      <c r="C1112" s="32"/>
      <c r="D1112" s="32"/>
      <c r="E1112" s="19" t="n">
        <f aca="false">+IF(C1112="EQUIPO",F1112,0)</f>
        <v>0</v>
      </c>
      <c r="F1112" s="33" t="n">
        <v>0</v>
      </c>
      <c r="G1112" s="35" t="n">
        <v>0</v>
      </c>
      <c r="H1112" s="34" t="n">
        <f aca="false">+IF(E1112=0,0,E1112*0.03)</f>
        <v>0</v>
      </c>
    </row>
    <row r="1113" customFormat="false" ht="15.75" hidden="false" customHeight="true" outlineLevel="0" collapsed="false">
      <c r="A1113" s="30" t="n">
        <v>0</v>
      </c>
      <c r="B1113" s="31" t="s">
        <v>11</v>
      </c>
      <c r="C1113" s="32"/>
      <c r="D1113" s="32"/>
      <c r="E1113" s="19" t="n">
        <f aca="false">+IF(C1113="EQUIPO",F1113,0)</f>
        <v>0</v>
      </c>
      <c r="F1113" s="33" t="n">
        <v>0</v>
      </c>
      <c r="G1113" s="35" t="n">
        <v>0</v>
      </c>
      <c r="H1113" s="34" t="n">
        <f aca="false">+IF(E1113=0,0,E1113*0.03)</f>
        <v>0</v>
      </c>
    </row>
    <row r="1114" customFormat="false" ht="15.75" hidden="false" customHeight="true" outlineLevel="0" collapsed="false">
      <c r="A1114" s="30" t="n">
        <v>0</v>
      </c>
      <c r="B1114" s="31" t="s">
        <v>11</v>
      </c>
      <c r="C1114" s="32"/>
      <c r="D1114" s="32"/>
      <c r="E1114" s="19" t="n">
        <f aca="false">+IF(C1114="EQUIPO",F1114,0)</f>
        <v>0</v>
      </c>
      <c r="F1114" s="33" t="n">
        <v>0</v>
      </c>
      <c r="G1114" s="35" t="n">
        <v>0</v>
      </c>
      <c r="H1114" s="34" t="n">
        <f aca="false">+IF(E1114=0,0,E1114*0.03)</f>
        <v>0</v>
      </c>
    </row>
    <row r="1115" customFormat="false" ht="15.75" hidden="false" customHeight="true" outlineLevel="0" collapsed="false">
      <c r="A1115" s="30" t="n">
        <v>0</v>
      </c>
      <c r="B1115" s="31" t="s">
        <v>11</v>
      </c>
      <c r="C1115" s="32"/>
      <c r="D1115" s="32"/>
      <c r="E1115" s="19" t="n">
        <f aca="false">+IF(C1115="EQUIPO",F1115,0)</f>
        <v>0</v>
      </c>
      <c r="F1115" s="33" t="n">
        <v>0</v>
      </c>
      <c r="G1115" s="35" t="n">
        <v>0</v>
      </c>
      <c r="H1115" s="34" t="n">
        <f aca="false">+IF(E1115=0,0,E1115*0.03)</f>
        <v>0</v>
      </c>
    </row>
    <row r="1116" customFormat="false" ht="15.75" hidden="false" customHeight="true" outlineLevel="0" collapsed="false">
      <c r="A1116" s="30" t="n">
        <v>0</v>
      </c>
      <c r="B1116" s="31" t="s">
        <v>11</v>
      </c>
      <c r="C1116" s="32"/>
      <c r="D1116" s="32"/>
      <c r="E1116" s="19" t="n">
        <f aca="false">+IF(C1116="EQUIPO",F1116,0)</f>
        <v>0</v>
      </c>
      <c r="F1116" s="33" t="n">
        <v>0</v>
      </c>
      <c r="G1116" s="35" t="n">
        <v>0</v>
      </c>
      <c r="H1116" s="34" t="n">
        <f aca="false">+IF(E1116=0,0,E1116*0.03)</f>
        <v>0</v>
      </c>
    </row>
    <row r="1117" customFormat="false" ht="15.75" hidden="false" customHeight="true" outlineLevel="0" collapsed="false">
      <c r="A1117" s="30" t="n">
        <v>0</v>
      </c>
      <c r="B1117" s="31" t="s">
        <v>11</v>
      </c>
      <c r="C1117" s="32"/>
      <c r="D1117" s="32"/>
      <c r="E1117" s="19" t="n">
        <f aca="false">+IF(C1117="EQUIPO",F1117,0)</f>
        <v>0</v>
      </c>
      <c r="F1117" s="33" t="n">
        <v>0</v>
      </c>
      <c r="G1117" s="35" t="n">
        <v>0</v>
      </c>
      <c r="H1117" s="34" t="n">
        <f aca="false">+IF(E1117=0,0,E1117*0.03)</f>
        <v>0</v>
      </c>
    </row>
    <row r="1118" customFormat="false" ht="15.75" hidden="false" customHeight="true" outlineLevel="0" collapsed="false">
      <c r="A1118" s="30" t="n">
        <v>0</v>
      </c>
      <c r="B1118" s="31" t="s">
        <v>11</v>
      </c>
      <c r="C1118" s="32"/>
      <c r="D1118" s="32"/>
      <c r="E1118" s="19" t="n">
        <f aca="false">+IF(C1118="EQUIPO",F1118,0)</f>
        <v>0</v>
      </c>
      <c r="F1118" s="33" t="n">
        <v>0</v>
      </c>
      <c r="G1118" s="35" t="n">
        <v>0</v>
      </c>
      <c r="H1118" s="34" t="n">
        <f aca="false">+IF(E1118=0,0,E1118*0.03)</f>
        <v>0</v>
      </c>
    </row>
    <row r="1119" customFormat="false" ht="15.75" hidden="false" customHeight="true" outlineLevel="0" collapsed="false">
      <c r="A1119" s="30" t="n">
        <v>0</v>
      </c>
      <c r="B1119" s="31" t="s">
        <v>11</v>
      </c>
      <c r="C1119" s="32"/>
      <c r="D1119" s="32"/>
      <c r="E1119" s="19" t="n">
        <f aca="false">+IF(C1119="EQUIPO",F1119,0)</f>
        <v>0</v>
      </c>
      <c r="F1119" s="33" t="n">
        <v>0</v>
      </c>
      <c r="G1119" s="35" t="n">
        <v>0</v>
      </c>
      <c r="H1119" s="34" t="n">
        <f aca="false">+IF(E1119=0,0,E1119*0.03)</f>
        <v>0</v>
      </c>
    </row>
    <row r="1120" customFormat="false" ht="15.75" hidden="false" customHeight="true" outlineLevel="0" collapsed="false">
      <c r="A1120" s="30" t="n">
        <v>0</v>
      </c>
      <c r="B1120" s="31" t="s">
        <v>11</v>
      </c>
      <c r="C1120" s="32"/>
      <c r="D1120" s="32"/>
      <c r="E1120" s="19" t="n">
        <f aca="false">+IF(C1120="EQUIPO",F1120,0)</f>
        <v>0</v>
      </c>
      <c r="F1120" s="33" t="n">
        <v>0</v>
      </c>
      <c r="G1120" s="35" t="n">
        <v>0</v>
      </c>
      <c r="H1120" s="34" t="n">
        <f aca="false">+IF(E1120=0,0,E1120*0.03)</f>
        <v>0</v>
      </c>
    </row>
    <row r="1121" customFormat="false" ht="15.75" hidden="false" customHeight="true" outlineLevel="0" collapsed="false">
      <c r="A1121" s="30" t="n">
        <v>0</v>
      </c>
      <c r="B1121" s="31" t="s">
        <v>11</v>
      </c>
      <c r="C1121" s="32"/>
      <c r="D1121" s="32"/>
      <c r="E1121" s="19" t="n">
        <f aca="false">+IF(C1121="EQUIPO",F1121,0)</f>
        <v>0</v>
      </c>
      <c r="F1121" s="33" t="n">
        <v>0</v>
      </c>
      <c r="G1121" s="35" t="n">
        <v>0</v>
      </c>
      <c r="H1121" s="34" t="n">
        <f aca="false">+IF(E1121=0,0,E1121*0.03)</f>
        <v>0</v>
      </c>
    </row>
    <row r="1122" customFormat="false" ht="15.75" hidden="false" customHeight="true" outlineLevel="0" collapsed="false">
      <c r="A1122" s="30" t="n">
        <v>0</v>
      </c>
      <c r="B1122" s="31" t="s">
        <v>11</v>
      </c>
      <c r="C1122" s="32"/>
      <c r="D1122" s="32"/>
      <c r="E1122" s="19" t="n">
        <f aca="false">+IF(C1122="EQUIPO",F1122,0)</f>
        <v>0</v>
      </c>
      <c r="F1122" s="33" t="n">
        <v>0</v>
      </c>
      <c r="G1122" s="35" t="n">
        <v>0</v>
      </c>
      <c r="H1122" s="34" t="n">
        <f aca="false">+IF(E1122=0,0,E1122*0.03)</f>
        <v>0</v>
      </c>
    </row>
    <row r="1123" customFormat="false" ht="15.75" hidden="false" customHeight="true" outlineLevel="0" collapsed="false">
      <c r="A1123" s="30" t="n">
        <v>0</v>
      </c>
      <c r="B1123" s="31" t="s">
        <v>11</v>
      </c>
      <c r="C1123" s="32"/>
      <c r="D1123" s="32"/>
      <c r="E1123" s="19" t="n">
        <f aca="false">+IF(C1123="EQUIPO",F1123,0)</f>
        <v>0</v>
      </c>
      <c r="F1123" s="33" t="n">
        <v>0</v>
      </c>
      <c r="G1123" s="35" t="n">
        <v>0</v>
      </c>
      <c r="H1123" s="34" t="n">
        <f aca="false">+IF(E1123=0,0,E1123*0.03)</f>
        <v>0</v>
      </c>
    </row>
    <row r="1124" customFormat="false" ht="15.75" hidden="false" customHeight="true" outlineLevel="0" collapsed="false">
      <c r="A1124" s="30" t="n">
        <v>0</v>
      </c>
      <c r="B1124" s="31" t="s">
        <v>11</v>
      </c>
      <c r="C1124" s="32"/>
      <c r="D1124" s="32"/>
      <c r="E1124" s="19" t="n">
        <f aca="false">+IF(C1124="EQUIPO",F1124,0)</f>
        <v>0</v>
      </c>
      <c r="F1124" s="33" t="n">
        <v>0</v>
      </c>
      <c r="G1124" s="35" t="n">
        <v>0</v>
      </c>
      <c r="H1124" s="34" t="n">
        <f aca="false">+IF(E1124=0,0,E1124*0.03)</f>
        <v>0</v>
      </c>
    </row>
    <row r="1125" customFormat="false" ht="15.75" hidden="false" customHeight="true" outlineLevel="0" collapsed="false">
      <c r="A1125" s="30" t="n">
        <v>0</v>
      </c>
      <c r="B1125" s="31" t="s">
        <v>11</v>
      </c>
      <c r="C1125" s="32"/>
      <c r="D1125" s="32"/>
      <c r="E1125" s="19" t="n">
        <f aca="false">+IF(C1125="EQUIPO",F1125,0)</f>
        <v>0</v>
      </c>
      <c r="F1125" s="33" t="n">
        <v>0</v>
      </c>
      <c r="G1125" s="35" t="n">
        <v>0</v>
      </c>
      <c r="H1125" s="34" t="n">
        <f aca="false">+IF(E1125=0,0,E1125*0.03)</f>
        <v>0</v>
      </c>
    </row>
    <row r="1126" customFormat="false" ht="15.75" hidden="false" customHeight="true" outlineLevel="0" collapsed="false">
      <c r="A1126" s="30" t="n">
        <v>0</v>
      </c>
      <c r="B1126" s="31" t="s">
        <v>11</v>
      </c>
      <c r="C1126" s="32"/>
      <c r="D1126" s="32"/>
      <c r="E1126" s="19" t="n">
        <f aca="false">+IF(C1126="EQUIPO",F1126,0)</f>
        <v>0</v>
      </c>
      <c r="F1126" s="33" t="n">
        <v>0</v>
      </c>
      <c r="G1126" s="35" t="n">
        <v>0</v>
      </c>
      <c r="H1126" s="34" t="n">
        <f aca="false">+IF(E1126=0,0,E1126*0.03)</f>
        <v>0</v>
      </c>
    </row>
    <row r="1127" customFormat="false" ht="15.75" hidden="false" customHeight="true" outlineLevel="0" collapsed="false">
      <c r="A1127" s="30" t="n">
        <v>0</v>
      </c>
      <c r="B1127" s="31" t="s">
        <v>11</v>
      </c>
      <c r="C1127" s="32"/>
      <c r="D1127" s="32"/>
      <c r="E1127" s="19" t="n">
        <f aca="false">+IF(C1127="EQUIPO",F1127,0)</f>
        <v>0</v>
      </c>
      <c r="F1127" s="33" t="n">
        <v>0</v>
      </c>
      <c r="G1127" s="35" t="n">
        <v>0</v>
      </c>
      <c r="H1127" s="34" t="n">
        <f aca="false">+IF(E1127=0,0,E1127*0.03)</f>
        <v>0</v>
      </c>
    </row>
    <row r="1128" customFormat="false" ht="15.75" hidden="false" customHeight="true" outlineLevel="0" collapsed="false">
      <c r="A1128" s="30" t="n">
        <v>0</v>
      </c>
      <c r="B1128" s="31" t="s">
        <v>11</v>
      </c>
      <c r="C1128" s="32"/>
      <c r="D1128" s="32"/>
      <c r="E1128" s="19" t="n">
        <f aca="false">+IF(C1128="EQUIPO",F1128,0)</f>
        <v>0</v>
      </c>
      <c r="F1128" s="33" t="n">
        <v>0</v>
      </c>
      <c r="G1128" s="35" t="n">
        <v>0</v>
      </c>
      <c r="H1128" s="34" t="n">
        <f aca="false">+IF(E1128=0,0,E1128*0.03)</f>
        <v>0</v>
      </c>
    </row>
    <row r="1129" customFormat="false" ht="15.75" hidden="false" customHeight="true" outlineLevel="0" collapsed="false">
      <c r="A1129" s="30" t="n">
        <v>0</v>
      </c>
      <c r="B1129" s="31" t="s">
        <v>11</v>
      </c>
      <c r="C1129" s="32"/>
      <c r="D1129" s="32"/>
      <c r="E1129" s="19" t="n">
        <f aca="false">+IF(C1129="EQUIPO",F1129,0)</f>
        <v>0</v>
      </c>
      <c r="F1129" s="33" t="n">
        <v>0</v>
      </c>
      <c r="G1129" s="35" t="n">
        <v>0</v>
      </c>
      <c r="H1129" s="34" t="n">
        <f aca="false">+IF(E1129=0,0,E1129*0.03)</f>
        <v>0</v>
      </c>
    </row>
    <row r="1130" customFormat="false" ht="15.75" hidden="false" customHeight="true" outlineLevel="0" collapsed="false">
      <c r="A1130" s="30" t="n">
        <v>0</v>
      </c>
      <c r="B1130" s="31" t="s">
        <v>11</v>
      </c>
      <c r="C1130" s="32"/>
      <c r="D1130" s="32"/>
      <c r="E1130" s="19" t="n">
        <f aca="false">+IF(C1130="EQUIPO",F1130,0)</f>
        <v>0</v>
      </c>
      <c r="F1130" s="33" t="n">
        <v>0</v>
      </c>
      <c r="G1130" s="35" t="n">
        <v>0</v>
      </c>
      <c r="H1130" s="34" t="n">
        <f aca="false">+IF(E1130=0,0,E1130*0.03)</f>
        <v>0</v>
      </c>
    </row>
    <row r="1131" customFormat="false" ht="15.75" hidden="false" customHeight="true" outlineLevel="0" collapsed="false">
      <c r="A1131" s="30" t="n">
        <v>0</v>
      </c>
      <c r="B1131" s="31" t="s">
        <v>11</v>
      </c>
      <c r="C1131" s="32"/>
      <c r="D1131" s="32"/>
      <c r="E1131" s="19" t="n">
        <f aca="false">+IF(C1131="EQUIPO",F1131,0)</f>
        <v>0</v>
      </c>
      <c r="F1131" s="33" t="n">
        <v>0</v>
      </c>
      <c r="G1131" s="35" t="n">
        <v>0</v>
      </c>
      <c r="H1131" s="34" t="n">
        <f aca="false">+IF(E1131=0,0,E1131*0.03)</f>
        <v>0</v>
      </c>
    </row>
    <row r="1132" customFormat="false" ht="15.75" hidden="false" customHeight="true" outlineLevel="0" collapsed="false">
      <c r="A1132" s="30" t="n">
        <v>0</v>
      </c>
      <c r="B1132" s="31" t="s">
        <v>11</v>
      </c>
      <c r="C1132" s="32"/>
      <c r="D1132" s="32"/>
      <c r="E1132" s="19" t="n">
        <f aca="false">+IF(C1132="EQUIPO",F1132,0)</f>
        <v>0</v>
      </c>
      <c r="F1132" s="33" t="n">
        <v>0</v>
      </c>
      <c r="G1132" s="35" t="n">
        <v>0</v>
      </c>
      <c r="H1132" s="34" t="n">
        <f aca="false">+IF(E1132=0,0,E1132*0.03)</f>
        <v>0</v>
      </c>
    </row>
    <row r="1133" customFormat="false" ht="15.75" hidden="false" customHeight="true" outlineLevel="0" collapsed="false">
      <c r="A1133" s="30" t="n">
        <v>0</v>
      </c>
      <c r="B1133" s="31" t="s">
        <v>11</v>
      </c>
      <c r="C1133" s="32"/>
      <c r="D1133" s="32"/>
      <c r="E1133" s="19" t="n">
        <f aca="false">+IF(C1133="EQUIPO",F1133,0)</f>
        <v>0</v>
      </c>
      <c r="F1133" s="33" t="n">
        <v>0</v>
      </c>
      <c r="G1133" s="35" t="n">
        <v>0</v>
      </c>
      <c r="H1133" s="34" t="n">
        <f aca="false">+IF(E1133=0,0,E1133*0.03)</f>
        <v>0</v>
      </c>
    </row>
    <row r="1134" customFormat="false" ht="15.75" hidden="false" customHeight="true" outlineLevel="0" collapsed="false">
      <c r="A1134" s="30" t="n">
        <v>0</v>
      </c>
      <c r="B1134" s="31" t="s">
        <v>11</v>
      </c>
      <c r="C1134" s="32"/>
      <c r="D1134" s="32"/>
      <c r="E1134" s="19" t="n">
        <f aca="false">+IF(C1134="EQUIPO",F1134,0)</f>
        <v>0</v>
      </c>
      <c r="F1134" s="33" t="n">
        <v>0</v>
      </c>
      <c r="G1134" s="35" t="n">
        <v>0</v>
      </c>
      <c r="H1134" s="34" t="n">
        <f aca="false">+IF(E1134=0,0,E1134*0.03)</f>
        <v>0</v>
      </c>
    </row>
    <row r="1135" customFormat="false" ht="15.75" hidden="false" customHeight="true" outlineLevel="0" collapsed="false">
      <c r="A1135" s="30" t="n">
        <v>0</v>
      </c>
      <c r="B1135" s="31" t="s">
        <v>11</v>
      </c>
      <c r="C1135" s="32"/>
      <c r="D1135" s="32"/>
      <c r="E1135" s="19" t="n">
        <f aca="false">+IF(C1135="EQUIPO",F1135,0)</f>
        <v>0</v>
      </c>
      <c r="F1135" s="33" t="n">
        <v>0</v>
      </c>
      <c r="G1135" s="35" t="n">
        <v>0</v>
      </c>
      <c r="H1135" s="34" t="n">
        <f aca="false">+IF(E1135=0,0,E1135*0.03)</f>
        <v>0</v>
      </c>
    </row>
    <row r="1136" customFormat="false" ht="15.75" hidden="false" customHeight="true" outlineLevel="0" collapsed="false">
      <c r="A1136" s="30" t="n">
        <v>0</v>
      </c>
      <c r="B1136" s="31" t="s">
        <v>11</v>
      </c>
      <c r="C1136" s="32"/>
      <c r="D1136" s="32"/>
      <c r="E1136" s="19" t="n">
        <f aca="false">+IF(C1136="EQUIPO",F1136,0)</f>
        <v>0</v>
      </c>
      <c r="F1136" s="33" t="n">
        <v>0</v>
      </c>
      <c r="G1136" s="35" t="n">
        <v>0</v>
      </c>
      <c r="H1136" s="34" t="n">
        <f aca="false">+IF(E1136=0,0,E1136*0.03)</f>
        <v>0</v>
      </c>
    </row>
    <row r="1137" customFormat="false" ht="15.75" hidden="false" customHeight="true" outlineLevel="0" collapsed="false">
      <c r="A1137" s="30" t="n">
        <v>0</v>
      </c>
      <c r="B1137" s="31" t="s">
        <v>11</v>
      </c>
      <c r="C1137" s="32"/>
      <c r="D1137" s="32"/>
      <c r="E1137" s="19" t="n">
        <f aca="false">+IF(C1137="EQUIPO",F1137,0)</f>
        <v>0</v>
      </c>
      <c r="F1137" s="33" t="n">
        <v>0</v>
      </c>
      <c r="G1137" s="35" t="n">
        <v>0</v>
      </c>
      <c r="H1137" s="34" t="n">
        <f aca="false">+IF(E1137=0,0,E1137*0.03)</f>
        <v>0</v>
      </c>
    </row>
    <row r="1138" customFormat="false" ht="15.75" hidden="false" customHeight="true" outlineLevel="0" collapsed="false">
      <c r="A1138" s="30" t="n">
        <v>0</v>
      </c>
      <c r="B1138" s="31" t="s">
        <v>11</v>
      </c>
      <c r="C1138" s="32"/>
      <c r="D1138" s="32"/>
      <c r="E1138" s="19" t="n">
        <f aca="false">+IF(C1138="EQUIPO",F1138,0)</f>
        <v>0</v>
      </c>
      <c r="F1138" s="33" t="n">
        <v>0</v>
      </c>
      <c r="G1138" s="35" t="n">
        <v>0</v>
      </c>
      <c r="H1138" s="34" t="n">
        <f aca="false">+IF(E1138=0,0,E1138*0.03)</f>
        <v>0</v>
      </c>
    </row>
    <row r="1139" customFormat="false" ht="15.75" hidden="false" customHeight="true" outlineLevel="0" collapsed="false">
      <c r="A1139" s="30" t="n">
        <v>0</v>
      </c>
      <c r="B1139" s="31" t="s">
        <v>11</v>
      </c>
      <c r="C1139" s="32"/>
      <c r="D1139" s="32"/>
      <c r="E1139" s="19" t="n">
        <f aca="false">+IF(C1139="EQUIPO",F1139,0)</f>
        <v>0</v>
      </c>
      <c r="F1139" s="33" t="n">
        <v>0</v>
      </c>
      <c r="G1139" s="35" t="n">
        <v>0</v>
      </c>
      <c r="H1139" s="34" t="n">
        <f aca="false">+IF(E1139=0,0,E1139*0.03)</f>
        <v>0</v>
      </c>
    </row>
    <row r="1140" customFormat="false" ht="15.75" hidden="false" customHeight="true" outlineLevel="0" collapsed="false">
      <c r="A1140" s="30" t="n">
        <v>0</v>
      </c>
      <c r="B1140" s="31" t="s">
        <v>11</v>
      </c>
      <c r="C1140" s="32"/>
      <c r="D1140" s="32"/>
      <c r="E1140" s="19" t="n">
        <f aca="false">+IF(C1140="EQUIPO",F1140,0)</f>
        <v>0</v>
      </c>
      <c r="F1140" s="33" t="n">
        <v>0</v>
      </c>
      <c r="G1140" s="35" t="n">
        <v>0</v>
      </c>
      <c r="H1140" s="34" t="n">
        <f aca="false">+IF(E1140=0,0,E1140*0.03)</f>
        <v>0</v>
      </c>
    </row>
    <row r="1141" customFormat="false" ht="15.75" hidden="false" customHeight="true" outlineLevel="0" collapsed="false">
      <c r="A1141" s="30" t="n">
        <v>0</v>
      </c>
      <c r="B1141" s="31" t="s">
        <v>11</v>
      </c>
      <c r="C1141" s="32"/>
      <c r="D1141" s="32"/>
      <c r="E1141" s="19" t="n">
        <f aca="false">+IF(C1141="EQUIPO",F1141,0)</f>
        <v>0</v>
      </c>
      <c r="F1141" s="33" t="n">
        <v>0</v>
      </c>
      <c r="G1141" s="35" t="n">
        <v>0</v>
      </c>
      <c r="H1141" s="34" t="n">
        <f aca="false">+IF(E1141=0,0,E1141*0.03)</f>
        <v>0</v>
      </c>
    </row>
    <row r="1142" customFormat="false" ht="15.75" hidden="false" customHeight="true" outlineLevel="0" collapsed="false">
      <c r="A1142" s="30" t="n">
        <v>0</v>
      </c>
      <c r="B1142" s="31" t="s">
        <v>11</v>
      </c>
      <c r="C1142" s="32"/>
      <c r="D1142" s="32"/>
      <c r="E1142" s="19" t="n">
        <f aca="false">+IF(C1142="EQUIPO",F1142,0)</f>
        <v>0</v>
      </c>
      <c r="F1142" s="33" t="n">
        <v>0</v>
      </c>
      <c r="G1142" s="35" t="n">
        <v>0</v>
      </c>
      <c r="H1142" s="34" t="n">
        <f aca="false">+IF(E1142=0,0,E1142*0.03)</f>
        <v>0</v>
      </c>
    </row>
    <row r="1143" customFormat="false" ht="15.75" hidden="false" customHeight="true" outlineLevel="0" collapsed="false">
      <c r="A1143" s="30" t="n">
        <v>0</v>
      </c>
      <c r="B1143" s="31" t="s">
        <v>11</v>
      </c>
      <c r="C1143" s="32"/>
      <c r="D1143" s="32"/>
      <c r="E1143" s="19" t="n">
        <f aca="false">+IF(C1143="EQUIPO",F1143,0)</f>
        <v>0</v>
      </c>
      <c r="F1143" s="33" t="n">
        <v>0</v>
      </c>
      <c r="G1143" s="35" t="n">
        <v>0</v>
      </c>
      <c r="H1143" s="34" t="n">
        <f aca="false">+IF(E1143=0,0,E1143*0.03)</f>
        <v>0</v>
      </c>
    </row>
    <row r="1144" customFormat="false" ht="15.75" hidden="false" customHeight="true" outlineLevel="0" collapsed="false">
      <c r="A1144" s="30" t="n">
        <v>0</v>
      </c>
      <c r="B1144" s="31" t="s">
        <v>11</v>
      </c>
      <c r="C1144" s="32"/>
      <c r="D1144" s="32"/>
      <c r="E1144" s="19" t="n">
        <f aca="false">+IF(C1144="EQUIPO",F1144,0)</f>
        <v>0</v>
      </c>
      <c r="F1144" s="33" t="n">
        <v>0</v>
      </c>
      <c r="G1144" s="35" t="n">
        <v>0</v>
      </c>
      <c r="H1144" s="34" t="n">
        <f aca="false">+IF(E1144=0,0,E1144*0.03)</f>
        <v>0</v>
      </c>
    </row>
    <row r="1145" customFormat="false" ht="15.75" hidden="false" customHeight="true" outlineLevel="0" collapsed="false">
      <c r="A1145" s="30" t="n">
        <v>0</v>
      </c>
      <c r="B1145" s="31" t="s">
        <v>11</v>
      </c>
      <c r="C1145" s="32"/>
      <c r="D1145" s="32"/>
      <c r="E1145" s="19" t="n">
        <f aca="false">+IF(C1145="EQUIPO",F1145,0)</f>
        <v>0</v>
      </c>
      <c r="F1145" s="33" t="n">
        <v>0</v>
      </c>
      <c r="G1145" s="35" t="n">
        <v>0</v>
      </c>
      <c r="H1145" s="34" t="n">
        <f aca="false">+IF(E1145=0,0,E1145*0.03)</f>
        <v>0</v>
      </c>
    </row>
    <row r="1146" customFormat="false" ht="15.75" hidden="false" customHeight="true" outlineLevel="0" collapsed="false">
      <c r="A1146" s="30" t="n">
        <v>0</v>
      </c>
      <c r="B1146" s="31" t="s">
        <v>11</v>
      </c>
      <c r="C1146" s="32"/>
      <c r="D1146" s="32"/>
      <c r="E1146" s="19" t="n">
        <f aca="false">+IF(C1146="EQUIPO",F1146,0)</f>
        <v>0</v>
      </c>
      <c r="F1146" s="33" t="n">
        <v>0</v>
      </c>
      <c r="G1146" s="35" t="n">
        <v>0</v>
      </c>
      <c r="H1146" s="34" t="n">
        <f aca="false">+IF(E1146=0,0,E1146*0.03)</f>
        <v>0</v>
      </c>
    </row>
    <row r="1147" customFormat="false" ht="15.75" hidden="false" customHeight="true" outlineLevel="0" collapsed="false">
      <c r="A1147" s="30" t="n">
        <v>0</v>
      </c>
      <c r="B1147" s="31" t="s">
        <v>11</v>
      </c>
      <c r="C1147" s="32"/>
      <c r="D1147" s="32"/>
      <c r="E1147" s="19" t="n">
        <f aca="false">+IF(C1147="EQUIPO",F1147,0)</f>
        <v>0</v>
      </c>
      <c r="F1147" s="33" t="n">
        <v>0</v>
      </c>
      <c r="G1147" s="35" t="n">
        <v>0</v>
      </c>
      <c r="H1147" s="34" t="n">
        <f aca="false">+IF(E1147=0,0,E1147*0.03)</f>
        <v>0</v>
      </c>
    </row>
    <row r="1148" customFormat="false" ht="15.75" hidden="false" customHeight="true" outlineLevel="0" collapsed="false">
      <c r="A1148" s="30" t="n">
        <v>0</v>
      </c>
      <c r="B1148" s="31" t="s">
        <v>11</v>
      </c>
      <c r="C1148" s="32"/>
      <c r="D1148" s="32"/>
      <c r="E1148" s="19" t="n">
        <f aca="false">+IF(C1148="EQUIPO",F1148,0)</f>
        <v>0</v>
      </c>
      <c r="F1148" s="33" t="n">
        <v>0</v>
      </c>
      <c r="G1148" s="35" t="n">
        <v>0</v>
      </c>
      <c r="H1148" s="34" t="n">
        <f aca="false">+IF(E1148=0,0,E1148*0.03)</f>
        <v>0</v>
      </c>
    </row>
    <row r="1149" customFormat="false" ht="15.75" hidden="false" customHeight="true" outlineLevel="0" collapsed="false">
      <c r="A1149" s="30" t="n">
        <v>0</v>
      </c>
      <c r="B1149" s="31" t="s">
        <v>11</v>
      </c>
      <c r="C1149" s="32"/>
      <c r="D1149" s="32"/>
      <c r="E1149" s="19" t="n">
        <f aca="false">+IF(C1149="EQUIPO",F1149,0)</f>
        <v>0</v>
      </c>
      <c r="F1149" s="33" t="n">
        <v>0</v>
      </c>
      <c r="G1149" s="35" t="n">
        <v>0</v>
      </c>
      <c r="H1149" s="34" t="n">
        <f aca="false">+IF(E1149=0,0,E1149*0.03)</f>
        <v>0</v>
      </c>
    </row>
    <row r="1150" customFormat="false" ht="15.75" hidden="false" customHeight="true" outlineLevel="0" collapsed="false">
      <c r="A1150" s="30" t="n">
        <v>0</v>
      </c>
      <c r="B1150" s="31" t="s">
        <v>11</v>
      </c>
      <c r="C1150" s="32"/>
      <c r="D1150" s="32"/>
      <c r="E1150" s="19" t="n">
        <f aca="false">+IF(C1150="EQUIPO",F1150,0)</f>
        <v>0</v>
      </c>
      <c r="F1150" s="33" t="n">
        <v>0</v>
      </c>
      <c r="G1150" s="35" t="n">
        <v>0</v>
      </c>
      <c r="H1150" s="34" t="n">
        <f aca="false">+IF(E1150=0,0,E1150*0.03)</f>
        <v>0</v>
      </c>
    </row>
    <row r="1151" customFormat="false" ht="15.75" hidden="false" customHeight="true" outlineLevel="0" collapsed="false">
      <c r="A1151" s="30" t="n">
        <v>0</v>
      </c>
      <c r="B1151" s="31" t="s">
        <v>11</v>
      </c>
      <c r="C1151" s="32"/>
      <c r="D1151" s="32"/>
      <c r="E1151" s="19" t="n">
        <f aca="false">+IF(C1151="EQUIPO",F1151,0)</f>
        <v>0</v>
      </c>
      <c r="F1151" s="33" t="n">
        <v>0</v>
      </c>
      <c r="G1151" s="35" t="n">
        <v>0</v>
      </c>
      <c r="H1151" s="34" t="n">
        <f aca="false">+IF(E1151=0,0,E1151*0.03)</f>
        <v>0</v>
      </c>
    </row>
    <row r="1152" customFormat="false" ht="15.75" hidden="false" customHeight="true" outlineLevel="0" collapsed="false">
      <c r="A1152" s="30" t="n">
        <v>0</v>
      </c>
      <c r="B1152" s="31" t="s">
        <v>11</v>
      </c>
      <c r="C1152" s="32"/>
      <c r="D1152" s="32"/>
      <c r="E1152" s="19" t="n">
        <f aca="false">+IF(C1152="EQUIPO",F1152,0)</f>
        <v>0</v>
      </c>
      <c r="F1152" s="33" t="n">
        <v>0</v>
      </c>
      <c r="G1152" s="35" t="n">
        <v>0</v>
      </c>
      <c r="H1152" s="34" t="n">
        <f aca="false">+IF(E1152=0,0,E1152*0.03)</f>
        <v>0</v>
      </c>
    </row>
    <row r="1153" customFormat="false" ht="15.75" hidden="false" customHeight="true" outlineLevel="0" collapsed="false">
      <c r="A1153" s="30" t="n">
        <v>0</v>
      </c>
      <c r="B1153" s="31" t="s">
        <v>11</v>
      </c>
      <c r="C1153" s="32"/>
      <c r="D1153" s="32"/>
      <c r="E1153" s="19" t="n">
        <f aca="false">+IF(C1153="EQUIPO",F1153,0)</f>
        <v>0</v>
      </c>
      <c r="F1153" s="33" t="n">
        <v>0</v>
      </c>
      <c r="G1153" s="35" t="n">
        <v>0</v>
      </c>
      <c r="H1153" s="34" t="n">
        <f aca="false">+IF(E1153=0,0,E1153*0.03)</f>
        <v>0</v>
      </c>
    </row>
    <row r="1154" customFormat="false" ht="15.75" hidden="false" customHeight="true" outlineLevel="0" collapsed="false">
      <c r="A1154" s="30" t="n">
        <v>0</v>
      </c>
      <c r="B1154" s="31" t="s">
        <v>11</v>
      </c>
      <c r="C1154" s="32"/>
      <c r="D1154" s="32"/>
      <c r="E1154" s="19" t="n">
        <f aca="false">+IF(C1154="EQUIPO",F1154,0)</f>
        <v>0</v>
      </c>
      <c r="F1154" s="33" t="n">
        <v>0</v>
      </c>
      <c r="G1154" s="35" t="n">
        <v>0</v>
      </c>
      <c r="H1154" s="34" t="n">
        <f aca="false">+IF(E1154=0,0,E1154*0.03)</f>
        <v>0</v>
      </c>
    </row>
    <row r="1155" customFormat="false" ht="15.75" hidden="false" customHeight="true" outlineLevel="0" collapsed="false">
      <c r="A1155" s="30" t="n">
        <v>0</v>
      </c>
      <c r="B1155" s="31" t="s">
        <v>11</v>
      </c>
      <c r="C1155" s="32"/>
      <c r="D1155" s="32"/>
      <c r="E1155" s="19" t="n">
        <f aca="false">+IF(C1155="EQUIPO",F1155,0)</f>
        <v>0</v>
      </c>
      <c r="F1155" s="33" t="n">
        <v>0</v>
      </c>
      <c r="G1155" s="35" t="n">
        <v>0</v>
      </c>
      <c r="H1155" s="34" t="n">
        <f aca="false">+IF(E1155=0,0,E1155*0.03)</f>
        <v>0</v>
      </c>
    </row>
    <row r="1156" customFormat="false" ht="15.75" hidden="false" customHeight="true" outlineLevel="0" collapsed="false">
      <c r="A1156" s="30" t="n">
        <v>0</v>
      </c>
      <c r="B1156" s="31" t="s">
        <v>11</v>
      </c>
      <c r="C1156" s="32"/>
      <c r="D1156" s="32"/>
      <c r="E1156" s="19" t="n">
        <f aca="false">+IF(C1156="EQUIPO",F1156,0)</f>
        <v>0</v>
      </c>
      <c r="F1156" s="33" t="n">
        <v>0</v>
      </c>
      <c r="G1156" s="35" t="n">
        <v>0</v>
      </c>
      <c r="H1156" s="34" t="n">
        <f aca="false">+IF(E1156=0,0,E1156*0.03)</f>
        <v>0</v>
      </c>
    </row>
    <row r="1157" customFormat="false" ht="15.75" hidden="false" customHeight="true" outlineLevel="0" collapsed="false">
      <c r="A1157" s="30" t="n">
        <v>0</v>
      </c>
      <c r="B1157" s="31" t="s">
        <v>11</v>
      </c>
      <c r="C1157" s="32"/>
      <c r="D1157" s="32"/>
      <c r="E1157" s="19" t="n">
        <f aca="false">+IF(C1157="EQUIPO",F1157,0)</f>
        <v>0</v>
      </c>
      <c r="F1157" s="33" t="n">
        <v>0</v>
      </c>
      <c r="G1157" s="35" t="n">
        <v>0</v>
      </c>
      <c r="H1157" s="34" t="n">
        <f aca="false">+IF(E1157=0,0,E1157*0.03)</f>
        <v>0</v>
      </c>
    </row>
    <row r="1158" customFormat="false" ht="15.75" hidden="false" customHeight="true" outlineLevel="0" collapsed="false">
      <c r="A1158" s="30" t="n">
        <v>0</v>
      </c>
      <c r="B1158" s="31" t="s">
        <v>11</v>
      </c>
      <c r="C1158" s="32"/>
      <c r="D1158" s="32"/>
      <c r="E1158" s="19" t="n">
        <f aca="false">+IF(C1158="EQUIPO",F1158,0)</f>
        <v>0</v>
      </c>
      <c r="F1158" s="33" t="n">
        <v>0</v>
      </c>
      <c r="G1158" s="35" t="n">
        <v>0</v>
      </c>
      <c r="H1158" s="34" t="n">
        <f aca="false">+IF(E1158=0,0,E1158*0.03)</f>
        <v>0</v>
      </c>
    </row>
    <row r="1159" customFormat="false" ht="15.75" hidden="false" customHeight="true" outlineLevel="0" collapsed="false">
      <c r="A1159" s="30" t="n">
        <v>0</v>
      </c>
      <c r="B1159" s="31" t="s">
        <v>11</v>
      </c>
      <c r="C1159" s="32"/>
      <c r="D1159" s="32"/>
      <c r="E1159" s="19" t="n">
        <f aca="false">+IF(C1159="EQUIPO",F1159,0)</f>
        <v>0</v>
      </c>
      <c r="F1159" s="33" t="n">
        <v>0</v>
      </c>
      <c r="G1159" s="35" t="n">
        <v>0</v>
      </c>
      <c r="H1159" s="34" t="n">
        <f aca="false">+IF(E1159=0,0,E1159*0.03)</f>
        <v>0</v>
      </c>
    </row>
    <row r="1160" customFormat="false" ht="15.75" hidden="false" customHeight="true" outlineLevel="0" collapsed="false">
      <c r="A1160" s="30" t="n">
        <v>0</v>
      </c>
      <c r="B1160" s="31" t="s">
        <v>11</v>
      </c>
      <c r="C1160" s="32"/>
      <c r="D1160" s="32"/>
      <c r="E1160" s="19" t="n">
        <f aca="false">+IF(C1160="EQUIPO",F1160,0)</f>
        <v>0</v>
      </c>
      <c r="F1160" s="33" t="n">
        <v>0</v>
      </c>
      <c r="G1160" s="35" t="n">
        <v>0</v>
      </c>
      <c r="H1160" s="34" t="n">
        <f aca="false">+IF(E1160=0,0,E1160*0.03)</f>
        <v>0</v>
      </c>
    </row>
    <row r="1161" customFormat="false" ht="15.75" hidden="false" customHeight="true" outlineLevel="0" collapsed="false">
      <c r="A1161" s="30" t="n">
        <v>0</v>
      </c>
      <c r="B1161" s="31" t="s">
        <v>11</v>
      </c>
      <c r="C1161" s="32"/>
      <c r="D1161" s="32"/>
      <c r="E1161" s="19" t="n">
        <f aca="false">+IF(C1161="EQUIPO",F1161,0)</f>
        <v>0</v>
      </c>
      <c r="F1161" s="33" t="n">
        <v>0</v>
      </c>
      <c r="G1161" s="35" t="n">
        <v>0</v>
      </c>
      <c r="H1161" s="34" t="n">
        <f aca="false">+IF(E1161=0,0,E1161*0.03)</f>
        <v>0</v>
      </c>
    </row>
    <row r="1162" customFormat="false" ht="15.75" hidden="false" customHeight="true" outlineLevel="0" collapsed="false">
      <c r="A1162" s="30" t="n">
        <v>0</v>
      </c>
      <c r="B1162" s="31" t="s">
        <v>11</v>
      </c>
      <c r="C1162" s="32"/>
      <c r="D1162" s="32"/>
      <c r="E1162" s="19" t="n">
        <f aca="false">+IF(C1162="EQUIPO",F1162,0)</f>
        <v>0</v>
      </c>
      <c r="F1162" s="33" t="n">
        <v>0</v>
      </c>
      <c r="G1162" s="35" t="n">
        <v>0</v>
      </c>
      <c r="H1162" s="34" t="n">
        <f aca="false">+IF(E1162=0,0,E1162*0.03)</f>
        <v>0</v>
      </c>
    </row>
    <row r="1163" customFormat="false" ht="15.75" hidden="false" customHeight="true" outlineLevel="0" collapsed="false">
      <c r="A1163" s="30" t="n">
        <v>0</v>
      </c>
      <c r="B1163" s="31" t="s">
        <v>11</v>
      </c>
      <c r="C1163" s="32"/>
      <c r="D1163" s="32"/>
      <c r="E1163" s="19" t="n">
        <f aca="false">+IF(C1163="EQUIPO",F1163,0)</f>
        <v>0</v>
      </c>
      <c r="F1163" s="33" t="n">
        <v>0</v>
      </c>
      <c r="G1163" s="35" t="n">
        <v>0</v>
      </c>
      <c r="H1163" s="34" t="n">
        <f aca="false">+IF(E1163=0,0,E1163*0.03)</f>
        <v>0</v>
      </c>
    </row>
    <row r="1164" customFormat="false" ht="15.75" hidden="false" customHeight="true" outlineLevel="0" collapsed="false">
      <c r="A1164" s="30" t="n">
        <v>0</v>
      </c>
      <c r="B1164" s="31" t="s">
        <v>11</v>
      </c>
      <c r="C1164" s="32"/>
      <c r="D1164" s="32"/>
      <c r="E1164" s="19" t="n">
        <f aca="false">+IF(C1164="EQUIPO",F1164,0)</f>
        <v>0</v>
      </c>
      <c r="F1164" s="33" t="n">
        <v>0</v>
      </c>
      <c r="G1164" s="35" t="n">
        <v>0</v>
      </c>
      <c r="H1164" s="34" t="n">
        <f aca="false">+IF(E1164=0,0,E1164*0.03)</f>
        <v>0</v>
      </c>
    </row>
    <row r="1165" customFormat="false" ht="15.75" hidden="false" customHeight="true" outlineLevel="0" collapsed="false">
      <c r="A1165" s="30" t="n">
        <v>0</v>
      </c>
      <c r="B1165" s="31" t="s">
        <v>11</v>
      </c>
      <c r="C1165" s="32"/>
      <c r="D1165" s="32"/>
      <c r="E1165" s="19" t="n">
        <f aca="false">+IF(C1165="EQUIPO",F1165,0)</f>
        <v>0</v>
      </c>
      <c r="F1165" s="33" t="n">
        <v>0</v>
      </c>
      <c r="G1165" s="35" t="n">
        <v>0</v>
      </c>
      <c r="H1165" s="34" t="n">
        <f aca="false">+IF(E1165=0,0,E1165*0.03)</f>
        <v>0</v>
      </c>
    </row>
    <row r="1166" customFormat="false" ht="15.75" hidden="false" customHeight="true" outlineLevel="0" collapsed="false">
      <c r="A1166" s="30" t="n">
        <v>0</v>
      </c>
      <c r="B1166" s="31" t="s">
        <v>11</v>
      </c>
      <c r="C1166" s="32"/>
      <c r="D1166" s="32"/>
      <c r="E1166" s="19" t="n">
        <f aca="false">+IF(C1166="EQUIPO",F1166,0)</f>
        <v>0</v>
      </c>
      <c r="F1166" s="33" t="n">
        <v>0</v>
      </c>
      <c r="G1166" s="35" t="n">
        <v>0</v>
      </c>
      <c r="H1166" s="34" t="n">
        <f aca="false">+IF(E1166=0,0,E1166*0.03)</f>
        <v>0</v>
      </c>
    </row>
    <row r="1167" customFormat="false" ht="15.75" hidden="false" customHeight="true" outlineLevel="0" collapsed="false">
      <c r="A1167" s="30" t="n">
        <v>0</v>
      </c>
      <c r="B1167" s="31" t="s">
        <v>11</v>
      </c>
      <c r="C1167" s="32"/>
      <c r="D1167" s="32"/>
      <c r="E1167" s="19" t="n">
        <f aca="false">+IF(C1167="EQUIPO",F1167,0)</f>
        <v>0</v>
      </c>
      <c r="F1167" s="33" t="n">
        <v>0</v>
      </c>
      <c r="G1167" s="35" t="n">
        <v>0</v>
      </c>
      <c r="H1167" s="34" t="n">
        <f aca="false">+IF(E1167=0,0,E1167*0.03)</f>
        <v>0</v>
      </c>
    </row>
    <row r="1168" customFormat="false" ht="15.75" hidden="false" customHeight="true" outlineLevel="0" collapsed="false">
      <c r="A1168" s="30" t="n">
        <v>0</v>
      </c>
      <c r="B1168" s="31" t="s">
        <v>11</v>
      </c>
      <c r="C1168" s="32"/>
      <c r="D1168" s="32"/>
      <c r="E1168" s="19" t="n">
        <f aca="false">+IF(C1168="EQUIPO",F1168,0)</f>
        <v>0</v>
      </c>
      <c r="F1168" s="33" t="n">
        <v>0</v>
      </c>
      <c r="G1168" s="35" t="n">
        <v>0</v>
      </c>
      <c r="H1168" s="34" t="n">
        <f aca="false">+IF(E1168=0,0,E1168*0.03)</f>
        <v>0</v>
      </c>
    </row>
    <row r="1169" customFormat="false" ht="15.75" hidden="false" customHeight="true" outlineLevel="0" collapsed="false">
      <c r="A1169" s="30" t="n">
        <v>0</v>
      </c>
      <c r="B1169" s="31" t="s">
        <v>11</v>
      </c>
      <c r="C1169" s="32"/>
      <c r="D1169" s="32"/>
      <c r="E1169" s="19" t="n">
        <f aca="false">+IF(C1169="EQUIPO",F1169,0)</f>
        <v>0</v>
      </c>
      <c r="F1169" s="33" t="n">
        <v>0</v>
      </c>
      <c r="G1169" s="35" t="n">
        <v>0</v>
      </c>
      <c r="H1169" s="34" t="n">
        <f aca="false">+IF(E1169=0,0,E1169*0.03)</f>
        <v>0</v>
      </c>
    </row>
    <row r="1170" customFormat="false" ht="15.75" hidden="false" customHeight="true" outlineLevel="0" collapsed="false">
      <c r="A1170" s="30" t="n">
        <v>0</v>
      </c>
      <c r="B1170" s="31" t="s">
        <v>11</v>
      </c>
      <c r="C1170" s="32"/>
      <c r="D1170" s="32"/>
      <c r="E1170" s="19" t="n">
        <f aca="false">+IF(C1170="EQUIPO",F1170,0)</f>
        <v>0</v>
      </c>
      <c r="F1170" s="33" t="n">
        <v>0</v>
      </c>
      <c r="G1170" s="35" t="n">
        <v>0</v>
      </c>
      <c r="H1170" s="34" t="n">
        <f aca="false">+IF(E1170=0,0,E1170*0.03)</f>
        <v>0</v>
      </c>
    </row>
    <row r="1171" customFormat="false" ht="15.75" hidden="false" customHeight="true" outlineLevel="0" collapsed="false">
      <c r="A1171" s="30" t="n">
        <v>0</v>
      </c>
      <c r="B1171" s="31" t="s">
        <v>11</v>
      </c>
      <c r="C1171" s="32"/>
      <c r="D1171" s="32"/>
      <c r="E1171" s="19" t="n">
        <f aca="false">+IF(C1171="EQUIPO",F1171,0)</f>
        <v>0</v>
      </c>
      <c r="F1171" s="33" t="n">
        <v>0</v>
      </c>
      <c r="G1171" s="35" t="n">
        <v>0</v>
      </c>
      <c r="H1171" s="34" t="n">
        <f aca="false">+IF(E1171=0,0,E1171*0.03)</f>
        <v>0</v>
      </c>
    </row>
    <row r="1172" customFormat="false" ht="15.75" hidden="false" customHeight="true" outlineLevel="0" collapsed="false">
      <c r="A1172" s="30" t="n">
        <v>0</v>
      </c>
      <c r="B1172" s="31" t="s">
        <v>11</v>
      </c>
      <c r="C1172" s="32"/>
      <c r="D1172" s="32"/>
      <c r="E1172" s="19" t="n">
        <f aca="false">+IF(C1172="EQUIPO",F1172,0)</f>
        <v>0</v>
      </c>
      <c r="F1172" s="33" t="n">
        <v>0</v>
      </c>
      <c r="G1172" s="35" t="n">
        <v>0</v>
      </c>
      <c r="H1172" s="34" t="n">
        <f aca="false">+IF(E1172=0,0,E1172*0.03)</f>
        <v>0</v>
      </c>
    </row>
    <row r="1173" customFormat="false" ht="15.75" hidden="false" customHeight="true" outlineLevel="0" collapsed="false">
      <c r="A1173" s="30" t="n">
        <v>0</v>
      </c>
      <c r="B1173" s="31" t="s">
        <v>11</v>
      </c>
      <c r="C1173" s="32"/>
      <c r="D1173" s="32"/>
      <c r="E1173" s="19" t="n">
        <f aca="false">+IF(C1173="EQUIPO",F1173,0)</f>
        <v>0</v>
      </c>
      <c r="F1173" s="33" t="n">
        <v>0</v>
      </c>
      <c r="G1173" s="35" t="n">
        <v>0</v>
      </c>
      <c r="H1173" s="34" t="n">
        <f aca="false">+IF(E1173=0,0,E1173*0.03)</f>
        <v>0</v>
      </c>
    </row>
    <row r="1174" customFormat="false" ht="15.75" hidden="false" customHeight="true" outlineLevel="0" collapsed="false">
      <c r="A1174" s="30" t="n">
        <v>0</v>
      </c>
      <c r="B1174" s="31" t="s">
        <v>11</v>
      </c>
      <c r="C1174" s="32"/>
      <c r="D1174" s="32"/>
      <c r="E1174" s="19" t="n">
        <f aca="false">+IF(C1174="EQUIPO",F1174,0)</f>
        <v>0</v>
      </c>
      <c r="F1174" s="33" t="n">
        <v>0</v>
      </c>
      <c r="G1174" s="35" t="n">
        <v>0</v>
      </c>
      <c r="H1174" s="34" t="n">
        <f aca="false">+IF(E1174=0,0,E1174*0.03)</f>
        <v>0</v>
      </c>
    </row>
    <row r="1175" customFormat="false" ht="15.75" hidden="false" customHeight="true" outlineLevel="0" collapsed="false">
      <c r="A1175" s="30" t="n">
        <v>0</v>
      </c>
      <c r="B1175" s="31" t="s">
        <v>11</v>
      </c>
      <c r="C1175" s="32"/>
      <c r="D1175" s="32"/>
      <c r="E1175" s="19" t="n">
        <f aca="false">+IF(C1175="EQUIPO",F1175,0)</f>
        <v>0</v>
      </c>
      <c r="F1175" s="33" t="n">
        <v>0</v>
      </c>
      <c r="G1175" s="35" t="n">
        <v>0</v>
      </c>
      <c r="H1175" s="34" t="n">
        <f aca="false">+IF(E1175=0,0,E1175*0.03)</f>
        <v>0</v>
      </c>
    </row>
    <row r="1176" customFormat="false" ht="15.75" hidden="false" customHeight="true" outlineLevel="0" collapsed="false">
      <c r="A1176" s="30" t="n">
        <v>0</v>
      </c>
      <c r="B1176" s="31" t="s">
        <v>11</v>
      </c>
      <c r="C1176" s="32"/>
      <c r="D1176" s="32"/>
      <c r="E1176" s="19" t="n">
        <f aca="false">+IF(C1176="EQUIPO",F1176,0)</f>
        <v>0</v>
      </c>
      <c r="F1176" s="33" t="n">
        <v>0</v>
      </c>
      <c r="G1176" s="35" t="n">
        <v>0</v>
      </c>
      <c r="H1176" s="34" t="n">
        <f aca="false">+IF(E1176=0,0,E1176*0.03)</f>
        <v>0</v>
      </c>
    </row>
    <row r="1177" customFormat="false" ht="15.75" hidden="false" customHeight="true" outlineLevel="0" collapsed="false">
      <c r="A1177" s="30" t="n">
        <v>0</v>
      </c>
      <c r="B1177" s="31" t="s">
        <v>11</v>
      </c>
      <c r="C1177" s="32"/>
      <c r="D1177" s="32"/>
      <c r="E1177" s="19" t="n">
        <f aca="false">+IF(C1177="EQUIPO",F1177,0)</f>
        <v>0</v>
      </c>
      <c r="F1177" s="33" t="n">
        <v>0</v>
      </c>
      <c r="G1177" s="35" t="n">
        <v>0</v>
      </c>
      <c r="H1177" s="34" t="n">
        <f aca="false">+IF(E1177=0,0,E1177*0.03)</f>
        <v>0</v>
      </c>
    </row>
    <row r="1178" customFormat="false" ht="15.75" hidden="false" customHeight="true" outlineLevel="0" collapsed="false">
      <c r="A1178" s="30" t="n">
        <v>0</v>
      </c>
      <c r="B1178" s="31" t="s">
        <v>11</v>
      </c>
      <c r="C1178" s="32"/>
      <c r="D1178" s="32"/>
      <c r="E1178" s="19" t="n">
        <f aca="false">+IF(C1178="EQUIPO",F1178,0)</f>
        <v>0</v>
      </c>
      <c r="F1178" s="33" t="n">
        <v>0</v>
      </c>
      <c r="G1178" s="35" t="n">
        <v>0</v>
      </c>
      <c r="H1178" s="34" t="n">
        <f aca="false">+IF(E1178=0,0,E1178*0.03)</f>
        <v>0</v>
      </c>
    </row>
    <row r="1179" customFormat="false" ht="15.75" hidden="false" customHeight="true" outlineLevel="0" collapsed="false">
      <c r="A1179" s="30" t="n">
        <v>0</v>
      </c>
      <c r="B1179" s="31" t="s">
        <v>11</v>
      </c>
      <c r="C1179" s="32"/>
      <c r="D1179" s="32"/>
      <c r="E1179" s="19" t="n">
        <f aca="false">+IF(C1179="EQUIPO",F1179,0)</f>
        <v>0</v>
      </c>
      <c r="F1179" s="33" t="n">
        <v>0</v>
      </c>
      <c r="G1179" s="35" t="n">
        <v>0</v>
      </c>
      <c r="H1179" s="34" t="n">
        <f aca="false">+IF(E1179=0,0,E1179*0.03)</f>
        <v>0</v>
      </c>
    </row>
    <row r="1180" customFormat="false" ht="15.75" hidden="false" customHeight="true" outlineLevel="0" collapsed="false">
      <c r="A1180" s="30" t="n">
        <v>0</v>
      </c>
      <c r="B1180" s="31" t="s">
        <v>11</v>
      </c>
      <c r="C1180" s="32"/>
      <c r="D1180" s="32"/>
      <c r="E1180" s="19" t="n">
        <f aca="false">+IF(C1180="EQUIPO",F1180,0)</f>
        <v>0</v>
      </c>
      <c r="F1180" s="33" t="n">
        <v>0</v>
      </c>
      <c r="G1180" s="35" t="n">
        <v>0</v>
      </c>
      <c r="H1180" s="34" t="n">
        <f aca="false">+IF(E1180=0,0,E1180*0.03)</f>
        <v>0</v>
      </c>
    </row>
    <row r="1181" customFormat="false" ht="15.75" hidden="false" customHeight="true" outlineLevel="0" collapsed="false">
      <c r="A1181" s="30" t="n">
        <v>0</v>
      </c>
      <c r="B1181" s="31" t="s">
        <v>11</v>
      </c>
      <c r="C1181" s="32"/>
      <c r="D1181" s="32"/>
      <c r="E1181" s="19" t="n">
        <f aca="false">+IF(C1181="EQUIPO",F1181,0)</f>
        <v>0</v>
      </c>
      <c r="F1181" s="33" t="n">
        <v>0</v>
      </c>
      <c r="G1181" s="35" t="n">
        <v>0</v>
      </c>
      <c r="H1181" s="34" t="n">
        <f aca="false">+IF(E1181=0,0,E1181*0.03)</f>
        <v>0</v>
      </c>
    </row>
    <row r="1182" customFormat="false" ht="15.75" hidden="false" customHeight="true" outlineLevel="0" collapsed="false">
      <c r="A1182" s="30" t="n">
        <v>0</v>
      </c>
      <c r="B1182" s="31" t="s">
        <v>11</v>
      </c>
      <c r="C1182" s="32"/>
      <c r="D1182" s="32"/>
      <c r="E1182" s="19" t="n">
        <f aca="false">+IF(C1182="EQUIPO",F1182,0)</f>
        <v>0</v>
      </c>
      <c r="F1182" s="33" t="n">
        <v>0</v>
      </c>
      <c r="G1182" s="35" t="n">
        <v>0</v>
      </c>
      <c r="H1182" s="34" t="n">
        <f aca="false">+IF(E1182=0,0,E1182*0.03)</f>
        <v>0</v>
      </c>
    </row>
    <row r="1183" customFormat="false" ht="15.75" hidden="false" customHeight="true" outlineLevel="0" collapsed="false">
      <c r="A1183" s="30" t="n">
        <v>0</v>
      </c>
      <c r="B1183" s="31" t="s">
        <v>11</v>
      </c>
      <c r="C1183" s="32"/>
      <c r="D1183" s="32"/>
      <c r="E1183" s="19" t="n">
        <f aca="false">+IF(C1183="EQUIPO",F1183,0)</f>
        <v>0</v>
      </c>
      <c r="F1183" s="33" t="n">
        <v>0</v>
      </c>
      <c r="G1183" s="35" t="n">
        <v>0</v>
      </c>
      <c r="H1183" s="34" t="n">
        <f aca="false">+IF(E1183=0,0,E1183*0.03)</f>
        <v>0</v>
      </c>
    </row>
    <row r="1184" customFormat="false" ht="15.75" hidden="false" customHeight="true" outlineLevel="0" collapsed="false">
      <c r="A1184" s="30" t="n">
        <v>0</v>
      </c>
      <c r="B1184" s="31" t="s">
        <v>11</v>
      </c>
      <c r="C1184" s="32"/>
      <c r="D1184" s="32"/>
      <c r="E1184" s="19" t="n">
        <f aca="false">+IF(C1184="EQUIPO",F1184,0)</f>
        <v>0</v>
      </c>
      <c r="F1184" s="33" t="n">
        <v>0</v>
      </c>
      <c r="G1184" s="35" t="n">
        <v>0</v>
      </c>
      <c r="H1184" s="34" t="n">
        <f aca="false">+IF(E1184=0,0,E1184*0.03)</f>
        <v>0</v>
      </c>
    </row>
    <row r="1185" customFormat="false" ht="15.75" hidden="false" customHeight="true" outlineLevel="0" collapsed="false">
      <c r="A1185" s="30" t="n">
        <v>0</v>
      </c>
      <c r="B1185" s="31" t="s">
        <v>11</v>
      </c>
      <c r="C1185" s="32"/>
      <c r="D1185" s="32"/>
      <c r="E1185" s="19" t="n">
        <f aca="false">+IF(C1185="EQUIPO",F1185,0)</f>
        <v>0</v>
      </c>
      <c r="F1185" s="33" t="n">
        <v>0</v>
      </c>
      <c r="G1185" s="35" t="n">
        <v>0</v>
      </c>
      <c r="H1185" s="34" t="n">
        <f aca="false">+IF(E1185=0,0,E1185*0.03)</f>
        <v>0</v>
      </c>
    </row>
    <row r="1186" customFormat="false" ht="15.75" hidden="false" customHeight="true" outlineLevel="0" collapsed="false">
      <c r="A1186" s="30" t="n">
        <v>0</v>
      </c>
      <c r="B1186" s="31" t="s">
        <v>11</v>
      </c>
      <c r="C1186" s="32"/>
      <c r="D1186" s="32"/>
      <c r="E1186" s="19" t="n">
        <f aca="false">+IF(C1186="EQUIPO",F1186,0)</f>
        <v>0</v>
      </c>
      <c r="F1186" s="33" t="n">
        <v>0</v>
      </c>
      <c r="G1186" s="35" t="n">
        <v>0</v>
      </c>
      <c r="H1186" s="34" t="n">
        <f aca="false">+IF(E1186=0,0,E1186*0.03)</f>
        <v>0</v>
      </c>
    </row>
    <row r="1187" customFormat="false" ht="15.75" hidden="false" customHeight="true" outlineLevel="0" collapsed="false">
      <c r="A1187" s="30" t="n">
        <v>0</v>
      </c>
      <c r="B1187" s="31" t="s">
        <v>11</v>
      </c>
      <c r="C1187" s="32"/>
      <c r="D1187" s="32"/>
      <c r="E1187" s="19" t="n">
        <f aca="false">+IF(C1187="EQUIPO",F1187,0)</f>
        <v>0</v>
      </c>
      <c r="F1187" s="33" t="n">
        <v>0</v>
      </c>
      <c r="G1187" s="35" t="n">
        <v>0</v>
      </c>
      <c r="H1187" s="34" t="n">
        <f aca="false">+IF(E1187=0,0,E1187*0.03)</f>
        <v>0</v>
      </c>
    </row>
    <row r="1188" customFormat="false" ht="15.75" hidden="false" customHeight="true" outlineLevel="0" collapsed="false">
      <c r="A1188" s="30" t="n">
        <v>0</v>
      </c>
      <c r="B1188" s="31" t="s">
        <v>11</v>
      </c>
      <c r="C1188" s="32"/>
      <c r="D1188" s="32"/>
      <c r="E1188" s="19" t="n">
        <f aca="false">+IF(C1188="EQUIPO",F1188,0)</f>
        <v>0</v>
      </c>
      <c r="F1188" s="33" t="n">
        <v>0</v>
      </c>
      <c r="G1188" s="35" t="n">
        <v>0</v>
      </c>
      <c r="H1188" s="34" t="n">
        <f aca="false">+IF(E1188=0,0,E1188*0.03)</f>
        <v>0</v>
      </c>
    </row>
    <row r="1189" customFormat="false" ht="15.75" hidden="false" customHeight="true" outlineLevel="0" collapsed="false">
      <c r="A1189" s="30" t="n">
        <v>0</v>
      </c>
      <c r="B1189" s="31" t="s">
        <v>11</v>
      </c>
      <c r="C1189" s="32"/>
      <c r="D1189" s="32"/>
      <c r="E1189" s="19" t="n">
        <f aca="false">+IF(C1189="EQUIPO",F1189,0)</f>
        <v>0</v>
      </c>
      <c r="F1189" s="33" t="n">
        <v>0</v>
      </c>
      <c r="G1189" s="35" t="n">
        <v>0</v>
      </c>
      <c r="H1189" s="34" t="n">
        <f aca="false">+IF(E1189=0,0,E1189*0.03)</f>
        <v>0</v>
      </c>
    </row>
    <row r="1190" customFormat="false" ht="15.75" hidden="false" customHeight="true" outlineLevel="0" collapsed="false">
      <c r="A1190" s="30" t="n">
        <v>0</v>
      </c>
      <c r="B1190" s="31" t="s">
        <v>11</v>
      </c>
      <c r="C1190" s="32"/>
      <c r="D1190" s="32"/>
      <c r="E1190" s="19" t="n">
        <f aca="false">+IF(C1190="EQUIPO",F1190,0)</f>
        <v>0</v>
      </c>
      <c r="F1190" s="33" t="n">
        <v>0</v>
      </c>
      <c r="G1190" s="35" t="n">
        <v>0</v>
      </c>
      <c r="H1190" s="34" t="n">
        <f aca="false">+IF(E1190=0,0,E1190*0.03)</f>
        <v>0</v>
      </c>
    </row>
    <row r="1191" customFormat="false" ht="15.75" hidden="false" customHeight="true" outlineLevel="0" collapsed="false">
      <c r="A1191" s="30" t="n">
        <v>0</v>
      </c>
      <c r="B1191" s="31" t="s">
        <v>11</v>
      </c>
      <c r="C1191" s="32"/>
      <c r="D1191" s="32"/>
      <c r="E1191" s="19" t="n">
        <f aca="false">+IF(C1191="EQUIPO",F1191,0)</f>
        <v>0</v>
      </c>
      <c r="F1191" s="33" t="n">
        <v>0</v>
      </c>
      <c r="G1191" s="35" t="n">
        <v>0</v>
      </c>
      <c r="H1191" s="34" t="n">
        <f aca="false">+IF(E1191=0,0,E1191*0.03)</f>
        <v>0</v>
      </c>
    </row>
    <row r="1192" customFormat="false" ht="15.75" hidden="false" customHeight="true" outlineLevel="0" collapsed="false">
      <c r="A1192" s="30" t="n">
        <v>0</v>
      </c>
      <c r="B1192" s="31" t="s">
        <v>11</v>
      </c>
      <c r="C1192" s="32"/>
      <c r="D1192" s="32"/>
      <c r="E1192" s="19" t="n">
        <f aca="false">+IF(C1192="EQUIPO",F1192,0)</f>
        <v>0</v>
      </c>
      <c r="F1192" s="33" t="n">
        <v>0</v>
      </c>
      <c r="G1192" s="35" t="n">
        <v>0</v>
      </c>
      <c r="H1192" s="34" t="n">
        <f aca="false">+IF(E1192=0,0,E1192*0.03)</f>
        <v>0</v>
      </c>
    </row>
    <row r="1193" customFormat="false" ht="15.75" hidden="false" customHeight="true" outlineLevel="0" collapsed="false">
      <c r="A1193" s="30" t="n">
        <v>0</v>
      </c>
      <c r="B1193" s="31" t="s">
        <v>11</v>
      </c>
      <c r="C1193" s="32"/>
      <c r="D1193" s="32"/>
      <c r="E1193" s="19" t="n">
        <f aca="false">+IF(C1193="EQUIPO",F1193,0)</f>
        <v>0</v>
      </c>
      <c r="F1193" s="33" t="n">
        <v>0</v>
      </c>
      <c r="G1193" s="35" t="n">
        <v>0</v>
      </c>
      <c r="H1193" s="34" t="n">
        <f aca="false">+IF(E1193=0,0,E1193*0.03)</f>
        <v>0</v>
      </c>
    </row>
    <row r="1194" customFormat="false" ht="15.75" hidden="false" customHeight="true" outlineLevel="0" collapsed="false">
      <c r="A1194" s="30" t="n">
        <v>0</v>
      </c>
      <c r="B1194" s="31" t="s">
        <v>11</v>
      </c>
      <c r="C1194" s="32"/>
      <c r="D1194" s="32"/>
      <c r="E1194" s="19" t="n">
        <f aca="false">+IF(C1194="EQUIPO",F1194,0)</f>
        <v>0</v>
      </c>
      <c r="F1194" s="33" t="n">
        <v>0</v>
      </c>
      <c r="G1194" s="35" t="n">
        <v>0</v>
      </c>
      <c r="H1194" s="34" t="n">
        <f aca="false">+IF(E1194=0,0,E1194*0.03)</f>
        <v>0</v>
      </c>
    </row>
    <row r="1195" customFormat="false" ht="15.75" hidden="false" customHeight="true" outlineLevel="0" collapsed="false">
      <c r="A1195" s="30" t="n">
        <v>0</v>
      </c>
      <c r="B1195" s="31" t="s">
        <v>11</v>
      </c>
      <c r="C1195" s="32"/>
      <c r="D1195" s="32"/>
      <c r="E1195" s="19" t="n">
        <f aca="false">+IF(C1195="EQUIPO",F1195,0)</f>
        <v>0</v>
      </c>
      <c r="F1195" s="33" t="n">
        <v>0</v>
      </c>
      <c r="G1195" s="35" t="n">
        <v>0</v>
      </c>
      <c r="H1195" s="34" t="n">
        <f aca="false">+IF(E1195=0,0,E1195*0.03)</f>
        <v>0</v>
      </c>
    </row>
    <row r="1196" customFormat="false" ht="15.75" hidden="false" customHeight="true" outlineLevel="0" collapsed="false">
      <c r="A1196" s="30" t="n">
        <v>0</v>
      </c>
      <c r="B1196" s="31" t="s">
        <v>11</v>
      </c>
      <c r="C1196" s="32"/>
      <c r="D1196" s="32"/>
      <c r="E1196" s="19" t="n">
        <f aca="false">+IF(C1196="EQUIPO",F1196,0)</f>
        <v>0</v>
      </c>
      <c r="F1196" s="33" t="n">
        <v>0</v>
      </c>
      <c r="G1196" s="35" t="n">
        <v>0</v>
      </c>
      <c r="H1196" s="34" t="n">
        <f aca="false">+IF(E1196=0,0,E1196*0.03)</f>
        <v>0</v>
      </c>
    </row>
    <row r="1197" customFormat="false" ht="15.75" hidden="false" customHeight="true" outlineLevel="0" collapsed="false">
      <c r="A1197" s="30" t="n">
        <v>0</v>
      </c>
      <c r="B1197" s="31" t="s">
        <v>11</v>
      </c>
      <c r="C1197" s="32"/>
      <c r="D1197" s="32"/>
      <c r="E1197" s="19" t="n">
        <f aca="false">+IF(C1197="EQUIPO",F1197,0)</f>
        <v>0</v>
      </c>
      <c r="F1197" s="33" t="n">
        <v>0</v>
      </c>
      <c r="G1197" s="35" t="n">
        <v>0</v>
      </c>
      <c r="H1197" s="34" t="n">
        <f aca="false">+IF(E1197=0,0,E1197*0.03)</f>
        <v>0</v>
      </c>
    </row>
    <row r="1198" customFormat="false" ht="15.75" hidden="false" customHeight="true" outlineLevel="0" collapsed="false">
      <c r="A1198" s="30" t="n">
        <v>0</v>
      </c>
      <c r="B1198" s="31" t="s">
        <v>11</v>
      </c>
      <c r="C1198" s="32"/>
      <c r="D1198" s="32"/>
      <c r="E1198" s="19" t="n">
        <f aca="false">+IF(C1198="EQUIPO",F1198,0)</f>
        <v>0</v>
      </c>
      <c r="F1198" s="33" t="n">
        <v>0</v>
      </c>
      <c r="G1198" s="35" t="n">
        <v>0</v>
      </c>
      <c r="H1198" s="34" t="n">
        <f aca="false">+IF(E1198=0,0,E1198*0.03)</f>
        <v>0</v>
      </c>
    </row>
    <row r="1199" customFormat="false" ht="15.75" hidden="false" customHeight="true" outlineLevel="0" collapsed="false">
      <c r="A1199" s="30" t="n">
        <v>0</v>
      </c>
      <c r="B1199" s="31" t="s">
        <v>11</v>
      </c>
      <c r="C1199" s="32"/>
      <c r="D1199" s="32"/>
      <c r="E1199" s="19" t="n">
        <f aca="false">+IF(C1199="EQUIPO",F1199,0)</f>
        <v>0</v>
      </c>
      <c r="F1199" s="33" t="n">
        <v>0</v>
      </c>
      <c r="G1199" s="35" t="n">
        <v>0</v>
      </c>
      <c r="H1199" s="34" t="n">
        <f aca="false">+IF(E1199=0,0,E1199*0.03)</f>
        <v>0</v>
      </c>
    </row>
    <row r="1200" customFormat="false" ht="15.75" hidden="false" customHeight="true" outlineLevel="0" collapsed="false">
      <c r="A1200" s="30" t="n">
        <v>0</v>
      </c>
      <c r="B1200" s="31" t="s">
        <v>11</v>
      </c>
      <c r="C1200" s="32"/>
      <c r="D1200" s="32"/>
      <c r="E1200" s="19" t="n">
        <f aca="false">+IF(C1200="EQUIPO",F1200,0)</f>
        <v>0</v>
      </c>
      <c r="F1200" s="33" t="n">
        <v>0</v>
      </c>
      <c r="G1200" s="35" t="n">
        <v>0</v>
      </c>
      <c r="H1200" s="34" t="n">
        <f aca="false">+IF(E1200=0,0,E1200*0.03)</f>
        <v>0</v>
      </c>
    </row>
    <row r="1201" customFormat="false" ht="15.75" hidden="false" customHeight="true" outlineLevel="0" collapsed="false">
      <c r="A1201" s="30" t="n">
        <v>0</v>
      </c>
      <c r="B1201" s="31" t="s">
        <v>11</v>
      </c>
      <c r="C1201" s="32"/>
      <c r="D1201" s="32"/>
      <c r="E1201" s="19" t="n">
        <f aca="false">+IF(C1201="EQUIPO",F1201,0)</f>
        <v>0</v>
      </c>
      <c r="F1201" s="33" t="n">
        <v>0</v>
      </c>
      <c r="G1201" s="35" t="n">
        <v>0</v>
      </c>
      <c r="H1201" s="34" t="n">
        <f aca="false">+IF(E1201=0,0,E1201*0.03)</f>
        <v>0</v>
      </c>
    </row>
    <row r="1202" customFormat="false" ht="15.75" hidden="false" customHeight="true" outlineLevel="0" collapsed="false">
      <c r="A1202" s="30" t="n">
        <v>0</v>
      </c>
      <c r="B1202" s="31" t="s">
        <v>11</v>
      </c>
      <c r="C1202" s="32"/>
      <c r="D1202" s="32"/>
      <c r="E1202" s="19" t="n">
        <f aca="false">+IF(C1202="EQUIPO",F1202,0)</f>
        <v>0</v>
      </c>
      <c r="F1202" s="33" t="n">
        <v>0</v>
      </c>
      <c r="G1202" s="35" t="n">
        <v>0</v>
      </c>
      <c r="H1202" s="34" t="n">
        <f aca="false">+IF(E1202=0,0,E1202*0.03)</f>
        <v>0</v>
      </c>
    </row>
    <row r="1203" customFormat="false" ht="15.75" hidden="false" customHeight="true" outlineLevel="0" collapsed="false">
      <c r="A1203" s="30" t="n">
        <v>0</v>
      </c>
      <c r="B1203" s="31" t="s">
        <v>11</v>
      </c>
      <c r="C1203" s="32"/>
      <c r="D1203" s="32"/>
      <c r="E1203" s="19" t="n">
        <f aca="false">+IF(C1203="EQUIPO",F1203,0)</f>
        <v>0</v>
      </c>
      <c r="F1203" s="33" t="n">
        <v>0</v>
      </c>
      <c r="G1203" s="35" t="n">
        <v>0</v>
      </c>
      <c r="H1203" s="34" t="n">
        <f aca="false">+IF(E1203=0,0,E1203*0.03)</f>
        <v>0</v>
      </c>
    </row>
    <row r="1204" customFormat="false" ht="15.75" hidden="false" customHeight="true" outlineLevel="0" collapsed="false">
      <c r="A1204" s="30" t="n">
        <v>0</v>
      </c>
      <c r="B1204" s="31" t="s">
        <v>11</v>
      </c>
      <c r="C1204" s="32"/>
      <c r="D1204" s="32"/>
      <c r="E1204" s="19" t="n">
        <f aca="false">+IF(C1204="EQUIPO",F1204,0)</f>
        <v>0</v>
      </c>
      <c r="F1204" s="33" t="n">
        <v>0</v>
      </c>
      <c r="G1204" s="35" t="n">
        <v>0</v>
      </c>
      <c r="H1204" s="34" t="n">
        <f aca="false">+IF(E1204=0,0,E1204*0.03)</f>
        <v>0</v>
      </c>
    </row>
    <row r="1205" customFormat="false" ht="15.75" hidden="false" customHeight="true" outlineLevel="0" collapsed="false">
      <c r="A1205" s="30" t="n">
        <v>0</v>
      </c>
      <c r="B1205" s="31" t="s">
        <v>11</v>
      </c>
      <c r="C1205" s="32"/>
      <c r="D1205" s="32"/>
      <c r="E1205" s="19" t="n">
        <f aca="false">+IF(C1205="EQUIPO",F1205,0)</f>
        <v>0</v>
      </c>
      <c r="F1205" s="33" t="n">
        <v>0</v>
      </c>
      <c r="G1205" s="35" t="n">
        <v>0</v>
      </c>
      <c r="H1205" s="34" t="n">
        <f aca="false">+IF(E1205=0,0,E1205*0.03)</f>
        <v>0</v>
      </c>
    </row>
    <row r="1206" customFormat="false" ht="15.75" hidden="false" customHeight="true" outlineLevel="0" collapsed="false">
      <c r="A1206" s="30" t="n">
        <v>0</v>
      </c>
      <c r="B1206" s="31" t="s">
        <v>11</v>
      </c>
      <c r="C1206" s="32"/>
      <c r="D1206" s="32"/>
      <c r="E1206" s="19" t="n">
        <f aca="false">+IF(C1206="EQUIPO",F1206,0)</f>
        <v>0</v>
      </c>
      <c r="F1206" s="33" t="n">
        <v>0</v>
      </c>
      <c r="G1206" s="35" t="n">
        <v>0</v>
      </c>
      <c r="H1206" s="34" t="n">
        <f aca="false">+IF(E1206=0,0,E1206*0.03)</f>
        <v>0</v>
      </c>
    </row>
    <row r="1207" customFormat="false" ht="15.75" hidden="false" customHeight="true" outlineLevel="0" collapsed="false">
      <c r="A1207" s="30" t="n">
        <v>0</v>
      </c>
      <c r="B1207" s="31" t="s">
        <v>11</v>
      </c>
      <c r="C1207" s="32"/>
      <c r="D1207" s="32"/>
      <c r="E1207" s="19" t="n">
        <f aca="false">+IF(C1207="EQUIPO",F1207,0)</f>
        <v>0</v>
      </c>
      <c r="F1207" s="33" t="n">
        <v>0</v>
      </c>
      <c r="G1207" s="35" t="n">
        <v>0</v>
      </c>
      <c r="H1207" s="34" t="n">
        <f aca="false">+IF(E1207=0,0,E1207*0.03)</f>
        <v>0</v>
      </c>
    </row>
    <row r="1208" customFormat="false" ht="15.75" hidden="false" customHeight="true" outlineLevel="0" collapsed="false">
      <c r="A1208" s="30" t="n">
        <v>0</v>
      </c>
      <c r="B1208" s="31" t="s">
        <v>11</v>
      </c>
      <c r="C1208" s="32"/>
      <c r="D1208" s="32"/>
      <c r="E1208" s="19" t="n">
        <f aca="false">+IF(C1208="EQUIPO",F1208,0)</f>
        <v>0</v>
      </c>
      <c r="F1208" s="33" t="n">
        <v>0</v>
      </c>
      <c r="G1208" s="35" t="n">
        <v>0</v>
      </c>
      <c r="H1208" s="34" t="n">
        <f aca="false">+IF(E1208=0,0,E1208*0.03)</f>
        <v>0</v>
      </c>
    </row>
    <row r="1209" customFormat="false" ht="15.75" hidden="false" customHeight="true" outlineLevel="0" collapsed="false">
      <c r="A1209" s="30" t="n">
        <v>0</v>
      </c>
      <c r="B1209" s="31" t="s">
        <v>11</v>
      </c>
      <c r="C1209" s="32"/>
      <c r="D1209" s="32"/>
      <c r="E1209" s="19" t="n">
        <f aca="false">+IF(C1209="EQUIPO",F1209,0)</f>
        <v>0</v>
      </c>
      <c r="F1209" s="33" t="n">
        <v>0</v>
      </c>
      <c r="G1209" s="35" t="n">
        <v>0</v>
      </c>
      <c r="H1209" s="34" t="n">
        <f aca="false">+IF(E1209=0,0,E1209*0.03)</f>
        <v>0</v>
      </c>
    </row>
    <row r="1210" customFormat="false" ht="15.75" hidden="false" customHeight="true" outlineLevel="0" collapsed="false">
      <c r="A1210" s="30" t="n">
        <v>0</v>
      </c>
      <c r="B1210" s="31" t="s">
        <v>11</v>
      </c>
      <c r="C1210" s="32"/>
      <c r="D1210" s="32"/>
      <c r="E1210" s="19" t="n">
        <f aca="false">+IF(C1210="EQUIPO",F1210,0)</f>
        <v>0</v>
      </c>
      <c r="F1210" s="33" t="n">
        <v>0</v>
      </c>
      <c r="G1210" s="35" t="n">
        <v>0</v>
      </c>
      <c r="H1210" s="34" t="n">
        <f aca="false">+IF(E1210=0,0,E1210*0.03)</f>
        <v>0</v>
      </c>
    </row>
    <row r="1211" customFormat="false" ht="15.75" hidden="false" customHeight="true" outlineLevel="0" collapsed="false">
      <c r="A1211" s="30" t="n">
        <v>0</v>
      </c>
      <c r="B1211" s="31" t="s">
        <v>11</v>
      </c>
      <c r="C1211" s="32"/>
      <c r="D1211" s="32"/>
      <c r="E1211" s="19" t="n">
        <f aca="false">+IF(C1211="EQUIPO",F1211,0)</f>
        <v>0</v>
      </c>
      <c r="F1211" s="33" t="n">
        <v>0</v>
      </c>
      <c r="G1211" s="35" t="n">
        <v>0</v>
      </c>
      <c r="H1211" s="34" t="n">
        <f aca="false">+IF(E1211=0,0,E1211*0.03)</f>
        <v>0</v>
      </c>
    </row>
    <row r="1212" customFormat="false" ht="15.75" hidden="false" customHeight="true" outlineLevel="0" collapsed="false">
      <c r="A1212" s="30" t="n">
        <v>0</v>
      </c>
      <c r="B1212" s="31" t="s">
        <v>11</v>
      </c>
      <c r="C1212" s="32"/>
      <c r="D1212" s="32"/>
      <c r="E1212" s="19" t="n">
        <f aca="false">+IF(C1212="EQUIPO",F1212,0)</f>
        <v>0</v>
      </c>
      <c r="F1212" s="33" t="n">
        <v>0</v>
      </c>
      <c r="G1212" s="35" t="n">
        <v>0</v>
      </c>
      <c r="H1212" s="34" t="n">
        <f aca="false">+IF(E1212=0,0,E1212*0.03)</f>
        <v>0</v>
      </c>
    </row>
    <row r="1213" customFormat="false" ht="15.75" hidden="false" customHeight="true" outlineLevel="0" collapsed="false">
      <c r="A1213" s="30" t="n">
        <v>0</v>
      </c>
      <c r="B1213" s="31" t="s">
        <v>11</v>
      </c>
      <c r="C1213" s="32"/>
      <c r="D1213" s="32"/>
      <c r="E1213" s="19" t="n">
        <f aca="false">+IF(C1213="EQUIPO",F1213,0)</f>
        <v>0</v>
      </c>
      <c r="F1213" s="33" t="n">
        <v>0</v>
      </c>
      <c r="G1213" s="35" t="n">
        <v>0</v>
      </c>
      <c r="H1213" s="34" t="n">
        <f aca="false">+IF(E1213=0,0,E1213*0.03)</f>
        <v>0</v>
      </c>
    </row>
    <row r="1214" customFormat="false" ht="15.75" hidden="false" customHeight="true" outlineLevel="0" collapsed="false">
      <c r="A1214" s="30" t="n">
        <v>0</v>
      </c>
      <c r="B1214" s="31" t="s">
        <v>11</v>
      </c>
      <c r="C1214" s="32"/>
      <c r="D1214" s="32"/>
      <c r="E1214" s="19" t="n">
        <f aca="false">+IF(C1214="EQUIPO",F1214,0)</f>
        <v>0</v>
      </c>
      <c r="F1214" s="33" t="n">
        <v>0</v>
      </c>
      <c r="G1214" s="35" t="n">
        <v>0</v>
      </c>
      <c r="H1214" s="34" t="n">
        <f aca="false">+IF(E1214=0,0,E1214*0.03)</f>
        <v>0</v>
      </c>
    </row>
    <row r="1215" customFormat="false" ht="15.75" hidden="false" customHeight="true" outlineLevel="0" collapsed="false">
      <c r="A1215" s="30" t="n">
        <v>0</v>
      </c>
      <c r="B1215" s="31" t="s">
        <v>11</v>
      </c>
      <c r="C1215" s="32"/>
      <c r="D1215" s="32"/>
      <c r="E1215" s="19" t="n">
        <f aca="false">+IF(C1215="EQUIPO",F1215,0)</f>
        <v>0</v>
      </c>
      <c r="F1215" s="33" t="n">
        <v>0</v>
      </c>
      <c r="G1215" s="35" t="n">
        <v>0</v>
      </c>
      <c r="H1215" s="34" t="n">
        <f aca="false">+IF(E1215=0,0,E1215*0.03)</f>
        <v>0</v>
      </c>
    </row>
    <row r="1216" customFormat="false" ht="15.75" hidden="false" customHeight="true" outlineLevel="0" collapsed="false">
      <c r="A1216" s="30" t="n">
        <v>0</v>
      </c>
      <c r="B1216" s="31" t="s">
        <v>11</v>
      </c>
      <c r="C1216" s="32"/>
      <c r="D1216" s="32"/>
      <c r="E1216" s="19" t="n">
        <f aca="false">+IF(C1216="EQUIPO",F1216,0)</f>
        <v>0</v>
      </c>
      <c r="F1216" s="33" t="n">
        <v>0</v>
      </c>
      <c r="G1216" s="35" t="n">
        <v>0</v>
      </c>
      <c r="H1216" s="34" t="n">
        <f aca="false">+IF(E1216=0,0,E1216*0.03)</f>
        <v>0</v>
      </c>
    </row>
    <row r="1217" customFormat="false" ht="15.75" hidden="false" customHeight="true" outlineLevel="0" collapsed="false">
      <c r="A1217" s="30" t="n">
        <v>0</v>
      </c>
      <c r="B1217" s="31" t="s">
        <v>11</v>
      </c>
      <c r="C1217" s="32"/>
      <c r="D1217" s="32"/>
      <c r="E1217" s="19" t="n">
        <f aca="false">+IF(C1217="EQUIPO",F1217,0)</f>
        <v>0</v>
      </c>
      <c r="F1217" s="33" t="n">
        <v>0</v>
      </c>
      <c r="G1217" s="35" t="n">
        <v>0</v>
      </c>
      <c r="H1217" s="34" t="n">
        <f aca="false">+IF(E1217=0,0,E1217*0.03)</f>
        <v>0</v>
      </c>
    </row>
    <row r="1218" customFormat="false" ht="15.75" hidden="false" customHeight="true" outlineLevel="0" collapsed="false">
      <c r="A1218" s="30" t="n">
        <v>0</v>
      </c>
      <c r="B1218" s="31" t="s">
        <v>11</v>
      </c>
      <c r="C1218" s="32"/>
      <c r="D1218" s="32"/>
      <c r="E1218" s="19" t="n">
        <f aca="false">+IF(C1218="EQUIPO",F1218,0)</f>
        <v>0</v>
      </c>
      <c r="F1218" s="33" t="n">
        <v>0</v>
      </c>
      <c r="G1218" s="35" t="n">
        <v>0</v>
      </c>
      <c r="H1218" s="34" t="n">
        <f aca="false">+IF(E1218=0,0,E1218*0.03)</f>
        <v>0</v>
      </c>
    </row>
    <row r="1219" customFormat="false" ht="15.75" hidden="false" customHeight="true" outlineLevel="0" collapsed="false">
      <c r="A1219" s="30" t="n">
        <v>0</v>
      </c>
      <c r="B1219" s="31" t="s">
        <v>11</v>
      </c>
      <c r="C1219" s="32"/>
      <c r="D1219" s="32"/>
      <c r="E1219" s="19" t="n">
        <f aca="false">+IF(C1219="EQUIPO",F1219,0)</f>
        <v>0</v>
      </c>
      <c r="F1219" s="33" t="n">
        <v>0</v>
      </c>
      <c r="G1219" s="35" t="n">
        <v>0</v>
      </c>
      <c r="H1219" s="34" t="n">
        <f aca="false">+IF(E1219=0,0,E1219*0.03)</f>
        <v>0</v>
      </c>
    </row>
    <row r="1220" customFormat="false" ht="15.75" hidden="false" customHeight="true" outlineLevel="0" collapsed="false">
      <c r="A1220" s="30" t="n">
        <v>0</v>
      </c>
      <c r="B1220" s="31" t="s">
        <v>11</v>
      </c>
      <c r="C1220" s="32"/>
      <c r="D1220" s="32"/>
      <c r="E1220" s="19" t="n">
        <f aca="false">+IF(C1220="EQUIPO",F1220,0)</f>
        <v>0</v>
      </c>
      <c r="F1220" s="33" t="n">
        <v>0</v>
      </c>
      <c r="G1220" s="35" t="n">
        <v>0</v>
      </c>
      <c r="H1220" s="34" t="n">
        <f aca="false">+IF(E1220=0,0,E1220*0.03)</f>
        <v>0</v>
      </c>
    </row>
    <row r="1221" customFormat="false" ht="15.75" hidden="false" customHeight="true" outlineLevel="0" collapsed="false">
      <c r="A1221" s="30" t="n">
        <v>0</v>
      </c>
      <c r="B1221" s="31" t="s">
        <v>11</v>
      </c>
      <c r="C1221" s="32"/>
      <c r="D1221" s="32"/>
      <c r="E1221" s="19" t="n">
        <f aca="false">+IF(C1221="EQUIPO",F1221,0)</f>
        <v>0</v>
      </c>
      <c r="F1221" s="33" t="n">
        <v>0</v>
      </c>
      <c r="G1221" s="35" t="n">
        <v>0</v>
      </c>
      <c r="H1221" s="34" t="n">
        <f aca="false">+IF(E1221=0,0,E1221*0.03)</f>
        <v>0</v>
      </c>
    </row>
    <row r="1222" customFormat="false" ht="15.75" hidden="false" customHeight="true" outlineLevel="0" collapsed="false">
      <c r="A1222" s="30" t="n">
        <v>0</v>
      </c>
      <c r="B1222" s="31" t="s">
        <v>11</v>
      </c>
      <c r="C1222" s="32"/>
      <c r="D1222" s="32"/>
      <c r="E1222" s="19" t="n">
        <f aca="false">+IF(C1222="EQUIPO",F1222,0)</f>
        <v>0</v>
      </c>
      <c r="F1222" s="33" t="n">
        <v>0</v>
      </c>
      <c r="G1222" s="35" t="n">
        <v>0</v>
      </c>
      <c r="H1222" s="34" t="n">
        <f aca="false">+IF(E1222=0,0,E1222*0.03)</f>
        <v>0</v>
      </c>
    </row>
    <row r="1223" customFormat="false" ht="15.75" hidden="false" customHeight="true" outlineLevel="0" collapsed="false">
      <c r="A1223" s="30" t="n">
        <v>0</v>
      </c>
      <c r="B1223" s="31" t="s">
        <v>11</v>
      </c>
      <c r="C1223" s="32"/>
      <c r="D1223" s="32"/>
      <c r="E1223" s="19" t="n">
        <f aca="false">+IF(C1223="EQUIPO",F1223,0)</f>
        <v>0</v>
      </c>
      <c r="F1223" s="33" t="n">
        <v>0</v>
      </c>
      <c r="G1223" s="35" t="n">
        <v>0</v>
      </c>
      <c r="H1223" s="34" t="n">
        <f aca="false">+IF(E1223=0,0,E1223*0.03)</f>
        <v>0</v>
      </c>
    </row>
    <row r="1224" customFormat="false" ht="15.75" hidden="false" customHeight="true" outlineLevel="0" collapsed="false">
      <c r="A1224" s="30" t="n">
        <v>0</v>
      </c>
      <c r="B1224" s="31" t="s">
        <v>11</v>
      </c>
      <c r="C1224" s="32"/>
      <c r="D1224" s="32"/>
      <c r="E1224" s="19" t="n">
        <f aca="false">+IF(C1224="EQUIPO",F1224,0)</f>
        <v>0</v>
      </c>
      <c r="F1224" s="33" t="n">
        <v>0</v>
      </c>
      <c r="G1224" s="35" t="n">
        <v>0</v>
      </c>
      <c r="H1224" s="34" t="n">
        <f aca="false">+IF(E1224=0,0,E1224*0.03)</f>
        <v>0</v>
      </c>
    </row>
    <row r="1225" customFormat="false" ht="15.75" hidden="false" customHeight="true" outlineLevel="0" collapsed="false">
      <c r="A1225" s="30" t="n">
        <v>0</v>
      </c>
      <c r="B1225" s="31" t="s">
        <v>11</v>
      </c>
      <c r="C1225" s="32"/>
      <c r="D1225" s="32"/>
      <c r="E1225" s="19" t="n">
        <f aca="false">+IF(C1225="EQUIPO",F1225,0)</f>
        <v>0</v>
      </c>
      <c r="F1225" s="33" t="n">
        <v>0</v>
      </c>
      <c r="G1225" s="35" t="n">
        <v>0</v>
      </c>
      <c r="H1225" s="34" t="n">
        <f aca="false">+IF(E1225=0,0,E1225*0.03)</f>
        <v>0</v>
      </c>
    </row>
    <row r="1226" customFormat="false" ht="15.75" hidden="false" customHeight="true" outlineLevel="0" collapsed="false">
      <c r="A1226" s="30" t="n">
        <v>0</v>
      </c>
      <c r="B1226" s="31" t="s">
        <v>11</v>
      </c>
      <c r="C1226" s="32"/>
      <c r="D1226" s="32"/>
      <c r="E1226" s="19" t="n">
        <f aca="false">+IF(C1226="EQUIPO",F1226,0)</f>
        <v>0</v>
      </c>
      <c r="F1226" s="33" t="n">
        <v>0</v>
      </c>
      <c r="G1226" s="35" t="n">
        <v>0</v>
      </c>
      <c r="H1226" s="34" t="n">
        <f aca="false">+IF(E1226=0,0,E1226*0.03)</f>
        <v>0</v>
      </c>
    </row>
    <row r="1227" customFormat="false" ht="15.75" hidden="false" customHeight="true" outlineLevel="0" collapsed="false">
      <c r="A1227" s="30" t="n">
        <v>0</v>
      </c>
      <c r="B1227" s="31" t="s">
        <v>11</v>
      </c>
      <c r="C1227" s="32"/>
      <c r="D1227" s="32"/>
      <c r="E1227" s="19" t="n">
        <f aca="false">+IF(C1227="EQUIPO",F1227,0)</f>
        <v>0</v>
      </c>
      <c r="F1227" s="33" t="n">
        <v>0</v>
      </c>
      <c r="G1227" s="35" t="n">
        <v>0</v>
      </c>
      <c r="H1227" s="34" t="n">
        <f aca="false">+IF(E1227=0,0,E1227*0.03)</f>
        <v>0</v>
      </c>
    </row>
    <row r="1228" customFormat="false" ht="15.75" hidden="false" customHeight="true" outlineLevel="0" collapsed="false">
      <c r="A1228" s="30" t="n">
        <v>0</v>
      </c>
      <c r="B1228" s="31" t="s">
        <v>11</v>
      </c>
      <c r="C1228" s="32"/>
      <c r="D1228" s="32"/>
      <c r="E1228" s="19" t="n">
        <f aca="false">+IF(C1228="EQUIPO",F1228,0)</f>
        <v>0</v>
      </c>
      <c r="F1228" s="33" t="n">
        <v>0</v>
      </c>
      <c r="G1228" s="35" t="n">
        <v>0</v>
      </c>
      <c r="H1228" s="34" t="n">
        <f aca="false">+IF(E1228=0,0,E1228*0.03)</f>
        <v>0</v>
      </c>
    </row>
    <row r="1229" customFormat="false" ht="15.75" hidden="false" customHeight="true" outlineLevel="0" collapsed="false">
      <c r="A1229" s="30" t="n">
        <v>0</v>
      </c>
      <c r="B1229" s="31" t="s">
        <v>11</v>
      </c>
      <c r="C1229" s="32"/>
      <c r="D1229" s="32"/>
      <c r="E1229" s="19" t="n">
        <f aca="false">+IF(C1229="EQUIPO",F1229,0)</f>
        <v>0</v>
      </c>
      <c r="F1229" s="33" t="n">
        <v>0</v>
      </c>
      <c r="G1229" s="35" t="n">
        <v>0</v>
      </c>
      <c r="H1229" s="34" t="n">
        <f aca="false">+IF(E1229=0,0,E1229*0.03)</f>
        <v>0</v>
      </c>
    </row>
    <row r="1230" customFormat="false" ht="15.75" hidden="false" customHeight="true" outlineLevel="0" collapsed="false">
      <c r="A1230" s="30" t="n">
        <v>0</v>
      </c>
      <c r="B1230" s="31" t="s">
        <v>11</v>
      </c>
      <c r="C1230" s="32"/>
      <c r="D1230" s="32"/>
      <c r="E1230" s="19" t="n">
        <f aca="false">+IF(C1230="EQUIPO",F1230,0)</f>
        <v>0</v>
      </c>
      <c r="F1230" s="33" t="n">
        <v>0</v>
      </c>
      <c r="G1230" s="35" t="n">
        <v>0</v>
      </c>
      <c r="H1230" s="34" t="n">
        <f aca="false">+IF(E1230=0,0,E1230*0.03)</f>
        <v>0</v>
      </c>
    </row>
    <row r="1231" customFormat="false" ht="15.75" hidden="false" customHeight="true" outlineLevel="0" collapsed="false">
      <c r="A1231" s="30" t="n">
        <v>0</v>
      </c>
      <c r="B1231" s="31" t="s">
        <v>11</v>
      </c>
      <c r="C1231" s="32"/>
      <c r="D1231" s="32"/>
      <c r="E1231" s="19" t="n">
        <f aca="false">+IF(C1231="EQUIPO",F1231,0)</f>
        <v>0</v>
      </c>
      <c r="F1231" s="33" t="n">
        <v>0</v>
      </c>
      <c r="G1231" s="35" t="n">
        <v>0</v>
      </c>
      <c r="H1231" s="34" t="n">
        <f aca="false">+IF(E1231=0,0,E1231*0.03)</f>
        <v>0</v>
      </c>
    </row>
    <row r="1232" customFormat="false" ht="15.75" hidden="false" customHeight="true" outlineLevel="0" collapsed="false">
      <c r="A1232" s="30" t="n">
        <v>0</v>
      </c>
      <c r="B1232" s="31" t="s">
        <v>11</v>
      </c>
      <c r="C1232" s="32"/>
      <c r="D1232" s="32"/>
      <c r="E1232" s="19" t="n">
        <f aca="false">+IF(C1232="EQUIPO",F1232,0)</f>
        <v>0</v>
      </c>
      <c r="F1232" s="33" t="n">
        <v>0</v>
      </c>
      <c r="G1232" s="35" t="n">
        <v>0</v>
      </c>
      <c r="H1232" s="34" t="n">
        <f aca="false">+IF(E1232=0,0,E1232*0.03)</f>
        <v>0</v>
      </c>
    </row>
    <row r="1233" customFormat="false" ht="15.75" hidden="false" customHeight="true" outlineLevel="0" collapsed="false">
      <c r="A1233" s="30" t="n">
        <v>0</v>
      </c>
      <c r="B1233" s="31" t="s">
        <v>11</v>
      </c>
      <c r="C1233" s="32"/>
      <c r="D1233" s="32"/>
      <c r="E1233" s="19" t="n">
        <f aca="false">+IF(C1233="EQUIPO",F1233,0)</f>
        <v>0</v>
      </c>
      <c r="F1233" s="33" t="n">
        <v>0</v>
      </c>
      <c r="G1233" s="35" t="n">
        <v>0</v>
      </c>
      <c r="H1233" s="34" t="n">
        <f aca="false">+IF(E1233=0,0,E1233*0.03)</f>
        <v>0</v>
      </c>
    </row>
    <row r="1234" customFormat="false" ht="15.75" hidden="false" customHeight="true" outlineLevel="0" collapsed="false">
      <c r="A1234" s="30" t="n">
        <v>0</v>
      </c>
      <c r="B1234" s="31" t="s">
        <v>11</v>
      </c>
      <c r="C1234" s="32"/>
      <c r="D1234" s="32"/>
      <c r="E1234" s="19" t="n">
        <f aca="false">+IF(C1234="EQUIPO",F1234,0)</f>
        <v>0</v>
      </c>
      <c r="F1234" s="33" t="n">
        <v>0</v>
      </c>
      <c r="G1234" s="35" t="n">
        <v>0</v>
      </c>
      <c r="H1234" s="34" t="n">
        <f aca="false">+IF(E1234=0,0,E1234*0.03)</f>
        <v>0</v>
      </c>
    </row>
    <row r="1235" customFormat="false" ht="15.75" hidden="false" customHeight="true" outlineLevel="0" collapsed="false">
      <c r="A1235" s="30" t="n">
        <v>0</v>
      </c>
      <c r="B1235" s="31" t="s">
        <v>11</v>
      </c>
      <c r="C1235" s="32"/>
      <c r="D1235" s="32"/>
      <c r="E1235" s="19" t="n">
        <f aca="false">+IF(C1235="EQUIPO",F1235,0)</f>
        <v>0</v>
      </c>
      <c r="F1235" s="33" t="n">
        <v>0</v>
      </c>
      <c r="G1235" s="35" t="n">
        <v>0</v>
      </c>
      <c r="H1235" s="34" t="n">
        <f aca="false">+IF(E1235=0,0,E1235*0.03)</f>
        <v>0</v>
      </c>
    </row>
    <row r="1236" customFormat="false" ht="15.75" hidden="false" customHeight="true" outlineLevel="0" collapsed="false">
      <c r="A1236" s="30" t="n">
        <v>0</v>
      </c>
      <c r="B1236" s="31" t="s">
        <v>11</v>
      </c>
      <c r="C1236" s="32"/>
      <c r="D1236" s="32"/>
      <c r="E1236" s="19" t="n">
        <f aca="false">+IF(C1236="EQUIPO",F1236,0)</f>
        <v>0</v>
      </c>
      <c r="F1236" s="33" t="n">
        <v>0</v>
      </c>
      <c r="G1236" s="35" t="n">
        <v>0</v>
      </c>
      <c r="H1236" s="34" t="n">
        <f aca="false">+IF(E1236=0,0,E1236*0.03)</f>
        <v>0</v>
      </c>
    </row>
    <row r="1237" customFormat="false" ht="15.75" hidden="false" customHeight="true" outlineLevel="0" collapsed="false">
      <c r="A1237" s="30" t="n">
        <v>0</v>
      </c>
      <c r="B1237" s="31" t="s">
        <v>11</v>
      </c>
      <c r="C1237" s="32"/>
      <c r="D1237" s="32"/>
      <c r="E1237" s="19" t="n">
        <f aca="false">+IF(C1237="EQUIPO",F1237,0)</f>
        <v>0</v>
      </c>
      <c r="F1237" s="33" t="n">
        <v>0</v>
      </c>
      <c r="G1237" s="35" t="n">
        <v>0</v>
      </c>
      <c r="H1237" s="34" t="n">
        <f aca="false">+IF(E1237=0,0,E1237*0.03)</f>
        <v>0</v>
      </c>
    </row>
    <row r="1238" customFormat="false" ht="15.75" hidden="false" customHeight="true" outlineLevel="0" collapsed="false">
      <c r="A1238" s="30" t="n">
        <v>0</v>
      </c>
      <c r="B1238" s="31" t="s">
        <v>11</v>
      </c>
      <c r="C1238" s="32"/>
      <c r="D1238" s="32"/>
      <c r="E1238" s="19" t="n">
        <f aca="false">+IF(C1238="EQUIPO",F1238,0)</f>
        <v>0</v>
      </c>
      <c r="F1238" s="33" t="n">
        <v>0</v>
      </c>
      <c r="G1238" s="35" t="n">
        <v>0</v>
      </c>
      <c r="H1238" s="34" t="n">
        <f aca="false">+IF(E1238=0,0,E1238*0.03)</f>
        <v>0</v>
      </c>
    </row>
    <row r="1239" customFormat="false" ht="15.75" hidden="false" customHeight="true" outlineLevel="0" collapsed="false">
      <c r="A1239" s="30" t="n">
        <v>0</v>
      </c>
      <c r="B1239" s="31" t="s">
        <v>11</v>
      </c>
      <c r="C1239" s="32"/>
      <c r="D1239" s="32"/>
      <c r="E1239" s="19" t="n">
        <f aca="false">+IF(C1239="EQUIPO",F1239,0)</f>
        <v>0</v>
      </c>
      <c r="F1239" s="33" t="n">
        <v>0</v>
      </c>
      <c r="G1239" s="35" t="n">
        <v>0</v>
      </c>
      <c r="H1239" s="34" t="n">
        <f aca="false">+IF(E1239=0,0,E1239*0.03)</f>
        <v>0</v>
      </c>
    </row>
    <row r="1240" customFormat="false" ht="15.75" hidden="false" customHeight="true" outlineLevel="0" collapsed="false">
      <c r="A1240" s="30" t="n">
        <v>0</v>
      </c>
      <c r="B1240" s="31" t="s">
        <v>11</v>
      </c>
      <c r="C1240" s="32"/>
      <c r="D1240" s="32"/>
      <c r="E1240" s="19" t="n">
        <f aca="false">+IF(C1240="EQUIPO",F1240,0)</f>
        <v>0</v>
      </c>
      <c r="F1240" s="33" t="n">
        <v>0</v>
      </c>
      <c r="G1240" s="35" t="n">
        <v>0</v>
      </c>
      <c r="H1240" s="34" t="n">
        <f aca="false">+IF(E1240=0,0,E1240*0.03)</f>
        <v>0</v>
      </c>
    </row>
    <row r="1241" customFormat="false" ht="15.75" hidden="false" customHeight="true" outlineLevel="0" collapsed="false">
      <c r="A1241" s="30" t="n">
        <v>0</v>
      </c>
      <c r="B1241" s="31" t="s">
        <v>11</v>
      </c>
      <c r="C1241" s="32"/>
      <c r="D1241" s="32"/>
      <c r="E1241" s="19" t="n">
        <f aca="false">+IF(C1241="EQUIPO",F1241,0)</f>
        <v>0</v>
      </c>
      <c r="F1241" s="33" t="n">
        <v>0</v>
      </c>
      <c r="G1241" s="35" t="n">
        <v>0</v>
      </c>
      <c r="H1241" s="34" t="n">
        <f aca="false">+IF(E1241=0,0,E1241*0.03)</f>
        <v>0</v>
      </c>
    </row>
    <row r="1242" customFormat="false" ht="15.75" hidden="false" customHeight="true" outlineLevel="0" collapsed="false">
      <c r="A1242" s="30" t="n">
        <v>0</v>
      </c>
      <c r="B1242" s="31" t="s">
        <v>11</v>
      </c>
      <c r="C1242" s="32"/>
      <c r="D1242" s="32"/>
      <c r="E1242" s="19" t="n">
        <f aca="false">+IF(C1242="EQUIPO",F1242,0)</f>
        <v>0</v>
      </c>
      <c r="F1242" s="33" t="n">
        <v>0</v>
      </c>
      <c r="G1242" s="35" t="n">
        <v>0</v>
      </c>
      <c r="H1242" s="34" t="n">
        <f aca="false">+IF(E1242=0,0,E1242*0.03)</f>
        <v>0</v>
      </c>
    </row>
    <row r="1243" customFormat="false" ht="15.75" hidden="false" customHeight="true" outlineLevel="0" collapsed="false">
      <c r="A1243" s="30" t="n">
        <v>0</v>
      </c>
      <c r="B1243" s="31" t="s">
        <v>11</v>
      </c>
      <c r="C1243" s="32"/>
      <c r="D1243" s="32"/>
      <c r="E1243" s="19" t="n">
        <f aca="false">+IF(C1243="EQUIPO",F1243,0)</f>
        <v>0</v>
      </c>
      <c r="F1243" s="33" t="n">
        <v>0</v>
      </c>
      <c r="G1243" s="35" t="n">
        <v>0</v>
      </c>
      <c r="H1243" s="34" t="n">
        <f aca="false">+IF(E1243=0,0,E1243*0.03)</f>
        <v>0</v>
      </c>
    </row>
    <row r="1244" customFormat="false" ht="15.75" hidden="false" customHeight="true" outlineLevel="0" collapsed="false">
      <c r="A1244" s="30" t="n">
        <v>0</v>
      </c>
      <c r="B1244" s="31" t="s">
        <v>11</v>
      </c>
      <c r="C1244" s="32"/>
      <c r="D1244" s="32"/>
      <c r="E1244" s="19" t="n">
        <f aca="false">+IF(C1244="EQUIPO",F1244,0)</f>
        <v>0</v>
      </c>
      <c r="F1244" s="33" t="n">
        <v>0</v>
      </c>
      <c r="G1244" s="35" t="n">
        <v>0</v>
      </c>
      <c r="H1244" s="34" t="n">
        <f aca="false">+IF(E1244=0,0,E1244*0.03)</f>
        <v>0</v>
      </c>
    </row>
    <row r="1245" customFormat="false" ht="15.75" hidden="false" customHeight="true" outlineLevel="0" collapsed="false">
      <c r="A1245" s="30" t="n">
        <v>0</v>
      </c>
      <c r="B1245" s="31" t="s">
        <v>11</v>
      </c>
      <c r="C1245" s="32"/>
      <c r="D1245" s="32"/>
      <c r="E1245" s="19" t="n">
        <f aca="false">+IF(C1245="EQUIPO",F1245,0)</f>
        <v>0</v>
      </c>
      <c r="F1245" s="33" t="n">
        <v>0</v>
      </c>
      <c r="G1245" s="35" t="n">
        <v>0</v>
      </c>
      <c r="H1245" s="34" t="n">
        <f aca="false">+IF(E1245=0,0,E1245*0.03)</f>
        <v>0</v>
      </c>
    </row>
    <row r="1246" customFormat="false" ht="15.75" hidden="false" customHeight="true" outlineLevel="0" collapsed="false">
      <c r="A1246" s="30" t="n">
        <v>0</v>
      </c>
      <c r="B1246" s="31" t="s">
        <v>11</v>
      </c>
      <c r="C1246" s="32"/>
      <c r="D1246" s="32"/>
      <c r="E1246" s="19" t="n">
        <f aca="false">+IF(C1246="EQUIPO",F1246,0)</f>
        <v>0</v>
      </c>
      <c r="F1246" s="33" t="n">
        <v>0</v>
      </c>
      <c r="G1246" s="35" t="n">
        <v>0</v>
      </c>
      <c r="H1246" s="34" t="n">
        <f aca="false">+IF(E1246=0,0,E1246*0.03)</f>
        <v>0</v>
      </c>
    </row>
    <row r="1247" customFormat="false" ht="15.75" hidden="false" customHeight="true" outlineLevel="0" collapsed="false">
      <c r="A1247" s="30" t="n">
        <v>0</v>
      </c>
      <c r="B1247" s="31" t="s">
        <v>11</v>
      </c>
      <c r="C1247" s="32"/>
      <c r="D1247" s="32"/>
      <c r="E1247" s="19" t="n">
        <f aca="false">+IF(C1247="EQUIPO",F1247,0)</f>
        <v>0</v>
      </c>
      <c r="F1247" s="33" t="n">
        <v>0</v>
      </c>
      <c r="G1247" s="35" t="n">
        <v>0</v>
      </c>
      <c r="H1247" s="34" t="n">
        <f aca="false">+IF(E1247=0,0,E1247*0.03)</f>
        <v>0</v>
      </c>
    </row>
    <row r="1248" customFormat="false" ht="15.75" hidden="false" customHeight="true" outlineLevel="0" collapsed="false">
      <c r="A1248" s="30" t="n">
        <v>0</v>
      </c>
      <c r="B1248" s="31" t="s">
        <v>11</v>
      </c>
      <c r="C1248" s="32"/>
      <c r="D1248" s="32"/>
      <c r="E1248" s="19" t="n">
        <f aca="false">+IF(C1248="EQUIPO",F1248,0)</f>
        <v>0</v>
      </c>
      <c r="F1248" s="33" t="n">
        <v>0</v>
      </c>
      <c r="G1248" s="35" t="n">
        <v>0</v>
      </c>
      <c r="H1248" s="34" t="n">
        <f aca="false">+IF(E1248=0,0,E1248*0.03)</f>
        <v>0</v>
      </c>
    </row>
    <row r="1249" customFormat="false" ht="15.75" hidden="false" customHeight="true" outlineLevel="0" collapsed="false">
      <c r="A1249" s="30" t="n">
        <v>0</v>
      </c>
      <c r="B1249" s="31" t="s">
        <v>11</v>
      </c>
      <c r="C1249" s="32"/>
      <c r="D1249" s="32"/>
      <c r="E1249" s="19" t="n">
        <f aca="false">+IF(C1249="EQUIPO",F1249,0)</f>
        <v>0</v>
      </c>
      <c r="F1249" s="33" t="n">
        <v>0</v>
      </c>
      <c r="G1249" s="35" t="n">
        <v>0</v>
      </c>
      <c r="H1249" s="34" t="n">
        <f aca="false">+IF(E1249=0,0,E1249*0.03)</f>
        <v>0</v>
      </c>
    </row>
    <row r="1250" customFormat="false" ht="15.75" hidden="false" customHeight="true" outlineLevel="0" collapsed="false">
      <c r="A1250" s="30" t="n">
        <v>0</v>
      </c>
      <c r="B1250" s="31" t="s">
        <v>11</v>
      </c>
      <c r="C1250" s="32"/>
      <c r="D1250" s="32"/>
      <c r="E1250" s="19" t="n">
        <f aca="false">+IF(C1250="EQUIPO",F1250,0)</f>
        <v>0</v>
      </c>
      <c r="F1250" s="33" t="n">
        <v>0</v>
      </c>
      <c r="G1250" s="35" t="n">
        <v>0</v>
      </c>
      <c r="H1250" s="34" t="n">
        <f aca="false">+IF(E1250=0,0,E1250*0.03)</f>
        <v>0</v>
      </c>
    </row>
    <row r="1251" customFormat="false" ht="15.75" hidden="false" customHeight="true" outlineLevel="0" collapsed="false">
      <c r="A1251" s="30" t="n">
        <v>0</v>
      </c>
      <c r="B1251" s="31" t="s">
        <v>11</v>
      </c>
      <c r="C1251" s="32"/>
      <c r="D1251" s="32"/>
      <c r="E1251" s="19" t="n">
        <f aca="false">+IF(C1251="EQUIPO",F1251,0)</f>
        <v>0</v>
      </c>
      <c r="F1251" s="33" t="n">
        <v>0</v>
      </c>
      <c r="G1251" s="35" t="n">
        <v>0</v>
      </c>
      <c r="H1251" s="34" t="n">
        <f aca="false">+IF(E1251=0,0,E1251*0.03)</f>
        <v>0</v>
      </c>
    </row>
    <row r="1252" customFormat="false" ht="15.75" hidden="false" customHeight="true" outlineLevel="0" collapsed="false">
      <c r="A1252" s="30" t="n">
        <v>0</v>
      </c>
      <c r="B1252" s="31" t="s">
        <v>11</v>
      </c>
      <c r="C1252" s="32"/>
      <c r="D1252" s="32"/>
      <c r="E1252" s="19" t="n">
        <f aca="false">+IF(C1252="EQUIPO",F1252,0)</f>
        <v>0</v>
      </c>
      <c r="F1252" s="33" t="n">
        <v>0</v>
      </c>
      <c r="G1252" s="35" t="n">
        <v>0</v>
      </c>
      <c r="H1252" s="34" t="n">
        <f aca="false">+IF(E1252=0,0,E1252*0.03)</f>
        <v>0</v>
      </c>
    </row>
    <row r="1253" customFormat="false" ht="15.75" hidden="false" customHeight="true" outlineLevel="0" collapsed="false">
      <c r="A1253" s="30" t="n">
        <v>0</v>
      </c>
      <c r="B1253" s="31" t="s">
        <v>11</v>
      </c>
      <c r="C1253" s="32"/>
      <c r="D1253" s="32"/>
      <c r="E1253" s="19" t="n">
        <f aca="false">+IF(C1253="EQUIPO",F1253,0)</f>
        <v>0</v>
      </c>
      <c r="F1253" s="33" t="n">
        <v>0</v>
      </c>
      <c r="G1253" s="35" t="n">
        <v>0</v>
      </c>
      <c r="H1253" s="34" t="n">
        <f aca="false">+IF(E1253=0,0,E1253*0.03)</f>
        <v>0</v>
      </c>
    </row>
    <row r="1254" customFormat="false" ht="15.75" hidden="false" customHeight="true" outlineLevel="0" collapsed="false">
      <c r="A1254" s="30" t="n">
        <v>0</v>
      </c>
      <c r="B1254" s="31" t="s">
        <v>11</v>
      </c>
      <c r="C1254" s="32"/>
      <c r="D1254" s="32"/>
      <c r="E1254" s="19" t="n">
        <f aca="false">+IF(C1254="EQUIPO",F1254,0)</f>
        <v>0</v>
      </c>
      <c r="F1254" s="33" t="n">
        <v>0</v>
      </c>
      <c r="G1254" s="35" t="n">
        <v>0</v>
      </c>
      <c r="H1254" s="34" t="n">
        <f aca="false">+IF(E1254=0,0,E1254*0.03)</f>
        <v>0</v>
      </c>
    </row>
    <row r="1255" customFormat="false" ht="15.75" hidden="false" customHeight="true" outlineLevel="0" collapsed="false">
      <c r="A1255" s="30" t="n">
        <v>0</v>
      </c>
      <c r="B1255" s="31" t="s">
        <v>11</v>
      </c>
      <c r="C1255" s="32"/>
      <c r="D1255" s="32"/>
      <c r="E1255" s="19" t="n">
        <f aca="false">+IF(C1255="EQUIPO",F1255,0)</f>
        <v>0</v>
      </c>
      <c r="F1255" s="33" t="n">
        <v>0</v>
      </c>
      <c r="G1255" s="35" t="n">
        <v>0</v>
      </c>
      <c r="H1255" s="34" t="n">
        <f aca="false">+IF(E1255=0,0,E1255*0.03)</f>
        <v>0</v>
      </c>
    </row>
    <row r="1256" customFormat="false" ht="15.75" hidden="false" customHeight="true" outlineLevel="0" collapsed="false">
      <c r="A1256" s="30" t="n">
        <v>0</v>
      </c>
      <c r="B1256" s="31" t="s">
        <v>11</v>
      </c>
      <c r="C1256" s="32"/>
      <c r="D1256" s="32"/>
      <c r="E1256" s="19" t="n">
        <f aca="false">+IF(C1256="EQUIPO",F1256,0)</f>
        <v>0</v>
      </c>
      <c r="F1256" s="33" t="n">
        <v>0</v>
      </c>
      <c r="G1256" s="35" t="n">
        <v>0</v>
      </c>
      <c r="H1256" s="34" t="n">
        <f aca="false">+IF(E1256=0,0,E1256*0.03)</f>
        <v>0</v>
      </c>
    </row>
    <row r="1257" customFormat="false" ht="15.75" hidden="false" customHeight="true" outlineLevel="0" collapsed="false">
      <c r="A1257" s="30" t="n">
        <v>0</v>
      </c>
      <c r="B1257" s="31" t="s">
        <v>11</v>
      </c>
      <c r="C1257" s="32"/>
      <c r="D1257" s="32"/>
      <c r="E1257" s="19" t="n">
        <f aca="false">+IF(C1257="EQUIPO",F1257,0)</f>
        <v>0</v>
      </c>
      <c r="F1257" s="33" t="n">
        <v>0</v>
      </c>
      <c r="G1257" s="35" t="n">
        <v>0</v>
      </c>
      <c r="H1257" s="34" t="n">
        <f aca="false">+IF(E1257=0,0,E1257*0.03)</f>
        <v>0</v>
      </c>
    </row>
    <row r="1258" customFormat="false" ht="15.75" hidden="false" customHeight="true" outlineLevel="0" collapsed="false">
      <c r="A1258" s="30" t="n">
        <v>0</v>
      </c>
      <c r="B1258" s="31" t="s">
        <v>11</v>
      </c>
      <c r="C1258" s="32"/>
      <c r="D1258" s="32"/>
      <c r="E1258" s="19" t="n">
        <f aca="false">+IF(C1258="EQUIPO",F1258,0)</f>
        <v>0</v>
      </c>
      <c r="F1258" s="33" t="n">
        <v>0</v>
      </c>
      <c r="G1258" s="35" t="n">
        <v>0</v>
      </c>
      <c r="H1258" s="34" t="n">
        <f aca="false">+IF(E1258=0,0,E1258*0.03)</f>
        <v>0</v>
      </c>
    </row>
    <row r="1259" customFormat="false" ht="15.75" hidden="false" customHeight="true" outlineLevel="0" collapsed="false">
      <c r="A1259" s="30" t="n">
        <v>0</v>
      </c>
      <c r="B1259" s="31" t="s">
        <v>11</v>
      </c>
      <c r="C1259" s="32"/>
      <c r="D1259" s="32"/>
      <c r="E1259" s="19" t="n">
        <f aca="false">+IF(C1259="EQUIPO",F1259,0)</f>
        <v>0</v>
      </c>
      <c r="F1259" s="33" t="n">
        <v>0</v>
      </c>
      <c r="G1259" s="35" t="n">
        <v>0</v>
      </c>
      <c r="H1259" s="34" t="n">
        <f aca="false">+IF(E1259=0,0,E1259*0.03)</f>
        <v>0</v>
      </c>
    </row>
    <row r="1260" customFormat="false" ht="15.75" hidden="false" customHeight="true" outlineLevel="0" collapsed="false">
      <c r="A1260" s="30" t="n">
        <v>0</v>
      </c>
      <c r="B1260" s="31" t="s">
        <v>11</v>
      </c>
      <c r="C1260" s="32"/>
      <c r="D1260" s="32"/>
      <c r="E1260" s="19" t="n">
        <f aca="false">+IF(C1260="EQUIPO",F1260,0)</f>
        <v>0</v>
      </c>
      <c r="F1260" s="33" t="n">
        <v>0</v>
      </c>
      <c r="G1260" s="35" t="n">
        <v>0</v>
      </c>
      <c r="H1260" s="34" t="n">
        <f aca="false">+IF(E1260=0,0,E1260*0.03)</f>
        <v>0</v>
      </c>
    </row>
    <row r="1261" customFormat="false" ht="15.75" hidden="false" customHeight="true" outlineLevel="0" collapsed="false">
      <c r="A1261" s="30" t="n">
        <v>0</v>
      </c>
      <c r="B1261" s="31" t="s">
        <v>11</v>
      </c>
      <c r="C1261" s="32"/>
      <c r="D1261" s="32"/>
      <c r="E1261" s="19" t="n">
        <f aca="false">+IF(C1261="EQUIPO",F1261,0)</f>
        <v>0</v>
      </c>
      <c r="F1261" s="33" t="n">
        <v>0</v>
      </c>
      <c r="G1261" s="35" t="n">
        <v>0</v>
      </c>
      <c r="H1261" s="34" t="n">
        <f aca="false">+IF(E1261=0,0,E1261*0.03)</f>
        <v>0</v>
      </c>
    </row>
    <row r="1262" customFormat="false" ht="15.75" hidden="false" customHeight="true" outlineLevel="0" collapsed="false">
      <c r="A1262" s="30" t="n">
        <v>0</v>
      </c>
      <c r="B1262" s="31" t="s">
        <v>11</v>
      </c>
      <c r="C1262" s="32"/>
      <c r="D1262" s="32"/>
      <c r="E1262" s="19" t="n">
        <f aca="false">+IF(C1262="EQUIPO",F1262,0)</f>
        <v>0</v>
      </c>
      <c r="F1262" s="33" t="n">
        <v>0</v>
      </c>
      <c r="G1262" s="35" t="n">
        <v>0</v>
      </c>
      <c r="H1262" s="34" t="n">
        <f aca="false">+IF(E1262=0,0,E1262*0.03)</f>
        <v>0</v>
      </c>
    </row>
    <row r="1263" customFormat="false" ht="15.75" hidden="false" customHeight="true" outlineLevel="0" collapsed="false">
      <c r="A1263" s="30" t="n">
        <v>0</v>
      </c>
      <c r="B1263" s="31" t="s">
        <v>11</v>
      </c>
      <c r="C1263" s="32"/>
      <c r="D1263" s="32"/>
      <c r="E1263" s="19" t="n">
        <f aca="false">+IF(C1263="EQUIPO",F1263,0)</f>
        <v>0</v>
      </c>
      <c r="F1263" s="33" t="n">
        <v>0</v>
      </c>
      <c r="G1263" s="35" t="n">
        <v>0</v>
      </c>
      <c r="H1263" s="34" t="n">
        <f aca="false">+IF(E1263=0,0,E1263*0.03)</f>
        <v>0</v>
      </c>
    </row>
    <row r="1264" customFormat="false" ht="15.75" hidden="false" customHeight="true" outlineLevel="0" collapsed="false">
      <c r="A1264" s="30" t="n">
        <v>0</v>
      </c>
      <c r="B1264" s="31" t="s">
        <v>11</v>
      </c>
      <c r="C1264" s="32"/>
      <c r="D1264" s="32"/>
      <c r="E1264" s="19" t="n">
        <f aca="false">+IF(C1264="EQUIPO",F1264,0)</f>
        <v>0</v>
      </c>
      <c r="F1264" s="33" t="n">
        <v>0</v>
      </c>
      <c r="G1264" s="35" t="n">
        <v>0</v>
      </c>
      <c r="H1264" s="34" t="n">
        <f aca="false">+IF(E1264=0,0,E1264*0.03)</f>
        <v>0</v>
      </c>
    </row>
    <row r="1265" customFormat="false" ht="15.75" hidden="false" customHeight="true" outlineLevel="0" collapsed="false">
      <c r="A1265" s="30" t="n">
        <v>0</v>
      </c>
      <c r="B1265" s="31" t="s">
        <v>11</v>
      </c>
      <c r="C1265" s="32"/>
      <c r="D1265" s="32"/>
      <c r="E1265" s="19" t="n">
        <f aca="false">+IF(C1265="EQUIPO",F1265,0)</f>
        <v>0</v>
      </c>
      <c r="F1265" s="33" t="n">
        <v>0</v>
      </c>
      <c r="G1265" s="35" t="n">
        <v>0</v>
      </c>
      <c r="H1265" s="34" t="n">
        <f aca="false">+IF(E1265=0,0,E1265*0.03)</f>
        <v>0</v>
      </c>
    </row>
    <row r="1266" customFormat="false" ht="15.75" hidden="false" customHeight="true" outlineLevel="0" collapsed="false">
      <c r="A1266" s="30" t="n">
        <v>0</v>
      </c>
      <c r="B1266" s="31" t="s">
        <v>11</v>
      </c>
      <c r="C1266" s="32"/>
      <c r="D1266" s="32"/>
      <c r="E1266" s="19" t="n">
        <f aca="false">+IF(C1266="EQUIPO",F1266,0)</f>
        <v>0</v>
      </c>
      <c r="F1266" s="33" t="n">
        <v>0</v>
      </c>
      <c r="G1266" s="35" t="n">
        <v>0</v>
      </c>
      <c r="H1266" s="34" t="n">
        <f aca="false">+IF(E1266=0,0,E1266*0.03)</f>
        <v>0</v>
      </c>
    </row>
    <row r="1267" customFormat="false" ht="15.75" hidden="false" customHeight="true" outlineLevel="0" collapsed="false">
      <c r="A1267" s="30" t="n">
        <v>0</v>
      </c>
      <c r="B1267" s="31" t="s">
        <v>11</v>
      </c>
      <c r="C1267" s="32"/>
      <c r="D1267" s="32"/>
      <c r="E1267" s="19" t="n">
        <f aca="false">+IF(C1267="EQUIPO",F1267,0)</f>
        <v>0</v>
      </c>
      <c r="F1267" s="33" t="n">
        <v>0</v>
      </c>
      <c r="G1267" s="35" t="n">
        <v>0</v>
      </c>
      <c r="H1267" s="34" t="n">
        <f aca="false">+IF(E1267=0,0,E1267*0.03)</f>
        <v>0</v>
      </c>
    </row>
    <row r="1268" customFormat="false" ht="15.75" hidden="false" customHeight="true" outlineLevel="0" collapsed="false">
      <c r="A1268" s="30" t="n">
        <v>0</v>
      </c>
      <c r="B1268" s="31" t="s">
        <v>11</v>
      </c>
      <c r="C1268" s="32"/>
      <c r="D1268" s="32"/>
      <c r="E1268" s="19" t="n">
        <f aca="false">+IF(C1268="EQUIPO",F1268,0)</f>
        <v>0</v>
      </c>
      <c r="F1268" s="33" t="n">
        <v>0</v>
      </c>
      <c r="G1268" s="35" t="n">
        <v>0</v>
      </c>
      <c r="H1268" s="34" t="n">
        <f aca="false">+IF(E1268=0,0,E1268*0.03)</f>
        <v>0</v>
      </c>
    </row>
    <row r="1269" customFormat="false" ht="15.75" hidden="false" customHeight="true" outlineLevel="0" collapsed="false">
      <c r="A1269" s="30" t="n">
        <v>0</v>
      </c>
      <c r="B1269" s="31" t="s">
        <v>11</v>
      </c>
      <c r="C1269" s="32"/>
      <c r="D1269" s="32"/>
      <c r="E1269" s="19" t="n">
        <f aca="false">+IF(C1269="EQUIPO",F1269,0)</f>
        <v>0</v>
      </c>
      <c r="F1269" s="33" t="n">
        <v>0</v>
      </c>
      <c r="G1269" s="35" t="n">
        <v>0</v>
      </c>
      <c r="H1269" s="34" t="n">
        <f aca="false">+IF(E1269=0,0,E1269*0.03)</f>
        <v>0</v>
      </c>
    </row>
    <row r="1270" customFormat="false" ht="15.75" hidden="false" customHeight="true" outlineLevel="0" collapsed="false">
      <c r="A1270" s="30" t="n">
        <v>0</v>
      </c>
      <c r="B1270" s="31" t="s">
        <v>11</v>
      </c>
      <c r="C1270" s="32"/>
      <c r="D1270" s="32"/>
      <c r="E1270" s="19" t="n">
        <f aca="false">+IF(C1270="EQUIPO",F1270,0)</f>
        <v>0</v>
      </c>
      <c r="F1270" s="33" t="n">
        <v>0</v>
      </c>
      <c r="G1270" s="35" t="n">
        <v>0</v>
      </c>
      <c r="H1270" s="34" t="n">
        <f aca="false">+IF(E1270=0,0,E1270*0.03)</f>
        <v>0</v>
      </c>
    </row>
    <row r="1271" customFormat="false" ht="15.75" hidden="false" customHeight="true" outlineLevel="0" collapsed="false">
      <c r="A1271" s="30" t="n">
        <v>0</v>
      </c>
      <c r="B1271" s="31" t="s">
        <v>11</v>
      </c>
      <c r="C1271" s="32"/>
      <c r="D1271" s="32"/>
      <c r="E1271" s="19" t="n">
        <f aca="false">+IF(C1271="EQUIPO",F1271,0)</f>
        <v>0</v>
      </c>
      <c r="F1271" s="33" t="n">
        <v>0</v>
      </c>
      <c r="G1271" s="35" t="n">
        <v>0</v>
      </c>
      <c r="H1271" s="34" t="n">
        <f aca="false">+IF(E1271=0,0,E1271*0.03)</f>
        <v>0</v>
      </c>
    </row>
    <row r="1272" customFormat="false" ht="15.75" hidden="false" customHeight="true" outlineLevel="0" collapsed="false">
      <c r="A1272" s="30" t="n">
        <v>0</v>
      </c>
      <c r="B1272" s="31" t="s">
        <v>11</v>
      </c>
      <c r="C1272" s="32"/>
      <c r="D1272" s="32"/>
      <c r="E1272" s="19" t="n">
        <f aca="false">+IF(C1272="EQUIPO",F1272,0)</f>
        <v>0</v>
      </c>
      <c r="F1272" s="33" t="n">
        <v>0</v>
      </c>
      <c r="G1272" s="35" t="n">
        <v>0</v>
      </c>
      <c r="H1272" s="34" t="n">
        <f aca="false">+IF(E1272=0,0,E1272*0.03)</f>
        <v>0</v>
      </c>
    </row>
    <row r="1273" customFormat="false" ht="15.75" hidden="false" customHeight="true" outlineLevel="0" collapsed="false">
      <c r="A1273" s="30" t="n">
        <v>0</v>
      </c>
      <c r="B1273" s="31" t="s">
        <v>11</v>
      </c>
      <c r="C1273" s="32"/>
      <c r="D1273" s="32"/>
      <c r="E1273" s="19" t="n">
        <f aca="false">+IF(C1273="EQUIPO",F1273,0)</f>
        <v>0</v>
      </c>
      <c r="F1273" s="33" t="n">
        <v>0</v>
      </c>
      <c r="G1273" s="35" t="n">
        <v>0</v>
      </c>
      <c r="H1273" s="34" t="n">
        <f aca="false">+IF(E1273=0,0,E1273*0.03)</f>
        <v>0</v>
      </c>
    </row>
    <row r="1274" customFormat="false" ht="15.75" hidden="false" customHeight="true" outlineLevel="0" collapsed="false">
      <c r="A1274" s="30" t="n">
        <v>0</v>
      </c>
      <c r="B1274" s="31" t="s">
        <v>11</v>
      </c>
      <c r="C1274" s="32"/>
      <c r="D1274" s="32"/>
      <c r="E1274" s="19" t="n">
        <f aca="false">+IF(C1274="EQUIPO",F1274,0)</f>
        <v>0</v>
      </c>
      <c r="F1274" s="33" t="n">
        <v>0</v>
      </c>
      <c r="G1274" s="35" t="n">
        <v>0</v>
      </c>
      <c r="H1274" s="34" t="n">
        <f aca="false">+IF(E1274=0,0,E1274*0.03)</f>
        <v>0</v>
      </c>
    </row>
    <row r="1275" customFormat="false" ht="15.75" hidden="false" customHeight="true" outlineLevel="0" collapsed="false">
      <c r="A1275" s="30" t="n">
        <v>0</v>
      </c>
      <c r="B1275" s="31" t="s">
        <v>11</v>
      </c>
      <c r="C1275" s="32"/>
      <c r="D1275" s="32"/>
      <c r="E1275" s="19" t="n">
        <f aca="false">+IF(C1275="EQUIPO",F1275,0)</f>
        <v>0</v>
      </c>
      <c r="F1275" s="33" t="n">
        <v>0</v>
      </c>
      <c r="G1275" s="35" t="n">
        <v>0</v>
      </c>
      <c r="H1275" s="34" t="n">
        <f aca="false">+IF(E1275=0,0,E1275*0.03)</f>
        <v>0</v>
      </c>
    </row>
    <row r="1276" customFormat="false" ht="15.75" hidden="false" customHeight="true" outlineLevel="0" collapsed="false">
      <c r="A1276" s="30" t="n">
        <v>0</v>
      </c>
      <c r="B1276" s="31" t="s">
        <v>11</v>
      </c>
      <c r="C1276" s="32"/>
      <c r="D1276" s="32"/>
      <c r="E1276" s="19" t="n">
        <f aca="false">+IF(C1276="EQUIPO",F1276,0)</f>
        <v>0</v>
      </c>
      <c r="F1276" s="33" t="n">
        <v>0</v>
      </c>
      <c r="G1276" s="35" t="n">
        <v>0</v>
      </c>
      <c r="H1276" s="34" t="n">
        <f aca="false">+IF(E1276=0,0,E1276*0.03)</f>
        <v>0</v>
      </c>
    </row>
    <row r="1277" customFormat="false" ht="15.75" hidden="false" customHeight="true" outlineLevel="0" collapsed="false">
      <c r="A1277" s="30" t="n">
        <v>0</v>
      </c>
      <c r="B1277" s="31" t="s">
        <v>11</v>
      </c>
      <c r="C1277" s="32"/>
      <c r="D1277" s="32"/>
      <c r="E1277" s="19" t="n">
        <f aca="false">+IF(C1277="EQUIPO",F1277,0)</f>
        <v>0</v>
      </c>
      <c r="F1277" s="33" t="n">
        <v>0</v>
      </c>
      <c r="G1277" s="35" t="n">
        <v>0</v>
      </c>
      <c r="H1277" s="34" t="n">
        <f aca="false">+IF(E1277=0,0,E1277*0.03)</f>
        <v>0</v>
      </c>
    </row>
    <row r="1278" customFormat="false" ht="15.75" hidden="false" customHeight="true" outlineLevel="0" collapsed="false">
      <c r="A1278" s="30" t="n">
        <v>0</v>
      </c>
      <c r="B1278" s="31" t="s">
        <v>11</v>
      </c>
      <c r="C1278" s="32"/>
      <c r="D1278" s="32"/>
      <c r="E1278" s="19" t="n">
        <f aca="false">+IF(C1278="EQUIPO",F1278,0)</f>
        <v>0</v>
      </c>
      <c r="F1278" s="33" t="n">
        <v>0</v>
      </c>
      <c r="G1278" s="35" t="n">
        <v>0</v>
      </c>
      <c r="H1278" s="34" t="n">
        <f aca="false">+IF(E1278=0,0,E1278*0.03)</f>
        <v>0</v>
      </c>
    </row>
    <row r="1279" customFormat="false" ht="15.75" hidden="false" customHeight="true" outlineLevel="0" collapsed="false">
      <c r="A1279" s="30" t="n">
        <v>0</v>
      </c>
      <c r="B1279" s="31" t="s">
        <v>11</v>
      </c>
      <c r="C1279" s="32"/>
      <c r="D1279" s="32"/>
      <c r="E1279" s="19" t="n">
        <f aca="false">+IF(C1279="EQUIPO",F1279,0)</f>
        <v>0</v>
      </c>
      <c r="F1279" s="33" t="n">
        <v>0</v>
      </c>
      <c r="G1279" s="35" t="n">
        <v>0</v>
      </c>
      <c r="H1279" s="34" t="n">
        <f aca="false">+IF(E1279=0,0,E1279*0.03)</f>
        <v>0</v>
      </c>
    </row>
    <row r="1280" customFormat="false" ht="15.75" hidden="false" customHeight="true" outlineLevel="0" collapsed="false">
      <c r="A1280" s="30" t="n">
        <v>0</v>
      </c>
      <c r="B1280" s="31" t="s">
        <v>11</v>
      </c>
      <c r="C1280" s="32"/>
      <c r="D1280" s="32"/>
      <c r="E1280" s="19" t="n">
        <f aca="false">+IF(C1280="EQUIPO",F1280,0)</f>
        <v>0</v>
      </c>
      <c r="F1280" s="33" t="n">
        <v>0</v>
      </c>
      <c r="G1280" s="35" t="n">
        <v>0</v>
      </c>
      <c r="H1280" s="34" t="n">
        <f aca="false">+IF(E1280=0,0,E1280*0.03)</f>
        <v>0</v>
      </c>
    </row>
    <row r="1281" customFormat="false" ht="15.75" hidden="false" customHeight="true" outlineLevel="0" collapsed="false">
      <c r="A1281" s="30" t="n">
        <v>0</v>
      </c>
      <c r="B1281" s="31" t="s">
        <v>11</v>
      </c>
      <c r="C1281" s="32"/>
      <c r="D1281" s="32"/>
      <c r="E1281" s="19" t="n">
        <f aca="false">+IF(C1281="EQUIPO",F1281,0)</f>
        <v>0</v>
      </c>
      <c r="F1281" s="33" t="n">
        <v>0</v>
      </c>
      <c r="G1281" s="35" t="n">
        <v>0</v>
      </c>
      <c r="H1281" s="34" t="n">
        <f aca="false">+IF(E1281=0,0,E1281*0.03)</f>
        <v>0</v>
      </c>
    </row>
    <row r="1282" customFormat="false" ht="15.75" hidden="false" customHeight="true" outlineLevel="0" collapsed="false">
      <c r="A1282" s="30" t="n">
        <v>0</v>
      </c>
      <c r="B1282" s="31" t="s">
        <v>11</v>
      </c>
      <c r="C1282" s="32"/>
      <c r="D1282" s="32"/>
      <c r="E1282" s="19" t="n">
        <f aca="false">+IF(C1282="EQUIPO",F1282,0)</f>
        <v>0</v>
      </c>
      <c r="F1282" s="33" t="n">
        <v>0</v>
      </c>
      <c r="G1282" s="35" t="n">
        <v>0</v>
      </c>
      <c r="H1282" s="34" t="n">
        <f aca="false">+IF(E1282=0,0,E1282*0.03)</f>
        <v>0</v>
      </c>
    </row>
    <row r="1283" customFormat="false" ht="15.75" hidden="false" customHeight="true" outlineLevel="0" collapsed="false">
      <c r="A1283" s="30" t="n">
        <v>0</v>
      </c>
      <c r="B1283" s="31" t="s">
        <v>11</v>
      </c>
      <c r="C1283" s="32"/>
      <c r="D1283" s="32"/>
      <c r="E1283" s="19" t="n">
        <f aca="false">+IF(C1283="EQUIPO",F1283,0)</f>
        <v>0</v>
      </c>
      <c r="F1283" s="33" t="n">
        <v>0</v>
      </c>
      <c r="G1283" s="35" t="n">
        <v>0</v>
      </c>
      <c r="H1283" s="34" t="n">
        <f aca="false">+IF(E1283=0,0,E1283*0.03)</f>
        <v>0</v>
      </c>
    </row>
    <row r="1284" customFormat="false" ht="15.75" hidden="false" customHeight="true" outlineLevel="0" collapsed="false">
      <c r="A1284" s="30" t="n">
        <v>0</v>
      </c>
      <c r="B1284" s="31" t="s">
        <v>11</v>
      </c>
      <c r="C1284" s="32"/>
      <c r="D1284" s="32"/>
      <c r="E1284" s="19" t="n">
        <f aca="false">+IF(C1284="EQUIPO",F1284,0)</f>
        <v>0</v>
      </c>
      <c r="F1284" s="33" t="n">
        <v>0</v>
      </c>
      <c r="G1284" s="35" t="n">
        <v>0</v>
      </c>
      <c r="H1284" s="34" t="n">
        <f aca="false">+IF(E1284=0,0,E1284*0.03)</f>
        <v>0</v>
      </c>
    </row>
    <row r="1285" customFormat="false" ht="15.75" hidden="false" customHeight="true" outlineLevel="0" collapsed="false">
      <c r="A1285" s="30" t="n">
        <v>0</v>
      </c>
      <c r="B1285" s="31" t="s">
        <v>11</v>
      </c>
      <c r="C1285" s="32"/>
      <c r="D1285" s="32"/>
      <c r="E1285" s="19" t="n">
        <f aca="false">+IF(C1285="EQUIPO",F1285,0)</f>
        <v>0</v>
      </c>
      <c r="F1285" s="33" t="n">
        <v>0</v>
      </c>
      <c r="G1285" s="35" t="n">
        <v>0</v>
      </c>
      <c r="H1285" s="34" t="n">
        <f aca="false">+IF(E1285=0,0,E1285*0.03)</f>
        <v>0</v>
      </c>
    </row>
    <row r="1286" customFormat="false" ht="15.75" hidden="false" customHeight="true" outlineLevel="0" collapsed="false">
      <c r="A1286" s="30" t="n">
        <v>0</v>
      </c>
      <c r="B1286" s="31" t="s">
        <v>11</v>
      </c>
      <c r="C1286" s="32"/>
      <c r="D1286" s="32"/>
      <c r="E1286" s="19" t="n">
        <f aca="false">+IF(C1286="EQUIPO",F1286,0)</f>
        <v>0</v>
      </c>
      <c r="F1286" s="33" t="n">
        <v>0</v>
      </c>
      <c r="G1286" s="35" t="n">
        <v>0</v>
      </c>
      <c r="H1286" s="34" t="n">
        <f aca="false">+IF(E1286=0,0,E1286*0.03)</f>
        <v>0</v>
      </c>
    </row>
    <row r="1287" customFormat="false" ht="15.75" hidden="false" customHeight="true" outlineLevel="0" collapsed="false">
      <c r="A1287" s="30" t="n">
        <v>0</v>
      </c>
      <c r="B1287" s="31" t="s">
        <v>11</v>
      </c>
      <c r="C1287" s="32"/>
      <c r="D1287" s="32"/>
      <c r="E1287" s="19" t="n">
        <f aca="false">+IF(C1287="EQUIPO",F1287,0)</f>
        <v>0</v>
      </c>
      <c r="F1287" s="33" t="n">
        <v>0</v>
      </c>
      <c r="G1287" s="35" t="n">
        <v>0</v>
      </c>
      <c r="H1287" s="34" t="n">
        <f aca="false">+IF(E1287=0,0,E1287*0.03)</f>
        <v>0</v>
      </c>
    </row>
    <row r="1288" customFormat="false" ht="15.75" hidden="false" customHeight="true" outlineLevel="0" collapsed="false">
      <c r="A1288" s="30" t="n">
        <v>0</v>
      </c>
      <c r="B1288" s="31" t="s">
        <v>11</v>
      </c>
      <c r="C1288" s="32"/>
      <c r="D1288" s="32"/>
      <c r="E1288" s="19" t="n">
        <f aca="false">+IF(C1288="EQUIPO",F1288,0)</f>
        <v>0</v>
      </c>
      <c r="F1288" s="33" t="n">
        <v>0</v>
      </c>
      <c r="G1288" s="35" t="n">
        <v>0</v>
      </c>
      <c r="H1288" s="34" t="n">
        <f aca="false">+IF(E1288=0,0,E1288*0.03)</f>
        <v>0</v>
      </c>
    </row>
    <row r="1289" customFormat="false" ht="15.75" hidden="false" customHeight="true" outlineLevel="0" collapsed="false">
      <c r="A1289" s="30" t="n">
        <v>0</v>
      </c>
      <c r="B1289" s="31" t="s">
        <v>11</v>
      </c>
      <c r="C1289" s="32"/>
      <c r="D1289" s="32"/>
      <c r="E1289" s="19" t="n">
        <f aca="false">+IF(C1289="EQUIPO",F1289,0)</f>
        <v>0</v>
      </c>
      <c r="F1289" s="33" t="n">
        <v>0</v>
      </c>
      <c r="G1289" s="35" t="n">
        <v>0</v>
      </c>
      <c r="H1289" s="34" t="n">
        <f aca="false">+IF(E1289=0,0,E1289*0.03)</f>
        <v>0</v>
      </c>
    </row>
    <row r="1290" customFormat="false" ht="15.75" hidden="false" customHeight="true" outlineLevel="0" collapsed="false">
      <c r="A1290" s="30" t="n">
        <v>0</v>
      </c>
      <c r="B1290" s="31" t="s">
        <v>11</v>
      </c>
      <c r="C1290" s="32"/>
      <c r="D1290" s="32"/>
      <c r="E1290" s="19" t="n">
        <f aca="false">+IF(C1290="EQUIPO",F1290,0)</f>
        <v>0</v>
      </c>
      <c r="F1290" s="33" t="n">
        <v>0</v>
      </c>
      <c r="G1290" s="35" t="n">
        <v>0</v>
      </c>
      <c r="H1290" s="34" t="n">
        <f aca="false">+IF(E1290=0,0,E1290*0.03)</f>
        <v>0</v>
      </c>
    </row>
    <row r="1291" customFormat="false" ht="15.75" hidden="false" customHeight="true" outlineLevel="0" collapsed="false">
      <c r="A1291" s="30" t="n">
        <v>0</v>
      </c>
      <c r="B1291" s="31" t="s">
        <v>11</v>
      </c>
      <c r="C1291" s="32"/>
      <c r="D1291" s="32"/>
      <c r="E1291" s="19" t="n">
        <f aca="false">+IF(C1291="EQUIPO",F1291,0)</f>
        <v>0</v>
      </c>
      <c r="F1291" s="33" t="n">
        <v>0</v>
      </c>
      <c r="G1291" s="35" t="n">
        <v>0</v>
      </c>
      <c r="H1291" s="34" t="n">
        <f aca="false">+IF(E1291=0,0,E1291*0.03)</f>
        <v>0</v>
      </c>
    </row>
    <row r="1292" customFormat="false" ht="15.75" hidden="false" customHeight="true" outlineLevel="0" collapsed="false">
      <c r="A1292" s="30" t="n">
        <v>0</v>
      </c>
      <c r="B1292" s="31" t="s">
        <v>11</v>
      </c>
      <c r="C1292" s="32"/>
      <c r="D1292" s="32"/>
      <c r="E1292" s="19" t="n">
        <f aca="false">+IF(C1292="EQUIPO",F1292,0)</f>
        <v>0</v>
      </c>
      <c r="F1292" s="33" t="n">
        <v>0</v>
      </c>
      <c r="G1292" s="35" t="n">
        <v>0</v>
      </c>
      <c r="H1292" s="34" t="n">
        <f aca="false">+IF(E1292=0,0,E1292*0.03)</f>
        <v>0</v>
      </c>
    </row>
    <row r="1293" customFormat="false" ht="15.75" hidden="false" customHeight="true" outlineLevel="0" collapsed="false">
      <c r="A1293" s="30" t="n">
        <v>0</v>
      </c>
      <c r="B1293" s="31" t="s">
        <v>11</v>
      </c>
      <c r="C1293" s="32"/>
      <c r="D1293" s="32"/>
      <c r="E1293" s="19" t="n">
        <f aca="false">+IF(C1293="EQUIPO",F1293,0)</f>
        <v>0</v>
      </c>
      <c r="F1293" s="33" t="n">
        <v>0</v>
      </c>
      <c r="G1293" s="35" t="n">
        <v>0</v>
      </c>
      <c r="H1293" s="34" t="n">
        <f aca="false">+IF(E1293=0,0,E1293*0.03)</f>
        <v>0</v>
      </c>
    </row>
    <row r="1294" customFormat="false" ht="15.75" hidden="false" customHeight="true" outlineLevel="0" collapsed="false">
      <c r="A1294" s="30" t="n">
        <v>0</v>
      </c>
      <c r="B1294" s="31" t="s">
        <v>11</v>
      </c>
      <c r="C1294" s="32"/>
      <c r="D1294" s="32"/>
      <c r="E1294" s="19" t="n">
        <f aca="false">+IF(C1294="EQUIPO",F1294,0)</f>
        <v>0</v>
      </c>
      <c r="F1294" s="33" t="n">
        <v>0</v>
      </c>
      <c r="G1294" s="35" t="n">
        <v>0</v>
      </c>
      <c r="H1294" s="34" t="n">
        <f aca="false">+IF(E1294=0,0,E1294*0.03)</f>
        <v>0</v>
      </c>
    </row>
    <row r="1295" customFormat="false" ht="15.75" hidden="false" customHeight="true" outlineLevel="0" collapsed="false">
      <c r="A1295" s="30" t="n">
        <v>0</v>
      </c>
      <c r="B1295" s="31" t="s">
        <v>11</v>
      </c>
      <c r="C1295" s="32"/>
      <c r="D1295" s="32"/>
      <c r="E1295" s="19" t="n">
        <f aca="false">+IF(C1295="EQUIPO",F1295,0)</f>
        <v>0</v>
      </c>
      <c r="F1295" s="33" t="n">
        <v>0</v>
      </c>
      <c r="G1295" s="35" t="n">
        <v>0</v>
      </c>
      <c r="H1295" s="34" t="n">
        <f aca="false">+IF(E1295=0,0,E1295*0.03)</f>
        <v>0</v>
      </c>
    </row>
    <row r="1296" customFormat="false" ht="15.75" hidden="false" customHeight="true" outlineLevel="0" collapsed="false">
      <c r="A1296" s="30" t="n">
        <v>0</v>
      </c>
      <c r="B1296" s="31" t="s">
        <v>11</v>
      </c>
      <c r="C1296" s="32"/>
      <c r="D1296" s="32"/>
      <c r="E1296" s="19" t="n">
        <f aca="false">+IF(C1296="EQUIPO",F1296,0)</f>
        <v>0</v>
      </c>
      <c r="F1296" s="33" t="n">
        <v>0</v>
      </c>
      <c r="G1296" s="35" t="n">
        <v>0</v>
      </c>
      <c r="H1296" s="34" t="n">
        <f aca="false">+IF(E1296=0,0,E1296*0.03)</f>
        <v>0</v>
      </c>
    </row>
    <row r="1297" customFormat="false" ht="15.75" hidden="false" customHeight="true" outlineLevel="0" collapsed="false">
      <c r="A1297" s="30" t="n">
        <v>0</v>
      </c>
      <c r="B1297" s="31" t="s">
        <v>11</v>
      </c>
      <c r="C1297" s="32"/>
      <c r="D1297" s="32"/>
      <c r="E1297" s="19" t="n">
        <f aca="false">+IF(C1297="EQUIPO",F1297,0)</f>
        <v>0</v>
      </c>
      <c r="F1297" s="33" t="n">
        <v>0</v>
      </c>
      <c r="G1297" s="35" t="n">
        <v>0</v>
      </c>
      <c r="H1297" s="34" t="n">
        <f aca="false">+IF(E1297=0,0,E1297*0.03)</f>
        <v>0</v>
      </c>
    </row>
    <row r="1298" customFormat="false" ht="15.75" hidden="false" customHeight="true" outlineLevel="0" collapsed="false">
      <c r="A1298" s="30" t="n">
        <v>0</v>
      </c>
      <c r="B1298" s="31" t="s">
        <v>11</v>
      </c>
      <c r="C1298" s="32"/>
      <c r="D1298" s="32"/>
      <c r="E1298" s="19" t="n">
        <f aca="false">+IF(C1298="EQUIPO",F1298,0)</f>
        <v>0</v>
      </c>
      <c r="F1298" s="33" t="n">
        <v>0</v>
      </c>
      <c r="G1298" s="35" t="n">
        <v>0</v>
      </c>
      <c r="H1298" s="34" t="n">
        <f aca="false">+IF(E1298=0,0,E1298*0.03)</f>
        <v>0</v>
      </c>
    </row>
    <row r="1299" customFormat="false" ht="15.75" hidden="false" customHeight="true" outlineLevel="0" collapsed="false">
      <c r="A1299" s="30" t="n">
        <v>0</v>
      </c>
      <c r="B1299" s="31" t="s">
        <v>11</v>
      </c>
      <c r="C1299" s="32"/>
      <c r="D1299" s="32"/>
      <c r="E1299" s="19" t="n">
        <f aca="false">+IF(C1299="EQUIPO",F1299,0)</f>
        <v>0</v>
      </c>
      <c r="F1299" s="33" t="n">
        <v>0</v>
      </c>
      <c r="G1299" s="35" t="n">
        <v>0</v>
      </c>
      <c r="H1299" s="34" t="n">
        <f aca="false">+IF(E1299=0,0,E1299*0.03)</f>
        <v>0</v>
      </c>
    </row>
    <row r="1300" customFormat="false" ht="15.75" hidden="false" customHeight="true" outlineLevel="0" collapsed="false">
      <c r="A1300" s="30" t="n">
        <v>0</v>
      </c>
      <c r="B1300" s="31" t="s">
        <v>11</v>
      </c>
      <c r="C1300" s="32"/>
      <c r="D1300" s="32"/>
      <c r="E1300" s="19" t="n">
        <f aca="false">+IF(C1300="EQUIPO",F1300,0)</f>
        <v>0</v>
      </c>
      <c r="F1300" s="33" t="n">
        <v>0</v>
      </c>
      <c r="G1300" s="35" t="n">
        <v>0</v>
      </c>
      <c r="H1300" s="34" t="n">
        <f aca="false">+IF(E1300=0,0,E1300*0.03)</f>
        <v>0</v>
      </c>
    </row>
    <row r="1301" customFormat="false" ht="15.75" hidden="false" customHeight="true" outlineLevel="0" collapsed="false">
      <c r="A1301" s="30" t="n">
        <v>0</v>
      </c>
      <c r="B1301" s="31" t="s">
        <v>11</v>
      </c>
      <c r="C1301" s="32"/>
      <c r="D1301" s="32"/>
      <c r="E1301" s="19" t="n">
        <f aca="false">+IF(C1301="EQUIPO",F1301,0)</f>
        <v>0</v>
      </c>
      <c r="F1301" s="33" t="n">
        <v>0</v>
      </c>
      <c r="G1301" s="35" t="n">
        <v>0</v>
      </c>
      <c r="H1301" s="34" t="n">
        <f aca="false">+IF(E1301=0,0,E1301*0.03)</f>
        <v>0</v>
      </c>
    </row>
    <row r="1302" customFormat="false" ht="15.75" hidden="false" customHeight="true" outlineLevel="0" collapsed="false">
      <c r="A1302" s="30" t="n">
        <v>0</v>
      </c>
      <c r="B1302" s="31" t="s">
        <v>11</v>
      </c>
      <c r="C1302" s="32"/>
      <c r="D1302" s="32"/>
      <c r="E1302" s="19" t="n">
        <f aca="false">+IF(C1302="EQUIPO",F1302,0)</f>
        <v>0</v>
      </c>
      <c r="F1302" s="33" t="n">
        <v>0</v>
      </c>
      <c r="G1302" s="35" t="n">
        <v>0</v>
      </c>
      <c r="H1302" s="34" t="n">
        <f aca="false">+IF(E1302=0,0,E1302*0.03)</f>
        <v>0</v>
      </c>
    </row>
    <row r="1303" customFormat="false" ht="15.75" hidden="false" customHeight="true" outlineLevel="0" collapsed="false">
      <c r="A1303" s="30" t="n">
        <v>0</v>
      </c>
      <c r="B1303" s="31" t="s">
        <v>11</v>
      </c>
      <c r="C1303" s="32"/>
      <c r="D1303" s="32"/>
      <c r="E1303" s="19" t="n">
        <f aca="false">+IF(C1303="EQUIPO",F1303,0)</f>
        <v>0</v>
      </c>
      <c r="F1303" s="33" t="n">
        <v>0</v>
      </c>
      <c r="G1303" s="35" t="n">
        <v>0</v>
      </c>
      <c r="H1303" s="34" t="n">
        <f aca="false">+IF(E1303=0,0,E1303*0.03)</f>
        <v>0</v>
      </c>
    </row>
    <row r="1304" customFormat="false" ht="15.75" hidden="false" customHeight="true" outlineLevel="0" collapsed="false">
      <c r="A1304" s="30" t="n">
        <v>0</v>
      </c>
      <c r="B1304" s="31" t="s">
        <v>11</v>
      </c>
      <c r="C1304" s="32"/>
      <c r="D1304" s="32"/>
      <c r="E1304" s="19" t="n">
        <f aca="false">+IF(C1304="EQUIPO",F1304,0)</f>
        <v>0</v>
      </c>
      <c r="F1304" s="33" t="n">
        <v>0</v>
      </c>
      <c r="G1304" s="35" t="n">
        <v>0</v>
      </c>
      <c r="H1304" s="34" t="n">
        <f aca="false">+IF(E1304=0,0,E1304*0.03)</f>
        <v>0</v>
      </c>
    </row>
    <row r="1305" customFormat="false" ht="15.75" hidden="false" customHeight="true" outlineLevel="0" collapsed="false">
      <c r="A1305" s="30" t="n">
        <v>0</v>
      </c>
      <c r="B1305" s="31" t="s">
        <v>11</v>
      </c>
      <c r="C1305" s="32"/>
      <c r="D1305" s="32"/>
      <c r="E1305" s="19" t="n">
        <f aca="false">+IF(C1305="EQUIPO",F1305,0)</f>
        <v>0</v>
      </c>
      <c r="F1305" s="33" t="n">
        <v>0</v>
      </c>
      <c r="G1305" s="35" t="n">
        <v>0</v>
      </c>
      <c r="H1305" s="34" t="n">
        <f aca="false">+IF(E1305=0,0,E1305*0.03)</f>
        <v>0</v>
      </c>
    </row>
    <row r="1306" customFormat="false" ht="15.75" hidden="false" customHeight="true" outlineLevel="0" collapsed="false">
      <c r="A1306" s="30" t="n">
        <v>0</v>
      </c>
      <c r="B1306" s="31" t="s">
        <v>11</v>
      </c>
      <c r="C1306" s="32"/>
      <c r="D1306" s="32"/>
      <c r="E1306" s="19" t="n">
        <f aca="false">+IF(C1306="EQUIPO",F1306,0)</f>
        <v>0</v>
      </c>
      <c r="F1306" s="33" t="n">
        <v>0</v>
      </c>
      <c r="G1306" s="35" t="n">
        <v>0</v>
      </c>
      <c r="H1306" s="34" t="n">
        <f aca="false">+IF(E1306=0,0,E1306*0.03)</f>
        <v>0</v>
      </c>
    </row>
    <row r="1307" customFormat="false" ht="15.75" hidden="false" customHeight="true" outlineLevel="0" collapsed="false">
      <c r="A1307" s="30" t="n">
        <v>0</v>
      </c>
      <c r="B1307" s="31" t="s">
        <v>11</v>
      </c>
      <c r="C1307" s="32"/>
      <c r="D1307" s="32"/>
      <c r="E1307" s="19" t="n">
        <f aca="false">+IF(C1307="EQUIPO",F1307,0)</f>
        <v>0</v>
      </c>
      <c r="F1307" s="33" t="n">
        <v>0</v>
      </c>
      <c r="G1307" s="35" t="n">
        <v>0</v>
      </c>
      <c r="H1307" s="34" t="n">
        <f aca="false">+IF(E1307=0,0,E1307*0.03)</f>
        <v>0</v>
      </c>
    </row>
    <row r="1308" customFormat="false" ht="15.75" hidden="false" customHeight="true" outlineLevel="0" collapsed="false">
      <c r="A1308" s="30" t="n">
        <v>0</v>
      </c>
      <c r="B1308" s="31" t="s">
        <v>11</v>
      </c>
      <c r="C1308" s="32"/>
      <c r="D1308" s="32"/>
      <c r="E1308" s="19" t="n">
        <f aca="false">+IF(C1308="EQUIPO",F1308,0)</f>
        <v>0</v>
      </c>
      <c r="F1308" s="33" t="n">
        <v>0</v>
      </c>
      <c r="G1308" s="35" t="n">
        <v>0</v>
      </c>
      <c r="H1308" s="34" t="n">
        <f aca="false">+IF(E1308=0,0,E1308*0.03)</f>
        <v>0</v>
      </c>
    </row>
    <row r="1309" customFormat="false" ht="15.75" hidden="false" customHeight="true" outlineLevel="0" collapsed="false">
      <c r="A1309" s="30" t="n">
        <v>0</v>
      </c>
      <c r="B1309" s="31" t="s">
        <v>11</v>
      </c>
      <c r="C1309" s="32"/>
      <c r="D1309" s="32"/>
      <c r="E1309" s="19" t="n">
        <f aca="false">+IF(C1309="EQUIPO",F1309,0)</f>
        <v>0</v>
      </c>
      <c r="F1309" s="33" t="n">
        <v>0</v>
      </c>
      <c r="G1309" s="35" t="n">
        <v>0</v>
      </c>
      <c r="H1309" s="34" t="n">
        <f aca="false">+IF(E1309=0,0,E1309*0.03)</f>
        <v>0</v>
      </c>
    </row>
    <row r="1310" customFormat="false" ht="15.75" hidden="false" customHeight="true" outlineLevel="0" collapsed="false">
      <c r="A1310" s="30" t="n">
        <v>0</v>
      </c>
      <c r="B1310" s="31" t="s">
        <v>11</v>
      </c>
      <c r="C1310" s="32"/>
      <c r="D1310" s="32"/>
      <c r="E1310" s="19" t="n">
        <f aca="false">+IF(C1310="EQUIPO",F1310,0)</f>
        <v>0</v>
      </c>
      <c r="F1310" s="33" t="n">
        <v>0</v>
      </c>
      <c r="G1310" s="35" t="n">
        <v>0</v>
      </c>
      <c r="H1310" s="34" t="n">
        <f aca="false">+IF(E1310=0,0,E1310*0.03)</f>
        <v>0</v>
      </c>
    </row>
    <row r="1311" customFormat="false" ht="15.75" hidden="false" customHeight="true" outlineLevel="0" collapsed="false">
      <c r="A1311" s="30" t="n">
        <v>0</v>
      </c>
      <c r="B1311" s="31" t="s">
        <v>11</v>
      </c>
      <c r="C1311" s="32"/>
      <c r="D1311" s="32"/>
      <c r="E1311" s="19" t="n">
        <f aca="false">+IF(C1311="EQUIPO",F1311,0)</f>
        <v>0</v>
      </c>
      <c r="F1311" s="33" t="n">
        <v>0</v>
      </c>
      <c r="G1311" s="35" t="n">
        <v>0</v>
      </c>
      <c r="H1311" s="34" t="n">
        <f aca="false">+IF(E1311=0,0,E1311*0.03)</f>
        <v>0</v>
      </c>
    </row>
    <row r="1312" customFormat="false" ht="15.75" hidden="false" customHeight="true" outlineLevel="0" collapsed="false">
      <c r="A1312" s="30" t="n">
        <v>0</v>
      </c>
      <c r="B1312" s="31" t="s">
        <v>11</v>
      </c>
      <c r="C1312" s="32"/>
      <c r="D1312" s="32"/>
      <c r="E1312" s="19" t="n">
        <f aca="false">+IF(C1312="EQUIPO",F1312,0)</f>
        <v>0</v>
      </c>
      <c r="F1312" s="33" t="n">
        <v>0</v>
      </c>
      <c r="G1312" s="35" t="n">
        <v>0</v>
      </c>
      <c r="H1312" s="34" t="n">
        <f aca="false">+IF(E1312=0,0,E1312*0.03)</f>
        <v>0</v>
      </c>
    </row>
    <row r="1313" customFormat="false" ht="15.75" hidden="false" customHeight="true" outlineLevel="0" collapsed="false">
      <c r="A1313" s="30" t="n">
        <v>0</v>
      </c>
      <c r="B1313" s="31" t="s">
        <v>11</v>
      </c>
      <c r="C1313" s="32"/>
      <c r="D1313" s="32"/>
      <c r="E1313" s="19" t="n">
        <f aca="false">+IF(C1313="EQUIPO",F1313,0)</f>
        <v>0</v>
      </c>
      <c r="F1313" s="33" t="n">
        <v>0</v>
      </c>
      <c r="G1313" s="35" t="n">
        <v>0</v>
      </c>
      <c r="H1313" s="34" t="n">
        <f aca="false">+IF(E1313=0,0,E1313*0.03)</f>
        <v>0</v>
      </c>
    </row>
    <row r="1314" customFormat="false" ht="15.75" hidden="false" customHeight="true" outlineLevel="0" collapsed="false">
      <c r="A1314" s="30" t="n">
        <v>0</v>
      </c>
      <c r="B1314" s="31" t="s">
        <v>11</v>
      </c>
      <c r="C1314" s="32"/>
      <c r="D1314" s="32"/>
      <c r="E1314" s="19" t="n">
        <f aca="false">+IF(C1314="EQUIPO",F1314,0)</f>
        <v>0</v>
      </c>
      <c r="F1314" s="33" t="n">
        <v>0</v>
      </c>
      <c r="G1314" s="35" t="n">
        <v>0</v>
      </c>
      <c r="H1314" s="34" t="n">
        <f aca="false">+IF(E1314=0,0,E1314*0.03)</f>
        <v>0</v>
      </c>
    </row>
    <row r="1315" customFormat="false" ht="15.75" hidden="false" customHeight="true" outlineLevel="0" collapsed="false">
      <c r="A1315" s="30" t="n">
        <v>0</v>
      </c>
      <c r="B1315" s="31" t="s">
        <v>11</v>
      </c>
      <c r="C1315" s="32"/>
      <c r="D1315" s="32"/>
      <c r="E1315" s="19" t="n">
        <f aca="false">+IF(C1315="EQUIPO",F1315,0)</f>
        <v>0</v>
      </c>
      <c r="F1315" s="33" t="n">
        <v>0</v>
      </c>
      <c r="G1315" s="35" t="n">
        <v>0</v>
      </c>
      <c r="H1315" s="34" t="n">
        <f aca="false">+IF(E1315=0,0,E1315*0.03)</f>
        <v>0</v>
      </c>
    </row>
    <row r="1316" customFormat="false" ht="15.75" hidden="false" customHeight="true" outlineLevel="0" collapsed="false">
      <c r="A1316" s="30" t="n">
        <v>0</v>
      </c>
      <c r="B1316" s="31" t="s">
        <v>11</v>
      </c>
      <c r="C1316" s="32"/>
      <c r="D1316" s="32"/>
      <c r="E1316" s="19" t="n">
        <f aca="false">+IF(C1316="EQUIPO",F1316,0)</f>
        <v>0</v>
      </c>
      <c r="F1316" s="33" t="n">
        <v>0</v>
      </c>
      <c r="G1316" s="35" t="n">
        <v>0</v>
      </c>
      <c r="H1316" s="34" t="n">
        <f aca="false">+IF(E1316=0,0,E1316*0.03)</f>
        <v>0</v>
      </c>
    </row>
    <row r="1317" customFormat="false" ht="15.75" hidden="false" customHeight="true" outlineLevel="0" collapsed="false">
      <c r="A1317" s="30" t="n">
        <v>0</v>
      </c>
      <c r="B1317" s="31" t="s">
        <v>11</v>
      </c>
      <c r="C1317" s="32"/>
      <c r="D1317" s="32"/>
      <c r="E1317" s="19" t="n">
        <f aca="false">+IF(C1317="EQUIPO",F1317,0)</f>
        <v>0</v>
      </c>
      <c r="F1317" s="33" t="n">
        <v>0</v>
      </c>
      <c r="G1317" s="35" t="n">
        <v>0</v>
      </c>
      <c r="H1317" s="34" t="n">
        <f aca="false">+IF(E1317=0,0,E1317*0.03)</f>
        <v>0</v>
      </c>
    </row>
    <row r="1318" customFormat="false" ht="15.75" hidden="false" customHeight="true" outlineLevel="0" collapsed="false">
      <c r="A1318" s="30" t="n">
        <v>0</v>
      </c>
      <c r="B1318" s="31" t="s">
        <v>11</v>
      </c>
      <c r="C1318" s="32"/>
      <c r="D1318" s="32"/>
      <c r="E1318" s="19" t="n">
        <f aca="false">+IF(C1318="EQUIPO",F1318,0)</f>
        <v>0</v>
      </c>
      <c r="F1318" s="33" t="n">
        <v>0</v>
      </c>
      <c r="G1318" s="35" t="n">
        <v>0</v>
      </c>
      <c r="H1318" s="34" t="n">
        <f aca="false">+IF(E1318=0,0,E1318*0.03)</f>
        <v>0</v>
      </c>
    </row>
    <row r="1319" customFormat="false" ht="15.75" hidden="false" customHeight="true" outlineLevel="0" collapsed="false">
      <c r="A1319" s="30" t="n">
        <v>0</v>
      </c>
      <c r="B1319" s="31" t="s">
        <v>11</v>
      </c>
      <c r="C1319" s="32"/>
      <c r="D1319" s="32"/>
      <c r="E1319" s="19" t="n">
        <f aca="false">+IF(C1319="EQUIPO",F1319,0)</f>
        <v>0</v>
      </c>
      <c r="F1319" s="33" t="n">
        <v>0</v>
      </c>
      <c r="G1319" s="35" t="n">
        <v>0</v>
      </c>
      <c r="H1319" s="34" t="n">
        <f aca="false">+IF(E1319=0,0,E1319*0.03)</f>
        <v>0</v>
      </c>
    </row>
    <row r="1320" customFormat="false" ht="15.75" hidden="false" customHeight="true" outlineLevel="0" collapsed="false">
      <c r="A1320" s="30" t="n">
        <v>0</v>
      </c>
      <c r="B1320" s="31" t="s">
        <v>11</v>
      </c>
      <c r="C1320" s="32"/>
      <c r="D1320" s="32"/>
      <c r="E1320" s="19" t="n">
        <f aca="false">+IF(C1320="EQUIPO",F1320,0)</f>
        <v>0</v>
      </c>
      <c r="F1320" s="33" t="n">
        <v>0</v>
      </c>
      <c r="G1320" s="35" t="n">
        <v>0</v>
      </c>
      <c r="H1320" s="34" t="n">
        <f aca="false">+IF(E1320=0,0,E1320*0.03)</f>
        <v>0</v>
      </c>
    </row>
    <row r="1321" customFormat="false" ht="15.75" hidden="false" customHeight="true" outlineLevel="0" collapsed="false">
      <c r="A1321" s="30" t="n">
        <v>0</v>
      </c>
      <c r="B1321" s="31" t="s">
        <v>11</v>
      </c>
      <c r="C1321" s="32"/>
      <c r="D1321" s="32"/>
      <c r="E1321" s="19" t="n">
        <f aca="false">+IF(C1321="EQUIPO",F1321,0)</f>
        <v>0</v>
      </c>
      <c r="F1321" s="33" t="n">
        <v>0</v>
      </c>
      <c r="G1321" s="35" t="n">
        <v>0</v>
      </c>
      <c r="H1321" s="34" t="n">
        <f aca="false">+IF(E1321=0,0,E1321*0.03)</f>
        <v>0</v>
      </c>
    </row>
    <row r="1322" customFormat="false" ht="15.75" hidden="false" customHeight="true" outlineLevel="0" collapsed="false">
      <c r="A1322" s="30" t="n">
        <v>0</v>
      </c>
      <c r="B1322" s="31" t="s">
        <v>11</v>
      </c>
      <c r="C1322" s="32"/>
      <c r="D1322" s="32"/>
      <c r="E1322" s="19" t="n">
        <f aca="false">+IF(C1322="EQUIPO",F1322,0)</f>
        <v>0</v>
      </c>
      <c r="F1322" s="33" t="n">
        <v>0</v>
      </c>
      <c r="G1322" s="35" t="n">
        <v>0</v>
      </c>
      <c r="H1322" s="34" t="n">
        <f aca="false">+IF(E1322=0,0,E1322*0.03)</f>
        <v>0</v>
      </c>
    </row>
    <row r="1323" customFormat="false" ht="15.75" hidden="false" customHeight="true" outlineLevel="0" collapsed="false">
      <c r="A1323" s="30" t="n">
        <v>0</v>
      </c>
      <c r="B1323" s="31" t="s">
        <v>11</v>
      </c>
      <c r="C1323" s="32"/>
      <c r="D1323" s="32"/>
      <c r="E1323" s="19" t="n">
        <f aca="false">+IF(C1323="EQUIPO",F1323,0)</f>
        <v>0</v>
      </c>
      <c r="F1323" s="33" t="n">
        <v>0</v>
      </c>
      <c r="G1323" s="35" t="n">
        <v>0</v>
      </c>
      <c r="H1323" s="34" t="n">
        <f aca="false">+IF(E1323=0,0,E1323*0.03)</f>
        <v>0</v>
      </c>
    </row>
    <row r="1324" customFormat="false" ht="15.75" hidden="false" customHeight="true" outlineLevel="0" collapsed="false">
      <c r="A1324" s="30" t="n">
        <v>0</v>
      </c>
      <c r="B1324" s="31" t="s">
        <v>11</v>
      </c>
      <c r="C1324" s="32"/>
      <c r="D1324" s="32"/>
      <c r="E1324" s="19" t="n">
        <f aca="false">+IF(C1324="EQUIPO",F1324,0)</f>
        <v>0</v>
      </c>
      <c r="F1324" s="33" t="n">
        <v>0</v>
      </c>
      <c r="G1324" s="35" t="n">
        <v>0</v>
      </c>
      <c r="H1324" s="34" t="n">
        <f aca="false">+IF(E1324=0,0,E1324*0.03)</f>
        <v>0</v>
      </c>
    </row>
    <row r="1325" customFormat="false" ht="15.75" hidden="false" customHeight="true" outlineLevel="0" collapsed="false">
      <c r="A1325" s="30" t="n">
        <v>0</v>
      </c>
      <c r="B1325" s="31" t="s">
        <v>11</v>
      </c>
      <c r="C1325" s="32"/>
      <c r="D1325" s="32"/>
      <c r="E1325" s="19" t="n">
        <f aca="false">+IF(C1325="EQUIPO",F1325,0)</f>
        <v>0</v>
      </c>
      <c r="F1325" s="33" t="n">
        <v>0</v>
      </c>
      <c r="G1325" s="35" t="n">
        <v>0</v>
      </c>
      <c r="H1325" s="34" t="n">
        <f aca="false">+IF(E1325=0,0,E1325*0.03)</f>
        <v>0</v>
      </c>
    </row>
    <row r="1326" customFormat="false" ht="15.75" hidden="false" customHeight="true" outlineLevel="0" collapsed="false">
      <c r="A1326" s="30" t="n">
        <v>0</v>
      </c>
      <c r="B1326" s="31" t="s">
        <v>11</v>
      </c>
      <c r="C1326" s="32"/>
      <c r="D1326" s="32"/>
      <c r="E1326" s="19" t="n">
        <f aca="false">+IF(C1326="EQUIPO",F1326,0)</f>
        <v>0</v>
      </c>
      <c r="F1326" s="33" t="n">
        <v>0</v>
      </c>
      <c r="G1326" s="35" t="n">
        <v>0</v>
      </c>
      <c r="H1326" s="34" t="n">
        <f aca="false">+IF(E1326=0,0,E1326*0.03)</f>
        <v>0</v>
      </c>
    </row>
    <row r="1327" customFormat="false" ht="15.75" hidden="false" customHeight="true" outlineLevel="0" collapsed="false">
      <c r="A1327" s="30" t="n">
        <v>0</v>
      </c>
      <c r="B1327" s="31" t="s">
        <v>11</v>
      </c>
      <c r="C1327" s="32"/>
      <c r="D1327" s="32"/>
      <c r="E1327" s="19" t="n">
        <f aca="false">+IF(C1327="EQUIPO",F1327,0)</f>
        <v>0</v>
      </c>
      <c r="F1327" s="33" t="n">
        <v>0</v>
      </c>
      <c r="G1327" s="35" t="n">
        <v>0</v>
      </c>
      <c r="H1327" s="34" t="n">
        <f aca="false">+IF(E1327=0,0,E1327*0.03)</f>
        <v>0</v>
      </c>
    </row>
    <row r="1328" customFormat="false" ht="15.75" hidden="false" customHeight="true" outlineLevel="0" collapsed="false">
      <c r="A1328" s="30" t="n">
        <v>0</v>
      </c>
      <c r="B1328" s="31" t="s">
        <v>11</v>
      </c>
      <c r="C1328" s="32"/>
      <c r="D1328" s="32"/>
      <c r="E1328" s="19" t="n">
        <f aca="false">+IF(C1328="EQUIPO",F1328,0)</f>
        <v>0</v>
      </c>
      <c r="F1328" s="33" t="n">
        <v>0</v>
      </c>
      <c r="G1328" s="35" t="n">
        <v>0</v>
      </c>
      <c r="H1328" s="34" t="n">
        <f aca="false">+IF(E1328=0,0,E1328*0.03)</f>
        <v>0</v>
      </c>
    </row>
    <row r="1329" customFormat="false" ht="15.75" hidden="false" customHeight="true" outlineLevel="0" collapsed="false">
      <c r="A1329" s="30" t="n">
        <v>0</v>
      </c>
      <c r="B1329" s="31" t="s">
        <v>11</v>
      </c>
      <c r="C1329" s="32"/>
      <c r="D1329" s="32"/>
      <c r="E1329" s="19" t="n">
        <f aca="false">+IF(C1329="EQUIPO",F1329,0)</f>
        <v>0</v>
      </c>
      <c r="F1329" s="33" t="n">
        <v>0</v>
      </c>
      <c r="G1329" s="35" t="n">
        <v>0</v>
      </c>
      <c r="H1329" s="34" t="n">
        <f aca="false">+IF(E1329=0,0,E1329*0.03)</f>
        <v>0</v>
      </c>
    </row>
    <row r="1330" customFormat="false" ht="15.75" hidden="false" customHeight="true" outlineLevel="0" collapsed="false">
      <c r="A1330" s="30" t="n">
        <v>0</v>
      </c>
      <c r="B1330" s="31" t="s">
        <v>11</v>
      </c>
      <c r="C1330" s="32"/>
      <c r="D1330" s="32"/>
      <c r="E1330" s="19" t="n">
        <f aca="false">+IF(C1330="EQUIPO",F1330,0)</f>
        <v>0</v>
      </c>
      <c r="F1330" s="33" t="n">
        <v>0</v>
      </c>
      <c r="G1330" s="35" t="n">
        <v>0</v>
      </c>
      <c r="H1330" s="34" t="n">
        <f aca="false">+IF(E1330=0,0,E1330*0.03)</f>
        <v>0</v>
      </c>
    </row>
    <row r="1331" customFormat="false" ht="15.75" hidden="false" customHeight="true" outlineLevel="0" collapsed="false">
      <c r="A1331" s="30" t="n">
        <v>0</v>
      </c>
      <c r="B1331" s="31" t="s">
        <v>11</v>
      </c>
      <c r="C1331" s="32"/>
      <c r="D1331" s="32"/>
      <c r="E1331" s="19" t="n">
        <f aca="false">+IF(C1331="EQUIPO",F1331,0)</f>
        <v>0</v>
      </c>
      <c r="F1331" s="33" t="n">
        <v>0</v>
      </c>
      <c r="G1331" s="35" t="n">
        <v>0</v>
      </c>
      <c r="H1331" s="34" t="n">
        <f aca="false">+IF(E1331=0,0,E1331*0.03)</f>
        <v>0</v>
      </c>
    </row>
    <row r="1332" customFormat="false" ht="15.75" hidden="false" customHeight="true" outlineLevel="0" collapsed="false">
      <c r="A1332" s="30" t="n">
        <v>0</v>
      </c>
      <c r="B1332" s="31" t="s">
        <v>11</v>
      </c>
      <c r="C1332" s="32"/>
      <c r="D1332" s="32"/>
      <c r="E1332" s="19" t="n">
        <f aca="false">+IF(C1332="EQUIPO",F1332,0)</f>
        <v>0</v>
      </c>
      <c r="F1332" s="33" t="n">
        <v>0</v>
      </c>
      <c r="G1332" s="35" t="n">
        <v>0</v>
      </c>
      <c r="H1332" s="34" t="n">
        <f aca="false">+IF(E1332=0,0,E1332*0.03)</f>
        <v>0</v>
      </c>
    </row>
    <row r="1333" customFormat="false" ht="15.75" hidden="false" customHeight="true" outlineLevel="0" collapsed="false">
      <c r="A1333" s="30" t="n">
        <v>0</v>
      </c>
      <c r="B1333" s="31" t="s">
        <v>11</v>
      </c>
      <c r="C1333" s="32"/>
      <c r="D1333" s="32"/>
      <c r="E1333" s="19" t="n">
        <f aca="false">+IF(C1333="EQUIPO",F1333,0)</f>
        <v>0</v>
      </c>
      <c r="F1333" s="33" t="n">
        <v>0</v>
      </c>
      <c r="G1333" s="35" t="n">
        <v>0</v>
      </c>
      <c r="H1333" s="34" t="n">
        <f aca="false">+IF(E1333=0,0,E1333*0.03)</f>
        <v>0</v>
      </c>
    </row>
    <row r="1334" customFormat="false" ht="15.75" hidden="false" customHeight="true" outlineLevel="0" collapsed="false">
      <c r="A1334" s="30" t="n">
        <v>0</v>
      </c>
      <c r="B1334" s="31" t="s">
        <v>11</v>
      </c>
      <c r="C1334" s="32"/>
      <c r="D1334" s="32"/>
      <c r="E1334" s="19" t="n">
        <f aca="false">+IF(C1334="EQUIPO",F1334,0)</f>
        <v>0</v>
      </c>
      <c r="F1334" s="33" t="n">
        <v>0</v>
      </c>
      <c r="G1334" s="35" t="n">
        <v>0</v>
      </c>
      <c r="H1334" s="34" t="n">
        <f aca="false">+IF(E1334=0,0,E1334*0.03)</f>
        <v>0</v>
      </c>
    </row>
    <row r="1335" customFormat="false" ht="15.75" hidden="false" customHeight="true" outlineLevel="0" collapsed="false">
      <c r="A1335" s="30" t="n">
        <v>0</v>
      </c>
      <c r="B1335" s="31" t="s">
        <v>11</v>
      </c>
      <c r="C1335" s="32"/>
      <c r="D1335" s="32"/>
      <c r="E1335" s="19" t="n">
        <f aca="false">+IF(C1335="EQUIPO",F1335,0)</f>
        <v>0</v>
      </c>
      <c r="F1335" s="33" t="n">
        <v>0</v>
      </c>
      <c r="G1335" s="35" t="n">
        <v>0</v>
      </c>
      <c r="H1335" s="34" t="n">
        <f aca="false">+IF(E1335=0,0,E1335*0.03)</f>
        <v>0</v>
      </c>
    </row>
    <row r="1336" customFormat="false" ht="15.75" hidden="false" customHeight="true" outlineLevel="0" collapsed="false">
      <c r="A1336" s="30" t="n">
        <v>0</v>
      </c>
      <c r="B1336" s="31" t="s">
        <v>11</v>
      </c>
      <c r="C1336" s="32"/>
      <c r="D1336" s="32"/>
      <c r="E1336" s="19" t="n">
        <f aca="false">+IF(C1336="EQUIPO",F1336,0)</f>
        <v>0</v>
      </c>
      <c r="F1336" s="33" t="n">
        <v>0</v>
      </c>
      <c r="G1336" s="35" t="n">
        <v>0</v>
      </c>
      <c r="H1336" s="34" t="n">
        <f aca="false">+IF(E1336=0,0,E1336*0.03)</f>
        <v>0</v>
      </c>
    </row>
    <row r="1337" customFormat="false" ht="15.75" hidden="false" customHeight="true" outlineLevel="0" collapsed="false">
      <c r="A1337" s="30" t="n">
        <v>0</v>
      </c>
      <c r="B1337" s="31" t="s">
        <v>11</v>
      </c>
      <c r="C1337" s="32"/>
      <c r="D1337" s="32"/>
      <c r="E1337" s="19" t="n">
        <f aca="false">+IF(C1337="EQUIPO",F1337,0)</f>
        <v>0</v>
      </c>
      <c r="F1337" s="33" t="n">
        <v>0</v>
      </c>
      <c r="G1337" s="35" t="n">
        <v>0</v>
      </c>
      <c r="H1337" s="34" t="n">
        <f aca="false">+IF(E1337=0,0,E1337*0.03)</f>
        <v>0</v>
      </c>
    </row>
    <row r="1338" customFormat="false" ht="15.75" hidden="false" customHeight="true" outlineLevel="0" collapsed="false">
      <c r="A1338" s="30" t="n">
        <v>0</v>
      </c>
      <c r="B1338" s="31" t="s">
        <v>11</v>
      </c>
      <c r="C1338" s="32"/>
      <c r="D1338" s="32"/>
      <c r="E1338" s="19" t="n">
        <f aca="false">+IF(C1338="EQUIPO",F1338,0)</f>
        <v>0</v>
      </c>
      <c r="F1338" s="33" t="n">
        <v>0</v>
      </c>
      <c r="G1338" s="35" t="n">
        <v>0</v>
      </c>
      <c r="H1338" s="34" t="n">
        <f aca="false">+IF(E1338=0,0,E1338*0.03)</f>
        <v>0</v>
      </c>
    </row>
    <row r="1339" customFormat="false" ht="15.75" hidden="false" customHeight="true" outlineLevel="0" collapsed="false">
      <c r="A1339" s="30" t="n">
        <v>0</v>
      </c>
      <c r="B1339" s="31" t="s">
        <v>11</v>
      </c>
      <c r="C1339" s="32"/>
      <c r="D1339" s="32"/>
      <c r="E1339" s="19" t="n">
        <f aca="false">+IF(C1339="EQUIPO",F1339,0)</f>
        <v>0</v>
      </c>
      <c r="F1339" s="33" t="n">
        <v>0</v>
      </c>
      <c r="G1339" s="35" t="n">
        <v>0</v>
      </c>
      <c r="H1339" s="34" t="n">
        <f aca="false">+IF(E1339=0,0,E1339*0.03)</f>
        <v>0</v>
      </c>
    </row>
    <row r="1340" customFormat="false" ht="15.75" hidden="false" customHeight="true" outlineLevel="0" collapsed="false">
      <c r="A1340" s="30" t="n">
        <v>0</v>
      </c>
      <c r="B1340" s="31" t="s">
        <v>11</v>
      </c>
      <c r="C1340" s="32"/>
      <c r="D1340" s="32"/>
      <c r="E1340" s="19" t="n">
        <f aca="false">+IF(C1340="EQUIPO",F1340,0)</f>
        <v>0</v>
      </c>
      <c r="F1340" s="33" t="n">
        <v>0</v>
      </c>
      <c r="G1340" s="35" t="n">
        <v>0</v>
      </c>
      <c r="H1340" s="34" t="n">
        <f aca="false">+IF(E1340=0,0,E1340*0.03)</f>
        <v>0</v>
      </c>
    </row>
    <row r="1341" customFormat="false" ht="15.75" hidden="false" customHeight="true" outlineLevel="0" collapsed="false">
      <c r="A1341" s="30" t="n">
        <v>0</v>
      </c>
      <c r="B1341" s="31" t="s">
        <v>11</v>
      </c>
      <c r="C1341" s="32"/>
      <c r="D1341" s="32"/>
      <c r="E1341" s="19" t="n">
        <f aca="false">+IF(C1341="EQUIPO",F1341,0)</f>
        <v>0</v>
      </c>
      <c r="F1341" s="33" t="n">
        <v>0</v>
      </c>
      <c r="G1341" s="35" t="n">
        <v>0</v>
      </c>
      <c r="H1341" s="34" t="n">
        <f aca="false">+IF(E1341=0,0,E1341*0.03)</f>
        <v>0</v>
      </c>
    </row>
    <row r="1342" customFormat="false" ht="15.75" hidden="false" customHeight="true" outlineLevel="0" collapsed="false">
      <c r="A1342" s="30" t="n">
        <v>0</v>
      </c>
      <c r="B1342" s="31" t="s">
        <v>11</v>
      </c>
      <c r="C1342" s="32"/>
      <c r="D1342" s="32"/>
      <c r="E1342" s="19" t="n">
        <f aca="false">+IF(C1342="EQUIPO",F1342,0)</f>
        <v>0</v>
      </c>
      <c r="F1342" s="33" t="n">
        <v>0</v>
      </c>
      <c r="G1342" s="35" t="n">
        <v>0</v>
      </c>
      <c r="H1342" s="34" t="n">
        <f aca="false">+IF(E1342=0,0,E1342*0.03)</f>
        <v>0</v>
      </c>
    </row>
    <row r="1343" customFormat="false" ht="15.75" hidden="false" customHeight="true" outlineLevel="0" collapsed="false">
      <c r="A1343" s="30" t="n">
        <v>0</v>
      </c>
      <c r="B1343" s="31" t="s">
        <v>11</v>
      </c>
      <c r="C1343" s="32"/>
      <c r="D1343" s="32"/>
      <c r="E1343" s="19" t="n">
        <f aca="false">+IF(C1343="EQUIPO",F1343,0)</f>
        <v>0</v>
      </c>
      <c r="F1343" s="33" t="n">
        <v>0</v>
      </c>
      <c r="G1343" s="35" t="n">
        <v>0</v>
      </c>
      <c r="H1343" s="34" t="n">
        <f aca="false">+IF(E1343=0,0,E1343*0.03)</f>
        <v>0</v>
      </c>
    </row>
    <row r="1344" customFormat="false" ht="15.75" hidden="false" customHeight="true" outlineLevel="0" collapsed="false">
      <c r="A1344" s="30" t="n">
        <v>0</v>
      </c>
      <c r="B1344" s="31" t="s">
        <v>11</v>
      </c>
      <c r="C1344" s="32"/>
      <c r="D1344" s="32"/>
      <c r="E1344" s="19" t="n">
        <f aca="false">+IF(C1344="EQUIPO",F1344,0)</f>
        <v>0</v>
      </c>
      <c r="F1344" s="33" t="n">
        <v>0</v>
      </c>
      <c r="G1344" s="35" t="n">
        <v>0</v>
      </c>
      <c r="H1344" s="34" t="n">
        <f aca="false">+IF(E1344=0,0,E1344*0.03)</f>
        <v>0</v>
      </c>
    </row>
    <row r="1345" customFormat="false" ht="15.75" hidden="false" customHeight="true" outlineLevel="0" collapsed="false">
      <c r="A1345" s="30" t="n">
        <v>0</v>
      </c>
      <c r="B1345" s="31" t="s">
        <v>11</v>
      </c>
      <c r="C1345" s="32"/>
      <c r="D1345" s="32"/>
      <c r="E1345" s="19" t="n">
        <f aca="false">+IF(C1345="EQUIPO",F1345,0)</f>
        <v>0</v>
      </c>
      <c r="F1345" s="33" t="n">
        <v>0</v>
      </c>
      <c r="G1345" s="35" t="n">
        <v>0</v>
      </c>
      <c r="H1345" s="34" t="n">
        <f aca="false">+IF(E1345=0,0,E1345*0.03)</f>
        <v>0</v>
      </c>
    </row>
    <row r="1346" customFormat="false" ht="15.75" hidden="false" customHeight="true" outlineLevel="0" collapsed="false">
      <c r="A1346" s="30" t="n">
        <v>0</v>
      </c>
      <c r="B1346" s="31" t="s">
        <v>11</v>
      </c>
      <c r="C1346" s="32"/>
      <c r="D1346" s="32"/>
      <c r="E1346" s="19" t="n">
        <f aca="false">+IF(C1346="EQUIPO",F1346,0)</f>
        <v>0</v>
      </c>
      <c r="F1346" s="33" t="n">
        <v>0</v>
      </c>
      <c r="G1346" s="35" t="n">
        <v>0</v>
      </c>
      <c r="H1346" s="34" t="n">
        <f aca="false">+IF(E1346=0,0,E1346*0.03)</f>
        <v>0</v>
      </c>
    </row>
    <row r="1347" customFormat="false" ht="15.75" hidden="false" customHeight="true" outlineLevel="0" collapsed="false">
      <c r="A1347" s="30" t="n">
        <v>0</v>
      </c>
      <c r="B1347" s="31" t="s">
        <v>11</v>
      </c>
      <c r="C1347" s="32"/>
      <c r="D1347" s="32"/>
      <c r="E1347" s="19" t="n">
        <f aca="false">+IF(C1347="EQUIPO",F1347,0)</f>
        <v>0</v>
      </c>
      <c r="F1347" s="33" t="n">
        <v>0</v>
      </c>
      <c r="G1347" s="35" t="n">
        <v>0</v>
      </c>
      <c r="H1347" s="34" t="n">
        <f aca="false">+IF(E1347=0,0,E1347*0.03)</f>
        <v>0</v>
      </c>
    </row>
    <row r="1348" customFormat="false" ht="15.75" hidden="false" customHeight="true" outlineLevel="0" collapsed="false">
      <c r="A1348" s="30" t="n">
        <v>0</v>
      </c>
      <c r="B1348" s="31" t="s">
        <v>11</v>
      </c>
      <c r="C1348" s="32"/>
      <c r="D1348" s="32"/>
      <c r="E1348" s="19" t="n">
        <f aca="false">+IF(C1348="EQUIPO",F1348,0)</f>
        <v>0</v>
      </c>
      <c r="F1348" s="33" t="n">
        <v>0</v>
      </c>
      <c r="G1348" s="35" t="n">
        <v>0</v>
      </c>
      <c r="H1348" s="34" t="n">
        <f aca="false">+IF(E1348=0,0,E1348*0.03)</f>
        <v>0</v>
      </c>
    </row>
    <row r="1349" customFormat="false" ht="15.75" hidden="false" customHeight="true" outlineLevel="0" collapsed="false">
      <c r="A1349" s="30" t="n">
        <v>0</v>
      </c>
      <c r="B1349" s="31" t="s">
        <v>11</v>
      </c>
      <c r="C1349" s="32"/>
      <c r="D1349" s="32"/>
      <c r="E1349" s="19" t="n">
        <f aca="false">+IF(C1349="EQUIPO",F1349,0)</f>
        <v>0</v>
      </c>
      <c r="F1349" s="33" t="n">
        <v>0</v>
      </c>
      <c r="G1349" s="35" t="n">
        <v>0</v>
      </c>
      <c r="H1349" s="34" t="n">
        <f aca="false">+IF(E1349=0,0,E1349*0.03)</f>
        <v>0</v>
      </c>
    </row>
    <row r="1350" customFormat="false" ht="15.75" hidden="false" customHeight="true" outlineLevel="0" collapsed="false">
      <c r="A1350" s="30" t="n">
        <v>0</v>
      </c>
      <c r="B1350" s="31" t="s">
        <v>11</v>
      </c>
      <c r="C1350" s="32"/>
      <c r="D1350" s="32"/>
      <c r="E1350" s="19" t="n">
        <f aca="false">+IF(C1350="EQUIPO",F1350,0)</f>
        <v>0</v>
      </c>
      <c r="F1350" s="33" t="n">
        <v>0</v>
      </c>
      <c r="G1350" s="35" t="n">
        <v>0</v>
      </c>
      <c r="H1350" s="34" t="n">
        <f aca="false">+IF(E1350=0,0,E1350*0.03)</f>
        <v>0</v>
      </c>
    </row>
    <row r="1351" customFormat="false" ht="15.75" hidden="false" customHeight="true" outlineLevel="0" collapsed="false">
      <c r="A1351" s="30" t="n">
        <v>0</v>
      </c>
      <c r="B1351" s="31" t="s">
        <v>11</v>
      </c>
      <c r="C1351" s="32"/>
      <c r="D1351" s="32"/>
      <c r="E1351" s="19" t="n">
        <f aca="false">+IF(C1351="EQUIPO",F1351,0)</f>
        <v>0</v>
      </c>
      <c r="F1351" s="33" t="n">
        <v>0</v>
      </c>
      <c r="G1351" s="35" t="n">
        <v>0</v>
      </c>
      <c r="H1351" s="34" t="n">
        <f aca="false">+IF(E1351=0,0,E1351*0.03)</f>
        <v>0</v>
      </c>
    </row>
    <row r="1352" customFormat="false" ht="15.75" hidden="false" customHeight="true" outlineLevel="0" collapsed="false">
      <c r="A1352" s="30" t="n">
        <v>0</v>
      </c>
      <c r="B1352" s="31" t="s">
        <v>11</v>
      </c>
      <c r="C1352" s="32"/>
      <c r="D1352" s="32"/>
      <c r="E1352" s="19" t="n">
        <f aca="false">+IF(C1352="EQUIPO",F1352,0)</f>
        <v>0</v>
      </c>
      <c r="F1352" s="33" t="n">
        <v>0</v>
      </c>
      <c r="G1352" s="35" t="n">
        <v>0</v>
      </c>
      <c r="H1352" s="34" t="n">
        <f aca="false">+IF(E1352=0,0,E1352*0.03)</f>
        <v>0</v>
      </c>
    </row>
    <row r="1353" customFormat="false" ht="15.75" hidden="false" customHeight="true" outlineLevel="0" collapsed="false">
      <c r="A1353" s="30" t="n">
        <v>0</v>
      </c>
      <c r="B1353" s="31" t="s">
        <v>11</v>
      </c>
      <c r="C1353" s="32"/>
      <c r="D1353" s="32"/>
      <c r="E1353" s="19" t="n">
        <f aca="false">+IF(C1353="EQUIPO",F1353,0)</f>
        <v>0</v>
      </c>
      <c r="F1353" s="33" t="n">
        <v>0</v>
      </c>
      <c r="G1353" s="35" t="n">
        <v>0</v>
      </c>
      <c r="H1353" s="34" t="n">
        <f aca="false">+IF(E1353=0,0,E1353*0.03)</f>
        <v>0</v>
      </c>
    </row>
    <row r="1354" customFormat="false" ht="15.75" hidden="false" customHeight="true" outlineLevel="0" collapsed="false">
      <c r="A1354" s="30" t="n">
        <v>0</v>
      </c>
      <c r="B1354" s="31" t="s">
        <v>11</v>
      </c>
      <c r="C1354" s="32"/>
      <c r="D1354" s="32"/>
      <c r="E1354" s="19" t="n">
        <f aca="false">+IF(C1354="EQUIPO",F1354,0)</f>
        <v>0</v>
      </c>
      <c r="F1354" s="33" t="n">
        <v>0</v>
      </c>
      <c r="G1354" s="35" t="n">
        <v>0</v>
      </c>
      <c r="H1354" s="34" t="n">
        <f aca="false">+IF(E1354=0,0,E1354*0.03)</f>
        <v>0</v>
      </c>
    </row>
    <row r="1355" customFormat="false" ht="15.75" hidden="false" customHeight="true" outlineLevel="0" collapsed="false">
      <c r="A1355" s="30" t="n">
        <v>0</v>
      </c>
      <c r="B1355" s="31" t="s">
        <v>11</v>
      </c>
      <c r="C1355" s="32"/>
      <c r="D1355" s="32"/>
      <c r="E1355" s="19" t="n">
        <f aca="false">+IF(C1355="EQUIPO",F1355,0)</f>
        <v>0</v>
      </c>
      <c r="F1355" s="33" t="n">
        <v>0</v>
      </c>
      <c r="G1355" s="35" t="n">
        <v>0</v>
      </c>
      <c r="H1355" s="34" t="n">
        <f aca="false">+IF(E1355=0,0,E1355*0.03)</f>
        <v>0</v>
      </c>
    </row>
    <row r="1356" customFormat="false" ht="15.75" hidden="false" customHeight="true" outlineLevel="0" collapsed="false">
      <c r="A1356" s="30" t="n">
        <v>0</v>
      </c>
      <c r="B1356" s="31" t="s">
        <v>11</v>
      </c>
      <c r="C1356" s="32"/>
      <c r="D1356" s="32"/>
      <c r="E1356" s="19" t="n">
        <f aca="false">+IF(C1356="EQUIPO",F1356,0)</f>
        <v>0</v>
      </c>
      <c r="F1356" s="33" t="n">
        <v>0</v>
      </c>
      <c r="G1356" s="35" t="n">
        <v>0</v>
      </c>
      <c r="H1356" s="34" t="n">
        <f aca="false">+IF(E1356=0,0,E1356*0.03)</f>
        <v>0</v>
      </c>
    </row>
    <row r="1357" customFormat="false" ht="15.75" hidden="false" customHeight="true" outlineLevel="0" collapsed="false">
      <c r="A1357" s="30" t="n">
        <v>0</v>
      </c>
      <c r="B1357" s="31" t="s">
        <v>11</v>
      </c>
      <c r="C1357" s="32"/>
      <c r="D1357" s="32"/>
      <c r="E1357" s="19" t="n">
        <f aca="false">+IF(C1357="EQUIPO",F1357,0)</f>
        <v>0</v>
      </c>
      <c r="F1357" s="33" t="n">
        <v>0</v>
      </c>
      <c r="G1357" s="35" t="n">
        <v>0</v>
      </c>
      <c r="H1357" s="34" t="n">
        <f aca="false">+IF(E1357=0,0,E1357*0.03)</f>
        <v>0</v>
      </c>
    </row>
    <row r="1358" customFormat="false" ht="15.75" hidden="false" customHeight="true" outlineLevel="0" collapsed="false">
      <c r="A1358" s="30" t="n">
        <v>0</v>
      </c>
      <c r="B1358" s="31" t="s">
        <v>11</v>
      </c>
      <c r="C1358" s="32"/>
      <c r="D1358" s="32"/>
      <c r="E1358" s="19" t="n">
        <f aca="false">+IF(C1358="EQUIPO",F1358,0)</f>
        <v>0</v>
      </c>
      <c r="F1358" s="33" t="n">
        <v>0</v>
      </c>
      <c r="G1358" s="35" t="n">
        <v>0</v>
      </c>
      <c r="H1358" s="34" t="n">
        <f aca="false">+IF(E1358=0,0,E1358*0.03)</f>
        <v>0</v>
      </c>
    </row>
    <row r="1359" customFormat="false" ht="15.75" hidden="false" customHeight="true" outlineLevel="0" collapsed="false">
      <c r="A1359" s="30" t="n">
        <v>0</v>
      </c>
      <c r="B1359" s="31" t="s">
        <v>11</v>
      </c>
      <c r="C1359" s="32"/>
      <c r="D1359" s="32"/>
      <c r="E1359" s="19" t="n">
        <f aca="false">+IF(C1359="EQUIPO",F1359,0)</f>
        <v>0</v>
      </c>
      <c r="F1359" s="33" t="n">
        <v>0</v>
      </c>
      <c r="G1359" s="35" t="n">
        <v>0</v>
      </c>
      <c r="H1359" s="34" t="n">
        <f aca="false">+IF(E1359=0,0,E1359*0.03)</f>
        <v>0</v>
      </c>
    </row>
    <row r="1360" customFormat="false" ht="15.75" hidden="false" customHeight="true" outlineLevel="0" collapsed="false">
      <c r="A1360" s="30" t="n">
        <v>0</v>
      </c>
      <c r="B1360" s="31" t="s">
        <v>11</v>
      </c>
      <c r="C1360" s="32"/>
      <c r="D1360" s="32"/>
      <c r="E1360" s="19" t="n">
        <f aca="false">+IF(C1360="EQUIPO",F1360,0)</f>
        <v>0</v>
      </c>
      <c r="F1360" s="33" t="n">
        <v>0</v>
      </c>
      <c r="G1360" s="35" t="n">
        <v>0</v>
      </c>
      <c r="H1360" s="34" t="n">
        <f aca="false">+IF(E1360=0,0,E1360*0.03)</f>
        <v>0</v>
      </c>
    </row>
    <row r="1361" customFormat="false" ht="15.75" hidden="false" customHeight="true" outlineLevel="0" collapsed="false">
      <c r="A1361" s="30" t="n">
        <v>0</v>
      </c>
      <c r="B1361" s="31" t="s">
        <v>11</v>
      </c>
      <c r="C1361" s="32"/>
      <c r="D1361" s="32"/>
      <c r="E1361" s="19" t="n">
        <f aca="false">+IF(C1361="EQUIPO",F1361,0)</f>
        <v>0</v>
      </c>
      <c r="F1361" s="33" t="n">
        <v>0</v>
      </c>
      <c r="G1361" s="35" t="n">
        <v>0</v>
      </c>
      <c r="H1361" s="34" t="n">
        <f aca="false">+IF(E1361=0,0,E1361*0.03)</f>
        <v>0</v>
      </c>
    </row>
    <row r="1362" customFormat="false" ht="15.75" hidden="false" customHeight="true" outlineLevel="0" collapsed="false">
      <c r="A1362" s="30" t="n">
        <v>0</v>
      </c>
      <c r="B1362" s="31" t="s">
        <v>11</v>
      </c>
      <c r="C1362" s="32"/>
      <c r="D1362" s="32"/>
      <c r="E1362" s="19" t="n">
        <f aca="false">+IF(C1362="EQUIPO",F1362,0)</f>
        <v>0</v>
      </c>
      <c r="F1362" s="33" t="n">
        <v>0</v>
      </c>
      <c r="G1362" s="35" t="n">
        <v>0</v>
      </c>
      <c r="H1362" s="34" t="n">
        <f aca="false">+IF(E1362=0,0,E1362*0.03)</f>
        <v>0</v>
      </c>
    </row>
    <row r="1363" customFormat="false" ht="15.75" hidden="false" customHeight="true" outlineLevel="0" collapsed="false">
      <c r="A1363" s="30" t="n">
        <v>0</v>
      </c>
      <c r="B1363" s="31" t="s">
        <v>11</v>
      </c>
      <c r="C1363" s="32"/>
      <c r="D1363" s="32"/>
      <c r="E1363" s="19" t="n">
        <f aca="false">+IF(C1363="EQUIPO",F1363,0)</f>
        <v>0</v>
      </c>
      <c r="F1363" s="33" t="n">
        <v>0</v>
      </c>
      <c r="G1363" s="35" t="n">
        <v>0</v>
      </c>
      <c r="H1363" s="34" t="n">
        <f aca="false">+IF(E1363=0,0,E1363*0.03)</f>
        <v>0</v>
      </c>
    </row>
    <row r="1364" customFormat="false" ht="15.75" hidden="false" customHeight="true" outlineLevel="0" collapsed="false">
      <c r="A1364" s="30" t="n">
        <v>0</v>
      </c>
      <c r="B1364" s="31" t="s">
        <v>11</v>
      </c>
      <c r="C1364" s="32"/>
      <c r="D1364" s="32"/>
      <c r="E1364" s="19" t="n">
        <f aca="false">+IF(C1364="EQUIPO",F1364,0)</f>
        <v>0</v>
      </c>
      <c r="F1364" s="33" t="n">
        <v>0</v>
      </c>
      <c r="G1364" s="35" t="n">
        <v>0</v>
      </c>
      <c r="H1364" s="34" t="n">
        <f aca="false">+IF(E1364=0,0,E1364*0.03)</f>
        <v>0</v>
      </c>
    </row>
    <row r="1365" customFormat="false" ht="15.75" hidden="false" customHeight="true" outlineLevel="0" collapsed="false">
      <c r="A1365" s="30" t="n">
        <v>0</v>
      </c>
      <c r="B1365" s="31" t="s">
        <v>11</v>
      </c>
      <c r="C1365" s="32"/>
      <c r="D1365" s="32"/>
      <c r="E1365" s="19" t="n">
        <f aca="false">+IF(C1365="EQUIPO",F1365,0)</f>
        <v>0</v>
      </c>
      <c r="F1365" s="33" t="n">
        <v>0</v>
      </c>
      <c r="G1365" s="35" t="n">
        <v>0</v>
      </c>
      <c r="H1365" s="34" t="n">
        <f aca="false">+IF(E1365=0,0,E1365*0.03)</f>
        <v>0</v>
      </c>
    </row>
    <row r="1366" customFormat="false" ht="15.75" hidden="false" customHeight="true" outlineLevel="0" collapsed="false">
      <c r="A1366" s="30" t="n">
        <v>0</v>
      </c>
      <c r="B1366" s="31" t="s">
        <v>11</v>
      </c>
      <c r="C1366" s="32"/>
      <c r="D1366" s="32"/>
      <c r="E1366" s="19" t="n">
        <f aca="false">+IF(C1366="EQUIPO",F1366,0)</f>
        <v>0</v>
      </c>
      <c r="F1366" s="33" t="n">
        <v>0</v>
      </c>
      <c r="G1366" s="35" t="n">
        <v>0</v>
      </c>
      <c r="H1366" s="34" t="n">
        <f aca="false">+IF(E1366=0,0,E1366*0.03)</f>
        <v>0</v>
      </c>
    </row>
    <row r="1367" customFormat="false" ht="15.75" hidden="false" customHeight="true" outlineLevel="0" collapsed="false">
      <c r="A1367" s="30" t="n">
        <v>0</v>
      </c>
      <c r="B1367" s="31" t="s">
        <v>11</v>
      </c>
      <c r="C1367" s="32"/>
      <c r="D1367" s="32"/>
      <c r="E1367" s="19" t="n">
        <f aca="false">+IF(C1367="EQUIPO",F1367,0)</f>
        <v>0</v>
      </c>
      <c r="F1367" s="33" t="n">
        <v>0</v>
      </c>
      <c r="G1367" s="35" t="n">
        <v>0</v>
      </c>
      <c r="H1367" s="34" t="n">
        <f aca="false">+IF(E1367=0,0,E1367*0.03)</f>
        <v>0</v>
      </c>
    </row>
    <row r="1368" customFormat="false" ht="15.75" hidden="false" customHeight="true" outlineLevel="0" collapsed="false">
      <c r="A1368" s="30" t="n">
        <v>0</v>
      </c>
      <c r="B1368" s="31" t="s">
        <v>11</v>
      </c>
      <c r="C1368" s="32"/>
      <c r="D1368" s="32"/>
      <c r="E1368" s="19" t="n">
        <f aca="false">+IF(C1368="EQUIPO",F1368,0)</f>
        <v>0</v>
      </c>
      <c r="F1368" s="33" t="n">
        <v>0</v>
      </c>
      <c r="G1368" s="35" t="n">
        <v>0</v>
      </c>
      <c r="H1368" s="34" t="n">
        <f aca="false">+IF(E1368=0,0,E1368*0.03)</f>
        <v>0</v>
      </c>
    </row>
    <row r="1369" customFormat="false" ht="15.75" hidden="false" customHeight="true" outlineLevel="0" collapsed="false">
      <c r="A1369" s="30" t="n">
        <v>0</v>
      </c>
      <c r="B1369" s="31" t="s">
        <v>11</v>
      </c>
      <c r="C1369" s="32"/>
      <c r="D1369" s="32"/>
      <c r="E1369" s="19" t="n">
        <f aca="false">+IF(C1369="EQUIPO",F1369,0)</f>
        <v>0</v>
      </c>
      <c r="F1369" s="33" t="n">
        <v>0</v>
      </c>
      <c r="G1369" s="35" t="n">
        <v>0</v>
      </c>
      <c r="H1369" s="34" t="n">
        <f aca="false">+IF(E1369=0,0,E1369*0.03)</f>
        <v>0</v>
      </c>
    </row>
    <row r="1370" customFormat="false" ht="15.75" hidden="false" customHeight="true" outlineLevel="0" collapsed="false">
      <c r="A1370" s="30" t="n">
        <v>0</v>
      </c>
      <c r="B1370" s="31" t="s">
        <v>11</v>
      </c>
      <c r="C1370" s="32"/>
      <c r="D1370" s="32"/>
      <c r="E1370" s="19" t="n">
        <f aca="false">+IF(C1370="EQUIPO",F1370,0)</f>
        <v>0</v>
      </c>
      <c r="F1370" s="33" t="n">
        <v>0</v>
      </c>
      <c r="G1370" s="35" t="n">
        <v>0</v>
      </c>
      <c r="H1370" s="34" t="n">
        <f aca="false">+IF(E1370=0,0,E1370*0.03)</f>
        <v>0</v>
      </c>
    </row>
    <row r="1371" customFormat="false" ht="15.75" hidden="false" customHeight="true" outlineLevel="0" collapsed="false">
      <c r="A1371" s="30" t="n">
        <v>0</v>
      </c>
      <c r="B1371" s="31" t="s">
        <v>11</v>
      </c>
      <c r="C1371" s="32"/>
      <c r="D1371" s="32"/>
      <c r="E1371" s="19" t="n">
        <f aca="false">+IF(C1371="EQUIPO",F1371,0)</f>
        <v>0</v>
      </c>
      <c r="F1371" s="33" t="n">
        <v>0</v>
      </c>
      <c r="G1371" s="35" t="n">
        <v>0</v>
      </c>
      <c r="H1371" s="34" t="n">
        <f aca="false">+IF(E1371=0,0,E1371*0.03)</f>
        <v>0</v>
      </c>
    </row>
    <row r="1372" customFormat="false" ht="15.75" hidden="false" customHeight="true" outlineLevel="0" collapsed="false">
      <c r="A1372" s="30" t="n">
        <v>0</v>
      </c>
      <c r="B1372" s="31" t="s">
        <v>11</v>
      </c>
      <c r="C1372" s="32"/>
      <c r="D1372" s="32"/>
      <c r="E1372" s="19" t="n">
        <f aca="false">+IF(C1372="EQUIPO",F1372,0)</f>
        <v>0</v>
      </c>
      <c r="F1372" s="33" t="n">
        <v>0</v>
      </c>
      <c r="G1372" s="35" t="n">
        <v>0</v>
      </c>
      <c r="H1372" s="34" t="n">
        <f aca="false">+IF(E1372=0,0,E1372*0.03)</f>
        <v>0</v>
      </c>
    </row>
    <row r="1373" customFormat="false" ht="15.75" hidden="false" customHeight="true" outlineLevel="0" collapsed="false">
      <c r="A1373" s="30" t="n">
        <v>0</v>
      </c>
      <c r="B1373" s="31" t="s">
        <v>11</v>
      </c>
      <c r="C1373" s="32"/>
      <c r="D1373" s="32"/>
      <c r="E1373" s="19" t="n">
        <f aca="false">+IF(C1373="EQUIPO",F1373,0)</f>
        <v>0</v>
      </c>
      <c r="F1373" s="33" t="n">
        <v>0</v>
      </c>
      <c r="G1373" s="35" t="n">
        <v>0</v>
      </c>
      <c r="H1373" s="34" t="n">
        <f aca="false">+IF(E1373=0,0,E1373*0.03)</f>
        <v>0</v>
      </c>
    </row>
    <row r="1374" customFormat="false" ht="15.75" hidden="false" customHeight="true" outlineLevel="0" collapsed="false">
      <c r="A1374" s="30" t="n">
        <v>0</v>
      </c>
      <c r="B1374" s="31" t="s">
        <v>11</v>
      </c>
      <c r="C1374" s="32"/>
      <c r="D1374" s="32"/>
      <c r="E1374" s="19" t="n">
        <f aca="false">+IF(C1374="EQUIPO",F1374,0)</f>
        <v>0</v>
      </c>
      <c r="F1374" s="33" t="n">
        <v>0</v>
      </c>
      <c r="G1374" s="35" t="n">
        <v>0</v>
      </c>
      <c r="H1374" s="34" t="n">
        <f aca="false">+IF(E1374=0,0,E1374*0.03)</f>
        <v>0</v>
      </c>
    </row>
    <row r="1375" customFormat="false" ht="15.75" hidden="false" customHeight="true" outlineLevel="0" collapsed="false">
      <c r="A1375" s="30" t="n">
        <v>0</v>
      </c>
      <c r="B1375" s="31" t="s">
        <v>11</v>
      </c>
      <c r="C1375" s="32"/>
      <c r="D1375" s="32"/>
      <c r="E1375" s="19" t="n">
        <f aca="false">+IF(C1375="EQUIPO",F1375,0)</f>
        <v>0</v>
      </c>
      <c r="F1375" s="33" t="n">
        <v>0</v>
      </c>
      <c r="G1375" s="35" t="n">
        <v>0</v>
      </c>
      <c r="H1375" s="34" t="n">
        <f aca="false">+IF(E1375=0,0,E1375*0.03)</f>
        <v>0</v>
      </c>
    </row>
    <row r="1376" customFormat="false" ht="15.75" hidden="false" customHeight="true" outlineLevel="0" collapsed="false">
      <c r="A1376" s="30" t="n">
        <v>0</v>
      </c>
      <c r="B1376" s="31" t="s">
        <v>11</v>
      </c>
      <c r="C1376" s="32"/>
      <c r="D1376" s="32"/>
      <c r="E1376" s="19" t="n">
        <f aca="false">+IF(C1376="EQUIPO",F1376,0)</f>
        <v>0</v>
      </c>
      <c r="F1376" s="33" t="n">
        <v>0</v>
      </c>
      <c r="G1376" s="35" t="n">
        <v>0</v>
      </c>
      <c r="H1376" s="34" t="n">
        <f aca="false">+IF(E1376=0,0,E1376*0.03)</f>
        <v>0</v>
      </c>
    </row>
    <row r="1377" customFormat="false" ht="15.75" hidden="false" customHeight="true" outlineLevel="0" collapsed="false">
      <c r="A1377" s="30" t="n">
        <v>0</v>
      </c>
      <c r="B1377" s="31" t="s">
        <v>11</v>
      </c>
      <c r="C1377" s="32"/>
      <c r="D1377" s="32"/>
      <c r="E1377" s="19" t="n">
        <f aca="false">+IF(C1377="EQUIPO",F1377,0)</f>
        <v>0</v>
      </c>
      <c r="F1377" s="33" t="n">
        <v>0</v>
      </c>
      <c r="G1377" s="35" t="n">
        <v>0</v>
      </c>
      <c r="H1377" s="34" t="n">
        <f aca="false">+IF(E1377=0,0,E1377*0.03)</f>
        <v>0</v>
      </c>
    </row>
    <row r="1378" customFormat="false" ht="15.75" hidden="false" customHeight="true" outlineLevel="0" collapsed="false">
      <c r="A1378" s="30" t="n">
        <v>0</v>
      </c>
      <c r="B1378" s="31" t="s">
        <v>11</v>
      </c>
      <c r="C1378" s="32"/>
      <c r="D1378" s="32"/>
      <c r="E1378" s="19" t="n">
        <f aca="false">+IF(C1378="EQUIPO",F1378,0)</f>
        <v>0</v>
      </c>
      <c r="F1378" s="33" t="n">
        <v>0</v>
      </c>
      <c r="G1378" s="35" t="n">
        <v>0</v>
      </c>
      <c r="H1378" s="34" t="n">
        <f aca="false">+IF(E1378=0,0,E1378*0.03)</f>
        <v>0</v>
      </c>
    </row>
    <row r="1379" customFormat="false" ht="15.75" hidden="false" customHeight="true" outlineLevel="0" collapsed="false">
      <c r="A1379" s="30" t="n">
        <v>0</v>
      </c>
      <c r="B1379" s="31" t="s">
        <v>11</v>
      </c>
      <c r="C1379" s="32"/>
      <c r="D1379" s="32"/>
      <c r="E1379" s="19" t="n">
        <f aca="false">+IF(C1379="EQUIPO",F1379,0)</f>
        <v>0</v>
      </c>
      <c r="F1379" s="33" t="n">
        <v>0</v>
      </c>
      <c r="G1379" s="35" t="n">
        <v>0</v>
      </c>
      <c r="H1379" s="34" t="n">
        <f aca="false">+IF(E1379=0,0,E1379*0.03)</f>
        <v>0</v>
      </c>
    </row>
    <row r="1380" customFormat="false" ht="15.75" hidden="false" customHeight="true" outlineLevel="0" collapsed="false">
      <c r="A1380" s="30" t="n">
        <v>0</v>
      </c>
      <c r="B1380" s="31" t="s">
        <v>11</v>
      </c>
      <c r="C1380" s="32"/>
      <c r="D1380" s="32"/>
      <c r="E1380" s="19" t="n">
        <f aca="false">+IF(C1380="EQUIPO",F1380,0)</f>
        <v>0</v>
      </c>
      <c r="F1380" s="33" t="n">
        <v>0</v>
      </c>
      <c r="G1380" s="35" t="n">
        <v>0</v>
      </c>
      <c r="H1380" s="34" t="n">
        <f aca="false">+IF(E1380=0,0,E1380*0.03)</f>
        <v>0</v>
      </c>
    </row>
    <row r="1381" customFormat="false" ht="15.75" hidden="false" customHeight="true" outlineLevel="0" collapsed="false">
      <c r="A1381" s="30" t="n">
        <v>0</v>
      </c>
      <c r="B1381" s="31" t="s">
        <v>11</v>
      </c>
      <c r="C1381" s="32"/>
      <c r="D1381" s="32"/>
      <c r="E1381" s="19" t="n">
        <f aca="false">+IF(C1381="EQUIPO",F1381,0)</f>
        <v>0</v>
      </c>
      <c r="F1381" s="33" t="n">
        <v>0</v>
      </c>
      <c r="G1381" s="35" t="n">
        <v>0</v>
      </c>
      <c r="H1381" s="34" t="n">
        <f aca="false">+IF(E1381=0,0,E1381*0.03)</f>
        <v>0</v>
      </c>
    </row>
    <row r="1382" customFormat="false" ht="15.75" hidden="false" customHeight="true" outlineLevel="0" collapsed="false">
      <c r="A1382" s="30" t="n">
        <v>0</v>
      </c>
      <c r="B1382" s="31" t="s">
        <v>11</v>
      </c>
      <c r="C1382" s="32"/>
      <c r="D1382" s="32"/>
      <c r="E1382" s="19" t="n">
        <f aca="false">+IF(C1382="EQUIPO",F1382,0)</f>
        <v>0</v>
      </c>
      <c r="F1382" s="33" t="n">
        <v>0</v>
      </c>
      <c r="G1382" s="35" t="n">
        <v>0</v>
      </c>
      <c r="H1382" s="34" t="n">
        <f aca="false">+IF(E1382=0,0,E1382*0.03)</f>
        <v>0</v>
      </c>
    </row>
    <row r="1383" customFormat="false" ht="15.75" hidden="false" customHeight="true" outlineLevel="0" collapsed="false">
      <c r="A1383" s="30" t="n">
        <v>0</v>
      </c>
      <c r="B1383" s="31" t="s">
        <v>11</v>
      </c>
      <c r="C1383" s="32"/>
      <c r="D1383" s="32"/>
      <c r="E1383" s="19" t="n">
        <f aca="false">+IF(C1383="EQUIPO",F1383,0)</f>
        <v>0</v>
      </c>
      <c r="F1383" s="33" t="n">
        <v>0</v>
      </c>
      <c r="G1383" s="35" t="n">
        <v>0</v>
      </c>
      <c r="H1383" s="34" t="n">
        <f aca="false">+IF(E1383=0,0,E1383*0.03)</f>
        <v>0</v>
      </c>
    </row>
    <row r="1384" customFormat="false" ht="15.75" hidden="false" customHeight="true" outlineLevel="0" collapsed="false">
      <c r="A1384" s="30" t="n">
        <v>0</v>
      </c>
      <c r="B1384" s="31" t="s">
        <v>11</v>
      </c>
      <c r="C1384" s="32"/>
      <c r="D1384" s="32"/>
      <c r="E1384" s="19" t="n">
        <f aca="false">+IF(C1384="EQUIPO",F1384,0)</f>
        <v>0</v>
      </c>
      <c r="F1384" s="33" t="n">
        <v>0</v>
      </c>
      <c r="G1384" s="35" t="n">
        <v>0</v>
      </c>
      <c r="H1384" s="34" t="n">
        <f aca="false">+IF(E1384=0,0,E1384*0.03)</f>
        <v>0</v>
      </c>
    </row>
    <row r="1385" customFormat="false" ht="15.75" hidden="false" customHeight="true" outlineLevel="0" collapsed="false">
      <c r="A1385" s="30" t="n">
        <v>0</v>
      </c>
      <c r="B1385" s="31" t="s">
        <v>11</v>
      </c>
      <c r="C1385" s="32"/>
      <c r="D1385" s="32"/>
      <c r="E1385" s="19" t="n">
        <f aca="false">+IF(C1385="EQUIPO",F1385,0)</f>
        <v>0</v>
      </c>
      <c r="F1385" s="33" t="n">
        <v>0</v>
      </c>
      <c r="G1385" s="35" t="n">
        <v>0</v>
      </c>
      <c r="H1385" s="34" t="n">
        <f aca="false">+IF(E1385=0,0,E1385*0.03)</f>
        <v>0</v>
      </c>
    </row>
    <row r="1386" customFormat="false" ht="15.75" hidden="false" customHeight="true" outlineLevel="0" collapsed="false">
      <c r="A1386" s="30" t="n">
        <v>0</v>
      </c>
      <c r="B1386" s="31" t="s">
        <v>11</v>
      </c>
      <c r="C1386" s="32"/>
      <c r="D1386" s="32"/>
      <c r="E1386" s="19" t="n">
        <f aca="false">+IF(C1386="EQUIPO",F1386,0)</f>
        <v>0</v>
      </c>
      <c r="F1386" s="33" t="n">
        <v>0</v>
      </c>
      <c r="G1386" s="35" t="n">
        <v>0</v>
      </c>
      <c r="H1386" s="34" t="n">
        <f aca="false">+IF(E1386=0,0,E1386*0.03)</f>
        <v>0</v>
      </c>
    </row>
    <row r="1387" customFormat="false" ht="15.75" hidden="false" customHeight="true" outlineLevel="0" collapsed="false">
      <c r="A1387" s="30" t="n">
        <v>0</v>
      </c>
      <c r="B1387" s="31" t="s">
        <v>11</v>
      </c>
      <c r="C1387" s="32"/>
      <c r="D1387" s="32"/>
      <c r="E1387" s="19" t="n">
        <f aca="false">+IF(C1387="EQUIPO",F1387,0)</f>
        <v>0</v>
      </c>
      <c r="F1387" s="33" t="n">
        <v>0</v>
      </c>
      <c r="G1387" s="35" t="n">
        <v>0</v>
      </c>
      <c r="H1387" s="34" t="n">
        <f aca="false">+IF(E1387=0,0,E1387*0.03)</f>
        <v>0</v>
      </c>
    </row>
    <row r="1388" customFormat="false" ht="15.75" hidden="false" customHeight="true" outlineLevel="0" collapsed="false">
      <c r="A1388" s="30" t="n">
        <v>0</v>
      </c>
      <c r="B1388" s="31" t="s">
        <v>11</v>
      </c>
      <c r="C1388" s="32"/>
      <c r="D1388" s="32"/>
      <c r="E1388" s="19" t="n">
        <f aca="false">+IF(C1388="EQUIPO",F1388,0)</f>
        <v>0</v>
      </c>
      <c r="F1388" s="33" t="n">
        <v>0</v>
      </c>
      <c r="G1388" s="35" t="n">
        <v>0</v>
      </c>
      <c r="H1388" s="34" t="n">
        <f aca="false">+IF(E1388=0,0,E1388*0.03)</f>
        <v>0</v>
      </c>
    </row>
    <row r="1389" customFormat="false" ht="15.75" hidden="false" customHeight="true" outlineLevel="0" collapsed="false">
      <c r="A1389" s="30" t="n">
        <v>0</v>
      </c>
      <c r="B1389" s="31" t="s">
        <v>11</v>
      </c>
      <c r="C1389" s="32"/>
      <c r="D1389" s="32"/>
      <c r="E1389" s="19" t="n">
        <f aca="false">+IF(C1389="EQUIPO",F1389,0)</f>
        <v>0</v>
      </c>
      <c r="F1389" s="33" t="n">
        <v>0</v>
      </c>
      <c r="G1389" s="35" t="n">
        <v>0</v>
      </c>
      <c r="H1389" s="34" t="n">
        <f aca="false">+IF(E1389=0,0,E1389*0.03)</f>
        <v>0</v>
      </c>
    </row>
    <row r="1390" customFormat="false" ht="15.75" hidden="false" customHeight="true" outlineLevel="0" collapsed="false">
      <c r="A1390" s="30" t="n">
        <v>0</v>
      </c>
      <c r="B1390" s="31" t="s">
        <v>11</v>
      </c>
      <c r="C1390" s="32"/>
      <c r="D1390" s="32"/>
      <c r="E1390" s="19" t="n">
        <f aca="false">+IF(C1390="EQUIPO",F1390,0)</f>
        <v>0</v>
      </c>
      <c r="F1390" s="33" t="n">
        <v>0</v>
      </c>
      <c r="G1390" s="35" t="n">
        <v>0</v>
      </c>
      <c r="H1390" s="34" t="n">
        <f aca="false">+IF(E1390=0,0,E1390*0.03)</f>
        <v>0</v>
      </c>
    </row>
    <row r="1391" customFormat="false" ht="15.75" hidden="false" customHeight="true" outlineLevel="0" collapsed="false">
      <c r="A1391" s="30" t="n">
        <v>0</v>
      </c>
      <c r="B1391" s="31" t="s">
        <v>11</v>
      </c>
      <c r="C1391" s="32"/>
      <c r="D1391" s="32"/>
      <c r="E1391" s="19" t="n">
        <f aca="false">+IF(C1391="EQUIPO",F1391,0)</f>
        <v>0</v>
      </c>
      <c r="F1391" s="33" t="n">
        <v>0</v>
      </c>
      <c r="G1391" s="35" t="n">
        <v>0</v>
      </c>
      <c r="H1391" s="34" t="n">
        <f aca="false">+IF(E1391=0,0,E1391*0.03)</f>
        <v>0</v>
      </c>
    </row>
    <row r="1392" customFormat="false" ht="15.75" hidden="false" customHeight="true" outlineLevel="0" collapsed="false">
      <c r="A1392" s="30" t="n">
        <v>0</v>
      </c>
      <c r="B1392" s="31" t="s">
        <v>11</v>
      </c>
      <c r="C1392" s="32"/>
      <c r="D1392" s="32"/>
      <c r="E1392" s="19" t="n">
        <f aca="false">+IF(C1392="EQUIPO",F1392,0)</f>
        <v>0</v>
      </c>
      <c r="F1392" s="33" t="n">
        <v>0</v>
      </c>
      <c r="G1392" s="35" t="n">
        <v>0</v>
      </c>
      <c r="H1392" s="34" t="n">
        <f aca="false">+IF(E1392=0,0,E1392*0.03)</f>
        <v>0</v>
      </c>
    </row>
    <row r="1393" customFormat="false" ht="15.75" hidden="false" customHeight="true" outlineLevel="0" collapsed="false">
      <c r="A1393" s="30" t="n">
        <v>0</v>
      </c>
      <c r="B1393" s="31" t="s">
        <v>11</v>
      </c>
      <c r="C1393" s="32"/>
      <c r="D1393" s="32"/>
      <c r="E1393" s="19" t="n">
        <f aca="false">+IF(C1393="EQUIPO",F1393,0)</f>
        <v>0</v>
      </c>
      <c r="F1393" s="33" t="n">
        <v>0</v>
      </c>
      <c r="G1393" s="35" t="n">
        <v>0</v>
      </c>
      <c r="H1393" s="34" t="n">
        <f aca="false">+IF(E1393=0,0,E1393*0.03)</f>
        <v>0</v>
      </c>
    </row>
    <row r="1394" customFormat="false" ht="15.75" hidden="false" customHeight="true" outlineLevel="0" collapsed="false">
      <c r="A1394" s="30" t="n">
        <v>0</v>
      </c>
      <c r="B1394" s="31" t="s">
        <v>11</v>
      </c>
      <c r="C1394" s="32"/>
      <c r="D1394" s="32"/>
      <c r="E1394" s="19" t="n">
        <f aca="false">+IF(C1394="EQUIPO",F1394,0)</f>
        <v>0</v>
      </c>
      <c r="F1394" s="33" t="n">
        <v>0</v>
      </c>
      <c r="G1394" s="35" t="n">
        <v>0</v>
      </c>
      <c r="H1394" s="34" t="n">
        <f aca="false">+IF(E1394=0,0,E1394*0.03)</f>
        <v>0</v>
      </c>
    </row>
    <row r="1395" customFormat="false" ht="15.75" hidden="false" customHeight="true" outlineLevel="0" collapsed="false">
      <c r="A1395" s="30" t="n">
        <v>0</v>
      </c>
      <c r="B1395" s="31" t="s">
        <v>11</v>
      </c>
      <c r="C1395" s="32"/>
      <c r="D1395" s="32"/>
      <c r="E1395" s="19" t="n">
        <f aca="false">+IF(C1395="EQUIPO",F1395,0)</f>
        <v>0</v>
      </c>
      <c r="F1395" s="33" t="n">
        <v>0</v>
      </c>
      <c r="G1395" s="35" t="n">
        <v>0</v>
      </c>
      <c r="H1395" s="34" t="n">
        <f aca="false">+IF(E1395=0,0,E1395*0.03)</f>
        <v>0</v>
      </c>
    </row>
    <row r="1396" customFormat="false" ht="15.75" hidden="false" customHeight="true" outlineLevel="0" collapsed="false">
      <c r="A1396" s="30" t="n">
        <v>0</v>
      </c>
      <c r="B1396" s="31" t="s">
        <v>11</v>
      </c>
      <c r="C1396" s="32"/>
      <c r="D1396" s="32"/>
      <c r="E1396" s="19" t="n">
        <f aca="false">+IF(C1396="EQUIPO",F1396,0)</f>
        <v>0</v>
      </c>
      <c r="F1396" s="33" t="n">
        <v>0</v>
      </c>
      <c r="G1396" s="35" t="n">
        <v>0</v>
      </c>
      <c r="H1396" s="34" t="n">
        <f aca="false">+IF(E1396=0,0,E1396*0.03)</f>
        <v>0</v>
      </c>
    </row>
    <row r="1397" customFormat="false" ht="15.75" hidden="false" customHeight="true" outlineLevel="0" collapsed="false">
      <c r="A1397" s="30" t="n">
        <v>0</v>
      </c>
      <c r="B1397" s="31" t="s">
        <v>11</v>
      </c>
      <c r="C1397" s="32"/>
      <c r="D1397" s="32"/>
      <c r="E1397" s="19" t="n">
        <f aca="false">+IF(C1397="EQUIPO",F1397,0)</f>
        <v>0</v>
      </c>
      <c r="F1397" s="33" t="n">
        <v>0</v>
      </c>
      <c r="G1397" s="35" t="n">
        <v>0</v>
      </c>
      <c r="H1397" s="34" t="n">
        <f aca="false">+IF(E1397=0,0,E1397*0.03)</f>
        <v>0</v>
      </c>
    </row>
    <row r="1398" customFormat="false" ht="15.75" hidden="false" customHeight="true" outlineLevel="0" collapsed="false">
      <c r="A1398" s="30" t="n">
        <v>0</v>
      </c>
      <c r="B1398" s="31" t="s">
        <v>11</v>
      </c>
      <c r="C1398" s="32"/>
      <c r="D1398" s="32"/>
      <c r="E1398" s="19" t="n">
        <f aca="false">+IF(C1398="EQUIPO",F1398,0)</f>
        <v>0</v>
      </c>
      <c r="F1398" s="33" t="n">
        <v>0</v>
      </c>
      <c r="G1398" s="35" t="n">
        <v>0</v>
      </c>
      <c r="H1398" s="34" t="n">
        <f aca="false">+IF(E1398=0,0,E1398*0.03)</f>
        <v>0</v>
      </c>
    </row>
    <row r="1399" customFormat="false" ht="15.75" hidden="false" customHeight="true" outlineLevel="0" collapsed="false">
      <c r="A1399" s="30" t="n">
        <v>0</v>
      </c>
      <c r="B1399" s="31" t="s">
        <v>11</v>
      </c>
      <c r="C1399" s="32"/>
      <c r="D1399" s="32"/>
      <c r="E1399" s="19" t="n">
        <f aca="false">+IF(C1399="EQUIPO",F1399,0)</f>
        <v>0</v>
      </c>
      <c r="F1399" s="33" t="n">
        <v>0</v>
      </c>
      <c r="G1399" s="35" t="n">
        <v>0</v>
      </c>
      <c r="H1399" s="34" t="n">
        <f aca="false">+IF(E1399=0,0,E1399*0.03)</f>
        <v>0</v>
      </c>
    </row>
    <row r="1400" customFormat="false" ht="15.75" hidden="false" customHeight="true" outlineLevel="0" collapsed="false">
      <c r="A1400" s="30" t="n">
        <v>0</v>
      </c>
      <c r="B1400" s="31" t="s">
        <v>11</v>
      </c>
      <c r="C1400" s="32"/>
      <c r="D1400" s="32"/>
      <c r="E1400" s="19" t="n">
        <f aca="false">+IF(C1400="EQUIPO",F1400,0)</f>
        <v>0</v>
      </c>
      <c r="F1400" s="33" t="n">
        <v>0</v>
      </c>
      <c r="G1400" s="35" t="n">
        <v>0</v>
      </c>
      <c r="H1400" s="34" t="n">
        <f aca="false">+IF(E1400=0,0,E1400*0.03)</f>
        <v>0</v>
      </c>
    </row>
    <row r="1401" customFormat="false" ht="15.75" hidden="false" customHeight="true" outlineLevel="0" collapsed="false">
      <c r="A1401" s="30" t="n">
        <v>0</v>
      </c>
      <c r="B1401" s="31" t="s">
        <v>11</v>
      </c>
      <c r="C1401" s="32"/>
      <c r="D1401" s="32"/>
      <c r="E1401" s="19" t="n">
        <f aca="false">+IF(C1401="EQUIPO",F1401,0)</f>
        <v>0</v>
      </c>
      <c r="F1401" s="33" t="n">
        <v>0</v>
      </c>
      <c r="G1401" s="35" t="n">
        <v>0</v>
      </c>
      <c r="H1401" s="34" t="n">
        <f aca="false">+IF(E1401=0,0,E1401*0.03)</f>
        <v>0</v>
      </c>
    </row>
    <row r="1402" customFormat="false" ht="15.75" hidden="false" customHeight="true" outlineLevel="0" collapsed="false">
      <c r="A1402" s="30" t="n">
        <v>0</v>
      </c>
      <c r="B1402" s="31" t="s">
        <v>11</v>
      </c>
      <c r="C1402" s="32"/>
      <c r="D1402" s="32"/>
      <c r="E1402" s="19" t="n">
        <f aca="false">+IF(C1402="EQUIPO",F1402,0)</f>
        <v>0</v>
      </c>
      <c r="F1402" s="33" t="n">
        <v>0</v>
      </c>
      <c r="G1402" s="35" t="n">
        <v>0</v>
      </c>
      <c r="H1402" s="34" t="n">
        <f aca="false">+IF(E1402=0,0,E1402*0.03)</f>
        <v>0</v>
      </c>
    </row>
    <row r="1403" customFormat="false" ht="15.75" hidden="false" customHeight="true" outlineLevel="0" collapsed="false">
      <c r="A1403" s="30" t="n">
        <v>0</v>
      </c>
      <c r="B1403" s="31" t="s">
        <v>11</v>
      </c>
      <c r="C1403" s="32"/>
      <c r="D1403" s="32"/>
      <c r="E1403" s="19" t="n">
        <f aca="false">+IF(C1403="EQUIPO",F1403,0)</f>
        <v>0</v>
      </c>
      <c r="F1403" s="33" t="n">
        <v>0</v>
      </c>
      <c r="G1403" s="35" t="n">
        <v>0</v>
      </c>
      <c r="H1403" s="34" t="n">
        <f aca="false">+IF(E1403=0,0,E1403*0.03)</f>
        <v>0</v>
      </c>
    </row>
    <row r="1404" customFormat="false" ht="15.75" hidden="false" customHeight="true" outlineLevel="0" collapsed="false">
      <c r="A1404" s="30" t="n">
        <v>0</v>
      </c>
      <c r="B1404" s="31" t="s">
        <v>11</v>
      </c>
      <c r="C1404" s="32"/>
      <c r="D1404" s="32"/>
      <c r="E1404" s="19" t="n">
        <f aca="false">+IF(C1404="EQUIPO",F1404,0)</f>
        <v>0</v>
      </c>
      <c r="F1404" s="33" t="n">
        <v>0</v>
      </c>
      <c r="G1404" s="35" t="n">
        <v>0</v>
      </c>
      <c r="H1404" s="34" t="n">
        <f aca="false">+IF(E1404=0,0,E1404*0.03)</f>
        <v>0</v>
      </c>
    </row>
    <row r="1405" customFormat="false" ht="15.75" hidden="false" customHeight="true" outlineLevel="0" collapsed="false">
      <c r="A1405" s="30" t="n">
        <v>0</v>
      </c>
      <c r="B1405" s="31" t="s">
        <v>11</v>
      </c>
      <c r="C1405" s="32"/>
      <c r="D1405" s="32"/>
      <c r="E1405" s="19" t="n">
        <f aca="false">+IF(C1405="EQUIPO",F1405,0)</f>
        <v>0</v>
      </c>
      <c r="F1405" s="33" t="n">
        <v>0</v>
      </c>
      <c r="G1405" s="35" t="n">
        <v>0</v>
      </c>
      <c r="H1405" s="34" t="n">
        <f aca="false">+IF(E1405=0,0,E1405*0.03)</f>
        <v>0</v>
      </c>
    </row>
    <row r="1406" customFormat="false" ht="15.75" hidden="false" customHeight="true" outlineLevel="0" collapsed="false">
      <c r="A1406" s="30" t="n">
        <v>0</v>
      </c>
      <c r="B1406" s="31" t="s">
        <v>11</v>
      </c>
      <c r="C1406" s="32"/>
      <c r="D1406" s="32"/>
      <c r="E1406" s="19" t="n">
        <f aca="false">+IF(C1406="EQUIPO",F1406,0)</f>
        <v>0</v>
      </c>
      <c r="F1406" s="33" t="n">
        <v>0</v>
      </c>
      <c r="G1406" s="35" t="n">
        <v>0</v>
      </c>
      <c r="H1406" s="34" t="n">
        <f aca="false">+IF(E1406=0,0,E1406*0.03)</f>
        <v>0</v>
      </c>
    </row>
    <row r="1407" customFormat="false" ht="15.75" hidden="false" customHeight="true" outlineLevel="0" collapsed="false">
      <c r="A1407" s="30" t="n">
        <v>0</v>
      </c>
      <c r="B1407" s="31" t="s">
        <v>11</v>
      </c>
      <c r="C1407" s="32"/>
      <c r="D1407" s="32"/>
      <c r="E1407" s="19" t="n">
        <f aca="false">+IF(C1407="EQUIPO",F1407,0)</f>
        <v>0</v>
      </c>
      <c r="F1407" s="33" t="n">
        <v>0</v>
      </c>
      <c r="G1407" s="35" t="n">
        <v>0</v>
      </c>
      <c r="H1407" s="34" t="n">
        <f aca="false">+IF(E1407=0,0,E1407*0.03)</f>
        <v>0</v>
      </c>
    </row>
    <row r="1408" customFormat="false" ht="15.75" hidden="false" customHeight="true" outlineLevel="0" collapsed="false">
      <c r="A1408" s="30" t="n">
        <v>0</v>
      </c>
      <c r="B1408" s="31" t="s">
        <v>11</v>
      </c>
      <c r="C1408" s="32"/>
      <c r="D1408" s="32"/>
      <c r="E1408" s="19" t="n">
        <f aca="false">+IF(C1408="EQUIPO",F1408,0)</f>
        <v>0</v>
      </c>
      <c r="F1408" s="33" t="n">
        <v>0</v>
      </c>
      <c r="G1408" s="35" t="n">
        <v>0</v>
      </c>
      <c r="H1408" s="34" t="n">
        <f aca="false">+IF(E1408=0,0,E1408*0.03)</f>
        <v>0</v>
      </c>
    </row>
    <row r="1409" customFormat="false" ht="15.75" hidden="false" customHeight="true" outlineLevel="0" collapsed="false">
      <c r="A1409" s="30" t="n">
        <v>0</v>
      </c>
      <c r="B1409" s="31" t="s">
        <v>11</v>
      </c>
      <c r="C1409" s="32"/>
      <c r="D1409" s="32"/>
      <c r="E1409" s="19" t="n">
        <f aca="false">+IF(C1409="EQUIPO",F1409,0)</f>
        <v>0</v>
      </c>
      <c r="F1409" s="33" t="n">
        <v>0</v>
      </c>
      <c r="G1409" s="35" t="n">
        <v>0</v>
      </c>
      <c r="H1409" s="34" t="n">
        <f aca="false">+IF(E1409=0,0,E1409*0.03)</f>
        <v>0</v>
      </c>
    </row>
    <row r="1410" customFormat="false" ht="15.75" hidden="false" customHeight="true" outlineLevel="0" collapsed="false">
      <c r="A1410" s="30" t="n">
        <v>0</v>
      </c>
      <c r="B1410" s="31" t="s">
        <v>11</v>
      </c>
      <c r="C1410" s="32"/>
      <c r="D1410" s="32"/>
      <c r="E1410" s="19" t="n">
        <f aca="false">+IF(C1410="EQUIPO",F1410,0)</f>
        <v>0</v>
      </c>
      <c r="F1410" s="33" t="n">
        <v>0</v>
      </c>
      <c r="G1410" s="35" t="n">
        <v>0</v>
      </c>
      <c r="H1410" s="34" t="n">
        <f aca="false">+IF(E1410=0,0,E1410*0.03)</f>
        <v>0</v>
      </c>
    </row>
    <row r="1411" customFormat="false" ht="15.75" hidden="false" customHeight="true" outlineLevel="0" collapsed="false">
      <c r="A1411" s="30" t="n">
        <v>0</v>
      </c>
      <c r="B1411" s="31" t="s">
        <v>11</v>
      </c>
      <c r="C1411" s="32"/>
      <c r="D1411" s="32"/>
      <c r="E1411" s="19" t="n">
        <f aca="false">+IF(C1411="EQUIPO",F1411,0)</f>
        <v>0</v>
      </c>
      <c r="F1411" s="33" t="n">
        <v>0</v>
      </c>
      <c r="G1411" s="35" t="n">
        <v>0</v>
      </c>
      <c r="H1411" s="34" t="n">
        <f aca="false">+IF(E1411=0,0,E1411*0.03)</f>
        <v>0</v>
      </c>
    </row>
    <row r="1412" customFormat="false" ht="15.75" hidden="false" customHeight="true" outlineLevel="0" collapsed="false">
      <c r="A1412" s="30" t="n">
        <v>0</v>
      </c>
      <c r="B1412" s="31" t="s">
        <v>11</v>
      </c>
      <c r="C1412" s="32"/>
      <c r="D1412" s="32"/>
      <c r="E1412" s="19" t="n">
        <f aca="false">+IF(C1412="EQUIPO",F1412,0)</f>
        <v>0</v>
      </c>
      <c r="F1412" s="33" t="n">
        <v>0</v>
      </c>
      <c r="G1412" s="35" t="n">
        <v>0</v>
      </c>
      <c r="H1412" s="34" t="n">
        <f aca="false">+IF(E1412=0,0,E1412*0.03)</f>
        <v>0</v>
      </c>
    </row>
    <row r="1413" customFormat="false" ht="15.75" hidden="false" customHeight="true" outlineLevel="0" collapsed="false">
      <c r="A1413" s="30" t="n">
        <v>0</v>
      </c>
      <c r="B1413" s="31" t="s">
        <v>11</v>
      </c>
      <c r="C1413" s="32"/>
      <c r="D1413" s="32"/>
      <c r="E1413" s="19" t="n">
        <f aca="false">+IF(C1413="EQUIPO",F1413,0)</f>
        <v>0</v>
      </c>
      <c r="F1413" s="33" t="n">
        <v>0</v>
      </c>
      <c r="G1413" s="35" t="n">
        <v>0</v>
      </c>
      <c r="H1413" s="34" t="n">
        <f aca="false">+IF(E1413=0,0,E1413*0.03)</f>
        <v>0</v>
      </c>
    </row>
    <row r="1414" customFormat="false" ht="15.75" hidden="false" customHeight="true" outlineLevel="0" collapsed="false">
      <c r="A1414" s="30" t="n">
        <v>0</v>
      </c>
      <c r="B1414" s="31" t="s">
        <v>11</v>
      </c>
      <c r="C1414" s="32"/>
      <c r="D1414" s="32"/>
      <c r="E1414" s="19" t="n">
        <f aca="false">+IF(C1414="EQUIPO",F1414,0)</f>
        <v>0</v>
      </c>
      <c r="F1414" s="33" t="n">
        <v>0</v>
      </c>
      <c r="G1414" s="35" t="n">
        <v>0</v>
      </c>
      <c r="H1414" s="34" t="n">
        <f aca="false">+IF(E1414=0,0,E1414*0.03)</f>
        <v>0</v>
      </c>
    </row>
    <row r="1415" customFormat="false" ht="15.75" hidden="false" customHeight="true" outlineLevel="0" collapsed="false">
      <c r="A1415" s="30" t="n">
        <v>0</v>
      </c>
      <c r="B1415" s="31" t="s">
        <v>11</v>
      </c>
      <c r="C1415" s="32"/>
      <c r="D1415" s="32"/>
      <c r="E1415" s="19" t="n">
        <f aca="false">+IF(C1415="EQUIPO",F1415,0)</f>
        <v>0</v>
      </c>
      <c r="F1415" s="33" t="n">
        <v>0</v>
      </c>
      <c r="G1415" s="35" t="n">
        <v>0</v>
      </c>
      <c r="H1415" s="34" t="n">
        <f aca="false">+IF(E1415=0,0,E1415*0.03)</f>
        <v>0</v>
      </c>
    </row>
    <row r="1416" customFormat="false" ht="15.75" hidden="false" customHeight="true" outlineLevel="0" collapsed="false">
      <c r="A1416" s="30" t="n">
        <v>0</v>
      </c>
      <c r="B1416" s="31" t="s">
        <v>11</v>
      </c>
      <c r="C1416" s="32"/>
      <c r="D1416" s="32"/>
      <c r="E1416" s="19" t="n">
        <f aca="false">+IF(C1416="EQUIPO",F1416,0)</f>
        <v>0</v>
      </c>
      <c r="F1416" s="33" t="n">
        <v>0</v>
      </c>
      <c r="G1416" s="35" t="n">
        <v>0</v>
      </c>
      <c r="H1416" s="34" t="n">
        <f aca="false">+IF(E1416=0,0,E1416*0.03)</f>
        <v>0</v>
      </c>
    </row>
    <row r="1417" customFormat="false" ht="15.75" hidden="false" customHeight="true" outlineLevel="0" collapsed="false">
      <c r="A1417" s="30" t="n">
        <v>0</v>
      </c>
      <c r="B1417" s="31" t="s">
        <v>11</v>
      </c>
      <c r="C1417" s="32"/>
      <c r="D1417" s="32"/>
      <c r="E1417" s="19" t="n">
        <f aca="false">+IF(C1417="EQUIPO",F1417,0)</f>
        <v>0</v>
      </c>
      <c r="F1417" s="33" t="n">
        <v>0</v>
      </c>
      <c r="G1417" s="35" t="n">
        <v>0</v>
      </c>
      <c r="H1417" s="34" t="n">
        <f aca="false">+IF(E1417=0,0,E1417*0.03)</f>
        <v>0</v>
      </c>
    </row>
    <row r="1418" customFormat="false" ht="15.75" hidden="false" customHeight="true" outlineLevel="0" collapsed="false">
      <c r="A1418" s="30" t="n">
        <v>0</v>
      </c>
      <c r="B1418" s="31" t="s">
        <v>11</v>
      </c>
      <c r="C1418" s="32"/>
      <c r="D1418" s="32"/>
      <c r="E1418" s="19" t="n">
        <f aca="false">+IF(C1418="EQUIPO",F1418,0)</f>
        <v>0</v>
      </c>
      <c r="F1418" s="33" t="n">
        <v>0</v>
      </c>
      <c r="G1418" s="35" t="n">
        <v>0</v>
      </c>
      <c r="H1418" s="34" t="n">
        <f aca="false">+IF(E1418=0,0,E1418*0.03)</f>
        <v>0</v>
      </c>
    </row>
    <row r="1419" customFormat="false" ht="15.75" hidden="false" customHeight="true" outlineLevel="0" collapsed="false">
      <c r="A1419" s="30" t="n">
        <v>0</v>
      </c>
      <c r="B1419" s="31" t="s">
        <v>11</v>
      </c>
      <c r="C1419" s="32"/>
      <c r="D1419" s="32"/>
      <c r="E1419" s="19" t="n">
        <f aca="false">+IF(C1419="EQUIPO",F1419,0)</f>
        <v>0</v>
      </c>
      <c r="F1419" s="33" t="n">
        <v>0</v>
      </c>
      <c r="G1419" s="35" t="n">
        <v>0</v>
      </c>
      <c r="H1419" s="34" t="n">
        <f aca="false">+IF(E1419=0,0,E1419*0.03)</f>
        <v>0</v>
      </c>
    </row>
    <row r="1420" customFormat="false" ht="15.75" hidden="false" customHeight="true" outlineLevel="0" collapsed="false">
      <c r="A1420" s="30" t="n">
        <v>0</v>
      </c>
      <c r="B1420" s="31" t="s">
        <v>11</v>
      </c>
      <c r="C1420" s="32"/>
      <c r="D1420" s="32"/>
      <c r="E1420" s="19" t="n">
        <f aca="false">+IF(C1420="EQUIPO",F1420,0)</f>
        <v>0</v>
      </c>
      <c r="F1420" s="33" t="n">
        <v>0</v>
      </c>
      <c r="G1420" s="35" t="n">
        <v>0</v>
      </c>
      <c r="H1420" s="34" t="n">
        <f aca="false">+IF(E1420=0,0,E1420*0.03)</f>
        <v>0</v>
      </c>
    </row>
    <row r="1421" customFormat="false" ht="15.75" hidden="false" customHeight="true" outlineLevel="0" collapsed="false">
      <c r="A1421" s="30" t="n">
        <v>0</v>
      </c>
      <c r="B1421" s="31" t="s">
        <v>11</v>
      </c>
      <c r="C1421" s="32"/>
      <c r="D1421" s="32"/>
      <c r="E1421" s="19" t="n">
        <f aca="false">+IF(C1421="EQUIPO",F1421,0)</f>
        <v>0</v>
      </c>
      <c r="F1421" s="33" t="n">
        <v>0</v>
      </c>
      <c r="G1421" s="35" t="n">
        <v>0</v>
      </c>
      <c r="H1421" s="34" t="n">
        <f aca="false">+IF(E1421=0,0,E1421*0.03)</f>
        <v>0</v>
      </c>
    </row>
    <row r="1422" customFormat="false" ht="15.75" hidden="false" customHeight="true" outlineLevel="0" collapsed="false">
      <c r="A1422" s="30" t="n">
        <v>0</v>
      </c>
      <c r="B1422" s="31" t="s">
        <v>11</v>
      </c>
      <c r="C1422" s="32"/>
      <c r="D1422" s="32"/>
      <c r="E1422" s="19" t="n">
        <f aca="false">+IF(C1422="EQUIPO",F1422,0)</f>
        <v>0</v>
      </c>
      <c r="F1422" s="33" t="n">
        <v>0</v>
      </c>
      <c r="G1422" s="35" t="n">
        <v>0</v>
      </c>
      <c r="H1422" s="34" t="n">
        <f aca="false">+IF(E1422=0,0,E1422*0.03)</f>
        <v>0</v>
      </c>
    </row>
    <row r="1423" customFormat="false" ht="15.75" hidden="false" customHeight="true" outlineLevel="0" collapsed="false">
      <c r="A1423" s="30" t="n">
        <v>0</v>
      </c>
      <c r="B1423" s="31" t="s">
        <v>11</v>
      </c>
      <c r="C1423" s="32"/>
      <c r="D1423" s="32"/>
      <c r="E1423" s="19" t="n">
        <f aca="false">+IF(C1423="EQUIPO",F1423,0)</f>
        <v>0</v>
      </c>
      <c r="F1423" s="33" t="n">
        <v>0</v>
      </c>
      <c r="G1423" s="35" t="n">
        <v>0</v>
      </c>
      <c r="H1423" s="34" t="n">
        <f aca="false">+IF(E1423=0,0,E1423*0.03)</f>
        <v>0</v>
      </c>
    </row>
    <row r="1424" customFormat="false" ht="15.75" hidden="false" customHeight="true" outlineLevel="0" collapsed="false">
      <c r="A1424" s="30" t="n">
        <v>0</v>
      </c>
      <c r="B1424" s="31" t="s">
        <v>11</v>
      </c>
      <c r="C1424" s="32"/>
      <c r="D1424" s="32"/>
      <c r="E1424" s="19" t="n">
        <f aca="false">+IF(C1424="EQUIPO",F1424,0)</f>
        <v>0</v>
      </c>
      <c r="F1424" s="33" t="n">
        <v>0</v>
      </c>
      <c r="G1424" s="35" t="n">
        <v>0</v>
      </c>
      <c r="H1424" s="34" t="n">
        <f aca="false">+IF(E1424=0,0,E1424*0.03)</f>
        <v>0</v>
      </c>
    </row>
    <row r="1425" customFormat="false" ht="15.75" hidden="false" customHeight="true" outlineLevel="0" collapsed="false">
      <c r="A1425" s="30" t="n">
        <v>0</v>
      </c>
      <c r="B1425" s="31" t="s">
        <v>11</v>
      </c>
      <c r="C1425" s="32"/>
      <c r="D1425" s="32"/>
      <c r="E1425" s="19" t="n">
        <f aca="false">+IF(C1425="EQUIPO",F1425,0)</f>
        <v>0</v>
      </c>
      <c r="F1425" s="33" t="n">
        <v>0</v>
      </c>
      <c r="G1425" s="35" t="n">
        <v>0</v>
      </c>
      <c r="H1425" s="34" t="n">
        <f aca="false">+IF(E1425=0,0,E1425*0.03)</f>
        <v>0</v>
      </c>
    </row>
    <row r="1426" customFormat="false" ht="15.75" hidden="false" customHeight="true" outlineLevel="0" collapsed="false">
      <c r="A1426" s="30" t="n">
        <v>0</v>
      </c>
      <c r="B1426" s="31" t="s">
        <v>11</v>
      </c>
      <c r="C1426" s="32"/>
      <c r="D1426" s="32"/>
      <c r="E1426" s="19" t="n">
        <f aca="false">+IF(C1426="EQUIPO",F1426,0)</f>
        <v>0</v>
      </c>
      <c r="F1426" s="33" t="n">
        <v>0</v>
      </c>
      <c r="G1426" s="35" t="n">
        <v>0</v>
      </c>
      <c r="H1426" s="34" t="n">
        <f aca="false">+IF(E1426=0,0,E1426*0.03)</f>
        <v>0</v>
      </c>
    </row>
    <row r="1427" customFormat="false" ht="15.75" hidden="false" customHeight="true" outlineLevel="0" collapsed="false">
      <c r="A1427" s="30" t="n">
        <v>0</v>
      </c>
      <c r="B1427" s="31" t="s">
        <v>11</v>
      </c>
      <c r="C1427" s="32"/>
      <c r="D1427" s="32"/>
      <c r="E1427" s="19" t="n">
        <f aca="false">+IF(C1427="EQUIPO",F1427,0)</f>
        <v>0</v>
      </c>
      <c r="F1427" s="33" t="n">
        <v>0</v>
      </c>
      <c r="G1427" s="35" t="n">
        <v>0</v>
      </c>
      <c r="H1427" s="34" t="n">
        <f aca="false">+IF(E1427=0,0,E1427*0.03)</f>
        <v>0</v>
      </c>
    </row>
    <row r="1428" customFormat="false" ht="15.75" hidden="false" customHeight="true" outlineLevel="0" collapsed="false">
      <c r="A1428" s="30" t="n">
        <v>0</v>
      </c>
      <c r="B1428" s="31" t="s">
        <v>11</v>
      </c>
      <c r="C1428" s="32"/>
      <c r="D1428" s="32"/>
      <c r="E1428" s="19" t="n">
        <f aca="false">+IF(C1428="EQUIPO",F1428,0)</f>
        <v>0</v>
      </c>
      <c r="F1428" s="33" t="n">
        <v>0</v>
      </c>
      <c r="G1428" s="35" t="n">
        <v>0</v>
      </c>
      <c r="H1428" s="34" t="n">
        <f aca="false">+IF(E1428=0,0,E1428*0.03)</f>
        <v>0</v>
      </c>
    </row>
    <row r="1429" customFormat="false" ht="15.75" hidden="false" customHeight="true" outlineLevel="0" collapsed="false">
      <c r="A1429" s="30" t="n">
        <v>0</v>
      </c>
      <c r="B1429" s="31" t="s">
        <v>11</v>
      </c>
      <c r="C1429" s="32"/>
      <c r="D1429" s="32"/>
      <c r="E1429" s="19" t="n">
        <f aca="false">+IF(C1429="EQUIPO",F1429,0)</f>
        <v>0</v>
      </c>
      <c r="F1429" s="33" t="n">
        <v>0</v>
      </c>
      <c r="G1429" s="35" t="n">
        <v>0</v>
      </c>
      <c r="H1429" s="34" t="n">
        <f aca="false">+IF(E1429=0,0,E1429*0.03)</f>
        <v>0</v>
      </c>
    </row>
    <row r="1430" customFormat="false" ht="15.75" hidden="false" customHeight="true" outlineLevel="0" collapsed="false">
      <c r="A1430" s="30" t="n">
        <v>0</v>
      </c>
      <c r="B1430" s="31" t="s">
        <v>11</v>
      </c>
      <c r="C1430" s="32"/>
      <c r="D1430" s="32"/>
      <c r="E1430" s="19" t="n">
        <f aca="false">+IF(C1430="EQUIPO",F1430,0)</f>
        <v>0</v>
      </c>
      <c r="F1430" s="33" t="n">
        <v>0</v>
      </c>
      <c r="G1430" s="35" t="n">
        <v>0</v>
      </c>
      <c r="H1430" s="34" t="n">
        <f aca="false">+IF(E1430=0,0,E1430*0.03)</f>
        <v>0</v>
      </c>
    </row>
    <row r="1431" customFormat="false" ht="15.75" hidden="false" customHeight="true" outlineLevel="0" collapsed="false">
      <c r="A1431" s="30" t="n">
        <v>0</v>
      </c>
      <c r="B1431" s="31" t="s">
        <v>11</v>
      </c>
      <c r="C1431" s="32"/>
      <c r="D1431" s="32"/>
      <c r="E1431" s="19" t="n">
        <f aca="false">+IF(C1431="EQUIPO",F1431,0)</f>
        <v>0</v>
      </c>
      <c r="F1431" s="33" t="n">
        <v>0</v>
      </c>
      <c r="G1431" s="35" t="n">
        <v>0</v>
      </c>
      <c r="H1431" s="34" t="n">
        <f aca="false">+IF(E1431=0,0,E1431*0.03)</f>
        <v>0</v>
      </c>
    </row>
    <row r="1432" customFormat="false" ht="15.75" hidden="false" customHeight="true" outlineLevel="0" collapsed="false">
      <c r="A1432" s="30" t="n">
        <v>0</v>
      </c>
      <c r="B1432" s="31" t="s">
        <v>11</v>
      </c>
      <c r="C1432" s="32"/>
      <c r="D1432" s="32"/>
      <c r="E1432" s="19" t="n">
        <f aca="false">+IF(C1432="EQUIPO",F1432,0)</f>
        <v>0</v>
      </c>
      <c r="F1432" s="33" t="n">
        <v>0</v>
      </c>
      <c r="G1432" s="35" t="n">
        <v>0</v>
      </c>
      <c r="H1432" s="34" t="n">
        <f aca="false">+IF(E1432=0,0,E1432*0.03)</f>
        <v>0</v>
      </c>
    </row>
    <row r="1433" customFormat="false" ht="15.75" hidden="false" customHeight="true" outlineLevel="0" collapsed="false">
      <c r="A1433" s="30" t="n">
        <v>0</v>
      </c>
      <c r="B1433" s="31" t="s">
        <v>11</v>
      </c>
      <c r="C1433" s="32"/>
      <c r="D1433" s="32"/>
      <c r="E1433" s="19" t="n">
        <f aca="false">+IF(C1433="EQUIPO",F1433,0)</f>
        <v>0</v>
      </c>
      <c r="F1433" s="33" t="n">
        <v>0</v>
      </c>
      <c r="G1433" s="35" t="n">
        <v>0</v>
      </c>
      <c r="H1433" s="34" t="n">
        <f aca="false">+IF(E1433=0,0,E1433*0.03)</f>
        <v>0</v>
      </c>
    </row>
    <row r="1434" customFormat="false" ht="15.75" hidden="false" customHeight="true" outlineLevel="0" collapsed="false">
      <c r="A1434" s="30" t="n">
        <v>0</v>
      </c>
      <c r="B1434" s="31" t="s">
        <v>11</v>
      </c>
      <c r="C1434" s="32"/>
      <c r="D1434" s="32"/>
      <c r="E1434" s="19" t="n">
        <f aca="false">+IF(C1434="EQUIPO",F1434,0)</f>
        <v>0</v>
      </c>
      <c r="F1434" s="33" t="n">
        <v>0</v>
      </c>
      <c r="G1434" s="35" t="n">
        <v>0</v>
      </c>
      <c r="H1434" s="34" t="n">
        <f aca="false">+IF(E1434=0,0,E1434*0.03)</f>
        <v>0</v>
      </c>
    </row>
    <row r="1435" customFormat="false" ht="15.75" hidden="false" customHeight="true" outlineLevel="0" collapsed="false">
      <c r="A1435" s="30" t="n">
        <v>0</v>
      </c>
      <c r="B1435" s="31" t="s">
        <v>11</v>
      </c>
      <c r="C1435" s="32"/>
      <c r="D1435" s="32"/>
      <c r="E1435" s="19" t="n">
        <f aca="false">+IF(C1435="EQUIPO",F1435,0)</f>
        <v>0</v>
      </c>
      <c r="F1435" s="33" t="n">
        <v>0</v>
      </c>
      <c r="G1435" s="35" t="n">
        <v>0</v>
      </c>
      <c r="H1435" s="34" t="n">
        <f aca="false">+IF(E1435=0,0,E1435*0.03)</f>
        <v>0</v>
      </c>
    </row>
    <row r="1436" customFormat="false" ht="15.75" hidden="false" customHeight="true" outlineLevel="0" collapsed="false">
      <c r="A1436" s="30" t="n">
        <v>0</v>
      </c>
      <c r="B1436" s="31" t="s">
        <v>11</v>
      </c>
      <c r="C1436" s="32"/>
      <c r="D1436" s="32"/>
      <c r="E1436" s="19" t="n">
        <f aca="false">+IF(C1436="EQUIPO",F1436,0)</f>
        <v>0</v>
      </c>
      <c r="F1436" s="33" t="n">
        <v>0</v>
      </c>
      <c r="G1436" s="35" t="n">
        <v>0</v>
      </c>
      <c r="H1436" s="34" t="n">
        <f aca="false">+IF(E1436=0,0,E1436*0.03)</f>
        <v>0</v>
      </c>
    </row>
    <row r="1437" customFormat="false" ht="15.75" hidden="false" customHeight="true" outlineLevel="0" collapsed="false">
      <c r="A1437" s="30" t="n">
        <v>0</v>
      </c>
      <c r="B1437" s="31" t="s">
        <v>11</v>
      </c>
      <c r="C1437" s="32"/>
      <c r="D1437" s="32"/>
      <c r="E1437" s="19" t="n">
        <f aca="false">+IF(C1437="EQUIPO",F1437,0)</f>
        <v>0</v>
      </c>
      <c r="F1437" s="33" t="n">
        <v>0</v>
      </c>
      <c r="G1437" s="35" t="n">
        <v>0</v>
      </c>
      <c r="H1437" s="34" t="n">
        <f aca="false">+IF(E1437=0,0,E1437*0.03)</f>
        <v>0</v>
      </c>
    </row>
    <row r="1438" customFormat="false" ht="15.75" hidden="false" customHeight="true" outlineLevel="0" collapsed="false">
      <c r="A1438" s="30" t="n">
        <v>0</v>
      </c>
      <c r="B1438" s="31" t="s">
        <v>11</v>
      </c>
      <c r="C1438" s="32"/>
      <c r="D1438" s="32"/>
      <c r="E1438" s="19" t="n">
        <f aca="false">+IF(C1438="EQUIPO",F1438,0)</f>
        <v>0</v>
      </c>
      <c r="F1438" s="33" t="n">
        <v>0</v>
      </c>
      <c r="G1438" s="35" t="n">
        <v>0</v>
      </c>
      <c r="H1438" s="34" t="n">
        <f aca="false">+IF(E1438=0,0,E1438*0.03)</f>
        <v>0</v>
      </c>
    </row>
    <row r="1439" customFormat="false" ht="15.75" hidden="false" customHeight="true" outlineLevel="0" collapsed="false">
      <c r="A1439" s="30" t="n">
        <v>0</v>
      </c>
      <c r="B1439" s="31" t="s">
        <v>11</v>
      </c>
      <c r="C1439" s="32"/>
      <c r="D1439" s="32"/>
      <c r="E1439" s="19" t="n">
        <f aca="false">+IF(C1439="EQUIPO",F1439,0)</f>
        <v>0</v>
      </c>
      <c r="F1439" s="33" t="n">
        <v>0</v>
      </c>
      <c r="G1439" s="35" t="n">
        <v>0</v>
      </c>
      <c r="H1439" s="34" t="n">
        <f aca="false">+IF(E1439=0,0,E1439*0.03)</f>
        <v>0</v>
      </c>
    </row>
    <row r="1440" customFormat="false" ht="15.75" hidden="false" customHeight="true" outlineLevel="0" collapsed="false">
      <c r="A1440" s="30" t="n">
        <v>0</v>
      </c>
      <c r="B1440" s="31" t="s">
        <v>11</v>
      </c>
      <c r="C1440" s="32"/>
      <c r="D1440" s="32"/>
      <c r="E1440" s="19" t="n">
        <f aca="false">+IF(C1440="EQUIPO",F1440,0)</f>
        <v>0</v>
      </c>
      <c r="F1440" s="33" t="n">
        <v>0</v>
      </c>
      <c r="G1440" s="35" t="n">
        <v>0</v>
      </c>
      <c r="H1440" s="34" t="n">
        <f aca="false">+IF(E1440=0,0,E1440*0.03)</f>
        <v>0</v>
      </c>
    </row>
    <row r="1441" customFormat="false" ht="15.75" hidden="false" customHeight="true" outlineLevel="0" collapsed="false">
      <c r="A1441" s="30" t="n">
        <v>0</v>
      </c>
      <c r="B1441" s="31" t="s">
        <v>11</v>
      </c>
      <c r="C1441" s="32"/>
      <c r="D1441" s="32"/>
      <c r="E1441" s="19" t="n">
        <f aca="false">+IF(C1441="EQUIPO",F1441,0)</f>
        <v>0</v>
      </c>
      <c r="F1441" s="33" t="n">
        <v>0</v>
      </c>
      <c r="G1441" s="35" t="n">
        <v>0</v>
      </c>
      <c r="H1441" s="34" t="n">
        <f aca="false">+IF(E1441=0,0,E1441*0.03)</f>
        <v>0</v>
      </c>
    </row>
    <row r="1442" customFormat="false" ht="15.75" hidden="false" customHeight="true" outlineLevel="0" collapsed="false">
      <c r="A1442" s="30" t="n">
        <v>0</v>
      </c>
      <c r="B1442" s="31" t="s">
        <v>11</v>
      </c>
      <c r="C1442" s="32"/>
      <c r="D1442" s="32"/>
      <c r="E1442" s="19" t="n">
        <f aca="false">+IF(C1442="EQUIPO",F1442,0)</f>
        <v>0</v>
      </c>
      <c r="F1442" s="33" t="n">
        <v>0</v>
      </c>
      <c r="G1442" s="35" t="n">
        <v>0</v>
      </c>
      <c r="H1442" s="34" t="n">
        <f aca="false">+IF(E1442=0,0,E1442*0.03)</f>
        <v>0</v>
      </c>
    </row>
    <row r="1443" customFormat="false" ht="15.75" hidden="false" customHeight="true" outlineLevel="0" collapsed="false">
      <c r="A1443" s="30" t="n">
        <v>0</v>
      </c>
      <c r="B1443" s="31" t="s">
        <v>11</v>
      </c>
      <c r="C1443" s="32"/>
      <c r="D1443" s="32"/>
      <c r="E1443" s="19" t="n">
        <f aca="false">+IF(C1443="EQUIPO",F1443,0)</f>
        <v>0</v>
      </c>
      <c r="F1443" s="33" t="n">
        <v>0</v>
      </c>
      <c r="G1443" s="35" t="n">
        <v>0</v>
      </c>
      <c r="H1443" s="34" t="n">
        <f aca="false">+IF(E1443=0,0,E1443*0.03)</f>
        <v>0</v>
      </c>
    </row>
    <row r="1444" customFormat="false" ht="15.75" hidden="false" customHeight="true" outlineLevel="0" collapsed="false">
      <c r="A1444" s="30" t="n">
        <v>0</v>
      </c>
      <c r="B1444" s="31" t="s">
        <v>11</v>
      </c>
      <c r="C1444" s="32"/>
      <c r="D1444" s="32"/>
      <c r="E1444" s="19" t="n">
        <f aca="false">+IF(C1444="EQUIPO",F1444,0)</f>
        <v>0</v>
      </c>
      <c r="F1444" s="33" t="n">
        <v>0</v>
      </c>
      <c r="G1444" s="35" t="n">
        <v>0</v>
      </c>
      <c r="H1444" s="34" t="n">
        <f aca="false">+IF(E1444=0,0,E1444*0.03)</f>
        <v>0</v>
      </c>
    </row>
    <row r="1445" customFormat="false" ht="15.75" hidden="false" customHeight="true" outlineLevel="0" collapsed="false">
      <c r="A1445" s="30" t="n">
        <v>0</v>
      </c>
      <c r="B1445" s="31" t="s">
        <v>11</v>
      </c>
      <c r="C1445" s="32"/>
      <c r="D1445" s="32"/>
      <c r="E1445" s="19" t="n">
        <f aca="false">+IF(C1445="EQUIPO",F1445,0)</f>
        <v>0</v>
      </c>
      <c r="F1445" s="33" t="n">
        <v>0</v>
      </c>
      <c r="G1445" s="35" t="n">
        <v>0</v>
      </c>
      <c r="H1445" s="34" t="n">
        <f aca="false">+IF(E1445=0,0,E1445*0.03)</f>
        <v>0</v>
      </c>
    </row>
    <row r="1446" customFormat="false" ht="15.75" hidden="false" customHeight="true" outlineLevel="0" collapsed="false">
      <c r="A1446" s="30" t="n">
        <v>0</v>
      </c>
      <c r="B1446" s="31" t="s">
        <v>11</v>
      </c>
      <c r="C1446" s="32"/>
      <c r="D1446" s="32"/>
      <c r="E1446" s="19" t="n">
        <f aca="false">+IF(C1446="EQUIPO",F1446,0)</f>
        <v>0</v>
      </c>
      <c r="F1446" s="33" t="n">
        <v>0</v>
      </c>
      <c r="G1446" s="35" t="n">
        <v>0</v>
      </c>
      <c r="H1446" s="34" t="n">
        <f aca="false">+IF(E1446=0,0,E1446*0.03)</f>
        <v>0</v>
      </c>
    </row>
    <row r="1447" customFormat="false" ht="15.75" hidden="false" customHeight="true" outlineLevel="0" collapsed="false">
      <c r="A1447" s="30" t="n">
        <v>0</v>
      </c>
      <c r="B1447" s="31" t="s">
        <v>11</v>
      </c>
      <c r="C1447" s="32"/>
      <c r="D1447" s="32"/>
      <c r="E1447" s="19" t="n">
        <f aca="false">+IF(C1447="EQUIPO",F1447,0)</f>
        <v>0</v>
      </c>
      <c r="F1447" s="33" t="n">
        <v>0</v>
      </c>
      <c r="G1447" s="35" t="n">
        <v>0</v>
      </c>
      <c r="H1447" s="34" t="n">
        <f aca="false">+IF(E1447=0,0,E1447*0.03)</f>
        <v>0</v>
      </c>
    </row>
    <row r="1448" customFormat="false" ht="15.75" hidden="false" customHeight="true" outlineLevel="0" collapsed="false">
      <c r="A1448" s="30" t="n">
        <v>0</v>
      </c>
      <c r="B1448" s="31" t="s">
        <v>11</v>
      </c>
      <c r="C1448" s="32"/>
      <c r="D1448" s="32"/>
      <c r="E1448" s="19" t="n">
        <f aca="false">+IF(C1448="EQUIPO",F1448,0)</f>
        <v>0</v>
      </c>
      <c r="F1448" s="33" t="n">
        <v>0</v>
      </c>
      <c r="G1448" s="35" t="n">
        <v>0</v>
      </c>
      <c r="H1448" s="34" t="n">
        <f aca="false">+IF(E1448=0,0,E1448*0.03)</f>
        <v>0</v>
      </c>
    </row>
    <row r="1449" customFormat="false" ht="15.75" hidden="false" customHeight="true" outlineLevel="0" collapsed="false">
      <c r="A1449" s="30" t="n">
        <v>0</v>
      </c>
      <c r="B1449" s="31" t="s">
        <v>11</v>
      </c>
      <c r="C1449" s="32"/>
      <c r="D1449" s="32"/>
      <c r="E1449" s="19" t="n">
        <f aca="false">+IF(C1449="EQUIPO",F1449,0)</f>
        <v>0</v>
      </c>
      <c r="F1449" s="33" t="n">
        <v>0</v>
      </c>
      <c r="G1449" s="35" t="n">
        <v>0</v>
      </c>
      <c r="H1449" s="34" t="n">
        <f aca="false">+IF(E1449=0,0,E1449*0.03)</f>
        <v>0</v>
      </c>
    </row>
    <row r="1450" customFormat="false" ht="15.75" hidden="false" customHeight="true" outlineLevel="0" collapsed="false">
      <c r="A1450" s="30" t="n">
        <v>0</v>
      </c>
      <c r="B1450" s="31" t="s">
        <v>11</v>
      </c>
      <c r="C1450" s="32"/>
      <c r="D1450" s="32"/>
      <c r="E1450" s="19" t="n">
        <f aca="false">+IF(C1450="EQUIPO",F1450,0)</f>
        <v>0</v>
      </c>
      <c r="F1450" s="33" t="n">
        <v>0</v>
      </c>
      <c r="G1450" s="35" t="n">
        <v>0</v>
      </c>
      <c r="H1450" s="34" t="n">
        <f aca="false">+IF(E1450=0,0,E1450*0.03)</f>
        <v>0</v>
      </c>
    </row>
    <row r="1451" customFormat="false" ht="15.75" hidden="false" customHeight="true" outlineLevel="0" collapsed="false">
      <c r="A1451" s="30" t="n">
        <v>0</v>
      </c>
      <c r="B1451" s="31" t="s">
        <v>11</v>
      </c>
      <c r="C1451" s="32"/>
      <c r="D1451" s="32"/>
      <c r="E1451" s="19" t="n">
        <f aca="false">+IF(C1451="EQUIPO",F1451,0)</f>
        <v>0</v>
      </c>
      <c r="F1451" s="33" t="n">
        <v>0</v>
      </c>
      <c r="G1451" s="35" t="n">
        <v>0</v>
      </c>
      <c r="H1451" s="34" t="n">
        <f aca="false">+IF(E1451=0,0,E1451*0.03)</f>
        <v>0</v>
      </c>
    </row>
    <row r="1452" customFormat="false" ht="15.75" hidden="false" customHeight="true" outlineLevel="0" collapsed="false">
      <c r="A1452" s="30" t="n">
        <v>0</v>
      </c>
      <c r="B1452" s="31" t="s">
        <v>11</v>
      </c>
      <c r="C1452" s="32"/>
      <c r="D1452" s="32"/>
      <c r="E1452" s="19" t="n">
        <f aca="false">+IF(C1452="EQUIPO",F1452,0)</f>
        <v>0</v>
      </c>
      <c r="F1452" s="33" t="n">
        <v>0</v>
      </c>
      <c r="G1452" s="35" t="n">
        <v>0</v>
      </c>
      <c r="H1452" s="34" t="n">
        <f aca="false">+IF(E1452=0,0,E1452*0.03)</f>
        <v>0</v>
      </c>
    </row>
    <row r="1453" customFormat="false" ht="15.75" hidden="false" customHeight="true" outlineLevel="0" collapsed="false">
      <c r="A1453" s="30" t="n">
        <v>0</v>
      </c>
      <c r="B1453" s="31" t="s">
        <v>11</v>
      </c>
      <c r="C1453" s="32"/>
      <c r="D1453" s="32"/>
      <c r="E1453" s="19" t="n">
        <f aca="false">+IF(C1453="EQUIPO",F1453,0)</f>
        <v>0</v>
      </c>
      <c r="F1453" s="33" t="n">
        <v>0</v>
      </c>
      <c r="G1453" s="35" t="n">
        <v>0</v>
      </c>
      <c r="H1453" s="34" t="n">
        <f aca="false">+IF(E1453=0,0,E1453*0.03)</f>
        <v>0</v>
      </c>
    </row>
    <row r="1454" customFormat="false" ht="15.75" hidden="false" customHeight="true" outlineLevel="0" collapsed="false">
      <c r="A1454" s="30" t="n">
        <v>0</v>
      </c>
      <c r="B1454" s="31" t="s">
        <v>11</v>
      </c>
      <c r="C1454" s="32"/>
      <c r="D1454" s="32"/>
      <c r="E1454" s="19" t="n">
        <f aca="false">+IF(C1454="EQUIPO",F1454,0)</f>
        <v>0</v>
      </c>
      <c r="F1454" s="33" t="n">
        <v>0</v>
      </c>
      <c r="G1454" s="35" t="n">
        <v>0</v>
      </c>
      <c r="H1454" s="34" t="n">
        <f aca="false">+IF(E1454=0,0,E1454*0.03)</f>
        <v>0</v>
      </c>
    </row>
    <row r="1455" customFormat="false" ht="15.75" hidden="false" customHeight="true" outlineLevel="0" collapsed="false">
      <c r="A1455" s="30" t="n">
        <v>0</v>
      </c>
      <c r="B1455" s="31" t="s">
        <v>11</v>
      </c>
      <c r="C1455" s="32"/>
      <c r="D1455" s="32"/>
      <c r="E1455" s="19" t="n">
        <f aca="false">+IF(C1455="EQUIPO",F1455,0)</f>
        <v>0</v>
      </c>
      <c r="F1455" s="33" t="n">
        <v>0</v>
      </c>
      <c r="G1455" s="35" t="n">
        <v>0</v>
      </c>
      <c r="H1455" s="34" t="n">
        <f aca="false">+IF(E1455=0,0,E1455*0.03)</f>
        <v>0</v>
      </c>
    </row>
    <row r="1456" customFormat="false" ht="15.75" hidden="false" customHeight="true" outlineLevel="0" collapsed="false">
      <c r="A1456" s="30" t="n">
        <v>0</v>
      </c>
      <c r="B1456" s="31" t="s">
        <v>11</v>
      </c>
      <c r="C1456" s="32"/>
      <c r="D1456" s="32"/>
      <c r="E1456" s="19" t="n">
        <f aca="false">+IF(C1456="EQUIPO",F1456,0)</f>
        <v>0</v>
      </c>
      <c r="F1456" s="33" t="n">
        <v>0</v>
      </c>
      <c r="G1456" s="35" t="n">
        <v>0</v>
      </c>
      <c r="H1456" s="34" t="n">
        <f aca="false">+IF(E1456=0,0,E1456*0.03)</f>
        <v>0</v>
      </c>
    </row>
    <row r="1457" customFormat="false" ht="15.75" hidden="false" customHeight="true" outlineLevel="0" collapsed="false">
      <c r="A1457" s="30" t="n">
        <v>0</v>
      </c>
      <c r="B1457" s="31" t="s">
        <v>11</v>
      </c>
      <c r="C1457" s="32"/>
      <c r="D1457" s="32"/>
      <c r="E1457" s="19" t="n">
        <f aca="false">+IF(C1457="EQUIPO",F1457,0)</f>
        <v>0</v>
      </c>
      <c r="F1457" s="33" t="n">
        <v>0</v>
      </c>
      <c r="G1457" s="35" t="n">
        <v>0</v>
      </c>
      <c r="H1457" s="34" t="n">
        <f aca="false">+IF(E1457=0,0,E1457*0.03)</f>
        <v>0</v>
      </c>
    </row>
    <row r="1458" customFormat="false" ht="15.75" hidden="false" customHeight="true" outlineLevel="0" collapsed="false">
      <c r="A1458" s="30" t="n">
        <v>0</v>
      </c>
      <c r="B1458" s="31" t="s">
        <v>11</v>
      </c>
      <c r="C1458" s="32"/>
      <c r="D1458" s="32"/>
      <c r="E1458" s="19" t="n">
        <f aca="false">+IF(C1458="EQUIPO",F1458,0)</f>
        <v>0</v>
      </c>
      <c r="F1458" s="33" t="n">
        <v>0</v>
      </c>
      <c r="G1458" s="35" t="n">
        <v>0</v>
      </c>
      <c r="H1458" s="34" t="n">
        <f aca="false">+IF(E1458=0,0,E1458*0.03)</f>
        <v>0</v>
      </c>
    </row>
    <row r="1459" customFormat="false" ht="15.75" hidden="false" customHeight="true" outlineLevel="0" collapsed="false">
      <c r="A1459" s="30" t="n">
        <v>0</v>
      </c>
      <c r="B1459" s="31" t="s">
        <v>11</v>
      </c>
      <c r="C1459" s="32"/>
      <c r="D1459" s="32"/>
      <c r="E1459" s="19" t="n">
        <f aca="false">+IF(C1459="EQUIPO",F1459,0)</f>
        <v>0</v>
      </c>
      <c r="F1459" s="33" t="n">
        <v>0</v>
      </c>
      <c r="G1459" s="35" t="n">
        <v>0</v>
      </c>
      <c r="H1459" s="34" t="n">
        <f aca="false">+IF(E1459=0,0,E1459*0.03)</f>
        <v>0</v>
      </c>
    </row>
    <row r="1460" customFormat="false" ht="15.75" hidden="false" customHeight="true" outlineLevel="0" collapsed="false">
      <c r="A1460" s="30" t="n">
        <v>0</v>
      </c>
      <c r="B1460" s="31" t="s">
        <v>11</v>
      </c>
      <c r="C1460" s="32"/>
      <c r="D1460" s="32"/>
      <c r="E1460" s="19" t="n">
        <f aca="false">+IF(C1460="EQUIPO",F1460,0)</f>
        <v>0</v>
      </c>
      <c r="F1460" s="33" t="n">
        <v>0</v>
      </c>
      <c r="G1460" s="35" t="n">
        <v>0</v>
      </c>
      <c r="H1460" s="34" t="n">
        <f aca="false">+IF(E1460=0,0,E1460*0.03)</f>
        <v>0</v>
      </c>
    </row>
    <row r="1461" customFormat="false" ht="15.75" hidden="false" customHeight="true" outlineLevel="0" collapsed="false">
      <c r="A1461" s="30" t="n">
        <v>0</v>
      </c>
      <c r="B1461" s="31" t="s">
        <v>11</v>
      </c>
      <c r="C1461" s="32"/>
      <c r="D1461" s="32"/>
      <c r="E1461" s="19" t="n">
        <f aca="false">+IF(C1461="EQUIPO",F1461,0)</f>
        <v>0</v>
      </c>
      <c r="F1461" s="33" t="n">
        <v>0</v>
      </c>
      <c r="G1461" s="35" t="n">
        <v>0</v>
      </c>
      <c r="H1461" s="34" t="n">
        <f aca="false">+IF(E1461=0,0,E1461*0.03)</f>
        <v>0</v>
      </c>
    </row>
    <row r="1462" customFormat="false" ht="15.75" hidden="false" customHeight="true" outlineLevel="0" collapsed="false">
      <c r="A1462" s="30" t="n">
        <v>0</v>
      </c>
      <c r="B1462" s="31" t="s">
        <v>11</v>
      </c>
      <c r="C1462" s="32"/>
      <c r="D1462" s="32"/>
      <c r="E1462" s="19" t="n">
        <f aca="false">+IF(C1462="EQUIPO",F1462,0)</f>
        <v>0</v>
      </c>
      <c r="F1462" s="33" t="n">
        <v>0</v>
      </c>
      <c r="G1462" s="35" t="n">
        <v>0</v>
      </c>
      <c r="H1462" s="34" t="n">
        <f aca="false">+IF(E1462=0,0,E1462*0.03)</f>
        <v>0</v>
      </c>
    </row>
    <row r="1463" customFormat="false" ht="15.75" hidden="false" customHeight="true" outlineLevel="0" collapsed="false">
      <c r="A1463" s="30" t="n">
        <v>0</v>
      </c>
      <c r="B1463" s="31" t="s">
        <v>11</v>
      </c>
      <c r="C1463" s="32"/>
      <c r="D1463" s="32"/>
      <c r="E1463" s="19" t="n">
        <f aca="false">+IF(C1463="EQUIPO",F1463,0)</f>
        <v>0</v>
      </c>
      <c r="F1463" s="33" t="n">
        <v>0</v>
      </c>
      <c r="G1463" s="35" t="n">
        <v>0</v>
      </c>
      <c r="H1463" s="34" t="n">
        <f aca="false">+IF(E1463=0,0,E1463*0.03)</f>
        <v>0</v>
      </c>
    </row>
    <row r="1464" customFormat="false" ht="15.75" hidden="false" customHeight="true" outlineLevel="0" collapsed="false">
      <c r="A1464" s="30" t="n">
        <v>0</v>
      </c>
      <c r="B1464" s="31" t="s">
        <v>11</v>
      </c>
      <c r="C1464" s="32"/>
      <c r="D1464" s="32"/>
      <c r="E1464" s="19" t="n">
        <f aca="false">+IF(C1464="EQUIPO",F1464,0)</f>
        <v>0</v>
      </c>
      <c r="F1464" s="33" t="n">
        <v>0</v>
      </c>
      <c r="G1464" s="35" t="n">
        <v>0</v>
      </c>
      <c r="H1464" s="34" t="n">
        <f aca="false">+IF(E1464=0,0,E1464*0.03)</f>
        <v>0</v>
      </c>
    </row>
    <row r="1465" customFormat="false" ht="15.75" hidden="false" customHeight="true" outlineLevel="0" collapsed="false">
      <c r="A1465" s="30" t="n">
        <v>0</v>
      </c>
      <c r="B1465" s="31" t="s">
        <v>11</v>
      </c>
      <c r="C1465" s="32"/>
      <c r="D1465" s="32"/>
      <c r="E1465" s="19" t="n">
        <f aca="false">+IF(C1465="EQUIPO",F1465,0)</f>
        <v>0</v>
      </c>
      <c r="F1465" s="33" t="n">
        <v>0</v>
      </c>
      <c r="G1465" s="35" t="n">
        <v>0</v>
      </c>
      <c r="H1465" s="34" t="n">
        <f aca="false">+IF(E1465=0,0,E1465*0.03)</f>
        <v>0</v>
      </c>
    </row>
    <row r="1466" customFormat="false" ht="15.75" hidden="false" customHeight="true" outlineLevel="0" collapsed="false">
      <c r="A1466" s="30" t="n">
        <v>0</v>
      </c>
      <c r="B1466" s="31" t="s">
        <v>11</v>
      </c>
      <c r="C1466" s="32"/>
      <c r="D1466" s="32"/>
      <c r="E1466" s="19" t="n">
        <f aca="false">+IF(C1466="EQUIPO",F1466,0)</f>
        <v>0</v>
      </c>
      <c r="F1466" s="33" t="n">
        <v>0</v>
      </c>
      <c r="G1466" s="35" t="n">
        <v>0</v>
      </c>
      <c r="H1466" s="34" t="n">
        <f aca="false">+IF(E1466=0,0,E1466*0.03)</f>
        <v>0</v>
      </c>
    </row>
    <row r="1467" customFormat="false" ht="15.75" hidden="false" customHeight="true" outlineLevel="0" collapsed="false">
      <c r="A1467" s="30" t="n">
        <v>0</v>
      </c>
      <c r="B1467" s="31" t="s">
        <v>11</v>
      </c>
      <c r="C1467" s="32"/>
      <c r="D1467" s="32"/>
      <c r="E1467" s="19" t="n">
        <f aca="false">+IF(C1467="EQUIPO",F1467,0)</f>
        <v>0</v>
      </c>
      <c r="F1467" s="33" t="n">
        <v>0</v>
      </c>
      <c r="G1467" s="35" t="n">
        <v>0</v>
      </c>
      <c r="H1467" s="34" t="n">
        <f aca="false">+IF(E1467=0,0,E1467*0.03)</f>
        <v>0</v>
      </c>
    </row>
    <row r="1468" customFormat="false" ht="15.75" hidden="false" customHeight="true" outlineLevel="0" collapsed="false">
      <c r="A1468" s="30" t="n">
        <v>0</v>
      </c>
      <c r="B1468" s="31" t="s">
        <v>11</v>
      </c>
      <c r="C1468" s="32"/>
      <c r="D1468" s="32"/>
      <c r="E1468" s="19" t="n">
        <f aca="false">+IF(C1468="EQUIPO",F1468,0)</f>
        <v>0</v>
      </c>
      <c r="F1468" s="33" t="n">
        <v>0</v>
      </c>
      <c r="G1468" s="35" t="n">
        <v>0</v>
      </c>
      <c r="H1468" s="34" t="n">
        <f aca="false">+IF(E1468=0,0,E1468*0.03)</f>
        <v>0</v>
      </c>
    </row>
    <row r="1469" customFormat="false" ht="15.75" hidden="false" customHeight="true" outlineLevel="0" collapsed="false">
      <c r="A1469" s="30" t="n">
        <v>0</v>
      </c>
      <c r="B1469" s="31" t="s">
        <v>11</v>
      </c>
      <c r="C1469" s="32"/>
      <c r="D1469" s="32"/>
      <c r="E1469" s="19" t="n">
        <f aca="false">+IF(C1469="EQUIPO",F1469,0)</f>
        <v>0</v>
      </c>
      <c r="F1469" s="33" t="n">
        <v>0</v>
      </c>
      <c r="G1469" s="35" t="n">
        <v>0</v>
      </c>
      <c r="H1469" s="34" t="n">
        <f aca="false">+IF(E1469=0,0,E1469*0.03)</f>
        <v>0</v>
      </c>
    </row>
    <row r="1470" customFormat="false" ht="15.75" hidden="false" customHeight="true" outlineLevel="0" collapsed="false">
      <c r="A1470" s="30" t="n">
        <v>0</v>
      </c>
      <c r="B1470" s="31" t="s">
        <v>11</v>
      </c>
      <c r="C1470" s="32"/>
      <c r="D1470" s="32"/>
      <c r="E1470" s="19" t="n">
        <f aca="false">+IF(C1470="EQUIPO",F1470,0)</f>
        <v>0</v>
      </c>
      <c r="F1470" s="33" t="n">
        <v>0</v>
      </c>
      <c r="G1470" s="35" t="n">
        <v>0</v>
      </c>
      <c r="H1470" s="34" t="n">
        <f aca="false">+IF(E1470=0,0,E1470*0.03)</f>
        <v>0</v>
      </c>
    </row>
    <row r="1471" customFormat="false" ht="15.75" hidden="false" customHeight="true" outlineLevel="0" collapsed="false">
      <c r="A1471" s="30" t="n">
        <v>0</v>
      </c>
      <c r="B1471" s="31" t="s">
        <v>11</v>
      </c>
      <c r="C1471" s="32"/>
      <c r="D1471" s="32"/>
      <c r="E1471" s="19" t="n">
        <f aca="false">+IF(C1471="EQUIPO",F1471,0)</f>
        <v>0</v>
      </c>
      <c r="F1471" s="33" t="n">
        <v>0</v>
      </c>
      <c r="G1471" s="35" t="n">
        <v>0</v>
      </c>
      <c r="H1471" s="34" t="n">
        <f aca="false">+IF(E1471=0,0,E1471*0.03)</f>
        <v>0</v>
      </c>
    </row>
    <row r="1472" customFormat="false" ht="15.75" hidden="false" customHeight="true" outlineLevel="0" collapsed="false">
      <c r="A1472" s="30" t="n">
        <v>0</v>
      </c>
      <c r="B1472" s="31" t="s">
        <v>11</v>
      </c>
      <c r="C1472" s="32"/>
      <c r="D1472" s="32"/>
      <c r="E1472" s="19" t="n">
        <f aca="false">+IF(C1472="EQUIPO",F1472,0)</f>
        <v>0</v>
      </c>
      <c r="F1472" s="33" t="n">
        <v>0</v>
      </c>
      <c r="G1472" s="35" t="n">
        <v>0</v>
      </c>
      <c r="H1472" s="34" t="n">
        <f aca="false">+IF(E1472=0,0,E1472*0.03)</f>
        <v>0</v>
      </c>
    </row>
    <row r="1473" customFormat="false" ht="15.75" hidden="false" customHeight="true" outlineLevel="0" collapsed="false">
      <c r="A1473" s="30" t="n">
        <v>0</v>
      </c>
      <c r="B1473" s="31" t="s">
        <v>11</v>
      </c>
      <c r="C1473" s="32"/>
      <c r="D1473" s="32"/>
      <c r="E1473" s="19" t="n">
        <f aca="false">+IF(C1473="EQUIPO",F1473,0)</f>
        <v>0</v>
      </c>
      <c r="F1473" s="33" t="n">
        <v>0</v>
      </c>
      <c r="G1473" s="35" t="n">
        <v>0</v>
      </c>
      <c r="H1473" s="34" t="n">
        <f aca="false">+IF(E1473=0,0,E1473*0.03)</f>
        <v>0</v>
      </c>
    </row>
    <row r="1474" customFormat="false" ht="15.75" hidden="false" customHeight="true" outlineLevel="0" collapsed="false">
      <c r="A1474" s="30" t="n">
        <v>0</v>
      </c>
      <c r="B1474" s="31" t="s">
        <v>11</v>
      </c>
      <c r="C1474" s="32"/>
      <c r="D1474" s="32"/>
      <c r="E1474" s="19" t="n">
        <f aca="false">+IF(C1474="EQUIPO",F1474,0)</f>
        <v>0</v>
      </c>
      <c r="F1474" s="33" t="n">
        <v>0</v>
      </c>
      <c r="G1474" s="35" t="n">
        <v>0</v>
      </c>
      <c r="H1474" s="34" t="n">
        <f aca="false">+IF(E1474=0,0,E1474*0.03)</f>
        <v>0</v>
      </c>
    </row>
    <row r="1475" customFormat="false" ht="15.75" hidden="false" customHeight="true" outlineLevel="0" collapsed="false">
      <c r="A1475" s="30" t="n">
        <v>0</v>
      </c>
      <c r="B1475" s="31" t="s">
        <v>11</v>
      </c>
      <c r="C1475" s="32"/>
      <c r="D1475" s="32"/>
      <c r="E1475" s="19" t="n">
        <f aca="false">+IF(C1475="EQUIPO",F1475,0)</f>
        <v>0</v>
      </c>
      <c r="F1475" s="33" t="n">
        <v>0</v>
      </c>
      <c r="G1475" s="35" t="n">
        <v>0</v>
      </c>
      <c r="H1475" s="34" t="n">
        <f aca="false">+IF(E1475=0,0,E1475*0.03)</f>
        <v>0</v>
      </c>
    </row>
    <row r="1476" customFormat="false" ht="15.75" hidden="false" customHeight="true" outlineLevel="0" collapsed="false">
      <c r="A1476" s="30" t="n">
        <v>0</v>
      </c>
      <c r="B1476" s="31" t="s">
        <v>11</v>
      </c>
      <c r="C1476" s="32"/>
      <c r="D1476" s="32"/>
      <c r="E1476" s="19" t="n">
        <f aca="false">+IF(C1476="EQUIPO",F1476,0)</f>
        <v>0</v>
      </c>
      <c r="F1476" s="33" t="n">
        <v>0</v>
      </c>
      <c r="G1476" s="35" t="n">
        <v>0</v>
      </c>
      <c r="H1476" s="34" t="n">
        <f aca="false">+IF(E1476=0,0,E1476*0.03)</f>
        <v>0</v>
      </c>
    </row>
    <row r="1477" customFormat="false" ht="15.75" hidden="false" customHeight="true" outlineLevel="0" collapsed="false">
      <c r="A1477" s="30" t="n">
        <v>0</v>
      </c>
      <c r="B1477" s="31" t="s">
        <v>11</v>
      </c>
      <c r="C1477" s="32"/>
      <c r="D1477" s="32"/>
      <c r="E1477" s="19" t="n">
        <f aca="false">+IF(C1477="EQUIPO",F1477,0)</f>
        <v>0</v>
      </c>
      <c r="F1477" s="33" t="n">
        <v>0</v>
      </c>
      <c r="G1477" s="35" t="n">
        <v>0</v>
      </c>
      <c r="H1477" s="34" t="n">
        <f aca="false">+IF(E1477=0,0,E1477*0.03)</f>
        <v>0</v>
      </c>
    </row>
    <row r="1478" customFormat="false" ht="15.75" hidden="false" customHeight="true" outlineLevel="0" collapsed="false">
      <c r="A1478" s="30" t="n">
        <v>0</v>
      </c>
      <c r="B1478" s="31" t="s">
        <v>11</v>
      </c>
      <c r="C1478" s="32"/>
      <c r="D1478" s="32"/>
      <c r="E1478" s="19" t="n">
        <f aca="false">+IF(C1478="EQUIPO",F1478,0)</f>
        <v>0</v>
      </c>
      <c r="F1478" s="33" t="n">
        <v>0</v>
      </c>
      <c r="G1478" s="35" t="n">
        <v>0</v>
      </c>
      <c r="H1478" s="34" t="n">
        <f aca="false">+IF(E1478=0,0,E1478*0.03)</f>
        <v>0</v>
      </c>
    </row>
    <row r="1479" customFormat="false" ht="15.75" hidden="false" customHeight="true" outlineLevel="0" collapsed="false">
      <c r="A1479" s="30" t="n">
        <v>0</v>
      </c>
      <c r="B1479" s="31" t="s">
        <v>11</v>
      </c>
      <c r="C1479" s="32"/>
      <c r="D1479" s="32"/>
      <c r="E1479" s="19" t="n">
        <f aca="false">+IF(C1479="EQUIPO",F1479,0)</f>
        <v>0</v>
      </c>
      <c r="F1479" s="33" t="n">
        <v>0</v>
      </c>
      <c r="G1479" s="35" t="n">
        <v>0</v>
      </c>
      <c r="H1479" s="34" t="n">
        <f aca="false">+IF(E1479=0,0,E1479*0.03)</f>
        <v>0</v>
      </c>
    </row>
    <row r="1480" customFormat="false" ht="15.75" hidden="false" customHeight="true" outlineLevel="0" collapsed="false">
      <c r="A1480" s="30" t="n">
        <v>0</v>
      </c>
      <c r="B1480" s="31" t="s">
        <v>11</v>
      </c>
      <c r="C1480" s="32"/>
      <c r="D1480" s="32"/>
      <c r="E1480" s="19" t="n">
        <f aca="false">+IF(C1480="EQUIPO",F1480,0)</f>
        <v>0</v>
      </c>
      <c r="F1480" s="33" t="n">
        <v>0</v>
      </c>
      <c r="G1480" s="35" t="n">
        <v>0</v>
      </c>
      <c r="H1480" s="34" t="n">
        <f aca="false">+IF(E1480=0,0,E1480*0.03)</f>
        <v>0</v>
      </c>
    </row>
    <row r="1481" customFormat="false" ht="15.75" hidden="false" customHeight="true" outlineLevel="0" collapsed="false">
      <c r="A1481" s="30" t="n">
        <v>0</v>
      </c>
      <c r="B1481" s="31" t="s">
        <v>11</v>
      </c>
      <c r="C1481" s="32"/>
      <c r="D1481" s="32"/>
      <c r="E1481" s="19" t="n">
        <f aca="false">+IF(C1481="EQUIPO",F1481,0)</f>
        <v>0</v>
      </c>
      <c r="F1481" s="33" t="n">
        <v>0</v>
      </c>
      <c r="G1481" s="35" t="n">
        <v>0</v>
      </c>
      <c r="H1481" s="34" t="n">
        <f aca="false">+IF(E1481=0,0,E1481*0.03)</f>
        <v>0</v>
      </c>
    </row>
    <row r="1482" customFormat="false" ht="15.75" hidden="false" customHeight="true" outlineLevel="0" collapsed="false">
      <c r="A1482" s="30" t="n">
        <v>0</v>
      </c>
      <c r="B1482" s="31" t="s">
        <v>11</v>
      </c>
      <c r="C1482" s="32"/>
      <c r="D1482" s="32"/>
      <c r="E1482" s="19" t="n">
        <f aca="false">+IF(C1482="EQUIPO",F1482,0)</f>
        <v>0</v>
      </c>
      <c r="F1482" s="33" t="n">
        <v>0</v>
      </c>
      <c r="G1482" s="35" t="n">
        <v>0</v>
      </c>
      <c r="H1482" s="34" t="n">
        <f aca="false">+IF(E1482=0,0,E1482*0.03)</f>
        <v>0</v>
      </c>
    </row>
    <row r="1483" customFormat="false" ht="15.75" hidden="false" customHeight="true" outlineLevel="0" collapsed="false">
      <c r="A1483" s="30" t="n">
        <v>0</v>
      </c>
      <c r="B1483" s="31" t="s">
        <v>11</v>
      </c>
      <c r="C1483" s="32"/>
      <c r="D1483" s="32"/>
      <c r="E1483" s="19" t="n">
        <f aca="false">+IF(C1483="EQUIPO",F1483,0)</f>
        <v>0</v>
      </c>
      <c r="F1483" s="33" t="n">
        <v>0</v>
      </c>
      <c r="G1483" s="35" t="n">
        <v>0</v>
      </c>
      <c r="H1483" s="34" t="n">
        <f aca="false">+IF(E1483=0,0,E1483*0.03)</f>
        <v>0</v>
      </c>
    </row>
    <row r="1484" customFormat="false" ht="15.75" hidden="false" customHeight="true" outlineLevel="0" collapsed="false">
      <c r="A1484" s="30" t="n">
        <v>0</v>
      </c>
      <c r="B1484" s="31" t="s">
        <v>11</v>
      </c>
      <c r="C1484" s="32"/>
      <c r="D1484" s="32"/>
      <c r="E1484" s="19" t="n">
        <f aca="false">+IF(C1484="EQUIPO",F1484,0)</f>
        <v>0</v>
      </c>
      <c r="F1484" s="33" t="n">
        <v>0</v>
      </c>
      <c r="G1484" s="35" t="n">
        <v>0</v>
      </c>
      <c r="H1484" s="34" t="n">
        <f aca="false">+IF(E1484=0,0,E1484*0.03)</f>
        <v>0</v>
      </c>
    </row>
    <row r="1485" customFormat="false" ht="15.75" hidden="false" customHeight="true" outlineLevel="0" collapsed="false">
      <c r="A1485" s="30" t="n">
        <v>0</v>
      </c>
      <c r="B1485" s="31" t="s">
        <v>11</v>
      </c>
      <c r="C1485" s="32"/>
      <c r="D1485" s="32"/>
      <c r="E1485" s="19" t="n">
        <f aca="false">+IF(C1485="EQUIPO",F1485,0)</f>
        <v>0</v>
      </c>
      <c r="F1485" s="33" t="n">
        <v>0</v>
      </c>
      <c r="G1485" s="35" t="n">
        <v>0</v>
      </c>
      <c r="H1485" s="34" t="n">
        <f aca="false">+IF(E1485=0,0,E1485*0.03)</f>
        <v>0</v>
      </c>
    </row>
    <row r="1486" customFormat="false" ht="15.75" hidden="false" customHeight="true" outlineLevel="0" collapsed="false">
      <c r="A1486" s="30" t="n">
        <v>0</v>
      </c>
      <c r="B1486" s="31" t="s">
        <v>11</v>
      </c>
      <c r="C1486" s="32"/>
      <c r="D1486" s="32"/>
      <c r="E1486" s="19" t="n">
        <f aca="false">+IF(C1486="EQUIPO",F1486,0)</f>
        <v>0</v>
      </c>
      <c r="F1486" s="33" t="n">
        <v>0</v>
      </c>
      <c r="G1486" s="35" t="n">
        <v>0</v>
      </c>
      <c r="H1486" s="34" t="n">
        <f aca="false">+IF(E1486=0,0,E1486*0.03)</f>
        <v>0</v>
      </c>
    </row>
    <row r="1487" customFormat="false" ht="15.75" hidden="false" customHeight="true" outlineLevel="0" collapsed="false">
      <c r="A1487" s="30" t="n">
        <v>0</v>
      </c>
      <c r="B1487" s="31" t="s">
        <v>11</v>
      </c>
      <c r="C1487" s="32"/>
      <c r="D1487" s="32"/>
      <c r="E1487" s="19" t="n">
        <f aca="false">+IF(C1487="EQUIPO",F1487,0)</f>
        <v>0</v>
      </c>
      <c r="F1487" s="33" t="n">
        <v>0</v>
      </c>
      <c r="G1487" s="35" t="n">
        <v>0</v>
      </c>
      <c r="H1487" s="34" t="n">
        <f aca="false">+IF(E1487=0,0,E1487*0.03)</f>
        <v>0</v>
      </c>
    </row>
    <row r="1488" customFormat="false" ht="15.75" hidden="false" customHeight="true" outlineLevel="0" collapsed="false">
      <c r="A1488" s="30" t="n">
        <v>0</v>
      </c>
      <c r="B1488" s="31" t="s">
        <v>11</v>
      </c>
      <c r="C1488" s="32"/>
      <c r="D1488" s="32"/>
      <c r="E1488" s="19" t="n">
        <f aca="false">+IF(C1488="EQUIPO",F1488,0)</f>
        <v>0</v>
      </c>
      <c r="F1488" s="33" t="n">
        <v>0</v>
      </c>
      <c r="G1488" s="35" t="n">
        <v>0</v>
      </c>
      <c r="H1488" s="34" t="n">
        <f aca="false">+IF(E1488=0,0,E1488*0.03)</f>
        <v>0</v>
      </c>
    </row>
    <row r="1489" customFormat="false" ht="15.75" hidden="false" customHeight="true" outlineLevel="0" collapsed="false">
      <c r="A1489" s="30" t="n">
        <v>0</v>
      </c>
      <c r="B1489" s="31" t="s">
        <v>11</v>
      </c>
      <c r="C1489" s="32"/>
      <c r="D1489" s="32"/>
      <c r="E1489" s="19" t="n">
        <f aca="false">+IF(C1489="EQUIPO",F1489,0)</f>
        <v>0</v>
      </c>
      <c r="F1489" s="33" t="n">
        <v>0</v>
      </c>
      <c r="G1489" s="35" t="n">
        <v>0</v>
      </c>
      <c r="H1489" s="34" t="n">
        <f aca="false">+IF(E1489=0,0,E1489*0.03)</f>
        <v>0</v>
      </c>
    </row>
    <row r="1490" customFormat="false" ht="15.75" hidden="false" customHeight="true" outlineLevel="0" collapsed="false">
      <c r="A1490" s="30" t="n">
        <v>0</v>
      </c>
      <c r="B1490" s="31" t="s">
        <v>11</v>
      </c>
      <c r="C1490" s="32"/>
      <c r="D1490" s="32"/>
      <c r="E1490" s="19" t="n">
        <f aca="false">+IF(C1490="EQUIPO",F1490,0)</f>
        <v>0</v>
      </c>
      <c r="F1490" s="33" t="n">
        <v>0</v>
      </c>
      <c r="G1490" s="35" t="n">
        <v>0</v>
      </c>
      <c r="H1490" s="34" t="n">
        <f aca="false">+IF(E1490=0,0,E1490*0.03)</f>
        <v>0</v>
      </c>
    </row>
    <row r="1491" customFormat="false" ht="15.75" hidden="false" customHeight="true" outlineLevel="0" collapsed="false">
      <c r="A1491" s="30" t="n">
        <v>0</v>
      </c>
      <c r="B1491" s="31" t="s">
        <v>11</v>
      </c>
      <c r="C1491" s="32"/>
      <c r="D1491" s="32"/>
      <c r="E1491" s="19" t="n">
        <f aca="false">+IF(C1491="EQUIPO",F1491,0)</f>
        <v>0</v>
      </c>
      <c r="F1491" s="33" t="n">
        <v>0</v>
      </c>
      <c r="G1491" s="35" t="n">
        <v>0</v>
      </c>
      <c r="H1491" s="34" t="n">
        <f aca="false">+IF(E1491=0,0,E1491*0.03)</f>
        <v>0</v>
      </c>
    </row>
    <row r="1492" customFormat="false" ht="15.75" hidden="false" customHeight="true" outlineLevel="0" collapsed="false">
      <c r="A1492" s="30" t="n">
        <v>0</v>
      </c>
      <c r="B1492" s="31" t="s">
        <v>11</v>
      </c>
      <c r="C1492" s="32"/>
      <c r="D1492" s="32"/>
      <c r="E1492" s="19" t="n">
        <f aca="false">+IF(C1492="EQUIPO",F1492,0)</f>
        <v>0</v>
      </c>
      <c r="F1492" s="33" t="n">
        <v>0</v>
      </c>
      <c r="G1492" s="35" t="n">
        <v>0</v>
      </c>
      <c r="H1492" s="34" t="n">
        <f aca="false">+IF(E1492=0,0,E1492*0.03)</f>
        <v>0</v>
      </c>
    </row>
    <row r="1493" customFormat="false" ht="15.75" hidden="false" customHeight="true" outlineLevel="0" collapsed="false">
      <c r="A1493" s="30" t="n">
        <v>0</v>
      </c>
      <c r="B1493" s="31" t="s">
        <v>11</v>
      </c>
      <c r="C1493" s="32"/>
      <c r="D1493" s="32"/>
      <c r="E1493" s="19" t="n">
        <f aca="false">+IF(C1493="EQUIPO",F1493,0)</f>
        <v>0</v>
      </c>
      <c r="F1493" s="33" t="n">
        <v>0</v>
      </c>
      <c r="G1493" s="35" t="n">
        <v>0</v>
      </c>
      <c r="H1493" s="34" t="n">
        <f aca="false">+IF(E1493=0,0,E1493*0.03)</f>
        <v>0</v>
      </c>
    </row>
    <row r="1494" customFormat="false" ht="15.75" hidden="false" customHeight="true" outlineLevel="0" collapsed="false">
      <c r="A1494" s="30" t="n">
        <v>0</v>
      </c>
      <c r="B1494" s="31" t="s">
        <v>11</v>
      </c>
      <c r="C1494" s="32"/>
      <c r="D1494" s="32"/>
      <c r="E1494" s="19" t="n">
        <f aca="false">+IF(C1494="EQUIPO",F1494,0)</f>
        <v>0</v>
      </c>
      <c r="F1494" s="33" t="n">
        <v>0</v>
      </c>
      <c r="G1494" s="35" t="n">
        <v>0</v>
      </c>
      <c r="H1494" s="34" t="n">
        <f aca="false">+IF(E1494=0,0,E1494*0.03)</f>
        <v>0</v>
      </c>
    </row>
    <row r="1495" customFormat="false" ht="15.75" hidden="false" customHeight="true" outlineLevel="0" collapsed="false">
      <c r="A1495" s="30" t="n">
        <v>0</v>
      </c>
      <c r="B1495" s="31" t="s">
        <v>11</v>
      </c>
      <c r="C1495" s="32"/>
      <c r="D1495" s="32"/>
      <c r="E1495" s="19" t="n">
        <f aca="false">+IF(C1495="EQUIPO",F1495,0)</f>
        <v>0</v>
      </c>
      <c r="F1495" s="33" t="n">
        <v>0</v>
      </c>
      <c r="G1495" s="35" t="n">
        <v>0</v>
      </c>
      <c r="H1495" s="34" t="n">
        <f aca="false">+IF(E1495=0,0,E1495*0.03)</f>
        <v>0</v>
      </c>
    </row>
    <row r="1496" customFormat="false" ht="15.75" hidden="false" customHeight="true" outlineLevel="0" collapsed="false">
      <c r="A1496" s="30" t="n">
        <v>0</v>
      </c>
      <c r="B1496" s="31" t="s">
        <v>11</v>
      </c>
      <c r="C1496" s="32"/>
      <c r="D1496" s="32"/>
      <c r="E1496" s="19" t="n">
        <f aca="false">+IF(C1496="EQUIPO",F1496,0)</f>
        <v>0</v>
      </c>
      <c r="F1496" s="33" t="n">
        <v>0</v>
      </c>
      <c r="G1496" s="35" t="n">
        <v>0</v>
      </c>
      <c r="H1496" s="34" t="n">
        <f aca="false">+IF(E1496=0,0,E1496*0.03)</f>
        <v>0</v>
      </c>
    </row>
    <row r="1497" customFormat="false" ht="15.75" hidden="false" customHeight="true" outlineLevel="0" collapsed="false">
      <c r="A1497" s="30" t="n">
        <v>0</v>
      </c>
      <c r="B1497" s="31" t="s">
        <v>11</v>
      </c>
      <c r="C1497" s="32"/>
      <c r="D1497" s="32"/>
      <c r="E1497" s="19" t="n">
        <f aca="false">+IF(C1497="EQUIPO",F1497,0)</f>
        <v>0</v>
      </c>
      <c r="F1497" s="33" t="n">
        <v>0</v>
      </c>
      <c r="G1497" s="35" t="n">
        <v>0</v>
      </c>
      <c r="H1497" s="34" t="n">
        <f aca="false">+IF(E1497=0,0,E1497*0.03)</f>
        <v>0</v>
      </c>
    </row>
    <row r="1498" customFormat="false" ht="15.75" hidden="false" customHeight="true" outlineLevel="0" collapsed="false">
      <c r="A1498" s="30" t="n">
        <v>0</v>
      </c>
      <c r="B1498" s="31" t="s">
        <v>11</v>
      </c>
      <c r="C1498" s="32"/>
      <c r="D1498" s="32"/>
      <c r="E1498" s="19" t="n">
        <f aca="false">+IF(C1498="EQUIPO",F1498,0)</f>
        <v>0</v>
      </c>
      <c r="F1498" s="33" t="n">
        <v>0</v>
      </c>
      <c r="G1498" s="35" t="n">
        <v>0</v>
      </c>
      <c r="H1498" s="34" t="n">
        <f aca="false">+IF(E1498=0,0,E1498*0.03)</f>
        <v>0</v>
      </c>
    </row>
    <row r="1499" customFormat="false" ht="15.75" hidden="false" customHeight="true" outlineLevel="0" collapsed="false">
      <c r="A1499" s="30" t="n">
        <v>0</v>
      </c>
      <c r="B1499" s="31" t="s">
        <v>11</v>
      </c>
      <c r="C1499" s="32"/>
      <c r="D1499" s="32"/>
      <c r="E1499" s="19" t="n">
        <f aca="false">+IF(C1499="EQUIPO",F1499,0)</f>
        <v>0</v>
      </c>
      <c r="F1499" s="33" t="n">
        <v>0</v>
      </c>
      <c r="G1499" s="35" t="n">
        <v>0</v>
      </c>
      <c r="H1499" s="34" t="n">
        <f aca="false">+IF(E1499=0,0,E1499*0.03)</f>
        <v>0</v>
      </c>
    </row>
    <row r="1500" customFormat="false" ht="15.75" hidden="false" customHeight="true" outlineLevel="0" collapsed="false">
      <c r="A1500" s="30" t="n">
        <v>0</v>
      </c>
      <c r="B1500" s="31" t="s">
        <v>11</v>
      </c>
      <c r="C1500" s="32"/>
      <c r="D1500" s="32"/>
      <c r="E1500" s="19" t="n">
        <f aca="false">+IF(C1500="EQUIPO",F1500,0)</f>
        <v>0</v>
      </c>
      <c r="F1500" s="33" t="n">
        <v>0</v>
      </c>
      <c r="G1500" s="35" t="n">
        <v>0</v>
      </c>
      <c r="H1500" s="34" t="n">
        <f aca="false">+IF(E1500=0,0,E1500*0.03)</f>
        <v>0</v>
      </c>
    </row>
    <row r="1501" customFormat="false" ht="15.75" hidden="false" customHeight="true" outlineLevel="0" collapsed="false">
      <c r="A1501" s="30" t="n">
        <v>0</v>
      </c>
      <c r="B1501" s="31" t="s">
        <v>11</v>
      </c>
      <c r="C1501" s="32"/>
      <c r="D1501" s="32"/>
      <c r="E1501" s="19" t="n">
        <f aca="false">+IF(C1501="EQUIPO",F1501,0)</f>
        <v>0</v>
      </c>
      <c r="F1501" s="33" t="n">
        <v>0</v>
      </c>
      <c r="G1501" s="35" t="n">
        <v>0</v>
      </c>
      <c r="H1501" s="34" t="n">
        <f aca="false">+IF(E1501=0,0,E1501*0.03)</f>
        <v>0</v>
      </c>
    </row>
    <row r="1502" customFormat="false" ht="15.75" hidden="false" customHeight="true" outlineLevel="0" collapsed="false">
      <c r="A1502" s="30" t="n">
        <v>0</v>
      </c>
      <c r="B1502" s="31" t="s">
        <v>11</v>
      </c>
      <c r="C1502" s="32"/>
      <c r="D1502" s="32"/>
      <c r="E1502" s="19" t="n">
        <f aca="false">+IF(C1502="EQUIPO",F1502,0)</f>
        <v>0</v>
      </c>
      <c r="F1502" s="33" t="n">
        <v>0</v>
      </c>
      <c r="G1502" s="35" t="n">
        <v>0</v>
      </c>
      <c r="H1502" s="34" t="n">
        <f aca="false">+IF(E1502=0,0,E1502*0.03)</f>
        <v>0</v>
      </c>
    </row>
    <row r="1503" customFormat="false" ht="15.75" hidden="false" customHeight="true" outlineLevel="0" collapsed="false">
      <c r="A1503" s="30" t="n">
        <v>0</v>
      </c>
      <c r="B1503" s="31" t="s">
        <v>11</v>
      </c>
      <c r="C1503" s="32"/>
      <c r="D1503" s="32"/>
      <c r="E1503" s="19" t="n">
        <f aca="false">+IF(C1503="EQUIPO",F1503,0)</f>
        <v>0</v>
      </c>
      <c r="F1503" s="33" t="n">
        <v>0</v>
      </c>
      <c r="G1503" s="35" t="n">
        <v>0</v>
      </c>
      <c r="H1503" s="34" t="n">
        <f aca="false">+IF(E1503=0,0,E1503*0.03)</f>
        <v>0</v>
      </c>
    </row>
    <row r="1504" customFormat="false" ht="15.75" hidden="false" customHeight="true" outlineLevel="0" collapsed="false">
      <c r="A1504" s="30" t="n">
        <v>0</v>
      </c>
      <c r="B1504" s="31" t="s">
        <v>11</v>
      </c>
      <c r="C1504" s="32"/>
      <c r="D1504" s="32"/>
      <c r="E1504" s="19" t="n">
        <f aca="false">+IF(C1504="EQUIPO",F1504,0)</f>
        <v>0</v>
      </c>
      <c r="F1504" s="33" t="n">
        <v>0</v>
      </c>
      <c r="G1504" s="35" t="n">
        <v>0</v>
      </c>
      <c r="H1504" s="34" t="n">
        <f aca="false">+IF(E1504=0,0,E1504*0.03)</f>
        <v>0</v>
      </c>
    </row>
    <row r="1505" customFormat="false" ht="15.75" hidden="false" customHeight="true" outlineLevel="0" collapsed="false">
      <c r="A1505" s="30" t="n">
        <v>0</v>
      </c>
      <c r="B1505" s="31" t="s">
        <v>11</v>
      </c>
      <c r="C1505" s="32"/>
      <c r="D1505" s="32"/>
      <c r="E1505" s="19" t="n">
        <f aca="false">+IF(C1505="EQUIPO",F1505,0)</f>
        <v>0</v>
      </c>
      <c r="F1505" s="33" t="n">
        <v>0</v>
      </c>
      <c r="G1505" s="35" t="n">
        <v>0</v>
      </c>
      <c r="H1505" s="34" t="n">
        <f aca="false">+IF(E1505=0,0,E1505*0.03)</f>
        <v>0</v>
      </c>
    </row>
    <row r="1506" customFormat="false" ht="15.75" hidden="false" customHeight="true" outlineLevel="0" collapsed="false">
      <c r="A1506" s="30" t="n">
        <v>0</v>
      </c>
      <c r="B1506" s="31" t="s">
        <v>11</v>
      </c>
      <c r="C1506" s="32"/>
      <c r="D1506" s="32"/>
      <c r="E1506" s="19" t="n">
        <f aca="false">+IF(C1506="EQUIPO",F1506,0)</f>
        <v>0</v>
      </c>
      <c r="F1506" s="33" t="n">
        <v>0</v>
      </c>
      <c r="G1506" s="35" t="n">
        <v>0</v>
      </c>
      <c r="H1506" s="34" t="n">
        <f aca="false">+IF(E1506=0,0,E1506*0.03)</f>
        <v>0</v>
      </c>
    </row>
    <row r="1507" customFormat="false" ht="15.75" hidden="false" customHeight="true" outlineLevel="0" collapsed="false">
      <c r="A1507" s="30" t="n">
        <v>0</v>
      </c>
      <c r="B1507" s="31" t="s">
        <v>11</v>
      </c>
      <c r="C1507" s="32"/>
      <c r="D1507" s="32"/>
      <c r="E1507" s="19" t="n">
        <f aca="false">+IF(C1507="EQUIPO",F1507,0)</f>
        <v>0</v>
      </c>
      <c r="F1507" s="33" t="n">
        <v>0</v>
      </c>
      <c r="G1507" s="35" t="n">
        <v>0</v>
      </c>
      <c r="H1507" s="34" t="n">
        <f aca="false">+IF(E1507=0,0,E1507*0.03)</f>
        <v>0</v>
      </c>
    </row>
    <row r="1508" customFormat="false" ht="15.75" hidden="false" customHeight="true" outlineLevel="0" collapsed="false">
      <c r="A1508" s="30" t="n">
        <v>0</v>
      </c>
      <c r="B1508" s="31" t="s">
        <v>11</v>
      </c>
      <c r="C1508" s="32"/>
      <c r="D1508" s="32"/>
      <c r="E1508" s="19" t="n">
        <f aca="false">+IF(C1508="EQUIPO",F1508,0)</f>
        <v>0</v>
      </c>
      <c r="F1508" s="33" t="n">
        <v>0</v>
      </c>
      <c r="G1508" s="35" t="n">
        <v>0</v>
      </c>
      <c r="H1508" s="34" t="n">
        <f aca="false">+IF(E1508=0,0,E1508*0.03)</f>
        <v>0</v>
      </c>
    </row>
    <row r="1509" customFormat="false" ht="15.75" hidden="false" customHeight="true" outlineLevel="0" collapsed="false">
      <c r="A1509" s="30" t="n">
        <v>0</v>
      </c>
      <c r="B1509" s="31" t="s">
        <v>11</v>
      </c>
      <c r="C1509" s="32"/>
      <c r="D1509" s="32"/>
      <c r="E1509" s="19" t="n">
        <f aca="false">+IF(C1509="EQUIPO",F1509,0)</f>
        <v>0</v>
      </c>
      <c r="F1509" s="33" t="n">
        <v>0</v>
      </c>
      <c r="G1509" s="35" t="n">
        <v>0</v>
      </c>
      <c r="H1509" s="34" t="n">
        <f aca="false">+IF(E1509=0,0,E1509*0.03)</f>
        <v>0</v>
      </c>
    </row>
    <row r="1510" customFormat="false" ht="15.75" hidden="false" customHeight="true" outlineLevel="0" collapsed="false">
      <c r="A1510" s="30" t="n">
        <v>0</v>
      </c>
      <c r="B1510" s="31" t="s">
        <v>11</v>
      </c>
      <c r="C1510" s="32"/>
      <c r="D1510" s="32"/>
      <c r="E1510" s="19" t="n">
        <f aca="false">+IF(C1510="EQUIPO",F1510,0)</f>
        <v>0</v>
      </c>
      <c r="F1510" s="33" t="n">
        <v>0</v>
      </c>
      <c r="G1510" s="35" t="n">
        <v>0</v>
      </c>
      <c r="H1510" s="34" t="n">
        <f aca="false">+IF(E1510=0,0,E1510*0.03)</f>
        <v>0</v>
      </c>
    </row>
    <row r="1511" customFormat="false" ht="15.75" hidden="false" customHeight="true" outlineLevel="0" collapsed="false">
      <c r="A1511" s="30" t="n">
        <v>0</v>
      </c>
      <c r="B1511" s="31" t="s">
        <v>11</v>
      </c>
      <c r="C1511" s="32"/>
      <c r="D1511" s="32"/>
      <c r="E1511" s="19" t="n">
        <f aca="false">+IF(C1511="EQUIPO",F1511,0)</f>
        <v>0</v>
      </c>
      <c r="F1511" s="33" t="n">
        <v>0</v>
      </c>
      <c r="G1511" s="35" t="n">
        <v>0</v>
      </c>
      <c r="H1511" s="34" t="n">
        <f aca="false">+IF(E1511=0,0,E1511*0.03)</f>
        <v>0</v>
      </c>
    </row>
    <row r="1512" customFormat="false" ht="15.75" hidden="false" customHeight="true" outlineLevel="0" collapsed="false">
      <c r="A1512" s="30" t="n">
        <v>0</v>
      </c>
      <c r="B1512" s="31" t="s">
        <v>11</v>
      </c>
      <c r="C1512" s="32"/>
      <c r="D1512" s="32"/>
      <c r="E1512" s="19" t="n">
        <f aca="false">+IF(C1512="EQUIPO",F1512,0)</f>
        <v>0</v>
      </c>
      <c r="F1512" s="33" t="n">
        <v>0</v>
      </c>
      <c r="G1512" s="35" t="n">
        <v>0</v>
      </c>
      <c r="H1512" s="34" t="n">
        <f aca="false">+IF(E1512=0,0,E1512*0.03)</f>
        <v>0</v>
      </c>
    </row>
    <row r="1513" customFormat="false" ht="15.75" hidden="false" customHeight="true" outlineLevel="0" collapsed="false">
      <c r="A1513" s="30" t="n">
        <v>0</v>
      </c>
      <c r="B1513" s="31" t="s">
        <v>11</v>
      </c>
      <c r="C1513" s="32"/>
      <c r="D1513" s="32"/>
      <c r="E1513" s="19" t="n">
        <f aca="false">+IF(C1513="EQUIPO",F1513,0)</f>
        <v>0</v>
      </c>
      <c r="F1513" s="33" t="n">
        <v>0</v>
      </c>
      <c r="G1513" s="35" t="n">
        <v>0</v>
      </c>
      <c r="H1513" s="34" t="n">
        <f aca="false">+IF(E1513=0,0,E1513*0.03)</f>
        <v>0</v>
      </c>
    </row>
    <row r="1514" customFormat="false" ht="15.75" hidden="false" customHeight="true" outlineLevel="0" collapsed="false">
      <c r="A1514" s="30" t="n">
        <v>0</v>
      </c>
      <c r="B1514" s="31" t="s">
        <v>11</v>
      </c>
      <c r="C1514" s="32"/>
      <c r="D1514" s="32"/>
      <c r="E1514" s="19" t="n">
        <f aca="false">+IF(C1514="EQUIPO",F1514,0)</f>
        <v>0</v>
      </c>
      <c r="F1514" s="33" t="n">
        <v>0</v>
      </c>
      <c r="G1514" s="35" t="n">
        <v>0</v>
      </c>
      <c r="H1514" s="34" t="n">
        <f aca="false">+IF(E1514=0,0,E1514*0.03)</f>
        <v>0</v>
      </c>
    </row>
    <row r="1515" customFormat="false" ht="15.75" hidden="false" customHeight="true" outlineLevel="0" collapsed="false">
      <c r="A1515" s="30" t="n">
        <v>0</v>
      </c>
      <c r="B1515" s="31" t="s">
        <v>11</v>
      </c>
      <c r="C1515" s="32"/>
      <c r="D1515" s="32"/>
      <c r="E1515" s="19" t="n">
        <f aca="false">+IF(C1515="EQUIPO",F1515,0)</f>
        <v>0</v>
      </c>
      <c r="F1515" s="33" t="n">
        <v>0</v>
      </c>
      <c r="G1515" s="35" t="n">
        <v>0</v>
      </c>
      <c r="H1515" s="34" t="n">
        <f aca="false">+IF(E1515=0,0,E1515*0.03)</f>
        <v>0</v>
      </c>
    </row>
    <row r="1516" customFormat="false" ht="15.75" hidden="false" customHeight="true" outlineLevel="0" collapsed="false">
      <c r="A1516" s="30" t="n">
        <v>0</v>
      </c>
      <c r="B1516" s="31" t="s">
        <v>11</v>
      </c>
      <c r="C1516" s="32"/>
      <c r="D1516" s="32"/>
      <c r="E1516" s="19" t="n">
        <f aca="false">+IF(C1516="EQUIPO",F1516,0)</f>
        <v>0</v>
      </c>
      <c r="F1516" s="33" t="n">
        <v>0</v>
      </c>
      <c r="G1516" s="35" t="n">
        <v>0</v>
      </c>
      <c r="H1516" s="34" t="n">
        <f aca="false">+IF(E1516=0,0,E1516*0.03)</f>
        <v>0</v>
      </c>
    </row>
    <row r="1517" customFormat="false" ht="15.75" hidden="false" customHeight="true" outlineLevel="0" collapsed="false">
      <c r="A1517" s="30" t="n">
        <v>0</v>
      </c>
      <c r="B1517" s="31" t="s">
        <v>11</v>
      </c>
      <c r="C1517" s="32"/>
      <c r="D1517" s="32"/>
      <c r="E1517" s="19" t="n">
        <f aca="false">+IF(C1517="EQUIPO",F1517,0)</f>
        <v>0</v>
      </c>
      <c r="F1517" s="33" t="n">
        <v>0</v>
      </c>
      <c r="G1517" s="35" t="n">
        <v>0</v>
      </c>
      <c r="H1517" s="34" t="n">
        <f aca="false">+IF(E1517=0,0,E1517*0.03)</f>
        <v>0</v>
      </c>
    </row>
    <row r="1518" customFormat="false" ht="15.75" hidden="false" customHeight="true" outlineLevel="0" collapsed="false">
      <c r="A1518" s="30" t="n">
        <v>0</v>
      </c>
      <c r="B1518" s="31" t="s">
        <v>11</v>
      </c>
      <c r="C1518" s="32"/>
      <c r="D1518" s="32"/>
      <c r="E1518" s="19" t="n">
        <f aca="false">+IF(C1518="EQUIPO",F1518,0)</f>
        <v>0</v>
      </c>
      <c r="F1518" s="33" t="n">
        <v>0</v>
      </c>
      <c r="G1518" s="35" t="n">
        <v>0</v>
      </c>
      <c r="H1518" s="34" t="n">
        <f aca="false">+IF(E1518=0,0,E1518*0.03)</f>
        <v>0</v>
      </c>
    </row>
    <row r="1519" customFormat="false" ht="15.75" hidden="false" customHeight="true" outlineLevel="0" collapsed="false">
      <c r="A1519" s="30" t="n">
        <v>0</v>
      </c>
      <c r="B1519" s="31" t="s">
        <v>11</v>
      </c>
      <c r="C1519" s="32"/>
      <c r="D1519" s="32"/>
      <c r="E1519" s="19" t="n">
        <f aca="false">+IF(C1519="EQUIPO",F1519,0)</f>
        <v>0</v>
      </c>
      <c r="F1519" s="33" t="n">
        <v>0</v>
      </c>
      <c r="G1519" s="35" t="n">
        <v>0</v>
      </c>
      <c r="H1519" s="34" t="n">
        <f aca="false">+IF(E1519=0,0,E1519*0.03)</f>
        <v>0</v>
      </c>
    </row>
    <row r="1520" customFormat="false" ht="15.75" hidden="false" customHeight="true" outlineLevel="0" collapsed="false">
      <c r="A1520" s="30" t="n">
        <v>0</v>
      </c>
      <c r="B1520" s="31" t="s">
        <v>11</v>
      </c>
      <c r="C1520" s="32"/>
      <c r="D1520" s="32"/>
      <c r="E1520" s="19" t="n">
        <f aca="false">+IF(C1520="EQUIPO",F1520,0)</f>
        <v>0</v>
      </c>
      <c r="F1520" s="33" t="n">
        <v>0</v>
      </c>
      <c r="G1520" s="35" t="n">
        <v>0</v>
      </c>
      <c r="H1520" s="34" t="n">
        <f aca="false">+IF(E1520=0,0,E1520*0.03)</f>
        <v>0</v>
      </c>
    </row>
    <row r="1521" customFormat="false" ht="15.75" hidden="false" customHeight="true" outlineLevel="0" collapsed="false">
      <c r="A1521" s="30" t="n">
        <v>0</v>
      </c>
      <c r="B1521" s="31" t="s">
        <v>11</v>
      </c>
      <c r="C1521" s="32"/>
      <c r="D1521" s="32"/>
      <c r="E1521" s="19" t="n">
        <f aca="false">+IF(C1521="EQUIPO",F1521,0)</f>
        <v>0</v>
      </c>
      <c r="F1521" s="33" t="n">
        <v>0</v>
      </c>
      <c r="G1521" s="35" t="n">
        <v>0</v>
      </c>
      <c r="H1521" s="34" t="n">
        <f aca="false">+IF(E1521=0,0,E1521*0.03)</f>
        <v>0</v>
      </c>
    </row>
    <row r="1522" customFormat="false" ht="15.75" hidden="false" customHeight="true" outlineLevel="0" collapsed="false">
      <c r="A1522" s="30" t="n">
        <v>0</v>
      </c>
      <c r="B1522" s="31" t="s">
        <v>11</v>
      </c>
      <c r="C1522" s="32"/>
      <c r="D1522" s="32"/>
      <c r="E1522" s="19" t="n">
        <f aca="false">+IF(C1522="EQUIPO",F1522,0)</f>
        <v>0</v>
      </c>
      <c r="F1522" s="33" t="n">
        <v>0</v>
      </c>
      <c r="G1522" s="35" t="n">
        <v>0</v>
      </c>
      <c r="H1522" s="34" t="n">
        <f aca="false">+IF(E1522=0,0,E1522*0.03)</f>
        <v>0</v>
      </c>
    </row>
    <row r="1523" customFormat="false" ht="15.75" hidden="false" customHeight="true" outlineLevel="0" collapsed="false">
      <c r="A1523" s="30" t="n">
        <v>0</v>
      </c>
      <c r="B1523" s="31" t="s">
        <v>11</v>
      </c>
      <c r="C1523" s="32"/>
      <c r="D1523" s="32"/>
      <c r="E1523" s="19" t="n">
        <f aca="false">+IF(C1523="EQUIPO",F1523,0)</f>
        <v>0</v>
      </c>
      <c r="F1523" s="33" t="n">
        <v>0</v>
      </c>
      <c r="G1523" s="35" t="n">
        <v>0</v>
      </c>
      <c r="H1523" s="34" t="n">
        <f aca="false">+IF(E1523=0,0,E1523*0.03)</f>
        <v>0</v>
      </c>
    </row>
    <row r="1524" customFormat="false" ht="15.75" hidden="false" customHeight="true" outlineLevel="0" collapsed="false">
      <c r="A1524" s="30" t="n">
        <v>0</v>
      </c>
      <c r="B1524" s="31" t="s">
        <v>11</v>
      </c>
      <c r="C1524" s="32"/>
      <c r="D1524" s="32"/>
      <c r="E1524" s="19" t="n">
        <f aca="false">+IF(C1524="EQUIPO",F1524,0)</f>
        <v>0</v>
      </c>
      <c r="F1524" s="33" t="n">
        <v>0</v>
      </c>
      <c r="G1524" s="35" t="n">
        <v>0</v>
      </c>
      <c r="H1524" s="34" t="n">
        <f aca="false">+IF(E1524=0,0,E1524*0.03)</f>
        <v>0</v>
      </c>
    </row>
    <row r="1525" customFormat="false" ht="15.75" hidden="false" customHeight="true" outlineLevel="0" collapsed="false">
      <c r="A1525" s="30" t="n">
        <v>0</v>
      </c>
      <c r="B1525" s="31" t="s">
        <v>11</v>
      </c>
      <c r="C1525" s="32"/>
      <c r="D1525" s="32"/>
      <c r="E1525" s="19" t="n">
        <f aca="false">+IF(C1525="EQUIPO",F1525,0)</f>
        <v>0</v>
      </c>
      <c r="F1525" s="33" t="n">
        <v>0</v>
      </c>
      <c r="G1525" s="35" t="n">
        <v>0</v>
      </c>
      <c r="H1525" s="34" t="n">
        <f aca="false">+IF(E1525=0,0,E1525*0.03)</f>
        <v>0</v>
      </c>
    </row>
    <row r="1526" customFormat="false" ht="15.75" hidden="false" customHeight="true" outlineLevel="0" collapsed="false">
      <c r="A1526" s="30" t="n">
        <v>0</v>
      </c>
      <c r="B1526" s="31" t="s">
        <v>11</v>
      </c>
      <c r="C1526" s="32"/>
      <c r="D1526" s="32"/>
      <c r="E1526" s="19" t="n">
        <f aca="false">+IF(C1526="EQUIPO",F1526,0)</f>
        <v>0</v>
      </c>
      <c r="F1526" s="33" t="n">
        <v>0</v>
      </c>
      <c r="G1526" s="35" t="n">
        <v>0</v>
      </c>
      <c r="H1526" s="34" t="n">
        <f aca="false">+IF(E1526=0,0,E1526*0.03)</f>
        <v>0</v>
      </c>
    </row>
    <row r="1527" customFormat="false" ht="15.75" hidden="false" customHeight="true" outlineLevel="0" collapsed="false">
      <c r="A1527" s="30" t="n">
        <v>0</v>
      </c>
      <c r="B1527" s="31" t="s">
        <v>11</v>
      </c>
      <c r="C1527" s="32"/>
      <c r="D1527" s="32"/>
      <c r="E1527" s="19" t="n">
        <f aca="false">+IF(C1527="EQUIPO",F1527,0)</f>
        <v>0</v>
      </c>
      <c r="F1527" s="33" t="n">
        <v>0</v>
      </c>
      <c r="G1527" s="35" t="n">
        <v>0</v>
      </c>
      <c r="H1527" s="34" t="n">
        <f aca="false">+IF(E1527=0,0,E1527*0.03)</f>
        <v>0</v>
      </c>
    </row>
    <row r="1528" customFormat="false" ht="15.75" hidden="false" customHeight="true" outlineLevel="0" collapsed="false">
      <c r="A1528" s="30" t="n">
        <v>0</v>
      </c>
      <c r="B1528" s="31" t="s">
        <v>11</v>
      </c>
      <c r="C1528" s="32"/>
      <c r="D1528" s="32"/>
      <c r="E1528" s="19" t="n">
        <f aca="false">+IF(C1528="EQUIPO",F1528,0)</f>
        <v>0</v>
      </c>
      <c r="F1528" s="33" t="n">
        <v>0</v>
      </c>
      <c r="G1528" s="35" t="n">
        <v>0</v>
      </c>
      <c r="H1528" s="34" t="n">
        <f aca="false">+IF(E1528=0,0,E1528*0.03)</f>
        <v>0</v>
      </c>
    </row>
    <row r="1529" customFormat="false" ht="15.75" hidden="false" customHeight="true" outlineLevel="0" collapsed="false">
      <c r="A1529" s="30" t="n">
        <v>0</v>
      </c>
      <c r="B1529" s="31" t="s">
        <v>11</v>
      </c>
      <c r="C1529" s="32"/>
      <c r="D1529" s="32"/>
      <c r="E1529" s="19" t="n">
        <f aca="false">+IF(C1529="EQUIPO",F1529,0)</f>
        <v>0</v>
      </c>
      <c r="F1529" s="33" t="n">
        <v>0</v>
      </c>
      <c r="G1529" s="35" t="n">
        <v>0</v>
      </c>
      <c r="H1529" s="34" t="n">
        <f aca="false">+IF(E1529=0,0,E1529*0.03)</f>
        <v>0</v>
      </c>
    </row>
    <row r="1530" customFormat="false" ht="15.75" hidden="false" customHeight="true" outlineLevel="0" collapsed="false">
      <c r="A1530" s="30" t="n">
        <v>0</v>
      </c>
      <c r="B1530" s="31" t="s">
        <v>11</v>
      </c>
      <c r="C1530" s="32"/>
      <c r="D1530" s="32"/>
      <c r="E1530" s="19" t="n">
        <f aca="false">+IF(C1530="EQUIPO",F1530,0)</f>
        <v>0</v>
      </c>
      <c r="F1530" s="33" t="n">
        <v>0</v>
      </c>
      <c r="G1530" s="35" t="n">
        <v>0</v>
      </c>
      <c r="H1530" s="34" t="n">
        <f aca="false">+IF(E1530=0,0,E1530*0.03)</f>
        <v>0</v>
      </c>
    </row>
    <row r="1531" customFormat="false" ht="15.75" hidden="false" customHeight="true" outlineLevel="0" collapsed="false">
      <c r="A1531" s="30" t="n">
        <v>0</v>
      </c>
      <c r="B1531" s="31" t="s">
        <v>11</v>
      </c>
      <c r="C1531" s="32"/>
      <c r="D1531" s="32"/>
      <c r="E1531" s="19" t="n">
        <f aca="false">+IF(C1531="EQUIPO",F1531,0)</f>
        <v>0</v>
      </c>
      <c r="F1531" s="33" t="n">
        <v>0</v>
      </c>
      <c r="G1531" s="35" t="n">
        <v>0</v>
      </c>
      <c r="H1531" s="34" t="n">
        <f aca="false">+IF(E1531=0,0,E1531*0.03)</f>
        <v>0</v>
      </c>
    </row>
    <row r="1532" customFormat="false" ht="15.75" hidden="false" customHeight="true" outlineLevel="0" collapsed="false">
      <c r="A1532" s="30" t="n">
        <v>0</v>
      </c>
      <c r="B1532" s="31" t="s">
        <v>11</v>
      </c>
      <c r="C1532" s="32"/>
      <c r="D1532" s="32"/>
      <c r="E1532" s="19" t="n">
        <f aca="false">+IF(C1532="EQUIPO",F1532,0)</f>
        <v>0</v>
      </c>
      <c r="F1532" s="33" t="n">
        <v>0</v>
      </c>
      <c r="G1532" s="35" t="n">
        <v>0</v>
      </c>
      <c r="H1532" s="34" t="n">
        <f aca="false">+IF(E1532=0,0,E1532*0.03)</f>
        <v>0</v>
      </c>
    </row>
    <row r="1533" customFormat="false" ht="15.75" hidden="false" customHeight="true" outlineLevel="0" collapsed="false">
      <c r="A1533" s="30" t="n">
        <v>0</v>
      </c>
      <c r="B1533" s="31" t="s">
        <v>11</v>
      </c>
      <c r="C1533" s="32"/>
      <c r="D1533" s="32"/>
      <c r="E1533" s="19" t="n">
        <f aca="false">+IF(C1533="EQUIPO",F1533,0)</f>
        <v>0</v>
      </c>
      <c r="F1533" s="33" t="n">
        <v>0</v>
      </c>
      <c r="G1533" s="35" t="n">
        <v>0</v>
      </c>
      <c r="H1533" s="34" t="n">
        <f aca="false">+IF(E1533=0,0,E1533*0.03)</f>
        <v>0</v>
      </c>
    </row>
    <row r="1534" customFormat="false" ht="15.75" hidden="false" customHeight="true" outlineLevel="0" collapsed="false">
      <c r="A1534" s="30" t="n">
        <v>0</v>
      </c>
      <c r="B1534" s="31" t="s">
        <v>11</v>
      </c>
      <c r="C1534" s="32"/>
      <c r="D1534" s="32"/>
      <c r="E1534" s="19" t="n">
        <f aca="false">+IF(C1534="EQUIPO",F1534,0)</f>
        <v>0</v>
      </c>
      <c r="F1534" s="33" t="n">
        <v>0</v>
      </c>
      <c r="G1534" s="35" t="n">
        <v>0</v>
      </c>
      <c r="H1534" s="34" t="n">
        <f aca="false">+IF(E1534=0,0,E1534*0.03)</f>
        <v>0</v>
      </c>
    </row>
    <row r="1535" customFormat="false" ht="15.75" hidden="false" customHeight="true" outlineLevel="0" collapsed="false">
      <c r="A1535" s="30" t="n">
        <v>0</v>
      </c>
      <c r="B1535" s="31" t="s">
        <v>11</v>
      </c>
      <c r="C1535" s="32"/>
      <c r="D1535" s="32"/>
      <c r="E1535" s="19" t="n">
        <f aca="false">+IF(C1535="EQUIPO",F1535,0)</f>
        <v>0</v>
      </c>
      <c r="F1535" s="33" t="n">
        <v>0</v>
      </c>
      <c r="G1535" s="35" t="n">
        <v>0</v>
      </c>
      <c r="H1535" s="34" t="n">
        <f aca="false">+IF(E1535=0,0,E1535*0.03)</f>
        <v>0</v>
      </c>
    </row>
    <row r="1536" customFormat="false" ht="15.75" hidden="false" customHeight="true" outlineLevel="0" collapsed="false">
      <c r="A1536" s="30" t="n">
        <v>0</v>
      </c>
      <c r="B1536" s="31" t="s">
        <v>11</v>
      </c>
      <c r="C1536" s="32"/>
      <c r="D1536" s="32"/>
      <c r="E1536" s="19" t="n">
        <f aca="false">+IF(C1536="EQUIPO",F1536,0)</f>
        <v>0</v>
      </c>
      <c r="F1536" s="33" t="n">
        <v>0</v>
      </c>
      <c r="G1536" s="35" t="n">
        <v>0</v>
      </c>
      <c r="H1536" s="34" t="n">
        <f aca="false">+IF(E1536=0,0,E1536*0.03)</f>
        <v>0</v>
      </c>
    </row>
    <row r="1537" customFormat="false" ht="15.75" hidden="false" customHeight="true" outlineLevel="0" collapsed="false">
      <c r="A1537" s="30" t="n">
        <v>0</v>
      </c>
      <c r="B1537" s="31" t="s">
        <v>11</v>
      </c>
      <c r="C1537" s="32"/>
      <c r="D1537" s="32"/>
      <c r="E1537" s="19" t="n">
        <f aca="false">+IF(C1537="EQUIPO",F1537,0)</f>
        <v>0</v>
      </c>
      <c r="F1537" s="33" t="n">
        <v>0</v>
      </c>
      <c r="G1537" s="35" t="n">
        <v>0</v>
      </c>
      <c r="H1537" s="34" t="n">
        <f aca="false">+IF(E1537=0,0,E1537*0.03)</f>
        <v>0</v>
      </c>
    </row>
    <row r="1538" customFormat="false" ht="15.75" hidden="false" customHeight="true" outlineLevel="0" collapsed="false">
      <c r="A1538" s="30" t="n">
        <v>0</v>
      </c>
      <c r="B1538" s="31" t="s">
        <v>11</v>
      </c>
      <c r="C1538" s="32"/>
      <c r="D1538" s="32"/>
      <c r="E1538" s="19" t="n">
        <f aca="false">+IF(C1538="EQUIPO",F1538,0)</f>
        <v>0</v>
      </c>
      <c r="F1538" s="33" t="n">
        <v>0</v>
      </c>
      <c r="G1538" s="35" t="n">
        <v>0</v>
      </c>
      <c r="H1538" s="34" t="n">
        <f aca="false">+IF(E1538=0,0,E1538*0.03)</f>
        <v>0</v>
      </c>
    </row>
    <row r="1539" customFormat="false" ht="15.75" hidden="false" customHeight="true" outlineLevel="0" collapsed="false">
      <c r="A1539" s="30" t="n">
        <v>0</v>
      </c>
      <c r="B1539" s="31" t="s">
        <v>11</v>
      </c>
      <c r="C1539" s="32"/>
      <c r="D1539" s="32"/>
      <c r="E1539" s="19" t="n">
        <f aca="false">+IF(C1539="EQUIPO",F1539,0)</f>
        <v>0</v>
      </c>
      <c r="F1539" s="33" t="n">
        <v>0</v>
      </c>
      <c r="G1539" s="35" t="n">
        <v>0</v>
      </c>
      <c r="H1539" s="34" t="n">
        <f aca="false">+IF(E1539=0,0,E1539*0.03)</f>
        <v>0</v>
      </c>
    </row>
    <row r="1540" customFormat="false" ht="15.75" hidden="false" customHeight="true" outlineLevel="0" collapsed="false">
      <c r="A1540" s="30" t="n">
        <v>0</v>
      </c>
      <c r="B1540" s="31" t="s">
        <v>11</v>
      </c>
      <c r="C1540" s="32"/>
      <c r="D1540" s="32"/>
      <c r="E1540" s="19" t="n">
        <f aca="false">+IF(C1540="EQUIPO",F1540,0)</f>
        <v>0</v>
      </c>
      <c r="F1540" s="33" t="n">
        <v>0</v>
      </c>
      <c r="G1540" s="35" t="n">
        <v>0</v>
      </c>
      <c r="H1540" s="34" t="n">
        <f aca="false">+IF(E1540=0,0,E1540*0.03)</f>
        <v>0</v>
      </c>
    </row>
    <row r="1541" customFormat="false" ht="15.75" hidden="false" customHeight="true" outlineLevel="0" collapsed="false">
      <c r="A1541" s="30" t="n">
        <v>0</v>
      </c>
      <c r="B1541" s="31" t="s">
        <v>11</v>
      </c>
      <c r="C1541" s="32"/>
      <c r="D1541" s="32"/>
      <c r="E1541" s="19" t="n">
        <f aca="false">+IF(C1541="EQUIPO",F1541,0)</f>
        <v>0</v>
      </c>
      <c r="F1541" s="33" t="n">
        <v>0</v>
      </c>
      <c r="G1541" s="35" t="n">
        <v>0</v>
      </c>
      <c r="H1541" s="34" t="n">
        <f aca="false">+IF(E1541=0,0,E1541*0.03)</f>
        <v>0</v>
      </c>
    </row>
    <row r="1542" customFormat="false" ht="15.75" hidden="false" customHeight="true" outlineLevel="0" collapsed="false">
      <c r="A1542" s="30" t="n">
        <v>0</v>
      </c>
      <c r="B1542" s="31" t="s">
        <v>11</v>
      </c>
      <c r="C1542" s="32"/>
      <c r="D1542" s="32"/>
      <c r="E1542" s="19" t="n">
        <f aca="false">+IF(C1542="EQUIPO",F1542,0)</f>
        <v>0</v>
      </c>
      <c r="F1542" s="33" t="n">
        <v>0</v>
      </c>
      <c r="G1542" s="35" t="n">
        <v>0</v>
      </c>
      <c r="H1542" s="34" t="n">
        <f aca="false">+IF(E1542=0,0,E1542*0.03)</f>
        <v>0</v>
      </c>
    </row>
    <row r="1543" customFormat="false" ht="15.75" hidden="false" customHeight="true" outlineLevel="0" collapsed="false">
      <c r="A1543" s="30" t="n">
        <v>0</v>
      </c>
      <c r="B1543" s="31" t="s">
        <v>11</v>
      </c>
      <c r="C1543" s="32"/>
      <c r="D1543" s="32"/>
      <c r="E1543" s="19" t="n">
        <f aca="false">+IF(C1543="EQUIPO",F1543,0)</f>
        <v>0</v>
      </c>
      <c r="F1543" s="33" t="n">
        <v>0</v>
      </c>
      <c r="G1543" s="35" t="n">
        <v>0</v>
      </c>
      <c r="H1543" s="34" t="n">
        <f aca="false">+IF(E1543=0,0,E1543*0.03)</f>
        <v>0</v>
      </c>
    </row>
    <row r="1544" customFormat="false" ht="15.75" hidden="false" customHeight="true" outlineLevel="0" collapsed="false">
      <c r="A1544" s="30" t="n">
        <v>0</v>
      </c>
      <c r="B1544" s="31" t="s">
        <v>11</v>
      </c>
      <c r="C1544" s="32"/>
      <c r="D1544" s="32"/>
      <c r="E1544" s="19" t="n">
        <f aca="false">+IF(C1544="EQUIPO",F1544,0)</f>
        <v>0</v>
      </c>
      <c r="F1544" s="33" t="n">
        <v>0</v>
      </c>
      <c r="G1544" s="35" t="n">
        <v>0</v>
      </c>
      <c r="H1544" s="34" t="n">
        <f aca="false">+IF(E1544=0,0,E1544*0.03)</f>
        <v>0</v>
      </c>
    </row>
    <row r="1545" customFormat="false" ht="15.75" hidden="false" customHeight="true" outlineLevel="0" collapsed="false">
      <c r="A1545" s="30" t="n">
        <v>0</v>
      </c>
      <c r="B1545" s="31" t="s">
        <v>11</v>
      </c>
      <c r="C1545" s="32"/>
      <c r="D1545" s="32"/>
      <c r="E1545" s="19" t="n">
        <f aca="false">+IF(C1545="EQUIPO",F1545,0)</f>
        <v>0</v>
      </c>
      <c r="F1545" s="33" t="n">
        <v>0</v>
      </c>
      <c r="G1545" s="35" t="n">
        <v>0</v>
      </c>
      <c r="H1545" s="34" t="n">
        <f aca="false">+IF(E1545=0,0,E1545*0.03)</f>
        <v>0</v>
      </c>
    </row>
    <row r="1546" customFormat="false" ht="15.75" hidden="false" customHeight="true" outlineLevel="0" collapsed="false">
      <c r="A1546" s="30" t="n">
        <v>0</v>
      </c>
      <c r="B1546" s="31" t="s">
        <v>11</v>
      </c>
      <c r="C1546" s="32"/>
      <c r="D1546" s="32"/>
      <c r="E1546" s="19" t="n">
        <f aca="false">+IF(C1546="EQUIPO",F1546,0)</f>
        <v>0</v>
      </c>
      <c r="F1546" s="33" t="n">
        <v>0</v>
      </c>
      <c r="G1546" s="35" t="n">
        <v>0</v>
      </c>
      <c r="H1546" s="34" t="n">
        <f aca="false">+IF(E1546=0,0,E1546*0.03)</f>
        <v>0</v>
      </c>
    </row>
    <row r="1547" customFormat="false" ht="15.75" hidden="false" customHeight="true" outlineLevel="0" collapsed="false">
      <c r="A1547" s="30" t="n">
        <v>0</v>
      </c>
      <c r="B1547" s="31" t="s">
        <v>11</v>
      </c>
      <c r="C1547" s="32"/>
      <c r="D1547" s="32"/>
      <c r="E1547" s="19" t="n">
        <f aca="false">+IF(C1547="EQUIPO",F1547,0)</f>
        <v>0</v>
      </c>
      <c r="F1547" s="33" t="n">
        <v>0</v>
      </c>
      <c r="G1547" s="35" t="n">
        <v>0</v>
      </c>
      <c r="H1547" s="34" t="n">
        <f aca="false">+IF(E1547=0,0,E1547*0.03)</f>
        <v>0</v>
      </c>
    </row>
    <row r="1548" customFormat="false" ht="15.75" hidden="false" customHeight="true" outlineLevel="0" collapsed="false">
      <c r="A1548" s="30" t="n">
        <v>0</v>
      </c>
      <c r="B1548" s="31" t="s">
        <v>11</v>
      </c>
      <c r="C1548" s="32"/>
      <c r="D1548" s="32"/>
      <c r="E1548" s="19" t="n">
        <f aca="false">+IF(C1548="EQUIPO",F1548,0)</f>
        <v>0</v>
      </c>
      <c r="F1548" s="33" t="n">
        <v>0</v>
      </c>
      <c r="G1548" s="35" t="n">
        <v>0</v>
      </c>
      <c r="H1548" s="34" t="n">
        <f aca="false">+IF(E1548=0,0,E1548*0.03)</f>
        <v>0</v>
      </c>
    </row>
    <row r="1549" customFormat="false" ht="15.75" hidden="false" customHeight="true" outlineLevel="0" collapsed="false">
      <c r="A1549" s="30" t="n">
        <v>0</v>
      </c>
      <c r="B1549" s="31" t="s">
        <v>11</v>
      </c>
      <c r="C1549" s="32"/>
      <c r="D1549" s="32"/>
      <c r="E1549" s="19" t="n">
        <f aca="false">+IF(C1549="EQUIPO",F1549,0)</f>
        <v>0</v>
      </c>
      <c r="F1549" s="33" t="n">
        <v>0</v>
      </c>
      <c r="G1549" s="35" t="n">
        <v>0</v>
      </c>
      <c r="H1549" s="34" t="n">
        <f aca="false">+IF(E1549=0,0,E1549*0.03)</f>
        <v>0</v>
      </c>
    </row>
    <row r="1550" customFormat="false" ht="15.75" hidden="false" customHeight="true" outlineLevel="0" collapsed="false">
      <c r="A1550" s="30" t="n">
        <v>0</v>
      </c>
      <c r="B1550" s="31" t="s">
        <v>11</v>
      </c>
      <c r="C1550" s="32"/>
      <c r="D1550" s="32"/>
      <c r="E1550" s="19" t="n">
        <f aca="false">+IF(C1550="EQUIPO",F1550,0)</f>
        <v>0</v>
      </c>
      <c r="F1550" s="33" t="n">
        <v>0</v>
      </c>
      <c r="G1550" s="35" t="n">
        <v>0</v>
      </c>
      <c r="H1550" s="34" t="n">
        <f aca="false">+IF(E1550=0,0,E1550*0.03)</f>
        <v>0</v>
      </c>
    </row>
    <row r="1551" customFormat="false" ht="15.75" hidden="false" customHeight="true" outlineLevel="0" collapsed="false">
      <c r="A1551" s="30" t="n">
        <v>0</v>
      </c>
      <c r="B1551" s="31" t="s">
        <v>11</v>
      </c>
      <c r="C1551" s="32"/>
      <c r="D1551" s="32"/>
      <c r="E1551" s="19" t="n">
        <f aca="false">+IF(C1551="EQUIPO",F1551,0)</f>
        <v>0</v>
      </c>
      <c r="F1551" s="33" t="n">
        <v>0</v>
      </c>
      <c r="G1551" s="35" t="n">
        <v>0</v>
      </c>
      <c r="H1551" s="34" t="n">
        <f aca="false">+IF(E1551=0,0,E1551*0.03)</f>
        <v>0</v>
      </c>
    </row>
    <row r="1552" customFormat="false" ht="15.75" hidden="false" customHeight="true" outlineLevel="0" collapsed="false">
      <c r="A1552" s="30" t="n">
        <v>0</v>
      </c>
      <c r="B1552" s="31" t="s">
        <v>11</v>
      </c>
      <c r="C1552" s="32"/>
      <c r="D1552" s="32"/>
      <c r="E1552" s="19" t="n">
        <f aca="false">+IF(C1552="EQUIPO",F1552,0)</f>
        <v>0</v>
      </c>
      <c r="F1552" s="33" t="n">
        <v>0</v>
      </c>
      <c r="G1552" s="35" t="n">
        <v>0</v>
      </c>
      <c r="H1552" s="34" t="n">
        <f aca="false">+IF(E1552=0,0,E1552*0.03)</f>
        <v>0</v>
      </c>
    </row>
    <row r="1553" customFormat="false" ht="15.75" hidden="false" customHeight="true" outlineLevel="0" collapsed="false">
      <c r="A1553" s="30" t="n">
        <v>0</v>
      </c>
      <c r="B1553" s="31" t="s">
        <v>11</v>
      </c>
      <c r="C1553" s="32"/>
      <c r="D1553" s="32"/>
      <c r="E1553" s="19" t="n">
        <f aca="false">+IF(C1553="EQUIPO",F1553,0)</f>
        <v>0</v>
      </c>
      <c r="F1553" s="33" t="n">
        <v>0</v>
      </c>
      <c r="G1553" s="35" t="n">
        <v>0</v>
      </c>
      <c r="H1553" s="34" t="n">
        <f aca="false">+IF(E1553=0,0,E1553*0.03)</f>
        <v>0</v>
      </c>
    </row>
    <row r="1554" customFormat="false" ht="15.75" hidden="false" customHeight="true" outlineLevel="0" collapsed="false">
      <c r="A1554" s="30" t="n">
        <v>0</v>
      </c>
      <c r="B1554" s="31" t="s">
        <v>11</v>
      </c>
      <c r="C1554" s="32"/>
      <c r="D1554" s="32"/>
      <c r="E1554" s="19" t="n">
        <f aca="false">+IF(C1554="EQUIPO",F1554,0)</f>
        <v>0</v>
      </c>
      <c r="F1554" s="33" t="n">
        <v>0</v>
      </c>
      <c r="G1554" s="35" t="n">
        <v>0</v>
      </c>
      <c r="H1554" s="34" t="n">
        <f aca="false">+IF(E1554=0,0,E1554*0.03)</f>
        <v>0</v>
      </c>
    </row>
    <row r="1555" customFormat="false" ht="15.75" hidden="false" customHeight="true" outlineLevel="0" collapsed="false">
      <c r="A1555" s="30" t="n">
        <v>0</v>
      </c>
      <c r="B1555" s="31" t="s">
        <v>11</v>
      </c>
      <c r="C1555" s="32"/>
      <c r="D1555" s="32"/>
      <c r="E1555" s="19" t="n">
        <f aca="false">+IF(C1555="EQUIPO",F1555,0)</f>
        <v>0</v>
      </c>
      <c r="F1555" s="33" t="n">
        <v>0</v>
      </c>
      <c r="G1555" s="35" t="n">
        <v>0</v>
      </c>
      <c r="H1555" s="34" t="n">
        <f aca="false">+IF(E1555=0,0,E1555*0.03)</f>
        <v>0</v>
      </c>
    </row>
    <row r="1556" customFormat="false" ht="15.75" hidden="false" customHeight="true" outlineLevel="0" collapsed="false">
      <c r="A1556" s="30" t="n">
        <v>0</v>
      </c>
      <c r="B1556" s="31" t="s">
        <v>11</v>
      </c>
      <c r="C1556" s="32"/>
      <c r="D1556" s="32"/>
      <c r="E1556" s="19" t="n">
        <f aca="false">+IF(C1556="EQUIPO",F1556,0)</f>
        <v>0</v>
      </c>
      <c r="F1556" s="33" t="n">
        <v>0</v>
      </c>
      <c r="G1556" s="35" t="n">
        <v>0</v>
      </c>
      <c r="H1556" s="34" t="n">
        <f aca="false">+IF(E1556=0,0,E1556*0.03)</f>
        <v>0</v>
      </c>
    </row>
    <row r="1557" customFormat="false" ht="15.75" hidden="false" customHeight="true" outlineLevel="0" collapsed="false">
      <c r="A1557" s="30" t="n">
        <v>0</v>
      </c>
      <c r="B1557" s="31" t="s">
        <v>11</v>
      </c>
      <c r="C1557" s="32"/>
      <c r="D1557" s="32"/>
      <c r="E1557" s="19" t="n">
        <f aca="false">+IF(C1557="EQUIPO",F1557,0)</f>
        <v>0</v>
      </c>
      <c r="F1557" s="33" t="n">
        <v>0</v>
      </c>
      <c r="G1557" s="35" t="n">
        <v>0</v>
      </c>
      <c r="H1557" s="34" t="n">
        <f aca="false">+IF(E1557=0,0,E1557*0.03)</f>
        <v>0</v>
      </c>
    </row>
    <row r="1558" customFormat="false" ht="15.75" hidden="false" customHeight="true" outlineLevel="0" collapsed="false">
      <c r="A1558" s="30" t="n">
        <v>0</v>
      </c>
      <c r="B1558" s="31" t="s">
        <v>11</v>
      </c>
      <c r="C1558" s="32"/>
      <c r="D1558" s="32"/>
      <c r="E1558" s="19" t="n">
        <f aca="false">+IF(C1558="EQUIPO",F1558,0)</f>
        <v>0</v>
      </c>
      <c r="F1558" s="33" t="n">
        <v>0</v>
      </c>
      <c r="G1558" s="35" t="n">
        <v>0</v>
      </c>
      <c r="H1558" s="34" t="n">
        <f aca="false">+IF(E1558=0,0,E1558*0.03)</f>
        <v>0</v>
      </c>
    </row>
    <row r="1559" customFormat="false" ht="15.75" hidden="false" customHeight="true" outlineLevel="0" collapsed="false">
      <c r="A1559" s="30" t="n">
        <v>0</v>
      </c>
      <c r="B1559" s="31" t="s">
        <v>11</v>
      </c>
      <c r="C1559" s="32"/>
      <c r="D1559" s="32"/>
      <c r="E1559" s="19" t="n">
        <f aca="false">+IF(C1559="EQUIPO",F1559,0)</f>
        <v>0</v>
      </c>
      <c r="F1559" s="33" t="n">
        <v>0</v>
      </c>
      <c r="G1559" s="35" t="n">
        <v>0</v>
      </c>
      <c r="H1559" s="34" t="n">
        <f aca="false">+IF(E1559=0,0,E1559*0.03)</f>
        <v>0</v>
      </c>
    </row>
    <row r="1560" customFormat="false" ht="15.75" hidden="false" customHeight="true" outlineLevel="0" collapsed="false">
      <c r="A1560" s="30" t="n">
        <v>0</v>
      </c>
      <c r="B1560" s="31" t="s">
        <v>11</v>
      </c>
      <c r="C1560" s="32"/>
      <c r="D1560" s="32"/>
      <c r="E1560" s="19" t="n">
        <f aca="false">+IF(C1560="EQUIPO",F1560,0)</f>
        <v>0</v>
      </c>
      <c r="F1560" s="33" t="n">
        <v>0</v>
      </c>
      <c r="G1560" s="35" t="n">
        <v>0</v>
      </c>
      <c r="H1560" s="34" t="n">
        <f aca="false">+IF(E1560=0,0,E1560*0.03)</f>
        <v>0</v>
      </c>
    </row>
    <row r="1561" customFormat="false" ht="15.75" hidden="false" customHeight="true" outlineLevel="0" collapsed="false">
      <c r="A1561" s="30" t="n">
        <v>0</v>
      </c>
      <c r="B1561" s="31" t="s">
        <v>11</v>
      </c>
      <c r="C1561" s="32"/>
      <c r="D1561" s="32"/>
      <c r="E1561" s="19" t="n">
        <f aca="false">+IF(C1561="EQUIPO",F1561,0)</f>
        <v>0</v>
      </c>
      <c r="F1561" s="33" t="n">
        <v>0</v>
      </c>
      <c r="G1561" s="35" t="n">
        <v>0</v>
      </c>
      <c r="H1561" s="34" t="n">
        <f aca="false">+IF(E1561=0,0,E1561*0.03)</f>
        <v>0</v>
      </c>
    </row>
    <row r="1562" customFormat="false" ht="15.75" hidden="false" customHeight="true" outlineLevel="0" collapsed="false">
      <c r="A1562" s="30" t="n">
        <v>0</v>
      </c>
      <c r="B1562" s="31" t="s">
        <v>11</v>
      </c>
      <c r="C1562" s="32"/>
      <c r="D1562" s="32"/>
      <c r="E1562" s="19" t="n">
        <f aca="false">+IF(C1562="EQUIPO",F1562,0)</f>
        <v>0</v>
      </c>
      <c r="F1562" s="33" t="n">
        <v>0</v>
      </c>
      <c r="G1562" s="35" t="n">
        <v>0</v>
      </c>
      <c r="H1562" s="34" t="n">
        <f aca="false">+IF(E1562=0,0,E1562*0.03)</f>
        <v>0</v>
      </c>
    </row>
    <row r="1563" customFormat="false" ht="15.75" hidden="false" customHeight="true" outlineLevel="0" collapsed="false">
      <c r="A1563" s="30" t="n">
        <v>0</v>
      </c>
      <c r="B1563" s="31" t="s">
        <v>11</v>
      </c>
      <c r="C1563" s="32"/>
      <c r="D1563" s="32"/>
      <c r="E1563" s="19" t="n">
        <f aca="false">+IF(C1563="EQUIPO",F1563,0)</f>
        <v>0</v>
      </c>
      <c r="F1563" s="33" t="n">
        <v>0</v>
      </c>
      <c r="G1563" s="35" t="n">
        <v>0</v>
      </c>
      <c r="H1563" s="34" t="n">
        <f aca="false">+IF(E1563=0,0,E1563*0.03)</f>
        <v>0</v>
      </c>
    </row>
    <row r="1564" customFormat="false" ht="15.75" hidden="false" customHeight="true" outlineLevel="0" collapsed="false">
      <c r="A1564" s="30" t="n">
        <v>0</v>
      </c>
      <c r="B1564" s="31" t="s">
        <v>11</v>
      </c>
      <c r="C1564" s="32"/>
      <c r="D1564" s="32"/>
      <c r="E1564" s="19" t="n">
        <f aca="false">+IF(C1564="EQUIPO",F1564,0)</f>
        <v>0</v>
      </c>
      <c r="F1564" s="33" t="n">
        <v>0</v>
      </c>
      <c r="G1564" s="35" t="n">
        <v>0</v>
      </c>
      <c r="H1564" s="34" t="n">
        <f aca="false">+IF(E1564=0,0,E1564*0.03)</f>
        <v>0</v>
      </c>
    </row>
    <row r="1565" customFormat="false" ht="15.75" hidden="false" customHeight="true" outlineLevel="0" collapsed="false">
      <c r="A1565" s="30" t="n">
        <v>0</v>
      </c>
      <c r="B1565" s="31" t="s">
        <v>11</v>
      </c>
      <c r="C1565" s="32"/>
      <c r="D1565" s="32"/>
      <c r="E1565" s="19" t="n">
        <f aca="false">+IF(C1565="EQUIPO",F1565,0)</f>
        <v>0</v>
      </c>
      <c r="F1565" s="33" t="n">
        <v>0</v>
      </c>
      <c r="G1565" s="35" t="n">
        <v>0</v>
      </c>
      <c r="H1565" s="34" t="n">
        <f aca="false">+IF(E1565=0,0,E1565*0.03)</f>
        <v>0</v>
      </c>
    </row>
    <row r="1566" customFormat="false" ht="15.75" hidden="false" customHeight="true" outlineLevel="0" collapsed="false">
      <c r="A1566" s="30" t="n">
        <v>0</v>
      </c>
      <c r="B1566" s="31" t="s">
        <v>11</v>
      </c>
      <c r="C1566" s="32"/>
      <c r="D1566" s="32"/>
      <c r="E1566" s="19" t="n">
        <f aca="false">+IF(C1566="EQUIPO",F1566,0)</f>
        <v>0</v>
      </c>
      <c r="F1566" s="33" t="n">
        <v>0</v>
      </c>
      <c r="G1566" s="35" t="n">
        <v>0</v>
      </c>
      <c r="H1566" s="34" t="n">
        <f aca="false">+IF(E1566=0,0,E1566*0.03)</f>
        <v>0</v>
      </c>
    </row>
    <row r="1567" customFormat="false" ht="15.75" hidden="false" customHeight="true" outlineLevel="0" collapsed="false">
      <c r="A1567" s="30" t="n">
        <v>0</v>
      </c>
      <c r="B1567" s="31" t="s">
        <v>11</v>
      </c>
      <c r="C1567" s="32"/>
      <c r="D1567" s="32"/>
      <c r="E1567" s="19" t="n">
        <f aca="false">+IF(C1567="EQUIPO",F1567,0)</f>
        <v>0</v>
      </c>
      <c r="F1567" s="33" t="n">
        <v>0</v>
      </c>
      <c r="G1567" s="35" t="n">
        <v>0</v>
      </c>
      <c r="H1567" s="34" t="n">
        <f aca="false">+IF(E1567=0,0,E1567*0.03)</f>
        <v>0</v>
      </c>
    </row>
    <row r="1568" customFormat="false" ht="15.75" hidden="false" customHeight="true" outlineLevel="0" collapsed="false">
      <c r="A1568" s="30" t="n">
        <v>0</v>
      </c>
      <c r="B1568" s="31" t="s">
        <v>11</v>
      </c>
      <c r="C1568" s="32"/>
      <c r="D1568" s="32"/>
      <c r="E1568" s="19" t="n">
        <f aca="false">+IF(C1568="EQUIPO",F1568,0)</f>
        <v>0</v>
      </c>
      <c r="F1568" s="33" t="n">
        <v>0</v>
      </c>
      <c r="G1568" s="35" t="n">
        <v>0</v>
      </c>
      <c r="H1568" s="34" t="n">
        <f aca="false">+IF(E1568=0,0,E1568*0.03)</f>
        <v>0</v>
      </c>
    </row>
    <row r="1569" customFormat="false" ht="15.75" hidden="false" customHeight="true" outlineLevel="0" collapsed="false">
      <c r="A1569" s="30" t="n">
        <v>0</v>
      </c>
      <c r="B1569" s="31" t="s">
        <v>11</v>
      </c>
      <c r="C1569" s="32"/>
      <c r="D1569" s="32"/>
      <c r="E1569" s="19" t="n">
        <f aca="false">+IF(C1569="EQUIPO",F1569,0)</f>
        <v>0</v>
      </c>
      <c r="F1569" s="33" t="n">
        <v>0</v>
      </c>
      <c r="G1569" s="35" t="n">
        <v>0</v>
      </c>
      <c r="H1569" s="34" t="n">
        <f aca="false">+IF(E1569=0,0,E1569*0.03)</f>
        <v>0</v>
      </c>
    </row>
    <row r="1570" customFormat="false" ht="15.75" hidden="false" customHeight="true" outlineLevel="0" collapsed="false">
      <c r="A1570" s="30" t="n">
        <v>0</v>
      </c>
      <c r="B1570" s="31" t="s">
        <v>11</v>
      </c>
      <c r="C1570" s="32"/>
      <c r="D1570" s="32"/>
      <c r="E1570" s="19" t="n">
        <f aca="false">+IF(C1570="EQUIPO",F1570,0)</f>
        <v>0</v>
      </c>
      <c r="F1570" s="33" t="n">
        <v>0</v>
      </c>
      <c r="G1570" s="35" t="n">
        <v>0</v>
      </c>
      <c r="H1570" s="34" t="n">
        <f aca="false">+IF(E1570=0,0,E1570*0.03)</f>
        <v>0</v>
      </c>
    </row>
    <row r="1571" customFormat="false" ht="15.75" hidden="false" customHeight="true" outlineLevel="0" collapsed="false">
      <c r="A1571" s="30" t="n">
        <v>0</v>
      </c>
      <c r="B1571" s="31" t="s">
        <v>11</v>
      </c>
      <c r="C1571" s="32"/>
      <c r="D1571" s="32"/>
      <c r="E1571" s="19" t="n">
        <f aca="false">+IF(C1571="EQUIPO",F1571,0)</f>
        <v>0</v>
      </c>
      <c r="F1571" s="33" t="n">
        <v>0</v>
      </c>
      <c r="G1571" s="35" t="n">
        <v>0</v>
      </c>
      <c r="H1571" s="34" t="n">
        <f aca="false">+IF(E1571=0,0,E1571*0.03)</f>
        <v>0</v>
      </c>
    </row>
    <row r="1572" customFormat="false" ht="15.75" hidden="false" customHeight="true" outlineLevel="0" collapsed="false">
      <c r="A1572" s="30" t="n">
        <v>0</v>
      </c>
      <c r="B1572" s="31" t="s">
        <v>11</v>
      </c>
      <c r="C1572" s="32"/>
      <c r="D1572" s="32"/>
      <c r="E1572" s="19" t="n">
        <f aca="false">+IF(C1572="EQUIPO",F1572,0)</f>
        <v>0</v>
      </c>
      <c r="F1572" s="33" t="n">
        <v>0</v>
      </c>
      <c r="G1572" s="35" t="n">
        <v>0</v>
      </c>
      <c r="H1572" s="34" t="n">
        <f aca="false">+IF(E1572=0,0,E1572*0.03)</f>
        <v>0</v>
      </c>
    </row>
    <row r="1573" customFormat="false" ht="15.75" hidden="false" customHeight="true" outlineLevel="0" collapsed="false">
      <c r="A1573" s="30" t="n">
        <v>0</v>
      </c>
      <c r="B1573" s="31" t="s">
        <v>11</v>
      </c>
      <c r="C1573" s="32"/>
      <c r="D1573" s="32"/>
      <c r="E1573" s="19" t="n">
        <f aca="false">+IF(C1573="EQUIPO",F1573,0)</f>
        <v>0</v>
      </c>
      <c r="F1573" s="33" t="n">
        <v>0</v>
      </c>
      <c r="G1573" s="35" t="n">
        <v>0</v>
      </c>
      <c r="H1573" s="34" t="n">
        <f aca="false">+IF(E1573=0,0,E1573*0.03)</f>
        <v>0</v>
      </c>
    </row>
    <row r="1574" customFormat="false" ht="15.75" hidden="false" customHeight="true" outlineLevel="0" collapsed="false">
      <c r="A1574" s="30" t="n">
        <v>0</v>
      </c>
      <c r="B1574" s="31" t="s">
        <v>11</v>
      </c>
      <c r="C1574" s="32"/>
      <c r="D1574" s="32"/>
      <c r="E1574" s="19" t="n">
        <f aca="false">+IF(C1574="EQUIPO",F1574,0)</f>
        <v>0</v>
      </c>
      <c r="F1574" s="33" t="n">
        <v>0</v>
      </c>
      <c r="G1574" s="35" t="n">
        <v>0</v>
      </c>
      <c r="H1574" s="34" t="n">
        <f aca="false">+IF(E1574=0,0,E1574*0.03)</f>
        <v>0</v>
      </c>
    </row>
    <row r="1575" customFormat="false" ht="15.75" hidden="false" customHeight="true" outlineLevel="0" collapsed="false">
      <c r="A1575" s="30" t="n">
        <v>0</v>
      </c>
      <c r="B1575" s="31" t="s">
        <v>11</v>
      </c>
      <c r="C1575" s="32"/>
      <c r="D1575" s="32"/>
      <c r="E1575" s="19" t="n">
        <f aca="false">+IF(C1575="EQUIPO",F1575,0)</f>
        <v>0</v>
      </c>
      <c r="F1575" s="33" t="n">
        <v>0</v>
      </c>
      <c r="G1575" s="35" t="n">
        <v>0</v>
      </c>
      <c r="H1575" s="34" t="n">
        <f aca="false">+IF(E1575=0,0,E1575*0.03)</f>
        <v>0</v>
      </c>
    </row>
    <row r="1576" customFormat="false" ht="15.75" hidden="false" customHeight="true" outlineLevel="0" collapsed="false">
      <c r="A1576" s="30" t="n">
        <v>0</v>
      </c>
      <c r="B1576" s="31" t="s">
        <v>11</v>
      </c>
      <c r="C1576" s="32"/>
      <c r="D1576" s="32"/>
      <c r="E1576" s="19" t="n">
        <f aca="false">+IF(C1576="EQUIPO",F1576,0)</f>
        <v>0</v>
      </c>
      <c r="F1576" s="33" t="n">
        <v>0</v>
      </c>
      <c r="G1576" s="35" t="n">
        <v>0</v>
      </c>
      <c r="H1576" s="34" t="n">
        <f aca="false">+IF(E1576=0,0,E1576*0.03)</f>
        <v>0</v>
      </c>
    </row>
    <row r="1577" customFormat="false" ht="15.75" hidden="false" customHeight="true" outlineLevel="0" collapsed="false">
      <c r="A1577" s="30" t="n">
        <v>0</v>
      </c>
      <c r="B1577" s="31" t="s">
        <v>11</v>
      </c>
      <c r="C1577" s="32"/>
      <c r="D1577" s="32"/>
      <c r="E1577" s="19" t="n">
        <f aca="false">+IF(C1577="EQUIPO",F1577,0)</f>
        <v>0</v>
      </c>
      <c r="F1577" s="33" t="n">
        <v>0</v>
      </c>
      <c r="G1577" s="35" t="n">
        <v>0</v>
      </c>
      <c r="H1577" s="34" t="n">
        <f aca="false">+IF(E1577=0,0,E1577*0.03)</f>
        <v>0</v>
      </c>
    </row>
    <row r="1578" customFormat="false" ht="15.75" hidden="false" customHeight="true" outlineLevel="0" collapsed="false">
      <c r="A1578" s="30" t="n">
        <v>0</v>
      </c>
      <c r="B1578" s="31" t="s">
        <v>11</v>
      </c>
      <c r="C1578" s="32"/>
      <c r="D1578" s="32"/>
      <c r="E1578" s="19" t="n">
        <f aca="false">+IF(C1578="EQUIPO",F1578,0)</f>
        <v>0</v>
      </c>
      <c r="F1578" s="33" t="n">
        <v>0</v>
      </c>
      <c r="G1578" s="35" t="n">
        <v>0</v>
      </c>
      <c r="H1578" s="34" t="n">
        <f aca="false">+IF(E1578=0,0,E1578*0.03)</f>
        <v>0</v>
      </c>
    </row>
    <row r="1579" customFormat="false" ht="15.75" hidden="false" customHeight="true" outlineLevel="0" collapsed="false">
      <c r="A1579" s="30" t="n">
        <v>0</v>
      </c>
      <c r="B1579" s="31" t="s">
        <v>11</v>
      </c>
      <c r="C1579" s="32"/>
      <c r="D1579" s="32"/>
      <c r="E1579" s="19" t="n">
        <f aca="false">+IF(C1579="EQUIPO",F1579,0)</f>
        <v>0</v>
      </c>
      <c r="F1579" s="33" t="n">
        <v>0</v>
      </c>
      <c r="G1579" s="35" t="n">
        <v>0</v>
      </c>
      <c r="H1579" s="34" t="n">
        <f aca="false">+IF(E1579=0,0,E1579*0.03)</f>
        <v>0</v>
      </c>
    </row>
    <row r="1580" customFormat="false" ht="15.75" hidden="false" customHeight="true" outlineLevel="0" collapsed="false">
      <c r="A1580" s="30" t="n">
        <v>0</v>
      </c>
      <c r="B1580" s="31" t="s">
        <v>11</v>
      </c>
      <c r="C1580" s="32"/>
      <c r="D1580" s="32"/>
      <c r="E1580" s="19" t="n">
        <f aca="false">+IF(C1580="EQUIPO",F1580,0)</f>
        <v>0</v>
      </c>
      <c r="F1580" s="33" t="n">
        <v>0</v>
      </c>
      <c r="G1580" s="35" t="n">
        <v>0</v>
      </c>
      <c r="H1580" s="34" t="n">
        <f aca="false">+IF(E1580=0,0,E1580*0.03)</f>
        <v>0</v>
      </c>
    </row>
    <row r="1581" customFormat="false" ht="15.75" hidden="false" customHeight="true" outlineLevel="0" collapsed="false">
      <c r="A1581" s="30" t="n">
        <v>0</v>
      </c>
      <c r="B1581" s="31" t="s">
        <v>11</v>
      </c>
      <c r="C1581" s="32"/>
      <c r="D1581" s="32"/>
      <c r="E1581" s="19" t="n">
        <f aca="false">+IF(C1581="EQUIPO",F1581,0)</f>
        <v>0</v>
      </c>
      <c r="F1581" s="33" t="n">
        <v>0</v>
      </c>
      <c r="G1581" s="35" t="n">
        <v>0</v>
      </c>
      <c r="H1581" s="34" t="n">
        <f aca="false">+IF(E1581=0,0,E1581*0.03)</f>
        <v>0</v>
      </c>
    </row>
    <row r="1582" customFormat="false" ht="15.75" hidden="false" customHeight="true" outlineLevel="0" collapsed="false">
      <c r="A1582" s="30" t="n">
        <v>0</v>
      </c>
      <c r="B1582" s="31" t="s">
        <v>11</v>
      </c>
      <c r="C1582" s="32"/>
      <c r="D1582" s="32"/>
      <c r="E1582" s="19" t="n">
        <f aca="false">+IF(C1582="EQUIPO",F1582,0)</f>
        <v>0</v>
      </c>
      <c r="F1582" s="33" t="n">
        <v>0</v>
      </c>
      <c r="G1582" s="35" t="n">
        <v>0</v>
      </c>
      <c r="H1582" s="34" t="n">
        <f aca="false">+IF(E1582=0,0,E1582*0.03)</f>
        <v>0</v>
      </c>
    </row>
    <row r="1583" customFormat="false" ht="15.75" hidden="false" customHeight="true" outlineLevel="0" collapsed="false">
      <c r="A1583" s="30" t="n">
        <v>0</v>
      </c>
      <c r="B1583" s="31" t="s">
        <v>11</v>
      </c>
      <c r="C1583" s="32"/>
      <c r="D1583" s="32"/>
      <c r="E1583" s="19" t="n">
        <f aca="false">+IF(C1583="EQUIPO",F1583,0)</f>
        <v>0</v>
      </c>
      <c r="F1583" s="33" t="n">
        <v>0</v>
      </c>
      <c r="G1583" s="35" t="n">
        <v>0</v>
      </c>
      <c r="H1583" s="34" t="n">
        <f aca="false">+IF(E1583=0,0,E1583*0.03)</f>
        <v>0</v>
      </c>
    </row>
    <row r="1584" customFormat="false" ht="15.75" hidden="false" customHeight="true" outlineLevel="0" collapsed="false">
      <c r="A1584" s="30" t="n">
        <v>0</v>
      </c>
      <c r="B1584" s="31" t="s">
        <v>11</v>
      </c>
      <c r="C1584" s="32"/>
      <c r="D1584" s="32"/>
      <c r="E1584" s="19" t="n">
        <f aca="false">+IF(C1584="EQUIPO",F1584,0)</f>
        <v>0</v>
      </c>
      <c r="F1584" s="33" t="n">
        <v>0</v>
      </c>
      <c r="G1584" s="35" t="n">
        <v>0</v>
      </c>
      <c r="H1584" s="34" t="n">
        <f aca="false">+IF(E1584=0,0,E1584*0.03)</f>
        <v>0</v>
      </c>
    </row>
    <row r="1585" customFormat="false" ht="15.75" hidden="false" customHeight="true" outlineLevel="0" collapsed="false">
      <c r="A1585" s="30" t="n">
        <v>0</v>
      </c>
      <c r="B1585" s="31" t="s">
        <v>11</v>
      </c>
      <c r="C1585" s="32"/>
      <c r="D1585" s="32"/>
      <c r="E1585" s="19" t="n">
        <f aca="false">+IF(C1585="EQUIPO",F1585,0)</f>
        <v>0</v>
      </c>
      <c r="F1585" s="33" t="n">
        <v>0</v>
      </c>
      <c r="G1585" s="35" t="n">
        <v>0</v>
      </c>
      <c r="H1585" s="34" t="n">
        <f aca="false">+IF(E1585=0,0,E1585*0.03)</f>
        <v>0</v>
      </c>
    </row>
    <row r="1586" customFormat="false" ht="15.75" hidden="false" customHeight="true" outlineLevel="0" collapsed="false">
      <c r="A1586" s="30" t="n">
        <v>0</v>
      </c>
      <c r="B1586" s="31" t="s">
        <v>11</v>
      </c>
      <c r="C1586" s="32"/>
      <c r="D1586" s="32"/>
      <c r="E1586" s="19" t="n">
        <f aca="false">+IF(C1586="EQUIPO",F1586,0)</f>
        <v>0</v>
      </c>
      <c r="F1586" s="33" t="n">
        <v>0</v>
      </c>
      <c r="G1586" s="35" t="n">
        <v>0</v>
      </c>
      <c r="H1586" s="34" t="n">
        <f aca="false">+IF(E1586=0,0,E1586*0.03)</f>
        <v>0</v>
      </c>
    </row>
    <row r="1587" customFormat="false" ht="15.75" hidden="false" customHeight="true" outlineLevel="0" collapsed="false">
      <c r="A1587" s="30" t="n">
        <v>0</v>
      </c>
      <c r="B1587" s="31" t="s">
        <v>11</v>
      </c>
      <c r="C1587" s="32"/>
      <c r="D1587" s="32"/>
      <c r="E1587" s="19" t="n">
        <f aca="false">+IF(C1587="EQUIPO",F1587,0)</f>
        <v>0</v>
      </c>
      <c r="F1587" s="33" t="n">
        <v>0</v>
      </c>
      <c r="G1587" s="35" t="n">
        <v>0</v>
      </c>
      <c r="H1587" s="34" t="n">
        <f aca="false">+IF(E1587=0,0,E1587*0.03)</f>
        <v>0</v>
      </c>
    </row>
    <row r="1588" customFormat="false" ht="15.75" hidden="false" customHeight="true" outlineLevel="0" collapsed="false">
      <c r="A1588" s="30" t="n">
        <v>0</v>
      </c>
      <c r="B1588" s="31" t="s">
        <v>11</v>
      </c>
      <c r="C1588" s="32"/>
      <c r="D1588" s="32"/>
      <c r="E1588" s="19" t="n">
        <f aca="false">+IF(C1588="EQUIPO",F1588,0)</f>
        <v>0</v>
      </c>
      <c r="F1588" s="33" t="n">
        <v>0</v>
      </c>
      <c r="G1588" s="35" t="n">
        <v>0</v>
      </c>
      <c r="H1588" s="34" t="n">
        <f aca="false">+IF(E1588=0,0,E1588*0.03)</f>
        <v>0</v>
      </c>
    </row>
    <row r="1589" customFormat="false" ht="15.75" hidden="false" customHeight="true" outlineLevel="0" collapsed="false">
      <c r="A1589" s="30" t="n">
        <v>0</v>
      </c>
      <c r="B1589" s="31" t="s">
        <v>11</v>
      </c>
      <c r="C1589" s="32"/>
      <c r="D1589" s="32"/>
      <c r="E1589" s="19" t="n">
        <f aca="false">+IF(C1589="EQUIPO",F1589,0)</f>
        <v>0</v>
      </c>
      <c r="F1589" s="33" t="n">
        <v>0</v>
      </c>
      <c r="G1589" s="35" t="n">
        <v>0</v>
      </c>
      <c r="H1589" s="34" t="n">
        <f aca="false">+IF(E1589=0,0,E1589*0.03)</f>
        <v>0</v>
      </c>
    </row>
    <row r="1590" customFormat="false" ht="15.75" hidden="false" customHeight="true" outlineLevel="0" collapsed="false">
      <c r="A1590" s="30" t="n">
        <v>0</v>
      </c>
      <c r="B1590" s="31" t="s">
        <v>11</v>
      </c>
      <c r="C1590" s="32"/>
      <c r="D1590" s="32"/>
      <c r="E1590" s="19" t="n">
        <f aca="false">+IF(C1590="EQUIPO",F1590,0)</f>
        <v>0</v>
      </c>
      <c r="F1590" s="33" t="n">
        <v>0</v>
      </c>
      <c r="G1590" s="35" t="n">
        <v>0</v>
      </c>
      <c r="H1590" s="34" t="n">
        <f aca="false">+IF(E1590=0,0,E1590*0.03)</f>
        <v>0</v>
      </c>
    </row>
    <row r="1591" customFormat="false" ht="15.75" hidden="false" customHeight="true" outlineLevel="0" collapsed="false">
      <c r="A1591" s="30" t="n">
        <v>0</v>
      </c>
      <c r="B1591" s="31" t="s">
        <v>11</v>
      </c>
      <c r="C1591" s="32"/>
      <c r="D1591" s="32"/>
      <c r="E1591" s="19" t="n">
        <f aca="false">+IF(C1591="EQUIPO",F1591,0)</f>
        <v>0</v>
      </c>
      <c r="F1591" s="33" t="n">
        <v>0</v>
      </c>
      <c r="G1591" s="35" t="n">
        <v>0</v>
      </c>
      <c r="H1591" s="34" t="n">
        <f aca="false">+IF(E1591=0,0,E1591*0.03)</f>
        <v>0</v>
      </c>
    </row>
    <row r="1592" customFormat="false" ht="15.75" hidden="false" customHeight="true" outlineLevel="0" collapsed="false">
      <c r="A1592" s="30" t="n">
        <v>0</v>
      </c>
      <c r="B1592" s="31" t="s">
        <v>11</v>
      </c>
      <c r="C1592" s="32"/>
      <c r="D1592" s="32"/>
      <c r="E1592" s="19" t="n">
        <f aca="false">+IF(C1592="EQUIPO",F1592,0)</f>
        <v>0</v>
      </c>
      <c r="F1592" s="33" t="n">
        <v>0</v>
      </c>
      <c r="G1592" s="35" t="n">
        <v>0</v>
      </c>
      <c r="H1592" s="34" t="n">
        <f aca="false">+IF(E1592=0,0,E1592*0.03)</f>
        <v>0</v>
      </c>
    </row>
    <row r="1593" customFormat="false" ht="15.75" hidden="false" customHeight="true" outlineLevel="0" collapsed="false">
      <c r="A1593" s="30" t="n">
        <v>0</v>
      </c>
      <c r="B1593" s="31" t="s">
        <v>11</v>
      </c>
      <c r="C1593" s="32"/>
      <c r="D1593" s="32"/>
      <c r="E1593" s="19" t="n">
        <f aca="false">+IF(C1593="EQUIPO",F1593,0)</f>
        <v>0</v>
      </c>
      <c r="F1593" s="33" t="n">
        <v>0</v>
      </c>
      <c r="G1593" s="35" t="n">
        <v>0</v>
      </c>
      <c r="H1593" s="34" t="n">
        <f aca="false">+IF(E1593=0,0,E1593*0.03)</f>
        <v>0</v>
      </c>
    </row>
    <row r="1594" customFormat="false" ht="15.75" hidden="false" customHeight="true" outlineLevel="0" collapsed="false">
      <c r="A1594" s="30" t="n">
        <v>0</v>
      </c>
      <c r="B1594" s="31" t="s">
        <v>11</v>
      </c>
      <c r="C1594" s="32"/>
      <c r="D1594" s="32"/>
      <c r="E1594" s="19" t="n">
        <f aca="false">+IF(C1594="EQUIPO",F1594,0)</f>
        <v>0</v>
      </c>
      <c r="F1594" s="33" t="n">
        <v>0</v>
      </c>
      <c r="G1594" s="35" t="n">
        <v>0</v>
      </c>
      <c r="H1594" s="34" t="n">
        <f aca="false">+IF(E1594=0,0,E1594*0.03)</f>
        <v>0</v>
      </c>
    </row>
    <row r="1595" customFormat="false" ht="15.75" hidden="false" customHeight="true" outlineLevel="0" collapsed="false">
      <c r="A1595" s="30" t="n">
        <v>0</v>
      </c>
      <c r="B1595" s="31" t="s">
        <v>11</v>
      </c>
      <c r="C1595" s="32"/>
      <c r="D1595" s="32"/>
      <c r="E1595" s="19" t="n">
        <f aca="false">+IF(C1595="EQUIPO",F1595,0)</f>
        <v>0</v>
      </c>
      <c r="F1595" s="33" t="n">
        <v>0</v>
      </c>
      <c r="G1595" s="35" t="n">
        <v>0</v>
      </c>
      <c r="H1595" s="34" t="n">
        <f aca="false">+IF(E1595=0,0,E1595*0.03)</f>
        <v>0</v>
      </c>
    </row>
    <row r="1596" customFormat="false" ht="15.75" hidden="false" customHeight="true" outlineLevel="0" collapsed="false">
      <c r="A1596" s="30" t="n">
        <v>0</v>
      </c>
      <c r="B1596" s="31" t="s">
        <v>11</v>
      </c>
      <c r="C1596" s="32"/>
      <c r="D1596" s="32"/>
      <c r="E1596" s="19" t="n">
        <f aca="false">+IF(C1596="EQUIPO",F1596,0)</f>
        <v>0</v>
      </c>
      <c r="F1596" s="33" t="n">
        <v>0</v>
      </c>
      <c r="G1596" s="35" t="n">
        <v>0</v>
      </c>
      <c r="H1596" s="34" t="n">
        <f aca="false">+IF(E1596=0,0,E1596*0.03)</f>
        <v>0</v>
      </c>
    </row>
    <row r="1597" customFormat="false" ht="15.75" hidden="false" customHeight="true" outlineLevel="0" collapsed="false">
      <c r="A1597" s="30" t="n">
        <v>0</v>
      </c>
      <c r="B1597" s="31" t="s">
        <v>11</v>
      </c>
      <c r="C1597" s="32"/>
      <c r="D1597" s="32"/>
      <c r="E1597" s="19" t="n">
        <f aca="false">+IF(C1597="EQUIPO",F1597,0)</f>
        <v>0</v>
      </c>
      <c r="F1597" s="33" t="n">
        <v>0</v>
      </c>
      <c r="G1597" s="35" t="n">
        <v>0</v>
      </c>
      <c r="H1597" s="34" t="n">
        <f aca="false">+IF(E1597=0,0,E1597*0.03)</f>
        <v>0</v>
      </c>
    </row>
    <row r="1598" customFormat="false" ht="15.75" hidden="false" customHeight="true" outlineLevel="0" collapsed="false">
      <c r="A1598" s="30" t="n">
        <v>0</v>
      </c>
      <c r="B1598" s="31" t="s">
        <v>11</v>
      </c>
      <c r="C1598" s="32"/>
      <c r="D1598" s="32"/>
      <c r="E1598" s="19" t="n">
        <f aca="false">+IF(C1598="EQUIPO",F1598,0)</f>
        <v>0</v>
      </c>
      <c r="F1598" s="33" t="n">
        <v>0</v>
      </c>
      <c r="G1598" s="35" t="n">
        <v>0</v>
      </c>
      <c r="H1598" s="34" t="n">
        <f aca="false">+IF(E1598=0,0,E1598*0.03)</f>
        <v>0</v>
      </c>
    </row>
    <row r="1599" customFormat="false" ht="15.75" hidden="false" customHeight="true" outlineLevel="0" collapsed="false">
      <c r="A1599" s="30" t="n">
        <v>0</v>
      </c>
      <c r="B1599" s="31" t="s">
        <v>11</v>
      </c>
      <c r="C1599" s="32"/>
      <c r="D1599" s="32"/>
      <c r="E1599" s="19" t="n">
        <f aca="false">+IF(C1599="EQUIPO",F1599,0)</f>
        <v>0</v>
      </c>
      <c r="F1599" s="33" t="n">
        <v>0</v>
      </c>
      <c r="G1599" s="35" t="n">
        <v>0</v>
      </c>
      <c r="H1599" s="34" t="n">
        <f aca="false">+IF(E1599=0,0,E1599*0.03)</f>
        <v>0</v>
      </c>
    </row>
    <row r="1600" customFormat="false" ht="15.75" hidden="false" customHeight="true" outlineLevel="0" collapsed="false">
      <c r="A1600" s="30" t="n">
        <v>0</v>
      </c>
      <c r="B1600" s="31" t="s">
        <v>11</v>
      </c>
      <c r="C1600" s="32"/>
      <c r="D1600" s="32"/>
      <c r="E1600" s="19" t="n">
        <f aca="false">+IF(C1600="EQUIPO",F1600,0)</f>
        <v>0</v>
      </c>
      <c r="F1600" s="33" t="n">
        <v>0</v>
      </c>
      <c r="G1600" s="35" t="n">
        <v>0</v>
      </c>
      <c r="H1600" s="34" t="n">
        <f aca="false">+IF(E1600=0,0,E1600*0.03)</f>
        <v>0</v>
      </c>
    </row>
    <row r="1601" customFormat="false" ht="15.75" hidden="false" customHeight="true" outlineLevel="0" collapsed="false">
      <c r="A1601" s="30" t="n">
        <v>0</v>
      </c>
      <c r="B1601" s="31" t="s">
        <v>11</v>
      </c>
      <c r="C1601" s="32"/>
      <c r="D1601" s="32"/>
      <c r="E1601" s="19" t="n">
        <f aca="false">+IF(C1601="EQUIPO",F1601,0)</f>
        <v>0</v>
      </c>
      <c r="F1601" s="33" t="n">
        <v>0</v>
      </c>
      <c r="G1601" s="35" t="n">
        <v>0</v>
      </c>
      <c r="H1601" s="34" t="n">
        <f aca="false">+IF(E1601=0,0,E1601*0.03)</f>
        <v>0</v>
      </c>
    </row>
    <row r="1602" customFormat="false" ht="15.75" hidden="false" customHeight="true" outlineLevel="0" collapsed="false">
      <c r="A1602" s="30" t="n">
        <v>0</v>
      </c>
      <c r="B1602" s="31" t="s">
        <v>11</v>
      </c>
      <c r="C1602" s="32"/>
      <c r="D1602" s="32"/>
      <c r="E1602" s="19" t="n">
        <f aca="false">+IF(C1602="EQUIPO",F1602,0)</f>
        <v>0</v>
      </c>
      <c r="F1602" s="33" t="n">
        <v>0</v>
      </c>
      <c r="G1602" s="35" t="n">
        <v>0</v>
      </c>
      <c r="H1602" s="34" t="n">
        <f aca="false">+IF(E1602=0,0,E1602*0.03)</f>
        <v>0</v>
      </c>
    </row>
    <row r="1603" customFormat="false" ht="15.75" hidden="false" customHeight="true" outlineLevel="0" collapsed="false">
      <c r="A1603" s="30" t="n">
        <v>0</v>
      </c>
      <c r="B1603" s="31" t="s">
        <v>11</v>
      </c>
      <c r="C1603" s="32"/>
      <c r="D1603" s="32"/>
      <c r="E1603" s="19" t="n">
        <f aca="false">+IF(C1603="EQUIPO",F1603,0)</f>
        <v>0</v>
      </c>
      <c r="F1603" s="33" t="n">
        <v>0</v>
      </c>
      <c r="G1603" s="35" t="n">
        <v>0</v>
      </c>
      <c r="H1603" s="34" t="n">
        <f aca="false">+IF(E1603=0,0,E1603*0.03)</f>
        <v>0</v>
      </c>
    </row>
    <row r="1604" customFormat="false" ht="15.75" hidden="false" customHeight="true" outlineLevel="0" collapsed="false">
      <c r="A1604" s="30" t="n">
        <v>0</v>
      </c>
      <c r="B1604" s="31" t="s">
        <v>11</v>
      </c>
      <c r="C1604" s="32"/>
      <c r="D1604" s="32"/>
      <c r="E1604" s="19" t="n">
        <f aca="false">+IF(C1604="EQUIPO",F1604,0)</f>
        <v>0</v>
      </c>
      <c r="F1604" s="33" t="n">
        <v>0</v>
      </c>
      <c r="G1604" s="35" t="n">
        <v>0</v>
      </c>
      <c r="H1604" s="34" t="n">
        <f aca="false">+IF(E1604=0,0,E1604*0.03)</f>
        <v>0</v>
      </c>
    </row>
    <row r="1605" customFormat="false" ht="15.75" hidden="false" customHeight="true" outlineLevel="0" collapsed="false">
      <c r="A1605" s="30" t="n">
        <v>0</v>
      </c>
      <c r="B1605" s="31" t="s">
        <v>11</v>
      </c>
      <c r="C1605" s="32"/>
      <c r="D1605" s="32"/>
      <c r="E1605" s="19" t="n">
        <f aca="false">+IF(C1605="EQUIPO",F1605,0)</f>
        <v>0</v>
      </c>
      <c r="F1605" s="33" t="n">
        <v>0</v>
      </c>
      <c r="G1605" s="35" t="n">
        <v>0</v>
      </c>
      <c r="H1605" s="34" t="n">
        <f aca="false">+IF(E1605=0,0,E1605*0.03)</f>
        <v>0</v>
      </c>
    </row>
    <row r="1606" customFormat="false" ht="15.75" hidden="false" customHeight="true" outlineLevel="0" collapsed="false">
      <c r="A1606" s="30" t="n">
        <v>0</v>
      </c>
      <c r="B1606" s="31" t="s">
        <v>11</v>
      </c>
      <c r="C1606" s="32"/>
      <c r="D1606" s="32"/>
      <c r="E1606" s="19" t="n">
        <f aca="false">+IF(C1606="EQUIPO",F1606,0)</f>
        <v>0</v>
      </c>
      <c r="F1606" s="33" t="n">
        <v>0</v>
      </c>
      <c r="G1606" s="35" t="n">
        <v>0</v>
      </c>
      <c r="H1606" s="34" t="n">
        <f aca="false">+IF(E1606=0,0,E1606*0.03)</f>
        <v>0</v>
      </c>
    </row>
    <row r="1607" customFormat="false" ht="15.75" hidden="false" customHeight="true" outlineLevel="0" collapsed="false">
      <c r="A1607" s="30" t="n">
        <v>0</v>
      </c>
      <c r="B1607" s="31" t="s">
        <v>11</v>
      </c>
      <c r="C1607" s="32"/>
      <c r="D1607" s="32"/>
      <c r="E1607" s="19" t="n">
        <f aca="false">+IF(C1607="EQUIPO",F1607,0)</f>
        <v>0</v>
      </c>
      <c r="F1607" s="33" t="n">
        <v>0</v>
      </c>
      <c r="G1607" s="35" t="n">
        <v>0</v>
      </c>
      <c r="H1607" s="34" t="n">
        <f aca="false">+IF(E1607=0,0,E1607*0.03)</f>
        <v>0</v>
      </c>
    </row>
    <row r="1608" customFormat="false" ht="15.75" hidden="false" customHeight="true" outlineLevel="0" collapsed="false">
      <c r="A1608" s="30" t="n">
        <v>0</v>
      </c>
      <c r="B1608" s="31" t="s">
        <v>11</v>
      </c>
      <c r="C1608" s="32"/>
      <c r="D1608" s="32"/>
      <c r="E1608" s="19" t="n">
        <f aca="false">+IF(C1608="EQUIPO",F1608,0)</f>
        <v>0</v>
      </c>
      <c r="F1608" s="33" t="n">
        <v>0</v>
      </c>
      <c r="G1608" s="35" t="n">
        <v>0</v>
      </c>
      <c r="H1608" s="34" t="n">
        <f aca="false">+IF(E1608=0,0,E1608*0.03)</f>
        <v>0</v>
      </c>
    </row>
    <row r="1609" customFormat="false" ht="15.75" hidden="false" customHeight="true" outlineLevel="0" collapsed="false">
      <c r="A1609" s="30" t="n">
        <v>0</v>
      </c>
      <c r="B1609" s="31" t="s">
        <v>11</v>
      </c>
      <c r="C1609" s="32"/>
      <c r="D1609" s="32"/>
      <c r="E1609" s="19" t="n">
        <f aca="false">+IF(C1609="EQUIPO",F1609,0)</f>
        <v>0</v>
      </c>
      <c r="F1609" s="33" t="n">
        <v>0</v>
      </c>
      <c r="G1609" s="35" t="n">
        <v>0</v>
      </c>
      <c r="H1609" s="34" t="n">
        <f aca="false">+IF(E1609=0,0,E1609*0.03)</f>
        <v>0</v>
      </c>
    </row>
    <row r="1610" customFormat="false" ht="15.75" hidden="false" customHeight="true" outlineLevel="0" collapsed="false">
      <c r="A1610" s="30" t="n">
        <v>0</v>
      </c>
      <c r="B1610" s="31" t="s">
        <v>11</v>
      </c>
      <c r="C1610" s="32"/>
      <c r="D1610" s="32"/>
      <c r="E1610" s="19" t="n">
        <f aca="false">+IF(C1610="EQUIPO",F1610,0)</f>
        <v>0</v>
      </c>
      <c r="F1610" s="33" t="n">
        <v>0</v>
      </c>
      <c r="G1610" s="35" t="n">
        <v>0</v>
      </c>
      <c r="H1610" s="34" t="n">
        <f aca="false">+IF(E1610=0,0,E1610*0.03)</f>
        <v>0</v>
      </c>
    </row>
    <row r="1611" customFormat="false" ht="15.75" hidden="false" customHeight="true" outlineLevel="0" collapsed="false">
      <c r="A1611" s="30" t="n">
        <v>0</v>
      </c>
      <c r="B1611" s="31" t="s">
        <v>11</v>
      </c>
      <c r="C1611" s="32"/>
      <c r="D1611" s="32"/>
      <c r="E1611" s="19" t="n">
        <f aca="false">+IF(C1611="EQUIPO",F1611,0)</f>
        <v>0</v>
      </c>
      <c r="F1611" s="33" t="n">
        <v>0</v>
      </c>
      <c r="G1611" s="35" t="n">
        <v>0</v>
      </c>
      <c r="H1611" s="34" t="n">
        <f aca="false">+IF(E1611=0,0,E1611*0.03)</f>
        <v>0</v>
      </c>
    </row>
    <row r="1612" customFormat="false" ht="15.75" hidden="false" customHeight="true" outlineLevel="0" collapsed="false">
      <c r="A1612" s="30" t="n">
        <v>0</v>
      </c>
      <c r="B1612" s="31" t="s">
        <v>11</v>
      </c>
      <c r="C1612" s="32"/>
      <c r="D1612" s="32"/>
      <c r="E1612" s="19" t="n">
        <f aca="false">+IF(C1612="EQUIPO",F1612,0)</f>
        <v>0</v>
      </c>
      <c r="F1612" s="33" t="n">
        <v>0</v>
      </c>
      <c r="G1612" s="35" t="n">
        <v>0</v>
      </c>
      <c r="H1612" s="34" t="n">
        <f aca="false">+IF(E1612=0,0,E1612*0.03)</f>
        <v>0</v>
      </c>
    </row>
    <row r="1613" customFormat="false" ht="15.75" hidden="false" customHeight="true" outlineLevel="0" collapsed="false">
      <c r="A1613" s="30" t="n">
        <v>0</v>
      </c>
      <c r="B1613" s="31" t="s">
        <v>11</v>
      </c>
      <c r="C1613" s="32"/>
      <c r="D1613" s="32"/>
      <c r="E1613" s="19" t="n">
        <f aca="false">+IF(C1613="EQUIPO",F1613,0)</f>
        <v>0</v>
      </c>
      <c r="F1613" s="33" t="n">
        <v>0</v>
      </c>
      <c r="G1613" s="35" t="n">
        <v>0</v>
      </c>
      <c r="H1613" s="34" t="n">
        <f aca="false">+IF(E1613=0,0,E1613*0.03)</f>
        <v>0</v>
      </c>
    </row>
    <row r="1614" customFormat="false" ht="15.75" hidden="false" customHeight="true" outlineLevel="0" collapsed="false">
      <c r="A1614" s="30" t="n">
        <v>0</v>
      </c>
      <c r="B1614" s="31" t="s">
        <v>11</v>
      </c>
      <c r="C1614" s="32"/>
      <c r="D1614" s="32"/>
      <c r="E1614" s="19" t="n">
        <f aca="false">+IF(C1614="EQUIPO",F1614,0)</f>
        <v>0</v>
      </c>
      <c r="F1614" s="33" t="n">
        <v>0</v>
      </c>
      <c r="G1614" s="35" t="n">
        <v>0</v>
      </c>
      <c r="H1614" s="34" t="n">
        <f aca="false">+IF(E1614=0,0,E1614*0.03)</f>
        <v>0</v>
      </c>
    </row>
    <row r="1615" customFormat="false" ht="15.75" hidden="false" customHeight="true" outlineLevel="0" collapsed="false">
      <c r="A1615" s="30" t="n">
        <v>0</v>
      </c>
      <c r="B1615" s="31" t="s">
        <v>11</v>
      </c>
      <c r="C1615" s="32"/>
      <c r="D1615" s="32"/>
      <c r="E1615" s="19" t="n">
        <f aca="false">+IF(C1615="EQUIPO",F1615,0)</f>
        <v>0</v>
      </c>
      <c r="F1615" s="33" t="n">
        <v>0</v>
      </c>
      <c r="G1615" s="35" t="n">
        <v>0</v>
      </c>
      <c r="H1615" s="34" t="n">
        <f aca="false">+IF(E1615=0,0,E1615*0.03)</f>
        <v>0</v>
      </c>
    </row>
    <row r="1616" customFormat="false" ht="15.75" hidden="false" customHeight="true" outlineLevel="0" collapsed="false">
      <c r="A1616" s="30" t="n">
        <v>0</v>
      </c>
      <c r="B1616" s="31" t="s">
        <v>11</v>
      </c>
      <c r="C1616" s="32"/>
      <c r="D1616" s="32"/>
      <c r="E1616" s="19" t="n">
        <f aca="false">+IF(C1616="EQUIPO",F1616,0)</f>
        <v>0</v>
      </c>
      <c r="F1616" s="33" t="n">
        <v>0</v>
      </c>
      <c r="G1616" s="35" t="n">
        <v>0</v>
      </c>
      <c r="H1616" s="34" t="n">
        <f aca="false">+IF(E1616=0,0,E1616*0.03)</f>
        <v>0</v>
      </c>
    </row>
    <row r="1617" customFormat="false" ht="15.75" hidden="false" customHeight="true" outlineLevel="0" collapsed="false">
      <c r="A1617" s="30" t="n">
        <v>0</v>
      </c>
      <c r="B1617" s="31" t="s">
        <v>11</v>
      </c>
      <c r="C1617" s="32"/>
      <c r="D1617" s="32"/>
      <c r="E1617" s="19" t="n">
        <f aca="false">+IF(C1617="EQUIPO",F1617,0)</f>
        <v>0</v>
      </c>
      <c r="F1617" s="33" t="n">
        <v>0</v>
      </c>
      <c r="G1617" s="35" t="n">
        <v>0</v>
      </c>
      <c r="H1617" s="34" t="n">
        <f aca="false">+IF(E1617=0,0,E1617*0.03)</f>
        <v>0</v>
      </c>
    </row>
    <row r="1618" customFormat="false" ht="15.75" hidden="false" customHeight="true" outlineLevel="0" collapsed="false">
      <c r="A1618" s="30" t="n">
        <v>0</v>
      </c>
      <c r="B1618" s="31" t="s">
        <v>11</v>
      </c>
      <c r="C1618" s="32"/>
      <c r="D1618" s="32"/>
      <c r="E1618" s="19" t="n">
        <f aca="false">+IF(C1618="EQUIPO",F1618,0)</f>
        <v>0</v>
      </c>
      <c r="F1618" s="33" t="n">
        <v>0</v>
      </c>
      <c r="G1618" s="35" t="n">
        <v>0</v>
      </c>
      <c r="H1618" s="34" t="n">
        <f aca="false">+IF(E1618=0,0,E1618*0.03)</f>
        <v>0</v>
      </c>
    </row>
    <row r="1619" customFormat="false" ht="15.75" hidden="false" customHeight="true" outlineLevel="0" collapsed="false">
      <c r="A1619" s="30" t="n">
        <v>0</v>
      </c>
      <c r="B1619" s="31" t="s">
        <v>11</v>
      </c>
      <c r="C1619" s="32"/>
      <c r="D1619" s="32"/>
      <c r="E1619" s="19" t="n">
        <f aca="false">+IF(C1619="EQUIPO",F1619,0)</f>
        <v>0</v>
      </c>
      <c r="F1619" s="33" t="n">
        <v>0</v>
      </c>
      <c r="G1619" s="35" t="n">
        <v>0</v>
      </c>
      <c r="H1619" s="34" t="n">
        <f aca="false">+IF(E1619=0,0,E1619*0.03)</f>
        <v>0</v>
      </c>
    </row>
    <row r="1620" customFormat="false" ht="15.75" hidden="false" customHeight="true" outlineLevel="0" collapsed="false">
      <c r="A1620" s="30" t="n">
        <v>0</v>
      </c>
      <c r="B1620" s="31" t="s">
        <v>11</v>
      </c>
      <c r="C1620" s="32"/>
      <c r="D1620" s="32"/>
      <c r="E1620" s="19" t="n">
        <f aca="false">+IF(C1620="EQUIPO",F1620,0)</f>
        <v>0</v>
      </c>
      <c r="F1620" s="33" t="n">
        <v>0</v>
      </c>
      <c r="G1620" s="35" t="n">
        <v>0</v>
      </c>
      <c r="H1620" s="34" t="n">
        <f aca="false">+IF(E1620=0,0,E1620*0.03)</f>
        <v>0</v>
      </c>
    </row>
    <row r="1621" customFormat="false" ht="15.75" hidden="false" customHeight="true" outlineLevel="0" collapsed="false">
      <c r="A1621" s="30" t="n">
        <v>0</v>
      </c>
      <c r="B1621" s="31" t="s">
        <v>11</v>
      </c>
      <c r="C1621" s="32"/>
      <c r="D1621" s="32"/>
      <c r="E1621" s="19" t="n">
        <f aca="false">+IF(C1621="EQUIPO",F1621,0)</f>
        <v>0</v>
      </c>
      <c r="F1621" s="33" t="n">
        <v>0</v>
      </c>
      <c r="G1621" s="35" t="n">
        <v>0</v>
      </c>
      <c r="H1621" s="34" t="n">
        <f aca="false">+IF(E1621=0,0,E1621*0.03)</f>
        <v>0</v>
      </c>
    </row>
    <row r="1622" customFormat="false" ht="15.75" hidden="false" customHeight="true" outlineLevel="0" collapsed="false">
      <c r="A1622" s="30" t="n">
        <v>0</v>
      </c>
      <c r="B1622" s="31" t="s">
        <v>11</v>
      </c>
      <c r="C1622" s="32"/>
      <c r="D1622" s="32"/>
      <c r="E1622" s="19" t="n">
        <f aca="false">+IF(C1622="EQUIPO",F1622,0)</f>
        <v>0</v>
      </c>
      <c r="F1622" s="33" t="n">
        <v>0</v>
      </c>
      <c r="G1622" s="35" t="n">
        <v>0</v>
      </c>
      <c r="H1622" s="34" t="n">
        <f aca="false">+IF(E1622=0,0,E1622*0.03)</f>
        <v>0</v>
      </c>
    </row>
    <row r="1623" customFormat="false" ht="15.75" hidden="false" customHeight="true" outlineLevel="0" collapsed="false">
      <c r="A1623" s="30" t="n">
        <v>0</v>
      </c>
      <c r="B1623" s="31" t="s">
        <v>11</v>
      </c>
      <c r="C1623" s="32"/>
      <c r="D1623" s="32"/>
      <c r="E1623" s="19" t="n">
        <f aca="false">+IF(C1623="EQUIPO",F1623,0)</f>
        <v>0</v>
      </c>
      <c r="F1623" s="33" t="n">
        <v>0</v>
      </c>
      <c r="G1623" s="35" t="n">
        <v>0</v>
      </c>
      <c r="H1623" s="34" t="n">
        <f aca="false">+IF(E1623=0,0,E1623*0.03)</f>
        <v>0</v>
      </c>
    </row>
    <row r="1624" customFormat="false" ht="15.75" hidden="false" customHeight="true" outlineLevel="0" collapsed="false">
      <c r="A1624" s="30" t="n">
        <v>0</v>
      </c>
      <c r="B1624" s="31" t="s">
        <v>11</v>
      </c>
      <c r="C1624" s="32"/>
      <c r="D1624" s="32"/>
      <c r="E1624" s="19" t="n">
        <f aca="false">+IF(C1624="EQUIPO",F1624,0)</f>
        <v>0</v>
      </c>
      <c r="F1624" s="33" t="n">
        <v>0</v>
      </c>
      <c r="G1624" s="35" t="n">
        <v>0</v>
      </c>
      <c r="H1624" s="34" t="n">
        <f aca="false">+IF(E1624=0,0,E1624*0.03)</f>
        <v>0</v>
      </c>
    </row>
    <row r="1625" customFormat="false" ht="15.75" hidden="false" customHeight="true" outlineLevel="0" collapsed="false">
      <c r="A1625" s="30" t="n">
        <v>0</v>
      </c>
      <c r="B1625" s="31" t="s">
        <v>11</v>
      </c>
      <c r="C1625" s="32"/>
      <c r="D1625" s="32"/>
      <c r="E1625" s="19" t="n">
        <f aca="false">+IF(C1625="EQUIPO",F1625,0)</f>
        <v>0</v>
      </c>
      <c r="F1625" s="33" t="n">
        <v>0</v>
      </c>
      <c r="G1625" s="35" t="n">
        <v>0</v>
      </c>
      <c r="H1625" s="34" t="n">
        <f aca="false">+IF(E1625=0,0,E1625*0.03)</f>
        <v>0</v>
      </c>
    </row>
    <row r="1626" customFormat="false" ht="15.75" hidden="false" customHeight="true" outlineLevel="0" collapsed="false">
      <c r="A1626" s="30" t="n">
        <v>0</v>
      </c>
      <c r="B1626" s="31" t="s">
        <v>11</v>
      </c>
      <c r="C1626" s="32"/>
      <c r="D1626" s="32"/>
      <c r="E1626" s="19" t="n">
        <f aca="false">+IF(C1626="EQUIPO",F1626,0)</f>
        <v>0</v>
      </c>
      <c r="F1626" s="33" t="n">
        <v>0</v>
      </c>
      <c r="G1626" s="35" t="n">
        <v>0</v>
      </c>
      <c r="H1626" s="34" t="n">
        <f aca="false">+IF(E1626=0,0,E1626*0.03)</f>
        <v>0</v>
      </c>
    </row>
    <row r="1627" customFormat="false" ht="15.75" hidden="false" customHeight="true" outlineLevel="0" collapsed="false">
      <c r="A1627" s="30" t="n">
        <v>0</v>
      </c>
      <c r="B1627" s="31" t="s">
        <v>11</v>
      </c>
      <c r="C1627" s="32"/>
      <c r="D1627" s="32"/>
      <c r="E1627" s="19" t="n">
        <f aca="false">+IF(C1627="EQUIPO",F1627,0)</f>
        <v>0</v>
      </c>
      <c r="F1627" s="33" t="n">
        <v>0</v>
      </c>
      <c r="G1627" s="35" t="n">
        <v>0</v>
      </c>
      <c r="H1627" s="34" t="n">
        <f aca="false">+IF(E1627=0,0,E1627*0.03)</f>
        <v>0</v>
      </c>
    </row>
    <row r="1628" customFormat="false" ht="15.75" hidden="false" customHeight="true" outlineLevel="0" collapsed="false">
      <c r="A1628" s="30" t="n">
        <v>0</v>
      </c>
      <c r="B1628" s="31" t="s">
        <v>11</v>
      </c>
      <c r="C1628" s="32"/>
      <c r="D1628" s="32"/>
      <c r="E1628" s="19" t="n">
        <f aca="false">+IF(C1628="EQUIPO",F1628,0)</f>
        <v>0</v>
      </c>
      <c r="F1628" s="33" t="n">
        <v>0</v>
      </c>
      <c r="G1628" s="35" t="n">
        <v>0</v>
      </c>
      <c r="H1628" s="34" t="n">
        <f aca="false">+IF(E1628=0,0,E1628*0.03)</f>
        <v>0</v>
      </c>
    </row>
    <row r="1629" customFormat="false" ht="15.75" hidden="false" customHeight="true" outlineLevel="0" collapsed="false">
      <c r="A1629" s="30" t="n">
        <v>0</v>
      </c>
      <c r="B1629" s="31" t="s">
        <v>11</v>
      </c>
      <c r="C1629" s="32"/>
      <c r="D1629" s="32"/>
      <c r="E1629" s="19" t="n">
        <f aca="false">+IF(C1629="EQUIPO",F1629,0)</f>
        <v>0</v>
      </c>
      <c r="F1629" s="33" t="n">
        <v>0</v>
      </c>
      <c r="G1629" s="35" t="n">
        <v>0</v>
      </c>
      <c r="H1629" s="34" t="n">
        <f aca="false">+IF(E1629=0,0,E1629*0.03)</f>
        <v>0</v>
      </c>
    </row>
    <row r="1630" customFormat="false" ht="15.75" hidden="false" customHeight="true" outlineLevel="0" collapsed="false">
      <c r="A1630" s="30" t="n">
        <v>0</v>
      </c>
      <c r="B1630" s="31" t="s">
        <v>11</v>
      </c>
      <c r="C1630" s="32"/>
      <c r="D1630" s="32"/>
      <c r="E1630" s="19" t="n">
        <f aca="false">+IF(C1630="EQUIPO",F1630,0)</f>
        <v>0</v>
      </c>
      <c r="F1630" s="33" t="n">
        <v>0</v>
      </c>
      <c r="G1630" s="35" t="n">
        <v>0</v>
      </c>
      <c r="H1630" s="34" t="n">
        <f aca="false">+IF(E1630=0,0,E1630*0.03)</f>
        <v>0</v>
      </c>
    </row>
    <row r="1631" customFormat="false" ht="15.75" hidden="false" customHeight="true" outlineLevel="0" collapsed="false">
      <c r="A1631" s="30" t="n">
        <v>0</v>
      </c>
      <c r="B1631" s="31" t="s">
        <v>11</v>
      </c>
      <c r="C1631" s="32"/>
      <c r="D1631" s="32"/>
      <c r="E1631" s="19" t="n">
        <f aca="false">+IF(C1631="EQUIPO",F1631,0)</f>
        <v>0</v>
      </c>
      <c r="F1631" s="33" t="n">
        <v>0</v>
      </c>
      <c r="G1631" s="35" t="n">
        <v>0</v>
      </c>
      <c r="H1631" s="34" t="n">
        <f aca="false">+IF(E1631=0,0,E1631*0.03)</f>
        <v>0</v>
      </c>
    </row>
    <row r="1632" customFormat="false" ht="15.75" hidden="false" customHeight="true" outlineLevel="0" collapsed="false">
      <c r="A1632" s="30" t="n">
        <v>0</v>
      </c>
      <c r="B1632" s="31" t="s">
        <v>11</v>
      </c>
      <c r="C1632" s="32"/>
      <c r="D1632" s="32"/>
      <c r="E1632" s="19" t="n">
        <f aca="false">+IF(C1632="EQUIPO",F1632,0)</f>
        <v>0</v>
      </c>
      <c r="F1632" s="33" t="n">
        <v>0</v>
      </c>
      <c r="G1632" s="35" t="n">
        <v>0</v>
      </c>
      <c r="H1632" s="34" t="n">
        <f aca="false">+IF(E1632=0,0,E1632*0.03)</f>
        <v>0</v>
      </c>
    </row>
    <row r="1633" customFormat="false" ht="15.75" hidden="false" customHeight="true" outlineLevel="0" collapsed="false">
      <c r="A1633" s="30" t="n">
        <v>0</v>
      </c>
      <c r="B1633" s="31" t="s">
        <v>11</v>
      </c>
      <c r="C1633" s="32"/>
      <c r="D1633" s="32"/>
      <c r="E1633" s="19" t="n">
        <f aca="false">+IF(C1633="EQUIPO",F1633,0)</f>
        <v>0</v>
      </c>
      <c r="F1633" s="33" t="n">
        <v>0</v>
      </c>
      <c r="G1633" s="35" t="n">
        <v>0</v>
      </c>
      <c r="H1633" s="34" t="n">
        <f aca="false">+IF(E1633=0,0,E1633*0.03)</f>
        <v>0</v>
      </c>
    </row>
    <row r="1634" customFormat="false" ht="15.75" hidden="false" customHeight="true" outlineLevel="0" collapsed="false">
      <c r="A1634" s="30" t="n">
        <v>0</v>
      </c>
      <c r="B1634" s="31" t="s">
        <v>11</v>
      </c>
      <c r="C1634" s="32"/>
      <c r="D1634" s="32"/>
      <c r="E1634" s="19" t="n">
        <f aca="false">+IF(C1634="EQUIPO",F1634,0)</f>
        <v>0</v>
      </c>
      <c r="F1634" s="33" t="n">
        <v>0</v>
      </c>
      <c r="G1634" s="35" t="n">
        <v>0</v>
      </c>
      <c r="H1634" s="34" t="n">
        <f aca="false">+IF(E1634=0,0,E1634*0.03)</f>
        <v>0</v>
      </c>
    </row>
    <row r="1635" customFormat="false" ht="15.75" hidden="false" customHeight="true" outlineLevel="0" collapsed="false">
      <c r="A1635" s="30" t="n">
        <v>0</v>
      </c>
      <c r="B1635" s="31" t="s">
        <v>11</v>
      </c>
      <c r="C1635" s="32"/>
      <c r="D1635" s="32"/>
      <c r="E1635" s="19" t="n">
        <f aca="false">+IF(C1635="EQUIPO",F1635,0)</f>
        <v>0</v>
      </c>
      <c r="F1635" s="33" t="n">
        <v>0</v>
      </c>
      <c r="G1635" s="35" t="n">
        <v>0</v>
      </c>
      <c r="H1635" s="34" t="n">
        <f aca="false">+IF(E1635=0,0,E1635*0.03)</f>
        <v>0</v>
      </c>
    </row>
    <row r="1636" customFormat="false" ht="15.75" hidden="false" customHeight="true" outlineLevel="0" collapsed="false">
      <c r="A1636" s="30" t="n">
        <v>0</v>
      </c>
      <c r="B1636" s="31" t="s">
        <v>11</v>
      </c>
      <c r="C1636" s="32"/>
      <c r="D1636" s="32"/>
      <c r="E1636" s="19" t="n">
        <f aca="false">+IF(C1636="EQUIPO",F1636,0)</f>
        <v>0</v>
      </c>
      <c r="F1636" s="33" t="n">
        <v>0</v>
      </c>
      <c r="G1636" s="35" t="n">
        <v>0</v>
      </c>
      <c r="H1636" s="34" t="n">
        <f aca="false">+IF(E1636=0,0,E1636*0.03)</f>
        <v>0</v>
      </c>
    </row>
    <row r="1637" customFormat="false" ht="15.75" hidden="false" customHeight="true" outlineLevel="0" collapsed="false">
      <c r="A1637" s="30" t="n">
        <v>0</v>
      </c>
      <c r="B1637" s="31" t="s">
        <v>11</v>
      </c>
      <c r="C1637" s="32"/>
      <c r="D1637" s="32"/>
      <c r="E1637" s="19" t="n">
        <f aca="false">+IF(C1637="EQUIPO",F1637,0)</f>
        <v>0</v>
      </c>
      <c r="F1637" s="33" t="n">
        <v>0</v>
      </c>
      <c r="G1637" s="35" t="n">
        <v>0</v>
      </c>
      <c r="H1637" s="34" t="n">
        <f aca="false">+IF(E1637=0,0,E1637*0.03)</f>
        <v>0</v>
      </c>
    </row>
    <row r="1638" customFormat="false" ht="15.75" hidden="false" customHeight="true" outlineLevel="0" collapsed="false">
      <c r="A1638" s="30" t="n">
        <v>0</v>
      </c>
      <c r="B1638" s="31" t="s">
        <v>11</v>
      </c>
      <c r="C1638" s="32"/>
      <c r="D1638" s="32"/>
      <c r="E1638" s="19" t="n">
        <f aca="false">+IF(C1638="EQUIPO",F1638,0)</f>
        <v>0</v>
      </c>
      <c r="F1638" s="33" t="n">
        <v>0</v>
      </c>
      <c r="G1638" s="35" t="n">
        <v>0</v>
      </c>
      <c r="H1638" s="34" t="n">
        <f aca="false">+IF(E1638=0,0,E1638*0.03)</f>
        <v>0</v>
      </c>
    </row>
    <row r="1639" customFormat="false" ht="15.75" hidden="false" customHeight="true" outlineLevel="0" collapsed="false">
      <c r="A1639" s="30" t="n">
        <v>0</v>
      </c>
      <c r="B1639" s="31" t="s">
        <v>11</v>
      </c>
      <c r="C1639" s="32"/>
      <c r="D1639" s="32"/>
      <c r="E1639" s="19" t="n">
        <f aca="false">+IF(C1639="EQUIPO",F1639,0)</f>
        <v>0</v>
      </c>
      <c r="F1639" s="33" t="n">
        <v>0</v>
      </c>
      <c r="G1639" s="35" t="n">
        <v>0</v>
      </c>
      <c r="H1639" s="34" t="n">
        <f aca="false">+IF(E1639=0,0,E1639*0.03)</f>
        <v>0</v>
      </c>
    </row>
    <row r="1640" customFormat="false" ht="15.75" hidden="false" customHeight="true" outlineLevel="0" collapsed="false">
      <c r="A1640" s="30" t="n">
        <v>0</v>
      </c>
      <c r="B1640" s="31" t="s">
        <v>11</v>
      </c>
      <c r="C1640" s="32"/>
      <c r="D1640" s="32"/>
      <c r="E1640" s="19" t="n">
        <f aca="false">+IF(C1640="EQUIPO",F1640,0)</f>
        <v>0</v>
      </c>
      <c r="F1640" s="33" t="n">
        <v>0</v>
      </c>
      <c r="G1640" s="35" t="n">
        <v>0</v>
      </c>
      <c r="H1640" s="34" t="n">
        <f aca="false">+IF(E1640=0,0,E1640*0.03)</f>
        <v>0</v>
      </c>
    </row>
    <row r="1641" customFormat="false" ht="15.75" hidden="false" customHeight="true" outlineLevel="0" collapsed="false">
      <c r="A1641" s="30" t="n">
        <v>0</v>
      </c>
      <c r="B1641" s="31" t="s">
        <v>11</v>
      </c>
      <c r="C1641" s="32"/>
      <c r="D1641" s="32"/>
      <c r="E1641" s="19" t="n">
        <f aca="false">+IF(C1641="EQUIPO",F1641,0)</f>
        <v>0</v>
      </c>
      <c r="F1641" s="33" t="n">
        <v>0</v>
      </c>
      <c r="G1641" s="35" t="n">
        <v>0</v>
      </c>
      <c r="H1641" s="34" t="n">
        <f aca="false">+IF(E1641=0,0,E1641*0.03)</f>
        <v>0</v>
      </c>
    </row>
    <row r="1642" customFormat="false" ht="15.75" hidden="false" customHeight="true" outlineLevel="0" collapsed="false">
      <c r="A1642" s="30" t="n">
        <v>0</v>
      </c>
      <c r="B1642" s="31" t="s">
        <v>11</v>
      </c>
      <c r="C1642" s="32"/>
      <c r="D1642" s="32"/>
      <c r="E1642" s="19" t="n">
        <f aca="false">+IF(C1642="EQUIPO",F1642,0)</f>
        <v>0</v>
      </c>
      <c r="F1642" s="33" t="n">
        <v>0</v>
      </c>
      <c r="G1642" s="35" t="n">
        <v>0</v>
      </c>
      <c r="H1642" s="34" t="n">
        <f aca="false">+IF(E1642=0,0,E1642*0.03)</f>
        <v>0</v>
      </c>
    </row>
    <row r="1643" customFormat="false" ht="15.75" hidden="false" customHeight="true" outlineLevel="0" collapsed="false">
      <c r="A1643" s="30" t="n">
        <v>0</v>
      </c>
      <c r="B1643" s="31" t="s">
        <v>11</v>
      </c>
      <c r="C1643" s="32"/>
      <c r="D1643" s="32"/>
      <c r="E1643" s="19" t="n">
        <f aca="false">+IF(C1643="EQUIPO",F1643,0)</f>
        <v>0</v>
      </c>
      <c r="F1643" s="33" t="n">
        <v>0</v>
      </c>
      <c r="G1643" s="35" t="n">
        <v>0</v>
      </c>
      <c r="H1643" s="34" t="n">
        <f aca="false">+IF(E1643=0,0,E1643*0.03)</f>
        <v>0</v>
      </c>
    </row>
    <row r="1644" customFormat="false" ht="15.75" hidden="false" customHeight="true" outlineLevel="0" collapsed="false">
      <c r="A1644" s="30" t="n">
        <v>0</v>
      </c>
      <c r="B1644" s="31" t="s">
        <v>11</v>
      </c>
      <c r="C1644" s="32"/>
      <c r="D1644" s="32"/>
      <c r="E1644" s="19" t="n">
        <f aca="false">+IF(C1644="EQUIPO",F1644,0)</f>
        <v>0</v>
      </c>
      <c r="F1644" s="33" t="n">
        <v>0</v>
      </c>
      <c r="G1644" s="35" t="n">
        <v>0</v>
      </c>
      <c r="H1644" s="34" t="n">
        <f aca="false">+IF(E1644=0,0,E1644*0.03)</f>
        <v>0</v>
      </c>
    </row>
    <row r="1645" customFormat="false" ht="15.75" hidden="false" customHeight="true" outlineLevel="0" collapsed="false">
      <c r="A1645" s="30" t="n">
        <v>0</v>
      </c>
      <c r="B1645" s="31" t="s">
        <v>11</v>
      </c>
      <c r="C1645" s="32"/>
      <c r="D1645" s="32"/>
      <c r="E1645" s="19" t="n">
        <f aca="false">+IF(C1645="EQUIPO",F1645,0)</f>
        <v>0</v>
      </c>
      <c r="F1645" s="33" t="n">
        <v>0</v>
      </c>
      <c r="G1645" s="35" t="n">
        <v>0</v>
      </c>
      <c r="H1645" s="34" t="n">
        <f aca="false">+IF(E1645=0,0,E1645*0.03)</f>
        <v>0</v>
      </c>
    </row>
    <row r="1646" customFormat="false" ht="15.75" hidden="false" customHeight="true" outlineLevel="0" collapsed="false">
      <c r="A1646" s="30" t="n">
        <v>0</v>
      </c>
      <c r="B1646" s="31" t="s">
        <v>11</v>
      </c>
      <c r="C1646" s="32"/>
      <c r="D1646" s="32"/>
      <c r="E1646" s="19" t="n">
        <f aca="false">+IF(C1646="EQUIPO",F1646,0)</f>
        <v>0</v>
      </c>
      <c r="F1646" s="33" t="n">
        <v>0</v>
      </c>
      <c r="G1646" s="35" t="n">
        <v>0</v>
      </c>
      <c r="H1646" s="34" t="n">
        <f aca="false">+IF(E1646=0,0,E1646*0.03)</f>
        <v>0</v>
      </c>
    </row>
    <row r="1647" customFormat="false" ht="15.75" hidden="false" customHeight="true" outlineLevel="0" collapsed="false">
      <c r="A1647" s="30" t="n">
        <v>0</v>
      </c>
      <c r="B1647" s="31" t="s">
        <v>11</v>
      </c>
      <c r="C1647" s="32"/>
      <c r="D1647" s="32"/>
      <c r="E1647" s="19" t="n">
        <f aca="false">+IF(C1647="EQUIPO",F1647,0)</f>
        <v>0</v>
      </c>
      <c r="F1647" s="33" t="n">
        <v>0</v>
      </c>
      <c r="G1647" s="35" t="n">
        <v>0</v>
      </c>
      <c r="H1647" s="34" t="n">
        <f aca="false">+IF(E1647=0,0,E1647*0.03)</f>
        <v>0</v>
      </c>
    </row>
    <row r="1648" customFormat="false" ht="15.75" hidden="false" customHeight="true" outlineLevel="0" collapsed="false">
      <c r="A1648" s="30" t="n">
        <v>0</v>
      </c>
      <c r="B1648" s="31" t="s">
        <v>11</v>
      </c>
      <c r="C1648" s="32"/>
      <c r="D1648" s="32"/>
      <c r="E1648" s="19" t="n">
        <f aca="false">+IF(C1648="EQUIPO",F1648,0)</f>
        <v>0</v>
      </c>
      <c r="F1648" s="33" t="n">
        <v>0</v>
      </c>
      <c r="G1648" s="35" t="n">
        <v>0</v>
      </c>
      <c r="H1648" s="34" t="n">
        <f aca="false">+IF(E1648=0,0,E1648*0.03)</f>
        <v>0</v>
      </c>
    </row>
    <row r="1649" customFormat="false" ht="15.75" hidden="false" customHeight="true" outlineLevel="0" collapsed="false">
      <c r="A1649" s="30" t="n">
        <v>0</v>
      </c>
      <c r="B1649" s="31" t="s">
        <v>11</v>
      </c>
      <c r="C1649" s="32"/>
      <c r="D1649" s="32"/>
      <c r="E1649" s="19" t="n">
        <f aca="false">+IF(C1649="EQUIPO",F1649,0)</f>
        <v>0</v>
      </c>
      <c r="F1649" s="33" t="n">
        <v>0</v>
      </c>
      <c r="G1649" s="35" t="n">
        <v>0</v>
      </c>
      <c r="H1649" s="34" t="n">
        <f aca="false">+IF(E1649=0,0,E1649*0.03)</f>
        <v>0</v>
      </c>
    </row>
    <row r="1650" customFormat="false" ht="15.75" hidden="false" customHeight="true" outlineLevel="0" collapsed="false">
      <c r="A1650" s="30" t="n">
        <v>0</v>
      </c>
      <c r="B1650" s="31" t="s">
        <v>11</v>
      </c>
      <c r="C1650" s="32"/>
      <c r="D1650" s="32"/>
      <c r="E1650" s="19" t="n">
        <f aca="false">+IF(C1650="EQUIPO",F1650,0)</f>
        <v>0</v>
      </c>
      <c r="F1650" s="33" t="n">
        <v>0</v>
      </c>
      <c r="G1650" s="35" t="n">
        <v>0</v>
      </c>
      <c r="H1650" s="34" t="n">
        <f aca="false">+IF(E1650=0,0,E1650*0.03)</f>
        <v>0</v>
      </c>
    </row>
    <row r="1651" customFormat="false" ht="15.75" hidden="false" customHeight="true" outlineLevel="0" collapsed="false">
      <c r="A1651" s="30" t="n">
        <v>0</v>
      </c>
      <c r="B1651" s="31" t="s">
        <v>11</v>
      </c>
      <c r="C1651" s="32"/>
      <c r="D1651" s="32"/>
      <c r="E1651" s="19" t="n">
        <f aca="false">+IF(C1651="EQUIPO",F1651,0)</f>
        <v>0</v>
      </c>
      <c r="F1651" s="33" t="n">
        <v>0</v>
      </c>
      <c r="G1651" s="35" t="n">
        <v>0</v>
      </c>
      <c r="H1651" s="34" t="n">
        <f aca="false">+IF(E1651=0,0,E1651*0.03)</f>
        <v>0</v>
      </c>
    </row>
    <row r="1652" customFormat="false" ht="15.75" hidden="false" customHeight="true" outlineLevel="0" collapsed="false">
      <c r="A1652" s="30" t="n">
        <v>0</v>
      </c>
      <c r="B1652" s="31" t="s">
        <v>11</v>
      </c>
      <c r="C1652" s="32"/>
      <c r="D1652" s="32"/>
      <c r="E1652" s="19" t="n">
        <f aca="false">+IF(C1652="EQUIPO",F1652,0)</f>
        <v>0</v>
      </c>
      <c r="F1652" s="33" t="n">
        <v>0</v>
      </c>
      <c r="G1652" s="35" t="n">
        <v>0</v>
      </c>
      <c r="H1652" s="34" t="n">
        <f aca="false">+IF(E1652=0,0,E1652*0.03)</f>
        <v>0</v>
      </c>
    </row>
    <row r="1653" customFormat="false" ht="15.75" hidden="false" customHeight="true" outlineLevel="0" collapsed="false">
      <c r="A1653" s="30" t="n">
        <v>0</v>
      </c>
      <c r="B1653" s="31" t="s">
        <v>11</v>
      </c>
      <c r="C1653" s="32"/>
      <c r="D1653" s="32"/>
      <c r="E1653" s="19" t="n">
        <f aca="false">+IF(C1653="EQUIPO",F1653,0)</f>
        <v>0</v>
      </c>
      <c r="F1653" s="33" t="n">
        <v>0</v>
      </c>
      <c r="G1653" s="35" t="n">
        <v>0</v>
      </c>
      <c r="H1653" s="34" t="n">
        <f aca="false">+IF(E1653=0,0,E1653*0.03)</f>
        <v>0</v>
      </c>
    </row>
    <row r="1654" customFormat="false" ht="15.75" hidden="false" customHeight="true" outlineLevel="0" collapsed="false">
      <c r="A1654" s="30" t="n">
        <v>0</v>
      </c>
      <c r="B1654" s="31" t="s">
        <v>11</v>
      </c>
      <c r="C1654" s="32"/>
      <c r="D1654" s="32"/>
      <c r="E1654" s="19" t="n">
        <f aca="false">+IF(C1654="EQUIPO",F1654,0)</f>
        <v>0</v>
      </c>
      <c r="F1654" s="33" t="n">
        <v>0</v>
      </c>
      <c r="G1654" s="35" t="n">
        <v>0</v>
      </c>
      <c r="H1654" s="34" t="n">
        <f aca="false">+IF(E1654=0,0,E1654*0.03)</f>
        <v>0</v>
      </c>
    </row>
    <row r="1655" customFormat="false" ht="15.75" hidden="false" customHeight="true" outlineLevel="0" collapsed="false">
      <c r="A1655" s="30" t="n">
        <v>0</v>
      </c>
      <c r="B1655" s="31" t="s">
        <v>11</v>
      </c>
      <c r="C1655" s="32"/>
      <c r="D1655" s="32"/>
      <c r="E1655" s="19" t="n">
        <f aca="false">+IF(C1655="EQUIPO",F1655,0)</f>
        <v>0</v>
      </c>
      <c r="F1655" s="33" t="n">
        <v>0</v>
      </c>
      <c r="G1655" s="35" t="n">
        <v>0</v>
      </c>
      <c r="H1655" s="34" t="n">
        <f aca="false">+IF(E1655=0,0,E1655*0.03)</f>
        <v>0</v>
      </c>
    </row>
    <row r="1656" customFormat="false" ht="15.75" hidden="false" customHeight="true" outlineLevel="0" collapsed="false">
      <c r="A1656" s="30" t="n">
        <v>0</v>
      </c>
      <c r="B1656" s="31" t="s">
        <v>11</v>
      </c>
      <c r="C1656" s="32"/>
      <c r="D1656" s="32"/>
      <c r="E1656" s="19" t="n">
        <f aca="false">+IF(C1656="EQUIPO",F1656,0)</f>
        <v>0</v>
      </c>
      <c r="F1656" s="33" t="n">
        <v>0</v>
      </c>
      <c r="G1656" s="35" t="n">
        <v>0</v>
      </c>
      <c r="H1656" s="34" t="n">
        <f aca="false">+IF(E1656=0,0,E1656*0.03)</f>
        <v>0</v>
      </c>
    </row>
    <row r="1657" customFormat="false" ht="15.75" hidden="false" customHeight="true" outlineLevel="0" collapsed="false">
      <c r="A1657" s="30" t="n">
        <v>0</v>
      </c>
      <c r="B1657" s="31" t="s">
        <v>11</v>
      </c>
      <c r="C1657" s="32"/>
      <c r="D1657" s="32"/>
      <c r="E1657" s="19" t="n">
        <f aca="false">+IF(C1657="EQUIPO",F1657,0)</f>
        <v>0</v>
      </c>
      <c r="F1657" s="33" t="n">
        <v>0</v>
      </c>
      <c r="G1657" s="35" t="n">
        <v>0</v>
      </c>
      <c r="H1657" s="34" t="n">
        <f aca="false">+IF(E1657=0,0,E1657*0.03)</f>
        <v>0</v>
      </c>
    </row>
    <row r="1658" customFormat="false" ht="15.75" hidden="false" customHeight="true" outlineLevel="0" collapsed="false">
      <c r="A1658" s="30" t="n">
        <v>0</v>
      </c>
      <c r="B1658" s="31" t="s">
        <v>11</v>
      </c>
      <c r="C1658" s="32"/>
      <c r="D1658" s="32"/>
      <c r="E1658" s="19" t="n">
        <f aca="false">+IF(C1658="EQUIPO",F1658,0)</f>
        <v>0</v>
      </c>
      <c r="F1658" s="33" t="n">
        <v>0</v>
      </c>
      <c r="G1658" s="35" t="n">
        <v>0</v>
      </c>
      <c r="H1658" s="34" t="n">
        <f aca="false">+IF(E1658=0,0,E1658*0.03)</f>
        <v>0</v>
      </c>
    </row>
    <row r="1659" customFormat="false" ht="15.75" hidden="false" customHeight="true" outlineLevel="0" collapsed="false">
      <c r="A1659" s="30" t="n">
        <v>0</v>
      </c>
      <c r="B1659" s="31" t="s">
        <v>11</v>
      </c>
      <c r="C1659" s="32"/>
      <c r="D1659" s="32"/>
      <c r="E1659" s="19" t="n">
        <f aca="false">+IF(C1659="EQUIPO",F1659,0)</f>
        <v>0</v>
      </c>
      <c r="F1659" s="33" t="n">
        <v>0</v>
      </c>
      <c r="G1659" s="35" t="n">
        <v>0</v>
      </c>
      <c r="H1659" s="34" t="n">
        <f aca="false">+IF(E1659=0,0,E1659*0.03)</f>
        <v>0</v>
      </c>
    </row>
    <row r="1660" customFormat="false" ht="15.75" hidden="false" customHeight="true" outlineLevel="0" collapsed="false">
      <c r="A1660" s="30" t="n">
        <v>0</v>
      </c>
      <c r="B1660" s="31" t="s">
        <v>11</v>
      </c>
      <c r="C1660" s="32"/>
      <c r="D1660" s="32"/>
      <c r="E1660" s="19" t="n">
        <f aca="false">+IF(C1660="EQUIPO",F1660,0)</f>
        <v>0</v>
      </c>
      <c r="F1660" s="33" t="n">
        <v>0</v>
      </c>
      <c r="G1660" s="35" t="n">
        <v>0</v>
      </c>
      <c r="H1660" s="34" t="n">
        <f aca="false">+IF(E1660=0,0,E1660*0.03)</f>
        <v>0</v>
      </c>
    </row>
    <row r="1661" customFormat="false" ht="15.75" hidden="false" customHeight="true" outlineLevel="0" collapsed="false">
      <c r="A1661" s="30" t="n">
        <v>0</v>
      </c>
      <c r="B1661" s="31" t="s">
        <v>11</v>
      </c>
      <c r="C1661" s="32"/>
      <c r="D1661" s="32"/>
      <c r="E1661" s="19" t="n">
        <f aca="false">+IF(C1661="EQUIPO",F1661,0)</f>
        <v>0</v>
      </c>
      <c r="F1661" s="33" t="n">
        <v>0</v>
      </c>
      <c r="G1661" s="35" t="n">
        <v>0</v>
      </c>
      <c r="H1661" s="34" t="n">
        <f aca="false">+IF(E1661=0,0,E1661*0.03)</f>
        <v>0</v>
      </c>
    </row>
    <row r="1662" customFormat="false" ht="15.75" hidden="false" customHeight="true" outlineLevel="0" collapsed="false">
      <c r="A1662" s="30" t="n">
        <v>0</v>
      </c>
      <c r="B1662" s="31" t="s">
        <v>11</v>
      </c>
      <c r="C1662" s="32"/>
      <c r="D1662" s="32"/>
      <c r="E1662" s="19" t="n">
        <f aca="false">+IF(C1662="EQUIPO",F1662,0)</f>
        <v>0</v>
      </c>
      <c r="F1662" s="33" t="n">
        <v>0</v>
      </c>
      <c r="G1662" s="35" t="n">
        <v>0</v>
      </c>
      <c r="H1662" s="34" t="n">
        <f aca="false">+IF(E1662=0,0,E1662*0.03)</f>
        <v>0</v>
      </c>
    </row>
    <row r="1663" customFormat="false" ht="15.75" hidden="false" customHeight="true" outlineLevel="0" collapsed="false">
      <c r="A1663" s="30" t="n">
        <v>0</v>
      </c>
      <c r="B1663" s="31" t="s">
        <v>11</v>
      </c>
      <c r="C1663" s="32"/>
      <c r="D1663" s="32"/>
      <c r="E1663" s="19" t="n">
        <f aca="false">+IF(C1663="EQUIPO",F1663,0)</f>
        <v>0</v>
      </c>
      <c r="F1663" s="33" t="n">
        <v>0</v>
      </c>
      <c r="G1663" s="35" t="n">
        <v>0</v>
      </c>
      <c r="H1663" s="34" t="n">
        <f aca="false">+IF(E1663=0,0,E1663*0.03)</f>
        <v>0</v>
      </c>
    </row>
    <row r="1664" customFormat="false" ht="15.75" hidden="false" customHeight="true" outlineLevel="0" collapsed="false">
      <c r="A1664" s="30" t="n">
        <v>0</v>
      </c>
      <c r="B1664" s="31" t="s">
        <v>11</v>
      </c>
      <c r="C1664" s="32"/>
      <c r="D1664" s="32"/>
      <c r="E1664" s="19" t="n">
        <f aca="false">+IF(C1664="EQUIPO",F1664,0)</f>
        <v>0</v>
      </c>
      <c r="F1664" s="33" t="n">
        <v>0</v>
      </c>
      <c r="G1664" s="35" t="n">
        <v>0</v>
      </c>
      <c r="H1664" s="34" t="n">
        <f aca="false">+IF(E1664=0,0,E1664*0.03)</f>
        <v>0</v>
      </c>
    </row>
    <row r="1665" customFormat="false" ht="15.75" hidden="false" customHeight="true" outlineLevel="0" collapsed="false">
      <c r="A1665" s="30" t="n">
        <v>0</v>
      </c>
      <c r="B1665" s="31" t="s">
        <v>11</v>
      </c>
      <c r="C1665" s="32"/>
      <c r="D1665" s="32"/>
      <c r="E1665" s="19" t="n">
        <f aca="false">+IF(C1665="EQUIPO",F1665,0)</f>
        <v>0</v>
      </c>
      <c r="F1665" s="33" t="n">
        <v>0</v>
      </c>
      <c r="G1665" s="35" t="n">
        <v>0</v>
      </c>
      <c r="H1665" s="34" t="n">
        <f aca="false">+IF(E1665=0,0,E1665*0.03)</f>
        <v>0</v>
      </c>
    </row>
    <row r="1666" customFormat="false" ht="15.75" hidden="false" customHeight="true" outlineLevel="0" collapsed="false">
      <c r="A1666" s="30" t="n">
        <v>0</v>
      </c>
      <c r="B1666" s="31" t="s">
        <v>11</v>
      </c>
      <c r="C1666" s="32"/>
      <c r="D1666" s="32"/>
      <c r="E1666" s="19" t="n">
        <f aca="false">+IF(C1666="EQUIPO",F1666,0)</f>
        <v>0</v>
      </c>
      <c r="F1666" s="33" t="n">
        <v>0</v>
      </c>
      <c r="G1666" s="35" t="n">
        <v>0</v>
      </c>
      <c r="H1666" s="34" t="n">
        <f aca="false">+IF(E1666=0,0,E1666*0.03)</f>
        <v>0</v>
      </c>
    </row>
    <row r="1667" customFormat="false" ht="15.75" hidden="false" customHeight="true" outlineLevel="0" collapsed="false">
      <c r="A1667" s="30" t="n">
        <v>0</v>
      </c>
      <c r="B1667" s="31" t="s">
        <v>11</v>
      </c>
      <c r="C1667" s="32"/>
      <c r="D1667" s="32"/>
      <c r="E1667" s="19" t="n">
        <f aca="false">+IF(C1667="EQUIPO",F1667,0)</f>
        <v>0</v>
      </c>
      <c r="F1667" s="33" t="n">
        <v>0</v>
      </c>
      <c r="G1667" s="35" t="n">
        <v>0</v>
      </c>
      <c r="H1667" s="34" t="n">
        <f aca="false">+IF(E1667=0,0,E1667*0.03)</f>
        <v>0</v>
      </c>
    </row>
    <row r="1668" customFormat="false" ht="15.75" hidden="false" customHeight="true" outlineLevel="0" collapsed="false">
      <c r="A1668" s="30" t="n">
        <v>0</v>
      </c>
      <c r="B1668" s="31" t="s">
        <v>11</v>
      </c>
      <c r="C1668" s="32"/>
      <c r="D1668" s="32"/>
      <c r="E1668" s="19" t="n">
        <f aca="false">+IF(C1668="EQUIPO",F1668,0)</f>
        <v>0</v>
      </c>
      <c r="F1668" s="33" t="n">
        <v>0</v>
      </c>
      <c r="G1668" s="35" t="n">
        <v>0</v>
      </c>
      <c r="H1668" s="34" t="n">
        <f aca="false">+IF(E1668=0,0,E1668*0.03)</f>
        <v>0</v>
      </c>
    </row>
    <row r="1669" customFormat="false" ht="15.75" hidden="false" customHeight="true" outlineLevel="0" collapsed="false">
      <c r="A1669" s="30" t="n">
        <v>0</v>
      </c>
      <c r="B1669" s="31" t="s">
        <v>11</v>
      </c>
      <c r="C1669" s="32"/>
      <c r="D1669" s="32"/>
      <c r="E1669" s="19" t="n">
        <f aca="false">+IF(C1669="EQUIPO",F1669,0)</f>
        <v>0</v>
      </c>
      <c r="F1669" s="33" t="n">
        <v>0</v>
      </c>
      <c r="G1669" s="35" t="n">
        <v>0</v>
      </c>
      <c r="H1669" s="34" t="n">
        <f aca="false">+IF(E1669=0,0,E1669*0.03)</f>
        <v>0</v>
      </c>
    </row>
    <row r="1670" customFormat="false" ht="15.75" hidden="false" customHeight="true" outlineLevel="0" collapsed="false">
      <c r="A1670" s="30" t="n">
        <v>0</v>
      </c>
      <c r="B1670" s="31" t="s">
        <v>11</v>
      </c>
      <c r="C1670" s="32"/>
      <c r="D1670" s="32"/>
      <c r="E1670" s="19" t="n">
        <f aca="false">+IF(C1670="EQUIPO",F1670,0)</f>
        <v>0</v>
      </c>
      <c r="F1670" s="33" t="n">
        <v>0</v>
      </c>
      <c r="G1670" s="35" t="n">
        <v>0</v>
      </c>
      <c r="H1670" s="34" t="n">
        <f aca="false">+IF(E1670=0,0,E1670*0.03)</f>
        <v>0</v>
      </c>
    </row>
    <row r="1671" customFormat="false" ht="15.75" hidden="false" customHeight="true" outlineLevel="0" collapsed="false">
      <c r="A1671" s="30" t="n">
        <v>0</v>
      </c>
      <c r="B1671" s="31" t="s">
        <v>11</v>
      </c>
      <c r="C1671" s="32"/>
      <c r="D1671" s="32"/>
      <c r="E1671" s="19" t="n">
        <f aca="false">+IF(C1671="EQUIPO",F1671,0)</f>
        <v>0</v>
      </c>
      <c r="F1671" s="33" t="n">
        <v>0</v>
      </c>
      <c r="G1671" s="35" t="n">
        <v>0</v>
      </c>
      <c r="H1671" s="34" t="n">
        <f aca="false">+IF(E1671=0,0,E1671*0.03)</f>
        <v>0</v>
      </c>
    </row>
    <row r="1672" customFormat="false" ht="15.75" hidden="false" customHeight="true" outlineLevel="0" collapsed="false">
      <c r="A1672" s="30" t="n">
        <v>0</v>
      </c>
      <c r="B1672" s="31" t="s">
        <v>11</v>
      </c>
      <c r="C1672" s="32"/>
      <c r="D1672" s="32"/>
      <c r="E1672" s="19" t="n">
        <f aca="false">+IF(C1672="EQUIPO",F1672,0)</f>
        <v>0</v>
      </c>
      <c r="F1672" s="33" t="n">
        <v>0</v>
      </c>
      <c r="G1672" s="35" t="n">
        <v>0</v>
      </c>
      <c r="H1672" s="34" t="n">
        <f aca="false">+IF(E1672=0,0,E1672*0.03)</f>
        <v>0</v>
      </c>
    </row>
    <row r="1673" customFormat="false" ht="15.75" hidden="false" customHeight="true" outlineLevel="0" collapsed="false">
      <c r="A1673" s="30" t="n">
        <v>0</v>
      </c>
      <c r="B1673" s="31" t="s">
        <v>11</v>
      </c>
      <c r="C1673" s="32"/>
      <c r="D1673" s="32"/>
      <c r="E1673" s="19" t="n">
        <f aca="false">+IF(C1673="EQUIPO",F1673,0)</f>
        <v>0</v>
      </c>
      <c r="F1673" s="33" t="n">
        <v>0</v>
      </c>
      <c r="G1673" s="35" t="n">
        <v>0</v>
      </c>
      <c r="H1673" s="34" t="n">
        <f aca="false">+IF(E1673=0,0,E1673*0.03)</f>
        <v>0</v>
      </c>
    </row>
    <row r="1674" customFormat="false" ht="15.75" hidden="false" customHeight="true" outlineLevel="0" collapsed="false">
      <c r="A1674" s="30" t="n">
        <v>0</v>
      </c>
      <c r="B1674" s="31" t="s">
        <v>11</v>
      </c>
      <c r="C1674" s="32"/>
      <c r="D1674" s="32"/>
      <c r="E1674" s="19" t="n">
        <f aca="false">+IF(C1674="EQUIPO",F1674,0)</f>
        <v>0</v>
      </c>
      <c r="F1674" s="33" t="n">
        <v>0</v>
      </c>
      <c r="G1674" s="35" t="n">
        <v>0</v>
      </c>
      <c r="H1674" s="34" t="n">
        <f aca="false">+IF(E1674=0,0,E1674*0.03)</f>
        <v>0</v>
      </c>
    </row>
    <row r="1675" customFormat="false" ht="15.75" hidden="false" customHeight="true" outlineLevel="0" collapsed="false">
      <c r="A1675" s="30" t="n">
        <v>0</v>
      </c>
      <c r="B1675" s="31" t="s">
        <v>11</v>
      </c>
      <c r="C1675" s="32"/>
      <c r="D1675" s="32"/>
      <c r="E1675" s="19" t="n">
        <f aca="false">+IF(C1675="EQUIPO",F1675,0)</f>
        <v>0</v>
      </c>
      <c r="F1675" s="33" t="n">
        <v>0</v>
      </c>
      <c r="G1675" s="35" t="n">
        <v>0</v>
      </c>
      <c r="H1675" s="34" t="n">
        <f aca="false">+IF(E1675=0,0,E1675*0.03)</f>
        <v>0</v>
      </c>
    </row>
    <row r="1676" customFormat="false" ht="15.75" hidden="false" customHeight="true" outlineLevel="0" collapsed="false">
      <c r="A1676" s="30" t="n">
        <v>0</v>
      </c>
      <c r="B1676" s="31" t="s">
        <v>11</v>
      </c>
      <c r="C1676" s="32"/>
      <c r="D1676" s="32"/>
      <c r="E1676" s="19" t="n">
        <f aca="false">+IF(C1676="EQUIPO",F1676,0)</f>
        <v>0</v>
      </c>
      <c r="F1676" s="33" t="n">
        <v>0</v>
      </c>
      <c r="G1676" s="35" t="n">
        <v>0</v>
      </c>
      <c r="H1676" s="34" t="n">
        <f aca="false">+IF(E1676=0,0,E1676*0.03)</f>
        <v>0</v>
      </c>
    </row>
    <row r="1677" customFormat="false" ht="15.75" hidden="false" customHeight="true" outlineLevel="0" collapsed="false">
      <c r="A1677" s="30" t="n">
        <v>0</v>
      </c>
      <c r="B1677" s="31" t="s">
        <v>11</v>
      </c>
      <c r="C1677" s="32"/>
      <c r="D1677" s="32"/>
      <c r="E1677" s="19" t="n">
        <f aca="false">+IF(C1677="EQUIPO",F1677,0)</f>
        <v>0</v>
      </c>
      <c r="F1677" s="33" t="n">
        <v>0</v>
      </c>
      <c r="G1677" s="35" t="n">
        <v>0</v>
      </c>
      <c r="H1677" s="34" t="n">
        <f aca="false">+IF(E1677=0,0,E1677*0.03)</f>
        <v>0</v>
      </c>
    </row>
    <row r="1678" customFormat="false" ht="15.75" hidden="false" customHeight="true" outlineLevel="0" collapsed="false">
      <c r="A1678" s="30" t="n">
        <v>0</v>
      </c>
      <c r="B1678" s="31" t="s">
        <v>11</v>
      </c>
      <c r="C1678" s="32"/>
      <c r="D1678" s="32"/>
      <c r="E1678" s="19" t="n">
        <f aca="false">+IF(C1678="EQUIPO",F1678,0)</f>
        <v>0</v>
      </c>
      <c r="F1678" s="33" t="n">
        <v>0</v>
      </c>
      <c r="G1678" s="35" t="n">
        <v>0</v>
      </c>
      <c r="H1678" s="34" t="n">
        <f aca="false">+IF(E1678=0,0,E1678*0.03)</f>
        <v>0</v>
      </c>
    </row>
    <row r="1679" customFormat="false" ht="15.75" hidden="false" customHeight="true" outlineLevel="0" collapsed="false">
      <c r="A1679" s="30" t="n">
        <v>0</v>
      </c>
      <c r="B1679" s="31" t="s">
        <v>11</v>
      </c>
      <c r="C1679" s="32"/>
      <c r="D1679" s="32"/>
      <c r="E1679" s="19" t="n">
        <f aca="false">+IF(C1679="EQUIPO",F1679,0)</f>
        <v>0</v>
      </c>
      <c r="F1679" s="33" t="n">
        <v>0</v>
      </c>
      <c r="G1679" s="35" t="n">
        <v>0</v>
      </c>
      <c r="H1679" s="34" t="n">
        <f aca="false">+IF(E1679=0,0,E1679*0.03)</f>
        <v>0</v>
      </c>
    </row>
    <row r="1680" customFormat="false" ht="15.75" hidden="false" customHeight="true" outlineLevel="0" collapsed="false">
      <c r="A1680" s="30" t="n">
        <v>0</v>
      </c>
      <c r="B1680" s="31" t="s">
        <v>11</v>
      </c>
      <c r="C1680" s="32"/>
      <c r="D1680" s="32"/>
      <c r="E1680" s="19" t="n">
        <f aca="false">+IF(C1680="EQUIPO",F1680,0)</f>
        <v>0</v>
      </c>
      <c r="F1680" s="33" t="n">
        <v>0</v>
      </c>
      <c r="G1680" s="35" t="n">
        <v>0</v>
      </c>
      <c r="H1680" s="34" t="n">
        <f aca="false">+IF(E1680=0,0,E1680*0.03)</f>
        <v>0</v>
      </c>
    </row>
    <row r="1681" customFormat="false" ht="15.75" hidden="false" customHeight="true" outlineLevel="0" collapsed="false">
      <c r="A1681" s="30" t="n">
        <v>0</v>
      </c>
      <c r="B1681" s="31" t="s">
        <v>11</v>
      </c>
      <c r="C1681" s="32"/>
      <c r="D1681" s="32"/>
      <c r="E1681" s="19" t="n">
        <f aca="false">+IF(C1681="EQUIPO",F1681,0)</f>
        <v>0</v>
      </c>
      <c r="F1681" s="33" t="n">
        <v>0</v>
      </c>
      <c r="G1681" s="35" t="n">
        <v>0</v>
      </c>
      <c r="H1681" s="34" t="n">
        <f aca="false">+IF(E1681=0,0,E1681*0.03)</f>
        <v>0</v>
      </c>
    </row>
    <row r="1682" customFormat="false" ht="15.75" hidden="false" customHeight="true" outlineLevel="0" collapsed="false">
      <c r="A1682" s="30" t="n">
        <v>0</v>
      </c>
      <c r="B1682" s="31" t="s">
        <v>11</v>
      </c>
      <c r="C1682" s="32"/>
      <c r="D1682" s="32"/>
      <c r="E1682" s="19" t="n">
        <f aca="false">+IF(C1682="EQUIPO",F1682,0)</f>
        <v>0</v>
      </c>
      <c r="F1682" s="33" t="n">
        <v>0</v>
      </c>
      <c r="G1682" s="35" t="n">
        <v>0</v>
      </c>
      <c r="H1682" s="34" t="n">
        <f aca="false">+IF(E1682=0,0,E1682*0.03)</f>
        <v>0</v>
      </c>
    </row>
    <row r="1683" customFormat="false" ht="15.75" hidden="false" customHeight="true" outlineLevel="0" collapsed="false">
      <c r="A1683" s="30" t="n">
        <v>0</v>
      </c>
      <c r="B1683" s="31" t="s">
        <v>11</v>
      </c>
      <c r="C1683" s="32"/>
      <c r="D1683" s="32"/>
      <c r="E1683" s="19" t="n">
        <f aca="false">+IF(C1683="EQUIPO",F1683,0)</f>
        <v>0</v>
      </c>
      <c r="F1683" s="33" t="n">
        <v>0</v>
      </c>
      <c r="G1683" s="35" t="n">
        <v>0</v>
      </c>
      <c r="H1683" s="34" t="n">
        <f aca="false">+IF(E1683=0,0,E1683*0.03)</f>
        <v>0</v>
      </c>
    </row>
    <row r="1684" customFormat="false" ht="15.75" hidden="false" customHeight="true" outlineLevel="0" collapsed="false">
      <c r="A1684" s="30" t="n">
        <v>0</v>
      </c>
      <c r="B1684" s="31" t="s">
        <v>11</v>
      </c>
      <c r="C1684" s="32"/>
      <c r="D1684" s="32"/>
      <c r="E1684" s="19" t="n">
        <f aca="false">+IF(C1684="EQUIPO",F1684,0)</f>
        <v>0</v>
      </c>
      <c r="F1684" s="33" t="n">
        <v>0</v>
      </c>
      <c r="G1684" s="35" t="n">
        <v>0</v>
      </c>
      <c r="H1684" s="34" t="n">
        <f aca="false">+IF(E1684=0,0,E1684*0.03)</f>
        <v>0</v>
      </c>
    </row>
    <row r="1685" customFormat="false" ht="15.75" hidden="false" customHeight="true" outlineLevel="0" collapsed="false">
      <c r="A1685" s="30" t="n">
        <v>0</v>
      </c>
      <c r="B1685" s="31" t="s">
        <v>11</v>
      </c>
      <c r="C1685" s="32"/>
      <c r="D1685" s="32"/>
      <c r="E1685" s="19" t="n">
        <f aca="false">+IF(C1685="EQUIPO",F1685,0)</f>
        <v>0</v>
      </c>
      <c r="F1685" s="33" t="n">
        <v>0</v>
      </c>
      <c r="G1685" s="35" t="n">
        <v>0</v>
      </c>
      <c r="H1685" s="34" t="n">
        <f aca="false">+IF(E1685=0,0,E1685*0.03)</f>
        <v>0</v>
      </c>
    </row>
    <row r="1686" customFormat="false" ht="15.75" hidden="false" customHeight="true" outlineLevel="0" collapsed="false">
      <c r="A1686" s="30" t="n">
        <v>0</v>
      </c>
      <c r="B1686" s="31" t="s">
        <v>11</v>
      </c>
      <c r="C1686" s="32"/>
      <c r="D1686" s="32"/>
      <c r="E1686" s="19" t="n">
        <f aca="false">+IF(C1686="EQUIPO",F1686,0)</f>
        <v>0</v>
      </c>
      <c r="F1686" s="33" t="n">
        <v>0</v>
      </c>
      <c r="G1686" s="35" t="n">
        <v>0</v>
      </c>
      <c r="H1686" s="34" t="n">
        <f aca="false">+IF(E1686=0,0,E1686*0.03)</f>
        <v>0</v>
      </c>
    </row>
    <row r="1687" customFormat="false" ht="15.75" hidden="false" customHeight="true" outlineLevel="0" collapsed="false">
      <c r="A1687" s="30" t="n">
        <v>0</v>
      </c>
      <c r="B1687" s="31" t="s">
        <v>11</v>
      </c>
      <c r="C1687" s="32"/>
      <c r="D1687" s="32"/>
      <c r="E1687" s="19" t="n">
        <f aca="false">+IF(C1687="EQUIPO",F1687,0)</f>
        <v>0</v>
      </c>
      <c r="F1687" s="33" t="n">
        <v>0</v>
      </c>
      <c r="G1687" s="35" t="n">
        <v>0</v>
      </c>
      <c r="H1687" s="34" t="n">
        <f aca="false">+IF(E1687=0,0,E1687*0.03)</f>
        <v>0</v>
      </c>
    </row>
    <row r="1688" customFormat="false" ht="15.75" hidden="false" customHeight="true" outlineLevel="0" collapsed="false">
      <c r="A1688" s="30" t="n">
        <v>0</v>
      </c>
      <c r="B1688" s="31" t="s">
        <v>11</v>
      </c>
      <c r="C1688" s="32"/>
      <c r="D1688" s="32"/>
      <c r="E1688" s="19" t="n">
        <f aca="false">+IF(C1688="EQUIPO",F1688,0)</f>
        <v>0</v>
      </c>
      <c r="F1688" s="33" t="n">
        <v>0</v>
      </c>
      <c r="G1688" s="35" t="n">
        <v>0</v>
      </c>
      <c r="H1688" s="34" t="n">
        <f aca="false">+IF(E1688=0,0,E1688*0.03)</f>
        <v>0</v>
      </c>
    </row>
    <row r="1689" customFormat="false" ht="15.75" hidden="false" customHeight="true" outlineLevel="0" collapsed="false">
      <c r="A1689" s="30" t="n">
        <v>0</v>
      </c>
      <c r="B1689" s="31" t="s">
        <v>11</v>
      </c>
      <c r="C1689" s="32"/>
      <c r="D1689" s="32"/>
      <c r="E1689" s="19" t="n">
        <f aca="false">+IF(C1689="EQUIPO",F1689,0)</f>
        <v>0</v>
      </c>
      <c r="F1689" s="33" t="n">
        <v>0</v>
      </c>
      <c r="G1689" s="35" t="n">
        <v>0</v>
      </c>
      <c r="H1689" s="34" t="n">
        <f aca="false">+IF(E1689=0,0,E1689*0.03)</f>
        <v>0</v>
      </c>
    </row>
    <row r="1690" customFormat="false" ht="15.75" hidden="false" customHeight="true" outlineLevel="0" collapsed="false">
      <c r="A1690" s="30" t="n">
        <v>0</v>
      </c>
      <c r="B1690" s="31" t="s">
        <v>11</v>
      </c>
      <c r="C1690" s="32"/>
      <c r="D1690" s="32"/>
      <c r="E1690" s="19" t="n">
        <f aca="false">+IF(C1690="EQUIPO",F1690,0)</f>
        <v>0</v>
      </c>
      <c r="F1690" s="33" t="n">
        <v>0</v>
      </c>
      <c r="G1690" s="35" t="n">
        <v>0</v>
      </c>
      <c r="H1690" s="34" t="n">
        <f aca="false">+IF(E1690=0,0,E1690*0.03)</f>
        <v>0</v>
      </c>
    </row>
    <row r="1691" customFormat="false" ht="15.75" hidden="false" customHeight="true" outlineLevel="0" collapsed="false">
      <c r="A1691" s="30" t="n">
        <v>0</v>
      </c>
      <c r="B1691" s="31" t="s">
        <v>11</v>
      </c>
      <c r="C1691" s="32"/>
      <c r="D1691" s="32"/>
      <c r="E1691" s="19" t="n">
        <f aca="false">+IF(C1691="EQUIPO",F1691,0)</f>
        <v>0</v>
      </c>
      <c r="F1691" s="33" t="n">
        <v>0</v>
      </c>
      <c r="G1691" s="35" t="n">
        <v>0</v>
      </c>
      <c r="H1691" s="34" t="n">
        <f aca="false">+IF(E1691=0,0,E1691*0.03)</f>
        <v>0</v>
      </c>
    </row>
    <row r="1692" customFormat="false" ht="15.75" hidden="false" customHeight="true" outlineLevel="0" collapsed="false">
      <c r="A1692" s="30" t="n">
        <v>0</v>
      </c>
      <c r="B1692" s="31" t="s">
        <v>11</v>
      </c>
      <c r="C1692" s="32"/>
      <c r="D1692" s="32"/>
      <c r="E1692" s="19" t="n">
        <f aca="false">+IF(C1692="EQUIPO",F1692,0)</f>
        <v>0</v>
      </c>
      <c r="F1692" s="33" t="n">
        <v>0</v>
      </c>
      <c r="G1692" s="35" t="n">
        <v>0</v>
      </c>
      <c r="H1692" s="34" t="n">
        <f aca="false">+IF(E1692=0,0,E1692*0.03)</f>
        <v>0</v>
      </c>
    </row>
    <row r="1693" customFormat="false" ht="15.75" hidden="false" customHeight="true" outlineLevel="0" collapsed="false">
      <c r="A1693" s="30" t="n">
        <v>0</v>
      </c>
      <c r="B1693" s="31" t="s">
        <v>11</v>
      </c>
      <c r="C1693" s="32"/>
      <c r="D1693" s="32"/>
      <c r="E1693" s="19" t="n">
        <f aca="false">+IF(C1693="EQUIPO",F1693,0)</f>
        <v>0</v>
      </c>
      <c r="F1693" s="33" t="n">
        <v>0</v>
      </c>
      <c r="G1693" s="35" t="n">
        <v>0</v>
      </c>
      <c r="H1693" s="34" t="n">
        <f aca="false">+IF(E1693=0,0,E1693*0.03)</f>
        <v>0</v>
      </c>
    </row>
    <row r="1694" customFormat="false" ht="15.75" hidden="false" customHeight="true" outlineLevel="0" collapsed="false">
      <c r="A1694" s="30" t="n">
        <v>0</v>
      </c>
      <c r="B1694" s="31" t="s">
        <v>11</v>
      </c>
      <c r="C1694" s="32"/>
      <c r="D1694" s="32"/>
      <c r="E1694" s="19" t="n">
        <f aca="false">+IF(C1694="EQUIPO",F1694,0)</f>
        <v>0</v>
      </c>
      <c r="F1694" s="33" t="n">
        <v>0</v>
      </c>
      <c r="G1694" s="35" t="n">
        <v>0</v>
      </c>
      <c r="H1694" s="34" t="n">
        <f aca="false">+IF(E1694=0,0,E1694*0.03)</f>
        <v>0</v>
      </c>
    </row>
    <row r="1695" customFormat="false" ht="15.75" hidden="false" customHeight="true" outlineLevel="0" collapsed="false">
      <c r="A1695" s="30" t="n">
        <v>0</v>
      </c>
      <c r="B1695" s="31" t="s">
        <v>11</v>
      </c>
      <c r="C1695" s="32"/>
      <c r="D1695" s="32"/>
      <c r="E1695" s="19" t="n">
        <f aca="false">+IF(C1695="EQUIPO",F1695,0)</f>
        <v>0</v>
      </c>
      <c r="F1695" s="33" t="n">
        <v>0</v>
      </c>
      <c r="G1695" s="35" t="n">
        <v>0</v>
      </c>
      <c r="H1695" s="34" t="n">
        <f aca="false">+IF(E1695=0,0,E1695*0.03)</f>
        <v>0</v>
      </c>
    </row>
    <row r="1696" customFormat="false" ht="15.75" hidden="false" customHeight="true" outlineLevel="0" collapsed="false">
      <c r="A1696" s="30" t="n">
        <v>0</v>
      </c>
      <c r="B1696" s="31" t="s">
        <v>11</v>
      </c>
      <c r="C1696" s="32"/>
      <c r="D1696" s="32"/>
      <c r="E1696" s="19" t="n">
        <f aca="false">+IF(C1696="EQUIPO",F1696,0)</f>
        <v>0</v>
      </c>
      <c r="F1696" s="33" t="n">
        <v>0</v>
      </c>
      <c r="G1696" s="35" t="n">
        <v>0</v>
      </c>
      <c r="H1696" s="34" t="n">
        <f aca="false">+IF(E1696=0,0,E1696*0.03)</f>
        <v>0</v>
      </c>
    </row>
    <row r="1697" customFormat="false" ht="15.75" hidden="false" customHeight="true" outlineLevel="0" collapsed="false">
      <c r="A1697" s="30" t="n">
        <v>0</v>
      </c>
      <c r="B1697" s="31" t="s">
        <v>11</v>
      </c>
      <c r="C1697" s="32"/>
      <c r="D1697" s="32"/>
      <c r="E1697" s="19" t="n">
        <f aca="false">+IF(C1697="EQUIPO",F1697,0)</f>
        <v>0</v>
      </c>
      <c r="F1697" s="33" t="n">
        <v>0</v>
      </c>
      <c r="G1697" s="35" t="n">
        <v>0</v>
      </c>
      <c r="H1697" s="34" t="n">
        <f aca="false">+IF(E1697=0,0,E1697*0.03)</f>
        <v>0</v>
      </c>
    </row>
    <row r="1698" customFormat="false" ht="15.75" hidden="false" customHeight="true" outlineLevel="0" collapsed="false">
      <c r="A1698" s="30" t="n">
        <v>0</v>
      </c>
      <c r="B1698" s="31" t="s">
        <v>11</v>
      </c>
      <c r="C1698" s="32"/>
      <c r="D1698" s="32"/>
      <c r="E1698" s="19" t="n">
        <f aca="false">+IF(C1698="EQUIPO",F1698,0)</f>
        <v>0</v>
      </c>
      <c r="F1698" s="33" t="n">
        <v>0</v>
      </c>
      <c r="G1698" s="35" t="n">
        <v>0</v>
      </c>
      <c r="H1698" s="34" t="n">
        <f aca="false">+IF(E1698=0,0,E1698*0.03)</f>
        <v>0</v>
      </c>
    </row>
    <row r="1699" customFormat="false" ht="15.75" hidden="false" customHeight="true" outlineLevel="0" collapsed="false">
      <c r="A1699" s="30" t="n">
        <v>0</v>
      </c>
      <c r="B1699" s="31" t="s">
        <v>11</v>
      </c>
      <c r="C1699" s="32"/>
      <c r="D1699" s="32"/>
      <c r="E1699" s="19" t="n">
        <f aca="false">+IF(C1699="EQUIPO",F1699,0)</f>
        <v>0</v>
      </c>
      <c r="F1699" s="33" t="n">
        <v>0</v>
      </c>
      <c r="G1699" s="35" t="n">
        <v>0</v>
      </c>
      <c r="H1699" s="34" t="n">
        <f aca="false">+IF(E1699=0,0,E1699*0.03)</f>
        <v>0</v>
      </c>
    </row>
    <row r="1700" customFormat="false" ht="15.75" hidden="false" customHeight="true" outlineLevel="0" collapsed="false">
      <c r="A1700" s="30" t="n">
        <v>0</v>
      </c>
      <c r="B1700" s="31" t="s">
        <v>11</v>
      </c>
      <c r="C1700" s="32"/>
      <c r="D1700" s="32"/>
      <c r="E1700" s="19" t="n">
        <f aca="false">+IF(C1700="EQUIPO",F1700,0)</f>
        <v>0</v>
      </c>
      <c r="F1700" s="33" t="n">
        <v>0</v>
      </c>
      <c r="G1700" s="35" t="n">
        <v>0</v>
      </c>
      <c r="H1700" s="34" t="n">
        <f aca="false">+IF(E1700=0,0,E1700*0.03)</f>
        <v>0</v>
      </c>
    </row>
    <row r="1701" customFormat="false" ht="15.75" hidden="false" customHeight="true" outlineLevel="0" collapsed="false">
      <c r="A1701" s="30" t="n">
        <v>0</v>
      </c>
      <c r="B1701" s="31" t="s">
        <v>11</v>
      </c>
      <c r="C1701" s="32"/>
      <c r="D1701" s="32"/>
      <c r="E1701" s="19" t="n">
        <f aca="false">+IF(C1701="EQUIPO",F1701,0)</f>
        <v>0</v>
      </c>
      <c r="F1701" s="33" t="n">
        <v>0</v>
      </c>
      <c r="G1701" s="35" t="n">
        <v>0</v>
      </c>
      <c r="H1701" s="34" t="n">
        <f aca="false">+IF(E1701=0,0,E1701*0.03)</f>
        <v>0</v>
      </c>
    </row>
    <row r="1702" customFormat="false" ht="15.75" hidden="false" customHeight="true" outlineLevel="0" collapsed="false">
      <c r="A1702" s="30" t="n">
        <v>0</v>
      </c>
      <c r="B1702" s="31" t="s">
        <v>11</v>
      </c>
      <c r="C1702" s="32"/>
      <c r="D1702" s="32"/>
      <c r="E1702" s="19" t="n">
        <f aca="false">+IF(C1702="EQUIPO",F1702,0)</f>
        <v>0</v>
      </c>
      <c r="F1702" s="33" t="n">
        <v>0</v>
      </c>
      <c r="G1702" s="35" t="n">
        <v>0</v>
      </c>
      <c r="H1702" s="34" t="n">
        <f aca="false">+IF(E1702=0,0,E1702*0.03)</f>
        <v>0</v>
      </c>
    </row>
    <row r="1703" customFormat="false" ht="15.75" hidden="false" customHeight="true" outlineLevel="0" collapsed="false">
      <c r="A1703" s="30" t="n">
        <v>0</v>
      </c>
      <c r="B1703" s="31" t="s">
        <v>11</v>
      </c>
      <c r="C1703" s="32"/>
      <c r="D1703" s="32"/>
      <c r="E1703" s="19" t="n">
        <f aca="false">+IF(C1703="EQUIPO",F1703,0)</f>
        <v>0</v>
      </c>
      <c r="F1703" s="33" t="n">
        <v>0</v>
      </c>
      <c r="G1703" s="35" t="n">
        <v>0</v>
      </c>
      <c r="H1703" s="34" t="n">
        <f aca="false">+IF(E1703=0,0,E1703*0.03)</f>
        <v>0</v>
      </c>
    </row>
    <row r="1704" customFormat="false" ht="15.75" hidden="false" customHeight="true" outlineLevel="0" collapsed="false">
      <c r="A1704" s="30" t="n">
        <v>0</v>
      </c>
      <c r="B1704" s="31" t="s">
        <v>11</v>
      </c>
      <c r="C1704" s="32"/>
      <c r="D1704" s="32"/>
      <c r="E1704" s="19" t="n">
        <f aca="false">+IF(C1704="EQUIPO",F1704,0)</f>
        <v>0</v>
      </c>
      <c r="F1704" s="33" t="n">
        <v>0</v>
      </c>
      <c r="G1704" s="35" t="n">
        <v>0</v>
      </c>
      <c r="H1704" s="34" t="n">
        <f aca="false">+IF(E1704=0,0,E1704*0.03)</f>
        <v>0</v>
      </c>
    </row>
    <row r="1705" customFormat="false" ht="15.75" hidden="false" customHeight="true" outlineLevel="0" collapsed="false">
      <c r="A1705" s="30" t="n">
        <v>0</v>
      </c>
      <c r="B1705" s="31" t="s">
        <v>11</v>
      </c>
      <c r="C1705" s="32"/>
      <c r="D1705" s="32"/>
      <c r="E1705" s="19" t="n">
        <f aca="false">+IF(C1705="EQUIPO",F1705,0)</f>
        <v>0</v>
      </c>
      <c r="F1705" s="33" t="n">
        <v>0</v>
      </c>
      <c r="G1705" s="35" t="n">
        <v>0</v>
      </c>
      <c r="H1705" s="34" t="n">
        <f aca="false">+IF(E1705=0,0,E1705*0.03)</f>
        <v>0</v>
      </c>
    </row>
    <row r="1706" customFormat="false" ht="15.75" hidden="false" customHeight="true" outlineLevel="0" collapsed="false">
      <c r="A1706" s="30" t="n">
        <v>0</v>
      </c>
      <c r="B1706" s="31" t="s">
        <v>11</v>
      </c>
      <c r="C1706" s="32"/>
      <c r="D1706" s="32"/>
      <c r="E1706" s="19" t="n">
        <f aca="false">+IF(C1706="EQUIPO",F1706,0)</f>
        <v>0</v>
      </c>
      <c r="F1706" s="33" t="n">
        <v>0</v>
      </c>
      <c r="G1706" s="35" t="n">
        <v>0</v>
      </c>
      <c r="H1706" s="34" t="n">
        <f aca="false">+IF(E1706=0,0,E1706*0.03)</f>
        <v>0</v>
      </c>
    </row>
    <row r="1707" customFormat="false" ht="15.75" hidden="false" customHeight="true" outlineLevel="0" collapsed="false">
      <c r="A1707" s="30" t="n">
        <v>0</v>
      </c>
      <c r="B1707" s="31" t="s">
        <v>11</v>
      </c>
      <c r="C1707" s="32"/>
      <c r="D1707" s="32"/>
      <c r="E1707" s="19" t="n">
        <f aca="false">+IF(C1707="EQUIPO",F1707,0)</f>
        <v>0</v>
      </c>
      <c r="F1707" s="33" t="n">
        <v>0</v>
      </c>
      <c r="G1707" s="35" t="n">
        <v>0</v>
      </c>
      <c r="H1707" s="34" t="n">
        <f aca="false">+IF(E1707=0,0,E1707*0.03)</f>
        <v>0</v>
      </c>
    </row>
    <row r="1708" customFormat="false" ht="15.75" hidden="false" customHeight="true" outlineLevel="0" collapsed="false">
      <c r="A1708" s="30" t="n">
        <v>0</v>
      </c>
      <c r="B1708" s="31" t="s">
        <v>11</v>
      </c>
      <c r="C1708" s="32"/>
      <c r="D1708" s="32"/>
      <c r="E1708" s="19" t="n">
        <f aca="false">+IF(C1708="EQUIPO",F1708,0)</f>
        <v>0</v>
      </c>
      <c r="F1708" s="33" t="n">
        <v>0</v>
      </c>
      <c r="G1708" s="35" t="n">
        <v>0</v>
      </c>
      <c r="H1708" s="34" t="n">
        <f aca="false">+IF(E1708=0,0,E1708*0.03)</f>
        <v>0</v>
      </c>
    </row>
    <row r="1709" customFormat="false" ht="15.75" hidden="false" customHeight="true" outlineLevel="0" collapsed="false">
      <c r="A1709" s="30" t="n">
        <v>0</v>
      </c>
      <c r="B1709" s="31" t="s">
        <v>11</v>
      </c>
      <c r="C1709" s="32"/>
      <c r="D1709" s="32"/>
      <c r="E1709" s="19" t="n">
        <f aca="false">+IF(C1709="EQUIPO",F1709,0)</f>
        <v>0</v>
      </c>
      <c r="F1709" s="33" t="n">
        <v>0</v>
      </c>
      <c r="G1709" s="35" t="n">
        <v>0</v>
      </c>
      <c r="H1709" s="34" t="n">
        <f aca="false">+IF(E1709=0,0,E1709*0.03)</f>
        <v>0</v>
      </c>
    </row>
    <row r="1710" customFormat="false" ht="15.75" hidden="false" customHeight="true" outlineLevel="0" collapsed="false">
      <c r="A1710" s="30" t="n">
        <v>0</v>
      </c>
      <c r="B1710" s="31" t="s">
        <v>11</v>
      </c>
      <c r="C1710" s="32"/>
      <c r="D1710" s="32"/>
      <c r="E1710" s="19" t="n">
        <f aca="false">+IF(C1710="EQUIPO",F1710,0)</f>
        <v>0</v>
      </c>
      <c r="F1710" s="33" t="n">
        <v>0</v>
      </c>
      <c r="G1710" s="35" t="n">
        <v>0</v>
      </c>
      <c r="H1710" s="34" t="n">
        <f aca="false">+IF(E1710=0,0,E1710*0.03)</f>
        <v>0</v>
      </c>
    </row>
    <row r="1711" customFormat="false" ht="15.75" hidden="false" customHeight="true" outlineLevel="0" collapsed="false">
      <c r="A1711" s="30" t="n">
        <v>0</v>
      </c>
      <c r="B1711" s="31" t="s">
        <v>11</v>
      </c>
      <c r="C1711" s="32"/>
      <c r="D1711" s="32"/>
      <c r="E1711" s="19" t="n">
        <f aca="false">+IF(C1711="EQUIPO",F1711,0)</f>
        <v>0</v>
      </c>
      <c r="F1711" s="33" t="n">
        <v>0</v>
      </c>
      <c r="G1711" s="35" t="n">
        <v>0</v>
      </c>
      <c r="H1711" s="34" t="n">
        <f aca="false">+IF(E1711=0,0,E1711*0.03)</f>
        <v>0</v>
      </c>
    </row>
    <row r="1712" customFormat="false" ht="15.75" hidden="false" customHeight="true" outlineLevel="0" collapsed="false">
      <c r="A1712" s="30" t="n">
        <v>0</v>
      </c>
      <c r="B1712" s="31" t="s">
        <v>11</v>
      </c>
      <c r="C1712" s="32"/>
      <c r="D1712" s="32"/>
      <c r="E1712" s="19" t="n">
        <f aca="false">+IF(C1712="EQUIPO",F1712,0)</f>
        <v>0</v>
      </c>
      <c r="F1712" s="33" t="n">
        <v>0</v>
      </c>
      <c r="G1712" s="35" t="n">
        <v>0</v>
      </c>
      <c r="H1712" s="34" t="n">
        <f aca="false">+IF(E1712=0,0,E1712*0.03)</f>
        <v>0</v>
      </c>
    </row>
    <row r="1713" customFormat="false" ht="15.75" hidden="false" customHeight="true" outlineLevel="0" collapsed="false">
      <c r="A1713" s="30" t="n">
        <v>0</v>
      </c>
      <c r="B1713" s="31" t="s">
        <v>11</v>
      </c>
      <c r="C1713" s="32"/>
      <c r="D1713" s="32"/>
      <c r="E1713" s="19" t="n">
        <f aca="false">+IF(C1713="EQUIPO",F1713,0)</f>
        <v>0</v>
      </c>
      <c r="F1713" s="33" t="n">
        <v>0</v>
      </c>
      <c r="G1713" s="35" t="n">
        <v>0</v>
      </c>
      <c r="H1713" s="34" t="n">
        <f aca="false">+IF(E1713=0,0,E1713*0.03)</f>
        <v>0</v>
      </c>
    </row>
    <row r="1714" customFormat="false" ht="15.75" hidden="false" customHeight="true" outlineLevel="0" collapsed="false">
      <c r="A1714" s="30" t="n">
        <v>0</v>
      </c>
      <c r="B1714" s="31" t="s">
        <v>11</v>
      </c>
      <c r="C1714" s="32"/>
      <c r="D1714" s="32"/>
      <c r="E1714" s="19" t="n">
        <f aca="false">+IF(C1714="EQUIPO",F1714,0)</f>
        <v>0</v>
      </c>
      <c r="F1714" s="33" t="n">
        <v>0</v>
      </c>
      <c r="G1714" s="35" t="n">
        <v>0</v>
      </c>
      <c r="H1714" s="34" t="n">
        <f aca="false">+IF(E1714=0,0,E1714*0.03)</f>
        <v>0</v>
      </c>
    </row>
    <row r="1715" customFormat="false" ht="15.75" hidden="false" customHeight="true" outlineLevel="0" collapsed="false">
      <c r="A1715" s="30" t="n">
        <v>0</v>
      </c>
      <c r="B1715" s="31" t="s">
        <v>11</v>
      </c>
      <c r="C1715" s="32"/>
      <c r="D1715" s="32"/>
      <c r="E1715" s="19" t="n">
        <f aca="false">+IF(C1715="EQUIPO",F1715,0)</f>
        <v>0</v>
      </c>
      <c r="F1715" s="33" t="n">
        <v>0</v>
      </c>
      <c r="G1715" s="35" t="n">
        <v>0</v>
      </c>
      <c r="H1715" s="34" t="n">
        <f aca="false">+IF(E1715=0,0,E1715*0.03)</f>
        <v>0</v>
      </c>
    </row>
    <row r="1716" customFormat="false" ht="15.75" hidden="false" customHeight="true" outlineLevel="0" collapsed="false">
      <c r="A1716" s="30" t="n">
        <v>0</v>
      </c>
      <c r="B1716" s="31" t="s">
        <v>11</v>
      </c>
      <c r="C1716" s="32"/>
      <c r="D1716" s="32"/>
      <c r="E1716" s="19" t="n">
        <f aca="false">+IF(C1716="EQUIPO",F1716,0)</f>
        <v>0</v>
      </c>
      <c r="F1716" s="33" t="n">
        <v>0</v>
      </c>
      <c r="G1716" s="35" t="n">
        <v>0</v>
      </c>
      <c r="H1716" s="34" t="n">
        <f aca="false">+IF(E1716=0,0,E1716*0.03)</f>
        <v>0</v>
      </c>
    </row>
    <row r="1717" customFormat="false" ht="15.75" hidden="false" customHeight="true" outlineLevel="0" collapsed="false">
      <c r="A1717" s="30" t="n">
        <v>0</v>
      </c>
      <c r="B1717" s="31" t="s">
        <v>11</v>
      </c>
      <c r="C1717" s="32"/>
      <c r="D1717" s="32"/>
      <c r="E1717" s="19" t="n">
        <f aca="false">+IF(C1717="EQUIPO",F1717,0)</f>
        <v>0</v>
      </c>
      <c r="F1717" s="33" t="n">
        <v>0</v>
      </c>
      <c r="G1717" s="35" t="n">
        <v>0</v>
      </c>
      <c r="H1717" s="34" t="n">
        <f aca="false">+IF(E1717=0,0,E1717*0.03)</f>
        <v>0</v>
      </c>
    </row>
    <row r="1718" customFormat="false" ht="15.75" hidden="false" customHeight="true" outlineLevel="0" collapsed="false">
      <c r="A1718" s="30" t="n">
        <v>0</v>
      </c>
      <c r="B1718" s="31" t="s">
        <v>11</v>
      </c>
      <c r="C1718" s="32"/>
      <c r="D1718" s="32"/>
      <c r="E1718" s="19" t="n">
        <f aca="false">+IF(C1718="EQUIPO",F1718,0)</f>
        <v>0</v>
      </c>
      <c r="F1718" s="33" t="n">
        <v>0</v>
      </c>
      <c r="G1718" s="35" t="n">
        <v>0</v>
      </c>
      <c r="H1718" s="34" t="n">
        <f aca="false">+IF(E1718=0,0,E1718*0.03)</f>
        <v>0</v>
      </c>
    </row>
    <row r="1719" customFormat="false" ht="15.75" hidden="false" customHeight="true" outlineLevel="0" collapsed="false">
      <c r="A1719" s="30" t="n">
        <v>0</v>
      </c>
      <c r="B1719" s="31" t="s">
        <v>11</v>
      </c>
      <c r="C1719" s="32"/>
      <c r="D1719" s="32"/>
      <c r="E1719" s="19" t="n">
        <f aca="false">+IF(C1719="EQUIPO",F1719,0)</f>
        <v>0</v>
      </c>
      <c r="F1719" s="33" t="n">
        <v>0</v>
      </c>
      <c r="G1719" s="35" t="n">
        <v>0</v>
      </c>
      <c r="H1719" s="34" t="n">
        <f aca="false">+IF(E1719=0,0,E1719*0.03)</f>
        <v>0</v>
      </c>
    </row>
    <row r="1720" customFormat="false" ht="15.75" hidden="false" customHeight="true" outlineLevel="0" collapsed="false">
      <c r="A1720" s="30" t="n">
        <v>0</v>
      </c>
      <c r="B1720" s="31" t="s">
        <v>11</v>
      </c>
      <c r="C1720" s="32"/>
      <c r="D1720" s="32"/>
      <c r="E1720" s="19" t="n">
        <f aca="false">+IF(C1720="EQUIPO",F1720,0)</f>
        <v>0</v>
      </c>
      <c r="F1720" s="33" t="n">
        <v>0</v>
      </c>
      <c r="G1720" s="35" t="n">
        <v>0</v>
      </c>
      <c r="H1720" s="34" t="n">
        <f aca="false">+IF(E1720=0,0,E1720*0.03)</f>
        <v>0</v>
      </c>
    </row>
    <row r="1721" customFormat="false" ht="15.75" hidden="false" customHeight="true" outlineLevel="0" collapsed="false">
      <c r="A1721" s="30" t="n">
        <v>0</v>
      </c>
      <c r="B1721" s="31" t="s">
        <v>11</v>
      </c>
      <c r="C1721" s="32"/>
      <c r="D1721" s="32"/>
      <c r="E1721" s="19" t="n">
        <f aca="false">+IF(C1721="EQUIPO",F1721,0)</f>
        <v>0</v>
      </c>
      <c r="F1721" s="33" t="n">
        <v>0</v>
      </c>
      <c r="G1721" s="35" t="n">
        <v>0</v>
      </c>
      <c r="H1721" s="34" t="n">
        <f aca="false">+IF(E1721=0,0,E1721*0.03)</f>
        <v>0</v>
      </c>
    </row>
    <row r="1722" customFormat="false" ht="15.75" hidden="false" customHeight="true" outlineLevel="0" collapsed="false">
      <c r="A1722" s="30" t="n">
        <v>0</v>
      </c>
      <c r="B1722" s="31" t="s">
        <v>11</v>
      </c>
      <c r="C1722" s="32"/>
      <c r="D1722" s="32"/>
      <c r="E1722" s="19" t="n">
        <f aca="false">+IF(C1722="EQUIPO",F1722,0)</f>
        <v>0</v>
      </c>
      <c r="F1722" s="33" t="n">
        <v>0</v>
      </c>
      <c r="G1722" s="35" t="n">
        <v>0</v>
      </c>
      <c r="H1722" s="34" t="n">
        <f aca="false">+IF(E1722=0,0,E1722*0.03)</f>
        <v>0</v>
      </c>
    </row>
    <row r="1723" customFormat="false" ht="15.75" hidden="false" customHeight="true" outlineLevel="0" collapsed="false">
      <c r="A1723" s="30" t="n">
        <v>0</v>
      </c>
      <c r="B1723" s="31" t="s">
        <v>11</v>
      </c>
      <c r="C1723" s="32"/>
      <c r="D1723" s="32"/>
      <c r="E1723" s="19" t="n">
        <f aca="false">+IF(C1723="EQUIPO",F1723,0)</f>
        <v>0</v>
      </c>
      <c r="F1723" s="33" t="n">
        <v>0</v>
      </c>
      <c r="G1723" s="35" t="n">
        <v>0</v>
      </c>
      <c r="H1723" s="34" t="n">
        <f aca="false">+IF(E1723=0,0,E1723*0.03)</f>
        <v>0</v>
      </c>
    </row>
    <row r="1724" customFormat="false" ht="15.75" hidden="false" customHeight="true" outlineLevel="0" collapsed="false">
      <c r="A1724" s="30" t="n">
        <v>0</v>
      </c>
      <c r="B1724" s="31" t="s">
        <v>11</v>
      </c>
      <c r="C1724" s="32"/>
      <c r="D1724" s="32"/>
      <c r="E1724" s="19" t="n">
        <f aca="false">+IF(C1724="EQUIPO",F1724,0)</f>
        <v>0</v>
      </c>
      <c r="F1724" s="33" t="n">
        <v>0</v>
      </c>
      <c r="G1724" s="35" t="n">
        <v>0</v>
      </c>
      <c r="H1724" s="34" t="n">
        <f aca="false">+IF(E1724=0,0,E1724*0.03)</f>
        <v>0</v>
      </c>
    </row>
    <row r="1725" customFormat="false" ht="15.75" hidden="false" customHeight="true" outlineLevel="0" collapsed="false">
      <c r="A1725" s="30" t="n">
        <v>0</v>
      </c>
      <c r="B1725" s="31" t="s">
        <v>11</v>
      </c>
      <c r="C1725" s="32"/>
      <c r="D1725" s="32"/>
      <c r="E1725" s="19" t="n">
        <f aca="false">+IF(C1725="EQUIPO",F1725,0)</f>
        <v>0</v>
      </c>
      <c r="F1725" s="33" t="n">
        <v>0</v>
      </c>
      <c r="G1725" s="35" t="n">
        <v>0</v>
      </c>
      <c r="H1725" s="34" t="n">
        <f aca="false">+IF(E1725=0,0,E1725*0.03)</f>
        <v>0</v>
      </c>
    </row>
    <row r="1726" customFormat="false" ht="15.75" hidden="false" customHeight="true" outlineLevel="0" collapsed="false">
      <c r="A1726" s="30" t="n">
        <v>0</v>
      </c>
      <c r="B1726" s="31" t="s">
        <v>11</v>
      </c>
      <c r="C1726" s="32"/>
      <c r="D1726" s="32"/>
      <c r="E1726" s="19" t="n">
        <f aca="false">+IF(C1726="EQUIPO",F1726,0)</f>
        <v>0</v>
      </c>
      <c r="F1726" s="33" t="n">
        <v>0</v>
      </c>
      <c r="G1726" s="35" t="n">
        <v>0</v>
      </c>
      <c r="H1726" s="34" t="n">
        <f aca="false">+IF(E1726=0,0,E1726*0.03)</f>
        <v>0</v>
      </c>
    </row>
    <row r="1727" customFormat="false" ht="15.75" hidden="false" customHeight="true" outlineLevel="0" collapsed="false">
      <c r="A1727" s="30" t="n">
        <v>0</v>
      </c>
      <c r="B1727" s="31" t="s">
        <v>11</v>
      </c>
      <c r="C1727" s="32"/>
      <c r="D1727" s="32"/>
      <c r="E1727" s="19" t="n">
        <f aca="false">+IF(C1727="EQUIPO",F1727,0)</f>
        <v>0</v>
      </c>
      <c r="F1727" s="33" t="n">
        <v>0</v>
      </c>
      <c r="G1727" s="35" t="n">
        <v>0</v>
      </c>
      <c r="H1727" s="34" t="n">
        <f aca="false">+IF(E1727=0,0,E1727*0.03)</f>
        <v>0</v>
      </c>
    </row>
    <row r="1728" customFormat="false" ht="15.75" hidden="false" customHeight="true" outlineLevel="0" collapsed="false">
      <c r="A1728" s="30" t="n">
        <v>0</v>
      </c>
      <c r="B1728" s="31" t="s">
        <v>11</v>
      </c>
      <c r="C1728" s="32"/>
      <c r="D1728" s="32"/>
      <c r="E1728" s="19" t="n">
        <f aca="false">+IF(C1728="EQUIPO",F1728,0)</f>
        <v>0</v>
      </c>
      <c r="F1728" s="33" t="n">
        <v>0</v>
      </c>
      <c r="G1728" s="35" t="n">
        <v>0</v>
      </c>
      <c r="H1728" s="34" t="n">
        <f aca="false">+IF(E1728=0,0,E1728*0.03)</f>
        <v>0</v>
      </c>
    </row>
    <row r="1729" customFormat="false" ht="15.75" hidden="false" customHeight="true" outlineLevel="0" collapsed="false">
      <c r="A1729" s="30" t="n">
        <v>0</v>
      </c>
      <c r="B1729" s="31" t="s">
        <v>11</v>
      </c>
      <c r="C1729" s="32"/>
      <c r="D1729" s="32"/>
      <c r="E1729" s="19" t="n">
        <f aca="false">+IF(C1729="EQUIPO",F1729,0)</f>
        <v>0</v>
      </c>
      <c r="F1729" s="33" t="n">
        <v>0</v>
      </c>
      <c r="G1729" s="35" t="n">
        <v>0</v>
      </c>
      <c r="H1729" s="34" t="n">
        <f aca="false">+IF(E1729=0,0,E1729*0.03)</f>
        <v>0</v>
      </c>
    </row>
    <row r="1730" customFormat="false" ht="15.75" hidden="false" customHeight="true" outlineLevel="0" collapsed="false">
      <c r="A1730" s="30" t="n">
        <v>0</v>
      </c>
      <c r="B1730" s="31" t="s">
        <v>11</v>
      </c>
      <c r="C1730" s="32"/>
      <c r="D1730" s="32"/>
      <c r="E1730" s="19" t="n">
        <f aca="false">+IF(C1730="EQUIPO",F1730,0)</f>
        <v>0</v>
      </c>
      <c r="F1730" s="33" t="n">
        <v>0</v>
      </c>
      <c r="G1730" s="35" t="n">
        <v>0</v>
      </c>
      <c r="H1730" s="34" t="n">
        <f aca="false">+IF(E1730=0,0,E1730*0.03)</f>
        <v>0</v>
      </c>
    </row>
    <row r="1731" customFormat="false" ht="15.75" hidden="false" customHeight="true" outlineLevel="0" collapsed="false">
      <c r="A1731" s="30" t="n">
        <v>0</v>
      </c>
      <c r="B1731" s="31" t="s">
        <v>11</v>
      </c>
      <c r="C1731" s="32"/>
      <c r="D1731" s="32"/>
      <c r="E1731" s="19" t="n">
        <f aca="false">+IF(C1731="EQUIPO",F1731,0)</f>
        <v>0</v>
      </c>
      <c r="F1731" s="33" t="n">
        <v>0</v>
      </c>
      <c r="G1731" s="35" t="n">
        <v>0</v>
      </c>
      <c r="H1731" s="34" t="n">
        <f aca="false">+IF(E1731=0,0,E1731*0.03)</f>
        <v>0</v>
      </c>
    </row>
    <row r="1732" customFormat="false" ht="15.75" hidden="false" customHeight="true" outlineLevel="0" collapsed="false">
      <c r="A1732" s="30" t="n">
        <v>0</v>
      </c>
      <c r="B1732" s="31" t="s">
        <v>11</v>
      </c>
      <c r="C1732" s="32"/>
      <c r="D1732" s="32"/>
      <c r="E1732" s="19" t="n">
        <f aca="false">+IF(C1732="EQUIPO",F1732,0)</f>
        <v>0</v>
      </c>
      <c r="F1732" s="33" t="n">
        <v>0</v>
      </c>
      <c r="G1732" s="35" t="n">
        <v>0</v>
      </c>
      <c r="H1732" s="34" t="n">
        <f aca="false">+IF(E1732=0,0,E1732*0.03)</f>
        <v>0</v>
      </c>
    </row>
    <row r="1733" customFormat="false" ht="15.75" hidden="false" customHeight="true" outlineLevel="0" collapsed="false">
      <c r="A1733" s="30" t="n">
        <v>0</v>
      </c>
      <c r="B1733" s="31" t="s">
        <v>11</v>
      </c>
      <c r="C1733" s="32"/>
      <c r="D1733" s="32"/>
      <c r="E1733" s="19" t="n">
        <f aca="false">+IF(C1733="EQUIPO",F1733,0)</f>
        <v>0</v>
      </c>
      <c r="F1733" s="33" t="n">
        <v>0</v>
      </c>
      <c r="G1733" s="35" t="n">
        <v>0</v>
      </c>
      <c r="H1733" s="34" t="n">
        <f aca="false">+IF(E1733=0,0,E1733*0.03)</f>
        <v>0</v>
      </c>
    </row>
    <row r="1734" customFormat="false" ht="15.75" hidden="false" customHeight="true" outlineLevel="0" collapsed="false">
      <c r="A1734" s="30" t="n">
        <v>0</v>
      </c>
      <c r="B1734" s="31" t="s">
        <v>11</v>
      </c>
      <c r="C1734" s="32"/>
      <c r="D1734" s="32"/>
      <c r="E1734" s="19" t="n">
        <f aca="false">+IF(C1734="EQUIPO",F1734,0)</f>
        <v>0</v>
      </c>
      <c r="F1734" s="33" t="n">
        <v>0</v>
      </c>
      <c r="G1734" s="35" t="n">
        <v>0</v>
      </c>
      <c r="H1734" s="34" t="n">
        <f aca="false">+IF(E1734=0,0,E1734*0.03)</f>
        <v>0</v>
      </c>
    </row>
    <row r="1735" customFormat="false" ht="15.75" hidden="false" customHeight="true" outlineLevel="0" collapsed="false">
      <c r="A1735" s="30" t="n">
        <v>0</v>
      </c>
      <c r="B1735" s="31" t="s">
        <v>11</v>
      </c>
      <c r="C1735" s="32"/>
      <c r="D1735" s="32"/>
      <c r="E1735" s="19" t="n">
        <f aca="false">+IF(C1735="EQUIPO",F1735,0)</f>
        <v>0</v>
      </c>
      <c r="F1735" s="33" t="n">
        <v>0</v>
      </c>
      <c r="G1735" s="35" t="n">
        <v>0</v>
      </c>
      <c r="H1735" s="34" t="n">
        <f aca="false">+IF(E1735=0,0,E1735*0.03)</f>
        <v>0</v>
      </c>
    </row>
    <row r="1736" customFormat="false" ht="15.75" hidden="false" customHeight="true" outlineLevel="0" collapsed="false">
      <c r="A1736" s="30" t="n">
        <v>0</v>
      </c>
      <c r="B1736" s="31" t="s">
        <v>11</v>
      </c>
      <c r="C1736" s="32"/>
      <c r="D1736" s="32"/>
      <c r="E1736" s="19" t="n">
        <f aca="false">+IF(C1736="EQUIPO",F1736,0)</f>
        <v>0</v>
      </c>
      <c r="F1736" s="33" t="n">
        <v>0</v>
      </c>
      <c r="G1736" s="35" t="n">
        <v>0</v>
      </c>
      <c r="H1736" s="34" t="n">
        <f aca="false">+IF(E1736=0,0,E1736*0.03)</f>
        <v>0</v>
      </c>
    </row>
    <row r="1737" customFormat="false" ht="15.75" hidden="false" customHeight="true" outlineLevel="0" collapsed="false">
      <c r="A1737" s="30" t="n">
        <v>0</v>
      </c>
      <c r="B1737" s="31" t="s">
        <v>11</v>
      </c>
      <c r="C1737" s="32"/>
      <c r="D1737" s="32"/>
      <c r="E1737" s="19" t="n">
        <f aca="false">+IF(C1737="EQUIPO",F1737,0)</f>
        <v>0</v>
      </c>
      <c r="F1737" s="33" t="n">
        <v>0</v>
      </c>
      <c r="G1737" s="35" t="n">
        <v>0</v>
      </c>
      <c r="H1737" s="34" t="n">
        <f aca="false">+IF(E1737=0,0,E1737*0.03)</f>
        <v>0</v>
      </c>
    </row>
    <row r="1738" customFormat="false" ht="15.75" hidden="false" customHeight="true" outlineLevel="0" collapsed="false">
      <c r="A1738" s="30" t="n">
        <v>0</v>
      </c>
      <c r="B1738" s="31" t="s">
        <v>11</v>
      </c>
      <c r="C1738" s="32"/>
      <c r="D1738" s="32"/>
      <c r="E1738" s="19" t="n">
        <f aca="false">+IF(C1738="EQUIPO",F1738,0)</f>
        <v>0</v>
      </c>
      <c r="F1738" s="33" t="n">
        <v>0</v>
      </c>
      <c r="G1738" s="35" t="n">
        <v>0</v>
      </c>
      <c r="H1738" s="34" t="n">
        <f aca="false">+IF(E1738=0,0,E1738*0.03)</f>
        <v>0</v>
      </c>
    </row>
    <row r="1739" customFormat="false" ht="15.75" hidden="false" customHeight="true" outlineLevel="0" collapsed="false">
      <c r="A1739" s="30" t="n">
        <v>0</v>
      </c>
      <c r="B1739" s="31" t="s">
        <v>11</v>
      </c>
      <c r="C1739" s="32"/>
      <c r="D1739" s="32"/>
      <c r="E1739" s="19" t="n">
        <f aca="false">+IF(C1739="EQUIPO",F1739,0)</f>
        <v>0</v>
      </c>
      <c r="F1739" s="33" t="n">
        <v>0</v>
      </c>
      <c r="G1739" s="35" t="n">
        <v>0</v>
      </c>
      <c r="H1739" s="34" t="n">
        <f aca="false">+IF(E1739=0,0,E1739*0.03)</f>
        <v>0</v>
      </c>
    </row>
    <row r="1740" customFormat="false" ht="15.75" hidden="false" customHeight="true" outlineLevel="0" collapsed="false">
      <c r="A1740" s="30" t="n">
        <v>0</v>
      </c>
      <c r="B1740" s="31" t="s">
        <v>11</v>
      </c>
      <c r="C1740" s="32"/>
      <c r="D1740" s="32"/>
      <c r="E1740" s="19" t="n">
        <f aca="false">+IF(C1740="EQUIPO",F1740,0)</f>
        <v>0</v>
      </c>
      <c r="F1740" s="33" t="n">
        <v>0</v>
      </c>
      <c r="G1740" s="35" t="n">
        <v>0</v>
      </c>
      <c r="H1740" s="34" t="n">
        <f aca="false">+IF(E1740=0,0,E1740*0.03)</f>
        <v>0</v>
      </c>
    </row>
    <row r="1741" customFormat="false" ht="15.75" hidden="false" customHeight="true" outlineLevel="0" collapsed="false">
      <c r="A1741" s="30" t="n">
        <v>0</v>
      </c>
      <c r="B1741" s="31" t="s">
        <v>11</v>
      </c>
      <c r="C1741" s="32"/>
      <c r="D1741" s="32"/>
      <c r="E1741" s="19" t="n">
        <f aca="false">+IF(C1741="EQUIPO",F1741,0)</f>
        <v>0</v>
      </c>
      <c r="F1741" s="33" t="n">
        <v>0</v>
      </c>
      <c r="G1741" s="35" t="n">
        <v>0</v>
      </c>
      <c r="H1741" s="34" t="n">
        <f aca="false">+IF(E1741=0,0,E1741*0.03)</f>
        <v>0</v>
      </c>
    </row>
    <row r="1742" customFormat="false" ht="15.75" hidden="false" customHeight="true" outlineLevel="0" collapsed="false">
      <c r="A1742" s="30" t="n">
        <v>0</v>
      </c>
      <c r="B1742" s="31" t="s">
        <v>11</v>
      </c>
      <c r="C1742" s="32"/>
      <c r="D1742" s="32"/>
      <c r="E1742" s="19" t="n">
        <f aca="false">+IF(C1742="EQUIPO",F1742,0)</f>
        <v>0</v>
      </c>
      <c r="F1742" s="33" t="n">
        <v>0</v>
      </c>
      <c r="G1742" s="35" t="n">
        <v>0</v>
      </c>
      <c r="H1742" s="34" t="n">
        <f aca="false">+IF(E1742=0,0,E1742*0.03)</f>
        <v>0</v>
      </c>
    </row>
    <row r="1743" customFormat="false" ht="15.75" hidden="false" customHeight="true" outlineLevel="0" collapsed="false">
      <c r="A1743" s="30" t="n">
        <v>0</v>
      </c>
      <c r="B1743" s="31" t="s">
        <v>11</v>
      </c>
      <c r="C1743" s="32"/>
      <c r="D1743" s="32"/>
      <c r="E1743" s="19" t="n">
        <f aca="false">+IF(C1743="EQUIPO",F1743,0)</f>
        <v>0</v>
      </c>
      <c r="F1743" s="33" t="n">
        <v>0</v>
      </c>
      <c r="G1743" s="35" t="n">
        <v>0</v>
      </c>
      <c r="H1743" s="34" t="n">
        <f aca="false">+IF(E1743=0,0,E1743*0.03)</f>
        <v>0</v>
      </c>
    </row>
    <row r="1744" customFormat="false" ht="15.75" hidden="false" customHeight="true" outlineLevel="0" collapsed="false">
      <c r="A1744" s="30" t="n">
        <v>0</v>
      </c>
      <c r="B1744" s="31" t="s">
        <v>11</v>
      </c>
      <c r="C1744" s="32"/>
      <c r="D1744" s="32"/>
      <c r="E1744" s="19" t="n">
        <f aca="false">+IF(C1744="EQUIPO",F1744,0)</f>
        <v>0</v>
      </c>
      <c r="F1744" s="33" t="n">
        <v>0</v>
      </c>
      <c r="G1744" s="35" t="n">
        <v>0</v>
      </c>
      <c r="H1744" s="34" t="n">
        <f aca="false">+IF(E1744=0,0,E1744*0.03)</f>
        <v>0</v>
      </c>
    </row>
    <row r="1745" customFormat="false" ht="15.75" hidden="false" customHeight="true" outlineLevel="0" collapsed="false">
      <c r="A1745" s="30" t="n">
        <v>0</v>
      </c>
      <c r="B1745" s="31" t="s">
        <v>11</v>
      </c>
      <c r="C1745" s="32"/>
      <c r="D1745" s="32"/>
      <c r="E1745" s="19" t="n">
        <f aca="false">+IF(C1745="EQUIPO",F1745,0)</f>
        <v>0</v>
      </c>
      <c r="F1745" s="33" t="n">
        <v>0</v>
      </c>
      <c r="G1745" s="35" t="n">
        <v>0</v>
      </c>
      <c r="H1745" s="34" t="n">
        <f aca="false">+IF(E1745=0,0,E1745*0.03)</f>
        <v>0</v>
      </c>
    </row>
    <row r="1746" customFormat="false" ht="15.75" hidden="false" customHeight="true" outlineLevel="0" collapsed="false">
      <c r="A1746" s="30" t="n">
        <v>0</v>
      </c>
      <c r="B1746" s="31" t="s">
        <v>11</v>
      </c>
      <c r="C1746" s="32"/>
      <c r="D1746" s="32"/>
      <c r="E1746" s="19" t="n">
        <f aca="false">+IF(C1746="EQUIPO",F1746,0)</f>
        <v>0</v>
      </c>
      <c r="F1746" s="33" t="n">
        <v>0</v>
      </c>
      <c r="G1746" s="35" t="n">
        <v>0</v>
      </c>
      <c r="H1746" s="34" t="n">
        <f aca="false">+IF(E1746=0,0,E1746*0.03)</f>
        <v>0</v>
      </c>
    </row>
    <row r="1747" customFormat="false" ht="15.75" hidden="false" customHeight="true" outlineLevel="0" collapsed="false">
      <c r="A1747" s="30" t="n">
        <v>0</v>
      </c>
      <c r="B1747" s="31" t="s">
        <v>11</v>
      </c>
      <c r="C1747" s="32"/>
      <c r="D1747" s="32"/>
      <c r="E1747" s="19" t="n">
        <f aca="false">+IF(C1747="EQUIPO",F1747,0)</f>
        <v>0</v>
      </c>
      <c r="F1747" s="33" t="n">
        <v>0</v>
      </c>
      <c r="G1747" s="35" t="n">
        <v>0</v>
      </c>
      <c r="H1747" s="34" t="n">
        <f aca="false">+IF(E1747=0,0,E1747*0.03)</f>
        <v>0</v>
      </c>
    </row>
    <row r="1748" customFormat="false" ht="15.75" hidden="false" customHeight="true" outlineLevel="0" collapsed="false">
      <c r="A1748" s="30" t="n">
        <v>0</v>
      </c>
      <c r="B1748" s="31" t="s">
        <v>11</v>
      </c>
      <c r="C1748" s="32"/>
      <c r="D1748" s="32"/>
      <c r="E1748" s="19" t="n">
        <f aca="false">+IF(C1748="EQUIPO",F1748,0)</f>
        <v>0</v>
      </c>
      <c r="F1748" s="33" t="n">
        <v>0</v>
      </c>
      <c r="G1748" s="35" t="n">
        <v>0</v>
      </c>
      <c r="H1748" s="34" t="n">
        <f aca="false">+IF(E1748=0,0,E1748*0.03)</f>
        <v>0</v>
      </c>
    </row>
    <row r="1749" customFormat="false" ht="15.75" hidden="false" customHeight="true" outlineLevel="0" collapsed="false">
      <c r="A1749" s="30" t="n">
        <v>0</v>
      </c>
      <c r="B1749" s="31" t="s">
        <v>11</v>
      </c>
      <c r="C1749" s="32"/>
      <c r="D1749" s="32"/>
      <c r="E1749" s="19" t="n">
        <f aca="false">+IF(C1749="EQUIPO",F1749,0)</f>
        <v>0</v>
      </c>
      <c r="F1749" s="33" t="n">
        <v>0</v>
      </c>
      <c r="G1749" s="35" t="n">
        <v>0</v>
      </c>
      <c r="H1749" s="34" t="n">
        <f aca="false">+IF(E1749=0,0,E1749*0.03)</f>
        <v>0</v>
      </c>
    </row>
    <row r="1750" customFormat="false" ht="15.75" hidden="false" customHeight="true" outlineLevel="0" collapsed="false">
      <c r="A1750" s="30" t="n">
        <v>0</v>
      </c>
      <c r="B1750" s="31" t="s">
        <v>11</v>
      </c>
      <c r="C1750" s="32"/>
      <c r="D1750" s="32"/>
      <c r="E1750" s="19" t="n">
        <f aca="false">+IF(C1750="EQUIPO",F1750,0)</f>
        <v>0</v>
      </c>
      <c r="F1750" s="33" t="n">
        <v>0</v>
      </c>
      <c r="G1750" s="35" t="n">
        <v>0</v>
      </c>
      <c r="H1750" s="34" t="n">
        <f aca="false">+IF(E1750=0,0,E1750*0.03)</f>
        <v>0</v>
      </c>
    </row>
    <row r="1751" customFormat="false" ht="15.75" hidden="false" customHeight="true" outlineLevel="0" collapsed="false">
      <c r="A1751" s="30" t="n">
        <v>0</v>
      </c>
      <c r="B1751" s="31" t="s">
        <v>11</v>
      </c>
      <c r="C1751" s="32"/>
      <c r="D1751" s="32"/>
      <c r="E1751" s="19" t="n">
        <f aca="false">+IF(C1751="EQUIPO",F1751,0)</f>
        <v>0</v>
      </c>
      <c r="F1751" s="33" t="n">
        <v>0</v>
      </c>
      <c r="G1751" s="35" t="n">
        <v>0</v>
      </c>
      <c r="H1751" s="34" t="n">
        <f aca="false">+IF(E1751=0,0,E1751*0.03)</f>
        <v>0</v>
      </c>
    </row>
    <row r="1752" customFormat="false" ht="15.75" hidden="false" customHeight="true" outlineLevel="0" collapsed="false">
      <c r="A1752" s="30" t="n">
        <v>0</v>
      </c>
      <c r="B1752" s="31" t="s">
        <v>11</v>
      </c>
      <c r="C1752" s="32"/>
      <c r="D1752" s="32"/>
      <c r="E1752" s="19" t="n">
        <f aca="false">+IF(C1752="EQUIPO",F1752,0)</f>
        <v>0</v>
      </c>
      <c r="F1752" s="33" t="n">
        <v>0</v>
      </c>
      <c r="G1752" s="35" t="n">
        <v>0</v>
      </c>
      <c r="H1752" s="34" t="n">
        <f aca="false">+IF(E1752=0,0,E1752*0.03)</f>
        <v>0</v>
      </c>
    </row>
    <row r="1753" customFormat="false" ht="15.75" hidden="false" customHeight="true" outlineLevel="0" collapsed="false">
      <c r="A1753" s="30" t="n">
        <v>0</v>
      </c>
      <c r="B1753" s="31" t="s">
        <v>11</v>
      </c>
      <c r="C1753" s="32"/>
      <c r="D1753" s="32"/>
      <c r="E1753" s="19" t="n">
        <f aca="false">+IF(C1753="EQUIPO",F1753,0)</f>
        <v>0</v>
      </c>
      <c r="F1753" s="33" t="n">
        <v>0</v>
      </c>
      <c r="G1753" s="35" t="n">
        <v>0</v>
      </c>
      <c r="H1753" s="34" t="n">
        <f aca="false">+IF(E1753=0,0,E1753*0.03)</f>
        <v>0</v>
      </c>
    </row>
    <row r="1754" customFormat="false" ht="15.75" hidden="false" customHeight="true" outlineLevel="0" collapsed="false">
      <c r="A1754" s="30" t="n">
        <v>0</v>
      </c>
      <c r="B1754" s="31" t="s">
        <v>11</v>
      </c>
      <c r="C1754" s="32"/>
      <c r="D1754" s="32"/>
      <c r="E1754" s="19" t="n">
        <f aca="false">+IF(C1754="EQUIPO",F1754,0)</f>
        <v>0</v>
      </c>
      <c r="F1754" s="33" t="n">
        <v>0</v>
      </c>
      <c r="G1754" s="35" t="n">
        <v>0</v>
      </c>
      <c r="H1754" s="34" t="n">
        <f aca="false">+IF(E1754=0,0,E1754*0.03)</f>
        <v>0</v>
      </c>
    </row>
    <row r="1755" customFormat="false" ht="15.75" hidden="false" customHeight="true" outlineLevel="0" collapsed="false">
      <c r="A1755" s="30" t="n">
        <v>0</v>
      </c>
      <c r="B1755" s="31" t="s">
        <v>11</v>
      </c>
      <c r="C1755" s="32"/>
      <c r="D1755" s="32"/>
      <c r="E1755" s="19" t="n">
        <f aca="false">+IF(C1755="EQUIPO",F1755,0)</f>
        <v>0</v>
      </c>
      <c r="F1755" s="33" t="n">
        <v>0</v>
      </c>
      <c r="G1755" s="35" t="n">
        <v>0</v>
      </c>
      <c r="H1755" s="34" t="n">
        <f aca="false">+IF(E1755=0,0,E1755*0.03)</f>
        <v>0</v>
      </c>
    </row>
    <row r="1756" customFormat="false" ht="15.75" hidden="false" customHeight="true" outlineLevel="0" collapsed="false">
      <c r="A1756" s="30" t="n">
        <v>0</v>
      </c>
      <c r="B1756" s="31" t="s">
        <v>11</v>
      </c>
      <c r="C1756" s="32"/>
      <c r="D1756" s="32"/>
      <c r="E1756" s="19" t="n">
        <f aca="false">+IF(C1756="EQUIPO",F1756,0)</f>
        <v>0</v>
      </c>
      <c r="F1756" s="33" t="n">
        <v>0</v>
      </c>
      <c r="G1756" s="35" t="n">
        <v>0</v>
      </c>
      <c r="H1756" s="34" t="n">
        <f aca="false">+IF(E1756=0,0,E1756*0.03)</f>
        <v>0</v>
      </c>
    </row>
    <row r="1757" customFormat="false" ht="15.75" hidden="false" customHeight="true" outlineLevel="0" collapsed="false">
      <c r="A1757" s="30" t="n">
        <v>0</v>
      </c>
      <c r="B1757" s="31" t="s">
        <v>11</v>
      </c>
      <c r="C1757" s="32"/>
      <c r="D1757" s="32"/>
      <c r="E1757" s="19" t="n">
        <f aca="false">+IF(C1757="EQUIPO",F1757,0)</f>
        <v>0</v>
      </c>
      <c r="F1757" s="33" t="n">
        <v>0</v>
      </c>
      <c r="G1757" s="35" t="n">
        <v>0</v>
      </c>
      <c r="H1757" s="34" t="n">
        <f aca="false">+IF(E1757=0,0,E1757*0.03)</f>
        <v>0</v>
      </c>
    </row>
    <row r="1758" customFormat="false" ht="15.75" hidden="false" customHeight="true" outlineLevel="0" collapsed="false">
      <c r="A1758" s="30" t="n">
        <v>0</v>
      </c>
      <c r="B1758" s="31" t="s">
        <v>11</v>
      </c>
      <c r="C1758" s="32"/>
      <c r="D1758" s="32"/>
      <c r="E1758" s="19" t="n">
        <f aca="false">+IF(C1758="EQUIPO",F1758,0)</f>
        <v>0</v>
      </c>
      <c r="F1758" s="33" t="n">
        <v>0</v>
      </c>
      <c r="G1758" s="35" t="n">
        <v>0</v>
      </c>
      <c r="H1758" s="34" t="n">
        <f aca="false">+IF(E1758=0,0,E1758*0.03)</f>
        <v>0</v>
      </c>
    </row>
    <row r="1759" customFormat="false" ht="15.75" hidden="false" customHeight="true" outlineLevel="0" collapsed="false">
      <c r="A1759" s="30" t="n">
        <v>0</v>
      </c>
      <c r="B1759" s="31" t="s">
        <v>11</v>
      </c>
      <c r="C1759" s="32"/>
      <c r="D1759" s="32"/>
      <c r="E1759" s="19" t="n">
        <f aca="false">+IF(C1759="EQUIPO",F1759,0)</f>
        <v>0</v>
      </c>
      <c r="F1759" s="33" t="n">
        <v>0</v>
      </c>
      <c r="G1759" s="35" t="n">
        <v>0</v>
      </c>
      <c r="H1759" s="34" t="n">
        <f aca="false">+IF(E1759=0,0,E1759*0.03)</f>
        <v>0</v>
      </c>
    </row>
    <row r="1760" customFormat="false" ht="15.75" hidden="false" customHeight="true" outlineLevel="0" collapsed="false">
      <c r="A1760" s="30" t="n">
        <v>0</v>
      </c>
      <c r="B1760" s="31" t="s">
        <v>11</v>
      </c>
      <c r="C1760" s="32"/>
      <c r="D1760" s="32"/>
      <c r="E1760" s="19" t="n">
        <f aca="false">+IF(C1760="EQUIPO",F1760,0)</f>
        <v>0</v>
      </c>
      <c r="F1760" s="33" t="n">
        <v>0</v>
      </c>
      <c r="G1760" s="35" t="n">
        <v>0</v>
      </c>
      <c r="H1760" s="34" t="n">
        <f aca="false">+IF(E1760=0,0,E1760*0.03)</f>
        <v>0</v>
      </c>
    </row>
    <row r="1761" customFormat="false" ht="15.75" hidden="false" customHeight="true" outlineLevel="0" collapsed="false">
      <c r="A1761" s="30" t="n">
        <v>0</v>
      </c>
      <c r="B1761" s="31" t="s">
        <v>11</v>
      </c>
      <c r="C1761" s="32"/>
      <c r="D1761" s="32"/>
      <c r="E1761" s="19" t="n">
        <f aca="false">+IF(C1761="EQUIPO",F1761,0)</f>
        <v>0</v>
      </c>
      <c r="F1761" s="33" t="n">
        <v>0</v>
      </c>
      <c r="G1761" s="35" t="n">
        <v>0</v>
      </c>
      <c r="H1761" s="34" t="n">
        <f aca="false">+IF(E1761=0,0,E1761*0.03)</f>
        <v>0</v>
      </c>
    </row>
    <row r="1762" customFormat="false" ht="15.75" hidden="false" customHeight="true" outlineLevel="0" collapsed="false">
      <c r="A1762" s="30" t="n">
        <v>0</v>
      </c>
      <c r="B1762" s="31" t="s">
        <v>11</v>
      </c>
      <c r="C1762" s="32"/>
      <c r="D1762" s="32"/>
      <c r="E1762" s="19" t="n">
        <f aca="false">+IF(C1762="EQUIPO",F1762,0)</f>
        <v>0</v>
      </c>
      <c r="F1762" s="33" t="n">
        <v>0</v>
      </c>
      <c r="G1762" s="35" t="n">
        <v>0</v>
      </c>
      <c r="H1762" s="34" t="n">
        <f aca="false">+IF(E1762=0,0,E1762*0.03)</f>
        <v>0</v>
      </c>
    </row>
    <row r="1763" customFormat="false" ht="15.75" hidden="false" customHeight="true" outlineLevel="0" collapsed="false">
      <c r="A1763" s="30" t="n">
        <v>0</v>
      </c>
      <c r="B1763" s="31" t="s">
        <v>11</v>
      </c>
      <c r="C1763" s="32"/>
      <c r="D1763" s="32"/>
      <c r="E1763" s="19" t="n">
        <f aca="false">+IF(C1763="EQUIPO",F1763,0)</f>
        <v>0</v>
      </c>
      <c r="F1763" s="33" t="n">
        <v>0</v>
      </c>
      <c r="G1763" s="35" t="n">
        <v>0</v>
      </c>
      <c r="H1763" s="34" t="n">
        <f aca="false">+IF(E1763=0,0,E1763*0.03)</f>
        <v>0</v>
      </c>
    </row>
    <row r="1764" customFormat="false" ht="15.75" hidden="false" customHeight="true" outlineLevel="0" collapsed="false">
      <c r="A1764" s="30" t="n">
        <v>0</v>
      </c>
      <c r="B1764" s="31" t="s">
        <v>11</v>
      </c>
      <c r="C1764" s="32"/>
      <c r="D1764" s="32"/>
      <c r="E1764" s="19" t="n">
        <f aca="false">+IF(C1764="EQUIPO",F1764,0)</f>
        <v>0</v>
      </c>
      <c r="F1764" s="33" t="n">
        <v>0</v>
      </c>
      <c r="G1764" s="35" t="n">
        <v>0</v>
      </c>
      <c r="H1764" s="34" t="n">
        <f aca="false">+IF(E1764=0,0,E1764*0.03)</f>
        <v>0</v>
      </c>
    </row>
    <row r="1765" customFormat="false" ht="15.75" hidden="false" customHeight="true" outlineLevel="0" collapsed="false">
      <c r="A1765" s="30" t="n">
        <v>0</v>
      </c>
      <c r="B1765" s="31" t="s">
        <v>11</v>
      </c>
      <c r="C1765" s="32"/>
      <c r="D1765" s="32"/>
      <c r="E1765" s="19" t="n">
        <f aca="false">+IF(C1765="EQUIPO",F1765,0)</f>
        <v>0</v>
      </c>
      <c r="F1765" s="33" t="n">
        <v>0</v>
      </c>
      <c r="G1765" s="35" t="n">
        <v>0</v>
      </c>
      <c r="H1765" s="34" t="n">
        <f aca="false">+IF(E1765=0,0,E1765*0.03)</f>
        <v>0</v>
      </c>
    </row>
    <row r="1766" customFormat="false" ht="15.75" hidden="false" customHeight="true" outlineLevel="0" collapsed="false">
      <c r="A1766" s="30" t="n">
        <v>0</v>
      </c>
      <c r="B1766" s="31" t="s">
        <v>11</v>
      </c>
      <c r="C1766" s="32"/>
      <c r="D1766" s="32"/>
      <c r="E1766" s="19" t="n">
        <f aca="false">+IF(C1766="EQUIPO",F1766,0)</f>
        <v>0</v>
      </c>
      <c r="F1766" s="33" t="n">
        <v>0</v>
      </c>
      <c r="G1766" s="35" t="n">
        <v>0</v>
      </c>
      <c r="H1766" s="34" t="n">
        <f aca="false">+IF(E1766=0,0,E1766*0.03)</f>
        <v>0</v>
      </c>
    </row>
    <row r="1767" customFormat="false" ht="15.75" hidden="false" customHeight="true" outlineLevel="0" collapsed="false">
      <c r="A1767" s="30" t="n">
        <v>0</v>
      </c>
      <c r="B1767" s="31" t="s">
        <v>11</v>
      </c>
      <c r="C1767" s="32"/>
      <c r="D1767" s="32"/>
      <c r="E1767" s="19" t="n">
        <f aca="false">+IF(C1767="EQUIPO",F1767,0)</f>
        <v>0</v>
      </c>
      <c r="F1767" s="33" t="n">
        <v>0</v>
      </c>
      <c r="G1767" s="35" t="n">
        <v>0</v>
      </c>
      <c r="H1767" s="34" t="n">
        <f aca="false">+IF(E1767=0,0,E1767*0.03)</f>
        <v>0</v>
      </c>
    </row>
    <row r="1768" customFormat="false" ht="15.75" hidden="false" customHeight="true" outlineLevel="0" collapsed="false">
      <c r="A1768" s="30" t="n">
        <v>0</v>
      </c>
      <c r="B1768" s="31" t="s">
        <v>11</v>
      </c>
      <c r="C1768" s="32"/>
      <c r="D1768" s="32"/>
      <c r="E1768" s="19" t="n">
        <f aca="false">+IF(C1768="EQUIPO",F1768,0)</f>
        <v>0</v>
      </c>
      <c r="F1768" s="33" t="n">
        <v>0</v>
      </c>
      <c r="G1768" s="35" t="n">
        <v>0</v>
      </c>
      <c r="H1768" s="34" t="n">
        <f aca="false">+IF(E1768=0,0,E1768*0.03)</f>
        <v>0</v>
      </c>
    </row>
    <row r="1769" customFormat="false" ht="15.75" hidden="false" customHeight="true" outlineLevel="0" collapsed="false">
      <c r="A1769" s="30" t="n">
        <v>0</v>
      </c>
      <c r="B1769" s="31" t="s">
        <v>11</v>
      </c>
      <c r="C1769" s="32"/>
      <c r="D1769" s="32"/>
      <c r="E1769" s="19" t="n">
        <f aca="false">+IF(C1769="EQUIPO",F1769,0)</f>
        <v>0</v>
      </c>
      <c r="F1769" s="33" t="n">
        <v>0</v>
      </c>
      <c r="G1769" s="35" t="n">
        <v>0</v>
      </c>
      <c r="H1769" s="34" t="n">
        <f aca="false">+IF(E1769=0,0,E1769*0.03)</f>
        <v>0</v>
      </c>
    </row>
    <row r="1770" customFormat="false" ht="15.75" hidden="false" customHeight="true" outlineLevel="0" collapsed="false">
      <c r="A1770" s="30" t="n">
        <v>0</v>
      </c>
      <c r="B1770" s="31" t="s">
        <v>11</v>
      </c>
      <c r="C1770" s="32"/>
      <c r="D1770" s="32"/>
      <c r="E1770" s="19" t="n">
        <f aca="false">+IF(C1770="EQUIPO",F1770,0)</f>
        <v>0</v>
      </c>
      <c r="F1770" s="33" t="n">
        <v>0</v>
      </c>
      <c r="G1770" s="35" t="n">
        <v>0</v>
      </c>
      <c r="H1770" s="34" t="n">
        <f aca="false">+IF(E1770=0,0,E1770*0.03)</f>
        <v>0</v>
      </c>
    </row>
    <row r="1771" customFormat="false" ht="15.75" hidden="false" customHeight="true" outlineLevel="0" collapsed="false">
      <c r="A1771" s="30" t="n">
        <v>0</v>
      </c>
      <c r="B1771" s="31" t="s">
        <v>11</v>
      </c>
      <c r="C1771" s="32"/>
      <c r="D1771" s="32"/>
      <c r="E1771" s="19" t="n">
        <f aca="false">+IF(C1771="EQUIPO",F1771,0)</f>
        <v>0</v>
      </c>
      <c r="F1771" s="33" t="n">
        <v>0</v>
      </c>
      <c r="G1771" s="35" t="n">
        <v>0</v>
      </c>
      <c r="H1771" s="34" t="n">
        <f aca="false">+IF(E1771=0,0,E1771*0.03)</f>
        <v>0</v>
      </c>
    </row>
    <row r="1772" customFormat="false" ht="15.75" hidden="false" customHeight="true" outlineLevel="0" collapsed="false">
      <c r="A1772" s="30" t="n">
        <v>0</v>
      </c>
      <c r="B1772" s="31" t="s">
        <v>11</v>
      </c>
      <c r="C1772" s="32"/>
      <c r="D1772" s="32"/>
      <c r="E1772" s="19" t="n">
        <f aca="false">+IF(C1772="EQUIPO",F1772,0)</f>
        <v>0</v>
      </c>
      <c r="F1772" s="33" t="n">
        <v>0</v>
      </c>
      <c r="G1772" s="35" t="n">
        <v>0</v>
      </c>
      <c r="H1772" s="34" t="n">
        <f aca="false">+IF(E1772=0,0,E1772*0.03)</f>
        <v>0</v>
      </c>
    </row>
    <row r="1773" customFormat="false" ht="15.75" hidden="false" customHeight="true" outlineLevel="0" collapsed="false">
      <c r="A1773" s="30" t="n">
        <v>0</v>
      </c>
      <c r="B1773" s="31" t="s">
        <v>11</v>
      </c>
      <c r="C1773" s="32"/>
      <c r="D1773" s="32"/>
      <c r="E1773" s="19" t="n">
        <f aca="false">+IF(C1773="EQUIPO",F1773,0)</f>
        <v>0</v>
      </c>
      <c r="F1773" s="33" t="n">
        <v>0</v>
      </c>
      <c r="G1773" s="35" t="n">
        <v>0</v>
      </c>
      <c r="H1773" s="34" t="n">
        <f aca="false">+IF(E1773=0,0,E1773*0.03)</f>
        <v>0</v>
      </c>
    </row>
    <row r="1774" customFormat="false" ht="15.75" hidden="false" customHeight="true" outlineLevel="0" collapsed="false">
      <c r="A1774" s="30" t="n">
        <v>0</v>
      </c>
      <c r="B1774" s="31" t="s">
        <v>11</v>
      </c>
      <c r="C1774" s="32"/>
      <c r="D1774" s="32"/>
      <c r="E1774" s="19" t="n">
        <f aca="false">+IF(C1774="EQUIPO",F1774,0)</f>
        <v>0</v>
      </c>
      <c r="F1774" s="33" t="n">
        <v>0</v>
      </c>
      <c r="G1774" s="35" t="n">
        <v>0</v>
      </c>
      <c r="H1774" s="34" t="n">
        <f aca="false">+IF(E1774=0,0,E1774*0.03)</f>
        <v>0</v>
      </c>
    </row>
    <row r="1775" customFormat="false" ht="15.75" hidden="false" customHeight="true" outlineLevel="0" collapsed="false">
      <c r="A1775" s="30" t="n">
        <v>0</v>
      </c>
      <c r="B1775" s="31" t="s">
        <v>11</v>
      </c>
      <c r="C1775" s="32"/>
      <c r="D1775" s="32"/>
      <c r="E1775" s="19" t="n">
        <f aca="false">+IF(C1775="EQUIPO",F1775,0)</f>
        <v>0</v>
      </c>
      <c r="F1775" s="33" t="n">
        <v>0</v>
      </c>
      <c r="G1775" s="35" t="n">
        <v>0</v>
      </c>
      <c r="H1775" s="34" t="n">
        <f aca="false">+IF(E1775=0,0,E1775*0.03)</f>
        <v>0</v>
      </c>
    </row>
    <row r="1776" customFormat="false" ht="15.75" hidden="false" customHeight="true" outlineLevel="0" collapsed="false">
      <c r="A1776" s="30" t="n">
        <v>0</v>
      </c>
      <c r="B1776" s="31" t="s">
        <v>11</v>
      </c>
      <c r="C1776" s="32"/>
      <c r="D1776" s="32"/>
      <c r="E1776" s="19" t="n">
        <f aca="false">+IF(C1776="EQUIPO",F1776,0)</f>
        <v>0</v>
      </c>
      <c r="F1776" s="33" t="n">
        <v>0</v>
      </c>
      <c r="G1776" s="35" t="n">
        <v>0</v>
      </c>
      <c r="H1776" s="34" t="n">
        <f aca="false">+IF(E1776=0,0,E1776*0.03)</f>
        <v>0</v>
      </c>
    </row>
    <row r="1777" customFormat="false" ht="15.75" hidden="false" customHeight="true" outlineLevel="0" collapsed="false">
      <c r="A1777" s="30" t="n">
        <v>0</v>
      </c>
      <c r="B1777" s="31" t="s">
        <v>11</v>
      </c>
      <c r="C1777" s="32"/>
      <c r="D1777" s="32"/>
      <c r="E1777" s="19" t="n">
        <f aca="false">+IF(C1777="EQUIPO",F1777,0)</f>
        <v>0</v>
      </c>
      <c r="F1777" s="33" t="n">
        <v>0</v>
      </c>
      <c r="G1777" s="35" t="n">
        <v>0</v>
      </c>
      <c r="H1777" s="34" t="n">
        <f aca="false">+IF(E1777=0,0,E1777*0.03)</f>
        <v>0</v>
      </c>
    </row>
    <row r="1778" customFormat="false" ht="15.75" hidden="false" customHeight="true" outlineLevel="0" collapsed="false">
      <c r="A1778" s="30" t="n">
        <v>0</v>
      </c>
      <c r="B1778" s="31" t="s">
        <v>11</v>
      </c>
      <c r="C1778" s="32"/>
      <c r="D1778" s="32"/>
      <c r="E1778" s="19" t="n">
        <f aca="false">+IF(C1778="EQUIPO",F1778,0)</f>
        <v>0</v>
      </c>
      <c r="F1778" s="33" t="n">
        <v>0</v>
      </c>
      <c r="G1778" s="35" t="n">
        <v>0</v>
      </c>
      <c r="H1778" s="34" t="n">
        <f aca="false">+IF(E1778=0,0,E1778*0.03)</f>
        <v>0</v>
      </c>
    </row>
    <row r="1779" customFormat="false" ht="15.75" hidden="false" customHeight="true" outlineLevel="0" collapsed="false">
      <c r="A1779" s="30" t="n">
        <v>0</v>
      </c>
      <c r="B1779" s="31" t="s">
        <v>11</v>
      </c>
      <c r="C1779" s="32"/>
      <c r="D1779" s="32"/>
      <c r="E1779" s="19" t="n">
        <f aca="false">+IF(C1779="EQUIPO",F1779,0)</f>
        <v>0</v>
      </c>
      <c r="F1779" s="33" t="n">
        <v>0</v>
      </c>
      <c r="G1779" s="35" t="n">
        <v>0</v>
      </c>
      <c r="H1779" s="34" t="n">
        <f aca="false">+IF(E1779=0,0,E1779*0.03)</f>
        <v>0</v>
      </c>
    </row>
    <row r="1780" customFormat="false" ht="15.75" hidden="false" customHeight="true" outlineLevel="0" collapsed="false">
      <c r="A1780" s="30" t="n">
        <v>0</v>
      </c>
      <c r="B1780" s="31" t="s">
        <v>11</v>
      </c>
      <c r="C1780" s="32"/>
      <c r="D1780" s="32"/>
      <c r="E1780" s="19" t="n">
        <f aca="false">+IF(C1780="EQUIPO",F1780,0)</f>
        <v>0</v>
      </c>
      <c r="F1780" s="33" t="n">
        <v>0</v>
      </c>
      <c r="G1780" s="35" t="n">
        <v>0</v>
      </c>
      <c r="H1780" s="34" t="n">
        <f aca="false">+IF(E1780=0,0,E1780*0.03)</f>
        <v>0</v>
      </c>
    </row>
    <row r="1781" customFormat="false" ht="15.75" hidden="false" customHeight="true" outlineLevel="0" collapsed="false">
      <c r="A1781" s="30" t="n">
        <v>0</v>
      </c>
      <c r="B1781" s="31" t="s">
        <v>11</v>
      </c>
      <c r="C1781" s="32"/>
      <c r="D1781" s="32"/>
      <c r="E1781" s="19" t="n">
        <f aca="false">+IF(C1781="EQUIPO",F1781,0)</f>
        <v>0</v>
      </c>
      <c r="F1781" s="33" t="n">
        <v>0</v>
      </c>
      <c r="G1781" s="35" t="n">
        <v>0</v>
      </c>
      <c r="H1781" s="34" t="n">
        <f aca="false">+IF(E1781=0,0,E1781*0.03)</f>
        <v>0</v>
      </c>
    </row>
    <row r="1782" customFormat="false" ht="15.75" hidden="false" customHeight="true" outlineLevel="0" collapsed="false">
      <c r="A1782" s="30" t="n">
        <v>0</v>
      </c>
      <c r="B1782" s="31" t="s">
        <v>11</v>
      </c>
      <c r="C1782" s="32"/>
      <c r="D1782" s="32"/>
      <c r="E1782" s="19" t="n">
        <f aca="false">+IF(C1782="EQUIPO",F1782,0)</f>
        <v>0</v>
      </c>
      <c r="F1782" s="33" t="n">
        <v>0</v>
      </c>
      <c r="G1782" s="35" t="n">
        <v>0</v>
      </c>
      <c r="H1782" s="34" t="n">
        <f aca="false">+IF(E1782=0,0,E1782*0.03)</f>
        <v>0</v>
      </c>
    </row>
    <row r="1783" customFormat="false" ht="15.75" hidden="false" customHeight="true" outlineLevel="0" collapsed="false">
      <c r="A1783" s="30" t="n">
        <v>0</v>
      </c>
      <c r="B1783" s="31" t="s">
        <v>11</v>
      </c>
      <c r="C1783" s="32"/>
      <c r="D1783" s="32"/>
      <c r="E1783" s="19" t="n">
        <f aca="false">+IF(C1783="EQUIPO",F1783,0)</f>
        <v>0</v>
      </c>
      <c r="F1783" s="33" t="n">
        <v>0</v>
      </c>
      <c r="G1783" s="35" t="n">
        <v>0</v>
      </c>
      <c r="H1783" s="34" t="n">
        <f aca="false">+IF(E1783=0,0,E1783*0.03)</f>
        <v>0</v>
      </c>
    </row>
    <row r="1784" customFormat="false" ht="15.75" hidden="false" customHeight="true" outlineLevel="0" collapsed="false">
      <c r="A1784" s="30" t="n">
        <v>0</v>
      </c>
      <c r="B1784" s="31" t="s">
        <v>11</v>
      </c>
      <c r="C1784" s="32"/>
      <c r="D1784" s="32"/>
      <c r="E1784" s="19" t="n">
        <f aca="false">+IF(C1784="EQUIPO",F1784,0)</f>
        <v>0</v>
      </c>
      <c r="F1784" s="33" t="n">
        <v>0</v>
      </c>
      <c r="G1784" s="35" t="n">
        <v>0</v>
      </c>
      <c r="H1784" s="34" t="n">
        <f aca="false">+IF(E1784=0,0,E1784*0.03)</f>
        <v>0</v>
      </c>
    </row>
    <row r="1785" customFormat="false" ht="15.75" hidden="false" customHeight="true" outlineLevel="0" collapsed="false">
      <c r="A1785" s="30" t="n">
        <v>0</v>
      </c>
      <c r="B1785" s="31" t="s">
        <v>11</v>
      </c>
      <c r="C1785" s="32"/>
      <c r="D1785" s="32"/>
      <c r="E1785" s="19" t="n">
        <f aca="false">+IF(C1785="EQUIPO",F1785,0)</f>
        <v>0</v>
      </c>
      <c r="F1785" s="33" t="n">
        <v>0</v>
      </c>
      <c r="G1785" s="35" t="n">
        <v>0</v>
      </c>
      <c r="H1785" s="34" t="n">
        <f aca="false">+IF(E1785=0,0,E1785*0.03)</f>
        <v>0</v>
      </c>
    </row>
    <row r="1786" customFormat="false" ht="15.75" hidden="false" customHeight="true" outlineLevel="0" collapsed="false">
      <c r="A1786" s="30" t="n">
        <v>0</v>
      </c>
      <c r="B1786" s="31" t="s">
        <v>11</v>
      </c>
      <c r="C1786" s="32"/>
      <c r="D1786" s="32"/>
      <c r="E1786" s="19" t="n">
        <f aca="false">+IF(C1786="EQUIPO",F1786,0)</f>
        <v>0</v>
      </c>
      <c r="F1786" s="33" t="n">
        <v>0</v>
      </c>
      <c r="G1786" s="35" t="n">
        <v>0</v>
      </c>
      <c r="H1786" s="34" t="n">
        <f aca="false">+IF(E1786=0,0,E1786*0.03)</f>
        <v>0</v>
      </c>
    </row>
    <row r="1787" customFormat="false" ht="15.75" hidden="false" customHeight="true" outlineLevel="0" collapsed="false">
      <c r="A1787" s="30" t="n">
        <v>0</v>
      </c>
      <c r="B1787" s="31" t="s">
        <v>11</v>
      </c>
      <c r="C1787" s="32"/>
      <c r="D1787" s="32"/>
      <c r="E1787" s="19" t="n">
        <f aca="false">+IF(C1787="EQUIPO",F1787,0)</f>
        <v>0</v>
      </c>
      <c r="F1787" s="33" t="n">
        <v>0</v>
      </c>
      <c r="G1787" s="35" t="n">
        <v>0</v>
      </c>
      <c r="H1787" s="34" t="n">
        <f aca="false">+IF(E1787=0,0,E1787*0.03)</f>
        <v>0</v>
      </c>
    </row>
    <row r="1788" customFormat="false" ht="15.75" hidden="false" customHeight="true" outlineLevel="0" collapsed="false">
      <c r="A1788" s="30" t="n">
        <v>0</v>
      </c>
      <c r="B1788" s="31" t="s">
        <v>11</v>
      </c>
      <c r="C1788" s="32"/>
      <c r="D1788" s="32"/>
      <c r="E1788" s="19" t="n">
        <f aca="false">+IF(C1788="EQUIPO",F1788,0)</f>
        <v>0</v>
      </c>
      <c r="F1788" s="33" t="n">
        <v>0</v>
      </c>
      <c r="G1788" s="35" t="n">
        <v>0</v>
      </c>
      <c r="H1788" s="34" t="n">
        <f aca="false">+IF(E1788=0,0,E1788*0.03)</f>
        <v>0</v>
      </c>
    </row>
    <row r="1789" customFormat="false" ht="15.75" hidden="false" customHeight="true" outlineLevel="0" collapsed="false">
      <c r="A1789" s="30" t="n">
        <v>0</v>
      </c>
      <c r="B1789" s="31" t="s">
        <v>11</v>
      </c>
      <c r="C1789" s="32"/>
      <c r="D1789" s="32"/>
      <c r="E1789" s="19" t="n">
        <f aca="false">+IF(C1789="EQUIPO",F1789,0)</f>
        <v>0</v>
      </c>
      <c r="F1789" s="33" t="n">
        <v>0</v>
      </c>
      <c r="G1789" s="35" t="n">
        <v>0</v>
      </c>
      <c r="H1789" s="34" t="n">
        <f aca="false">+IF(E1789=0,0,E1789*0.03)</f>
        <v>0</v>
      </c>
    </row>
    <row r="1790" customFormat="false" ht="15.75" hidden="false" customHeight="true" outlineLevel="0" collapsed="false">
      <c r="A1790" s="30" t="n">
        <v>0</v>
      </c>
      <c r="B1790" s="31" t="s">
        <v>11</v>
      </c>
      <c r="C1790" s="32"/>
      <c r="D1790" s="32"/>
      <c r="E1790" s="19" t="n">
        <f aca="false">+IF(C1790="EQUIPO",F1790,0)</f>
        <v>0</v>
      </c>
      <c r="F1790" s="33" t="n">
        <v>0</v>
      </c>
      <c r="G1790" s="35" t="n">
        <v>0</v>
      </c>
      <c r="H1790" s="34" t="n">
        <f aca="false">+IF(E1790=0,0,E1790*0.03)</f>
        <v>0</v>
      </c>
    </row>
    <row r="1791" customFormat="false" ht="15.75" hidden="false" customHeight="true" outlineLevel="0" collapsed="false">
      <c r="A1791" s="30" t="n">
        <v>0</v>
      </c>
      <c r="B1791" s="31" t="s">
        <v>11</v>
      </c>
      <c r="C1791" s="32"/>
      <c r="D1791" s="32"/>
      <c r="E1791" s="19" t="n">
        <f aca="false">+IF(C1791="EQUIPO",F1791,0)</f>
        <v>0</v>
      </c>
      <c r="F1791" s="33" t="n">
        <v>0</v>
      </c>
      <c r="G1791" s="35" t="n">
        <v>0</v>
      </c>
      <c r="H1791" s="34" t="n">
        <f aca="false">+IF(E1791=0,0,E1791*0.03)</f>
        <v>0</v>
      </c>
    </row>
    <row r="1792" customFormat="false" ht="15.75" hidden="false" customHeight="true" outlineLevel="0" collapsed="false">
      <c r="A1792" s="30" t="n">
        <v>0</v>
      </c>
      <c r="B1792" s="31" t="s">
        <v>11</v>
      </c>
      <c r="C1792" s="32"/>
      <c r="D1792" s="32"/>
      <c r="E1792" s="19" t="n">
        <f aca="false">+IF(C1792="EQUIPO",F1792,0)</f>
        <v>0</v>
      </c>
      <c r="F1792" s="33" t="n">
        <v>0</v>
      </c>
      <c r="G1792" s="35" t="n">
        <v>0</v>
      </c>
      <c r="H1792" s="34" t="n">
        <f aca="false">+IF(E1792=0,0,E1792*0.03)</f>
        <v>0</v>
      </c>
    </row>
    <row r="1793" customFormat="false" ht="15.75" hidden="false" customHeight="true" outlineLevel="0" collapsed="false">
      <c r="A1793" s="30" t="n">
        <v>0</v>
      </c>
      <c r="B1793" s="31" t="s">
        <v>11</v>
      </c>
      <c r="C1793" s="32"/>
      <c r="D1793" s="32"/>
      <c r="E1793" s="19" t="n">
        <f aca="false">+IF(C1793="EQUIPO",F1793,0)</f>
        <v>0</v>
      </c>
      <c r="F1793" s="33" t="n">
        <v>0</v>
      </c>
      <c r="G1793" s="35" t="n">
        <v>0</v>
      </c>
      <c r="H1793" s="34" t="n">
        <f aca="false">+IF(E1793=0,0,E1793*0.03)</f>
        <v>0</v>
      </c>
    </row>
    <row r="1794" customFormat="false" ht="15.75" hidden="false" customHeight="true" outlineLevel="0" collapsed="false">
      <c r="A1794" s="30" t="n">
        <v>0</v>
      </c>
      <c r="B1794" s="31" t="s">
        <v>11</v>
      </c>
      <c r="C1794" s="32"/>
      <c r="D1794" s="32"/>
      <c r="E1794" s="19" t="n">
        <f aca="false">+IF(C1794="EQUIPO",F1794,0)</f>
        <v>0</v>
      </c>
      <c r="F1794" s="33" t="n">
        <v>0</v>
      </c>
      <c r="G1794" s="35" t="n">
        <v>0</v>
      </c>
      <c r="H1794" s="34" t="n">
        <f aca="false">+IF(E1794=0,0,E1794*0.03)</f>
        <v>0</v>
      </c>
    </row>
    <row r="1795" customFormat="false" ht="15.75" hidden="false" customHeight="true" outlineLevel="0" collapsed="false">
      <c r="A1795" s="30" t="n">
        <v>0</v>
      </c>
      <c r="B1795" s="31" t="s">
        <v>11</v>
      </c>
      <c r="C1795" s="32"/>
      <c r="D1795" s="32"/>
      <c r="E1795" s="19" t="n">
        <f aca="false">+IF(C1795="EQUIPO",F1795,0)</f>
        <v>0</v>
      </c>
      <c r="F1795" s="33" t="n">
        <v>0</v>
      </c>
      <c r="G1795" s="35" t="n">
        <v>0</v>
      </c>
      <c r="H1795" s="34" t="n">
        <f aca="false">+IF(E1795=0,0,E1795*0.03)</f>
        <v>0</v>
      </c>
    </row>
    <row r="1796" customFormat="false" ht="15.75" hidden="false" customHeight="true" outlineLevel="0" collapsed="false">
      <c r="A1796" s="30" t="n">
        <v>0</v>
      </c>
      <c r="B1796" s="31" t="s">
        <v>11</v>
      </c>
      <c r="C1796" s="32"/>
      <c r="D1796" s="32"/>
      <c r="E1796" s="19" t="n">
        <f aca="false">+IF(C1796="EQUIPO",F1796,0)</f>
        <v>0</v>
      </c>
      <c r="F1796" s="33" t="n">
        <v>0</v>
      </c>
      <c r="G1796" s="35" t="n">
        <v>0</v>
      </c>
      <c r="H1796" s="34" t="n">
        <f aca="false">+IF(E1796=0,0,E1796*0.03)</f>
        <v>0</v>
      </c>
    </row>
    <row r="1797" customFormat="false" ht="15.75" hidden="false" customHeight="true" outlineLevel="0" collapsed="false">
      <c r="A1797" s="30" t="n">
        <v>0</v>
      </c>
      <c r="B1797" s="31" t="s">
        <v>11</v>
      </c>
      <c r="C1797" s="32"/>
      <c r="D1797" s="32"/>
      <c r="E1797" s="19" t="n">
        <f aca="false">+IF(C1797="EQUIPO",F1797,0)</f>
        <v>0</v>
      </c>
      <c r="F1797" s="33" t="n">
        <v>0</v>
      </c>
      <c r="G1797" s="35" t="n">
        <v>0</v>
      </c>
      <c r="H1797" s="34" t="n">
        <f aca="false">+IF(E1797=0,0,E1797*0.03)</f>
        <v>0</v>
      </c>
    </row>
    <row r="1798" customFormat="false" ht="15.75" hidden="false" customHeight="true" outlineLevel="0" collapsed="false">
      <c r="A1798" s="30" t="n">
        <v>0</v>
      </c>
      <c r="B1798" s="31" t="s">
        <v>11</v>
      </c>
      <c r="C1798" s="32"/>
      <c r="D1798" s="32"/>
      <c r="E1798" s="19" t="n">
        <f aca="false">+IF(C1798="EQUIPO",F1798,0)</f>
        <v>0</v>
      </c>
      <c r="F1798" s="33" t="n">
        <v>0</v>
      </c>
      <c r="G1798" s="35" t="n">
        <v>0</v>
      </c>
      <c r="H1798" s="34" t="n">
        <f aca="false">+IF(E1798=0,0,E1798*0.03)</f>
        <v>0</v>
      </c>
    </row>
    <row r="1799" customFormat="false" ht="15.75" hidden="false" customHeight="true" outlineLevel="0" collapsed="false">
      <c r="A1799" s="30" t="n">
        <v>0</v>
      </c>
      <c r="B1799" s="31" t="s">
        <v>11</v>
      </c>
      <c r="C1799" s="32"/>
      <c r="D1799" s="32"/>
      <c r="E1799" s="19" t="n">
        <f aca="false">+IF(C1799="EQUIPO",F1799,0)</f>
        <v>0</v>
      </c>
      <c r="F1799" s="33" t="n">
        <v>0</v>
      </c>
      <c r="G1799" s="35" t="n">
        <v>0</v>
      </c>
      <c r="H1799" s="34" t="n">
        <f aca="false">+IF(E1799=0,0,E1799*0.03)</f>
        <v>0</v>
      </c>
    </row>
    <row r="1800" customFormat="false" ht="15.75" hidden="false" customHeight="true" outlineLevel="0" collapsed="false">
      <c r="A1800" s="30" t="n">
        <v>0</v>
      </c>
      <c r="B1800" s="31" t="s">
        <v>11</v>
      </c>
      <c r="C1800" s="32"/>
      <c r="D1800" s="32"/>
      <c r="E1800" s="19" t="n">
        <f aca="false">+IF(C1800="EQUIPO",F1800,0)</f>
        <v>0</v>
      </c>
      <c r="F1800" s="33" t="n">
        <v>0</v>
      </c>
      <c r="G1800" s="35" t="n">
        <v>0</v>
      </c>
      <c r="H1800" s="34" t="n">
        <f aca="false">+IF(E1800=0,0,E1800*0.03)</f>
        <v>0</v>
      </c>
    </row>
    <row r="1801" customFormat="false" ht="15.75" hidden="false" customHeight="true" outlineLevel="0" collapsed="false">
      <c r="A1801" s="30" t="n">
        <v>0</v>
      </c>
      <c r="B1801" s="31" t="s">
        <v>11</v>
      </c>
      <c r="C1801" s="32"/>
      <c r="D1801" s="32"/>
      <c r="E1801" s="19" t="n">
        <f aca="false">+IF(C1801="EQUIPO",F1801,0)</f>
        <v>0</v>
      </c>
      <c r="F1801" s="33" t="n">
        <v>0</v>
      </c>
      <c r="G1801" s="35" t="n">
        <v>0</v>
      </c>
      <c r="H1801" s="34" t="n">
        <f aca="false">+IF(E1801=0,0,E1801*0.03)</f>
        <v>0</v>
      </c>
    </row>
    <row r="1802" customFormat="false" ht="15.75" hidden="false" customHeight="true" outlineLevel="0" collapsed="false">
      <c r="A1802" s="30" t="n">
        <v>0</v>
      </c>
      <c r="B1802" s="31" t="s">
        <v>11</v>
      </c>
      <c r="C1802" s="32"/>
      <c r="D1802" s="32"/>
      <c r="E1802" s="19" t="n">
        <f aca="false">+IF(C1802="EQUIPO",F1802,0)</f>
        <v>0</v>
      </c>
      <c r="F1802" s="33" t="n">
        <v>0</v>
      </c>
      <c r="G1802" s="35" t="n">
        <v>0</v>
      </c>
      <c r="H1802" s="34" t="n">
        <f aca="false">+IF(E1802=0,0,E1802*0.03)</f>
        <v>0</v>
      </c>
    </row>
    <row r="1803" customFormat="false" ht="15.75" hidden="false" customHeight="true" outlineLevel="0" collapsed="false">
      <c r="A1803" s="30" t="n">
        <v>0</v>
      </c>
      <c r="B1803" s="31" t="s">
        <v>11</v>
      </c>
      <c r="C1803" s="32"/>
      <c r="D1803" s="32"/>
      <c r="E1803" s="19" t="n">
        <f aca="false">+IF(C1803="EQUIPO",F1803,0)</f>
        <v>0</v>
      </c>
      <c r="F1803" s="33" t="n">
        <v>0</v>
      </c>
      <c r="G1803" s="35" t="n">
        <v>0</v>
      </c>
      <c r="H1803" s="34" t="n">
        <f aca="false">+IF(E1803=0,0,E1803*0.03)</f>
        <v>0</v>
      </c>
    </row>
    <row r="1804" customFormat="false" ht="15.75" hidden="false" customHeight="true" outlineLevel="0" collapsed="false">
      <c r="A1804" s="30" t="n">
        <v>0</v>
      </c>
      <c r="B1804" s="31" t="s">
        <v>11</v>
      </c>
      <c r="C1804" s="32"/>
      <c r="D1804" s="32"/>
      <c r="E1804" s="19" t="n">
        <f aca="false">+IF(C1804="EQUIPO",F1804,0)</f>
        <v>0</v>
      </c>
      <c r="F1804" s="33" t="n">
        <v>0</v>
      </c>
      <c r="G1804" s="35" t="n">
        <v>0</v>
      </c>
      <c r="H1804" s="34" t="n">
        <f aca="false">+IF(E1804=0,0,E1804*0.03)</f>
        <v>0</v>
      </c>
    </row>
    <row r="1805" customFormat="false" ht="15.75" hidden="false" customHeight="true" outlineLevel="0" collapsed="false">
      <c r="A1805" s="30" t="n">
        <v>0</v>
      </c>
      <c r="B1805" s="31" t="s">
        <v>11</v>
      </c>
      <c r="C1805" s="32"/>
      <c r="D1805" s="32"/>
      <c r="E1805" s="19" t="n">
        <f aca="false">+IF(C1805="EQUIPO",F1805,0)</f>
        <v>0</v>
      </c>
      <c r="F1805" s="33" t="n">
        <v>0</v>
      </c>
      <c r="G1805" s="35" t="n">
        <v>0</v>
      </c>
      <c r="H1805" s="34" t="n">
        <f aca="false">+IF(E1805=0,0,E1805*0.03)</f>
        <v>0</v>
      </c>
    </row>
    <row r="1806" customFormat="false" ht="15.75" hidden="false" customHeight="true" outlineLevel="0" collapsed="false">
      <c r="A1806" s="30" t="n">
        <v>0</v>
      </c>
      <c r="B1806" s="31" t="s">
        <v>11</v>
      </c>
      <c r="C1806" s="32"/>
      <c r="D1806" s="32"/>
      <c r="E1806" s="19" t="n">
        <f aca="false">+IF(C1806="EQUIPO",F1806,0)</f>
        <v>0</v>
      </c>
      <c r="F1806" s="33" t="n">
        <v>0</v>
      </c>
      <c r="G1806" s="35" t="n">
        <v>0</v>
      </c>
      <c r="H1806" s="34" t="n">
        <f aca="false">+IF(E1806=0,0,E1806*0.03)</f>
        <v>0</v>
      </c>
    </row>
    <row r="1807" customFormat="false" ht="15.75" hidden="false" customHeight="true" outlineLevel="0" collapsed="false">
      <c r="A1807" s="30" t="n">
        <v>0</v>
      </c>
      <c r="B1807" s="31" t="s">
        <v>11</v>
      </c>
      <c r="C1807" s="32"/>
      <c r="D1807" s="32"/>
      <c r="E1807" s="19" t="n">
        <f aca="false">+IF(C1807="EQUIPO",F1807,0)</f>
        <v>0</v>
      </c>
      <c r="F1807" s="33" t="n">
        <v>0</v>
      </c>
      <c r="G1807" s="35" t="n">
        <v>0</v>
      </c>
      <c r="H1807" s="34" t="n">
        <f aca="false">+IF(E1807=0,0,E1807*0.03)</f>
        <v>0</v>
      </c>
    </row>
    <row r="1808" customFormat="false" ht="15.75" hidden="false" customHeight="true" outlineLevel="0" collapsed="false">
      <c r="A1808" s="30" t="n">
        <v>0</v>
      </c>
      <c r="B1808" s="31" t="s">
        <v>11</v>
      </c>
      <c r="C1808" s="32"/>
      <c r="D1808" s="32"/>
      <c r="E1808" s="19" t="n">
        <f aca="false">+IF(C1808="EQUIPO",F1808,0)</f>
        <v>0</v>
      </c>
      <c r="F1808" s="33" t="n">
        <v>0</v>
      </c>
      <c r="G1808" s="35" t="n">
        <v>0</v>
      </c>
      <c r="H1808" s="34" t="n">
        <f aca="false">+IF(E1808=0,0,E1808*0.03)</f>
        <v>0</v>
      </c>
    </row>
    <row r="1809" customFormat="false" ht="15.75" hidden="false" customHeight="true" outlineLevel="0" collapsed="false">
      <c r="A1809" s="30" t="n">
        <v>0</v>
      </c>
      <c r="B1809" s="31" t="s">
        <v>11</v>
      </c>
      <c r="C1809" s="32"/>
      <c r="D1809" s="32"/>
      <c r="E1809" s="19" t="n">
        <f aca="false">+IF(C1809="EQUIPO",F1809,0)</f>
        <v>0</v>
      </c>
      <c r="F1809" s="33" t="n">
        <v>0</v>
      </c>
      <c r="G1809" s="35" t="n">
        <v>0</v>
      </c>
      <c r="H1809" s="34" t="n">
        <f aca="false">+IF(E1809=0,0,E1809*0.03)</f>
        <v>0</v>
      </c>
    </row>
    <row r="1810" customFormat="false" ht="15.75" hidden="false" customHeight="true" outlineLevel="0" collapsed="false">
      <c r="A1810" s="30" t="n">
        <v>0</v>
      </c>
      <c r="B1810" s="31" t="s">
        <v>11</v>
      </c>
      <c r="C1810" s="32"/>
      <c r="D1810" s="32"/>
      <c r="E1810" s="19" t="n">
        <f aca="false">+IF(C1810="EQUIPO",F1810,0)</f>
        <v>0</v>
      </c>
      <c r="F1810" s="33" t="n">
        <v>0</v>
      </c>
      <c r="G1810" s="35" t="n">
        <v>0</v>
      </c>
      <c r="H1810" s="34" t="n">
        <f aca="false">+IF(E1810=0,0,E1810*0.03)</f>
        <v>0</v>
      </c>
    </row>
    <row r="1811" customFormat="false" ht="15.75" hidden="false" customHeight="true" outlineLevel="0" collapsed="false">
      <c r="A1811" s="30" t="n">
        <v>0</v>
      </c>
      <c r="B1811" s="31" t="s">
        <v>11</v>
      </c>
      <c r="C1811" s="32"/>
      <c r="D1811" s="32"/>
      <c r="E1811" s="19" t="n">
        <f aca="false">+IF(C1811="EQUIPO",F1811,0)</f>
        <v>0</v>
      </c>
      <c r="F1811" s="33" t="n">
        <v>0</v>
      </c>
      <c r="G1811" s="35" t="n">
        <v>0</v>
      </c>
      <c r="H1811" s="34" t="n">
        <f aca="false">+IF(E1811=0,0,E1811*0.03)</f>
        <v>0</v>
      </c>
    </row>
    <row r="1812" customFormat="false" ht="15.75" hidden="false" customHeight="true" outlineLevel="0" collapsed="false">
      <c r="A1812" s="30" t="n">
        <v>0</v>
      </c>
      <c r="B1812" s="31" t="s">
        <v>11</v>
      </c>
      <c r="C1812" s="32"/>
      <c r="D1812" s="32"/>
      <c r="E1812" s="19" t="n">
        <f aca="false">+IF(C1812="EQUIPO",F1812,0)</f>
        <v>0</v>
      </c>
      <c r="F1812" s="33" t="n">
        <v>0</v>
      </c>
      <c r="G1812" s="35" t="n">
        <v>0</v>
      </c>
      <c r="H1812" s="34" t="n">
        <f aca="false">+IF(E1812=0,0,E1812*0.03)</f>
        <v>0</v>
      </c>
    </row>
    <row r="1813" customFormat="false" ht="15.75" hidden="false" customHeight="true" outlineLevel="0" collapsed="false">
      <c r="A1813" s="30" t="n">
        <v>0</v>
      </c>
      <c r="B1813" s="31" t="s">
        <v>11</v>
      </c>
      <c r="C1813" s="32"/>
      <c r="D1813" s="32"/>
      <c r="E1813" s="19" t="n">
        <f aca="false">+IF(C1813="EQUIPO",F1813,0)</f>
        <v>0</v>
      </c>
      <c r="F1813" s="33" t="n">
        <v>0</v>
      </c>
      <c r="G1813" s="35" t="n">
        <v>0</v>
      </c>
      <c r="H1813" s="34" t="n">
        <f aca="false">+IF(E1813=0,0,E1813*0.03)</f>
        <v>0</v>
      </c>
    </row>
    <row r="1814" customFormat="false" ht="15.75" hidden="false" customHeight="true" outlineLevel="0" collapsed="false">
      <c r="A1814" s="30" t="n">
        <v>0</v>
      </c>
      <c r="B1814" s="31" t="s">
        <v>11</v>
      </c>
      <c r="C1814" s="32"/>
      <c r="D1814" s="32"/>
      <c r="E1814" s="19" t="n">
        <f aca="false">+IF(C1814="EQUIPO",F1814,0)</f>
        <v>0</v>
      </c>
      <c r="F1814" s="33" t="n">
        <v>0</v>
      </c>
      <c r="G1814" s="35" t="n">
        <v>0</v>
      </c>
      <c r="H1814" s="34" t="n">
        <f aca="false">+IF(E1814=0,0,E1814*0.03)</f>
        <v>0</v>
      </c>
    </row>
    <row r="1815" customFormat="false" ht="15.75" hidden="false" customHeight="true" outlineLevel="0" collapsed="false">
      <c r="A1815" s="30" t="n">
        <v>0</v>
      </c>
      <c r="B1815" s="31" t="s">
        <v>11</v>
      </c>
      <c r="C1815" s="32"/>
      <c r="D1815" s="32"/>
      <c r="E1815" s="19" t="n">
        <f aca="false">+IF(C1815="EQUIPO",F1815,0)</f>
        <v>0</v>
      </c>
      <c r="F1815" s="33" t="n">
        <v>0</v>
      </c>
      <c r="G1815" s="35" t="n">
        <v>0</v>
      </c>
      <c r="H1815" s="34" t="n">
        <f aca="false">+IF(E1815=0,0,E1815*0.03)</f>
        <v>0</v>
      </c>
    </row>
    <row r="1816" customFormat="false" ht="15.75" hidden="false" customHeight="true" outlineLevel="0" collapsed="false">
      <c r="A1816" s="30" t="n">
        <v>0</v>
      </c>
      <c r="B1816" s="31" t="s">
        <v>11</v>
      </c>
      <c r="C1816" s="32"/>
      <c r="D1816" s="32"/>
      <c r="E1816" s="19" t="n">
        <f aca="false">+IF(C1816="EQUIPO",F1816,0)</f>
        <v>0</v>
      </c>
      <c r="F1816" s="33" t="n">
        <v>0</v>
      </c>
      <c r="G1816" s="35" t="n">
        <v>0</v>
      </c>
      <c r="H1816" s="34" t="n">
        <f aca="false">+IF(E1816=0,0,E1816*0.03)</f>
        <v>0</v>
      </c>
    </row>
    <row r="1817" customFormat="false" ht="15.75" hidden="false" customHeight="true" outlineLevel="0" collapsed="false">
      <c r="A1817" s="30" t="n">
        <v>0</v>
      </c>
      <c r="B1817" s="31" t="s">
        <v>11</v>
      </c>
      <c r="C1817" s="32"/>
      <c r="D1817" s="32"/>
      <c r="E1817" s="19" t="n">
        <f aca="false">+IF(C1817="EQUIPO",F1817,0)</f>
        <v>0</v>
      </c>
      <c r="F1817" s="33" t="n">
        <v>0</v>
      </c>
      <c r="G1817" s="35" t="n">
        <v>0</v>
      </c>
      <c r="H1817" s="34" t="n">
        <f aca="false">+IF(E1817=0,0,E1817*0.03)</f>
        <v>0</v>
      </c>
    </row>
    <row r="1818" customFormat="false" ht="15.75" hidden="false" customHeight="true" outlineLevel="0" collapsed="false">
      <c r="A1818" s="30" t="n">
        <v>0</v>
      </c>
      <c r="B1818" s="31" t="s">
        <v>11</v>
      </c>
      <c r="C1818" s="32"/>
      <c r="D1818" s="32"/>
      <c r="E1818" s="19" t="n">
        <f aca="false">+IF(C1818="EQUIPO",F1818,0)</f>
        <v>0</v>
      </c>
      <c r="F1818" s="33" t="n">
        <v>0</v>
      </c>
      <c r="G1818" s="35" t="n">
        <v>0</v>
      </c>
      <c r="H1818" s="34" t="n">
        <f aca="false">+IF(E1818=0,0,E1818*0.03)</f>
        <v>0</v>
      </c>
    </row>
    <row r="1819" customFormat="false" ht="15.75" hidden="false" customHeight="true" outlineLevel="0" collapsed="false">
      <c r="A1819" s="30" t="n">
        <v>0</v>
      </c>
      <c r="B1819" s="31" t="s">
        <v>11</v>
      </c>
      <c r="C1819" s="32"/>
      <c r="D1819" s="32"/>
      <c r="E1819" s="19" t="n">
        <f aca="false">+IF(C1819="EQUIPO",F1819,0)</f>
        <v>0</v>
      </c>
      <c r="F1819" s="33" t="n">
        <v>0</v>
      </c>
      <c r="G1819" s="35" t="n">
        <v>0</v>
      </c>
      <c r="H1819" s="34" t="n">
        <f aca="false">+IF(E1819=0,0,E1819*0.03)</f>
        <v>0</v>
      </c>
    </row>
    <row r="1820" customFormat="false" ht="15.75" hidden="false" customHeight="true" outlineLevel="0" collapsed="false">
      <c r="A1820" s="30" t="n">
        <v>0</v>
      </c>
      <c r="B1820" s="31" t="s">
        <v>11</v>
      </c>
      <c r="C1820" s="32"/>
      <c r="D1820" s="32"/>
      <c r="E1820" s="19" t="n">
        <f aca="false">+IF(C1820="EQUIPO",F1820,0)</f>
        <v>0</v>
      </c>
      <c r="F1820" s="33" t="n">
        <v>0</v>
      </c>
      <c r="G1820" s="35" t="n">
        <v>0</v>
      </c>
      <c r="H1820" s="34" t="n">
        <f aca="false">+IF(E1820=0,0,E1820*0.03)</f>
        <v>0</v>
      </c>
    </row>
    <row r="1821" customFormat="false" ht="15.75" hidden="false" customHeight="true" outlineLevel="0" collapsed="false">
      <c r="A1821" s="30" t="n">
        <v>0</v>
      </c>
      <c r="B1821" s="31" t="s">
        <v>11</v>
      </c>
      <c r="C1821" s="32"/>
      <c r="D1821" s="32"/>
      <c r="E1821" s="19" t="n">
        <f aca="false">+IF(C1821="EQUIPO",F1821,0)</f>
        <v>0</v>
      </c>
      <c r="F1821" s="33" t="n">
        <v>0</v>
      </c>
      <c r="G1821" s="35" t="n">
        <v>0</v>
      </c>
      <c r="H1821" s="34" t="n">
        <f aca="false">+IF(E1821=0,0,E1821*0.03)</f>
        <v>0</v>
      </c>
    </row>
    <row r="1822" customFormat="false" ht="15.75" hidden="false" customHeight="true" outlineLevel="0" collapsed="false">
      <c r="A1822" s="30" t="n">
        <v>0</v>
      </c>
      <c r="B1822" s="31" t="s">
        <v>11</v>
      </c>
      <c r="C1822" s="32"/>
      <c r="D1822" s="32"/>
      <c r="E1822" s="19" t="n">
        <f aca="false">+IF(C1822="EQUIPO",F1822,0)</f>
        <v>0</v>
      </c>
      <c r="F1822" s="33" t="n">
        <v>0</v>
      </c>
      <c r="G1822" s="35" t="n">
        <v>0</v>
      </c>
      <c r="H1822" s="34" t="n">
        <f aca="false">+IF(E1822=0,0,E1822*0.03)</f>
        <v>0</v>
      </c>
    </row>
    <row r="1823" customFormat="false" ht="15.75" hidden="false" customHeight="true" outlineLevel="0" collapsed="false">
      <c r="A1823" s="30" t="n">
        <v>0</v>
      </c>
      <c r="B1823" s="31" t="s">
        <v>11</v>
      </c>
      <c r="C1823" s="32"/>
      <c r="D1823" s="32"/>
      <c r="E1823" s="19" t="n">
        <f aca="false">+IF(C1823="EQUIPO",F1823,0)</f>
        <v>0</v>
      </c>
      <c r="F1823" s="33" t="n">
        <v>0</v>
      </c>
      <c r="G1823" s="35" t="n">
        <v>0</v>
      </c>
      <c r="H1823" s="34" t="n">
        <f aca="false">+IF(E1823=0,0,E1823*0.03)</f>
        <v>0</v>
      </c>
    </row>
    <row r="1824" customFormat="false" ht="15.75" hidden="false" customHeight="true" outlineLevel="0" collapsed="false">
      <c r="A1824" s="30" t="n">
        <v>0</v>
      </c>
      <c r="B1824" s="31" t="s">
        <v>11</v>
      </c>
      <c r="C1824" s="32"/>
      <c r="D1824" s="32"/>
      <c r="E1824" s="19" t="n">
        <f aca="false">+IF(C1824="EQUIPO",F1824,0)</f>
        <v>0</v>
      </c>
      <c r="F1824" s="33" t="n">
        <v>0</v>
      </c>
      <c r="G1824" s="35" t="n">
        <v>0</v>
      </c>
      <c r="H1824" s="34" t="n">
        <f aca="false">+IF(E1824=0,0,E1824*0.03)</f>
        <v>0</v>
      </c>
    </row>
    <row r="1825" customFormat="false" ht="15.75" hidden="false" customHeight="true" outlineLevel="0" collapsed="false">
      <c r="A1825" s="30" t="n">
        <v>0</v>
      </c>
      <c r="B1825" s="31" t="s">
        <v>11</v>
      </c>
      <c r="C1825" s="32"/>
      <c r="D1825" s="32"/>
      <c r="E1825" s="19" t="n">
        <f aca="false">+IF(C1825="EQUIPO",F1825,0)</f>
        <v>0</v>
      </c>
      <c r="F1825" s="33" t="n">
        <v>0</v>
      </c>
      <c r="G1825" s="35" t="n">
        <v>0</v>
      </c>
      <c r="H1825" s="34" t="n">
        <f aca="false">+IF(E1825=0,0,E1825*0.03)</f>
        <v>0</v>
      </c>
    </row>
    <row r="1826" customFormat="false" ht="15.75" hidden="false" customHeight="true" outlineLevel="0" collapsed="false">
      <c r="A1826" s="30" t="n">
        <v>0</v>
      </c>
      <c r="B1826" s="31" t="s">
        <v>11</v>
      </c>
      <c r="C1826" s="32"/>
      <c r="D1826" s="32"/>
      <c r="E1826" s="19" t="n">
        <f aca="false">+IF(C1826="EQUIPO",F1826,0)</f>
        <v>0</v>
      </c>
      <c r="F1826" s="33" t="n">
        <v>0</v>
      </c>
      <c r="G1826" s="35" t="n">
        <v>0</v>
      </c>
      <c r="H1826" s="34" t="n">
        <f aca="false">+IF(E1826=0,0,E1826*0.03)</f>
        <v>0</v>
      </c>
    </row>
    <row r="1827" customFormat="false" ht="15.75" hidden="false" customHeight="true" outlineLevel="0" collapsed="false">
      <c r="A1827" s="30" t="n">
        <v>0</v>
      </c>
      <c r="B1827" s="31" t="s">
        <v>11</v>
      </c>
      <c r="C1827" s="32"/>
      <c r="D1827" s="32"/>
      <c r="E1827" s="19" t="n">
        <f aca="false">+IF(C1827="EQUIPO",F1827,0)</f>
        <v>0</v>
      </c>
      <c r="F1827" s="33" t="n">
        <v>0</v>
      </c>
      <c r="G1827" s="35" t="n">
        <v>0</v>
      </c>
      <c r="H1827" s="34" t="n">
        <f aca="false">+IF(E1827=0,0,E1827*0.03)</f>
        <v>0</v>
      </c>
    </row>
    <row r="1828" customFormat="false" ht="15.75" hidden="false" customHeight="true" outlineLevel="0" collapsed="false">
      <c r="A1828" s="30" t="n">
        <v>0</v>
      </c>
      <c r="B1828" s="31" t="s">
        <v>11</v>
      </c>
      <c r="C1828" s="32"/>
      <c r="D1828" s="32"/>
      <c r="E1828" s="19" t="n">
        <f aca="false">+IF(C1828="EQUIPO",F1828,0)</f>
        <v>0</v>
      </c>
      <c r="F1828" s="33" t="n">
        <v>0</v>
      </c>
      <c r="G1828" s="35" t="n">
        <v>0</v>
      </c>
      <c r="H1828" s="34" t="n">
        <f aca="false">+IF(E1828=0,0,E1828*0.03)</f>
        <v>0</v>
      </c>
    </row>
    <row r="1829" customFormat="false" ht="15.75" hidden="false" customHeight="true" outlineLevel="0" collapsed="false">
      <c r="A1829" s="30" t="n">
        <v>0</v>
      </c>
      <c r="B1829" s="31" t="s">
        <v>11</v>
      </c>
      <c r="C1829" s="32"/>
      <c r="D1829" s="32"/>
      <c r="E1829" s="19" t="n">
        <f aca="false">+IF(C1829="EQUIPO",F1829,0)</f>
        <v>0</v>
      </c>
      <c r="F1829" s="33" t="n">
        <v>0</v>
      </c>
      <c r="G1829" s="35" t="n">
        <v>0</v>
      </c>
      <c r="H1829" s="34" t="n">
        <f aca="false">+IF(E1829=0,0,E1829*0.03)</f>
        <v>0</v>
      </c>
    </row>
    <row r="1830" customFormat="false" ht="15.75" hidden="false" customHeight="true" outlineLevel="0" collapsed="false">
      <c r="A1830" s="30" t="n">
        <v>0</v>
      </c>
      <c r="B1830" s="31" t="s">
        <v>11</v>
      </c>
      <c r="C1830" s="32"/>
      <c r="D1830" s="32"/>
      <c r="E1830" s="19" t="n">
        <f aca="false">+IF(C1830="EQUIPO",F1830,0)</f>
        <v>0</v>
      </c>
      <c r="F1830" s="33" t="n">
        <v>0</v>
      </c>
      <c r="G1830" s="35" t="n">
        <v>0</v>
      </c>
      <c r="H1830" s="34" t="n">
        <f aca="false">+IF(E1830=0,0,E1830*0.03)</f>
        <v>0</v>
      </c>
    </row>
    <row r="1831" customFormat="false" ht="15.75" hidden="false" customHeight="true" outlineLevel="0" collapsed="false">
      <c r="A1831" s="30" t="n">
        <v>0</v>
      </c>
      <c r="B1831" s="31" t="s">
        <v>11</v>
      </c>
      <c r="C1831" s="32"/>
      <c r="D1831" s="32"/>
      <c r="E1831" s="19" t="n">
        <f aca="false">+IF(C1831="EQUIPO",F1831,0)</f>
        <v>0</v>
      </c>
      <c r="F1831" s="33" t="n">
        <v>0</v>
      </c>
      <c r="G1831" s="35" t="n">
        <v>0</v>
      </c>
      <c r="H1831" s="34" t="n">
        <f aca="false">+IF(E1831=0,0,E1831*0.03)</f>
        <v>0</v>
      </c>
    </row>
    <row r="1832" customFormat="false" ht="15.75" hidden="false" customHeight="true" outlineLevel="0" collapsed="false">
      <c r="A1832" s="30" t="n">
        <v>0</v>
      </c>
      <c r="B1832" s="31" t="s">
        <v>11</v>
      </c>
      <c r="C1832" s="32"/>
      <c r="D1832" s="32"/>
      <c r="E1832" s="19" t="n">
        <f aca="false">+IF(C1832="EQUIPO",F1832,0)</f>
        <v>0</v>
      </c>
      <c r="F1832" s="33" t="n">
        <v>0</v>
      </c>
      <c r="G1832" s="35" t="n">
        <v>0</v>
      </c>
      <c r="H1832" s="34" t="n">
        <f aca="false">+IF(E1832=0,0,E1832*0.03)</f>
        <v>0</v>
      </c>
    </row>
    <row r="1833" customFormat="false" ht="15.75" hidden="false" customHeight="true" outlineLevel="0" collapsed="false">
      <c r="A1833" s="30" t="n">
        <v>0</v>
      </c>
      <c r="B1833" s="31" t="s">
        <v>11</v>
      </c>
      <c r="C1833" s="32"/>
      <c r="D1833" s="32"/>
      <c r="E1833" s="19" t="n">
        <f aca="false">+IF(C1833="EQUIPO",F1833,0)</f>
        <v>0</v>
      </c>
      <c r="F1833" s="33" t="n">
        <v>0</v>
      </c>
      <c r="G1833" s="35" t="n">
        <v>0</v>
      </c>
      <c r="H1833" s="34" t="n">
        <f aca="false">+IF(E1833=0,0,E1833*0.03)</f>
        <v>0</v>
      </c>
    </row>
    <row r="1834" customFormat="false" ht="15.75" hidden="false" customHeight="true" outlineLevel="0" collapsed="false">
      <c r="A1834" s="30" t="n">
        <v>0</v>
      </c>
      <c r="B1834" s="31" t="s">
        <v>11</v>
      </c>
      <c r="C1834" s="32"/>
      <c r="D1834" s="32"/>
      <c r="E1834" s="19" t="n">
        <f aca="false">+IF(C1834="EQUIPO",F1834,0)</f>
        <v>0</v>
      </c>
      <c r="F1834" s="33" t="n">
        <v>0</v>
      </c>
      <c r="G1834" s="35" t="n">
        <v>0</v>
      </c>
      <c r="H1834" s="34" t="n">
        <f aca="false">+IF(E1834=0,0,E1834*0.03)</f>
        <v>0</v>
      </c>
    </row>
    <row r="1835" customFormat="false" ht="15.75" hidden="false" customHeight="true" outlineLevel="0" collapsed="false">
      <c r="A1835" s="30" t="n">
        <v>0</v>
      </c>
      <c r="B1835" s="31" t="s">
        <v>11</v>
      </c>
      <c r="C1835" s="32"/>
      <c r="D1835" s="32"/>
      <c r="E1835" s="19" t="n">
        <f aca="false">+IF(C1835="EQUIPO",F1835,0)</f>
        <v>0</v>
      </c>
      <c r="F1835" s="33" t="n">
        <v>0</v>
      </c>
      <c r="G1835" s="35" t="n">
        <v>0</v>
      </c>
      <c r="H1835" s="34" t="n">
        <f aca="false">+IF(E1835=0,0,E1835*0.03)</f>
        <v>0</v>
      </c>
    </row>
    <row r="1836" customFormat="false" ht="15.75" hidden="false" customHeight="true" outlineLevel="0" collapsed="false">
      <c r="A1836" s="30" t="n">
        <v>0</v>
      </c>
      <c r="B1836" s="31" t="s">
        <v>11</v>
      </c>
      <c r="C1836" s="32"/>
      <c r="D1836" s="32"/>
      <c r="E1836" s="19" t="n">
        <f aca="false">+IF(C1836="EQUIPO",F1836,0)</f>
        <v>0</v>
      </c>
      <c r="F1836" s="33" t="n">
        <v>0</v>
      </c>
      <c r="G1836" s="35" t="n">
        <v>0</v>
      </c>
      <c r="H1836" s="34" t="n">
        <f aca="false">+IF(E1836=0,0,E1836*0.03)</f>
        <v>0</v>
      </c>
    </row>
    <row r="1837" customFormat="false" ht="15.75" hidden="false" customHeight="true" outlineLevel="0" collapsed="false">
      <c r="A1837" s="30" t="n">
        <v>0</v>
      </c>
      <c r="B1837" s="31" t="s">
        <v>11</v>
      </c>
      <c r="C1837" s="32"/>
      <c r="D1837" s="32"/>
      <c r="E1837" s="19" t="n">
        <f aca="false">+IF(C1837="EQUIPO",F1837,0)</f>
        <v>0</v>
      </c>
      <c r="F1837" s="33" t="n">
        <v>0</v>
      </c>
      <c r="G1837" s="35" t="n">
        <v>0</v>
      </c>
      <c r="H1837" s="34" t="n">
        <f aca="false">+IF(E1837=0,0,E1837*0.03)</f>
        <v>0</v>
      </c>
    </row>
    <row r="1838" customFormat="false" ht="15.75" hidden="false" customHeight="true" outlineLevel="0" collapsed="false">
      <c r="A1838" s="30" t="n">
        <v>0</v>
      </c>
      <c r="B1838" s="31" t="s">
        <v>11</v>
      </c>
      <c r="C1838" s="32"/>
      <c r="D1838" s="32"/>
      <c r="E1838" s="19" t="n">
        <f aca="false">+IF(C1838="EQUIPO",F1838,0)</f>
        <v>0</v>
      </c>
      <c r="F1838" s="33" t="n">
        <v>0</v>
      </c>
      <c r="G1838" s="35" t="n">
        <v>0</v>
      </c>
      <c r="H1838" s="34" t="n">
        <f aca="false">+IF(E1838=0,0,E1838*0.03)</f>
        <v>0</v>
      </c>
    </row>
    <row r="1839" customFormat="false" ht="15.75" hidden="false" customHeight="true" outlineLevel="0" collapsed="false">
      <c r="A1839" s="30" t="n">
        <v>0</v>
      </c>
      <c r="B1839" s="31" t="s">
        <v>11</v>
      </c>
      <c r="C1839" s="32"/>
      <c r="D1839" s="32"/>
      <c r="E1839" s="19" t="n">
        <f aca="false">+IF(C1839="EQUIPO",F1839,0)</f>
        <v>0</v>
      </c>
      <c r="F1839" s="33" t="n">
        <v>0</v>
      </c>
      <c r="G1839" s="35" t="n">
        <v>0</v>
      </c>
      <c r="H1839" s="34" t="n">
        <f aca="false">+IF(E1839=0,0,E1839*0.03)</f>
        <v>0</v>
      </c>
    </row>
    <row r="1840" customFormat="false" ht="15.75" hidden="false" customHeight="true" outlineLevel="0" collapsed="false">
      <c r="A1840" s="30" t="n">
        <v>0</v>
      </c>
      <c r="B1840" s="31" t="s">
        <v>11</v>
      </c>
      <c r="C1840" s="32"/>
      <c r="D1840" s="32"/>
      <c r="E1840" s="19" t="n">
        <f aca="false">+IF(C1840="EQUIPO",F1840,0)</f>
        <v>0</v>
      </c>
      <c r="F1840" s="33" t="n">
        <v>0</v>
      </c>
      <c r="G1840" s="35" t="n">
        <v>0</v>
      </c>
      <c r="H1840" s="34" t="n">
        <f aca="false">+IF(E1840=0,0,E1840*0.03)</f>
        <v>0</v>
      </c>
    </row>
    <row r="1841" customFormat="false" ht="15.75" hidden="false" customHeight="true" outlineLevel="0" collapsed="false">
      <c r="A1841" s="30" t="n">
        <v>0</v>
      </c>
      <c r="B1841" s="31" t="s">
        <v>11</v>
      </c>
      <c r="C1841" s="32"/>
      <c r="D1841" s="32"/>
      <c r="E1841" s="19" t="n">
        <f aca="false">+IF(C1841="EQUIPO",F1841,0)</f>
        <v>0</v>
      </c>
      <c r="F1841" s="33" t="n">
        <v>0</v>
      </c>
      <c r="G1841" s="35" t="n">
        <v>0</v>
      </c>
      <c r="H1841" s="34" t="n">
        <f aca="false">+IF(E1841=0,0,E1841*0.03)</f>
        <v>0</v>
      </c>
    </row>
    <row r="1842" customFormat="false" ht="15.75" hidden="false" customHeight="true" outlineLevel="0" collapsed="false">
      <c r="A1842" s="30" t="n">
        <v>0</v>
      </c>
      <c r="B1842" s="31" t="s">
        <v>11</v>
      </c>
      <c r="C1842" s="32"/>
      <c r="D1842" s="32"/>
      <c r="E1842" s="19" t="n">
        <f aca="false">+IF(C1842="EQUIPO",F1842,0)</f>
        <v>0</v>
      </c>
      <c r="F1842" s="33" t="n">
        <v>0</v>
      </c>
      <c r="G1842" s="35" t="n">
        <v>0</v>
      </c>
      <c r="H1842" s="34" t="n">
        <f aca="false">+IF(E1842=0,0,E1842*0.03)</f>
        <v>0</v>
      </c>
    </row>
    <row r="1843" customFormat="false" ht="15.75" hidden="false" customHeight="true" outlineLevel="0" collapsed="false">
      <c r="A1843" s="30" t="n">
        <v>0</v>
      </c>
      <c r="B1843" s="31" t="s">
        <v>11</v>
      </c>
      <c r="C1843" s="32"/>
      <c r="D1843" s="32"/>
      <c r="E1843" s="19" t="n">
        <f aca="false">+IF(C1843="EQUIPO",F1843,0)</f>
        <v>0</v>
      </c>
      <c r="F1843" s="33" t="n">
        <v>0</v>
      </c>
      <c r="G1843" s="35" t="n">
        <v>0</v>
      </c>
      <c r="H1843" s="34" t="n">
        <f aca="false">+IF(E1843=0,0,E1843*0.03)</f>
        <v>0</v>
      </c>
    </row>
    <row r="1844" customFormat="false" ht="15.75" hidden="false" customHeight="true" outlineLevel="0" collapsed="false">
      <c r="A1844" s="30" t="n">
        <v>0</v>
      </c>
      <c r="B1844" s="31" t="s">
        <v>11</v>
      </c>
      <c r="C1844" s="32"/>
      <c r="D1844" s="32"/>
      <c r="E1844" s="19" t="n">
        <f aca="false">+IF(C1844="EQUIPO",F1844,0)</f>
        <v>0</v>
      </c>
      <c r="F1844" s="33" t="n">
        <v>0</v>
      </c>
      <c r="G1844" s="35" t="n">
        <v>0</v>
      </c>
      <c r="H1844" s="34" t="n">
        <f aca="false">+IF(E1844=0,0,E1844*0.03)</f>
        <v>0</v>
      </c>
    </row>
    <row r="1845" customFormat="false" ht="15.75" hidden="false" customHeight="true" outlineLevel="0" collapsed="false">
      <c r="A1845" s="30" t="n">
        <v>0</v>
      </c>
      <c r="B1845" s="31" t="s">
        <v>11</v>
      </c>
      <c r="C1845" s="32"/>
      <c r="D1845" s="32"/>
      <c r="E1845" s="19" t="n">
        <f aca="false">+IF(C1845="EQUIPO",F1845,0)</f>
        <v>0</v>
      </c>
      <c r="F1845" s="33" t="n">
        <v>0</v>
      </c>
      <c r="G1845" s="35" t="n">
        <v>0</v>
      </c>
      <c r="H1845" s="34" t="n">
        <f aca="false">+IF(E1845=0,0,E1845*0.03)</f>
        <v>0</v>
      </c>
    </row>
    <row r="1846" customFormat="false" ht="15.75" hidden="false" customHeight="true" outlineLevel="0" collapsed="false">
      <c r="A1846" s="30" t="n">
        <v>0</v>
      </c>
      <c r="B1846" s="31" t="s">
        <v>11</v>
      </c>
      <c r="C1846" s="32"/>
      <c r="D1846" s="32"/>
      <c r="E1846" s="19" t="n">
        <f aca="false">+IF(C1846="EQUIPO",F1846,0)</f>
        <v>0</v>
      </c>
      <c r="F1846" s="33" t="n">
        <v>0</v>
      </c>
      <c r="G1846" s="35" t="n">
        <v>0</v>
      </c>
      <c r="H1846" s="34" t="n">
        <f aca="false">+IF(E1846=0,0,E1846*0.03)</f>
        <v>0</v>
      </c>
    </row>
    <row r="1847" customFormat="false" ht="15.75" hidden="false" customHeight="true" outlineLevel="0" collapsed="false">
      <c r="A1847" s="30" t="n">
        <v>0</v>
      </c>
      <c r="B1847" s="31" t="s">
        <v>11</v>
      </c>
      <c r="C1847" s="32"/>
      <c r="D1847" s="32"/>
      <c r="E1847" s="19" t="n">
        <f aca="false">+IF(C1847="EQUIPO",F1847,0)</f>
        <v>0</v>
      </c>
      <c r="F1847" s="33" t="n">
        <v>0</v>
      </c>
      <c r="G1847" s="35" t="n">
        <v>0</v>
      </c>
      <c r="H1847" s="34" t="n">
        <f aca="false">+IF(E1847=0,0,E1847*0.03)</f>
        <v>0</v>
      </c>
    </row>
    <row r="1848" customFormat="false" ht="15.75" hidden="false" customHeight="true" outlineLevel="0" collapsed="false">
      <c r="A1848" s="30" t="n">
        <v>0</v>
      </c>
      <c r="B1848" s="31" t="s">
        <v>11</v>
      </c>
      <c r="C1848" s="32"/>
      <c r="D1848" s="32"/>
      <c r="E1848" s="19" t="n">
        <f aca="false">+IF(C1848="EQUIPO",F1848,0)</f>
        <v>0</v>
      </c>
      <c r="F1848" s="33" t="n">
        <v>0</v>
      </c>
      <c r="G1848" s="35" t="n">
        <v>0</v>
      </c>
      <c r="H1848" s="34" t="n">
        <f aca="false">+IF(E1848=0,0,E1848*0.03)</f>
        <v>0</v>
      </c>
    </row>
    <row r="1849" customFormat="false" ht="15.75" hidden="false" customHeight="true" outlineLevel="0" collapsed="false">
      <c r="A1849" s="30" t="n">
        <v>0</v>
      </c>
      <c r="B1849" s="31" t="s">
        <v>11</v>
      </c>
      <c r="C1849" s="32"/>
      <c r="D1849" s="32"/>
      <c r="E1849" s="19" t="n">
        <f aca="false">+IF(C1849="EQUIPO",F1849,0)</f>
        <v>0</v>
      </c>
      <c r="F1849" s="33" t="n">
        <v>0</v>
      </c>
      <c r="G1849" s="35" t="n">
        <v>0</v>
      </c>
      <c r="H1849" s="34" t="n">
        <f aca="false">+IF(E1849=0,0,E1849*0.03)</f>
        <v>0</v>
      </c>
    </row>
    <row r="1850" customFormat="false" ht="15.75" hidden="false" customHeight="true" outlineLevel="0" collapsed="false">
      <c r="A1850" s="30" t="n">
        <v>0</v>
      </c>
      <c r="B1850" s="31" t="s">
        <v>11</v>
      </c>
      <c r="C1850" s="32"/>
      <c r="D1850" s="32"/>
      <c r="E1850" s="19" t="n">
        <f aca="false">+IF(C1850="EQUIPO",F1850,0)</f>
        <v>0</v>
      </c>
      <c r="F1850" s="33" t="n">
        <v>0</v>
      </c>
      <c r="G1850" s="35" t="n">
        <v>0</v>
      </c>
      <c r="H1850" s="34" t="n">
        <f aca="false">+IF(E1850=0,0,E1850*0.03)</f>
        <v>0</v>
      </c>
    </row>
    <row r="1851" customFormat="false" ht="15.75" hidden="false" customHeight="true" outlineLevel="0" collapsed="false">
      <c r="A1851" s="30" t="n">
        <v>0</v>
      </c>
      <c r="B1851" s="31" t="s">
        <v>11</v>
      </c>
      <c r="C1851" s="32"/>
      <c r="D1851" s="32"/>
      <c r="E1851" s="19" t="n">
        <f aca="false">+IF(C1851="EQUIPO",F1851,0)</f>
        <v>0</v>
      </c>
      <c r="F1851" s="33" t="n">
        <v>0</v>
      </c>
      <c r="G1851" s="35" t="n">
        <v>0</v>
      </c>
      <c r="H1851" s="34" t="n">
        <f aca="false">+IF(E1851=0,0,E1851*0.03)</f>
        <v>0</v>
      </c>
    </row>
    <row r="1852" customFormat="false" ht="15.75" hidden="false" customHeight="true" outlineLevel="0" collapsed="false">
      <c r="A1852" s="30" t="n">
        <v>0</v>
      </c>
      <c r="B1852" s="31" t="s">
        <v>11</v>
      </c>
      <c r="C1852" s="32"/>
      <c r="D1852" s="32"/>
      <c r="E1852" s="19" t="n">
        <f aca="false">+IF(C1852="EQUIPO",F1852,0)</f>
        <v>0</v>
      </c>
      <c r="F1852" s="33" t="n">
        <v>0</v>
      </c>
      <c r="G1852" s="35" t="n">
        <v>0</v>
      </c>
      <c r="H1852" s="34" t="n">
        <f aca="false">+IF(E1852=0,0,E1852*0.03)</f>
        <v>0</v>
      </c>
    </row>
    <row r="1853" customFormat="false" ht="15.75" hidden="false" customHeight="true" outlineLevel="0" collapsed="false">
      <c r="A1853" s="30" t="n">
        <v>0</v>
      </c>
      <c r="B1853" s="31" t="s">
        <v>11</v>
      </c>
      <c r="C1853" s="32"/>
      <c r="D1853" s="32"/>
      <c r="E1853" s="19" t="n">
        <f aca="false">+IF(C1853="EQUIPO",F1853,0)</f>
        <v>0</v>
      </c>
      <c r="F1853" s="33" t="n">
        <v>0</v>
      </c>
      <c r="G1853" s="35" t="n">
        <v>0</v>
      </c>
      <c r="H1853" s="34" t="n">
        <f aca="false">+IF(E1853=0,0,E1853*0.03)</f>
        <v>0</v>
      </c>
    </row>
    <row r="1854" customFormat="false" ht="15.75" hidden="false" customHeight="true" outlineLevel="0" collapsed="false">
      <c r="A1854" s="30" t="n">
        <v>0</v>
      </c>
      <c r="B1854" s="31" t="s">
        <v>11</v>
      </c>
      <c r="C1854" s="32"/>
      <c r="D1854" s="32"/>
      <c r="E1854" s="19" t="n">
        <f aca="false">+IF(C1854="EQUIPO",F1854,0)</f>
        <v>0</v>
      </c>
      <c r="F1854" s="33" t="n">
        <v>0</v>
      </c>
      <c r="G1854" s="35" t="n">
        <v>0</v>
      </c>
      <c r="H1854" s="34" t="n">
        <f aca="false">+IF(E1854=0,0,E1854*0.03)</f>
        <v>0</v>
      </c>
    </row>
    <row r="1855" customFormat="false" ht="15.75" hidden="false" customHeight="true" outlineLevel="0" collapsed="false">
      <c r="A1855" s="30" t="n">
        <v>0</v>
      </c>
      <c r="B1855" s="31" t="s">
        <v>11</v>
      </c>
      <c r="C1855" s="32"/>
      <c r="D1855" s="32"/>
      <c r="E1855" s="19" t="n">
        <f aca="false">+IF(C1855="EQUIPO",F1855,0)</f>
        <v>0</v>
      </c>
      <c r="F1855" s="33" t="n">
        <v>0</v>
      </c>
      <c r="G1855" s="35" t="n">
        <v>0</v>
      </c>
      <c r="H1855" s="34" t="n">
        <f aca="false">+IF(E1855=0,0,E1855*0.03)</f>
        <v>0</v>
      </c>
    </row>
    <row r="1856" customFormat="false" ht="15.75" hidden="false" customHeight="true" outlineLevel="0" collapsed="false">
      <c r="A1856" s="30" t="n">
        <v>0</v>
      </c>
      <c r="B1856" s="31" t="s">
        <v>11</v>
      </c>
      <c r="C1856" s="32"/>
      <c r="D1856" s="32"/>
      <c r="E1856" s="19" t="n">
        <f aca="false">+IF(C1856="EQUIPO",F1856,0)</f>
        <v>0</v>
      </c>
      <c r="F1856" s="33" t="n">
        <v>0</v>
      </c>
      <c r="G1856" s="35" t="n">
        <v>0</v>
      </c>
      <c r="H1856" s="34" t="n">
        <f aca="false">+IF(E1856=0,0,E1856*0.03)</f>
        <v>0</v>
      </c>
    </row>
    <row r="1857" customFormat="false" ht="15.75" hidden="false" customHeight="true" outlineLevel="0" collapsed="false">
      <c r="A1857" s="30" t="n">
        <v>0</v>
      </c>
      <c r="B1857" s="31" t="s">
        <v>11</v>
      </c>
      <c r="C1857" s="32"/>
      <c r="D1857" s="32"/>
      <c r="E1857" s="19" t="n">
        <f aca="false">+IF(C1857="EQUIPO",F1857,0)</f>
        <v>0</v>
      </c>
      <c r="F1857" s="33" t="n">
        <v>0</v>
      </c>
      <c r="G1857" s="35" t="n">
        <v>0</v>
      </c>
      <c r="H1857" s="34" t="n">
        <f aca="false">+IF(E1857=0,0,E1857*0.03)</f>
        <v>0</v>
      </c>
    </row>
    <row r="1858" customFormat="false" ht="15.75" hidden="false" customHeight="true" outlineLevel="0" collapsed="false">
      <c r="A1858" s="30" t="n">
        <v>0</v>
      </c>
      <c r="B1858" s="31" t="s">
        <v>11</v>
      </c>
      <c r="C1858" s="32"/>
      <c r="D1858" s="32"/>
      <c r="E1858" s="19" t="n">
        <f aca="false">+IF(C1858="EQUIPO",F1858,0)</f>
        <v>0</v>
      </c>
      <c r="F1858" s="33" t="n">
        <v>0</v>
      </c>
      <c r="G1858" s="35" t="n">
        <v>0</v>
      </c>
      <c r="H1858" s="34" t="n">
        <f aca="false">+IF(E1858=0,0,E1858*0.03)</f>
        <v>0</v>
      </c>
    </row>
    <row r="1859" customFormat="false" ht="15.75" hidden="false" customHeight="true" outlineLevel="0" collapsed="false">
      <c r="A1859" s="30" t="n">
        <v>0</v>
      </c>
      <c r="B1859" s="31" t="s">
        <v>11</v>
      </c>
      <c r="C1859" s="32"/>
      <c r="D1859" s="32"/>
      <c r="E1859" s="19" t="n">
        <f aca="false">+IF(C1859="EQUIPO",F1859,0)</f>
        <v>0</v>
      </c>
      <c r="F1859" s="33" t="n">
        <v>0</v>
      </c>
      <c r="G1859" s="35" t="n">
        <v>0</v>
      </c>
      <c r="H1859" s="34" t="n">
        <f aca="false">+IF(E1859=0,0,E1859*0.03)</f>
        <v>0</v>
      </c>
    </row>
    <row r="1860" customFormat="false" ht="15.75" hidden="false" customHeight="true" outlineLevel="0" collapsed="false">
      <c r="A1860" s="30" t="n">
        <v>0</v>
      </c>
      <c r="B1860" s="31" t="s">
        <v>11</v>
      </c>
      <c r="C1860" s="32"/>
      <c r="D1860" s="32"/>
      <c r="E1860" s="19" t="n">
        <f aca="false">+IF(C1860="EQUIPO",F1860,0)</f>
        <v>0</v>
      </c>
      <c r="F1860" s="33" t="n">
        <v>0</v>
      </c>
      <c r="G1860" s="35" t="n">
        <v>0</v>
      </c>
      <c r="H1860" s="34" t="n">
        <f aca="false">+IF(E1860=0,0,E1860*0.03)</f>
        <v>0</v>
      </c>
    </row>
    <row r="1861" customFormat="false" ht="15.75" hidden="false" customHeight="true" outlineLevel="0" collapsed="false">
      <c r="A1861" s="30" t="n">
        <v>0</v>
      </c>
      <c r="B1861" s="31" t="s">
        <v>11</v>
      </c>
      <c r="C1861" s="32"/>
      <c r="D1861" s="32"/>
      <c r="E1861" s="19" t="n">
        <f aca="false">+IF(C1861="EQUIPO",F1861,0)</f>
        <v>0</v>
      </c>
      <c r="F1861" s="33" t="n">
        <v>0</v>
      </c>
      <c r="G1861" s="35" t="n">
        <v>0</v>
      </c>
      <c r="H1861" s="34" t="n">
        <f aca="false">+IF(E1861=0,0,E1861*0.03)</f>
        <v>0</v>
      </c>
    </row>
    <row r="1862" customFormat="false" ht="15.75" hidden="false" customHeight="true" outlineLevel="0" collapsed="false">
      <c r="A1862" s="30" t="n">
        <v>0</v>
      </c>
      <c r="B1862" s="31" t="s">
        <v>11</v>
      </c>
      <c r="C1862" s="32"/>
      <c r="D1862" s="32"/>
      <c r="E1862" s="19" t="n">
        <f aca="false">+IF(C1862="EQUIPO",F1862,0)</f>
        <v>0</v>
      </c>
      <c r="F1862" s="33" t="n">
        <v>0</v>
      </c>
      <c r="G1862" s="35" t="n">
        <v>0</v>
      </c>
      <c r="H1862" s="34" t="n">
        <f aca="false">+IF(E1862=0,0,E1862*0.03)</f>
        <v>0</v>
      </c>
    </row>
    <row r="1863" customFormat="false" ht="15.75" hidden="false" customHeight="true" outlineLevel="0" collapsed="false">
      <c r="A1863" s="30" t="n">
        <v>0</v>
      </c>
      <c r="B1863" s="31" t="s">
        <v>11</v>
      </c>
      <c r="C1863" s="32"/>
      <c r="D1863" s="32"/>
      <c r="E1863" s="19" t="n">
        <f aca="false">+IF(C1863="EQUIPO",F1863,0)</f>
        <v>0</v>
      </c>
      <c r="F1863" s="33" t="n">
        <v>0</v>
      </c>
      <c r="G1863" s="35" t="n">
        <v>0</v>
      </c>
      <c r="H1863" s="34" t="n">
        <f aca="false">+IF(E1863=0,0,E1863*0.03)</f>
        <v>0</v>
      </c>
    </row>
    <row r="1864" customFormat="false" ht="15.75" hidden="false" customHeight="true" outlineLevel="0" collapsed="false">
      <c r="A1864" s="30" t="n">
        <v>0</v>
      </c>
      <c r="B1864" s="31" t="s">
        <v>11</v>
      </c>
      <c r="C1864" s="32"/>
      <c r="D1864" s="32"/>
      <c r="E1864" s="19" t="n">
        <f aca="false">+IF(C1864="EQUIPO",F1864,0)</f>
        <v>0</v>
      </c>
      <c r="F1864" s="33" t="n">
        <v>0</v>
      </c>
      <c r="G1864" s="35" t="n">
        <v>0</v>
      </c>
      <c r="H1864" s="34" t="n">
        <f aca="false">+IF(E1864=0,0,E1864*0.03)</f>
        <v>0</v>
      </c>
    </row>
    <row r="1865" customFormat="false" ht="15.75" hidden="false" customHeight="true" outlineLevel="0" collapsed="false">
      <c r="A1865" s="30" t="n">
        <v>0</v>
      </c>
      <c r="B1865" s="31" t="s">
        <v>11</v>
      </c>
      <c r="C1865" s="32"/>
      <c r="D1865" s="32"/>
      <c r="E1865" s="19" t="n">
        <f aca="false">+IF(C1865="EQUIPO",F1865,0)</f>
        <v>0</v>
      </c>
      <c r="F1865" s="33" t="n">
        <v>0</v>
      </c>
      <c r="G1865" s="35" t="n">
        <v>0</v>
      </c>
      <c r="H1865" s="34" t="n">
        <f aca="false">+IF(E1865=0,0,E1865*0.03)</f>
        <v>0</v>
      </c>
    </row>
    <row r="1866" customFormat="false" ht="15.75" hidden="false" customHeight="true" outlineLevel="0" collapsed="false">
      <c r="A1866" s="30" t="n">
        <v>0</v>
      </c>
      <c r="B1866" s="31" t="s">
        <v>11</v>
      </c>
      <c r="C1866" s="32"/>
      <c r="D1866" s="32"/>
      <c r="E1866" s="19" t="n">
        <f aca="false">+IF(C1866="EQUIPO",F1866,0)</f>
        <v>0</v>
      </c>
      <c r="F1866" s="33" t="n">
        <v>0</v>
      </c>
      <c r="G1866" s="35" t="n">
        <v>0</v>
      </c>
      <c r="H1866" s="34" t="n">
        <f aca="false">+IF(E1866=0,0,E1866*0.03)</f>
        <v>0</v>
      </c>
    </row>
    <row r="1867" customFormat="false" ht="15.75" hidden="false" customHeight="true" outlineLevel="0" collapsed="false">
      <c r="A1867" s="30" t="n">
        <v>0</v>
      </c>
      <c r="B1867" s="31" t="s">
        <v>11</v>
      </c>
      <c r="C1867" s="32"/>
      <c r="D1867" s="32"/>
      <c r="E1867" s="19" t="n">
        <f aca="false">+IF(C1867="EQUIPO",F1867,0)</f>
        <v>0</v>
      </c>
      <c r="F1867" s="33" t="n">
        <v>0</v>
      </c>
      <c r="G1867" s="35" t="n">
        <v>0</v>
      </c>
      <c r="H1867" s="34" t="n">
        <f aca="false">+IF(E1867=0,0,E1867*0.03)</f>
        <v>0</v>
      </c>
    </row>
    <row r="1868" customFormat="false" ht="15.75" hidden="false" customHeight="true" outlineLevel="0" collapsed="false">
      <c r="A1868" s="30" t="n">
        <v>0</v>
      </c>
      <c r="B1868" s="31" t="s">
        <v>11</v>
      </c>
      <c r="C1868" s="32"/>
      <c r="D1868" s="32"/>
      <c r="E1868" s="19" t="n">
        <f aca="false">+IF(C1868="EQUIPO",F1868,0)</f>
        <v>0</v>
      </c>
      <c r="F1868" s="33" t="n">
        <v>0</v>
      </c>
      <c r="G1868" s="35" t="n">
        <v>0</v>
      </c>
      <c r="H1868" s="34" t="n">
        <f aca="false">+IF(E1868=0,0,E1868*0.03)</f>
        <v>0</v>
      </c>
    </row>
    <row r="1869" customFormat="false" ht="15.75" hidden="false" customHeight="true" outlineLevel="0" collapsed="false">
      <c r="A1869" s="30" t="n">
        <v>0</v>
      </c>
      <c r="B1869" s="31" t="s">
        <v>11</v>
      </c>
      <c r="C1869" s="32"/>
      <c r="D1869" s="32"/>
      <c r="E1869" s="19" t="n">
        <f aca="false">+IF(C1869="EQUIPO",F1869,0)</f>
        <v>0</v>
      </c>
      <c r="F1869" s="33" t="n">
        <v>0</v>
      </c>
      <c r="G1869" s="35" t="n">
        <v>0</v>
      </c>
      <c r="H1869" s="34" t="n">
        <f aca="false">+IF(E1869=0,0,E1869*0.03)</f>
        <v>0</v>
      </c>
    </row>
    <row r="1870" customFormat="false" ht="15.75" hidden="false" customHeight="true" outlineLevel="0" collapsed="false">
      <c r="A1870" s="30" t="n">
        <v>0</v>
      </c>
      <c r="B1870" s="31" t="s">
        <v>11</v>
      </c>
      <c r="C1870" s="32"/>
      <c r="D1870" s="32"/>
      <c r="E1870" s="19" t="n">
        <f aca="false">+IF(C1870="EQUIPO",F1870,0)</f>
        <v>0</v>
      </c>
      <c r="F1870" s="33" t="n">
        <v>0</v>
      </c>
      <c r="G1870" s="35" t="n">
        <v>0</v>
      </c>
      <c r="H1870" s="34" t="n">
        <f aca="false">+IF(E1870=0,0,E1870*0.03)</f>
        <v>0</v>
      </c>
    </row>
    <row r="1871" customFormat="false" ht="15.75" hidden="false" customHeight="true" outlineLevel="0" collapsed="false">
      <c r="A1871" s="30" t="n">
        <v>0</v>
      </c>
      <c r="B1871" s="31" t="s">
        <v>11</v>
      </c>
      <c r="C1871" s="32"/>
      <c r="D1871" s="32"/>
      <c r="E1871" s="19" t="n">
        <f aca="false">+IF(C1871="EQUIPO",F1871,0)</f>
        <v>0</v>
      </c>
      <c r="F1871" s="33" t="n">
        <v>0</v>
      </c>
      <c r="G1871" s="35" t="n">
        <v>0</v>
      </c>
      <c r="H1871" s="34" t="n">
        <f aca="false">+IF(E1871=0,0,E1871*0.03)</f>
        <v>0</v>
      </c>
    </row>
    <row r="1872" customFormat="false" ht="15.75" hidden="false" customHeight="true" outlineLevel="0" collapsed="false">
      <c r="A1872" s="30" t="n">
        <v>0</v>
      </c>
      <c r="B1872" s="31" t="s">
        <v>11</v>
      </c>
      <c r="C1872" s="32"/>
      <c r="D1872" s="32"/>
      <c r="E1872" s="19" t="n">
        <f aca="false">+IF(C1872="EQUIPO",F1872,0)</f>
        <v>0</v>
      </c>
      <c r="F1872" s="33" t="n">
        <v>0</v>
      </c>
      <c r="G1872" s="35" t="n">
        <v>0</v>
      </c>
      <c r="H1872" s="34" t="n">
        <f aca="false">+IF(E1872=0,0,E1872*0.03)</f>
        <v>0</v>
      </c>
    </row>
    <row r="1873" customFormat="false" ht="15.75" hidden="false" customHeight="true" outlineLevel="0" collapsed="false">
      <c r="A1873" s="30" t="n">
        <v>0</v>
      </c>
      <c r="B1873" s="31" t="s">
        <v>11</v>
      </c>
      <c r="C1873" s="32"/>
      <c r="D1873" s="32"/>
      <c r="E1873" s="19" t="n">
        <f aca="false">+IF(C1873="EQUIPO",F1873,0)</f>
        <v>0</v>
      </c>
      <c r="F1873" s="33" t="n">
        <v>0</v>
      </c>
      <c r="G1873" s="35" t="n">
        <v>0</v>
      </c>
      <c r="H1873" s="34" t="n">
        <f aca="false">+IF(E1873=0,0,E1873*0.03)</f>
        <v>0</v>
      </c>
    </row>
    <row r="1874" customFormat="false" ht="15.75" hidden="false" customHeight="true" outlineLevel="0" collapsed="false">
      <c r="A1874" s="30" t="n">
        <v>0</v>
      </c>
      <c r="B1874" s="31" t="s">
        <v>11</v>
      </c>
      <c r="C1874" s="32"/>
      <c r="D1874" s="32"/>
      <c r="E1874" s="19" t="n">
        <f aca="false">+IF(C1874="EQUIPO",F1874,0)</f>
        <v>0</v>
      </c>
      <c r="F1874" s="33" t="n">
        <v>0</v>
      </c>
      <c r="G1874" s="35" t="n">
        <v>0</v>
      </c>
      <c r="H1874" s="34" t="n">
        <f aca="false">+IF(E1874=0,0,E1874*0.03)</f>
        <v>0</v>
      </c>
    </row>
    <row r="1875" customFormat="false" ht="15.75" hidden="false" customHeight="true" outlineLevel="0" collapsed="false">
      <c r="A1875" s="30" t="n">
        <v>0</v>
      </c>
      <c r="B1875" s="31" t="s">
        <v>11</v>
      </c>
      <c r="C1875" s="32"/>
      <c r="D1875" s="32"/>
      <c r="E1875" s="19" t="n">
        <f aca="false">+IF(C1875="EQUIPO",F1875,0)</f>
        <v>0</v>
      </c>
      <c r="F1875" s="33" t="n">
        <v>0</v>
      </c>
      <c r="G1875" s="35" t="n">
        <v>0</v>
      </c>
      <c r="H1875" s="34" t="n">
        <f aca="false">+IF(E1875=0,0,E1875*0.03)</f>
        <v>0</v>
      </c>
    </row>
    <row r="1876" customFormat="false" ht="15.75" hidden="false" customHeight="true" outlineLevel="0" collapsed="false">
      <c r="A1876" s="30" t="n">
        <v>0</v>
      </c>
      <c r="B1876" s="31" t="s">
        <v>11</v>
      </c>
      <c r="C1876" s="32"/>
      <c r="D1876" s="32"/>
      <c r="E1876" s="19" t="n">
        <f aca="false">+IF(C1876="EQUIPO",F1876,0)</f>
        <v>0</v>
      </c>
      <c r="F1876" s="33" t="n">
        <v>0</v>
      </c>
      <c r="G1876" s="35" t="n">
        <v>0</v>
      </c>
      <c r="H1876" s="34" t="n">
        <f aca="false">+IF(E1876=0,0,E1876*0.03)</f>
        <v>0</v>
      </c>
    </row>
    <row r="1877" customFormat="false" ht="15.75" hidden="false" customHeight="true" outlineLevel="0" collapsed="false">
      <c r="A1877" s="30" t="n">
        <v>0</v>
      </c>
      <c r="B1877" s="31" t="s">
        <v>11</v>
      </c>
      <c r="C1877" s="32"/>
      <c r="D1877" s="32"/>
      <c r="E1877" s="19" t="n">
        <f aca="false">+IF(C1877="EQUIPO",F1877,0)</f>
        <v>0</v>
      </c>
      <c r="F1877" s="33" t="n">
        <v>0</v>
      </c>
      <c r="G1877" s="35" t="n">
        <v>0</v>
      </c>
      <c r="H1877" s="34" t="n">
        <f aca="false">+IF(E1877=0,0,E1877*0.03)</f>
        <v>0</v>
      </c>
    </row>
    <row r="1878" customFormat="false" ht="15.75" hidden="false" customHeight="true" outlineLevel="0" collapsed="false">
      <c r="A1878" s="30" t="n">
        <v>0</v>
      </c>
      <c r="B1878" s="31" t="s">
        <v>11</v>
      </c>
      <c r="C1878" s="32"/>
      <c r="D1878" s="32"/>
      <c r="E1878" s="19" t="n">
        <f aca="false">+IF(C1878="EQUIPO",F1878,0)</f>
        <v>0</v>
      </c>
      <c r="F1878" s="33" t="n">
        <v>0</v>
      </c>
      <c r="G1878" s="35" t="n">
        <v>0</v>
      </c>
      <c r="H1878" s="34" t="n">
        <f aca="false">+IF(E1878=0,0,E1878*0.03)</f>
        <v>0</v>
      </c>
    </row>
    <row r="1879" customFormat="false" ht="15.75" hidden="false" customHeight="true" outlineLevel="0" collapsed="false">
      <c r="A1879" s="30" t="n">
        <v>0</v>
      </c>
      <c r="B1879" s="31" t="s">
        <v>11</v>
      </c>
      <c r="C1879" s="32"/>
      <c r="D1879" s="32"/>
      <c r="E1879" s="19" t="n">
        <f aca="false">+IF(C1879="EQUIPO",F1879,0)</f>
        <v>0</v>
      </c>
      <c r="F1879" s="33" t="n">
        <v>0</v>
      </c>
      <c r="G1879" s="35" t="n">
        <v>0</v>
      </c>
      <c r="H1879" s="34" t="n">
        <f aca="false">+IF(E1879=0,0,E1879*0.03)</f>
        <v>0</v>
      </c>
    </row>
    <row r="1880" customFormat="false" ht="15.75" hidden="false" customHeight="true" outlineLevel="0" collapsed="false">
      <c r="A1880" s="30" t="n">
        <v>0</v>
      </c>
      <c r="B1880" s="31" t="s">
        <v>11</v>
      </c>
      <c r="C1880" s="32"/>
      <c r="D1880" s="32"/>
      <c r="E1880" s="19" t="n">
        <f aca="false">+IF(C1880="EQUIPO",F1880,0)</f>
        <v>0</v>
      </c>
      <c r="F1880" s="33" t="n">
        <v>0</v>
      </c>
      <c r="G1880" s="35" t="n">
        <v>0</v>
      </c>
      <c r="H1880" s="34" t="n">
        <f aca="false">+IF(E1880=0,0,E1880*0.03)</f>
        <v>0</v>
      </c>
    </row>
    <row r="1881" customFormat="false" ht="15.75" hidden="false" customHeight="true" outlineLevel="0" collapsed="false">
      <c r="A1881" s="30" t="n">
        <v>0</v>
      </c>
      <c r="B1881" s="31" t="s">
        <v>11</v>
      </c>
      <c r="C1881" s="32"/>
      <c r="D1881" s="32"/>
      <c r="E1881" s="19" t="n">
        <f aca="false">+IF(C1881="EQUIPO",F1881,0)</f>
        <v>0</v>
      </c>
      <c r="F1881" s="33" t="n">
        <v>0</v>
      </c>
      <c r="G1881" s="35" t="n">
        <v>0</v>
      </c>
      <c r="H1881" s="34" t="n">
        <f aca="false">+IF(E1881=0,0,E1881*0.03)</f>
        <v>0</v>
      </c>
    </row>
    <row r="1882" customFormat="false" ht="15.75" hidden="false" customHeight="true" outlineLevel="0" collapsed="false">
      <c r="A1882" s="30" t="n">
        <v>0</v>
      </c>
      <c r="B1882" s="31" t="s">
        <v>11</v>
      </c>
      <c r="C1882" s="32"/>
      <c r="D1882" s="32"/>
      <c r="E1882" s="19" t="n">
        <f aca="false">+IF(C1882="EQUIPO",F1882,0)</f>
        <v>0</v>
      </c>
      <c r="F1882" s="33" t="n">
        <v>0</v>
      </c>
      <c r="G1882" s="35" t="n">
        <v>0</v>
      </c>
      <c r="H1882" s="34" t="n">
        <f aca="false">+IF(E1882=0,0,E1882*0.03)</f>
        <v>0</v>
      </c>
    </row>
    <row r="1883" customFormat="false" ht="15.75" hidden="false" customHeight="true" outlineLevel="0" collapsed="false">
      <c r="A1883" s="30" t="n">
        <v>0</v>
      </c>
      <c r="B1883" s="31" t="s">
        <v>11</v>
      </c>
      <c r="C1883" s="32"/>
      <c r="D1883" s="32"/>
      <c r="E1883" s="19" t="n">
        <f aca="false">+IF(C1883="EQUIPO",F1883,0)</f>
        <v>0</v>
      </c>
      <c r="F1883" s="33" t="n">
        <v>0</v>
      </c>
      <c r="G1883" s="35" t="n">
        <v>0</v>
      </c>
      <c r="H1883" s="34" t="n">
        <f aca="false">+IF(E1883=0,0,E1883*0.03)</f>
        <v>0</v>
      </c>
    </row>
    <row r="1884" customFormat="false" ht="15.75" hidden="false" customHeight="true" outlineLevel="0" collapsed="false">
      <c r="A1884" s="30" t="n">
        <v>0</v>
      </c>
      <c r="B1884" s="31" t="s">
        <v>11</v>
      </c>
      <c r="C1884" s="32"/>
      <c r="D1884" s="32"/>
      <c r="E1884" s="19" t="n">
        <f aca="false">+IF(C1884="EQUIPO",F1884,0)</f>
        <v>0</v>
      </c>
      <c r="F1884" s="33" t="n">
        <v>0</v>
      </c>
      <c r="G1884" s="35" t="n">
        <v>0</v>
      </c>
      <c r="H1884" s="34" t="n">
        <f aca="false">+IF(E1884=0,0,E1884*0.03)</f>
        <v>0</v>
      </c>
    </row>
    <row r="1885" customFormat="false" ht="15.75" hidden="false" customHeight="true" outlineLevel="0" collapsed="false">
      <c r="A1885" s="30" t="n">
        <v>0</v>
      </c>
      <c r="B1885" s="31" t="s">
        <v>11</v>
      </c>
      <c r="C1885" s="32"/>
      <c r="D1885" s="32"/>
      <c r="E1885" s="19" t="n">
        <f aca="false">+IF(C1885="EQUIPO",F1885,0)</f>
        <v>0</v>
      </c>
      <c r="F1885" s="33" t="n">
        <v>0</v>
      </c>
      <c r="G1885" s="35" t="n">
        <v>0</v>
      </c>
      <c r="H1885" s="34" t="n">
        <f aca="false">+IF(E1885=0,0,E1885*0.03)</f>
        <v>0</v>
      </c>
    </row>
    <row r="1886" customFormat="false" ht="15.75" hidden="false" customHeight="true" outlineLevel="0" collapsed="false">
      <c r="A1886" s="30" t="n">
        <v>0</v>
      </c>
      <c r="B1886" s="31" t="s">
        <v>11</v>
      </c>
      <c r="C1886" s="32"/>
      <c r="D1886" s="32"/>
      <c r="E1886" s="19" t="n">
        <f aca="false">+IF(C1886="EQUIPO",F1886,0)</f>
        <v>0</v>
      </c>
      <c r="F1886" s="33" t="n">
        <v>0</v>
      </c>
      <c r="G1886" s="35" t="n">
        <v>0</v>
      </c>
      <c r="H1886" s="34" t="n">
        <f aca="false">+IF(E1886=0,0,E1886*0.03)</f>
        <v>0</v>
      </c>
    </row>
    <row r="1887" customFormat="false" ht="15.75" hidden="false" customHeight="true" outlineLevel="0" collapsed="false">
      <c r="A1887" s="30" t="n">
        <v>0</v>
      </c>
      <c r="B1887" s="31" t="s">
        <v>11</v>
      </c>
      <c r="C1887" s="32"/>
      <c r="D1887" s="32"/>
      <c r="E1887" s="19" t="n">
        <f aca="false">+IF(C1887="EQUIPO",F1887,0)</f>
        <v>0</v>
      </c>
      <c r="F1887" s="33" t="n">
        <v>0</v>
      </c>
      <c r="G1887" s="35" t="n">
        <v>0</v>
      </c>
      <c r="H1887" s="34" t="n">
        <f aca="false">+IF(E1887=0,0,E1887*0.03)</f>
        <v>0</v>
      </c>
    </row>
    <row r="1888" customFormat="false" ht="15.75" hidden="false" customHeight="true" outlineLevel="0" collapsed="false">
      <c r="A1888" s="30" t="n">
        <v>0</v>
      </c>
      <c r="B1888" s="31" t="s">
        <v>11</v>
      </c>
      <c r="C1888" s="32"/>
      <c r="D1888" s="32"/>
      <c r="E1888" s="19" t="n">
        <f aca="false">+IF(C1888="EQUIPO",F1888,0)</f>
        <v>0</v>
      </c>
      <c r="F1888" s="33" t="n">
        <v>0</v>
      </c>
      <c r="G1888" s="35" t="n">
        <v>0</v>
      </c>
      <c r="H1888" s="34" t="n">
        <f aca="false">+IF(E1888=0,0,E1888*0.03)</f>
        <v>0</v>
      </c>
    </row>
    <row r="1889" customFormat="false" ht="15.75" hidden="false" customHeight="true" outlineLevel="0" collapsed="false">
      <c r="A1889" s="30" t="n">
        <v>0</v>
      </c>
      <c r="B1889" s="31" t="s">
        <v>11</v>
      </c>
      <c r="C1889" s="32"/>
      <c r="D1889" s="32"/>
      <c r="E1889" s="19" t="n">
        <f aca="false">+IF(C1889="EQUIPO",F1889,0)</f>
        <v>0</v>
      </c>
      <c r="F1889" s="33" t="n">
        <v>0</v>
      </c>
      <c r="G1889" s="35" t="n">
        <v>0</v>
      </c>
      <c r="H1889" s="34" t="n">
        <f aca="false">+IF(E1889=0,0,E1889*0.03)</f>
        <v>0</v>
      </c>
    </row>
    <row r="1890" customFormat="false" ht="15.75" hidden="false" customHeight="true" outlineLevel="0" collapsed="false">
      <c r="A1890" s="30" t="n">
        <v>0</v>
      </c>
      <c r="B1890" s="31" t="s">
        <v>11</v>
      </c>
      <c r="C1890" s="32"/>
      <c r="D1890" s="32"/>
      <c r="E1890" s="19" t="n">
        <f aca="false">+IF(C1890="EQUIPO",F1890,0)</f>
        <v>0</v>
      </c>
      <c r="F1890" s="33" t="n">
        <v>0</v>
      </c>
      <c r="G1890" s="35" t="n">
        <v>0</v>
      </c>
      <c r="H1890" s="34" t="n">
        <f aca="false">+IF(E1890=0,0,E1890*0.03)</f>
        <v>0</v>
      </c>
    </row>
    <row r="1891" customFormat="false" ht="15.75" hidden="false" customHeight="true" outlineLevel="0" collapsed="false">
      <c r="A1891" s="30" t="n">
        <v>0</v>
      </c>
      <c r="B1891" s="31" t="s">
        <v>11</v>
      </c>
      <c r="C1891" s="32"/>
      <c r="D1891" s="32"/>
      <c r="E1891" s="19" t="n">
        <f aca="false">+IF(C1891="EQUIPO",F1891,0)</f>
        <v>0</v>
      </c>
      <c r="F1891" s="33" t="n">
        <v>0</v>
      </c>
      <c r="G1891" s="35" t="n">
        <v>0</v>
      </c>
      <c r="H1891" s="34" t="n">
        <f aca="false">+IF(E1891=0,0,E1891*0.03)</f>
        <v>0</v>
      </c>
    </row>
    <row r="1892" customFormat="false" ht="15.75" hidden="false" customHeight="true" outlineLevel="0" collapsed="false">
      <c r="A1892" s="30" t="n">
        <v>0</v>
      </c>
      <c r="B1892" s="31" t="s">
        <v>11</v>
      </c>
      <c r="C1892" s="32"/>
      <c r="D1892" s="32"/>
      <c r="E1892" s="19" t="n">
        <f aca="false">+IF(C1892="EQUIPO",F1892,0)</f>
        <v>0</v>
      </c>
      <c r="F1892" s="33" t="n">
        <v>0</v>
      </c>
      <c r="G1892" s="35" t="n">
        <v>0</v>
      </c>
      <c r="H1892" s="34" t="n">
        <f aca="false">+IF(E1892=0,0,E1892*0.03)</f>
        <v>0</v>
      </c>
    </row>
    <row r="1893" customFormat="false" ht="15.75" hidden="false" customHeight="true" outlineLevel="0" collapsed="false">
      <c r="A1893" s="30" t="n">
        <v>0</v>
      </c>
      <c r="B1893" s="31" t="s">
        <v>11</v>
      </c>
      <c r="C1893" s="32"/>
      <c r="D1893" s="32"/>
      <c r="E1893" s="19" t="n">
        <f aca="false">+IF(C1893="EQUIPO",F1893,0)</f>
        <v>0</v>
      </c>
      <c r="F1893" s="33" t="n">
        <v>0</v>
      </c>
      <c r="G1893" s="35" t="n">
        <v>0</v>
      </c>
      <c r="H1893" s="34" t="n">
        <f aca="false">+IF(E1893=0,0,E1893*0.03)</f>
        <v>0</v>
      </c>
    </row>
    <row r="1894" customFormat="false" ht="15.75" hidden="false" customHeight="true" outlineLevel="0" collapsed="false">
      <c r="A1894" s="30" t="n">
        <v>0</v>
      </c>
      <c r="B1894" s="31" t="s">
        <v>11</v>
      </c>
      <c r="C1894" s="32"/>
      <c r="D1894" s="32"/>
      <c r="E1894" s="19" t="n">
        <f aca="false">+IF(C1894="EQUIPO",F1894,0)</f>
        <v>0</v>
      </c>
      <c r="F1894" s="33" t="n">
        <v>0</v>
      </c>
      <c r="G1894" s="35" t="n">
        <v>0</v>
      </c>
      <c r="H1894" s="34" t="n">
        <f aca="false">+IF(E1894=0,0,E1894*0.03)</f>
        <v>0</v>
      </c>
    </row>
    <row r="1895" customFormat="false" ht="15.75" hidden="false" customHeight="true" outlineLevel="0" collapsed="false">
      <c r="A1895" s="30" t="n">
        <v>0</v>
      </c>
      <c r="B1895" s="31" t="s">
        <v>11</v>
      </c>
      <c r="C1895" s="32"/>
      <c r="D1895" s="32"/>
      <c r="E1895" s="19" t="n">
        <f aca="false">+IF(C1895="EQUIPO",F1895,0)</f>
        <v>0</v>
      </c>
      <c r="F1895" s="33" t="n">
        <v>0</v>
      </c>
      <c r="G1895" s="35" t="n">
        <v>0</v>
      </c>
      <c r="H1895" s="34" t="n">
        <f aca="false">+IF(E1895=0,0,E1895*0.03)</f>
        <v>0</v>
      </c>
    </row>
    <row r="1896" customFormat="false" ht="15.75" hidden="false" customHeight="true" outlineLevel="0" collapsed="false">
      <c r="A1896" s="30" t="n">
        <v>0</v>
      </c>
      <c r="B1896" s="31" t="s">
        <v>11</v>
      </c>
      <c r="C1896" s="32"/>
      <c r="D1896" s="32"/>
      <c r="E1896" s="19" t="n">
        <f aca="false">+IF(C1896="EQUIPO",F1896,0)</f>
        <v>0</v>
      </c>
      <c r="F1896" s="33" t="n">
        <v>0</v>
      </c>
      <c r="G1896" s="35" t="n">
        <v>0</v>
      </c>
      <c r="H1896" s="34" t="n">
        <f aca="false">+IF(E1896=0,0,E1896*0.03)</f>
        <v>0</v>
      </c>
    </row>
    <row r="1897" customFormat="false" ht="15.75" hidden="false" customHeight="true" outlineLevel="0" collapsed="false">
      <c r="A1897" s="30" t="n">
        <v>0</v>
      </c>
      <c r="B1897" s="31" t="s">
        <v>11</v>
      </c>
      <c r="C1897" s="32"/>
      <c r="D1897" s="32"/>
      <c r="E1897" s="19" t="n">
        <f aca="false">+IF(C1897="EQUIPO",F1897,0)</f>
        <v>0</v>
      </c>
      <c r="F1897" s="33" t="n">
        <v>0</v>
      </c>
      <c r="G1897" s="35" t="n">
        <v>0</v>
      </c>
      <c r="H1897" s="34" t="n">
        <f aca="false">+IF(E1897=0,0,E1897*0.03)</f>
        <v>0</v>
      </c>
    </row>
    <row r="1898" customFormat="false" ht="15.75" hidden="false" customHeight="true" outlineLevel="0" collapsed="false">
      <c r="A1898" s="30" t="n">
        <v>0</v>
      </c>
      <c r="B1898" s="31" t="s">
        <v>11</v>
      </c>
      <c r="C1898" s="32"/>
      <c r="D1898" s="32"/>
      <c r="E1898" s="19" t="n">
        <f aca="false">+IF(C1898="EQUIPO",F1898,0)</f>
        <v>0</v>
      </c>
      <c r="F1898" s="33" t="n">
        <v>0</v>
      </c>
      <c r="G1898" s="35" t="n">
        <v>0</v>
      </c>
      <c r="H1898" s="34" t="n">
        <f aca="false">+IF(E1898=0,0,E1898*0.03)</f>
        <v>0</v>
      </c>
    </row>
    <row r="1899" customFormat="false" ht="15.75" hidden="false" customHeight="true" outlineLevel="0" collapsed="false">
      <c r="A1899" s="30" t="n">
        <v>0</v>
      </c>
      <c r="B1899" s="31" t="s">
        <v>11</v>
      </c>
      <c r="C1899" s="32"/>
      <c r="D1899" s="32"/>
      <c r="E1899" s="19" t="n">
        <f aca="false">+IF(C1899="EQUIPO",F1899,0)</f>
        <v>0</v>
      </c>
      <c r="F1899" s="33" t="n">
        <v>0</v>
      </c>
      <c r="G1899" s="35" t="n">
        <v>0</v>
      </c>
      <c r="H1899" s="34" t="n">
        <f aca="false">+IF(E1899=0,0,E1899*0.03)</f>
        <v>0</v>
      </c>
    </row>
    <row r="1900" customFormat="false" ht="15.75" hidden="false" customHeight="true" outlineLevel="0" collapsed="false">
      <c r="A1900" s="30" t="n">
        <v>0</v>
      </c>
      <c r="B1900" s="31" t="s">
        <v>11</v>
      </c>
      <c r="C1900" s="32"/>
      <c r="D1900" s="32"/>
      <c r="E1900" s="19" t="n">
        <f aca="false">+IF(C1900="EQUIPO",F1900,0)</f>
        <v>0</v>
      </c>
      <c r="F1900" s="33" t="n">
        <v>0</v>
      </c>
      <c r="G1900" s="35" t="n">
        <v>0</v>
      </c>
      <c r="H1900" s="34" t="n">
        <f aca="false">+IF(E1900=0,0,E1900*0.03)</f>
        <v>0</v>
      </c>
    </row>
    <row r="1901" customFormat="false" ht="15.75" hidden="false" customHeight="true" outlineLevel="0" collapsed="false">
      <c r="A1901" s="30" t="n">
        <v>0</v>
      </c>
      <c r="B1901" s="31" t="s">
        <v>11</v>
      </c>
      <c r="C1901" s="32"/>
      <c r="D1901" s="32"/>
      <c r="E1901" s="19" t="n">
        <f aca="false">+IF(C1901="EQUIPO",F1901,0)</f>
        <v>0</v>
      </c>
      <c r="F1901" s="33" t="n">
        <v>0</v>
      </c>
      <c r="G1901" s="35" t="n">
        <v>0</v>
      </c>
      <c r="H1901" s="34" t="n">
        <f aca="false">+IF(E1901=0,0,E1901*0.03)</f>
        <v>0</v>
      </c>
    </row>
    <row r="1902" customFormat="false" ht="15.75" hidden="false" customHeight="true" outlineLevel="0" collapsed="false">
      <c r="A1902" s="30" t="n">
        <v>0</v>
      </c>
      <c r="B1902" s="31" t="s">
        <v>11</v>
      </c>
      <c r="C1902" s="32"/>
      <c r="D1902" s="32"/>
      <c r="E1902" s="19" t="n">
        <f aca="false">+IF(C1902="EQUIPO",F1902,0)</f>
        <v>0</v>
      </c>
      <c r="F1902" s="33" t="n">
        <v>0</v>
      </c>
      <c r="G1902" s="35" t="n">
        <v>0</v>
      </c>
      <c r="H1902" s="34" t="n">
        <f aca="false">+IF(E1902=0,0,E1902*0.03)</f>
        <v>0</v>
      </c>
    </row>
    <row r="1903" customFormat="false" ht="15.75" hidden="false" customHeight="true" outlineLevel="0" collapsed="false">
      <c r="A1903" s="30" t="n">
        <v>0</v>
      </c>
      <c r="B1903" s="31" t="s">
        <v>11</v>
      </c>
      <c r="C1903" s="32"/>
      <c r="D1903" s="32"/>
      <c r="E1903" s="19" t="n">
        <f aca="false">+IF(C1903="EQUIPO",F1903,0)</f>
        <v>0</v>
      </c>
      <c r="F1903" s="33" t="n">
        <v>0</v>
      </c>
      <c r="G1903" s="35" t="n">
        <v>0</v>
      </c>
      <c r="H1903" s="34" t="n">
        <f aca="false">+IF(E1903=0,0,E1903*0.03)</f>
        <v>0</v>
      </c>
    </row>
    <row r="1904" customFormat="false" ht="15.75" hidden="false" customHeight="true" outlineLevel="0" collapsed="false">
      <c r="A1904" s="30" t="n">
        <v>0</v>
      </c>
      <c r="B1904" s="31" t="s">
        <v>11</v>
      </c>
      <c r="C1904" s="32"/>
      <c r="D1904" s="32"/>
      <c r="E1904" s="19" t="n">
        <f aca="false">+IF(C1904="EQUIPO",F1904,0)</f>
        <v>0</v>
      </c>
      <c r="F1904" s="33" t="n">
        <v>0</v>
      </c>
      <c r="G1904" s="35" t="n">
        <v>0</v>
      </c>
      <c r="H1904" s="34" t="n">
        <f aca="false">+IF(E1904=0,0,E1904*0.03)</f>
        <v>0</v>
      </c>
    </row>
    <row r="1905" customFormat="false" ht="15.75" hidden="false" customHeight="true" outlineLevel="0" collapsed="false">
      <c r="A1905" s="30" t="n">
        <v>0</v>
      </c>
      <c r="B1905" s="31" t="s">
        <v>11</v>
      </c>
      <c r="C1905" s="32"/>
      <c r="D1905" s="32"/>
      <c r="E1905" s="19" t="n">
        <f aca="false">+IF(C1905="EQUIPO",F1905,0)</f>
        <v>0</v>
      </c>
      <c r="F1905" s="33" t="n">
        <v>0</v>
      </c>
      <c r="G1905" s="35" t="n">
        <v>0</v>
      </c>
      <c r="H1905" s="34" t="n">
        <f aca="false">+IF(E1905=0,0,E1905*0.03)</f>
        <v>0</v>
      </c>
    </row>
    <row r="1906" customFormat="false" ht="15.75" hidden="false" customHeight="true" outlineLevel="0" collapsed="false">
      <c r="A1906" s="30" t="n">
        <v>0</v>
      </c>
      <c r="B1906" s="31" t="s">
        <v>11</v>
      </c>
      <c r="C1906" s="32"/>
      <c r="D1906" s="32"/>
      <c r="E1906" s="19" t="n">
        <f aca="false">+IF(C1906="EQUIPO",F1906,0)</f>
        <v>0</v>
      </c>
      <c r="F1906" s="33" t="n">
        <v>0</v>
      </c>
      <c r="G1906" s="35" t="n">
        <v>0</v>
      </c>
      <c r="H1906" s="34" t="n">
        <f aca="false">+IF(E1906=0,0,E1906*0.03)</f>
        <v>0</v>
      </c>
    </row>
    <row r="1907" customFormat="false" ht="15.75" hidden="false" customHeight="true" outlineLevel="0" collapsed="false">
      <c r="A1907" s="30" t="n">
        <v>0</v>
      </c>
      <c r="B1907" s="31" t="s">
        <v>11</v>
      </c>
      <c r="C1907" s="32"/>
      <c r="D1907" s="32"/>
      <c r="E1907" s="19" t="n">
        <f aca="false">+IF(C1907="EQUIPO",F1907,0)</f>
        <v>0</v>
      </c>
      <c r="F1907" s="33" t="n">
        <v>0</v>
      </c>
      <c r="G1907" s="35" t="n">
        <v>0</v>
      </c>
      <c r="H1907" s="34" t="n">
        <f aca="false">+IF(E1907=0,0,E1907*0.03)</f>
        <v>0</v>
      </c>
    </row>
    <row r="1908" customFormat="false" ht="15.75" hidden="false" customHeight="true" outlineLevel="0" collapsed="false">
      <c r="A1908" s="30" t="n">
        <v>0</v>
      </c>
      <c r="B1908" s="31" t="s">
        <v>11</v>
      </c>
      <c r="C1908" s="32"/>
      <c r="D1908" s="32"/>
      <c r="E1908" s="19" t="n">
        <f aca="false">+IF(C1908="EQUIPO",F1908,0)</f>
        <v>0</v>
      </c>
      <c r="F1908" s="33" t="n">
        <v>0</v>
      </c>
      <c r="G1908" s="35" t="n">
        <v>0</v>
      </c>
      <c r="H1908" s="34" t="n">
        <f aca="false">+IF(E1908=0,0,E1908*0.03)</f>
        <v>0</v>
      </c>
    </row>
    <row r="1909" customFormat="false" ht="15.75" hidden="false" customHeight="true" outlineLevel="0" collapsed="false">
      <c r="A1909" s="30" t="n">
        <v>0</v>
      </c>
      <c r="B1909" s="31" t="s">
        <v>11</v>
      </c>
      <c r="C1909" s="32"/>
      <c r="D1909" s="32"/>
      <c r="E1909" s="19" t="n">
        <f aca="false">+IF(C1909="EQUIPO",F1909,0)</f>
        <v>0</v>
      </c>
      <c r="F1909" s="33" t="n">
        <v>0</v>
      </c>
      <c r="G1909" s="35" t="n">
        <v>0</v>
      </c>
      <c r="H1909" s="34" t="n">
        <f aca="false">+IF(E1909=0,0,E1909*0.03)</f>
        <v>0</v>
      </c>
    </row>
    <row r="1910" customFormat="false" ht="15.75" hidden="false" customHeight="true" outlineLevel="0" collapsed="false">
      <c r="A1910" s="30" t="n">
        <v>0</v>
      </c>
      <c r="B1910" s="31" t="s">
        <v>11</v>
      </c>
      <c r="C1910" s="32"/>
      <c r="D1910" s="32"/>
      <c r="E1910" s="19" t="n">
        <f aca="false">+IF(C1910="EQUIPO",F1910,0)</f>
        <v>0</v>
      </c>
      <c r="F1910" s="33" t="n">
        <v>0</v>
      </c>
      <c r="G1910" s="35" t="n">
        <v>0</v>
      </c>
      <c r="H1910" s="34" t="n">
        <f aca="false">+IF(E1910=0,0,E1910*0.03)</f>
        <v>0</v>
      </c>
    </row>
    <row r="1911" customFormat="false" ht="15.75" hidden="false" customHeight="true" outlineLevel="0" collapsed="false">
      <c r="A1911" s="30" t="n">
        <v>0</v>
      </c>
      <c r="B1911" s="31" t="s">
        <v>11</v>
      </c>
      <c r="C1911" s="32"/>
      <c r="D1911" s="32"/>
      <c r="E1911" s="19" t="n">
        <f aca="false">+IF(C1911="EQUIPO",F1911,0)</f>
        <v>0</v>
      </c>
      <c r="F1911" s="33" t="n">
        <v>0</v>
      </c>
      <c r="G1911" s="35" t="n">
        <v>0</v>
      </c>
      <c r="H1911" s="34" t="n">
        <f aca="false">+IF(E1911=0,0,E1911*0.03)</f>
        <v>0</v>
      </c>
    </row>
    <row r="1912" customFormat="false" ht="15.75" hidden="false" customHeight="true" outlineLevel="0" collapsed="false">
      <c r="A1912" s="30" t="n">
        <v>0</v>
      </c>
      <c r="B1912" s="31" t="s">
        <v>11</v>
      </c>
      <c r="C1912" s="32"/>
      <c r="D1912" s="32"/>
      <c r="E1912" s="19" t="n">
        <f aca="false">+IF(C1912="EQUIPO",F1912,0)</f>
        <v>0</v>
      </c>
      <c r="F1912" s="33" t="n">
        <v>0</v>
      </c>
      <c r="G1912" s="35" t="n">
        <v>0</v>
      </c>
      <c r="H1912" s="34" t="n">
        <f aca="false">+IF(E1912=0,0,E1912*0.03)</f>
        <v>0</v>
      </c>
    </row>
    <row r="1913" customFormat="false" ht="15.75" hidden="false" customHeight="true" outlineLevel="0" collapsed="false">
      <c r="A1913" s="30" t="n">
        <v>0</v>
      </c>
      <c r="B1913" s="31" t="s">
        <v>11</v>
      </c>
      <c r="C1913" s="32"/>
      <c r="D1913" s="32"/>
      <c r="E1913" s="19" t="n">
        <f aca="false">+IF(C1913="EQUIPO",F1913,0)</f>
        <v>0</v>
      </c>
      <c r="F1913" s="33" t="n">
        <v>0</v>
      </c>
      <c r="G1913" s="35" t="n">
        <v>0</v>
      </c>
      <c r="H1913" s="34" t="n">
        <f aca="false">+IF(E1913=0,0,E1913*0.03)</f>
        <v>0</v>
      </c>
    </row>
    <row r="1914" customFormat="false" ht="15.75" hidden="false" customHeight="true" outlineLevel="0" collapsed="false">
      <c r="A1914" s="30" t="n">
        <v>0</v>
      </c>
      <c r="B1914" s="31" t="s">
        <v>11</v>
      </c>
      <c r="C1914" s="32"/>
      <c r="D1914" s="32"/>
      <c r="E1914" s="19" t="n">
        <f aca="false">+IF(C1914="EQUIPO",F1914,0)</f>
        <v>0</v>
      </c>
      <c r="F1914" s="33" t="n">
        <v>0</v>
      </c>
      <c r="G1914" s="35" t="n">
        <v>0</v>
      </c>
      <c r="H1914" s="34" t="n">
        <f aca="false">+IF(E1914=0,0,E1914*0.03)</f>
        <v>0</v>
      </c>
    </row>
    <row r="1915" customFormat="false" ht="15.75" hidden="false" customHeight="true" outlineLevel="0" collapsed="false">
      <c r="A1915" s="30" t="n">
        <v>0</v>
      </c>
      <c r="B1915" s="31" t="s">
        <v>11</v>
      </c>
      <c r="C1915" s="32"/>
      <c r="D1915" s="32"/>
      <c r="E1915" s="19" t="n">
        <f aca="false">+IF(C1915="EQUIPO",F1915,0)</f>
        <v>0</v>
      </c>
      <c r="F1915" s="33" t="n">
        <v>0</v>
      </c>
      <c r="G1915" s="35" t="n">
        <v>0</v>
      </c>
      <c r="H1915" s="34" t="n">
        <f aca="false">+IF(E1915=0,0,E1915*0.03)</f>
        <v>0</v>
      </c>
    </row>
    <row r="1916" customFormat="false" ht="15.75" hidden="false" customHeight="true" outlineLevel="0" collapsed="false">
      <c r="A1916" s="30" t="n">
        <v>0</v>
      </c>
      <c r="B1916" s="31" t="s">
        <v>11</v>
      </c>
      <c r="C1916" s="32"/>
      <c r="D1916" s="32"/>
      <c r="E1916" s="19" t="n">
        <f aca="false">+IF(C1916="EQUIPO",F1916,0)</f>
        <v>0</v>
      </c>
      <c r="F1916" s="33" t="n">
        <v>0</v>
      </c>
      <c r="G1916" s="35" t="n">
        <v>0</v>
      </c>
      <c r="H1916" s="34" t="n">
        <f aca="false">+IF(E1916=0,0,E1916*0.03)</f>
        <v>0</v>
      </c>
    </row>
    <row r="1917" customFormat="false" ht="15.75" hidden="false" customHeight="true" outlineLevel="0" collapsed="false">
      <c r="A1917" s="30" t="n">
        <v>0</v>
      </c>
      <c r="B1917" s="31" t="s">
        <v>11</v>
      </c>
      <c r="C1917" s="32"/>
      <c r="D1917" s="32"/>
      <c r="E1917" s="19" t="n">
        <f aca="false">+IF(C1917="EQUIPO",F1917,0)</f>
        <v>0</v>
      </c>
      <c r="F1917" s="33" t="n">
        <v>0</v>
      </c>
      <c r="G1917" s="35" t="n">
        <v>0</v>
      </c>
      <c r="H1917" s="34" t="n">
        <f aca="false">+IF(E1917=0,0,E1917*0.03)</f>
        <v>0</v>
      </c>
    </row>
    <row r="1918" customFormat="false" ht="15.75" hidden="false" customHeight="true" outlineLevel="0" collapsed="false">
      <c r="A1918" s="30" t="n">
        <v>0</v>
      </c>
      <c r="B1918" s="31" t="s">
        <v>11</v>
      </c>
      <c r="C1918" s="32"/>
      <c r="D1918" s="32"/>
      <c r="E1918" s="19" t="n">
        <f aca="false">+IF(C1918="EQUIPO",F1918,0)</f>
        <v>0</v>
      </c>
      <c r="F1918" s="33" t="n">
        <v>0</v>
      </c>
      <c r="G1918" s="35" t="n">
        <v>0</v>
      </c>
      <c r="H1918" s="34" t="n">
        <f aca="false">+IF(E1918=0,0,E1918*0.03)</f>
        <v>0</v>
      </c>
    </row>
    <row r="1919" customFormat="false" ht="15.75" hidden="false" customHeight="true" outlineLevel="0" collapsed="false">
      <c r="A1919" s="30" t="n">
        <v>0</v>
      </c>
      <c r="B1919" s="31" t="s">
        <v>11</v>
      </c>
      <c r="C1919" s="32"/>
      <c r="D1919" s="32"/>
      <c r="E1919" s="19" t="n">
        <f aca="false">+IF(C1919="EQUIPO",F1919,0)</f>
        <v>0</v>
      </c>
      <c r="F1919" s="33" t="n">
        <v>0</v>
      </c>
      <c r="G1919" s="35" t="n">
        <v>0</v>
      </c>
      <c r="H1919" s="34" t="n">
        <f aca="false">+IF(E1919=0,0,E1919*0.03)</f>
        <v>0</v>
      </c>
    </row>
    <row r="1920" customFormat="false" ht="15.75" hidden="false" customHeight="true" outlineLevel="0" collapsed="false">
      <c r="A1920" s="30" t="n">
        <v>0</v>
      </c>
      <c r="B1920" s="31" t="s">
        <v>11</v>
      </c>
      <c r="C1920" s="32"/>
      <c r="D1920" s="32"/>
      <c r="E1920" s="19" t="n">
        <f aca="false">+IF(C1920="EQUIPO",F1920,0)</f>
        <v>0</v>
      </c>
      <c r="F1920" s="33" t="n">
        <v>0</v>
      </c>
      <c r="G1920" s="35" t="n">
        <v>0</v>
      </c>
      <c r="H1920" s="34" t="n">
        <f aca="false">+IF(E1920=0,0,E1920*0.03)</f>
        <v>0</v>
      </c>
    </row>
    <row r="1921" customFormat="false" ht="15.75" hidden="false" customHeight="true" outlineLevel="0" collapsed="false">
      <c r="A1921" s="30" t="n">
        <v>0</v>
      </c>
      <c r="B1921" s="31" t="s">
        <v>11</v>
      </c>
      <c r="C1921" s="32"/>
      <c r="D1921" s="32"/>
      <c r="E1921" s="19" t="n">
        <f aca="false">+IF(C1921="EQUIPO",F1921,0)</f>
        <v>0</v>
      </c>
      <c r="F1921" s="33" t="n">
        <v>0</v>
      </c>
      <c r="G1921" s="35" t="n">
        <v>0</v>
      </c>
      <c r="H1921" s="34" t="n">
        <f aca="false">+IF(E1921=0,0,E1921*0.03)</f>
        <v>0</v>
      </c>
    </row>
    <row r="1922" customFormat="false" ht="15.75" hidden="false" customHeight="true" outlineLevel="0" collapsed="false">
      <c r="A1922" s="30" t="n">
        <v>0</v>
      </c>
      <c r="B1922" s="31" t="s">
        <v>11</v>
      </c>
      <c r="C1922" s="32"/>
      <c r="D1922" s="32"/>
      <c r="E1922" s="19" t="n">
        <f aca="false">+IF(C1922="EQUIPO",F1922,0)</f>
        <v>0</v>
      </c>
      <c r="F1922" s="33" t="n">
        <v>0</v>
      </c>
      <c r="G1922" s="35" t="n">
        <v>0</v>
      </c>
      <c r="H1922" s="34" t="n">
        <f aca="false">+IF(E1922=0,0,E1922*0.03)</f>
        <v>0</v>
      </c>
    </row>
    <row r="1923" customFormat="false" ht="15.75" hidden="false" customHeight="true" outlineLevel="0" collapsed="false">
      <c r="A1923" s="30" t="n">
        <v>0</v>
      </c>
      <c r="B1923" s="31" t="s">
        <v>11</v>
      </c>
      <c r="C1923" s="32"/>
      <c r="D1923" s="32"/>
      <c r="E1923" s="19" t="n">
        <f aca="false">+IF(C1923="EQUIPO",F1923,0)</f>
        <v>0</v>
      </c>
      <c r="F1923" s="33" t="n">
        <v>0</v>
      </c>
      <c r="G1923" s="35" t="n">
        <v>0</v>
      </c>
      <c r="H1923" s="34" t="n">
        <f aca="false">+IF(E1923=0,0,E1923*0.03)</f>
        <v>0</v>
      </c>
    </row>
    <row r="1924" customFormat="false" ht="15.75" hidden="false" customHeight="true" outlineLevel="0" collapsed="false">
      <c r="A1924" s="30" t="n">
        <v>0</v>
      </c>
      <c r="B1924" s="31" t="s">
        <v>11</v>
      </c>
      <c r="C1924" s="32"/>
      <c r="D1924" s="32"/>
      <c r="E1924" s="19" t="n">
        <f aca="false">+IF(C1924="EQUIPO",F1924,0)</f>
        <v>0</v>
      </c>
      <c r="F1924" s="33" t="n">
        <v>0</v>
      </c>
      <c r="G1924" s="35" t="n">
        <v>0</v>
      </c>
      <c r="H1924" s="34" t="n">
        <f aca="false">+IF(E1924=0,0,E1924*0.03)</f>
        <v>0</v>
      </c>
    </row>
    <row r="1925" customFormat="false" ht="15.75" hidden="false" customHeight="true" outlineLevel="0" collapsed="false">
      <c r="A1925" s="30" t="n">
        <v>0</v>
      </c>
      <c r="B1925" s="31" t="s">
        <v>11</v>
      </c>
      <c r="C1925" s="32"/>
      <c r="D1925" s="32"/>
      <c r="E1925" s="19" t="n">
        <f aca="false">+IF(C1925="EQUIPO",F1925,0)</f>
        <v>0</v>
      </c>
      <c r="F1925" s="33" t="n">
        <v>0</v>
      </c>
      <c r="G1925" s="35" t="n">
        <v>0</v>
      </c>
      <c r="H1925" s="34" t="n">
        <f aca="false">+IF(E1925=0,0,E1925*0.03)</f>
        <v>0</v>
      </c>
    </row>
    <row r="1926" customFormat="false" ht="15.75" hidden="false" customHeight="true" outlineLevel="0" collapsed="false">
      <c r="A1926" s="30" t="n">
        <v>0</v>
      </c>
      <c r="B1926" s="31" t="s">
        <v>11</v>
      </c>
      <c r="C1926" s="32"/>
      <c r="D1926" s="32"/>
      <c r="E1926" s="19" t="n">
        <f aca="false">+IF(C1926="EQUIPO",F1926,0)</f>
        <v>0</v>
      </c>
      <c r="F1926" s="33" t="n">
        <v>0</v>
      </c>
      <c r="G1926" s="35" t="n">
        <v>0</v>
      </c>
      <c r="H1926" s="34" t="n">
        <f aca="false">+IF(E1926=0,0,E1926*0.03)</f>
        <v>0</v>
      </c>
    </row>
    <row r="1927" customFormat="false" ht="15.75" hidden="false" customHeight="true" outlineLevel="0" collapsed="false">
      <c r="A1927" s="30" t="n">
        <v>0</v>
      </c>
      <c r="B1927" s="31" t="s">
        <v>11</v>
      </c>
      <c r="C1927" s="32"/>
      <c r="D1927" s="32"/>
      <c r="E1927" s="19" t="n">
        <f aca="false">+IF(C1927="EQUIPO",F1927,0)</f>
        <v>0</v>
      </c>
      <c r="F1927" s="33" t="n">
        <v>0</v>
      </c>
      <c r="G1927" s="35" t="n">
        <v>0</v>
      </c>
      <c r="H1927" s="34" t="n">
        <f aca="false">+IF(E1927=0,0,E1927*0.03)</f>
        <v>0</v>
      </c>
    </row>
    <row r="1928" customFormat="false" ht="15.75" hidden="false" customHeight="true" outlineLevel="0" collapsed="false">
      <c r="A1928" s="30" t="n">
        <v>0</v>
      </c>
      <c r="B1928" s="31" t="s">
        <v>11</v>
      </c>
      <c r="C1928" s="32"/>
      <c r="D1928" s="32"/>
      <c r="E1928" s="19" t="n">
        <f aca="false">+IF(C1928="EQUIPO",F1928,0)</f>
        <v>0</v>
      </c>
      <c r="F1928" s="33" t="n">
        <v>0</v>
      </c>
      <c r="G1928" s="35" t="n">
        <v>0</v>
      </c>
      <c r="H1928" s="34" t="n">
        <f aca="false">+IF(E1928=0,0,E1928*0.03)</f>
        <v>0</v>
      </c>
    </row>
    <row r="1929" customFormat="false" ht="15.75" hidden="false" customHeight="true" outlineLevel="0" collapsed="false">
      <c r="A1929" s="30" t="n">
        <v>0</v>
      </c>
      <c r="B1929" s="31" t="s">
        <v>11</v>
      </c>
      <c r="C1929" s="32"/>
      <c r="D1929" s="32"/>
      <c r="E1929" s="19" t="n">
        <f aca="false">+IF(C1929="EQUIPO",F1929,0)</f>
        <v>0</v>
      </c>
      <c r="F1929" s="33" t="n">
        <v>0</v>
      </c>
      <c r="G1929" s="35" t="n">
        <v>0</v>
      </c>
      <c r="H1929" s="34" t="n">
        <f aca="false">+IF(E1929=0,0,E1929*0.03)</f>
        <v>0</v>
      </c>
    </row>
    <row r="1930" customFormat="false" ht="15.75" hidden="false" customHeight="true" outlineLevel="0" collapsed="false">
      <c r="A1930" s="30" t="n">
        <v>0</v>
      </c>
      <c r="B1930" s="31" t="s">
        <v>11</v>
      </c>
      <c r="C1930" s="32"/>
      <c r="D1930" s="32"/>
      <c r="E1930" s="19" t="n">
        <f aca="false">+IF(C1930="EQUIPO",F1930,0)</f>
        <v>0</v>
      </c>
      <c r="F1930" s="33" t="n">
        <v>0</v>
      </c>
      <c r="G1930" s="35" t="n">
        <v>0</v>
      </c>
      <c r="H1930" s="34" t="n">
        <f aca="false">+IF(E1930=0,0,E1930*0.03)</f>
        <v>0</v>
      </c>
    </row>
    <row r="1931" customFormat="false" ht="15.75" hidden="false" customHeight="true" outlineLevel="0" collapsed="false">
      <c r="A1931" s="30" t="n">
        <v>0</v>
      </c>
      <c r="B1931" s="31" t="s">
        <v>11</v>
      </c>
      <c r="C1931" s="32"/>
      <c r="D1931" s="32"/>
      <c r="E1931" s="19" t="n">
        <f aca="false">+IF(C1931="EQUIPO",F1931,0)</f>
        <v>0</v>
      </c>
      <c r="F1931" s="33" t="n">
        <v>0</v>
      </c>
      <c r="G1931" s="35" t="n">
        <v>0</v>
      </c>
      <c r="H1931" s="34" t="n">
        <f aca="false">+IF(E1931=0,0,E1931*0.03)</f>
        <v>0</v>
      </c>
    </row>
    <row r="1932" customFormat="false" ht="15.75" hidden="false" customHeight="true" outlineLevel="0" collapsed="false">
      <c r="A1932" s="30" t="n">
        <v>0</v>
      </c>
      <c r="B1932" s="31" t="s">
        <v>11</v>
      </c>
      <c r="C1932" s="32"/>
      <c r="D1932" s="32"/>
      <c r="E1932" s="19" t="n">
        <f aca="false">+IF(C1932="EQUIPO",F1932,0)</f>
        <v>0</v>
      </c>
      <c r="F1932" s="33" t="n">
        <v>0</v>
      </c>
      <c r="G1932" s="35" t="n">
        <v>0</v>
      </c>
      <c r="H1932" s="34" t="n">
        <f aca="false">+IF(E1932=0,0,E1932*0.03)</f>
        <v>0</v>
      </c>
    </row>
    <row r="1933" customFormat="false" ht="15.75" hidden="false" customHeight="true" outlineLevel="0" collapsed="false">
      <c r="A1933" s="30" t="n">
        <v>0</v>
      </c>
      <c r="B1933" s="31" t="s">
        <v>11</v>
      </c>
      <c r="C1933" s="32"/>
      <c r="D1933" s="32"/>
      <c r="E1933" s="19" t="n">
        <f aca="false">+IF(C1933="EQUIPO",F1933,0)</f>
        <v>0</v>
      </c>
      <c r="F1933" s="33" t="n">
        <v>0</v>
      </c>
      <c r="G1933" s="35" t="n">
        <v>0</v>
      </c>
      <c r="H1933" s="34" t="n">
        <f aca="false">+IF(E1933=0,0,E1933*0.03)</f>
        <v>0</v>
      </c>
    </row>
    <row r="1934" customFormat="false" ht="15.75" hidden="false" customHeight="true" outlineLevel="0" collapsed="false">
      <c r="A1934" s="30" t="n">
        <v>0</v>
      </c>
      <c r="B1934" s="31" t="s">
        <v>11</v>
      </c>
      <c r="C1934" s="32"/>
      <c r="D1934" s="32"/>
      <c r="E1934" s="19" t="n">
        <f aca="false">+IF(C1934="EQUIPO",F1934,0)</f>
        <v>0</v>
      </c>
      <c r="F1934" s="33" t="n">
        <v>0</v>
      </c>
      <c r="G1934" s="35" t="n">
        <v>0</v>
      </c>
      <c r="H1934" s="34" t="n">
        <f aca="false">+IF(E1934=0,0,E1934*0.03)</f>
        <v>0</v>
      </c>
    </row>
    <row r="1935" customFormat="false" ht="15.75" hidden="false" customHeight="true" outlineLevel="0" collapsed="false">
      <c r="A1935" s="30" t="n">
        <v>0</v>
      </c>
      <c r="B1935" s="31" t="s">
        <v>11</v>
      </c>
      <c r="C1935" s="32"/>
      <c r="D1935" s="32"/>
      <c r="E1935" s="19" t="n">
        <f aca="false">+IF(C1935="EQUIPO",F1935,0)</f>
        <v>0</v>
      </c>
      <c r="F1935" s="33" t="n">
        <v>0</v>
      </c>
      <c r="G1935" s="35" t="n">
        <v>0</v>
      </c>
      <c r="H1935" s="34" t="n">
        <f aca="false">+IF(E1935=0,0,E1935*0.03)</f>
        <v>0</v>
      </c>
    </row>
    <row r="1936" customFormat="false" ht="15.75" hidden="false" customHeight="true" outlineLevel="0" collapsed="false">
      <c r="A1936" s="30" t="n">
        <v>0</v>
      </c>
      <c r="B1936" s="31" t="s">
        <v>11</v>
      </c>
      <c r="C1936" s="32"/>
      <c r="D1936" s="32"/>
      <c r="E1936" s="19" t="n">
        <f aca="false">+IF(C1936="EQUIPO",F1936,0)</f>
        <v>0</v>
      </c>
      <c r="F1936" s="33" t="n">
        <v>0</v>
      </c>
      <c r="G1936" s="35" t="n">
        <v>0</v>
      </c>
      <c r="H1936" s="34" t="n">
        <f aca="false">+IF(E1936=0,0,E1936*0.03)</f>
        <v>0</v>
      </c>
    </row>
    <row r="1937" customFormat="false" ht="15.75" hidden="false" customHeight="true" outlineLevel="0" collapsed="false">
      <c r="A1937" s="30" t="n">
        <v>0</v>
      </c>
      <c r="B1937" s="31" t="s">
        <v>11</v>
      </c>
      <c r="C1937" s="32"/>
      <c r="D1937" s="32"/>
      <c r="E1937" s="19" t="n">
        <f aca="false">+IF(C1937="EQUIPO",F1937,0)</f>
        <v>0</v>
      </c>
      <c r="F1937" s="33" t="n">
        <v>0</v>
      </c>
      <c r="G1937" s="35" t="n">
        <v>0</v>
      </c>
      <c r="H1937" s="34" t="n">
        <f aca="false">+IF(E1937=0,0,E1937*0.03)</f>
        <v>0</v>
      </c>
    </row>
    <row r="1938" customFormat="false" ht="15.75" hidden="false" customHeight="true" outlineLevel="0" collapsed="false">
      <c r="A1938" s="30" t="n">
        <v>0</v>
      </c>
      <c r="B1938" s="31" t="s">
        <v>11</v>
      </c>
      <c r="C1938" s="32"/>
      <c r="D1938" s="32"/>
      <c r="E1938" s="19" t="n">
        <f aca="false">+IF(C1938="EQUIPO",F1938,0)</f>
        <v>0</v>
      </c>
      <c r="F1938" s="33" t="n">
        <v>0</v>
      </c>
      <c r="G1938" s="35" t="n">
        <v>0</v>
      </c>
      <c r="H1938" s="34" t="n">
        <f aca="false">+IF(E1938=0,0,E1938*0.03)</f>
        <v>0</v>
      </c>
    </row>
    <row r="1939" customFormat="false" ht="15.75" hidden="false" customHeight="true" outlineLevel="0" collapsed="false">
      <c r="A1939" s="30" t="n">
        <v>0</v>
      </c>
      <c r="B1939" s="31" t="s">
        <v>11</v>
      </c>
      <c r="C1939" s="32"/>
      <c r="D1939" s="32"/>
      <c r="E1939" s="19" t="n">
        <f aca="false">+IF(C1939="EQUIPO",F1939,0)</f>
        <v>0</v>
      </c>
      <c r="F1939" s="33" t="n">
        <v>0</v>
      </c>
      <c r="G1939" s="35" t="n">
        <v>0</v>
      </c>
      <c r="H1939" s="34" t="n">
        <f aca="false">+IF(E1939=0,0,E1939*0.03)</f>
        <v>0</v>
      </c>
    </row>
    <row r="1940" customFormat="false" ht="15.75" hidden="false" customHeight="true" outlineLevel="0" collapsed="false">
      <c r="A1940" s="30" t="n">
        <v>0</v>
      </c>
      <c r="B1940" s="31" t="s">
        <v>11</v>
      </c>
      <c r="C1940" s="32"/>
      <c r="D1940" s="32"/>
      <c r="E1940" s="19" t="n">
        <f aca="false">+IF(C1940="EQUIPO",F1940,0)</f>
        <v>0</v>
      </c>
      <c r="F1940" s="33" t="n">
        <v>0</v>
      </c>
      <c r="G1940" s="35" t="n">
        <v>0</v>
      </c>
      <c r="H1940" s="34" t="n">
        <f aca="false">+IF(E1940=0,0,E1940*0.03)</f>
        <v>0</v>
      </c>
    </row>
    <row r="1941" customFormat="false" ht="15.75" hidden="false" customHeight="true" outlineLevel="0" collapsed="false">
      <c r="A1941" s="30" t="n">
        <v>0</v>
      </c>
      <c r="B1941" s="31" t="s">
        <v>11</v>
      </c>
      <c r="C1941" s="32"/>
      <c r="D1941" s="32"/>
      <c r="E1941" s="19" t="n">
        <f aca="false">+IF(C1941="EQUIPO",F1941,0)</f>
        <v>0</v>
      </c>
      <c r="F1941" s="33" t="n">
        <v>0</v>
      </c>
      <c r="G1941" s="35" t="n">
        <v>0</v>
      </c>
      <c r="H1941" s="34" t="n">
        <f aca="false">+IF(E1941=0,0,E1941*0.03)</f>
        <v>0</v>
      </c>
    </row>
    <row r="1942" customFormat="false" ht="15.75" hidden="false" customHeight="true" outlineLevel="0" collapsed="false">
      <c r="A1942" s="30" t="n">
        <v>0</v>
      </c>
      <c r="B1942" s="31" t="s">
        <v>11</v>
      </c>
      <c r="C1942" s="32"/>
      <c r="D1942" s="32"/>
      <c r="E1942" s="19" t="n">
        <f aca="false">+IF(C1942="EQUIPO",F1942,0)</f>
        <v>0</v>
      </c>
      <c r="F1942" s="33" t="n">
        <v>0</v>
      </c>
      <c r="G1942" s="35" t="n">
        <v>0</v>
      </c>
      <c r="H1942" s="34" t="n">
        <f aca="false">+IF(E1942=0,0,E1942*0.03)</f>
        <v>0</v>
      </c>
    </row>
    <row r="1943" customFormat="false" ht="15.75" hidden="false" customHeight="true" outlineLevel="0" collapsed="false">
      <c r="A1943" s="30" t="n">
        <v>0</v>
      </c>
      <c r="B1943" s="31" t="s">
        <v>11</v>
      </c>
      <c r="C1943" s="32"/>
      <c r="D1943" s="32"/>
      <c r="E1943" s="19" t="n">
        <f aca="false">+IF(C1943="EQUIPO",F1943,0)</f>
        <v>0</v>
      </c>
      <c r="F1943" s="33" t="n">
        <v>0</v>
      </c>
      <c r="G1943" s="35" t="n">
        <v>0</v>
      </c>
      <c r="H1943" s="34" t="n">
        <f aca="false">+IF(E1943=0,0,E1943*0.03)</f>
        <v>0</v>
      </c>
    </row>
    <row r="1944" customFormat="false" ht="15.75" hidden="false" customHeight="true" outlineLevel="0" collapsed="false">
      <c r="A1944" s="30" t="n">
        <v>0</v>
      </c>
      <c r="B1944" s="31" t="s">
        <v>11</v>
      </c>
      <c r="C1944" s="32"/>
      <c r="D1944" s="32"/>
      <c r="E1944" s="19" t="n">
        <f aca="false">+IF(C1944="EQUIPO",F1944,0)</f>
        <v>0</v>
      </c>
      <c r="F1944" s="33" t="n">
        <v>0</v>
      </c>
      <c r="G1944" s="35" t="n">
        <v>0</v>
      </c>
      <c r="H1944" s="34" t="n">
        <f aca="false">+IF(E1944=0,0,E1944*0.03)</f>
        <v>0</v>
      </c>
    </row>
    <row r="1945" customFormat="false" ht="15.75" hidden="false" customHeight="true" outlineLevel="0" collapsed="false">
      <c r="A1945" s="30" t="n">
        <v>0</v>
      </c>
      <c r="B1945" s="31" t="s">
        <v>11</v>
      </c>
      <c r="C1945" s="32"/>
      <c r="D1945" s="32"/>
      <c r="E1945" s="19" t="n">
        <f aca="false">+IF(C1945="EQUIPO",F1945,0)</f>
        <v>0</v>
      </c>
      <c r="F1945" s="33" t="n">
        <v>0</v>
      </c>
      <c r="G1945" s="35" t="n">
        <v>0</v>
      </c>
      <c r="H1945" s="34" t="n">
        <f aca="false">+IF(E1945=0,0,E1945*0.03)</f>
        <v>0</v>
      </c>
    </row>
    <row r="1946" customFormat="false" ht="15.75" hidden="false" customHeight="true" outlineLevel="0" collapsed="false">
      <c r="A1946" s="30" t="n">
        <v>0</v>
      </c>
      <c r="B1946" s="31" t="s">
        <v>11</v>
      </c>
      <c r="C1946" s="32"/>
      <c r="D1946" s="32"/>
      <c r="E1946" s="19" t="n">
        <f aca="false">+IF(C1946="EQUIPO",F1946,0)</f>
        <v>0</v>
      </c>
      <c r="F1946" s="33" t="n">
        <v>0</v>
      </c>
      <c r="G1946" s="35" t="n">
        <v>0</v>
      </c>
      <c r="H1946" s="34" t="n">
        <f aca="false">+IF(E1946=0,0,E1946*0.03)</f>
        <v>0</v>
      </c>
    </row>
    <row r="1947" customFormat="false" ht="15.75" hidden="false" customHeight="true" outlineLevel="0" collapsed="false">
      <c r="A1947" s="30" t="n">
        <v>0</v>
      </c>
      <c r="B1947" s="31" t="s">
        <v>11</v>
      </c>
      <c r="C1947" s="32"/>
      <c r="D1947" s="32"/>
      <c r="E1947" s="19" t="n">
        <f aca="false">+IF(C1947="EQUIPO",F1947,0)</f>
        <v>0</v>
      </c>
      <c r="F1947" s="33" t="n">
        <v>0</v>
      </c>
      <c r="G1947" s="35" t="n">
        <v>0</v>
      </c>
      <c r="H1947" s="34" t="n">
        <f aca="false">+IF(E1947=0,0,E1947*0.03)</f>
        <v>0</v>
      </c>
    </row>
    <row r="1948" customFormat="false" ht="15.75" hidden="false" customHeight="true" outlineLevel="0" collapsed="false">
      <c r="A1948" s="30" t="n">
        <v>0</v>
      </c>
      <c r="B1948" s="31" t="s">
        <v>11</v>
      </c>
      <c r="C1948" s="32"/>
      <c r="D1948" s="32"/>
      <c r="E1948" s="19" t="n">
        <f aca="false">+IF(C1948="EQUIPO",F1948,0)</f>
        <v>0</v>
      </c>
      <c r="F1948" s="33" t="n">
        <v>0</v>
      </c>
      <c r="G1948" s="35" t="n">
        <v>0</v>
      </c>
      <c r="H1948" s="34" t="n">
        <f aca="false">+IF(E1948=0,0,E1948*0.03)</f>
        <v>0</v>
      </c>
    </row>
    <row r="1949" customFormat="false" ht="15.75" hidden="false" customHeight="true" outlineLevel="0" collapsed="false">
      <c r="A1949" s="30" t="n">
        <v>0</v>
      </c>
      <c r="B1949" s="31" t="s">
        <v>11</v>
      </c>
      <c r="C1949" s="32"/>
      <c r="D1949" s="32"/>
      <c r="E1949" s="19" t="n">
        <f aca="false">+IF(C1949="EQUIPO",F1949,0)</f>
        <v>0</v>
      </c>
      <c r="F1949" s="33" t="n">
        <v>0</v>
      </c>
      <c r="G1949" s="35" t="n">
        <v>0</v>
      </c>
      <c r="H1949" s="34" t="n">
        <f aca="false">+IF(E1949=0,0,E1949*0.03)</f>
        <v>0</v>
      </c>
    </row>
    <row r="1950" customFormat="false" ht="15.75" hidden="false" customHeight="true" outlineLevel="0" collapsed="false">
      <c r="A1950" s="30" t="n">
        <v>0</v>
      </c>
      <c r="B1950" s="31" t="s">
        <v>11</v>
      </c>
      <c r="C1950" s="32"/>
      <c r="D1950" s="32"/>
      <c r="E1950" s="19" t="n">
        <f aca="false">+IF(C1950="EQUIPO",F1950,0)</f>
        <v>0</v>
      </c>
      <c r="F1950" s="33" t="n">
        <v>0</v>
      </c>
      <c r="G1950" s="35" t="n">
        <v>0</v>
      </c>
      <c r="H1950" s="34" t="n">
        <f aca="false">+IF(E1950=0,0,E1950*0.03)</f>
        <v>0</v>
      </c>
    </row>
    <row r="1951" customFormat="false" ht="15.75" hidden="false" customHeight="true" outlineLevel="0" collapsed="false">
      <c r="A1951" s="30" t="n">
        <v>0</v>
      </c>
      <c r="B1951" s="31" t="s">
        <v>11</v>
      </c>
      <c r="C1951" s="32"/>
      <c r="D1951" s="32"/>
      <c r="E1951" s="19" t="n">
        <f aca="false">+IF(C1951="EQUIPO",F1951,0)</f>
        <v>0</v>
      </c>
      <c r="F1951" s="33" t="n">
        <v>0</v>
      </c>
      <c r="G1951" s="35" t="n">
        <v>0</v>
      </c>
      <c r="H1951" s="34" t="n">
        <f aca="false">+IF(E1951=0,0,E1951*0.03)</f>
        <v>0</v>
      </c>
    </row>
    <row r="1952" customFormat="false" ht="15.75" hidden="false" customHeight="true" outlineLevel="0" collapsed="false">
      <c r="A1952" s="30" t="n">
        <v>0</v>
      </c>
      <c r="B1952" s="31" t="s">
        <v>11</v>
      </c>
      <c r="C1952" s="32"/>
      <c r="D1952" s="32"/>
      <c r="E1952" s="19" t="n">
        <f aca="false">+IF(C1952="EQUIPO",F1952,0)</f>
        <v>0</v>
      </c>
      <c r="F1952" s="33" t="n">
        <v>0</v>
      </c>
      <c r="G1952" s="35" t="n">
        <v>0</v>
      </c>
      <c r="H1952" s="34" t="n">
        <f aca="false">+IF(E1952=0,0,E1952*0.03)</f>
        <v>0</v>
      </c>
    </row>
    <row r="1953" customFormat="false" ht="15.75" hidden="false" customHeight="true" outlineLevel="0" collapsed="false">
      <c r="A1953" s="30" t="n">
        <v>0</v>
      </c>
      <c r="B1953" s="31" t="s">
        <v>11</v>
      </c>
      <c r="C1953" s="32"/>
      <c r="D1953" s="32"/>
      <c r="E1953" s="19" t="n">
        <f aca="false">+IF(C1953="EQUIPO",F1953,0)</f>
        <v>0</v>
      </c>
      <c r="F1953" s="33" t="n">
        <v>0</v>
      </c>
      <c r="G1953" s="35" t="n">
        <v>0</v>
      </c>
      <c r="H1953" s="34" t="n">
        <f aca="false">+IF(E1953=0,0,E1953*0.03)</f>
        <v>0</v>
      </c>
    </row>
    <row r="1954" customFormat="false" ht="15.75" hidden="false" customHeight="true" outlineLevel="0" collapsed="false">
      <c r="A1954" s="30" t="n">
        <v>0</v>
      </c>
      <c r="B1954" s="31" t="s">
        <v>11</v>
      </c>
      <c r="C1954" s="32"/>
      <c r="D1954" s="32"/>
      <c r="E1954" s="19" t="n">
        <f aca="false">+IF(C1954="EQUIPO",F1954,0)</f>
        <v>0</v>
      </c>
      <c r="F1954" s="33" t="n">
        <v>0</v>
      </c>
      <c r="G1954" s="35" t="n">
        <v>0</v>
      </c>
      <c r="H1954" s="34" t="n">
        <f aca="false">+IF(E1954=0,0,E1954*0.03)</f>
        <v>0</v>
      </c>
    </row>
    <row r="1955" customFormat="false" ht="15.75" hidden="false" customHeight="true" outlineLevel="0" collapsed="false">
      <c r="A1955" s="30" t="n">
        <v>0</v>
      </c>
      <c r="B1955" s="31" t="s">
        <v>11</v>
      </c>
      <c r="C1955" s="32"/>
      <c r="D1955" s="32"/>
      <c r="E1955" s="19" t="n">
        <f aca="false">+IF(C1955="EQUIPO",F1955,0)</f>
        <v>0</v>
      </c>
      <c r="F1955" s="33" t="n">
        <v>0</v>
      </c>
      <c r="G1955" s="35" t="n">
        <v>0</v>
      </c>
      <c r="H1955" s="34" t="n">
        <f aca="false">+IF(E1955=0,0,E1955*0.03)</f>
        <v>0</v>
      </c>
    </row>
    <row r="1956" customFormat="false" ht="15.75" hidden="false" customHeight="true" outlineLevel="0" collapsed="false">
      <c r="A1956" s="30" t="n">
        <v>0</v>
      </c>
      <c r="B1956" s="31" t="s">
        <v>11</v>
      </c>
      <c r="C1956" s="32"/>
      <c r="D1956" s="32"/>
      <c r="E1956" s="19" t="n">
        <f aca="false">+IF(C1956="EQUIPO",F1956,0)</f>
        <v>0</v>
      </c>
      <c r="F1956" s="33" t="n">
        <v>0</v>
      </c>
      <c r="G1956" s="35" t="n">
        <v>0</v>
      </c>
      <c r="H1956" s="34" t="n">
        <f aca="false">+IF(E1956=0,0,E1956*0.03)</f>
        <v>0</v>
      </c>
    </row>
    <row r="1957" customFormat="false" ht="15.75" hidden="false" customHeight="true" outlineLevel="0" collapsed="false">
      <c r="A1957" s="30" t="n">
        <v>0</v>
      </c>
      <c r="B1957" s="31" t="s">
        <v>11</v>
      </c>
      <c r="C1957" s="32"/>
      <c r="D1957" s="32"/>
      <c r="E1957" s="19" t="n">
        <f aca="false">+IF(C1957="EQUIPO",F1957,0)</f>
        <v>0</v>
      </c>
      <c r="F1957" s="33" t="n">
        <v>0</v>
      </c>
      <c r="G1957" s="35" t="n">
        <v>0</v>
      </c>
      <c r="H1957" s="34" t="n">
        <f aca="false">+IF(E1957=0,0,E1957*0.03)</f>
        <v>0</v>
      </c>
    </row>
    <row r="1958" customFormat="false" ht="15.75" hidden="false" customHeight="true" outlineLevel="0" collapsed="false">
      <c r="A1958" s="30" t="n">
        <v>0</v>
      </c>
      <c r="B1958" s="31" t="s">
        <v>11</v>
      </c>
      <c r="C1958" s="32"/>
      <c r="D1958" s="32"/>
      <c r="E1958" s="19" t="n">
        <f aca="false">+IF(C1958="EQUIPO",F1958,0)</f>
        <v>0</v>
      </c>
      <c r="F1958" s="33" t="n">
        <v>0</v>
      </c>
      <c r="G1958" s="35" t="n">
        <v>0</v>
      </c>
      <c r="H1958" s="34" t="n">
        <f aca="false">+IF(E1958=0,0,E1958*0.03)</f>
        <v>0</v>
      </c>
    </row>
    <row r="1959" customFormat="false" ht="15.75" hidden="false" customHeight="true" outlineLevel="0" collapsed="false">
      <c r="A1959" s="30" t="n">
        <v>0</v>
      </c>
      <c r="B1959" s="31" t="s">
        <v>11</v>
      </c>
      <c r="C1959" s="32"/>
      <c r="D1959" s="32"/>
      <c r="E1959" s="19" t="n">
        <f aca="false">+IF(C1959="EQUIPO",F1959,0)</f>
        <v>0</v>
      </c>
      <c r="F1959" s="33" t="n">
        <v>0</v>
      </c>
      <c r="G1959" s="35" t="n">
        <v>0</v>
      </c>
      <c r="H1959" s="34" t="n">
        <f aca="false">+IF(E1959=0,0,E1959*0.03)</f>
        <v>0</v>
      </c>
    </row>
    <row r="1960" customFormat="false" ht="15.75" hidden="false" customHeight="true" outlineLevel="0" collapsed="false">
      <c r="A1960" s="30" t="n">
        <v>0</v>
      </c>
      <c r="B1960" s="31" t="s">
        <v>11</v>
      </c>
      <c r="C1960" s="32"/>
      <c r="D1960" s="32"/>
      <c r="E1960" s="19" t="n">
        <f aca="false">+IF(C1960="EQUIPO",F1960,0)</f>
        <v>0</v>
      </c>
      <c r="F1960" s="33" t="n">
        <v>0</v>
      </c>
      <c r="G1960" s="35" t="n">
        <v>0</v>
      </c>
      <c r="H1960" s="34" t="n">
        <f aca="false">+IF(E1960=0,0,E1960*0.03)</f>
        <v>0</v>
      </c>
    </row>
    <row r="1961" customFormat="false" ht="15.75" hidden="false" customHeight="true" outlineLevel="0" collapsed="false">
      <c r="A1961" s="30" t="n">
        <v>0</v>
      </c>
      <c r="B1961" s="31" t="s">
        <v>11</v>
      </c>
      <c r="C1961" s="32"/>
      <c r="D1961" s="32"/>
      <c r="E1961" s="19" t="n">
        <f aca="false">+IF(C1961="EQUIPO",F1961,0)</f>
        <v>0</v>
      </c>
      <c r="F1961" s="33" t="n">
        <v>0</v>
      </c>
      <c r="G1961" s="35" t="n">
        <v>0</v>
      </c>
      <c r="H1961" s="34" t="n">
        <f aca="false">+IF(E1961=0,0,E1961*0.03)</f>
        <v>0</v>
      </c>
    </row>
    <row r="1962" customFormat="false" ht="15.75" hidden="false" customHeight="true" outlineLevel="0" collapsed="false">
      <c r="A1962" s="30" t="n">
        <v>0</v>
      </c>
      <c r="B1962" s="31" t="s">
        <v>11</v>
      </c>
      <c r="C1962" s="32"/>
      <c r="D1962" s="32"/>
      <c r="E1962" s="19" t="n">
        <f aca="false">+IF(C1962="EQUIPO",F1962,0)</f>
        <v>0</v>
      </c>
      <c r="F1962" s="33" t="n">
        <v>0</v>
      </c>
      <c r="G1962" s="35" t="n">
        <v>0</v>
      </c>
      <c r="H1962" s="34" t="n">
        <f aca="false">+IF(E1962=0,0,E1962*0.03)</f>
        <v>0</v>
      </c>
    </row>
    <row r="1963" customFormat="false" ht="15.75" hidden="false" customHeight="true" outlineLevel="0" collapsed="false">
      <c r="A1963" s="30" t="n">
        <v>0</v>
      </c>
      <c r="B1963" s="31" t="s">
        <v>11</v>
      </c>
      <c r="C1963" s="32"/>
      <c r="D1963" s="32"/>
      <c r="E1963" s="19" t="n">
        <f aca="false">+IF(C1963="EQUIPO",F1963,0)</f>
        <v>0</v>
      </c>
      <c r="F1963" s="33" t="n">
        <v>0</v>
      </c>
      <c r="G1963" s="35" t="n">
        <v>0</v>
      </c>
      <c r="H1963" s="34" t="n">
        <f aca="false">+IF(E1963=0,0,E1963*0.03)</f>
        <v>0</v>
      </c>
    </row>
    <row r="1964" customFormat="false" ht="15.75" hidden="false" customHeight="true" outlineLevel="0" collapsed="false">
      <c r="A1964" s="30" t="n">
        <v>0</v>
      </c>
      <c r="B1964" s="31" t="s">
        <v>11</v>
      </c>
      <c r="C1964" s="32"/>
      <c r="D1964" s="32"/>
      <c r="E1964" s="19" t="n">
        <f aca="false">+IF(C1964="EQUIPO",F1964,0)</f>
        <v>0</v>
      </c>
      <c r="F1964" s="33" t="n">
        <v>0</v>
      </c>
      <c r="G1964" s="35" t="n">
        <v>0</v>
      </c>
      <c r="H1964" s="34" t="n">
        <f aca="false">+IF(E1964=0,0,E1964*0.03)</f>
        <v>0</v>
      </c>
    </row>
    <row r="1965" customFormat="false" ht="15.75" hidden="false" customHeight="true" outlineLevel="0" collapsed="false">
      <c r="A1965" s="30" t="n">
        <v>0</v>
      </c>
      <c r="B1965" s="31" t="s">
        <v>11</v>
      </c>
      <c r="C1965" s="32"/>
      <c r="D1965" s="32"/>
      <c r="E1965" s="19" t="n">
        <f aca="false">+IF(C1965="EQUIPO",F1965,0)</f>
        <v>0</v>
      </c>
      <c r="F1965" s="33" t="n">
        <v>0</v>
      </c>
      <c r="G1965" s="35" t="n">
        <v>0</v>
      </c>
      <c r="H1965" s="34" t="n">
        <f aca="false">+IF(E1965=0,0,E1965*0.03)</f>
        <v>0</v>
      </c>
    </row>
    <row r="1966" customFormat="false" ht="15.75" hidden="false" customHeight="true" outlineLevel="0" collapsed="false">
      <c r="A1966" s="30" t="n">
        <v>0</v>
      </c>
      <c r="B1966" s="31" t="s">
        <v>11</v>
      </c>
      <c r="C1966" s="32"/>
      <c r="D1966" s="32"/>
      <c r="E1966" s="19" t="n">
        <f aca="false">+IF(C1966="EQUIPO",F1966,0)</f>
        <v>0</v>
      </c>
      <c r="F1966" s="33" t="n">
        <v>0</v>
      </c>
      <c r="G1966" s="35" t="n">
        <v>0</v>
      </c>
      <c r="H1966" s="34" t="n">
        <f aca="false">+IF(E1966=0,0,E1966*0.03)</f>
        <v>0</v>
      </c>
    </row>
    <row r="1967" customFormat="false" ht="15.75" hidden="false" customHeight="true" outlineLevel="0" collapsed="false">
      <c r="A1967" s="30" t="n">
        <v>0</v>
      </c>
      <c r="B1967" s="31" t="s">
        <v>11</v>
      </c>
      <c r="C1967" s="32"/>
      <c r="D1967" s="32"/>
      <c r="E1967" s="19" t="n">
        <f aca="false">+IF(C1967="EQUIPO",F1967,0)</f>
        <v>0</v>
      </c>
      <c r="F1967" s="33" t="n">
        <v>0</v>
      </c>
      <c r="G1967" s="35" t="n">
        <v>0</v>
      </c>
      <c r="H1967" s="34" t="n">
        <f aca="false">+IF(E1967=0,0,E1967*0.03)</f>
        <v>0</v>
      </c>
    </row>
    <row r="1968" customFormat="false" ht="15.75" hidden="false" customHeight="true" outlineLevel="0" collapsed="false">
      <c r="A1968" s="30" t="n">
        <v>0</v>
      </c>
      <c r="B1968" s="31" t="s">
        <v>11</v>
      </c>
      <c r="C1968" s="32"/>
      <c r="D1968" s="32"/>
      <c r="E1968" s="19" t="n">
        <f aca="false">+IF(C1968="EQUIPO",F1968,0)</f>
        <v>0</v>
      </c>
      <c r="F1968" s="33" t="n">
        <v>0</v>
      </c>
      <c r="G1968" s="35" t="n">
        <v>0</v>
      </c>
      <c r="H1968" s="34" t="n">
        <f aca="false">+IF(E1968=0,0,E1968*0.03)</f>
        <v>0</v>
      </c>
    </row>
    <row r="1969" customFormat="false" ht="15.75" hidden="false" customHeight="true" outlineLevel="0" collapsed="false">
      <c r="A1969" s="30" t="n">
        <v>0</v>
      </c>
      <c r="B1969" s="31" t="s">
        <v>11</v>
      </c>
      <c r="C1969" s="32"/>
      <c r="D1969" s="32"/>
      <c r="E1969" s="19" t="n">
        <f aca="false">+IF(C1969="EQUIPO",F1969,0)</f>
        <v>0</v>
      </c>
      <c r="F1969" s="33" t="n">
        <v>0</v>
      </c>
      <c r="G1969" s="35" t="n">
        <v>0</v>
      </c>
      <c r="H1969" s="34" t="n">
        <f aca="false">+IF(E1969=0,0,E1969*0.03)</f>
        <v>0</v>
      </c>
    </row>
    <row r="1970" customFormat="false" ht="15.75" hidden="false" customHeight="true" outlineLevel="0" collapsed="false">
      <c r="A1970" s="30" t="n">
        <v>0</v>
      </c>
      <c r="B1970" s="31" t="s">
        <v>11</v>
      </c>
      <c r="C1970" s="32"/>
      <c r="D1970" s="32"/>
      <c r="E1970" s="19" t="n">
        <f aca="false">+IF(C1970="EQUIPO",F1970,0)</f>
        <v>0</v>
      </c>
      <c r="F1970" s="33" t="n">
        <v>0</v>
      </c>
      <c r="G1970" s="35" t="n">
        <v>0</v>
      </c>
      <c r="H1970" s="34" t="n">
        <f aca="false">+IF(E1970=0,0,E1970*0.03)</f>
        <v>0</v>
      </c>
    </row>
    <row r="1971" customFormat="false" ht="15.75" hidden="false" customHeight="true" outlineLevel="0" collapsed="false">
      <c r="A1971" s="30" t="n">
        <v>0</v>
      </c>
      <c r="B1971" s="31" t="s">
        <v>11</v>
      </c>
      <c r="C1971" s="32"/>
      <c r="D1971" s="32"/>
      <c r="E1971" s="19" t="n">
        <f aca="false">+IF(C1971="EQUIPO",F1971,0)</f>
        <v>0</v>
      </c>
      <c r="F1971" s="33" t="n">
        <v>0</v>
      </c>
      <c r="G1971" s="35" t="n">
        <v>0</v>
      </c>
      <c r="H1971" s="34" t="n">
        <f aca="false">+IF(E1971=0,0,E1971*0.03)</f>
        <v>0</v>
      </c>
    </row>
    <row r="1972" customFormat="false" ht="15.75" hidden="false" customHeight="true" outlineLevel="0" collapsed="false">
      <c r="A1972" s="30" t="n">
        <v>0</v>
      </c>
      <c r="B1972" s="31" t="s">
        <v>11</v>
      </c>
      <c r="C1972" s="32"/>
      <c r="D1972" s="32"/>
      <c r="E1972" s="19" t="n">
        <f aca="false">+IF(C1972="EQUIPO",F1972,0)</f>
        <v>0</v>
      </c>
      <c r="F1972" s="33" t="n">
        <v>0</v>
      </c>
      <c r="G1972" s="35" t="n">
        <v>0</v>
      </c>
      <c r="H1972" s="34" t="n">
        <f aca="false">+IF(E1972=0,0,E1972*0.03)</f>
        <v>0</v>
      </c>
    </row>
    <row r="1973" customFormat="false" ht="15.75" hidden="false" customHeight="true" outlineLevel="0" collapsed="false">
      <c r="A1973" s="30" t="n">
        <v>0</v>
      </c>
      <c r="B1973" s="31" t="s">
        <v>11</v>
      </c>
      <c r="C1973" s="32"/>
      <c r="D1973" s="32"/>
      <c r="E1973" s="19" t="n">
        <f aca="false">+IF(C1973="EQUIPO",F1973,0)</f>
        <v>0</v>
      </c>
      <c r="F1973" s="33" t="n">
        <v>0</v>
      </c>
      <c r="G1973" s="35" t="n">
        <v>0</v>
      </c>
      <c r="H1973" s="34" t="n">
        <f aca="false">+IF(E1973=0,0,E1973*0.03)</f>
        <v>0</v>
      </c>
    </row>
    <row r="1974" customFormat="false" ht="15.75" hidden="false" customHeight="true" outlineLevel="0" collapsed="false">
      <c r="A1974" s="30" t="n">
        <v>0</v>
      </c>
      <c r="B1974" s="31" t="s">
        <v>11</v>
      </c>
      <c r="C1974" s="32"/>
      <c r="D1974" s="32"/>
      <c r="E1974" s="19" t="n">
        <f aca="false">+IF(C1974="EQUIPO",F1974,0)</f>
        <v>0</v>
      </c>
      <c r="F1974" s="33" t="n">
        <v>0</v>
      </c>
      <c r="G1974" s="35" t="n">
        <v>0</v>
      </c>
      <c r="H1974" s="34" t="n">
        <f aca="false">+IF(E1974=0,0,E1974*0.03)</f>
        <v>0</v>
      </c>
    </row>
    <row r="1975" customFormat="false" ht="15.75" hidden="false" customHeight="true" outlineLevel="0" collapsed="false">
      <c r="A1975" s="30" t="n">
        <v>0</v>
      </c>
      <c r="B1975" s="31" t="s">
        <v>11</v>
      </c>
      <c r="C1975" s="32"/>
      <c r="D1975" s="32"/>
      <c r="E1975" s="19" t="n">
        <f aca="false">+IF(C1975="EQUIPO",F1975,0)</f>
        <v>0</v>
      </c>
      <c r="F1975" s="33" t="n">
        <v>0</v>
      </c>
      <c r="G1975" s="35" t="n">
        <v>0</v>
      </c>
      <c r="H1975" s="34" t="n">
        <f aca="false">+IF(E1975=0,0,E1975*0.03)</f>
        <v>0</v>
      </c>
    </row>
    <row r="1976" customFormat="false" ht="15.75" hidden="false" customHeight="true" outlineLevel="0" collapsed="false">
      <c r="A1976" s="30" t="n">
        <v>0</v>
      </c>
      <c r="B1976" s="31" t="s">
        <v>11</v>
      </c>
      <c r="C1976" s="32"/>
      <c r="D1976" s="32"/>
      <c r="E1976" s="19" t="n">
        <f aca="false">+IF(C1976="EQUIPO",F1976,0)</f>
        <v>0</v>
      </c>
      <c r="F1976" s="33" t="n">
        <v>0</v>
      </c>
      <c r="G1976" s="35" t="n">
        <v>0</v>
      </c>
      <c r="H1976" s="34" t="n">
        <f aca="false">+IF(E1976=0,0,E1976*0.03)</f>
        <v>0</v>
      </c>
    </row>
    <row r="1977" customFormat="false" ht="15.75" hidden="false" customHeight="true" outlineLevel="0" collapsed="false">
      <c r="A1977" s="30" t="n">
        <v>0</v>
      </c>
      <c r="B1977" s="31" t="s">
        <v>11</v>
      </c>
      <c r="C1977" s="32"/>
      <c r="D1977" s="32"/>
      <c r="E1977" s="19" t="n">
        <f aca="false">+IF(C1977="EQUIPO",F1977,0)</f>
        <v>0</v>
      </c>
      <c r="F1977" s="33" t="n">
        <v>0</v>
      </c>
      <c r="G1977" s="35" t="n">
        <v>0</v>
      </c>
      <c r="H1977" s="34" t="n">
        <f aca="false">+IF(E1977=0,0,E1977*0.03)</f>
        <v>0</v>
      </c>
    </row>
    <row r="1978" customFormat="false" ht="15.75" hidden="false" customHeight="true" outlineLevel="0" collapsed="false">
      <c r="A1978" s="30" t="n">
        <v>0</v>
      </c>
      <c r="B1978" s="31" t="s">
        <v>11</v>
      </c>
      <c r="C1978" s="32"/>
      <c r="D1978" s="32"/>
      <c r="E1978" s="19" t="n">
        <f aca="false">+IF(C1978="EQUIPO",F1978,0)</f>
        <v>0</v>
      </c>
      <c r="F1978" s="33" t="n">
        <v>0</v>
      </c>
      <c r="G1978" s="35" t="n">
        <v>0</v>
      </c>
      <c r="H1978" s="34" t="n">
        <f aca="false">+IF(E1978=0,0,E1978*0.03)</f>
        <v>0</v>
      </c>
    </row>
    <row r="1979" customFormat="false" ht="15.75" hidden="false" customHeight="true" outlineLevel="0" collapsed="false">
      <c r="A1979" s="30" t="n">
        <v>0</v>
      </c>
      <c r="B1979" s="31" t="s">
        <v>11</v>
      </c>
      <c r="C1979" s="32"/>
      <c r="D1979" s="32"/>
      <c r="E1979" s="19" t="n">
        <f aca="false">+IF(C1979="EQUIPO",F1979,0)</f>
        <v>0</v>
      </c>
      <c r="F1979" s="33" t="n">
        <v>0</v>
      </c>
      <c r="G1979" s="35" t="n">
        <v>0</v>
      </c>
      <c r="H1979" s="34" t="n">
        <f aca="false">+IF(E1979=0,0,E1979*0.03)</f>
        <v>0</v>
      </c>
    </row>
    <row r="1980" customFormat="false" ht="15.75" hidden="false" customHeight="true" outlineLevel="0" collapsed="false">
      <c r="A1980" s="30" t="n">
        <v>0</v>
      </c>
      <c r="B1980" s="31" t="s">
        <v>11</v>
      </c>
      <c r="C1980" s="32"/>
      <c r="D1980" s="32"/>
      <c r="E1980" s="19" t="n">
        <f aca="false">+IF(C1980="EQUIPO",F1980,0)</f>
        <v>0</v>
      </c>
      <c r="F1980" s="33" t="n">
        <v>0</v>
      </c>
      <c r="G1980" s="35" t="n">
        <v>0</v>
      </c>
      <c r="H1980" s="34" t="n">
        <f aca="false">+IF(E1980=0,0,E1980*0.03)</f>
        <v>0</v>
      </c>
    </row>
    <row r="1981" customFormat="false" ht="15.75" hidden="false" customHeight="true" outlineLevel="0" collapsed="false">
      <c r="A1981" s="30" t="n">
        <v>0</v>
      </c>
      <c r="B1981" s="31" t="s">
        <v>11</v>
      </c>
      <c r="C1981" s="32"/>
      <c r="D1981" s="32"/>
      <c r="E1981" s="19" t="n">
        <f aca="false">+IF(C1981="EQUIPO",F1981,0)</f>
        <v>0</v>
      </c>
      <c r="F1981" s="33" t="n">
        <v>0</v>
      </c>
      <c r="G1981" s="35" t="n">
        <v>0</v>
      </c>
      <c r="H1981" s="34" t="n">
        <f aca="false">+IF(E1981=0,0,E1981*0.03)</f>
        <v>0</v>
      </c>
    </row>
    <row r="1982" customFormat="false" ht="15.75" hidden="false" customHeight="true" outlineLevel="0" collapsed="false">
      <c r="B1982" s="31"/>
      <c r="C1982" s="32"/>
      <c r="D1982" s="32" t="s">
        <v>26</v>
      </c>
      <c r="E1982" s="19" t="n">
        <f aca="false">SUM(E7:E1981)</f>
        <v>505000</v>
      </c>
      <c r="F1982" s="19" t="n">
        <f aca="false">SUM(F7:F1981)</f>
        <v>505000</v>
      </c>
      <c r="G1982" s="37" t="n">
        <f aca="false">SUM(G7:G1981)</f>
        <v>0</v>
      </c>
      <c r="H1982" s="38" t="n">
        <f aca="false">SUM(H7:H1981)</f>
        <v>15150</v>
      </c>
    </row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>
      <c r="P1988" s="36"/>
    </row>
    <row r="1989" customFormat="false" ht="15.75" hidden="false" customHeight="true" outlineLevel="0" collapsed="false"/>
    <row r="1990" customFormat="false" ht="15.75" hidden="false" customHeight="true" outlineLevel="0" collapsed="false">
      <c r="O1990" s="36"/>
      <c r="P1990" s="36"/>
    </row>
  </sheetData>
  <autoFilter ref="A6:H1982"/>
  <mergeCells count="4">
    <mergeCell ref="A1:A5"/>
    <mergeCell ref="G1:H1"/>
    <mergeCell ref="G2:H2"/>
    <mergeCell ref="C5:H5"/>
  </mergeCells>
  <dataValidations count="1">
    <dataValidation allowBlank="true" errorStyle="stop" operator="between" showDropDown="false" showErrorMessage="true" showInputMessage="false" sqref="B7:B1982" type="list">
      <formula1>$B$1:$B$4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9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6" topLeftCell="A7" activePane="bottomLeft" state="frozen"/>
      <selection pane="topLeft" activeCell="B1" activeCellId="0" sqref="B1"/>
      <selection pane="bottomLeft" activeCell="J11" activeCellId="0" sqref="J11"/>
    </sheetView>
  </sheetViews>
  <sheetFormatPr defaultColWidth="14.4296875" defaultRowHeight="15" zeroHeight="false" outlineLevelRow="0" outlineLevelCol="0"/>
  <cols>
    <col collapsed="false" customWidth="true" hidden="false" outlineLevel="0" max="2" min="2" style="0" width="19.86"/>
    <col collapsed="false" customWidth="true" hidden="false" outlineLevel="0" max="3" min="3" style="0" width="17.14"/>
    <col collapsed="false" customWidth="true" hidden="false" outlineLevel="0" max="4" min="4" style="0" width="20.57"/>
    <col collapsed="false" customWidth="true" hidden="true" outlineLevel="0" max="5" min="5" style="0" width="23"/>
    <col collapsed="false" customWidth="true" hidden="false" outlineLevel="0" max="7" min="6" style="0" width="18.43"/>
    <col collapsed="false" customWidth="true" hidden="false" outlineLevel="0" max="8" min="8" style="0" width="13.86"/>
    <col collapsed="false" customWidth="true" hidden="false" outlineLevel="0" max="9" min="9" style="0" width="21"/>
    <col collapsed="false" customWidth="true" hidden="false" outlineLevel="0" max="10" min="10" style="0" width="18.5"/>
    <col collapsed="false" customWidth="true" hidden="false" outlineLevel="0" max="14" min="11" style="0" width="10.7"/>
    <col collapsed="false" customWidth="true" hidden="false" outlineLevel="0" max="15" min="15" style="0" width="13.57"/>
    <col collapsed="false" customWidth="true" hidden="false" outlineLevel="0" max="16" min="16" style="0" width="14.7"/>
    <col collapsed="false" customWidth="true" hidden="false" outlineLevel="0" max="25" min="17" style="0" width="10.7"/>
  </cols>
  <sheetData>
    <row r="1" customFormat="false" ht="52.2" hidden="false" customHeight="true" outlineLevel="0" collapsed="false">
      <c r="A1" s="1" t="s">
        <v>27</v>
      </c>
      <c r="B1" s="39" t="s">
        <v>1</v>
      </c>
      <c r="C1" s="40" t="s">
        <v>2</v>
      </c>
      <c r="D1" s="41" t="s">
        <v>3</v>
      </c>
      <c r="E1" s="42"/>
      <c r="F1" s="43" t="s">
        <v>4</v>
      </c>
      <c r="G1" s="44" t="s">
        <v>28</v>
      </c>
      <c r="H1" s="45" t="s">
        <v>29</v>
      </c>
      <c r="I1" s="45"/>
    </row>
    <row r="2" customFormat="false" ht="18.75" hidden="false" customHeight="true" outlineLevel="0" collapsed="false">
      <c r="A2" s="1"/>
      <c r="B2" s="46" t="s">
        <v>6</v>
      </c>
      <c r="C2" s="9" t="n">
        <f aca="false">+I1982</f>
        <v>158850</v>
      </c>
      <c r="D2" s="10" t="n">
        <f aca="false">+F1982</f>
        <v>5295000</v>
      </c>
      <c r="E2" s="11"/>
      <c r="F2" s="47" t="n">
        <f aca="false">+D2-(C2+E2)</f>
        <v>5136150</v>
      </c>
      <c r="G2" s="48" t="s">
        <v>30</v>
      </c>
      <c r="H2" s="49" t="n">
        <f aca="false">+C2/3</f>
        <v>52950</v>
      </c>
      <c r="I2" s="49"/>
      <c r="Y2" s="14"/>
    </row>
    <row r="3" customFormat="false" ht="28.5" hidden="false" customHeight="true" outlineLevel="0" collapsed="false">
      <c r="A3" s="1"/>
      <c r="B3" s="46" t="s">
        <v>7</v>
      </c>
      <c r="C3" s="15" t="s">
        <v>8</v>
      </c>
      <c r="D3" s="16" t="s">
        <v>9</v>
      </c>
      <c r="E3" s="17"/>
      <c r="F3" s="50" t="s">
        <v>10</v>
      </c>
      <c r="G3" s="51" t="s">
        <v>31</v>
      </c>
      <c r="H3" s="52" t="n">
        <v>0.5</v>
      </c>
      <c r="I3" s="53" t="n">
        <v>0.25</v>
      </c>
      <c r="Y3" s="14"/>
    </row>
    <row r="4" customFormat="false" ht="14.25" hidden="false" customHeight="true" outlineLevel="0" collapsed="false">
      <c r="A4" s="1"/>
      <c r="B4" s="54" t="s">
        <v>11</v>
      </c>
      <c r="C4" s="55" t="n">
        <f aca="false">+C2*H3</f>
        <v>79425</v>
      </c>
      <c r="D4" s="56" t="n">
        <f aca="false">+C2*I3</f>
        <v>39712.5</v>
      </c>
      <c r="E4" s="57"/>
      <c r="F4" s="58" t="n">
        <f aca="false">+D4</f>
        <v>39712.5</v>
      </c>
      <c r="G4" s="59" t="s">
        <v>32</v>
      </c>
      <c r="H4" s="60" t="n">
        <f aca="false">+C2-C4</f>
        <v>79425</v>
      </c>
      <c r="I4" s="61" t="n">
        <v>1</v>
      </c>
    </row>
    <row r="5" customFormat="false" ht="24.75" hidden="false" customHeight="true" outlineLevel="0" collapsed="false">
      <c r="A5" s="1"/>
      <c r="B5" s="23" t="s">
        <v>12</v>
      </c>
      <c r="C5" s="24" t="n">
        <f aca="false">H1982</f>
        <v>0</v>
      </c>
      <c r="D5" s="24"/>
      <c r="E5" s="24"/>
      <c r="F5" s="24"/>
      <c r="G5" s="24"/>
      <c r="H5" s="24"/>
      <c r="I5" s="24"/>
    </row>
    <row r="6" customFormat="false" ht="21.75" hidden="false" customHeight="true" outlineLevel="0" collapsed="false">
      <c r="A6" s="25" t="s">
        <v>13</v>
      </c>
      <c r="B6" s="25" t="s">
        <v>14</v>
      </c>
      <c r="C6" s="25" t="s">
        <v>15</v>
      </c>
      <c r="D6" s="26" t="s">
        <v>16</v>
      </c>
      <c r="E6" s="26" t="s">
        <v>17</v>
      </c>
      <c r="F6" s="27" t="s">
        <v>18</v>
      </c>
      <c r="G6" s="27" t="s">
        <v>28</v>
      </c>
      <c r="H6" s="28" t="s">
        <v>19</v>
      </c>
      <c r="I6" s="29" t="s">
        <v>20</v>
      </c>
      <c r="O6" s="19"/>
    </row>
    <row r="7" customFormat="false" ht="1.5" hidden="false" customHeight="true" outlineLevel="0" collapsed="false">
      <c r="A7" s="30" t="n">
        <v>45323</v>
      </c>
      <c r="B7" s="31" t="s">
        <v>1</v>
      </c>
      <c r="C7" s="32" t="s">
        <v>15</v>
      </c>
      <c r="D7" s="32"/>
      <c r="E7" s="19" t="n">
        <f aca="false">+IF(C7="EQUIPO",F7,0)</f>
        <v>0</v>
      </c>
      <c r="F7" s="33" t="n">
        <v>0</v>
      </c>
      <c r="G7" s="62" t="s">
        <v>30</v>
      </c>
      <c r="H7" s="34" t="n">
        <v>0</v>
      </c>
      <c r="I7" s="34" t="n">
        <f aca="false">+IF(E7=0,0,E7*0.03)</f>
        <v>0</v>
      </c>
      <c r="O7" s="19"/>
    </row>
    <row r="8" customFormat="false" ht="14.25" hidden="false" customHeight="true" outlineLevel="0" collapsed="false">
      <c r="A8" s="30" t="n">
        <v>45323</v>
      </c>
      <c r="B8" s="31" t="s">
        <v>11</v>
      </c>
      <c r="C8" s="32" t="s">
        <v>15</v>
      </c>
      <c r="D8" s="32" t="s">
        <v>33</v>
      </c>
      <c r="E8" s="19" t="n">
        <f aca="false">+IF(C8="EQUIPO",F8,0)</f>
        <v>250000</v>
      </c>
      <c r="F8" s="33" t="n">
        <v>250000</v>
      </c>
      <c r="G8" s="62" t="s">
        <v>32</v>
      </c>
      <c r="H8" s="34" t="n">
        <v>0</v>
      </c>
      <c r="I8" s="34" t="n">
        <f aca="false">+IF(E8=0,0,E8*0.03)</f>
        <v>7500</v>
      </c>
    </row>
    <row r="9" customFormat="false" ht="14.25" hidden="false" customHeight="true" outlineLevel="0" collapsed="false">
      <c r="A9" s="30" t="n">
        <v>45323</v>
      </c>
      <c r="B9" s="31" t="s">
        <v>7</v>
      </c>
      <c r="C9" s="32" t="s">
        <v>15</v>
      </c>
      <c r="D9" s="32" t="s">
        <v>34</v>
      </c>
      <c r="E9" s="19" t="n">
        <f aca="false">+IF(C9="EQUIPO",F9,0)</f>
        <v>80000</v>
      </c>
      <c r="F9" s="33" t="n">
        <v>80000</v>
      </c>
      <c r="G9" s="62" t="s">
        <v>31</v>
      </c>
      <c r="H9" s="34" t="n">
        <v>0</v>
      </c>
      <c r="I9" s="34" t="n">
        <f aca="false">+IF(E9=0,0,E9*0.03)</f>
        <v>2400</v>
      </c>
    </row>
    <row r="10" customFormat="false" ht="14.25" hidden="false" customHeight="true" outlineLevel="0" collapsed="false">
      <c r="A10" s="30" t="n">
        <v>45323</v>
      </c>
      <c r="B10" s="31" t="s">
        <v>11</v>
      </c>
      <c r="C10" s="32" t="s">
        <v>15</v>
      </c>
      <c r="D10" s="32" t="s">
        <v>35</v>
      </c>
      <c r="E10" s="19" t="n">
        <f aca="false">+IF(C10="EQUIPO",F10,0)</f>
        <v>70000</v>
      </c>
      <c r="F10" s="33" t="n">
        <v>70000</v>
      </c>
      <c r="G10" s="62" t="s">
        <v>31</v>
      </c>
      <c r="H10" s="34" t="n">
        <v>0</v>
      </c>
      <c r="I10" s="34" t="n">
        <f aca="false">+IF(E10=0,0,E10*0.03)</f>
        <v>2100</v>
      </c>
      <c r="J10" s="0" t="n">
        <f aca="false">F11+F19+F28</f>
        <v>720000</v>
      </c>
    </row>
    <row r="11" customFormat="false" ht="14.25" hidden="false" customHeight="true" outlineLevel="0" collapsed="false">
      <c r="A11" s="30" t="n">
        <v>45323</v>
      </c>
      <c r="B11" s="31" t="s">
        <v>6</v>
      </c>
      <c r="C11" s="32" t="s">
        <v>15</v>
      </c>
      <c r="D11" s="32" t="s">
        <v>36</v>
      </c>
      <c r="E11" s="19" t="n">
        <f aca="false">+IF(C11="EQUIPO",F11,0)</f>
        <v>160000</v>
      </c>
      <c r="F11" s="33" t="n">
        <v>160000</v>
      </c>
      <c r="G11" s="62" t="s">
        <v>31</v>
      </c>
      <c r="H11" s="35" t="n">
        <v>0</v>
      </c>
      <c r="I11" s="34" t="n">
        <f aca="false">+IF(E11=0,0,E11*0.03)</f>
        <v>4800</v>
      </c>
      <c r="O11" s="36"/>
    </row>
    <row r="12" customFormat="false" ht="14.25" hidden="false" customHeight="true" outlineLevel="0" collapsed="false">
      <c r="A12" s="30" t="n">
        <v>45323</v>
      </c>
      <c r="B12" s="31" t="s">
        <v>11</v>
      </c>
      <c r="C12" s="32" t="s">
        <v>15</v>
      </c>
      <c r="D12" s="32" t="s">
        <v>37</v>
      </c>
      <c r="E12" s="19" t="n">
        <f aca="false">+IF(C12="EQUIPO",F12,0)</f>
        <v>120000</v>
      </c>
      <c r="F12" s="33" t="n">
        <v>120000</v>
      </c>
      <c r="G12" s="62" t="s">
        <v>30</v>
      </c>
      <c r="H12" s="35" t="n">
        <v>0</v>
      </c>
      <c r="I12" s="34" t="n">
        <f aca="false">+IF(E12=0,0,E12*0.03)</f>
        <v>3600</v>
      </c>
    </row>
    <row r="13" customFormat="false" ht="14.25" hidden="false" customHeight="true" outlineLevel="0" collapsed="false">
      <c r="A13" s="30" t="n">
        <v>45323</v>
      </c>
      <c r="B13" s="31" t="s">
        <v>1</v>
      </c>
      <c r="C13" s="32" t="s">
        <v>15</v>
      </c>
      <c r="D13" s="32" t="s">
        <v>38</v>
      </c>
      <c r="E13" s="19" t="n">
        <f aca="false">+IF(C13="EQUIPO",F13,0)</f>
        <v>1460000</v>
      </c>
      <c r="F13" s="33" t="n">
        <v>1460000</v>
      </c>
      <c r="G13" s="62" t="s">
        <v>31</v>
      </c>
      <c r="H13" s="35" t="n">
        <v>0</v>
      </c>
      <c r="I13" s="34" t="n">
        <f aca="false">+IF(E13=0,0,E13*0.03)</f>
        <v>43800</v>
      </c>
    </row>
    <row r="14" customFormat="false" ht="14.25" hidden="false" customHeight="true" outlineLevel="0" collapsed="false">
      <c r="A14" s="30" t="n">
        <v>45323</v>
      </c>
      <c r="B14" s="31" t="s">
        <v>7</v>
      </c>
      <c r="C14" s="32" t="s">
        <v>15</v>
      </c>
      <c r="D14" s="32" t="s">
        <v>39</v>
      </c>
      <c r="E14" s="19" t="n">
        <f aca="false">+IF(C14="EQUIPO",F14,0)</f>
        <v>100000</v>
      </c>
      <c r="F14" s="33" t="n">
        <v>100000</v>
      </c>
      <c r="G14" s="62"/>
      <c r="H14" s="35" t="n">
        <v>0</v>
      </c>
      <c r="I14" s="34" t="n">
        <f aca="false">+IF(E14=0,0,E14*0.03)</f>
        <v>3000</v>
      </c>
    </row>
    <row r="15" customFormat="false" ht="14.25" hidden="false" customHeight="true" outlineLevel="0" collapsed="false">
      <c r="A15" s="30" t="n">
        <v>45326</v>
      </c>
      <c r="B15" s="31" t="s">
        <v>11</v>
      </c>
      <c r="C15" s="32" t="s">
        <v>15</v>
      </c>
      <c r="D15" s="32" t="s">
        <v>40</v>
      </c>
      <c r="E15" s="19" t="n">
        <f aca="false">+IF(C15="EQUIPO",F15,0)</f>
        <v>80000</v>
      </c>
      <c r="F15" s="33" t="n">
        <v>80000</v>
      </c>
      <c r="G15" s="62" t="s">
        <v>32</v>
      </c>
      <c r="H15" s="35" t="n">
        <v>0</v>
      </c>
      <c r="I15" s="34" t="n">
        <f aca="false">+IF(E15=0,0,E15*0.03)</f>
        <v>2400</v>
      </c>
    </row>
    <row r="16" customFormat="false" ht="14.25" hidden="false" customHeight="true" outlineLevel="0" collapsed="false">
      <c r="A16" s="30" t="n">
        <v>45327</v>
      </c>
      <c r="B16" s="31" t="s">
        <v>11</v>
      </c>
      <c r="C16" s="32" t="s">
        <v>15</v>
      </c>
      <c r="D16" s="32" t="s">
        <v>41</v>
      </c>
      <c r="E16" s="19" t="n">
        <f aca="false">+IF(C16="EQUIPO",F16,0)</f>
        <v>50000</v>
      </c>
      <c r="F16" s="33" t="n">
        <v>50000</v>
      </c>
      <c r="G16" s="62" t="s">
        <v>31</v>
      </c>
      <c r="H16" s="35" t="n">
        <v>0</v>
      </c>
      <c r="I16" s="34" t="n">
        <f aca="false">+IF(E16=0,0,E16*0.03)</f>
        <v>1500</v>
      </c>
    </row>
    <row r="17" customFormat="false" ht="14.25" hidden="false" customHeight="true" outlineLevel="0" collapsed="false">
      <c r="A17" s="30" t="n">
        <v>45327</v>
      </c>
      <c r="B17" s="31" t="s">
        <v>11</v>
      </c>
      <c r="C17" s="32" t="s">
        <v>15</v>
      </c>
      <c r="D17" s="32" t="s">
        <v>42</v>
      </c>
      <c r="E17" s="19" t="n">
        <f aca="false">+IF(C17="EQUIPO",F17,0)</f>
        <v>150000</v>
      </c>
      <c r="F17" s="33" t="n">
        <v>150000</v>
      </c>
      <c r="G17" s="62" t="s">
        <v>32</v>
      </c>
      <c r="H17" s="35" t="n">
        <v>0</v>
      </c>
      <c r="I17" s="34" t="n">
        <f aca="false">+IF(E17=0,0,E17*0.03)</f>
        <v>4500</v>
      </c>
    </row>
    <row r="18" customFormat="false" ht="14.25" hidden="false" customHeight="true" outlineLevel="0" collapsed="false">
      <c r="A18" s="63" t="n">
        <v>45445</v>
      </c>
      <c r="B18" s="31" t="s">
        <v>11</v>
      </c>
      <c r="C18" s="32" t="s">
        <v>15</v>
      </c>
      <c r="D18" s="32" t="s">
        <v>43</v>
      </c>
      <c r="E18" s="19" t="n">
        <f aca="false">+IF(C18="EQUIPO",F18,0)</f>
        <v>70000</v>
      </c>
      <c r="F18" s="33" t="n">
        <v>70000</v>
      </c>
      <c r="G18" s="62" t="s">
        <v>31</v>
      </c>
      <c r="H18" s="35" t="n">
        <v>0</v>
      </c>
      <c r="I18" s="34" t="n">
        <f aca="false">+IF(E18=0,0,E18*0.03)</f>
        <v>2100</v>
      </c>
    </row>
    <row r="19" customFormat="false" ht="14.25" hidden="false" customHeight="true" outlineLevel="0" collapsed="false">
      <c r="A19" s="63" t="n">
        <v>45475</v>
      </c>
      <c r="B19" s="31" t="s">
        <v>6</v>
      </c>
      <c r="C19" s="32" t="s">
        <v>15</v>
      </c>
      <c r="D19" s="32" t="s">
        <v>44</v>
      </c>
      <c r="E19" s="19" t="n">
        <f aca="false">+IF(C19="EQUIPO",F19,0)</f>
        <v>430000</v>
      </c>
      <c r="F19" s="33" t="n">
        <v>430000</v>
      </c>
      <c r="G19" s="62" t="s">
        <v>31</v>
      </c>
      <c r="H19" s="35" t="n">
        <v>0</v>
      </c>
      <c r="I19" s="34" t="n">
        <f aca="false">+IF(E19=0,0,E19*0.03)</f>
        <v>12900</v>
      </c>
    </row>
    <row r="20" customFormat="false" ht="14.25" hidden="false" customHeight="true" outlineLevel="0" collapsed="false">
      <c r="A20" s="63" t="n">
        <v>45475</v>
      </c>
      <c r="B20" s="31" t="s">
        <v>7</v>
      </c>
      <c r="C20" s="32" t="s">
        <v>15</v>
      </c>
      <c r="D20" s="32" t="s">
        <v>45</v>
      </c>
      <c r="E20" s="19" t="n">
        <f aca="false">+IF(C20="EQUIPO",F20,0)</f>
        <v>45000</v>
      </c>
      <c r="F20" s="33" t="n">
        <v>45000</v>
      </c>
      <c r="G20" s="62" t="s">
        <v>31</v>
      </c>
      <c r="H20" s="35" t="n">
        <v>0</v>
      </c>
      <c r="I20" s="34" t="n">
        <f aca="false">+IF(E20=0,0,E20*0.03)</f>
        <v>1350</v>
      </c>
    </row>
    <row r="21" customFormat="false" ht="14.25" hidden="false" customHeight="true" outlineLevel="0" collapsed="false">
      <c r="A21" s="30" t="n">
        <v>45414</v>
      </c>
      <c r="B21" s="31" t="s">
        <v>11</v>
      </c>
      <c r="C21" s="32" t="s">
        <v>15</v>
      </c>
      <c r="D21" s="32" t="s">
        <v>46</v>
      </c>
      <c r="E21" s="19" t="n">
        <f aca="false">+IF(C21="EQUIPO",F21,0)</f>
        <v>50000</v>
      </c>
      <c r="F21" s="33" t="n">
        <v>50000</v>
      </c>
      <c r="G21" s="62" t="s">
        <v>31</v>
      </c>
      <c r="H21" s="35" t="n">
        <v>0</v>
      </c>
      <c r="I21" s="34" t="n">
        <f aca="false">+IF(E21=0,0,E21*0.03)</f>
        <v>1500</v>
      </c>
    </row>
    <row r="22" customFormat="false" ht="15.75" hidden="false" customHeight="true" outlineLevel="0" collapsed="false">
      <c r="A22" s="63" t="n">
        <v>45506</v>
      </c>
      <c r="B22" s="31" t="s">
        <v>7</v>
      </c>
      <c r="C22" s="32" t="s">
        <v>15</v>
      </c>
      <c r="D22" s="32" t="s">
        <v>47</v>
      </c>
      <c r="E22" s="19" t="n">
        <f aca="false">+IF(C22="EQUIPO",F22,0)</f>
        <v>20000</v>
      </c>
      <c r="F22" s="33" t="n">
        <v>20000</v>
      </c>
      <c r="G22" s="62" t="s">
        <v>31</v>
      </c>
      <c r="H22" s="35" t="n">
        <v>0</v>
      </c>
      <c r="I22" s="34" t="n">
        <f aca="false">+IF(E22=0,0,E22*0.03)</f>
        <v>600</v>
      </c>
    </row>
    <row r="23" customFormat="false" ht="15.75" hidden="false" customHeight="true" outlineLevel="0" collapsed="false">
      <c r="A23" s="30" t="n">
        <v>45506</v>
      </c>
      <c r="B23" s="31" t="s">
        <v>7</v>
      </c>
      <c r="C23" s="32" t="s">
        <v>15</v>
      </c>
      <c r="D23" s="32" t="s">
        <v>48</v>
      </c>
      <c r="E23" s="19" t="n">
        <f aca="false">+IF(C23="EQUIPO",F23,0)</f>
        <v>55000</v>
      </c>
      <c r="F23" s="33" t="n">
        <v>55000</v>
      </c>
      <c r="G23" s="62" t="s">
        <v>31</v>
      </c>
      <c r="H23" s="35" t="n">
        <v>0</v>
      </c>
      <c r="I23" s="34" t="n">
        <f aca="false">+IF(E23=0,0,E23*0.03)</f>
        <v>1650</v>
      </c>
    </row>
    <row r="24" customFormat="false" ht="15.75" hidden="false" customHeight="true" outlineLevel="0" collapsed="false">
      <c r="A24" s="30" t="n">
        <v>45331</v>
      </c>
      <c r="B24" s="31" t="s">
        <v>11</v>
      </c>
      <c r="C24" s="32" t="s">
        <v>15</v>
      </c>
      <c r="D24" s="32" t="s">
        <v>49</v>
      </c>
      <c r="E24" s="19" t="n">
        <f aca="false">+IF(C24="EQUIPO",F24,0)</f>
        <v>20000</v>
      </c>
      <c r="F24" s="33" t="n">
        <v>20000</v>
      </c>
      <c r="G24" s="62" t="s">
        <v>31</v>
      </c>
      <c r="H24" s="35" t="n">
        <v>0</v>
      </c>
      <c r="I24" s="34" t="n">
        <f aca="false">+IF(E24=0,0,E24*0.03)</f>
        <v>600</v>
      </c>
    </row>
    <row r="25" customFormat="false" ht="15.75" hidden="false" customHeight="true" outlineLevel="0" collapsed="false">
      <c r="A25" s="30" t="n">
        <v>45331</v>
      </c>
      <c r="B25" s="31" t="s">
        <v>11</v>
      </c>
      <c r="C25" s="32" t="s">
        <v>15</v>
      </c>
      <c r="D25" s="32" t="s">
        <v>50</v>
      </c>
      <c r="E25" s="19" t="n">
        <f aca="false">+IF(C25="EQUIPO",F25,0)</f>
        <v>300000</v>
      </c>
      <c r="F25" s="33" t="n">
        <v>300000</v>
      </c>
      <c r="G25" s="62" t="s">
        <v>30</v>
      </c>
      <c r="H25" s="35" t="n">
        <v>0</v>
      </c>
      <c r="I25" s="34" t="n">
        <f aca="false">+IF(E25=0,0,E25*0.03)</f>
        <v>9000</v>
      </c>
    </row>
    <row r="26" customFormat="false" ht="15.75" hidden="false" customHeight="true" outlineLevel="0" collapsed="false">
      <c r="A26" s="64" t="n">
        <v>45334</v>
      </c>
      <c r="B26" s="31" t="s">
        <v>7</v>
      </c>
      <c r="C26" s="32" t="s">
        <v>15</v>
      </c>
      <c r="D26" s="32" t="s">
        <v>51</v>
      </c>
      <c r="E26" s="19" t="n">
        <f aca="false">+IF(C26="EQUIPO",F26,0)</f>
        <v>25000</v>
      </c>
      <c r="F26" s="33" t="n">
        <v>25000</v>
      </c>
      <c r="G26" s="62" t="s">
        <v>30</v>
      </c>
      <c r="H26" s="35" t="n">
        <v>0</v>
      </c>
      <c r="I26" s="34" t="n">
        <f aca="false">+IF(E26=0,0,E26*0.03)</f>
        <v>750</v>
      </c>
    </row>
    <row r="27" customFormat="false" ht="15.75" hidden="false" customHeight="true" outlineLevel="0" collapsed="false">
      <c r="A27" s="30" t="n">
        <v>45334</v>
      </c>
      <c r="B27" s="31" t="s">
        <v>7</v>
      </c>
      <c r="C27" s="32" t="s">
        <v>15</v>
      </c>
      <c r="D27" s="32" t="s">
        <v>52</v>
      </c>
      <c r="E27" s="19" t="n">
        <f aca="false">+IF(C27="EQUIPO",F27,0)</f>
        <v>500000</v>
      </c>
      <c r="F27" s="33" t="n">
        <v>500000</v>
      </c>
      <c r="G27" s="62" t="s">
        <v>32</v>
      </c>
      <c r="H27" s="35" t="n">
        <v>0</v>
      </c>
      <c r="I27" s="34" t="n">
        <f aca="false">+IF(E27=0,0,E27*0.03)</f>
        <v>15000</v>
      </c>
    </row>
    <row r="28" customFormat="false" ht="15.75" hidden="false" customHeight="true" outlineLevel="0" collapsed="false">
      <c r="A28" s="64" t="n">
        <v>45334</v>
      </c>
      <c r="B28" s="31" t="s">
        <v>6</v>
      </c>
      <c r="C28" s="32" t="s">
        <v>15</v>
      </c>
      <c r="D28" s="32" t="s">
        <v>53</v>
      </c>
      <c r="E28" s="19" t="n">
        <f aca="false">+IF(C28="EQUIPO",F28,0)</f>
        <v>130000</v>
      </c>
      <c r="F28" s="33" t="n">
        <v>130000</v>
      </c>
      <c r="G28" s="62" t="s">
        <v>31</v>
      </c>
      <c r="H28" s="35" t="n">
        <v>0</v>
      </c>
      <c r="I28" s="34" t="n">
        <f aca="false">+IF(E28=0,0,E28*0.03)</f>
        <v>3900</v>
      </c>
    </row>
    <row r="29" customFormat="false" ht="15.75" hidden="false" customHeight="true" outlineLevel="0" collapsed="false">
      <c r="A29" s="30" t="n">
        <v>45336</v>
      </c>
      <c r="B29" s="31" t="s">
        <v>7</v>
      </c>
      <c r="C29" s="32" t="s">
        <v>15</v>
      </c>
      <c r="D29" s="32" t="s">
        <v>54</v>
      </c>
      <c r="E29" s="19" t="n">
        <f aca="false">+IF(C29="EQUIPO",F29,0)</f>
        <v>100000</v>
      </c>
      <c r="F29" s="33" t="n">
        <v>100000</v>
      </c>
      <c r="G29" s="62" t="s">
        <v>30</v>
      </c>
      <c r="H29" s="35" t="n">
        <v>0</v>
      </c>
      <c r="I29" s="34" t="n">
        <f aca="false">+IF(E29=0,0,E29*0.03)</f>
        <v>3000</v>
      </c>
    </row>
    <row r="30" customFormat="false" ht="15.75" hidden="false" customHeight="true" outlineLevel="0" collapsed="false">
      <c r="A30" s="30" t="n">
        <v>45341</v>
      </c>
      <c r="B30" s="31" t="s">
        <v>1</v>
      </c>
      <c r="C30" s="32" t="s">
        <v>15</v>
      </c>
      <c r="D30" s="32" t="s">
        <v>55</v>
      </c>
      <c r="E30" s="19" t="n">
        <f aca="false">+IF(C30="EQUIPO",F30,0)</f>
        <v>160000</v>
      </c>
      <c r="F30" s="33" t="n">
        <v>160000</v>
      </c>
      <c r="G30" s="62" t="s">
        <v>31</v>
      </c>
      <c r="H30" s="35" t="n">
        <v>0</v>
      </c>
      <c r="I30" s="34" t="n">
        <f aca="false">+IF(E30=0,0,E30*0.03)</f>
        <v>4800</v>
      </c>
    </row>
    <row r="31" customFormat="false" ht="15.75" hidden="false" customHeight="true" outlineLevel="0" collapsed="false">
      <c r="A31" s="30" t="n">
        <v>45323</v>
      </c>
      <c r="B31" s="31" t="s">
        <v>7</v>
      </c>
      <c r="C31" s="32" t="s">
        <v>15</v>
      </c>
      <c r="D31" s="32" t="s">
        <v>56</v>
      </c>
      <c r="E31" s="19" t="n">
        <f aca="false">+IF(C31="EQUIPO",F31,0)</f>
        <v>120000</v>
      </c>
      <c r="F31" s="33" t="n">
        <v>120000</v>
      </c>
      <c r="G31" s="62" t="s">
        <v>31</v>
      </c>
      <c r="H31" s="35" t="n">
        <v>0</v>
      </c>
      <c r="I31" s="34" t="n">
        <f aca="false">+IF(E31=0,0,E31*0.03)</f>
        <v>3600</v>
      </c>
    </row>
    <row r="32" customFormat="false" ht="15.75" hidden="false" customHeight="true" outlineLevel="0" collapsed="false">
      <c r="A32" s="30" t="n">
        <v>45323</v>
      </c>
      <c r="B32" s="31" t="s">
        <v>7</v>
      </c>
      <c r="C32" s="32" t="s">
        <v>15</v>
      </c>
      <c r="D32" s="32" t="s">
        <v>57</v>
      </c>
      <c r="E32" s="19" t="n">
        <f aca="false">+IF(C32="EQUIPO",F32,0)</f>
        <v>40000</v>
      </c>
      <c r="F32" s="33" t="n">
        <v>40000</v>
      </c>
      <c r="G32" s="62" t="s">
        <v>31</v>
      </c>
      <c r="H32" s="35" t="n">
        <v>0</v>
      </c>
      <c r="I32" s="34" t="n">
        <f aca="false">+IF(E32=0,0,E32*0.03)</f>
        <v>1200</v>
      </c>
    </row>
    <row r="33" customFormat="false" ht="15.75" hidden="false" customHeight="true" outlineLevel="0" collapsed="false">
      <c r="A33" s="30" t="n">
        <v>45323</v>
      </c>
      <c r="B33" s="31" t="s">
        <v>7</v>
      </c>
      <c r="C33" s="32" t="s">
        <v>15</v>
      </c>
      <c r="D33" s="32" t="s">
        <v>58</v>
      </c>
      <c r="E33" s="19" t="n">
        <f aca="false">+IF(C33="EQUIPO",F33,0)</f>
        <v>160000</v>
      </c>
      <c r="F33" s="33" t="n">
        <v>160000</v>
      </c>
      <c r="G33" s="62" t="s">
        <v>31</v>
      </c>
      <c r="H33" s="35" t="n">
        <v>0</v>
      </c>
      <c r="I33" s="34" t="n">
        <f aca="false">+IF(E33=0,0,E33*0.03)</f>
        <v>4800</v>
      </c>
    </row>
    <row r="34" customFormat="false" ht="15.75" hidden="false" customHeight="true" outlineLevel="0" collapsed="false">
      <c r="A34" s="30" t="n">
        <v>45323</v>
      </c>
      <c r="B34" s="31" t="s">
        <v>11</v>
      </c>
      <c r="C34" s="32" t="s">
        <v>15</v>
      </c>
      <c r="D34" s="32" t="s">
        <v>59</v>
      </c>
      <c r="E34" s="19" t="n">
        <f aca="false">+IF(C34="EQUIPO",F34,0)</f>
        <v>350000</v>
      </c>
      <c r="F34" s="33" t="n">
        <v>350000</v>
      </c>
      <c r="G34" s="62" t="s">
        <v>31</v>
      </c>
      <c r="H34" s="35" t="n">
        <v>0</v>
      </c>
      <c r="I34" s="34" t="n">
        <f aca="false">+IF(E34=0,0,E34*0.03)</f>
        <v>10500</v>
      </c>
    </row>
    <row r="35" customFormat="false" ht="15.75" hidden="false" customHeight="true" outlineLevel="0" collapsed="false">
      <c r="A35" s="30" t="n">
        <v>45323</v>
      </c>
      <c r="B35" s="31" t="s">
        <v>7</v>
      </c>
      <c r="C35" s="32" t="s">
        <v>15</v>
      </c>
      <c r="D35" s="32" t="s">
        <v>60</v>
      </c>
      <c r="E35" s="19" t="n">
        <f aca="false">+IF(C35="EQUIPO",F35,0)</f>
        <v>200000</v>
      </c>
      <c r="F35" s="33" t="n">
        <v>200000</v>
      </c>
      <c r="G35" s="62" t="s">
        <v>31</v>
      </c>
      <c r="H35" s="35" t="n">
        <v>0</v>
      </c>
      <c r="I35" s="34" t="n">
        <f aca="false">+IF(E35=0,0,E35*0.03)</f>
        <v>6000</v>
      </c>
    </row>
    <row r="36" customFormat="false" ht="15.75" hidden="false" customHeight="true" outlineLevel="0" collapsed="false">
      <c r="A36" s="30" t="n">
        <v>45323</v>
      </c>
      <c r="B36" s="31" t="s">
        <v>11</v>
      </c>
      <c r="C36" s="32" t="s">
        <v>15</v>
      </c>
      <c r="D36" s="32"/>
      <c r="E36" s="19" t="n">
        <f aca="false">+IF(C36="EQUIPO",F36,0)</f>
        <v>0</v>
      </c>
      <c r="F36" s="33" t="n">
        <v>0</v>
      </c>
      <c r="G36" s="62"/>
      <c r="H36" s="35" t="n">
        <v>0</v>
      </c>
      <c r="I36" s="34" t="n">
        <f aca="false">+IF(E36=0,0,E36*0.03)</f>
        <v>0</v>
      </c>
    </row>
    <row r="37" customFormat="false" ht="15.75" hidden="false" customHeight="true" outlineLevel="0" collapsed="false">
      <c r="A37" s="30" t="n">
        <v>45323</v>
      </c>
      <c r="B37" s="31" t="s">
        <v>11</v>
      </c>
      <c r="C37" s="32" t="s">
        <v>15</v>
      </c>
      <c r="D37" s="32"/>
      <c r="E37" s="19" t="n">
        <f aca="false">+IF(C37="EQUIPO",F37,0)</f>
        <v>0</v>
      </c>
      <c r="F37" s="33" t="n">
        <v>0</v>
      </c>
      <c r="G37" s="62"/>
      <c r="H37" s="35" t="n">
        <v>0</v>
      </c>
      <c r="I37" s="34" t="n">
        <f aca="false">+IF(E37=0,0,E37*0.03)</f>
        <v>0</v>
      </c>
    </row>
    <row r="38" customFormat="false" ht="15.75" hidden="false" customHeight="true" outlineLevel="0" collapsed="false">
      <c r="A38" s="30" t="n">
        <v>45323</v>
      </c>
      <c r="B38" s="31" t="s">
        <v>11</v>
      </c>
      <c r="C38" s="32" t="s">
        <v>15</v>
      </c>
      <c r="D38" s="32"/>
      <c r="E38" s="19" t="n">
        <f aca="false">+IF(C38="EQUIPO",F38,0)</f>
        <v>0</v>
      </c>
      <c r="F38" s="33" t="n">
        <v>0</v>
      </c>
      <c r="G38" s="62"/>
      <c r="H38" s="35" t="n">
        <v>0</v>
      </c>
      <c r="I38" s="34" t="n">
        <f aca="false">+IF(E38=0,0,E38*0.03)</f>
        <v>0</v>
      </c>
    </row>
    <row r="39" customFormat="false" ht="15.75" hidden="false" customHeight="true" outlineLevel="0" collapsed="false">
      <c r="A39" s="30" t="n">
        <v>45323</v>
      </c>
      <c r="B39" s="31" t="s">
        <v>11</v>
      </c>
      <c r="C39" s="32" t="s">
        <v>15</v>
      </c>
      <c r="D39" s="32"/>
      <c r="E39" s="19" t="n">
        <f aca="false">+IF(C39="EQUIPO",F39,0)</f>
        <v>0</v>
      </c>
      <c r="F39" s="33" t="n">
        <v>0</v>
      </c>
      <c r="G39" s="62"/>
      <c r="H39" s="35" t="n">
        <v>0</v>
      </c>
      <c r="I39" s="34" t="n">
        <f aca="false">+IF(E39=0,0,E39*0.03)</f>
        <v>0</v>
      </c>
    </row>
    <row r="40" customFormat="false" ht="15.75" hidden="false" customHeight="true" outlineLevel="0" collapsed="false">
      <c r="A40" s="30" t="n">
        <v>45323</v>
      </c>
      <c r="B40" s="31" t="s">
        <v>11</v>
      </c>
      <c r="C40" s="32" t="s">
        <v>15</v>
      </c>
      <c r="D40" s="32"/>
      <c r="E40" s="19" t="n">
        <f aca="false">+IF(C40="EQUIPO",F40,0)</f>
        <v>0</v>
      </c>
      <c r="F40" s="33" t="n">
        <v>0</v>
      </c>
      <c r="G40" s="62"/>
      <c r="H40" s="35" t="n">
        <v>0</v>
      </c>
      <c r="I40" s="34" t="n">
        <f aca="false">+IF(E40=0,0,E40*0.03)</f>
        <v>0</v>
      </c>
    </row>
    <row r="41" customFormat="false" ht="15.75" hidden="false" customHeight="true" outlineLevel="0" collapsed="false">
      <c r="A41" s="30" t="n">
        <v>45323</v>
      </c>
      <c r="B41" s="31" t="s">
        <v>11</v>
      </c>
      <c r="C41" s="32" t="s">
        <v>15</v>
      </c>
      <c r="D41" s="32"/>
      <c r="E41" s="19" t="n">
        <f aca="false">+IF(C41="EQUIPO",F41,0)</f>
        <v>0</v>
      </c>
      <c r="F41" s="33" t="n">
        <v>0</v>
      </c>
      <c r="G41" s="62"/>
      <c r="H41" s="35" t="n">
        <v>0</v>
      </c>
      <c r="I41" s="34" t="n">
        <f aca="false">+IF(E41=0,0,E41*0.03)</f>
        <v>0</v>
      </c>
    </row>
    <row r="42" customFormat="false" ht="15.75" hidden="false" customHeight="true" outlineLevel="0" collapsed="false">
      <c r="A42" s="30" t="n">
        <v>45323</v>
      </c>
      <c r="B42" s="31" t="s">
        <v>11</v>
      </c>
      <c r="C42" s="32"/>
      <c r="D42" s="32"/>
      <c r="E42" s="19" t="n">
        <f aca="false">+IF(C42="EQUIPO",F42,0)</f>
        <v>0</v>
      </c>
      <c r="F42" s="33" t="n">
        <v>0</v>
      </c>
      <c r="G42" s="62"/>
      <c r="H42" s="35" t="n">
        <v>0</v>
      </c>
      <c r="I42" s="34" t="n">
        <f aca="false">+IF(E42=0,0,E42*0.03)</f>
        <v>0</v>
      </c>
    </row>
    <row r="43" customFormat="false" ht="15.75" hidden="false" customHeight="true" outlineLevel="0" collapsed="false">
      <c r="A43" s="30" t="n">
        <v>45323</v>
      </c>
      <c r="B43" s="31" t="s">
        <v>11</v>
      </c>
      <c r="C43" s="32"/>
      <c r="D43" s="32"/>
      <c r="E43" s="19" t="n">
        <f aca="false">+IF(C43="EQUIPO",F43,0)</f>
        <v>0</v>
      </c>
      <c r="F43" s="33" t="n">
        <v>0</v>
      </c>
      <c r="G43" s="62"/>
      <c r="H43" s="35" t="n">
        <v>0</v>
      </c>
      <c r="I43" s="34" t="n">
        <f aca="false">+IF(E43=0,0,E43*0.03)</f>
        <v>0</v>
      </c>
    </row>
    <row r="44" customFormat="false" ht="15.75" hidden="false" customHeight="true" outlineLevel="0" collapsed="false">
      <c r="A44" s="30" t="n">
        <v>45323</v>
      </c>
      <c r="B44" s="31" t="s">
        <v>11</v>
      </c>
      <c r="C44" s="32"/>
      <c r="D44" s="32"/>
      <c r="E44" s="19" t="n">
        <f aca="false">+IF(C44="EQUIPO",F44,0)</f>
        <v>0</v>
      </c>
      <c r="F44" s="33" t="n">
        <v>0</v>
      </c>
      <c r="G44" s="62"/>
      <c r="H44" s="35" t="n">
        <v>0</v>
      </c>
      <c r="I44" s="34" t="n">
        <f aca="false">+IF(E44=0,0,E44*0.03)</f>
        <v>0</v>
      </c>
    </row>
    <row r="45" customFormat="false" ht="15.75" hidden="false" customHeight="true" outlineLevel="0" collapsed="false">
      <c r="A45" s="30" t="n">
        <v>45323</v>
      </c>
      <c r="B45" s="31" t="s">
        <v>11</v>
      </c>
      <c r="C45" s="32"/>
      <c r="D45" s="32"/>
      <c r="E45" s="19" t="n">
        <f aca="false">+IF(C45="EQUIPO",F45,0)</f>
        <v>0</v>
      </c>
      <c r="F45" s="33" t="n">
        <v>0</v>
      </c>
      <c r="G45" s="62"/>
      <c r="H45" s="35" t="n">
        <v>0</v>
      </c>
      <c r="I45" s="34" t="n">
        <f aca="false">+IF(E45=0,0,E45*0.03)</f>
        <v>0</v>
      </c>
    </row>
    <row r="46" customFormat="false" ht="15.75" hidden="false" customHeight="true" outlineLevel="0" collapsed="false">
      <c r="A46" s="30" t="n">
        <v>45323</v>
      </c>
      <c r="B46" s="31" t="s">
        <v>11</v>
      </c>
      <c r="C46" s="32"/>
      <c r="D46" s="32"/>
      <c r="E46" s="19" t="n">
        <f aca="false">+IF(C46="EQUIPO",F46,0)</f>
        <v>0</v>
      </c>
      <c r="F46" s="33" t="n">
        <v>0</v>
      </c>
      <c r="G46" s="62"/>
      <c r="H46" s="35" t="n">
        <v>0</v>
      </c>
      <c r="I46" s="34" t="n">
        <f aca="false">+IF(E46=0,0,E46*0.03)</f>
        <v>0</v>
      </c>
    </row>
    <row r="47" customFormat="false" ht="15.75" hidden="false" customHeight="true" outlineLevel="0" collapsed="false">
      <c r="A47" s="30" t="n">
        <v>45323</v>
      </c>
      <c r="B47" s="31" t="s">
        <v>11</v>
      </c>
      <c r="C47" s="32"/>
      <c r="D47" s="32"/>
      <c r="E47" s="19" t="n">
        <f aca="false">+IF(C47="EQUIPO",F47,0)</f>
        <v>0</v>
      </c>
      <c r="F47" s="33" t="n">
        <v>0</v>
      </c>
      <c r="G47" s="62"/>
      <c r="H47" s="35" t="n">
        <v>0</v>
      </c>
      <c r="I47" s="34" t="n">
        <f aca="false">+IF(E47=0,0,E47*0.03)</f>
        <v>0</v>
      </c>
    </row>
    <row r="48" customFormat="false" ht="15.75" hidden="false" customHeight="true" outlineLevel="0" collapsed="false">
      <c r="A48" s="30" t="n">
        <v>45323</v>
      </c>
      <c r="B48" s="31" t="s">
        <v>11</v>
      </c>
      <c r="C48" s="32"/>
      <c r="D48" s="32"/>
      <c r="E48" s="19" t="n">
        <f aca="false">+IF(C48="EQUIPO",F48,0)</f>
        <v>0</v>
      </c>
      <c r="F48" s="33" t="n">
        <v>0</v>
      </c>
      <c r="G48" s="62"/>
      <c r="H48" s="35" t="n">
        <v>0</v>
      </c>
      <c r="I48" s="34" t="n">
        <f aca="false">+IF(E48=0,0,E48*0.03)</f>
        <v>0</v>
      </c>
    </row>
    <row r="49" customFormat="false" ht="15.75" hidden="false" customHeight="true" outlineLevel="0" collapsed="false">
      <c r="A49" s="30" t="n">
        <v>45323</v>
      </c>
      <c r="B49" s="31" t="s">
        <v>11</v>
      </c>
      <c r="C49" s="32"/>
      <c r="D49" s="32"/>
      <c r="E49" s="19" t="n">
        <f aca="false">+IF(C49="EQUIPO",F49,0)</f>
        <v>0</v>
      </c>
      <c r="F49" s="33" t="n">
        <v>0</v>
      </c>
      <c r="G49" s="62"/>
      <c r="H49" s="35" t="n">
        <v>0</v>
      </c>
      <c r="I49" s="34" t="n">
        <f aca="false">+IF(E49=0,0,E49*0.03)</f>
        <v>0</v>
      </c>
    </row>
    <row r="50" customFormat="false" ht="15.75" hidden="false" customHeight="true" outlineLevel="0" collapsed="false">
      <c r="A50" s="30" t="n">
        <v>45323</v>
      </c>
      <c r="B50" s="31" t="s">
        <v>11</v>
      </c>
      <c r="C50" s="32"/>
      <c r="D50" s="32"/>
      <c r="E50" s="19" t="n">
        <f aca="false">+IF(C50="EQUIPO",F50,0)</f>
        <v>0</v>
      </c>
      <c r="F50" s="33" t="n">
        <v>0</v>
      </c>
      <c r="G50" s="62"/>
      <c r="H50" s="35" t="n">
        <v>0</v>
      </c>
      <c r="I50" s="34" t="n">
        <f aca="false">+IF(E50=0,0,E50*0.03)</f>
        <v>0</v>
      </c>
    </row>
    <row r="51" customFormat="false" ht="15.75" hidden="false" customHeight="true" outlineLevel="0" collapsed="false">
      <c r="A51" s="30" t="n">
        <v>45323</v>
      </c>
      <c r="B51" s="31" t="s">
        <v>11</v>
      </c>
      <c r="C51" s="32"/>
      <c r="D51" s="32"/>
      <c r="E51" s="19" t="n">
        <f aca="false">+IF(C51="EQUIPO",F51,0)</f>
        <v>0</v>
      </c>
      <c r="F51" s="33" t="n">
        <v>0</v>
      </c>
      <c r="G51" s="62"/>
      <c r="H51" s="35" t="n">
        <v>0</v>
      </c>
      <c r="I51" s="34" t="n">
        <f aca="false">+IF(E51=0,0,E51*0.03)</f>
        <v>0</v>
      </c>
    </row>
    <row r="52" customFormat="false" ht="15.75" hidden="false" customHeight="true" outlineLevel="0" collapsed="false">
      <c r="A52" s="30" t="n">
        <v>45323</v>
      </c>
      <c r="B52" s="31" t="s">
        <v>11</v>
      </c>
      <c r="C52" s="32"/>
      <c r="D52" s="32"/>
      <c r="E52" s="19" t="n">
        <f aca="false">+IF(C52="EQUIPO",F52,0)</f>
        <v>0</v>
      </c>
      <c r="F52" s="33" t="n">
        <v>0</v>
      </c>
      <c r="G52" s="62"/>
      <c r="H52" s="35" t="n">
        <v>0</v>
      </c>
      <c r="I52" s="34" t="n">
        <f aca="false">+IF(E52=0,0,E52*0.03)</f>
        <v>0</v>
      </c>
    </row>
    <row r="53" customFormat="false" ht="15.75" hidden="false" customHeight="true" outlineLevel="0" collapsed="false">
      <c r="A53" s="30" t="n">
        <v>45323</v>
      </c>
      <c r="B53" s="31" t="s">
        <v>11</v>
      </c>
      <c r="C53" s="32"/>
      <c r="D53" s="32"/>
      <c r="E53" s="19" t="n">
        <f aca="false">+IF(C53="EQUIPO",F53,0)</f>
        <v>0</v>
      </c>
      <c r="F53" s="33" t="n">
        <v>0</v>
      </c>
      <c r="G53" s="62"/>
      <c r="H53" s="35" t="n">
        <v>0</v>
      </c>
      <c r="I53" s="34" t="n">
        <f aca="false">+IF(E53=0,0,E53*0.03)</f>
        <v>0</v>
      </c>
    </row>
    <row r="54" customFormat="false" ht="15.75" hidden="false" customHeight="true" outlineLevel="0" collapsed="false">
      <c r="A54" s="30" t="n">
        <v>45323</v>
      </c>
      <c r="B54" s="31" t="s">
        <v>11</v>
      </c>
      <c r="C54" s="32"/>
      <c r="D54" s="32"/>
      <c r="E54" s="19" t="n">
        <f aca="false">+IF(C54="EQUIPO",F54,0)</f>
        <v>0</v>
      </c>
      <c r="F54" s="33" t="n">
        <v>0</v>
      </c>
      <c r="G54" s="62"/>
      <c r="H54" s="35" t="n">
        <v>0</v>
      </c>
      <c r="I54" s="34" t="n">
        <f aca="false">+IF(E54=0,0,E54*0.03)</f>
        <v>0</v>
      </c>
    </row>
    <row r="55" customFormat="false" ht="15.75" hidden="false" customHeight="true" outlineLevel="0" collapsed="false">
      <c r="A55" s="30" t="n">
        <v>45323</v>
      </c>
      <c r="B55" s="31" t="s">
        <v>11</v>
      </c>
      <c r="C55" s="32"/>
      <c r="D55" s="32"/>
      <c r="E55" s="19" t="n">
        <f aca="false">+IF(C55="EQUIPO",F55,0)</f>
        <v>0</v>
      </c>
      <c r="F55" s="33" t="n">
        <v>0</v>
      </c>
      <c r="G55" s="62"/>
      <c r="H55" s="35" t="n">
        <v>0</v>
      </c>
      <c r="I55" s="34" t="n">
        <f aca="false">+IF(E55=0,0,E55*0.03)</f>
        <v>0</v>
      </c>
    </row>
    <row r="56" customFormat="false" ht="15.75" hidden="false" customHeight="true" outlineLevel="0" collapsed="false">
      <c r="A56" s="30" t="n">
        <v>45323</v>
      </c>
      <c r="B56" s="31" t="s">
        <v>11</v>
      </c>
      <c r="C56" s="32"/>
      <c r="D56" s="32"/>
      <c r="E56" s="19" t="n">
        <f aca="false">+IF(C56="EQUIPO",F56,0)</f>
        <v>0</v>
      </c>
      <c r="F56" s="33" t="n">
        <v>0</v>
      </c>
      <c r="G56" s="62"/>
      <c r="H56" s="35" t="n">
        <v>0</v>
      </c>
      <c r="I56" s="34" t="n">
        <f aca="false">+IF(E56=0,0,E56*0.03)</f>
        <v>0</v>
      </c>
    </row>
    <row r="57" customFormat="false" ht="15.75" hidden="false" customHeight="true" outlineLevel="0" collapsed="false">
      <c r="A57" s="30" t="n">
        <v>45323</v>
      </c>
      <c r="B57" s="31" t="s">
        <v>11</v>
      </c>
      <c r="C57" s="32"/>
      <c r="D57" s="32"/>
      <c r="E57" s="19" t="n">
        <f aca="false">+IF(C57="EQUIPO",F57,0)</f>
        <v>0</v>
      </c>
      <c r="F57" s="33" t="n">
        <v>0</v>
      </c>
      <c r="G57" s="62"/>
      <c r="H57" s="35" t="n">
        <v>0</v>
      </c>
      <c r="I57" s="34" t="n">
        <f aca="false">+IF(E57=0,0,E57*0.03)</f>
        <v>0</v>
      </c>
    </row>
    <row r="58" customFormat="false" ht="15.75" hidden="false" customHeight="true" outlineLevel="0" collapsed="false">
      <c r="A58" s="30" t="n">
        <v>45323</v>
      </c>
      <c r="B58" s="31" t="s">
        <v>11</v>
      </c>
      <c r="C58" s="32"/>
      <c r="D58" s="32"/>
      <c r="E58" s="19" t="n">
        <f aca="false">+IF(C58="EQUIPO",F58,0)</f>
        <v>0</v>
      </c>
      <c r="F58" s="33" t="n">
        <v>0</v>
      </c>
      <c r="G58" s="62"/>
      <c r="H58" s="35" t="n">
        <v>0</v>
      </c>
      <c r="I58" s="34" t="n">
        <f aca="false">+IF(E58=0,0,E58*0.03)</f>
        <v>0</v>
      </c>
    </row>
    <row r="59" customFormat="false" ht="15.75" hidden="false" customHeight="true" outlineLevel="0" collapsed="false">
      <c r="A59" s="30" t="n">
        <v>45323</v>
      </c>
      <c r="B59" s="31" t="s">
        <v>11</v>
      </c>
      <c r="C59" s="32"/>
      <c r="D59" s="32"/>
      <c r="E59" s="19" t="n">
        <f aca="false">+IF(C59="EQUIPO",F59,0)</f>
        <v>0</v>
      </c>
      <c r="F59" s="33" t="n">
        <v>0</v>
      </c>
      <c r="G59" s="62"/>
      <c r="H59" s="35" t="n">
        <v>0</v>
      </c>
      <c r="I59" s="34" t="n">
        <f aca="false">+IF(E59=0,0,E59*0.03)</f>
        <v>0</v>
      </c>
    </row>
    <row r="60" customFormat="false" ht="15.75" hidden="false" customHeight="true" outlineLevel="0" collapsed="false">
      <c r="A60" s="30" t="n">
        <v>45323</v>
      </c>
      <c r="B60" s="31" t="s">
        <v>11</v>
      </c>
      <c r="C60" s="32"/>
      <c r="D60" s="32"/>
      <c r="E60" s="19" t="n">
        <f aca="false">+IF(C60="EQUIPO",F60,0)</f>
        <v>0</v>
      </c>
      <c r="F60" s="33" t="n">
        <v>0</v>
      </c>
      <c r="G60" s="62"/>
      <c r="H60" s="35" t="n">
        <v>0</v>
      </c>
      <c r="I60" s="34" t="n">
        <f aca="false">+IF(E60=0,0,E60*0.03)</f>
        <v>0</v>
      </c>
    </row>
    <row r="61" customFormat="false" ht="15.75" hidden="false" customHeight="true" outlineLevel="0" collapsed="false">
      <c r="A61" s="30" t="n">
        <v>45323</v>
      </c>
      <c r="B61" s="31" t="s">
        <v>11</v>
      </c>
      <c r="C61" s="32"/>
      <c r="D61" s="32"/>
      <c r="E61" s="19" t="n">
        <f aca="false">+IF(C61="EQUIPO",F61,0)</f>
        <v>0</v>
      </c>
      <c r="F61" s="33" t="n">
        <v>0</v>
      </c>
      <c r="G61" s="62"/>
      <c r="H61" s="35" t="n">
        <v>0</v>
      </c>
      <c r="I61" s="34" t="n">
        <f aca="false">+IF(E61=0,0,E61*0.03)</f>
        <v>0</v>
      </c>
    </row>
    <row r="62" customFormat="false" ht="15.75" hidden="false" customHeight="true" outlineLevel="0" collapsed="false">
      <c r="A62" s="30" t="n">
        <v>45323</v>
      </c>
      <c r="B62" s="31" t="s">
        <v>11</v>
      </c>
      <c r="C62" s="32"/>
      <c r="D62" s="32"/>
      <c r="E62" s="19" t="n">
        <f aca="false">+IF(C62="EQUIPO",F62,0)</f>
        <v>0</v>
      </c>
      <c r="F62" s="33" t="n">
        <v>0</v>
      </c>
      <c r="G62" s="62"/>
      <c r="H62" s="35" t="n">
        <v>0</v>
      </c>
      <c r="I62" s="34" t="n">
        <f aca="false">+IF(E62=0,0,E62*0.03)</f>
        <v>0</v>
      </c>
    </row>
    <row r="63" customFormat="false" ht="15.75" hidden="false" customHeight="true" outlineLevel="0" collapsed="false">
      <c r="A63" s="30" t="n">
        <v>45323</v>
      </c>
      <c r="B63" s="31" t="s">
        <v>11</v>
      </c>
      <c r="C63" s="32"/>
      <c r="D63" s="32"/>
      <c r="E63" s="19" t="n">
        <f aca="false">+IF(C63="EQUIPO",F63,0)</f>
        <v>0</v>
      </c>
      <c r="F63" s="33" t="n">
        <v>0</v>
      </c>
      <c r="G63" s="62"/>
      <c r="H63" s="35" t="n">
        <v>0</v>
      </c>
      <c r="I63" s="34" t="n">
        <f aca="false">+IF(E63=0,0,E63*0.03)</f>
        <v>0</v>
      </c>
    </row>
    <row r="64" customFormat="false" ht="15.75" hidden="false" customHeight="true" outlineLevel="0" collapsed="false">
      <c r="A64" s="30" t="n">
        <v>45323</v>
      </c>
      <c r="B64" s="31" t="s">
        <v>11</v>
      </c>
      <c r="C64" s="32"/>
      <c r="D64" s="32"/>
      <c r="E64" s="19" t="n">
        <f aca="false">+IF(C64="EQUIPO",F64,0)</f>
        <v>0</v>
      </c>
      <c r="F64" s="33" t="n">
        <v>0</v>
      </c>
      <c r="G64" s="62"/>
      <c r="H64" s="35" t="n">
        <v>0</v>
      </c>
      <c r="I64" s="34" t="n">
        <f aca="false">+IF(E64=0,0,E64*0.03)</f>
        <v>0</v>
      </c>
    </row>
    <row r="65" customFormat="false" ht="15.75" hidden="false" customHeight="true" outlineLevel="0" collapsed="false">
      <c r="A65" s="30" t="n">
        <v>45323</v>
      </c>
      <c r="B65" s="31" t="s">
        <v>11</v>
      </c>
      <c r="C65" s="32"/>
      <c r="D65" s="32"/>
      <c r="E65" s="19" t="n">
        <f aca="false">+IF(C65="EQUIPO",F65,0)</f>
        <v>0</v>
      </c>
      <c r="F65" s="33" t="n">
        <v>0</v>
      </c>
      <c r="G65" s="62"/>
      <c r="H65" s="35" t="n">
        <v>0</v>
      </c>
      <c r="I65" s="34" t="n">
        <f aca="false">+IF(E65=0,0,E65*0.03)</f>
        <v>0</v>
      </c>
    </row>
    <row r="66" customFormat="false" ht="15.75" hidden="false" customHeight="true" outlineLevel="0" collapsed="false">
      <c r="A66" s="30" t="n">
        <v>45323</v>
      </c>
      <c r="B66" s="31" t="s">
        <v>11</v>
      </c>
      <c r="C66" s="32"/>
      <c r="D66" s="32"/>
      <c r="E66" s="19" t="n">
        <f aca="false">+IF(C66="EQUIPO",F66,0)</f>
        <v>0</v>
      </c>
      <c r="F66" s="33" t="n">
        <v>0</v>
      </c>
      <c r="G66" s="62"/>
      <c r="H66" s="35" t="n">
        <v>0</v>
      </c>
      <c r="I66" s="34" t="n">
        <f aca="false">+IF(E66=0,0,E66*0.03)</f>
        <v>0</v>
      </c>
    </row>
    <row r="67" customFormat="false" ht="15.75" hidden="false" customHeight="true" outlineLevel="0" collapsed="false">
      <c r="A67" s="30" t="n">
        <v>45323</v>
      </c>
      <c r="B67" s="31" t="s">
        <v>11</v>
      </c>
      <c r="C67" s="32"/>
      <c r="D67" s="32"/>
      <c r="E67" s="19" t="n">
        <f aca="false">+IF(C67="EQUIPO",F67,0)</f>
        <v>0</v>
      </c>
      <c r="F67" s="33" t="n">
        <v>0</v>
      </c>
      <c r="G67" s="62"/>
      <c r="H67" s="35" t="n">
        <v>0</v>
      </c>
      <c r="I67" s="34" t="n">
        <f aca="false">+IF(E67=0,0,E67*0.03)</f>
        <v>0</v>
      </c>
    </row>
    <row r="68" customFormat="false" ht="15.75" hidden="false" customHeight="true" outlineLevel="0" collapsed="false">
      <c r="A68" s="30" t="n">
        <v>45323</v>
      </c>
      <c r="B68" s="31" t="s">
        <v>11</v>
      </c>
      <c r="C68" s="32"/>
      <c r="D68" s="32"/>
      <c r="E68" s="19" t="n">
        <f aca="false">+IF(C68="EQUIPO",F68,0)</f>
        <v>0</v>
      </c>
      <c r="F68" s="33" t="n">
        <v>0</v>
      </c>
      <c r="G68" s="62"/>
      <c r="H68" s="35" t="n">
        <v>0</v>
      </c>
      <c r="I68" s="34" t="n">
        <f aca="false">+IF(E68=0,0,E68*0.03)</f>
        <v>0</v>
      </c>
    </row>
    <row r="69" customFormat="false" ht="15.75" hidden="false" customHeight="true" outlineLevel="0" collapsed="false">
      <c r="A69" s="30" t="n">
        <v>45323</v>
      </c>
      <c r="B69" s="31" t="s">
        <v>11</v>
      </c>
      <c r="C69" s="32"/>
      <c r="D69" s="32"/>
      <c r="E69" s="19" t="n">
        <f aca="false">+IF(C69="EQUIPO",F69,0)</f>
        <v>0</v>
      </c>
      <c r="F69" s="33" t="n">
        <v>0</v>
      </c>
      <c r="G69" s="62"/>
      <c r="H69" s="35" t="n">
        <v>0</v>
      </c>
      <c r="I69" s="34" t="n">
        <f aca="false">+IF(E69=0,0,E69*0.03)</f>
        <v>0</v>
      </c>
    </row>
    <row r="70" customFormat="false" ht="15.75" hidden="false" customHeight="true" outlineLevel="0" collapsed="false">
      <c r="A70" s="30" t="n">
        <v>45323</v>
      </c>
      <c r="B70" s="31" t="s">
        <v>11</v>
      </c>
      <c r="C70" s="32"/>
      <c r="D70" s="32"/>
      <c r="E70" s="19" t="n">
        <f aca="false">+IF(C70="EQUIPO",F70,0)</f>
        <v>0</v>
      </c>
      <c r="F70" s="33" t="n">
        <v>0</v>
      </c>
      <c r="G70" s="62"/>
      <c r="H70" s="35" t="n">
        <v>0</v>
      </c>
      <c r="I70" s="34" t="n">
        <f aca="false">+IF(E70=0,0,E70*0.03)</f>
        <v>0</v>
      </c>
    </row>
    <row r="71" customFormat="false" ht="15.75" hidden="false" customHeight="true" outlineLevel="0" collapsed="false">
      <c r="A71" s="30" t="n">
        <v>45323</v>
      </c>
      <c r="B71" s="31" t="s">
        <v>11</v>
      </c>
      <c r="C71" s="32"/>
      <c r="D71" s="32"/>
      <c r="E71" s="19" t="n">
        <f aca="false">+IF(C71="EQUIPO",F71,0)</f>
        <v>0</v>
      </c>
      <c r="F71" s="33" t="n">
        <v>0</v>
      </c>
      <c r="G71" s="62"/>
      <c r="H71" s="35" t="n">
        <v>0</v>
      </c>
      <c r="I71" s="34" t="n">
        <f aca="false">+IF(E71=0,0,E71*0.03)</f>
        <v>0</v>
      </c>
    </row>
    <row r="72" customFormat="false" ht="15.75" hidden="false" customHeight="true" outlineLevel="0" collapsed="false">
      <c r="A72" s="30" t="n">
        <v>45323</v>
      </c>
      <c r="B72" s="31" t="s">
        <v>11</v>
      </c>
      <c r="C72" s="32"/>
      <c r="D72" s="32"/>
      <c r="E72" s="19" t="n">
        <f aca="false">+IF(C72="EQUIPO",F72,0)</f>
        <v>0</v>
      </c>
      <c r="F72" s="33" t="n">
        <v>0</v>
      </c>
      <c r="G72" s="62"/>
      <c r="H72" s="35" t="n">
        <v>0</v>
      </c>
      <c r="I72" s="34" t="n">
        <f aca="false">+IF(E72=0,0,E72*0.03)</f>
        <v>0</v>
      </c>
    </row>
    <row r="73" customFormat="false" ht="15.75" hidden="false" customHeight="true" outlineLevel="0" collapsed="false">
      <c r="A73" s="30" t="n">
        <v>45323</v>
      </c>
      <c r="B73" s="31" t="s">
        <v>11</v>
      </c>
      <c r="C73" s="32"/>
      <c r="D73" s="32"/>
      <c r="E73" s="19" t="n">
        <f aca="false">+IF(C73="EQUIPO",F73,0)</f>
        <v>0</v>
      </c>
      <c r="F73" s="33" t="n">
        <v>0</v>
      </c>
      <c r="G73" s="62"/>
      <c r="H73" s="35" t="n">
        <v>0</v>
      </c>
      <c r="I73" s="34" t="n">
        <f aca="false">+IF(E73=0,0,E73*0.03)</f>
        <v>0</v>
      </c>
    </row>
    <row r="74" customFormat="false" ht="15.75" hidden="false" customHeight="true" outlineLevel="0" collapsed="false">
      <c r="A74" s="30" t="n">
        <v>45323</v>
      </c>
      <c r="B74" s="31" t="s">
        <v>11</v>
      </c>
      <c r="C74" s="32"/>
      <c r="D74" s="32"/>
      <c r="E74" s="19" t="n">
        <f aca="false">+IF(C74="EQUIPO",F74,0)</f>
        <v>0</v>
      </c>
      <c r="F74" s="33" t="n">
        <v>0</v>
      </c>
      <c r="G74" s="62"/>
      <c r="H74" s="35" t="n">
        <v>0</v>
      </c>
      <c r="I74" s="34" t="n">
        <f aca="false">+IF(E74=0,0,E74*0.03)</f>
        <v>0</v>
      </c>
    </row>
    <row r="75" customFormat="false" ht="15.75" hidden="false" customHeight="true" outlineLevel="0" collapsed="false">
      <c r="A75" s="30" t="n">
        <v>45323</v>
      </c>
      <c r="B75" s="31" t="s">
        <v>11</v>
      </c>
      <c r="C75" s="32"/>
      <c r="D75" s="32"/>
      <c r="E75" s="19" t="n">
        <f aca="false">+IF(C75="EQUIPO",F75,0)</f>
        <v>0</v>
      </c>
      <c r="F75" s="33" t="n">
        <v>0</v>
      </c>
      <c r="G75" s="62"/>
      <c r="H75" s="35" t="n">
        <v>0</v>
      </c>
      <c r="I75" s="34" t="n">
        <f aca="false">+IF(E75=0,0,E75*0.03)</f>
        <v>0</v>
      </c>
    </row>
    <row r="76" customFormat="false" ht="15.75" hidden="false" customHeight="true" outlineLevel="0" collapsed="false">
      <c r="A76" s="30" t="n">
        <v>45323</v>
      </c>
      <c r="B76" s="31" t="s">
        <v>11</v>
      </c>
      <c r="C76" s="32"/>
      <c r="D76" s="32"/>
      <c r="E76" s="19" t="n">
        <f aca="false">+IF(C76="EQUIPO",F76,0)</f>
        <v>0</v>
      </c>
      <c r="F76" s="33" t="n">
        <v>0</v>
      </c>
      <c r="G76" s="62"/>
      <c r="H76" s="35" t="n">
        <v>0</v>
      </c>
      <c r="I76" s="34" t="n">
        <f aca="false">+IF(E76=0,0,E76*0.03)</f>
        <v>0</v>
      </c>
    </row>
    <row r="77" customFormat="false" ht="15.75" hidden="false" customHeight="true" outlineLevel="0" collapsed="false">
      <c r="A77" s="30" t="n">
        <v>45323</v>
      </c>
      <c r="B77" s="31" t="s">
        <v>11</v>
      </c>
      <c r="C77" s="32"/>
      <c r="D77" s="32"/>
      <c r="E77" s="19" t="n">
        <f aca="false">+IF(C77="EQUIPO",F77,0)</f>
        <v>0</v>
      </c>
      <c r="F77" s="33" t="n">
        <v>0</v>
      </c>
      <c r="G77" s="62"/>
      <c r="H77" s="35" t="n">
        <v>0</v>
      </c>
      <c r="I77" s="34" t="n">
        <f aca="false">+IF(E77=0,0,E77*0.03)</f>
        <v>0</v>
      </c>
    </row>
    <row r="78" customFormat="false" ht="15.75" hidden="false" customHeight="true" outlineLevel="0" collapsed="false">
      <c r="A78" s="30" t="n">
        <v>45323</v>
      </c>
      <c r="B78" s="31" t="s">
        <v>11</v>
      </c>
      <c r="C78" s="32"/>
      <c r="D78" s="32"/>
      <c r="E78" s="19" t="n">
        <f aca="false">+IF(C78="EQUIPO",F78,0)</f>
        <v>0</v>
      </c>
      <c r="F78" s="33" t="n">
        <v>0</v>
      </c>
      <c r="G78" s="62"/>
      <c r="H78" s="35" t="n">
        <v>0</v>
      </c>
      <c r="I78" s="34" t="n">
        <f aca="false">+IF(E78=0,0,E78*0.03)</f>
        <v>0</v>
      </c>
    </row>
    <row r="79" customFormat="false" ht="15.75" hidden="false" customHeight="true" outlineLevel="0" collapsed="false">
      <c r="A79" s="30" t="n">
        <v>45323</v>
      </c>
      <c r="B79" s="31" t="s">
        <v>11</v>
      </c>
      <c r="C79" s="32"/>
      <c r="D79" s="32"/>
      <c r="E79" s="19" t="n">
        <f aca="false">+IF(C79="EQUIPO",F79,0)</f>
        <v>0</v>
      </c>
      <c r="F79" s="33" t="n">
        <v>0</v>
      </c>
      <c r="G79" s="62"/>
      <c r="H79" s="35" t="n">
        <v>0</v>
      </c>
      <c r="I79" s="34" t="n">
        <f aca="false">+IF(E79=0,0,E79*0.03)</f>
        <v>0</v>
      </c>
    </row>
    <row r="80" customFormat="false" ht="15.75" hidden="false" customHeight="true" outlineLevel="0" collapsed="false">
      <c r="A80" s="30" t="n">
        <v>45323</v>
      </c>
      <c r="B80" s="31" t="s">
        <v>11</v>
      </c>
      <c r="C80" s="32"/>
      <c r="D80" s="32"/>
      <c r="E80" s="19" t="n">
        <f aca="false">+IF(C80="EQUIPO",F80,0)</f>
        <v>0</v>
      </c>
      <c r="F80" s="33" t="n">
        <v>0</v>
      </c>
      <c r="G80" s="62"/>
      <c r="H80" s="35" t="n">
        <v>0</v>
      </c>
      <c r="I80" s="34" t="n">
        <f aca="false">+IF(E80=0,0,E80*0.03)</f>
        <v>0</v>
      </c>
    </row>
    <row r="81" customFormat="false" ht="15.75" hidden="false" customHeight="true" outlineLevel="0" collapsed="false">
      <c r="A81" s="30" t="n">
        <v>45323</v>
      </c>
      <c r="B81" s="31" t="s">
        <v>11</v>
      </c>
      <c r="C81" s="32"/>
      <c r="D81" s="32"/>
      <c r="E81" s="19" t="n">
        <f aca="false">+IF(C81="EQUIPO",F81,0)</f>
        <v>0</v>
      </c>
      <c r="F81" s="33" t="n">
        <v>0</v>
      </c>
      <c r="G81" s="62"/>
      <c r="H81" s="35" t="n">
        <v>0</v>
      </c>
      <c r="I81" s="34" t="n">
        <f aca="false">+IF(E81=0,0,E81*0.03)</f>
        <v>0</v>
      </c>
    </row>
    <row r="82" customFormat="false" ht="15.75" hidden="false" customHeight="true" outlineLevel="0" collapsed="false">
      <c r="A82" s="30" t="n">
        <v>45323</v>
      </c>
      <c r="B82" s="31" t="s">
        <v>11</v>
      </c>
      <c r="C82" s="32"/>
      <c r="D82" s="32"/>
      <c r="E82" s="19" t="n">
        <f aca="false">+IF(C82="EQUIPO",F82,0)</f>
        <v>0</v>
      </c>
      <c r="F82" s="33" t="n">
        <v>0</v>
      </c>
      <c r="G82" s="62"/>
      <c r="H82" s="35" t="n">
        <v>0</v>
      </c>
      <c r="I82" s="34" t="n">
        <f aca="false">+IF(E82=0,0,E82*0.03)</f>
        <v>0</v>
      </c>
    </row>
    <row r="83" customFormat="false" ht="15.75" hidden="false" customHeight="true" outlineLevel="0" collapsed="false">
      <c r="A83" s="30" t="n">
        <v>45323</v>
      </c>
      <c r="B83" s="31" t="s">
        <v>11</v>
      </c>
      <c r="C83" s="32"/>
      <c r="D83" s="32"/>
      <c r="E83" s="19" t="n">
        <f aca="false">+IF(C83="EQUIPO",F83,0)</f>
        <v>0</v>
      </c>
      <c r="F83" s="33" t="n">
        <v>0</v>
      </c>
      <c r="G83" s="62"/>
      <c r="H83" s="35" t="n">
        <v>0</v>
      </c>
      <c r="I83" s="34" t="n">
        <f aca="false">+IF(E83=0,0,E83*0.03)</f>
        <v>0</v>
      </c>
    </row>
    <row r="84" customFormat="false" ht="15.75" hidden="false" customHeight="true" outlineLevel="0" collapsed="false">
      <c r="A84" s="30" t="n">
        <v>45323</v>
      </c>
      <c r="B84" s="31" t="s">
        <v>11</v>
      </c>
      <c r="C84" s="32"/>
      <c r="D84" s="32"/>
      <c r="E84" s="19" t="n">
        <f aca="false">+IF(C84="EQUIPO",F84,0)</f>
        <v>0</v>
      </c>
      <c r="F84" s="33" t="n">
        <v>0</v>
      </c>
      <c r="G84" s="62"/>
      <c r="H84" s="35" t="n">
        <v>0</v>
      </c>
      <c r="I84" s="34" t="n">
        <f aca="false">+IF(E84=0,0,E84*0.03)</f>
        <v>0</v>
      </c>
    </row>
    <row r="85" customFormat="false" ht="15.75" hidden="false" customHeight="true" outlineLevel="0" collapsed="false">
      <c r="A85" s="30" t="n">
        <v>45323</v>
      </c>
      <c r="B85" s="31" t="s">
        <v>11</v>
      </c>
      <c r="C85" s="32"/>
      <c r="D85" s="32"/>
      <c r="E85" s="19" t="n">
        <f aca="false">+IF(C85="EQUIPO",F85,0)</f>
        <v>0</v>
      </c>
      <c r="F85" s="33" t="n">
        <v>0</v>
      </c>
      <c r="G85" s="62"/>
      <c r="H85" s="35" t="n">
        <v>0</v>
      </c>
      <c r="I85" s="34" t="n">
        <f aca="false">+IF(E85=0,0,E85*0.03)</f>
        <v>0</v>
      </c>
    </row>
    <row r="86" customFormat="false" ht="15.75" hidden="false" customHeight="true" outlineLevel="0" collapsed="false">
      <c r="A86" s="30" t="n">
        <v>45323</v>
      </c>
      <c r="B86" s="31" t="s">
        <v>11</v>
      </c>
      <c r="C86" s="32"/>
      <c r="D86" s="32"/>
      <c r="E86" s="19" t="n">
        <f aca="false">+IF(C86="EQUIPO",F86,0)</f>
        <v>0</v>
      </c>
      <c r="F86" s="33" t="n">
        <v>0</v>
      </c>
      <c r="G86" s="62"/>
      <c r="H86" s="35" t="n">
        <v>0</v>
      </c>
      <c r="I86" s="34" t="n">
        <f aca="false">+IF(E86=0,0,E86*0.03)</f>
        <v>0</v>
      </c>
    </row>
    <row r="87" customFormat="false" ht="15.75" hidden="false" customHeight="true" outlineLevel="0" collapsed="false">
      <c r="A87" s="30" t="n">
        <v>45323</v>
      </c>
      <c r="B87" s="31" t="s">
        <v>11</v>
      </c>
      <c r="C87" s="32"/>
      <c r="D87" s="32"/>
      <c r="E87" s="19" t="n">
        <f aca="false">+IF(C87="EQUIPO",F87,0)</f>
        <v>0</v>
      </c>
      <c r="F87" s="33" t="n">
        <v>0</v>
      </c>
      <c r="G87" s="62"/>
      <c r="H87" s="35" t="n">
        <v>0</v>
      </c>
      <c r="I87" s="34" t="n">
        <f aca="false">+IF(E87=0,0,E87*0.03)</f>
        <v>0</v>
      </c>
    </row>
    <row r="88" customFormat="false" ht="15.75" hidden="false" customHeight="true" outlineLevel="0" collapsed="false">
      <c r="A88" s="30" t="n">
        <v>45323</v>
      </c>
      <c r="B88" s="31" t="s">
        <v>11</v>
      </c>
      <c r="C88" s="32"/>
      <c r="D88" s="32"/>
      <c r="E88" s="19" t="n">
        <f aca="false">+IF(C88="EQUIPO",F88,0)</f>
        <v>0</v>
      </c>
      <c r="F88" s="33" t="n">
        <v>0</v>
      </c>
      <c r="G88" s="62"/>
      <c r="H88" s="35" t="n">
        <v>0</v>
      </c>
      <c r="I88" s="34" t="n">
        <f aca="false">+IF(E88=0,0,E88*0.03)</f>
        <v>0</v>
      </c>
    </row>
    <row r="89" customFormat="false" ht="15.75" hidden="false" customHeight="true" outlineLevel="0" collapsed="false">
      <c r="A89" s="30" t="n">
        <v>45323</v>
      </c>
      <c r="B89" s="31" t="s">
        <v>11</v>
      </c>
      <c r="C89" s="32"/>
      <c r="D89" s="32"/>
      <c r="E89" s="19" t="n">
        <f aca="false">+IF(C89="EQUIPO",F89,0)</f>
        <v>0</v>
      </c>
      <c r="F89" s="33" t="n">
        <v>0</v>
      </c>
      <c r="G89" s="62"/>
      <c r="H89" s="35" t="n">
        <v>0</v>
      </c>
      <c r="I89" s="34" t="n">
        <f aca="false">+IF(E89=0,0,E89*0.03)</f>
        <v>0</v>
      </c>
    </row>
    <row r="90" customFormat="false" ht="15.75" hidden="false" customHeight="true" outlineLevel="0" collapsed="false">
      <c r="A90" s="30" t="n">
        <v>45323</v>
      </c>
      <c r="B90" s="31" t="s">
        <v>11</v>
      </c>
      <c r="C90" s="32"/>
      <c r="D90" s="32"/>
      <c r="E90" s="19" t="n">
        <f aca="false">+IF(C90="EQUIPO",F90,0)</f>
        <v>0</v>
      </c>
      <c r="F90" s="33" t="n">
        <v>0</v>
      </c>
      <c r="G90" s="62"/>
      <c r="H90" s="35" t="n">
        <v>0</v>
      </c>
      <c r="I90" s="34" t="n">
        <f aca="false">+IF(E90=0,0,E90*0.03)</f>
        <v>0</v>
      </c>
    </row>
    <row r="91" customFormat="false" ht="15.75" hidden="false" customHeight="true" outlineLevel="0" collapsed="false">
      <c r="A91" s="30" t="n">
        <v>45323</v>
      </c>
      <c r="B91" s="31" t="s">
        <v>11</v>
      </c>
      <c r="C91" s="32"/>
      <c r="D91" s="32"/>
      <c r="E91" s="19" t="n">
        <f aca="false">+IF(C91="EQUIPO",F91,0)</f>
        <v>0</v>
      </c>
      <c r="F91" s="33" t="n">
        <v>0</v>
      </c>
      <c r="G91" s="62"/>
      <c r="H91" s="35" t="n">
        <v>0</v>
      </c>
      <c r="I91" s="34" t="n">
        <f aca="false">+IF(E91=0,0,E91*0.03)</f>
        <v>0</v>
      </c>
    </row>
    <row r="92" customFormat="false" ht="15.75" hidden="false" customHeight="true" outlineLevel="0" collapsed="false">
      <c r="A92" s="30" t="n">
        <v>45323</v>
      </c>
      <c r="B92" s="31" t="s">
        <v>11</v>
      </c>
      <c r="C92" s="32"/>
      <c r="D92" s="32"/>
      <c r="E92" s="19" t="n">
        <f aca="false">+IF(C92="EQUIPO",F92,0)</f>
        <v>0</v>
      </c>
      <c r="F92" s="33" t="n">
        <v>0</v>
      </c>
      <c r="G92" s="62"/>
      <c r="H92" s="35" t="n">
        <v>0</v>
      </c>
      <c r="I92" s="34" t="n">
        <f aca="false">+IF(E92=0,0,E92*0.03)</f>
        <v>0</v>
      </c>
    </row>
    <row r="93" customFormat="false" ht="15.75" hidden="false" customHeight="true" outlineLevel="0" collapsed="false">
      <c r="A93" s="30" t="n">
        <v>45323</v>
      </c>
      <c r="B93" s="31" t="s">
        <v>11</v>
      </c>
      <c r="C93" s="32"/>
      <c r="D93" s="32"/>
      <c r="E93" s="19" t="n">
        <f aca="false">+IF(C93="EQUIPO",F93,0)</f>
        <v>0</v>
      </c>
      <c r="F93" s="33" t="n">
        <v>0</v>
      </c>
      <c r="G93" s="62"/>
      <c r="H93" s="35" t="n">
        <v>0</v>
      </c>
      <c r="I93" s="34" t="n">
        <f aca="false">+IF(E93=0,0,E93*0.03)</f>
        <v>0</v>
      </c>
    </row>
    <row r="94" customFormat="false" ht="15.75" hidden="false" customHeight="true" outlineLevel="0" collapsed="false">
      <c r="A94" s="30" t="n">
        <v>45323</v>
      </c>
      <c r="B94" s="31" t="s">
        <v>11</v>
      </c>
      <c r="C94" s="32"/>
      <c r="D94" s="32"/>
      <c r="E94" s="19" t="n">
        <f aca="false">+IF(C94="EQUIPO",F94,0)</f>
        <v>0</v>
      </c>
      <c r="F94" s="33" t="n">
        <v>0</v>
      </c>
      <c r="G94" s="62"/>
      <c r="H94" s="35" t="n">
        <v>0</v>
      </c>
      <c r="I94" s="34" t="n">
        <f aca="false">+IF(E94=0,0,E94*0.03)</f>
        <v>0</v>
      </c>
    </row>
    <row r="95" customFormat="false" ht="15.75" hidden="false" customHeight="true" outlineLevel="0" collapsed="false">
      <c r="A95" s="30" t="n">
        <v>45323</v>
      </c>
      <c r="B95" s="31" t="s">
        <v>11</v>
      </c>
      <c r="C95" s="32"/>
      <c r="D95" s="32"/>
      <c r="E95" s="19" t="n">
        <f aca="false">+IF(C95="EQUIPO",F95,0)</f>
        <v>0</v>
      </c>
      <c r="F95" s="33" t="n">
        <v>0</v>
      </c>
      <c r="G95" s="62"/>
      <c r="H95" s="35" t="n">
        <v>0</v>
      </c>
      <c r="I95" s="34" t="n">
        <f aca="false">+IF(E95=0,0,E95*0.03)</f>
        <v>0</v>
      </c>
    </row>
    <row r="96" customFormat="false" ht="15.75" hidden="false" customHeight="true" outlineLevel="0" collapsed="false">
      <c r="A96" s="30" t="n">
        <v>45323</v>
      </c>
      <c r="B96" s="31" t="s">
        <v>11</v>
      </c>
      <c r="C96" s="32"/>
      <c r="D96" s="32"/>
      <c r="E96" s="19" t="n">
        <f aca="false">+IF(C96="EQUIPO",F96,0)</f>
        <v>0</v>
      </c>
      <c r="F96" s="33" t="n">
        <v>0</v>
      </c>
      <c r="G96" s="62"/>
      <c r="H96" s="35" t="n">
        <v>0</v>
      </c>
      <c r="I96" s="34" t="n">
        <f aca="false">+IF(E96=0,0,E96*0.03)</f>
        <v>0</v>
      </c>
    </row>
    <row r="97" customFormat="false" ht="15.75" hidden="false" customHeight="true" outlineLevel="0" collapsed="false">
      <c r="A97" s="30" t="n">
        <v>45323</v>
      </c>
      <c r="B97" s="31" t="s">
        <v>11</v>
      </c>
      <c r="C97" s="32"/>
      <c r="D97" s="32"/>
      <c r="E97" s="19" t="n">
        <f aca="false">+IF(C97="EQUIPO",F97,0)</f>
        <v>0</v>
      </c>
      <c r="F97" s="33" t="n">
        <v>0</v>
      </c>
      <c r="G97" s="62"/>
      <c r="H97" s="35" t="n">
        <v>0</v>
      </c>
      <c r="I97" s="34" t="n">
        <f aca="false">+IF(E97=0,0,E97*0.03)</f>
        <v>0</v>
      </c>
    </row>
    <row r="98" customFormat="false" ht="15.75" hidden="false" customHeight="true" outlineLevel="0" collapsed="false">
      <c r="A98" s="30" t="n">
        <v>45323</v>
      </c>
      <c r="B98" s="31" t="s">
        <v>11</v>
      </c>
      <c r="C98" s="32"/>
      <c r="D98" s="32"/>
      <c r="E98" s="19" t="n">
        <f aca="false">+IF(C98="EQUIPO",F98,0)</f>
        <v>0</v>
      </c>
      <c r="F98" s="33" t="n">
        <v>0</v>
      </c>
      <c r="G98" s="62"/>
      <c r="H98" s="35" t="n">
        <v>0</v>
      </c>
      <c r="I98" s="34" t="n">
        <f aca="false">+IF(E98=0,0,E98*0.03)</f>
        <v>0</v>
      </c>
    </row>
    <row r="99" customFormat="false" ht="15.75" hidden="false" customHeight="true" outlineLevel="0" collapsed="false">
      <c r="A99" s="30" t="n">
        <v>45323</v>
      </c>
      <c r="B99" s="31" t="s">
        <v>11</v>
      </c>
      <c r="C99" s="32"/>
      <c r="D99" s="32"/>
      <c r="E99" s="19" t="n">
        <f aca="false">+IF(C99="EQUIPO",F99,0)</f>
        <v>0</v>
      </c>
      <c r="F99" s="33" t="n">
        <v>0</v>
      </c>
      <c r="G99" s="62"/>
      <c r="H99" s="35" t="n">
        <v>0</v>
      </c>
      <c r="I99" s="34" t="n">
        <f aca="false">+IF(E99=0,0,E99*0.03)</f>
        <v>0</v>
      </c>
    </row>
    <row r="100" customFormat="false" ht="15.75" hidden="false" customHeight="true" outlineLevel="0" collapsed="false">
      <c r="A100" s="30" t="n">
        <v>45323</v>
      </c>
      <c r="B100" s="31" t="s">
        <v>11</v>
      </c>
      <c r="C100" s="32"/>
      <c r="D100" s="32"/>
      <c r="E100" s="19" t="n">
        <f aca="false">+IF(C100="EQUIPO",F100,0)</f>
        <v>0</v>
      </c>
      <c r="F100" s="33" t="n">
        <v>0</v>
      </c>
      <c r="G100" s="62"/>
      <c r="H100" s="35" t="n">
        <v>0</v>
      </c>
      <c r="I100" s="34" t="n">
        <f aca="false">+IF(E100=0,0,E100*0.03)</f>
        <v>0</v>
      </c>
    </row>
    <row r="101" customFormat="false" ht="15.75" hidden="false" customHeight="true" outlineLevel="0" collapsed="false">
      <c r="A101" s="30" t="n">
        <v>45323</v>
      </c>
      <c r="B101" s="31" t="s">
        <v>11</v>
      </c>
      <c r="C101" s="32"/>
      <c r="D101" s="32"/>
      <c r="E101" s="19" t="n">
        <f aca="false">+IF(C101="EQUIPO",F101,0)</f>
        <v>0</v>
      </c>
      <c r="F101" s="33" t="n">
        <v>0</v>
      </c>
      <c r="G101" s="62"/>
      <c r="H101" s="35" t="n">
        <v>0</v>
      </c>
      <c r="I101" s="34" t="n">
        <f aca="false">+IF(E101=0,0,E101*0.03)</f>
        <v>0</v>
      </c>
    </row>
    <row r="102" customFormat="false" ht="15.75" hidden="false" customHeight="true" outlineLevel="0" collapsed="false">
      <c r="A102" s="30" t="n">
        <v>45323</v>
      </c>
      <c r="B102" s="31" t="s">
        <v>11</v>
      </c>
      <c r="C102" s="32"/>
      <c r="D102" s="32"/>
      <c r="E102" s="19" t="n">
        <f aca="false">+IF(C102="EQUIPO",F102,0)</f>
        <v>0</v>
      </c>
      <c r="F102" s="33" t="n">
        <v>0</v>
      </c>
      <c r="G102" s="62"/>
      <c r="H102" s="35" t="n">
        <v>0</v>
      </c>
      <c r="I102" s="34" t="n">
        <f aca="false">+IF(E102=0,0,E102*0.03)</f>
        <v>0</v>
      </c>
    </row>
    <row r="103" customFormat="false" ht="15.75" hidden="false" customHeight="true" outlineLevel="0" collapsed="false">
      <c r="A103" s="30" t="n">
        <v>45323</v>
      </c>
      <c r="B103" s="31" t="s">
        <v>11</v>
      </c>
      <c r="C103" s="32"/>
      <c r="D103" s="32"/>
      <c r="E103" s="19" t="n">
        <f aca="false">+IF(C103="EQUIPO",F103,0)</f>
        <v>0</v>
      </c>
      <c r="F103" s="33" t="n">
        <v>0</v>
      </c>
      <c r="G103" s="62"/>
      <c r="H103" s="35" t="n">
        <v>0</v>
      </c>
      <c r="I103" s="34" t="n">
        <f aca="false">+IF(E103=0,0,E103*0.03)</f>
        <v>0</v>
      </c>
    </row>
    <row r="104" customFormat="false" ht="15.75" hidden="false" customHeight="true" outlineLevel="0" collapsed="false">
      <c r="A104" s="30" t="n">
        <v>45323</v>
      </c>
      <c r="B104" s="31" t="s">
        <v>11</v>
      </c>
      <c r="C104" s="32"/>
      <c r="D104" s="32"/>
      <c r="E104" s="19" t="n">
        <f aca="false">+IF(C104="EQUIPO",F104,0)</f>
        <v>0</v>
      </c>
      <c r="F104" s="33" t="n">
        <v>0</v>
      </c>
      <c r="G104" s="62"/>
      <c r="H104" s="35" t="n">
        <v>0</v>
      </c>
      <c r="I104" s="34" t="n">
        <f aca="false">+IF(E104=0,0,E104*0.03)</f>
        <v>0</v>
      </c>
    </row>
    <row r="105" customFormat="false" ht="15.75" hidden="false" customHeight="true" outlineLevel="0" collapsed="false">
      <c r="A105" s="30" t="n">
        <v>45323</v>
      </c>
      <c r="B105" s="31" t="s">
        <v>11</v>
      </c>
      <c r="C105" s="32"/>
      <c r="D105" s="32"/>
      <c r="E105" s="19" t="n">
        <f aca="false">+IF(C105="EQUIPO",F105,0)</f>
        <v>0</v>
      </c>
      <c r="F105" s="33" t="n">
        <v>0</v>
      </c>
      <c r="G105" s="62"/>
      <c r="H105" s="35" t="n">
        <v>0</v>
      </c>
      <c r="I105" s="34" t="n">
        <f aca="false">+IF(E105=0,0,E105*0.03)</f>
        <v>0</v>
      </c>
    </row>
    <row r="106" customFormat="false" ht="15.75" hidden="false" customHeight="true" outlineLevel="0" collapsed="false">
      <c r="A106" s="30" t="n">
        <v>45323</v>
      </c>
      <c r="B106" s="31" t="s">
        <v>11</v>
      </c>
      <c r="C106" s="32"/>
      <c r="D106" s="32"/>
      <c r="E106" s="19" t="n">
        <f aca="false">+IF(C106="EQUIPO",F106,0)</f>
        <v>0</v>
      </c>
      <c r="F106" s="33" t="n">
        <v>0</v>
      </c>
      <c r="G106" s="62"/>
      <c r="H106" s="35" t="n">
        <v>0</v>
      </c>
      <c r="I106" s="34" t="n">
        <f aca="false">+IF(E106=0,0,E106*0.03)</f>
        <v>0</v>
      </c>
    </row>
    <row r="107" customFormat="false" ht="15.75" hidden="false" customHeight="true" outlineLevel="0" collapsed="false">
      <c r="A107" s="30" t="n">
        <v>45323</v>
      </c>
      <c r="B107" s="31" t="s">
        <v>11</v>
      </c>
      <c r="C107" s="32"/>
      <c r="D107" s="32"/>
      <c r="E107" s="19" t="n">
        <f aca="false">+IF(C107="EQUIPO",F107,0)</f>
        <v>0</v>
      </c>
      <c r="F107" s="33" t="n">
        <v>0</v>
      </c>
      <c r="G107" s="62"/>
      <c r="H107" s="35" t="n">
        <v>0</v>
      </c>
      <c r="I107" s="34" t="n">
        <f aca="false">+IF(E107=0,0,E107*0.03)</f>
        <v>0</v>
      </c>
    </row>
    <row r="108" customFormat="false" ht="15.75" hidden="false" customHeight="true" outlineLevel="0" collapsed="false">
      <c r="A108" s="30" t="n">
        <v>45323</v>
      </c>
      <c r="B108" s="31" t="s">
        <v>11</v>
      </c>
      <c r="C108" s="32"/>
      <c r="D108" s="32"/>
      <c r="E108" s="19" t="n">
        <f aca="false">+IF(C108="EQUIPO",F108,0)</f>
        <v>0</v>
      </c>
      <c r="F108" s="33" t="n">
        <v>0</v>
      </c>
      <c r="G108" s="62"/>
      <c r="H108" s="35" t="n">
        <v>0</v>
      </c>
      <c r="I108" s="34" t="n">
        <f aca="false">+IF(E108=0,0,E108*0.03)</f>
        <v>0</v>
      </c>
    </row>
    <row r="109" customFormat="false" ht="15.75" hidden="false" customHeight="true" outlineLevel="0" collapsed="false">
      <c r="A109" s="30" t="n">
        <v>45323</v>
      </c>
      <c r="B109" s="31" t="s">
        <v>11</v>
      </c>
      <c r="C109" s="32"/>
      <c r="D109" s="32"/>
      <c r="E109" s="19" t="n">
        <f aca="false">+IF(C109="EQUIPO",F109,0)</f>
        <v>0</v>
      </c>
      <c r="F109" s="33" t="n">
        <v>0</v>
      </c>
      <c r="G109" s="62"/>
      <c r="H109" s="35" t="n">
        <v>0</v>
      </c>
      <c r="I109" s="34" t="n">
        <f aca="false">+IF(E109=0,0,E109*0.03)</f>
        <v>0</v>
      </c>
    </row>
    <row r="110" customFormat="false" ht="15.75" hidden="false" customHeight="true" outlineLevel="0" collapsed="false">
      <c r="A110" s="30" t="n">
        <v>45323</v>
      </c>
      <c r="B110" s="31" t="s">
        <v>11</v>
      </c>
      <c r="C110" s="32"/>
      <c r="D110" s="32"/>
      <c r="E110" s="19" t="n">
        <f aca="false">+IF(C110="EQUIPO",F110,0)</f>
        <v>0</v>
      </c>
      <c r="F110" s="33" t="n">
        <v>0</v>
      </c>
      <c r="G110" s="62"/>
      <c r="H110" s="35" t="n">
        <v>0</v>
      </c>
      <c r="I110" s="34" t="n">
        <f aca="false">+IF(E110=0,0,E110*0.03)</f>
        <v>0</v>
      </c>
    </row>
    <row r="111" customFormat="false" ht="15.75" hidden="false" customHeight="true" outlineLevel="0" collapsed="false">
      <c r="A111" s="30" t="n">
        <v>45323</v>
      </c>
      <c r="B111" s="31" t="s">
        <v>11</v>
      </c>
      <c r="C111" s="32"/>
      <c r="D111" s="32"/>
      <c r="E111" s="19" t="n">
        <f aca="false">+IF(C111="EQUIPO",F111,0)</f>
        <v>0</v>
      </c>
      <c r="F111" s="33" t="n">
        <v>0</v>
      </c>
      <c r="G111" s="62"/>
      <c r="H111" s="35" t="n">
        <v>0</v>
      </c>
      <c r="I111" s="34" t="n">
        <f aca="false">+IF(E111=0,0,E111*0.03)</f>
        <v>0</v>
      </c>
    </row>
    <row r="112" customFormat="false" ht="15.75" hidden="false" customHeight="true" outlineLevel="0" collapsed="false">
      <c r="A112" s="30" t="n">
        <v>45323</v>
      </c>
      <c r="B112" s="31" t="s">
        <v>11</v>
      </c>
      <c r="C112" s="32"/>
      <c r="D112" s="32"/>
      <c r="E112" s="19" t="n">
        <f aca="false">+IF(C112="EQUIPO",F112,0)</f>
        <v>0</v>
      </c>
      <c r="F112" s="33" t="n">
        <v>0</v>
      </c>
      <c r="G112" s="62"/>
      <c r="H112" s="35" t="n">
        <v>0</v>
      </c>
      <c r="I112" s="34" t="n">
        <f aca="false">+IF(E112=0,0,E112*0.03)</f>
        <v>0</v>
      </c>
    </row>
    <row r="113" customFormat="false" ht="15.75" hidden="false" customHeight="true" outlineLevel="0" collapsed="false">
      <c r="A113" s="30" t="n">
        <v>45323</v>
      </c>
      <c r="B113" s="31" t="s">
        <v>11</v>
      </c>
      <c r="C113" s="32"/>
      <c r="D113" s="32"/>
      <c r="E113" s="19" t="n">
        <f aca="false">+IF(C113="EQUIPO",F113,0)</f>
        <v>0</v>
      </c>
      <c r="F113" s="33" t="n">
        <v>0</v>
      </c>
      <c r="G113" s="62"/>
      <c r="H113" s="35" t="n">
        <v>0</v>
      </c>
      <c r="I113" s="34" t="n">
        <f aca="false">+IF(E113=0,0,E113*0.03)</f>
        <v>0</v>
      </c>
    </row>
    <row r="114" customFormat="false" ht="15.75" hidden="false" customHeight="true" outlineLevel="0" collapsed="false">
      <c r="A114" s="30" t="n">
        <v>45323</v>
      </c>
      <c r="B114" s="31" t="s">
        <v>11</v>
      </c>
      <c r="C114" s="32"/>
      <c r="D114" s="32"/>
      <c r="E114" s="19" t="n">
        <f aca="false">+IF(C114="EQUIPO",F114,0)</f>
        <v>0</v>
      </c>
      <c r="F114" s="33" t="n">
        <v>0</v>
      </c>
      <c r="G114" s="62"/>
      <c r="H114" s="35" t="n">
        <v>0</v>
      </c>
      <c r="I114" s="34" t="n">
        <f aca="false">+IF(E114=0,0,E114*0.03)</f>
        <v>0</v>
      </c>
    </row>
    <row r="115" customFormat="false" ht="15.75" hidden="false" customHeight="true" outlineLevel="0" collapsed="false">
      <c r="A115" s="30" t="n">
        <v>45323</v>
      </c>
      <c r="B115" s="31" t="s">
        <v>11</v>
      </c>
      <c r="C115" s="32"/>
      <c r="D115" s="32"/>
      <c r="E115" s="19" t="n">
        <f aca="false">+IF(C115="EQUIPO",F115,0)</f>
        <v>0</v>
      </c>
      <c r="F115" s="33" t="n">
        <v>0</v>
      </c>
      <c r="G115" s="62"/>
      <c r="H115" s="35" t="n">
        <v>0</v>
      </c>
      <c r="I115" s="34" t="n">
        <f aca="false">+IF(E115=0,0,E115*0.03)</f>
        <v>0</v>
      </c>
    </row>
    <row r="116" customFormat="false" ht="15.75" hidden="false" customHeight="true" outlineLevel="0" collapsed="false">
      <c r="A116" s="30" t="n">
        <v>45323</v>
      </c>
      <c r="B116" s="31" t="s">
        <v>11</v>
      </c>
      <c r="C116" s="32"/>
      <c r="D116" s="32"/>
      <c r="E116" s="19" t="n">
        <f aca="false">+IF(C116="EQUIPO",F116,0)</f>
        <v>0</v>
      </c>
      <c r="F116" s="33" t="n">
        <v>0</v>
      </c>
      <c r="G116" s="62"/>
      <c r="H116" s="35" t="n">
        <v>0</v>
      </c>
      <c r="I116" s="34" t="n">
        <f aca="false">+IF(E116=0,0,E116*0.03)</f>
        <v>0</v>
      </c>
    </row>
    <row r="117" customFormat="false" ht="15.75" hidden="false" customHeight="true" outlineLevel="0" collapsed="false">
      <c r="A117" s="30" t="n">
        <v>45323</v>
      </c>
      <c r="B117" s="31" t="s">
        <v>11</v>
      </c>
      <c r="C117" s="32"/>
      <c r="D117" s="32"/>
      <c r="E117" s="19" t="n">
        <f aca="false">+IF(C117="EQUIPO",F117,0)</f>
        <v>0</v>
      </c>
      <c r="F117" s="33" t="n">
        <v>0</v>
      </c>
      <c r="G117" s="62"/>
      <c r="H117" s="35" t="n">
        <v>0</v>
      </c>
      <c r="I117" s="34" t="n">
        <f aca="false">+IF(E117=0,0,E117*0.03)</f>
        <v>0</v>
      </c>
    </row>
    <row r="118" customFormat="false" ht="15.75" hidden="false" customHeight="true" outlineLevel="0" collapsed="false">
      <c r="A118" s="30" t="n">
        <v>45323</v>
      </c>
      <c r="B118" s="31" t="s">
        <v>11</v>
      </c>
      <c r="C118" s="32"/>
      <c r="D118" s="32"/>
      <c r="E118" s="19" t="n">
        <f aca="false">+IF(C118="EQUIPO",F118,0)</f>
        <v>0</v>
      </c>
      <c r="F118" s="33" t="n">
        <v>0</v>
      </c>
      <c r="G118" s="62"/>
      <c r="H118" s="35" t="n">
        <v>0</v>
      </c>
      <c r="I118" s="34" t="n">
        <f aca="false">+IF(E118=0,0,E118*0.03)</f>
        <v>0</v>
      </c>
    </row>
    <row r="119" customFormat="false" ht="15.75" hidden="false" customHeight="true" outlineLevel="0" collapsed="false">
      <c r="A119" s="30" t="n">
        <v>45323</v>
      </c>
      <c r="B119" s="31" t="s">
        <v>11</v>
      </c>
      <c r="C119" s="32"/>
      <c r="D119" s="32"/>
      <c r="E119" s="19" t="n">
        <f aca="false">+IF(C119="EQUIPO",F119,0)</f>
        <v>0</v>
      </c>
      <c r="F119" s="33" t="n">
        <v>0</v>
      </c>
      <c r="G119" s="62"/>
      <c r="H119" s="35" t="n">
        <v>0</v>
      </c>
      <c r="I119" s="34" t="n">
        <f aca="false">+IF(E119=0,0,E119*0.03)</f>
        <v>0</v>
      </c>
    </row>
    <row r="120" customFormat="false" ht="15.75" hidden="false" customHeight="true" outlineLevel="0" collapsed="false">
      <c r="A120" s="30" t="n">
        <v>45323</v>
      </c>
      <c r="B120" s="31" t="s">
        <v>11</v>
      </c>
      <c r="C120" s="32"/>
      <c r="D120" s="32"/>
      <c r="E120" s="19" t="n">
        <f aca="false">+IF(C120="EQUIPO",F120,0)</f>
        <v>0</v>
      </c>
      <c r="F120" s="33" t="n">
        <v>0</v>
      </c>
      <c r="G120" s="62"/>
      <c r="H120" s="35" t="n">
        <v>0</v>
      </c>
      <c r="I120" s="34" t="n">
        <f aca="false">+IF(E120=0,0,E120*0.03)</f>
        <v>0</v>
      </c>
    </row>
    <row r="121" customFormat="false" ht="15.75" hidden="false" customHeight="true" outlineLevel="0" collapsed="false">
      <c r="A121" s="30" t="n">
        <v>45323</v>
      </c>
      <c r="B121" s="31" t="s">
        <v>11</v>
      </c>
      <c r="C121" s="32"/>
      <c r="D121" s="32"/>
      <c r="E121" s="19" t="n">
        <f aca="false">+IF(C121="EQUIPO",F121,0)</f>
        <v>0</v>
      </c>
      <c r="F121" s="33" t="n">
        <v>0</v>
      </c>
      <c r="G121" s="62"/>
      <c r="H121" s="35" t="n">
        <v>0</v>
      </c>
      <c r="I121" s="34" t="n">
        <f aca="false">+IF(E121=0,0,E121*0.03)</f>
        <v>0</v>
      </c>
    </row>
    <row r="122" customFormat="false" ht="15.75" hidden="false" customHeight="true" outlineLevel="0" collapsed="false">
      <c r="A122" s="30" t="n">
        <v>45323</v>
      </c>
      <c r="B122" s="31" t="s">
        <v>11</v>
      </c>
      <c r="C122" s="32"/>
      <c r="D122" s="32"/>
      <c r="E122" s="19" t="n">
        <f aca="false">+IF(C122="EQUIPO",F122,0)</f>
        <v>0</v>
      </c>
      <c r="F122" s="33" t="n">
        <v>0</v>
      </c>
      <c r="G122" s="62"/>
      <c r="H122" s="35" t="n">
        <v>0</v>
      </c>
      <c r="I122" s="34" t="n">
        <f aca="false">+IF(E122=0,0,E122*0.03)</f>
        <v>0</v>
      </c>
    </row>
    <row r="123" customFormat="false" ht="15.75" hidden="false" customHeight="true" outlineLevel="0" collapsed="false">
      <c r="A123" s="30" t="n">
        <v>45323</v>
      </c>
      <c r="B123" s="31" t="s">
        <v>11</v>
      </c>
      <c r="C123" s="32"/>
      <c r="D123" s="32"/>
      <c r="E123" s="19" t="n">
        <f aca="false">+IF(C123="EQUIPO",F123,0)</f>
        <v>0</v>
      </c>
      <c r="F123" s="33" t="n">
        <v>0</v>
      </c>
      <c r="G123" s="62"/>
      <c r="H123" s="35" t="n">
        <v>0</v>
      </c>
      <c r="I123" s="34" t="n">
        <f aca="false">+IF(E123=0,0,E123*0.03)</f>
        <v>0</v>
      </c>
    </row>
    <row r="124" customFormat="false" ht="15.75" hidden="false" customHeight="true" outlineLevel="0" collapsed="false">
      <c r="A124" s="30" t="n">
        <v>45323</v>
      </c>
      <c r="B124" s="31" t="s">
        <v>11</v>
      </c>
      <c r="C124" s="32"/>
      <c r="D124" s="32"/>
      <c r="E124" s="19" t="n">
        <f aca="false">+IF(C124="EQUIPO",F124,0)</f>
        <v>0</v>
      </c>
      <c r="F124" s="33" t="n">
        <v>0</v>
      </c>
      <c r="G124" s="62"/>
      <c r="H124" s="35" t="n">
        <v>0</v>
      </c>
      <c r="I124" s="34" t="n">
        <f aca="false">+IF(E124=0,0,E124*0.03)</f>
        <v>0</v>
      </c>
    </row>
    <row r="125" customFormat="false" ht="15.75" hidden="false" customHeight="true" outlineLevel="0" collapsed="false">
      <c r="A125" s="30" t="n">
        <v>45323</v>
      </c>
      <c r="B125" s="31" t="s">
        <v>11</v>
      </c>
      <c r="C125" s="32"/>
      <c r="D125" s="32"/>
      <c r="E125" s="19" t="n">
        <f aca="false">+IF(C125="EQUIPO",F125,0)</f>
        <v>0</v>
      </c>
      <c r="F125" s="33" t="n">
        <v>0</v>
      </c>
      <c r="G125" s="62"/>
      <c r="H125" s="35" t="n">
        <v>0</v>
      </c>
      <c r="I125" s="34" t="n">
        <f aca="false">+IF(E125=0,0,E125*0.03)</f>
        <v>0</v>
      </c>
    </row>
    <row r="126" customFormat="false" ht="15.75" hidden="false" customHeight="true" outlineLevel="0" collapsed="false">
      <c r="A126" s="30" t="n">
        <v>45323</v>
      </c>
      <c r="B126" s="31" t="s">
        <v>11</v>
      </c>
      <c r="C126" s="32"/>
      <c r="D126" s="32"/>
      <c r="E126" s="19" t="n">
        <f aca="false">+IF(C126="EQUIPO",F126,0)</f>
        <v>0</v>
      </c>
      <c r="F126" s="33" t="n">
        <v>0</v>
      </c>
      <c r="G126" s="62"/>
      <c r="H126" s="35" t="n">
        <v>0</v>
      </c>
      <c r="I126" s="34" t="n">
        <f aca="false">+IF(E126=0,0,E126*0.03)</f>
        <v>0</v>
      </c>
    </row>
    <row r="127" customFormat="false" ht="15.75" hidden="false" customHeight="true" outlineLevel="0" collapsed="false">
      <c r="A127" s="30" t="n">
        <v>45323</v>
      </c>
      <c r="B127" s="31" t="s">
        <v>11</v>
      </c>
      <c r="C127" s="32"/>
      <c r="D127" s="32"/>
      <c r="E127" s="19" t="n">
        <f aca="false">+IF(C127="EQUIPO",F127,0)</f>
        <v>0</v>
      </c>
      <c r="F127" s="33" t="n">
        <v>0</v>
      </c>
      <c r="G127" s="62"/>
      <c r="H127" s="35" t="n">
        <v>0</v>
      </c>
      <c r="I127" s="34" t="n">
        <f aca="false">+IF(E127=0,0,E127*0.03)</f>
        <v>0</v>
      </c>
    </row>
    <row r="128" customFormat="false" ht="15.75" hidden="false" customHeight="true" outlineLevel="0" collapsed="false">
      <c r="A128" s="30" t="n">
        <v>45323</v>
      </c>
      <c r="B128" s="31" t="s">
        <v>11</v>
      </c>
      <c r="C128" s="32"/>
      <c r="D128" s="32"/>
      <c r="E128" s="19" t="n">
        <f aca="false">+IF(C128="EQUIPO",F128,0)</f>
        <v>0</v>
      </c>
      <c r="F128" s="33" t="n">
        <v>0</v>
      </c>
      <c r="G128" s="62"/>
      <c r="H128" s="35" t="n">
        <v>0</v>
      </c>
      <c r="I128" s="34" t="n">
        <f aca="false">+IF(E128=0,0,E128*0.03)</f>
        <v>0</v>
      </c>
    </row>
    <row r="129" customFormat="false" ht="15.75" hidden="false" customHeight="true" outlineLevel="0" collapsed="false">
      <c r="A129" s="30" t="n">
        <v>45323</v>
      </c>
      <c r="B129" s="31" t="s">
        <v>11</v>
      </c>
      <c r="C129" s="32"/>
      <c r="D129" s="32"/>
      <c r="E129" s="19" t="n">
        <f aca="false">+IF(C129="EQUIPO",F129,0)</f>
        <v>0</v>
      </c>
      <c r="F129" s="33" t="n">
        <v>0</v>
      </c>
      <c r="G129" s="62"/>
      <c r="H129" s="35" t="n">
        <v>0</v>
      </c>
      <c r="I129" s="34" t="n">
        <f aca="false">+IF(E129=0,0,E129*0.03)</f>
        <v>0</v>
      </c>
    </row>
    <row r="130" customFormat="false" ht="15.75" hidden="false" customHeight="true" outlineLevel="0" collapsed="false">
      <c r="A130" s="30" t="n">
        <v>45323</v>
      </c>
      <c r="B130" s="31" t="s">
        <v>11</v>
      </c>
      <c r="C130" s="32"/>
      <c r="D130" s="32"/>
      <c r="E130" s="19" t="n">
        <f aca="false">+IF(C130="EQUIPO",F130,0)</f>
        <v>0</v>
      </c>
      <c r="F130" s="33" t="n">
        <v>0</v>
      </c>
      <c r="G130" s="62"/>
      <c r="H130" s="35" t="n">
        <v>0</v>
      </c>
      <c r="I130" s="34" t="n">
        <f aca="false">+IF(E130=0,0,E130*0.03)</f>
        <v>0</v>
      </c>
    </row>
    <row r="131" customFormat="false" ht="15.75" hidden="false" customHeight="true" outlineLevel="0" collapsed="false">
      <c r="A131" s="30" t="n">
        <v>45323</v>
      </c>
      <c r="B131" s="31" t="s">
        <v>11</v>
      </c>
      <c r="C131" s="32"/>
      <c r="D131" s="32"/>
      <c r="E131" s="19" t="n">
        <f aca="false">+IF(C131="EQUIPO",F131,0)</f>
        <v>0</v>
      </c>
      <c r="F131" s="33" t="n">
        <v>0</v>
      </c>
      <c r="G131" s="62"/>
      <c r="H131" s="35" t="n">
        <v>0</v>
      </c>
      <c r="I131" s="34" t="n">
        <f aca="false">+IF(E131=0,0,E131*0.03)</f>
        <v>0</v>
      </c>
    </row>
    <row r="132" customFormat="false" ht="15.75" hidden="false" customHeight="true" outlineLevel="0" collapsed="false">
      <c r="A132" s="30" t="n">
        <v>45323</v>
      </c>
      <c r="B132" s="31" t="s">
        <v>11</v>
      </c>
      <c r="C132" s="32"/>
      <c r="D132" s="32"/>
      <c r="E132" s="19" t="n">
        <f aca="false">+IF(C132="EQUIPO",F132,0)</f>
        <v>0</v>
      </c>
      <c r="F132" s="33" t="n">
        <v>0</v>
      </c>
      <c r="G132" s="62"/>
      <c r="H132" s="35" t="n">
        <v>0</v>
      </c>
      <c r="I132" s="34" t="n">
        <f aca="false">+IF(E132=0,0,E132*0.03)</f>
        <v>0</v>
      </c>
    </row>
    <row r="133" customFormat="false" ht="15.75" hidden="false" customHeight="true" outlineLevel="0" collapsed="false">
      <c r="A133" s="30" t="n">
        <v>45323</v>
      </c>
      <c r="B133" s="31" t="s">
        <v>11</v>
      </c>
      <c r="C133" s="32"/>
      <c r="D133" s="32"/>
      <c r="E133" s="19" t="n">
        <f aca="false">+IF(C133="EQUIPO",F133,0)</f>
        <v>0</v>
      </c>
      <c r="F133" s="33" t="n">
        <v>0</v>
      </c>
      <c r="G133" s="62"/>
      <c r="H133" s="35" t="n">
        <v>0</v>
      </c>
      <c r="I133" s="34" t="n">
        <f aca="false">+IF(E133=0,0,E133*0.03)</f>
        <v>0</v>
      </c>
    </row>
    <row r="134" customFormat="false" ht="15.75" hidden="false" customHeight="true" outlineLevel="0" collapsed="false">
      <c r="A134" s="30" t="n">
        <v>45323</v>
      </c>
      <c r="B134" s="31" t="s">
        <v>11</v>
      </c>
      <c r="C134" s="32"/>
      <c r="D134" s="32"/>
      <c r="E134" s="19" t="n">
        <f aca="false">+IF(C134="EQUIPO",F134,0)</f>
        <v>0</v>
      </c>
      <c r="F134" s="33" t="n">
        <v>0</v>
      </c>
      <c r="G134" s="62"/>
      <c r="H134" s="35" t="n">
        <v>0</v>
      </c>
      <c r="I134" s="34" t="n">
        <f aca="false">+IF(E134=0,0,E134*0.03)</f>
        <v>0</v>
      </c>
    </row>
    <row r="135" customFormat="false" ht="15.75" hidden="false" customHeight="true" outlineLevel="0" collapsed="false">
      <c r="A135" s="30" t="n">
        <v>45323</v>
      </c>
      <c r="B135" s="31" t="s">
        <v>11</v>
      </c>
      <c r="C135" s="32"/>
      <c r="D135" s="32"/>
      <c r="E135" s="19" t="n">
        <f aca="false">+IF(C135="EQUIPO",F135,0)</f>
        <v>0</v>
      </c>
      <c r="F135" s="33" t="n">
        <v>0</v>
      </c>
      <c r="G135" s="62"/>
      <c r="H135" s="35" t="n">
        <v>0</v>
      </c>
      <c r="I135" s="34" t="n">
        <f aca="false">+IF(E135=0,0,E135*0.03)</f>
        <v>0</v>
      </c>
    </row>
    <row r="136" customFormat="false" ht="15.75" hidden="false" customHeight="true" outlineLevel="0" collapsed="false">
      <c r="A136" s="30" t="n">
        <v>45323</v>
      </c>
      <c r="B136" s="31" t="s">
        <v>11</v>
      </c>
      <c r="C136" s="32"/>
      <c r="D136" s="32"/>
      <c r="E136" s="19" t="n">
        <f aca="false">+IF(C136="EQUIPO",F136,0)</f>
        <v>0</v>
      </c>
      <c r="F136" s="33" t="n">
        <v>0</v>
      </c>
      <c r="G136" s="62"/>
      <c r="H136" s="35" t="n">
        <v>0</v>
      </c>
      <c r="I136" s="34" t="n">
        <f aca="false">+IF(E136=0,0,E136*0.03)</f>
        <v>0</v>
      </c>
    </row>
    <row r="137" customFormat="false" ht="15.75" hidden="false" customHeight="true" outlineLevel="0" collapsed="false">
      <c r="A137" s="30" t="n">
        <v>45323</v>
      </c>
      <c r="B137" s="31" t="s">
        <v>11</v>
      </c>
      <c r="C137" s="32"/>
      <c r="D137" s="32"/>
      <c r="E137" s="19" t="n">
        <f aca="false">+IF(C137="EQUIPO",F137,0)</f>
        <v>0</v>
      </c>
      <c r="F137" s="33" t="n">
        <v>0</v>
      </c>
      <c r="G137" s="62"/>
      <c r="H137" s="35" t="n">
        <v>0</v>
      </c>
      <c r="I137" s="34" t="n">
        <f aca="false">+IF(E137=0,0,E137*0.03)</f>
        <v>0</v>
      </c>
    </row>
    <row r="138" customFormat="false" ht="15.75" hidden="false" customHeight="true" outlineLevel="0" collapsed="false">
      <c r="A138" s="30" t="n">
        <v>45323</v>
      </c>
      <c r="B138" s="31" t="s">
        <v>11</v>
      </c>
      <c r="C138" s="32"/>
      <c r="D138" s="32"/>
      <c r="E138" s="19" t="n">
        <f aca="false">+IF(C138="EQUIPO",F138,0)</f>
        <v>0</v>
      </c>
      <c r="F138" s="33" t="n">
        <v>0</v>
      </c>
      <c r="G138" s="62"/>
      <c r="H138" s="35" t="n">
        <v>0</v>
      </c>
      <c r="I138" s="34" t="n">
        <f aca="false">+IF(E138=0,0,E138*0.03)</f>
        <v>0</v>
      </c>
    </row>
    <row r="139" customFormat="false" ht="15.75" hidden="false" customHeight="true" outlineLevel="0" collapsed="false">
      <c r="A139" s="30" t="n">
        <v>45323</v>
      </c>
      <c r="B139" s="31" t="s">
        <v>11</v>
      </c>
      <c r="C139" s="32"/>
      <c r="D139" s="32"/>
      <c r="E139" s="19" t="n">
        <f aca="false">+IF(C139="EQUIPO",F139,0)</f>
        <v>0</v>
      </c>
      <c r="F139" s="33" t="n">
        <v>0</v>
      </c>
      <c r="G139" s="62"/>
      <c r="H139" s="35" t="n">
        <v>0</v>
      </c>
      <c r="I139" s="34" t="n">
        <f aca="false">+IF(E139=0,0,E139*0.03)</f>
        <v>0</v>
      </c>
    </row>
    <row r="140" customFormat="false" ht="15.75" hidden="false" customHeight="true" outlineLevel="0" collapsed="false">
      <c r="A140" s="30" t="n">
        <v>45323</v>
      </c>
      <c r="B140" s="31" t="s">
        <v>11</v>
      </c>
      <c r="C140" s="32"/>
      <c r="D140" s="32"/>
      <c r="E140" s="19" t="n">
        <f aca="false">+IF(C140="EQUIPO",F140,0)</f>
        <v>0</v>
      </c>
      <c r="F140" s="33" t="n">
        <v>0</v>
      </c>
      <c r="G140" s="62"/>
      <c r="H140" s="35" t="n">
        <v>0</v>
      </c>
      <c r="I140" s="34" t="n">
        <f aca="false">+IF(E140=0,0,E140*0.03)</f>
        <v>0</v>
      </c>
    </row>
    <row r="141" customFormat="false" ht="15.75" hidden="false" customHeight="true" outlineLevel="0" collapsed="false">
      <c r="A141" s="30" t="n">
        <v>45323</v>
      </c>
      <c r="B141" s="31" t="s">
        <v>11</v>
      </c>
      <c r="C141" s="32"/>
      <c r="D141" s="32"/>
      <c r="E141" s="19" t="n">
        <f aca="false">+IF(C141="EQUIPO",F141,0)</f>
        <v>0</v>
      </c>
      <c r="F141" s="33" t="n">
        <v>0</v>
      </c>
      <c r="G141" s="62"/>
      <c r="H141" s="35" t="n">
        <v>0</v>
      </c>
      <c r="I141" s="34" t="n">
        <f aca="false">+IF(E141=0,0,E141*0.03)</f>
        <v>0</v>
      </c>
    </row>
    <row r="142" customFormat="false" ht="15.75" hidden="false" customHeight="true" outlineLevel="0" collapsed="false">
      <c r="A142" s="30" t="n">
        <v>45323</v>
      </c>
      <c r="B142" s="31" t="s">
        <v>11</v>
      </c>
      <c r="C142" s="32"/>
      <c r="D142" s="32"/>
      <c r="E142" s="19" t="n">
        <f aca="false">+IF(C142="EQUIPO",F142,0)</f>
        <v>0</v>
      </c>
      <c r="F142" s="33" t="n">
        <v>0</v>
      </c>
      <c r="G142" s="62"/>
      <c r="H142" s="35" t="n">
        <v>0</v>
      </c>
      <c r="I142" s="34" t="n">
        <f aca="false">+IF(E142=0,0,E142*0.03)</f>
        <v>0</v>
      </c>
    </row>
    <row r="143" customFormat="false" ht="15.75" hidden="false" customHeight="true" outlineLevel="0" collapsed="false">
      <c r="A143" s="30" t="n">
        <v>45323</v>
      </c>
      <c r="B143" s="31" t="s">
        <v>11</v>
      </c>
      <c r="C143" s="32"/>
      <c r="D143" s="32"/>
      <c r="E143" s="19" t="n">
        <f aca="false">+IF(C143="EQUIPO",F143,0)</f>
        <v>0</v>
      </c>
      <c r="F143" s="33" t="n">
        <v>0</v>
      </c>
      <c r="G143" s="62"/>
      <c r="H143" s="35" t="n">
        <v>0</v>
      </c>
      <c r="I143" s="34" t="n">
        <f aca="false">+IF(E143=0,0,E143*0.03)</f>
        <v>0</v>
      </c>
    </row>
    <row r="144" customFormat="false" ht="15.75" hidden="false" customHeight="true" outlineLevel="0" collapsed="false">
      <c r="A144" s="30" t="n">
        <v>45323</v>
      </c>
      <c r="B144" s="31" t="s">
        <v>11</v>
      </c>
      <c r="C144" s="32"/>
      <c r="D144" s="32"/>
      <c r="E144" s="19" t="n">
        <f aca="false">+IF(C144="EQUIPO",F144,0)</f>
        <v>0</v>
      </c>
      <c r="F144" s="33" t="n">
        <v>0</v>
      </c>
      <c r="G144" s="62"/>
      <c r="H144" s="35" t="n">
        <v>0</v>
      </c>
      <c r="I144" s="34" t="n">
        <f aca="false">+IF(E144=0,0,E144*0.03)</f>
        <v>0</v>
      </c>
    </row>
    <row r="145" customFormat="false" ht="15.75" hidden="false" customHeight="true" outlineLevel="0" collapsed="false">
      <c r="A145" s="30" t="n">
        <v>45323</v>
      </c>
      <c r="B145" s="31" t="s">
        <v>11</v>
      </c>
      <c r="C145" s="32"/>
      <c r="D145" s="32"/>
      <c r="E145" s="19" t="n">
        <f aca="false">+IF(C145="EQUIPO",F145,0)</f>
        <v>0</v>
      </c>
      <c r="F145" s="33" t="n">
        <v>0</v>
      </c>
      <c r="G145" s="62"/>
      <c r="H145" s="35" t="n">
        <v>0</v>
      </c>
      <c r="I145" s="34" t="n">
        <f aca="false">+IF(E145=0,0,E145*0.03)</f>
        <v>0</v>
      </c>
    </row>
    <row r="146" customFormat="false" ht="15.75" hidden="false" customHeight="true" outlineLevel="0" collapsed="false">
      <c r="A146" s="30" t="n">
        <v>45323</v>
      </c>
      <c r="B146" s="31" t="s">
        <v>11</v>
      </c>
      <c r="C146" s="32"/>
      <c r="D146" s="32"/>
      <c r="E146" s="19" t="n">
        <f aca="false">+IF(C146="EQUIPO",F146,0)</f>
        <v>0</v>
      </c>
      <c r="F146" s="33" t="n">
        <v>0</v>
      </c>
      <c r="G146" s="62"/>
      <c r="H146" s="35" t="n">
        <v>0</v>
      </c>
      <c r="I146" s="34" t="n">
        <f aca="false">+IF(E146=0,0,E146*0.03)</f>
        <v>0</v>
      </c>
    </row>
    <row r="147" customFormat="false" ht="15.75" hidden="false" customHeight="true" outlineLevel="0" collapsed="false">
      <c r="A147" s="30" t="n">
        <v>45323</v>
      </c>
      <c r="B147" s="31" t="s">
        <v>11</v>
      </c>
      <c r="C147" s="32"/>
      <c r="D147" s="32"/>
      <c r="E147" s="19" t="n">
        <f aca="false">+IF(C147="EQUIPO",F147,0)</f>
        <v>0</v>
      </c>
      <c r="F147" s="33" t="n">
        <v>0</v>
      </c>
      <c r="G147" s="62"/>
      <c r="H147" s="35" t="n">
        <v>0</v>
      </c>
      <c r="I147" s="34" t="n">
        <f aca="false">+IF(E147=0,0,E147*0.03)</f>
        <v>0</v>
      </c>
    </row>
    <row r="148" customFormat="false" ht="15.75" hidden="false" customHeight="true" outlineLevel="0" collapsed="false">
      <c r="A148" s="30" t="n">
        <v>45323</v>
      </c>
      <c r="B148" s="31" t="s">
        <v>11</v>
      </c>
      <c r="C148" s="32"/>
      <c r="D148" s="32"/>
      <c r="E148" s="19" t="n">
        <f aca="false">+IF(C148="EQUIPO",F148,0)</f>
        <v>0</v>
      </c>
      <c r="F148" s="33" t="n">
        <v>0</v>
      </c>
      <c r="G148" s="62"/>
      <c r="H148" s="35" t="n">
        <v>0</v>
      </c>
      <c r="I148" s="34" t="n">
        <f aca="false">+IF(E148=0,0,E148*0.03)</f>
        <v>0</v>
      </c>
    </row>
    <row r="149" customFormat="false" ht="15.75" hidden="false" customHeight="true" outlineLevel="0" collapsed="false">
      <c r="A149" s="30" t="n">
        <v>45323</v>
      </c>
      <c r="B149" s="31" t="s">
        <v>11</v>
      </c>
      <c r="C149" s="32"/>
      <c r="D149" s="32"/>
      <c r="E149" s="19" t="n">
        <f aca="false">+IF(C149="EQUIPO",F149,0)</f>
        <v>0</v>
      </c>
      <c r="F149" s="33" t="n">
        <v>0</v>
      </c>
      <c r="G149" s="62"/>
      <c r="H149" s="35" t="n">
        <v>0</v>
      </c>
      <c r="I149" s="34" t="n">
        <f aca="false">+IF(E149=0,0,E149*0.03)</f>
        <v>0</v>
      </c>
    </row>
    <row r="150" customFormat="false" ht="15.75" hidden="false" customHeight="true" outlineLevel="0" collapsed="false">
      <c r="A150" s="30" t="n">
        <v>45323</v>
      </c>
      <c r="B150" s="31" t="s">
        <v>11</v>
      </c>
      <c r="C150" s="32"/>
      <c r="D150" s="32"/>
      <c r="E150" s="19" t="n">
        <f aca="false">+IF(C150="EQUIPO",F150,0)</f>
        <v>0</v>
      </c>
      <c r="F150" s="33" t="n">
        <v>0</v>
      </c>
      <c r="G150" s="62"/>
      <c r="H150" s="35" t="n">
        <v>0</v>
      </c>
      <c r="I150" s="34" t="n">
        <f aca="false">+IF(E150=0,0,E150*0.03)</f>
        <v>0</v>
      </c>
    </row>
    <row r="151" customFormat="false" ht="15.75" hidden="false" customHeight="true" outlineLevel="0" collapsed="false">
      <c r="A151" s="30" t="n">
        <v>45323</v>
      </c>
      <c r="B151" s="31" t="s">
        <v>11</v>
      </c>
      <c r="C151" s="32"/>
      <c r="D151" s="32"/>
      <c r="E151" s="19" t="n">
        <f aca="false">+IF(C151="EQUIPO",F151,0)</f>
        <v>0</v>
      </c>
      <c r="F151" s="33" t="n">
        <v>0</v>
      </c>
      <c r="G151" s="62"/>
      <c r="H151" s="35" t="n">
        <v>0</v>
      </c>
      <c r="I151" s="34" t="n">
        <f aca="false">+IF(E151=0,0,E151*0.03)</f>
        <v>0</v>
      </c>
    </row>
    <row r="152" customFormat="false" ht="15.75" hidden="false" customHeight="true" outlineLevel="0" collapsed="false">
      <c r="A152" s="30" t="n">
        <v>45323</v>
      </c>
      <c r="B152" s="31" t="s">
        <v>11</v>
      </c>
      <c r="C152" s="32"/>
      <c r="D152" s="32"/>
      <c r="E152" s="19" t="n">
        <f aca="false">+IF(C152="EQUIPO",F152,0)</f>
        <v>0</v>
      </c>
      <c r="F152" s="33" t="n">
        <v>0</v>
      </c>
      <c r="G152" s="62"/>
      <c r="H152" s="35" t="n">
        <v>0</v>
      </c>
      <c r="I152" s="34" t="n">
        <f aca="false">+IF(E152=0,0,E152*0.03)</f>
        <v>0</v>
      </c>
    </row>
    <row r="153" customFormat="false" ht="15.75" hidden="false" customHeight="true" outlineLevel="0" collapsed="false">
      <c r="A153" s="30" t="n">
        <v>45323</v>
      </c>
      <c r="B153" s="31" t="s">
        <v>11</v>
      </c>
      <c r="C153" s="32"/>
      <c r="D153" s="32"/>
      <c r="E153" s="19" t="n">
        <f aca="false">+IF(C153="EQUIPO",F153,0)</f>
        <v>0</v>
      </c>
      <c r="F153" s="33" t="n">
        <v>0</v>
      </c>
      <c r="G153" s="62"/>
      <c r="H153" s="35" t="n">
        <v>0</v>
      </c>
      <c r="I153" s="34" t="n">
        <f aca="false">+IF(E153=0,0,E153*0.03)</f>
        <v>0</v>
      </c>
    </row>
    <row r="154" customFormat="false" ht="15.75" hidden="false" customHeight="true" outlineLevel="0" collapsed="false">
      <c r="A154" s="30" t="n">
        <v>45323</v>
      </c>
      <c r="B154" s="31" t="s">
        <v>11</v>
      </c>
      <c r="C154" s="32"/>
      <c r="D154" s="32"/>
      <c r="E154" s="19" t="n">
        <f aca="false">+IF(C154="EQUIPO",F154,0)</f>
        <v>0</v>
      </c>
      <c r="F154" s="33" t="n">
        <v>0</v>
      </c>
      <c r="G154" s="62"/>
      <c r="H154" s="35" t="n">
        <v>0</v>
      </c>
      <c r="I154" s="34" t="n">
        <f aca="false">+IF(E154=0,0,E154*0.03)</f>
        <v>0</v>
      </c>
    </row>
    <row r="155" customFormat="false" ht="15.75" hidden="false" customHeight="true" outlineLevel="0" collapsed="false">
      <c r="A155" s="30" t="n">
        <v>45323</v>
      </c>
      <c r="B155" s="31" t="s">
        <v>11</v>
      </c>
      <c r="C155" s="32"/>
      <c r="D155" s="32"/>
      <c r="E155" s="19" t="n">
        <f aca="false">+IF(C155="EQUIPO",F155,0)</f>
        <v>0</v>
      </c>
      <c r="F155" s="33" t="n">
        <v>0</v>
      </c>
      <c r="G155" s="62"/>
      <c r="H155" s="35" t="n">
        <v>0</v>
      </c>
      <c r="I155" s="34" t="n">
        <f aca="false">+IF(E155=0,0,E155*0.03)</f>
        <v>0</v>
      </c>
    </row>
    <row r="156" customFormat="false" ht="15.75" hidden="false" customHeight="true" outlineLevel="0" collapsed="false">
      <c r="A156" s="30" t="n">
        <v>45323</v>
      </c>
      <c r="B156" s="31" t="s">
        <v>11</v>
      </c>
      <c r="C156" s="32"/>
      <c r="D156" s="32"/>
      <c r="E156" s="19" t="n">
        <f aca="false">+IF(C156="EQUIPO",F156,0)</f>
        <v>0</v>
      </c>
      <c r="F156" s="33" t="n">
        <v>0</v>
      </c>
      <c r="G156" s="62"/>
      <c r="H156" s="35" t="n">
        <v>0</v>
      </c>
      <c r="I156" s="34" t="n">
        <f aca="false">+IF(E156=0,0,E156*0.03)</f>
        <v>0</v>
      </c>
    </row>
    <row r="157" customFormat="false" ht="15.75" hidden="false" customHeight="true" outlineLevel="0" collapsed="false">
      <c r="A157" s="30" t="n">
        <v>45323</v>
      </c>
      <c r="B157" s="31" t="s">
        <v>11</v>
      </c>
      <c r="C157" s="32"/>
      <c r="D157" s="32"/>
      <c r="E157" s="19" t="n">
        <f aca="false">+IF(C157="EQUIPO",F157,0)</f>
        <v>0</v>
      </c>
      <c r="F157" s="33" t="n">
        <v>0</v>
      </c>
      <c r="G157" s="62"/>
      <c r="H157" s="35" t="n">
        <v>0</v>
      </c>
      <c r="I157" s="34" t="n">
        <f aca="false">+IF(E157=0,0,E157*0.03)</f>
        <v>0</v>
      </c>
    </row>
    <row r="158" customFormat="false" ht="15.75" hidden="false" customHeight="true" outlineLevel="0" collapsed="false">
      <c r="A158" s="30" t="n">
        <v>45323</v>
      </c>
      <c r="B158" s="31" t="s">
        <v>11</v>
      </c>
      <c r="C158" s="32"/>
      <c r="D158" s="32"/>
      <c r="E158" s="19" t="n">
        <f aca="false">+IF(C158="EQUIPO",F158,0)</f>
        <v>0</v>
      </c>
      <c r="F158" s="33" t="n">
        <v>0</v>
      </c>
      <c r="G158" s="62"/>
      <c r="H158" s="35" t="n">
        <v>0</v>
      </c>
      <c r="I158" s="34" t="n">
        <f aca="false">+IF(E158=0,0,E158*0.03)</f>
        <v>0</v>
      </c>
    </row>
    <row r="159" customFormat="false" ht="15.75" hidden="false" customHeight="true" outlineLevel="0" collapsed="false">
      <c r="A159" s="30" t="n">
        <v>45323</v>
      </c>
      <c r="B159" s="31" t="s">
        <v>11</v>
      </c>
      <c r="C159" s="32"/>
      <c r="D159" s="32"/>
      <c r="E159" s="19" t="n">
        <f aca="false">+IF(C159="EQUIPO",F159,0)</f>
        <v>0</v>
      </c>
      <c r="F159" s="33" t="n">
        <v>0</v>
      </c>
      <c r="G159" s="62"/>
      <c r="H159" s="35" t="n">
        <v>0</v>
      </c>
      <c r="I159" s="34" t="n">
        <f aca="false">+IF(E159=0,0,E159*0.03)</f>
        <v>0</v>
      </c>
    </row>
    <row r="160" customFormat="false" ht="15.75" hidden="false" customHeight="true" outlineLevel="0" collapsed="false">
      <c r="A160" s="30" t="n">
        <v>45323</v>
      </c>
      <c r="B160" s="31" t="s">
        <v>11</v>
      </c>
      <c r="C160" s="32"/>
      <c r="D160" s="32"/>
      <c r="E160" s="19" t="n">
        <f aca="false">+IF(C160="EQUIPO",F160,0)</f>
        <v>0</v>
      </c>
      <c r="F160" s="33" t="n">
        <v>0</v>
      </c>
      <c r="G160" s="62"/>
      <c r="H160" s="35" t="n">
        <v>0</v>
      </c>
      <c r="I160" s="34" t="n">
        <f aca="false">+IF(E160=0,0,E160*0.03)</f>
        <v>0</v>
      </c>
    </row>
    <row r="161" customFormat="false" ht="15.75" hidden="false" customHeight="true" outlineLevel="0" collapsed="false">
      <c r="A161" s="30" t="n">
        <v>45323</v>
      </c>
      <c r="B161" s="31" t="s">
        <v>11</v>
      </c>
      <c r="C161" s="32"/>
      <c r="D161" s="32"/>
      <c r="E161" s="19" t="n">
        <f aca="false">+IF(C161="EQUIPO",F161,0)</f>
        <v>0</v>
      </c>
      <c r="F161" s="33" t="n">
        <v>0</v>
      </c>
      <c r="G161" s="62"/>
      <c r="H161" s="35" t="n">
        <v>0</v>
      </c>
      <c r="I161" s="34" t="n">
        <f aca="false">+IF(E161=0,0,E161*0.03)</f>
        <v>0</v>
      </c>
    </row>
    <row r="162" customFormat="false" ht="15.75" hidden="false" customHeight="true" outlineLevel="0" collapsed="false">
      <c r="A162" s="30" t="n">
        <v>45323</v>
      </c>
      <c r="B162" s="31" t="s">
        <v>11</v>
      </c>
      <c r="C162" s="32"/>
      <c r="D162" s="32"/>
      <c r="E162" s="19" t="n">
        <f aca="false">+IF(C162="EQUIPO",F162,0)</f>
        <v>0</v>
      </c>
      <c r="F162" s="33" t="n">
        <v>0</v>
      </c>
      <c r="G162" s="62"/>
      <c r="H162" s="35" t="n">
        <v>0</v>
      </c>
      <c r="I162" s="34" t="n">
        <f aca="false">+IF(E162=0,0,E162*0.03)</f>
        <v>0</v>
      </c>
    </row>
    <row r="163" customFormat="false" ht="15.75" hidden="false" customHeight="true" outlineLevel="0" collapsed="false">
      <c r="A163" s="30" t="n">
        <v>45323</v>
      </c>
      <c r="B163" s="31" t="s">
        <v>11</v>
      </c>
      <c r="C163" s="32"/>
      <c r="D163" s="32"/>
      <c r="E163" s="19" t="n">
        <f aca="false">+IF(C163="EQUIPO",F163,0)</f>
        <v>0</v>
      </c>
      <c r="F163" s="33" t="n">
        <v>0</v>
      </c>
      <c r="G163" s="62"/>
      <c r="H163" s="35" t="n">
        <v>0</v>
      </c>
      <c r="I163" s="34" t="n">
        <f aca="false">+IF(E163=0,0,E163*0.03)</f>
        <v>0</v>
      </c>
    </row>
    <row r="164" customFormat="false" ht="15.75" hidden="false" customHeight="true" outlineLevel="0" collapsed="false">
      <c r="A164" s="30" t="n">
        <v>45323</v>
      </c>
      <c r="B164" s="31" t="s">
        <v>11</v>
      </c>
      <c r="C164" s="32"/>
      <c r="D164" s="32"/>
      <c r="E164" s="19" t="n">
        <f aca="false">+IF(C164="EQUIPO",F164,0)</f>
        <v>0</v>
      </c>
      <c r="F164" s="33" t="n">
        <v>0</v>
      </c>
      <c r="G164" s="62"/>
      <c r="H164" s="35" t="n">
        <v>0</v>
      </c>
      <c r="I164" s="34" t="n">
        <f aca="false">+IF(E164=0,0,E164*0.03)</f>
        <v>0</v>
      </c>
    </row>
    <row r="165" customFormat="false" ht="15.75" hidden="false" customHeight="true" outlineLevel="0" collapsed="false">
      <c r="A165" s="30" t="n">
        <v>45323</v>
      </c>
      <c r="B165" s="31" t="s">
        <v>11</v>
      </c>
      <c r="C165" s="32"/>
      <c r="D165" s="32"/>
      <c r="E165" s="19" t="n">
        <f aca="false">+IF(C165="EQUIPO",F165,0)</f>
        <v>0</v>
      </c>
      <c r="F165" s="33" t="n">
        <v>0</v>
      </c>
      <c r="G165" s="62"/>
      <c r="H165" s="35" t="n">
        <v>0</v>
      </c>
      <c r="I165" s="34" t="n">
        <f aca="false">+IF(E165=0,0,E165*0.03)</f>
        <v>0</v>
      </c>
    </row>
    <row r="166" customFormat="false" ht="15.75" hidden="false" customHeight="true" outlineLevel="0" collapsed="false">
      <c r="A166" s="30" t="n">
        <v>45323</v>
      </c>
      <c r="B166" s="31" t="s">
        <v>11</v>
      </c>
      <c r="C166" s="32"/>
      <c r="D166" s="32"/>
      <c r="E166" s="19" t="n">
        <f aca="false">+IF(C166="EQUIPO",F166,0)</f>
        <v>0</v>
      </c>
      <c r="F166" s="33" t="n">
        <v>0</v>
      </c>
      <c r="G166" s="62"/>
      <c r="H166" s="35" t="n">
        <v>0</v>
      </c>
      <c r="I166" s="34" t="n">
        <f aca="false">+IF(E166=0,0,E166*0.03)</f>
        <v>0</v>
      </c>
    </row>
    <row r="167" customFormat="false" ht="15.75" hidden="false" customHeight="true" outlineLevel="0" collapsed="false">
      <c r="A167" s="30" t="n">
        <v>45323</v>
      </c>
      <c r="B167" s="31" t="s">
        <v>11</v>
      </c>
      <c r="C167" s="32"/>
      <c r="D167" s="32"/>
      <c r="E167" s="19" t="n">
        <f aca="false">+IF(C167="EQUIPO",F167,0)</f>
        <v>0</v>
      </c>
      <c r="F167" s="33" t="n">
        <v>0</v>
      </c>
      <c r="G167" s="62"/>
      <c r="H167" s="35" t="n">
        <v>0</v>
      </c>
      <c r="I167" s="34" t="n">
        <f aca="false">+IF(E167=0,0,E167*0.03)</f>
        <v>0</v>
      </c>
    </row>
    <row r="168" customFormat="false" ht="15.75" hidden="false" customHeight="true" outlineLevel="0" collapsed="false">
      <c r="A168" s="30" t="n">
        <v>45323</v>
      </c>
      <c r="B168" s="31" t="s">
        <v>11</v>
      </c>
      <c r="C168" s="32"/>
      <c r="D168" s="32"/>
      <c r="E168" s="19" t="n">
        <f aca="false">+IF(C168="EQUIPO",F168,0)</f>
        <v>0</v>
      </c>
      <c r="F168" s="33" t="n">
        <v>0</v>
      </c>
      <c r="G168" s="62"/>
      <c r="H168" s="35" t="n">
        <v>0</v>
      </c>
      <c r="I168" s="34" t="n">
        <f aca="false">+IF(E168=0,0,E168*0.03)</f>
        <v>0</v>
      </c>
    </row>
    <row r="169" customFormat="false" ht="15.75" hidden="false" customHeight="true" outlineLevel="0" collapsed="false">
      <c r="A169" s="30" t="n">
        <v>45323</v>
      </c>
      <c r="B169" s="31" t="s">
        <v>11</v>
      </c>
      <c r="C169" s="32"/>
      <c r="D169" s="32"/>
      <c r="E169" s="19" t="n">
        <f aca="false">+IF(C169="EQUIPO",F169,0)</f>
        <v>0</v>
      </c>
      <c r="F169" s="33" t="n">
        <v>0</v>
      </c>
      <c r="G169" s="62"/>
      <c r="H169" s="35" t="n">
        <v>0</v>
      </c>
      <c r="I169" s="34" t="n">
        <f aca="false">+IF(E169=0,0,E169*0.03)</f>
        <v>0</v>
      </c>
    </row>
    <row r="170" customFormat="false" ht="15.75" hidden="false" customHeight="true" outlineLevel="0" collapsed="false">
      <c r="A170" s="30" t="n">
        <v>45323</v>
      </c>
      <c r="B170" s="31" t="s">
        <v>11</v>
      </c>
      <c r="C170" s="32"/>
      <c r="D170" s="32"/>
      <c r="E170" s="19" t="n">
        <f aca="false">+IF(C170="EQUIPO",F170,0)</f>
        <v>0</v>
      </c>
      <c r="F170" s="33" t="n">
        <v>0</v>
      </c>
      <c r="G170" s="62"/>
      <c r="H170" s="35" t="n">
        <v>0</v>
      </c>
      <c r="I170" s="34" t="n">
        <f aca="false">+IF(E170=0,0,E170*0.03)</f>
        <v>0</v>
      </c>
    </row>
    <row r="171" customFormat="false" ht="15.75" hidden="false" customHeight="true" outlineLevel="0" collapsed="false">
      <c r="A171" s="30" t="n">
        <v>45323</v>
      </c>
      <c r="B171" s="31" t="s">
        <v>11</v>
      </c>
      <c r="C171" s="32"/>
      <c r="D171" s="32"/>
      <c r="E171" s="19" t="n">
        <f aca="false">+IF(C171="EQUIPO",F171,0)</f>
        <v>0</v>
      </c>
      <c r="F171" s="33" t="n">
        <v>0</v>
      </c>
      <c r="G171" s="62"/>
      <c r="H171" s="35" t="n">
        <v>0</v>
      </c>
      <c r="I171" s="34" t="n">
        <f aca="false">+IF(E171=0,0,E171*0.03)</f>
        <v>0</v>
      </c>
    </row>
    <row r="172" customFormat="false" ht="15.75" hidden="false" customHeight="true" outlineLevel="0" collapsed="false">
      <c r="A172" s="30" t="n">
        <v>45323</v>
      </c>
      <c r="B172" s="31" t="s">
        <v>11</v>
      </c>
      <c r="C172" s="32"/>
      <c r="D172" s="32"/>
      <c r="E172" s="19" t="n">
        <f aca="false">+IF(C172="EQUIPO",F172,0)</f>
        <v>0</v>
      </c>
      <c r="F172" s="33" t="n">
        <v>0</v>
      </c>
      <c r="G172" s="62"/>
      <c r="H172" s="35" t="n">
        <v>0</v>
      </c>
      <c r="I172" s="34" t="n">
        <f aca="false">+IF(E172=0,0,E172*0.03)</f>
        <v>0</v>
      </c>
    </row>
    <row r="173" customFormat="false" ht="15.75" hidden="false" customHeight="true" outlineLevel="0" collapsed="false">
      <c r="A173" s="30" t="n">
        <v>45323</v>
      </c>
      <c r="B173" s="31" t="s">
        <v>11</v>
      </c>
      <c r="C173" s="32"/>
      <c r="D173" s="32"/>
      <c r="E173" s="19" t="n">
        <f aca="false">+IF(C173="EQUIPO",F173,0)</f>
        <v>0</v>
      </c>
      <c r="F173" s="33" t="n">
        <v>0</v>
      </c>
      <c r="G173" s="62"/>
      <c r="H173" s="35" t="n">
        <v>0</v>
      </c>
      <c r="I173" s="34" t="n">
        <f aca="false">+IF(E173=0,0,E173*0.03)</f>
        <v>0</v>
      </c>
    </row>
    <row r="174" customFormat="false" ht="15.75" hidden="false" customHeight="true" outlineLevel="0" collapsed="false">
      <c r="A174" s="30" t="n">
        <v>45323</v>
      </c>
      <c r="B174" s="31" t="s">
        <v>11</v>
      </c>
      <c r="C174" s="32"/>
      <c r="D174" s="32"/>
      <c r="E174" s="19" t="n">
        <f aca="false">+IF(C174="EQUIPO",F174,0)</f>
        <v>0</v>
      </c>
      <c r="F174" s="33" t="n">
        <v>0</v>
      </c>
      <c r="G174" s="62"/>
      <c r="H174" s="35" t="n">
        <v>0</v>
      </c>
      <c r="I174" s="34" t="n">
        <f aca="false">+IF(E174=0,0,E174*0.03)</f>
        <v>0</v>
      </c>
    </row>
    <row r="175" customFormat="false" ht="15.75" hidden="false" customHeight="true" outlineLevel="0" collapsed="false">
      <c r="A175" s="30" t="n">
        <v>45323</v>
      </c>
      <c r="B175" s="31" t="s">
        <v>11</v>
      </c>
      <c r="C175" s="32"/>
      <c r="D175" s="32"/>
      <c r="E175" s="19" t="n">
        <f aca="false">+IF(C175="EQUIPO",F175,0)</f>
        <v>0</v>
      </c>
      <c r="F175" s="33" t="n">
        <v>0</v>
      </c>
      <c r="G175" s="62"/>
      <c r="H175" s="35" t="n">
        <v>0</v>
      </c>
      <c r="I175" s="34" t="n">
        <f aca="false">+IF(E175=0,0,E175*0.03)</f>
        <v>0</v>
      </c>
    </row>
    <row r="176" customFormat="false" ht="15.75" hidden="false" customHeight="true" outlineLevel="0" collapsed="false">
      <c r="A176" s="30" t="n">
        <v>45323</v>
      </c>
      <c r="B176" s="31" t="s">
        <v>11</v>
      </c>
      <c r="C176" s="32"/>
      <c r="D176" s="32"/>
      <c r="E176" s="19" t="n">
        <f aca="false">+IF(C176="EQUIPO",F176,0)</f>
        <v>0</v>
      </c>
      <c r="F176" s="33" t="n">
        <v>0</v>
      </c>
      <c r="G176" s="62"/>
      <c r="H176" s="35" t="n">
        <v>0</v>
      </c>
      <c r="I176" s="34" t="n">
        <f aca="false">+IF(E176=0,0,E176*0.03)</f>
        <v>0</v>
      </c>
    </row>
    <row r="177" customFormat="false" ht="15.75" hidden="false" customHeight="true" outlineLevel="0" collapsed="false">
      <c r="A177" s="30" t="n">
        <v>45323</v>
      </c>
      <c r="B177" s="31" t="s">
        <v>11</v>
      </c>
      <c r="C177" s="32"/>
      <c r="D177" s="32"/>
      <c r="E177" s="19" t="n">
        <f aca="false">+IF(C177="EQUIPO",F177,0)</f>
        <v>0</v>
      </c>
      <c r="F177" s="33" t="n">
        <v>0</v>
      </c>
      <c r="G177" s="62"/>
      <c r="H177" s="35" t="n">
        <v>0</v>
      </c>
      <c r="I177" s="34" t="n">
        <f aca="false">+IF(E177=0,0,E177*0.03)</f>
        <v>0</v>
      </c>
    </row>
    <row r="178" customFormat="false" ht="15.75" hidden="false" customHeight="true" outlineLevel="0" collapsed="false">
      <c r="A178" s="30" t="n">
        <v>45323</v>
      </c>
      <c r="B178" s="31" t="s">
        <v>11</v>
      </c>
      <c r="C178" s="32"/>
      <c r="D178" s="32"/>
      <c r="E178" s="19" t="n">
        <f aca="false">+IF(C178="EQUIPO",F178,0)</f>
        <v>0</v>
      </c>
      <c r="F178" s="33" t="n">
        <v>0</v>
      </c>
      <c r="G178" s="62"/>
      <c r="H178" s="35" t="n">
        <v>0</v>
      </c>
      <c r="I178" s="34" t="n">
        <f aca="false">+IF(E178=0,0,E178*0.03)</f>
        <v>0</v>
      </c>
    </row>
    <row r="179" customFormat="false" ht="15.75" hidden="false" customHeight="true" outlineLevel="0" collapsed="false">
      <c r="A179" s="30" t="n">
        <v>45323</v>
      </c>
      <c r="B179" s="31" t="s">
        <v>11</v>
      </c>
      <c r="C179" s="32"/>
      <c r="D179" s="32"/>
      <c r="E179" s="19" t="n">
        <f aca="false">+IF(C179="EQUIPO",F179,0)</f>
        <v>0</v>
      </c>
      <c r="F179" s="33" t="n">
        <v>0</v>
      </c>
      <c r="G179" s="62"/>
      <c r="H179" s="35" t="n">
        <v>0</v>
      </c>
      <c r="I179" s="34" t="n">
        <f aca="false">+IF(E179=0,0,E179*0.03)</f>
        <v>0</v>
      </c>
    </row>
    <row r="180" customFormat="false" ht="15.75" hidden="false" customHeight="true" outlineLevel="0" collapsed="false">
      <c r="A180" s="30" t="n">
        <v>45323</v>
      </c>
      <c r="B180" s="31" t="s">
        <v>11</v>
      </c>
      <c r="C180" s="32"/>
      <c r="D180" s="32"/>
      <c r="E180" s="19" t="n">
        <f aca="false">+IF(C180="EQUIPO",F180,0)</f>
        <v>0</v>
      </c>
      <c r="F180" s="33" t="n">
        <v>0</v>
      </c>
      <c r="G180" s="62"/>
      <c r="H180" s="35" t="n">
        <v>0</v>
      </c>
      <c r="I180" s="34" t="n">
        <f aca="false">+IF(E180=0,0,E180*0.03)</f>
        <v>0</v>
      </c>
    </row>
    <row r="181" customFormat="false" ht="15.75" hidden="false" customHeight="true" outlineLevel="0" collapsed="false">
      <c r="A181" s="30" t="n">
        <v>45323</v>
      </c>
      <c r="B181" s="31" t="s">
        <v>11</v>
      </c>
      <c r="C181" s="32"/>
      <c r="D181" s="32"/>
      <c r="E181" s="19" t="n">
        <f aca="false">+IF(C181="EQUIPO",F181,0)</f>
        <v>0</v>
      </c>
      <c r="F181" s="33" t="n">
        <v>0</v>
      </c>
      <c r="G181" s="62"/>
      <c r="H181" s="35" t="n">
        <v>0</v>
      </c>
      <c r="I181" s="34" t="n">
        <f aca="false">+IF(E181=0,0,E181*0.03)</f>
        <v>0</v>
      </c>
    </row>
    <row r="182" customFormat="false" ht="15.75" hidden="false" customHeight="true" outlineLevel="0" collapsed="false">
      <c r="A182" s="30" t="n">
        <v>45323</v>
      </c>
      <c r="B182" s="31" t="s">
        <v>11</v>
      </c>
      <c r="C182" s="32"/>
      <c r="D182" s="32"/>
      <c r="E182" s="19" t="n">
        <f aca="false">+IF(C182="EQUIPO",F182,0)</f>
        <v>0</v>
      </c>
      <c r="F182" s="33" t="n">
        <v>0</v>
      </c>
      <c r="G182" s="62"/>
      <c r="H182" s="35" t="n">
        <v>0</v>
      </c>
      <c r="I182" s="34" t="n">
        <f aca="false">+IF(E182=0,0,E182*0.03)</f>
        <v>0</v>
      </c>
    </row>
    <row r="183" customFormat="false" ht="15.75" hidden="false" customHeight="true" outlineLevel="0" collapsed="false">
      <c r="A183" s="30" t="n">
        <v>45323</v>
      </c>
      <c r="B183" s="31" t="s">
        <v>11</v>
      </c>
      <c r="C183" s="32"/>
      <c r="D183" s="32"/>
      <c r="E183" s="19" t="n">
        <f aca="false">+IF(C183="EQUIPO",F183,0)</f>
        <v>0</v>
      </c>
      <c r="F183" s="33" t="n">
        <v>0</v>
      </c>
      <c r="G183" s="62"/>
      <c r="H183" s="35" t="n">
        <v>0</v>
      </c>
      <c r="I183" s="34" t="n">
        <f aca="false">+IF(E183=0,0,E183*0.03)</f>
        <v>0</v>
      </c>
    </row>
    <row r="184" customFormat="false" ht="15.75" hidden="false" customHeight="true" outlineLevel="0" collapsed="false">
      <c r="A184" s="30" t="n">
        <v>45323</v>
      </c>
      <c r="B184" s="31" t="s">
        <v>11</v>
      </c>
      <c r="C184" s="32"/>
      <c r="D184" s="32"/>
      <c r="E184" s="19" t="n">
        <f aca="false">+IF(C184="EQUIPO",F184,0)</f>
        <v>0</v>
      </c>
      <c r="F184" s="33" t="n">
        <v>0</v>
      </c>
      <c r="G184" s="62"/>
      <c r="H184" s="35" t="n">
        <v>0</v>
      </c>
      <c r="I184" s="34" t="n">
        <f aca="false">+IF(E184=0,0,E184*0.03)</f>
        <v>0</v>
      </c>
    </row>
    <row r="185" customFormat="false" ht="15.75" hidden="false" customHeight="true" outlineLevel="0" collapsed="false">
      <c r="A185" s="30" t="n">
        <v>45323</v>
      </c>
      <c r="B185" s="31" t="s">
        <v>11</v>
      </c>
      <c r="C185" s="32"/>
      <c r="D185" s="32"/>
      <c r="E185" s="19" t="n">
        <f aca="false">+IF(C185="EQUIPO",F185,0)</f>
        <v>0</v>
      </c>
      <c r="F185" s="33" t="n">
        <v>0</v>
      </c>
      <c r="G185" s="62"/>
      <c r="H185" s="35" t="n">
        <v>0</v>
      </c>
      <c r="I185" s="34" t="n">
        <f aca="false">+IF(E185=0,0,E185*0.03)</f>
        <v>0</v>
      </c>
    </row>
    <row r="186" customFormat="false" ht="15.75" hidden="false" customHeight="true" outlineLevel="0" collapsed="false">
      <c r="A186" s="30" t="n">
        <v>45323</v>
      </c>
      <c r="B186" s="31" t="s">
        <v>11</v>
      </c>
      <c r="C186" s="32"/>
      <c r="D186" s="32"/>
      <c r="E186" s="19" t="n">
        <f aca="false">+IF(C186="EQUIPO",F186,0)</f>
        <v>0</v>
      </c>
      <c r="F186" s="33" t="n">
        <v>0</v>
      </c>
      <c r="G186" s="62"/>
      <c r="H186" s="35" t="n">
        <v>0</v>
      </c>
      <c r="I186" s="34" t="n">
        <f aca="false">+IF(E186=0,0,E186*0.03)</f>
        <v>0</v>
      </c>
    </row>
    <row r="187" customFormat="false" ht="15.75" hidden="false" customHeight="true" outlineLevel="0" collapsed="false">
      <c r="A187" s="30" t="n">
        <v>45323</v>
      </c>
      <c r="B187" s="31" t="s">
        <v>11</v>
      </c>
      <c r="C187" s="32"/>
      <c r="D187" s="32"/>
      <c r="E187" s="19" t="n">
        <f aca="false">+IF(C187="EQUIPO",F187,0)</f>
        <v>0</v>
      </c>
      <c r="F187" s="33" t="n">
        <v>0</v>
      </c>
      <c r="G187" s="62"/>
      <c r="H187" s="35" t="n">
        <v>0</v>
      </c>
      <c r="I187" s="34" t="n">
        <f aca="false">+IF(E187=0,0,E187*0.03)</f>
        <v>0</v>
      </c>
    </row>
    <row r="188" customFormat="false" ht="15.75" hidden="false" customHeight="true" outlineLevel="0" collapsed="false">
      <c r="A188" s="30" t="n">
        <v>45323</v>
      </c>
      <c r="B188" s="31" t="s">
        <v>11</v>
      </c>
      <c r="C188" s="32"/>
      <c r="D188" s="32"/>
      <c r="E188" s="19" t="n">
        <f aca="false">+IF(C188="EQUIPO",F188,0)</f>
        <v>0</v>
      </c>
      <c r="F188" s="33" t="n">
        <v>0</v>
      </c>
      <c r="G188" s="62"/>
      <c r="H188" s="35" t="n">
        <v>0</v>
      </c>
      <c r="I188" s="34" t="n">
        <f aca="false">+IF(E188=0,0,E188*0.03)</f>
        <v>0</v>
      </c>
    </row>
    <row r="189" customFormat="false" ht="15.75" hidden="false" customHeight="true" outlineLevel="0" collapsed="false">
      <c r="A189" s="30" t="n">
        <v>45323</v>
      </c>
      <c r="B189" s="31" t="s">
        <v>11</v>
      </c>
      <c r="C189" s="32"/>
      <c r="D189" s="32"/>
      <c r="E189" s="19" t="n">
        <f aca="false">+IF(C189="EQUIPO",F189,0)</f>
        <v>0</v>
      </c>
      <c r="F189" s="33" t="n">
        <v>0</v>
      </c>
      <c r="G189" s="62"/>
      <c r="H189" s="35" t="n">
        <v>0</v>
      </c>
      <c r="I189" s="34" t="n">
        <f aca="false">+IF(E189=0,0,E189*0.03)</f>
        <v>0</v>
      </c>
    </row>
    <row r="190" customFormat="false" ht="15.75" hidden="false" customHeight="true" outlineLevel="0" collapsed="false">
      <c r="A190" s="30" t="n">
        <v>45323</v>
      </c>
      <c r="B190" s="31" t="s">
        <v>11</v>
      </c>
      <c r="C190" s="32"/>
      <c r="D190" s="32"/>
      <c r="E190" s="19" t="n">
        <f aca="false">+IF(C190="EQUIPO",F190,0)</f>
        <v>0</v>
      </c>
      <c r="F190" s="33" t="n">
        <v>0</v>
      </c>
      <c r="G190" s="62"/>
      <c r="H190" s="35" t="n">
        <v>0</v>
      </c>
      <c r="I190" s="34" t="n">
        <f aca="false">+IF(E190=0,0,E190*0.03)</f>
        <v>0</v>
      </c>
    </row>
    <row r="191" customFormat="false" ht="15.75" hidden="false" customHeight="true" outlineLevel="0" collapsed="false">
      <c r="A191" s="30" t="n">
        <v>45323</v>
      </c>
      <c r="B191" s="31" t="s">
        <v>11</v>
      </c>
      <c r="C191" s="32"/>
      <c r="D191" s="32"/>
      <c r="E191" s="19" t="n">
        <f aca="false">+IF(C191="EQUIPO",F191,0)</f>
        <v>0</v>
      </c>
      <c r="F191" s="33" t="n">
        <v>0</v>
      </c>
      <c r="G191" s="62"/>
      <c r="H191" s="35" t="n">
        <v>0</v>
      </c>
      <c r="I191" s="34" t="n">
        <f aca="false">+IF(E191=0,0,E191*0.03)</f>
        <v>0</v>
      </c>
    </row>
    <row r="192" customFormat="false" ht="15.75" hidden="false" customHeight="true" outlineLevel="0" collapsed="false">
      <c r="A192" s="30" t="n">
        <v>45323</v>
      </c>
      <c r="B192" s="31" t="s">
        <v>11</v>
      </c>
      <c r="C192" s="32"/>
      <c r="D192" s="32"/>
      <c r="E192" s="19" t="n">
        <f aca="false">+IF(C192="EQUIPO",F192,0)</f>
        <v>0</v>
      </c>
      <c r="F192" s="33" t="n">
        <v>0</v>
      </c>
      <c r="G192" s="62"/>
      <c r="H192" s="35" t="n">
        <v>0</v>
      </c>
      <c r="I192" s="34" t="n">
        <f aca="false">+IF(E192=0,0,E192*0.03)</f>
        <v>0</v>
      </c>
    </row>
    <row r="193" customFormat="false" ht="15.75" hidden="false" customHeight="true" outlineLevel="0" collapsed="false">
      <c r="A193" s="30" t="n">
        <v>45323</v>
      </c>
      <c r="B193" s="31" t="s">
        <v>11</v>
      </c>
      <c r="C193" s="32"/>
      <c r="D193" s="32"/>
      <c r="E193" s="19" t="n">
        <f aca="false">+IF(C193="EQUIPO",F193,0)</f>
        <v>0</v>
      </c>
      <c r="F193" s="33" t="n">
        <v>0</v>
      </c>
      <c r="G193" s="62"/>
      <c r="H193" s="35" t="n">
        <v>0</v>
      </c>
      <c r="I193" s="34" t="n">
        <f aca="false">+IF(E193=0,0,E193*0.03)</f>
        <v>0</v>
      </c>
    </row>
    <row r="194" customFormat="false" ht="15.75" hidden="false" customHeight="true" outlineLevel="0" collapsed="false">
      <c r="A194" s="30" t="n">
        <v>45323</v>
      </c>
      <c r="B194" s="31" t="s">
        <v>11</v>
      </c>
      <c r="C194" s="32"/>
      <c r="D194" s="32"/>
      <c r="E194" s="19" t="n">
        <f aca="false">+IF(C194="EQUIPO",F194,0)</f>
        <v>0</v>
      </c>
      <c r="F194" s="33" t="n">
        <v>0</v>
      </c>
      <c r="G194" s="62"/>
      <c r="H194" s="35" t="n">
        <v>0</v>
      </c>
      <c r="I194" s="34" t="n">
        <f aca="false">+IF(E194=0,0,E194*0.03)</f>
        <v>0</v>
      </c>
    </row>
    <row r="195" customFormat="false" ht="15.75" hidden="false" customHeight="true" outlineLevel="0" collapsed="false">
      <c r="A195" s="30" t="n">
        <v>45323</v>
      </c>
      <c r="B195" s="31" t="s">
        <v>11</v>
      </c>
      <c r="C195" s="32"/>
      <c r="D195" s="32"/>
      <c r="E195" s="19" t="n">
        <f aca="false">+IF(C195="EQUIPO",F195,0)</f>
        <v>0</v>
      </c>
      <c r="F195" s="33" t="n">
        <v>0</v>
      </c>
      <c r="G195" s="62"/>
      <c r="H195" s="35" t="n">
        <v>0</v>
      </c>
      <c r="I195" s="34" t="n">
        <f aca="false">+IF(E195=0,0,E195*0.03)</f>
        <v>0</v>
      </c>
    </row>
    <row r="196" customFormat="false" ht="15.75" hidden="false" customHeight="true" outlineLevel="0" collapsed="false">
      <c r="A196" s="30" t="n">
        <v>45323</v>
      </c>
      <c r="B196" s="31" t="s">
        <v>11</v>
      </c>
      <c r="C196" s="32"/>
      <c r="D196" s="32"/>
      <c r="E196" s="19" t="n">
        <f aca="false">+IF(C196="EQUIPO",F196,0)</f>
        <v>0</v>
      </c>
      <c r="F196" s="33" t="n">
        <v>0</v>
      </c>
      <c r="G196" s="62"/>
      <c r="H196" s="35" t="n">
        <v>0</v>
      </c>
      <c r="I196" s="34" t="n">
        <f aca="false">+IF(E196=0,0,E196*0.03)</f>
        <v>0</v>
      </c>
    </row>
    <row r="197" customFormat="false" ht="15.75" hidden="false" customHeight="true" outlineLevel="0" collapsed="false">
      <c r="A197" s="30" t="n">
        <v>45323</v>
      </c>
      <c r="B197" s="31" t="s">
        <v>11</v>
      </c>
      <c r="C197" s="32"/>
      <c r="D197" s="32"/>
      <c r="E197" s="19" t="n">
        <f aca="false">+IF(C197="EQUIPO",F197,0)</f>
        <v>0</v>
      </c>
      <c r="F197" s="33" t="n">
        <v>0</v>
      </c>
      <c r="G197" s="62"/>
      <c r="H197" s="35" t="n">
        <v>0</v>
      </c>
      <c r="I197" s="34" t="n">
        <f aca="false">+IF(E197=0,0,E197*0.03)</f>
        <v>0</v>
      </c>
    </row>
    <row r="198" customFormat="false" ht="15.75" hidden="false" customHeight="true" outlineLevel="0" collapsed="false">
      <c r="A198" s="30" t="n">
        <v>45323</v>
      </c>
      <c r="B198" s="31" t="s">
        <v>11</v>
      </c>
      <c r="C198" s="32"/>
      <c r="D198" s="32"/>
      <c r="E198" s="19" t="n">
        <f aca="false">+IF(C198="EQUIPO",F198,0)</f>
        <v>0</v>
      </c>
      <c r="F198" s="33" t="n">
        <v>0</v>
      </c>
      <c r="G198" s="62"/>
      <c r="H198" s="35" t="n">
        <v>0</v>
      </c>
      <c r="I198" s="34" t="n">
        <f aca="false">+IF(E198=0,0,E198*0.03)</f>
        <v>0</v>
      </c>
    </row>
    <row r="199" customFormat="false" ht="15.75" hidden="false" customHeight="true" outlineLevel="0" collapsed="false">
      <c r="A199" s="30" t="n">
        <v>45323</v>
      </c>
      <c r="B199" s="31" t="s">
        <v>11</v>
      </c>
      <c r="C199" s="32"/>
      <c r="D199" s="32"/>
      <c r="E199" s="19" t="n">
        <f aca="false">+IF(C199="EQUIPO",F199,0)</f>
        <v>0</v>
      </c>
      <c r="F199" s="33" t="n">
        <v>0</v>
      </c>
      <c r="G199" s="62"/>
      <c r="H199" s="35" t="n">
        <v>0</v>
      </c>
      <c r="I199" s="34" t="n">
        <f aca="false">+IF(E199=0,0,E199*0.03)</f>
        <v>0</v>
      </c>
    </row>
    <row r="200" customFormat="false" ht="15.75" hidden="false" customHeight="true" outlineLevel="0" collapsed="false">
      <c r="A200" s="30" t="n">
        <v>45323</v>
      </c>
      <c r="B200" s="31" t="s">
        <v>11</v>
      </c>
      <c r="C200" s="32"/>
      <c r="D200" s="32"/>
      <c r="E200" s="19" t="n">
        <f aca="false">+IF(C200="EQUIPO",F200,0)</f>
        <v>0</v>
      </c>
      <c r="F200" s="33" t="n">
        <v>0</v>
      </c>
      <c r="G200" s="62"/>
      <c r="H200" s="35" t="n">
        <v>0</v>
      </c>
      <c r="I200" s="34" t="n">
        <f aca="false">+IF(E200=0,0,E200*0.03)</f>
        <v>0</v>
      </c>
    </row>
    <row r="201" customFormat="false" ht="15.75" hidden="false" customHeight="true" outlineLevel="0" collapsed="false">
      <c r="A201" s="30" t="n">
        <v>45323</v>
      </c>
      <c r="B201" s="31" t="s">
        <v>11</v>
      </c>
      <c r="C201" s="32"/>
      <c r="D201" s="32"/>
      <c r="E201" s="19" t="n">
        <f aca="false">+IF(C201="EQUIPO",F201,0)</f>
        <v>0</v>
      </c>
      <c r="F201" s="33" t="n">
        <v>0</v>
      </c>
      <c r="G201" s="62"/>
      <c r="H201" s="35" t="n">
        <v>0</v>
      </c>
      <c r="I201" s="34" t="n">
        <f aca="false">+IF(E201=0,0,E201*0.03)</f>
        <v>0</v>
      </c>
    </row>
    <row r="202" customFormat="false" ht="15.75" hidden="false" customHeight="true" outlineLevel="0" collapsed="false">
      <c r="A202" s="30" t="n">
        <v>45323</v>
      </c>
      <c r="B202" s="31" t="s">
        <v>11</v>
      </c>
      <c r="C202" s="32"/>
      <c r="D202" s="32"/>
      <c r="E202" s="19" t="n">
        <f aca="false">+IF(C202="EQUIPO",F202,0)</f>
        <v>0</v>
      </c>
      <c r="F202" s="33" t="n">
        <v>0</v>
      </c>
      <c r="G202" s="62"/>
      <c r="H202" s="35" t="n">
        <v>0</v>
      </c>
      <c r="I202" s="34" t="n">
        <f aca="false">+IF(E202=0,0,E202*0.03)</f>
        <v>0</v>
      </c>
    </row>
    <row r="203" customFormat="false" ht="15.75" hidden="false" customHeight="true" outlineLevel="0" collapsed="false">
      <c r="A203" s="30" t="n">
        <v>45323</v>
      </c>
      <c r="B203" s="31" t="s">
        <v>11</v>
      </c>
      <c r="C203" s="32"/>
      <c r="D203" s="32"/>
      <c r="E203" s="19" t="n">
        <f aca="false">+IF(C203="EQUIPO",F203,0)</f>
        <v>0</v>
      </c>
      <c r="F203" s="33" t="n">
        <v>0</v>
      </c>
      <c r="G203" s="62"/>
      <c r="H203" s="35" t="n">
        <v>0</v>
      </c>
      <c r="I203" s="34" t="n">
        <f aca="false">+IF(E203=0,0,E203*0.03)</f>
        <v>0</v>
      </c>
    </row>
    <row r="204" customFormat="false" ht="15.75" hidden="false" customHeight="true" outlineLevel="0" collapsed="false">
      <c r="A204" s="30" t="n">
        <v>45323</v>
      </c>
      <c r="B204" s="31" t="s">
        <v>11</v>
      </c>
      <c r="C204" s="32"/>
      <c r="D204" s="32"/>
      <c r="E204" s="19" t="n">
        <f aca="false">+IF(C204="EQUIPO",F204,0)</f>
        <v>0</v>
      </c>
      <c r="F204" s="33" t="n">
        <v>0</v>
      </c>
      <c r="G204" s="62"/>
      <c r="H204" s="35" t="n">
        <v>0</v>
      </c>
      <c r="I204" s="34" t="n">
        <f aca="false">+IF(E204=0,0,E204*0.03)</f>
        <v>0</v>
      </c>
    </row>
    <row r="205" customFormat="false" ht="15.75" hidden="false" customHeight="true" outlineLevel="0" collapsed="false">
      <c r="A205" s="30" t="n">
        <v>45323</v>
      </c>
      <c r="B205" s="31" t="s">
        <v>11</v>
      </c>
      <c r="C205" s="32"/>
      <c r="D205" s="32"/>
      <c r="E205" s="19" t="n">
        <f aca="false">+IF(C205="EQUIPO",F205,0)</f>
        <v>0</v>
      </c>
      <c r="F205" s="33" t="n">
        <v>0</v>
      </c>
      <c r="G205" s="62"/>
      <c r="H205" s="35" t="n">
        <v>0</v>
      </c>
      <c r="I205" s="34" t="n">
        <f aca="false">+IF(E205=0,0,E205*0.03)</f>
        <v>0</v>
      </c>
    </row>
    <row r="206" customFormat="false" ht="15.75" hidden="false" customHeight="true" outlineLevel="0" collapsed="false">
      <c r="A206" s="30" t="n">
        <v>45323</v>
      </c>
      <c r="B206" s="31" t="s">
        <v>11</v>
      </c>
      <c r="C206" s="32"/>
      <c r="D206" s="32"/>
      <c r="E206" s="19" t="n">
        <f aca="false">+IF(C206="EQUIPO",F206,0)</f>
        <v>0</v>
      </c>
      <c r="F206" s="33" t="n">
        <v>0</v>
      </c>
      <c r="G206" s="62"/>
      <c r="H206" s="35" t="n">
        <v>0</v>
      </c>
      <c r="I206" s="34" t="n">
        <f aca="false">+IF(E206=0,0,E206*0.03)</f>
        <v>0</v>
      </c>
    </row>
    <row r="207" customFormat="false" ht="15.75" hidden="false" customHeight="true" outlineLevel="0" collapsed="false">
      <c r="A207" s="30" t="n">
        <v>45323</v>
      </c>
      <c r="B207" s="31" t="s">
        <v>11</v>
      </c>
      <c r="C207" s="32"/>
      <c r="D207" s="32"/>
      <c r="E207" s="19" t="n">
        <f aca="false">+IF(C207="EQUIPO",F207,0)</f>
        <v>0</v>
      </c>
      <c r="F207" s="33" t="n">
        <v>0</v>
      </c>
      <c r="G207" s="62"/>
      <c r="H207" s="35" t="n">
        <v>0</v>
      </c>
      <c r="I207" s="34" t="n">
        <f aca="false">+IF(E207=0,0,E207*0.03)</f>
        <v>0</v>
      </c>
    </row>
    <row r="208" customFormat="false" ht="15.75" hidden="false" customHeight="true" outlineLevel="0" collapsed="false">
      <c r="A208" s="30" t="n">
        <v>45323</v>
      </c>
      <c r="B208" s="31" t="s">
        <v>11</v>
      </c>
      <c r="C208" s="32"/>
      <c r="D208" s="32"/>
      <c r="E208" s="19" t="n">
        <f aca="false">+IF(C208="EQUIPO",F208,0)</f>
        <v>0</v>
      </c>
      <c r="F208" s="33" t="n">
        <v>0</v>
      </c>
      <c r="G208" s="62"/>
      <c r="H208" s="35" t="n">
        <v>0</v>
      </c>
      <c r="I208" s="34" t="n">
        <f aca="false">+IF(E208=0,0,E208*0.03)</f>
        <v>0</v>
      </c>
    </row>
    <row r="209" customFormat="false" ht="15.75" hidden="false" customHeight="true" outlineLevel="0" collapsed="false">
      <c r="A209" s="30" t="n">
        <v>45323</v>
      </c>
      <c r="B209" s="31" t="s">
        <v>11</v>
      </c>
      <c r="C209" s="32"/>
      <c r="D209" s="32"/>
      <c r="E209" s="19" t="n">
        <f aca="false">+IF(C209="EQUIPO",F209,0)</f>
        <v>0</v>
      </c>
      <c r="F209" s="33" t="n">
        <v>0</v>
      </c>
      <c r="G209" s="62"/>
      <c r="H209" s="35" t="n">
        <v>0</v>
      </c>
      <c r="I209" s="34" t="n">
        <f aca="false">+IF(E209=0,0,E209*0.03)</f>
        <v>0</v>
      </c>
    </row>
    <row r="210" customFormat="false" ht="15.75" hidden="false" customHeight="true" outlineLevel="0" collapsed="false">
      <c r="A210" s="30" t="n">
        <v>45323</v>
      </c>
      <c r="B210" s="31" t="s">
        <v>11</v>
      </c>
      <c r="C210" s="32"/>
      <c r="D210" s="32"/>
      <c r="E210" s="19" t="n">
        <f aca="false">+IF(C210="EQUIPO",F210,0)</f>
        <v>0</v>
      </c>
      <c r="F210" s="33" t="n">
        <v>0</v>
      </c>
      <c r="G210" s="62"/>
      <c r="H210" s="35" t="n">
        <v>0</v>
      </c>
      <c r="I210" s="34" t="n">
        <f aca="false">+IF(E210=0,0,E210*0.03)</f>
        <v>0</v>
      </c>
    </row>
    <row r="211" customFormat="false" ht="15.75" hidden="false" customHeight="true" outlineLevel="0" collapsed="false">
      <c r="A211" s="30" t="n">
        <v>45323</v>
      </c>
      <c r="B211" s="31" t="s">
        <v>11</v>
      </c>
      <c r="C211" s="32"/>
      <c r="D211" s="32"/>
      <c r="E211" s="19" t="n">
        <f aca="false">+IF(C211="EQUIPO",F211,0)</f>
        <v>0</v>
      </c>
      <c r="F211" s="33" t="n">
        <v>0</v>
      </c>
      <c r="G211" s="62"/>
      <c r="H211" s="35" t="n">
        <v>0</v>
      </c>
      <c r="I211" s="34" t="n">
        <f aca="false">+IF(E211=0,0,E211*0.03)</f>
        <v>0</v>
      </c>
    </row>
    <row r="212" customFormat="false" ht="15.75" hidden="false" customHeight="true" outlineLevel="0" collapsed="false">
      <c r="A212" s="30" t="n">
        <v>45323</v>
      </c>
      <c r="B212" s="31" t="s">
        <v>11</v>
      </c>
      <c r="C212" s="32"/>
      <c r="D212" s="32"/>
      <c r="E212" s="19" t="n">
        <f aca="false">+IF(C212="EQUIPO",F212,0)</f>
        <v>0</v>
      </c>
      <c r="F212" s="33" t="n">
        <v>0</v>
      </c>
      <c r="G212" s="62"/>
      <c r="H212" s="35" t="n">
        <v>0</v>
      </c>
      <c r="I212" s="34" t="n">
        <f aca="false">+IF(E212=0,0,E212*0.03)</f>
        <v>0</v>
      </c>
    </row>
    <row r="213" customFormat="false" ht="15.75" hidden="false" customHeight="true" outlineLevel="0" collapsed="false">
      <c r="A213" s="30" t="n">
        <v>45323</v>
      </c>
      <c r="B213" s="31" t="s">
        <v>11</v>
      </c>
      <c r="C213" s="32"/>
      <c r="D213" s="32"/>
      <c r="E213" s="19" t="n">
        <f aca="false">+IF(C213="EQUIPO",F213,0)</f>
        <v>0</v>
      </c>
      <c r="F213" s="33" t="n">
        <v>0</v>
      </c>
      <c r="G213" s="62"/>
      <c r="H213" s="35" t="n">
        <v>0</v>
      </c>
      <c r="I213" s="34" t="n">
        <f aca="false">+IF(E213=0,0,E213*0.03)</f>
        <v>0</v>
      </c>
    </row>
    <row r="214" customFormat="false" ht="15.75" hidden="false" customHeight="true" outlineLevel="0" collapsed="false">
      <c r="A214" s="30" t="n">
        <v>45323</v>
      </c>
      <c r="B214" s="31" t="s">
        <v>11</v>
      </c>
      <c r="C214" s="32"/>
      <c r="D214" s="32"/>
      <c r="E214" s="19" t="n">
        <f aca="false">+IF(C214="EQUIPO",F214,0)</f>
        <v>0</v>
      </c>
      <c r="F214" s="33" t="n">
        <v>0</v>
      </c>
      <c r="G214" s="62"/>
      <c r="H214" s="35" t="n">
        <v>0</v>
      </c>
      <c r="I214" s="34" t="n">
        <f aca="false">+IF(E214=0,0,E214*0.03)</f>
        <v>0</v>
      </c>
    </row>
    <row r="215" customFormat="false" ht="15.75" hidden="false" customHeight="true" outlineLevel="0" collapsed="false">
      <c r="A215" s="30" t="n">
        <v>45323</v>
      </c>
      <c r="B215" s="31" t="s">
        <v>11</v>
      </c>
      <c r="C215" s="32"/>
      <c r="D215" s="32"/>
      <c r="E215" s="19" t="n">
        <f aca="false">+IF(C215="EQUIPO",F215,0)</f>
        <v>0</v>
      </c>
      <c r="F215" s="33" t="n">
        <v>0</v>
      </c>
      <c r="G215" s="62"/>
      <c r="H215" s="35" t="n">
        <v>0</v>
      </c>
      <c r="I215" s="34" t="n">
        <f aca="false">+IF(E215=0,0,E215*0.03)</f>
        <v>0</v>
      </c>
    </row>
    <row r="216" customFormat="false" ht="15.75" hidden="false" customHeight="true" outlineLevel="0" collapsed="false">
      <c r="A216" s="30" t="n">
        <v>45323</v>
      </c>
      <c r="B216" s="31" t="s">
        <v>11</v>
      </c>
      <c r="C216" s="32"/>
      <c r="D216" s="32"/>
      <c r="E216" s="19" t="n">
        <f aca="false">+IF(C216="EQUIPO",F216,0)</f>
        <v>0</v>
      </c>
      <c r="F216" s="33" t="n">
        <v>0</v>
      </c>
      <c r="G216" s="62"/>
      <c r="H216" s="35" t="n">
        <v>0</v>
      </c>
      <c r="I216" s="34" t="n">
        <f aca="false">+IF(E216=0,0,E216*0.03)</f>
        <v>0</v>
      </c>
    </row>
    <row r="217" customFormat="false" ht="15.75" hidden="false" customHeight="true" outlineLevel="0" collapsed="false">
      <c r="A217" s="30" t="n">
        <v>45323</v>
      </c>
      <c r="B217" s="31" t="s">
        <v>11</v>
      </c>
      <c r="C217" s="32"/>
      <c r="D217" s="32"/>
      <c r="E217" s="19" t="n">
        <f aca="false">+IF(C217="EQUIPO",F217,0)</f>
        <v>0</v>
      </c>
      <c r="F217" s="33" t="n">
        <v>0</v>
      </c>
      <c r="G217" s="62"/>
      <c r="H217" s="35" t="n">
        <v>0</v>
      </c>
      <c r="I217" s="34" t="n">
        <f aca="false">+IF(E217=0,0,E217*0.03)</f>
        <v>0</v>
      </c>
    </row>
    <row r="218" customFormat="false" ht="15.75" hidden="false" customHeight="true" outlineLevel="0" collapsed="false">
      <c r="A218" s="30" t="n">
        <v>45323</v>
      </c>
      <c r="B218" s="31" t="s">
        <v>11</v>
      </c>
      <c r="C218" s="32"/>
      <c r="D218" s="32"/>
      <c r="E218" s="19" t="n">
        <f aca="false">+IF(C218="EQUIPO",F218,0)</f>
        <v>0</v>
      </c>
      <c r="F218" s="33" t="n">
        <v>0</v>
      </c>
      <c r="G218" s="62"/>
      <c r="H218" s="35" t="n">
        <v>0</v>
      </c>
      <c r="I218" s="34" t="n">
        <f aca="false">+IF(E218=0,0,E218*0.03)</f>
        <v>0</v>
      </c>
    </row>
    <row r="219" customFormat="false" ht="15.75" hidden="false" customHeight="true" outlineLevel="0" collapsed="false">
      <c r="A219" s="30" t="n">
        <v>45323</v>
      </c>
      <c r="B219" s="31" t="s">
        <v>11</v>
      </c>
      <c r="C219" s="32"/>
      <c r="D219" s="32"/>
      <c r="E219" s="19" t="n">
        <f aca="false">+IF(C219="EQUIPO",F219,0)</f>
        <v>0</v>
      </c>
      <c r="F219" s="33" t="n">
        <v>0</v>
      </c>
      <c r="G219" s="62"/>
      <c r="H219" s="35" t="n">
        <v>0</v>
      </c>
      <c r="I219" s="34" t="n">
        <f aca="false">+IF(E219=0,0,E219*0.03)</f>
        <v>0</v>
      </c>
    </row>
    <row r="220" customFormat="false" ht="15.75" hidden="false" customHeight="true" outlineLevel="0" collapsed="false">
      <c r="A220" s="30" t="n">
        <v>45323</v>
      </c>
      <c r="B220" s="31" t="s">
        <v>11</v>
      </c>
      <c r="C220" s="32"/>
      <c r="D220" s="32"/>
      <c r="E220" s="19" t="n">
        <f aca="false">+IF(C220="EQUIPO",F220,0)</f>
        <v>0</v>
      </c>
      <c r="F220" s="33" t="n">
        <v>0</v>
      </c>
      <c r="G220" s="62"/>
      <c r="H220" s="35" t="n">
        <v>0</v>
      </c>
      <c r="I220" s="34" t="n">
        <f aca="false">+IF(E220=0,0,E220*0.03)</f>
        <v>0</v>
      </c>
    </row>
    <row r="221" customFormat="false" ht="15.75" hidden="false" customHeight="true" outlineLevel="0" collapsed="false">
      <c r="A221" s="30" t="n">
        <v>45323</v>
      </c>
      <c r="B221" s="31" t="s">
        <v>11</v>
      </c>
      <c r="C221" s="32"/>
      <c r="D221" s="32"/>
      <c r="E221" s="19" t="n">
        <f aca="false">+IF(C221="EQUIPO",F221,0)</f>
        <v>0</v>
      </c>
      <c r="F221" s="33" t="n">
        <v>0</v>
      </c>
      <c r="G221" s="62"/>
      <c r="H221" s="35" t="n">
        <v>0</v>
      </c>
      <c r="I221" s="34" t="n">
        <f aca="false">+IF(E221=0,0,E221*0.03)</f>
        <v>0</v>
      </c>
    </row>
    <row r="222" customFormat="false" ht="15.75" hidden="false" customHeight="true" outlineLevel="0" collapsed="false">
      <c r="A222" s="30" t="n">
        <v>45323</v>
      </c>
      <c r="B222" s="31" t="s">
        <v>11</v>
      </c>
      <c r="C222" s="32"/>
      <c r="D222" s="32"/>
      <c r="E222" s="19" t="n">
        <f aca="false">+IF(C222="EQUIPO",F222,0)</f>
        <v>0</v>
      </c>
      <c r="F222" s="33" t="n">
        <v>0</v>
      </c>
      <c r="G222" s="62"/>
      <c r="H222" s="35" t="n">
        <v>0</v>
      </c>
      <c r="I222" s="34" t="n">
        <f aca="false">+IF(E222=0,0,E222*0.03)</f>
        <v>0</v>
      </c>
    </row>
    <row r="223" customFormat="false" ht="15.75" hidden="false" customHeight="true" outlineLevel="0" collapsed="false">
      <c r="A223" s="30" t="n">
        <v>45323</v>
      </c>
      <c r="B223" s="31" t="s">
        <v>11</v>
      </c>
      <c r="C223" s="32"/>
      <c r="D223" s="32"/>
      <c r="E223" s="19" t="n">
        <f aca="false">+IF(C223="EQUIPO",F223,0)</f>
        <v>0</v>
      </c>
      <c r="F223" s="33" t="n">
        <v>0</v>
      </c>
      <c r="G223" s="62"/>
      <c r="H223" s="35" t="n">
        <v>0</v>
      </c>
      <c r="I223" s="34" t="n">
        <f aca="false">+IF(E223=0,0,E223*0.03)</f>
        <v>0</v>
      </c>
    </row>
    <row r="224" customFormat="false" ht="15.75" hidden="false" customHeight="true" outlineLevel="0" collapsed="false">
      <c r="A224" s="30" t="n">
        <v>45323</v>
      </c>
      <c r="B224" s="31" t="s">
        <v>11</v>
      </c>
      <c r="C224" s="32"/>
      <c r="D224" s="32"/>
      <c r="E224" s="19" t="n">
        <f aca="false">+IF(C224="EQUIPO",F224,0)</f>
        <v>0</v>
      </c>
      <c r="F224" s="33" t="n">
        <v>0</v>
      </c>
      <c r="G224" s="62"/>
      <c r="H224" s="35" t="n">
        <v>0</v>
      </c>
      <c r="I224" s="34" t="n">
        <f aca="false">+IF(E224=0,0,E224*0.03)</f>
        <v>0</v>
      </c>
    </row>
    <row r="225" customFormat="false" ht="15.75" hidden="false" customHeight="true" outlineLevel="0" collapsed="false">
      <c r="A225" s="30" t="n">
        <v>45323</v>
      </c>
      <c r="B225" s="31" t="s">
        <v>11</v>
      </c>
      <c r="C225" s="32"/>
      <c r="D225" s="32"/>
      <c r="E225" s="19" t="n">
        <f aca="false">+IF(C225="EQUIPO",F225,0)</f>
        <v>0</v>
      </c>
      <c r="F225" s="33" t="n">
        <v>0</v>
      </c>
      <c r="G225" s="62"/>
      <c r="H225" s="35" t="n">
        <v>0</v>
      </c>
      <c r="I225" s="34" t="n">
        <f aca="false">+IF(E225=0,0,E225*0.03)</f>
        <v>0</v>
      </c>
    </row>
    <row r="226" customFormat="false" ht="15.75" hidden="false" customHeight="true" outlineLevel="0" collapsed="false">
      <c r="A226" s="30" t="n">
        <v>45323</v>
      </c>
      <c r="B226" s="31" t="s">
        <v>11</v>
      </c>
      <c r="C226" s="32"/>
      <c r="D226" s="32"/>
      <c r="E226" s="19" t="n">
        <f aca="false">+IF(C226="EQUIPO",F226,0)</f>
        <v>0</v>
      </c>
      <c r="F226" s="33" t="n">
        <v>0</v>
      </c>
      <c r="G226" s="62"/>
      <c r="H226" s="35" t="n">
        <v>0</v>
      </c>
      <c r="I226" s="34" t="n">
        <f aca="false">+IF(E226=0,0,E226*0.03)</f>
        <v>0</v>
      </c>
    </row>
    <row r="227" customFormat="false" ht="15.75" hidden="false" customHeight="true" outlineLevel="0" collapsed="false">
      <c r="A227" s="30" t="n">
        <v>45323</v>
      </c>
      <c r="B227" s="31" t="s">
        <v>11</v>
      </c>
      <c r="C227" s="32"/>
      <c r="D227" s="32"/>
      <c r="E227" s="19" t="n">
        <f aca="false">+IF(C227="EQUIPO",F227,0)</f>
        <v>0</v>
      </c>
      <c r="F227" s="33" t="n">
        <v>0</v>
      </c>
      <c r="G227" s="62"/>
      <c r="H227" s="35" t="n">
        <v>0</v>
      </c>
      <c r="I227" s="34" t="n">
        <f aca="false">+IF(E227=0,0,E227*0.03)</f>
        <v>0</v>
      </c>
    </row>
    <row r="228" customFormat="false" ht="15.75" hidden="false" customHeight="true" outlineLevel="0" collapsed="false">
      <c r="A228" s="30" t="n">
        <v>45323</v>
      </c>
      <c r="B228" s="31" t="s">
        <v>11</v>
      </c>
      <c r="C228" s="32"/>
      <c r="D228" s="32"/>
      <c r="E228" s="19" t="n">
        <f aca="false">+IF(C228="EQUIPO",F228,0)</f>
        <v>0</v>
      </c>
      <c r="F228" s="33" t="n">
        <v>0</v>
      </c>
      <c r="G228" s="62"/>
      <c r="H228" s="35" t="n">
        <v>0</v>
      </c>
      <c r="I228" s="34" t="n">
        <f aca="false">+IF(E228=0,0,E228*0.03)</f>
        <v>0</v>
      </c>
    </row>
    <row r="229" customFormat="false" ht="15.75" hidden="false" customHeight="true" outlineLevel="0" collapsed="false">
      <c r="A229" s="30" t="n">
        <v>45323</v>
      </c>
      <c r="B229" s="31" t="s">
        <v>11</v>
      </c>
      <c r="C229" s="32"/>
      <c r="D229" s="32"/>
      <c r="E229" s="19" t="n">
        <f aca="false">+IF(C229="EQUIPO",F229,0)</f>
        <v>0</v>
      </c>
      <c r="F229" s="33" t="n">
        <v>0</v>
      </c>
      <c r="G229" s="62"/>
      <c r="H229" s="35" t="n">
        <v>0</v>
      </c>
      <c r="I229" s="34" t="n">
        <f aca="false">+IF(E229=0,0,E229*0.03)</f>
        <v>0</v>
      </c>
    </row>
    <row r="230" customFormat="false" ht="15.75" hidden="false" customHeight="true" outlineLevel="0" collapsed="false">
      <c r="A230" s="30" t="n">
        <v>45323</v>
      </c>
      <c r="B230" s="31" t="s">
        <v>11</v>
      </c>
      <c r="C230" s="32"/>
      <c r="D230" s="32"/>
      <c r="E230" s="19" t="n">
        <f aca="false">+IF(C230="EQUIPO",F230,0)</f>
        <v>0</v>
      </c>
      <c r="F230" s="33" t="n">
        <v>0</v>
      </c>
      <c r="G230" s="62"/>
      <c r="H230" s="35" t="n">
        <v>0</v>
      </c>
      <c r="I230" s="34" t="n">
        <f aca="false">+IF(E230=0,0,E230*0.03)</f>
        <v>0</v>
      </c>
    </row>
    <row r="231" customFormat="false" ht="15.75" hidden="false" customHeight="true" outlineLevel="0" collapsed="false">
      <c r="A231" s="30" t="n">
        <v>45323</v>
      </c>
      <c r="B231" s="31" t="s">
        <v>11</v>
      </c>
      <c r="C231" s="32"/>
      <c r="D231" s="32"/>
      <c r="E231" s="19" t="n">
        <f aca="false">+IF(C231="EQUIPO",F231,0)</f>
        <v>0</v>
      </c>
      <c r="F231" s="33" t="n">
        <v>0</v>
      </c>
      <c r="G231" s="62"/>
      <c r="H231" s="35" t="n">
        <v>0</v>
      </c>
      <c r="I231" s="34" t="n">
        <f aca="false">+IF(E231=0,0,E231*0.03)</f>
        <v>0</v>
      </c>
    </row>
    <row r="232" customFormat="false" ht="15.75" hidden="false" customHeight="true" outlineLevel="0" collapsed="false">
      <c r="A232" s="30" t="n">
        <v>45323</v>
      </c>
      <c r="B232" s="31" t="s">
        <v>11</v>
      </c>
      <c r="C232" s="32"/>
      <c r="D232" s="32"/>
      <c r="E232" s="19" t="n">
        <f aca="false">+IF(C232="EQUIPO",F232,0)</f>
        <v>0</v>
      </c>
      <c r="F232" s="33" t="n">
        <v>0</v>
      </c>
      <c r="G232" s="62"/>
      <c r="H232" s="35" t="n">
        <v>0</v>
      </c>
      <c r="I232" s="34" t="n">
        <f aca="false">+IF(E232=0,0,E232*0.03)</f>
        <v>0</v>
      </c>
    </row>
    <row r="233" customFormat="false" ht="15.75" hidden="false" customHeight="true" outlineLevel="0" collapsed="false">
      <c r="A233" s="30" t="n">
        <v>45323</v>
      </c>
      <c r="B233" s="31" t="s">
        <v>11</v>
      </c>
      <c r="C233" s="32"/>
      <c r="D233" s="32"/>
      <c r="E233" s="19" t="n">
        <f aca="false">+IF(C233="EQUIPO",F233,0)</f>
        <v>0</v>
      </c>
      <c r="F233" s="33" t="n">
        <v>0</v>
      </c>
      <c r="G233" s="62"/>
      <c r="H233" s="35" t="n">
        <v>0</v>
      </c>
      <c r="I233" s="34" t="n">
        <f aca="false">+IF(E233=0,0,E233*0.03)</f>
        <v>0</v>
      </c>
    </row>
    <row r="234" customFormat="false" ht="15.75" hidden="false" customHeight="true" outlineLevel="0" collapsed="false">
      <c r="A234" s="30" t="n">
        <v>45323</v>
      </c>
      <c r="B234" s="31" t="s">
        <v>11</v>
      </c>
      <c r="C234" s="32"/>
      <c r="D234" s="32"/>
      <c r="E234" s="19" t="n">
        <f aca="false">+IF(C234="EQUIPO",F234,0)</f>
        <v>0</v>
      </c>
      <c r="F234" s="33" t="n">
        <v>0</v>
      </c>
      <c r="G234" s="62"/>
      <c r="H234" s="35" t="n">
        <v>0</v>
      </c>
      <c r="I234" s="34" t="n">
        <f aca="false">+IF(E234=0,0,E234*0.03)</f>
        <v>0</v>
      </c>
    </row>
    <row r="235" customFormat="false" ht="15.75" hidden="false" customHeight="true" outlineLevel="0" collapsed="false">
      <c r="A235" s="30" t="n">
        <v>45323</v>
      </c>
      <c r="B235" s="31" t="s">
        <v>11</v>
      </c>
      <c r="C235" s="32"/>
      <c r="D235" s="32"/>
      <c r="E235" s="19" t="n">
        <f aca="false">+IF(C235="EQUIPO",F235,0)</f>
        <v>0</v>
      </c>
      <c r="F235" s="33" t="n">
        <v>0</v>
      </c>
      <c r="G235" s="62"/>
      <c r="H235" s="35" t="n">
        <v>0</v>
      </c>
      <c r="I235" s="34" t="n">
        <f aca="false">+IF(E235=0,0,E235*0.03)</f>
        <v>0</v>
      </c>
    </row>
    <row r="236" customFormat="false" ht="15.75" hidden="false" customHeight="true" outlineLevel="0" collapsed="false">
      <c r="A236" s="30" t="n">
        <v>45323</v>
      </c>
      <c r="B236" s="31" t="s">
        <v>11</v>
      </c>
      <c r="C236" s="32"/>
      <c r="D236" s="32"/>
      <c r="E236" s="19" t="n">
        <f aca="false">+IF(C236="EQUIPO",F236,0)</f>
        <v>0</v>
      </c>
      <c r="F236" s="33" t="n">
        <v>0</v>
      </c>
      <c r="G236" s="62"/>
      <c r="H236" s="35" t="n">
        <v>0</v>
      </c>
      <c r="I236" s="34" t="n">
        <f aca="false">+IF(E236=0,0,E236*0.03)</f>
        <v>0</v>
      </c>
    </row>
    <row r="237" customFormat="false" ht="15.75" hidden="false" customHeight="true" outlineLevel="0" collapsed="false">
      <c r="A237" s="30" t="n">
        <v>45323</v>
      </c>
      <c r="B237" s="31" t="s">
        <v>11</v>
      </c>
      <c r="C237" s="32"/>
      <c r="D237" s="32"/>
      <c r="E237" s="19" t="n">
        <f aca="false">+IF(C237="EQUIPO",F237,0)</f>
        <v>0</v>
      </c>
      <c r="F237" s="33" t="n">
        <v>0</v>
      </c>
      <c r="G237" s="62"/>
      <c r="H237" s="35" t="n">
        <v>0</v>
      </c>
      <c r="I237" s="34" t="n">
        <f aca="false">+IF(E237=0,0,E237*0.03)</f>
        <v>0</v>
      </c>
    </row>
    <row r="238" customFormat="false" ht="15.75" hidden="false" customHeight="true" outlineLevel="0" collapsed="false">
      <c r="A238" s="30" t="n">
        <v>45323</v>
      </c>
      <c r="B238" s="31" t="s">
        <v>11</v>
      </c>
      <c r="C238" s="32"/>
      <c r="D238" s="32"/>
      <c r="E238" s="19" t="n">
        <f aca="false">+IF(C238="EQUIPO",F238,0)</f>
        <v>0</v>
      </c>
      <c r="F238" s="33" t="n">
        <v>0</v>
      </c>
      <c r="G238" s="62"/>
      <c r="H238" s="35" t="n">
        <v>0</v>
      </c>
      <c r="I238" s="34" t="n">
        <f aca="false">+IF(E238=0,0,E238*0.03)</f>
        <v>0</v>
      </c>
    </row>
    <row r="239" customFormat="false" ht="15.75" hidden="false" customHeight="true" outlineLevel="0" collapsed="false">
      <c r="A239" s="30" t="n">
        <v>45323</v>
      </c>
      <c r="B239" s="31" t="s">
        <v>11</v>
      </c>
      <c r="C239" s="32"/>
      <c r="D239" s="32"/>
      <c r="E239" s="19" t="n">
        <f aca="false">+IF(C239="EQUIPO",F239,0)</f>
        <v>0</v>
      </c>
      <c r="F239" s="33" t="n">
        <v>0</v>
      </c>
      <c r="G239" s="62"/>
      <c r="H239" s="35" t="n">
        <v>0</v>
      </c>
      <c r="I239" s="34" t="n">
        <f aca="false">+IF(E239=0,0,E239*0.03)</f>
        <v>0</v>
      </c>
    </row>
    <row r="240" customFormat="false" ht="15.75" hidden="false" customHeight="true" outlineLevel="0" collapsed="false">
      <c r="A240" s="30" t="n">
        <v>45323</v>
      </c>
      <c r="B240" s="31" t="s">
        <v>11</v>
      </c>
      <c r="C240" s="32"/>
      <c r="D240" s="32"/>
      <c r="E240" s="19" t="n">
        <f aca="false">+IF(C240="EQUIPO",F240,0)</f>
        <v>0</v>
      </c>
      <c r="F240" s="33" t="n">
        <v>0</v>
      </c>
      <c r="G240" s="62"/>
      <c r="H240" s="35" t="n">
        <v>0</v>
      </c>
      <c r="I240" s="34" t="n">
        <f aca="false">+IF(E240=0,0,E240*0.03)</f>
        <v>0</v>
      </c>
    </row>
    <row r="241" customFormat="false" ht="15.75" hidden="false" customHeight="true" outlineLevel="0" collapsed="false">
      <c r="A241" s="30" t="n">
        <v>45323</v>
      </c>
      <c r="B241" s="31" t="s">
        <v>11</v>
      </c>
      <c r="C241" s="32"/>
      <c r="D241" s="32"/>
      <c r="E241" s="19" t="n">
        <f aca="false">+IF(C241="EQUIPO",F241,0)</f>
        <v>0</v>
      </c>
      <c r="F241" s="33" t="n">
        <v>0</v>
      </c>
      <c r="G241" s="62"/>
      <c r="H241" s="35" t="n">
        <v>0</v>
      </c>
      <c r="I241" s="34" t="n">
        <f aca="false">+IF(E241=0,0,E241*0.03)</f>
        <v>0</v>
      </c>
    </row>
    <row r="242" customFormat="false" ht="15.75" hidden="false" customHeight="true" outlineLevel="0" collapsed="false">
      <c r="A242" s="30" t="n">
        <v>45323</v>
      </c>
      <c r="B242" s="31" t="s">
        <v>11</v>
      </c>
      <c r="C242" s="32"/>
      <c r="D242" s="32"/>
      <c r="E242" s="19" t="n">
        <f aca="false">+IF(C242="EQUIPO",F242,0)</f>
        <v>0</v>
      </c>
      <c r="F242" s="33" t="n">
        <v>0</v>
      </c>
      <c r="G242" s="62"/>
      <c r="H242" s="35" t="n">
        <v>0</v>
      </c>
      <c r="I242" s="34" t="n">
        <f aca="false">+IF(E242=0,0,E242*0.03)</f>
        <v>0</v>
      </c>
    </row>
    <row r="243" customFormat="false" ht="15.75" hidden="false" customHeight="true" outlineLevel="0" collapsed="false">
      <c r="A243" s="30" t="n">
        <v>45323</v>
      </c>
      <c r="B243" s="31" t="s">
        <v>11</v>
      </c>
      <c r="C243" s="32"/>
      <c r="D243" s="32"/>
      <c r="E243" s="19" t="n">
        <f aca="false">+IF(C243="EQUIPO",F243,0)</f>
        <v>0</v>
      </c>
      <c r="F243" s="33" t="n">
        <v>0</v>
      </c>
      <c r="G243" s="62"/>
      <c r="H243" s="35" t="n">
        <v>0</v>
      </c>
      <c r="I243" s="34" t="n">
        <f aca="false">+IF(E243=0,0,E243*0.03)</f>
        <v>0</v>
      </c>
    </row>
    <row r="244" customFormat="false" ht="15.75" hidden="false" customHeight="true" outlineLevel="0" collapsed="false">
      <c r="A244" s="30" t="n">
        <v>45323</v>
      </c>
      <c r="B244" s="31" t="s">
        <v>11</v>
      </c>
      <c r="C244" s="32"/>
      <c r="D244" s="32"/>
      <c r="E244" s="19" t="n">
        <f aca="false">+IF(C244="EQUIPO",F244,0)</f>
        <v>0</v>
      </c>
      <c r="F244" s="33" t="n">
        <v>0</v>
      </c>
      <c r="G244" s="62"/>
      <c r="H244" s="35" t="n">
        <v>0</v>
      </c>
      <c r="I244" s="34" t="n">
        <f aca="false">+IF(E244=0,0,E244*0.03)</f>
        <v>0</v>
      </c>
    </row>
    <row r="245" customFormat="false" ht="15.75" hidden="false" customHeight="true" outlineLevel="0" collapsed="false">
      <c r="A245" s="30" t="n">
        <v>45323</v>
      </c>
      <c r="B245" s="31" t="s">
        <v>11</v>
      </c>
      <c r="C245" s="32"/>
      <c r="D245" s="32"/>
      <c r="E245" s="19" t="n">
        <f aca="false">+IF(C245="EQUIPO",F245,0)</f>
        <v>0</v>
      </c>
      <c r="F245" s="33" t="n">
        <v>0</v>
      </c>
      <c r="G245" s="62"/>
      <c r="H245" s="35" t="n">
        <v>0</v>
      </c>
      <c r="I245" s="34" t="n">
        <f aca="false">+IF(E245=0,0,E245*0.03)</f>
        <v>0</v>
      </c>
    </row>
    <row r="246" customFormat="false" ht="15.75" hidden="false" customHeight="true" outlineLevel="0" collapsed="false">
      <c r="A246" s="30" t="n">
        <v>45323</v>
      </c>
      <c r="B246" s="31" t="s">
        <v>11</v>
      </c>
      <c r="C246" s="32"/>
      <c r="D246" s="32"/>
      <c r="E246" s="19" t="n">
        <f aca="false">+IF(C246="EQUIPO",F246,0)</f>
        <v>0</v>
      </c>
      <c r="F246" s="33" t="n">
        <v>0</v>
      </c>
      <c r="G246" s="62"/>
      <c r="H246" s="35" t="n">
        <v>0</v>
      </c>
      <c r="I246" s="34" t="n">
        <f aca="false">+IF(E246=0,0,E246*0.03)</f>
        <v>0</v>
      </c>
    </row>
    <row r="247" customFormat="false" ht="15.75" hidden="false" customHeight="true" outlineLevel="0" collapsed="false">
      <c r="A247" s="30" t="n">
        <v>45323</v>
      </c>
      <c r="B247" s="31" t="s">
        <v>11</v>
      </c>
      <c r="C247" s="32"/>
      <c r="D247" s="32"/>
      <c r="E247" s="19" t="n">
        <f aca="false">+IF(C247="EQUIPO",F247,0)</f>
        <v>0</v>
      </c>
      <c r="F247" s="33" t="n">
        <v>0</v>
      </c>
      <c r="G247" s="62"/>
      <c r="H247" s="35" t="n">
        <v>0</v>
      </c>
      <c r="I247" s="34" t="n">
        <f aca="false">+IF(E247=0,0,E247*0.03)</f>
        <v>0</v>
      </c>
    </row>
    <row r="248" customFormat="false" ht="15.75" hidden="false" customHeight="true" outlineLevel="0" collapsed="false">
      <c r="A248" s="30" t="n">
        <v>45323</v>
      </c>
      <c r="B248" s="31" t="s">
        <v>11</v>
      </c>
      <c r="C248" s="32"/>
      <c r="D248" s="32"/>
      <c r="E248" s="19" t="n">
        <f aca="false">+IF(C248="EQUIPO",F248,0)</f>
        <v>0</v>
      </c>
      <c r="F248" s="33" t="n">
        <v>0</v>
      </c>
      <c r="G248" s="62"/>
      <c r="H248" s="35" t="n">
        <v>0</v>
      </c>
      <c r="I248" s="34" t="n">
        <f aca="false">+IF(E248=0,0,E248*0.03)</f>
        <v>0</v>
      </c>
    </row>
    <row r="249" customFormat="false" ht="15.75" hidden="false" customHeight="true" outlineLevel="0" collapsed="false">
      <c r="A249" s="30" t="n">
        <v>45323</v>
      </c>
      <c r="B249" s="31" t="s">
        <v>11</v>
      </c>
      <c r="C249" s="32"/>
      <c r="D249" s="32"/>
      <c r="E249" s="19" t="n">
        <f aca="false">+IF(C249="EQUIPO",F249,0)</f>
        <v>0</v>
      </c>
      <c r="F249" s="33" t="n">
        <v>0</v>
      </c>
      <c r="G249" s="62"/>
      <c r="H249" s="35" t="n">
        <v>0</v>
      </c>
      <c r="I249" s="34" t="n">
        <f aca="false">+IF(E249=0,0,E249*0.03)</f>
        <v>0</v>
      </c>
    </row>
    <row r="250" customFormat="false" ht="15.75" hidden="false" customHeight="true" outlineLevel="0" collapsed="false">
      <c r="A250" s="30" t="n">
        <v>45323</v>
      </c>
      <c r="B250" s="31" t="s">
        <v>11</v>
      </c>
      <c r="C250" s="32"/>
      <c r="D250" s="32"/>
      <c r="E250" s="19" t="n">
        <f aca="false">+IF(C250="EQUIPO",F250,0)</f>
        <v>0</v>
      </c>
      <c r="F250" s="33" t="n">
        <v>0</v>
      </c>
      <c r="G250" s="62"/>
      <c r="H250" s="35" t="n">
        <v>0</v>
      </c>
      <c r="I250" s="34" t="n">
        <f aca="false">+IF(E250=0,0,E250*0.03)</f>
        <v>0</v>
      </c>
    </row>
    <row r="251" customFormat="false" ht="15.75" hidden="false" customHeight="true" outlineLevel="0" collapsed="false">
      <c r="A251" s="30" t="n">
        <v>45323</v>
      </c>
      <c r="B251" s="31" t="s">
        <v>11</v>
      </c>
      <c r="C251" s="32"/>
      <c r="D251" s="32"/>
      <c r="E251" s="19" t="n">
        <f aca="false">+IF(C251="EQUIPO",F251,0)</f>
        <v>0</v>
      </c>
      <c r="F251" s="33" t="n">
        <v>0</v>
      </c>
      <c r="G251" s="62"/>
      <c r="H251" s="35" t="n">
        <v>0</v>
      </c>
      <c r="I251" s="34" t="n">
        <f aca="false">+IF(E251=0,0,E251*0.03)</f>
        <v>0</v>
      </c>
    </row>
    <row r="252" customFormat="false" ht="15.75" hidden="false" customHeight="true" outlineLevel="0" collapsed="false">
      <c r="A252" s="30" t="n">
        <v>45323</v>
      </c>
      <c r="B252" s="31" t="s">
        <v>11</v>
      </c>
      <c r="C252" s="32"/>
      <c r="D252" s="32"/>
      <c r="E252" s="19" t="n">
        <f aca="false">+IF(C252="EQUIPO",F252,0)</f>
        <v>0</v>
      </c>
      <c r="F252" s="33" t="n">
        <v>0</v>
      </c>
      <c r="G252" s="62"/>
      <c r="H252" s="35" t="n">
        <v>0</v>
      </c>
      <c r="I252" s="34" t="n">
        <f aca="false">+IF(E252=0,0,E252*0.03)</f>
        <v>0</v>
      </c>
    </row>
    <row r="253" customFormat="false" ht="15.75" hidden="false" customHeight="true" outlineLevel="0" collapsed="false">
      <c r="A253" s="30" t="n">
        <v>45323</v>
      </c>
      <c r="B253" s="31" t="s">
        <v>11</v>
      </c>
      <c r="C253" s="32"/>
      <c r="D253" s="32"/>
      <c r="E253" s="19" t="n">
        <f aca="false">+IF(C253="EQUIPO",F253,0)</f>
        <v>0</v>
      </c>
      <c r="F253" s="33" t="n">
        <v>0</v>
      </c>
      <c r="G253" s="62"/>
      <c r="H253" s="35" t="n">
        <v>0</v>
      </c>
      <c r="I253" s="34" t="n">
        <f aca="false">+IF(E253=0,0,E253*0.03)</f>
        <v>0</v>
      </c>
    </row>
    <row r="254" customFormat="false" ht="15.75" hidden="false" customHeight="true" outlineLevel="0" collapsed="false">
      <c r="A254" s="30" t="n">
        <v>45323</v>
      </c>
      <c r="B254" s="31" t="s">
        <v>11</v>
      </c>
      <c r="C254" s="32"/>
      <c r="D254" s="32"/>
      <c r="E254" s="19" t="n">
        <f aca="false">+IF(C254="EQUIPO",F254,0)</f>
        <v>0</v>
      </c>
      <c r="F254" s="33" t="n">
        <v>0</v>
      </c>
      <c r="G254" s="62"/>
      <c r="H254" s="35" t="n">
        <v>0</v>
      </c>
      <c r="I254" s="34" t="n">
        <f aca="false">+IF(E254=0,0,E254*0.03)</f>
        <v>0</v>
      </c>
    </row>
    <row r="255" customFormat="false" ht="15.75" hidden="false" customHeight="true" outlineLevel="0" collapsed="false">
      <c r="A255" s="30" t="n">
        <v>45323</v>
      </c>
      <c r="B255" s="31" t="s">
        <v>11</v>
      </c>
      <c r="C255" s="32"/>
      <c r="D255" s="32"/>
      <c r="E255" s="19" t="n">
        <f aca="false">+IF(C255="EQUIPO",F255,0)</f>
        <v>0</v>
      </c>
      <c r="F255" s="33" t="n">
        <v>0</v>
      </c>
      <c r="G255" s="62"/>
      <c r="H255" s="35" t="n">
        <v>0</v>
      </c>
      <c r="I255" s="34" t="n">
        <f aca="false">+IF(E255=0,0,E255*0.03)</f>
        <v>0</v>
      </c>
    </row>
    <row r="256" customFormat="false" ht="15.75" hidden="false" customHeight="true" outlineLevel="0" collapsed="false">
      <c r="A256" s="30" t="n">
        <v>45323</v>
      </c>
      <c r="B256" s="31" t="s">
        <v>11</v>
      </c>
      <c r="C256" s="32"/>
      <c r="D256" s="32"/>
      <c r="E256" s="19" t="n">
        <f aca="false">+IF(C256="EQUIPO",F256,0)</f>
        <v>0</v>
      </c>
      <c r="F256" s="33" t="n">
        <v>0</v>
      </c>
      <c r="G256" s="62"/>
      <c r="H256" s="35" t="n">
        <v>0</v>
      </c>
      <c r="I256" s="34" t="n">
        <f aca="false">+IF(E256=0,0,E256*0.03)</f>
        <v>0</v>
      </c>
    </row>
    <row r="257" customFormat="false" ht="15.75" hidden="false" customHeight="true" outlineLevel="0" collapsed="false">
      <c r="A257" s="30" t="n">
        <v>45323</v>
      </c>
      <c r="B257" s="31" t="s">
        <v>11</v>
      </c>
      <c r="C257" s="32"/>
      <c r="D257" s="32"/>
      <c r="E257" s="19" t="n">
        <f aca="false">+IF(C257="EQUIPO",F257,0)</f>
        <v>0</v>
      </c>
      <c r="F257" s="33" t="n">
        <v>0</v>
      </c>
      <c r="G257" s="62"/>
      <c r="H257" s="35" t="n">
        <v>0</v>
      </c>
      <c r="I257" s="34" t="n">
        <f aca="false">+IF(E257=0,0,E257*0.03)</f>
        <v>0</v>
      </c>
    </row>
    <row r="258" customFormat="false" ht="15.75" hidden="false" customHeight="true" outlineLevel="0" collapsed="false">
      <c r="A258" s="30" t="n">
        <v>45323</v>
      </c>
      <c r="B258" s="31" t="s">
        <v>11</v>
      </c>
      <c r="C258" s="32"/>
      <c r="D258" s="32"/>
      <c r="E258" s="19" t="n">
        <f aca="false">+IF(C258="EQUIPO",F258,0)</f>
        <v>0</v>
      </c>
      <c r="F258" s="33" t="n">
        <v>0</v>
      </c>
      <c r="G258" s="62"/>
      <c r="H258" s="35" t="n">
        <v>0</v>
      </c>
      <c r="I258" s="34" t="n">
        <f aca="false">+IF(E258=0,0,E258*0.03)</f>
        <v>0</v>
      </c>
    </row>
    <row r="259" customFormat="false" ht="15.75" hidden="false" customHeight="true" outlineLevel="0" collapsed="false">
      <c r="A259" s="30" t="n">
        <v>45323</v>
      </c>
      <c r="B259" s="31" t="s">
        <v>11</v>
      </c>
      <c r="C259" s="32"/>
      <c r="D259" s="32"/>
      <c r="E259" s="19" t="n">
        <f aca="false">+IF(C259="EQUIPO",F259,0)</f>
        <v>0</v>
      </c>
      <c r="F259" s="33" t="n">
        <v>0</v>
      </c>
      <c r="G259" s="62"/>
      <c r="H259" s="35" t="n">
        <v>0</v>
      </c>
      <c r="I259" s="34" t="n">
        <f aca="false">+IF(E259=0,0,E259*0.03)</f>
        <v>0</v>
      </c>
    </row>
    <row r="260" customFormat="false" ht="15.75" hidden="false" customHeight="true" outlineLevel="0" collapsed="false">
      <c r="A260" s="30" t="n">
        <v>45323</v>
      </c>
      <c r="B260" s="31" t="s">
        <v>11</v>
      </c>
      <c r="C260" s="32"/>
      <c r="D260" s="32"/>
      <c r="E260" s="19" t="n">
        <f aca="false">+IF(C260="EQUIPO",F260,0)</f>
        <v>0</v>
      </c>
      <c r="F260" s="33" t="n">
        <v>0</v>
      </c>
      <c r="G260" s="62"/>
      <c r="H260" s="35" t="n">
        <v>0</v>
      </c>
      <c r="I260" s="34" t="n">
        <f aca="false">+IF(E260=0,0,E260*0.03)</f>
        <v>0</v>
      </c>
    </row>
    <row r="261" customFormat="false" ht="15.75" hidden="false" customHeight="true" outlineLevel="0" collapsed="false">
      <c r="A261" s="30" t="n">
        <v>45323</v>
      </c>
      <c r="B261" s="31" t="s">
        <v>11</v>
      </c>
      <c r="C261" s="32"/>
      <c r="D261" s="32"/>
      <c r="E261" s="19" t="n">
        <f aca="false">+IF(C261="EQUIPO",F261,0)</f>
        <v>0</v>
      </c>
      <c r="F261" s="33" t="n">
        <v>0</v>
      </c>
      <c r="G261" s="62"/>
      <c r="H261" s="35" t="n">
        <v>0</v>
      </c>
      <c r="I261" s="34" t="n">
        <f aca="false">+IF(E261=0,0,E261*0.03)</f>
        <v>0</v>
      </c>
    </row>
    <row r="262" customFormat="false" ht="15.75" hidden="false" customHeight="true" outlineLevel="0" collapsed="false">
      <c r="A262" s="30" t="n">
        <v>45323</v>
      </c>
      <c r="B262" s="31" t="s">
        <v>11</v>
      </c>
      <c r="C262" s="32"/>
      <c r="D262" s="32"/>
      <c r="E262" s="19" t="n">
        <f aca="false">+IF(C262="EQUIPO",F262,0)</f>
        <v>0</v>
      </c>
      <c r="F262" s="33" t="n">
        <v>0</v>
      </c>
      <c r="G262" s="62"/>
      <c r="H262" s="35" t="n">
        <v>0</v>
      </c>
      <c r="I262" s="34" t="n">
        <f aca="false">+IF(E262=0,0,E262*0.03)</f>
        <v>0</v>
      </c>
    </row>
    <row r="263" customFormat="false" ht="15.75" hidden="false" customHeight="true" outlineLevel="0" collapsed="false">
      <c r="A263" s="30" t="n">
        <v>45323</v>
      </c>
      <c r="B263" s="31" t="s">
        <v>11</v>
      </c>
      <c r="C263" s="32"/>
      <c r="D263" s="32"/>
      <c r="E263" s="19" t="n">
        <f aca="false">+IF(C263="EQUIPO",F263,0)</f>
        <v>0</v>
      </c>
      <c r="F263" s="33" t="n">
        <v>0</v>
      </c>
      <c r="G263" s="62"/>
      <c r="H263" s="35" t="n">
        <v>0</v>
      </c>
      <c r="I263" s="34" t="n">
        <f aca="false">+IF(E263=0,0,E263*0.03)</f>
        <v>0</v>
      </c>
    </row>
    <row r="264" customFormat="false" ht="15.75" hidden="false" customHeight="true" outlineLevel="0" collapsed="false">
      <c r="A264" s="30" t="n">
        <v>45323</v>
      </c>
      <c r="B264" s="31" t="s">
        <v>11</v>
      </c>
      <c r="C264" s="32"/>
      <c r="D264" s="32"/>
      <c r="E264" s="19" t="n">
        <f aca="false">+IF(C264="EQUIPO",F264,0)</f>
        <v>0</v>
      </c>
      <c r="F264" s="33" t="n">
        <v>0</v>
      </c>
      <c r="G264" s="62"/>
      <c r="H264" s="35" t="n">
        <v>0</v>
      </c>
      <c r="I264" s="34" t="n">
        <f aca="false">+IF(E264=0,0,E264*0.03)</f>
        <v>0</v>
      </c>
    </row>
    <row r="265" customFormat="false" ht="15.75" hidden="false" customHeight="true" outlineLevel="0" collapsed="false">
      <c r="A265" s="30" t="n">
        <v>45323</v>
      </c>
      <c r="B265" s="31" t="s">
        <v>11</v>
      </c>
      <c r="C265" s="32"/>
      <c r="D265" s="32"/>
      <c r="E265" s="19" t="n">
        <f aca="false">+IF(C265="EQUIPO",F265,0)</f>
        <v>0</v>
      </c>
      <c r="F265" s="33" t="n">
        <v>0</v>
      </c>
      <c r="G265" s="62"/>
      <c r="H265" s="35" t="n">
        <v>0</v>
      </c>
      <c r="I265" s="34" t="n">
        <f aca="false">+IF(E265=0,0,E265*0.03)</f>
        <v>0</v>
      </c>
    </row>
    <row r="266" customFormat="false" ht="15.75" hidden="false" customHeight="true" outlineLevel="0" collapsed="false">
      <c r="A266" s="30" t="n">
        <v>45323</v>
      </c>
      <c r="B266" s="31" t="s">
        <v>11</v>
      </c>
      <c r="C266" s="32"/>
      <c r="D266" s="32"/>
      <c r="E266" s="19" t="n">
        <f aca="false">+IF(C266="EQUIPO",F266,0)</f>
        <v>0</v>
      </c>
      <c r="F266" s="33" t="n">
        <v>0</v>
      </c>
      <c r="G266" s="62"/>
      <c r="H266" s="35" t="n">
        <v>0</v>
      </c>
      <c r="I266" s="34" t="n">
        <f aca="false">+IF(E266=0,0,E266*0.03)</f>
        <v>0</v>
      </c>
    </row>
    <row r="267" customFormat="false" ht="15.75" hidden="false" customHeight="true" outlineLevel="0" collapsed="false">
      <c r="A267" s="30" t="n">
        <v>45323</v>
      </c>
      <c r="B267" s="31" t="s">
        <v>11</v>
      </c>
      <c r="C267" s="32"/>
      <c r="D267" s="32"/>
      <c r="E267" s="19" t="n">
        <f aca="false">+IF(C267="EQUIPO",F267,0)</f>
        <v>0</v>
      </c>
      <c r="F267" s="33" t="n">
        <v>0</v>
      </c>
      <c r="G267" s="62"/>
      <c r="H267" s="35" t="n">
        <v>0</v>
      </c>
      <c r="I267" s="34" t="n">
        <f aca="false">+IF(E267=0,0,E267*0.03)</f>
        <v>0</v>
      </c>
    </row>
    <row r="268" customFormat="false" ht="15.75" hidden="false" customHeight="true" outlineLevel="0" collapsed="false">
      <c r="A268" s="30" t="n">
        <v>45323</v>
      </c>
      <c r="B268" s="31" t="s">
        <v>11</v>
      </c>
      <c r="C268" s="32"/>
      <c r="D268" s="32"/>
      <c r="E268" s="19" t="n">
        <f aca="false">+IF(C268="EQUIPO",F268,0)</f>
        <v>0</v>
      </c>
      <c r="F268" s="33" t="n">
        <v>0</v>
      </c>
      <c r="G268" s="62"/>
      <c r="H268" s="35" t="n">
        <v>0</v>
      </c>
      <c r="I268" s="34" t="n">
        <f aca="false">+IF(E268=0,0,E268*0.03)</f>
        <v>0</v>
      </c>
    </row>
    <row r="269" customFormat="false" ht="15.75" hidden="false" customHeight="true" outlineLevel="0" collapsed="false">
      <c r="A269" s="30" t="n">
        <v>45323</v>
      </c>
      <c r="B269" s="31" t="s">
        <v>11</v>
      </c>
      <c r="C269" s="32"/>
      <c r="D269" s="32"/>
      <c r="E269" s="19" t="n">
        <f aca="false">+IF(C269="EQUIPO",F269,0)</f>
        <v>0</v>
      </c>
      <c r="F269" s="33" t="n">
        <v>0</v>
      </c>
      <c r="G269" s="62"/>
      <c r="H269" s="35" t="n">
        <v>0</v>
      </c>
      <c r="I269" s="34" t="n">
        <f aca="false">+IF(E269=0,0,E269*0.03)</f>
        <v>0</v>
      </c>
    </row>
    <row r="270" customFormat="false" ht="15.75" hidden="false" customHeight="true" outlineLevel="0" collapsed="false">
      <c r="A270" s="30" t="n">
        <v>45323</v>
      </c>
      <c r="B270" s="31" t="s">
        <v>11</v>
      </c>
      <c r="C270" s="32"/>
      <c r="D270" s="32"/>
      <c r="E270" s="19" t="n">
        <f aca="false">+IF(C270="EQUIPO",F270,0)</f>
        <v>0</v>
      </c>
      <c r="F270" s="33" t="n">
        <v>0</v>
      </c>
      <c r="G270" s="62"/>
      <c r="H270" s="35" t="n">
        <v>0</v>
      </c>
      <c r="I270" s="34" t="n">
        <f aca="false">+IF(E270=0,0,E270*0.03)</f>
        <v>0</v>
      </c>
    </row>
    <row r="271" customFormat="false" ht="15.75" hidden="false" customHeight="true" outlineLevel="0" collapsed="false">
      <c r="A271" s="30" t="n">
        <v>45323</v>
      </c>
      <c r="B271" s="31" t="s">
        <v>11</v>
      </c>
      <c r="C271" s="32"/>
      <c r="D271" s="32"/>
      <c r="E271" s="19" t="n">
        <f aca="false">+IF(C271="EQUIPO",F271,0)</f>
        <v>0</v>
      </c>
      <c r="F271" s="33" t="n">
        <v>0</v>
      </c>
      <c r="G271" s="62"/>
      <c r="H271" s="35" t="n">
        <v>0</v>
      </c>
      <c r="I271" s="34" t="n">
        <f aca="false">+IF(E271=0,0,E271*0.03)</f>
        <v>0</v>
      </c>
    </row>
    <row r="272" customFormat="false" ht="15.75" hidden="false" customHeight="true" outlineLevel="0" collapsed="false">
      <c r="A272" s="30" t="n">
        <v>45323</v>
      </c>
      <c r="B272" s="31" t="s">
        <v>11</v>
      </c>
      <c r="C272" s="32"/>
      <c r="D272" s="32"/>
      <c r="E272" s="19" t="n">
        <f aca="false">+IF(C272="EQUIPO",F272,0)</f>
        <v>0</v>
      </c>
      <c r="F272" s="33" t="n">
        <v>0</v>
      </c>
      <c r="G272" s="62"/>
      <c r="H272" s="35" t="n">
        <v>0</v>
      </c>
      <c r="I272" s="34" t="n">
        <f aca="false">+IF(E272=0,0,E272*0.03)</f>
        <v>0</v>
      </c>
    </row>
    <row r="273" customFormat="false" ht="15.75" hidden="false" customHeight="true" outlineLevel="0" collapsed="false">
      <c r="A273" s="30" t="n">
        <v>45323</v>
      </c>
      <c r="B273" s="31" t="s">
        <v>11</v>
      </c>
      <c r="C273" s="32"/>
      <c r="D273" s="32"/>
      <c r="E273" s="19" t="n">
        <f aca="false">+IF(C273="EQUIPO",F273,0)</f>
        <v>0</v>
      </c>
      <c r="F273" s="33" t="n">
        <v>0</v>
      </c>
      <c r="G273" s="62"/>
      <c r="H273" s="35" t="n">
        <v>0</v>
      </c>
      <c r="I273" s="34" t="n">
        <f aca="false">+IF(E273=0,0,E273*0.03)</f>
        <v>0</v>
      </c>
    </row>
    <row r="274" customFormat="false" ht="15.75" hidden="false" customHeight="true" outlineLevel="0" collapsed="false">
      <c r="A274" s="30" t="n">
        <v>45323</v>
      </c>
      <c r="B274" s="31" t="s">
        <v>11</v>
      </c>
      <c r="C274" s="32"/>
      <c r="D274" s="32"/>
      <c r="E274" s="19" t="n">
        <f aca="false">+IF(C274="EQUIPO",F274,0)</f>
        <v>0</v>
      </c>
      <c r="F274" s="33" t="n">
        <v>0</v>
      </c>
      <c r="G274" s="62"/>
      <c r="H274" s="35" t="n">
        <v>0</v>
      </c>
      <c r="I274" s="34" t="n">
        <f aca="false">+IF(E274=0,0,E274*0.03)</f>
        <v>0</v>
      </c>
    </row>
    <row r="275" customFormat="false" ht="15.75" hidden="false" customHeight="true" outlineLevel="0" collapsed="false">
      <c r="A275" s="30" t="n">
        <v>45323</v>
      </c>
      <c r="B275" s="31" t="s">
        <v>11</v>
      </c>
      <c r="C275" s="32"/>
      <c r="D275" s="32"/>
      <c r="E275" s="19" t="n">
        <f aca="false">+IF(C275="EQUIPO",F275,0)</f>
        <v>0</v>
      </c>
      <c r="F275" s="33" t="n">
        <v>0</v>
      </c>
      <c r="G275" s="62"/>
      <c r="H275" s="35" t="n">
        <v>0</v>
      </c>
      <c r="I275" s="34" t="n">
        <f aca="false">+IF(E275=0,0,E275*0.03)</f>
        <v>0</v>
      </c>
    </row>
    <row r="276" customFormat="false" ht="15.75" hidden="false" customHeight="true" outlineLevel="0" collapsed="false">
      <c r="A276" s="30" t="n">
        <v>45323</v>
      </c>
      <c r="B276" s="31" t="s">
        <v>11</v>
      </c>
      <c r="C276" s="32"/>
      <c r="D276" s="32"/>
      <c r="E276" s="19" t="n">
        <f aca="false">+IF(C276="EQUIPO",F276,0)</f>
        <v>0</v>
      </c>
      <c r="F276" s="33" t="n">
        <v>0</v>
      </c>
      <c r="G276" s="62"/>
      <c r="H276" s="35" t="n">
        <v>0</v>
      </c>
      <c r="I276" s="34" t="n">
        <f aca="false">+IF(E276=0,0,E276*0.03)</f>
        <v>0</v>
      </c>
    </row>
    <row r="277" customFormat="false" ht="15.75" hidden="false" customHeight="true" outlineLevel="0" collapsed="false">
      <c r="A277" s="30" t="n">
        <v>45323</v>
      </c>
      <c r="B277" s="31" t="s">
        <v>11</v>
      </c>
      <c r="C277" s="32"/>
      <c r="D277" s="32"/>
      <c r="E277" s="19" t="n">
        <f aca="false">+IF(C277="EQUIPO",F277,0)</f>
        <v>0</v>
      </c>
      <c r="F277" s="33" t="n">
        <v>0</v>
      </c>
      <c r="G277" s="62"/>
      <c r="H277" s="35" t="n">
        <v>0</v>
      </c>
      <c r="I277" s="34" t="n">
        <f aca="false">+IF(E277=0,0,E277*0.03)</f>
        <v>0</v>
      </c>
    </row>
    <row r="278" customFormat="false" ht="15.75" hidden="false" customHeight="true" outlineLevel="0" collapsed="false">
      <c r="A278" s="30" t="n">
        <v>45323</v>
      </c>
      <c r="B278" s="31" t="s">
        <v>11</v>
      </c>
      <c r="C278" s="32"/>
      <c r="D278" s="32"/>
      <c r="E278" s="19" t="n">
        <f aca="false">+IF(C278="EQUIPO",F278,0)</f>
        <v>0</v>
      </c>
      <c r="F278" s="33" t="n">
        <v>0</v>
      </c>
      <c r="G278" s="62"/>
      <c r="H278" s="35" t="n">
        <v>0</v>
      </c>
      <c r="I278" s="34" t="n">
        <f aca="false">+IF(E278=0,0,E278*0.03)</f>
        <v>0</v>
      </c>
    </row>
    <row r="279" customFormat="false" ht="15.75" hidden="false" customHeight="true" outlineLevel="0" collapsed="false">
      <c r="A279" s="30" t="n">
        <v>45323</v>
      </c>
      <c r="B279" s="31" t="s">
        <v>11</v>
      </c>
      <c r="C279" s="32"/>
      <c r="D279" s="32"/>
      <c r="E279" s="19" t="n">
        <f aca="false">+IF(C279="EQUIPO",F279,0)</f>
        <v>0</v>
      </c>
      <c r="F279" s="33" t="n">
        <v>0</v>
      </c>
      <c r="G279" s="62"/>
      <c r="H279" s="35" t="n">
        <v>0</v>
      </c>
      <c r="I279" s="34" t="n">
        <f aca="false">+IF(E279=0,0,E279*0.03)</f>
        <v>0</v>
      </c>
    </row>
    <row r="280" customFormat="false" ht="15.75" hidden="false" customHeight="true" outlineLevel="0" collapsed="false">
      <c r="A280" s="30" t="n">
        <v>45323</v>
      </c>
      <c r="B280" s="31" t="s">
        <v>11</v>
      </c>
      <c r="C280" s="32"/>
      <c r="D280" s="32"/>
      <c r="E280" s="19" t="n">
        <f aca="false">+IF(C280="EQUIPO",F280,0)</f>
        <v>0</v>
      </c>
      <c r="F280" s="33" t="n">
        <v>0</v>
      </c>
      <c r="G280" s="62"/>
      <c r="H280" s="35" t="n">
        <v>0</v>
      </c>
      <c r="I280" s="34" t="n">
        <f aca="false">+IF(E280=0,0,E280*0.03)</f>
        <v>0</v>
      </c>
    </row>
    <row r="281" customFormat="false" ht="15.75" hidden="false" customHeight="true" outlineLevel="0" collapsed="false">
      <c r="A281" s="30" t="n">
        <v>45323</v>
      </c>
      <c r="B281" s="31" t="s">
        <v>11</v>
      </c>
      <c r="C281" s="32"/>
      <c r="D281" s="32"/>
      <c r="E281" s="19" t="n">
        <f aca="false">+IF(C281="EQUIPO",F281,0)</f>
        <v>0</v>
      </c>
      <c r="F281" s="33" t="n">
        <v>0</v>
      </c>
      <c r="G281" s="62"/>
      <c r="H281" s="35" t="n">
        <v>0</v>
      </c>
      <c r="I281" s="34" t="n">
        <f aca="false">+IF(E281=0,0,E281*0.03)</f>
        <v>0</v>
      </c>
    </row>
    <row r="282" customFormat="false" ht="15.75" hidden="false" customHeight="true" outlineLevel="0" collapsed="false">
      <c r="A282" s="30" t="n">
        <v>45323</v>
      </c>
      <c r="B282" s="31" t="s">
        <v>11</v>
      </c>
      <c r="C282" s="32"/>
      <c r="D282" s="32"/>
      <c r="E282" s="19" t="n">
        <f aca="false">+IF(C282="EQUIPO",F282,0)</f>
        <v>0</v>
      </c>
      <c r="F282" s="33" t="n">
        <v>0</v>
      </c>
      <c r="G282" s="62"/>
      <c r="H282" s="35" t="n">
        <v>0</v>
      </c>
      <c r="I282" s="34" t="n">
        <f aca="false">+IF(E282=0,0,E282*0.03)</f>
        <v>0</v>
      </c>
    </row>
    <row r="283" customFormat="false" ht="15.75" hidden="false" customHeight="true" outlineLevel="0" collapsed="false">
      <c r="A283" s="30" t="n">
        <v>45323</v>
      </c>
      <c r="B283" s="31" t="s">
        <v>11</v>
      </c>
      <c r="C283" s="32"/>
      <c r="D283" s="32"/>
      <c r="E283" s="19" t="n">
        <f aca="false">+IF(C283="EQUIPO",F283,0)</f>
        <v>0</v>
      </c>
      <c r="F283" s="33" t="n">
        <v>0</v>
      </c>
      <c r="G283" s="62"/>
      <c r="H283" s="35" t="n">
        <v>0</v>
      </c>
      <c r="I283" s="34" t="n">
        <f aca="false">+IF(E283=0,0,E283*0.03)</f>
        <v>0</v>
      </c>
    </row>
    <row r="284" customFormat="false" ht="15.75" hidden="false" customHeight="true" outlineLevel="0" collapsed="false">
      <c r="A284" s="30" t="n">
        <v>45323</v>
      </c>
      <c r="B284" s="31" t="s">
        <v>11</v>
      </c>
      <c r="C284" s="32"/>
      <c r="D284" s="32"/>
      <c r="E284" s="19" t="n">
        <f aca="false">+IF(C284="EQUIPO",F284,0)</f>
        <v>0</v>
      </c>
      <c r="F284" s="33" t="n">
        <v>0</v>
      </c>
      <c r="G284" s="62"/>
      <c r="H284" s="35" t="n">
        <v>0</v>
      </c>
      <c r="I284" s="34" t="n">
        <f aca="false">+IF(E284=0,0,E284*0.03)</f>
        <v>0</v>
      </c>
    </row>
    <row r="285" customFormat="false" ht="15.75" hidden="false" customHeight="true" outlineLevel="0" collapsed="false">
      <c r="A285" s="30" t="n">
        <v>45323</v>
      </c>
      <c r="B285" s="31" t="s">
        <v>11</v>
      </c>
      <c r="C285" s="32"/>
      <c r="D285" s="32"/>
      <c r="E285" s="19" t="n">
        <f aca="false">+IF(C285="EQUIPO",F285,0)</f>
        <v>0</v>
      </c>
      <c r="F285" s="33" t="n">
        <v>0</v>
      </c>
      <c r="G285" s="62"/>
      <c r="H285" s="35" t="n">
        <v>0</v>
      </c>
      <c r="I285" s="34" t="n">
        <f aca="false">+IF(E285=0,0,E285*0.03)</f>
        <v>0</v>
      </c>
    </row>
    <row r="286" customFormat="false" ht="15.75" hidden="false" customHeight="true" outlineLevel="0" collapsed="false">
      <c r="A286" s="30" t="n">
        <v>45323</v>
      </c>
      <c r="B286" s="31" t="s">
        <v>11</v>
      </c>
      <c r="C286" s="32"/>
      <c r="D286" s="32"/>
      <c r="E286" s="19" t="n">
        <f aca="false">+IF(C286="EQUIPO",F286,0)</f>
        <v>0</v>
      </c>
      <c r="F286" s="33" t="n">
        <v>0</v>
      </c>
      <c r="G286" s="62"/>
      <c r="H286" s="35" t="n">
        <v>0</v>
      </c>
      <c r="I286" s="34" t="n">
        <f aca="false">+IF(E286=0,0,E286*0.03)</f>
        <v>0</v>
      </c>
    </row>
    <row r="287" customFormat="false" ht="15.75" hidden="false" customHeight="true" outlineLevel="0" collapsed="false">
      <c r="A287" s="30" t="n">
        <v>45323</v>
      </c>
      <c r="B287" s="31" t="s">
        <v>11</v>
      </c>
      <c r="C287" s="32"/>
      <c r="D287" s="32"/>
      <c r="E287" s="19" t="n">
        <f aca="false">+IF(C287="EQUIPO",F287,0)</f>
        <v>0</v>
      </c>
      <c r="F287" s="33" t="n">
        <v>0</v>
      </c>
      <c r="G287" s="62"/>
      <c r="H287" s="35" t="n">
        <v>0</v>
      </c>
      <c r="I287" s="34" t="n">
        <f aca="false">+IF(E287=0,0,E287*0.03)</f>
        <v>0</v>
      </c>
    </row>
    <row r="288" customFormat="false" ht="15.75" hidden="false" customHeight="true" outlineLevel="0" collapsed="false">
      <c r="A288" s="30" t="n">
        <v>45323</v>
      </c>
      <c r="B288" s="31" t="s">
        <v>11</v>
      </c>
      <c r="C288" s="32"/>
      <c r="D288" s="32"/>
      <c r="E288" s="19" t="n">
        <f aca="false">+IF(C288="EQUIPO",F288,0)</f>
        <v>0</v>
      </c>
      <c r="F288" s="33" t="n">
        <v>0</v>
      </c>
      <c r="G288" s="62"/>
      <c r="H288" s="35" t="n">
        <v>0</v>
      </c>
      <c r="I288" s="34" t="n">
        <f aca="false">+IF(E288=0,0,E288*0.03)</f>
        <v>0</v>
      </c>
    </row>
    <row r="289" customFormat="false" ht="15.75" hidden="false" customHeight="true" outlineLevel="0" collapsed="false">
      <c r="A289" s="30" t="n">
        <v>45323</v>
      </c>
      <c r="B289" s="31" t="s">
        <v>11</v>
      </c>
      <c r="C289" s="32"/>
      <c r="D289" s="32"/>
      <c r="E289" s="19" t="n">
        <f aca="false">+IF(C289="EQUIPO",F289,0)</f>
        <v>0</v>
      </c>
      <c r="F289" s="33" t="n">
        <v>0</v>
      </c>
      <c r="G289" s="62"/>
      <c r="H289" s="35" t="n">
        <v>0</v>
      </c>
      <c r="I289" s="34" t="n">
        <f aca="false">+IF(E289=0,0,E289*0.03)</f>
        <v>0</v>
      </c>
    </row>
    <row r="290" customFormat="false" ht="15.75" hidden="false" customHeight="true" outlineLevel="0" collapsed="false">
      <c r="A290" s="30" t="n">
        <v>45323</v>
      </c>
      <c r="B290" s="31" t="s">
        <v>11</v>
      </c>
      <c r="C290" s="32"/>
      <c r="D290" s="32"/>
      <c r="E290" s="19" t="n">
        <f aca="false">+IF(C290="EQUIPO",F290,0)</f>
        <v>0</v>
      </c>
      <c r="F290" s="33" t="n">
        <v>0</v>
      </c>
      <c r="G290" s="62"/>
      <c r="H290" s="35" t="n">
        <v>0</v>
      </c>
      <c r="I290" s="34" t="n">
        <f aca="false">+IF(E290=0,0,E290*0.03)</f>
        <v>0</v>
      </c>
    </row>
    <row r="291" customFormat="false" ht="15.75" hidden="false" customHeight="true" outlineLevel="0" collapsed="false">
      <c r="A291" s="30" t="n">
        <v>45323</v>
      </c>
      <c r="B291" s="31" t="s">
        <v>11</v>
      </c>
      <c r="C291" s="32"/>
      <c r="D291" s="32"/>
      <c r="E291" s="19" t="n">
        <f aca="false">+IF(C291="EQUIPO",F291,0)</f>
        <v>0</v>
      </c>
      <c r="F291" s="33" t="n">
        <v>0</v>
      </c>
      <c r="G291" s="62"/>
      <c r="H291" s="35" t="n">
        <v>0</v>
      </c>
      <c r="I291" s="34" t="n">
        <f aca="false">+IF(E291=0,0,E291*0.03)</f>
        <v>0</v>
      </c>
    </row>
    <row r="292" customFormat="false" ht="15.75" hidden="false" customHeight="true" outlineLevel="0" collapsed="false">
      <c r="A292" s="30" t="n">
        <v>45323</v>
      </c>
      <c r="B292" s="31" t="s">
        <v>11</v>
      </c>
      <c r="C292" s="32"/>
      <c r="D292" s="32"/>
      <c r="E292" s="19" t="n">
        <f aca="false">+IF(C292="EQUIPO",F292,0)</f>
        <v>0</v>
      </c>
      <c r="F292" s="33" t="n">
        <v>0</v>
      </c>
      <c r="G292" s="62"/>
      <c r="H292" s="35" t="n">
        <v>0</v>
      </c>
      <c r="I292" s="34" t="n">
        <f aca="false">+IF(E292=0,0,E292*0.03)</f>
        <v>0</v>
      </c>
    </row>
    <row r="293" customFormat="false" ht="15.75" hidden="false" customHeight="true" outlineLevel="0" collapsed="false">
      <c r="A293" s="30" t="n">
        <v>45323</v>
      </c>
      <c r="B293" s="31" t="s">
        <v>11</v>
      </c>
      <c r="C293" s="32"/>
      <c r="D293" s="32"/>
      <c r="E293" s="19" t="n">
        <f aca="false">+IF(C293="EQUIPO",F293,0)</f>
        <v>0</v>
      </c>
      <c r="F293" s="33" t="n">
        <v>0</v>
      </c>
      <c r="G293" s="62"/>
      <c r="H293" s="35" t="n">
        <v>0</v>
      </c>
      <c r="I293" s="34" t="n">
        <f aca="false">+IF(E293=0,0,E293*0.03)</f>
        <v>0</v>
      </c>
    </row>
    <row r="294" customFormat="false" ht="15.75" hidden="false" customHeight="true" outlineLevel="0" collapsed="false">
      <c r="A294" s="30" t="n">
        <v>45323</v>
      </c>
      <c r="B294" s="31" t="s">
        <v>11</v>
      </c>
      <c r="C294" s="32"/>
      <c r="D294" s="32"/>
      <c r="E294" s="19" t="n">
        <f aca="false">+IF(C294="EQUIPO",F294,0)</f>
        <v>0</v>
      </c>
      <c r="F294" s="33" t="n">
        <v>0</v>
      </c>
      <c r="G294" s="62"/>
      <c r="H294" s="35" t="n">
        <v>0</v>
      </c>
      <c r="I294" s="34" t="n">
        <f aca="false">+IF(E294=0,0,E294*0.03)</f>
        <v>0</v>
      </c>
    </row>
    <row r="295" customFormat="false" ht="15.75" hidden="false" customHeight="true" outlineLevel="0" collapsed="false">
      <c r="A295" s="30" t="n">
        <v>45323</v>
      </c>
      <c r="B295" s="31" t="s">
        <v>11</v>
      </c>
      <c r="C295" s="32"/>
      <c r="D295" s="32"/>
      <c r="E295" s="19" t="n">
        <f aca="false">+IF(C295="EQUIPO",F295,0)</f>
        <v>0</v>
      </c>
      <c r="F295" s="33" t="n">
        <v>0</v>
      </c>
      <c r="G295" s="62"/>
      <c r="H295" s="35" t="n">
        <v>0</v>
      </c>
      <c r="I295" s="34" t="n">
        <f aca="false">+IF(E295=0,0,E295*0.03)</f>
        <v>0</v>
      </c>
    </row>
    <row r="296" customFormat="false" ht="15.75" hidden="false" customHeight="true" outlineLevel="0" collapsed="false">
      <c r="A296" s="30" t="n">
        <v>45323</v>
      </c>
      <c r="B296" s="31" t="s">
        <v>11</v>
      </c>
      <c r="C296" s="32"/>
      <c r="D296" s="32"/>
      <c r="E296" s="19" t="n">
        <f aca="false">+IF(C296="EQUIPO",F296,0)</f>
        <v>0</v>
      </c>
      <c r="F296" s="33" t="n">
        <v>0</v>
      </c>
      <c r="G296" s="62"/>
      <c r="H296" s="35" t="n">
        <v>0</v>
      </c>
      <c r="I296" s="34" t="n">
        <f aca="false">+IF(E296=0,0,E296*0.03)</f>
        <v>0</v>
      </c>
    </row>
    <row r="297" customFormat="false" ht="15.75" hidden="false" customHeight="true" outlineLevel="0" collapsed="false">
      <c r="A297" s="30" t="n">
        <v>45323</v>
      </c>
      <c r="B297" s="31" t="s">
        <v>11</v>
      </c>
      <c r="C297" s="32"/>
      <c r="D297" s="32"/>
      <c r="E297" s="19" t="n">
        <f aca="false">+IF(C297="EQUIPO",F297,0)</f>
        <v>0</v>
      </c>
      <c r="F297" s="33" t="n">
        <v>0</v>
      </c>
      <c r="G297" s="62"/>
      <c r="H297" s="35" t="n">
        <v>0</v>
      </c>
      <c r="I297" s="34" t="n">
        <f aca="false">+IF(E297=0,0,E297*0.03)</f>
        <v>0</v>
      </c>
    </row>
    <row r="298" customFormat="false" ht="15.75" hidden="false" customHeight="true" outlineLevel="0" collapsed="false">
      <c r="A298" s="30" t="n">
        <v>45323</v>
      </c>
      <c r="B298" s="31" t="s">
        <v>11</v>
      </c>
      <c r="C298" s="32"/>
      <c r="D298" s="32"/>
      <c r="E298" s="19" t="n">
        <f aca="false">+IF(C298="EQUIPO",F298,0)</f>
        <v>0</v>
      </c>
      <c r="F298" s="33" t="n">
        <v>0</v>
      </c>
      <c r="G298" s="62"/>
      <c r="H298" s="35" t="n">
        <v>0</v>
      </c>
      <c r="I298" s="34" t="n">
        <f aca="false">+IF(E298=0,0,E298*0.03)</f>
        <v>0</v>
      </c>
    </row>
    <row r="299" customFormat="false" ht="15.75" hidden="false" customHeight="true" outlineLevel="0" collapsed="false">
      <c r="A299" s="30" t="n">
        <v>45323</v>
      </c>
      <c r="B299" s="31" t="s">
        <v>11</v>
      </c>
      <c r="C299" s="32"/>
      <c r="D299" s="32"/>
      <c r="E299" s="19" t="n">
        <f aca="false">+IF(C299="EQUIPO",F299,0)</f>
        <v>0</v>
      </c>
      <c r="F299" s="33" t="n">
        <v>0</v>
      </c>
      <c r="G299" s="62"/>
      <c r="H299" s="35" t="n">
        <v>0</v>
      </c>
      <c r="I299" s="34" t="n">
        <f aca="false">+IF(E299=0,0,E299*0.03)</f>
        <v>0</v>
      </c>
    </row>
    <row r="300" customFormat="false" ht="15.75" hidden="false" customHeight="true" outlineLevel="0" collapsed="false">
      <c r="A300" s="30" t="n">
        <v>45323</v>
      </c>
      <c r="B300" s="31" t="s">
        <v>11</v>
      </c>
      <c r="C300" s="32"/>
      <c r="D300" s="32"/>
      <c r="E300" s="19" t="n">
        <f aca="false">+IF(C300="EQUIPO",F300,0)</f>
        <v>0</v>
      </c>
      <c r="F300" s="33" t="n">
        <v>0</v>
      </c>
      <c r="G300" s="62"/>
      <c r="H300" s="35" t="n">
        <v>0</v>
      </c>
      <c r="I300" s="34" t="n">
        <f aca="false">+IF(E300=0,0,E300*0.03)</f>
        <v>0</v>
      </c>
    </row>
    <row r="301" customFormat="false" ht="15.75" hidden="false" customHeight="true" outlineLevel="0" collapsed="false">
      <c r="A301" s="30" t="n">
        <v>45323</v>
      </c>
      <c r="B301" s="31" t="s">
        <v>11</v>
      </c>
      <c r="C301" s="32"/>
      <c r="D301" s="32"/>
      <c r="E301" s="19" t="n">
        <f aca="false">+IF(C301="EQUIPO",F301,0)</f>
        <v>0</v>
      </c>
      <c r="F301" s="33" t="n">
        <v>0</v>
      </c>
      <c r="G301" s="62"/>
      <c r="H301" s="35" t="n">
        <v>0</v>
      </c>
      <c r="I301" s="34" t="n">
        <f aca="false">+IF(E301=0,0,E301*0.03)</f>
        <v>0</v>
      </c>
    </row>
    <row r="302" customFormat="false" ht="15.75" hidden="false" customHeight="true" outlineLevel="0" collapsed="false">
      <c r="A302" s="30" t="n">
        <v>45323</v>
      </c>
      <c r="B302" s="31" t="s">
        <v>11</v>
      </c>
      <c r="C302" s="32"/>
      <c r="D302" s="32"/>
      <c r="E302" s="19" t="n">
        <f aca="false">+IF(C302="EQUIPO",F302,0)</f>
        <v>0</v>
      </c>
      <c r="F302" s="33" t="n">
        <v>0</v>
      </c>
      <c r="G302" s="62"/>
      <c r="H302" s="35" t="n">
        <v>0</v>
      </c>
      <c r="I302" s="34" t="n">
        <f aca="false">+IF(E302=0,0,E302*0.03)</f>
        <v>0</v>
      </c>
    </row>
    <row r="303" customFormat="false" ht="15.75" hidden="false" customHeight="true" outlineLevel="0" collapsed="false">
      <c r="A303" s="30" t="n">
        <v>45323</v>
      </c>
      <c r="B303" s="31" t="s">
        <v>11</v>
      </c>
      <c r="C303" s="32"/>
      <c r="D303" s="32"/>
      <c r="E303" s="19" t="n">
        <f aca="false">+IF(C303="EQUIPO",F303,0)</f>
        <v>0</v>
      </c>
      <c r="F303" s="33" t="n">
        <v>0</v>
      </c>
      <c r="G303" s="62"/>
      <c r="H303" s="35" t="n">
        <v>0</v>
      </c>
      <c r="I303" s="34" t="n">
        <f aca="false">+IF(E303=0,0,E303*0.03)</f>
        <v>0</v>
      </c>
    </row>
    <row r="304" customFormat="false" ht="15.75" hidden="false" customHeight="true" outlineLevel="0" collapsed="false">
      <c r="A304" s="30" t="n">
        <v>45323</v>
      </c>
      <c r="B304" s="31" t="s">
        <v>11</v>
      </c>
      <c r="C304" s="32"/>
      <c r="D304" s="32"/>
      <c r="E304" s="19" t="n">
        <f aca="false">+IF(C304="EQUIPO",F304,0)</f>
        <v>0</v>
      </c>
      <c r="F304" s="33" t="n">
        <v>0</v>
      </c>
      <c r="G304" s="62"/>
      <c r="H304" s="35" t="n">
        <v>0</v>
      </c>
      <c r="I304" s="34" t="n">
        <f aca="false">+IF(E304=0,0,E304*0.03)</f>
        <v>0</v>
      </c>
    </row>
    <row r="305" customFormat="false" ht="15.75" hidden="false" customHeight="true" outlineLevel="0" collapsed="false">
      <c r="A305" s="30" t="n">
        <v>45323</v>
      </c>
      <c r="B305" s="31" t="s">
        <v>11</v>
      </c>
      <c r="C305" s="32"/>
      <c r="D305" s="32"/>
      <c r="E305" s="19" t="n">
        <f aca="false">+IF(C305="EQUIPO",F305,0)</f>
        <v>0</v>
      </c>
      <c r="F305" s="33" t="n">
        <v>0</v>
      </c>
      <c r="G305" s="62"/>
      <c r="H305" s="35" t="n">
        <v>0</v>
      </c>
      <c r="I305" s="34" t="n">
        <f aca="false">+IF(E305=0,0,E305*0.03)</f>
        <v>0</v>
      </c>
    </row>
    <row r="306" customFormat="false" ht="15.75" hidden="false" customHeight="true" outlineLevel="0" collapsed="false">
      <c r="A306" s="30" t="n">
        <v>45323</v>
      </c>
      <c r="B306" s="31" t="s">
        <v>11</v>
      </c>
      <c r="C306" s="32"/>
      <c r="D306" s="32"/>
      <c r="E306" s="19" t="n">
        <f aca="false">+IF(C306="EQUIPO",F306,0)</f>
        <v>0</v>
      </c>
      <c r="F306" s="33" t="n">
        <v>0</v>
      </c>
      <c r="G306" s="62"/>
      <c r="H306" s="35" t="n">
        <v>0</v>
      </c>
      <c r="I306" s="34" t="n">
        <f aca="false">+IF(E306=0,0,E306*0.03)</f>
        <v>0</v>
      </c>
    </row>
    <row r="307" customFormat="false" ht="15.75" hidden="false" customHeight="true" outlineLevel="0" collapsed="false">
      <c r="A307" s="30" t="n">
        <v>45323</v>
      </c>
      <c r="B307" s="31" t="s">
        <v>11</v>
      </c>
      <c r="C307" s="32"/>
      <c r="D307" s="32"/>
      <c r="E307" s="19" t="n">
        <f aca="false">+IF(C307="EQUIPO",F307,0)</f>
        <v>0</v>
      </c>
      <c r="F307" s="33" t="n">
        <v>0</v>
      </c>
      <c r="G307" s="62"/>
      <c r="H307" s="35" t="n">
        <v>0</v>
      </c>
      <c r="I307" s="34" t="n">
        <f aca="false">+IF(E307=0,0,E307*0.03)</f>
        <v>0</v>
      </c>
    </row>
    <row r="308" customFormat="false" ht="15.75" hidden="false" customHeight="true" outlineLevel="0" collapsed="false">
      <c r="A308" s="30" t="n">
        <v>45323</v>
      </c>
      <c r="B308" s="31" t="s">
        <v>11</v>
      </c>
      <c r="C308" s="32"/>
      <c r="D308" s="32"/>
      <c r="E308" s="19" t="n">
        <f aca="false">+IF(C308="EQUIPO",F308,0)</f>
        <v>0</v>
      </c>
      <c r="F308" s="33" t="n">
        <v>0</v>
      </c>
      <c r="G308" s="62"/>
      <c r="H308" s="35" t="n">
        <v>0</v>
      </c>
      <c r="I308" s="34" t="n">
        <f aca="false">+IF(E308=0,0,E308*0.03)</f>
        <v>0</v>
      </c>
    </row>
    <row r="309" customFormat="false" ht="15.75" hidden="false" customHeight="true" outlineLevel="0" collapsed="false">
      <c r="A309" s="30" t="n">
        <v>45323</v>
      </c>
      <c r="B309" s="31" t="s">
        <v>11</v>
      </c>
      <c r="C309" s="32"/>
      <c r="D309" s="32"/>
      <c r="E309" s="19" t="n">
        <f aca="false">+IF(C309="EQUIPO",F309,0)</f>
        <v>0</v>
      </c>
      <c r="F309" s="33" t="n">
        <v>0</v>
      </c>
      <c r="G309" s="62"/>
      <c r="H309" s="35" t="n">
        <v>0</v>
      </c>
      <c r="I309" s="34" t="n">
        <f aca="false">+IF(E309=0,0,E309*0.03)</f>
        <v>0</v>
      </c>
    </row>
    <row r="310" customFormat="false" ht="15.75" hidden="false" customHeight="true" outlineLevel="0" collapsed="false">
      <c r="A310" s="30" t="n">
        <v>45323</v>
      </c>
      <c r="B310" s="31" t="s">
        <v>11</v>
      </c>
      <c r="C310" s="32"/>
      <c r="D310" s="32"/>
      <c r="E310" s="19" t="n">
        <f aca="false">+IF(C310="EQUIPO",F310,0)</f>
        <v>0</v>
      </c>
      <c r="F310" s="33" t="n">
        <v>0</v>
      </c>
      <c r="G310" s="62"/>
      <c r="H310" s="35" t="n">
        <v>0</v>
      </c>
      <c r="I310" s="34" t="n">
        <f aca="false">+IF(E310=0,0,E310*0.03)</f>
        <v>0</v>
      </c>
    </row>
    <row r="311" customFormat="false" ht="15.75" hidden="false" customHeight="true" outlineLevel="0" collapsed="false">
      <c r="A311" s="30" t="n">
        <v>45323</v>
      </c>
      <c r="B311" s="31" t="s">
        <v>11</v>
      </c>
      <c r="C311" s="32"/>
      <c r="D311" s="32"/>
      <c r="E311" s="19" t="n">
        <f aca="false">+IF(C311="EQUIPO",F311,0)</f>
        <v>0</v>
      </c>
      <c r="F311" s="33" t="n">
        <v>0</v>
      </c>
      <c r="G311" s="62"/>
      <c r="H311" s="35" t="n">
        <v>0</v>
      </c>
      <c r="I311" s="34" t="n">
        <f aca="false">+IF(E311=0,0,E311*0.03)</f>
        <v>0</v>
      </c>
    </row>
    <row r="312" customFormat="false" ht="15.75" hidden="false" customHeight="true" outlineLevel="0" collapsed="false">
      <c r="A312" s="30" t="n">
        <v>45323</v>
      </c>
      <c r="B312" s="31" t="s">
        <v>11</v>
      </c>
      <c r="C312" s="32"/>
      <c r="D312" s="32"/>
      <c r="E312" s="19" t="n">
        <f aca="false">+IF(C312="EQUIPO",F312,0)</f>
        <v>0</v>
      </c>
      <c r="F312" s="33" t="n">
        <v>0</v>
      </c>
      <c r="G312" s="62"/>
      <c r="H312" s="35" t="n">
        <v>0</v>
      </c>
      <c r="I312" s="34" t="n">
        <f aca="false">+IF(E312=0,0,E312*0.03)</f>
        <v>0</v>
      </c>
    </row>
    <row r="313" customFormat="false" ht="15.75" hidden="false" customHeight="true" outlineLevel="0" collapsed="false">
      <c r="A313" s="30" t="n">
        <v>45323</v>
      </c>
      <c r="B313" s="31" t="s">
        <v>11</v>
      </c>
      <c r="C313" s="32"/>
      <c r="D313" s="32"/>
      <c r="E313" s="19" t="n">
        <f aca="false">+IF(C313="EQUIPO",F313,0)</f>
        <v>0</v>
      </c>
      <c r="F313" s="33" t="n">
        <v>0</v>
      </c>
      <c r="G313" s="62"/>
      <c r="H313" s="35" t="n">
        <v>0</v>
      </c>
      <c r="I313" s="34" t="n">
        <f aca="false">+IF(E313=0,0,E313*0.03)</f>
        <v>0</v>
      </c>
    </row>
    <row r="314" customFormat="false" ht="15.75" hidden="false" customHeight="true" outlineLevel="0" collapsed="false">
      <c r="A314" s="30" t="n">
        <v>45323</v>
      </c>
      <c r="B314" s="31" t="s">
        <v>11</v>
      </c>
      <c r="C314" s="32"/>
      <c r="D314" s="32"/>
      <c r="E314" s="19" t="n">
        <f aca="false">+IF(C314="EQUIPO",F314,0)</f>
        <v>0</v>
      </c>
      <c r="F314" s="33" t="n">
        <v>0</v>
      </c>
      <c r="G314" s="62"/>
      <c r="H314" s="35" t="n">
        <v>0</v>
      </c>
      <c r="I314" s="34" t="n">
        <f aca="false">+IF(E314=0,0,E314*0.03)</f>
        <v>0</v>
      </c>
    </row>
    <row r="315" customFormat="false" ht="15.75" hidden="false" customHeight="true" outlineLevel="0" collapsed="false">
      <c r="A315" s="30" t="n">
        <v>45323</v>
      </c>
      <c r="B315" s="31" t="s">
        <v>11</v>
      </c>
      <c r="C315" s="32"/>
      <c r="D315" s="32"/>
      <c r="E315" s="19" t="n">
        <f aca="false">+IF(C315="EQUIPO",F315,0)</f>
        <v>0</v>
      </c>
      <c r="F315" s="33" t="n">
        <v>0</v>
      </c>
      <c r="G315" s="62"/>
      <c r="H315" s="35" t="n">
        <v>0</v>
      </c>
      <c r="I315" s="34" t="n">
        <f aca="false">+IF(E315=0,0,E315*0.03)</f>
        <v>0</v>
      </c>
    </row>
    <row r="316" customFormat="false" ht="15.75" hidden="false" customHeight="true" outlineLevel="0" collapsed="false">
      <c r="A316" s="30" t="n">
        <v>45323</v>
      </c>
      <c r="B316" s="31" t="s">
        <v>11</v>
      </c>
      <c r="C316" s="32"/>
      <c r="D316" s="32"/>
      <c r="E316" s="19" t="n">
        <f aca="false">+IF(C316="EQUIPO",F316,0)</f>
        <v>0</v>
      </c>
      <c r="F316" s="33" t="n">
        <v>0</v>
      </c>
      <c r="G316" s="62"/>
      <c r="H316" s="35" t="n">
        <v>0</v>
      </c>
      <c r="I316" s="34" t="n">
        <f aca="false">+IF(E316=0,0,E316*0.03)</f>
        <v>0</v>
      </c>
    </row>
    <row r="317" customFormat="false" ht="15.75" hidden="false" customHeight="true" outlineLevel="0" collapsed="false">
      <c r="A317" s="30" t="n">
        <v>45323</v>
      </c>
      <c r="B317" s="31" t="s">
        <v>11</v>
      </c>
      <c r="C317" s="32"/>
      <c r="D317" s="32"/>
      <c r="E317" s="19" t="n">
        <f aca="false">+IF(C317="EQUIPO",F317,0)</f>
        <v>0</v>
      </c>
      <c r="F317" s="33" t="n">
        <v>0</v>
      </c>
      <c r="G317" s="62"/>
      <c r="H317" s="35" t="n">
        <v>0</v>
      </c>
      <c r="I317" s="34" t="n">
        <f aca="false">+IF(E317=0,0,E317*0.03)</f>
        <v>0</v>
      </c>
    </row>
    <row r="318" customFormat="false" ht="15.75" hidden="false" customHeight="true" outlineLevel="0" collapsed="false">
      <c r="A318" s="30" t="n">
        <v>45323</v>
      </c>
      <c r="B318" s="31" t="s">
        <v>11</v>
      </c>
      <c r="C318" s="32"/>
      <c r="D318" s="32"/>
      <c r="E318" s="19" t="n">
        <f aca="false">+IF(C318="EQUIPO",F318,0)</f>
        <v>0</v>
      </c>
      <c r="F318" s="33" t="n">
        <v>0</v>
      </c>
      <c r="G318" s="62"/>
      <c r="H318" s="35" t="n">
        <v>0</v>
      </c>
      <c r="I318" s="34" t="n">
        <f aca="false">+IF(E318=0,0,E318*0.03)</f>
        <v>0</v>
      </c>
    </row>
    <row r="319" customFormat="false" ht="15.75" hidden="false" customHeight="true" outlineLevel="0" collapsed="false">
      <c r="A319" s="30" t="n">
        <v>45323</v>
      </c>
      <c r="B319" s="31" t="s">
        <v>11</v>
      </c>
      <c r="C319" s="32"/>
      <c r="D319" s="32"/>
      <c r="E319" s="19" t="n">
        <f aca="false">+IF(C319="EQUIPO",F319,0)</f>
        <v>0</v>
      </c>
      <c r="F319" s="33" t="n">
        <v>0</v>
      </c>
      <c r="G319" s="62"/>
      <c r="H319" s="35" t="n">
        <v>0</v>
      </c>
      <c r="I319" s="34" t="n">
        <f aca="false">+IF(E319=0,0,E319*0.03)</f>
        <v>0</v>
      </c>
    </row>
    <row r="320" customFormat="false" ht="15.75" hidden="false" customHeight="true" outlineLevel="0" collapsed="false">
      <c r="A320" s="30" t="n">
        <v>45323</v>
      </c>
      <c r="B320" s="31" t="s">
        <v>11</v>
      </c>
      <c r="C320" s="32"/>
      <c r="D320" s="32"/>
      <c r="E320" s="19" t="n">
        <f aca="false">+IF(C320="EQUIPO",F320,0)</f>
        <v>0</v>
      </c>
      <c r="F320" s="33" t="n">
        <v>0</v>
      </c>
      <c r="G320" s="62"/>
      <c r="H320" s="35" t="n">
        <v>0</v>
      </c>
      <c r="I320" s="34" t="n">
        <f aca="false">+IF(E320=0,0,E320*0.03)</f>
        <v>0</v>
      </c>
    </row>
    <row r="321" customFormat="false" ht="15.75" hidden="false" customHeight="true" outlineLevel="0" collapsed="false">
      <c r="A321" s="30" t="n">
        <v>45323</v>
      </c>
      <c r="B321" s="31" t="s">
        <v>11</v>
      </c>
      <c r="C321" s="32"/>
      <c r="D321" s="32"/>
      <c r="E321" s="19" t="n">
        <f aca="false">+IF(C321="EQUIPO",F321,0)</f>
        <v>0</v>
      </c>
      <c r="F321" s="33" t="n">
        <v>0</v>
      </c>
      <c r="G321" s="62"/>
      <c r="H321" s="35" t="n">
        <v>0</v>
      </c>
      <c r="I321" s="34" t="n">
        <f aca="false">+IF(E321=0,0,E321*0.03)</f>
        <v>0</v>
      </c>
    </row>
    <row r="322" customFormat="false" ht="15.75" hidden="false" customHeight="true" outlineLevel="0" collapsed="false">
      <c r="A322" s="30" t="n">
        <v>45323</v>
      </c>
      <c r="B322" s="31" t="s">
        <v>11</v>
      </c>
      <c r="C322" s="32"/>
      <c r="D322" s="32"/>
      <c r="E322" s="19" t="n">
        <f aca="false">+IF(C322="EQUIPO",F322,0)</f>
        <v>0</v>
      </c>
      <c r="F322" s="33" t="n">
        <v>0</v>
      </c>
      <c r="G322" s="62"/>
      <c r="H322" s="35" t="n">
        <v>0</v>
      </c>
      <c r="I322" s="34" t="n">
        <f aca="false">+IF(E322=0,0,E322*0.03)</f>
        <v>0</v>
      </c>
    </row>
    <row r="323" customFormat="false" ht="15.75" hidden="false" customHeight="true" outlineLevel="0" collapsed="false">
      <c r="A323" s="30" t="n">
        <v>45323</v>
      </c>
      <c r="B323" s="31" t="s">
        <v>11</v>
      </c>
      <c r="C323" s="32"/>
      <c r="D323" s="32"/>
      <c r="E323" s="19" t="n">
        <f aca="false">+IF(C323="EQUIPO",F323,0)</f>
        <v>0</v>
      </c>
      <c r="F323" s="33" t="n">
        <v>0</v>
      </c>
      <c r="G323" s="62"/>
      <c r="H323" s="35" t="n">
        <v>0</v>
      </c>
      <c r="I323" s="34" t="n">
        <f aca="false">+IF(E323=0,0,E323*0.03)</f>
        <v>0</v>
      </c>
    </row>
    <row r="324" customFormat="false" ht="15.75" hidden="false" customHeight="true" outlineLevel="0" collapsed="false">
      <c r="A324" s="30" t="n">
        <v>45323</v>
      </c>
      <c r="B324" s="31" t="s">
        <v>11</v>
      </c>
      <c r="C324" s="32"/>
      <c r="D324" s="32"/>
      <c r="E324" s="19" t="n">
        <f aca="false">+IF(C324="EQUIPO",F324,0)</f>
        <v>0</v>
      </c>
      <c r="F324" s="33" t="n">
        <v>0</v>
      </c>
      <c r="G324" s="62"/>
      <c r="H324" s="35" t="n">
        <v>0</v>
      </c>
      <c r="I324" s="34" t="n">
        <f aca="false">+IF(E324=0,0,E324*0.03)</f>
        <v>0</v>
      </c>
    </row>
    <row r="325" customFormat="false" ht="15.75" hidden="false" customHeight="true" outlineLevel="0" collapsed="false">
      <c r="A325" s="30" t="n">
        <v>45323</v>
      </c>
      <c r="B325" s="31" t="s">
        <v>11</v>
      </c>
      <c r="C325" s="32"/>
      <c r="D325" s="32"/>
      <c r="E325" s="19" t="n">
        <f aca="false">+IF(C325="EQUIPO",F325,0)</f>
        <v>0</v>
      </c>
      <c r="F325" s="33" t="n">
        <v>0</v>
      </c>
      <c r="G325" s="62"/>
      <c r="H325" s="35" t="n">
        <v>0</v>
      </c>
      <c r="I325" s="34" t="n">
        <f aca="false">+IF(E325=0,0,E325*0.03)</f>
        <v>0</v>
      </c>
    </row>
    <row r="326" customFormat="false" ht="15.75" hidden="false" customHeight="true" outlineLevel="0" collapsed="false">
      <c r="A326" s="30" t="n">
        <v>45323</v>
      </c>
      <c r="B326" s="31" t="s">
        <v>11</v>
      </c>
      <c r="C326" s="32"/>
      <c r="D326" s="32"/>
      <c r="E326" s="19" t="n">
        <f aca="false">+IF(C326="EQUIPO",F326,0)</f>
        <v>0</v>
      </c>
      <c r="F326" s="33" t="n">
        <v>0</v>
      </c>
      <c r="G326" s="62"/>
      <c r="H326" s="35" t="n">
        <v>0</v>
      </c>
      <c r="I326" s="34" t="n">
        <f aca="false">+IF(E326=0,0,E326*0.03)</f>
        <v>0</v>
      </c>
    </row>
    <row r="327" customFormat="false" ht="15.75" hidden="false" customHeight="true" outlineLevel="0" collapsed="false">
      <c r="A327" s="30" t="n">
        <v>45323</v>
      </c>
      <c r="B327" s="31" t="s">
        <v>11</v>
      </c>
      <c r="C327" s="32"/>
      <c r="D327" s="32"/>
      <c r="E327" s="19" t="n">
        <f aca="false">+IF(C327="EQUIPO",F327,0)</f>
        <v>0</v>
      </c>
      <c r="F327" s="33" t="n">
        <v>0</v>
      </c>
      <c r="G327" s="62"/>
      <c r="H327" s="35" t="n">
        <v>0</v>
      </c>
      <c r="I327" s="34" t="n">
        <f aca="false">+IF(E327=0,0,E327*0.03)</f>
        <v>0</v>
      </c>
    </row>
    <row r="328" customFormat="false" ht="15.75" hidden="false" customHeight="true" outlineLevel="0" collapsed="false">
      <c r="A328" s="30" t="n">
        <v>45323</v>
      </c>
      <c r="B328" s="31" t="s">
        <v>11</v>
      </c>
      <c r="C328" s="32"/>
      <c r="D328" s="32"/>
      <c r="E328" s="19" t="n">
        <f aca="false">+IF(C328="EQUIPO",F328,0)</f>
        <v>0</v>
      </c>
      <c r="F328" s="33" t="n">
        <v>0</v>
      </c>
      <c r="G328" s="62"/>
      <c r="H328" s="35" t="n">
        <v>0</v>
      </c>
      <c r="I328" s="34" t="n">
        <f aca="false">+IF(E328=0,0,E328*0.03)</f>
        <v>0</v>
      </c>
    </row>
    <row r="329" customFormat="false" ht="15.75" hidden="false" customHeight="true" outlineLevel="0" collapsed="false">
      <c r="A329" s="30" t="n">
        <v>45323</v>
      </c>
      <c r="B329" s="31" t="s">
        <v>11</v>
      </c>
      <c r="C329" s="32"/>
      <c r="D329" s="32"/>
      <c r="E329" s="19" t="n">
        <f aca="false">+IF(C329="EQUIPO",F329,0)</f>
        <v>0</v>
      </c>
      <c r="F329" s="33" t="n">
        <v>0</v>
      </c>
      <c r="G329" s="62"/>
      <c r="H329" s="35" t="n">
        <v>0</v>
      </c>
      <c r="I329" s="34" t="n">
        <f aca="false">+IF(E329=0,0,E329*0.03)</f>
        <v>0</v>
      </c>
    </row>
    <row r="330" customFormat="false" ht="15.75" hidden="false" customHeight="true" outlineLevel="0" collapsed="false">
      <c r="A330" s="30" t="n">
        <v>45323</v>
      </c>
      <c r="B330" s="31" t="s">
        <v>11</v>
      </c>
      <c r="C330" s="32"/>
      <c r="D330" s="32"/>
      <c r="E330" s="19" t="n">
        <f aca="false">+IF(C330="EQUIPO",F330,0)</f>
        <v>0</v>
      </c>
      <c r="F330" s="33" t="n">
        <v>0</v>
      </c>
      <c r="G330" s="62"/>
      <c r="H330" s="35" t="n">
        <v>0</v>
      </c>
      <c r="I330" s="34" t="n">
        <f aca="false">+IF(E330=0,0,E330*0.03)</f>
        <v>0</v>
      </c>
    </row>
    <row r="331" customFormat="false" ht="15.75" hidden="false" customHeight="true" outlineLevel="0" collapsed="false">
      <c r="A331" s="30" t="n">
        <v>45323</v>
      </c>
      <c r="B331" s="31" t="s">
        <v>11</v>
      </c>
      <c r="C331" s="32"/>
      <c r="D331" s="32"/>
      <c r="E331" s="19" t="n">
        <f aca="false">+IF(C331="EQUIPO",F331,0)</f>
        <v>0</v>
      </c>
      <c r="F331" s="33" t="n">
        <v>0</v>
      </c>
      <c r="G331" s="62"/>
      <c r="H331" s="35" t="n">
        <v>0</v>
      </c>
      <c r="I331" s="34" t="n">
        <f aca="false">+IF(E331=0,0,E331*0.03)</f>
        <v>0</v>
      </c>
    </row>
    <row r="332" customFormat="false" ht="15.75" hidden="false" customHeight="true" outlineLevel="0" collapsed="false">
      <c r="A332" s="30" t="n">
        <v>45323</v>
      </c>
      <c r="B332" s="31" t="s">
        <v>11</v>
      </c>
      <c r="C332" s="32"/>
      <c r="D332" s="32"/>
      <c r="E332" s="19" t="n">
        <f aca="false">+IF(C332="EQUIPO",F332,0)</f>
        <v>0</v>
      </c>
      <c r="F332" s="33" t="n">
        <v>0</v>
      </c>
      <c r="G332" s="62"/>
      <c r="H332" s="35" t="n">
        <v>0</v>
      </c>
      <c r="I332" s="34" t="n">
        <f aca="false">+IF(E332=0,0,E332*0.03)</f>
        <v>0</v>
      </c>
    </row>
    <row r="333" customFormat="false" ht="15.75" hidden="false" customHeight="true" outlineLevel="0" collapsed="false">
      <c r="A333" s="30" t="n">
        <v>45323</v>
      </c>
      <c r="B333" s="31" t="s">
        <v>11</v>
      </c>
      <c r="C333" s="32"/>
      <c r="D333" s="32"/>
      <c r="E333" s="19" t="n">
        <f aca="false">+IF(C333="EQUIPO",F333,0)</f>
        <v>0</v>
      </c>
      <c r="F333" s="33" t="n">
        <v>0</v>
      </c>
      <c r="G333" s="62"/>
      <c r="H333" s="35" t="n">
        <v>0</v>
      </c>
      <c r="I333" s="34" t="n">
        <f aca="false">+IF(E333=0,0,E333*0.03)</f>
        <v>0</v>
      </c>
    </row>
    <row r="334" customFormat="false" ht="15.75" hidden="false" customHeight="true" outlineLevel="0" collapsed="false">
      <c r="A334" s="30" t="n">
        <v>45323</v>
      </c>
      <c r="B334" s="31" t="s">
        <v>11</v>
      </c>
      <c r="C334" s="32"/>
      <c r="D334" s="32"/>
      <c r="E334" s="19" t="n">
        <f aca="false">+IF(C334="EQUIPO",F334,0)</f>
        <v>0</v>
      </c>
      <c r="F334" s="33" t="n">
        <v>0</v>
      </c>
      <c r="G334" s="62"/>
      <c r="H334" s="35" t="n">
        <v>0</v>
      </c>
      <c r="I334" s="34" t="n">
        <f aca="false">+IF(E334=0,0,E334*0.03)</f>
        <v>0</v>
      </c>
    </row>
    <row r="335" customFormat="false" ht="15.75" hidden="false" customHeight="true" outlineLevel="0" collapsed="false">
      <c r="A335" s="30" t="n">
        <v>45323</v>
      </c>
      <c r="B335" s="31" t="s">
        <v>11</v>
      </c>
      <c r="C335" s="32"/>
      <c r="D335" s="32"/>
      <c r="E335" s="19" t="n">
        <f aca="false">+IF(C335="EQUIPO",F335,0)</f>
        <v>0</v>
      </c>
      <c r="F335" s="33" t="n">
        <v>0</v>
      </c>
      <c r="G335" s="62"/>
      <c r="H335" s="35" t="n">
        <v>0</v>
      </c>
      <c r="I335" s="34" t="n">
        <f aca="false">+IF(E335=0,0,E335*0.03)</f>
        <v>0</v>
      </c>
    </row>
    <row r="336" customFormat="false" ht="15.75" hidden="false" customHeight="true" outlineLevel="0" collapsed="false">
      <c r="A336" s="30" t="n">
        <v>45323</v>
      </c>
      <c r="B336" s="31" t="s">
        <v>11</v>
      </c>
      <c r="C336" s="32"/>
      <c r="D336" s="32"/>
      <c r="E336" s="19" t="n">
        <f aca="false">+IF(C336="EQUIPO",F336,0)</f>
        <v>0</v>
      </c>
      <c r="F336" s="33" t="n">
        <v>0</v>
      </c>
      <c r="G336" s="62"/>
      <c r="H336" s="35" t="n">
        <v>0</v>
      </c>
      <c r="I336" s="34" t="n">
        <f aca="false">+IF(E336=0,0,E336*0.03)</f>
        <v>0</v>
      </c>
    </row>
    <row r="337" customFormat="false" ht="15.75" hidden="false" customHeight="true" outlineLevel="0" collapsed="false">
      <c r="A337" s="30" t="n">
        <v>45323</v>
      </c>
      <c r="B337" s="31" t="s">
        <v>11</v>
      </c>
      <c r="C337" s="32"/>
      <c r="D337" s="32"/>
      <c r="E337" s="19" t="n">
        <f aca="false">+IF(C337="EQUIPO",F337,0)</f>
        <v>0</v>
      </c>
      <c r="F337" s="33" t="n">
        <v>0</v>
      </c>
      <c r="G337" s="62"/>
      <c r="H337" s="35" t="n">
        <v>0</v>
      </c>
      <c r="I337" s="34" t="n">
        <f aca="false">+IF(E337=0,0,E337*0.03)</f>
        <v>0</v>
      </c>
    </row>
    <row r="338" customFormat="false" ht="15.75" hidden="false" customHeight="true" outlineLevel="0" collapsed="false">
      <c r="A338" s="30" t="n">
        <v>45323</v>
      </c>
      <c r="B338" s="31" t="s">
        <v>11</v>
      </c>
      <c r="C338" s="32"/>
      <c r="D338" s="32"/>
      <c r="E338" s="19" t="n">
        <f aca="false">+IF(C338="EQUIPO",F338,0)</f>
        <v>0</v>
      </c>
      <c r="F338" s="33" t="n">
        <v>0</v>
      </c>
      <c r="G338" s="62"/>
      <c r="H338" s="35" t="n">
        <v>0</v>
      </c>
      <c r="I338" s="34" t="n">
        <f aca="false">+IF(E338=0,0,E338*0.03)</f>
        <v>0</v>
      </c>
    </row>
    <row r="339" customFormat="false" ht="15.75" hidden="false" customHeight="true" outlineLevel="0" collapsed="false">
      <c r="A339" s="30" t="n">
        <v>45323</v>
      </c>
      <c r="B339" s="31" t="s">
        <v>11</v>
      </c>
      <c r="C339" s="32"/>
      <c r="D339" s="32"/>
      <c r="E339" s="19" t="n">
        <f aca="false">+IF(C339="EQUIPO",F339,0)</f>
        <v>0</v>
      </c>
      <c r="F339" s="33" t="n">
        <v>0</v>
      </c>
      <c r="G339" s="62"/>
      <c r="H339" s="35" t="n">
        <v>0</v>
      </c>
      <c r="I339" s="34" t="n">
        <f aca="false">+IF(E339=0,0,E339*0.03)</f>
        <v>0</v>
      </c>
    </row>
    <row r="340" customFormat="false" ht="15.75" hidden="false" customHeight="true" outlineLevel="0" collapsed="false">
      <c r="A340" s="30" t="n">
        <v>45323</v>
      </c>
      <c r="B340" s="31" t="s">
        <v>11</v>
      </c>
      <c r="C340" s="32"/>
      <c r="D340" s="32"/>
      <c r="E340" s="19" t="n">
        <f aca="false">+IF(C340="EQUIPO",F340,0)</f>
        <v>0</v>
      </c>
      <c r="F340" s="33" t="n">
        <v>0</v>
      </c>
      <c r="G340" s="62"/>
      <c r="H340" s="35" t="n">
        <v>0</v>
      </c>
      <c r="I340" s="34" t="n">
        <f aca="false">+IF(E340=0,0,E340*0.03)</f>
        <v>0</v>
      </c>
    </row>
    <row r="341" customFormat="false" ht="15.75" hidden="false" customHeight="true" outlineLevel="0" collapsed="false">
      <c r="A341" s="30" t="n">
        <v>45323</v>
      </c>
      <c r="B341" s="31" t="s">
        <v>11</v>
      </c>
      <c r="C341" s="32"/>
      <c r="D341" s="32"/>
      <c r="E341" s="19" t="n">
        <f aca="false">+IF(C341="EQUIPO",F341,0)</f>
        <v>0</v>
      </c>
      <c r="F341" s="33" t="n">
        <v>0</v>
      </c>
      <c r="G341" s="62"/>
      <c r="H341" s="35" t="n">
        <v>0</v>
      </c>
      <c r="I341" s="34" t="n">
        <f aca="false">+IF(E341=0,0,E341*0.03)</f>
        <v>0</v>
      </c>
    </row>
    <row r="342" customFormat="false" ht="15.75" hidden="false" customHeight="true" outlineLevel="0" collapsed="false">
      <c r="A342" s="30" t="n">
        <v>45323</v>
      </c>
      <c r="B342" s="31" t="s">
        <v>11</v>
      </c>
      <c r="C342" s="32"/>
      <c r="D342" s="32"/>
      <c r="E342" s="19" t="n">
        <f aca="false">+IF(C342="EQUIPO",F342,0)</f>
        <v>0</v>
      </c>
      <c r="F342" s="33" t="n">
        <v>0</v>
      </c>
      <c r="G342" s="62"/>
      <c r="H342" s="35" t="n">
        <v>0</v>
      </c>
      <c r="I342" s="34" t="n">
        <f aca="false">+IF(E342=0,0,E342*0.03)</f>
        <v>0</v>
      </c>
    </row>
    <row r="343" customFormat="false" ht="15.75" hidden="false" customHeight="true" outlineLevel="0" collapsed="false">
      <c r="A343" s="30" t="n">
        <v>45323</v>
      </c>
      <c r="B343" s="31" t="s">
        <v>11</v>
      </c>
      <c r="C343" s="32"/>
      <c r="D343" s="32"/>
      <c r="E343" s="19" t="n">
        <f aca="false">+IF(C343="EQUIPO",F343,0)</f>
        <v>0</v>
      </c>
      <c r="F343" s="33" t="n">
        <v>0</v>
      </c>
      <c r="G343" s="62"/>
      <c r="H343" s="35" t="n">
        <v>0</v>
      </c>
      <c r="I343" s="34" t="n">
        <f aca="false">+IF(E343=0,0,E343*0.03)</f>
        <v>0</v>
      </c>
    </row>
    <row r="344" customFormat="false" ht="15.75" hidden="false" customHeight="true" outlineLevel="0" collapsed="false">
      <c r="A344" s="30" t="n">
        <v>45323</v>
      </c>
      <c r="B344" s="31" t="s">
        <v>11</v>
      </c>
      <c r="C344" s="32"/>
      <c r="D344" s="32"/>
      <c r="E344" s="19" t="n">
        <f aca="false">+IF(C344="EQUIPO",F344,0)</f>
        <v>0</v>
      </c>
      <c r="F344" s="33" t="n">
        <v>0</v>
      </c>
      <c r="G344" s="62"/>
      <c r="H344" s="35" t="n">
        <v>0</v>
      </c>
      <c r="I344" s="34" t="n">
        <f aca="false">+IF(E344=0,0,E344*0.03)</f>
        <v>0</v>
      </c>
    </row>
    <row r="345" customFormat="false" ht="15.75" hidden="false" customHeight="true" outlineLevel="0" collapsed="false">
      <c r="A345" s="30" t="n">
        <v>45323</v>
      </c>
      <c r="B345" s="31" t="s">
        <v>11</v>
      </c>
      <c r="C345" s="32"/>
      <c r="D345" s="32"/>
      <c r="E345" s="19" t="n">
        <f aca="false">+IF(C345="EQUIPO",F345,0)</f>
        <v>0</v>
      </c>
      <c r="F345" s="33" t="n">
        <v>0</v>
      </c>
      <c r="G345" s="62"/>
      <c r="H345" s="35" t="n">
        <v>0</v>
      </c>
      <c r="I345" s="34" t="n">
        <f aca="false">+IF(E345=0,0,E345*0.03)</f>
        <v>0</v>
      </c>
    </row>
    <row r="346" customFormat="false" ht="15.75" hidden="false" customHeight="true" outlineLevel="0" collapsed="false">
      <c r="A346" s="30" t="n">
        <v>45323</v>
      </c>
      <c r="B346" s="31" t="s">
        <v>11</v>
      </c>
      <c r="C346" s="32"/>
      <c r="D346" s="32"/>
      <c r="E346" s="19" t="n">
        <f aca="false">+IF(C346="EQUIPO",F346,0)</f>
        <v>0</v>
      </c>
      <c r="F346" s="33" t="n">
        <v>0</v>
      </c>
      <c r="G346" s="62"/>
      <c r="H346" s="35" t="n">
        <v>0</v>
      </c>
      <c r="I346" s="34" t="n">
        <f aca="false">+IF(E346=0,0,E346*0.03)</f>
        <v>0</v>
      </c>
    </row>
    <row r="347" customFormat="false" ht="15.75" hidden="false" customHeight="true" outlineLevel="0" collapsed="false">
      <c r="A347" s="30" t="n">
        <v>45323</v>
      </c>
      <c r="B347" s="31" t="s">
        <v>11</v>
      </c>
      <c r="C347" s="32"/>
      <c r="D347" s="32"/>
      <c r="E347" s="19" t="n">
        <f aca="false">+IF(C347="EQUIPO",F347,0)</f>
        <v>0</v>
      </c>
      <c r="F347" s="33" t="n">
        <v>0</v>
      </c>
      <c r="G347" s="62"/>
      <c r="H347" s="35" t="n">
        <v>0</v>
      </c>
      <c r="I347" s="34" t="n">
        <f aca="false">+IF(E347=0,0,E347*0.03)</f>
        <v>0</v>
      </c>
    </row>
    <row r="348" customFormat="false" ht="15.75" hidden="false" customHeight="true" outlineLevel="0" collapsed="false">
      <c r="A348" s="30" t="n">
        <v>45323</v>
      </c>
      <c r="B348" s="31" t="s">
        <v>11</v>
      </c>
      <c r="C348" s="32"/>
      <c r="D348" s="32"/>
      <c r="E348" s="19" t="n">
        <f aca="false">+IF(C348="EQUIPO",F348,0)</f>
        <v>0</v>
      </c>
      <c r="F348" s="33" t="n">
        <v>0</v>
      </c>
      <c r="G348" s="62"/>
      <c r="H348" s="35" t="n">
        <v>0</v>
      </c>
      <c r="I348" s="34" t="n">
        <f aca="false">+IF(E348=0,0,E348*0.03)</f>
        <v>0</v>
      </c>
    </row>
    <row r="349" customFormat="false" ht="15.75" hidden="false" customHeight="true" outlineLevel="0" collapsed="false">
      <c r="A349" s="30" t="n">
        <v>45323</v>
      </c>
      <c r="B349" s="31" t="s">
        <v>11</v>
      </c>
      <c r="C349" s="32"/>
      <c r="D349" s="32"/>
      <c r="E349" s="19" t="n">
        <f aca="false">+IF(C349="EQUIPO",F349,0)</f>
        <v>0</v>
      </c>
      <c r="F349" s="33" t="n">
        <v>0</v>
      </c>
      <c r="G349" s="62"/>
      <c r="H349" s="35" t="n">
        <v>0</v>
      </c>
      <c r="I349" s="34" t="n">
        <f aca="false">+IF(E349=0,0,E349*0.03)</f>
        <v>0</v>
      </c>
    </row>
    <row r="350" customFormat="false" ht="15.75" hidden="false" customHeight="true" outlineLevel="0" collapsed="false">
      <c r="A350" s="30" t="n">
        <v>45323</v>
      </c>
      <c r="B350" s="31" t="s">
        <v>11</v>
      </c>
      <c r="C350" s="32"/>
      <c r="D350" s="32"/>
      <c r="E350" s="19" t="n">
        <f aca="false">+IF(C350="EQUIPO",F350,0)</f>
        <v>0</v>
      </c>
      <c r="F350" s="33" t="n">
        <v>0</v>
      </c>
      <c r="G350" s="62"/>
      <c r="H350" s="35" t="n">
        <v>0</v>
      </c>
      <c r="I350" s="34" t="n">
        <f aca="false">+IF(E350=0,0,E350*0.03)</f>
        <v>0</v>
      </c>
    </row>
    <row r="351" customFormat="false" ht="15.75" hidden="false" customHeight="true" outlineLevel="0" collapsed="false">
      <c r="A351" s="30" t="n">
        <v>45323</v>
      </c>
      <c r="B351" s="31" t="s">
        <v>11</v>
      </c>
      <c r="C351" s="32"/>
      <c r="D351" s="32"/>
      <c r="E351" s="19" t="n">
        <f aca="false">+IF(C351="EQUIPO",F351,0)</f>
        <v>0</v>
      </c>
      <c r="F351" s="33" t="n">
        <v>0</v>
      </c>
      <c r="G351" s="62"/>
      <c r="H351" s="35" t="n">
        <v>0</v>
      </c>
      <c r="I351" s="34" t="n">
        <f aca="false">+IF(E351=0,0,E351*0.03)</f>
        <v>0</v>
      </c>
    </row>
    <row r="352" customFormat="false" ht="15.75" hidden="false" customHeight="true" outlineLevel="0" collapsed="false">
      <c r="A352" s="30" t="n">
        <v>45323</v>
      </c>
      <c r="B352" s="31" t="s">
        <v>11</v>
      </c>
      <c r="C352" s="32"/>
      <c r="D352" s="32"/>
      <c r="E352" s="19" t="n">
        <f aca="false">+IF(C352="EQUIPO",F352,0)</f>
        <v>0</v>
      </c>
      <c r="F352" s="33" t="n">
        <v>0</v>
      </c>
      <c r="G352" s="62"/>
      <c r="H352" s="35" t="n">
        <v>0</v>
      </c>
      <c r="I352" s="34" t="n">
        <f aca="false">+IF(E352=0,0,E352*0.03)</f>
        <v>0</v>
      </c>
    </row>
    <row r="353" customFormat="false" ht="15.75" hidden="false" customHeight="true" outlineLevel="0" collapsed="false">
      <c r="A353" s="30" t="n">
        <v>45323</v>
      </c>
      <c r="B353" s="31" t="s">
        <v>11</v>
      </c>
      <c r="C353" s="32"/>
      <c r="D353" s="32"/>
      <c r="E353" s="19" t="n">
        <f aca="false">+IF(C353="EQUIPO",F353,0)</f>
        <v>0</v>
      </c>
      <c r="F353" s="33" t="n">
        <v>0</v>
      </c>
      <c r="G353" s="62"/>
      <c r="H353" s="35" t="n">
        <v>0</v>
      </c>
      <c r="I353" s="34" t="n">
        <f aca="false">+IF(E353=0,0,E353*0.03)</f>
        <v>0</v>
      </c>
    </row>
    <row r="354" customFormat="false" ht="15.75" hidden="false" customHeight="true" outlineLevel="0" collapsed="false">
      <c r="A354" s="30" t="n">
        <v>45323</v>
      </c>
      <c r="B354" s="31" t="s">
        <v>11</v>
      </c>
      <c r="C354" s="32"/>
      <c r="D354" s="32"/>
      <c r="E354" s="19" t="n">
        <f aca="false">+IF(C354="EQUIPO",F354,0)</f>
        <v>0</v>
      </c>
      <c r="F354" s="33" t="n">
        <v>0</v>
      </c>
      <c r="G354" s="62"/>
      <c r="H354" s="35" t="n">
        <v>0</v>
      </c>
      <c r="I354" s="34" t="n">
        <f aca="false">+IF(E354=0,0,E354*0.03)</f>
        <v>0</v>
      </c>
    </row>
    <row r="355" customFormat="false" ht="15.75" hidden="false" customHeight="true" outlineLevel="0" collapsed="false">
      <c r="A355" s="30" t="n">
        <v>45323</v>
      </c>
      <c r="B355" s="31" t="s">
        <v>11</v>
      </c>
      <c r="C355" s="32"/>
      <c r="D355" s="32"/>
      <c r="E355" s="19" t="n">
        <f aca="false">+IF(C355="EQUIPO",F355,0)</f>
        <v>0</v>
      </c>
      <c r="F355" s="33" t="n">
        <v>0</v>
      </c>
      <c r="G355" s="62"/>
      <c r="H355" s="35" t="n">
        <v>0</v>
      </c>
      <c r="I355" s="34" t="n">
        <f aca="false">+IF(E355=0,0,E355*0.03)</f>
        <v>0</v>
      </c>
    </row>
    <row r="356" customFormat="false" ht="15.75" hidden="false" customHeight="true" outlineLevel="0" collapsed="false">
      <c r="A356" s="30" t="n">
        <v>45323</v>
      </c>
      <c r="B356" s="31" t="s">
        <v>11</v>
      </c>
      <c r="C356" s="32"/>
      <c r="D356" s="32"/>
      <c r="E356" s="19" t="n">
        <f aca="false">+IF(C356="EQUIPO",F356,0)</f>
        <v>0</v>
      </c>
      <c r="F356" s="33" t="n">
        <v>0</v>
      </c>
      <c r="G356" s="62"/>
      <c r="H356" s="35" t="n">
        <v>0</v>
      </c>
      <c r="I356" s="34" t="n">
        <f aca="false">+IF(E356=0,0,E356*0.03)</f>
        <v>0</v>
      </c>
    </row>
    <row r="357" customFormat="false" ht="15.75" hidden="false" customHeight="true" outlineLevel="0" collapsed="false">
      <c r="A357" s="30" t="n">
        <v>45323</v>
      </c>
      <c r="B357" s="31" t="s">
        <v>11</v>
      </c>
      <c r="C357" s="32"/>
      <c r="D357" s="32"/>
      <c r="E357" s="19" t="n">
        <f aca="false">+IF(C357="EQUIPO",F357,0)</f>
        <v>0</v>
      </c>
      <c r="F357" s="33" t="n">
        <v>0</v>
      </c>
      <c r="G357" s="62"/>
      <c r="H357" s="35" t="n">
        <v>0</v>
      </c>
      <c r="I357" s="34" t="n">
        <f aca="false">+IF(E357=0,0,E357*0.03)</f>
        <v>0</v>
      </c>
    </row>
    <row r="358" customFormat="false" ht="15.75" hidden="false" customHeight="true" outlineLevel="0" collapsed="false">
      <c r="A358" s="30" t="n">
        <v>45323</v>
      </c>
      <c r="B358" s="31" t="s">
        <v>11</v>
      </c>
      <c r="C358" s="32"/>
      <c r="D358" s="32"/>
      <c r="E358" s="19" t="n">
        <f aca="false">+IF(C358="EQUIPO",F358,0)</f>
        <v>0</v>
      </c>
      <c r="F358" s="33" t="n">
        <v>0</v>
      </c>
      <c r="G358" s="62"/>
      <c r="H358" s="35" t="n">
        <v>0</v>
      </c>
      <c r="I358" s="34" t="n">
        <f aca="false">+IF(E358=0,0,E358*0.03)</f>
        <v>0</v>
      </c>
    </row>
    <row r="359" customFormat="false" ht="15.75" hidden="false" customHeight="true" outlineLevel="0" collapsed="false">
      <c r="A359" s="30" t="n">
        <v>45323</v>
      </c>
      <c r="B359" s="31" t="s">
        <v>11</v>
      </c>
      <c r="C359" s="32"/>
      <c r="D359" s="32"/>
      <c r="E359" s="19" t="n">
        <f aca="false">+IF(C359="EQUIPO",F359,0)</f>
        <v>0</v>
      </c>
      <c r="F359" s="33" t="n">
        <v>0</v>
      </c>
      <c r="G359" s="62"/>
      <c r="H359" s="35" t="n">
        <v>0</v>
      </c>
      <c r="I359" s="34" t="n">
        <f aca="false">+IF(E359=0,0,E359*0.03)</f>
        <v>0</v>
      </c>
    </row>
    <row r="360" customFormat="false" ht="15.75" hidden="false" customHeight="true" outlineLevel="0" collapsed="false">
      <c r="A360" s="30" t="n">
        <v>45323</v>
      </c>
      <c r="B360" s="31" t="s">
        <v>11</v>
      </c>
      <c r="C360" s="32"/>
      <c r="D360" s="32"/>
      <c r="E360" s="19" t="n">
        <f aca="false">+IF(C360="EQUIPO",F360,0)</f>
        <v>0</v>
      </c>
      <c r="F360" s="33" t="n">
        <v>0</v>
      </c>
      <c r="G360" s="62"/>
      <c r="H360" s="35" t="n">
        <v>0</v>
      </c>
      <c r="I360" s="34" t="n">
        <f aca="false">+IF(E360=0,0,E360*0.03)</f>
        <v>0</v>
      </c>
    </row>
    <row r="361" customFormat="false" ht="15.75" hidden="false" customHeight="true" outlineLevel="0" collapsed="false">
      <c r="A361" s="30" t="n">
        <v>45323</v>
      </c>
      <c r="B361" s="31" t="s">
        <v>11</v>
      </c>
      <c r="C361" s="32"/>
      <c r="D361" s="32"/>
      <c r="E361" s="19" t="n">
        <f aca="false">+IF(C361="EQUIPO",F361,0)</f>
        <v>0</v>
      </c>
      <c r="F361" s="33" t="n">
        <v>0</v>
      </c>
      <c r="G361" s="62"/>
      <c r="H361" s="35" t="n">
        <v>0</v>
      </c>
      <c r="I361" s="34" t="n">
        <f aca="false">+IF(E361=0,0,E361*0.03)</f>
        <v>0</v>
      </c>
    </row>
    <row r="362" customFormat="false" ht="15.75" hidden="false" customHeight="true" outlineLevel="0" collapsed="false">
      <c r="A362" s="30" t="n">
        <v>45323</v>
      </c>
      <c r="B362" s="31" t="s">
        <v>11</v>
      </c>
      <c r="C362" s="32"/>
      <c r="D362" s="32"/>
      <c r="E362" s="19" t="n">
        <f aca="false">+IF(C362="EQUIPO",F362,0)</f>
        <v>0</v>
      </c>
      <c r="F362" s="33" t="n">
        <v>0</v>
      </c>
      <c r="G362" s="62"/>
      <c r="H362" s="35" t="n">
        <v>0</v>
      </c>
      <c r="I362" s="34" t="n">
        <f aca="false">+IF(E362=0,0,E362*0.03)</f>
        <v>0</v>
      </c>
    </row>
    <row r="363" customFormat="false" ht="15.75" hidden="false" customHeight="true" outlineLevel="0" collapsed="false">
      <c r="A363" s="30" t="n">
        <v>45323</v>
      </c>
      <c r="B363" s="31" t="s">
        <v>11</v>
      </c>
      <c r="C363" s="32"/>
      <c r="D363" s="32"/>
      <c r="E363" s="19" t="n">
        <f aca="false">+IF(C363="EQUIPO",F363,0)</f>
        <v>0</v>
      </c>
      <c r="F363" s="33" t="n">
        <v>0</v>
      </c>
      <c r="G363" s="62"/>
      <c r="H363" s="35" t="n">
        <v>0</v>
      </c>
      <c r="I363" s="34" t="n">
        <f aca="false">+IF(E363=0,0,E363*0.03)</f>
        <v>0</v>
      </c>
    </row>
    <row r="364" customFormat="false" ht="15.75" hidden="false" customHeight="true" outlineLevel="0" collapsed="false">
      <c r="A364" s="30" t="n">
        <v>45323</v>
      </c>
      <c r="B364" s="31" t="s">
        <v>11</v>
      </c>
      <c r="C364" s="32"/>
      <c r="D364" s="32"/>
      <c r="E364" s="19" t="n">
        <f aca="false">+IF(C364="EQUIPO",F364,0)</f>
        <v>0</v>
      </c>
      <c r="F364" s="33" t="n">
        <v>0</v>
      </c>
      <c r="G364" s="62"/>
      <c r="H364" s="35" t="n">
        <v>0</v>
      </c>
      <c r="I364" s="34" t="n">
        <f aca="false">+IF(E364=0,0,E364*0.03)</f>
        <v>0</v>
      </c>
    </row>
    <row r="365" customFormat="false" ht="15.75" hidden="false" customHeight="true" outlineLevel="0" collapsed="false">
      <c r="A365" s="30" t="n">
        <v>45323</v>
      </c>
      <c r="B365" s="31" t="s">
        <v>11</v>
      </c>
      <c r="C365" s="32"/>
      <c r="D365" s="32"/>
      <c r="E365" s="19" t="n">
        <f aca="false">+IF(C365="EQUIPO",F365,0)</f>
        <v>0</v>
      </c>
      <c r="F365" s="33" t="n">
        <v>0</v>
      </c>
      <c r="G365" s="62"/>
      <c r="H365" s="35" t="n">
        <v>0</v>
      </c>
      <c r="I365" s="34" t="n">
        <f aca="false">+IF(E365=0,0,E365*0.03)</f>
        <v>0</v>
      </c>
    </row>
    <row r="366" customFormat="false" ht="15.75" hidden="false" customHeight="true" outlineLevel="0" collapsed="false">
      <c r="A366" s="30" t="n">
        <v>45323</v>
      </c>
      <c r="B366" s="31" t="s">
        <v>11</v>
      </c>
      <c r="C366" s="32"/>
      <c r="D366" s="32"/>
      <c r="E366" s="19" t="n">
        <f aca="false">+IF(C366="EQUIPO",F366,0)</f>
        <v>0</v>
      </c>
      <c r="F366" s="33" t="n">
        <v>0</v>
      </c>
      <c r="G366" s="62"/>
      <c r="H366" s="35" t="n">
        <v>0</v>
      </c>
      <c r="I366" s="34" t="n">
        <f aca="false">+IF(E366=0,0,E366*0.03)</f>
        <v>0</v>
      </c>
    </row>
    <row r="367" customFormat="false" ht="15.75" hidden="false" customHeight="true" outlineLevel="0" collapsed="false">
      <c r="A367" s="30" t="n">
        <v>45323</v>
      </c>
      <c r="B367" s="31" t="s">
        <v>11</v>
      </c>
      <c r="C367" s="32"/>
      <c r="D367" s="32"/>
      <c r="E367" s="19" t="n">
        <f aca="false">+IF(C367="EQUIPO",F367,0)</f>
        <v>0</v>
      </c>
      <c r="F367" s="33" t="n">
        <v>0</v>
      </c>
      <c r="G367" s="62"/>
      <c r="H367" s="35" t="n">
        <v>0</v>
      </c>
      <c r="I367" s="34" t="n">
        <f aca="false">+IF(E367=0,0,E367*0.03)</f>
        <v>0</v>
      </c>
    </row>
    <row r="368" customFormat="false" ht="15.75" hidden="false" customHeight="true" outlineLevel="0" collapsed="false">
      <c r="A368" s="30" t="n">
        <v>45323</v>
      </c>
      <c r="B368" s="31" t="s">
        <v>11</v>
      </c>
      <c r="C368" s="32"/>
      <c r="D368" s="32"/>
      <c r="E368" s="19" t="n">
        <f aca="false">+IF(C368="EQUIPO",F368,0)</f>
        <v>0</v>
      </c>
      <c r="F368" s="33" t="n">
        <v>0</v>
      </c>
      <c r="G368" s="62"/>
      <c r="H368" s="35" t="n">
        <v>0</v>
      </c>
      <c r="I368" s="34" t="n">
        <f aca="false">+IF(E368=0,0,E368*0.03)</f>
        <v>0</v>
      </c>
    </row>
    <row r="369" customFormat="false" ht="15.75" hidden="false" customHeight="true" outlineLevel="0" collapsed="false">
      <c r="A369" s="30" t="n">
        <v>45323</v>
      </c>
      <c r="B369" s="31" t="s">
        <v>11</v>
      </c>
      <c r="C369" s="32"/>
      <c r="D369" s="32"/>
      <c r="E369" s="19" t="n">
        <f aca="false">+IF(C369="EQUIPO",F369,0)</f>
        <v>0</v>
      </c>
      <c r="F369" s="33" t="n">
        <v>0</v>
      </c>
      <c r="G369" s="62"/>
      <c r="H369" s="35" t="n">
        <v>0</v>
      </c>
      <c r="I369" s="34" t="n">
        <f aca="false">+IF(E369=0,0,E369*0.03)</f>
        <v>0</v>
      </c>
    </row>
    <row r="370" customFormat="false" ht="15.75" hidden="false" customHeight="true" outlineLevel="0" collapsed="false">
      <c r="A370" s="30" t="n">
        <v>45323</v>
      </c>
      <c r="B370" s="31" t="s">
        <v>11</v>
      </c>
      <c r="C370" s="32"/>
      <c r="D370" s="32"/>
      <c r="E370" s="19" t="n">
        <f aca="false">+IF(C370="EQUIPO",F370,0)</f>
        <v>0</v>
      </c>
      <c r="F370" s="33" t="n">
        <v>0</v>
      </c>
      <c r="G370" s="62"/>
      <c r="H370" s="35" t="n">
        <v>0</v>
      </c>
      <c r="I370" s="34" t="n">
        <f aca="false">+IF(E370=0,0,E370*0.03)</f>
        <v>0</v>
      </c>
    </row>
    <row r="371" customFormat="false" ht="15.75" hidden="false" customHeight="true" outlineLevel="0" collapsed="false">
      <c r="A371" s="30" t="n">
        <v>45323</v>
      </c>
      <c r="B371" s="31" t="s">
        <v>11</v>
      </c>
      <c r="C371" s="32"/>
      <c r="D371" s="32"/>
      <c r="E371" s="19" t="n">
        <f aca="false">+IF(C371="EQUIPO",F371,0)</f>
        <v>0</v>
      </c>
      <c r="F371" s="33" t="n">
        <v>0</v>
      </c>
      <c r="G371" s="62"/>
      <c r="H371" s="35" t="n">
        <v>0</v>
      </c>
      <c r="I371" s="34" t="n">
        <f aca="false">+IF(E371=0,0,E371*0.03)</f>
        <v>0</v>
      </c>
    </row>
    <row r="372" customFormat="false" ht="15.75" hidden="false" customHeight="true" outlineLevel="0" collapsed="false">
      <c r="A372" s="30" t="n">
        <v>45323</v>
      </c>
      <c r="B372" s="31" t="s">
        <v>11</v>
      </c>
      <c r="C372" s="32"/>
      <c r="D372" s="32"/>
      <c r="E372" s="19" t="n">
        <f aca="false">+IF(C372="EQUIPO",F372,0)</f>
        <v>0</v>
      </c>
      <c r="F372" s="33" t="n">
        <v>0</v>
      </c>
      <c r="G372" s="62"/>
      <c r="H372" s="35" t="n">
        <v>0</v>
      </c>
      <c r="I372" s="34" t="n">
        <f aca="false">+IF(E372=0,0,E372*0.03)</f>
        <v>0</v>
      </c>
    </row>
    <row r="373" customFormat="false" ht="15.75" hidden="false" customHeight="true" outlineLevel="0" collapsed="false">
      <c r="A373" s="30" t="n">
        <v>45323</v>
      </c>
      <c r="B373" s="31" t="s">
        <v>11</v>
      </c>
      <c r="C373" s="32"/>
      <c r="D373" s="32"/>
      <c r="E373" s="19" t="n">
        <f aca="false">+IF(C373="EQUIPO",F373,0)</f>
        <v>0</v>
      </c>
      <c r="F373" s="33" t="n">
        <v>0</v>
      </c>
      <c r="G373" s="62"/>
      <c r="H373" s="35" t="n">
        <v>0</v>
      </c>
      <c r="I373" s="34" t="n">
        <f aca="false">+IF(E373=0,0,E373*0.03)</f>
        <v>0</v>
      </c>
    </row>
    <row r="374" customFormat="false" ht="15.75" hidden="false" customHeight="true" outlineLevel="0" collapsed="false">
      <c r="A374" s="30" t="n">
        <v>45323</v>
      </c>
      <c r="B374" s="31" t="s">
        <v>11</v>
      </c>
      <c r="C374" s="32"/>
      <c r="D374" s="32"/>
      <c r="E374" s="19" t="n">
        <f aca="false">+IF(C374="EQUIPO",F374,0)</f>
        <v>0</v>
      </c>
      <c r="F374" s="33" t="n">
        <v>0</v>
      </c>
      <c r="G374" s="62"/>
      <c r="H374" s="35" t="n">
        <v>0</v>
      </c>
      <c r="I374" s="34" t="n">
        <f aca="false">+IF(E374=0,0,E374*0.03)</f>
        <v>0</v>
      </c>
    </row>
    <row r="375" customFormat="false" ht="15.75" hidden="false" customHeight="true" outlineLevel="0" collapsed="false">
      <c r="A375" s="30" t="n">
        <v>45323</v>
      </c>
      <c r="B375" s="31" t="s">
        <v>11</v>
      </c>
      <c r="C375" s="32"/>
      <c r="D375" s="32"/>
      <c r="E375" s="19" t="n">
        <f aca="false">+IF(C375="EQUIPO",F375,0)</f>
        <v>0</v>
      </c>
      <c r="F375" s="33" t="n">
        <v>0</v>
      </c>
      <c r="G375" s="62"/>
      <c r="H375" s="35" t="n">
        <v>0</v>
      </c>
      <c r="I375" s="34" t="n">
        <f aca="false">+IF(E375=0,0,E375*0.03)</f>
        <v>0</v>
      </c>
    </row>
    <row r="376" customFormat="false" ht="15.75" hidden="false" customHeight="true" outlineLevel="0" collapsed="false">
      <c r="A376" s="30" t="n">
        <v>45323</v>
      </c>
      <c r="B376" s="31" t="s">
        <v>11</v>
      </c>
      <c r="C376" s="32"/>
      <c r="D376" s="32"/>
      <c r="E376" s="19" t="n">
        <f aca="false">+IF(C376="EQUIPO",F376,0)</f>
        <v>0</v>
      </c>
      <c r="F376" s="33" t="n">
        <v>0</v>
      </c>
      <c r="G376" s="62"/>
      <c r="H376" s="35" t="n">
        <v>0</v>
      </c>
      <c r="I376" s="34" t="n">
        <f aca="false">+IF(E376=0,0,E376*0.03)</f>
        <v>0</v>
      </c>
    </row>
    <row r="377" customFormat="false" ht="15.75" hidden="false" customHeight="true" outlineLevel="0" collapsed="false">
      <c r="A377" s="30" t="n">
        <v>45323</v>
      </c>
      <c r="B377" s="31" t="s">
        <v>11</v>
      </c>
      <c r="C377" s="32"/>
      <c r="D377" s="32"/>
      <c r="E377" s="19" t="n">
        <f aca="false">+IF(C377="EQUIPO",F377,0)</f>
        <v>0</v>
      </c>
      <c r="F377" s="33" t="n">
        <v>0</v>
      </c>
      <c r="G377" s="62"/>
      <c r="H377" s="35" t="n">
        <v>0</v>
      </c>
      <c r="I377" s="34" t="n">
        <f aca="false">+IF(E377=0,0,E377*0.03)</f>
        <v>0</v>
      </c>
    </row>
    <row r="378" customFormat="false" ht="15.75" hidden="false" customHeight="true" outlineLevel="0" collapsed="false">
      <c r="A378" s="30" t="n">
        <v>45323</v>
      </c>
      <c r="B378" s="31" t="s">
        <v>11</v>
      </c>
      <c r="C378" s="32"/>
      <c r="D378" s="32"/>
      <c r="E378" s="19" t="n">
        <f aca="false">+IF(C378="EQUIPO",F378,0)</f>
        <v>0</v>
      </c>
      <c r="F378" s="33" t="n">
        <v>0</v>
      </c>
      <c r="G378" s="62"/>
      <c r="H378" s="35" t="n">
        <v>0</v>
      </c>
      <c r="I378" s="34" t="n">
        <f aca="false">+IF(E378=0,0,E378*0.03)</f>
        <v>0</v>
      </c>
    </row>
    <row r="379" customFormat="false" ht="15.75" hidden="false" customHeight="true" outlineLevel="0" collapsed="false">
      <c r="A379" s="30" t="n">
        <v>45323</v>
      </c>
      <c r="B379" s="31" t="s">
        <v>11</v>
      </c>
      <c r="C379" s="32"/>
      <c r="D379" s="32"/>
      <c r="E379" s="19" t="n">
        <f aca="false">+IF(C379="EQUIPO",F379,0)</f>
        <v>0</v>
      </c>
      <c r="F379" s="33" t="n">
        <v>0</v>
      </c>
      <c r="G379" s="62"/>
      <c r="H379" s="35" t="n">
        <v>0</v>
      </c>
      <c r="I379" s="34" t="n">
        <f aca="false">+IF(E379=0,0,E379*0.03)</f>
        <v>0</v>
      </c>
    </row>
    <row r="380" customFormat="false" ht="15.75" hidden="false" customHeight="true" outlineLevel="0" collapsed="false">
      <c r="A380" s="30" t="n">
        <v>45323</v>
      </c>
      <c r="B380" s="31" t="s">
        <v>11</v>
      </c>
      <c r="C380" s="32"/>
      <c r="D380" s="32"/>
      <c r="E380" s="19" t="n">
        <f aca="false">+IF(C380="EQUIPO",F380,0)</f>
        <v>0</v>
      </c>
      <c r="F380" s="33" t="n">
        <v>0</v>
      </c>
      <c r="G380" s="62"/>
      <c r="H380" s="35" t="n">
        <v>0</v>
      </c>
      <c r="I380" s="34" t="n">
        <f aca="false">+IF(E380=0,0,E380*0.03)</f>
        <v>0</v>
      </c>
    </row>
    <row r="381" customFormat="false" ht="15.75" hidden="false" customHeight="true" outlineLevel="0" collapsed="false">
      <c r="A381" s="30" t="n">
        <v>45323</v>
      </c>
      <c r="B381" s="31" t="s">
        <v>11</v>
      </c>
      <c r="C381" s="32"/>
      <c r="D381" s="32"/>
      <c r="E381" s="19" t="n">
        <f aca="false">+IF(C381="EQUIPO",F381,0)</f>
        <v>0</v>
      </c>
      <c r="F381" s="33" t="n">
        <v>0</v>
      </c>
      <c r="G381" s="62"/>
      <c r="H381" s="35" t="n">
        <v>0</v>
      </c>
      <c r="I381" s="34" t="n">
        <f aca="false">+IF(E381=0,0,E381*0.03)</f>
        <v>0</v>
      </c>
    </row>
    <row r="382" customFormat="false" ht="15.75" hidden="false" customHeight="true" outlineLevel="0" collapsed="false">
      <c r="A382" s="30" t="n">
        <v>45323</v>
      </c>
      <c r="B382" s="31" t="s">
        <v>11</v>
      </c>
      <c r="C382" s="32"/>
      <c r="D382" s="32"/>
      <c r="E382" s="19" t="n">
        <f aca="false">+IF(C382="EQUIPO",F382,0)</f>
        <v>0</v>
      </c>
      <c r="F382" s="33" t="n">
        <v>0</v>
      </c>
      <c r="G382" s="62"/>
      <c r="H382" s="35" t="n">
        <v>0</v>
      </c>
      <c r="I382" s="34" t="n">
        <f aca="false">+IF(E382=0,0,E382*0.03)</f>
        <v>0</v>
      </c>
    </row>
    <row r="383" customFormat="false" ht="15.75" hidden="false" customHeight="true" outlineLevel="0" collapsed="false">
      <c r="A383" s="30" t="n">
        <v>45323</v>
      </c>
      <c r="B383" s="31" t="s">
        <v>11</v>
      </c>
      <c r="C383" s="32"/>
      <c r="D383" s="32"/>
      <c r="E383" s="19" t="n">
        <f aca="false">+IF(C383="EQUIPO",F383,0)</f>
        <v>0</v>
      </c>
      <c r="F383" s="33" t="n">
        <v>0</v>
      </c>
      <c r="G383" s="62"/>
      <c r="H383" s="35" t="n">
        <v>0</v>
      </c>
      <c r="I383" s="34" t="n">
        <f aca="false">+IF(E383=0,0,E383*0.03)</f>
        <v>0</v>
      </c>
    </row>
    <row r="384" customFormat="false" ht="15.75" hidden="false" customHeight="true" outlineLevel="0" collapsed="false">
      <c r="A384" s="30" t="n">
        <v>45323</v>
      </c>
      <c r="B384" s="31" t="s">
        <v>11</v>
      </c>
      <c r="C384" s="32"/>
      <c r="D384" s="32"/>
      <c r="E384" s="19" t="n">
        <f aca="false">+IF(C384="EQUIPO",F384,0)</f>
        <v>0</v>
      </c>
      <c r="F384" s="33" t="n">
        <v>0</v>
      </c>
      <c r="G384" s="62"/>
      <c r="H384" s="35" t="n">
        <v>0</v>
      </c>
      <c r="I384" s="34" t="n">
        <f aca="false">+IF(E384=0,0,E384*0.03)</f>
        <v>0</v>
      </c>
    </row>
    <row r="385" customFormat="false" ht="15.75" hidden="false" customHeight="true" outlineLevel="0" collapsed="false">
      <c r="A385" s="30" t="n">
        <v>45323</v>
      </c>
      <c r="B385" s="31" t="s">
        <v>11</v>
      </c>
      <c r="C385" s="32"/>
      <c r="D385" s="32"/>
      <c r="E385" s="19" t="n">
        <f aca="false">+IF(C385="EQUIPO",F385,0)</f>
        <v>0</v>
      </c>
      <c r="F385" s="33" t="n">
        <v>0</v>
      </c>
      <c r="G385" s="62"/>
      <c r="H385" s="35" t="n">
        <v>0</v>
      </c>
      <c r="I385" s="34" t="n">
        <f aca="false">+IF(E385=0,0,E385*0.03)</f>
        <v>0</v>
      </c>
    </row>
    <row r="386" customFormat="false" ht="15.75" hidden="false" customHeight="true" outlineLevel="0" collapsed="false">
      <c r="A386" s="30" t="n">
        <v>45323</v>
      </c>
      <c r="B386" s="31" t="s">
        <v>11</v>
      </c>
      <c r="C386" s="32"/>
      <c r="D386" s="32"/>
      <c r="E386" s="19" t="n">
        <f aca="false">+IF(C386="EQUIPO",F386,0)</f>
        <v>0</v>
      </c>
      <c r="F386" s="33" t="n">
        <v>0</v>
      </c>
      <c r="G386" s="62"/>
      <c r="H386" s="35" t="n">
        <v>0</v>
      </c>
      <c r="I386" s="34" t="n">
        <f aca="false">+IF(E386=0,0,E386*0.03)</f>
        <v>0</v>
      </c>
    </row>
    <row r="387" customFormat="false" ht="15.75" hidden="false" customHeight="true" outlineLevel="0" collapsed="false">
      <c r="A387" s="30" t="n">
        <v>45323</v>
      </c>
      <c r="B387" s="31" t="s">
        <v>11</v>
      </c>
      <c r="C387" s="32"/>
      <c r="D387" s="32"/>
      <c r="E387" s="19" t="n">
        <f aca="false">+IF(C387="EQUIPO",F387,0)</f>
        <v>0</v>
      </c>
      <c r="F387" s="33" t="n">
        <v>0</v>
      </c>
      <c r="G387" s="62"/>
      <c r="H387" s="35" t="n">
        <v>0</v>
      </c>
      <c r="I387" s="34" t="n">
        <f aca="false">+IF(E387=0,0,E387*0.03)</f>
        <v>0</v>
      </c>
    </row>
    <row r="388" customFormat="false" ht="15.75" hidden="false" customHeight="true" outlineLevel="0" collapsed="false">
      <c r="A388" s="30" t="n">
        <v>45323</v>
      </c>
      <c r="B388" s="31" t="s">
        <v>11</v>
      </c>
      <c r="C388" s="32"/>
      <c r="D388" s="32"/>
      <c r="E388" s="19" t="n">
        <f aca="false">+IF(C388="EQUIPO",F388,0)</f>
        <v>0</v>
      </c>
      <c r="F388" s="33" t="n">
        <v>0</v>
      </c>
      <c r="G388" s="62"/>
      <c r="H388" s="35" t="n">
        <v>0</v>
      </c>
      <c r="I388" s="34" t="n">
        <f aca="false">+IF(E388=0,0,E388*0.03)</f>
        <v>0</v>
      </c>
    </row>
    <row r="389" customFormat="false" ht="15.75" hidden="false" customHeight="true" outlineLevel="0" collapsed="false">
      <c r="A389" s="30" t="n">
        <v>45323</v>
      </c>
      <c r="B389" s="31" t="s">
        <v>11</v>
      </c>
      <c r="C389" s="32"/>
      <c r="D389" s="32"/>
      <c r="E389" s="19" t="n">
        <f aca="false">+IF(C389="EQUIPO",F389,0)</f>
        <v>0</v>
      </c>
      <c r="F389" s="33" t="n">
        <v>0</v>
      </c>
      <c r="G389" s="62"/>
      <c r="H389" s="35" t="n">
        <v>0</v>
      </c>
      <c r="I389" s="34" t="n">
        <f aca="false">+IF(E389=0,0,E389*0.03)</f>
        <v>0</v>
      </c>
    </row>
    <row r="390" customFormat="false" ht="15.75" hidden="false" customHeight="true" outlineLevel="0" collapsed="false">
      <c r="A390" s="30" t="n">
        <v>45323</v>
      </c>
      <c r="B390" s="31" t="s">
        <v>11</v>
      </c>
      <c r="C390" s="32"/>
      <c r="D390" s="32"/>
      <c r="E390" s="19" t="n">
        <f aca="false">+IF(C390="EQUIPO",F390,0)</f>
        <v>0</v>
      </c>
      <c r="F390" s="33" t="n">
        <v>0</v>
      </c>
      <c r="G390" s="62"/>
      <c r="H390" s="35" t="n">
        <v>0</v>
      </c>
      <c r="I390" s="34" t="n">
        <f aca="false">+IF(E390=0,0,E390*0.03)</f>
        <v>0</v>
      </c>
    </row>
    <row r="391" customFormat="false" ht="15.75" hidden="false" customHeight="true" outlineLevel="0" collapsed="false">
      <c r="A391" s="30" t="n">
        <v>45323</v>
      </c>
      <c r="B391" s="31" t="s">
        <v>11</v>
      </c>
      <c r="C391" s="32"/>
      <c r="D391" s="32"/>
      <c r="E391" s="19" t="n">
        <f aca="false">+IF(C391="EQUIPO",F391,0)</f>
        <v>0</v>
      </c>
      <c r="F391" s="33" t="n">
        <v>0</v>
      </c>
      <c r="G391" s="62"/>
      <c r="H391" s="35" t="n">
        <v>0</v>
      </c>
      <c r="I391" s="34" t="n">
        <f aca="false">+IF(E391=0,0,E391*0.03)</f>
        <v>0</v>
      </c>
    </row>
    <row r="392" customFormat="false" ht="15.75" hidden="false" customHeight="true" outlineLevel="0" collapsed="false">
      <c r="A392" s="30" t="n">
        <v>45323</v>
      </c>
      <c r="B392" s="31" t="s">
        <v>11</v>
      </c>
      <c r="C392" s="32"/>
      <c r="D392" s="32"/>
      <c r="E392" s="19" t="n">
        <f aca="false">+IF(C392="EQUIPO",F392,0)</f>
        <v>0</v>
      </c>
      <c r="F392" s="33" t="n">
        <v>0</v>
      </c>
      <c r="G392" s="62"/>
      <c r="H392" s="35" t="n">
        <v>0</v>
      </c>
      <c r="I392" s="34" t="n">
        <f aca="false">+IF(E392=0,0,E392*0.03)</f>
        <v>0</v>
      </c>
    </row>
    <row r="393" customFormat="false" ht="15.75" hidden="false" customHeight="true" outlineLevel="0" collapsed="false">
      <c r="A393" s="30" t="n">
        <v>45323</v>
      </c>
      <c r="B393" s="31" t="s">
        <v>11</v>
      </c>
      <c r="C393" s="32"/>
      <c r="D393" s="32"/>
      <c r="E393" s="19" t="n">
        <f aca="false">+IF(C393="EQUIPO",F393,0)</f>
        <v>0</v>
      </c>
      <c r="F393" s="33" t="n">
        <v>0</v>
      </c>
      <c r="G393" s="62"/>
      <c r="H393" s="35" t="n">
        <v>0</v>
      </c>
      <c r="I393" s="34" t="n">
        <f aca="false">+IF(E393=0,0,E393*0.03)</f>
        <v>0</v>
      </c>
    </row>
    <row r="394" customFormat="false" ht="15.75" hidden="false" customHeight="true" outlineLevel="0" collapsed="false">
      <c r="A394" s="30" t="n">
        <v>45323</v>
      </c>
      <c r="B394" s="31" t="s">
        <v>11</v>
      </c>
      <c r="C394" s="32"/>
      <c r="D394" s="32"/>
      <c r="E394" s="19" t="n">
        <f aca="false">+IF(C394="EQUIPO",F394,0)</f>
        <v>0</v>
      </c>
      <c r="F394" s="33" t="n">
        <v>0</v>
      </c>
      <c r="G394" s="62"/>
      <c r="H394" s="35" t="n">
        <v>0</v>
      </c>
      <c r="I394" s="34" t="n">
        <f aca="false">+IF(E394=0,0,E394*0.03)</f>
        <v>0</v>
      </c>
    </row>
    <row r="395" customFormat="false" ht="15.75" hidden="false" customHeight="true" outlineLevel="0" collapsed="false">
      <c r="A395" s="30" t="n">
        <v>45323</v>
      </c>
      <c r="B395" s="31" t="s">
        <v>11</v>
      </c>
      <c r="C395" s="32"/>
      <c r="D395" s="32"/>
      <c r="E395" s="19" t="n">
        <f aca="false">+IF(C395="EQUIPO",F395,0)</f>
        <v>0</v>
      </c>
      <c r="F395" s="33" t="n">
        <v>0</v>
      </c>
      <c r="G395" s="62"/>
      <c r="H395" s="35" t="n">
        <v>0</v>
      </c>
      <c r="I395" s="34" t="n">
        <f aca="false">+IF(E395=0,0,E395*0.03)</f>
        <v>0</v>
      </c>
    </row>
    <row r="396" customFormat="false" ht="15.75" hidden="false" customHeight="true" outlineLevel="0" collapsed="false">
      <c r="A396" s="30" t="n">
        <v>45323</v>
      </c>
      <c r="B396" s="31" t="s">
        <v>11</v>
      </c>
      <c r="C396" s="32"/>
      <c r="D396" s="32"/>
      <c r="E396" s="19" t="n">
        <f aca="false">+IF(C396="EQUIPO",F396,0)</f>
        <v>0</v>
      </c>
      <c r="F396" s="33" t="n">
        <v>0</v>
      </c>
      <c r="G396" s="62"/>
      <c r="H396" s="35" t="n">
        <v>0</v>
      </c>
      <c r="I396" s="34" t="n">
        <f aca="false">+IF(E396=0,0,E396*0.03)</f>
        <v>0</v>
      </c>
    </row>
    <row r="397" customFormat="false" ht="15.75" hidden="false" customHeight="true" outlineLevel="0" collapsed="false">
      <c r="A397" s="30" t="n">
        <v>45323</v>
      </c>
      <c r="B397" s="31" t="s">
        <v>11</v>
      </c>
      <c r="C397" s="32"/>
      <c r="D397" s="32"/>
      <c r="E397" s="19" t="n">
        <f aca="false">+IF(C397="EQUIPO",F397,0)</f>
        <v>0</v>
      </c>
      <c r="F397" s="33" t="n">
        <v>0</v>
      </c>
      <c r="G397" s="62"/>
      <c r="H397" s="35" t="n">
        <v>0</v>
      </c>
      <c r="I397" s="34" t="n">
        <f aca="false">+IF(E397=0,0,E397*0.03)</f>
        <v>0</v>
      </c>
    </row>
    <row r="398" customFormat="false" ht="15.75" hidden="false" customHeight="true" outlineLevel="0" collapsed="false">
      <c r="A398" s="30" t="n">
        <v>45323</v>
      </c>
      <c r="B398" s="31" t="s">
        <v>11</v>
      </c>
      <c r="C398" s="32"/>
      <c r="D398" s="32"/>
      <c r="E398" s="19" t="n">
        <f aca="false">+IF(C398="EQUIPO",F398,0)</f>
        <v>0</v>
      </c>
      <c r="F398" s="33" t="n">
        <v>0</v>
      </c>
      <c r="G398" s="62"/>
      <c r="H398" s="35" t="n">
        <v>0</v>
      </c>
      <c r="I398" s="34" t="n">
        <f aca="false">+IF(E398=0,0,E398*0.03)</f>
        <v>0</v>
      </c>
    </row>
    <row r="399" customFormat="false" ht="15.75" hidden="false" customHeight="true" outlineLevel="0" collapsed="false">
      <c r="A399" s="30" t="n">
        <v>45323</v>
      </c>
      <c r="B399" s="31" t="s">
        <v>11</v>
      </c>
      <c r="C399" s="32"/>
      <c r="D399" s="32"/>
      <c r="E399" s="19" t="n">
        <f aca="false">+IF(C399="EQUIPO",F399,0)</f>
        <v>0</v>
      </c>
      <c r="F399" s="33" t="n">
        <v>0</v>
      </c>
      <c r="G399" s="62"/>
      <c r="H399" s="35" t="n">
        <v>0</v>
      </c>
      <c r="I399" s="34" t="n">
        <f aca="false">+IF(E399=0,0,E399*0.03)</f>
        <v>0</v>
      </c>
    </row>
    <row r="400" customFormat="false" ht="15.75" hidden="false" customHeight="true" outlineLevel="0" collapsed="false">
      <c r="A400" s="30" t="n">
        <v>45323</v>
      </c>
      <c r="B400" s="31" t="s">
        <v>11</v>
      </c>
      <c r="C400" s="32"/>
      <c r="D400" s="32"/>
      <c r="E400" s="19" t="n">
        <f aca="false">+IF(C400="EQUIPO",F400,0)</f>
        <v>0</v>
      </c>
      <c r="F400" s="33" t="n">
        <v>0</v>
      </c>
      <c r="G400" s="62"/>
      <c r="H400" s="35" t="n">
        <v>0</v>
      </c>
      <c r="I400" s="34" t="n">
        <f aca="false">+IF(E400=0,0,E400*0.03)</f>
        <v>0</v>
      </c>
    </row>
    <row r="401" customFormat="false" ht="15.75" hidden="false" customHeight="true" outlineLevel="0" collapsed="false">
      <c r="A401" s="30" t="n">
        <v>45323</v>
      </c>
      <c r="B401" s="31" t="s">
        <v>11</v>
      </c>
      <c r="C401" s="32"/>
      <c r="D401" s="32"/>
      <c r="E401" s="19" t="n">
        <f aca="false">+IF(C401="EQUIPO",F401,0)</f>
        <v>0</v>
      </c>
      <c r="F401" s="33" t="n">
        <v>0</v>
      </c>
      <c r="G401" s="62"/>
      <c r="H401" s="35" t="n">
        <v>0</v>
      </c>
      <c r="I401" s="34" t="n">
        <f aca="false">+IF(E401=0,0,E401*0.03)</f>
        <v>0</v>
      </c>
    </row>
    <row r="402" customFormat="false" ht="15.75" hidden="false" customHeight="true" outlineLevel="0" collapsed="false">
      <c r="A402" s="30" t="n">
        <v>45323</v>
      </c>
      <c r="B402" s="31" t="s">
        <v>11</v>
      </c>
      <c r="C402" s="32"/>
      <c r="D402" s="32"/>
      <c r="E402" s="19" t="n">
        <f aca="false">+IF(C402="EQUIPO",F402,0)</f>
        <v>0</v>
      </c>
      <c r="F402" s="33" t="n">
        <v>0</v>
      </c>
      <c r="G402" s="62"/>
      <c r="H402" s="35" t="n">
        <v>0</v>
      </c>
      <c r="I402" s="34" t="n">
        <f aca="false">+IF(E402=0,0,E402*0.03)</f>
        <v>0</v>
      </c>
    </row>
    <row r="403" customFormat="false" ht="15.75" hidden="false" customHeight="true" outlineLevel="0" collapsed="false">
      <c r="A403" s="30" t="n">
        <v>45323</v>
      </c>
      <c r="B403" s="31" t="s">
        <v>11</v>
      </c>
      <c r="C403" s="32"/>
      <c r="D403" s="32"/>
      <c r="E403" s="19" t="n">
        <f aca="false">+IF(C403="EQUIPO",F403,0)</f>
        <v>0</v>
      </c>
      <c r="F403" s="33" t="n">
        <v>0</v>
      </c>
      <c r="G403" s="62"/>
      <c r="H403" s="35" t="n">
        <v>0</v>
      </c>
      <c r="I403" s="34" t="n">
        <f aca="false">+IF(E403=0,0,E403*0.03)</f>
        <v>0</v>
      </c>
    </row>
    <row r="404" customFormat="false" ht="15.75" hidden="false" customHeight="true" outlineLevel="0" collapsed="false">
      <c r="A404" s="30" t="n">
        <v>45323</v>
      </c>
      <c r="B404" s="31" t="s">
        <v>11</v>
      </c>
      <c r="C404" s="32"/>
      <c r="D404" s="32"/>
      <c r="E404" s="19" t="n">
        <f aca="false">+IF(C404="EQUIPO",F404,0)</f>
        <v>0</v>
      </c>
      <c r="F404" s="33" t="n">
        <v>0</v>
      </c>
      <c r="G404" s="62"/>
      <c r="H404" s="35" t="n">
        <v>0</v>
      </c>
      <c r="I404" s="34" t="n">
        <f aca="false">+IF(E404=0,0,E404*0.03)</f>
        <v>0</v>
      </c>
    </row>
    <row r="405" customFormat="false" ht="15.75" hidden="false" customHeight="true" outlineLevel="0" collapsed="false">
      <c r="A405" s="30" t="n">
        <v>45323</v>
      </c>
      <c r="B405" s="31" t="s">
        <v>11</v>
      </c>
      <c r="C405" s="32"/>
      <c r="D405" s="32"/>
      <c r="E405" s="19" t="n">
        <f aca="false">+IF(C405="EQUIPO",F405,0)</f>
        <v>0</v>
      </c>
      <c r="F405" s="33" t="n">
        <v>0</v>
      </c>
      <c r="G405" s="62"/>
      <c r="H405" s="35" t="n">
        <v>0</v>
      </c>
      <c r="I405" s="34" t="n">
        <f aca="false">+IF(E405=0,0,E405*0.03)</f>
        <v>0</v>
      </c>
    </row>
    <row r="406" customFormat="false" ht="15.75" hidden="false" customHeight="true" outlineLevel="0" collapsed="false">
      <c r="A406" s="30" t="n">
        <v>45323</v>
      </c>
      <c r="B406" s="31" t="s">
        <v>11</v>
      </c>
      <c r="C406" s="32"/>
      <c r="D406" s="32"/>
      <c r="E406" s="19" t="n">
        <f aca="false">+IF(C406="EQUIPO",F406,0)</f>
        <v>0</v>
      </c>
      <c r="F406" s="33" t="n">
        <v>0</v>
      </c>
      <c r="G406" s="62"/>
      <c r="H406" s="35" t="n">
        <v>0</v>
      </c>
      <c r="I406" s="34" t="n">
        <f aca="false">+IF(E406=0,0,E406*0.03)</f>
        <v>0</v>
      </c>
    </row>
    <row r="407" customFormat="false" ht="15.75" hidden="false" customHeight="true" outlineLevel="0" collapsed="false">
      <c r="A407" s="30" t="n">
        <v>45323</v>
      </c>
      <c r="B407" s="31" t="s">
        <v>11</v>
      </c>
      <c r="C407" s="32"/>
      <c r="D407" s="32"/>
      <c r="E407" s="19" t="n">
        <f aca="false">+IF(C407="EQUIPO",F407,0)</f>
        <v>0</v>
      </c>
      <c r="F407" s="33" t="n">
        <v>0</v>
      </c>
      <c r="G407" s="62"/>
      <c r="H407" s="35" t="n">
        <v>0</v>
      </c>
      <c r="I407" s="34" t="n">
        <f aca="false">+IF(E407=0,0,E407*0.03)</f>
        <v>0</v>
      </c>
    </row>
    <row r="408" customFormat="false" ht="15.75" hidden="false" customHeight="true" outlineLevel="0" collapsed="false">
      <c r="A408" s="30" t="n">
        <v>45323</v>
      </c>
      <c r="B408" s="31" t="s">
        <v>11</v>
      </c>
      <c r="C408" s="32"/>
      <c r="D408" s="32"/>
      <c r="E408" s="19" t="n">
        <f aca="false">+IF(C408="EQUIPO",F408,0)</f>
        <v>0</v>
      </c>
      <c r="F408" s="33" t="n">
        <v>0</v>
      </c>
      <c r="G408" s="62"/>
      <c r="H408" s="35" t="n">
        <v>0</v>
      </c>
      <c r="I408" s="34" t="n">
        <f aca="false">+IF(E408=0,0,E408*0.03)</f>
        <v>0</v>
      </c>
    </row>
    <row r="409" customFormat="false" ht="15.75" hidden="false" customHeight="true" outlineLevel="0" collapsed="false">
      <c r="A409" s="30" t="n">
        <v>45323</v>
      </c>
      <c r="B409" s="31" t="s">
        <v>11</v>
      </c>
      <c r="C409" s="32"/>
      <c r="D409" s="32"/>
      <c r="E409" s="19" t="n">
        <f aca="false">+IF(C409="EQUIPO",F409,0)</f>
        <v>0</v>
      </c>
      <c r="F409" s="33" t="n">
        <v>0</v>
      </c>
      <c r="G409" s="62"/>
      <c r="H409" s="35" t="n">
        <v>0</v>
      </c>
      <c r="I409" s="34" t="n">
        <f aca="false">+IF(E409=0,0,E409*0.03)</f>
        <v>0</v>
      </c>
    </row>
    <row r="410" customFormat="false" ht="15.75" hidden="false" customHeight="true" outlineLevel="0" collapsed="false">
      <c r="A410" s="30" t="n">
        <v>45323</v>
      </c>
      <c r="B410" s="31" t="s">
        <v>11</v>
      </c>
      <c r="C410" s="32"/>
      <c r="D410" s="32"/>
      <c r="E410" s="19" t="n">
        <f aca="false">+IF(C410="EQUIPO",F410,0)</f>
        <v>0</v>
      </c>
      <c r="F410" s="33" t="n">
        <v>0</v>
      </c>
      <c r="G410" s="62"/>
      <c r="H410" s="35" t="n">
        <v>0</v>
      </c>
      <c r="I410" s="34" t="n">
        <f aca="false">+IF(E410=0,0,E410*0.03)</f>
        <v>0</v>
      </c>
    </row>
    <row r="411" customFormat="false" ht="15.75" hidden="false" customHeight="true" outlineLevel="0" collapsed="false">
      <c r="A411" s="30" t="n">
        <v>45323</v>
      </c>
      <c r="B411" s="31" t="s">
        <v>11</v>
      </c>
      <c r="C411" s="32"/>
      <c r="D411" s="32"/>
      <c r="E411" s="19" t="n">
        <f aca="false">+IF(C411="EQUIPO",F411,0)</f>
        <v>0</v>
      </c>
      <c r="F411" s="33" t="n">
        <v>0</v>
      </c>
      <c r="G411" s="62"/>
      <c r="H411" s="35" t="n">
        <v>0</v>
      </c>
      <c r="I411" s="34" t="n">
        <f aca="false">+IF(E411=0,0,E411*0.03)</f>
        <v>0</v>
      </c>
    </row>
    <row r="412" customFormat="false" ht="15.75" hidden="false" customHeight="true" outlineLevel="0" collapsed="false">
      <c r="A412" s="30" t="n">
        <v>45323</v>
      </c>
      <c r="B412" s="31" t="s">
        <v>11</v>
      </c>
      <c r="C412" s="32"/>
      <c r="D412" s="32"/>
      <c r="E412" s="19" t="n">
        <f aca="false">+IF(C412="EQUIPO",F412,0)</f>
        <v>0</v>
      </c>
      <c r="F412" s="33" t="n">
        <v>0</v>
      </c>
      <c r="G412" s="62"/>
      <c r="H412" s="35" t="n">
        <v>0</v>
      </c>
      <c r="I412" s="34" t="n">
        <f aca="false">+IF(E412=0,0,E412*0.03)</f>
        <v>0</v>
      </c>
    </row>
    <row r="413" customFormat="false" ht="15.75" hidden="false" customHeight="true" outlineLevel="0" collapsed="false">
      <c r="A413" s="30" t="n">
        <v>45323</v>
      </c>
      <c r="B413" s="31" t="s">
        <v>11</v>
      </c>
      <c r="C413" s="32"/>
      <c r="D413" s="32"/>
      <c r="E413" s="19" t="n">
        <f aca="false">+IF(C413="EQUIPO",F413,0)</f>
        <v>0</v>
      </c>
      <c r="F413" s="33" t="n">
        <v>0</v>
      </c>
      <c r="G413" s="62"/>
      <c r="H413" s="35" t="n">
        <v>0</v>
      </c>
      <c r="I413" s="34" t="n">
        <f aca="false">+IF(E413=0,0,E413*0.03)</f>
        <v>0</v>
      </c>
    </row>
    <row r="414" customFormat="false" ht="15.75" hidden="false" customHeight="true" outlineLevel="0" collapsed="false">
      <c r="A414" s="30" t="n">
        <v>45323</v>
      </c>
      <c r="B414" s="31" t="s">
        <v>11</v>
      </c>
      <c r="C414" s="32"/>
      <c r="D414" s="32"/>
      <c r="E414" s="19" t="n">
        <f aca="false">+IF(C414="EQUIPO",F414,0)</f>
        <v>0</v>
      </c>
      <c r="F414" s="33" t="n">
        <v>0</v>
      </c>
      <c r="G414" s="62"/>
      <c r="H414" s="35" t="n">
        <v>0</v>
      </c>
      <c r="I414" s="34" t="n">
        <f aca="false">+IF(E414=0,0,E414*0.03)</f>
        <v>0</v>
      </c>
    </row>
    <row r="415" customFormat="false" ht="15.75" hidden="false" customHeight="true" outlineLevel="0" collapsed="false">
      <c r="A415" s="30" t="n">
        <v>45323</v>
      </c>
      <c r="B415" s="31" t="s">
        <v>11</v>
      </c>
      <c r="C415" s="32"/>
      <c r="D415" s="32"/>
      <c r="E415" s="19" t="n">
        <f aca="false">+IF(C415="EQUIPO",F415,0)</f>
        <v>0</v>
      </c>
      <c r="F415" s="33" t="n">
        <v>0</v>
      </c>
      <c r="G415" s="62"/>
      <c r="H415" s="35" t="n">
        <v>0</v>
      </c>
      <c r="I415" s="34" t="n">
        <f aca="false">+IF(E415=0,0,E415*0.03)</f>
        <v>0</v>
      </c>
    </row>
    <row r="416" customFormat="false" ht="15.75" hidden="false" customHeight="true" outlineLevel="0" collapsed="false">
      <c r="A416" s="30" t="n">
        <v>45323</v>
      </c>
      <c r="B416" s="31" t="s">
        <v>11</v>
      </c>
      <c r="C416" s="32"/>
      <c r="D416" s="32"/>
      <c r="E416" s="19" t="n">
        <f aca="false">+IF(C416="EQUIPO",F416,0)</f>
        <v>0</v>
      </c>
      <c r="F416" s="33" t="n">
        <v>0</v>
      </c>
      <c r="G416" s="62"/>
      <c r="H416" s="35" t="n">
        <v>0</v>
      </c>
      <c r="I416" s="34" t="n">
        <f aca="false">+IF(E416=0,0,E416*0.03)</f>
        <v>0</v>
      </c>
    </row>
    <row r="417" customFormat="false" ht="15.75" hidden="false" customHeight="true" outlineLevel="0" collapsed="false">
      <c r="A417" s="30" t="n">
        <v>45323</v>
      </c>
      <c r="B417" s="31" t="s">
        <v>11</v>
      </c>
      <c r="C417" s="32"/>
      <c r="D417" s="32"/>
      <c r="E417" s="19" t="n">
        <f aca="false">+IF(C417="EQUIPO",F417,0)</f>
        <v>0</v>
      </c>
      <c r="F417" s="33" t="n">
        <v>0</v>
      </c>
      <c r="G417" s="62"/>
      <c r="H417" s="35" t="n">
        <v>0</v>
      </c>
      <c r="I417" s="34" t="n">
        <f aca="false">+IF(E417=0,0,E417*0.03)</f>
        <v>0</v>
      </c>
    </row>
    <row r="418" customFormat="false" ht="15.75" hidden="false" customHeight="true" outlineLevel="0" collapsed="false">
      <c r="A418" s="30" t="n">
        <v>45323</v>
      </c>
      <c r="B418" s="31" t="s">
        <v>11</v>
      </c>
      <c r="C418" s="32"/>
      <c r="D418" s="32"/>
      <c r="E418" s="19" t="n">
        <f aca="false">+IF(C418="EQUIPO",F418,0)</f>
        <v>0</v>
      </c>
      <c r="F418" s="33" t="n">
        <v>0</v>
      </c>
      <c r="G418" s="62"/>
      <c r="H418" s="35" t="n">
        <v>0</v>
      </c>
      <c r="I418" s="34" t="n">
        <f aca="false">+IF(E418=0,0,E418*0.03)</f>
        <v>0</v>
      </c>
    </row>
    <row r="419" customFormat="false" ht="15.75" hidden="false" customHeight="true" outlineLevel="0" collapsed="false">
      <c r="A419" s="30" t="n">
        <v>45323</v>
      </c>
      <c r="B419" s="31" t="s">
        <v>11</v>
      </c>
      <c r="C419" s="32"/>
      <c r="D419" s="32"/>
      <c r="E419" s="19" t="n">
        <f aca="false">+IF(C419="EQUIPO",F419,0)</f>
        <v>0</v>
      </c>
      <c r="F419" s="33" t="n">
        <v>0</v>
      </c>
      <c r="G419" s="62"/>
      <c r="H419" s="35" t="n">
        <v>0</v>
      </c>
      <c r="I419" s="34" t="n">
        <f aca="false">+IF(E419=0,0,E419*0.03)</f>
        <v>0</v>
      </c>
    </row>
    <row r="420" customFormat="false" ht="15.75" hidden="false" customHeight="true" outlineLevel="0" collapsed="false">
      <c r="A420" s="30" t="n">
        <v>45323</v>
      </c>
      <c r="B420" s="31" t="s">
        <v>11</v>
      </c>
      <c r="C420" s="32"/>
      <c r="D420" s="32"/>
      <c r="E420" s="19" t="n">
        <f aca="false">+IF(C420="EQUIPO",F420,0)</f>
        <v>0</v>
      </c>
      <c r="F420" s="33" t="n">
        <v>0</v>
      </c>
      <c r="G420" s="62"/>
      <c r="H420" s="35" t="n">
        <v>0</v>
      </c>
      <c r="I420" s="34" t="n">
        <f aca="false">+IF(E420=0,0,E420*0.03)</f>
        <v>0</v>
      </c>
    </row>
    <row r="421" customFormat="false" ht="15.75" hidden="false" customHeight="true" outlineLevel="0" collapsed="false">
      <c r="A421" s="30" t="n">
        <v>45323</v>
      </c>
      <c r="B421" s="31" t="s">
        <v>11</v>
      </c>
      <c r="C421" s="32"/>
      <c r="D421" s="32"/>
      <c r="E421" s="19" t="n">
        <f aca="false">+IF(C421="EQUIPO",F421,0)</f>
        <v>0</v>
      </c>
      <c r="F421" s="33" t="n">
        <v>0</v>
      </c>
      <c r="G421" s="62"/>
      <c r="H421" s="35" t="n">
        <v>0</v>
      </c>
      <c r="I421" s="34" t="n">
        <f aca="false">+IF(E421=0,0,E421*0.03)</f>
        <v>0</v>
      </c>
    </row>
    <row r="422" customFormat="false" ht="15.75" hidden="false" customHeight="true" outlineLevel="0" collapsed="false">
      <c r="A422" s="30" t="n">
        <v>45323</v>
      </c>
      <c r="B422" s="31" t="s">
        <v>11</v>
      </c>
      <c r="C422" s="32"/>
      <c r="D422" s="32"/>
      <c r="E422" s="19" t="n">
        <f aca="false">+IF(C422="EQUIPO",F422,0)</f>
        <v>0</v>
      </c>
      <c r="F422" s="33" t="n">
        <v>0</v>
      </c>
      <c r="G422" s="62"/>
      <c r="H422" s="35" t="n">
        <v>0</v>
      </c>
      <c r="I422" s="34" t="n">
        <f aca="false">+IF(E422=0,0,E422*0.03)</f>
        <v>0</v>
      </c>
    </row>
    <row r="423" customFormat="false" ht="15.75" hidden="false" customHeight="true" outlineLevel="0" collapsed="false">
      <c r="A423" s="30" t="n">
        <v>45323</v>
      </c>
      <c r="B423" s="31" t="s">
        <v>11</v>
      </c>
      <c r="C423" s="32"/>
      <c r="D423" s="32"/>
      <c r="E423" s="19" t="n">
        <f aca="false">+IF(C423="EQUIPO",F423,0)</f>
        <v>0</v>
      </c>
      <c r="F423" s="33" t="n">
        <v>0</v>
      </c>
      <c r="G423" s="62"/>
      <c r="H423" s="35" t="n">
        <v>0</v>
      </c>
      <c r="I423" s="34" t="n">
        <f aca="false">+IF(E423=0,0,E423*0.03)</f>
        <v>0</v>
      </c>
    </row>
    <row r="424" customFormat="false" ht="15.75" hidden="false" customHeight="true" outlineLevel="0" collapsed="false">
      <c r="A424" s="30" t="n">
        <v>45323</v>
      </c>
      <c r="B424" s="31" t="s">
        <v>11</v>
      </c>
      <c r="C424" s="32"/>
      <c r="D424" s="32"/>
      <c r="E424" s="19" t="n">
        <f aca="false">+IF(C424="EQUIPO",F424,0)</f>
        <v>0</v>
      </c>
      <c r="F424" s="33" t="n">
        <v>0</v>
      </c>
      <c r="G424" s="62"/>
      <c r="H424" s="35" t="n">
        <v>0</v>
      </c>
      <c r="I424" s="34" t="n">
        <f aca="false">+IF(E424=0,0,E424*0.03)</f>
        <v>0</v>
      </c>
    </row>
    <row r="425" customFormat="false" ht="15.75" hidden="false" customHeight="true" outlineLevel="0" collapsed="false">
      <c r="A425" s="30" t="n">
        <v>45323</v>
      </c>
      <c r="B425" s="31" t="s">
        <v>11</v>
      </c>
      <c r="C425" s="32"/>
      <c r="D425" s="32"/>
      <c r="E425" s="19" t="n">
        <f aca="false">+IF(C425="EQUIPO",F425,0)</f>
        <v>0</v>
      </c>
      <c r="F425" s="33" t="n">
        <v>0</v>
      </c>
      <c r="G425" s="62"/>
      <c r="H425" s="35" t="n">
        <v>0</v>
      </c>
      <c r="I425" s="34" t="n">
        <f aca="false">+IF(E425=0,0,E425*0.03)</f>
        <v>0</v>
      </c>
    </row>
    <row r="426" customFormat="false" ht="15.75" hidden="false" customHeight="true" outlineLevel="0" collapsed="false">
      <c r="A426" s="30" t="n">
        <v>45323</v>
      </c>
      <c r="B426" s="31" t="s">
        <v>11</v>
      </c>
      <c r="C426" s="32"/>
      <c r="D426" s="32"/>
      <c r="E426" s="19" t="n">
        <f aca="false">+IF(C426="EQUIPO",F426,0)</f>
        <v>0</v>
      </c>
      <c r="F426" s="33" t="n">
        <v>0</v>
      </c>
      <c r="G426" s="62"/>
      <c r="H426" s="35" t="n">
        <v>0</v>
      </c>
      <c r="I426" s="34" t="n">
        <f aca="false">+IF(E426=0,0,E426*0.03)</f>
        <v>0</v>
      </c>
    </row>
    <row r="427" customFormat="false" ht="15.75" hidden="false" customHeight="true" outlineLevel="0" collapsed="false">
      <c r="A427" s="30" t="n">
        <v>45323</v>
      </c>
      <c r="B427" s="31" t="s">
        <v>11</v>
      </c>
      <c r="C427" s="32"/>
      <c r="D427" s="32"/>
      <c r="E427" s="19" t="n">
        <f aca="false">+IF(C427="EQUIPO",F427,0)</f>
        <v>0</v>
      </c>
      <c r="F427" s="33" t="n">
        <v>0</v>
      </c>
      <c r="G427" s="62"/>
      <c r="H427" s="35" t="n">
        <v>0</v>
      </c>
      <c r="I427" s="34" t="n">
        <f aca="false">+IF(E427=0,0,E427*0.03)</f>
        <v>0</v>
      </c>
    </row>
    <row r="428" customFormat="false" ht="15.75" hidden="false" customHeight="true" outlineLevel="0" collapsed="false">
      <c r="A428" s="30" t="n">
        <v>45323</v>
      </c>
      <c r="B428" s="31" t="s">
        <v>11</v>
      </c>
      <c r="C428" s="32"/>
      <c r="D428" s="32"/>
      <c r="E428" s="19" t="n">
        <f aca="false">+IF(C428="EQUIPO",F428,0)</f>
        <v>0</v>
      </c>
      <c r="F428" s="33" t="n">
        <v>0</v>
      </c>
      <c r="G428" s="62"/>
      <c r="H428" s="35" t="n">
        <v>0</v>
      </c>
      <c r="I428" s="34" t="n">
        <f aca="false">+IF(E428=0,0,E428*0.03)</f>
        <v>0</v>
      </c>
    </row>
    <row r="429" customFormat="false" ht="15.75" hidden="false" customHeight="true" outlineLevel="0" collapsed="false">
      <c r="A429" s="30" t="n">
        <v>45323</v>
      </c>
      <c r="B429" s="31" t="s">
        <v>11</v>
      </c>
      <c r="C429" s="32"/>
      <c r="D429" s="32"/>
      <c r="E429" s="19" t="n">
        <f aca="false">+IF(C429="EQUIPO",F429,0)</f>
        <v>0</v>
      </c>
      <c r="F429" s="33" t="n">
        <v>0</v>
      </c>
      <c r="G429" s="62"/>
      <c r="H429" s="35" t="n">
        <v>0</v>
      </c>
      <c r="I429" s="34" t="n">
        <f aca="false">+IF(E429=0,0,E429*0.03)</f>
        <v>0</v>
      </c>
    </row>
    <row r="430" customFormat="false" ht="15.75" hidden="false" customHeight="true" outlineLevel="0" collapsed="false">
      <c r="A430" s="30" t="n">
        <v>45323</v>
      </c>
      <c r="B430" s="31" t="s">
        <v>11</v>
      </c>
      <c r="C430" s="32"/>
      <c r="D430" s="32"/>
      <c r="E430" s="19" t="n">
        <f aca="false">+IF(C430="EQUIPO",F430,0)</f>
        <v>0</v>
      </c>
      <c r="F430" s="33" t="n">
        <v>0</v>
      </c>
      <c r="G430" s="62"/>
      <c r="H430" s="35" t="n">
        <v>0</v>
      </c>
      <c r="I430" s="34" t="n">
        <f aca="false">+IF(E430=0,0,E430*0.03)</f>
        <v>0</v>
      </c>
    </row>
    <row r="431" customFormat="false" ht="15.75" hidden="false" customHeight="true" outlineLevel="0" collapsed="false">
      <c r="A431" s="30" t="n">
        <v>45323</v>
      </c>
      <c r="B431" s="31" t="s">
        <v>11</v>
      </c>
      <c r="C431" s="32"/>
      <c r="D431" s="32"/>
      <c r="E431" s="19" t="n">
        <f aca="false">+IF(C431="EQUIPO",F431,0)</f>
        <v>0</v>
      </c>
      <c r="F431" s="33" t="n">
        <v>0</v>
      </c>
      <c r="G431" s="62"/>
      <c r="H431" s="35" t="n">
        <v>0</v>
      </c>
      <c r="I431" s="34" t="n">
        <f aca="false">+IF(E431=0,0,E431*0.03)</f>
        <v>0</v>
      </c>
    </row>
    <row r="432" customFormat="false" ht="15.75" hidden="false" customHeight="true" outlineLevel="0" collapsed="false">
      <c r="A432" s="30" t="n">
        <v>45323</v>
      </c>
      <c r="B432" s="31" t="s">
        <v>11</v>
      </c>
      <c r="C432" s="32"/>
      <c r="D432" s="32"/>
      <c r="E432" s="19" t="n">
        <f aca="false">+IF(C432="EQUIPO",F432,0)</f>
        <v>0</v>
      </c>
      <c r="F432" s="33" t="n">
        <v>0</v>
      </c>
      <c r="G432" s="62"/>
      <c r="H432" s="35" t="n">
        <v>0</v>
      </c>
      <c r="I432" s="34" t="n">
        <f aca="false">+IF(E432=0,0,E432*0.03)</f>
        <v>0</v>
      </c>
    </row>
    <row r="433" customFormat="false" ht="15.75" hidden="false" customHeight="true" outlineLevel="0" collapsed="false">
      <c r="A433" s="30" t="n">
        <v>45323</v>
      </c>
      <c r="B433" s="31" t="s">
        <v>11</v>
      </c>
      <c r="C433" s="32"/>
      <c r="D433" s="32"/>
      <c r="E433" s="19" t="n">
        <f aca="false">+IF(C433="EQUIPO",F433,0)</f>
        <v>0</v>
      </c>
      <c r="F433" s="33" t="n">
        <v>0</v>
      </c>
      <c r="G433" s="62"/>
      <c r="H433" s="35" t="n">
        <v>0</v>
      </c>
      <c r="I433" s="34" t="n">
        <f aca="false">+IF(E433=0,0,E433*0.03)</f>
        <v>0</v>
      </c>
    </row>
    <row r="434" customFormat="false" ht="15.75" hidden="false" customHeight="true" outlineLevel="0" collapsed="false">
      <c r="A434" s="30" t="n">
        <v>45323</v>
      </c>
      <c r="B434" s="31" t="s">
        <v>11</v>
      </c>
      <c r="C434" s="32"/>
      <c r="D434" s="32"/>
      <c r="E434" s="19" t="n">
        <f aca="false">+IF(C434="EQUIPO",F434,0)</f>
        <v>0</v>
      </c>
      <c r="F434" s="33" t="n">
        <v>0</v>
      </c>
      <c r="G434" s="62"/>
      <c r="H434" s="35" t="n">
        <v>0</v>
      </c>
      <c r="I434" s="34" t="n">
        <f aca="false">+IF(E434=0,0,E434*0.03)</f>
        <v>0</v>
      </c>
    </row>
    <row r="435" customFormat="false" ht="15.75" hidden="false" customHeight="true" outlineLevel="0" collapsed="false">
      <c r="A435" s="30" t="n">
        <v>45323</v>
      </c>
      <c r="B435" s="31" t="s">
        <v>11</v>
      </c>
      <c r="C435" s="32"/>
      <c r="D435" s="32"/>
      <c r="E435" s="19" t="n">
        <f aca="false">+IF(C435="EQUIPO",F435,0)</f>
        <v>0</v>
      </c>
      <c r="F435" s="33" t="n">
        <v>0</v>
      </c>
      <c r="G435" s="62"/>
      <c r="H435" s="35" t="n">
        <v>0</v>
      </c>
      <c r="I435" s="34" t="n">
        <f aca="false">+IF(E435=0,0,E435*0.03)</f>
        <v>0</v>
      </c>
    </row>
    <row r="436" customFormat="false" ht="15.75" hidden="false" customHeight="true" outlineLevel="0" collapsed="false">
      <c r="A436" s="30" t="n">
        <v>45323</v>
      </c>
      <c r="B436" s="31" t="s">
        <v>11</v>
      </c>
      <c r="C436" s="32"/>
      <c r="D436" s="32"/>
      <c r="E436" s="19" t="n">
        <f aca="false">+IF(C436="EQUIPO",F436,0)</f>
        <v>0</v>
      </c>
      <c r="F436" s="33" t="n">
        <v>0</v>
      </c>
      <c r="G436" s="62"/>
      <c r="H436" s="35" t="n">
        <v>0</v>
      </c>
      <c r="I436" s="34" t="n">
        <f aca="false">+IF(E436=0,0,E436*0.03)</f>
        <v>0</v>
      </c>
    </row>
    <row r="437" customFormat="false" ht="15.75" hidden="false" customHeight="true" outlineLevel="0" collapsed="false">
      <c r="A437" s="30" t="n">
        <v>45323</v>
      </c>
      <c r="B437" s="31" t="s">
        <v>11</v>
      </c>
      <c r="C437" s="32"/>
      <c r="D437" s="32"/>
      <c r="E437" s="19" t="n">
        <f aca="false">+IF(C437="EQUIPO",F437,0)</f>
        <v>0</v>
      </c>
      <c r="F437" s="33" t="n">
        <v>0</v>
      </c>
      <c r="G437" s="62"/>
      <c r="H437" s="35" t="n">
        <v>0</v>
      </c>
      <c r="I437" s="34" t="n">
        <f aca="false">+IF(E437=0,0,E437*0.03)</f>
        <v>0</v>
      </c>
    </row>
    <row r="438" customFormat="false" ht="15.75" hidden="false" customHeight="true" outlineLevel="0" collapsed="false">
      <c r="A438" s="30" t="n">
        <v>45323</v>
      </c>
      <c r="B438" s="31" t="s">
        <v>11</v>
      </c>
      <c r="C438" s="32"/>
      <c r="D438" s="32"/>
      <c r="E438" s="19" t="n">
        <f aca="false">+IF(C438="EQUIPO",F438,0)</f>
        <v>0</v>
      </c>
      <c r="F438" s="33" t="n">
        <v>0</v>
      </c>
      <c r="G438" s="62"/>
      <c r="H438" s="35" t="n">
        <v>0</v>
      </c>
      <c r="I438" s="34" t="n">
        <f aca="false">+IF(E438=0,0,E438*0.03)</f>
        <v>0</v>
      </c>
    </row>
    <row r="439" customFormat="false" ht="15.75" hidden="false" customHeight="true" outlineLevel="0" collapsed="false">
      <c r="A439" s="30" t="n">
        <v>45323</v>
      </c>
      <c r="B439" s="31" t="s">
        <v>11</v>
      </c>
      <c r="C439" s="32"/>
      <c r="D439" s="32"/>
      <c r="E439" s="19" t="n">
        <f aca="false">+IF(C439="EQUIPO",F439,0)</f>
        <v>0</v>
      </c>
      <c r="F439" s="33" t="n">
        <v>0</v>
      </c>
      <c r="G439" s="62"/>
      <c r="H439" s="35" t="n">
        <v>0</v>
      </c>
      <c r="I439" s="34" t="n">
        <f aca="false">+IF(E439=0,0,E439*0.03)</f>
        <v>0</v>
      </c>
    </row>
    <row r="440" customFormat="false" ht="15.75" hidden="false" customHeight="true" outlineLevel="0" collapsed="false">
      <c r="A440" s="30" t="n">
        <v>45323</v>
      </c>
      <c r="B440" s="31" t="s">
        <v>11</v>
      </c>
      <c r="C440" s="32"/>
      <c r="D440" s="32"/>
      <c r="E440" s="19" t="n">
        <f aca="false">+IF(C440="EQUIPO",F440,0)</f>
        <v>0</v>
      </c>
      <c r="F440" s="33" t="n">
        <v>0</v>
      </c>
      <c r="G440" s="62"/>
      <c r="H440" s="35" t="n">
        <v>0</v>
      </c>
      <c r="I440" s="34" t="n">
        <f aca="false">+IF(E440=0,0,E440*0.03)</f>
        <v>0</v>
      </c>
    </row>
    <row r="441" customFormat="false" ht="15.75" hidden="false" customHeight="true" outlineLevel="0" collapsed="false">
      <c r="A441" s="30" t="n">
        <v>45323</v>
      </c>
      <c r="B441" s="31" t="s">
        <v>11</v>
      </c>
      <c r="C441" s="32"/>
      <c r="D441" s="32"/>
      <c r="E441" s="19" t="n">
        <f aca="false">+IF(C441="EQUIPO",F441,0)</f>
        <v>0</v>
      </c>
      <c r="F441" s="33" t="n">
        <v>0</v>
      </c>
      <c r="G441" s="62"/>
      <c r="H441" s="35" t="n">
        <v>0</v>
      </c>
      <c r="I441" s="34" t="n">
        <f aca="false">+IF(E441=0,0,E441*0.03)</f>
        <v>0</v>
      </c>
    </row>
    <row r="442" customFormat="false" ht="15.75" hidden="false" customHeight="true" outlineLevel="0" collapsed="false">
      <c r="A442" s="30" t="n">
        <v>45323</v>
      </c>
      <c r="B442" s="31" t="s">
        <v>11</v>
      </c>
      <c r="C442" s="32"/>
      <c r="D442" s="32"/>
      <c r="E442" s="19" t="n">
        <f aca="false">+IF(C442="EQUIPO",F442,0)</f>
        <v>0</v>
      </c>
      <c r="F442" s="33" t="n">
        <v>0</v>
      </c>
      <c r="G442" s="62"/>
      <c r="H442" s="35" t="n">
        <v>0</v>
      </c>
      <c r="I442" s="34" t="n">
        <f aca="false">+IF(E442=0,0,E442*0.03)</f>
        <v>0</v>
      </c>
    </row>
    <row r="443" customFormat="false" ht="15.75" hidden="false" customHeight="true" outlineLevel="0" collapsed="false">
      <c r="A443" s="30" t="n">
        <v>45323</v>
      </c>
      <c r="B443" s="31" t="s">
        <v>11</v>
      </c>
      <c r="C443" s="32"/>
      <c r="D443" s="32"/>
      <c r="E443" s="19" t="n">
        <f aca="false">+IF(C443="EQUIPO",F443,0)</f>
        <v>0</v>
      </c>
      <c r="F443" s="33" t="n">
        <v>0</v>
      </c>
      <c r="G443" s="62"/>
      <c r="H443" s="35" t="n">
        <v>0</v>
      </c>
      <c r="I443" s="34" t="n">
        <f aca="false">+IF(E443=0,0,E443*0.03)</f>
        <v>0</v>
      </c>
    </row>
    <row r="444" customFormat="false" ht="15.75" hidden="false" customHeight="true" outlineLevel="0" collapsed="false">
      <c r="A444" s="30" t="n">
        <v>45323</v>
      </c>
      <c r="B444" s="31" t="s">
        <v>11</v>
      </c>
      <c r="C444" s="32"/>
      <c r="D444" s="32"/>
      <c r="E444" s="19" t="n">
        <f aca="false">+IF(C444="EQUIPO",F444,0)</f>
        <v>0</v>
      </c>
      <c r="F444" s="33" t="n">
        <v>0</v>
      </c>
      <c r="G444" s="62"/>
      <c r="H444" s="35" t="n">
        <v>0</v>
      </c>
      <c r="I444" s="34" t="n">
        <f aca="false">+IF(E444=0,0,E444*0.03)</f>
        <v>0</v>
      </c>
    </row>
    <row r="445" customFormat="false" ht="15.75" hidden="false" customHeight="true" outlineLevel="0" collapsed="false">
      <c r="A445" s="30" t="n">
        <v>45323</v>
      </c>
      <c r="B445" s="31" t="s">
        <v>11</v>
      </c>
      <c r="C445" s="32"/>
      <c r="D445" s="32"/>
      <c r="E445" s="19" t="n">
        <f aca="false">+IF(C445="EQUIPO",F445,0)</f>
        <v>0</v>
      </c>
      <c r="F445" s="33" t="n">
        <v>0</v>
      </c>
      <c r="G445" s="62"/>
      <c r="H445" s="35" t="n">
        <v>0</v>
      </c>
      <c r="I445" s="34" t="n">
        <f aca="false">+IF(E445=0,0,E445*0.03)</f>
        <v>0</v>
      </c>
    </row>
    <row r="446" customFormat="false" ht="15.75" hidden="false" customHeight="true" outlineLevel="0" collapsed="false">
      <c r="A446" s="30" t="n">
        <v>45323</v>
      </c>
      <c r="B446" s="31" t="s">
        <v>11</v>
      </c>
      <c r="C446" s="32"/>
      <c r="D446" s="32"/>
      <c r="E446" s="19" t="n">
        <f aca="false">+IF(C446="EQUIPO",F446,0)</f>
        <v>0</v>
      </c>
      <c r="F446" s="33" t="n">
        <v>0</v>
      </c>
      <c r="G446" s="62"/>
      <c r="H446" s="35" t="n">
        <v>0</v>
      </c>
      <c r="I446" s="34" t="n">
        <f aca="false">+IF(E446=0,0,E446*0.03)</f>
        <v>0</v>
      </c>
    </row>
    <row r="447" customFormat="false" ht="15.75" hidden="false" customHeight="true" outlineLevel="0" collapsed="false">
      <c r="A447" s="30" t="n">
        <v>45323</v>
      </c>
      <c r="B447" s="31" t="s">
        <v>11</v>
      </c>
      <c r="C447" s="32"/>
      <c r="D447" s="32"/>
      <c r="E447" s="19" t="n">
        <f aca="false">+IF(C447="EQUIPO",F447,0)</f>
        <v>0</v>
      </c>
      <c r="F447" s="33" t="n">
        <v>0</v>
      </c>
      <c r="G447" s="62"/>
      <c r="H447" s="35" t="n">
        <v>0</v>
      </c>
      <c r="I447" s="34" t="n">
        <f aca="false">+IF(E447=0,0,E447*0.03)</f>
        <v>0</v>
      </c>
    </row>
    <row r="448" customFormat="false" ht="15.75" hidden="false" customHeight="true" outlineLevel="0" collapsed="false">
      <c r="A448" s="30" t="n">
        <v>45323</v>
      </c>
      <c r="B448" s="31" t="s">
        <v>11</v>
      </c>
      <c r="C448" s="32"/>
      <c r="D448" s="32"/>
      <c r="E448" s="19" t="n">
        <f aca="false">+IF(C448="EQUIPO",F448,0)</f>
        <v>0</v>
      </c>
      <c r="F448" s="33" t="n">
        <v>0</v>
      </c>
      <c r="G448" s="62"/>
      <c r="H448" s="35" t="n">
        <v>0</v>
      </c>
      <c r="I448" s="34" t="n">
        <f aca="false">+IF(E448=0,0,E448*0.03)</f>
        <v>0</v>
      </c>
    </row>
    <row r="449" customFormat="false" ht="15.75" hidden="false" customHeight="true" outlineLevel="0" collapsed="false">
      <c r="A449" s="30" t="n">
        <v>45323</v>
      </c>
      <c r="B449" s="31" t="s">
        <v>11</v>
      </c>
      <c r="C449" s="32"/>
      <c r="D449" s="32"/>
      <c r="E449" s="19" t="n">
        <f aca="false">+IF(C449="EQUIPO",F449,0)</f>
        <v>0</v>
      </c>
      <c r="F449" s="33" t="n">
        <v>0</v>
      </c>
      <c r="G449" s="62"/>
      <c r="H449" s="35" t="n">
        <v>0</v>
      </c>
      <c r="I449" s="34" t="n">
        <f aca="false">+IF(E449=0,0,E449*0.03)</f>
        <v>0</v>
      </c>
    </row>
    <row r="450" customFormat="false" ht="15.75" hidden="false" customHeight="true" outlineLevel="0" collapsed="false">
      <c r="A450" s="30" t="n">
        <v>45323</v>
      </c>
      <c r="B450" s="31" t="s">
        <v>11</v>
      </c>
      <c r="C450" s="32"/>
      <c r="D450" s="32"/>
      <c r="E450" s="19" t="n">
        <f aca="false">+IF(C450="EQUIPO",F450,0)</f>
        <v>0</v>
      </c>
      <c r="F450" s="33" t="n">
        <v>0</v>
      </c>
      <c r="G450" s="62"/>
      <c r="H450" s="35" t="n">
        <v>0</v>
      </c>
      <c r="I450" s="34" t="n">
        <f aca="false">+IF(E450=0,0,E450*0.03)</f>
        <v>0</v>
      </c>
    </row>
    <row r="451" customFormat="false" ht="15.75" hidden="false" customHeight="true" outlineLevel="0" collapsed="false">
      <c r="A451" s="30" t="n">
        <v>45323</v>
      </c>
      <c r="B451" s="31" t="s">
        <v>11</v>
      </c>
      <c r="C451" s="32"/>
      <c r="D451" s="32"/>
      <c r="E451" s="19" t="n">
        <f aca="false">+IF(C451="EQUIPO",F451,0)</f>
        <v>0</v>
      </c>
      <c r="F451" s="33" t="n">
        <v>0</v>
      </c>
      <c r="G451" s="62"/>
      <c r="H451" s="35" t="n">
        <v>0</v>
      </c>
      <c r="I451" s="34" t="n">
        <f aca="false">+IF(E451=0,0,E451*0.03)</f>
        <v>0</v>
      </c>
    </row>
    <row r="452" customFormat="false" ht="15.75" hidden="false" customHeight="true" outlineLevel="0" collapsed="false">
      <c r="A452" s="30" t="n">
        <v>45323</v>
      </c>
      <c r="B452" s="31" t="s">
        <v>11</v>
      </c>
      <c r="C452" s="32"/>
      <c r="D452" s="32"/>
      <c r="E452" s="19" t="n">
        <f aca="false">+IF(C452="EQUIPO",F452,0)</f>
        <v>0</v>
      </c>
      <c r="F452" s="33" t="n">
        <v>0</v>
      </c>
      <c r="G452" s="62"/>
      <c r="H452" s="35" t="n">
        <v>0</v>
      </c>
      <c r="I452" s="34" t="n">
        <f aca="false">+IF(E452=0,0,E452*0.03)</f>
        <v>0</v>
      </c>
    </row>
    <row r="453" customFormat="false" ht="15.75" hidden="false" customHeight="true" outlineLevel="0" collapsed="false">
      <c r="A453" s="30" t="n">
        <v>45323</v>
      </c>
      <c r="B453" s="31" t="s">
        <v>11</v>
      </c>
      <c r="C453" s="32"/>
      <c r="D453" s="32"/>
      <c r="E453" s="19" t="n">
        <f aca="false">+IF(C453="EQUIPO",F453,0)</f>
        <v>0</v>
      </c>
      <c r="F453" s="33" t="n">
        <v>0</v>
      </c>
      <c r="G453" s="62"/>
      <c r="H453" s="35" t="n">
        <v>0</v>
      </c>
      <c r="I453" s="34" t="n">
        <f aca="false">+IF(E453=0,0,E453*0.03)</f>
        <v>0</v>
      </c>
    </row>
    <row r="454" customFormat="false" ht="15.75" hidden="false" customHeight="true" outlineLevel="0" collapsed="false">
      <c r="A454" s="30" t="n">
        <v>45323</v>
      </c>
      <c r="B454" s="31" t="s">
        <v>11</v>
      </c>
      <c r="C454" s="32"/>
      <c r="D454" s="32"/>
      <c r="E454" s="19" t="n">
        <f aca="false">+IF(C454="EQUIPO",F454,0)</f>
        <v>0</v>
      </c>
      <c r="F454" s="33" t="n">
        <v>0</v>
      </c>
      <c r="G454" s="62"/>
      <c r="H454" s="35" t="n">
        <v>0</v>
      </c>
      <c r="I454" s="34" t="n">
        <f aca="false">+IF(E454=0,0,E454*0.03)</f>
        <v>0</v>
      </c>
    </row>
    <row r="455" customFormat="false" ht="15.75" hidden="false" customHeight="true" outlineLevel="0" collapsed="false">
      <c r="A455" s="30" t="n">
        <v>45323</v>
      </c>
      <c r="B455" s="31" t="s">
        <v>11</v>
      </c>
      <c r="C455" s="32"/>
      <c r="D455" s="32"/>
      <c r="E455" s="19" t="n">
        <f aca="false">+IF(C455="EQUIPO",F455,0)</f>
        <v>0</v>
      </c>
      <c r="F455" s="33" t="n">
        <v>0</v>
      </c>
      <c r="G455" s="62"/>
      <c r="H455" s="35" t="n">
        <v>0</v>
      </c>
      <c r="I455" s="34" t="n">
        <f aca="false">+IF(E455=0,0,E455*0.03)</f>
        <v>0</v>
      </c>
    </row>
    <row r="456" customFormat="false" ht="15.75" hidden="false" customHeight="true" outlineLevel="0" collapsed="false">
      <c r="A456" s="30" t="n">
        <v>45323</v>
      </c>
      <c r="B456" s="31" t="s">
        <v>11</v>
      </c>
      <c r="C456" s="32"/>
      <c r="D456" s="32"/>
      <c r="E456" s="19" t="n">
        <f aca="false">+IF(C456="EQUIPO",F456,0)</f>
        <v>0</v>
      </c>
      <c r="F456" s="33" t="n">
        <v>0</v>
      </c>
      <c r="G456" s="62"/>
      <c r="H456" s="35" t="n">
        <v>0</v>
      </c>
      <c r="I456" s="34" t="n">
        <f aca="false">+IF(E456=0,0,E456*0.03)</f>
        <v>0</v>
      </c>
    </row>
    <row r="457" customFormat="false" ht="15.75" hidden="false" customHeight="true" outlineLevel="0" collapsed="false">
      <c r="A457" s="30" t="n">
        <v>45323</v>
      </c>
      <c r="B457" s="31" t="s">
        <v>11</v>
      </c>
      <c r="C457" s="32"/>
      <c r="D457" s="32"/>
      <c r="E457" s="19" t="n">
        <f aca="false">+IF(C457="EQUIPO",F457,0)</f>
        <v>0</v>
      </c>
      <c r="F457" s="33" t="n">
        <v>0</v>
      </c>
      <c r="G457" s="62"/>
      <c r="H457" s="35" t="n">
        <v>0</v>
      </c>
      <c r="I457" s="34" t="n">
        <f aca="false">+IF(E457=0,0,E457*0.03)</f>
        <v>0</v>
      </c>
    </row>
    <row r="458" customFormat="false" ht="15.75" hidden="false" customHeight="true" outlineLevel="0" collapsed="false">
      <c r="A458" s="30" t="n">
        <v>45323</v>
      </c>
      <c r="B458" s="31" t="s">
        <v>11</v>
      </c>
      <c r="C458" s="32"/>
      <c r="D458" s="32"/>
      <c r="E458" s="19" t="n">
        <f aca="false">+IF(C458="EQUIPO",F458,0)</f>
        <v>0</v>
      </c>
      <c r="F458" s="33" t="n">
        <v>0</v>
      </c>
      <c r="G458" s="62"/>
      <c r="H458" s="35" t="n">
        <v>0</v>
      </c>
      <c r="I458" s="34" t="n">
        <f aca="false">+IF(E458=0,0,E458*0.03)</f>
        <v>0</v>
      </c>
    </row>
    <row r="459" customFormat="false" ht="15.75" hidden="false" customHeight="true" outlineLevel="0" collapsed="false">
      <c r="A459" s="30" t="n">
        <v>45323</v>
      </c>
      <c r="B459" s="31" t="s">
        <v>11</v>
      </c>
      <c r="C459" s="32"/>
      <c r="D459" s="32"/>
      <c r="E459" s="19" t="n">
        <f aca="false">+IF(C459="EQUIPO",F459,0)</f>
        <v>0</v>
      </c>
      <c r="F459" s="33" t="n">
        <v>0</v>
      </c>
      <c r="G459" s="62"/>
      <c r="H459" s="35" t="n">
        <v>0</v>
      </c>
      <c r="I459" s="34" t="n">
        <f aca="false">+IF(E459=0,0,E459*0.03)</f>
        <v>0</v>
      </c>
    </row>
    <row r="460" customFormat="false" ht="15.75" hidden="false" customHeight="true" outlineLevel="0" collapsed="false">
      <c r="A460" s="30" t="n">
        <v>45323</v>
      </c>
      <c r="B460" s="31" t="s">
        <v>11</v>
      </c>
      <c r="C460" s="32"/>
      <c r="D460" s="32"/>
      <c r="E460" s="19" t="n">
        <f aca="false">+IF(C460="EQUIPO",F460,0)</f>
        <v>0</v>
      </c>
      <c r="F460" s="33" t="n">
        <v>0</v>
      </c>
      <c r="G460" s="62"/>
      <c r="H460" s="35" t="n">
        <v>0</v>
      </c>
      <c r="I460" s="34" t="n">
        <f aca="false">+IF(E460=0,0,E460*0.03)</f>
        <v>0</v>
      </c>
    </row>
    <row r="461" customFormat="false" ht="15.75" hidden="false" customHeight="true" outlineLevel="0" collapsed="false">
      <c r="A461" s="30" t="n">
        <v>45323</v>
      </c>
      <c r="B461" s="31" t="s">
        <v>11</v>
      </c>
      <c r="C461" s="32"/>
      <c r="D461" s="32"/>
      <c r="E461" s="19" t="n">
        <f aca="false">+IF(C461="EQUIPO",F461,0)</f>
        <v>0</v>
      </c>
      <c r="F461" s="33" t="n">
        <v>0</v>
      </c>
      <c r="G461" s="62"/>
      <c r="H461" s="35" t="n">
        <v>0</v>
      </c>
      <c r="I461" s="34" t="n">
        <f aca="false">+IF(E461=0,0,E461*0.03)</f>
        <v>0</v>
      </c>
    </row>
    <row r="462" customFormat="false" ht="15.75" hidden="false" customHeight="true" outlineLevel="0" collapsed="false">
      <c r="A462" s="30" t="n">
        <v>45323</v>
      </c>
      <c r="B462" s="31" t="s">
        <v>11</v>
      </c>
      <c r="C462" s="32"/>
      <c r="D462" s="32"/>
      <c r="E462" s="19" t="n">
        <f aca="false">+IF(C462="EQUIPO",F462,0)</f>
        <v>0</v>
      </c>
      <c r="F462" s="33" t="n">
        <v>0</v>
      </c>
      <c r="G462" s="62"/>
      <c r="H462" s="35" t="n">
        <v>0</v>
      </c>
      <c r="I462" s="34" t="n">
        <f aca="false">+IF(E462=0,0,E462*0.03)</f>
        <v>0</v>
      </c>
    </row>
    <row r="463" customFormat="false" ht="15.75" hidden="false" customHeight="true" outlineLevel="0" collapsed="false">
      <c r="A463" s="30" t="n">
        <v>45323</v>
      </c>
      <c r="B463" s="31" t="s">
        <v>11</v>
      </c>
      <c r="C463" s="32"/>
      <c r="D463" s="32"/>
      <c r="E463" s="19" t="n">
        <f aca="false">+IF(C463="EQUIPO",F463,0)</f>
        <v>0</v>
      </c>
      <c r="F463" s="33" t="n">
        <v>0</v>
      </c>
      <c r="G463" s="62"/>
      <c r="H463" s="35" t="n">
        <v>0</v>
      </c>
      <c r="I463" s="34" t="n">
        <f aca="false">+IF(E463=0,0,E463*0.03)</f>
        <v>0</v>
      </c>
    </row>
    <row r="464" customFormat="false" ht="15.75" hidden="false" customHeight="true" outlineLevel="0" collapsed="false">
      <c r="A464" s="30" t="n">
        <v>45323</v>
      </c>
      <c r="B464" s="31" t="s">
        <v>11</v>
      </c>
      <c r="C464" s="32"/>
      <c r="D464" s="32"/>
      <c r="E464" s="19" t="n">
        <f aca="false">+IF(C464="EQUIPO",F464,0)</f>
        <v>0</v>
      </c>
      <c r="F464" s="33" t="n">
        <v>0</v>
      </c>
      <c r="G464" s="62"/>
      <c r="H464" s="35" t="n">
        <v>0</v>
      </c>
      <c r="I464" s="34" t="n">
        <f aca="false">+IF(E464=0,0,E464*0.03)</f>
        <v>0</v>
      </c>
    </row>
    <row r="465" customFormat="false" ht="15.75" hidden="false" customHeight="true" outlineLevel="0" collapsed="false">
      <c r="A465" s="30" t="n">
        <v>45323</v>
      </c>
      <c r="B465" s="31" t="s">
        <v>11</v>
      </c>
      <c r="C465" s="32"/>
      <c r="D465" s="32"/>
      <c r="E465" s="19" t="n">
        <f aca="false">+IF(C465="EQUIPO",F465,0)</f>
        <v>0</v>
      </c>
      <c r="F465" s="33" t="n">
        <v>0</v>
      </c>
      <c r="G465" s="62"/>
      <c r="H465" s="35" t="n">
        <v>0</v>
      </c>
      <c r="I465" s="34" t="n">
        <f aca="false">+IF(E465=0,0,E465*0.03)</f>
        <v>0</v>
      </c>
    </row>
    <row r="466" customFormat="false" ht="15.75" hidden="false" customHeight="true" outlineLevel="0" collapsed="false">
      <c r="A466" s="30" t="n">
        <v>45323</v>
      </c>
      <c r="B466" s="31" t="s">
        <v>11</v>
      </c>
      <c r="C466" s="32"/>
      <c r="D466" s="32"/>
      <c r="E466" s="19" t="n">
        <f aca="false">+IF(C466="EQUIPO",F466,0)</f>
        <v>0</v>
      </c>
      <c r="F466" s="33" t="n">
        <v>0</v>
      </c>
      <c r="G466" s="62"/>
      <c r="H466" s="35" t="n">
        <v>0</v>
      </c>
      <c r="I466" s="34" t="n">
        <f aca="false">+IF(E466=0,0,E466*0.03)</f>
        <v>0</v>
      </c>
    </row>
    <row r="467" customFormat="false" ht="15.75" hidden="false" customHeight="true" outlineLevel="0" collapsed="false">
      <c r="A467" s="30" t="n">
        <v>45323</v>
      </c>
      <c r="B467" s="31" t="s">
        <v>11</v>
      </c>
      <c r="C467" s="32"/>
      <c r="D467" s="32"/>
      <c r="E467" s="19" t="n">
        <f aca="false">+IF(C467="EQUIPO",F467,0)</f>
        <v>0</v>
      </c>
      <c r="F467" s="33" t="n">
        <v>0</v>
      </c>
      <c r="G467" s="62"/>
      <c r="H467" s="35" t="n">
        <v>0</v>
      </c>
      <c r="I467" s="34" t="n">
        <f aca="false">+IF(E467=0,0,E467*0.03)</f>
        <v>0</v>
      </c>
    </row>
    <row r="468" customFormat="false" ht="15.75" hidden="false" customHeight="true" outlineLevel="0" collapsed="false">
      <c r="A468" s="30" t="n">
        <v>45323</v>
      </c>
      <c r="B468" s="31" t="s">
        <v>11</v>
      </c>
      <c r="C468" s="32"/>
      <c r="D468" s="32"/>
      <c r="E468" s="19" t="n">
        <f aca="false">+IF(C468="EQUIPO",F468,0)</f>
        <v>0</v>
      </c>
      <c r="F468" s="33" t="n">
        <v>0</v>
      </c>
      <c r="G468" s="62"/>
      <c r="H468" s="35" t="n">
        <v>0</v>
      </c>
      <c r="I468" s="34" t="n">
        <f aca="false">+IF(E468=0,0,E468*0.03)</f>
        <v>0</v>
      </c>
    </row>
    <row r="469" customFormat="false" ht="15.75" hidden="false" customHeight="true" outlineLevel="0" collapsed="false">
      <c r="A469" s="30" t="n">
        <v>45323</v>
      </c>
      <c r="B469" s="31" t="s">
        <v>11</v>
      </c>
      <c r="C469" s="32"/>
      <c r="D469" s="32"/>
      <c r="E469" s="19" t="n">
        <f aca="false">+IF(C469="EQUIPO",F469,0)</f>
        <v>0</v>
      </c>
      <c r="F469" s="33" t="n">
        <v>0</v>
      </c>
      <c r="G469" s="62"/>
      <c r="H469" s="35" t="n">
        <v>0</v>
      </c>
      <c r="I469" s="34" t="n">
        <f aca="false">+IF(E469=0,0,E469*0.03)</f>
        <v>0</v>
      </c>
    </row>
    <row r="470" customFormat="false" ht="15.75" hidden="false" customHeight="true" outlineLevel="0" collapsed="false">
      <c r="A470" s="30" t="n">
        <v>45323</v>
      </c>
      <c r="B470" s="31" t="s">
        <v>11</v>
      </c>
      <c r="C470" s="32"/>
      <c r="D470" s="32"/>
      <c r="E470" s="19" t="n">
        <f aca="false">+IF(C470="EQUIPO",F470,0)</f>
        <v>0</v>
      </c>
      <c r="F470" s="33" t="n">
        <v>0</v>
      </c>
      <c r="G470" s="62"/>
      <c r="H470" s="35" t="n">
        <v>0</v>
      </c>
      <c r="I470" s="34" t="n">
        <f aca="false">+IF(E470=0,0,E470*0.03)</f>
        <v>0</v>
      </c>
    </row>
    <row r="471" customFormat="false" ht="15.75" hidden="false" customHeight="true" outlineLevel="0" collapsed="false">
      <c r="A471" s="30" t="n">
        <v>45323</v>
      </c>
      <c r="B471" s="31" t="s">
        <v>11</v>
      </c>
      <c r="C471" s="32"/>
      <c r="D471" s="32"/>
      <c r="E471" s="19" t="n">
        <f aca="false">+IF(C471="EQUIPO",F471,0)</f>
        <v>0</v>
      </c>
      <c r="F471" s="33" t="n">
        <v>0</v>
      </c>
      <c r="G471" s="62"/>
      <c r="H471" s="35" t="n">
        <v>0</v>
      </c>
      <c r="I471" s="34" t="n">
        <f aca="false">+IF(E471=0,0,E471*0.03)</f>
        <v>0</v>
      </c>
    </row>
    <row r="472" customFormat="false" ht="15.75" hidden="false" customHeight="true" outlineLevel="0" collapsed="false">
      <c r="A472" s="30" t="n">
        <v>45323</v>
      </c>
      <c r="B472" s="31" t="s">
        <v>11</v>
      </c>
      <c r="C472" s="32"/>
      <c r="D472" s="32"/>
      <c r="E472" s="19" t="n">
        <f aca="false">+IF(C472="EQUIPO",F472,0)</f>
        <v>0</v>
      </c>
      <c r="F472" s="33" t="n">
        <v>0</v>
      </c>
      <c r="G472" s="62"/>
      <c r="H472" s="35" t="n">
        <v>0</v>
      </c>
      <c r="I472" s="34" t="n">
        <f aca="false">+IF(E472=0,0,E472*0.03)</f>
        <v>0</v>
      </c>
    </row>
    <row r="473" customFormat="false" ht="15.75" hidden="false" customHeight="true" outlineLevel="0" collapsed="false">
      <c r="A473" s="30" t="n">
        <v>45323</v>
      </c>
      <c r="B473" s="31" t="s">
        <v>11</v>
      </c>
      <c r="C473" s="32"/>
      <c r="D473" s="32"/>
      <c r="E473" s="19" t="n">
        <f aca="false">+IF(C473="EQUIPO",F473,0)</f>
        <v>0</v>
      </c>
      <c r="F473" s="33" t="n">
        <v>0</v>
      </c>
      <c r="G473" s="62"/>
      <c r="H473" s="35" t="n">
        <v>0</v>
      </c>
      <c r="I473" s="34" t="n">
        <f aca="false">+IF(E473=0,0,E473*0.03)</f>
        <v>0</v>
      </c>
    </row>
    <row r="474" customFormat="false" ht="15.75" hidden="false" customHeight="true" outlineLevel="0" collapsed="false">
      <c r="A474" s="30" t="n">
        <v>45323</v>
      </c>
      <c r="B474" s="31" t="s">
        <v>11</v>
      </c>
      <c r="C474" s="32"/>
      <c r="D474" s="32"/>
      <c r="E474" s="19" t="n">
        <f aca="false">+IF(C474="EQUIPO",F474,0)</f>
        <v>0</v>
      </c>
      <c r="F474" s="33" t="n">
        <v>0</v>
      </c>
      <c r="G474" s="62"/>
      <c r="H474" s="35" t="n">
        <v>0</v>
      </c>
      <c r="I474" s="34" t="n">
        <f aca="false">+IF(E474=0,0,E474*0.03)</f>
        <v>0</v>
      </c>
    </row>
    <row r="475" customFormat="false" ht="15.75" hidden="false" customHeight="true" outlineLevel="0" collapsed="false">
      <c r="A475" s="30" t="n">
        <v>45323</v>
      </c>
      <c r="B475" s="31" t="s">
        <v>11</v>
      </c>
      <c r="C475" s="32"/>
      <c r="D475" s="32"/>
      <c r="E475" s="19" t="n">
        <f aca="false">+IF(C475="EQUIPO",F475,0)</f>
        <v>0</v>
      </c>
      <c r="F475" s="33" t="n">
        <v>0</v>
      </c>
      <c r="G475" s="62"/>
      <c r="H475" s="35" t="n">
        <v>0</v>
      </c>
      <c r="I475" s="34" t="n">
        <f aca="false">+IF(E475=0,0,E475*0.03)</f>
        <v>0</v>
      </c>
    </row>
    <row r="476" customFormat="false" ht="15.75" hidden="false" customHeight="true" outlineLevel="0" collapsed="false">
      <c r="A476" s="30" t="n">
        <v>45323</v>
      </c>
      <c r="B476" s="31" t="s">
        <v>11</v>
      </c>
      <c r="C476" s="32"/>
      <c r="D476" s="32"/>
      <c r="E476" s="19" t="n">
        <f aca="false">+IF(C476="EQUIPO",F476,0)</f>
        <v>0</v>
      </c>
      <c r="F476" s="33" t="n">
        <v>0</v>
      </c>
      <c r="G476" s="62"/>
      <c r="H476" s="35" t="n">
        <v>0</v>
      </c>
      <c r="I476" s="34" t="n">
        <f aca="false">+IF(E476=0,0,E476*0.03)</f>
        <v>0</v>
      </c>
    </row>
    <row r="477" customFormat="false" ht="15.75" hidden="false" customHeight="true" outlineLevel="0" collapsed="false">
      <c r="A477" s="30" t="n">
        <v>45323</v>
      </c>
      <c r="B477" s="31" t="s">
        <v>11</v>
      </c>
      <c r="C477" s="32"/>
      <c r="D477" s="32"/>
      <c r="E477" s="19" t="n">
        <f aca="false">+IF(C477="EQUIPO",F477,0)</f>
        <v>0</v>
      </c>
      <c r="F477" s="33" t="n">
        <v>0</v>
      </c>
      <c r="G477" s="62"/>
      <c r="H477" s="35" t="n">
        <v>0</v>
      </c>
      <c r="I477" s="34" t="n">
        <f aca="false">+IF(E477=0,0,E477*0.03)</f>
        <v>0</v>
      </c>
    </row>
    <row r="478" customFormat="false" ht="15.75" hidden="false" customHeight="true" outlineLevel="0" collapsed="false">
      <c r="A478" s="30" t="n">
        <v>45323</v>
      </c>
      <c r="B478" s="31" t="s">
        <v>11</v>
      </c>
      <c r="C478" s="32"/>
      <c r="D478" s="32"/>
      <c r="E478" s="19" t="n">
        <f aca="false">+IF(C478="EQUIPO",F478,0)</f>
        <v>0</v>
      </c>
      <c r="F478" s="33" t="n">
        <v>0</v>
      </c>
      <c r="G478" s="62"/>
      <c r="H478" s="35" t="n">
        <v>0</v>
      </c>
      <c r="I478" s="34" t="n">
        <f aca="false">+IF(E478=0,0,E478*0.03)</f>
        <v>0</v>
      </c>
    </row>
    <row r="479" customFormat="false" ht="15.75" hidden="false" customHeight="true" outlineLevel="0" collapsed="false">
      <c r="A479" s="30" t="n">
        <v>45323</v>
      </c>
      <c r="B479" s="31" t="s">
        <v>11</v>
      </c>
      <c r="C479" s="32"/>
      <c r="D479" s="32"/>
      <c r="E479" s="19" t="n">
        <f aca="false">+IF(C479="EQUIPO",F479,0)</f>
        <v>0</v>
      </c>
      <c r="F479" s="33" t="n">
        <v>0</v>
      </c>
      <c r="G479" s="62"/>
      <c r="H479" s="35" t="n">
        <v>0</v>
      </c>
      <c r="I479" s="34" t="n">
        <f aca="false">+IF(E479=0,0,E479*0.03)</f>
        <v>0</v>
      </c>
    </row>
    <row r="480" customFormat="false" ht="15.75" hidden="false" customHeight="true" outlineLevel="0" collapsed="false">
      <c r="A480" s="30" t="n">
        <v>45323</v>
      </c>
      <c r="B480" s="31" t="s">
        <v>11</v>
      </c>
      <c r="C480" s="32"/>
      <c r="D480" s="32"/>
      <c r="E480" s="19" t="n">
        <f aca="false">+IF(C480="EQUIPO",F480,0)</f>
        <v>0</v>
      </c>
      <c r="F480" s="33" t="n">
        <v>0</v>
      </c>
      <c r="G480" s="62"/>
      <c r="H480" s="35" t="n">
        <v>0</v>
      </c>
      <c r="I480" s="34" t="n">
        <f aca="false">+IF(E480=0,0,E480*0.03)</f>
        <v>0</v>
      </c>
    </row>
    <row r="481" customFormat="false" ht="15.75" hidden="false" customHeight="true" outlineLevel="0" collapsed="false">
      <c r="A481" s="30" t="n">
        <v>45323</v>
      </c>
      <c r="B481" s="31" t="s">
        <v>11</v>
      </c>
      <c r="C481" s="32"/>
      <c r="D481" s="32"/>
      <c r="E481" s="19" t="n">
        <f aca="false">+IF(C481="EQUIPO",F481,0)</f>
        <v>0</v>
      </c>
      <c r="F481" s="33" t="n">
        <v>0</v>
      </c>
      <c r="G481" s="62"/>
      <c r="H481" s="35" t="n">
        <v>0</v>
      </c>
      <c r="I481" s="34" t="n">
        <f aca="false">+IF(E481=0,0,E481*0.03)</f>
        <v>0</v>
      </c>
    </row>
    <row r="482" customFormat="false" ht="15.75" hidden="false" customHeight="true" outlineLevel="0" collapsed="false">
      <c r="A482" s="30" t="n">
        <v>45323</v>
      </c>
      <c r="B482" s="31" t="s">
        <v>11</v>
      </c>
      <c r="C482" s="32"/>
      <c r="D482" s="32"/>
      <c r="E482" s="19" t="n">
        <f aca="false">+IF(C482="EQUIPO",F482,0)</f>
        <v>0</v>
      </c>
      <c r="F482" s="33" t="n">
        <v>0</v>
      </c>
      <c r="G482" s="62"/>
      <c r="H482" s="35" t="n">
        <v>0</v>
      </c>
      <c r="I482" s="34" t="n">
        <f aca="false">+IF(E482=0,0,E482*0.03)</f>
        <v>0</v>
      </c>
    </row>
    <row r="483" customFormat="false" ht="15.75" hidden="false" customHeight="true" outlineLevel="0" collapsed="false">
      <c r="A483" s="30" t="n">
        <v>45323</v>
      </c>
      <c r="B483" s="31" t="s">
        <v>11</v>
      </c>
      <c r="C483" s="32"/>
      <c r="D483" s="32"/>
      <c r="E483" s="19" t="n">
        <f aca="false">+IF(C483="EQUIPO",F483,0)</f>
        <v>0</v>
      </c>
      <c r="F483" s="33" t="n">
        <v>0</v>
      </c>
      <c r="G483" s="62"/>
      <c r="H483" s="35" t="n">
        <v>0</v>
      </c>
      <c r="I483" s="34" t="n">
        <f aca="false">+IF(E483=0,0,E483*0.03)</f>
        <v>0</v>
      </c>
    </row>
    <row r="484" customFormat="false" ht="15.75" hidden="false" customHeight="true" outlineLevel="0" collapsed="false">
      <c r="A484" s="30" t="n">
        <v>45323</v>
      </c>
      <c r="B484" s="31" t="s">
        <v>11</v>
      </c>
      <c r="C484" s="32"/>
      <c r="D484" s="32"/>
      <c r="E484" s="19" t="n">
        <f aca="false">+IF(C484="EQUIPO",F484,0)</f>
        <v>0</v>
      </c>
      <c r="F484" s="33" t="n">
        <v>0</v>
      </c>
      <c r="G484" s="62"/>
      <c r="H484" s="35" t="n">
        <v>0</v>
      </c>
      <c r="I484" s="34" t="n">
        <f aca="false">+IF(E484=0,0,E484*0.03)</f>
        <v>0</v>
      </c>
    </row>
    <row r="485" customFormat="false" ht="15.75" hidden="false" customHeight="true" outlineLevel="0" collapsed="false">
      <c r="A485" s="30" t="n">
        <v>45323</v>
      </c>
      <c r="B485" s="31" t="s">
        <v>11</v>
      </c>
      <c r="C485" s="32"/>
      <c r="D485" s="32"/>
      <c r="E485" s="19" t="n">
        <f aca="false">+IF(C485="EQUIPO",F485,0)</f>
        <v>0</v>
      </c>
      <c r="F485" s="33" t="n">
        <v>0</v>
      </c>
      <c r="G485" s="62"/>
      <c r="H485" s="35" t="n">
        <v>0</v>
      </c>
      <c r="I485" s="34" t="n">
        <f aca="false">+IF(E485=0,0,E485*0.03)</f>
        <v>0</v>
      </c>
    </row>
    <row r="486" customFormat="false" ht="15.75" hidden="false" customHeight="true" outlineLevel="0" collapsed="false">
      <c r="A486" s="30" t="n">
        <v>45323</v>
      </c>
      <c r="B486" s="31" t="s">
        <v>11</v>
      </c>
      <c r="C486" s="32"/>
      <c r="D486" s="32"/>
      <c r="E486" s="19" t="n">
        <f aca="false">+IF(C486="EQUIPO",F486,0)</f>
        <v>0</v>
      </c>
      <c r="F486" s="33" t="n">
        <v>0</v>
      </c>
      <c r="G486" s="62"/>
      <c r="H486" s="35" t="n">
        <v>0</v>
      </c>
      <c r="I486" s="34" t="n">
        <f aca="false">+IF(E486=0,0,E486*0.03)</f>
        <v>0</v>
      </c>
    </row>
    <row r="487" customFormat="false" ht="15.75" hidden="false" customHeight="true" outlineLevel="0" collapsed="false">
      <c r="A487" s="30" t="n">
        <v>45323</v>
      </c>
      <c r="B487" s="31" t="s">
        <v>11</v>
      </c>
      <c r="C487" s="32"/>
      <c r="D487" s="32"/>
      <c r="E487" s="19" t="n">
        <f aca="false">+IF(C487="EQUIPO",F487,0)</f>
        <v>0</v>
      </c>
      <c r="F487" s="33" t="n">
        <v>0</v>
      </c>
      <c r="G487" s="62"/>
      <c r="H487" s="35" t="n">
        <v>0</v>
      </c>
      <c r="I487" s="34" t="n">
        <f aca="false">+IF(E487=0,0,E487*0.03)</f>
        <v>0</v>
      </c>
    </row>
    <row r="488" customFormat="false" ht="15.75" hidden="false" customHeight="true" outlineLevel="0" collapsed="false">
      <c r="A488" s="30" t="n">
        <v>45323</v>
      </c>
      <c r="B488" s="31" t="s">
        <v>11</v>
      </c>
      <c r="C488" s="32"/>
      <c r="D488" s="32"/>
      <c r="E488" s="19" t="n">
        <f aca="false">+IF(C488="EQUIPO",F488,0)</f>
        <v>0</v>
      </c>
      <c r="F488" s="33" t="n">
        <v>0</v>
      </c>
      <c r="G488" s="62"/>
      <c r="H488" s="35" t="n">
        <v>0</v>
      </c>
      <c r="I488" s="34" t="n">
        <f aca="false">+IF(E488=0,0,E488*0.03)</f>
        <v>0</v>
      </c>
    </row>
    <row r="489" customFormat="false" ht="15.75" hidden="false" customHeight="true" outlineLevel="0" collapsed="false">
      <c r="A489" s="30" t="n">
        <v>45323</v>
      </c>
      <c r="B489" s="31" t="s">
        <v>11</v>
      </c>
      <c r="C489" s="32"/>
      <c r="D489" s="32"/>
      <c r="E489" s="19" t="n">
        <f aca="false">+IF(C489="EQUIPO",F489,0)</f>
        <v>0</v>
      </c>
      <c r="F489" s="33" t="n">
        <v>0</v>
      </c>
      <c r="G489" s="62"/>
      <c r="H489" s="35" t="n">
        <v>0</v>
      </c>
      <c r="I489" s="34" t="n">
        <f aca="false">+IF(E489=0,0,E489*0.03)</f>
        <v>0</v>
      </c>
    </row>
    <row r="490" customFormat="false" ht="15.75" hidden="false" customHeight="true" outlineLevel="0" collapsed="false">
      <c r="A490" s="30" t="n">
        <v>45323</v>
      </c>
      <c r="B490" s="31" t="s">
        <v>11</v>
      </c>
      <c r="C490" s="32"/>
      <c r="D490" s="32"/>
      <c r="E490" s="19" t="n">
        <f aca="false">+IF(C490="EQUIPO",F490,0)</f>
        <v>0</v>
      </c>
      <c r="F490" s="33" t="n">
        <v>0</v>
      </c>
      <c r="G490" s="62"/>
      <c r="H490" s="35" t="n">
        <v>0</v>
      </c>
      <c r="I490" s="34" t="n">
        <f aca="false">+IF(E490=0,0,E490*0.03)</f>
        <v>0</v>
      </c>
    </row>
    <row r="491" customFormat="false" ht="15.75" hidden="false" customHeight="true" outlineLevel="0" collapsed="false">
      <c r="A491" s="30" t="n">
        <v>45323</v>
      </c>
      <c r="B491" s="31" t="s">
        <v>11</v>
      </c>
      <c r="C491" s="32"/>
      <c r="D491" s="32"/>
      <c r="E491" s="19" t="n">
        <f aca="false">+IF(C491="EQUIPO",F491,0)</f>
        <v>0</v>
      </c>
      <c r="F491" s="33" t="n">
        <v>0</v>
      </c>
      <c r="G491" s="62"/>
      <c r="H491" s="35" t="n">
        <v>0</v>
      </c>
      <c r="I491" s="34" t="n">
        <f aca="false">+IF(E491=0,0,E491*0.03)</f>
        <v>0</v>
      </c>
    </row>
    <row r="492" customFormat="false" ht="15.75" hidden="false" customHeight="true" outlineLevel="0" collapsed="false">
      <c r="A492" s="30" t="n">
        <v>45323</v>
      </c>
      <c r="B492" s="31" t="s">
        <v>11</v>
      </c>
      <c r="C492" s="32"/>
      <c r="D492" s="32"/>
      <c r="E492" s="19" t="n">
        <f aca="false">+IF(C492="EQUIPO",F492,0)</f>
        <v>0</v>
      </c>
      <c r="F492" s="33" t="n">
        <v>0</v>
      </c>
      <c r="G492" s="62"/>
      <c r="H492" s="35" t="n">
        <v>0</v>
      </c>
      <c r="I492" s="34" t="n">
        <f aca="false">+IF(E492=0,0,E492*0.03)</f>
        <v>0</v>
      </c>
    </row>
    <row r="493" customFormat="false" ht="15.75" hidden="false" customHeight="true" outlineLevel="0" collapsed="false">
      <c r="A493" s="30" t="n">
        <v>45323</v>
      </c>
      <c r="B493" s="31" t="s">
        <v>11</v>
      </c>
      <c r="C493" s="32"/>
      <c r="D493" s="32"/>
      <c r="E493" s="19" t="n">
        <f aca="false">+IF(C493="EQUIPO",F493,0)</f>
        <v>0</v>
      </c>
      <c r="F493" s="33" t="n">
        <v>0</v>
      </c>
      <c r="G493" s="62"/>
      <c r="H493" s="35" t="n">
        <v>0</v>
      </c>
      <c r="I493" s="34" t="n">
        <f aca="false">+IF(E493=0,0,E493*0.03)</f>
        <v>0</v>
      </c>
    </row>
    <row r="494" customFormat="false" ht="15.75" hidden="false" customHeight="true" outlineLevel="0" collapsed="false">
      <c r="A494" s="30" t="n">
        <v>45323</v>
      </c>
      <c r="B494" s="31" t="s">
        <v>11</v>
      </c>
      <c r="C494" s="32"/>
      <c r="D494" s="32"/>
      <c r="E494" s="19" t="n">
        <f aca="false">+IF(C494="EQUIPO",F494,0)</f>
        <v>0</v>
      </c>
      <c r="F494" s="33" t="n">
        <v>0</v>
      </c>
      <c r="G494" s="62"/>
      <c r="H494" s="35" t="n">
        <v>0</v>
      </c>
      <c r="I494" s="34" t="n">
        <f aca="false">+IF(E494=0,0,E494*0.03)</f>
        <v>0</v>
      </c>
    </row>
    <row r="495" customFormat="false" ht="15.75" hidden="false" customHeight="true" outlineLevel="0" collapsed="false">
      <c r="A495" s="30" t="n">
        <v>45323</v>
      </c>
      <c r="B495" s="31" t="s">
        <v>11</v>
      </c>
      <c r="C495" s="32"/>
      <c r="D495" s="32"/>
      <c r="E495" s="19" t="n">
        <f aca="false">+IF(C495="EQUIPO",F495,0)</f>
        <v>0</v>
      </c>
      <c r="F495" s="33" t="n">
        <v>0</v>
      </c>
      <c r="G495" s="62"/>
      <c r="H495" s="35" t="n">
        <v>0</v>
      </c>
      <c r="I495" s="34" t="n">
        <f aca="false">+IF(E495=0,0,E495*0.03)</f>
        <v>0</v>
      </c>
    </row>
    <row r="496" customFormat="false" ht="15.75" hidden="false" customHeight="true" outlineLevel="0" collapsed="false">
      <c r="A496" s="30" t="n">
        <v>45323</v>
      </c>
      <c r="B496" s="31" t="s">
        <v>11</v>
      </c>
      <c r="C496" s="32"/>
      <c r="D496" s="32"/>
      <c r="E496" s="19" t="n">
        <f aca="false">+IF(C496="EQUIPO",F496,0)</f>
        <v>0</v>
      </c>
      <c r="F496" s="33" t="n">
        <v>0</v>
      </c>
      <c r="G496" s="62"/>
      <c r="H496" s="35" t="n">
        <v>0</v>
      </c>
      <c r="I496" s="34" t="n">
        <f aca="false">+IF(E496=0,0,E496*0.03)</f>
        <v>0</v>
      </c>
    </row>
    <row r="497" customFormat="false" ht="15.75" hidden="false" customHeight="true" outlineLevel="0" collapsed="false">
      <c r="A497" s="30" t="n">
        <v>45323</v>
      </c>
      <c r="B497" s="31" t="s">
        <v>11</v>
      </c>
      <c r="C497" s="32"/>
      <c r="D497" s="32"/>
      <c r="E497" s="19" t="n">
        <f aca="false">+IF(C497="EQUIPO",F497,0)</f>
        <v>0</v>
      </c>
      <c r="F497" s="33" t="n">
        <v>0</v>
      </c>
      <c r="G497" s="62"/>
      <c r="H497" s="35" t="n">
        <v>0</v>
      </c>
      <c r="I497" s="34" t="n">
        <f aca="false">+IF(E497=0,0,E497*0.03)</f>
        <v>0</v>
      </c>
    </row>
    <row r="498" customFormat="false" ht="15.75" hidden="false" customHeight="true" outlineLevel="0" collapsed="false">
      <c r="A498" s="30" t="n">
        <v>45323</v>
      </c>
      <c r="B498" s="31" t="s">
        <v>11</v>
      </c>
      <c r="C498" s="32"/>
      <c r="D498" s="32"/>
      <c r="E498" s="19" t="n">
        <f aca="false">+IF(C498="EQUIPO",F498,0)</f>
        <v>0</v>
      </c>
      <c r="F498" s="33" t="n">
        <v>0</v>
      </c>
      <c r="G498" s="62"/>
      <c r="H498" s="35" t="n">
        <v>0</v>
      </c>
      <c r="I498" s="34" t="n">
        <f aca="false">+IF(E498=0,0,E498*0.03)</f>
        <v>0</v>
      </c>
    </row>
    <row r="499" customFormat="false" ht="15.75" hidden="false" customHeight="true" outlineLevel="0" collapsed="false">
      <c r="A499" s="30" t="n">
        <v>45323</v>
      </c>
      <c r="B499" s="31" t="s">
        <v>11</v>
      </c>
      <c r="C499" s="32"/>
      <c r="D499" s="32"/>
      <c r="E499" s="19" t="n">
        <f aca="false">+IF(C499="EQUIPO",F499,0)</f>
        <v>0</v>
      </c>
      <c r="F499" s="33" t="n">
        <v>0</v>
      </c>
      <c r="G499" s="62"/>
      <c r="H499" s="35" t="n">
        <v>0</v>
      </c>
      <c r="I499" s="34" t="n">
        <f aca="false">+IF(E499=0,0,E499*0.03)</f>
        <v>0</v>
      </c>
    </row>
    <row r="500" customFormat="false" ht="15.75" hidden="false" customHeight="true" outlineLevel="0" collapsed="false">
      <c r="A500" s="30" t="n">
        <v>45323</v>
      </c>
      <c r="B500" s="31" t="s">
        <v>11</v>
      </c>
      <c r="C500" s="32"/>
      <c r="D500" s="32"/>
      <c r="E500" s="19" t="n">
        <f aca="false">+IF(C500="EQUIPO",F500,0)</f>
        <v>0</v>
      </c>
      <c r="F500" s="33" t="n">
        <v>0</v>
      </c>
      <c r="G500" s="62"/>
      <c r="H500" s="35" t="n">
        <v>0</v>
      </c>
      <c r="I500" s="34" t="n">
        <f aca="false">+IF(E500=0,0,E500*0.03)</f>
        <v>0</v>
      </c>
    </row>
    <row r="501" customFormat="false" ht="15.75" hidden="false" customHeight="true" outlineLevel="0" collapsed="false">
      <c r="A501" s="30" t="n">
        <v>45323</v>
      </c>
      <c r="B501" s="31" t="s">
        <v>11</v>
      </c>
      <c r="C501" s="32"/>
      <c r="D501" s="32"/>
      <c r="E501" s="19" t="n">
        <f aca="false">+IF(C501="EQUIPO",F501,0)</f>
        <v>0</v>
      </c>
      <c r="F501" s="33" t="n">
        <v>0</v>
      </c>
      <c r="G501" s="62"/>
      <c r="H501" s="35" t="n">
        <v>0</v>
      </c>
      <c r="I501" s="34" t="n">
        <f aca="false">+IF(E501=0,0,E501*0.03)</f>
        <v>0</v>
      </c>
    </row>
    <row r="502" customFormat="false" ht="15.75" hidden="false" customHeight="true" outlineLevel="0" collapsed="false">
      <c r="A502" s="30" t="n">
        <v>45323</v>
      </c>
      <c r="B502" s="31" t="s">
        <v>11</v>
      </c>
      <c r="C502" s="32"/>
      <c r="D502" s="32"/>
      <c r="E502" s="19" t="n">
        <f aca="false">+IF(C502="EQUIPO",F502,0)</f>
        <v>0</v>
      </c>
      <c r="F502" s="33" t="n">
        <v>0</v>
      </c>
      <c r="G502" s="62"/>
      <c r="H502" s="35" t="n">
        <v>0</v>
      </c>
      <c r="I502" s="34" t="n">
        <f aca="false">+IF(E502=0,0,E502*0.03)</f>
        <v>0</v>
      </c>
    </row>
    <row r="503" customFormat="false" ht="15.75" hidden="false" customHeight="true" outlineLevel="0" collapsed="false">
      <c r="A503" s="30" t="n">
        <v>45323</v>
      </c>
      <c r="B503" s="31" t="s">
        <v>11</v>
      </c>
      <c r="C503" s="32"/>
      <c r="D503" s="32"/>
      <c r="E503" s="19" t="n">
        <f aca="false">+IF(C503="EQUIPO",F503,0)</f>
        <v>0</v>
      </c>
      <c r="F503" s="33" t="n">
        <v>0</v>
      </c>
      <c r="G503" s="62"/>
      <c r="H503" s="35" t="n">
        <v>0</v>
      </c>
      <c r="I503" s="34" t="n">
        <f aca="false">+IF(E503=0,0,E503*0.03)</f>
        <v>0</v>
      </c>
    </row>
    <row r="504" customFormat="false" ht="15.75" hidden="false" customHeight="true" outlineLevel="0" collapsed="false">
      <c r="A504" s="30" t="n">
        <v>45323</v>
      </c>
      <c r="B504" s="31" t="s">
        <v>11</v>
      </c>
      <c r="C504" s="32"/>
      <c r="D504" s="32"/>
      <c r="E504" s="19" t="n">
        <f aca="false">+IF(C504="EQUIPO",F504,0)</f>
        <v>0</v>
      </c>
      <c r="F504" s="33" t="n">
        <v>0</v>
      </c>
      <c r="G504" s="62"/>
      <c r="H504" s="35" t="n">
        <v>0</v>
      </c>
      <c r="I504" s="34" t="n">
        <f aca="false">+IF(E504=0,0,E504*0.03)</f>
        <v>0</v>
      </c>
    </row>
    <row r="505" customFormat="false" ht="15.75" hidden="false" customHeight="true" outlineLevel="0" collapsed="false">
      <c r="A505" s="30" t="n">
        <v>45323</v>
      </c>
      <c r="B505" s="31" t="s">
        <v>11</v>
      </c>
      <c r="C505" s="32"/>
      <c r="D505" s="32"/>
      <c r="E505" s="19" t="n">
        <f aca="false">+IF(C505="EQUIPO",F505,0)</f>
        <v>0</v>
      </c>
      <c r="F505" s="33" t="n">
        <v>0</v>
      </c>
      <c r="G505" s="62"/>
      <c r="H505" s="35" t="n">
        <v>0</v>
      </c>
      <c r="I505" s="34" t="n">
        <f aca="false">+IF(E505=0,0,E505*0.03)</f>
        <v>0</v>
      </c>
    </row>
    <row r="506" customFormat="false" ht="15.75" hidden="false" customHeight="true" outlineLevel="0" collapsed="false">
      <c r="A506" s="30" t="n">
        <v>45323</v>
      </c>
      <c r="B506" s="31" t="s">
        <v>11</v>
      </c>
      <c r="C506" s="32"/>
      <c r="D506" s="32"/>
      <c r="E506" s="19" t="n">
        <f aca="false">+IF(C506="EQUIPO",F506,0)</f>
        <v>0</v>
      </c>
      <c r="F506" s="33" t="n">
        <v>0</v>
      </c>
      <c r="G506" s="62"/>
      <c r="H506" s="35" t="n">
        <v>0</v>
      </c>
      <c r="I506" s="34" t="n">
        <f aca="false">+IF(E506=0,0,E506*0.03)</f>
        <v>0</v>
      </c>
    </row>
    <row r="507" customFormat="false" ht="15.75" hidden="false" customHeight="true" outlineLevel="0" collapsed="false">
      <c r="A507" s="30" t="n">
        <v>45323</v>
      </c>
      <c r="B507" s="31" t="s">
        <v>11</v>
      </c>
      <c r="C507" s="32"/>
      <c r="D507" s="32"/>
      <c r="E507" s="19" t="n">
        <f aca="false">+IF(C507="EQUIPO",F507,0)</f>
        <v>0</v>
      </c>
      <c r="F507" s="33" t="n">
        <v>0</v>
      </c>
      <c r="G507" s="62"/>
      <c r="H507" s="35" t="n">
        <v>0</v>
      </c>
      <c r="I507" s="34" t="n">
        <f aca="false">+IF(E507=0,0,E507*0.03)</f>
        <v>0</v>
      </c>
    </row>
    <row r="508" customFormat="false" ht="15.75" hidden="false" customHeight="true" outlineLevel="0" collapsed="false">
      <c r="A508" s="30" t="n">
        <v>45323</v>
      </c>
      <c r="B508" s="31" t="s">
        <v>11</v>
      </c>
      <c r="C508" s="32"/>
      <c r="D508" s="32"/>
      <c r="E508" s="19" t="n">
        <f aca="false">+IF(C508="EQUIPO",F508,0)</f>
        <v>0</v>
      </c>
      <c r="F508" s="33" t="n">
        <v>0</v>
      </c>
      <c r="G508" s="62"/>
      <c r="H508" s="35" t="n">
        <v>0</v>
      </c>
      <c r="I508" s="34" t="n">
        <f aca="false">+IF(E508=0,0,E508*0.03)</f>
        <v>0</v>
      </c>
    </row>
    <row r="509" customFormat="false" ht="15.75" hidden="false" customHeight="true" outlineLevel="0" collapsed="false">
      <c r="A509" s="30" t="n">
        <v>45323</v>
      </c>
      <c r="B509" s="31" t="s">
        <v>11</v>
      </c>
      <c r="C509" s="32"/>
      <c r="D509" s="32"/>
      <c r="E509" s="19" t="n">
        <f aca="false">+IF(C509="EQUIPO",F509,0)</f>
        <v>0</v>
      </c>
      <c r="F509" s="33" t="n">
        <v>0</v>
      </c>
      <c r="G509" s="62"/>
      <c r="H509" s="35" t="n">
        <v>0</v>
      </c>
      <c r="I509" s="34" t="n">
        <f aca="false">+IF(E509=0,0,E509*0.03)</f>
        <v>0</v>
      </c>
    </row>
    <row r="510" customFormat="false" ht="15.75" hidden="false" customHeight="true" outlineLevel="0" collapsed="false">
      <c r="A510" s="30" t="n">
        <v>45323</v>
      </c>
      <c r="B510" s="31" t="s">
        <v>11</v>
      </c>
      <c r="C510" s="32"/>
      <c r="D510" s="32"/>
      <c r="E510" s="19" t="n">
        <f aca="false">+IF(C510="EQUIPO",F510,0)</f>
        <v>0</v>
      </c>
      <c r="F510" s="33" t="n">
        <v>0</v>
      </c>
      <c r="G510" s="62"/>
      <c r="H510" s="35" t="n">
        <v>0</v>
      </c>
      <c r="I510" s="34" t="n">
        <f aca="false">+IF(E510=0,0,E510*0.03)</f>
        <v>0</v>
      </c>
    </row>
    <row r="511" customFormat="false" ht="15.75" hidden="false" customHeight="true" outlineLevel="0" collapsed="false">
      <c r="A511" s="30" t="n">
        <v>45323</v>
      </c>
      <c r="B511" s="31" t="s">
        <v>11</v>
      </c>
      <c r="C511" s="32"/>
      <c r="D511" s="32"/>
      <c r="E511" s="19" t="n">
        <f aca="false">+IF(C511="EQUIPO",F511,0)</f>
        <v>0</v>
      </c>
      <c r="F511" s="33" t="n">
        <v>0</v>
      </c>
      <c r="G511" s="62"/>
      <c r="H511" s="35" t="n">
        <v>0</v>
      </c>
      <c r="I511" s="34" t="n">
        <f aca="false">+IF(E511=0,0,E511*0.03)</f>
        <v>0</v>
      </c>
    </row>
    <row r="512" customFormat="false" ht="15.75" hidden="false" customHeight="true" outlineLevel="0" collapsed="false">
      <c r="A512" s="30" t="n">
        <v>45323</v>
      </c>
      <c r="B512" s="31" t="s">
        <v>11</v>
      </c>
      <c r="C512" s="32"/>
      <c r="D512" s="32"/>
      <c r="E512" s="19" t="n">
        <f aca="false">+IF(C512="EQUIPO",F512,0)</f>
        <v>0</v>
      </c>
      <c r="F512" s="33" t="n">
        <v>0</v>
      </c>
      <c r="G512" s="62"/>
      <c r="H512" s="35" t="n">
        <v>0</v>
      </c>
      <c r="I512" s="34" t="n">
        <f aca="false">+IF(E512=0,0,E512*0.03)</f>
        <v>0</v>
      </c>
    </row>
    <row r="513" customFormat="false" ht="15.75" hidden="false" customHeight="true" outlineLevel="0" collapsed="false">
      <c r="A513" s="30" t="n">
        <v>45323</v>
      </c>
      <c r="B513" s="31" t="s">
        <v>11</v>
      </c>
      <c r="C513" s="32"/>
      <c r="D513" s="32"/>
      <c r="E513" s="19" t="n">
        <f aca="false">+IF(C513="EQUIPO",F513,0)</f>
        <v>0</v>
      </c>
      <c r="F513" s="33" t="n">
        <v>0</v>
      </c>
      <c r="G513" s="62"/>
      <c r="H513" s="35" t="n">
        <v>0</v>
      </c>
      <c r="I513" s="34" t="n">
        <f aca="false">+IF(E513=0,0,E513*0.03)</f>
        <v>0</v>
      </c>
    </row>
    <row r="514" customFormat="false" ht="15.75" hidden="false" customHeight="true" outlineLevel="0" collapsed="false">
      <c r="A514" s="30" t="n">
        <v>45323</v>
      </c>
      <c r="B514" s="31" t="s">
        <v>11</v>
      </c>
      <c r="C514" s="32"/>
      <c r="D514" s="32"/>
      <c r="E514" s="19" t="n">
        <f aca="false">+IF(C514="EQUIPO",F514,0)</f>
        <v>0</v>
      </c>
      <c r="F514" s="33" t="n">
        <v>0</v>
      </c>
      <c r="G514" s="62"/>
      <c r="H514" s="35" t="n">
        <v>0</v>
      </c>
      <c r="I514" s="34" t="n">
        <f aca="false">+IF(E514=0,0,E514*0.03)</f>
        <v>0</v>
      </c>
    </row>
    <row r="515" customFormat="false" ht="15.75" hidden="false" customHeight="true" outlineLevel="0" collapsed="false">
      <c r="A515" s="30" t="n">
        <v>45323</v>
      </c>
      <c r="B515" s="31" t="s">
        <v>11</v>
      </c>
      <c r="C515" s="32"/>
      <c r="D515" s="32"/>
      <c r="E515" s="19" t="n">
        <f aca="false">+IF(C515="EQUIPO",F515,0)</f>
        <v>0</v>
      </c>
      <c r="F515" s="33" t="n">
        <v>0</v>
      </c>
      <c r="G515" s="62"/>
      <c r="H515" s="35" t="n">
        <v>0</v>
      </c>
      <c r="I515" s="34" t="n">
        <f aca="false">+IF(E515=0,0,E515*0.03)</f>
        <v>0</v>
      </c>
    </row>
    <row r="516" customFormat="false" ht="15.75" hidden="false" customHeight="true" outlineLevel="0" collapsed="false">
      <c r="A516" s="30" t="n">
        <v>45323</v>
      </c>
      <c r="B516" s="31" t="s">
        <v>11</v>
      </c>
      <c r="C516" s="32"/>
      <c r="D516" s="32"/>
      <c r="E516" s="19" t="n">
        <f aca="false">+IF(C516="EQUIPO",F516,0)</f>
        <v>0</v>
      </c>
      <c r="F516" s="33" t="n">
        <v>0</v>
      </c>
      <c r="G516" s="62"/>
      <c r="H516" s="35" t="n">
        <v>0</v>
      </c>
      <c r="I516" s="34" t="n">
        <f aca="false">+IF(E516=0,0,E516*0.03)</f>
        <v>0</v>
      </c>
    </row>
    <row r="517" customFormat="false" ht="15.75" hidden="false" customHeight="true" outlineLevel="0" collapsed="false">
      <c r="A517" s="30" t="n">
        <v>45323</v>
      </c>
      <c r="B517" s="31" t="s">
        <v>11</v>
      </c>
      <c r="C517" s="32"/>
      <c r="D517" s="32"/>
      <c r="E517" s="19" t="n">
        <f aca="false">+IF(C517="EQUIPO",F517,0)</f>
        <v>0</v>
      </c>
      <c r="F517" s="33" t="n">
        <v>0</v>
      </c>
      <c r="G517" s="62"/>
      <c r="H517" s="35" t="n">
        <v>0</v>
      </c>
      <c r="I517" s="34" t="n">
        <f aca="false">+IF(E517=0,0,E517*0.03)</f>
        <v>0</v>
      </c>
    </row>
    <row r="518" customFormat="false" ht="15.75" hidden="false" customHeight="true" outlineLevel="0" collapsed="false">
      <c r="A518" s="30" t="n">
        <v>45323</v>
      </c>
      <c r="B518" s="31" t="s">
        <v>11</v>
      </c>
      <c r="C518" s="32"/>
      <c r="D518" s="32"/>
      <c r="E518" s="19" t="n">
        <f aca="false">+IF(C518="EQUIPO",F518,0)</f>
        <v>0</v>
      </c>
      <c r="F518" s="33" t="n">
        <v>0</v>
      </c>
      <c r="G518" s="62"/>
      <c r="H518" s="35" t="n">
        <v>0</v>
      </c>
      <c r="I518" s="34" t="n">
        <f aca="false">+IF(E518=0,0,E518*0.03)</f>
        <v>0</v>
      </c>
    </row>
    <row r="519" customFormat="false" ht="15.75" hidden="false" customHeight="true" outlineLevel="0" collapsed="false">
      <c r="A519" s="30" t="n">
        <v>45323</v>
      </c>
      <c r="B519" s="31" t="s">
        <v>11</v>
      </c>
      <c r="C519" s="32"/>
      <c r="D519" s="32"/>
      <c r="E519" s="19" t="n">
        <f aca="false">+IF(C519="EQUIPO",F519,0)</f>
        <v>0</v>
      </c>
      <c r="F519" s="33" t="n">
        <v>0</v>
      </c>
      <c r="G519" s="62"/>
      <c r="H519" s="35" t="n">
        <v>0</v>
      </c>
      <c r="I519" s="34" t="n">
        <f aca="false">+IF(E519=0,0,E519*0.03)</f>
        <v>0</v>
      </c>
    </row>
    <row r="520" customFormat="false" ht="15.75" hidden="false" customHeight="true" outlineLevel="0" collapsed="false">
      <c r="A520" s="30" t="n">
        <v>45323</v>
      </c>
      <c r="B520" s="31" t="s">
        <v>11</v>
      </c>
      <c r="C520" s="32"/>
      <c r="D520" s="32"/>
      <c r="E520" s="19" t="n">
        <f aca="false">+IF(C520="EQUIPO",F520,0)</f>
        <v>0</v>
      </c>
      <c r="F520" s="33" t="n">
        <v>0</v>
      </c>
      <c r="G520" s="62"/>
      <c r="H520" s="35" t="n">
        <v>0</v>
      </c>
      <c r="I520" s="34" t="n">
        <f aca="false">+IF(E520=0,0,E520*0.03)</f>
        <v>0</v>
      </c>
    </row>
    <row r="521" customFormat="false" ht="15.75" hidden="false" customHeight="true" outlineLevel="0" collapsed="false">
      <c r="A521" s="30" t="n">
        <v>45323</v>
      </c>
      <c r="B521" s="31" t="s">
        <v>11</v>
      </c>
      <c r="C521" s="32"/>
      <c r="D521" s="32"/>
      <c r="E521" s="19" t="n">
        <f aca="false">+IF(C521="EQUIPO",F521,0)</f>
        <v>0</v>
      </c>
      <c r="F521" s="33" t="n">
        <v>0</v>
      </c>
      <c r="G521" s="62"/>
      <c r="H521" s="35" t="n">
        <v>0</v>
      </c>
      <c r="I521" s="34" t="n">
        <f aca="false">+IF(E521=0,0,E521*0.03)</f>
        <v>0</v>
      </c>
    </row>
    <row r="522" customFormat="false" ht="15.75" hidden="false" customHeight="true" outlineLevel="0" collapsed="false">
      <c r="A522" s="30" t="n">
        <v>45323</v>
      </c>
      <c r="B522" s="31" t="s">
        <v>11</v>
      </c>
      <c r="C522" s="32"/>
      <c r="D522" s="32"/>
      <c r="E522" s="19" t="n">
        <f aca="false">+IF(C522="EQUIPO",F522,0)</f>
        <v>0</v>
      </c>
      <c r="F522" s="33" t="n">
        <v>0</v>
      </c>
      <c r="G522" s="62"/>
      <c r="H522" s="35" t="n">
        <v>0</v>
      </c>
      <c r="I522" s="34" t="n">
        <f aca="false">+IF(E522=0,0,E522*0.03)</f>
        <v>0</v>
      </c>
    </row>
    <row r="523" customFormat="false" ht="15.75" hidden="false" customHeight="true" outlineLevel="0" collapsed="false">
      <c r="A523" s="30" t="n">
        <v>45323</v>
      </c>
      <c r="B523" s="31" t="s">
        <v>11</v>
      </c>
      <c r="C523" s="32"/>
      <c r="D523" s="32"/>
      <c r="E523" s="19" t="n">
        <f aca="false">+IF(C523="EQUIPO",F523,0)</f>
        <v>0</v>
      </c>
      <c r="F523" s="33" t="n">
        <v>0</v>
      </c>
      <c r="G523" s="62"/>
      <c r="H523" s="35" t="n">
        <v>0</v>
      </c>
      <c r="I523" s="34" t="n">
        <f aca="false">+IF(E523=0,0,E523*0.03)</f>
        <v>0</v>
      </c>
    </row>
    <row r="524" customFormat="false" ht="15.75" hidden="false" customHeight="true" outlineLevel="0" collapsed="false">
      <c r="A524" s="30" t="n">
        <v>45323</v>
      </c>
      <c r="B524" s="31" t="s">
        <v>11</v>
      </c>
      <c r="C524" s="32"/>
      <c r="D524" s="32"/>
      <c r="E524" s="19" t="n">
        <f aca="false">+IF(C524="EQUIPO",F524,0)</f>
        <v>0</v>
      </c>
      <c r="F524" s="33" t="n">
        <v>0</v>
      </c>
      <c r="G524" s="62"/>
      <c r="H524" s="35" t="n">
        <v>0</v>
      </c>
      <c r="I524" s="34" t="n">
        <f aca="false">+IF(E524=0,0,E524*0.03)</f>
        <v>0</v>
      </c>
    </row>
    <row r="525" customFormat="false" ht="15.75" hidden="false" customHeight="true" outlineLevel="0" collapsed="false">
      <c r="A525" s="30" t="n">
        <v>45323</v>
      </c>
      <c r="B525" s="31" t="s">
        <v>11</v>
      </c>
      <c r="C525" s="32"/>
      <c r="D525" s="32"/>
      <c r="E525" s="19" t="n">
        <f aca="false">+IF(C525="EQUIPO",F525,0)</f>
        <v>0</v>
      </c>
      <c r="F525" s="33" t="n">
        <v>0</v>
      </c>
      <c r="G525" s="62"/>
      <c r="H525" s="35" t="n">
        <v>0</v>
      </c>
      <c r="I525" s="34" t="n">
        <f aca="false">+IF(E525=0,0,E525*0.03)</f>
        <v>0</v>
      </c>
    </row>
    <row r="526" customFormat="false" ht="15.75" hidden="false" customHeight="true" outlineLevel="0" collapsed="false">
      <c r="A526" s="30" t="n">
        <v>45323</v>
      </c>
      <c r="B526" s="31" t="s">
        <v>11</v>
      </c>
      <c r="C526" s="32"/>
      <c r="D526" s="32"/>
      <c r="E526" s="19" t="n">
        <f aca="false">+IF(C526="EQUIPO",F526,0)</f>
        <v>0</v>
      </c>
      <c r="F526" s="33" t="n">
        <v>0</v>
      </c>
      <c r="G526" s="62"/>
      <c r="H526" s="35" t="n">
        <v>0</v>
      </c>
      <c r="I526" s="34" t="n">
        <f aca="false">+IF(E526=0,0,E526*0.03)</f>
        <v>0</v>
      </c>
    </row>
    <row r="527" customFormat="false" ht="15.75" hidden="false" customHeight="true" outlineLevel="0" collapsed="false">
      <c r="A527" s="30" t="n">
        <v>45323</v>
      </c>
      <c r="B527" s="31" t="s">
        <v>11</v>
      </c>
      <c r="C527" s="32"/>
      <c r="D527" s="32"/>
      <c r="E527" s="19" t="n">
        <f aca="false">+IF(C527="EQUIPO",F527,0)</f>
        <v>0</v>
      </c>
      <c r="F527" s="33" t="n">
        <v>0</v>
      </c>
      <c r="G527" s="62"/>
      <c r="H527" s="35" t="n">
        <v>0</v>
      </c>
      <c r="I527" s="34" t="n">
        <f aca="false">+IF(E527=0,0,E527*0.03)</f>
        <v>0</v>
      </c>
    </row>
    <row r="528" customFormat="false" ht="15.75" hidden="false" customHeight="true" outlineLevel="0" collapsed="false">
      <c r="A528" s="30" t="n">
        <v>45323</v>
      </c>
      <c r="B528" s="31" t="s">
        <v>11</v>
      </c>
      <c r="C528" s="32"/>
      <c r="D528" s="32"/>
      <c r="E528" s="19" t="n">
        <f aca="false">+IF(C528="EQUIPO",F528,0)</f>
        <v>0</v>
      </c>
      <c r="F528" s="33" t="n">
        <v>0</v>
      </c>
      <c r="G528" s="62"/>
      <c r="H528" s="35" t="n">
        <v>0</v>
      </c>
      <c r="I528" s="34" t="n">
        <f aca="false">+IF(E528=0,0,E528*0.03)</f>
        <v>0</v>
      </c>
    </row>
    <row r="529" customFormat="false" ht="15.75" hidden="false" customHeight="true" outlineLevel="0" collapsed="false">
      <c r="A529" s="30" t="n">
        <v>45323</v>
      </c>
      <c r="B529" s="31" t="s">
        <v>11</v>
      </c>
      <c r="C529" s="32"/>
      <c r="D529" s="32"/>
      <c r="E529" s="19" t="n">
        <f aca="false">+IF(C529="EQUIPO",F529,0)</f>
        <v>0</v>
      </c>
      <c r="F529" s="33" t="n">
        <v>0</v>
      </c>
      <c r="G529" s="62"/>
      <c r="H529" s="35" t="n">
        <v>0</v>
      </c>
      <c r="I529" s="34" t="n">
        <f aca="false">+IF(E529=0,0,E529*0.03)</f>
        <v>0</v>
      </c>
    </row>
    <row r="530" customFormat="false" ht="15.75" hidden="false" customHeight="true" outlineLevel="0" collapsed="false">
      <c r="A530" s="30" t="n">
        <v>45323</v>
      </c>
      <c r="B530" s="31" t="s">
        <v>11</v>
      </c>
      <c r="C530" s="32"/>
      <c r="D530" s="32"/>
      <c r="E530" s="19" t="n">
        <f aca="false">+IF(C530="EQUIPO",F530,0)</f>
        <v>0</v>
      </c>
      <c r="F530" s="33" t="n">
        <v>0</v>
      </c>
      <c r="G530" s="62"/>
      <c r="H530" s="35" t="n">
        <v>0</v>
      </c>
      <c r="I530" s="34" t="n">
        <f aca="false">+IF(E530=0,0,E530*0.03)</f>
        <v>0</v>
      </c>
    </row>
    <row r="531" customFormat="false" ht="15.75" hidden="false" customHeight="true" outlineLevel="0" collapsed="false">
      <c r="A531" s="30" t="n">
        <v>45323</v>
      </c>
      <c r="B531" s="31" t="s">
        <v>11</v>
      </c>
      <c r="C531" s="32"/>
      <c r="D531" s="32"/>
      <c r="E531" s="19" t="n">
        <f aca="false">+IF(C531="EQUIPO",F531,0)</f>
        <v>0</v>
      </c>
      <c r="F531" s="33" t="n">
        <v>0</v>
      </c>
      <c r="G531" s="62"/>
      <c r="H531" s="35" t="n">
        <v>0</v>
      </c>
      <c r="I531" s="34" t="n">
        <f aca="false">+IF(E531=0,0,E531*0.03)</f>
        <v>0</v>
      </c>
    </row>
    <row r="532" customFormat="false" ht="15.75" hidden="false" customHeight="true" outlineLevel="0" collapsed="false">
      <c r="A532" s="30" t="n">
        <v>45323</v>
      </c>
      <c r="B532" s="31" t="s">
        <v>11</v>
      </c>
      <c r="C532" s="32"/>
      <c r="D532" s="32"/>
      <c r="E532" s="19" t="n">
        <f aca="false">+IF(C532="EQUIPO",F532,0)</f>
        <v>0</v>
      </c>
      <c r="F532" s="33" t="n">
        <v>0</v>
      </c>
      <c r="G532" s="62"/>
      <c r="H532" s="35" t="n">
        <v>0</v>
      </c>
      <c r="I532" s="34" t="n">
        <f aca="false">+IF(E532=0,0,E532*0.03)</f>
        <v>0</v>
      </c>
    </row>
    <row r="533" customFormat="false" ht="15.75" hidden="false" customHeight="true" outlineLevel="0" collapsed="false">
      <c r="A533" s="30" t="n">
        <v>45323</v>
      </c>
      <c r="B533" s="31" t="s">
        <v>11</v>
      </c>
      <c r="C533" s="32"/>
      <c r="D533" s="32"/>
      <c r="E533" s="19" t="n">
        <f aca="false">+IF(C533="EQUIPO",F533,0)</f>
        <v>0</v>
      </c>
      <c r="F533" s="33" t="n">
        <v>0</v>
      </c>
      <c r="G533" s="62"/>
      <c r="H533" s="35" t="n">
        <v>0</v>
      </c>
      <c r="I533" s="34" t="n">
        <f aca="false">+IF(E533=0,0,E533*0.03)</f>
        <v>0</v>
      </c>
    </row>
    <row r="534" customFormat="false" ht="15.75" hidden="false" customHeight="true" outlineLevel="0" collapsed="false">
      <c r="A534" s="30" t="n">
        <v>45323</v>
      </c>
      <c r="B534" s="31" t="s">
        <v>11</v>
      </c>
      <c r="C534" s="32"/>
      <c r="D534" s="32"/>
      <c r="E534" s="19" t="n">
        <f aca="false">+IF(C534="EQUIPO",F534,0)</f>
        <v>0</v>
      </c>
      <c r="F534" s="33" t="n">
        <v>0</v>
      </c>
      <c r="G534" s="62"/>
      <c r="H534" s="35" t="n">
        <v>0</v>
      </c>
      <c r="I534" s="34" t="n">
        <f aca="false">+IF(E534=0,0,E534*0.03)</f>
        <v>0</v>
      </c>
    </row>
    <row r="535" customFormat="false" ht="15.75" hidden="false" customHeight="true" outlineLevel="0" collapsed="false">
      <c r="A535" s="30" t="n">
        <v>45323</v>
      </c>
      <c r="B535" s="31" t="s">
        <v>11</v>
      </c>
      <c r="C535" s="32"/>
      <c r="D535" s="32"/>
      <c r="E535" s="19" t="n">
        <f aca="false">+IF(C535="EQUIPO",F535,0)</f>
        <v>0</v>
      </c>
      <c r="F535" s="33" t="n">
        <v>0</v>
      </c>
      <c r="G535" s="62"/>
      <c r="H535" s="35" t="n">
        <v>0</v>
      </c>
      <c r="I535" s="34" t="n">
        <f aca="false">+IF(E535=0,0,E535*0.03)</f>
        <v>0</v>
      </c>
    </row>
    <row r="536" customFormat="false" ht="15.75" hidden="false" customHeight="true" outlineLevel="0" collapsed="false">
      <c r="A536" s="30" t="n">
        <v>45323</v>
      </c>
      <c r="B536" s="31" t="s">
        <v>11</v>
      </c>
      <c r="C536" s="32"/>
      <c r="D536" s="32"/>
      <c r="E536" s="19" t="n">
        <f aca="false">+IF(C536="EQUIPO",F536,0)</f>
        <v>0</v>
      </c>
      <c r="F536" s="33" t="n">
        <v>0</v>
      </c>
      <c r="G536" s="62"/>
      <c r="H536" s="35" t="n">
        <v>0</v>
      </c>
      <c r="I536" s="34" t="n">
        <f aca="false">+IF(E536=0,0,E536*0.03)</f>
        <v>0</v>
      </c>
    </row>
    <row r="537" customFormat="false" ht="15.75" hidden="false" customHeight="true" outlineLevel="0" collapsed="false">
      <c r="A537" s="30" t="n">
        <v>45323</v>
      </c>
      <c r="B537" s="31" t="s">
        <v>11</v>
      </c>
      <c r="C537" s="32"/>
      <c r="D537" s="32"/>
      <c r="E537" s="19" t="n">
        <f aca="false">+IF(C537="EQUIPO",F537,0)</f>
        <v>0</v>
      </c>
      <c r="F537" s="33" t="n">
        <v>0</v>
      </c>
      <c r="G537" s="62"/>
      <c r="H537" s="35" t="n">
        <v>0</v>
      </c>
      <c r="I537" s="34" t="n">
        <f aca="false">+IF(E537=0,0,E537*0.03)</f>
        <v>0</v>
      </c>
    </row>
    <row r="538" customFormat="false" ht="15.75" hidden="false" customHeight="true" outlineLevel="0" collapsed="false">
      <c r="A538" s="30" t="n">
        <v>45323</v>
      </c>
      <c r="B538" s="31" t="s">
        <v>11</v>
      </c>
      <c r="C538" s="32"/>
      <c r="D538" s="32"/>
      <c r="E538" s="19" t="n">
        <f aca="false">+IF(C538="EQUIPO",F538,0)</f>
        <v>0</v>
      </c>
      <c r="F538" s="33" t="n">
        <v>0</v>
      </c>
      <c r="G538" s="62"/>
      <c r="H538" s="35" t="n">
        <v>0</v>
      </c>
      <c r="I538" s="34" t="n">
        <f aca="false">+IF(E538=0,0,E538*0.03)</f>
        <v>0</v>
      </c>
    </row>
    <row r="539" customFormat="false" ht="15.75" hidden="false" customHeight="true" outlineLevel="0" collapsed="false">
      <c r="A539" s="30" t="n">
        <v>45323</v>
      </c>
      <c r="B539" s="31" t="s">
        <v>11</v>
      </c>
      <c r="C539" s="32"/>
      <c r="D539" s="32"/>
      <c r="E539" s="19" t="n">
        <f aca="false">+IF(C539="EQUIPO",F539,0)</f>
        <v>0</v>
      </c>
      <c r="F539" s="33" t="n">
        <v>0</v>
      </c>
      <c r="G539" s="62"/>
      <c r="H539" s="35" t="n">
        <v>0</v>
      </c>
      <c r="I539" s="34" t="n">
        <f aca="false">+IF(E539=0,0,E539*0.03)</f>
        <v>0</v>
      </c>
    </row>
    <row r="540" customFormat="false" ht="15.75" hidden="false" customHeight="true" outlineLevel="0" collapsed="false">
      <c r="A540" s="30" t="n">
        <v>45323</v>
      </c>
      <c r="B540" s="31" t="s">
        <v>11</v>
      </c>
      <c r="C540" s="32"/>
      <c r="D540" s="32"/>
      <c r="E540" s="19" t="n">
        <f aca="false">+IF(C540="EQUIPO",F540,0)</f>
        <v>0</v>
      </c>
      <c r="F540" s="33" t="n">
        <v>0</v>
      </c>
      <c r="G540" s="62"/>
      <c r="H540" s="35" t="n">
        <v>0</v>
      </c>
      <c r="I540" s="34" t="n">
        <f aca="false">+IF(E540=0,0,E540*0.03)</f>
        <v>0</v>
      </c>
    </row>
    <row r="541" customFormat="false" ht="15.75" hidden="false" customHeight="true" outlineLevel="0" collapsed="false">
      <c r="A541" s="30" t="n">
        <v>45323</v>
      </c>
      <c r="B541" s="31" t="s">
        <v>11</v>
      </c>
      <c r="C541" s="32"/>
      <c r="D541" s="32"/>
      <c r="E541" s="19" t="n">
        <f aca="false">+IF(C541="EQUIPO",F541,0)</f>
        <v>0</v>
      </c>
      <c r="F541" s="33" t="n">
        <v>0</v>
      </c>
      <c r="G541" s="62"/>
      <c r="H541" s="35" t="n">
        <v>0</v>
      </c>
      <c r="I541" s="34" t="n">
        <f aca="false">+IF(E541=0,0,E541*0.03)</f>
        <v>0</v>
      </c>
    </row>
    <row r="542" customFormat="false" ht="15.75" hidden="false" customHeight="true" outlineLevel="0" collapsed="false">
      <c r="A542" s="30" t="n">
        <v>45323</v>
      </c>
      <c r="B542" s="31" t="s">
        <v>11</v>
      </c>
      <c r="C542" s="32"/>
      <c r="D542" s="32"/>
      <c r="E542" s="19" t="n">
        <f aca="false">+IF(C542="EQUIPO",F542,0)</f>
        <v>0</v>
      </c>
      <c r="F542" s="33" t="n">
        <v>0</v>
      </c>
      <c r="G542" s="62"/>
      <c r="H542" s="35" t="n">
        <v>0</v>
      </c>
      <c r="I542" s="34" t="n">
        <f aca="false">+IF(E542=0,0,E542*0.03)</f>
        <v>0</v>
      </c>
    </row>
    <row r="543" customFormat="false" ht="15.75" hidden="false" customHeight="true" outlineLevel="0" collapsed="false">
      <c r="A543" s="30" t="n">
        <v>45323</v>
      </c>
      <c r="B543" s="31" t="s">
        <v>11</v>
      </c>
      <c r="C543" s="32"/>
      <c r="D543" s="32"/>
      <c r="E543" s="19" t="n">
        <f aca="false">+IF(C543="EQUIPO",F543,0)</f>
        <v>0</v>
      </c>
      <c r="F543" s="33" t="n">
        <v>0</v>
      </c>
      <c r="G543" s="62"/>
      <c r="H543" s="35" t="n">
        <v>0</v>
      </c>
      <c r="I543" s="34" t="n">
        <f aca="false">+IF(E543=0,0,E543*0.03)</f>
        <v>0</v>
      </c>
    </row>
    <row r="544" customFormat="false" ht="15.75" hidden="false" customHeight="true" outlineLevel="0" collapsed="false">
      <c r="A544" s="30" t="n">
        <v>45323</v>
      </c>
      <c r="B544" s="31" t="s">
        <v>11</v>
      </c>
      <c r="C544" s="32"/>
      <c r="D544" s="32"/>
      <c r="E544" s="19" t="n">
        <f aca="false">+IF(C544="EQUIPO",F544,0)</f>
        <v>0</v>
      </c>
      <c r="F544" s="33" t="n">
        <v>0</v>
      </c>
      <c r="G544" s="62"/>
      <c r="H544" s="35" t="n">
        <v>0</v>
      </c>
      <c r="I544" s="34" t="n">
        <f aca="false">+IF(E544=0,0,E544*0.03)</f>
        <v>0</v>
      </c>
    </row>
    <row r="545" customFormat="false" ht="15.75" hidden="false" customHeight="true" outlineLevel="0" collapsed="false">
      <c r="A545" s="30" t="n">
        <v>45323</v>
      </c>
      <c r="B545" s="31" t="s">
        <v>11</v>
      </c>
      <c r="C545" s="32"/>
      <c r="D545" s="32"/>
      <c r="E545" s="19" t="n">
        <f aca="false">+IF(C545="EQUIPO",F545,0)</f>
        <v>0</v>
      </c>
      <c r="F545" s="33" t="n">
        <v>0</v>
      </c>
      <c r="G545" s="62"/>
      <c r="H545" s="35" t="n">
        <v>0</v>
      </c>
      <c r="I545" s="34" t="n">
        <f aca="false">+IF(E545=0,0,E545*0.03)</f>
        <v>0</v>
      </c>
    </row>
    <row r="546" customFormat="false" ht="15.75" hidden="false" customHeight="true" outlineLevel="0" collapsed="false">
      <c r="A546" s="30" t="n">
        <v>45323</v>
      </c>
      <c r="B546" s="31" t="s">
        <v>11</v>
      </c>
      <c r="C546" s="32"/>
      <c r="D546" s="32"/>
      <c r="E546" s="19" t="n">
        <f aca="false">+IF(C546="EQUIPO",F546,0)</f>
        <v>0</v>
      </c>
      <c r="F546" s="33" t="n">
        <v>0</v>
      </c>
      <c r="G546" s="62"/>
      <c r="H546" s="35" t="n">
        <v>0</v>
      </c>
      <c r="I546" s="34" t="n">
        <f aca="false">+IF(E546=0,0,E546*0.03)</f>
        <v>0</v>
      </c>
    </row>
    <row r="547" customFormat="false" ht="15.75" hidden="false" customHeight="true" outlineLevel="0" collapsed="false">
      <c r="A547" s="30" t="n">
        <v>45323</v>
      </c>
      <c r="B547" s="31" t="s">
        <v>11</v>
      </c>
      <c r="C547" s="32"/>
      <c r="D547" s="32"/>
      <c r="E547" s="19" t="n">
        <f aca="false">+IF(C547="EQUIPO",F547,0)</f>
        <v>0</v>
      </c>
      <c r="F547" s="33" t="n">
        <v>0</v>
      </c>
      <c r="G547" s="62"/>
      <c r="H547" s="35" t="n">
        <v>0</v>
      </c>
      <c r="I547" s="34" t="n">
        <f aca="false">+IF(E547=0,0,E547*0.03)</f>
        <v>0</v>
      </c>
    </row>
    <row r="548" customFormat="false" ht="15.75" hidden="false" customHeight="true" outlineLevel="0" collapsed="false">
      <c r="A548" s="30" t="n">
        <v>45323</v>
      </c>
      <c r="B548" s="31" t="s">
        <v>11</v>
      </c>
      <c r="C548" s="32"/>
      <c r="D548" s="32"/>
      <c r="E548" s="19" t="n">
        <f aca="false">+IF(C548="EQUIPO",F548,0)</f>
        <v>0</v>
      </c>
      <c r="F548" s="33" t="n">
        <v>0</v>
      </c>
      <c r="G548" s="62"/>
      <c r="H548" s="35" t="n">
        <v>0</v>
      </c>
      <c r="I548" s="34" t="n">
        <f aca="false">+IF(E548=0,0,E548*0.03)</f>
        <v>0</v>
      </c>
    </row>
    <row r="549" customFormat="false" ht="15.75" hidden="false" customHeight="true" outlineLevel="0" collapsed="false">
      <c r="A549" s="30" t="n">
        <v>45323</v>
      </c>
      <c r="B549" s="31" t="s">
        <v>11</v>
      </c>
      <c r="C549" s="32"/>
      <c r="D549" s="32"/>
      <c r="E549" s="19" t="n">
        <f aca="false">+IF(C549="EQUIPO",F549,0)</f>
        <v>0</v>
      </c>
      <c r="F549" s="33" t="n">
        <v>0</v>
      </c>
      <c r="G549" s="62"/>
      <c r="H549" s="35" t="n">
        <v>0</v>
      </c>
      <c r="I549" s="34" t="n">
        <f aca="false">+IF(E549=0,0,E549*0.03)</f>
        <v>0</v>
      </c>
    </row>
    <row r="550" customFormat="false" ht="15.75" hidden="false" customHeight="true" outlineLevel="0" collapsed="false">
      <c r="A550" s="30" t="n">
        <v>45323</v>
      </c>
      <c r="B550" s="31" t="s">
        <v>11</v>
      </c>
      <c r="C550" s="32"/>
      <c r="D550" s="32"/>
      <c r="E550" s="19" t="n">
        <f aca="false">+IF(C550="EQUIPO",F550,0)</f>
        <v>0</v>
      </c>
      <c r="F550" s="33" t="n">
        <v>0</v>
      </c>
      <c r="G550" s="62"/>
      <c r="H550" s="35" t="n">
        <v>0</v>
      </c>
      <c r="I550" s="34" t="n">
        <f aca="false">+IF(E550=0,0,E550*0.03)</f>
        <v>0</v>
      </c>
    </row>
    <row r="551" customFormat="false" ht="15.75" hidden="false" customHeight="true" outlineLevel="0" collapsed="false">
      <c r="A551" s="30" t="n">
        <v>45323</v>
      </c>
      <c r="B551" s="31" t="s">
        <v>11</v>
      </c>
      <c r="C551" s="32"/>
      <c r="D551" s="32"/>
      <c r="E551" s="19" t="n">
        <f aca="false">+IF(C551="EQUIPO",F551,0)</f>
        <v>0</v>
      </c>
      <c r="F551" s="33" t="n">
        <v>0</v>
      </c>
      <c r="G551" s="62"/>
      <c r="H551" s="35" t="n">
        <v>0</v>
      </c>
      <c r="I551" s="34" t="n">
        <f aca="false">+IF(E551=0,0,E551*0.03)</f>
        <v>0</v>
      </c>
    </row>
    <row r="552" customFormat="false" ht="15.75" hidden="false" customHeight="true" outlineLevel="0" collapsed="false">
      <c r="A552" s="30" t="n">
        <v>45323</v>
      </c>
      <c r="B552" s="31" t="s">
        <v>11</v>
      </c>
      <c r="C552" s="32"/>
      <c r="D552" s="32"/>
      <c r="E552" s="19" t="n">
        <f aca="false">+IF(C552="EQUIPO",F552,0)</f>
        <v>0</v>
      </c>
      <c r="F552" s="33" t="n">
        <v>0</v>
      </c>
      <c r="G552" s="62"/>
      <c r="H552" s="35" t="n">
        <v>0</v>
      </c>
      <c r="I552" s="34" t="n">
        <f aca="false">+IF(E552=0,0,E552*0.03)</f>
        <v>0</v>
      </c>
    </row>
    <row r="553" customFormat="false" ht="15.75" hidden="false" customHeight="true" outlineLevel="0" collapsed="false">
      <c r="A553" s="30" t="n">
        <v>45323</v>
      </c>
      <c r="B553" s="31" t="s">
        <v>11</v>
      </c>
      <c r="C553" s="32"/>
      <c r="D553" s="32"/>
      <c r="E553" s="19" t="n">
        <f aca="false">+IF(C553="EQUIPO",F553,0)</f>
        <v>0</v>
      </c>
      <c r="F553" s="33" t="n">
        <v>0</v>
      </c>
      <c r="G553" s="62"/>
      <c r="H553" s="35" t="n">
        <v>0</v>
      </c>
      <c r="I553" s="34" t="n">
        <f aca="false">+IF(E553=0,0,E553*0.03)</f>
        <v>0</v>
      </c>
    </row>
    <row r="554" customFormat="false" ht="15.75" hidden="false" customHeight="true" outlineLevel="0" collapsed="false">
      <c r="A554" s="30" t="n">
        <v>45323</v>
      </c>
      <c r="B554" s="31" t="s">
        <v>11</v>
      </c>
      <c r="C554" s="32"/>
      <c r="D554" s="32"/>
      <c r="E554" s="19" t="n">
        <f aca="false">+IF(C554="EQUIPO",F554,0)</f>
        <v>0</v>
      </c>
      <c r="F554" s="33" t="n">
        <v>0</v>
      </c>
      <c r="G554" s="62"/>
      <c r="H554" s="35" t="n">
        <v>0</v>
      </c>
      <c r="I554" s="34" t="n">
        <f aca="false">+IF(E554=0,0,E554*0.03)</f>
        <v>0</v>
      </c>
    </row>
    <row r="555" customFormat="false" ht="15.75" hidden="false" customHeight="true" outlineLevel="0" collapsed="false">
      <c r="A555" s="30" t="n">
        <v>45323</v>
      </c>
      <c r="B555" s="31" t="s">
        <v>11</v>
      </c>
      <c r="C555" s="32"/>
      <c r="D555" s="32"/>
      <c r="E555" s="19" t="n">
        <f aca="false">+IF(C555="EQUIPO",F555,0)</f>
        <v>0</v>
      </c>
      <c r="F555" s="33" t="n">
        <v>0</v>
      </c>
      <c r="G555" s="62"/>
      <c r="H555" s="35" t="n">
        <v>0</v>
      </c>
      <c r="I555" s="34" t="n">
        <f aca="false">+IF(E555=0,0,E555*0.03)</f>
        <v>0</v>
      </c>
    </row>
    <row r="556" customFormat="false" ht="15.75" hidden="false" customHeight="true" outlineLevel="0" collapsed="false">
      <c r="A556" s="30" t="n">
        <v>45323</v>
      </c>
      <c r="B556" s="31" t="s">
        <v>11</v>
      </c>
      <c r="C556" s="32"/>
      <c r="D556" s="32"/>
      <c r="E556" s="19" t="n">
        <f aca="false">+IF(C556="EQUIPO",F556,0)</f>
        <v>0</v>
      </c>
      <c r="F556" s="33" t="n">
        <v>0</v>
      </c>
      <c r="G556" s="62"/>
      <c r="H556" s="35" t="n">
        <v>0</v>
      </c>
      <c r="I556" s="34" t="n">
        <f aca="false">+IF(E556=0,0,E556*0.03)</f>
        <v>0</v>
      </c>
    </row>
    <row r="557" customFormat="false" ht="15.75" hidden="false" customHeight="true" outlineLevel="0" collapsed="false">
      <c r="A557" s="30" t="n">
        <v>45323</v>
      </c>
      <c r="B557" s="31" t="s">
        <v>11</v>
      </c>
      <c r="C557" s="32"/>
      <c r="D557" s="32"/>
      <c r="E557" s="19" t="n">
        <f aca="false">+IF(C557="EQUIPO",F557,0)</f>
        <v>0</v>
      </c>
      <c r="F557" s="33" t="n">
        <v>0</v>
      </c>
      <c r="G557" s="62"/>
      <c r="H557" s="35" t="n">
        <v>0</v>
      </c>
      <c r="I557" s="34" t="n">
        <f aca="false">+IF(E557=0,0,E557*0.03)</f>
        <v>0</v>
      </c>
    </row>
    <row r="558" customFormat="false" ht="15.75" hidden="false" customHeight="true" outlineLevel="0" collapsed="false">
      <c r="A558" s="30" t="n">
        <v>45323</v>
      </c>
      <c r="B558" s="31" t="s">
        <v>11</v>
      </c>
      <c r="C558" s="32"/>
      <c r="D558" s="32"/>
      <c r="E558" s="19" t="n">
        <f aca="false">+IF(C558="EQUIPO",F558,0)</f>
        <v>0</v>
      </c>
      <c r="F558" s="33" t="n">
        <v>0</v>
      </c>
      <c r="G558" s="62"/>
      <c r="H558" s="35" t="n">
        <v>0</v>
      </c>
      <c r="I558" s="34" t="n">
        <f aca="false">+IF(E558=0,0,E558*0.03)</f>
        <v>0</v>
      </c>
    </row>
    <row r="559" customFormat="false" ht="15.75" hidden="false" customHeight="true" outlineLevel="0" collapsed="false">
      <c r="A559" s="30" t="n">
        <v>45323</v>
      </c>
      <c r="B559" s="31" t="s">
        <v>11</v>
      </c>
      <c r="C559" s="32"/>
      <c r="D559" s="32"/>
      <c r="E559" s="19" t="n">
        <f aca="false">+IF(C559="EQUIPO",F559,0)</f>
        <v>0</v>
      </c>
      <c r="F559" s="33" t="n">
        <v>0</v>
      </c>
      <c r="G559" s="62"/>
      <c r="H559" s="35" t="n">
        <v>0</v>
      </c>
      <c r="I559" s="34" t="n">
        <f aca="false">+IF(E559=0,0,E559*0.03)</f>
        <v>0</v>
      </c>
    </row>
    <row r="560" customFormat="false" ht="15.75" hidden="false" customHeight="true" outlineLevel="0" collapsed="false">
      <c r="A560" s="30" t="n">
        <v>45323</v>
      </c>
      <c r="B560" s="31" t="s">
        <v>11</v>
      </c>
      <c r="C560" s="32"/>
      <c r="D560" s="32"/>
      <c r="E560" s="19" t="n">
        <f aca="false">+IF(C560="EQUIPO",F560,0)</f>
        <v>0</v>
      </c>
      <c r="F560" s="33" t="n">
        <v>0</v>
      </c>
      <c r="G560" s="62"/>
      <c r="H560" s="35" t="n">
        <v>0</v>
      </c>
      <c r="I560" s="34" t="n">
        <f aca="false">+IF(E560=0,0,E560*0.03)</f>
        <v>0</v>
      </c>
    </row>
    <row r="561" customFormat="false" ht="15.75" hidden="false" customHeight="true" outlineLevel="0" collapsed="false">
      <c r="A561" s="30" t="n">
        <v>45323</v>
      </c>
      <c r="B561" s="31" t="s">
        <v>11</v>
      </c>
      <c r="C561" s="32"/>
      <c r="D561" s="32"/>
      <c r="E561" s="19" t="n">
        <f aca="false">+IF(C561="EQUIPO",F561,0)</f>
        <v>0</v>
      </c>
      <c r="F561" s="33" t="n">
        <v>0</v>
      </c>
      <c r="G561" s="62"/>
      <c r="H561" s="35" t="n">
        <v>0</v>
      </c>
      <c r="I561" s="34" t="n">
        <f aca="false">+IF(E561=0,0,E561*0.03)</f>
        <v>0</v>
      </c>
    </row>
    <row r="562" customFormat="false" ht="15.75" hidden="false" customHeight="true" outlineLevel="0" collapsed="false">
      <c r="A562" s="30" t="n">
        <v>45323</v>
      </c>
      <c r="B562" s="31" t="s">
        <v>11</v>
      </c>
      <c r="C562" s="32"/>
      <c r="D562" s="32"/>
      <c r="E562" s="19" t="n">
        <f aca="false">+IF(C562="EQUIPO",F562,0)</f>
        <v>0</v>
      </c>
      <c r="F562" s="33" t="n">
        <v>0</v>
      </c>
      <c r="G562" s="62"/>
      <c r="H562" s="35" t="n">
        <v>0</v>
      </c>
      <c r="I562" s="34" t="n">
        <f aca="false">+IF(E562=0,0,E562*0.03)</f>
        <v>0</v>
      </c>
    </row>
    <row r="563" customFormat="false" ht="15.75" hidden="false" customHeight="true" outlineLevel="0" collapsed="false">
      <c r="A563" s="30" t="n">
        <v>45323</v>
      </c>
      <c r="B563" s="31" t="s">
        <v>11</v>
      </c>
      <c r="C563" s="32"/>
      <c r="D563" s="32"/>
      <c r="E563" s="19" t="n">
        <f aca="false">+IF(C563="EQUIPO",F563,0)</f>
        <v>0</v>
      </c>
      <c r="F563" s="33" t="n">
        <v>0</v>
      </c>
      <c r="G563" s="62"/>
      <c r="H563" s="35" t="n">
        <v>0</v>
      </c>
      <c r="I563" s="34" t="n">
        <f aca="false">+IF(E563=0,0,E563*0.03)</f>
        <v>0</v>
      </c>
    </row>
    <row r="564" customFormat="false" ht="15.75" hidden="false" customHeight="true" outlineLevel="0" collapsed="false">
      <c r="A564" s="30" t="n">
        <v>45323</v>
      </c>
      <c r="B564" s="31" t="s">
        <v>11</v>
      </c>
      <c r="C564" s="32"/>
      <c r="D564" s="32"/>
      <c r="E564" s="19" t="n">
        <f aca="false">+IF(C564="EQUIPO",F564,0)</f>
        <v>0</v>
      </c>
      <c r="F564" s="33" t="n">
        <v>0</v>
      </c>
      <c r="G564" s="62"/>
      <c r="H564" s="35" t="n">
        <v>0</v>
      </c>
      <c r="I564" s="34" t="n">
        <f aca="false">+IF(E564=0,0,E564*0.03)</f>
        <v>0</v>
      </c>
    </row>
    <row r="565" customFormat="false" ht="15.75" hidden="false" customHeight="true" outlineLevel="0" collapsed="false">
      <c r="A565" s="30" t="n">
        <v>45323</v>
      </c>
      <c r="B565" s="31" t="s">
        <v>11</v>
      </c>
      <c r="C565" s="32"/>
      <c r="D565" s="32"/>
      <c r="E565" s="19" t="n">
        <f aca="false">+IF(C565="EQUIPO",F565,0)</f>
        <v>0</v>
      </c>
      <c r="F565" s="33" t="n">
        <v>0</v>
      </c>
      <c r="G565" s="62"/>
      <c r="H565" s="35" t="n">
        <v>0</v>
      </c>
      <c r="I565" s="34" t="n">
        <f aca="false">+IF(E565=0,0,E565*0.03)</f>
        <v>0</v>
      </c>
    </row>
    <row r="566" customFormat="false" ht="15.75" hidden="false" customHeight="true" outlineLevel="0" collapsed="false">
      <c r="A566" s="30" t="n">
        <v>45323</v>
      </c>
      <c r="B566" s="31" t="s">
        <v>11</v>
      </c>
      <c r="C566" s="32"/>
      <c r="D566" s="32"/>
      <c r="E566" s="19" t="n">
        <f aca="false">+IF(C566="EQUIPO",F566,0)</f>
        <v>0</v>
      </c>
      <c r="F566" s="33" t="n">
        <v>0</v>
      </c>
      <c r="G566" s="62"/>
      <c r="H566" s="35" t="n">
        <v>0</v>
      </c>
      <c r="I566" s="34" t="n">
        <f aca="false">+IF(E566=0,0,E566*0.03)</f>
        <v>0</v>
      </c>
    </row>
    <row r="567" customFormat="false" ht="15.75" hidden="false" customHeight="true" outlineLevel="0" collapsed="false">
      <c r="A567" s="30" t="n">
        <v>45323</v>
      </c>
      <c r="B567" s="31" t="s">
        <v>11</v>
      </c>
      <c r="C567" s="32"/>
      <c r="D567" s="32"/>
      <c r="E567" s="19" t="n">
        <f aca="false">+IF(C567="EQUIPO",F567,0)</f>
        <v>0</v>
      </c>
      <c r="F567" s="33" t="n">
        <v>0</v>
      </c>
      <c r="G567" s="62"/>
      <c r="H567" s="35" t="n">
        <v>0</v>
      </c>
      <c r="I567" s="34" t="n">
        <f aca="false">+IF(E567=0,0,E567*0.03)</f>
        <v>0</v>
      </c>
    </row>
    <row r="568" customFormat="false" ht="15.75" hidden="false" customHeight="true" outlineLevel="0" collapsed="false">
      <c r="A568" s="30" t="n">
        <v>45323</v>
      </c>
      <c r="B568" s="31" t="s">
        <v>11</v>
      </c>
      <c r="C568" s="32"/>
      <c r="D568" s="32"/>
      <c r="E568" s="19" t="n">
        <f aca="false">+IF(C568="EQUIPO",F568,0)</f>
        <v>0</v>
      </c>
      <c r="F568" s="33" t="n">
        <v>0</v>
      </c>
      <c r="G568" s="62"/>
      <c r="H568" s="35" t="n">
        <v>0</v>
      </c>
      <c r="I568" s="34" t="n">
        <f aca="false">+IF(E568=0,0,E568*0.03)</f>
        <v>0</v>
      </c>
    </row>
    <row r="569" customFormat="false" ht="15.75" hidden="false" customHeight="true" outlineLevel="0" collapsed="false">
      <c r="A569" s="30" t="n">
        <v>45323</v>
      </c>
      <c r="B569" s="31" t="s">
        <v>11</v>
      </c>
      <c r="C569" s="32"/>
      <c r="D569" s="32"/>
      <c r="E569" s="19" t="n">
        <f aca="false">+IF(C569="EQUIPO",F569,0)</f>
        <v>0</v>
      </c>
      <c r="F569" s="33" t="n">
        <v>0</v>
      </c>
      <c r="G569" s="62"/>
      <c r="H569" s="35" t="n">
        <v>0</v>
      </c>
      <c r="I569" s="34" t="n">
        <f aca="false">+IF(E569=0,0,E569*0.03)</f>
        <v>0</v>
      </c>
    </row>
    <row r="570" customFormat="false" ht="15.75" hidden="false" customHeight="true" outlineLevel="0" collapsed="false">
      <c r="A570" s="30" t="n">
        <v>45323</v>
      </c>
      <c r="B570" s="31" t="s">
        <v>11</v>
      </c>
      <c r="C570" s="32"/>
      <c r="D570" s="32"/>
      <c r="E570" s="19" t="n">
        <f aca="false">+IF(C570="EQUIPO",F570,0)</f>
        <v>0</v>
      </c>
      <c r="F570" s="33" t="n">
        <v>0</v>
      </c>
      <c r="G570" s="62"/>
      <c r="H570" s="35" t="n">
        <v>0</v>
      </c>
      <c r="I570" s="34" t="n">
        <f aca="false">+IF(E570=0,0,E570*0.03)</f>
        <v>0</v>
      </c>
    </row>
    <row r="571" customFormat="false" ht="15.75" hidden="false" customHeight="true" outlineLevel="0" collapsed="false">
      <c r="A571" s="30" t="n">
        <v>45323</v>
      </c>
      <c r="B571" s="31" t="s">
        <v>11</v>
      </c>
      <c r="C571" s="32"/>
      <c r="D571" s="32"/>
      <c r="E571" s="19" t="n">
        <f aca="false">+IF(C571="EQUIPO",F571,0)</f>
        <v>0</v>
      </c>
      <c r="F571" s="33" t="n">
        <v>0</v>
      </c>
      <c r="G571" s="62"/>
      <c r="H571" s="35" t="n">
        <v>0</v>
      </c>
      <c r="I571" s="34" t="n">
        <f aca="false">+IF(E571=0,0,E571*0.03)</f>
        <v>0</v>
      </c>
    </row>
    <row r="572" customFormat="false" ht="15.75" hidden="false" customHeight="true" outlineLevel="0" collapsed="false">
      <c r="A572" s="30" t="n">
        <v>45323</v>
      </c>
      <c r="B572" s="31" t="s">
        <v>11</v>
      </c>
      <c r="C572" s="32"/>
      <c r="D572" s="32"/>
      <c r="E572" s="19" t="n">
        <f aca="false">+IF(C572="EQUIPO",F572,0)</f>
        <v>0</v>
      </c>
      <c r="F572" s="33" t="n">
        <v>0</v>
      </c>
      <c r="G572" s="62"/>
      <c r="H572" s="35" t="n">
        <v>0</v>
      </c>
      <c r="I572" s="34" t="n">
        <f aca="false">+IF(E572=0,0,E572*0.03)</f>
        <v>0</v>
      </c>
    </row>
    <row r="573" customFormat="false" ht="15.75" hidden="false" customHeight="true" outlineLevel="0" collapsed="false">
      <c r="A573" s="30" t="n">
        <v>45323</v>
      </c>
      <c r="B573" s="31" t="s">
        <v>11</v>
      </c>
      <c r="C573" s="32"/>
      <c r="D573" s="32"/>
      <c r="E573" s="19" t="n">
        <f aca="false">+IF(C573="EQUIPO",F573,0)</f>
        <v>0</v>
      </c>
      <c r="F573" s="33" t="n">
        <v>0</v>
      </c>
      <c r="G573" s="62"/>
      <c r="H573" s="35" t="n">
        <v>0</v>
      </c>
      <c r="I573" s="34" t="n">
        <f aca="false">+IF(E573=0,0,E573*0.03)</f>
        <v>0</v>
      </c>
    </row>
    <row r="574" customFormat="false" ht="15.75" hidden="false" customHeight="true" outlineLevel="0" collapsed="false">
      <c r="A574" s="30" t="n">
        <v>45323</v>
      </c>
      <c r="B574" s="31" t="s">
        <v>11</v>
      </c>
      <c r="C574" s="32"/>
      <c r="D574" s="32"/>
      <c r="E574" s="19" t="n">
        <f aca="false">+IF(C574="EQUIPO",F574,0)</f>
        <v>0</v>
      </c>
      <c r="F574" s="33" t="n">
        <v>0</v>
      </c>
      <c r="G574" s="62"/>
      <c r="H574" s="35" t="n">
        <v>0</v>
      </c>
      <c r="I574" s="34" t="n">
        <f aca="false">+IF(E574=0,0,E574*0.03)</f>
        <v>0</v>
      </c>
    </row>
    <row r="575" customFormat="false" ht="15.75" hidden="false" customHeight="true" outlineLevel="0" collapsed="false">
      <c r="A575" s="30" t="n">
        <v>45323</v>
      </c>
      <c r="B575" s="31" t="s">
        <v>11</v>
      </c>
      <c r="C575" s="32"/>
      <c r="D575" s="32"/>
      <c r="E575" s="19" t="n">
        <f aca="false">+IF(C575="EQUIPO",F575,0)</f>
        <v>0</v>
      </c>
      <c r="F575" s="33" t="n">
        <v>0</v>
      </c>
      <c r="G575" s="62"/>
      <c r="H575" s="35" t="n">
        <v>0</v>
      </c>
      <c r="I575" s="34" t="n">
        <f aca="false">+IF(E575=0,0,E575*0.03)</f>
        <v>0</v>
      </c>
    </row>
    <row r="576" customFormat="false" ht="15.75" hidden="false" customHeight="true" outlineLevel="0" collapsed="false">
      <c r="A576" s="30" t="n">
        <v>45323</v>
      </c>
      <c r="B576" s="31" t="s">
        <v>11</v>
      </c>
      <c r="C576" s="32"/>
      <c r="D576" s="32"/>
      <c r="E576" s="19" t="n">
        <f aca="false">+IF(C576="EQUIPO",F576,0)</f>
        <v>0</v>
      </c>
      <c r="F576" s="33" t="n">
        <v>0</v>
      </c>
      <c r="G576" s="62"/>
      <c r="H576" s="35" t="n">
        <v>0</v>
      </c>
      <c r="I576" s="34" t="n">
        <f aca="false">+IF(E576=0,0,E576*0.03)</f>
        <v>0</v>
      </c>
    </row>
    <row r="577" customFormat="false" ht="15.75" hidden="false" customHeight="true" outlineLevel="0" collapsed="false">
      <c r="A577" s="30" t="n">
        <v>45323</v>
      </c>
      <c r="B577" s="31" t="s">
        <v>11</v>
      </c>
      <c r="C577" s="32"/>
      <c r="D577" s="32"/>
      <c r="E577" s="19" t="n">
        <f aca="false">+IF(C577="EQUIPO",F577,0)</f>
        <v>0</v>
      </c>
      <c r="F577" s="33" t="n">
        <v>0</v>
      </c>
      <c r="G577" s="62"/>
      <c r="H577" s="35" t="n">
        <v>0</v>
      </c>
      <c r="I577" s="34" t="n">
        <f aca="false">+IF(E577=0,0,E577*0.03)</f>
        <v>0</v>
      </c>
    </row>
    <row r="578" customFormat="false" ht="15.75" hidden="false" customHeight="true" outlineLevel="0" collapsed="false">
      <c r="A578" s="30" t="n">
        <v>45323</v>
      </c>
      <c r="B578" s="31" t="s">
        <v>11</v>
      </c>
      <c r="C578" s="32"/>
      <c r="D578" s="32"/>
      <c r="E578" s="19" t="n">
        <f aca="false">+IF(C578="EQUIPO",F578,0)</f>
        <v>0</v>
      </c>
      <c r="F578" s="33" t="n">
        <v>0</v>
      </c>
      <c r="G578" s="62"/>
      <c r="H578" s="35" t="n">
        <v>0</v>
      </c>
      <c r="I578" s="34" t="n">
        <f aca="false">+IF(E578=0,0,E578*0.03)</f>
        <v>0</v>
      </c>
    </row>
    <row r="579" customFormat="false" ht="15.75" hidden="false" customHeight="true" outlineLevel="0" collapsed="false">
      <c r="A579" s="30" t="n">
        <v>45323</v>
      </c>
      <c r="B579" s="31" t="s">
        <v>11</v>
      </c>
      <c r="C579" s="32"/>
      <c r="D579" s="32"/>
      <c r="E579" s="19" t="n">
        <f aca="false">+IF(C579="EQUIPO",F579,0)</f>
        <v>0</v>
      </c>
      <c r="F579" s="33" t="n">
        <v>0</v>
      </c>
      <c r="G579" s="62"/>
      <c r="H579" s="35" t="n">
        <v>0</v>
      </c>
      <c r="I579" s="34" t="n">
        <f aca="false">+IF(E579=0,0,E579*0.03)</f>
        <v>0</v>
      </c>
    </row>
    <row r="580" customFormat="false" ht="15.75" hidden="false" customHeight="true" outlineLevel="0" collapsed="false">
      <c r="A580" s="30" t="n">
        <v>45323</v>
      </c>
      <c r="B580" s="31" t="s">
        <v>11</v>
      </c>
      <c r="C580" s="32"/>
      <c r="D580" s="32"/>
      <c r="E580" s="19" t="n">
        <f aca="false">+IF(C580="EQUIPO",F580,0)</f>
        <v>0</v>
      </c>
      <c r="F580" s="33" t="n">
        <v>0</v>
      </c>
      <c r="G580" s="62"/>
      <c r="H580" s="35" t="n">
        <v>0</v>
      </c>
      <c r="I580" s="34" t="n">
        <f aca="false">+IF(E580=0,0,E580*0.03)</f>
        <v>0</v>
      </c>
    </row>
    <row r="581" customFormat="false" ht="15.75" hidden="false" customHeight="true" outlineLevel="0" collapsed="false">
      <c r="A581" s="30" t="n">
        <v>45323</v>
      </c>
      <c r="B581" s="31" t="s">
        <v>11</v>
      </c>
      <c r="C581" s="32"/>
      <c r="D581" s="32"/>
      <c r="E581" s="19" t="n">
        <f aca="false">+IF(C581="EQUIPO",F581,0)</f>
        <v>0</v>
      </c>
      <c r="F581" s="33" t="n">
        <v>0</v>
      </c>
      <c r="G581" s="62"/>
      <c r="H581" s="35" t="n">
        <v>0</v>
      </c>
      <c r="I581" s="34" t="n">
        <f aca="false">+IF(E581=0,0,E581*0.03)</f>
        <v>0</v>
      </c>
    </row>
    <row r="582" customFormat="false" ht="15.75" hidden="false" customHeight="true" outlineLevel="0" collapsed="false">
      <c r="A582" s="30" t="n">
        <v>45323</v>
      </c>
      <c r="B582" s="31" t="s">
        <v>11</v>
      </c>
      <c r="C582" s="32"/>
      <c r="D582" s="32"/>
      <c r="E582" s="19" t="n">
        <f aca="false">+IF(C582="EQUIPO",F582,0)</f>
        <v>0</v>
      </c>
      <c r="F582" s="33" t="n">
        <v>0</v>
      </c>
      <c r="G582" s="62"/>
      <c r="H582" s="35" t="n">
        <v>0</v>
      </c>
      <c r="I582" s="34" t="n">
        <f aca="false">+IF(E582=0,0,E582*0.03)</f>
        <v>0</v>
      </c>
    </row>
    <row r="583" customFormat="false" ht="15.75" hidden="false" customHeight="true" outlineLevel="0" collapsed="false">
      <c r="A583" s="30" t="n">
        <v>45323</v>
      </c>
      <c r="B583" s="31" t="s">
        <v>11</v>
      </c>
      <c r="C583" s="32"/>
      <c r="D583" s="32"/>
      <c r="E583" s="19" t="n">
        <f aca="false">+IF(C583="EQUIPO",F583,0)</f>
        <v>0</v>
      </c>
      <c r="F583" s="33" t="n">
        <v>0</v>
      </c>
      <c r="G583" s="62"/>
      <c r="H583" s="35" t="n">
        <v>0</v>
      </c>
      <c r="I583" s="34" t="n">
        <f aca="false">+IF(E583=0,0,E583*0.03)</f>
        <v>0</v>
      </c>
    </row>
    <row r="584" customFormat="false" ht="15.75" hidden="false" customHeight="true" outlineLevel="0" collapsed="false">
      <c r="A584" s="30" t="n">
        <v>45323</v>
      </c>
      <c r="B584" s="31" t="s">
        <v>11</v>
      </c>
      <c r="C584" s="32"/>
      <c r="D584" s="32"/>
      <c r="E584" s="19" t="n">
        <f aca="false">+IF(C584="EQUIPO",F584,0)</f>
        <v>0</v>
      </c>
      <c r="F584" s="33" t="n">
        <v>0</v>
      </c>
      <c r="G584" s="62"/>
      <c r="H584" s="35" t="n">
        <v>0</v>
      </c>
      <c r="I584" s="34" t="n">
        <f aca="false">+IF(E584=0,0,E584*0.03)</f>
        <v>0</v>
      </c>
    </row>
    <row r="585" customFormat="false" ht="15.75" hidden="false" customHeight="true" outlineLevel="0" collapsed="false">
      <c r="A585" s="30" t="n">
        <v>45323</v>
      </c>
      <c r="B585" s="31" t="s">
        <v>11</v>
      </c>
      <c r="C585" s="32"/>
      <c r="D585" s="32"/>
      <c r="E585" s="19" t="n">
        <f aca="false">+IF(C585="EQUIPO",F585,0)</f>
        <v>0</v>
      </c>
      <c r="F585" s="33" t="n">
        <v>0</v>
      </c>
      <c r="G585" s="62"/>
      <c r="H585" s="35" t="n">
        <v>0</v>
      </c>
      <c r="I585" s="34" t="n">
        <f aca="false">+IF(E585=0,0,E585*0.03)</f>
        <v>0</v>
      </c>
    </row>
    <row r="586" customFormat="false" ht="15.75" hidden="false" customHeight="true" outlineLevel="0" collapsed="false">
      <c r="A586" s="30" t="n">
        <v>45323</v>
      </c>
      <c r="B586" s="31" t="s">
        <v>11</v>
      </c>
      <c r="C586" s="32"/>
      <c r="D586" s="32"/>
      <c r="E586" s="19" t="n">
        <f aca="false">+IF(C586="EQUIPO",F586,0)</f>
        <v>0</v>
      </c>
      <c r="F586" s="33" t="n">
        <v>0</v>
      </c>
      <c r="G586" s="62"/>
      <c r="H586" s="35" t="n">
        <v>0</v>
      </c>
      <c r="I586" s="34" t="n">
        <f aca="false">+IF(E586=0,0,E586*0.03)</f>
        <v>0</v>
      </c>
    </row>
    <row r="587" customFormat="false" ht="15.75" hidden="false" customHeight="true" outlineLevel="0" collapsed="false">
      <c r="A587" s="30" t="n">
        <v>45323</v>
      </c>
      <c r="B587" s="31" t="s">
        <v>11</v>
      </c>
      <c r="C587" s="32"/>
      <c r="D587" s="32"/>
      <c r="E587" s="19" t="n">
        <f aca="false">+IF(C587="EQUIPO",F587,0)</f>
        <v>0</v>
      </c>
      <c r="F587" s="33" t="n">
        <v>0</v>
      </c>
      <c r="G587" s="62"/>
      <c r="H587" s="35" t="n">
        <v>0</v>
      </c>
      <c r="I587" s="34" t="n">
        <f aca="false">+IF(E587=0,0,E587*0.03)</f>
        <v>0</v>
      </c>
    </row>
    <row r="588" customFormat="false" ht="15.75" hidden="false" customHeight="true" outlineLevel="0" collapsed="false">
      <c r="A588" s="30" t="n">
        <v>45323</v>
      </c>
      <c r="B588" s="31" t="s">
        <v>11</v>
      </c>
      <c r="C588" s="32"/>
      <c r="D588" s="32"/>
      <c r="E588" s="19" t="n">
        <f aca="false">+IF(C588="EQUIPO",F588,0)</f>
        <v>0</v>
      </c>
      <c r="F588" s="33" t="n">
        <v>0</v>
      </c>
      <c r="G588" s="62"/>
      <c r="H588" s="35" t="n">
        <v>0</v>
      </c>
      <c r="I588" s="34" t="n">
        <f aca="false">+IF(E588=0,0,E588*0.03)</f>
        <v>0</v>
      </c>
    </row>
    <row r="589" customFormat="false" ht="15.75" hidden="false" customHeight="true" outlineLevel="0" collapsed="false">
      <c r="A589" s="30" t="n">
        <v>45323</v>
      </c>
      <c r="B589" s="31" t="s">
        <v>11</v>
      </c>
      <c r="C589" s="32"/>
      <c r="D589" s="32"/>
      <c r="E589" s="19" t="n">
        <f aca="false">+IF(C589="EQUIPO",F589,0)</f>
        <v>0</v>
      </c>
      <c r="F589" s="33" t="n">
        <v>0</v>
      </c>
      <c r="G589" s="62"/>
      <c r="H589" s="35" t="n">
        <v>0</v>
      </c>
      <c r="I589" s="34" t="n">
        <f aca="false">+IF(E589=0,0,E589*0.03)</f>
        <v>0</v>
      </c>
    </row>
    <row r="590" customFormat="false" ht="15.75" hidden="false" customHeight="true" outlineLevel="0" collapsed="false">
      <c r="A590" s="30" t="n">
        <v>45323</v>
      </c>
      <c r="B590" s="31" t="s">
        <v>11</v>
      </c>
      <c r="C590" s="32"/>
      <c r="D590" s="32"/>
      <c r="E590" s="19" t="n">
        <f aca="false">+IF(C590="EQUIPO",F590,0)</f>
        <v>0</v>
      </c>
      <c r="F590" s="33" t="n">
        <v>0</v>
      </c>
      <c r="G590" s="62"/>
      <c r="H590" s="35" t="n">
        <v>0</v>
      </c>
      <c r="I590" s="34" t="n">
        <f aca="false">+IF(E590=0,0,E590*0.03)</f>
        <v>0</v>
      </c>
    </row>
    <row r="591" customFormat="false" ht="15.75" hidden="false" customHeight="true" outlineLevel="0" collapsed="false">
      <c r="A591" s="30" t="n">
        <v>45323</v>
      </c>
      <c r="B591" s="31" t="s">
        <v>11</v>
      </c>
      <c r="C591" s="32"/>
      <c r="D591" s="32"/>
      <c r="E591" s="19" t="n">
        <f aca="false">+IF(C591="EQUIPO",F591,0)</f>
        <v>0</v>
      </c>
      <c r="F591" s="33" t="n">
        <v>0</v>
      </c>
      <c r="G591" s="62"/>
      <c r="H591" s="35" t="n">
        <v>0</v>
      </c>
      <c r="I591" s="34" t="n">
        <f aca="false">+IF(E591=0,0,E591*0.03)</f>
        <v>0</v>
      </c>
    </row>
    <row r="592" customFormat="false" ht="15.75" hidden="false" customHeight="true" outlineLevel="0" collapsed="false">
      <c r="A592" s="30" t="n">
        <v>45323</v>
      </c>
      <c r="B592" s="31" t="s">
        <v>11</v>
      </c>
      <c r="C592" s="32"/>
      <c r="D592" s="32"/>
      <c r="E592" s="19" t="n">
        <f aca="false">+IF(C592="EQUIPO",F592,0)</f>
        <v>0</v>
      </c>
      <c r="F592" s="33" t="n">
        <v>0</v>
      </c>
      <c r="G592" s="62"/>
      <c r="H592" s="35" t="n">
        <v>0</v>
      </c>
      <c r="I592" s="34" t="n">
        <f aca="false">+IF(E592=0,0,E592*0.03)</f>
        <v>0</v>
      </c>
    </row>
    <row r="593" customFormat="false" ht="15.75" hidden="false" customHeight="true" outlineLevel="0" collapsed="false">
      <c r="A593" s="30" t="n">
        <v>45323</v>
      </c>
      <c r="B593" s="31" t="s">
        <v>11</v>
      </c>
      <c r="C593" s="32"/>
      <c r="D593" s="32"/>
      <c r="E593" s="19" t="n">
        <f aca="false">+IF(C593="EQUIPO",F593,0)</f>
        <v>0</v>
      </c>
      <c r="F593" s="33" t="n">
        <v>0</v>
      </c>
      <c r="G593" s="62"/>
      <c r="H593" s="35" t="n">
        <v>0</v>
      </c>
      <c r="I593" s="34" t="n">
        <f aca="false">+IF(E593=0,0,E593*0.03)</f>
        <v>0</v>
      </c>
    </row>
    <row r="594" customFormat="false" ht="15.75" hidden="false" customHeight="true" outlineLevel="0" collapsed="false">
      <c r="A594" s="30" t="n">
        <v>45323</v>
      </c>
      <c r="B594" s="31" t="s">
        <v>11</v>
      </c>
      <c r="C594" s="32"/>
      <c r="D594" s="32"/>
      <c r="E594" s="19" t="n">
        <f aca="false">+IF(C594="EQUIPO",F594,0)</f>
        <v>0</v>
      </c>
      <c r="F594" s="33" t="n">
        <v>0</v>
      </c>
      <c r="G594" s="62"/>
      <c r="H594" s="35" t="n">
        <v>0</v>
      </c>
      <c r="I594" s="34" t="n">
        <f aca="false">+IF(E594=0,0,E594*0.03)</f>
        <v>0</v>
      </c>
    </row>
    <row r="595" customFormat="false" ht="15.75" hidden="false" customHeight="true" outlineLevel="0" collapsed="false">
      <c r="A595" s="30" t="n">
        <v>45323</v>
      </c>
      <c r="B595" s="31" t="s">
        <v>11</v>
      </c>
      <c r="C595" s="32"/>
      <c r="D595" s="32"/>
      <c r="E595" s="19" t="n">
        <f aca="false">+IF(C595="EQUIPO",F595,0)</f>
        <v>0</v>
      </c>
      <c r="F595" s="33" t="n">
        <v>0</v>
      </c>
      <c r="G595" s="62"/>
      <c r="H595" s="35" t="n">
        <v>0</v>
      </c>
      <c r="I595" s="34" t="n">
        <f aca="false">+IF(E595=0,0,E595*0.03)</f>
        <v>0</v>
      </c>
    </row>
    <row r="596" customFormat="false" ht="15.75" hidden="false" customHeight="true" outlineLevel="0" collapsed="false">
      <c r="A596" s="30" t="n">
        <v>45323</v>
      </c>
      <c r="B596" s="31" t="s">
        <v>11</v>
      </c>
      <c r="C596" s="32"/>
      <c r="D596" s="32"/>
      <c r="E596" s="19" t="n">
        <f aca="false">+IF(C596="EQUIPO",F596,0)</f>
        <v>0</v>
      </c>
      <c r="F596" s="33" t="n">
        <v>0</v>
      </c>
      <c r="G596" s="62"/>
      <c r="H596" s="35" t="n">
        <v>0</v>
      </c>
      <c r="I596" s="34" t="n">
        <f aca="false">+IF(E596=0,0,E596*0.03)</f>
        <v>0</v>
      </c>
    </row>
    <row r="597" customFormat="false" ht="15.75" hidden="false" customHeight="true" outlineLevel="0" collapsed="false">
      <c r="A597" s="30" t="n">
        <v>45323</v>
      </c>
      <c r="B597" s="31" t="s">
        <v>11</v>
      </c>
      <c r="C597" s="32"/>
      <c r="D597" s="32"/>
      <c r="E597" s="19" t="n">
        <f aca="false">+IF(C597="EQUIPO",F597,0)</f>
        <v>0</v>
      </c>
      <c r="F597" s="33" t="n">
        <v>0</v>
      </c>
      <c r="G597" s="62"/>
      <c r="H597" s="35" t="n">
        <v>0</v>
      </c>
      <c r="I597" s="34" t="n">
        <f aca="false">+IF(E597=0,0,E597*0.03)</f>
        <v>0</v>
      </c>
    </row>
    <row r="598" customFormat="false" ht="15.75" hidden="false" customHeight="true" outlineLevel="0" collapsed="false">
      <c r="A598" s="30" t="n">
        <v>45323</v>
      </c>
      <c r="B598" s="31" t="s">
        <v>11</v>
      </c>
      <c r="C598" s="32"/>
      <c r="D598" s="32"/>
      <c r="E598" s="19" t="n">
        <f aca="false">+IF(C598="EQUIPO",F598,0)</f>
        <v>0</v>
      </c>
      <c r="F598" s="33" t="n">
        <v>0</v>
      </c>
      <c r="G598" s="62"/>
      <c r="H598" s="35" t="n">
        <v>0</v>
      </c>
      <c r="I598" s="34" t="n">
        <f aca="false">+IF(E598=0,0,E598*0.03)</f>
        <v>0</v>
      </c>
    </row>
    <row r="599" customFormat="false" ht="15.75" hidden="false" customHeight="true" outlineLevel="0" collapsed="false">
      <c r="A599" s="30" t="n">
        <v>45323</v>
      </c>
      <c r="B599" s="31" t="s">
        <v>11</v>
      </c>
      <c r="C599" s="32"/>
      <c r="D599" s="32"/>
      <c r="E599" s="19" t="n">
        <f aca="false">+IF(C599="EQUIPO",F599,0)</f>
        <v>0</v>
      </c>
      <c r="F599" s="33" t="n">
        <v>0</v>
      </c>
      <c r="G599" s="62"/>
      <c r="H599" s="35" t="n">
        <v>0</v>
      </c>
      <c r="I599" s="34" t="n">
        <f aca="false">+IF(E599=0,0,E599*0.03)</f>
        <v>0</v>
      </c>
    </row>
    <row r="600" customFormat="false" ht="15.75" hidden="false" customHeight="true" outlineLevel="0" collapsed="false">
      <c r="A600" s="30" t="n">
        <v>45323</v>
      </c>
      <c r="B600" s="31" t="s">
        <v>11</v>
      </c>
      <c r="C600" s="32"/>
      <c r="D600" s="32"/>
      <c r="E600" s="19" t="n">
        <f aca="false">+IF(C600="EQUIPO",F600,0)</f>
        <v>0</v>
      </c>
      <c r="F600" s="33" t="n">
        <v>0</v>
      </c>
      <c r="G600" s="62"/>
      <c r="H600" s="35" t="n">
        <v>0</v>
      </c>
      <c r="I600" s="34" t="n">
        <f aca="false">+IF(E600=0,0,E600*0.03)</f>
        <v>0</v>
      </c>
    </row>
    <row r="601" customFormat="false" ht="15.75" hidden="false" customHeight="true" outlineLevel="0" collapsed="false">
      <c r="A601" s="30" t="n">
        <v>45323</v>
      </c>
      <c r="B601" s="31" t="s">
        <v>11</v>
      </c>
      <c r="C601" s="32"/>
      <c r="D601" s="32"/>
      <c r="E601" s="19" t="n">
        <f aca="false">+IF(C601="EQUIPO",F601,0)</f>
        <v>0</v>
      </c>
      <c r="F601" s="33" t="n">
        <v>0</v>
      </c>
      <c r="G601" s="62"/>
      <c r="H601" s="35" t="n">
        <v>0</v>
      </c>
      <c r="I601" s="34" t="n">
        <f aca="false">+IF(E601=0,0,E601*0.03)</f>
        <v>0</v>
      </c>
    </row>
    <row r="602" customFormat="false" ht="15.75" hidden="false" customHeight="true" outlineLevel="0" collapsed="false">
      <c r="A602" s="30" t="n">
        <v>45323</v>
      </c>
      <c r="B602" s="31" t="s">
        <v>11</v>
      </c>
      <c r="C602" s="32"/>
      <c r="D602" s="32"/>
      <c r="E602" s="19" t="n">
        <f aca="false">+IF(C602="EQUIPO",F602,0)</f>
        <v>0</v>
      </c>
      <c r="F602" s="33" t="n">
        <v>0</v>
      </c>
      <c r="G602" s="62"/>
      <c r="H602" s="35" t="n">
        <v>0</v>
      </c>
      <c r="I602" s="34" t="n">
        <f aca="false">+IF(E602=0,0,E602*0.03)</f>
        <v>0</v>
      </c>
    </row>
    <row r="603" customFormat="false" ht="15.75" hidden="false" customHeight="true" outlineLevel="0" collapsed="false">
      <c r="A603" s="30" t="n">
        <v>45323</v>
      </c>
      <c r="B603" s="31" t="s">
        <v>11</v>
      </c>
      <c r="C603" s="32"/>
      <c r="D603" s="32"/>
      <c r="E603" s="19" t="n">
        <f aca="false">+IF(C603="EQUIPO",F603,0)</f>
        <v>0</v>
      </c>
      <c r="F603" s="33" t="n">
        <v>0</v>
      </c>
      <c r="G603" s="62"/>
      <c r="H603" s="35" t="n">
        <v>0</v>
      </c>
      <c r="I603" s="34" t="n">
        <f aca="false">+IF(E603=0,0,E603*0.03)</f>
        <v>0</v>
      </c>
    </row>
    <row r="604" customFormat="false" ht="15.75" hidden="false" customHeight="true" outlineLevel="0" collapsed="false">
      <c r="A604" s="30" t="n">
        <v>45323</v>
      </c>
      <c r="B604" s="31" t="s">
        <v>11</v>
      </c>
      <c r="C604" s="32"/>
      <c r="D604" s="32"/>
      <c r="E604" s="19" t="n">
        <f aca="false">+IF(C604="EQUIPO",F604,0)</f>
        <v>0</v>
      </c>
      <c r="F604" s="33" t="n">
        <v>0</v>
      </c>
      <c r="G604" s="62"/>
      <c r="H604" s="35" t="n">
        <v>0</v>
      </c>
      <c r="I604" s="34" t="n">
        <f aca="false">+IF(E604=0,0,E604*0.03)</f>
        <v>0</v>
      </c>
    </row>
    <row r="605" customFormat="false" ht="15.75" hidden="false" customHeight="true" outlineLevel="0" collapsed="false">
      <c r="A605" s="30" t="n">
        <v>45323</v>
      </c>
      <c r="B605" s="31" t="s">
        <v>11</v>
      </c>
      <c r="C605" s="32"/>
      <c r="D605" s="32"/>
      <c r="E605" s="19" t="n">
        <f aca="false">+IF(C605="EQUIPO",F605,0)</f>
        <v>0</v>
      </c>
      <c r="F605" s="33" t="n">
        <v>0</v>
      </c>
      <c r="G605" s="62"/>
      <c r="H605" s="35" t="n">
        <v>0</v>
      </c>
      <c r="I605" s="34" t="n">
        <f aca="false">+IF(E605=0,0,E605*0.03)</f>
        <v>0</v>
      </c>
    </row>
    <row r="606" customFormat="false" ht="15.75" hidden="false" customHeight="true" outlineLevel="0" collapsed="false">
      <c r="A606" s="30" t="n">
        <v>45323</v>
      </c>
      <c r="B606" s="31" t="s">
        <v>11</v>
      </c>
      <c r="C606" s="32"/>
      <c r="D606" s="32"/>
      <c r="E606" s="19" t="n">
        <f aca="false">+IF(C606="EQUIPO",F606,0)</f>
        <v>0</v>
      </c>
      <c r="F606" s="33" t="n">
        <v>0</v>
      </c>
      <c r="G606" s="62"/>
      <c r="H606" s="35" t="n">
        <v>0</v>
      </c>
      <c r="I606" s="34" t="n">
        <f aca="false">+IF(E606=0,0,E606*0.03)</f>
        <v>0</v>
      </c>
    </row>
    <row r="607" customFormat="false" ht="15.75" hidden="false" customHeight="true" outlineLevel="0" collapsed="false">
      <c r="A607" s="30" t="n">
        <v>45323</v>
      </c>
      <c r="B607" s="31" t="s">
        <v>11</v>
      </c>
      <c r="C607" s="32"/>
      <c r="D607" s="32"/>
      <c r="E607" s="19" t="n">
        <f aca="false">+IF(C607="EQUIPO",F607,0)</f>
        <v>0</v>
      </c>
      <c r="F607" s="33" t="n">
        <v>0</v>
      </c>
      <c r="G607" s="62"/>
      <c r="H607" s="35" t="n">
        <v>0</v>
      </c>
      <c r="I607" s="34" t="n">
        <f aca="false">+IF(E607=0,0,E607*0.03)</f>
        <v>0</v>
      </c>
    </row>
    <row r="608" customFormat="false" ht="15.75" hidden="false" customHeight="true" outlineLevel="0" collapsed="false">
      <c r="A608" s="30" t="n">
        <v>45323</v>
      </c>
      <c r="B608" s="31" t="s">
        <v>11</v>
      </c>
      <c r="C608" s="32"/>
      <c r="D608" s="32"/>
      <c r="E608" s="19" t="n">
        <f aca="false">+IF(C608="EQUIPO",F608,0)</f>
        <v>0</v>
      </c>
      <c r="F608" s="33" t="n">
        <v>0</v>
      </c>
      <c r="G608" s="62"/>
      <c r="H608" s="35" t="n">
        <v>0</v>
      </c>
      <c r="I608" s="34" t="n">
        <f aca="false">+IF(E608=0,0,E608*0.03)</f>
        <v>0</v>
      </c>
    </row>
    <row r="609" customFormat="false" ht="15.75" hidden="false" customHeight="true" outlineLevel="0" collapsed="false">
      <c r="A609" s="30" t="n">
        <v>45323</v>
      </c>
      <c r="B609" s="31" t="s">
        <v>11</v>
      </c>
      <c r="C609" s="32"/>
      <c r="D609" s="32"/>
      <c r="E609" s="19" t="n">
        <f aca="false">+IF(C609="EQUIPO",F609,0)</f>
        <v>0</v>
      </c>
      <c r="F609" s="33" t="n">
        <v>0</v>
      </c>
      <c r="G609" s="62"/>
      <c r="H609" s="35" t="n">
        <v>0</v>
      </c>
      <c r="I609" s="34" t="n">
        <f aca="false">+IF(E609=0,0,E609*0.03)</f>
        <v>0</v>
      </c>
    </row>
    <row r="610" customFormat="false" ht="15.75" hidden="false" customHeight="true" outlineLevel="0" collapsed="false">
      <c r="A610" s="30" t="n">
        <v>45323</v>
      </c>
      <c r="B610" s="31" t="s">
        <v>11</v>
      </c>
      <c r="C610" s="32"/>
      <c r="D610" s="32"/>
      <c r="E610" s="19" t="n">
        <f aca="false">+IF(C610="EQUIPO",F610,0)</f>
        <v>0</v>
      </c>
      <c r="F610" s="33" t="n">
        <v>0</v>
      </c>
      <c r="G610" s="62"/>
      <c r="H610" s="35" t="n">
        <v>0</v>
      </c>
      <c r="I610" s="34" t="n">
        <f aca="false">+IF(E610=0,0,E610*0.03)</f>
        <v>0</v>
      </c>
    </row>
    <row r="611" customFormat="false" ht="15.75" hidden="false" customHeight="true" outlineLevel="0" collapsed="false">
      <c r="A611" s="30" t="n">
        <v>45323</v>
      </c>
      <c r="B611" s="31" t="s">
        <v>11</v>
      </c>
      <c r="C611" s="32"/>
      <c r="D611" s="32"/>
      <c r="E611" s="19" t="n">
        <f aca="false">+IF(C611="EQUIPO",F611,0)</f>
        <v>0</v>
      </c>
      <c r="F611" s="33" t="n">
        <v>0</v>
      </c>
      <c r="G611" s="62"/>
      <c r="H611" s="35" t="n">
        <v>0</v>
      </c>
      <c r="I611" s="34" t="n">
        <f aca="false">+IF(E611=0,0,E611*0.03)</f>
        <v>0</v>
      </c>
    </row>
    <row r="612" customFormat="false" ht="15.75" hidden="false" customHeight="true" outlineLevel="0" collapsed="false">
      <c r="A612" s="30" t="n">
        <v>45323</v>
      </c>
      <c r="B612" s="31" t="s">
        <v>11</v>
      </c>
      <c r="C612" s="32"/>
      <c r="D612" s="32"/>
      <c r="E612" s="19" t="n">
        <f aca="false">+IF(C612="EQUIPO",F612,0)</f>
        <v>0</v>
      </c>
      <c r="F612" s="33" t="n">
        <v>0</v>
      </c>
      <c r="G612" s="62"/>
      <c r="H612" s="35" t="n">
        <v>0</v>
      </c>
      <c r="I612" s="34" t="n">
        <f aca="false">+IF(E612=0,0,E612*0.03)</f>
        <v>0</v>
      </c>
    </row>
    <row r="613" customFormat="false" ht="15.75" hidden="false" customHeight="true" outlineLevel="0" collapsed="false">
      <c r="A613" s="30" t="n">
        <v>45323</v>
      </c>
      <c r="B613" s="31" t="s">
        <v>11</v>
      </c>
      <c r="C613" s="32"/>
      <c r="D613" s="32"/>
      <c r="E613" s="19" t="n">
        <f aca="false">+IF(C613="EQUIPO",F613,0)</f>
        <v>0</v>
      </c>
      <c r="F613" s="33" t="n">
        <v>0</v>
      </c>
      <c r="G613" s="62"/>
      <c r="H613" s="35" t="n">
        <v>0</v>
      </c>
      <c r="I613" s="34" t="n">
        <f aca="false">+IF(E613=0,0,E613*0.03)</f>
        <v>0</v>
      </c>
    </row>
    <row r="614" customFormat="false" ht="15.75" hidden="false" customHeight="true" outlineLevel="0" collapsed="false">
      <c r="A614" s="30" t="n">
        <v>45323</v>
      </c>
      <c r="B614" s="31" t="s">
        <v>11</v>
      </c>
      <c r="C614" s="32"/>
      <c r="D614" s="32"/>
      <c r="E614" s="19" t="n">
        <f aca="false">+IF(C614="EQUIPO",F614,0)</f>
        <v>0</v>
      </c>
      <c r="F614" s="33" t="n">
        <v>0</v>
      </c>
      <c r="G614" s="62"/>
      <c r="H614" s="35" t="n">
        <v>0</v>
      </c>
      <c r="I614" s="34" t="n">
        <f aca="false">+IF(E614=0,0,E614*0.03)</f>
        <v>0</v>
      </c>
    </row>
    <row r="615" customFormat="false" ht="15.75" hidden="false" customHeight="true" outlineLevel="0" collapsed="false">
      <c r="A615" s="30" t="n">
        <v>45323</v>
      </c>
      <c r="B615" s="31" t="s">
        <v>11</v>
      </c>
      <c r="C615" s="32"/>
      <c r="D615" s="32"/>
      <c r="E615" s="19" t="n">
        <f aca="false">+IF(C615="EQUIPO",F615,0)</f>
        <v>0</v>
      </c>
      <c r="F615" s="33" t="n">
        <v>0</v>
      </c>
      <c r="G615" s="62"/>
      <c r="H615" s="35" t="n">
        <v>0</v>
      </c>
      <c r="I615" s="34" t="n">
        <f aca="false">+IF(E615=0,0,E615*0.03)</f>
        <v>0</v>
      </c>
    </row>
    <row r="616" customFormat="false" ht="15.75" hidden="false" customHeight="true" outlineLevel="0" collapsed="false">
      <c r="A616" s="30" t="n">
        <v>45323</v>
      </c>
      <c r="B616" s="31" t="s">
        <v>11</v>
      </c>
      <c r="C616" s="32"/>
      <c r="D616" s="32"/>
      <c r="E616" s="19" t="n">
        <f aca="false">+IF(C616="EQUIPO",F616,0)</f>
        <v>0</v>
      </c>
      <c r="F616" s="33" t="n">
        <v>0</v>
      </c>
      <c r="G616" s="62"/>
      <c r="H616" s="35" t="n">
        <v>0</v>
      </c>
      <c r="I616" s="34" t="n">
        <f aca="false">+IF(E616=0,0,E616*0.03)</f>
        <v>0</v>
      </c>
    </row>
    <row r="617" customFormat="false" ht="15.75" hidden="false" customHeight="true" outlineLevel="0" collapsed="false">
      <c r="A617" s="30" t="n">
        <v>45323</v>
      </c>
      <c r="B617" s="31" t="s">
        <v>11</v>
      </c>
      <c r="C617" s="32"/>
      <c r="D617" s="32"/>
      <c r="E617" s="19" t="n">
        <f aca="false">+IF(C617="EQUIPO",F617,0)</f>
        <v>0</v>
      </c>
      <c r="F617" s="33" t="n">
        <v>0</v>
      </c>
      <c r="G617" s="62"/>
      <c r="H617" s="35" t="n">
        <v>0</v>
      </c>
      <c r="I617" s="34" t="n">
        <f aca="false">+IF(E617=0,0,E617*0.03)</f>
        <v>0</v>
      </c>
    </row>
    <row r="618" customFormat="false" ht="15.75" hidden="false" customHeight="true" outlineLevel="0" collapsed="false">
      <c r="A618" s="30" t="n">
        <v>45323</v>
      </c>
      <c r="B618" s="31" t="s">
        <v>11</v>
      </c>
      <c r="C618" s="32"/>
      <c r="D618" s="32"/>
      <c r="E618" s="19" t="n">
        <f aca="false">+IF(C618="EQUIPO",F618,0)</f>
        <v>0</v>
      </c>
      <c r="F618" s="33" t="n">
        <v>0</v>
      </c>
      <c r="G618" s="62"/>
      <c r="H618" s="35" t="n">
        <v>0</v>
      </c>
      <c r="I618" s="34" t="n">
        <f aca="false">+IF(E618=0,0,E618*0.03)</f>
        <v>0</v>
      </c>
    </row>
    <row r="619" customFormat="false" ht="15.75" hidden="false" customHeight="true" outlineLevel="0" collapsed="false">
      <c r="A619" s="30" t="n">
        <v>45323</v>
      </c>
      <c r="B619" s="31" t="s">
        <v>11</v>
      </c>
      <c r="C619" s="32"/>
      <c r="D619" s="32"/>
      <c r="E619" s="19" t="n">
        <f aca="false">+IF(C619="EQUIPO",F619,0)</f>
        <v>0</v>
      </c>
      <c r="F619" s="33" t="n">
        <v>0</v>
      </c>
      <c r="G619" s="62"/>
      <c r="H619" s="35" t="n">
        <v>0</v>
      </c>
      <c r="I619" s="34" t="n">
        <f aca="false">+IF(E619=0,0,E619*0.03)</f>
        <v>0</v>
      </c>
    </row>
    <row r="620" customFormat="false" ht="15.75" hidden="false" customHeight="true" outlineLevel="0" collapsed="false">
      <c r="A620" s="30" t="n">
        <v>45323</v>
      </c>
      <c r="B620" s="31" t="s">
        <v>11</v>
      </c>
      <c r="C620" s="32"/>
      <c r="D620" s="32"/>
      <c r="E620" s="19" t="n">
        <f aca="false">+IF(C620="EQUIPO",F620,0)</f>
        <v>0</v>
      </c>
      <c r="F620" s="33" t="n">
        <v>0</v>
      </c>
      <c r="G620" s="62"/>
      <c r="H620" s="35" t="n">
        <v>0</v>
      </c>
      <c r="I620" s="34" t="n">
        <f aca="false">+IF(E620=0,0,E620*0.03)</f>
        <v>0</v>
      </c>
    </row>
    <row r="621" customFormat="false" ht="15.75" hidden="false" customHeight="true" outlineLevel="0" collapsed="false">
      <c r="A621" s="30" t="n">
        <v>45323</v>
      </c>
      <c r="B621" s="31" t="s">
        <v>11</v>
      </c>
      <c r="C621" s="32"/>
      <c r="D621" s="32"/>
      <c r="E621" s="19" t="n">
        <f aca="false">+IF(C621="EQUIPO",F621,0)</f>
        <v>0</v>
      </c>
      <c r="F621" s="33" t="n">
        <v>0</v>
      </c>
      <c r="G621" s="62"/>
      <c r="H621" s="35" t="n">
        <v>0</v>
      </c>
      <c r="I621" s="34" t="n">
        <f aca="false">+IF(E621=0,0,E621*0.03)</f>
        <v>0</v>
      </c>
    </row>
    <row r="622" customFormat="false" ht="15.75" hidden="false" customHeight="true" outlineLevel="0" collapsed="false">
      <c r="A622" s="30" t="n">
        <v>45323</v>
      </c>
      <c r="B622" s="31" t="s">
        <v>11</v>
      </c>
      <c r="C622" s="32"/>
      <c r="D622" s="32"/>
      <c r="E622" s="19" t="n">
        <f aca="false">+IF(C622="EQUIPO",F622,0)</f>
        <v>0</v>
      </c>
      <c r="F622" s="33" t="n">
        <v>0</v>
      </c>
      <c r="G622" s="62"/>
      <c r="H622" s="35" t="n">
        <v>0</v>
      </c>
      <c r="I622" s="34" t="n">
        <f aca="false">+IF(E622=0,0,E622*0.03)</f>
        <v>0</v>
      </c>
    </row>
    <row r="623" customFormat="false" ht="15.75" hidden="false" customHeight="true" outlineLevel="0" collapsed="false">
      <c r="A623" s="30" t="n">
        <v>45323</v>
      </c>
      <c r="B623" s="31" t="s">
        <v>11</v>
      </c>
      <c r="C623" s="32"/>
      <c r="D623" s="32"/>
      <c r="E623" s="19" t="n">
        <f aca="false">+IF(C623="EQUIPO",F623,0)</f>
        <v>0</v>
      </c>
      <c r="F623" s="33" t="n">
        <v>0</v>
      </c>
      <c r="G623" s="62"/>
      <c r="H623" s="35" t="n">
        <v>0</v>
      </c>
      <c r="I623" s="34" t="n">
        <f aca="false">+IF(E623=0,0,E623*0.03)</f>
        <v>0</v>
      </c>
    </row>
    <row r="624" customFormat="false" ht="15.75" hidden="false" customHeight="true" outlineLevel="0" collapsed="false">
      <c r="A624" s="30" t="n">
        <v>45323</v>
      </c>
      <c r="B624" s="31" t="s">
        <v>11</v>
      </c>
      <c r="C624" s="32"/>
      <c r="D624" s="32"/>
      <c r="E624" s="19" t="n">
        <f aca="false">+IF(C624="EQUIPO",F624,0)</f>
        <v>0</v>
      </c>
      <c r="F624" s="33" t="n">
        <v>0</v>
      </c>
      <c r="G624" s="62"/>
      <c r="H624" s="35" t="n">
        <v>0</v>
      </c>
      <c r="I624" s="34" t="n">
        <f aca="false">+IF(E624=0,0,E624*0.03)</f>
        <v>0</v>
      </c>
    </row>
    <row r="625" customFormat="false" ht="15.75" hidden="false" customHeight="true" outlineLevel="0" collapsed="false">
      <c r="A625" s="30" t="n">
        <v>45323</v>
      </c>
      <c r="B625" s="31" t="s">
        <v>11</v>
      </c>
      <c r="C625" s="32"/>
      <c r="D625" s="32"/>
      <c r="E625" s="19" t="n">
        <f aca="false">+IF(C625="EQUIPO",F625,0)</f>
        <v>0</v>
      </c>
      <c r="F625" s="33" t="n">
        <v>0</v>
      </c>
      <c r="G625" s="62"/>
      <c r="H625" s="35" t="n">
        <v>0</v>
      </c>
      <c r="I625" s="34" t="n">
        <f aca="false">+IF(E625=0,0,E625*0.03)</f>
        <v>0</v>
      </c>
    </row>
    <row r="626" customFormat="false" ht="15.75" hidden="false" customHeight="true" outlineLevel="0" collapsed="false">
      <c r="A626" s="30" t="n">
        <v>45323</v>
      </c>
      <c r="B626" s="31" t="s">
        <v>11</v>
      </c>
      <c r="C626" s="32"/>
      <c r="D626" s="32"/>
      <c r="E626" s="19" t="n">
        <f aca="false">+IF(C626="EQUIPO",F626,0)</f>
        <v>0</v>
      </c>
      <c r="F626" s="33" t="n">
        <v>0</v>
      </c>
      <c r="G626" s="62"/>
      <c r="H626" s="35" t="n">
        <v>0</v>
      </c>
      <c r="I626" s="34" t="n">
        <f aca="false">+IF(E626=0,0,E626*0.03)</f>
        <v>0</v>
      </c>
    </row>
    <row r="627" customFormat="false" ht="15.75" hidden="false" customHeight="true" outlineLevel="0" collapsed="false">
      <c r="A627" s="30" t="n">
        <v>45323</v>
      </c>
      <c r="B627" s="31" t="s">
        <v>11</v>
      </c>
      <c r="C627" s="32"/>
      <c r="D627" s="32"/>
      <c r="E627" s="19" t="n">
        <f aca="false">+IF(C627="EQUIPO",F627,0)</f>
        <v>0</v>
      </c>
      <c r="F627" s="33" t="n">
        <v>0</v>
      </c>
      <c r="G627" s="62"/>
      <c r="H627" s="35" t="n">
        <v>0</v>
      </c>
      <c r="I627" s="34" t="n">
        <f aca="false">+IF(E627=0,0,E627*0.03)</f>
        <v>0</v>
      </c>
    </row>
    <row r="628" customFormat="false" ht="15.75" hidden="false" customHeight="true" outlineLevel="0" collapsed="false">
      <c r="A628" s="30" t="n">
        <v>45323</v>
      </c>
      <c r="B628" s="31" t="s">
        <v>11</v>
      </c>
      <c r="C628" s="32"/>
      <c r="D628" s="32"/>
      <c r="E628" s="19" t="n">
        <f aca="false">+IF(C628="EQUIPO",F628,0)</f>
        <v>0</v>
      </c>
      <c r="F628" s="33" t="n">
        <v>0</v>
      </c>
      <c r="G628" s="62"/>
      <c r="H628" s="35" t="n">
        <v>0</v>
      </c>
      <c r="I628" s="34" t="n">
        <f aca="false">+IF(E628=0,0,E628*0.03)</f>
        <v>0</v>
      </c>
    </row>
    <row r="629" customFormat="false" ht="15.75" hidden="false" customHeight="true" outlineLevel="0" collapsed="false">
      <c r="A629" s="30" t="n">
        <v>45323</v>
      </c>
      <c r="B629" s="31" t="s">
        <v>11</v>
      </c>
      <c r="C629" s="32"/>
      <c r="D629" s="32"/>
      <c r="E629" s="19" t="n">
        <f aca="false">+IF(C629="EQUIPO",F629,0)</f>
        <v>0</v>
      </c>
      <c r="F629" s="33" t="n">
        <v>0</v>
      </c>
      <c r="G629" s="62"/>
      <c r="H629" s="35" t="n">
        <v>0</v>
      </c>
      <c r="I629" s="34" t="n">
        <f aca="false">+IF(E629=0,0,E629*0.03)</f>
        <v>0</v>
      </c>
    </row>
    <row r="630" customFormat="false" ht="15.75" hidden="false" customHeight="true" outlineLevel="0" collapsed="false">
      <c r="A630" s="30" t="n">
        <v>45323</v>
      </c>
      <c r="B630" s="31" t="s">
        <v>11</v>
      </c>
      <c r="C630" s="32"/>
      <c r="D630" s="32"/>
      <c r="E630" s="19" t="n">
        <f aca="false">+IF(C630="EQUIPO",F630,0)</f>
        <v>0</v>
      </c>
      <c r="F630" s="33" t="n">
        <v>0</v>
      </c>
      <c r="G630" s="62"/>
      <c r="H630" s="35" t="n">
        <v>0</v>
      </c>
      <c r="I630" s="34" t="n">
        <f aca="false">+IF(E630=0,0,E630*0.03)</f>
        <v>0</v>
      </c>
    </row>
    <row r="631" customFormat="false" ht="15.75" hidden="false" customHeight="true" outlineLevel="0" collapsed="false">
      <c r="A631" s="30" t="n">
        <v>45323</v>
      </c>
      <c r="B631" s="31" t="s">
        <v>11</v>
      </c>
      <c r="C631" s="32"/>
      <c r="D631" s="32"/>
      <c r="E631" s="19" t="n">
        <f aca="false">+IF(C631="EQUIPO",F631,0)</f>
        <v>0</v>
      </c>
      <c r="F631" s="33" t="n">
        <v>0</v>
      </c>
      <c r="G631" s="62"/>
      <c r="H631" s="35" t="n">
        <v>0</v>
      </c>
      <c r="I631" s="34" t="n">
        <f aca="false">+IF(E631=0,0,E631*0.03)</f>
        <v>0</v>
      </c>
    </row>
    <row r="632" customFormat="false" ht="15.75" hidden="false" customHeight="true" outlineLevel="0" collapsed="false">
      <c r="A632" s="30" t="n">
        <v>45323</v>
      </c>
      <c r="B632" s="31" t="s">
        <v>11</v>
      </c>
      <c r="C632" s="32"/>
      <c r="D632" s="32"/>
      <c r="E632" s="19" t="n">
        <f aca="false">+IF(C632="EQUIPO",F632,0)</f>
        <v>0</v>
      </c>
      <c r="F632" s="33" t="n">
        <v>0</v>
      </c>
      <c r="G632" s="62"/>
      <c r="H632" s="35" t="n">
        <v>0</v>
      </c>
      <c r="I632" s="34" t="n">
        <f aca="false">+IF(E632=0,0,E632*0.03)</f>
        <v>0</v>
      </c>
    </row>
    <row r="633" customFormat="false" ht="15.75" hidden="false" customHeight="true" outlineLevel="0" collapsed="false">
      <c r="A633" s="30" t="n">
        <v>45323</v>
      </c>
      <c r="B633" s="31" t="s">
        <v>11</v>
      </c>
      <c r="C633" s="32"/>
      <c r="D633" s="32"/>
      <c r="E633" s="19" t="n">
        <f aca="false">+IF(C633="EQUIPO",F633,0)</f>
        <v>0</v>
      </c>
      <c r="F633" s="33" t="n">
        <v>0</v>
      </c>
      <c r="G633" s="62"/>
      <c r="H633" s="35" t="n">
        <v>0</v>
      </c>
      <c r="I633" s="34" t="n">
        <f aca="false">+IF(E633=0,0,E633*0.03)</f>
        <v>0</v>
      </c>
    </row>
    <row r="634" customFormat="false" ht="15.75" hidden="false" customHeight="true" outlineLevel="0" collapsed="false">
      <c r="A634" s="30" t="n">
        <v>45323</v>
      </c>
      <c r="B634" s="31" t="s">
        <v>11</v>
      </c>
      <c r="C634" s="32"/>
      <c r="D634" s="32"/>
      <c r="E634" s="19" t="n">
        <f aca="false">+IF(C634="EQUIPO",F634,0)</f>
        <v>0</v>
      </c>
      <c r="F634" s="33" t="n">
        <v>0</v>
      </c>
      <c r="G634" s="62"/>
      <c r="H634" s="35" t="n">
        <v>0</v>
      </c>
      <c r="I634" s="34" t="n">
        <f aca="false">+IF(E634=0,0,E634*0.03)</f>
        <v>0</v>
      </c>
    </row>
    <row r="635" customFormat="false" ht="15.75" hidden="false" customHeight="true" outlineLevel="0" collapsed="false">
      <c r="A635" s="30" t="n">
        <v>45323</v>
      </c>
      <c r="B635" s="31" t="s">
        <v>11</v>
      </c>
      <c r="C635" s="32"/>
      <c r="D635" s="32"/>
      <c r="E635" s="19" t="n">
        <f aca="false">+IF(C635="EQUIPO",F635,0)</f>
        <v>0</v>
      </c>
      <c r="F635" s="33" t="n">
        <v>0</v>
      </c>
      <c r="G635" s="62"/>
      <c r="H635" s="35" t="n">
        <v>0</v>
      </c>
      <c r="I635" s="34" t="n">
        <f aca="false">+IF(E635=0,0,E635*0.03)</f>
        <v>0</v>
      </c>
    </row>
    <row r="636" customFormat="false" ht="15.75" hidden="false" customHeight="true" outlineLevel="0" collapsed="false">
      <c r="A636" s="30" t="n">
        <v>45323</v>
      </c>
      <c r="B636" s="31" t="s">
        <v>11</v>
      </c>
      <c r="C636" s="32"/>
      <c r="D636" s="32"/>
      <c r="E636" s="19" t="n">
        <f aca="false">+IF(C636="EQUIPO",F636,0)</f>
        <v>0</v>
      </c>
      <c r="F636" s="33" t="n">
        <v>0</v>
      </c>
      <c r="G636" s="62"/>
      <c r="H636" s="35" t="n">
        <v>0</v>
      </c>
      <c r="I636" s="34" t="n">
        <f aca="false">+IF(E636=0,0,E636*0.03)</f>
        <v>0</v>
      </c>
    </row>
    <row r="637" customFormat="false" ht="15.75" hidden="false" customHeight="true" outlineLevel="0" collapsed="false">
      <c r="A637" s="30" t="n">
        <v>45323</v>
      </c>
      <c r="B637" s="31" t="s">
        <v>11</v>
      </c>
      <c r="C637" s="32"/>
      <c r="D637" s="32"/>
      <c r="E637" s="19" t="n">
        <f aca="false">+IF(C637="EQUIPO",F637,0)</f>
        <v>0</v>
      </c>
      <c r="F637" s="33" t="n">
        <v>0</v>
      </c>
      <c r="G637" s="62"/>
      <c r="H637" s="35" t="n">
        <v>0</v>
      </c>
      <c r="I637" s="34" t="n">
        <f aca="false">+IF(E637=0,0,E637*0.03)</f>
        <v>0</v>
      </c>
    </row>
    <row r="638" customFormat="false" ht="15.75" hidden="false" customHeight="true" outlineLevel="0" collapsed="false">
      <c r="A638" s="30" t="n">
        <v>45323</v>
      </c>
      <c r="B638" s="31" t="s">
        <v>11</v>
      </c>
      <c r="C638" s="32"/>
      <c r="D638" s="32"/>
      <c r="E638" s="19" t="n">
        <f aca="false">+IF(C638="EQUIPO",F638,0)</f>
        <v>0</v>
      </c>
      <c r="F638" s="33" t="n">
        <v>0</v>
      </c>
      <c r="G638" s="62"/>
      <c r="H638" s="35" t="n">
        <v>0</v>
      </c>
      <c r="I638" s="34" t="n">
        <f aca="false">+IF(E638=0,0,E638*0.03)</f>
        <v>0</v>
      </c>
    </row>
    <row r="639" customFormat="false" ht="15.75" hidden="false" customHeight="true" outlineLevel="0" collapsed="false">
      <c r="A639" s="30" t="n">
        <v>45323</v>
      </c>
      <c r="B639" s="31" t="s">
        <v>11</v>
      </c>
      <c r="C639" s="32"/>
      <c r="D639" s="32"/>
      <c r="E639" s="19" t="n">
        <f aca="false">+IF(C639="EQUIPO",F639,0)</f>
        <v>0</v>
      </c>
      <c r="F639" s="33" t="n">
        <v>0</v>
      </c>
      <c r="G639" s="62"/>
      <c r="H639" s="35" t="n">
        <v>0</v>
      </c>
      <c r="I639" s="34" t="n">
        <f aca="false">+IF(E639=0,0,E639*0.03)</f>
        <v>0</v>
      </c>
    </row>
    <row r="640" customFormat="false" ht="15.75" hidden="false" customHeight="true" outlineLevel="0" collapsed="false">
      <c r="A640" s="30" t="n">
        <v>45323</v>
      </c>
      <c r="B640" s="31" t="s">
        <v>11</v>
      </c>
      <c r="C640" s="32"/>
      <c r="D640" s="32"/>
      <c r="E640" s="19" t="n">
        <f aca="false">+IF(C640="EQUIPO",F640,0)</f>
        <v>0</v>
      </c>
      <c r="F640" s="33" t="n">
        <v>0</v>
      </c>
      <c r="G640" s="62"/>
      <c r="H640" s="35" t="n">
        <v>0</v>
      </c>
      <c r="I640" s="34" t="n">
        <f aca="false">+IF(E640=0,0,E640*0.03)</f>
        <v>0</v>
      </c>
    </row>
    <row r="641" customFormat="false" ht="15.75" hidden="false" customHeight="true" outlineLevel="0" collapsed="false">
      <c r="A641" s="30" t="n">
        <v>45323</v>
      </c>
      <c r="B641" s="31" t="s">
        <v>11</v>
      </c>
      <c r="C641" s="32"/>
      <c r="D641" s="32"/>
      <c r="E641" s="19" t="n">
        <f aca="false">+IF(C641="EQUIPO",F641,0)</f>
        <v>0</v>
      </c>
      <c r="F641" s="33" t="n">
        <v>0</v>
      </c>
      <c r="G641" s="62"/>
      <c r="H641" s="35" t="n">
        <v>0</v>
      </c>
      <c r="I641" s="34" t="n">
        <f aca="false">+IF(E641=0,0,E641*0.03)</f>
        <v>0</v>
      </c>
    </row>
    <row r="642" customFormat="false" ht="15.75" hidden="false" customHeight="true" outlineLevel="0" collapsed="false">
      <c r="A642" s="30" t="n">
        <v>45323</v>
      </c>
      <c r="B642" s="31" t="s">
        <v>11</v>
      </c>
      <c r="C642" s="32"/>
      <c r="D642" s="32"/>
      <c r="E642" s="19" t="n">
        <f aca="false">+IF(C642="EQUIPO",F642,0)</f>
        <v>0</v>
      </c>
      <c r="F642" s="33" t="n">
        <v>0</v>
      </c>
      <c r="G642" s="62"/>
      <c r="H642" s="35" t="n">
        <v>0</v>
      </c>
      <c r="I642" s="34" t="n">
        <f aca="false">+IF(E642=0,0,E642*0.03)</f>
        <v>0</v>
      </c>
    </row>
    <row r="643" customFormat="false" ht="15.75" hidden="false" customHeight="true" outlineLevel="0" collapsed="false">
      <c r="A643" s="30" t="n">
        <v>45323</v>
      </c>
      <c r="B643" s="31" t="s">
        <v>11</v>
      </c>
      <c r="C643" s="32"/>
      <c r="D643" s="32"/>
      <c r="E643" s="19" t="n">
        <f aca="false">+IF(C643="EQUIPO",F643,0)</f>
        <v>0</v>
      </c>
      <c r="F643" s="33" t="n">
        <v>0</v>
      </c>
      <c r="G643" s="62"/>
      <c r="H643" s="35" t="n">
        <v>0</v>
      </c>
      <c r="I643" s="34" t="n">
        <f aca="false">+IF(E643=0,0,E643*0.03)</f>
        <v>0</v>
      </c>
    </row>
    <row r="644" customFormat="false" ht="15.75" hidden="false" customHeight="true" outlineLevel="0" collapsed="false">
      <c r="A644" s="30" t="n">
        <v>45323</v>
      </c>
      <c r="B644" s="31" t="s">
        <v>11</v>
      </c>
      <c r="C644" s="32"/>
      <c r="D644" s="32"/>
      <c r="E644" s="19" t="n">
        <f aca="false">+IF(C644="EQUIPO",F644,0)</f>
        <v>0</v>
      </c>
      <c r="F644" s="33" t="n">
        <v>0</v>
      </c>
      <c r="G644" s="62"/>
      <c r="H644" s="35" t="n">
        <v>0</v>
      </c>
      <c r="I644" s="34" t="n">
        <f aca="false">+IF(E644=0,0,E644*0.03)</f>
        <v>0</v>
      </c>
    </row>
    <row r="645" customFormat="false" ht="15.75" hidden="false" customHeight="true" outlineLevel="0" collapsed="false">
      <c r="A645" s="30" t="n">
        <v>45323</v>
      </c>
      <c r="B645" s="31" t="s">
        <v>11</v>
      </c>
      <c r="C645" s="32"/>
      <c r="D645" s="32"/>
      <c r="E645" s="19" t="n">
        <f aca="false">+IF(C645="EQUIPO",F645,0)</f>
        <v>0</v>
      </c>
      <c r="F645" s="33" t="n">
        <v>0</v>
      </c>
      <c r="G645" s="62"/>
      <c r="H645" s="35" t="n">
        <v>0</v>
      </c>
      <c r="I645" s="34" t="n">
        <f aca="false">+IF(E645=0,0,E645*0.03)</f>
        <v>0</v>
      </c>
    </row>
    <row r="646" customFormat="false" ht="15.75" hidden="false" customHeight="true" outlineLevel="0" collapsed="false">
      <c r="A646" s="30" t="n">
        <v>45323</v>
      </c>
      <c r="B646" s="31" t="s">
        <v>11</v>
      </c>
      <c r="C646" s="32"/>
      <c r="D646" s="32"/>
      <c r="E646" s="19" t="n">
        <f aca="false">+IF(C646="EQUIPO",F646,0)</f>
        <v>0</v>
      </c>
      <c r="F646" s="33" t="n">
        <v>0</v>
      </c>
      <c r="G646" s="62"/>
      <c r="H646" s="35" t="n">
        <v>0</v>
      </c>
      <c r="I646" s="34" t="n">
        <f aca="false">+IF(E646=0,0,E646*0.03)</f>
        <v>0</v>
      </c>
    </row>
    <row r="647" customFormat="false" ht="15.75" hidden="false" customHeight="true" outlineLevel="0" collapsed="false">
      <c r="A647" s="30" t="n">
        <v>45323</v>
      </c>
      <c r="B647" s="31" t="s">
        <v>11</v>
      </c>
      <c r="C647" s="32"/>
      <c r="D647" s="32"/>
      <c r="E647" s="19" t="n">
        <f aca="false">+IF(C647="EQUIPO",F647,0)</f>
        <v>0</v>
      </c>
      <c r="F647" s="33" t="n">
        <v>0</v>
      </c>
      <c r="G647" s="62"/>
      <c r="H647" s="35" t="n">
        <v>0</v>
      </c>
      <c r="I647" s="34" t="n">
        <f aca="false">+IF(E647=0,0,E647*0.03)</f>
        <v>0</v>
      </c>
    </row>
    <row r="648" customFormat="false" ht="15.75" hidden="false" customHeight="true" outlineLevel="0" collapsed="false">
      <c r="A648" s="30" t="n">
        <v>45323</v>
      </c>
      <c r="B648" s="31" t="s">
        <v>11</v>
      </c>
      <c r="C648" s="32"/>
      <c r="D648" s="32"/>
      <c r="E648" s="19" t="n">
        <f aca="false">+IF(C648="EQUIPO",F648,0)</f>
        <v>0</v>
      </c>
      <c r="F648" s="33" t="n">
        <v>0</v>
      </c>
      <c r="G648" s="62"/>
      <c r="H648" s="35" t="n">
        <v>0</v>
      </c>
      <c r="I648" s="34" t="n">
        <f aca="false">+IF(E648=0,0,E648*0.03)</f>
        <v>0</v>
      </c>
    </row>
    <row r="649" customFormat="false" ht="15.75" hidden="false" customHeight="true" outlineLevel="0" collapsed="false">
      <c r="A649" s="30" t="n">
        <v>45323</v>
      </c>
      <c r="B649" s="31" t="s">
        <v>11</v>
      </c>
      <c r="C649" s="32"/>
      <c r="D649" s="32"/>
      <c r="E649" s="19" t="n">
        <f aca="false">+IF(C649="EQUIPO",F649,0)</f>
        <v>0</v>
      </c>
      <c r="F649" s="33" t="n">
        <v>0</v>
      </c>
      <c r="G649" s="62"/>
      <c r="H649" s="35" t="n">
        <v>0</v>
      </c>
      <c r="I649" s="34" t="n">
        <f aca="false">+IF(E649=0,0,E649*0.03)</f>
        <v>0</v>
      </c>
    </row>
    <row r="650" customFormat="false" ht="15.75" hidden="false" customHeight="true" outlineLevel="0" collapsed="false">
      <c r="A650" s="30" t="n">
        <v>45323</v>
      </c>
      <c r="B650" s="31" t="s">
        <v>11</v>
      </c>
      <c r="C650" s="32"/>
      <c r="D650" s="32"/>
      <c r="E650" s="19" t="n">
        <f aca="false">+IF(C650="EQUIPO",F650,0)</f>
        <v>0</v>
      </c>
      <c r="F650" s="33" t="n">
        <v>0</v>
      </c>
      <c r="G650" s="62"/>
      <c r="H650" s="35" t="n">
        <v>0</v>
      </c>
      <c r="I650" s="34" t="n">
        <f aca="false">+IF(E650=0,0,E650*0.03)</f>
        <v>0</v>
      </c>
    </row>
    <row r="651" customFormat="false" ht="15.75" hidden="false" customHeight="true" outlineLevel="0" collapsed="false">
      <c r="A651" s="30" t="n">
        <v>45323</v>
      </c>
      <c r="B651" s="31" t="s">
        <v>11</v>
      </c>
      <c r="C651" s="32"/>
      <c r="D651" s="32"/>
      <c r="E651" s="19" t="n">
        <f aca="false">+IF(C651="EQUIPO",F651,0)</f>
        <v>0</v>
      </c>
      <c r="F651" s="33" t="n">
        <v>0</v>
      </c>
      <c r="G651" s="62"/>
      <c r="H651" s="35" t="n">
        <v>0</v>
      </c>
      <c r="I651" s="34" t="n">
        <f aca="false">+IF(E651=0,0,E651*0.03)</f>
        <v>0</v>
      </c>
    </row>
    <row r="652" customFormat="false" ht="15.75" hidden="false" customHeight="true" outlineLevel="0" collapsed="false">
      <c r="A652" s="30" t="n">
        <v>45323</v>
      </c>
      <c r="B652" s="31" t="s">
        <v>11</v>
      </c>
      <c r="C652" s="32"/>
      <c r="D652" s="32"/>
      <c r="E652" s="19" t="n">
        <f aca="false">+IF(C652="EQUIPO",F652,0)</f>
        <v>0</v>
      </c>
      <c r="F652" s="33" t="n">
        <v>0</v>
      </c>
      <c r="G652" s="62"/>
      <c r="H652" s="35" t="n">
        <v>0</v>
      </c>
      <c r="I652" s="34" t="n">
        <f aca="false">+IF(E652=0,0,E652*0.03)</f>
        <v>0</v>
      </c>
    </row>
    <row r="653" customFormat="false" ht="15.75" hidden="false" customHeight="true" outlineLevel="0" collapsed="false">
      <c r="A653" s="30" t="n">
        <v>45323</v>
      </c>
      <c r="B653" s="31" t="s">
        <v>11</v>
      </c>
      <c r="C653" s="32"/>
      <c r="D653" s="32"/>
      <c r="E653" s="19" t="n">
        <f aca="false">+IF(C653="EQUIPO",F653,0)</f>
        <v>0</v>
      </c>
      <c r="F653" s="33" t="n">
        <v>0</v>
      </c>
      <c r="G653" s="62"/>
      <c r="H653" s="35" t="n">
        <v>0</v>
      </c>
      <c r="I653" s="34" t="n">
        <f aca="false">+IF(E653=0,0,E653*0.03)</f>
        <v>0</v>
      </c>
    </row>
    <row r="654" customFormat="false" ht="15.75" hidden="false" customHeight="true" outlineLevel="0" collapsed="false">
      <c r="A654" s="30" t="n">
        <v>45323</v>
      </c>
      <c r="B654" s="31" t="s">
        <v>11</v>
      </c>
      <c r="C654" s="32"/>
      <c r="D654" s="32"/>
      <c r="E654" s="19" t="n">
        <f aca="false">+IF(C654="EQUIPO",F654,0)</f>
        <v>0</v>
      </c>
      <c r="F654" s="33" t="n">
        <v>0</v>
      </c>
      <c r="G654" s="62"/>
      <c r="H654" s="35" t="n">
        <v>0</v>
      </c>
      <c r="I654" s="34" t="n">
        <f aca="false">+IF(E654=0,0,E654*0.03)</f>
        <v>0</v>
      </c>
    </row>
    <row r="655" customFormat="false" ht="15.75" hidden="false" customHeight="true" outlineLevel="0" collapsed="false">
      <c r="A655" s="30" t="n">
        <v>45323</v>
      </c>
      <c r="B655" s="31" t="s">
        <v>11</v>
      </c>
      <c r="C655" s="32"/>
      <c r="D655" s="32"/>
      <c r="E655" s="19" t="n">
        <f aca="false">+IF(C655="EQUIPO",F655,0)</f>
        <v>0</v>
      </c>
      <c r="F655" s="33" t="n">
        <v>0</v>
      </c>
      <c r="G655" s="62"/>
      <c r="H655" s="35" t="n">
        <v>0</v>
      </c>
      <c r="I655" s="34" t="n">
        <f aca="false">+IF(E655=0,0,E655*0.03)</f>
        <v>0</v>
      </c>
    </row>
    <row r="656" customFormat="false" ht="15.75" hidden="false" customHeight="true" outlineLevel="0" collapsed="false">
      <c r="A656" s="30" t="n">
        <v>45323</v>
      </c>
      <c r="B656" s="31" t="s">
        <v>11</v>
      </c>
      <c r="C656" s="32"/>
      <c r="D656" s="32"/>
      <c r="E656" s="19" t="n">
        <f aca="false">+IF(C656="EQUIPO",F656,0)</f>
        <v>0</v>
      </c>
      <c r="F656" s="33" t="n">
        <v>0</v>
      </c>
      <c r="G656" s="62"/>
      <c r="H656" s="35" t="n">
        <v>0</v>
      </c>
      <c r="I656" s="34" t="n">
        <f aca="false">+IF(E656=0,0,E656*0.03)</f>
        <v>0</v>
      </c>
    </row>
    <row r="657" customFormat="false" ht="15.75" hidden="false" customHeight="true" outlineLevel="0" collapsed="false">
      <c r="A657" s="30" t="n">
        <v>45323</v>
      </c>
      <c r="B657" s="31" t="s">
        <v>11</v>
      </c>
      <c r="C657" s="32"/>
      <c r="D657" s="32"/>
      <c r="E657" s="19" t="n">
        <f aca="false">+IF(C657="EQUIPO",F657,0)</f>
        <v>0</v>
      </c>
      <c r="F657" s="33" t="n">
        <v>0</v>
      </c>
      <c r="G657" s="62"/>
      <c r="H657" s="35" t="n">
        <v>0</v>
      </c>
      <c r="I657" s="34" t="n">
        <f aca="false">+IF(E657=0,0,E657*0.03)</f>
        <v>0</v>
      </c>
    </row>
    <row r="658" customFormat="false" ht="15.75" hidden="false" customHeight="true" outlineLevel="0" collapsed="false">
      <c r="A658" s="30" t="n">
        <v>45323</v>
      </c>
      <c r="B658" s="31" t="s">
        <v>11</v>
      </c>
      <c r="C658" s="32"/>
      <c r="D658" s="32"/>
      <c r="E658" s="19" t="n">
        <f aca="false">+IF(C658="EQUIPO",F658,0)</f>
        <v>0</v>
      </c>
      <c r="F658" s="33" t="n">
        <v>0</v>
      </c>
      <c r="G658" s="62"/>
      <c r="H658" s="35" t="n">
        <v>0</v>
      </c>
      <c r="I658" s="34" t="n">
        <f aca="false">+IF(E658=0,0,E658*0.03)</f>
        <v>0</v>
      </c>
    </row>
    <row r="659" customFormat="false" ht="15.75" hidden="false" customHeight="true" outlineLevel="0" collapsed="false">
      <c r="A659" s="30" t="n">
        <v>45323</v>
      </c>
      <c r="B659" s="31" t="s">
        <v>11</v>
      </c>
      <c r="C659" s="32"/>
      <c r="D659" s="32"/>
      <c r="E659" s="19" t="n">
        <f aca="false">+IF(C659="EQUIPO",F659,0)</f>
        <v>0</v>
      </c>
      <c r="F659" s="33" t="n">
        <v>0</v>
      </c>
      <c r="G659" s="62"/>
      <c r="H659" s="35" t="n">
        <v>0</v>
      </c>
      <c r="I659" s="34" t="n">
        <f aca="false">+IF(E659=0,0,E659*0.03)</f>
        <v>0</v>
      </c>
    </row>
    <row r="660" customFormat="false" ht="15.75" hidden="false" customHeight="true" outlineLevel="0" collapsed="false">
      <c r="A660" s="30" t="n">
        <v>45323</v>
      </c>
      <c r="B660" s="31" t="s">
        <v>11</v>
      </c>
      <c r="C660" s="32"/>
      <c r="D660" s="32"/>
      <c r="E660" s="19" t="n">
        <f aca="false">+IF(C660="EQUIPO",F660,0)</f>
        <v>0</v>
      </c>
      <c r="F660" s="33" t="n">
        <v>0</v>
      </c>
      <c r="G660" s="62"/>
      <c r="H660" s="35" t="n">
        <v>0</v>
      </c>
      <c r="I660" s="34" t="n">
        <f aca="false">+IF(E660=0,0,E660*0.03)</f>
        <v>0</v>
      </c>
    </row>
    <row r="661" customFormat="false" ht="15.75" hidden="false" customHeight="true" outlineLevel="0" collapsed="false">
      <c r="A661" s="30" t="n">
        <v>45323</v>
      </c>
      <c r="B661" s="31" t="s">
        <v>11</v>
      </c>
      <c r="C661" s="32"/>
      <c r="D661" s="32"/>
      <c r="E661" s="19" t="n">
        <f aca="false">+IF(C661="EQUIPO",F661,0)</f>
        <v>0</v>
      </c>
      <c r="F661" s="33" t="n">
        <v>0</v>
      </c>
      <c r="G661" s="62"/>
      <c r="H661" s="35" t="n">
        <v>0</v>
      </c>
      <c r="I661" s="34" t="n">
        <f aca="false">+IF(E661=0,0,E661*0.03)</f>
        <v>0</v>
      </c>
    </row>
    <row r="662" customFormat="false" ht="15.75" hidden="false" customHeight="true" outlineLevel="0" collapsed="false">
      <c r="A662" s="30" t="n">
        <v>45323</v>
      </c>
      <c r="B662" s="31" t="s">
        <v>11</v>
      </c>
      <c r="C662" s="32"/>
      <c r="D662" s="32"/>
      <c r="E662" s="19" t="n">
        <f aca="false">+IF(C662="EQUIPO",F662,0)</f>
        <v>0</v>
      </c>
      <c r="F662" s="33" t="n">
        <v>0</v>
      </c>
      <c r="G662" s="62"/>
      <c r="H662" s="35" t="n">
        <v>0</v>
      </c>
      <c r="I662" s="34" t="n">
        <f aca="false">+IF(E662=0,0,E662*0.03)</f>
        <v>0</v>
      </c>
    </row>
    <row r="663" customFormat="false" ht="15.75" hidden="false" customHeight="true" outlineLevel="0" collapsed="false">
      <c r="A663" s="30" t="n">
        <v>45323</v>
      </c>
      <c r="B663" s="31" t="s">
        <v>11</v>
      </c>
      <c r="C663" s="32"/>
      <c r="D663" s="32"/>
      <c r="E663" s="19" t="n">
        <f aca="false">+IF(C663="EQUIPO",F663,0)</f>
        <v>0</v>
      </c>
      <c r="F663" s="33" t="n">
        <v>0</v>
      </c>
      <c r="G663" s="62"/>
      <c r="H663" s="35" t="n">
        <v>0</v>
      </c>
      <c r="I663" s="34" t="n">
        <f aca="false">+IF(E663=0,0,E663*0.03)</f>
        <v>0</v>
      </c>
    </row>
    <row r="664" customFormat="false" ht="15.75" hidden="false" customHeight="true" outlineLevel="0" collapsed="false">
      <c r="A664" s="30" t="n">
        <v>45323</v>
      </c>
      <c r="B664" s="31" t="s">
        <v>11</v>
      </c>
      <c r="C664" s="32"/>
      <c r="D664" s="32"/>
      <c r="E664" s="19" t="n">
        <f aca="false">+IF(C664="EQUIPO",F664,0)</f>
        <v>0</v>
      </c>
      <c r="F664" s="33" t="n">
        <v>0</v>
      </c>
      <c r="G664" s="62"/>
      <c r="H664" s="35" t="n">
        <v>0</v>
      </c>
      <c r="I664" s="34" t="n">
        <f aca="false">+IF(E664=0,0,E664*0.03)</f>
        <v>0</v>
      </c>
    </row>
    <row r="665" customFormat="false" ht="15.75" hidden="false" customHeight="true" outlineLevel="0" collapsed="false">
      <c r="A665" s="30" t="n">
        <v>45323</v>
      </c>
      <c r="B665" s="31" t="s">
        <v>11</v>
      </c>
      <c r="C665" s="32"/>
      <c r="D665" s="32"/>
      <c r="E665" s="19" t="n">
        <f aca="false">+IF(C665="EQUIPO",F665,0)</f>
        <v>0</v>
      </c>
      <c r="F665" s="33" t="n">
        <v>0</v>
      </c>
      <c r="G665" s="62"/>
      <c r="H665" s="35" t="n">
        <v>0</v>
      </c>
      <c r="I665" s="34" t="n">
        <f aca="false">+IF(E665=0,0,E665*0.03)</f>
        <v>0</v>
      </c>
    </row>
    <row r="666" customFormat="false" ht="15.75" hidden="false" customHeight="true" outlineLevel="0" collapsed="false">
      <c r="A666" s="30" t="n">
        <v>45323</v>
      </c>
      <c r="B666" s="31" t="s">
        <v>11</v>
      </c>
      <c r="C666" s="32"/>
      <c r="D666" s="32"/>
      <c r="E666" s="19" t="n">
        <f aca="false">+IF(C666="EQUIPO",F666,0)</f>
        <v>0</v>
      </c>
      <c r="F666" s="33" t="n">
        <v>0</v>
      </c>
      <c r="G666" s="62"/>
      <c r="H666" s="35" t="n">
        <v>0</v>
      </c>
      <c r="I666" s="34" t="n">
        <f aca="false">+IF(E666=0,0,E666*0.03)</f>
        <v>0</v>
      </c>
    </row>
    <row r="667" customFormat="false" ht="15.75" hidden="false" customHeight="true" outlineLevel="0" collapsed="false">
      <c r="A667" s="30" t="n">
        <v>45323</v>
      </c>
      <c r="B667" s="31" t="s">
        <v>11</v>
      </c>
      <c r="C667" s="32"/>
      <c r="D667" s="32"/>
      <c r="E667" s="19" t="n">
        <f aca="false">+IF(C667="EQUIPO",F667,0)</f>
        <v>0</v>
      </c>
      <c r="F667" s="33" t="n">
        <v>0</v>
      </c>
      <c r="G667" s="62"/>
      <c r="H667" s="35" t="n">
        <v>0</v>
      </c>
      <c r="I667" s="34" t="n">
        <f aca="false">+IF(E667=0,0,E667*0.03)</f>
        <v>0</v>
      </c>
    </row>
    <row r="668" customFormat="false" ht="15.75" hidden="false" customHeight="true" outlineLevel="0" collapsed="false">
      <c r="A668" s="30" t="n">
        <v>45323</v>
      </c>
      <c r="B668" s="31" t="s">
        <v>11</v>
      </c>
      <c r="C668" s="32"/>
      <c r="D668" s="32"/>
      <c r="E668" s="19" t="n">
        <f aca="false">+IF(C668="EQUIPO",F668,0)</f>
        <v>0</v>
      </c>
      <c r="F668" s="33" t="n">
        <v>0</v>
      </c>
      <c r="G668" s="62"/>
      <c r="H668" s="35" t="n">
        <v>0</v>
      </c>
      <c r="I668" s="34" t="n">
        <f aca="false">+IF(E668=0,0,E668*0.03)</f>
        <v>0</v>
      </c>
    </row>
    <row r="669" customFormat="false" ht="15.75" hidden="false" customHeight="true" outlineLevel="0" collapsed="false">
      <c r="A669" s="30" t="n">
        <v>45323</v>
      </c>
      <c r="B669" s="31" t="s">
        <v>11</v>
      </c>
      <c r="C669" s="32"/>
      <c r="D669" s="32"/>
      <c r="E669" s="19" t="n">
        <f aca="false">+IF(C669="EQUIPO",F669,0)</f>
        <v>0</v>
      </c>
      <c r="F669" s="33" t="n">
        <v>0</v>
      </c>
      <c r="G669" s="62"/>
      <c r="H669" s="35" t="n">
        <v>0</v>
      </c>
      <c r="I669" s="34" t="n">
        <f aca="false">+IF(E669=0,0,E669*0.03)</f>
        <v>0</v>
      </c>
    </row>
    <row r="670" customFormat="false" ht="15.75" hidden="false" customHeight="true" outlineLevel="0" collapsed="false">
      <c r="A670" s="30" t="n">
        <v>45323</v>
      </c>
      <c r="B670" s="31" t="s">
        <v>11</v>
      </c>
      <c r="C670" s="32"/>
      <c r="D670" s="32"/>
      <c r="E670" s="19" t="n">
        <f aca="false">+IF(C670="EQUIPO",F670,0)</f>
        <v>0</v>
      </c>
      <c r="F670" s="33" t="n">
        <v>0</v>
      </c>
      <c r="G670" s="62"/>
      <c r="H670" s="35" t="n">
        <v>0</v>
      </c>
      <c r="I670" s="34" t="n">
        <f aca="false">+IF(E670=0,0,E670*0.03)</f>
        <v>0</v>
      </c>
    </row>
    <row r="671" customFormat="false" ht="15.75" hidden="false" customHeight="true" outlineLevel="0" collapsed="false">
      <c r="A671" s="30" t="n">
        <v>45323</v>
      </c>
      <c r="B671" s="31" t="s">
        <v>11</v>
      </c>
      <c r="C671" s="32"/>
      <c r="D671" s="32"/>
      <c r="E671" s="19" t="n">
        <f aca="false">+IF(C671="EQUIPO",F671,0)</f>
        <v>0</v>
      </c>
      <c r="F671" s="33" t="n">
        <v>0</v>
      </c>
      <c r="G671" s="62"/>
      <c r="H671" s="35" t="n">
        <v>0</v>
      </c>
      <c r="I671" s="34" t="n">
        <f aca="false">+IF(E671=0,0,E671*0.03)</f>
        <v>0</v>
      </c>
    </row>
    <row r="672" customFormat="false" ht="15.75" hidden="false" customHeight="true" outlineLevel="0" collapsed="false">
      <c r="A672" s="30" t="n">
        <v>45323</v>
      </c>
      <c r="B672" s="31" t="s">
        <v>11</v>
      </c>
      <c r="C672" s="32"/>
      <c r="D672" s="32"/>
      <c r="E672" s="19" t="n">
        <f aca="false">+IF(C672="EQUIPO",F672,0)</f>
        <v>0</v>
      </c>
      <c r="F672" s="33" t="n">
        <v>0</v>
      </c>
      <c r="G672" s="62"/>
      <c r="H672" s="35" t="n">
        <v>0</v>
      </c>
      <c r="I672" s="34" t="n">
        <f aca="false">+IF(E672=0,0,E672*0.03)</f>
        <v>0</v>
      </c>
    </row>
    <row r="673" customFormat="false" ht="15.75" hidden="false" customHeight="true" outlineLevel="0" collapsed="false">
      <c r="A673" s="30" t="n">
        <v>45323</v>
      </c>
      <c r="B673" s="31" t="s">
        <v>11</v>
      </c>
      <c r="C673" s="32"/>
      <c r="D673" s="32"/>
      <c r="E673" s="19" t="n">
        <f aca="false">+IF(C673="EQUIPO",F673,0)</f>
        <v>0</v>
      </c>
      <c r="F673" s="33" t="n">
        <v>0</v>
      </c>
      <c r="G673" s="62"/>
      <c r="H673" s="35" t="n">
        <v>0</v>
      </c>
      <c r="I673" s="34" t="n">
        <f aca="false">+IF(E673=0,0,E673*0.03)</f>
        <v>0</v>
      </c>
    </row>
    <row r="674" customFormat="false" ht="15.75" hidden="false" customHeight="true" outlineLevel="0" collapsed="false">
      <c r="A674" s="30" t="n">
        <v>45323</v>
      </c>
      <c r="B674" s="31" t="s">
        <v>11</v>
      </c>
      <c r="C674" s="32"/>
      <c r="D674" s="32"/>
      <c r="E674" s="19" t="n">
        <f aca="false">+IF(C674="EQUIPO",F674,0)</f>
        <v>0</v>
      </c>
      <c r="F674" s="33" t="n">
        <v>0</v>
      </c>
      <c r="G674" s="62"/>
      <c r="H674" s="35" t="n">
        <v>0</v>
      </c>
      <c r="I674" s="34" t="n">
        <f aca="false">+IF(E674=0,0,E674*0.03)</f>
        <v>0</v>
      </c>
    </row>
    <row r="675" customFormat="false" ht="15.75" hidden="false" customHeight="true" outlineLevel="0" collapsed="false">
      <c r="A675" s="30" t="n">
        <v>45323</v>
      </c>
      <c r="B675" s="31" t="s">
        <v>11</v>
      </c>
      <c r="C675" s="32"/>
      <c r="D675" s="32"/>
      <c r="E675" s="19" t="n">
        <f aca="false">+IF(C675="EQUIPO",F675,0)</f>
        <v>0</v>
      </c>
      <c r="F675" s="33" t="n">
        <v>0</v>
      </c>
      <c r="G675" s="62"/>
      <c r="H675" s="35" t="n">
        <v>0</v>
      </c>
      <c r="I675" s="34" t="n">
        <f aca="false">+IF(E675=0,0,E675*0.03)</f>
        <v>0</v>
      </c>
    </row>
    <row r="676" customFormat="false" ht="15.75" hidden="false" customHeight="true" outlineLevel="0" collapsed="false">
      <c r="A676" s="30" t="n">
        <v>45323</v>
      </c>
      <c r="B676" s="31" t="s">
        <v>11</v>
      </c>
      <c r="C676" s="32"/>
      <c r="D676" s="32"/>
      <c r="E676" s="19" t="n">
        <f aca="false">+IF(C676="EQUIPO",F676,0)</f>
        <v>0</v>
      </c>
      <c r="F676" s="33" t="n">
        <v>0</v>
      </c>
      <c r="G676" s="62"/>
      <c r="H676" s="35" t="n">
        <v>0</v>
      </c>
      <c r="I676" s="34" t="n">
        <f aca="false">+IF(E676=0,0,E676*0.03)</f>
        <v>0</v>
      </c>
    </row>
    <row r="677" customFormat="false" ht="15.75" hidden="false" customHeight="true" outlineLevel="0" collapsed="false">
      <c r="A677" s="30" t="n">
        <v>45323</v>
      </c>
      <c r="B677" s="31" t="s">
        <v>11</v>
      </c>
      <c r="C677" s="32"/>
      <c r="D677" s="32"/>
      <c r="E677" s="19" t="n">
        <f aca="false">+IF(C677="EQUIPO",F677,0)</f>
        <v>0</v>
      </c>
      <c r="F677" s="33" t="n">
        <v>0</v>
      </c>
      <c r="G677" s="62"/>
      <c r="H677" s="35" t="n">
        <v>0</v>
      </c>
      <c r="I677" s="34" t="n">
        <f aca="false">+IF(E677=0,0,E677*0.03)</f>
        <v>0</v>
      </c>
    </row>
    <row r="678" customFormat="false" ht="15.75" hidden="false" customHeight="true" outlineLevel="0" collapsed="false">
      <c r="A678" s="30" t="n">
        <v>45323</v>
      </c>
      <c r="B678" s="31" t="s">
        <v>11</v>
      </c>
      <c r="C678" s="32"/>
      <c r="D678" s="32"/>
      <c r="E678" s="19" t="n">
        <f aca="false">+IF(C678="EQUIPO",F678,0)</f>
        <v>0</v>
      </c>
      <c r="F678" s="33" t="n">
        <v>0</v>
      </c>
      <c r="G678" s="62"/>
      <c r="H678" s="35" t="n">
        <v>0</v>
      </c>
      <c r="I678" s="34" t="n">
        <f aca="false">+IF(E678=0,0,E678*0.03)</f>
        <v>0</v>
      </c>
    </row>
    <row r="679" customFormat="false" ht="15.75" hidden="false" customHeight="true" outlineLevel="0" collapsed="false">
      <c r="A679" s="30" t="n">
        <v>45323</v>
      </c>
      <c r="B679" s="31" t="s">
        <v>11</v>
      </c>
      <c r="C679" s="32"/>
      <c r="D679" s="32"/>
      <c r="E679" s="19" t="n">
        <f aca="false">+IF(C679="EQUIPO",F679,0)</f>
        <v>0</v>
      </c>
      <c r="F679" s="33" t="n">
        <v>0</v>
      </c>
      <c r="G679" s="62"/>
      <c r="H679" s="35" t="n">
        <v>0</v>
      </c>
      <c r="I679" s="34" t="n">
        <f aca="false">+IF(E679=0,0,E679*0.03)</f>
        <v>0</v>
      </c>
    </row>
    <row r="680" customFormat="false" ht="15.75" hidden="false" customHeight="true" outlineLevel="0" collapsed="false">
      <c r="A680" s="30" t="n">
        <v>45323</v>
      </c>
      <c r="B680" s="31" t="s">
        <v>11</v>
      </c>
      <c r="C680" s="32"/>
      <c r="D680" s="32"/>
      <c r="E680" s="19" t="n">
        <f aca="false">+IF(C680="EQUIPO",F680,0)</f>
        <v>0</v>
      </c>
      <c r="F680" s="33" t="n">
        <v>0</v>
      </c>
      <c r="G680" s="62"/>
      <c r="H680" s="35" t="n">
        <v>0</v>
      </c>
      <c r="I680" s="34" t="n">
        <f aca="false">+IF(E680=0,0,E680*0.03)</f>
        <v>0</v>
      </c>
    </row>
    <row r="681" customFormat="false" ht="15.75" hidden="false" customHeight="true" outlineLevel="0" collapsed="false">
      <c r="A681" s="30" t="n">
        <v>45323</v>
      </c>
      <c r="B681" s="31" t="s">
        <v>11</v>
      </c>
      <c r="C681" s="32"/>
      <c r="D681" s="32"/>
      <c r="E681" s="19" t="n">
        <f aca="false">+IF(C681="EQUIPO",F681,0)</f>
        <v>0</v>
      </c>
      <c r="F681" s="33" t="n">
        <v>0</v>
      </c>
      <c r="G681" s="62"/>
      <c r="H681" s="35" t="n">
        <v>0</v>
      </c>
      <c r="I681" s="34" t="n">
        <f aca="false">+IF(E681=0,0,E681*0.03)</f>
        <v>0</v>
      </c>
    </row>
    <row r="682" customFormat="false" ht="15.75" hidden="false" customHeight="true" outlineLevel="0" collapsed="false">
      <c r="A682" s="30" t="n">
        <v>45323</v>
      </c>
      <c r="B682" s="31" t="s">
        <v>11</v>
      </c>
      <c r="C682" s="32"/>
      <c r="D682" s="32"/>
      <c r="E682" s="19" t="n">
        <f aca="false">+IF(C682="EQUIPO",F682,0)</f>
        <v>0</v>
      </c>
      <c r="F682" s="33" t="n">
        <v>0</v>
      </c>
      <c r="G682" s="62"/>
      <c r="H682" s="35" t="n">
        <v>0</v>
      </c>
      <c r="I682" s="34" t="n">
        <f aca="false">+IF(E682=0,0,E682*0.03)</f>
        <v>0</v>
      </c>
    </row>
    <row r="683" customFormat="false" ht="15.75" hidden="false" customHeight="true" outlineLevel="0" collapsed="false">
      <c r="A683" s="30" t="n">
        <v>45323</v>
      </c>
      <c r="B683" s="31" t="s">
        <v>11</v>
      </c>
      <c r="C683" s="32"/>
      <c r="D683" s="32"/>
      <c r="E683" s="19" t="n">
        <f aca="false">+IF(C683="EQUIPO",F683,0)</f>
        <v>0</v>
      </c>
      <c r="F683" s="33" t="n">
        <v>0</v>
      </c>
      <c r="G683" s="62"/>
      <c r="H683" s="35" t="n">
        <v>0</v>
      </c>
      <c r="I683" s="34" t="n">
        <f aca="false">+IF(E683=0,0,E683*0.03)</f>
        <v>0</v>
      </c>
    </row>
    <row r="684" customFormat="false" ht="15.75" hidden="false" customHeight="true" outlineLevel="0" collapsed="false">
      <c r="A684" s="30" t="n">
        <v>45323</v>
      </c>
      <c r="B684" s="31" t="s">
        <v>11</v>
      </c>
      <c r="C684" s="32"/>
      <c r="D684" s="32"/>
      <c r="E684" s="19" t="n">
        <f aca="false">+IF(C684="EQUIPO",F684,0)</f>
        <v>0</v>
      </c>
      <c r="F684" s="33" t="n">
        <v>0</v>
      </c>
      <c r="G684" s="62"/>
      <c r="H684" s="35" t="n">
        <v>0</v>
      </c>
      <c r="I684" s="34" t="n">
        <f aca="false">+IF(E684=0,0,E684*0.03)</f>
        <v>0</v>
      </c>
    </row>
    <row r="685" customFormat="false" ht="15.75" hidden="false" customHeight="true" outlineLevel="0" collapsed="false">
      <c r="A685" s="30" t="n">
        <v>45323</v>
      </c>
      <c r="B685" s="31" t="s">
        <v>11</v>
      </c>
      <c r="C685" s="32"/>
      <c r="D685" s="32"/>
      <c r="E685" s="19" t="n">
        <f aca="false">+IF(C685="EQUIPO",F685,0)</f>
        <v>0</v>
      </c>
      <c r="F685" s="33" t="n">
        <v>0</v>
      </c>
      <c r="G685" s="62"/>
      <c r="H685" s="35" t="n">
        <v>0</v>
      </c>
      <c r="I685" s="34" t="n">
        <f aca="false">+IF(E685=0,0,E685*0.03)</f>
        <v>0</v>
      </c>
    </row>
    <row r="686" customFormat="false" ht="15.75" hidden="false" customHeight="true" outlineLevel="0" collapsed="false">
      <c r="A686" s="30" t="n">
        <v>45323</v>
      </c>
      <c r="B686" s="31" t="s">
        <v>11</v>
      </c>
      <c r="C686" s="32"/>
      <c r="D686" s="32"/>
      <c r="E686" s="19" t="n">
        <f aca="false">+IF(C686="EQUIPO",F686,0)</f>
        <v>0</v>
      </c>
      <c r="F686" s="33" t="n">
        <v>0</v>
      </c>
      <c r="G686" s="62"/>
      <c r="H686" s="35" t="n">
        <v>0</v>
      </c>
      <c r="I686" s="34" t="n">
        <f aca="false">+IF(E686=0,0,E686*0.03)</f>
        <v>0</v>
      </c>
    </row>
    <row r="687" customFormat="false" ht="15.75" hidden="false" customHeight="true" outlineLevel="0" collapsed="false">
      <c r="A687" s="30" t="n">
        <v>45323</v>
      </c>
      <c r="B687" s="31" t="s">
        <v>11</v>
      </c>
      <c r="C687" s="32"/>
      <c r="D687" s="32"/>
      <c r="E687" s="19" t="n">
        <f aca="false">+IF(C687="EQUIPO",F687,0)</f>
        <v>0</v>
      </c>
      <c r="F687" s="33" t="n">
        <v>0</v>
      </c>
      <c r="G687" s="62"/>
      <c r="H687" s="35" t="n">
        <v>0</v>
      </c>
      <c r="I687" s="34" t="n">
        <f aca="false">+IF(E687=0,0,E687*0.03)</f>
        <v>0</v>
      </c>
    </row>
    <row r="688" customFormat="false" ht="15.75" hidden="false" customHeight="true" outlineLevel="0" collapsed="false">
      <c r="A688" s="30" t="n">
        <v>45323</v>
      </c>
      <c r="B688" s="31" t="s">
        <v>11</v>
      </c>
      <c r="C688" s="32"/>
      <c r="D688" s="32"/>
      <c r="E688" s="19" t="n">
        <f aca="false">+IF(C688="EQUIPO",F688,0)</f>
        <v>0</v>
      </c>
      <c r="F688" s="33" t="n">
        <v>0</v>
      </c>
      <c r="G688" s="62"/>
      <c r="H688" s="35" t="n">
        <v>0</v>
      </c>
      <c r="I688" s="34" t="n">
        <f aca="false">+IF(E688=0,0,E688*0.03)</f>
        <v>0</v>
      </c>
    </row>
    <row r="689" customFormat="false" ht="15.75" hidden="false" customHeight="true" outlineLevel="0" collapsed="false">
      <c r="A689" s="30" t="n">
        <v>45323</v>
      </c>
      <c r="B689" s="31" t="s">
        <v>11</v>
      </c>
      <c r="C689" s="32"/>
      <c r="D689" s="32"/>
      <c r="E689" s="19" t="n">
        <f aca="false">+IF(C689="EQUIPO",F689,0)</f>
        <v>0</v>
      </c>
      <c r="F689" s="33" t="n">
        <v>0</v>
      </c>
      <c r="G689" s="62"/>
      <c r="H689" s="35" t="n">
        <v>0</v>
      </c>
      <c r="I689" s="34" t="n">
        <f aca="false">+IF(E689=0,0,E689*0.03)</f>
        <v>0</v>
      </c>
    </row>
    <row r="690" customFormat="false" ht="15.75" hidden="false" customHeight="true" outlineLevel="0" collapsed="false">
      <c r="A690" s="30" t="n">
        <v>45323</v>
      </c>
      <c r="B690" s="31" t="s">
        <v>11</v>
      </c>
      <c r="C690" s="32"/>
      <c r="D690" s="32"/>
      <c r="E690" s="19" t="n">
        <f aca="false">+IF(C690="EQUIPO",F690,0)</f>
        <v>0</v>
      </c>
      <c r="F690" s="33" t="n">
        <v>0</v>
      </c>
      <c r="G690" s="62"/>
      <c r="H690" s="35" t="n">
        <v>0</v>
      </c>
      <c r="I690" s="34" t="n">
        <f aca="false">+IF(E690=0,0,E690*0.03)</f>
        <v>0</v>
      </c>
    </row>
    <row r="691" customFormat="false" ht="15.75" hidden="false" customHeight="true" outlineLevel="0" collapsed="false">
      <c r="A691" s="30" t="n">
        <v>45323</v>
      </c>
      <c r="B691" s="31" t="s">
        <v>11</v>
      </c>
      <c r="C691" s="32"/>
      <c r="D691" s="32"/>
      <c r="E691" s="19" t="n">
        <f aca="false">+IF(C691="EQUIPO",F691,0)</f>
        <v>0</v>
      </c>
      <c r="F691" s="33" t="n">
        <v>0</v>
      </c>
      <c r="G691" s="62"/>
      <c r="H691" s="35" t="n">
        <v>0</v>
      </c>
      <c r="I691" s="34" t="n">
        <f aca="false">+IF(E691=0,0,E691*0.03)</f>
        <v>0</v>
      </c>
    </row>
    <row r="692" customFormat="false" ht="15.75" hidden="false" customHeight="true" outlineLevel="0" collapsed="false">
      <c r="A692" s="30" t="n">
        <v>45323</v>
      </c>
      <c r="B692" s="31" t="s">
        <v>11</v>
      </c>
      <c r="C692" s="32"/>
      <c r="D692" s="32"/>
      <c r="E692" s="19" t="n">
        <f aca="false">+IF(C692="EQUIPO",F692,0)</f>
        <v>0</v>
      </c>
      <c r="F692" s="33" t="n">
        <v>0</v>
      </c>
      <c r="G692" s="62"/>
      <c r="H692" s="35" t="n">
        <v>0</v>
      </c>
      <c r="I692" s="34" t="n">
        <f aca="false">+IF(E692=0,0,E692*0.03)</f>
        <v>0</v>
      </c>
    </row>
    <row r="693" customFormat="false" ht="15.75" hidden="false" customHeight="true" outlineLevel="0" collapsed="false">
      <c r="A693" s="30" t="n">
        <v>45323</v>
      </c>
      <c r="B693" s="31" t="s">
        <v>11</v>
      </c>
      <c r="C693" s="32"/>
      <c r="D693" s="32"/>
      <c r="E693" s="19" t="n">
        <f aca="false">+IF(C693="EQUIPO",F693,0)</f>
        <v>0</v>
      </c>
      <c r="F693" s="33" t="n">
        <v>0</v>
      </c>
      <c r="G693" s="62"/>
      <c r="H693" s="35" t="n">
        <v>0</v>
      </c>
      <c r="I693" s="34" t="n">
        <f aca="false">+IF(E693=0,0,E693*0.03)</f>
        <v>0</v>
      </c>
    </row>
    <row r="694" customFormat="false" ht="15.75" hidden="false" customHeight="true" outlineLevel="0" collapsed="false">
      <c r="A694" s="30" t="n">
        <v>45323</v>
      </c>
      <c r="B694" s="31" t="s">
        <v>11</v>
      </c>
      <c r="C694" s="32"/>
      <c r="D694" s="32"/>
      <c r="E694" s="19" t="n">
        <f aca="false">+IF(C694="EQUIPO",F694,0)</f>
        <v>0</v>
      </c>
      <c r="F694" s="33" t="n">
        <v>0</v>
      </c>
      <c r="G694" s="62"/>
      <c r="H694" s="35" t="n">
        <v>0</v>
      </c>
      <c r="I694" s="34" t="n">
        <f aca="false">+IF(E694=0,0,E694*0.03)</f>
        <v>0</v>
      </c>
    </row>
    <row r="695" customFormat="false" ht="15.75" hidden="false" customHeight="true" outlineLevel="0" collapsed="false">
      <c r="A695" s="30" t="n">
        <v>45323</v>
      </c>
      <c r="B695" s="31" t="s">
        <v>11</v>
      </c>
      <c r="C695" s="32"/>
      <c r="D695" s="32"/>
      <c r="E695" s="19" t="n">
        <f aca="false">+IF(C695="EQUIPO",F695,0)</f>
        <v>0</v>
      </c>
      <c r="F695" s="33" t="n">
        <v>0</v>
      </c>
      <c r="G695" s="62"/>
      <c r="H695" s="35" t="n">
        <v>0</v>
      </c>
      <c r="I695" s="34" t="n">
        <f aca="false">+IF(E695=0,0,E695*0.03)</f>
        <v>0</v>
      </c>
    </row>
    <row r="696" customFormat="false" ht="15.75" hidden="false" customHeight="true" outlineLevel="0" collapsed="false">
      <c r="A696" s="30" t="n">
        <v>45323</v>
      </c>
      <c r="B696" s="31" t="s">
        <v>11</v>
      </c>
      <c r="C696" s="32"/>
      <c r="D696" s="32"/>
      <c r="E696" s="19" t="n">
        <f aca="false">+IF(C696="EQUIPO",F696,0)</f>
        <v>0</v>
      </c>
      <c r="F696" s="33" t="n">
        <v>0</v>
      </c>
      <c r="G696" s="62"/>
      <c r="H696" s="35" t="n">
        <v>0</v>
      </c>
      <c r="I696" s="34" t="n">
        <f aca="false">+IF(E696=0,0,E696*0.03)</f>
        <v>0</v>
      </c>
    </row>
    <row r="697" customFormat="false" ht="15.75" hidden="false" customHeight="true" outlineLevel="0" collapsed="false">
      <c r="A697" s="30" t="n">
        <v>45323</v>
      </c>
      <c r="B697" s="31" t="s">
        <v>11</v>
      </c>
      <c r="C697" s="32"/>
      <c r="D697" s="32"/>
      <c r="E697" s="19" t="n">
        <f aca="false">+IF(C697="EQUIPO",F697,0)</f>
        <v>0</v>
      </c>
      <c r="F697" s="33" t="n">
        <v>0</v>
      </c>
      <c r="G697" s="62"/>
      <c r="H697" s="35" t="n">
        <v>0</v>
      </c>
      <c r="I697" s="34" t="n">
        <f aca="false">+IF(E697=0,0,E697*0.03)</f>
        <v>0</v>
      </c>
    </row>
    <row r="698" customFormat="false" ht="15.75" hidden="false" customHeight="true" outlineLevel="0" collapsed="false">
      <c r="A698" s="30" t="n">
        <v>45323</v>
      </c>
      <c r="B698" s="31" t="s">
        <v>11</v>
      </c>
      <c r="C698" s="32"/>
      <c r="D698" s="32"/>
      <c r="E698" s="19" t="n">
        <f aca="false">+IF(C698="EQUIPO",F698,0)</f>
        <v>0</v>
      </c>
      <c r="F698" s="33" t="n">
        <v>0</v>
      </c>
      <c r="G698" s="62"/>
      <c r="H698" s="35" t="n">
        <v>0</v>
      </c>
      <c r="I698" s="34" t="n">
        <f aca="false">+IF(E698=0,0,E698*0.03)</f>
        <v>0</v>
      </c>
    </row>
    <row r="699" customFormat="false" ht="15.75" hidden="false" customHeight="true" outlineLevel="0" collapsed="false">
      <c r="A699" s="30" t="n">
        <v>45323</v>
      </c>
      <c r="B699" s="31" t="s">
        <v>11</v>
      </c>
      <c r="C699" s="32"/>
      <c r="D699" s="32"/>
      <c r="E699" s="19" t="n">
        <f aca="false">+IF(C699="EQUIPO",F699,0)</f>
        <v>0</v>
      </c>
      <c r="F699" s="33" t="n">
        <v>0</v>
      </c>
      <c r="G699" s="62"/>
      <c r="H699" s="35" t="n">
        <v>0</v>
      </c>
      <c r="I699" s="34" t="n">
        <f aca="false">+IF(E699=0,0,E699*0.03)</f>
        <v>0</v>
      </c>
    </row>
    <row r="700" customFormat="false" ht="15.75" hidden="false" customHeight="true" outlineLevel="0" collapsed="false">
      <c r="A700" s="30" t="n">
        <v>45323</v>
      </c>
      <c r="B700" s="31" t="s">
        <v>11</v>
      </c>
      <c r="C700" s="32"/>
      <c r="D700" s="32"/>
      <c r="E700" s="19" t="n">
        <f aca="false">+IF(C700="EQUIPO",F700,0)</f>
        <v>0</v>
      </c>
      <c r="F700" s="33" t="n">
        <v>0</v>
      </c>
      <c r="G700" s="62"/>
      <c r="H700" s="35" t="n">
        <v>0</v>
      </c>
      <c r="I700" s="34" t="n">
        <f aca="false">+IF(E700=0,0,E700*0.03)</f>
        <v>0</v>
      </c>
    </row>
    <row r="701" customFormat="false" ht="15.75" hidden="false" customHeight="true" outlineLevel="0" collapsed="false">
      <c r="A701" s="30" t="n">
        <v>45323</v>
      </c>
      <c r="B701" s="31" t="s">
        <v>11</v>
      </c>
      <c r="C701" s="32"/>
      <c r="D701" s="32"/>
      <c r="E701" s="19" t="n">
        <f aca="false">+IF(C701="EQUIPO",F701,0)</f>
        <v>0</v>
      </c>
      <c r="F701" s="33" t="n">
        <v>0</v>
      </c>
      <c r="G701" s="62"/>
      <c r="H701" s="35" t="n">
        <v>0</v>
      </c>
      <c r="I701" s="34" t="n">
        <f aca="false">+IF(E701=0,0,E701*0.03)</f>
        <v>0</v>
      </c>
    </row>
    <row r="702" customFormat="false" ht="15.75" hidden="false" customHeight="true" outlineLevel="0" collapsed="false">
      <c r="A702" s="30" t="n">
        <v>45323</v>
      </c>
      <c r="B702" s="31" t="s">
        <v>11</v>
      </c>
      <c r="C702" s="32"/>
      <c r="D702" s="32"/>
      <c r="E702" s="19" t="n">
        <f aca="false">+IF(C702="EQUIPO",F702,0)</f>
        <v>0</v>
      </c>
      <c r="F702" s="33" t="n">
        <v>0</v>
      </c>
      <c r="G702" s="62"/>
      <c r="H702" s="35" t="n">
        <v>0</v>
      </c>
      <c r="I702" s="34" t="n">
        <f aca="false">+IF(E702=0,0,E702*0.03)</f>
        <v>0</v>
      </c>
    </row>
    <row r="703" customFormat="false" ht="15.75" hidden="false" customHeight="true" outlineLevel="0" collapsed="false">
      <c r="A703" s="30" t="n">
        <v>45323</v>
      </c>
      <c r="B703" s="31" t="s">
        <v>11</v>
      </c>
      <c r="C703" s="32"/>
      <c r="D703" s="32"/>
      <c r="E703" s="19" t="n">
        <f aca="false">+IF(C703="EQUIPO",F703,0)</f>
        <v>0</v>
      </c>
      <c r="F703" s="33" t="n">
        <v>0</v>
      </c>
      <c r="G703" s="62"/>
      <c r="H703" s="35" t="n">
        <v>0</v>
      </c>
      <c r="I703" s="34" t="n">
        <f aca="false">+IF(E703=0,0,E703*0.03)</f>
        <v>0</v>
      </c>
    </row>
    <row r="704" customFormat="false" ht="15.75" hidden="false" customHeight="true" outlineLevel="0" collapsed="false">
      <c r="A704" s="30" t="n">
        <v>45323</v>
      </c>
      <c r="B704" s="31" t="s">
        <v>11</v>
      </c>
      <c r="C704" s="32"/>
      <c r="D704" s="32"/>
      <c r="E704" s="19" t="n">
        <f aca="false">+IF(C704="EQUIPO",F704,0)</f>
        <v>0</v>
      </c>
      <c r="F704" s="33" t="n">
        <v>0</v>
      </c>
      <c r="G704" s="62"/>
      <c r="H704" s="35" t="n">
        <v>0</v>
      </c>
      <c r="I704" s="34" t="n">
        <f aca="false">+IF(E704=0,0,E704*0.03)</f>
        <v>0</v>
      </c>
    </row>
    <row r="705" customFormat="false" ht="15.75" hidden="false" customHeight="true" outlineLevel="0" collapsed="false">
      <c r="A705" s="30" t="n">
        <v>45323</v>
      </c>
      <c r="B705" s="31" t="s">
        <v>11</v>
      </c>
      <c r="C705" s="32"/>
      <c r="D705" s="32"/>
      <c r="E705" s="19" t="n">
        <f aca="false">+IF(C705="EQUIPO",F705,0)</f>
        <v>0</v>
      </c>
      <c r="F705" s="33" t="n">
        <v>0</v>
      </c>
      <c r="G705" s="62"/>
      <c r="H705" s="35" t="n">
        <v>0</v>
      </c>
      <c r="I705" s="34" t="n">
        <f aca="false">+IF(E705=0,0,E705*0.03)</f>
        <v>0</v>
      </c>
    </row>
    <row r="706" customFormat="false" ht="15.75" hidden="false" customHeight="true" outlineLevel="0" collapsed="false">
      <c r="A706" s="30" t="n">
        <v>45323</v>
      </c>
      <c r="B706" s="31" t="s">
        <v>11</v>
      </c>
      <c r="C706" s="32"/>
      <c r="D706" s="32"/>
      <c r="E706" s="19" t="n">
        <f aca="false">+IF(C706="EQUIPO",F706,0)</f>
        <v>0</v>
      </c>
      <c r="F706" s="33" t="n">
        <v>0</v>
      </c>
      <c r="G706" s="62"/>
      <c r="H706" s="35" t="n">
        <v>0</v>
      </c>
      <c r="I706" s="34" t="n">
        <f aca="false">+IF(E706=0,0,E706*0.03)</f>
        <v>0</v>
      </c>
    </row>
    <row r="707" customFormat="false" ht="15.75" hidden="false" customHeight="true" outlineLevel="0" collapsed="false">
      <c r="A707" s="30" t="n">
        <v>45323</v>
      </c>
      <c r="B707" s="31" t="s">
        <v>11</v>
      </c>
      <c r="C707" s="32"/>
      <c r="D707" s="32"/>
      <c r="E707" s="19" t="n">
        <f aca="false">+IF(C707="EQUIPO",F707,0)</f>
        <v>0</v>
      </c>
      <c r="F707" s="33" t="n">
        <v>0</v>
      </c>
      <c r="G707" s="62"/>
      <c r="H707" s="35" t="n">
        <v>0</v>
      </c>
      <c r="I707" s="34" t="n">
        <f aca="false">+IF(E707=0,0,E707*0.03)</f>
        <v>0</v>
      </c>
    </row>
    <row r="708" customFormat="false" ht="15.75" hidden="false" customHeight="true" outlineLevel="0" collapsed="false">
      <c r="A708" s="30" t="n">
        <v>45323</v>
      </c>
      <c r="B708" s="31" t="s">
        <v>11</v>
      </c>
      <c r="C708" s="32"/>
      <c r="D708" s="32"/>
      <c r="E708" s="19" t="n">
        <f aca="false">+IF(C708="EQUIPO",F708,0)</f>
        <v>0</v>
      </c>
      <c r="F708" s="33" t="n">
        <v>0</v>
      </c>
      <c r="G708" s="62"/>
      <c r="H708" s="35" t="n">
        <v>0</v>
      </c>
      <c r="I708" s="34" t="n">
        <f aca="false">+IF(E708=0,0,E708*0.03)</f>
        <v>0</v>
      </c>
    </row>
    <row r="709" customFormat="false" ht="15.75" hidden="false" customHeight="true" outlineLevel="0" collapsed="false">
      <c r="A709" s="30" t="n">
        <v>45323</v>
      </c>
      <c r="B709" s="31" t="s">
        <v>11</v>
      </c>
      <c r="C709" s="32"/>
      <c r="D709" s="32"/>
      <c r="E709" s="19" t="n">
        <f aca="false">+IF(C709="EQUIPO",F709,0)</f>
        <v>0</v>
      </c>
      <c r="F709" s="33" t="n">
        <v>0</v>
      </c>
      <c r="G709" s="62"/>
      <c r="H709" s="35" t="n">
        <v>0</v>
      </c>
      <c r="I709" s="34" t="n">
        <f aca="false">+IF(E709=0,0,E709*0.03)</f>
        <v>0</v>
      </c>
    </row>
    <row r="710" customFormat="false" ht="15.75" hidden="false" customHeight="true" outlineLevel="0" collapsed="false">
      <c r="A710" s="30" t="n">
        <v>45323</v>
      </c>
      <c r="B710" s="31" t="s">
        <v>11</v>
      </c>
      <c r="C710" s="32"/>
      <c r="D710" s="32"/>
      <c r="E710" s="19" t="n">
        <f aca="false">+IF(C710="EQUIPO",F710,0)</f>
        <v>0</v>
      </c>
      <c r="F710" s="33" t="n">
        <v>0</v>
      </c>
      <c r="G710" s="62"/>
      <c r="H710" s="35" t="n">
        <v>0</v>
      </c>
      <c r="I710" s="34" t="n">
        <f aca="false">+IF(E710=0,0,E710*0.03)</f>
        <v>0</v>
      </c>
    </row>
    <row r="711" customFormat="false" ht="15.75" hidden="false" customHeight="true" outlineLevel="0" collapsed="false">
      <c r="A711" s="30" t="n">
        <v>45323</v>
      </c>
      <c r="B711" s="31" t="s">
        <v>11</v>
      </c>
      <c r="C711" s="32"/>
      <c r="D711" s="32"/>
      <c r="E711" s="19" t="n">
        <f aca="false">+IF(C711="EQUIPO",F711,0)</f>
        <v>0</v>
      </c>
      <c r="F711" s="33" t="n">
        <v>0</v>
      </c>
      <c r="G711" s="62"/>
      <c r="H711" s="35" t="n">
        <v>0</v>
      </c>
      <c r="I711" s="34" t="n">
        <f aca="false">+IF(E711=0,0,E711*0.03)</f>
        <v>0</v>
      </c>
    </row>
    <row r="712" customFormat="false" ht="15.75" hidden="false" customHeight="true" outlineLevel="0" collapsed="false">
      <c r="A712" s="30" t="n">
        <v>45323</v>
      </c>
      <c r="B712" s="31" t="s">
        <v>11</v>
      </c>
      <c r="C712" s="32"/>
      <c r="D712" s="32"/>
      <c r="E712" s="19" t="n">
        <f aca="false">+IF(C712="EQUIPO",F712,0)</f>
        <v>0</v>
      </c>
      <c r="F712" s="33" t="n">
        <v>0</v>
      </c>
      <c r="G712" s="62"/>
      <c r="H712" s="35" t="n">
        <v>0</v>
      </c>
      <c r="I712" s="34" t="n">
        <f aca="false">+IF(E712=0,0,E712*0.03)</f>
        <v>0</v>
      </c>
    </row>
    <row r="713" customFormat="false" ht="15.75" hidden="false" customHeight="true" outlineLevel="0" collapsed="false">
      <c r="A713" s="30" t="n">
        <v>45323</v>
      </c>
      <c r="B713" s="31" t="s">
        <v>11</v>
      </c>
      <c r="C713" s="32"/>
      <c r="D713" s="32"/>
      <c r="E713" s="19" t="n">
        <f aca="false">+IF(C713="EQUIPO",F713,0)</f>
        <v>0</v>
      </c>
      <c r="F713" s="33" t="n">
        <v>0</v>
      </c>
      <c r="G713" s="62"/>
      <c r="H713" s="35" t="n">
        <v>0</v>
      </c>
      <c r="I713" s="34" t="n">
        <f aca="false">+IF(E713=0,0,E713*0.03)</f>
        <v>0</v>
      </c>
    </row>
    <row r="714" customFormat="false" ht="15.75" hidden="false" customHeight="true" outlineLevel="0" collapsed="false">
      <c r="A714" s="30" t="n">
        <v>45323</v>
      </c>
      <c r="B714" s="31" t="s">
        <v>11</v>
      </c>
      <c r="C714" s="32"/>
      <c r="D714" s="32"/>
      <c r="E714" s="19" t="n">
        <f aca="false">+IF(C714="EQUIPO",F714,0)</f>
        <v>0</v>
      </c>
      <c r="F714" s="33" t="n">
        <v>0</v>
      </c>
      <c r="G714" s="62"/>
      <c r="H714" s="35" t="n">
        <v>0</v>
      </c>
      <c r="I714" s="34" t="n">
        <f aca="false">+IF(E714=0,0,E714*0.03)</f>
        <v>0</v>
      </c>
    </row>
    <row r="715" customFormat="false" ht="15.75" hidden="false" customHeight="true" outlineLevel="0" collapsed="false">
      <c r="A715" s="30" t="n">
        <v>45323</v>
      </c>
      <c r="B715" s="31" t="s">
        <v>11</v>
      </c>
      <c r="C715" s="32"/>
      <c r="D715" s="32"/>
      <c r="E715" s="19" t="n">
        <f aca="false">+IF(C715="EQUIPO",F715,0)</f>
        <v>0</v>
      </c>
      <c r="F715" s="33" t="n">
        <v>0</v>
      </c>
      <c r="G715" s="62"/>
      <c r="H715" s="35" t="n">
        <v>0</v>
      </c>
      <c r="I715" s="34" t="n">
        <f aca="false">+IF(E715=0,0,E715*0.03)</f>
        <v>0</v>
      </c>
    </row>
    <row r="716" customFormat="false" ht="15.75" hidden="false" customHeight="true" outlineLevel="0" collapsed="false">
      <c r="A716" s="30" t="n">
        <v>45323</v>
      </c>
      <c r="B716" s="31" t="s">
        <v>11</v>
      </c>
      <c r="C716" s="32"/>
      <c r="D716" s="32"/>
      <c r="E716" s="19" t="n">
        <f aca="false">+IF(C716="EQUIPO",F716,0)</f>
        <v>0</v>
      </c>
      <c r="F716" s="33" t="n">
        <v>0</v>
      </c>
      <c r="G716" s="62"/>
      <c r="H716" s="35" t="n">
        <v>0</v>
      </c>
      <c r="I716" s="34" t="n">
        <f aca="false">+IF(E716=0,0,E716*0.03)</f>
        <v>0</v>
      </c>
    </row>
    <row r="717" customFormat="false" ht="15.75" hidden="false" customHeight="true" outlineLevel="0" collapsed="false">
      <c r="A717" s="30" t="n">
        <v>45323</v>
      </c>
      <c r="B717" s="31" t="s">
        <v>11</v>
      </c>
      <c r="C717" s="32"/>
      <c r="D717" s="32"/>
      <c r="E717" s="19" t="n">
        <f aca="false">+IF(C717="EQUIPO",F717,0)</f>
        <v>0</v>
      </c>
      <c r="F717" s="33" t="n">
        <v>0</v>
      </c>
      <c r="G717" s="62"/>
      <c r="H717" s="35" t="n">
        <v>0</v>
      </c>
      <c r="I717" s="34" t="n">
        <f aca="false">+IF(E717=0,0,E717*0.03)</f>
        <v>0</v>
      </c>
    </row>
    <row r="718" customFormat="false" ht="15.75" hidden="false" customHeight="true" outlineLevel="0" collapsed="false">
      <c r="A718" s="30" t="n">
        <v>45323</v>
      </c>
      <c r="B718" s="31" t="s">
        <v>11</v>
      </c>
      <c r="C718" s="32"/>
      <c r="D718" s="32"/>
      <c r="E718" s="19" t="n">
        <f aca="false">+IF(C718="EQUIPO",F718,0)</f>
        <v>0</v>
      </c>
      <c r="F718" s="33" t="n">
        <v>0</v>
      </c>
      <c r="G718" s="62"/>
      <c r="H718" s="35" t="n">
        <v>0</v>
      </c>
      <c r="I718" s="34" t="n">
        <f aca="false">+IF(E718=0,0,E718*0.03)</f>
        <v>0</v>
      </c>
    </row>
    <row r="719" customFormat="false" ht="15.75" hidden="false" customHeight="true" outlineLevel="0" collapsed="false">
      <c r="A719" s="30" t="n">
        <v>45323</v>
      </c>
      <c r="B719" s="31" t="s">
        <v>11</v>
      </c>
      <c r="C719" s="32"/>
      <c r="D719" s="32"/>
      <c r="E719" s="19" t="n">
        <f aca="false">+IF(C719="EQUIPO",F719,0)</f>
        <v>0</v>
      </c>
      <c r="F719" s="33" t="n">
        <v>0</v>
      </c>
      <c r="G719" s="62"/>
      <c r="H719" s="35" t="n">
        <v>0</v>
      </c>
      <c r="I719" s="34" t="n">
        <f aca="false">+IF(E719=0,0,E719*0.03)</f>
        <v>0</v>
      </c>
    </row>
    <row r="720" customFormat="false" ht="15.75" hidden="false" customHeight="true" outlineLevel="0" collapsed="false">
      <c r="A720" s="30" t="n">
        <v>45323</v>
      </c>
      <c r="B720" s="31" t="s">
        <v>11</v>
      </c>
      <c r="C720" s="32"/>
      <c r="D720" s="32"/>
      <c r="E720" s="19" t="n">
        <f aca="false">+IF(C720="EQUIPO",F720,0)</f>
        <v>0</v>
      </c>
      <c r="F720" s="33" t="n">
        <v>0</v>
      </c>
      <c r="G720" s="62"/>
      <c r="H720" s="35" t="n">
        <v>0</v>
      </c>
      <c r="I720" s="34" t="n">
        <f aca="false">+IF(E720=0,0,E720*0.03)</f>
        <v>0</v>
      </c>
    </row>
    <row r="721" customFormat="false" ht="15.75" hidden="false" customHeight="true" outlineLevel="0" collapsed="false">
      <c r="A721" s="30" t="n">
        <v>45323</v>
      </c>
      <c r="B721" s="31" t="s">
        <v>11</v>
      </c>
      <c r="C721" s="32"/>
      <c r="D721" s="32"/>
      <c r="E721" s="19" t="n">
        <f aca="false">+IF(C721="EQUIPO",F721,0)</f>
        <v>0</v>
      </c>
      <c r="F721" s="33" t="n">
        <v>0</v>
      </c>
      <c r="G721" s="62"/>
      <c r="H721" s="35" t="n">
        <v>0</v>
      </c>
      <c r="I721" s="34" t="n">
        <f aca="false">+IF(E721=0,0,E721*0.03)</f>
        <v>0</v>
      </c>
    </row>
    <row r="722" customFormat="false" ht="15.75" hidden="false" customHeight="true" outlineLevel="0" collapsed="false">
      <c r="A722" s="30" t="n">
        <v>45323</v>
      </c>
      <c r="B722" s="31" t="s">
        <v>11</v>
      </c>
      <c r="C722" s="32"/>
      <c r="D722" s="32"/>
      <c r="E722" s="19" t="n">
        <f aca="false">+IF(C722="EQUIPO",F722,0)</f>
        <v>0</v>
      </c>
      <c r="F722" s="33" t="n">
        <v>0</v>
      </c>
      <c r="G722" s="62"/>
      <c r="H722" s="35" t="n">
        <v>0</v>
      </c>
      <c r="I722" s="34" t="n">
        <f aca="false">+IF(E722=0,0,E722*0.03)</f>
        <v>0</v>
      </c>
    </row>
    <row r="723" customFormat="false" ht="15.75" hidden="false" customHeight="true" outlineLevel="0" collapsed="false">
      <c r="A723" s="30" t="n">
        <v>45323</v>
      </c>
      <c r="B723" s="31" t="s">
        <v>11</v>
      </c>
      <c r="C723" s="32"/>
      <c r="D723" s="32"/>
      <c r="E723" s="19" t="n">
        <f aca="false">+IF(C723="EQUIPO",F723,0)</f>
        <v>0</v>
      </c>
      <c r="F723" s="33" t="n">
        <v>0</v>
      </c>
      <c r="G723" s="62"/>
      <c r="H723" s="35" t="n">
        <v>0</v>
      </c>
      <c r="I723" s="34" t="n">
        <f aca="false">+IF(E723=0,0,E723*0.03)</f>
        <v>0</v>
      </c>
    </row>
    <row r="724" customFormat="false" ht="15.75" hidden="false" customHeight="true" outlineLevel="0" collapsed="false">
      <c r="A724" s="30" t="n">
        <v>45323</v>
      </c>
      <c r="B724" s="31" t="s">
        <v>11</v>
      </c>
      <c r="C724" s="32"/>
      <c r="D724" s="32"/>
      <c r="E724" s="19" t="n">
        <f aca="false">+IF(C724="EQUIPO",F724,0)</f>
        <v>0</v>
      </c>
      <c r="F724" s="33" t="n">
        <v>0</v>
      </c>
      <c r="G724" s="62"/>
      <c r="H724" s="35" t="n">
        <v>0</v>
      </c>
      <c r="I724" s="34" t="n">
        <f aca="false">+IF(E724=0,0,E724*0.03)</f>
        <v>0</v>
      </c>
    </row>
    <row r="725" customFormat="false" ht="15.75" hidden="false" customHeight="true" outlineLevel="0" collapsed="false">
      <c r="A725" s="30" t="n">
        <v>45323</v>
      </c>
      <c r="B725" s="31" t="s">
        <v>11</v>
      </c>
      <c r="C725" s="32"/>
      <c r="D725" s="32"/>
      <c r="E725" s="19" t="n">
        <f aca="false">+IF(C725="EQUIPO",F725,0)</f>
        <v>0</v>
      </c>
      <c r="F725" s="33" t="n">
        <v>0</v>
      </c>
      <c r="G725" s="62"/>
      <c r="H725" s="35" t="n">
        <v>0</v>
      </c>
      <c r="I725" s="34" t="n">
        <f aca="false">+IF(E725=0,0,E725*0.03)</f>
        <v>0</v>
      </c>
    </row>
    <row r="726" customFormat="false" ht="15.75" hidden="false" customHeight="true" outlineLevel="0" collapsed="false">
      <c r="A726" s="30" t="n">
        <v>45323</v>
      </c>
      <c r="B726" s="31" t="s">
        <v>11</v>
      </c>
      <c r="C726" s="32"/>
      <c r="D726" s="32"/>
      <c r="E726" s="19" t="n">
        <f aca="false">+IF(C726="EQUIPO",F726,0)</f>
        <v>0</v>
      </c>
      <c r="F726" s="33" t="n">
        <v>0</v>
      </c>
      <c r="G726" s="62"/>
      <c r="H726" s="35" t="n">
        <v>0</v>
      </c>
      <c r="I726" s="34" t="n">
        <f aca="false">+IF(E726=0,0,E726*0.03)</f>
        <v>0</v>
      </c>
    </row>
    <row r="727" customFormat="false" ht="15.75" hidden="false" customHeight="true" outlineLevel="0" collapsed="false">
      <c r="A727" s="30" t="n">
        <v>45323</v>
      </c>
      <c r="B727" s="31" t="s">
        <v>11</v>
      </c>
      <c r="C727" s="32"/>
      <c r="D727" s="32"/>
      <c r="E727" s="19" t="n">
        <f aca="false">+IF(C727="EQUIPO",F727,0)</f>
        <v>0</v>
      </c>
      <c r="F727" s="33" t="n">
        <v>0</v>
      </c>
      <c r="G727" s="62"/>
      <c r="H727" s="35" t="n">
        <v>0</v>
      </c>
      <c r="I727" s="34" t="n">
        <f aca="false">+IF(E727=0,0,E727*0.03)</f>
        <v>0</v>
      </c>
    </row>
    <row r="728" customFormat="false" ht="15.75" hidden="false" customHeight="true" outlineLevel="0" collapsed="false">
      <c r="A728" s="30" t="n">
        <v>45323</v>
      </c>
      <c r="B728" s="31" t="s">
        <v>11</v>
      </c>
      <c r="C728" s="32"/>
      <c r="D728" s="32"/>
      <c r="E728" s="19" t="n">
        <f aca="false">+IF(C728="EQUIPO",F728,0)</f>
        <v>0</v>
      </c>
      <c r="F728" s="33" t="n">
        <v>0</v>
      </c>
      <c r="G728" s="62"/>
      <c r="H728" s="35" t="n">
        <v>0</v>
      </c>
      <c r="I728" s="34" t="n">
        <f aca="false">+IF(E728=0,0,E728*0.03)</f>
        <v>0</v>
      </c>
    </row>
    <row r="729" customFormat="false" ht="15.75" hidden="false" customHeight="true" outlineLevel="0" collapsed="false">
      <c r="A729" s="30" t="n">
        <v>45323</v>
      </c>
      <c r="B729" s="31" t="s">
        <v>11</v>
      </c>
      <c r="C729" s="32"/>
      <c r="D729" s="32"/>
      <c r="E729" s="19" t="n">
        <f aca="false">+IF(C729="EQUIPO",F729,0)</f>
        <v>0</v>
      </c>
      <c r="F729" s="33" t="n">
        <v>0</v>
      </c>
      <c r="G729" s="62"/>
      <c r="H729" s="35" t="n">
        <v>0</v>
      </c>
      <c r="I729" s="34" t="n">
        <f aca="false">+IF(E729=0,0,E729*0.03)</f>
        <v>0</v>
      </c>
    </row>
    <row r="730" customFormat="false" ht="15.75" hidden="false" customHeight="true" outlineLevel="0" collapsed="false">
      <c r="A730" s="30" t="n">
        <v>45323</v>
      </c>
      <c r="B730" s="31" t="s">
        <v>11</v>
      </c>
      <c r="C730" s="32"/>
      <c r="D730" s="32"/>
      <c r="E730" s="19" t="n">
        <f aca="false">+IF(C730="EQUIPO",F730,0)</f>
        <v>0</v>
      </c>
      <c r="F730" s="33" t="n">
        <v>0</v>
      </c>
      <c r="G730" s="62"/>
      <c r="H730" s="35" t="n">
        <v>0</v>
      </c>
      <c r="I730" s="34" t="n">
        <f aca="false">+IF(E730=0,0,E730*0.03)</f>
        <v>0</v>
      </c>
    </row>
    <row r="731" customFormat="false" ht="15.75" hidden="false" customHeight="true" outlineLevel="0" collapsed="false">
      <c r="A731" s="30" t="n">
        <v>45323</v>
      </c>
      <c r="B731" s="31" t="s">
        <v>11</v>
      </c>
      <c r="C731" s="32"/>
      <c r="D731" s="32"/>
      <c r="E731" s="19" t="n">
        <f aca="false">+IF(C731="EQUIPO",F731,0)</f>
        <v>0</v>
      </c>
      <c r="F731" s="33" t="n">
        <v>0</v>
      </c>
      <c r="G731" s="62"/>
      <c r="H731" s="35" t="n">
        <v>0</v>
      </c>
      <c r="I731" s="34" t="n">
        <f aca="false">+IF(E731=0,0,E731*0.03)</f>
        <v>0</v>
      </c>
    </row>
    <row r="732" customFormat="false" ht="15.75" hidden="false" customHeight="true" outlineLevel="0" collapsed="false">
      <c r="A732" s="30" t="n">
        <v>45323</v>
      </c>
      <c r="B732" s="31" t="s">
        <v>11</v>
      </c>
      <c r="C732" s="32"/>
      <c r="D732" s="32"/>
      <c r="E732" s="19" t="n">
        <f aca="false">+IF(C732="EQUIPO",F732,0)</f>
        <v>0</v>
      </c>
      <c r="F732" s="33" t="n">
        <v>0</v>
      </c>
      <c r="G732" s="62"/>
      <c r="H732" s="35" t="n">
        <v>0</v>
      </c>
      <c r="I732" s="34" t="n">
        <f aca="false">+IF(E732=0,0,E732*0.03)</f>
        <v>0</v>
      </c>
    </row>
    <row r="733" customFormat="false" ht="15.75" hidden="false" customHeight="true" outlineLevel="0" collapsed="false">
      <c r="A733" s="30" t="n">
        <v>45323</v>
      </c>
      <c r="B733" s="31" t="s">
        <v>11</v>
      </c>
      <c r="C733" s="32"/>
      <c r="D733" s="32"/>
      <c r="E733" s="19" t="n">
        <f aca="false">+IF(C733="EQUIPO",F733,0)</f>
        <v>0</v>
      </c>
      <c r="F733" s="33" t="n">
        <v>0</v>
      </c>
      <c r="G733" s="62"/>
      <c r="H733" s="35" t="n">
        <v>0</v>
      </c>
      <c r="I733" s="34" t="n">
        <f aca="false">+IF(E733=0,0,E733*0.03)</f>
        <v>0</v>
      </c>
    </row>
    <row r="734" customFormat="false" ht="15.75" hidden="false" customHeight="true" outlineLevel="0" collapsed="false">
      <c r="A734" s="30" t="n">
        <v>45323</v>
      </c>
      <c r="B734" s="31" t="s">
        <v>11</v>
      </c>
      <c r="C734" s="32"/>
      <c r="D734" s="32"/>
      <c r="E734" s="19" t="n">
        <f aca="false">+IF(C734="EQUIPO",F734,0)</f>
        <v>0</v>
      </c>
      <c r="F734" s="33" t="n">
        <v>0</v>
      </c>
      <c r="G734" s="62"/>
      <c r="H734" s="35" t="n">
        <v>0</v>
      </c>
      <c r="I734" s="34" t="n">
        <f aca="false">+IF(E734=0,0,E734*0.03)</f>
        <v>0</v>
      </c>
    </row>
    <row r="735" customFormat="false" ht="15.75" hidden="false" customHeight="true" outlineLevel="0" collapsed="false">
      <c r="A735" s="30" t="n">
        <v>45323</v>
      </c>
      <c r="B735" s="31" t="s">
        <v>11</v>
      </c>
      <c r="C735" s="32"/>
      <c r="D735" s="32"/>
      <c r="E735" s="19" t="n">
        <f aca="false">+IF(C735="EQUIPO",F735,0)</f>
        <v>0</v>
      </c>
      <c r="F735" s="33" t="n">
        <v>0</v>
      </c>
      <c r="G735" s="62"/>
      <c r="H735" s="35" t="n">
        <v>0</v>
      </c>
      <c r="I735" s="34" t="n">
        <f aca="false">+IF(E735=0,0,E735*0.03)</f>
        <v>0</v>
      </c>
    </row>
    <row r="736" customFormat="false" ht="15.75" hidden="false" customHeight="true" outlineLevel="0" collapsed="false">
      <c r="A736" s="30" t="n">
        <v>45323</v>
      </c>
      <c r="B736" s="31" t="s">
        <v>11</v>
      </c>
      <c r="C736" s="32"/>
      <c r="D736" s="32"/>
      <c r="E736" s="19" t="n">
        <f aca="false">+IF(C736="EQUIPO",F736,0)</f>
        <v>0</v>
      </c>
      <c r="F736" s="33" t="n">
        <v>0</v>
      </c>
      <c r="G736" s="62"/>
      <c r="H736" s="35" t="n">
        <v>0</v>
      </c>
      <c r="I736" s="34" t="n">
        <f aca="false">+IF(E736=0,0,E736*0.03)</f>
        <v>0</v>
      </c>
    </row>
    <row r="737" customFormat="false" ht="15.75" hidden="false" customHeight="true" outlineLevel="0" collapsed="false">
      <c r="A737" s="30" t="n">
        <v>45323</v>
      </c>
      <c r="B737" s="31" t="s">
        <v>11</v>
      </c>
      <c r="C737" s="32"/>
      <c r="D737" s="32"/>
      <c r="E737" s="19" t="n">
        <f aca="false">+IF(C737="EQUIPO",F737,0)</f>
        <v>0</v>
      </c>
      <c r="F737" s="33" t="n">
        <v>0</v>
      </c>
      <c r="G737" s="62"/>
      <c r="H737" s="35" t="n">
        <v>0</v>
      </c>
      <c r="I737" s="34" t="n">
        <f aca="false">+IF(E737=0,0,E737*0.03)</f>
        <v>0</v>
      </c>
    </row>
    <row r="738" customFormat="false" ht="15.75" hidden="false" customHeight="true" outlineLevel="0" collapsed="false">
      <c r="A738" s="30" t="n">
        <v>45323</v>
      </c>
      <c r="B738" s="31" t="s">
        <v>11</v>
      </c>
      <c r="C738" s="32"/>
      <c r="D738" s="32"/>
      <c r="E738" s="19" t="n">
        <f aca="false">+IF(C738="EQUIPO",F738,0)</f>
        <v>0</v>
      </c>
      <c r="F738" s="33" t="n">
        <v>0</v>
      </c>
      <c r="G738" s="62"/>
      <c r="H738" s="35" t="n">
        <v>0</v>
      </c>
      <c r="I738" s="34" t="n">
        <f aca="false">+IF(E738=0,0,E738*0.03)</f>
        <v>0</v>
      </c>
    </row>
    <row r="739" customFormat="false" ht="15.75" hidden="false" customHeight="true" outlineLevel="0" collapsed="false">
      <c r="A739" s="30" t="n">
        <v>45323</v>
      </c>
      <c r="B739" s="31" t="s">
        <v>11</v>
      </c>
      <c r="C739" s="32"/>
      <c r="D739" s="32"/>
      <c r="E739" s="19" t="n">
        <f aca="false">+IF(C739="EQUIPO",F739,0)</f>
        <v>0</v>
      </c>
      <c r="F739" s="33" t="n">
        <v>0</v>
      </c>
      <c r="G739" s="62"/>
      <c r="H739" s="35" t="n">
        <v>0</v>
      </c>
      <c r="I739" s="34" t="n">
        <f aca="false">+IF(E739=0,0,E739*0.03)</f>
        <v>0</v>
      </c>
    </row>
    <row r="740" customFormat="false" ht="15.75" hidden="false" customHeight="true" outlineLevel="0" collapsed="false">
      <c r="A740" s="30" t="n">
        <v>45323</v>
      </c>
      <c r="B740" s="31" t="s">
        <v>11</v>
      </c>
      <c r="C740" s="32"/>
      <c r="D740" s="32"/>
      <c r="E740" s="19" t="n">
        <f aca="false">+IF(C740="EQUIPO",F740,0)</f>
        <v>0</v>
      </c>
      <c r="F740" s="33" t="n">
        <v>0</v>
      </c>
      <c r="G740" s="62"/>
      <c r="H740" s="35" t="n">
        <v>0</v>
      </c>
      <c r="I740" s="34" t="n">
        <f aca="false">+IF(E740=0,0,E740*0.03)</f>
        <v>0</v>
      </c>
    </row>
    <row r="741" customFormat="false" ht="15.75" hidden="false" customHeight="true" outlineLevel="0" collapsed="false">
      <c r="A741" s="30" t="n">
        <v>45323</v>
      </c>
      <c r="B741" s="31" t="s">
        <v>11</v>
      </c>
      <c r="C741" s="32"/>
      <c r="D741" s="32"/>
      <c r="E741" s="19" t="n">
        <f aca="false">+IF(C741="EQUIPO",F741,0)</f>
        <v>0</v>
      </c>
      <c r="F741" s="33" t="n">
        <v>0</v>
      </c>
      <c r="G741" s="62"/>
      <c r="H741" s="35" t="n">
        <v>0</v>
      </c>
      <c r="I741" s="34" t="n">
        <f aca="false">+IF(E741=0,0,E741*0.03)</f>
        <v>0</v>
      </c>
    </row>
    <row r="742" customFormat="false" ht="15.75" hidden="false" customHeight="true" outlineLevel="0" collapsed="false">
      <c r="A742" s="30" t="n">
        <v>45323</v>
      </c>
      <c r="B742" s="31" t="s">
        <v>11</v>
      </c>
      <c r="C742" s="32"/>
      <c r="D742" s="32"/>
      <c r="E742" s="19" t="n">
        <f aca="false">+IF(C742="EQUIPO",F742,0)</f>
        <v>0</v>
      </c>
      <c r="F742" s="33" t="n">
        <v>0</v>
      </c>
      <c r="G742" s="62"/>
      <c r="H742" s="35" t="n">
        <v>0</v>
      </c>
      <c r="I742" s="34" t="n">
        <f aca="false">+IF(E742=0,0,E742*0.03)</f>
        <v>0</v>
      </c>
    </row>
    <row r="743" customFormat="false" ht="15.75" hidden="false" customHeight="true" outlineLevel="0" collapsed="false">
      <c r="A743" s="30" t="n">
        <v>45323</v>
      </c>
      <c r="B743" s="31" t="s">
        <v>11</v>
      </c>
      <c r="C743" s="32"/>
      <c r="D743" s="32"/>
      <c r="E743" s="19" t="n">
        <f aca="false">+IF(C743="EQUIPO",F743,0)</f>
        <v>0</v>
      </c>
      <c r="F743" s="33" t="n">
        <v>0</v>
      </c>
      <c r="G743" s="62"/>
      <c r="H743" s="35" t="n">
        <v>0</v>
      </c>
      <c r="I743" s="34" t="n">
        <f aca="false">+IF(E743=0,0,E743*0.03)</f>
        <v>0</v>
      </c>
    </row>
    <row r="744" customFormat="false" ht="15.75" hidden="false" customHeight="true" outlineLevel="0" collapsed="false">
      <c r="A744" s="30" t="n">
        <v>45323</v>
      </c>
      <c r="B744" s="31" t="s">
        <v>11</v>
      </c>
      <c r="C744" s="32"/>
      <c r="D744" s="32"/>
      <c r="E744" s="19" t="n">
        <f aca="false">+IF(C744="EQUIPO",F744,0)</f>
        <v>0</v>
      </c>
      <c r="F744" s="33" t="n">
        <v>0</v>
      </c>
      <c r="G744" s="62"/>
      <c r="H744" s="35" t="n">
        <v>0</v>
      </c>
      <c r="I744" s="34" t="n">
        <f aca="false">+IF(E744=0,0,E744*0.03)</f>
        <v>0</v>
      </c>
    </row>
    <row r="745" customFormat="false" ht="15.75" hidden="false" customHeight="true" outlineLevel="0" collapsed="false">
      <c r="A745" s="30" t="n">
        <v>45323</v>
      </c>
      <c r="B745" s="31" t="s">
        <v>11</v>
      </c>
      <c r="C745" s="32"/>
      <c r="D745" s="32"/>
      <c r="E745" s="19" t="n">
        <f aca="false">+IF(C745="EQUIPO",F745,0)</f>
        <v>0</v>
      </c>
      <c r="F745" s="33" t="n">
        <v>0</v>
      </c>
      <c r="G745" s="62"/>
      <c r="H745" s="35" t="n">
        <v>0</v>
      </c>
      <c r="I745" s="34" t="n">
        <f aca="false">+IF(E745=0,0,E745*0.03)</f>
        <v>0</v>
      </c>
    </row>
    <row r="746" customFormat="false" ht="15.75" hidden="false" customHeight="true" outlineLevel="0" collapsed="false">
      <c r="A746" s="30" t="n">
        <v>45323</v>
      </c>
      <c r="B746" s="31" t="s">
        <v>11</v>
      </c>
      <c r="C746" s="32"/>
      <c r="D746" s="32"/>
      <c r="E746" s="19" t="n">
        <f aca="false">+IF(C746="EQUIPO",F746,0)</f>
        <v>0</v>
      </c>
      <c r="F746" s="33" t="n">
        <v>0</v>
      </c>
      <c r="G746" s="62"/>
      <c r="H746" s="35" t="n">
        <v>0</v>
      </c>
      <c r="I746" s="34" t="n">
        <f aca="false">+IF(E746=0,0,E746*0.03)</f>
        <v>0</v>
      </c>
    </row>
    <row r="747" customFormat="false" ht="15.75" hidden="false" customHeight="true" outlineLevel="0" collapsed="false">
      <c r="A747" s="30" t="n">
        <v>45323</v>
      </c>
      <c r="B747" s="31" t="s">
        <v>11</v>
      </c>
      <c r="C747" s="32"/>
      <c r="D747" s="32"/>
      <c r="E747" s="19" t="n">
        <f aca="false">+IF(C747="EQUIPO",F747,0)</f>
        <v>0</v>
      </c>
      <c r="F747" s="33" t="n">
        <v>0</v>
      </c>
      <c r="G747" s="62"/>
      <c r="H747" s="35" t="n">
        <v>0</v>
      </c>
      <c r="I747" s="34" t="n">
        <f aca="false">+IF(E747=0,0,E747*0.03)</f>
        <v>0</v>
      </c>
    </row>
    <row r="748" customFormat="false" ht="15.75" hidden="false" customHeight="true" outlineLevel="0" collapsed="false">
      <c r="A748" s="30" t="n">
        <v>45323</v>
      </c>
      <c r="B748" s="31" t="s">
        <v>11</v>
      </c>
      <c r="C748" s="32"/>
      <c r="D748" s="32"/>
      <c r="E748" s="19" t="n">
        <f aca="false">+IF(C748="EQUIPO",F748,0)</f>
        <v>0</v>
      </c>
      <c r="F748" s="33" t="n">
        <v>0</v>
      </c>
      <c r="G748" s="62"/>
      <c r="H748" s="35" t="n">
        <v>0</v>
      </c>
      <c r="I748" s="34" t="n">
        <f aca="false">+IF(E748=0,0,E748*0.03)</f>
        <v>0</v>
      </c>
    </row>
    <row r="749" customFormat="false" ht="15.75" hidden="false" customHeight="true" outlineLevel="0" collapsed="false">
      <c r="A749" s="30" t="n">
        <v>45323</v>
      </c>
      <c r="B749" s="31" t="s">
        <v>11</v>
      </c>
      <c r="C749" s="32"/>
      <c r="D749" s="32"/>
      <c r="E749" s="19" t="n">
        <f aca="false">+IF(C749="EQUIPO",F749,0)</f>
        <v>0</v>
      </c>
      <c r="F749" s="33" t="n">
        <v>0</v>
      </c>
      <c r="G749" s="62"/>
      <c r="H749" s="35" t="n">
        <v>0</v>
      </c>
      <c r="I749" s="34" t="n">
        <f aca="false">+IF(E749=0,0,E749*0.03)</f>
        <v>0</v>
      </c>
    </row>
    <row r="750" customFormat="false" ht="15.75" hidden="false" customHeight="true" outlineLevel="0" collapsed="false">
      <c r="A750" s="30" t="n">
        <v>45323</v>
      </c>
      <c r="B750" s="31" t="s">
        <v>11</v>
      </c>
      <c r="C750" s="32"/>
      <c r="D750" s="32"/>
      <c r="E750" s="19" t="n">
        <f aca="false">+IF(C750="EQUIPO",F750,0)</f>
        <v>0</v>
      </c>
      <c r="F750" s="33" t="n">
        <v>0</v>
      </c>
      <c r="G750" s="62"/>
      <c r="H750" s="35" t="n">
        <v>0</v>
      </c>
      <c r="I750" s="34" t="n">
        <f aca="false">+IF(E750=0,0,E750*0.03)</f>
        <v>0</v>
      </c>
    </row>
    <row r="751" customFormat="false" ht="15.75" hidden="false" customHeight="true" outlineLevel="0" collapsed="false">
      <c r="A751" s="30" t="n">
        <v>45323</v>
      </c>
      <c r="B751" s="31" t="s">
        <v>11</v>
      </c>
      <c r="C751" s="32"/>
      <c r="D751" s="32"/>
      <c r="E751" s="19" t="n">
        <f aca="false">+IF(C751="EQUIPO",F751,0)</f>
        <v>0</v>
      </c>
      <c r="F751" s="33" t="n">
        <v>0</v>
      </c>
      <c r="G751" s="62"/>
      <c r="H751" s="35" t="n">
        <v>0</v>
      </c>
      <c r="I751" s="34" t="n">
        <f aca="false">+IF(E751=0,0,E751*0.03)</f>
        <v>0</v>
      </c>
    </row>
    <row r="752" customFormat="false" ht="15.75" hidden="false" customHeight="true" outlineLevel="0" collapsed="false">
      <c r="A752" s="30" t="n">
        <v>45323</v>
      </c>
      <c r="B752" s="31" t="s">
        <v>11</v>
      </c>
      <c r="C752" s="32"/>
      <c r="D752" s="32"/>
      <c r="E752" s="19" t="n">
        <f aca="false">+IF(C752="EQUIPO",F752,0)</f>
        <v>0</v>
      </c>
      <c r="F752" s="33" t="n">
        <v>0</v>
      </c>
      <c r="G752" s="62"/>
      <c r="H752" s="35" t="n">
        <v>0</v>
      </c>
      <c r="I752" s="34" t="n">
        <f aca="false">+IF(E752=0,0,E752*0.03)</f>
        <v>0</v>
      </c>
    </row>
    <row r="753" customFormat="false" ht="15.75" hidden="false" customHeight="true" outlineLevel="0" collapsed="false">
      <c r="A753" s="30" t="n">
        <v>45323</v>
      </c>
      <c r="B753" s="31" t="s">
        <v>11</v>
      </c>
      <c r="C753" s="32"/>
      <c r="D753" s="32"/>
      <c r="E753" s="19" t="n">
        <f aca="false">+IF(C753="EQUIPO",F753,0)</f>
        <v>0</v>
      </c>
      <c r="F753" s="33" t="n">
        <v>0</v>
      </c>
      <c r="G753" s="62"/>
      <c r="H753" s="35" t="n">
        <v>0</v>
      </c>
      <c r="I753" s="34" t="n">
        <f aca="false">+IF(E753=0,0,E753*0.03)</f>
        <v>0</v>
      </c>
    </row>
    <row r="754" customFormat="false" ht="15.75" hidden="false" customHeight="true" outlineLevel="0" collapsed="false">
      <c r="A754" s="30" t="n">
        <v>45323</v>
      </c>
      <c r="B754" s="31" t="s">
        <v>11</v>
      </c>
      <c r="C754" s="32"/>
      <c r="D754" s="32"/>
      <c r="E754" s="19" t="n">
        <f aca="false">+IF(C754="EQUIPO",F754,0)</f>
        <v>0</v>
      </c>
      <c r="F754" s="33" t="n">
        <v>0</v>
      </c>
      <c r="G754" s="62"/>
      <c r="H754" s="35" t="n">
        <v>0</v>
      </c>
      <c r="I754" s="34" t="n">
        <f aca="false">+IF(E754=0,0,E754*0.03)</f>
        <v>0</v>
      </c>
    </row>
    <row r="755" customFormat="false" ht="15.75" hidden="false" customHeight="true" outlineLevel="0" collapsed="false">
      <c r="A755" s="30" t="n">
        <v>45323</v>
      </c>
      <c r="B755" s="31" t="s">
        <v>11</v>
      </c>
      <c r="C755" s="32"/>
      <c r="D755" s="32"/>
      <c r="E755" s="19" t="n">
        <f aca="false">+IF(C755="EQUIPO",F755,0)</f>
        <v>0</v>
      </c>
      <c r="F755" s="33" t="n">
        <v>0</v>
      </c>
      <c r="G755" s="62"/>
      <c r="H755" s="35" t="n">
        <v>0</v>
      </c>
      <c r="I755" s="34" t="n">
        <f aca="false">+IF(E755=0,0,E755*0.03)</f>
        <v>0</v>
      </c>
    </row>
    <row r="756" customFormat="false" ht="15.75" hidden="false" customHeight="true" outlineLevel="0" collapsed="false">
      <c r="A756" s="30" t="n">
        <v>45323</v>
      </c>
      <c r="B756" s="31" t="s">
        <v>11</v>
      </c>
      <c r="C756" s="32"/>
      <c r="D756" s="32"/>
      <c r="E756" s="19" t="n">
        <f aca="false">+IF(C756="EQUIPO",F756,0)</f>
        <v>0</v>
      </c>
      <c r="F756" s="33" t="n">
        <v>0</v>
      </c>
      <c r="G756" s="62"/>
      <c r="H756" s="35" t="n">
        <v>0</v>
      </c>
      <c r="I756" s="34" t="n">
        <f aca="false">+IF(E756=0,0,E756*0.03)</f>
        <v>0</v>
      </c>
    </row>
    <row r="757" customFormat="false" ht="15.75" hidden="false" customHeight="true" outlineLevel="0" collapsed="false">
      <c r="A757" s="30" t="n">
        <v>45323</v>
      </c>
      <c r="B757" s="31" t="s">
        <v>11</v>
      </c>
      <c r="C757" s="32"/>
      <c r="D757" s="32"/>
      <c r="E757" s="19" t="n">
        <f aca="false">+IF(C757="EQUIPO",F757,0)</f>
        <v>0</v>
      </c>
      <c r="F757" s="33" t="n">
        <v>0</v>
      </c>
      <c r="G757" s="62"/>
      <c r="H757" s="35" t="n">
        <v>0</v>
      </c>
      <c r="I757" s="34" t="n">
        <f aca="false">+IF(E757=0,0,E757*0.03)</f>
        <v>0</v>
      </c>
    </row>
    <row r="758" customFormat="false" ht="15.75" hidden="false" customHeight="true" outlineLevel="0" collapsed="false">
      <c r="A758" s="30" t="n">
        <v>45323</v>
      </c>
      <c r="B758" s="31" t="s">
        <v>11</v>
      </c>
      <c r="C758" s="32"/>
      <c r="D758" s="32"/>
      <c r="E758" s="19" t="n">
        <f aca="false">+IF(C758="EQUIPO",F758,0)</f>
        <v>0</v>
      </c>
      <c r="F758" s="33" t="n">
        <v>0</v>
      </c>
      <c r="G758" s="62"/>
      <c r="H758" s="35" t="n">
        <v>0</v>
      </c>
      <c r="I758" s="34" t="n">
        <f aca="false">+IF(E758=0,0,E758*0.03)</f>
        <v>0</v>
      </c>
    </row>
    <row r="759" customFormat="false" ht="15.75" hidden="false" customHeight="true" outlineLevel="0" collapsed="false">
      <c r="A759" s="30" t="n">
        <v>45323</v>
      </c>
      <c r="B759" s="31" t="s">
        <v>11</v>
      </c>
      <c r="C759" s="32"/>
      <c r="D759" s="32"/>
      <c r="E759" s="19" t="n">
        <f aca="false">+IF(C759="EQUIPO",F759,0)</f>
        <v>0</v>
      </c>
      <c r="F759" s="33" t="n">
        <v>0</v>
      </c>
      <c r="G759" s="62"/>
      <c r="H759" s="35" t="n">
        <v>0</v>
      </c>
      <c r="I759" s="34" t="n">
        <f aca="false">+IF(E759=0,0,E759*0.03)</f>
        <v>0</v>
      </c>
    </row>
    <row r="760" customFormat="false" ht="15.75" hidden="false" customHeight="true" outlineLevel="0" collapsed="false">
      <c r="A760" s="30" t="n">
        <v>45323</v>
      </c>
      <c r="B760" s="31" t="s">
        <v>11</v>
      </c>
      <c r="C760" s="32"/>
      <c r="D760" s="32"/>
      <c r="E760" s="19" t="n">
        <f aca="false">+IF(C760="EQUIPO",F760,0)</f>
        <v>0</v>
      </c>
      <c r="F760" s="33" t="n">
        <v>0</v>
      </c>
      <c r="G760" s="62"/>
      <c r="H760" s="35" t="n">
        <v>0</v>
      </c>
      <c r="I760" s="34" t="n">
        <f aca="false">+IF(E760=0,0,E760*0.03)</f>
        <v>0</v>
      </c>
    </row>
    <row r="761" customFormat="false" ht="15.75" hidden="false" customHeight="true" outlineLevel="0" collapsed="false">
      <c r="A761" s="30" t="n">
        <v>45323</v>
      </c>
      <c r="B761" s="31" t="s">
        <v>11</v>
      </c>
      <c r="C761" s="32"/>
      <c r="D761" s="32"/>
      <c r="E761" s="19" t="n">
        <f aca="false">+IF(C761="EQUIPO",F761,0)</f>
        <v>0</v>
      </c>
      <c r="F761" s="33" t="n">
        <v>0</v>
      </c>
      <c r="G761" s="62"/>
      <c r="H761" s="35" t="n">
        <v>0</v>
      </c>
      <c r="I761" s="34" t="n">
        <f aca="false">+IF(E761=0,0,E761*0.03)</f>
        <v>0</v>
      </c>
    </row>
    <row r="762" customFormat="false" ht="15.75" hidden="false" customHeight="true" outlineLevel="0" collapsed="false">
      <c r="A762" s="30" t="n">
        <v>45323</v>
      </c>
      <c r="B762" s="31" t="s">
        <v>11</v>
      </c>
      <c r="C762" s="32"/>
      <c r="D762" s="32"/>
      <c r="E762" s="19" t="n">
        <f aca="false">+IF(C762="EQUIPO",F762,0)</f>
        <v>0</v>
      </c>
      <c r="F762" s="33" t="n">
        <v>0</v>
      </c>
      <c r="G762" s="62"/>
      <c r="H762" s="35" t="n">
        <v>0</v>
      </c>
      <c r="I762" s="34" t="n">
        <f aca="false">+IF(E762=0,0,E762*0.03)</f>
        <v>0</v>
      </c>
    </row>
    <row r="763" customFormat="false" ht="15.75" hidden="false" customHeight="true" outlineLevel="0" collapsed="false">
      <c r="A763" s="30" t="n">
        <v>45323</v>
      </c>
      <c r="B763" s="31" t="s">
        <v>11</v>
      </c>
      <c r="C763" s="32"/>
      <c r="D763" s="32"/>
      <c r="E763" s="19" t="n">
        <f aca="false">+IF(C763="EQUIPO",F763,0)</f>
        <v>0</v>
      </c>
      <c r="F763" s="33" t="n">
        <v>0</v>
      </c>
      <c r="G763" s="62"/>
      <c r="H763" s="35" t="n">
        <v>0</v>
      </c>
      <c r="I763" s="34" t="n">
        <f aca="false">+IF(E763=0,0,E763*0.03)</f>
        <v>0</v>
      </c>
    </row>
    <row r="764" customFormat="false" ht="15.75" hidden="false" customHeight="true" outlineLevel="0" collapsed="false">
      <c r="A764" s="30" t="n">
        <v>45323</v>
      </c>
      <c r="B764" s="31" t="s">
        <v>11</v>
      </c>
      <c r="C764" s="32"/>
      <c r="D764" s="32"/>
      <c r="E764" s="19" t="n">
        <f aca="false">+IF(C764="EQUIPO",F764,0)</f>
        <v>0</v>
      </c>
      <c r="F764" s="33" t="n">
        <v>0</v>
      </c>
      <c r="G764" s="62"/>
      <c r="H764" s="35" t="n">
        <v>0</v>
      </c>
      <c r="I764" s="34" t="n">
        <f aca="false">+IF(E764=0,0,E764*0.03)</f>
        <v>0</v>
      </c>
    </row>
    <row r="765" customFormat="false" ht="15.75" hidden="false" customHeight="true" outlineLevel="0" collapsed="false">
      <c r="A765" s="30" t="n">
        <v>45323</v>
      </c>
      <c r="B765" s="31" t="s">
        <v>11</v>
      </c>
      <c r="C765" s="32"/>
      <c r="D765" s="32"/>
      <c r="E765" s="19" t="n">
        <f aca="false">+IF(C765="EQUIPO",F765,0)</f>
        <v>0</v>
      </c>
      <c r="F765" s="33" t="n">
        <v>0</v>
      </c>
      <c r="G765" s="62"/>
      <c r="H765" s="35" t="n">
        <v>0</v>
      </c>
      <c r="I765" s="34" t="n">
        <f aca="false">+IF(E765=0,0,E765*0.03)</f>
        <v>0</v>
      </c>
    </row>
    <row r="766" customFormat="false" ht="15.75" hidden="false" customHeight="true" outlineLevel="0" collapsed="false">
      <c r="A766" s="30" t="n">
        <v>45323</v>
      </c>
      <c r="B766" s="31" t="s">
        <v>11</v>
      </c>
      <c r="C766" s="32"/>
      <c r="D766" s="32"/>
      <c r="E766" s="19" t="n">
        <f aca="false">+IF(C766="EQUIPO",F766,0)</f>
        <v>0</v>
      </c>
      <c r="F766" s="33" t="n">
        <v>0</v>
      </c>
      <c r="G766" s="62"/>
      <c r="H766" s="35" t="n">
        <v>0</v>
      </c>
      <c r="I766" s="34" t="n">
        <f aca="false">+IF(E766=0,0,E766*0.03)</f>
        <v>0</v>
      </c>
    </row>
    <row r="767" customFormat="false" ht="15.75" hidden="false" customHeight="true" outlineLevel="0" collapsed="false">
      <c r="A767" s="30" t="n">
        <v>45323</v>
      </c>
      <c r="B767" s="31" t="s">
        <v>11</v>
      </c>
      <c r="C767" s="32"/>
      <c r="D767" s="32"/>
      <c r="E767" s="19" t="n">
        <f aca="false">+IF(C767="EQUIPO",F767,0)</f>
        <v>0</v>
      </c>
      <c r="F767" s="33" t="n">
        <v>0</v>
      </c>
      <c r="G767" s="62"/>
      <c r="H767" s="35" t="n">
        <v>0</v>
      </c>
      <c r="I767" s="34" t="n">
        <f aca="false">+IF(E767=0,0,E767*0.03)</f>
        <v>0</v>
      </c>
    </row>
    <row r="768" customFormat="false" ht="15.75" hidden="false" customHeight="true" outlineLevel="0" collapsed="false">
      <c r="A768" s="30" t="n">
        <v>45323</v>
      </c>
      <c r="B768" s="31" t="s">
        <v>11</v>
      </c>
      <c r="C768" s="32"/>
      <c r="D768" s="32"/>
      <c r="E768" s="19" t="n">
        <f aca="false">+IF(C768="EQUIPO",F768,0)</f>
        <v>0</v>
      </c>
      <c r="F768" s="33" t="n">
        <v>0</v>
      </c>
      <c r="G768" s="62"/>
      <c r="H768" s="35" t="n">
        <v>0</v>
      </c>
      <c r="I768" s="34" t="n">
        <f aca="false">+IF(E768=0,0,E768*0.03)</f>
        <v>0</v>
      </c>
    </row>
    <row r="769" customFormat="false" ht="15.75" hidden="false" customHeight="true" outlineLevel="0" collapsed="false">
      <c r="A769" s="30" t="n">
        <v>45323</v>
      </c>
      <c r="B769" s="31" t="s">
        <v>11</v>
      </c>
      <c r="C769" s="32"/>
      <c r="D769" s="32"/>
      <c r="E769" s="19" t="n">
        <f aca="false">+IF(C769="EQUIPO",F769,0)</f>
        <v>0</v>
      </c>
      <c r="F769" s="33" t="n">
        <v>0</v>
      </c>
      <c r="G769" s="62"/>
      <c r="H769" s="35" t="n">
        <v>0</v>
      </c>
      <c r="I769" s="34" t="n">
        <f aca="false">+IF(E769=0,0,E769*0.03)</f>
        <v>0</v>
      </c>
    </row>
    <row r="770" customFormat="false" ht="15.75" hidden="false" customHeight="true" outlineLevel="0" collapsed="false">
      <c r="A770" s="30" t="n">
        <v>45323</v>
      </c>
      <c r="B770" s="31" t="s">
        <v>11</v>
      </c>
      <c r="C770" s="32"/>
      <c r="D770" s="32"/>
      <c r="E770" s="19" t="n">
        <f aca="false">+IF(C770="EQUIPO",F770,0)</f>
        <v>0</v>
      </c>
      <c r="F770" s="33" t="n">
        <v>0</v>
      </c>
      <c r="G770" s="62"/>
      <c r="H770" s="35" t="n">
        <v>0</v>
      </c>
      <c r="I770" s="34" t="n">
        <f aca="false">+IF(E770=0,0,E770*0.03)</f>
        <v>0</v>
      </c>
    </row>
    <row r="771" customFormat="false" ht="15.75" hidden="false" customHeight="true" outlineLevel="0" collapsed="false">
      <c r="A771" s="30" t="n">
        <v>45323</v>
      </c>
      <c r="B771" s="31" t="s">
        <v>11</v>
      </c>
      <c r="C771" s="32"/>
      <c r="D771" s="32"/>
      <c r="E771" s="19" t="n">
        <f aca="false">+IF(C771="EQUIPO",F771,0)</f>
        <v>0</v>
      </c>
      <c r="F771" s="33" t="n">
        <v>0</v>
      </c>
      <c r="G771" s="62"/>
      <c r="H771" s="35" t="n">
        <v>0</v>
      </c>
      <c r="I771" s="34" t="n">
        <f aca="false">+IF(E771=0,0,E771*0.03)</f>
        <v>0</v>
      </c>
    </row>
    <row r="772" customFormat="false" ht="15.75" hidden="false" customHeight="true" outlineLevel="0" collapsed="false">
      <c r="A772" s="30" t="n">
        <v>45323</v>
      </c>
      <c r="B772" s="31" t="s">
        <v>11</v>
      </c>
      <c r="C772" s="32"/>
      <c r="D772" s="32"/>
      <c r="E772" s="19" t="n">
        <f aca="false">+IF(C772="EQUIPO",F772,0)</f>
        <v>0</v>
      </c>
      <c r="F772" s="33" t="n">
        <v>0</v>
      </c>
      <c r="G772" s="62"/>
      <c r="H772" s="35" t="n">
        <v>0</v>
      </c>
      <c r="I772" s="34" t="n">
        <f aca="false">+IF(E772=0,0,E772*0.03)</f>
        <v>0</v>
      </c>
    </row>
    <row r="773" customFormat="false" ht="15.75" hidden="false" customHeight="true" outlineLevel="0" collapsed="false">
      <c r="A773" s="30" t="n">
        <v>45323</v>
      </c>
      <c r="B773" s="31" t="s">
        <v>11</v>
      </c>
      <c r="C773" s="32"/>
      <c r="D773" s="32"/>
      <c r="E773" s="19" t="n">
        <f aca="false">+IF(C773="EQUIPO",F773,0)</f>
        <v>0</v>
      </c>
      <c r="F773" s="33" t="n">
        <v>0</v>
      </c>
      <c r="G773" s="62"/>
      <c r="H773" s="35" t="n">
        <v>0</v>
      </c>
      <c r="I773" s="34" t="n">
        <f aca="false">+IF(E773=0,0,E773*0.03)</f>
        <v>0</v>
      </c>
    </row>
    <row r="774" customFormat="false" ht="15.75" hidden="false" customHeight="true" outlineLevel="0" collapsed="false">
      <c r="A774" s="30" t="n">
        <v>45323</v>
      </c>
      <c r="B774" s="31" t="s">
        <v>11</v>
      </c>
      <c r="C774" s="32"/>
      <c r="D774" s="32"/>
      <c r="E774" s="19" t="n">
        <f aca="false">+IF(C774="EQUIPO",F774,0)</f>
        <v>0</v>
      </c>
      <c r="F774" s="33" t="n">
        <v>0</v>
      </c>
      <c r="G774" s="62"/>
      <c r="H774" s="35" t="n">
        <v>0</v>
      </c>
      <c r="I774" s="34" t="n">
        <f aca="false">+IF(E774=0,0,E774*0.03)</f>
        <v>0</v>
      </c>
    </row>
    <row r="775" customFormat="false" ht="15.75" hidden="false" customHeight="true" outlineLevel="0" collapsed="false">
      <c r="A775" s="30" t="n">
        <v>45323</v>
      </c>
      <c r="B775" s="31" t="s">
        <v>11</v>
      </c>
      <c r="C775" s="32"/>
      <c r="D775" s="32"/>
      <c r="E775" s="19" t="n">
        <f aca="false">+IF(C775="EQUIPO",F775,0)</f>
        <v>0</v>
      </c>
      <c r="F775" s="33" t="n">
        <v>0</v>
      </c>
      <c r="G775" s="62"/>
      <c r="H775" s="35" t="n">
        <v>0</v>
      </c>
      <c r="I775" s="34" t="n">
        <f aca="false">+IF(E775=0,0,E775*0.03)</f>
        <v>0</v>
      </c>
    </row>
    <row r="776" customFormat="false" ht="15.75" hidden="false" customHeight="true" outlineLevel="0" collapsed="false">
      <c r="A776" s="30" t="n">
        <v>45323</v>
      </c>
      <c r="B776" s="31" t="s">
        <v>11</v>
      </c>
      <c r="C776" s="32"/>
      <c r="D776" s="32"/>
      <c r="E776" s="19" t="n">
        <f aca="false">+IF(C776="EQUIPO",F776,0)</f>
        <v>0</v>
      </c>
      <c r="F776" s="33" t="n">
        <v>0</v>
      </c>
      <c r="G776" s="62"/>
      <c r="H776" s="35" t="n">
        <v>0</v>
      </c>
      <c r="I776" s="34" t="n">
        <f aca="false">+IF(E776=0,0,E776*0.03)</f>
        <v>0</v>
      </c>
    </row>
    <row r="777" customFormat="false" ht="15.75" hidden="false" customHeight="true" outlineLevel="0" collapsed="false">
      <c r="A777" s="30" t="n">
        <v>45323</v>
      </c>
      <c r="B777" s="31" t="s">
        <v>11</v>
      </c>
      <c r="C777" s="32"/>
      <c r="D777" s="32"/>
      <c r="E777" s="19" t="n">
        <f aca="false">+IF(C777="EQUIPO",F777,0)</f>
        <v>0</v>
      </c>
      <c r="F777" s="33" t="n">
        <v>0</v>
      </c>
      <c r="G777" s="62"/>
      <c r="H777" s="35" t="n">
        <v>0</v>
      </c>
      <c r="I777" s="34" t="n">
        <f aca="false">+IF(E777=0,0,E777*0.03)</f>
        <v>0</v>
      </c>
    </row>
    <row r="778" customFormat="false" ht="15.75" hidden="false" customHeight="true" outlineLevel="0" collapsed="false">
      <c r="A778" s="30" t="n">
        <v>45323</v>
      </c>
      <c r="B778" s="31" t="s">
        <v>11</v>
      </c>
      <c r="C778" s="32"/>
      <c r="D778" s="32"/>
      <c r="E778" s="19" t="n">
        <f aca="false">+IF(C778="EQUIPO",F778,0)</f>
        <v>0</v>
      </c>
      <c r="F778" s="33" t="n">
        <v>0</v>
      </c>
      <c r="G778" s="62"/>
      <c r="H778" s="35" t="n">
        <v>0</v>
      </c>
      <c r="I778" s="34" t="n">
        <f aca="false">+IF(E778=0,0,E778*0.03)</f>
        <v>0</v>
      </c>
    </row>
    <row r="779" customFormat="false" ht="15.75" hidden="false" customHeight="true" outlineLevel="0" collapsed="false">
      <c r="A779" s="30" t="n">
        <v>45323</v>
      </c>
      <c r="B779" s="31" t="s">
        <v>11</v>
      </c>
      <c r="C779" s="32"/>
      <c r="D779" s="32"/>
      <c r="E779" s="19" t="n">
        <f aca="false">+IF(C779="EQUIPO",F779,0)</f>
        <v>0</v>
      </c>
      <c r="F779" s="33" t="n">
        <v>0</v>
      </c>
      <c r="G779" s="62"/>
      <c r="H779" s="35" t="n">
        <v>0</v>
      </c>
      <c r="I779" s="34" t="n">
        <f aca="false">+IF(E779=0,0,E779*0.03)</f>
        <v>0</v>
      </c>
    </row>
    <row r="780" customFormat="false" ht="15.75" hidden="false" customHeight="true" outlineLevel="0" collapsed="false">
      <c r="A780" s="30" t="n">
        <v>45323</v>
      </c>
      <c r="B780" s="31" t="s">
        <v>11</v>
      </c>
      <c r="C780" s="32"/>
      <c r="D780" s="32"/>
      <c r="E780" s="19" t="n">
        <f aca="false">+IF(C780="EQUIPO",F780,0)</f>
        <v>0</v>
      </c>
      <c r="F780" s="33" t="n">
        <v>0</v>
      </c>
      <c r="G780" s="62"/>
      <c r="H780" s="35" t="n">
        <v>0</v>
      </c>
      <c r="I780" s="34" t="n">
        <f aca="false">+IF(E780=0,0,E780*0.03)</f>
        <v>0</v>
      </c>
    </row>
    <row r="781" customFormat="false" ht="15.75" hidden="false" customHeight="true" outlineLevel="0" collapsed="false">
      <c r="A781" s="30" t="n">
        <v>45323</v>
      </c>
      <c r="B781" s="31" t="s">
        <v>11</v>
      </c>
      <c r="C781" s="32"/>
      <c r="D781" s="32"/>
      <c r="E781" s="19" t="n">
        <f aca="false">+IF(C781="EQUIPO",F781,0)</f>
        <v>0</v>
      </c>
      <c r="F781" s="33" t="n">
        <v>0</v>
      </c>
      <c r="G781" s="62"/>
      <c r="H781" s="35" t="n">
        <v>0</v>
      </c>
      <c r="I781" s="34" t="n">
        <f aca="false">+IF(E781=0,0,E781*0.03)</f>
        <v>0</v>
      </c>
    </row>
    <row r="782" customFormat="false" ht="15.75" hidden="false" customHeight="true" outlineLevel="0" collapsed="false">
      <c r="A782" s="30" t="n">
        <v>45323</v>
      </c>
      <c r="B782" s="31" t="s">
        <v>11</v>
      </c>
      <c r="C782" s="32"/>
      <c r="D782" s="32"/>
      <c r="E782" s="19" t="n">
        <f aca="false">+IF(C782="EQUIPO",F782,0)</f>
        <v>0</v>
      </c>
      <c r="F782" s="33" t="n">
        <v>0</v>
      </c>
      <c r="G782" s="62"/>
      <c r="H782" s="35" t="n">
        <v>0</v>
      </c>
      <c r="I782" s="34" t="n">
        <f aca="false">+IF(E782=0,0,E782*0.03)</f>
        <v>0</v>
      </c>
    </row>
    <row r="783" customFormat="false" ht="15.75" hidden="false" customHeight="true" outlineLevel="0" collapsed="false">
      <c r="A783" s="30" t="n">
        <v>45323</v>
      </c>
      <c r="B783" s="31" t="s">
        <v>11</v>
      </c>
      <c r="C783" s="32"/>
      <c r="D783" s="32"/>
      <c r="E783" s="19" t="n">
        <f aca="false">+IF(C783="EQUIPO",F783,0)</f>
        <v>0</v>
      </c>
      <c r="F783" s="33" t="n">
        <v>0</v>
      </c>
      <c r="G783" s="62"/>
      <c r="H783" s="35" t="n">
        <v>0</v>
      </c>
      <c r="I783" s="34" t="n">
        <f aca="false">+IF(E783=0,0,E783*0.03)</f>
        <v>0</v>
      </c>
    </row>
    <row r="784" customFormat="false" ht="15.75" hidden="false" customHeight="true" outlineLevel="0" collapsed="false">
      <c r="A784" s="30" t="n">
        <v>45323</v>
      </c>
      <c r="B784" s="31" t="s">
        <v>11</v>
      </c>
      <c r="C784" s="32"/>
      <c r="D784" s="32"/>
      <c r="E784" s="19" t="n">
        <f aca="false">+IF(C784="EQUIPO",F784,0)</f>
        <v>0</v>
      </c>
      <c r="F784" s="33" t="n">
        <v>0</v>
      </c>
      <c r="G784" s="62"/>
      <c r="H784" s="35" t="n">
        <v>0</v>
      </c>
      <c r="I784" s="34" t="n">
        <f aca="false">+IF(E784=0,0,E784*0.03)</f>
        <v>0</v>
      </c>
    </row>
    <row r="785" customFormat="false" ht="15.75" hidden="false" customHeight="true" outlineLevel="0" collapsed="false">
      <c r="A785" s="30" t="n">
        <v>45323</v>
      </c>
      <c r="B785" s="31" t="s">
        <v>11</v>
      </c>
      <c r="C785" s="32"/>
      <c r="D785" s="32"/>
      <c r="E785" s="19" t="n">
        <f aca="false">+IF(C785="EQUIPO",F785,0)</f>
        <v>0</v>
      </c>
      <c r="F785" s="33" t="n">
        <v>0</v>
      </c>
      <c r="G785" s="62"/>
      <c r="H785" s="35" t="n">
        <v>0</v>
      </c>
      <c r="I785" s="34" t="n">
        <f aca="false">+IF(E785=0,0,E785*0.03)</f>
        <v>0</v>
      </c>
    </row>
    <row r="786" customFormat="false" ht="15.75" hidden="false" customHeight="true" outlineLevel="0" collapsed="false">
      <c r="A786" s="30" t="n">
        <v>45323</v>
      </c>
      <c r="B786" s="31" t="s">
        <v>11</v>
      </c>
      <c r="C786" s="32"/>
      <c r="D786" s="32"/>
      <c r="E786" s="19" t="n">
        <f aca="false">+IF(C786="EQUIPO",F786,0)</f>
        <v>0</v>
      </c>
      <c r="F786" s="33" t="n">
        <v>0</v>
      </c>
      <c r="G786" s="62"/>
      <c r="H786" s="35" t="n">
        <v>0</v>
      </c>
      <c r="I786" s="34" t="n">
        <f aca="false">+IF(E786=0,0,E786*0.03)</f>
        <v>0</v>
      </c>
    </row>
    <row r="787" customFormat="false" ht="15.75" hidden="false" customHeight="true" outlineLevel="0" collapsed="false">
      <c r="A787" s="30" t="n">
        <v>45323</v>
      </c>
      <c r="B787" s="31" t="s">
        <v>11</v>
      </c>
      <c r="C787" s="32"/>
      <c r="D787" s="32"/>
      <c r="E787" s="19" t="n">
        <f aca="false">+IF(C787="EQUIPO",F787,0)</f>
        <v>0</v>
      </c>
      <c r="F787" s="33" t="n">
        <v>0</v>
      </c>
      <c r="G787" s="62"/>
      <c r="H787" s="35" t="n">
        <v>0</v>
      </c>
      <c r="I787" s="34" t="n">
        <f aca="false">+IF(E787=0,0,E787*0.03)</f>
        <v>0</v>
      </c>
    </row>
    <row r="788" customFormat="false" ht="15.75" hidden="false" customHeight="true" outlineLevel="0" collapsed="false">
      <c r="A788" s="30" t="n">
        <v>45323</v>
      </c>
      <c r="B788" s="31" t="s">
        <v>11</v>
      </c>
      <c r="C788" s="32"/>
      <c r="D788" s="32"/>
      <c r="E788" s="19" t="n">
        <f aca="false">+IF(C788="EQUIPO",F788,0)</f>
        <v>0</v>
      </c>
      <c r="F788" s="33" t="n">
        <v>0</v>
      </c>
      <c r="G788" s="62"/>
      <c r="H788" s="35" t="n">
        <v>0</v>
      </c>
      <c r="I788" s="34" t="n">
        <f aca="false">+IF(E788=0,0,E788*0.03)</f>
        <v>0</v>
      </c>
    </row>
    <row r="789" customFormat="false" ht="15.75" hidden="false" customHeight="true" outlineLevel="0" collapsed="false">
      <c r="A789" s="30" t="n">
        <v>45323</v>
      </c>
      <c r="B789" s="31" t="s">
        <v>11</v>
      </c>
      <c r="C789" s="32"/>
      <c r="D789" s="32"/>
      <c r="E789" s="19" t="n">
        <f aca="false">+IF(C789="EQUIPO",F789,0)</f>
        <v>0</v>
      </c>
      <c r="F789" s="33" t="n">
        <v>0</v>
      </c>
      <c r="G789" s="62"/>
      <c r="H789" s="35" t="n">
        <v>0</v>
      </c>
      <c r="I789" s="34" t="n">
        <f aca="false">+IF(E789=0,0,E789*0.03)</f>
        <v>0</v>
      </c>
    </row>
    <row r="790" customFormat="false" ht="15.75" hidden="false" customHeight="true" outlineLevel="0" collapsed="false">
      <c r="A790" s="30" t="n">
        <v>45323</v>
      </c>
      <c r="B790" s="31" t="s">
        <v>11</v>
      </c>
      <c r="C790" s="32"/>
      <c r="D790" s="32"/>
      <c r="E790" s="19" t="n">
        <f aca="false">+IF(C790="EQUIPO",F790,0)</f>
        <v>0</v>
      </c>
      <c r="F790" s="33" t="n">
        <v>0</v>
      </c>
      <c r="G790" s="62"/>
      <c r="H790" s="35" t="n">
        <v>0</v>
      </c>
      <c r="I790" s="34" t="n">
        <f aca="false">+IF(E790=0,0,E790*0.03)</f>
        <v>0</v>
      </c>
    </row>
    <row r="791" customFormat="false" ht="15.75" hidden="false" customHeight="true" outlineLevel="0" collapsed="false">
      <c r="A791" s="30" t="n">
        <v>45323</v>
      </c>
      <c r="B791" s="31" t="s">
        <v>11</v>
      </c>
      <c r="C791" s="32"/>
      <c r="D791" s="32"/>
      <c r="E791" s="19" t="n">
        <f aca="false">+IF(C791="EQUIPO",F791,0)</f>
        <v>0</v>
      </c>
      <c r="F791" s="33" t="n">
        <v>0</v>
      </c>
      <c r="G791" s="62"/>
      <c r="H791" s="35" t="n">
        <v>0</v>
      </c>
      <c r="I791" s="34" t="n">
        <f aca="false">+IF(E791=0,0,E791*0.03)</f>
        <v>0</v>
      </c>
    </row>
    <row r="792" customFormat="false" ht="15.75" hidden="false" customHeight="true" outlineLevel="0" collapsed="false">
      <c r="A792" s="30" t="n">
        <v>45323</v>
      </c>
      <c r="B792" s="31" t="s">
        <v>11</v>
      </c>
      <c r="C792" s="32"/>
      <c r="D792" s="32"/>
      <c r="E792" s="19" t="n">
        <f aca="false">+IF(C792="EQUIPO",F792,0)</f>
        <v>0</v>
      </c>
      <c r="F792" s="33" t="n">
        <v>0</v>
      </c>
      <c r="G792" s="62"/>
      <c r="H792" s="35" t="n">
        <v>0</v>
      </c>
      <c r="I792" s="34" t="n">
        <f aca="false">+IF(E792=0,0,E792*0.03)</f>
        <v>0</v>
      </c>
    </row>
    <row r="793" customFormat="false" ht="15.75" hidden="false" customHeight="true" outlineLevel="0" collapsed="false">
      <c r="A793" s="30" t="n">
        <v>45323</v>
      </c>
      <c r="B793" s="31" t="s">
        <v>11</v>
      </c>
      <c r="C793" s="32"/>
      <c r="D793" s="32"/>
      <c r="E793" s="19" t="n">
        <f aca="false">+IF(C793="EQUIPO",F793,0)</f>
        <v>0</v>
      </c>
      <c r="F793" s="33" t="n">
        <v>0</v>
      </c>
      <c r="G793" s="62"/>
      <c r="H793" s="35" t="n">
        <v>0</v>
      </c>
      <c r="I793" s="34" t="n">
        <f aca="false">+IF(E793=0,0,E793*0.03)</f>
        <v>0</v>
      </c>
    </row>
    <row r="794" customFormat="false" ht="15.75" hidden="false" customHeight="true" outlineLevel="0" collapsed="false">
      <c r="A794" s="30" t="n">
        <v>45323</v>
      </c>
      <c r="B794" s="31" t="s">
        <v>11</v>
      </c>
      <c r="C794" s="32"/>
      <c r="D794" s="32"/>
      <c r="E794" s="19" t="n">
        <f aca="false">+IF(C794="EQUIPO",F794,0)</f>
        <v>0</v>
      </c>
      <c r="F794" s="33" t="n">
        <v>0</v>
      </c>
      <c r="G794" s="62"/>
      <c r="H794" s="35" t="n">
        <v>0</v>
      </c>
      <c r="I794" s="34" t="n">
        <f aca="false">+IF(E794=0,0,E794*0.03)</f>
        <v>0</v>
      </c>
    </row>
    <row r="795" customFormat="false" ht="15.75" hidden="false" customHeight="true" outlineLevel="0" collapsed="false">
      <c r="A795" s="30" t="n">
        <v>45323</v>
      </c>
      <c r="B795" s="31" t="s">
        <v>11</v>
      </c>
      <c r="C795" s="32"/>
      <c r="D795" s="32"/>
      <c r="E795" s="19" t="n">
        <f aca="false">+IF(C795="EQUIPO",F795,0)</f>
        <v>0</v>
      </c>
      <c r="F795" s="33" t="n">
        <v>0</v>
      </c>
      <c r="G795" s="62"/>
      <c r="H795" s="35" t="n">
        <v>0</v>
      </c>
      <c r="I795" s="34" t="n">
        <f aca="false">+IF(E795=0,0,E795*0.03)</f>
        <v>0</v>
      </c>
    </row>
    <row r="796" customFormat="false" ht="15.75" hidden="false" customHeight="true" outlineLevel="0" collapsed="false">
      <c r="A796" s="30" t="n">
        <v>45323</v>
      </c>
      <c r="B796" s="31" t="s">
        <v>11</v>
      </c>
      <c r="C796" s="32"/>
      <c r="D796" s="32"/>
      <c r="E796" s="19" t="n">
        <f aca="false">+IF(C796="EQUIPO",F796,0)</f>
        <v>0</v>
      </c>
      <c r="F796" s="33" t="n">
        <v>0</v>
      </c>
      <c r="G796" s="62"/>
      <c r="H796" s="35" t="n">
        <v>0</v>
      </c>
      <c r="I796" s="34" t="n">
        <f aca="false">+IF(E796=0,0,E796*0.03)</f>
        <v>0</v>
      </c>
    </row>
    <row r="797" customFormat="false" ht="15.75" hidden="false" customHeight="true" outlineLevel="0" collapsed="false">
      <c r="A797" s="30" t="n">
        <v>45323</v>
      </c>
      <c r="B797" s="31" t="s">
        <v>11</v>
      </c>
      <c r="C797" s="32"/>
      <c r="D797" s="32"/>
      <c r="E797" s="19" t="n">
        <f aca="false">+IF(C797="EQUIPO",F797,0)</f>
        <v>0</v>
      </c>
      <c r="F797" s="33" t="n">
        <v>0</v>
      </c>
      <c r="G797" s="62"/>
      <c r="H797" s="35" t="n">
        <v>0</v>
      </c>
      <c r="I797" s="34" t="n">
        <f aca="false">+IF(E797=0,0,E797*0.03)</f>
        <v>0</v>
      </c>
    </row>
    <row r="798" customFormat="false" ht="15.75" hidden="false" customHeight="true" outlineLevel="0" collapsed="false">
      <c r="A798" s="30" t="n">
        <v>45323</v>
      </c>
      <c r="B798" s="31" t="s">
        <v>11</v>
      </c>
      <c r="C798" s="32"/>
      <c r="D798" s="32"/>
      <c r="E798" s="19" t="n">
        <f aca="false">+IF(C798="EQUIPO",F798,0)</f>
        <v>0</v>
      </c>
      <c r="F798" s="33" t="n">
        <v>0</v>
      </c>
      <c r="G798" s="62"/>
      <c r="H798" s="35" t="n">
        <v>0</v>
      </c>
      <c r="I798" s="34" t="n">
        <f aca="false">+IF(E798=0,0,E798*0.03)</f>
        <v>0</v>
      </c>
    </row>
    <row r="799" customFormat="false" ht="15.75" hidden="false" customHeight="true" outlineLevel="0" collapsed="false">
      <c r="A799" s="30" t="n">
        <v>45323</v>
      </c>
      <c r="B799" s="31" t="s">
        <v>11</v>
      </c>
      <c r="C799" s="32"/>
      <c r="D799" s="32"/>
      <c r="E799" s="19" t="n">
        <f aca="false">+IF(C799="EQUIPO",F799,0)</f>
        <v>0</v>
      </c>
      <c r="F799" s="33" t="n">
        <v>0</v>
      </c>
      <c r="G799" s="62"/>
      <c r="H799" s="35" t="n">
        <v>0</v>
      </c>
      <c r="I799" s="34" t="n">
        <f aca="false">+IF(E799=0,0,E799*0.03)</f>
        <v>0</v>
      </c>
    </row>
    <row r="800" customFormat="false" ht="15.75" hidden="false" customHeight="true" outlineLevel="0" collapsed="false">
      <c r="A800" s="30" t="n">
        <v>45323</v>
      </c>
      <c r="B800" s="31" t="s">
        <v>11</v>
      </c>
      <c r="C800" s="32"/>
      <c r="D800" s="32"/>
      <c r="E800" s="19" t="n">
        <f aca="false">+IF(C800="EQUIPO",F800,0)</f>
        <v>0</v>
      </c>
      <c r="F800" s="33" t="n">
        <v>0</v>
      </c>
      <c r="G800" s="62"/>
      <c r="H800" s="35" t="n">
        <v>0</v>
      </c>
      <c r="I800" s="34" t="n">
        <f aca="false">+IF(E800=0,0,E800*0.03)</f>
        <v>0</v>
      </c>
    </row>
    <row r="801" customFormat="false" ht="15.75" hidden="false" customHeight="true" outlineLevel="0" collapsed="false">
      <c r="A801" s="30" t="n">
        <v>45323</v>
      </c>
      <c r="B801" s="31" t="s">
        <v>11</v>
      </c>
      <c r="C801" s="32"/>
      <c r="D801" s="32"/>
      <c r="E801" s="19" t="n">
        <f aca="false">+IF(C801="EQUIPO",F801,0)</f>
        <v>0</v>
      </c>
      <c r="F801" s="33" t="n">
        <v>0</v>
      </c>
      <c r="G801" s="62"/>
      <c r="H801" s="35" t="n">
        <v>0</v>
      </c>
      <c r="I801" s="34" t="n">
        <f aca="false">+IF(E801=0,0,E801*0.03)</f>
        <v>0</v>
      </c>
    </row>
    <row r="802" customFormat="false" ht="15.75" hidden="false" customHeight="true" outlineLevel="0" collapsed="false">
      <c r="A802" s="30" t="n">
        <v>45323</v>
      </c>
      <c r="B802" s="31" t="s">
        <v>11</v>
      </c>
      <c r="C802" s="32"/>
      <c r="D802" s="32"/>
      <c r="E802" s="19" t="n">
        <f aca="false">+IF(C802="EQUIPO",F802,0)</f>
        <v>0</v>
      </c>
      <c r="F802" s="33" t="n">
        <v>0</v>
      </c>
      <c r="G802" s="62"/>
      <c r="H802" s="35" t="n">
        <v>0</v>
      </c>
      <c r="I802" s="34" t="n">
        <f aca="false">+IF(E802=0,0,E802*0.03)</f>
        <v>0</v>
      </c>
    </row>
    <row r="803" customFormat="false" ht="15.75" hidden="false" customHeight="true" outlineLevel="0" collapsed="false">
      <c r="A803" s="30" t="n">
        <v>45323</v>
      </c>
      <c r="B803" s="31" t="s">
        <v>11</v>
      </c>
      <c r="C803" s="32"/>
      <c r="D803" s="32"/>
      <c r="E803" s="19" t="n">
        <f aca="false">+IF(C803="EQUIPO",F803,0)</f>
        <v>0</v>
      </c>
      <c r="F803" s="33" t="n">
        <v>0</v>
      </c>
      <c r="G803" s="62"/>
      <c r="H803" s="35" t="n">
        <v>0</v>
      </c>
      <c r="I803" s="34" t="n">
        <f aca="false">+IF(E803=0,0,E803*0.03)</f>
        <v>0</v>
      </c>
    </row>
    <row r="804" customFormat="false" ht="15.75" hidden="false" customHeight="true" outlineLevel="0" collapsed="false">
      <c r="A804" s="30" t="n">
        <v>45323</v>
      </c>
      <c r="B804" s="31" t="s">
        <v>11</v>
      </c>
      <c r="C804" s="32"/>
      <c r="D804" s="32"/>
      <c r="E804" s="19" t="n">
        <f aca="false">+IF(C804="EQUIPO",F804,0)</f>
        <v>0</v>
      </c>
      <c r="F804" s="33" t="n">
        <v>0</v>
      </c>
      <c r="G804" s="62"/>
      <c r="H804" s="35" t="n">
        <v>0</v>
      </c>
      <c r="I804" s="34" t="n">
        <f aca="false">+IF(E804=0,0,E804*0.03)</f>
        <v>0</v>
      </c>
    </row>
    <row r="805" customFormat="false" ht="15.75" hidden="false" customHeight="true" outlineLevel="0" collapsed="false">
      <c r="A805" s="30" t="n">
        <v>45323</v>
      </c>
      <c r="B805" s="31" t="s">
        <v>11</v>
      </c>
      <c r="C805" s="32"/>
      <c r="D805" s="32"/>
      <c r="E805" s="19" t="n">
        <f aca="false">+IF(C805="EQUIPO",F805,0)</f>
        <v>0</v>
      </c>
      <c r="F805" s="33" t="n">
        <v>0</v>
      </c>
      <c r="G805" s="62"/>
      <c r="H805" s="35" t="n">
        <v>0</v>
      </c>
      <c r="I805" s="34" t="n">
        <f aca="false">+IF(E805=0,0,E805*0.03)</f>
        <v>0</v>
      </c>
    </row>
    <row r="806" customFormat="false" ht="15.75" hidden="false" customHeight="true" outlineLevel="0" collapsed="false">
      <c r="A806" s="30" t="n">
        <v>45323</v>
      </c>
      <c r="B806" s="31" t="s">
        <v>11</v>
      </c>
      <c r="C806" s="32"/>
      <c r="D806" s="32"/>
      <c r="E806" s="19" t="n">
        <f aca="false">+IF(C806="EQUIPO",F806,0)</f>
        <v>0</v>
      </c>
      <c r="F806" s="33" t="n">
        <v>0</v>
      </c>
      <c r="G806" s="62"/>
      <c r="H806" s="35" t="n">
        <v>0</v>
      </c>
      <c r="I806" s="34" t="n">
        <f aca="false">+IF(E806=0,0,E806*0.03)</f>
        <v>0</v>
      </c>
    </row>
    <row r="807" customFormat="false" ht="15.75" hidden="false" customHeight="true" outlineLevel="0" collapsed="false">
      <c r="A807" s="30" t="n">
        <v>45323</v>
      </c>
      <c r="B807" s="31" t="s">
        <v>11</v>
      </c>
      <c r="C807" s="32"/>
      <c r="D807" s="32"/>
      <c r="E807" s="19" t="n">
        <f aca="false">+IF(C807="EQUIPO",F807,0)</f>
        <v>0</v>
      </c>
      <c r="F807" s="33" t="n">
        <v>0</v>
      </c>
      <c r="G807" s="62"/>
      <c r="H807" s="35" t="n">
        <v>0</v>
      </c>
      <c r="I807" s="34" t="n">
        <f aca="false">+IF(E807=0,0,E807*0.03)</f>
        <v>0</v>
      </c>
    </row>
    <row r="808" customFormat="false" ht="15.75" hidden="false" customHeight="true" outlineLevel="0" collapsed="false">
      <c r="A808" s="30" t="n">
        <v>45323</v>
      </c>
      <c r="B808" s="31" t="s">
        <v>11</v>
      </c>
      <c r="C808" s="32"/>
      <c r="D808" s="32"/>
      <c r="E808" s="19" t="n">
        <f aca="false">+IF(C808="EQUIPO",F808,0)</f>
        <v>0</v>
      </c>
      <c r="F808" s="33" t="n">
        <v>0</v>
      </c>
      <c r="G808" s="62"/>
      <c r="H808" s="35" t="n">
        <v>0</v>
      </c>
      <c r="I808" s="34" t="n">
        <f aca="false">+IF(E808=0,0,E808*0.03)</f>
        <v>0</v>
      </c>
    </row>
    <row r="809" customFormat="false" ht="15.75" hidden="false" customHeight="true" outlineLevel="0" collapsed="false">
      <c r="A809" s="30" t="n">
        <v>45323</v>
      </c>
      <c r="B809" s="31" t="s">
        <v>11</v>
      </c>
      <c r="C809" s="32"/>
      <c r="D809" s="32"/>
      <c r="E809" s="19" t="n">
        <f aca="false">+IF(C809="EQUIPO",F809,0)</f>
        <v>0</v>
      </c>
      <c r="F809" s="33" t="n">
        <v>0</v>
      </c>
      <c r="G809" s="62"/>
      <c r="H809" s="35" t="n">
        <v>0</v>
      </c>
      <c r="I809" s="34" t="n">
        <f aca="false">+IF(E809=0,0,E809*0.03)</f>
        <v>0</v>
      </c>
    </row>
    <row r="810" customFormat="false" ht="15.75" hidden="false" customHeight="true" outlineLevel="0" collapsed="false">
      <c r="A810" s="30" t="n">
        <v>45323</v>
      </c>
      <c r="B810" s="31" t="s">
        <v>11</v>
      </c>
      <c r="C810" s="32"/>
      <c r="D810" s="32"/>
      <c r="E810" s="19" t="n">
        <f aca="false">+IF(C810="EQUIPO",F810,0)</f>
        <v>0</v>
      </c>
      <c r="F810" s="33" t="n">
        <v>0</v>
      </c>
      <c r="G810" s="62"/>
      <c r="H810" s="35" t="n">
        <v>0</v>
      </c>
      <c r="I810" s="34" t="n">
        <f aca="false">+IF(E810=0,0,E810*0.03)</f>
        <v>0</v>
      </c>
    </row>
    <row r="811" customFormat="false" ht="15.75" hidden="false" customHeight="true" outlineLevel="0" collapsed="false">
      <c r="A811" s="30" t="n">
        <v>45323</v>
      </c>
      <c r="B811" s="31" t="s">
        <v>11</v>
      </c>
      <c r="C811" s="32"/>
      <c r="D811" s="32"/>
      <c r="E811" s="19" t="n">
        <f aca="false">+IF(C811="EQUIPO",F811,0)</f>
        <v>0</v>
      </c>
      <c r="F811" s="33" t="n">
        <v>0</v>
      </c>
      <c r="G811" s="62"/>
      <c r="H811" s="35" t="n">
        <v>0</v>
      </c>
      <c r="I811" s="34" t="n">
        <f aca="false">+IF(E811=0,0,E811*0.03)</f>
        <v>0</v>
      </c>
    </row>
    <row r="812" customFormat="false" ht="15.75" hidden="false" customHeight="true" outlineLevel="0" collapsed="false">
      <c r="A812" s="30" t="n">
        <v>45323</v>
      </c>
      <c r="B812" s="31" t="s">
        <v>11</v>
      </c>
      <c r="C812" s="32"/>
      <c r="D812" s="32"/>
      <c r="E812" s="19" t="n">
        <f aca="false">+IF(C812="EQUIPO",F812,0)</f>
        <v>0</v>
      </c>
      <c r="F812" s="33" t="n">
        <v>0</v>
      </c>
      <c r="G812" s="62"/>
      <c r="H812" s="35" t="n">
        <v>0</v>
      </c>
      <c r="I812" s="34" t="n">
        <f aca="false">+IF(E812=0,0,E812*0.03)</f>
        <v>0</v>
      </c>
    </row>
    <row r="813" customFormat="false" ht="15.75" hidden="false" customHeight="true" outlineLevel="0" collapsed="false">
      <c r="A813" s="30" t="n">
        <v>45323</v>
      </c>
      <c r="B813" s="31" t="s">
        <v>11</v>
      </c>
      <c r="C813" s="32"/>
      <c r="D813" s="32"/>
      <c r="E813" s="19" t="n">
        <f aca="false">+IF(C813="EQUIPO",F813,0)</f>
        <v>0</v>
      </c>
      <c r="F813" s="33" t="n">
        <v>0</v>
      </c>
      <c r="G813" s="62"/>
      <c r="H813" s="35" t="n">
        <v>0</v>
      </c>
      <c r="I813" s="34" t="n">
        <f aca="false">+IF(E813=0,0,E813*0.03)</f>
        <v>0</v>
      </c>
    </row>
    <row r="814" customFormat="false" ht="15.75" hidden="false" customHeight="true" outlineLevel="0" collapsed="false">
      <c r="A814" s="30" t="n">
        <v>45323</v>
      </c>
      <c r="B814" s="31" t="s">
        <v>11</v>
      </c>
      <c r="C814" s="32"/>
      <c r="D814" s="32"/>
      <c r="E814" s="19" t="n">
        <f aca="false">+IF(C814="EQUIPO",F814,0)</f>
        <v>0</v>
      </c>
      <c r="F814" s="33" t="n">
        <v>0</v>
      </c>
      <c r="G814" s="62"/>
      <c r="H814" s="35" t="n">
        <v>0</v>
      </c>
      <c r="I814" s="34" t="n">
        <f aca="false">+IF(E814=0,0,E814*0.03)</f>
        <v>0</v>
      </c>
    </row>
    <row r="815" customFormat="false" ht="15.75" hidden="false" customHeight="true" outlineLevel="0" collapsed="false">
      <c r="A815" s="30" t="n">
        <v>45323</v>
      </c>
      <c r="B815" s="31" t="s">
        <v>11</v>
      </c>
      <c r="C815" s="32"/>
      <c r="D815" s="32"/>
      <c r="E815" s="19" t="n">
        <f aca="false">+IF(C815="EQUIPO",F815,0)</f>
        <v>0</v>
      </c>
      <c r="F815" s="33" t="n">
        <v>0</v>
      </c>
      <c r="G815" s="62"/>
      <c r="H815" s="35" t="n">
        <v>0</v>
      </c>
      <c r="I815" s="34" t="n">
        <f aca="false">+IF(E815=0,0,E815*0.03)</f>
        <v>0</v>
      </c>
    </row>
    <row r="816" customFormat="false" ht="15.75" hidden="false" customHeight="true" outlineLevel="0" collapsed="false">
      <c r="A816" s="30" t="n">
        <v>45323</v>
      </c>
      <c r="B816" s="31" t="s">
        <v>11</v>
      </c>
      <c r="C816" s="32"/>
      <c r="D816" s="32"/>
      <c r="E816" s="19" t="n">
        <f aca="false">+IF(C816="EQUIPO",F816,0)</f>
        <v>0</v>
      </c>
      <c r="F816" s="33" t="n">
        <v>0</v>
      </c>
      <c r="G816" s="62"/>
      <c r="H816" s="35" t="n">
        <v>0</v>
      </c>
      <c r="I816" s="34" t="n">
        <f aca="false">+IF(E816=0,0,E816*0.03)</f>
        <v>0</v>
      </c>
    </row>
    <row r="817" customFormat="false" ht="15.75" hidden="false" customHeight="true" outlineLevel="0" collapsed="false">
      <c r="A817" s="30" t="n">
        <v>45323</v>
      </c>
      <c r="B817" s="31" t="s">
        <v>11</v>
      </c>
      <c r="C817" s="32"/>
      <c r="D817" s="32"/>
      <c r="E817" s="19" t="n">
        <f aca="false">+IF(C817="EQUIPO",F817,0)</f>
        <v>0</v>
      </c>
      <c r="F817" s="33" t="n">
        <v>0</v>
      </c>
      <c r="G817" s="62"/>
      <c r="H817" s="35" t="n">
        <v>0</v>
      </c>
      <c r="I817" s="34" t="n">
        <f aca="false">+IF(E817=0,0,E817*0.03)</f>
        <v>0</v>
      </c>
    </row>
    <row r="818" customFormat="false" ht="15.75" hidden="false" customHeight="true" outlineLevel="0" collapsed="false">
      <c r="A818" s="30" t="n">
        <v>45323</v>
      </c>
      <c r="B818" s="31" t="s">
        <v>11</v>
      </c>
      <c r="C818" s="32"/>
      <c r="D818" s="32"/>
      <c r="E818" s="19" t="n">
        <f aca="false">+IF(C818="EQUIPO",F818,0)</f>
        <v>0</v>
      </c>
      <c r="F818" s="33" t="n">
        <v>0</v>
      </c>
      <c r="G818" s="62"/>
      <c r="H818" s="35" t="n">
        <v>0</v>
      </c>
      <c r="I818" s="34" t="n">
        <f aca="false">+IF(E818=0,0,E818*0.03)</f>
        <v>0</v>
      </c>
    </row>
    <row r="819" customFormat="false" ht="15.75" hidden="false" customHeight="true" outlineLevel="0" collapsed="false">
      <c r="A819" s="30" t="n">
        <v>45323</v>
      </c>
      <c r="B819" s="31" t="s">
        <v>11</v>
      </c>
      <c r="C819" s="32"/>
      <c r="D819" s="32"/>
      <c r="E819" s="19" t="n">
        <f aca="false">+IF(C819="EQUIPO",F819,0)</f>
        <v>0</v>
      </c>
      <c r="F819" s="33" t="n">
        <v>0</v>
      </c>
      <c r="G819" s="62"/>
      <c r="H819" s="35" t="n">
        <v>0</v>
      </c>
      <c r="I819" s="34" t="n">
        <f aca="false">+IF(E819=0,0,E819*0.03)</f>
        <v>0</v>
      </c>
    </row>
    <row r="820" customFormat="false" ht="15.75" hidden="false" customHeight="true" outlineLevel="0" collapsed="false">
      <c r="A820" s="30" t="n">
        <v>45323</v>
      </c>
      <c r="B820" s="31" t="s">
        <v>11</v>
      </c>
      <c r="C820" s="32"/>
      <c r="D820" s="32"/>
      <c r="E820" s="19" t="n">
        <f aca="false">+IF(C820="EQUIPO",F820,0)</f>
        <v>0</v>
      </c>
      <c r="F820" s="33" t="n">
        <v>0</v>
      </c>
      <c r="G820" s="62"/>
      <c r="H820" s="35" t="n">
        <v>0</v>
      </c>
      <c r="I820" s="34" t="n">
        <f aca="false">+IF(E820=0,0,E820*0.03)</f>
        <v>0</v>
      </c>
    </row>
    <row r="821" customFormat="false" ht="15.75" hidden="false" customHeight="true" outlineLevel="0" collapsed="false">
      <c r="A821" s="30" t="n">
        <v>45323</v>
      </c>
      <c r="B821" s="31" t="s">
        <v>11</v>
      </c>
      <c r="C821" s="32"/>
      <c r="D821" s="32"/>
      <c r="E821" s="19" t="n">
        <f aca="false">+IF(C821="EQUIPO",F821,0)</f>
        <v>0</v>
      </c>
      <c r="F821" s="33" t="n">
        <v>0</v>
      </c>
      <c r="G821" s="62"/>
      <c r="H821" s="35" t="n">
        <v>0</v>
      </c>
      <c r="I821" s="34" t="n">
        <f aca="false">+IF(E821=0,0,E821*0.03)</f>
        <v>0</v>
      </c>
    </row>
    <row r="822" customFormat="false" ht="15.75" hidden="false" customHeight="true" outlineLevel="0" collapsed="false">
      <c r="A822" s="30" t="n">
        <v>45323</v>
      </c>
      <c r="B822" s="31" t="s">
        <v>11</v>
      </c>
      <c r="C822" s="32"/>
      <c r="D822" s="32"/>
      <c r="E822" s="19" t="n">
        <f aca="false">+IF(C822="EQUIPO",F822,0)</f>
        <v>0</v>
      </c>
      <c r="F822" s="33" t="n">
        <v>0</v>
      </c>
      <c r="G822" s="62"/>
      <c r="H822" s="35" t="n">
        <v>0</v>
      </c>
      <c r="I822" s="34" t="n">
        <f aca="false">+IF(E822=0,0,E822*0.03)</f>
        <v>0</v>
      </c>
    </row>
    <row r="823" customFormat="false" ht="15.75" hidden="false" customHeight="true" outlineLevel="0" collapsed="false">
      <c r="A823" s="30" t="n">
        <v>45323</v>
      </c>
      <c r="B823" s="31" t="s">
        <v>11</v>
      </c>
      <c r="C823" s="32"/>
      <c r="D823" s="32"/>
      <c r="E823" s="19" t="n">
        <f aca="false">+IF(C823="EQUIPO",F823,0)</f>
        <v>0</v>
      </c>
      <c r="F823" s="33" t="n">
        <v>0</v>
      </c>
      <c r="G823" s="62"/>
      <c r="H823" s="35" t="n">
        <v>0</v>
      </c>
      <c r="I823" s="34" t="n">
        <f aca="false">+IF(E823=0,0,E823*0.03)</f>
        <v>0</v>
      </c>
    </row>
    <row r="824" customFormat="false" ht="15.75" hidden="false" customHeight="true" outlineLevel="0" collapsed="false">
      <c r="A824" s="30" t="n">
        <v>45323</v>
      </c>
      <c r="B824" s="31" t="s">
        <v>11</v>
      </c>
      <c r="C824" s="32"/>
      <c r="D824" s="32"/>
      <c r="E824" s="19" t="n">
        <f aca="false">+IF(C824="EQUIPO",F824,0)</f>
        <v>0</v>
      </c>
      <c r="F824" s="33" t="n">
        <v>0</v>
      </c>
      <c r="G824" s="62"/>
      <c r="H824" s="35" t="n">
        <v>0</v>
      </c>
      <c r="I824" s="34" t="n">
        <f aca="false">+IF(E824=0,0,E824*0.03)</f>
        <v>0</v>
      </c>
    </row>
    <row r="825" customFormat="false" ht="15.75" hidden="false" customHeight="true" outlineLevel="0" collapsed="false">
      <c r="A825" s="30" t="n">
        <v>45323</v>
      </c>
      <c r="B825" s="31" t="s">
        <v>11</v>
      </c>
      <c r="C825" s="32"/>
      <c r="D825" s="32"/>
      <c r="E825" s="19" t="n">
        <f aca="false">+IF(C825="EQUIPO",F825,0)</f>
        <v>0</v>
      </c>
      <c r="F825" s="33" t="n">
        <v>0</v>
      </c>
      <c r="G825" s="62"/>
      <c r="H825" s="35" t="n">
        <v>0</v>
      </c>
      <c r="I825" s="34" t="n">
        <f aca="false">+IF(E825=0,0,E825*0.03)</f>
        <v>0</v>
      </c>
    </row>
    <row r="826" customFormat="false" ht="15.75" hidden="false" customHeight="true" outlineLevel="0" collapsed="false">
      <c r="A826" s="30" t="n">
        <v>45323</v>
      </c>
      <c r="B826" s="31" t="s">
        <v>11</v>
      </c>
      <c r="C826" s="32"/>
      <c r="D826" s="32"/>
      <c r="E826" s="19" t="n">
        <f aca="false">+IF(C826="EQUIPO",F826,0)</f>
        <v>0</v>
      </c>
      <c r="F826" s="33" t="n">
        <v>0</v>
      </c>
      <c r="G826" s="62"/>
      <c r="H826" s="35" t="n">
        <v>0</v>
      </c>
      <c r="I826" s="34" t="n">
        <f aca="false">+IF(E826=0,0,E826*0.03)</f>
        <v>0</v>
      </c>
    </row>
    <row r="827" customFormat="false" ht="15.75" hidden="false" customHeight="true" outlineLevel="0" collapsed="false">
      <c r="A827" s="30" t="n">
        <v>45323</v>
      </c>
      <c r="B827" s="31" t="s">
        <v>11</v>
      </c>
      <c r="C827" s="32"/>
      <c r="D827" s="32"/>
      <c r="E827" s="19" t="n">
        <f aca="false">+IF(C827="EQUIPO",F827,0)</f>
        <v>0</v>
      </c>
      <c r="F827" s="33" t="n">
        <v>0</v>
      </c>
      <c r="G827" s="62"/>
      <c r="H827" s="35" t="n">
        <v>0</v>
      </c>
      <c r="I827" s="34" t="n">
        <f aca="false">+IF(E827=0,0,E827*0.03)</f>
        <v>0</v>
      </c>
    </row>
    <row r="828" customFormat="false" ht="15.75" hidden="false" customHeight="true" outlineLevel="0" collapsed="false">
      <c r="A828" s="30" t="n">
        <v>45323</v>
      </c>
      <c r="B828" s="31" t="s">
        <v>11</v>
      </c>
      <c r="C828" s="32"/>
      <c r="D828" s="32"/>
      <c r="E828" s="19" t="n">
        <f aca="false">+IF(C828="EQUIPO",F828,0)</f>
        <v>0</v>
      </c>
      <c r="F828" s="33" t="n">
        <v>0</v>
      </c>
      <c r="G828" s="62"/>
      <c r="H828" s="35" t="n">
        <v>0</v>
      </c>
      <c r="I828" s="34" t="n">
        <f aca="false">+IF(E828=0,0,E828*0.03)</f>
        <v>0</v>
      </c>
    </row>
    <row r="829" customFormat="false" ht="15.75" hidden="false" customHeight="true" outlineLevel="0" collapsed="false">
      <c r="A829" s="30" t="n">
        <v>45323</v>
      </c>
      <c r="B829" s="31" t="s">
        <v>11</v>
      </c>
      <c r="C829" s="32"/>
      <c r="D829" s="32"/>
      <c r="E829" s="19" t="n">
        <f aca="false">+IF(C829="EQUIPO",F829,0)</f>
        <v>0</v>
      </c>
      <c r="F829" s="33" t="n">
        <v>0</v>
      </c>
      <c r="G829" s="62"/>
      <c r="H829" s="35" t="n">
        <v>0</v>
      </c>
      <c r="I829" s="34" t="n">
        <f aca="false">+IF(E829=0,0,E829*0.03)</f>
        <v>0</v>
      </c>
    </row>
    <row r="830" customFormat="false" ht="15.75" hidden="false" customHeight="true" outlineLevel="0" collapsed="false">
      <c r="A830" s="30" t="n">
        <v>45323</v>
      </c>
      <c r="B830" s="31" t="s">
        <v>11</v>
      </c>
      <c r="C830" s="32"/>
      <c r="D830" s="32"/>
      <c r="E830" s="19" t="n">
        <f aca="false">+IF(C830="EQUIPO",F830,0)</f>
        <v>0</v>
      </c>
      <c r="F830" s="33" t="n">
        <v>0</v>
      </c>
      <c r="G830" s="62"/>
      <c r="H830" s="35" t="n">
        <v>0</v>
      </c>
      <c r="I830" s="34" t="n">
        <f aca="false">+IF(E830=0,0,E830*0.03)</f>
        <v>0</v>
      </c>
    </row>
    <row r="831" customFormat="false" ht="15.75" hidden="false" customHeight="true" outlineLevel="0" collapsed="false">
      <c r="A831" s="30" t="n">
        <v>45323</v>
      </c>
      <c r="B831" s="31" t="s">
        <v>11</v>
      </c>
      <c r="C831" s="32"/>
      <c r="D831" s="32"/>
      <c r="E831" s="19" t="n">
        <f aca="false">+IF(C831="EQUIPO",F831,0)</f>
        <v>0</v>
      </c>
      <c r="F831" s="33" t="n">
        <v>0</v>
      </c>
      <c r="G831" s="62"/>
      <c r="H831" s="35" t="n">
        <v>0</v>
      </c>
      <c r="I831" s="34" t="n">
        <f aca="false">+IF(E831=0,0,E831*0.03)</f>
        <v>0</v>
      </c>
    </row>
    <row r="832" customFormat="false" ht="15.75" hidden="false" customHeight="true" outlineLevel="0" collapsed="false">
      <c r="A832" s="30" t="n">
        <v>45323</v>
      </c>
      <c r="B832" s="31" t="s">
        <v>11</v>
      </c>
      <c r="C832" s="32"/>
      <c r="D832" s="32"/>
      <c r="E832" s="19" t="n">
        <f aca="false">+IF(C832="EQUIPO",F832,0)</f>
        <v>0</v>
      </c>
      <c r="F832" s="33" t="n">
        <v>0</v>
      </c>
      <c r="G832" s="62"/>
      <c r="H832" s="35" t="n">
        <v>0</v>
      </c>
      <c r="I832" s="34" t="n">
        <f aca="false">+IF(E832=0,0,E832*0.03)</f>
        <v>0</v>
      </c>
    </row>
    <row r="833" customFormat="false" ht="15.75" hidden="false" customHeight="true" outlineLevel="0" collapsed="false">
      <c r="A833" s="30" t="n">
        <v>45323</v>
      </c>
      <c r="B833" s="31" t="s">
        <v>11</v>
      </c>
      <c r="C833" s="32"/>
      <c r="D833" s="32"/>
      <c r="E833" s="19" t="n">
        <f aca="false">+IF(C833="EQUIPO",F833,0)</f>
        <v>0</v>
      </c>
      <c r="F833" s="33" t="n">
        <v>0</v>
      </c>
      <c r="G833" s="62"/>
      <c r="H833" s="35" t="n">
        <v>0</v>
      </c>
      <c r="I833" s="34" t="n">
        <f aca="false">+IF(E833=0,0,E833*0.03)</f>
        <v>0</v>
      </c>
    </row>
    <row r="834" customFormat="false" ht="15.75" hidden="false" customHeight="true" outlineLevel="0" collapsed="false">
      <c r="A834" s="30" t="n">
        <v>45323</v>
      </c>
      <c r="B834" s="31" t="s">
        <v>11</v>
      </c>
      <c r="C834" s="32"/>
      <c r="D834" s="32"/>
      <c r="E834" s="19" t="n">
        <f aca="false">+IF(C834="EQUIPO",F834,0)</f>
        <v>0</v>
      </c>
      <c r="F834" s="33" t="n">
        <v>0</v>
      </c>
      <c r="G834" s="62"/>
      <c r="H834" s="35" t="n">
        <v>0</v>
      </c>
      <c r="I834" s="34" t="n">
        <f aca="false">+IF(E834=0,0,E834*0.03)</f>
        <v>0</v>
      </c>
    </row>
    <row r="835" customFormat="false" ht="15.75" hidden="false" customHeight="true" outlineLevel="0" collapsed="false">
      <c r="A835" s="30" t="n">
        <v>45323</v>
      </c>
      <c r="B835" s="31" t="s">
        <v>11</v>
      </c>
      <c r="C835" s="32"/>
      <c r="D835" s="32"/>
      <c r="E835" s="19" t="n">
        <f aca="false">+IF(C835="EQUIPO",F835,0)</f>
        <v>0</v>
      </c>
      <c r="F835" s="33" t="n">
        <v>0</v>
      </c>
      <c r="G835" s="62"/>
      <c r="H835" s="35" t="n">
        <v>0</v>
      </c>
      <c r="I835" s="34" t="n">
        <f aca="false">+IF(E835=0,0,E835*0.03)</f>
        <v>0</v>
      </c>
    </row>
    <row r="836" customFormat="false" ht="15.75" hidden="false" customHeight="true" outlineLevel="0" collapsed="false">
      <c r="A836" s="30" t="n">
        <v>45323</v>
      </c>
      <c r="B836" s="31" t="s">
        <v>11</v>
      </c>
      <c r="C836" s="32"/>
      <c r="D836" s="32"/>
      <c r="E836" s="19" t="n">
        <f aca="false">+IF(C836="EQUIPO",F836,0)</f>
        <v>0</v>
      </c>
      <c r="F836" s="33" t="n">
        <v>0</v>
      </c>
      <c r="G836" s="62"/>
      <c r="H836" s="35" t="n">
        <v>0</v>
      </c>
      <c r="I836" s="34" t="n">
        <f aca="false">+IF(E836=0,0,E836*0.03)</f>
        <v>0</v>
      </c>
    </row>
    <row r="837" customFormat="false" ht="15.75" hidden="false" customHeight="true" outlineLevel="0" collapsed="false">
      <c r="A837" s="30" t="n">
        <v>45323</v>
      </c>
      <c r="B837" s="31" t="s">
        <v>11</v>
      </c>
      <c r="C837" s="32"/>
      <c r="D837" s="32"/>
      <c r="E837" s="19" t="n">
        <f aca="false">+IF(C837="EQUIPO",F837,0)</f>
        <v>0</v>
      </c>
      <c r="F837" s="33" t="n">
        <v>0</v>
      </c>
      <c r="G837" s="62"/>
      <c r="H837" s="35" t="n">
        <v>0</v>
      </c>
      <c r="I837" s="34" t="n">
        <f aca="false">+IF(E837=0,0,E837*0.03)</f>
        <v>0</v>
      </c>
    </row>
    <row r="838" customFormat="false" ht="15.75" hidden="false" customHeight="true" outlineLevel="0" collapsed="false">
      <c r="A838" s="30" t="n">
        <v>45323</v>
      </c>
      <c r="B838" s="31" t="s">
        <v>11</v>
      </c>
      <c r="C838" s="32"/>
      <c r="D838" s="32"/>
      <c r="E838" s="19" t="n">
        <f aca="false">+IF(C838="EQUIPO",F838,0)</f>
        <v>0</v>
      </c>
      <c r="F838" s="33" t="n">
        <v>0</v>
      </c>
      <c r="G838" s="62"/>
      <c r="H838" s="35" t="n">
        <v>0</v>
      </c>
      <c r="I838" s="34" t="n">
        <f aca="false">+IF(E838=0,0,E838*0.03)</f>
        <v>0</v>
      </c>
    </row>
    <row r="839" customFormat="false" ht="15.75" hidden="false" customHeight="true" outlineLevel="0" collapsed="false">
      <c r="A839" s="30" t="n">
        <v>45323</v>
      </c>
      <c r="B839" s="31" t="s">
        <v>11</v>
      </c>
      <c r="C839" s="32"/>
      <c r="D839" s="32"/>
      <c r="E839" s="19" t="n">
        <f aca="false">+IF(C839="EQUIPO",F839,0)</f>
        <v>0</v>
      </c>
      <c r="F839" s="33" t="n">
        <v>0</v>
      </c>
      <c r="G839" s="62"/>
      <c r="H839" s="35" t="n">
        <v>0</v>
      </c>
      <c r="I839" s="34" t="n">
        <f aca="false">+IF(E839=0,0,E839*0.03)</f>
        <v>0</v>
      </c>
    </row>
    <row r="840" customFormat="false" ht="15.75" hidden="false" customHeight="true" outlineLevel="0" collapsed="false">
      <c r="A840" s="30" t="n">
        <v>45323</v>
      </c>
      <c r="B840" s="31" t="s">
        <v>11</v>
      </c>
      <c r="C840" s="32"/>
      <c r="D840" s="32"/>
      <c r="E840" s="19" t="n">
        <f aca="false">+IF(C840="EQUIPO",F840,0)</f>
        <v>0</v>
      </c>
      <c r="F840" s="33" t="n">
        <v>0</v>
      </c>
      <c r="G840" s="62"/>
      <c r="H840" s="35" t="n">
        <v>0</v>
      </c>
      <c r="I840" s="34" t="n">
        <f aca="false">+IF(E840=0,0,E840*0.03)</f>
        <v>0</v>
      </c>
    </row>
    <row r="841" customFormat="false" ht="15.75" hidden="false" customHeight="true" outlineLevel="0" collapsed="false">
      <c r="A841" s="30" t="n">
        <v>45323</v>
      </c>
      <c r="B841" s="31" t="s">
        <v>11</v>
      </c>
      <c r="C841" s="32"/>
      <c r="D841" s="32"/>
      <c r="E841" s="19" t="n">
        <f aca="false">+IF(C841="EQUIPO",F841,0)</f>
        <v>0</v>
      </c>
      <c r="F841" s="33" t="n">
        <v>0</v>
      </c>
      <c r="G841" s="62"/>
      <c r="H841" s="35" t="n">
        <v>0</v>
      </c>
      <c r="I841" s="34" t="n">
        <f aca="false">+IF(E841=0,0,E841*0.03)</f>
        <v>0</v>
      </c>
    </row>
    <row r="842" customFormat="false" ht="15.75" hidden="false" customHeight="true" outlineLevel="0" collapsed="false">
      <c r="A842" s="30" t="n">
        <v>45323</v>
      </c>
      <c r="B842" s="31" t="s">
        <v>11</v>
      </c>
      <c r="C842" s="32"/>
      <c r="D842" s="32"/>
      <c r="E842" s="19" t="n">
        <f aca="false">+IF(C842="EQUIPO",F842,0)</f>
        <v>0</v>
      </c>
      <c r="F842" s="33" t="n">
        <v>0</v>
      </c>
      <c r="G842" s="62"/>
      <c r="H842" s="35" t="n">
        <v>0</v>
      </c>
      <c r="I842" s="34" t="n">
        <f aca="false">+IF(E842=0,0,E842*0.03)</f>
        <v>0</v>
      </c>
    </row>
    <row r="843" customFormat="false" ht="15.75" hidden="false" customHeight="true" outlineLevel="0" collapsed="false">
      <c r="A843" s="30" t="n">
        <v>45323</v>
      </c>
      <c r="B843" s="31" t="s">
        <v>11</v>
      </c>
      <c r="C843" s="32"/>
      <c r="D843" s="32"/>
      <c r="E843" s="19" t="n">
        <f aca="false">+IF(C843="EQUIPO",F843,0)</f>
        <v>0</v>
      </c>
      <c r="F843" s="33" t="n">
        <v>0</v>
      </c>
      <c r="G843" s="62"/>
      <c r="H843" s="35" t="n">
        <v>0</v>
      </c>
      <c r="I843" s="34" t="n">
        <f aca="false">+IF(E843=0,0,E843*0.03)</f>
        <v>0</v>
      </c>
    </row>
    <row r="844" customFormat="false" ht="15.75" hidden="false" customHeight="true" outlineLevel="0" collapsed="false">
      <c r="A844" s="30" t="n">
        <v>45323</v>
      </c>
      <c r="B844" s="31" t="s">
        <v>11</v>
      </c>
      <c r="C844" s="32"/>
      <c r="D844" s="32"/>
      <c r="E844" s="19" t="n">
        <f aca="false">+IF(C844="EQUIPO",F844,0)</f>
        <v>0</v>
      </c>
      <c r="F844" s="33" t="n">
        <v>0</v>
      </c>
      <c r="G844" s="62"/>
      <c r="H844" s="35" t="n">
        <v>0</v>
      </c>
      <c r="I844" s="34" t="n">
        <f aca="false">+IF(E844=0,0,E844*0.03)</f>
        <v>0</v>
      </c>
    </row>
    <row r="845" customFormat="false" ht="15.75" hidden="false" customHeight="true" outlineLevel="0" collapsed="false">
      <c r="A845" s="30" t="n">
        <v>45323</v>
      </c>
      <c r="B845" s="31" t="s">
        <v>11</v>
      </c>
      <c r="C845" s="32"/>
      <c r="D845" s="32"/>
      <c r="E845" s="19" t="n">
        <f aca="false">+IF(C845="EQUIPO",F845,0)</f>
        <v>0</v>
      </c>
      <c r="F845" s="33" t="n">
        <v>0</v>
      </c>
      <c r="G845" s="62"/>
      <c r="H845" s="35" t="n">
        <v>0</v>
      </c>
      <c r="I845" s="34" t="n">
        <f aca="false">+IF(E845=0,0,E845*0.03)</f>
        <v>0</v>
      </c>
    </row>
    <row r="846" customFormat="false" ht="15.75" hidden="false" customHeight="true" outlineLevel="0" collapsed="false">
      <c r="A846" s="30" t="n">
        <v>45323</v>
      </c>
      <c r="B846" s="31" t="s">
        <v>11</v>
      </c>
      <c r="C846" s="32"/>
      <c r="D846" s="32"/>
      <c r="E846" s="19" t="n">
        <f aca="false">+IF(C846="EQUIPO",F846,0)</f>
        <v>0</v>
      </c>
      <c r="F846" s="33" t="n">
        <v>0</v>
      </c>
      <c r="G846" s="62"/>
      <c r="H846" s="35" t="n">
        <v>0</v>
      </c>
      <c r="I846" s="34" t="n">
        <f aca="false">+IF(E846=0,0,E846*0.03)</f>
        <v>0</v>
      </c>
    </row>
    <row r="847" customFormat="false" ht="15.75" hidden="false" customHeight="true" outlineLevel="0" collapsed="false">
      <c r="A847" s="30" t="n">
        <v>45323</v>
      </c>
      <c r="B847" s="31" t="s">
        <v>11</v>
      </c>
      <c r="C847" s="32"/>
      <c r="D847" s="32"/>
      <c r="E847" s="19" t="n">
        <f aca="false">+IF(C847="EQUIPO",F847,0)</f>
        <v>0</v>
      </c>
      <c r="F847" s="33" t="n">
        <v>0</v>
      </c>
      <c r="G847" s="62"/>
      <c r="H847" s="35" t="n">
        <v>0</v>
      </c>
      <c r="I847" s="34" t="n">
        <f aca="false">+IF(E847=0,0,E847*0.03)</f>
        <v>0</v>
      </c>
    </row>
    <row r="848" customFormat="false" ht="15.75" hidden="false" customHeight="true" outlineLevel="0" collapsed="false">
      <c r="A848" s="30" t="n">
        <v>45323</v>
      </c>
      <c r="B848" s="31" t="s">
        <v>11</v>
      </c>
      <c r="C848" s="32"/>
      <c r="D848" s="32"/>
      <c r="E848" s="19" t="n">
        <f aca="false">+IF(C848="EQUIPO",F848,0)</f>
        <v>0</v>
      </c>
      <c r="F848" s="33" t="n">
        <v>0</v>
      </c>
      <c r="G848" s="62"/>
      <c r="H848" s="35" t="n">
        <v>0</v>
      </c>
      <c r="I848" s="34" t="n">
        <f aca="false">+IF(E848=0,0,E848*0.03)</f>
        <v>0</v>
      </c>
    </row>
    <row r="849" customFormat="false" ht="15.75" hidden="false" customHeight="true" outlineLevel="0" collapsed="false">
      <c r="A849" s="30" t="n">
        <v>45323</v>
      </c>
      <c r="B849" s="31" t="s">
        <v>11</v>
      </c>
      <c r="C849" s="32"/>
      <c r="D849" s="32"/>
      <c r="E849" s="19" t="n">
        <f aca="false">+IF(C849="EQUIPO",F849,0)</f>
        <v>0</v>
      </c>
      <c r="F849" s="33" t="n">
        <v>0</v>
      </c>
      <c r="G849" s="62"/>
      <c r="H849" s="35" t="n">
        <v>0</v>
      </c>
      <c r="I849" s="34" t="n">
        <f aca="false">+IF(E849=0,0,E849*0.03)</f>
        <v>0</v>
      </c>
    </row>
    <row r="850" customFormat="false" ht="15.75" hidden="false" customHeight="true" outlineLevel="0" collapsed="false">
      <c r="A850" s="30" t="n">
        <v>45323</v>
      </c>
      <c r="B850" s="31" t="s">
        <v>11</v>
      </c>
      <c r="C850" s="32"/>
      <c r="D850" s="32"/>
      <c r="E850" s="19" t="n">
        <f aca="false">+IF(C850="EQUIPO",F850,0)</f>
        <v>0</v>
      </c>
      <c r="F850" s="33" t="n">
        <v>0</v>
      </c>
      <c r="G850" s="62"/>
      <c r="H850" s="35" t="n">
        <v>0</v>
      </c>
      <c r="I850" s="34" t="n">
        <f aca="false">+IF(E850=0,0,E850*0.03)</f>
        <v>0</v>
      </c>
    </row>
    <row r="851" customFormat="false" ht="15.75" hidden="false" customHeight="true" outlineLevel="0" collapsed="false">
      <c r="A851" s="30" t="n">
        <v>45323</v>
      </c>
      <c r="B851" s="31" t="s">
        <v>11</v>
      </c>
      <c r="C851" s="32"/>
      <c r="D851" s="32"/>
      <c r="E851" s="19" t="n">
        <f aca="false">+IF(C851="EQUIPO",F851,0)</f>
        <v>0</v>
      </c>
      <c r="F851" s="33" t="n">
        <v>0</v>
      </c>
      <c r="G851" s="62"/>
      <c r="H851" s="35" t="n">
        <v>0</v>
      </c>
      <c r="I851" s="34" t="n">
        <f aca="false">+IF(E851=0,0,E851*0.03)</f>
        <v>0</v>
      </c>
    </row>
    <row r="852" customFormat="false" ht="15.75" hidden="false" customHeight="true" outlineLevel="0" collapsed="false">
      <c r="A852" s="30" t="n">
        <v>45323</v>
      </c>
      <c r="B852" s="31" t="s">
        <v>11</v>
      </c>
      <c r="C852" s="32"/>
      <c r="D852" s="32"/>
      <c r="E852" s="19" t="n">
        <f aca="false">+IF(C852="EQUIPO",F852,0)</f>
        <v>0</v>
      </c>
      <c r="F852" s="33" t="n">
        <v>0</v>
      </c>
      <c r="G852" s="62"/>
      <c r="H852" s="35" t="n">
        <v>0</v>
      </c>
      <c r="I852" s="34" t="n">
        <f aca="false">+IF(E852=0,0,E852*0.03)</f>
        <v>0</v>
      </c>
    </row>
    <row r="853" customFormat="false" ht="15.75" hidden="false" customHeight="true" outlineLevel="0" collapsed="false">
      <c r="A853" s="30" t="n">
        <v>45323</v>
      </c>
      <c r="B853" s="31" t="s">
        <v>11</v>
      </c>
      <c r="C853" s="32"/>
      <c r="D853" s="32"/>
      <c r="E853" s="19" t="n">
        <f aca="false">+IF(C853="EQUIPO",F853,0)</f>
        <v>0</v>
      </c>
      <c r="F853" s="33" t="n">
        <v>0</v>
      </c>
      <c r="G853" s="62"/>
      <c r="H853" s="35" t="n">
        <v>0</v>
      </c>
      <c r="I853" s="34" t="n">
        <f aca="false">+IF(E853=0,0,E853*0.03)</f>
        <v>0</v>
      </c>
    </row>
    <row r="854" customFormat="false" ht="15.75" hidden="false" customHeight="true" outlineLevel="0" collapsed="false">
      <c r="A854" s="30" t="n">
        <v>45323</v>
      </c>
      <c r="B854" s="31" t="s">
        <v>11</v>
      </c>
      <c r="C854" s="32"/>
      <c r="D854" s="32"/>
      <c r="E854" s="19" t="n">
        <f aca="false">+IF(C854="EQUIPO",F854,0)</f>
        <v>0</v>
      </c>
      <c r="F854" s="33" t="n">
        <v>0</v>
      </c>
      <c r="G854" s="62"/>
      <c r="H854" s="35" t="n">
        <v>0</v>
      </c>
      <c r="I854" s="34" t="n">
        <f aca="false">+IF(E854=0,0,E854*0.03)</f>
        <v>0</v>
      </c>
    </row>
    <row r="855" customFormat="false" ht="15.75" hidden="false" customHeight="true" outlineLevel="0" collapsed="false">
      <c r="A855" s="30" t="n">
        <v>45323</v>
      </c>
      <c r="B855" s="31" t="s">
        <v>11</v>
      </c>
      <c r="C855" s="32"/>
      <c r="D855" s="32"/>
      <c r="E855" s="19" t="n">
        <f aca="false">+IF(C855="EQUIPO",F855,0)</f>
        <v>0</v>
      </c>
      <c r="F855" s="33" t="n">
        <v>0</v>
      </c>
      <c r="G855" s="62"/>
      <c r="H855" s="35" t="n">
        <v>0</v>
      </c>
      <c r="I855" s="34" t="n">
        <f aca="false">+IF(E855=0,0,E855*0.03)</f>
        <v>0</v>
      </c>
    </row>
    <row r="856" customFormat="false" ht="15.75" hidden="false" customHeight="true" outlineLevel="0" collapsed="false">
      <c r="A856" s="30" t="n">
        <v>45323</v>
      </c>
      <c r="B856" s="31" t="s">
        <v>11</v>
      </c>
      <c r="C856" s="32"/>
      <c r="D856" s="32"/>
      <c r="E856" s="19" t="n">
        <f aca="false">+IF(C856="EQUIPO",F856,0)</f>
        <v>0</v>
      </c>
      <c r="F856" s="33" t="n">
        <v>0</v>
      </c>
      <c r="G856" s="62"/>
      <c r="H856" s="35" t="n">
        <v>0</v>
      </c>
      <c r="I856" s="34" t="n">
        <f aca="false">+IF(E856=0,0,E856*0.03)</f>
        <v>0</v>
      </c>
    </row>
    <row r="857" customFormat="false" ht="15.75" hidden="false" customHeight="true" outlineLevel="0" collapsed="false">
      <c r="A857" s="30" t="n">
        <v>45323</v>
      </c>
      <c r="B857" s="31" t="s">
        <v>11</v>
      </c>
      <c r="C857" s="32"/>
      <c r="D857" s="32"/>
      <c r="E857" s="19" t="n">
        <f aca="false">+IF(C857="EQUIPO",F857,0)</f>
        <v>0</v>
      </c>
      <c r="F857" s="33" t="n">
        <v>0</v>
      </c>
      <c r="G857" s="62"/>
      <c r="H857" s="35" t="n">
        <v>0</v>
      </c>
      <c r="I857" s="34" t="n">
        <f aca="false">+IF(E857=0,0,E857*0.03)</f>
        <v>0</v>
      </c>
    </row>
    <row r="858" customFormat="false" ht="15.75" hidden="false" customHeight="true" outlineLevel="0" collapsed="false">
      <c r="A858" s="30" t="n">
        <v>45323</v>
      </c>
      <c r="B858" s="31" t="s">
        <v>11</v>
      </c>
      <c r="C858" s="32"/>
      <c r="D858" s="32"/>
      <c r="E858" s="19" t="n">
        <f aca="false">+IF(C858="EQUIPO",F858,0)</f>
        <v>0</v>
      </c>
      <c r="F858" s="33" t="n">
        <v>0</v>
      </c>
      <c r="G858" s="62"/>
      <c r="H858" s="35" t="n">
        <v>0</v>
      </c>
      <c r="I858" s="34" t="n">
        <f aca="false">+IF(E858=0,0,E858*0.03)</f>
        <v>0</v>
      </c>
    </row>
    <row r="859" customFormat="false" ht="15.75" hidden="false" customHeight="true" outlineLevel="0" collapsed="false">
      <c r="A859" s="30" t="n">
        <v>45323</v>
      </c>
      <c r="B859" s="31" t="s">
        <v>11</v>
      </c>
      <c r="C859" s="32"/>
      <c r="D859" s="32"/>
      <c r="E859" s="19" t="n">
        <f aca="false">+IF(C859="EQUIPO",F859,0)</f>
        <v>0</v>
      </c>
      <c r="F859" s="33" t="n">
        <v>0</v>
      </c>
      <c r="G859" s="62"/>
      <c r="H859" s="35" t="n">
        <v>0</v>
      </c>
      <c r="I859" s="34" t="n">
        <f aca="false">+IF(E859=0,0,E859*0.03)</f>
        <v>0</v>
      </c>
    </row>
    <row r="860" customFormat="false" ht="15.75" hidden="false" customHeight="true" outlineLevel="0" collapsed="false">
      <c r="A860" s="30" t="n">
        <v>45323</v>
      </c>
      <c r="B860" s="31" t="s">
        <v>11</v>
      </c>
      <c r="C860" s="32"/>
      <c r="D860" s="32"/>
      <c r="E860" s="19" t="n">
        <f aca="false">+IF(C860="EQUIPO",F860,0)</f>
        <v>0</v>
      </c>
      <c r="F860" s="33" t="n">
        <v>0</v>
      </c>
      <c r="G860" s="62"/>
      <c r="H860" s="35" t="n">
        <v>0</v>
      </c>
      <c r="I860" s="34" t="n">
        <f aca="false">+IF(E860=0,0,E860*0.03)</f>
        <v>0</v>
      </c>
    </row>
    <row r="861" customFormat="false" ht="15.75" hidden="false" customHeight="true" outlineLevel="0" collapsed="false">
      <c r="A861" s="30" t="n">
        <v>45323</v>
      </c>
      <c r="B861" s="31" t="s">
        <v>11</v>
      </c>
      <c r="C861" s="32"/>
      <c r="D861" s="32"/>
      <c r="E861" s="19" t="n">
        <f aca="false">+IF(C861="EQUIPO",F861,0)</f>
        <v>0</v>
      </c>
      <c r="F861" s="33" t="n">
        <v>0</v>
      </c>
      <c r="G861" s="62"/>
      <c r="H861" s="35" t="n">
        <v>0</v>
      </c>
      <c r="I861" s="34" t="n">
        <f aca="false">+IF(E861=0,0,E861*0.03)</f>
        <v>0</v>
      </c>
    </row>
    <row r="862" customFormat="false" ht="15.75" hidden="false" customHeight="true" outlineLevel="0" collapsed="false">
      <c r="A862" s="30" t="n">
        <v>45323</v>
      </c>
      <c r="B862" s="31" t="s">
        <v>11</v>
      </c>
      <c r="C862" s="32"/>
      <c r="D862" s="32"/>
      <c r="E862" s="19" t="n">
        <f aca="false">+IF(C862="EQUIPO",F862,0)</f>
        <v>0</v>
      </c>
      <c r="F862" s="33" t="n">
        <v>0</v>
      </c>
      <c r="G862" s="62"/>
      <c r="H862" s="35" t="n">
        <v>0</v>
      </c>
      <c r="I862" s="34" t="n">
        <f aca="false">+IF(E862=0,0,E862*0.03)</f>
        <v>0</v>
      </c>
    </row>
    <row r="863" customFormat="false" ht="15.75" hidden="false" customHeight="true" outlineLevel="0" collapsed="false">
      <c r="A863" s="30" t="n">
        <v>45323</v>
      </c>
      <c r="B863" s="31" t="s">
        <v>11</v>
      </c>
      <c r="C863" s="32"/>
      <c r="D863" s="32"/>
      <c r="E863" s="19" t="n">
        <f aca="false">+IF(C863="EQUIPO",F863,0)</f>
        <v>0</v>
      </c>
      <c r="F863" s="33" t="n">
        <v>0</v>
      </c>
      <c r="G863" s="62"/>
      <c r="H863" s="35" t="n">
        <v>0</v>
      </c>
      <c r="I863" s="34" t="n">
        <f aca="false">+IF(E863=0,0,E863*0.03)</f>
        <v>0</v>
      </c>
    </row>
    <row r="864" customFormat="false" ht="15.75" hidden="false" customHeight="true" outlineLevel="0" collapsed="false">
      <c r="A864" s="30" t="n">
        <v>45323</v>
      </c>
      <c r="B864" s="31" t="s">
        <v>11</v>
      </c>
      <c r="C864" s="32"/>
      <c r="D864" s="32"/>
      <c r="E864" s="19" t="n">
        <f aca="false">+IF(C864="EQUIPO",F864,0)</f>
        <v>0</v>
      </c>
      <c r="F864" s="33" t="n">
        <v>0</v>
      </c>
      <c r="G864" s="62"/>
      <c r="H864" s="35" t="n">
        <v>0</v>
      </c>
      <c r="I864" s="34" t="n">
        <f aca="false">+IF(E864=0,0,E864*0.03)</f>
        <v>0</v>
      </c>
    </row>
    <row r="865" customFormat="false" ht="15.75" hidden="false" customHeight="true" outlineLevel="0" collapsed="false">
      <c r="A865" s="30" t="n">
        <v>45323</v>
      </c>
      <c r="B865" s="31" t="s">
        <v>11</v>
      </c>
      <c r="C865" s="32"/>
      <c r="D865" s="32"/>
      <c r="E865" s="19" t="n">
        <f aca="false">+IF(C865="EQUIPO",F865,0)</f>
        <v>0</v>
      </c>
      <c r="F865" s="33" t="n">
        <v>0</v>
      </c>
      <c r="G865" s="62"/>
      <c r="H865" s="35" t="n">
        <v>0</v>
      </c>
      <c r="I865" s="34" t="n">
        <f aca="false">+IF(E865=0,0,E865*0.03)</f>
        <v>0</v>
      </c>
    </row>
    <row r="866" customFormat="false" ht="15.75" hidden="false" customHeight="true" outlineLevel="0" collapsed="false">
      <c r="A866" s="30" t="n">
        <v>45323</v>
      </c>
      <c r="B866" s="31" t="s">
        <v>11</v>
      </c>
      <c r="C866" s="32"/>
      <c r="D866" s="32"/>
      <c r="E866" s="19" t="n">
        <f aca="false">+IF(C866="EQUIPO",F866,0)</f>
        <v>0</v>
      </c>
      <c r="F866" s="33" t="n">
        <v>0</v>
      </c>
      <c r="G866" s="62"/>
      <c r="H866" s="35" t="n">
        <v>0</v>
      </c>
      <c r="I866" s="34" t="n">
        <f aca="false">+IF(E866=0,0,E866*0.03)</f>
        <v>0</v>
      </c>
    </row>
    <row r="867" customFormat="false" ht="15.75" hidden="false" customHeight="true" outlineLevel="0" collapsed="false">
      <c r="A867" s="30" t="n">
        <v>45323</v>
      </c>
      <c r="B867" s="31" t="s">
        <v>11</v>
      </c>
      <c r="C867" s="32"/>
      <c r="D867" s="32"/>
      <c r="E867" s="19" t="n">
        <f aca="false">+IF(C867="EQUIPO",F867,0)</f>
        <v>0</v>
      </c>
      <c r="F867" s="33" t="n">
        <v>0</v>
      </c>
      <c r="G867" s="62"/>
      <c r="H867" s="35" t="n">
        <v>0</v>
      </c>
      <c r="I867" s="34" t="n">
        <f aca="false">+IF(E867=0,0,E867*0.03)</f>
        <v>0</v>
      </c>
    </row>
    <row r="868" customFormat="false" ht="15.75" hidden="false" customHeight="true" outlineLevel="0" collapsed="false">
      <c r="A868" s="30" t="n">
        <v>45323</v>
      </c>
      <c r="B868" s="31" t="s">
        <v>11</v>
      </c>
      <c r="C868" s="32"/>
      <c r="D868" s="32"/>
      <c r="E868" s="19" t="n">
        <f aca="false">+IF(C868="EQUIPO",F868,0)</f>
        <v>0</v>
      </c>
      <c r="F868" s="33" t="n">
        <v>0</v>
      </c>
      <c r="G868" s="62"/>
      <c r="H868" s="35" t="n">
        <v>0</v>
      </c>
      <c r="I868" s="34" t="n">
        <f aca="false">+IF(E868=0,0,E868*0.03)</f>
        <v>0</v>
      </c>
    </row>
    <row r="869" customFormat="false" ht="15.75" hidden="false" customHeight="true" outlineLevel="0" collapsed="false">
      <c r="A869" s="30" t="n">
        <v>45323</v>
      </c>
      <c r="B869" s="31" t="s">
        <v>11</v>
      </c>
      <c r="C869" s="32"/>
      <c r="D869" s="32"/>
      <c r="E869" s="19" t="n">
        <f aca="false">+IF(C869="EQUIPO",F869,0)</f>
        <v>0</v>
      </c>
      <c r="F869" s="33" t="n">
        <v>0</v>
      </c>
      <c r="G869" s="62"/>
      <c r="H869" s="35" t="n">
        <v>0</v>
      </c>
      <c r="I869" s="34" t="n">
        <f aca="false">+IF(E869=0,0,E869*0.03)</f>
        <v>0</v>
      </c>
    </row>
    <row r="870" customFormat="false" ht="15.75" hidden="false" customHeight="true" outlineLevel="0" collapsed="false">
      <c r="A870" s="30" t="n">
        <v>45323</v>
      </c>
      <c r="B870" s="31" t="s">
        <v>11</v>
      </c>
      <c r="C870" s="32"/>
      <c r="D870" s="32"/>
      <c r="E870" s="19" t="n">
        <f aca="false">+IF(C870="EQUIPO",F870,0)</f>
        <v>0</v>
      </c>
      <c r="F870" s="33" t="n">
        <v>0</v>
      </c>
      <c r="G870" s="62"/>
      <c r="H870" s="35" t="n">
        <v>0</v>
      </c>
      <c r="I870" s="34" t="n">
        <f aca="false">+IF(E870=0,0,E870*0.03)</f>
        <v>0</v>
      </c>
    </row>
    <row r="871" customFormat="false" ht="15.75" hidden="false" customHeight="true" outlineLevel="0" collapsed="false">
      <c r="A871" s="30" t="n">
        <v>45323</v>
      </c>
      <c r="B871" s="31" t="s">
        <v>11</v>
      </c>
      <c r="C871" s="32"/>
      <c r="D871" s="32"/>
      <c r="E871" s="19" t="n">
        <f aca="false">+IF(C871="EQUIPO",F871,0)</f>
        <v>0</v>
      </c>
      <c r="F871" s="33" t="n">
        <v>0</v>
      </c>
      <c r="G871" s="62"/>
      <c r="H871" s="35" t="n">
        <v>0</v>
      </c>
      <c r="I871" s="34" t="n">
        <f aca="false">+IF(E871=0,0,E871*0.03)</f>
        <v>0</v>
      </c>
    </row>
    <row r="872" customFormat="false" ht="15.75" hidden="false" customHeight="true" outlineLevel="0" collapsed="false">
      <c r="A872" s="30" t="n">
        <v>45323</v>
      </c>
      <c r="B872" s="31" t="s">
        <v>11</v>
      </c>
      <c r="C872" s="32"/>
      <c r="D872" s="32"/>
      <c r="E872" s="19" t="n">
        <f aca="false">+IF(C872="EQUIPO",F872,0)</f>
        <v>0</v>
      </c>
      <c r="F872" s="33" t="n">
        <v>0</v>
      </c>
      <c r="G872" s="62"/>
      <c r="H872" s="35" t="n">
        <v>0</v>
      </c>
      <c r="I872" s="34" t="n">
        <f aca="false">+IF(E872=0,0,E872*0.03)</f>
        <v>0</v>
      </c>
    </row>
    <row r="873" customFormat="false" ht="15.75" hidden="false" customHeight="true" outlineLevel="0" collapsed="false">
      <c r="A873" s="30" t="n">
        <v>45323</v>
      </c>
      <c r="B873" s="31" t="s">
        <v>11</v>
      </c>
      <c r="C873" s="32"/>
      <c r="D873" s="32"/>
      <c r="E873" s="19" t="n">
        <f aca="false">+IF(C873="EQUIPO",F873,0)</f>
        <v>0</v>
      </c>
      <c r="F873" s="33" t="n">
        <v>0</v>
      </c>
      <c r="G873" s="62"/>
      <c r="H873" s="35" t="n">
        <v>0</v>
      </c>
      <c r="I873" s="34" t="n">
        <f aca="false">+IF(E873=0,0,E873*0.03)</f>
        <v>0</v>
      </c>
    </row>
    <row r="874" customFormat="false" ht="15.75" hidden="false" customHeight="true" outlineLevel="0" collapsed="false">
      <c r="A874" s="30" t="n">
        <v>45323</v>
      </c>
      <c r="B874" s="31" t="s">
        <v>11</v>
      </c>
      <c r="C874" s="32"/>
      <c r="D874" s="32"/>
      <c r="E874" s="19" t="n">
        <f aca="false">+IF(C874="EQUIPO",F874,0)</f>
        <v>0</v>
      </c>
      <c r="F874" s="33" t="n">
        <v>0</v>
      </c>
      <c r="G874" s="62"/>
      <c r="H874" s="35" t="n">
        <v>0</v>
      </c>
      <c r="I874" s="34" t="n">
        <f aca="false">+IF(E874=0,0,E874*0.03)</f>
        <v>0</v>
      </c>
    </row>
    <row r="875" customFormat="false" ht="15.75" hidden="false" customHeight="true" outlineLevel="0" collapsed="false">
      <c r="A875" s="30" t="n">
        <v>45323</v>
      </c>
      <c r="B875" s="31" t="s">
        <v>11</v>
      </c>
      <c r="C875" s="32"/>
      <c r="D875" s="32"/>
      <c r="E875" s="19" t="n">
        <f aca="false">+IF(C875="EQUIPO",F875,0)</f>
        <v>0</v>
      </c>
      <c r="F875" s="33" t="n">
        <v>0</v>
      </c>
      <c r="G875" s="62"/>
      <c r="H875" s="35" t="n">
        <v>0</v>
      </c>
      <c r="I875" s="34" t="n">
        <f aca="false">+IF(E875=0,0,E875*0.03)</f>
        <v>0</v>
      </c>
    </row>
    <row r="876" customFormat="false" ht="15.75" hidden="false" customHeight="true" outlineLevel="0" collapsed="false">
      <c r="A876" s="30" t="n">
        <v>45323</v>
      </c>
      <c r="B876" s="31" t="s">
        <v>11</v>
      </c>
      <c r="C876" s="32"/>
      <c r="D876" s="32"/>
      <c r="E876" s="19" t="n">
        <f aca="false">+IF(C876="EQUIPO",F876,0)</f>
        <v>0</v>
      </c>
      <c r="F876" s="33" t="n">
        <v>0</v>
      </c>
      <c r="G876" s="62"/>
      <c r="H876" s="35" t="n">
        <v>0</v>
      </c>
      <c r="I876" s="34" t="n">
        <f aca="false">+IF(E876=0,0,E876*0.03)</f>
        <v>0</v>
      </c>
    </row>
    <row r="877" customFormat="false" ht="15.75" hidden="false" customHeight="true" outlineLevel="0" collapsed="false">
      <c r="A877" s="30" t="n">
        <v>45323</v>
      </c>
      <c r="B877" s="31" t="s">
        <v>11</v>
      </c>
      <c r="C877" s="32"/>
      <c r="D877" s="32"/>
      <c r="E877" s="19" t="n">
        <f aca="false">+IF(C877="EQUIPO",F877,0)</f>
        <v>0</v>
      </c>
      <c r="F877" s="33" t="n">
        <v>0</v>
      </c>
      <c r="G877" s="62"/>
      <c r="H877" s="35" t="n">
        <v>0</v>
      </c>
      <c r="I877" s="34" t="n">
        <f aca="false">+IF(E877=0,0,E877*0.03)</f>
        <v>0</v>
      </c>
    </row>
    <row r="878" customFormat="false" ht="15.75" hidden="false" customHeight="true" outlineLevel="0" collapsed="false">
      <c r="A878" s="30" t="n">
        <v>45323</v>
      </c>
      <c r="B878" s="31" t="s">
        <v>11</v>
      </c>
      <c r="C878" s="32"/>
      <c r="D878" s="32"/>
      <c r="E878" s="19" t="n">
        <f aca="false">+IF(C878="EQUIPO",F878,0)</f>
        <v>0</v>
      </c>
      <c r="F878" s="33" t="n">
        <v>0</v>
      </c>
      <c r="G878" s="62"/>
      <c r="H878" s="35" t="n">
        <v>0</v>
      </c>
      <c r="I878" s="34" t="n">
        <f aca="false">+IF(E878=0,0,E878*0.03)</f>
        <v>0</v>
      </c>
    </row>
    <row r="879" customFormat="false" ht="15.75" hidden="false" customHeight="true" outlineLevel="0" collapsed="false">
      <c r="A879" s="30" t="n">
        <v>45323</v>
      </c>
      <c r="B879" s="31" t="s">
        <v>11</v>
      </c>
      <c r="C879" s="32"/>
      <c r="D879" s="32"/>
      <c r="E879" s="19" t="n">
        <f aca="false">+IF(C879="EQUIPO",F879,0)</f>
        <v>0</v>
      </c>
      <c r="F879" s="33" t="n">
        <v>0</v>
      </c>
      <c r="G879" s="62"/>
      <c r="H879" s="35" t="n">
        <v>0</v>
      </c>
      <c r="I879" s="34" t="n">
        <f aca="false">+IF(E879=0,0,E879*0.03)</f>
        <v>0</v>
      </c>
    </row>
    <row r="880" customFormat="false" ht="15.75" hidden="false" customHeight="true" outlineLevel="0" collapsed="false">
      <c r="A880" s="30" t="n">
        <v>45323</v>
      </c>
      <c r="B880" s="31" t="s">
        <v>11</v>
      </c>
      <c r="C880" s="32"/>
      <c r="D880" s="32"/>
      <c r="E880" s="19" t="n">
        <f aca="false">+IF(C880="EQUIPO",F880,0)</f>
        <v>0</v>
      </c>
      <c r="F880" s="33" t="n">
        <v>0</v>
      </c>
      <c r="G880" s="62"/>
      <c r="H880" s="35" t="n">
        <v>0</v>
      </c>
      <c r="I880" s="34" t="n">
        <f aca="false">+IF(E880=0,0,E880*0.03)</f>
        <v>0</v>
      </c>
    </row>
    <row r="881" customFormat="false" ht="15.75" hidden="false" customHeight="true" outlineLevel="0" collapsed="false">
      <c r="A881" s="30" t="n">
        <v>45323</v>
      </c>
      <c r="B881" s="31" t="s">
        <v>11</v>
      </c>
      <c r="C881" s="32"/>
      <c r="D881" s="32"/>
      <c r="E881" s="19" t="n">
        <f aca="false">+IF(C881="EQUIPO",F881,0)</f>
        <v>0</v>
      </c>
      <c r="F881" s="33" t="n">
        <v>0</v>
      </c>
      <c r="G881" s="62"/>
      <c r="H881" s="35" t="n">
        <v>0</v>
      </c>
      <c r="I881" s="34" t="n">
        <f aca="false">+IF(E881=0,0,E881*0.03)</f>
        <v>0</v>
      </c>
    </row>
    <row r="882" customFormat="false" ht="15.75" hidden="false" customHeight="true" outlineLevel="0" collapsed="false">
      <c r="A882" s="30" t="n">
        <v>45323</v>
      </c>
      <c r="B882" s="31" t="s">
        <v>11</v>
      </c>
      <c r="C882" s="32"/>
      <c r="D882" s="32"/>
      <c r="E882" s="19" t="n">
        <f aca="false">+IF(C882="EQUIPO",F882,0)</f>
        <v>0</v>
      </c>
      <c r="F882" s="33" t="n">
        <v>0</v>
      </c>
      <c r="G882" s="62"/>
      <c r="H882" s="35" t="n">
        <v>0</v>
      </c>
      <c r="I882" s="34" t="n">
        <f aca="false">+IF(E882=0,0,E882*0.03)</f>
        <v>0</v>
      </c>
    </row>
    <row r="883" customFormat="false" ht="15.75" hidden="false" customHeight="true" outlineLevel="0" collapsed="false">
      <c r="A883" s="30" t="n">
        <v>45323</v>
      </c>
      <c r="B883" s="31" t="s">
        <v>11</v>
      </c>
      <c r="C883" s="32"/>
      <c r="D883" s="32"/>
      <c r="E883" s="19" t="n">
        <f aca="false">+IF(C883="EQUIPO",F883,0)</f>
        <v>0</v>
      </c>
      <c r="F883" s="33" t="n">
        <v>0</v>
      </c>
      <c r="G883" s="62"/>
      <c r="H883" s="35" t="n">
        <v>0</v>
      </c>
      <c r="I883" s="34" t="n">
        <f aca="false">+IF(E883=0,0,E883*0.03)</f>
        <v>0</v>
      </c>
    </row>
    <row r="884" customFormat="false" ht="15.75" hidden="false" customHeight="true" outlineLevel="0" collapsed="false">
      <c r="A884" s="30" t="n">
        <v>45323</v>
      </c>
      <c r="B884" s="31" t="s">
        <v>11</v>
      </c>
      <c r="C884" s="32"/>
      <c r="D884" s="32"/>
      <c r="E884" s="19" t="n">
        <f aca="false">+IF(C884="EQUIPO",F884,0)</f>
        <v>0</v>
      </c>
      <c r="F884" s="33" t="n">
        <v>0</v>
      </c>
      <c r="G884" s="62"/>
      <c r="H884" s="35" t="n">
        <v>0</v>
      </c>
      <c r="I884" s="34" t="n">
        <f aca="false">+IF(E884=0,0,E884*0.03)</f>
        <v>0</v>
      </c>
    </row>
    <row r="885" customFormat="false" ht="15.75" hidden="false" customHeight="true" outlineLevel="0" collapsed="false">
      <c r="A885" s="30" t="n">
        <v>45323</v>
      </c>
      <c r="B885" s="31" t="s">
        <v>11</v>
      </c>
      <c r="C885" s="32"/>
      <c r="D885" s="32"/>
      <c r="E885" s="19" t="n">
        <f aca="false">+IF(C885="EQUIPO",F885,0)</f>
        <v>0</v>
      </c>
      <c r="F885" s="33" t="n">
        <v>0</v>
      </c>
      <c r="G885" s="62"/>
      <c r="H885" s="35" t="n">
        <v>0</v>
      </c>
      <c r="I885" s="34" t="n">
        <f aca="false">+IF(E885=0,0,E885*0.03)</f>
        <v>0</v>
      </c>
    </row>
    <row r="886" customFormat="false" ht="15.75" hidden="false" customHeight="true" outlineLevel="0" collapsed="false">
      <c r="A886" s="30" t="n">
        <v>45323</v>
      </c>
      <c r="B886" s="31" t="s">
        <v>11</v>
      </c>
      <c r="C886" s="32"/>
      <c r="D886" s="32"/>
      <c r="E886" s="19" t="n">
        <f aca="false">+IF(C886="EQUIPO",F886,0)</f>
        <v>0</v>
      </c>
      <c r="F886" s="33" t="n">
        <v>0</v>
      </c>
      <c r="G886" s="62"/>
      <c r="H886" s="35" t="n">
        <v>0</v>
      </c>
      <c r="I886" s="34" t="n">
        <f aca="false">+IF(E886=0,0,E886*0.03)</f>
        <v>0</v>
      </c>
    </row>
    <row r="887" customFormat="false" ht="15.75" hidden="false" customHeight="true" outlineLevel="0" collapsed="false">
      <c r="A887" s="30" t="n">
        <v>45323</v>
      </c>
      <c r="B887" s="31" t="s">
        <v>11</v>
      </c>
      <c r="C887" s="32"/>
      <c r="D887" s="32"/>
      <c r="E887" s="19" t="n">
        <f aca="false">+IF(C887="EQUIPO",F887,0)</f>
        <v>0</v>
      </c>
      <c r="F887" s="33" t="n">
        <v>0</v>
      </c>
      <c r="G887" s="62"/>
      <c r="H887" s="35" t="n">
        <v>0</v>
      </c>
      <c r="I887" s="34" t="n">
        <f aca="false">+IF(E887=0,0,E887*0.03)</f>
        <v>0</v>
      </c>
    </row>
    <row r="888" customFormat="false" ht="15.75" hidden="false" customHeight="true" outlineLevel="0" collapsed="false">
      <c r="A888" s="30" t="n">
        <v>45323</v>
      </c>
      <c r="B888" s="31" t="s">
        <v>11</v>
      </c>
      <c r="C888" s="32"/>
      <c r="D888" s="32"/>
      <c r="E888" s="19" t="n">
        <f aca="false">+IF(C888="EQUIPO",F888,0)</f>
        <v>0</v>
      </c>
      <c r="F888" s="33" t="n">
        <v>0</v>
      </c>
      <c r="G888" s="62"/>
      <c r="H888" s="35" t="n">
        <v>0</v>
      </c>
      <c r="I888" s="34" t="n">
        <f aca="false">+IF(E888=0,0,E888*0.03)</f>
        <v>0</v>
      </c>
    </row>
    <row r="889" customFormat="false" ht="15.75" hidden="false" customHeight="true" outlineLevel="0" collapsed="false">
      <c r="A889" s="30" t="n">
        <v>45323</v>
      </c>
      <c r="B889" s="31" t="s">
        <v>11</v>
      </c>
      <c r="C889" s="32"/>
      <c r="D889" s="32"/>
      <c r="E889" s="19" t="n">
        <f aca="false">+IF(C889="EQUIPO",F889,0)</f>
        <v>0</v>
      </c>
      <c r="F889" s="33" t="n">
        <v>0</v>
      </c>
      <c r="G889" s="62"/>
      <c r="H889" s="35" t="n">
        <v>0</v>
      </c>
      <c r="I889" s="34" t="n">
        <f aca="false">+IF(E889=0,0,E889*0.03)</f>
        <v>0</v>
      </c>
    </row>
    <row r="890" customFormat="false" ht="15.75" hidden="false" customHeight="true" outlineLevel="0" collapsed="false">
      <c r="A890" s="30" t="n">
        <v>45323</v>
      </c>
      <c r="B890" s="31" t="s">
        <v>11</v>
      </c>
      <c r="C890" s="32"/>
      <c r="D890" s="32"/>
      <c r="E890" s="19" t="n">
        <f aca="false">+IF(C890="EQUIPO",F890,0)</f>
        <v>0</v>
      </c>
      <c r="F890" s="33" t="n">
        <v>0</v>
      </c>
      <c r="G890" s="62"/>
      <c r="H890" s="35" t="n">
        <v>0</v>
      </c>
      <c r="I890" s="34" t="n">
        <f aca="false">+IF(E890=0,0,E890*0.03)</f>
        <v>0</v>
      </c>
    </row>
    <row r="891" customFormat="false" ht="15.75" hidden="false" customHeight="true" outlineLevel="0" collapsed="false">
      <c r="A891" s="30" t="n">
        <v>45323</v>
      </c>
      <c r="B891" s="31" t="s">
        <v>11</v>
      </c>
      <c r="C891" s="32"/>
      <c r="D891" s="32"/>
      <c r="E891" s="19" t="n">
        <f aca="false">+IF(C891="EQUIPO",F891,0)</f>
        <v>0</v>
      </c>
      <c r="F891" s="33" t="n">
        <v>0</v>
      </c>
      <c r="G891" s="62"/>
      <c r="H891" s="35" t="n">
        <v>0</v>
      </c>
      <c r="I891" s="34" t="n">
        <f aca="false">+IF(E891=0,0,E891*0.03)</f>
        <v>0</v>
      </c>
    </row>
    <row r="892" customFormat="false" ht="15.75" hidden="false" customHeight="true" outlineLevel="0" collapsed="false">
      <c r="A892" s="30" t="n">
        <v>45323</v>
      </c>
      <c r="B892" s="31" t="s">
        <v>11</v>
      </c>
      <c r="C892" s="32"/>
      <c r="D892" s="32"/>
      <c r="E892" s="19" t="n">
        <f aca="false">+IF(C892="EQUIPO",F892,0)</f>
        <v>0</v>
      </c>
      <c r="F892" s="33" t="n">
        <v>0</v>
      </c>
      <c r="G892" s="62"/>
      <c r="H892" s="35" t="n">
        <v>0</v>
      </c>
      <c r="I892" s="34" t="n">
        <f aca="false">+IF(E892=0,0,E892*0.03)</f>
        <v>0</v>
      </c>
    </row>
    <row r="893" customFormat="false" ht="15.75" hidden="false" customHeight="true" outlineLevel="0" collapsed="false">
      <c r="A893" s="30" t="n">
        <v>45323</v>
      </c>
      <c r="B893" s="31" t="s">
        <v>11</v>
      </c>
      <c r="C893" s="32"/>
      <c r="D893" s="32"/>
      <c r="E893" s="19" t="n">
        <f aca="false">+IF(C893="EQUIPO",F893,0)</f>
        <v>0</v>
      </c>
      <c r="F893" s="33" t="n">
        <v>0</v>
      </c>
      <c r="G893" s="62"/>
      <c r="H893" s="35" t="n">
        <v>0</v>
      </c>
      <c r="I893" s="34" t="n">
        <f aca="false">+IF(E893=0,0,E893*0.03)</f>
        <v>0</v>
      </c>
    </row>
    <row r="894" customFormat="false" ht="15.75" hidden="false" customHeight="true" outlineLevel="0" collapsed="false">
      <c r="A894" s="30" t="n">
        <v>45323</v>
      </c>
      <c r="B894" s="31" t="s">
        <v>11</v>
      </c>
      <c r="C894" s="32"/>
      <c r="D894" s="32"/>
      <c r="E894" s="19" t="n">
        <f aca="false">+IF(C894="EQUIPO",F894,0)</f>
        <v>0</v>
      </c>
      <c r="F894" s="33" t="n">
        <v>0</v>
      </c>
      <c r="G894" s="62"/>
      <c r="H894" s="35" t="n">
        <v>0</v>
      </c>
      <c r="I894" s="34" t="n">
        <f aca="false">+IF(E894=0,0,E894*0.03)</f>
        <v>0</v>
      </c>
    </row>
    <row r="895" customFormat="false" ht="15.75" hidden="false" customHeight="true" outlineLevel="0" collapsed="false">
      <c r="A895" s="30" t="n">
        <v>45323</v>
      </c>
      <c r="B895" s="31" t="s">
        <v>11</v>
      </c>
      <c r="C895" s="32"/>
      <c r="D895" s="32"/>
      <c r="E895" s="19" t="n">
        <f aca="false">+IF(C895="EQUIPO",F895,0)</f>
        <v>0</v>
      </c>
      <c r="F895" s="33" t="n">
        <v>0</v>
      </c>
      <c r="G895" s="62"/>
      <c r="H895" s="35" t="n">
        <v>0</v>
      </c>
      <c r="I895" s="34" t="n">
        <f aca="false">+IF(E895=0,0,E895*0.03)</f>
        <v>0</v>
      </c>
    </row>
    <row r="896" customFormat="false" ht="15.75" hidden="false" customHeight="true" outlineLevel="0" collapsed="false">
      <c r="A896" s="30" t="n">
        <v>45323</v>
      </c>
      <c r="B896" s="31" t="s">
        <v>11</v>
      </c>
      <c r="C896" s="32"/>
      <c r="D896" s="32"/>
      <c r="E896" s="19" t="n">
        <f aca="false">+IF(C896="EQUIPO",F896,0)</f>
        <v>0</v>
      </c>
      <c r="F896" s="33" t="n">
        <v>0</v>
      </c>
      <c r="G896" s="62"/>
      <c r="H896" s="35" t="n">
        <v>0</v>
      </c>
      <c r="I896" s="34" t="n">
        <f aca="false">+IF(E896=0,0,E896*0.03)</f>
        <v>0</v>
      </c>
    </row>
    <row r="897" customFormat="false" ht="15.75" hidden="false" customHeight="true" outlineLevel="0" collapsed="false">
      <c r="A897" s="30" t="n">
        <v>45323</v>
      </c>
      <c r="B897" s="31" t="s">
        <v>11</v>
      </c>
      <c r="C897" s="32"/>
      <c r="D897" s="32"/>
      <c r="E897" s="19" t="n">
        <f aca="false">+IF(C897="EQUIPO",F897,0)</f>
        <v>0</v>
      </c>
      <c r="F897" s="33" t="n">
        <v>0</v>
      </c>
      <c r="G897" s="62"/>
      <c r="H897" s="35" t="n">
        <v>0</v>
      </c>
      <c r="I897" s="34" t="n">
        <f aca="false">+IF(E897=0,0,E897*0.03)</f>
        <v>0</v>
      </c>
    </row>
    <row r="898" customFormat="false" ht="15.75" hidden="false" customHeight="true" outlineLevel="0" collapsed="false">
      <c r="A898" s="30" t="n">
        <v>45323</v>
      </c>
      <c r="B898" s="31" t="s">
        <v>11</v>
      </c>
      <c r="C898" s="32"/>
      <c r="D898" s="32"/>
      <c r="E898" s="19" t="n">
        <f aca="false">+IF(C898="EQUIPO",F898,0)</f>
        <v>0</v>
      </c>
      <c r="F898" s="33" t="n">
        <v>0</v>
      </c>
      <c r="G898" s="62"/>
      <c r="H898" s="35" t="n">
        <v>0</v>
      </c>
      <c r="I898" s="34" t="n">
        <f aca="false">+IF(E898=0,0,E898*0.03)</f>
        <v>0</v>
      </c>
    </row>
    <row r="899" customFormat="false" ht="15.75" hidden="false" customHeight="true" outlineLevel="0" collapsed="false">
      <c r="A899" s="30" t="n">
        <v>45323</v>
      </c>
      <c r="B899" s="31" t="s">
        <v>11</v>
      </c>
      <c r="C899" s="32"/>
      <c r="D899" s="32"/>
      <c r="E899" s="19" t="n">
        <f aca="false">+IF(C899="EQUIPO",F899,0)</f>
        <v>0</v>
      </c>
      <c r="F899" s="33" t="n">
        <v>0</v>
      </c>
      <c r="G899" s="62"/>
      <c r="H899" s="35" t="n">
        <v>0</v>
      </c>
      <c r="I899" s="34" t="n">
        <f aca="false">+IF(E899=0,0,E899*0.03)</f>
        <v>0</v>
      </c>
    </row>
    <row r="900" customFormat="false" ht="15.75" hidden="false" customHeight="true" outlineLevel="0" collapsed="false">
      <c r="A900" s="30" t="n">
        <v>45323</v>
      </c>
      <c r="B900" s="31" t="s">
        <v>11</v>
      </c>
      <c r="C900" s="32"/>
      <c r="D900" s="32"/>
      <c r="E900" s="19" t="n">
        <f aca="false">+IF(C900="EQUIPO",F900,0)</f>
        <v>0</v>
      </c>
      <c r="F900" s="33" t="n">
        <v>0</v>
      </c>
      <c r="G900" s="62"/>
      <c r="H900" s="35" t="n">
        <v>0</v>
      </c>
      <c r="I900" s="34" t="n">
        <f aca="false">+IF(E900=0,0,E900*0.03)</f>
        <v>0</v>
      </c>
    </row>
    <row r="901" customFormat="false" ht="15.75" hidden="false" customHeight="true" outlineLevel="0" collapsed="false">
      <c r="A901" s="30" t="n">
        <v>45323</v>
      </c>
      <c r="B901" s="31" t="s">
        <v>11</v>
      </c>
      <c r="C901" s="32"/>
      <c r="D901" s="32"/>
      <c r="E901" s="19" t="n">
        <f aca="false">+IF(C901="EQUIPO",F901,0)</f>
        <v>0</v>
      </c>
      <c r="F901" s="33" t="n">
        <v>0</v>
      </c>
      <c r="G901" s="62"/>
      <c r="H901" s="35" t="n">
        <v>0</v>
      </c>
      <c r="I901" s="34" t="n">
        <f aca="false">+IF(E901=0,0,E901*0.03)</f>
        <v>0</v>
      </c>
    </row>
    <row r="902" customFormat="false" ht="15.75" hidden="false" customHeight="true" outlineLevel="0" collapsed="false">
      <c r="A902" s="30" t="n">
        <v>45323</v>
      </c>
      <c r="B902" s="31" t="s">
        <v>11</v>
      </c>
      <c r="C902" s="32"/>
      <c r="D902" s="32"/>
      <c r="E902" s="19" t="n">
        <f aca="false">+IF(C902="EQUIPO",F902,0)</f>
        <v>0</v>
      </c>
      <c r="F902" s="33" t="n">
        <v>0</v>
      </c>
      <c r="G902" s="62"/>
      <c r="H902" s="35" t="n">
        <v>0</v>
      </c>
      <c r="I902" s="34" t="n">
        <f aca="false">+IF(E902=0,0,E902*0.03)</f>
        <v>0</v>
      </c>
    </row>
    <row r="903" customFormat="false" ht="15.75" hidden="false" customHeight="true" outlineLevel="0" collapsed="false">
      <c r="A903" s="30" t="n">
        <v>45323</v>
      </c>
      <c r="B903" s="31" t="s">
        <v>11</v>
      </c>
      <c r="C903" s="32"/>
      <c r="D903" s="32"/>
      <c r="E903" s="19" t="n">
        <f aca="false">+IF(C903="EQUIPO",F903,0)</f>
        <v>0</v>
      </c>
      <c r="F903" s="33" t="n">
        <v>0</v>
      </c>
      <c r="G903" s="62"/>
      <c r="H903" s="35" t="n">
        <v>0</v>
      </c>
      <c r="I903" s="34" t="n">
        <f aca="false">+IF(E903=0,0,E903*0.03)</f>
        <v>0</v>
      </c>
    </row>
    <row r="904" customFormat="false" ht="15.75" hidden="false" customHeight="true" outlineLevel="0" collapsed="false">
      <c r="A904" s="30" t="n">
        <v>45323</v>
      </c>
      <c r="B904" s="31" t="s">
        <v>11</v>
      </c>
      <c r="C904" s="32"/>
      <c r="D904" s="32"/>
      <c r="E904" s="19" t="n">
        <f aca="false">+IF(C904="EQUIPO",F904,0)</f>
        <v>0</v>
      </c>
      <c r="F904" s="33" t="n">
        <v>0</v>
      </c>
      <c r="G904" s="62"/>
      <c r="H904" s="35" t="n">
        <v>0</v>
      </c>
      <c r="I904" s="34" t="n">
        <f aca="false">+IF(E904=0,0,E904*0.03)</f>
        <v>0</v>
      </c>
    </row>
    <row r="905" customFormat="false" ht="15.75" hidden="false" customHeight="true" outlineLevel="0" collapsed="false">
      <c r="A905" s="30" t="n">
        <v>45323</v>
      </c>
      <c r="B905" s="31" t="s">
        <v>11</v>
      </c>
      <c r="C905" s="32"/>
      <c r="D905" s="32"/>
      <c r="E905" s="19" t="n">
        <f aca="false">+IF(C905="EQUIPO",F905,0)</f>
        <v>0</v>
      </c>
      <c r="F905" s="33" t="n">
        <v>0</v>
      </c>
      <c r="G905" s="62"/>
      <c r="H905" s="35" t="n">
        <v>0</v>
      </c>
      <c r="I905" s="34" t="n">
        <f aca="false">+IF(E905=0,0,E905*0.03)</f>
        <v>0</v>
      </c>
    </row>
    <row r="906" customFormat="false" ht="15.75" hidden="false" customHeight="true" outlineLevel="0" collapsed="false">
      <c r="A906" s="30" t="n">
        <v>45323</v>
      </c>
      <c r="B906" s="31" t="s">
        <v>11</v>
      </c>
      <c r="C906" s="32"/>
      <c r="D906" s="32"/>
      <c r="E906" s="19" t="n">
        <f aca="false">+IF(C906="EQUIPO",F906,0)</f>
        <v>0</v>
      </c>
      <c r="F906" s="33" t="n">
        <v>0</v>
      </c>
      <c r="G906" s="62"/>
      <c r="H906" s="35" t="n">
        <v>0</v>
      </c>
      <c r="I906" s="34" t="n">
        <f aca="false">+IF(E906=0,0,E906*0.03)</f>
        <v>0</v>
      </c>
    </row>
    <row r="907" customFormat="false" ht="15.75" hidden="false" customHeight="true" outlineLevel="0" collapsed="false">
      <c r="A907" s="30" t="n">
        <v>45323</v>
      </c>
      <c r="B907" s="31" t="s">
        <v>11</v>
      </c>
      <c r="C907" s="32"/>
      <c r="D907" s="32"/>
      <c r="E907" s="19" t="n">
        <f aca="false">+IF(C907="EQUIPO",F907,0)</f>
        <v>0</v>
      </c>
      <c r="F907" s="33" t="n">
        <v>0</v>
      </c>
      <c r="G907" s="62"/>
      <c r="H907" s="35" t="n">
        <v>0</v>
      </c>
      <c r="I907" s="34" t="n">
        <f aca="false">+IF(E907=0,0,E907*0.03)</f>
        <v>0</v>
      </c>
    </row>
    <row r="908" customFormat="false" ht="15.75" hidden="false" customHeight="true" outlineLevel="0" collapsed="false">
      <c r="A908" s="30" t="n">
        <v>45323</v>
      </c>
      <c r="B908" s="31" t="s">
        <v>11</v>
      </c>
      <c r="C908" s="32"/>
      <c r="D908" s="32"/>
      <c r="E908" s="19" t="n">
        <f aca="false">+IF(C908="EQUIPO",F908,0)</f>
        <v>0</v>
      </c>
      <c r="F908" s="33" t="n">
        <v>0</v>
      </c>
      <c r="G908" s="62"/>
      <c r="H908" s="35" t="n">
        <v>0</v>
      </c>
      <c r="I908" s="34" t="n">
        <f aca="false">+IF(E908=0,0,E908*0.03)</f>
        <v>0</v>
      </c>
    </row>
    <row r="909" customFormat="false" ht="15.75" hidden="false" customHeight="true" outlineLevel="0" collapsed="false">
      <c r="A909" s="30" t="n">
        <v>45323</v>
      </c>
      <c r="B909" s="31" t="s">
        <v>11</v>
      </c>
      <c r="C909" s="32"/>
      <c r="D909" s="32"/>
      <c r="E909" s="19" t="n">
        <f aca="false">+IF(C909="EQUIPO",F909,0)</f>
        <v>0</v>
      </c>
      <c r="F909" s="33" t="n">
        <v>0</v>
      </c>
      <c r="G909" s="62"/>
      <c r="H909" s="35" t="n">
        <v>0</v>
      </c>
      <c r="I909" s="34" t="n">
        <f aca="false">+IF(E909=0,0,E909*0.03)</f>
        <v>0</v>
      </c>
    </row>
    <row r="910" customFormat="false" ht="15.75" hidden="false" customHeight="true" outlineLevel="0" collapsed="false">
      <c r="A910" s="30" t="n">
        <v>45323</v>
      </c>
      <c r="B910" s="31" t="s">
        <v>11</v>
      </c>
      <c r="C910" s="32"/>
      <c r="D910" s="32"/>
      <c r="E910" s="19" t="n">
        <f aca="false">+IF(C910="EQUIPO",F910,0)</f>
        <v>0</v>
      </c>
      <c r="F910" s="33" t="n">
        <v>0</v>
      </c>
      <c r="G910" s="62"/>
      <c r="H910" s="35" t="n">
        <v>0</v>
      </c>
      <c r="I910" s="34" t="n">
        <f aca="false">+IF(E910=0,0,E910*0.03)</f>
        <v>0</v>
      </c>
    </row>
    <row r="911" customFormat="false" ht="15.75" hidden="false" customHeight="true" outlineLevel="0" collapsed="false">
      <c r="A911" s="30" t="n">
        <v>45323</v>
      </c>
      <c r="B911" s="31" t="s">
        <v>11</v>
      </c>
      <c r="C911" s="32"/>
      <c r="D911" s="32"/>
      <c r="E911" s="19" t="n">
        <f aca="false">+IF(C911="EQUIPO",F911,0)</f>
        <v>0</v>
      </c>
      <c r="F911" s="33" t="n">
        <v>0</v>
      </c>
      <c r="G911" s="62"/>
      <c r="H911" s="35" t="n">
        <v>0</v>
      </c>
      <c r="I911" s="34" t="n">
        <f aca="false">+IF(E911=0,0,E911*0.03)</f>
        <v>0</v>
      </c>
    </row>
    <row r="912" customFormat="false" ht="15.75" hidden="false" customHeight="true" outlineLevel="0" collapsed="false">
      <c r="A912" s="30" t="n">
        <v>45323</v>
      </c>
      <c r="B912" s="31" t="s">
        <v>11</v>
      </c>
      <c r="C912" s="32"/>
      <c r="D912" s="32"/>
      <c r="E912" s="19" t="n">
        <f aca="false">+IF(C912="EQUIPO",F912,0)</f>
        <v>0</v>
      </c>
      <c r="F912" s="33" t="n">
        <v>0</v>
      </c>
      <c r="G912" s="62"/>
      <c r="H912" s="35" t="n">
        <v>0</v>
      </c>
      <c r="I912" s="34" t="n">
        <f aca="false">+IF(E912=0,0,E912*0.03)</f>
        <v>0</v>
      </c>
    </row>
    <row r="913" customFormat="false" ht="15.75" hidden="false" customHeight="true" outlineLevel="0" collapsed="false">
      <c r="A913" s="30" t="n">
        <v>45323</v>
      </c>
      <c r="B913" s="31" t="s">
        <v>11</v>
      </c>
      <c r="C913" s="32"/>
      <c r="D913" s="32"/>
      <c r="E913" s="19" t="n">
        <f aca="false">+IF(C913="EQUIPO",F913,0)</f>
        <v>0</v>
      </c>
      <c r="F913" s="33" t="n">
        <v>0</v>
      </c>
      <c r="G913" s="62"/>
      <c r="H913" s="35" t="n">
        <v>0</v>
      </c>
      <c r="I913" s="34" t="n">
        <f aca="false">+IF(E913=0,0,E913*0.03)</f>
        <v>0</v>
      </c>
    </row>
    <row r="914" customFormat="false" ht="15.75" hidden="false" customHeight="true" outlineLevel="0" collapsed="false">
      <c r="A914" s="30" t="n">
        <v>45323</v>
      </c>
      <c r="B914" s="31" t="s">
        <v>11</v>
      </c>
      <c r="C914" s="32"/>
      <c r="D914" s="32"/>
      <c r="E914" s="19" t="n">
        <f aca="false">+IF(C914="EQUIPO",F914,0)</f>
        <v>0</v>
      </c>
      <c r="F914" s="33" t="n">
        <v>0</v>
      </c>
      <c r="G914" s="62"/>
      <c r="H914" s="35" t="n">
        <v>0</v>
      </c>
      <c r="I914" s="34" t="n">
        <f aca="false">+IF(E914=0,0,E914*0.03)</f>
        <v>0</v>
      </c>
    </row>
    <row r="915" customFormat="false" ht="15.75" hidden="false" customHeight="true" outlineLevel="0" collapsed="false">
      <c r="A915" s="30" t="n">
        <v>45323</v>
      </c>
      <c r="B915" s="31" t="s">
        <v>11</v>
      </c>
      <c r="C915" s="32"/>
      <c r="D915" s="32"/>
      <c r="E915" s="19" t="n">
        <f aca="false">+IF(C915="EQUIPO",F915,0)</f>
        <v>0</v>
      </c>
      <c r="F915" s="33" t="n">
        <v>0</v>
      </c>
      <c r="G915" s="62"/>
      <c r="H915" s="35" t="n">
        <v>0</v>
      </c>
      <c r="I915" s="34" t="n">
        <f aca="false">+IF(E915=0,0,E915*0.03)</f>
        <v>0</v>
      </c>
    </row>
    <row r="916" customFormat="false" ht="15.75" hidden="false" customHeight="true" outlineLevel="0" collapsed="false">
      <c r="A916" s="30" t="n">
        <v>45323</v>
      </c>
      <c r="B916" s="31" t="s">
        <v>11</v>
      </c>
      <c r="C916" s="32"/>
      <c r="D916" s="32"/>
      <c r="E916" s="19" t="n">
        <f aca="false">+IF(C916="EQUIPO",F916,0)</f>
        <v>0</v>
      </c>
      <c r="F916" s="33" t="n">
        <v>0</v>
      </c>
      <c r="G916" s="62"/>
      <c r="H916" s="35" t="n">
        <v>0</v>
      </c>
      <c r="I916" s="34" t="n">
        <f aca="false">+IF(E916=0,0,E916*0.03)</f>
        <v>0</v>
      </c>
    </row>
    <row r="917" customFormat="false" ht="15.75" hidden="false" customHeight="true" outlineLevel="0" collapsed="false">
      <c r="A917" s="30" t="n">
        <v>45323</v>
      </c>
      <c r="B917" s="31" t="s">
        <v>11</v>
      </c>
      <c r="C917" s="32"/>
      <c r="D917" s="32"/>
      <c r="E917" s="19" t="n">
        <f aca="false">+IF(C917="EQUIPO",F917,0)</f>
        <v>0</v>
      </c>
      <c r="F917" s="33" t="n">
        <v>0</v>
      </c>
      <c r="G917" s="62"/>
      <c r="H917" s="35" t="n">
        <v>0</v>
      </c>
      <c r="I917" s="34" t="n">
        <f aca="false">+IF(E917=0,0,E917*0.03)</f>
        <v>0</v>
      </c>
    </row>
    <row r="918" customFormat="false" ht="15.75" hidden="false" customHeight="true" outlineLevel="0" collapsed="false">
      <c r="A918" s="30" t="n">
        <v>45323</v>
      </c>
      <c r="B918" s="31" t="s">
        <v>11</v>
      </c>
      <c r="C918" s="32"/>
      <c r="D918" s="32"/>
      <c r="E918" s="19" t="n">
        <f aca="false">+IF(C918="EQUIPO",F918,0)</f>
        <v>0</v>
      </c>
      <c r="F918" s="33" t="n">
        <v>0</v>
      </c>
      <c r="G918" s="62"/>
      <c r="H918" s="35" t="n">
        <v>0</v>
      </c>
      <c r="I918" s="34" t="n">
        <f aca="false">+IF(E918=0,0,E918*0.03)</f>
        <v>0</v>
      </c>
    </row>
    <row r="919" customFormat="false" ht="15.75" hidden="false" customHeight="true" outlineLevel="0" collapsed="false">
      <c r="A919" s="30" t="n">
        <v>45323</v>
      </c>
      <c r="B919" s="31" t="s">
        <v>11</v>
      </c>
      <c r="C919" s="32"/>
      <c r="D919" s="32"/>
      <c r="E919" s="19" t="n">
        <f aca="false">+IF(C919="EQUIPO",F919,0)</f>
        <v>0</v>
      </c>
      <c r="F919" s="33" t="n">
        <v>0</v>
      </c>
      <c r="G919" s="62"/>
      <c r="H919" s="35" t="n">
        <v>0</v>
      </c>
      <c r="I919" s="34" t="n">
        <f aca="false">+IF(E919=0,0,E919*0.03)</f>
        <v>0</v>
      </c>
    </row>
    <row r="920" customFormat="false" ht="15.75" hidden="false" customHeight="true" outlineLevel="0" collapsed="false">
      <c r="A920" s="30" t="n">
        <v>45323</v>
      </c>
      <c r="B920" s="31" t="s">
        <v>11</v>
      </c>
      <c r="C920" s="32"/>
      <c r="D920" s="32"/>
      <c r="E920" s="19" t="n">
        <f aca="false">+IF(C920="EQUIPO",F920,0)</f>
        <v>0</v>
      </c>
      <c r="F920" s="33" t="n">
        <v>0</v>
      </c>
      <c r="G920" s="62"/>
      <c r="H920" s="35" t="n">
        <v>0</v>
      </c>
      <c r="I920" s="34" t="n">
        <f aca="false">+IF(E920=0,0,E920*0.03)</f>
        <v>0</v>
      </c>
    </row>
    <row r="921" customFormat="false" ht="15.75" hidden="false" customHeight="true" outlineLevel="0" collapsed="false">
      <c r="A921" s="30" t="n">
        <v>45323</v>
      </c>
      <c r="B921" s="31" t="s">
        <v>11</v>
      </c>
      <c r="C921" s="32"/>
      <c r="D921" s="32"/>
      <c r="E921" s="19" t="n">
        <f aca="false">+IF(C921="EQUIPO",F921,0)</f>
        <v>0</v>
      </c>
      <c r="F921" s="33" t="n">
        <v>0</v>
      </c>
      <c r="G921" s="62"/>
      <c r="H921" s="35" t="n">
        <v>0</v>
      </c>
      <c r="I921" s="34" t="n">
        <f aca="false">+IF(E921=0,0,E921*0.03)</f>
        <v>0</v>
      </c>
    </row>
    <row r="922" customFormat="false" ht="15.75" hidden="false" customHeight="true" outlineLevel="0" collapsed="false">
      <c r="A922" s="30" t="n">
        <v>45323</v>
      </c>
      <c r="B922" s="31" t="s">
        <v>11</v>
      </c>
      <c r="C922" s="32"/>
      <c r="D922" s="32"/>
      <c r="E922" s="19" t="n">
        <f aca="false">+IF(C922="EQUIPO",F922,0)</f>
        <v>0</v>
      </c>
      <c r="F922" s="33" t="n">
        <v>0</v>
      </c>
      <c r="G922" s="62"/>
      <c r="H922" s="35" t="n">
        <v>0</v>
      </c>
      <c r="I922" s="34" t="n">
        <f aca="false">+IF(E922=0,0,E922*0.03)</f>
        <v>0</v>
      </c>
    </row>
    <row r="923" customFormat="false" ht="15.75" hidden="false" customHeight="true" outlineLevel="0" collapsed="false">
      <c r="A923" s="30" t="n">
        <v>45323</v>
      </c>
      <c r="B923" s="31" t="s">
        <v>11</v>
      </c>
      <c r="C923" s="32"/>
      <c r="D923" s="32"/>
      <c r="E923" s="19" t="n">
        <f aca="false">+IF(C923="EQUIPO",F923,0)</f>
        <v>0</v>
      </c>
      <c r="F923" s="33" t="n">
        <v>0</v>
      </c>
      <c r="G923" s="62"/>
      <c r="H923" s="35" t="n">
        <v>0</v>
      </c>
      <c r="I923" s="34" t="n">
        <f aca="false">+IF(E923=0,0,E923*0.03)</f>
        <v>0</v>
      </c>
    </row>
    <row r="924" customFormat="false" ht="15.75" hidden="false" customHeight="true" outlineLevel="0" collapsed="false">
      <c r="A924" s="30" t="n">
        <v>45323</v>
      </c>
      <c r="B924" s="31" t="s">
        <v>11</v>
      </c>
      <c r="C924" s="32"/>
      <c r="D924" s="32"/>
      <c r="E924" s="19" t="n">
        <f aca="false">+IF(C924="EQUIPO",F924,0)</f>
        <v>0</v>
      </c>
      <c r="F924" s="33" t="n">
        <v>0</v>
      </c>
      <c r="G924" s="62"/>
      <c r="H924" s="35" t="n">
        <v>0</v>
      </c>
      <c r="I924" s="34" t="n">
        <f aca="false">+IF(E924=0,0,E924*0.03)</f>
        <v>0</v>
      </c>
    </row>
    <row r="925" customFormat="false" ht="15.75" hidden="false" customHeight="true" outlineLevel="0" collapsed="false">
      <c r="A925" s="30" t="n">
        <v>45323</v>
      </c>
      <c r="B925" s="31" t="s">
        <v>11</v>
      </c>
      <c r="C925" s="32"/>
      <c r="D925" s="32"/>
      <c r="E925" s="19" t="n">
        <f aca="false">+IF(C925="EQUIPO",F925,0)</f>
        <v>0</v>
      </c>
      <c r="F925" s="33" t="n">
        <v>0</v>
      </c>
      <c r="G925" s="62"/>
      <c r="H925" s="35" t="n">
        <v>0</v>
      </c>
      <c r="I925" s="34" t="n">
        <f aca="false">+IF(E925=0,0,E925*0.03)</f>
        <v>0</v>
      </c>
    </row>
    <row r="926" customFormat="false" ht="15.75" hidden="false" customHeight="true" outlineLevel="0" collapsed="false">
      <c r="A926" s="30" t="n">
        <v>45323</v>
      </c>
      <c r="B926" s="31" t="s">
        <v>11</v>
      </c>
      <c r="C926" s="32"/>
      <c r="D926" s="32"/>
      <c r="E926" s="19" t="n">
        <f aca="false">+IF(C926="EQUIPO",F926,0)</f>
        <v>0</v>
      </c>
      <c r="F926" s="33" t="n">
        <v>0</v>
      </c>
      <c r="G926" s="62"/>
      <c r="H926" s="35" t="n">
        <v>0</v>
      </c>
      <c r="I926" s="34" t="n">
        <f aca="false">+IF(E926=0,0,E926*0.03)</f>
        <v>0</v>
      </c>
    </row>
    <row r="927" customFormat="false" ht="15.75" hidden="false" customHeight="true" outlineLevel="0" collapsed="false">
      <c r="A927" s="30" t="n">
        <v>45323</v>
      </c>
      <c r="B927" s="31" t="s">
        <v>11</v>
      </c>
      <c r="C927" s="32"/>
      <c r="D927" s="32"/>
      <c r="E927" s="19" t="n">
        <f aca="false">+IF(C927="EQUIPO",F927,0)</f>
        <v>0</v>
      </c>
      <c r="F927" s="33" t="n">
        <v>0</v>
      </c>
      <c r="G927" s="62"/>
      <c r="H927" s="35" t="n">
        <v>0</v>
      </c>
      <c r="I927" s="34" t="n">
        <f aca="false">+IF(E927=0,0,E927*0.03)</f>
        <v>0</v>
      </c>
    </row>
    <row r="928" customFormat="false" ht="15.75" hidden="false" customHeight="true" outlineLevel="0" collapsed="false">
      <c r="A928" s="30" t="n">
        <v>45323</v>
      </c>
      <c r="B928" s="31" t="s">
        <v>11</v>
      </c>
      <c r="C928" s="32"/>
      <c r="D928" s="32"/>
      <c r="E928" s="19" t="n">
        <f aca="false">+IF(C928="EQUIPO",F928,0)</f>
        <v>0</v>
      </c>
      <c r="F928" s="33" t="n">
        <v>0</v>
      </c>
      <c r="G928" s="62"/>
      <c r="H928" s="35" t="n">
        <v>0</v>
      </c>
      <c r="I928" s="34" t="n">
        <f aca="false">+IF(E928=0,0,E928*0.03)</f>
        <v>0</v>
      </c>
    </row>
    <row r="929" customFormat="false" ht="15.75" hidden="false" customHeight="true" outlineLevel="0" collapsed="false">
      <c r="A929" s="30" t="n">
        <v>45323</v>
      </c>
      <c r="B929" s="31" t="s">
        <v>11</v>
      </c>
      <c r="C929" s="32"/>
      <c r="D929" s="32"/>
      <c r="E929" s="19" t="n">
        <f aca="false">+IF(C929="EQUIPO",F929,0)</f>
        <v>0</v>
      </c>
      <c r="F929" s="33" t="n">
        <v>0</v>
      </c>
      <c r="G929" s="62"/>
      <c r="H929" s="35" t="n">
        <v>0</v>
      </c>
      <c r="I929" s="34" t="n">
        <f aca="false">+IF(E929=0,0,E929*0.03)</f>
        <v>0</v>
      </c>
    </row>
    <row r="930" customFormat="false" ht="15.75" hidden="false" customHeight="true" outlineLevel="0" collapsed="false">
      <c r="A930" s="30" t="n">
        <v>45323</v>
      </c>
      <c r="B930" s="31" t="s">
        <v>11</v>
      </c>
      <c r="C930" s="32"/>
      <c r="D930" s="32"/>
      <c r="E930" s="19" t="n">
        <f aca="false">+IF(C930="EQUIPO",F930,0)</f>
        <v>0</v>
      </c>
      <c r="F930" s="33" t="n">
        <v>0</v>
      </c>
      <c r="G930" s="62"/>
      <c r="H930" s="35" t="n">
        <v>0</v>
      </c>
      <c r="I930" s="34" t="n">
        <f aca="false">+IF(E930=0,0,E930*0.03)</f>
        <v>0</v>
      </c>
    </row>
    <row r="931" customFormat="false" ht="15.75" hidden="false" customHeight="true" outlineLevel="0" collapsed="false">
      <c r="A931" s="30" t="n">
        <v>45323</v>
      </c>
      <c r="B931" s="31" t="s">
        <v>11</v>
      </c>
      <c r="C931" s="32"/>
      <c r="D931" s="32"/>
      <c r="E931" s="19" t="n">
        <f aca="false">+IF(C931="EQUIPO",F931,0)</f>
        <v>0</v>
      </c>
      <c r="F931" s="33" t="n">
        <v>0</v>
      </c>
      <c r="G931" s="62"/>
      <c r="H931" s="35" t="n">
        <v>0</v>
      </c>
      <c r="I931" s="34" t="n">
        <f aca="false">+IF(E931=0,0,E931*0.03)</f>
        <v>0</v>
      </c>
    </row>
    <row r="932" customFormat="false" ht="15.75" hidden="false" customHeight="true" outlineLevel="0" collapsed="false">
      <c r="A932" s="30" t="n">
        <v>45323</v>
      </c>
      <c r="B932" s="31" t="s">
        <v>11</v>
      </c>
      <c r="C932" s="32"/>
      <c r="D932" s="32"/>
      <c r="E932" s="19" t="n">
        <f aca="false">+IF(C932="EQUIPO",F932,0)</f>
        <v>0</v>
      </c>
      <c r="F932" s="33" t="n">
        <v>0</v>
      </c>
      <c r="G932" s="62"/>
      <c r="H932" s="35" t="n">
        <v>0</v>
      </c>
      <c r="I932" s="34" t="n">
        <f aca="false">+IF(E932=0,0,E932*0.03)</f>
        <v>0</v>
      </c>
    </row>
    <row r="933" customFormat="false" ht="15.75" hidden="false" customHeight="true" outlineLevel="0" collapsed="false">
      <c r="A933" s="30" t="n">
        <v>45323</v>
      </c>
      <c r="B933" s="31" t="s">
        <v>11</v>
      </c>
      <c r="C933" s="32"/>
      <c r="D933" s="32"/>
      <c r="E933" s="19" t="n">
        <f aca="false">+IF(C933="EQUIPO",F933,0)</f>
        <v>0</v>
      </c>
      <c r="F933" s="33" t="n">
        <v>0</v>
      </c>
      <c r="G933" s="62"/>
      <c r="H933" s="35" t="n">
        <v>0</v>
      </c>
      <c r="I933" s="34" t="n">
        <f aca="false">+IF(E933=0,0,E933*0.03)</f>
        <v>0</v>
      </c>
    </row>
    <row r="934" customFormat="false" ht="15.75" hidden="false" customHeight="true" outlineLevel="0" collapsed="false">
      <c r="A934" s="30" t="n">
        <v>45323</v>
      </c>
      <c r="B934" s="31" t="s">
        <v>11</v>
      </c>
      <c r="C934" s="32"/>
      <c r="D934" s="32"/>
      <c r="E934" s="19" t="n">
        <f aca="false">+IF(C934="EQUIPO",F934,0)</f>
        <v>0</v>
      </c>
      <c r="F934" s="33" t="n">
        <v>0</v>
      </c>
      <c r="G934" s="62"/>
      <c r="H934" s="35" t="n">
        <v>0</v>
      </c>
      <c r="I934" s="34" t="n">
        <f aca="false">+IF(E934=0,0,E934*0.03)</f>
        <v>0</v>
      </c>
    </row>
    <row r="935" customFormat="false" ht="15.75" hidden="false" customHeight="true" outlineLevel="0" collapsed="false">
      <c r="A935" s="30" t="n">
        <v>45323</v>
      </c>
      <c r="B935" s="31" t="s">
        <v>11</v>
      </c>
      <c r="C935" s="32"/>
      <c r="D935" s="32"/>
      <c r="E935" s="19" t="n">
        <f aca="false">+IF(C935="EQUIPO",F935,0)</f>
        <v>0</v>
      </c>
      <c r="F935" s="33" t="n">
        <v>0</v>
      </c>
      <c r="G935" s="62"/>
      <c r="H935" s="35" t="n">
        <v>0</v>
      </c>
      <c r="I935" s="34" t="n">
        <f aca="false">+IF(E935=0,0,E935*0.03)</f>
        <v>0</v>
      </c>
    </row>
    <row r="936" customFormat="false" ht="15.75" hidden="false" customHeight="true" outlineLevel="0" collapsed="false">
      <c r="A936" s="30" t="n">
        <v>45323</v>
      </c>
      <c r="B936" s="31" t="s">
        <v>11</v>
      </c>
      <c r="C936" s="32"/>
      <c r="D936" s="32"/>
      <c r="E936" s="19" t="n">
        <f aca="false">+IF(C936="EQUIPO",F936,0)</f>
        <v>0</v>
      </c>
      <c r="F936" s="33" t="n">
        <v>0</v>
      </c>
      <c r="G936" s="62"/>
      <c r="H936" s="35" t="n">
        <v>0</v>
      </c>
      <c r="I936" s="34" t="n">
        <f aca="false">+IF(E936=0,0,E936*0.03)</f>
        <v>0</v>
      </c>
    </row>
    <row r="937" customFormat="false" ht="15.75" hidden="false" customHeight="true" outlineLevel="0" collapsed="false">
      <c r="A937" s="30" t="n">
        <v>45323</v>
      </c>
      <c r="B937" s="31" t="s">
        <v>11</v>
      </c>
      <c r="C937" s="32"/>
      <c r="D937" s="32"/>
      <c r="E937" s="19" t="n">
        <f aca="false">+IF(C937="EQUIPO",F937,0)</f>
        <v>0</v>
      </c>
      <c r="F937" s="33" t="n">
        <v>0</v>
      </c>
      <c r="G937" s="62"/>
      <c r="H937" s="35" t="n">
        <v>0</v>
      </c>
      <c r="I937" s="34" t="n">
        <f aca="false">+IF(E937=0,0,E937*0.03)</f>
        <v>0</v>
      </c>
    </row>
    <row r="938" customFormat="false" ht="15.75" hidden="false" customHeight="true" outlineLevel="0" collapsed="false">
      <c r="A938" s="30" t="n">
        <v>45323</v>
      </c>
      <c r="B938" s="31" t="s">
        <v>11</v>
      </c>
      <c r="C938" s="32"/>
      <c r="D938" s="32"/>
      <c r="E938" s="19" t="n">
        <f aca="false">+IF(C938="EQUIPO",F938,0)</f>
        <v>0</v>
      </c>
      <c r="F938" s="33" t="n">
        <v>0</v>
      </c>
      <c r="G938" s="62"/>
      <c r="H938" s="35" t="n">
        <v>0</v>
      </c>
      <c r="I938" s="34" t="n">
        <f aca="false">+IF(E938=0,0,E938*0.03)</f>
        <v>0</v>
      </c>
    </row>
    <row r="939" customFormat="false" ht="15.75" hidden="false" customHeight="true" outlineLevel="0" collapsed="false">
      <c r="A939" s="30" t="n">
        <v>45323</v>
      </c>
      <c r="B939" s="31" t="s">
        <v>11</v>
      </c>
      <c r="C939" s="32"/>
      <c r="D939" s="32"/>
      <c r="E939" s="19" t="n">
        <f aca="false">+IF(C939="EQUIPO",F939,0)</f>
        <v>0</v>
      </c>
      <c r="F939" s="33" t="n">
        <v>0</v>
      </c>
      <c r="G939" s="62"/>
      <c r="H939" s="35" t="n">
        <v>0</v>
      </c>
      <c r="I939" s="34" t="n">
        <f aca="false">+IF(E939=0,0,E939*0.03)</f>
        <v>0</v>
      </c>
    </row>
    <row r="940" customFormat="false" ht="15.75" hidden="false" customHeight="true" outlineLevel="0" collapsed="false">
      <c r="A940" s="30" t="n">
        <v>45323</v>
      </c>
      <c r="B940" s="31" t="s">
        <v>11</v>
      </c>
      <c r="C940" s="32"/>
      <c r="D940" s="32"/>
      <c r="E940" s="19" t="n">
        <f aca="false">+IF(C940="EQUIPO",F940,0)</f>
        <v>0</v>
      </c>
      <c r="F940" s="33" t="n">
        <v>0</v>
      </c>
      <c r="G940" s="62"/>
      <c r="H940" s="35" t="n">
        <v>0</v>
      </c>
      <c r="I940" s="34" t="n">
        <f aca="false">+IF(E940=0,0,E940*0.03)</f>
        <v>0</v>
      </c>
    </row>
    <row r="941" customFormat="false" ht="15.75" hidden="false" customHeight="true" outlineLevel="0" collapsed="false">
      <c r="A941" s="30" t="n">
        <v>45323</v>
      </c>
      <c r="B941" s="31" t="s">
        <v>11</v>
      </c>
      <c r="C941" s="32"/>
      <c r="D941" s="32"/>
      <c r="E941" s="19" t="n">
        <f aca="false">+IF(C941="EQUIPO",F941,0)</f>
        <v>0</v>
      </c>
      <c r="F941" s="33" t="n">
        <v>0</v>
      </c>
      <c r="G941" s="62"/>
      <c r="H941" s="35" t="n">
        <v>0</v>
      </c>
      <c r="I941" s="34" t="n">
        <f aca="false">+IF(E941=0,0,E941*0.03)</f>
        <v>0</v>
      </c>
    </row>
    <row r="942" customFormat="false" ht="15.75" hidden="false" customHeight="true" outlineLevel="0" collapsed="false">
      <c r="A942" s="30" t="n">
        <v>45323</v>
      </c>
      <c r="B942" s="31" t="s">
        <v>11</v>
      </c>
      <c r="C942" s="32"/>
      <c r="D942" s="32"/>
      <c r="E942" s="19" t="n">
        <f aca="false">+IF(C942="EQUIPO",F942,0)</f>
        <v>0</v>
      </c>
      <c r="F942" s="33" t="n">
        <v>0</v>
      </c>
      <c r="G942" s="62"/>
      <c r="H942" s="35" t="n">
        <v>0</v>
      </c>
      <c r="I942" s="34" t="n">
        <f aca="false">+IF(E942=0,0,E942*0.03)</f>
        <v>0</v>
      </c>
    </row>
    <row r="943" customFormat="false" ht="15.75" hidden="false" customHeight="true" outlineLevel="0" collapsed="false">
      <c r="A943" s="30" t="n">
        <v>45323</v>
      </c>
      <c r="B943" s="31" t="s">
        <v>11</v>
      </c>
      <c r="C943" s="32"/>
      <c r="D943" s="32"/>
      <c r="E943" s="19" t="n">
        <f aca="false">+IF(C943="EQUIPO",F943,0)</f>
        <v>0</v>
      </c>
      <c r="F943" s="33" t="n">
        <v>0</v>
      </c>
      <c r="G943" s="62"/>
      <c r="H943" s="35" t="n">
        <v>0</v>
      </c>
      <c r="I943" s="34" t="n">
        <f aca="false">+IF(E943=0,0,E943*0.03)</f>
        <v>0</v>
      </c>
    </row>
    <row r="944" customFormat="false" ht="15.75" hidden="false" customHeight="true" outlineLevel="0" collapsed="false">
      <c r="A944" s="30" t="n">
        <v>45323</v>
      </c>
      <c r="B944" s="31" t="s">
        <v>11</v>
      </c>
      <c r="C944" s="32"/>
      <c r="D944" s="32"/>
      <c r="E944" s="19" t="n">
        <f aca="false">+IF(C944="EQUIPO",F944,0)</f>
        <v>0</v>
      </c>
      <c r="F944" s="33" t="n">
        <v>0</v>
      </c>
      <c r="G944" s="62"/>
      <c r="H944" s="35" t="n">
        <v>0</v>
      </c>
      <c r="I944" s="34" t="n">
        <f aca="false">+IF(E944=0,0,E944*0.03)</f>
        <v>0</v>
      </c>
    </row>
    <row r="945" customFormat="false" ht="15.75" hidden="false" customHeight="true" outlineLevel="0" collapsed="false">
      <c r="A945" s="30" t="n">
        <v>45323</v>
      </c>
      <c r="B945" s="31" t="s">
        <v>11</v>
      </c>
      <c r="C945" s="32"/>
      <c r="D945" s="32"/>
      <c r="E945" s="19" t="n">
        <f aca="false">+IF(C945="EQUIPO",F945,0)</f>
        <v>0</v>
      </c>
      <c r="F945" s="33" t="n">
        <v>0</v>
      </c>
      <c r="G945" s="62"/>
      <c r="H945" s="35" t="n">
        <v>0</v>
      </c>
      <c r="I945" s="34" t="n">
        <f aca="false">+IF(E945=0,0,E945*0.03)</f>
        <v>0</v>
      </c>
    </row>
    <row r="946" customFormat="false" ht="15.75" hidden="false" customHeight="true" outlineLevel="0" collapsed="false">
      <c r="A946" s="30" t="n">
        <v>45323</v>
      </c>
      <c r="B946" s="31" t="s">
        <v>11</v>
      </c>
      <c r="C946" s="32"/>
      <c r="D946" s="32"/>
      <c r="E946" s="19" t="n">
        <f aca="false">+IF(C946="EQUIPO",F946,0)</f>
        <v>0</v>
      </c>
      <c r="F946" s="33" t="n">
        <v>0</v>
      </c>
      <c r="G946" s="62"/>
      <c r="H946" s="35" t="n">
        <v>0</v>
      </c>
      <c r="I946" s="34" t="n">
        <f aca="false">+IF(E946=0,0,E946*0.03)</f>
        <v>0</v>
      </c>
    </row>
    <row r="947" customFormat="false" ht="15.75" hidden="false" customHeight="true" outlineLevel="0" collapsed="false">
      <c r="A947" s="30" t="n">
        <v>45323</v>
      </c>
      <c r="B947" s="31" t="s">
        <v>11</v>
      </c>
      <c r="C947" s="32"/>
      <c r="D947" s="32"/>
      <c r="E947" s="19" t="n">
        <f aca="false">+IF(C947="EQUIPO",F947,0)</f>
        <v>0</v>
      </c>
      <c r="F947" s="33" t="n">
        <v>0</v>
      </c>
      <c r="G947" s="62"/>
      <c r="H947" s="35" t="n">
        <v>0</v>
      </c>
      <c r="I947" s="34" t="n">
        <f aca="false">+IF(E947=0,0,E947*0.03)</f>
        <v>0</v>
      </c>
    </row>
    <row r="948" customFormat="false" ht="15.75" hidden="false" customHeight="true" outlineLevel="0" collapsed="false">
      <c r="A948" s="30" t="n">
        <v>45323</v>
      </c>
      <c r="B948" s="31" t="s">
        <v>11</v>
      </c>
      <c r="C948" s="32"/>
      <c r="D948" s="32"/>
      <c r="E948" s="19" t="n">
        <f aca="false">+IF(C948="EQUIPO",F948,0)</f>
        <v>0</v>
      </c>
      <c r="F948" s="33" t="n">
        <v>0</v>
      </c>
      <c r="G948" s="62"/>
      <c r="H948" s="35" t="n">
        <v>0</v>
      </c>
      <c r="I948" s="34" t="n">
        <f aca="false">+IF(E948=0,0,E948*0.03)</f>
        <v>0</v>
      </c>
    </row>
    <row r="949" customFormat="false" ht="15.75" hidden="false" customHeight="true" outlineLevel="0" collapsed="false">
      <c r="A949" s="30" t="n">
        <v>45323</v>
      </c>
      <c r="B949" s="31" t="s">
        <v>11</v>
      </c>
      <c r="C949" s="32"/>
      <c r="D949" s="32"/>
      <c r="E949" s="19" t="n">
        <f aca="false">+IF(C949="EQUIPO",F949,0)</f>
        <v>0</v>
      </c>
      <c r="F949" s="33" t="n">
        <v>0</v>
      </c>
      <c r="G949" s="62"/>
      <c r="H949" s="35" t="n">
        <v>0</v>
      </c>
      <c r="I949" s="34" t="n">
        <f aca="false">+IF(E949=0,0,E949*0.03)</f>
        <v>0</v>
      </c>
    </row>
    <row r="950" customFormat="false" ht="15.75" hidden="false" customHeight="true" outlineLevel="0" collapsed="false">
      <c r="A950" s="30" t="n">
        <v>45323</v>
      </c>
      <c r="B950" s="31" t="s">
        <v>11</v>
      </c>
      <c r="C950" s="32"/>
      <c r="D950" s="32"/>
      <c r="E950" s="19" t="n">
        <f aca="false">+IF(C950="EQUIPO",F950,0)</f>
        <v>0</v>
      </c>
      <c r="F950" s="33" t="n">
        <v>0</v>
      </c>
      <c r="G950" s="62"/>
      <c r="H950" s="35" t="n">
        <v>0</v>
      </c>
      <c r="I950" s="34" t="n">
        <f aca="false">+IF(E950=0,0,E950*0.03)</f>
        <v>0</v>
      </c>
    </row>
    <row r="951" customFormat="false" ht="15.75" hidden="false" customHeight="true" outlineLevel="0" collapsed="false">
      <c r="A951" s="30" t="n">
        <v>45323</v>
      </c>
      <c r="B951" s="31" t="s">
        <v>11</v>
      </c>
      <c r="C951" s="32"/>
      <c r="D951" s="32"/>
      <c r="E951" s="19" t="n">
        <f aca="false">+IF(C951="EQUIPO",F951,0)</f>
        <v>0</v>
      </c>
      <c r="F951" s="33" t="n">
        <v>0</v>
      </c>
      <c r="G951" s="62"/>
      <c r="H951" s="35" t="n">
        <v>0</v>
      </c>
      <c r="I951" s="34" t="n">
        <f aca="false">+IF(E951=0,0,E951*0.03)</f>
        <v>0</v>
      </c>
    </row>
    <row r="952" customFormat="false" ht="15.75" hidden="false" customHeight="true" outlineLevel="0" collapsed="false">
      <c r="A952" s="30" t="n">
        <v>45323</v>
      </c>
      <c r="B952" s="31" t="s">
        <v>11</v>
      </c>
      <c r="C952" s="32"/>
      <c r="D952" s="32"/>
      <c r="E952" s="19" t="n">
        <f aca="false">+IF(C952="EQUIPO",F952,0)</f>
        <v>0</v>
      </c>
      <c r="F952" s="33" t="n">
        <v>0</v>
      </c>
      <c r="G952" s="62"/>
      <c r="H952" s="35" t="n">
        <v>0</v>
      </c>
      <c r="I952" s="34" t="n">
        <f aca="false">+IF(E952=0,0,E952*0.03)</f>
        <v>0</v>
      </c>
    </row>
    <row r="953" customFormat="false" ht="15.75" hidden="false" customHeight="true" outlineLevel="0" collapsed="false">
      <c r="A953" s="30" t="n">
        <v>45323</v>
      </c>
      <c r="B953" s="31" t="s">
        <v>11</v>
      </c>
      <c r="C953" s="32"/>
      <c r="D953" s="32"/>
      <c r="E953" s="19" t="n">
        <f aca="false">+IF(C953="EQUIPO",F953,0)</f>
        <v>0</v>
      </c>
      <c r="F953" s="33" t="n">
        <v>0</v>
      </c>
      <c r="G953" s="62"/>
      <c r="H953" s="35" t="n">
        <v>0</v>
      </c>
      <c r="I953" s="34" t="n">
        <f aca="false">+IF(E953=0,0,E953*0.03)</f>
        <v>0</v>
      </c>
    </row>
    <row r="954" customFormat="false" ht="15.75" hidden="false" customHeight="true" outlineLevel="0" collapsed="false">
      <c r="A954" s="30" t="n">
        <v>45323</v>
      </c>
      <c r="B954" s="31" t="s">
        <v>11</v>
      </c>
      <c r="C954" s="32"/>
      <c r="D954" s="32"/>
      <c r="E954" s="19" t="n">
        <f aca="false">+IF(C954="EQUIPO",F954,0)</f>
        <v>0</v>
      </c>
      <c r="F954" s="33" t="n">
        <v>0</v>
      </c>
      <c r="G954" s="62"/>
      <c r="H954" s="35" t="n">
        <v>0</v>
      </c>
      <c r="I954" s="34" t="n">
        <f aca="false">+IF(E954=0,0,E954*0.03)</f>
        <v>0</v>
      </c>
    </row>
    <row r="955" customFormat="false" ht="15.75" hidden="false" customHeight="true" outlineLevel="0" collapsed="false">
      <c r="A955" s="30" t="n">
        <v>45323</v>
      </c>
      <c r="B955" s="31" t="s">
        <v>11</v>
      </c>
      <c r="C955" s="32"/>
      <c r="D955" s="32"/>
      <c r="E955" s="19" t="n">
        <f aca="false">+IF(C955="EQUIPO",F955,0)</f>
        <v>0</v>
      </c>
      <c r="F955" s="33" t="n">
        <v>0</v>
      </c>
      <c r="G955" s="62"/>
      <c r="H955" s="35" t="n">
        <v>0</v>
      </c>
      <c r="I955" s="34" t="n">
        <f aca="false">+IF(E955=0,0,E955*0.03)</f>
        <v>0</v>
      </c>
    </row>
    <row r="956" customFormat="false" ht="15.75" hidden="false" customHeight="true" outlineLevel="0" collapsed="false">
      <c r="A956" s="30" t="n">
        <v>45323</v>
      </c>
      <c r="B956" s="31" t="s">
        <v>11</v>
      </c>
      <c r="C956" s="32"/>
      <c r="D956" s="32"/>
      <c r="E956" s="19" t="n">
        <f aca="false">+IF(C956="EQUIPO",F956,0)</f>
        <v>0</v>
      </c>
      <c r="F956" s="33" t="n">
        <v>0</v>
      </c>
      <c r="G956" s="62"/>
      <c r="H956" s="35" t="n">
        <v>0</v>
      </c>
      <c r="I956" s="34" t="n">
        <f aca="false">+IF(E956=0,0,E956*0.03)</f>
        <v>0</v>
      </c>
    </row>
    <row r="957" customFormat="false" ht="15.75" hidden="false" customHeight="true" outlineLevel="0" collapsed="false">
      <c r="A957" s="30" t="n">
        <v>45323</v>
      </c>
      <c r="B957" s="31" t="s">
        <v>11</v>
      </c>
      <c r="C957" s="32"/>
      <c r="D957" s="32"/>
      <c r="E957" s="19" t="n">
        <f aca="false">+IF(C957="EQUIPO",F957,0)</f>
        <v>0</v>
      </c>
      <c r="F957" s="33" t="n">
        <v>0</v>
      </c>
      <c r="G957" s="62"/>
      <c r="H957" s="35" t="n">
        <v>0</v>
      </c>
      <c r="I957" s="34" t="n">
        <f aca="false">+IF(E957=0,0,E957*0.03)</f>
        <v>0</v>
      </c>
    </row>
    <row r="958" customFormat="false" ht="15.75" hidden="false" customHeight="true" outlineLevel="0" collapsed="false">
      <c r="A958" s="30" t="n">
        <v>45323</v>
      </c>
      <c r="B958" s="31" t="s">
        <v>11</v>
      </c>
      <c r="C958" s="32"/>
      <c r="D958" s="32"/>
      <c r="E958" s="19" t="n">
        <f aca="false">+IF(C958="EQUIPO",F958,0)</f>
        <v>0</v>
      </c>
      <c r="F958" s="33" t="n">
        <v>0</v>
      </c>
      <c r="G958" s="62"/>
      <c r="H958" s="35" t="n">
        <v>0</v>
      </c>
      <c r="I958" s="34" t="n">
        <f aca="false">+IF(E958=0,0,E958*0.03)</f>
        <v>0</v>
      </c>
    </row>
    <row r="959" customFormat="false" ht="15.75" hidden="false" customHeight="true" outlineLevel="0" collapsed="false">
      <c r="A959" s="30" t="n">
        <v>45323</v>
      </c>
      <c r="B959" s="31" t="s">
        <v>11</v>
      </c>
      <c r="C959" s="32"/>
      <c r="D959" s="32"/>
      <c r="E959" s="19" t="n">
        <f aca="false">+IF(C959="EQUIPO",F959,0)</f>
        <v>0</v>
      </c>
      <c r="F959" s="33" t="n">
        <v>0</v>
      </c>
      <c r="G959" s="62"/>
      <c r="H959" s="35" t="n">
        <v>0</v>
      </c>
      <c r="I959" s="34" t="n">
        <f aca="false">+IF(E959=0,0,E959*0.03)</f>
        <v>0</v>
      </c>
    </row>
    <row r="960" customFormat="false" ht="15.75" hidden="false" customHeight="true" outlineLevel="0" collapsed="false">
      <c r="A960" s="30" t="n">
        <v>45323</v>
      </c>
      <c r="B960" s="31" t="s">
        <v>11</v>
      </c>
      <c r="C960" s="32"/>
      <c r="D960" s="32"/>
      <c r="E960" s="19" t="n">
        <f aca="false">+IF(C960="EQUIPO",F960,0)</f>
        <v>0</v>
      </c>
      <c r="F960" s="33" t="n">
        <v>0</v>
      </c>
      <c r="G960" s="62"/>
      <c r="H960" s="35" t="n">
        <v>0</v>
      </c>
      <c r="I960" s="34" t="n">
        <f aca="false">+IF(E960=0,0,E960*0.03)</f>
        <v>0</v>
      </c>
    </row>
    <row r="961" customFormat="false" ht="15.75" hidden="false" customHeight="true" outlineLevel="0" collapsed="false">
      <c r="A961" s="30" t="n">
        <v>45323</v>
      </c>
      <c r="B961" s="31" t="s">
        <v>11</v>
      </c>
      <c r="C961" s="32"/>
      <c r="D961" s="32"/>
      <c r="E961" s="19" t="n">
        <f aca="false">+IF(C961="EQUIPO",F961,0)</f>
        <v>0</v>
      </c>
      <c r="F961" s="33" t="n">
        <v>0</v>
      </c>
      <c r="G961" s="62"/>
      <c r="H961" s="35" t="n">
        <v>0</v>
      </c>
      <c r="I961" s="34" t="n">
        <f aca="false">+IF(E961=0,0,E961*0.03)</f>
        <v>0</v>
      </c>
    </row>
    <row r="962" customFormat="false" ht="15.75" hidden="false" customHeight="true" outlineLevel="0" collapsed="false">
      <c r="A962" s="30" t="n">
        <v>45323</v>
      </c>
      <c r="B962" s="31" t="s">
        <v>11</v>
      </c>
      <c r="C962" s="32"/>
      <c r="D962" s="32"/>
      <c r="E962" s="19" t="n">
        <f aca="false">+IF(C962="EQUIPO",F962,0)</f>
        <v>0</v>
      </c>
      <c r="F962" s="33" t="n">
        <v>0</v>
      </c>
      <c r="G962" s="62"/>
      <c r="H962" s="35" t="n">
        <v>0</v>
      </c>
      <c r="I962" s="34" t="n">
        <f aca="false">+IF(E962=0,0,E962*0.03)</f>
        <v>0</v>
      </c>
    </row>
    <row r="963" customFormat="false" ht="15.75" hidden="false" customHeight="true" outlineLevel="0" collapsed="false">
      <c r="A963" s="30" t="n">
        <v>45323</v>
      </c>
      <c r="B963" s="31" t="s">
        <v>11</v>
      </c>
      <c r="C963" s="32"/>
      <c r="D963" s="32"/>
      <c r="E963" s="19" t="n">
        <f aca="false">+IF(C963="EQUIPO",F963,0)</f>
        <v>0</v>
      </c>
      <c r="F963" s="33" t="n">
        <v>0</v>
      </c>
      <c r="G963" s="62"/>
      <c r="H963" s="35" t="n">
        <v>0</v>
      </c>
      <c r="I963" s="34" t="n">
        <f aca="false">+IF(E963=0,0,E963*0.03)</f>
        <v>0</v>
      </c>
    </row>
    <row r="964" customFormat="false" ht="15.75" hidden="false" customHeight="true" outlineLevel="0" collapsed="false">
      <c r="A964" s="30" t="n">
        <v>45323</v>
      </c>
      <c r="B964" s="31" t="s">
        <v>11</v>
      </c>
      <c r="C964" s="32"/>
      <c r="D964" s="32"/>
      <c r="E964" s="19" t="n">
        <f aca="false">+IF(C964="EQUIPO",F964,0)</f>
        <v>0</v>
      </c>
      <c r="F964" s="33" t="n">
        <v>0</v>
      </c>
      <c r="G964" s="62"/>
      <c r="H964" s="35" t="n">
        <v>0</v>
      </c>
      <c r="I964" s="34" t="n">
        <f aca="false">+IF(E964=0,0,E964*0.03)</f>
        <v>0</v>
      </c>
    </row>
    <row r="965" customFormat="false" ht="15.75" hidden="false" customHeight="true" outlineLevel="0" collapsed="false">
      <c r="A965" s="30" t="n">
        <v>45323</v>
      </c>
      <c r="B965" s="31" t="s">
        <v>11</v>
      </c>
      <c r="C965" s="32"/>
      <c r="D965" s="32"/>
      <c r="E965" s="19" t="n">
        <f aca="false">+IF(C965="EQUIPO",F965,0)</f>
        <v>0</v>
      </c>
      <c r="F965" s="33" t="n">
        <v>0</v>
      </c>
      <c r="G965" s="62"/>
      <c r="H965" s="35" t="n">
        <v>0</v>
      </c>
      <c r="I965" s="34" t="n">
        <f aca="false">+IF(E965=0,0,E965*0.03)</f>
        <v>0</v>
      </c>
    </row>
    <row r="966" customFormat="false" ht="15.75" hidden="false" customHeight="true" outlineLevel="0" collapsed="false">
      <c r="A966" s="30" t="n">
        <v>45323</v>
      </c>
      <c r="B966" s="31" t="s">
        <v>11</v>
      </c>
      <c r="C966" s="32"/>
      <c r="D966" s="32"/>
      <c r="E966" s="19" t="n">
        <f aca="false">+IF(C966="EQUIPO",F966,0)</f>
        <v>0</v>
      </c>
      <c r="F966" s="33" t="n">
        <v>0</v>
      </c>
      <c r="G966" s="62"/>
      <c r="H966" s="35" t="n">
        <v>0</v>
      </c>
      <c r="I966" s="34" t="n">
        <f aca="false">+IF(E966=0,0,E966*0.03)</f>
        <v>0</v>
      </c>
    </row>
    <row r="967" customFormat="false" ht="15.75" hidden="false" customHeight="true" outlineLevel="0" collapsed="false">
      <c r="A967" s="30" t="n">
        <v>45323</v>
      </c>
      <c r="B967" s="31" t="s">
        <v>11</v>
      </c>
      <c r="C967" s="32"/>
      <c r="D967" s="32"/>
      <c r="E967" s="19" t="n">
        <f aca="false">+IF(C967="EQUIPO",F967,0)</f>
        <v>0</v>
      </c>
      <c r="F967" s="33" t="n">
        <v>0</v>
      </c>
      <c r="G967" s="62"/>
      <c r="H967" s="35" t="n">
        <v>0</v>
      </c>
      <c r="I967" s="34" t="n">
        <f aca="false">+IF(E967=0,0,E967*0.03)</f>
        <v>0</v>
      </c>
    </row>
    <row r="968" customFormat="false" ht="15.75" hidden="false" customHeight="true" outlineLevel="0" collapsed="false">
      <c r="A968" s="30" t="n">
        <v>45323</v>
      </c>
      <c r="B968" s="31" t="s">
        <v>11</v>
      </c>
      <c r="C968" s="32"/>
      <c r="D968" s="32"/>
      <c r="E968" s="19" t="n">
        <f aca="false">+IF(C968="EQUIPO",F968,0)</f>
        <v>0</v>
      </c>
      <c r="F968" s="33" t="n">
        <v>0</v>
      </c>
      <c r="G968" s="62"/>
      <c r="H968" s="35" t="n">
        <v>0</v>
      </c>
      <c r="I968" s="34" t="n">
        <f aca="false">+IF(E968=0,0,E968*0.03)</f>
        <v>0</v>
      </c>
    </row>
    <row r="969" customFormat="false" ht="15.75" hidden="false" customHeight="true" outlineLevel="0" collapsed="false">
      <c r="A969" s="30" t="n">
        <v>45323</v>
      </c>
      <c r="B969" s="31" t="s">
        <v>11</v>
      </c>
      <c r="C969" s="32"/>
      <c r="D969" s="32"/>
      <c r="E969" s="19" t="n">
        <f aca="false">+IF(C969="EQUIPO",F969,0)</f>
        <v>0</v>
      </c>
      <c r="F969" s="33" t="n">
        <v>0</v>
      </c>
      <c r="G969" s="62"/>
      <c r="H969" s="35" t="n">
        <v>0</v>
      </c>
      <c r="I969" s="34" t="n">
        <f aca="false">+IF(E969=0,0,E969*0.03)</f>
        <v>0</v>
      </c>
    </row>
    <row r="970" customFormat="false" ht="15.75" hidden="false" customHeight="true" outlineLevel="0" collapsed="false">
      <c r="A970" s="30" t="n">
        <v>45323</v>
      </c>
      <c r="B970" s="31" t="s">
        <v>11</v>
      </c>
      <c r="C970" s="32"/>
      <c r="D970" s="32"/>
      <c r="E970" s="19" t="n">
        <f aca="false">+IF(C970="EQUIPO",F970,0)</f>
        <v>0</v>
      </c>
      <c r="F970" s="33" t="n">
        <v>0</v>
      </c>
      <c r="G970" s="62"/>
      <c r="H970" s="35" t="n">
        <v>0</v>
      </c>
      <c r="I970" s="34" t="n">
        <f aca="false">+IF(E970=0,0,E970*0.03)</f>
        <v>0</v>
      </c>
    </row>
    <row r="971" customFormat="false" ht="15.75" hidden="false" customHeight="true" outlineLevel="0" collapsed="false">
      <c r="A971" s="30" t="n">
        <v>45323</v>
      </c>
      <c r="B971" s="31" t="s">
        <v>11</v>
      </c>
      <c r="C971" s="32"/>
      <c r="D971" s="32"/>
      <c r="E971" s="19" t="n">
        <f aca="false">+IF(C971="EQUIPO",F971,0)</f>
        <v>0</v>
      </c>
      <c r="F971" s="33" t="n">
        <v>0</v>
      </c>
      <c r="G971" s="62"/>
      <c r="H971" s="35" t="n">
        <v>0</v>
      </c>
      <c r="I971" s="34" t="n">
        <f aca="false">+IF(E971=0,0,E971*0.03)</f>
        <v>0</v>
      </c>
    </row>
    <row r="972" customFormat="false" ht="15.75" hidden="false" customHeight="true" outlineLevel="0" collapsed="false">
      <c r="A972" s="30" t="n">
        <v>45323</v>
      </c>
      <c r="B972" s="31" t="s">
        <v>11</v>
      </c>
      <c r="C972" s="32"/>
      <c r="D972" s="32"/>
      <c r="E972" s="19" t="n">
        <f aca="false">+IF(C972="EQUIPO",F972,0)</f>
        <v>0</v>
      </c>
      <c r="F972" s="33" t="n">
        <v>0</v>
      </c>
      <c r="G972" s="62"/>
      <c r="H972" s="35" t="n">
        <v>0</v>
      </c>
      <c r="I972" s="34" t="n">
        <f aca="false">+IF(E972=0,0,E972*0.03)</f>
        <v>0</v>
      </c>
    </row>
    <row r="973" customFormat="false" ht="15.75" hidden="false" customHeight="true" outlineLevel="0" collapsed="false">
      <c r="A973" s="30" t="n">
        <v>45323</v>
      </c>
      <c r="B973" s="31" t="s">
        <v>11</v>
      </c>
      <c r="C973" s="32"/>
      <c r="D973" s="32"/>
      <c r="E973" s="19" t="n">
        <f aca="false">+IF(C973="EQUIPO",F973,0)</f>
        <v>0</v>
      </c>
      <c r="F973" s="33" t="n">
        <v>0</v>
      </c>
      <c r="G973" s="62"/>
      <c r="H973" s="35" t="n">
        <v>0</v>
      </c>
      <c r="I973" s="34" t="n">
        <f aca="false">+IF(E973=0,0,E973*0.03)</f>
        <v>0</v>
      </c>
    </row>
    <row r="974" customFormat="false" ht="15.75" hidden="false" customHeight="true" outlineLevel="0" collapsed="false">
      <c r="A974" s="30" t="n">
        <v>45323</v>
      </c>
      <c r="B974" s="31" t="s">
        <v>11</v>
      </c>
      <c r="C974" s="32"/>
      <c r="D974" s="32"/>
      <c r="E974" s="19" t="n">
        <f aca="false">+IF(C974="EQUIPO",F974,0)</f>
        <v>0</v>
      </c>
      <c r="F974" s="33" t="n">
        <v>0</v>
      </c>
      <c r="G974" s="62"/>
      <c r="H974" s="35" t="n">
        <v>0</v>
      </c>
      <c r="I974" s="34" t="n">
        <f aca="false">+IF(E974=0,0,E974*0.03)</f>
        <v>0</v>
      </c>
    </row>
    <row r="975" customFormat="false" ht="15.75" hidden="false" customHeight="true" outlineLevel="0" collapsed="false">
      <c r="A975" s="30" t="n">
        <v>45323</v>
      </c>
      <c r="B975" s="31" t="s">
        <v>11</v>
      </c>
      <c r="C975" s="32"/>
      <c r="D975" s="32"/>
      <c r="E975" s="19" t="n">
        <f aca="false">+IF(C975="EQUIPO",F975,0)</f>
        <v>0</v>
      </c>
      <c r="F975" s="33" t="n">
        <v>0</v>
      </c>
      <c r="G975" s="62"/>
      <c r="H975" s="35" t="n">
        <v>0</v>
      </c>
      <c r="I975" s="34" t="n">
        <f aca="false">+IF(E975=0,0,E975*0.03)</f>
        <v>0</v>
      </c>
    </row>
    <row r="976" customFormat="false" ht="15.75" hidden="false" customHeight="true" outlineLevel="0" collapsed="false">
      <c r="A976" s="30" t="n">
        <v>45323</v>
      </c>
      <c r="B976" s="31" t="s">
        <v>11</v>
      </c>
      <c r="C976" s="32"/>
      <c r="D976" s="32"/>
      <c r="E976" s="19" t="n">
        <f aca="false">+IF(C976="EQUIPO",F976,0)</f>
        <v>0</v>
      </c>
      <c r="F976" s="33" t="n">
        <v>0</v>
      </c>
      <c r="G976" s="62"/>
      <c r="H976" s="35" t="n">
        <v>0</v>
      </c>
      <c r="I976" s="34" t="n">
        <f aca="false">+IF(E976=0,0,E976*0.03)</f>
        <v>0</v>
      </c>
    </row>
    <row r="977" customFormat="false" ht="15.75" hidden="false" customHeight="true" outlineLevel="0" collapsed="false">
      <c r="A977" s="30" t="n">
        <v>45323</v>
      </c>
      <c r="B977" s="31" t="s">
        <v>11</v>
      </c>
      <c r="C977" s="32"/>
      <c r="D977" s="32"/>
      <c r="E977" s="19" t="n">
        <f aca="false">+IF(C977="EQUIPO",F977,0)</f>
        <v>0</v>
      </c>
      <c r="F977" s="33" t="n">
        <v>0</v>
      </c>
      <c r="G977" s="62"/>
      <c r="H977" s="35" t="n">
        <v>0</v>
      </c>
      <c r="I977" s="34" t="n">
        <f aca="false">+IF(E977=0,0,E977*0.03)</f>
        <v>0</v>
      </c>
    </row>
    <row r="978" customFormat="false" ht="15.75" hidden="false" customHeight="true" outlineLevel="0" collapsed="false">
      <c r="A978" s="30" t="n">
        <v>45323</v>
      </c>
      <c r="B978" s="31" t="s">
        <v>11</v>
      </c>
      <c r="C978" s="32"/>
      <c r="D978" s="32"/>
      <c r="E978" s="19" t="n">
        <f aca="false">+IF(C978="EQUIPO",F978,0)</f>
        <v>0</v>
      </c>
      <c r="F978" s="33" t="n">
        <v>0</v>
      </c>
      <c r="G978" s="62"/>
      <c r="H978" s="35" t="n">
        <v>0</v>
      </c>
      <c r="I978" s="34" t="n">
        <f aca="false">+IF(E978=0,0,E978*0.03)</f>
        <v>0</v>
      </c>
    </row>
    <row r="979" customFormat="false" ht="15.75" hidden="false" customHeight="true" outlineLevel="0" collapsed="false">
      <c r="A979" s="30" t="n">
        <v>45323</v>
      </c>
      <c r="B979" s="31" t="s">
        <v>11</v>
      </c>
      <c r="C979" s="32"/>
      <c r="D979" s="32"/>
      <c r="E979" s="19" t="n">
        <f aca="false">+IF(C979="EQUIPO",F979,0)</f>
        <v>0</v>
      </c>
      <c r="F979" s="33" t="n">
        <v>0</v>
      </c>
      <c r="G979" s="62"/>
      <c r="H979" s="35" t="n">
        <v>0</v>
      </c>
      <c r="I979" s="34" t="n">
        <f aca="false">+IF(E979=0,0,E979*0.03)</f>
        <v>0</v>
      </c>
    </row>
    <row r="980" customFormat="false" ht="15.75" hidden="false" customHeight="true" outlineLevel="0" collapsed="false">
      <c r="A980" s="30" t="n">
        <v>45323</v>
      </c>
      <c r="B980" s="31" t="s">
        <v>11</v>
      </c>
      <c r="C980" s="32"/>
      <c r="D980" s="32"/>
      <c r="E980" s="19" t="n">
        <f aca="false">+IF(C980="EQUIPO",F980,0)</f>
        <v>0</v>
      </c>
      <c r="F980" s="33" t="n">
        <v>0</v>
      </c>
      <c r="G980" s="62"/>
      <c r="H980" s="35" t="n">
        <v>0</v>
      </c>
      <c r="I980" s="34" t="n">
        <f aca="false">+IF(E980=0,0,E980*0.03)</f>
        <v>0</v>
      </c>
    </row>
    <row r="981" customFormat="false" ht="15.75" hidden="false" customHeight="true" outlineLevel="0" collapsed="false">
      <c r="A981" s="30" t="n">
        <v>45323</v>
      </c>
      <c r="B981" s="31" t="s">
        <v>11</v>
      </c>
      <c r="C981" s="32"/>
      <c r="D981" s="32"/>
      <c r="E981" s="19" t="n">
        <f aca="false">+IF(C981="EQUIPO",F981,0)</f>
        <v>0</v>
      </c>
      <c r="F981" s="33" t="n">
        <v>0</v>
      </c>
      <c r="G981" s="62"/>
      <c r="H981" s="35" t="n">
        <v>0</v>
      </c>
      <c r="I981" s="34" t="n">
        <f aca="false">+IF(E981=0,0,E981*0.03)</f>
        <v>0</v>
      </c>
    </row>
    <row r="982" customFormat="false" ht="15.75" hidden="false" customHeight="true" outlineLevel="0" collapsed="false">
      <c r="A982" s="30" t="n">
        <v>45323</v>
      </c>
      <c r="B982" s="31" t="s">
        <v>11</v>
      </c>
      <c r="C982" s="32"/>
      <c r="D982" s="32"/>
      <c r="E982" s="19" t="n">
        <f aca="false">+IF(C982="EQUIPO",F982,0)</f>
        <v>0</v>
      </c>
      <c r="F982" s="33" t="n">
        <v>0</v>
      </c>
      <c r="G982" s="62"/>
      <c r="H982" s="35" t="n">
        <v>0</v>
      </c>
      <c r="I982" s="34" t="n">
        <f aca="false">+IF(E982=0,0,E982*0.03)</f>
        <v>0</v>
      </c>
    </row>
    <row r="983" customFormat="false" ht="15.75" hidden="false" customHeight="true" outlineLevel="0" collapsed="false">
      <c r="A983" s="30" t="n">
        <v>45323</v>
      </c>
      <c r="B983" s="31" t="s">
        <v>11</v>
      </c>
      <c r="C983" s="32"/>
      <c r="D983" s="32"/>
      <c r="E983" s="19" t="n">
        <f aca="false">+IF(C983="EQUIPO",F983,0)</f>
        <v>0</v>
      </c>
      <c r="F983" s="33" t="n">
        <v>0</v>
      </c>
      <c r="G983" s="62"/>
      <c r="H983" s="35" t="n">
        <v>0</v>
      </c>
      <c r="I983" s="34" t="n">
        <f aca="false">+IF(E983=0,0,E983*0.03)</f>
        <v>0</v>
      </c>
    </row>
    <row r="984" customFormat="false" ht="15.75" hidden="false" customHeight="true" outlineLevel="0" collapsed="false">
      <c r="A984" s="30" t="n">
        <v>45323</v>
      </c>
      <c r="B984" s="31" t="s">
        <v>11</v>
      </c>
      <c r="C984" s="32"/>
      <c r="D984" s="32"/>
      <c r="E984" s="19" t="n">
        <f aca="false">+IF(C984="EQUIPO",F984,0)</f>
        <v>0</v>
      </c>
      <c r="F984" s="33" t="n">
        <v>0</v>
      </c>
      <c r="G984" s="62"/>
      <c r="H984" s="35" t="n">
        <v>0</v>
      </c>
      <c r="I984" s="34" t="n">
        <f aca="false">+IF(E984=0,0,E984*0.03)</f>
        <v>0</v>
      </c>
    </row>
    <row r="985" customFormat="false" ht="15.75" hidden="false" customHeight="true" outlineLevel="0" collapsed="false">
      <c r="A985" s="30" t="n">
        <v>45323</v>
      </c>
      <c r="B985" s="31" t="s">
        <v>11</v>
      </c>
      <c r="C985" s="32"/>
      <c r="D985" s="32"/>
      <c r="E985" s="19" t="n">
        <f aca="false">+IF(C985="EQUIPO",F985,0)</f>
        <v>0</v>
      </c>
      <c r="F985" s="33" t="n">
        <v>0</v>
      </c>
      <c r="G985" s="62"/>
      <c r="H985" s="35" t="n">
        <v>0</v>
      </c>
      <c r="I985" s="34" t="n">
        <f aca="false">+IF(E985=0,0,E985*0.03)</f>
        <v>0</v>
      </c>
    </row>
    <row r="986" customFormat="false" ht="15.75" hidden="false" customHeight="true" outlineLevel="0" collapsed="false">
      <c r="A986" s="30" t="n">
        <v>45323</v>
      </c>
      <c r="B986" s="31" t="s">
        <v>11</v>
      </c>
      <c r="C986" s="32"/>
      <c r="D986" s="32"/>
      <c r="E986" s="19" t="n">
        <f aca="false">+IF(C986="EQUIPO",F986,0)</f>
        <v>0</v>
      </c>
      <c r="F986" s="33" t="n">
        <v>0</v>
      </c>
      <c r="G986" s="62"/>
      <c r="H986" s="35" t="n">
        <v>0</v>
      </c>
      <c r="I986" s="34" t="n">
        <f aca="false">+IF(E986=0,0,E986*0.03)</f>
        <v>0</v>
      </c>
    </row>
    <row r="987" customFormat="false" ht="15.75" hidden="false" customHeight="true" outlineLevel="0" collapsed="false">
      <c r="A987" s="30" t="n">
        <v>45323</v>
      </c>
      <c r="B987" s="31" t="s">
        <v>11</v>
      </c>
      <c r="C987" s="32"/>
      <c r="D987" s="32"/>
      <c r="E987" s="19" t="n">
        <f aca="false">+IF(C987="EQUIPO",F987,0)</f>
        <v>0</v>
      </c>
      <c r="F987" s="33" t="n">
        <v>0</v>
      </c>
      <c r="G987" s="62"/>
      <c r="H987" s="35" t="n">
        <v>0</v>
      </c>
      <c r="I987" s="34" t="n">
        <f aca="false">+IF(E987=0,0,E987*0.03)</f>
        <v>0</v>
      </c>
    </row>
    <row r="988" customFormat="false" ht="15.75" hidden="false" customHeight="true" outlineLevel="0" collapsed="false">
      <c r="A988" s="30" t="n">
        <v>45323</v>
      </c>
      <c r="B988" s="31" t="s">
        <v>11</v>
      </c>
      <c r="C988" s="32"/>
      <c r="D988" s="32"/>
      <c r="E988" s="19" t="n">
        <f aca="false">+IF(C988="EQUIPO",F988,0)</f>
        <v>0</v>
      </c>
      <c r="F988" s="33" t="n">
        <v>0</v>
      </c>
      <c r="G988" s="62"/>
      <c r="H988" s="35" t="n">
        <v>0</v>
      </c>
      <c r="I988" s="34" t="n">
        <f aca="false">+IF(E988=0,0,E988*0.03)</f>
        <v>0</v>
      </c>
    </row>
    <row r="989" customFormat="false" ht="15.75" hidden="false" customHeight="true" outlineLevel="0" collapsed="false">
      <c r="A989" s="30" t="n">
        <v>45323</v>
      </c>
      <c r="B989" s="31" t="s">
        <v>11</v>
      </c>
      <c r="C989" s="32"/>
      <c r="D989" s="32"/>
      <c r="E989" s="19" t="n">
        <f aca="false">+IF(C989="EQUIPO",F989,0)</f>
        <v>0</v>
      </c>
      <c r="F989" s="33" t="n">
        <v>0</v>
      </c>
      <c r="G989" s="62"/>
      <c r="H989" s="35" t="n">
        <v>0</v>
      </c>
      <c r="I989" s="34" t="n">
        <f aca="false">+IF(E989=0,0,E989*0.03)</f>
        <v>0</v>
      </c>
    </row>
    <row r="990" customFormat="false" ht="15.75" hidden="false" customHeight="true" outlineLevel="0" collapsed="false">
      <c r="A990" s="30" t="n">
        <v>45323</v>
      </c>
      <c r="B990" s="31" t="s">
        <v>11</v>
      </c>
      <c r="C990" s="32"/>
      <c r="D990" s="32"/>
      <c r="E990" s="19" t="n">
        <f aca="false">+IF(C990="EQUIPO",F990,0)</f>
        <v>0</v>
      </c>
      <c r="F990" s="33" t="n">
        <v>0</v>
      </c>
      <c r="G990" s="62"/>
      <c r="H990" s="35" t="n">
        <v>0</v>
      </c>
      <c r="I990" s="34" t="n">
        <f aca="false">+IF(E990=0,0,E990*0.03)</f>
        <v>0</v>
      </c>
    </row>
    <row r="991" customFormat="false" ht="15.75" hidden="false" customHeight="true" outlineLevel="0" collapsed="false">
      <c r="A991" s="30" t="n">
        <v>45323</v>
      </c>
      <c r="B991" s="31" t="s">
        <v>11</v>
      </c>
      <c r="C991" s="32"/>
      <c r="D991" s="32"/>
      <c r="E991" s="19" t="n">
        <f aca="false">+IF(C991="EQUIPO",F991,0)</f>
        <v>0</v>
      </c>
      <c r="F991" s="33" t="n">
        <v>0</v>
      </c>
      <c r="G991" s="62"/>
      <c r="H991" s="35" t="n">
        <v>0</v>
      </c>
      <c r="I991" s="34" t="n">
        <f aca="false">+IF(E991=0,0,E991*0.03)</f>
        <v>0</v>
      </c>
    </row>
    <row r="992" customFormat="false" ht="15.75" hidden="false" customHeight="true" outlineLevel="0" collapsed="false">
      <c r="A992" s="30" t="n">
        <v>45323</v>
      </c>
      <c r="B992" s="31" t="s">
        <v>11</v>
      </c>
      <c r="C992" s="32"/>
      <c r="D992" s="32"/>
      <c r="E992" s="19" t="n">
        <f aca="false">+IF(C992="EQUIPO",F992,0)</f>
        <v>0</v>
      </c>
      <c r="F992" s="33" t="n">
        <v>0</v>
      </c>
      <c r="G992" s="62"/>
      <c r="H992" s="35" t="n">
        <v>0</v>
      </c>
      <c r="I992" s="34" t="n">
        <f aca="false">+IF(E992=0,0,E992*0.03)</f>
        <v>0</v>
      </c>
    </row>
    <row r="993" customFormat="false" ht="15.75" hidden="false" customHeight="true" outlineLevel="0" collapsed="false">
      <c r="A993" s="30" t="n">
        <v>45323</v>
      </c>
      <c r="B993" s="31" t="s">
        <v>11</v>
      </c>
      <c r="C993" s="32"/>
      <c r="D993" s="32"/>
      <c r="E993" s="19" t="n">
        <f aca="false">+IF(C993="EQUIPO",F993,0)</f>
        <v>0</v>
      </c>
      <c r="F993" s="33" t="n">
        <v>0</v>
      </c>
      <c r="G993" s="62"/>
      <c r="H993" s="35" t="n">
        <v>0</v>
      </c>
      <c r="I993" s="34" t="n">
        <f aca="false">+IF(E993=0,0,E993*0.03)</f>
        <v>0</v>
      </c>
    </row>
    <row r="994" customFormat="false" ht="15.75" hidden="false" customHeight="true" outlineLevel="0" collapsed="false">
      <c r="A994" s="30" t="n">
        <v>45323</v>
      </c>
      <c r="B994" s="31" t="s">
        <v>11</v>
      </c>
      <c r="C994" s="32"/>
      <c r="D994" s="32"/>
      <c r="E994" s="19" t="n">
        <f aca="false">+IF(C994="EQUIPO",F994,0)</f>
        <v>0</v>
      </c>
      <c r="F994" s="33" t="n">
        <v>0</v>
      </c>
      <c r="G994" s="62"/>
      <c r="H994" s="35" t="n">
        <v>0</v>
      </c>
      <c r="I994" s="34" t="n">
        <f aca="false">+IF(E994=0,0,E994*0.03)</f>
        <v>0</v>
      </c>
    </row>
    <row r="995" customFormat="false" ht="15.75" hidden="false" customHeight="true" outlineLevel="0" collapsed="false">
      <c r="A995" s="30" t="n">
        <v>45323</v>
      </c>
      <c r="B995" s="31" t="s">
        <v>11</v>
      </c>
      <c r="C995" s="32"/>
      <c r="D995" s="32"/>
      <c r="E995" s="19" t="n">
        <f aca="false">+IF(C995="EQUIPO",F995,0)</f>
        <v>0</v>
      </c>
      <c r="F995" s="33" t="n">
        <v>0</v>
      </c>
      <c r="G995" s="62"/>
      <c r="H995" s="35" t="n">
        <v>0</v>
      </c>
      <c r="I995" s="34" t="n">
        <f aca="false">+IF(E995=0,0,E995*0.03)</f>
        <v>0</v>
      </c>
    </row>
    <row r="996" customFormat="false" ht="15.75" hidden="false" customHeight="true" outlineLevel="0" collapsed="false">
      <c r="A996" s="30" t="n">
        <v>45323</v>
      </c>
      <c r="B996" s="31" t="s">
        <v>11</v>
      </c>
      <c r="C996" s="32"/>
      <c r="D996" s="32"/>
      <c r="E996" s="19" t="n">
        <f aca="false">+IF(C996="EQUIPO",F996,0)</f>
        <v>0</v>
      </c>
      <c r="F996" s="33" t="n">
        <v>0</v>
      </c>
      <c r="G996" s="62"/>
      <c r="H996" s="35" t="n">
        <v>0</v>
      </c>
      <c r="I996" s="34" t="n">
        <f aca="false">+IF(E996=0,0,E996*0.03)</f>
        <v>0</v>
      </c>
    </row>
    <row r="997" customFormat="false" ht="15.75" hidden="false" customHeight="true" outlineLevel="0" collapsed="false">
      <c r="A997" s="30" t="n">
        <v>45323</v>
      </c>
      <c r="B997" s="31" t="s">
        <v>11</v>
      </c>
      <c r="C997" s="32"/>
      <c r="D997" s="32"/>
      <c r="E997" s="19" t="n">
        <f aca="false">+IF(C997="EQUIPO",F997,0)</f>
        <v>0</v>
      </c>
      <c r="F997" s="33" t="n">
        <v>0</v>
      </c>
      <c r="G997" s="62"/>
      <c r="H997" s="35" t="n">
        <v>0</v>
      </c>
      <c r="I997" s="34" t="n">
        <f aca="false">+IF(E997=0,0,E997*0.03)</f>
        <v>0</v>
      </c>
    </row>
    <row r="998" customFormat="false" ht="15.75" hidden="false" customHeight="true" outlineLevel="0" collapsed="false">
      <c r="A998" s="30" t="n">
        <v>45323</v>
      </c>
      <c r="B998" s="31" t="s">
        <v>11</v>
      </c>
      <c r="C998" s="32"/>
      <c r="D998" s="32"/>
      <c r="E998" s="19" t="n">
        <f aca="false">+IF(C998="EQUIPO",F998,0)</f>
        <v>0</v>
      </c>
      <c r="F998" s="33" t="n">
        <v>0</v>
      </c>
      <c r="G998" s="62"/>
      <c r="H998" s="35" t="n">
        <v>0</v>
      </c>
      <c r="I998" s="34" t="n">
        <f aca="false">+IF(E998=0,0,E998*0.03)</f>
        <v>0</v>
      </c>
    </row>
    <row r="999" customFormat="false" ht="15.75" hidden="false" customHeight="true" outlineLevel="0" collapsed="false">
      <c r="A999" s="30" t="n">
        <v>45323</v>
      </c>
      <c r="B999" s="31" t="s">
        <v>11</v>
      </c>
      <c r="C999" s="32"/>
      <c r="D999" s="32"/>
      <c r="E999" s="19" t="n">
        <f aca="false">+IF(C999="EQUIPO",F999,0)</f>
        <v>0</v>
      </c>
      <c r="F999" s="33" t="n">
        <v>0</v>
      </c>
      <c r="G999" s="62"/>
      <c r="H999" s="35" t="n">
        <v>0</v>
      </c>
      <c r="I999" s="34" t="n">
        <f aca="false">+IF(E999=0,0,E999*0.03)</f>
        <v>0</v>
      </c>
    </row>
    <row r="1000" customFormat="false" ht="15.75" hidden="false" customHeight="true" outlineLevel="0" collapsed="false">
      <c r="A1000" s="30" t="n">
        <v>45323</v>
      </c>
      <c r="B1000" s="31" t="s">
        <v>11</v>
      </c>
      <c r="C1000" s="32"/>
      <c r="D1000" s="32"/>
      <c r="E1000" s="19" t="n">
        <f aca="false">+IF(C1000="EQUIPO",F1000,0)</f>
        <v>0</v>
      </c>
      <c r="F1000" s="33" t="n">
        <v>0</v>
      </c>
      <c r="G1000" s="62"/>
      <c r="H1000" s="35" t="n">
        <v>0</v>
      </c>
      <c r="I1000" s="34" t="n">
        <f aca="false">+IF(E1000=0,0,E1000*0.03)</f>
        <v>0</v>
      </c>
    </row>
    <row r="1001" customFormat="false" ht="15.75" hidden="false" customHeight="true" outlineLevel="0" collapsed="false">
      <c r="A1001" s="30" t="n">
        <v>45323</v>
      </c>
      <c r="B1001" s="31" t="s">
        <v>11</v>
      </c>
      <c r="C1001" s="32"/>
      <c r="D1001" s="32"/>
      <c r="E1001" s="19" t="n">
        <f aca="false">+IF(C1001="EQUIPO",F1001,0)</f>
        <v>0</v>
      </c>
      <c r="F1001" s="33" t="n">
        <v>0</v>
      </c>
      <c r="G1001" s="62"/>
      <c r="H1001" s="35" t="n">
        <v>0</v>
      </c>
      <c r="I1001" s="34" t="n">
        <f aca="false">+IF(E1001=0,0,E1001*0.03)</f>
        <v>0</v>
      </c>
    </row>
    <row r="1002" customFormat="false" ht="15.75" hidden="false" customHeight="true" outlineLevel="0" collapsed="false">
      <c r="A1002" s="30" t="n">
        <v>45323</v>
      </c>
      <c r="B1002" s="31" t="s">
        <v>11</v>
      </c>
      <c r="C1002" s="32"/>
      <c r="D1002" s="32"/>
      <c r="E1002" s="19" t="n">
        <f aca="false">+IF(C1002="EQUIPO",F1002,0)</f>
        <v>0</v>
      </c>
      <c r="F1002" s="33" t="n">
        <v>0</v>
      </c>
      <c r="G1002" s="62"/>
      <c r="H1002" s="35" t="n">
        <v>0</v>
      </c>
      <c r="I1002" s="34" t="n">
        <f aca="false">+IF(E1002=0,0,E1002*0.03)</f>
        <v>0</v>
      </c>
    </row>
    <row r="1003" customFormat="false" ht="15.75" hidden="false" customHeight="true" outlineLevel="0" collapsed="false">
      <c r="A1003" s="30" t="n">
        <v>45323</v>
      </c>
      <c r="B1003" s="31" t="s">
        <v>11</v>
      </c>
      <c r="C1003" s="32"/>
      <c r="D1003" s="32"/>
      <c r="E1003" s="19" t="n">
        <f aca="false">+IF(C1003="EQUIPO",F1003,0)</f>
        <v>0</v>
      </c>
      <c r="F1003" s="33" t="n">
        <v>0</v>
      </c>
      <c r="G1003" s="62"/>
      <c r="H1003" s="35" t="n">
        <v>0</v>
      </c>
      <c r="I1003" s="34" t="n">
        <f aca="false">+IF(E1003=0,0,E1003*0.03)</f>
        <v>0</v>
      </c>
    </row>
    <row r="1004" customFormat="false" ht="15.75" hidden="false" customHeight="true" outlineLevel="0" collapsed="false">
      <c r="A1004" s="30" t="n">
        <v>45323</v>
      </c>
      <c r="B1004" s="31" t="s">
        <v>11</v>
      </c>
      <c r="C1004" s="32"/>
      <c r="D1004" s="32"/>
      <c r="E1004" s="19" t="n">
        <f aca="false">+IF(C1004="EQUIPO",F1004,0)</f>
        <v>0</v>
      </c>
      <c r="F1004" s="33" t="n">
        <v>0</v>
      </c>
      <c r="G1004" s="62"/>
      <c r="H1004" s="35" t="n">
        <v>0</v>
      </c>
      <c r="I1004" s="34" t="n">
        <f aca="false">+IF(E1004=0,0,E1004*0.03)</f>
        <v>0</v>
      </c>
    </row>
    <row r="1005" customFormat="false" ht="15.75" hidden="false" customHeight="true" outlineLevel="0" collapsed="false">
      <c r="A1005" s="30" t="n">
        <v>45323</v>
      </c>
      <c r="B1005" s="31" t="s">
        <v>11</v>
      </c>
      <c r="C1005" s="32"/>
      <c r="D1005" s="32"/>
      <c r="E1005" s="19" t="n">
        <f aca="false">+IF(C1005="EQUIPO",F1005,0)</f>
        <v>0</v>
      </c>
      <c r="F1005" s="33" t="n">
        <v>0</v>
      </c>
      <c r="G1005" s="62"/>
      <c r="H1005" s="35" t="n">
        <v>0</v>
      </c>
      <c r="I1005" s="34" t="n">
        <f aca="false">+IF(E1005=0,0,E1005*0.03)</f>
        <v>0</v>
      </c>
    </row>
    <row r="1006" customFormat="false" ht="15.75" hidden="false" customHeight="true" outlineLevel="0" collapsed="false">
      <c r="A1006" s="30" t="n">
        <v>45323</v>
      </c>
      <c r="B1006" s="31" t="s">
        <v>11</v>
      </c>
      <c r="C1006" s="32"/>
      <c r="D1006" s="32"/>
      <c r="E1006" s="19" t="n">
        <f aca="false">+IF(C1006="EQUIPO",F1006,0)</f>
        <v>0</v>
      </c>
      <c r="F1006" s="33" t="n">
        <v>0</v>
      </c>
      <c r="G1006" s="62"/>
      <c r="H1006" s="35" t="n">
        <v>0</v>
      </c>
      <c r="I1006" s="34" t="n">
        <f aca="false">+IF(E1006=0,0,E1006*0.03)</f>
        <v>0</v>
      </c>
    </row>
    <row r="1007" customFormat="false" ht="15.75" hidden="false" customHeight="true" outlineLevel="0" collapsed="false">
      <c r="A1007" s="30" t="n">
        <v>45323</v>
      </c>
      <c r="B1007" s="31" t="s">
        <v>11</v>
      </c>
      <c r="C1007" s="32"/>
      <c r="D1007" s="32"/>
      <c r="E1007" s="19" t="n">
        <f aca="false">+IF(C1007="EQUIPO",F1007,0)</f>
        <v>0</v>
      </c>
      <c r="F1007" s="33" t="n">
        <v>0</v>
      </c>
      <c r="G1007" s="62"/>
      <c r="H1007" s="35" t="n">
        <v>0</v>
      </c>
      <c r="I1007" s="34" t="n">
        <f aca="false">+IF(E1007=0,0,E1007*0.03)</f>
        <v>0</v>
      </c>
    </row>
    <row r="1008" customFormat="false" ht="15.75" hidden="false" customHeight="true" outlineLevel="0" collapsed="false">
      <c r="A1008" s="30" t="n">
        <v>45323</v>
      </c>
      <c r="B1008" s="31" t="s">
        <v>11</v>
      </c>
      <c r="C1008" s="32"/>
      <c r="D1008" s="32"/>
      <c r="E1008" s="19" t="n">
        <f aca="false">+IF(C1008="EQUIPO",F1008,0)</f>
        <v>0</v>
      </c>
      <c r="F1008" s="33" t="n">
        <v>0</v>
      </c>
      <c r="G1008" s="62"/>
      <c r="H1008" s="35" t="n">
        <v>0</v>
      </c>
      <c r="I1008" s="34" t="n">
        <f aca="false">+IF(E1008=0,0,E1008*0.03)</f>
        <v>0</v>
      </c>
    </row>
    <row r="1009" customFormat="false" ht="15.75" hidden="false" customHeight="true" outlineLevel="0" collapsed="false">
      <c r="A1009" s="30" t="n">
        <v>45323</v>
      </c>
      <c r="B1009" s="31" t="s">
        <v>11</v>
      </c>
      <c r="C1009" s="32"/>
      <c r="D1009" s="32"/>
      <c r="E1009" s="19" t="n">
        <f aca="false">+IF(C1009="EQUIPO",F1009,0)</f>
        <v>0</v>
      </c>
      <c r="F1009" s="33" t="n">
        <v>0</v>
      </c>
      <c r="G1009" s="62"/>
      <c r="H1009" s="35" t="n">
        <v>0</v>
      </c>
      <c r="I1009" s="34" t="n">
        <f aca="false">+IF(E1009=0,0,E1009*0.03)</f>
        <v>0</v>
      </c>
    </row>
    <row r="1010" customFormat="false" ht="15.75" hidden="false" customHeight="true" outlineLevel="0" collapsed="false">
      <c r="A1010" s="30" t="n">
        <v>45323</v>
      </c>
      <c r="B1010" s="31" t="s">
        <v>11</v>
      </c>
      <c r="C1010" s="32"/>
      <c r="D1010" s="32"/>
      <c r="E1010" s="19" t="n">
        <f aca="false">+IF(C1010="EQUIPO",F1010,0)</f>
        <v>0</v>
      </c>
      <c r="F1010" s="33" t="n">
        <v>0</v>
      </c>
      <c r="G1010" s="62"/>
      <c r="H1010" s="35" t="n">
        <v>0</v>
      </c>
      <c r="I1010" s="34" t="n">
        <f aca="false">+IF(E1010=0,0,E1010*0.03)</f>
        <v>0</v>
      </c>
    </row>
    <row r="1011" customFormat="false" ht="15.75" hidden="false" customHeight="true" outlineLevel="0" collapsed="false">
      <c r="A1011" s="30" t="n">
        <v>45323</v>
      </c>
      <c r="B1011" s="31" t="s">
        <v>11</v>
      </c>
      <c r="C1011" s="32"/>
      <c r="D1011" s="32"/>
      <c r="E1011" s="19" t="n">
        <f aca="false">+IF(C1011="EQUIPO",F1011,0)</f>
        <v>0</v>
      </c>
      <c r="F1011" s="33" t="n">
        <v>0</v>
      </c>
      <c r="G1011" s="62"/>
      <c r="H1011" s="35" t="n">
        <v>0</v>
      </c>
      <c r="I1011" s="34" t="n">
        <f aca="false">+IF(E1011=0,0,E1011*0.03)</f>
        <v>0</v>
      </c>
    </row>
    <row r="1012" customFormat="false" ht="15.75" hidden="false" customHeight="true" outlineLevel="0" collapsed="false">
      <c r="A1012" s="30" t="n">
        <v>45323</v>
      </c>
      <c r="B1012" s="31" t="s">
        <v>11</v>
      </c>
      <c r="C1012" s="32"/>
      <c r="D1012" s="32"/>
      <c r="E1012" s="19" t="n">
        <f aca="false">+IF(C1012="EQUIPO",F1012,0)</f>
        <v>0</v>
      </c>
      <c r="F1012" s="33" t="n">
        <v>0</v>
      </c>
      <c r="G1012" s="62"/>
      <c r="H1012" s="35" t="n">
        <v>0</v>
      </c>
      <c r="I1012" s="34" t="n">
        <f aca="false">+IF(E1012=0,0,E1012*0.03)</f>
        <v>0</v>
      </c>
    </row>
    <row r="1013" customFormat="false" ht="15.75" hidden="false" customHeight="true" outlineLevel="0" collapsed="false">
      <c r="A1013" s="30" t="n">
        <v>45323</v>
      </c>
      <c r="B1013" s="31" t="s">
        <v>11</v>
      </c>
      <c r="C1013" s="32"/>
      <c r="D1013" s="32"/>
      <c r="E1013" s="19" t="n">
        <f aca="false">+IF(C1013="EQUIPO",F1013,0)</f>
        <v>0</v>
      </c>
      <c r="F1013" s="33" t="n">
        <v>0</v>
      </c>
      <c r="G1013" s="62"/>
      <c r="H1013" s="35" t="n">
        <v>0</v>
      </c>
      <c r="I1013" s="34" t="n">
        <f aca="false">+IF(E1013=0,0,E1013*0.03)</f>
        <v>0</v>
      </c>
    </row>
    <row r="1014" customFormat="false" ht="15.75" hidden="false" customHeight="true" outlineLevel="0" collapsed="false">
      <c r="A1014" s="30" t="n">
        <v>45323</v>
      </c>
      <c r="B1014" s="31" t="s">
        <v>11</v>
      </c>
      <c r="C1014" s="32"/>
      <c r="D1014" s="32"/>
      <c r="E1014" s="19" t="n">
        <f aca="false">+IF(C1014="EQUIPO",F1014,0)</f>
        <v>0</v>
      </c>
      <c r="F1014" s="33" t="n">
        <v>0</v>
      </c>
      <c r="G1014" s="62"/>
      <c r="H1014" s="35" t="n">
        <v>0</v>
      </c>
      <c r="I1014" s="34" t="n">
        <f aca="false">+IF(E1014=0,0,E1014*0.03)</f>
        <v>0</v>
      </c>
    </row>
    <row r="1015" customFormat="false" ht="15.75" hidden="false" customHeight="true" outlineLevel="0" collapsed="false">
      <c r="A1015" s="30" t="n">
        <v>45323</v>
      </c>
      <c r="B1015" s="31" t="s">
        <v>11</v>
      </c>
      <c r="C1015" s="32"/>
      <c r="D1015" s="32"/>
      <c r="E1015" s="19" t="n">
        <f aca="false">+IF(C1015="EQUIPO",F1015,0)</f>
        <v>0</v>
      </c>
      <c r="F1015" s="33" t="n">
        <v>0</v>
      </c>
      <c r="G1015" s="62"/>
      <c r="H1015" s="35" t="n">
        <v>0</v>
      </c>
      <c r="I1015" s="34" t="n">
        <f aca="false">+IF(E1015=0,0,E1015*0.03)</f>
        <v>0</v>
      </c>
    </row>
    <row r="1016" customFormat="false" ht="15.75" hidden="false" customHeight="true" outlineLevel="0" collapsed="false">
      <c r="A1016" s="30" t="n">
        <v>45323</v>
      </c>
      <c r="B1016" s="31" t="s">
        <v>11</v>
      </c>
      <c r="C1016" s="32"/>
      <c r="D1016" s="32"/>
      <c r="E1016" s="19" t="n">
        <f aca="false">+IF(C1016="EQUIPO",F1016,0)</f>
        <v>0</v>
      </c>
      <c r="F1016" s="33" t="n">
        <v>0</v>
      </c>
      <c r="G1016" s="62"/>
      <c r="H1016" s="35" t="n">
        <v>0</v>
      </c>
      <c r="I1016" s="34" t="n">
        <f aca="false">+IF(E1016=0,0,E1016*0.03)</f>
        <v>0</v>
      </c>
    </row>
    <row r="1017" customFormat="false" ht="15.75" hidden="false" customHeight="true" outlineLevel="0" collapsed="false">
      <c r="A1017" s="30" t="n">
        <v>45323</v>
      </c>
      <c r="B1017" s="31" t="s">
        <v>11</v>
      </c>
      <c r="C1017" s="32"/>
      <c r="D1017" s="32"/>
      <c r="E1017" s="19" t="n">
        <f aca="false">+IF(C1017="EQUIPO",F1017,0)</f>
        <v>0</v>
      </c>
      <c r="F1017" s="33" t="n">
        <v>0</v>
      </c>
      <c r="G1017" s="62"/>
      <c r="H1017" s="35" t="n">
        <v>0</v>
      </c>
      <c r="I1017" s="34" t="n">
        <f aca="false">+IF(E1017=0,0,E1017*0.03)</f>
        <v>0</v>
      </c>
    </row>
    <row r="1018" customFormat="false" ht="15.75" hidden="false" customHeight="true" outlineLevel="0" collapsed="false">
      <c r="A1018" s="30" t="n">
        <v>45323</v>
      </c>
      <c r="B1018" s="31" t="s">
        <v>11</v>
      </c>
      <c r="C1018" s="32"/>
      <c r="D1018" s="32"/>
      <c r="E1018" s="19" t="n">
        <f aca="false">+IF(C1018="EQUIPO",F1018,0)</f>
        <v>0</v>
      </c>
      <c r="F1018" s="33" t="n">
        <v>0</v>
      </c>
      <c r="G1018" s="62"/>
      <c r="H1018" s="35" t="n">
        <v>0</v>
      </c>
      <c r="I1018" s="34" t="n">
        <f aca="false">+IF(E1018=0,0,E1018*0.03)</f>
        <v>0</v>
      </c>
    </row>
    <row r="1019" customFormat="false" ht="15.75" hidden="false" customHeight="true" outlineLevel="0" collapsed="false">
      <c r="A1019" s="30" t="n">
        <v>45323</v>
      </c>
      <c r="B1019" s="31" t="s">
        <v>11</v>
      </c>
      <c r="C1019" s="32"/>
      <c r="D1019" s="32"/>
      <c r="E1019" s="19" t="n">
        <f aca="false">+IF(C1019="EQUIPO",F1019,0)</f>
        <v>0</v>
      </c>
      <c r="F1019" s="33" t="n">
        <v>0</v>
      </c>
      <c r="G1019" s="62"/>
      <c r="H1019" s="35" t="n">
        <v>0</v>
      </c>
      <c r="I1019" s="34" t="n">
        <f aca="false">+IF(E1019=0,0,E1019*0.03)</f>
        <v>0</v>
      </c>
    </row>
    <row r="1020" customFormat="false" ht="15.75" hidden="false" customHeight="true" outlineLevel="0" collapsed="false">
      <c r="A1020" s="30" t="n">
        <v>45323</v>
      </c>
      <c r="B1020" s="31" t="s">
        <v>11</v>
      </c>
      <c r="C1020" s="32"/>
      <c r="D1020" s="32"/>
      <c r="E1020" s="19" t="n">
        <f aca="false">+IF(C1020="EQUIPO",F1020,0)</f>
        <v>0</v>
      </c>
      <c r="F1020" s="33" t="n">
        <v>0</v>
      </c>
      <c r="G1020" s="62"/>
      <c r="H1020" s="35" t="n">
        <v>0</v>
      </c>
      <c r="I1020" s="34" t="n">
        <f aca="false">+IF(E1020=0,0,E1020*0.03)</f>
        <v>0</v>
      </c>
    </row>
    <row r="1021" customFormat="false" ht="15.75" hidden="false" customHeight="true" outlineLevel="0" collapsed="false">
      <c r="A1021" s="30" t="n">
        <v>45323</v>
      </c>
      <c r="B1021" s="31" t="s">
        <v>11</v>
      </c>
      <c r="C1021" s="32"/>
      <c r="D1021" s="32"/>
      <c r="E1021" s="19" t="n">
        <f aca="false">+IF(C1021="EQUIPO",F1021,0)</f>
        <v>0</v>
      </c>
      <c r="F1021" s="33" t="n">
        <v>0</v>
      </c>
      <c r="G1021" s="62"/>
      <c r="H1021" s="35" t="n">
        <v>0</v>
      </c>
      <c r="I1021" s="34" t="n">
        <f aca="false">+IF(E1021=0,0,E1021*0.03)</f>
        <v>0</v>
      </c>
    </row>
    <row r="1022" customFormat="false" ht="15.75" hidden="false" customHeight="true" outlineLevel="0" collapsed="false">
      <c r="A1022" s="30" t="n">
        <v>45323</v>
      </c>
      <c r="B1022" s="31" t="s">
        <v>11</v>
      </c>
      <c r="C1022" s="32"/>
      <c r="D1022" s="32"/>
      <c r="E1022" s="19" t="n">
        <f aca="false">+IF(C1022="EQUIPO",F1022,0)</f>
        <v>0</v>
      </c>
      <c r="F1022" s="33" t="n">
        <v>0</v>
      </c>
      <c r="G1022" s="62"/>
      <c r="H1022" s="35" t="n">
        <v>0</v>
      </c>
      <c r="I1022" s="34" t="n">
        <f aca="false">+IF(E1022=0,0,E1022*0.03)</f>
        <v>0</v>
      </c>
    </row>
    <row r="1023" customFormat="false" ht="15.75" hidden="false" customHeight="true" outlineLevel="0" collapsed="false">
      <c r="A1023" s="30" t="n">
        <v>45323</v>
      </c>
      <c r="B1023" s="31" t="s">
        <v>11</v>
      </c>
      <c r="C1023" s="32"/>
      <c r="D1023" s="32"/>
      <c r="E1023" s="19" t="n">
        <f aca="false">+IF(C1023="EQUIPO",F1023,0)</f>
        <v>0</v>
      </c>
      <c r="F1023" s="33" t="n">
        <v>0</v>
      </c>
      <c r="G1023" s="62"/>
      <c r="H1023" s="35" t="n">
        <v>0</v>
      </c>
      <c r="I1023" s="34" t="n">
        <f aca="false">+IF(E1023=0,0,E1023*0.03)</f>
        <v>0</v>
      </c>
    </row>
    <row r="1024" customFormat="false" ht="15.75" hidden="false" customHeight="true" outlineLevel="0" collapsed="false">
      <c r="A1024" s="30" t="n">
        <v>45323</v>
      </c>
      <c r="B1024" s="31" t="s">
        <v>11</v>
      </c>
      <c r="C1024" s="32"/>
      <c r="D1024" s="32"/>
      <c r="E1024" s="19" t="n">
        <f aca="false">+IF(C1024="EQUIPO",F1024,0)</f>
        <v>0</v>
      </c>
      <c r="F1024" s="33" t="n">
        <v>0</v>
      </c>
      <c r="G1024" s="62"/>
      <c r="H1024" s="35" t="n">
        <v>0</v>
      </c>
      <c r="I1024" s="34" t="n">
        <f aca="false">+IF(E1024=0,0,E1024*0.03)</f>
        <v>0</v>
      </c>
    </row>
    <row r="1025" customFormat="false" ht="15.75" hidden="false" customHeight="true" outlineLevel="0" collapsed="false">
      <c r="A1025" s="30" t="n">
        <v>45323</v>
      </c>
      <c r="B1025" s="31" t="s">
        <v>11</v>
      </c>
      <c r="C1025" s="32"/>
      <c r="D1025" s="32"/>
      <c r="E1025" s="19" t="n">
        <f aca="false">+IF(C1025="EQUIPO",F1025,0)</f>
        <v>0</v>
      </c>
      <c r="F1025" s="33" t="n">
        <v>0</v>
      </c>
      <c r="G1025" s="62"/>
      <c r="H1025" s="35" t="n">
        <v>0</v>
      </c>
      <c r="I1025" s="34" t="n">
        <f aca="false">+IF(E1025=0,0,E1025*0.03)</f>
        <v>0</v>
      </c>
    </row>
    <row r="1026" customFormat="false" ht="15.75" hidden="false" customHeight="true" outlineLevel="0" collapsed="false">
      <c r="A1026" s="30" t="n">
        <v>45323</v>
      </c>
      <c r="B1026" s="31" t="s">
        <v>11</v>
      </c>
      <c r="C1026" s="32"/>
      <c r="D1026" s="32"/>
      <c r="E1026" s="19" t="n">
        <f aca="false">+IF(C1026="EQUIPO",F1026,0)</f>
        <v>0</v>
      </c>
      <c r="F1026" s="33" t="n">
        <v>0</v>
      </c>
      <c r="G1026" s="62"/>
      <c r="H1026" s="35" t="n">
        <v>0</v>
      </c>
      <c r="I1026" s="34" t="n">
        <f aca="false">+IF(E1026=0,0,E1026*0.03)</f>
        <v>0</v>
      </c>
    </row>
    <row r="1027" customFormat="false" ht="15.75" hidden="false" customHeight="true" outlineLevel="0" collapsed="false">
      <c r="A1027" s="30" t="n">
        <v>45323</v>
      </c>
      <c r="B1027" s="31" t="s">
        <v>11</v>
      </c>
      <c r="C1027" s="32"/>
      <c r="D1027" s="32"/>
      <c r="E1027" s="19" t="n">
        <f aca="false">+IF(C1027="EQUIPO",F1027,0)</f>
        <v>0</v>
      </c>
      <c r="F1027" s="33" t="n">
        <v>0</v>
      </c>
      <c r="G1027" s="62"/>
      <c r="H1027" s="35" t="n">
        <v>0</v>
      </c>
      <c r="I1027" s="34" t="n">
        <f aca="false">+IF(E1027=0,0,E1027*0.03)</f>
        <v>0</v>
      </c>
    </row>
    <row r="1028" customFormat="false" ht="15.75" hidden="false" customHeight="true" outlineLevel="0" collapsed="false">
      <c r="A1028" s="30" t="n">
        <v>45323</v>
      </c>
      <c r="B1028" s="31" t="s">
        <v>11</v>
      </c>
      <c r="C1028" s="32"/>
      <c r="D1028" s="32"/>
      <c r="E1028" s="19" t="n">
        <f aca="false">+IF(C1028="EQUIPO",F1028,0)</f>
        <v>0</v>
      </c>
      <c r="F1028" s="33" t="n">
        <v>0</v>
      </c>
      <c r="G1028" s="62"/>
      <c r="H1028" s="35" t="n">
        <v>0</v>
      </c>
      <c r="I1028" s="34" t="n">
        <f aca="false">+IF(E1028=0,0,E1028*0.03)</f>
        <v>0</v>
      </c>
    </row>
    <row r="1029" customFormat="false" ht="15.75" hidden="false" customHeight="true" outlineLevel="0" collapsed="false">
      <c r="A1029" s="30" t="n">
        <v>45323</v>
      </c>
      <c r="B1029" s="31" t="s">
        <v>11</v>
      </c>
      <c r="C1029" s="32"/>
      <c r="D1029" s="32"/>
      <c r="E1029" s="19" t="n">
        <f aca="false">+IF(C1029="EQUIPO",F1029,0)</f>
        <v>0</v>
      </c>
      <c r="F1029" s="33" t="n">
        <v>0</v>
      </c>
      <c r="G1029" s="62"/>
      <c r="H1029" s="35" t="n">
        <v>0</v>
      </c>
      <c r="I1029" s="34" t="n">
        <f aca="false">+IF(E1029=0,0,E1029*0.03)</f>
        <v>0</v>
      </c>
    </row>
    <row r="1030" customFormat="false" ht="15.75" hidden="false" customHeight="true" outlineLevel="0" collapsed="false">
      <c r="A1030" s="30" t="n">
        <v>45323</v>
      </c>
      <c r="B1030" s="31" t="s">
        <v>11</v>
      </c>
      <c r="C1030" s="32"/>
      <c r="D1030" s="32"/>
      <c r="E1030" s="19" t="n">
        <f aca="false">+IF(C1030="EQUIPO",F1030,0)</f>
        <v>0</v>
      </c>
      <c r="F1030" s="33" t="n">
        <v>0</v>
      </c>
      <c r="G1030" s="62"/>
      <c r="H1030" s="35" t="n">
        <v>0</v>
      </c>
      <c r="I1030" s="34" t="n">
        <f aca="false">+IF(E1030=0,0,E1030*0.03)</f>
        <v>0</v>
      </c>
    </row>
    <row r="1031" customFormat="false" ht="15.75" hidden="false" customHeight="true" outlineLevel="0" collapsed="false">
      <c r="A1031" s="30" t="n">
        <v>45323</v>
      </c>
      <c r="B1031" s="31" t="s">
        <v>11</v>
      </c>
      <c r="C1031" s="32"/>
      <c r="D1031" s="32"/>
      <c r="E1031" s="19" t="n">
        <f aca="false">+IF(C1031="EQUIPO",F1031,0)</f>
        <v>0</v>
      </c>
      <c r="F1031" s="33" t="n">
        <v>0</v>
      </c>
      <c r="G1031" s="62"/>
      <c r="H1031" s="35" t="n">
        <v>0</v>
      </c>
      <c r="I1031" s="34" t="n">
        <f aca="false">+IF(E1031=0,0,E1031*0.03)</f>
        <v>0</v>
      </c>
    </row>
    <row r="1032" customFormat="false" ht="15.75" hidden="false" customHeight="true" outlineLevel="0" collapsed="false">
      <c r="A1032" s="30" t="n">
        <v>45323</v>
      </c>
      <c r="B1032" s="31" t="s">
        <v>11</v>
      </c>
      <c r="C1032" s="32"/>
      <c r="D1032" s="32"/>
      <c r="E1032" s="19" t="n">
        <f aca="false">+IF(C1032="EQUIPO",F1032,0)</f>
        <v>0</v>
      </c>
      <c r="F1032" s="33" t="n">
        <v>0</v>
      </c>
      <c r="G1032" s="62"/>
      <c r="H1032" s="35" t="n">
        <v>0</v>
      </c>
      <c r="I1032" s="34" t="n">
        <f aca="false">+IF(E1032=0,0,E1032*0.03)</f>
        <v>0</v>
      </c>
    </row>
    <row r="1033" customFormat="false" ht="15.75" hidden="false" customHeight="true" outlineLevel="0" collapsed="false">
      <c r="A1033" s="30" t="n">
        <v>45323</v>
      </c>
      <c r="B1033" s="31" t="s">
        <v>11</v>
      </c>
      <c r="C1033" s="32"/>
      <c r="D1033" s="32"/>
      <c r="E1033" s="19" t="n">
        <f aca="false">+IF(C1033="EQUIPO",F1033,0)</f>
        <v>0</v>
      </c>
      <c r="F1033" s="33" t="n">
        <v>0</v>
      </c>
      <c r="G1033" s="62"/>
      <c r="H1033" s="35" t="n">
        <v>0</v>
      </c>
      <c r="I1033" s="34" t="n">
        <f aca="false">+IF(E1033=0,0,E1033*0.03)</f>
        <v>0</v>
      </c>
    </row>
    <row r="1034" customFormat="false" ht="15.75" hidden="false" customHeight="true" outlineLevel="0" collapsed="false">
      <c r="A1034" s="30" t="n">
        <v>45323</v>
      </c>
      <c r="B1034" s="31" t="s">
        <v>11</v>
      </c>
      <c r="C1034" s="32"/>
      <c r="D1034" s="32"/>
      <c r="E1034" s="19" t="n">
        <f aca="false">+IF(C1034="EQUIPO",F1034,0)</f>
        <v>0</v>
      </c>
      <c r="F1034" s="33" t="n">
        <v>0</v>
      </c>
      <c r="G1034" s="62"/>
      <c r="H1034" s="35" t="n">
        <v>0</v>
      </c>
      <c r="I1034" s="34" t="n">
        <f aca="false">+IF(E1034=0,0,E1034*0.03)</f>
        <v>0</v>
      </c>
    </row>
    <row r="1035" customFormat="false" ht="15.75" hidden="false" customHeight="true" outlineLevel="0" collapsed="false">
      <c r="A1035" s="30" t="n">
        <v>45323</v>
      </c>
      <c r="B1035" s="31" t="s">
        <v>11</v>
      </c>
      <c r="C1035" s="32"/>
      <c r="D1035" s="32"/>
      <c r="E1035" s="19" t="n">
        <f aca="false">+IF(C1035="EQUIPO",F1035,0)</f>
        <v>0</v>
      </c>
      <c r="F1035" s="33" t="n">
        <v>0</v>
      </c>
      <c r="G1035" s="62"/>
      <c r="H1035" s="35" t="n">
        <v>0</v>
      </c>
      <c r="I1035" s="34" t="n">
        <f aca="false">+IF(E1035=0,0,E1035*0.03)</f>
        <v>0</v>
      </c>
    </row>
    <row r="1036" customFormat="false" ht="15.75" hidden="false" customHeight="true" outlineLevel="0" collapsed="false">
      <c r="A1036" s="30" t="n">
        <v>45323</v>
      </c>
      <c r="B1036" s="31" t="s">
        <v>11</v>
      </c>
      <c r="C1036" s="32"/>
      <c r="D1036" s="32"/>
      <c r="E1036" s="19" t="n">
        <f aca="false">+IF(C1036="EQUIPO",F1036,0)</f>
        <v>0</v>
      </c>
      <c r="F1036" s="33" t="n">
        <v>0</v>
      </c>
      <c r="G1036" s="62"/>
      <c r="H1036" s="35" t="n">
        <v>0</v>
      </c>
      <c r="I1036" s="34" t="n">
        <f aca="false">+IF(E1036=0,0,E1036*0.03)</f>
        <v>0</v>
      </c>
    </row>
    <row r="1037" customFormat="false" ht="15.75" hidden="false" customHeight="true" outlineLevel="0" collapsed="false">
      <c r="A1037" s="30" t="n">
        <v>45323</v>
      </c>
      <c r="B1037" s="31" t="s">
        <v>11</v>
      </c>
      <c r="C1037" s="32"/>
      <c r="D1037" s="32"/>
      <c r="E1037" s="19" t="n">
        <f aca="false">+IF(C1037="EQUIPO",F1037,0)</f>
        <v>0</v>
      </c>
      <c r="F1037" s="33" t="n">
        <v>0</v>
      </c>
      <c r="G1037" s="62"/>
      <c r="H1037" s="35" t="n">
        <v>0</v>
      </c>
      <c r="I1037" s="34" t="n">
        <f aca="false">+IF(E1037=0,0,E1037*0.03)</f>
        <v>0</v>
      </c>
    </row>
    <row r="1038" customFormat="false" ht="15.75" hidden="false" customHeight="true" outlineLevel="0" collapsed="false">
      <c r="A1038" s="30" t="n">
        <v>45323</v>
      </c>
      <c r="B1038" s="31" t="s">
        <v>11</v>
      </c>
      <c r="C1038" s="32"/>
      <c r="D1038" s="32"/>
      <c r="E1038" s="19" t="n">
        <f aca="false">+IF(C1038="EQUIPO",F1038,0)</f>
        <v>0</v>
      </c>
      <c r="F1038" s="33" t="n">
        <v>0</v>
      </c>
      <c r="G1038" s="62"/>
      <c r="H1038" s="35" t="n">
        <v>0</v>
      </c>
      <c r="I1038" s="34" t="n">
        <f aca="false">+IF(E1038=0,0,E1038*0.03)</f>
        <v>0</v>
      </c>
    </row>
    <row r="1039" customFormat="false" ht="15.75" hidden="false" customHeight="true" outlineLevel="0" collapsed="false">
      <c r="A1039" s="30" t="n">
        <v>45323</v>
      </c>
      <c r="B1039" s="31" t="s">
        <v>11</v>
      </c>
      <c r="C1039" s="32"/>
      <c r="D1039" s="32"/>
      <c r="E1039" s="19" t="n">
        <f aca="false">+IF(C1039="EQUIPO",F1039,0)</f>
        <v>0</v>
      </c>
      <c r="F1039" s="33" t="n">
        <v>0</v>
      </c>
      <c r="G1039" s="62"/>
      <c r="H1039" s="35" t="n">
        <v>0</v>
      </c>
      <c r="I1039" s="34" t="n">
        <f aca="false">+IF(E1039=0,0,E1039*0.03)</f>
        <v>0</v>
      </c>
    </row>
    <row r="1040" customFormat="false" ht="15.75" hidden="false" customHeight="true" outlineLevel="0" collapsed="false">
      <c r="A1040" s="30" t="n">
        <v>45323</v>
      </c>
      <c r="B1040" s="31" t="s">
        <v>11</v>
      </c>
      <c r="C1040" s="32"/>
      <c r="D1040" s="32"/>
      <c r="E1040" s="19" t="n">
        <f aca="false">+IF(C1040="EQUIPO",F1040,0)</f>
        <v>0</v>
      </c>
      <c r="F1040" s="33" t="n">
        <v>0</v>
      </c>
      <c r="G1040" s="62"/>
      <c r="H1040" s="35" t="n">
        <v>0</v>
      </c>
      <c r="I1040" s="34" t="n">
        <f aca="false">+IF(E1040=0,0,E1040*0.03)</f>
        <v>0</v>
      </c>
    </row>
    <row r="1041" customFormat="false" ht="15.75" hidden="false" customHeight="true" outlineLevel="0" collapsed="false">
      <c r="A1041" s="30" t="n">
        <v>45323</v>
      </c>
      <c r="B1041" s="31" t="s">
        <v>11</v>
      </c>
      <c r="C1041" s="32"/>
      <c r="D1041" s="32"/>
      <c r="E1041" s="19" t="n">
        <f aca="false">+IF(C1041="EQUIPO",F1041,0)</f>
        <v>0</v>
      </c>
      <c r="F1041" s="33" t="n">
        <v>0</v>
      </c>
      <c r="G1041" s="62"/>
      <c r="H1041" s="35" t="n">
        <v>0</v>
      </c>
      <c r="I1041" s="34" t="n">
        <f aca="false">+IF(E1041=0,0,E1041*0.03)</f>
        <v>0</v>
      </c>
    </row>
    <row r="1042" customFormat="false" ht="15.75" hidden="false" customHeight="true" outlineLevel="0" collapsed="false">
      <c r="A1042" s="30" t="n">
        <v>45323</v>
      </c>
      <c r="B1042" s="31" t="s">
        <v>11</v>
      </c>
      <c r="C1042" s="32"/>
      <c r="D1042" s="32"/>
      <c r="E1042" s="19" t="n">
        <f aca="false">+IF(C1042="EQUIPO",F1042,0)</f>
        <v>0</v>
      </c>
      <c r="F1042" s="33" t="n">
        <v>0</v>
      </c>
      <c r="G1042" s="62"/>
      <c r="H1042" s="35" t="n">
        <v>0</v>
      </c>
      <c r="I1042" s="34" t="n">
        <f aca="false">+IF(E1042=0,0,E1042*0.03)</f>
        <v>0</v>
      </c>
    </row>
    <row r="1043" customFormat="false" ht="15.75" hidden="false" customHeight="true" outlineLevel="0" collapsed="false">
      <c r="A1043" s="30" t="n">
        <v>45323</v>
      </c>
      <c r="B1043" s="31" t="s">
        <v>11</v>
      </c>
      <c r="C1043" s="32"/>
      <c r="D1043" s="32"/>
      <c r="E1043" s="19" t="n">
        <f aca="false">+IF(C1043="EQUIPO",F1043,0)</f>
        <v>0</v>
      </c>
      <c r="F1043" s="33" t="n">
        <v>0</v>
      </c>
      <c r="G1043" s="62"/>
      <c r="H1043" s="35" t="n">
        <v>0</v>
      </c>
      <c r="I1043" s="34" t="n">
        <f aca="false">+IF(E1043=0,0,E1043*0.03)</f>
        <v>0</v>
      </c>
    </row>
    <row r="1044" customFormat="false" ht="15.75" hidden="false" customHeight="true" outlineLevel="0" collapsed="false">
      <c r="A1044" s="30" t="n">
        <v>45323</v>
      </c>
      <c r="B1044" s="31" t="s">
        <v>11</v>
      </c>
      <c r="C1044" s="32"/>
      <c r="D1044" s="32"/>
      <c r="E1044" s="19" t="n">
        <f aca="false">+IF(C1044="EQUIPO",F1044,0)</f>
        <v>0</v>
      </c>
      <c r="F1044" s="33" t="n">
        <v>0</v>
      </c>
      <c r="G1044" s="62"/>
      <c r="H1044" s="35" t="n">
        <v>0</v>
      </c>
      <c r="I1044" s="34" t="n">
        <f aca="false">+IF(E1044=0,0,E1044*0.03)</f>
        <v>0</v>
      </c>
    </row>
    <row r="1045" customFormat="false" ht="15.75" hidden="false" customHeight="true" outlineLevel="0" collapsed="false">
      <c r="A1045" s="30" t="n">
        <v>45323</v>
      </c>
      <c r="B1045" s="31" t="s">
        <v>11</v>
      </c>
      <c r="C1045" s="32"/>
      <c r="D1045" s="32"/>
      <c r="E1045" s="19" t="n">
        <f aca="false">+IF(C1045="EQUIPO",F1045,0)</f>
        <v>0</v>
      </c>
      <c r="F1045" s="33" t="n">
        <v>0</v>
      </c>
      <c r="G1045" s="62"/>
      <c r="H1045" s="35" t="n">
        <v>0</v>
      </c>
      <c r="I1045" s="34" t="n">
        <f aca="false">+IF(E1045=0,0,E1045*0.03)</f>
        <v>0</v>
      </c>
    </row>
    <row r="1046" customFormat="false" ht="15.75" hidden="false" customHeight="true" outlineLevel="0" collapsed="false">
      <c r="A1046" s="30" t="n">
        <v>45323</v>
      </c>
      <c r="B1046" s="31" t="s">
        <v>11</v>
      </c>
      <c r="C1046" s="32"/>
      <c r="D1046" s="32"/>
      <c r="E1046" s="19" t="n">
        <f aca="false">+IF(C1046="EQUIPO",F1046,0)</f>
        <v>0</v>
      </c>
      <c r="F1046" s="33" t="n">
        <v>0</v>
      </c>
      <c r="G1046" s="62"/>
      <c r="H1046" s="35" t="n">
        <v>0</v>
      </c>
      <c r="I1046" s="34" t="n">
        <f aca="false">+IF(E1046=0,0,E1046*0.03)</f>
        <v>0</v>
      </c>
    </row>
    <row r="1047" customFormat="false" ht="15.75" hidden="false" customHeight="true" outlineLevel="0" collapsed="false">
      <c r="A1047" s="30" t="n">
        <v>45323</v>
      </c>
      <c r="B1047" s="31" t="s">
        <v>11</v>
      </c>
      <c r="C1047" s="32"/>
      <c r="D1047" s="32"/>
      <c r="E1047" s="19" t="n">
        <f aca="false">+IF(C1047="EQUIPO",F1047,0)</f>
        <v>0</v>
      </c>
      <c r="F1047" s="33" t="n">
        <v>0</v>
      </c>
      <c r="G1047" s="62"/>
      <c r="H1047" s="35" t="n">
        <v>0</v>
      </c>
      <c r="I1047" s="34" t="n">
        <f aca="false">+IF(E1047=0,0,E1047*0.03)</f>
        <v>0</v>
      </c>
    </row>
    <row r="1048" customFormat="false" ht="15.75" hidden="false" customHeight="true" outlineLevel="0" collapsed="false">
      <c r="A1048" s="30" t="n">
        <v>45323</v>
      </c>
      <c r="B1048" s="31" t="s">
        <v>11</v>
      </c>
      <c r="C1048" s="32"/>
      <c r="D1048" s="32"/>
      <c r="E1048" s="19" t="n">
        <f aca="false">+IF(C1048="EQUIPO",F1048,0)</f>
        <v>0</v>
      </c>
      <c r="F1048" s="33" t="n">
        <v>0</v>
      </c>
      <c r="G1048" s="62"/>
      <c r="H1048" s="35" t="n">
        <v>0</v>
      </c>
      <c r="I1048" s="34" t="n">
        <f aca="false">+IF(E1048=0,0,E1048*0.03)</f>
        <v>0</v>
      </c>
    </row>
    <row r="1049" customFormat="false" ht="15.75" hidden="false" customHeight="true" outlineLevel="0" collapsed="false">
      <c r="A1049" s="30" t="n">
        <v>45323</v>
      </c>
      <c r="B1049" s="31" t="s">
        <v>11</v>
      </c>
      <c r="C1049" s="32"/>
      <c r="D1049" s="32"/>
      <c r="E1049" s="19" t="n">
        <f aca="false">+IF(C1049="EQUIPO",F1049,0)</f>
        <v>0</v>
      </c>
      <c r="F1049" s="33" t="n">
        <v>0</v>
      </c>
      <c r="G1049" s="62"/>
      <c r="H1049" s="35" t="n">
        <v>0</v>
      </c>
      <c r="I1049" s="34" t="n">
        <f aca="false">+IF(E1049=0,0,E1049*0.03)</f>
        <v>0</v>
      </c>
    </row>
    <row r="1050" customFormat="false" ht="15.75" hidden="false" customHeight="true" outlineLevel="0" collapsed="false">
      <c r="A1050" s="30" t="n">
        <v>45323</v>
      </c>
      <c r="B1050" s="31" t="s">
        <v>11</v>
      </c>
      <c r="C1050" s="32"/>
      <c r="D1050" s="32"/>
      <c r="E1050" s="19" t="n">
        <f aca="false">+IF(C1050="EQUIPO",F1050,0)</f>
        <v>0</v>
      </c>
      <c r="F1050" s="33" t="n">
        <v>0</v>
      </c>
      <c r="G1050" s="62"/>
      <c r="H1050" s="35" t="n">
        <v>0</v>
      </c>
      <c r="I1050" s="34" t="n">
        <f aca="false">+IF(E1050=0,0,E1050*0.03)</f>
        <v>0</v>
      </c>
    </row>
    <row r="1051" customFormat="false" ht="15.75" hidden="false" customHeight="true" outlineLevel="0" collapsed="false">
      <c r="A1051" s="30" t="n">
        <v>45323</v>
      </c>
      <c r="B1051" s="31" t="s">
        <v>11</v>
      </c>
      <c r="C1051" s="32"/>
      <c r="D1051" s="32"/>
      <c r="E1051" s="19" t="n">
        <f aca="false">+IF(C1051="EQUIPO",F1051,0)</f>
        <v>0</v>
      </c>
      <c r="F1051" s="33" t="n">
        <v>0</v>
      </c>
      <c r="G1051" s="62"/>
      <c r="H1051" s="35" t="n">
        <v>0</v>
      </c>
      <c r="I1051" s="34" t="n">
        <f aca="false">+IF(E1051=0,0,E1051*0.03)</f>
        <v>0</v>
      </c>
    </row>
    <row r="1052" customFormat="false" ht="15.75" hidden="false" customHeight="true" outlineLevel="0" collapsed="false">
      <c r="A1052" s="30" t="n">
        <v>45323</v>
      </c>
      <c r="B1052" s="31" t="s">
        <v>11</v>
      </c>
      <c r="C1052" s="32"/>
      <c r="D1052" s="32"/>
      <c r="E1052" s="19" t="n">
        <f aca="false">+IF(C1052="EQUIPO",F1052,0)</f>
        <v>0</v>
      </c>
      <c r="F1052" s="33" t="n">
        <v>0</v>
      </c>
      <c r="G1052" s="62"/>
      <c r="H1052" s="35" t="n">
        <v>0</v>
      </c>
      <c r="I1052" s="34" t="n">
        <f aca="false">+IF(E1052=0,0,E1052*0.03)</f>
        <v>0</v>
      </c>
    </row>
    <row r="1053" customFormat="false" ht="15.75" hidden="false" customHeight="true" outlineLevel="0" collapsed="false">
      <c r="A1053" s="30" t="n">
        <v>45323</v>
      </c>
      <c r="B1053" s="31" t="s">
        <v>11</v>
      </c>
      <c r="C1053" s="32"/>
      <c r="D1053" s="32"/>
      <c r="E1053" s="19" t="n">
        <f aca="false">+IF(C1053="EQUIPO",F1053,0)</f>
        <v>0</v>
      </c>
      <c r="F1053" s="33" t="n">
        <v>0</v>
      </c>
      <c r="G1053" s="62"/>
      <c r="H1053" s="35" t="n">
        <v>0</v>
      </c>
      <c r="I1053" s="34" t="n">
        <f aca="false">+IF(E1053=0,0,E1053*0.03)</f>
        <v>0</v>
      </c>
    </row>
    <row r="1054" customFormat="false" ht="15.75" hidden="false" customHeight="true" outlineLevel="0" collapsed="false">
      <c r="A1054" s="30" t="n">
        <v>45323</v>
      </c>
      <c r="B1054" s="31" t="s">
        <v>11</v>
      </c>
      <c r="C1054" s="32"/>
      <c r="D1054" s="32"/>
      <c r="E1054" s="19" t="n">
        <f aca="false">+IF(C1054="EQUIPO",F1054,0)</f>
        <v>0</v>
      </c>
      <c r="F1054" s="33" t="n">
        <v>0</v>
      </c>
      <c r="G1054" s="62"/>
      <c r="H1054" s="35" t="n">
        <v>0</v>
      </c>
      <c r="I1054" s="34" t="n">
        <f aca="false">+IF(E1054=0,0,E1054*0.03)</f>
        <v>0</v>
      </c>
    </row>
    <row r="1055" customFormat="false" ht="15.75" hidden="false" customHeight="true" outlineLevel="0" collapsed="false">
      <c r="A1055" s="30" t="n">
        <v>45323</v>
      </c>
      <c r="B1055" s="31" t="s">
        <v>11</v>
      </c>
      <c r="C1055" s="32"/>
      <c r="D1055" s="32"/>
      <c r="E1055" s="19" t="n">
        <f aca="false">+IF(C1055="EQUIPO",F1055,0)</f>
        <v>0</v>
      </c>
      <c r="F1055" s="33" t="n">
        <v>0</v>
      </c>
      <c r="G1055" s="62"/>
      <c r="H1055" s="35" t="n">
        <v>0</v>
      </c>
      <c r="I1055" s="34" t="n">
        <f aca="false">+IF(E1055=0,0,E1055*0.03)</f>
        <v>0</v>
      </c>
    </row>
    <row r="1056" customFormat="false" ht="15.75" hidden="false" customHeight="true" outlineLevel="0" collapsed="false">
      <c r="A1056" s="30" t="n">
        <v>45323</v>
      </c>
      <c r="B1056" s="31" t="s">
        <v>11</v>
      </c>
      <c r="C1056" s="32"/>
      <c r="D1056" s="32"/>
      <c r="E1056" s="19" t="n">
        <f aca="false">+IF(C1056="EQUIPO",F1056,0)</f>
        <v>0</v>
      </c>
      <c r="F1056" s="33" t="n">
        <v>0</v>
      </c>
      <c r="G1056" s="62"/>
      <c r="H1056" s="35" t="n">
        <v>0</v>
      </c>
      <c r="I1056" s="34" t="n">
        <f aca="false">+IF(E1056=0,0,E1056*0.03)</f>
        <v>0</v>
      </c>
    </row>
    <row r="1057" customFormat="false" ht="15.75" hidden="false" customHeight="true" outlineLevel="0" collapsed="false">
      <c r="A1057" s="30" t="n">
        <v>45323</v>
      </c>
      <c r="B1057" s="31" t="s">
        <v>11</v>
      </c>
      <c r="C1057" s="32"/>
      <c r="D1057" s="32"/>
      <c r="E1057" s="19" t="n">
        <f aca="false">+IF(C1057="EQUIPO",F1057,0)</f>
        <v>0</v>
      </c>
      <c r="F1057" s="33" t="n">
        <v>0</v>
      </c>
      <c r="G1057" s="62"/>
      <c r="H1057" s="35" t="n">
        <v>0</v>
      </c>
      <c r="I1057" s="34" t="n">
        <f aca="false">+IF(E1057=0,0,E1057*0.03)</f>
        <v>0</v>
      </c>
    </row>
    <row r="1058" customFormat="false" ht="15.75" hidden="false" customHeight="true" outlineLevel="0" collapsed="false">
      <c r="A1058" s="30" t="n">
        <v>45323</v>
      </c>
      <c r="B1058" s="31" t="s">
        <v>11</v>
      </c>
      <c r="C1058" s="32"/>
      <c r="D1058" s="32"/>
      <c r="E1058" s="19" t="n">
        <f aca="false">+IF(C1058="EQUIPO",F1058,0)</f>
        <v>0</v>
      </c>
      <c r="F1058" s="33" t="n">
        <v>0</v>
      </c>
      <c r="G1058" s="62"/>
      <c r="H1058" s="35" t="n">
        <v>0</v>
      </c>
      <c r="I1058" s="34" t="n">
        <f aca="false">+IF(E1058=0,0,E1058*0.03)</f>
        <v>0</v>
      </c>
    </row>
    <row r="1059" customFormat="false" ht="15.75" hidden="false" customHeight="true" outlineLevel="0" collapsed="false">
      <c r="A1059" s="30" t="n">
        <v>45323</v>
      </c>
      <c r="B1059" s="31" t="s">
        <v>11</v>
      </c>
      <c r="C1059" s="32"/>
      <c r="D1059" s="32"/>
      <c r="E1059" s="19" t="n">
        <f aca="false">+IF(C1059="EQUIPO",F1059,0)</f>
        <v>0</v>
      </c>
      <c r="F1059" s="33" t="n">
        <v>0</v>
      </c>
      <c r="G1059" s="62"/>
      <c r="H1059" s="35" t="n">
        <v>0</v>
      </c>
      <c r="I1059" s="34" t="n">
        <f aca="false">+IF(E1059=0,0,E1059*0.03)</f>
        <v>0</v>
      </c>
    </row>
    <row r="1060" customFormat="false" ht="15.75" hidden="false" customHeight="true" outlineLevel="0" collapsed="false">
      <c r="A1060" s="30" t="n">
        <v>45323</v>
      </c>
      <c r="B1060" s="31" t="s">
        <v>11</v>
      </c>
      <c r="C1060" s="32"/>
      <c r="D1060" s="32"/>
      <c r="E1060" s="19" t="n">
        <f aca="false">+IF(C1060="EQUIPO",F1060,0)</f>
        <v>0</v>
      </c>
      <c r="F1060" s="33" t="n">
        <v>0</v>
      </c>
      <c r="G1060" s="62"/>
      <c r="H1060" s="35" t="n">
        <v>0</v>
      </c>
      <c r="I1060" s="34" t="n">
        <f aca="false">+IF(E1060=0,0,E1060*0.03)</f>
        <v>0</v>
      </c>
    </row>
    <row r="1061" customFormat="false" ht="15.75" hidden="false" customHeight="true" outlineLevel="0" collapsed="false">
      <c r="A1061" s="30" t="n">
        <v>45323</v>
      </c>
      <c r="B1061" s="31" t="s">
        <v>11</v>
      </c>
      <c r="C1061" s="32"/>
      <c r="D1061" s="32"/>
      <c r="E1061" s="19" t="n">
        <f aca="false">+IF(C1061="EQUIPO",F1061,0)</f>
        <v>0</v>
      </c>
      <c r="F1061" s="33" t="n">
        <v>0</v>
      </c>
      <c r="G1061" s="62"/>
      <c r="H1061" s="35" t="n">
        <v>0</v>
      </c>
      <c r="I1061" s="34" t="n">
        <f aca="false">+IF(E1061=0,0,E1061*0.03)</f>
        <v>0</v>
      </c>
    </row>
    <row r="1062" customFormat="false" ht="15.75" hidden="false" customHeight="true" outlineLevel="0" collapsed="false">
      <c r="A1062" s="30" t="n">
        <v>45323</v>
      </c>
      <c r="B1062" s="31" t="s">
        <v>11</v>
      </c>
      <c r="C1062" s="32"/>
      <c r="D1062" s="32"/>
      <c r="E1062" s="19" t="n">
        <f aca="false">+IF(C1062="EQUIPO",F1062,0)</f>
        <v>0</v>
      </c>
      <c r="F1062" s="33" t="n">
        <v>0</v>
      </c>
      <c r="G1062" s="62"/>
      <c r="H1062" s="35" t="n">
        <v>0</v>
      </c>
      <c r="I1062" s="34" t="n">
        <f aca="false">+IF(E1062=0,0,E1062*0.03)</f>
        <v>0</v>
      </c>
    </row>
    <row r="1063" customFormat="false" ht="15.75" hidden="false" customHeight="true" outlineLevel="0" collapsed="false">
      <c r="A1063" s="30" t="n">
        <v>45323</v>
      </c>
      <c r="B1063" s="31" t="s">
        <v>11</v>
      </c>
      <c r="C1063" s="32"/>
      <c r="D1063" s="32"/>
      <c r="E1063" s="19" t="n">
        <f aca="false">+IF(C1063="EQUIPO",F1063,0)</f>
        <v>0</v>
      </c>
      <c r="F1063" s="33" t="n">
        <v>0</v>
      </c>
      <c r="G1063" s="62"/>
      <c r="H1063" s="35" t="n">
        <v>0</v>
      </c>
      <c r="I1063" s="34" t="n">
        <f aca="false">+IF(E1063=0,0,E1063*0.03)</f>
        <v>0</v>
      </c>
    </row>
    <row r="1064" customFormat="false" ht="15.75" hidden="false" customHeight="true" outlineLevel="0" collapsed="false">
      <c r="A1064" s="30" t="n">
        <v>45323</v>
      </c>
      <c r="B1064" s="31" t="s">
        <v>11</v>
      </c>
      <c r="C1064" s="32"/>
      <c r="D1064" s="32"/>
      <c r="E1064" s="19" t="n">
        <f aca="false">+IF(C1064="EQUIPO",F1064,0)</f>
        <v>0</v>
      </c>
      <c r="F1064" s="33" t="n">
        <v>0</v>
      </c>
      <c r="G1064" s="62"/>
      <c r="H1064" s="35" t="n">
        <v>0</v>
      </c>
      <c r="I1064" s="34" t="n">
        <f aca="false">+IF(E1064=0,0,E1064*0.03)</f>
        <v>0</v>
      </c>
    </row>
    <row r="1065" customFormat="false" ht="15.75" hidden="false" customHeight="true" outlineLevel="0" collapsed="false">
      <c r="A1065" s="30" t="n">
        <v>45323</v>
      </c>
      <c r="B1065" s="31" t="s">
        <v>11</v>
      </c>
      <c r="C1065" s="32"/>
      <c r="D1065" s="32"/>
      <c r="E1065" s="19" t="n">
        <f aca="false">+IF(C1065="EQUIPO",F1065,0)</f>
        <v>0</v>
      </c>
      <c r="F1065" s="33" t="n">
        <v>0</v>
      </c>
      <c r="G1065" s="62"/>
      <c r="H1065" s="35" t="n">
        <v>0</v>
      </c>
      <c r="I1065" s="34" t="n">
        <f aca="false">+IF(E1065=0,0,E1065*0.03)</f>
        <v>0</v>
      </c>
    </row>
    <row r="1066" customFormat="false" ht="15.75" hidden="false" customHeight="true" outlineLevel="0" collapsed="false">
      <c r="A1066" s="30" t="n">
        <v>45323</v>
      </c>
      <c r="B1066" s="31" t="s">
        <v>11</v>
      </c>
      <c r="C1066" s="32"/>
      <c r="D1066" s="32"/>
      <c r="E1066" s="19" t="n">
        <f aca="false">+IF(C1066="EQUIPO",F1066,0)</f>
        <v>0</v>
      </c>
      <c r="F1066" s="33" t="n">
        <v>0</v>
      </c>
      <c r="G1066" s="62"/>
      <c r="H1066" s="35" t="n">
        <v>0</v>
      </c>
      <c r="I1066" s="34" t="n">
        <f aca="false">+IF(E1066=0,0,E1066*0.03)</f>
        <v>0</v>
      </c>
    </row>
    <row r="1067" customFormat="false" ht="15.75" hidden="false" customHeight="true" outlineLevel="0" collapsed="false">
      <c r="A1067" s="30" t="n">
        <v>45323</v>
      </c>
      <c r="B1067" s="31" t="s">
        <v>11</v>
      </c>
      <c r="C1067" s="32"/>
      <c r="D1067" s="32"/>
      <c r="E1067" s="19" t="n">
        <f aca="false">+IF(C1067="EQUIPO",F1067,0)</f>
        <v>0</v>
      </c>
      <c r="F1067" s="33" t="n">
        <v>0</v>
      </c>
      <c r="G1067" s="62"/>
      <c r="H1067" s="35" t="n">
        <v>0</v>
      </c>
      <c r="I1067" s="34" t="n">
        <f aca="false">+IF(E1067=0,0,E1067*0.03)</f>
        <v>0</v>
      </c>
    </row>
    <row r="1068" customFormat="false" ht="15.75" hidden="false" customHeight="true" outlineLevel="0" collapsed="false">
      <c r="A1068" s="30" t="n">
        <v>45323</v>
      </c>
      <c r="B1068" s="31" t="s">
        <v>11</v>
      </c>
      <c r="C1068" s="32"/>
      <c r="D1068" s="32"/>
      <c r="E1068" s="19" t="n">
        <f aca="false">+IF(C1068="EQUIPO",F1068,0)</f>
        <v>0</v>
      </c>
      <c r="F1068" s="33" t="n">
        <v>0</v>
      </c>
      <c r="G1068" s="62"/>
      <c r="H1068" s="35" t="n">
        <v>0</v>
      </c>
      <c r="I1068" s="34" t="n">
        <f aca="false">+IF(E1068=0,0,E1068*0.03)</f>
        <v>0</v>
      </c>
    </row>
    <row r="1069" customFormat="false" ht="15.75" hidden="false" customHeight="true" outlineLevel="0" collapsed="false">
      <c r="A1069" s="30" t="n">
        <v>45323</v>
      </c>
      <c r="B1069" s="31" t="s">
        <v>11</v>
      </c>
      <c r="C1069" s="32"/>
      <c r="D1069" s="32"/>
      <c r="E1069" s="19" t="n">
        <f aca="false">+IF(C1069="EQUIPO",F1069,0)</f>
        <v>0</v>
      </c>
      <c r="F1069" s="33" t="n">
        <v>0</v>
      </c>
      <c r="G1069" s="62"/>
      <c r="H1069" s="35" t="n">
        <v>0</v>
      </c>
      <c r="I1069" s="34" t="n">
        <f aca="false">+IF(E1069=0,0,E1069*0.03)</f>
        <v>0</v>
      </c>
    </row>
    <row r="1070" customFormat="false" ht="15.75" hidden="false" customHeight="true" outlineLevel="0" collapsed="false">
      <c r="A1070" s="30" t="n">
        <v>45323</v>
      </c>
      <c r="B1070" s="31" t="s">
        <v>11</v>
      </c>
      <c r="C1070" s="32"/>
      <c r="D1070" s="32"/>
      <c r="E1070" s="19" t="n">
        <f aca="false">+IF(C1070="EQUIPO",F1070,0)</f>
        <v>0</v>
      </c>
      <c r="F1070" s="33" t="n">
        <v>0</v>
      </c>
      <c r="G1070" s="62"/>
      <c r="H1070" s="35" t="n">
        <v>0</v>
      </c>
      <c r="I1070" s="34" t="n">
        <f aca="false">+IF(E1070=0,0,E1070*0.03)</f>
        <v>0</v>
      </c>
    </row>
    <row r="1071" customFormat="false" ht="15.75" hidden="false" customHeight="true" outlineLevel="0" collapsed="false">
      <c r="A1071" s="30" t="n">
        <v>45323</v>
      </c>
      <c r="B1071" s="31" t="s">
        <v>11</v>
      </c>
      <c r="C1071" s="32"/>
      <c r="D1071" s="32"/>
      <c r="E1071" s="19" t="n">
        <f aca="false">+IF(C1071="EQUIPO",F1071,0)</f>
        <v>0</v>
      </c>
      <c r="F1071" s="33" t="n">
        <v>0</v>
      </c>
      <c r="G1071" s="62"/>
      <c r="H1071" s="35" t="n">
        <v>0</v>
      </c>
      <c r="I1071" s="34" t="n">
        <f aca="false">+IF(E1071=0,0,E1071*0.03)</f>
        <v>0</v>
      </c>
    </row>
    <row r="1072" customFormat="false" ht="15.75" hidden="false" customHeight="true" outlineLevel="0" collapsed="false">
      <c r="A1072" s="30" t="n">
        <v>45323</v>
      </c>
      <c r="B1072" s="31" t="s">
        <v>11</v>
      </c>
      <c r="C1072" s="32"/>
      <c r="D1072" s="32"/>
      <c r="E1072" s="19" t="n">
        <f aca="false">+IF(C1072="EQUIPO",F1072,0)</f>
        <v>0</v>
      </c>
      <c r="F1072" s="33" t="n">
        <v>0</v>
      </c>
      <c r="G1072" s="62"/>
      <c r="H1072" s="35" t="n">
        <v>0</v>
      </c>
      <c r="I1072" s="34" t="n">
        <f aca="false">+IF(E1072=0,0,E1072*0.03)</f>
        <v>0</v>
      </c>
    </row>
    <row r="1073" customFormat="false" ht="15.75" hidden="false" customHeight="true" outlineLevel="0" collapsed="false">
      <c r="A1073" s="30" t="n">
        <v>45323</v>
      </c>
      <c r="B1073" s="31" t="s">
        <v>11</v>
      </c>
      <c r="C1073" s="32"/>
      <c r="D1073" s="32"/>
      <c r="E1073" s="19" t="n">
        <f aca="false">+IF(C1073="EQUIPO",F1073,0)</f>
        <v>0</v>
      </c>
      <c r="F1073" s="33" t="n">
        <v>0</v>
      </c>
      <c r="G1073" s="62"/>
      <c r="H1073" s="35" t="n">
        <v>0</v>
      </c>
      <c r="I1073" s="34" t="n">
        <f aca="false">+IF(E1073=0,0,E1073*0.03)</f>
        <v>0</v>
      </c>
    </row>
    <row r="1074" customFormat="false" ht="15.75" hidden="false" customHeight="true" outlineLevel="0" collapsed="false">
      <c r="A1074" s="30" t="n">
        <v>45323</v>
      </c>
      <c r="B1074" s="31" t="s">
        <v>11</v>
      </c>
      <c r="C1074" s="32"/>
      <c r="D1074" s="32"/>
      <c r="E1074" s="19" t="n">
        <f aca="false">+IF(C1074="EQUIPO",F1074,0)</f>
        <v>0</v>
      </c>
      <c r="F1074" s="33" t="n">
        <v>0</v>
      </c>
      <c r="G1074" s="62"/>
      <c r="H1074" s="35" t="n">
        <v>0</v>
      </c>
      <c r="I1074" s="34" t="n">
        <f aca="false">+IF(E1074=0,0,E1074*0.03)</f>
        <v>0</v>
      </c>
    </row>
    <row r="1075" customFormat="false" ht="15.75" hidden="false" customHeight="true" outlineLevel="0" collapsed="false">
      <c r="A1075" s="30" t="n">
        <v>45323</v>
      </c>
      <c r="B1075" s="31" t="s">
        <v>11</v>
      </c>
      <c r="C1075" s="32"/>
      <c r="D1075" s="32"/>
      <c r="E1075" s="19" t="n">
        <f aca="false">+IF(C1075="EQUIPO",F1075,0)</f>
        <v>0</v>
      </c>
      <c r="F1075" s="33" t="n">
        <v>0</v>
      </c>
      <c r="G1075" s="62"/>
      <c r="H1075" s="35" t="n">
        <v>0</v>
      </c>
      <c r="I1075" s="34" t="n">
        <f aca="false">+IF(E1075=0,0,E1075*0.03)</f>
        <v>0</v>
      </c>
    </row>
    <row r="1076" customFormat="false" ht="15.75" hidden="false" customHeight="true" outlineLevel="0" collapsed="false">
      <c r="A1076" s="30" t="n">
        <v>45323</v>
      </c>
      <c r="B1076" s="31" t="s">
        <v>11</v>
      </c>
      <c r="C1076" s="32"/>
      <c r="D1076" s="32"/>
      <c r="E1076" s="19" t="n">
        <f aca="false">+IF(C1076="EQUIPO",F1076,0)</f>
        <v>0</v>
      </c>
      <c r="F1076" s="33" t="n">
        <v>0</v>
      </c>
      <c r="G1076" s="62"/>
      <c r="H1076" s="35" t="n">
        <v>0</v>
      </c>
      <c r="I1076" s="34" t="n">
        <f aca="false">+IF(E1076=0,0,E1076*0.03)</f>
        <v>0</v>
      </c>
    </row>
    <row r="1077" customFormat="false" ht="15.75" hidden="false" customHeight="true" outlineLevel="0" collapsed="false">
      <c r="A1077" s="30" t="n">
        <v>45323</v>
      </c>
      <c r="B1077" s="31" t="s">
        <v>11</v>
      </c>
      <c r="C1077" s="32"/>
      <c r="D1077" s="32"/>
      <c r="E1077" s="19" t="n">
        <f aca="false">+IF(C1077="EQUIPO",F1077,0)</f>
        <v>0</v>
      </c>
      <c r="F1077" s="33" t="n">
        <v>0</v>
      </c>
      <c r="G1077" s="62"/>
      <c r="H1077" s="35" t="n">
        <v>0</v>
      </c>
      <c r="I1077" s="34" t="n">
        <f aca="false">+IF(E1077=0,0,E1077*0.03)</f>
        <v>0</v>
      </c>
    </row>
    <row r="1078" customFormat="false" ht="15.75" hidden="false" customHeight="true" outlineLevel="0" collapsed="false">
      <c r="A1078" s="30" t="n">
        <v>45323</v>
      </c>
      <c r="B1078" s="31" t="s">
        <v>11</v>
      </c>
      <c r="C1078" s="32"/>
      <c r="D1078" s="32"/>
      <c r="E1078" s="19" t="n">
        <f aca="false">+IF(C1078="EQUIPO",F1078,0)</f>
        <v>0</v>
      </c>
      <c r="F1078" s="33" t="n">
        <v>0</v>
      </c>
      <c r="G1078" s="62"/>
      <c r="H1078" s="35" t="n">
        <v>0</v>
      </c>
      <c r="I1078" s="34" t="n">
        <f aca="false">+IF(E1078=0,0,E1078*0.03)</f>
        <v>0</v>
      </c>
    </row>
    <row r="1079" customFormat="false" ht="15.75" hidden="false" customHeight="true" outlineLevel="0" collapsed="false">
      <c r="A1079" s="30" t="n">
        <v>45323</v>
      </c>
      <c r="B1079" s="31" t="s">
        <v>11</v>
      </c>
      <c r="C1079" s="32"/>
      <c r="D1079" s="32"/>
      <c r="E1079" s="19" t="n">
        <f aca="false">+IF(C1079="EQUIPO",F1079,0)</f>
        <v>0</v>
      </c>
      <c r="F1079" s="33" t="n">
        <v>0</v>
      </c>
      <c r="G1079" s="62"/>
      <c r="H1079" s="35" t="n">
        <v>0</v>
      </c>
      <c r="I1079" s="34" t="n">
        <f aca="false">+IF(E1079=0,0,E1079*0.03)</f>
        <v>0</v>
      </c>
    </row>
    <row r="1080" customFormat="false" ht="15.75" hidden="false" customHeight="true" outlineLevel="0" collapsed="false">
      <c r="A1080" s="30" t="n">
        <v>45323</v>
      </c>
      <c r="B1080" s="31" t="s">
        <v>11</v>
      </c>
      <c r="C1080" s="32"/>
      <c r="D1080" s="32"/>
      <c r="E1080" s="19" t="n">
        <f aca="false">+IF(C1080="EQUIPO",F1080,0)</f>
        <v>0</v>
      </c>
      <c r="F1080" s="33" t="n">
        <v>0</v>
      </c>
      <c r="G1080" s="62"/>
      <c r="H1080" s="35" t="n">
        <v>0</v>
      </c>
      <c r="I1080" s="34" t="n">
        <f aca="false">+IF(E1080=0,0,E1080*0.03)</f>
        <v>0</v>
      </c>
    </row>
    <row r="1081" customFormat="false" ht="15.75" hidden="false" customHeight="true" outlineLevel="0" collapsed="false">
      <c r="A1081" s="30" t="n">
        <v>45323</v>
      </c>
      <c r="B1081" s="31" t="s">
        <v>11</v>
      </c>
      <c r="C1081" s="32"/>
      <c r="D1081" s="32"/>
      <c r="E1081" s="19" t="n">
        <f aca="false">+IF(C1081="EQUIPO",F1081,0)</f>
        <v>0</v>
      </c>
      <c r="F1081" s="33" t="n">
        <v>0</v>
      </c>
      <c r="G1081" s="62"/>
      <c r="H1081" s="35" t="n">
        <v>0</v>
      </c>
      <c r="I1081" s="34" t="n">
        <f aca="false">+IF(E1081=0,0,E1081*0.03)</f>
        <v>0</v>
      </c>
    </row>
    <row r="1082" customFormat="false" ht="15.75" hidden="false" customHeight="true" outlineLevel="0" collapsed="false">
      <c r="A1082" s="30" t="n">
        <v>45323</v>
      </c>
      <c r="B1082" s="31" t="s">
        <v>11</v>
      </c>
      <c r="C1082" s="32"/>
      <c r="D1082" s="32"/>
      <c r="E1082" s="19" t="n">
        <f aca="false">+IF(C1082="EQUIPO",F1082,0)</f>
        <v>0</v>
      </c>
      <c r="F1082" s="33" t="n">
        <v>0</v>
      </c>
      <c r="G1082" s="62"/>
      <c r="H1082" s="35" t="n">
        <v>0</v>
      </c>
      <c r="I1082" s="34" t="n">
        <f aca="false">+IF(E1082=0,0,E1082*0.03)</f>
        <v>0</v>
      </c>
    </row>
    <row r="1083" customFormat="false" ht="15.75" hidden="false" customHeight="true" outlineLevel="0" collapsed="false">
      <c r="A1083" s="30" t="n">
        <v>45323</v>
      </c>
      <c r="B1083" s="31" t="s">
        <v>11</v>
      </c>
      <c r="C1083" s="32"/>
      <c r="D1083" s="32"/>
      <c r="E1083" s="19" t="n">
        <f aca="false">+IF(C1083="EQUIPO",F1083,0)</f>
        <v>0</v>
      </c>
      <c r="F1083" s="33" t="n">
        <v>0</v>
      </c>
      <c r="G1083" s="62"/>
      <c r="H1083" s="35" t="n">
        <v>0</v>
      </c>
      <c r="I1083" s="34" t="n">
        <f aca="false">+IF(E1083=0,0,E1083*0.03)</f>
        <v>0</v>
      </c>
    </row>
    <row r="1084" customFormat="false" ht="15.75" hidden="false" customHeight="true" outlineLevel="0" collapsed="false">
      <c r="A1084" s="30" t="n">
        <v>45323</v>
      </c>
      <c r="B1084" s="31" t="s">
        <v>11</v>
      </c>
      <c r="C1084" s="32"/>
      <c r="D1084" s="32"/>
      <c r="E1084" s="19" t="n">
        <f aca="false">+IF(C1084="EQUIPO",F1084,0)</f>
        <v>0</v>
      </c>
      <c r="F1084" s="33" t="n">
        <v>0</v>
      </c>
      <c r="G1084" s="62"/>
      <c r="H1084" s="35" t="n">
        <v>0</v>
      </c>
      <c r="I1084" s="34" t="n">
        <f aca="false">+IF(E1084=0,0,E1084*0.03)</f>
        <v>0</v>
      </c>
    </row>
    <row r="1085" customFormat="false" ht="15.75" hidden="false" customHeight="true" outlineLevel="0" collapsed="false">
      <c r="A1085" s="30" t="n">
        <v>45323</v>
      </c>
      <c r="B1085" s="31" t="s">
        <v>11</v>
      </c>
      <c r="C1085" s="32"/>
      <c r="D1085" s="32"/>
      <c r="E1085" s="19" t="n">
        <f aca="false">+IF(C1085="EQUIPO",F1085,0)</f>
        <v>0</v>
      </c>
      <c r="F1085" s="33" t="n">
        <v>0</v>
      </c>
      <c r="G1085" s="62"/>
      <c r="H1085" s="35" t="n">
        <v>0</v>
      </c>
      <c r="I1085" s="34" t="n">
        <f aca="false">+IF(E1085=0,0,E1085*0.03)</f>
        <v>0</v>
      </c>
    </row>
    <row r="1086" customFormat="false" ht="15.75" hidden="false" customHeight="true" outlineLevel="0" collapsed="false">
      <c r="A1086" s="30" t="n">
        <v>45323</v>
      </c>
      <c r="B1086" s="31" t="s">
        <v>11</v>
      </c>
      <c r="C1086" s="32"/>
      <c r="D1086" s="32"/>
      <c r="E1086" s="19" t="n">
        <f aca="false">+IF(C1086="EQUIPO",F1086,0)</f>
        <v>0</v>
      </c>
      <c r="F1086" s="33" t="n">
        <v>0</v>
      </c>
      <c r="G1086" s="62"/>
      <c r="H1086" s="35" t="n">
        <v>0</v>
      </c>
      <c r="I1086" s="34" t="n">
        <f aca="false">+IF(E1086=0,0,E1086*0.03)</f>
        <v>0</v>
      </c>
    </row>
    <row r="1087" customFormat="false" ht="15.75" hidden="false" customHeight="true" outlineLevel="0" collapsed="false">
      <c r="A1087" s="30" t="n">
        <v>45323</v>
      </c>
      <c r="B1087" s="31" t="s">
        <v>11</v>
      </c>
      <c r="C1087" s="32"/>
      <c r="D1087" s="32"/>
      <c r="E1087" s="19" t="n">
        <f aca="false">+IF(C1087="EQUIPO",F1087,0)</f>
        <v>0</v>
      </c>
      <c r="F1087" s="33" t="n">
        <v>0</v>
      </c>
      <c r="G1087" s="62"/>
      <c r="H1087" s="35" t="n">
        <v>0</v>
      </c>
      <c r="I1087" s="34" t="n">
        <f aca="false">+IF(E1087=0,0,E1087*0.03)</f>
        <v>0</v>
      </c>
    </row>
    <row r="1088" customFormat="false" ht="15.75" hidden="false" customHeight="true" outlineLevel="0" collapsed="false">
      <c r="A1088" s="30" t="n">
        <v>45323</v>
      </c>
      <c r="B1088" s="31" t="s">
        <v>11</v>
      </c>
      <c r="C1088" s="32"/>
      <c r="D1088" s="32"/>
      <c r="E1088" s="19" t="n">
        <f aca="false">+IF(C1088="EQUIPO",F1088,0)</f>
        <v>0</v>
      </c>
      <c r="F1088" s="33" t="n">
        <v>0</v>
      </c>
      <c r="G1088" s="62"/>
      <c r="H1088" s="35" t="n">
        <v>0</v>
      </c>
      <c r="I1088" s="34" t="n">
        <f aca="false">+IF(E1088=0,0,E1088*0.03)</f>
        <v>0</v>
      </c>
    </row>
    <row r="1089" customFormat="false" ht="15.75" hidden="false" customHeight="true" outlineLevel="0" collapsed="false">
      <c r="A1089" s="30" t="n">
        <v>45323</v>
      </c>
      <c r="B1089" s="31" t="s">
        <v>11</v>
      </c>
      <c r="C1089" s="32"/>
      <c r="D1089" s="32"/>
      <c r="E1089" s="19" t="n">
        <f aca="false">+IF(C1089="EQUIPO",F1089,0)</f>
        <v>0</v>
      </c>
      <c r="F1089" s="33" t="n">
        <v>0</v>
      </c>
      <c r="G1089" s="62"/>
      <c r="H1089" s="35" t="n">
        <v>0</v>
      </c>
      <c r="I1089" s="34" t="n">
        <f aca="false">+IF(E1089=0,0,E1089*0.03)</f>
        <v>0</v>
      </c>
    </row>
    <row r="1090" customFormat="false" ht="15.75" hidden="false" customHeight="true" outlineLevel="0" collapsed="false">
      <c r="A1090" s="30" t="n">
        <v>45323</v>
      </c>
      <c r="B1090" s="31" t="s">
        <v>11</v>
      </c>
      <c r="C1090" s="32"/>
      <c r="D1090" s="32"/>
      <c r="E1090" s="19" t="n">
        <f aca="false">+IF(C1090="EQUIPO",F1090,0)</f>
        <v>0</v>
      </c>
      <c r="F1090" s="33" t="n">
        <v>0</v>
      </c>
      <c r="G1090" s="62"/>
      <c r="H1090" s="35" t="n">
        <v>0</v>
      </c>
      <c r="I1090" s="34" t="n">
        <f aca="false">+IF(E1090=0,0,E1090*0.03)</f>
        <v>0</v>
      </c>
    </row>
    <row r="1091" customFormat="false" ht="15.75" hidden="false" customHeight="true" outlineLevel="0" collapsed="false">
      <c r="A1091" s="30" t="n">
        <v>45323</v>
      </c>
      <c r="B1091" s="31" t="s">
        <v>11</v>
      </c>
      <c r="C1091" s="32"/>
      <c r="D1091" s="32"/>
      <c r="E1091" s="19" t="n">
        <f aca="false">+IF(C1091="EQUIPO",F1091,0)</f>
        <v>0</v>
      </c>
      <c r="F1091" s="33" t="n">
        <v>0</v>
      </c>
      <c r="G1091" s="62"/>
      <c r="H1091" s="35" t="n">
        <v>0</v>
      </c>
      <c r="I1091" s="34" t="n">
        <f aca="false">+IF(E1091=0,0,E1091*0.03)</f>
        <v>0</v>
      </c>
    </row>
    <row r="1092" customFormat="false" ht="15.75" hidden="false" customHeight="true" outlineLevel="0" collapsed="false">
      <c r="A1092" s="30" t="n">
        <v>45323</v>
      </c>
      <c r="B1092" s="31" t="s">
        <v>11</v>
      </c>
      <c r="C1092" s="32"/>
      <c r="D1092" s="32"/>
      <c r="E1092" s="19" t="n">
        <f aca="false">+IF(C1092="EQUIPO",F1092,0)</f>
        <v>0</v>
      </c>
      <c r="F1092" s="33" t="n">
        <v>0</v>
      </c>
      <c r="G1092" s="62"/>
      <c r="H1092" s="35" t="n">
        <v>0</v>
      </c>
      <c r="I1092" s="34" t="n">
        <f aca="false">+IF(E1092=0,0,E1092*0.03)</f>
        <v>0</v>
      </c>
    </row>
    <row r="1093" customFormat="false" ht="15.75" hidden="false" customHeight="true" outlineLevel="0" collapsed="false">
      <c r="A1093" s="30" t="n">
        <v>45323</v>
      </c>
      <c r="B1093" s="31" t="s">
        <v>11</v>
      </c>
      <c r="C1093" s="32"/>
      <c r="D1093" s="32"/>
      <c r="E1093" s="19" t="n">
        <f aca="false">+IF(C1093="EQUIPO",F1093,0)</f>
        <v>0</v>
      </c>
      <c r="F1093" s="33" t="n">
        <v>0</v>
      </c>
      <c r="G1093" s="62"/>
      <c r="H1093" s="35" t="n">
        <v>0</v>
      </c>
      <c r="I1093" s="34" t="n">
        <f aca="false">+IF(E1093=0,0,E1093*0.03)</f>
        <v>0</v>
      </c>
    </row>
    <row r="1094" customFormat="false" ht="15.75" hidden="false" customHeight="true" outlineLevel="0" collapsed="false">
      <c r="A1094" s="30" t="n">
        <v>45323</v>
      </c>
      <c r="B1094" s="31" t="s">
        <v>11</v>
      </c>
      <c r="C1094" s="32"/>
      <c r="D1094" s="32"/>
      <c r="E1094" s="19" t="n">
        <f aca="false">+IF(C1094="EQUIPO",F1094,0)</f>
        <v>0</v>
      </c>
      <c r="F1094" s="33" t="n">
        <v>0</v>
      </c>
      <c r="G1094" s="62"/>
      <c r="H1094" s="35" t="n">
        <v>0</v>
      </c>
      <c r="I1094" s="34" t="n">
        <f aca="false">+IF(E1094=0,0,E1094*0.03)</f>
        <v>0</v>
      </c>
    </row>
    <row r="1095" customFormat="false" ht="15.75" hidden="false" customHeight="true" outlineLevel="0" collapsed="false">
      <c r="A1095" s="30" t="n">
        <v>45323</v>
      </c>
      <c r="B1095" s="31" t="s">
        <v>11</v>
      </c>
      <c r="C1095" s="32"/>
      <c r="D1095" s="32"/>
      <c r="E1095" s="19" t="n">
        <f aca="false">+IF(C1095="EQUIPO",F1095,0)</f>
        <v>0</v>
      </c>
      <c r="F1095" s="33" t="n">
        <v>0</v>
      </c>
      <c r="G1095" s="62"/>
      <c r="H1095" s="35" t="n">
        <v>0</v>
      </c>
      <c r="I1095" s="34" t="n">
        <f aca="false">+IF(E1095=0,0,E1095*0.03)</f>
        <v>0</v>
      </c>
    </row>
    <row r="1096" customFormat="false" ht="15.75" hidden="false" customHeight="true" outlineLevel="0" collapsed="false">
      <c r="A1096" s="30" t="n">
        <v>45323</v>
      </c>
      <c r="B1096" s="31" t="s">
        <v>11</v>
      </c>
      <c r="C1096" s="32"/>
      <c r="D1096" s="32"/>
      <c r="E1096" s="19" t="n">
        <f aca="false">+IF(C1096="EQUIPO",F1096,0)</f>
        <v>0</v>
      </c>
      <c r="F1096" s="33" t="n">
        <v>0</v>
      </c>
      <c r="G1096" s="62"/>
      <c r="H1096" s="35" t="n">
        <v>0</v>
      </c>
      <c r="I1096" s="34" t="n">
        <f aca="false">+IF(E1096=0,0,E1096*0.03)</f>
        <v>0</v>
      </c>
    </row>
    <row r="1097" customFormat="false" ht="15.75" hidden="false" customHeight="true" outlineLevel="0" collapsed="false">
      <c r="A1097" s="30" t="n">
        <v>45323</v>
      </c>
      <c r="B1097" s="31" t="s">
        <v>11</v>
      </c>
      <c r="C1097" s="32"/>
      <c r="D1097" s="32"/>
      <c r="E1097" s="19" t="n">
        <f aca="false">+IF(C1097="EQUIPO",F1097,0)</f>
        <v>0</v>
      </c>
      <c r="F1097" s="33" t="n">
        <v>0</v>
      </c>
      <c r="G1097" s="62"/>
      <c r="H1097" s="35" t="n">
        <v>0</v>
      </c>
      <c r="I1097" s="34" t="n">
        <f aca="false">+IF(E1097=0,0,E1097*0.03)</f>
        <v>0</v>
      </c>
    </row>
    <row r="1098" customFormat="false" ht="15.75" hidden="false" customHeight="true" outlineLevel="0" collapsed="false">
      <c r="A1098" s="30" t="n">
        <v>45323</v>
      </c>
      <c r="B1098" s="31" t="s">
        <v>11</v>
      </c>
      <c r="C1098" s="32"/>
      <c r="D1098" s="32"/>
      <c r="E1098" s="19" t="n">
        <f aca="false">+IF(C1098="EQUIPO",F1098,0)</f>
        <v>0</v>
      </c>
      <c r="F1098" s="33" t="n">
        <v>0</v>
      </c>
      <c r="G1098" s="62"/>
      <c r="H1098" s="35" t="n">
        <v>0</v>
      </c>
      <c r="I1098" s="34" t="n">
        <f aca="false">+IF(E1098=0,0,E1098*0.03)</f>
        <v>0</v>
      </c>
    </row>
    <row r="1099" customFormat="false" ht="15.75" hidden="false" customHeight="true" outlineLevel="0" collapsed="false">
      <c r="A1099" s="30" t="n">
        <v>45323</v>
      </c>
      <c r="B1099" s="31" t="s">
        <v>11</v>
      </c>
      <c r="C1099" s="32"/>
      <c r="D1099" s="32"/>
      <c r="E1099" s="19" t="n">
        <f aca="false">+IF(C1099="EQUIPO",F1099,0)</f>
        <v>0</v>
      </c>
      <c r="F1099" s="33" t="n">
        <v>0</v>
      </c>
      <c r="G1099" s="62"/>
      <c r="H1099" s="35" t="n">
        <v>0</v>
      </c>
      <c r="I1099" s="34" t="n">
        <f aca="false">+IF(E1099=0,0,E1099*0.03)</f>
        <v>0</v>
      </c>
    </row>
    <row r="1100" customFormat="false" ht="15.75" hidden="false" customHeight="true" outlineLevel="0" collapsed="false">
      <c r="A1100" s="30" t="n">
        <v>45323</v>
      </c>
      <c r="B1100" s="31" t="s">
        <v>11</v>
      </c>
      <c r="C1100" s="32"/>
      <c r="D1100" s="32"/>
      <c r="E1100" s="19" t="n">
        <f aca="false">+IF(C1100="EQUIPO",F1100,0)</f>
        <v>0</v>
      </c>
      <c r="F1100" s="33" t="n">
        <v>0</v>
      </c>
      <c r="G1100" s="62"/>
      <c r="H1100" s="35" t="n">
        <v>0</v>
      </c>
      <c r="I1100" s="34" t="n">
        <f aca="false">+IF(E1100=0,0,E1100*0.03)</f>
        <v>0</v>
      </c>
    </row>
    <row r="1101" customFormat="false" ht="15.75" hidden="false" customHeight="true" outlineLevel="0" collapsed="false">
      <c r="A1101" s="30" t="n">
        <v>45323</v>
      </c>
      <c r="B1101" s="31" t="s">
        <v>11</v>
      </c>
      <c r="C1101" s="32"/>
      <c r="D1101" s="32"/>
      <c r="E1101" s="19" t="n">
        <f aca="false">+IF(C1101="EQUIPO",F1101,0)</f>
        <v>0</v>
      </c>
      <c r="F1101" s="33" t="n">
        <v>0</v>
      </c>
      <c r="G1101" s="62"/>
      <c r="H1101" s="35" t="n">
        <v>0</v>
      </c>
      <c r="I1101" s="34" t="n">
        <f aca="false">+IF(E1101=0,0,E1101*0.03)</f>
        <v>0</v>
      </c>
    </row>
    <row r="1102" customFormat="false" ht="15.75" hidden="false" customHeight="true" outlineLevel="0" collapsed="false">
      <c r="A1102" s="30" t="n">
        <v>45323</v>
      </c>
      <c r="B1102" s="31" t="s">
        <v>11</v>
      </c>
      <c r="C1102" s="32"/>
      <c r="D1102" s="32"/>
      <c r="E1102" s="19" t="n">
        <f aca="false">+IF(C1102="EQUIPO",F1102,0)</f>
        <v>0</v>
      </c>
      <c r="F1102" s="33" t="n">
        <v>0</v>
      </c>
      <c r="G1102" s="62"/>
      <c r="H1102" s="35" t="n">
        <v>0</v>
      </c>
      <c r="I1102" s="34" t="n">
        <f aca="false">+IF(E1102=0,0,E1102*0.03)</f>
        <v>0</v>
      </c>
    </row>
    <row r="1103" customFormat="false" ht="15.75" hidden="false" customHeight="true" outlineLevel="0" collapsed="false">
      <c r="A1103" s="30" t="n">
        <v>45323</v>
      </c>
      <c r="B1103" s="31" t="s">
        <v>11</v>
      </c>
      <c r="C1103" s="32"/>
      <c r="D1103" s="32"/>
      <c r="E1103" s="19" t="n">
        <f aca="false">+IF(C1103="EQUIPO",F1103,0)</f>
        <v>0</v>
      </c>
      <c r="F1103" s="33" t="n">
        <v>0</v>
      </c>
      <c r="G1103" s="62"/>
      <c r="H1103" s="35" t="n">
        <v>0</v>
      </c>
      <c r="I1103" s="34" t="n">
        <f aca="false">+IF(E1103=0,0,E1103*0.03)</f>
        <v>0</v>
      </c>
    </row>
    <row r="1104" customFormat="false" ht="15.75" hidden="false" customHeight="true" outlineLevel="0" collapsed="false">
      <c r="A1104" s="30" t="n">
        <v>45323</v>
      </c>
      <c r="B1104" s="31" t="s">
        <v>11</v>
      </c>
      <c r="C1104" s="32"/>
      <c r="D1104" s="32"/>
      <c r="E1104" s="19" t="n">
        <f aca="false">+IF(C1104="EQUIPO",F1104,0)</f>
        <v>0</v>
      </c>
      <c r="F1104" s="33" t="n">
        <v>0</v>
      </c>
      <c r="G1104" s="62"/>
      <c r="H1104" s="35" t="n">
        <v>0</v>
      </c>
      <c r="I1104" s="34" t="n">
        <f aca="false">+IF(E1104=0,0,E1104*0.03)</f>
        <v>0</v>
      </c>
    </row>
    <row r="1105" customFormat="false" ht="15.75" hidden="false" customHeight="true" outlineLevel="0" collapsed="false">
      <c r="A1105" s="30" t="n">
        <v>45323</v>
      </c>
      <c r="B1105" s="31" t="s">
        <v>11</v>
      </c>
      <c r="C1105" s="32"/>
      <c r="D1105" s="32"/>
      <c r="E1105" s="19" t="n">
        <f aca="false">+IF(C1105="EQUIPO",F1105,0)</f>
        <v>0</v>
      </c>
      <c r="F1105" s="33" t="n">
        <v>0</v>
      </c>
      <c r="G1105" s="62"/>
      <c r="H1105" s="35" t="n">
        <v>0</v>
      </c>
      <c r="I1105" s="34" t="n">
        <f aca="false">+IF(E1105=0,0,E1105*0.03)</f>
        <v>0</v>
      </c>
    </row>
    <row r="1106" customFormat="false" ht="15.75" hidden="false" customHeight="true" outlineLevel="0" collapsed="false">
      <c r="A1106" s="30" t="n">
        <v>45323</v>
      </c>
      <c r="B1106" s="31" t="s">
        <v>11</v>
      </c>
      <c r="C1106" s="32"/>
      <c r="D1106" s="32"/>
      <c r="E1106" s="19" t="n">
        <f aca="false">+IF(C1106="EQUIPO",F1106,0)</f>
        <v>0</v>
      </c>
      <c r="F1106" s="33" t="n">
        <v>0</v>
      </c>
      <c r="G1106" s="62"/>
      <c r="H1106" s="35" t="n">
        <v>0</v>
      </c>
      <c r="I1106" s="34" t="n">
        <f aca="false">+IF(E1106=0,0,E1106*0.03)</f>
        <v>0</v>
      </c>
    </row>
    <row r="1107" customFormat="false" ht="15.75" hidden="false" customHeight="true" outlineLevel="0" collapsed="false">
      <c r="A1107" s="30" t="n">
        <v>45323</v>
      </c>
      <c r="B1107" s="31" t="s">
        <v>11</v>
      </c>
      <c r="C1107" s="32"/>
      <c r="D1107" s="32"/>
      <c r="E1107" s="19" t="n">
        <f aca="false">+IF(C1107="EQUIPO",F1107,0)</f>
        <v>0</v>
      </c>
      <c r="F1107" s="33" t="n">
        <v>0</v>
      </c>
      <c r="G1107" s="62"/>
      <c r="H1107" s="35" t="n">
        <v>0</v>
      </c>
      <c r="I1107" s="34" t="n">
        <f aca="false">+IF(E1107=0,0,E1107*0.03)</f>
        <v>0</v>
      </c>
    </row>
    <row r="1108" customFormat="false" ht="15.75" hidden="false" customHeight="true" outlineLevel="0" collapsed="false">
      <c r="A1108" s="30" t="n">
        <v>45323</v>
      </c>
      <c r="B1108" s="31" t="s">
        <v>11</v>
      </c>
      <c r="C1108" s="32"/>
      <c r="D1108" s="32"/>
      <c r="E1108" s="19" t="n">
        <f aca="false">+IF(C1108="EQUIPO",F1108,0)</f>
        <v>0</v>
      </c>
      <c r="F1108" s="33" t="n">
        <v>0</v>
      </c>
      <c r="G1108" s="62"/>
      <c r="H1108" s="35" t="n">
        <v>0</v>
      </c>
      <c r="I1108" s="34" t="n">
        <f aca="false">+IF(E1108=0,0,E1108*0.03)</f>
        <v>0</v>
      </c>
    </row>
    <row r="1109" customFormat="false" ht="15.75" hidden="false" customHeight="true" outlineLevel="0" collapsed="false">
      <c r="A1109" s="30" t="n">
        <v>45323</v>
      </c>
      <c r="B1109" s="31" t="s">
        <v>11</v>
      </c>
      <c r="C1109" s="32"/>
      <c r="D1109" s="32"/>
      <c r="E1109" s="19" t="n">
        <f aca="false">+IF(C1109="EQUIPO",F1109,0)</f>
        <v>0</v>
      </c>
      <c r="F1109" s="33" t="n">
        <v>0</v>
      </c>
      <c r="G1109" s="62"/>
      <c r="H1109" s="35" t="n">
        <v>0</v>
      </c>
      <c r="I1109" s="34" t="n">
        <f aca="false">+IF(E1109=0,0,E1109*0.03)</f>
        <v>0</v>
      </c>
    </row>
    <row r="1110" customFormat="false" ht="15.75" hidden="false" customHeight="true" outlineLevel="0" collapsed="false">
      <c r="A1110" s="30" t="n">
        <v>45323</v>
      </c>
      <c r="B1110" s="31" t="s">
        <v>11</v>
      </c>
      <c r="C1110" s="32"/>
      <c r="D1110" s="32"/>
      <c r="E1110" s="19" t="n">
        <f aca="false">+IF(C1110="EQUIPO",F1110,0)</f>
        <v>0</v>
      </c>
      <c r="F1110" s="33" t="n">
        <v>0</v>
      </c>
      <c r="G1110" s="62"/>
      <c r="H1110" s="35" t="n">
        <v>0</v>
      </c>
      <c r="I1110" s="34" t="n">
        <f aca="false">+IF(E1110=0,0,E1110*0.03)</f>
        <v>0</v>
      </c>
    </row>
    <row r="1111" customFormat="false" ht="15.75" hidden="false" customHeight="true" outlineLevel="0" collapsed="false">
      <c r="A1111" s="30" t="n">
        <v>45323</v>
      </c>
      <c r="B1111" s="31" t="s">
        <v>11</v>
      </c>
      <c r="C1111" s="32"/>
      <c r="D1111" s="32"/>
      <c r="E1111" s="19" t="n">
        <f aca="false">+IF(C1111="EQUIPO",F1111,0)</f>
        <v>0</v>
      </c>
      <c r="F1111" s="33" t="n">
        <v>0</v>
      </c>
      <c r="G1111" s="62"/>
      <c r="H1111" s="35" t="n">
        <v>0</v>
      </c>
      <c r="I1111" s="34" t="n">
        <f aca="false">+IF(E1111=0,0,E1111*0.03)</f>
        <v>0</v>
      </c>
    </row>
    <row r="1112" customFormat="false" ht="15.75" hidden="false" customHeight="true" outlineLevel="0" collapsed="false">
      <c r="A1112" s="30" t="n">
        <v>45323</v>
      </c>
      <c r="B1112" s="31" t="s">
        <v>11</v>
      </c>
      <c r="C1112" s="32"/>
      <c r="D1112" s="32"/>
      <c r="E1112" s="19" t="n">
        <f aca="false">+IF(C1112="EQUIPO",F1112,0)</f>
        <v>0</v>
      </c>
      <c r="F1112" s="33" t="n">
        <v>0</v>
      </c>
      <c r="G1112" s="62"/>
      <c r="H1112" s="35" t="n">
        <v>0</v>
      </c>
      <c r="I1112" s="34" t="n">
        <f aca="false">+IF(E1112=0,0,E1112*0.03)</f>
        <v>0</v>
      </c>
    </row>
    <row r="1113" customFormat="false" ht="15.75" hidden="false" customHeight="true" outlineLevel="0" collapsed="false">
      <c r="A1113" s="30" t="n">
        <v>45323</v>
      </c>
      <c r="B1113" s="31" t="s">
        <v>11</v>
      </c>
      <c r="C1113" s="32"/>
      <c r="D1113" s="32"/>
      <c r="E1113" s="19" t="n">
        <f aca="false">+IF(C1113="EQUIPO",F1113,0)</f>
        <v>0</v>
      </c>
      <c r="F1113" s="33" t="n">
        <v>0</v>
      </c>
      <c r="G1113" s="62"/>
      <c r="H1113" s="35" t="n">
        <v>0</v>
      </c>
      <c r="I1113" s="34" t="n">
        <f aca="false">+IF(E1113=0,0,E1113*0.03)</f>
        <v>0</v>
      </c>
    </row>
    <row r="1114" customFormat="false" ht="15.75" hidden="false" customHeight="true" outlineLevel="0" collapsed="false">
      <c r="A1114" s="30" t="n">
        <v>45323</v>
      </c>
      <c r="B1114" s="31" t="s">
        <v>11</v>
      </c>
      <c r="C1114" s="32"/>
      <c r="D1114" s="32"/>
      <c r="E1114" s="19" t="n">
        <f aca="false">+IF(C1114="EQUIPO",F1114,0)</f>
        <v>0</v>
      </c>
      <c r="F1114" s="33" t="n">
        <v>0</v>
      </c>
      <c r="G1114" s="62"/>
      <c r="H1114" s="35" t="n">
        <v>0</v>
      </c>
      <c r="I1114" s="34" t="n">
        <f aca="false">+IF(E1114=0,0,E1114*0.03)</f>
        <v>0</v>
      </c>
    </row>
    <row r="1115" customFormat="false" ht="15.75" hidden="false" customHeight="true" outlineLevel="0" collapsed="false">
      <c r="A1115" s="30" t="n">
        <v>45323</v>
      </c>
      <c r="B1115" s="31" t="s">
        <v>11</v>
      </c>
      <c r="C1115" s="32"/>
      <c r="D1115" s="32"/>
      <c r="E1115" s="19" t="n">
        <f aca="false">+IF(C1115="EQUIPO",F1115,0)</f>
        <v>0</v>
      </c>
      <c r="F1115" s="33" t="n">
        <v>0</v>
      </c>
      <c r="G1115" s="62"/>
      <c r="H1115" s="35" t="n">
        <v>0</v>
      </c>
      <c r="I1115" s="34" t="n">
        <f aca="false">+IF(E1115=0,0,E1115*0.03)</f>
        <v>0</v>
      </c>
    </row>
    <row r="1116" customFormat="false" ht="15.75" hidden="false" customHeight="true" outlineLevel="0" collapsed="false">
      <c r="A1116" s="30" t="n">
        <v>45323</v>
      </c>
      <c r="B1116" s="31" t="s">
        <v>11</v>
      </c>
      <c r="C1116" s="32"/>
      <c r="D1116" s="32"/>
      <c r="E1116" s="19" t="n">
        <f aca="false">+IF(C1116="EQUIPO",F1116,0)</f>
        <v>0</v>
      </c>
      <c r="F1116" s="33" t="n">
        <v>0</v>
      </c>
      <c r="G1116" s="62"/>
      <c r="H1116" s="35" t="n">
        <v>0</v>
      </c>
      <c r="I1116" s="34" t="n">
        <f aca="false">+IF(E1116=0,0,E1116*0.03)</f>
        <v>0</v>
      </c>
    </row>
    <row r="1117" customFormat="false" ht="15.75" hidden="false" customHeight="true" outlineLevel="0" collapsed="false">
      <c r="A1117" s="30" t="n">
        <v>45323</v>
      </c>
      <c r="B1117" s="31" t="s">
        <v>11</v>
      </c>
      <c r="C1117" s="32"/>
      <c r="D1117" s="32"/>
      <c r="E1117" s="19" t="n">
        <f aca="false">+IF(C1117="EQUIPO",F1117,0)</f>
        <v>0</v>
      </c>
      <c r="F1117" s="33" t="n">
        <v>0</v>
      </c>
      <c r="G1117" s="62"/>
      <c r="H1117" s="35" t="n">
        <v>0</v>
      </c>
      <c r="I1117" s="34" t="n">
        <f aca="false">+IF(E1117=0,0,E1117*0.03)</f>
        <v>0</v>
      </c>
    </row>
    <row r="1118" customFormat="false" ht="15.75" hidden="false" customHeight="true" outlineLevel="0" collapsed="false">
      <c r="A1118" s="30" t="n">
        <v>45323</v>
      </c>
      <c r="B1118" s="31" t="s">
        <v>11</v>
      </c>
      <c r="C1118" s="32"/>
      <c r="D1118" s="32"/>
      <c r="E1118" s="19" t="n">
        <f aca="false">+IF(C1118="EQUIPO",F1118,0)</f>
        <v>0</v>
      </c>
      <c r="F1118" s="33" t="n">
        <v>0</v>
      </c>
      <c r="G1118" s="62"/>
      <c r="H1118" s="35" t="n">
        <v>0</v>
      </c>
      <c r="I1118" s="34" t="n">
        <f aca="false">+IF(E1118=0,0,E1118*0.03)</f>
        <v>0</v>
      </c>
    </row>
    <row r="1119" customFormat="false" ht="15.75" hidden="false" customHeight="true" outlineLevel="0" collapsed="false">
      <c r="A1119" s="30" t="n">
        <v>45323</v>
      </c>
      <c r="B1119" s="31" t="s">
        <v>11</v>
      </c>
      <c r="C1119" s="32"/>
      <c r="D1119" s="32"/>
      <c r="E1119" s="19" t="n">
        <f aca="false">+IF(C1119="EQUIPO",F1119,0)</f>
        <v>0</v>
      </c>
      <c r="F1119" s="33" t="n">
        <v>0</v>
      </c>
      <c r="G1119" s="62"/>
      <c r="H1119" s="35" t="n">
        <v>0</v>
      </c>
      <c r="I1119" s="34" t="n">
        <f aca="false">+IF(E1119=0,0,E1119*0.03)</f>
        <v>0</v>
      </c>
    </row>
    <row r="1120" customFormat="false" ht="15.75" hidden="false" customHeight="true" outlineLevel="0" collapsed="false">
      <c r="A1120" s="30" t="n">
        <v>45323</v>
      </c>
      <c r="B1120" s="31" t="s">
        <v>11</v>
      </c>
      <c r="C1120" s="32"/>
      <c r="D1120" s="32"/>
      <c r="E1120" s="19" t="n">
        <f aca="false">+IF(C1120="EQUIPO",F1120,0)</f>
        <v>0</v>
      </c>
      <c r="F1120" s="33" t="n">
        <v>0</v>
      </c>
      <c r="G1120" s="62"/>
      <c r="H1120" s="35" t="n">
        <v>0</v>
      </c>
      <c r="I1120" s="34" t="n">
        <f aca="false">+IF(E1120=0,0,E1120*0.03)</f>
        <v>0</v>
      </c>
    </row>
    <row r="1121" customFormat="false" ht="15.75" hidden="false" customHeight="true" outlineLevel="0" collapsed="false">
      <c r="A1121" s="30" t="n">
        <v>45323</v>
      </c>
      <c r="B1121" s="31" t="s">
        <v>11</v>
      </c>
      <c r="C1121" s="32"/>
      <c r="D1121" s="32"/>
      <c r="E1121" s="19" t="n">
        <f aca="false">+IF(C1121="EQUIPO",F1121,0)</f>
        <v>0</v>
      </c>
      <c r="F1121" s="33" t="n">
        <v>0</v>
      </c>
      <c r="G1121" s="62"/>
      <c r="H1121" s="35" t="n">
        <v>0</v>
      </c>
      <c r="I1121" s="34" t="n">
        <f aca="false">+IF(E1121=0,0,E1121*0.03)</f>
        <v>0</v>
      </c>
    </row>
    <row r="1122" customFormat="false" ht="15.75" hidden="false" customHeight="true" outlineLevel="0" collapsed="false">
      <c r="A1122" s="30" t="n">
        <v>45323</v>
      </c>
      <c r="B1122" s="31" t="s">
        <v>11</v>
      </c>
      <c r="C1122" s="32"/>
      <c r="D1122" s="32"/>
      <c r="E1122" s="19" t="n">
        <f aca="false">+IF(C1122="EQUIPO",F1122,0)</f>
        <v>0</v>
      </c>
      <c r="F1122" s="33" t="n">
        <v>0</v>
      </c>
      <c r="G1122" s="62"/>
      <c r="H1122" s="35" t="n">
        <v>0</v>
      </c>
      <c r="I1122" s="34" t="n">
        <f aca="false">+IF(E1122=0,0,E1122*0.03)</f>
        <v>0</v>
      </c>
    </row>
    <row r="1123" customFormat="false" ht="15.75" hidden="false" customHeight="true" outlineLevel="0" collapsed="false">
      <c r="A1123" s="30" t="n">
        <v>45323</v>
      </c>
      <c r="B1123" s="31" t="s">
        <v>11</v>
      </c>
      <c r="C1123" s="32"/>
      <c r="D1123" s="32"/>
      <c r="E1123" s="19" t="n">
        <f aca="false">+IF(C1123="EQUIPO",F1123,0)</f>
        <v>0</v>
      </c>
      <c r="F1123" s="33" t="n">
        <v>0</v>
      </c>
      <c r="G1123" s="62"/>
      <c r="H1123" s="35" t="n">
        <v>0</v>
      </c>
      <c r="I1123" s="34" t="n">
        <f aca="false">+IF(E1123=0,0,E1123*0.03)</f>
        <v>0</v>
      </c>
    </row>
    <row r="1124" customFormat="false" ht="15.75" hidden="false" customHeight="true" outlineLevel="0" collapsed="false">
      <c r="A1124" s="30" t="n">
        <v>45323</v>
      </c>
      <c r="B1124" s="31" t="s">
        <v>11</v>
      </c>
      <c r="C1124" s="32"/>
      <c r="D1124" s="32"/>
      <c r="E1124" s="19" t="n">
        <f aca="false">+IF(C1124="EQUIPO",F1124,0)</f>
        <v>0</v>
      </c>
      <c r="F1124" s="33" t="n">
        <v>0</v>
      </c>
      <c r="G1124" s="62"/>
      <c r="H1124" s="35" t="n">
        <v>0</v>
      </c>
      <c r="I1124" s="34" t="n">
        <f aca="false">+IF(E1124=0,0,E1124*0.03)</f>
        <v>0</v>
      </c>
    </row>
    <row r="1125" customFormat="false" ht="15.75" hidden="false" customHeight="true" outlineLevel="0" collapsed="false">
      <c r="A1125" s="30" t="n">
        <v>45323</v>
      </c>
      <c r="B1125" s="31" t="s">
        <v>11</v>
      </c>
      <c r="C1125" s="32"/>
      <c r="D1125" s="32"/>
      <c r="E1125" s="19" t="n">
        <f aca="false">+IF(C1125="EQUIPO",F1125,0)</f>
        <v>0</v>
      </c>
      <c r="F1125" s="33" t="n">
        <v>0</v>
      </c>
      <c r="G1125" s="62"/>
      <c r="H1125" s="35" t="n">
        <v>0</v>
      </c>
      <c r="I1125" s="34" t="n">
        <f aca="false">+IF(E1125=0,0,E1125*0.03)</f>
        <v>0</v>
      </c>
    </row>
    <row r="1126" customFormat="false" ht="15.75" hidden="false" customHeight="true" outlineLevel="0" collapsed="false">
      <c r="A1126" s="30" t="n">
        <v>45323</v>
      </c>
      <c r="B1126" s="31" t="s">
        <v>11</v>
      </c>
      <c r="C1126" s="32"/>
      <c r="D1126" s="32"/>
      <c r="E1126" s="19" t="n">
        <f aca="false">+IF(C1126="EQUIPO",F1126,0)</f>
        <v>0</v>
      </c>
      <c r="F1126" s="33" t="n">
        <v>0</v>
      </c>
      <c r="G1126" s="62"/>
      <c r="H1126" s="35" t="n">
        <v>0</v>
      </c>
      <c r="I1126" s="34" t="n">
        <f aca="false">+IF(E1126=0,0,E1126*0.03)</f>
        <v>0</v>
      </c>
    </row>
    <row r="1127" customFormat="false" ht="15.75" hidden="false" customHeight="true" outlineLevel="0" collapsed="false">
      <c r="A1127" s="30" t="n">
        <v>45323</v>
      </c>
      <c r="B1127" s="31" t="s">
        <v>11</v>
      </c>
      <c r="C1127" s="32"/>
      <c r="D1127" s="32"/>
      <c r="E1127" s="19" t="n">
        <f aca="false">+IF(C1127="EQUIPO",F1127,0)</f>
        <v>0</v>
      </c>
      <c r="F1127" s="33" t="n">
        <v>0</v>
      </c>
      <c r="G1127" s="62"/>
      <c r="H1127" s="35" t="n">
        <v>0</v>
      </c>
      <c r="I1127" s="34" t="n">
        <f aca="false">+IF(E1127=0,0,E1127*0.03)</f>
        <v>0</v>
      </c>
    </row>
    <row r="1128" customFormat="false" ht="15.75" hidden="false" customHeight="true" outlineLevel="0" collapsed="false">
      <c r="A1128" s="30" t="n">
        <v>45323</v>
      </c>
      <c r="B1128" s="31" t="s">
        <v>11</v>
      </c>
      <c r="C1128" s="32"/>
      <c r="D1128" s="32"/>
      <c r="E1128" s="19" t="n">
        <f aca="false">+IF(C1128="EQUIPO",F1128,0)</f>
        <v>0</v>
      </c>
      <c r="F1128" s="33" t="n">
        <v>0</v>
      </c>
      <c r="G1128" s="62"/>
      <c r="H1128" s="35" t="n">
        <v>0</v>
      </c>
      <c r="I1128" s="34" t="n">
        <f aca="false">+IF(E1128=0,0,E1128*0.03)</f>
        <v>0</v>
      </c>
    </row>
    <row r="1129" customFormat="false" ht="15.75" hidden="false" customHeight="true" outlineLevel="0" collapsed="false">
      <c r="A1129" s="30" t="n">
        <v>45323</v>
      </c>
      <c r="B1129" s="31" t="s">
        <v>11</v>
      </c>
      <c r="C1129" s="32"/>
      <c r="D1129" s="32"/>
      <c r="E1129" s="19" t="n">
        <f aca="false">+IF(C1129="EQUIPO",F1129,0)</f>
        <v>0</v>
      </c>
      <c r="F1129" s="33" t="n">
        <v>0</v>
      </c>
      <c r="G1129" s="62"/>
      <c r="H1129" s="35" t="n">
        <v>0</v>
      </c>
      <c r="I1129" s="34" t="n">
        <f aca="false">+IF(E1129=0,0,E1129*0.03)</f>
        <v>0</v>
      </c>
    </row>
    <row r="1130" customFormat="false" ht="15.75" hidden="false" customHeight="true" outlineLevel="0" collapsed="false">
      <c r="A1130" s="30" t="n">
        <v>45323</v>
      </c>
      <c r="B1130" s="31" t="s">
        <v>11</v>
      </c>
      <c r="C1130" s="32"/>
      <c r="D1130" s="32"/>
      <c r="E1130" s="19" t="n">
        <f aca="false">+IF(C1130="EQUIPO",F1130,0)</f>
        <v>0</v>
      </c>
      <c r="F1130" s="33" t="n">
        <v>0</v>
      </c>
      <c r="G1130" s="62"/>
      <c r="H1130" s="35" t="n">
        <v>0</v>
      </c>
      <c r="I1130" s="34" t="n">
        <f aca="false">+IF(E1130=0,0,E1130*0.03)</f>
        <v>0</v>
      </c>
    </row>
    <row r="1131" customFormat="false" ht="15.75" hidden="false" customHeight="true" outlineLevel="0" collapsed="false">
      <c r="A1131" s="30" t="n">
        <v>45323</v>
      </c>
      <c r="B1131" s="31" t="s">
        <v>11</v>
      </c>
      <c r="C1131" s="32"/>
      <c r="D1131" s="32"/>
      <c r="E1131" s="19" t="n">
        <f aca="false">+IF(C1131="EQUIPO",F1131,0)</f>
        <v>0</v>
      </c>
      <c r="F1131" s="33" t="n">
        <v>0</v>
      </c>
      <c r="G1131" s="62"/>
      <c r="H1131" s="35" t="n">
        <v>0</v>
      </c>
      <c r="I1131" s="34" t="n">
        <f aca="false">+IF(E1131=0,0,E1131*0.03)</f>
        <v>0</v>
      </c>
    </row>
    <row r="1132" customFormat="false" ht="15.75" hidden="false" customHeight="true" outlineLevel="0" collapsed="false">
      <c r="A1132" s="30" t="n">
        <v>45323</v>
      </c>
      <c r="B1132" s="31" t="s">
        <v>11</v>
      </c>
      <c r="C1132" s="32"/>
      <c r="D1132" s="32"/>
      <c r="E1132" s="19" t="n">
        <f aca="false">+IF(C1132="EQUIPO",F1132,0)</f>
        <v>0</v>
      </c>
      <c r="F1132" s="33" t="n">
        <v>0</v>
      </c>
      <c r="G1132" s="62"/>
      <c r="H1132" s="35" t="n">
        <v>0</v>
      </c>
      <c r="I1132" s="34" t="n">
        <f aca="false">+IF(E1132=0,0,E1132*0.03)</f>
        <v>0</v>
      </c>
    </row>
    <row r="1133" customFormat="false" ht="15.75" hidden="false" customHeight="true" outlineLevel="0" collapsed="false">
      <c r="A1133" s="30" t="n">
        <v>45323</v>
      </c>
      <c r="B1133" s="31" t="s">
        <v>11</v>
      </c>
      <c r="C1133" s="32"/>
      <c r="D1133" s="32"/>
      <c r="E1133" s="19" t="n">
        <f aca="false">+IF(C1133="EQUIPO",F1133,0)</f>
        <v>0</v>
      </c>
      <c r="F1133" s="33" t="n">
        <v>0</v>
      </c>
      <c r="G1133" s="62"/>
      <c r="H1133" s="35" t="n">
        <v>0</v>
      </c>
      <c r="I1133" s="34" t="n">
        <f aca="false">+IF(E1133=0,0,E1133*0.03)</f>
        <v>0</v>
      </c>
    </row>
    <row r="1134" customFormat="false" ht="15.75" hidden="false" customHeight="true" outlineLevel="0" collapsed="false">
      <c r="A1134" s="30" t="n">
        <v>45323</v>
      </c>
      <c r="B1134" s="31" t="s">
        <v>11</v>
      </c>
      <c r="C1134" s="32"/>
      <c r="D1134" s="32"/>
      <c r="E1134" s="19" t="n">
        <f aca="false">+IF(C1134="EQUIPO",F1134,0)</f>
        <v>0</v>
      </c>
      <c r="F1134" s="33" t="n">
        <v>0</v>
      </c>
      <c r="G1134" s="62"/>
      <c r="H1134" s="35" t="n">
        <v>0</v>
      </c>
      <c r="I1134" s="34" t="n">
        <f aca="false">+IF(E1134=0,0,E1134*0.03)</f>
        <v>0</v>
      </c>
    </row>
    <row r="1135" customFormat="false" ht="15.75" hidden="false" customHeight="true" outlineLevel="0" collapsed="false">
      <c r="A1135" s="30" t="n">
        <v>45323</v>
      </c>
      <c r="B1135" s="31" t="s">
        <v>11</v>
      </c>
      <c r="C1135" s="32"/>
      <c r="D1135" s="32"/>
      <c r="E1135" s="19" t="n">
        <f aca="false">+IF(C1135="EQUIPO",F1135,0)</f>
        <v>0</v>
      </c>
      <c r="F1135" s="33" t="n">
        <v>0</v>
      </c>
      <c r="G1135" s="62"/>
      <c r="H1135" s="35" t="n">
        <v>0</v>
      </c>
      <c r="I1135" s="34" t="n">
        <f aca="false">+IF(E1135=0,0,E1135*0.03)</f>
        <v>0</v>
      </c>
    </row>
    <row r="1136" customFormat="false" ht="15.75" hidden="false" customHeight="true" outlineLevel="0" collapsed="false">
      <c r="A1136" s="30" t="n">
        <v>45323</v>
      </c>
      <c r="B1136" s="31" t="s">
        <v>11</v>
      </c>
      <c r="C1136" s="32"/>
      <c r="D1136" s="32"/>
      <c r="E1136" s="19" t="n">
        <f aca="false">+IF(C1136="EQUIPO",F1136,0)</f>
        <v>0</v>
      </c>
      <c r="F1136" s="33" t="n">
        <v>0</v>
      </c>
      <c r="G1136" s="62"/>
      <c r="H1136" s="35" t="n">
        <v>0</v>
      </c>
      <c r="I1136" s="34" t="n">
        <f aca="false">+IF(E1136=0,0,E1136*0.03)</f>
        <v>0</v>
      </c>
    </row>
    <row r="1137" customFormat="false" ht="15.75" hidden="false" customHeight="true" outlineLevel="0" collapsed="false">
      <c r="A1137" s="30" t="n">
        <v>45323</v>
      </c>
      <c r="B1137" s="31" t="s">
        <v>11</v>
      </c>
      <c r="C1137" s="32"/>
      <c r="D1137" s="32"/>
      <c r="E1137" s="19" t="n">
        <f aca="false">+IF(C1137="EQUIPO",F1137,0)</f>
        <v>0</v>
      </c>
      <c r="F1137" s="33" t="n">
        <v>0</v>
      </c>
      <c r="G1137" s="62"/>
      <c r="H1137" s="35" t="n">
        <v>0</v>
      </c>
      <c r="I1137" s="34" t="n">
        <f aca="false">+IF(E1137=0,0,E1137*0.03)</f>
        <v>0</v>
      </c>
    </row>
    <row r="1138" customFormat="false" ht="15.75" hidden="false" customHeight="true" outlineLevel="0" collapsed="false">
      <c r="A1138" s="30" t="n">
        <v>45323</v>
      </c>
      <c r="B1138" s="31" t="s">
        <v>11</v>
      </c>
      <c r="C1138" s="32"/>
      <c r="D1138" s="32"/>
      <c r="E1138" s="19" t="n">
        <f aca="false">+IF(C1138="EQUIPO",F1138,0)</f>
        <v>0</v>
      </c>
      <c r="F1138" s="33" t="n">
        <v>0</v>
      </c>
      <c r="G1138" s="62"/>
      <c r="H1138" s="35" t="n">
        <v>0</v>
      </c>
      <c r="I1138" s="34" t="n">
        <f aca="false">+IF(E1138=0,0,E1138*0.03)</f>
        <v>0</v>
      </c>
    </row>
    <row r="1139" customFormat="false" ht="15.75" hidden="false" customHeight="true" outlineLevel="0" collapsed="false">
      <c r="A1139" s="30" t="n">
        <v>45323</v>
      </c>
      <c r="B1139" s="31" t="s">
        <v>11</v>
      </c>
      <c r="C1139" s="32"/>
      <c r="D1139" s="32"/>
      <c r="E1139" s="19" t="n">
        <f aca="false">+IF(C1139="EQUIPO",F1139,0)</f>
        <v>0</v>
      </c>
      <c r="F1139" s="33" t="n">
        <v>0</v>
      </c>
      <c r="G1139" s="62"/>
      <c r="H1139" s="35" t="n">
        <v>0</v>
      </c>
      <c r="I1139" s="34" t="n">
        <f aca="false">+IF(E1139=0,0,E1139*0.03)</f>
        <v>0</v>
      </c>
    </row>
    <row r="1140" customFormat="false" ht="15.75" hidden="false" customHeight="true" outlineLevel="0" collapsed="false">
      <c r="A1140" s="30" t="n">
        <v>45323</v>
      </c>
      <c r="B1140" s="31" t="s">
        <v>11</v>
      </c>
      <c r="C1140" s="32"/>
      <c r="D1140" s="32"/>
      <c r="E1140" s="19" t="n">
        <f aca="false">+IF(C1140="EQUIPO",F1140,0)</f>
        <v>0</v>
      </c>
      <c r="F1140" s="33" t="n">
        <v>0</v>
      </c>
      <c r="G1140" s="62"/>
      <c r="H1140" s="35" t="n">
        <v>0</v>
      </c>
      <c r="I1140" s="34" t="n">
        <f aca="false">+IF(E1140=0,0,E1140*0.03)</f>
        <v>0</v>
      </c>
    </row>
    <row r="1141" customFormat="false" ht="15.75" hidden="false" customHeight="true" outlineLevel="0" collapsed="false">
      <c r="A1141" s="30" t="n">
        <v>45323</v>
      </c>
      <c r="B1141" s="31" t="s">
        <v>11</v>
      </c>
      <c r="C1141" s="32"/>
      <c r="D1141" s="32"/>
      <c r="E1141" s="19" t="n">
        <f aca="false">+IF(C1141="EQUIPO",F1141,0)</f>
        <v>0</v>
      </c>
      <c r="F1141" s="33" t="n">
        <v>0</v>
      </c>
      <c r="G1141" s="62"/>
      <c r="H1141" s="35" t="n">
        <v>0</v>
      </c>
      <c r="I1141" s="34" t="n">
        <f aca="false">+IF(E1141=0,0,E1141*0.03)</f>
        <v>0</v>
      </c>
    </row>
    <row r="1142" customFormat="false" ht="15.75" hidden="false" customHeight="true" outlineLevel="0" collapsed="false">
      <c r="A1142" s="30" t="n">
        <v>45323</v>
      </c>
      <c r="B1142" s="31" t="s">
        <v>11</v>
      </c>
      <c r="C1142" s="32"/>
      <c r="D1142" s="32"/>
      <c r="E1142" s="19" t="n">
        <f aca="false">+IF(C1142="EQUIPO",F1142,0)</f>
        <v>0</v>
      </c>
      <c r="F1142" s="33" t="n">
        <v>0</v>
      </c>
      <c r="G1142" s="62"/>
      <c r="H1142" s="35" t="n">
        <v>0</v>
      </c>
      <c r="I1142" s="34" t="n">
        <f aca="false">+IF(E1142=0,0,E1142*0.03)</f>
        <v>0</v>
      </c>
    </row>
    <row r="1143" customFormat="false" ht="15.75" hidden="false" customHeight="true" outlineLevel="0" collapsed="false">
      <c r="A1143" s="30" t="n">
        <v>45323</v>
      </c>
      <c r="B1143" s="31" t="s">
        <v>11</v>
      </c>
      <c r="C1143" s="32"/>
      <c r="D1143" s="32"/>
      <c r="E1143" s="19" t="n">
        <f aca="false">+IF(C1143="EQUIPO",F1143,0)</f>
        <v>0</v>
      </c>
      <c r="F1143" s="33" t="n">
        <v>0</v>
      </c>
      <c r="G1143" s="62"/>
      <c r="H1143" s="35" t="n">
        <v>0</v>
      </c>
      <c r="I1143" s="34" t="n">
        <f aca="false">+IF(E1143=0,0,E1143*0.03)</f>
        <v>0</v>
      </c>
    </row>
    <row r="1144" customFormat="false" ht="15.75" hidden="false" customHeight="true" outlineLevel="0" collapsed="false">
      <c r="A1144" s="30" t="n">
        <v>45323</v>
      </c>
      <c r="B1144" s="31" t="s">
        <v>11</v>
      </c>
      <c r="C1144" s="32"/>
      <c r="D1144" s="32"/>
      <c r="E1144" s="19" t="n">
        <f aca="false">+IF(C1144="EQUIPO",F1144,0)</f>
        <v>0</v>
      </c>
      <c r="F1144" s="33" t="n">
        <v>0</v>
      </c>
      <c r="G1144" s="62"/>
      <c r="H1144" s="35" t="n">
        <v>0</v>
      </c>
      <c r="I1144" s="34" t="n">
        <f aca="false">+IF(E1144=0,0,E1144*0.03)</f>
        <v>0</v>
      </c>
    </row>
    <row r="1145" customFormat="false" ht="15.75" hidden="false" customHeight="true" outlineLevel="0" collapsed="false">
      <c r="A1145" s="30" t="n">
        <v>45323</v>
      </c>
      <c r="B1145" s="31" t="s">
        <v>11</v>
      </c>
      <c r="C1145" s="32"/>
      <c r="D1145" s="32"/>
      <c r="E1145" s="19" t="n">
        <f aca="false">+IF(C1145="EQUIPO",F1145,0)</f>
        <v>0</v>
      </c>
      <c r="F1145" s="33" t="n">
        <v>0</v>
      </c>
      <c r="G1145" s="62"/>
      <c r="H1145" s="35" t="n">
        <v>0</v>
      </c>
      <c r="I1145" s="34" t="n">
        <f aca="false">+IF(E1145=0,0,E1145*0.03)</f>
        <v>0</v>
      </c>
    </row>
    <row r="1146" customFormat="false" ht="15.75" hidden="false" customHeight="true" outlineLevel="0" collapsed="false">
      <c r="A1146" s="30" t="n">
        <v>45323</v>
      </c>
      <c r="B1146" s="31" t="s">
        <v>11</v>
      </c>
      <c r="C1146" s="32"/>
      <c r="D1146" s="32"/>
      <c r="E1146" s="19" t="n">
        <f aca="false">+IF(C1146="EQUIPO",F1146,0)</f>
        <v>0</v>
      </c>
      <c r="F1146" s="33" t="n">
        <v>0</v>
      </c>
      <c r="G1146" s="62"/>
      <c r="H1146" s="35" t="n">
        <v>0</v>
      </c>
      <c r="I1146" s="34" t="n">
        <f aca="false">+IF(E1146=0,0,E1146*0.03)</f>
        <v>0</v>
      </c>
    </row>
    <row r="1147" customFormat="false" ht="15.75" hidden="false" customHeight="true" outlineLevel="0" collapsed="false">
      <c r="A1147" s="30" t="n">
        <v>45323</v>
      </c>
      <c r="B1147" s="31" t="s">
        <v>11</v>
      </c>
      <c r="C1147" s="32"/>
      <c r="D1147" s="32"/>
      <c r="E1147" s="19" t="n">
        <f aca="false">+IF(C1147="EQUIPO",F1147,0)</f>
        <v>0</v>
      </c>
      <c r="F1147" s="33" t="n">
        <v>0</v>
      </c>
      <c r="G1147" s="62"/>
      <c r="H1147" s="35" t="n">
        <v>0</v>
      </c>
      <c r="I1147" s="34" t="n">
        <f aca="false">+IF(E1147=0,0,E1147*0.03)</f>
        <v>0</v>
      </c>
    </row>
    <row r="1148" customFormat="false" ht="15.75" hidden="false" customHeight="true" outlineLevel="0" collapsed="false">
      <c r="A1148" s="30" t="n">
        <v>45323</v>
      </c>
      <c r="B1148" s="31" t="s">
        <v>11</v>
      </c>
      <c r="C1148" s="32"/>
      <c r="D1148" s="32"/>
      <c r="E1148" s="19" t="n">
        <f aca="false">+IF(C1148="EQUIPO",F1148,0)</f>
        <v>0</v>
      </c>
      <c r="F1148" s="33" t="n">
        <v>0</v>
      </c>
      <c r="G1148" s="62"/>
      <c r="H1148" s="35" t="n">
        <v>0</v>
      </c>
      <c r="I1148" s="34" t="n">
        <f aca="false">+IF(E1148=0,0,E1148*0.03)</f>
        <v>0</v>
      </c>
    </row>
    <row r="1149" customFormat="false" ht="15.75" hidden="false" customHeight="true" outlineLevel="0" collapsed="false">
      <c r="A1149" s="30" t="n">
        <v>45323</v>
      </c>
      <c r="B1149" s="31" t="s">
        <v>11</v>
      </c>
      <c r="C1149" s="32"/>
      <c r="D1149" s="32"/>
      <c r="E1149" s="19" t="n">
        <f aca="false">+IF(C1149="EQUIPO",F1149,0)</f>
        <v>0</v>
      </c>
      <c r="F1149" s="33" t="n">
        <v>0</v>
      </c>
      <c r="G1149" s="62"/>
      <c r="H1149" s="35" t="n">
        <v>0</v>
      </c>
      <c r="I1149" s="34" t="n">
        <f aca="false">+IF(E1149=0,0,E1149*0.03)</f>
        <v>0</v>
      </c>
    </row>
    <row r="1150" customFormat="false" ht="15.75" hidden="false" customHeight="true" outlineLevel="0" collapsed="false">
      <c r="A1150" s="30" t="n">
        <v>45323</v>
      </c>
      <c r="B1150" s="31" t="s">
        <v>11</v>
      </c>
      <c r="C1150" s="32"/>
      <c r="D1150" s="32"/>
      <c r="E1150" s="19" t="n">
        <f aca="false">+IF(C1150="EQUIPO",F1150,0)</f>
        <v>0</v>
      </c>
      <c r="F1150" s="33" t="n">
        <v>0</v>
      </c>
      <c r="G1150" s="62"/>
      <c r="H1150" s="35" t="n">
        <v>0</v>
      </c>
      <c r="I1150" s="34" t="n">
        <f aca="false">+IF(E1150=0,0,E1150*0.03)</f>
        <v>0</v>
      </c>
    </row>
    <row r="1151" customFormat="false" ht="15.75" hidden="false" customHeight="true" outlineLevel="0" collapsed="false">
      <c r="A1151" s="30" t="n">
        <v>45323</v>
      </c>
      <c r="B1151" s="31" t="s">
        <v>11</v>
      </c>
      <c r="C1151" s="32"/>
      <c r="D1151" s="32"/>
      <c r="E1151" s="19" t="n">
        <f aca="false">+IF(C1151="EQUIPO",F1151,0)</f>
        <v>0</v>
      </c>
      <c r="F1151" s="33" t="n">
        <v>0</v>
      </c>
      <c r="G1151" s="62"/>
      <c r="H1151" s="35" t="n">
        <v>0</v>
      </c>
      <c r="I1151" s="34" t="n">
        <f aca="false">+IF(E1151=0,0,E1151*0.03)</f>
        <v>0</v>
      </c>
    </row>
    <row r="1152" customFormat="false" ht="15.75" hidden="false" customHeight="true" outlineLevel="0" collapsed="false">
      <c r="A1152" s="30" t="n">
        <v>45323</v>
      </c>
      <c r="B1152" s="31" t="s">
        <v>11</v>
      </c>
      <c r="C1152" s="32"/>
      <c r="D1152" s="32"/>
      <c r="E1152" s="19" t="n">
        <f aca="false">+IF(C1152="EQUIPO",F1152,0)</f>
        <v>0</v>
      </c>
      <c r="F1152" s="33" t="n">
        <v>0</v>
      </c>
      <c r="G1152" s="62"/>
      <c r="H1152" s="35" t="n">
        <v>0</v>
      </c>
      <c r="I1152" s="34" t="n">
        <f aca="false">+IF(E1152=0,0,E1152*0.03)</f>
        <v>0</v>
      </c>
    </row>
    <row r="1153" customFormat="false" ht="15.75" hidden="false" customHeight="true" outlineLevel="0" collapsed="false">
      <c r="A1153" s="30" t="n">
        <v>45323</v>
      </c>
      <c r="B1153" s="31" t="s">
        <v>11</v>
      </c>
      <c r="C1153" s="32"/>
      <c r="D1153" s="32"/>
      <c r="E1153" s="19" t="n">
        <f aca="false">+IF(C1153="EQUIPO",F1153,0)</f>
        <v>0</v>
      </c>
      <c r="F1153" s="33" t="n">
        <v>0</v>
      </c>
      <c r="G1153" s="62"/>
      <c r="H1153" s="35" t="n">
        <v>0</v>
      </c>
      <c r="I1153" s="34" t="n">
        <f aca="false">+IF(E1153=0,0,E1153*0.03)</f>
        <v>0</v>
      </c>
    </row>
    <row r="1154" customFormat="false" ht="15.75" hidden="false" customHeight="true" outlineLevel="0" collapsed="false">
      <c r="A1154" s="30" t="n">
        <v>45323</v>
      </c>
      <c r="B1154" s="31" t="s">
        <v>11</v>
      </c>
      <c r="C1154" s="32"/>
      <c r="D1154" s="32"/>
      <c r="E1154" s="19" t="n">
        <f aca="false">+IF(C1154="EQUIPO",F1154,0)</f>
        <v>0</v>
      </c>
      <c r="F1154" s="33" t="n">
        <v>0</v>
      </c>
      <c r="G1154" s="62"/>
      <c r="H1154" s="35" t="n">
        <v>0</v>
      </c>
      <c r="I1154" s="34" t="n">
        <f aca="false">+IF(E1154=0,0,E1154*0.03)</f>
        <v>0</v>
      </c>
    </row>
    <row r="1155" customFormat="false" ht="15.75" hidden="false" customHeight="true" outlineLevel="0" collapsed="false">
      <c r="A1155" s="30" t="n">
        <v>45323</v>
      </c>
      <c r="B1155" s="31" t="s">
        <v>11</v>
      </c>
      <c r="C1155" s="32"/>
      <c r="D1155" s="32"/>
      <c r="E1155" s="19" t="n">
        <f aca="false">+IF(C1155="EQUIPO",F1155,0)</f>
        <v>0</v>
      </c>
      <c r="F1155" s="33" t="n">
        <v>0</v>
      </c>
      <c r="G1155" s="62"/>
      <c r="H1155" s="35" t="n">
        <v>0</v>
      </c>
      <c r="I1155" s="34" t="n">
        <f aca="false">+IF(E1155=0,0,E1155*0.03)</f>
        <v>0</v>
      </c>
    </row>
    <row r="1156" customFormat="false" ht="15.75" hidden="false" customHeight="true" outlineLevel="0" collapsed="false">
      <c r="A1156" s="30" t="n">
        <v>45323</v>
      </c>
      <c r="B1156" s="31" t="s">
        <v>11</v>
      </c>
      <c r="C1156" s="32"/>
      <c r="D1156" s="32"/>
      <c r="E1156" s="19" t="n">
        <f aca="false">+IF(C1156="EQUIPO",F1156,0)</f>
        <v>0</v>
      </c>
      <c r="F1156" s="33" t="n">
        <v>0</v>
      </c>
      <c r="G1156" s="62"/>
      <c r="H1156" s="35" t="n">
        <v>0</v>
      </c>
      <c r="I1156" s="34" t="n">
        <f aca="false">+IF(E1156=0,0,E1156*0.03)</f>
        <v>0</v>
      </c>
    </row>
    <row r="1157" customFormat="false" ht="15.75" hidden="false" customHeight="true" outlineLevel="0" collapsed="false">
      <c r="A1157" s="30" t="n">
        <v>45323</v>
      </c>
      <c r="B1157" s="31" t="s">
        <v>11</v>
      </c>
      <c r="C1157" s="32"/>
      <c r="D1157" s="32"/>
      <c r="E1157" s="19" t="n">
        <f aca="false">+IF(C1157="EQUIPO",F1157,0)</f>
        <v>0</v>
      </c>
      <c r="F1157" s="33" t="n">
        <v>0</v>
      </c>
      <c r="G1157" s="62"/>
      <c r="H1157" s="35" t="n">
        <v>0</v>
      </c>
      <c r="I1157" s="34" t="n">
        <f aca="false">+IF(E1157=0,0,E1157*0.03)</f>
        <v>0</v>
      </c>
    </row>
    <row r="1158" customFormat="false" ht="15.75" hidden="false" customHeight="true" outlineLevel="0" collapsed="false">
      <c r="A1158" s="30" t="n">
        <v>45323</v>
      </c>
      <c r="B1158" s="31" t="s">
        <v>11</v>
      </c>
      <c r="C1158" s="32"/>
      <c r="D1158" s="32"/>
      <c r="E1158" s="19" t="n">
        <f aca="false">+IF(C1158="EQUIPO",F1158,0)</f>
        <v>0</v>
      </c>
      <c r="F1158" s="33" t="n">
        <v>0</v>
      </c>
      <c r="G1158" s="62"/>
      <c r="H1158" s="35" t="n">
        <v>0</v>
      </c>
      <c r="I1158" s="34" t="n">
        <f aca="false">+IF(E1158=0,0,E1158*0.03)</f>
        <v>0</v>
      </c>
    </row>
    <row r="1159" customFormat="false" ht="15.75" hidden="false" customHeight="true" outlineLevel="0" collapsed="false">
      <c r="A1159" s="30" t="n">
        <v>45323</v>
      </c>
      <c r="B1159" s="31" t="s">
        <v>11</v>
      </c>
      <c r="C1159" s="32"/>
      <c r="D1159" s="32"/>
      <c r="E1159" s="19" t="n">
        <f aca="false">+IF(C1159="EQUIPO",F1159,0)</f>
        <v>0</v>
      </c>
      <c r="F1159" s="33" t="n">
        <v>0</v>
      </c>
      <c r="G1159" s="62"/>
      <c r="H1159" s="35" t="n">
        <v>0</v>
      </c>
      <c r="I1159" s="34" t="n">
        <f aca="false">+IF(E1159=0,0,E1159*0.03)</f>
        <v>0</v>
      </c>
    </row>
    <row r="1160" customFormat="false" ht="15.75" hidden="false" customHeight="true" outlineLevel="0" collapsed="false">
      <c r="A1160" s="30" t="n">
        <v>45323</v>
      </c>
      <c r="B1160" s="31" t="s">
        <v>11</v>
      </c>
      <c r="C1160" s="32"/>
      <c r="D1160" s="32"/>
      <c r="E1160" s="19" t="n">
        <f aca="false">+IF(C1160="EQUIPO",F1160,0)</f>
        <v>0</v>
      </c>
      <c r="F1160" s="33" t="n">
        <v>0</v>
      </c>
      <c r="G1160" s="62"/>
      <c r="H1160" s="35" t="n">
        <v>0</v>
      </c>
      <c r="I1160" s="34" t="n">
        <f aca="false">+IF(E1160=0,0,E1160*0.03)</f>
        <v>0</v>
      </c>
    </row>
    <row r="1161" customFormat="false" ht="15.75" hidden="false" customHeight="true" outlineLevel="0" collapsed="false">
      <c r="A1161" s="30" t="n">
        <v>45323</v>
      </c>
      <c r="B1161" s="31" t="s">
        <v>11</v>
      </c>
      <c r="C1161" s="32"/>
      <c r="D1161" s="32"/>
      <c r="E1161" s="19" t="n">
        <f aca="false">+IF(C1161="EQUIPO",F1161,0)</f>
        <v>0</v>
      </c>
      <c r="F1161" s="33" t="n">
        <v>0</v>
      </c>
      <c r="G1161" s="62"/>
      <c r="H1161" s="35" t="n">
        <v>0</v>
      </c>
      <c r="I1161" s="34" t="n">
        <f aca="false">+IF(E1161=0,0,E1161*0.03)</f>
        <v>0</v>
      </c>
    </row>
    <row r="1162" customFormat="false" ht="15.75" hidden="false" customHeight="true" outlineLevel="0" collapsed="false">
      <c r="A1162" s="30" t="n">
        <v>45323</v>
      </c>
      <c r="B1162" s="31" t="s">
        <v>11</v>
      </c>
      <c r="C1162" s="32"/>
      <c r="D1162" s="32"/>
      <c r="E1162" s="19" t="n">
        <f aca="false">+IF(C1162="EQUIPO",F1162,0)</f>
        <v>0</v>
      </c>
      <c r="F1162" s="33" t="n">
        <v>0</v>
      </c>
      <c r="G1162" s="62"/>
      <c r="H1162" s="35" t="n">
        <v>0</v>
      </c>
      <c r="I1162" s="34" t="n">
        <f aca="false">+IF(E1162=0,0,E1162*0.03)</f>
        <v>0</v>
      </c>
    </row>
    <row r="1163" customFormat="false" ht="15.75" hidden="false" customHeight="true" outlineLevel="0" collapsed="false">
      <c r="A1163" s="30" t="n">
        <v>45323</v>
      </c>
      <c r="B1163" s="31" t="s">
        <v>11</v>
      </c>
      <c r="C1163" s="32"/>
      <c r="D1163" s="32"/>
      <c r="E1163" s="19" t="n">
        <f aca="false">+IF(C1163="EQUIPO",F1163,0)</f>
        <v>0</v>
      </c>
      <c r="F1163" s="33" t="n">
        <v>0</v>
      </c>
      <c r="G1163" s="62"/>
      <c r="H1163" s="35" t="n">
        <v>0</v>
      </c>
      <c r="I1163" s="34" t="n">
        <f aca="false">+IF(E1163=0,0,E1163*0.03)</f>
        <v>0</v>
      </c>
    </row>
    <row r="1164" customFormat="false" ht="15.75" hidden="false" customHeight="true" outlineLevel="0" collapsed="false">
      <c r="A1164" s="30" t="n">
        <v>45323</v>
      </c>
      <c r="B1164" s="31" t="s">
        <v>11</v>
      </c>
      <c r="C1164" s="32"/>
      <c r="D1164" s="32"/>
      <c r="E1164" s="19" t="n">
        <f aca="false">+IF(C1164="EQUIPO",F1164,0)</f>
        <v>0</v>
      </c>
      <c r="F1164" s="33" t="n">
        <v>0</v>
      </c>
      <c r="G1164" s="62"/>
      <c r="H1164" s="35" t="n">
        <v>0</v>
      </c>
      <c r="I1164" s="34" t="n">
        <f aca="false">+IF(E1164=0,0,E1164*0.03)</f>
        <v>0</v>
      </c>
    </row>
    <row r="1165" customFormat="false" ht="15.75" hidden="false" customHeight="true" outlineLevel="0" collapsed="false">
      <c r="A1165" s="30" t="n">
        <v>45323</v>
      </c>
      <c r="B1165" s="31" t="s">
        <v>11</v>
      </c>
      <c r="C1165" s="32"/>
      <c r="D1165" s="32"/>
      <c r="E1165" s="19" t="n">
        <f aca="false">+IF(C1165="EQUIPO",F1165,0)</f>
        <v>0</v>
      </c>
      <c r="F1165" s="33" t="n">
        <v>0</v>
      </c>
      <c r="G1165" s="62"/>
      <c r="H1165" s="35" t="n">
        <v>0</v>
      </c>
      <c r="I1165" s="34" t="n">
        <f aca="false">+IF(E1165=0,0,E1165*0.03)</f>
        <v>0</v>
      </c>
    </row>
    <row r="1166" customFormat="false" ht="15.75" hidden="false" customHeight="true" outlineLevel="0" collapsed="false">
      <c r="A1166" s="30" t="n">
        <v>45323</v>
      </c>
      <c r="B1166" s="31" t="s">
        <v>11</v>
      </c>
      <c r="C1166" s="32"/>
      <c r="D1166" s="32"/>
      <c r="E1166" s="19" t="n">
        <f aca="false">+IF(C1166="EQUIPO",F1166,0)</f>
        <v>0</v>
      </c>
      <c r="F1166" s="33" t="n">
        <v>0</v>
      </c>
      <c r="G1166" s="62"/>
      <c r="H1166" s="35" t="n">
        <v>0</v>
      </c>
      <c r="I1166" s="34" t="n">
        <f aca="false">+IF(E1166=0,0,E1166*0.03)</f>
        <v>0</v>
      </c>
    </row>
    <row r="1167" customFormat="false" ht="15.75" hidden="false" customHeight="true" outlineLevel="0" collapsed="false">
      <c r="A1167" s="30" t="n">
        <v>45323</v>
      </c>
      <c r="B1167" s="31" t="s">
        <v>11</v>
      </c>
      <c r="C1167" s="32"/>
      <c r="D1167" s="32"/>
      <c r="E1167" s="19" t="n">
        <f aca="false">+IF(C1167="EQUIPO",F1167,0)</f>
        <v>0</v>
      </c>
      <c r="F1167" s="33" t="n">
        <v>0</v>
      </c>
      <c r="G1167" s="62"/>
      <c r="H1167" s="35" t="n">
        <v>0</v>
      </c>
      <c r="I1167" s="34" t="n">
        <f aca="false">+IF(E1167=0,0,E1167*0.03)</f>
        <v>0</v>
      </c>
    </row>
    <row r="1168" customFormat="false" ht="15.75" hidden="false" customHeight="true" outlineLevel="0" collapsed="false">
      <c r="A1168" s="30" t="n">
        <v>45323</v>
      </c>
      <c r="B1168" s="31" t="s">
        <v>11</v>
      </c>
      <c r="C1168" s="32"/>
      <c r="D1168" s="32"/>
      <c r="E1168" s="19" t="n">
        <f aca="false">+IF(C1168="EQUIPO",F1168,0)</f>
        <v>0</v>
      </c>
      <c r="F1168" s="33" t="n">
        <v>0</v>
      </c>
      <c r="G1168" s="62"/>
      <c r="H1168" s="35" t="n">
        <v>0</v>
      </c>
      <c r="I1168" s="34" t="n">
        <f aca="false">+IF(E1168=0,0,E1168*0.03)</f>
        <v>0</v>
      </c>
    </row>
    <row r="1169" customFormat="false" ht="15.75" hidden="false" customHeight="true" outlineLevel="0" collapsed="false">
      <c r="A1169" s="30" t="n">
        <v>45323</v>
      </c>
      <c r="B1169" s="31" t="s">
        <v>11</v>
      </c>
      <c r="C1169" s="32"/>
      <c r="D1169" s="32"/>
      <c r="E1169" s="19" t="n">
        <f aca="false">+IF(C1169="EQUIPO",F1169,0)</f>
        <v>0</v>
      </c>
      <c r="F1169" s="33" t="n">
        <v>0</v>
      </c>
      <c r="G1169" s="62"/>
      <c r="H1169" s="35" t="n">
        <v>0</v>
      </c>
      <c r="I1169" s="34" t="n">
        <f aca="false">+IF(E1169=0,0,E1169*0.03)</f>
        <v>0</v>
      </c>
    </row>
    <row r="1170" customFormat="false" ht="15.75" hidden="false" customHeight="true" outlineLevel="0" collapsed="false">
      <c r="A1170" s="30" t="n">
        <v>45323</v>
      </c>
      <c r="B1170" s="31" t="s">
        <v>11</v>
      </c>
      <c r="C1170" s="32"/>
      <c r="D1170" s="32"/>
      <c r="E1170" s="19" t="n">
        <f aca="false">+IF(C1170="EQUIPO",F1170,0)</f>
        <v>0</v>
      </c>
      <c r="F1170" s="33" t="n">
        <v>0</v>
      </c>
      <c r="G1170" s="62"/>
      <c r="H1170" s="35" t="n">
        <v>0</v>
      </c>
      <c r="I1170" s="34" t="n">
        <f aca="false">+IF(E1170=0,0,E1170*0.03)</f>
        <v>0</v>
      </c>
    </row>
    <row r="1171" customFormat="false" ht="15.75" hidden="false" customHeight="true" outlineLevel="0" collapsed="false">
      <c r="A1171" s="30" t="n">
        <v>45323</v>
      </c>
      <c r="B1171" s="31" t="s">
        <v>11</v>
      </c>
      <c r="C1171" s="32"/>
      <c r="D1171" s="32"/>
      <c r="E1171" s="19" t="n">
        <f aca="false">+IF(C1171="EQUIPO",F1171,0)</f>
        <v>0</v>
      </c>
      <c r="F1171" s="33" t="n">
        <v>0</v>
      </c>
      <c r="G1171" s="62"/>
      <c r="H1171" s="35" t="n">
        <v>0</v>
      </c>
      <c r="I1171" s="34" t="n">
        <f aca="false">+IF(E1171=0,0,E1171*0.03)</f>
        <v>0</v>
      </c>
    </row>
    <row r="1172" customFormat="false" ht="15.75" hidden="false" customHeight="true" outlineLevel="0" collapsed="false">
      <c r="A1172" s="30" t="n">
        <v>45323</v>
      </c>
      <c r="B1172" s="31" t="s">
        <v>11</v>
      </c>
      <c r="C1172" s="32"/>
      <c r="D1172" s="32"/>
      <c r="E1172" s="19" t="n">
        <f aca="false">+IF(C1172="EQUIPO",F1172,0)</f>
        <v>0</v>
      </c>
      <c r="F1172" s="33" t="n">
        <v>0</v>
      </c>
      <c r="G1172" s="62"/>
      <c r="H1172" s="35" t="n">
        <v>0</v>
      </c>
      <c r="I1172" s="34" t="n">
        <f aca="false">+IF(E1172=0,0,E1172*0.03)</f>
        <v>0</v>
      </c>
    </row>
    <row r="1173" customFormat="false" ht="15.75" hidden="false" customHeight="true" outlineLevel="0" collapsed="false">
      <c r="A1173" s="30" t="n">
        <v>45323</v>
      </c>
      <c r="B1173" s="31" t="s">
        <v>11</v>
      </c>
      <c r="C1173" s="32"/>
      <c r="D1173" s="32"/>
      <c r="E1173" s="19" t="n">
        <f aca="false">+IF(C1173="EQUIPO",F1173,0)</f>
        <v>0</v>
      </c>
      <c r="F1173" s="33" t="n">
        <v>0</v>
      </c>
      <c r="G1173" s="62"/>
      <c r="H1173" s="35" t="n">
        <v>0</v>
      </c>
      <c r="I1173" s="34" t="n">
        <f aca="false">+IF(E1173=0,0,E1173*0.03)</f>
        <v>0</v>
      </c>
    </row>
    <row r="1174" customFormat="false" ht="15.75" hidden="false" customHeight="true" outlineLevel="0" collapsed="false">
      <c r="A1174" s="30" t="n">
        <v>45323</v>
      </c>
      <c r="B1174" s="31" t="s">
        <v>11</v>
      </c>
      <c r="C1174" s="32"/>
      <c r="D1174" s="32"/>
      <c r="E1174" s="19" t="n">
        <f aca="false">+IF(C1174="EQUIPO",F1174,0)</f>
        <v>0</v>
      </c>
      <c r="F1174" s="33" t="n">
        <v>0</v>
      </c>
      <c r="G1174" s="62"/>
      <c r="H1174" s="35" t="n">
        <v>0</v>
      </c>
      <c r="I1174" s="34" t="n">
        <f aca="false">+IF(E1174=0,0,E1174*0.03)</f>
        <v>0</v>
      </c>
    </row>
    <row r="1175" customFormat="false" ht="15.75" hidden="false" customHeight="true" outlineLevel="0" collapsed="false">
      <c r="A1175" s="30" t="n">
        <v>45323</v>
      </c>
      <c r="B1175" s="31" t="s">
        <v>11</v>
      </c>
      <c r="C1175" s="32"/>
      <c r="D1175" s="32"/>
      <c r="E1175" s="19" t="n">
        <f aca="false">+IF(C1175="EQUIPO",F1175,0)</f>
        <v>0</v>
      </c>
      <c r="F1175" s="33" t="n">
        <v>0</v>
      </c>
      <c r="G1175" s="62"/>
      <c r="H1175" s="35" t="n">
        <v>0</v>
      </c>
      <c r="I1175" s="34" t="n">
        <f aca="false">+IF(E1175=0,0,E1175*0.03)</f>
        <v>0</v>
      </c>
    </row>
    <row r="1176" customFormat="false" ht="15.75" hidden="false" customHeight="true" outlineLevel="0" collapsed="false">
      <c r="A1176" s="30" t="n">
        <v>45323</v>
      </c>
      <c r="B1176" s="31" t="s">
        <v>11</v>
      </c>
      <c r="C1176" s="32"/>
      <c r="D1176" s="32"/>
      <c r="E1176" s="19" t="n">
        <f aca="false">+IF(C1176="EQUIPO",F1176,0)</f>
        <v>0</v>
      </c>
      <c r="F1176" s="33" t="n">
        <v>0</v>
      </c>
      <c r="G1176" s="62"/>
      <c r="H1176" s="35" t="n">
        <v>0</v>
      </c>
      <c r="I1176" s="34" t="n">
        <f aca="false">+IF(E1176=0,0,E1176*0.03)</f>
        <v>0</v>
      </c>
    </row>
    <row r="1177" customFormat="false" ht="15.75" hidden="false" customHeight="true" outlineLevel="0" collapsed="false">
      <c r="A1177" s="30" t="n">
        <v>45323</v>
      </c>
      <c r="B1177" s="31" t="s">
        <v>11</v>
      </c>
      <c r="C1177" s="32"/>
      <c r="D1177" s="32"/>
      <c r="E1177" s="19" t="n">
        <f aca="false">+IF(C1177="EQUIPO",F1177,0)</f>
        <v>0</v>
      </c>
      <c r="F1177" s="33" t="n">
        <v>0</v>
      </c>
      <c r="G1177" s="62"/>
      <c r="H1177" s="35" t="n">
        <v>0</v>
      </c>
      <c r="I1177" s="34" t="n">
        <f aca="false">+IF(E1177=0,0,E1177*0.03)</f>
        <v>0</v>
      </c>
    </row>
    <row r="1178" customFormat="false" ht="15.75" hidden="false" customHeight="true" outlineLevel="0" collapsed="false">
      <c r="A1178" s="30" t="n">
        <v>45323</v>
      </c>
      <c r="B1178" s="31" t="s">
        <v>11</v>
      </c>
      <c r="C1178" s="32"/>
      <c r="D1178" s="32"/>
      <c r="E1178" s="19" t="n">
        <f aca="false">+IF(C1178="EQUIPO",F1178,0)</f>
        <v>0</v>
      </c>
      <c r="F1178" s="33" t="n">
        <v>0</v>
      </c>
      <c r="G1178" s="62"/>
      <c r="H1178" s="35" t="n">
        <v>0</v>
      </c>
      <c r="I1178" s="34" t="n">
        <f aca="false">+IF(E1178=0,0,E1178*0.03)</f>
        <v>0</v>
      </c>
    </row>
    <row r="1179" customFormat="false" ht="15.75" hidden="false" customHeight="true" outlineLevel="0" collapsed="false">
      <c r="A1179" s="30" t="n">
        <v>45323</v>
      </c>
      <c r="B1179" s="31" t="s">
        <v>11</v>
      </c>
      <c r="C1179" s="32"/>
      <c r="D1179" s="32"/>
      <c r="E1179" s="19" t="n">
        <f aca="false">+IF(C1179="EQUIPO",F1179,0)</f>
        <v>0</v>
      </c>
      <c r="F1179" s="33" t="n">
        <v>0</v>
      </c>
      <c r="G1179" s="62"/>
      <c r="H1179" s="35" t="n">
        <v>0</v>
      </c>
      <c r="I1179" s="34" t="n">
        <f aca="false">+IF(E1179=0,0,E1179*0.03)</f>
        <v>0</v>
      </c>
    </row>
    <row r="1180" customFormat="false" ht="15.75" hidden="false" customHeight="true" outlineLevel="0" collapsed="false">
      <c r="A1180" s="30" t="n">
        <v>45323</v>
      </c>
      <c r="B1180" s="31" t="s">
        <v>11</v>
      </c>
      <c r="C1180" s="32"/>
      <c r="D1180" s="32"/>
      <c r="E1180" s="19" t="n">
        <f aca="false">+IF(C1180="EQUIPO",F1180,0)</f>
        <v>0</v>
      </c>
      <c r="F1180" s="33" t="n">
        <v>0</v>
      </c>
      <c r="G1180" s="62"/>
      <c r="H1180" s="35" t="n">
        <v>0</v>
      </c>
      <c r="I1180" s="34" t="n">
        <f aca="false">+IF(E1180=0,0,E1180*0.03)</f>
        <v>0</v>
      </c>
    </row>
    <row r="1181" customFormat="false" ht="15.75" hidden="false" customHeight="true" outlineLevel="0" collapsed="false">
      <c r="A1181" s="30" t="n">
        <v>45323</v>
      </c>
      <c r="B1181" s="31" t="s">
        <v>11</v>
      </c>
      <c r="C1181" s="32"/>
      <c r="D1181" s="32"/>
      <c r="E1181" s="19" t="n">
        <f aca="false">+IF(C1181="EQUIPO",F1181,0)</f>
        <v>0</v>
      </c>
      <c r="F1181" s="33" t="n">
        <v>0</v>
      </c>
      <c r="G1181" s="62"/>
      <c r="H1181" s="35" t="n">
        <v>0</v>
      </c>
      <c r="I1181" s="34" t="n">
        <f aca="false">+IF(E1181=0,0,E1181*0.03)</f>
        <v>0</v>
      </c>
    </row>
    <row r="1182" customFormat="false" ht="15.75" hidden="false" customHeight="true" outlineLevel="0" collapsed="false">
      <c r="A1182" s="30" t="n">
        <v>45323</v>
      </c>
      <c r="B1182" s="31" t="s">
        <v>11</v>
      </c>
      <c r="C1182" s="32"/>
      <c r="D1182" s="32"/>
      <c r="E1182" s="19" t="n">
        <f aca="false">+IF(C1182="EQUIPO",F1182,0)</f>
        <v>0</v>
      </c>
      <c r="F1182" s="33" t="n">
        <v>0</v>
      </c>
      <c r="G1182" s="62"/>
      <c r="H1182" s="35" t="n">
        <v>0</v>
      </c>
      <c r="I1182" s="34" t="n">
        <f aca="false">+IF(E1182=0,0,E1182*0.03)</f>
        <v>0</v>
      </c>
    </row>
    <row r="1183" customFormat="false" ht="15.75" hidden="false" customHeight="true" outlineLevel="0" collapsed="false">
      <c r="A1183" s="30" t="n">
        <v>45323</v>
      </c>
      <c r="B1183" s="31" t="s">
        <v>11</v>
      </c>
      <c r="C1183" s="32"/>
      <c r="D1183" s="32"/>
      <c r="E1183" s="19" t="n">
        <f aca="false">+IF(C1183="EQUIPO",F1183,0)</f>
        <v>0</v>
      </c>
      <c r="F1183" s="33" t="n">
        <v>0</v>
      </c>
      <c r="G1183" s="62"/>
      <c r="H1183" s="35" t="n">
        <v>0</v>
      </c>
      <c r="I1183" s="34" t="n">
        <f aca="false">+IF(E1183=0,0,E1183*0.03)</f>
        <v>0</v>
      </c>
    </row>
    <row r="1184" customFormat="false" ht="15.75" hidden="false" customHeight="true" outlineLevel="0" collapsed="false">
      <c r="A1184" s="30" t="n">
        <v>45323</v>
      </c>
      <c r="B1184" s="31" t="s">
        <v>11</v>
      </c>
      <c r="C1184" s="32"/>
      <c r="D1184" s="32"/>
      <c r="E1184" s="19" t="n">
        <f aca="false">+IF(C1184="EQUIPO",F1184,0)</f>
        <v>0</v>
      </c>
      <c r="F1184" s="33" t="n">
        <v>0</v>
      </c>
      <c r="G1184" s="62"/>
      <c r="H1184" s="35" t="n">
        <v>0</v>
      </c>
      <c r="I1184" s="34" t="n">
        <f aca="false">+IF(E1184=0,0,E1184*0.03)</f>
        <v>0</v>
      </c>
    </row>
    <row r="1185" customFormat="false" ht="15.75" hidden="false" customHeight="true" outlineLevel="0" collapsed="false">
      <c r="A1185" s="30" t="n">
        <v>45323</v>
      </c>
      <c r="B1185" s="31" t="s">
        <v>11</v>
      </c>
      <c r="C1185" s="32"/>
      <c r="D1185" s="32"/>
      <c r="E1185" s="19" t="n">
        <f aca="false">+IF(C1185="EQUIPO",F1185,0)</f>
        <v>0</v>
      </c>
      <c r="F1185" s="33" t="n">
        <v>0</v>
      </c>
      <c r="G1185" s="62"/>
      <c r="H1185" s="35" t="n">
        <v>0</v>
      </c>
      <c r="I1185" s="34" t="n">
        <f aca="false">+IF(E1185=0,0,E1185*0.03)</f>
        <v>0</v>
      </c>
    </row>
    <row r="1186" customFormat="false" ht="15.75" hidden="false" customHeight="true" outlineLevel="0" collapsed="false">
      <c r="A1186" s="30" t="n">
        <v>45323</v>
      </c>
      <c r="B1186" s="31" t="s">
        <v>11</v>
      </c>
      <c r="C1186" s="32"/>
      <c r="D1186" s="32"/>
      <c r="E1186" s="19" t="n">
        <f aca="false">+IF(C1186="EQUIPO",F1186,0)</f>
        <v>0</v>
      </c>
      <c r="F1186" s="33" t="n">
        <v>0</v>
      </c>
      <c r="G1186" s="62"/>
      <c r="H1186" s="35" t="n">
        <v>0</v>
      </c>
      <c r="I1186" s="34" t="n">
        <f aca="false">+IF(E1186=0,0,E1186*0.03)</f>
        <v>0</v>
      </c>
    </row>
    <row r="1187" customFormat="false" ht="15.75" hidden="false" customHeight="true" outlineLevel="0" collapsed="false">
      <c r="A1187" s="30" t="n">
        <v>45323</v>
      </c>
      <c r="B1187" s="31" t="s">
        <v>11</v>
      </c>
      <c r="C1187" s="32"/>
      <c r="D1187" s="32"/>
      <c r="E1187" s="19" t="n">
        <f aca="false">+IF(C1187="EQUIPO",F1187,0)</f>
        <v>0</v>
      </c>
      <c r="F1187" s="33" t="n">
        <v>0</v>
      </c>
      <c r="G1187" s="62"/>
      <c r="H1187" s="35" t="n">
        <v>0</v>
      </c>
      <c r="I1187" s="34" t="n">
        <f aca="false">+IF(E1187=0,0,E1187*0.03)</f>
        <v>0</v>
      </c>
    </row>
    <row r="1188" customFormat="false" ht="15.75" hidden="false" customHeight="true" outlineLevel="0" collapsed="false">
      <c r="A1188" s="30" t="n">
        <v>45323</v>
      </c>
      <c r="B1188" s="31" t="s">
        <v>11</v>
      </c>
      <c r="C1188" s="32"/>
      <c r="D1188" s="32"/>
      <c r="E1188" s="19" t="n">
        <f aca="false">+IF(C1188="EQUIPO",F1188,0)</f>
        <v>0</v>
      </c>
      <c r="F1188" s="33" t="n">
        <v>0</v>
      </c>
      <c r="G1188" s="62"/>
      <c r="H1188" s="35" t="n">
        <v>0</v>
      </c>
      <c r="I1188" s="34" t="n">
        <f aca="false">+IF(E1188=0,0,E1188*0.03)</f>
        <v>0</v>
      </c>
    </row>
    <row r="1189" customFormat="false" ht="15.75" hidden="false" customHeight="true" outlineLevel="0" collapsed="false">
      <c r="A1189" s="30" t="n">
        <v>45323</v>
      </c>
      <c r="B1189" s="31" t="s">
        <v>11</v>
      </c>
      <c r="C1189" s="32"/>
      <c r="D1189" s="32"/>
      <c r="E1189" s="19" t="n">
        <f aca="false">+IF(C1189="EQUIPO",F1189,0)</f>
        <v>0</v>
      </c>
      <c r="F1189" s="33" t="n">
        <v>0</v>
      </c>
      <c r="G1189" s="62"/>
      <c r="H1189" s="35" t="n">
        <v>0</v>
      </c>
      <c r="I1189" s="34" t="n">
        <f aca="false">+IF(E1189=0,0,E1189*0.03)</f>
        <v>0</v>
      </c>
    </row>
    <row r="1190" customFormat="false" ht="15.75" hidden="false" customHeight="true" outlineLevel="0" collapsed="false">
      <c r="A1190" s="30" t="n">
        <v>45323</v>
      </c>
      <c r="B1190" s="31" t="s">
        <v>11</v>
      </c>
      <c r="C1190" s="32"/>
      <c r="D1190" s="32"/>
      <c r="E1190" s="19" t="n">
        <f aca="false">+IF(C1190="EQUIPO",F1190,0)</f>
        <v>0</v>
      </c>
      <c r="F1190" s="33" t="n">
        <v>0</v>
      </c>
      <c r="G1190" s="62"/>
      <c r="H1190" s="35" t="n">
        <v>0</v>
      </c>
      <c r="I1190" s="34" t="n">
        <f aca="false">+IF(E1190=0,0,E1190*0.03)</f>
        <v>0</v>
      </c>
    </row>
    <row r="1191" customFormat="false" ht="15.75" hidden="false" customHeight="true" outlineLevel="0" collapsed="false">
      <c r="A1191" s="30" t="n">
        <v>45323</v>
      </c>
      <c r="B1191" s="31" t="s">
        <v>11</v>
      </c>
      <c r="C1191" s="32"/>
      <c r="D1191" s="32"/>
      <c r="E1191" s="19" t="n">
        <f aca="false">+IF(C1191="EQUIPO",F1191,0)</f>
        <v>0</v>
      </c>
      <c r="F1191" s="33" t="n">
        <v>0</v>
      </c>
      <c r="G1191" s="62"/>
      <c r="H1191" s="35" t="n">
        <v>0</v>
      </c>
      <c r="I1191" s="34" t="n">
        <f aca="false">+IF(E1191=0,0,E1191*0.03)</f>
        <v>0</v>
      </c>
    </row>
    <row r="1192" customFormat="false" ht="15.75" hidden="false" customHeight="true" outlineLevel="0" collapsed="false">
      <c r="A1192" s="30" t="n">
        <v>45323</v>
      </c>
      <c r="B1192" s="31" t="s">
        <v>11</v>
      </c>
      <c r="C1192" s="32"/>
      <c r="D1192" s="32"/>
      <c r="E1192" s="19" t="n">
        <f aca="false">+IF(C1192="EQUIPO",F1192,0)</f>
        <v>0</v>
      </c>
      <c r="F1192" s="33" t="n">
        <v>0</v>
      </c>
      <c r="G1192" s="62"/>
      <c r="H1192" s="35" t="n">
        <v>0</v>
      </c>
      <c r="I1192" s="34" t="n">
        <f aca="false">+IF(E1192=0,0,E1192*0.03)</f>
        <v>0</v>
      </c>
    </row>
    <row r="1193" customFormat="false" ht="15.75" hidden="false" customHeight="true" outlineLevel="0" collapsed="false">
      <c r="A1193" s="30" t="n">
        <v>45323</v>
      </c>
      <c r="B1193" s="31" t="s">
        <v>11</v>
      </c>
      <c r="C1193" s="32"/>
      <c r="D1193" s="32"/>
      <c r="E1193" s="19" t="n">
        <f aca="false">+IF(C1193="EQUIPO",F1193,0)</f>
        <v>0</v>
      </c>
      <c r="F1193" s="33" t="n">
        <v>0</v>
      </c>
      <c r="G1193" s="62"/>
      <c r="H1193" s="35" t="n">
        <v>0</v>
      </c>
      <c r="I1193" s="34" t="n">
        <f aca="false">+IF(E1193=0,0,E1193*0.03)</f>
        <v>0</v>
      </c>
    </row>
    <row r="1194" customFormat="false" ht="15.75" hidden="false" customHeight="true" outlineLevel="0" collapsed="false">
      <c r="A1194" s="30" t="n">
        <v>45323</v>
      </c>
      <c r="B1194" s="31" t="s">
        <v>11</v>
      </c>
      <c r="C1194" s="32"/>
      <c r="D1194" s="32"/>
      <c r="E1194" s="19" t="n">
        <f aca="false">+IF(C1194="EQUIPO",F1194,0)</f>
        <v>0</v>
      </c>
      <c r="F1194" s="33" t="n">
        <v>0</v>
      </c>
      <c r="G1194" s="62"/>
      <c r="H1194" s="35" t="n">
        <v>0</v>
      </c>
      <c r="I1194" s="34" t="n">
        <f aca="false">+IF(E1194=0,0,E1194*0.03)</f>
        <v>0</v>
      </c>
    </row>
    <row r="1195" customFormat="false" ht="15.75" hidden="false" customHeight="true" outlineLevel="0" collapsed="false">
      <c r="A1195" s="30" t="n">
        <v>45323</v>
      </c>
      <c r="B1195" s="31" t="s">
        <v>11</v>
      </c>
      <c r="C1195" s="32"/>
      <c r="D1195" s="32"/>
      <c r="E1195" s="19" t="n">
        <f aca="false">+IF(C1195="EQUIPO",F1195,0)</f>
        <v>0</v>
      </c>
      <c r="F1195" s="33" t="n">
        <v>0</v>
      </c>
      <c r="G1195" s="62"/>
      <c r="H1195" s="35" t="n">
        <v>0</v>
      </c>
      <c r="I1195" s="34" t="n">
        <f aca="false">+IF(E1195=0,0,E1195*0.03)</f>
        <v>0</v>
      </c>
    </row>
    <row r="1196" customFormat="false" ht="15.75" hidden="false" customHeight="true" outlineLevel="0" collapsed="false">
      <c r="A1196" s="30" t="n">
        <v>45323</v>
      </c>
      <c r="B1196" s="31" t="s">
        <v>11</v>
      </c>
      <c r="C1196" s="32"/>
      <c r="D1196" s="32"/>
      <c r="E1196" s="19" t="n">
        <f aca="false">+IF(C1196="EQUIPO",F1196,0)</f>
        <v>0</v>
      </c>
      <c r="F1196" s="33" t="n">
        <v>0</v>
      </c>
      <c r="G1196" s="62"/>
      <c r="H1196" s="35" t="n">
        <v>0</v>
      </c>
      <c r="I1196" s="34" t="n">
        <f aca="false">+IF(E1196=0,0,E1196*0.03)</f>
        <v>0</v>
      </c>
    </row>
    <row r="1197" customFormat="false" ht="15.75" hidden="false" customHeight="true" outlineLevel="0" collapsed="false">
      <c r="A1197" s="30" t="n">
        <v>45323</v>
      </c>
      <c r="B1197" s="31" t="s">
        <v>11</v>
      </c>
      <c r="C1197" s="32"/>
      <c r="D1197" s="32"/>
      <c r="E1197" s="19" t="n">
        <f aca="false">+IF(C1197="EQUIPO",F1197,0)</f>
        <v>0</v>
      </c>
      <c r="F1197" s="33" t="n">
        <v>0</v>
      </c>
      <c r="G1197" s="62"/>
      <c r="H1197" s="35" t="n">
        <v>0</v>
      </c>
      <c r="I1197" s="34" t="n">
        <f aca="false">+IF(E1197=0,0,E1197*0.03)</f>
        <v>0</v>
      </c>
    </row>
    <row r="1198" customFormat="false" ht="15.75" hidden="false" customHeight="true" outlineLevel="0" collapsed="false">
      <c r="A1198" s="30" t="n">
        <v>45323</v>
      </c>
      <c r="B1198" s="31" t="s">
        <v>11</v>
      </c>
      <c r="C1198" s="32"/>
      <c r="D1198" s="32"/>
      <c r="E1198" s="19" t="n">
        <f aca="false">+IF(C1198="EQUIPO",F1198,0)</f>
        <v>0</v>
      </c>
      <c r="F1198" s="33" t="n">
        <v>0</v>
      </c>
      <c r="G1198" s="62"/>
      <c r="H1198" s="35" t="n">
        <v>0</v>
      </c>
      <c r="I1198" s="34" t="n">
        <f aca="false">+IF(E1198=0,0,E1198*0.03)</f>
        <v>0</v>
      </c>
    </row>
    <row r="1199" customFormat="false" ht="15.75" hidden="false" customHeight="true" outlineLevel="0" collapsed="false">
      <c r="A1199" s="30" t="n">
        <v>45323</v>
      </c>
      <c r="B1199" s="31" t="s">
        <v>11</v>
      </c>
      <c r="C1199" s="32"/>
      <c r="D1199" s="32"/>
      <c r="E1199" s="19" t="n">
        <f aca="false">+IF(C1199="EQUIPO",F1199,0)</f>
        <v>0</v>
      </c>
      <c r="F1199" s="33" t="n">
        <v>0</v>
      </c>
      <c r="G1199" s="62"/>
      <c r="H1199" s="35" t="n">
        <v>0</v>
      </c>
      <c r="I1199" s="34" t="n">
        <f aca="false">+IF(E1199=0,0,E1199*0.03)</f>
        <v>0</v>
      </c>
    </row>
    <row r="1200" customFormat="false" ht="15.75" hidden="false" customHeight="true" outlineLevel="0" collapsed="false">
      <c r="A1200" s="30" t="n">
        <v>45323</v>
      </c>
      <c r="B1200" s="31" t="s">
        <v>11</v>
      </c>
      <c r="C1200" s="32"/>
      <c r="D1200" s="32"/>
      <c r="E1200" s="19" t="n">
        <f aca="false">+IF(C1200="EQUIPO",F1200,0)</f>
        <v>0</v>
      </c>
      <c r="F1200" s="33" t="n">
        <v>0</v>
      </c>
      <c r="G1200" s="62"/>
      <c r="H1200" s="35" t="n">
        <v>0</v>
      </c>
      <c r="I1200" s="34" t="n">
        <f aca="false">+IF(E1200=0,0,E1200*0.03)</f>
        <v>0</v>
      </c>
    </row>
    <row r="1201" customFormat="false" ht="15.75" hidden="false" customHeight="true" outlineLevel="0" collapsed="false">
      <c r="A1201" s="30" t="n">
        <v>45323</v>
      </c>
      <c r="B1201" s="31" t="s">
        <v>11</v>
      </c>
      <c r="C1201" s="32"/>
      <c r="D1201" s="32"/>
      <c r="E1201" s="19" t="n">
        <f aca="false">+IF(C1201="EQUIPO",F1201,0)</f>
        <v>0</v>
      </c>
      <c r="F1201" s="33" t="n">
        <v>0</v>
      </c>
      <c r="G1201" s="62"/>
      <c r="H1201" s="35" t="n">
        <v>0</v>
      </c>
      <c r="I1201" s="34" t="n">
        <f aca="false">+IF(E1201=0,0,E1201*0.03)</f>
        <v>0</v>
      </c>
    </row>
    <row r="1202" customFormat="false" ht="15.75" hidden="false" customHeight="true" outlineLevel="0" collapsed="false">
      <c r="A1202" s="30" t="n">
        <v>45323</v>
      </c>
      <c r="B1202" s="31" t="s">
        <v>11</v>
      </c>
      <c r="C1202" s="32"/>
      <c r="D1202" s="32"/>
      <c r="E1202" s="19" t="n">
        <f aca="false">+IF(C1202="EQUIPO",F1202,0)</f>
        <v>0</v>
      </c>
      <c r="F1202" s="33" t="n">
        <v>0</v>
      </c>
      <c r="G1202" s="62"/>
      <c r="H1202" s="35" t="n">
        <v>0</v>
      </c>
      <c r="I1202" s="34" t="n">
        <f aca="false">+IF(E1202=0,0,E1202*0.03)</f>
        <v>0</v>
      </c>
    </row>
    <row r="1203" customFormat="false" ht="15.75" hidden="false" customHeight="true" outlineLevel="0" collapsed="false">
      <c r="A1203" s="30" t="n">
        <v>45323</v>
      </c>
      <c r="B1203" s="31" t="s">
        <v>11</v>
      </c>
      <c r="C1203" s="32"/>
      <c r="D1203" s="32"/>
      <c r="E1203" s="19" t="n">
        <f aca="false">+IF(C1203="EQUIPO",F1203,0)</f>
        <v>0</v>
      </c>
      <c r="F1203" s="33" t="n">
        <v>0</v>
      </c>
      <c r="G1203" s="62"/>
      <c r="H1203" s="35" t="n">
        <v>0</v>
      </c>
      <c r="I1203" s="34" t="n">
        <f aca="false">+IF(E1203=0,0,E1203*0.03)</f>
        <v>0</v>
      </c>
    </row>
    <row r="1204" customFormat="false" ht="15.75" hidden="false" customHeight="true" outlineLevel="0" collapsed="false">
      <c r="A1204" s="30" t="n">
        <v>45323</v>
      </c>
      <c r="B1204" s="31" t="s">
        <v>11</v>
      </c>
      <c r="C1204" s="32"/>
      <c r="D1204" s="32"/>
      <c r="E1204" s="19" t="n">
        <f aca="false">+IF(C1204="EQUIPO",F1204,0)</f>
        <v>0</v>
      </c>
      <c r="F1204" s="33" t="n">
        <v>0</v>
      </c>
      <c r="G1204" s="62"/>
      <c r="H1204" s="35" t="n">
        <v>0</v>
      </c>
      <c r="I1204" s="34" t="n">
        <f aca="false">+IF(E1204=0,0,E1204*0.03)</f>
        <v>0</v>
      </c>
    </row>
    <row r="1205" customFormat="false" ht="15.75" hidden="false" customHeight="true" outlineLevel="0" collapsed="false">
      <c r="A1205" s="30" t="n">
        <v>45323</v>
      </c>
      <c r="B1205" s="31" t="s">
        <v>11</v>
      </c>
      <c r="C1205" s="32"/>
      <c r="D1205" s="32"/>
      <c r="E1205" s="19" t="n">
        <f aca="false">+IF(C1205="EQUIPO",F1205,0)</f>
        <v>0</v>
      </c>
      <c r="F1205" s="33" t="n">
        <v>0</v>
      </c>
      <c r="G1205" s="62"/>
      <c r="H1205" s="35" t="n">
        <v>0</v>
      </c>
      <c r="I1205" s="34" t="n">
        <f aca="false">+IF(E1205=0,0,E1205*0.03)</f>
        <v>0</v>
      </c>
    </row>
    <row r="1206" customFormat="false" ht="15.75" hidden="false" customHeight="true" outlineLevel="0" collapsed="false">
      <c r="A1206" s="30" t="n">
        <v>45323</v>
      </c>
      <c r="B1206" s="31" t="s">
        <v>11</v>
      </c>
      <c r="C1206" s="32"/>
      <c r="D1206" s="32"/>
      <c r="E1206" s="19" t="n">
        <f aca="false">+IF(C1206="EQUIPO",F1206,0)</f>
        <v>0</v>
      </c>
      <c r="F1206" s="33" t="n">
        <v>0</v>
      </c>
      <c r="G1206" s="62"/>
      <c r="H1206" s="35" t="n">
        <v>0</v>
      </c>
      <c r="I1206" s="34" t="n">
        <f aca="false">+IF(E1206=0,0,E1206*0.03)</f>
        <v>0</v>
      </c>
    </row>
    <row r="1207" customFormat="false" ht="15.75" hidden="false" customHeight="true" outlineLevel="0" collapsed="false">
      <c r="A1207" s="30" t="n">
        <v>45323</v>
      </c>
      <c r="B1207" s="31" t="s">
        <v>11</v>
      </c>
      <c r="C1207" s="32"/>
      <c r="D1207" s="32"/>
      <c r="E1207" s="19" t="n">
        <f aca="false">+IF(C1207="EQUIPO",F1207,0)</f>
        <v>0</v>
      </c>
      <c r="F1207" s="33" t="n">
        <v>0</v>
      </c>
      <c r="G1207" s="62"/>
      <c r="H1207" s="35" t="n">
        <v>0</v>
      </c>
      <c r="I1207" s="34" t="n">
        <f aca="false">+IF(E1207=0,0,E1207*0.03)</f>
        <v>0</v>
      </c>
    </row>
    <row r="1208" customFormat="false" ht="15.75" hidden="false" customHeight="true" outlineLevel="0" collapsed="false">
      <c r="A1208" s="30" t="n">
        <v>45323</v>
      </c>
      <c r="B1208" s="31" t="s">
        <v>11</v>
      </c>
      <c r="C1208" s="32"/>
      <c r="D1208" s="32"/>
      <c r="E1208" s="19" t="n">
        <f aca="false">+IF(C1208="EQUIPO",F1208,0)</f>
        <v>0</v>
      </c>
      <c r="F1208" s="33" t="n">
        <v>0</v>
      </c>
      <c r="G1208" s="62"/>
      <c r="H1208" s="35" t="n">
        <v>0</v>
      </c>
      <c r="I1208" s="34" t="n">
        <f aca="false">+IF(E1208=0,0,E1208*0.03)</f>
        <v>0</v>
      </c>
    </row>
    <row r="1209" customFormat="false" ht="15.75" hidden="false" customHeight="true" outlineLevel="0" collapsed="false">
      <c r="A1209" s="30" t="n">
        <v>45323</v>
      </c>
      <c r="B1209" s="31" t="s">
        <v>11</v>
      </c>
      <c r="C1209" s="32"/>
      <c r="D1209" s="32"/>
      <c r="E1209" s="19" t="n">
        <f aca="false">+IF(C1209="EQUIPO",F1209,0)</f>
        <v>0</v>
      </c>
      <c r="F1209" s="33" t="n">
        <v>0</v>
      </c>
      <c r="G1209" s="62"/>
      <c r="H1209" s="35" t="n">
        <v>0</v>
      </c>
      <c r="I1209" s="34" t="n">
        <f aca="false">+IF(E1209=0,0,E1209*0.03)</f>
        <v>0</v>
      </c>
    </row>
    <row r="1210" customFormat="false" ht="15.75" hidden="false" customHeight="true" outlineLevel="0" collapsed="false">
      <c r="A1210" s="30" t="n">
        <v>45323</v>
      </c>
      <c r="B1210" s="31" t="s">
        <v>11</v>
      </c>
      <c r="C1210" s="32"/>
      <c r="D1210" s="32"/>
      <c r="E1210" s="19" t="n">
        <f aca="false">+IF(C1210="EQUIPO",F1210,0)</f>
        <v>0</v>
      </c>
      <c r="F1210" s="33" t="n">
        <v>0</v>
      </c>
      <c r="G1210" s="62"/>
      <c r="H1210" s="35" t="n">
        <v>0</v>
      </c>
      <c r="I1210" s="34" t="n">
        <f aca="false">+IF(E1210=0,0,E1210*0.03)</f>
        <v>0</v>
      </c>
    </row>
    <row r="1211" customFormat="false" ht="15.75" hidden="false" customHeight="true" outlineLevel="0" collapsed="false">
      <c r="A1211" s="30" t="n">
        <v>45323</v>
      </c>
      <c r="B1211" s="31" t="s">
        <v>11</v>
      </c>
      <c r="C1211" s="32"/>
      <c r="D1211" s="32"/>
      <c r="E1211" s="19" t="n">
        <f aca="false">+IF(C1211="EQUIPO",F1211,0)</f>
        <v>0</v>
      </c>
      <c r="F1211" s="33" t="n">
        <v>0</v>
      </c>
      <c r="G1211" s="62"/>
      <c r="H1211" s="35" t="n">
        <v>0</v>
      </c>
      <c r="I1211" s="34" t="n">
        <f aca="false">+IF(E1211=0,0,E1211*0.03)</f>
        <v>0</v>
      </c>
    </row>
    <row r="1212" customFormat="false" ht="15.75" hidden="false" customHeight="true" outlineLevel="0" collapsed="false">
      <c r="A1212" s="30" t="n">
        <v>45323</v>
      </c>
      <c r="B1212" s="31" t="s">
        <v>11</v>
      </c>
      <c r="C1212" s="32"/>
      <c r="D1212" s="32"/>
      <c r="E1212" s="19" t="n">
        <f aca="false">+IF(C1212="EQUIPO",F1212,0)</f>
        <v>0</v>
      </c>
      <c r="F1212" s="33" t="n">
        <v>0</v>
      </c>
      <c r="G1212" s="62"/>
      <c r="H1212" s="35" t="n">
        <v>0</v>
      </c>
      <c r="I1212" s="34" t="n">
        <f aca="false">+IF(E1212=0,0,E1212*0.03)</f>
        <v>0</v>
      </c>
    </row>
    <row r="1213" customFormat="false" ht="15.75" hidden="false" customHeight="true" outlineLevel="0" collapsed="false">
      <c r="A1213" s="30" t="n">
        <v>45323</v>
      </c>
      <c r="B1213" s="31" t="s">
        <v>11</v>
      </c>
      <c r="C1213" s="32"/>
      <c r="D1213" s="32"/>
      <c r="E1213" s="19" t="n">
        <f aca="false">+IF(C1213="EQUIPO",F1213,0)</f>
        <v>0</v>
      </c>
      <c r="F1213" s="33" t="n">
        <v>0</v>
      </c>
      <c r="G1213" s="62"/>
      <c r="H1213" s="35" t="n">
        <v>0</v>
      </c>
      <c r="I1213" s="34" t="n">
        <f aca="false">+IF(E1213=0,0,E1213*0.03)</f>
        <v>0</v>
      </c>
    </row>
    <row r="1214" customFormat="false" ht="15.75" hidden="false" customHeight="true" outlineLevel="0" collapsed="false">
      <c r="A1214" s="30" t="n">
        <v>45323</v>
      </c>
      <c r="B1214" s="31" t="s">
        <v>11</v>
      </c>
      <c r="C1214" s="32"/>
      <c r="D1214" s="32"/>
      <c r="E1214" s="19" t="n">
        <f aca="false">+IF(C1214="EQUIPO",F1214,0)</f>
        <v>0</v>
      </c>
      <c r="F1214" s="33" t="n">
        <v>0</v>
      </c>
      <c r="G1214" s="62"/>
      <c r="H1214" s="35" t="n">
        <v>0</v>
      </c>
      <c r="I1214" s="34" t="n">
        <f aca="false">+IF(E1214=0,0,E1214*0.03)</f>
        <v>0</v>
      </c>
    </row>
    <row r="1215" customFormat="false" ht="15.75" hidden="false" customHeight="true" outlineLevel="0" collapsed="false">
      <c r="A1215" s="30" t="n">
        <v>45323</v>
      </c>
      <c r="B1215" s="31" t="s">
        <v>11</v>
      </c>
      <c r="C1215" s="32"/>
      <c r="D1215" s="32"/>
      <c r="E1215" s="19" t="n">
        <f aca="false">+IF(C1215="EQUIPO",F1215,0)</f>
        <v>0</v>
      </c>
      <c r="F1215" s="33" t="n">
        <v>0</v>
      </c>
      <c r="G1215" s="62"/>
      <c r="H1215" s="35" t="n">
        <v>0</v>
      </c>
      <c r="I1215" s="34" t="n">
        <f aca="false">+IF(E1215=0,0,E1215*0.03)</f>
        <v>0</v>
      </c>
    </row>
    <row r="1216" customFormat="false" ht="15.75" hidden="false" customHeight="true" outlineLevel="0" collapsed="false">
      <c r="A1216" s="30" t="n">
        <v>45323</v>
      </c>
      <c r="B1216" s="31" t="s">
        <v>11</v>
      </c>
      <c r="C1216" s="32"/>
      <c r="D1216" s="32"/>
      <c r="E1216" s="19" t="n">
        <f aca="false">+IF(C1216="EQUIPO",F1216,0)</f>
        <v>0</v>
      </c>
      <c r="F1216" s="33" t="n">
        <v>0</v>
      </c>
      <c r="G1216" s="62"/>
      <c r="H1216" s="35" t="n">
        <v>0</v>
      </c>
      <c r="I1216" s="34" t="n">
        <f aca="false">+IF(E1216=0,0,E1216*0.03)</f>
        <v>0</v>
      </c>
    </row>
    <row r="1217" customFormat="false" ht="15.75" hidden="false" customHeight="true" outlineLevel="0" collapsed="false">
      <c r="A1217" s="30" t="n">
        <v>45323</v>
      </c>
      <c r="B1217" s="31" t="s">
        <v>11</v>
      </c>
      <c r="C1217" s="32"/>
      <c r="D1217" s="32"/>
      <c r="E1217" s="19" t="n">
        <f aca="false">+IF(C1217="EQUIPO",F1217,0)</f>
        <v>0</v>
      </c>
      <c r="F1217" s="33" t="n">
        <v>0</v>
      </c>
      <c r="G1217" s="62"/>
      <c r="H1217" s="35" t="n">
        <v>0</v>
      </c>
      <c r="I1217" s="34" t="n">
        <f aca="false">+IF(E1217=0,0,E1217*0.03)</f>
        <v>0</v>
      </c>
    </row>
    <row r="1218" customFormat="false" ht="15.75" hidden="false" customHeight="true" outlineLevel="0" collapsed="false">
      <c r="A1218" s="30" t="n">
        <v>45323</v>
      </c>
      <c r="B1218" s="31" t="s">
        <v>11</v>
      </c>
      <c r="C1218" s="32"/>
      <c r="D1218" s="32"/>
      <c r="E1218" s="19" t="n">
        <f aca="false">+IF(C1218="EQUIPO",F1218,0)</f>
        <v>0</v>
      </c>
      <c r="F1218" s="33" t="n">
        <v>0</v>
      </c>
      <c r="G1218" s="62"/>
      <c r="H1218" s="35" t="n">
        <v>0</v>
      </c>
      <c r="I1218" s="34" t="n">
        <f aca="false">+IF(E1218=0,0,E1218*0.03)</f>
        <v>0</v>
      </c>
    </row>
    <row r="1219" customFormat="false" ht="15.75" hidden="false" customHeight="true" outlineLevel="0" collapsed="false">
      <c r="A1219" s="30" t="n">
        <v>45323</v>
      </c>
      <c r="B1219" s="31" t="s">
        <v>11</v>
      </c>
      <c r="C1219" s="32"/>
      <c r="D1219" s="32"/>
      <c r="E1219" s="19" t="n">
        <f aca="false">+IF(C1219="EQUIPO",F1219,0)</f>
        <v>0</v>
      </c>
      <c r="F1219" s="33" t="n">
        <v>0</v>
      </c>
      <c r="G1219" s="62"/>
      <c r="H1219" s="35" t="n">
        <v>0</v>
      </c>
      <c r="I1219" s="34" t="n">
        <f aca="false">+IF(E1219=0,0,E1219*0.03)</f>
        <v>0</v>
      </c>
    </row>
    <row r="1220" customFormat="false" ht="15.75" hidden="false" customHeight="true" outlineLevel="0" collapsed="false">
      <c r="A1220" s="30" t="n">
        <v>45323</v>
      </c>
      <c r="B1220" s="31" t="s">
        <v>11</v>
      </c>
      <c r="C1220" s="32"/>
      <c r="D1220" s="32"/>
      <c r="E1220" s="19" t="n">
        <f aca="false">+IF(C1220="EQUIPO",F1220,0)</f>
        <v>0</v>
      </c>
      <c r="F1220" s="33" t="n">
        <v>0</v>
      </c>
      <c r="G1220" s="62"/>
      <c r="H1220" s="35" t="n">
        <v>0</v>
      </c>
      <c r="I1220" s="34" t="n">
        <f aca="false">+IF(E1220=0,0,E1220*0.03)</f>
        <v>0</v>
      </c>
    </row>
    <row r="1221" customFormat="false" ht="15.75" hidden="false" customHeight="true" outlineLevel="0" collapsed="false">
      <c r="A1221" s="30" t="n">
        <v>45323</v>
      </c>
      <c r="B1221" s="31" t="s">
        <v>11</v>
      </c>
      <c r="C1221" s="32"/>
      <c r="D1221" s="32"/>
      <c r="E1221" s="19" t="n">
        <f aca="false">+IF(C1221="EQUIPO",F1221,0)</f>
        <v>0</v>
      </c>
      <c r="F1221" s="33" t="n">
        <v>0</v>
      </c>
      <c r="G1221" s="62"/>
      <c r="H1221" s="35" t="n">
        <v>0</v>
      </c>
      <c r="I1221" s="34" t="n">
        <f aca="false">+IF(E1221=0,0,E1221*0.03)</f>
        <v>0</v>
      </c>
    </row>
    <row r="1222" customFormat="false" ht="15.75" hidden="false" customHeight="true" outlineLevel="0" collapsed="false">
      <c r="A1222" s="30" t="n">
        <v>45323</v>
      </c>
      <c r="B1222" s="31" t="s">
        <v>11</v>
      </c>
      <c r="C1222" s="32"/>
      <c r="D1222" s="32"/>
      <c r="E1222" s="19" t="n">
        <f aca="false">+IF(C1222="EQUIPO",F1222,0)</f>
        <v>0</v>
      </c>
      <c r="F1222" s="33" t="n">
        <v>0</v>
      </c>
      <c r="G1222" s="62"/>
      <c r="H1222" s="35" t="n">
        <v>0</v>
      </c>
      <c r="I1222" s="34" t="n">
        <f aca="false">+IF(E1222=0,0,E1222*0.03)</f>
        <v>0</v>
      </c>
    </row>
    <row r="1223" customFormat="false" ht="15.75" hidden="false" customHeight="true" outlineLevel="0" collapsed="false">
      <c r="A1223" s="30" t="n">
        <v>45323</v>
      </c>
      <c r="B1223" s="31" t="s">
        <v>11</v>
      </c>
      <c r="C1223" s="32"/>
      <c r="D1223" s="32"/>
      <c r="E1223" s="19" t="n">
        <f aca="false">+IF(C1223="EQUIPO",F1223,0)</f>
        <v>0</v>
      </c>
      <c r="F1223" s="33" t="n">
        <v>0</v>
      </c>
      <c r="G1223" s="62"/>
      <c r="H1223" s="35" t="n">
        <v>0</v>
      </c>
      <c r="I1223" s="34" t="n">
        <f aca="false">+IF(E1223=0,0,E1223*0.03)</f>
        <v>0</v>
      </c>
    </row>
    <row r="1224" customFormat="false" ht="15.75" hidden="false" customHeight="true" outlineLevel="0" collapsed="false">
      <c r="A1224" s="30" t="n">
        <v>45323</v>
      </c>
      <c r="B1224" s="31" t="s">
        <v>11</v>
      </c>
      <c r="C1224" s="32"/>
      <c r="D1224" s="32"/>
      <c r="E1224" s="19" t="n">
        <f aca="false">+IF(C1224="EQUIPO",F1224,0)</f>
        <v>0</v>
      </c>
      <c r="F1224" s="33" t="n">
        <v>0</v>
      </c>
      <c r="G1224" s="62"/>
      <c r="H1224" s="35" t="n">
        <v>0</v>
      </c>
      <c r="I1224" s="34" t="n">
        <f aca="false">+IF(E1224=0,0,E1224*0.03)</f>
        <v>0</v>
      </c>
    </row>
    <row r="1225" customFormat="false" ht="15.75" hidden="false" customHeight="true" outlineLevel="0" collapsed="false">
      <c r="A1225" s="30" t="n">
        <v>45323</v>
      </c>
      <c r="B1225" s="31" t="s">
        <v>11</v>
      </c>
      <c r="C1225" s="32"/>
      <c r="D1225" s="32"/>
      <c r="E1225" s="19" t="n">
        <f aca="false">+IF(C1225="EQUIPO",F1225,0)</f>
        <v>0</v>
      </c>
      <c r="F1225" s="33" t="n">
        <v>0</v>
      </c>
      <c r="G1225" s="62"/>
      <c r="H1225" s="35" t="n">
        <v>0</v>
      </c>
      <c r="I1225" s="34" t="n">
        <f aca="false">+IF(E1225=0,0,E1225*0.03)</f>
        <v>0</v>
      </c>
    </row>
    <row r="1226" customFormat="false" ht="15.75" hidden="false" customHeight="true" outlineLevel="0" collapsed="false">
      <c r="A1226" s="30" t="n">
        <v>45323</v>
      </c>
      <c r="B1226" s="31" t="s">
        <v>11</v>
      </c>
      <c r="C1226" s="32"/>
      <c r="D1226" s="32"/>
      <c r="E1226" s="19" t="n">
        <f aca="false">+IF(C1226="EQUIPO",F1226,0)</f>
        <v>0</v>
      </c>
      <c r="F1226" s="33" t="n">
        <v>0</v>
      </c>
      <c r="G1226" s="62"/>
      <c r="H1226" s="35" t="n">
        <v>0</v>
      </c>
      <c r="I1226" s="34" t="n">
        <f aca="false">+IF(E1226=0,0,E1226*0.03)</f>
        <v>0</v>
      </c>
    </row>
    <row r="1227" customFormat="false" ht="15.75" hidden="false" customHeight="true" outlineLevel="0" collapsed="false">
      <c r="A1227" s="30" t="n">
        <v>45323</v>
      </c>
      <c r="B1227" s="31" t="s">
        <v>11</v>
      </c>
      <c r="C1227" s="32"/>
      <c r="D1227" s="32"/>
      <c r="E1227" s="19" t="n">
        <f aca="false">+IF(C1227="EQUIPO",F1227,0)</f>
        <v>0</v>
      </c>
      <c r="F1227" s="33" t="n">
        <v>0</v>
      </c>
      <c r="G1227" s="62"/>
      <c r="H1227" s="35" t="n">
        <v>0</v>
      </c>
      <c r="I1227" s="34" t="n">
        <f aca="false">+IF(E1227=0,0,E1227*0.03)</f>
        <v>0</v>
      </c>
    </row>
    <row r="1228" customFormat="false" ht="15.75" hidden="false" customHeight="true" outlineLevel="0" collapsed="false">
      <c r="A1228" s="30" t="n">
        <v>45323</v>
      </c>
      <c r="B1228" s="31" t="s">
        <v>11</v>
      </c>
      <c r="C1228" s="32"/>
      <c r="D1228" s="32"/>
      <c r="E1228" s="19" t="n">
        <f aca="false">+IF(C1228="EQUIPO",F1228,0)</f>
        <v>0</v>
      </c>
      <c r="F1228" s="33" t="n">
        <v>0</v>
      </c>
      <c r="G1228" s="62"/>
      <c r="H1228" s="35" t="n">
        <v>0</v>
      </c>
      <c r="I1228" s="34" t="n">
        <f aca="false">+IF(E1228=0,0,E1228*0.03)</f>
        <v>0</v>
      </c>
    </row>
    <row r="1229" customFormat="false" ht="15.75" hidden="false" customHeight="true" outlineLevel="0" collapsed="false">
      <c r="A1229" s="30" t="n">
        <v>45323</v>
      </c>
      <c r="B1229" s="31" t="s">
        <v>11</v>
      </c>
      <c r="C1229" s="32"/>
      <c r="D1229" s="32"/>
      <c r="E1229" s="19" t="n">
        <f aca="false">+IF(C1229="EQUIPO",F1229,0)</f>
        <v>0</v>
      </c>
      <c r="F1229" s="33" t="n">
        <v>0</v>
      </c>
      <c r="G1229" s="62"/>
      <c r="H1229" s="35" t="n">
        <v>0</v>
      </c>
      <c r="I1229" s="34" t="n">
        <f aca="false">+IF(E1229=0,0,E1229*0.03)</f>
        <v>0</v>
      </c>
    </row>
    <row r="1230" customFormat="false" ht="15.75" hidden="false" customHeight="true" outlineLevel="0" collapsed="false">
      <c r="A1230" s="30" t="n">
        <v>45323</v>
      </c>
      <c r="B1230" s="31" t="s">
        <v>11</v>
      </c>
      <c r="C1230" s="32"/>
      <c r="D1230" s="32"/>
      <c r="E1230" s="19" t="n">
        <f aca="false">+IF(C1230="EQUIPO",F1230,0)</f>
        <v>0</v>
      </c>
      <c r="F1230" s="33" t="n">
        <v>0</v>
      </c>
      <c r="G1230" s="62"/>
      <c r="H1230" s="35" t="n">
        <v>0</v>
      </c>
      <c r="I1230" s="34" t="n">
        <f aca="false">+IF(E1230=0,0,E1230*0.03)</f>
        <v>0</v>
      </c>
    </row>
    <row r="1231" customFormat="false" ht="15.75" hidden="false" customHeight="true" outlineLevel="0" collapsed="false">
      <c r="A1231" s="30" t="n">
        <v>45323</v>
      </c>
      <c r="B1231" s="31" t="s">
        <v>11</v>
      </c>
      <c r="C1231" s="32"/>
      <c r="D1231" s="32"/>
      <c r="E1231" s="19" t="n">
        <f aca="false">+IF(C1231="EQUIPO",F1231,0)</f>
        <v>0</v>
      </c>
      <c r="F1231" s="33" t="n">
        <v>0</v>
      </c>
      <c r="G1231" s="62"/>
      <c r="H1231" s="35" t="n">
        <v>0</v>
      </c>
      <c r="I1231" s="34" t="n">
        <f aca="false">+IF(E1231=0,0,E1231*0.03)</f>
        <v>0</v>
      </c>
    </row>
    <row r="1232" customFormat="false" ht="15.75" hidden="false" customHeight="true" outlineLevel="0" collapsed="false">
      <c r="A1232" s="30" t="n">
        <v>45323</v>
      </c>
      <c r="B1232" s="31" t="s">
        <v>11</v>
      </c>
      <c r="C1232" s="32"/>
      <c r="D1232" s="32"/>
      <c r="E1232" s="19" t="n">
        <f aca="false">+IF(C1232="EQUIPO",F1232,0)</f>
        <v>0</v>
      </c>
      <c r="F1232" s="33" t="n">
        <v>0</v>
      </c>
      <c r="G1232" s="62"/>
      <c r="H1232" s="35" t="n">
        <v>0</v>
      </c>
      <c r="I1232" s="34" t="n">
        <f aca="false">+IF(E1232=0,0,E1232*0.03)</f>
        <v>0</v>
      </c>
    </row>
    <row r="1233" customFormat="false" ht="15.75" hidden="false" customHeight="true" outlineLevel="0" collapsed="false">
      <c r="A1233" s="30" t="n">
        <v>45323</v>
      </c>
      <c r="B1233" s="31" t="s">
        <v>11</v>
      </c>
      <c r="C1233" s="32"/>
      <c r="D1233" s="32"/>
      <c r="E1233" s="19" t="n">
        <f aca="false">+IF(C1233="EQUIPO",F1233,0)</f>
        <v>0</v>
      </c>
      <c r="F1233" s="33" t="n">
        <v>0</v>
      </c>
      <c r="G1233" s="62"/>
      <c r="H1233" s="35" t="n">
        <v>0</v>
      </c>
      <c r="I1233" s="34" t="n">
        <f aca="false">+IF(E1233=0,0,E1233*0.03)</f>
        <v>0</v>
      </c>
    </row>
    <row r="1234" customFormat="false" ht="15.75" hidden="false" customHeight="true" outlineLevel="0" collapsed="false">
      <c r="A1234" s="30" t="n">
        <v>45323</v>
      </c>
      <c r="B1234" s="31" t="s">
        <v>11</v>
      </c>
      <c r="C1234" s="32"/>
      <c r="D1234" s="32"/>
      <c r="E1234" s="19" t="n">
        <f aca="false">+IF(C1234="EQUIPO",F1234,0)</f>
        <v>0</v>
      </c>
      <c r="F1234" s="33" t="n">
        <v>0</v>
      </c>
      <c r="G1234" s="62"/>
      <c r="H1234" s="35" t="n">
        <v>0</v>
      </c>
      <c r="I1234" s="34" t="n">
        <f aca="false">+IF(E1234=0,0,E1234*0.03)</f>
        <v>0</v>
      </c>
    </row>
    <row r="1235" customFormat="false" ht="15.75" hidden="false" customHeight="true" outlineLevel="0" collapsed="false">
      <c r="A1235" s="30" t="n">
        <v>45323</v>
      </c>
      <c r="B1235" s="31" t="s">
        <v>11</v>
      </c>
      <c r="C1235" s="32"/>
      <c r="D1235" s="32"/>
      <c r="E1235" s="19" t="n">
        <f aca="false">+IF(C1235="EQUIPO",F1235,0)</f>
        <v>0</v>
      </c>
      <c r="F1235" s="33" t="n">
        <v>0</v>
      </c>
      <c r="G1235" s="62"/>
      <c r="H1235" s="35" t="n">
        <v>0</v>
      </c>
      <c r="I1235" s="34" t="n">
        <f aca="false">+IF(E1235=0,0,E1235*0.03)</f>
        <v>0</v>
      </c>
    </row>
    <row r="1236" customFormat="false" ht="15.75" hidden="false" customHeight="true" outlineLevel="0" collapsed="false">
      <c r="A1236" s="30" t="n">
        <v>45323</v>
      </c>
      <c r="B1236" s="31" t="s">
        <v>11</v>
      </c>
      <c r="C1236" s="32"/>
      <c r="D1236" s="32"/>
      <c r="E1236" s="19" t="n">
        <f aca="false">+IF(C1236="EQUIPO",F1236,0)</f>
        <v>0</v>
      </c>
      <c r="F1236" s="33" t="n">
        <v>0</v>
      </c>
      <c r="G1236" s="62"/>
      <c r="H1236" s="35" t="n">
        <v>0</v>
      </c>
      <c r="I1236" s="34" t="n">
        <f aca="false">+IF(E1236=0,0,E1236*0.03)</f>
        <v>0</v>
      </c>
    </row>
    <row r="1237" customFormat="false" ht="15.75" hidden="false" customHeight="true" outlineLevel="0" collapsed="false">
      <c r="A1237" s="30" t="n">
        <v>45323</v>
      </c>
      <c r="B1237" s="31" t="s">
        <v>11</v>
      </c>
      <c r="C1237" s="32"/>
      <c r="D1237" s="32"/>
      <c r="E1237" s="19" t="n">
        <f aca="false">+IF(C1237="EQUIPO",F1237,0)</f>
        <v>0</v>
      </c>
      <c r="F1237" s="33" t="n">
        <v>0</v>
      </c>
      <c r="G1237" s="62"/>
      <c r="H1237" s="35" t="n">
        <v>0</v>
      </c>
      <c r="I1237" s="34" t="n">
        <f aca="false">+IF(E1237=0,0,E1237*0.03)</f>
        <v>0</v>
      </c>
    </row>
    <row r="1238" customFormat="false" ht="15.75" hidden="false" customHeight="true" outlineLevel="0" collapsed="false">
      <c r="A1238" s="30" t="n">
        <v>45323</v>
      </c>
      <c r="B1238" s="31" t="s">
        <v>11</v>
      </c>
      <c r="C1238" s="32"/>
      <c r="D1238" s="32"/>
      <c r="E1238" s="19" t="n">
        <f aca="false">+IF(C1238="EQUIPO",F1238,0)</f>
        <v>0</v>
      </c>
      <c r="F1238" s="33" t="n">
        <v>0</v>
      </c>
      <c r="G1238" s="62"/>
      <c r="H1238" s="35" t="n">
        <v>0</v>
      </c>
      <c r="I1238" s="34" t="n">
        <f aca="false">+IF(E1238=0,0,E1238*0.03)</f>
        <v>0</v>
      </c>
    </row>
    <row r="1239" customFormat="false" ht="15.75" hidden="false" customHeight="true" outlineLevel="0" collapsed="false">
      <c r="A1239" s="30" t="n">
        <v>45323</v>
      </c>
      <c r="B1239" s="31" t="s">
        <v>11</v>
      </c>
      <c r="C1239" s="32"/>
      <c r="D1239" s="32"/>
      <c r="E1239" s="19" t="n">
        <f aca="false">+IF(C1239="EQUIPO",F1239,0)</f>
        <v>0</v>
      </c>
      <c r="F1239" s="33" t="n">
        <v>0</v>
      </c>
      <c r="G1239" s="62"/>
      <c r="H1239" s="35" t="n">
        <v>0</v>
      </c>
      <c r="I1239" s="34" t="n">
        <f aca="false">+IF(E1239=0,0,E1239*0.03)</f>
        <v>0</v>
      </c>
    </row>
    <row r="1240" customFormat="false" ht="15.75" hidden="false" customHeight="true" outlineLevel="0" collapsed="false">
      <c r="A1240" s="30" t="n">
        <v>45323</v>
      </c>
      <c r="B1240" s="31" t="s">
        <v>11</v>
      </c>
      <c r="C1240" s="32"/>
      <c r="D1240" s="32"/>
      <c r="E1240" s="19" t="n">
        <f aca="false">+IF(C1240="EQUIPO",F1240,0)</f>
        <v>0</v>
      </c>
      <c r="F1240" s="33" t="n">
        <v>0</v>
      </c>
      <c r="G1240" s="62"/>
      <c r="H1240" s="35" t="n">
        <v>0</v>
      </c>
      <c r="I1240" s="34" t="n">
        <f aca="false">+IF(E1240=0,0,E1240*0.03)</f>
        <v>0</v>
      </c>
    </row>
    <row r="1241" customFormat="false" ht="15.75" hidden="false" customHeight="true" outlineLevel="0" collapsed="false">
      <c r="A1241" s="30" t="n">
        <v>45323</v>
      </c>
      <c r="B1241" s="31" t="s">
        <v>11</v>
      </c>
      <c r="C1241" s="32"/>
      <c r="D1241" s="32"/>
      <c r="E1241" s="19" t="n">
        <f aca="false">+IF(C1241="EQUIPO",F1241,0)</f>
        <v>0</v>
      </c>
      <c r="F1241" s="33" t="n">
        <v>0</v>
      </c>
      <c r="G1241" s="62"/>
      <c r="H1241" s="35" t="n">
        <v>0</v>
      </c>
      <c r="I1241" s="34" t="n">
        <f aca="false">+IF(E1241=0,0,E1241*0.03)</f>
        <v>0</v>
      </c>
    </row>
    <row r="1242" customFormat="false" ht="15.75" hidden="false" customHeight="true" outlineLevel="0" collapsed="false">
      <c r="A1242" s="30" t="n">
        <v>45323</v>
      </c>
      <c r="B1242" s="31" t="s">
        <v>11</v>
      </c>
      <c r="C1242" s="32"/>
      <c r="D1242" s="32"/>
      <c r="E1242" s="19" t="n">
        <f aca="false">+IF(C1242="EQUIPO",F1242,0)</f>
        <v>0</v>
      </c>
      <c r="F1242" s="33" t="n">
        <v>0</v>
      </c>
      <c r="G1242" s="62"/>
      <c r="H1242" s="35" t="n">
        <v>0</v>
      </c>
      <c r="I1242" s="34" t="n">
        <f aca="false">+IF(E1242=0,0,E1242*0.03)</f>
        <v>0</v>
      </c>
    </row>
    <row r="1243" customFormat="false" ht="15.75" hidden="false" customHeight="true" outlineLevel="0" collapsed="false">
      <c r="A1243" s="30" t="n">
        <v>45323</v>
      </c>
      <c r="B1243" s="31" t="s">
        <v>11</v>
      </c>
      <c r="C1243" s="32"/>
      <c r="D1243" s="32"/>
      <c r="E1243" s="19" t="n">
        <f aca="false">+IF(C1243="EQUIPO",F1243,0)</f>
        <v>0</v>
      </c>
      <c r="F1243" s="33" t="n">
        <v>0</v>
      </c>
      <c r="G1243" s="62"/>
      <c r="H1243" s="35" t="n">
        <v>0</v>
      </c>
      <c r="I1243" s="34" t="n">
        <f aca="false">+IF(E1243=0,0,E1243*0.03)</f>
        <v>0</v>
      </c>
    </row>
    <row r="1244" customFormat="false" ht="15.75" hidden="false" customHeight="true" outlineLevel="0" collapsed="false">
      <c r="A1244" s="30" t="n">
        <v>45323</v>
      </c>
      <c r="B1244" s="31" t="s">
        <v>11</v>
      </c>
      <c r="C1244" s="32"/>
      <c r="D1244" s="32"/>
      <c r="E1244" s="19" t="n">
        <f aca="false">+IF(C1244="EQUIPO",F1244,0)</f>
        <v>0</v>
      </c>
      <c r="F1244" s="33" t="n">
        <v>0</v>
      </c>
      <c r="G1244" s="62"/>
      <c r="H1244" s="35" t="n">
        <v>0</v>
      </c>
      <c r="I1244" s="34" t="n">
        <f aca="false">+IF(E1244=0,0,E1244*0.03)</f>
        <v>0</v>
      </c>
    </row>
    <row r="1245" customFormat="false" ht="15.75" hidden="false" customHeight="true" outlineLevel="0" collapsed="false">
      <c r="A1245" s="30" t="n">
        <v>45323</v>
      </c>
      <c r="B1245" s="31" t="s">
        <v>11</v>
      </c>
      <c r="C1245" s="32"/>
      <c r="D1245" s="32"/>
      <c r="E1245" s="19" t="n">
        <f aca="false">+IF(C1245="EQUIPO",F1245,0)</f>
        <v>0</v>
      </c>
      <c r="F1245" s="33" t="n">
        <v>0</v>
      </c>
      <c r="G1245" s="62"/>
      <c r="H1245" s="35" t="n">
        <v>0</v>
      </c>
      <c r="I1245" s="34" t="n">
        <f aca="false">+IF(E1245=0,0,E1245*0.03)</f>
        <v>0</v>
      </c>
    </row>
    <row r="1246" customFormat="false" ht="15.75" hidden="false" customHeight="true" outlineLevel="0" collapsed="false">
      <c r="A1246" s="30" t="n">
        <v>45323</v>
      </c>
      <c r="B1246" s="31" t="s">
        <v>11</v>
      </c>
      <c r="C1246" s="32"/>
      <c r="D1246" s="32"/>
      <c r="E1246" s="19" t="n">
        <f aca="false">+IF(C1246="EQUIPO",F1246,0)</f>
        <v>0</v>
      </c>
      <c r="F1246" s="33" t="n">
        <v>0</v>
      </c>
      <c r="G1246" s="62"/>
      <c r="H1246" s="35" t="n">
        <v>0</v>
      </c>
      <c r="I1246" s="34" t="n">
        <f aca="false">+IF(E1246=0,0,E1246*0.03)</f>
        <v>0</v>
      </c>
    </row>
    <row r="1247" customFormat="false" ht="15.75" hidden="false" customHeight="true" outlineLevel="0" collapsed="false">
      <c r="A1247" s="30" t="n">
        <v>45323</v>
      </c>
      <c r="B1247" s="31" t="s">
        <v>11</v>
      </c>
      <c r="C1247" s="32"/>
      <c r="D1247" s="32"/>
      <c r="E1247" s="19" t="n">
        <f aca="false">+IF(C1247="EQUIPO",F1247,0)</f>
        <v>0</v>
      </c>
      <c r="F1247" s="33" t="n">
        <v>0</v>
      </c>
      <c r="G1247" s="62"/>
      <c r="H1247" s="35" t="n">
        <v>0</v>
      </c>
      <c r="I1247" s="34" t="n">
        <f aca="false">+IF(E1247=0,0,E1247*0.03)</f>
        <v>0</v>
      </c>
    </row>
    <row r="1248" customFormat="false" ht="15.75" hidden="false" customHeight="true" outlineLevel="0" collapsed="false">
      <c r="A1248" s="30" t="n">
        <v>45323</v>
      </c>
      <c r="B1248" s="31" t="s">
        <v>11</v>
      </c>
      <c r="C1248" s="32"/>
      <c r="D1248" s="32"/>
      <c r="E1248" s="19" t="n">
        <f aca="false">+IF(C1248="EQUIPO",F1248,0)</f>
        <v>0</v>
      </c>
      <c r="F1248" s="33" t="n">
        <v>0</v>
      </c>
      <c r="G1248" s="62"/>
      <c r="H1248" s="35" t="n">
        <v>0</v>
      </c>
      <c r="I1248" s="34" t="n">
        <f aca="false">+IF(E1248=0,0,E1248*0.03)</f>
        <v>0</v>
      </c>
    </row>
    <row r="1249" customFormat="false" ht="15.75" hidden="false" customHeight="true" outlineLevel="0" collapsed="false">
      <c r="A1249" s="30" t="n">
        <v>45323</v>
      </c>
      <c r="B1249" s="31" t="s">
        <v>11</v>
      </c>
      <c r="C1249" s="32"/>
      <c r="D1249" s="32"/>
      <c r="E1249" s="19" t="n">
        <f aca="false">+IF(C1249="EQUIPO",F1249,0)</f>
        <v>0</v>
      </c>
      <c r="F1249" s="33" t="n">
        <v>0</v>
      </c>
      <c r="G1249" s="62"/>
      <c r="H1249" s="35" t="n">
        <v>0</v>
      </c>
      <c r="I1249" s="34" t="n">
        <f aca="false">+IF(E1249=0,0,E1249*0.03)</f>
        <v>0</v>
      </c>
    </row>
    <row r="1250" customFormat="false" ht="15.75" hidden="false" customHeight="true" outlineLevel="0" collapsed="false">
      <c r="A1250" s="30" t="n">
        <v>45323</v>
      </c>
      <c r="B1250" s="31" t="s">
        <v>11</v>
      </c>
      <c r="C1250" s="32"/>
      <c r="D1250" s="32"/>
      <c r="E1250" s="19" t="n">
        <f aca="false">+IF(C1250="EQUIPO",F1250,0)</f>
        <v>0</v>
      </c>
      <c r="F1250" s="33" t="n">
        <v>0</v>
      </c>
      <c r="G1250" s="62"/>
      <c r="H1250" s="35" t="n">
        <v>0</v>
      </c>
      <c r="I1250" s="34" t="n">
        <f aca="false">+IF(E1250=0,0,E1250*0.03)</f>
        <v>0</v>
      </c>
    </row>
    <row r="1251" customFormat="false" ht="15.75" hidden="false" customHeight="true" outlineLevel="0" collapsed="false">
      <c r="A1251" s="30" t="n">
        <v>45323</v>
      </c>
      <c r="B1251" s="31" t="s">
        <v>11</v>
      </c>
      <c r="C1251" s="32"/>
      <c r="D1251" s="32"/>
      <c r="E1251" s="19" t="n">
        <f aca="false">+IF(C1251="EQUIPO",F1251,0)</f>
        <v>0</v>
      </c>
      <c r="F1251" s="33" t="n">
        <v>0</v>
      </c>
      <c r="G1251" s="62"/>
      <c r="H1251" s="35" t="n">
        <v>0</v>
      </c>
      <c r="I1251" s="34" t="n">
        <f aca="false">+IF(E1251=0,0,E1251*0.03)</f>
        <v>0</v>
      </c>
    </row>
    <row r="1252" customFormat="false" ht="15.75" hidden="false" customHeight="true" outlineLevel="0" collapsed="false">
      <c r="A1252" s="30" t="n">
        <v>45323</v>
      </c>
      <c r="B1252" s="31" t="s">
        <v>11</v>
      </c>
      <c r="C1252" s="32"/>
      <c r="D1252" s="32"/>
      <c r="E1252" s="19" t="n">
        <f aca="false">+IF(C1252="EQUIPO",F1252,0)</f>
        <v>0</v>
      </c>
      <c r="F1252" s="33" t="n">
        <v>0</v>
      </c>
      <c r="G1252" s="62"/>
      <c r="H1252" s="35" t="n">
        <v>0</v>
      </c>
      <c r="I1252" s="34" t="n">
        <f aca="false">+IF(E1252=0,0,E1252*0.03)</f>
        <v>0</v>
      </c>
    </row>
    <row r="1253" customFormat="false" ht="15.75" hidden="false" customHeight="true" outlineLevel="0" collapsed="false">
      <c r="A1253" s="30" t="n">
        <v>45323</v>
      </c>
      <c r="B1253" s="31" t="s">
        <v>11</v>
      </c>
      <c r="C1253" s="32"/>
      <c r="D1253" s="32"/>
      <c r="E1253" s="19" t="n">
        <f aca="false">+IF(C1253="EQUIPO",F1253,0)</f>
        <v>0</v>
      </c>
      <c r="F1253" s="33" t="n">
        <v>0</v>
      </c>
      <c r="G1253" s="62"/>
      <c r="H1253" s="35" t="n">
        <v>0</v>
      </c>
      <c r="I1253" s="34" t="n">
        <f aca="false">+IF(E1253=0,0,E1253*0.03)</f>
        <v>0</v>
      </c>
    </row>
    <row r="1254" customFormat="false" ht="15.75" hidden="false" customHeight="true" outlineLevel="0" collapsed="false">
      <c r="A1254" s="30" t="n">
        <v>45323</v>
      </c>
      <c r="B1254" s="31" t="s">
        <v>11</v>
      </c>
      <c r="C1254" s="32"/>
      <c r="D1254" s="32"/>
      <c r="E1254" s="19" t="n">
        <f aca="false">+IF(C1254="EQUIPO",F1254,0)</f>
        <v>0</v>
      </c>
      <c r="F1254" s="33" t="n">
        <v>0</v>
      </c>
      <c r="G1254" s="62"/>
      <c r="H1254" s="35" t="n">
        <v>0</v>
      </c>
      <c r="I1254" s="34" t="n">
        <f aca="false">+IF(E1254=0,0,E1254*0.03)</f>
        <v>0</v>
      </c>
    </row>
    <row r="1255" customFormat="false" ht="15.75" hidden="false" customHeight="true" outlineLevel="0" collapsed="false">
      <c r="A1255" s="30" t="n">
        <v>45323</v>
      </c>
      <c r="B1255" s="31" t="s">
        <v>11</v>
      </c>
      <c r="C1255" s="32"/>
      <c r="D1255" s="32"/>
      <c r="E1255" s="19" t="n">
        <f aca="false">+IF(C1255="EQUIPO",F1255,0)</f>
        <v>0</v>
      </c>
      <c r="F1255" s="33" t="n">
        <v>0</v>
      </c>
      <c r="G1255" s="62"/>
      <c r="H1255" s="35" t="n">
        <v>0</v>
      </c>
      <c r="I1255" s="34" t="n">
        <f aca="false">+IF(E1255=0,0,E1255*0.03)</f>
        <v>0</v>
      </c>
    </row>
    <row r="1256" customFormat="false" ht="15.75" hidden="false" customHeight="true" outlineLevel="0" collapsed="false">
      <c r="A1256" s="30" t="n">
        <v>45323</v>
      </c>
      <c r="B1256" s="31" t="s">
        <v>11</v>
      </c>
      <c r="C1256" s="32"/>
      <c r="D1256" s="32"/>
      <c r="E1256" s="19" t="n">
        <f aca="false">+IF(C1256="EQUIPO",F1256,0)</f>
        <v>0</v>
      </c>
      <c r="F1256" s="33" t="n">
        <v>0</v>
      </c>
      <c r="G1256" s="62"/>
      <c r="H1256" s="35" t="n">
        <v>0</v>
      </c>
      <c r="I1256" s="34" t="n">
        <f aca="false">+IF(E1256=0,0,E1256*0.03)</f>
        <v>0</v>
      </c>
    </row>
    <row r="1257" customFormat="false" ht="15.75" hidden="false" customHeight="true" outlineLevel="0" collapsed="false">
      <c r="A1257" s="30" t="n">
        <v>45323</v>
      </c>
      <c r="B1257" s="31" t="s">
        <v>11</v>
      </c>
      <c r="C1257" s="32"/>
      <c r="D1257" s="32"/>
      <c r="E1257" s="19" t="n">
        <f aca="false">+IF(C1257="EQUIPO",F1257,0)</f>
        <v>0</v>
      </c>
      <c r="F1257" s="33" t="n">
        <v>0</v>
      </c>
      <c r="G1257" s="62"/>
      <c r="H1257" s="35" t="n">
        <v>0</v>
      </c>
      <c r="I1257" s="34" t="n">
        <f aca="false">+IF(E1257=0,0,E1257*0.03)</f>
        <v>0</v>
      </c>
    </row>
    <row r="1258" customFormat="false" ht="15.75" hidden="false" customHeight="true" outlineLevel="0" collapsed="false">
      <c r="A1258" s="30" t="n">
        <v>45323</v>
      </c>
      <c r="B1258" s="31" t="s">
        <v>11</v>
      </c>
      <c r="C1258" s="32"/>
      <c r="D1258" s="32"/>
      <c r="E1258" s="19" t="n">
        <f aca="false">+IF(C1258="EQUIPO",F1258,0)</f>
        <v>0</v>
      </c>
      <c r="F1258" s="33" t="n">
        <v>0</v>
      </c>
      <c r="G1258" s="62"/>
      <c r="H1258" s="35" t="n">
        <v>0</v>
      </c>
      <c r="I1258" s="34" t="n">
        <f aca="false">+IF(E1258=0,0,E1258*0.03)</f>
        <v>0</v>
      </c>
    </row>
    <row r="1259" customFormat="false" ht="15.75" hidden="false" customHeight="true" outlineLevel="0" collapsed="false">
      <c r="A1259" s="30" t="n">
        <v>45323</v>
      </c>
      <c r="B1259" s="31" t="s">
        <v>11</v>
      </c>
      <c r="C1259" s="32"/>
      <c r="D1259" s="32"/>
      <c r="E1259" s="19" t="n">
        <f aca="false">+IF(C1259="EQUIPO",F1259,0)</f>
        <v>0</v>
      </c>
      <c r="F1259" s="33" t="n">
        <v>0</v>
      </c>
      <c r="G1259" s="62"/>
      <c r="H1259" s="35" t="n">
        <v>0</v>
      </c>
      <c r="I1259" s="34" t="n">
        <f aca="false">+IF(E1259=0,0,E1259*0.03)</f>
        <v>0</v>
      </c>
    </row>
    <row r="1260" customFormat="false" ht="15.75" hidden="false" customHeight="true" outlineLevel="0" collapsed="false">
      <c r="A1260" s="30" t="n">
        <v>45323</v>
      </c>
      <c r="B1260" s="31" t="s">
        <v>11</v>
      </c>
      <c r="C1260" s="32"/>
      <c r="D1260" s="32"/>
      <c r="E1260" s="19" t="n">
        <f aca="false">+IF(C1260="EQUIPO",F1260,0)</f>
        <v>0</v>
      </c>
      <c r="F1260" s="33" t="n">
        <v>0</v>
      </c>
      <c r="G1260" s="62"/>
      <c r="H1260" s="35" t="n">
        <v>0</v>
      </c>
      <c r="I1260" s="34" t="n">
        <f aca="false">+IF(E1260=0,0,E1260*0.03)</f>
        <v>0</v>
      </c>
    </row>
    <row r="1261" customFormat="false" ht="15.75" hidden="false" customHeight="true" outlineLevel="0" collapsed="false">
      <c r="A1261" s="30" t="n">
        <v>45323</v>
      </c>
      <c r="B1261" s="31" t="s">
        <v>11</v>
      </c>
      <c r="C1261" s="32"/>
      <c r="D1261" s="32"/>
      <c r="E1261" s="19" t="n">
        <f aca="false">+IF(C1261="EQUIPO",F1261,0)</f>
        <v>0</v>
      </c>
      <c r="F1261" s="33" t="n">
        <v>0</v>
      </c>
      <c r="G1261" s="62"/>
      <c r="H1261" s="35" t="n">
        <v>0</v>
      </c>
      <c r="I1261" s="34" t="n">
        <f aca="false">+IF(E1261=0,0,E1261*0.03)</f>
        <v>0</v>
      </c>
    </row>
    <row r="1262" customFormat="false" ht="15.75" hidden="false" customHeight="true" outlineLevel="0" collapsed="false">
      <c r="A1262" s="30" t="n">
        <v>45323</v>
      </c>
      <c r="B1262" s="31" t="s">
        <v>11</v>
      </c>
      <c r="C1262" s="32"/>
      <c r="D1262" s="32"/>
      <c r="E1262" s="19" t="n">
        <f aca="false">+IF(C1262="EQUIPO",F1262,0)</f>
        <v>0</v>
      </c>
      <c r="F1262" s="33" t="n">
        <v>0</v>
      </c>
      <c r="G1262" s="62"/>
      <c r="H1262" s="35" t="n">
        <v>0</v>
      </c>
      <c r="I1262" s="34" t="n">
        <f aca="false">+IF(E1262=0,0,E1262*0.03)</f>
        <v>0</v>
      </c>
    </row>
    <row r="1263" customFormat="false" ht="15.75" hidden="false" customHeight="true" outlineLevel="0" collapsed="false">
      <c r="A1263" s="30" t="n">
        <v>45323</v>
      </c>
      <c r="B1263" s="31" t="s">
        <v>11</v>
      </c>
      <c r="C1263" s="32"/>
      <c r="D1263" s="32"/>
      <c r="E1263" s="19" t="n">
        <f aca="false">+IF(C1263="EQUIPO",F1263,0)</f>
        <v>0</v>
      </c>
      <c r="F1263" s="33" t="n">
        <v>0</v>
      </c>
      <c r="G1263" s="62"/>
      <c r="H1263" s="35" t="n">
        <v>0</v>
      </c>
      <c r="I1263" s="34" t="n">
        <f aca="false">+IF(E1263=0,0,E1263*0.03)</f>
        <v>0</v>
      </c>
    </row>
    <row r="1264" customFormat="false" ht="15.75" hidden="false" customHeight="true" outlineLevel="0" collapsed="false">
      <c r="A1264" s="30" t="n">
        <v>45323</v>
      </c>
      <c r="B1264" s="31" t="s">
        <v>11</v>
      </c>
      <c r="C1264" s="32"/>
      <c r="D1264" s="32"/>
      <c r="E1264" s="19" t="n">
        <f aca="false">+IF(C1264="EQUIPO",F1264,0)</f>
        <v>0</v>
      </c>
      <c r="F1264" s="33" t="n">
        <v>0</v>
      </c>
      <c r="G1264" s="62"/>
      <c r="H1264" s="35" t="n">
        <v>0</v>
      </c>
      <c r="I1264" s="34" t="n">
        <f aca="false">+IF(E1264=0,0,E1264*0.03)</f>
        <v>0</v>
      </c>
    </row>
    <row r="1265" customFormat="false" ht="15.75" hidden="false" customHeight="true" outlineLevel="0" collapsed="false">
      <c r="A1265" s="30" t="n">
        <v>45323</v>
      </c>
      <c r="B1265" s="31" t="s">
        <v>11</v>
      </c>
      <c r="C1265" s="32"/>
      <c r="D1265" s="32"/>
      <c r="E1265" s="19" t="n">
        <f aca="false">+IF(C1265="EQUIPO",F1265,0)</f>
        <v>0</v>
      </c>
      <c r="F1265" s="33" t="n">
        <v>0</v>
      </c>
      <c r="G1265" s="62"/>
      <c r="H1265" s="35" t="n">
        <v>0</v>
      </c>
      <c r="I1265" s="34" t="n">
        <f aca="false">+IF(E1265=0,0,E1265*0.03)</f>
        <v>0</v>
      </c>
    </row>
    <row r="1266" customFormat="false" ht="15.75" hidden="false" customHeight="true" outlineLevel="0" collapsed="false">
      <c r="A1266" s="30" t="n">
        <v>45323</v>
      </c>
      <c r="B1266" s="31" t="s">
        <v>11</v>
      </c>
      <c r="C1266" s="32"/>
      <c r="D1266" s="32"/>
      <c r="E1266" s="19" t="n">
        <f aca="false">+IF(C1266="EQUIPO",F1266,0)</f>
        <v>0</v>
      </c>
      <c r="F1266" s="33" t="n">
        <v>0</v>
      </c>
      <c r="G1266" s="62"/>
      <c r="H1266" s="35" t="n">
        <v>0</v>
      </c>
      <c r="I1266" s="34" t="n">
        <f aca="false">+IF(E1266=0,0,E1266*0.03)</f>
        <v>0</v>
      </c>
    </row>
    <row r="1267" customFormat="false" ht="15.75" hidden="false" customHeight="true" outlineLevel="0" collapsed="false">
      <c r="A1267" s="30" t="n">
        <v>45323</v>
      </c>
      <c r="B1267" s="31" t="s">
        <v>11</v>
      </c>
      <c r="C1267" s="32"/>
      <c r="D1267" s="32"/>
      <c r="E1267" s="19" t="n">
        <f aca="false">+IF(C1267="EQUIPO",F1267,0)</f>
        <v>0</v>
      </c>
      <c r="F1267" s="33" t="n">
        <v>0</v>
      </c>
      <c r="G1267" s="62"/>
      <c r="H1267" s="35" t="n">
        <v>0</v>
      </c>
      <c r="I1267" s="34" t="n">
        <f aca="false">+IF(E1267=0,0,E1267*0.03)</f>
        <v>0</v>
      </c>
    </row>
    <row r="1268" customFormat="false" ht="15.75" hidden="false" customHeight="true" outlineLevel="0" collapsed="false">
      <c r="A1268" s="30" t="n">
        <v>45323</v>
      </c>
      <c r="B1268" s="31" t="s">
        <v>11</v>
      </c>
      <c r="C1268" s="32"/>
      <c r="D1268" s="32"/>
      <c r="E1268" s="19" t="n">
        <f aca="false">+IF(C1268="EQUIPO",F1268,0)</f>
        <v>0</v>
      </c>
      <c r="F1268" s="33" t="n">
        <v>0</v>
      </c>
      <c r="G1268" s="62"/>
      <c r="H1268" s="35" t="n">
        <v>0</v>
      </c>
      <c r="I1268" s="34" t="n">
        <f aca="false">+IF(E1268=0,0,E1268*0.03)</f>
        <v>0</v>
      </c>
    </row>
    <row r="1269" customFormat="false" ht="15.75" hidden="false" customHeight="true" outlineLevel="0" collapsed="false">
      <c r="A1269" s="30" t="n">
        <v>45323</v>
      </c>
      <c r="B1269" s="31" t="s">
        <v>11</v>
      </c>
      <c r="C1269" s="32"/>
      <c r="D1269" s="32"/>
      <c r="E1269" s="19" t="n">
        <f aca="false">+IF(C1269="EQUIPO",F1269,0)</f>
        <v>0</v>
      </c>
      <c r="F1269" s="33" t="n">
        <v>0</v>
      </c>
      <c r="G1269" s="62"/>
      <c r="H1269" s="35" t="n">
        <v>0</v>
      </c>
      <c r="I1269" s="34" t="n">
        <f aca="false">+IF(E1269=0,0,E1269*0.03)</f>
        <v>0</v>
      </c>
    </row>
    <row r="1270" customFormat="false" ht="15.75" hidden="false" customHeight="true" outlineLevel="0" collapsed="false">
      <c r="A1270" s="30" t="n">
        <v>45323</v>
      </c>
      <c r="B1270" s="31" t="s">
        <v>11</v>
      </c>
      <c r="C1270" s="32"/>
      <c r="D1270" s="32"/>
      <c r="E1270" s="19" t="n">
        <f aca="false">+IF(C1270="EQUIPO",F1270,0)</f>
        <v>0</v>
      </c>
      <c r="F1270" s="33" t="n">
        <v>0</v>
      </c>
      <c r="G1270" s="62"/>
      <c r="H1270" s="35" t="n">
        <v>0</v>
      </c>
      <c r="I1270" s="34" t="n">
        <f aca="false">+IF(E1270=0,0,E1270*0.03)</f>
        <v>0</v>
      </c>
    </row>
    <row r="1271" customFormat="false" ht="15.75" hidden="false" customHeight="true" outlineLevel="0" collapsed="false">
      <c r="A1271" s="30" t="n">
        <v>45323</v>
      </c>
      <c r="B1271" s="31" t="s">
        <v>11</v>
      </c>
      <c r="C1271" s="32"/>
      <c r="D1271" s="32"/>
      <c r="E1271" s="19" t="n">
        <f aca="false">+IF(C1271="EQUIPO",F1271,0)</f>
        <v>0</v>
      </c>
      <c r="F1271" s="33" t="n">
        <v>0</v>
      </c>
      <c r="G1271" s="62"/>
      <c r="H1271" s="35" t="n">
        <v>0</v>
      </c>
      <c r="I1271" s="34" t="n">
        <f aca="false">+IF(E1271=0,0,E1271*0.03)</f>
        <v>0</v>
      </c>
    </row>
    <row r="1272" customFormat="false" ht="15.75" hidden="false" customHeight="true" outlineLevel="0" collapsed="false">
      <c r="A1272" s="30" t="n">
        <v>45323</v>
      </c>
      <c r="B1272" s="31" t="s">
        <v>11</v>
      </c>
      <c r="C1272" s="32"/>
      <c r="D1272" s="32"/>
      <c r="E1272" s="19" t="n">
        <f aca="false">+IF(C1272="EQUIPO",F1272,0)</f>
        <v>0</v>
      </c>
      <c r="F1272" s="33" t="n">
        <v>0</v>
      </c>
      <c r="G1272" s="62"/>
      <c r="H1272" s="35" t="n">
        <v>0</v>
      </c>
      <c r="I1272" s="34" t="n">
        <f aca="false">+IF(E1272=0,0,E1272*0.03)</f>
        <v>0</v>
      </c>
    </row>
    <row r="1273" customFormat="false" ht="15.75" hidden="false" customHeight="true" outlineLevel="0" collapsed="false">
      <c r="A1273" s="30" t="n">
        <v>45323</v>
      </c>
      <c r="B1273" s="31" t="s">
        <v>11</v>
      </c>
      <c r="C1273" s="32"/>
      <c r="D1273" s="32"/>
      <c r="E1273" s="19" t="n">
        <f aca="false">+IF(C1273="EQUIPO",F1273,0)</f>
        <v>0</v>
      </c>
      <c r="F1273" s="33" t="n">
        <v>0</v>
      </c>
      <c r="G1273" s="62"/>
      <c r="H1273" s="35" t="n">
        <v>0</v>
      </c>
      <c r="I1273" s="34" t="n">
        <f aca="false">+IF(E1273=0,0,E1273*0.03)</f>
        <v>0</v>
      </c>
    </row>
    <row r="1274" customFormat="false" ht="15.75" hidden="false" customHeight="true" outlineLevel="0" collapsed="false">
      <c r="A1274" s="30" t="n">
        <v>45323</v>
      </c>
      <c r="B1274" s="31" t="s">
        <v>11</v>
      </c>
      <c r="C1274" s="32"/>
      <c r="D1274" s="32"/>
      <c r="E1274" s="19" t="n">
        <f aca="false">+IF(C1274="EQUIPO",F1274,0)</f>
        <v>0</v>
      </c>
      <c r="F1274" s="33" t="n">
        <v>0</v>
      </c>
      <c r="G1274" s="62"/>
      <c r="H1274" s="35" t="n">
        <v>0</v>
      </c>
      <c r="I1274" s="34" t="n">
        <f aca="false">+IF(E1274=0,0,E1274*0.03)</f>
        <v>0</v>
      </c>
    </row>
    <row r="1275" customFormat="false" ht="15.75" hidden="false" customHeight="true" outlineLevel="0" collapsed="false">
      <c r="A1275" s="30" t="n">
        <v>45323</v>
      </c>
      <c r="B1275" s="31" t="s">
        <v>11</v>
      </c>
      <c r="C1275" s="32"/>
      <c r="D1275" s="32"/>
      <c r="E1275" s="19" t="n">
        <f aca="false">+IF(C1275="EQUIPO",F1275,0)</f>
        <v>0</v>
      </c>
      <c r="F1275" s="33" t="n">
        <v>0</v>
      </c>
      <c r="G1275" s="62"/>
      <c r="H1275" s="35" t="n">
        <v>0</v>
      </c>
      <c r="I1275" s="34" t="n">
        <f aca="false">+IF(E1275=0,0,E1275*0.03)</f>
        <v>0</v>
      </c>
    </row>
    <row r="1276" customFormat="false" ht="15.75" hidden="false" customHeight="true" outlineLevel="0" collapsed="false">
      <c r="A1276" s="30" t="n">
        <v>45323</v>
      </c>
      <c r="B1276" s="31" t="s">
        <v>11</v>
      </c>
      <c r="C1276" s="32"/>
      <c r="D1276" s="32"/>
      <c r="E1276" s="19" t="n">
        <f aca="false">+IF(C1276="EQUIPO",F1276,0)</f>
        <v>0</v>
      </c>
      <c r="F1276" s="33" t="n">
        <v>0</v>
      </c>
      <c r="G1276" s="62"/>
      <c r="H1276" s="35" t="n">
        <v>0</v>
      </c>
      <c r="I1276" s="34" t="n">
        <f aca="false">+IF(E1276=0,0,E1276*0.03)</f>
        <v>0</v>
      </c>
    </row>
    <row r="1277" customFormat="false" ht="15.75" hidden="false" customHeight="true" outlineLevel="0" collapsed="false">
      <c r="A1277" s="30" t="n">
        <v>45323</v>
      </c>
      <c r="B1277" s="31" t="s">
        <v>11</v>
      </c>
      <c r="C1277" s="32"/>
      <c r="D1277" s="32"/>
      <c r="E1277" s="19" t="n">
        <f aca="false">+IF(C1277="EQUIPO",F1277,0)</f>
        <v>0</v>
      </c>
      <c r="F1277" s="33" t="n">
        <v>0</v>
      </c>
      <c r="G1277" s="62"/>
      <c r="H1277" s="35" t="n">
        <v>0</v>
      </c>
      <c r="I1277" s="34" t="n">
        <f aca="false">+IF(E1277=0,0,E1277*0.03)</f>
        <v>0</v>
      </c>
    </row>
    <row r="1278" customFormat="false" ht="15.75" hidden="false" customHeight="true" outlineLevel="0" collapsed="false">
      <c r="A1278" s="30" t="n">
        <v>45323</v>
      </c>
      <c r="B1278" s="31" t="s">
        <v>11</v>
      </c>
      <c r="C1278" s="32"/>
      <c r="D1278" s="32"/>
      <c r="E1278" s="19" t="n">
        <f aca="false">+IF(C1278="EQUIPO",F1278,0)</f>
        <v>0</v>
      </c>
      <c r="F1278" s="33" t="n">
        <v>0</v>
      </c>
      <c r="G1278" s="62"/>
      <c r="H1278" s="35" t="n">
        <v>0</v>
      </c>
      <c r="I1278" s="34" t="n">
        <f aca="false">+IF(E1278=0,0,E1278*0.03)</f>
        <v>0</v>
      </c>
    </row>
    <row r="1279" customFormat="false" ht="15.75" hidden="false" customHeight="true" outlineLevel="0" collapsed="false">
      <c r="A1279" s="30" t="n">
        <v>45323</v>
      </c>
      <c r="B1279" s="31" t="s">
        <v>11</v>
      </c>
      <c r="C1279" s="32"/>
      <c r="D1279" s="32"/>
      <c r="E1279" s="19" t="n">
        <f aca="false">+IF(C1279="EQUIPO",F1279,0)</f>
        <v>0</v>
      </c>
      <c r="F1279" s="33" t="n">
        <v>0</v>
      </c>
      <c r="G1279" s="62"/>
      <c r="H1279" s="35" t="n">
        <v>0</v>
      </c>
      <c r="I1279" s="34" t="n">
        <f aca="false">+IF(E1279=0,0,E1279*0.03)</f>
        <v>0</v>
      </c>
    </row>
    <row r="1280" customFormat="false" ht="15.75" hidden="false" customHeight="true" outlineLevel="0" collapsed="false">
      <c r="A1280" s="30" t="n">
        <v>45323</v>
      </c>
      <c r="B1280" s="31" t="s">
        <v>11</v>
      </c>
      <c r="C1280" s="32"/>
      <c r="D1280" s="32"/>
      <c r="E1280" s="19" t="n">
        <f aca="false">+IF(C1280="EQUIPO",F1280,0)</f>
        <v>0</v>
      </c>
      <c r="F1280" s="33" t="n">
        <v>0</v>
      </c>
      <c r="G1280" s="62"/>
      <c r="H1280" s="35" t="n">
        <v>0</v>
      </c>
      <c r="I1280" s="34" t="n">
        <f aca="false">+IF(E1280=0,0,E1280*0.03)</f>
        <v>0</v>
      </c>
    </row>
    <row r="1281" customFormat="false" ht="15.75" hidden="false" customHeight="true" outlineLevel="0" collapsed="false">
      <c r="A1281" s="30" t="n">
        <v>45323</v>
      </c>
      <c r="B1281" s="31" t="s">
        <v>11</v>
      </c>
      <c r="C1281" s="32"/>
      <c r="D1281" s="32"/>
      <c r="E1281" s="19" t="n">
        <f aca="false">+IF(C1281="EQUIPO",F1281,0)</f>
        <v>0</v>
      </c>
      <c r="F1281" s="33" t="n">
        <v>0</v>
      </c>
      <c r="G1281" s="62"/>
      <c r="H1281" s="35" t="n">
        <v>0</v>
      </c>
      <c r="I1281" s="34" t="n">
        <f aca="false">+IF(E1281=0,0,E1281*0.03)</f>
        <v>0</v>
      </c>
    </row>
    <row r="1282" customFormat="false" ht="15.75" hidden="false" customHeight="true" outlineLevel="0" collapsed="false">
      <c r="A1282" s="30" t="n">
        <v>45323</v>
      </c>
      <c r="B1282" s="31" t="s">
        <v>11</v>
      </c>
      <c r="C1282" s="32"/>
      <c r="D1282" s="32"/>
      <c r="E1282" s="19" t="n">
        <f aca="false">+IF(C1282="EQUIPO",F1282,0)</f>
        <v>0</v>
      </c>
      <c r="F1282" s="33" t="n">
        <v>0</v>
      </c>
      <c r="G1282" s="62"/>
      <c r="H1282" s="35" t="n">
        <v>0</v>
      </c>
      <c r="I1282" s="34" t="n">
        <f aca="false">+IF(E1282=0,0,E1282*0.03)</f>
        <v>0</v>
      </c>
    </row>
    <row r="1283" customFormat="false" ht="15.75" hidden="false" customHeight="true" outlineLevel="0" collapsed="false">
      <c r="A1283" s="30" t="n">
        <v>45323</v>
      </c>
      <c r="B1283" s="31" t="s">
        <v>11</v>
      </c>
      <c r="C1283" s="32"/>
      <c r="D1283" s="32"/>
      <c r="E1283" s="19" t="n">
        <f aca="false">+IF(C1283="EQUIPO",F1283,0)</f>
        <v>0</v>
      </c>
      <c r="F1283" s="33" t="n">
        <v>0</v>
      </c>
      <c r="G1283" s="62"/>
      <c r="H1283" s="35" t="n">
        <v>0</v>
      </c>
      <c r="I1283" s="34" t="n">
        <f aca="false">+IF(E1283=0,0,E1283*0.03)</f>
        <v>0</v>
      </c>
    </row>
    <row r="1284" customFormat="false" ht="15.75" hidden="false" customHeight="true" outlineLevel="0" collapsed="false">
      <c r="A1284" s="30" t="n">
        <v>45323</v>
      </c>
      <c r="B1284" s="31" t="s">
        <v>11</v>
      </c>
      <c r="C1284" s="32"/>
      <c r="D1284" s="32"/>
      <c r="E1284" s="19" t="n">
        <f aca="false">+IF(C1284="EQUIPO",F1284,0)</f>
        <v>0</v>
      </c>
      <c r="F1284" s="33" t="n">
        <v>0</v>
      </c>
      <c r="G1284" s="62"/>
      <c r="H1284" s="35" t="n">
        <v>0</v>
      </c>
      <c r="I1284" s="34" t="n">
        <f aca="false">+IF(E1284=0,0,E1284*0.03)</f>
        <v>0</v>
      </c>
    </row>
    <row r="1285" customFormat="false" ht="15.75" hidden="false" customHeight="true" outlineLevel="0" collapsed="false">
      <c r="A1285" s="30" t="n">
        <v>45323</v>
      </c>
      <c r="B1285" s="31" t="s">
        <v>11</v>
      </c>
      <c r="C1285" s="32"/>
      <c r="D1285" s="32"/>
      <c r="E1285" s="19" t="n">
        <f aca="false">+IF(C1285="EQUIPO",F1285,0)</f>
        <v>0</v>
      </c>
      <c r="F1285" s="33" t="n">
        <v>0</v>
      </c>
      <c r="G1285" s="62"/>
      <c r="H1285" s="35" t="n">
        <v>0</v>
      </c>
      <c r="I1285" s="34" t="n">
        <f aca="false">+IF(E1285=0,0,E1285*0.03)</f>
        <v>0</v>
      </c>
    </row>
    <row r="1286" customFormat="false" ht="15.75" hidden="false" customHeight="true" outlineLevel="0" collapsed="false">
      <c r="A1286" s="30" t="n">
        <v>45323</v>
      </c>
      <c r="B1286" s="31" t="s">
        <v>11</v>
      </c>
      <c r="C1286" s="32"/>
      <c r="D1286" s="32"/>
      <c r="E1286" s="19" t="n">
        <f aca="false">+IF(C1286="EQUIPO",F1286,0)</f>
        <v>0</v>
      </c>
      <c r="F1286" s="33" t="n">
        <v>0</v>
      </c>
      <c r="G1286" s="62"/>
      <c r="H1286" s="35" t="n">
        <v>0</v>
      </c>
      <c r="I1286" s="34" t="n">
        <f aca="false">+IF(E1286=0,0,E1286*0.03)</f>
        <v>0</v>
      </c>
    </row>
    <row r="1287" customFormat="false" ht="15.75" hidden="false" customHeight="true" outlineLevel="0" collapsed="false">
      <c r="A1287" s="30" t="n">
        <v>45323</v>
      </c>
      <c r="B1287" s="31" t="s">
        <v>11</v>
      </c>
      <c r="C1287" s="32"/>
      <c r="D1287" s="32"/>
      <c r="E1287" s="19" t="n">
        <f aca="false">+IF(C1287="EQUIPO",F1287,0)</f>
        <v>0</v>
      </c>
      <c r="F1287" s="33" t="n">
        <v>0</v>
      </c>
      <c r="G1287" s="62"/>
      <c r="H1287" s="35" t="n">
        <v>0</v>
      </c>
      <c r="I1287" s="34" t="n">
        <f aca="false">+IF(E1287=0,0,E1287*0.03)</f>
        <v>0</v>
      </c>
    </row>
    <row r="1288" customFormat="false" ht="15.75" hidden="false" customHeight="true" outlineLevel="0" collapsed="false">
      <c r="A1288" s="30" t="n">
        <v>45323</v>
      </c>
      <c r="B1288" s="31" t="s">
        <v>11</v>
      </c>
      <c r="C1288" s="32"/>
      <c r="D1288" s="32"/>
      <c r="E1288" s="19" t="n">
        <f aca="false">+IF(C1288="EQUIPO",F1288,0)</f>
        <v>0</v>
      </c>
      <c r="F1288" s="33" t="n">
        <v>0</v>
      </c>
      <c r="G1288" s="62"/>
      <c r="H1288" s="35" t="n">
        <v>0</v>
      </c>
      <c r="I1288" s="34" t="n">
        <f aca="false">+IF(E1288=0,0,E1288*0.03)</f>
        <v>0</v>
      </c>
    </row>
    <row r="1289" customFormat="false" ht="15.75" hidden="false" customHeight="true" outlineLevel="0" collapsed="false">
      <c r="A1289" s="30" t="n">
        <v>45323</v>
      </c>
      <c r="B1289" s="31" t="s">
        <v>11</v>
      </c>
      <c r="C1289" s="32"/>
      <c r="D1289" s="32"/>
      <c r="E1289" s="19" t="n">
        <f aca="false">+IF(C1289="EQUIPO",F1289,0)</f>
        <v>0</v>
      </c>
      <c r="F1289" s="33" t="n">
        <v>0</v>
      </c>
      <c r="G1289" s="62"/>
      <c r="H1289" s="35" t="n">
        <v>0</v>
      </c>
      <c r="I1289" s="34" t="n">
        <f aca="false">+IF(E1289=0,0,E1289*0.03)</f>
        <v>0</v>
      </c>
    </row>
    <row r="1290" customFormat="false" ht="15.75" hidden="false" customHeight="true" outlineLevel="0" collapsed="false">
      <c r="A1290" s="30" t="n">
        <v>45323</v>
      </c>
      <c r="B1290" s="31" t="s">
        <v>11</v>
      </c>
      <c r="C1290" s="32"/>
      <c r="D1290" s="32"/>
      <c r="E1290" s="19" t="n">
        <f aca="false">+IF(C1290="EQUIPO",F1290,0)</f>
        <v>0</v>
      </c>
      <c r="F1290" s="33" t="n">
        <v>0</v>
      </c>
      <c r="G1290" s="62"/>
      <c r="H1290" s="35" t="n">
        <v>0</v>
      </c>
      <c r="I1290" s="34" t="n">
        <f aca="false">+IF(E1290=0,0,E1290*0.03)</f>
        <v>0</v>
      </c>
    </row>
    <row r="1291" customFormat="false" ht="15.75" hidden="false" customHeight="true" outlineLevel="0" collapsed="false">
      <c r="A1291" s="30" t="n">
        <v>45323</v>
      </c>
      <c r="B1291" s="31" t="s">
        <v>11</v>
      </c>
      <c r="C1291" s="32"/>
      <c r="D1291" s="32"/>
      <c r="E1291" s="19" t="n">
        <f aca="false">+IF(C1291="EQUIPO",F1291,0)</f>
        <v>0</v>
      </c>
      <c r="F1291" s="33" t="n">
        <v>0</v>
      </c>
      <c r="G1291" s="62"/>
      <c r="H1291" s="35" t="n">
        <v>0</v>
      </c>
      <c r="I1291" s="34" t="n">
        <f aca="false">+IF(E1291=0,0,E1291*0.03)</f>
        <v>0</v>
      </c>
    </row>
    <row r="1292" customFormat="false" ht="15.75" hidden="false" customHeight="true" outlineLevel="0" collapsed="false">
      <c r="A1292" s="30" t="n">
        <v>45323</v>
      </c>
      <c r="B1292" s="31" t="s">
        <v>11</v>
      </c>
      <c r="C1292" s="32"/>
      <c r="D1292" s="32"/>
      <c r="E1292" s="19" t="n">
        <f aca="false">+IF(C1292="EQUIPO",F1292,0)</f>
        <v>0</v>
      </c>
      <c r="F1292" s="33" t="n">
        <v>0</v>
      </c>
      <c r="G1292" s="62"/>
      <c r="H1292" s="35" t="n">
        <v>0</v>
      </c>
      <c r="I1292" s="34" t="n">
        <f aca="false">+IF(E1292=0,0,E1292*0.03)</f>
        <v>0</v>
      </c>
    </row>
    <row r="1293" customFormat="false" ht="15.75" hidden="false" customHeight="true" outlineLevel="0" collapsed="false">
      <c r="A1293" s="30" t="n">
        <v>45323</v>
      </c>
      <c r="B1293" s="31" t="s">
        <v>11</v>
      </c>
      <c r="C1293" s="32"/>
      <c r="D1293" s="32"/>
      <c r="E1293" s="19" t="n">
        <f aca="false">+IF(C1293="EQUIPO",F1293,0)</f>
        <v>0</v>
      </c>
      <c r="F1293" s="33" t="n">
        <v>0</v>
      </c>
      <c r="G1293" s="62"/>
      <c r="H1293" s="35" t="n">
        <v>0</v>
      </c>
      <c r="I1293" s="34" t="n">
        <f aca="false">+IF(E1293=0,0,E1293*0.03)</f>
        <v>0</v>
      </c>
    </row>
    <row r="1294" customFormat="false" ht="15.75" hidden="false" customHeight="true" outlineLevel="0" collapsed="false">
      <c r="A1294" s="30" t="n">
        <v>45323</v>
      </c>
      <c r="B1294" s="31" t="s">
        <v>11</v>
      </c>
      <c r="C1294" s="32"/>
      <c r="D1294" s="32"/>
      <c r="E1294" s="19" t="n">
        <f aca="false">+IF(C1294="EQUIPO",F1294,0)</f>
        <v>0</v>
      </c>
      <c r="F1294" s="33" t="n">
        <v>0</v>
      </c>
      <c r="G1294" s="62"/>
      <c r="H1294" s="35" t="n">
        <v>0</v>
      </c>
      <c r="I1294" s="34" t="n">
        <f aca="false">+IF(E1294=0,0,E1294*0.03)</f>
        <v>0</v>
      </c>
    </row>
    <row r="1295" customFormat="false" ht="15.75" hidden="false" customHeight="true" outlineLevel="0" collapsed="false">
      <c r="A1295" s="30" t="n">
        <v>45323</v>
      </c>
      <c r="B1295" s="31" t="s">
        <v>11</v>
      </c>
      <c r="C1295" s="32"/>
      <c r="D1295" s="32"/>
      <c r="E1295" s="19" t="n">
        <f aca="false">+IF(C1295="EQUIPO",F1295,0)</f>
        <v>0</v>
      </c>
      <c r="F1295" s="33" t="n">
        <v>0</v>
      </c>
      <c r="G1295" s="62"/>
      <c r="H1295" s="35" t="n">
        <v>0</v>
      </c>
      <c r="I1295" s="34" t="n">
        <f aca="false">+IF(E1295=0,0,E1295*0.03)</f>
        <v>0</v>
      </c>
    </row>
    <row r="1296" customFormat="false" ht="15.75" hidden="false" customHeight="true" outlineLevel="0" collapsed="false">
      <c r="A1296" s="30" t="n">
        <v>45323</v>
      </c>
      <c r="B1296" s="31" t="s">
        <v>11</v>
      </c>
      <c r="C1296" s="32"/>
      <c r="D1296" s="32"/>
      <c r="E1296" s="19" t="n">
        <f aca="false">+IF(C1296="EQUIPO",F1296,0)</f>
        <v>0</v>
      </c>
      <c r="F1296" s="33" t="n">
        <v>0</v>
      </c>
      <c r="G1296" s="62"/>
      <c r="H1296" s="35" t="n">
        <v>0</v>
      </c>
      <c r="I1296" s="34" t="n">
        <f aca="false">+IF(E1296=0,0,E1296*0.03)</f>
        <v>0</v>
      </c>
    </row>
    <row r="1297" customFormat="false" ht="15.75" hidden="false" customHeight="true" outlineLevel="0" collapsed="false">
      <c r="A1297" s="30" t="n">
        <v>45323</v>
      </c>
      <c r="B1297" s="31" t="s">
        <v>11</v>
      </c>
      <c r="C1297" s="32"/>
      <c r="D1297" s="32"/>
      <c r="E1297" s="19" t="n">
        <f aca="false">+IF(C1297="EQUIPO",F1297,0)</f>
        <v>0</v>
      </c>
      <c r="F1297" s="33" t="n">
        <v>0</v>
      </c>
      <c r="G1297" s="62"/>
      <c r="H1297" s="35" t="n">
        <v>0</v>
      </c>
      <c r="I1297" s="34" t="n">
        <f aca="false">+IF(E1297=0,0,E1297*0.03)</f>
        <v>0</v>
      </c>
    </row>
    <row r="1298" customFormat="false" ht="15.75" hidden="false" customHeight="true" outlineLevel="0" collapsed="false">
      <c r="A1298" s="30" t="n">
        <v>45323</v>
      </c>
      <c r="B1298" s="31" t="s">
        <v>11</v>
      </c>
      <c r="C1298" s="32"/>
      <c r="D1298" s="32"/>
      <c r="E1298" s="19" t="n">
        <f aca="false">+IF(C1298="EQUIPO",F1298,0)</f>
        <v>0</v>
      </c>
      <c r="F1298" s="33" t="n">
        <v>0</v>
      </c>
      <c r="G1298" s="62"/>
      <c r="H1298" s="35" t="n">
        <v>0</v>
      </c>
      <c r="I1298" s="34" t="n">
        <f aca="false">+IF(E1298=0,0,E1298*0.03)</f>
        <v>0</v>
      </c>
    </row>
    <row r="1299" customFormat="false" ht="15.75" hidden="false" customHeight="true" outlineLevel="0" collapsed="false">
      <c r="A1299" s="30" t="n">
        <v>45323</v>
      </c>
      <c r="B1299" s="31" t="s">
        <v>11</v>
      </c>
      <c r="C1299" s="32"/>
      <c r="D1299" s="32"/>
      <c r="E1299" s="19" t="n">
        <f aca="false">+IF(C1299="EQUIPO",F1299,0)</f>
        <v>0</v>
      </c>
      <c r="F1299" s="33" t="n">
        <v>0</v>
      </c>
      <c r="G1299" s="62"/>
      <c r="H1299" s="35" t="n">
        <v>0</v>
      </c>
      <c r="I1299" s="34" t="n">
        <f aca="false">+IF(E1299=0,0,E1299*0.03)</f>
        <v>0</v>
      </c>
    </row>
    <row r="1300" customFormat="false" ht="15.75" hidden="false" customHeight="true" outlineLevel="0" collapsed="false">
      <c r="A1300" s="30" t="n">
        <v>45323</v>
      </c>
      <c r="B1300" s="31" t="s">
        <v>11</v>
      </c>
      <c r="C1300" s="32"/>
      <c r="D1300" s="32"/>
      <c r="E1300" s="19" t="n">
        <f aca="false">+IF(C1300="EQUIPO",F1300,0)</f>
        <v>0</v>
      </c>
      <c r="F1300" s="33" t="n">
        <v>0</v>
      </c>
      <c r="G1300" s="62"/>
      <c r="H1300" s="35" t="n">
        <v>0</v>
      </c>
      <c r="I1300" s="34" t="n">
        <f aca="false">+IF(E1300=0,0,E1300*0.03)</f>
        <v>0</v>
      </c>
    </row>
    <row r="1301" customFormat="false" ht="15.75" hidden="false" customHeight="true" outlineLevel="0" collapsed="false">
      <c r="A1301" s="30" t="n">
        <v>45323</v>
      </c>
      <c r="B1301" s="31" t="s">
        <v>11</v>
      </c>
      <c r="C1301" s="32"/>
      <c r="D1301" s="32"/>
      <c r="E1301" s="19" t="n">
        <f aca="false">+IF(C1301="EQUIPO",F1301,0)</f>
        <v>0</v>
      </c>
      <c r="F1301" s="33" t="n">
        <v>0</v>
      </c>
      <c r="G1301" s="62"/>
      <c r="H1301" s="35" t="n">
        <v>0</v>
      </c>
      <c r="I1301" s="34" t="n">
        <f aca="false">+IF(E1301=0,0,E1301*0.03)</f>
        <v>0</v>
      </c>
    </row>
    <row r="1302" customFormat="false" ht="15.75" hidden="false" customHeight="true" outlineLevel="0" collapsed="false">
      <c r="A1302" s="30" t="n">
        <v>45323</v>
      </c>
      <c r="B1302" s="31" t="s">
        <v>11</v>
      </c>
      <c r="C1302" s="32"/>
      <c r="D1302" s="32"/>
      <c r="E1302" s="19" t="n">
        <f aca="false">+IF(C1302="EQUIPO",F1302,0)</f>
        <v>0</v>
      </c>
      <c r="F1302" s="33" t="n">
        <v>0</v>
      </c>
      <c r="G1302" s="62"/>
      <c r="H1302" s="35" t="n">
        <v>0</v>
      </c>
      <c r="I1302" s="34" t="n">
        <f aca="false">+IF(E1302=0,0,E1302*0.03)</f>
        <v>0</v>
      </c>
    </row>
    <row r="1303" customFormat="false" ht="15.75" hidden="false" customHeight="true" outlineLevel="0" collapsed="false">
      <c r="A1303" s="30" t="n">
        <v>45323</v>
      </c>
      <c r="B1303" s="31" t="s">
        <v>11</v>
      </c>
      <c r="C1303" s="32"/>
      <c r="D1303" s="32"/>
      <c r="E1303" s="19" t="n">
        <f aca="false">+IF(C1303="EQUIPO",F1303,0)</f>
        <v>0</v>
      </c>
      <c r="F1303" s="33" t="n">
        <v>0</v>
      </c>
      <c r="G1303" s="62"/>
      <c r="H1303" s="35" t="n">
        <v>0</v>
      </c>
      <c r="I1303" s="34" t="n">
        <f aca="false">+IF(E1303=0,0,E1303*0.03)</f>
        <v>0</v>
      </c>
    </row>
    <row r="1304" customFormat="false" ht="15.75" hidden="false" customHeight="true" outlineLevel="0" collapsed="false">
      <c r="A1304" s="30" t="n">
        <v>45323</v>
      </c>
      <c r="B1304" s="31" t="s">
        <v>11</v>
      </c>
      <c r="C1304" s="32"/>
      <c r="D1304" s="32"/>
      <c r="E1304" s="19" t="n">
        <f aca="false">+IF(C1304="EQUIPO",F1304,0)</f>
        <v>0</v>
      </c>
      <c r="F1304" s="33" t="n">
        <v>0</v>
      </c>
      <c r="G1304" s="62"/>
      <c r="H1304" s="35" t="n">
        <v>0</v>
      </c>
      <c r="I1304" s="34" t="n">
        <f aca="false">+IF(E1304=0,0,E1304*0.03)</f>
        <v>0</v>
      </c>
    </row>
    <row r="1305" customFormat="false" ht="15.75" hidden="false" customHeight="true" outlineLevel="0" collapsed="false">
      <c r="A1305" s="30" t="n">
        <v>45323</v>
      </c>
      <c r="B1305" s="31" t="s">
        <v>11</v>
      </c>
      <c r="C1305" s="32"/>
      <c r="D1305" s="32"/>
      <c r="E1305" s="19" t="n">
        <f aca="false">+IF(C1305="EQUIPO",F1305,0)</f>
        <v>0</v>
      </c>
      <c r="F1305" s="33" t="n">
        <v>0</v>
      </c>
      <c r="G1305" s="62"/>
      <c r="H1305" s="35" t="n">
        <v>0</v>
      </c>
      <c r="I1305" s="34" t="n">
        <f aca="false">+IF(E1305=0,0,E1305*0.03)</f>
        <v>0</v>
      </c>
    </row>
    <row r="1306" customFormat="false" ht="15.75" hidden="false" customHeight="true" outlineLevel="0" collapsed="false">
      <c r="A1306" s="30" t="n">
        <v>45323</v>
      </c>
      <c r="B1306" s="31" t="s">
        <v>11</v>
      </c>
      <c r="C1306" s="32"/>
      <c r="D1306" s="32"/>
      <c r="E1306" s="19" t="n">
        <f aca="false">+IF(C1306="EQUIPO",F1306,0)</f>
        <v>0</v>
      </c>
      <c r="F1306" s="33" t="n">
        <v>0</v>
      </c>
      <c r="G1306" s="62"/>
      <c r="H1306" s="35" t="n">
        <v>0</v>
      </c>
      <c r="I1306" s="34" t="n">
        <f aca="false">+IF(E1306=0,0,E1306*0.03)</f>
        <v>0</v>
      </c>
    </row>
    <row r="1307" customFormat="false" ht="15.75" hidden="false" customHeight="true" outlineLevel="0" collapsed="false">
      <c r="A1307" s="30" t="n">
        <v>45323</v>
      </c>
      <c r="B1307" s="31" t="s">
        <v>11</v>
      </c>
      <c r="C1307" s="32"/>
      <c r="D1307" s="32"/>
      <c r="E1307" s="19" t="n">
        <f aca="false">+IF(C1307="EQUIPO",F1307,0)</f>
        <v>0</v>
      </c>
      <c r="F1307" s="33" t="n">
        <v>0</v>
      </c>
      <c r="G1307" s="62"/>
      <c r="H1307" s="35" t="n">
        <v>0</v>
      </c>
      <c r="I1307" s="34" t="n">
        <f aca="false">+IF(E1307=0,0,E1307*0.03)</f>
        <v>0</v>
      </c>
    </row>
    <row r="1308" customFormat="false" ht="15.75" hidden="false" customHeight="true" outlineLevel="0" collapsed="false">
      <c r="A1308" s="30" t="n">
        <v>45323</v>
      </c>
      <c r="B1308" s="31" t="s">
        <v>11</v>
      </c>
      <c r="C1308" s="32"/>
      <c r="D1308" s="32"/>
      <c r="E1308" s="19" t="n">
        <f aca="false">+IF(C1308="EQUIPO",F1308,0)</f>
        <v>0</v>
      </c>
      <c r="F1308" s="33" t="n">
        <v>0</v>
      </c>
      <c r="G1308" s="62"/>
      <c r="H1308" s="35" t="n">
        <v>0</v>
      </c>
      <c r="I1308" s="34" t="n">
        <f aca="false">+IF(E1308=0,0,E1308*0.03)</f>
        <v>0</v>
      </c>
    </row>
    <row r="1309" customFormat="false" ht="15.75" hidden="false" customHeight="true" outlineLevel="0" collapsed="false">
      <c r="A1309" s="30" t="n">
        <v>45323</v>
      </c>
      <c r="B1309" s="31" t="s">
        <v>11</v>
      </c>
      <c r="C1309" s="32"/>
      <c r="D1309" s="32"/>
      <c r="E1309" s="19" t="n">
        <f aca="false">+IF(C1309="EQUIPO",F1309,0)</f>
        <v>0</v>
      </c>
      <c r="F1309" s="33" t="n">
        <v>0</v>
      </c>
      <c r="G1309" s="62"/>
      <c r="H1309" s="35" t="n">
        <v>0</v>
      </c>
      <c r="I1309" s="34" t="n">
        <f aca="false">+IF(E1309=0,0,E1309*0.03)</f>
        <v>0</v>
      </c>
    </row>
    <row r="1310" customFormat="false" ht="15.75" hidden="false" customHeight="true" outlineLevel="0" collapsed="false">
      <c r="A1310" s="30" t="n">
        <v>45323</v>
      </c>
      <c r="B1310" s="31" t="s">
        <v>11</v>
      </c>
      <c r="C1310" s="32"/>
      <c r="D1310" s="32"/>
      <c r="E1310" s="19" t="n">
        <f aca="false">+IF(C1310="EQUIPO",F1310,0)</f>
        <v>0</v>
      </c>
      <c r="F1310" s="33" t="n">
        <v>0</v>
      </c>
      <c r="G1310" s="62"/>
      <c r="H1310" s="35" t="n">
        <v>0</v>
      </c>
      <c r="I1310" s="34" t="n">
        <f aca="false">+IF(E1310=0,0,E1310*0.03)</f>
        <v>0</v>
      </c>
    </row>
    <row r="1311" customFormat="false" ht="15.75" hidden="false" customHeight="true" outlineLevel="0" collapsed="false">
      <c r="A1311" s="30" t="n">
        <v>45323</v>
      </c>
      <c r="B1311" s="31" t="s">
        <v>11</v>
      </c>
      <c r="C1311" s="32"/>
      <c r="D1311" s="32"/>
      <c r="E1311" s="19" t="n">
        <f aca="false">+IF(C1311="EQUIPO",F1311,0)</f>
        <v>0</v>
      </c>
      <c r="F1311" s="33" t="n">
        <v>0</v>
      </c>
      <c r="G1311" s="62"/>
      <c r="H1311" s="35" t="n">
        <v>0</v>
      </c>
      <c r="I1311" s="34" t="n">
        <f aca="false">+IF(E1311=0,0,E1311*0.03)</f>
        <v>0</v>
      </c>
    </row>
    <row r="1312" customFormat="false" ht="15.75" hidden="false" customHeight="true" outlineLevel="0" collapsed="false">
      <c r="A1312" s="30" t="n">
        <v>45323</v>
      </c>
      <c r="B1312" s="31" t="s">
        <v>11</v>
      </c>
      <c r="C1312" s="32"/>
      <c r="D1312" s="32"/>
      <c r="E1312" s="19" t="n">
        <f aca="false">+IF(C1312="EQUIPO",F1312,0)</f>
        <v>0</v>
      </c>
      <c r="F1312" s="33" t="n">
        <v>0</v>
      </c>
      <c r="G1312" s="62"/>
      <c r="H1312" s="35" t="n">
        <v>0</v>
      </c>
      <c r="I1312" s="34" t="n">
        <f aca="false">+IF(E1312=0,0,E1312*0.03)</f>
        <v>0</v>
      </c>
    </row>
    <row r="1313" customFormat="false" ht="15.75" hidden="false" customHeight="true" outlineLevel="0" collapsed="false">
      <c r="A1313" s="30" t="n">
        <v>45323</v>
      </c>
      <c r="B1313" s="31" t="s">
        <v>11</v>
      </c>
      <c r="C1313" s="32"/>
      <c r="D1313" s="32"/>
      <c r="E1313" s="19" t="n">
        <f aca="false">+IF(C1313="EQUIPO",F1313,0)</f>
        <v>0</v>
      </c>
      <c r="F1313" s="33" t="n">
        <v>0</v>
      </c>
      <c r="G1313" s="62"/>
      <c r="H1313" s="35" t="n">
        <v>0</v>
      </c>
      <c r="I1313" s="34" t="n">
        <f aca="false">+IF(E1313=0,0,E1313*0.03)</f>
        <v>0</v>
      </c>
    </row>
    <row r="1314" customFormat="false" ht="15.75" hidden="false" customHeight="true" outlineLevel="0" collapsed="false">
      <c r="A1314" s="30" t="n">
        <v>45323</v>
      </c>
      <c r="B1314" s="31" t="s">
        <v>11</v>
      </c>
      <c r="C1314" s="32"/>
      <c r="D1314" s="32"/>
      <c r="E1314" s="19" t="n">
        <f aca="false">+IF(C1314="EQUIPO",F1314,0)</f>
        <v>0</v>
      </c>
      <c r="F1314" s="33" t="n">
        <v>0</v>
      </c>
      <c r="G1314" s="62"/>
      <c r="H1314" s="35" t="n">
        <v>0</v>
      </c>
      <c r="I1314" s="34" t="n">
        <f aca="false">+IF(E1314=0,0,E1314*0.03)</f>
        <v>0</v>
      </c>
    </row>
    <row r="1315" customFormat="false" ht="15.75" hidden="false" customHeight="true" outlineLevel="0" collapsed="false">
      <c r="A1315" s="30" t="n">
        <v>45323</v>
      </c>
      <c r="B1315" s="31" t="s">
        <v>11</v>
      </c>
      <c r="C1315" s="32"/>
      <c r="D1315" s="32"/>
      <c r="E1315" s="19" t="n">
        <f aca="false">+IF(C1315="EQUIPO",F1315,0)</f>
        <v>0</v>
      </c>
      <c r="F1315" s="33" t="n">
        <v>0</v>
      </c>
      <c r="G1315" s="62"/>
      <c r="H1315" s="35" t="n">
        <v>0</v>
      </c>
      <c r="I1315" s="34" t="n">
        <f aca="false">+IF(E1315=0,0,E1315*0.03)</f>
        <v>0</v>
      </c>
    </row>
    <row r="1316" customFormat="false" ht="15.75" hidden="false" customHeight="true" outlineLevel="0" collapsed="false">
      <c r="A1316" s="30" t="n">
        <v>45323</v>
      </c>
      <c r="B1316" s="31" t="s">
        <v>11</v>
      </c>
      <c r="C1316" s="32"/>
      <c r="D1316" s="32"/>
      <c r="E1316" s="19" t="n">
        <f aca="false">+IF(C1316="EQUIPO",F1316,0)</f>
        <v>0</v>
      </c>
      <c r="F1316" s="33" t="n">
        <v>0</v>
      </c>
      <c r="G1316" s="62"/>
      <c r="H1316" s="35" t="n">
        <v>0</v>
      </c>
      <c r="I1316" s="34" t="n">
        <f aca="false">+IF(E1316=0,0,E1316*0.03)</f>
        <v>0</v>
      </c>
    </row>
    <row r="1317" customFormat="false" ht="15.75" hidden="false" customHeight="true" outlineLevel="0" collapsed="false">
      <c r="A1317" s="30" t="n">
        <v>45323</v>
      </c>
      <c r="B1317" s="31" t="s">
        <v>11</v>
      </c>
      <c r="C1317" s="32"/>
      <c r="D1317" s="32"/>
      <c r="E1317" s="19" t="n">
        <f aca="false">+IF(C1317="EQUIPO",F1317,0)</f>
        <v>0</v>
      </c>
      <c r="F1317" s="33" t="n">
        <v>0</v>
      </c>
      <c r="G1317" s="62"/>
      <c r="H1317" s="35" t="n">
        <v>0</v>
      </c>
      <c r="I1317" s="34" t="n">
        <f aca="false">+IF(E1317=0,0,E1317*0.03)</f>
        <v>0</v>
      </c>
    </row>
    <row r="1318" customFormat="false" ht="15.75" hidden="false" customHeight="true" outlineLevel="0" collapsed="false">
      <c r="A1318" s="30" t="n">
        <v>45323</v>
      </c>
      <c r="B1318" s="31" t="s">
        <v>11</v>
      </c>
      <c r="C1318" s="32"/>
      <c r="D1318" s="32"/>
      <c r="E1318" s="19" t="n">
        <f aca="false">+IF(C1318="EQUIPO",F1318,0)</f>
        <v>0</v>
      </c>
      <c r="F1318" s="33" t="n">
        <v>0</v>
      </c>
      <c r="G1318" s="62"/>
      <c r="H1318" s="35" t="n">
        <v>0</v>
      </c>
      <c r="I1318" s="34" t="n">
        <f aca="false">+IF(E1318=0,0,E1318*0.03)</f>
        <v>0</v>
      </c>
    </row>
    <row r="1319" customFormat="false" ht="15.75" hidden="false" customHeight="true" outlineLevel="0" collapsed="false">
      <c r="A1319" s="30" t="n">
        <v>45323</v>
      </c>
      <c r="B1319" s="31" t="s">
        <v>11</v>
      </c>
      <c r="C1319" s="32"/>
      <c r="D1319" s="32"/>
      <c r="E1319" s="19" t="n">
        <f aca="false">+IF(C1319="EQUIPO",F1319,0)</f>
        <v>0</v>
      </c>
      <c r="F1319" s="33" t="n">
        <v>0</v>
      </c>
      <c r="G1319" s="62"/>
      <c r="H1319" s="35" t="n">
        <v>0</v>
      </c>
      <c r="I1319" s="34" t="n">
        <f aca="false">+IF(E1319=0,0,E1319*0.03)</f>
        <v>0</v>
      </c>
    </row>
    <row r="1320" customFormat="false" ht="15.75" hidden="false" customHeight="true" outlineLevel="0" collapsed="false">
      <c r="A1320" s="30" t="n">
        <v>45323</v>
      </c>
      <c r="B1320" s="31" t="s">
        <v>11</v>
      </c>
      <c r="C1320" s="32"/>
      <c r="D1320" s="32"/>
      <c r="E1320" s="19" t="n">
        <f aca="false">+IF(C1320="EQUIPO",F1320,0)</f>
        <v>0</v>
      </c>
      <c r="F1320" s="33" t="n">
        <v>0</v>
      </c>
      <c r="G1320" s="62"/>
      <c r="H1320" s="35" t="n">
        <v>0</v>
      </c>
      <c r="I1320" s="34" t="n">
        <f aca="false">+IF(E1320=0,0,E1320*0.03)</f>
        <v>0</v>
      </c>
    </row>
    <row r="1321" customFormat="false" ht="15.75" hidden="false" customHeight="true" outlineLevel="0" collapsed="false">
      <c r="A1321" s="30" t="n">
        <v>45323</v>
      </c>
      <c r="B1321" s="31" t="s">
        <v>11</v>
      </c>
      <c r="C1321" s="32"/>
      <c r="D1321" s="32"/>
      <c r="E1321" s="19" t="n">
        <f aca="false">+IF(C1321="EQUIPO",F1321,0)</f>
        <v>0</v>
      </c>
      <c r="F1321" s="33" t="n">
        <v>0</v>
      </c>
      <c r="G1321" s="62"/>
      <c r="H1321" s="35" t="n">
        <v>0</v>
      </c>
      <c r="I1321" s="34" t="n">
        <f aca="false">+IF(E1321=0,0,E1321*0.03)</f>
        <v>0</v>
      </c>
    </row>
    <row r="1322" customFormat="false" ht="15.75" hidden="false" customHeight="true" outlineLevel="0" collapsed="false">
      <c r="A1322" s="30" t="n">
        <v>45323</v>
      </c>
      <c r="B1322" s="31" t="s">
        <v>11</v>
      </c>
      <c r="C1322" s="32"/>
      <c r="D1322" s="32"/>
      <c r="E1322" s="19" t="n">
        <f aca="false">+IF(C1322="EQUIPO",F1322,0)</f>
        <v>0</v>
      </c>
      <c r="F1322" s="33" t="n">
        <v>0</v>
      </c>
      <c r="G1322" s="62"/>
      <c r="H1322" s="35" t="n">
        <v>0</v>
      </c>
      <c r="I1322" s="34" t="n">
        <f aca="false">+IF(E1322=0,0,E1322*0.03)</f>
        <v>0</v>
      </c>
    </row>
    <row r="1323" customFormat="false" ht="15.75" hidden="false" customHeight="true" outlineLevel="0" collapsed="false">
      <c r="A1323" s="30" t="n">
        <v>45323</v>
      </c>
      <c r="B1323" s="31" t="s">
        <v>11</v>
      </c>
      <c r="C1323" s="32"/>
      <c r="D1323" s="32"/>
      <c r="E1323" s="19" t="n">
        <f aca="false">+IF(C1323="EQUIPO",F1323,0)</f>
        <v>0</v>
      </c>
      <c r="F1323" s="33" t="n">
        <v>0</v>
      </c>
      <c r="G1323" s="62"/>
      <c r="H1323" s="35" t="n">
        <v>0</v>
      </c>
      <c r="I1323" s="34" t="n">
        <f aca="false">+IF(E1323=0,0,E1323*0.03)</f>
        <v>0</v>
      </c>
    </row>
    <row r="1324" customFormat="false" ht="15.75" hidden="false" customHeight="true" outlineLevel="0" collapsed="false">
      <c r="A1324" s="30" t="n">
        <v>45323</v>
      </c>
      <c r="B1324" s="31" t="s">
        <v>11</v>
      </c>
      <c r="C1324" s="32"/>
      <c r="D1324" s="32"/>
      <c r="E1324" s="19" t="n">
        <f aca="false">+IF(C1324="EQUIPO",F1324,0)</f>
        <v>0</v>
      </c>
      <c r="F1324" s="33" t="n">
        <v>0</v>
      </c>
      <c r="G1324" s="62"/>
      <c r="H1324" s="35" t="n">
        <v>0</v>
      </c>
      <c r="I1324" s="34" t="n">
        <f aca="false">+IF(E1324=0,0,E1324*0.03)</f>
        <v>0</v>
      </c>
    </row>
    <row r="1325" customFormat="false" ht="15.75" hidden="false" customHeight="true" outlineLevel="0" collapsed="false">
      <c r="A1325" s="30" t="n">
        <v>45323</v>
      </c>
      <c r="B1325" s="31" t="s">
        <v>11</v>
      </c>
      <c r="C1325" s="32"/>
      <c r="D1325" s="32"/>
      <c r="E1325" s="19" t="n">
        <f aca="false">+IF(C1325="EQUIPO",F1325,0)</f>
        <v>0</v>
      </c>
      <c r="F1325" s="33" t="n">
        <v>0</v>
      </c>
      <c r="G1325" s="62"/>
      <c r="H1325" s="35" t="n">
        <v>0</v>
      </c>
      <c r="I1325" s="34" t="n">
        <f aca="false">+IF(E1325=0,0,E1325*0.03)</f>
        <v>0</v>
      </c>
    </row>
    <row r="1326" customFormat="false" ht="15.75" hidden="false" customHeight="true" outlineLevel="0" collapsed="false">
      <c r="A1326" s="30" t="n">
        <v>45323</v>
      </c>
      <c r="B1326" s="31" t="s">
        <v>11</v>
      </c>
      <c r="C1326" s="32"/>
      <c r="D1326" s="32"/>
      <c r="E1326" s="19" t="n">
        <f aca="false">+IF(C1326="EQUIPO",F1326,0)</f>
        <v>0</v>
      </c>
      <c r="F1326" s="33" t="n">
        <v>0</v>
      </c>
      <c r="G1326" s="62"/>
      <c r="H1326" s="35" t="n">
        <v>0</v>
      </c>
      <c r="I1326" s="34" t="n">
        <f aca="false">+IF(E1326=0,0,E1326*0.03)</f>
        <v>0</v>
      </c>
    </row>
    <row r="1327" customFormat="false" ht="15.75" hidden="false" customHeight="true" outlineLevel="0" collapsed="false">
      <c r="A1327" s="30" t="n">
        <v>45323</v>
      </c>
      <c r="B1327" s="31" t="s">
        <v>11</v>
      </c>
      <c r="C1327" s="32"/>
      <c r="D1327" s="32"/>
      <c r="E1327" s="19" t="n">
        <f aca="false">+IF(C1327="EQUIPO",F1327,0)</f>
        <v>0</v>
      </c>
      <c r="F1327" s="33" t="n">
        <v>0</v>
      </c>
      <c r="G1327" s="62"/>
      <c r="H1327" s="35" t="n">
        <v>0</v>
      </c>
      <c r="I1327" s="34" t="n">
        <f aca="false">+IF(E1327=0,0,E1327*0.03)</f>
        <v>0</v>
      </c>
    </row>
    <row r="1328" customFormat="false" ht="15.75" hidden="false" customHeight="true" outlineLevel="0" collapsed="false">
      <c r="A1328" s="30" t="n">
        <v>45323</v>
      </c>
      <c r="B1328" s="31" t="s">
        <v>11</v>
      </c>
      <c r="C1328" s="32"/>
      <c r="D1328" s="32"/>
      <c r="E1328" s="19" t="n">
        <f aca="false">+IF(C1328="EQUIPO",F1328,0)</f>
        <v>0</v>
      </c>
      <c r="F1328" s="33" t="n">
        <v>0</v>
      </c>
      <c r="G1328" s="62"/>
      <c r="H1328" s="35" t="n">
        <v>0</v>
      </c>
      <c r="I1328" s="34" t="n">
        <f aca="false">+IF(E1328=0,0,E1328*0.03)</f>
        <v>0</v>
      </c>
    </row>
    <row r="1329" customFormat="false" ht="15.75" hidden="false" customHeight="true" outlineLevel="0" collapsed="false">
      <c r="A1329" s="30" t="n">
        <v>45323</v>
      </c>
      <c r="B1329" s="31" t="s">
        <v>11</v>
      </c>
      <c r="C1329" s="32"/>
      <c r="D1329" s="32"/>
      <c r="E1329" s="19" t="n">
        <f aca="false">+IF(C1329="EQUIPO",F1329,0)</f>
        <v>0</v>
      </c>
      <c r="F1329" s="33" t="n">
        <v>0</v>
      </c>
      <c r="G1329" s="62"/>
      <c r="H1329" s="35" t="n">
        <v>0</v>
      </c>
      <c r="I1329" s="34" t="n">
        <f aca="false">+IF(E1329=0,0,E1329*0.03)</f>
        <v>0</v>
      </c>
    </row>
    <row r="1330" customFormat="false" ht="15.75" hidden="false" customHeight="true" outlineLevel="0" collapsed="false">
      <c r="A1330" s="30" t="n">
        <v>45323</v>
      </c>
      <c r="B1330" s="31" t="s">
        <v>11</v>
      </c>
      <c r="C1330" s="32"/>
      <c r="D1330" s="32"/>
      <c r="E1330" s="19" t="n">
        <f aca="false">+IF(C1330="EQUIPO",F1330,0)</f>
        <v>0</v>
      </c>
      <c r="F1330" s="33" t="n">
        <v>0</v>
      </c>
      <c r="G1330" s="62"/>
      <c r="H1330" s="35" t="n">
        <v>0</v>
      </c>
      <c r="I1330" s="34" t="n">
        <f aca="false">+IF(E1330=0,0,E1330*0.03)</f>
        <v>0</v>
      </c>
    </row>
    <row r="1331" customFormat="false" ht="15.75" hidden="false" customHeight="true" outlineLevel="0" collapsed="false">
      <c r="A1331" s="30" t="n">
        <v>45323</v>
      </c>
      <c r="B1331" s="31" t="s">
        <v>11</v>
      </c>
      <c r="C1331" s="32"/>
      <c r="D1331" s="32"/>
      <c r="E1331" s="19" t="n">
        <f aca="false">+IF(C1331="EQUIPO",F1331,0)</f>
        <v>0</v>
      </c>
      <c r="F1331" s="33" t="n">
        <v>0</v>
      </c>
      <c r="G1331" s="62"/>
      <c r="H1331" s="35" t="n">
        <v>0</v>
      </c>
      <c r="I1331" s="34" t="n">
        <f aca="false">+IF(E1331=0,0,E1331*0.03)</f>
        <v>0</v>
      </c>
    </row>
    <row r="1332" customFormat="false" ht="15.75" hidden="false" customHeight="true" outlineLevel="0" collapsed="false">
      <c r="A1332" s="30" t="n">
        <v>45323</v>
      </c>
      <c r="B1332" s="31" t="s">
        <v>11</v>
      </c>
      <c r="C1332" s="32"/>
      <c r="D1332" s="32"/>
      <c r="E1332" s="19" t="n">
        <f aca="false">+IF(C1332="EQUIPO",F1332,0)</f>
        <v>0</v>
      </c>
      <c r="F1332" s="33" t="n">
        <v>0</v>
      </c>
      <c r="G1332" s="62"/>
      <c r="H1332" s="35" t="n">
        <v>0</v>
      </c>
      <c r="I1332" s="34" t="n">
        <f aca="false">+IF(E1332=0,0,E1332*0.03)</f>
        <v>0</v>
      </c>
    </row>
    <row r="1333" customFormat="false" ht="15.75" hidden="false" customHeight="true" outlineLevel="0" collapsed="false">
      <c r="A1333" s="30" t="n">
        <v>45323</v>
      </c>
      <c r="B1333" s="31" t="s">
        <v>11</v>
      </c>
      <c r="C1333" s="32"/>
      <c r="D1333" s="32"/>
      <c r="E1333" s="19" t="n">
        <f aca="false">+IF(C1333="EQUIPO",F1333,0)</f>
        <v>0</v>
      </c>
      <c r="F1333" s="33" t="n">
        <v>0</v>
      </c>
      <c r="G1333" s="62"/>
      <c r="H1333" s="35" t="n">
        <v>0</v>
      </c>
      <c r="I1333" s="34" t="n">
        <f aca="false">+IF(E1333=0,0,E1333*0.03)</f>
        <v>0</v>
      </c>
    </row>
    <row r="1334" customFormat="false" ht="15.75" hidden="false" customHeight="true" outlineLevel="0" collapsed="false">
      <c r="A1334" s="30" t="n">
        <v>45323</v>
      </c>
      <c r="B1334" s="31" t="s">
        <v>11</v>
      </c>
      <c r="C1334" s="32"/>
      <c r="D1334" s="32"/>
      <c r="E1334" s="19" t="n">
        <f aca="false">+IF(C1334="EQUIPO",F1334,0)</f>
        <v>0</v>
      </c>
      <c r="F1334" s="33" t="n">
        <v>0</v>
      </c>
      <c r="G1334" s="62"/>
      <c r="H1334" s="35" t="n">
        <v>0</v>
      </c>
      <c r="I1334" s="34" t="n">
        <f aca="false">+IF(E1334=0,0,E1334*0.03)</f>
        <v>0</v>
      </c>
    </row>
    <row r="1335" customFormat="false" ht="15.75" hidden="false" customHeight="true" outlineLevel="0" collapsed="false">
      <c r="A1335" s="30" t="n">
        <v>45323</v>
      </c>
      <c r="B1335" s="31" t="s">
        <v>11</v>
      </c>
      <c r="C1335" s="32"/>
      <c r="D1335" s="32"/>
      <c r="E1335" s="19" t="n">
        <f aca="false">+IF(C1335="EQUIPO",F1335,0)</f>
        <v>0</v>
      </c>
      <c r="F1335" s="33" t="n">
        <v>0</v>
      </c>
      <c r="G1335" s="62"/>
      <c r="H1335" s="35" t="n">
        <v>0</v>
      </c>
      <c r="I1335" s="34" t="n">
        <f aca="false">+IF(E1335=0,0,E1335*0.03)</f>
        <v>0</v>
      </c>
    </row>
    <row r="1336" customFormat="false" ht="15.75" hidden="false" customHeight="true" outlineLevel="0" collapsed="false">
      <c r="A1336" s="30" t="n">
        <v>45323</v>
      </c>
      <c r="B1336" s="31" t="s">
        <v>11</v>
      </c>
      <c r="C1336" s="32"/>
      <c r="D1336" s="32"/>
      <c r="E1336" s="19" t="n">
        <f aca="false">+IF(C1336="EQUIPO",F1336,0)</f>
        <v>0</v>
      </c>
      <c r="F1336" s="33" t="n">
        <v>0</v>
      </c>
      <c r="G1336" s="62"/>
      <c r="H1336" s="35" t="n">
        <v>0</v>
      </c>
      <c r="I1336" s="34" t="n">
        <f aca="false">+IF(E1336=0,0,E1336*0.03)</f>
        <v>0</v>
      </c>
    </row>
    <row r="1337" customFormat="false" ht="15.75" hidden="false" customHeight="true" outlineLevel="0" collapsed="false">
      <c r="A1337" s="30" t="n">
        <v>45323</v>
      </c>
      <c r="B1337" s="31" t="s">
        <v>11</v>
      </c>
      <c r="C1337" s="32"/>
      <c r="D1337" s="32"/>
      <c r="E1337" s="19" t="n">
        <f aca="false">+IF(C1337="EQUIPO",F1337,0)</f>
        <v>0</v>
      </c>
      <c r="F1337" s="33" t="n">
        <v>0</v>
      </c>
      <c r="G1337" s="62"/>
      <c r="H1337" s="35" t="n">
        <v>0</v>
      </c>
      <c r="I1337" s="34" t="n">
        <f aca="false">+IF(E1337=0,0,E1337*0.03)</f>
        <v>0</v>
      </c>
    </row>
    <row r="1338" customFormat="false" ht="15.75" hidden="false" customHeight="true" outlineLevel="0" collapsed="false">
      <c r="A1338" s="30" t="n">
        <v>45323</v>
      </c>
      <c r="B1338" s="31" t="s">
        <v>11</v>
      </c>
      <c r="C1338" s="32"/>
      <c r="D1338" s="32"/>
      <c r="E1338" s="19" t="n">
        <f aca="false">+IF(C1338="EQUIPO",F1338,0)</f>
        <v>0</v>
      </c>
      <c r="F1338" s="33" t="n">
        <v>0</v>
      </c>
      <c r="G1338" s="62"/>
      <c r="H1338" s="35" t="n">
        <v>0</v>
      </c>
      <c r="I1338" s="34" t="n">
        <f aca="false">+IF(E1338=0,0,E1338*0.03)</f>
        <v>0</v>
      </c>
    </row>
    <row r="1339" customFormat="false" ht="15.75" hidden="false" customHeight="true" outlineLevel="0" collapsed="false">
      <c r="A1339" s="30" t="n">
        <v>45323</v>
      </c>
      <c r="B1339" s="31" t="s">
        <v>11</v>
      </c>
      <c r="C1339" s="32"/>
      <c r="D1339" s="32"/>
      <c r="E1339" s="19" t="n">
        <f aca="false">+IF(C1339="EQUIPO",F1339,0)</f>
        <v>0</v>
      </c>
      <c r="F1339" s="33" t="n">
        <v>0</v>
      </c>
      <c r="G1339" s="62"/>
      <c r="H1339" s="35" t="n">
        <v>0</v>
      </c>
      <c r="I1339" s="34" t="n">
        <f aca="false">+IF(E1339=0,0,E1339*0.03)</f>
        <v>0</v>
      </c>
    </row>
    <row r="1340" customFormat="false" ht="15.75" hidden="false" customHeight="true" outlineLevel="0" collapsed="false">
      <c r="A1340" s="30" t="n">
        <v>45323</v>
      </c>
      <c r="B1340" s="31" t="s">
        <v>11</v>
      </c>
      <c r="C1340" s="32"/>
      <c r="D1340" s="32"/>
      <c r="E1340" s="19" t="n">
        <f aca="false">+IF(C1340="EQUIPO",F1340,0)</f>
        <v>0</v>
      </c>
      <c r="F1340" s="33" t="n">
        <v>0</v>
      </c>
      <c r="G1340" s="62"/>
      <c r="H1340" s="35" t="n">
        <v>0</v>
      </c>
      <c r="I1340" s="34" t="n">
        <f aca="false">+IF(E1340=0,0,E1340*0.03)</f>
        <v>0</v>
      </c>
    </row>
    <row r="1341" customFormat="false" ht="15.75" hidden="false" customHeight="true" outlineLevel="0" collapsed="false">
      <c r="A1341" s="30" t="n">
        <v>45323</v>
      </c>
      <c r="B1341" s="31" t="s">
        <v>11</v>
      </c>
      <c r="C1341" s="32"/>
      <c r="D1341" s="32"/>
      <c r="E1341" s="19" t="n">
        <f aca="false">+IF(C1341="EQUIPO",F1341,0)</f>
        <v>0</v>
      </c>
      <c r="F1341" s="33" t="n">
        <v>0</v>
      </c>
      <c r="G1341" s="62"/>
      <c r="H1341" s="35" t="n">
        <v>0</v>
      </c>
      <c r="I1341" s="34" t="n">
        <f aca="false">+IF(E1341=0,0,E1341*0.03)</f>
        <v>0</v>
      </c>
    </row>
    <row r="1342" customFormat="false" ht="15.75" hidden="false" customHeight="true" outlineLevel="0" collapsed="false">
      <c r="A1342" s="30" t="n">
        <v>45323</v>
      </c>
      <c r="B1342" s="31" t="s">
        <v>11</v>
      </c>
      <c r="C1342" s="32"/>
      <c r="D1342" s="32"/>
      <c r="E1342" s="19" t="n">
        <f aca="false">+IF(C1342="EQUIPO",F1342,0)</f>
        <v>0</v>
      </c>
      <c r="F1342" s="33" t="n">
        <v>0</v>
      </c>
      <c r="G1342" s="62"/>
      <c r="H1342" s="35" t="n">
        <v>0</v>
      </c>
      <c r="I1342" s="34" t="n">
        <f aca="false">+IF(E1342=0,0,E1342*0.03)</f>
        <v>0</v>
      </c>
    </row>
    <row r="1343" customFormat="false" ht="15.75" hidden="false" customHeight="true" outlineLevel="0" collapsed="false">
      <c r="A1343" s="30" t="n">
        <v>45323</v>
      </c>
      <c r="B1343" s="31" t="s">
        <v>11</v>
      </c>
      <c r="C1343" s="32"/>
      <c r="D1343" s="32"/>
      <c r="E1343" s="19" t="n">
        <f aca="false">+IF(C1343="EQUIPO",F1343,0)</f>
        <v>0</v>
      </c>
      <c r="F1343" s="33" t="n">
        <v>0</v>
      </c>
      <c r="G1343" s="62"/>
      <c r="H1343" s="35" t="n">
        <v>0</v>
      </c>
      <c r="I1343" s="34" t="n">
        <f aca="false">+IF(E1343=0,0,E1343*0.03)</f>
        <v>0</v>
      </c>
    </row>
    <row r="1344" customFormat="false" ht="15.75" hidden="false" customHeight="true" outlineLevel="0" collapsed="false">
      <c r="A1344" s="30" t="n">
        <v>45323</v>
      </c>
      <c r="B1344" s="31" t="s">
        <v>11</v>
      </c>
      <c r="C1344" s="32"/>
      <c r="D1344" s="32"/>
      <c r="E1344" s="19" t="n">
        <f aca="false">+IF(C1344="EQUIPO",F1344,0)</f>
        <v>0</v>
      </c>
      <c r="F1344" s="33" t="n">
        <v>0</v>
      </c>
      <c r="G1344" s="62"/>
      <c r="H1344" s="35" t="n">
        <v>0</v>
      </c>
      <c r="I1344" s="34" t="n">
        <f aca="false">+IF(E1344=0,0,E1344*0.03)</f>
        <v>0</v>
      </c>
    </row>
    <row r="1345" customFormat="false" ht="15.75" hidden="false" customHeight="true" outlineLevel="0" collapsed="false">
      <c r="A1345" s="30" t="n">
        <v>45323</v>
      </c>
      <c r="B1345" s="31" t="s">
        <v>11</v>
      </c>
      <c r="C1345" s="32"/>
      <c r="D1345" s="32"/>
      <c r="E1345" s="19" t="n">
        <f aca="false">+IF(C1345="EQUIPO",F1345,0)</f>
        <v>0</v>
      </c>
      <c r="F1345" s="33" t="n">
        <v>0</v>
      </c>
      <c r="G1345" s="62"/>
      <c r="H1345" s="35" t="n">
        <v>0</v>
      </c>
      <c r="I1345" s="34" t="n">
        <f aca="false">+IF(E1345=0,0,E1345*0.03)</f>
        <v>0</v>
      </c>
    </row>
    <row r="1346" customFormat="false" ht="15.75" hidden="false" customHeight="true" outlineLevel="0" collapsed="false">
      <c r="A1346" s="30" t="n">
        <v>45323</v>
      </c>
      <c r="B1346" s="31" t="s">
        <v>11</v>
      </c>
      <c r="C1346" s="32"/>
      <c r="D1346" s="32"/>
      <c r="E1346" s="19" t="n">
        <f aca="false">+IF(C1346="EQUIPO",F1346,0)</f>
        <v>0</v>
      </c>
      <c r="F1346" s="33" t="n">
        <v>0</v>
      </c>
      <c r="G1346" s="62"/>
      <c r="H1346" s="35" t="n">
        <v>0</v>
      </c>
      <c r="I1346" s="34" t="n">
        <f aca="false">+IF(E1346=0,0,E1346*0.03)</f>
        <v>0</v>
      </c>
    </row>
    <row r="1347" customFormat="false" ht="15.75" hidden="false" customHeight="true" outlineLevel="0" collapsed="false">
      <c r="A1347" s="30" t="n">
        <v>45323</v>
      </c>
      <c r="B1347" s="31" t="s">
        <v>11</v>
      </c>
      <c r="C1347" s="32"/>
      <c r="D1347" s="32"/>
      <c r="E1347" s="19" t="n">
        <f aca="false">+IF(C1347="EQUIPO",F1347,0)</f>
        <v>0</v>
      </c>
      <c r="F1347" s="33" t="n">
        <v>0</v>
      </c>
      <c r="G1347" s="62"/>
      <c r="H1347" s="35" t="n">
        <v>0</v>
      </c>
      <c r="I1347" s="34" t="n">
        <f aca="false">+IF(E1347=0,0,E1347*0.03)</f>
        <v>0</v>
      </c>
    </row>
    <row r="1348" customFormat="false" ht="15.75" hidden="false" customHeight="true" outlineLevel="0" collapsed="false">
      <c r="A1348" s="30" t="n">
        <v>45323</v>
      </c>
      <c r="B1348" s="31" t="s">
        <v>11</v>
      </c>
      <c r="C1348" s="32"/>
      <c r="D1348" s="32"/>
      <c r="E1348" s="19" t="n">
        <f aca="false">+IF(C1348="EQUIPO",F1348,0)</f>
        <v>0</v>
      </c>
      <c r="F1348" s="33" t="n">
        <v>0</v>
      </c>
      <c r="G1348" s="62"/>
      <c r="H1348" s="35" t="n">
        <v>0</v>
      </c>
      <c r="I1348" s="34" t="n">
        <f aca="false">+IF(E1348=0,0,E1348*0.03)</f>
        <v>0</v>
      </c>
    </row>
    <row r="1349" customFormat="false" ht="15.75" hidden="false" customHeight="true" outlineLevel="0" collapsed="false">
      <c r="A1349" s="30" t="n">
        <v>45323</v>
      </c>
      <c r="B1349" s="31" t="s">
        <v>11</v>
      </c>
      <c r="C1349" s="32"/>
      <c r="D1349" s="32"/>
      <c r="E1349" s="19" t="n">
        <f aca="false">+IF(C1349="EQUIPO",F1349,0)</f>
        <v>0</v>
      </c>
      <c r="F1349" s="33" t="n">
        <v>0</v>
      </c>
      <c r="G1349" s="62"/>
      <c r="H1349" s="35" t="n">
        <v>0</v>
      </c>
      <c r="I1349" s="34" t="n">
        <f aca="false">+IF(E1349=0,0,E1349*0.03)</f>
        <v>0</v>
      </c>
    </row>
    <row r="1350" customFormat="false" ht="15.75" hidden="false" customHeight="true" outlineLevel="0" collapsed="false">
      <c r="A1350" s="30" t="n">
        <v>45323</v>
      </c>
      <c r="B1350" s="31" t="s">
        <v>11</v>
      </c>
      <c r="C1350" s="32"/>
      <c r="D1350" s="32"/>
      <c r="E1350" s="19" t="n">
        <f aca="false">+IF(C1350="EQUIPO",F1350,0)</f>
        <v>0</v>
      </c>
      <c r="F1350" s="33" t="n">
        <v>0</v>
      </c>
      <c r="G1350" s="62"/>
      <c r="H1350" s="35" t="n">
        <v>0</v>
      </c>
      <c r="I1350" s="34" t="n">
        <f aca="false">+IF(E1350=0,0,E1350*0.03)</f>
        <v>0</v>
      </c>
    </row>
    <row r="1351" customFormat="false" ht="15.75" hidden="false" customHeight="true" outlineLevel="0" collapsed="false">
      <c r="A1351" s="30" t="n">
        <v>45323</v>
      </c>
      <c r="B1351" s="31" t="s">
        <v>11</v>
      </c>
      <c r="C1351" s="32"/>
      <c r="D1351" s="32"/>
      <c r="E1351" s="19" t="n">
        <f aca="false">+IF(C1351="EQUIPO",F1351,0)</f>
        <v>0</v>
      </c>
      <c r="F1351" s="33" t="n">
        <v>0</v>
      </c>
      <c r="G1351" s="62"/>
      <c r="H1351" s="35" t="n">
        <v>0</v>
      </c>
      <c r="I1351" s="34" t="n">
        <f aca="false">+IF(E1351=0,0,E1351*0.03)</f>
        <v>0</v>
      </c>
    </row>
    <row r="1352" customFormat="false" ht="15.75" hidden="false" customHeight="true" outlineLevel="0" collapsed="false">
      <c r="A1352" s="30" t="n">
        <v>45323</v>
      </c>
      <c r="B1352" s="31" t="s">
        <v>11</v>
      </c>
      <c r="C1352" s="32"/>
      <c r="D1352" s="32"/>
      <c r="E1352" s="19" t="n">
        <f aca="false">+IF(C1352="EQUIPO",F1352,0)</f>
        <v>0</v>
      </c>
      <c r="F1352" s="33" t="n">
        <v>0</v>
      </c>
      <c r="G1352" s="62"/>
      <c r="H1352" s="35" t="n">
        <v>0</v>
      </c>
      <c r="I1352" s="34" t="n">
        <f aca="false">+IF(E1352=0,0,E1352*0.03)</f>
        <v>0</v>
      </c>
    </row>
    <row r="1353" customFormat="false" ht="15.75" hidden="false" customHeight="true" outlineLevel="0" collapsed="false">
      <c r="A1353" s="30" t="n">
        <v>45323</v>
      </c>
      <c r="B1353" s="31" t="s">
        <v>11</v>
      </c>
      <c r="C1353" s="32"/>
      <c r="D1353" s="32"/>
      <c r="E1353" s="19" t="n">
        <f aca="false">+IF(C1353="EQUIPO",F1353,0)</f>
        <v>0</v>
      </c>
      <c r="F1353" s="33" t="n">
        <v>0</v>
      </c>
      <c r="G1353" s="62"/>
      <c r="H1353" s="35" t="n">
        <v>0</v>
      </c>
      <c r="I1353" s="34" t="n">
        <f aca="false">+IF(E1353=0,0,E1353*0.03)</f>
        <v>0</v>
      </c>
    </row>
    <row r="1354" customFormat="false" ht="15.75" hidden="false" customHeight="true" outlineLevel="0" collapsed="false">
      <c r="A1354" s="30" t="n">
        <v>45323</v>
      </c>
      <c r="B1354" s="31" t="s">
        <v>11</v>
      </c>
      <c r="C1354" s="32"/>
      <c r="D1354" s="32"/>
      <c r="E1354" s="19" t="n">
        <f aca="false">+IF(C1354="EQUIPO",F1354,0)</f>
        <v>0</v>
      </c>
      <c r="F1354" s="33" t="n">
        <v>0</v>
      </c>
      <c r="G1354" s="62"/>
      <c r="H1354" s="35" t="n">
        <v>0</v>
      </c>
      <c r="I1354" s="34" t="n">
        <f aca="false">+IF(E1354=0,0,E1354*0.03)</f>
        <v>0</v>
      </c>
    </row>
    <row r="1355" customFormat="false" ht="15.75" hidden="false" customHeight="true" outlineLevel="0" collapsed="false">
      <c r="A1355" s="30" t="n">
        <v>45323</v>
      </c>
      <c r="B1355" s="31" t="s">
        <v>11</v>
      </c>
      <c r="C1355" s="32"/>
      <c r="D1355" s="32"/>
      <c r="E1355" s="19" t="n">
        <f aca="false">+IF(C1355="EQUIPO",F1355,0)</f>
        <v>0</v>
      </c>
      <c r="F1355" s="33" t="n">
        <v>0</v>
      </c>
      <c r="G1355" s="62"/>
      <c r="H1355" s="35" t="n">
        <v>0</v>
      </c>
      <c r="I1355" s="34" t="n">
        <f aca="false">+IF(E1355=0,0,E1355*0.03)</f>
        <v>0</v>
      </c>
    </row>
    <row r="1356" customFormat="false" ht="15.75" hidden="false" customHeight="true" outlineLevel="0" collapsed="false">
      <c r="A1356" s="30" t="n">
        <v>45323</v>
      </c>
      <c r="B1356" s="31" t="s">
        <v>11</v>
      </c>
      <c r="C1356" s="32"/>
      <c r="D1356" s="32"/>
      <c r="E1356" s="19" t="n">
        <f aca="false">+IF(C1356="EQUIPO",F1356,0)</f>
        <v>0</v>
      </c>
      <c r="F1356" s="33" t="n">
        <v>0</v>
      </c>
      <c r="G1356" s="62"/>
      <c r="H1356" s="35" t="n">
        <v>0</v>
      </c>
      <c r="I1356" s="34" t="n">
        <f aca="false">+IF(E1356=0,0,E1356*0.03)</f>
        <v>0</v>
      </c>
    </row>
    <row r="1357" customFormat="false" ht="15.75" hidden="false" customHeight="true" outlineLevel="0" collapsed="false">
      <c r="A1357" s="30" t="n">
        <v>45323</v>
      </c>
      <c r="B1357" s="31" t="s">
        <v>11</v>
      </c>
      <c r="C1357" s="32"/>
      <c r="D1357" s="32"/>
      <c r="E1357" s="19" t="n">
        <f aca="false">+IF(C1357="EQUIPO",F1357,0)</f>
        <v>0</v>
      </c>
      <c r="F1357" s="33" t="n">
        <v>0</v>
      </c>
      <c r="G1357" s="62"/>
      <c r="H1357" s="35" t="n">
        <v>0</v>
      </c>
      <c r="I1357" s="34" t="n">
        <f aca="false">+IF(E1357=0,0,E1357*0.03)</f>
        <v>0</v>
      </c>
    </row>
    <row r="1358" customFormat="false" ht="15.75" hidden="false" customHeight="true" outlineLevel="0" collapsed="false">
      <c r="A1358" s="30" t="n">
        <v>45323</v>
      </c>
      <c r="B1358" s="31" t="s">
        <v>11</v>
      </c>
      <c r="C1358" s="32"/>
      <c r="D1358" s="32"/>
      <c r="E1358" s="19" t="n">
        <f aca="false">+IF(C1358="EQUIPO",F1358,0)</f>
        <v>0</v>
      </c>
      <c r="F1358" s="33" t="n">
        <v>0</v>
      </c>
      <c r="G1358" s="62"/>
      <c r="H1358" s="35" t="n">
        <v>0</v>
      </c>
      <c r="I1358" s="34" t="n">
        <f aca="false">+IF(E1358=0,0,E1358*0.03)</f>
        <v>0</v>
      </c>
    </row>
    <row r="1359" customFormat="false" ht="15.75" hidden="false" customHeight="true" outlineLevel="0" collapsed="false">
      <c r="A1359" s="30" t="n">
        <v>45323</v>
      </c>
      <c r="B1359" s="31" t="s">
        <v>11</v>
      </c>
      <c r="C1359" s="32"/>
      <c r="D1359" s="32"/>
      <c r="E1359" s="19" t="n">
        <f aca="false">+IF(C1359="EQUIPO",F1359,0)</f>
        <v>0</v>
      </c>
      <c r="F1359" s="33" t="n">
        <v>0</v>
      </c>
      <c r="G1359" s="62"/>
      <c r="H1359" s="35" t="n">
        <v>0</v>
      </c>
      <c r="I1359" s="34" t="n">
        <f aca="false">+IF(E1359=0,0,E1359*0.03)</f>
        <v>0</v>
      </c>
    </row>
    <row r="1360" customFormat="false" ht="15.75" hidden="false" customHeight="true" outlineLevel="0" collapsed="false">
      <c r="A1360" s="30" t="n">
        <v>45323</v>
      </c>
      <c r="B1360" s="31" t="s">
        <v>11</v>
      </c>
      <c r="C1360" s="32"/>
      <c r="D1360" s="32"/>
      <c r="E1360" s="19" t="n">
        <f aca="false">+IF(C1360="EQUIPO",F1360,0)</f>
        <v>0</v>
      </c>
      <c r="F1360" s="33" t="n">
        <v>0</v>
      </c>
      <c r="G1360" s="62"/>
      <c r="H1360" s="35" t="n">
        <v>0</v>
      </c>
      <c r="I1360" s="34" t="n">
        <f aca="false">+IF(E1360=0,0,E1360*0.03)</f>
        <v>0</v>
      </c>
    </row>
    <row r="1361" customFormat="false" ht="15.75" hidden="false" customHeight="true" outlineLevel="0" collapsed="false">
      <c r="A1361" s="30" t="n">
        <v>45323</v>
      </c>
      <c r="B1361" s="31" t="s">
        <v>11</v>
      </c>
      <c r="C1361" s="32"/>
      <c r="D1361" s="32"/>
      <c r="E1361" s="19" t="n">
        <f aca="false">+IF(C1361="EQUIPO",F1361,0)</f>
        <v>0</v>
      </c>
      <c r="F1361" s="33" t="n">
        <v>0</v>
      </c>
      <c r="G1361" s="62"/>
      <c r="H1361" s="35" t="n">
        <v>0</v>
      </c>
      <c r="I1361" s="34" t="n">
        <f aca="false">+IF(E1361=0,0,E1361*0.03)</f>
        <v>0</v>
      </c>
    </row>
    <row r="1362" customFormat="false" ht="15.75" hidden="false" customHeight="true" outlineLevel="0" collapsed="false">
      <c r="A1362" s="30" t="n">
        <v>45323</v>
      </c>
      <c r="B1362" s="31" t="s">
        <v>11</v>
      </c>
      <c r="C1362" s="32"/>
      <c r="D1362" s="32"/>
      <c r="E1362" s="19" t="n">
        <f aca="false">+IF(C1362="EQUIPO",F1362,0)</f>
        <v>0</v>
      </c>
      <c r="F1362" s="33" t="n">
        <v>0</v>
      </c>
      <c r="G1362" s="62"/>
      <c r="H1362" s="35" t="n">
        <v>0</v>
      </c>
      <c r="I1362" s="34" t="n">
        <f aca="false">+IF(E1362=0,0,E1362*0.03)</f>
        <v>0</v>
      </c>
    </row>
    <row r="1363" customFormat="false" ht="15.75" hidden="false" customHeight="true" outlineLevel="0" collapsed="false">
      <c r="A1363" s="30" t="n">
        <v>45323</v>
      </c>
      <c r="B1363" s="31" t="s">
        <v>11</v>
      </c>
      <c r="C1363" s="32"/>
      <c r="D1363" s="32"/>
      <c r="E1363" s="19" t="n">
        <f aca="false">+IF(C1363="EQUIPO",F1363,0)</f>
        <v>0</v>
      </c>
      <c r="F1363" s="33" t="n">
        <v>0</v>
      </c>
      <c r="G1363" s="62"/>
      <c r="H1363" s="35" t="n">
        <v>0</v>
      </c>
      <c r="I1363" s="34" t="n">
        <f aca="false">+IF(E1363=0,0,E1363*0.03)</f>
        <v>0</v>
      </c>
    </row>
    <row r="1364" customFormat="false" ht="15.75" hidden="false" customHeight="true" outlineLevel="0" collapsed="false">
      <c r="A1364" s="30" t="n">
        <v>45323</v>
      </c>
      <c r="B1364" s="31" t="s">
        <v>11</v>
      </c>
      <c r="C1364" s="32"/>
      <c r="D1364" s="32"/>
      <c r="E1364" s="19" t="n">
        <f aca="false">+IF(C1364="EQUIPO",F1364,0)</f>
        <v>0</v>
      </c>
      <c r="F1364" s="33" t="n">
        <v>0</v>
      </c>
      <c r="G1364" s="62"/>
      <c r="H1364" s="35" t="n">
        <v>0</v>
      </c>
      <c r="I1364" s="34" t="n">
        <f aca="false">+IF(E1364=0,0,E1364*0.03)</f>
        <v>0</v>
      </c>
    </row>
    <row r="1365" customFormat="false" ht="15.75" hidden="false" customHeight="true" outlineLevel="0" collapsed="false">
      <c r="A1365" s="30" t="n">
        <v>45323</v>
      </c>
      <c r="B1365" s="31" t="s">
        <v>11</v>
      </c>
      <c r="C1365" s="32"/>
      <c r="D1365" s="32"/>
      <c r="E1365" s="19" t="n">
        <f aca="false">+IF(C1365="EQUIPO",F1365,0)</f>
        <v>0</v>
      </c>
      <c r="F1365" s="33" t="n">
        <v>0</v>
      </c>
      <c r="G1365" s="62"/>
      <c r="H1365" s="35" t="n">
        <v>0</v>
      </c>
      <c r="I1365" s="34" t="n">
        <f aca="false">+IF(E1365=0,0,E1365*0.03)</f>
        <v>0</v>
      </c>
    </row>
    <row r="1366" customFormat="false" ht="15.75" hidden="false" customHeight="true" outlineLevel="0" collapsed="false">
      <c r="A1366" s="30" t="n">
        <v>45323</v>
      </c>
      <c r="B1366" s="31" t="s">
        <v>11</v>
      </c>
      <c r="C1366" s="32"/>
      <c r="D1366" s="32"/>
      <c r="E1366" s="19" t="n">
        <f aca="false">+IF(C1366="EQUIPO",F1366,0)</f>
        <v>0</v>
      </c>
      <c r="F1366" s="33" t="n">
        <v>0</v>
      </c>
      <c r="G1366" s="62"/>
      <c r="H1366" s="35" t="n">
        <v>0</v>
      </c>
      <c r="I1366" s="34" t="n">
        <f aca="false">+IF(E1366=0,0,E1366*0.03)</f>
        <v>0</v>
      </c>
    </row>
    <row r="1367" customFormat="false" ht="15.75" hidden="false" customHeight="true" outlineLevel="0" collapsed="false">
      <c r="A1367" s="30" t="n">
        <v>45323</v>
      </c>
      <c r="B1367" s="31" t="s">
        <v>11</v>
      </c>
      <c r="C1367" s="32"/>
      <c r="D1367" s="32"/>
      <c r="E1367" s="19" t="n">
        <f aca="false">+IF(C1367="EQUIPO",F1367,0)</f>
        <v>0</v>
      </c>
      <c r="F1367" s="33" t="n">
        <v>0</v>
      </c>
      <c r="G1367" s="62"/>
      <c r="H1367" s="35" t="n">
        <v>0</v>
      </c>
      <c r="I1367" s="34" t="n">
        <f aca="false">+IF(E1367=0,0,E1367*0.03)</f>
        <v>0</v>
      </c>
    </row>
    <row r="1368" customFormat="false" ht="15.75" hidden="false" customHeight="true" outlineLevel="0" collapsed="false">
      <c r="A1368" s="30" t="n">
        <v>45323</v>
      </c>
      <c r="B1368" s="31" t="s">
        <v>11</v>
      </c>
      <c r="C1368" s="32"/>
      <c r="D1368" s="32"/>
      <c r="E1368" s="19" t="n">
        <f aca="false">+IF(C1368="EQUIPO",F1368,0)</f>
        <v>0</v>
      </c>
      <c r="F1368" s="33" t="n">
        <v>0</v>
      </c>
      <c r="G1368" s="62"/>
      <c r="H1368" s="35" t="n">
        <v>0</v>
      </c>
      <c r="I1368" s="34" t="n">
        <f aca="false">+IF(E1368=0,0,E1368*0.03)</f>
        <v>0</v>
      </c>
    </row>
    <row r="1369" customFormat="false" ht="15.75" hidden="false" customHeight="true" outlineLevel="0" collapsed="false">
      <c r="A1369" s="30" t="n">
        <v>45323</v>
      </c>
      <c r="B1369" s="31" t="s">
        <v>11</v>
      </c>
      <c r="C1369" s="32"/>
      <c r="D1369" s="32"/>
      <c r="E1369" s="19" t="n">
        <f aca="false">+IF(C1369="EQUIPO",F1369,0)</f>
        <v>0</v>
      </c>
      <c r="F1369" s="33" t="n">
        <v>0</v>
      </c>
      <c r="G1369" s="62"/>
      <c r="H1369" s="35" t="n">
        <v>0</v>
      </c>
      <c r="I1369" s="34" t="n">
        <f aca="false">+IF(E1369=0,0,E1369*0.03)</f>
        <v>0</v>
      </c>
    </row>
    <row r="1370" customFormat="false" ht="15.75" hidden="false" customHeight="true" outlineLevel="0" collapsed="false">
      <c r="A1370" s="30" t="n">
        <v>45323</v>
      </c>
      <c r="B1370" s="31" t="s">
        <v>11</v>
      </c>
      <c r="C1370" s="32"/>
      <c r="D1370" s="32"/>
      <c r="E1370" s="19" t="n">
        <f aca="false">+IF(C1370="EQUIPO",F1370,0)</f>
        <v>0</v>
      </c>
      <c r="F1370" s="33" t="n">
        <v>0</v>
      </c>
      <c r="G1370" s="62"/>
      <c r="H1370" s="35" t="n">
        <v>0</v>
      </c>
      <c r="I1370" s="34" t="n">
        <f aca="false">+IF(E1370=0,0,E1370*0.03)</f>
        <v>0</v>
      </c>
    </row>
    <row r="1371" customFormat="false" ht="15.75" hidden="false" customHeight="true" outlineLevel="0" collapsed="false">
      <c r="A1371" s="30" t="n">
        <v>45323</v>
      </c>
      <c r="B1371" s="31" t="s">
        <v>11</v>
      </c>
      <c r="C1371" s="32"/>
      <c r="D1371" s="32"/>
      <c r="E1371" s="19" t="n">
        <f aca="false">+IF(C1371="EQUIPO",F1371,0)</f>
        <v>0</v>
      </c>
      <c r="F1371" s="33" t="n">
        <v>0</v>
      </c>
      <c r="G1371" s="62"/>
      <c r="H1371" s="35" t="n">
        <v>0</v>
      </c>
      <c r="I1371" s="34" t="n">
        <f aca="false">+IF(E1371=0,0,E1371*0.03)</f>
        <v>0</v>
      </c>
    </row>
    <row r="1372" customFormat="false" ht="15.75" hidden="false" customHeight="true" outlineLevel="0" collapsed="false">
      <c r="A1372" s="30" t="n">
        <v>45323</v>
      </c>
      <c r="B1372" s="31" t="s">
        <v>11</v>
      </c>
      <c r="C1372" s="32"/>
      <c r="D1372" s="32"/>
      <c r="E1372" s="19" t="n">
        <f aca="false">+IF(C1372="EQUIPO",F1372,0)</f>
        <v>0</v>
      </c>
      <c r="F1372" s="33" t="n">
        <v>0</v>
      </c>
      <c r="G1372" s="62"/>
      <c r="H1372" s="35" t="n">
        <v>0</v>
      </c>
      <c r="I1372" s="34" t="n">
        <f aca="false">+IF(E1372=0,0,E1372*0.03)</f>
        <v>0</v>
      </c>
    </row>
    <row r="1373" customFormat="false" ht="15.75" hidden="false" customHeight="true" outlineLevel="0" collapsed="false">
      <c r="A1373" s="30" t="n">
        <v>45323</v>
      </c>
      <c r="B1373" s="31" t="s">
        <v>11</v>
      </c>
      <c r="C1373" s="32"/>
      <c r="D1373" s="32"/>
      <c r="E1373" s="19" t="n">
        <f aca="false">+IF(C1373="EQUIPO",F1373,0)</f>
        <v>0</v>
      </c>
      <c r="F1373" s="33" t="n">
        <v>0</v>
      </c>
      <c r="G1373" s="62"/>
      <c r="H1373" s="35" t="n">
        <v>0</v>
      </c>
      <c r="I1373" s="34" t="n">
        <f aca="false">+IF(E1373=0,0,E1373*0.03)</f>
        <v>0</v>
      </c>
    </row>
    <row r="1374" customFormat="false" ht="15.75" hidden="false" customHeight="true" outlineLevel="0" collapsed="false">
      <c r="A1374" s="30" t="n">
        <v>45323</v>
      </c>
      <c r="B1374" s="31" t="s">
        <v>11</v>
      </c>
      <c r="C1374" s="32"/>
      <c r="D1374" s="32"/>
      <c r="E1374" s="19" t="n">
        <f aca="false">+IF(C1374="EQUIPO",F1374,0)</f>
        <v>0</v>
      </c>
      <c r="F1374" s="33" t="n">
        <v>0</v>
      </c>
      <c r="G1374" s="62"/>
      <c r="H1374" s="35" t="n">
        <v>0</v>
      </c>
      <c r="I1374" s="34" t="n">
        <f aca="false">+IF(E1374=0,0,E1374*0.03)</f>
        <v>0</v>
      </c>
    </row>
    <row r="1375" customFormat="false" ht="15.75" hidden="false" customHeight="true" outlineLevel="0" collapsed="false">
      <c r="A1375" s="30" t="n">
        <v>45323</v>
      </c>
      <c r="B1375" s="31" t="s">
        <v>11</v>
      </c>
      <c r="C1375" s="32"/>
      <c r="D1375" s="32"/>
      <c r="E1375" s="19" t="n">
        <f aca="false">+IF(C1375="EQUIPO",F1375,0)</f>
        <v>0</v>
      </c>
      <c r="F1375" s="33" t="n">
        <v>0</v>
      </c>
      <c r="G1375" s="62"/>
      <c r="H1375" s="35" t="n">
        <v>0</v>
      </c>
      <c r="I1375" s="34" t="n">
        <f aca="false">+IF(E1375=0,0,E1375*0.03)</f>
        <v>0</v>
      </c>
    </row>
    <row r="1376" customFormat="false" ht="15.75" hidden="false" customHeight="true" outlineLevel="0" collapsed="false">
      <c r="A1376" s="30" t="n">
        <v>45323</v>
      </c>
      <c r="B1376" s="31" t="s">
        <v>11</v>
      </c>
      <c r="C1376" s="32"/>
      <c r="D1376" s="32"/>
      <c r="E1376" s="19" t="n">
        <f aca="false">+IF(C1376="EQUIPO",F1376,0)</f>
        <v>0</v>
      </c>
      <c r="F1376" s="33" t="n">
        <v>0</v>
      </c>
      <c r="G1376" s="62"/>
      <c r="H1376" s="35" t="n">
        <v>0</v>
      </c>
      <c r="I1376" s="34" t="n">
        <f aca="false">+IF(E1376=0,0,E1376*0.03)</f>
        <v>0</v>
      </c>
    </row>
    <row r="1377" customFormat="false" ht="15.75" hidden="false" customHeight="true" outlineLevel="0" collapsed="false">
      <c r="A1377" s="30" t="n">
        <v>45323</v>
      </c>
      <c r="B1377" s="31" t="s">
        <v>11</v>
      </c>
      <c r="C1377" s="32"/>
      <c r="D1377" s="32"/>
      <c r="E1377" s="19" t="n">
        <f aca="false">+IF(C1377="EQUIPO",F1377,0)</f>
        <v>0</v>
      </c>
      <c r="F1377" s="33" t="n">
        <v>0</v>
      </c>
      <c r="G1377" s="62"/>
      <c r="H1377" s="35" t="n">
        <v>0</v>
      </c>
      <c r="I1377" s="34" t="n">
        <f aca="false">+IF(E1377=0,0,E1377*0.03)</f>
        <v>0</v>
      </c>
    </row>
    <row r="1378" customFormat="false" ht="15.75" hidden="false" customHeight="true" outlineLevel="0" collapsed="false">
      <c r="A1378" s="30" t="n">
        <v>45323</v>
      </c>
      <c r="B1378" s="31" t="s">
        <v>11</v>
      </c>
      <c r="C1378" s="32"/>
      <c r="D1378" s="32"/>
      <c r="E1378" s="19" t="n">
        <f aca="false">+IF(C1378="EQUIPO",F1378,0)</f>
        <v>0</v>
      </c>
      <c r="F1378" s="33" t="n">
        <v>0</v>
      </c>
      <c r="G1378" s="62"/>
      <c r="H1378" s="35" t="n">
        <v>0</v>
      </c>
      <c r="I1378" s="34" t="n">
        <f aca="false">+IF(E1378=0,0,E1378*0.03)</f>
        <v>0</v>
      </c>
    </row>
    <row r="1379" customFormat="false" ht="15.75" hidden="false" customHeight="true" outlineLevel="0" collapsed="false">
      <c r="A1379" s="30" t="n">
        <v>45323</v>
      </c>
      <c r="B1379" s="31" t="s">
        <v>11</v>
      </c>
      <c r="C1379" s="32"/>
      <c r="D1379" s="32"/>
      <c r="E1379" s="19" t="n">
        <f aca="false">+IF(C1379="EQUIPO",F1379,0)</f>
        <v>0</v>
      </c>
      <c r="F1379" s="33" t="n">
        <v>0</v>
      </c>
      <c r="G1379" s="62"/>
      <c r="H1379" s="35" t="n">
        <v>0</v>
      </c>
      <c r="I1379" s="34" t="n">
        <f aca="false">+IF(E1379=0,0,E1379*0.03)</f>
        <v>0</v>
      </c>
    </row>
    <row r="1380" customFormat="false" ht="15.75" hidden="false" customHeight="true" outlineLevel="0" collapsed="false">
      <c r="A1380" s="30" t="n">
        <v>45323</v>
      </c>
      <c r="B1380" s="31" t="s">
        <v>11</v>
      </c>
      <c r="C1380" s="32"/>
      <c r="D1380" s="32"/>
      <c r="E1380" s="19" t="n">
        <f aca="false">+IF(C1380="EQUIPO",F1380,0)</f>
        <v>0</v>
      </c>
      <c r="F1380" s="33" t="n">
        <v>0</v>
      </c>
      <c r="G1380" s="62"/>
      <c r="H1380" s="35" t="n">
        <v>0</v>
      </c>
      <c r="I1380" s="34" t="n">
        <f aca="false">+IF(E1380=0,0,E1380*0.03)</f>
        <v>0</v>
      </c>
    </row>
    <row r="1381" customFormat="false" ht="15.75" hidden="false" customHeight="true" outlineLevel="0" collapsed="false">
      <c r="A1381" s="30" t="n">
        <v>45323</v>
      </c>
      <c r="B1381" s="31" t="s">
        <v>11</v>
      </c>
      <c r="C1381" s="32"/>
      <c r="D1381" s="32"/>
      <c r="E1381" s="19" t="n">
        <f aca="false">+IF(C1381="EQUIPO",F1381,0)</f>
        <v>0</v>
      </c>
      <c r="F1381" s="33" t="n">
        <v>0</v>
      </c>
      <c r="G1381" s="62"/>
      <c r="H1381" s="35" t="n">
        <v>0</v>
      </c>
      <c r="I1381" s="34" t="n">
        <f aca="false">+IF(E1381=0,0,E1381*0.03)</f>
        <v>0</v>
      </c>
    </row>
    <row r="1382" customFormat="false" ht="15.75" hidden="false" customHeight="true" outlineLevel="0" collapsed="false">
      <c r="A1382" s="30" t="n">
        <v>45323</v>
      </c>
      <c r="B1382" s="31" t="s">
        <v>11</v>
      </c>
      <c r="C1382" s="32"/>
      <c r="D1382" s="32"/>
      <c r="E1382" s="19" t="n">
        <f aca="false">+IF(C1382="EQUIPO",F1382,0)</f>
        <v>0</v>
      </c>
      <c r="F1382" s="33" t="n">
        <v>0</v>
      </c>
      <c r="G1382" s="62"/>
      <c r="H1382" s="35" t="n">
        <v>0</v>
      </c>
      <c r="I1382" s="34" t="n">
        <f aca="false">+IF(E1382=0,0,E1382*0.03)</f>
        <v>0</v>
      </c>
    </row>
    <row r="1383" customFormat="false" ht="15.75" hidden="false" customHeight="true" outlineLevel="0" collapsed="false">
      <c r="A1383" s="30" t="n">
        <v>45323</v>
      </c>
      <c r="B1383" s="31" t="s">
        <v>11</v>
      </c>
      <c r="C1383" s="32"/>
      <c r="D1383" s="32"/>
      <c r="E1383" s="19" t="n">
        <f aca="false">+IF(C1383="EQUIPO",F1383,0)</f>
        <v>0</v>
      </c>
      <c r="F1383" s="33" t="n">
        <v>0</v>
      </c>
      <c r="G1383" s="62"/>
      <c r="H1383" s="35" t="n">
        <v>0</v>
      </c>
      <c r="I1383" s="34" t="n">
        <f aca="false">+IF(E1383=0,0,E1383*0.03)</f>
        <v>0</v>
      </c>
    </row>
    <row r="1384" customFormat="false" ht="15.75" hidden="false" customHeight="true" outlineLevel="0" collapsed="false">
      <c r="A1384" s="30" t="n">
        <v>45323</v>
      </c>
      <c r="B1384" s="31" t="s">
        <v>11</v>
      </c>
      <c r="C1384" s="32"/>
      <c r="D1384" s="32"/>
      <c r="E1384" s="19" t="n">
        <f aca="false">+IF(C1384="EQUIPO",F1384,0)</f>
        <v>0</v>
      </c>
      <c r="F1384" s="33" t="n">
        <v>0</v>
      </c>
      <c r="G1384" s="62"/>
      <c r="H1384" s="35" t="n">
        <v>0</v>
      </c>
      <c r="I1384" s="34" t="n">
        <f aca="false">+IF(E1384=0,0,E1384*0.03)</f>
        <v>0</v>
      </c>
    </row>
    <row r="1385" customFormat="false" ht="15.75" hidden="false" customHeight="true" outlineLevel="0" collapsed="false">
      <c r="A1385" s="30" t="n">
        <v>45323</v>
      </c>
      <c r="B1385" s="31" t="s">
        <v>11</v>
      </c>
      <c r="C1385" s="32"/>
      <c r="D1385" s="32"/>
      <c r="E1385" s="19" t="n">
        <f aca="false">+IF(C1385="EQUIPO",F1385,0)</f>
        <v>0</v>
      </c>
      <c r="F1385" s="33" t="n">
        <v>0</v>
      </c>
      <c r="G1385" s="62"/>
      <c r="H1385" s="35" t="n">
        <v>0</v>
      </c>
      <c r="I1385" s="34" t="n">
        <f aca="false">+IF(E1385=0,0,E1385*0.03)</f>
        <v>0</v>
      </c>
    </row>
    <row r="1386" customFormat="false" ht="15.75" hidden="false" customHeight="true" outlineLevel="0" collapsed="false">
      <c r="A1386" s="30" t="n">
        <v>45323</v>
      </c>
      <c r="B1386" s="31" t="s">
        <v>11</v>
      </c>
      <c r="C1386" s="32"/>
      <c r="D1386" s="32"/>
      <c r="E1386" s="19" t="n">
        <f aca="false">+IF(C1386="EQUIPO",F1386,0)</f>
        <v>0</v>
      </c>
      <c r="F1386" s="33" t="n">
        <v>0</v>
      </c>
      <c r="G1386" s="62"/>
      <c r="H1386" s="35" t="n">
        <v>0</v>
      </c>
      <c r="I1386" s="34" t="n">
        <f aca="false">+IF(E1386=0,0,E1386*0.03)</f>
        <v>0</v>
      </c>
    </row>
    <row r="1387" customFormat="false" ht="15.75" hidden="false" customHeight="true" outlineLevel="0" collapsed="false">
      <c r="A1387" s="30" t="n">
        <v>45323</v>
      </c>
      <c r="B1387" s="31" t="s">
        <v>11</v>
      </c>
      <c r="C1387" s="32"/>
      <c r="D1387" s="32"/>
      <c r="E1387" s="19" t="n">
        <f aca="false">+IF(C1387="EQUIPO",F1387,0)</f>
        <v>0</v>
      </c>
      <c r="F1387" s="33" t="n">
        <v>0</v>
      </c>
      <c r="G1387" s="62"/>
      <c r="H1387" s="35" t="n">
        <v>0</v>
      </c>
      <c r="I1387" s="34" t="n">
        <f aca="false">+IF(E1387=0,0,E1387*0.03)</f>
        <v>0</v>
      </c>
    </row>
    <row r="1388" customFormat="false" ht="15.75" hidden="false" customHeight="true" outlineLevel="0" collapsed="false">
      <c r="A1388" s="30" t="n">
        <v>45323</v>
      </c>
      <c r="B1388" s="31" t="s">
        <v>11</v>
      </c>
      <c r="C1388" s="32"/>
      <c r="D1388" s="32"/>
      <c r="E1388" s="19" t="n">
        <f aca="false">+IF(C1388="EQUIPO",F1388,0)</f>
        <v>0</v>
      </c>
      <c r="F1388" s="33" t="n">
        <v>0</v>
      </c>
      <c r="G1388" s="62"/>
      <c r="H1388" s="35" t="n">
        <v>0</v>
      </c>
      <c r="I1388" s="34" t="n">
        <f aca="false">+IF(E1388=0,0,E1388*0.03)</f>
        <v>0</v>
      </c>
    </row>
    <row r="1389" customFormat="false" ht="15.75" hidden="false" customHeight="true" outlineLevel="0" collapsed="false">
      <c r="A1389" s="30" t="n">
        <v>45323</v>
      </c>
      <c r="B1389" s="31" t="s">
        <v>11</v>
      </c>
      <c r="C1389" s="32"/>
      <c r="D1389" s="32"/>
      <c r="E1389" s="19" t="n">
        <f aca="false">+IF(C1389="EQUIPO",F1389,0)</f>
        <v>0</v>
      </c>
      <c r="F1389" s="33" t="n">
        <v>0</v>
      </c>
      <c r="G1389" s="62"/>
      <c r="H1389" s="35" t="n">
        <v>0</v>
      </c>
      <c r="I1389" s="34" t="n">
        <f aca="false">+IF(E1389=0,0,E1389*0.03)</f>
        <v>0</v>
      </c>
    </row>
    <row r="1390" customFormat="false" ht="15.75" hidden="false" customHeight="true" outlineLevel="0" collapsed="false">
      <c r="A1390" s="30" t="n">
        <v>45323</v>
      </c>
      <c r="B1390" s="31" t="s">
        <v>11</v>
      </c>
      <c r="C1390" s="32"/>
      <c r="D1390" s="32"/>
      <c r="E1390" s="19" t="n">
        <f aca="false">+IF(C1390="EQUIPO",F1390,0)</f>
        <v>0</v>
      </c>
      <c r="F1390" s="33" t="n">
        <v>0</v>
      </c>
      <c r="G1390" s="62"/>
      <c r="H1390" s="35" t="n">
        <v>0</v>
      </c>
      <c r="I1390" s="34" t="n">
        <f aca="false">+IF(E1390=0,0,E1390*0.03)</f>
        <v>0</v>
      </c>
    </row>
    <row r="1391" customFormat="false" ht="15.75" hidden="false" customHeight="true" outlineLevel="0" collapsed="false">
      <c r="A1391" s="30" t="n">
        <v>45323</v>
      </c>
      <c r="B1391" s="31" t="s">
        <v>11</v>
      </c>
      <c r="C1391" s="32"/>
      <c r="D1391" s="32"/>
      <c r="E1391" s="19" t="n">
        <f aca="false">+IF(C1391="EQUIPO",F1391,0)</f>
        <v>0</v>
      </c>
      <c r="F1391" s="33" t="n">
        <v>0</v>
      </c>
      <c r="G1391" s="62"/>
      <c r="H1391" s="35" t="n">
        <v>0</v>
      </c>
      <c r="I1391" s="34" t="n">
        <f aca="false">+IF(E1391=0,0,E1391*0.03)</f>
        <v>0</v>
      </c>
    </row>
    <row r="1392" customFormat="false" ht="15.75" hidden="false" customHeight="true" outlineLevel="0" collapsed="false">
      <c r="A1392" s="30" t="n">
        <v>45323</v>
      </c>
      <c r="B1392" s="31" t="s">
        <v>11</v>
      </c>
      <c r="C1392" s="32"/>
      <c r="D1392" s="32"/>
      <c r="E1392" s="19" t="n">
        <f aca="false">+IF(C1392="EQUIPO",F1392,0)</f>
        <v>0</v>
      </c>
      <c r="F1392" s="33" t="n">
        <v>0</v>
      </c>
      <c r="G1392" s="62"/>
      <c r="H1392" s="35" t="n">
        <v>0</v>
      </c>
      <c r="I1392" s="34" t="n">
        <f aca="false">+IF(E1392=0,0,E1392*0.03)</f>
        <v>0</v>
      </c>
    </row>
    <row r="1393" customFormat="false" ht="15.75" hidden="false" customHeight="true" outlineLevel="0" collapsed="false">
      <c r="A1393" s="30" t="n">
        <v>45323</v>
      </c>
      <c r="B1393" s="31" t="s">
        <v>11</v>
      </c>
      <c r="C1393" s="32"/>
      <c r="D1393" s="32"/>
      <c r="E1393" s="19" t="n">
        <f aca="false">+IF(C1393="EQUIPO",F1393,0)</f>
        <v>0</v>
      </c>
      <c r="F1393" s="33" t="n">
        <v>0</v>
      </c>
      <c r="G1393" s="62"/>
      <c r="H1393" s="35" t="n">
        <v>0</v>
      </c>
      <c r="I1393" s="34" t="n">
        <f aca="false">+IF(E1393=0,0,E1393*0.03)</f>
        <v>0</v>
      </c>
    </row>
    <row r="1394" customFormat="false" ht="15.75" hidden="false" customHeight="true" outlineLevel="0" collapsed="false">
      <c r="A1394" s="30" t="n">
        <v>45323</v>
      </c>
      <c r="B1394" s="31" t="s">
        <v>11</v>
      </c>
      <c r="C1394" s="32"/>
      <c r="D1394" s="32"/>
      <c r="E1394" s="19" t="n">
        <f aca="false">+IF(C1394="EQUIPO",F1394,0)</f>
        <v>0</v>
      </c>
      <c r="F1394" s="33" t="n">
        <v>0</v>
      </c>
      <c r="G1394" s="62"/>
      <c r="H1394" s="35" t="n">
        <v>0</v>
      </c>
      <c r="I1394" s="34" t="n">
        <f aca="false">+IF(E1394=0,0,E1394*0.03)</f>
        <v>0</v>
      </c>
    </row>
    <row r="1395" customFormat="false" ht="15.75" hidden="false" customHeight="true" outlineLevel="0" collapsed="false">
      <c r="A1395" s="30" t="n">
        <v>45323</v>
      </c>
      <c r="B1395" s="31" t="s">
        <v>11</v>
      </c>
      <c r="C1395" s="32"/>
      <c r="D1395" s="32"/>
      <c r="E1395" s="19" t="n">
        <f aca="false">+IF(C1395="EQUIPO",F1395,0)</f>
        <v>0</v>
      </c>
      <c r="F1395" s="33" t="n">
        <v>0</v>
      </c>
      <c r="G1395" s="62"/>
      <c r="H1395" s="35" t="n">
        <v>0</v>
      </c>
      <c r="I1395" s="34" t="n">
        <f aca="false">+IF(E1395=0,0,E1395*0.03)</f>
        <v>0</v>
      </c>
    </row>
    <row r="1396" customFormat="false" ht="15.75" hidden="false" customHeight="true" outlineLevel="0" collapsed="false">
      <c r="A1396" s="30" t="n">
        <v>45323</v>
      </c>
      <c r="B1396" s="31" t="s">
        <v>11</v>
      </c>
      <c r="C1396" s="32"/>
      <c r="D1396" s="32"/>
      <c r="E1396" s="19" t="n">
        <f aca="false">+IF(C1396="EQUIPO",F1396,0)</f>
        <v>0</v>
      </c>
      <c r="F1396" s="33" t="n">
        <v>0</v>
      </c>
      <c r="G1396" s="62"/>
      <c r="H1396" s="35" t="n">
        <v>0</v>
      </c>
      <c r="I1396" s="34" t="n">
        <f aca="false">+IF(E1396=0,0,E1396*0.03)</f>
        <v>0</v>
      </c>
    </row>
    <row r="1397" customFormat="false" ht="15.75" hidden="false" customHeight="true" outlineLevel="0" collapsed="false">
      <c r="A1397" s="30" t="n">
        <v>45323</v>
      </c>
      <c r="B1397" s="31" t="s">
        <v>11</v>
      </c>
      <c r="C1397" s="32"/>
      <c r="D1397" s="32"/>
      <c r="E1397" s="19" t="n">
        <f aca="false">+IF(C1397="EQUIPO",F1397,0)</f>
        <v>0</v>
      </c>
      <c r="F1397" s="33" t="n">
        <v>0</v>
      </c>
      <c r="G1397" s="62"/>
      <c r="H1397" s="35" t="n">
        <v>0</v>
      </c>
      <c r="I1397" s="34" t="n">
        <f aca="false">+IF(E1397=0,0,E1397*0.03)</f>
        <v>0</v>
      </c>
    </row>
    <row r="1398" customFormat="false" ht="15.75" hidden="false" customHeight="true" outlineLevel="0" collapsed="false">
      <c r="A1398" s="30" t="n">
        <v>45323</v>
      </c>
      <c r="B1398" s="31" t="s">
        <v>11</v>
      </c>
      <c r="C1398" s="32"/>
      <c r="D1398" s="32"/>
      <c r="E1398" s="19" t="n">
        <f aca="false">+IF(C1398="EQUIPO",F1398,0)</f>
        <v>0</v>
      </c>
      <c r="F1398" s="33" t="n">
        <v>0</v>
      </c>
      <c r="G1398" s="62"/>
      <c r="H1398" s="35" t="n">
        <v>0</v>
      </c>
      <c r="I1398" s="34" t="n">
        <f aca="false">+IF(E1398=0,0,E1398*0.03)</f>
        <v>0</v>
      </c>
    </row>
    <row r="1399" customFormat="false" ht="15.75" hidden="false" customHeight="true" outlineLevel="0" collapsed="false">
      <c r="A1399" s="30" t="n">
        <v>45323</v>
      </c>
      <c r="B1399" s="31" t="s">
        <v>11</v>
      </c>
      <c r="C1399" s="32"/>
      <c r="D1399" s="32"/>
      <c r="E1399" s="19" t="n">
        <f aca="false">+IF(C1399="EQUIPO",F1399,0)</f>
        <v>0</v>
      </c>
      <c r="F1399" s="33" t="n">
        <v>0</v>
      </c>
      <c r="G1399" s="62"/>
      <c r="H1399" s="35" t="n">
        <v>0</v>
      </c>
      <c r="I1399" s="34" t="n">
        <f aca="false">+IF(E1399=0,0,E1399*0.03)</f>
        <v>0</v>
      </c>
    </row>
    <row r="1400" customFormat="false" ht="15.75" hidden="false" customHeight="true" outlineLevel="0" collapsed="false">
      <c r="A1400" s="30" t="n">
        <v>45323</v>
      </c>
      <c r="B1400" s="31" t="s">
        <v>11</v>
      </c>
      <c r="C1400" s="32"/>
      <c r="D1400" s="32"/>
      <c r="E1400" s="19" t="n">
        <f aca="false">+IF(C1400="EQUIPO",F1400,0)</f>
        <v>0</v>
      </c>
      <c r="F1400" s="33" t="n">
        <v>0</v>
      </c>
      <c r="G1400" s="62"/>
      <c r="H1400" s="35" t="n">
        <v>0</v>
      </c>
      <c r="I1400" s="34" t="n">
        <f aca="false">+IF(E1400=0,0,E1400*0.03)</f>
        <v>0</v>
      </c>
    </row>
    <row r="1401" customFormat="false" ht="15.75" hidden="false" customHeight="true" outlineLevel="0" collapsed="false">
      <c r="A1401" s="30" t="n">
        <v>45323</v>
      </c>
      <c r="B1401" s="31" t="s">
        <v>11</v>
      </c>
      <c r="C1401" s="32"/>
      <c r="D1401" s="32"/>
      <c r="E1401" s="19" t="n">
        <f aca="false">+IF(C1401="EQUIPO",F1401,0)</f>
        <v>0</v>
      </c>
      <c r="F1401" s="33" t="n">
        <v>0</v>
      </c>
      <c r="G1401" s="62"/>
      <c r="H1401" s="35" t="n">
        <v>0</v>
      </c>
      <c r="I1401" s="34" t="n">
        <f aca="false">+IF(E1401=0,0,E1401*0.03)</f>
        <v>0</v>
      </c>
    </row>
    <row r="1402" customFormat="false" ht="15.75" hidden="false" customHeight="true" outlineLevel="0" collapsed="false">
      <c r="A1402" s="30" t="n">
        <v>45323</v>
      </c>
      <c r="B1402" s="31" t="s">
        <v>11</v>
      </c>
      <c r="C1402" s="32"/>
      <c r="D1402" s="32"/>
      <c r="E1402" s="19" t="n">
        <f aca="false">+IF(C1402="EQUIPO",F1402,0)</f>
        <v>0</v>
      </c>
      <c r="F1402" s="33" t="n">
        <v>0</v>
      </c>
      <c r="G1402" s="62"/>
      <c r="H1402" s="35" t="n">
        <v>0</v>
      </c>
      <c r="I1402" s="34" t="n">
        <f aca="false">+IF(E1402=0,0,E1402*0.03)</f>
        <v>0</v>
      </c>
    </row>
    <row r="1403" customFormat="false" ht="15.75" hidden="false" customHeight="true" outlineLevel="0" collapsed="false">
      <c r="A1403" s="30" t="n">
        <v>45323</v>
      </c>
      <c r="B1403" s="31" t="s">
        <v>11</v>
      </c>
      <c r="C1403" s="32"/>
      <c r="D1403" s="32"/>
      <c r="E1403" s="19" t="n">
        <f aca="false">+IF(C1403="EQUIPO",F1403,0)</f>
        <v>0</v>
      </c>
      <c r="F1403" s="33" t="n">
        <v>0</v>
      </c>
      <c r="G1403" s="62"/>
      <c r="H1403" s="35" t="n">
        <v>0</v>
      </c>
      <c r="I1403" s="34" t="n">
        <f aca="false">+IF(E1403=0,0,E1403*0.03)</f>
        <v>0</v>
      </c>
    </row>
    <row r="1404" customFormat="false" ht="15.75" hidden="false" customHeight="true" outlineLevel="0" collapsed="false">
      <c r="A1404" s="30" t="n">
        <v>45323</v>
      </c>
      <c r="B1404" s="31" t="s">
        <v>11</v>
      </c>
      <c r="C1404" s="32"/>
      <c r="D1404" s="32"/>
      <c r="E1404" s="19" t="n">
        <f aca="false">+IF(C1404="EQUIPO",F1404,0)</f>
        <v>0</v>
      </c>
      <c r="F1404" s="33" t="n">
        <v>0</v>
      </c>
      <c r="G1404" s="62"/>
      <c r="H1404" s="35" t="n">
        <v>0</v>
      </c>
      <c r="I1404" s="34" t="n">
        <f aca="false">+IF(E1404=0,0,E1404*0.03)</f>
        <v>0</v>
      </c>
    </row>
    <row r="1405" customFormat="false" ht="15.75" hidden="false" customHeight="true" outlineLevel="0" collapsed="false">
      <c r="A1405" s="30" t="n">
        <v>45323</v>
      </c>
      <c r="B1405" s="31" t="s">
        <v>11</v>
      </c>
      <c r="C1405" s="32"/>
      <c r="D1405" s="32"/>
      <c r="E1405" s="19" t="n">
        <f aca="false">+IF(C1405="EQUIPO",F1405,0)</f>
        <v>0</v>
      </c>
      <c r="F1405" s="33" t="n">
        <v>0</v>
      </c>
      <c r="G1405" s="62"/>
      <c r="H1405" s="35" t="n">
        <v>0</v>
      </c>
      <c r="I1405" s="34" t="n">
        <f aca="false">+IF(E1405=0,0,E1405*0.03)</f>
        <v>0</v>
      </c>
    </row>
    <row r="1406" customFormat="false" ht="15.75" hidden="false" customHeight="true" outlineLevel="0" collapsed="false">
      <c r="A1406" s="30" t="n">
        <v>45323</v>
      </c>
      <c r="B1406" s="31" t="s">
        <v>11</v>
      </c>
      <c r="C1406" s="32"/>
      <c r="D1406" s="32"/>
      <c r="E1406" s="19" t="n">
        <f aca="false">+IF(C1406="EQUIPO",F1406,0)</f>
        <v>0</v>
      </c>
      <c r="F1406" s="33" t="n">
        <v>0</v>
      </c>
      <c r="G1406" s="62"/>
      <c r="H1406" s="35" t="n">
        <v>0</v>
      </c>
      <c r="I1406" s="34" t="n">
        <f aca="false">+IF(E1406=0,0,E1406*0.03)</f>
        <v>0</v>
      </c>
    </row>
    <row r="1407" customFormat="false" ht="15.75" hidden="false" customHeight="true" outlineLevel="0" collapsed="false">
      <c r="A1407" s="30" t="n">
        <v>45323</v>
      </c>
      <c r="B1407" s="31" t="s">
        <v>11</v>
      </c>
      <c r="C1407" s="32"/>
      <c r="D1407" s="32"/>
      <c r="E1407" s="19" t="n">
        <f aca="false">+IF(C1407="EQUIPO",F1407,0)</f>
        <v>0</v>
      </c>
      <c r="F1407" s="33" t="n">
        <v>0</v>
      </c>
      <c r="G1407" s="62"/>
      <c r="H1407" s="35" t="n">
        <v>0</v>
      </c>
      <c r="I1407" s="34" t="n">
        <f aca="false">+IF(E1407=0,0,E1407*0.03)</f>
        <v>0</v>
      </c>
    </row>
    <row r="1408" customFormat="false" ht="15.75" hidden="false" customHeight="true" outlineLevel="0" collapsed="false">
      <c r="A1408" s="30" t="n">
        <v>45323</v>
      </c>
      <c r="B1408" s="31" t="s">
        <v>11</v>
      </c>
      <c r="C1408" s="32"/>
      <c r="D1408" s="32"/>
      <c r="E1408" s="19" t="n">
        <f aca="false">+IF(C1408="EQUIPO",F1408,0)</f>
        <v>0</v>
      </c>
      <c r="F1408" s="33" t="n">
        <v>0</v>
      </c>
      <c r="G1408" s="62"/>
      <c r="H1408" s="35" t="n">
        <v>0</v>
      </c>
      <c r="I1408" s="34" t="n">
        <f aca="false">+IF(E1408=0,0,E1408*0.03)</f>
        <v>0</v>
      </c>
    </row>
    <row r="1409" customFormat="false" ht="15.75" hidden="false" customHeight="true" outlineLevel="0" collapsed="false">
      <c r="A1409" s="30" t="n">
        <v>45323</v>
      </c>
      <c r="B1409" s="31" t="s">
        <v>11</v>
      </c>
      <c r="C1409" s="32"/>
      <c r="D1409" s="32"/>
      <c r="E1409" s="19" t="n">
        <f aca="false">+IF(C1409="EQUIPO",F1409,0)</f>
        <v>0</v>
      </c>
      <c r="F1409" s="33" t="n">
        <v>0</v>
      </c>
      <c r="G1409" s="62"/>
      <c r="H1409" s="35" t="n">
        <v>0</v>
      </c>
      <c r="I1409" s="34" t="n">
        <f aca="false">+IF(E1409=0,0,E1409*0.03)</f>
        <v>0</v>
      </c>
    </row>
    <row r="1410" customFormat="false" ht="15.75" hidden="false" customHeight="true" outlineLevel="0" collapsed="false">
      <c r="A1410" s="30" t="n">
        <v>45323</v>
      </c>
      <c r="B1410" s="31" t="s">
        <v>11</v>
      </c>
      <c r="C1410" s="32"/>
      <c r="D1410" s="32"/>
      <c r="E1410" s="19" t="n">
        <f aca="false">+IF(C1410="EQUIPO",F1410,0)</f>
        <v>0</v>
      </c>
      <c r="F1410" s="33" t="n">
        <v>0</v>
      </c>
      <c r="G1410" s="62"/>
      <c r="H1410" s="35" t="n">
        <v>0</v>
      </c>
      <c r="I1410" s="34" t="n">
        <f aca="false">+IF(E1410=0,0,E1410*0.03)</f>
        <v>0</v>
      </c>
    </row>
    <row r="1411" customFormat="false" ht="15.75" hidden="false" customHeight="true" outlineLevel="0" collapsed="false">
      <c r="A1411" s="30" t="n">
        <v>45323</v>
      </c>
      <c r="B1411" s="31" t="s">
        <v>11</v>
      </c>
      <c r="C1411" s="32"/>
      <c r="D1411" s="32"/>
      <c r="E1411" s="19" t="n">
        <f aca="false">+IF(C1411="EQUIPO",F1411,0)</f>
        <v>0</v>
      </c>
      <c r="F1411" s="33" t="n">
        <v>0</v>
      </c>
      <c r="G1411" s="62"/>
      <c r="H1411" s="35" t="n">
        <v>0</v>
      </c>
      <c r="I1411" s="34" t="n">
        <f aca="false">+IF(E1411=0,0,E1411*0.03)</f>
        <v>0</v>
      </c>
    </row>
    <row r="1412" customFormat="false" ht="15.75" hidden="false" customHeight="true" outlineLevel="0" collapsed="false">
      <c r="A1412" s="30" t="n">
        <v>45323</v>
      </c>
      <c r="B1412" s="31" t="s">
        <v>11</v>
      </c>
      <c r="C1412" s="32"/>
      <c r="D1412" s="32"/>
      <c r="E1412" s="19" t="n">
        <f aca="false">+IF(C1412="EQUIPO",F1412,0)</f>
        <v>0</v>
      </c>
      <c r="F1412" s="33" t="n">
        <v>0</v>
      </c>
      <c r="G1412" s="62"/>
      <c r="H1412" s="35" t="n">
        <v>0</v>
      </c>
      <c r="I1412" s="34" t="n">
        <f aca="false">+IF(E1412=0,0,E1412*0.03)</f>
        <v>0</v>
      </c>
    </row>
    <row r="1413" customFormat="false" ht="15.75" hidden="false" customHeight="true" outlineLevel="0" collapsed="false">
      <c r="A1413" s="30" t="n">
        <v>45323</v>
      </c>
      <c r="B1413" s="31" t="s">
        <v>11</v>
      </c>
      <c r="C1413" s="32"/>
      <c r="D1413" s="32"/>
      <c r="E1413" s="19" t="n">
        <f aca="false">+IF(C1413="EQUIPO",F1413,0)</f>
        <v>0</v>
      </c>
      <c r="F1413" s="33" t="n">
        <v>0</v>
      </c>
      <c r="G1413" s="62"/>
      <c r="H1413" s="35" t="n">
        <v>0</v>
      </c>
      <c r="I1413" s="34" t="n">
        <f aca="false">+IF(E1413=0,0,E1413*0.03)</f>
        <v>0</v>
      </c>
    </row>
    <row r="1414" customFormat="false" ht="15.75" hidden="false" customHeight="true" outlineLevel="0" collapsed="false">
      <c r="A1414" s="30" t="n">
        <v>45323</v>
      </c>
      <c r="B1414" s="31" t="s">
        <v>11</v>
      </c>
      <c r="C1414" s="32"/>
      <c r="D1414" s="32"/>
      <c r="E1414" s="19" t="n">
        <f aca="false">+IF(C1414="EQUIPO",F1414,0)</f>
        <v>0</v>
      </c>
      <c r="F1414" s="33" t="n">
        <v>0</v>
      </c>
      <c r="G1414" s="62"/>
      <c r="H1414" s="35" t="n">
        <v>0</v>
      </c>
      <c r="I1414" s="34" t="n">
        <f aca="false">+IF(E1414=0,0,E1414*0.03)</f>
        <v>0</v>
      </c>
    </row>
    <row r="1415" customFormat="false" ht="15.75" hidden="false" customHeight="true" outlineLevel="0" collapsed="false">
      <c r="A1415" s="30" t="n">
        <v>45323</v>
      </c>
      <c r="B1415" s="31" t="s">
        <v>11</v>
      </c>
      <c r="C1415" s="32"/>
      <c r="D1415" s="32"/>
      <c r="E1415" s="19" t="n">
        <f aca="false">+IF(C1415="EQUIPO",F1415,0)</f>
        <v>0</v>
      </c>
      <c r="F1415" s="33" t="n">
        <v>0</v>
      </c>
      <c r="G1415" s="62"/>
      <c r="H1415" s="35" t="n">
        <v>0</v>
      </c>
      <c r="I1415" s="34" t="n">
        <f aca="false">+IF(E1415=0,0,E1415*0.03)</f>
        <v>0</v>
      </c>
    </row>
    <row r="1416" customFormat="false" ht="15.75" hidden="false" customHeight="true" outlineLevel="0" collapsed="false">
      <c r="A1416" s="30" t="n">
        <v>45323</v>
      </c>
      <c r="B1416" s="31" t="s">
        <v>11</v>
      </c>
      <c r="C1416" s="32"/>
      <c r="D1416" s="32"/>
      <c r="E1416" s="19" t="n">
        <f aca="false">+IF(C1416="EQUIPO",F1416,0)</f>
        <v>0</v>
      </c>
      <c r="F1416" s="33" t="n">
        <v>0</v>
      </c>
      <c r="G1416" s="62"/>
      <c r="H1416" s="35" t="n">
        <v>0</v>
      </c>
      <c r="I1416" s="34" t="n">
        <f aca="false">+IF(E1416=0,0,E1416*0.03)</f>
        <v>0</v>
      </c>
    </row>
    <row r="1417" customFormat="false" ht="15.75" hidden="false" customHeight="true" outlineLevel="0" collapsed="false">
      <c r="A1417" s="30" t="n">
        <v>45323</v>
      </c>
      <c r="B1417" s="31" t="s">
        <v>11</v>
      </c>
      <c r="C1417" s="32"/>
      <c r="D1417" s="32"/>
      <c r="E1417" s="19" t="n">
        <f aca="false">+IF(C1417="EQUIPO",F1417,0)</f>
        <v>0</v>
      </c>
      <c r="F1417" s="33" t="n">
        <v>0</v>
      </c>
      <c r="G1417" s="62"/>
      <c r="H1417" s="35" t="n">
        <v>0</v>
      </c>
      <c r="I1417" s="34" t="n">
        <f aca="false">+IF(E1417=0,0,E1417*0.03)</f>
        <v>0</v>
      </c>
    </row>
    <row r="1418" customFormat="false" ht="15.75" hidden="false" customHeight="true" outlineLevel="0" collapsed="false">
      <c r="A1418" s="30" t="n">
        <v>45323</v>
      </c>
      <c r="B1418" s="31" t="s">
        <v>11</v>
      </c>
      <c r="C1418" s="32"/>
      <c r="D1418" s="32"/>
      <c r="E1418" s="19" t="n">
        <f aca="false">+IF(C1418="EQUIPO",F1418,0)</f>
        <v>0</v>
      </c>
      <c r="F1418" s="33" t="n">
        <v>0</v>
      </c>
      <c r="G1418" s="62"/>
      <c r="H1418" s="35" t="n">
        <v>0</v>
      </c>
      <c r="I1418" s="34" t="n">
        <f aca="false">+IF(E1418=0,0,E1418*0.03)</f>
        <v>0</v>
      </c>
    </row>
    <row r="1419" customFormat="false" ht="15.75" hidden="false" customHeight="true" outlineLevel="0" collapsed="false">
      <c r="A1419" s="30" t="n">
        <v>45323</v>
      </c>
      <c r="B1419" s="31" t="s">
        <v>11</v>
      </c>
      <c r="C1419" s="32"/>
      <c r="D1419" s="32"/>
      <c r="E1419" s="19" t="n">
        <f aca="false">+IF(C1419="EQUIPO",F1419,0)</f>
        <v>0</v>
      </c>
      <c r="F1419" s="33" t="n">
        <v>0</v>
      </c>
      <c r="G1419" s="62"/>
      <c r="H1419" s="35" t="n">
        <v>0</v>
      </c>
      <c r="I1419" s="34" t="n">
        <f aca="false">+IF(E1419=0,0,E1419*0.03)</f>
        <v>0</v>
      </c>
    </row>
    <row r="1420" customFormat="false" ht="15.75" hidden="false" customHeight="true" outlineLevel="0" collapsed="false">
      <c r="A1420" s="30" t="n">
        <v>45323</v>
      </c>
      <c r="B1420" s="31" t="s">
        <v>11</v>
      </c>
      <c r="C1420" s="32"/>
      <c r="D1420" s="32"/>
      <c r="E1420" s="19" t="n">
        <f aca="false">+IF(C1420="EQUIPO",F1420,0)</f>
        <v>0</v>
      </c>
      <c r="F1420" s="33" t="n">
        <v>0</v>
      </c>
      <c r="G1420" s="62"/>
      <c r="H1420" s="35" t="n">
        <v>0</v>
      </c>
      <c r="I1420" s="34" t="n">
        <f aca="false">+IF(E1420=0,0,E1420*0.03)</f>
        <v>0</v>
      </c>
    </row>
    <row r="1421" customFormat="false" ht="15.75" hidden="false" customHeight="true" outlineLevel="0" collapsed="false">
      <c r="A1421" s="30" t="n">
        <v>45323</v>
      </c>
      <c r="B1421" s="31" t="s">
        <v>11</v>
      </c>
      <c r="C1421" s="32"/>
      <c r="D1421" s="32"/>
      <c r="E1421" s="19" t="n">
        <f aca="false">+IF(C1421="EQUIPO",F1421,0)</f>
        <v>0</v>
      </c>
      <c r="F1421" s="33" t="n">
        <v>0</v>
      </c>
      <c r="G1421" s="62"/>
      <c r="H1421" s="35" t="n">
        <v>0</v>
      </c>
      <c r="I1421" s="34" t="n">
        <f aca="false">+IF(E1421=0,0,E1421*0.03)</f>
        <v>0</v>
      </c>
    </row>
    <row r="1422" customFormat="false" ht="15.75" hidden="false" customHeight="true" outlineLevel="0" collapsed="false">
      <c r="A1422" s="30" t="n">
        <v>45323</v>
      </c>
      <c r="B1422" s="31" t="s">
        <v>11</v>
      </c>
      <c r="C1422" s="32"/>
      <c r="D1422" s="32"/>
      <c r="E1422" s="19" t="n">
        <f aca="false">+IF(C1422="EQUIPO",F1422,0)</f>
        <v>0</v>
      </c>
      <c r="F1422" s="33" t="n">
        <v>0</v>
      </c>
      <c r="G1422" s="62"/>
      <c r="H1422" s="35" t="n">
        <v>0</v>
      </c>
      <c r="I1422" s="34" t="n">
        <f aca="false">+IF(E1422=0,0,E1422*0.03)</f>
        <v>0</v>
      </c>
    </row>
    <row r="1423" customFormat="false" ht="15.75" hidden="false" customHeight="true" outlineLevel="0" collapsed="false">
      <c r="A1423" s="30" t="n">
        <v>45323</v>
      </c>
      <c r="B1423" s="31" t="s">
        <v>11</v>
      </c>
      <c r="C1423" s="32"/>
      <c r="D1423" s="32"/>
      <c r="E1423" s="19" t="n">
        <f aca="false">+IF(C1423="EQUIPO",F1423,0)</f>
        <v>0</v>
      </c>
      <c r="F1423" s="33" t="n">
        <v>0</v>
      </c>
      <c r="G1423" s="62"/>
      <c r="H1423" s="35" t="n">
        <v>0</v>
      </c>
      <c r="I1423" s="34" t="n">
        <f aca="false">+IF(E1423=0,0,E1423*0.03)</f>
        <v>0</v>
      </c>
    </row>
    <row r="1424" customFormat="false" ht="15.75" hidden="false" customHeight="true" outlineLevel="0" collapsed="false">
      <c r="A1424" s="30" t="n">
        <v>45323</v>
      </c>
      <c r="B1424" s="31" t="s">
        <v>11</v>
      </c>
      <c r="C1424" s="32"/>
      <c r="D1424" s="32"/>
      <c r="E1424" s="19" t="n">
        <f aca="false">+IF(C1424="EQUIPO",F1424,0)</f>
        <v>0</v>
      </c>
      <c r="F1424" s="33" t="n">
        <v>0</v>
      </c>
      <c r="G1424" s="62"/>
      <c r="H1424" s="35" t="n">
        <v>0</v>
      </c>
      <c r="I1424" s="34" t="n">
        <f aca="false">+IF(E1424=0,0,E1424*0.03)</f>
        <v>0</v>
      </c>
    </row>
    <row r="1425" customFormat="false" ht="15.75" hidden="false" customHeight="true" outlineLevel="0" collapsed="false">
      <c r="A1425" s="30" t="n">
        <v>45323</v>
      </c>
      <c r="B1425" s="31" t="s">
        <v>11</v>
      </c>
      <c r="C1425" s="32"/>
      <c r="D1425" s="32"/>
      <c r="E1425" s="19" t="n">
        <f aca="false">+IF(C1425="EQUIPO",F1425,0)</f>
        <v>0</v>
      </c>
      <c r="F1425" s="33" t="n">
        <v>0</v>
      </c>
      <c r="G1425" s="62"/>
      <c r="H1425" s="35" t="n">
        <v>0</v>
      </c>
      <c r="I1425" s="34" t="n">
        <f aca="false">+IF(E1425=0,0,E1425*0.03)</f>
        <v>0</v>
      </c>
    </row>
    <row r="1426" customFormat="false" ht="15.75" hidden="false" customHeight="true" outlineLevel="0" collapsed="false">
      <c r="A1426" s="30" t="n">
        <v>45323</v>
      </c>
      <c r="B1426" s="31" t="s">
        <v>11</v>
      </c>
      <c r="C1426" s="32"/>
      <c r="D1426" s="32"/>
      <c r="E1426" s="19" t="n">
        <f aca="false">+IF(C1426="EQUIPO",F1426,0)</f>
        <v>0</v>
      </c>
      <c r="F1426" s="33" t="n">
        <v>0</v>
      </c>
      <c r="G1426" s="62"/>
      <c r="H1426" s="35" t="n">
        <v>0</v>
      </c>
      <c r="I1426" s="34" t="n">
        <f aca="false">+IF(E1426=0,0,E1426*0.03)</f>
        <v>0</v>
      </c>
    </row>
    <row r="1427" customFormat="false" ht="15.75" hidden="false" customHeight="true" outlineLevel="0" collapsed="false">
      <c r="A1427" s="30" t="n">
        <v>45323</v>
      </c>
      <c r="B1427" s="31" t="s">
        <v>11</v>
      </c>
      <c r="C1427" s="32"/>
      <c r="D1427" s="32"/>
      <c r="E1427" s="19" t="n">
        <f aca="false">+IF(C1427="EQUIPO",F1427,0)</f>
        <v>0</v>
      </c>
      <c r="F1427" s="33" t="n">
        <v>0</v>
      </c>
      <c r="G1427" s="62"/>
      <c r="H1427" s="35" t="n">
        <v>0</v>
      </c>
      <c r="I1427" s="34" t="n">
        <f aca="false">+IF(E1427=0,0,E1427*0.03)</f>
        <v>0</v>
      </c>
    </row>
    <row r="1428" customFormat="false" ht="15.75" hidden="false" customHeight="true" outlineLevel="0" collapsed="false">
      <c r="A1428" s="30" t="n">
        <v>45323</v>
      </c>
      <c r="B1428" s="31" t="s">
        <v>11</v>
      </c>
      <c r="C1428" s="32"/>
      <c r="D1428" s="32"/>
      <c r="E1428" s="19" t="n">
        <f aca="false">+IF(C1428="EQUIPO",F1428,0)</f>
        <v>0</v>
      </c>
      <c r="F1428" s="33" t="n">
        <v>0</v>
      </c>
      <c r="G1428" s="62"/>
      <c r="H1428" s="35" t="n">
        <v>0</v>
      </c>
      <c r="I1428" s="34" t="n">
        <f aca="false">+IF(E1428=0,0,E1428*0.03)</f>
        <v>0</v>
      </c>
    </row>
    <row r="1429" customFormat="false" ht="15.75" hidden="false" customHeight="true" outlineLevel="0" collapsed="false">
      <c r="A1429" s="30" t="n">
        <v>45323</v>
      </c>
      <c r="B1429" s="31" t="s">
        <v>11</v>
      </c>
      <c r="C1429" s="32"/>
      <c r="D1429" s="32"/>
      <c r="E1429" s="19" t="n">
        <f aca="false">+IF(C1429="EQUIPO",F1429,0)</f>
        <v>0</v>
      </c>
      <c r="F1429" s="33" t="n">
        <v>0</v>
      </c>
      <c r="G1429" s="62"/>
      <c r="H1429" s="35" t="n">
        <v>0</v>
      </c>
      <c r="I1429" s="34" t="n">
        <f aca="false">+IF(E1429=0,0,E1429*0.03)</f>
        <v>0</v>
      </c>
    </row>
    <row r="1430" customFormat="false" ht="15.75" hidden="false" customHeight="true" outlineLevel="0" collapsed="false">
      <c r="A1430" s="30" t="n">
        <v>45323</v>
      </c>
      <c r="B1430" s="31" t="s">
        <v>11</v>
      </c>
      <c r="C1430" s="32"/>
      <c r="D1430" s="32"/>
      <c r="E1430" s="19" t="n">
        <f aca="false">+IF(C1430="EQUIPO",F1430,0)</f>
        <v>0</v>
      </c>
      <c r="F1430" s="33" t="n">
        <v>0</v>
      </c>
      <c r="G1430" s="62"/>
      <c r="H1430" s="35" t="n">
        <v>0</v>
      </c>
      <c r="I1430" s="34" t="n">
        <f aca="false">+IF(E1430=0,0,E1430*0.03)</f>
        <v>0</v>
      </c>
    </row>
    <row r="1431" customFormat="false" ht="15.75" hidden="false" customHeight="true" outlineLevel="0" collapsed="false">
      <c r="A1431" s="30" t="n">
        <v>45323</v>
      </c>
      <c r="B1431" s="31" t="s">
        <v>11</v>
      </c>
      <c r="C1431" s="32"/>
      <c r="D1431" s="32"/>
      <c r="E1431" s="19" t="n">
        <f aca="false">+IF(C1431="EQUIPO",F1431,0)</f>
        <v>0</v>
      </c>
      <c r="F1431" s="33" t="n">
        <v>0</v>
      </c>
      <c r="G1431" s="62"/>
      <c r="H1431" s="35" t="n">
        <v>0</v>
      </c>
      <c r="I1431" s="34" t="n">
        <f aca="false">+IF(E1431=0,0,E1431*0.03)</f>
        <v>0</v>
      </c>
    </row>
    <row r="1432" customFormat="false" ht="15.75" hidden="false" customHeight="true" outlineLevel="0" collapsed="false">
      <c r="A1432" s="30" t="n">
        <v>45323</v>
      </c>
      <c r="B1432" s="31" t="s">
        <v>11</v>
      </c>
      <c r="C1432" s="32"/>
      <c r="D1432" s="32"/>
      <c r="E1432" s="19" t="n">
        <f aca="false">+IF(C1432="EQUIPO",F1432,0)</f>
        <v>0</v>
      </c>
      <c r="F1432" s="33" t="n">
        <v>0</v>
      </c>
      <c r="G1432" s="62"/>
      <c r="H1432" s="35" t="n">
        <v>0</v>
      </c>
      <c r="I1432" s="34" t="n">
        <f aca="false">+IF(E1432=0,0,E1432*0.03)</f>
        <v>0</v>
      </c>
    </row>
    <row r="1433" customFormat="false" ht="15.75" hidden="false" customHeight="true" outlineLevel="0" collapsed="false">
      <c r="A1433" s="30" t="n">
        <v>45323</v>
      </c>
      <c r="B1433" s="31" t="s">
        <v>11</v>
      </c>
      <c r="C1433" s="32"/>
      <c r="D1433" s="32"/>
      <c r="E1433" s="19" t="n">
        <f aca="false">+IF(C1433="EQUIPO",F1433,0)</f>
        <v>0</v>
      </c>
      <c r="F1433" s="33" t="n">
        <v>0</v>
      </c>
      <c r="G1433" s="62"/>
      <c r="H1433" s="35" t="n">
        <v>0</v>
      </c>
      <c r="I1433" s="34" t="n">
        <f aca="false">+IF(E1433=0,0,E1433*0.03)</f>
        <v>0</v>
      </c>
    </row>
    <row r="1434" customFormat="false" ht="15.75" hidden="false" customHeight="true" outlineLevel="0" collapsed="false">
      <c r="A1434" s="30" t="n">
        <v>45323</v>
      </c>
      <c r="B1434" s="31" t="s">
        <v>11</v>
      </c>
      <c r="C1434" s="32"/>
      <c r="D1434" s="32"/>
      <c r="E1434" s="19" t="n">
        <f aca="false">+IF(C1434="EQUIPO",F1434,0)</f>
        <v>0</v>
      </c>
      <c r="F1434" s="33" t="n">
        <v>0</v>
      </c>
      <c r="G1434" s="62"/>
      <c r="H1434" s="35" t="n">
        <v>0</v>
      </c>
      <c r="I1434" s="34" t="n">
        <f aca="false">+IF(E1434=0,0,E1434*0.03)</f>
        <v>0</v>
      </c>
    </row>
    <row r="1435" customFormat="false" ht="15.75" hidden="false" customHeight="true" outlineLevel="0" collapsed="false">
      <c r="A1435" s="30" t="n">
        <v>45323</v>
      </c>
      <c r="B1435" s="31" t="s">
        <v>11</v>
      </c>
      <c r="C1435" s="32"/>
      <c r="D1435" s="32"/>
      <c r="E1435" s="19" t="n">
        <f aca="false">+IF(C1435="EQUIPO",F1435,0)</f>
        <v>0</v>
      </c>
      <c r="F1435" s="33" t="n">
        <v>0</v>
      </c>
      <c r="G1435" s="62"/>
      <c r="H1435" s="35" t="n">
        <v>0</v>
      </c>
      <c r="I1435" s="34" t="n">
        <f aca="false">+IF(E1435=0,0,E1435*0.03)</f>
        <v>0</v>
      </c>
    </row>
    <row r="1436" customFormat="false" ht="15.75" hidden="false" customHeight="true" outlineLevel="0" collapsed="false">
      <c r="A1436" s="30" t="n">
        <v>45323</v>
      </c>
      <c r="B1436" s="31" t="s">
        <v>11</v>
      </c>
      <c r="C1436" s="32"/>
      <c r="D1436" s="32"/>
      <c r="E1436" s="19" t="n">
        <f aca="false">+IF(C1436="EQUIPO",F1436,0)</f>
        <v>0</v>
      </c>
      <c r="F1436" s="33" t="n">
        <v>0</v>
      </c>
      <c r="G1436" s="62"/>
      <c r="H1436" s="35" t="n">
        <v>0</v>
      </c>
      <c r="I1436" s="34" t="n">
        <f aca="false">+IF(E1436=0,0,E1436*0.03)</f>
        <v>0</v>
      </c>
    </row>
    <row r="1437" customFormat="false" ht="15.75" hidden="false" customHeight="true" outlineLevel="0" collapsed="false">
      <c r="A1437" s="30" t="n">
        <v>45323</v>
      </c>
      <c r="B1437" s="31" t="s">
        <v>11</v>
      </c>
      <c r="C1437" s="32"/>
      <c r="D1437" s="32"/>
      <c r="E1437" s="19" t="n">
        <f aca="false">+IF(C1437="EQUIPO",F1437,0)</f>
        <v>0</v>
      </c>
      <c r="F1437" s="33" t="n">
        <v>0</v>
      </c>
      <c r="G1437" s="62"/>
      <c r="H1437" s="35" t="n">
        <v>0</v>
      </c>
      <c r="I1437" s="34" t="n">
        <f aca="false">+IF(E1437=0,0,E1437*0.03)</f>
        <v>0</v>
      </c>
    </row>
    <row r="1438" customFormat="false" ht="15.75" hidden="false" customHeight="true" outlineLevel="0" collapsed="false">
      <c r="A1438" s="30" t="n">
        <v>45323</v>
      </c>
      <c r="B1438" s="31" t="s">
        <v>11</v>
      </c>
      <c r="C1438" s="32"/>
      <c r="D1438" s="32"/>
      <c r="E1438" s="19" t="n">
        <f aca="false">+IF(C1438="EQUIPO",F1438,0)</f>
        <v>0</v>
      </c>
      <c r="F1438" s="33" t="n">
        <v>0</v>
      </c>
      <c r="G1438" s="62"/>
      <c r="H1438" s="35" t="n">
        <v>0</v>
      </c>
      <c r="I1438" s="34" t="n">
        <f aca="false">+IF(E1438=0,0,E1438*0.03)</f>
        <v>0</v>
      </c>
    </row>
    <row r="1439" customFormat="false" ht="15.75" hidden="false" customHeight="true" outlineLevel="0" collapsed="false">
      <c r="A1439" s="30" t="n">
        <v>45323</v>
      </c>
      <c r="B1439" s="31" t="s">
        <v>11</v>
      </c>
      <c r="C1439" s="32"/>
      <c r="D1439" s="32"/>
      <c r="E1439" s="19" t="n">
        <f aca="false">+IF(C1439="EQUIPO",F1439,0)</f>
        <v>0</v>
      </c>
      <c r="F1439" s="33" t="n">
        <v>0</v>
      </c>
      <c r="G1439" s="62"/>
      <c r="H1439" s="35" t="n">
        <v>0</v>
      </c>
      <c r="I1439" s="34" t="n">
        <f aca="false">+IF(E1439=0,0,E1439*0.03)</f>
        <v>0</v>
      </c>
    </row>
    <row r="1440" customFormat="false" ht="15.75" hidden="false" customHeight="true" outlineLevel="0" collapsed="false">
      <c r="A1440" s="30" t="n">
        <v>45323</v>
      </c>
      <c r="B1440" s="31" t="s">
        <v>11</v>
      </c>
      <c r="C1440" s="32"/>
      <c r="D1440" s="32"/>
      <c r="E1440" s="19" t="n">
        <f aca="false">+IF(C1440="EQUIPO",F1440,0)</f>
        <v>0</v>
      </c>
      <c r="F1440" s="33" t="n">
        <v>0</v>
      </c>
      <c r="G1440" s="62"/>
      <c r="H1440" s="35" t="n">
        <v>0</v>
      </c>
      <c r="I1440" s="34" t="n">
        <f aca="false">+IF(E1440=0,0,E1440*0.03)</f>
        <v>0</v>
      </c>
    </row>
    <row r="1441" customFormat="false" ht="15.75" hidden="false" customHeight="true" outlineLevel="0" collapsed="false">
      <c r="A1441" s="30" t="n">
        <v>45323</v>
      </c>
      <c r="B1441" s="31" t="s">
        <v>11</v>
      </c>
      <c r="C1441" s="32"/>
      <c r="D1441" s="32"/>
      <c r="E1441" s="19" t="n">
        <f aca="false">+IF(C1441="EQUIPO",F1441,0)</f>
        <v>0</v>
      </c>
      <c r="F1441" s="33" t="n">
        <v>0</v>
      </c>
      <c r="G1441" s="62"/>
      <c r="H1441" s="35" t="n">
        <v>0</v>
      </c>
      <c r="I1441" s="34" t="n">
        <f aca="false">+IF(E1441=0,0,E1441*0.03)</f>
        <v>0</v>
      </c>
    </row>
    <row r="1442" customFormat="false" ht="15.75" hidden="false" customHeight="true" outlineLevel="0" collapsed="false">
      <c r="A1442" s="30" t="n">
        <v>45323</v>
      </c>
      <c r="B1442" s="31" t="s">
        <v>11</v>
      </c>
      <c r="C1442" s="32"/>
      <c r="D1442" s="32"/>
      <c r="E1442" s="19" t="n">
        <f aca="false">+IF(C1442="EQUIPO",F1442,0)</f>
        <v>0</v>
      </c>
      <c r="F1442" s="33" t="n">
        <v>0</v>
      </c>
      <c r="G1442" s="62"/>
      <c r="H1442" s="35" t="n">
        <v>0</v>
      </c>
      <c r="I1442" s="34" t="n">
        <f aca="false">+IF(E1442=0,0,E1442*0.03)</f>
        <v>0</v>
      </c>
    </row>
    <row r="1443" customFormat="false" ht="15.75" hidden="false" customHeight="true" outlineLevel="0" collapsed="false">
      <c r="A1443" s="30" t="n">
        <v>45323</v>
      </c>
      <c r="B1443" s="31" t="s">
        <v>11</v>
      </c>
      <c r="C1443" s="32"/>
      <c r="D1443" s="32"/>
      <c r="E1443" s="19" t="n">
        <f aca="false">+IF(C1443="EQUIPO",F1443,0)</f>
        <v>0</v>
      </c>
      <c r="F1443" s="33" t="n">
        <v>0</v>
      </c>
      <c r="G1443" s="62"/>
      <c r="H1443" s="35" t="n">
        <v>0</v>
      </c>
      <c r="I1443" s="34" t="n">
        <f aca="false">+IF(E1443=0,0,E1443*0.03)</f>
        <v>0</v>
      </c>
    </row>
    <row r="1444" customFormat="false" ht="15.75" hidden="false" customHeight="true" outlineLevel="0" collapsed="false">
      <c r="A1444" s="30" t="n">
        <v>45323</v>
      </c>
      <c r="B1444" s="31" t="s">
        <v>11</v>
      </c>
      <c r="C1444" s="32"/>
      <c r="D1444" s="32"/>
      <c r="E1444" s="19" t="n">
        <f aca="false">+IF(C1444="EQUIPO",F1444,0)</f>
        <v>0</v>
      </c>
      <c r="F1444" s="33" t="n">
        <v>0</v>
      </c>
      <c r="G1444" s="62"/>
      <c r="H1444" s="35" t="n">
        <v>0</v>
      </c>
      <c r="I1444" s="34" t="n">
        <f aca="false">+IF(E1444=0,0,E1444*0.03)</f>
        <v>0</v>
      </c>
    </row>
    <row r="1445" customFormat="false" ht="15.75" hidden="false" customHeight="true" outlineLevel="0" collapsed="false">
      <c r="A1445" s="30" t="n">
        <v>45323</v>
      </c>
      <c r="B1445" s="31" t="s">
        <v>11</v>
      </c>
      <c r="C1445" s="32"/>
      <c r="D1445" s="32"/>
      <c r="E1445" s="19" t="n">
        <f aca="false">+IF(C1445="EQUIPO",F1445,0)</f>
        <v>0</v>
      </c>
      <c r="F1445" s="33" t="n">
        <v>0</v>
      </c>
      <c r="G1445" s="62"/>
      <c r="H1445" s="35" t="n">
        <v>0</v>
      </c>
      <c r="I1445" s="34" t="n">
        <f aca="false">+IF(E1445=0,0,E1445*0.03)</f>
        <v>0</v>
      </c>
    </row>
    <row r="1446" customFormat="false" ht="15.75" hidden="false" customHeight="true" outlineLevel="0" collapsed="false">
      <c r="A1446" s="30" t="n">
        <v>45323</v>
      </c>
      <c r="B1446" s="31" t="s">
        <v>11</v>
      </c>
      <c r="C1446" s="32"/>
      <c r="D1446" s="32"/>
      <c r="E1446" s="19" t="n">
        <f aca="false">+IF(C1446="EQUIPO",F1446,0)</f>
        <v>0</v>
      </c>
      <c r="F1446" s="33" t="n">
        <v>0</v>
      </c>
      <c r="G1446" s="62"/>
      <c r="H1446" s="35" t="n">
        <v>0</v>
      </c>
      <c r="I1446" s="34" t="n">
        <f aca="false">+IF(E1446=0,0,E1446*0.03)</f>
        <v>0</v>
      </c>
    </row>
    <row r="1447" customFormat="false" ht="15.75" hidden="false" customHeight="true" outlineLevel="0" collapsed="false">
      <c r="A1447" s="30" t="n">
        <v>45323</v>
      </c>
      <c r="B1447" s="31" t="s">
        <v>11</v>
      </c>
      <c r="C1447" s="32"/>
      <c r="D1447" s="32"/>
      <c r="E1447" s="19" t="n">
        <f aca="false">+IF(C1447="EQUIPO",F1447,0)</f>
        <v>0</v>
      </c>
      <c r="F1447" s="33" t="n">
        <v>0</v>
      </c>
      <c r="G1447" s="62"/>
      <c r="H1447" s="35" t="n">
        <v>0</v>
      </c>
      <c r="I1447" s="34" t="n">
        <f aca="false">+IF(E1447=0,0,E1447*0.03)</f>
        <v>0</v>
      </c>
    </row>
    <row r="1448" customFormat="false" ht="15.75" hidden="false" customHeight="true" outlineLevel="0" collapsed="false">
      <c r="A1448" s="30" t="n">
        <v>45323</v>
      </c>
      <c r="B1448" s="31" t="s">
        <v>11</v>
      </c>
      <c r="C1448" s="32"/>
      <c r="D1448" s="32"/>
      <c r="E1448" s="19" t="n">
        <f aca="false">+IF(C1448="EQUIPO",F1448,0)</f>
        <v>0</v>
      </c>
      <c r="F1448" s="33" t="n">
        <v>0</v>
      </c>
      <c r="G1448" s="62"/>
      <c r="H1448" s="35" t="n">
        <v>0</v>
      </c>
      <c r="I1448" s="34" t="n">
        <f aca="false">+IF(E1448=0,0,E1448*0.03)</f>
        <v>0</v>
      </c>
    </row>
    <row r="1449" customFormat="false" ht="15.75" hidden="false" customHeight="true" outlineLevel="0" collapsed="false">
      <c r="A1449" s="30" t="n">
        <v>45323</v>
      </c>
      <c r="B1449" s="31" t="s">
        <v>11</v>
      </c>
      <c r="C1449" s="32"/>
      <c r="D1449" s="32"/>
      <c r="E1449" s="19" t="n">
        <f aca="false">+IF(C1449="EQUIPO",F1449,0)</f>
        <v>0</v>
      </c>
      <c r="F1449" s="33" t="n">
        <v>0</v>
      </c>
      <c r="G1449" s="62"/>
      <c r="H1449" s="35" t="n">
        <v>0</v>
      </c>
      <c r="I1449" s="34" t="n">
        <f aca="false">+IF(E1449=0,0,E1449*0.03)</f>
        <v>0</v>
      </c>
    </row>
    <row r="1450" customFormat="false" ht="15.75" hidden="false" customHeight="true" outlineLevel="0" collapsed="false">
      <c r="A1450" s="30" t="n">
        <v>45323</v>
      </c>
      <c r="B1450" s="31" t="s">
        <v>11</v>
      </c>
      <c r="C1450" s="32"/>
      <c r="D1450" s="32"/>
      <c r="E1450" s="19" t="n">
        <f aca="false">+IF(C1450="EQUIPO",F1450,0)</f>
        <v>0</v>
      </c>
      <c r="F1450" s="33" t="n">
        <v>0</v>
      </c>
      <c r="G1450" s="62"/>
      <c r="H1450" s="35" t="n">
        <v>0</v>
      </c>
      <c r="I1450" s="34" t="n">
        <f aca="false">+IF(E1450=0,0,E1450*0.03)</f>
        <v>0</v>
      </c>
    </row>
    <row r="1451" customFormat="false" ht="15.75" hidden="false" customHeight="true" outlineLevel="0" collapsed="false">
      <c r="A1451" s="30" t="n">
        <v>45323</v>
      </c>
      <c r="B1451" s="31" t="s">
        <v>11</v>
      </c>
      <c r="C1451" s="32"/>
      <c r="D1451" s="32"/>
      <c r="E1451" s="19" t="n">
        <f aca="false">+IF(C1451="EQUIPO",F1451,0)</f>
        <v>0</v>
      </c>
      <c r="F1451" s="33" t="n">
        <v>0</v>
      </c>
      <c r="G1451" s="62"/>
      <c r="H1451" s="35" t="n">
        <v>0</v>
      </c>
      <c r="I1451" s="34" t="n">
        <f aca="false">+IF(E1451=0,0,E1451*0.03)</f>
        <v>0</v>
      </c>
    </row>
    <row r="1452" customFormat="false" ht="15.75" hidden="false" customHeight="true" outlineLevel="0" collapsed="false">
      <c r="A1452" s="30" t="n">
        <v>45323</v>
      </c>
      <c r="B1452" s="31" t="s">
        <v>11</v>
      </c>
      <c r="C1452" s="32"/>
      <c r="D1452" s="32"/>
      <c r="E1452" s="19" t="n">
        <f aca="false">+IF(C1452="EQUIPO",F1452,0)</f>
        <v>0</v>
      </c>
      <c r="F1452" s="33" t="n">
        <v>0</v>
      </c>
      <c r="G1452" s="62"/>
      <c r="H1452" s="35" t="n">
        <v>0</v>
      </c>
      <c r="I1452" s="34" t="n">
        <f aca="false">+IF(E1452=0,0,E1452*0.03)</f>
        <v>0</v>
      </c>
    </row>
    <row r="1453" customFormat="false" ht="15.75" hidden="false" customHeight="true" outlineLevel="0" collapsed="false">
      <c r="A1453" s="30" t="n">
        <v>45323</v>
      </c>
      <c r="B1453" s="31" t="s">
        <v>11</v>
      </c>
      <c r="C1453" s="32"/>
      <c r="D1453" s="32"/>
      <c r="E1453" s="19" t="n">
        <f aca="false">+IF(C1453="EQUIPO",F1453,0)</f>
        <v>0</v>
      </c>
      <c r="F1453" s="33" t="n">
        <v>0</v>
      </c>
      <c r="G1453" s="62"/>
      <c r="H1453" s="35" t="n">
        <v>0</v>
      </c>
      <c r="I1453" s="34" t="n">
        <f aca="false">+IF(E1453=0,0,E1453*0.03)</f>
        <v>0</v>
      </c>
    </row>
    <row r="1454" customFormat="false" ht="15.75" hidden="false" customHeight="true" outlineLevel="0" collapsed="false">
      <c r="A1454" s="30" t="n">
        <v>45323</v>
      </c>
      <c r="B1454" s="31" t="s">
        <v>11</v>
      </c>
      <c r="C1454" s="32"/>
      <c r="D1454" s="32"/>
      <c r="E1454" s="19" t="n">
        <f aca="false">+IF(C1454="EQUIPO",F1454,0)</f>
        <v>0</v>
      </c>
      <c r="F1454" s="33" t="n">
        <v>0</v>
      </c>
      <c r="G1454" s="62"/>
      <c r="H1454" s="35" t="n">
        <v>0</v>
      </c>
      <c r="I1454" s="34" t="n">
        <f aca="false">+IF(E1454=0,0,E1454*0.03)</f>
        <v>0</v>
      </c>
    </row>
    <row r="1455" customFormat="false" ht="15.75" hidden="false" customHeight="true" outlineLevel="0" collapsed="false">
      <c r="A1455" s="30" t="n">
        <v>45323</v>
      </c>
      <c r="B1455" s="31" t="s">
        <v>11</v>
      </c>
      <c r="C1455" s="32"/>
      <c r="D1455" s="32"/>
      <c r="E1455" s="19" t="n">
        <f aca="false">+IF(C1455="EQUIPO",F1455,0)</f>
        <v>0</v>
      </c>
      <c r="F1455" s="33" t="n">
        <v>0</v>
      </c>
      <c r="G1455" s="62"/>
      <c r="H1455" s="35" t="n">
        <v>0</v>
      </c>
      <c r="I1455" s="34" t="n">
        <f aca="false">+IF(E1455=0,0,E1455*0.03)</f>
        <v>0</v>
      </c>
    </row>
    <row r="1456" customFormat="false" ht="15.75" hidden="false" customHeight="true" outlineLevel="0" collapsed="false">
      <c r="A1456" s="30" t="n">
        <v>45323</v>
      </c>
      <c r="B1456" s="31" t="s">
        <v>11</v>
      </c>
      <c r="C1456" s="32"/>
      <c r="D1456" s="32"/>
      <c r="E1456" s="19" t="n">
        <f aca="false">+IF(C1456="EQUIPO",F1456,0)</f>
        <v>0</v>
      </c>
      <c r="F1456" s="33" t="n">
        <v>0</v>
      </c>
      <c r="G1456" s="62"/>
      <c r="H1456" s="35" t="n">
        <v>0</v>
      </c>
      <c r="I1456" s="34" t="n">
        <f aca="false">+IF(E1456=0,0,E1456*0.03)</f>
        <v>0</v>
      </c>
    </row>
    <row r="1457" customFormat="false" ht="15.75" hidden="false" customHeight="true" outlineLevel="0" collapsed="false">
      <c r="A1457" s="30" t="n">
        <v>45323</v>
      </c>
      <c r="B1457" s="31" t="s">
        <v>11</v>
      </c>
      <c r="C1457" s="32"/>
      <c r="D1457" s="32"/>
      <c r="E1457" s="19" t="n">
        <f aca="false">+IF(C1457="EQUIPO",F1457,0)</f>
        <v>0</v>
      </c>
      <c r="F1457" s="33" t="n">
        <v>0</v>
      </c>
      <c r="G1457" s="62"/>
      <c r="H1457" s="35" t="n">
        <v>0</v>
      </c>
      <c r="I1457" s="34" t="n">
        <f aca="false">+IF(E1457=0,0,E1457*0.03)</f>
        <v>0</v>
      </c>
    </row>
    <row r="1458" customFormat="false" ht="15.75" hidden="false" customHeight="true" outlineLevel="0" collapsed="false">
      <c r="A1458" s="30" t="n">
        <v>45323</v>
      </c>
      <c r="B1458" s="31" t="s">
        <v>11</v>
      </c>
      <c r="C1458" s="32"/>
      <c r="D1458" s="32"/>
      <c r="E1458" s="19" t="n">
        <f aca="false">+IF(C1458="EQUIPO",F1458,0)</f>
        <v>0</v>
      </c>
      <c r="F1458" s="33" t="n">
        <v>0</v>
      </c>
      <c r="G1458" s="62"/>
      <c r="H1458" s="35" t="n">
        <v>0</v>
      </c>
      <c r="I1458" s="34" t="n">
        <f aca="false">+IF(E1458=0,0,E1458*0.03)</f>
        <v>0</v>
      </c>
    </row>
    <row r="1459" customFormat="false" ht="15.75" hidden="false" customHeight="true" outlineLevel="0" collapsed="false">
      <c r="A1459" s="30" t="n">
        <v>45323</v>
      </c>
      <c r="B1459" s="31" t="s">
        <v>11</v>
      </c>
      <c r="C1459" s="32"/>
      <c r="D1459" s="32"/>
      <c r="E1459" s="19" t="n">
        <f aca="false">+IF(C1459="EQUIPO",F1459,0)</f>
        <v>0</v>
      </c>
      <c r="F1459" s="33" t="n">
        <v>0</v>
      </c>
      <c r="G1459" s="62"/>
      <c r="H1459" s="35" t="n">
        <v>0</v>
      </c>
      <c r="I1459" s="34" t="n">
        <f aca="false">+IF(E1459=0,0,E1459*0.03)</f>
        <v>0</v>
      </c>
    </row>
    <row r="1460" customFormat="false" ht="15.75" hidden="false" customHeight="true" outlineLevel="0" collapsed="false">
      <c r="A1460" s="30" t="n">
        <v>45323</v>
      </c>
      <c r="B1460" s="31" t="s">
        <v>11</v>
      </c>
      <c r="C1460" s="32"/>
      <c r="D1460" s="32"/>
      <c r="E1460" s="19" t="n">
        <f aca="false">+IF(C1460="EQUIPO",F1460,0)</f>
        <v>0</v>
      </c>
      <c r="F1460" s="33" t="n">
        <v>0</v>
      </c>
      <c r="G1460" s="62"/>
      <c r="H1460" s="35" t="n">
        <v>0</v>
      </c>
      <c r="I1460" s="34" t="n">
        <f aca="false">+IF(E1460=0,0,E1460*0.03)</f>
        <v>0</v>
      </c>
    </row>
    <row r="1461" customFormat="false" ht="15.75" hidden="false" customHeight="true" outlineLevel="0" collapsed="false">
      <c r="A1461" s="30" t="n">
        <v>45323</v>
      </c>
      <c r="B1461" s="31" t="s">
        <v>11</v>
      </c>
      <c r="C1461" s="32"/>
      <c r="D1461" s="32"/>
      <c r="E1461" s="19" t="n">
        <f aca="false">+IF(C1461="EQUIPO",F1461,0)</f>
        <v>0</v>
      </c>
      <c r="F1461" s="33" t="n">
        <v>0</v>
      </c>
      <c r="G1461" s="62"/>
      <c r="H1461" s="35" t="n">
        <v>0</v>
      </c>
      <c r="I1461" s="34" t="n">
        <f aca="false">+IF(E1461=0,0,E1461*0.03)</f>
        <v>0</v>
      </c>
    </row>
    <row r="1462" customFormat="false" ht="15.75" hidden="false" customHeight="true" outlineLevel="0" collapsed="false">
      <c r="A1462" s="30" t="n">
        <v>45323</v>
      </c>
      <c r="B1462" s="31" t="s">
        <v>11</v>
      </c>
      <c r="C1462" s="32"/>
      <c r="D1462" s="32"/>
      <c r="E1462" s="19" t="n">
        <f aca="false">+IF(C1462="EQUIPO",F1462,0)</f>
        <v>0</v>
      </c>
      <c r="F1462" s="33" t="n">
        <v>0</v>
      </c>
      <c r="G1462" s="62"/>
      <c r="H1462" s="35" t="n">
        <v>0</v>
      </c>
      <c r="I1462" s="34" t="n">
        <f aca="false">+IF(E1462=0,0,E1462*0.03)</f>
        <v>0</v>
      </c>
    </row>
    <row r="1463" customFormat="false" ht="15.75" hidden="false" customHeight="true" outlineLevel="0" collapsed="false">
      <c r="A1463" s="30" t="n">
        <v>45323</v>
      </c>
      <c r="B1463" s="31" t="s">
        <v>11</v>
      </c>
      <c r="C1463" s="32"/>
      <c r="D1463" s="32"/>
      <c r="E1463" s="19" t="n">
        <f aca="false">+IF(C1463="EQUIPO",F1463,0)</f>
        <v>0</v>
      </c>
      <c r="F1463" s="33" t="n">
        <v>0</v>
      </c>
      <c r="G1463" s="62"/>
      <c r="H1463" s="35" t="n">
        <v>0</v>
      </c>
      <c r="I1463" s="34" t="n">
        <f aca="false">+IF(E1463=0,0,E1463*0.03)</f>
        <v>0</v>
      </c>
    </row>
    <row r="1464" customFormat="false" ht="15.75" hidden="false" customHeight="true" outlineLevel="0" collapsed="false">
      <c r="A1464" s="30" t="n">
        <v>45323</v>
      </c>
      <c r="B1464" s="31" t="s">
        <v>11</v>
      </c>
      <c r="C1464" s="32"/>
      <c r="D1464" s="32"/>
      <c r="E1464" s="19" t="n">
        <f aca="false">+IF(C1464="EQUIPO",F1464,0)</f>
        <v>0</v>
      </c>
      <c r="F1464" s="33" t="n">
        <v>0</v>
      </c>
      <c r="G1464" s="62"/>
      <c r="H1464" s="35" t="n">
        <v>0</v>
      </c>
      <c r="I1464" s="34" t="n">
        <f aca="false">+IF(E1464=0,0,E1464*0.03)</f>
        <v>0</v>
      </c>
    </row>
    <row r="1465" customFormat="false" ht="15.75" hidden="false" customHeight="true" outlineLevel="0" collapsed="false">
      <c r="A1465" s="30" t="n">
        <v>45323</v>
      </c>
      <c r="B1465" s="31" t="s">
        <v>11</v>
      </c>
      <c r="C1465" s="32"/>
      <c r="D1465" s="32"/>
      <c r="E1465" s="19" t="n">
        <f aca="false">+IF(C1465="EQUIPO",F1465,0)</f>
        <v>0</v>
      </c>
      <c r="F1465" s="33" t="n">
        <v>0</v>
      </c>
      <c r="G1465" s="62"/>
      <c r="H1465" s="35" t="n">
        <v>0</v>
      </c>
      <c r="I1465" s="34" t="n">
        <f aca="false">+IF(E1465=0,0,E1465*0.03)</f>
        <v>0</v>
      </c>
    </row>
    <row r="1466" customFormat="false" ht="15.75" hidden="false" customHeight="true" outlineLevel="0" collapsed="false">
      <c r="A1466" s="30" t="n">
        <v>45323</v>
      </c>
      <c r="B1466" s="31" t="s">
        <v>11</v>
      </c>
      <c r="C1466" s="32"/>
      <c r="D1466" s="32"/>
      <c r="E1466" s="19" t="n">
        <f aca="false">+IF(C1466="EQUIPO",F1466,0)</f>
        <v>0</v>
      </c>
      <c r="F1466" s="33" t="n">
        <v>0</v>
      </c>
      <c r="G1466" s="62"/>
      <c r="H1466" s="35" t="n">
        <v>0</v>
      </c>
      <c r="I1466" s="34" t="n">
        <f aca="false">+IF(E1466=0,0,E1466*0.03)</f>
        <v>0</v>
      </c>
    </row>
    <row r="1467" customFormat="false" ht="15.75" hidden="false" customHeight="true" outlineLevel="0" collapsed="false">
      <c r="A1467" s="30" t="n">
        <v>45323</v>
      </c>
      <c r="B1467" s="31" t="s">
        <v>11</v>
      </c>
      <c r="C1467" s="32"/>
      <c r="D1467" s="32"/>
      <c r="E1467" s="19" t="n">
        <f aca="false">+IF(C1467="EQUIPO",F1467,0)</f>
        <v>0</v>
      </c>
      <c r="F1467" s="33" t="n">
        <v>0</v>
      </c>
      <c r="G1467" s="62"/>
      <c r="H1467" s="35" t="n">
        <v>0</v>
      </c>
      <c r="I1467" s="34" t="n">
        <f aca="false">+IF(E1467=0,0,E1467*0.03)</f>
        <v>0</v>
      </c>
    </row>
    <row r="1468" customFormat="false" ht="15.75" hidden="false" customHeight="true" outlineLevel="0" collapsed="false">
      <c r="A1468" s="30" t="n">
        <v>45323</v>
      </c>
      <c r="B1468" s="31" t="s">
        <v>11</v>
      </c>
      <c r="C1468" s="32"/>
      <c r="D1468" s="32"/>
      <c r="E1468" s="19" t="n">
        <f aca="false">+IF(C1468="EQUIPO",F1468,0)</f>
        <v>0</v>
      </c>
      <c r="F1468" s="33" t="n">
        <v>0</v>
      </c>
      <c r="G1468" s="62"/>
      <c r="H1468" s="35" t="n">
        <v>0</v>
      </c>
      <c r="I1468" s="34" t="n">
        <f aca="false">+IF(E1468=0,0,E1468*0.03)</f>
        <v>0</v>
      </c>
    </row>
    <row r="1469" customFormat="false" ht="15.75" hidden="false" customHeight="true" outlineLevel="0" collapsed="false">
      <c r="A1469" s="30" t="n">
        <v>45323</v>
      </c>
      <c r="B1469" s="31" t="s">
        <v>11</v>
      </c>
      <c r="C1469" s="32"/>
      <c r="D1469" s="32"/>
      <c r="E1469" s="19" t="n">
        <f aca="false">+IF(C1469="EQUIPO",F1469,0)</f>
        <v>0</v>
      </c>
      <c r="F1469" s="33" t="n">
        <v>0</v>
      </c>
      <c r="G1469" s="62"/>
      <c r="H1469" s="35" t="n">
        <v>0</v>
      </c>
      <c r="I1469" s="34" t="n">
        <f aca="false">+IF(E1469=0,0,E1469*0.03)</f>
        <v>0</v>
      </c>
    </row>
    <row r="1470" customFormat="false" ht="15.75" hidden="false" customHeight="true" outlineLevel="0" collapsed="false">
      <c r="A1470" s="30" t="n">
        <v>45323</v>
      </c>
      <c r="B1470" s="31" t="s">
        <v>11</v>
      </c>
      <c r="C1470" s="32"/>
      <c r="D1470" s="32"/>
      <c r="E1470" s="19" t="n">
        <f aca="false">+IF(C1470="EQUIPO",F1470,0)</f>
        <v>0</v>
      </c>
      <c r="F1470" s="33" t="n">
        <v>0</v>
      </c>
      <c r="G1470" s="62"/>
      <c r="H1470" s="35" t="n">
        <v>0</v>
      </c>
      <c r="I1470" s="34" t="n">
        <f aca="false">+IF(E1470=0,0,E1470*0.03)</f>
        <v>0</v>
      </c>
    </row>
    <row r="1471" customFormat="false" ht="15.75" hidden="false" customHeight="true" outlineLevel="0" collapsed="false">
      <c r="A1471" s="30" t="n">
        <v>45323</v>
      </c>
      <c r="B1471" s="31" t="s">
        <v>11</v>
      </c>
      <c r="C1471" s="32"/>
      <c r="D1471" s="32"/>
      <c r="E1471" s="19" t="n">
        <f aca="false">+IF(C1471="EQUIPO",F1471,0)</f>
        <v>0</v>
      </c>
      <c r="F1471" s="33" t="n">
        <v>0</v>
      </c>
      <c r="G1471" s="62"/>
      <c r="H1471" s="35" t="n">
        <v>0</v>
      </c>
      <c r="I1471" s="34" t="n">
        <f aca="false">+IF(E1471=0,0,E1471*0.03)</f>
        <v>0</v>
      </c>
    </row>
    <row r="1472" customFormat="false" ht="15.75" hidden="false" customHeight="true" outlineLevel="0" collapsed="false">
      <c r="A1472" s="30" t="n">
        <v>45323</v>
      </c>
      <c r="B1472" s="31" t="s">
        <v>11</v>
      </c>
      <c r="C1472" s="32"/>
      <c r="D1472" s="32"/>
      <c r="E1472" s="19" t="n">
        <f aca="false">+IF(C1472="EQUIPO",F1472,0)</f>
        <v>0</v>
      </c>
      <c r="F1472" s="33" t="n">
        <v>0</v>
      </c>
      <c r="G1472" s="62"/>
      <c r="H1472" s="35" t="n">
        <v>0</v>
      </c>
      <c r="I1472" s="34" t="n">
        <f aca="false">+IF(E1472=0,0,E1472*0.03)</f>
        <v>0</v>
      </c>
    </row>
    <row r="1473" customFormat="false" ht="15.75" hidden="false" customHeight="true" outlineLevel="0" collapsed="false">
      <c r="A1473" s="30" t="n">
        <v>45323</v>
      </c>
      <c r="B1473" s="31" t="s">
        <v>11</v>
      </c>
      <c r="C1473" s="32"/>
      <c r="D1473" s="32"/>
      <c r="E1473" s="19" t="n">
        <f aca="false">+IF(C1473="EQUIPO",F1473,0)</f>
        <v>0</v>
      </c>
      <c r="F1473" s="33" t="n">
        <v>0</v>
      </c>
      <c r="G1473" s="62"/>
      <c r="H1473" s="35" t="n">
        <v>0</v>
      </c>
      <c r="I1473" s="34" t="n">
        <f aca="false">+IF(E1473=0,0,E1473*0.03)</f>
        <v>0</v>
      </c>
    </row>
    <row r="1474" customFormat="false" ht="15.75" hidden="false" customHeight="true" outlineLevel="0" collapsed="false">
      <c r="A1474" s="30" t="n">
        <v>45323</v>
      </c>
      <c r="B1474" s="31" t="s">
        <v>11</v>
      </c>
      <c r="C1474" s="32"/>
      <c r="D1474" s="32"/>
      <c r="E1474" s="19" t="n">
        <f aca="false">+IF(C1474="EQUIPO",F1474,0)</f>
        <v>0</v>
      </c>
      <c r="F1474" s="33" t="n">
        <v>0</v>
      </c>
      <c r="G1474" s="62"/>
      <c r="H1474" s="35" t="n">
        <v>0</v>
      </c>
      <c r="I1474" s="34" t="n">
        <f aca="false">+IF(E1474=0,0,E1474*0.03)</f>
        <v>0</v>
      </c>
    </row>
    <row r="1475" customFormat="false" ht="15.75" hidden="false" customHeight="true" outlineLevel="0" collapsed="false">
      <c r="A1475" s="30" t="n">
        <v>45323</v>
      </c>
      <c r="B1475" s="31" t="s">
        <v>11</v>
      </c>
      <c r="C1475" s="32"/>
      <c r="D1475" s="32"/>
      <c r="E1475" s="19" t="n">
        <f aca="false">+IF(C1475="EQUIPO",F1475,0)</f>
        <v>0</v>
      </c>
      <c r="F1475" s="33" t="n">
        <v>0</v>
      </c>
      <c r="G1475" s="62"/>
      <c r="H1475" s="35" t="n">
        <v>0</v>
      </c>
      <c r="I1475" s="34" t="n">
        <f aca="false">+IF(E1475=0,0,E1475*0.03)</f>
        <v>0</v>
      </c>
    </row>
    <row r="1476" customFormat="false" ht="15.75" hidden="false" customHeight="true" outlineLevel="0" collapsed="false">
      <c r="A1476" s="30" t="n">
        <v>45323</v>
      </c>
      <c r="B1476" s="31" t="s">
        <v>11</v>
      </c>
      <c r="C1476" s="32"/>
      <c r="D1476" s="32"/>
      <c r="E1476" s="19" t="n">
        <f aca="false">+IF(C1476="EQUIPO",F1476,0)</f>
        <v>0</v>
      </c>
      <c r="F1476" s="33" t="n">
        <v>0</v>
      </c>
      <c r="G1476" s="62"/>
      <c r="H1476" s="35" t="n">
        <v>0</v>
      </c>
      <c r="I1476" s="34" t="n">
        <f aca="false">+IF(E1476=0,0,E1476*0.03)</f>
        <v>0</v>
      </c>
    </row>
    <row r="1477" customFormat="false" ht="15.75" hidden="false" customHeight="true" outlineLevel="0" collapsed="false">
      <c r="A1477" s="30" t="n">
        <v>45323</v>
      </c>
      <c r="B1477" s="31" t="s">
        <v>11</v>
      </c>
      <c r="C1477" s="32"/>
      <c r="D1477" s="32"/>
      <c r="E1477" s="19" t="n">
        <f aca="false">+IF(C1477="EQUIPO",F1477,0)</f>
        <v>0</v>
      </c>
      <c r="F1477" s="33" t="n">
        <v>0</v>
      </c>
      <c r="G1477" s="62"/>
      <c r="H1477" s="35" t="n">
        <v>0</v>
      </c>
      <c r="I1477" s="34" t="n">
        <f aca="false">+IF(E1477=0,0,E1477*0.03)</f>
        <v>0</v>
      </c>
    </row>
    <row r="1478" customFormat="false" ht="15.75" hidden="false" customHeight="true" outlineLevel="0" collapsed="false">
      <c r="A1478" s="30" t="n">
        <v>45323</v>
      </c>
      <c r="B1478" s="31" t="s">
        <v>11</v>
      </c>
      <c r="C1478" s="32"/>
      <c r="D1478" s="32"/>
      <c r="E1478" s="19" t="n">
        <f aca="false">+IF(C1478="EQUIPO",F1478,0)</f>
        <v>0</v>
      </c>
      <c r="F1478" s="33" t="n">
        <v>0</v>
      </c>
      <c r="G1478" s="62"/>
      <c r="H1478" s="35" t="n">
        <v>0</v>
      </c>
      <c r="I1478" s="34" t="n">
        <f aca="false">+IF(E1478=0,0,E1478*0.03)</f>
        <v>0</v>
      </c>
    </row>
    <row r="1479" customFormat="false" ht="15.75" hidden="false" customHeight="true" outlineLevel="0" collapsed="false">
      <c r="A1479" s="30" t="n">
        <v>45323</v>
      </c>
      <c r="B1479" s="31" t="s">
        <v>11</v>
      </c>
      <c r="C1479" s="32"/>
      <c r="D1479" s="32"/>
      <c r="E1479" s="19" t="n">
        <f aca="false">+IF(C1479="EQUIPO",F1479,0)</f>
        <v>0</v>
      </c>
      <c r="F1479" s="33" t="n">
        <v>0</v>
      </c>
      <c r="G1479" s="62"/>
      <c r="H1479" s="35" t="n">
        <v>0</v>
      </c>
      <c r="I1479" s="34" t="n">
        <f aca="false">+IF(E1479=0,0,E1479*0.03)</f>
        <v>0</v>
      </c>
    </row>
    <row r="1480" customFormat="false" ht="15.75" hidden="false" customHeight="true" outlineLevel="0" collapsed="false">
      <c r="A1480" s="30" t="n">
        <v>45323</v>
      </c>
      <c r="B1480" s="31" t="s">
        <v>11</v>
      </c>
      <c r="C1480" s="32"/>
      <c r="D1480" s="32"/>
      <c r="E1480" s="19" t="n">
        <f aca="false">+IF(C1480="EQUIPO",F1480,0)</f>
        <v>0</v>
      </c>
      <c r="F1480" s="33" t="n">
        <v>0</v>
      </c>
      <c r="G1480" s="62"/>
      <c r="H1480" s="35" t="n">
        <v>0</v>
      </c>
      <c r="I1480" s="34" t="n">
        <f aca="false">+IF(E1480=0,0,E1480*0.03)</f>
        <v>0</v>
      </c>
    </row>
    <row r="1481" customFormat="false" ht="15.75" hidden="false" customHeight="true" outlineLevel="0" collapsed="false">
      <c r="A1481" s="30" t="n">
        <v>45323</v>
      </c>
      <c r="B1481" s="31" t="s">
        <v>11</v>
      </c>
      <c r="C1481" s="32"/>
      <c r="D1481" s="32"/>
      <c r="E1481" s="19" t="n">
        <f aca="false">+IF(C1481="EQUIPO",F1481,0)</f>
        <v>0</v>
      </c>
      <c r="F1481" s="33" t="n">
        <v>0</v>
      </c>
      <c r="G1481" s="62"/>
      <c r="H1481" s="35" t="n">
        <v>0</v>
      </c>
      <c r="I1481" s="34" t="n">
        <f aca="false">+IF(E1481=0,0,E1481*0.03)</f>
        <v>0</v>
      </c>
    </row>
    <row r="1482" customFormat="false" ht="15.75" hidden="false" customHeight="true" outlineLevel="0" collapsed="false">
      <c r="A1482" s="30" t="n">
        <v>45323</v>
      </c>
      <c r="B1482" s="31" t="s">
        <v>11</v>
      </c>
      <c r="C1482" s="32"/>
      <c r="D1482" s="32"/>
      <c r="E1482" s="19" t="n">
        <f aca="false">+IF(C1482="EQUIPO",F1482,0)</f>
        <v>0</v>
      </c>
      <c r="F1482" s="33" t="n">
        <v>0</v>
      </c>
      <c r="G1482" s="62"/>
      <c r="H1482" s="35" t="n">
        <v>0</v>
      </c>
      <c r="I1482" s="34" t="n">
        <f aca="false">+IF(E1482=0,0,E1482*0.03)</f>
        <v>0</v>
      </c>
    </row>
    <row r="1483" customFormat="false" ht="15.75" hidden="false" customHeight="true" outlineLevel="0" collapsed="false">
      <c r="A1483" s="30" t="n">
        <v>45323</v>
      </c>
      <c r="B1483" s="31" t="s">
        <v>11</v>
      </c>
      <c r="C1483" s="32"/>
      <c r="D1483" s="32"/>
      <c r="E1483" s="19" t="n">
        <f aca="false">+IF(C1483="EQUIPO",F1483,0)</f>
        <v>0</v>
      </c>
      <c r="F1483" s="33" t="n">
        <v>0</v>
      </c>
      <c r="G1483" s="62"/>
      <c r="H1483" s="35" t="n">
        <v>0</v>
      </c>
      <c r="I1483" s="34" t="n">
        <f aca="false">+IF(E1483=0,0,E1483*0.03)</f>
        <v>0</v>
      </c>
    </row>
    <row r="1484" customFormat="false" ht="15.75" hidden="false" customHeight="true" outlineLevel="0" collapsed="false">
      <c r="A1484" s="30" t="n">
        <v>45323</v>
      </c>
      <c r="B1484" s="31" t="s">
        <v>11</v>
      </c>
      <c r="C1484" s="32"/>
      <c r="D1484" s="32"/>
      <c r="E1484" s="19" t="n">
        <f aca="false">+IF(C1484="EQUIPO",F1484,0)</f>
        <v>0</v>
      </c>
      <c r="F1484" s="33" t="n">
        <v>0</v>
      </c>
      <c r="G1484" s="62"/>
      <c r="H1484" s="35" t="n">
        <v>0</v>
      </c>
      <c r="I1484" s="34" t="n">
        <f aca="false">+IF(E1484=0,0,E1484*0.03)</f>
        <v>0</v>
      </c>
    </row>
    <row r="1485" customFormat="false" ht="15.75" hidden="false" customHeight="true" outlineLevel="0" collapsed="false">
      <c r="A1485" s="30" t="n">
        <v>45323</v>
      </c>
      <c r="B1485" s="31" t="s">
        <v>11</v>
      </c>
      <c r="C1485" s="32"/>
      <c r="D1485" s="32"/>
      <c r="E1485" s="19" t="n">
        <f aca="false">+IF(C1485="EQUIPO",F1485,0)</f>
        <v>0</v>
      </c>
      <c r="F1485" s="33" t="n">
        <v>0</v>
      </c>
      <c r="G1485" s="62"/>
      <c r="H1485" s="35" t="n">
        <v>0</v>
      </c>
      <c r="I1485" s="34" t="n">
        <f aca="false">+IF(E1485=0,0,E1485*0.03)</f>
        <v>0</v>
      </c>
    </row>
    <row r="1486" customFormat="false" ht="15.75" hidden="false" customHeight="true" outlineLevel="0" collapsed="false">
      <c r="A1486" s="30" t="n">
        <v>45323</v>
      </c>
      <c r="B1486" s="31" t="s">
        <v>11</v>
      </c>
      <c r="C1486" s="32"/>
      <c r="D1486" s="32"/>
      <c r="E1486" s="19" t="n">
        <f aca="false">+IF(C1486="EQUIPO",F1486,0)</f>
        <v>0</v>
      </c>
      <c r="F1486" s="33" t="n">
        <v>0</v>
      </c>
      <c r="G1486" s="62"/>
      <c r="H1486" s="35" t="n">
        <v>0</v>
      </c>
      <c r="I1486" s="34" t="n">
        <f aca="false">+IF(E1486=0,0,E1486*0.03)</f>
        <v>0</v>
      </c>
    </row>
    <row r="1487" customFormat="false" ht="15.75" hidden="false" customHeight="true" outlineLevel="0" collapsed="false">
      <c r="A1487" s="30" t="n">
        <v>45323</v>
      </c>
      <c r="B1487" s="31" t="s">
        <v>11</v>
      </c>
      <c r="C1487" s="32"/>
      <c r="D1487" s="32"/>
      <c r="E1487" s="19" t="n">
        <f aca="false">+IF(C1487="EQUIPO",F1487,0)</f>
        <v>0</v>
      </c>
      <c r="F1487" s="33" t="n">
        <v>0</v>
      </c>
      <c r="G1487" s="62"/>
      <c r="H1487" s="35" t="n">
        <v>0</v>
      </c>
      <c r="I1487" s="34" t="n">
        <f aca="false">+IF(E1487=0,0,E1487*0.03)</f>
        <v>0</v>
      </c>
    </row>
    <row r="1488" customFormat="false" ht="15.75" hidden="false" customHeight="true" outlineLevel="0" collapsed="false">
      <c r="A1488" s="30" t="n">
        <v>45323</v>
      </c>
      <c r="B1488" s="31" t="s">
        <v>11</v>
      </c>
      <c r="C1488" s="32"/>
      <c r="D1488" s="32"/>
      <c r="E1488" s="19" t="n">
        <f aca="false">+IF(C1488="EQUIPO",F1488,0)</f>
        <v>0</v>
      </c>
      <c r="F1488" s="33" t="n">
        <v>0</v>
      </c>
      <c r="G1488" s="62"/>
      <c r="H1488" s="35" t="n">
        <v>0</v>
      </c>
      <c r="I1488" s="34" t="n">
        <f aca="false">+IF(E1488=0,0,E1488*0.03)</f>
        <v>0</v>
      </c>
    </row>
    <row r="1489" customFormat="false" ht="15.75" hidden="false" customHeight="true" outlineLevel="0" collapsed="false">
      <c r="A1489" s="30" t="n">
        <v>45323</v>
      </c>
      <c r="B1489" s="31" t="s">
        <v>11</v>
      </c>
      <c r="C1489" s="32"/>
      <c r="D1489" s="32"/>
      <c r="E1489" s="19" t="n">
        <f aca="false">+IF(C1489="EQUIPO",F1489,0)</f>
        <v>0</v>
      </c>
      <c r="F1489" s="33" t="n">
        <v>0</v>
      </c>
      <c r="G1489" s="62"/>
      <c r="H1489" s="35" t="n">
        <v>0</v>
      </c>
      <c r="I1489" s="34" t="n">
        <f aca="false">+IF(E1489=0,0,E1489*0.03)</f>
        <v>0</v>
      </c>
    </row>
    <row r="1490" customFormat="false" ht="15.75" hidden="false" customHeight="true" outlineLevel="0" collapsed="false">
      <c r="A1490" s="30" t="n">
        <v>45323</v>
      </c>
      <c r="B1490" s="31" t="s">
        <v>11</v>
      </c>
      <c r="C1490" s="32"/>
      <c r="D1490" s="32"/>
      <c r="E1490" s="19" t="n">
        <f aca="false">+IF(C1490="EQUIPO",F1490,0)</f>
        <v>0</v>
      </c>
      <c r="F1490" s="33" t="n">
        <v>0</v>
      </c>
      <c r="G1490" s="62"/>
      <c r="H1490" s="35" t="n">
        <v>0</v>
      </c>
      <c r="I1490" s="34" t="n">
        <f aca="false">+IF(E1490=0,0,E1490*0.03)</f>
        <v>0</v>
      </c>
    </row>
    <row r="1491" customFormat="false" ht="15.75" hidden="false" customHeight="true" outlineLevel="0" collapsed="false">
      <c r="A1491" s="30" t="n">
        <v>45323</v>
      </c>
      <c r="B1491" s="31" t="s">
        <v>11</v>
      </c>
      <c r="C1491" s="32"/>
      <c r="D1491" s="32"/>
      <c r="E1491" s="19" t="n">
        <f aca="false">+IF(C1491="EQUIPO",F1491,0)</f>
        <v>0</v>
      </c>
      <c r="F1491" s="33" t="n">
        <v>0</v>
      </c>
      <c r="G1491" s="62"/>
      <c r="H1491" s="35" t="n">
        <v>0</v>
      </c>
      <c r="I1491" s="34" t="n">
        <f aca="false">+IF(E1491=0,0,E1491*0.03)</f>
        <v>0</v>
      </c>
    </row>
    <row r="1492" customFormat="false" ht="15.75" hidden="false" customHeight="true" outlineLevel="0" collapsed="false">
      <c r="A1492" s="30" t="n">
        <v>45323</v>
      </c>
      <c r="B1492" s="31" t="s">
        <v>11</v>
      </c>
      <c r="C1492" s="32"/>
      <c r="D1492" s="32"/>
      <c r="E1492" s="19" t="n">
        <f aca="false">+IF(C1492="EQUIPO",F1492,0)</f>
        <v>0</v>
      </c>
      <c r="F1492" s="33" t="n">
        <v>0</v>
      </c>
      <c r="G1492" s="62"/>
      <c r="H1492" s="35" t="n">
        <v>0</v>
      </c>
      <c r="I1492" s="34" t="n">
        <f aca="false">+IF(E1492=0,0,E1492*0.03)</f>
        <v>0</v>
      </c>
    </row>
    <row r="1493" customFormat="false" ht="15.75" hidden="false" customHeight="true" outlineLevel="0" collapsed="false">
      <c r="A1493" s="30" t="n">
        <v>45323</v>
      </c>
      <c r="B1493" s="31" t="s">
        <v>11</v>
      </c>
      <c r="C1493" s="32"/>
      <c r="D1493" s="32"/>
      <c r="E1493" s="19" t="n">
        <f aca="false">+IF(C1493="EQUIPO",F1493,0)</f>
        <v>0</v>
      </c>
      <c r="F1493" s="33" t="n">
        <v>0</v>
      </c>
      <c r="G1493" s="62"/>
      <c r="H1493" s="35" t="n">
        <v>0</v>
      </c>
      <c r="I1493" s="34" t="n">
        <f aca="false">+IF(E1493=0,0,E1493*0.03)</f>
        <v>0</v>
      </c>
    </row>
    <row r="1494" customFormat="false" ht="15.75" hidden="false" customHeight="true" outlineLevel="0" collapsed="false">
      <c r="A1494" s="30" t="n">
        <v>45323</v>
      </c>
      <c r="B1494" s="31" t="s">
        <v>11</v>
      </c>
      <c r="C1494" s="32"/>
      <c r="D1494" s="32"/>
      <c r="E1494" s="19" t="n">
        <f aca="false">+IF(C1494="EQUIPO",F1494,0)</f>
        <v>0</v>
      </c>
      <c r="F1494" s="33" t="n">
        <v>0</v>
      </c>
      <c r="G1494" s="62"/>
      <c r="H1494" s="35" t="n">
        <v>0</v>
      </c>
      <c r="I1494" s="34" t="n">
        <f aca="false">+IF(E1494=0,0,E1494*0.03)</f>
        <v>0</v>
      </c>
    </row>
    <row r="1495" customFormat="false" ht="15.75" hidden="false" customHeight="true" outlineLevel="0" collapsed="false">
      <c r="A1495" s="30" t="n">
        <v>45323</v>
      </c>
      <c r="B1495" s="31" t="s">
        <v>11</v>
      </c>
      <c r="C1495" s="32"/>
      <c r="D1495" s="32"/>
      <c r="E1495" s="19" t="n">
        <f aca="false">+IF(C1495="EQUIPO",F1495,0)</f>
        <v>0</v>
      </c>
      <c r="F1495" s="33" t="n">
        <v>0</v>
      </c>
      <c r="G1495" s="62"/>
      <c r="H1495" s="35" t="n">
        <v>0</v>
      </c>
      <c r="I1495" s="34" t="n">
        <f aca="false">+IF(E1495=0,0,E1495*0.03)</f>
        <v>0</v>
      </c>
    </row>
    <row r="1496" customFormat="false" ht="15.75" hidden="false" customHeight="true" outlineLevel="0" collapsed="false">
      <c r="A1496" s="30" t="n">
        <v>45323</v>
      </c>
      <c r="B1496" s="31" t="s">
        <v>11</v>
      </c>
      <c r="C1496" s="32"/>
      <c r="D1496" s="32"/>
      <c r="E1496" s="19" t="n">
        <f aca="false">+IF(C1496="EQUIPO",F1496,0)</f>
        <v>0</v>
      </c>
      <c r="F1496" s="33" t="n">
        <v>0</v>
      </c>
      <c r="G1496" s="62"/>
      <c r="H1496" s="35" t="n">
        <v>0</v>
      </c>
      <c r="I1496" s="34" t="n">
        <f aca="false">+IF(E1496=0,0,E1496*0.03)</f>
        <v>0</v>
      </c>
    </row>
    <row r="1497" customFormat="false" ht="15.75" hidden="false" customHeight="true" outlineLevel="0" collapsed="false">
      <c r="A1497" s="30" t="n">
        <v>45323</v>
      </c>
      <c r="B1497" s="31" t="s">
        <v>11</v>
      </c>
      <c r="C1497" s="32"/>
      <c r="D1497" s="32"/>
      <c r="E1497" s="19" t="n">
        <f aca="false">+IF(C1497="EQUIPO",F1497,0)</f>
        <v>0</v>
      </c>
      <c r="F1497" s="33" t="n">
        <v>0</v>
      </c>
      <c r="G1497" s="62"/>
      <c r="H1497" s="35" t="n">
        <v>0</v>
      </c>
      <c r="I1497" s="34" t="n">
        <f aca="false">+IF(E1497=0,0,E1497*0.03)</f>
        <v>0</v>
      </c>
    </row>
    <row r="1498" customFormat="false" ht="15.75" hidden="false" customHeight="true" outlineLevel="0" collapsed="false">
      <c r="A1498" s="30" t="n">
        <v>45323</v>
      </c>
      <c r="B1498" s="31" t="s">
        <v>11</v>
      </c>
      <c r="C1498" s="32"/>
      <c r="D1498" s="32"/>
      <c r="E1498" s="19" t="n">
        <f aca="false">+IF(C1498="EQUIPO",F1498,0)</f>
        <v>0</v>
      </c>
      <c r="F1498" s="33" t="n">
        <v>0</v>
      </c>
      <c r="G1498" s="62"/>
      <c r="H1498" s="35" t="n">
        <v>0</v>
      </c>
      <c r="I1498" s="34" t="n">
        <f aca="false">+IF(E1498=0,0,E1498*0.03)</f>
        <v>0</v>
      </c>
    </row>
    <row r="1499" customFormat="false" ht="15.75" hidden="false" customHeight="true" outlineLevel="0" collapsed="false">
      <c r="A1499" s="30" t="n">
        <v>45323</v>
      </c>
      <c r="B1499" s="31" t="s">
        <v>11</v>
      </c>
      <c r="C1499" s="32"/>
      <c r="D1499" s="32"/>
      <c r="E1499" s="19" t="n">
        <f aca="false">+IF(C1499="EQUIPO",F1499,0)</f>
        <v>0</v>
      </c>
      <c r="F1499" s="33" t="n">
        <v>0</v>
      </c>
      <c r="G1499" s="62"/>
      <c r="H1499" s="35" t="n">
        <v>0</v>
      </c>
      <c r="I1499" s="34" t="n">
        <f aca="false">+IF(E1499=0,0,E1499*0.03)</f>
        <v>0</v>
      </c>
    </row>
    <row r="1500" customFormat="false" ht="15.75" hidden="false" customHeight="true" outlineLevel="0" collapsed="false">
      <c r="A1500" s="30" t="n">
        <v>45323</v>
      </c>
      <c r="B1500" s="31" t="s">
        <v>11</v>
      </c>
      <c r="C1500" s="32"/>
      <c r="D1500" s="32"/>
      <c r="E1500" s="19" t="n">
        <f aca="false">+IF(C1500="EQUIPO",F1500,0)</f>
        <v>0</v>
      </c>
      <c r="F1500" s="33" t="n">
        <v>0</v>
      </c>
      <c r="G1500" s="62"/>
      <c r="H1500" s="35" t="n">
        <v>0</v>
      </c>
      <c r="I1500" s="34" t="n">
        <f aca="false">+IF(E1500=0,0,E1500*0.03)</f>
        <v>0</v>
      </c>
    </row>
    <row r="1501" customFormat="false" ht="15.75" hidden="false" customHeight="true" outlineLevel="0" collapsed="false">
      <c r="A1501" s="30" t="n">
        <v>45323</v>
      </c>
      <c r="B1501" s="31" t="s">
        <v>11</v>
      </c>
      <c r="C1501" s="32"/>
      <c r="D1501" s="32"/>
      <c r="E1501" s="19" t="n">
        <f aca="false">+IF(C1501="EQUIPO",F1501,0)</f>
        <v>0</v>
      </c>
      <c r="F1501" s="33" t="n">
        <v>0</v>
      </c>
      <c r="G1501" s="62"/>
      <c r="H1501" s="35" t="n">
        <v>0</v>
      </c>
      <c r="I1501" s="34" t="n">
        <f aca="false">+IF(E1501=0,0,E1501*0.03)</f>
        <v>0</v>
      </c>
    </row>
    <row r="1502" customFormat="false" ht="15.75" hidden="false" customHeight="true" outlineLevel="0" collapsed="false">
      <c r="A1502" s="30" t="n">
        <v>45323</v>
      </c>
      <c r="B1502" s="31" t="s">
        <v>11</v>
      </c>
      <c r="C1502" s="32"/>
      <c r="D1502" s="32"/>
      <c r="E1502" s="19" t="n">
        <f aca="false">+IF(C1502="EQUIPO",F1502,0)</f>
        <v>0</v>
      </c>
      <c r="F1502" s="33" t="n">
        <v>0</v>
      </c>
      <c r="G1502" s="62"/>
      <c r="H1502" s="35" t="n">
        <v>0</v>
      </c>
      <c r="I1502" s="34" t="n">
        <f aca="false">+IF(E1502=0,0,E1502*0.03)</f>
        <v>0</v>
      </c>
    </row>
    <row r="1503" customFormat="false" ht="15.75" hidden="false" customHeight="true" outlineLevel="0" collapsed="false">
      <c r="A1503" s="30" t="n">
        <v>45323</v>
      </c>
      <c r="B1503" s="31" t="s">
        <v>11</v>
      </c>
      <c r="C1503" s="32"/>
      <c r="D1503" s="32"/>
      <c r="E1503" s="19" t="n">
        <f aca="false">+IF(C1503="EQUIPO",F1503,0)</f>
        <v>0</v>
      </c>
      <c r="F1503" s="33" t="n">
        <v>0</v>
      </c>
      <c r="G1503" s="62"/>
      <c r="H1503" s="35" t="n">
        <v>0</v>
      </c>
      <c r="I1503" s="34" t="n">
        <f aca="false">+IF(E1503=0,0,E1503*0.03)</f>
        <v>0</v>
      </c>
    </row>
    <row r="1504" customFormat="false" ht="15.75" hidden="false" customHeight="true" outlineLevel="0" collapsed="false">
      <c r="A1504" s="30" t="n">
        <v>45323</v>
      </c>
      <c r="B1504" s="31" t="s">
        <v>11</v>
      </c>
      <c r="C1504" s="32"/>
      <c r="D1504" s="32"/>
      <c r="E1504" s="19" t="n">
        <f aca="false">+IF(C1504="EQUIPO",F1504,0)</f>
        <v>0</v>
      </c>
      <c r="F1504" s="33" t="n">
        <v>0</v>
      </c>
      <c r="G1504" s="62"/>
      <c r="H1504" s="35" t="n">
        <v>0</v>
      </c>
      <c r="I1504" s="34" t="n">
        <f aca="false">+IF(E1504=0,0,E1504*0.03)</f>
        <v>0</v>
      </c>
    </row>
    <row r="1505" customFormat="false" ht="15.75" hidden="false" customHeight="true" outlineLevel="0" collapsed="false">
      <c r="A1505" s="30" t="n">
        <v>45323</v>
      </c>
      <c r="B1505" s="31" t="s">
        <v>11</v>
      </c>
      <c r="C1505" s="32"/>
      <c r="D1505" s="32"/>
      <c r="E1505" s="19" t="n">
        <f aca="false">+IF(C1505="EQUIPO",F1505,0)</f>
        <v>0</v>
      </c>
      <c r="F1505" s="33" t="n">
        <v>0</v>
      </c>
      <c r="G1505" s="62"/>
      <c r="H1505" s="35" t="n">
        <v>0</v>
      </c>
      <c r="I1505" s="34" t="n">
        <f aca="false">+IF(E1505=0,0,E1505*0.03)</f>
        <v>0</v>
      </c>
    </row>
    <row r="1506" customFormat="false" ht="15.75" hidden="false" customHeight="true" outlineLevel="0" collapsed="false">
      <c r="A1506" s="30" t="n">
        <v>45323</v>
      </c>
      <c r="B1506" s="31" t="s">
        <v>11</v>
      </c>
      <c r="C1506" s="32"/>
      <c r="D1506" s="32"/>
      <c r="E1506" s="19" t="n">
        <f aca="false">+IF(C1506="EQUIPO",F1506,0)</f>
        <v>0</v>
      </c>
      <c r="F1506" s="33" t="n">
        <v>0</v>
      </c>
      <c r="G1506" s="62"/>
      <c r="H1506" s="35" t="n">
        <v>0</v>
      </c>
      <c r="I1506" s="34" t="n">
        <f aca="false">+IF(E1506=0,0,E1506*0.03)</f>
        <v>0</v>
      </c>
    </row>
    <row r="1507" customFormat="false" ht="15.75" hidden="false" customHeight="true" outlineLevel="0" collapsed="false">
      <c r="A1507" s="30" t="n">
        <v>45323</v>
      </c>
      <c r="B1507" s="31" t="s">
        <v>11</v>
      </c>
      <c r="C1507" s="32"/>
      <c r="D1507" s="32"/>
      <c r="E1507" s="19" t="n">
        <f aca="false">+IF(C1507="EQUIPO",F1507,0)</f>
        <v>0</v>
      </c>
      <c r="F1507" s="33" t="n">
        <v>0</v>
      </c>
      <c r="G1507" s="62"/>
      <c r="H1507" s="35" t="n">
        <v>0</v>
      </c>
      <c r="I1507" s="34" t="n">
        <f aca="false">+IF(E1507=0,0,E1507*0.03)</f>
        <v>0</v>
      </c>
    </row>
    <row r="1508" customFormat="false" ht="15.75" hidden="false" customHeight="true" outlineLevel="0" collapsed="false">
      <c r="A1508" s="30" t="n">
        <v>45323</v>
      </c>
      <c r="B1508" s="31" t="s">
        <v>11</v>
      </c>
      <c r="C1508" s="32"/>
      <c r="D1508" s="32"/>
      <c r="E1508" s="19" t="n">
        <f aca="false">+IF(C1508="EQUIPO",F1508,0)</f>
        <v>0</v>
      </c>
      <c r="F1508" s="33" t="n">
        <v>0</v>
      </c>
      <c r="G1508" s="62"/>
      <c r="H1508" s="35" t="n">
        <v>0</v>
      </c>
      <c r="I1508" s="34" t="n">
        <f aca="false">+IF(E1508=0,0,E1508*0.03)</f>
        <v>0</v>
      </c>
    </row>
    <row r="1509" customFormat="false" ht="15.75" hidden="false" customHeight="true" outlineLevel="0" collapsed="false">
      <c r="A1509" s="30" t="n">
        <v>45323</v>
      </c>
      <c r="B1509" s="31" t="s">
        <v>11</v>
      </c>
      <c r="C1509" s="32"/>
      <c r="D1509" s="32"/>
      <c r="E1509" s="19" t="n">
        <f aca="false">+IF(C1509="EQUIPO",F1509,0)</f>
        <v>0</v>
      </c>
      <c r="F1509" s="33" t="n">
        <v>0</v>
      </c>
      <c r="G1509" s="62"/>
      <c r="H1509" s="35" t="n">
        <v>0</v>
      </c>
      <c r="I1509" s="34" t="n">
        <f aca="false">+IF(E1509=0,0,E1509*0.03)</f>
        <v>0</v>
      </c>
    </row>
    <row r="1510" customFormat="false" ht="15.75" hidden="false" customHeight="true" outlineLevel="0" collapsed="false">
      <c r="A1510" s="30" t="n">
        <v>45323</v>
      </c>
      <c r="B1510" s="31" t="s">
        <v>11</v>
      </c>
      <c r="C1510" s="32"/>
      <c r="D1510" s="32"/>
      <c r="E1510" s="19" t="n">
        <f aca="false">+IF(C1510="EQUIPO",F1510,0)</f>
        <v>0</v>
      </c>
      <c r="F1510" s="33" t="n">
        <v>0</v>
      </c>
      <c r="G1510" s="62"/>
      <c r="H1510" s="35" t="n">
        <v>0</v>
      </c>
      <c r="I1510" s="34" t="n">
        <f aca="false">+IF(E1510=0,0,E1510*0.03)</f>
        <v>0</v>
      </c>
    </row>
    <row r="1511" customFormat="false" ht="15.75" hidden="false" customHeight="true" outlineLevel="0" collapsed="false">
      <c r="A1511" s="30" t="n">
        <v>45323</v>
      </c>
      <c r="B1511" s="31" t="s">
        <v>11</v>
      </c>
      <c r="C1511" s="32"/>
      <c r="D1511" s="32"/>
      <c r="E1511" s="19" t="n">
        <f aca="false">+IF(C1511="EQUIPO",F1511,0)</f>
        <v>0</v>
      </c>
      <c r="F1511" s="33" t="n">
        <v>0</v>
      </c>
      <c r="G1511" s="62"/>
      <c r="H1511" s="35" t="n">
        <v>0</v>
      </c>
      <c r="I1511" s="34" t="n">
        <f aca="false">+IF(E1511=0,0,E1511*0.03)</f>
        <v>0</v>
      </c>
    </row>
    <row r="1512" customFormat="false" ht="15.75" hidden="false" customHeight="true" outlineLevel="0" collapsed="false">
      <c r="A1512" s="30" t="n">
        <v>45323</v>
      </c>
      <c r="B1512" s="31" t="s">
        <v>11</v>
      </c>
      <c r="C1512" s="32"/>
      <c r="D1512" s="32"/>
      <c r="E1512" s="19" t="n">
        <f aca="false">+IF(C1512="EQUIPO",F1512,0)</f>
        <v>0</v>
      </c>
      <c r="F1512" s="33" t="n">
        <v>0</v>
      </c>
      <c r="G1512" s="62"/>
      <c r="H1512" s="35" t="n">
        <v>0</v>
      </c>
      <c r="I1512" s="34" t="n">
        <f aca="false">+IF(E1512=0,0,E1512*0.03)</f>
        <v>0</v>
      </c>
    </row>
    <row r="1513" customFormat="false" ht="15.75" hidden="false" customHeight="true" outlineLevel="0" collapsed="false">
      <c r="A1513" s="30" t="n">
        <v>45323</v>
      </c>
      <c r="B1513" s="31" t="s">
        <v>11</v>
      </c>
      <c r="C1513" s="32"/>
      <c r="D1513" s="32"/>
      <c r="E1513" s="19" t="n">
        <f aca="false">+IF(C1513="EQUIPO",F1513,0)</f>
        <v>0</v>
      </c>
      <c r="F1513" s="33" t="n">
        <v>0</v>
      </c>
      <c r="G1513" s="62"/>
      <c r="H1513" s="35" t="n">
        <v>0</v>
      </c>
      <c r="I1513" s="34" t="n">
        <f aca="false">+IF(E1513=0,0,E1513*0.03)</f>
        <v>0</v>
      </c>
    </row>
    <row r="1514" customFormat="false" ht="15.75" hidden="false" customHeight="true" outlineLevel="0" collapsed="false">
      <c r="A1514" s="30" t="n">
        <v>45323</v>
      </c>
      <c r="B1514" s="31" t="s">
        <v>11</v>
      </c>
      <c r="C1514" s="32"/>
      <c r="D1514" s="32"/>
      <c r="E1514" s="19" t="n">
        <f aca="false">+IF(C1514="EQUIPO",F1514,0)</f>
        <v>0</v>
      </c>
      <c r="F1514" s="33" t="n">
        <v>0</v>
      </c>
      <c r="G1514" s="62"/>
      <c r="H1514" s="35" t="n">
        <v>0</v>
      </c>
      <c r="I1514" s="34" t="n">
        <f aca="false">+IF(E1514=0,0,E1514*0.03)</f>
        <v>0</v>
      </c>
    </row>
    <row r="1515" customFormat="false" ht="15.75" hidden="false" customHeight="true" outlineLevel="0" collapsed="false">
      <c r="A1515" s="30" t="n">
        <v>45323</v>
      </c>
      <c r="B1515" s="31" t="s">
        <v>11</v>
      </c>
      <c r="C1515" s="32"/>
      <c r="D1515" s="32"/>
      <c r="E1515" s="19" t="n">
        <f aca="false">+IF(C1515="EQUIPO",F1515,0)</f>
        <v>0</v>
      </c>
      <c r="F1515" s="33" t="n">
        <v>0</v>
      </c>
      <c r="G1515" s="62"/>
      <c r="H1515" s="35" t="n">
        <v>0</v>
      </c>
      <c r="I1515" s="34" t="n">
        <f aca="false">+IF(E1515=0,0,E1515*0.03)</f>
        <v>0</v>
      </c>
    </row>
    <row r="1516" customFormat="false" ht="15.75" hidden="false" customHeight="true" outlineLevel="0" collapsed="false">
      <c r="A1516" s="30" t="n">
        <v>45323</v>
      </c>
      <c r="B1516" s="31" t="s">
        <v>11</v>
      </c>
      <c r="C1516" s="32"/>
      <c r="D1516" s="32"/>
      <c r="E1516" s="19" t="n">
        <f aca="false">+IF(C1516="EQUIPO",F1516,0)</f>
        <v>0</v>
      </c>
      <c r="F1516" s="33" t="n">
        <v>0</v>
      </c>
      <c r="G1516" s="62"/>
      <c r="H1516" s="35" t="n">
        <v>0</v>
      </c>
      <c r="I1516" s="34" t="n">
        <f aca="false">+IF(E1516=0,0,E1516*0.03)</f>
        <v>0</v>
      </c>
    </row>
    <row r="1517" customFormat="false" ht="15.75" hidden="false" customHeight="true" outlineLevel="0" collapsed="false">
      <c r="A1517" s="30" t="n">
        <v>45323</v>
      </c>
      <c r="B1517" s="31" t="s">
        <v>11</v>
      </c>
      <c r="C1517" s="32"/>
      <c r="D1517" s="32"/>
      <c r="E1517" s="19" t="n">
        <f aca="false">+IF(C1517="EQUIPO",F1517,0)</f>
        <v>0</v>
      </c>
      <c r="F1517" s="33" t="n">
        <v>0</v>
      </c>
      <c r="G1517" s="62"/>
      <c r="H1517" s="35" t="n">
        <v>0</v>
      </c>
      <c r="I1517" s="34" t="n">
        <f aca="false">+IF(E1517=0,0,E1517*0.03)</f>
        <v>0</v>
      </c>
    </row>
    <row r="1518" customFormat="false" ht="15.75" hidden="false" customHeight="true" outlineLevel="0" collapsed="false">
      <c r="A1518" s="30" t="n">
        <v>45323</v>
      </c>
      <c r="B1518" s="31" t="s">
        <v>11</v>
      </c>
      <c r="C1518" s="32"/>
      <c r="D1518" s="32"/>
      <c r="E1518" s="19" t="n">
        <f aca="false">+IF(C1518="EQUIPO",F1518,0)</f>
        <v>0</v>
      </c>
      <c r="F1518" s="33" t="n">
        <v>0</v>
      </c>
      <c r="G1518" s="62"/>
      <c r="H1518" s="35" t="n">
        <v>0</v>
      </c>
      <c r="I1518" s="34" t="n">
        <f aca="false">+IF(E1518=0,0,E1518*0.03)</f>
        <v>0</v>
      </c>
    </row>
    <row r="1519" customFormat="false" ht="15.75" hidden="false" customHeight="true" outlineLevel="0" collapsed="false">
      <c r="A1519" s="30" t="n">
        <v>45323</v>
      </c>
      <c r="B1519" s="31" t="s">
        <v>11</v>
      </c>
      <c r="C1519" s="32"/>
      <c r="D1519" s="32"/>
      <c r="E1519" s="19" t="n">
        <f aca="false">+IF(C1519="EQUIPO",F1519,0)</f>
        <v>0</v>
      </c>
      <c r="F1519" s="33" t="n">
        <v>0</v>
      </c>
      <c r="G1519" s="62"/>
      <c r="H1519" s="35" t="n">
        <v>0</v>
      </c>
      <c r="I1519" s="34" t="n">
        <f aca="false">+IF(E1519=0,0,E1519*0.03)</f>
        <v>0</v>
      </c>
    </row>
    <row r="1520" customFormat="false" ht="15.75" hidden="false" customHeight="true" outlineLevel="0" collapsed="false">
      <c r="A1520" s="30" t="n">
        <v>45323</v>
      </c>
      <c r="B1520" s="31" t="s">
        <v>11</v>
      </c>
      <c r="C1520" s="32"/>
      <c r="D1520" s="32"/>
      <c r="E1520" s="19" t="n">
        <f aca="false">+IF(C1520="EQUIPO",F1520,0)</f>
        <v>0</v>
      </c>
      <c r="F1520" s="33" t="n">
        <v>0</v>
      </c>
      <c r="G1520" s="62"/>
      <c r="H1520" s="35" t="n">
        <v>0</v>
      </c>
      <c r="I1520" s="34" t="n">
        <f aca="false">+IF(E1520=0,0,E1520*0.03)</f>
        <v>0</v>
      </c>
    </row>
    <row r="1521" customFormat="false" ht="15.75" hidden="false" customHeight="true" outlineLevel="0" collapsed="false">
      <c r="A1521" s="30" t="n">
        <v>45323</v>
      </c>
      <c r="B1521" s="31" t="s">
        <v>11</v>
      </c>
      <c r="C1521" s="32"/>
      <c r="D1521" s="32"/>
      <c r="E1521" s="19" t="n">
        <f aca="false">+IF(C1521="EQUIPO",F1521,0)</f>
        <v>0</v>
      </c>
      <c r="F1521" s="33" t="n">
        <v>0</v>
      </c>
      <c r="G1521" s="62"/>
      <c r="H1521" s="35" t="n">
        <v>0</v>
      </c>
      <c r="I1521" s="34" t="n">
        <f aca="false">+IF(E1521=0,0,E1521*0.03)</f>
        <v>0</v>
      </c>
    </row>
    <row r="1522" customFormat="false" ht="15.75" hidden="false" customHeight="true" outlineLevel="0" collapsed="false">
      <c r="A1522" s="30" t="n">
        <v>45323</v>
      </c>
      <c r="B1522" s="31" t="s">
        <v>11</v>
      </c>
      <c r="C1522" s="32"/>
      <c r="D1522" s="32"/>
      <c r="E1522" s="19" t="n">
        <f aca="false">+IF(C1522="EQUIPO",F1522,0)</f>
        <v>0</v>
      </c>
      <c r="F1522" s="33" t="n">
        <v>0</v>
      </c>
      <c r="G1522" s="62"/>
      <c r="H1522" s="35" t="n">
        <v>0</v>
      </c>
      <c r="I1522" s="34" t="n">
        <f aca="false">+IF(E1522=0,0,E1522*0.03)</f>
        <v>0</v>
      </c>
    </row>
    <row r="1523" customFormat="false" ht="15.75" hidden="false" customHeight="true" outlineLevel="0" collapsed="false">
      <c r="A1523" s="30" t="n">
        <v>45323</v>
      </c>
      <c r="B1523" s="31" t="s">
        <v>11</v>
      </c>
      <c r="C1523" s="32"/>
      <c r="D1523" s="32"/>
      <c r="E1523" s="19" t="n">
        <f aca="false">+IF(C1523="EQUIPO",F1523,0)</f>
        <v>0</v>
      </c>
      <c r="F1523" s="33" t="n">
        <v>0</v>
      </c>
      <c r="G1523" s="62"/>
      <c r="H1523" s="35" t="n">
        <v>0</v>
      </c>
      <c r="I1523" s="34" t="n">
        <f aca="false">+IF(E1523=0,0,E1523*0.03)</f>
        <v>0</v>
      </c>
    </row>
    <row r="1524" customFormat="false" ht="15.75" hidden="false" customHeight="true" outlineLevel="0" collapsed="false">
      <c r="A1524" s="30" t="n">
        <v>45323</v>
      </c>
      <c r="B1524" s="31" t="s">
        <v>11</v>
      </c>
      <c r="C1524" s="32"/>
      <c r="D1524" s="32"/>
      <c r="E1524" s="19" t="n">
        <f aca="false">+IF(C1524="EQUIPO",F1524,0)</f>
        <v>0</v>
      </c>
      <c r="F1524" s="33" t="n">
        <v>0</v>
      </c>
      <c r="G1524" s="62"/>
      <c r="H1524" s="35" t="n">
        <v>0</v>
      </c>
      <c r="I1524" s="34" t="n">
        <f aca="false">+IF(E1524=0,0,E1524*0.03)</f>
        <v>0</v>
      </c>
    </row>
    <row r="1525" customFormat="false" ht="15.75" hidden="false" customHeight="true" outlineLevel="0" collapsed="false">
      <c r="A1525" s="30" t="n">
        <v>45323</v>
      </c>
      <c r="B1525" s="31" t="s">
        <v>11</v>
      </c>
      <c r="C1525" s="32"/>
      <c r="D1525" s="32"/>
      <c r="E1525" s="19" t="n">
        <f aca="false">+IF(C1525="EQUIPO",F1525,0)</f>
        <v>0</v>
      </c>
      <c r="F1525" s="33" t="n">
        <v>0</v>
      </c>
      <c r="G1525" s="62"/>
      <c r="H1525" s="35" t="n">
        <v>0</v>
      </c>
      <c r="I1525" s="34" t="n">
        <f aca="false">+IF(E1525=0,0,E1525*0.03)</f>
        <v>0</v>
      </c>
    </row>
    <row r="1526" customFormat="false" ht="15.75" hidden="false" customHeight="true" outlineLevel="0" collapsed="false">
      <c r="A1526" s="30" t="n">
        <v>45323</v>
      </c>
      <c r="B1526" s="31" t="s">
        <v>11</v>
      </c>
      <c r="C1526" s="32"/>
      <c r="D1526" s="32"/>
      <c r="E1526" s="19" t="n">
        <f aca="false">+IF(C1526="EQUIPO",F1526,0)</f>
        <v>0</v>
      </c>
      <c r="F1526" s="33" t="n">
        <v>0</v>
      </c>
      <c r="G1526" s="62"/>
      <c r="H1526" s="35" t="n">
        <v>0</v>
      </c>
      <c r="I1526" s="34" t="n">
        <f aca="false">+IF(E1526=0,0,E1526*0.03)</f>
        <v>0</v>
      </c>
    </row>
    <row r="1527" customFormat="false" ht="15.75" hidden="false" customHeight="true" outlineLevel="0" collapsed="false">
      <c r="A1527" s="30" t="n">
        <v>45323</v>
      </c>
      <c r="B1527" s="31" t="s">
        <v>11</v>
      </c>
      <c r="C1527" s="32"/>
      <c r="D1527" s="32"/>
      <c r="E1527" s="19" t="n">
        <f aca="false">+IF(C1527="EQUIPO",F1527,0)</f>
        <v>0</v>
      </c>
      <c r="F1527" s="33" t="n">
        <v>0</v>
      </c>
      <c r="G1527" s="62"/>
      <c r="H1527" s="35" t="n">
        <v>0</v>
      </c>
      <c r="I1527" s="34" t="n">
        <f aca="false">+IF(E1527=0,0,E1527*0.03)</f>
        <v>0</v>
      </c>
    </row>
    <row r="1528" customFormat="false" ht="15.75" hidden="false" customHeight="true" outlineLevel="0" collapsed="false">
      <c r="A1528" s="30" t="n">
        <v>45323</v>
      </c>
      <c r="B1528" s="31" t="s">
        <v>11</v>
      </c>
      <c r="C1528" s="32"/>
      <c r="D1528" s="32"/>
      <c r="E1528" s="19" t="n">
        <f aca="false">+IF(C1528="EQUIPO",F1528,0)</f>
        <v>0</v>
      </c>
      <c r="F1528" s="33" t="n">
        <v>0</v>
      </c>
      <c r="G1528" s="62"/>
      <c r="H1528" s="35" t="n">
        <v>0</v>
      </c>
      <c r="I1528" s="34" t="n">
        <f aca="false">+IF(E1528=0,0,E1528*0.03)</f>
        <v>0</v>
      </c>
    </row>
    <row r="1529" customFormat="false" ht="15.75" hidden="false" customHeight="true" outlineLevel="0" collapsed="false">
      <c r="A1529" s="30" t="n">
        <v>45323</v>
      </c>
      <c r="B1529" s="31" t="s">
        <v>11</v>
      </c>
      <c r="C1529" s="32"/>
      <c r="D1529" s="32"/>
      <c r="E1529" s="19" t="n">
        <f aca="false">+IF(C1529="EQUIPO",F1529,0)</f>
        <v>0</v>
      </c>
      <c r="F1529" s="33" t="n">
        <v>0</v>
      </c>
      <c r="G1529" s="62"/>
      <c r="H1529" s="35" t="n">
        <v>0</v>
      </c>
      <c r="I1529" s="34" t="n">
        <f aca="false">+IF(E1529=0,0,E1529*0.03)</f>
        <v>0</v>
      </c>
    </row>
    <row r="1530" customFormat="false" ht="15.75" hidden="false" customHeight="true" outlineLevel="0" collapsed="false">
      <c r="A1530" s="30" t="n">
        <v>45323</v>
      </c>
      <c r="B1530" s="31" t="s">
        <v>11</v>
      </c>
      <c r="C1530" s="32"/>
      <c r="D1530" s="32"/>
      <c r="E1530" s="19" t="n">
        <f aca="false">+IF(C1530="EQUIPO",F1530,0)</f>
        <v>0</v>
      </c>
      <c r="F1530" s="33" t="n">
        <v>0</v>
      </c>
      <c r="G1530" s="62"/>
      <c r="H1530" s="35" t="n">
        <v>0</v>
      </c>
      <c r="I1530" s="34" t="n">
        <f aca="false">+IF(E1530=0,0,E1530*0.03)</f>
        <v>0</v>
      </c>
    </row>
    <row r="1531" customFormat="false" ht="15.75" hidden="false" customHeight="true" outlineLevel="0" collapsed="false">
      <c r="A1531" s="30" t="n">
        <v>45323</v>
      </c>
      <c r="B1531" s="31" t="s">
        <v>11</v>
      </c>
      <c r="C1531" s="32"/>
      <c r="D1531" s="32"/>
      <c r="E1531" s="19" t="n">
        <f aca="false">+IF(C1531="EQUIPO",F1531,0)</f>
        <v>0</v>
      </c>
      <c r="F1531" s="33" t="n">
        <v>0</v>
      </c>
      <c r="G1531" s="62"/>
      <c r="H1531" s="35" t="n">
        <v>0</v>
      </c>
      <c r="I1531" s="34" t="n">
        <f aca="false">+IF(E1531=0,0,E1531*0.03)</f>
        <v>0</v>
      </c>
    </row>
    <row r="1532" customFormat="false" ht="15.75" hidden="false" customHeight="true" outlineLevel="0" collapsed="false">
      <c r="A1532" s="30" t="n">
        <v>45323</v>
      </c>
      <c r="B1532" s="31" t="s">
        <v>11</v>
      </c>
      <c r="C1532" s="32"/>
      <c r="D1532" s="32"/>
      <c r="E1532" s="19" t="n">
        <f aca="false">+IF(C1532="EQUIPO",F1532,0)</f>
        <v>0</v>
      </c>
      <c r="F1532" s="33" t="n">
        <v>0</v>
      </c>
      <c r="G1532" s="62"/>
      <c r="H1532" s="35" t="n">
        <v>0</v>
      </c>
      <c r="I1532" s="34" t="n">
        <f aca="false">+IF(E1532=0,0,E1532*0.03)</f>
        <v>0</v>
      </c>
    </row>
    <row r="1533" customFormat="false" ht="15.75" hidden="false" customHeight="true" outlineLevel="0" collapsed="false">
      <c r="A1533" s="30" t="n">
        <v>45323</v>
      </c>
      <c r="B1533" s="31" t="s">
        <v>11</v>
      </c>
      <c r="C1533" s="32"/>
      <c r="D1533" s="32"/>
      <c r="E1533" s="19" t="n">
        <f aca="false">+IF(C1533="EQUIPO",F1533,0)</f>
        <v>0</v>
      </c>
      <c r="F1533" s="33" t="n">
        <v>0</v>
      </c>
      <c r="G1533" s="62"/>
      <c r="H1533" s="35" t="n">
        <v>0</v>
      </c>
      <c r="I1533" s="34" t="n">
        <f aca="false">+IF(E1533=0,0,E1533*0.03)</f>
        <v>0</v>
      </c>
    </row>
    <row r="1534" customFormat="false" ht="15.75" hidden="false" customHeight="true" outlineLevel="0" collapsed="false">
      <c r="A1534" s="30" t="n">
        <v>45323</v>
      </c>
      <c r="B1534" s="31" t="s">
        <v>11</v>
      </c>
      <c r="C1534" s="32"/>
      <c r="D1534" s="32"/>
      <c r="E1534" s="19" t="n">
        <f aca="false">+IF(C1534="EQUIPO",F1534,0)</f>
        <v>0</v>
      </c>
      <c r="F1534" s="33" t="n">
        <v>0</v>
      </c>
      <c r="G1534" s="62"/>
      <c r="H1534" s="35" t="n">
        <v>0</v>
      </c>
      <c r="I1534" s="34" t="n">
        <f aca="false">+IF(E1534=0,0,E1534*0.03)</f>
        <v>0</v>
      </c>
    </row>
    <row r="1535" customFormat="false" ht="15.75" hidden="false" customHeight="true" outlineLevel="0" collapsed="false">
      <c r="A1535" s="30" t="n">
        <v>45323</v>
      </c>
      <c r="B1535" s="31" t="s">
        <v>11</v>
      </c>
      <c r="C1535" s="32"/>
      <c r="D1535" s="32"/>
      <c r="E1535" s="19" t="n">
        <f aca="false">+IF(C1535="EQUIPO",F1535,0)</f>
        <v>0</v>
      </c>
      <c r="F1535" s="33" t="n">
        <v>0</v>
      </c>
      <c r="G1535" s="62"/>
      <c r="H1535" s="35" t="n">
        <v>0</v>
      </c>
      <c r="I1535" s="34" t="n">
        <f aca="false">+IF(E1535=0,0,E1535*0.03)</f>
        <v>0</v>
      </c>
    </row>
    <row r="1536" customFormat="false" ht="15.75" hidden="false" customHeight="true" outlineLevel="0" collapsed="false">
      <c r="A1536" s="30" t="n">
        <v>45323</v>
      </c>
      <c r="B1536" s="31" t="s">
        <v>11</v>
      </c>
      <c r="C1536" s="32"/>
      <c r="D1536" s="32"/>
      <c r="E1536" s="19" t="n">
        <f aca="false">+IF(C1536="EQUIPO",F1536,0)</f>
        <v>0</v>
      </c>
      <c r="F1536" s="33" t="n">
        <v>0</v>
      </c>
      <c r="G1536" s="62"/>
      <c r="H1536" s="35" t="n">
        <v>0</v>
      </c>
      <c r="I1536" s="34" t="n">
        <f aca="false">+IF(E1536=0,0,E1536*0.03)</f>
        <v>0</v>
      </c>
    </row>
    <row r="1537" customFormat="false" ht="15.75" hidden="false" customHeight="true" outlineLevel="0" collapsed="false">
      <c r="A1537" s="30" t="n">
        <v>45323</v>
      </c>
      <c r="B1537" s="31" t="s">
        <v>11</v>
      </c>
      <c r="C1537" s="32"/>
      <c r="D1537" s="32"/>
      <c r="E1537" s="19" t="n">
        <f aca="false">+IF(C1537="EQUIPO",F1537,0)</f>
        <v>0</v>
      </c>
      <c r="F1537" s="33" t="n">
        <v>0</v>
      </c>
      <c r="G1537" s="62"/>
      <c r="H1537" s="35" t="n">
        <v>0</v>
      </c>
      <c r="I1537" s="34" t="n">
        <f aca="false">+IF(E1537=0,0,E1537*0.03)</f>
        <v>0</v>
      </c>
    </row>
    <row r="1538" customFormat="false" ht="15.75" hidden="false" customHeight="true" outlineLevel="0" collapsed="false">
      <c r="A1538" s="30" t="n">
        <v>45323</v>
      </c>
      <c r="B1538" s="31" t="s">
        <v>11</v>
      </c>
      <c r="C1538" s="32"/>
      <c r="D1538" s="32"/>
      <c r="E1538" s="19" t="n">
        <f aca="false">+IF(C1538="EQUIPO",F1538,0)</f>
        <v>0</v>
      </c>
      <c r="F1538" s="33" t="n">
        <v>0</v>
      </c>
      <c r="G1538" s="62"/>
      <c r="H1538" s="35" t="n">
        <v>0</v>
      </c>
      <c r="I1538" s="34" t="n">
        <f aca="false">+IF(E1538=0,0,E1538*0.03)</f>
        <v>0</v>
      </c>
    </row>
    <row r="1539" customFormat="false" ht="15.75" hidden="false" customHeight="true" outlineLevel="0" collapsed="false">
      <c r="A1539" s="30" t="n">
        <v>45323</v>
      </c>
      <c r="B1539" s="31" t="s">
        <v>11</v>
      </c>
      <c r="C1539" s="32"/>
      <c r="D1539" s="32"/>
      <c r="E1539" s="19" t="n">
        <f aca="false">+IF(C1539="EQUIPO",F1539,0)</f>
        <v>0</v>
      </c>
      <c r="F1539" s="33" t="n">
        <v>0</v>
      </c>
      <c r="G1539" s="62"/>
      <c r="H1539" s="35" t="n">
        <v>0</v>
      </c>
      <c r="I1539" s="34" t="n">
        <f aca="false">+IF(E1539=0,0,E1539*0.03)</f>
        <v>0</v>
      </c>
    </row>
    <row r="1540" customFormat="false" ht="15.75" hidden="false" customHeight="true" outlineLevel="0" collapsed="false">
      <c r="A1540" s="30" t="n">
        <v>45323</v>
      </c>
      <c r="B1540" s="31" t="s">
        <v>11</v>
      </c>
      <c r="C1540" s="32"/>
      <c r="D1540" s="32"/>
      <c r="E1540" s="19" t="n">
        <f aca="false">+IF(C1540="EQUIPO",F1540,0)</f>
        <v>0</v>
      </c>
      <c r="F1540" s="33" t="n">
        <v>0</v>
      </c>
      <c r="G1540" s="62"/>
      <c r="H1540" s="35" t="n">
        <v>0</v>
      </c>
      <c r="I1540" s="34" t="n">
        <f aca="false">+IF(E1540=0,0,E1540*0.03)</f>
        <v>0</v>
      </c>
    </row>
    <row r="1541" customFormat="false" ht="15.75" hidden="false" customHeight="true" outlineLevel="0" collapsed="false">
      <c r="A1541" s="30" t="n">
        <v>45323</v>
      </c>
      <c r="B1541" s="31" t="s">
        <v>11</v>
      </c>
      <c r="C1541" s="32"/>
      <c r="D1541" s="32"/>
      <c r="E1541" s="19" t="n">
        <f aca="false">+IF(C1541="EQUIPO",F1541,0)</f>
        <v>0</v>
      </c>
      <c r="F1541" s="33" t="n">
        <v>0</v>
      </c>
      <c r="G1541" s="62"/>
      <c r="H1541" s="35" t="n">
        <v>0</v>
      </c>
      <c r="I1541" s="34" t="n">
        <f aca="false">+IF(E1541=0,0,E1541*0.03)</f>
        <v>0</v>
      </c>
    </row>
    <row r="1542" customFormat="false" ht="15.75" hidden="false" customHeight="true" outlineLevel="0" collapsed="false">
      <c r="A1542" s="30" t="n">
        <v>45323</v>
      </c>
      <c r="B1542" s="31" t="s">
        <v>11</v>
      </c>
      <c r="C1542" s="32"/>
      <c r="D1542" s="32"/>
      <c r="E1542" s="19" t="n">
        <f aca="false">+IF(C1542="EQUIPO",F1542,0)</f>
        <v>0</v>
      </c>
      <c r="F1542" s="33" t="n">
        <v>0</v>
      </c>
      <c r="G1542" s="62"/>
      <c r="H1542" s="35" t="n">
        <v>0</v>
      </c>
      <c r="I1542" s="34" t="n">
        <f aca="false">+IF(E1542=0,0,E1542*0.03)</f>
        <v>0</v>
      </c>
    </row>
    <row r="1543" customFormat="false" ht="15.75" hidden="false" customHeight="true" outlineLevel="0" collapsed="false">
      <c r="A1543" s="30" t="n">
        <v>45323</v>
      </c>
      <c r="B1543" s="31" t="s">
        <v>11</v>
      </c>
      <c r="C1543" s="32"/>
      <c r="D1543" s="32"/>
      <c r="E1543" s="19" t="n">
        <f aca="false">+IF(C1543="EQUIPO",F1543,0)</f>
        <v>0</v>
      </c>
      <c r="F1543" s="33" t="n">
        <v>0</v>
      </c>
      <c r="G1543" s="62"/>
      <c r="H1543" s="35" t="n">
        <v>0</v>
      </c>
      <c r="I1543" s="34" t="n">
        <f aca="false">+IF(E1543=0,0,E1543*0.03)</f>
        <v>0</v>
      </c>
    </row>
    <row r="1544" customFormat="false" ht="15.75" hidden="false" customHeight="true" outlineLevel="0" collapsed="false">
      <c r="A1544" s="30" t="n">
        <v>45323</v>
      </c>
      <c r="B1544" s="31" t="s">
        <v>11</v>
      </c>
      <c r="C1544" s="32"/>
      <c r="D1544" s="32"/>
      <c r="E1544" s="19" t="n">
        <f aca="false">+IF(C1544="EQUIPO",F1544,0)</f>
        <v>0</v>
      </c>
      <c r="F1544" s="33" t="n">
        <v>0</v>
      </c>
      <c r="G1544" s="62"/>
      <c r="H1544" s="35" t="n">
        <v>0</v>
      </c>
      <c r="I1544" s="34" t="n">
        <f aca="false">+IF(E1544=0,0,E1544*0.03)</f>
        <v>0</v>
      </c>
    </row>
    <row r="1545" customFormat="false" ht="15.75" hidden="false" customHeight="true" outlineLevel="0" collapsed="false">
      <c r="A1545" s="30" t="n">
        <v>45323</v>
      </c>
      <c r="B1545" s="31" t="s">
        <v>11</v>
      </c>
      <c r="C1545" s="32"/>
      <c r="D1545" s="32"/>
      <c r="E1545" s="19" t="n">
        <f aca="false">+IF(C1545="EQUIPO",F1545,0)</f>
        <v>0</v>
      </c>
      <c r="F1545" s="33" t="n">
        <v>0</v>
      </c>
      <c r="G1545" s="62"/>
      <c r="H1545" s="35" t="n">
        <v>0</v>
      </c>
      <c r="I1545" s="34" t="n">
        <f aca="false">+IF(E1545=0,0,E1545*0.03)</f>
        <v>0</v>
      </c>
    </row>
    <row r="1546" customFormat="false" ht="15.75" hidden="false" customHeight="true" outlineLevel="0" collapsed="false">
      <c r="A1546" s="30" t="n">
        <v>45323</v>
      </c>
      <c r="B1546" s="31" t="s">
        <v>11</v>
      </c>
      <c r="C1546" s="32"/>
      <c r="D1546" s="32"/>
      <c r="E1546" s="19" t="n">
        <f aca="false">+IF(C1546="EQUIPO",F1546,0)</f>
        <v>0</v>
      </c>
      <c r="F1546" s="33" t="n">
        <v>0</v>
      </c>
      <c r="G1546" s="62"/>
      <c r="H1546" s="35" t="n">
        <v>0</v>
      </c>
      <c r="I1546" s="34" t="n">
        <f aca="false">+IF(E1546=0,0,E1546*0.03)</f>
        <v>0</v>
      </c>
    </row>
    <row r="1547" customFormat="false" ht="15.75" hidden="false" customHeight="true" outlineLevel="0" collapsed="false">
      <c r="A1547" s="30" t="n">
        <v>45323</v>
      </c>
      <c r="B1547" s="31" t="s">
        <v>11</v>
      </c>
      <c r="C1547" s="32"/>
      <c r="D1547" s="32"/>
      <c r="E1547" s="19" t="n">
        <f aca="false">+IF(C1547="EQUIPO",F1547,0)</f>
        <v>0</v>
      </c>
      <c r="F1547" s="33" t="n">
        <v>0</v>
      </c>
      <c r="G1547" s="62"/>
      <c r="H1547" s="35" t="n">
        <v>0</v>
      </c>
      <c r="I1547" s="34" t="n">
        <f aca="false">+IF(E1547=0,0,E1547*0.03)</f>
        <v>0</v>
      </c>
    </row>
    <row r="1548" customFormat="false" ht="15.75" hidden="false" customHeight="true" outlineLevel="0" collapsed="false">
      <c r="A1548" s="30" t="n">
        <v>45323</v>
      </c>
      <c r="B1548" s="31" t="s">
        <v>11</v>
      </c>
      <c r="C1548" s="32"/>
      <c r="D1548" s="32"/>
      <c r="E1548" s="19" t="n">
        <f aca="false">+IF(C1548="EQUIPO",F1548,0)</f>
        <v>0</v>
      </c>
      <c r="F1548" s="33" t="n">
        <v>0</v>
      </c>
      <c r="G1548" s="62"/>
      <c r="H1548" s="35" t="n">
        <v>0</v>
      </c>
      <c r="I1548" s="34" t="n">
        <f aca="false">+IF(E1548=0,0,E1548*0.03)</f>
        <v>0</v>
      </c>
    </row>
    <row r="1549" customFormat="false" ht="15.75" hidden="false" customHeight="true" outlineLevel="0" collapsed="false">
      <c r="A1549" s="30" t="n">
        <v>45323</v>
      </c>
      <c r="B1549" s="31" t="s">
        <v>11</v>
      </c>
      <c r="C1549" s="32"/>
      <c r="D1549" s="32"/>
      <c r="E1549" s="19" t="n">
        <f aca="false">+IF(C1549="EQUIPO",F1549,0)</f>
        <v>0</v>
      </c>
      <c r="F1549" s="33" t="n">
        <v>0</v>
      </c>
      <c r="G1549" s="62"/>
      <c r="H1549" s="35" t="n">
        <v>0</v>
      </c>
      <c r="I1549" s="34" t="n">
        <f aca="false">+IF(E1549=0,0,E1549*0.03)</f>
        <v>0</v>
      </c>
    </row>
    <row r="1550" customFormat="false" ht="15.75" hidden="false" customHeight="true" outlineLevel="0" collapsed="false">
      <c r="A1550" s="30" t="n">
        <v>45323</v>
      </c>
      <c r="B1550" s="31" t="s">
        <v>11</v>
      </c>
      <c r="C1550" s="32"/>
      <c r="D1550" s="32"/>
      <c r="E1550" s="19" t="n">
        <f aca="false">+IF(C1550="EQUIPO",F1550,0)</f>
        <v>0</v>
      </c>
      <c r="F1550" s="33" t="n">
        <v>0</v>
      </c>
      <c r="G1550" s="62"/>
      <c r="H1550" s="35" t="n">
        <v>0</v>
      </c>
      <c r="I1550" s="34" t="n">
        <f aca="false">+IF(E1550=0,0,E1550*0.03)</f>
        <v>0</v>
      </c>
    </row>
    <row r="1551" customFormat="false" ht="15.75" hidden="false" customHeight="true" outlineLevel="0" collapsed="false">
      <c r="A1551" s="30" t="n">
        <v>45323</v>
      </c>
      <c r="B1551" s="31" t="s">
        <v>11</v>
      </c>
      <c r="C1551" s="32"/>
      <c r="D1551" s="32"/>
      <c r="E1551" s="19" t="n">
        <f aca="false">+IF(C1551="EQUIPO",F1551,0)</f>
        <v>0</v>
      </c>
      <c r="F1551" s="33" t="n">
        <v>0</v>
      </c>
      <c r="G1551" s="62"/>
      <c r="H1551" s="35" t="n">
        <v>0</v>
      </c>
      <c r="I1551" s="34" t="n">
        <f aca="false">+IF(E1551=0,0,E1551*0.03)</f>
        <v>0</v>
      </c>
    </row>
    <row r="1552" customFormat="false" ht="15.75" hidden="false" customHeight="true" outlineLevel="0" collapsed="false">
      <c r="A1552" s="30" t="n">
        <v>45323</v>
      </c>
      <c r="B1552" s="31" t="s">
        <v>11</v>
      </c>
      <c r="C1552" s="32"/>
      <c r="D1552" s="32"/>
      <c r="E1552" s="19" t="n">
        <f aca="false">+IF(C1552="EQUIPO",F1552,0)</f>
        <v>0</v>
      </c>
      <c r="F1552" s="33" t="n">
        <v>0</v>
      </c>
      <c r="G1552" s="62"/>
      <c r="H1552" s="35" t="n">
        <v>0</v>
      </c>
      <c r="I1552" s="34" t="n">
        <f aca="false">+IF(E1552=0,0,E1552*0.03)</f>
        <v>0</v>
      </c>
    </row>
    <row r="1553" customFormat="false" ht="15.75" hidden="false" customHeight="true" outlineLevel="0" collapsed="false">
      <c r="A1553" s="30" t="n">
        <v>45323</v>
      </c>
      <c r="B1553" s="31" t="s">
        <v>11</v>
      </c>
      <c r="C1553" s="32"/>
      <c r="D1553" s="32"/>
      <c r="E1553" s="19" t="n">
        <f aca="false">+IF(C1553="EQUIPO",F1553,0)</f>
        <v>0</v>
      </c>
      <c r="F1553" s="33" t="n">
        <v>0</v>
      </c>
      <c r="G1553" s="62"/>
      <c r="H1553" s="35" t="n">
        <v>0</v>
      </c>
      <c r="I1553" s="34" t="n">
        <f aca="false">+IF(E1553=0,0,E1553*0.03)</f>
        <v>0</v>
      </c>
    </row>
    <row r="1554" customFormat="false" ht="15.75" hidden="false" customHeight="true" outlineLevel="0" collapsed="false">
      <c r="A1554" s="30" t="n">
        <v>45323</v>
      </c>
      <c r="B1554" s="31" t="s">
        <v>11</v>
      </c>
      <c r="C1554" s="32"/>
      <c r="D1554" s="32"/>
      <c r="E1554" s="19" t="n">
        <f aca="false">+IF(C1554="EQUIPO",F1554,0)</f>
        <v>0</v>
      </c>
      <c r="F1554" s="33" t="n">
        <v>0</v>
      </c>
      <c r="G1554" s="62"/>
      <c r="H1554" s="35" t="n">
        <v>0</v>
      </c>
      <c r="I1554" s="34" t="n">
        <f aca="false">+IF(E1554=0,0,E1554*0.03)</f>
        <v>0</v>
      </c>
    </row>
    <row r="1555" customFormat="false" ht="15.75" hidden="false" customHeight="true" outlineLevel="0" collapsed="false">
      <c r="A1555" s="30" t="n">
        <v>45323</v>
      </c>
      <c r="B1555" s="31" t="s">
        <v>11</v>
      </c>
      <c r="C1555" s="32"/>
      <c r="D1555" s="32"/>
      <c r="E1555" s="19" t="n">
        <f aca="false">+IF(C1555="EQUIPO",F1555,0)</f>
        <v>0</v>
      </c>
      <c r="F1555" s="33" t="n">
        <v>0</v>
      </c>
      <c r="G1555" s="62"/>
      <c r="H1555" s="35" t="n">
        <v>0</v>
      </c>
      <c r="I1555" s="34" t="n">
        <f aca="false">+IF(E1555=0,0,E1555*0.03)</f>
        <v>0</v>
      </c>
    </row>
    <row r="1556" customFormat="false" ht="15.75" hidden="false" customHeight="true" outlineLevel="0" collapsed="false">
      <c r="A1556" s="30" t="n">
        <v>45323</v>
      </c>
      <c r="B1556" s="31" t="s">
        <v>11</v>
      </c>
      <c r="C1556" s="32"/>
      <c r="D1556" s="32"/>
      <c r="E1556" s="19" t="n">
        <f aca="false">+IF(C1556="EQUIPO",F1556,0)</f>
        <v>0</v>
      </c>
      <c r="F1556" s="33" t="n">
        <v>0</v>
      </c>
      <c r="G1556" s="62"/>
      <c r="H1556" s="35" t="n">
        <v>0</v>
      </c>
      <c r="I1556" s="34" t="n">
        <f aca="false">+IF(E1556=0,0,E1556*0.03)</f>
        <v>0</v>
      </c>
    </row>
    <row r="1557" customFormat="false" ht="15.75" hidden="false" customHeight="true" outlineLevel="0" collapsed="false">
      <c r="A1557" s="30" t="n">
        <v>45323</v>
      </c>
      <c r="B1557" s="31" t="s">
        <v>11</v>
      </c>
      <c r="C1557" s="32"/>
      <c r="D1557" s="32"/>
      <c r="E1557" s="19" t="n">
        <f aca="false">+IF(C1557="EQUIPO",F1557,0)</f>
        <v>0</v>
      </c>
      <c r="F1557" s="33" t="n">
        <v>0</v>
      </c>
      <c r="G1557" s="62"/>
      <c r="H1557" s="35" t="n">
        <v>0</v>
      </c>
      <c r="I1557" s="34" t="n">
        <f aca="false">+IF(E1557=0,0,E1557*0.03)</f>
        <v>0</v>
      </c>
    </row>
    <row r="1558" customFormat="false" ht="15.75" hidden="false" customHeight="true" outlineLevel="0" collapsed="false">
      <c r="A1558" s="30" t="n">
        <v>45323</v>
      </c>
      <c r="B1558" s="31" t="s">
        <v>11</v>
      </c>
      <c r="C1558" s="32"/>
      <c r="D1558" s="32"/>
      <c r="E1558" s="19" t="n">
        <f aca="false">+IF(C1558="EQUIPO",F1558,0)</f>
        <v>0</v>
      </c>
      <c r="F1558" s="33" t="n">
        <v>0</v>
      </c>
      <c r="G1558" s="62"/>
      <c r="H1558" s="35" t="n">
        <v>0</v>
      </c>
      <c r="I1558" s="34" t="n">
        <f aca="false">+IF(E1558=0,0,E1558*0.03)</f>
        <v>0</v>
      </c>
    </row>
    <row r="1559" customFormat="false" ht="15.75" hidden="false" customHeight="true" outlineLevel="0" collapsed="false">
      <c r="A1559" s="30" t="n">
        <v>45323</v>
      </c>
      <c r="B1559" s="31" t="s">
        <v>11</v>
      </c>
      <c r="C1559" s="32"/>
      <c r="D1559" s="32"/>
      <c r="E1559" s="19" t="n">
        <f aca="false">+IF(C1559="EQUIPO",F1559,0)</f>
        <v>0</v>
      </c>
      <c r="F1559" s="33" t="n">
        <v>0</v>
      </c>
      <c r="G1559" s="62"/>
      <c r="H1559" s="35" t="n">
        <v>0</v>
      </c>
      <c r="I1559" s="34" t="n">
        <f aca="false">+IF(E1559=0,0,E1559*0.03)</f>
        <v>0</v>
      </c>
    </row>
    <row r="1560" customFormat="false" ht="15.75" hidden="false" customHeight="true" outlineLevel="0" collapsed="false">
      <c r="A1560" s="30" t="n">
        <v>45323</v>
      </c>
      <c r="B1560" s="31" t="s">
        <v>11</v>
      </c>
      <c r="C1560" s="32"/>
      <c r="D1560" s="32"/>
      <c r="E1560" s="19" t="n">
        <f aca="false">+IF(C1560="EQUIPO",F1560,0)</f>
        <v>0</v>
      </c>
      <c r="F1560" s="33" t="n">
        <v>0</v>
      </c>
      <c r="G1560" s="62"/>
      <c r="H1560" s="35" t="n">
        <v>0</v>
      </c>
      <c r="I1560" s="34" t="n">
        <f aca="false">+IF(E1560=0,0,E1560*0.03)</f>
        <v>0</v>
      </c>
    </row>
    <row r="1561" customFormat="false" ht="15.75" hidden="false" customHeight="true" outlineLevel="0" collapsed="false">
      <c r="A1561" s="30" t="n">
        <v>45323</v>
      </c>
      <c r="B1561" s="31" t="s">
        <v>11</v>
      </c>
      <c r="C1561" s="32"/>
      <c r="D1561" s="32"/>
      <c r="E1561" s="19" t="n">
        <f aca="false">+IF(C1561="EQUIPO",F1561,0)</f>
        <v>0</v>
      </c>
      <c r="F1561" s="33" t="n">
        <v>0</v>
      </c>
      <c r="G1561" s="62"/>
      <c r="H1561" s="35" t="n">
        <v>0</v>
      </c>
      <c r="I1561" s="34" t="n">
        <f aca="false">+IF(E1561=0,0,E1561*0.03)</f>
        <v>0</v>
      </c>
    </row>
    <row r="1562" customFormat="false" ht="15.75" hidden="false" customHeight="true" outlineLevel="0" collapsed="false">
      <c r="A1562" s="30" t="n">
        <v>45323</v>
      </c>
      <c r="B1562" s="31" t="s">
        <v>11</v>
      </c>
      <c r="C1562" s="32"/>
      <c r="D1562" s="32"/>
      <c r="E1562" s="19" t="n">
        <f aca="false">+IF(C1562="EQUIPO",F1562,0)</f>
        <v>0</v>
      </c>
      <c r="F1562" s="33" t="n">
        <v>0</v>
      </c>
      <c r="G1562" s="62"/>
      <c r="H1562" s="35" t="n">
        <v>0</v>
      </c>
      <c r="I1562" s="34" t="n">
        <f aca="false">+IF(E1562=0,0,E1562*0.03)</f>
        <v>0</v>
      </c>
    </row>
    <row r="1563" customFormat="false" ht="15.75" hidden="false" customHeight="true" outlineLevel="0" collapsed="false">
      <c r="A1563" s="30" t="n">
        <v>45323</v>
      </c>
      <c r="B1563" s="31" t="s">
        <v>11</v>
      </c>
      <c r="C1563" s="32"/>
      <c r="D1563" s="32"/>
      <c r="E1563" s="19" t="n">
        <f aca="false">+IF(C1563="EQUIPO",F1563,0)</f>
        <v>0</v>
      </c>
      <c r="F1563" s="33" t="n">
        <v>0</v>
      </c>
      <c r="G1563" s="62"/>
      <c r="H1563" s="35" t="n">
        <v>0</v>
      </c>
      <c r="I1563" s="34" t="n">
        <f aca="false">+IF(E1563=0,0,E1563*0.03)</f>
        <v>0</v>
      </c>
    </row>
    <row r="1564" customFormat="false" ht="15.75" hidden="false" customHeight="true" outlineLevel="0" collapsed="false">
      <c r="A1564" s="30" t="n">
        <v>45323</v>
      </c>
      <c r="B1564" s="31" t="s">
        <v>11</v>
      </c>
      <c r="C1564" s="32"/>
      <c r="D1564" s="32"/>
      <c r="E1564" s="19" t="n">
        <f aca="false">+IF(C1564="EQUIPO",F1564,0)</f>
        <v>0</v>
      </c>
      <c r="F1564" s="33" t="n">
        <v>0</v>
      </c>
      <c r="G1564" s="62"/>
      <c r="H1564" s="35" t="n">
        <v>0</v>
      </c>
      <c r="I1564" s="34" t="n">
        <f aca="false">+IF(E1564=0,0,E1564*0.03)</f>
        <v>0</v>
      </c>
    </row>
    <row r="1565" customFormat="false" ht="15.75" hidden="false" customHeight="true" outlineLevel="0" collapsed="false">
      <c r="A1565" s="30" t="n">
        <v>45323</v>
      </c>
      <c r="B1565" s="31" t="s">
        <v>11</v>
      </c>
      <c r="C1565" s="32"/>
      <c r="D1565" s="32"/>
      <c r="E1565" s="19" t="n">
        <f aca="false">+IF(C1565="EQUIPO",F1565,0)</f>
        <v>0</v>
      </c>
      <c r="F1565" s="33" t="n">
        <v>0</v>
      </c>
      <c r="G1565" s="62"/>
      <c r="H1565" s="35" t="n">
        <v>0</v>
      </c>
      <c r="I1565" s="34" t="n">
        <f aca="false">+IF(E1565=0,0,E1565*0.03)</f>
        <v>0</v>
      </c>
    </row>
    <row r="1566" customFormat="false" ht="15.75" hidden="false" customHeight="true" outlineLevel="0" collapsed="false">
      <c r="A1566" s="30" t="n">
        <v>45323</v>
      </c>
      <c r="B1566" s="31" t="s">
        <v>11</v>
      </c>
      <c r="C1566" s="32"/>
      <c r="D1566" s="32"/>
      <c r="E1566" s="19" t="n">
        <f aca="false">+IF(C1566="EQUIPO",F1566,0)</f>
        <v>0</v>
      </c>
      <c r="F1566" s="33" t="n">
        <v>0</v>
      </c>
      <c r="G1566" s="62"/>
      <c r="H1566" s="35" t="n">
        <v>0</v>
      </c>
      <c r="I1566" s="34" t="n">
        <f aca="false">+IF(E1566=0,0,E1566*0.03)</f>
        <v>0</v>
      </c>
    </row>
    <row r="1567" customFormat="false" ht="15.75" hidden="false" customHeight="true" outlineLevel="0" collapsed="false">
      <c r="A1567" s="30" t="n">
        <v>45323</v>
      </c>
      <c r="B1567" s="31" t="s">
        <v>11</v>
      </c>
      <c r="C1567" s="32"/>
      <c r="D1567" s="32"/>
      <c r="E1567" s="19" t="n">
        <f aca="false">+IF(C1567="EQUIPO",F1567,0)</f>
        <v>0</v>
      </c>
      <c r="F1567" s="33" t="n">
        <v>0</v>
      </c>
      <c r="G1567" s="62"/>
      <c r="H1567" s="35" t="n">
        <v>0</v>
      </c>
      <c r="I1567" s="34" t="n">
        <f aca="false">+IF(E1567=0,0,E1567*0.03)</f>
        <v>0</v>
      </c>
    </row>
    <row r="1568" customFormat="false" ht="15.75" hidden="false" customHeight="true" outlineLevel="0" collapsed="false">
      <c r="A1568" s="30" t="n">
        <v>45323</v>
      </c>
      <c r="B1568" s="31" t="s">
        <v>11</v>
      </c>
      <c r="C1568" s="32"/>
      <c r="D1568" s="32"/>
      <c r="E1568" s="19" t="n">
        <f aca="false">+IF(C1568="EQUIPO",F1568,0)</f>
        <v>0</v>
      </c>
      <c r="F1568" s="33" t="n">
        <v>0</v>
      </c>
      <c r="G1568" s="62"/>
      <c r="H1568" s="35" t="n">
        <v>0</v>
      </c>
      <c r="I1568" s="34" t="n">
        <f aca="false">+IF(E1568=0,0,E1568*0.03)</f>
        <v>0</v>
      </c>
    </row>
    <row r="1569" customFormat="false" ht="15.75" hidden="false" customHeight="true" outlineLevel="0" collapsed="false">
      <c r="A1569" s="30" t="n">
        <v>45323</v>
      </c>
      <c r="B1569" s="31" t="s">
        <v>11</v>
      </c>
      <c r="C1569" s="32"/>
      <c r="D1569" s="32"/>
      <c r="E1569" s="19" t="n">
        <f aca="false">+IF(C1569="EQUIPO",F1569,0)</f>
        <v>0</v>
      </c>
      <c r="F1569" s="33" t="n">
        <v>0</v>
      </c>
      <c r="G1569" s="62"/>
      <c r="H1569" s="35" t="n">
        <v>0</v>
      </c>
      <c r="I1569" s="34" t="n">
        <f aca="false">+IF(E1569=0,0,E1569*0.03)</f>
        <v>0</v>
      </c>
    </row>
    <row r="1570" customFormat="false" ht="15.75" hidden="false" customHeight="true" outlineLevel="0" collapsed="false">
      <c r="A1570" s="30" t="n">
        <v>45323</v>
      </c>
      <c r="B1570" s="31" t="s">
        <v>11</v>
      </c>
      <c r="C1570" s="32"/>
      <c r="D1570" s="32"/>
      <c r="E1570" s="19" t="n">
        <f aca="false">+IF(C1570="EQUIPO",F1570,0)</f>
        <v>0</v>
      </c>
      <c r="F1570" s="33" t="n">
        <v>0</v>
      </c>
      <c r="G1570" s="62"/>
      <c r="H1570" s="35" t="n">
        <v>0</v>
      </c>
      <c r="I1570" s="34" t="n">
        <f aca="false">+IF(E1570=0,0,E1570*0.03)</f>
        <v>0</v>
      </c>
    </row>
    <row r="1571" customFormat="false" ht="15.75" hidden="false" customHeight="true" outlineLevel="0" collapsed="false">
      <c r="A1571" s="30" t="n">
        <v>45323</v>
      </c>
      <c r="B1571" s="31" t="s">
        <v>11</v>
      </c>
      <c r="C1571" s="32"/>
      <c r="D1571" s="32"/>
      <c r="E1571" s="19" t="n">
        <f aca="false">+IF(C1571="EQUIPO",F1571,0)</f>
        <v>0</v>
      </c>
      <c r="F1571" s="33" t="n">
        <v>0</v>
      </c>
      <c r="G1571" s="62"/>
      <c r="H1571" s="35" t="n">
        <v>0</v>
      </c>
      <c r="I1571" s="34" t="n">
        <f aca="false">+IF(E1571=0,0,E1571*0.03)</f>
        <v>0</v>
      </c>
    </row>
    <row r="1572" customFormat="false" ht="15.75" hidden="false" customHeight="true" outlineLevel="0" collapsed="false">
      <c r="A1572" s="30" t="n">
        <v>45323</v>
      </c>
      <c r="B1572" s="31" t="s">
        <v>11</v>
      </c>
      <c r="C1572" s="32"/>
      <c r="D1572" s="32"/>
      <c r="E1572" s="19" t="n">
        <f aca="false">+IF(C1572="EQUIPO",F1572,0)</f>
        <v>0</v>
      </c>
      <c r="F1572" s="33" t="n">
        <v>0</v>
      </c>
      <c r="G1572" s="62"/>
      <c r="H1572" s="35" t="n">
        <v>0</v>
      </c>
      <c r="I1572" s="34" t="n">
        <f aca="false">+IF(E1572=0,0,E1572*0.03)</f>
        <v>0</v>
      </c>
    </row>
    <row r="1573" customFormat="false" ht="15.75" hidden="false" customHeight="true" outlineLevel="0" collapsed="false">
      <c r="A1573" s="30" t="n">
        <v>45323</v>
      </c>
      <c r="B1573" s="31" t="s">
        <v>11</v>
      </c>
      <c r="C1573" s="32"/>
      <c r="D1573" s="32"/>
      <c r="E1573" s="19" t="n">
        <f aca="false">+IF(C1573="EQUIPO",F1573,0)</f>
        <v>0</v>
      </c>
      <c r="F1573" s="33" t="n">
        <v>0</v>
      </c>
      <c r="G1573" s="62"/>
      <c r="H1573" s="35" t="n">
        <v>0</v>
      </c>
      <c r="I1573" s="34" t="n">
        <f aca="false">+IF(E1573=0,0,E1573*0.03)</f>
        <v>0</v>
      </c>
    </row>
    <row r="1574" customFormat="false" ht="15.75" hidden="false" customHeight="true" outlineLevel="0" collapsed="false">
      <c r="A1574" s="30" t="n">
        <v>45323</v>
      </c>
      <c r="B1574" s="31" t="s">
        <v>11</v>
      </c>
      <c r="C1574" s="32"/>
      <c r="D1574" s="32"/>
      <c r="E1574" s="19" t="n">
        <f aca="false">+IF(C1574="EQUIPO",F1574,0)</f>
        <v>0</v>
      </c>
      <c r="F1574" s="33" t="n">
        <v>0</v>
      </c>
      <c r="G1574" s="62"/>
      <c r="H1574" s="35" t="n">
        <v>0</v>
      </c>
      <c r="I1574" s="34" t="n">
        <f aca="false">+IF(E1574=0,0,E1574*0.03)</f>
        <v>0</v>
      </c>
    </row>
    <row r="1575" customFormat="false" ht="15.75" hidden="false" customHeight="true" outlineLevel="0" collapsed="false">
      <c r="A1575" s="30" t="n">
        <v>45323</v>
      </c>
      <c r="B1575" s="31" t="s">
        <v>11</v>
      </c>
      <c r="C1575" s="32"/>
      <c r="D1575" s="32"/>
      <c r="E1575" s="19" t="n">
        <f aca="false">+IF(C1575="EQUIPO",F1575,0)</f>
        <v>0</v>
      </c>
      <c r="F1575" s="33" t="n">
        <v>0</v>
      </c>
      <c r="G1575" s="62"/>
      <c r="H1575" s="35" t="n">
        <v>0</v>
      </c>
      <c r="I1575" s="34" t="n">
        <f aca="false">+IF(E1575=0,0,E1575*0.03)</f>
        <v>0</v>
      </c>
    </row>
    <row r="1576" customFormat="false" ht="15.75" hidden="false" customHeight="true" outlineLevel="0" collapsed="false">
      <c r="A1576" s="30" t="n">
        <v>45323</v>
      </c>
      <c r="B1576" s="31" t="s">
        <v>11</v>
      </c>
      <c r="C1576" s="32"/>
      <c r="D1576" s="32"/>
      <c r="E1576" s="19" t="n">
        <f aca="false">+IF(C1576="EQUIPO",F1576,0)</f>
        <v>0</v>
      </c>
      <c r="F1576" s="33" t="n">
        <v>0</v>
      </c>
      <c r="G1576" s="62"/>
      <c r="H1576" s="35" t="n">
        <v>0</v>
      </c>
      <c r="I1576" s="34" t="n">
        <f aca="false">+IF(E1576=0,0,E1576*0.03)</f>
        <v>0</v>
      </c>
    </row>
    <row r="1577" customFormat="false" ht="15.75" hidden="false" customHeight="true" outlineLevel="0" collapsed="false">
      <c r="A1577" s="30" t="n">
        <v>45323</v>
      </c>
      <c r="B1577" s="31" t="s">
        <v>11</v>
      </c>
      <c r="C1577" s="32"/>
      <c r="D1577" s="32"/>
      <c r="E1577" s="19" t="n">
        <f aca="false">+IF(C1577="EQUIPO",F1577,0)</f>
        <v>0</v>
      </c>
      <c r="F1577" s="33" t="n">
        <v>0</v>
      </c>
      <c r="G1577" s="62"/>
      <c r="H1577" s="35" t="n">
        <v>0</v>
      </c>
      <c r="I1577" s="34" t="n">
        <f aca="false">+IF(E1577=0,0,E1577*0.03)</f>
        <v>0</v>
      </c>
    </row>
    <row r="1578" customFormat="false" ht="15.75" hidden="false" customHeight="true" outlineLevel="0" collapsed="false">
      <c r="A1578" s="30" t="n">
        <v>45323</v>
      </c>
      <c r="B1578" s="31" t="s">
        <v>11</v>
      </c>
      <c r="C1578" s="32"/>
      <c r="D1578" s="32"/>
      <c r="E1578" s="19" t="n">
        <f aca="false">+IF(C1578="EQUIPO",F1578,0)</f>
        <v>0</v>
      </c>
      <c r="F1578" s="33" t="n">
        <v>0</v>
      </c>
      <c r="G1578" s="62"/>
      <c r="H1578" s="35" t="n">
        <v>0</v>
      </c>
      <c r="I1578" s="34" t="n">
        <f aca="false">+IF(E1578=0,0,E1578*0.03)</f>
        <v>0</v>
      </c>
    </row>
    <row r="1579" customFormat="false" ht="15.75" hidden="false" customHeight="true" outlineLevel="0" collapsed="false">
      <c r="A1579" s="30" t="n">
        <v>45323</v>
      </c>
      <c r="B1579" s="31" t="s">
        <v>11</v>
      </c>
      <c r="C1579" s="32"/>
      <c r="D1579" s="32"/>
      <c r="E1579" s="19" t="n">
        <f aca="false">+IF(C1579="EQUIPO",F1579,0)</f>
        <v>0</v>
      </c>
      <c r="F1579" s="33" t="n">
        <v>0</v>
      </c>
      <c r="G1579" s="62"/>
      <c r="H1579" s="35" t="n">
        <v>0</v>
      </c>
      <c r="I1579" s="34" t="n">
        <f aca="false">+IF(E1579=0,0,E1579*0.03)</f>
        <v>0</v>
      </c>
    </row>
    <row r="1580" customFormat="false" ht="15.75" hidden="false" customHeight="true" outlineLevel="0" collapsed="false">
      <c r="A1580" s="30" t="n">
        <v>45323</v>
      </c>
      <c r="B1580" s="31" t="s">
        <v>11</v>
      </c>
      <c r="C1580" s="32"/>
      <c r="D1580" s="32"/>
      <c r="E1580" s="19" t="n">
        <f aca="false">+IF(C1580="EQUIPO",F1580,0)</f>
        <v>0</v>
      </c>
      <c r="F1580" s="33" t="n">
        <v>0</v>
      </c>
      <c r="G1580" s="62"/>
      <c r="H1580" s="35" t="n">
        <v>0</v>
      </c>
      <c r="I1580" s="34" t="n">
        <f aca="false">+IF(E1580=0,0,E1580*0.03)</f>
        <v>0</v>
      </c>
    </row>
    <row r="1581" customFormat="false" ht="15.75" hidden="false" customHeight="true" outlineLevel="0" collapsed="false">
      <c r="A1581" s="30" t="n">
        <v>45323</v>
      </c>
      <c r="B1581" s="31" t="s">
        <v>11</v>
      </c>
      <c r="C1581" s="32"/>
      <c r="D1581" s="32"/>
      <c r="E1581" s="19" t="n">
        <f aca="false">+IF(C1581="EQUIPO",F1581,0)</f>
        <v>0</v>
      </c>
      <c r="F1581" s="33" t="n">
        <v>0</v>
      </c>
      <c r="G1581" s="62"/>
      <c r="H1581" s="35" t="n">
        <v>0</v>
      </c>
      <c r="I1581" s="34" t="n">
        <f aca="false">+IF(E1581=0,0,E1581*0.03)</f>
        <v>0</v>
      </c>
    </row>
    <row r="1582" customFormat="false" ht="15.75" hidden="false" customHeight="true" outlineLevel="0" collapsed="false">
      <c r="A1582" s="30" t="n">
        <v>45323</v>
      </c>
      <c r="B1582" s="31" t="s">
        <v>11</v>
      </c>
      <c r="C1582" s="32"/>
      <c r="D1582" s="32"/>
      <c r="E1582" s="19" t="n">
        <f aca="false">+IF(C1582="EQUIPO",F1582,0)</f>
        <v>0</v>
      </c>
      <c r="F1582" s="33" t="n">
        <v>0</v>
      </c>
      <c r="G1582" s="62"/>
      <c r="H1582" s="35" t="n">
        <v>0</v>
      </c>
      <c r="I1582" s="34" t="n">
        <f aca="false">+IF(E1582=0,0,E1582*0.03)</f>
        <v>0</v>
      </c>
    </row>
    <row r="1583" customFormat="false" ht="15.75" hidden="false" customHeight="true" outlineLevel="0" collapsed="false">
      <c r="A1583" s="30" t="n">
        <v>45323</v>
      </c>
      <c r="B1583" s="31" t="s">
        <v>11</v>
      </c>
      <c r="C1583" s="32"/>
      <c r="D1583" s="32"/>
      <c r="E1583" s="19" t="n">
        <f aca="false">+IF(C1583="EQUIPO",F1583,0)</f>
        <v>0</v>
      </c>
      <c r="F1583" s="33" t="n">
        <v>0</v>
      </c>
      <c r="G1583" s="62"/>
      <c r="H1583" s="35" t="n">
        <v>0</v>
      </c>
      <c r="I1583" s="34" t="n">
        <f aca="false">+IF(E1583=0,0,E1583*0.03)</f>
        <v>0</v>
      </c>
    </row>
    <row r="1584" customFormat="false" ht="15.75" hidden="false" customHeight="true" outlineLevel="0" collapsed="false">
      <c r="A1584" s="30" t="n">
        <v>45323</v>
      </c>
      <c r="B1584" s="31" t="s">
        <v>11</v>
      </c>
      <c r="C1584" s="32"/>
      <c r="D1584" s="32"/>
      <c r="E1584" s="19" t="n">
        <f aca="false">+IF(C1584="EQUIPO",F1584,0)</f>
        <v>0</v>
      </c>
      <c r="F1584" s="33" t="n">
        <v>0</v>
      </c>
      <c r="G1584" s="62"/>
      <c r="H1584" s="35" t="n">
        <v>0</v>
      </c>
      <c r="I1584" s="34" t="n">
        <f aca="false">+IF(E1584=0,0,E1584*0.03)</f>
        <v>0</v>
      </c>
    </row>
    <row r="1585" customFormat="false" ht="15.75" hidden="false" customHeight="true" outlineLevel="0" collapsed="false">
      <c r="A1585" s="30" t="n">
        <v>45323</v>
      </c>
      <c r="B1585" s="31" t="s">
        <v>11</v>
      </c>
      <c r="C1585" s="32"/>
      <c r="D1585" s="32"/>
      <c r="E1585" s="19" t="n">
        <f aca="false">+IF(C1585="EQUIPO",F1585,0)</f>
        <v>0</v>
      </c>
      <c r="F1585" s="33" t="n">
        <v>0</v>
      </c>
      <c r="G1585" s="62"/>
      <c r="H1585" s="35" t="n">
        <v>0</v>
      </c>
      <c r="I1585" s="34" t="n">
        <f aca="false">+IF(E1585=0,0,E1585*0.03)</f>
        <v>0</v>
      </c>
    </row>
    <row r="1586" customFormat="false" ht="15.75" hidden="false" customHeight="true" outlineLevel="0" collapsed="false">
      <c r="A1586" s="30" t="n">
        <v>45323</v>
      </c>
      <c r="B1586" s="31" t="s">
        <v>11</v>
      </c>
      <c r="C1586" s="32"/>
      <c r="D1586" s="32"/>
      <c r="E1586" s="19" t="n">
        <f aca="false">+IF(C1586="EQUIPO",F1586,0)</f>
        <v>0</v>
      </c>
      <c r="F1586" s="33" t="n">
        <v>0</v>
      </c>
      <c r="G1586" s="62"/>
      <c r="H1586" s="35" t="n">
        <v>0</v>
      </c>
      <c r="I1586" s="34" t="n">
        <f aca="false">+IF(E1586=0,0,E1586*0.03)</f>
        <v>0</v>
      </c>
    </row>
    <row r="1587" customFormat="false" ht="15.75" hidden="false" customHeight="true" outlineLevel="0" collapsed="false">
      <c r="A1587" s="30" t="n">
        <v>45323</v>
      </c>
      <c r="B1587" s="31" t="s">
        <v>11</v>
      </c>
      <c r="C1587" s="32"/>
      <c r="D1587" s="32"/>
      <c r="E1587" s="19" t="n">
        <f aca="false">+IF(C1587="EQUIPO",F1587,0)</f>
        <v>0</v>
      </c>
      <c r="F1587" s="33" t="n">
        <v>0</v>
      </c>
      <c r="G1587" s="62"/>
      <c r="H1587" s="35" t="n">
        <v>0</v>
      </c>
      <c r="I1587" s="34" t="n">
        <f aca="false">+IF(E1587=0,0,E1587*0.03)</f>
        <v>0</v>
      </c>
    </row>
    <row r="1588" customFormat="false" ht="15.75" hidden="false" customHeight="true" outlineLevel="0" collapsed="false">
      <c r="A1588" s="30" t="n">
        <v>45323</v>
      </c>
      <c r="B1588" s="31" t="s">
        <v>11</v>
      </c>
      <c r="C1588" s="32"/>
      <c r="D1588" s="32"/>
      <c r="E1588" s="19" t="n">
        <f aca="false">+IF(C1588="EQUIPO",F1588,0)</f>
        <v>0</v>
      </c>
      <c r="F1588" s="33" t="n">
        <v>0</v>
      </c>
      <c r="G1588" s="62"/>
      <c r="H1588" s="35" t="n">
        <v>0</v>
      </c>
      <c r="I1588" s="34" t="n">
        <f aca="false">+IF(E1588=0,0,E1588*0.03)</f>
        <v>0</v>
      </c>
    </row>
    <row r="1589" customFormat="false" ht="15.75" hidden="false" customHeight="true" outlineLevel="0" collapsed="false">
      <c r="A1589" s="30" t="n">
        <v>45323</v>
      </c>
      <c r="B1589" s="31" t="s">
        <v>11</v>
      </c>
      <c r="C1589" s="32"/>
      <c r="D1589" s="32"/>
      <c r="E1589" s="19" t="n">
        <f aca="false">+IF(C1589="EQUIPO",F1589,0)</f>
        <v>0</v>
      </c>
      <c r="F1589" s="33" t="n">
        <v>0</v>
      </c>
      <c r="G1589" s="62"/>
      <c r="H1589" s="35" t="n">
        <v>0</v>
      </c>
      <c r="I1589" s="34" t="n">
        <f aca="false">+IF(E1589=0,0,E1589*0.03)</f>
        <v>0</v>
      </c>
    </row>
    <row r="1590" customFormat="false" ht="15.75" hidden="false" customHeight="true" outlineLevel="0" collapsed="false">
      <c r="A1590" s="30" t="n">
        <v>45323</v>
      </c>
      <c r="B1590" s="31" t="s">
        <v>11</v>
      </c>
      <c r="C1590" s="32"/>
      <c r="D1590" s="32"/>
      <c r="E1590" s="19" t="n">
        <f aca="false">+IF(C1590="EQUIPO",F1590,0)</f>
        <v>0</v>
      </c>
      <c r="F1590" s="33" t="n">
        <v>0</v>
      </c>
      <c r="G1590" s="62"/>
      <c r="H1590" s="35" t="n">
        <v>0</v>
      </c>
      <c r="I1590" s="34" t="n">
        <f aca="false">+IF(E1590=0,0,E1590*0.03)</f>
        <v>0</v>
      </c>
    </row>
    <row r="1591" customFormat="false" ht="15.75" hidden="false" customHeight="true" outlineLevel="0" collapsed="false">
      <c r="A1591" s="30" t="n">
        <v>45323</v>
      </c>
      <c r="B1591" s="31" t="s">
        <v>11</v>
      </c>
      <c r="C1591" s="32"/>
      <c r="D1591" s="32"/>
      <c r="E1591" s="19" t="n">
        <f aca="false">+IF(C1591="EQUIPO",F1591,0)</f>
        <v>0</v>
      </c>
      <c r="F1591" s="33" t="n">
        <v>0</v>
      </c>
      <c r="G1591" s="62"/>
      <c r="H1591" s="35" t="n">
        <v>0</v>
      </c>
      <c r="I1591" s="34" t="n">
        <f aca="false">+IF(E1591=0,0,E1591*0.03)</f>
        <v>0</v>
      </c>
    </row>
    <row r="1592" customFormat="false" ht="15.75" hidden="false" customHeight="true" outlineLevel="0" collapsed="false">
      <c r="A1592" s="30" t="n">
        <v>45323</v>
      </c>
      <c r="B1592" s="31" t="s">
        <v>11</v>
      </c>
      <c r="C1592" s="32"/>
      <c r="D1592" s="32"/>
      <c r="E1592" s="19" t="n">
        <f aca="false">+IF(C1592="EQUIPO",F1592,0)</f>
        <v>0</v>
      </c>
      <c r="F1592" s="33" t="n">
        <v>0</v>
      </c>
      <c r="G1592" s="62"/>
      <c r="H1592" s="35" t="n">
        <v>0</v>
      </c>
      <c r="I1592" s="34" t="n">
        <f aca="false">+IF(E1592=0,0,E1592*0.03)</f>
        <v>0</v>
      </c>
    </row>
    <row r="1593" customFormat="false" ht="15.75" hidden="false" customHeight="true" outlineLevel="0" collapsed="false">
      <c r="A1593" s="30" t="n">
        <v>45323</v>
      </c>
      <c r="B1593" s="31" t="s">
        <v>11</v>
      </c>
      <c r="C1593" s="32"/>
      <c r="D1593" s="32"/>
      <c r="E1593" s="19" t="n">
        <f aca="false">+IF(C1593="EQUIPO",F1593,0)</f>
        <v>0</v>
      </c>
      <c r="F1593" s="33" t="n">
        <v>0</v>
      </c>
      <c r="G1593" s="62"/>
      <c r="H1593" s="35" t="n">
        <v>0</v>
      </c>
      <c r="I1593" s="34" t="n">
        <f aca="false">+IF(E1593=0,0,E1593*0.03)</f>
        <v>0</v>
      </c>
    </row>
    <row r="1594" customFormat="false" ht="15.75" hidden="false" customHeight="true" outlineLevel="0" collapsed="false">
      <c r="A1594" s="30" t="n">
        <v>45323</v>
      </c>
      <c r="B1594" s="31" t="s">
        <v>11</v>
      </c>
      <c r="C1594" s="32"/>
      <c r="D1594" s="32"/>
      <c r="E1594" s="19" t="n">
        <f aca="false">+IF(C1594="EQUIPO",F1594,0)</f>
        <v>0</v>
      </c>
      <c r="F1594" s="33" t="n">
        <v>0</v>
      </c>
      <c r="G1594" s="62"/>
      <c r="H1594" s="35" t="n">
        <v>0</v>
      </c>
      <c r="I1594" s="34" t="n">
        <f aca="false">+IF(E1594=0,0,E1594*0.03)</f>
        <v>0</v>
      </c>
    </row>
    <row r="1595" customFormat="false" ht="15.75" hidden="false" customHeight="true" outlineLevel="0" collapsed="false">
      <c r="A1595" s="30" t="n">
        <v>45323</v>
      </c>
      <c r="B1595" s="31" t="s">
        <v>11</v>
      </c>
      <c r="C1595" s="32"/>
      <c r="D1595" s="32"/>
      <c r="E1595" s="19" t="n">
        <f aca="false">+IF(C1595="EQUIPO",F1595,0)</f>
        <v>0</v>
      </c>
      <c r="F1595" s="33" t="n">
        <v>0</v>
      </c>
      <c r="G1595" s="62"/>
      <c r="H1595" s="35" t="n">
        <v>0</v>
      </c>
      <c r="I1595" s="34" t="n">
        <f aca="false">+IF(E1595=0,0,E1595*0.03)</f>
        <v>0</v>
      </c>
    </row>
    <row r="1596" customFormat="false" ht="15.75" hidden="false" customHeight="true" outlineLevel="0" collapsed="false">
      <c r="A1596" s="30" t="n">
        <v>45323</v>
      </c>
      <c r="B1596" s="31" t="s">
        <v>11</v>
      </c>
      <c r="C1596" s="32"/>
      <c r="D1596" s="32"/>
      <c r="E1596" s="19" t="n">
        <f aca="false">+IF(C1596="EQUIPO",F1596,0)</f>
        <v>0</v>
      </c>
      <c r="F1596" s="33" t="n">
        <v>0</v>
      </c>
      <c r="G1596" s="62"/>
      <c r="H1596" s="35" t="n">
        <v>0</v>
      </c>
      <c r="I1596" s="34" t="n">
        <f aca="false">+IF(E1596=0,0,E1596*0.03)</f>
        <v>0</v>
      </c>
    </row>
    <row r="1597" customFormat="false" ht="15.75" hidden="false" customHeight="true" outlineLevel="0" collapsed="false">
      <c r="A1597" s="30" t="n">
        <v>45323</v>
      </c>
      <c r="B1597" s="31" t="s">
        <v>11</v>
      </c>
      <c r="C1597" s="32"/>
      <c r="D1597" s="32"/>
      <c r="E1597" s="19" t="n">
        <f aca="false">+IF(C1597="EQUIPO",F1597,0)</f>
        <v>0</v>
      </c>
      <c r="F1597" s="33" t="n">
        <v>0</v>
      </c>
      <c r="G1597" s="62"/>
      <c r="H1597" s="35" t="n">
        <v>0</v>
      </c>
      <c r="I1597" s="34" t="n">
        <f aca="false">+IF(E1597=0,0,E1597*0.03)</f>
        <v>0</v>
      </c>
    </row>
    <row r="1598" customFormat="false" ht="15.75" hidden="false" customHeight="true" outlineLevel="0" collapsed="false">
      <c r="A1598" s="30" t="n">
        <v>45323</v>
      </c>
      <c r="B1598" s="31" t="s">
        <v>11</v>
      </c>
      <c r="C1598" s="32"/>
      <c r="D1598" s="32"/>
      <c r="E1598" s="19" t="n">
        <f aca="false">+IF(C1598="EQUIPO",F1598,0)</f>
        <v>0</v>
      </c>
      <c r="F1598" s="33" t="n">
        <v>0</v>
      </c>
      <c r="G1598" s="62"/>
      <c r="H1598" s="35" t="n">
        <v>0</v>
      </c>
      <c r="I1598" s="34" t="n">
        <f aca="false">+IF(E1598=0,0,E1598*0.03)</f>
        <v>0</v>
      </c>
    </row>
    <row r="1599" customFormat="false" ht="15.75" hidden="false" customHeight="true" outlineLevel="0" collapsed="false">
      <c r="A1599" s="30" t="n">
        <v>45323</v>
      </c>
      <c r="B1599" s="31" t="s">
        <v>11</v>
      </c>
      <c r="C1599" s="32"/>
      <c r="D1599" s="32"/>
      <c r="E1599" s="19" t="n">
        <f aca="false">+IF(C1599="EQUIPO",F1599,0)</f>
        <v>0</v>
      </c>
      <c r="F1599" s="33" t="n">
        <v>0</v>
      </c>
      <c r="G1599" s="62"/>
      <c r="H1599" s="35" t="n">
        <v>0</v>
      </c>
      <c r="I1599" s="34" t="n">
        <f aca="false">+IF(E1599=0,0,E1599*0.03)</f>
        <v>0</v>
      </c>
    </row>
    <row r="1600" customFormat="false" ht="15.75" hidden="false" customHeight="true" outlineLevel="0" collapsed="false">
      <c r="A1600" s="30" t="n">
        <v>45323</v>
      </c>
      <c r="B1600" s="31" t="s">
        <v>11</v>
      </c>
      <c r="C1600" s="32"/>
      <c r="D1600" s="32"/>
      <c r="E1600" s="19" t="n">
        <f aca="false">+IF(C1600="EQUIPO",F1600,0)</f>
        <v>0</v>
      </c>
      <c r="F1600" s="33" t="n">
        <v>0</v>
      </c>
      <c r="G1600" s="62"/>
      <c r="H1600" s="35" t="n">
        <v>0</v>
      </c>
      <c r="I1600" s="34" t="n">
        <f aca="false">+IF(E1600=0,0,E1600*0.03)</f>
        <v>0</v>
      </c>
    </row>
    <row r="1601" customFormat="false" ht="15.75" hidden="false" customHeight="true" outlineLevel="0" collapsed="false">
      <c r="A1601" s="30" t="n">
        <v>45323</v>
      </c>
      <c r="B1601" s="31" t="s">
        <v>11</v>
      </c>
      <c r="C1601" s="32"/>
      <c r="D1601" s="32"/>
      <c r="E1601" s="19" t="n">
        <f aca="false">+IF(C1601="EQUIPO",F1601,0)</f>
        <v>0</v>
      </c>
      <c r="F1601" s="33" t="n">
        <v>0</v>
      </c>
      <c r="G1601" s="62"/>
      <c r="H1601" s="35" t="n">
        <v>0</v>
      </c>
      <c r="I1601" s="34" t="n">
        <f aca="false">+IF(E1601=0,0,E1601*0.03)</f>
        <v>0</v>
      </c>
    </row>
    <row r="1602" customFormat="false" ht="15.75" hidden="false" customHeight="true" outlineLevel="0" collapsed="false">
      <c r="A1602" s="30" t="n">
        <v>45323</v>
      </c>
      <c r="B1602" s="31" t="s">
        <v>11</v>
      </c>
      <c r="C1602" s="32"/>
      <c r="D1602" s="32"/>
      <c r="E1602" s="19" t="n">
        <f aca="false">+IF(C1602="EQUIPO",F1602,0)</f>
        <v>0</v>
      </c>
      <c r="F1602" s="33" t="n">
        <v>0</v>
      </c>
      <c r="G1602" s="62"/>
      <c r="H1602" s="35" t="n">
        <v>0</v>
      </c>
      <c r="I1602" s="34" t="n">
        <f aca="false">+IF(E1602=0,0,E1602*0.03)</f>
        <v>0</v>
      </c>
    </row>
    <row r="1603" customFormat="false" ht="15.75" hidden="false" customHeight="true" outlineLevel="0" collapsed="false">
      <c r="A1603" s="30" t="n">
        <v>45323</v>
      </c>
      <c r="B1603" s="31" t="s">
        <v>11</v>
      </c>
      <c r="C1603" s="32"/>
      <c r="D1603" s="32"/>
      <c r="E1603" s="19" t="n">
        <f aca="false">+IF(C1603="EQUIPO",F1603,0)</f>
        <v>0</v>
      </c>
      <c r="F1603" s="33" t="n">
        <v>0</v>
      </c>
      <c r="G1603" s="62"/>
      <c r="H1603" s="35" t="n">
        <v>0</v>
      </c>
      <c r="I1603" s="34" t="n">
        <f aca="false">+IF(E1603=0,0,E1603*0.03)</f>
        <v>0</v>
      </c>
    </row>
    <row r="1604" customFormat="false" ht="15.75" hidden="false" customHeight="true" outlineLevel="0" collapsed="false">
      <c r="A1604" s="30" t="n">
        <v>45323</v>
      </c>
      <c r="B1604" s="31" t="s">
        <v>11</v>
      </c>
      <c r="C1604" s="32"/>
      <c r="D1604" s="32"/>
      <c r="E1604" s="19" t="n">
        <f aca="false">+IF(C1604="EQUIPO",F1604,0)</f>
        <v>0</v>
      </c>
      <c r="F1604" s="33" t="n">
        <v>0</v>
      </c>
      <c r="G1604" s="62"/>
      <c r="H1604" s="35" t="n">
        <v>0</v>
      </c>
      <c r="I1604" s="34" t="n">
        <f aca="false">+IF(E1604=0,0,E1604*0.03)</f>
        <v>0</v>
      </c>
    </row>
    <row r="1605" customFormat="false" ht="15.75" hidden="false" customHeight="true" outlineLevel="0" collapsed="false">
      <c r="A1605" s="30" t="n">
        <v>45323</v>
      </c>
      <c r="B1605" s="31" t="s">
        <v>11</v>
      </c>
      <c r="C1605" s="32"/>
      <c r="D1605" s="32"/>
      <c r="E1605" s="19" t="n">
        <f aca="false">+IF(C1605="EQUIPO",F1605,0)</f>
        <v>0</v>
      </c>
      <c r="F1605" s="33" t="n">
        <v>0</v>
      </c>
      <c r="G1605" s="62"/>
      <c r="H1605" s="35" t="n">
        <v>0</v>
      </c>
      <c r="I1605" s="34" t="n">
        <f aca="false">+IF(E1605=0,0,E1605*0.03)</f>
        <v>0</v>
      </c>
    </row>
    <row r="1606" customFormat="false" ht="15.75" hidden="false" customHeight="true" outlineLevel="0" collapsed="false">
      <c r="A1606" s="30" t="n">
        <v>45323</v>
      </c>
      <c r="B1606" s="31" t="s">
        <v>11</v>
      </c>
      <c r="C1606" s="32"/>
      <c r="D1606" s="32"/>
      <c r="E1606" s="19" t="n">
        <f aca="false">+IF(C1606="EQUIPO",F1606,0)</f>
        <v>0</v>
      </c>
      <c r="F1606" s="33" t="n">
        <v>0</v>
      </c>
      <c r="G1606" s="62"/>
      <c r="H1606" s="35" t="n">
        <v>0</v>
      </c>
      <c r="I1606" s="34" t="n">
        <f aca="false">+IF(E1606=0,0,E1606*0.03)</f>
        <v>0</v>
      </c>
    </row>
    <row r="1607" customFormat="false" ht="15.75" hidden="false" customHeight="true" outlineLevel="0" collapsed="false">
      <c r="A1607" s="30" t="n">
        <v>45323</v>
      </c>
      <c r="B1607" s="31" t="s">
        <v>11</v>
      </c>
      <c r="C1607" s="32"/>
      <c r="D1607" s="32"/>
      <c r="E1607" s="19" t="n">
        <f aca="false">+IF(C1607="EQUIPO",F1607,0)</f>
        <v>0</v>
      </c>
      <c r="F1607" s="33" t="n">
        <v>0</v>
      </c>
      <c r="G1607" s="62"/>
      <c r="H1607" s="35" t="n">
        <v>0</v>
      </c>
      <c r="I1607" s="34" t="n">
        <f aca="false">+IF(E1607=0,0,E1607*0.03)</f>
        <v>0</v>
      </c>
    </row>
    <row r="1608" customFormat="false" ht="15.75" hidden="false" customHeight="true" outlineLevel="0" collapsed="false">
      <c r="A1608" s="30" t="n">
        <v>45323</v>
      </c>
      <c r="B1608" s="31" t="s">
        <v>11</v>
      </c>
      <c r="C1608" s="32"/>
      <c r="D1608" s="32"/>
      <c r="E1608" s="19" t="n">
        <f aca="false">+IF(C1608="EQUIPO",F1608,0)</f>
        <v>0</v>
      </c>
      <c r="F1608" s="33" t="n">
        <v>0</v>
      </c>
      <c r="G1608" s="62"/>
      <c r="H1608" s="35" t="n">
        <v>0</v>
      </c>
      <c r="I1608" s="34" t="n">
        <f aca="false">+IF(E1608=0,0,E1608*0.03)</f>
        <v>0</v>
      </c>
    </row>
    <row r="1609" customFormat="false" ht="15.75" hidden="false" customHeight="true" outlineLevel="0" collapsed="false">
      <c r="A1609" s="30" t="n">
        <v>45323</v>
      </c>
      <c r="B1609" s="31" t="s">
        <v>11</v>
      </c>
      <c r="C1609" s="32"/>
      <c r="D1609" s="32"/>
      <c r="E1609" s="19" t="n">
        <f aca="false">+IF(C1609="EQUIPO",F1609,0)</f>
        <v>0</v>
      </c>
      <c r="F1609" s="33" t="n">
        <v>0</v>
      </c>
      <c r="G1609" s="62"/>
      <c r="H1609" s="35" t="n">
        <v>0</v>
      </c>
      <c r="I1609" s="34" t="n">
        <f aca="false">+IF(E1609=0,0,E1609*0.03)</f>
        <v>0</v>
      </c>
    </row>
    <row r="1610" customFormat="false" ht="15.75" hidden="false" customHeight="true" outlineLevel="0" collapsed="false">
      <c r="A1610" s="30" t="n">
        <v>45323</v>
      </c>
      <c r="B1610" s="31" t="s">
        <v>11</v>
      </c>
      <c r="C1610" s="32"/>
      <c r="D1610" s="32"/>
      <c r="E1610" s="19" t="n">
        <f aca="false">+IF(C1610="EQUIPO",F1610,0)</f>
        <v>0</v>
      </c>
      <c r="F1610" s="33" t="n">
        <v>0</v>
      </c>
      <c r="G1610" s="62"/>
      <c r="H1610" s="35" t="n">
        <v>0</v>
      </c>
      <c r="I1610" s="34" t="n">
        <f aca="false">+IF(E1610=0,0,E1610*0.03)</f>
        <v>0</v>
      </c>
    </row>
    <row r="1611" customFormat="false" ht="15.75" hidden="false" customHeight="true" outlineLevel="0" collapsed="false">
      <c r="A1611" s="30" t="n">
        <v>45323</v>
      </c>
      <c r="B1611" s="31" t="s">
        <v>11</v>
      </c>
      <c r="C1611" s="32"/>
      <c r="D1611" s="32"/>
      <c r="E1611" s="19" t="n">
        <f aca="false">+IF(C1611="EQUIPO",F1611,0)</f>
        <v>0</v>
      </c>
      <c r="F1611" s="33" t="n">
        <v>0</v>
      </c>
      <c r="G1611" s="62"/>
      <c r="H1611" s="35" t="n">
        <v>0</v>
      </c>
      <c r="I1611" s="34" t="n">
        <f aca="false">+IF(E1611=0,0,E1611*0.03)</f>
        <v>0</v>
      </c>
    </row>
    <row r="1612" customFormat="false" ht="15.75" hidden="false" customHeight="true" outlineLevel="0" collapsed="false">
      <c r="A1612" s="30" t="n">
        <v>45323</v>
      </c>
      <c r="B1612" s="31" t="s">
        <v>11</v>
      </c>
      <c r="C1612" s="32"/>
      <c r="D1612" s="32"/>
      <c r="E1612" s="19" t="n">
        <f aca="false">+IF(C1612="EQUIPO",F1612,0)</f>
        <v>0</v>
      </c>
      <c r="F1612" s="33" t="n">
        <v>0</v>
      </c>
      <c r="G1612" s="62"/>
      <c r="H1612" s="35" t="n">
        <v>0</v>
      </c>
      <c r="I1612" s="34" t="n">
        <f aca="false">+IF(E1612=0,0,E1612*0.03)</f>
        <v>0</v>
      </c>
    </row>
    <row r="1613" customFormat="false" ht="15.75" hidden="false" customHeight="true" outlineLevel="0" collapsed="false">
      <c r="A1613" s="30" t="n">
        <v>45323</v>
      </c>
      <c r="B1613" s="31" t="s">
        <v>11</v>
      </c>
      <c r="C1613" s="32"/>
      <c r="D1613" s="32"/>
      <c r="E1613" s="19" t="n">
        <f aca="false">+IF(C1613="EQUIPO",F1613,0)</f>
        <v>0</v>
      </c>
      <c r="F1613" s="33" t="n">
        <v>0</v>
      </c>
      <c r="G1613" s="62"/>
      <c r="H1613" s="35" t="n">
        <v>0</v>
      </c>
      <c r="I1613" s="34" t="n">
        <f aca="false">+IF(E1613=0,0,E1613*0.03)</f>
        <v>0</v>
      </c>
    </row>
    <row r="1614" customFormat="false" ht="15.75" hidden="false" customHeight="true" outlineLevel="0" collapsed="false">
      <c r="A1614" s="30" t="n">
        <v>45323</v>
      </c>
      <c r="B1614" s="31" t="s">
        <v>11</v>
      </c>
      <c r="C1614" s="32"/>
      <c r="D1614" s="32"/>
      <c r="E1614" s="19" t="n">
        <f aca="false">+IF(C1614="EQUIPO",F1614,0)</f>
        <v>0</v>
      </c>
      <c r="F1614" s="33" t="n">
        <v>0</v>
      </c>
      <c r="G1614" s="62"/>
      <c r="H1614" s="35" t="n">
        <v>0</v>
      </c>
      <c r="I1614" s="34" t="n">
        <f aca="false">+IF(E1614=0,0,E1614*0.03)</f>
        <v>0</v>
      </c>
    </row>
    <row r="1615" customFormat="false" ht="15.75" hidden="false" customHeight="true" outlineLevel="0" collapsed="false">
      <c r="A1615" s="30" t="n">
        <v>45323</v>
      </c>
      <c r="B1615" s="31" t="s">
        <v>11</v>
      </c>
      <c r="C1615" s="32"/>
      <c r="D1615" s="32"/>
      <c r="E1615" s="19" t="n">
        <f aca="false">+IF(C1615="EQUIPO",F1615,0)</f>
        <v>0</v>
      </c>
      <c r="F1615" s="33" t="n">
        <v>0</v>
      </c>
      <c r="G1615" s="62"/>
      <c r="H1615" s="35" t="n">
        <v>0</v>
      </c>
      <c r="I1615" s="34" t="n">
        <f aca="false">+IF(E1615=0,0,E1615*0.03)</f>
        <v>0</v>
      </c>
    </row>
    <row r="1616" customFormat="false" ht="15.75" hidden="false" customHeight="true" outlineLevel="0" collapsed="false">
      <c r="A1616" s="30" t="n">
        <v>45323</v>
      </c>
      <c r="B1616" s="31" t="s">
        <v>11</v>
      </c>
      <c r="C1616" s="32"/>
      <c r="D1616" s="32"/>
      <c r="E1616" s="19" t="n">
        <f aca="false">+IF(C1616="EQUIPO",F1616,0)</f>
        <v>0</v>
      </c>
      <c r="F1616" s="33" t="n">
        <v>0</v>
      </c>
      <c r="G1616" s="62"/>
      <c r="H1616" s="35" t="n">
        <v>0</v>
      </c>
      <c r="I1616" s="34" t="n">
        <f aca="false">+IF(E1616=0,0,E1616*0.03)</f>
        <v>0</v>
      </c>
    </row>
    <row r="1617" customFormat="false" ht="15.75" hidden="false" customHeight="true" outlineLevel="0" collapsed="false">
      <c r="A1617" s="30" t="n">
        <v>45323</v>
      </c>
      <c r="B1617" s="31" t="s">
        <v>11</v>
      </c>
      <c r="C1617" s="32"/>
      <c r="D1617" s="32"/>
      <c r="E1617" s="19" t="n">
        <f aca="false">+IF(C1617="EQUIPO",F1617,0)</f>
        <v>0</v>
      </c>
      <c r="F1617" s="33" t="n">
        <v>0</v>
      </c>
      <c r="G1617" s="62"/>
      <c r="H1617" s="35" t="n">
        <v>0</v>
      </c>
      <c r="I1617" s="34" t="n">
        <f aca="false">+IF(E1617=0,0,E1617*0.03)</f>
        <v>0</v>
      </c>
    </row>
    <row r="1618" customFormat="false" ht="15.75" hidden="false" customHeight="true" outlineLevel="0" collapsed="false">
      <c r="A1618" s="30" t="n">
        <v>45323</v>
      </c>
      <c r="B1618" s="31" t="s">
        <v>11</v>
      </c>
      <c r="C1618" s="32"/>
      <c r="D1618" s="32"/>
      <c r="E1618" s="19" t="n">
        <f aca="false">+IF(C1618="EQUIPO",F1618,0)</f>
        <v>0</v>
      </c>
      <c r="F1618" s="33" t="n">
        <v>0</v>
      </c>
      <c r="G1618" s="62"/>
      <c r="H1618" s="35" t="n">
        <v>0</v>
      </c>
      <c r="I1618" s="34" t="n">
        <f aca="false">+IF(E1618=0,0,E1618*0.03)</f>
        <v>0</v>
      </c>
    </row>
    <row r="1619" customFormat="false" ht="15.75" hidden="false" customHeight="true" outlineLevel="0" collapsed="false">
      <c r="A1619" s="30" t="n">
        <v>45323</v>
      </c>
      <c r="B1619" s="31" t="s">
        <v>11</v>
      </c>
      <c r="C1619" s="32"/>
      <c r="D1619" s="32"/>
      <c r="E1619" s="19" t="n">
        <f aca="false">+IF(C1619="EQUIPO",F1619,0)</f>
        <v>0</v>
      </c>
      <c r="F1619" s="33" t="n">
        <v>0</v>
      </c>
      <c r="G1619" s="62"/>
      <c r="H1619" s="35" t="n">
        <v>0</v>
      </c>
      <c r="I1619" s="34" t="n">
        <f aca="false">+IF(E1619=0,0,E1619*0.03)</f>
        <v>0</v>
      </c>
    </row>
    <row r="1620" customFormat="false" ht="15.75" hidden="false" customHeight="true" outlineLevel="0" collapsed="false">
      <c r="A1620" s="30" t="n">
        <v>45323</v>
      </c>
      <c r="B1620" s="31" t="s">
        <v>11</v>
      </c>
      <c r="C1620" s="32"/>
      <c r="D1620" s="32"/>
      <c r="E1620" s="19" t="n">
        <f aca="false">+IF(C1620="EQUIPO",F1620,0)</f>
        <v>0</v>
      </c>
      <c r="F1620" s="33" t="n">
        <v>0</v>
      </c>
      <c r="G1620" s="62"/>
      <c r="H1620" s="35" t="n">
        <v>0</v>
      </c>
      <c r="I1620" s="34" t="n">
        <f aca="false">+IF(E1620=0,0,E1620*0.03)</f>
        <v>0</v>
      </c>
    </row>
    <row r="1621" customFormat="false" ht="15.75" hidden="false" customHeight="true" outlineLevel="0" collapsed="false">
      <c r="A1621" s="30" t="n">
        <v>45323</v>
      </c>
      <c r="B1621" s="31" t="s">
        <v>11</v>
      </c>
      <c r="C1621" s="32"/>
      <c r="D1621" s="32"/>
      <c r="E1621" s="19" t="n">
        <f aca="false">+IF(C1621="EQUIPO",F1621,0)</f>
        <v>0</v>
      </c>
      <c r="F1621" s="33" t="n">
        <v>0</v>
      </c>
      <c r="G1621" s="62"/>
      <c r="H1621" s="35" t="n">
        <v>0</v>
      </c>
      <c r="I1621" s="34" t="n">
        <f aca="false">+IF(E1621=0,0,E1621*0.03)</f>
        <v>0</v>
      </c>
    </row>
    <row r="1622" customFormat="false" ht="15.75" hidden="false" customHeight="true" outlineLevel="0" collapsed="false">
      <c r="A1622" s="30" t="n">
        <v>45323</v>
      </c>
      <c r="B1622" s="31" t="s">
        <v>11</v>
      </c>
      <c r="C1622" s="32"/>
      <c r="D1622" s="32"/>
      <c r="E1622" s="19" t="n">
        <f aca="false">+IF(C1622="EQUIPO",F1622,0)</f>
        <v>0</v>
      </c>
      <c r="F1622" s="33" t="n">
        <v>0</v>
      </c>
      <c r="G1622" s="62"/>
      <c r="H1622" s="35" t="n">
        <v>0</v>
      </c>
      <c r="I1622" s="34" t="n">
        <f aca="false">+IF(E1622=0,0,E1622*0.03)</f>
        <v>0</v>
      </c>
    </row>
    <row r="1623" customFormat="false" ht="15.75" hidden="false" customHeight="true" outlineLevel="0" collapsed="false">
      <c r="A1623" s="30" t="n">
        <v>45323</v>
      </c>
      <c r="B1623" s="31" t="s">
        <v>11</v>
      </c>
      <c r="C1623" s="32"/>
      <c r="D1623" s="32"/>
      <c r="E1623" s="19" t="n">
        <f aca="false">+IF(C1623="EQUIPO",F1623,0)</f>
        <v>0</v>
      </c>
      <c r="F1623" s="33" t="n">
        <v>0</v>
      </c>
      <c r="G1623" s="62"/>
      <c r="H1623" s="35" t="n">
        <v>0</v>
      </c>
      <c r="I1623" s="34" t="n">
        <f aca="false">+IF(E1623=0,0,E1623*0.03)</f>
        <v>0</v>
      </c>
    </row>
    <row r="1624" customFormat="false" ht="15.75" hidden="false" customHeight="true" outlineLevel="0" collapsed="false">
      <c r="A1624" s="30" t="n">
        <v>45323</v>
      </c>
      <c r="B1624" s="31" t="s">
        <v>11</v>
      </c>
      <c r="C1624" s="32"/>
      <c r="D1624" s="32"/>
      <c r="E1624" s="19" t="n">
        <f aca="false">+IF(C1624="EQUIPO",F1624,0)</f>
        <v>0</v>
      </c>
      <c r="F1624" s="33" t="n">
        <v>0</v>
      </c>
      <c r="G1624" s="62"/>
      <c r="H1624" s="35" t="n">
        <v>0</v>
      </c>
      <c r="I1624" s="34" t="n">
        <f aca="false">+IF(E1624=0,0,E1624*0.03)</f>
        <v>0</v>
      </c>
    </row>
    <row r="1625" customFormat="false" ht="15.75" hidden="false" customHeight="true" outlineLevel="0" collapsed="false">
      <c r="A1625" s="30" t="n">
        <v>45323</v>
      </c>
      <c r="B1625" s="31" t="s">
        <v>11</v>
      </c>
      <c r="C1625" s="32"/>
      <c r="D1625" s="32"/>
      <c r="E1625" s="19" t="n">
        <f aca="false">+IF(C1625="EQUIPO",F1625,0)</f>
        <v>0</v>
      </c>
      <c r="F1625" s="33" t="n">
        <v>0</v>
      </c>
      <c r="G1625" s="62"/>
      <c r="H1625" s="35" t="n">
        <v>0</v>
      </c>
      <c r="I1625" s="34" t="n">
        <f aca="false">+IF(E1625=0,0,E1625*0.03)</f>
        <v>0</v>
      </c>
    </row>
    <row r="1626" customFormat="false" ht="15.75" hidden="false" customHeight="true" outlineLevel="0" collapsed="false">
      <c r="A1626" s="30" t="n">
        <v>45323</v>
      </c>
      <c r="B1626" s="31" t="s">
        <v>11</v>
      </c>
      <c r="C1626" s="32"/>
      <c r="D1626" s="32"/>
      <c r="E1626" s="19" t="n">
        <f aca="false">+IF(C1626="EQUIPO",F1626,0)</f>
        <v>0</v>
      </c>
      <c r="F1626" s="33" t="n">
        <v>0</v>
      </c>
      <c r="G1626" s="62"/>
      <c r="H1626" s="35" t="n">
        <v>0</v>
      </c>
      <c r="I1626" s="34" t="n">
        <f aca="false">+IF(E1626=0,0,E1626*0.03)</f>
        <v>0</v>
      </c>
    </row>
    <row r="1627" customFormat="false" ht="15.75" hidden="false" customHeight="true" outlineLevel="0" collapsed="false">
      <c r="A1627" s="30" t="n">
        <v>45323</v>
      </c>
      <c r="B1627" s="31" t="s">
        <v>11</v>
      </c>
      <c r="C1627" s="32"/>
      <c r="D1627" s="32"/>
      <c r="E1627" s="19" t="n">
        <f aca="false">+IF(C1627="EQUIPO",F1627,0)</f>
        <v>0</v>
      </c>
      <c r="F1627" s="33" t="n">
        <v>0</v>
      </c>
      <c r="G1627" s="62"/>
      <c r="H1627" s="35" t="n">
        <v>0</v>
      </c>
      <c r="I1627" s="34" t="n">
        <f aca="false">+IF(E1627=0,0,E1627*0.03)</f>
        <v>0</v>
      </c>
    </row>
    <row r="1628" customFormat="false" ht="15.75" hidden="false" customHeight="true" outlineLevel="0" collapsed="false">
      <c r="A1628" s="30" t="n">
        <v>45323</v>
      </c>
      <c r="B1628" s="31" t="s">
        <v>11</v>
      </c>
      <c r="C1628" s="32"/>
      <c r="D1628" s="32"/>
      <c r="E1628" s="19" t="n">
        <f aca="false">+IF(C1628="EQUIPO",F1628,0)</f>
        <v>0</v>
      </c>
      <c r="F1628" s="33" t="n">
        <v>0</v>
      </c>
      <c r="G1628" s="62"/>
      <c r="H1628" s="35" t="n">
        <v>0</v>
      </c>
      <c r="I1628" s="34" t="n">
        <f aca="false">+IF(E1628=0,0,E1628*0.03)</f>
        <v>0</v>
      </c>
    </row>
    <row r="1629" customFormat="false" ht="15.75" hidden="false" customHeight="true" outlineLevel="0" collapsed="false">
      <c r="A1629" s="30" t="n">
        <v>45323</v>
      </c>
      <c r="B1629" s="31" t="s">
        <v>11</v>
      </c>
      <c r="C1629" s="32"/>
      <c r="D1629" s="32"/>
      <c r="E1629" s="19" t="n">
        <f aca="false">+IF(C1629="EQUIPO",F1629,0)</f>
        <v>0</v>
      </c>
      <c r="F1629" s="33" t="n">
        <v>0</v>
      </c>
      <c r="G1629" s="62"/>
      <c r="H1629" s="35" t="n">
        <v>0</v>
      </c>
      <c r="I1629" s="34" t="n">
        <f aca="false">+IF(E1629=0,0,E1629*0.03)</f>
        <v>0</v>
      </c>
    </row>
    <row r="1630" customFormat="false" ht="15.75" hidden="false" customHeight="true" outlineLevel="0" collapsed="false">
      <c r="A1630" s="30" t="n">
        <v>45323</v>
      </c>
      <c r="B1630" s="31" t="s">
        <v>11</v>
      </c>
      <c r="C1630" s="32"/>
      <c r="D1630" s="32"/>
      <c r="E1630" s="19" t="n">
        <f aca="false">+IF(C1630="EQUIPO",F1630,0)</f>
        <v>0</v>
      </c>
      <c r="F1630" s="33" t="n">
        <v>0</v>
      </c>
      <c r="G1630" s="62"/>
      <c r="H1630" s="35" t="n">
        <v>0</v>
      </c>
      <c r="I1630" s="34" t="n">
        <f aca="false">+IF(E1630=0,0,E1630*0.03)</f>
        <v>0</v>
      </c>
    </row>
    <row r="1631" customFormat="false" ht="15.75" hidden="false" customHeight="true" outlineLevel="0" collapsed="false">
      <c r="A1631" s="30" t="n">
        <v>45323</v>
      </c>
      <c r="B1631" s="31" t="s">
        <v>11</v>
      </c>
      <c r="C1631" s="32"/>
      <c r="D1631" s="32"/>
      <c r="E1631" s="19" t="n">
        <f aca="false">+IF(C1631="EQUIPO",F1631,0)</f>
        <v>0</v>
      </c>
      <c r="F1631" s="33" t="n">
        <v>0</v>
      </c>
      <c r="G1631" s="62"/>
      <c r="H1631" s="35" t="n">
        <v>0</v>
      </c>
      <c r="I1631" s="34" t="n">
        <f aca="false">+IF(E1631=0,0,E1631*0.03)</f>
        <v>0</v>
      </c>
    </row>
    <row r="1632" customFormat="false" ht="15.75" hidden="false" customHeight="true" outlineLevel="0" collapsed="false">
      <c r="A1632" s="30" t="n">
        <v>45323</v>
      </c>
      <c r="B1632" s="31" t="s">
        <v>11</v>
      </c>
      <c r="C1632" s="32"/>
      <c r="D1632" s="32"/>
      <c r="E1632" s="19" t="n">
        <f aca="false">+IF(C1632="EQUIPO",F1632,0)</f>
        <v>0</v>
      </c>
      <c r="F1632" s="33" t="n">
        <v>0</v>
      </c>
      <c r="G1632" s="62"/>
      <c r="H1632" s="35" t="n">
        <v>0</v>
      </c>
      <c r="I1632" s="34" t="n">
        <f aca="false">+IF(E1632=0,0,E1632*0.03)</f>
        <v>0</v>
      </c>
    </row>
    <row r="1633" customFormat="false" ht="15.75" hidden="false" customHeight="true" outlineLevel="0" collapsed="false">
      <c r="A1633" s="30" t="n">
        <v>45323</v>
      </c>
      <c r="B1633" s="31" t="s">
        <v>11</v>
      </c>
      <c r="C1633" s="32"/>
      <c r="D1633" s="32"/>
      <c r="E1633" s="19" t="n">
        <f aca="false">+IF(C1633="EQUIPO",F1633,0)</f>
        <v>0</v>
      </c>
      <c r="F1633" s="33" t="n">
        <v>0</v>
      </c>
      <c r="G1633" s="62"/>
      <c r="H1633" s="35" t="n">
        <v>0</v>
      </c>
      <c r="I1633" s="34" t="n">
        <f aca="false">+IF(E1633=0,0,E1633*0.03)</f>
        <v>0</v>
      </c>
    </row>
    <row r="1634" customFormat="false" ht="15.75" hidden="false" customHeight="true" outlineLevel="0" collapsed="false">
      <c r="A1634" s="30" t="n">
        <v>45323</v>
      </c>
      <c r="B1634" s="31" t="s">
        <v>11</v>
      </c>
      <c r="C1634" s="32"/>
      <c r="D1634" s="32"/>
      <c r="E1634" s="19" t="n">
        <f aca="false">+IF(C1634="EQUIPO",F1634,0)</f>
        <v>0</v>
      </c>
      <c r="F1634" s="33" t="n">
        <v>0</v>
      </c>
      <c r="G1634" s="62"/>
      <c r="H1634" s="35" t="n">
        <v>0</v>
      </c>
      <c r="I1634" s="34" t="n">
        <f aca="false">+IF(E1634=0,0,E1634*0.03)</f>
        <v>0</v>
      </c>
    </row>
    <row r="1635" customFormat="false" ht="15.75" hidden="false" customHeight="true" outlineLevel="0" collapsed="false">
      <c r="A1635" s="30" t="n">
        <v>45323</v>
      </c>
      <c r="B1635" s="31" t="s">
        <v>11</v>
      </c>
      <c r="C1635" s="32"/>
      <c r="D1635" s="32"/>
      <c r="E1635" s="19" t="n">
        <f aca="false">+IF(C1635="EQUIPO",F1635,0)</f>
        <v>0</v>
      </c>
      <c r="F1635" s="33" t="n">
        <v>0</v>
      </c>
      <c r="G1635" s="62"/>
      <c r="H1635" s="35" t="n">
        <v>0</v>
      </c>
      <c r="I1635" s="34" t="n">
        <f aca="false">+IF(E1635=0,0,E1635*0.03)</f>
        <v>0</v>
      </c>
    </row>
    <row r="1636" customFormat="false" ht="15.75" hidden="false" customHeight="true" outlineLevel="0" collapsed="false">
      <c r="A1636" s="30" t="n">
        <v>45323</v>
      </c>
      <c r="B1636" s="31" t="s">
        <v>11</v>
      </c>
      <c r="C1636" s="32"/>
      <c r="D1636" s="32"/>
      <c r="E1636" s="19" t="n">
        <f aca="false">+IF(C1636="EQUIPO",F1636,0)</f>
        <v>0</v>
      </c>
      <c r="F1636" s="33" t="n">
        <v>0</v>
      </c>
      <c r="G1636" s="62"/>
      <c r="H1636" s="35" t="n">
        <v>0</v>
      </c>
      <c r="I1636" s="34" t="n">
        <f aca="false">+IF(E1636=0,0,E1636*0.03)</f>
        <v>0</v>
      </c>
    </row>
    <row r="1637" customFormat="false" ht="15.75" hidden="false" customHeight="true" outlineLevel="0" collapsed="false">
      <c r="A1637" s="30" t="n">
        <v>45323</v>
      </c>
      <c r="B1637" s="31" t="s">
        <v>11</v>
      </c>
      <c r="C1637" s="32"/>
      <c r="D1637" s="32"/>
      <c r="E1637" s="19" t="n">
        <f aca="false">+IF(C1637="EQUIPO",F1637,0)</f>
        <v>0</v>
      </c>
      <c r="F1637" s="33" t="n">
        <v>0</v>
      </c>
      <c r="G1637" s="62"/>
      <c r="H1637" s="35" t="n">
        <v>0</v>
      </c>
      <c r="I1637" s="34" t="n">
        <f aca="false">+IF(E1637=0,0,E1637*0.03)</f>
        <v>0</v>
      </c>
    </row>
    <row r="1638" customFormat="false" ht="15.75" hidden="false" customHeight="true" outlineLevel="0" collapsed="false">
      <c r="A1638" s="30" t="n">
        <v>45323</v>
      </c>
      <c r="B1638" s="31" t="s">
        <v>11</v>
      </c>
      <c r="C1638" s="32"/>
      <c r="D1638" s="32"/>
      <c r="E1638" s="19" t="n">
        <f aca="false">+IF(C1638="EQUIPO",F1638,0)</f>
        <v>0</v>
      </c>
      <c r="F1638" s="33" t="n">
        <v>0</v>
      </c>
      <c r="G1638" s="62"/>
      <c r="H1638" s="35" t="n">
        <v>0</v>
      </c>
      <c r="I1638" s="34" t="n">
        <f aca="false">+IF(E1638=0,0,E1638*0.03)</f>
        <v>0</v>
      </c>
    </row>
    <row r="1639" customFormat="false" ht="15.75" hidden="false" customHeight="true" outlineLevel="0" collapsed="false">
      <c r="A1639" s="30" t="n">
        <v>45323</v>
      </c>
      <c r="B1639" s="31" t="s">
        <v>11</v>
      </c>
      <c r="C1639" s="32"/>
      <c r="D1639" s="32"/>
      <c r="E1639" s="19" t="n">
        <f aca="false">+IF(C1639="EQUIPO",F1639,0)</f>
        <v>0</v>
      </c>
      <c r="F1639" s="33" t="n">
        <v>0</v>
      </c>
      <c r="G1639" s="62"/>
      <c r="H1639" s="35" t="n">
        <v>0</v>
      </c>
      <c r="I1639" s="34" t="n">
        <f aca="false">+IF(E1639=0,0,E1639*0.03)</f>
        <v>0</v>
      </c>
    </row>
    <row r="1640" customFormat="false" ht="15.75" hidden="false" customHeight="true" outlineLevel="0" collapsed="false">
      <c r="A1640" s="30" t="n">
        <v>45323</v>
      </c>
      <c r="B1640" s="31" t="s">
        <v>11</v>
      </c>
      <c r="C1640" s="32"/>
      <c r="D1640" s="32"/>
      <c r="E1640" s="19" t="n">
        <f aca="false">+IF(C1640="EQUIPO",F1640,0)</f>
        <v>0</v>
      </c>
      <c r="F1640" s="33" t="n">
        <v>0</v>
      </c>
      <c r="G1640" s="62"/>
      <c r="H1640" s="35" t="n">
        <v>0</v>
      </c>
      <c r="I1640" s="34" t="n">
        <f aca="false">+IF(E1640=0,0,E1640*0.03)</f>
        <v>0</v>
      </c>
    </row>
    <row r="1641" customFormat="false" ht="15.75" hidden="false" customHeight="true" outlineLevel="0" collapsed="false">
      <c r="A1641" s="30" t="n">
        <v>45323</v>
      </c>
      <c r="B1641" s="31" t="s">
        <v>11</v>
      </c>
      <c r="C1641" s="32"/>
      <c r="D1641" s="32"/>
      <c r="E1641" s="19" t="n">
        <f aca="false">+IF(C1641="EQUIPO",F1641,0)</f>
        <v>0</v>
      </c>
      <c r="F1641" s="33" t="n">
        <v>0</v>
      </c>
      <c r="G1641" s="62"/>
      <c r="H1641" s="35" t="n">
        <v>0</v>
      </c>
      <c r="I1641" s="34" t="n">
        <f aca="false">+IF(E1641=0,0,E1641*0.03)</f>
        <v>0</v>
      </c>
    </row>
    <row r="1642" customFormat="false" ht="15.75" hidden="false" customHeight="true" outlineLevel="0" collapsed="false">
      <c r="A1642" s="30" t="n">
        <v>45323</v>
      </c>
      <c r="B1642" s="31" t="s">
        <v>11</v>
      </c>
      <c r="C1642" s="32"/>
      <c r="D1642" s="32"/>
      <c r="E1642" s="19" t="n">
        <f aca="false">+IF(C1642="EQUIPO",F1642,0)</f>
        <v>0</v>
      </c>
      <c r="F1642" s="33" t="n">
        <v>0</v>
      </c>
      <c r="G1642" s="62"/>
      <c r="H1642" s="35" t="n">
        <v>0</v>
      </c>
      <c r="I1642" s="34" t="n">
        <f aca="false">+IF(E1642=0,0,E1642*0.03)</f>
        <v>0</v>
      </c>
    </row>
    <row r="1643" customFormat="false" ht="15.75" hidden="false" customHeight="true" outlineLevel="0" collapsed="false">
      <c r="A1643" s="30" t="n">
        <v>45323</v>
      </c>
      <c r="B1643" s="31" t="s">
        <v>11</v>
      </c>
      <c r="C1643" s="32"/>
      <c r="D1643" s="32"/>
      <c r="E1643" s="19" t="n">
        <f aca="false">+IF(C1643="EQUIPO",F1643,0)</f>
        <v>0</v>
      </c>
      <c r="F1643" s="33" t="n">
        <v>0</v>
      </c>
      <c r="G1643" s="62"/>
      <c r="H1643" s="35" t="n">
        <v>0</v>
      </c>
      <c r="I1643" s="34" t="n">
        <f aca="false">+IF(E1643=0,0,E1643*0.03)</f>
        <v>0</v>
      </c>
    </row>
    <row r="1644" customFormat="false" ht="15.75" hidden="false" customHeight="true" outlineLevel="0" collapsed="false">
      <c r="A1644" s="30" t="n">
        <v>45323</v>
      </c>
      <c r="B1644" s="31" t="s">
        <v>11</v>
      </c>
      <c r="C1644" s="32"/>
      <c r="D1644" s="32"/>
      <c r="E1644" s="19" t="n">
        <f aca="false">+IF(C1644="EQUIPO",F1644,0)</f>
        <v>0</v>
      </c>
      <c r="F1644" s="33" t="n">
        <v>0</v>
      </c>
      <c r="G1644" s="62"/>
      <c r="H1644" s="35" t="n">
        <v>0</v>
      </c>
      <c r="I1644" s="34" t="n">
        <f aca="false">+IF(E1644=0,0,E1644*0.03)</f>
        <v>0</v>
      </c>
    </row>
    <row r="1645" customFormat="false" ht="15.75" hidden="false" customHeight="true" outlineLevel="0" collapsed="false">
      <c r="A1645" s="30" t="n">
        <v>45323</v>
      </c>
      <c r="B1645" s="31" t="s">
        <v>11</v>
      </c>
      <c r="C1645" s="32"/>
      <c r="D1645" s="32"/>
      <c r="E1645" s="19" t="n">
        <f aca="false">+IF(C1645="EQUIPO",F1645,0)</f>
        <v>0</v>
      </c>
      <c r="F1645" s="33" t="n">
        <v>0</v>
      </c>
      <c r="G1645" s="62"/>
      <c r="H1645" s="35" t="n">
        <v>0</v>
      </c>
      <c r="I1645" s="34" t="n">
        <f aca="false">+IF(E1645=0,0,E1645*0.03)</f>
        <v>0</v>
      </c>
    </row>
    <row r="1646" customFormat="false" ht="15.75" hidden="false" customHeight="true" outlineLevel="0" collapsed="false">
      <c r="A1646" s="30" t="n">
        <v>45323</v>
      </c>
      <c r="B1646" s="31" t="s">
        <v>11</v>
      </c>
      <c r="C1646" s="32"/>
      <c r="D1646" s="32"/>
      <c r="E1646" s="19" t="n">
        <f aca="false">+IF(C1646="EQUIPO",F1646,0)</f>
        <v>0</v>
      </c>
      <c r="F1646" s="33" t="n">
        <v>0</v>
      </c>
      <c r="G1646" s="62"/>
      <c r="H1646" s="35" t="n">
        <v>0</v>
      </c>
      <c r="I1646" s="34" t="n">
        <f aca="false">+IF(E1646=0,0,E1646*0.03)</f>
        <v>0</v>
      </c>
    </row>
    <row r="1647" customFormat="false" ht="15.75" hidden="false" customHeight="true" outlineLevel="0" collapsed="false">
      <c r="A1647" s="30" t="n">
        <v>45323</v>
      </c>
      <c r="B1647" s="31" t="s">
        <v>11</v>
      </c>
      <c r="C1647" s="32"/>
      <c r="D1647" s="32"/>
      <c r="E1647" s="19" t="n">
        <f aca="false">+IF(C1647="EQUIPO",F1647,0)</f>
        <v>0</v>
      </c>
      <c r="F1647" s="33" t="n">
        <v>0</v>
      </c>
      <c r="G1647" s="62"/>
      <c r="H1647" s="35" t="n">
        <v>0</v>
      </c>
      <c r="I1647" s="34" t="n">
        <f aca="false">+IF(E1647=0,0,E1647*0.03)</f>
        <v>0</v>
      </c>
    </row>
    <row r="1648" customFormat="false" ht="15.75" hidden="false" customHeight="true" outlineLevel="0" collapsed="false">
      <c r="A1648" s="30" t="n">
        <v>45323</v>
      </c>
      <c r="B1648" s="31" t="s">
        <v>11</v>
      </c>
      <c r="C1648" s="32"/>
      <c r="D1648" s="32"/>
      <c r="E1648" s="19" t="n">
        <f aca="false">+IF(C1648="EQUIPO",F1648,0)</f>
        <v>0</v>
      </c>
      <c r="F1648" s="33" t="n">
        <v>0</v>
      </c>
      <c r="G1648" s="62"/>
      <c r="H1648" s="35" t="n">
        <v>0</v>
      </c>
      <c r="I1648" s="34" t="n">
        <f aca="false">+IF(E1648=0,0,E1648*0.03)</f>
        <v>0</v>
      </c>
    </row>
    <row r="1649" customFormat="false" ht="15.75" hidden="false" customHeight="true" outlineLevel="0" collapsed="false">
      <c r="A1649" s="30" t="n">
        <v>45323</v>
      </c>
      <c r="B1649" s="31" t="s">
        <v>11</v>
      </c>
      <c r="C1649" s="32"/>
      <c r="D1649" s="32"/>
      <c r="E1649" s="19" t="n">
        <f aca="false">+IF(C1649="EQUIPO",F1649,0)</f>
        <v>0</v>
      </c>
      <c r="F1649" s="33" t="n">
        <v>0</v>
      </c>
      <c r="G1649" s="62"/>
      <c r="H1649" s="35" t="n">
        <v>0</v>
      </c>
      <c r="I1649" s="34" t="n">
        <f aca="false">+IF(E1649=0,0,E1649*0.03)</f>
        <v>0</v>
      </c>
    </row>
    <row r="1650" customFormat="false" ht="15.75" hidden="false" customHeight="true" outlineLevel="0" collapsed="false">
      <c r="A1650" s="30" t="n">
        <v>45323</v>
      </c>
      <c r="B1650" s="31" t="s">
        <v>11</v>
      </c>
      <c r="C1650" s="32"/>
      <c r="D1650" s="32"/>
      <c r="E1650" s="19" t="n">
        <f aca="false">+IF(C1650="EQUIPO",F1650,0)</f>
        <v>0</v>
      </c>
      <c r="F1650" s="33" t="n">
        <v>0</v>
      </c>
      <c r="G1650" s="62"/>
      <c r="H1650" s="35" t="n">
        <v>0</v>
      </c>
      <c r="I1650" s="34" t="n">
        <f aca="false">+IF(E1650=0,0,E1650*0.03)</f>
        <v>0</v>
      </c>
    </row>
    <row r="1651" customFormat="false" ht="15.75" hidden="false" customHeight="true" outlineLevel="0" collapsed="false">
      <c r="A1651" s="30" t="n">
        <v>45323</v>
      </c>
      <c r="B1651" s="31" t="s">
        <v>11</v>
      </c>
      <c r="C1651" s="32"/>
      <c r="D1651" s="32"/>
      <c r="E1651" s="19" t="n">
        <f aca="false">+IF(C1651="EQUIPO",F1651,0)</f>
        <v>0</v>
      </c>
      <c r="F1651" s="33" t="n">
        <v>0</v>
      </c>
      <c r="G1651" s="62"/>
      <c r="H1651" s="35" t="n">
        <v>0</v>
      </c>
      <c r="I1651" s="34" t="n">
        <f aca="false">+IF(E1651=0,0,E1651*0.03)</f>
        <v>0</v>
      </c>
    </row>
    <row r="1652" customFormat="false" ht="15.75" hidden="false" customHeight="true" outlineLevel="0" collapsed="false">
      <c r="A1652" s="30" t="n">
        <v>45323</v>
      </c>
      <c r="B1652" s="31" t="s">
        <v>11</v>
      </c>
      <c r="C1652" s="32"/>
      <c r="D1652" s="32"/>
      <c r="E1652" s="19" t="n">
        <f aca="false">+IF(C1652="EQUIPO",F1652,0)</f>
        <v>0</v>
      </c>
      <c r="F1652" s="33" t="n">
        <v>0</v>
      </c>
      <c r="G1652" s="62"/>
      <c r="H1652" s="35" t="n">
        <v>0</v>
      </c>
      <c r="I1652" s="34" t="n">
        <f aca="false">+IF(E1652=0,0,E1652*0.03)</f>
        <v>0</v>
      </c>
    </row>
    <row r="1653" customFormat="false" ht="15.75" hidden="false" customHeight="true" outlineLevel="0" collapsed="false">
      <c r="A1653" s="30" t="n">
        <v>45323</v>
      </c>
      <c r="B1653" s="31" t="s">
        <v>11</v>
      </c>
      <c r="C1653" s="32"/>
      <c r="D1653" s="32"/>
      <c r="E1653" s="19" t="n">
        <f aca="false">+IF(C1653="EQUIPO",F1653,0)</f>
        <v>0</v>
      </c>
      <c r="F1653" s="33" t="n">
        <v>0</v>
      </c>
      <c r="G1653" s="62"/>
      <c r="H1653" s="35" t="n">
        <v>0</v>
      </c>
      <c r="I1653" s="34" t="n">
        <f aca="false">+IF(E1653=0,0,E1653*0.03)</f>
        <v>0</v>
      </c>
    </row>
    <row r="1654" customFormat="false" ht="15.75" hidden="false" customHeight="true" outlineLevel="0" collapsed="false">
      <c r="A1654" s="30" t="n">
        <v>45323</v>
      </c>
      <c r="B1654" s="31" t="s">
        <v>11</v>
      </c>
      <c r="C1654" s="32"/>
      <c r="D1654" s="32"/>
      <c r="E1654" s="19" t="n">
        <f aca="false">+IF(C1654="EQUIPO",F1654,0)</f>
        <v>0</v>
      </c>
      <c r="F1654" s="33" t="n">
        <v>0</v>
      </c>
      <c r="G1654" s="62"/>
      <c r="H1654" s="35" t="n">
        <v>0</v>
      </c>
      <c r="I1654" s="34" t="n">
        <f aca="false">+IF(E1654=0,0,E1654*0.03)</f>
        <v>0</v>
      </c>
    </row>
    <row r="1655" customFormat="false" ht="15.75" hidden="false" customHeight="true" outlineLevel="0" collapsed="false">
      <c r="A1655" s="30" t="n">
        <v>45323</v>
      </c>
      <c r="B1655" s="31" t="s">
        <v>11</v>
      </c>
      <c r="C1655" s="32"/>
      <c r="D1655" s="32"/>
      <c r="E1655" s="19" t="n">
        <f aca="false">+IF(C1655="EQUIPO",F1655,0)</f>
        <v>0</v>
      </c>
      <c r="F1655" s="33" t="n">
        <v>0</v>
      </c>
      <c r="G1655" s="62"/>
      <c r="H1655" s="35" t="n">
        <v>0</v>
      </c>
      <c r="I1655" s="34" t="n">
        <f aca="false">+IF(E1655=0,0,E1655*0.03)</f>
        <v>0</v>
      </c>
    </row>
    <row r="1656" customFormat="false" ht="15.75" hidden="false" customHeight="true" outlineLevel="0" collapsed="false">
      <c r="A1656" s="30" t="n">
        <v>45323</v>
      </c>
      <c r="B1656" s="31" t="s">
        <v>11</v>
      </c>
      <c r="C1656" s="32"/>
      <c r="D1656" s="32"/>
      <c r="E1656" s="19" t="n">
        <f aca="false">+IF(C1656="EQUIPO",F1656,0)</f>
        <v>0</v>
      </c>
      <c r="F1656" s="33" t="n">
        <v>0</v>
      </c>
      <c r="G1656" s="62"/>
      <c r="H1656" s="35" t="n">
        <v>0</v>
      </c>
      <c r="I1656" s="34" t="n">
        <f aca="false">+IF(E1656=0,0,E1656*0.03)</f>
        <v>0</v>
      </c>
    </row>
    <row r="1657" customFormat="false" ht="15.75" hidden="false" customHeight="true" outlineLevel="0" collapsed="false">
      <c r="A1657" s="30" t="n">
        <v>45323</v>
      </c>
      <c r="B1657" s="31" t="s">
        <v>11</v>
      </c>
      <c r="C1657" s="32"/>
      <c r="D1657" s="32"/>
      <c r="E1657" s="19" t="n">
        <f aca="false">+IF(C1657="EQUIPO",F1657,0)</f>
        <v>0</v>
      </c>
      <c r="F1657" s="33" t="n">
        <v>0</v>
      </c>
      <c r="G1657" s="62"/>
      <c r="H1657" s="35" t="n">
        <v>0</v>
      </c>
      <c r="I1657" s="34" t="n">
        <f aca="false">+IF(E1657=0,0,E1657*0.03)</f>
        <v>0</v>
      </c>
    </row>
    <row r="1658" customFormat="false" ht="15.75" hidden="false" customHeight="true" outlineLevel="0" collapsed="false">
      <c r="A1658" s="30" t="n">
        <v>45323</v>
      </c>
      <c r="B1658" s="31" t="s">
        <v>11</v>
      </c>
      <c r="C1658" s="32"/>
      <c r="D1658" s="32"/>
      <c r="E1658" s="19" t="n">
        <f aca="false">+IF(C1658="EQUIPO",F1658,0)</f>
        <v>0</v>
      </c>
      <c r="F1658" s="33" t="n">
        <v>0</v>
      </c>
      <c r="G1658" s="62"/>
      <c r="H1658" s="35" t="n">
        <v>0</v>
      </c>
      <c r="I1658" s="34" t="n">
        <f aca="false">+IF(E1658=0,0,E1658*0.03)</f>
        <v>0</v>
      </c>
    </row>
    <row r="1659" customFormat="false" ht="15.75" hidden="false" customHeight="true" outlineLevel="0" collapsed="false">
      <c r="A1659" s="30" t="n">
        <v>45323</v>
      </c>
      <c r="B1659" s="31" t="s">
        <v>11</v>
      </c>
      <c r="C1659" s="32"/>
      <c r="D1659" s="32"/>
      <c r="E1659" s="19" t="n">
        <f aca="false">+IF(C1659="EQUIPO",F1659,0)</f>
        <v>0</v>
      </c>
      <c r="F1659" s="33" t="n">
        <v>0</v>
      </c>
      <c r="G1659" s="62"/>
      <c r="H1659" s="35" t="n">
        <v>0</v>
      </c>
      <c r="I1659" s="34" t="n">
        <f aca="false">+IF(E1659=0,0,E1659*0.03)</f>
        <v>0</v>
      </c>
    </row>
    <row r="1660" customFormat="false" ht="15.75" hidden="false" customHeight="true" outlineLevel="0" collapsed="false">
      <c r="A1660" s="30" t="n">
        <v>45323</v>
      </c>
      <c r="B1660" s="31" t="s">
        <v>11</v>
      </c>
      <c r="C1660" s="32"/>
      <c r="D1660" s="32"/>
      <c r="E1660" s="19" t="n">
        <f aca="false">+IF(C1660="EQUIPO",F1660,0)</f>
        <v>0</v>
      </c>
      <c r="F1660" s="33" t="n">
        <v>0</v>
      </c>
      <c r="G1660" s="62"/>
      <c r="H1660" s="35" t="n">
        <v>0</v>
      </c>
      <c r="I1660" s="34" t="n">
        <f aca="false">+IF(E1660=0,0,E1660*0.03)</f>
        <v>0</v>
      </c>
    </row>
    <row r="1661" customFormat="false" ht="15.75" hidden="false" customHeight="true" outlineLevel="0" collapsed="false">
      <c r="A1661" s="30" t="n">
        <v>45323</v>
      </c>
      <c r="B1661" s="31" t="s">
        <v>11</v>
      </c>
      <c r="C1661" s="32"/>
      <c r="D1661" s="32"/>
      <c r="E1661" s="19" t="n">
        <f aca="false">+IF(C1661="EQUIPO",F1661,0)</f>
        <v>0</v>
      </c>
      <c r="F1661" s="33" t="n">
        <v>0</v>
      </c>
      <c r="G1661" s="62"/>
      <c r="H1661" s="35" t="n">
        <v>0</v>
      </c>
      <c r="I1661" s="34" t="n">
        <f aca="false">+IF(E1661=0,0,E1661*0.03)</f>
        <v>0</v>
      </c>
    </row>
    <row r="1662" customFormat="false" ht="15.75" hidden="false" customHeight="true" outlineLevel="0" collapsed="false">
      <c r="A1662" s="30" t="n">
        <v>45323</v>
      </c>
      <c r="B1662" s="31" t="s">
        <v>11</v>
      </c>
      <c r="C1662" s="32"/>
      <c r="D1662" s="32"/>
      <c r="E1662" s="19" t="n">
        <f aca="false">+IF(C1662="EQUIPO",F1662,0)</f>
        <v>0</v>
      </c>
      <c r="F1662" s="33" t="n">
        <v>0</v>
      </c>
      <c r="G1662" s="62"/>
      <c r="H1662" s="35" t="n">
        <v>0</v>
      </c>
      <c r="I1662" s="34" t="n">
        <f aca="false">+IF(E1662=0,0,E1662*0.03)</f>
        <v>0</v>
      </c>
    </row>
    <row r="1663" customFormat="false" ht="15.75" hidden="false" customHeight="true" outlineLevel="0" collapsed="false">
      <c r="A1663" s="30" t="n">
        <v>45323</v>
      </c>
      <c r="B1663" s="31" t="s">
        <v>11</v>
      </c>
      <c r="C1663" s="32"/>
      <c r="D1663" s="32"/>
      <c r="E1663" s="19" t="n">
        <f aca="false">+IF(C1663="EQUIPO",F1663,0)</f>
        <v>0</v>
      </c>
      <c r="F1663" s="33" t="n">
        <v>0</v>
      </c>
      <c r="G1663" s="62"/>
      <c r="H1663" s="35" t="n">
        <v>0</v>
      </c>
      <c r="I1663" s="34" t="n">
        <f aca="false">+IF(E1663=0,0,E1663*0.03)</f>
        <v>0</v>
      </c>
    </row>
    <row r="1664" customFormat="false" ht="15.75" hidden="false" customHeight="true" outlineLevel="0" collapsed="false">
      <c r="A1664" s="30" t="n">
        <v>45323</v>
      </c>
      <c r="B1664" s="31" t="s">
        <v>11</v>
      </c>
      <c r="C1664" s="32"/>
      <c r="D1664" s="32"/>
      <c r="E1664" s="19" t="n">
        <f aca="false">+IF(C1664="EQUIPO",F1664,0)</f>
        <v>0</v>
      </c>
      <c r="F1664" s="33" t="n">
        <v>0</v>
      </c>
      <c r="G1664" s="62"/>
      <c r="H1664" s="35" t="n">
        <v>0</v>
      </c>
      <c r="I1664" s="34" t="n">
        <f aca="false">+IF(E1664=0,0,E1664*0.03)</f>
        <v>0</v>
      </c>
    </row>
    <row r="1665" customFormat="false" ht="15.75" hidden="false" customHeight="true" outlineLevel="0" collapsed="false">
      <c r="A1665" s="30" t="n">
        <v>45323</v>
      </c>
      <c r="B1665" s="31" t="s">
        <v>11</v>
      </c>
      <c r="C1665" s="32"/>
      <c r="D1665" s="32"/>
      <c r="E1665" s="19" t="n">
        <f aca="false">+IF(C1665="EQUIPO",F1665,0)</f>
        <v>0</v>
      </c>
      <c r="F1665" s="33" t="n">
        <v>0</v>
      </c>
      <c r="G1665" s="62"/>
      <c r="H1665" s="35" t="n">
        <v>0</v>
      </c>
      <c r="I1665" s="34" t="n">
        <f aca="false">+IF(E1665=0,0,E1665*0.03)</f>
        <v>0</v>
      </c>
    </row>
    <row r="1666" customFormat="false" ht="15.75" hidden="false" customHeight="true" outlineLevel="0" collapsed="false">
      <c r="A1666" s="30" t="n">
        <v>45323</v>
      </c>
      <c r="B1666" s="31" t="s">
        <v>11</v>
      </c>
      <c r="C1666" s="32"/>
      <c r="D1666" s="32"/>
      <c r="E1666" s="19" t="n">
        <f aca="false">+IF(C1666="EQUIPO",F1666,0)</f>
        <v>0</v>
      </c>
      <c r="F1666" s="33" t="n">
        <v>0</v>
      </c>
      <c r="G1666" s="62"/>
      <c r="H1666" s="35" t="n">
        <v>0</v>
      </c>
      <c r="I1666" s="34" t="n">
        <f aca="false">+IF(E1666=0,0,E1666*0.03)</f>
        <v>0</v>
      </c>
    </row>
    <row r="1667" customFormat="false" ht="15.75" hidden="false" customHeight="true" outlineLevel="0" collapsed="false">
      <c r="A1667" s="30" t="n">
        <v>45323</v>
      </c>
      <c r="B1667" s="31" t="s">
        <v>11</v>
      </c>
      <c r="C1667" s="32"/>
      <c r="D1667" s="32"/>
      <c r="E1667" s="19" t="n">
        <f aca="false">+IF(C1667="EQUIPO",F1667,0)</f>
        <v>0</v>
      </c>
      <c r="F1667" s="33" t="n">
        <v>0</v>
      </c>
      <c r="G1667" s="62"/>
      <c r="H1667" s="35" t="n">
        <v>0</v>
      </c>
      <c r="I1667" s="34" t="n">
        <f aca="false">+IF(E1667=0,0,E1667*0.03)</f>
        <v>0</v>
      </c>
    </row>
    <row r="1668" customFormat="false" ht="15.75" hidden="false" customHeight="true" outlineLevel="0" collapsed="false">
      <c r="A1668" s="30" t="n">
        <v>45323</v>
      </c>
      <c r="B1668" s="31" t="s">
        <v>11</v>
      </c>
      <c r="C1668" s="32"/>
      <c r="D1668" s="32"/>
      <c r="E1668" s="19" t="n">
        <f aca="false">+IF(C1668="EQUIPO",F1668,0)</f>
        <v>0</v>
      </c>
      <c r="F1668" s="33" t="n">
        <v>0</v>
      </c>
      <c r="G1668" s="62"/>
      <c r="H1668" s="35" t="n">
        <v>0</v>
      </c>
      <c r="I1668" s="34" t="n">
        <f aca="false">+IF(E1668=0,0,E1668*0.03)</f>
        <v>0</v>
      </c>
    </row>
    <row r="1669" customFormat="false" ht="15.75" hidden="false" customHeight="true" outlineLevel="0" collapsed="false">
      <c r="A1669" s="30" t="n">
        <v>45323</v>
      </c>
      <c r="B1669" s="31" t="s">
        <v>11</v>
      </c>
      <c r="C1669" s="32"/>
      <c r="D1669" s="32"/>
      <c r="E1669" s="19" t="n">
        <f aca="false">+IF(C1669="EQUIPO",F1669,0)</f>
        <v>0</v>
      </c>
      <c r="F1669" s="33" t="n">
        <v>0</v>
      </c>
      <c r="G1669" s="62"/>
      <c r="H1669" s="35" t="n">
        <v>0</v>
      </c>
      <c r="I1669" s="34" t="n">
        <f aca="false">+IF(E1669=0,0,E1669*0.03)</f>
        <v>0</v>
      </c>
    </row>
    <row r="1670" customFormat="false" ht="15.75" hidden="false" customHeight="true" outlineLevel="0" collapsed="false">
      <c r="A1670" s="30" t="n">
        <v>45323</v>
      </c>
      <c r="B1670" s="31" t="s">
        <v>11</v>
      </c>
      <c r="C1670" s="32"/>
      <c r="D1670" s="32"/>
      <c r="E1670" s="19" t="n">
        <f aca="false">+IF(C1670="EQUIPO",F1670,0)</f>
        <v>0</v>
      </c>
      <c r="F1670" s="33" t="n">
        <v>0</v>
      </c>
      <c r="G1670" s="62"/>
      <c r="H1670" s="35" t="n">
        <v>0</v>
      </c>
      <c r="I1670" s="34" t="n">
        <f aca="false">+IF(E1670=0,0,E1670*0.03)</f>
        <v>0</v>
      </c>
    </row>
    <row r="1671" customFormat="false" ht="15.75" hidden="false" customHeight="true" outlineLevel="0" collapsed="false">
      <c r="A1671" s="30" t="n">
        <v>45323</v>
      </c>
      <c r="B1671" s="31" t="s">
        <v>11</v>
      </c>
      <c r="C1671" s="32"/>
      <c r="D1671" s="32"/>
      <c r="E1671" s="19" t="n">
        <f aca="false">+IF(C1671="EQUIPO",F1671,0)</f>
        <v>0</v>
      </c>
      <c r="F1671" s="33" t="n">
        <v>0</v>
      </c>
      <c r="G1671" s="62"/>
      <c r="H1671" s="35" t="n">
        <v>0</v>
      </c>
      <c r="I1671" s="34" t="n">
        <f aca="false">+IF(E1671=0,0,E1671*0.03)</f>
        <v>0</v>
      </c>
    </row>
    <row r="1672" customFormat="false" ht="15.75" hidden="false" customHeight="true" outlineLevel="0" collapsed="false">
      <c r="A1672" s="30" t="n">
        <v>45323</v>
      </c>
      <c r="B1672" s="31" t="s">
        <v>11</v>
      </c>
      <c r="C1672" s="32"/>
      <c r="D1672" s="32"/>
      <c r="E1672" s="19" t="n">
        <f aca="false">+IF(C1672="EQUIPO",F1672,0)</f>
        <v>0</v>
      </c>
      <c r="F1672" s="33" t="n">
        <v>0</v>
      </c>
      <c r="G1672" s="62"/>
      <c r="H1672" s="35" t="n">
        <v>0</v>
      </c>
      <c r="I1672" s="34" t="n">
        <f aca="false">+IF(E1672=0,0,E1672*0.03)</f>
        <v>0</v>
      </c>
    </row>
    <row r="1673" customFormat="false" ht="15.75" hidden="false" customHeight="true" outlineLevel="0" collapsed="false">
      <c r="A1673" s="30" t="n">
        <v>45323</v>
      </c>
      <c r="B1673" s="31" t="s">
        <v>11</v>
      </c>
      <c r="C1673" s="32"/>
      <c r="D1673" s="32"/>
      <c r="E1673" s="19" t="n">
        <f aca="false">+IF(C1673="EQUIPO",F1673,0)</f>
        <v>0</v>
      </c>
      <c r="F1673" s="33" t="n">
        <v>0</v>
      </c>
      <c r="G1673" s="62"/>
      <c r="H1673" s="35" t="n">
        <v>0</v>
      </c>
      <c r="I1673" s="34" t="n">
        <f aca="false">+IF(E1673=0,0,E1673*0.03)</f>
        <v>0</v>
      </c>
    </row>
    <row r="1674" customFormat="false" ht="15.75" hidden="false" customHeight="true" outlineLevel="0" collapsed="false">
      <c r="A1674" s="30" t="n">
        <v>45323</v>
      </c>
      <c r="B1674" s="31" t="s">
        <v>11</v>
      </c>
      <c r="C1674" s="32"/>
      <c r="D1674" s="32"/>
      <c r="E1674" s="19" t="n">
        <f aca="false">+IF(C1674="EQUIPO",F1674,0)</f>
        <v>0</v>
      </c>
      <c r="F1674" s="33" t="n">
        <v>0</v>
      </c>
      <c r="G1674" s="62"/>
      <c r="H1674" s="35" t="n">
        <v>0</v>
      </c>
      <c r="I1674" s="34" t="n">
        <f aca="false">+IF(E1674=0,0,E1674*0.03)</f>
        <v>0</v>
      </c>
    </row>
    <row r="1675" customFormat="false" ht="15.75" hidden="false" customHeight="true" outlineLevel="0" collapsed="false">
      <c r="A1675" s="30" t="n">
        <v>45323</v>
      </c>
      <c r="B1675" s="31" t="s">
        <v>11</v>
      </c>
      <c r="C1675" s="32"/>
      <c r="D1675" s="32"/>
      <c r="E1675" s="19" t="n">
        <f aca="false">+IF(C1675="EQUIPO",F1675,0)</f>
        <v>0</v>
      </c>
      <c r="F1675" s="33" t="n">
        <v>0</v>
      </c>
      <c r="G1675" s="62"/>
      <c r="H1675" s="35" t="n">
        <v>0</v>
      </c>
      <c r="I1675" s="34" t="n">
        <f aca="false">+IF(E1675=0,0,E1675*0.03)</f>
        <v>0</v>
      </c>
    </row>
    <row r="1676" customFormat="false" ht="15.75" hidden="false" customHeight="true" outlineLevel="0" collapsed="false">
      <c r="A1676" s="30" t="n">
        <v>45323</v>
      </c>
      <c r="B1676" s="31" t="s">
        <v>11</v>
      </c>
      <c r="C1676" s="32"/>
      <c r="D1676" s="32"/>
      <c r="E1676" s="19" t="n">
        <f aca="false">+IF(C1676="EQUIPO",F1676,0)</f>
        <v>0</v>
      </c>
      <c r="F1676" s="33" t="n">
        <v>0</v>
      </c>
      <c r="G1676" s="62"/>
      <c r="H1676" s="35" t="n">
        <v>0</v>
      </c>
      <c r="I1676" s="34" t="n">
        <f aca="false">+IF(E1676=0,0,E1676*0.03)</f>
        <v>0</v>
      </c>
    </row>
    <row r="1677" customFormat="false" ht="15.75" hidden="false" customHeight="true" outlineLevel="0" collapsed="false">
      <c r="A1677" s="30" t="n">
        <v>45323</v>
      </c>
      <c r="B1677" s="31" t="s">
        <v>11</v>
      </c>
      <c r="C1677" s="32"/>
      <c r="D1677" s="32"/>
      <c r="E1677" s="19" t="n">
        <f aca="false">+IF(C1677="EQUIPO",F1677,0)</f>
        <v>0</v>
      </c>
      <c r="F1677" s="33" t="n">
        <v>0</v>
      </c>
      <c r="G1677" s="62"/>
      <c r="H1677" s="35" t="n">
        <v>0</v>
      </c>
      <c r="I1677" s="34" t="n">
        <f aca="false">+IF(E1677=0,0,E1677*0.03)</f>
        <v>0</v>
      </c>
    </row>
    <row r="1678" customFormat="false" ht="15.75" hidden="false" customHeight="true" outlineLevel="0" collapsed="false">
      <c r="A1678" s="30" t="n">
        <v>45323</v>
      </c>
      <c r="B1678" s="31" t="s">
        <v>11</v>
      </c>
      <c r="C1678" s="32"/>
      <c r="D1678" s="32"/>
      <c r="E1678" s="19" t="n">
        <f aca="false">+IF(C1678="EQUIPO",F1678,0)</f>
        <v>0</v>
      </c>
      <c r="F1678" s="33" t="n">
        <v>0</v>
      </c>
      <c r="G1678" s="62"/>
      <c r="H1678" s="35" t="n">
        <v>0</v>
      </c>
      <c r="I1678" s="34" t="n">
        <f aca="false">+IF(E1678=0,0,E1678*0.03)</f>
        <v>0</v>
      </c>
    </row>
    <row r="1679" customFormat="false" ht="15.75" hidden="false" customHeight="true" outlineLevel="0" collapsed="false">
      <c r="A1679" s="30" t="n">
        <v>45323</v>
      </c>
      <c r="B1679" s="31" t="s">
        <v>11</v>
      </c>
      <c r="C1679" s="32"/>
      <c r="D1679" s="32"/>
      <c r="E1679" s="19" t="n">
        <f aca="false">+IF(C1679="EQUIPO",F1679,0)</f>
        <v>0</v>
      </c>
      <c r="F1679" s="33" t="n">
        <v>0</v>
      </c>
      <c r="G1679" s="62"/>
      <c r="H1679" s="35" t="n">
        <v>0</v>
      </c>
      <c r="I1679" s="34" t="n">
        <f aca="false">+IF(E1679=0,0,E1679*0.03)</f>
        <v>0</v>
      </c>
    </row>
    <row r="1680" customFormat="false" ht="15.75" hidden="false" customHeight="true" outlineLevel="0" collapsed="false">
      <c r="A1680" s="30" t="n">
        <v>45323</v>
      </c>
      <c r="B1680" s="31" t="s">
        <v>11</v>
      </c>
      <c r="C1680" s="32"/>
      <c r="D1680" s="32"/>
      <c r="E1680" s="19" t="n">
        <f aca="false">+IF(C1680="EQUIPO",F1680,0)</f>
        <v>0</v>
      </c>
      <c r="F1680" s="33" t="n">
        <v>0</v>
      </c>
      <c r="G1680" s="62"/>
      <c r="H1680" s="35" t="n">
        <v>0</v>
      </c>
      <c r="I1680" s="34" t="n">
        <f aca="false">+IF(E1680=0,0,E1680*0.03)</f>
        <v>0</v>
      </c>
    </row>
    <row r="1681" customFormat="false" ht="15.75" hidden="false" customHeight="true" outlineLevel="0" collapsed="false">
      <c r="A1681" s="30" t="n">
        <v>45323</v>
      </c>
      <c r="B1681" s="31" t="s">
        <v>11</v>
      </c>
      <c r="C1681" s="32"/>
      <c r="D1681" s="32"/>
      <c r="E1681" s="19" t="n">
        <f aca="false">+IF(C1681="EQUIPO",F1681,0)</f>
        <v>0</v>
      </c>
      <c r="F1681" s="33" t="n">
        <v>0</v>
      </c>
      <c r="G1681" s="62"/>
      <c r="H1681" s="35" t="n">
        <v>0</v>
      </c>
      <c r="I1681" s="34" t="n">
        <f aca="false">+IF(E1681=0,0,E1681*0.03)</f>
        <v>0</v>
      </c>
    </row>
    <row r="1682" customFormat="false" ht="15.75" hidden="false" customHeight="true" outlineLevel="0" collapsed="false">
      <c r="A1682" s="30" t="n">
        <v>45323</v>
      </c>
      <c r="B1682" s="31" t="s">
        <v>11</v>
      </c>
      <c r="C1682" s="32"/>
      <c r="D1682" s="32"/>
      <c r="E1682" s="19" t="n">
        <f aca="false">+IF(C1682="EQUIPO",F1682,0)</f>
        <v>0</v>
      </c>
      <c r="F1682" s="33" t="n">
        <v>0</v>
      </c>
      <c r="G1682" s="62"/>
      <c r="H1682" s="35" t="n">
        <v>0</v>
      </c>
      <c r="I1682" s="34" t="n">
        <f aca="false">+IF(E1682=0,0,E1682*0.03)</f>
        <v>0</v>
      </c>
    </row>
    <row r="1683" customFormat="false" ht="15.75" hidden="false" customHeight="true" outlineLevel="0" collapsed="false">
      <c r="A1683" s="30" t="n">
        <v>45323</v>
      </c>
      <c r="B1683" s="31" t="s">
        <v>11</v>
      </c>
      <c r="C1683" s="32"/>
      <c r="D1683" s="32"/>
      <c r="E1683" s="19" t="n">
        <f aca="false">+IF(C1683="EQUIPO",F1683,0)</f>
        <v>0</v>
      </c>
      <c r="F1683" s="33" t="n">
        <v>0</v>
      </c>
      <c r="G1683" s="62"/>
      <c r="H1683" s="35" t="n">
        <v>0</v>
      </c>
      <c r="I1683" s="34" t="n">
        <f aca="false">+IF(E1683=0,0,E1683*0.03)</f>
        <v>0</v>
      </c>
    </row>
    <row r="1684" customFormat="false" ht="15.75" hidden="false" customHeight="true" outlineLevel="0" collapsed="false">
      <c r="A1684" s="30" t="n">
        <v>45323</v>
      </c>
      <c r="B1684" s="31" t="s">
        <v>11</v>
      </c>
      <c r="C1684" s="32"/>
      <c r="D1684" s="32"/>
      <c r="E1684" s="19" t="n">
        <f aca="false">+IF(C1684="EQUIPO",F1684,0)</f>
        <v>0</v>
      </c>
      <c r="F1684" s="33" t="n">
        <v>0</v>
      </c>
      <c r="G1684" s="62"/>
      <c r="H1684" s="35" t="n">
        <v>0</v>
      </c>
      <c r="I1684" s="34" t="n">
        <f aca="false">+IF(E1684=0,0,E1684*0.03)</f>
        <v>0</v>
      </c>
    </row>
    <row r="1685" customFormat="false" ht="15.75" hidden="false" customHeight="true" outlineLevel="0" collapsed="false">
      <c r="A1685" s="30" t="n">
        <v>45323</v>
      </c>
      <c r="B1685" s="31" t="s">
        <v>11</v>
      </c>
      <c r="C1685" s="32"/>
      <c r="D1685" s="32"/>
      <c r="E1685" s="19" t="n">
        <f aca="false">+IF(C1685="EQUIPO",F1685,0)</f>
        <v>0</v>
      </c>
      <c r="F1685" s="33" t="n">
        <v>0</v>
      </c>
      <c r="G1685" s="62"/>
      <c r="H1685" s="35" t="n">
        <v>0</v>
      </c>
      <c r="I1685" s="34" t="n">
        <f aca="false">+IF(E1685=0,0,E1685*0.03)</f>
        <v>0</v>
      </c>
    </row>
    <row r="1686" customFormat="false" ht="15.75" hidden="false" customHeight="true" outlineLevel="0" collapsed="false">
      <c r="A1686" s="30" t="n">
        <v>45323</v>
      </c>
      <c r="B1686" s="31" t="s">
        <v>11</v>
      </c>
      <c r="C1686" s="32"/>
      <c r="D1686" s="32"/>
      <c r="E1686" s="19" t="n">
        <f aca="false">+IF(C1686="EQUIPO",F1686,0)</f>
        <v>0</v>
      </c>
      <c r="F1686" s="33" t="n">
        <v>0</v>
      </c>
      <c r="G1686" s="62"/>
      <c r="H1686" s="35" t="n">
        <v>0</v>
      </c>
      <c r="I1686" s="34" t="n">
        <f aca="false">+IF(E1686=0,0,E1686*0.03)</f>
        <v>0</v>
      </c>
    </row>
    <row r="1687" customFormat="false" ht="15.75" hidden="false" customHeight="true" outlineLevel="0" collapsed="false">
      <c r="A1687" s="30" t="n">
        <v>45323</v>
      </c>
      <c r="B1687" s="31" t="s">
        <v>11</v>
      </c>
      <c r="C1687" s="32"/>
      <c r="D1687" s="32"/>
      <c r="E1687" s="19" t="n">
        <f aca="false">+IF(C1687="EQUIPO",F1687,0)</f>
        <v>0</v>
      </c>
      <c r="F1687" s="33" t="n">
        <v>0</v>
      </c>
      <c r="G1687" s="62"/>
      <c r="H1687" s="35" t="n">
        <v>0</v>
      </c>
      <c r="I1687" s="34" t="n">
        <f aca="false">+IF(E1687=0,0,E1687*0.03)</f>
        <v>0</v>
      </c>
    </row>
    <row r="1688" customFormat="false" ht="15.75" hidden="false" customHeight="true" outlineLevel="0" collapsed="false">
      <c r="A1688" s="30" t="n">
        <v>45323</v>
      </c>
      <c r="B1688" s="31" t="s">
        <v>11</v>
      </c>
      <c r="C1688" s="32"/>
      <c r="D1688" s="32"/>
      <c r="E1688" s="19" t="n">
        <f aca="false">+IF(C1688="EQUIPO",F1688,0)</f>
        <v>0</v>
      </c>
      <c r="F1688" s="33" t="n">
        <v>0</v>
      </c>
      <c r="G1688" s="62"/>
      <c r="H1688" s="35" t="n">
        <v>0</v>
      </c>
      <c r="I1688" s="34" t="n">
        <f aca="false">+IF(E1688=0,0,E1688*0.03)</f>
        <v>0</v>
      </c>
    </row>
    <row r="1689" customFormat="false" ht="15.75" hidden="false" customHeight="true" outlineLevel="0" collapsed="false">
      <c r="A1689" s="30" t="n">
        <v>45323</v>
      </c>
      <c r="B1689" s="31" t="s">
        <v>11</v>
      </c>
      <c r="C1689" s="32"/>
      <c r="D1689" s="32"/>
      <c r="E1689" s="19" t="n">
        <f aca="false">+IF(C1689="EQUIPO",F1689,0)</f>
        <v>0</v>
      </c>
      <c r="F1689" s="33" t="n">
        <v>0</v>
      </c>
      <c r="G1689" s="62"/>
      <c r="H1689" s="35" t="n">
        <v>0</v>
      </c>
      <c r="I1689" s="34" t="n">
        <f aca="false">+IF(E1689=0,0,E1689*0.03)</f>
        <v>0</v>
      </c>
    </row>
    <row r="1690" customFormat="false" ht="15.75" hidden="false" customHeight="true" outlineLevel="0" collapsed="false">
      <c r="A1690" s="30" t="n">
        <v>45323</v>
      </c>
      <c r="B1690" s="31" t="s">
        <v>11</v>
      </c>
      <c r="C1690" s="32"/>
      <c r="D1690" s="32"/>
      <c r="E1690" s="19" t="n">
        <f aca="false">+IF(C1690="EQUIPO",F1690,0)</f>
        <v>0</v>
      </c>
      <c r="F1690" s="33" t="n">
        <v>0</v>
      </c>
      <c r="G1690" s="62"/>
      <c r="H1690" s="35" t="n">
        <v>0</v>
      </c>
      <c r="I1690" s="34" t="n">
        <f aca="false">+IF(E1690=0,0,E1690*0.03)</f>
        <v>0</v>
      </c>
    </row>
    <row r="1691" customFormat="false" ht="15.75" hidden="false" customHeight="true" outlineLevel="0" collapsed="false">
      <c r="A1691" s="30" t="n">
        <v>45323</v>
      </c>
      <c r="B1691" s="31" t="s">
        <v>11</v>
      </c>
      <c r="C1691" s="32"/>
      <c r="D1691" s="32"/>
      <c r="E1691" s="19" t="n">
        <f aca="false">+IF(C1691="EQUIPO",F1691,0)</f>
        <v>0</v>
      </c>
      <c r="F1691" s="33" t="n">
        <v>0</v>
      </c>
      <c r="G1691" s="62"/>
      <c r="H1691" s="35" t="n">
        <v>0</v>
      </c>
      <c r="I1691" s="34" t="n">
        <f aca="false">+IF(E1691=0,0,E1691*0.03)</f>
        <v>0</v>
      </c>
    </row>
    <row r="1692" customFormat="false" ht="15.75" hidden="false" customHeight="true" outlineLevel="0" collapsed="false">
      <c r="A1692" s="30" t="n">
        <v>45323</v>
      </c>
      <c r="B1692" s="31" t="s">
        <v>11</v>
      </c>
      <c r="C1692" s="32"/>
      <c r="D1692" s="32"/>
      <c r="E1692" s="19" t="n">
        <f aca="false">+IF(C1692="EQUIPO",F1692,0)</f>
        <v>0</v>
      </c>
      <c r="F1692" s="33" t="n">
        <v>0</v>
      </c>
      <c r="G1692" s="62"/>
      <c r="H1692" s="35" t="n">
        <v>0</v>
      </c>
      <c r="I1692" s="34" t="n">
        <f aca="false">+IF(E1692=0,0,E1692*0.03)</f>
        <v>0</v>
      </c>
    </row>
    <row r="1693" customFormat="false" ht="15.75" hidden="false" customHeight="true" outlineLevel="0" collapsed="false">
      <c r="A1693" s="30" t="n">
        <v>45323</v>
      </c>
      <c r="B1693" s="31" t="s">
        <v>11</v>
      </c>
      <c r="C1693" s="32"/>
      <c r="D1693" s="32"/>
      <c r="E1693" s="19" t="n">
        <f aca="false">+IF(C1693="EQUIPO",F1693,0)</f>
        <v>0</v>
      </c>
      <c r="F1693" s="33" t="n">
        <v>0</v>
      </c>
      <c r="G1693" s="62"/>
      <c r="H1693" s="35" t="n">
        <v>0</v>
      </c>
      <c r="I1693" s="34" t="n">
        <f aca="false">+IF(E1693=0,0,E1693*0.03)</f>
        <v>0</v>
      </c>
    </row>
    <row r="1694" customFormat="false" ht="15.75" hidden="false" customHeight="true" outlineLevel="0" collapsed="false">
      <c r="A1694" s="30" t="n">
        <v>45323</v>
      </c>
      <c r="B1694" s="31" t="s">
        <v>11</v>
      </c>
      <c r="C1694" s="32"/>
      <c r="D1694" s="32"/>
      <c r="E1694" s="19" t="n">
        <f aca="false">+IF(C1694="EQUIPO",F1694,0)</f>
        <v>0</v>
      </c>
      <c r="F1694" s="33" t="n">
        <v>0</v>
      </c>
      <c r="G1694" s="62"/>
      <c r="H1694" s="35" t="n">
        <v>0</v>
      </c>
      <c r="I1694" s="34" t="n">
        <f aca="false">+IF(E1694=0,0,E1694*0.03)</f>
        <v>0</v>
      </c>
    </row>
    <row r="1695" customFormat="false" ht="15.75" hidden="false" customHeight="true" outlineLevel="0" collapsed="false">
      <c r="A1695" s="30" t="n">
        <v>45323</v>
      </c>
      <c r="B1695" s="31" t="s">
        <v>11</v>
      </c>
      <c r="C1695" s="32"/>
      <c r="D1695" s="32"/>
      <c r="E1695" s="19" t="n">
        <f aca="false">+IF(C1695="EQUIPO",F1695,0)</f>
        <v>0</v>
      </c>
      <c r="F1695" s="33" t="n">
        <v>0</v>
      </c>
      <c r="G1695" s="62"/>
      <c r="H1695" s="35" t="n">
        <v>0</v>
      </c>
      <c r="I1695" s="34" t="n">
        <f aca="false">+IF(E1695=0,0,E1695*0.03)</f>
        <v>0</v>
      </c>
    </row>
    <row r="1696" customFormat="false" ht="15.75" hidden="false" customHeight="true" outlineLevel="0" collapsed="false">
      <c r="A1696" s="30" t="n">
        <v>45323</v>
      </c>
      <c r="B1696" s="31" t="s">
        <v>11</v>
      </c>
      <c r="C1696" s="32"/>
      <c r="D1696" s="32"/>
      <c r="E1696" s="19" t="n">
        <f aca="false">+IF(C1696="EQUIPO",F1696,0)</f>
        <v>0</v>
      </c>
      <c r="F1696" s="33" t="n">
        <v>0</v>
      </c>
      <c r="G1696" s="62"/>
      <c r="H1696" s="35" t="n">
        <v>0</v>
      </c>
      <c r="I1696" s="34" t="n">
        <f aca="false">+IF(E1696=0,0,E1696*0.03)</f>
        <v>0</v>
      </c>
    </row>
    <row r="1697" customFormat="false" ht="15.75" hidden="false" customHeight="true" outlineLevel="0" collapsed="false">
      <c r="A1697" s="30" t="n">
        <v>45323</v>
      </c>
      <c r="B1697" s="31" t="s">
        <v>11</v>
      </c>
      <c r="C1697" s="32"/>
      <c r="D1697" s="32"/>
      <c r="E1697" s="19" t="n">
        <f aca="false">+IF(C1697="EQUIPO",F1697,0)</f>
        <v>0</v>
      </c>
      <c r="F1697" s="33" t="n">
        <v>0</v>
      </c>
      <c r="G1697" s="62"/>
      <c r="H1697" s="35" t="n">
        <v>0</v>
      </c>
      <c r="I1697" s="34" t="n">
        <f aca="false">+IF(E1697=0,0,E1697*0.03)</f>
        <v>0</v>
      </c>
    </row>
    <row r="1698" customFormat="false" ht="15.75" hidden="false" customHeight="true" outlineLevel="0" collapsed="false">
      <c r="A1698" s="30" t="n">
        <v>45323</v>
      </c>
      <c r="B1698" s="31" t="s">
        <v>11</v>
      </c>
      <c r="C1698" s="32"/>
      <c r="D1698" s="32"/>
      <c r="E1698" s="19" t="n">
        <f aca="false">+IF(C1698="EQUIPO",F1698,0)</f>
        <v>0</v>
      </c>
      <c r="F1698" s="33" t="n">
        <v>0</v>
      </c>
      <c r="G1698" s="62"/>
      <c r="H1698" s="35" t="n">
        <v>0</v>
      </c>
      <c r="I1698" s="34" t="n">
        <f aca="false">+IF(E1698=0,0,E1698*0.03)</f>
        <v>0</v>
      </c>
    </row>
    <row r="1699" customFormat="false" ht="15.75" hidden="false" customHeight="true" outlineLevel="0" collapsed="false">
      <c r="A1699" s="30" t="n">
        <v>45323</v>
      </c>
      <c r="B1699" s="31" t="s">
        <v>11</v>
      </c>
      <c r="C1699" s="32"/>
      <c r="D1699" s="32"/>
      <c r="E1699" s="19" t="n">
        <f aca="false">+IF(C1699="EQUIPO",F1699,0)</f>
        <v>0</v>
      </c>
      <c r="F1699" s="33" t="n">
        <v>0</v>
      </c>
      <c r="G1699" s="62"/>
      <c r="H1699" s="35" t="n">
        <v>0</v>
      </c>
      <c r="I1699" s="34" t="n">
        <f aca="false">+IF(E1699=0,0,E1699*0.03)</f>
        <v>0</v>
      </c>
    </row>
    <row r="1700" customFormat="false" ht="15.75" hidden="false" customHeight="true" outlineLevel="0" collapsed="false">
      <c r="A1700" s="30" t="n">
        <v>45323</v>
      </c>
      <c r="B1700" s="31" t="s">
        <v>11</v>
      </c>
      <c r="C1700" s="32"/>
      <c r="D1700" s="32"/>
      <c r="E1700" s="19" t="n">
        <f aca="false">+IF(C1700="EQUIPO",F1700,0)</f>
        <v>0</v>
      </c>
      <c r="F1700" s="33" t="n">
        <v>0</v>
      </c>
      <c r="G1700" s="62"/>
      <c r="H1700" s="35" t="n">
        <v>0</v>
      </c>
      <c r="I1700" s="34" t="n">
        <f aca="false">+IF(E1700=0,0,E1700*0.03)</f>
        <v>0</v>
      </c>
    </row>
    <row r="1701" customFormat="false" ht="15.75" hidden="false" customHeight="true" outlineLevel="0" collapsed="false">
      <c r="A1701" s="30" t="n">
        <v>45323</v>
      </c>
      <c r="B1701" s="31" t="s">
        <v>11</v>
      </c>
      <c r="C1701" s="32"/>
      <c r="D1701" s="32"/>
      <c r="E1701" s="19" t="n">
        <f aca="false">+IF(C1701="EQUIPO",F1701,0)</f>
        <v>0</v>
      </c>
      <c r="F1701" s="33" t="n">
        <v>0</v>
      </c>
      <c r="G1701" s="62"/>
      <c r="H1701" s="35" t="n">
        <v>0</v>
      </c>
      <c r="I1701" s="34" t="n">
        <f aca="false">+IF(E1701=0,0,E1701*0.03)</f>
        <v>0</v>
      </c>
    </row>
    <row r="1702" customFormat="false" ht="15.75" hidden="false" customHeight="true" outlineLevel="0" collapsed="false">
      <c r="A1702" s="30" t="n">
        <v>45323</v>
      </c>
      <c r="B1702" s="31" t="s">
        <v>11</v>
      </c>
      <c r="C1702" s="32"/>
      <c r="D1702" s="32"/>
      <c r="E1702" s="19" t="n">
        <f aca="false">+IF(C1702="EQUIPO",F1702,0)</f>
        <v>0</v>
      </c>
      <c r="F1702" s="33" t="n">
        <v>0</v>
      </c>
      <c r="G1702" s="62"/>
      <c r="H1702" s="35" t="n">
        <v>0</v>
      </c>
      <c r="I1702" s="34" t="n">
        <f aca="false">+IF(E1702=0,0,E1702*0.03)</f>
        <v>0</v>
      </c>
    </row>
    <row r="1703" customFormat="false" ht="15.75" hidden="false" customHeight="true" outlineLevel="0" collapsed="false">
      <c r="A1703" s="30" t="n">
        <v>45323</v>
      </c>
      <c r="B1703" s="31" t="s">
        <v>11</v>
      </c>
      <c r="C1703" s="32"/>
      <c r="D1703" s="32"/>
      <c r="E1703" s="19" t="n">
        <f aca="false">+IF(C1703="EQUIPO",F1703,0)</f>
        <v>0</v>
      </c>
      <c r="F1703" s="33" t="n">
        <v>0</v>
      </c>
      <c r="G1703" s="62"/>
      <c r="H1703" s="35" t="n">
        <v>0</v>
      </c>
      <c r="I1703" s="34" t="n">
        <f aca="false">+IF(E1703=0,0,E1703*0.03)</f>
        <v>0</v>
      </c>
    </row>
    <row r="1704" customFormat="false" ht="15.75" hidden="false" customHeight="true" outlineLevel="0" collapsed="false">
      <c r="A1704" s="30" t="n">
        <v>45323</v>
      </c>
      <c r="B1704" s="31" t="s">
        <v>11</v>
      </c>
      <c r="C1704" s="32"/>
      <c r="D1704" s="32"/>
      <c r="E1704" s="19" t="n">
        <f aca="false">+IF(C1704="EQUIPO",F1704,0)</f>
        <v>0</v>
      </c>
      <c r="F1704" s="33" t="n">
        <v>0</v>
      </c>
      <c r="G1704" s="62"/>
      <c r="H1704" s="35" t="n">
        <v>0</v>
      </c>
      <c r="I1704" s="34" t="n">
        <f aca="false">+IF(E1704=0,0,E1704*0.03)</f>
        <v>0</v>
      </c>
    </row>
    <row r="1705" customFormat="false" ht="15.75" hidden="false" customHeight="true" outlineLevel="0" collapsed="false">
      <c r="A1705" s="30" t="n">
        <v>45323</v>
      </c>
      <c r="B1705" s="31" t="s">
        <v>11</v>
      </c>
      <c r="C1705" s="32"/>
      <c r="D1705" s="32"/>
      <c r="E1705" s="19" t="n">
        <f aca="false">+IF(C1705="EQUIPO",F1705,0)</f>
        <v>0</v>
      </c>
      <c r="F1705" s="33" t="n">
        <v>0</v>
      </c>
      <c r="G1705" s="62"/>
      <c r="H1705" s="35" t="n">
        <v>0</v>
      </c>
      <c r="I1705" s="34" t="n">
        <f aca="false">+IF(E1705=0,0,E1705*0.03)</f>
        <v>0</v>
      </c>
    </row>
    <row r="1706" customFormat="false" ht="15.75" hidden="false" customHeight="true" outlineLevel="0" collapsed="false">
      <c r="A1706" s="30" t="n">
        <v>45323</v>
      </c>
      <c r="B1706" s="31" t="s">
        <v>11</v>
      </c>
      <c r="C1706" s="32"/>
      <c r="D1706" s="32"/>
      <c r="E1706" s="19" t="n">
        <f aca="false">+IF(C1706="EQUIPO",F1706,0)</f>
        <v>0</v>
      </c>
      <c r="F1706" s="33" t="n">
        <v>0</v>
      </c>
      <c r="G1706" s="62"/>
      <c r="H1706" s="35" t="n">
        <v>0</v>
      </c>
      <c r="I1706" s="34" t="n">
        <f aca="false">+IF(E1706=0,0,E1706*0.03)</f>
        <v>0</v>
      </c>
    </row>
    <row r="1707" customFormat="false" ht="15.75" hidden="false" customHeight="true" outlineLevel="0" collapsed="false">
      <c r="A1707" s="30" t="n">
        <v>45323</v>
      </c>
      <c r="B1707" s="31" t="s">
        <v>11</v>
      </c>
      <c r="C1707" s="32"/>
      <c r="D1707" s="32"/>
      <c r="E1707" s="19" t="n">
        <f aca="false">+IF(C1707="EQUIPO",F1707,0)</f>
        <v>0</v>
      </c>
      <c r="F1707" s="33" t="n">
        <v>0</v>
      </c>
      <c r="G1707" s="62"/>
      <c r="H1707" s="35" t="n">
        <v>0</v>
      </c>
      <c r="I1707" s="34" t="n">
        <f aca="false">+IF(E1707=0,0,E1707*0.03)</f>
        <v>0</v>
      </c>
    </row>
    <row r="1708" customFormat="false" ht="15.75" hidden="false" customHeight="true" outlineLevel="0" collapsed="false">
      <c r="A1708" s="30" t="n">
        <v>45323</v>
      </c>
      <c r="B1708" s="31" t="s">
        <v>11</v>
      </c>
      <c r="C1708" s="32"/>
      <c r="D1708" s="32"/>
      <c r="E1708" s="19" t="n">
        <f aca="false">+IF(C1708="EQUIPO",F1708,0)</f>
        <v>0</v>
      </c>
      <c r="F1708" s="33" t="n">
        <v>0</v>
      </c>
      <c r="G1708" s="62"/>
      <c r="H1708" s="35" t="n">
        <v>0</v>
      </c>
      <c r="I1708" s="34" t="n">
        <f aca="false">+IF(E1708=0,0,E1708*0.03)</f>
        <v>0</v>
      </c>
    </row>
    <row r="1709" customFormat="false" ht="15.75" hidden="false" customHeight="true" outlineLevel="0" collapsed="false">
      <c r="A1709" s="30" t="n">
        <v>45323</v>
      </c>
      <c r="B1709" s="31" t="s">
        <v>11</v>
      </c>
      <c r="C1709" s="32"/>
      <c r="D1709" s="32"/>
      <c r="E1709" s="19" t="n">
        <f aca="false">+IF(C1709="EQUIPO",F1709,0)</f>
        <v>0</v>
      </c>
      <c r="F1709" s="33" t="n">
        <v>0</v>
      </c>
      <c r="G1709" s="62"/>
      <c r="H1709" s="35" t="n">
        <v>0</v>
      </c>
      <c r="I1709" s="34" t="n">
        <f aca="false">+IF(E1709=0,0,E1709*0.03)</f>
        <v>0</v>
      </c>
    </row>
    <row r="1710" customFormat="false" ht="15.75" hidden="false" customHeight="true" outlineLevel="0" collapsed="false">
      <c r="A1710" s="30" t="n">
        <v>45323</v>
      </c>
      <c r="B1710" s="31" t="s">
        <v>11</v>
      </c>
      <c r="C1710" s="32"/>
      <c r="D1710" s="32"/>
      <c r="E1710" s="19" t="n">
        <f aca="false">+IF(C1710="EQUIPO",F1710,0)</f>
        <v>0</v>
      </c>
      <c r="F1710" s="33" t="n">
        <v>0</v>
      </c>
      <c r="G1710" s="62"/>
      <c r="H1710" s="35" t="n">
        <v>0</v>
      </c>
      <c r="I1710" s="34" t="n">
        <f aca="false">+IF(E1710=0,0,E1710*0.03)</f>
        <v>0</v>
      </c>
    </row>
    <row r="1711" customFormat="false" ht="15.75" hidden="false" customHeight="true" outlineLevel="0" collapsed="false">
      <c r="A1711" s="30" t="n">
        <v>45323</v>
      </c>
      <c r="B1711" s="31" t="s">
        <v>11</v>
      </c>
      <c r="C1711" s="32"/>
      <c r="D1711" s="32"/>
      <c r="E1711" s="19" t="n">
        <f aca="false">+IF(C1711="EQUIPO",F1711,0)</f>
        <v>0</v>
      </c>
      <c r="F1711" s="33" t="n">
        <v>0</v>
      </c>
      <c r="G1711" s="62"/>
      <c r="H1711" s="35" t="n">
        <v>0</v>
      </c>
      <c r="I1711" s="34" t="n">
        <f aca="false">+IF(E1711=0,0,E1711*0.03)</f>
        <v>0</v>
      </c>
    </row>
    <row r="1712" customFormat="false" ht="15.75" hidden="false" customHeight="true" outlineLevel="0" collapsed="false">
      <c r="A1712" s="30" t="n">
        <v>45323</v>
      </c>
      <c r="B1712" s="31" t="s">
        <v>11</v>
      </c>
      <c r="C1712" s="32"/>
      <c r="D1712" s="32"/>
      <c r="E1712" s="19" t="n">
        <f aca="false">+IF(C1712="EQUIPO",F1712,0)</f>
        <v>0</v>
      </c>
      <c r="F1712" s="33" t="n">
        <v>0</v>
      </c>
      <c r="G1712" s="62"/>
      <c r="H1712" s="35" t="n">
        <v>0</v>
      </c>
      <c r="I1712" s="34" t="n">
        <f aca="false">+IF(E1712=0,0,E1712*0.03)</f>
        <v>0</v>
      </c>
    </row>
    <row r="1713" customFormat="false" ht="15.75" hidden="false" customHeight="true" outlineLevel="0" collapsed="false">
      <c r="A1713" s="30" t="n">
        <v>45323</v>
      </c>
      <c r="B1713" s="31" t="s">
        <v>11</v>
      </c>
      <c r="C1713" s="32"/>
      <c r="D1713" s="32"/>
      <c r="E1713" s="19" t="n">
        <f aca="false">+IF(C1713="EQUIPO",F1713,0)</f>
        <v>0</v>
      </c>
      <c r="F1713" s="33" t="n">
        <v>0</v>
      </c>
      <c r="G1713" s="62"/>
      <c r="H1713" s="35" t="n">
        <v>0</v>
      </c>
      <c r="I1713" s="34" t="n">
        <f aca="false">+IF(E1713=0,0,E1713*0.03)</f>
        <v>0</v>
      </c>
    </row>
    <row r="1714" customFormat="false" ht="15.75" hidden="false" customHeight="true" outlineLevel="0" collapsed="false">
      <c r="A1714" s="30" t="n">
        <v>45323</v>
      </c>
      <c r="B1714" s="31" t="s">
        <v>11</v>
      </c>
      <c r="C1714" s="32"/>
      <c r="D1714" s="32"/>
      <c r="E1714" s="19" t="n">
        <f aca="false">+IF(C1714="EQUIPO",F1714,0)</f>
        <v>0</v>
      </c>
      <c r="F1714" s="33" t="n">
        <v>0</v>
      </c>
      <c r="G1714" s="62"/>
      <c r="H1714" s="35" t="n">
        <v>0</v>
      </c>
      <c r="I1714" s="34" t="n">
        <f aca="false">+IF(E1714=0,0,E1714*0.03)</f>
        <v>0</v>
      </c>
    </row>
    <row r="1715" customFormat="false" ht="15.75" hidden="false" customHeight="true" outlineLevel="0" collapsed="false">
      <c r="A1715" s="30" t="n">
        <v>45323</v>
      </c>
      <c r="B1715" s="31" t="s">
        <v>11</v>
      </c>
      <c r="C1715" s="32"/>
      <c r="D1715" s="32"/>
      <c r="E1715" s="19" t="n">
        <f aca="false">+IF(C1715="EQUIPO",F1715,0)</f>
        <v>0</v>
      </c>
      <c r="F1715" s="33" t="n">
        <v>0</v>
      </c>
      <c r="G1715" s="62"/>
      <c r="H1715" s="35" t="n">
        <v>0</v>
      </c>
      <c r="I1715" s="34" t="n">
        <f aca="false">+IF(E1715=0,0,E1715*0.03)</f>
        <v>0</v>
      </c>
    </row>
    <row r="1716" customFormat="false" ht="15.75" hidden="false" customHeight="true" outlineLevel="0" collapsed="false">
      <c r="A1716" s="30" t="n">
        <v>45323</v>
      </c>
      <c r="B1716" s="31" t="s">
        <v>11</v>
      </c>
      <c r="C1716" s="32"/>
      <c r="D1716" s="32"/>
      <c r="E1716" s="19" t="n">
        <f aca="false">+IF(C1716="EQUIPO",F1716,0)</f>
        <v>0</v>
      </c>
      <c r="F1716" s="33" t="n">
        <v>0</v>
      </c>
      <c r="G1716" s="62"/>
      <c r="H1716" s="35" t="n">
        <v>0</v>
      </c>
      <c r="I1716" s="34" t="n">
        <f aca="false">+IF(E1716=0,0,E1716*0.03)</f>
        <v>0</v>
      </c>
    </row>
    <row r="1717" customFormat="false" ht="15.75" hidden="false" customHeight="true" outlineLevel="0" collapsed="false">
      <c r="A1717" s="30" t="n">
        <v>45323</v>
      </c>
      <c r="B1717" s="31" t="s">
        <v>11</v>
      </c>
      <c r="C1717" s="32"/>
      <c r="D1717" s="32"/>
      <c r="E1717" s="19" t="n">
        <f aca="false">+IF(C1717="EQUIPO",F1717,0)</f>
        <v>0</v>
      </c>
      <c r="F1717" s="33" t="n">
        <v>0</v>
      </c>
      <c r="G1717" s="62"/>
      <c r="H1717" s="35" t="n">
        <v>0</v>
      </c>
      <c r="I1717" s="34" t="n">
        <f aca="false">+IF(E1717=0,0,E1717*0.03)</f>
        <v>0</v>
      </c>
    </row>
    <row r="1718" customFormat="false" ht="15.75" hidden="false" customHeight="true" outlineLevel="0" collapsed="false">
      <c r="A1718" s="30" t="n">
        <v>45323</v>
      </c>
      <c r="B1718" s="31" t="s">
        <v>11</v>
      </c>
      <c r="C1718" s="32"/>
      <c r="D1718" s="32"/>
      <c r="E1718" s="19" t="n">
        <f aca="false">+IF(C1718="EQUIPO",F1718,0)</f>
        <v>0</v>
      </c>
      <c r="F1718" s="33" t="n">
        <v>0</v>
      </c>
      <c r="G1718" s="62"/>
      <c r="H1718" s="35" t="n">
        <v>0</v>
      </c>
      <c r="I1718" s="34" t="n">
        <f aca="false">+IF(E1718=0,0,E1718*0.03)</f>
        <v>0</v>
      </c>
    </row>
    <row r="1719" customFormat="false" ht="15.75" hidden="false" customHeight="true" outlineLevel="0" collapsed="false">
      <c r="A1719" s="30" t="n">
        <v>45323</v>
      </c>
      <c r="B1719" s="31" t="s">
        <v>11</v>
      </c>
      <c r="C1719" s="32"/>
      <c r="D1719" s="32"/>
      <c r="E1719" s="19" t="n">
        <f aca="false">+IF(C1719="EQUIPO",F1719,0)</f>
        <v>0</v>
      </c>
      <c r="F1719" s="33" t="n">
        <v>0</v>
      </c>
      <c r="G1719" s="62"/>
      <c r="H1719" s="35" t="n">
        <v>0</v>
      </c>
      <c r="I1719" s="34" t="n">
        <f aca="false">+IF(E1719=0,0,E1719*0.03)</f>
        <v>0</v>
      </c>
    </row>
    <row r="1720" customFormat="false" ht="15.75" hidden="false" customHeight="true" outlineLevel="0" collapsed="false">
      <c r="A1720" s="30" t="n">
        <v>45323</v>
      </c>
      <c r="B1720" s="31" t="s">
        <v>11</v>
      </c>
      <c r="C1720" s="32"/>
      <c r="D1720" s="32"/>
      <c r="E1720" s="19" t="n">
        <f aca="false">+IF(C1720="EQUIPO",F1720,0)</f>
        <v>0</v>
      </c>
      <c r="F1720" s="33" t="n">
        <v>0</v>
      </c>
      <c r="G1720" s="62"/>
      <c r="H1720" s="35" t="n">
        <v>0</v>
      </c>
      <c r="I1720" s="34" t="n">
        <f aca="false">+IF(E1720=0,0,E1720*0.03)</f>
        <v>0</v>
      </c>
    </row>
    <row r="1721" customFormat="false" ht="15.75" hidden="false" customHeight="true" outlineLevel="0" collapsed="false">
      <c r="A1721" s="30" t="n">
        <v>45323</v>
      </c>
      <c r="B1721" s="31" t="s">
        <v>11</v>
      </c>
      <c r="C1721" s="32"/>
      <c r="D1721" s="32"/>
      <c r="E1721" s="19" t="n">
        <f aca="false">+IF(C1721="EQUIPO",F1721,0)</f>
        <v>0</v>
      </c>
      <c r="F1721" s="33" t="n">
        <v>0</v>
      </c>
      <c r="G1721" s="62"/>
      <c r="H1721" s="35" t="n">
        <v>0</v>
      </c>
      <c r="I1721" s="34" t="n">
        <f aca="false">+IF(E1721=0,0,E1721*0.03)</f>
        <v>0</v>
      </c>
    </row>
    <row r="1722" customFormat="false" ht="15.75" hidden="false" customHeight="true" outlineLevel="0" collapsed="false">
      <c r="A1722" s="30" t="n">
        <v>45323</v>
      </c>
      <c r="B1722" s="31" t="s">
        <v>11</v>
      </c>
      <c r="C1722" s="32"/>
      <c r="D1722" s="32"/>
      <c r="E1722" s="19" t="n">
        <f aca="false">+IF(C1722="EQUIPO",F1722,0)</f>
        <v>0</v>
      </c>
      <c r="F1722" s="33" t="n">
        <v>0</v>
      </c>
      <c r="G1722" s="62"/>
      <c r="H1722" s="35" t="n">
        <v>0</v>
      </c>
      <c r="I1722" s="34" t="n">
        <f aca="false">+IF(E1722=0,0,E1722*0.03)</f>
        <v>0</v>
      </c>
    </row>
    <row r="1723" customFormat="false" ht="15.75" hidden="false" customHeight="true" outlineLevel="0" collapsed="false">
      <c r="A1723" s="30" t="n">
        <v>45323</v>
      </c>
      <c r="B1723" s="31" t="s">
        <v>11</v>
      </c>
      <c r="C1723" s="32"/>
      <c r="D1723" s="32"/>
      <c r="E1723" s="19" t="n">
        <f aca="false">+IF(C1723="EQUIPO",F1723,0)</f>
        <v>0</v>
      </c>
      <c r="F1723" s="33" t="n">
        <v>0</v>
      </c>
      <c r="G1723" s="62"/>
      <c r="H1723" s="35" t="n">
        <v>0</v>
      </c>
      <c r="I1723" s="34" t="n">
        <f aca="false">+IF(E1723=0,0,E1723*0.03)</f>
        <v>0</v>
      </c>
    </row>
    <row r="1724" customFormat="false" ht="15.75" hidden="false" customHeight="true" outlineLevel="0" collapsed="false">
      <c r="A1724" s="30" t="n">
        <v>45323</v>
      </c>
      <c r="B1724" s="31" t="s">
        <v>11</v>
      </c>
      <c r="C1724" s="32"/>
      <c r="D1724" s="32"/>
      <c r="E1724" s="19" t="n">
        <f aca="false">+IF(C1724="EQUIPO",F1724,0)</f>
        <v>0</v>
      </c>
      <c r="F1724" s="33" t="n">
        <v>0</v>
      </c>
      <c r="G1724" s="62"/>
      <c r="H1724" s="35" t="n">
        <v>0</v>
      </c>
      <c r="I1724" s="34" t="n">
        <f aca="false">+IF(E1724=0,0,E1724*0.03)</f>
        <v>0</v>
      </c>
    </row>
    <row r="1725" customFormat="false" ht="15.75" hidden="false" customHeight="true" outlineLevel="0" collapsed="false">
      <c r="A1725" s="30" t="n">
        <v>45323</v>
      </c>
      <c r="B1725" s="31" t="s">
        <v>11</v>
      </c>
      <c r="C1725" s="32"/>
      <c r="D1725" s="32"/>
      <c r="E1725" s="19" t="n">
        <f aca="false">+IF(C1725="EQUIPO",F1725,0)</f>
        <v>0</v>
      </c>
      <c r="F1725" s="33" t="n">
        <v>0</v>
      </c>
      <c r="G1725" s="62"/>
      <c r="H1725" s="35" t="n">
        <v>0</v>
      </c>
      <c r="I1725" s="34" t="n">
        <f aca="false">+IF(E1725=0,0,E1725*0.03)</f>
        <v>0</v>
      </c>
    </row>
    <row r="1726" customFormat="false" ht="15.75" hidden="false" customHeight="true" outlineLevel="0" collapsed="false">
      <c r="A1726" s="30" t="n">
        <v>45323</v>
      </c>
      <c r="B1726" s="31" t="s">
        <v>11</v>
      </c>
      <c r="C1726" s="32"/>
      <c r="D1726" s="32"/>
      <c r="E1726" s="19" t="n">
        <f aca="false">+IF(C1726="EQUIPO",F1726,0)</f>
        <v>0</v>
      </c>
      <c r="F1726" s="33" t="n">
        <v>0</v>
      </c>
      <c r="G1726" s="62"/>
      <c r="H1726" s="35" t="n">
        <v>0</v>
      </c>
      <c r="I1726" s="34" t="n">
        <f aca="false">+IF(E1726=0,0,E1726*0.03)</f>
        <v>0</v>
      </c>
    </row>
    <row r="1727" customFormat="false" ht="15.75" hidden="false" customHeight="true" outlineLevel="0" collapsed="false">
      <c r="A1727" s="30" t="n">
        <v>45323</v>
      </c>
      <c r="B1727" s="31" t="s">
        <v>11</v>
      </c>
      <c r="C1727" s="32"/>
      <c r="D1727" s="32"/>
      <c r="E1727" s="19" t="n">
        <f aca="false">+IF(C1727="EQUIPO",F1727,0)</f>
        <v>0</v>
      </c>
      <c r="F1727" s="33" t="n">
        <v>0</v>
      </c>
      <c r="G1727" s="62"/>
      <c r="H1727" s="35" t="n">
        <v>0</v>
      </c>
      <c r="I1727" s="34" t="n">
        <f aca="false">+IF(E1727=0,0,E1727*0.03)</f>
        <v>0</v>
      </c>
    </row>
    <row r="1728" customFormat="false" ht="15.75" hidden="false" customHeight="true" outlineLevel="0" collapsed="false">
      <c r="A1728" s="30" t="n">
        <v>45323</v>
      </c>
      <c r="B1728" s="31" t="s">
        <v>11</v>
      </c>
      <c r="C1728" s="32"/>
      <c r="D1728" s="32"/>
      <c r="E1728" s="19" t="n">
        <f aca="false">+IF(C1728="EQUIPO",F1728,0)</f>
        <v>0</v>
      </c>
      <c r="F1728" s="33" t="n">
        <v>0</v>
      </c>
      <c r="G1728" s="62"/>
      <c r="H1728" s="35" t="n">
        <v>0</v>
      </c>
      <c r="I1728" s="34" t="n">
        <f aca="false">+IF(E1728=0,0,E1728*0.03)</f>
        <v>0</v>
      </c>
    </row>
    <row r="1729" customFormat="false" ht="15.75" hidden="false" customHeight="true" outlineLevel="0" collapsed="false">
      <c r="A1729" s="30" t="n">
        <v>45323</v>
      </c>
      <c r="B1729" s="31" t="s">
        <v>11</v>
      </c>
      <c r="C1729" s="32"/>
      <c r="D1729" s="32"/>
      <c r="E1729" s="19" t="n">
        <f aca="false">+IF(C1729="EQUIPO",F1729,0)</f>
        <v>0</v>
      </c>
      <c r="F1729" s="33" t="n">
        <v>0</v>
      </c>
      <c r="G1729" s="62"/>
      <c r="H1729" s="35" t="n">
        <v>0</v>
      </c>
      <c r="I1729" s="34" t="n">
        <f aca="false">+IF(E1729=0,0,E1729*0.03)</f>
        <v>0</v>
      </c>
    </row>
    <row r="1730" customFormat="false" ht="15.75" hidden="false" customHeight="true" outlineLevel="0" collapsed="false">
      <c r="A1730" s="30" t="n">
        <v>45323</v>
      </c>
      <c r="B1730" s="31" t="s">
        <v>11</v>
      </c>
      <c r="C1730" s="32"/>
      <c r="D1730" s="32"/>
      <c r="E1730" s="19" t="n">
        <f aca="false">+IF(C1730="EQUIPO",F1730,0)</f>
        <v>0</v>
      </c>
      <c r="F1730" s="33" t="n">
        <v>0</v>
      </c>
      <c r="G1730" s="62"/>
      <c r="H1730" s="35" t="n">
        <v>0</v>
      </c>
      <c r="I1730" s="34" t="n">
        <f aca="false">+IF(E1730=0,0,E1730*0.03)</f>
        <v>0</v>
      </c>
    </row>
    <row r="1731" customFormat="false" ht="15.75" hidden="false" customHeight="true" outlineLevel="0" collapsed="false">
      <c r="A1731" s="30" t="n">
        <v>45323</v>
      </c>
      <c r="B1731" s="31" t="s">
        <v>11</v>
      </c>
      <c r="C1731" s="32"/>
      <c r="D1731" s="32"/>
      <c r="E1731" s="19" t="n">
        <f aca="false">+IF(C1731="EQUIPO",F1731,0)</f>
        <v>0</v>
      </c>
      <c r="F1731" s="33" t="n">
        <v>0</v>
      </c>
      <c r="G1731" s="62"/>
      <c r="H1731" s="35" t="n">
        <v>0</v>
      </c>
      <c r="I1731" s="34" t="n">
        <f aca="false">+IF(E1731=0,0,E1731*0.03)</f>
        <v>0</v>
      </c>
    </row>
    <row r="1732" customFormat="false" ht="15.75" hidden="false" customHeight="true" outlineLevel="0" collapsed="false">
      <c r="A1732" s="30" t="n">
        <v>45323</v>
      </c>
      <c r="B1732" s="31" t="s">
        <v>11</v>
      </c>
      <c r="C1732" s="32"/>
      <c r="D1732" s="32"/>
      <c r="E1732" s="19" t="n">
        <f aca="false">+IF(C1732="EQUIPO",F1732,0)</f>
        <v>0</v>
      </c>
      <c r="F1732" s="33" t="n">
        <v>0</v>
      </c>
      <c r="G1732" s="62"/>
      <c r="H1732" s="35" t="n">
        <v>0</v>
      </c>
      <c r="I1732" s="34" t="n">
        <f aca="false">+IF(E1732=0,0,E1732*0.03)</f>
        <v>0</v>
      </c>
    </row>
    <row r="1733" customFormat="false" ht="15.75" hidden="false" customHeight="true" outlineLevel="0" collapsed="false">
      <c r="A1733" s="30" t="n">
        <v>45323</v>
      </c>
      <c r="B1733" s="31" t="s">
        <v>11</v>
      </c>
      <c r="C1733" s="32"/>
      <c r="D1733" s="32"/>
      <c r="E1733" s="19" t="n">
        <f aca="false">+IF(C1733="EQUIPO",F1733,0)</f>
        <v>0</v>
      </c>
      <c r="F1733" s="33" t="n">
        <v>0</v>
      </c>
      <c r="G1733" s="62"/>
      <c r="H1733" s="35" t="n">
        <v>0</v>
      </c>
      <c r="I1733" s="34" t="n">
        <f aca="false">+IF(E1733=0,0,E1733*0.03)</f>
        <v>0</v>
      </c>
    </row>
    <row r="1734" customFormat="false" ht="15.75" hidden="false" customHeight="true" outlineLevel="0" collapsed="false">
      <c r="A1734" s="30" t="n">
        <v>45323</v>
      </c>
      <c r="B1734" s="31" t="s">
        <v>11</v>
      </c>
      <c r="C1734" s="32"/>
      <c r="D1734" s="32"/>
      <c r="E1734" s="19" t="n">
        <f aca="false">+IF(C1734="EQUIPO",F1734,0)</f>
        <v>0</v>
      </c>
      <c r="F1734" s="33" t="n">
        <v>0</v>
      </c>
      <c r="G1734" s="62"/>
      <c r="H1734" s="35" t="n">
        <v>0</v>
      </c>
      <c r="I1734" s="34" t="n">
        <f aca="false">+IF(E1734=0,0,E1734*0.03)</f>
        <v>0</v>
      </c>
    </row>
    <row r="1735" customFormat="false" ht="15.75" hidden="false" customHeight="true" outlineLevel="0" collapsed="false">
      <c r="A1735" s="30" t="n">
        <v>45323</v>
      </c>
      <c r="B1735" s="31" t="s">
        <v>11</v>
      </c>
      <c r="C1735" s="32"/>
      <c r="D1735" s="32"/>
      <c r="E1735" s="19" t="n">
        <f aca="false">+IF(C1735="EQUIPO",F1735,0)</f>
        <v>0</v>
      </c>
      <c r="F1735" s="33" t="n">
        <v>0</v>
      </c>
      <c r="G1735" s="62"/>
      <c r="H1735" s="35" t="n">
        <v>0</v>
      </c>
      <c r="I1735" s="34" t="n">
        <f aca="false">+IF(E1735=0,0,E1735*0.03)</f>
        <v>0</v>
      </c>
    </row>
    <row r="1736" customFormat="false" ht="15.75" hidden="false" customHeight="true" outlineLevel="0" collapsed="false">
      <c r="A1736" s="30" t="n">
        <v>45323</v>
      </c>
      <c r="B1736" s="31" t="s">
        <v>11</v>
      </c>
      <c r="C1736" s="32"/>
      <c r="D1736" s="32"/>
      <c r="E1736" s="19" t="n">
        <f aca="false">+IF(C1736="EQUIPO",F1736,0)</f>
        <v>0</v>
      </c>
      <c r="F1736" s="33" t="n">
        <v>0</v>
      </c>
      <c r="G1736" s="62"/>
      <c r="H1736" s="35" t="n">
        <v>0</v>
      </c>
      <c r="I1736" s="34" t="n">
        <f aca="false">+IF(E1736=0,0,E1736*0.03)</f>
        <v>0</v>
      </c>
    </row>
    <row r="1737" customFormat="false" ht="15.75" hidden="false" customHeight="true" outlineLevel="0" collapsed="false">
      <c r="A1737" s="30" t="n">
        <v>45323</v>
      </c>
      <c r="B1737" s="31" t="s">
        <v>11</v>
      </c>
      <c r="C1737" s="32"/>
      <c r="D1737" s="32"/>
      <c r="E1737" s="19" t="n">
        <f aca="false">+IF(C1737="EQUIPO",F1737,0)</f>
        <v>0</v>
      </c>
      <c r="F1737" s="33" t="n">
        <v>0</v>
      </c>
      <c r="G1737" s="62"/>
      <c r="H1737" s="35" t="n">
        <v>0</v>
      </c>
      <c r="I1737" s="34" t="n">
        <f aca="false">+IF(E1737=0,0,E1737*0.03)</f>
        <v>0</v>
      </c>
    </row>
    <row r="1738" customFormat="false" ht="15.75" hidden="false" customHeight="true" outlineLevel="0" collapsed="false">
      <c r="A1738" s="30" t="n">
        <v>45323</v>
      </c>
      <c r="B1738" s="31" t="s">
        <v>11</v>
      </c>
      <c r="C1738" s="32"/>
      <c r="D1738" s="32"/>
      <c r="E1738" s="19" t="n">
        <f aca="false">+IF(C1738="EQUIPO",F1738,0)</f>
        <v>0</v>
      </c>
      <c r="F1738" s="33" t="n">
        <v>0</v>
      </c>
      <c r="G1738" s="62"/>
      <c r="H1738" s="35" t="n">
        <v>0</v>
      </c>
      <c r="I1738" s="34" t="n">
        <f aca="false">+IF(E1738=0,0,E1738*0.03)</f>
        <v>0</v>
      </c>
    </row>
    <row r="1739" customFormat="false" ht="15.75" hidden="false" customHeight="true" outlineLevel="0" collapsed="false">
      <c r="A1739" s="30" t="n">
        <v>45323</v>
      </c>
      <c r="B1739" s="31" t="s">
        <v>11</v>
      </c>
      <c r="C1739" s="32"/>
      <c r="D1739" s="32"/>
      <c r="E1739" s="19" t="n">
        <f aca="false">+IF(C1739="EQUIPO",F1739,0)</f>
        <v>0</v>
      </c>
      <c r="F1739" s="33" t="n">
        <v>0</v>
      </c>
      <c r="G1739" s="62"/>
      <c r="H1739" s="35" t="n">
        <v>0</v>
      </c>
      <c r="I1739" s="34" t="n">
        <f aca="false">+IF(E1739=0,0,E1739*0.03)</f>
        <v>0</v>
      </c>
    </row>
    <row r="1740" customFormat="false" ht="15.75" hidden="false" customHeight="true" outlineLevel="0" collapsed="false">
      <c r="A1740" s="30" t="n">
        <v>45323</v>
      </c>
      <c r="B1740" s="31" t="s">
        <v>11</v>
      </c>
      <c r="C1740" s="32"/>
      <c r="D1740" s="32"/>
      <c r="E1740" s="19" t="n">
        <f aca="false">+IF(C1740="EQUIPO",F1740,0)</f>
        <v>0</v>
      </c>
      <c r="F1740" s="33" t="n">
        <v>0</v>
      </c>
      <c r="G1740" s="62"/>
      <c r="H1740" s="35" t="n">
        <v>0</v>
      </c>
      <c r="I1740" s="34" t="n">
        <f aca="false">+IF(E1740=0,0,E1740*0.03)</f>
        <v>0</v>
      </c>
    </row>
    <row r="1741" customFormat="false" ht="15.75" hidden="false" customHeight="true" outlineLevel="0" collapsed="false">
      <c r="A1741" s="30" t="n">
        <v>45323</v>
      </c>
      <c r="B1741" s="31" t="s">
        <v>11</v>
      </c>
      <c r="C1741" s="32"/>
      <c r="D1741" s="32"/>
      <c r="E1741" s="19" t="n">
        <f aca="false">+IF(C1741="EQUIPO",F1741,0)</f>
        <v>0</v>
      </c>
      <c r="F1741" s="33" t="n">
        <v>0</v>
      </c>
      <c r="G1741" s="62"/>
      <c r="H1741" s="35" t="n">
        <v>0</v>
      </c>
      <c r="I1741" s="34" t="n">
        <f aca="false">+IF(E1741=0,0,E1741*0.03)</f>
        <v>0</v>
      </c>
    </row>
    <row r="1742" customFormat="false" ht="15.75" hidden="false" customHeight="true" outlineLevel="0" collapsed="false">
      <c r="A1742" s="30" t="n">
        <v>45323</v>
      </c>
      <c r="B1742" s="31" t="s">
        <v>11</v>
      </c>
      <c r="C1742" s="32"/>
      <c r="D1742" s="32"/>
      <c r="E1742" s="19" t="n">
        <f aca="false">+IF(C1742="EQUIPO",F1742,0)</f>
        <v>0</v>
      </c>
      <c r="F1742" s="33" t="n">
        <v>0</v>
      </c>
      <c r="G1742" s="62"/>
      <c r="H1742" s="35" t="n">
        <v>0</v>
      </c>
      <c r="I1742" s="34" t="n">
        <f aca="false">+IF(E1742=0,0,E1742*0.03)</f>
        <v>0</v>
      </c>
    </row>
    <row r="1743" customFormat="false" ht="15.75" hidden="false" customHeight="true" outlineLevel="0" collapsed="false">
      <c r="A1743" s="30" t="n">
        <v>45323</v>
      </c>
      <c r="B1743" s="31" t="s">
        <v>11</v>
      </c>
      <c r="C1743" s="32"/>
      <c r="D1743" s="32"/>
      <c r="E1743" s="19" t="n">
        <f aca="false">+IF(C1743="EQUIPO",F1743,0)</f>
        <v>0</v>
      </c>
      <c r="F1743" s="33" t="n">
        <v>0</v>
      </c>
      <c r="G1743" s="62"/>
      <c r="H1743" s="35" t="n">
        <v>0</v>
      </c>
      <c r="I1743" s="34" t="n">
        <f aca="false">+IF(E1743=0,0,E1743*0.03)</f>
        <v>0</v>
      </c>
    </row>
    <row r="1744" customFormat="false" ht="15.75" hidden="false" customHeight="true" outlineLevel="0" collapsed="false">
      <c r="A1744" s="30" t="n">
        <v>45323</v>
      </c>
      <c r="B1744" s="31" t="s">
        <v>11</v>
      </c>
      <c r="C1744" s="32"/>
      <c r="D1744" s="32"/>
      <c r="E1744" s="19" t="n">
        <f aca="false">+IF(C1744="EQUIPO",F1744,0)</f>
        <v>0</v>
      </c>
      <c r="F1744" s="33" t="n">
        <v>0</v>
      </c>
      <c r="G1744" s="62"/>
      <c r="H1744" s="35" t="n">
        <v>0</v>
      </c>
      <c r="I1744" s="34" t="n">
        <f aca="false">+IF(E1744=0,0,E1744*0.03)</f>
        <v>0</v>
      </c>
    </row>
    <row r="1745" customFormat="false" ht="15.75" hidden="false" customHeight="true" outlineLevel="0" collapsed="false">
      <c r="A1745" s="30" t="n">
        <v>45323</v>
      </c>
      <c r="B1745" s="31" t="s">
        <v>11</v>
      </c>
      <c r="C1745" s="32"/>
      <c r="D1745" s="32"/>
      <c r="E1745" s="19" t="n">
        <f aca="false">+IF(C1745="EQUIPO",F1745,0)</f>
        <v>0</v>
      </c>
      <c r="F1745" s="33" t="n">
        <v>0</v>
      </c>
      <c r="G1745" s="62"/>
      <c r="H1745" s="35" t="n">
        <v>0</v>
      </c>
      <c r="I1745" s="34" t="n">
        <f aca="false">+IF(E1745=0,0,E1745*0.03)</f>
        <v>0</v>
      </c>
    </row>
    <row r="1746" customFormat="false" ht="15.75" hidden="false" customHeight="true" outlineLevel="0" collapsed="false">
      <c r="A1746" s="30" t="n">
        <v>45323</v>
      </c>
      <c r="B1746" s="31" t="s">
        <v>11</v>
      </c>
      <c r="C1746" s="32"/>
      <c r="D1746" s="32"/>
      <c r="E1746" s="19" t="n">
        <f aca="false">+IF(C1746="EQUIPO",F1746,0)</f>
        <v>0</v>
      </c>
      <c r="F1746" s="33" t="n">
        <v>0</v>
      </c>
      <c r="G1746" s="62"/>
      <c r="H1746" s="35" t="n">
        <v>0</v>
      </c>
      <c r="I1746" s="34" t="n">
        <f aca="false">+IF(E1746=0,0,E1746*0.03)</f>
        <v>0</v>
      </c>
    </row>
    <row r="1747" customFormat="false" ht="15.75" hidden="false" customHeight="true" outlineLevel="0" collapsed="false">
      <c r="A1747" s="30" t="n">
        <v>45323</v>
      </c>
      <c r="B1747" s="31" t="s">
        <v>11</v>
      </c>
      <c r="C1747" s="32"/>
      <c r="D1747" s="32"/>
      <c r="E1747" s="19" t="n">
        <f aca="false">+IF(C1747="EQUIPO",F1747,0)</f>
        <v>0</v>
      </c>
      <c r="F1747" s="33" t="n">
        <v>0</v>
      </c>
      <c r="G1747" s="62"/>
      <c r="H1747" s="35" t="n">
        <v>0</v>
      </c>
      <c r="I1747" s="34" t="n">
        <f aca="false">+IF(E1747=0,0,E1747*0.03)</f>
        <v>0</v>
      </c>
    </row>
    <row r="1748" customFormat="false" ht="15.75" hidden="false" customHeight="true" outlineLevel="0" collapsed="false">
      <c r="A1748" s="30" t="n">
        <v>45323</v>
      </c>
      <c r="B1748" s="31" t="s">
        <v>11</v>
      </c>
      <c r="C1748" s="32"/>
      <c r="D1748" s="32"/>
      <c r="E1748" s="19" t="n">
        <f aca="false">+IF(C1748="EQUIPO",F1748,0)</f>
        <v>0</v>
      </c>
      <c r="F1748" s="33" t="n">
        <v>0</v>
      </c>
      <c r="G1748" s="62"/>
      <c r="H1748" s="35" t="n">
        <v>0</v>
      </c>
      <c r="I1748" s="34" t="n">
        <f aca="false">+IF(E1748=0,0,E1748*0.03)</f>
        <v>0</v>
      </c>
    </row>
    <row r="1749" customFormat="false" ht="15.75" hidden="false" customHeight="true" outlineLevel="0" collapsed="false">
      <c r="A1749" s="30" t="n">
        <v>45323</v>
      </c>
      <c r="B1749" s="31" t="s">
        <v>11</v>
      </c>
      <c r="C1749" s="32"/>
      <c r="D1749" s="32"/>
      <c r="E1749" s="19" t="n">
        <f aca="false">+IF(C1749="EQUIPO",F1749,0)</f>
        <v>0</v>
      </c>
      <c r="F1749" s="33" t="n">
        <v>0</v>
      </c>
      <c r="G1749" s="62"/>
      <c r="H1749" s="35" t="n">
        <v>0</v>
      </c>
      <c r="I1749" s="34" t="n">
        <f aca="false">+IF(E1749=0,0,E1749*0.03)</f>
        <v>0</v>
      </c>
    </row>
    <row r="1750" customFormat="false" ht="15.75" hidden="false" customHeight="true" outlineLevel="0" collapsed="false">
      <c r="A1750" s="30" t="n">
        <v>45323</v>
      </c>
      <c r="B1750" s="31" t="s">
        <v>11</v>
      </c>
      <c r="C1750" s="32"/>
      <c r="D1750" s="32"/>
      <c r="E1750" s="19" t="n">
        <f aca="false">+IF(C1750="EQUIPO",F1750,0)</f>
        <v>0</v>
      </c>
      <c r="F1750" s="33" t="n">
        <v>0</v>
      </c>
      <c r="G1750" s="62"/>
      <c r="H1750" s="35" t="n">
        <v>0</v>
      </c>
      <c r="I1750" s="34" t="n">
        <f aca="false">+IF(E1750=0,0,E1750*0.03)</f>
        <v>0</v>
      </c>
    </row>
    <row r="1751" customFormat="false" ht="15.75" hidden="false" customHeight="true" outlineLevel="0" collapsed="false">
      <c r="A1751" s="30" t="n">
        <v>45323</v>
      </c>
      <c r="B1751" s="31" t="s">
        <v>11</v>
      </c>
      <c r="C1751" s="32"/>
      <c r="D1751" s="32"/>
      <c r="E1751" s="19" t="n">
        <f aca="false">+IF(C1751="EQUIPO",F1751,0)</f>
        <v>0</v>
      </c>
      <c r="F1751" s="33" t="n">
        <v>0</v>
      </c>
      <c r="G1751" s="62"/>
      <c r="H1751" s="35" t="n">
        <v>0</v>
      </c>
      <c r="I1751" s="34" t="n">
        <f aca="false">+IF(E1751=0,0,E1751*0.03)</f>
        <v>0</v>
      </c>
    </row>
    <row r="1752" customFormat="false" ht="15.75" hidden="false" customHeight="true" outlineLevel="0" collapsed="false">
      <c r="A1752" s="30" t="n">
        <v>45323</v>
      </c>
      <c r="B1752" s="31" t="s">
        <v>11</v>
      </c>
      <c r="C1752" s="32"/>
      <c r="D1752" s="32"/>
      <c r="E1752" s="19" t="n">
        <f aca="false">+IF(C1752="EQUIPO",F1752,0)</f>
        <v>0</v>
      </c>
      <c r="F1752" s="33" t="n">
        <v>0</v>
      </c>
      <c r="G1752" s="62"/>
      <c r="H1752" s="35" t="n">
        <v>0</v>
      </c>
      <c r="I1752" s="34" t="n">
        <f aca="false">+IF(E1752=0,0,E1752*0.03)</f>
        <v>0</v>
      </c>
    </row>
    <row r="1753" customFormat="false" ht="15.75" hidden="false" customHeight="true" outlineLevel="0" collapsed="false">
      <c r="A1753" s="30" t="n">
        <v>45323</v>
      </c>
      <c r="B1753" s="31" t="s">
        <v>11</v>
      </c>
      <c r="C1753" s="32"/>
      <c r="D1753" s="32"/>
      <c r="E1753" s="19" t="n">
        <f aca="false">+IF(C1753="EQUIPO",F1753,0)</f>
        <v>0</v>
      </c>
      <c r="F1753" s="33" t="n">
        <v>0</v>
      </c>
      <c r="G1753" s="62"/>
      <c r="H1753" s="35" t="n">
        <v>0</v>
      </c>
      <c r="I1753" s="34" t="n">
        <f aca="false">+IF(E1753=0,0,E1753*0.03)</f>
        <v>0</v>
      </c>
    </row>
    <row r="1754" customFormat="false" ht="15.75" hidden="false" customHeight="true" outlineLevel="0" collapsed="false">
      <c r="A1754" s="30" t="n">
        <v>45323</v>
      </c>
      <c r="B1754" s="31" t="s">
        <v>11</v>
      </c>
      <c r="C1754" s="32"/>
      <c r="D1754" s="32"/>
      <c r="E1754" s="19" t="n">
        <f aca="false">+IF(C1754="EQUIPO",F1754,0)</f>
        <v>0</v>
      </c>
      <c r="F1754" s="33" t="n">
        <v>0</v>
      </c>
      <c r="G1754" s="62"/>
      <c r="H1754" s="35" t="n">
        <v>0</v>
      </c>
      <c r="I1754" s="34" t="n">
        <f aca="false">+IF(E1754=0,0,E1754*0.03)</f>
        <v>0</v>
      </c>
    </row>
    <row r="1755" customFormat="false" ht="15.75" hidden="false" customHeight="true" outlineLevel="0" collapsed="false">
      <c r="A1755" s="30" t="n">
        <v>45323</v>
      </c>
      <c r="B1755" s="31" t="s">
        <v>11</v>
      </c>
      <c r="C1755" s="32"/>
      <c r="D1755" s="32"/>
      <c r="E1755" s="19" t="n">
        <f aca="false">+IF(C1755="EQUIPO",F1755,0)</f>
        <v>0</v>
      </c>
      <c r="F1755" s="33" t="n">
        <v>0</v>
      </c>
      <c r="G1755" s="62"/>
      <c r="H1755" s="35" t="n">
        <v>0</v>
      </c>
      <c r="I1755" s="34" t="n">
        <f aca="false">+IF(E1755=0,0,E1755*0.03)</f>
        <v>0</v>
      </c>
    </row>
    <row r="1756" customFormat="false" ht="15.75" hidden="false" customHeight="true" outlineLevel="0" collapsed="false">
      <c r="A1756" s="30" t="n">
        <v>45323</v>
      </c>
      <c r="B1756" s="31" t="s">
        <v>11</v>
      </c>
      <c r="C1756" s="32"/>
      <c r="D1756" s="32"/>
      <c r="E1756" s="19" t="n">
        <f aca="false">+IF(C1756="EQUIPO",F1756,0)</f>
        <v>0</v>
      </c>
      <c r="F1756" s="33" t="n">
        <v>0</v>
      </c>
      <c r="G1756" s="62"/>
      <c r="H1756" s="35" t="n">
        <v>0</v>
      </c>
      <c r="I1756" s="34" t="n">
        <f aca="false">+IF(E1756=0,0,E1756*0.03)</f>
        <v>0</v>
      </c>
    </row>
    <row r="1757" customFormat="false" ht="15.75" hidden="false" customHeight="true" outlineLevel="0" collapsed="false">
      <c r="A1757" s="30" t="n">
        <v>45323</v>
      </c>
      <c r="B1757" s="31" t="s">
        <v>11</v>
      </c>
      <c r="C1757" s="32"/>
      <c r="D1757" s="32"/>
      <c r="E1757" s="19" t="n">
        <f aca="false">+IF(C1757="EQUIPO",F1757,0)</f>
        <v>0</v>
      </c>
      <c r="F1757" s="33" t="n">
        <v>0</v>
      </c>
      <c r="G1757" s="62"/>
      <c r="H1757" s="35" t="n">
        <v>0</v>
      </c>
      <c r="I1757" s="34" t="n">
        <f aca="false">+IF(E1757=0,0,E1757*0.03)</f>
        <v>0</v>
      </c>
    </row>
    <row r="1758" customFormat="false" ht="15.75" hidden="false" customHeight="true" outlineLevel="0" collapsed="false">
      <c r="A1758" s="30" t="n">
        <v>45323</v>
      </c>
      <c r="B1758" s="31" t="s">
        <v>11</v>
      </c>
      <c r="C1758" s="32"/>
      <c r="D1758" s="32"/>
      <c r="E1758" s="19" t="n">
        <f aca="false">+IF(C1758="EQUIPO",F1758,0)</f>
        <v>0</v>
      </c>
      <c r="F1758" s="33" t="n">
        <v>0</v>
      </c>
      <c r="G1758" s="62"/>
      <c r="H1758" s="35" t="n">
        <v>0</v>
      </c>
      <c r="I1758" s="34" t="n">
        <f aca="false">+IF(E1758=0,0,E1758*0.03)</f>
        <v>0</v>
      </c>
    </row>
    <row r="1759" customFormat="false" ht="15.75" hidden="false" customHeight="true" outlineLevel="0" collapsed="false">
      <c r="A1759" s="30" t="n">
        <v>45323</v>
      </c>
      <c r="B1759" s="31" t="s">
        <v>11</v>
      </c>
      <c r="C1759" s="32"/>
      <c r="D1759" s="32"/>
      <c r="E1759" s="19" t="n">
        <f aca="false">+IF(C1759="EQUIPO",F1759,0)</f>
        <v>0</v>
      </c>
      <c r="F1759" s="33" t="n">
        <v>0</v>
      </c>
      <c r="G1759" s="62"/>
      <c r="H1759" s="35" t="n">
        <v>0</v>
      </c>
      <c r="I1759" s="34" t="n">
        <f aca="false">+IF(E1759=0,0,E1759*0.03)</f>
        <v>0</v>
      </c>
    </row>
    <row r="1760" customFormat="false" ht="15.75" hidden="false" customHeight="true" outlineLevel="0" collapsed="false">
      <c r="A1760" s="30" t="n">
        <v>45323</v>
      </c>
      <c r="B1760" s="31" t="s">
        <v>11</v>
      </c>
      <c r="C1760" s="32"/>
      <c r="D1760" s="32"/>
      <c r="E1760" s="19" t="n">
        <f aca="false">+IF(C1760="EQUIPO",F1760,0)</f>
        <v>0</v>
      </c>
      <c r="F1760" s="33" t="n">
        <v>0</v>
      </c>
      <c r="G1760" s="62"/>
      <c r="H1760" s="35" t="n">
        <v>0</v>
      </c>
      <c r="I1760" s="34" t="n">
        <f aca="false">+IF(E1760=0,0,E1760*0.03)</f>
        <v>0</v>
      </c>
    </row>
    <row r="1761" customFormat="false" ht="15.75" hidden="false" customHeight="true" outlineLevel="0" collapsed="false">
      <c r="A1761" s="30" t="n">
        <v>45323</v>
      </c>
      <c r="B1761" s="31" t="s">
        <v>11</v>
      </c>
      <c r="C1761" s="32"/>
      <c r="D1761" s="32"/>
      <c r="E1761" s="19" t="n">
        <f aca="false">+IF(C1761="EQUIPO",F1761,0)</f>
        <v>0</v>
      </c>
      <c r="F1761" s="33" t="n">
        <v>0</v>
      </c>
      <c r="G1761" s="62"/>
      <c r="H1761" s="35" t="n">
        <v>0</v>
      </c>
      <c r="I1761" s="34" t="n">
        <f aca="false">+IF(E1761=0,0,E1761*0.03)</f>
        <v>0</v>
      </c>
    </row>
    <row r="1762" customFormat="false" ht="15.75" hidden="false" customHeight="true" outlineLevel="0" collapsed="false">
      <c r="A1762" s="30" t="n">
        <v>45323</v>
      </c>
      <c r="B1762" s="31" t="s">
        <v>11</v>
      </c>
      <c r="C1762" s="32"/>
      <c r="D1762" s="32"/>
      <c r="E1762" s="19" t="n">
        <f aca="false">+IF(C1762="EQUIPO",F1762,0)</f>
        <v>0</v>
      </c>
      <c r="F1762" s="33" t="n">
        <v>0</v>
      </c>
      <c r="G1762" s="62"/>
      <c r="H1762" s="35" t="n">
        <v>0</v>
      </c>
      <c r="I1762" s="34" t="n">
        <f aca="false">+IF(E1762=0,0,E1762*0.03)</f>
        <v>0</v>
      </c>
    </row>
    <row r="1763" customFormat="false" ht="15.75" hidden="false" customHeight="true" outlineLevel="0" collapsed="false">
      <c r="A1763" s="30" t="n">
        <v>45323</v>
      </c>
      <c r="B1763" s="31" t="s">
        <v>11</v>
      </c>
      <c r="C1763" s="32"/>
      <c r="D1763" s="32"/>
      <c r="E1763" s="19" t="n">
        <f aca="false">+IF(C1763="EQUIPO",F1763,0)</f>
        <v>0</v>
      </c>
      <c r="F1763" s="33" t="n">
        <v>0</v>
      </c>
      <c r="G1763" s="62"/>
      <c r="H1763" s="35" t="n">
        <v>0</v>
      </c>
      <c r="I1763" s="34" t="n">
        <f aca="false">+IF(E1763=0,0,E1763*0.03)</f>
        <v>0</v>
      </c>
    </row>
    <row r="1764" customFormat="false" ht="15.75" hidden="false" customHeight="true" outlineLevel="0" collapsed="false">
      <c r="A1764" s="30" t="n">
        <v>45323</v>
      </c>
      <c r="B1764" s="31" t="s">
        <v>11</v>
      </c>
      <c r="C1764" s="32"/>
      <c r="D1764" s="32"/>
      <c r="E1764" s="19" t="n">
        <f aca="false">+IF(C1764="EQUIPO",F1764,0)</f>
        <v>0</v>
      </c>
      <c r="F1764" s="33" t="n">
        <v>0</v>
      </c>
      <c r="G1764" s="62"/>
      <c r="H1764" s="35" t="n">
        <v>0</v>
      </c>
      <c r="I1764" s="34" t="n">
        <f aca="false">+IF(E1764=0,0,E1764*0.03)</f>
        <v>0</v>
      </c>
    </row>
    <row r="1765" customFormat="false" ht="15.75" hidden="false" customHeight="true" outlineLevel="0" collapsed="false">
      <c r="A1765" s="30" t="n">
        <v>45323</v>
      </c>
      <c r="B1765" s="31" t="s">
        <v>11</v>
      </c>
      <c r="C1765" s="32"/>
      <c r="D1765" s="32"/>
      <c r="E1765" s="19" t="n">
        <f aca="false">+IF(C1765="EQUIPO",F1765,0)</f>
        <v>0</v>
      </c>
      <c r="F1765" s="33" t="n">
        <v>0</v>
      </c>
      <c r="G1765" s="62"/>
      <c r="H1765" s="35" t="n">
        <v>0</v>
      </c>
      <c r="I1765" s="34" t="n">
        <f aca="false">+IF(E1765=0,0,E1765*0.03)</f>
        <v>0</v>
      </c>
    </row>
    <row r="1766" customFormat="false" ht="15.75" hidden="false" customHeight="true" outlineLevel="0" collapsed="false">
      <c r="A1766" s="30" t="n">
        <v>45323</v>
      </c>
      <c r="B1766" s="31" t="s">
        <v>11</v>
      </c>
      <c r="C1766" s="32"/>
      <c r="D1766" s="32"/>
      <c r="E1766" s="19" t="n">
        <f aca="false">+IF(C1766="EQUIPO",F1766,0)</f>
        <v>0</v>
      </c>
      <c r="F1766" s="33" t="n">
        <v>0</v>
      </c>
      <c r="G1766" s="62"/>
      <c r="H1766" s="35" t="n">
        <v>0</v>
      </c>
      <c r="I1766" s="34" t="n">
        <f aca="false">+IF(E1766=0,0,E1766*0.03)</f>
        <v>0</v>
      </c>
    </row>
    <row r="1767" customFormat="false" ht="15.75" hidden="false" customHeight="true" outlineLevel="0" collapsed="false">
      <c r="A1767" s="30" t="n">
        <v>45323</v>
      </c>
      <c r="B1767" s="31" t="s">
        <v>11</v>
      </c>
      <c r="C1767" s="32"/>
      <c r="D1767" s="32"/>
      <c r="E1767" s="19" t="n">
        <f aca="false">+IF(C1767="EQUIPO",F1767,0)</f>
        <v>0</v>
      </c>
      <c r="F1767" s="33" t="n">
        <v>0</v>
      </c>
      <c r="G1767" s="62"/>
      <c r="H1767" s="35" t="n">
        <v>0</v>
      </c>
      <c r="I1767" s="34" t="n">
        <f aca="false">+IF(E1767=0,0,E1767*0.03)</f>
        <v>0</v>
      </c>
    </row>
    <row r="1768" customFormat="false" ht="15.75" hidden="false" customHeight="true" outlineLevel="0" collapsed="false">
      <c r="A1768" s="30" t="n">
        <v>45323</v>
      </c>
      <c r="B1768" s="31" t="s">
        <v>11</v>
      </c>
      <c r="C1768" s="32"/>
      <c r="D1768" s="32"/>
      <c r="E1768" s="19" t="n">
        <f aca="false">+IF(C1768="EQUIPO",F1768,0)</f>
        <v>0</v>
      </c>
      <c r="F1768" s="33" t="n">
        <v>0</v>
      </c>
      <c r="G1768" s="62"/>
      <c r="H1768" s="35" t="n">
        <v>0</v>
      </c>
      <c r="I1768" s="34" t="n">
        <f aca="false">+IF(E1768=0,0,E1768*0.03)</f>
        <v>0</v>
      </c>
    </row>
    <row r="1769" customFormat="false" ht="15.75" hidden="false" customHeight="true" outlineLevel="0" collapsed="false">
      <c r="A1769" s="30" t="n">
        <v>45323</v>
      </c>
      <c r="B1769" s="31" t="s">
        <v>11</v>
      </c>
      <c r="C1769" s="32"/>
      <c r="D1769" s="32"/>
      <c r="E1769" s="19" t="n">
        <f aca="false">+IF(C1769="EQUIPO",F1769,0)</f>
        <v>0</v>
      </c>
      <c r="F1769" s="33" t="n">
        <v>0</v>
      </c>
      <c r="G1769" s="62"/>
      <c r="H1769" s="35" t="n">
        <v>0</v>
      </c>
      <c r="I1769" s="34" t="n">
        <f aca="false">+IF(E1769=0,0,E1769*0.03)</f>
        <v>0</v>
      </c>
    </row>
    <row r="1770" customFormat="false" ht="15.75" hidden="false" customHeight="true" outlineLevel="0" collapsed="false">
      <c r="A1770" s="30" t="n">
        <v>45323</v>
      </c>
      <c r="B1770" s="31" t="s">
        <v>11</v>
      </c>
      <c r="C1770" s="32"/>
      <c r="D1770" s="32"/>
      <c r="E1770" s="19" t="n">
        <f aca="false">+IF(C1770="EQUIPO",F1770,0)</f>
        <v>0</v>
      </c>
      <c r="F1770" s="33" t="n">
        <v>0</v>
      </c>
      <c r="G1770" s="62"/>
      <c r="H1770" s="35" t="n">
        <v>0</v>
      </c>
      <c r="I1770" s="34" t="n">
        <f aca="false">+IF(E1770=0,0,E1770*0.03)</f>
        <v>0</v>
      </c>
    </row>
    <row r="1771" customFormat="false" ht="15.75" hidden="false" customHeight="true" outlineLevel="0" collapsed="false">
      <c r="A1771" s="30" t="n">
        <v>45323</v>
      </c>
      <c r="B1771" s="31" t="s">
        <v>11</v>
      </c>
      <c r="C1771" s="32"/>
      <c r="D1771" s="32"/>
      <c r="E1771" s="19" t="n">
        <f aca="false">+IF(C1771="EQUIPO",F1771,0)</f>
        <v>0</v>
      </c>
      <c r="F1771" s="33" t="n">
        <v>0</v>
      </c>
      <c r="G1771" s="62"/>
      <c r="H1771" s="35" t="n">
        <v>0</v>
      </c>
      <c r="I1771" s="34" t="n">
        <f aca="false">+IF(E1771=0,0,E1771*0.03)</f>
        <v>0</v>
      </c>
    </row>
    <row r="1772" customFormat="false" ht="15.75" hidden="false" customHeight="true" outlineLevel="0" collapsed="false">
      <c r="A1772" s="30" t="n">
        <v>45323</v>
      </c>
      <c r="B1772" s="31" t="s">
        <v>11</v>
      </c>
      <c r="C1772" s="32"/>
      <c r="D1772" s="32"/>
      <c r="E1772" s="19" t="n">
        <f aca="false">+IF(C1772="EQUIPO",F1772,0)</f>
        <v>0</v>
      </c>
      <c r="F1772" s="33" t="n">
        <v>0</v>
      </c>
      <c r="G1772" s="62"/>
      <c r="H1772" s="35" t="n">
        <v>0</v>
      </c>
      <c r="I1772" s="34" t="n">
        <f aca="false">+IF(E1772=0,0,E1772*0.03)</f>
        <v>0</v>
      </c>
    </row>
    <row r="1773" customFormat="false" ht="15.75" hidden="false" customHeight="true" outlineLevel="0" collapsed="false">
      <c r="A1773" s="30" t="n">
        <v>45323</v>
      </c>
      <c r="B1773" s="31" t="s">
        <v>11</v>
      </c>
      <c r="C1773" s="32"/>
      <c r="D1773" s="32"/>
      <c r="E1773" s="19" t="n">
        <f aca="false">+IF(C1773="EQUIPO",F1773,0)</f>
        <v>0</v>
      </c>
      <c r="F1773" s="33" t="n">
        <v>0</v>
      </c>
      <c r="G1773" s="62"/>
      <c r="H1773" s="35" t="n">
        <v>0</v>
      </c>
      <c r="I1773" s="34" t="n">
        <f aca="false">+IF(E1773=0,0,E1773*0.03)</f>
        <v>0</v>
      </c>
    </row>
    <row r="1774" customFormat="false" ht="15.75" hidden="false" customHeight="true" outlineLevel="0" collapsed="false">
      <c r="A1774" s="30" t="n">
        <v>45323</v>
      </c>
      <c r="B1774" s="31" t="s">
        <v>11</v>
      </c>
      <c r="C1774" s="32"/>
      <c r="D1774" s="32"/>
      <c r="E1774" s="19" t="n">
        <f aca="false">+IF(C1774="EQUIPO",F1774,0)</f>
        <v>0</v>
      </c>
      <c r="F1774" s="33" t="n">
        <v>0</v>
      </c>
      <c r="G1774" s="62"/>
      <c r="H1774" s="35" t="n">
        <v>0</v>
      </c>
      <c r="I1774" s="34" t="n">
        <f aca="false">+IF(E1774=0,0,E1774*0.03)</f>
        <v>0</v>
      </c>
    </row>
    <row r="1775" customFormat="false" ht="15.75" hidden="false" customHeight="true" outlineLevel="0" collapsed="false">
      <c r="A1775" s="30" t="n">
        <v>45323</v>
      </c>
      <c r="B1775" s="31" t="s">
        <v>11</v>
      </c>
      <c r="C1775" s="32"/>
      <c r="D1775" s="32"/>
      <c r="E1775" s="19" t="n">
        <f aca="false">+IF(C1775="EQUIPO",F1775,0)</f>
        <v>0</v>
      </c>
      <c r="F1775" s="33" t="n">
        <v>0</v>
      </c>
      <c r="G1775" s="62"/>
      <c r="H1775" s="35" t="n">
        <v>0</v>
      </c>
      <c r="I1775" s="34" t="n">
        <f aca="false">+IF(E1775=0,0,E1775*0.03)</f>
        <v>0</v>
      </c>
    </row>
    <row r="1776" customFormat="false" ht="15.75" hidden="false" customHeight="true" outlineLevel="0" collapsed="false">
      <c r="A1776" s="30" t="n">
        <v>45323</v>
      </c>
      <c r="B1776" s="31" t="s">
        <v>11</v>
      </c>
      <c r="C1776" s="32"/>
      <c r="D1776" s="32"/>
      <c r="E1776" s="19" t="n">
        <f aca="false">+IF(C1776="EQUIPO",F1776,0)</f>
        <v>0</v>
      </c>
      <c r="F1776" s="33" t="n">
        <v>0</v>
      </c>
      <c r="G1776" s="62"/>
      <c r="H1776" s="35" t="n">
        <v>0</v>
      </c>
      <c r="I1776" s="34" t="n">
        <f aca="false">+IF(E1776=0,0,E1776*0.03)</f>
        <v>0</v>
      </c>
    </row>
    <row r="1777" customFormat="false" ht="15.75" hidden="false" customHeight="true" outlineLevel="0" collapsed="false">
      <c r="A1777" s="30" t="n">
        <v>45323</v>
      </c>
      <c r="B1777" s="31" t="s">
        <v>11</v>
      </c>
      <c r="C1777" s="32"/>
      <c r="D1777" s="32"/>
      <c r="E1777" s="19" t="n">
        <f aca="false">+IF(C1777="EQUIPO",F1777,0)</f>
        <v>0</v>
      </c>
      <c r="F1777" s="33" t="n">
        <v>0</v>
      </c>
      <c r="G1777" s="62"/>
      <c r="H1777" s="35" t="n">
        <v>0</v>
      </c>
      <c r="I1777" s="34" t="n">
        <f aca="false">+IF(E1777=0,0,E1777*0.03)</f>
        <v>0</v>
      </c>
    </row>
    <row r="1778" customFormat="false" ht="15.75" hidden="false" customHeight="true" outlineLevel="0" collapsed="false">
      <c r="A1778" s="30" t="n">
        <v>45323</v>
      </c>
      <c r="B1778" s="31" t="s">
        <v>11</v>
      </c>
      <c r="C1778" s="32"/>
      <c r="D1778" s="32"/>
      <c r="E1778" s="19" t="n">
        <f aca="false">+IF(C1778="EQUIPO",F1778,0)</f>
        <v>0</v>
      </c>
      <c r="F1778" s="33" t="n">
        <v>0</v>
      </c>
      <c r="G1778" s="62"/>
      <c r="H1778" s="35" t="n">
        <v>0</v>
      </c>
      <c r="I1778" s="34" t="n">
        <f aca="false">+IF(E1778=0,0,E1778*0.03)</f>
        <v>0</v>
      </c>
    </row>
    <row r="1779" customFormat="false" ht="15.75" hidden="false" customHeight="true" outlineLevel="0" collapsed="false">
      <c r="A1779" s="30" t="n">
        <v>45323</v>
      </c>
      <c r="B1779" s="31" t="s">
        <v>11</v>
      </c>
      <c r="C1779" s="32"/>
      <c r="D1779" s="32"/>
      <c r="E1779" s="19" t="n">
        <f aca="false">+IF(C1779="EQUIPO",F1779,0)</f>
        <v>0</v>
      </c>
      <c r="F1779" s="33" t="n">
        <v>0</v>
      </c>
      <c r="G1779" s="62"/>
      <c r="H1779" s="35" t="n">
        <v>0</v>
      </c>
      <c r="I1779" s="34" t="n">
        <f aca="false">+IF(E1779=0,0,E1779*0.03)</f>
        <v>0</v>
      </c>
    </row>
    <row r="1780" customFormat="false" ht="15.75" hidden="false" customHeight="true" outlineLevel="0" collapsed="false">
      <c r="A1780" s="30" t="n">
        <v>45323</v>
      </c>
      <c r="B1780" s="31" t="s">
        <v>11</v>
      </c>
      <c r="C1780" s="32"/>
      <c r="D1780" s="32"/>
      <c r="E1780" s="19" t="n">
        <f aca="false">+IF(C1780="EQUIPO",F1780,0)</f>
        <v>0</v>
      </c>
      <c r="F1780" s="33" t="n">
        <v>0</v>
      </c>
      <c r="G1780" s="62"/>
      <c r="H1780" s="35" t="n">
        <v>0</v>
      </c>
      <c r="I1780" s="34" t="n">
        <f aca="false">+IF(E1780=0,0,E1780*0.03)</f>
        <v>0</v>
      </c>
    </row>
    <row r="1781" customFormat="false" ht="15.75" hidden="false" customHeight="true" outlineLevel="0" collapsed="false">
      <c r="A1781" s="30" t="n">
        <v>45323</v>
      </c>
      <c r="B1781" s="31" t="s">
        <v>11</v>
      </c>
      <c r="C1781" s="32"/>
      <c r="D1781" s="32"/>
      <c r="E1781" s="19" t="n">
        <f aca="false">+IF(C1781="EQUIPO",F1781,0)</f>
        <v>0</v>
      </c>
      <c r="F1781" s="33" t="n">
        <v>0</v>
      </c>
      <c r="G1781" s="62"/>
      <c r="H1781" s="35" t="n">
        <v>0</v>
      </c>
      <c r="I1781" s="34" t="n">
        <f aca="false">+IF(E1781=0,0,E1781*0.03)</f>
        <v>0</v>
      </c>
    </row>
    <row r="1782" customFormat="false" ht="15.75" hidden="false" customHeight="true" outlineLevel="0" collapsed="false">
      <c r="A1782" s="30" t="n">
        <v>45323</v>
      </c>
      <c r="B1782" s="31" t="s">
        <v>11</v>
      </c>
      <c r="C1782" s="32"/>
      <c r="D1782" s="32"/>
      <c r="E1782" s="19" t="n">
        <f aca="false">+IF(C1782="EQUIPO",F1782,0)</f>
        <v>0</v>
      </c>
      <c r="F1782" s="33" t="n">
        <v>0</v>
      </c>
      <c r="G1782" s="62"/>
      <c r="H1782" s="35" t="n">
        <v>0</v>
      </c>
      <c r="I1782" s="34" t="n">
        <f aca="false">+IF(E1782=0,0,E1782*0.03)</f>
        <v>0</v>
      </c>
    </row>
    <row r="1783" customFormat="false" ht="15.75" hidden="false" customHeight="true" outlineLevel="0" collapsed="false">
      <c r="A1783" s="30" t="n">
        <v>45323</v>
      </c>
      <c r="B1783" s="31" t="s">
        <v>11</v>
      </c>
      <c r="C1783" s="32"/>
      <c r="D1783" s="32"/>
      <c r="E1783" s="19" t="n">
        <f aca="false">+IF(C1783="EQUIPO",F1783,0)</f>
        <v>0</v>
      </c>
      <c r="F1783" s="33" t="n">
        <v>0</v>
      </c>
      <c r="G1783" s="62"/>
      <c r="H1783" s="35" t="n">
        <v>0</v>
      </c>
      <c r="I1783" s="34" t="n">
        <f aca="false">+IF(E1783=0,0,E1783*0.03)</f>
        <v>0</v>
      </c>
    </row>
    <row r="1784" customFormat="false" ht="15.75" hidden="false" customHeight="true" outlineLevel="0" collapsed="false">
      <c r="A1784" s="30" t="n">
        <v>45323</v>
      </c>
      <c r="B1784" s="31" t="s">
        <v>11</v>
      </c>
      <c r="C1784" s="32"/>
      <c r="D1784" s="32"/>
      <c r="E1784" s="19" t="n">
        <f aca="false">+IF(C1784="EQUIPO",F1784,0)</f>
        <v>0</v>
      </c>
      <c r="F1784" s="33" t="n">
        <v>0</v>
      </c>
      <c r="G1784" s="62"/>
      <c r="H1784" s="35" t="n">
        <v>0</v>
      </c>
      <c r="I1784" s="34" t="n">
        <f aca="false">+IF(E1784=0,0,E1784*0.03)</f>
        <v>0</v>
      </c>
    </row>
    <row r="1785" customFormat="false" ht="15.75" hidden="false" customHeight="true" outlineLevel="0" collapsed="false">
      <c r="A1785" s="30" t="n">
        <v>45323</v>
      </c>
      <c r="B1785" s="31" t="s">
        <v>11</v>
      </c>
      <c r="C1785" s="32"/>
      <c r="D1785" s="32"/>
      <c r="E1785" s="19" t="n">
        <f aca="false">+IF(C1785="EQUIPO",F1785,0)</f>
        <v>0</v>
      </c>
      <c r="F1785" s="33" t="n">
        <v>0</v>
      </c>
      <c r="G1785" s="62"/>
      <c r="H1785" s="35" t="n">
        <v>0</v>
      </c>
      <c r="I1785" s="34" t="n">
        <f aca="false">+IF(E1785=0,0,E1785*0.03)</f>
        <v>0</v>
      </c>
    </row>
    <row r="1786" customFormat="false" ht="15.75" hidden="false" customHeight="true" outlineLevel="0" collapsed="false">
      <c r="A1786" s="30" t="n">
        <v>45323</v>
      </c>
      <c r="B1786" s="31" t="s">
        <v>11</v>
      </c>
      <c r="C1786" s="32"/>
      <c r="D1786" s="32"/>
      <c r="E1786" s="19" t="n">
        <f aca="false">+IF(C1786="EQUIPO",F1786,0)</f>
        <v>0</v>
      </c>
      <c r="F1786" s="33" t="n">
        <v>0</v>
      </c>
      <c r="G1786" s="62"/>
      <c r="H1786" s="35" t="n">
        <v>0</v>
      </c>
      <c r="I1786" s="34" t="n">
        <f aca="false">+IF(E1786=0,0,E1786*0.03)</f>
        <v>0</v>
      </c>
    </row>
    <row r="1787" customFormat="false" ht="15.75" hidden="false" customHeight="true" outlineLevel="0" collapsed="false">
      <c r="A1787" s="30" t="n">
        <v>45323</v>
      </c>
      <c r="B1787" s="31" t="s">
        <v>11</v>
      </c>
      <c r="C1787" s="32"/>
      <c r="D1787" s="32"/>
      <c r="E1787" s="19" t="n">
        <f aca="false">+IF(C1787="EQUIPO",F1787,0)</f>
        <v>0</v>
      </c>
      <c r="F1787" s="33" t="n">
        <v>0</v>
      </c>
      <c r="G1787" s="62"/>
      <c r="H1787" s="35" t="n">
        <v>0</v>
      </c>
      <c r="I1787" s="34" t="n">
        <f aca="false">+IF(E1787=0,0,E1787*0.03)</f>
        <v>0</v>
      </c>
    </row>
    <row r="1788" customFormat="false" ht="15.75" hidden="false" customHeight="true" outlineLevel="0" collapsed="false">
      <c r="A1788" s="30" t="n">
        <v>45323</v>
      </c>
      <c r="B1788" s="31" t="s">
        <v>11</v>
      </c>
      <c r="C1788" s="32"/>
      <c r="D1788" s="32"/>
      <c r="E1788" s="19" t="n">
        <f aca="false">+IF(C1788="EQUIPO",F1788,0)</f>
        <v>0</v>
      </c>
      <c r="F1788" s="33" t="n">
        <v>0</v>
      </c>
      <c r="G1788" s="62"/>
      <c r="H1788" s="35" t="n">
        <v>0</v>
      </c>
      <c r="I1788" s="34" t="n">
        <f aca="false">+IF(E1788=0,0,E1788*0.03)</f>
        <v>0</v>
      </c>
    </row>
    <row r="1789" customFormat="false" ht="15.75" hidden="false" customHeight="true" outlineLevel="0" collapsed="false">
      <c r="A1789" s="30" t="n">
        <v>45323</v>
      </c>
      <c r="B1789" s="31" t="s">
        <v>11</v>
      </c>
      <c r="C1789" s="32"/>
      <c r="D1789" s="32"/>
      <c r="E1789" s="19" t="n">
        <f aca="false">+IF(C1789="EQUIPO",F1789,0)</f>
        <v>0</v>
      </c>
      <c r="F1789" s="33" t="n">
        <v>0</v>
      </c>
      <c r="G1789" s="62"/>
      <c r="H1789" s="35" t="n">
        <v>0</v>
      </c>
      <c r="I1789" s="34" t="n">
        <f aca="false">+IF(E1789=0,0,E1789*0.03)</f>
        <v>0</v>
      </c>
    </row>
    <row r="1790" customFormat="false" ht="15.75" hidden="false" customHeight="true" outlineLevel="0" collapsed="false">
      <c r="A1790" s="30" t="n">
        <v>45323</v>
      </c>
      <c r="B1790" s="31" t="s">
        <v>11</v>
      </c>
      <c r="C1790" s="32"/>
      <c r="D1790" s="32"/>
      <c r="E1790" s="19" t="n">
        <f aca="false">+IF(C1790="EQUIPO",F1790,0)</f>
        <v>0</v>
      </c>
      <c r="F1790" s="33" t="n">
        <v>0</v>
      </c>
      <c r="G1790" s="62"/>
      <c r="H1790" s="35" t="n">
        <v>0</v>
      </c>
      <c r="I1790" s="34" t="n">
        <f aca="false">+IF(E1790=0,0,E1790*0.03)</f>
        <v>0</v>
      </c>
    </row>
    <row r="1791" customFormat="false" ht="15.75" hidden="false" customHeight="true" outlineLevel="0" collapsed="false">
      <c r="A1791" s="30" t="n">
        <v>45323</v>
      </c>
      <c r="B1791" s="31" t="s">
        <v>11</v>
      </c>
      <c r="C1791" s="32"/>
      <c r="D1791" s="32"/>
      <c r="E1791" s="19" t="n">
        <f aca="false">+IF(C1791="EQUIPO",F1791,0)</f>
        <v>0</v>
      </c>
      <c r="F1791" s="33" t="n">
        <v>0</v>
      </c>
      <c r="G1791" s="62"/>
      <c r="H1791" s="35" t="n">
        <v>0</v>
      </c>
      <c r="I1791" s="34" t="n">
        <f aca="false">+IF(E1791=0,0,E1791*0.03)</f>
        <v>0</v>
      </c>
    </row>
    <row r="1792" customFormat="false" ht="15.75" hidden="false" customHeight="true" outlineLevel="0" collapsed="false">
      <c r="A1792" s="30" t="n">
        <v>45323</v>
      </c>
      <c r="B1792" s="31" t="s">
        <v>11</v>
      </c>
      <c r="C1792" s="32"/>
      <c r="D1792" s="32"/>
      <c r="E1792" s="19" t="n">
        <f aca="false">+IF(C1792="EQUIPO",F1792,0)</f>
        <v>0</v>
      </c>
      <c r="F1792" s="33" t="n">
        <v>0</v>
      </c>
      <c r="G1792" s="62"/>
      <c r="H1792" s="35" t="n">
        <v>0</v>
      </c>
      <c r="I1792" s="34" t="n">
        <f aca="false">+IF(E1792=0,0,E1792*0.03)</f>
        <v>0</v>
      </c>
    </row>
    <row r="1793" customFormat="false" ht="15.75" hidden="false" customHeight="true" outlineLevel="0" collapsed="false">
      <c r="A1793" s="30" t="n">
        <v>45323</v>
      </c>
      <c r="B1793" s="31" t="s">
        <v>11</v>
      </c>
      <c r="C1793" s="32"/>
      <c r="D1793" s="32"/>
      <c r="E1793" s="19" t="n">
        <f aca="false">+IF(C1793="EQUIPO",F1793,0)</f>
        <v>0</v>
      </c>
      <c r="F1793" s="33" t="n">
        <v>0</v>
      </c>
      <c r="G1793" s="62"/>
      <c r="H1793" s="35" t="n">
        <v>0</v>
      </c>
      <c r="I1793" s="34" t="n">
        <f aca="false">+IF(E1793=0,0,E1793*0.03)</f>
        <v>0</v>
      </c>
    </row>
    <row r="1794" customFormat="false" ht="15.75" hidden="false" customHeight="true" outlineLevel="0" collapsed="false">
      <c r="A1794" s="30" t="n">
        <v>45323</v>
      </c>
      <c r="B1794" s="31" t="s">
        <v>11</v>
      </c>
      <c r="C1794" s="32"/>
      <c r="D1794" s="32"/>
      <c r="E1794" s="19" t="n">
        <f aca="false">+IF(C1794="EQUIPO",F1794,0)</f>
        <v>0</v>
      </c>
      <c r="F1794" s="33" t="n">
        <v>0</v>
      </c>
      <c r="G1794" s="62"/>
      <c r="H1794" s="35" t="n">
        <v>0</v>
      </c>
      <c r="I1794" s="34" t="n">
        <f aca="false">+IF(E1794=0,0,E1794*0.03)</f>
        <v>0</v>
      </c>
    </row>
    <row r="1795" customFormat="false" ht="15.75" hidden="false" customHeight="true" outlineLevel="0" collapsed="false">
      <c r="A1795" s="30" t="n">
        <v>45323</v>
      </c>
      <c r="B1795" s="31" t="s">
        <v>11</v>
      </c>
      <c r="C1795" s="32"/>
      <c r="D1795" s="32"/>
      <c r="E1795" s="19" t="n">
        <f aca="false">+IF(C1795="EQUIPO",F1795,0)</f>
        <v>0</v>
      </c>
      <c r="F1795" s="33" t="n">
        <v>0</v>
      </c>
      <c r="G1795" s="62"/>
      <c r="H1795" s="35" t="n">
        <v>0</v>
      </c>
      <c r="I1795" s="34" t="n">
        <f aca="false">+IF(E1795=0,0,E1795*0.03)</f>
        <v>0</v>
      </c>
    </row>
    <row r="1796" customFormat="false" ht="15.75" hidden="false" customHeight="true" outlineLevel="0" collapsed="false">
      <c r="A1796" s="30" t="n">
        <v>45323</v>
      </c>
      <c r="B1796" s="31" t="s">
        <v>11</v>
      </c>
      <c r="C1796" s="32"/>
      <c r="D1796" s="32"/>
      <c r="E1796" s="19" t="n">
        <f aca="false">+IF(C1796="EQUIPO",F1796,0)</f>
        <v>0</v>
      </c>
      <c r="F1796" s="33" t="n">
        <v>0</v>
      </c>
      <c r="G1796" s="62"/>
      <c r="H1796" s="35" t="n">
        <v>0</v>
      </c>
      <c r="I1796" s="34" t="n">
        <f aca="false">+IF(E1796=0,0,E1796*0.03)</f>
        <v>0</v>
      </c>
    </row>
    <row r="1797" customFormat="false" ht="15.75" hidden="false" customHeight="true" outlineLevel="0" collapsed="false">
      <c r="A1797" s="30" t="n">
        <v>45323</v>
      </c>
      <c r="B1797" s="31" t="s">
        <v>11</v>
      </c>
      <c r="C1797" s="32"/>
      <c r="D1797" s="32"/>
      <c r="E1797" s="19" t="n">
        <f aca="false">+IF(C1797="EQUIPO",F1797,0)</f>
        <v>0</v>
      </c>
      <c r="F1797" s="33" t="n">
        <v>0</v>
      </c>
      <c r="G1797" s="62"/>
      <c r="H1797" s="35" t="n">
        <v>0</v>
      </c>
      <c r="I1797" s="34" t="n">
        <f aca="false">+IF(E1797=0,0,E1797*0.03)</f>
        <v>0</v>
      </c>
    </row>
    <row r="1798" customFormat="false" ht="15.75" hidden="false" customHeight="true" outlineLevel="0" collapsed="false">
      <c r="A1798" s="30" t="n">
        <v>45323</v>
      </c>
      <c r="B1798" s="31" t="s">
        <v>11</v>
      </c>
      <c r="C1798" s="32"/>
      <c r="D1798" s="32"/>
      <c r="E1798" s="19" t="n">
        <f aca="false">+IF(C1798="EQUIPO",F1798,0)</f>
        <v>0</v>
      </c>
      <c r="F1798" s="33" t="n">
        <v>0</v>
      </c>
      <c r="G1798" s="62"/>
      <c r="H1798" s="35" t="n">
        <v>0</v>
      </c>
      <c r="I1798" s="34" t="n">
        <f aca="false">+IF(E1798=0,0,E1798*0.03)</f>
        <v>0</v>
      </c>
    </row>
    <row r="1799" customFormat="false" ht="15.75" hidden="false" customHeight="true" outlineLevel="0" collapsed="false">
      <c r="A1799" s="30" t="n">
        <v>45323</v>
      </c>
      <c r="B1799" s="31" t="s">
        <v>11</v>
      </c>
      <c r="C1799" s="32"/>
      <c r="D1799" s="32"/>
      <c r="E1799" s="19" t="n">
        <f aca="false">+IF(C1799="EQUIPO",F1799,0)</f>
        <v>0</v>
      </c>
      <c r="F1799" s="33" t="n">
        <v>0</v>
      </c>
      <c r="G1799" s="62"/>
      <c r="H1799" s="35" t="n">
        <v>0</v>
      </c>
      <c r="I1799" s="34" t="n">
        <f aca="false">+IF(E1799=0,0,E1799*0.03)</f>
        <v>0</v>
      </c>
    </row>
    <row r="1800" customFormat="false" ht="15.75" hidden="false" customHeight="true" outlineLevel="0" collapsed="false">
      <c r="A1800" s="30" t="n">
        <v>45323</v>
      </c>
      <c r="B1800" s="31" t="s">
        <v>11</v>
      </c>
      <c r="C1800" s="32"/>
      <c r="D1800" s="32"/>
      <c r="E1800" s="19" t="n">
        <f aca="false">+IF(C1800="EQUIPO",F1800,0)</f>
        <v>0</v>
      </c>
      <c r="F1800" s="33" t="n">
        <v>0</v>
      </c>
      <c r="G1800" s="62"/>
      <c r="H1800" s="35" t="n">
        <v>0</v>
      </c>
      <c r="I1800" s="34" t="n">
        <f aca="false">+IF(E1800=0,0,E1800*0.03)</f>
        <v>0</v>
      </c>
    </row>
    <row r="1801" customFormat="false" ht="15.75" hidden="false" customHeight="true" outlineLevel="0" collapsed="false">
      <c r="A1801" s="30" t="n">
        <v>45323</v>
      </c>
      <c r="B1801" s="31" t="s">
        <v>11</v>
      </c>
      <c r="C1801" s="32"/>
      <c r="D1801" s="32"/>
      <c r="E1801" s="19" t="n">
        <f aca="false">+IF(C1801="EQUIPO",F1801,0)</f>
        <v>0</v>
      </c>
      <c r="F1801" s="33" t="n">
        <v>0</v>
      </c>
      <c r="G1801" s="62"/>
      <c r="H1801" s="35" t="n">
        <v>0</v>
      </c>
      <c r="I1801" s="34" t="n">
        <f aca="false">+IF(E1801=0,0,E1801*0.03)</f>
        <v>0</v>
      </c>
    </row>
    <row r="1802" customFormat="false" ht="15.75" hidden="false" customHeight="true" outlineLevel="0" collapsed="false">
      <c r="A1802" s="30" t="n">
        <v>45323</v>
      </c>
      <c r="B1802" s="31" t="s">
        <v>11</v>
      </c>
      <c r="C1802" s="32"/>
      <c r="D1802" s="32"/>
      <c r="E1802" s="19" t="n">
        <f aca="false">+IF(C1802="EQUIPO",F1802,0)</f>
        <v>0</v>
      </c>
      <c r="F1802" s="33" t="n">
        <v>0</v>
      </c>
      <c r="G1802" s="62"/>
      <c r="H1802" s="35" t="n">
        <v>0</v>
      </c>
      <c r="I1802" s="34" t="n">
        <f aca="false">+IF(E1802=0,0,E1802*0.03)</f>
        <v>0</v>
      </c>
    </row>
    <row r="1803" customFormat="false" ht="15.75" hidden="false" customHeight="true" outlineLevel="0" collapsed="false">
      <c r="A1803" s="30" t="n">
        <v>45323</v>
      </c>
      <c r="B1803" s="31" t="s">
        <v>11</v>
      </c>
      <c r="C1803" s="32"/>
      <c r="D1803" s="32"/>
      <c r="E1803" s="19" t="n">
        <f aca="false">+IF(C1803="EQUIPO",F1803,0)</f>
        <v>0</v>
      </c>
      <c r="F1803" s="33" t="n">
        <v>0</v>
      </c>
      <c r="G1803" s="62"/>
      <c r="H1803" s="35" t="n">
        <v>0</v>
      </c>
      <c r="I1803" s="34" t="n">
        <f aca="false">+IF(E1803=0,0,E1803*0.03)</f>
        <v>0</v>
      </c>
    </row>
    <row r="1804" customFormat="false" ht="15.75" hidden="false" customHeight="true" outlineLevel="0" collapsed="false">
      <c r="A1804" s="30" t="n">
        <v>45323</v>
      </c>
      <c r="B1804" s="31" t="s">
        <v>11</v>
      </c>
      <c r="C1804" s="32"/>
      <c r="D1804" s="32"/>
      <c r="E1804" s="19" t="n">
        <f aca="false">+IF(C1804="EQUIPO",F1804,0)</f>
        <v>0</v>
      </c>
      <c r="F1804" s="33" t="n">
        <v>0</v>
      </c>
      <c r="G1804" s="62"/>
      <c r="H1804" s="35" t="n">
        <v>0</v>
      </c>
      <c r="I1804" s="34" t="n">
        <f aca="false">+IF(E1804=0,0,E1804*0.03)</f>
        <v>0</v>
      </c>
    </row>
    <row r="1805" customFormat="false" ht="15.75" hidden="false" customHeight="true" outlineLevel="0" collapsed="false">
      <c r="A1805" s="30" t="n">
        <v>45323</v>
      </c>
      <c r="B1805" s="31" t="s">
        <v>11</v>
      </c>
      <c r="C1805" s="32"/>
      <c r="D1805" s="32"/>
      <c r="E1805" s="19" t="n">
        <f aca="false">+IF(C1805="EQUIPO",F1805,0)</f>
        <v>0</v>
      </c>
      <c r="F1805" s="33" t="n">
        <v>0</v>
      </c>
      <c r="G1805" s="62"/>
      <c r="H1805" s="35" t="n">
        <v>0</v>
      </c>
      <c r="I1805" s="34" t="n">
        <f aca="false">+IF(E1805=0,0,E1805*0.03)</f>
        <v>0</v>
      </c>
    </row>
    <row r="1806" customFormat="false" ht="15.75" hidden="false" customHeight="true" outlineLevel="0" collapsed="false">
      <c r="A1806" s="30" t="n">
        <v>45323</v>
      </c>
      <c r="B1806" s="31" t="s">
        <v>11</v>
      </c>
      <c r="C1806" s="32"/>
      <c r="D1806" s="32"/>
      <c r="E1806" s="19" t="n">
        <f aca="false">+IF(C1806="EQUIPO",F1806,0)</f>
        <v>0</v>
      </c>
      <c r="F1806" s="33" t="n">
        <v>0</v>
      </c>
      <c r="G1806" s="62"/>
      <c r="H1806" s="35" t="n">
        <v>0</v>
      </c>
      <c r="I1806" s="34" t="n">
        <f aca="false">+IF(E1806=0,0,E1806*0.03)</f>
        <v>0</v>
      </c>
    </row>
    <row r="1807" customFormat="false" ht="15.75" hidden="false" customHeight="true" outlineLevel="0" collapsed="false">
      <c r="A1807" s="30" t="n">
        <v>45323</v>
      </c>
      <c r="B1807" s="31" t="s">
        <v>11</v>
      </c>
      <c r="C1807" s="32"/>
      <c r="D1807" s="32"/>
      <c r="E1807" s="19" t="n">
        <f aca="false">+IF(C1807="EQUIPO",F1807,0)</f>
        <v>0</v>
      </c>
      <c r="F1807" s="33" t="n">
        <v>0</v>
      </c>
      <c r="G1807" s="62"/>
      <c r="H1807" s="35" t="n">
        <v>0</v>
      </c>
      <c r="I1807" s="34" t="n">
        <f aca="false">+IF(E1807=0,0,E1807*0.03)</f>
        <v>0</v>
      </c>
    </row>
    <row r="1808" customFormat="false" ht="15.75" hidden="false" customHeight="true" outlineLevel="0" collapsed="false">
      <c r="A1808" s="30" t="n">
        <v>45323</v>
      </c>
      <c r="B1808" s="31" t="s">
        <v>11</v>
      </c>
      <c r="C1808" s="32"/>
      <c r="D1808" s="32"/>
      <c r="E1808" s="19" t="n">
        <f aca="false">+IF(C1808="EQUIPO",F1808,0)</f>
        <v>0</v>
      </c>
      <c r="F1808" s="33" t="n">
        <v>0</v>
      </c>
      <c r="G1808" s="62"/>
      <c r="H1808" s="35" t="n">
        <v>0</v>
      </c>
      <c r="I1808" s="34" t="n">
        <f aca="false">+IF(E1808=0,0,E1808*0.03)</f>
        <v>0</v>
      </c>
    </row>
    <row r="1809" customFormat="false" ht="15.75" hidden="false" customHeight="true" outlineLevel="0" collapsed="false">
      <c r="A1809" s="30" t="n">
        <v>45323</v>
      </c>
      <c r="B1809" s="31" t="s">
        <v>11</v>
      </c>
      <c r="C1809" s="32"/>
      <c r="D1809" s="32"/>
      <c r="E1809" s="19" t="n">
        <f aca="false">+IF(C1809="EQUIPO",F1809,0)</f>
        <v>0</v>
      </c>
      <c r="F1809" s="33" t="n">
        <v>0</v>
      </c>
      <c r="G1809" s="62"/>
      <c r="H1809" s="35" t="n">
        <v>0</v>
      </c>
      <c r="I1809" s="34" t="n">
        <f aca="false">+IF(E1809=0,0,E1809*0.03)</f>
        <v>0</v>
      </c>
    </row>
    <row r="1810" customFormat="false" ht="15.75" hidden="false" customHeight="true" outlineLevel="0" collapsed="false">
      <c r="A1810" s="30" t="n">
        <v>45323</v>
      </c>
      <c r="B1810" s="31" t="s">
        <v>11</v>
      </c>
      <c r="C1810" s="32"/>
      <c r="D1810" s="32"/>
      <c r="E1810" s="19" t="n">
        <f aca="false">+IF(C1810="EQUIPO",F1810,0)</f>
        <v>0</v>
      </c>
      <c r="F1810" s="33" t="n">
        <v>0</v>
      </c>
      <c r="G1810" s="62"/>
      <c r="H1810" s="35" t="n">
        <v>0</v>
      </c>
      <c r="I1810" s="34" t="n">
        <f aca="false">+IF(E1810=0,0,E1810*0.03)</f>
        <v>0</v>
      </c>
    </row>
    <row r="1811" customFormat="false" ht="15.75" hidden="false" customHeight="true" outlineLevel="0" collapsed="false">
      <c r="A1811" s="30" t="n">
        <v>45323</v>
      </c>
      <c r="B1811" s="31" t="s">
        <v>11</v>
      </c>
      <c r="C1811" s="32"/>
      <c r="D1811" s="32"/>
      <c r="E1811" s="19" t="n">
        <f aca="false">+IF(C1811="EQUIPO",F1811,0)</f>
        <v>0</v>
      </c>
      <c r="F1811" s="33" t="n">
        <v>0</v>
      </c>
      <c r="G1811" s="62"/>
      <c r="H1811" s="35" t="n">
        <v>0</v>
      </c>
      <c r="I1811" s="34" t="n">
        <f aca="false">+IF(E1811=0,0,E1811*0.03)</f>
        <v>0</v>
      </c>
    </row>
    <row r="1812" customFormat="false" ht="15.75" hidden="false" customHeight="true" outlineLevel="0" collapsed="false">
      <c r="A1812" s="30" t="n">
        <v>45323</v>
      </c>
      <c r="B1812" s="31" t="s">
        <v>11</v>
      </c>
      <c r="C1812" s="32"/>
      <c r="D1812" s="32"/>
      <c r="E1812" s="19" t="n">
        <f aca="false">+IF(C1812="EQUIPO",F1812,0)</f>
        <v>0</v>
      </c>
      <c r="F1812" s="33" t="n">
        <v>0</v>
      </c>
      <c r="G1812" s="62"/>
      <c r="H1812" s="35" t="n">
        <v>0</v>
      </c>
      <c r="I1812" s="34" t="n">
        <f aca="false">+IF(E1812=0,0,E1812*0.03)</f>
        <v>0</v>
      </c>
    </row>
    <row r="1813" customFormat="false" ht="15.75" hidden="false" customHeight="true" outlineLevel="0" collapsed="false">
      <c r="A1813" s="30" t="n">
        <v>45323</v>
      </c>
      <c r="B1813" s="31" t="s">
        <v>11</v>
      </c>
      <c r="C1813" s="32"/>
      <c r="D1813" s="32"/>
      <c r="E1813" s="19" t="n">
        <f aca="false">+IF(C1813="EQUIPO",F1813,0)</f>
        <v>0</v>
      </c>
      <c r="F1813" s="33" t="n">
        <v>0</v>
      </c>
      <c r="G1813" s="62"/>
      <c r="H1813" s="35" t="n">
        <v>0</v>
      </c>
      <c r="I1813" s="34" t="n">
        <f aca="false">+IF(E1813=0,0,E1813*0.03)</f>
        <v>0</v>
      </c>
    </row>
    <row r="1814" customFormat="false" ht="15.75" hidden="false" customHeight="true" outlineLevel="0" collapsed="false">
      <c r="A1814" s="30" t="n">
        <v>45323</v>
      </c>
      <c r="B1814" s="31" t="s">
        <v>11</v>
      </c>
      <c r="C1814" s="32"/>
      <c r="D1814" s="32"/>
      <c r="E1814" s="19" t="n">
        <f aca="false">+IF(C1814="EQUIPO",F1814,0)</f>
        <v>0</v>
      </c>
      <c r="F1814" s="33" t="n">
        <v>0</v>
      </c>
      <c r="G1814" s="62"/>
      <c r="H1814" s="35" t="n">
        <v>0</v>
      </c>
      <c r="I1814" s="34" t="n">
        <f aca="false">+IF(E1814=0,0,E1814*0.03)</f>
        <v>0</v>
      </c>
    </row>
    <row r="1815" customFormat="false" ht="15.75" hidden="false" customHeight="true" outlineLevel="0" collapsed="false">
      <c r="A1815" s="30" t="n">
        <v>45323</v>
      </c>
      <c r="B1815" s="31" t="s">
        <v>11</v>
      </c>
      <c r="C1815" s="32"/>
      <c r="D1815" s="32"/>
      <c r="E1815" s="19" t="n">
        <f aca="false">+IF(C1815="EQUIPO",F1815,0)</f>
        <v>0</v>
      </c>
      <c r="F1815" s="33" t="n">
        <v>0</v>
      </c>
      <c r="G1815" s="62"/>
      <c r="H1815" s="35" t="n">
        <v>0</v>
      </c>
      <c r="I1815" s="34" t="n">
        <f aca="false">+IF(E1815=0,0,E1815*0.03)</f>
        <v>0</v>
      </c>
    </row>
    <row r="1816" customFormat="false" ht="15.75" hidden="false" customHeight="true" outlineLevel="0" collapsed="false">
      <c r="A1816" s="30" t="n">
        <v>45323</v>
      </c>
      <c r="B1816" s="31" t="s">
        <v>11</v>
      </c>
      <c r="C1816" s="32"/>
      <c r="D1816" s="32"/>
      <c r="E1816" s="19" t="n">
        <f aca="false">+IF(C1816="EQUIPO",F1816,0)</f>
        <v>0</v>
      </c>
      <c r="F1816" s="33" t="n">
        <v>0</v>
      </c>
      <c r="G1816" s="62"/>
      <c r="H1816" s="35" t="n">
        <v>0</v>
      </c>
      <c r="I1816" s="34" t="n">
        <f aca="false">+IF(E1816=0,0,E1816*0.03)</f>
        <v>0</v>
      </c>
    </row>
    <row r="1817" customFormat="false" ht="15.75" hidden="false" customHeight="true" outlineLevel="0" collapsed="false">
      <c r="A1817" s="30" t="n">
        <v>45323</v>
      </c>
      <c r="B1817" s="31" t="s">
        <v>11</v>
      </c>
      <c r="C1817" s="32"/>
      <c r="D1817" s="32"/>
      <c r="E1817" s="19" t="n">
        <f aca="false">+IF(C1817="EQUIPO",F1817,0)</f>
        <v>0</v>
      </c>
      <c r="F1817" s="33" t="n">
        <v>0</v>
      </c>
      <c r="G1817" s="62"/>
      <c r="H1817" s="35" t="n">
        <v>0</v>
      </c>
      <c r="I1817" s="34" t="n">
        <f aca="false">+IF(E1817=0,0,E1817*0.03)</f>
        <v>0</v>
      </c>
    </row>
    <row r="1818" customFormat="false" ht="15.75" hidden="false" customHeight="true" outlineLevel="0" collapsed="false">
      <c r="A1818" s="30" t="n">
        <v>45323</v>
      </c>
      <c r="B1818" s="31" t="s">
        <v>11</v>
      </c>
      <c r="C1818" s="32"/>
      <c r="D1818" s="32"/>
      <c r="E1818" s="19" t="n">
        <f aca="false">+IF(C1818="EQUIPO",F1818,0)</f>
        <v>0</v>
      </c>
      <c r="F1818" s="33" t="n">
        <v>0</v>
      </c>
      <c r="G1818" s="62"/>
      <c r="H1818" s="35" t="n">
        <v>0</v>
      </c>
      <c r="I1818" s="34" t="n">
        <f aca="false">+IF(E1818=0,0,E1818*0.03)</f>
        <v>0</v>
      </c>
    </row>
    <row r="1819" customFormat="false" ht="15.75" hidden="false" customHeight="true" outlineLevel="0" collapsed="false">
      <c r="A1819" s="30" t="n">
        <v>45323</v>
      </c>
      <c r="B1819" s="31" t="s">
        <v>11</v>
      </c>
      <c r="C1819" s="32"/>
      <c r="D1819" s="32"/>
      <c r="E1819" s="19" t="n">
        <f aca="false">+IF(C1819="EQUIPO",F1819,0)</f>
        <v>0</v>
      </c>
      <c r="F1819" s="33" t="n">
        <v>0</v>
      </c>
      <c r="G1819" s="62"/>
      <c r="H1819" s="35" t="n">
        <v>0</v>
      </c>
      <c r="I1819" s="34" t="n">
        <f aca="false">+IF(E1819=0,0,E1819*0.03)</f>
        <v>0</v>
      </c>
    </row>
    <row r="1820" customFormat="false" ht="15.75" hidden="false" customHeight="true" outlineLevel="0" collapsed="false">
      <c r="A1820" s="30" t="n">
        <v>45323</v>
      </c>
      <c r="B1820" s="31" t="s">
        <v>11</v>
      </c>
      <c r="C1820" s="32"/>
      <c r="D1820" s="32"/>
      <c r="E1820" s="19" t="n">
        <f aca="false">+IF(C1820="EQUIPO",F1820,0)</f>
        <v>0</v>
      </c>
      <c r="F1820" s="33" t="n">
        <v>0</v>
      </c>
      <c r="G1820" s="62"/>
      <c r="H1820" s="35" t="n">
        <v>0</v>
      </c>
      <c r="I1820" s="34" t="n">
        <f aca="false">+IF(E1820=0,0,E1820*0.03)</f>
        <v>0</v>
      </c>
    </row>
    <row r="1821" customFormat="false" ht="15.75" hidden="false" customHeight="true" outlineLevel="0" collapsed="false">
      <c r="A1821" s="30" t="n">
        <v>45323</v>
      </c>
      <c r="B1821" s="31" t="s">
        <v>11</v>
      </c>
      <c r="C1821" s="32"/>
      <c r="D1821" s="32"/>
      <c r="E1821" s="19" t="n">
        <f aca="false">+IF(C1821="EQUIPO",F1821,0)</f>
        <v>0</v>
      </c>
      <c r="F1821" s="33" t="n">
        <v>0</v>
      </c>
      <c r="G1821" s="62"/>
      <c r="H1821" s="35" t="n">
        <v>0</v>
      </c>
      <c r="I1821" s="34" t="n">
        <f aca="false">+IF(E1821=0,0,E1821*0.03)</f>
        <v>0</v>
      </c>
    </row>
    <row r="1822" customFormat="false" ht="15.75" hidden="false" customHeight="true" outlineLevel="0" collapsed="false">
      <c r="A1822" s="30" t="n">
        <v>45323</v>
      </c>
      <c r="B1822" s="31" t="s">
        <v>11</v>
      </c>
      <c r="C1822" s="32"/>
      <c r="D1822" s="32"/>
      <c r="E1822" s="19" t="n">
        <f aca="false">+IF(C1822="EQUIPO",F1822,0)</f>
        <v>0</v>
      </c>
      <c r="F1822" s="33" t="n">
        <v>0</v>
      </c>
      <c r="G1822" s="62"/>
      <c r="H1822" s="35" t="n">
        <v>0</v>
      </c>
      <c r="I1822" s="34" t="n">
        <f aca="false">+IF(E1822=0,0,E1822*0.03)</f>
        <v>0</v>
      </c>
    </row>
    <row r="1823" customFormat="false" ht="15.75" hidden="false" customHeight="true" outlineLevel="0" collapsed="false">
      <c r="A1823" s="30" t="n">
        <v>45323</v>
      </c>
      <c r="B1823" s="31" t="s">
        <v>11</v>
      </c>
      <c r="C1823" s="32"/>
      <c r="D1823" s="32"/>
      <c r="E1823" s="19" t="n">
        <f aca="false">+IF(C1823="EQUIPO",F1823,0)</f>
        <v>0</v>
      </c>
      <c r="F1823" s="33" t="n">
        <v>0</v>
      </c>
      <c r="G1823" s="62"/>
      <c r="H1823" s="35" t="n">
        <v>0</v>
      </c>
      <c r="I1823" s="34" t="n">
        <f aca="false">+IF(E1823=0,0,E1823*0.03)</f>
        <v>0</v>
      </c>
    </row>
    <row r="1824" customFormat="false" ht="15.75" hidden="false" customHeight="true" outlineLevel="0" collapsed="false">
      <c r="A1824" s="30" t="n">
        <v>45323</v>
      </c>
      <c r="B1824" s="31" t="s">
        <v>11</v>
      </c>
      <c r="C1824" s="32"/>
      <c r="D1824" s="32"/>
      <c r="E1824" s="19" t="n">
        <f aca="false">+IF(C1824="EQUIPO",F1824,0)</f>
        <v>0</v>
      </c>
      <c r="F1824" s="33" t="n">
        <v>0</v>
      </c>
      <c r="G1824" s="62"/>
      <c r="H1824" s="35" t="n">
        <v>0</v>
      </c>
      <c r="I1824" s="34" t="n">
        <f aca="false">+IF(E1824=0,0,E1824*0.03)</f>
        <v>0</v>
      </c>
    </row>
    <row r="1825" customFormat="false" ht="15.75" hidden="false" customHeight="true" outlineLevel="0" collapsed="false">
      <c r="A1825" s="30" t="n">
        <v>45323</v>
      </c>
      <c r="B1825" s="31" t="s">
        <v>11</v>
      </c>
      <c r="C1825" s="32"/>
      <c r="D1825" s="32"/>
      <c r="E1825" s="19" t="n">
        <f aca="false">+IF(C1825="EQUIPO",F1825,0)</f>
        <v>0</v>
      </c>
      <c r="F1825" s="33" t="n">
        <v>0</v>
      </c>
      <c r="G1825" s="62"/>
      <c r="H1825" s="35" t="n">
        <v>0</v>
      </c>
      <c r="I1825" s="34" t="n">
        <f aca="false">+IF(E1825=0,0,E1825*0.03)</f>
        <v>0</v>
      </c>
    </row>
    <row r="1826" customFormat="false" ht="15.75" hidden="false" customHeight="true" outlineLevel="0" collapsed="false">
      <c r="A1826" s="30" t="n">
        <v>45323</v>
      </c>
      <c r="B1826" s="31" t="s">
        <v>11</v>
      </c>
      <c r="C1826" s="32"/>
      <c r="D1826" s="32"/>
      <c r="E1826" s="19" t="n">
        <f aca="false">+IF(C1826="EQUIPO",F1826,0)</f>
        <v>0</v>
      </c>
      <c r="F1826" s="33" t="n">
        <v>0</v>
      </c>
      <c r="G1826" s="62"/>
      <c r="H1826" s="35" t="n">
        <v>0</v>
      </c>
      <c r="I1826" s="34" t="n">
        <f aca="false">+IF(E1826=0,0,E1826*0.03)</f>
        <v>0</v>
      </c>
    </row>
    <row r="1827" customFormat="false" ht="15.75" hidden="false" customHeight="true" outlineLevel="0" collapsed="false">
      <c r="A1827" s="30" t="n">
        <v>45323</v>
      </c>
      <c r="B1827" s="31" t="s">
        <v>11</v>
      </c>
      <c r="C1827" s="32"/>
      <c r="D1827" s="32"/>
      <c r="E1827" s="19" t="n">
        <f aca="false">+IF(C1827="EQUIPO",F1827,0)</f>
        <v>0</v>
      </c>
      <c r="F1827" s="33" t="n">
        <v>0</v>
      </c>
      <c r="G1827" s="62"/>
      <c r="H1827" s="35" t="n">
        <v>0</v>
      </c>
      <c r="I1827" s="34" t="n">
        <f aca="false">+IF(E1827=0,0,E1827*0.03)</f>
        <v>0</v>
      </c>
    </row>
    <row r="1828" customFormat="false" ht="15.75" hidden="false" customHeight="true" outlineLevel="0" collapsed="false">
      <c r="A1828" s="30" t="n">
        <v>45323</v>
      </c>
      <c r="B1828" s="31" t="s">
        <v>11</v>
      </c>
      <c r="C1828" s="32"/>
      <c r="D1828" s="32"/>
      <c r="E1828" s="19" t="n">
        <f aca="false">+IF(C1828="EQUIPO",F1828,0)</f>
        <v>0</v>
      </c>
      <c r="F1828" s="33" t="n">
        <v>0</v>
      </c>
      <c r="G1828" s="62"/>
      <c r="H1828" s="35" t="n">
        <v>0</v>
      </c>
      <c r="I1828" s="34" t="n">
        <f aca="false">+IF(E1828=0,0,E1828*0.03)</f>
        <v>0</v>
      </c>
    </row>
    <row r="1829" customFormat="false" ht="15.75" hidden="false" customHeight="true" outlineLevel="0" collapsed="false">
      <c r="A1829" s="30" t="n">
        <v>45323</v>
      </c>
      <c r="B1829" s="31" t="s">
        <v>11</v>
      </c>
      <c r="C1829" s="32"/>
      <c r="D1829" s="32"/>
      <c r="E1829" s="19" t="n">
        <f aca="false">+IF(C1829="EQUIPO",F1829,0)</f>
        <v>0</v>
      </c>
      <c r="F1829" s="33" t="n">
        <v>0</v>
      </c>
      <c r="G1829" s="62"/>
      <c r="H1829" s="35" t="n">
        <v>0</v>
      </c>
      <c r="I1829" s="34" t="n">
        <f aca="false">+IF(E1829=0,0,E1829*0.03)</f>
        <v>0</v>
      </c>
    </row>
    <row r="1830" customFormat="false" ht="15.75" hidden="false" customHeight="true" outlineLevel="0" collapsed="false">
      <c r="A1830" s="30" t="n">
        <v>45323</v>
      </c>
      <c r="B1830" s="31" t="s">
        <v>11</v>
      </c>
      <c r="C1830" s="32"/>
      <c r="D1830" s="32"/>
      <c r="E1830" s="19" t="n">
        <f aca="false">+IF(C1830="EQUIPO",F1830,0)</f>
        <v>0</v>
      </c>
      <c r="F1830" s="33" t="n">
        <v>0</v>
      </c>
      <c r="G1830" s="62"/>
      <c r="H1830" s="35" t="n">
        <v>0</v>
      </c>
      <c r="I1830" s="34" t="n">
        <f aca="false">+IF(E1830=0,0,E1830*0.03)</f>
        <v>0</v>
      </c>
    </row>
    <row r="1831" customFormat="false" ht="15.75" hidden="false" customHeight="true" outlineLevel="0" collapsed="false">
      <c r="A1831" s="30" t="n">
        <v>45323</v>
      </c>
      <c r="B1831" s="31" t="s">
        <v>11</v>
      </c>
      <c r="C1831" s="32"/>
      <c r="D1831" s="32"/>
      <c r="E1831" s="19" t="n">
        <f aca="false">+IF(C1831="EQUIPO",F1831,0)</f>
        <v>0</v>
      </c>
      <c r="F1831" s="33" t="n">
        <v>0</v>
      </c>
      <c r="G1831" s="62"/>
      <c r="H1831" s="35" t="n">
        <v>0</v>
      </c>
      <c r="I1831" s="34" t="n">
        <f aca="false">+IF(E1831=0,0,E1831*0.03)</f>
        <v>0</v>
      </c>
    </row>
    <row r="1832" customFormat="false" ht="15.75" hidden="false" customHeight="true" outlineLevel="0" collapsed="false">
      <c r="A1832" s="30" t="n">
        <v>45323</v>
      </c>
      <c r="B1832" s="31" t="s">
        <v>11</v>
      </c>
      <c r="C1832" s="32"/>
      <c r="D1832" s="32"/>
      <c r="E1832" s="19" t="n">
        <f aca="false">+IF(C1832="EQUIPO",F1832,0)</f>
        <v>0</v>
      </c>
      <c r="F1832" s="33" t="n">
        <v>0</v>
      </c>
      <c r="G1832" s="62"/>
      <c r="H1832" s="35" t="n">
        <v>0</v>
      </c>
      <c r="I1832" s="34" t="n">
        <f aca="false">+IF(E1832=0,0,E1832*0.03)</f>
        <v>0</v>
      </c>
    </row>
    <row r="1833" customFormat="false" ht="15.75" hidden="false" customHeight="true" outlineLevel="0" collapsed="false">
      <c r="A1833" s="30" t="n">
        <v>45323</v>
      </c>
      <c r="B1833" s="31" t="s">
        <v>11</v>
      </c>
      <c r="C1833" s="32"/>
      <c r="D1833" s="32"/>
      <c r="E1833" s="19" t="n">
        <f aca="false">+IF(C1833="EQUIPO",F1833,0)</f>
        <v>0</v>
      </c>
      <c r="F1833" s="33" t="n">
        <v>0</v>
      </c>
      <c r="G1833" s="62"/>
      <c r="H1833" s="35" t="n">
        <v>0</v>
      </c>
      <c r="I1833" s="34" t="n">
        <f aca="false">+IF(E1833=0,0,E1833*0.03)</f>
        <v>0</v>
      </c>
    </row>
    <row r="1834" customFormat="false" ht="15.75" hidden="false" customHeight="true" outlineLevel="0" collapsed="false">
      <c r="A1834" s="30" t="n">
        <v>45323</v>
      </c>
      <c r="B1834" s="31" t="s">
        <v>11</v>
      </c>
      <c r="C1834" s="32"/>
      <c r="D1834" s="32"/>
      <c r="E1834" s="19" t="n">
        <f aca="false">+IF(C1834="EQUIPO",F1834,0)</f>
        <v>0</v>
      </c>
      <c r="F1834" s="33" t="n">
        <v>0</v>
      </c>
      <c r="G1834" s="62"/>
      <c r="H1834" s="35" t="n">
        <v>0</v>
      </c>
      <c r="I1834" s="34" t="n">
        <f aca="false">+IF(E1834=0,0,E1834*0.03)</f>
        <v>0</v>
      </c>
    </row>
    <row r="1835" customFormat="false" ht="15.75" hidden="false" customHeight="true" outlineLevel="0" collapsed="false">
      <c r="A1835" s="30" t="n">
        <v>45323</v>
      </c>
      <c r="B1835" s="31" t="s">
        <v>11</v>
      </c>
      <c r="C1835" s="32"/>
      <c r="D1835" s="32"/>
      <c r="E1835" s="19" t="n">
        <f aca="false">+IF(C1835="EQUIPO",F1835,0)</f>
        <v>0</v>
      </c>
      <c r="F1835" s="33" t="n">
        <v>0</v>
      </c>
      <c r="G1835" s="62"/>
      <c r="H1835" s="35" t="n">
        <v>0</v>
      </c>
      <c r="I1835" s="34" t="n">
        <f aca="false">+IF(E1835=0,0,E1835*0.03)</f>
        <v>0</v>
      </c>
    </row>
    <row r="1836" customFormat="false" ht="15.75" hidden="false" customHeight="true" outlineLevel="0" collapsed="false">
      <c r="A1836" s="30" t="n">
        <v>45323</v>
      </c>
      <c r="B1836" s="31" t="s">
        <v>11</v>
      </c>
      <c r="C1836" s="32"/>
      <c r="D1836" s="32"/>
      <c r="E1836" s="19" t="n">
        <f aca="false">+IF(C1836="EQUIPO",F1836,0)</f>
        <v>0</v>
      </c>
      <c r="F1836" s="33" t="n">
        <v>0</v>
      </c>
      <c r="G1836" s="62"/>
      <c r="H1836" s="35" t="n">
        <v>0</v>
      </c>
      <c r="I1836" s="34" t="n">
        <f aca="false">+IF(E1836=0,0,E1836*0.03)</f>
        <v>0</v>
      </c>
    </row>
    <row r="1837" customFormat="false" ht="15.75" hidden="false" customHeight="true" outlineLevel="0" collapsed="false">
      <c r="A1837" s="30" t="n">
        <v>45323</v>
      </c>
      <c r="B1837" s="31" t="s">
        <v>11</v>
      </c>
      <c r="C1837" s="32"/>
      <c r="D1837" s="32"/>
      <c r="E1837" s="19" t="n">
        <f aca="false">+IF(C1837="EQUIPO",F1837,0)</f>
        <v>0</v>
      </c>
      <c r="F1837" s="33" t="n">
        <v>0</v>
      </c>
      <c r="G1837" s="62"/>
      <c r="H1837" s="35" t="n">
        <v>0</v>
      </c>
      <c r="I1837" s="34" t="n">
        <f aca="false">+IF(E1837=0,0,E1837*0.03)</f>
        <v>0</v>
      </c>
    </row>
    <row r="1838" customFormat="false" ht="15.75" hidden="false" customHeight="true" outlineLevel="0" collapsed="false">
      <c r="A1838" s="30" t="n">
        <v>45323</v>
      </c>
      <c r="B1838" s="31" t="s">
        <v>11</v>
      </c>
      <c r="C1838" s="32"/>
      <c r="D1838" s="32"/>
      <c r="E1838" s="19" t="n">
        <f aca="false">+IF(C1838="EQUIPO",F1838,0)</f>
        <v>0</v>
      </c>
      <c r="F1838" s="33" t="n">
        <v>0</v>
      </c>
      <c r="G1838" s="62"/>
      <c r="H1838" s="35" t="n">
        <v>0</v>
      </c>
      <c r="I1838" s="34" t="n">
        <f aca="false">+IF(E1838=0,0,E1838*0.03)</f>
        <v>0</v>
      </c>
    </row>
    <row r="1839" customFormat="false" ht="15.75" hidden="false" customHeight="true" outlineLevel="0" collapsed="false">
      <c r="A1839" s="30" t="n">
        <v>45323</v>
      </c>
      <c r="B1839" s="31" t="s">
        <v>11</v>
      </c>
      <c r="C1839" s="32"/>
      <c r="D1839" s="32"/>
      <c r="E1839" s="19" t="n">
        <f aca="false">+IF(C1839="EQUIPO",F1839,0)</f>
        <v>0</v>
      </c>
      <c r="F1839" s="33" t="n">
        <v>0</v>
      </c>
      <c r="G1839" s="62"/>
      <c r="H1839" s="35" t="n">
        <v>0</v>
      </c>
      <c r="I1839" s="34" t="n">
        <f aca="false">+IF(E1839=0,0,E1839*0.03)</f>
        <v>0</v>
      </c>
    </row>
    <row r="1840" customFormat="false" ht="15.75" hidden="false" customHeight="true" outlineLevel="0" collapsed="false">
      <c r="A1840" s="30" t="n">
        <v>45323</v>
      </c>
      <c r="B1840" s="31" t="s">
        <v>11</v>
      </c>
      <c r="C1840" s="32"/>
      <c r="D1840" s="32"/>
      <c r="E1840" s="19" t="n">
        <f aca="false">+IF(C1840="EQUIPO",F1840,0)</f>
        <v>0</v>
      </c>
      <c r="F1840" s="33" t="n">
        <v>0</v>
      </c>
      <c r="G1840" s="62"/>
      <c r="H1840" s="35" t="n">
        <v>0</v>
      </c>
      <c r="I1840" s="34" t="n">
        <f aca="false">+IF(E1840=0,0,E1840*0.03)</f>
        <v>0</v>
      </c>
    </row>
    <row r="1841" customFormat="false" ht="15.75" hidden="false" customHeight="true" outlineLevel="0" collapsed="false">
      <c r="A1841" s="30" t="n">
        <v>45323</v>
      </c>
      <c r="B1841" s="31" t="s">
        <v>11</v>
      </c>
      <c r="C1841" s="32"/>
      <c r="D1841" s="32"/>
      <c r="E1841" s="19" t="n">
        <f aca="false">+IF(C1841="EQUIPO",F1841,0)</f>
        <v>0</v>
      </c>
      <c r="F1841" s="33" t="n">
        <v>0</v>
      </c>
      <c r="G1841" s="62"/>
      <c r="H1841" s="35" t="n">
        <v>0</v>
      </c>
      <c r="I1841" s="34" t="n">
        <f aca="false">+IF(E1841=0,0,E1841*0.03)</f>
        <v>0</v>
      </c>
    </row>
    <row r="1842" customFormat="false" ht="15.75" hidden="false" customHeight="true" outlineLevel="0" collapsed="false">
      <c r="A1842" s="30" t="n">
        <v>45323</v>
      </c>
      <c r="B1842" s="31" t="s">
        <v>11</v>
      </c>
      <c r="C1842" s="32"/>
      <c r="D1842" s="32"/>
      <c r="E1842" s="19" t="n">
        <f aca="false">+IF(C1842="EQUIPO",F1842,0)</f>
        <v>0</v>
      </c>
      <c r="F1842" s="33" t="n">
        <v>0</v>
      </c>
      <c r="G1842" s="62"/>
      <c r="H1842" s="35" t="n">
        <v>0</v>
      </c>
      <c r="I1842" s="34" t="n">
        <f aca="false">+IF(E1842=0,0,E1842*0.03)</f>
        <v>0</v>
      </c>
    </row>
    <row r="1843" customFormat="false" ht="15.75" hidden="false" customHeight="true" outlineLevel="0" collapsed="false">
      <c r="A1843" s="30" t="n">
        <v>45323</v>
      </c>
      <c r="B1843" s="31" t="s">
        <v>11</v>
      </c>
      <c r="C1843" s="32"/>
      <c r="D1843" s="32"/>
      <c r="E1843" s="19" t="n">
        <f aca="false">+IF(C1843="EQUIPO",F1843,0)</f>
        <v>0</v>
      </c>
      <c r="F1843" s="33" t="n">
        <v>0</v>
      </c>
      <c r="G1843" s="62"/>
      <c r="H1843" s="35" t="n">
        <v>0</v>
      </c>
      <c r="I1843" s="34" t="n">
        <f aca="false">+IF(E1843=0,0,E1843*0.03)</f>
        <v>0</v>
      </c>
    </row>
    <row r="1844" customFormat="false" ht="15.75" hidden="false" customHeight="true" outlineLevel="0" collapsed="false">
      <c r="A1844" s="30" t="n">
        <v>45323</v>
      </c>
      <c r="B1844" s="31" t="s">
        <v>11</v>
      </c>
      <c r="C1844" s="32"/>
      <c r="D1844" s="32"/>
      <c r="E1844" s="19" t="n">
        <f aca="false">+IF(C1844="EQUIPO",F1844,0)</f>
        <v>0</v>
      </c>
      <c r="F1844" s="33" t="n">
        <v>0</v>
      </c>
      <c r="G1844" s="62"/>
      <c r="H1844" s="35" t="n">
        <v>0</v>
      </c>
      <c r="I1844" s="34" t="n">
        <f aca="false">+IF(E1844=0,0,E1844*0.03)</f>
        <v>0</v>
      </c>
    </row>
    <row r="1845" customFormat="false" ht="15.75" hidden="false" customHeight="true" outlineLevel="0" collapsed="false">
      <c r="A1845" s="30" t="n">
        <v>45323</v>
      </c>
      <c r="B1845" s="31" t="s">
        <v>11</v>
      </c>
      <c r="C1845" s="32"/>
      <c r="D1845" s="32"/>
      <c r="E1845" s="19" t="n">
        <f aca="false">+IF(C1845="EQUIPO",F1845,0)</f>
        <v>0</v>
      </c>
      <c r="F1845" s="33" t="n">
        <v>0</v>
      </c>
      <c r="G1845" s="62"/>
      <c r="H1845" s="35" t="n">
        <v>0</v>
      </c>
      <c r="I1845" s="34" t="n">
        <f aca="false">+IF(E1845=0,0,E1845*0.03)</f>
        <v>0</v>
      </c>
    </row>
    <row r="1846" customFormat="false" ht="15.75" hidden="false" customHeight="true" outlineLevel="0" collapsed="false">
      <c r="A1846" s="30" t="n">
        <v>45323</v>
      </c>
      <c r="B1846" s="31" t="s">
        <v>11</v>
      </c>
      <c r="C1846" s="32"/>
      <c r="D1846" s="32"/>
      <c r="E1846" s="19" t="n">
        <f aca="false">+IF(C1846="EQUIPO",F1846,0)</f>
        <v>0</v>
      </c>
      <c r="F1846" s="33" t="n">
        <v>0</v>
      </c>
      <c r="G1846" s="62"/>
      <c r="H1846" s="35" t="n">
        <v>0</v>
      </c>
      <c r="I1846" s="34" t="n">
        <f aca="false">+IF(E1846=0,0,E1846*0.03)</f>
        <v>0</v>
      </c>
    </row>
    <row r="1847" customFormat="false" ht="15.75" hidden="false" customHeight="true" outlineLevel="0" collapsed="false">
      <c r="A1847" s="30" t="n">
        <v>45323</v>
      </c>
      <c r="B1847" s="31" t="s">
        <v>11</v>
      </c>
      <c r="C1847" s="32"/>
      <c r="D1847" s="32"/>
      <c r="E1847" s="19" t="n">
        <f aca="false">+IF(C1847="EQUIPO",F1847,0)</f>
        <v>0</v>
      </c>
      <c r="F1847" s="33" t="n">
        <v>0</v>
      </c>
      <c r="G1847" s="62"/>
      <c r="H1847" s="35" t="n">
        <v>0</v>
      </c>
      <c r="I1847" s="34" t="n">
        <f aca="false">+IF(E1847=0,0,E1847*0.03)</f>
        <v>0</v>
      </c>
    </row>
    <row r="1848" customFormat="false" ht="15.75" hidden="false" customHeight="true" outlineLevel="0" collapsed="false">
      <c r="A1848" s="30" t="n">
        <v>45323</v>
      </c>
      <c r="B1848" s="31" t="s">
        <v>11</v>
      </c>
      <c r="C1848" s="32"/>
      <c r="D1848" s="32"/>
      <c r="E1848" s="19" t="n">
        <f aca="false">+IF(C1848="EQUIPO",F1848,0)</f>
        <v>0</v>
      </c>
      <c r="F1848" s="33" t="n">
        <v>0</v>
      </c>
      <c r="G1848" s="62"/>
      <c r="H1848" s="35" t="n">
        <v>0</v>
      </c>
      <c r="I1848" s="34" t="n">
        <f aca="false">+IF(E1848=0,0,E1848*0.03)</f>
        <v>0</v>
      </c>
    </row>
    <row r="1849" customFormat="false" ht="15.75" hidden="false" customHeight="true" outlineLevel="0" collapsed="false">
      <c r="A1849" s="30" t="n">
        <v>45323</v>
      </c>
      <c r="B1849" s="31" t="s">
        <v>11</v>
      </c>
      <c r="C1849" s="32"/>
      <c r="D1849" s="32"/>
      <c r="E1849" s="19" t="n">
        <f aca="false">+IF(C1849="EQUIPO",F1849,0)</f>
        <v>0</v>
      </c>
      <c r="F1849" s="33" t="n">
        <v>0</v>
      </c>
      <c r="G1849" s="62"/>
      <c r="H1849" s="35" t="n">
        <v>0</v>
      </c>
      <c r="I1849" s="34" t="n">
        <f aca="false">+IF(E1849=0,0,E1849*0.03)</f>
        <v>0</v>
      </c>
    </row>
    <row r="1850" customFormat="false" ht="15.75" hidden="false" customHeight="true" outlineLevel="0" collapsed="false">
      <c r="A1850" s="30" t="n">
        <v>45323</v>
      </c>
      <c r="B1850" s="31" t="s">
        <v>11</v>
      </c>
      <c r="C1850" s="32"/>
      <c r="D1850" s="32"/>
      <c r="E1850" s="19" t="n">
        <f aca="false">+IF(C1850="EQUIPO",F1850,0)</f>
        <v>0</v>
      </c>
      <c r="F1850" s="33" t="n">
        <v>0</v>
      </c>
      <c r="G1850" s="62"/>
      <c r="H1850" s="35" t="n">
        <v>0</v>
      </c>
      <c r="I1850" s="34" t="n">
        <f aca="false">+IF(E1850=0,0,E1850*0.03)</f>
        <v>0</v>
      </c>
    </row>
    <row r="1851" customFormat="false" ht="15.75" hidden="false" customHeight="true" outlineLevel="0" collapsed="false">
      <c r="A1851" s="30" t="n">
        <v>45323</v>
      </c>
      <c r="B1851" s="31" t="s">
        <v>11</v>
      </c>
      <c r="C1851" s="32"/>
      <c r="D1851" s="32"/>
      <c r="E1851" s="19" t="n">
        <f aca="false">+IF(C1851="EQUIPO",F1851,0)</f>
        <v>0</v>
      </c>
      <c r="F1851" s="33" t="n">
        <v>0</v>
      </c>
      <c r="G1851" s="62"/>
      <c r="H1851" s="35" t="n">
        <v>0</v>
      </c>
      <c r="I1851" s="34" t="n">
        <f aca="false">+IF(E1851=0,0,E1851*0.03)</f>
        <v>0</v>
      </c>
    </row>
    <row r="1852" customFormat="false" ht="15.75" hidden="false" customHeight="true" outlineLevel="0" collapsed="false">
      <c r="A1852" s="30" t="n">
        <v>45323</v>
      </c>
      <c r="B1852" s="31" t="s">
        <v>11</v>
      </c>
      <c r="C1852" s="32"/>
      <c r="D1852" s="32"/>
      <c r="E1852" s="19" t="n">
        <f aca="false">+IF(C1852="EQUIPO",F1852,0)</f>
        <v>0</v>
      </c>
      <c r="F1852" s="33" t="n">
        <v>0</v>
      </c>
      <c r="G1852" s="62"/>
      <c r="H1852" s="35" t="n">
        <v>0</v>
      </c>
      <c r="I1852" s="34" t="n">
        <f aca="false">+IF(E1852=0,0,E1852*0.03)</f>
        <v>0</v>
      </c>
    </row>
    <row r="1853" customFormat="false" ht="15.75" hidden="false" customHeight="true" outlineLevel="0" collapsed="false">
      <c r="A1853" s="30" t="n">
        <v>45323</v>
      </c>
      <c r="B1853" s="31" t="s">
        <v>11</v>
      </c>
      <c r="C1853" s="32"/>
      <c r="D1853" s="32"/>
      <c r="E1853" s="19" t="n">
        <f aca="false">+IF(C1853="EQUIPO",F1853,0)</f>
        <v>0</v>
      </c>
      <c r="F1853" s="33" t="n">
        <v>0</v>
      </c>
      <c r="G1853" s="62"/>
      <c r="H1853" s="35" t="n">
        <v>0</v>
      </c>
      <c r="I1853" s="34" t="n">
        <f aca="false">+IF(E1853=0,0,E1853*0.03)</f>
        <v>0</v>
      </c>
    </row>
    <row r="1854" customFormat="false" ht="15.75" hidden="false" customHeight="true" outlineLevel="0" collapsed="false">
      <c r="A1854" s="30" t="n">
        <v>45323</v>
      </c>
      <c r="B1854" s="31" t="s">
        <v>11</v>
      </c>
      <c r="C1854" s="32"/>
      <c r="D1854" s="32"/>
      <c r="E1854" s="19" t="n">
        <f aca="false">+IF(C1854="EQUIPO",F1854,0)</f>
        <v>0</v>
      </c>
      <c r="F1854" s="33" t="n">
        <v>0</v>
      </c>
      <c r="G1854" s="62"/>
      <c r="H1854" s="35" t="n">
        <v>0</v>
      </c>
      <c r="I1854" s="34" t="n">
        <f aca="false">+IF(E1854=0,0,E1854*0.03)</f>
        <v>0</v>
      </c>
    </row>
    <row r="1855" customFormat="false" ht="15.75" hidden="false" customHeight="true" outlineLevel="0" collapsed="false">
      <c r="A1855" s="30" t="n">
        <v>45323</v>
      </c>
      <c r="B1855" s="31" t="s">
        <v>11</v>
      </c>
      <c r="C1855" s="32"/>
      <c r="D1855" s="32"/>
      <c r="E1855" s="19" t="n">
        <f aca="false">+IF(C1855="EQUIPO",F1855,0)</f>
        <v>0</v>
      </c>
      <c r="F1855" s="33" t="n">
        <v>0</v>
      </c>
      <c r="G1855" s="62"/>
      <c r="H1855" s="35" t="n">
        <v>0</v>
      </c>
      <c r="I1855" s="34" t="n">
        <f aca="false">+IF(E1855=0,0,E1855*0.03)</f>
        <v>0</v>
      </c>
    </row>
    <row r="1856" customFormat="false" ht="15.75" hidden="false" customHeight="true" outlineLevel="0" collapsed="false">
      <c r="A1856" s="30" t="n">
        <v>45323</v>
      </c>
      <c r="B1856" s="31" t="s">
        <v>11</v>
      </c>
      <c r="C1856" s="32"/>
      <c r="D1856" s="32"/>
      <c r="E1856" s="19" t="n">
        <f aca="false">+IF(C1856="EQUIPO",F1856,0)</f>
        <v>0</v>
      </c>
      <c r="F1856" s="33" t="n">
        <v>0</v>
      </c>
      <c r="G1856" s="62"/>
      <c r="H1856" s="35" t="n">
        <v>0</v>
      </c>
      <c r="I1856" s="34" t="n">
        <f aca="false">+IF(E1856=0,0,E1856*0.03)</f>
        <v>0</v>
      </c>
    </row>
    <row r="1857" customFormat="false" ht="15.75" hidden="false" customHeight="true" outlineLevel="0" collapsed="false">
      <c r="A1857" s="30" t="n">
        <v>45323</v>
      </c>
      <c r="B1857" s="31" t="s">
        <v>11</v>
      </c>
      <c r="C1857" s="32"/>
      <c r="D1857" s="32"/>
      <c r="E1857" s="19" t="n">
        <f aca="false">+IF(C1857="EQUIPO",F1857,0)</f>
        <v>0</v>
      </c>
      <c r="F1857" s="33" t="n">
        <v>0</v>
      </c>
      <c r="G1857" s="62"/>
      <c r="H1857" s="35" t="n">
        <v>0</v>
      </c>
      <c r="I1857" s="34" t="n">
        <f aca="false">+IF(E1857=0,0,E1857*0.03)</f>
        <v>0</v>
      </c>
    </row>
    <row r="1858" customFormat="false" ht="15.75" hidden="false" customHeight="true" outlineLevel="0" collapsed="false">
      <c r="A1858" s="30" t="n">
        <v>45323</v>
      </c>
      <c r="B1858" s="31" t="s">
        <v>11</v>
      </c>
      <c r="C1858" s="32"/>
      <c r="D1858" s="32"/>
      <c r="E1858" s="19" t="n">
        <f aca="false">+IF(C1858="EQUIPO",F1858,0)</f>
        <v>0</v>
      </c>
      <c r="F1858" s="33" t="n">
        <v>0</v>
      </c>
      <c r="G1858" s="62"/>
      <c r="H1858" s="35" t="n">
        <v>0</v>
      </c>
      <c r="I1858" s="34" t="n">
        <f aca="false">+IF(E1858=0,0,E1858*0.03)</f>
        <v>0</v>
      </c>
    </row>
    <row r="1859" customFormat="false" ht="15.75" hidden="false" customHeight="true" outlineLevel="0" collapsed="false">
      <c r="A1859" s="30" t="n">
        <v>45323</v>
      </c>
      <c r="B1859" s="31" t="s">
        <v>11</v>
      </c>
      <c r="C1859" s="32"/>
      <c r="D1859" s="32"/>
      <c r="E1859" s="19" t="n">
        <f aca="false">+IF(C1859="EQUIPO",F1859,0)</f>
        <v>0</v>
      </c>
      <c r="F1859" s="33" t="n">
        <v>0</v>
      </c>
      <c r="G1859" s="62"/>
      <c r="H1859" s="35" t="n">
        <v>0</v>
      </c>
      <c r="I1859" s="34" t="n">
        <f aca="false">+IF(E1859=0,0,E1859*0.03)</f>
        <v>0</v>
      </c>
    </row>
    <row r="1860" customFormat="false" ht="15.75" hidden="false" customHeight="true" outlineLevel="0" collapsed="false">
      <c r="A1860" s="30" t="n">
        <v>45323</v>
      </c>
      <c r="B1860" s="31" t="s">
        <v>11</v>
      </c>
      <c r="C1860" s="32"/>
      <c r="D1860" s="32"/>
      <c r="E1860" s="19" t="n">
        <f aca="false">+IF(C1860="EQUIPO",F1860,0)</f>
        <v>0</v>
      </c>
      <c r="F1860" s="33" t="n">
        <v>0</v>
      </c>
      <c r="G1860" s="62"/>
      <c r="H1860" s="35" t="n">
        <v>0</v>
      </c>
      <c r="I1860" s="34" t="n">
        <f aca="false">+IF(E1860=0,0,E1860*0.03)</f>
        <v>0</v>
      </c>
    </row>
    <row r="1861" customFormat="false" ht="15.75" hidden="false" customHeight="true" outlineLevel="0" collapsed="false">
      <c r="A1861" s="30" t="n">
        <v>45323</v>
      </c>
      <c r="B1861" s="31" t="s">
        <v>11</v>
      </c>
      <c r="C1861" s="32"/>
      <c r="D1861" s="32"/>
      <c r="E1861" s="19" t="n">
        <f aca="false">+IF(C1861="EQUIPO",F1861,0)</f>
        <v>0</v>
      </c>
      <c r="F1861" s="33" t="n">
        <v>0</v>
      </c>
      <c r="G1861" s="62"/>
      <c r="H1861" s="35" t="n">
        <v>0</v>
      </c>
      <c r="I1861" s="34" t="n">
        <f aca="false">+IF(E1861=0,0,E1861*0.03)</f>
        <v>0</v>
      </c>
    </row>
    <row r="1862" customFormat="false" ht="15.75" hidden="false" customHeight="true" outlineLevel="0" collapsed="false">
      <c r="A1862" s="30" t="n">
        <v>45323</v>
      </c>
      <c r="B1862" s="31" t="s">
        <v>11</v>
      </c>
      <c r="C1862" s="32"/>
      <c r="D1862" s="32"/>
      <c r="E1862" s="19" t="n">
        <f aca="false">+IF(C1862="EQUIPO",F1862,0)</f>
        <v>0</v>
      </c>
      <c r="F1862" s="33" t="n">
        <v>0</v>
      </c>
      <c r="G1862" s="62"/>
      <c r="H1862" s="35" t="n">
        <v>0</v>
      </c>
      <c r="I1862" s="34" t="n">
        <f aca="false">+IF(E1862=0,0,E1862*0.03)</f>
        <v>0</v>
      </c>
    </row>
    <row r="1863" customFormat="false" ht="15.75" hidden="false" customHeight="true" outlineLevel="0" collapsed="false">
      <c r="A1863" s="30" t="n">
        <v>45323</v>
      </c>
      <c r="B1863" s="31" t="s">
        <v>11</v>
      </c>
      <c r="C1863" s="32"/>
      <c r="D1863" s="32"/>
      <c r="E1863" s="19" t="n">
        <f aca="false">+IF(C1863="EQUIPO",F1863,0)</f>
        <v>0</v>
      </c>
      <c r="F1863" s="33" t="n">
        <v>0</v>
      </c>
      <c r="G1863" s="62"/>
      <c r="H1863" s="35" t="n">
        <v>0</v>
      </c>
      <c r="I1863" s="34" t="n">
        <f aca="false">+IF(E1863=0,0,E1863*0.03)</f>
        <v>0</v>
      </c>
    </row>
    <row r="1864" customFormat="false" ht="15.75" hidden="false" customHeight="true" outlineLevel="0" collapsed="false">
      <c r="A1864" s="30" t="n">
        <v>45323</v>
      </c>
      <c r="B1864" s="31" t="s">
        <v>11</v>
      </c>
      <c r="C1864" s="32"/>
      <c r="D1864" s="32"/>
      <c r="E1864" s="19" t="n">
        <f aca="false">+IF(C1864="EQUIPO",F1864,0)</f>
        <v>0</v>
      </c>
      <c r="F1864" s="33" t="n">
        <v>0</v>
      </c>
      <c r="G1864" s="62"/>
      <c r="H1864" s="35" t="n">
        <v>0</v>
      </c>
      <c r="I1864" s="34" t="n">
        <f aca="false">+IF(E1864=0,0,E1864*0.03)</f>
        <v>0</v>
      </c>
    </row>
    <row r="1865" customFormat="false" ht="15.75" hidden="false" customHeight="true" outlineLevel="0" collapsed="false">
      <c r="A1865" s="30" t="n">
        <v>45323</v>
      </c>
      <c r="B1865" s="31" t="s">
        <v>11</v>
      </c>
      <c r="C1865" s="32"/>
      <c r="D1865" s="32"/>
      <c r="E1865" s="19" t="n">
        <f aca="false">+IF(C1865="EQUIPO",F1865,0)</f>
        <v>0</v>
      </c>
      <c r="F1865" s="33" t="n">
        <v>0</v>
      </c>
      <c r="G1865" s="62"/>
      <c r="H1865" s="35" t="n">
        <v>0</v>
      </c>
      <c r="I1865" s="34" t="n">
        <f aca="false">+IF(E1865=0,0,E1865*0.03)</f>
        <v>0</v>
      </c>
    </row>
    <row r="1866" customFormat="false" ht="15.75" hidden="false" customHeight="true" outlineLevel="0" collapsed="false">
      <c r="A1866" s="30" t="n">
        <v>45323</v>
      </c>
      <c r="B1866" s="31" t="s">
        <v>11</v>
      </c>
      <c r="C1866" s="32"/>
      <c r="D1866" s="32"/>
      <c r="E1866" s="19" t="n">
        <f aca="false">+IF(C1866="EQUIPO",F1866,0)</f>
        <v>0</v>
      </c>
      <c r="F1866" s="33" t="n">
        <v>0</v>
      </c>
      <c r="G1866" s="62"/>
      <c r="H1866" s="35" t="n">
        <v>0</v>
      </c>
      <c r="I1866" s="34" t="n">
        <f aca="false">+IF(E1866=0,0,E1866*0.03)</f>
        <v>0</v>
      </c>
    </row>
    <row r="1867" customFormat="false" ht="15.75" hidden="false" customHeight="true" outlineLevel="0" collapsed="false">
      <c r="A1867" s="30" t="n">
        <v>45323</v>
      </c>
      <c r="B1867" s="31" t="s">
        <v>11</v>
      </c>
      <c r="C1867" s="32"/>
      <c r="D1867" s="32"/>
      <c r="E1867" s="19" t="n">
        <f aca="false">+IF(C1867="EQUIPO",F1867,0)</f>
        <v>0</v>
      </c>
      <c r="F1867" s="33" t="n">
        <v>0</v>
      </c>
      <c r="G1867" s="62"/>
      <c r="H1867" s="35" t="n">
        <v>0</v>
      </c>
      <c r="I1867" s="34" t="n">
        <f aca="false">+IF(E1867=0,0,E1867*0.03)</f>
        <v>0</v>
      </c>
    </row>
    <row r="1868" customFormat="false" ht="15.75" hidden="false" customHeight="true" outlineLevel="0" collapsed="false">
      <c r="A1868" s="30" t="n">
        <v>45323</v>
      </c>
      <c r="B1868" s="31" t="s">
        <v>11</v>
      </c>
      <c r="C1868" s="32"/>
      <c r="D1868" s="32"/>
      <c r="E1868" s="19" t="n">
        <f aca="false">+IF(C1868="EQUIPO",F1868,0)</f>
        <v>0</v>
      </c>
      <c r="F1868" s="33" t="n">
        <v>0</v>
      </c>
      <c r="G1868" s="62"/>
      <c r="H1868" s="35" t="n">
        <v>0</v>
      </c>
      <c r="I1868" s="34" t="n">
        <f aca="false">+IF(E1868=0,0,E1868*0.03)</f>
        <v>0</v>
      </c>
    </row>
    <row r="1869" customFormat="false" ht="15.75" hidden="false" customHeight="true" outlineLevel="0" collapsed="false">
      <c r="A1869" s="30" t="n">
        <v>45323</v>
      </c>
      <c r="B1869" s="31" t="s">
        <v>11</v>
      </c>
      <c r="C1869" s="32"/>
      <c r="D1869" s="32"/>
      <c r="E1869" s="19" t="n">
        <f aca="false">+IF(C1869="EQUIPO",F1869,0)</f>
        <v>0</v>
      </c>
      <c r="F1869" s="33" t="n">
        <v>0</v>
      </c>
      <c r="G1869" s="62"/>
      <c r="H1869" s="35" t="n">
        <v>0</v>
      </c>
      <c r="I1869" s="34" t="n">
        <f aca="false">+IF(E1869=0,0,E1869*0.03)</f>
        <v>0</v>
      </c>
    </row>
    <row r="1870" customFormat="false" ht="15.75" hidden="false" customHeight="true" outlineLevel="0" collapsed="false">
      <c r="A1870" s="30" t="n">
        <v>45323</v>
      </c>
      <c r="B1870" s="31" t="s">
        <v>11</v>
      </c>
      <c r="C1870" s="32"/>
      <c r="D1870" s="32"/>
      <c r="E1870" s="19" t="n">
        <f aca="false">+IF(C1870="EQUIPO",F1870,0)</f>
        <v>0</v>
      </c>
      <c r="F1870" s="33" t="n">
        <v>0</v>
      </c>
      <c r="G1870" s="62"/>
      <c r="H1870" s="35" t="n">
        <v>0</v>
      </c>
      <c r="I1870" s="34" t="n">
        <f aca="false">+IF(E1870=0,0,E1870*0.03)</f>
        <v>0</v>
      </c>
    </row>
    <row r="1871" customFormat="false" ht="15.75" hidden="false" customHeight="true" outlineLevel="0" collapsed="false">
      <c r="A1871" s="30" t="n">
        <v>45323</v>
      </c>
      <c r="B1871" s="31" t="s">
        <v>11</v>
      </c>
      <c r="C1871" s="32"/>
      <c r="D1871" s="32"/>
      <c r="E1871" s="19" t="n">
        <f aca="false">+IF(C1871="EQUIPO",F1871,0)</f>
        <v>0</v>
      </c>
      <c r="F1871" s="33" t="n">
        <v>0</v>
      </c>
      <c r="G1871" s="62"/>
      <c r="H1871" s="35" t="n">
        <v>0</v>
      </c>
      <c r="I1871" s="34" t="n">
        <f aca="false">+IF(E1871=0,0,E1871*0.03)</f>
        <v>0</v>
      </c>
    </row>
    <row r="1872" customFormat="false" ht="15.75" hidden="false" customHeight="true" outlineLevel="0" collapsed="false">
      <c r="A1872" s="30" t="n">
        <v>45323</v>
      </c>
      <c r="B1872" s="31" t="s">
        <v>11</v>
      </c>
      <c r="C1872" s="32"/>
      <c r="D1872" s="32"/>
      <c r="E1872" s="19" t="n">
        <f aca="false">+IF(C1872="EQUIPO",F1872,0)</f>
        <v>0</v>
      </c>
      <c r="F1872" s="33" t="n">
        <v>0</v>
      </c>
      <c r="G1872" s="62"/>
      <c r="H1872" s="35" t="n">
        <v>0</v>
      </c>
      <c r="I1872" s="34" t="n">
        <f aca="false">+IF(E1872=0,0,E1872*0.03)</f>
        <v>0</v>
      </c>
    </row>
    <row r="1873" customFormat="false" ht="15.75" hidden="false" customHeight="true" outlineLevel="0" collapsed="false">
      <c r="A1873" s="30" t="n">
        <v>45323</v>
      </c>
      <c r="B1873" s="31" t="s">
        <v>11</v>
      </c>
      <c r="C1873" s="32"/>
      <c r="D1873" s="32"/>
      <c r="E1873" s="19" t="n">
        <f aca="false">+IF(C1873="EQUIPO",F1873,0)</f>
        <v>0</v>
      </c>
      <c r="F1873" s="33" t="n">
        <v>0</v>
      </c>
      <c r="G1873" s="62"/>
      <c r="H1873" s="35" t="n">
        <v>0</v>
      </c>
      <c r="I1873" s="34" t="n">
        <f aca="false">+IF(E1873=0,0,E1873*0.03)</f>
        <v>0</v>
      </c>
    </row>
    <row r="1874" customFormat="false" ht="15.75" hidden="false" customHeight="true" outlineLevel="0" collapsed="false">
      <c r="A1874" s="30" t="n">
        <v>45323</v>
      </c>
      <c r="B1874" s="31" t="s">
        <v>11</v>
      </c>
      <c r="C1874" s="32"/>
      <c r="D1874" s="32"/>
      <c r="E1874" s="19" t="n">
        <f aca="false">+IF(C1874="EQUIPO",F1874,0)</f>
        <v>0</v>
      </c>
      <c r="F1874" s="33" t="n">
        <v>0</v>
      </c>
      <c r="G1874" s="62"/>
      <c r="H1874" s="35" t="n">
        <v>0</v>
      </c>
      <c r="I1874" s="34" t="n">
        <f aca="false">+IF(E1874=0,0,E1874*0.03)</f>
        <v>0</v>
      </c>
    </row>
    <row r="1875" customFormat="false" ht="15.75" hidden="false" customHeight="true" outlineLevel="0" collapsed="false">
      <c r="A1875" s="30" t="n">
        <v>45323</v>
      </c>
      <c r="B1875" s="31" t="s">
        <v>11</v>
      </c>
      <c r="C1875" s="32"/>
      <c r="D1875" s="32"/>
      <c r="E1875" s="19" t="n">
        <f aca="false">+IF(C1875="EQUIPO",F1875,0)</f>
        <v>0</v>
      </c>
      <c r="F1875" s="33" t="n">
        <v>0</v>
      </c>
      <c r="G1875" s="62"/>
      <c r="H1875" s="35" t="n">
        <v>0</v>
      </c>
      <c r="I1875" s="34" t="n">
        <f aca="false">+IF(E1875=0,0,E1875*0.03)</f>
        <v>0</v>
      </c>
    </row>
    <row r="1876" customFormat="false" ht="15.75" hidden="false" customHeight="true" outlineLevel="0" collapsed="false">
      <c r="A1876" s="30" t="n">
        <v>45323</v>
      </c>
      <c r="B1876" s="31" t="s">
        <v>11</v>
      </c>
      <c r="C1876" s="32"/>
      <c r="D1876" s="32"/>
      <c r="E1876" s="19" t="n">
        <f aca="false">+IF(C1876="EQUIPO",F1876,0)</f>
        <v>0</v>
      </c>
      <c r="F1876" s="33" t="n">
        <v>0</v>
      </c>
      <c r="G1876" s="62"/>
      <c r="H1876" s="35" t="n">
        <v>0</v>
      </c>
      <c r="I1876" s="34" t="n">
        <f aca="false">+IF(E1876=0,0,E1876*0.03)</f>
        <v>0</v>
      </c>
    </row>
    <row r="1877" customFormat="false" ht="15.75" hidden="false" customHeight="true" outlineLevel="0" collapsed="false">
      <c r="A1877" s="30" t="n">
        <v>45323</v>
      </c>
      <c r="B1877" s="31" t="s">
        <v>11</v>
      </c>
      <c r="C1877" s="32"/>
      <c r="D1877" s="32"/>
      <c r="E1877" s="19" t="n">
        <f aca="false">+IF(C1877="EQUIPO",F1877,0)</f>
        <v>0</v>
      </c>
      <c r="F1877" s="33" t="n">
        <v>0</v>
      </c>
      <c r="G1877" s="62"/>
      <c r="H1877" s="35" t="n">
        <v>0</v>
      </c>
      <c r="I1877" s="34" t="n">
        <f aca="false">+IF(E1877=0,0,E1877*0.03)</f>
        <v>0</v>
      </c>
    </row>
    <row r="1878" customFormat="false" ht="15.75" hidden="false" customHeight="true" outlineLevel="0" collapsed="false">
      <c r="A1878" s="30" t="n">
        <v>45323</v>
      </c>
      <c r="B1878" s="31" t="s">
        <v>11</v>
      </c>
      <c r="C1878" s="32"/>
      <c r="D1878" s="32"/>
      <c r="E1878" s="19" t="n">
        <f aca="false">+IF(C1878="EQUIPO",F1878,0)</f>
        <v>0</v>
      </c>
      <c r="F1878" s="33" t="n">
        <v>0</v>
      </c>
      <c r="G1878" s="62"/>
      <c r="H1878" s="35" t="n">
        <v>0</v>
      </c>
      <c r="I1878" s="34" t="n">
        <f aca="false">+IF(E1878=0,0,E1878*0.03)</f>
        <v>0</v>
      </c>
    </row>
    <row r="1879" customFormat="false" ht="15.75" hidden="false" customHeight="true" outlineLevel="0" collapsed="false">
      <c r="A1879" s="30" t="n">
        <v>45323</v>
      </c>
      <c r="B1879" s="31" t="s">
        <v>11</v>
      </c>
      <c r="C1879" s="32"/>
      <c r="D1879" s="32"/>
      <c r="E1879" s="19" t="n">
        <f aca="false">+IF(C1879="EQUIPO",F1879,0)</f>
        <v>0</v>
      </c>
      <c r="F1879" s="33" t="n">
        <v>0</v>
      </c>
      <c r="G1879" s="62"/>
      <c r="H1879" s="35" t="n">
        <v>0</v>
      </c>
      <c r="I1879" s="34" t="n">
        <f aca="false">+IF(E1879=0,0,E1879*0.03)</f>
        <v>0</v>
      </c>
    </row>
    <row r="1880" customFormat="false" ht="15.75" hidden="false" customHeight="true" outlineLevel="0" collapsed="false">
      <c r="A1880" s="30" t="n">
        <v>45323</v>
      </c>
      <c r="B1880" s="31" t="s">
        <v>11</v>
      </c>
      <c r="C1880" s="32"/>
      <c r="D1880" s="32"/>
      <c r="E1880" s="19" t="n">
        <f aca="false">+IF(C1880="EQUIPO",F1880,0)</f>
        <v>0</v>
      </c>
      <c r="F1880" s="33" t="n">
        <v>0</v>
      </c>
      <c r="G1880" s="62"/>
      <c r="H1880" s="35" t="n">
        <v>0</v>
      </c>
      <c r="I1880" s="34" t="n">
        <f aca="false">+IF(E1880=0,0,E1880*0.03)</f>
        <v>0</v>
      </c>
    </row>
    <row r="1881" customFormat="false" ht="15.75" hidden="false" customHeight="true" outlineLevel="0" collapsed="false">
      <c r="A1881" s="30" t="n">
        <v>45323</v>
      </c>
      <c r="B1881" s="31" t="s">
        <v>11</v>
      </c>
      <c r="C1881" s="32"/>
      <c r="D1881" s="32"/>
      <c r="E1881" s="19" t="n">
        <f aca="false">+IF(C1881="EQUIPO",F1881,0)</f>
        <v>0</v>
      </c>
      <c r="F1881" s="33" t="n">
        <v>0</v>
      </c>
      <c r="G1881" s="62"/>
      <c r="H1881" s="35" t="n">
        <v>0</v>
      </c>
      <c r="I1881" s="34" t="n">
        <f aca="false">+IF(E1881=0,0,E1881*0.03)</f>
        <v>0</v>
      </c>
    </row>
    <row r="1882" customFormat="false" ht="15.75" hidden="false" customHeight="true" outlineLevel="0" collapsed="false">
      <c r="A1882" s="30" t="n">
        <v>45323</v>
      </c>
      <c r="B1882" s="31" t="s">
        <v>11</v>
      </c>
      <c r="C1882" s="32"/>
      <c r="D1882" s="32"/>
      <c r="E1882" s="19" t="n">
        <f aca="false">+IF(C1882="EQUIPO",F1882,0)</f>
        <v>0</v>
      </c>
      <c r="F1882" s="33" t="n">
        <v>0</v>
      </c>
      <c r="G1882" s="62"/>
      <c r="H1882" s="35" t="n">
        <v>0</v>
      </c>
      <c r="I1882" s="34" t="n">
        <f aca="false">+IF(E1882=0,0,E1882*0.03)</f>
        <v>0</v>
      </c>
    </row>
    <row r="1883" customFormat="false" ht="15.75" hidden="false" customHeight="true" outlineLevel="0" collapsed="false">
      <c r="A1883" s="30" t="n">
        <v>45323</v>
      </c>
      <c r="B1883" s="31" t="s">
        <v>11</v>
      </c>
      <c r="C1883" s="32"/>
      <c r="D1883" s="32"/>
      <c r="E1883" s="19" t="n">
        <f aca="false">+IF(C1883="EQUIPO",F1883,0)</f>
        <v>0</v>
      </c>
      <c r="F1883" s="33" t="n">
        <v>0</v>
      </c>
      <c r="G1883" s="62"/>
      <c r="H1883" s="35" t="n">
        <v>0</v>
      </c>
      <c r="I1883" s="34" t="n">
        <f aca="false">+IF(E1883=0,0,E1883*0.03)</f>
        <v>0</v>
      </c>
    </row>
    <row r="1884" customFormat="false" ht="15.75" hidden="false" customHeight="true" outlineLevel="0" collapsed="false">
      <c r="A1884" s="30" t="n">
        <v>45323</v>
      </c>
      <c r="B1884" s="31" t="s">
        <v>11</v>
      </c>
      <c r="C1884" s="32"/>
      <c r="D1884" s="32"/>
      <c r="E1884" s="19" t="n">
        <f aca="false">+IF(C1884="EQUIPO",F1884,0)</f>
        <v>0</v>
      </c>
      <c r="F1884" s="33" t="n">
        <v>0</v>
      </c>
      <c r="G1884" s="62"/>
      <c r="H1884" s="35" t="n">
        <v>0</v>
      </c>
      <c r="I1884" s="34" t="n">
        <f aca="false">+IF(E1884=0,0,E1884*0.03)</f>
        <v>0</v>
      </c>
    </row>
    <row r="1885" customFormat="false" ht="15.75" hidden="false" customHeight="true" outlineLevel="0" collapsed="false">
      <c r="A1885" s="30" t="n">
        <v>45323</v>
      </c>
      <c r="B1885" s="31" t="s">
        <v>11</v>
      </c>
      <c r="C1885" s="32"/>
      <c r="D1885" s="32"/>
      <c r="E1885" s="19" t="n">
        <f aca="false">+IF(C1885="EQUIPO",F1885,0)</f>
        <v>0</v>
      </c>
      <c r="F1885" s="33" t="n">
        <v>0</v>
      </c>
      <c r="G1885" s="62"/>
      <c r="H1885" s="35" t="n">
        <v>0</v>
      </c>
      <c r="I1885" s="34" t="n">
        <f aca="false">+IF(E1885=0,0,E1885*0.03)</f>
        <v>0</v>
      </c>
    </row>
    <row r="1886" customFormat="false" ht="15.75" hidden="false" customHeight="true" outlineLevel="0" collapsed="false">
      <c r="A1886" s="30" t="n">
        <v>45323</v>
      </c>
      <c r="B1886" s="31" t="s">
        <v>11</v>
      </c>
      <c r="C1886" s="32"/>
      <c r="D1886" s="32"/>
      <c r="E1886" s="19" t="n">
        <f aca="false">+IF(C1886="EQUIPO",F1886,0)</f>
        <v>0</v>
      </c>
      <c r="F1886" s="33" t="n">
        <v>0</v>
      </c>
      <c r="G1886" s="62"/>
      <c r="H1886" s="35" t="n">
        <v>0</v>
      </c>
      <c r="I1886" s="34" t="n">
        <f aca="false">+IF(E1886=0,0,E1886*0.03)</f>
        <v>0</v>
      </c>
    </row>
    <row r="1887" customFormat="false" ht="15.75" hidden="false" customHeight="true" outlineLevel="0" collapsed="false">
      <c r="A1887" s="30" t="n">
        <v>45323</v>
      </c>
      <c r="B1887" s="31" t="s">
        <v>11</v>
      </c>
      <c r="C1887" s="32"/>
      <c r="D1887" s="32"/>
      <c r="E1887" s="19" t="n">
        <f aca="false">+IF(C1887="EQUIPO",F1887,0)</f>
        <v>0</v>
      </c>
      <c r="F1887" s="33" t="n">
        <v>0</v>
      </c>
      <c r="G1887" s="62"/>
      <c r="H1887" s="35" t="n">
        <v>0</v>
      </c>
      <c r="I1887" s="34" t="n">
        <f aca="false">+IF(E1887=0,0,E1887*0.03)</f>
        <v>0</v>
      </c>
    </row>
    <row r="1888" customFormat="false" ht="15.75" hidden="false" customHeight="true" outlineLevel="0" collapsed="false">
      <c r="A1888" s="30" t="n">
        <v>45323</v>
      </c>
      <c r="B1888" s="31" t="s">
        <v>11</v>
      </c>
      <c r="C1888" s="32"/>
      <c r="D1888" s="32"/>
      <c r="E1888" s="19" t="n">
        <f aca="false">+IF(C1888="EQUIPO",F1888,0)</f>
        <v>0</v>
      </c>
      <c r="F1888" s="33" t="n">
        <v>0</v>
      </c>
      <c r="G1888" s="62"/>
      <c r="H1888" s="35" t="n">
        <v>0</v>
      </c>
      <c r="I1888" s="34" t="n">
        <f aca="false">+IF(E1888=0,0,E1888*0.03)</f>
        <v>0</v>
      </c>
    </row>
    <row r="1889" customFormat="false" ht="15.75" hidden="false" customHeight="true" outlineLevel="0" collapsed="false">
      <c r="A1889" s="30" t="n">
        <v>45323</v>
      </c>
      <c r="B1889" s="31" t="s">
        <v>11</v>
      </c>
      <c r="C1889" s="32"/>
      <c r="D1889" s="32"/>
      <c r="E1889" s="19" t="n">
        <f aca="false">+IF(C1889="EQUIPO",F1889,0)</f>
        <v>0</v>
      </c>
      <c r="F1889" s="33" t="n">
        <v>0</v>
      </c>
      <c r="G1889" s="62"/>
      <c r="H1889" s="35" t="n">
        <v>0</v>
      </c>
      <c r="I1889" s="34" t="n">
        <f aca="false">+IF(E1889=0,0,E1889*0.03)</f>
        <v>0</v>
      </c>
    </row>
    <row r="1890" customFormat="false" ht="15.75" hidden="false" customHeight="true" outlineLevel="0" collapsed="false">
      <c r="A1890" s="30" t="n">
        <v>45323</v>
      </c>
      <c r="B1890" s="31" t="s">
        <v>11</v>
      </c>
      <c r="C1890" s="32"/>
      <c r="D1890" s="32"/>
      <c r="E1890" s="19" t="n">
        <f aca="false">+IF(C1890="EQUIPO",F1890,0)</f>
        <v>0</v>
      </c>
      <c r="F1890" s="33" t="n">
        <v>0</v>
      </c>
      <c r="G1890" s="62"/>
      <c r="H1890" s="35" t="n">
        <v>0</v>
      </c>
      <c r="I1890" s="34" t="n">
        <f aca="false">+IF(E1890=0,0,E1890*0.03)</f>
        <v>0</v>
      </c>
    </row>
    <row r="1891" customFormat="false" ht="15.75" hidden="false" customHeight="true" outlineLevel="0" collapsed="false">
      <c r="A1891" s="30" t="n">
        <v>45323</v>
      </c>
      <c r="B1891" s="31" t="s">
        <v>11</v>
      </c>
      <c r="C1891" s="32"/>
      <c r="D1891" s="32"/>
      <c r="E1891" s="19" t="n">
        <f aca="false">+IF(C1891="EQUIPO",F1891,0)</f>
        <v>0</v>
      </c>
      <c r="F1891" s="33" t="n">
        <v>0</v>
      </c>
      <c r="G1891" s="62"/>
      <c r="H1891" s="35" t="n">
        <v>0</v>
      </c>
      <c r="I1891" s="34" t="n">
        <f aca="false">+IF(E1891=0,0,E1891*0.03)</f>
        <v>0</v>
      </c>
    </row>
    <row r="1892" customFormat="false" ht="15.75" hidden="false" customHeight="true" outlineLevel="0" collapsed="false">
      <c r="A1892" s="30" t="n">
        <v>45323</v>
      </c>
      <c r="B1892" s="31" t="s">
        <v>11</v>
      </c>
      <c r="C1892" s="32"/>
      <c r="D1892" s="32"/>
      <c r="E1892" s="19" t="n">
        <f aca="false">+IF(C1892="EQUIPO",F1892,0)</f>
        <v>0</v>
      </c>
      <c r="F1892" s="33" t="n">
        <v>0</v>
      </c>
      <c r="G1892" s="62"/>
      <c r="H1892" s="35" t="n">
        <v>0</v>
      </c>
      <c r="I1892" s="34" t="n">
        <f aca="false">+IF(E1892=0,0,E1892*0.03)</f>
        <v>0</v>
      </c>
    </row>
    <row r="1893" customFormat="false" ht="15.75" hidden="false" customHeight="true" outlineLevel="0" collapsed="false">
      <c r="A1893" s="30" t="n">
        <v>45323</v>
      </c>
      <c r="B1893" s="31" t="s">
        <v>11</v>
      </c>
      <c r="C1893" s="32"/>
      <c r="D1893" s="32"/>
      <c r="E1893" s="19" t="n">
        <f aca="false">+IF(C1893="EQUIPO",F1893,0)</f>
        <v>0</v>
      </c>
      <c r="F1893" s="33" t="n">
        <v>0</v>
      </c>
      <c r="G1893" s="62"/>
      <c r="H1893" s="35" t="n">
        <v>0</v>
      </c>
      <c r="I1893" s="34" t="n">
        <f aca="false">+IF(E1893=0,0,E1893*0.03)</f>
        <v>0</v>
      </c>
    </row>
    <row r="1894" customFormat="false" ht="15.75" hidden="false" customHeight="true" outlineLevel="0" collapsed="false">
      <c r="A1894" s="30" t="n">
        <v>45323</v>
      </c>
      <c r="B1894" s="31" t="s">
        <v>11</v>
      </c>
      <c r="C1894" s="32"/>
      <c r="D1894" s="32"/>
      <c r="E1894" s="19" t="n">
        <f aca="false">+IF(C1894="EQUIPO",F1894,0)</f>
        <v>0</v>
      </c>
      <c r="F1894" s="33" t="n">
        <v>0</v>
      </c>
      <c r="G1894" s="62"/>
      <c r="H1894" s="35" t="n">
        <v>0</v>
      </c>
      <c r="I1894" s="34" t="n">
        <f aca="false">+IF(E1894=0,0,E1894*0.03)</f>
        <v>0</v>
      </c>
    </row>
    <row r="1895" customFormat="false" ht="15.75" hidden="false" customHeight="true" outlineLevel="0" collapsed="false">
      <c r="A1895" s="30" t="n">
        <v>45323</v>
      </c>
      <c r="B1895" s="31" t="s">
        <v>11</v>
      </c>
      <c r="C1895" s="32"/>
      <c r="D1895" s="32"/>
      <c r="E1895" s="19" t="n">
        <f aca="false">+IF(C1895="EQUIPO",F1895,0)</f>
        <v>0</v>
      </c>
      <c r="F1895" s="33" t="n">
        <v>0</v>
      </c>
      <c r="G1895" s="62"/>
      <c r="H1895" s="35" t="n">
        <v>0</v>
      </c>
      <c r="I1895" s="34" t="n">
        <f aca="false">+IF(E1895=0,0,E1895*0.03)</f>
        <v>0</v>
      </c>
    </row>
    <row r="1896" customFormat="false" ht="15.75" hidden="false" customHeight="true" outlineLevel="0" collapsed="false">
      <c r="A1896" s="30" t="n">
        <v>45323</v>
      </c>
      <c r="B1896" s="31" t="s">
        <v>11</v>
      </c>
      <c r="C1896" s="32"/>
      <c r="D1896" s="32"/>
      <c r="E1896" s="19" t="n">
        <f aca="false">+IF(C1896="EQUIPO",F1896,0)</f>
        <v>0</v>
      </c>
      <c r="F1896" s="33" t="n">
        <v>0</v>
      </c>
      <c r="G1896" s="62"/>
      <c r="H1896" s="35" t="n">
        <v>0</v>
      </c>
      <c r="I1896" s="34" t="n">
        <f aca="false">+IF(E1896=0,0,E1896*0.03)</f>
        <v>0</v>
      </c>
    </row>
    <row r="1897" customFormat="false" ht="15.75" hidden="false" customHeight="true" outlineLevel="0" collapsed="false">
      <c r="A1897" s="30" t="n">
        <v>45323</v>
      </c>
      <c r="B1897" s="31" t="s">
        <v>11</v>
      </c>
      <c r="C1897" s="32"/>
      <c r="D1897" s="32"/>
      <c r="E1897" s="19" t="n">
        <f aca="false">+IF(C1897="EQUIPO",F1897,0)</f>
        <v>0</v>
      </c>
      <c r="F1897" s="33" t="n">
        <v>0</v>
      </c>
      <c r="G1897" s="62"/>
      <c r="H1897" s="35" t="n">
        <v>0</v>
      </c>
      <c r="I1897" s="34" t="n">
        <f aca="false">+IF(E1897=0,0,E1897*0.03)</f>
        <v>0</v>
      </c>
    </row>
    <row r="1898" customFormat="false" ht="15.75" hidden="false" customHeight="true" outlineLevel="0" collapsed="false">
      <c r="A1898" s="30" t="n">
        <v>45323</v>
      </c>
      <c r="B1898" s="31" t="s">
        <v>11</v>
      </c>
      <c r="C1898" s="32"/>
      <c r="D1898" s="32"/>
      <c r="E1898" s="19" t="n">
        <f aca="false">+IF(C1898="EQUIPO",F1898,0)</f>
        <v>0</v>
      </c>
      <c r="F1898" s="33" t="n">
        <v>0</v>
      </c>
      <c r="G1898" s="62"/>
      <c r="H1898" s="35" t="n">
        <v>0</v>
      </c>
      <c r="I1898" s="34" t="n">
        <f aca="false">+IF(E1898=0,0,E1898*0.03)</f>
        <v>0</v>
      </c>
    </row>
    <row r="1899" customFormat="false" ht="15.75" hidden="false" customHeight="true" outlineLevel="0" collapsed="false">
      <c r="A1899" s="30" t="n">
        <v>45323</v>
      </c>
      <c r="B1899" s="31" t="s">
        <v>11</v>
      </c>
      <c r="C1899" s="32"/>
      <c r="D1899" s="32"/>
      <c r="E1899" s="19" t="n">
        <f aca="false">+IF(C1899="EQUIPO",F1899,0)</f>
        <v>0</v>
      </c>
      <c r="F1899" s="33" t="n">
        <v>0</v>
      </c>
      <c r="G1899" s="62"/>
      <c r="H1899" s="35" t="n">
        <v>0</v>
      </c>
      <c r="I1899" s="34" t="n">
        <f aca="false">+IF(E1899=0,0,E1899*0.03)</f>
        <v>0</v>
      </c>
    </row>
    <row r="1900" customFormat="false" ht="15.75" hidden="false" customHeight="true" outlineLevel="0" collapsed="false">
      <c r="A1900" s="30" t="n">
        <v>45323</v>
      </c>
      <c r="B1900" s="31" t="s">
        <v>11</v>
      </c>
      <c r="C1900" s="32"/>
      <c r="D1900" s="32"/>
      <c r="E1900" s="19" t="n">
        <f aca="false">+IF(C1900="EQUIPO",F1900,0)</f>
        <v>0</v>
      </c>
      <c r="F1900" s="33" t="n">
        <v>0</v>
      </c>
      <c r="G1900" s="62"/>
      <c r="H1900" s="35" t="n">
        <v>0</v>
      </c>
      <c r="I1900" s="34" t="n">
        <f aca="false">+IF(E1900=0,0,E1900*0.03)</f>
        <v>0</v>
      </c>
    </row>
    <row r="1901" customFormat="false" ht="15.75" hidden="false" customHeight="true" outlineLevel="0" collapsed="false">
      <c r="A1901" s="30" t="n">
        <v>45323</v>
      </c>
      <c r="B1901" s="31" t="s">
        <v>11</v>
      </c>
      <c r="C1901" s="32"/>
      <c r="D1901" s="32"/>
      <c r="E1901" s="19" t="n">
        <f aca="false">+IF(C1901="EQUIPO",F1901,0)</f>
        <v>0</v>
      </c>
      <c r="F1901" s="33" t="n">
        <v>0</v>
      </c>
      <c r="G1901" s="62"/>
      <c r="H1901" s="35" t="n">
        <v>0</v>
      </c>
      <c r="I1901" s="34" t="n">
        <f aca="false">+IF(E1901=0,0,E1901*0.03)</f>
        <v>0</v>
      </c>
    </row>
    <row r="1902" customFormat="false" ht="15.75" hidden="false" customHeight="true" outlineLevel="0" collapsed="false">
      <c r="A1902" s="30" t="n">
        <v>45323</v>
      </c>
      <c r="B1902" s="31" t="s">
        <v>11</v>
      </c>
      <c r="C1902" s="32"/>
      <c r="D1902" s="32"/>
      <c r="E1902" s="19" t="n">
        <f aca="false">+IF(C1902="EQUIPO",F1902,0)</f>
        <v>0</v>
      </c>
      <c r="F1902" s="33" t="n">
        <v>0</v>
      </c>
      <c r="G1902" s="62"/>
      <c r="H1902" s="35" t="n">
        <v>0</v>
      </c>
      <c r="I1902" s="34" t="n">
        <f aca="false">+IF(E1902=0,0,E1902*0.03)</f>
        <v>0</v>
      </c>
    </row>
    <row r="1903" customFormat="false" ht="15.75" hidden="false" customHeight="true" outlineLevel="0" collapsed="false">
      <c r="A1903" s="30" t="n">
        <v>45323</v>
      </c>
      <c r="B1903" s="31" t="s">
        <v>11</v>
      </c>
      <c r="C1903" s="32"/>
      <c r="D1903" s="32"/>
      <c r="E1903" s="19" t="n">
        <f aca="false">+IF(C1903="EQUIPO",F1903,0)</f>
        <v>0</v>
      </c>
      <c r="F1903" s="33" t="n">
        <v>0</v>
      </c>
      <c r="G1903" s="62"/>
      <c r="H1903" s="35" t="n">
        <v>0</v>
      </c>
      <c r="I1903" s="34" t="n">
        <f aca="false">+IF(E1903=0,0,E1903*0.03)</f>
        <v>0</v>
      </c>
    </row>
    <row r="1904" customFormat="false" ht="15.75" hidden="false" customHeight="true" outlineLevel="0" collapsed="false">
      <c r="A1904" s="30" t="n">
        <v>45323</v>
      </c>
      <c r="B1904" s="31" t="s">
        <v>11</v>
      </c>
      <c r="C1904" s="32"/>
      <c r="D1904" s="32"/>
      <c r="E1904" s="19" t="n">
        <f aca="false">+IF(C1904="EQUIPO",F1904,0)</f>
        <v>0</v>
      </c>
      <c r="F1904" s="33" t="n">
        <v>0</v>
      </c>
      <c r="G1904" s="62"/>
      <c r="H1904" s="35" t="n">
        <v>0</v>
      </c>
      <c r="I1904" s="34" t="n">
        <f aca="false">+IF(E1904=0,0,E1904*0.03)</f>
        <v>0</v>
      </c>
    </row>
    <row r="1905" customFormat="false" ht="15.75" hidden="false" customHeight="true" outlineLevel="0" collapsed="false">
      <c r="A1905" s="30" t="n">
        <v>45323</v>
      </c>
      <c r="B1905" s="31" t="s">
        <v>11</v>
      </c>
      <c r="C1905" s="32"/>
      <c r="D1905" s="32"/>
      <c r="E1905" s="19" t="n">
        <f aca="false">+IF(C1905="EQUIPO",F1905,0)</f>
        <v>0</v>
      </c>
      <c r="F1905" s="33" t="n">
        <v>0</v>
      </c>
      <c r="G1905" s="62"/>
      <c r="H1905" s="35" t="n">
        <v>0</v>
      </c>
      <c r="I1905" s="34" t="n">
        <f aca="false">+IF(E1905=0,0,E1905*0.03)</f>
        <v>0</v>
      </c>
    </row>
    <row r="1906" customFormat="false" ht="15.75" hidden="false" customHeight="true" outlineLevel="0" collapsed="false">
      <c r="A1906" s="30" t="n">
        <v>45323</v>
      </c>
      <c r="B1906" s="31" t="s">
        <v>11</v>
      </c>
      <c r="C1906" s="32"/>
      <c r="D1906" s="32"/>
      <c r="E1906" s="19" t="n">
        <f aca="false">+IF(C1906="EQUIPO",F1906,0)</f>
        <v>0</v>
      </c>
      <c r="F1906" s="33" t="n">
        <v>0</v>
      </c>
      <c r="G1906" s="62"/>
      <c r="H1906" s="35" t="n">
        <v>0</v>
      </c>
      <c r="I1906" s="34" t="n">
        <f aca="false">+IF(E1906=0,0,E1906*0.03)</f>
        <v>0</v>
      </c>
    </row>
    <row r="1907" customFormat="false" ht="15.75" hidden="false" customHeight="true" outlineLevel="0" collapsed="false">
      <c r="A1907" s="30" t="n">
        <v>45323</v>
      </c>
      <c r="B1907" s="31" t="s">
        <v>11</v>
      </c>
      <c r="C1907" s="32"/>
      <c r="D1907" s="32"/>
      <c r="E1907" s="19" t="n">
        <f aca="false">+IF(C1907="EQUIPO",F1907,0)</f>
        <v>0</v>
      </c>
      <c r="F1907" s="33" t="n">
        <v>0</v>
      </c>
      <c r="G1907" s="62"/>
      <c r="H1907" s="35" t="n">
        <v>0</v>
      </c>
      <c r="I1907" s="34" t="n">
        <f aca="false">+IF(E1907=0,0,E1907*0.03)</f>
        <v>0</v>
      </c>
    </row>
    <row r="1908" customFormat="false" ht="15.75" hidden="false" customHeight="true" outlineLevel="0" collapsed="false">
      <c r="A1908" s="30" t="n">
        <v>45323</v>
      </c>
      <c r="B1908" s="31" t="s">
        <v>11</v>
      </c>
      <c r="C1908" s="32"/>
      <c r="D1908" s="32"/>
      <c r="E1908" s="19" t="n">
        <f aca="false">+IF(C1908="EQUIPO",F1908,0)</f>
        <v>0</v>
      </c>
      <c r="F1908" s="33" t="n">
        <v>0</v>
      </c>
      <c r="G1908" s="62"/>
      <c r="H1908" s="35" t="n">
        <v>0</v>
      </c>
      <c r="I1908" s="34" t="n">
        <f aca="false">+IF(E1908=0,0,E1908*0.03)</f>
        <v>0</v>
      </c>
    </row>
    <row r="1909" customFormat="false" ht="15.75" hidden="false" customHeight="true" outlineLevel="0" collapsed="false">
      <c r="A1909" s="30" t="n">
        <v>45323</v>
      </c>
      <c r="B1909" s="31" t="s">
        <v>11</v>
      </c>
      <c r="C1909" s="32"/>
      <c r="D1909" s="32"/>
      <c r="E1909" s="19" t="n">
        <f aca="false">+IF(C1909="EQUIPO",F1909,0)</f>
        <v>0</v>
      </c>
      <c r="F1909" s="33" t="n">
        <v>0</v>
      </c>
      <c r="G1909" s="62"/>
      <c r="H1909" s="35" t="n">
        <v>0</v>
      </c>
      <c r="I1909" s="34" t="n">
        <f aca="false">+IF(E1909=0,0,E1909*0.03)</f>
        <v>0</v>
      </c>
    </row>
    <row r="1910" customFormat="false" ht="15.75" hidden="false" customHeight="true" outlineLevel="0" collapsed="false">
      <c r="A1910" s="30" t="n">
        <v>45323</v>
      </c>
      <c r="B1910" s="31" t="s">
        <v>11</v>
      </c>
      <c r="C1910" s="32"/>
      <c r="D1910" s="32"/>
      <c r="E1910" s="19" t="n">
        <f aca="false">+IF(C1910="EQUIPO",F1910,0)</f>
        <v>0</v>
      </c>
      <c r="F1910" s="33" t="n">
        <v>0</v>
      </c>
      <c r="G1910" s="62"/>
      <c r="H1910" s="35" t="n">
        <v>0</v>
      </c>
      <c r="I1910" s="34" t="n">
        <f aca="false">+IF(E1910=0,0,E1910*0.03)</f>
        <v>0</v>
      </c>
    </row>
    <row r="1911" customFormat="false" ht="15.75" hidden="false" customHeight="true" outlineLevel="0" collapsed="false">
      <c r="A1911" s="30" t="n">
        <v>45323</v>
      </c>
      <c r="B1911" s="31" t="s">
        <v>11</v>
      </c>
      <c r="C1911" s="32"/>
      <c r="D1911" s="32"/>
      <c r="E1911" s="19" t="n">
        <f aca="false">+IF(C1911="EQUIPO",F1911,0)</f>
        <v>0</v>
      </c>
      <c r="F1911" s="33" t="n">
        <v>0</v>
      </c>
      <c r="G1911" s="62"/>
      <c r="H1911" s="35" t="n">
        <v>0</v>
      </c>
      <c r="I1911" s="34" t="n">
        <f aca="false">+IF(E1911=0,0,E1911*0.03)</f>
        <v>0</v>
      </c>
    </row>
    <row r="1912" customFormat="false" ht="15.75" hidden="false" customHeight="true" outlineLevel="0" collapsed="false">
      <c r="A1912" s="30" t="n">
        <v>45323</v>
      </c>
      <c r="B1912" s="31" t="s">
        <v>11</v>
      </c>
      <c r="C1912" s="32"/>
      <c r="D1912" s="32"/>
      <c r="E1912" s="19" t="n">
        <f aca="false">+IF(C1912="EQUIPO",F1912,0)</f>
        <v>0</v>
      </c>
      <c r="F1912" s="33" t="n">
        <v>0</v>
      </c>
      <c r="G1912" s="62"/>
      <c r="H1912" s="35" t="n">
        <v>0</v>
      </c>
      <c r="I1912" s="34" t="n">
        <f aca="false">+IF(E1912=0,0,E1912*0.03)</f>
        <v>0</v>
      </c>
    </row>
    <row r="1913" customFormat="false" ht="15.75" hidden="false" customHeight="true" outlineLevel="0" collapsed="false">
      <c r="A1913" s="30" t="n">
        <v>45323</v>
      </c>
      <c r="B1913" s="31" t="s">
        <v>11</v>
      </c>
      <c r="C1913" s="32"/>
      <c r="D1913" s="32"/>
      <c r="E1913" s="19" t="n">
        <f aca="false">+IF(C1913="EQUIPO",F1913,0)</f>
        <v>0</v>
      </c>
      <c r="F1913" s="33" t="n">
        <v>0</v>
      </c>
      <c r="G1913" s="62"/>
      <c r="H1913" s="35" t="n">
        <v>0</v>
      </c>
      <c r="I1913" s="34" t="n">
        <f aca="false">+IF(E1913=0,0,E1913*0.03)</f>
        <v>0</v>
      </c>
    </row>
    <row r="1914" customFormat="false" ht="15.75" hidden="false" customHeight="true" outlineLevel="0" collapsed="false">
      <c r="A1914" s="30" t="n">
        <v>45323</v>
      </c>
      <c r="B1914" s="31" t="s">
        <v>11</v>
      </c>
      <c r="C1914" s="32"/>
      <c r="D1914" s="32"/>
      <c r="E1914" s="19" t="n">
        <f aca="false">+IF(C1914="EQUIPO",F1914,0)</f>
        <v>0</v>
      </c>
      <c r="F1914" s="33" t="n">
        <v>0</v>
      </c>
      <c r="G1914" s="62"/>
      <c r="H1914" s="35" t="n">
        <v>0</v>
      </c>
      <c r="I1914" s="34" t="n">
        <f aca="false">+IF(E1914=0,0,E1914*0.03)</f>
        <v>0</v>
      </c>
    </row>
    <row r="1915" customFormat="false" ht="15.75" hidden="false" customHeight="true" outlineLevel="0" collapsed="false">
      <c r="A1915" s="30" t="n">
        <v>45323</v>
      </c>
      <c r="B1915" s="31" t="s">
        <v>11</v>
      </c>
      <c r="C1915" s="32"/>
      <c r="D1915" s="32"/>
      <c r="E1915" s="19" t="n">
        <f aca="false">+IF(C1915="EQUIPO",F1915,0)</f>
        <v>0</v>
      </c>
      <c r="F1915" s="33" t="n">
        <v>0</v>
      </c>
      <c r="G1915" s="62"/>
      <c r="H1915" s="35" t="n">
        <v>0</v>
      </c>
      <c r="I1915" s="34" t="n">
        <f aca="false">+IF(E1915=0,0,E1915*0.03)</f>
        <v>0</v>
      </c>
    </row>
    <row r="1916" customFormat="false" ht="15.75" hidden="false" customHeight="true" outlineLevel="0" collapsed="false">
      <c r="A1916" s="30" t="n">
        <v>45323</v>
      </c>
      <c r="B1916" s="31" t="s">
        <v>11</v>
      </c>
      <c r="C1916" s="32"/>
      <c r="D1916" s="32"/>
      <c r="E1916" s="19" t="n">
        <f aca="false">+IF(C1916="EQUIPO",F1916,0)</f>
        <v>0</v>
      </c>
      <c r="F1916" s="33" t="n">
        <v>0</v>
      </c>
      <c r="G1916" s="62"/>
      <c r="H1916" s="35" t="n">
        <v>0</v>
      </c>
      <c r="I1916" s="34" t="n">
        <f aca="false">+IF(E1916=0,0,E1916*0.03)</f>
        <v>0</v>
      </c>
    </row>
    <row r="1917" customFormat="false" ht="15.75" hidden="false" customHeight="true" outlineLevel="0" collapsed="false">
      <c r="A1917" s="30" t="n">
        <v>45323</v>
      </c>
      <c r="B1917" s="31" t="s">
        <v>11</v>
      </c>
      <c r="C1917" s="32"/>
      <c r="D1917" s="32"/>
      <c r="E1917" s="19" t="n">
        <f aca="false">+IF(C1917="EQUIPO",F1917,0)</f>
        <v>0</v>
      </c>
      <c r="F1917" s="33" t="n">
        <v>0</v>
      </c>
      <c r="G1917" s="62"/>
      <c r="H1917" s="35" t="n">
        <v>0</v>
      </c>
      <c r="I1917" s="34" t="n">
        <f aca="false">+IF(E1917=0,0,E1917*0.03)</f>
        <v>0</v>
      </c>
    </row>
    <row r="1918" customFormat="false" ht="15.75" hidden="false" customHeight="true" outlineLevel="0" collapsed="false">
      <c r="A1918" s="30" t="n">
        <v>45323</v>
      </c>
      <c r="B1918" s="31" t="s">
        <v>11</v>
      </c>
      <c r="C1918" s="32"/>
      <c r="D1918" s="32"/>
      <c r="E1918" s="19" t="n">
        <f aca="false">+IF(C1918="EQUIPO",F1918,0)</f>
        <v>0</v>
      </c>
      <c r="F1918" s="33" t="n">
        <v>0</v>
      </c>
      <c r="G1918" s="62"/>
      <c r="H1918" s="35" t="n">
        <v>0</v>
      </c>
      <c r="I1918" s="34" t="n">
        <f aca="false">+IF(E1918=0,0,E1918*0.03)</f>
        <v>0</v>
      </c>
    </row>
    <row r="1919" customFormat="false" ht="15.75" hidden="false" customHeight="true" outlineLevel="0" collapsed="false">
      <c r="A1919" s="30" t="n">
        <v>45323</v>
      </c>
      <c r="B1919" s="31" t="s">
        <v>11</v>
      </c>
      <c r="C1919" s="32"/>
      <c r="D1919" s="32"/>
      <c r="E1919" s="19" t="n">
        <f aca="false">+IF(C1919="EQUIPO",F1919,0)</f>
        <v>0</v>
      </c>
      <c r="F1919" s="33" t="n">
        <v>0</v>
      </c>
      <c r="G1919" s="62"/>
      <c r="H1919" s="35" t="n">
        <v>0</v>
      </c>
      <c r="I1919" s="34" t="n">
        <f aca="false">+IF(E1919=0,0,E1919*0.03)</f>
        <v>0</v>
      </c>
    </row>
    <row r="1920" customFormat="false" ht="15.75" hidden="false" customHeight="true" outlineLevel="0" collapsed="false">
      <c r="A1920" s="30" t="n">
        <v>45323</v>
      </c>
      <c r="B1920" s="31" t="s">
        <v>11</v>
      </c>
      <c r="C1920" s="32"/>
      <c r="D1920" s="32"/>
      <c r="E1920" s="19" t="n">
        <f aca="false">+IF(C1920="EQUIPO",F1920,0)</f>
        <v>0</v>
      </c>
      <c r="F1920" s="33" t="n">
        <v>0</v>
      </c>
      <c r="G1920" s="62"/>
      <c r="H1920" s="35" t="n">
        <v>0</v>
      </c>
      <c r="I1920" s="34" t="n">
        <f aca="false">+IF(E1920=0,0,E1920*0.03)</f>
        <v>0</v>
      </c>
    </row>
    <row r="1921" customFormat="false" ht="15.75" hidden="false" customHeight="true" outlineLevel="0" collapsed="false">
      <c r="A1921" s="30" t="n">
        <v>45323</v>
      </c>
      <c r="B1921" s="31" t="s">
        <v>11</v>
      </c>
      <c r="C1921" s="32"/>
      <c r="D1921" s="32"/>
      <c r="E1921" s="19" t="n">
        <f aca="false">+IF(C1921="EQUIPO",F1921,0)</f>
        <v>0</v>
      </c>
      <c r="F1921" s="33" t="n">
        <v>0</v>
      </c>
      <c r="G1921" s="62"/>
      <c r="H1921" s="35" t="n">
        <v>0</v>
      </c>
      <c r="I1921" s="34" t="n">
        <f aca="false">+IF(E1921=0,0,E1921*0.03)</f>
        <v>0</v>
      </c>
    </row>
    <row r="1922" customFormat="false" ht="15.75" hidden="false" customHeight="true" outlineLevel="0" collapsed="false">
      <c r="A1922" s="30" t="n">
        <v>45323</v>
      </c>
      <c r="B1922" s="31" t="s">
        <v>11</v>
      </c>
      <c r="C1922" s="32"/>
      <c r="D1922" s="32"/>
      <c r="E1922" s="19" t="n">
        <f aca="false">+IF(C1922="EQUIPO",F1922,0)</f>
        <v>0</v>
      </c>
      <c r="F1922" s="33" t="n">
        <v>0</v>
      </c>
      <c r="G1922" s="62"/>
      <c r="H1922" s="35" t="n">
        <v>0</v>
      </c>
      <c r="I1922" s="34" t="n">
        <f aca="false">+IF(E1922=0,0,E1922*0.03)</f>
        <v>0</v>
      </c>
    </row>
    <row r="1923" customFormat="false" ht="15.75" hidden="false" customHeight="true" outlineLevel="0" collapsed="false">
      <c r="A1923" s="30" t="n">
        <v>45323</v>
      </c>
      <c r="B1923" s="31" t="s">
        <v>11</v>
      </c>
      <c r="C1923" s="32"/>
      <c r="D1923" s="32"/>
      <c r="E1923" s="19" t="n">
        <f aca="false">+IF(C1923="EQUIPO",F1923,0)</f>
        <v>0</v>
      </c>
      <c r="F1923" s="33" t="n">
        <v>0</v>
      </c>
      <c r="G1923" s="62"/>
      <c r="H1923" s="35" t="n">
        <v>0</v>
      </c>
      <c r="I1923" s="34" t="n">
        <f aca="false">+IF(E1923=0,0,E1923*0.03)</f>
        <v>0</v>
      </c>
    </row>
    <row r="1924" customFormat="false" ht="15.75" hidden="false" customHeight="true" outlineLevel="0" collapsed="false">
      <c r="A1924" s="30" t="n">
        <v>45323</v>
      </c>
      <c r="B1924" s="31" t="s">
        <v>11</v>
      </c>
      <c r="C1924" s="32"/>
      <c r="D1924" s="32"/>
      <c r="E1924" s="19" t="n">
        <f aca="false">+IF(C1924="EQUIPO",F1924,0)</f>
        <v>0</v>
      </c>
      <c r="F1924" s="33" t="n">
        <v>0</v>
      </c>
      <c r="G1924" s="62"/>
      <c r="H1924" s="35" t="n">
        <v>0</v>
      </c>
      <c r="I1924" s="34" t="n">
        <f aca="false">+IF(E1924=0,0,E1924*0.03)</f>
        <v>0</v>
      </c>
    </row>
    <row r="1925" customFormat="false" ht="15.75" hidden="false" customHeight="true" outlineLevel="0" collapsed="false">
      <c r="A1925" s="30" t="n">
        <v>45323</v>
      </c>
      <c r="B1925" s="31" t="s">
        <v>11</v>
      </c>
      <c r="C1925" s="32"/>
      <c r="D1925" s="32"/>
      <c r="E1925" s="19" t="n">
        <f aca="false">+IF(C1925="EQUIPO",F1925,0)</f>
        <v>0</v>
      </c>
      <c r="F1925" s="33" t="n">
        <v>0</v>
      </c>
      <c r="G1925" s="62"/>
      <c r="H1925" s="35" t="n">
        <v>0</v>
      </c>
      <c r="I1925" s="34" t="n">
        <f aca="false">+IF(E1925=0,0,E1925*0.03)</f>
        <v>0</v>
      </c>
    </row>
    <row r="1926" customFormat="false" ht="15.75" hidden="false" customHeight="true" outlineLevel="0" collapsed="false">
      <c r="A1926" s="30" t="n">
        <v>45323</v>
      </c>
      <c r="B1926" s="31" t="s">
        <v>11</v>
      </c>
      <c r="C1926" s="32"/>
      <c r="D1926" s="32"/>
      <c r="E1926" s="19" t="n">
        <f aca="false">+IF(C1926="EQUIPO",F1926,0)</f>
        <v>0</v>
      </c>
      <c r="F1926" s="33" t="n">
        <v>0</v>
      </c>
      <c r="G1926" s="62"/>
      <c r="H1926" s="35" t="n">
        <v>0</v>
      </c>
      <c r="I1926" s="34" t="n">
        <f aca="false">+IF(E1926=0,0,E1926*0.03)</f>
        <v>0</v>
      </c>
    </row>
    <row r="1927" customFormat="false" ht="15.75" hidden="false" customHeight="true" outlineLevel="0" collapsed="false">
      <c r="A1927" s="30" t="n">
        <v>45323</v>
      </c>
      <c r="B1927" s="31" t="s">
        <v>11</v>
      </c>
      <c r="C1927" s="32"/>
      <c r="D1927" s="32"/>
      <c r="E1927" s="19" t="n">
        <f aca="false">+IF(C1927="EQUIPO",F1927,0)</f>
        <v>0</v>
      </c>
      <c r="F1927" s="33" t="n">
        <v>0</v>
      </c>
      <c r="G1927" s="62"/>
      <c r="H1927" s="35" t="n">
        <v>0</v>
      </c>
      <c r="I1927" s="34" t="n">
        <f aca="false">+IF(E1927=0,0,E1927*0.03)</f>
        <v>0</v>
      </c>
    </row>
    <row r="1928" customFormat="false" ht="15.75" hidden="false" customHeight="true" outlineLevel="0" collapsed="false">
      <c r="A1928" s="30" t="n">
        <v>45323</v>
      </c>
      <c r="B1928" s="31" t="s">
        <v>11</v>
      </c>
      <c r="C1928" s="32"/>
      <c r="D1928" s="32"/>
      <c r="E1928" s="19" t="n">
        <f aca="false">+IF(C1928="EQUIPO",F1928,0)</f>
        <v>0</v>
      </c>
      <c r="F1928" s="33" t="n">
        <v>0</v>
      </c>
      <c r="G1928" s="62"/>
      <c r="H1928" s="35" t="n">
        <v>0</v>
      </c>
      <c r="I1928" s="34" t="n">
        <f aca="false">+IF(E1928=0,0,E1928*0.03)</f>
        <v>0</v>
      </c>
    </row>
    <row r="1929" customFormat="false" ht="15.75" hidden="false" customHeight="true" outlineLevel="0" collapsed="false">
      <c r="A1929" s="30" t="n">
        <v>45323</v>
      </c>
      <c r="B1929" s="31" t="s">
        <v>11</v>
      </c>
      <c r="C1929" s="32"/>
      <c r="D1929" s="32"/>
      <c r="E1929" s="19" t="n">
        <f aca="false">+IF(C1929="EQUIPO",F1929,0)</f>
        <v>0</v>
      </c>
      <c r="F1929" s="33" t="n">
        <v>0</v>
      </c>
      <c r="G1929" s="62"/>
      <c r="H1929" s="35" t="n">
        <v>0</v>
      </c>
      <c r="I1929" s="34" t="n">
        <f aca="false">+IF(E1929=0,0,E1929*0.03)</f>
        <v>0</v>
      </c>
    </row>
    <row r="1930" customFormat="false" ht="15.75" hidden="false" customHeight="true" outlineLevel="0" collapsed="false">
      <c r="A1930" s="30" t="n">
        <v>45323</v>
      </c>
      <c r="B1930" s="31" t="s">
        <v>11</v>
      </c>
      <c r="C1930" s="32"/>
      <c r="D1930" s="32"/>
      <c r="E1930" s="19" t="n">
        <f aca="false">+IF(C1930="EQUIPO",F1930,0)</f>
        <v>0</v>
      </c>
      <c r="F1930" s="33" t="n">
        <v>0</v>
      </c>
      <c r="G1930" s="62"/>
      <c r="H1930" s="35" t="n">
        <v>0</v>
      </c>
      <c r="I1930" s="34" t="n">
        <f aca="false">+IF(E1930=0,0,E1930*0.03)</f>
        <v>0</v>
      </c>
    </row>
    <row r="1931" customFormat="false" ht="15.75" hidden="false" customHeight="true" outlineLevel="0" collapsed="false">
      <c r="A1931" s="30" t="n">
        <v>45323</v>
      </c>
      <c r="B1931" s="31" t="s">
        <v>11</v>
      </c>
      <c r="C1931" s="32"/>
      <c r="D1931" s="32"/>
      <c r="E1931" s="19" t="n">
        <f aca="false">+IF(C1931="EQUIPO",F1931,0)</f>
        <v>0</v>
      </c>
      <c r="F1931" s="33" t="n">
        <v>0</v>
      </c>
      <c r="G1931" s="62"/>
      <c r="H1931" s="35" t="n">
        <v>0</v>
      </c>
      <c r="I1931" s="34" t="n">
        <f aca="false">+IF(E1931=0,0,E1931*0.03)</f>
        <v>0</v>
      </c>
    </row>
    <row r="1932" customFormat="false" ht="15.75" hidden="false" customHeight="true" outlineLevel="0" collapsed="false">
      <c r="A1932" s="30" t="n">
        <v>45323</v>
      </c>
      <c r="B1932" s="31" t="s">
        <v>11</v>
      </c>
      <c r="C1932" s="32"/>
      <c r="D1932" s="32"/>
      <c r="E1932" s="19" t="n">
        <f aca="false">+IF(C1932="EQUIPO",F1932,0)</f>
        <v>0</v>
      </c>
      <c r="F1932" s="33" t="n">
        <v>0</v>
      </c>
      <c r="G1932" s="62"/>
      <c r="H1932" s="35" t="n">
        <v>0</v>
      </c>
      <c r="I1932" s="34" t="n">
        <f aca="false">+IF(E1932=0,0,E1932*0.03)</f>
        <v>0</v>
      </c>
    </row>
    <row r="1933" customFormat="false" ht="15.75" hidden="false" customHeight="true" outlineLevel="0" collapsed="false">
      <c r="A1933" s="30" t="n">
        <v>45323</v>
      </c>
      <c r="B1933" s="31" t="s">
        <v>11</v>
      </c>
      <c r="C1933" s="32"/>
      <c r="D1933" s="32"/>
      <c r="E1933" s="19" t="n">
        <f aca="false">+IF(C1933="EQUIPO",F1933,0)</f>
        <v>0</v>
      </c>
      <c r="F1933" s="33" t="n">
        <v>0</v>
      </c>
      <c r="G1933" s="62"/>
      <c r="H1933" s="35" t="n">
        <v>0</v>
      </c>
      <c r="I1933" s="34" t="n">
        <f aca="false">+IF(E1933=0,0,E1933*0.03)</f>
        <v>0</v>
      </c>
    </row>
    <row r="1934" customFormat="false" ht="15.75" hidden="false" customHeight="true" outlineLevel="0" collapsed="false">
      <c r="A1934" s="30" t="n">
        <v>45323</v>
      </c>
      <c r="B1934" s="31" t="s">
        <v>11</v>
      </c>
      <c r="C1934" s="32"/>
      <c r="D1934" s="32"/>
      <c r="E1934" s="19" t="n">
        <f aca="false">+IF(C1934="EQUIPO",F1934,0)</f>
        <v>0</v>
      </c>
      <c r="F1934" s="33" t="n">
        <v>0</v>
      </c>
      <c r="G1934" s="62"/>
      <c r="H1934" s="35" t="n">
        <v>0</v>
      </c>
      <c r="I1934" s="34" t="n">
        <f aca="false">+IF(E1934=0,0,E1934*0.03)</f>
        <v>0</v>
      </c>
    </row>
    <row r="1935" customFormat="false" ht="15.75" hidden="false" customHeight="true" outlineLevel="0" collapsed="false">
      <c r="A1935" s="30" t="n">
        <v>45323</v>
      </c>
      <c r="B1935" s="31" t="s">
        <v>11</v>
      </c>
      <c r="C1935" s="32"/>
      <c r="D1935" s="32"/>
      <c r="E1935" s="19" t="n">
        <f aca="false">+IF(C1935="EQUIPO",F1935,0)</f>
        <v>0</v>
      </c>
      <c r="F1935" s="33" t="n">
        <v>0</v>
      </c>
      <c r="G1935" s="62"/>
      <c r="H1935" s="35" t="n">
        <v>0</v>
      </c>
      <c r="I1935" s="34" t="n">
        <f aca="false">+IF(E1935=0,0,E1935*0.03)</f>
        <v>0</v>
      </c>
    </row>
    <row r="1936" customFormat="false" ht="15.75" hidden="false" customHeight="true" outlineLevel="0" collapsed="false">
      <c r="A1936" s="30" t="n">
        <v>45323</v>
      </c>
      <c r="B1936" s="31" t="s">
        <v>11</v>
      </c>
      <c r="C1936" s="32"/>
      <c r="D1936" s="32"/>
      <c r="E1936" s="19" t="n">
        <f aca="false">+IF(C1936="EQUIPO",F1936,0)</f>
        <v>0</v>
      </c>
      <c r="F1936" s="33" t="n">
        <v>0</v>
      </c>
      <c r="G1936" s="62"/>
      <c r="H1936" s="35" t="n">
        <v>0</v>
      </c>
      <c r="I1936" s="34" t="n">
        <f aca="false">+IF(E1936=0,0,E1936*0.03)</f>
        <v>0</v>
      </c>
    </row>
    <row r="1937" customFormat="false" ht="15.75" hidden="false" customHeight="true" outlineLevel="0" collapsed="false">
      <c r="A1937" s="30" t="n">
        <v>45323</v>
      </c>
      <c r="B1937" s="31" t="s">
        <v>11</v>
      </c>
      <c r="C1937" s="32"/>
      <c r="D1937" s="32"/>
      <c r="E1937" s="19" t="n">
        <f aca="false">+IF(C1937="EQUIPO",F1937,0)</f>
        <v>0</v>
      </c>
      <c r="F1937" s="33" t="n">
        <v>0</v>
      </c>
      <c r="G1937" s="62"/>
      <c r="H1937" s="35" t="n">
        <v>0</v>
      </c>
      <c r="I1937" s="34" t="n">
        <f aca="false">+IF(E1937=0,0,E1937*0.03)</f>
        <v>0</v>
      </c>
    </row>
    <row r="1938" customFormat="false" ht="15.75" hidden="false" customHeight="true" outlineLevel="0" collapsed="false">
      <c r="A1938" s="30" t="n">
        <v>45323</v>
      </c>
      <c r="B1938" s="31" t="s">
        <v>11</v>
      </c>
      <c r="C1938" s="32"/>
      <c r="D1938" s="32"/>
      <c r="E1938" s="19" t="n">
        <f aca="false">+IF(C1938="EQUIPO",F1938,0)</f>
        <v>0</v>
      </c>
      <c r="F1938" s="33" t="n">
        <v>0</v>
      </c>
      <c r="G1938" s="62"/>
      <c r="H1938" s="35" t="n">
        <v>0</v>
      </c>
      <c r="I1938" s="34" t="n">
        <f aca="false">+IF(E1938=0,0,E1938*0.03)</f>
        <v>0</v>
      </c>
    </row>
    <row r="1939" customFormat="false" ht="15.75" hidden="false" customHeight="true" outlineLevel="0" collapsed="false">
      <c r="A1939" s="30" t="n">
        <v>45323</v>
      </c>
      <c r="B1939" s="31" t="s">
        <v>11</v>
      </c>
      <c r="C1939" s="32"/>
      <c r="D1939" s="32"/>
      <c r="E1939" s="19" t="n">
        <f aca="false">+IF(C1939="EQUIPO",F1939,0)</f>
        <v>0</v>
      </c>
      <c r="F1939" s="33" t="n">
        <v>0</v>
      </c>
      <c r="G1939" s="62"/>
      <c r="H1939" s="35" t="n">
        <v>0</v>
      </c>
      <c r="I1939" s="34" t="n">
        <f aca="false">+IF(E1939=0,0,E1939*0.03)</f>
        <v>0</v>
      </c>
    </row>
    <row r="1940" customFormat="false" ht="15.75" hidden="false" customHeight="true" outlineLevel="0" collapsed="false">
      <c r="A1940" s="30" t="n">
        <v>45323</v>
      </c>
      <c r="B1940" s="31" t="s">
        <v>11</v>
      </c>
      <c r="C1940" s="32"/>
      <c r="D1940" s="32"/>
      <c r="E1940" s="19" t="n">
        <f aca="false">+IF(C1940="EQUIPO",F1940,0)</f>
        <v>0</v>
      </c>
      <c r="F1940" s="33" t="n">
        <v>0</v>
      </c>
      <c r="G1940" s="62"/>
      <c r="H1940" s="35" t="n">
        <v>0</v>
      </c>
      <c r="I1940" s="34" t="n">
        <f aca="false">+IF(E1940=0,0,E1940*0.03)</f>
        <v>0</v>
      </c>
    </row>
    <row r="1941" customFormat="false" ht="15.75" hidden="false" customHeight="true" outlineLevel="0" collapsed="false">
      <c r="A1941" s="30" t="n">
        <v>45323</v>
      </c>
      <c r="B1941" s="31" t="s">
        <v>11</v>
      </c>
      <c r="C1941" s="32"/>
      <c r="D1941" s="32"/>
      <c r="E1941" s="19" t="n">
        <f aca="false">+IF(C1941="EQUIPO",F1941,0)</f>
        <v>0</v>
      </c>
      <c r="F1941" s="33" t="n">
        <v>0</v>
      </c>
      <c r="G1941" s="62"/>
      <c r="H1941" s="35" t="n">
        <v>0</v>
      </c>
      <c r="I1941" s="34" t="n">
        <f aca="false">+IF(E1941=0,0,E1941*0.03)</f>
        <v>0</v>
      </c>
    </row>
    <row r="1942" customFormat="false" ht="15.75" hidden="false" customHeight="true" outlineLevel="0" collapsed="false">
      <c r="A1942" s="30" t="n">
        <v>45323</v>
      </c>
      <c r="B1942" s="31" t="s">
        <v>11</v>
      </c>
      <c r="C1942" s="32"/>
      <c r="D1942" s="32"/>
      <c r="E1942" s="19" t="n">
        <f aca="false">+IF(C1942="EQUIPO",F1942,0)</f>
        <v>0</v>
      </c>
      <c r="F1942" s="33" t="n">
        <v>0</v>
      </c>
      <c r="G1942" s="62"/>
      <c r="H1942" s="35" t="n">
        <v>0</v>
      </c>
      <c r="I1942" s="34" t="n">
        <f aca="false">+IF(E1942=0,0,E1942*0.03)</f>
        <v>0</v>
      </c>
    </row>
    <row r="1943" customFormat="false" ht="15.75" hidden="false" customHeight="true" outlineLevel="0" collapsed="false">
      <c r="A1943" s="30" t="n">
        <v>45323</v>
      </c>
      <c r="B1943" s="31" t="s">
        <v>11</v>
      </c>
      <c r="C1943" s="32"/>
      <c r="D1943" s="32"/>
      <c r="E1943" s="19" t="n">
        <f aca="false">+IF(C1943="EQUIPO",F1943,0)</f>
        <v>0</v>
      </c>
      <c r="F1943" s="33" t="n">
        <v>0</v>
      </c>
      <c r="G1943" s="62"/>
      <c r="H1943" s="35" t="n">
        <v>0</v>
      </c>
      <c r="I1943" s="34" t="n">
        <f aca="false">+IF(E1943=0,0,E1943*0.03)</f>
        <v>0</v>
      </c>
    </row>
    <row r="1944" customFormat="false" ht="15.75" hidden="false" customHeight="true" outlineLevel="0" collapsed="false">
      <c r="A1944" s="30" t="n">
        <v>45323</v>
      </c>
      <c r="B1944" s="31" t="s">
        <v>11</v>
      </c>
      <c r="C1944" s="32"/>
      <c r="D1944" s="32"/>
      <c r="E1944" s="19" t="n">
        <f aca="false">+IF(C1944="EQUIPO",F1944,0)</f>
        <v>0</v>
      </c>
      <c r="F1944" s="33" t="n">
        <v>0</v>
      </c>
      <c r="G1944" s="62"/>
      <c r="H1944" s="35" t="n">
        <v>0</v>
      </c>
      <c r="I1944" s="34" t="n">
        <f aca="false">+IF(E1944=0,0,E1944*0.03)</f>
        <v>0</v>
      </c>
    </row>
    <row r="1945" customFormat="false" ht="15.75" hidden="false" customHeight="true" outlineLevel="0" collapsed="false">
      <c r="A1945" s="30" t="n">
        <v>45323</v>
      </c>
      <c r="B1945" s="31" t="s">
        <v>11</v>
      </c>
      <c r="C1945" s="32"/>
      <c r="D1945" s="32"/>
      <c r="E1945" s="19" t="n">
        <f aca="false">+IF(C1945="EQUIPO",F1945,0)</f>
        <v>0</v>
      </c>
      <c r="F1945" s="33" t="n">
        <v>0</v>
      </c>
      <c r="G1945" s="62"/>
      <c r="H1945" s="35" t="n">
        <v>0</v>
      </c>
      <c r="I1945" s="34" t="n">
        <f aca="false">+IF(E1945=0,0,E1945*0.03)</f>
        <v>0</v>
      </c>
    </row>
    <row r="1946" customFormat="false" ht="15.75" hidden="false" customHeight="true" outlineLevel="0" collapsed="false">
      <c r="A1946" s="30" t="n">
        <v>45323</v>
      </c>
      <c r="B1946" s="31" t="s">
        <v>11</v>
      </c>
      <c r="C1946" s="32"/>
      <c r="D1946" s="32"/>
      <c r="E1946" s="19" t="n">
        <f aca="false">+IF(C1946="EQUIPO",F1946,0)</f>
        <v>0</v>
      </c>
      <c r="F1946" s="33" t="n">
        <v>0</v>
      </c>
      <c r="G1946" s="62"/>
      <c r="H1946" s="35" t="n">
        <v>0</v>
      </c>
      <c r="I1946" s="34" t="n">
        <f aca="false">+IF(E1946=0,0,E1946*0.03)</f>
        <v>0</v>
      </c>
    </row>
    <row r="1947" customFormat="false" ht="15.75" hidden="false" customHeight="true" outlineLevel="0" collapsed="false">
      <c r="A1947" s="30" t="n">
        <v>45323</v>
      </c>
      <c r="B1947" s="31" t="s">
        <v>11</v>
      </c>
      <c r="C1947" s="32"/>
      <c r="D1947" s="32"/>
      <c r="E1947" s="19" t="n">
        <f aca="false">+IF(C1947="EQUIPO",F1947,0)</f>
        <v>0</v>
      </c>
      <c r="F1947" s="33" t="n">
        <v>0</v>
      </c>
      <c r="G1947" s="62"/>
      <c r="H1947" s="35" t="n">
        <v>0</v>
      </c>
      <c r="I1947" s="34" t="n">
        <f aca="false">+IF(E1947=0,0,E1947*0.03)</f>
        <v>0</v>
      </c>
    </row>
    <row r="1948" customFormat="false" ht="15.75" hidden="false" customHeight="true" outlineLevel="0" collapsed="false">
      <c r="A1948" s="30" t="n">
        <v>45323</v>
      </c>
      <c r="B1948" s="31" t="s">
        <v>11</v>
      </c>
      <c r="C1948" s="32"/>
      <c r="D1948" s="32"/>
      <c r="E1948" s="19" t="n">
        <f aca="false">+IF(C1948="EQUIPO",F1948,0)</f>
        <v>0</v>
      </c>
      <c r="F1948" s="33" t="n">
        <v>0</v>
      </c>
      <c r="G1948" s="62"/>
      <c r="H1948" s="35" t="n">
        <v>0</v>
      </c>
      <c r="I1948" s="34" t="n">
        <f aca="false">+IF(E1948=0,0,E1948*0.03)</f>
        <v>0</v>
      </c>
    </row>
    <row r="1949" customFormat="false" ht="15.75" hidden="false" customHeight="true" outlineLevel="0" collapsed="false">
      <c r="A1949" s="30" t="n">
        <v>45323</v>
      </c>
      <c r="B1949" s="31" t="s">
        <v>11</v>
      </c>
      <c r="C1949" s="32"/>
      <c r="D1949" s="32"/>
      <c r="E1949" s="19" t="n">
        <f aca="false">+IF(C1949="EQUIPO",F1949,0)</f>
        <v>0</v>
      </c>
      <c r="F1949" s="33" t="n">
        <v>0</v>
      </c>
      <c r="G1949" s="62"/>
      <c r="H1949" s="35" t="n">
        <v>0</v>
      </c>
      <c r="I1949" s="34" t="n">
        <f aca="false">+IF(E1949=0,0,E1949*0.03)</f>
        <v>0</v>
      </c>
    </row>
    <row r="1950" customFormat="false" ht="15.75" hidden="false" customHeight="true" outlineLevel="0" collapsed="false">
      <c r="A1950" s="30" t="n">
        <v>45323</v>
      </c>
      <c r="B1950" s="31" t="s">
        <v>11</v>
      </c>
      <c r="C1950" s="32"/>
      <c r="D1950" s="32"/>
      <c r="E1950" s="19" t="n">
        <f aca="false">+IF(C1950="EQUIPO",F1950,0)</f>
        <v>0</v>
      </c>
      <c r="F1950" s="33" t="n">
        <v>0</v>
      </c>
      <c r="G1950" s="62"/>
      <c r="H1950" s="35" t="n">
        <v>0</v>
      </c>
      <c r="I1950" s="34" t="n">
        <f aca="false">+IF(E1950=0,0,E1950*0.03)</f>
        <v>0</v>
      </c>
    </row>
    <row r="1951" customFormat="false" ht="15.75" hidden="false" customHeight="true" outlineLevel="0" collapsed="false">
      <c r="A1951" s="30" t="n">
        <v>45323</v>
      </c>
      <c r="B1951" s="31" t="s">
        <v>11</v>
      </c>
      <c r="C1951" s="32"/>
      <c r="D1951" s="32"/>
      <c r="E1951" s="19" t="n">
        <f aca="false">+IF(C1951="EQUIPO",F1951,0)</f>
        <v>0</v>
      </c>
      <c r="F1951" s="33" t="n">
        <v>0</v>
      </c>
      <c r="G1951" s="62"/>
      <c r="H1951" s="35" t="n">
        <v>0</v>
      </c>
      <c r="I1951" s="34" t="n">
        <f aca="false">+IF(E1951=0,0,E1951*0.03)</f>
        <v>0</v>
      </c>
    </row>
    <row r="1952" customFormat="false" ht="15.75" hidden="false" customHeight="true" outlineLevel="0" collapsed="false">
      <c r="A1952" s="30" t="n">
        <v>45323</v>
      </c>
      <c r="B1952" s="31" t="s">
        <v>11</v>
      </c>
      <c r="C1952" s="32"/>
      <c r="D1952" s="32"/>
      <c r="E1952" s="19" t="n">
        <f aca="false">+IF(C1952="EQUIPO",F1952,0)</f>
        <v>0</v>
      </c>
      <c r="F1952" s="33" t="n">
        <v>0</v>
      </c>
      <c r="G1952" s="62"/>
      <c r="H1952" s="35" t="n">
        <v>0</v>
      </c>
      <c r="I1952" s="34" t="n">
        <f aca="false">+IF(E1952=0,0,E1952*0.03)</f>
        <v>0</v>
      </c>
    </row>
    <row r="1953" customFormat="false" ht="15.75" hidden="false" customHeight="true" outlineLevel="0" collapsed="false">
      <c r="A1953" s="30" t="n">
        <v>45323</v>
      </c>
      <c r="B1953" s="31" t="s">
        <v>11</v>
      </c>
      <c r="C1953" s="32"/>
      <c r="D1953" s="32"/>
      <c r="E1953" s="19" t="n">
        <f aca="false">+IF(C1953="EQUIPO",F1953,0)</f>
        <v>0</v>
      </c>
      <c r="F1953" s="33" t="n">
        <v>0</v>
      </c>
      <c r="G1953" s="62"/>
      <c r="H1953" s="35" t="n">
        <v>0</v>
      </c>
      <c r="I1953" s="34" t="n">
        <f aca="false">+IF(E1953=0,0,E1953*0.03)</f>
        <v>0</v>
      </c>
    </row>
    <row r="1954" customFormat="false" ht="15.75" hidden="false" customHeight="true" outlineLevel="0" collapsed="false">
      <c r="A1954" s="30" t="n">
        <v>45323</v>
      </c>
      <c r="B1954" s="31" t="s">
        <v>11</v>
      </c>
      <c r="C1954" s="32"/>
      <c r="D1954" s="32"/>
      <c r="E1954" s="19" t="n">
        <f aca="false">+IF(C1954="EQUIPO",F1954,0)</f>
        <v>0</v>
      </c>
      <c r="F1954" s="33" t="n">
        <v>0</v>
      </c>
      <c r="G1954" s="62"/>
      <c r="H1954" s="35" t="n">
        <v>0</v>
      </c>
      <c r="I1954" s="34" t="n">
        <f aca="false">+IF(E1954=0,0,E1954*0.03)</f>
        <v>0</v>
      </c>
    </row>
    <row r="1955" customFormat="false" ht="15.75" hidden="false" customHeight="true" outlineLevel="0" collapsed="false">
      <c r="A1955" s="30" t="n">
        <v>45323</v>
      </c>
      <c r="B1955" s="31" t="s">
        <v>11</v>
      </c>
      <c r="C1955" s="32"/>
      <c r="D1955" s="32"/>
      <c r="E1955" s="19" t="n">
        <f aca="false">+IF(C1955="EQUIPO",F1955,0)</f>
        <v>0</v>
      </c>
      <c r="F1955" s="33" t="n">
        <v>0</v>
      </c>
      <c r="G1955" s="62"/>
      <c r="H1955" s="35" t="n">
        <v>0</v>
      </c>
      <c r="I1955" s="34" t="n">
        <f aca="false">+IF(E1955=0,0,E1955*0.03)</f>
        <v>0</v>
      </c>
    </row>
    <row r="1956" customFormat="false" ht="15.75" hidden="false" customHeight="true" outlineLevel="0" collapsed="false">
      <c r="A1956" s="30" t="n">
        <v>45323</v>
      </c>
      <c r="B1956" s="31" t="s">
        <v>11</v>
      </c>
      <c r="C1956" s="32"/>
      <c r="D1956" s="32"/>
      <c r="E1956" s="19" t="n">
        <f aca="false">+IF(C1956="EQUIPO",F1956,0)</f>
        <v>0</v>
      </c>
      <c r="F1956" s="33" t="n">
        <v>0</v>
      </c>
      <c r="G1956" s="62"/>
      <c r="H1956" s="35" t="n">
        <v>0</v>
      </c>
      <c r="I1956" s="34" t="n">
        <f aca="false">+IF(E1956=0,0,E1956*0.03)</f>
        <v>0</v>
      </c>
    </row>
    <row r="1957" customFormat="false" ht="15.75" hidden="false" customHeight="true" outlineLevel="0" collapsed="false">
      <c r="A1957" s="30" t="n">
        <v>45323</v>
      </c>
      <c r="B1957" s="31" t="s">
        <v>11</v>
      </c>
      <c r="C1957" s="32"/>
      <c r="D1957" s="32"/>
      <c r="E1957" s="19" t="n">
        <f aca="false">+IF(C1957="EQUIPO",F1957,0)</f>
        <v>0</v>
      </c>
      <c r="F1957" s="33" t="n">
        <v>0</v>
      </c>
      <c r="G1957" s="62"/>
      <c r="H1957" s="35" t="n">
        <v>0</v>
      </c>
      <c r="I1957" s="34" t="n">
        <f aca="false">+IF(E1957=0,0,E1957*0.03)</f>
        <v>0</v>
      </c>
    </row>
    <row r="1958" customFormat="false" ht="15.75" hidden="false" customHeight="true" outlineLevel="0" collapsed="false">
      <c r="A1958" s="30" t="n">
        <v>45323</v>
      </c>
      <c r="B1958" s="31" t="s">
        <v>11</v>
      </c>
      <c r="C1958" s="32"/>
      <c r="D1958" s="32"/>
      <c r="E1958" s="19" t="n">
        <f aca="false">+IF(C1958="EQUIPO",F1958,0)</f>
        <v>0</v>
      </c>
      <c r="F1958" s="33" t="n">
        <v>0</v>
      </c>
      <c r="G1958" s="62"/>
      <c r="H1958" s="35" t="n">
        <v>0</v>
      </c>
      <c r="I1958" s="34" t="n">
        <f aca="false">+IF(E1958=0,0,E1958*0.03)</f>
        <v>0</v>
      </c>
    </row>
    <row r="1959" customFormat="false" ht="15.75" hidden="false" customHeight="true" outlineLevel="0" collapsed="false">
      <c r="A1959" s="30" t="n">
        <v>45323</v>
      </c>
      <c r="B1959" s="31" t="s">
        <v>11</v>
      </c>
      <c r="C1959" s="32"/>
      <c r="D1959" s="32"/>
      <c r="E1959" s="19" t="n">
        <f aca="false">+IF(C1959="EQUIPO",F1959,0)</f>
        <v>0</v>
      </c>
      <c r="F1959" s="33" t="n">
        <v>0</v>
      </c>
      <c r="G1959" s="62"/>
      <c r="H1959" s="35" t="n">
        <v>0</v>
      </c>
      <c r="I1959" s="34" t="n">
        <f aca="false">+IF(E1959=0,0,E1959*0.03)</f>
        <v>0</v>
      </c>
    </row>
    <row r="1960" customFormat="false" ht="15.75" hidden="false" customHeight="true" outlineLevel="0" collapsed="false">
      <c r="A1960" s="30" t="n">
        <v>45323</v>
      </c>
      <c r="B1960" s="31" t="s">
        <v>11</v>
      </c>
      <c r="C1960" s="32"/>
      <c r="D1960" s="32"/>
      <c r="E1960" s="19" t="n">
        <f aca="false">+IF(C1960="EQUIPO",F1960,0)</f>
        <v>0</v>
      </c>
      <c r="F1960" s="33" t="n">
        <v>0</v>
      </c>
      <c r="G1960" s="62"/>
      <c r="H1960" s="35" t="n">
        <v>0</v>
      </c>
      <c r="I1960" s="34" t="n">
        <f aca="false">+IF(E1960=0,0,E1960*0.03)</f>
        <v>0</v>
      </c>
    </row>
    <row r="1961" customFormat="false" ht="15.75" hidden="false" customHeight="true" outlineLevel="0" collapsed="false">
      <c r="A1961" s="30" t="n">
        <v>45323</v>
      </c>
      <c r="B1961" s="31" t="s">
        <v>11</v>
      </c>
      <c r="C1961" s="32"/>
      <c r="D1961" s="32"/>
      <c r="E1961" s="19" t="n">
        <f aca="false">+IF(C1961="EQUIPO",F1961,0)</f>
        <v>0</v>
      </c>
      <c r="F1961" s="33" t="n">
        <v>0</v>
      </c>
      <c r="G1961" s="62"/>
      <c r="H1961" s="35" t="n">
        <v>0</v>
      </c>
      <c r="I1961" s="34" t="n">
        <f aca="false">+IF(E1961=0,0,E1961*0.03)</f>
        <v>0</v>
      </c>
    </row>
    <row r="1962" customFormat="false" ht="15.75" hidden="false" customHeight="true" outlineLevel="0" collapsed="false">
      <c r="A1962" s="30" t="n">
        <v>45323</v>
      </c>
      <c r="B1962" s="31" t="s">
        <v>11</v>
      </c>
      <c r="C1962" s="32"/>
      <c r="D1962" s="32"/>
      <c r="E1962" s="19" t="n">
        <f aca="false">+IF(C1962="EQUIPO",F1962,0)</f>
        <v>0</v>
      </c>
      <c r="F1962" s="33" t="n">
        <v>0</v>
      </c>
      <c r="G1962" s="62"/>
      <c r="H1962" s="35" t="n">
        <v>0</v>
      </c>
      <c r="I1962" s="34" t="n">
        <f aca="false">+IF(E1962=0,0,E1962*0.03)</f>
        <v>0</v>
      </c>
    </row>
    <row r="1963" customFormat="false" ht="15.75" hidden="false" customHeight="true" outlineLevel="0" collapsed="false">
      <c r="A1963" s="30" t="n">
        <v>45323</v>
      </c>
      <c r="B1963" s="31" t="s">
        <v>11</v>
      </c>
      <c r="C1963" s="32"/>
      <c r="D1963" s="32"/>
      <c r="E1963" s="19" t="n">
        <f aca="false">+IF(C1963="EQUIPO",F1963,0)</f>
        <v>0</v>
      </c>
      <c r="F1963" s="33" t="n">
        <v>0</v>
      </c>
      <c r="G1963" s="62"/>
      <c r="H1963" s="35" t="n">
        <v>0</v>
      </c>
      <c r="I1963" s="34" t="n">
        <f aca="false">+IF(E1963=0,0,E1963*0.03)</f>
        <v>0</v>
      </c>
    </row>
    <row r="1964" customFormat="false" ht="15.75" hidden="false" customHeight="true" outlineLevel="0" collapsed="false">
      <c r="A1964" s="30" t="n">
        <v>45323</v>
      </c>
      <c r="B1964" s="31" t="s">
        <v>11</v>
      </c>
      <c r="C1964" s="32"/>
      <c r="D1964" s="32"/>
      <c r="E1964" s="19" t="n">
        <f aca="false">+IF(C1964="EQUIPO",F1964,0)</f>
        <v>0</v>
      </c>
      <c r="F1964" s="33" t="n">
        <v>0</v>
      </c>
      <c r="G1964" s="62"/>
      <c r="H1964" s="35" t="n">
        <v>0</v>
      </c>
      <c r="I1964" s="34" t="n">
        <f aca="false">+IF(E1964=0,0,E1964*0.03)</f>
        <v>0</v>
      </c>
    </row>
    <row r="1965" customFormat="false" ht="15.75" hidden="false" customHeight="true" outlineLevel="0" collapsed="false">
      <c r="A1965" s="30" t="n">
        <v>45323</v>
      </c>
      <c r="B1965" s="31" t="s">
        <v>11</v>
      </c>
      <c r="C1965" s="32"/>
      <c r="D1965" s="32"/>
      <c r="E1965" s="19" t="n">
        <f aca="false">+IF(C1965="EQUIPO",F1965,0)</f>
        <v>0</v>
      </c>
      <c r="F1965" s="33" t="n">
        <v>0</v>
      </c>
      <c r="G1965" s="62"/>
      <c r="H1965" s="35" t="n">
        <v>0</v>
      </c>
      <c r="I1965" s="34" t="n">
        <f aca="false">+IF(E1965=0,0,E1965*0.03)</f>
        <v>0</v>
      </c>
    </row>
    <row r="1966" customFormat="false" ht="15.75" hidden="false" customHeight="true" outlineLevel="0" collapsed="false">
      <c r="A1966" s="30" t="n">
        <v>45323</v>
      </c>
      <c r="B1966" s="31" t="s">
        <v>11</v>
      </c>
      <c r="C1966" s="32"/>
      <c r="D1966" s="32"/>
      <c r="E1966" s="19" t="n">
        <f aca="false">+IF(C1966="EQUIPO",F1966,0)</f>
        <v>0</v>
      </c>
      <c r="F1966" s="33" t="n">
        <v>0</v>
      </c>
      <c r="G1966" s="62"/>
      <c r="H1966" s="35" t="n">
        <v>0</v>
      </c>
      <c r="I1966" s="34" t="n">
        <f aca="false">+IF(E1966=0,0,E1966*0.03)</f>
        <v>0</v>
      </c>
    </row>
    <row r="1967" customFormat="false" ht="15.75" hidden="false" customHeight="true" outlineLevel="0" collapsed="false">
      <c r="A1967" s="30" t="n">
        <v>45323</v>
      </c>
      <c r="B1967" s="31" t="s">
        <v>11</v>
      </c>
      <c r="C1967" s="32"/>
      <c r="D1967" s="32"/>
      <c r="E1967" s="19" t="n">
        <f aca="false">+IF(C1967="EQUIPO",F1967,0)</f>
        <v>0</v>
      </c>
      <c r="F1967" s="33" t="n">
        <v>0</v>
      </c>
      <c r="G1967" s="62"/>
      <c r="H1967" s="35" t="n">
        <v>0</v>
      </c>
      <c r="I1967" s="34" t="n">
        <f aca="false">+IF(E1967=0,0,E1967*0.03)</f>
        <v>0</v>
      </c>
    </row>
    <row r="1968" customFormat="false" ht="15.75" hidden="false" customHeight="true" outlineLevel="0" collapsed="false">
      <c r="A1968" s="30" t="n">
        <v>45323</v>
      </c>
      <c r="B1968" s="31" t="s">
        <v>11</v>
      </c>
      <c r="C1968" s="32"/>
      <c r="D1968" s="32"/>
      <c r="E1968" s="19" t="n">
        <f aca="false">+IF(C1968="EQUIPO",F1968,0)</f>
        <v>0</v>
      </c>
      <c r="F1968" s="33" t="n">
        <v>0</v>
      </c>
      <c r="G1968" s="62"/>
      <c r="H1968" s="35" t="n">
        <v>0</v>
      </c>
      <c r="I1968" s="34" t="n">
        <f aca="false">+IF(E1968=0,0,E1968*0.03)</f>
        <v>0</v>
      </c>
    </row>
    <row r="1969" customFormat="false" ht="15.75" hidden="false" customHeight="true" outlineLevel="0" collapsed="false">
      <c r="A1969" s="30" t="n">
        <v>45323</v>
      </c>
      <c r="B1969" s="31" t="s">
        <v>11</v>
      </c>
      <c r="C1969" s="32"/>
      <c r="D1969" s="32"/>
      <c r="E1969" s="19" t="n">
        <f aca="false">+IF(C1969="EQUIPO",F1969,0)</f>
        <v>0</v>
      </c>
      <c r="F1969" s="33" t="n">
        <v>0</v>
      </c>
      <c r="G1969" s="62"/>
      <c r="H1969" s="35" t="n">
        <v>0</v>
      </c>
      <c r="I1969" s="34" t="n">
        <f aca="false">+IF(E1969=0,0,E1969*0.03)</f>
        <v>0</v>
      </c>
    </row>
    <row r="1970" customFormat="false" ht="15.75" hidden="false" customHeight="true" outlineLevel="0" collapsed="false">
      <c r="A1970" s="30" t="n">
        <v>45323</v>
      </c>
      <c r="B1970" s="31" t="s">
        <v>11</v>
      </c>
      <c r="C1970" s="32"/>
      <c r="D1970" s="32"/>
      <c r="E1970" s="19" t="n">
        <f aca="false">+IF(C1970="EQUIPO",F1970,0)</f>
        <v>0</v>
      </c>
      <c r="F1970" s="33" t="n">
        <v>0</v>
      </c>
      <c r="G1970" s="62"/>
      <c r="H1970" s="35" t="n">
        <v>0</v>
      </c>
      <c r="I1970" s="34" t="n">
        <f aca="false">+IF(E1970=0,0,E1970*0.03)</f>
        <v>0</v>
      </c>
    </row>
    <row r="1971" customFormat="false" ht="15.75" hidden="false" customHeight="true" outlineLevel="0" collapsed="false">
      <c r="A1971" s="30" t="n">
        <v>45323</v>
      </c>
      <c r="B1971" s="31" t="s">
        <v>11</v>
      </c>
      <c r="C1971" s="32"/>
      <c r="D1971" s="32"/>
      <c r="E1971" s="19" t="n">
        <f aca="false">+IF(C1971="EQUIPO",F1971,0)</f>
        <v>0</v>
      </c>
      <c r="F1971" s="33" t="n">
        <v>0</v>
      </c>
      <c r="G1971" s="62"/>
      <c r="H1971" s="35" t="n">
        <v>0</v>
      </c>
      <c r="I1971" s="34" t="n">
        <f aca="false">+IF(E1971=0,0,E1971*0.03)</f>
        <v>0</v>
      </c>
    </row>
    <row r="1972" customFormat="false" ht="15.75" hidden="false" customHeight="true" outlineLevel="0" collapsed="false">
      <c r="A1972" s="30" t="n">
        <v>45323</v>
      </c>
      <c r="B1972" s="31" t="s">
        <v>11</v>
      </c>
      <c r="C1972" s="32"/>
      <c r="D1972" s="32"/>
      <c r="E1972" s="19" t="n">
        <f aca="false">+IF(C1972="EQUIPO",F1972,0)</f>
        <v>0</v>
      </c>
      <c r="F1972" s="33" t="n">
        <v>0</v>
      </c>
      <c r="G1972" s="62"/>
      <c r="H1972" s="35" t="n">
        <v>0</v>
      </c>
      <c r="I1972" s="34" t="n">
        <f aca="false">+IF(E1972=0,0,E1972*0.03)</f>
        <v>0</v>
      </c>
    </row>
    <row r="1973" customFormat="false" ht="15.75" hidden="false" customHeight="true" outlineLevel="0" collapsed="false">
      <c r="A1973" s="30" t="n">
        <v>45323</v>
      </c>
      <c r="B1973" s="31" t="s">
        <v>11</v>
      </c>
      <c r="C1973" s="32"/>
      <c r="D1973" s="32"/>
      <c r="E1973" s="19" t="n">
        <f aca="false">+IF(C1973="EQUIPO",F1973,0)</f>
        <v>0</v>
      </c>
      <c r="F1973" s="33" t="n">
        <v>0</v>
      </c>
      <c r="G1973" s="62"/>
      <c r="H1973" s="35" t="n">
        <v>0</v>
      </c>
      <c r="I1973" s="34" t="n">
        <f aca="false">+IF(E1973=0,0,E1973*0.03)</f>
        <v>0</v>
      </c>
    </row>
    <row r="1974" customFormat="false" ht="15.75" hidden="false" customHeight="true" outlineLevel="0" collapsed="false">
      <c r="A1974" s="30" t="n">
        <v>45323</v>
      </c>
      <c r="B1974" s="31" t="s">
        <v>11</v>
      </c>
      <c r="C1974" s="32"/>
      <c r="D1974" s="32"/>
      <c r="E1974" s="19" t="n">
        <f aca="false">+IF(C1974="EQUIPO",F1974,0)</f>
        <v>0</v>
      </c>
      <c r="F1974" s="33" t="n">
        <v>0</v>
      </c>
      <c r="G1974" s="62"/>
      <c r="H1974" s="35" t="n">
        <v>0</v>
      </c>
      <c r="I1974" s="34" t="n">
        <f aca="false">+IF(E1974=0,0,E1974*0.03)</f>
        <v>0</v>
      </c>
    </row>
    <row r="1975" customFormat="false" ht="15.75" hidden="false" customHeight="true" outlineLevel="0" collapsed="false">
      <c r="A1975" s="30" t="n">
        <v>45323</v>
      </c>
      <c r="B1975" s="31" t="s">
        <v>11</v>
      </c>
      <c r="C1975" s="32"/>
      <c r="D1975" s="32"/>
      <c r="E1975" s="19" t="n">
        <f aca="false">+IF(C1975="EQUIPO",F1975,0)</f>
        <v>0</v>
      </c>
      <c r="F1975" s="33" t="n">
        <v>0</v>
      </c>
      <c r="G1975" s="62"/>
      <c r="H1975" s="35" t="n">
        <v>0</v>
      </c>
      <c r="I1975" s="34" t="n">
        <f aca="false">+IF(E1975=0,0,E1975*0.03)</f>
        <v>0</v>
      </c>
    </row>
    <row r="1976" customFormat="false" ht="15.75" hidden="false" customHeight="true" outlineLevel="0" collapsed="false">
      <c r="A1976" s="30" t="n">
        <v>45323</v>
      </c>
      <c r="B1976" s="31" t="s">
        <v>11</v>
      </c>
      <c r="C1976" s="32"/>
      <c r="D1976" s="32"/>
      <c r="E1976" s="19" t="n">
        <f aca="false">+IF(C1976="EQUIPO",F1976,0)</f>
        <v>0</v>
      </c>
      <c r="F1976" s="33" t="n">
        <v>0</v>
      </c>
      <c r="G1976" s="62"/>
      <c r="H1976" s="35" t="n">
        <v>0</v>
      </c>
      <c r="I1976" s="34" t="n">
        <f aca="false">+IF(E1976=0,0,E1976*0.03)</f>
        <v>0</v>
      </c>
    </row>
    <row r="1977" customFormat="false" ht="15.75" hidden="false" customHeight="true" outlineLevel="0" collapsed="false">
      <c r="A1977" s="30" t="n">
        <v>45323</v>
      </c>
      <c r="B1977" s="31" t="s">
        <v>11</v>
      </c>
      <c r="C1977" s="32"/>
      <c r="D1977" s="32"/>
      <c r="E1977" s="19" t="n">
        <f aca="false">+IF(C1977="EQUIPO",F1977,0)</f>
        <v>0</v>
      </c>
      <c r="F1977" s="33" t="n">
        <v>0</v>
      </c>
      <c r="G1977" s="62"/>
      <c r="H1977" s="35" t="n">
        <v>0</v>
      </c>
      <c r="I1977" s="34" t="n">
        <f aca="false">+IF(E1977=0,0,E1977*0.03)</f>
        <v>0</v>
      </c>
    </row>
    <row r="1978" customFormat="false" ht="15.75" hidden="false" customHeight="true" outlineLevel="0" collapsed="false">
      <c r="A1978" s="30" t="n">
        <v>45323</v>
      </c>
      <c r="B1978" s="31" t="s">
        <v>11</v>
      </c>
      <c r="C1978" s="32"/>
      <c r="D1978" s="32"/>
      <c r="E1978" s="19" t="n">
        <f aca="false">+IF(C1978="EQUIPO",F1978,0)</f>
        <v>0</v>
      </c>
      <c r="F1978" s="33" t="n">
        <v>0</v>
      </c>
      <c r="G1978" s="62"/>
      <c r="H1978" s="35" t="n">
        <v>0</v>
      </c>
      <c r="I1978" s="34" t="n">
        <f aca="false">+IF(E1978=0,0,E1978*0.03)</f>
        <v>0</v>
      </c>
    </row>
    <row r="1979" customFormat="false" ht="15.75" hidden="false" customHeight="true" outlineLevel="0" collapsed="false">
      <c r="A1979" s="30" t="n">
        <v>45323</v>
      </c>
      <c r="B1979" s="31" t="s">
        <v>11</v>
      </c>
      <c r="C1979" s="32"/>
      <c r="D1979" s="32"/>
      <c r="E1979" s="19" t="n">
        <f aca="false">+IF(C1979="EQUIPO",F1979,0)</f>
        <v>0</v>
      </c>
      <c r="F1979" s="33" t="n">
        <v>0</v>
      </c>
      <c r="G1979" s="62"/>
      <c r="H1979" s="35" t="n">
        <v>0</v>
      </c>
      <c r="I1979" s="34" t="n">
        <f aca="false">+IF(E1979=0,0,E1979*0.03)</f>
        <v>0</v>
      </c>
    </row>
    <row r="1980" customFormat="false" ht="15.75" hidden="false" customHeight="true" outlineLevel="0" collapsed="false">
      <c r="A1980" s="30" t="n">
        <v>45323</v>
      </c>
      <c r="B1980" s="31" t="s">
        <v>11</v>
      </c>
      <c r="C1980" s="32"/>
      <c r="D1980" s="32"/>
      <c r="E1980" s="19" t="n">
        <f aca="false">+IF(C1980="EQUIPO",F1980,0)</f>
        <v>0</v>
      </c>
      <c r="F1980" s="33" t="n">
        <v>0</v>
      </c>
      <c r="G1980" s="62"/>
      <c r="H1980" s="35" t="n">
        <v>0</v>
      </c>
      <c r="I1980" s="34" t="n">
        <f aca="false">+IF(E1980=0,0,E1980*0.03)</f>
        <v>0</v>
      </c>
    </row>
    <row r="1981" customFormat="false" ht="15.75" hidden="false" customHeight="true" outlineLevel="0" collapsed="false">
      <c r="A1981" s="30" t="n">
        <v>45323</v>
      </c>
      <c r="B1981" s="31" t="s">
        <v>11</v>
      </c>
      <c r="C1981" s="32"/>
      <c r="D1981" s="32"/>
      <c r="E1981" s="19" t="n">
        <f aca="false">+IF(C1981="EQUIPO",F1981,0)</f>
        <v>0</v>
      </c>
      <c r="F1981" s="33" t="n">
        <v>0</v>
      </c>
      <c r="G1981" s="62"/>
      <c r="H1981" s="35" t="n">
        <v>0</v>
      </c>
      <c r="I1981" s="34" t="n">
        <f aca="false">+IF(E1981=0,0,E1981*0.03)</f>
        <v>0</v>
      </c>
    </row>
    <row r="1982" customFormat="false" ht="15.75" hidden="false" customHeight="true" outlineLevel="0" collapsed="false">
      <c r="B1982" s="31"/>
      <c r="C1982" s="32"/>
      <c r="D1982" s="32" t="s">
        <v>26</v>
      </c>
      <c r="E1982" s="19" t="n">
        <f aca="false">SUM(E7:E1981)</f>
        <v>5295000</v>
      </c>
      <c r="F1982" s="19" t="n">
        <f aca="false">SUM(F7:F1981)</f>
        <v>5295000</v>
      </c>
      <c r="G1982" s="19"/>
      <c r="H1982" s="37" t="n">
        <f aca="false">SUM(H7:H1981)</f>
        <v>0</v>
      </c>
      <c r="I1982" s="38" t="n">
        <f aca="false">SUM(I7:I1981)</f>
        <v>158850</v>
      </c>
    </row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>
      <c r="P1988" s="36"/>
    </row>
    <row r="1989" customFormat="false" ht="15.75" hidden="false" customHeight="true" outlineLevel="0" collapsed="false"/>
    <row r="1990" customFormat="false" ht="15.75" hidden="false" customHeight="true" outlineLevel="0" collapsed="false">
      <c r="O1990" s="36"/>
      <c r="P1990" s="36"/>
    </row>
  </sheetData>
  <mergeCells count="4">
    <mergeCell ref="A1:A5"/>
    <mergeCell ref="H1:I1"/>
    <mergeCell ref="H2:I2"/>
    <mergeCell ref="C5:I5"/>
  </mergeCells>
  <dataValidations count="2">
    <dataValidation allowBlank="true" errorStyle="stop" operator="between" showDropDown="false" showErrorMessage="true" showInputMessage="false" sqref="G7:G1981" type="list">
      <formula1>$G$2:$G$4</formula1>
      <formula2>0</formula2>
    </dataValidation>
    <dataValidation allowBlank="true" errorStyle="stop" operator="between" showDropDown="false" showErrorMessage="true" showInputMessage="false" sqref="B7:B1982" type="list">
      <formula1>$B$1:$B$4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4.4296875" defaultRowHeight="15" zeroHeight="false" outlineLevelRow="0" outlineLevelCol="0"/>
  <cols>
    <col collapsed="false" customWidth="true" hidden="false" outlineLevel="0" max="2" min="2" style="0" width="19.86"/>
    <col collapsed="false" customWidth="true" hidden="false" outlineLevel="0" max="3" min="3" style="0" width="17.14"/>
    <col collapsed="false" customWidth="true" hidden="false" outlineLevel="0" max="4" min="4" style="0" width="20.57"/>
    <col collapsed="false" customWidth="true" hidden="true" outlineLevel="0" max="5" min="5" style="0" width="23"/>
    <col collapsed="false" customWidth="true" hidden="false" outlineLevel="0" max="7" min="6" style="0" width="18.43"/>
    <col collapsed="false" customWidth="true" hidden="false" outlineLevel="0" max="8" min="8" style="0" width="13.86"/>
    <col collapsed="false" customWidth="true" hidden="false" outlineLevel="0" max="9" min="9" style="0" width="21"/>
    <col collapsed="false" customWidth="true" hidden="false" outlineLevel="0" max="14" min="10" style="0" width="10.7"/>
    <col collapsed="false" customWidth="true" hidden="false" outlineLevel="0" max="15" min="15" style="0" width="13.57"/>
    <col collapsed="false" customWidth="true" hidden="false" outlineLevel="0" max="16" min="16" style="0" width="14.7"/>
    <col collapsed="false" customWidth="true" hidden="false" outlineLevel="0" max="25" min="17" style="0" width="10.7"/>
  </cols>
  <sheetData>
    <row r="1" customFormat="false" ht="29.25" hidden="false" customHeight="true" outlineLevel="0" collapsed="false">
      <c r="A1" s="1" t="s">
        <v>27</v>
      </c>
      <c r="B1" s="39" t="s">
        <v>1</v>
      </c>
      <c r="C1" s="40" t="s">
        <v>2</v>
      </c>
      <c r="D1" s="41" t="s">
        <v>3</v>
      </c>
      <c r="E1" s="42"/>
      <c r="F1" s="43" t="s">
        <v>4</v>
      </c>
      <c r="G1" s="44" t="s">
        <v>28</v>
      </c>
      <c r="H1" s="45" t="s">
        <v>29</v>
      </c>
      <c r="I1" s="45"/>
    </row>
    <row r="2" customFormat="false" ht="14.25" hidden="false" customHeight="true" outlineLevel="0" collapsed="false">
      <c r="A2" s="1"/>
      <c r="B2" s="46" t="s">
        <v>6</v>
      </c>
      <c r="C2" s="9" t="n">
        <f aca="false">+I1982</f>
        <v>130650</v>
      </c>
      <c r="D2" s="10" t="n">
        <f aca="false">+F1982</f>
        <v>4355000</v>
      </c>
      <c r="E2" s="11"/>
      <c r="F2" s="47" t="n">
        <f aca="false">+D2-(C2+E2)</f>
        <v>4224350</v>
      </c>
      <c r="G2" s="48" t="s">
        <v>30</v>
      </c>
      <c r="H2" s="49" t="n">
        <f aca="false">+C2/3</f>
        <v>43550</v>
      </c>
      <c r="I2" s="49"/>
      <c r="Y2" s="14"/>
    </row>
    <row r="3" customFormat="false" ht="33" hidden="false" customHeight="true" outlineLevel="0" collapsed="false">
      <c r="A3" s="1"/>
      <c r="B3" s="46" t="s">
        <v>7</v>
      </c>
      <c r="C3" s="15" t="s">
        <v>8</v>
      </c>
      <c r="D3" s="16" t="s">
        <v>9</v>
      </c>
      <c r="E3" s="17"/>
      <c r="F3" s="50" t="s">
        <v>10</v>
      </c>
      <c r="G3" s="51" t="s">
        <v>31</v>
      </c>
      <c r="H3" s="52" t="n">
        <v>0.5</v>
      </c>
      <c r="I3" s="53" t="n">
        <v>0.25</v>
      </c>
      <c r="Y3" s="14"/>
    </row>
    <row r="4" customFormat="false" ht="14.25" hidden="false" customHeight="true" outlineLevel="0" collapsed="false">
      <c r="A4" s="1"/>
      <c r="B4" s="54" t="s">
        <v>11</v>
      </c>
      <c r="C4" s="55" t="n">
        <f aca="false">+C2*H3</f>
        <v>65325</v>
      </c>
      <c r="D4" s="56" t="n">
        <f aca="false">+C2*I3</f>
        <v>32662.5</v>
      </c>
      <c r="E4" s="57"/>
      <c r="F4" s="58" t="n">
        <f aca="false">+D4</f>
        <v>32662.5</v>
      </c>
      <c r="G4" s="59" t="s">
        <v>32</v>
      </c>
      <c r="H4" s="60" t="n">
        <f aca="false">+C2-C4</f>
        <v>65325</v>
      </c>
      <c r="I4" s="61" t="n">
        <v>1</v>
      </c>
    </row>
    <row r="5" customFormat="false" ht="14.25" hidden="false" customHeight="true" outlineLevel="0" collapsed="false">
      <c r="A5" s="1"/>
      <c r="B5" s="23" t="s">
        <v>12</v>
      </c>
      <c r="C5" s="24" t="n">
        <f aca="false">H1982</f>
        <v>0</v>
      </c>
      <c r="D5" s="24"/>
      <c r="E5" s="24"/>
      <c r="F5" s="24"/>
      <c r="G5" s="24"/>
      <c r="H5" s="24"/>
      <c r="I5" s="24"/>
    </row>
    <row r="6" customFormat="false" ht="14.25" hidden="false" customHeight="true" outlineLevel="0" collapsed="false">
      <c r="A6" s="25" t="s">
        <v>13</v>
      </c>
      <c r="B6" s="25" t="s">
        <v>14</v>
      </c>
      <c r="C6" s="25" t="s">
        <v>15</v>
      </c>
      <c r="D6" s="26" t="s">
        <v>16</v>
      </c>
      <c r="E6" s="26" t="s">
        <v>17</v>
      </c>
      <c r="F6" s="27" t="s">
        <v>18</v>
      </c>
      <c r="G6" s="27" t="s">
        <v>28</v>
      </c>
      <c r="H6" s="28" t="s">
        <v>19</v>
      </c>
      <c r="I6" s="29" t="s">
        <v>20</v>
      </c>
      <c r="O6" s="19"/>
    </row>
    <row r="7" customFormat="false" ht="1.5" hidden="false" customHeight="true" outlineLevel="0" collapsed="false">
      <c r="A7" s="30" t="n">
        <v>45323</v>
      </c>
      <c r="B7" s="31" t="s">
        <v>1</v>
      </c>
      <c r="C7" s="32" t="s">
        <v>15</v>
      </c>
      <c r="D7" s="32"/>
      <c r="E7" s="19" t="n">
        <f aca="false">+IF(C7="EQUIPO",F7,0)</f>
        <v>0</v>
      </c>
      <c r="F7" s="33" t="n">
        <v>0</v>
      </c>
      <c r="G7" s="62" t="s">
        <v>30</v>
      </c>
      <c r="H7" s="34" t="n">
        <v>0</v>
      </c>
      <c r="I7" s="34" t="n">
        <f aca="false">+IF(E7=0,0,E7*0.03)</f>
        <v>0</v>
      </c>
      <c r="O7" s="19"/>
    </row>
    <row r="8" customFormat="false" ht="14.25" hidden="false" customHeight="true" outlineLevel="0" collapsed="false">
      <c r="A8" s="30" t="n">
        <v>45356</v>
      </c>
      <c r="B8" s="31" t="s">
        <v>7</v>
      </c>
      <c r="C8" s="32" t="s">
        <v>15</v>
      </c>
      <c r="D8" s="32" t="s">
        <v>61</v>
      </c>
      <c r="E8" s="19" t="n">
        <f aca="false">+IF(C8="EQUIPO",F8,0)</f>
        <v>70000</v>
      </c>
      <c r="F8" s="33" t="n">
        <v>70000</v>
      </c>
      <c r="G8" s="62" t="s">
        <v>30</v>
      </c>
      <c r="H8" s="34" t="n">
        <v>0</v>
      </c>
      <c r="I8" s="34" t="n">
        <f aca="false">+IF(E8=0,0,E8*0.03)</f>
        <v>2100</v>
      </c>
      <c r="J8" s="0" t="n">
        <f aca="false">F8+SUM(F11:F15)+SUM(F17:F19)+SUM(F21:F24)</f>
        <v>3725000</v>
      </c>
    </row>
    <row r="9" customFormat="false" ht="14.25" hidden="false" customHeight="true" outlineLevel="0" collapsed="false">
      <c r="A9" s="65" t="n">
        <v>45356</v>
      </c>
      <c r="B9" s="31" t="s">
        <v>11</v>
      </c>
      <c r="C9" s="32" t="s">
        <v>15</v>
      </c>
      <c r="D9" s="32" t="s">
        <v>62</v>
      </c>
      <c r="E9" s="19" t="n">
        <f aca="false">+IF(C9="EQUIPO",F9,0)</f>
        <v>70000</v>
      </c>
      <c r="F9" s="33" t="n">
        <v>70000</v>
      </c>
      <c r="G9" s="62" t="s">
        <v>31</v>
      </c>
      <c r="H9" s="34" t="n">
        <v>0</v>
      </c>
      <c r="I9" s="34" t="n">
        <f aca="false">+IF(E9=0,0,E9*0.03)</f>
        <v>2100</v>
      </c>
    </row>
    <row r="10" customFormat="false" ht="14.25" hidden="false" customHeight="true" outlineLevel="0" collapsed="false">
      <c r="A10" s="65" t="n">
        <v>45364</v>
      </c>
      <c r="B10" s="31" t="s">
        <v>11</v>
      </c>
      <c r="C10" s="32" t="s">
        <v>15</v>
      </c>
      <c r="D10" s="32" t="s">
        <v>63</v>
      </c>
      <c r="E10" s="19" t="n">
        <f aca="false">+IF(C10="EQUIPO",F10,0)</f>
        <v>170000</v>
      </c>
      <c r="F10" s="33" t="n">
        <v>170000</v>
      </c>
      <c r="G10" s="62" t="s">
        <v>30</v>
      </c>
      <c r="H10" s="34" t="n">
        <v>0</v>
      </c>
      <c r="I10" s="34" t="n">
        <f aca="false">+IF(E10=0,0,E10*0.03)</f>
        <v>5100</v>
      </c>
      <c r="J10" s="0" t="n">
        <f aca="false">SUM(F9:F10)+F16+F20</f>
        <v>630000</v>
      </c>
    </row>
    <row r="11" customFormat="false" ht="14.25" hidden="false" customHeight="true" outlineLevel="0" collapsed="false">
      <c r="A11" s="66" t="n">
        <v>45365</v>
      </c>
      <c r="B11" s="31" t="s">
        <v>7</v>
      </c>
      <c r="C11" s="32" t="s">
        <v>15</v>
      </c>
      <c r="D11" s="32" t="s">
        <v>64</v>
      </c>
      <c r="E11" s="19" t="n">
        <f aca="false">+IF(C11="EQUIPO",F11,0)</f>
        <v>70000</v>
      </c>
      <c r="F11" s="33" t="n">
        <v>70000</v>
      </c>
      <c r="G11" s="62" t="s">
        <v>30</v>
      </c>
      <c r="H11" s="35" t="n">
        <v>0</v>
      </c>
      <c r="I11" s="34" t="n">
        <f aca="false">+IF(E11=0,0,E11*0.03)</f>
        <v>2100</v>
      </c>
      <c r="O11" s="36"/>
    </row>
    <row r="12" customFormat="false" ht="14.25" hidden="false" customHeight="true" outlineLevel="0" collapsed="false">
      <c r="A12" s="65" t="n">
        <v>45365</v>
      </c>
      <c r="B12" s="31" t="s">
        <v>7</v>
      </c>
      <c r="C12" s="32" t="s">
        <v>15</v>
      </c>
      <c r="D12" s="32" t="s">
        <v>65</v>
      </c>
      <c r="E12" s="19" t="n">
        <f aca="false">+IF(C12="EQUIPO",F12,0)</f>
        <v>240000</v>
      </c>
      <c r="F12" s="33" t="n">
        <v>240000</v>
      </c>
      <c r="G12" s="62" t="s">
        <v>30</v>
      </c>
      <c r="H12" s="35" t="n">
        <v>0</v>
      </c>
      <c r="I12" s="34" t="n">
        <f aca="false">+IF(E12=0,0,E12*0.03)</f>
        <v>7200</v>
      </c>
    </row>
    <row r="13" customFormat="false" ht="14.25" hidden="false" customHeight="true" outlineLevel="0" collapsed="false">
      <c r="A13" s="65" t="n">
        <v>45365</v>
      </c>
      <c r="B13" s="31" t="s">
        <v>7</v>
      </c>
      <c r="C13" s="32" t="s">
        <v>15</v>
      </c>
      <c r="D13" s="32" t="s">
        <v>66</v>
      </c>
      <c r="E13" s="19" t="n">
        <f aca="false">+IF(C13="EQUIPO",F13,0)</f>
        <v>70000</v>
      </c>
      <c r="F13" s="33" t="n">
        <v>70000</v>
      </c>
      <c r="G13" s="62" t="s">
        <v>31</v>
      </c>
      <c r="H13" s="35" t="n">
        <v>0</v>
      </c>
      <c r="I13" s="34" t="n">
        <f aca="false">+IF(E13=0,0,E13*0.03)</f>
        <v>2100</v>
      </c>
    </row>
    <row r="14" customFormat="false" ht="14.25" hidden="false" customHeight="true" outlineLevel="0" collapsed="false">
      <c r="A14" s="65" t="n">
        <v>45365</v>
      </c>
      <c r="B14" s="31" t="s">
        <v>7</v>
      </c>
      <c r="C14" s="32" t="s">
        <v>15</v>
      </c>
      <c r="D14" s="32" t="s">
        <v>67</v>
      </c>
      <c r="E14" s="19" t="n">
        <f aca="false">+IF(C14="EQUIPO",F14,0)</f>
        <v>290000</v>
      </c>
      <c r="F14" s="33" t="n">
        <v>290000</v>
      </c>
      <c r="G14" s="62" t="s">
        <v>30</v>
      </c>
      <c r="H14" s="35" t="n">
        <v>0</v>
      </c>
      <c r="I14" s="34" t="n">
        <f aca="false">+IF(E14=0,0,E14*0.03)</f>
        <v>8700</v>
      </c>
    </row>
    <row r="15" customFormat="false" ht="14.25" hidden="false" customHeight="true" outlineLevel="0" collapsed="false">
      <c r="A15" s="65" t="n">
        <v>45367</v>
      </c>
      <c r="B15" s="31" t="s">
        <v>7</v>
      </c>
      <c r="C15" s="32" t="s">
        <v>15</v>
      </c>
      <c r="D15" s="32" t="s">
        <v>68</v>
      </c>
      <c r="E15" s="19" t="n">
        <f aca="false">+IF(C15="EQUIPO",F15,0)</f>
        <v>60000</v>
      </c>
      <c r="F15" s="33" t="n">
        <v>60000</v>
      </c>
      <c r="G15" s="62" t="s">
        <v>31</v>
      </c>
      <c r="H15" s="35" t="n">
        <v>0</v>
      </c>
      <c r="I15" s="34" t="n">
        <f aca="false">+IF(E15=0,0,E15*0.03)</f>
        <v>1800</v>
      </c>
    </row>
    <row r="16" customFormat="false" ht="14.25" hidden="false" customHeight="true" outlineLevel="0" collapsed="false">
      <c r="A16" s="65" t="n">
        <v>45367</v>
      </c>
      <c r="B16" s="31" t="s">
        <v>11</v>
      </c>
      <c r="C16" s="32" t="s">
        <v>15</v>
      </c>
      <c r="D16" s="32" t="s">
        <v>69</v>
      </c>
      <c r="E16" s="19" t="n">
        <f aca="false">+IF(C16="EQUIPO",F16,0)</f>
        <v>340000</v>
      </c>
      <c r="F16" s="33" t="n">
        <v>340000</v>
      </c>
      <c r="G16" s="62" t="s">
        <v>30</v>
      </c>
      <c r="H16" s="35" t="n">
        <v>0</v>
      </c>
      <c r="I16" s="34" t="n">
        <f aca="false">+IF(E16=0,0,E16*0.03)</f>
        <v>10200</v>
      </c>
    </row>
    <row r="17" customFormat="false" ht="14.25" hidden="false" customHeight="true" outlineLevel="0" collapsed="false">
      <c r="A17" s="65" t="n">
        <v>45369</v>
      </c>
      <c r="B17" s="31" t="s">
        <v>7</v>
      </c>
      <c r="C17" s="32" t="s">
        <v>15</v>
      </c>
      <c r="D17" s="32" t="s">
        <v>70</v>
      </c>
      <c r="E17" s="19" t="n">
        <f aca="false">+IF(C17="EQUIPO",F17,0)</f>
        <v>90000</v>
      </c>
      <c r="F17" s="33" t="n">
        <v>90000</v>
      </c>
      <c r="G17" s="62" t="s">
        <v>31</v>
      </c>
      <c r="H17" s="35" t="n">
        <v>0</v>
      </c>
      <c r="I17" s="34" t="n">
        <f aca="false">+IF(E17=0,0,E17*0.03)</f>
        <v>2700</v>
      </c>
    </row>
    <row r="18" customFormat="false" ht="14.25" hidden="false" customHeight="true" outlineLevel="0" collapsed="false">
      <c r="A18" s="65" t="n">
        <v>45371</v>
      </c>
      <c r="B18" s="31" t="s">
        <v>7</v>
      </c>
      <c r="C18" s="32" t="s">
        <v>15</v>
      </c>
      <c r="D18" s="32" t="s">
        <v>71</v>
      </c>
      <c r="E18" s="19" t="n">
        <f aca="false">+IF(C18="EQUIPO",F18,0)</f>
        <v>430000</v>
      </c>
      <c r="F18" s="33" t="n">
        <v>430000</v>
      </c>
      <c r="G18" s="62" t="s">
        <v>31</v>
      </c>
      <c r="H18" s="35" t="n">
        <v>0</v>
      </c>
      <c r="I18" s="34" t="n">
        <f aca="false">+IF(E18=0,0,E18*0.03)</f>
        <v>12900</v>
      </c>
    </row>
    <row r="19" customFormat="false" ht="14.25" hidden="false" customHeight="true" outlineLevel="0" collapsed="false">
      <c r="A19" s="65" t="n">
        <v>45372</v>
      </c>
      <c r="B19" s="31" t="s">
        <v>7</v>
      </c>
      <c r="C19" s="32" t="s">
        <v>15</v>
      </c>
      <c r="D19" s="32" t="s">
        <v>72</v>
      </c>
      <c r="E19" s="19" t="n">
        <f aca="false">+IF(C19="EQUIPO",F19,0)</f>
        <v>560000</v>
      </c>
      <c r="F19" s="33" t="n">
        <v>560000</v>
      </c>
      <c r="G19" s="62" t="s">
        <v>30</v>
      </c>
      <c r="H19" s="35" t="n">
        <v>0</v>
      </c>
      <c r="I19" s="34" t="n">
        <f aca="false">+IF(E19=0,0,E19*0.03)</f>
        <v>16800</v>
      </c>
    </row>
    <row r="20" customFormat="false" ht="14.25" hidden="false" customHeight="true" outlineLevel="0" collapsed="false">
      <c r="A20" s="65" t="n">
        <v>45373</v>
      </c>
      <c r="B20" s="31" t="s">
        <v>11</v>
      </c>
      <c r="C20" s="32" t="s">
        <v>15</v>
      </c>
      <c r="D20" s="32" t="s">
        <v>73</v>
      </c>
      <c r="E20" s="19" t="n">
        <f aca="false">+IF(C20="EQUIPO",F20,0)</f>
        <v>50000</v>
      </c>
      <c r="F20" s="33" t="n">
        <v>50000</v>
      </c>
      <c r="G20" s="62" t="s">
        <v>31</v>
      </c>
      <c r="H20" s="35" t="n">
        <v>0</v>
      </c>
      <c r="I20" s="34" t="n">
        <f aca="false">+IF(E20=0,0,E20*0.03)</f>
        <v>1500</v>
      </c>
    </row>
    <row r="21" customFormat="false" ht="14.25" hidden="false" customHeight="true" outlineLevel="0" collapsed="false">
      <c r="A21" s="65" t="n">
        <v>45376</v>
      </c>
      <c r="B21" s="31" t="s">
        <v>7</v>
      </c>
      <c r="C21" s="32" t="s">
        <v>15</v>
      </c>
      <c r="D21" s="32" t="s">
        <v>74</v>
      </c>
      <c r="E21" s="19" t="n">
        <f aca="false">+IF(C21="EQUIPO",F21,0)</f>
        <v>100000</v>
      </c>
      <c r="F21" s="33" t="n">
        <v>100000</v>
      </c>
      <c r="G21" s="62" t="s">
        <v>31</v>
      </c>
      <c r="H21" s="35" t="n">
        <v>0</v>
      </c>
      <c r="I21" s="34" t="n">
        <f aca="false">+IF(E21=0,0,E21*0.03)</f>
        <v>3000</v>
      </c>
    </row>
    <row r="22" customFormat="false" ht="15.75" hidden="false" customHeight="true" outlineLevel="0" collapsed="false">
      <c r="A22" s="65" t="n">
        <v>45376</v>
      </c>
      <c r="B22" s="31" t="s">
        <v>7</v>
      </c>
      <c r="C22" s="32" t="s">
        <v>15</v>
      </c>
      <c r="D22" s="32" t="s">
        <v>75</v>
      </c>
      <c r="E22" s="19" t="n">
        <f aca="false">+IF(C22="EQUIPO",F22,0)</f>
        <v>90000</v>
      </c>
      <c r="F22" s="33" t="n">
        <v>90000</v>
      </c>
      <c r="G22" s="62" t="s">
        <v>31</v>
      </c>
      <c r="H22" s="35" t="n">
        <v>0</v>
      </c>
      <c r="I22" s="34" t="n">
        <f aca="false">+IF(E22=0,0,E22*0.03)</f>
        <v>2700</v>
      </c>
    </row>
    <row r="23" customFormat="false" ht="15.75" hidden="false" customHeight="true" outlineLevel="0" collapsed="false">
      <c r="A23" s="65" t="n">
        <v>45376</v>
      </c>
      <c r="B23" s="31" t="s">
        <v>7</v>
      </c>
      <c r="C23" s="32" t="s">
        <v>15</v>
      </c>
      <c r="D23" s="32" t="s">
        <v>76</v>
      </c>
      <c r="E23" s="19" t="n">
        <f aca="false">+IF(C23="EQUIPO",F23,0)</f>
        <v>25000</v>
      </c>
      <c r="F23" s="33" t="n">
        <v>25000</v>
      </c>
      <c r="G23" s="62" t="s">
        <v>31</v>
      </c>
      <c r="H23" s="35" t="n">
        <v>0</v>
      </c>
      <c r="I23" s="34" t="n">
        <f aca="false">+IF(E23=0,0,E23*0.03)</f>
        <v>750</v>
      </c>
    </row>
    <row r="24" customFormat="false" ht="15.75" hidden="false" customHeight="true" outlineLevel="0" collapsed="false">
      <c r="A24" s="65" t="n">
        <v>45366</v>
      </c>
      <c r="B24" s="31" t="s">
        <v>7</v>
      </c>
      <c r="C24" s="32" t="s">
        <v>15</v>
      </c>
      <c r="D24" s="32" t="s">
        <v>77</v>
      </c>
      <c r="E24" s="19" t="n">
        <f aca="false">+IF(C24="EQUIPO",F24,0)</f>
        <v>1630000</v>
      </c>
      <c r="F24" s="33" t="n">
        <v>1630000</v>
      </c>
      <c r="G24" s="62" t="s">
        <v>30</v>
      </c>
      <c r="H24" s="35" t="n">
        <v>0</v>
      </c>
      <c r="I24" s="34" t="n">
        <f aca="false">+IF(E24=0,0,E24*0.03)</f>
        <v>48900</v>
      </c>
    </row>
    <row r="25" customFormat="false" ht="15.75" hidden="false" customHeight="true" outlineLevel="0" collapsed="false">
      <c r="A25" s="65" t="n">
        <v>45352</v>
      </c>
      <c r="B25" s="31" t="s">
        <v>11</v>
      </c>
      <c r="C25" s="32" t="s">
        <v>15</v>
      </c>
      <c r="D25" s="32"/>
      <c r="E25" s="19" t="n">
        <f aca="false">+IF(C25="EQUIPO",F25,0)</f>
        <v>0</v>
      </c>
      <c r="F25" s="33" t="n">
        <v>0</v>
      </c>
      <c r="G25" s="62" t="s">
        <v>30</v>
      </c>
      <c r="H25" s="35" t="n">
        <v>0</v>
      </c>
      <c r="I25" s="34" t="n">
        <f aca="false">+IF(E25=0,0,E25*0.03)</f>
        <v>0</v>
      </c>
    </row>
    <row r="26" customFormat="false" ht="15.75" hidden="false" customHeight="true" outlineLevel="0" collapsed="false">
      <c r="A26" s="65" t="n">
        <v>45352</v>
      </c>
      <c r="B26" s="31" t="s">
        <v>7</v>
      </c>
      <c r="C26" s="32" t="s">
        <v>15</v>
      </c>
      <c r="D26" s="32"/>
      <c r="E26" s="19" t="n">
        <f aca="false">+IF(C26="EQUIPO",F26,0)</f>
        <v>0</v>
      </c>
      <c r="F26" s="33" t="n">
        <v>0</v>
      </c>
      <c r="G26" s="62" t="s">
        <v>30</v>
      </c>
      <c r="H26" s="35" t="n">
        <v>0</v>
      </c>
      <c r="I26" s="34" t="n">
        <f aca="false">+IF(E26=0,0,E26*0.03)</f>
        <v>0</v>
      </c>
    </row>
    <row r="27" customFormat="false" ht="15.75" hidden="false" customHeight="true" outlineLevel="0" collapsed="false">
      <c r="A27" s="65" t="n">
        <v>45352</v>
      </c>
      <c r="B27" s="31" t="s">
        <v>7</v>
      </c>
      <c r="C27" s="32" t="s">
        <v>15</v>
      </c>
      <c r="D27" s="32"/>
      <c r="E27" s="19" t="n">
        <f aca="false">+IF(C27="EQUIPO",F27,0)</f>
        <v>0</v>
      </c>
      <c r="F27" s="33" t="n">
        <v>0</v>
      </c>
      <c r="G27" s="62" t="s">
        <v>32</v>
      </c>
      <c r="H27" s="35" t="n">
        <v>0</v>
      </c>
      <c r="I27" s="34" t="n">
        <f aca="false">+IF(E27=0,0,E27*0.03)</f>
        <v>0</v>
      </c>
    </row>
    <row r="28" customFormat="false" ht="15.75" hidden="false" customHeight="true" outlineLevel="0" collapsed="false">
      <c r="A28" s="65" t="n">
        <v>45352</v>
      </c>
      <c r="B28" s="31" t="s">
        <v>6</v>
      </c>
      <c r="C28" s="32" t="s">
        <v>15</v>
      </c>
      <c r="D28" s="32"/>
      <c r="E28" s="19" t="n">
        <f aca="false">+IF(C28="EQUIPO",F28,0)</f>
        <v>0</v>
      </c>
      <c r="F28" s="33" t="n">
        <v>0</v>
      </c>
      <c r="G28" s="62" t="s">
        <v>31</v>
      </c>
      <c r="H28" s="35" t="n">
        <v>0</v>
      </c>
      <c r="I28" s="34" t="n">
        <f aca="false">+IF(E28=0,0,E28*0.03)</f>
        <v>0</v>
      </c>
    </row>
    <row r="29" customFormat="false" ht="15.75" hidden="false" customHeight="true" outlineLevel="0" collapsed="false">
      <c r="A29" s="65" t="n">
        <v>45352</v>
      </c>
      <c r="B29" s="31" t="s">
        <v>7</v>
      </c>
      <c r="C29" s="32" t="s">
        <v>15</v>
      </c>
      <c r="D29" s="32"/>
      <c r="E29" s="19" t="n">
        <f aca="false">+IF(C29="EQUIPO",F29,0)</f>
        <v>0</v>
      </c>
      <c r="F29" s="33" t="n">
        <v>0</v>
      </c>
      <c r="G29" s="62" t="s">
        <v>30</v>
      </c>
      <c r="H29" s="35" t="n">
        <v>0</v>
      </c>
      <c r="I29" s="34" t="n">
        <f aca="false">+IF(E29=0,0,E29*0.03)</f>
        <v>0</v>
      </c>
    </row>
    <row r="30" customFormat="false" ht="15.75" hidden="false" customHeight="true" outlineLevel="0" collapsed="false">
      <c r="A30" s="65" t="n">
        <v>45352</v>
      </c>
      <c r="B30" s="31"/>
      <c r="C30" s="32" t="s">
        <v>15</v>
      </c>
      <c r="D30" s="32"/>
      <c r="E30" s="19" t="n">
        <f aca="false">+IF(C30="EQUIPO",F30,0)</f>
        <v>0</v>
      </c>
      <c r="F30" s="33" t="n">
        <v>0</v>
      </c>
      <c r="G30" s="62" t="s">
        <v>31</v>
      </c>
      <c r="H30" s="35" t="n">
        <v>0</v>
      </c>
      <c r="I30" s="34" t="n">
        <f aca="false">+IF(E30=0,0,E30*0.03)</f>
        <v>0</v>
      </c>
    </row>
    <row r="31" customFormat="false" ht="15.75" hidden="false" customHeight="true" outlineLevel="0" collapsed="false">
      <c r="A31" s="65" t="n">
        <v>45352</v>
      </c>
      <c r="B31" s="31" t="s">
        <v>11</v>
      </c>
      <c r="C31" s="32" t="s">
        <v>15</v>
      </c>
      <c r="D31" s="32"/>
      <c r="E31" s="19" t="n">
        <f aca="false">+IF(C31="EQUIPO",F31,0)</f>
        <v>0</v>
      </c>
      <c r="F31" s="33" t="n">
        <v>0</v>
      </c>
      <c r="G31" s="62"/>
      <c r="H31" s="35" t="n">
        <v>0</v>
      </c>
      <c r="I31" s="34" t="n">
        <f aca="false">+IF(E31=0,0,E31*0.03)</f>
        <v>0</v>
      </c>
    </row>
    <row r="32" customFormat="false" ht="15.75" hidden="false" customHeight="true" outlineLevel="0" collapsed="false">
      <c r="A32" s="65" t="n">
        <v>45352</v>
      </c>
      <c r="B32" s="31" t="s">
        <v>11</v>
      </c>
      <c r="C32" s="32" t="s">
        <v>15</v>
      </c>
      <c r="D32" s="32"/>
      <c r="E32" s="19" t="n">
        <f aca="false">+IF(C32="EQUIPO",F32,0)</f>
        <v>0</v>
      </c>
      <c r="F32" s="33" t="n">
        <v>0</v>
      </c>
      <c r="G32" s="62"/>
      <c r="H32" s="35" t="n">
        <v>0</v>
      </c>
      <c r="I32" s="34" t="n">
        <f aca="false">+IF(E32=0,0,E32*0.03)</f>
        <v>0</v>
      </c>
    </row>
    <row r="33" customFormat="false" ht="15.75" hidden="false" customHeight="true" outlineLevel="0" collapsed="false">
      <c r="A33" s="65" t="n">
        <v>45352</v>
      </c>
      <c r="B33" s="31" t="s">
        <v>11</v>
      </c>
      <c r="C33" s="32" t="s">
        <v>15</v>
      </c>
      <c r="D33" s="32"/>
      <c r="E33" s="19" t="n">
        <f aca="false">+IF(C33="EQUIPO",F33,0)</f>
        <v>0</v>
      </c>
      <c r="F33" s="33" t="n">
        <v>0</v>
      </c>
      <c r="G33" s="62"/>
      <c r="H33" s="35" t="n">
        <v>0</v>
      </c>
      <c r="I33" s="34" t="n">
        <f aca="false">+IF(E33=0,0,E33*0.03)</f>
        <v>0</v>
      </c>
    </row>
    <row r="34" customFormat="false" ht="15.75" hidden="false" customHeight="true" outlineLevel="0" collapsed="false">
      <c r="A34" s="65" t="n">
        <v>45352</v>
      </c>
      <c r="B34" s="31" t="s">
        <v>11</v>
      </c>
      <c r="C34" s="32" t="s">
        <v>15</v>
      </c>
      <c r="D34" s="32"/>
      <c r="E34" s="19" t="n">
        <f aca="false">+IF(C34="EQUIPO",F34,0)</f>
        <v>0</v>
      </c>
      <c r="F34" s="33" t="n">
        <v>0</v>
      </c>
      <c r="G34" s="62"/>
      <c r="H34" s="35" t="n">
        <v>0</v>
      </c>
      <c r="I34" s="34" t="n">
        <f aca="false">+IF(E34=0,0,E34*0.03)</f>
        <v>0</v>
      </c>
    </row>
    <row r="35" customFormat="false" ht="15.75" hidden="false" customHeight="true" outlineLevel="0" collapsed="false">
      <c r="A35" s="65" t="n">
        <v>45352</v>
      </c>
      <c r="B35" s="31" t="s">
        <v>11</v>
      </c>
      <c r="C35" s="32" t="s">
        <v>15</v>
      </c>
      <c r="D35" s="32"/>
      <c r="E35" s="19" t="n">
        <f aca="false">+IF(C35="EQUIPO",F35,0)</f>
        <v>0</v>
      </c>
      <c r="F35" s="33" t="n">
        <v>0</v>
      </c>
      <c r="G35" s="62"/>
      <c r="H35" s="35" t="n">
        <v>0</v>
      </c>
      <c r="I35" s="34" t="n">
        <f aca="false">+IF(E35=0,0,E35*0.03)</f>
        <v>0</v>
      </c>
    </row>
    <row r="36" customFormat="false" ht="15.75" hidden="false" customHeight="true" outlineLevel="0" collapsed="false">
      <c r="A36" s="65" t="n">
        <v>45352</v>
      </c>
      <c r="B36" s="31" t="s">
        <v>11</v>
      </c>
      <c r="C36" s="32" t="s">
        <v>15</v>
      </c>
      <c r="D36" s="32"/>
      <c r="E36" s="19" t="n">
        <f aca="false">+IF(C36="EQUIPO",F36,0)</f>
        <v>0</v>
      </c>
      <c r="F36" s="33" t="n">
        <v>0</v>
      </c>
      <c r="G36" s="62"/>
      <c r="H36" s="35" t="n">
        <v>0</v>
      </c>
      <c r="I36" s="34" t="n">
        <f aca="false">+IF(E36=0,0,E36*0.03)</f>
        <v>0</v>
      </c>
    </row>
    <row r="37" customFormat="false" ht="15.75" hidden="false" customHeight="true" outlineLevel="0" collapsed="false">
      <c r="A37" s="65" t="n">
        <v>45352</v>
      </c>
      <c r="B37" s="31" t="s">
        <v>11</v>
      </c>
      <c r="C37" s="32" t="s">
        <v>15</v>
      </c>
      <c r="D37" s="32"/>
      <c r="E37" s="19" t="n">
        <f aca="false">+IF(C37="EQUIPO",F37,0)</f>
        <v>0</v>
      </c>
      <c r="F37" s="33" t="n">
        <v>0</v>
      </c>
      <c r="G37" s="62"/>
      <c r="H37" s="35" t="n">
        <v>0</v>
      </c>
      <c r="I37" s="34" t="n">
        <f aca="false">+IF(E37=0,0,E37*0.03)</f>
        <v>0</v>
      </c>
    </row>
    <row r="38" customFormat="false" ht="15.75" hidden="false" customHeight="true" outlineLevel="0" collapsed="false">
      <c r="A38" s="65" t="n">
        <v>45352</v>
      </c>
      <c r="B38" s="31" t="s">
        <v>11</v>
      </c>
      <c r="C38" s="32" t="s">
        <v>15</v>
      </c>
      <c r="D38" s="32"/>
      <c r="E38" s="19" t="n">
        <f aca="false">+IF(C38="EQUIPO",F38,0)</f>
        <v>0</v>
      </c>
      <c r="F38" s="33" t="n">
        <v>0</v>
      </c>
      <c r="G38" s="62"/>
      <c r="H38" s="35" t="n">
        <v>0</v>
      </c>
      <c r="I38" s="34" t="n">
        <f aca="false">+IF(E38=0,0,E38*0.03)</f>
        <v>0</v>
      </c>
    </row>
    <row r="39" customFormat="false" ht="15.75" hidden="false" customHeight="true" outlineLevel="0" collapsed="false">
      <c r="A39" s="65" t="n">
        <v>45352</v>
      </c>
      <c r="B39" s="31" t="s">
        <v>11</v>
      </c>
      <c r="C39" s="32" t="s">
        <v>15</v>
      </c>
      <c r="D39" s="32"/>
      <c r="E39" s="19" t="n">
        <f aca="false">+IF(C39="EQUIPO",F39,0)</f>
        <v>0</v>
      </c>
      <c r="F39" s="33" t="n">
        <v>0</v>
      </c>
      <c r="G39" s="62"/>
      <c r="H39" s="35" t="n">
        <v>0</v>
      </c>
      <c r="I39" s="34" t="n">
        <f aca="false">+IF(E39=0,0,E39*0.03)</f>
        <v>0</v>
      </c>
    </row>
    <row r="40" customFormat="false" ht="15.75" hidden="false" customHeight="true" outlineLevel="0" collapsed="false">
      <c r="A40" s="65" t="n">
        <v>45352</v>
      </c>
      <c r="B40" s="31" t="s">
        <v>11</v>
      </c>
      <c r="C40" s="32" t="s">
        <v>15</v>
      </c>
      <c r="D40" s="32"/>
      <c r="E40" s="19" t="n">
        <f aca="false">+IF(C40="EQUIPO",F40,0)</f>
        <v>0</v>
      </c>
      <c r="F40" s="33" t="n">
        <v>0</v>
      </c>
      <c r="G40" s="62"/>
      <c r="H40" s="35" t="n">
        <v>0</v>
      </c>
      <c r="I40" s="34" t="n">
        <f aca="false">+IF(E40=0,0,E40*0.03)</f>
        <v>0</v>
      </c>
    </row>
    <row r="41" customFormat="false" ht="15.75" hidden="false" customHeight="true" outlineLevel="0" collapsed="false">
      <c r="A41" s="65" t="n">
        <v>45352</v>
      </c>
      <c r="B41" s="31" t="s">
        <v>11</v>
      </c>
      <c r="C41" s="32" t="s">
        <v>15</v>
      </c>
      <c r="D41" s="32"/>
      <c r="E41" s="19" t="n">
        <f aca="false">+IF(C41="EQUIPO",F41,0)</f>
        <v>0</v>
      </c>
      <c r="F41" s="33" t="n">
        <v>0</v>
      </c>
      <c r="G41" s="62"/>
      <c r="H41" s="35" t="n">
        <v>0</v>
      </c>
      <c r="I41" s="34" t="n">
        <f aca="false">+IF(E41=0,0,E41*0.03)</f>
        <v>0</v>
      </c>
    </row>
    <row r="42" customFormat="false" ht="15.75" hidden="false" customHeight="true" outlineLevel="0" collapsed="false">
      <c r="A42" s="65" t="n">
        <v>45352</v>
      </c>
      <c r="B42" s="31" t="s">
        <v>11</v>
      </c>
      <c r="C42" s="32"/>
      <c r="D42" s="32"/>
      <c r="E42" s="19" t="n">
        <f aca="false">+IF(C42="EQUIPO",F42,0)</f>
        <v>0</v>
      </c>
      <c r="F42" s="33" t="n">
        <v>0</v>
      </c>
      <c r="G42" s="62"/>
      <c r="H42" s="35" t="n">
        <v>0</v>
      </c>
      <c r="I42" s="34" t="n">
        <f aca="false">+IF(E42=0,0,E42*0.03)</f>
        <v>0</v>
      </c>
    </row>
    <row r="43" customFormat="false" ht="15.75" hidden="false" customHeight="true" outlineLevel="0" collapsed="false">
      <c r="A43" s="65" t="n">
        <v>45352</v>
      </c>
      <c r="B43" s="31" t="s">
        <v>11</v>
      </c>
      <c r="C43" s="32"/>
      <c r="D43" s="32"/>
      <c r="E43" s="19" t="n">
        <f aca="false">+IF(C43="EQUIPO",F43,0)</f>
        <v>0</v>
      </c>
      <c r="F43" s="33" t="n">
        <v>0</v>
      </c>
      <c r="G43" s="62"/>
      <c r="H43" s="35" t="n">
        <v>0</v>
      </c>
      <c r="I43" s="34" t="n">
        <f aca="false">+IF(E43=0,0,E43*0.03)</f>
        <v>0</v>
      </c>
    </row>
    <row r="44" customFormat="false" ht="15.75" hidden="false" customHeight="true" outlineLevel="0" collapsed="false">
      <c r="A44" s="65" t="n">
        <v>45352</v>
      </c>
      <c r="B44" s="31" t="s">
        <v>11</v>
      </c>
      <c r="C44" s="32"/>
      <c r="D44" s="32"/>
      <c r="E44" s="19" t="n">
        <f aca="false">+IF(C44="EQUIPO",F44,0)</f>
        <v>0</v>
      </c>
      <c r="F44" s="33" t="n">
        <v>0</v>
      </c>
      <c r="G44" s="62"/>
      <c r="H44" s="35" t="n">
        <v>0</v>
      </c>
      <c r="I44" s="34" t="n">
        <f aca="false">+IF(E44=0,0,E44*0.03)</f>
        <v>0</v>
      </c>
    </row>
    <row r="45" customFormat="false" ht="15.75" hidden="false" customHeight="true" outlineLevel="0" collapsed="false">
      <c r="A45" s="65" t="n">
        <v>45352</v>
      </c>
      <c r="B45" s="31" t="s">
        <v>11</v>
      </c>
      <c r="C45" s="32"/>
      <c r="D45" s="32"/>
      <c r="E45" s="19" t="n">
        <f aca="false">+IF(C45="EQUIPO",F45,0)</f>
        <v>0</v>
      </c>
      <c r="F45" s="33" t="n">
        <v>0</v>
      </c>
      <c r="G45" s="62"/>
      <c r="H45" s="35" t="n">
        <v>0</v>
      </c>
      <c r="I45" s="34" t="n">
        <f aca="false">+IF(E45=0,0,E45*0.03)</f>
        <v>0</v>
      </c>
    </row>
    <row r="46" customFormat="false" ht="15.75" hidden="false" customHeight="true" outlineLevel="0" collapsed="false">
      <c r="A46" s="65" t="n">
        <v>45352</v>
      </c>
      <c r="B46" s="31" t="s">
        <v>11</v>
      </c>
      <c r="C46" s="32"/>
      <c r="D46" s="32"/>
      <c r="E46" s="19" t="n">
        <f aca="false">+IF(C46="EQUIPO",F46,0)</f>
        <v>0</v>
      </c>
      <c r="F46" s="33" t="n">
        <v>0</v>
      </c>
      <c r="G46" s="62"/>
      <c r="H46" s="35" t="n">
        <v>0</v>
      </c>
      <c r="I46" s="34" t="n">
        <f aca="false">+IF(E46=0,0,E46*0.03)</f>
        <v>0</v>
      </c>
    </row>
    <row r="47" customFormat="false" ht="15.75" hidden="false" customHeight="true" outlineLevel="0" collapsed="false">
      <c r="A47" s="65" t="n">
        <v>45352</v>
      </c>
      <c r="B47" s="31" t="s">
        <v>11</v>
      </c>
      <c r="C47" s="32"/>
      <c r="D47" s="32"/>
      <c r="E47" s="19" t="n">
        <f aca="false">+IF(C47="EQUIPO",F47,0)</f>
        <v>0</v>
      </c>
      <c r="F47" s="33" t="n">
        <v>0</v>
      </c>
      <c r="G47" s="62"/>
      <c r="H47" s="35" t="n">
        <v>0</v>
      </c>
      <c r="I47" s="34" t="n">
        <f aca="false">+IF(E47=0,0,E47*0.03)</f>
        <v>0</v>
      </c>
    </row>
    <row r="48" customFormat="false" ht="15.75" hidden="false" customHeight="true" outlineLevel="0" collapsed="false">
      <c r="A48" s="65" t="n">
        <v>45352</v>
      </c>
      <c r="B48" s="31" t="s">
        <v>11</v>
      </c>
      <c r="C48" s="32"/>
      <c r="D48" s="32"/>
      <c r="E48" s="19" t="n">
        <f aca="false">+IF(C48="EQUIPO",F48,0)</f>
        <v>0</v>
      </c>
      <c r="F48" s="33" t="n">
        <v>0</v>
      </c>
      <c r="G48" s="62"/>
      <c r="H48" s="35" t="n">
        <v>0</v>
      </c>
      <c r="I48" s="34" t="n">
        <f aca="false">+IF(E48=0,0,E48*0.03)</f>
        <v>0</v>
      </c>
    </row>
    <row r="49" customFormat="false" ht="15.75" hidden="false" customHeight="true" outlineLevel="0" collapsed="false">
      <c r="A49" s="65" t="n">
        <v>45352</v>
      </c>
      <c r="B49" s="31" t="s">
        <v>11</v>
      </c>
      <c r="C49" s="32"/>
      <c r="D49" s="32"/>
      <c r="E49" s="19" t="n">
        <f aca="false">+IF(C49="EQUIPO",F49,0)</f>
        <v>0</v>
      </c>
      <c r="F49" s="33" t="n">
        <v>0</v>
      </c>
      <c r="G49" s="62"/>
      <c r="H49" s="35" t="n">
        <v>0</v>
      </c>
      <c r="I49" s="34" t="n">
        <f aca="false">+IF(E49=0,0,E49*0.03)</f>
        <v>0</v>
      </c>
    </row>
    <row r="50" customFormat="false" ht="15.75" hidden="false" customHeight="true" outlineLevel="0" collapsed="false">
      <c r="A50" s="65" t="n">
        <v>45352</v>
      </c>
      <c r="B50" s="31" t="s">
        <v>11</v>
      </c>
      <c r="C50" s="32"/>
      <c r="D50" s="32"/>
      <c r="E50" s="19" t="n">
        <f aca="false">+IF(C50="EQUIPO",F50,0)</f>
        <v>0</v>
      </c>
      <c r="F50" s="33" t="n">
        <v>0</v>
      </c>
      <c r="G50" s="62"/>
      <c r="H50" s="35" t="n">
        <v>0</v>
      </c>
      <c r="I50" s="34" t="n">
        <f aca="false">+IF(E50=0,0,E50*0.03)</f>
        <v>0</v>
      </c>
    </row>
    <row r="51" customFormat="false" ht="15.75" hidden="false" customHeight="true" outlineLevel="0" collapsed="false">
      <c r="A51" s="65" t="n">
        <v>45352</v>
      </c>
      <c r="B51" s="31" t="s">
        <v>11</v>
      </c>
      <c r="C51" s="32"/>
      <c r="D51" s="32"/>
      <c r="E51" s="19" t="n">
        <f aca="false">+IF(C51="EQUIPO",F51,0)</f>
        <v>0</v>
      </c>
      <c r="F51" s="33" t="n">
        <v>0</v>
      </c>
      <c r="G51" s="62"/>
      <c r="H51" s="35" t="n">
        <v>0</v>
      </c>
      <c r="I51" s="34" t="n">
        <f aca="false">+IF(E51=0,0,E51*0.03)</f>
        <v>0</v>
      </c>
    </row>
    <row r="52" customFormat="false" ht="15.75" hidden="false" customHeight="true" outlineLevel="0" collapsed="false">
      <c r="A52" s="65" t="n">
        <v>45352</v>
      </c>
      <c r="B52" s="31" t="s">
        <v>11</v>
      </c>
      <c r="C52" s="32"/>
      <c r="D52" s="32"/>
      <c r="E52" s="19" t="n">
        <f aca="false">+IF(C52="EQUIPO",F52,0)</f>
        <v>0</v>
      </c>
      <c r="F52" s="33" t="n">
        <v>0</v>
      </c>
      <c r="G52" s="62"/>
      <c r="H52" s="35" t="n">
        <v>0</v>
      </c>
      <c r="I52" s="34" t="n">
        <f aca="false">+IF(E52=0,0,E52*0.03)</f>
        <v>0</v>
      </c>
    </row>
    <row r="53" customFormat="false" ht="15.75" hidden="false" customHeight="true" outlineLevel="0" collapsed="false">
      <c r="A53" s="65" t="n">
        <v>45352</v>
      </c>
      <c r="B53" s="31" t="s">
        <v>11</v>
      </c>
      <c r="C53" s="32"/>
      <c r="D53" s="32"/>
      <c r="E53" s="19" t="n">
        <f aca="false">+IF(C53="EQUIPO",F53,0)</f>
        <v>0</v>
      </c>
      <c r="F53" s="33" t="n">
        <v>0</v>
      </c>
      <c r="G53" s="62"/>
      <c r="H53" s="35" t="n">
        <v>0</v>
      </c>
      <c r="I53" s="34" t="n">
        <f aca="false">+IF(E53=0,0,E53*0.03)</f>
        <v>0</v>
      </c>
    </row>
    <row r="54" customFormat="false" ht="15.75" hidden="false" customHeight="true" outlineLevel="0" collapsed="false">
      <c r="A54" s="65" t="n">
        <v>45352</v>
      </c>
      <c r="B54" s="31" t="s">
        <v>11</v>
      </c>
      <c r="C54" s="32"/>
      <c r="D54" s="32"/>
      <c r="E54" s="19" t="n">
        <f aca="false">+IF(C54="EQUIPO",F54,0)</f>
        <v>0</v>
      </c>
      <c r="F54" s="33" t="n">
        <v>0</v>
      </c>
      <c r="G54" s="62"/>
      <c r="H54" s="35" t="n">
        <v>0</v>
      </c>
      <c r="I54" s="34" t="n">
        <f aca="false">+IF(E54=0,0,E54*0.03)</f>
        <v>0</v>
      </c>
    </row>
    <row r="55" customFormat="false" ht="15.75" hidden="false" customHeight="true" outlineLevel="0" collapsed="false">
      <c r="A55" s="65" t="n">
        <v>45352</v>
      </c>
      <c r="B55" s="31" t="s">
        <v>11</v>
      </c>
      <c r="C55" s="32"/>
      <c r="D55" s="32"/>
      <c r="E55" s="19" t="n">
        <f aca="false">+IF(C55="EQUIPO",F55,0)</f>
        <v>0</v>
      </c>
      <c r="F55" s="33" t="n">
        <v>0</v>
      </c>
      <c r="G55" s="62"/>
      <c r="H55" s="35" t="n">
        <v>0</v>
      </c>
      <c r="I55" s="34" t="n">
        <f aca="false">+IF(E55=0,0,E55*0.03)</f>
        <v>0</v>
      </c>
    </row>
    <row r="56" customFormat="false" ht="15.75" hidden="false" customHeight="true" outlineLevel="0" collapsed="false">
      <c r="A56" s="65" t="n">
        <v>45352</v>
      </c>
      <c r="B56" s="31" t="s">
        <v>11</v>
      </c>
      <c r="C56" s="32"/>
      <c r="D56" s="32"/>
      <c r="E56" s="19" t="n">
        <f aca="false">+IF(C56="EQUIPO",F56,0)</f>
        <v>0</v>
      </c>
      <c r="F56" s="33" t="n">
        <v>0</v>
      </c>
      <c r="G56" s="62"/>
      <c r="H56" s="35" t="n">
        <v>0</v>
      </c>
      <c r="I56" s="34" t="n">
        <f aca="false">+IF(E56=0,0,E56*0.03)</f>
        <v>0</v>
      </c>
    </row>
    <row r="57" customFormat="false" ht="15.75" hidden="false" customHeight="true" outlineLevel="0" collapsed="false">
      <c r="A57" s="65" t="n">
        <v>45352</v>
      </c>
      <c r="B57" s="31" t="s">
        <v>11</v>
      </c>
      <c r="C57" s="32"/>
      <c r="D57" s="32"/>
      <c r="E57" s="19" t="n">
        <f aca="false">+IF(C57="EQUIPO",F57,0)</f>
        <v>0</v>
      </c>
      <c r="F57" s="33" t="n">
        <v>0</v>
      </c>
      <c r="G57" s="62"/>
      <c r="H57" s="35" t="n">
        <v>0</v>
      </c>
      <c r="I57" s="34" t="n">
        <f aca="false">+IF(E57=0,0,E57*0.03)</f>
        <v>0</v>
      </c>
    </row>
    <row r="58" customFormat="false" ht="15.75" hidden="false" customHeight="true" outlineLevel="0" collapsed="false">
      <c r="A58" s="65" t="n">
        <v>45352</v>
      </c>
      <c r="B58" s="31" t="s">
        <v>11</v>
      </c>
      <c r="C58" s="32"/>
      <c r="D58" s="32"/>
      <c r="E58" s="19" t="n">
        <f aca="false">+IF(C58="EQUIPO",F58,0)</f>
        <v>0</v>
      </c>
      <c r="F58" s="33" t="n">
        <v>0</v>
      </c>
      <c r="G58" s="62"/>
      <c r="H58" s="35" t="n">
        <v>0</v>
      </c>
      <c r="I58" s="34" t="n">
        <f aca="false">+IF(E58=0,0,E58*0.03)</f>
        <v>0</v>
      </c>
    </row>
    <row r="59" customFormat="false" ht="15.75" hidden="false" customHeight="true" outlineLevel="0" collapsed="false">
      <c r="A59" s="65" t="n">
        <v>45352</v>
      </c>
      <c r="B59" s="31" t="s">
        <v>11</v>
      </c>
      <c r="C59" s="32"/>
      <c r="D59" s="32"/>
      <c r="E59" s="19" t="n">
        <f aca="false">+IF(C59="EQUIPO",F59,0)</f>
        <v>0</v>
      </c>
      <c r="F59" s="33" t="n">
        <v>0</v>
      </c>
      <c r="G59" s="62"/>
      <c r="H59" s="35" t="n">
        <v>0</v>
      </c>
      <c r="I59" s="34" t="n">
        <f aca="false">+IF(E59=0,0,E59*0.03)</f>
        <v>0</v>
      </c>
    </row>
    <row r="60" customFormat="false" ht="15.75" hidden="false" customHeight="true" outlineLevel="0" collapsed="false">
      <c r="A60" s="65" t="n">
        <v>45352</v>
      </c>
      <c r="B60" s="31" t="s">
        <v>11</v>
      </c>
      <c r="C60" s="32"/>
      <c r="D60" s="32"/>
      <c r="E60" s="19" t="n">
        <f aca="false">+IF(C60="EQUIPO",F60,0)</f>
        <v>0</v>
      </c>
      <c r="F60" s="33" t="n">
        <v>0</v>
      </c>
      <c r="G60" s="62"/>
      <c r="H60" s="35" t="n">
        <v>0</v>
      </c>
      <c r="I60" s="34" t="n">
        <f aca="false">+IF(E60=0,0,E60*0.03)</f>
        <v>0</v>
      </c>
    </row>
    <row r="61" customFormat="false" ht="15.75" hidden="false" customHeight="true" outlineLevel="0" collapsed="false">
      <c r="A61" s="65" t="n">
        <v>45352</v>
      </c>
      <c r="B61" s="31" t="s">
        <v>11</v>
      </c>
      <c r="C61" s="32"/>
      <c r="D61" s="32"/>
      <c r="E61" s="19" t="n">
        <f aca="false">+IF(C61="EQUIPO",F61,0)</f>
        <v>0</v>
      </c>
      <c r="F61" s="33" t="n">
        <v>0</v>
      </c>
      <c r="G61" s="62"/>
      <c r="H61" s="35" t="n">
        <v>0</v>
      </c>
      <c r="I61" s="34" t="n">
        <f aca="false">+IF(E61=0,0,E61*0.03)</f>
        <v>0</v>
      </c>
    </row>
    <row r="62" customFormat="false" ht="15.75" hidden="false" customHeight="true" outlineLevel="0" collapsed="false">
      <c r="A62" s="65" t="n">
        <v>45352</v>
      </c>
      <c r="B62" s="31" t="s">
        <v>11</v>
      </c>
      <c r="C62" s="32"/>
      <c r="D62" s="32"/>
      <c r="E62" s="19" t="n">
        <f aca="false">+IF(C62="EQUIPO",F62,0)</f>
        <v>0</v>
      </c>
      <c r="F62" s="33" t="n">
        <v>0</v>
      </c>
      <c r="G62" s="62"/>
      <c r="H62" s="35" t="n">
        <v>0</v>
      </c>
      <c r="I62" s="34" t="n">
        <f aca="false">+IF(E62=0,0,E62*0.03)</f>
        <v>0</v>
      </c>
    </row>
    <row r="63" customFormat="false" ht="15.75" hidden="false" customHeight="true" outlineLevel="0" collapsed="false">
      <c r="A63" s="65" t="n">
        <v>45352</v>
      </c>
      <c r="B63" s="31" t="s">
        <v>11</v>
      </c>
      <c r="C63" s="32"/>
      <c r="D63" s="32"/>
      <c r="E63" s="19" t="n">
        <f aca="false">+IF(C63="EQUIPO",F63,0)</f>
        <v>0</v>
      </c>
      <c r="F63" s="33" t="n">
        <v>0</v>
      </c>
      <c r="G63" s="62"/>
      <c r="H63" s="35" t="n">
        <v>0</v>
      </c>
      <c r="I63" s="34" t="n">
        <f aca="false">+IF(E63=0,0,E63*0.03)</f>
        <v>0</v>
      </c>
    </row>
    <row r="64" customFormat="false" ht="15.75" hidden="false" customHeight="true" outlineLevel="0" collapsed="false">
      <c r="A64" s="65" t="n">
        <v>45352</v>
      </c>
      <c r="B64" s="31" t="s">
        <v>11</v>
      </c>
      <c r="C64" s="32"/>
      <c r="D64" s="32"/>
      <c r="E64" s="19" t="n">
        <f aca="false">+IF(C64="EQUIPO",F64,0)</f>
        <v>0</v>
      </c>
      <c r="F64" s="33" t="n">
        <v>0</v>
      </c>
      <c r="G64" s="62"/>
      <c r="H64" s="35" t="n">
        <v>0</v>
      </c>
      <c r="I64" s="34" t="n">
        <f aca="false">+IF(E64=0,0,E64*0.03)</f>
        <v>0</v>
      </c>
    </row>
    <row r="65" customFormat="false" ht="15.75" hidden="false" customHeight="true" outlineLevel="0" collapsed="false">
      <c r="A65" s="65" t="n">
        <v>45352</v>
      </c>
      <c r="B65" s="31" t="s">
        <v>11</v>
      </c>
      <c r="C65" s="32"/>
      <c r="D65" s="32"/>
      <c r="E65" s="19" t="n">
        <f aca="false">+IF(C65="EQUIPO",F65,0)</f>
        <v>0</v>
      </c>
      <c r="F65" s="33" t="n">
        <v>0</v>
      </c>
      <c r="G65" s="62"/>
      <c r="H65" s="35" t="n">
        <v>0</v>
      </c>
      <c r="I65" s="34" t="n">
        <f aca="false">+IF(E65=0,0,E65*0.03)</f>
        <v>0</v>
      </c>
    </row>
    <row r="66" customFormat="false" ht="15.75" hidden="false" customHeight="true" outlineLevel="0" collapsed="false">
      <c r="A66" s="65" t="n">
        <v>45352</v>
      </c>
      <c r="B66" s="31" t="s">
        <v>11</v>
      </c>
      <c r="C66" s="32"/>
      <c r="D66" s="32"/>
      <c r="E66" s="19" t="n">
        <f aca="false">+IF(C66="EQUIPO",F66,0)</f>
        <v>0</v>
      </c>
      <c r="F66" s="33" t="n">
        <v>0</v>
      </c>
      <c r="G66" s="62"/>
      <c r="H66" s="35" t="n">
        <v>0</v>
      </c>
      <c r="I66" s="34" t="n">
        <f aca="false">+IF(E66=0,0,E66*0.03)</f>
        <v>0</v>
      </c>
    </row>
    <row r="67" customFormat="false" ht="15.75" hidden="false" customHeight="true" outlineLevel="0" collapsed="false">
      <c r="A67" s="65" t="n">
        <v>45352</v>
      </c>
      <c r="B67" s="31" t="s">
        <v>11</v>
      </c>
      <c r="C67" s="32"/>
      <c r="D67" s="32"/>
      <c r="E67" s="19" t="n">
        <f aca="false">+IF(C67="EQUIPO",F67,0)</f>
        <v>0</v>
      </c>
      <c r="F67" s="33" t="n">
        <v>0</v>
      </c>
      <c r="G67" s="62"/>
      <c r="H67" s="35" t="n">
        <v>0</v>
      </c>
      <c r="I67" s="34" t="n">
        <f aca="false">+IF(E67=0,0,E67*0.03)</f>
        <v>0</v>
      </c>
    </row>
    <row r="68" customFormat="false" ht="15.75" hidden="false" customHeight="true" outlineLevel="0" collapsed="false">
      <c r="A68" s="65" t="n">
        <v>45352</v>
      </c>
      <c r="B68" s="31" t="s">
        <v>11</v>
      </c>
      <c r="C68" s="32"/>
      <c r="D68" s="32"/>
      <c r="E68" s="19" t="n">
        <f aca="false">+IF(C68="EQUIPO",F68,0)</f>
        <v>0</v>
      </c>
      <c r="F68" s="33" t="n">
        <v>0</v>
      </c>
      <c r="G68" s="62"/>
      <c r="H68" s="35" t="n">
        <v>0</v>
      </c>
      <c r="I68" s="34" t="n">
        <f aca="false">+IF(E68=0,0,E68*0.03)</f>
        <v>0</v>
      </c>
    </row>
    <row r="69" customFormat="false" ht="15.75" hidden="false" customHeight="true" outlineLevel="0" collapsed="false">
      <c r="A69" s="65" t="n">
        <v>45352</v>
      </c>
      <c r="B69" s="31" t="s">
        <v>11</v>
      </c>
      <c r="C69" s="32"/>
      <c r="D69" s="32"/>
      <c r="E69" s="19" t="n">
        <f aca="false">+IF(C69="EQUIPO",F69,0)</f>
        <v>0</v>
      </c>
      <c r="F69" s="33" t="n">
        <v>0</v>
      </c>
      <c r="G69" s="62"/>
      <c r="H69" s="35" t="n">
        <v>0</v>
      </c>
      <c r="I69" s="34" t="n">
        <f aca="false">+IF(E69=0,0,E69*0.03)</f>
        <v>0</v>
      </c>
    </row>
    <row r="70" customFormat="false" ht="15.75" hidden="false" customHeight="true" outlineLevel="0" collapsed="false">
      <c r="A70" s="65" t="n">
        <v>45352</v>
      </c>
      <c r="B70" s="31" t="s">
        <v>11</v>
      </c>
      <c r="C70" s="32"/>
      <c r="D70" s="32"/>
      <c r="E70" s="19" t="n">
        <f aca="false">+IF(C70="EQUIPO",F70,0)</f>
        <v>0</v>
      </c>
      <c r="F70" s="33" t="n">
        <v>0</v>
      </c>
      <c r="G70" s="62"/>
      <c r="H70" s="35" t="n">
        <v>0</v>
      </c>
      <c r="I70" s="34" t="n">
        <f aca="false">+IF(E70=0,0,E70*0.03)</f>
        <v>0</v>
      </c>
    </row>
    <row r="71" customFormat="false" ht="15.75" hidden="false" customHeight="true" outlineLevel="0" collapsed="false">
      <c r="A71" s="65" t="n">
        <v>45352</v>
      </c>
      <c r="B71" s="31" t="s">
        <v>11</v>
      </c>
      <c r="C71" s="32"/>
      <c r="D71" s="32"/>
      <c r="E71" s="19" t="n">
        <f aca="false">+IF(C71="EQUIPO",F71,0)</f>
        <v>0</v>
      </c>
      <c r="F71" s="33" t="n">
        <v>0</v>
      </c>
      <c r="G71" s="62"/>
      <c r="H71" s="35" t="n">
        <v>0</v>
      </c>
      <c r="I71" s="34" t="n">
        <f aca="false">+IF(E71=0,0,E71*0.03)</f>
        <v>0</v>
      </c>
    </row>
    <row r="72" customFormat="false" ht="15.75" hidden="false" customHeight="true" outlineLevel="0" collapsed="false">
      <c r="A72" s="65" t="n">
        <v>45352</v>
      </c>
      <c r="B72" s="31" t="s">
        <v>11</v>
      </c>
      <c r="C72" s="32"/>
      <c r="D72" s="32"/>
      <c r="E72" s="19" t="n">
        <f aca="false">+IF(C72="EQUIPO",F72,0)</f>
        <v>0</v>
      </c>
      <c r="F72" s="33" t="n">
        <v>0</v>
      </c>
      <c r="G72" s="62"/>
      <c r="H72" s="35" t="n">
        <v>0</v>
      </c>
      <c r="I72" s="34" t="n">
        <f aca="false">+IF(E72=0,0,E72*0.03)</f>
        <v>0</v>
      </c>
    </row>
    <row r="73" customFormat="false" ht="15.75" hidden="false" customHeight="true" outlineLevel="0" collapsed="false">
      <c r="A73" s="65" t="n">
        <v>45352</v>
      </c>
      <c r="B73" s="31" t="s">
        <v>11</v>
      </c>
      <c r="C73" s="32"/>
      <c r="D73" s="32"/>
      <c r="E73" s="19" t="n">
        <f aca="false">+IF(C73="EQUIPO",F73,0)</f>
        <v>0</v>
      </c>
      <c r="F73" s="33" t="n">
        <v>0</v>
      </c>
      <c r="G73" s="62"/>
      <c r="H73" s="35" t="n">
        <v>0</v>
      </c>
      <c r="I73" s="34" t="n">
        <f aca="false">+IF(E73=0,0,E73*0.03)</f>
        <v>0</v>
      </c>
    </row>
    <row r="74" customFormat="false" ht="15.75" hidden="false" customHeight="true" outlineLevel="0" collapsed="false">
      <c r="A74" s="65" t="n">
        <v>45352</v>
      </c>
      <c r="B74" s="31" t="s">
        <v>11</v>
      </c>
      <c r="C74" s="32"/>
      <c r="D74" s="32"/>
      <c r="E74" s="19" t="n">
        <f aca="false">+IF(C74="EQUIPO",F74,0)</f>
        <v>0</v>
      </c>
      <c r="F74" s="33" t="n">
        <v>0</v>
      </c>
      <c r="G74" s="62"/>
      <c r="H74" s="35" t="n">
        <v>0</v>
      </c>
      <c r="I74" s="34" t="n">
        <f aca="false">+IF(E74=0,0,E74*0.03)</f>
        <v>0</v>
      </c>
    </row>
    <row r="75" customFormat="false" ht="15.75" hidden="false" customHeight="true" outlineLevel="0" collapsed="false">
      <c r="A75" s="65" t="n">
        <v>45352</v>
      </c>
      <c r="B75" s="31" t="s">
        <v>11</v>
      </c>
      <c r="C75" s="32"/>
      <c r="D75" s="32"/>
      <c r="E75" s="19" t="n">
        <f aca="false">+IF(C75="EQUIPO",F75,0)</f>
        <v>0</v>
      </c>
      <c r="F75" s="33" t="n">
        <v>0</v>
      </c>
      <c r="G75" s="62"/>
      <c r="H75" s="35" t="n">
        <v>0</v>
      </c>
      <c r="I75" s="34" t="n">
        <f aca="false">+IF(E75=0,0,E75*0.03)</f>
        <v>0</v>
      </c>
    </row>
    <row r="76" customFormat="false" ht="15.75" hidden="false" customHeight="true" outlineLevel="0" collapsed="false">
      <c r="A76" s="65" t="n">
        <v>45352</v>
      </c>
      <c r="B76" s="31" t="s">
        <v>11</v>
      </c>
      <c r="C76" s="32"/>
      <c r="D76" s="32"/>
      <c r="E76" s="19" t="n">
        <f aca="false">+IF(C76="EQUIPO",F76,0)</f>
        <v>0</v>
      </c>
      <c r="F76" s="33" t="n">
        <v>0</v>
      </c>
      <c r="G76" s="62"/>
      <c r="H76" s="35" t="n">
        <v>0</v>
      </c>
      <c r="I76" s="34" t="n">
        <f aca="false">+IF(E76=0,0,E76*0.03)</f>
        <v>0</v>
      </c>
    </row>
    <row r="77" customFormat="false" ht="15.75" hidden="false" customHeight="true" outlineLevel="0" collapsed="false">
      <c r="A77" s="65" t="n">
        <v>45352</v>
      </c>
      <c r="B77" s="31" t="s">
        <v>11</v>
      </c>
      <c r="C77" s="32"/>
      <c r="D77" s="32"/>
      <c r="E77" s="19" t="n">
        <f aca="false">+IF(C77="EQUIPO",F77,0)</f>
        <v>0</v>
      </c>
      <c r="F77" s="33" t="n">
        <v>0</v>
      </c>
      <c r="G77" s="62"/>
      <c r="H77" s="35" t="n">
        <v>0</v>
      </c>
      <c r="I77" s="34" t="n">
        <f aca="false">+IF(E77=0,0,E77*0.03)</f>
        <v>0</v>
      </c>
    </row>
    <row r="78" customFormat="false" ht="15.75" hidden="false" customHeight="true" outlineLevel="0" collapsed="false">
      <c r="A78" s="65" t="n">
        <v>45352</v>
      </c>
      <c r="B78" s="31" t="s">
        <v>11</v>
      </c>
      <c r="C78" s="32"/>
      <c r="D78" s="32"/>
      <c r="E78" s="19" t="n">
        <f aca="false">+IF(C78="EQUIPO",F78,0)</f>
        <v>0</v>
      </c>
      <c r="F78" s="33" t="n">
        <v>0</v>
      </c>
      <c r="G78" s="62"/>
      <c r="H78" s="35" t="n">
        <v>0</v>
      </c>
      <c r="I78" s="34" t="n">
        <f aca="false">+IF(E78=0,0,E78*0.03)</f>
        <v>0</v>
      </c>
    </row>
    <row r="79" customFormat="false" ht="15.75" hidden="false" customHeight="true" outlineLevel="0" collapsed="false">
      <c r="A79" s="65" t="n">
        <v>45352</v>
      </c>
      <c r="B79" s="31" t="s">
        <v>11</v>
      </c>
      <c r="C79" s="32"/>
      <c r="D79" s="32"/>
      <c r="E79" s="19" t="n">
        <f aca="false">+IF(C79="EQUIPO",F79,0)</f>
        <v>0</v>
      </c>
      <c r="F79" s="33" t="n">
        <v>0</v>
      </c>
      <c r="G79" s="62"/>
      <c r="H79" s="35" t="n">
        <v>0</v>
      </c>
      <c r="I79" s="34" t="n">
        <f aca="false">+IF(E79=0,0,E79*0.03)</f>
        <v>0</v>
      </c>
    </row>
    <row r="80" customFormat="false" ht="15.75" hidden="false" customHeight="true" outlineLevel="0" collapsed="false">
      <c r="A80" s="65" t="n">
        <v>45352</v>
      </c>
      <c r="B80" s="31" t="s">
        <v>11</v>
      </c>
      <c r="C80" s="32"/>
      <c r="D80" s="32"/>
      <c r="E80" s="19" t="n">
        <f aca="false">+IF(C80="EQUIPO",F80,0)</f>
        <v>0</v>
      </c>
      <c r="F80" s="33" t="n">
        <v>0</v>
      </c>
      <c r="G80" s="62"/>
      <c r="H80" s="35" t="n">
        <v>0</v>
      </c>
      <c r="I80" s="34" t="n">
        <f aca="false">+IF(E80=0,0,E80*0.03)</f>
        <v>0</v>
      </c>
    </row>
    <row r="81" customFormat="false" ht="15.75" hidden="false" customHeight="true" outlineLevel="0" collapsed="false">
      <c r="A81" s="65" t="n">
        <v>45352</v>
      </c>
      <c r="B81" s="31" t="s">
        <v>11</v>
      </c>
      <c r="C81" s="32"/>
      <c r="D81" s="32"/>
      <c r="E81" s="19" t="n">
        <f aca="false">+IF(C81="EQUIPO",F81,0)</f>
        <v>0</v>
      </c>
      <c r="F81" s="33" t="n">
        <v>0</v>
      </c>
      <c r="G81" s="62"/>
      <c r="H81" s="35" t="n">
        <v>0</v>
      </c>
      <c r="I81" s="34" t="n">
        <f aca="false">+IF(E81=0,0,E81*0.03)</f>
        <v>0</v>
      </c>
    </row>
    <row r="82" customFormat="false" ht="15.75" hidden="false" customHeight="true" outlineLevel="0" collapsed="false">
      <c r="A82" s="65" t="n">
        <v>45352</v>
      </c>
      <c r="B82" s="31" t="s">
        <v>11</v>
      </c>
      <c r="C82" s="32"/>
      <c r="D82" s="32"/>
      <c r="E82" s="19" t="n">
        <f aca="false">+IF(C82="EQUIPO",F82,0)</f>
        <v>0</v>
      </c>
      <c r="F82" s="33" t="n">
        <v>0</v>
      </c>
      <c r="G82" s="62"/>
      <c r="H82" s="35" t="n">
        <v>0</v>
      </c>
      <c r="I82" s="34" t="n">
        <f aca="false">+IF(E82=0,0,E82*0.03)</f>
        <v>0</v>
      </c>
    </row>
    <row r="83" customFormat="false" ht="15.75" hidden="false" customHeight="true" outlineLevel="0" collapsed="false">
      <c r="A83" s="65" t="n">
        <v>45352</v>
      </c>
      <c r="B83" s="31" t="s">
        <v>11</v>
      </c>
      <c r="C83" s="32"/>
      <c r="D83" s="32"/>
      <c r="E83" s="19" t="n">
        <f aca="false">+IF(C83="EQUIPO",F83,0)</f>
        <v>0</v>
      </c>
      <c r="F83" s="33" t="n">
        <v>0</v>
      </c>
      <c r="G83" s="62"/>
      <c r="H83" s="35" t="n">
        <v>0</v>
      </c>
      <c r="I83" s="34" t="n">
        <f aca="false">+IF(E83=0,0,E83*0.03)</f>
        <v>0</v>
      </c>
    </row>
    <row r="84" customFormat="false" ht="15.75" hidden="false" customHeight="true" outlineLevel="0" collapsed="false">
      <c r="A84" s="65" t="n">
        <v>45352</v>
      </c>
      <c r="B84" s="31" t="s">
        <v>11</v>
      </c>
      <c r="C84" s="32"/>
      <c r="D84" s="32"/>
      <c r="E84" s="19" t="n">
        <f aca="false">+IF(C84="EQUIPO",F84,0)</f>
        <v>0</v>
      </c>
      <c r="F84" s="33" t="n">
        <v>0</v>
      </c>
      <c r="G84" s="62"/>
      <c r="H84" s="35" t="n">
        <v>0</v>
      </c>
      <c r="I84" s="34" t="n">
        <f aca="false">+IF(E84=0,0,E84*0.03)</f>
        <v>0</v>
      </c>
    </row>
    <row r="85" customFormat="false" ht="15.75" hidden="false" customHeight="true" outlineLevel="0" collapsed="false">
      <c r="A85" s="65" t="n">
        <v>45352</v>
      </c>
      <c r="B85" s="31" t="s">
        <v>11</v>
      </c>
      <c r="C85" s="32"/>
      <c r="D85" s="32"/>
      <c r="E85" s="19" t="n">
        <f aca="false">+IF(C85="EQUIPO",F85,0)</f>
        <v>0</v>
      </c>
      <c r="F85" s="33" t="n">
        <v>0</v>
      </c>
      <c r="G85" s="62"/>
      <c r="H85" s="35" t="n">
        <v>0</v>
      </c>
      <c r="I85" s="34" t="n">
        <f aca="false">+IF(E85=0,0,E85*0.03)</f>
        <v>0</v>
      </c>
    </row>
    <row r="86" customFormat="false" ht="15.75" hidden="false" customHeight="true" outlineLevel="0" collapsed="false">
      <c r="A86" s="65" t="n">
        <v>45352</v>
      </c>
      <c r="B86" s="31" t="s">
        <v>11</v>
      </c>
      <c r="C86" s="32"/>
      <c r="D86" s="32"/>
      <c r="E86" s="19" t="n">
        <f aca="false">+IF(C86="EQUIPO",F86,0)</f>
        <v>0</v>
      </c>
      <c r="F86" s="33" t="n">
        <v>0</v>
      </c>
      <c r="G86" s="62"/>
      <c r="H86" s="35" t="n">
        <v>0</v>
      </c>
      <c r="I86" s="34" t="n">
        <f aca="false">+IF(E86=0,0,E86*0.03)</f>
        <v>0</v>
      </c>
    </row>
    <row r="87" customFormat="false" ht="15.75" hidden="false" customHeight="true" outlineLevel="0" collapsed="false">
      <c r="A87" s="65" t="n">
        <v>45352</v>
      </c>
      <c r="B87" s="31" t="s">
        <v>11</v>
      </c>
      <c r="C87" s="32"/>
      <c r="D87" s="32"/>
      <c r="E87" s="19" t="n">
        <f aca="false">+IF(C87="EQUIPO",F87,0)</f>
        <v>0</v>
      </c>
      <c r="F87" s="33" t="n">
        <v>0</v>
      </c>
      <c r="G87" s="62"/>
      <c r="H87" s="35" t="n">
        <v>0</v>
      </c>
      <c r="I87" s="34" t="n">
        <f aca="false">+IF(E87=0,0,E87*0.03)</f>
        <v>0</v>
      </c>
    </row>
    <row r="88" customFormat="false" ht="15.75" hidden="false" customHeight="true" outlineLevel="0" collapsed="false">
      <c r="A88" s="65" t="n">
        <v>45352</v>
      </c>
      <c r="B88" s="31" t="s">
        <v>11</v>
      </c>
      <c r="C88" s="32"/>
      <c r="D88" s="32"/>
      <c r="E88" s="19" t="n">
        <f aca="false">+IF(C88="EQUIPO",F88,0)</f>
        <v>0</v>
      </c>
      <c r="F88" s="33" t="n">
        <v>0</v>
      </c>
      <c r="G88" s="62"/>
      <c r="H88" s="35" t="n">
        <v>0</v>
      </c>
      <c r="I88" s="34" t="n">
        <f aca="false">+IF(E88=0,0,E88*0.03)</f>
        <v>0</v>
      </c>
    </row>
    <row r="89" customFormat="false" ht="15.75" hidden="false" customHeight="true" outlineLevel="0" collapsed="false">
      <c r="A89" s="65" t="n">
        <v>45352</v>
      </c>
      <c r="B89" s="31" t="s">
        <v>11</v>
      </c>
      <c r="C89" s="32"/>
      <c r="D89" s="32"/>
      <c r="E89" s="19" t="n">
        <f aca="false">+IF(C89="EQUIPO",F89,0)</f>
        <v>0</v>
      </c>
      <c r="F89" s="33" t="n">
        <v>0</v>
      </c>
      <c r="G89" s="62"/>
      <c r="H89" s="35" t="n">
        <v>0</v>
      </c>
      <c r="I89" s="34" t="n">
        <f aca="false">+IF(E89=0,0,E89*0.03)</f>
        <v>0</v>
      </c>
    </row>
    <row r="90" customFormat="false" ht="15.75" hidden="false" customHeight="true" outlineLevel="0" collapsed="false">
      <c r="A90" s="65" t="n">
        <v>45352</v>
      </c>
      <c r="B90" s="31" t="s">
        <v>11</v>
      </c>
      <c r="C90" s="32"/>
      <c r="D90" s="32"/>
      <c r="E90" s="19" t="n">
        <f aca="false">+IF(C90="EQUIPO",F90,0)</f>
        <v>0</v>
      </c>
      <c r="F90" s="33" t="n">
        <v>0</v>
      </c>
      <c r="G90" s="62"/>
      <c r="H90" s="35" t="n">
        <v>0</v>
      </c>
      <c r="I90" s="34" t="n">
        <f aca="false">+IF(E90=0,0,E90*0.03)</f>
        <v>0</v>
      </c>
    </row>
    <row r="91" customFormat="false" ht="15.75" hidden="false" customHeight="true" outlineLevel="0" collapsed="false">
      <c r="A91" s="65" t="n">
        <v>45352</v>
      </c>
      <c r="B91" s="31" t="s">
        <v>11</v>
      </c>
      <c r="C91" s="32"/>
      <c r="D91" s="32"/>
      <c r="E91" s="19" t="n">
        <f aca="false">+IF(C91="EQUIPO",F91,0)</f>
        <v>0</v>
      </c>
      <c r="F91" s="33" t="n">
        <v>0</v>
      </c>
      <c r="G91" s="62"/>
      <c r="H91" s="35" t="n">
        <v>0</v>
      </c>
      <c r="I91" s="34" t="n">
        <f aca="false">+IF(E91=0,0,E91*0.03)</f>
        <v>0</v>
      </c>
    </row>
    <row r="92" customFormat="false" ht="15.75" hidden="false" customHeight="true" outlineLevel="0" collapsed="false">
      <c r="A92" s="65" t="n">
        <v>45352</v>
      </c>
      <c r="B92" s="31" t="s">
        <v>11</v>
      </c>
      <c r="C92" s="32"/>
      <c r="D92" s="32"/>
      <c r="E92" s="19" t="n">
        <f aca="false">+IF(C92="EQUIPO",F92,0)</f>
        <v>0</v>
      </c>
      <c r="F92" s="33" t="n">
        <v>0</v>
      </c>
      <c r="G92" s="62"/>
      <c r="H92" s="35" t="n">
        <v>0</v>
      </c>
      <c r="I92" s="34" t="n">
        <f aca="false">+IF(E92=0,0,E92*0.03)</f>
        <v>0</v>
      </c>
    </row>
    <row r="93" customFormat="false" ht="15.75" hidden="false" customHeight="true" outlineLevel="0" collapsed="false">
      <c r="A93" s="65" t="n">
        <v>45352</v>
      </c>
      <c r="B93" s="31" t="s">
        <v>11</v>
      </c>
      <c r="C93" s="32"/>
      <c r="D93" s="32"/>
      <c r="E93" s="19" t="n">
        <f aca="false">+IF(C93="EQUIPO",F93,0)</f>
        <v>0</v>
      </c>
      <c r="F93" s="33" t="n">
        <v>0</v>
      </c>
      <c r="G93" s="62"/>
      <c r="H93" s="35" t="n">
        <v>0</v>
      </c>
      <c r="I93" s="34" t="n">
        <f aca="false">+IF(E93=0,0,E93*0.03)</f>
        <v>0</v>
      </c>
    </row>
    <row r="94" customFormat="false" ht="15.75" hidden="false" customHeight="true" outlineLevel="0" collapsed="false">
      <c r="A94" s="65" t="n">
        <v>45352</v>
      </c>
      <c r="B94" s="31" t="s">
        <v>11</v>
      </c>
      <c r="C94" s="32"/>
      <c r="D94" s="32"/>
      <c r="E94" s="19" t="n">
        <f aca="false">+IF(C94="EQUIPO",F94,0)</f>
        <v>0</v>
      </c>
      <c r="F94" s="33" t="n">
        <v>0</v>
      </c>
      <c r="G94" s="62"/>
      <c r="H94" s="35" t="n">
        <v>0</v>
      </c>
      <c r="I94" s="34" t="n">
        <f aca="false">+IF(E94=0,0,E94*0.03)</f>
        <v>0</v>
      </c>
    </row>
    <row r="95" customFormat="false" ht="15.75" hidden="false" customHeight="true" outlineLevel="0" collapsed="false">
      <c r="A95" s="65" t="n">
        <v>45352</v>
      </c>
      <c r="B95" s="31" t="s">
        <v>11</v>
      </c>
      <c r="C95" s="32"/>
      <c r="D95" s="32"/>
      <c r="E95" s="19" t="n">
        <f aca="false">+IF(C95="EQUIPO",F95,0)</f>
        <v>0</v>
      </c>
      <c r="F95" s="33" t="n">
        <v>0</v>
      </c>
      <c r="G95" s="62"/>
      <c r="H95" s="35" t="n">
        <v>0</v>
      </c>
      <c r="I95" s="34" t="n">
        <f aca="false">+IF(E95=0,0,E95*0.03)</f>
        <v>0</v>
      </c>
    </row>
    <row r="96" customFormat="false" ht="15.75" hidden="false" customHeight="true" outlineLevel="0" collapsed="false">
      <c r="A96" s="65" t="n">
        <v>45352</v>
      </c>
      <c r="B96" s="31" t="s">
        <v>11</v>
      </c>
      <c r="C96" s="32"/>
      <c r="D96" s="32"/>
      <c r="E96" s="19" t="n">
        <f aca="false">+IF(C96="EQUIPO",F96,0)</f>
        <v>0</v>
      </c>
      <c r="F96" s="33" t="n">
        <v>0</v>
      </c>
      <c r="G96" s="62"/>
      <c r="H96" s="35" t="n">
        <v>0</v>
      </c>
      <c r="I96" s="34" t="n">
        <f aca="false">+IF(E96=0,0,E96*0.03)</f>
        <v>0</v>
      </c>
    </row>
    <row r="97" customFormat="false" ht="15.75" hidden="false" customHeight="true" outlineLevel="0" collapsed="false">
      <c r="A97" s="65" t="n">
        <v>45352</v>
      </c>
      <c r="B97" s="31" t="s">
        <v>11</v>
      </c>
      <c r="C97" s="32"/>
      <c r="D97" s="32"/>
      <c r="E97" s="19" t="n">
        <f aca="false">+IF(C97="EQUIPO",F97,0)</f>
        <v>0</v>
      </c>
      <c r="F97" s="33" t="n">
        <v>0</v>
      </c>
      <c r="G97" s="62"/>
      <c r="H97" s="35" t="n">
        <v>0</v>
      </c>
      <c r="I97" s="34" t="n">
        <f aca="false">+IF(E97=0,0,E97*0.03)</f>
        <v>0</v>
      </c>
    </row>
    <row r="98" customFormat="false" ht="15.75" hidden="false" customHeight="true" outlineLevel="0" collapsed="false">
      <c r="A98" s="65" t="n">
        <v>45352</v>
      </c>
      <c r="B98" s="31" t="s">
        <v>11</v>
      </c>
      <c r="C98" s="32"/>
      <c r="D98" s="32"/>
      <c r="E98" s="19" t="n">
        <f aca="false">+IF(C98="EQUIPO",F98,0)</f>
        <v>0</v>
      </c>
      <c r="F98" s="33" t="n">
        <v>0</v>
      </c>
      <c r="G98" s="62"/>
      <c r="H98" s="35" t="n">
        <v>0</v>
      </c>
      <c r="I98" s="34" t="n">
        <f aca="false">+IF(E98=0,0,E98*0.03)</f>
        <v>0</v>
      </c>
    </row>
    <row r="99" customFormat="false" ht="15.75" hidden="false" customHeight="true" outlineLevel="0" collapsed="false">
      <c r="A99" s="65" t="n">
        <v>45352</v>
      </c>
      <c r="B99" s="31" t="s">
        <v>11</v>
      </c>
      <c r="C99" s="32"/>
      <c r="D99" s="32"/>
      <c r="E99" s="19" t="n">
        <f aca="false">+IF(C99="EQUIPO",F99,0)</f>
        <v>0</v>
      </c>
      <c r="F99" s="33" t="n">
        <v>0</v>
      </c>
      <c r="G99" s="62"/>
      <c r="H99" s="35" t="n">
        <v>0</v>
      </c>
      <c r="I99" s="34" t="n">
        <f aca="false">+IF(E99=0,0,E99*0.03)</f>
        <v>0</v>
      </c>
    </row>
    <row r="100" customFormat="false" ht="15.75" hidden="false" customHeight="true" outlineLevel="0" collapsed="false">
      <c r="A100" s="65" t="n">
        <v>45352</v>
      </c>
      <c r="B100" s="31" t="s">
        <v>11</v>
      </c>
      <c r="C100" s="32"/>
      <c r="D100" s="32"/>
      <c r="E100" s="19" t="n">
        <f aca="false">+IF(C100="EQUIPO",F100,0)</f>
        <v>0</v>
      </c>
      <c r="F100" s="33" t="n">
        <v>0</v>
      </c>
      <c r="G100" s="62"/>
      <c r="H100" s="35" t="n">
        <v>0</v>
      </c>
      <c r="I100" s="34" t="n">
        <f aca="false">+IF(E100=0,0,E100*0.03)</f>
        <v>0</v>
      </c>
    </row>
    <row r="101" customFormat="false" ht="15.75" hidden="false" customHeight="true" outlineLevel="0" collapsed="false">
      <c r="A101" s="65" t="n">
        <v>45352</v>
      </c>
      <c r="B101" s="31" t="s">
        <v>11</v>
      </c>
      <c r="C101" s="32"/>
      <c r="D101" s="32"/>
      <c r="E101" s="19" t="n">
        <f aca="false">+IF(C101="EQUIPO",F101,0)</f>
        <v>0</v>
      </c>
      <c r="F101" s="33" t="n">
        <v>0</v>
      </c>
      <c r="G101" s="62"/>
      <c r="H101" s="35" t="n">
        <v>0</v>
      </c>
      <c r="I101" s="34" t="n">
        <f aca="false">+IF(E101=0,0,E101*0.03)</f>
        <v>0</v>
      </c>
    </row>
    <row r="102" customFormat="false" ht="15.75" hidden="false" customHeight="true" outlineLevel="0" collapsed="false">
      <c r="A102" s="65" t="n">
        <v>45352</v>
      </c>
      <c r="B102" s="31" t="s">
        <v>11</v>
      </c>
      <c r="C102" s="32"/>
      <c r="D102" s="32"/>
      <c r="E102" s="19" t="n">
        <f aca="false">+IF(C102="EQUIPO",F102,0)</f>
        <v>0</v>
      </c>
      <c r="F102" s="33" t="n">
        <v>0</v>
      </c>
      <c r="G102" s="62"/>
      <c r="H102" s="35" t="n">
        <v>0</v>
      </c>
      <c r="I102" s="34" t="n">
        <f aca="false">+IF(E102=0,0,E102*0.03)</f>
        <v>0</v>
      </c>
    </row>
    <row r="103" customFormat="false" ht="15.75" hidden="false" customHeight="true" outlineLevel="0" collapsed="false">
      <c r="A103" s="65" t="n">
        <v>45352</v>
      </c>
      <c r="B103" s="31" t="s">
        <v>11</v>
      </c>
      <c r="C103" s="32"/>
      <c r="D103" s="32"/>
      <c r="E103" s="19" t="n">
        <f aca="false">+IF(C103="EQUIPO",F103,0)</f>
        <v>0</v>
      </c>
      <c r="F103" s="33" t="n">
        <v>0</v>
      </c>
      <c r="G103" s="62"/>
      <c r="H103" s="35" t="n">
        <v>0</v>
      </c>
      <c r="I103" s="34" t="n">
        <f aca="false">+IF(E103=0,0,E103*0.03)</f>
        <v>0</v>
      </c>
    </row>
    <row r="104" customFormat="false" ht="15.75" hidden="false" customHeight="true" outlineLevel="0" collapsed="false">
      <c r="A104" s="65" t="n">
        <v>45352</v>
      </c>
      <c r="B104" s="31" t="s">
        <v>11</v>
      </c>
      <c r="C104" s="32"/>
      <c r="D104" s="32"/>
      <c r="E104" s="19" t="n">
        <f aca="false">+IF(C104="EQUIPO",F104,0)</f>
        <v>0</v>
      </c>
      <c r="F104" s="33" t="n">
        <v>0</v>
      </c>
      <c r="G104" s="62"/>
      <c r="H104" s="35" t="n">
        <v>0</v>
      </c>
      <c r="I104" s="34" t="n">
        <f aca="false">+IF(E104=0,0,E104*0.03)</f>
        <v>0</v>
      </c>
    </row>
    <row r="105" customFormat="false" ht="15.75" hidden="false" customHeight="true" outlineLevel="0" collapsed="false">
      <c r="A105" s="65" t="n">
        <v>45352</v>
      </c>
      <c r="B105" s="31" t="s">
        <v>11</v>
      </c>
      <c r="C105" s="32"/>
      <c r="D105" s="32"/>
      <c r="E105" s="19" t="n">
        <f aca="false">+IF(C105="EQUIPO",F105,0)</f>
        <v>0</v>
      </c>
      <c r="F105" s="33" t="n">
        <v>0</v>
      </c>
      <c r="G105" s="62"/>
      <c r="H105" s="35" t="n">
        <v>0</v>
      </c>
      <c r="I105" s="34" t="n">
        <f aca="false">+IF(E105=0,0,E105*0.03)</f>
        <v>0</v>
      </c>
    </row>
    <row r="106" customFormat="false" ht="15.75" hidden="false" customHeight="true" outlineLevel="0" collapsed="false">
      <c r="A106" s="65" t="n">
        <v>45352</v>
      </c>
      <c r="B106" s="31" t="s">
        <v>11</v>
      </c>
      <c r="C106" s="32"/>
      <c r="D106" s="32"/>
      <c r="E106" s="19" t="n">
        <f aca="false">+IF(C106="EQUIPO",F106,0)</f>
        <v>0</v>
      </c>
      <c r="F106" s="33" t="n">
        <v>0</v>
      </c>
      <c r="G106" s="62"/>
      <c r="H106" s="35" t="n">
        <v>0</v>
      </c>
      <c r="I106" s="34" t="n">
        <f aca="false">+IF(E106=0,0,E106*0.03)</f>
        <v>0</v>
      </c>
    </row>
    <row r="107" customFormat="false" ht="15.75" hidden="false" customHeight="true" outlineLevel="0" collapsed="false">
      <c r="A107" s="65" t="n">
        <v>45352</v>
      </c>
      <c r="B107" s="31" t="s">
        <v>11</v>
      </c>
      <c r="C107" s="32"/>
      <c r="D107" s="32"/>
      <c r="E107" s="19" t="n">
        <f aca="false">+IF(C107="EQUIPO",F107,0)</f>
        <v>0</v>
      </c>
      <c r="F107" s="33" t="n">
        <v>0</v>
      </c>
      <c r="G107" s="62"/>
      <c r="H107" s="35" t="n">
        <v>0</v>
      </c>
      <c r="I107" s="34" t="n">
        <f aca="false">+IF(E107=0,0,E107*0.03)</f>
        <v>0</v>
      </c>
    </row>
    <row r="108" customFormat="false" ht="15.75" hidden="false" customHeight="true" outlineLevel="0" collapsed="false">
      <c r="A108" s="65" t="n">
        <v>45352</v>
      </c>
      <c r="B108" s="31" t="s">
        <v>11</v>
      </c>
      <c r="C108" s="32"/>
      <c r="D108" s="32"/>
      <c r="E108" s="19" t="n">
        <f aca="false">+IF(C108="EQUIPO",F108,0)</f>
        <v>0</v>
      </c>
      <c r="F108" s="33" t="n">
        <v>0</v>
      </c>
      <c r="G108" s="62"/>
      <c r="H108" s="35" t="n">
        <v>0</v>
      </c>
      <c r="I108" s="34" t="n">
        <f aca="false">+IF(E108=0,0,E108*0.03)</f>
        <v>0</v>
      </c>
    </row>
    <row r="109" customFormat="false" ht="15.75" hidden="false" customHeight="true" outlineLevel="0" collapsed="false">
      <c r="A109" s="65" t="n">
        <v>45352</v>
      </c>
      <c r="B109" s="31" t="s">
        <v>11</v>
      </c>
      <c r="C109" s="32"/>
      <c r="D109" s="32"/>
      <c r="E109" s="19" t="n">
        <f aca="false">+IF(C109="EQUIPO",F109,0)</f>
        <v>0</v>
      </c>
      <c r="F109" s="33" t="n">
        <v>0</v>
      </c>
      <c r="G109" s="62"/>
      <c r="H109" s="35" t="n">
        <v>0</v>
      </c>
      <c r="I109" s="34" t="n">
        <f aca="false">+IF(E109=0,0,E109*0.03)</f>
        <v>0</v>
      </c>
    </row>
    <row r="110" customFormat="false" ht="15.75" hidden="false" customHeight="true" outlineLevel="0" collapsed="false">
      <c r="A110" s="65" t="n">
        <v>45352</v>
      </c>
      <c r="B110" s="31" t="s">
        <v>11</v>
      </c>
      <c r="C110" s="32"/>
      <c r="D110" s="32"/>
      <c r="E110" s="19" t="n">
        <f aca="false">+IF(C110="EQUIPO",F110,0)</f>
        <v>0</v>
      </c>
      <c r="F110" s="33" t="n">
        <v>0</v>
      </c>
      <c r="G110" s="62"/>
      <c r="H110" s="35" t="n">
        <v>0</v>
      </c>
      <c r="I110" s="34" t="n">
        <f aca="false">+IF(E110=0,0,E110*0.03)</f>
        <v>0</v>
      </c>
    </row>
    <row r="111" customFormat="false" ht="15.75" hidden="false" customHeight="true" outlineLevel="0" collapsed="false">
      <c r="A111" s="65" t="n">
        <v>45352</v>
      </c>
      <c r="B111" s="31" t="s">
        <v>11</v>
      </c>
      <c r="C111" s="32"/>
      <c r="D111" s="32"/>
      <c r="E111" s="19" t="n">
        <f aca="false">+IF(C111="EQUIPO",F111,0)</f>
        <v>0</v>
      </c>
      <c r="F111" s="33" t="n">
        <v>0</v>
      </c>
      <c r="G111" s="62"/>
      <c r="H111" s="35" t="n">
        <v>0</v>
      </c>
      <c r="I111" s="34" t="n">
        <f aca="false">+IF(E111=0,0,E111*0.03)</f>
        <v>0</v>
      </c>
    </row>
    <row r="112" customFormat="false" ht="15.75" hidden="false" customHeight="true" outlineLevel="0" collapsed="false">
      <c r="A112" s="65" t="n">
        <v>45352</v>
      </c>
      <c r="B112" s="31" t="s">
        <v>11</v>
      </c>
      <c r="C112" s="32"/>
      <c r="D112" s="32"/>
      <c r="E112" s="19" t="n">
        <f aca="false">+IF(C112="EQUIPO",F112,0)</f>
        <v>0</v>
      </c>
      <c r="F112" s="33" t="n">
        <v>0</v>
      </c>
      <c r="G112" s="62"/>
      <c r="H112" s="35" t="n">
        <v>0</v>
      </c>
      <c r="I112" s="34" t="n">
        <f aca="false">+IF(E112=0,0,E112*0.03)</f>
        <v>0</v>
      </c>
    </row>
    <row r="113" customFormat="false" ht="15.75" hidden="false" customHeight="true" outlineLevel="0" collapsed="false">
      <c r="A113" s="65" t="n">
        <v>45352</v>
      </c>
      <c r="B113" s="31" t="s">
        <v>11</v>
      </c>
      <c r="C113" s="32"/>
      <c r="D113" s="32"/>
      <c r="E113" s="19" t="n">
        <f aca="false">+IF(C113="EQUIPO",F113,0)</f>
        <v>0</v>
      </c>
      <c r="F113" s="33" t="n">
        <v>0</v>
      </c>
      <c r="G113" s="62"/>
      <c r="H113" s="35" t="n">
        <v>0</v>
      </c>
      <c r="I113" s="34" t="n">
        <f aca="false">+IF(E113=0,0,E113*0.03)</f>
        <v>0</v>
      </c>
    </row>
    <row r="114" customFormat="false" ht="15.75" hidden="false" customHeight="true" outlineLevel="0" collapsed="false">
      <c r="A114" s="65" t="n">
        <v>45352</v>
      </c>
      <c r="B114" s="31" t="s">
        <v>11</v>
      </c>
      <c r="C114" s="32"/>
      <c r="D114" s="32"/>
      <c r="E114" s="19" t="n">
        <f aca="false">+IF(C114="EQUIPO",F114,0)</f>
        <v>0</v>
      </c>
      <c r="F114" s="33" t="n">
        <v>0</v>
      </c>
      <c r="G114" s="62"/>
      <c r="H114" s="35" t="n">
        <v>0</v>
      </c>
      <c r="I114" s="34" t="n">
        <f aca="false">+IF(E114=0,0,E114*0.03)</f>
        <v>0</v>
      </c>
    </row>
    <row r="115" customFormat="false" ht="15.75" hidden="false" customHeight="true" outlineLevel="0" collapsed="false">
      <c r="A115" s="65" t="n">
        <v>45352</v>
      </c>
      <c r="B115" s="31" t="s">
        <v>11</v>
      </c>
      <c r="C115" s="32"/>
      <c r="D115" s="32"/>
      <c r="E115" s="19" t="n">
        <f aca="false">+IF(C115="EQUIPO",F115,0)</f>
        <v>0</v>
      </c>
      <c r="F115" s="33" t="n">
        <v>0</v>
      </c>
      <c r="G115" s="62"/>
      <c r="H115" s="35" t="n">
        <v>0</v>
      </c>
      <c r="I115" s="34" t="n">
        <f aca="false">+IF(E115=0,0,E115*0.03)</f>
        <v>0</v>
      </c>
    </row>
    <row r="116" customFormat="false" ht="15.75" hidden="false" customHeight="true" outlineLevel="0" collapsed="false">
      <c r="A116" s="65" t="n">
        <v>45352</v>
      </c>
      <c r="B116" s="31" t="s">
        <v>11</v>
      </c>
      <c r="C116" s="32"/>
      <c r="D116" s="32"/>
      <c r="E116" s="19" t="n">
        <f aca="false">+IF(C116="EQUIPO",F116,0)</f>
        <v>0</v>
      </c>
      <c r="F116" s="33" t="n">
        <v>0</v>
      </c>
      <c r="G116" s="62"/>
      <c r="H116" s="35" t="n">
        <v>0</v>
      </c>
      <c r="I116" s="34" t="n">
        <f aca="false">+IF(E116=0,0,E116*0.03)</f>
        <v>0</v>
      </c>
    </row>
    <row r="117" customFormat="false" ht="15.75" hidden="false" customHeight="true" outlineLevel="0" collapsed="false">
      <c r="A117" s="65" t="n">
        <v>45352</v>
      </c>
      <c r="B117" s="31" t="s">
        <v>11</v>
      </c>
      <c r="C117" s="32"/>
      <c r="D117" s="32"/>
      <c r="E117" s="19" t="n">
        <f aca="false">+IF(C117="EQUIPO",F117,0)</f>
        <v>0</v>
      </c>
      <c r="F117" s="33" t="n">
        <v>0</v>
      </c>
      <c r="G117" s="62"/>
      <c r="H117" s="35" t="n">
        <v>0</v>
      </c>
      <c r="I117" s="34" t="n">
        <f aca="false">+IF(E117=0,0,E117*0.03)</f>
        <v>0</v>
      </c>
    </row>
    <row r="118" customFormat="false" ht="15.75" hidden="false" customHeight="true" outlineLevel="0" collapsed="false">
      <c r="A118" s="65" t="n">
        <v>45352</v>
      </c>
      <c r="B118" s="31" t="s">
        <v>11</v>
      </c>
      <c r="C118" s="32"/>
      <c r="D118" s="32"/>
      <c r="E118" s="19" t="n">
        <f aca="false">+IF(C118="EQUIPO",F118,0)</f>
        <v>0</v>
      </c>
      <c r="F118" s="33" t="n">
        <v>0</v>
      </c>
      <c r="G118" s="62"/>
      <c r="H118" s="35" t="n">
        <v>0</v>
      </c>
      <c r="I118" s="34" t="n">
        <f aca="false">+IF(E118=0,0,E118*0.03)</f>
        <v>0</v>
      </c>
    </row>
    <row r="119" customFormat="false" ht="15.75" hidden="false" customHeight="true" outlineLevel="0" collapsed="false">
      <c r="A119" s="65" t="n">
        <v>45352</v>
      </c>
      <c r="B119" s="31" t="s">
        <v>11</v>
      </c>
      <c r="C119" s="32"/>
      <c r="D119" s="32"/>
      <c r="E119" s="19" t="n">
        <f aca="false">+IF(C119="EQUIPO",F119,0)</f>
        <v>0</v>
      </c>
      <c r="F119" s="33" t="n">
        <v>0</v>
      </c>
      <c r="G119" s="62"/>
      <c r="H119" s="35" t="n">
        <v>0</v>
      </c>
      <c r="I119" s="34" t="n">
        <f aca="false">+IF(E119=0,0,E119*0.03)</f>
        <v>0</v>
      </c>
    </row>
    <row r="120" customFormat="false" ht="15.75" hidden="false" customHeight="true" outlineLevel="0" collapsed="false">
      <c r="A120" s="65" t="n">
        <v>45352</v>
      </c>
      <c r="B120" s="31" t="s">
        <v>11</v>
      </c>
      <c r="C120" s="32"/>
      <c r="D120" s="32"/>
      <c r="E120" s="19" t="n">
        <f aca="false">+IF(C120="EQUIPO",F120,0)</f>
        <v>0</v>
      </c>
      <c r="F120" s="33" t="n">
        <v>0</v>
      </c>
      <c r="G120" s="62"/>
      <c r="H120" s="35" t="n">
        <v>0</v>
      </c>
      <c r="I120" s="34" t="n">
        <f aca="false">+IF(E120=0,0,E120*0.03)</f>
        <v>0</v>
      </c>
    </row>
    <row r="121" customFormat="false" ht="15.75" hidden="false" customHeight="true" outlineLevel="0" collapsed="false">
      <c r="A121" s="65" t="n">
        <v>45352</v>
      </c>
      <c r="B121" s="31" t="s">
        <v>11</v>
      </c>
      <c r="C121" s="32"/>
      <c r="D121" s="32"/>
      <c r="E121" s="19" t="n">
        <f aca="false">+IF(C121="EQUIPO",F121,0)</f>
        <v>0</v>
      </c>
      <c r="F121" s="33" t="n">
        <v>0</v>
      </c>
      <c r="G121" s="62"/>
      <c r="H121" s="35" t="n">
        <v>0</v>
      </c>
      <c r="I121" s="34" t="n">
        <f aca="false">+IF(E121=0,0,E121*0.03)</f>
        <v>0</v>
      </c>
    </row>
    <row r="122" customFormat="false" ht="15.75" hidden="false" customHeight="true" outlineLevel="0" collapsed="false">
      <c r="A122" s="65" t="n">
        <v>45352</v>
      </c>
      <c r="B122" s="31" t="s">
        <v>11</v>
      </c>
      <c r="C122" s="32"/>
      <c r="D122" s="32"/>
      <c r="E122" s="19" t="n">
        <f aca="false">+IF(C122="EQUIPO",F122,0)</f>
        <v>0</v>
      </c>
      <c r="F122" s="33" t="n">
        <v>0</v>
      </c>
      <c r="G122" s="62"/>
      <c r="H122" s="35" t="n">
        <v>0</v>
      </c>
      <c r="I122" s="34" t="n">
        <f aca="false">+IF(E122=0,0,E122*0.03)</f>
        <v>0</v>
      </c>
    </row>
    <row r="123" customFormat="false" ht="15.75" hidden="false" customHeight="true" outlineLevel="0" collapsed="false">
      <c r="A123" s="65" t="n">
        <v>45352</v>
      </c>
      <c r="B123" s="31" t="s">
        <v>11</v>
      </c>
      <c r="C123" s="32"/>
      <c r="D123" s="32"/>
      <c r="E123" s="19" t="n">
        <f aca="false">+IF(C123="EQUIPO",F123,0)</f>
        <v>0</v>
      </c>
      <c r="F123" s="33" t="n">
        <v>0</v>
      </c>
      <c r="G123" s="62"/>
      <c r="H123" s="35" t="n">
        <v>0</v>
      </c>
      <c r="I123" s="34" t="n">
        <f aca="false">+IF(E123=0,0,E123*0.03)</f>
        <v>0</v>
      </c>
    </row>
    <row r="124" customFormat="false" ht="15.75" hidden="false" customHeight="true" outlineLevel="0" collapsed="false">
      <c r="A124" s="65" t="n">
        <v>45352</v>
      </c>
      <c r="B124" s="31" t="s">
        <v>11</v>
      </c>
      <c r="C124" s="32"/>
      <c r="D124" s="32"/>
      <c r="E124" s="19" t="n">
        <f aca="false">+IF(C124="EQUIPO",F124,0)</f>
        <v>0</v>
      </c>
      <c r="F124" s="33" t="n">
        <v>0</v>
      </c>
      <c r="G124" s="62"/>
      <c r="H124" s="35" t="n">
        <v>0</v>
      </c>
      <c r="I124" s="34" t="n">
        <f aca="false">+IF(E124=0,0,E124*0.03)</f>
        <v>0</v>
      </c>
    </row>
    <row r="125" customFormat="false" ht="15.75" hidden="false" customHeight="true" outlineLevel="0" collapsed="false">
      <c r="A125" s="65" t="n">
        <v>45352</v>
      </c>
      <c r="B125" s="31" t="s">
        <v>11</v>
      </c>
      <c r="C125" s="32"/>
      <c r="D125" s="32"/>
      <c r="E125" s="19" t="n">
        <f aca="false">+IF(C125="EQUIPO",F125,0)</f>
        <v>0</v>
      </c>
      <c r="F125" s="33" t="n">
        <v>0</v>
      </c>
      <c r="G125" s="62"/>
      <c r="H125" s="35" t="n">
        <v>0</v>
      </c>
      <c r="I125" s="34" t="n">
        <f aca="false">+IF(E125=0,0,E125*0.03)</f>
        <v>0</v>
      </c>
    </row>
    <row r="126" customFormat="false" ht="15.75" hidden="false" customHeight="true" outlineLevel="0" collapsed="false">
      <c r="A126" s="65" t="n">
        <v>45352</v>
      </c>
      <c r="B126" s="31" t="s">
        <v>11</v>
      </c>
      <c r="C126" s="32"/>
      <c r="D126" s="32"/>
      <c r="E126" s="19" t="n">
        <f aca="false">+IF(C126="EQUIPO",F126,0)</f>
        <v>0</v>
      </c>
      <c r="F126" s="33" t="n">
        <v>0</v>
      </c>
      <c r="G126" s="62"/>
      <c r="H126" s="35" t="n">
        <v>0</v>
      </c>
      <c r="I126" s="34" t="n">
        <f aca="false">+IF(E126=0,0,E126*0.03)</f>
        <v>0</v>
      </c>
    </row>
    <row r="127" customFormat="false" ht="15.75" hidden="false" customHeight="true" outlineLevel="0" collapsed="false">
      <c r="A127" s="65" t="n">
        <v>45352</v>
      </c>
      <c r="B127" s="31" t="s">
        <v>11</v>
      </c>
      <c r="C127" s="32"/>
      <c r="D127" s="32"/>
      <c r="E127" s="19" t="n">
        <f aca="false">+IF(C127="EQUIPO",F127,0)</f>
        <v>0</v>
      </c>
      <c r="F127" s="33" t="n">
        <v>0</v>
      </c>
      <c r="G127" s="62"/>
      <c r="H127" s="35" t="n">
        <v>0</v>
      </c>
      <c r="I127" s="34" t="n">
        <f aca="false">+IF(E127=0,0,E127*0.03)</f>
        <v>0</v>
      </c>
    </row>
    <row r="128" customFormat="false" ht="15.75" hidden="false" customHeight="true" outlineLevel="0" collapsed="false">
      <c r="A128" s="65" t="n">
        <v>45352</v>
      </c>
      <c r="B128" s="31" t="s">
        <v>11</v>
      </c>
      <c r="C128" s="32"/>
      <c r="D128" s="32"/>
      <c r="E128" s="19" t="n">
        <f aca="false">+IF(C128="EQUIPO",F128,0)</f>
        <v>0</v>
      </c>
      <c r="F128" s="33" t="n">
        <v>0</v>
      </c>
      <c r="G128" s="62"/>
      <c r="H128" s="35" t="n">
        <v>0</v>
      </c>
      <c r="I128" s="34" t="n">
        <f aca="false">+IF(E128=0,0,E128*0.03)</f>
        <v>0</v>
      </c>
    </row>
    <row r="129" customFormat="false" ht="15.75" hidden="false" customHeight="true" outlineLevel="0" collapsed="false">
      <c r="A129" s="65" t="n">
        <v>45352</v>
      </c>
      <c r="B129" s="31" t="s">
        <v>11</v>
      </c>
      <c r="C129" s="32"/>
      <c r="D129" s="32"/>
      <c r="E129" s="19" t="n">
        <f aca="false">+IF(C129="EQUIPO",F129,0)</f>
        <v>0</v>
      </c>
      <c r="F129" s="33" t="n">
        <v>0</v>
      </c>
      <c r="G129" s="62"/>
      <c r="H129" s="35" t="n">
        <v>0</v>
      </c>
      <c r="I129" s="34" t="n">
        <f aca="false">+IF(E129=0,0,E129*0.03)</f>
        <v>0</v>
      </c>
    </row>
    <row r="130" customFormat="false" ht="15.75" hidden="false" customHeight="true" outlineLevel="0" collapsed="false">
      <c r="A130" s="65" t="n">
        <v>45352</v>
      </c>
      <c r="B130" s="31" t="s">
        <v>11</v>
      </c>
      <c r="C130" s="32"/>
      <c r="D130" s="32"/>
      <c r="E130" s="19" t="n">
        <f aca="false">+IF(C130="EQUIPO",F130,0)</f>
        <v>0</v>
      </c>
      <c r="F130" s="33" t="n">
        <v>0</v>
      </c>
      <c r="G130" s="62"/>
      <c r="H130" s="35" t="n">
        <v>0</v>
      </c>
      <c r="I130" s="34" t="n">
        <f aca="false">+IF(E130=0,0,E130*0.03)</f>
        <v>0</v>
      </c>
    </row>
    <row r="131" customFormat="false" ht="15.75" hidden="false" customHeight="true" outlineLevel="0" collapsed="false">
      <c r="A131" s="65" t="n">
        <v>45352</v>
      </c>
      <c r="B131" s="31" t="s">
        <v>11</v>
      </c>
      <c r="C131" s="32"/>
      <c r="D131" s="32"/>
      <c r="E131" s="19" t="n">
        <f aca="false">+IF(C131="EQUIPO",F131,0)</f>
        <v>0</v>
      </c>
      <c r="F131" s="33" t="n">
        <v>0</v>
      </c>
      <c r="G131" s="62"/>
      <c r="H131" s="35" t="n">
        <v>0</v>
      </c>
      <c r="I131" s="34" t="n">
        <f aca="false">+IF(E131=0,0,E131*0.03)</f>
        <v>0</v>
      </c>
    </row>
    <row r="132" customFormat="false" ht="15.75" hidden="false" customHeight="true" outlineLevel="0" collapsed="false">
      <c r="A132" s="65" t="n">
        <v>45352</v>
      </c>
      <c r="B132" s="31" t="s">
        <v>11</v>
      </c>
      <c r="C132" s="32"/>
      <c r="D132" s="32"/>
      <c r="E132" s="19" t="n">
        <f aca="false">+IF(C132="EQUIPO",F132,0)</f>
        <v>0</v>
      </c>
      <c r="F132" s="33" t="n">
        <v>0</v>
      </c>
      <c r="G132" s="62"/>
      <c r="H132" s="35" t="n">
        <v>0</v>
      </c>
      <c r="I132" s="34" t="n">
        <f aca="false">+IF(E132=0,0,E132*0.03)</f>
        <v>0</v>
      </c>
    </row>
    <row r="133" customFormat="false" ht="15.75" hidden="false" customHeight="true" outlineLevel="0" collapsed="false">
      <c r="A133" s="65" t="n">
        <v>45352</v>
      </c>
      <c r="B133" s="31" t="s">
        <v>11</v>
      </c>
      <c r="C133" s="32"/>
      <c r="D133" s="32"/>
      <c r="E133" s="19" t="n">
        <f aca="false">+IF(C133="EQUIPO",F133,0)</f>
        <v>0</v>
      </c>
      <c r="F133" s="33" t="n">
        <v>0</v>
      </c>
      <c r="G133" s="62"/>
      <c r="H133" s="35" t="n">
        <v>0</v>
      </c>
      <c r="I133" s="34" t="n">
        <f aca="false">+IF(E133=0,0,E133*0.03)</f>
        <v>0</v>
      </c>
    </row>
    <row r="134" customFormat="false" ht="15.75" hidden="false" customHeight="true" outlineLevel="0" collapsed="false">
      <c r="A134" s="65" t="n">
        <v>45352</v>
      </c>
      <c r="B134" s="31" t="s">
        <v>11</v>
      </c>
      <c r="C134" s="32"/>
      <c r="D134" s="32"/>
      <c r="E134" s="19" t="n">
        <f aca="false">+IF(C134="EQUIPO",F134,0)</f>
        <v>0</v>
      </c>
      <c r="F134" s="33" t="n">
        <v>0</v>
      </c>
      <c r="G134" s="62"/>
      <c r="H134" s="35" t="n">
        <v>0</v>
      </c>
      <c r="I134" s="34" t="n">
        <f aca="false">+IF(E134=0,0,E134*0.03)</f>
        <v>0</v>
      </c>
    </row>
    <row r="135" customFormat="false" ht="15.75" hidden="false" customHeight="true" outlineLevel="0" collapsed="false">
      <c r="A135" s="65" t="n">
        <v>45352</v>
      </c>
      <c r="B135" s="31" t="s">
        <v>11</v>
      </c>
      <c r="C135" s="32"/>
      <c r="D135" s="32"/>
      <c r="E135" s="19" t="n">
        <f aca="false">+IF(C135="EQUIPO",F135,0)</f>
        <v>0</v>
      </c>
      <c r="F135" s="33" t="n">
        <v>0</v>
      </c>
      <c r="G135" s="62"/>
      <c r="H135" s="35" t="n">
        <v>0</v>
      </c>
      <c r="I135" s="34" t="n">
        <f aca="false">+IF(E135=0,0,E135*0.03)</f>
        <v>0</v>
      </c>
    </row>
    <row r="136" customFormat="false" ht="15.75" hidden="false" customHeight="true" outlineLevel="0" collapsed="false">
      <c r="A136" s="65" t="n">
        <v>45352</v>
      </c>
      <c r="B136" s="31" t="s">
        <v>11</v>
      </c>
      <c r="C136" s="32"/>
      <c r="D136" s="32"/>
      <c r="E136" s="19" t="n">
        <f aca="false">+IF(C136="EQUIPO",F136,0)</f>
        <v>0</v>
      </c>
      <c r="F136" s="33" t="n">
        <v>0</v>
      </c>
      <c r="G136" s="62"/>
      <c r="H136" s="35" t="n">
        <v>0</v>
      </c>
      <c r="I136" s="34" t="n">
        <f aca="false">+IF(E136=0,0,E136*0.03)</f>
        <v>0</v>
      </c>
    </row>
    <row r="137" customFormat="false" ht="15.75" hidden="false" customHeight="true" outlineLevel="0" collapsed="false">
      <c r="A137" s="65" t="n">
        <v>45352</v>
      </c>
      <c r="B137" s="31" t="s">
        <v>11</v>
      </c>
      <c r="C137" s="32"/>
      <c r="D137" s="32"/>
      <c r="E137" s="19" t="n">
        <f aca="false">+IF(C137="EQUIPO",F137,0)</f>
        <v>0</v>
      </c>
      <c r="F137" s="33" t="n">
        <v>0</v>
      </c>
      <c r="G137" s="62"/>
      <c r="H137" s="35" t="n">
        <v>0</v>
      </c>
      <c r="I137" s="34" t="n">
        <f aca="false">+IF(E137=0,0,E137*0.03)</f>
        <v>0</v>
      </c>
    </row>
    <row r="138" customFormat="false" ht="15.75" hidden="false" customHeight="true" outlineLevel="0" collapsed="false">
      <c r="A138" s="65" t="n">
        <v>45352</v>
      </c>
      <c r="B138" s="31" t="s">
        <v>11</v>
      </c>
      <c r="C138" s="32"/>
      <c r="D138" s="32"/>
      <c r="E138" s="19" t="n">
        <f aca="false">+IF(C138="EQUIPO",F138,0)</f>
        <v>0</v>
      </c>
      <c r="F138" s="33" t="n">
        <v>0</v>
      </c>
      <c r="G138" s="62"/>
      <c r="H138" s="35" t="n">
        <v>0</v>
      </c>
      <c r="I138" s="34" t="n">
        <f aca="false">+IF(E138=0,0,E138*0.03)</f>
        <v>0</v>
      </c>
    </row>
    <row r="139" customFormat="false" ht="15.75" hidden="false" customHeight="true" outlineLevel="0" collapsed="false">
      <c r="A139" s="65" t="n">
        <v>45352</v>
      </c>
      <c r="B139" s="31" t="s">
        <v>11</v>
      </c>
      <c r="C139" s="32"/>
      <c r="D139" s="32"/>
      <c r="E139" s="19" t="n">
        <f aca="false">+IF(C139="EQUIPO",F139,0)</f>
        <v>0</v>
      </c>
      <c r="F139" s="33" t="n">
        <v>0</v>
      </c>
      <c r="G139" s="62"/>
      <c r="H139" s="35" t="n">
        <v>0</v>
      </c>
      <c r="I139" s="34" t="n">
        <f aca="false">+IF(E139=0,0,E139*0.03)</f>
        <v>0</v>
      </c>
    </row>
    <row r="140" customFormat="false" ht="15.75" hidden="false" customHeight="true" outlineLevel="0" collapsed="false">
      <c r="A140" s="65" t="n">
        <v>45352</v>
      </c>
      <c r="B140" s="31" t="s">
        <v>11</v>
      </c>
      <c r="C140" s="32"/>
      <c r="D140" s="32"/>
      <c r="E140" s="19" t="n">
        <f aca="false">+IF(C140="EQUIPO",F140,0)</f>
        <v>0</v>
      </c>
      <c r="F140" s="33" t="n">
        <v>0</v>
      </c>
      <c r="G140" s="62"/>
      <c r="H140" s="35" t="n">
        <v>0</v>
      </c>
      <c r="I140" s="34" t="n">
        <f aca="false">+IF(E140=0,0,E140*0.03)</f>
        <v>0</v>
      </c>
    </row>
    <row r="141" customFormat="false" ht="15.75" hidden="false" customHeight="true" outlineLevel="0" collapsed="false">
      <c r="A141" s="65" t="n">
        <v>45352</v>
      </c>
      <c r="B141" s="31" t="s">
        <v>11</v>
      </c>
      <c r="C141" s="32"/>
      <c r="D141" s="32"/>
      <c r="E141" s="19" t="n">
        <f aca="false">+IF(C141="EQUIPO",F141,0)</f>
        <v>0</v>
      </c>
      <c r="F141" s="33" t="n">
        <v>0</v>
      </c>
      <c r="G141" s="62"/>
      <c r="H141" s="35" t="n">
        <v>0</v>
      </c>
      <c r="I141" s="34" t="n">
        <f aca="false">+IF(E141=0,0,E141*0.03)</f>
        <v>0</v>
      </c>
    </row>
    <row r="142" customFormat="false" ht="15.75" hidden="false" customHeight="true" outlineLevel="0" collapsed="false">
      <c r="A142" s="65" t="n">
        <v>45352</v>
      </c>
      <c r="B142" s="31" t="s">
        <v>11</v>
      </c>
      <c r="C142" s="32"/>
      <c r="D142" s="32"/>
      <c r="E142" s="19" t="n">
        <f aca="false">+IF(C142="EQUIPO",F142,0)</f>
        <v>0</v>
      </c>
      <c r="F142" s="33" t="n">
        <v>0</v>
      </c>
      <c r="G142" s="62"/>
      <c r="H142" s="35" t="n">
        <v>0</v>
      </c>
      <c r="I142" s="34" t="n">
        <f aca="false">+IF(E142=0,0,E142*0.03)</f>
        <v>0</v>
      </c>
    </row>
    <row r="143" customFormat="false" ht="15.75" hidden="false" customHeight="true" outlineLevel="0" collapsed="false">
      <c r="A143" s="65" t="n">
        <v>45352</v>
      </c>
      <c r="B143" s="31" t="s">
        <v>11</v>
      </c>
      <c r="C143" s="32"/>
      <c r="D143" s="32"/>
      <c r="E143" s="19" t="n">
        <f aca="false">+IF(C143="EQUIPO",F143,0)</f>
        <v>0</v>
      </c>
      <c r="F143" s="33" t="n">
        <v>0</v>
      </c>
      <c r="G143" s="62"/>
      <c r="H143" s="35" t="n">
        <v>0</v>
      </c>
      <c r="I143" s="34" t="n">
        <f aca="false">+IF(E143=0,0,E143*0.03)</f>
        <v>0</v>
      </c>
    </row>
    <row r="144" customFormat="false" ht="15.75" hidden="false" customHeight="true" outlineLevel="0" collapsed="false">
      <c r="A144" s="65" t="n">
        <v>45352</v>
      </c>
      <c r="B144" s="31" t="s">
        <v>11</v>
      </c>
      <c r="C144" s="32"/>
      <c r="D144" s="32"/>
      <c r="E144" s="19" t="n">
        <f aca="false">+IF(C144="EQUIPO",F144,0)</f>
        <v>0</v>
      </c>
      <c r="F144" s="33" t="n">
        <v>0</v>
      </c>
      <c r="G144" s="62"/>
      <c r="H144" s="35" t="n">
        <v>0</v>
      </c>
      <c r="I144" s="34" t="n">
        <f aca="false">+IF(E144=0,0,E144*0.03)</f>
        <v>0</v>
      </c>
    </row>
    <row r="145" customFormat="false" ht="15.75" hidden="false" customHeight="true" outlineLevel="0" collapsed="false">
      <c r="A145" s="65" t="n">
        <v>45352</v>
      </c>
      <c r="B145" s="31" t="s">
        <v>11</v>
      </c>
      <c r="C145" s="32"/>
      <c r="D145" s="32"/>
      <c r="E145" s="19" t="n">
        <f aca="false">+IF(C145="EQUIPO",F145,0)</f>
        <v>0</v>
      </c>
      <c r="F145" s="33" t="n">
        <v>0</v>
      </c>
      <c r="G145" s="62"/>
      <c r="H145" s="35" t="n">
        <v>0</v>
      </c>
      <c r="I145" s="34" t="n">
        <f aca="false">+IF(E145=0,0,E145*0.03)</f>
        <v>0</v>
      </c>
    </row>
    <row r="146" customFormat="false" ht="15.75" hidden="false" customHeight="true" outlineLevel="0" collapsed="false">
      <c r="A146" s="65" t="n">
        <v>45352</v>
      </c>
      <c r="B146" s="31" t="s">
        <v>11</v>
      </c>
      <c r="C146" s="32"/>
      <c r="D146" s="32"/>
      <c r="E146" s="19" t="n">
        <f aca="false">+IF(C146="EQUIPO",F146,0)</f>
        <v>0</v>
      </c>
      <c r="F146" s="33" t="n">
        <v>0</v>
      </c>
      <c r="G146" s="62"/>
      <c r="H146" s="35" t="n">
        <v>0</v>
      </c>
      <c r="I146" s="34" t="n">
        <f aca="false">+IF(E146=0,0,E146*0.03)</f>
        <v>0</v>
      </c>
    </row>
    <row r="147" customFormat="false" ht="15.75" hidden="false" customHeight="true" outlineLevel="0" collapsed="false">
      <c r="A147" s="65" t="n">
        <v>45352</v>
      </c>
      <c r="B147" s="31" t="s">
        <v>11</v>
      </c>
      <c r="C147" s="32"/>
      <c r="D147" s="32"/>
      <c r="E147" s="19" t="n">
        <f aca="false">+IF(C147="EQUIPO",F147,0)</f>
        <v>0</v>
      </c>
      <c r="F147" s="33" t="n">
        <v>0</v>
      </c>
      <c r="G147" s="62"/>
      <c r="H147" s="35" t="n">
        <v>0</v>
      </c>
      <c r="I147" s="34" t="n">
        <f aca="false">+IF(E147=0,0,E147*0.03)</f>
        <v>0</v>
      </c>
    </row>
    <row r="148" customFormat="false" ht="15.75" hidden="false" customHeight="true" outlineLevel="0" collapsed="false">
      <c r="A148" s="65" t="n">
        <v>45352</v>
      </c>
      <c r="B148" s="31" t="s">
        <v>11</v>
      </c>
      <c r="C148" s="32"/>
      <c r="D148" s="32"/>
      <c r="E148" s="19" t="n">
        <f aca="false">+IF(C148="EQUIPO",F148,0)</f>
        <v>0</v>
      </c>
      <c r="F148" s="33" t="n">
        <v>0</v>
      </c>
      <c r="G148" s="62"/>
      <c r="H148" s="35" t="n">
        <v>0</v>
      </c>
      <c r="I148" s="34" t="n">
        <f aca="false">+IF(E148=0,0,E148*0.03)</f>
        <v>0</v>
      </c>
    </row>
    <row r="149" customFormat="false" ht="15.75" hidden="false" customHeight="true" outlineLevel="0" collapsed="false">
      <c r="A149" s="65" t="n">
        <v>45352</v>
      </c>
      <c r="B149" s="31" t="s">
        <v>11</v>
      </c>
      <c r="C149" s="32"/>
      <c r="D149" s="32"/>
      <c r="E149" s="19" t="n">
        <f aca="false">+IF(C149="EQUIPO",F149,0)</f>
        <v>0</v>
      </c>
      <c r="F149" s="33" t="n">
        <v>0</v>
      </c>
      <c r="G149" s="62"/>
      <c r="H149" s="35" t="n">
        <v>0</v>
      </c>
      <c r="I149" s="34" t="n">
        <f aca="false">+IF(E149=0,0,E149*0.03)</f>
        <v>0</v>
      </c>
    </row>
    <row r="150" customFormat="false" ht="15.75" hidden="false" customHeight="true" outlineLevel="0" collapsed="false">
      <c r="A150" s="65" t="n">
        <v>45352</v>
      </c>
      <c r="B150" s="31" t="s">
        <v>11</v>
      </c>
      <c r="C150" s="32"/>
      <c r="D150" s="32"/>
      <c r="E150" s="19" t="n">
        <f aca="false">+IF(C150="EQUIPO",F150,0)</f>
        <v>0</v>
      </c>
      <c r="F150" s="33" t="n">
        <v>0</v>
      </c>
      <c r="G150" s="62"/>
      <c r="H150" s="35" t="n">
        <v>0</v>
      </c>
      <c r="I150" s="34" t="n">
        <f aca="false">+IF(E150=0,0,E150*0.03)</f>
        <v>0</v>
      </c>
    </row>
    <row r="151" customFormat="false" ht="15.75" hidden="false" customHeight="true" outlineLevel="0" collapsed="false">
      <c r="A151" s="65" t="n">
        <v>45352</v>
      </c>
      <c r="B151" s="31" t="s">
        <v>11</v>
      </c>
      <c r="C151" s="32"/>
      <c r="D151" s="32"/>
      <c r="E151" s="19" t="n">
        <f aca="false">+IF(C151="EQUIPO",F151,0)</f>
        <v>0</v>
      </c>
      <c r="F151" s="33" t="n">
        <v>0</v>
      </c>
      <c r="G151" s="62"/>
      <c r="H151" s="35" t="n">
        <v>0</v>
      </c>
      <c r="I151" s="34" t="n">
        <f aca="false">+IF(E151=0,0,E151*0.03)</f>
        <v>0</v>
      </c>
    </row>
    <row r="152" customFormat="false" ht="15.75" hidden="false" customHeight="true" outlineLevel="0" collapsed="false">
      <c r="A152" s="65" t="n">
        <v>45352</v>
      </c>
      <c r="B152" s="31" t="s">
        <v>11</v>
      </c>
      <c r="C152" s="32"/>
      <c r="D152" s="32"/>
      <c r="E152" s="19" t="n">
        <f aca="false">+IF(C152="EQUIPO",F152,0)</f>
        <v>0</v>
      </c>
      <c r="F152" s="33" t="n">
        <v>0</v>
      </c>
      <c r="G152" s="62"/>
      <c r="H152" s="35" t="n">
        <v>0</v>
      </c>
      <c r="I152" s="34" t="n">
        <f aca="false">+IF(E152=0,0,E152*0.03)</f>
        <v>0</v>
      </c>
    </row>
    <row r="153" customFormat="false" ht="15.75" hidden="false" customHeight="true" outlineLevel="0" collapsed="false">
      <c r="A153" s="65" t="n">
        <v>45352</v>
      </c>
      <c r="B153" s="31" t="s">
        <v>11</v>
      </c>
      <c r="C153" s="32"/>
      <c r="D153" s="32"/>
      <c r="E153" s="19" t="n">
        <f aca="false">+IF(C153="EQUIPO",F153,0)</f>
        <v>0</v>
      </c>
      <c r="F153" s="33" t="n">
        <v>0</v>
      </c>
      <c r="G153" s="62"/>
      <c r="H153" s="35" t="n">
        <v>0</v>
      </c>
      <c r="I153" s="34" t="n">
        <f aca="false">+IF(E153=0,0,E153*0.03)</f>
        <v>0</v>
      </c>
    </row>
    <row r="154" customFormat="false" ht="15.75" hidden="false" customHeight="true" outlineLevel="0" collapsed="false">
      <c r="A154" s="65" t="n">
        <v>45352</v>
      </c>
      <c r="B154" s="31" t="s">
        <v>11</v>
      </c>
      <c r="C154" s="32"/>
      <c r="D154" s="32"/>
      <c r="E154" s="19" t="n">
        <f aca="false">+IF(C154="EQUIPO",F154,0)</f>
        <v>0</v>
      </c>
      <c r="F154" s="33" t="n">
        <v>0</v>
      </c>
      <c r="G154" s="62"/>
      <c r="H154" s="35" t="n">
        <v>0</v>
      </c>
      <c r="I154" s="34" t="n">
        <f aca="false">+IF(E154=0,0,E154*0.03)</f>
        <v>0</v>
      </c>
    </row>
    <row r="155" customFormat="false" ht="15.75" hidden="false" customHeight="true" outlineLevel="0" collapsed="false">
      <c r="A155" s="65" t="n">
        <v>45352</v>
      </c>
      <c r="B155" s="31" t="s">
        <v>11</v>
      </c>
      <c r="C155" s="32"/>
      <c r="D155" s="32"/>
      <c r="E155" s="19" t="n">
        <f aca="false">+IF(C155="EQUIPO",F155,0)</f>
        <v>0</v>
      </c>
      <c r="F155" s="33" t="n">
        <v>0</v>
      </c>
      <c r="G155" s="62"/>
      <c r="H155" s="35" t="n">
        <v>0</v>
      </c>
      <c r="I155" s="34" t="n">
        <f aca="false">+IF(E155=0,0,E155*0.03)</f>
        <v>0</v>
      </c>
    </row>
    <row r="156" customFormat="false" ht="15.75" hidden="false" customHeight="true" outlineLevel="0" collapsed="false">
      <c r="A156" s="65" t="n">
        <v>45352</v>
      </c>
      <c r="B156" s="31" t="s">
        <v>11</v>
      </c>
      <c r="C156" s="32"/>
      <c r="D156" s="32"/>
      <c r="E156" s="19" t="n">
        <f aca="false">+IF(C156="EQUIPO",F156,0)</f>
        <v>0</v>
      </c>
      <c r="F156" s="33" t="n">
        <v>0</v>
      </c>
      <c r="G156" s="62"/>
      <c r="H156" s="35" t="n">
        <v>0</v>
      </c>
      <c r="I156" s="34" t="n">
        <f aca="false">+IF(E156=0,0,E156*0.03)</f>
        <v>0</v>
      </c>
    </row>
    <row r="157" customFormat="false" ht="15.75" hidden="false" customHeight="true" outlineLevel="0" collapsed="false">
      <c r="A157" s="65" t="n">
        <v>45352</v>
      </c>
      <c r="B157" s="31" t="s">
        <v>11</v>
      </c>
      <c r="C157" s="32"/>
      <c r="D157" s="32"/>
      <c r="E157" s="19" t="n">
        <f aca="false">+IF(C157="EQUIPO",F157,0)</f>
        <v>0</v>
      </c>
      <c r="F157" s="33" t="n">
        <v>0</v>
      </c>
      <c r="G157" s="62"/>
      <c r="H157" s="35" t="n">
        <v>0</v>
      </c>
      <c r="I157" s="34" t="n">
        <f aca="false">+IF(E157=0,0,E157*0.03)</f>
        <v>0</v>
      </c>
    </row>
    <row r="158" customFormat="false" ht="15.75" hidden="false" customHeight="true" outlineLevel="0" collapsed="false">
      <c r="A158" s="65" t="n">
        <v>45352</v>
      </c>
      <c r="B158" s="31" t="s">
        <v>11</v>
      </c>
      <c r="C158" s="32"/>
      <c r="D158" s="32"/>
      <c r="E158" s="19" t="n">
        <f aca="false">+IF(C158="EQUIPO",F158,0)</f>
        <v>0</v>
      </c>
      <c r="F158" s="33" t="n">
        <v>0</v>
      </c>
      <c r="G158" s="62"/>
      <c r="H158" s="35" t="n">
        <v>0</v>
      </c>
      <c r="I158" s="34" t="n">
        <f aca="false">+IF(E158=0,0,E158*0.03)</f>
        <v>0</v>
      </c>
    </row>
    <row r="159" customFormat="false" ht="15.75" hidden="false" customHeight="true" outlineLevel="0" collapsed="false">
      <c r="A159" s="65" t="n">
        <v>45352</v>
      </c>
      <c r="B159" s="31" t="s">
        <v>11</v>
      </c>
      <c r="C159" s="32"/>
      <c r="D159" s="32"/>
      <c r="E159" s="19" t="n">
        <f aca="false">+IF(C159="EQUIPO",F159,0)</f>
        <v>0</v>
      </c>
      <c r="F159" s="33" t="n">
        <v>0</v>
      </c>
      <c r="G159" s="62"/>
      <c r="H159" s="35" t="n">
        <v>0</v>
      </c>
      <c r="I159" s="34" t="n">
        <f aca="false">+IF(E159=0,0,E159*0.03)</f>
        <v>0</v>
      </c>
    </row>
    <row r="160" customFormat="false" ht="15.75" hidden="false" customHeight="true" outlineLevel="0" collapsed="false">
      <c r="A160" s="65" t="n">
        <v>45352</v>
      </c>
      <c r="B160" s="31" t="s">
        <v>11</v>
      </c>
      <c r="C160" s="32"/>
      <c r="D160" s="32"/>
      <c r="E160" s="19" t="n">
        <f aca="false">+IF(C160="EQUIPO",F160,0)</f>
        <v>0</v>
      </c>
      <c r="F160" s="33" t="n">
        <v>0</v>
      </c>
      <c r="G160" s="62"/>
      <c r="H160" s="35" t="n">
        <v>0</v>
      </c>
      <c r="I160" s="34" t="n">
        <f aca="false">+IF(E160=0,0,E160*0.03)</f>
        <v>0</v>
      </c>
    </row>
    <row r="161" customFormat="false" ht="15.75" hidden="false" customHeight="true" outlineLevel="0" collapsed="false">
      <c r="A161" s="65" t="n">
        <v>45352</v>
      </c>
      <c r="B161" s="31" t="s">
        <v>11</v>
      </c>
      <c r="C161" s="32"/>
      <c r="D161" s="32"/>
      <c r="E161" s="19" t="n">
        <f aca="false">+IF(C161="EQUIPO",F161,0)</f>
        <v>0</v>
      </c>
      <c r="F161" s="33" t="n">
        <v>0</v>
      </c>
      <c r="G161" s="62"/>
      <c r="H161" s="35" t="n">
        <v>0</v>
      </c>
      <c r="I161" s="34" t="n">
        <f aca="false">+IF(E161=0,0,E161*0.03)</f>
        <v>0</v>
      </c>
    </row>
    <row r="162" customFormat="false" ht="15.75" hidden="false" customHeight="true" outlineLevel="0" collapsed="false">
      <c r="A162" s="65" t="n">
        <v>45352</v>
      </c>
      <c r="B162" s="31" t="s">
        <v>11</v>
      </c>
      <c r="C162" s="32"/>
      <c r="D162" s="32"/>
      <c r="E162" s="19" t="n">
        <f aca="false">+IF(C162="EQUIPO",F162,0)</f>
        <v>0</v>
      </c>
      <c r="F162" s="33" t="n">
        <v>0</v>
      </c>
      <c r="G162" s="62"/>
      <c r="H162" s="35" t="n">
        <v>0</v>
      </c>
      <c r="I162" s="34" t="n">
        <f aca="false">+IF(E162=0,0,E162*0.03)</f>
        <v>0</v>
      </c>
    </row>
    <row r="163" customFormat="false" ht="15.75" hidden="false" customHeight="true" outlineLevel="0" collapsed="false">
      <c r="A163" s="65" t="n">
        <v>45352</v>
      </c>
      <c r="B163" s="31" t="s">
        <v>11</v>
      </c>
      <c r="C163" s="32"/>
      <c r="D163" s="32"/>
      <c r="E163" s="19" t="n">
        <f aca="false">+IF(C163="EQUIPO",F163,0)</f>
        <v>0</v>
      </c>
      <c r="F163" s="33" t="n">
        <v>0</v>
      </c>
      <c r="G163" s="62"/>
      <c r="H163" s="35" t="n">
        <v>0</v>
      </c>
      <c r="I163" s="34" t="n">
        <f aca="false">+IF(E163=0,0,E163*0.03)</f>
        <v>0</v>
      </c>
    </row>
    <row r="164" customFormat="false" ht="15.75" hidden="false" customHeight="true" outlineLevel="0" collapsed="false">
      <c r="A164" s="65" t="n">
        <v>45352</v>
      </c>
      <c r="B164" s="31" t="s">
        <v>11</v>
      </c>
      <c r="C164" s="32"/>
      <c r="D164" s="32"/>
      <c r="E164" s="19" t="n">
        <f aca="false">+IF(C164="EQUIPO",F164,0)</f>
        <v>0</v>
      </c>
      <c r="F164" s="33" t="n">
        <v>0</v>
      </c>
      <c r="G164" s="62"/>
      <c r="H164" s="35" t="n">
        <v>0</v>
      </c>
      <c r="I164" s="34" t="n">
        <f aca="false">+IF(E164=0,0,E164*0.03)</f>
        <v>0</v>
      </c>
    </row>
    <row r="165" customFormat="false" ht="15.75" hidden="false" customHeight="true" outlineLevel="0" collapsed="false">
      <c r="A165" s="65" t="n">
        <v>45352</v>
      </c>
      <c r="B165" s="31" t="s">
        <v>11</v>
      </c>
      <c r="C165" s="32"/>
      <c r="D165" s="32"/>
      <c r="E165" s="19" t="n">
        <f aca="false">+IF(C165="EQUIPO",F165,0)</f>
        <v>0</v>
      </c>
      <c r="F165" s="33" t="n">
        <v>0</v>
      </c>
      <c r="G165" s="62"/>
      <c r="H165" s="35" t="n">
        <v>0</v>
      </c>
      <c r="I165" s="34" t="n">
        <f aca="false">+IF(E165=0,0,E165*0.03)</f>
        <v>0</v>
      </c>
    </row>
    <row r="166" customFormat="false" ht="15.75" hidden="false" customHeight="true" outlineLevel="0" collapsed="false">
      <c r="A166" s="65" t="n">
        <v>45352</v>
      </c>
      <c r="B166" s="31" t="s">
        <v>11</v>
      </c>
      <c r="C166" s="32"/>
      <c r="D166" s="32"/>
      <c r="E166" s="19" t="n">
        <f aca="false">+IF(C166="EQUIPO",F166,0)</f>
        <v>0</v>
      </c>
      <c r="F166" s="33" t="n">
        <v>0</v>
      </c>
      <c r="G166" s="62"/>
      <c r="H166" s="35" t="n">
        <v>0</v>
      </c>
      <c r="I166" s="34" t="n">
        <f aca="false">+IF(E166=0,0,E166*0.03)</f>
        <v>0</v>
      </c>
    </row>
    <row r="167" customFormat="false" ht="15.75" hidden="false" customHeight="true" outlineLevel="0" collapsed="false">
      <c r="A167" s="65" t="n">
        <v>45352</v>
      </c>
      <c r="B167" s="31" t="s">
        <v>11</v>
      </c>
      <c r="C167" s="32"/>
      <c r="D167" s="32"/>
      <c r="E167" s="19" t="n">
        <f aca="false">+IF(C167="EQUIPO",F167,0)</f>
        <v>0</v>
      </c>
      <c r="F167" s="33" t="n">
        <v>0</v>
      </c>
      <c r="G167" s="62"/>
      <c r="H167" s="35" t="n">
        <v>0</v>
      </c>
      <c r="I167" s="34" t="n">
        <f aca="false">+IF(E167=0,0,E167*0.03)</f>
        <v>0</v>
      </c>
    </row>
    <row r="168" customFormat="false" ht="15.75" hidden="false" customHeight="true" outlineLevel="0" collapsed="false">
      <c r="A168" s="65" t="n">
        <v>45352</v>
      </c>
      <c r="B168" s="31" t="s">
        <v>11</v>
      </c>
      <c r="C168" s="32"/>
      <c r="D168" s="32"/>
      <c r="E168" s="19" t="n">
        <f aca="false">+IF(C168="EQUIPO",F168,0)</f>
        <v>0</v>
      </c>
      <c r="F168" s="33" t="n">
        <v>0</v>
      </c>
      <c r="G168" s="62"/>
      <c r="H168" s="35" t="n">
        <v>0</v>
      </c>
      <c r="I168" s="34" t="n">
        <f aca="false">+IF(E168=0,0,E168*0.03)</f>
        <v>0</v>
      </c>
    </row>
    <row r="169" customFormat="false" ht="15.75" hidden="false" customHeight="true" outlineLevel="0" collapsed="false">
      <c r="A169" s="65" t="n">
        <v>45352</v>
      </c>
      <c r="B169" s="31" t="s">
        <v>11</v>
      </c>
      <c r="C169" s="32"/>
      <c r="D169" s="32"/>
      <c r="E169" s="19" t="n">
        <f aca="false">+IF(C169="EQUIPO",F169,0)</f>
        <v>0</v>
      </c>
      <c r="F169" s="33" t="n">
        <v>0</v>
      </c>
      <c r="G169" s="62"/>
      <c r="H169" s="35" t="n">
        <v>0</v>
      </c>
      <c r="I169" s="34" t="n">
        <f aca="false">+IF(E169=0,0,E169*0.03)</f>
        <v>0</v>
      </c>
    </row>
    <row r="170" customFormat="false" ht="15.75" hidden="false" customHeight="true" outlineLevel="0" collapsed="false">
      <c r="A170" s="65" t="n">
        <v>45352</v>
      </c>
      <c r="B170" s="31" t="s">
        <v>11</v>
      </c>
      <c r="C170" s="32"/>
      <c r="D170" s="32"/>
      <c r="E170" s="19" t="n">
        <f aca="false">+IF(C170="EQUIPO",F170,0)</f>
        <v>0</v>
      </c>
      <c r="F170" s="33" t="n">
        <v>0</v>
      </c>
      <c r="G170" s="62"/>
      <c r="H170" s="35" t="n">
        <v>0</v>
      </c>
      <c r="I170" s="34" t="n">
        <f aca="false">+IF(E170=0,0,E170*0.03)</f>
        <v>0</v>
      </c>
    </row>
    <row r="171" customFormat="false" ht="15.75" hidden="false" customHeight="true" outlineLevel="0" collapsed="false">
      <c r="A171" s="65" t="n">
        <v>45352</v>
      </c>
      <c r="B171" s="31" t="s">
        <v>11</v>
      </c>
      <c r="C171" s="32"/>
      <c r="D171" s="32"/>
      <c r="E171" s="19" t="n">
        <f aca="false">+IF(C171="EQUIPO",F171,0)</f>
        <v>0</v>
      </c>
      <c r="F171" s="33" t="n">
        <v>0</v>
      </c>
      <c r="G171" s="62"/>
      <c r="H171" s="35" t="n">
        <v>0</v>
      </c>
      <c r="I171" s="34" t="n">
        <f aca="false">+IF(E171=0,0,E171*0.03)</f>
        <v>0</v>
      </c>
    </row>
    <row r="172" customFormat="false" ht="15.75" hidden="false" customHeight="true" outlineLevel="0" collapsed="false">
      <c r="A172" s="65" t="n">
        <v>45352</v>
      </c>
      <c r="B172" s="31" t="s">
        <v>11</v>
      </c>
      <c r="C172" s="32"/>
      <c r="D172" s="32"/>
      <c r="E172" s="19" t="n">
        <f aca="false">+IF(C172="EQUIPO",F172,0)</f>
        <v>0</v>
      </c>
      <c r="F172" s="33" t="n">
        <v>0</v>
      </c>
      <c r="G172" s="62"/>
      <c r="H172" s="35" t="n">
        <v>0</v>
      </c>
      <c r="I172" s="34" t="n">
        <f aca="false">+IF(E172=0,0,E172*0.03)</f>
        <v>0</v>
      </c>
    </row>
    <row r="173" customFormat="false" ht="15.75" hidden="false" customHeight="true" outlineLevel="0" collapsed="false">
      <c r="A173" s="65" t="n">
        <v>45352</v>
      </c>
      <c r="B173" s="31" t="s">
        <v>11</v>
      </c>
      <c r="C173" s="32"/>
      <c r="D173" s="32"/>
      <c r="E173" s="19" t="n">
        <f aca="false">+IF(C173="EQUIPO",F173,0)</f>
        <v>0</v>
      </c>
      <c r="F173" s="33" t="n">
        <v>0</v>
      </c>
      <c r="G173" s="62"/>
      <c r="H173" s="35" t="n">
        <v>0</v>
      </c>
      <c r="I173" s="34" t="n">
        <f aca="false">+IF(E173=0,0,E173*0.03)</f>
        <v>0</v>
      </c>
    </row>
    <row r="174" customFormat="false" ht="15.75" hidden="false" customHeight="true" outlineLevel="0" collapsed="false">
      <c r="A174" s="65" t="n">
        <v>45352</v>
      </c>
      <c r="B174" s="31" t="s">
        <v>11</v>
      </c>
      <c r="C174" s="32"/>
      <c r="D174" s="32"/>
      <c r="E174" s="19" t="n">
        <f aca="false">+IF(C174="EQUIPO",F174,0)</f>
        <v>0</v>
      </c>
      <c r="F174" s="33" t="n">
        <v>0</v>
      </c>
      <c r="G174" s="62"/>
      <c r="H174" s="35" t="n">
        <v>0</v>
      </c>
      <c r="I174" s="34" t="n">
        <f aca="false">+IF(E174=0,0,E174*0.03)</f>
        <v>0</v>
      </c>
    </row>
    <row r="175" customFormat="false" ht="15.75" hidden="false" customHeight="true" outlineLevel="0" collapsed="false">
      <c r="A175" s="65" t="n">
        <v>45352</v>
      </c>
      <c r="B175" s="31" t="s">
        <v>11</v>
      </c>
      <c r="C175" s="32"/>
      <c r="D175" s="32"/>
      <c r="E175" s="19" t="n">
        <f aca="false">+IF(C175="EQUIPO",F175,0)</f>
        <v>0</v>
      </c>
      <c r="F175" s="33" t="n">
        <v>0</v>
      </c>
      <c r="G175" s="62"/>
      <c r="H175" s="35" t="n">
        <v>0</v>
      </c>
      <c r="I175" s="34" t="n">
        <f aca="false">+IF(E175=0,0,E175*0.03)</f>
        <v>0</v>
      </c>
    </row>
    <row r="176" customFormat="false" ht="15.75" hidden="false" customHeight="true" outlineLevel="0" collapsed="false">
      <c r="A176" s="65" t="n">
        <v>45352</v>
      </c>
      <c r="B176" s="31" t="s">
        <v>11</v>
      </c>
      <c r="C176" s="32"/>
      <c r="D176" s="32"/>
      <c r="E176" s="19" t="n">
        <f aca="false">+IF(C176="EQUIPO",F176,0)</f>
        <v>0</v>
      </c>
      <c r="F176" s="33" t="n">
        <v>0</v>
      </c>
      <c r="G176" s="62"/>
      <c r="H176" s="35" t="n">
        <v>0</v>
      </c>
      <c r="I176" s="34" t="n">
        <f aca="false">+IF(E176=0,0,E176*0.03)</f>
        <v>0</v>
      </c>
    </row>
    <row r="177" customFormat="false" ht="15.75" hidden="false" customHeight="true" outlineLevel="0" collapsed="false">
      <c r="A177" s="65" t="n">
        <v>45352</v>
      </c>
      <c r="B177" s="31" t="s">
        <v>11</v>
      </c>
      <c r="C177" s="32"/>
      <c r="D177" s="32"/>
      <c r="E177" s="19" t="n">
        <f aca="false">+IF(C177="EQUIPO",F177,0)</f>
        <v>0</v>
      </c>
      <c r="F177" s="33" t="n">
        <v>0</v>
      </c>
      <c r="G177" s="62"/>
      <c r="H177" s="35" t="n">
        <v>0</v>
      </c>
      <c r="I177" s="34" t="n">
        <f aca="false">+IF(E177=0,0,E177*0.03)</f>
        <v>0</v>
      </c>
    </row>
    <row r="178" customFormat="false" ht="15.75" hidden="false" customHeight="true" outlineLevel="0" collapsed="false">
      <c r="A178" s="65" t="n">
        <v>45352</v>
      </c>
      <c r="B178" s="31" t="s">
        <v>11</v>
      </c>
      <c r="C178" s="32"/>
      <c r="D178" s="32"/>
      <c r="E178" s="19" t="n">
        <f aca="false">+IF(C178="EQUIPO",F178,0)</f>
        <v>0</v>
      </c>
      <c r="F178" s="33" t="n">
        <v>0</v>
      </c>
      <c r="G178" s="62"/>
      <c r="H178" s="35" t="n">
        <v>0</v>
      </c>
      <c r="I178" s="34" t="n">
        <f aca="false">+IF(E178=0,0,E178*0.03)</f>
        <v>0</v>
      </c>
    </row>
    <row r="179" customFormat="false" ht="15.75" hidden="false" customHeight="true" outlineLevel="0" collapsed="false">
      <c r="A179" s="65" t="n">
        <v>45352</v>
      </c>
      <c r="B179" s="31" t="s">
        <v>11</v>
      </c>
      <c r="C179" s="32"/>
      <c r="D179" s="32"/>
      <c r="E179" s="19" t="n">
        <f aca="false">+IF(C179="EQUIPO",F179,0)</f>
        <v>0</v>
      </c>
      <c r="F179" s="33" t="n">
        <v>0</v>
      </c>
      <c r="G179" s="62"/>
      <c r="H179" s="35" t="n">
        <v>0</v>
      </c>
      <c r="I179" s="34" t="n">
        <f aca="false">+IF(E179=0,0,E179*0.03)</f>
        <v>0</v>
      </c>
    </row>
    <row r="180" customFormat="false" ht="15.75" hidden="false" customHeight="true" outlineLevel="0" collapsed="false">
      <c r="A180" s="65" t="n">
        <v>45352</v>
      </c>
      <c r="B180" s="31" t="s">
        <v>11</v>
      </c>
      <c r="C180" s="32"/>
      <c r="D180" s="32"/>
      <c r="E180" s="19" t="n">
        <f aca="false">+IF(C180="EQUIPO",F180,0)</f>
        <v>0</v>
      </c>
      <c r="F180" s="33" t="n">
        <v>0</v>
      </c>
      <c r="G180" s="62"/>
      <c r="H180" s="35" t="n">
        <v>0</v>
      </c>
      <c r="I180" s="34" t="n">
        <f aca="false">+IF(E180=0,0,E180*0.03)</f>
        <v>0</v>
      </c>
    </row>
    <row r="181" customFormat="false" ht="15.75" hidden="false" customHeight="true" outlineLevel="0" collapsed="false">
      <c r="A181" s="65" t="n">
        <v>45352</v>
      </c>
      <c r="B181" s="31" t="s">
        <v>11</v>
      </c>
      <c r="C181" s="32"/>
      <c r="D181" s="32"/>
      <c r="E181" s="19" t="n">
        <f aca="false">+IF(C181="EQUIPO",F181,0)</f>
        <v>0</v>
      </c>
      <c r="F181" s="33" t="n">
        <v>0</v>
      </c>
      <c r="G181" s="62"/>
      <c r="H181" s="35" t="n">
        <v>0</v>
      </c>
      <c r="I181" s="34" t="n">
        <f aca="false">+IF(E181=0,0,E181*0.03)</f>
        <v>0</v>
      </c>
    </row>
    <row r="182" customFormat="false" ht="15.75" hidden="false" customHeight="true" outlineLevel="0" collapsed="false">
      <c r="A182" s="65" t="n">
        <v>45352</v>
      </c>
      <c r="B182" s="31" t="s">
        <v>11</v>
      </c>
      <c r="C182" s="32"/>
      <c r="D182" s="32"/>
      <c r="E182" s="19" t="n">
        <f aca="false">+IF(C182="EQUIPO",F182,0)</f>
        <v>0</v>
      </c>
      <c r="F182" s="33" t="n">
        <v>0</v>
      </c>
      <c r="G182" s="62"/>
      <c r="H182" s="35" t="n">
        <v>0</v>
      </c>
      <c r="I182" s="34" t="n">
        <f aca="false">+IF(E182=0,0,E182*0.03)</f>
        <v>0</v>
      </c>
    </row>
    <row r="183" customFormat="false" ht="15.75" hidden="false" customHeight="true" outlineLevel="0" collapsed="false">
      <c r="A183" s="65" t="n">
        <v>45352</v>
      </c>
      <c r="B183" s="31" t="s">
        <v>11</v>
      </c>
      <c r="C183" s="32"/>
      <c r="D183" s="32"/>
      <c r="E183" s="19" t="n">
        <f aca="false">+IF(C183="EQUIPO",F183,0)</f>
        <v>0</v>
      </c>
      <c r="F183" s="33" t="n">
        <v>0</v>
      </c>
      <c r="G183" s="62"/>
      <c r="H183" s="35" t="n">
        <v>0</v>
      </c>
      <c r="I183" s="34" t="n">
        <f aca="false">+IF(E183=0,0,E183*0.03)</f>
        <v>0</v>
      </c>
    </row>
    <row r="184" customFormat="false" ht="15.75" hidden="false" customHeight="true" outlineLevel="0" collapsed="false">
      <c r="A184" s="65" t="n">
        <v>45352</v>
      </c>
      <c r="B184" s="31" t="s">
        <v>11</v>
      </c>
      <c r="C184" s="32"/>
      <c r="D184" s="32"/>
      <c r="E184" s="19" t="n">
        <f aca="false">+IF(C184="EQUIPO",F184,0)</f>
        <v>0</v>
      </c>
      <c r="F184" s="33" t="n">
        <v>0</v>
      </c>
      <c r="G184" s="62"/>
      <c r="H184" s="35" t="n">
        <v>0</v>
      </c>
      <c r="I184" s="34" t="n">
        <f aca="false">+IF(E184=0,0,E184*0.03)</f>
        <v>0</v>
      </c>
    </row>
    <row r="185" customFormat="false" ht="15.75" hidden="false" customHeight="true" outlineLevel="0" collapsed="false">
      <c r="A185" s="65" t="n">
        <v>45352</v>
      </c>
      <c r="B185" s="31" t="s">
        <v>11</v>
      </c>
      <c r="C185" s="32"/>
      <c r="D185" s="32"/>
      <c r="E185" s="19" t="n">
        <f aca="false">+IF(C185="EQUIPO",F185,0)</f>
        <v>0</v>
      </c>
      <c r="F185" s="33" t="n">
        <v>0</v>
      </c>
      <c r="G185" s="62"/>
      <c r="H185" s="35" t="n">
        <v>0</v>
      </c>
      <c r="I185" s="34" t="n">
        <f aca="false">+IF(E185=0,0,E185*0.03)</f>
        <v>0</v>
      </c>
    </row>
    <row r="186" customFormat="false" ht="15.75" hidden="false" customHeight="true" outlineLevel="0" collapsed="false">
      <c r="A186" s="65" t="n">
        <v>45352</v>
      </c>
      <c r="B186" s="31" t="s">
        <v>11</v>
      </c>
      <c r="C186" s="32"/>
      <c r="D186" s="32"/>
      <c r="E186" s="19" t="n">
        <f aca="false">+IF(C186="EQUIPO",F186,0)</f>
        <v>0</v>
      </c>
      <c r="F186" s="33" t="n">
        <v>0</v>
      </c>
      <c r="G186" s="62"/>
      <c r="H186" s="35" t="n">
        <v>0</v>
      </c>
      <c r="I186" s="34" t="n">
        <f aca="false">+IF(E186=0,0,E186*0.03)</f>
        <v>0</v>
      </c>
    </row>
    <row r="187" customFormat="false" ht="15.75" hidden="false" customHeight="true" outlineLevel="0" collapsed="false">
      <c r="A187" s="65" t="n">
        <v>45352</v>
      </c>
      <c r="B187" s="31" t="s">
        <v>11</v>
      </c>
      <c r="C187" s="32"/>
      <c r="D187" s="32"/>
      <c r="E187" s="19" t="n">
        <f aca="false">+IF(C187="EQUIPO",F187,0)</f>
        <v>0</v>
      </c>
      <c r="F187" s="33" t="n">
        <v>0</v>
      </c>
      <c r="G187" s="62"/>
      <c r="H187" s="35" t="n">
        <v>0</v>
      </c>
      <c r="I187" s="34" t="n">
        <f aca="false">+IF(E187=0,0,E187*0.03)</f>
        <v>0</v>
      </c>
    </row>
    <row r="188" customFormat="false" ht="15.75" hidden="false" customHeight="true" outlineLevel="0" collapsed="false">
      <c r="A188" s="65" t="n">
        <v>45352</v>
      </c>
      <c r="B188" s="31" t="s">
        <v>11</v>
      </c>
      <c r="C188" s="32"/>
      <c r="D188" s="32"/>
      <c r="E188" s="19" t="n">
        <f aca="false">+IF(C188="EQUIPO",F188,0)</f>
        <v>0</v>
      </c>
      <c r="F188" s="33" t="n">
        <v>0</v>
      </c>
      <c r="G188" s="62"/>
      <c r="H188" s="35" t="n">
        <v>0</v>
      </c>
      <c r="I188" s="34" t="n">
        <f aca="false">+IF(E188=0,0,E188*0.03)</f>
        <v>0</v>
      </c>
    </row>
    <row r="189" customFormat="false" ht="15.75" hidden="false" customHeight="true" outlineLevel="0" collapsed="false">
      <c r="A189" s="65" t="n">
        <v>45352</v>
      </c>
      <c r="B189" s="31" t="s">
        <v>11</v>
      </c>
      <c r="C189" s="32"/>
      <c r="D189" s="32"/>
      <c r="E189" s="19" t="n">
        <f aca="false">+IF(C189="EQUIPO",F189,0)</f>
        <v>0</v>
      </c>
      <c r="F189" s="33" t="n">
        <v>0</v>
      </c>
      <c r="G189" s="62"/>
      <c r="H189" s="35" t="n">
        <v>0</v>
      </c>
      <c r="I189" s="34" t="n">
        <f aca="false">+IF(E189=0,0,E189*0.03)</f>
        <v>0</v>
      </c>
    </row>
    <row r="190" customFormat="false" ht="15.75" hidden="false" customHeight="true" outlineLevel="0" collapsed="false">
      <c r="A190" s="65" t="n">
        <v>45352</v>
      </c>
      <c r="B190" s="31" t="s">
        <v>11</v>
      </c>
      <c r="C190" s="32"/>
      <c r="D190" s="32"/>
      <c r="E190" s="19" t="n">
        <f aca="false">+IF(C190="EQUIPO",F190,0)</f>
        <v>0</v>
      </c>
      <c r="F190" s="33" t="n">
        <v>0</v>
      </c>
      <c r="G190" s="62"/>
      <c r="H190" s="35" t="n">
        <v>0</v>
      </c>
      <c r="I190" s="34" t="n">
        <f aca="false">+IF(E190=0,0,E190*0.03)</f>
        <v>0</v>
      </c>
    </row>
    <row r="191" customFormat="false" ht="15.75" hidden="false" customHeight="true" outlineLevel="0" collapsed="false">
      <c r="A191" s="65" t="n">
        <v>45352</v>
      </c>
      <c r="B191" s="31" t="s">
        <v>11</v>
      </c>
      <c r="C191" s="32"/>
      <c r="D191" s="32"/>
      <c r="E191" s="19" t="n">
        <f aca="false">+IF(C191="EQUIPO",F191,0)</f>
        <v>0</v>
      </c>
      <c r="F191" s="33" t="n">
        <v>0</v>
      </c>
      <c r="G191" s="62"/>
      <c r="H191" s="35" t="n">
        <v>0</v>
      </c>
      <c r="I191" s="34" t="n">
        <f aca="false">+IF(E191=0,0,E191*0.03)</f>
        <v>0</v>
      </c>
    </row>
    <row r="192" customFormat="false" ht="15.75" hidden="false" customHeight="true" outlineLevel="0" collapsed="false">
      <c r="A192" s="65" t="n">
        <v>45352</v>
      </c>
      <c r="B192" s="31" t="s">
        <v>11</v>
      </c>
      <c r="C192" s="32"/>
      <c r="D192" s="32"/>
      <c r="E192" s="19" t="n">
        <f aca="false">+IF(C192="EQUIPO",F192,0)</f>
        <v>0</v>
      </c>
      <c r="F192" s="33" t="n">
        <v>0</v>
      </c>
      <c r="G192" s="62"/>
      <c r="H192" s="35" t="n">
        <v>0</v>
      </c>
      <c r="I192" s="34" t="n">
        <f aca="false">+IF(E192=0,0,E192*0.03)</f>
        <v>0</v>
      </c>
    </row>
    <row r="193" customFormat="false" ht="15.75" hidden="false" customHeight="true" outlineLevel="0" collapsed="false">
      <c r="A193" s="65" t="n">
        <v>45352</v>
      </c>
      <c r="B193" s="31" t="s">
        <v>11</v>
      </c>
      <c r="C193" s="32"/>
      <c r="D193" s="32"/>
      <c r="E193" s="19" t="n">
        <f aca="false">+IF(C193="EQUIPO",F193,0)</f>
        <v>0</v>
      </c>
      <c r="F193" s="33" t="n">
        <v>0</v>
      </c>
      <c r="G193" s="62"/>
      <c r="H193" s="35" t="n">
        <v>0</v>
      </c>
      <c r="I193" s="34" t="n">
        <f aca="false">+IF(E193=0,0,E193*0.03)</f>
        <v>0</v>
      </c>
    </row>
    <row r="194" customFormat="false" ht="15.75" hidden="false" customHeight="true" outlineLevel="0" collapsed="false">
      <c r="A194" s="65" t="n">
        <v>45352</v>
      </c>
      <c r="B194" s="31" t="s">
        <v>11</v>
      </c>
      <c r="C194" s="32"/>
      <c r="D194" s="32"/>
      <c r="E194" s="19" t="n">
        <f aca="false">+IF(C194="EQUIPO",F194,0)</f>
        <v>0</v>
      </c>
      <c r="F194" s="33" t="n">
        <v>0</v>
      </c>
      <c r="G194" s="62"/>
      <c r="H194" s="35" t="n">
        <v>0</v>
      </c>
      <c r="I194" s="34" t="n">
        <f aca="false">+IF(E194=0,0,E194*0.03)</f>
        <v>0</v>
      </c>
    </row>
    <row r="195" customFormat="false" ht="15.75" hidden="false" customHeight="true" outlineLevel="0" collapsed="false">
      <c r="A195" s="65" t="n">
        <v>45352</v>
      </c>
      <c r="B195" s="31" t="s">
        <v>11</v>
      </c>
      <c r="C195" s="32"/>
      <c r="D195" s="32"/>
      <c r="E195" s="19" t="n">
        <f aca="false">+IF(C195="EQUIPO",F195,0)</f>
        <v>0</v>
      </c>
      <c r="F195" s="33" t="n">
        <v>0</v>
      </c>
      <c r="G195" s="62"/>
      <c r="H195" s="35" t="n">
        <v>0</v>
      </c>
      <c r="I195" s="34" t="n">
        <f aca="false">+IF(E195=0,0,E195*0.03)</f>
        <v>0</v>
      </c>
    </row>
    <row r="196" customFormat="false" ht="15.75" hidden="false" customHeight="true" outlineLevel="0" collapsed="false">
      <c r="A196" s="65" t="n">
        <v>45352</v>
      </c>
      <c r="B196" s="31" t="s">
        <v>11</v>
      </c>
      <c r="C196" s="32"/>
      <c r="D196" s="32"/>
      <c r="E196" s="19" t="n">
        <f aca="false">+IF(C196="EQUIPO",F196,0)</f>
        <v>0</v>
      </c>
      <c r="F196" s="33" t="n">
        <v>0</v>
      </c>
      <c r="G196" s="62"/>
      <c r="H196" s="35" t="n">
        <v>0</v>
      </c>
      <c r="I196" s="34" t="n">
        <f aca="false">+IF(E196=0,0,E196*0.03)</f>
        <v>0</v>
      </c>
    </row>
    <row r="197" customFormat="false" ht="15.75" hidden="false" customHeight="true" outlineLevel="0" collapsed="false">
      <c r="A197" s="65" t="n">
        <v>45352</v>
      </c>
      <c r="B197" s="31" t="s">
        <v>11</v>
      </c>
      <c r="C197" s="32"/>
      <c r="D197" s="32"/>
      <c r="E197" s="19" t="n">
        <f aca="false">+IF(C197="EQUIPO",F197,0)</f>
        <v>0</v>
      </c>
      <c r="F197" s="33" t="n">
        <v>0</v>
      </c>
      <c r="G197" s="62"/>
      <c r="H197" s="35" t="n">
        <v>0</v>
      </c>
      <c r="I197" s="34" t="n">
        <f aca="false">+IF(E197=0,0,E197*0.03)</f>
        <v>0</v>
      </c>
    </row>
    <row r="198" customFormat="false" ht="15.75" hidden="false" customHeight="true" outlineLevel="0" collapsed="false">
      <c r="A198" s="65" t="n">
        <v>45352</v>
      </c>
      <c r="B198" s="31" t="s">
        <v>11</v>
      </c>
      <c r="C198" s="32"/>
      <c r="D198" s="32"/>
      <c r="E198" s="19" t="n">
        <f aca="false">+IF(C198="EQUIPO",F198,0)</f>
        <v>0</v>
      </c>
      <c r="F198" s="33" t="n">
        <v>0</v>
      </c>
      <c r="G198" s="62"/>
      <c r="H198" s="35" t="n">
        <v>0</v>
      </c>
      <c r="I198" s="34" t="n">
        <f aca="false">+IF(E198=0,0,E198*0.03)</f>
        <v>0</v>
      </c>
    </row>
    <row r="199" customFormat="false" ht="15.75" hidden="false" customHeight="true" outlineLevel="0" collapsed="false">
      <c r="A199" s="65" t="n">
        <v>45352</v>
      </c>
      <c r="B199" s="31" t="s">
        <v>11</v>
      </c>
      <c r="C199" s="32"/>
      <c r="D199" s="32"/>
      <c r="E199" s="19" t="n">
        <f aca="false">+IF(C199="EQUIPO",F199,0)</f>
        <v>0</v>
      </c>
      <c r="F199" s="33" t="n">
        <v>0</v>
      </c>
      <c r="G199" s="62"/>
      <c r="H199" s="35" t="n">
        <v>0</v>
      </c>
      <c r="I199" s="34" t="n">
        <f aca="false">+IF(E199=0,0,E199*0.03)</f>
        <v>0</v>
      </c>
    </row>
    <row r="200" customFormat="false" ht="15.75" hidden="false" customHeight="true" outlineLevel="0" collapsed="false">
      <c r="A200" s="65" t="n">
        <v>45352</v>
      </c>
      <c r="B200" s="31" t="s">
        <v>11</v>
      </c>
      <c r="C200" s="32"/>
      <c r="D200" s="32"/>
      <c r="E200" s="19" t="n">
        <f aca="false">+IF(C200="EQUIPO",F200,0)</f>
        <v>0</v>
      </c>
      <c r="F200" s="33" t="n">
        <v>0</v>
      </c>
      <c r="G200" s="62"/>
      <c r="H200" s="35" t="n">
        <v>0</v>
      </c>
      <c r="I200" s="34" t="n">
        <f aca="false">+IF(E200=0,0,E200*0.03)</f>
        <v>0</v>
      </c>
    </row>
    <row r="201" customFormat="false" ht="15.75" hidden="false" customHeight="true" outlineLevel="0" collapsed="false">
      <c r="A201" s="65" t="n">
        <v>45352</v>
      </c>
      <c r="B201" s="31" t="s">
        <v>11</v>
      </c>
      <c r="C201" s="32"/>
      <c r="D201" s="32"/>
      <c r="E201" s="19" t="n">
        <f aca="false">+IF(C201="EQUIPO",F201,0)</f>
        <v>0</v>
      </c>
      <c r="F201" s="33" t="n">
        <v>0</v>
      </c>
      <c r="G201" s="62"/>
      <c r="H201" s="35" t="n">
        <v>0</v>
      </c>
      <c r="I201" s="34" t="n">
        <f aca="false">+IF(E201=0,0,E201*0.03)</f>
        <v>0</v>
      </c>
    </row>
    <row r="202" customFormat="false" ht="15.75" hidden="false" customHeight="true" outlineLevel="0" collapsed="false">
      <c r="A202" s="65" t="n">
        <v>45352</v>
      </c>
      <c r="B202" s="31" t="s">
        <v>11</v>
      </c>
      <c r="C202" s="32"/>
      <c r="D202" s="32"/>
      <c r="E202" s="19" t="n">
        <f aca="false">+IF(C202="EQUIPO",F202,0)</f>
        <v>0</v>
      </c>
      <c r="F202" s="33" t="n">
        <v>0</v>
      </c>
      <c r="G202" s="62"/>
      <c r="H202" s="35" t="n">
        <v>0</v>
      </c>
      <c r="I202" s="34" t="n">
        <f aca="false">+IF(E202=0,0,E202*0.03)</f>
        <v>0</v>
      </c>
    </row>
    <row r="203" customFormat="false" ht="15.75" hidden="false" customHeight="true" outlineLevel="0" collapsed="false">
      <c r="A203" s="65" t="n">
        <v>45352</v>
      </c>
      <c r="B203" s="31" t="s">
        <v>11</v>
      </c>
      <c r="C203" s="32"/>
      <c r="D203" s="32"/>
      <c r="E203" s="19" t="n">
        <f aca="false">+IF(C203="EQUIPO",F203,0)</f>
        <v>0</v>
      </c>
      <c r="F203" s="33" t="n">
        <v>0</v>
      </c>
      <c r="G203" s="62"/>
      <c r="H203" s="35" t="n">
        <v>0</v>
      </c>
      <c r="I203" s="34" t="n">
        <f aca="false">+IF(E203=0,0,E203*0.03)</f>
        <v>0</v>
      </c>
    </row>
    <row r="204" customFormat="false" ht="15.75" hidden="false" customHeight="true" outlineLevel="0" collapsed="false">
      <c r="A204" s="65" t="n">
        <v>45352</v>
      </c>
      <c r="B204" s="31" t="s">
        <v>11</v>
      </c>
      <c r="C204" s="32"/>
      <c r="D204" s="32"/>
      <c r="E204" s="19" t="n">
        <f aca="false">+IF(C204="EQUIPO",F204,0)</f>
        <v>0</v>
      </c>
      <c r="F204" s="33" t="n">
        <v>0</v>
      </c>
      <c r="G204" s="62"/>
      <c r="H204" s="35" t="n">
        <v>0</v>
      </c>
      <c r="I204" s="34" t="n">
        <f aca="false">+IF(E204=0,0,E204*0.03)</f>
        <v>0</v>
      </c>
    </row>
    <row r="205" customFormat="false" ht="15.75" hidden="false" customHeight="true" outlineLevel="0" collapsed="false">
      <c r="A205" s="65" t="n">
        <v>45352</v>
      </c>
      <c r="B205" s="31" t="s">
        <v>11</v>
      </c>
      <c r="C205" s="32"/>
      <c r="D205" s="32"/>
      <c r="E205" s="19" t="n">
        <f aca="false">+IF(C205="EQUIPO",F205,0)</f>
        <v>0</v>
      </c>
      <c r="F205" s="33" t="n">
        <v>0</v>
      </c>
      <c r="G205" s="62"/>
      <c r="H205" s="35" t="n">
        <v>0</v>
      </c>
      <c r="I205" s="34" t="n">
        <f aca="false">+IF(E205=0,0,E205*0.03)</f>
        <v>0</v>
      </c>
    </row>
    <row r="206" customFormat="false" ht="15.75" hidden="false" customHeight="true" outlineLevel="0" collapsed="false">
      <c r="A206" s="65" t="n">
        <v>45352</v>
      </c>
      <c r="B206" s="31" t="s">
        <v>11</v>
      </c>
      <c r="C206" s="32"/>
      <c r="D206" s="32"/>
      <c r="E206" s="19" t="n">
        <f aca="false">+IF(C206="EQUIPO",F206,0)</f>
        <v>0</v>
      </c>
      <c r="F206" s="33" t="n">
        <v>0</v>
      </c>
      <c r="G206" s="62"/>
      <c r="H206" s="35" t="n">
        <v>0</v>
      </c>
      <c r="I206" s="34" t="n">
        <f aca="false">+IF(E206=0,0,E206*0.03)</f>
        <v>0</v>
      </c>
    </row>
    <row r="207" customFormat="false" ht="15.75" hidden="false" customHeight="true" outlineLevel="0" collapsed="false">
      <c r="A207" s="65" t="n">
        <v>45352</v>
      </c>
      <c r="B207" s="31" t="s">
        <v>11</v>
      </c>
      <c r="C207" s="32"/>
      <c r="D207" s="32"/>
      <c r="E207" s="19" t="n">
        <f aca="false">+IF(C207="EQUIPO",F207,0)</f>
        <v>0</v>
      </c>
      <c r="F207" s="33" t="n">
        <v>0</v>
      </c>
      <c r="G207" s="62"/>
      <c r="H207" s="35" t="n">
        <v>0</v>
      </c>
      <c r="I207" s="34" t="n">
        <f aca="false">+IF(E207=0,0,E207*0.03)</f>
        <v>0</v>
      </c>
    </row>
    <row r="208" customFormat="false" ht="15.75" hidden="false" customHeight="true" outlineLevel="0" collapsed="false">
      <c r="A208" s="65" t="n">
        <v>45352</v>
      </c>
      <c r="B208" s="31" t="s">
        <v>11</v>
      </c>
      <c r="C208" s="32"/>
      <c r="D208" s="32"/>
      <c r="E208" s="19" t="n">
        <f aca="false">+IF(C208="EQUIPO",F208,0)</f>
        <v>0</v>
      </c>
      <c r="F208" s="33" t="n">
        <v>0</v>
      </c>
      <c r="G208" s="62"/>
      <c r="H208" s="35" t="n">
        <v>0</v>
      </c>
      <c r="I208" s="34" t="n">
        <f aca="false">+IF(E208=0,0,E208*0.03)</f>
        <v>0</v>
      </c>
    </row>
    <row r="209" customFormat="false" ht="15.75" hidden="false" customHeight="true" outlineLevel="0" collapsed="false">
      <c r="A209" s="65" t="n">
        <v>45352</v>
      </c>
      <c r="B209" s="31" t="s">
        <v>11</v>
      </c>
      <c r="C209" s="32"/>
      <c r="D209" s="32"/>
      <c r="E209" s="19" t="n">
        <f aca="false">+IF(C209="EQUIPO",F209,0)</f>
        <v>0</v>
      </c>
      <c r="F209" s="33" t="n">
        <v>0</v>
      </c>
      <c r="G209" s="62"/>
      <c r="H209" s="35" t="n">
        <v>0</v>
      </c>
      <c r="I209" s="34" t="n">
        <f aca="false">+IF(E209=0,0,E209*0.03)</f>
        <v>0</v>
      </c>
    </row>
    <row r="210" customFormat="false" ht="15.75" hidden="false" customHeight="true" outlineLevel="0" collapsed="false">
      <c r="A210" s="65" t="n">
        <v>45352</v>
      </c>
      <c r="B210" s="31" t="s">
        <v>11</v>
      </c>
      <c r="C210" s="32"/>
      <c r="D210" s="32"/>
      <c r="E210" s="19" t="n">
        <f aca="false">+IF(C210="EQUIPO",F210,0)</f>
        <v>0</v>
      </c>
      <c r="F210" s="33" t="n">
        <v>0</v>
      </c>
      <c r="G210" s="62"/>
      <c r="H210" s="35" t="n">
        <v>0</v>
      </c>
      <c r="I210" s="34" t="n">
        <f aca="false">+IF(E210=0,0,E210*0.03)</f>
        <v>0</v>
      </c>
    </row>
    <row r="211" customFormat="false" ht="15.75" hidden="false" customHeight="true" outlineLevel="0" collapsed="false">
      <c r="A211" s="65" t="n">
        <v>45352</v>
      </c>
      <c r="B211" s="31" t="s">
        <v>11</v>
      </c>
      <c r="C211" s="32"/>
      <c r="D211" s="32"/>
      <c r="E211" s="19" t="n">
        <f aca="false">+IF(C211="EQUIPO",F211,0)</f>
        <v>0</v>
      </c>
      <c r="F211" s="33" t="n">
        <v>0</v>
      </c>
      <c r="G211" s="62"/>
      <c r="H211" s="35" t="n">
        <v>0</v>
      </c>
      <c r="I211" s="34" t="n">
        <f aca="false">+IF(E211=0,0,E211*0.03)</f>
        <v>0</v>
      </c>
    </row>
    <row r="212" customFormat="false" ht="15.75" hidden="false" customHeight="true" outlineLevel="0" collapsed="false">
      <c r="A212" s="65" t="n">
        <v>45352</v>
      </c>
      <c r="B212" s="31" t="s">
        <v>11</v>
      </c>
      <c r="C212" s="32"/>
      <c r="D212" s="32"/>
      <c r="E212" s="19" t="n">
        <f aca="false">+IF(C212="EQUIPO",F212,0)</f>
        <v>0</v>
      </c>
      <c r="F212" s="33" t="n">
        <v>0</v>
      </c>
      <c r="G212" s="62"/>
      <c r="H212" s="35" t="n">
        <v>0</v>
      </c>
      <c r="I212" s="34" t="n">
        <f aca="false">+IF(E212=0,0,E212*0.03)</f>
        <v>0</v>
      </c>
    </row>
    <row r="213" customFormat="false" ht="15.75" hidden="false" customHeight="true" outlineLevel="0" collapsed="false">
      <c r="A213" s="65" t="n">
        <v>45352</v>
      </c>
      <c r="B213" s="31" t="s">
        <v>11</v>
      </c>
      <c r="C213" s="32"/>
      <c r="D213" s="32"/>
      <c r="E213" s="19" t="n">
        <f aca="false">+IF(C213="EQUIPO",F213,0)</f>
        <v>0</v>
      </c>
      <c r="F213" s="33" t="n">
        <v>0</v>
      </c>
      <c r="G213" s="62"/>
      <c r="H213" s="35" t="n">
        <v>0</v>
      </c>
      <c r="I213" s="34" t="n">
        <f aca="false">+IF(E213=0,0,E213*0.03)</f>
        <v>0</v>
      </c>
    </row>
    <row r="214" customFormat="false" ht="15.75" hidden="false" customHeight="true" outlineLevel="0" collapsed="false">
      <c r="A214" s="65" t="n">
        <v>45352</v>
      </c>
      <c r="B214" s="31" t="s">
        <v>11</v>
      </c>
      <c r="C214" s="32"/>
      <c r="D214" s="32"/>
      <c r="E214" s="19" t="n">
        <f aca="false">+IF(C214="EQUIPO",F214,0)</f>
        <v>0</v>
      </c>
      <c r="F214" s="33" t="n">
        <v>0</v>
      </c>
      <c r="G214" s="62"/>
      <c r="H214" s="35" t="n">
        <v>0</v>
      </c>
      <c r="I214" s="34" t="n">
        <f aca="false">+IF(E214=0,0,E214*0.03)</f>
        <v>0</v>
      </c>
    </row>
    <row r="215" customFormat="false" ht="15.75" hidden="false" customHeight="true" outlineLevel="0" collapsed="false">
      <c r="A215" s="65" t="n">
        <v>45352</v>
      </c>
      <c r="B215" s="31" t="s">
        <v>11</v>
      </c>
      <c r="C215" s="32"/>
      <c r="D215" s="32"/>
      <c r="E215" s="19" t="n">
        <f aca="false">+IF(C215="EQUIPO",F215,0)</f>
        <v>0</v>
      </c>
      <c r="F215" s="33" t="n">
        <v>0</v>
      </c>
      <c r="G215" s="62"/>
      <c r="H215" s="35" t="n">
        <v>0</v>
      </c>
      <c r="I215" s="34" t="n">
        <f aca="false">+IF(E215=0,0,E215*0.03)</f>
        <v>0</v>
      </c>
    </row>
    <row r="216" customFormat="false" ht="15.75" hidden="false" customHeight="true" outlineLevel="0" collapsed="false">
      <c r="A216" s="65" t="n">
        <v>45352</v>
      </c>
      <c r="B216" s="31" t="s">
        <v>11</v>
      </c>
      <c r="C216" s="32"/>
      <c r="D216" s="32"/>
      <c r="E216" s="19" t="n">
        <f aca="false">+IF(C216="EQUIPO",F216,0)</f>
        <v>0</v>
      </c>
      <c r="F216" s="33" t="n">
        <v>0</v>
      </c>
      <c r="G216" s="62"/>
      <c r="H216" s="35" t="n">
        <v>0</v>
      </c>
      <c r="I216" s="34" t="n">
        <f aca="false">+IF(E216=0,0,E216*0.03)</f>
        <v>0</v>
      </c>
    </row>
    <row r="217" customFormat="false" ht="15.75" hidden="false" customHeight="true" outlineLevel="0" collapsed="false">
      <c r="A217" s="65" t="n">
        <v>45352</v>
      </c>
      <c r="B217" s="31" t="s">
        <v>11</v>
      </c>
      <c r="C217" s="32"/>
      <c r="D217" s="32"/>
      <c r="E217" s="19" t="n">
        <f aca="false">+IF(C217="EQUIPO",F217,0)</f>
        <v>0</v>
      </c>
      <c r="F217" s="33" t="n">
        <v>0</v>
      </c>
      <c r="G217" s="62"/>
      <c r="H217" s="35" t="n">
        <v>0</v>
      </c>
      <c r="I217" s="34" t="n">
        <f aca="false">+IF(E217=0,0,E217*0.03)</f>
        <v>0</v>
      </c>
    </row>
    <row r="218" customFormat="false" ht="15.75" hidden="false" customHeight="true" outlineLevel="0" collapsed="false">
      <c r="A218" s="65" t="n">
        <v>45352</v>
      </c>
      <c r="B218" s="31" t="s">
        <v>11</v>
      </c>
      <c r="C218" s="32"/>
      <c r="D218" s="32"/>
      <c r="E218" s="19" t="n">
        <f aca="false">+IF(C218="EQUIPO",F218,0)</f>
        <v>0</v>
      </c>
      <c r="F218" s="33" t="n">
        <v>0</v>
      </c>
      <c r="G218" s="62"/>
      <c r="H218" s="35" t="n">
        <v>0</v>
      </c>
      <c r="I218" s="34" t="n">
        <f aca="false">+IF(E218=0,0,E218*0.03)</f>
        <v>0</v>
      </c>
    </row>
    <row r="219" customFormat="false" ht="15.75" hidden="false" customHeight="true" outlineLevel="0" collapsed="false">
      <c r="A219" s="65" t="n">
        <v>45352</v>
      </c>
      <c r="B219" s="31" t="s">
        <v>11</v>
      </c>
      <c r="C219" s="32"/>
      <c r="D219" s="32"/>
      <c r="E219" s="19" t="n">
        <f aca="false">+IF(C219="EQUIPO",F219,0)</f>
        <v>0</v>
      </c>
      <c r="F219" s="33" t="n">
        <v>0</v>
      </c>
      <c r="G219" s="62"/>
      <c r="H219" s="35" t="n">
        <v>0</v>
      </c>
      <c r="I219" s="34" t="n">
        <f aca="false">+IF(E219=0,0,E219*0.03)</f>
        <v>0</v>
      </c>
    </row>
    <row r="220" customFormat="false" ht="15.75" hidden="false" customHeight="true" outlineLevel="0" collapsed="false">
      <c r="A220" s="65" t="n">
        <v>45352</v>
      </c>
      <c r="B220" s="31" t="s">
        <v>11</v>
      </c>
      <c r="C220" s="32"/>
      <c r="D220" s="32"/>
      <c r="E220" s="19" t="n">
        <f aca="false">+IF(C220="EQUIPO",F220,0)</f>
        <v>0</v>
      </c>
      <c r="F220" s="33" t="n">
        <v>0</v>
      </c>
      <c r="G220" s="62"/>
      <c r="H220" s="35" t="n">
        <v>0</v>
      </c>
      <c r="I220" s="34" t="n">
        <f aca="false">+IF(E220=0,0,E220*0.03)</f>
        <v>0</v>
      </c>
    </row>
    <row r="221" customFormat="false" ht="15.75" hidden="false" customHeight="true" outlineLevel="0" collapsed="false">
      <c r="A221" s="65" t="n">
        <v>45352</v>
      </c>
      <c r="B221" s="31" t="s">
        <v>11</v>
      </c>
      <c r="C221" s="32"/>
      <c r="D221" s="32"/>
      <c r="E221" s="19" t="n">
        <f aca="false">+IF(C221="EQUIPO",F221,0)</f>
        <v>0</v>
      </c>
      <c r="F221" s="33" t="n">
        <v>0</v>
      </c>
      <c r="G221" s="62"/>
      <c r="H221" s="35" t="n">
        <v>0</v>
      </c>
      <c r="I221" s="34" t="n">
        <f aca="false">+IF(E221=0,0,E221*0.03)</f>
        <v>0</v>
      </c>
    </row>
    <row r="222" customFormat="false" ht="15.75" hidden="false" customHeight="true" outlineLevel="0" collapsed="false">
      <c r="A222" s="65" t="n">
        <v>45352</v>
      </c>
      <c r="B222" s="31" t="s">
        <v>11</v>
      </c>
      <c r="C222" s="32"/>
      <c r="D222" s="32"/>
      <c r="E222" s="19" t="n">
        <f aca="false">+IF(C222="EQUIPO",F222,0)</f>
        <v>0</v>
      </c>
      <c r="F222" s="33" t="n">
        <v>0</v>
      </c>
      <c r="G222" s="62"/>
      <c r="H222" s="35" t="n">
        <v>0</v>
      </c>
      <c r="I222" s="34" t="n">
        <f aca="false">+IF(E222=0,0,E222*0.03)</f>
        <v>0</v>
      </c>
    </row>
    <row r="223" customFormat="false" ht="15.75" hidden="false" customHeight="true" outlineLevel="0" collapsed="false">
      <c r="A223" s="65" t="n">
        <v>45352</v>
      </c>
      <c r="B223" s="31" t="s">
        <v>11</v>
      </c>
      <c r="C223" s="32"/>
      <c r="D223" s="32"/>
      <c r="E223" s="19" t="n">
        <f aca="false">+IF(C223="EQUIPO",F223,0)</f>
        <v>0</v>
      </c>
      <c r="F223" s="33" t="n">
        <v>0</v>
      </c>
      <c r="G223" s="62"/>
      <c r="H223" s="35" t="n">
        <v>0</v>
      </c>
      <c r="I223" s="34" t="n">
        <f aca="false">+IF(E223=0,0,E223*0.03)</f>
        <v>0</v>
      </c>
    </row>
    <row r="224" customFormat="false" ht="15.75" hidden="false" customHeight="true" outlineLevel="0" collapsed="false">
      <c r="A224" s="65" t="n">
        <v>45352</v>
      </c>
      <c r="B224" s="31" t="s">
        <v>11</v>
      </c>
      <c r="C224" s="32"/>
      <c r="D224" s="32"/>
      <c r="E224" s="19" t="n">
        <f aca="false">+IF(C224="EQUIPO",F224,0)</f>
        <v>0</v>
      </c>
      <c r="F224" s="33" t="n">
        <v>0</v>
      </c>
      <c r="G224" s="62"/>
      <c r="H224" s="35" t="n">
        <v>0</v>
      </c>
      <c r="I224" s="34" t="n">
        <f aca="false">+IF(E224=0,0,E224*0.03)</f>
        <v>0</v>
      </c>
    </row>
    <row r="225" customFormat="false" ht="15.75" hidden="false" customHeight="true" outlineLevel="0" collapsed="false">
      <c r="A225" s="65" t="n">
        <v>45352</v>
      </c>
      <c r="B225" s="31" t="s">
        <v>11</v>
      </c>
      <c r="C225" s="32"/>
      <c r="D225" s="32"/>
      <c r="E225" s="19" t="n">
        <f aca="false">+IF(C225="EQUIPO",F225,0)</f>
        <v>0</v>
      </c>
      <c r="F225" s="33" t="n">
        <v>0</v>
      </c>
      <c r="G225" s="62"/>
      <c r="H225" s="35" t="n">
        <v>0</v>
      </c>
      <c r="I225" s="34" t="n">
        <f aca="false">+IF(E225=0,0,E225*0.03)</f>
        <v>0</v>
      </c>
    </row>
    <row r="226" customFormat="false" ht="15.75" hidden="false" customHeight="true" outlineLevel="0" collapsed="false">
      <c r="A226" s="65" t="n">
        <v>45352</v>
      </c>
      <c r="B226" s="31" t="s">
        <v>11</v>
      </c>
      <c r="C226" s="32"/>
      <c r="D226" s="32"/>
      <c r="E226" s="19" t="n">
        <f aca="false">+IF(C226="EQUIPO",F226,0)</f>
        <v>0</v>
      </c>
      <c r="F226" s="33" t="n">
        <v>0</v>
      </c>
      <c r="G226" s="62"/>
      <c r="H226" s="35" t="n">
        <v>0</v>
      </c>
      <c r="I226" s="34" t="n">
        <f aca="false">+IF(E226=0,0,E226*0.03)</f>
        <v>0</v>
      </c>
    </row>
    <row r="227" customFormat="false" ht="15.75" hidden="false" customHeight="true" outlineLevel="0" collapsed="false">
      <c r="A227" s="65" t="n">
        <v>45352</v>
      </c>
      <c r="B227" s="31" t="s">
        <v>11</v>
      </c>
      <c r="C227" s="32"/>
      <c r="D227" s="32"/>
      <c r="E227" s="19" t="n">
        <f aca="false">+IF(C227="EQUIPO",F227,0)</f>
        <v>0</v>
      </c>
      <c r="F227" s="33" t="n">
        <v>0</v>
      </c>
      <c r="G227" s="62"/>
      <c r="H227" s="35" t="n">
        <v>0</v>
      </c>
      <c r="I227" s="34" t="n">
        <f aca="false">+IF(E227=0,0,E227*0.03)</f>
        <v>0</v>
      </c>
    </row>
    <row r="228" customFormat="false" ht="15.75" hidden="false" customHeight="true" outlineLevel="0" collapsed="false">
      <c r="A228" s="65" t="n">
        <v>45352</v>
      </c>
      <c r="B228" s="31" t="s">
        <v>11</v>
      </c>
      <c r="C228" s="32"/>
      <c r="D228" s="32"/>
      <c r="E228" s="19" t="n">
        <f aca="false">+IF(C228="EQUIPO",F228,0)</f>
        <v>0</v>
      </c>
      <c r="F228" s="33" t="n">
        <v>0</v>
      </c>
      <c r="G228" s="62"/>
      <c r="H228" s="35" t="n">
        <v>0</v>
      </c>
      <c r="I228" s="34" t="n">
        <f aca="false">+IF(E228=0,0,E228*0.03)</f>
        <v>0</v>
      </c>
    </row>
    <row r="229" customFormat="false" ht="15.75" hidden="false" customHeight="true" outlineLevel="0" collapsed="false">
      <c r="A229" s="65" t="n">
        <v>45352</v>
      </c>
      <c r="B229" s="31" t="s">
        <v>11</v>
      </c>
      <c r="C229" s="32"/>
      <c r="D229" s="32"/>
      <c r="E229" s="19" t="n">
        <f aca="false">+IF(C229="EQUIPO",F229,0)</f>
        <v>0</v>
      </c>
      <c r="F229" s="33" t="n">
        <v>0</v>
      </c>
      <c r="G229" s="62"/>
      <c r="H229" s="35" t="n">
        <v>0</v>
      </c>
      <c r="I229" s="34" t="n">
        <f aca="false">+IF(E229=0,0,E229*0.03)</f>
        <v>0</v>
      </c>
    </row>
    <row r="230" customFormat="false" ht="15.75" hidden="false" customHeight="true" outlineLevel="0" collapsed="false">
      <c r="A230" s="65" t="n">
        <v>45352</v>
      </c>
      <c r="B230" s="31" t="s">
        <v>11</v>
      </c>
      <c r="C230" s="32"/>
      <c r="D230" s="32"/>
      <c r="E230" s="19" t="n">
        <f aca="false">+IF(C230="EQUIPO",F230,0)</f>
        <v>0</v>
      </c>
      <c r="F230" s="33" t="n">
        <v>0</v>
      </c>
      <c r="G230" s="62"/>
      <c r="H230" s="35" t="n">
        <v>0</v>
      </c>
      <c r="I230" s="34" t="n">
        <f aca="false">+IF(E230=0,0,E230*0.03)</f>
        <v>0</v>
      </c>
    </row>
    <row r="231" customFormat="false" ht="15.75" hidden="false" customHeight="true" outlineLevel="0" collapsed="false">
      <c r="A231" s="65" t="n">
        <v>45352</v>
      </c>
      <c r="B231" s="31" t="s">
        <v>11</v>
      </c>
      <c r="C231" s="32"/>
      <c r="D231" s="32"/>
      <c r="E231" s="19" t="n">
        <f aca="false">+IF(C231="EQUIPO",F231,0)</f>
        <v>0</v>
      </c>
      <c r="F231" s="33" t="n">
        <v>0</v>
      </c>
      <c r="G231" s="62"/>
      <c r="H231" s="35" t="n">
        <v>0</v>
      </c>
      <c r="I231" s="34" t="n">
        <f aca="false">+IF(E231=0,0,E231*0.03)</f>
        <v>0</v>
      </c>
    </row>
    <row r="232" customFormat="false" ht="15.75" hidden="false" customHeight="true" outlineLevel="0" collapsed="false">
      <c r="A232" s="65" t="n">
        <v>45352</v>
      </c>
      <c r="B232" s="31" t="s">
        <v>11</v>
      </c>
      <c r="C232" s="32"/>
      <c r="D232" s="32"/>
      <c r="E232" s="19" t="n">
        <f aca="false">+IF(C232="EQUIPO",F232,0)</f>
        <v>0</v>
      </c>
      <c r="F232" s="33" t="n">
        <v>0</v>
      </c>
      <c r="G232" s="62"/>
      <c r="H232" s="35" t="n">
        <v>0</v>
      </c>
      <c r="I232" s="34" t="n">
        <f aca="false">+IF(E232=0,0,E232*0.03)</f>
        <v>0</v>
      </c>
    </row>
    <row r="233" customFormat="false" ht="15.75" hidden="false" customHeight="true" outlineLevel="0" collapsed="false">
      <c r="A233" s="65" t="n">
        <v>45352</v>
      </c>
      <c r="B233" s="31" t="s">
        <v>11</v>
      </c>
      <c r="C233" s="32"/>
      <c r="D233" s="32"/>
      <c r="E233" s="19" t="n">
        <f aca="false">+IF(C233="EQUIPO",F233,0)</f>
        <v>0</v>
      </c>
      <c r="F233" s="33" t="n">
        <v>0</v>
      </c>
      <c r="G233" s="62"/>
      <c r="H233" s="35" t="n">
        <v>0</v>
      </c>
      <c r="I233" s="34" t="n">
        <f aca="false">+IF(E233=0,0,E233*0.03)</f>
        <v>0</v>
      </c>
    </row>
    <row r="234" customFormat="false" ht="15.75" hidden="false" customHeight="true" outlineLevel="0" collapsed="false">
      <c r="A234" s="65" t="n">
        <v>45352</v>
      </c>
      <c r="B234" s="31" t="s">
        <v>11</v>
      </c>
      <c r="C234" s="32"/>
      <c r="D234" s="32"/>
      <c r="E234" s="19" t="n">
        <f aca="false">+IF(C234="EQUIPO",F234,0)</f>
        <v>0</v>
      </c>
      <c r="F234" s="33" t="n">
        <v>0</v>
      </c>
      <c r="G234" s="62"/>
      <c r="H234" s="35" t="n">
        <v>0</v>
      </c>
      <c r="I234" s="34" t="n">
        <f aca="false">+IF(E234=0,0,E234*0.03)</f>
        <v>0</v>
      </c>
    </row>
    <row r="235" customFormat="false" ht="15.75" hidden="false" customHeight="true" outlineLevel="0" collapsed="false">
      <c r="A235" s="65" t="n">
        <v>45352</v>
      </c>
      <c r="B235" s="31" t="s">
        <v>11</v>
      </c>
      <c r="C235" s="32"/>
      <c r="D235" s="32"/>
      <c r="E235" s="19" t="n">
        <f aca="false">+IF(C235="EQUIPO",F235,0)</f>
        <v>0</v>
      </c>
      <c r="F235" s="33" t="n">
        <v>0</v>
      </c>
      <c r="G235" s="62"/>
      <c r="H235" s="35" t="n">
        <v>0</v>
      </c>
      <c r="I235" s="34" t="n">
        <f aca="false">+IF(E235=0,0,E235*0.03)</f>
        <v>0</v>
      </c>
    </row>
    <row r="236" customFormat="false" ht="15.75" hidden="false" customHeight="true" outlineLevel="0" collapsed="false">
      <c r="A236" s="65" t="n">
        <v>45352</v>
      </c>
      <c r="B236" s="31" t="s">
        <v>11</v>
      </c>
      <c r="C236" s="32"/>
      <c r="D236" s="32"/>
      <c r="E236" s="19" t="n">
        <f aca="false">+IF(C236="EQUIPO",F236,0)</f>
        <v>0</v>
      </c>
      <c r="F236" s="33" t="n">
        <v>0</v>
      </c>
      <c r="G236" s="62"/>
      <c r="H236" s="35" t="n">
        <v>0</v>
      </c>
      <c r="I236" s="34" t="n">
        <f aca="false">+IF(E236=0,0,E236*0.03)</f>
        <v>0</v>
      </c>
    </row>
    <row r="237" customFormat="false" ht="15.75" hidden="false" customHeight="true" outlineLevel="0" collapsed="false">
      <c r="A237" s="65" t="n">
        <v>45352</v>
      </c>
      <c r="B237" s="31" t="s">
        <v>11</v>
      </c>
      <c r="C237" s="32"/>
      <c r="D237" s="32"/>
      <c r="E237" s="19" t="n">
        <f aca="false">+IF(C237="EQUIPO",F237,0)</f>
        <v>0</v>
      </c>
      <c r="F237" s="33" t="n">
        <v>0</v>
      </c>
      <c r="G237" s="62"/>
      <c r="H237" s="35" t="n">
        <v>0</v>
      </c>
      <c r="I237" s="34" t="n">
        <f aca="false">+IF(E237=0,0,E237*0.03)</f>
        <v>0</v>
      </c>
    </row>
    <row r="238" customFormat="false" ht="15.75" hidden="false" customHeight="true" outlineLevel="0" collapsed="false">
      <c r="A238" s="65" t="n">
        <v>45352</v>
      </c>
      <c r="B238" s="31" t="s">
        <v>11</v>
      </c>
      <c r="C238" s="32"/>
      <c r="D238" s="32"/>
      <c r="E238" s="19" t="n">
        <f aca="false">+IF(C238="EQUIPO",F238,0)</f>
        <v>0</v>
      </c>
      <c r="F238" s="33" t="n">
        <v>0</v>
      </c>
      <c r="G238" s="62"/>
      <c r="H238" s="35" t="n">
        <v>0</v>
      </c>
      <c r="I238" s="34" t="n">
        <f aca="false">+IF(E238=0,0,E238*0.03)</f>
        <v>0</v>
      </c>
    </row>
    <row r="239" customFormat="false" ht="15.75" hidden="false" customHeight="true" outlineLevel="0" collapsed="false">
      <c r="A239" s="65" t="n">
        <v>45352</v>
      </c>
      <c r="B239" s="31" t="s">
        <v>11</v>
      </c>
      <c r="C239" s="32"/>
      <c r="D239" s="32"/>
      <c r="E239" s="19" t="n">
        <f aca="false">+IF(C239="EQUIPO",F239,0)</f>
        <v>0</v>
      </c>
      <c r="F239" s="33" t="n">
        <v>0</v>
      </c>
      <c r="G239" s="62"/>
      <c r="H239" s="35" t="n">
        <v>0</v>
      </c>
      <c r="I239" s="34" t="n">
        <f aca="false">+IF(E239=0,0,E239*0.03)</f>
        <v>0</v>
      </c>
    </row>
    <row r="240" customFormat="false" ht="15.75" hidden="false" customHeight="true" outlineLevel="0" collapsed="false">
      <c r="A240" s="65" t="n">
        <v>45352</v>
      </c>
      <c r="B240" s="31" t="s">
        <v>11</v>
      </c>
      <c r="C240" s="32"/>
      <c r="D240" s="32"/>
      <c r="E240" s="19" t="n">
        <f aca="false">+IF(C240="EQUIPO",F240,0)</f>
        <v>0</v>
      </c>
      <c r="F240" s="33" t="n">
        <v>0</v>
      </c>
      <c r="G240" s="62"/>
      <c r="H240" s="35" t="n">
        <v>0</v>
      </c>
      <c r="I240" s="34" t="n">
        <f aca="false">+IF(E240=0,0,E240*0.03)</f>
        <v>0</v>
      </c>
    </row>
    <row r="241" customFormat="false" ht="15.75" hidden="false" customHeight="true" outlineLevel="0" collapsed="false">
      <c r="A241" s="65" t="n">
        <v>45352</v>
      </c>
      <c r="B241" s="31" t="s">
        <v>11</v>
      </c>
      <c r="C241" s="32"/>
      <c r="D241" s="32"/>
      <c r="E241" s="19" t="n">
        <f aca="false">+IF(C241="EQUIPO",F241,0)</f>
        <v>0</v>
      </c>
      <c r="F241" s="33" t="n">
        <v>0</v>
      </c>
      <c r="G241" s="62"/>
      <c r="H241" s="35" t="n">
        <v>0</v>
      </c>
      <c r="I241" s="34" t="n">
        <f aca="false">+IF(E241=0,0,E241*0.03)</f>
        <v>0</v>
      </c>
    </row>
    <row r="242" customFormat="false" ht="15.75" hidden="false" customHeight="true" outlineLevel="0" collapsed="false">
      <c r="A242" s="65" t="n">
        <v>45352</v>
      </c>
      <c r="B242" s="31" t="s">
        <v>11</v>
      </c>
      <c r="C242" s="32"/>
      <c r="D242" s="32"/>
      <c r="E242" s="19" t="n">
        <f aca="false">+IF(C242="EQUIPO",F242,0)</f>
        <v>0</v>
      </c>
      <c r="F242" s="33" t="n">
        <v>0</v>
      </c>
      <c r="G242" s="62"/>
      <c r="H242" s="35" t="n">
        <v>0</v>
      </c>
      <c r="I242" s="34" t="n">
        <f aca="false">+IF(E242=0,0,E242*0.03)</f>
        <v>0</v>
      </c>
    </row>
    <row r="243" customFormat="false" ht="15.75" hidden="false" customHeight="true" outlineLevel="0" collapsed="false">
      <c r="A243" s="65" t="n">
        <v>45352</v>
      </c>
      <c r="B243" s="31" t="s">
        <v>11</v>
      </c>
      <c r="C243" s="32"/>
      <c r="D243" s="32"/>
      <c r="E243" s="19" t="n">
        <f aca="false">+IF(C243="EQUIPO",F243,0)</f>
        <v>0</v>
      </c>
      <c r="F243" s="33" t="n">
        <v>0</v>
      </c>
      <c r="G243" s="62"/>
      <c r="H243" s="35" t="n">
        <v>0</v>
      </c>
      <c r="I243" s="34" t="n">
        <f aca="false">+IF(E243=0,0,E243*0.03)</f>
        <v>0</v>
      </c>
    </row>
    <row r="244" customFormat="false" ht="15.75" hidden="false" customHeight="true" outlineLevel="0" collapsed="false">
      <c r="A244" s="65" t="n">
        <v>45352</v>
      </c>
      <c r="B244" s="31" t="s">
        <v>11</v>
      </c>
      <c r="C244" s="32"/>
      <c r="D244" s="32"/>
      <c r="E244" s="19" t="n">
        <f aca="false">+IF(C244="EQUIPO",F244,0)</f>
        <v>0</v>
      </c>
      <c r="F244" s="33" t="n">
        <v>0</v>
      </c>
      <c r="G244" s="62"/>
      <c r="H244" s="35" t="n">
        <v>0</v>
      </c>
      <c r="I244" s="34" t="n">
        <f aca="false">+IF(E244=0,0,E244*0.03)</f>
        <v>0</v>
      </c>
    </row>
    <row r="245" customFormat="false" ht="15.75" hidden="false" customHeight="true" outlineLevel="0" collapsed="false">
      <c r="A245" s="65" t="n">
        <v>45352</v>
      </c>
      <c r="B245" s="31" t="s">
        <v>11</v>
      </c>
      <c r="C245" s="32"/>
      <c r="D245" s="32"/>
      <c r="E245" s="19" t="n">
        <f aca="false">+IF(C245="EQUIPO",F245,0)</f>
        <v>0</v>
      </c>
      <c r="F245" s="33" t="n">
        <v>0</v>
      </c>
      <c r="G245" s="62"/>
      <c r="H245" s="35" t="n">
        <v>0</v>
      </c>
      <c r="I245" s="34" t="n">
        <f aca="false">+IF(E245=0,0,E245*0.03)</f>
        <v>0</v>
      </c>
    </row>
    <row r="246" customFormat="false" ht="15.75" hidden="false" customHeight="true" outlineLevel="0" collapsed="false">
      <c r="A246" s="65" t="n">
        <v>45352</v>
      </c>
      <c r="B246" s="31" t="s">
        <v>11</v>
      </c>
      <c r="C246" s="32"/>
      <c r="D246" s="32"/>
      <c r="E246" s="19" t="n">
        <f aca="false">+IF(C246="EQUIPO",F246,0)</f>
        <v>0</v>
      </c>
      <c r="F246" s="33" t="n">
        <v>0</v>
      </c>
      <c r="G246" s="62"/>
      <c r="H246" s="35" t="n">
        <v>0</v>
      </c>
      <c r="I246" s="34" t="n">
        <f aca="false">+IF(E246=0,0,E246*0.03)</f>
        <v>0</v>
      </c>
    </row>
    <row r="247" customFormat="false" ht="15.75" hidden="false" customHeight="true" outlineLevel="0" collapsed="false">
      <c r="A247" s="65" t="n">
        <v>45352</v>
      </c>
      <c r="B247" s="31" t="s">
        <v>11</v>
      </c>
      <c r="C247" s="32"/>
      <c r="D247" s="32"/>
      <c r="E247" s="19" t="n">
        <f aca="false">+IF(C247="EQUIPO",F247,0)</f>
        <v>0</v>
      </c>
      <c r="F247" s="33" t="n">
        <v>0</v>
      </c>
      <c r="G247" s="62"/>
      <c r="H247" s="35" t="n">
        <v>0</v>
      </c>
      <c r="I247" s="34" t="n">
        <f aca="false">+IF(E247=0,0,E247*0.03)</f>
        <v>0</v>
      </c>
    </row>
    <row r="248" customFormat="false" ht="15.75" hidden="false" customHeight="true" outlineLevel="0" collapsed="false">
      <c r="A248" s="65" t="n">
        <v>45352</v>
      </c>
      <c r="B248" s="31" t="s">
        <v>11</v>
      </c>
      <c r="C248" s="32"/>
      <c r="D248" s="32"/>
      <c r="E248" s="19" t="n">
        <f aca="false">+IF(C248="EQUIPO",F248,0)</f>
        <v>0</v>
      </c>
      <c r="F248" s="33" t="n">
        <v>0</v>
      </c>
      <c r="G248" s="62"/>
      <c r="H248" s="35" t="n">
        <v>0</v>
      </c>
      <c r="I248" s="34" t="n">
        <f aca="false">+IF(E248=0,0,E248*0.03)</f>
        <v>0</v>
      </c>
    </row>
    <row r="249" customFormat="false" ht="15.75" hidden="false" customHeight="true" outlineLevel="0" collapsed="false">
      <c r="A249" s="65" t="n">
        <v>45352</v>
      </c>
      <c r="B249" s="31" t="s">
        <v>11</v>
      </c>
      <c r="C249" s="32"/>
      <c r="D249" s="32"/>
      <c r="E249" s="19" t="n">
        <f aca="false">+IF(C249="EQUIPO",F249,0)</f>
        <v>0</v>
      </c>
      <c r="F249" s="33" t="n">
        <v>0</v>
      </c>
      <c r="G249" s="62"/>
      <c r="H249" s="35" t="n">
        <v>0</v>
      </c>
      <c r="I249" s="34" t="n">
        <f aca="false">+IF(E249=0,0,E249*0.03)</f>
        <v>0</v>
      </c>
    </row>
    <row r="250" customFormat="false" ht="15.75" hidden="false" customHeight="true" outlineLevel="0" collapsed="false">
      <c r="A250" s="65" t="n">
        <v>45352</v>
      </c>
      <c r="B250" s="31" t="s">
        <v>11</v>
      </c>
      <c r="C250" s="32"/>
      <c r="D250" s="32"/>
      <c r="E250" s="19" t="n">
        <f aca="false">+IF(C250="EQUIPO",F250,0)</f>
        <v>0</v>
      </c>
      <c r="F250" s="33" t="n">
        <v>0</v>
      </c>
      <c r="G250" s="62"/>
      <c r="H250" s="35" t="n">
        <v>0</v>
      </c>
      <c r="I250" s="34" t="n">
        <f aca="false">+IF(E250=0,0,E250*0.03)</f>
        <v>0</v>
      </c>
    </row>
    <row r="251" customFormat="false" ht="15.75" hidden="false" customHeight="true" outlineLevel="0" collapsed="false">
      <c r="A251" s="65" t="n">
        <v>45352</v>
      </c>
      <c r="B251" s="31" t="s">
        <v>11</v>
      </c>
      <c r="C251" s="32"/>
      <c r="D251" s="32"/>
      <c r="E251" s="19" t="n">
        <f aca="false">+IF(C251="EQUIPO",F251,0)</f>
        <v>0</v>
      </c>
      <c r="F251" s="33" t="n">
        <v>0</v>
      </c>
      <c r="G251" s="62"/>
      <c r="H251" s="35" t="n">
        <v>0</v>
      </c>
      <c r="I251" s="34" t="n">
        <f aca="false">+IF(E251=0,0,E251*0.03)</f>
        <v>0</v>
      </c>
    </row>
    <row r="252" customFormat="false" ht="15.75" hidden="false" customHeight="true" outlineLevel="0" collapsed="false">
      <c r="A252" s="65" t="n">
        <v>45352</v>
      </c>
      <c r="B252" s="31" t="s">
        <v>11</v>
      </c>
      <c r="C252" s="32"/>
      <c r="D252" s="32"/>
      <c r="E252" s="19" t="n">
        <f aca="false">+IF(C252="EQUIPO",F252,0)</f>
        <v>0</v>
      </c>
      <c r="F252" s="33" t="n">
        <v>0</v>
      </c>
      <c r="G252" s="62"/>
      <c r="H252" s="35" t="n">
        <v>0</v>
      </c>
      <c r="I252" s="34" t="n">
        <f aca="false">+IF(E252=0,0,E252*0.03)</f>
        <v>0</v>
      </c>
    </row>
    <row r="253" customFormat="false" ht="15.75" hidden="false" customHeight="true" outlineLevel="0" collapsed="false">
      <c r="A253" s="65" t="n">
        <v>45352</v>
      </c>
      <c r="B253" s="31" t="s">
        <v>11</v>
      </c>
      <c r="C253" s="32"/>
      <c r="D253" s="32"/>
      <c r="E253" s="19" t="n">
        <f aca="false">+IF(C253="EQUIPO",F253,0)</f>
        <v>0</v>
      </c>
      <c r="F253" s="33" t="n">
        <v>0</v>
      </c>
      <c r="G253" s="62"/>
      <c r="H253" s="35" t="n">
        <v>0</v>
      </c>
      <c r="I253" s="34" t="n">
        <f aca="false">+IF(E253=0,0,E253*0.03)</f>
        <v>0</v>
      </c>
    </row>
    <row r="254" customFormat="false" ht="15.75" hidden="false" customHeight="true" outlineLevel="0" collapsed="false">
      <c r="A254" s="65" t="n">
        <v>45352</v>
      </c>
      <c r="B254" s="31" t="s">
        <v>11</v>
      </c>
      <c r="C254" s="32"/>
      <c r="D254" s="32"/>
      <c r="E254" s="19" t="n">
        <f aca="false">+IF(C254="EQUIPO",F254,0)</f>
        <v>0</v>
      </c>
      <c r="F254" s="33" t="n">
        <v>0</v>
      </c>
      <c r="G254" s="62"/>
      <c r="H254" s="35" t="n">
        <v>0</v>
      </c>
      <c r="I254" s="34" t="n">
        <f aca="false">+IF(E254=0,0,E254*0.03)</f>
        <v>0</v>
      </c>
    </row>
    <row r="255" customFormat="false" ht="15.75" hidden="false" customHeight="true" outlineLevel="0" collapsed="false">
      <c r="A255" s="65" t="n">
        <v>45352</v>
      </c>
      <c r="B255" s="31" t="s">
        <v>11</v>
      </c>
      <c r="C255" s="32"/>
      <c r="D255" s="32"/>
      <c r="E255" s="19" t="n">
        <f aca="false">+IF(C255="EQUIPO",F255,0)</f>
        <v>0</v>
      </c>
      <c r="F255" s="33" t="n">
        <v>0</v>
      </c>
      <c r="G255" s="62"/>
      <c r="H255" s="35" t="n">
        <v>0</v>
      </c>
      <c r="I255" s="34" t="n">
        <f aca="false">+IF(E255=0,0,E255*0.03)</f>
        <v>0</v>
      </c>
    </row>
    <row r="256" customFormat="false" ht="15.75" hidden="false" customHeight="true" outlineLevel="0" collapsed="false">
      <c r="A256" s="65" t="n">
        <v>45352</v>
      </c>
      <c r="B256" s="31" t="s">
        <v>11</v>
      </c>
      <c r="C256" s="32"/>
      <c r="D256" s="32"/>
      <c r="E256" s="19" t="n">
        <f aca="false">+IF(C256="EQUIPO",F256,0)</f>
        <v>0</v>
      </c>
      <c r="F256" s="33" t="n">
        <v>0</v>
      </c>
      <c r="G256" s="62"/>
      <c r="H256" s="35" t="n">
        <v>0</v>
      </c>
      <c r="I256" s="34" t="n">
        <f aca="false">+IF(E256=0,0,E256*0.03)</f>
        <v>0</v>
      </c>
    </row>
    <row r="257" customFormat="false" ht="15.75" hidden="false" customHeight="true" outlineLevel="0" collapsed="false">
      <c r="A257" s="65" t="n">
        <v>45352</v>
      </c>
      <c r="B257" s="31" t="s">
        <v>11</v>
      </c>
      <c r="C257" s="32"/>
      <c r="D257" s="32"/>
      <c r="E257" s="19" t="n">
        <f aca="false">+IF(C257="EQUIPO",F257,0)</f>
        <v>0</v>
      </c>
      <c r="F257" s="33" t="n">
        <v>0</v>
      </c>
      <c r="G257" s="62"/>
      <c r="H257" s="35" t="n">
        <v>0</v>
      </c>
      <c r="I257" s="34" t="n">
        <f aca="false">+IF(E257=0,0,E257*0.03)</f>
        <v>0</v>
      </c>
    </row>
    <row r="258" customFormat="false" ht="15.75" hidden="false" customHeight="true" outlineLevel="0" collapsed="false">
      <c r="A258" s="65" t="n">
        <v>45352</v>
      </c>
      <c r="B258" s="31" t="s">
        <v>11</v>
      </c>
      <c r="C258" s="32"/>
      <c r="D258" s="32"/>
      <c r="E258" s="19" t="n">
        <f aca="false">+IF(C258="EQUIPO",F258,0)</f>
        <v>0</v>
      </c>
      <c r="F258" s="33" t="n">
        <v>0</v>
      </c>
      <c r="G258" s="62"/>
      <c r="H258" s="35" t="n">
        <v>0</v>
      </c>
      <c r="I258" s="34" t="n">
        <f aca="false">+IF(E258=0,0,E258*0.03)</f>
        <v>0</v>
      </c>
    </row>
    <row r="259" customFormat="false" ht="15.75" hidden="false" customHeight="true" outlineLevel="0" collapsed="false">
      <c r="A259" s="65" t="n">
        <v>45352</v>
      </c>
      <c r="B259" s="31" t="s">
        <v>11</v>
      </c>
      <c r="C259" s="32"/>
      <c r="D259" s="32"/>
      <c r="E259" s="19" t="n">
        <f aca="false">+IF(C259="EQUIPO",F259,0)</f>
        <v>0</v>
      </c>
      <c r="F259" s="33" t="n">
        <v>0</v>
      </c>
      <c r="G259" s="62"/>
      <c r="H259" s="35" t="n">
        <v>0</v>
      </c>
      <c r="I259" s="34" t="n">
        <f aca="false">+IF(E259=0,0,E259*0.03)</f>
        <v>0</v>
      </c>
    </row>
    <row r="260" customFormat="false" ht="15.75" hidden="false" customHeight="true" outlineLevel="0" collapsed="false">
      <c r="A260" s="65" t="n">
        <v>45352</v>
      </c>
      <c r="B260" s="31" t="s">
        <v>11</v>
      </c>
      <c r="C260" s="32"/>
      <c r="D260" s="32"/>
      <c r="E260" s="19" t="n">
        <f aca="false">+IF(C260="EQUIPO",F260,0)</f>
        <v>0</v>
      </c>
      <c r="F260" s="33" t="n">
        <v>0</v>
      </c>
      <c r="G260" s="62"/>
      <c r="H260" s="35" t="n">
        <v>0</v>
      </c>
      <c r="I260" s="34" t="n">
        <f aca="false">+IF(E260=0,0,E260*0.03)</f>
        <v>0</v>
      </c>
    </row>
    <row r="261" customFormat="false" ht="15.75" hidden="false" customHeight="true" outlineLevel="0" collapsed="false">
      <c r="A261" s="65" t="n">
        <v>45352</v>
      </c>
      <c r="B261" s="31" t="s">
        <v>11</v>
      </c>
      <c r="C261" s="32"/>
      <c r="D261" s="32"/>
      <c r="E261" s="19" t="n">
        <f aca="false">+IF(C261="EQUIPO",F261,0)</f>
        <v>0</v>
      </c>
      <c r="F261" s="33" t="n">
        <v>0</v>
      </c>
      <c r="G261" s="62"/>
      <c r="H261" s="35" t="n">
        <v>0</v>
      </c>
      <c r="I261" s="34" t="n">
        <f aca="false">+IF(E261=0,0,E261*0.03)</f>
        <v>0</v>
      </c>
    </row>
    <row r="262" customFormat="false" ht="15.75" hidden="false" customHeight="true" outlineLevel="0" collapsed="false">
      <c r="A262" s="65" t="n">
        <v>45352</v>
      </c>
      <c r="B262" s="31" t="s">
        <v>11</v>
      </c>
      <c r="C262" s="32"/>
      <c r="D262" s="32"/>
      <c r="E262" s="19" t="n">
        <f aca="false">+IF(C262="EQUIPO",F262,0)</f>
        <v>0</v>
      </c>
      <c r="F262" s="33" t="n">
        <v>0</v>
      </c>
      <c r="G262" s="62"/>
      <c r="H262" s="35" t="n">
        <v>0</v>
      </c>
      <c r="I262" s="34" t="n">
        <f aca="false">+IF(E262=0,0,E262*0.03)</f>
        <v>0</v>
      </c>
    </row>
    <row r="263" customFormat="false" ht="15.75" hidden="false" customHeight="true" outlineLevel="0" collapsed="false">
      <c r="A263" s="65" t="n">
        <v>45352</v>
      </c>
      <c r="B263" s="31" t="s">
        <v>11</v>
      </c>
      <c r="C263" s="32"/>
      <c r="D263" s="32"/>
      <c r="E263" s="19" t="n">
        <f aca="false">+IF(C263="EQUIPO",F263,0)</f>
        <v>0</v>
      </c>
      <c r="F263" s="33" t="n">
        <v>0</v>
      </c>
      <c r="G263" s="62"/>
      <c r="H263" s="35" t="n">
        <v>0</v>
      </c>
      <c r="I263" s="34" t="n">
        <f aca="false">+IF(E263=0,0,E263*0.03)</f>
        <v>0</v>
      </c>
    </row>
    <row r="264" customFormat="false" ht="15.75" hidden="false" customHeight="true" outlineLevel="0" collapsed="false">
      <c r="A264" s="65" t="n">
        <v>45352</v>
      </c>
      <c r="B264" s="31" t="s">
        <v>11</v>
      </c>
      <c r="C264" s="32"/>
      <c r="D264" s="32"/>
      <c r="E264" s="19" t="n">
        <f aca="false">+IF(C264="EQUIPO",F264,0)</f>
        <v>0</v>
      </c>
      <c r="F264" s="33" t="n">
        <v>0</v>
      </c>
      <c r="G264" s="62"/>
      <c r="H264" s="35" t="n">
        <v>0</v>
      </c>
      <c r="I264" s="34" t="n">
        <f aca="false">+IF(E264=0,0,E264*0.03)</f>
        <v>0</v>
      </c>
    </row>
    <row r="265" customFormat="false" ht="15.75" hidden="false" customHeight="true" outlineLevel="0" collapsed="false">
      <c r="A265" s="65" t="n">
        <v>45352</v>
      </c>
      <c r="B265" s="31" t="s">
        <v>11</v>
      </c>
      <c r="C265" s="32"/>
      <c r="D265" s="32"/>
      <c r="E265" s="19" t="n">
        <f aca="false">+IF(C265="EQUIPO",F265,0)</f>
        <v>0</v>
      </c>
      <c r="F265" s="33" t="n">
        <v>0</v>
      </c>
      <c r="G265" s="62"/>
      <c r="H265" s="35" t="n">
        <v>0</v>
      </c>
      <c r="I265" s="34" t="n">
        <f aca="false">+IF(E265=0,0,E265*0.03)</f>
        <v>0</v>
      </c>
    </row>
    <row r="266" customFormat="false" ht="15.75" hidden="false" customHeight="true" outlineLevel="0" collapsed="false">
      <c r="A266" s="65" t="n">
        <v>45352</v>
      </c>
      <c r="B266" s="31" t="s">
        <v>11</v>
      </c>
      <c r="C266" s="32"/>
      <c r="D266" s="32"/>
      <c r="E266" s="19" t="n">
        <f aca="false">+IF(C266="EQUIPO",F266,0)</f>
        <v>0</v>
      </c>
      <c r="F266" s="33" t="n">
        <v>0</v>
      </c>
      <c r="G266" s="62"/>
      <c r="H266" s="35" t="n">
        <v>0</v>
      </c>
      <c r="I266" s="34" t="n">
        <f aca="false">+IF(E266=0,0,E266*0.03)</f>
        <v>0</v>
      </c>
    </row>
    <row r="267" customFormat="false" ht="15.75" hidden="false" customHeight="true" outlineLevel="0" collapsed="false">
      <c r="A267" s="65" t="n">
        <v>45352</v>
      </c>
      <c r="B267" s="31" t="s">
        <v>11</v>
      </c>
      <c r="C267" s="32"/>
      <c r="D267" s="32"/>
      <c r="E267" s="19" t="n">
        <f aca="false">+IF(C267="EQUIPO",F267,0)</f>
        <v>0</v>
      </c>
      <c r="F267" s="33" t="n">
        <v>0</v>
      </c>
      <c r="G267" s="62"/>
      <c r="H267" s="35" t="n">
        <v>0</v>
      </c>
      <c r="I267" s="34" t="n">
        <f aca="false">+IF(E267=0,0,E267*0.03)</f>
        <v>0</v>
      </c>
    </row>
    <row r="268" customFormat="false" ht="15.75" hidden="false" customHeight="true" outlineLevel="0" collapsed="false">
      <c r="A268" s="65" t="n">
        <v>45352</v>
      </c>
      <c r="B268" s="31" t="s">
        <v>11</v>
      </c>
      <c r="C268" s="32"/>
      <c r="D268" s="32"/>
      <c r="E268" s="19" t="n">
        <f aca="false">+IF(C268="EQUIPO",F268,0)</f>
        <v>0</v>
      </c>
      <c r="F268" s="33" t="n">
        <v>0</v>
      </c>
      <c r="G268" s="62"/>
      <c r="H268" s="35" t="n">
        <v>0</v>
      </c>
      <c r="I268" s="34" t="n">
        <f aca="false">+IF(E268=0,0,E268*0.03)</f>
        <v>0</v>
      </c>
    </row>
    <row r="269" customFormat="false" ht="15.75" hidden="false" customHeight="true" outlineLevel="0" collapsed="false">
      <c r="A269" s="65" t="n">
        <v>45352</v>
      </c>
      <c r="B269" s="31" t="s">
        <v>11</v>
      </c>
      <c r="C269" s="32"/>
      <c r="D269" s="32"/>
      <c r="E269" s="19" t="n">
        <f aca="false">+IF(C269="EQUIPO",F269,0)</f>
        <v>0</v>
      </c>
      <c r="F269" s="33" t="n">
        <v>0</v>
      </c>
      <c r="G269" s="62"/>
      <c r="H269" s="35" t="n">
        <v>0</v>
      </c>
      <c r="I269" s="34" t="n">
        <f aca="false">+IF(E269=0,0,E269*0.03)</f>
        <v>0</v>
      </c>
    </row>
    <row r="270" customFormat="false" ht="15.75" hidden="false" customHeight="true" outlineLevel="0" collapsed="false">
      <c r="A270" s="65" t="n">
        <v>45352</v>
      </c>
      <c r="B270" s="31" t="s">
        <v>11</v>
      </c>
      <c r="C270" s="32"/>
      <c r="D270" s="32"/>
      <c r="E270" s="19" t="n">
        <f aca="false">+IF(C270="EQUIPO",F270,0)</f>
        <v>0</v>
      </c>
      <c r="F270" s="33" t="n">
        <v>0</v>
      </c>
      <c r="G270" s="62"/>
      <c r="H270" s="35" t="n">
        <v>0</v>
      </c>
      <c r="I270" s="34" t="n">
        <f aca="false">+IF(E270=0,0,E270*0.03)</f>
        <v>0</v>
      </c>
    </row>
    <row r="271" customFormat="false" ht="15.75" hidden="false" customHeight="true" outlineLevel="0" collapsed="false">
      <c r="A271" s="65" t="n">
        <v>45352</v>
      </c>
      <c r="B271" s="31" t="s">
        <v>11</v>
      </c>
      <c r="C271" s="32"/>
      <c r="D271" s="32"/>
      <c r="E271" s="19" t="n">
        <f aca="false">+IF(C271="EQUIPO",F271,0)</f>
        <v>0</v>
      </c>
      <c r="F271" s="33" t="n">
        <v>0</v>
      </c>
      <c r="G271" s="62"/>
      <c r="H271" s="35" t="n">
        <v>0</v>
      </c>
      <c r="I271" s="34" t="n">
        <f aca="false">+IF(E271=0,0,E271*0.03)</f>
        <v>0</v>
      </c>
    </row>
    <row r="272" customFormat="false" ht="15.75" hidden="false" customHeight="true" outlineLevel="0" collapsed="false">
      <c r="A272" s="65" t="n">
        <v>45352</v>
      </c>
      <c r="B272" s="31" t="s">
        <v>11</v>
      </c>
      <c r="C272" s="32"/>
      <c r="D272" s="32"/>
      <c r="E272" s="19" t="n">
        <f aca="false">+IF(C272="EQUIPO",F272,0)</f>
        <v>0</v>
      </c>
      <c r="F272" s="33" t="n">
        <v>0</v>
      </c>
      <c r="G272" s="62"/>
      <c r="H272" s="35" t="n">
        <v>0</v>
      </c>
      <c r="I272" s="34" t="n">
        <f aca="false">+IF(E272=0,0,E272*0.03)</f>
        <v>0</v>
      </c>
    </row>
    <row r="273" customFormat="false" ht="15.75" hidden="false" customHeight="true" outlineLevel="0" collapsed="false">
      <c r="A273" s="65" t="n">
        <v>45352</v>
      </c>
      <c r="B273" s="31" t="s">
        <v>11</v>
      </c>
      <c r="C273" s="32"/>
      <c r="D273" s="32"/>
      <c r="E273" s="19" t="n">
        <f aca="false">+IF(C273="EQUIPO",F273,0)</f>
        <v>0</v>
      </c>
      <c r="F273" s="33" t="n">
        <v>0</v>
      </c>
      <c r="G273" s="62"/>
      <c r="H273" s="35" t="n">
        <v>0</v>
      </c>
      <c r="I273" s="34" t="n">
        <f aca="false">+IF(E273=0,0,E273*0.03)</f>
        <v>0</v>
      </c>
    </row>
    <row r="274" customFormat="false" ht="15.75" hidden="false" customHeight="true" outlineLevel="0" collapsed="false">
      <c r="A274" s="65" t="n">
        <v>45352</v>
      </c>
      <c r="B274" s="31" t="s">
        <v>11</v>
      </c>
      <c r="C274" s="32"/>
      <c r="D274" s="32"/>
      <c r="E274" s="19" t="n">
        <f aca="false">+IF(C274="EQUIPO",F274,0)</f>
        <v>0</v>
      </c>
      <c r="F274" s="33" t="n">
        <v>0</v>
      </c>
      <c r="G274" s="62"/>
      <c r="H274" s="35" t="n">
        <v>0</v>
      </c>
      <c r="I274" s="34" t="n">
        <f aca="false">+IF(E274=0,0,E274*0.03)</f>
        <v>0</v>
      </c>
    </row>
    <row r="275" customFormat="false" ht="15.75" hidden="false" customHeight="true" outlineLevel="0" collapsed="false">
      <c r="A275" s="65" t="n">
        <v>45352</v>
      </c>
      <c r="B275" s="31" t="s">
        <v>11</v>
      </c>
      <c r="C275" s="32"/>
      <c r="D275" s="32"/>
      <c r="E275" s="19" t="n">
        <f aca="false">+IF(C275="EQUIPO",F275,0)</f>
        <v>0</v>
      </c>
      <c r="F275" s="33" t="n">
        <v>0</v>
      </c>
      <c r="G275" s="62"/>
      <c r="H275" s="35" t="n">
        <v>0</v>
      </c>
      <c r="I275" s="34" t="n">
        <f aca="false">+IF(E275=0,0,E275*0.03)</f>
        <v>0</v>
      </c>
    </row>
    <row r="276" customFormat="false" ht="15.75" hidden="false" customHeight="true" outlineLevel="0" collapsed="false">
      <c r="A276" s="65" t="n">
        <v>45352</v>
      </c>
      <c r="B276" s="31" t="s">
        <v>11</v>
      </c>
      <c r="C276" s="32"/>
      <c r="D276" s="32"/>
      <c r="E276" s="19" t="n">
        <f aca="false">+IF(C276="EQUIPO",F276,0)</f>
        <v>0</v>
      </c>
      <c r="F276" s="33" t="n">
        <v>0</v>
      </c>
      <c r="G276" s="62"/>
      <c r="H276" s="35" t="n">
        <v>0</v>
      </c>
      <c r="I276" s="34" t="n">
        <f aca="false">+IF(E276=0,0,E276*0.03)</f>
        <v>0</v>
      </c>
    </row>
    <row r="277" customFormat="false" ht="15.75" hidden="false" customHeight="true" outlineLevel="0" collapsed="false">
      <c r="A277" s="65" t="n">
        <v>45352</v>
      </c>
      <c r="B277" s="31" t="s">
        <v>11</v>
      </c>
      <c r="C277" s="32"/>
      <c r="D277" s="32"/>
      <c r="E277" s="19" t="n">
        <f aca="false">+IF(C277="EQUIPO",F277,0)</f>
        <v>0</v>
      </c>
      <c r="F277" s="33" t="n">
        <v>0</v>
      </c>
      <c r="G277" s="62"/>
      <c r="H277" s="35" t="n">
        <v>0</v>
      </c>
      <c r="I277" s="34" t="n">
        <f aca="false">+IF(E277=0,0,E277*0.03)</f>
        <v>0</v>
      </c>
    </row>
    <row r="278" customFormat="false" ht="15.75" hidden="false" customHeight="true" outlineLevel="0" collapsed="false">
      <c r="A278" s="65" t="n">
        <v>45352</v>
      </c>
      <c r="B278" s="31" t="s">
        <v>11</v>
      </c>
      <c r="C278" s="32"/>
      <c r="D278" s="32"/>
      <c r="E278" s="19" t="n">
        <f aca="false">+IF(C278="EQUIPO",F278,0)</f>
        <v>0</v>
      </c>
      <c r="F278" s="33" t="n">
        <v>0</v>
      </c>
      <c r="G278" s="62"/>
      <c r="H278" s="35" t="n">
        <v>0</v>
      </c>
      <c r="I278" s="34" t="n">
        <f aca="false">+IF(E278=0,0,E278*0.03)</f>
        <v>0</v>
      </c>
    </row>
    <row r="279" customFormat="false" ht="15.75" hidden="false" customHeight="true" outlineLevel="0" collapsed="false">
      <c r="A279" s="65" t="n">
        <v>45352</v>
      </c>
      <c r="B279" s="31" t="s">
        <v>11</v>
      </c>
      <c r="C279" s="32"/>
      <c r="D279" s="32"/>
      <c r="E279" s="19" t="n">
        <f aca="false">+IF(C279="EQUIPO",F279,0)</f>
        <v>0</v>
      </c>
      <c r="F279" s="33" t="n">
        <v>0</v>
      </c>
      <c r="G279" s="62"/>
      <c r="H279" s="35" t="n">
        <v>0</v>
      </c>
      <c r="I279" s="34" t="n">
        <f aca="false">+IF(E279=0,0,E279*0.03)</f>
        <v>0</v>
      </c>
    </row>
    <row r="280" customFormat="false" ht="15.75" hidden="false" customHeight="true" outlineLevel="0" collapsed="false">
      <c r="A280" s="65" t="n">
        <v>45352</v>
      </c>
      <c r="B280" s="31" t="s">
        <v>11</v>
      </c>
      <c r="C280" s="32"/>
      <c r="D280" s="32"/>
      <c r="E280" s="19" t="n">
        <f aca="false">+IF(C280="EQUIPO",F280,0)</f>
        <v>0</v>
      </c>
      <c r="F280" s="33" t="n">
        <v>0</v>
      </c>
      <c r="G280" s="62"/>
      <c r="H280" s="35" t="n">
        <v>0</v>
      </c>
      <c r="I280" s="34" t="n">
        <f aca="false">+IF(E280=0,0,E280*0.03)</f>
        <v>0</v>
      </c>
    </row>
    <row r="281" customFormat="false" ht="15.75" hidden="false" customHeight="true" outlineLevel="0" collapsed="false">
      <c r="A281" s="65" t="n">
        <v>45352</v>
      </c>
      <c r="B281" s="31" t="s">
        <v>11</v>
      </c>
      <c r="C281" s="32"/>
      <c r="D281" s="32"/>
      <c r="E281" s="19" t="n">
        <f aca="false">+IF(C281="EQUIPO",F281,0)</f>
        <v>0</v>
      </c>
      <c r="F281" s="33" t="n">
        <v>0</v>
      </c>
      <c r="G281" s="62"/>
      <c r="H281" s="35" t="n">
        <v>0</v>
      </c>
      <c r="I281" s="34" t="n">
        <f aca="false">+IF(E281=0,0,E281*0.03)</f>
        <v>0</v>
      </c>
    </row>
    <row r="282" customFormat="false" ht="15.75" hidden="false" customHeight="true" outlineLevel="0" collapsed="false">
      <c r="A282" s="65" t="n">
        <v>45352</v>
      </c>
      <c r="B282" s="31" t="s">
        <v>11</v>
      </c>
      <c r="C282" s="32"/>
      <c r="D282" s="32"/>
      <c r="E282" s="19" t="n">
        <f aca="false">+IF(C282="EQUIPO",F282,0)</f>
        <v>0</v>
      </c>
      <c r="F282" s="33" t="n">
        <v>0</v>
      </c>
      <c r="G282" s="62"/>
      <c r="H282" s="35" t="n">
        <v>0</v>
      </c>
      <c r="I282" s="34" t="n">
        <f aca="false">+IF(E282=0,0,E282*0.03)</f>
        <v>0</v>
      </c>
    </row>
    <row r="283" customFormat="false" ht="15.75" hidden="false" customHeight="true" outlineLevel="0" collapsed="false">
      <c r="A283" s="65" t="n">
        <v>45352</v>
      </c>
      <c r="B283" s="31" t="s">
        <v>11</v>
      </c>
      <c r="C283" s="32"/>
      <c r="D283" s="32"/>
      <c r="E283" s="19" t="n">
        <f aca="false">+IF(C283="EQUIPO",F283,0)</f>
        <v>0</v>
      </c>
      <c r="F283" s="33" t="n">
        <v>0</v>
      </c>
      <c r="G283" s="62"/>
      <c r="H283" s="35" t="n">
        <v>0</v>
      </c>
      <c r="I283" s="34" t="n">
        <f aca="false">+IF(E283=0,0,E283*0.03)</f>
        <v>0</v>
      </c>
    </row>
    <row r="284" customFormat="false" ht="15.75" hidden="false" customHeight="true" outlineLevel="0" collapsed="false">
      <c r="A284" s="65" t="n">
        <v>45352</v>
      </c>
      <c r="B284" s="31" t="s">
        <v>11</v>
      </c>
      <c r="C284" s="32"/>
      <c r="D284" s="32"/>
      <c r="E284" s="19" t="n">
        <f aca="false">+IF(C284="EQUIPO",F284,0)</f>
        <v>0</v>
      </c>
      <c r="F284" s="33" t="n">
        <v>0</v>
      </c>
      <c r="G284" s="62"/>
      <c r="H284" s="35" t="n">
        <v>0</v>
      </c>
      <c r="I284" s="34" t="n">
        <f aca="false">+IF(E284=0,0,E284*0.03)</f>
        <v>0</v>
      </c>
    </row>
    <row r="285" customFormat="false" ht="15.75" hidden="false" customHeight="true" outlineLevel="0" collapsed="false">
      <c r="A285" s="65" t="n">
        <v>45352</v>
      </c>
      <c r="B285" s="31" t="s">
        <v>11</v>
      </c>
      <c r="C285" s="32"/>
      <c r="D285" s="32"/>
      <c r="E285" s="19" t="n">
        <f aca="false">+IF(C285="EQUIPO",F285,0)</f>
        <v>0</v>
      </c>
      <c r="F285" s="33" t="n">
        <v>0</v>
      </c>
      <c r="G285" s="62"/>
      <c r="H285" s="35" t="n">
        <v>0</v>
      </c>
      <c r="I285" s="34" t="n">
        <f aca="false">+IF(E285=0,0,E285*0.03)</f>
        <v>0</v>
      </c>
    </row>
    <row r="286" customFormat="false" ht="15.75" hidden="false" customHeight="true" outlineLevel="0" collapsed="false">
      <c r="A286" s="65" t="n">
        <v>45352</v>
      </c>
      <c r="B286" s="31" t="s">
        <v>11</v>
      </c>
      <c r="C286" s="32"/>
      <c r="D286" s="32"/>
      <c r="E286" s="19" t="n">
        <f aca="false">+IF(C286="EQUIPO",F286,0)</f>
        <v>0</v>
      </c>
      <c r="F286" s="33" t="n">
        <v>0</v>
      </c>
      <c r="G286" s="62"/>
      <c r="H286" s="35" t="n">
        <v>0</v>
      </c>
      <c r="I286" s="34" t="n">
        <f aca="false">+IF(E286=0,0,E286*0.03)</f>
        <v>0</v>
      </c>
    </row>
    <row r="287" customFormat="false" ht="15.75" hidden="false" customHeight="true" outlineLevel="0" collapsed="false">
      <c r="A287" s="65" t="n">
        <v>45352</v>
      </c>
      <c r="B287" s="31" t="s">
        <v>11</v>
      </c>
      <c r="C287" s="32"/>
      <c r="D287" s="32"/>
      <c r="E287" s="19" t="n">
        <f aca="false">+IF(C287="EQUIPO",F287,0)</f>
        <v>0</v>
      </c>
      <c r="F287" s="33" t="n">
        <v>0</v>
      </c>
      <c r="G287" s="62"/>
      <c r="H287" s="35" t="n">
        <v>0</v>
      </c>
      <c r="I287" s="34" t="n">
        <f aca="false">+IF(E287=0,0,E287*0.03)</f>
        <v>0</v>
      </c>
    </row>
    <row r="288" customFormat="false" ht="15.75" hidden="false" customHeight="true" outlineLevel="0" collapsed="false">
      <c r="A288" s="65" t="n">
        <v>45352</v>
      </c>
      <c r="B288" s="31" t="s">
        <v>11</v>
      </c>
      <c r="C288" s="32"/>
      <c r="D288" s="32"/>
      <c r="E288" s="19" t="n">
        <f aca="false">+IF(C288="EQUIPO",F288,0)</f>
        <v>0</v>
      </c>
      <c r="F288" s="33" t="n">
        <v>0</v>
      </c>
      <c r="G288" s="62"/>
      <c r="H288" s="35" t="n">
        <v>0</v>
      </c>
      <c r="I288" s="34" t="n">
        <f aca="false">+IF(E288=0,0,E288*0.03)</f>
        <v>0</v>
      </c>
    </row>
    <row r="289" customFormat="false" ht="15.75" hidden="false" customHeight="true" outlineLevel="0" collapsed="false">
      <c r="A289" s="65" t="n">
        <v>45352</v>
      </c>
      <c r="B289" s="31" t="s">
        <v>11</v>
      </c>
      <c r="C289" s="32"/>
      <c r="D289" s="32"/>
      <c r="E289" s="19" t="n">
        <f aca="false">+IF(C289="EQUIPO",F289,0)</f>
        <v>0</v>
      </c>
      <c r="F289" s="33" t="n">
        <v>0</v>
      </c>
      <c r="G289" s="62"/>
      <c r="H289" s="35" t="n">
        <v>0</v>
      </c>
      <c r="I289" s="34" t="n">
        <f aca="false">+IF(E289=0,0,E289*0.03)</f>
        <v>0</v>
      </c>
    </row>
    <row r="290" customFormat="false" ht="15.75" hidden="false" customHeight="true" outlineLevel="0" collapsed="false">
      <c r="A290" s="65" t="n">
        <v>45352</v>
      </c>
      <c r="B290" s="31" t="s">
        <v>11</v>
      </c>
      <c r="C290" s="32"/>
      <c r="D290" s="32"/>
      <c r="E290" s="19" t="n">
        <f aca="false">+IF(C290="EQUIPO",F290,0)</f>
        <v>0</v>
      </c>
      <c r="F290" s="33" t="n">
        <v>0</v>
      </c>
      <c r="G290" s="62"/>
      <c r="H290" s="35" t="n">
        <v>0</v>
      </c>
      <c r="I290" s="34" t="n">
        <f aca="false">+IF(E290=0,0,E290*0.03)</f>
        <v>0</v>
      </c>
    </row>
    <row r="291" customFormat="false" ht="15.75" hidden="false" customHeight="true" outlineLevel="0" collapsed="false">
      <c r="A291" s="65" t="n">
        <v>45352</v>
      </c>
      <c r="B291" s="31" t="s">
        <v>11</v>
      </c>
      <c r="C291" s="32"/>
      <c r="D291" s="32"/>
      <c r="E291" s="19" t="n">
        <f aca="false">+IF(C291="EQUIPO",F291,0)</f>
        <v>0</v>
      </c>
      <c r="F291" s="33" t="n">
        <v>0</v>
      </c>
      <c r="G291" s="62"/>
      <c r="H291" s="35" t="n">
        <v>0</v>
      </c>
      <c r="I291" s="34" t="n">
        <f aca="false">+IF(E291=0,0,E291*0.03)</f>
        <v>0</v>
      </c>
    </row>
    <row r="292" customFormat="false" ht="15.75" hidden="false" customHeight="true" outlineLevel="0" collapsed="false">
      <c r="A292" s="65" t="n">
        <v>45352</v>
      </c>
      <c r="B292" s="31" t="s">
        <v>11</v>
      </c>
      <c r="C292" s="32"/>
      <c r="D292" s="32"/>
      <c r="E292" s="19" t="n">
        <f aca="false">+IF(C292="EQUIPO",F292,0)</f>
        <v>0</v>
      </c>
      <c r="F292" s="33" t="n">
        <v>0</v>
      </c>
      <c r="G292" s="62"/>
      <c r="H292" s="35" t="n">
        <v>0</v>
      </c>
      <c r="I292" s="34" t="n">
        <f aca="false">+IF(E292=0,0,E292*0.03)</f>
        <v>0</v>
      </c>
    </row>
    <row r="293" customFormat="false" ht="15.75" hidden="false" customHeight="true" outlineLevel="0" collapsed="false">
      <c r="A293" s="65" t="n">
        <v>45352</v>
      </c>
      <c r="B293" s="31" t="s">
        <v>11</v>
      </c>
      <c r="C293" s="32"/>
      <c r="D293" s="32"/>
      <c r="E293" s="19" t="n">
        <f aca="false">+IF(C293="EQUIPO",F293,0)</f>
        <v>0</v>
      </c>
      <c r="F293" s="33" t="n">
        <v>0</v>
      </c>
      <c r="G293" s="62"/>
      <c r="H293" s="35" t="n">
        <v>0</v>
      </c>
      <c r="I293" s="34" t="n">
        <f aca="false">+IF(E293=0,0,E293*0.03)</f>
        <v>0</v>
      </c>
    </row>
    <row r="294" customFormat="false" ht="15.75" hidden="false" customHeight="true" outlineLevel="0" collapsed="false">
      <c r="A294" s="65" t="n">
        <v>45352</v>
      </c>
      <c r="B294" s="31" t="s">
        <v>11</v>
      </c>
      <c r="C294" s="32"/>
      <c r="D294" s="32"/>
      <c r="E294" s="19" t="n">
        <f aca="false">+IF(C294="EQUIPO",F294,0)</f>
        <v>0</v>
      </c>
      <c r="F294" s="33" t="n">
        <v>0</v>
      </c>
      <c r="G294" s="62"/>
      <c r="H294" s="35" t="n">
        <v>0</v>
      </c>
      <c r="I294" s="34" t="n">
        <f aca="false">+IF(E294=0,0,E294*0.03)</f>
        <v>0</v>
      </c>
    </row>
    <row r="295" customFormat="false" ht="15.75" hidden="false" customHeight="true" outlineLevel="0" collapsed="false">
      <c r="A295" s="65" t="n">
        <v>45352</v>
      </c>
      <c r="B295" s="31" t="s">
        <v>11</v>
      </c>
      <c r="C295" s="32"/>
      <c r="D295" s="32"/>
      <c r="E295" s="19" t="n">
        <f aca="false">+IF(C295="EQUIPO",F295,0)</f>
        <v>0</v>
      </c>
      <c r="F295" s="33" t="n">
        <v>0</v>
      </c>
      <c r="G295" s="62"/>
      <c r="H295" s="35" t="n">
        <v>0</v>
      </c>
      <c r="I295" s="34" t="n">
        <f aca="false">+IF(E295=0,0,E295*0.03)</f>
        <v>0</v>
      </c>
    </row>
    <row r="296" customFormat="false" ht="15.75" hidden="false" customHeight="true" outlineLevel="0" collapsed="false">
      <c r="A296" s="65" t="n">
        <v>45352</v>
      </c>
      <c r="B296" s="31" t="s">
        <v>11</v>
      </c>
      <c r="C296" s="32"/>
      <c r="D296" s="32"/>
      <c r="E296" s="19" t="n">
        <f aca="false">+IF(C296="EQUIPO",F296,0)</f>
        <v>0</v>
      </c>
      <c r="F296" s="33" t="n">
        <v>0</v>
      </c>
      <c r="G296" s="62"/>
      <c r="H296" s="35" t="n">
        <v>0</v>
      </c>
      <c r="I296" s="34" t="n">
        <f aca="false">+IF(E296=0,0,E296*0.03)</f>
        <v>0</v>
      </c>
    </row>
    <row r="297" customFormat="false" ht="15.75" hidden="false" customHeight="true" outlineLevel="0" collapsed="false">
      <c r="A297" s="65" t="n">
        <v>45352</v>
      </c>
      <c r="B297" s="31" t="s">
        <v>11</v>
      </c>
      <c r="C297" s="32"/>
      <c r="D297" s="32"/>
      <c r="E297" s="19" t="n">
        <f aca="false">+IF(C297="EQUIPO",F297,0)</f>
        <v>0</v>
      </c>
      <c r="F297" s="33" t="n">
        <v>0</v>
      </c>
      <c r="G297" s="62"/>
      <c r="H297" s="35" t="n">
        <v>0</v>
      </c>
      <c r="I297" s="34" t="n">
        <f aca="false">+IF(E297=0,0,E297*0.03)</f>
        <v>0</v>
      </c>
    </row>
    <row r="298" customFormat="false" ht="15.75" hidden="false" customHeight="true" outlineLevel="0" collapsed="false">
      <c r="A298" s="65" t="n">
        <v>45352</v>
      </c>
      <c r="B298" s="31" t="s">
        <v>11</v>
      </c>
      <c r="C298" s="32"/>
      <c r="D298" s="32"/>
      <c r="E298" s="19" t="n">
        <f aca="false">+IF(C298="EQUIPO",F298,0)</f>
        <v>0</v>
      </c>
      <c r="F298" s="33" t="n">
        <v>0</v>
      </c>
      <c r="G298" s="62"/>
      <c r="H298" s="35" t="n">
        <v>0</v>
      </c>
      <c r="I298" s="34" t="n">
        <f aca="false">+IF(E298=0,0,E298*0.03)</f>
        <v>0</v>
      </c>
    </row>
    <row r="299" customFormat="false" ht="15.75" hidden="false" customHeight="true" outlineLevel="0" collapsed="false">
      <c r="A299" s="65" t="n">
        <v>45352</v>
      </c>
      <c r="B299" s="31" t="s">
        <v>11</v>
      </c>
      <c r="C299" s="32"/>
      <c r="D299" s="32"/>
      <c r="E299" s="19" t="n">
        <f aca="false">+IF(C299="EQUIPO",F299,0)</f>
        <v>0</v>
      </c>
      <c r="F299" s="33" t="n">
        <v>0</v>
      </c>
      <c r="G299" s="62"/>
      <c r="H299" s="35" t="n">
        <v>0</v>
      </c>
      <c r="I299" s="34" t="n">
        <f aca="false">+IF(E299=0,0,E299*0.03)</f>
        <v>0</v>
      </c>
    </row>
    <row r="300" customFormat="false" ht="15.75" hidden="false" customHeight="true" outlineLevel="0" collapsed="false">
      <c r="A300" s="65" t="n">
        <v>45352</v>
      </c>
      <c r="B300" s="31" t="s">
        <v>11</v>
      </c>
      <c r="C300" s="32"/>
      <c r="D300" s="32"/>
      <c r="E300" s="19" t="n">
        <f aca="false">+IF(C300="EQUIPO",F300,0)</f>
        <v>0</v>
      </c>
      <c r="F300" s="33" t="n">
        <v>0</v>
      </c>
      <c r="G300" s="62"/>
      <c r="H300" s="35" t="n">
        <v>0</v>
      </c>
      <c r="I300" s="34" t="n">
        <f aca="false">+IF(E300=0,0,E300*0.03)</f>
        <v>0</v>
      </c>
    </row>
    <row r="301" customFormat="false" ht="15.75" hidden="false" customHeight="true" outlineLevel="0" collapsed="false">
      <c r="A301" s="65" t="n">
        <v>45352</v>
      </c>
      <c r="B301" s="31" t="s">
        <v>11</v>
      </c>
      <c r="C301" s="32"/>
      <c r="D301" s="32"/>
      <c r="E301" s="19" t="n">
        <f aca="false">+IF(C301="EQUIPO",F301,0)</f>
        <v>0</v>
      </c>
      <c r="F301" s="33" t="n">
        <v>0</v>
      </c>
      <c r="G301" s="62"/>
      <c r="H301" s="35" t="n">
        <v>0</v>
      </c>
      <c r="I301" s="34" t="n">
        <f aca="false">+IF(E301=0,0,E301*0.03)</f>
        <v>0</v>
      </c>
    </row>
    <row r="302" customFormat="false" ht="15.75" hidden="false" customHeight="true" outlineLevel="0" collapsed="false">
      <c r="A302" s="65" t="n">
        <v>45352</v>
      </c>
      <c r="B302" s="31" t="s">
        <v>11</v>
      </c>
      <c r="C302" s="32"/>
      <c r="D302" s="32"/>
      <c r="E302" s="19" t="n">
        <f aca="false">+IF(C302="EQUIPO",F302,0)</f>
        <v>0</v>
      </c>
      <c r="F302" s="33" t="n">
        <v>0</v>
      </c>
      <c r="G302" s="62"/>
      <c r="H302" s="35" t="n">
        <v>0</v>
      </c>
      <c r="I302" s="34" t="n">
        <f aca="false">+IF(E302=0,0,E302*0.03)</f>
        <v>0</v>
      </c>
    </row>
    <row r="303" customFormat="false" ht="15.75" hidden="false" customHeight="true" outlineLevel="0" collapsed="false">
      <c r="A303" s="65" t="n">
        <v>45352</v>
      </c>
      <c r="B303" s="31" t="s">
        <v>11</v>
      </c>
      <c r="C303" s="32"/>
      <c r="D303" s="32"/>
      <c r="E303" s="19" t="n">
        <f aca="false">+IF(C303="EQUIPO",F303,0)</f>
        <v>0</v>
      </c>
      <c r="F303" s="33" t="n">
        <v>0</v>
      </c>
      <c r="G303" s="62"/>
      <c r="H303" s="35" t="n">
        <v>0</v>
      </c>
      <c r="I303" s="34" t="n">
        <f aca="false">+IF(E303=0,0,E303*0.03)</f>
        <v>0</v>
      </c>
    </row>
    <row r="304" customFormat="false" ht="15.75" hidden="false" customHeight="true" outlineLevel="0" collapsed="false">
      <c r="A304" s="65" t="n">
        <v>45352</v>
      </c>
      <c r="B304" s="31" t="s">
        <v>11</v>
      </c>
      <c r="C304" s="32"/>
      <c r="D304" s="32"/>
      <c r="E304" s="19" t="n">
        <f aca="false">+IF(C304="EQUIPO",F304,0)</f>
        <v>0</v>
      </c>
      <c r="F304" s="33" t="n">
        <v>0</v>
      </c>
      <c r="G304" s="62"/>
      <c r="H304" s="35" t="n">
        <v>0</v>
      </c>
      <c r="I304" s="34" t="n">
        <f aca="false">+IF(E304=0,0,E304*0.03)</f>
        <v>0</v>
      </c>
    </row>
    <row r="305" customFormat="false" ht="15.75" hidden="false" customHeight="true" outlineLevel="0" collapsed="false">
      <c r="A305" s="65" t="n">
        <v>45352</v>
      </c>
      <c r="B305" s="31" t="s">
        <v>11</v>
      </c>
      <c r="C305" s="32"/>
      <c r="D305" s="32"/>
      <c r="E305" s="19" t="n">
        <f aca="false">+IF(C305="EQUIPO",F305,0)</f>
        <v>0</v>
      </c>
      <c r="F305" s="33" t="n">
        <v>0</v>
      </c>
      <c r="G305" s="62"/>
      <c r="H305" s="35" t="n">
        <v>0</v>
      </c>
      <c r="I305" s="34" t="n">
        <f aca="false">+IF(E305=0,0,E305*0.03)</f>
        <v>0</v>
      </c>
    </row>
    <row r="306" customFormat="false" ht="15.75" hidden="false" customHeight="true" outlineLevel="0" collapsed="false">
      <c r="A306" s="65" t="n">
        <v>45352</v>
      </c>
      <c r="B306" s="31" t="s">
        <v>11</v>
      </c>
      <c r="C306" s="32"/>
      <c r="D306" s="32"/>
      <c r="E306" s="19" t="n">
        <f aca="false">+IF(C306="EQUIPO",F306,0)</f>
        <v>0</v>
      </c>
      <c r="F306" s="33" t="n">
        <v>0</v>
      </c>
      <c r="G306" s="62"/>
      <c r="H306" s="35" t="n">
        <v>0</v>
      </c>
      <c r="I306" s="34" t="n">
        <f aca="false">+IF(E306=0,0,E306*0.03)</f>
        <v>0</v>
      </c>
    </row>
    <row r="307" customFormat="false" ht="15.75" hidden="false" customHeight="true" outlineLevel="0" collapsed="false">
      <c r="A307" s="65" t="n">
        <v>45352</v>
      </c>
      <c r="B307" s="31" t="s">
        <v>11</v>
      </c>
      <c r="C307" s="32"/>
      <c r="D307" s="32"/>
      <c r="E307" s="19" t="n">
        <f aca="false">+IF(C307="EQUIPO",F307,0)</f>
        <v>0</v>
      </c>
      <c r="F307" s="33" t="n">
        <v>0</v>
      </c>
      <c r="G307" s="62"/>
      <c r="H307" s="35" t="n">
        <v>0</v>
      </c>
      <c r="I307" s="34" t="n">
        <f aca="false">+IF(E307=0,0,E307*0.03)</f>
        <v>0</v>
      </c>
    </row>
    <row r="308" customFormat="false" ht="15.75" hidden="false" customHeight="true" outlineLevel="0" collapsed="false">
      <c r="A308" s="65" t="n">
        <v>45352</v>
      </c>
      <c r="B308" s="31" t="s">
        <v>11</v>
      </c>
      <c r="C308" s="32"/>
      <c r="D308" s="32"/>
      <c r="E308" s="19" t="n">
        <f aca="false">+IF(C308="EQUIPO",F308,0)</f>
        <v>0</v>
      </c>
      <c r="F308" s="33" t="n">
        <v>0</v>
      </c>
      <c r="G308" s="62"/>
      <c r="H308" s="35" t="n">
        <v>0</v>
      </c>
      <c r="I308" s="34" t="n">
        <f aca="false">+IF(E308=0,0,E308*0.03)</f>
        <v>0</v>
      </c>
    </row>
    <row r="309" customFormat="false" ht="15.75" hidden="false" customHeight="true" outlineLevel="0" collapsed="false">
      <c r="A309" s="65" t="n">
        <v>45352</v>
      </c>
      <c r="B309" s="31" t="s">
        <v>11</v>
      </c>
      <c r="C309" s="32"/>
      <c r="D309" s="32"/>
      <c r="E309" s="19" t="n">
        <f aca="false">+IF(C309="EQUIPO",F309,0)</f>
        <v>0</v>
      </c>
      <c r="F309" s="33" t="n">
        <v>0</v>
      </c>
      <c r="G309" s="62"/>
      <c r="H309" s="35" t="n">
        <v>0</v>
      </c>
      <c r="I309" s="34" t="n">
        <f aca="false">+IF(E309=0,0,E309*0.03)</f>
        <v>0</v>
      </c>
    </row>
    <row r="310" customFormat="false" ht="15.75" hidden="false" customHeight="true" outlineLevel="0" collapsed="false">
      <c r="A310" s="65" t="n">
        <v>45352</v>
      </c>
      <c r="B310" s="31" t="s">
        <v>11</v>
      </c>
      <c r="C310" s="32"/>
      <c r="D310" s="32"/>
      <c r="E310" s="19" t="n">
        <f aca="false">+IF(C310="EQUIPO",F310,0)</f>
        <v>0</v>
      </c>
      <c r="F310" s="33" t="n">
        <v>0</v>
      </c>
      <c r="G310" s="62"/>
      <c r="H310" s="35" t="n">
        <v>0</v>
      </c>
      <c r="I310" s="34" t="n">
        <f aca="false">+IF(E310=0,0,E310*0.03)</f>
        <v>0</v>
      </c>
    </row>
    <row r="311" customFormat="false" ht="15.75" hidden="false" customHeight="true" outlineLevel="0" collapsed="false">
      <c r="A311" s="65" t="n">
        <v>45352</v>
      </c>
      <c r="B311" s="31" t="s">
        <v>11</v>
      </c>
      <c r="C311" s="32"/>
      <c r="D311" s="32"/>
      <c r="E311" s="19" t="n">
        <f aca="false">+IF(C311="EQUIPO",F311,0)</f>
        <v>0</v>
      </c>
      <c r="F311" s="33" t="n">
        <v>0</v>
      </c>
      <c r="G311" s="62"/>
      <c r="H311" s="35" t="n">
        <v>0</v>
      </c>
      <c r="I311" s="34" t="n">
        <f aca="false">+IF(E311=0,0,E311*0.03)</f>
        <v>0</v>
      </c>
    </row>
    <row r="312" customFormat="false" ht="15.75" hidden="false" customHeight="true" outlineLevel="0" collapsed="false">
      <c r="A312" s="65" t="n">
        <v>45352</v>
      </c>
      <c r="B312" s="31" t="s">
        <v>11</v>
      </c>
      <c r="C312" s="32"/>
      <c r="D312" s="32"/>
      <c r="E312" s="19" t="n">
        <f aca="false">+IF(C312="EQUIPO",F312,0)</f>
        <v>0</v>
      </c>
      <c r="F312" s="33" t="n">
        <v>0</v>
      </c>
      <c r="G312" s="62"/>
      <c r="H312" s="35" t="n">
        <v>0</v>
      </c>
      <c r="I312" s="34" t="n">
        <f aca="false">+IF(E312=0,0,E312*0.03)</f>
        <v>0</v>
      </c>
    </row>
    <row r="313" customFormat="false" ht="15.75" hidden="false" customHeight="true" outlineLevel="0" collapsed="false">
      <c r="A313" s="65" t="n">
        <v>45352</v>
      </c>
      <c r="B313" s="31" t="s">
        <v>11</v>
      </c>
      <c r="C313" s="32"/>
      <c r="D313" s="32"/>
      <c r="E313" s="19" t="n">
        <f aca="false">+IF(C313="EQUIPO",F313,0)</f>
        <v>0</v>
      </c>
      <c r="F313" s="33" t="n">
        <v>0</v>
      </c>
      <c r="G313" s="62"/>
      <c r="H313" s="35" t="n">
        <v>0</v>
      </c>
      <c r="I313" s="34" t="n">
        <f aca="false">+IF(E313=0,0,E313*0.03)</f>
        <v>0</v>
      </c>
    </row>
    <row r="314" customFormat="false" ht="15.75" hidden="false" customHeight="true" outlineLevel="0" collapsed="false">
      <c r="A314" s="65" t="n">
        <v>45352</v>
      </c>
      <c r="B314" s="31" t="s">
        <v>11</v>
      </c>
      <c r="C314" s="32"/>
      <c r="D314" s="32"/>
      <c r="E314" s="19" t="n">
        <f aca="false">+IF(C314="EQUIPO",F314,0)</f>
        <v>0</v>
      </c>
      <c r="F314" s="33" t="n">
        <v>0</v>
      </c>
      <c r="G314" s="62"/>
      <c r="H314" s="35" t="n">
        <v>0</v>
      </c>
      <c r="I314" s="34" t="n">
        <f aca="false">+IF(E314=0,0,E314*0.03)</f>
        <v>0</v>
      </c>
    </row>
    <row r="315" customFormat="false" ht="15.75" hidden="false" customHeight="true" outlineLevel="0" collapsed="false">
      <c r="A315" s="65" t="n">
        <v>45352</v>
      </c>
      <c r="B315" s="31" t="s">
        <v>11</v>
      </c>
      <c r="C315" s="32"/>
      <c r="D315" s="32"/>
      <c r="E315" s="19" t="n">
        <f aca="false">+IF(C315="EQUIPO",F315,0)</f>
        <v>0</v>
      </c>
      <c r="F315" s="33" t="n">
        <v>0</v>
      </c>
      <c r="G315" s="62"/>
      <c r="H315" s="35" t="n">
        <v>0</v>
      </c>
      <c r="I315" s="34" t="n">
        <f aca="false">+IF(E315=0,0,E315*0.03)</f>
        <v>0</v>
      </c>
    </row>
    <row r="316" customFormat="false" ht="15.75" hidden="false" customHeight="true" outlineLevel="0" collapsed="false">
      <c r="A316" s="65" t="n">
        <v>45352</v>
      </c>
      <c r="B316" s="31" t="s">
        <v>11</v>
      </c>
      <c r="C316" s="32"/>
      <c r="D316" s="32"/>
      <c r="E316" s="19" t="n">
        <f aca="false">+IF(C316="EQUIPO",F316,0)</f>
        <v>0</v>
      </c>
      <c r="F316" s="33" t="n">
        <v>0</v>
      </c>
      <c r="G316" s="62"/>
      <c r="H316" s="35" t="n">
        <v>0</v>
      </c>
      <c r="I316" s="34" t="n">
        <f aca="false">+IF(E316=0,0,E316*0.03)</f>
        <v>0</v>
      </c>
    </row>
    <row r="317" customFormat="false" ht="15.75" hidden="false" customHeight="true" outlineLevel="0" collapsed="false">
      <c r="A317" s="65" t="n">
        <v>45352</v>
      </c>
      <c r="B317" s="31" t="s">
        <v>11</v>
      </c>
      <c r="C317" s="32"/>
      <c r="D317" s="32"/>
      <c r="E317" s="19" t="n">
        <f aca="false">+IF(C317="EQUIPO",F317,0)</f>
        <v>0</v>
      </c>
      <c r="F317" s="33" t="n">
        <v>0</v>
      </c>
      <c r="G317" s="62"/>
      <c r="H317" s="35" t="n">
        <v>0</v>
      </c>
      <c r="I317" s="34" t="n">
        <f aca="false">+IF(E317=0,0,E317*0.03)</f>
        <v>0</v>
      </c>
    </row>
    <row r="318" customFormat="false" ht="15.75" hidden="false" customHeight="true" outlineLevel="0" collapsed="false">
      <c r="A318" s="65" t="n">
        <v>45352</v>
      </c>
      <c r="B318" s="31" t="s">
        <v>11</v>
      </c>
      <c r="C318" s="32"/>
      <c r="D318" s="32"/>
      <c r="E318" s="19" t="n">
        <f aca="false">+IF(C318="EQUIPO",F318,0)</f>
        <v>0</v>
      </c>
      <c r="F318" s="33" t="n">
        <v>0</v>
      </c>
      <c r="G318" s="62"/>
      <c r="H318" s="35" t="n">
        <v>0</v>
      </c>
      <c r="I318" s="34" t="n">
        <f aca="false">+IF(E318=0,0,E318*0.03)</f>
        <v>0</v>
      </c>
    </row>
    <row r="319" customFormat="false" ht="15.75" hidden="false" customHeight="true" outlineLevel="0" collapsed="false">
      <c r="A319" s="65" t="n">
        <v>45352</v>
      </c>
      <c r="B319" s="31" t="s">
        <v>11</v>
      </c>
      <c r="C319" s="32"/>
      <c r="D319" s="32"/>
      <c r="E319" s="19" t="n">
        <f aca="false">+IF(C319="EQUIPO",F319,0)</f>
        <v>0</v>
      </c>
      <c r="F319" s="33" t="n">
        <v>0</v>
      </c>
      <c r="G319" s="62"/>
      <c r="H319" s="35" t="n">
        <v>0</v>
      </c>
      <c r="I319" s="34" t="n">
        <f aca="false">+IF(E319=0,0,E319*0.03)</f>
        <v>0</v>
      </c>
    </row>
    <row r="320" customFormat="false" ht="15.75" hidden="false" customHeight="true" outlineLevel="0" collapsed="false">
      <c r="A320" s="65" t="n">
        <v>45352</v>
      </c>
      <c r="B320" s="31" t="s">
        <v>11</v>
      </c>
      <c r="C320" s="32"/>
      <c r="D320" s="32"/>
      <c r="E320" s="19" t="n">
        <f aca="false">+IF(C320="EQUIPO",F320,0)</f>
        <v>0</v>
      </c>
      <c r="F320" s="33" t="n">
        <v>0</v>
      </c>
      <c r="G320" s="62"/>
      <c r="H320" s="35" t="n">
        <v>0</v>
      </c>
      <c r="I320" s="34" t="n">
        <f aca="false">+IF(E320=0,0,E320*0.03)</f>
        <v>0</v>
      </c>
    </row>
    <row r="321" customFormat="false" ht="15.75" hidden="false" customHeight="true" outlineLevel="0" collapsed="false">
      <c r="A321" s="65" t="n">
        <v>45352</v>
      </c>
      <c r="B321" s="31" t="s">
        <v>11</v>
      </c>
      <c r="C321" s="32"/>
      <c r="D321" s="32"/>
      <c r="E321" s="19" t="n">
        <f aca="false">+IF(C321="EQUIPO",F321,0)</f>
        <v>0</v>
      </c>
      <c r="F321" s="33" t="n">
        <v>0</v>
      </c>
      <c r="G321" s="62"/>
      <c r="H321" s="35" t="n">
        <v>0</v>
      </c>
      <c r="I321" s="34" t="n">
        <f aca="false">+IF(E321=0,0,E321*0.03)</f>
        <v>0</v>
      </c>
    </row>
    <row r="322" customFormat="false" ht="15.75" hidden="false" customHeight="true" outlineLevel="0" collapsed="false">
      <c r="A322" s="65" t="n">
        <v>45352</v>
      </c>
      <c r="B322" s="31" t="s">
        <v>11</v>
      </c>
      <c r="C322" s="32"/>
      <c r="D322" s="32"/>
      <c r="E322" s="19" t="n">
        <f aca="false">+IF(C322="EQUIPO",F322,0)</f>
        <v>0</v>
      </c>
      <c r="F322" s="33" t="n">
        <v>0</v>
      </c>
      <c r="G322" s="62"/>
      <c r="H322" s="35" t="n">
        <v>0</v>
      </c>
      <c r="I322" s="34" t="n">
        <f aca="false">+IF(E322=0,0,E322*0.03)</f>
        <v>0</v>
      </c>
    </row>
    <row r="323" customFormat="false" ht="15.75" hidden="false" customHeight="true" outlineLevel="0" collapsed="false">
      <c r="A323" s="65" t="n">
        <v>45352</v>
      </c>
      <c r="B323" s="31" t="s">
        <v>11</v>
      </c>
      <c r="C323" s="32"/>
      <c r="D323" s="32"/>
      <c r="E323" s="19" t="n">
        <f aca="false">+IF(C323="EQUIPO",F323,0)</f>
        <v>0</v>
      </c>
      <c r="F323" s="33" t="n">
        <v>0</v>
      </c>
      <c r="G323" s="62"/>
      <c r="H323" s="35" t="n">
        <v>0</v>
      </c>
      <c r="I323" s="34" t="n">
        <f aca="false">+IF(E323=0,0,E323*0.03)</f>
        <v>0</v>
      </c>
    </row>
    <row r="324" customFormat="false" ht="15.75" hidden="false" customHeight="true" outlineLevel="0" collapsed="false">
      <c r="A324" s="65" t="n">
        <v>45352</v>
      </c>
      <c r="B324" s="31" t="s">
        <v>11</v>
      </c>
      <c r="C324" s="32"/>
      <c r="D324" s="32"/>
      <c r="E324" s="19" t="n">
        <f aca="false">+IF(C324="EQUIPO",F324,0)</f>
        <v>0</v>
      </c>
      <c r="F324" s="33" t="n">
        <v>0</v>
      </c>
      <c r="G324" s="62"/>
      <c r="H324" s="35" t="n">
        <v>0</v>
      </c>
      <c r="I324" s="34" t="n">
        <f aca="false">+IF(E324=0,0,E324*0.03)</f>
        <v>0</v>
      </c>
    </row>
    <row r="325" customFormat="false" ht="15.75" hidden="false" customHeight="true" outlineLevel="0" collapsed="false">
      <c r="A325" s="65" t="n">
        <v>45352</v>
      </c>
      <c r="B325" s="31" t="s">
        <v>11</v>
      </c>
      <c r="C325" s="32"/>
      <c r="D325" s="32"/>
      <c r="E325" s="19" t="n">
        <f aca="false">+IF(C325="EQUIPO",F325,0)</f>
        <v>0</v>
      </c>
      <c r="F325" s="33" t="n">
        <v>0</v>
      </c>
      <c r="G325" s="62"/>
      <c r="H325" s="35" t="n">
        <v>0</v>
      </c>
      <c r="I325" s="34" t="n">
        <f aca="false">+IF(E325=0,0,E325*0.03)</f>
        <v>0</v>
      </c>
    </row>
    <row r="326" customFormat="false" ht="15.75" hidden="false" customHeight="true" outlineLevel="0" collapsed="false">
      <c r="A326" s="65" t="n">
        <v>45352</v>
      </c>
      <c r="B326" s="31" t="s">
        <v>11</v>
      </c>
      <c r="C326" s="32"/>
      <c r="D326" s="32"/>
      <c r="E326" s="19" t="n">
        <f aca="false">+IF(C326="EQUIPO",F326,0)</f>
        <v>0</v>
      </c>
      <c r="F326" s="33" t="n">
        <v>0</v>
      </c>
      <c r="G326" s="62"/>
      <c r="H326" s="35" t="n">
        <v>0</v>
      </c>
      <c r="I326" s="34" t="n">
        <f aca="false">+IF(E326=0,0,E326*0.03)</f>
        <v>0</v>
      </c>
    </row>
    <row r="327" customFormat="false" ht="15.75" hidden="false" customHeight="true" outlineLevel="0" collapsed="false">
      <c r="A327" s="65" t="n">
        <v>45352</v>
      </c>
      <c r="B327" s="31" t="s">
        <v>11</v>
      </c>
      <c r="C327" s="32"/>
      <c r="D327" s="32"/>
      <c r="E327" s="19" t="n">
        <f aca="false">+IF(C327="EQUIPO",F327,0)</f>
        <v>0</v>
      </c>
      <c r="F327" s="33" t="n">
        <v>0</v>
      </c>
      <c r="G327" s="62"/>
      <c r="H327" s="35" t="n">
        <v>0</v>
      </c>
      <c r="I327" s="34" t="n">
        <f aca="false">+IF(E327=0,0,E327*0.03)</f>
        <v>0</v>
      </c>
    </row>
    <row r="328" customFormat="false" ht="15.75" hidden="false" customHeight="true" outlineLevel="0" collapsed="false">
      <c r="A328" s="65" t="n">
        <v>45352</v>
      </c>
      <c r="B328" s="31" t="s">
        <v>11</v>
      </c>
      <c r="C328" s="32"/>
      <c r="D328" s="32"/>
      <c r="E328" s="19" t="n">
        <f aca="false">+IF(C328="EQUIPO",F328,0)</f>
        <v>0</v>
      </c>
      <c r="F328" s="33" t="n">
        <v>0</v>
      </c>
      <c r="G328" s="62"/>
      <c r="H328" s="35" t="n">
        <v>0</v>
      </c>
      <c r="I328" s="34" t="n">
        <f aca="false">+IF(E328=0,0,E328*0.03)</f>
        <v>0</v>
      </c>
    </row>
    <row r="329" customFormat="false" ht="15.75" hidden="false" customHeight="true" outlineLevel="0" collapsed="false">
      <c r="A329" s="65" t="n">
        <v>45352</v>
      </c>
      <c r="B329" s="31" t="s">
        <v>11</v>
      </c>
      <c r="C329" s="32"/>
      <c r="D329" s="32"/>
      <c r="E329" s="19" t="n">
        <f aca="false">+IF(C329="EQUIPO",F329,0)</f>
        <v>0</v>
      </c>
      <c r="F329" s="33" t="n">
        <v>0</v>
      </c>
      <c r="G329" s="62"/>
      <c r="H329" s="35" t="n">
        <v>0</v>
      </c>
      <c r="I329" s="34" t="n">
        <f aca="false">+IF(E329=0,0,E329*0.03)</f>
        <v>0</v>
      </c>
    </row>
    <row r="330" customFormat="false" ht="15.75" hidden="false" customHeight="true" outlineLevel="0" collapsed="false">
      <c r="A330" s="65" t="n">
        <v>45352</v>
      </c>
      <c r="B330" s="31" t="s">
        <v>11</v>
      </c>
      <c r="C330" s="32"/>
      <c r="D330" s="32"/>
      <c r="E330" s="19" t="n">
        <f aca="false">+IF(C330="EQUIPO",F330,0)</f>
        <v>0</v>
      </c>
      <c r="F330" s="33" t="n">
        <v>0</v>
      </c>
      <c r="G330" s="62"/>
      <c r="H330" s="35" t="n">
        <v>0</v>
      </c>
      <c r="I330" s="34" t="n">
        <f aca="false">+IF(E330=0,0,E330*0.03)</f>
        <v>0</v>
      </c>
    </row>
    <row r="331" customFormat="false" ht="15.75" hidden="false" customHeight="true" outlineLevel="0" collapsed="false">
      <c r="A331" s="65" t="n">
        <v>45352</v>
      </c>
      <c r="B331" s="31" t="s">
        <v>11</v>
      </c>
      <c r="C331" s="32"/>
      <c r="D331" s="32"/>
      <c r="E331" s="19" t="n">
        <f aca="false">+IF(C331="EQUIPO",F331,0)</f>
        <v>0</v>
      </c>
      <c r="F331" s="33" t="n">
        <v>0</v>
      </c>
      <c r="G331" s="62"/>
      <c r="H331" s="35" t="n">
        <v>0</v>
      </c>
      <c r="I331" s="34" t="n">
        <f aca="false">+IF(E331=0,0,E331*0.03)</f>
        <v>0</v>
      </c>
    </row>
    <row r="332" customFormat="false" ht="15.75" hidden="false" customHeight="true" outlineLevel="0" collapsed="false">
      <c r="A332" s="65" t="n">
        <v>45352</v>
      </c>
      <c r="B332" s="31" t="s">
        <v>11</v>
      </c>
      <c r="C332" s="32"/>
      <c r="D332" s="32"/>
      <c r="E332" s="19" t="n">
        <f aca="false">+IF(C332="EQUIPO",F332,0)</f>
        <v>0</v>
      </c>
      <c r="F332" s="33" t="n">
        <v>0</v>
      </c>
      <c r="G332" s="62"/>
      <c r="H332" s="35" t="n">
        <v>0</v>
      </c>
      <c r="I332" s="34" t="n">
        <f aca="false">+IF(E332=0,0,E332*0.03)</f>
        <v>0</v>
      </c>
    </row>
    <row r="333" customFormat="false" ht="15.75" hidden="false" customHeight="true" outlineLevel="0" collapsed="false">
      <c r="A333" s="65" t="n">
        <v>45352</v>
      </c>
      <c r="B333" s="31" t="s">
        <v>11</v>
      </c>
      <c r="C333" s="32"/>
      <c r="D333" s="32"/>
      <c r="E333" s="19" t="n">
        <f aca="false">+IF(C333="EQUIPO",F333,0)</f>
        <v>0</v>
      </c>
      <c r="F333" s="33" t="n">
        <v>0</v>
      </c>
      <c r="G333" s="62"/>
      <c r="H333" s="35" t="n">
        <v>0</v>
      </c>
      <c r="I333" s="34" t="n">
        <f aca="false">+IF(E333=0,0,E333*0.03)</f>
        <v>0</v>
      </c>
    </row>
    <row r="334" customFormat="false" ht="15.75" hidden="false" customHeight="true" outlineLevel="0" collapsed="false">
      <c r="A334" s="65" t="n">
        <v>45352</v>
      </c>
      <c r="B334" s="31" t="s">
        <v>11</v>
      </c>
      <c r="C334" s="32"/>
      <c r="D334" s="32"/>
      <c r="E334" s="19" t="n">
        <f aca="false">+IF(C334="EQUIPO",F334,0)</f>
        <v>0</v>
      </c>
      <c r="F334" s="33" t="n">
        <v>0</v>
      </c>
      <c r="G334" s="62"/>
      <c r="H334" s="35" t="n">
        <v>0</v>
      </c>
      <c r="I334" s="34" t="n">
        <f aca="false">+IF(E334=0,0,E334*0.03)</f>
        <v>0</v>
      </c>
    </row>
    <row r="335" customFormat="false" ht="15.75" hidden="false" customHeight="true" outlineLevel="0" collapsed="false">
      <c r="A335" s="65" t="n">
        <v>45352</v>
      </c>
      <c r="B335" s="31" t="s">
        <v>11</v>
      </c>
      <c r="C335" s="32"/>
      <c r="D335" s="32"/>
      <c r="E335" s="19" t="n">
        <f aca="false">+IF(C335="EQUIPO",F335,0)</f>
        <v>0</v>
      </c>
      <c r="F335" s="33" t="n">
        <v>0</v>
      </c>
      <c r="G335" s="62"/>
      <c r="H335" s="35" t="n">
        <v>0</v>
      </c>
      <c r="I335" s="34" t="n">
        <f aca="false">+IF(E335=0,0,E335*0.03)</f>
        <v>0</v>
      </c>
    </row>
    <row r="336" customFormat="false" ht="15.75" hidden="false" customHeight="true" outlineLevel="0" collapsed="false">
      <c r="A336" s="65" t="n">
        <v>45352</v>
      </c>
      <c r="B336" s="31" t="s">
        <v>11</v>
      </c>
      <c r="C336" s="32"/>
      <c r="D336" s="32"/>
      <c r="E336" s="19" t="n">
        <f aca="false">+IF(C336="EQUIPO",F336,0)</f>
        <v>0</v>
      </c>
      <c r="F336" s="33" t="n">
        <v>0</v>
      </c>
      <c r="G336" s="62"/>
      <c r="H336" s="35" t="n">
        <v>0</v>
      </c>
      <c r="I336" s="34" t="n">
        <f aca="false">+IF(E336=0,0,E336*0.03)</f>
        <v>0</v>
      </c>
    </row>
    <row r="337" customFormat="false" ht="15.75" hidden="false" customHeight="true" outlineLevel="0" collapsed="false">
      <c r="A337" s="65" t="n">
        <v>45352</v>
      </c>
      <c r="B337" s="31" t="s">
        <v>11</v>
      </c>
      <c r="C337" s="32"/>
      <c r="D337" s="32"/>
      <c r="E337" s="19" t="n">
        <f aca="false">+IF(C337="EQUIPO",F337,0)</f>
        <v>0</v>
      </c>
      <c r="F337" s="33" t="n">
        <v>0</v>
      </c>
      <c r="G337" s="62"/>
      <c r="H337" s="35" t="n">
        <v>0</v>
      </c>
      <c r="I337" s="34" t="n">
        <f aca="false">+IF(E337=0,0,E337*0.03)</f>
        <v>0</v>
      </c>
    </row>
    <row r="338" customFormat="false" ht="15.75" hidden="false" customHeight="true" outlineLevel="0" collapsed="false">
      <c r="A338" s="65" t="n">
        <v>45352</v>
      </c>
      <c r="B338" s="31" t="s">
        <v>11</v>
      </c>
      <c r="C338" s="32"/>
      <c r="D338" s="32"/>
      <c r="E338" s="19" t="n">
        <f aca="false">+IF(C338="EQUIPO",F338,0)</f>
        <v>0</v>
      </c>
      <c r="F338" s="33" t="n">
        <v>0</v>
      </c>
      <c r="G338" s="62"/>
      <c r="H338" s="35" t="n">
        <v>0</v>
      </c>
      <c r="I338" s="34" t="n">
        <f aca="false">+IF(E338=0,0,E338*0.03)</f>
        <v>0</v>
      </c>
    </row>
    <row r="339" customFormat="false" ht="15.75" hidden="false" customHeight="true" outlineLevel="0" collapsed="false">
      <c r="A339" s="65" t="n">
        <v>45352</v>
      </c>
      <c r="B339" s="31" t="s">
        <v>11</v>
      </c>
      <c r="C339" s="32"/>
      <c r="D339" s="32"/>
      <c r="E339" s="19" t="n">
        <f aca="false">+IF(C339="EQUIPO",F339,0)</f>
        <v>0</v>
      </c>
      <c r="F339" s="33" t="n">
        <v>0</v>
      </c>
      <c r="G339" s="62"/>
      <c r="H339" s="35" t="n">
        <v>0</v>
      </c>
      <c r="I339" s="34" t="n">
        <f aca="false">+IF(E339=0,0,E339*0.03)</f>
        <v>0</v>
      </c>
    </row>
    <row r="340" customFormat="false" ht="15.75" hidden="false" customHeight="true" outlineLevel="0" collapsed="false">
      <c r="A340" s="65" t="n">
        <v>45352</v>
      </c>
      <c r="B340" s="31" t="s">
        <v>11</v>
      </c>
      <c r="C340" s="32"/>
      <c r="D340" s="32"/>
      <c r="E340" s="19" t="n">
        <f aca="false">+IF(C340="EQUIPO",F340,0)</f>
        <v>0</v>
      </c>
      <c r="F340" s="33" t="n">
        <v>0</v>
      </c>
      <c r="G340" s="62"/>
      <c r="H340" s="35" t="n">
        <v>0</v>
      </c>
      <c r="I340" s="34" t="n">
        <f aca="false">+IF(E340=0,0,E340*0.03)</f>
        <v>0</v>
      </c>
    </row>
    <row r="341" customFormat="false" ht="15.75" hidden="false" customHeight="true" outlineLevel="0" collapsed="false">
      <c r="A341" s="65" t="n">
        <v>45352</v>
      </c>
      <c r="B341" s="31" t="s">
        <v>11</v>
      </c>
      <c r="C341" s="32"/>
      <c r="D341" s="32"/>
      <c r="E341" s="19" t="n">
        <f aca="false">+IF(C341="EQUIPO",F341,0)</f>
        <v>0</v>
      </c>
      <c r="F341" s="33" t="n">
        <v>0</v>
      </c>
      <c r="G341" s="62"/>
      <c r="H341" s="35" t="n">
        <v>0</v>
      </c>
      <c r="I341" s="34" t="n">
        <f aca="false">+IF(E341=0,0,E341*0.03)</f>
        <v>0</v>
      </c>
    </row>
    <row r="342" customFormat="false" ht="15.75" hidden="false" customHeight="true" outlineLevel="0" collapsed="false">
      <c r="A342" s="65" t="n">
        <v>45352</v>
      </c>
      <c r="B342" s="31" t="s">
        <v>11</v>
      </c>
      <c r="C342" s="32"/>
      <c r="D342" s="32"/>
      <c r="E342" s="19" t="n">
        <f aca="false">+IF(C342="EQUIPO",F342,0)</f>
        <v>0</v>
      </c>
      <c r="F342" s="33" t="n">
        <v>0</v>
      </c>
      <c r="G342" s="62"/>
      <c r="H342" s="35" t="n">
        <v>0</v>
      </c>
      <c r="I342" s="34" t="n">
        <f aca="false">+IF(E342=0,0,E342*0.03)</f>
        <v>0</v>
      </c>
    </row>
    <row r="343" customFormat="false" ht="15.75" hidden="false" customHeight="true" outlineLevel="0" collapsed="false">
      <c r="A343" s="65" t="n">
        <v>45352</v>
      </c>
      <c r="B343" s="31" t="s">
        <v>11</v>
      </c>
      <c r="C343" s="32"/>
      <c r="D343" s="32"/>
      <c r="E343" s="19" t="n">
        <f aca="false">+IF(C343="EQUIPO",F343,0)</f>
        <v>0</v>
      </c>
      <c r="F343" s="33" t="n">
        <v>0</v>
      </c>
      <c r="G343" s="62"/>
      <c r="H343" s="35" t="n">
        <v>0</v>
      </c>
      <c r="I343" s="34" t="n">
        <f aca="false">+IF(E343=0,0,E343*0.03)</f>
        <v>0</v>
      </c>
    </row>
    <row r="344" customFormat="false" ht="15.75" hidden="false" customHeight="true" outlineLevel="0" collapsed="false">
      <c r="A344" s="65" t="n">
        <v>45352</v>
      </c>
      <c r="B344" s="31" t="s">
        <v>11</v>
      </c>
      <c r="C344" s="32"/>
      <c r="D344" s="32"/>
      <c r="E344" s="19" t="n">
        <f aca="false">+IF(C344="EQUIPO",F344,0)</f>
        <v>0</v>
      </c>
      <c r="F344" s="33" t="n">
        <v>0</v>
      </c>
      <c r="G344" s="62"/>
      <c r="H344" s="35" t="n">
        <v>0</v>
      </c>
      <c r="I344" s="34" t="n">
        <f aca="false">+IF(E344=0,0,E344*0.03)</f>
        <v>0</v>
      </c>
    </row>
    <row r="345" customFormat="false" ht="15.75" hidden="false" customHeight="true" outlineLevel="0" collapsed="false">
      <c r="A345" s="65" t="n">
        <v>45352</v>
      </c>
      <c r="B345" s="31" t="s">
        <v>11</v>
      </c>
      <c r="C345" s="32"/>
      <c r="D345" s="32"/>
      <c r="E345" s="19" t="n">
        <f aca="false">+IF(C345="EQUIPO",F345,0)</f>
        <v>0</v>
      </c>
      <c r="F345" s="33" t="n">
        <v>0</v>
      </c>
      <c r="G345" s="62"/>
      <c r="H345" s="35" t="n">
        <v>0</v>
      </c>
      <c r="I345" s="34" t="n">
        <f aca="false">+IF(E345=0,0,E345*0.03)</f>
        <v>0</v>
      </c>
    </row>
    <row r="346" customFormat="false" ht="15.75" hidden="false" customHeight="true" outlineLevel="0" collapsed="false">
      <c r="A346" s="65" t="n">
        <v>45352</v>
      </c>
      <c r="B346" s="31" t="s">
        <v>11</v>
      </c>
      <c r="C346" s="32"/>
      <c r="D346" s="32"/>
      <c r="E346" s="19" t="n">
        <f aca="false">+IF(C346="EQUIPO",F346,0)</f>
        <v>0</v>
      </c>
      <c r="F346" s="33" t="n">
        <v>0</v>
      </c>
      <c r="G346" s="62"/>
      <c r="H346" s="35" t="n">
        <v>0</v>
      </c>
      <c r="I346" s="34" t="n">
        <f aca="false">+IF(E346=0,0,E346*0.03)</f>
        <v>0</v>
      </c>
    </row>
    <row r="347" customFormat="false" ht="15.75" hidden="false" customHeight="true" outlineLevel="0" collapsed="false">
      <c r="A347" s="65" t="n">
        <v>45352</v>
      </c>
      <c r="B347" s="31" t="s">
        <v>11</v>
      </c>
      <c r="C347" s="32"/>
      <c r="D347" s="32"/>
      <c r="E347" s="19" t="n">
        <f aca="false">+IF(C347="EQUIPO",F347,0)</f>
        <v>0</v>
      </c>
      <c r="F347" s="33" t="n">
        <v>0</v>
      </c>
      <c r="G347" s="62"/>
      <c r="H347" s="35" t="n">
        <v>0</v>
      </c>
      <c r="I347" s="34" t="n">
        <f aca="false">+IF(E347=0,0,E347*0.03)</f>
        <v>0</v>
      </c>
    </row>
    <row r="348" customFormat="false" ht="15.75" hidden="false" customHeight="true" outlineLevel="0" collapsed="false">
      <c r="A348" s="65" t="n">
        <v>45352</v>
      </c>
      <c r="B348" s="31" t="s">
        <v>11</v>
      </c>
      <c r="C348" s="32"/>
      <c r="D348" s="32"/>
      <c r="E348" s="19" t="n">
        <f aca="false">+IF(C348="EQUIPO",F348,0)</f>
        <v>0</v>
      </c>
      <c r="F348" s="33" t="n">
        <v>0</v>
      </c>
      <c r="G348" s="62"/>
      <c r="H348" s="35" t="n">
        <v>0</v>
      </c>
      <c r="I348" s="34" t="n">
        <f aca="false">+IF(E348=0,0,E348*0.03)</f>
        <v>0</v>
      </c>
    </row>
    <row r="349" customFormat="false" ht="15.75" hidden="false" customHeight="true" outlineLevel="0" collapsed="false">
      <c r="A349" s="65" t="n">
        <v>45352</v>
      </c>
      <c r="B349" s="31" t="s">
        <v>11</v>
      </c>
      <c r="C349" s="32"/>
      <c r="D349" s="32"/>
      <c r="E349" s="19" t="n">
        <f aca="false">+IF(C349="EQUIPO",F349,0)</f>
        <v>0</v>
      </c>
      <c r="F349" s="33" t="n">
        <v>0</v>
      </c>
      <c r="G349" s="62"/>
      <c r="H349" s="35" t="n">
        <v>0</v>
      </c>
      <c r="I349" s="34" t="n">
        <f aca="false">+IF(E349=0,0,E349*0.03)</f>
        <v>0</v>
      </c>
    </row>
    <row r="350" customFormat="false" ht="15.75" hidden="false" customHeight="true" outlineLevel="0" collapsed="false">
      <c r="A350" s="65" t="n">
        <v>45352</v>
      </c>
      <c r="B350" s="31" t="s">
        <v>11</v>
      </c>
      <c r="C350" s="32"/>
      <c r="D350" s="32"/>
      <c r="E350" s="19" t="n">
        <f aca="false">+IF(C350="EQUIPO",F350,0)</f>
        <v>0</v>
      </c>
      <c r="F350" s="33" t="n">
        <v>0</v>
      </c>
      <c r="G350" s="62"/>
      <c r="H350" s="35" t="n">
        <v>0</v>
      </c>
      <c r="I350" s="34" t="n">
        <f aca="false">+IF(E350=0,0,E350*0.03)</f>
        <v>0</v>
      </c>
    </row>
    <row r="351" customFormat="false" ht="15.75" hidden="false" customHeight="true" outlineLevel="0" collapsed="false">
      <c r="A351" s="65" t="n">
        <v>45352</v>
      </c>
      <c r="B351" s="31" t="s">
        <v>11</v>
      </c>
      <c r="C351" s="32"/>
      <c r="D351" s="32"/>
      <c r="E351" s="19" t="n">
        <f aca="false">+IF(C351="EQUIPO",F351,0)</f>
        <v>0</v>
      </c>
      <c r="F351" s="33" t="n">
        <v>0</v>
      </c>
      <c r="G351" s="62"/>
      <c r="H351" s="35" t="n">
        <v>0</v>
      </c>
      <c r="I351" s="34" t="n">
        <f aca="false">+IF(E351=0,0,E351*0.03)</f>
        <v>0</v>
      </c>
    </row>
    <row r="352" customFormat="false" ht="15.75" hidden="false" customHeight="true" outlineLevel="0" collapsed="false">
      <c r="A352" s="65" t="n">
        <v>45352</v>
      </c>
      <c r="B352" s="31" t="s">
        <v>11</v>
      </c>
      <c r="C352" s="32"/>
      <c r="D352" s="32"/>
      <c r="E352" s="19" t="n">
        <f aca="false">+IF(C352="EQUIPO",F352,0)</f>
        <v>0</v>
      </c>
      <c r="F352" s="33" t="n">
        <v>0</v>
      </c>
      <c r="G352" s="62"/>
      <c r="H352" s="35" t="n">
        <v>0</v>
      </c>
      <c r="I352" s="34" t="n">
        <f aca="false">+IF(E352=0,0,E352*0.03)</f>
        <v>0</v>
      </c>
    </row>
    <row r="353" customFormat="false" ht="15.75" hidden="false" customHeight="true" outlineLevel="0" collapsed="false">
      <c r="A353" s="65" t="n">
        <v>45352</v>
      </c>
      <c r="B353" s="31" t="s">
        <v>11</v>
      </c>
      <c r="C353" s="32"/>
      <c r="D353" s="32"/>
      <c r="E353" s="19" t="n">
        <f aca="false">+IF(C353="EQUIPO",F353,0)</f>
        <v>0</v>
      </c>
      <c r="F353" s="33" t="n">
        <v>0</v>
      </c>
      <c r="G353" s="62"/>
      <c r="H353" s="35" t="n">
        <v>0</v>
      </c>
      <c r="I353" s="34" t="n">
        <f aca="false">+IF(E353=0,0,E353*0.03)</f>
        <v>0</v>
      </c>
    </row>
    <row r="354" customFormat="false" ht="15.75" hidden="false" customHeight="true" outlineLevel="0" collapsed="false">
      <c r="A354" s="65" t="n">
        <v>45352</v>
      </c>
      <c r="B354" s="31" t="s">
        <v>11</v>
      </c>
      <c r="C354" s="32"/>
      <c r="D354" s="32"/>
      <c r="E354" s="19" t="n">
        <f aca="false">+IF(C354="EQUIPO",F354,0)</f>
        <v>0</v>
      </c>
      <c r="F354" s="33" t="n">
        <v>0</v>
      </c>
      <c r="G354" s="62"/>
      <c r="H354" s="35" t="n">
        <v>0</v>
      </c>
      <c r="I354" s="34" t="n">
        <f aca="false">+IF(E354=0,0,E354*0.03)</f>
        <v>0</v>
      </c>
    </row>
    <row r="355" customFormat="false" ht="15.75" hidden="false" customHeight="true" outlineLevel="0" collapsed="false">
      <c r="A355" s="65" t="n">
        <v>45352</v>
      </c>
      <c r="B355" s="31" t="s">
        <v>11</v>
      </c>
      <c r="C355" s="32"/>
      <c r="D355" s="32"/>
      <c r="E355" s="19" t="n">
        <f aca="false">+IF(C355="EQUIPO",F355,0)</f>
        <v>0</v>
      </c>
      <c r="F355" s="33" t="n">
        <v>0</v>
      </c>
      <c r="G355" s="62"/>
      <c r="H355" s="35" t="n">
        <v>0</v>
      </c>
      <c r="I355" s="34" t="n">
        <f aca="false">+IF(E355=0,0,E355*0.03)</f>
        <v>0</v>
      </c>
    </row>
    <row r="356" customFormat="false" ht="15.75" hidden="false" customHeight="true" outlineLevel="0" collapsed="false">
      <c r="A356" s="65" t="n">
        <v>45352</v>
      </c>
      <c r="B356" s="31" t="s">
        <v>11</v>
      </c>
      <c r="C356" s="32"/>
      <c r="D356" s="32"/>
      <c r="E356" s="19" t="n">
        <f aca="false">+IF(C356="EQUIPO",F356,0)</f>
        <v>0</v>
      </c>
      <c r="F356" s="33" t="n">
        <v>0</v>
      </c>
      <c r="G356" s="62"/>
      <c r="H356" s="35" t="n">
        <v>0</v>
      </c>
      <c r="I356" s="34" t="n">
        <f aca="false">+IF(E356=0,0,E356*0.03)</f>
        <v>0</v>
      </c>
    </row>
    <row r="357" customFormat="false" ht="15.75" hidden="false" customHeight="true" outlineLevel="0" collapsed="false">
      <c r="A357" s="65" t="n">
        <v>45352</v>
      </c>
      <c r="B357" s="31" t="s">
        <v>11</v>
      </c>
      <c r="C357" s="32"/>
      <c r="D357" s="32"/>
      <c r="E357" s="19" t="n">
        <f aca="false">+IF(C357="EQUIPO",F357,0)</f>
        <v>0</v>
      </c>
      <c r="F357" s="33" t="n">
        <v>0</v>
      </c>
      <c r="G357" s="62"/>
      <c r="H357" s="35" t="n">
        <v>0</v>
      </c>
      <c r="I357" s="34" t="n">
        <f aca="false">+IF(E357=0,0,E357*0.03)</f>
        <v>0</v>
      </c>
    </row>
    <row r="358" customFormat="false" ht="15.75" hidden="false" customHeight="true" outlineLevel="0" collapsed="false">
      <c r="A358" s="65" t="n">
        <v>45352</v>
      </c>
      <c r="B358" s="31" t="s">
        <v>11</v>
      </c>
      <c r="C358" s="32"/>
      <c r="D358" s="32"/>
      <c r="E358" s="19" t="n">
        <f aca="false">+IF(C358="EQUIPO",F358,0)</f>
        <v>0</v>
      </c>
      <c r="F358" s="33" t="n">
        <v>0</v>
      </c>
      <c r="G358" s="62"/>
      <c r="H358" s="35" t="n">
        <v>0</v>
      </c>
      <c r="I358" s="34" t="n">
        <f aca="false">+IF(E358=0,0,E358*0.03)</f>
        <v>0</v>
      </c>
    </row>
    <row r="359" customFormat="false" ht="15.75" hidden="false" customHeight="true" outlineLevel="0" collapsed="false">
      <c r="A359" s="65" t="n">
        <v>45352</v>
      </c>
      <c r="B359" s="31" t="s">
        <v>11</v>
      </c>
      <c r="C359" s="32"/>
      <c r="D359" s="32"/>
      <c r="E359" s="19" t="n">
        <f aca="false">+IF(C359="EQUIPO",F359,0)</f>
        <v>0</v>
      </c>
      <c r="F359" s="33" t="n">
        <v>0</v>
      </c>
      <c r="G359" s="62"/>
      <c r="H359" s="35" t="n">
        <v>0</v>
      </c>
      <c r="I359" s="34" t="n">
        <f aca="false">+IF(E359=0,0,E359*0.03)</f>
        <v>0</v>
      </c>
    </row>
    <row r="360" customFormat="false" ht="15.75" hidden="false" customHeight="true" outlineLevel="0" collapsed="false">
      <c r="A360" s="65" t="n">
        <v>45352</v>
      </c>
      <c r="B360" s="31" t="s">
        <v>11</v>
      </c>
      <c r="C360" s="32"/>
      <c r="D360" s="32"/>
      <c r="E360" s="19" t="n">
        <f aca="false">+IF(C360="EQUIPO",F360,0)</f>
        <v>0</v>
      </c>
      <c r="F360" s="33" t="n">
        <v>0</v>
      </c>
      <c r="G360" s="62"/>
      <c r="H360" s="35" t="n">
        <v>0</v>
      </c>
      <c r="I360" s="34" t="n">
        <f aca="false">+IF(E360=0,0,E360*0.03)</f>
        <v>0</v>
      </c>
    </row>
    <row r="361" customFormat="false" ht="15.75" hidden="false" customHeight="true" outlineLevel="0" collapsed="false">
      <c r="A361" s="65" t="n">
        <v>45352</v>
      </c>
      <c r="B361" s="31" t="s">
        <v>11</v>
      </c>
      <c r="C361" s="32"/>
      <c r="D361" s="32"/>
      <c r="E361" s="19" t="n">
        <f aca="false">+IF(C361="EQUIPO",F361,0)</f>
        <v>0</v>
      </c>
      <c r="F361" s="33" t="n">
        <v>0</v>
      </c>
      <c r="G361" s="62"/>
      <c r="H361" s="35" t="n">
        <v>0</v>
      </c>
      <c r="I361" s="34" t="n">
        <f aca="false">+IF(E361=0,0,E361*0.03)</f>
        <v>0</v>
      </c>
    </row>
    <row r="362" customFormat="false" ht="15.75" hidden="false" customHeight="true" outlineLevel="0" collapsed="false">
      <c r="A362" s="65" t="n">
        <v>45352</v>
      </c>
      <c r="B362" s="31" t="s">
        <v>11</v>
      </c>
      <c r="C362" s="32"/>
      <c r="D362" s="32"/>
      <c r="E362" s="19" t="n">
        <f aca="false">+IF(C362="EQUIPO",F362,0)</f>
        <v>0</v>
      </c>
      <c r="F362" s="33" t="n">
        <v>0</v>
      </c>
      <c r="G362" s="62"/>
      <c r="H362" s="35" t="n">
        <v>0</v>
      </c>
      <c r="I362" s="34" t="n">
        <f aca="false">+IF(E362=0,0,E362*0.03)</f>
        <v>0</v>
      </c>
    </row>
    <row r="363" customFormat="false" ht="15.75" hidden="false" customHeight="true" outlineLevel="0" collapsed="false">
      <c r="A363" s="65" t="n">
        <v>45352</v>
      </c>
      <c r="B363" s="31" t="s">
        <v>11</v>
      </c>
      <c r="C363" s="32"/>
      <c r="D363" s="32"/>
      <c r="E363" s="19" t="n">
        <f aca="false">+IF(C363="EQUIPO",F363,0)</f>
        <v>0</v>
      </c>
      <c r="F363" s="33" t="n">
        <v>0</v>
      </c>
      <c r="G363" s="62"/>
      <c r="H363" s="35" t="n">
        <v>0</v>
      </c>
      <c r="I363" s="34" t="n">
        <f aca="false">+IF(E363=0,0,E363*0.03)</f>
        <v>0</v>
      </c>
    </row>
    <row r="364" customFormat="false" ht="15.75" hidden="false" customHeight="true" outlineLevel="0" collapsed="false">
      <c r="A364" s="65" t="n">
        <v>45352</v>
      </c>
      <c r="B364" s="31" t="s">
        <v>11</v>
      </c>
      <c r="C364" s="32"/>
      <c r="D364" s="32"/>
      <c r="E364" s="19" t="n">
        <f aca="false">+IF(C364="EQUIPO",F364,0)</f>
        <v>0</v>
      </c>
      <c r="F364" s="33" t="n">
        <v>0</v>
      </c>
      <c r="G364" s="62"/>
      <c r="H364" s="35" t="n">
        <v>0</v>
      </c>
      <c r="I364" s="34" t="n">
        <f aca="false">+IF(E364=0,0,E364*0.03)</f>
        <v>0</v>
      </c>
    </row>
    <row r="365" customFormat="false" ht="15.75" hidden="false" customHeight="true" outlineLevel="0" collapsed="false">
      <c r="A365" s="65" t="n">
        <v>45352</v>
      </c>
      <c r="B365" s="31" t="s">
        <v>11</v>
      </c>
      <c r="C365" s="32"/>
      <c r="D365" s="32"/>
      <c r="E365" s="19" t="n">
        <f aca="false">+IF(C365="EQUIPO",F365,0)</f>
        <v>0</v>
      </c>
      <c r="F365" s="33" t="n">
        <v>0</v>
      </c>
      <c r="G365" s="62"/>
      <c r="H365" s="35" t="n">
        <v>0</v>
      </c>
      <c r="I365" s="34" t="n">
        <f aca="false">+IF(E365=0,0,E365*0.03)</f>
        <v>0</v>
      </c>
    </row>
    <row r="366" customFormat="false" ht="15.75" hidden="false" customHeight="true" outlineLevel="0" collapsed="false">
      <c r="A366" s="65" t="n">
        <v>45352</v>
      </c>
      <c r="B366" s="31" t="s">
        <v>11</v>
      </c>
      <c r="C366" s="32"/>
      <c r="D366" s="32"/>
      <c r="E366" s="19" t="n">
        <f aca="false">+IF(C366="EQUIPO",F366,0)</f>
        <v>0</v>
      </c>
      <c r="F366" s="33" t="n">
        <v>0</v>
      </c>
      <c r="G366" s="62"/>
      <c r="H366" s="35" t="n">
        <v>0</v>
      </c>
      <c r="I366" s="34" t="n">
        <f aca="false">+IF(E366=0,0,E366*0.03)</f>
        <v>0</v>
      </c>
    </row>
    <row r="367" customFormat="false" ht="15.75" hidden="false" customHeight="true" outlineLevel="0" collapsed="false">
      <c r="A367" s="65" t="n">
        <v>45352</v>
      </c>
      <c r="B367" s="31" t="s">
        <v>11</v>
      </c>
      <c r="C367" s="32"/>
      <c r="D367" s="32"/>
      <c r="E367" s="19" t="n">
        <f aca="false">+IF(C367="EQUIPO",F367,0)</f>
        <v>0</v>
      </c>
      <c r="F367" s="33" t="n">
        <v>0</v>
      </c>
      <c r="G367" s="62"/>
      <c r="H367" s="35" t="n">
        <v>0</v>
      </c>
      <c r="I367" s="34" t="n">
        <f aca="false">+IF(E367=0,0,E367*0.03)</f>
        <v>0</v>
      </c>
    </row>
    <row r="368" customFormat="false" ht="15.75" hidden="false" customHeight="true" outlineLevel="0" collapsed="false">
      <c r="A368" s="65" t="n">
        <v>45352</v>
      </c>
      <c r="B368" s="31" t="s">
        <v>11</v>
      </c>
      <c r="C368" s="32"/>
      <c r="D368" s="32"/>
      <c r="E368" s="19" t="n">
        <f aca="false">+IF(C368="EQUIPO",F368,0)</f>
        <v>0</v>
      </c>
      <c r="F368" s="33" t="n">
        <v>0</v>
      </c>
      <c r="G368" s="62"/>
      <c r="H368" s="35" t="n">
        <v>0</v>
      </c>
      <c r="I368" s="34" t="n">
        <f aca="false">+IF(E368=0,0,E368*0.03)</f>
        <v>0</v>
      </c>
    </row>
    <row r="369" customFormat="false" ht="15.75" hidden="false" customHeight="true" outlineLevel="0" collapsed="false">
      <c r="A369" s="65" t="n">
        <v>45352</v>
      </c>
      <c r="B369" s="31" t="s">
        <v>11</v>
      </c>
      <c r="C369" s="32"/>
      <c r="D369" s="32"/>
      <c r="E369" s="19" t="n">
        <f aca="false">+IF(C369="EQUIPO",F369,0)</f>
        <v>0</v>
      </c>
      <c r="F369" s="33" t="n">
        <v>0</v>
      </c>
      <c r="G369" s="62"/>
      <c r="H369" s="35" t="n">
        <v>0</v>
      </c>
      <c r="I369" s="34" t="n">
        <f aca="false">+IF(E369=0,0,E369*0.03)</f>
        <v>0</v>
      </c>
    </row>
    <row r="370" customFormat="false" ht="15.75" hidden="false" customHeight="true" outlineLevel="0" collapsed="false">
      <c r="A370" s="65" t="n">
        <v>45352</v>
      </c>
      <c r="B370" s="31" t="s">
        <v>11</v>
      </c>
      <c r="C370" s="32"/>
      <c r="D370" s="32"/>
      <c r="E370" s="19" t="n">
        <f aca="false">+IF(C370="EQUIPO",F370,0)</f>
        <v>0</v>
      </c>
      <c r="F370" s="33" t="n">
        <v>0</v>
      </c>
      <c r="G370" s="62"/>
      <c r="H370" s="35" t="n">
        <v>0</v>
      </c>
      <c r="I370" s="34" t="n">
        <f aca="false">+IF(E370=0,0,E370*0.03)</f>
        <v>0</v>
      </c>
    </row>
    <row r="371" customFormat="false" ht="15.75" hidden="false" customHeight="true" outlineLevel="0" collapsed="false">
      <c r="A371" s="65" t="n">
        <v>45352</v>
      </c>
      <c r="B371" s="31" t="s">
        <v>11</v>
      </c>
      <c r="C371" s="32"/>
      <c r="D371" s="32"/>
      <c r="E371" s="19" t="n">
        <f aca="false">+IF(C371="EQUIPO",F371,0)</f>
        <v>0</v>
      </c>
      <c r="F371" s="33" t="n">
        <v>0</v>
      </c>
      <c r="G371" s="62"/>
      <c r="H371" s="35" t="n">
        <v>0</v>
      </c>
      <c r="I371" s="34" t="n">
        <f aca="false">+IF(E371=0,0,E371*0.03)</f>
        <v>0</v>
      </c>
    </row>
    <row r="372" customFormat="false" ht="15.75" hidden="false" customHeight="true" outlineLevel="0" collapsed="false">
      <c r="A372" s="65" t="n">
        <v>45352</v>
      </c>
      <c r="B372" s="31" t="s">
        <v>11</v>
      </c>
      <c r="C372" s="32"/>
      <c r="D372" s="32"/>
      <c r="E372" s="19" t="n">
        <f aca="false">+IF(C372="EQUIPO",F372,0)</f>
        <v>0</v>
      </c>
      <c r="F372" s="33" t="n">
        <v>0</v>
      </c>
      <c r="G372" s="62"/>
      <c r="H372" s="35" t="n">
        <v>0</v>
      </c>
      <c r="I372" s="34" t="n">
        <f aca="false">+IF(E372=0,0,E372*0.03)</f>
        <v>0</v>
      </c>
    </row>
    <row r="373" customFormat="false" ht="15.75" hidden="false" customHeight="true" outlineLevel="0" collapsed="false">
      <c r="A373" s="65" t="n">
        <v>45352</v>
      </c>
      <c r="B373" s="31" t="s">
        <v>11</v>
      </c>
      <c r="C373" s="32"/>
      <c r="D373" s="32"/>
      <c r="E373" s="19" t="n">
        <f aca="false">+IF(C373="EQUIPO",F373,0)</f>
        <v>0</v>
      </c>
      <c r="F373" s="33" t="n">
        <v>0</v>
      </c>
      <c r="G373" s="62"/>
      <c r="H373" s="35" t="n">
        <v>0</v>
      </c>
      <c r="I373" s="34" t="n">
        <f aca="false">+IF(E373=0,0,E373*0.03)</f>
        <v>0</v>
      </c>
    </row>
    <row r="374" customFormat="false" ht="15.75" hidden="false" customHeight="true" outlineLevel="0" collapsed="false">
      <c r="A374" s="65" t="n">
        <v>45352</v>
      </c>
      <c r="B374" s="31" t="s">
        <v>11</v>
      </c>
      <c r="C374" s="32"/>
      <c r="D374" s="32"/>
      <c r="E374" s="19" t="n">
        <f aca="false">+IF(C374="EQUIPO",F374,0)</f>
        <v>0</v>
      </c>
      <c r="F374" s="33" t="n">
        <v>0</v>
      </c>
      <c r="G374" s="62"/>
      <c r="H374" s="35" t="n">
        <v>0</v>
      </c>
      <c r="I374" s="34" t="n">
        <f aca="false">+IF(E374=0,0,E374*0.03)</f>
        <v>0</v>
      </c>
    </row>
    <row r="375" customFormat="false" ht="15.75" hidden="false" customHeight="true" outlineLevel="0" collapsed="false">
      <c r="A375" s="65" t="n">
        <v>45352</v>
      </c>
      <c r="B375" s="31" t="s">
        <v>11</v>
      </c>
      <c r="C375" s="32"/>
      <c r="D375" s="32"/>
      <c r="E375" s="19" t="n">
        <f aca="false">+IF(C375="EQUIPO",F375,0)</f>
        <v>0</v>
      </c>
      <c r="F375" s="33" t="n">
        <v>0</v>
      </c>
      <c r="G375" s="62"/>
      <c r="H375" s="35" t="n">
        <v>0</v>
      </c>
      <c r="I375" s="34" t="n">
        <f aca="false">+IF(E375=0,0,E375*0.03)</f>
        <v>0</v>
      </c>
    </row>
    <row r="376" customFormat="false" ht="15.75" hidden="false" customHeight="true" outlineLevel="0" collapsed="false">
      <c r="A376" s="65" t="n">
        <v>45352</v>
      </c>
      <c r="B376" s="31" t="s">
        <v>11</v>
      </c>
      <c r="C376" s="32"/>
      <c r="D376" s="32"/>
      <c r="E376" s="19" t="n">
        <f aca="false">+IF(C376="EQUIPO",F376,0)</f>
        <v>0</v>
      </c>
      <c r="F376" s="33" t="n">
        <v>0</v>
      </c>
      <c r="G376" s="62"/>
      <c r="H376" s="35" t="n">
        <v>0</v>
      </c>
      <c r="I376" s="34" t="n">
        <f aca="false">+IF(E376=0,0,E376*0.03)</f>
        <v>0</v>
      </c>
    </row>
    <row r="377" customFormat="false" ht="15.75" hidden="false" customHeight="true" outlineLevel="0" collapsed="false">
      <c r="A377" s="65" t="n">
        <v>45352</v>
      </c>
      <c r="B377" s="31" t="s">
        <v>11</v>
      </c>
      <c r="C377" s="32"/>
      <c r="D377" s="32"/>
      <c r="E377" s="19" t="n">
        <f aca="false">+IF(C377="EQUIPO",F377,0)</f>
        <v>0</v>
      </c>
      <c r="F377" s="33" t="n">
        <v>0</v>
      </c>
      <c r="G377" s="62"/>
      <c r="H377" s="35" t="n">
        <v>0</v>
      </c>
      <c r="I377" s="34" t="n">
        <f aca="false">+IF(E377=0,0,E377*0.03)</f>
        <v>0</v>
      </c>
    </row>
    <row r="378" customFormat="false" ht="15.75" hidden="false" customHeight="true" outlineLevel="0" collapsed="false">
      <c r="A378" s="65" t="n">
        <v>45352</v>
      </c>
      <c r="B378" s="31" t="s">
        <v>11</v>
      </c>
      <c r="C378" s="32"/>
      <c r="D378" s="32"/>
      <c r="E378" s="19" t="n">
        <f aca="false">+IF(C378="EQUIPO",F378,0)</f>
        <v>0</v>
      </c>
      <c r="F378" s="33" t="n">
        <v>0</v>
      </c>
      <c r="G378" s="62"/>
      <c r="H378" s="35" t="n">
        <v>0</v>
      </c>
      <c r="I378" s="34" t="n">
        <f aca="false">+IF(E378=0,0,E378*0.03)</f>
        <v>0</v>
      </c>
    </row>
    <row r="379" customFormat="false" ht="15.75" hidden="false" customHeight="true" outlineLevel="0" collapsed="false">
      <c r="A379" s="65" t="n">
        <v>45352</v>
      </c>
      <c r="B379" s="31" t="s">
        <v>11</v>
      </c>
      <c r="C379" s="32"/>
      <c r="D379" s="32"/>
      <c r="E379" s="19" t="n">
        <f aca="false">+IF(C379="EQUIPO",F379,0)</f>
        <v>0</v>
      </c>
      <c r="F379" s="33" t="n">
        <v>0</v>
      </c>
      <c r="G379" s="62"/>
      <c r="H379" s="35" t="n">
        <v>0</v>
      </c>
      <c r="I379" s="34" t="n">
        <f aca="false">+IF(E379=0,0,E379*0.03)</f>
        <v>0</v>
      </c>
    </row>
    <row r="380" customFormat="false" ht="15.75" hidden="false" customHeight="true" outlineLevel="0" collapsed="false">
      <c r="A380" s="65" t="n">
        <v>45352</v>
      </c>
      <c r="B380" s="31" t="s">
        <v>11</v>
      </c>
      <c r="C380" s="32"/>
      <c r="D380" s="32"/>
      <c r="E380" s="19" t="n">
        <f aca="false">+IF(C380="EQUIPO",F380,0)</f>
        <v>0</v>
      </c>
      <c r="F380" s="33" t="n">
        <v>0</v>
      </c>
      <c r="G380" s="62"/>
      <c r="H380" s="35" t="n">
        <v>0</v>
      </c>
      <c r="I380" s="34" t="n">
        <f aca="false">+IF(E380=0,0,E380*0.03)</f>
        <v>0</v>
      </c>
    </row>
    <row r="381" customFormat="false" ht="15.75" hidden="false" customHeight="true" outlineLevel="0" collapsed="false">
      <c r="A381" s="65" t="n">
        <v>45352</v>
      </c>
      <c r="B381" s="31" t="s">
        <v>11</v>
      </c>
      <c r="C381" s="32"/>
      <c r="D381" s="32"/>
      <c r="E381" s="19" t="n">
        <f aca="false">+IF(C381="EQUIPO",F381,0)</f>
        <v>0</v>
      </c>
      <c r="F381" s="33" t="n">
        <v>0</v>
      </c>
      <c r="G381" s="62"/>
      <c r="H381" s="35" t="n">
        <v>0</v>
      </c>
      <c r="I381" s="34" t="n">
        <f aca="false">+IF(E381=0,0,E381*0.03)</f>
        <v>0</v>
      </c>
    </row>
    <row r="382" customFormat="false" ht="15.75" hidden="false" customHeight="true" outlineLevel="0" collapsed="false">
      <c r="A382" s="65" t="n">
        <v>45352</v>
      </c>
      <c r="B382" s="31" t="s">
        <v>11</v>
      </c>
      <c r="C382" s="32"/>
      <c r="D382" s="32"/>
      <c r="E382" s="19" t="n">
        <f aca="false">+IF(C382="EQUIPO",F382,0)</f>
        <v>0</v>
      </c>
      <c r="F382" s="33" t="n">
        <v>0</v>
      </c>
      <c r="G382" s="62"/>
      <c r="H382" s="35" t="n">
        <v>0</v>
      </c>
      <c r="I382" s="34" t="n">
        <f aca="false">+IF(E382=0,0,E382*0.03)</f>
        <v>0</v>
      </c>
    </row>
    <row r="383" customFormat="false" ht="15.75" hidden="false" customHeight="true" outlineLevel="0" collapsed="false">
      <c r="A383" s="65" t="n">
        <v>45352</v>
      </c>
      <c r="B383" s="31" t="s">
        <v>11</v>
      </c>
      <c r="C383" s="32"/>
      <c r="D383" s="32"/>
      <c r="E383" s="19" t="n">
        <f aca="false">+IF(C383="EQUIPO",F383,0)</f>
        <v>0</v>
      </c>
      <c r="F383" s="33" t="n">
        <v>0</v>
      </c>
      <c r="G383" s="62"/>
      <c r="H383" s="35" t="n">
        <v>0</v>
      </c>
      <c r="I383" s="34" t="n">
        <f aca="false">+IF(E383=0,0,E383*0.03)</f>
        <v>0</v>
      </c>
    </row>
    <row r="384" customFormat="false" ht="15.75" hidden="false" customHeight="true" outlineLevel="0" collapsed="false">
      <c r="A384" s="65" t="n">
        <v>45352</v>
      </c>
      <c r="B384" s="31" t="s">
        <v>11</v>
      </c>
      <c r="C384" s="32"/>
      <c r="D384" s="32"/>
      <c r="E384" s="19" t="n">
        <f aca="false">+IF(C384="EQUIPO",F384,0)</f>
        <v>0</v>
      </c>
      <c r="F384" s="33" t="n">
        <v>0</v>
      </c>
      <c r="G384" s="62"/>
      <c r="H384" s="35" t="n">
        <v>0</v>
      </c>
      <c r="I384" s="34" t="n">
        <f aca="false">+IF(E384=0,0,E384*0.03)</f>
        <v>0</v>
      </c>
    </row>
    <row r="385" customFormat="false" ht="15.75" hidden="false" customHeight="true" outlineLevel="0" collapsed="false">
      <c r="A385" s="65" t="n">
        <v>45352</v>
      </c>
      <c r="B385" s="31" t="s">
        <v>11</v>
      </c>
      <c r="C385" s="32"/>
      <c r="D385" s="32"/>
      <c r="E385" s="19" t="n">
        <f aca="false">+IF(C385="EQUIPO",F385,0)</f>
        <v>0</v>
      </c>
      <c r="F385" s="33" t="n">
        <v>0</v>
      </c>
      <c r="G385" s="62"/>
      <c r="H385" s="35" t="n">
        <v>0</v>
      </c>
      <c r="I385" s="34" t="n">
        <f aca="false">+IF(E385=0,0,E385*0.03)</f>
        <v>0</v>
      </c>
    </row>
    <row r="386" customFormat="false" ht="15.75" hidden="false" customHeight="true" outlineLevel="0" collapsed="false">
      <c r="A386" s="65" t="n">
        <v>45352</v>
      </c>
      <c r="B386" s="31" t="s">
        <v>11</v>
      </c>
      <c r="C386" s="32"/>
      <c r="D386" s="32"/>
      <c r="E386" s="19" t="n">
        <f aca="false">+IF(C386="EQUIPO",F386,0)</f>
        <v>0</v>
      </c>
      <c r="F386" s="33" t="n">
        <v>0</v>
      </c>
      <c r="G386" s="62"/>
      <c r="H386" s="35" t="n">
        <v>0</v>
      </c>
      <c r="I386" s="34" t="n">
        <f aca="false">+IF(E386=0,0,E386*0.03)</f>
        <v>0</v>
      </c>
    </row>
    <row r="387" customFormat="false" ht="15.75" hidden="false" customHeight="true" outlineLevel="0" collapsed="false">
      <c r="A387" s="65" t="n">
        <v>45352</v>
      </c>
      <c r="B387" s="31" t="s">
        <v>11</v>
      </c>
      <c r="C387" s="32"/>
      <c r="D387" s="32"/>
      <c r="E387" s="19" t="n">
        <f aca="false">+IF(C387="EQUIPO",F387,0)</f>
        <v>0</v>
      </c>
      <c r="F387" s="33" t="n">
        <v>0</v>
      </c>
      <c r="G387" s="62"/>
      <c r="H387" s="35" t="n">
        <v>0</v>
      </c>
      <c r="I387" s="34" t="n">
        <f aca="false">+IF(E387=0,0,E387*0.03)</f>
        <v>0</v>
      </c>
    </row>
    <row r="388" customFormat="false" ht="15.75" hidden="false" customHeight="true" outlineLevel="0" collapsed="false">
      <c r="A388" s="65" t="n">
        <v>45352</v>
      </c>
      <c r="B388" s="31" t="s">
        <v>11</v>
      </c>
      <c r="C388" s="32"/>
      <c r="D388" s="32"/>
      <c r="E388" s="19" t="n">
        <f aca="false">+IF(C388="EQUIPO",F388,0)</f>
        <v>0</v>
      </c>
      <c r="F388" s="33" t="n">
        <v>0</v>
      </c>
      <c r="G388" s="62"/>
      <c r="H388" s="35" t="n">
        <v>0</v>
      </c>
      <c r="I388" s="34" t="n">
        <f aca="false">+IF(E388=0,0,E388*0.03)</f>
        <v>0</v>
      </c>
    </row>
    <row r="389" customFormat="false" ht="15.75" hidden="false" customHeight="true" outlineLevel="0" collapsed="false">
      <c r="A389" s="65" t="n">
        <v>45352</v>
      </c>
      <c r="B389" s="31" t="s">
        <v>11</v>
      </c>
      <c r="C389" s="32"/>
      <c r="D389" s="32"/>
      <c r="E389" s="19" t="n">
        <f aca="false">+IF(C389="EQUIPO",F389,0)</f>
        <v>0</v>
      </c>
      <c r="F389" s="33" t="n">
        <v>0</v>
      </c>
      <c r="G389" s="62"/>
      <c r="H389" s="35" t="n">
        <v>0</v>
      </c>
      <c r="I389" s="34" t="n">
        <f aca="false">+IF(E389=0,0,E389*0.03)</f>
        <v>0</v>
      </c>
    </row>
    <row r="390" customFormat="false" ht="15.75" hidden="false" customHeight="true" outlineLevel="0" collapsed="false">
      <c r="A390" s="65" t="n">
        <v>45352</v>
      </c>
      <c r="B390" s="31" t="s">
        <v>11</v>
      </c>
      <c r="C390" s="32"/>
      <c r="D390" s="32"/>
      <c r="E390" s="19" t="n">
        <f aca="false">+IF(C390="EQUIPO",F390,0)</f>
        <v>0</v>
      </c>
      <c r="F390" s="33" t="n">
        <v>0</v>
      </c>
      <c r="G390" s="62"/>
      <c r="H390" s="35" t="n">
        <v>0</v>
      </c>
      <c r="I390" s="34" t="n">
        <f aca="false">+IF(E390=0,0,E390*0.03)</f>
        <v>0</v>
      </c>
    </row>
    <row r="391" customFormat="false" ht="15.75" hidden="false" customHeight="true" outlineLevel="0" collapsed="false">
      <c r="A391" s="65" t="n">
        <v>45352</v>
      </c>
      <c r="B391" s="31" t="s">
        <v>11</v>
      </c>
      <c r="C391" s="32"/>
      <c r="D391" s="32"/>
      <c r="E391" s="19" t="n">
        <f aca="false">+IF(C391="EQUIPO",F391,0)</f>
        <v>0</v>
      </c>
      <c r="F391" s="33" t="n">
        <v>0</v>
      </c>
      <c r="G391" s="62"/>
      <c r="H391" s="35" t="n">
        <v>0</v>
      </c>
      <c r="I391" s="34" t="n">
        <f aca="false">+IF(E391=0,0,E391*0.03)</f>
        <v>0</v>
      </c>
    </row>
    <row r="392" customFormat="false" ht="15.75" hidden="false" customHeight="true" outlineLevel="0" collapsed="false">
      <c r="A392" s="65" t="n">
        <v>45352</v>
      </c>
      <c r="B392" s="31" t="s">
        <v>11</v>
      </c>
      <c r="C392" s="32"/>
      <c r="D392" s="32"/>
      <c r="E392" s="19" t="n">
        <f aca="false">+IF(C392="EQUIPO",F392,0)</f>
        <v>0</v>
      </c>
      <c r="F392" s="33" t="n">
        <v>0</v>
      </c>
      <c r="G392" s="62"/>
      <c r="H392" s="35" t="n">
        <v>0</v>
      </c>
      <c r="I392" s="34" t="n">
        <f aca="false">+IF(E392=0,0,E392*0.03)</f>
        <v>0</v>
      </c>
    </row>
    <row r="393" customFormat="false" ht="15.75" hidden="false" customHeight="true" outlineLevel="0" collapsed="false">
      <c r="A393" s="65" t="n">
        <v>45352</v>
      </c>
      <c r="B393" s="31" t="s">
        <v>11</v>
      </c>
      <c r="C393" s="32"/>
      <c r="D393" s="32"/>
      <c r="E393" s="19" t="n">
        <f aca="false">+IF(C393="EQUIPO",F393,0)</f>
        <v>0</v>
      </c>
      <c r="F393" s="33" t="n">
        <v>0</v>
      </c>
      <c r="G393" s="62"/>
      <c r="H393" s="35" t="n">
        <v>0</v>
      </c>
      <c r="I393" s="34" t="n">
        <f aca="false">+IF(E393=0,0,E393*0.03)</f>
        <v>0</v>
      </c>
    </row>
    <row r="394" customFormat="false" ht="15.75" hidden="false" customHeight="true" outlineLevel="0" collapsed="false">
      <c r="A394" s="65" t="n">
        <v>45352</v>
      </c>
      <c r="B394" s="31" t="s">
        <v>11</v>
      </c>
      <c r="C394" s="32"/>
      <c r="D394" s="32"/>
      <c r="E394" s="19" t="n">
        <f aca="false">+IF(C394="EQUIPO",F394,0)</f>
        <v>0</v>
      </c>
      <c r="F394" s="33" t="n">
        <v>0</v>
      </c>
      <c r="G394" s="62"/>
      <c r="H394" s="35" t="n">
        <v>0</v>
      </c>
      <c r="I394" s="34" t="n">
        <f aca="false">+IF(E394=0,0,E394*0.03)</f>
        <v>0</v>
      </c>
    </row>
    <row r="395" customFormat="false" ht="15.75" hidden="false" customHeight="true" outlineLevel="0" collapsed="false">
      <c r="A395" s="65" t="n">
        <v>45352</v>
      </c>
      <c r="B395" s="31" t="s">
        <v>11</v>
      </c>
      <c r="C395" s="32"/>
      <c r="D395" s="32"/>
      <c r="E395" s="19" t="n">
        <f aca="false">+IF(C395="EQUIPO",F395,0)</f>
        <v>0</v>
      </c>
      <c r="F395" s="33" t="n">
        <v>0</v>
      </c>
      <c r="G395" s="62"/>
      <c r="H395" s="35" t="n">
        <v>0</v>
      </c>
      <c r="I395" s="34" t="n">
        <f aca="false">+IF(E395=0,0,E395*0.03)</f>
        <v>0</v>
      </c>
    </row>
    <row r="396" customFormat="false" ht="15.75" hidden="false" customHeight="true" outlineLevel="0" collapsed="false">
      <c r="A396" s="65" t="n">
        <v>45352</v>
      </c>
      <c r="B396" s="31" t="s">
        <v>11</v>
      </c>
      <c r="C396" s="32"/>
      <c r="D396" s="32"/>
      <c r="E396" s="19" t="n">
        <f aca="false">+IF(C396="EQUIPO",F396,0)</f>
        <v>0</v>
      </c>
      <c r="F396" s="33" t="n">
        <v>0</v>
      </c>
      <c r="G396" s="62"/>
      <c r="H396" s="35" t="n">
        <v>0</v>
      </c>
      <c r="I396" s="34" t="n">
        <f aca="false">+IF(E396=0,0,E396*0.03)</f>
        <v>0</v>
      </c>
    </row>
    <row r="397" customFormat="false" ht="15.75" hidden="false" customHeight="true" outlineLevel="0" collapsed="false">
      <c r="A397" s="65" t="n">
        <v>45352</v>
      </c>
      <c r="B397" s="31" t="s">
        <v>11</v>
      </c>
      <c r="C397" s="32"/>
      <c r="D397" s="32"/>
      <c r="E397" s="19" t="n">
        <f aca="false">+IF(C397="EQUIPO",F397,0)</f>
        <v>0</v>
      </c>
      <c r="F397" s="33" t="n">
        <v>0</v>
      </c>
      <c r="G397" s="62"/>
      <c r="H397" s="35" t="n">
        <v>0</v>
      </c>
      <c r="I397" s="34" t="n">
        <f aca="false">+IF(E397=0,0,E397*0.03)</f>
        <v>0</v>
      </c>
    </row>
    <row r="398" customFormat="false" ht="15.75" hidden="false" customHeight="true" outlineLevel="0" collapsed="false">
      <c r="A398" s="65" t="n">
        <v>45352</v>
      </c>
      <c r="B398" s="31" t="s">
        <v>11</v>
      </c>
      <c r="C398" s="32"/>
      <c r="D398" s="32"/>
      <c r="E398" s="19" t="n">
        <f aca="false">+IF(C398="EQUIPO",F398,0)</f>
        <v>0</v>
      </c>
      <c r="F398" s="33" t="n">
        <v>0</v>
      </c>
      <c r="G398" s="62"/>
      <c r="H398" s="35" t="n">
        <v>0</v>
      </c>
      <c r="I398" s="34" t="n">
        <f aca="false">+IF(E398=0,0,E398*0.03)</f>
        <v>0</v>
      </c>
    </row>
    <row r="399" customFormat="false" ht="15.75" hidden="false" customHeight="true" outlineLevel="0" collapsed="false">
      <c r="A399" s="65" t="n">
        <v>45352</v>
      </c>
      <c r="B399" s="31" t="s">
        <v>11</v>
      </c>
      <c r="C399" s="32"/>
      <c r="D399" s="32"/>
      <c r="E399" s="19" t="n">
        <f aca="false">+IF(C399="EQUIPO",F399,0)</f>
        <v>0</v>
      </c>
      <c r="F399" s="33" t="n">
        <v>0</v>
      </c>
      <c r="G399" s="62"/>
      <c r="H399" s="35" t="n">
        <v>0</v>
      </c>
      <c r="I399" s="34" t="n">
        <f aca="false">+IF(E399=0,0,E399*0.03)</f>
        <v>0</v>
      </c>
    </row>
    <row r="400" customFormat="false" ht="15.75" hidden="false" customHeight="true" outlineLevel="0" collapsed="false">
      <c r="A400" s="65" t="n">
        <v>45352</v>
      </c>
      <c r="B400" s="31" t="s">
        <v>11</v>
      </c>
      <c r="C400" s="32"/>
      <c r="D400" s="32"/>
      <c r="E400" s="19" t="n">
        <f aca="false">+IF(C400="EQUIPO",F400,0)</f>
        <v>0</v>
      </c>
      <c r="F400" s="33" t="n">
        <v>0</v>
      </c>
      <c r="G400" s="62"/>
      <c r="H400" s="35" t="n">
        <v>0</v>
      </c>
      <c r="I400" s="34" t="n">
        <f aca="false">+IF(E400=0,0,E400*0.03)</f>
        <v>0</v>
      </c>
    </row>
    <row r="401" customFormat="false" ht="15.75" hidden="false" customHeight="true" outlineLevel="0" collapsed="false">
      <c r="A401" s="65" t="n">
        <v>45352</v>
      </c>
      <c r="B401" s="31" t="s">
        <v>11</v>
      </c>
      <c r="C401" s="32"/>
      <c r="D401" s="32"/>
      <c r="E401" s="19" t="n">
        <f aca="false">+IF(C401="EQUIPO",F401,0)</f>
        <v>0</v>
      </c>
      <c r="F401" s="33" t="n">
        <v>0</v>
      </c>
      <c r="G401" s="62"/>
      <c r="H401" s="35" t="n">
        <v>0</v>
      </c>
      <c r="I401" s="34" t="n">
        <f aca="false">+IF(E401=0,0,E401*0.03)</f>
        <v>0</v>
      </c>
    </row>
    <row r="402" customFormat="false" ht="15.75" hidden="false" customHeight="true" outlineLevel="0" collapsed="false">
      <c r="A402" s="65" t="n">
        <v>45352</v>
      </c>
      <c r="B402" s="31" t="s">
        <v>11</v>
      </c>
      <c r="C402" s="32"/>
      <c r="D402" s="32"/>
      <c r="E402" s="19" t="n">
        <f aca="false">+IF(C402="EQUIPO",F402,0)</f>
        <v>0</v>
      </c>
      <c r="F402" s="33" t="n">
        <v>0</v>
      </c>
      <c r="G402" s="62"/>
      <c r="H402" s="35" t="n">
        <v>0</v>
      </c>
      <c r="I402" s="34" t="n">
        <f aca="false">+IF(E402=0,0,E402*0.03)</f>
        <v>0</v>
      </c>
    </row>
    <row r="403" customFormat="false" ht="15.75" hidden="false" customHeight="true" outlineLevel="0" collapsed="false">
      <c r="A403" s="65" t="n">
        <v>45352</v>
      </c>
      <c r="B403" s="31" t="s">
        <v>11</v>
      </c>
      <c r="C403" s="32"/>
      <c r="D403" s="32"/>
      <c r="E403" s="19" t="n">
        <f aca="false">+IF(C403="EQUIPO",F403,0)</f>
        <v>0</v>
      </c>
      <c r="F403" s="33" t="n">
        <v>0</v>
      </c>
      <c r="G403" s="62"/>
      <c r="H403" s="35" t="n">
        <v>0</v>
      </c>
      <c r="I403" s="34" t="n">
        <f aca="false">+IF(E403=0,0,E403*0.03)</f>
        <v>0</v>
      </c>
    </row>
    <row r="404" customFormat="false" ht="15.75" hidden="false" customHeight="true" outlineLevel="0" collapsed="false">
      <c r="A404" s="65" t="n">
        <v>45352</v>
      </c>
      <c r="B404" s="31" t="s">
        <v>11</v>
      </c>
      <c r="C404" s="32"/>
      <c r="D404" s="32"/>
      <c r="E404" s="19" t="n">
        <f aca="false">+IF(C404="EQUIPO",F404,0)</f>
        <v>0</v>
      </c>
      <c r="F404" s="33" t="n">
        <v>0</v>
      </c>
      <c r="G404" s="62"/>
      <c r="H404" s="35" t="n">
        <v>0</v>
      </c>
      <c r="I404" s="34" t="n">
        <f aca="false">+IF(E404=0,0,E404*0.03)</f>
        <v>0</v>
      </c>
    </row>
    <row r="405" customFormat="false" ht="15.75" hidden="false" customHeight="true" outlineLevel="0" collapsed="false">
      <c r="A405" s="65" t="n">
        <v>45352</v>
      </c>
      <c r="B405" s="31" t="s">
        <v>11</v>
      </c>
      <c r="C405" s="32"/>
      <c r="D405" s="32"/>
      <c r="E405" s="19" t="n">
        <f aca="false">+IF(C405="EQUIPO",F405,0)</f>
        <v>0</v>
      </c>
      <c r="F405" s="33" t="n">
        <v>0</v>
      </c>
      <c r="G405" s="62"/>
      <c r="H405" s="35" t="n">
        <v>0</v>
      </c>
      <c r="I405" s="34" t="n">
        <f aca="false">+IF(E405=0,0,E405*0.03)</f>
        <v>0</v>
      </c>
    </row>
    <row r="406" customFormat="false" ht="15.75" hidden="false" customHeight="true" outlineLevel="0" collapsed="false">
      <c r="A406" s="65" t="n">
        <v>45352</v>
      </c>
      <c r="B406" s="31" t="s">
        <v>11</v>
      </c>
      <c r="C406" s="32"/>
      <c r="D406" s="32"/>
      <c r="E406" s="19" t="n">
        <f aca="false">+IF(C406="EQUIPO",F406,0)</f>
        <v>0</v>
      </c>
      <c r="F406" s="33" t="n">
        <v>0</v>
      </c>
      <c r="G406" s="62"/>
      <c r="H406" s="35" t="n">
        <v>0</v>
      </c>
      <c r="I406" s="34" t="n">
        <f aca="false">+IF(E406=0,0,E406*0.03)</f>
        <v>0</v>
      </c>
    </row>
    <row r="407" customFormat="false" ht="15.75" hidden="false" customHeight="true" outlineLevel="0" collapsed="false">
      <c r="A407" s="65" t="n">
        <v>45352</v>
      </c>
      <c r="B407" s="31" t="s">
        <v>11</v>
      </c>
      <c r="C407" s="32"/>
      <c r="D407" s="32"/>
      <c r="E407" s="19" t="n">
        <f aca="false">+IF(C407="EQUIPO",F407,0)</f>
        <v>0</v>
      </c>
      <c r="F407" s="33" t="n">
        <v>0</v>
      </c>
      <c r="G407" s="62"/>
      <c r="H407" s="35" t="n">
        <v>0</v>
      </c>
      <c r="I407" s="34" t="n">
        <f aca="false">+IF(E407=0,0,E407*0.03)</f>
        <v>0</v>
      </c>
    </row>
    <row r="408" customFormat="false" ht="15.75" hidden="false" customHeight="true" outlineLevel="0" collapsed="false">
      <c r="A408" s="65" t="n">
        <v>45352</v>
      </c>
      <c r="B408" s="31" t="s">
        <v>11</v>
      </c>
      <c r="C408" s="32"/>
      <c r="D408" s="32"/>
      <c r="E408" s="19" t="n">
        <f aca="false">+IF(C408="EQUIPO",F408,0)</f>
        <v>0</v>
      </c>
      <c r="F408" s="33" t="n">
        <v>0</v>
      </c>
      <c r="G408" s="62"/>
      <c r="H408" s="35" t="n">
        <v>0</v>
      </c>
      <c r="I408" s="34" t="n">
        <f aca="false">+IF(E408=0,0,E408*0.03)</f>
        <v>0</v>
      </c>
    </row>
    <row r="409" customFormat="false" ht="15.75" hidden="false" customHeight="true" outlineLevel="0" collapsed="false">
      <c r="A409" s="65" t="n">
        <v>45352</v>
      </c>
      <c r="B409" s="31" t="s">
        <v>11</v>
      </c>
      <c r="C409" s="32"/>
      <c r="D409" s="32"/>
      <c r="E409" s="19" t="n">
        <f aca="false">+IF(C409="EQUIPO",F409,0)</f>
        <v>0</v>
      </c>
      <c r="F409" s="33" t="n">
        <v>0</v>
      </c>
      <c r="G409" s="62"/>
      <c r="H409" s="35" t="n">
        <v>0</v>
      </c>
      <c r="I409" s="34" t="n">
        <f aca="false">+IF(E409=0,0,E409*0.03)</f>
        <v>0</v>
      </c>
    </row>
    <row r="410" customFormat="false" ht="15.75" hidden="false" customHeight="true" outlineLevel="0" collapsed="false">
      <c r="A410" s="65" t="n">
        <v>45352</v>
      </c>
      <c r="B410" s="31" t="s">
        <v>11</v>
      </c>
      <c r="C410" s="32"/>
      <c r="D410" s="32"/>
      <c r="E410" s="19" t="n">
        <f aca="false">+IF(C410="EQUIPO",F410,0)</f>
        <v>0</v>
      </c>
      <c r="F410" s="33" t="n">
        <v>0</v>
      </c>
      <c r="G410" s="62"/>
      <c r="H410" s="35" t="n">
        <v>0</v>
      </c>
      <c r="I410" s="34" t="n">
        <f aca="false">+IF(E410=0,0,E410*0.03)</f>
        <v>0</v>
      </c>
    </row>
    <row r="411" customFormat="false" ht="15.75" hidden="false" customHeight="true" outlineLevel="0" collapsed="false">
      <c r="A411" s="65" t="n">
        <v>45352</v>
      </c>
      <c r="B411" s="31" t="s">
        <v>11</v>
      </c>
      <c r="C411" s="32"/>
      <c r="D411" s="32"/>
      <c r="E411" s="19" t="n">
        <f aca="false">+IF(C411="EQUIPO",F411,0)</f>
        <v>0</v>
      </c>
      <c r="F411" s="33" t="n">
        <v>0</v>
      </c>
      <c r="G411" s="62"/>
      <c r="H411" s="35" t="n">
        <v>0</v>
      </c>
      <c r="I411" s="34" t="n">
        <f aca="false">+IF(E411=0,0,E411*0.03)</f>
        <v>0</v>
      </c>
    </row>
    <row r="412" customFormat="false" ht="15.75" hidden="false" customHeight="true" outlineLevel="0" collapsed="false">
      <c r="A412" s="65" t="n">
        <v>45352</v>
      </c>
      <c r="B412" s="31" t="s">
        <v>11</v>
      </c>
      <c r="C412" s="32"/>
      <c r="D412" s="32"/>
      <c r="E412" s="19" t="n">
        <f aca="false">+IF(C412="EQUIPO",F412,0)</f>
        <v>0</v>
      </c>
      <c r="F412" s="33" t="n">
        <v>0</v>
      </c>
      <c r="G412" s="62"/>
      <c r="H412" s="35" t="n">
        <v>0</v>
      </c>
      <c r="I412" s="34" t="n">
        <f aca="false">+IF(E412=0,0,E412*0.03)</f>
        <v>0</v>
      </c>
    </row>
    <row r="413" customFormat="false" ht="15.75" hidden="false" customHeight="true" outlineLevel="0" collapsed="false">
      <c r="A413" s="65" t="n">
        <v>45352</v>
      </c>
      <c r="B413" s="31" t="s">
        <v>11</v>
      </c>
      <c r="C413" s="32"/>
      <c r="D413" s="32"/>
      <c r="E413" s="19" t="n">
        <f aca="false">+IF(C413="EQUIPO",F413,0)</f>
        <v>0</v>
      </c>
      <c r="F413" s="33" t="n">
        <v>0</v>
      </c>
      <c r="G413" s="62"/>
      <c r="H413" s="35" t="n">
        <v>0</v>
      </c>
      <c r="I413" s="34" t="n">
        <f aca="false">+IF(E413=0,0,E413*0.03)</f>
        <v>0</v>
      </c>
    </row>
    <row r="414" customFormat="false" ht="15.75" hidden="false" customHeight="true" outlineLevel="0" collapsed="false">
      <c r="A414" s="65" t="n">
        <v>45352</v>
      </c>
      <c r="B414" s="31" t="s">
        <v>11</v>
      </c>
      <c r="C414" s="32"/>
      <c r="D414" s="32"/>
      <c r="E414" s="19" t="n">
        <f aca="false">+IF(C414="EQUIPO",F414,0)</f>
        <v>0</v>
      </c>
      <c r="F414" s="33" t="n">
        <v>0</v>
      </c>
      <c r="G414" s="62"/>
      <c r="H414" s="35" t="n">
        <v>0</v>
      </c>
      <c r="I414" s="34" t="n">
        <f aca="false">+IF(E414=0,0,E414*0.03)</f>
        <v>0</v>
      </c>
    </row>
    <row r="415" customFormat="false" ht="15.75" hidden="false" customHeight="true" outlineLevel="0" collapsed="false">
      <c r="A415" s="65" t="n">
        <v>45352</v>
      </c>
      <c r="B415" s="31" t="s">
        <v>11</v>
      </c>
      <c r="C415" s="32"/>
      <c r="D415" s="32"/>
      <c r="E415" s="19" t="n">
        <f aca="false">+IF(C415="EQUIPO",F415,0)</f>
        <v>0</v>
      </c>
      <c r="F415" s="33" t="n">
        <v>0</v>
      </c>
      <c r="G415" s="62"/>
      <c r="H415" s="35" t="n">
        <v>0</v>
      </c>
      <c r="I415" s="34" t="n">
        <f aca="false">+IF(E415=0,0,E415*0.03)</f>
        <v>0</v>
      </c>
    </row>
    <row r="416" customFormat="false" ht="15.75" hidden="false" customHeight="true" outlineLevel="0" collapsed="false">
      <c r="A416" s="65" t="n">
        <v>45352</v>
      </c>
      <c r="B416" s="31" t="s">
        <v>11</v>
      </c>
      <c r="C416" s="32"/>
      <c r="D416" s="32"/>
      <c r="E416" s="19" t="n">
        <f aca="false">+IF(C416="EQUIPO",F416,0)</f>
        <v>0</v>
      </c>
      <c r="F416" s="33" t="n">
        <v>0</v>
      </c>
      <c r="G416" s="62"/>
      <c r="H416" s="35" t="n">
        <v>0</v>
      </c>
      <c r="I416" s="34" t="n">
        <f aca="false">+IF(E416=0,0,E416*0.03)</f>
        <v>0</v>
      </c>
    </row>
    <row r="417" customFormat="false" ht="15.75" hidden="false" customHeight="true" outlineLevel="0" collapsed="false">
      <c r="A417" s="65" t="n">
        <v>45352</v>
      </c>
      <c r="B417" s="31" t="s">
        <v>11</v>
      </c>
      <c r="C417" s="32"/>
      <c r="D417" s="32"/>
      <c r="E417" s="19" t="n">
        <f aca="false">+IF(C417="EQUIPO",F417,0)</f>
        <v>0</v>
      </c>
      <c r="F417" s="33" t="n">
        <v>0</v>
      </c>
      <c r="G417" s="62"/>
      <c r="H417" s="35" t="n">
        <v>0</v>
      </c>
      <c r="I417" s="34" t="n">
        <f aca="false">+IF(E417=0,0,E417*0.03)</f>
        <v>0</v>
      </c>
    </row>
    <row r="418" customFormat="false" ht="15.75" hidden="false" customHeight="true" outlineLevel="0" collapsed="false">
      <c r="A418" s="65" t="n">
        <v>45352</v>
      </c>
      <c r="B418" s="31" t="s">
        <v>11</v>
      </c>
      <c r="C418" s="32"/>
      <c r="D418" s="32"/>
      <c r="E418" s="19" t="n">
        <f aca="false">+IF(C418="EQUIPO",F418,0)</f>
        <v>0</v>
      </c>
      <c r="F418" s="33" t="n">
        <v>0</v>
      </c>
      <c r="G418" s="62"/>
      <c r="H418" s="35" t="n">
        <v>0</v>
      </c>
      <c r="I418" s="34" t="n">
        <f aca="false">+IF(E418=0,0,E418*0.03)</f>
        <v>0</v>
      </c>
    </row>
    <row r="419" customFormat="false" ht="15.75" hidden="false" customHeight="true" outlineLevel="0" collapsed="false">
      <c r="A419" s="65" t="n">
        <v>45352</v>
      </c>
      <c r="B419" s="31" t="s">
        <v>11</v>
      </c>
      <c r="C419" s="32"/>
      <c r="D419" s="32"/>
      <c r="E419" s="19" t="n">
        <f aca="false">+IF(C419="EQUIPO",F419,0)</f>
        <v>0</v>
      </c>
      <c r="F419" s="33" t="n">
        <v>0</v>
      </c>
      <c r="G419" s="62"/>
      <c r="H419" s="35" t="n">
        <v>0</v>
      </c>
      <c r="I419" s="34" t="n">
        <f aca="false">+IF(E419=0,0,E419*0.03)</f>
        <v>0</v>
      </c>
    </row>
    <row r="420" customFormat="false" ht="15.75" hidden="false" customHeight="true" outlineLevel="0" collapsed="false">
      <c r="A420" s="65" t="n">
        <v>45352</v>
      </c>
      <c r="B420" s="31" t="s">
        <v>11</v>
      </c>
      <c r="C420" s="32"/>
      <c r="D420" s="32"/>
      <c r="E420" s="19" t="n">
        <f aca="false">+IF(C420="EQUIPO",F420,0)</f>
        <v>0</v>
      </c>
      <c r="F420" s="33" t="n">
        <v>0</v>
      </c>
      <c r="G420" s="62"/>
      <c r="H420" s="35" t="n">
        <v>0</v>
      </c>
      <c r="I420" s="34" t="n">
        <f aca="false">+IF(E420=0,0,E420*0.03)</f>
        <v>0</v>
      </c>
    </row>
    <row r="421" customFormat="false" ht="15.75" hidden="false" customHeight="true" outlineLevel="0" collapsed="false">
      <c r="A421" s="65" t="n">
        <v>45352</v>
      </c>
      <c r="B421" s="31" t="s">
        <v>11</v>
      </c>
      <c r="C421" s="32"/>
      <c r="D421" s="32"/>
      <c r="E421" s="19" t="n">
        <f aca="false">+IF(C421="EQUIPO",F421,0)</f>
        <v>0</v>
      </c>
      <c r="F421" s="33" t="n">
        <v>0</v>
      </c>
      <c r="G421" s="62"/>
      <c r="H421" s="35" t="n">
        <v>0</v>
      </c>
      <c r="I421" s="34" t="n">
        <f aca="false">+IF(E421=0,0,E421*0.03)</f>
        <v>0</v>
      </c>
    </row>
    <row r="422" customFormat="false" ht="15.75" hidden="false" customHeight="true" outlineLevel="0" collapsed="false">
      <c r="A422" s="65" t="n">
        <v>45352</v>
      </c>
      <c r="B422" s="31" t="s">
        <v>11</v>
      </c>
      <c r="C422" s="32"/>
      <c r="D422" s="32"/>
      <c r="E422" s="19" t="n">
        <f aca="false">+IF(C422="EQUIPO",F422,0)</f>
        <v>0</v>
      </c>
      <c r="F422" s="33" t="n">
        <v>0</v>
      </c>
      <c r="G422" s="62"/>
      <c r="H422" s="35" t="n">
        <v>0</v>
      </c>
      <c r="I422" s="34" t="n">
        <f aca="false">+IF(E422=0,0,E422*0.03)</f>
        <v>0</v>
      </c>
    </row>
    <row r="423" customFormat="false" ht="15.75" hidden="false" customHeight="true" outlineLevel="0" collapsed="false">
      <c r="A423" s="65" t="n">
        <v>45352</v>
      </c>
      <c r="B423" s="31" t="s">
        <v>11</v>
      </c>
      <c r="C423" s="32"/>
      <c r="D423" s="32"/>
      <c r="E423" s="19" t="n">
        <f aca="false">+IF(C423="EQUIPO",F423,0)</f>
        <v>0</v>
      </c>
      <c r="F423" s="33" t="n">
        <v>0</v>
      </c>
      <c r="G423" s="62"/>
      <c r="H423" s="35" t="n">
        <v>0</v>
      </c>
      <c r="I423" s="34" t="n">
        <f aca="false">+IF(E423=0,0,E423*0.03)</f>
        <v>0</v>
      </c>
    </row>
    <row r="424" customFormat="false" ht="15.75" hidden="false" customHeight="true" outlineLevel="0" collapsed="false">
      <c r="A424" s="65" t="n">
        <v>45352</v>
      </c>
      <c r="B424" s="31" t="s">
        <v>11</v>
      </c>
      <c r="C424" s="32"/>
      <c r="D424" s="32"/>
      <c r="E424" s="19" t="n">
        <f aca="false">+IF(C424="EQUIPO",F424,0)</f>
        <v>0</v>
      </c>
      <c r="F424" s="33" t="n">
        <v>0</v>
      </c>
      <c r="G424" s="62"/>
      <c r="H424" s="35" t="n">
        <v>0</v>
      </c>
      <c r="I424" s="34" t="n">
        <f aca="false">+IF(E424=0,0,E424*0.03)</f>
        <v>0</v>
      </c>
    </row>
    <row r="425" customFormat="false" ht="15.75" hidden="false" customHeight="true" outlineLevel="0" collapsed="false">
      <c r="A425" s="65" t="n">
        <v>45352</v>
      </c>
      <c r="B425" s="31" t="s">
        <v>11</v>
      </c>
      <c r="C425" s="32"/>
      <c r="D425" s="32"/>
      <c r="E425" s="19" t="n">
        <f aca="false">+IF(C425="EQUIPO",F425,0)</f>
        <v>0</v>
      </c>
      <c r="F425" s="33" t="n">
        <v>0</v>
      </c>
      <c r="G425" s="62"/>
      <c r="H425" s="35" t="n">
        <v>0</v>
      </c>
      <c r="I425" s="34" t="n">
        <f aca="false">+IF(E425=0,0,E425*0.03)</f>
        <v>0</v>
      </c>
    </row>
    <row r="426" customFormat="false" ht="15.75" hidden="false" customHeight="true" outlineLevel="0" collapsed="false">
      <c r="A426" s="65" t="n">
        <v>45352</v>
      </c>
      <c r="B426" s="31" t="s">
        <v>11</v>
      </c>
      <c r="C426" s="32"/>
      <c r="D426" s="32"/>
      <c r="E426" s="19" t="n">
        <f aca="false">+IF(C426="EQUIPO",F426,0)</f>
        <v>0</v>
      </c>
      <c r="F426" s="33" t="n">
        <v>0</v>
      </c>
      <c r="G426" s="62"/>
      <c r="H426" s="35" t="n">
        <v>0</v>
      </c>
      <c r="I426" s="34" t="n">
        <f aca="false">+IF(E426=0,0,E426*0.03)</f>
        <v>0</v>
      </c>
    </row>
    <row r="427" customFormat="false" ht="15.75" hidden="false" customHeight="true" outlineLevel="0" collapsed="false">
      <c r="A427" s="65" t="n">
        <v>45352</v>
      </c>
      <c r="B427" s="31" t="s">
        <v>11</v>
      </c>
      <c r="C427" s="32"/>
      <c r="D427" s="32"/>
      <c r="E427" s="19" t="n">
        <f aca="false">+IF(C427="EQUIPO",F427,0)</f>
        <v>0</v>
      </c>
      <c r="F427" s="33" t="n">
        <v>0</v>
      </c>
      <c r="G427" s="62"/>
      <c r="H427" s="35" t="n">
        <v>0</v>
      </c>
      <c r="I427" s="34" t="n">
        <f aca="false">+IF(E427=0,0,E427*0.03)</f>
        <v>0</v>
      </c>
    </row>
    <row r="428" customFormat="false" ht="15.75" hidden="false" customHeight="true" outlineLevel="0" collapsed="false">
      <c r="A428" s="65" t="n">
        <v>45352</v>
      </c>
      <c r="B428" s="31" t="s">
        <v>11</v>
      </c>
      <c r="C428" s="32"/>
      <c r="D428" s="32"/>
      <c r="E428" s="19" t="n">
        <f aca="false">+IF(C428="EQUIPO",F428,0)</f>
        <v>0</v>
      </c>
      <c r="F428" s="33" t="n">
        <v>0</v>
      </c>
      <c r="G428" s="62"/>
      <c r="H428" s="35" t="n">
        <v>0</v>
      </c>
      <c r="I428" s="34" t="n">
        <f aca="false">+IF(E428=0,0,E428*0.03)</f>
        <v>0</v>
      </c>
    </row>
    <row r="429" customFormat="false" ht="15.75" hidden="false" customHeight="true" outlineLevel="0" collapsed="false">
      <c r="A429" s="65" t="n">
        <v>45352</v>
      </c>
      <c r="B429" s="31" t="s">
        <v>11</v>
      </c>
      <c r="C429" s="32"/>
      <c r="D429" s="32"/>
      <c r="E429" s="19" t="n">
        <f aca="false">+IF(C429="EQUIPO",F429,0)</f>
        <v>0</v>
      </c>
      <c r="F429" s="33" t="n">
        <v>0</v>
      </c>
      <c r="G429" s="62"/>
      <c r="H429" s="35" t="n">
        <v>0</v>
      </c>
      <c r="I429" s="34" t="n">
        <f aca="false">+IF(E429=0,0,E429*0.03)</f>
        <v>0</v>
      </c>
    </row>
    <row r="430" customFormat="false" ht="15.75" hidden="false" customHeight="true" outlineLevel="0" collapsed="false">
      <c r="A430" s="65" t="n">
        <v>45352</v>
      </c>
      <c r="B430" s="31" t="s">
        <v>11</v>
      </c>
      <c r="C430" s="32"/>
      <c r="D430" s="32"/>
      <c r="E430" s="19" t="n">
        <f aca="false">+IF(C430="EQUIPO",F430,0)</f>
        <v>0</v>
      </c>
      <c r="F430" s="33" t="n">
        <v>0</v>
      </c>
      <c r="G430" s="62"/>
      <c r="H430" s="35" t="n">
        <v>0</v>
      </c>
      <c r="I430" s="34" t="n">
        <f aca="false">+IF(E430=0,0,E430*0.03)</f>
        <v>0</v>
      </c>
    </row>
    <row r="431" customFormat="false" ht="15.75" hidden="false" customHeight="true" outlineLevel="0" collapsed="false">
      <c r="A431" s="65" t="n">
        <v>45352</v>
      </c>
      <c r="B431" s="31" t="s">
        <v>11</v>
      </c>
      <c r="C431" s="32"/>
      <c r="D431" s="32"/>
      <c r="E431" s="19" t="n">
        <f aca="false">+IF(C431="EQUIPO",F431,0)</f>
        <v>0</v>
      </c>
      <c r="F431" s="33" t="n">
        <v>0</v>
      </c>
      <c r="G431" s="62"/>
      <c r="H431" s="35" t="n">
        <v>0</v>
      </c>
      <c r="I431" s="34" t="n">
        <f aca="false">+IF(E431=0,0,E431*0.03)</f>
        <v>0</v>
      </c>
    </row>
    <row r="432" customFormat="false" ht="15.75" hidden="false" customHeight="true" outlineLevel="0" collapsed="false">
      <c r="A432" s="65" t="n">
        <v>45352</v>
      </c>
      <c r="B432" s="31" t="s">
        <v>11</v>
      </c>
      <c r="C432" s="32"/>
      <c r="D432" s="32"/>
      <c r="E432" s="19" t="n">
        <f aca="false">+IF(C432="EQUIPO",F432,0)</f>
        <v>0</v>
      </c>
      <c r="F432" s="33" t="n">
        <v>0</v>
      </c>
      <c r="G432" s="62"/>
      <c r="H432" s="35" t="n">
        <v>0</v>
      </c>
      <c r="I432" s="34" t="n">
        <f aca="false">+IF(E432=0,0,E432*0.03)</f>
        <v>0</v>
      </c>
    </row>
    <row r="433" customFormat="false" ht="15.75" hidden="false" customHeight="true" outlineLevel="0" collapsed="false">
      <c r="A433" s="65" t="n">
        <v>45352</v>
      </c>
      <c r="B433" s="31" t="s">
        <v>11</v>
      </c>
      <c r="C433" s="32"/>
      <c r="D433" s="32"/>
      <c r="E433" s="19" t="n">
        <f aca="false">+IF(C433="EQUIPO",F433,0)</f>
        <v>0</v>
      </c>
      <c r="F433" s="33" t="n">
        <v>0</v>
      </c>
      <c r="G433" s="62"/>
      <c r="H433" s="35" t="n">
        <v>0</v>
      </c>
      <c r="I433" s="34" t="n">
        <f aca="false">+IF(E433=0,0,E433*0.03)</f>
        <v>0</v>
      </c>
    </row>
    <row r="434" customFormat="false" ht="15.75" hidden="false" customHeight="true" outlineLevel="0" collapsed="false">
      <c r="A434" s="65" t="n">
        <v>45352</v>
      </c>
      <c r="B434" s="31" t="s">
        <v>11</v>
      </c>
      <c r="C434" s="32"/>
      <c r="D434" s="32"/>
      <c r="E434" s="19" t="n">
        <f aca="false">+IF(C434="EQUIPO",F434,0)</f>
        <v>0</v>
      </c>
      <c r="F434" s="33" t="n">
        <v>0</v>
      </c>
      <c r="G434" s="62"/>
      <c r="H434" s="35" t="n">
        <v>0</v>
      </c>
      <c r="I434" s="34" t="n">
        <f aca="false">+IF(E434=0,0,E434*0.03)</f>
        <v>0</v>
      </c>
    </row>
    <row r="435" customFormat="false" ht="15.75" hidden="false" customHeight="true" outlineLevel="0" collapsed="false">
      <c r="A435" s="65" t="n">
        <v>45352</v>
      </c>
      <c r="B435" s="31" t="s">
        <v>11</v>
      </c>
      <c r="C435" s="32"/>
      <c r="D435" s="32"/>
      <c r="E435" s="19" t="n">
        <f aca="false">+IF(C435="EQUIPO",F435,0)</f>
        <v>0</v>
      </c>
      <c r="F435" s="33" t="n">
        <v>0</v>
      </c>
      <c r="G435" s="62"/>
      <c r="H435" s="35" t="n">
        <v>0</v>
      </c>
      <c r="I435" s="34" t="n">
        <f aca="false">+IF(E435=0,0,E435*0.03)</f>
        <v>0</v>
      </c>
    </row>
    <row r="436" customFormat="false" ht="15.75" hidden="false" customHeight="true" outlineLevel="0" collapsed="false">
      <c r="A436" s="65" t="n">
        <v>45352</v>
      </c>
      <c r="B436" s="31" t="s">
        <v>11</v>
      </c>
      <c r="C436" s="32"/>
      <c r="D436" s="32"/>
      <c r="E436" s="19" t="n">
        <f aca="false">+IF(C436="EQUIPO",F436,0)</f>
        <v>0</v>
      </c>
      <c r="F436" s="33" t="n">
        <v>0</v>
      </c>
      <c r="G436" s="62"/>
      <c r="H436" s="35" t="n">
        <v>0</v>
      </c>
      <c r="I436" s="34" t="n">
        <f aca="false">+IF(E436=0,0,E436*0.03)</f>
        <v>0</v>
      </c>
    </row>
    <row r="437" customFormat="false" ht="15.75" hidden="false" customHeight="true" outlineLevel="0" collapsed="false">
      <c r="A437" s="65" t="n">
        <v>45352</v>
      </c>
      <c r="B437" s="31" t="s">
        <v>11</v>
      </c>
      <c r="C437" s="32"/>
      <c r="D437" s="32"/>
      <c r="E437" s="19" t="n">
        <f aca="false">+IF(C437="EQUIPO",F437,0)</f>
        <v>0</v>
      </c>
      <c r="F437" s="33" t="n">
        <v>0</v>
      </c>
      <c r="G437" s="62"/>
      <c r="H437" s="35" t="n">
        <v>0</v>
      </c>
      <c r="I437" s="34" t="n">
        <f aca="false">+IF(E437=0,0,E437*0.03)</f>
        <v>0</v>
      </c>
    </row>
    <row r="438" customFormat="false" ht="15.75" hidden="false" customHeight="true" outlineLevel="0" collapsed="false">
      <c r="A438" s="65" t="n">
        <v>45352</v>
      </c>
      <c r="B438" s="31" t="s">
        <v>11</v>
      </c>
      <c r="C438" s="32"/>
      <c r="D438" s="32"/>
      <c r="E438" s="19" t="n">
        <f aca="false">+IF(C438="EQUIPO",F438,0)</f>
        <v>0</v>
      </c>
      <c r="F438" s="33" t="n">
        <v>0</v>
      </c>
      <c r="G438" s="62"/>
      <c r="H438" s="35" t="n">
        <v>0</v>
      </c>
      <c r="I438" s="34" t="n">
        <f aca="false">+IF(E438=0,0,E438*0.03)</f>
        <v>0</v>
      </c>
    </row>
    <row r="439" customFormat="false" ht="15.75" hidden="false" customHeight="true" outlineLevel="0" collapsed="false">
      <c r="A439" s="65" t="n">
        <v>45352</v>
      </c>
      <c r="B439" s="31" t="s">
        <v>11</v>
      </c>
      <c r="C439" s="32"/>
      <c r="D439" s="32"/>
      <c r="E439" s="19" t="n">
        <f aca="false">+IF(C439="EQUIPO",F439,0)</f>
        <v>0</v>
      </c>
      <c r="F439" s="33" t="n">
        <v>0</v>
      </c>
      <c r="G439" s="62"/>
      <c r="H439" s="35" t="n">
        <v>0</v>
      </c>
      <c r="I439" s="34" t="n">
        <f aca="false">+IF(E439=0,0,E439*0.03)</f>
        <v>0</v>
      </c>
    </row>
    <row r="440" customFormat="false" ht="15.75" hidden="false" customHeight="true" outlineLevel="0" collapsed="false">
      <c r="A440" s="65" t="n">
        <v>45352</v>
      </c>
      <c r="B440" s="31" t="s">
        <v>11</v>
      </c>
      <c r="C440" s="32"/>
      <c r="D440" s="32"/>
      <c r="E440" s="19" t="n">
        <f aca="false">+IF(C440="EQUIPO",F440,0)</f>
        <v>0</v>
      </c>
      <c r="F440" s="33" t="n">
        <v>0</v>
      </c>
      <c r="G440" s="62"/>
      <c r="H440" s="35" t="n">
        <v>0</v>
      </c>
      <c r="I440" s="34" t="n">
        <f aca="false">+IF(E440=0,0,E440*0.03)</f>
        <v>0</v>
      </c>
    </row>
    <row r="441" customFormat="false" ht="15.75" hidden="false" customHeight="true" outlineLevel="0" collapsed="false">
      <c r="A441" s="65" t="n">
        <v>45352</v>
      </c>
      <c r="B441" s="31" t="s">
        <v>11</v>
      </c>
      <c r="C441" s="32"/>
      <c r="D441" s="32"/>
      <c r="E441" s="19" t="n">
        <f aca="false">+IF(C441="EQUIPO",F441,0)</f>
        <v>0</v>
      </c>
      <c r="F441" s="33" t="n">
        <v>0</v>
      </c>
      <c r="G441" s="62"/>
      <c r="H441" s="35" t="n">
        <v>0</v>
      </c>
      <c r="I441" s="34" t="n">
        <f aca="false">+IF(E441=0,0,E441*0.03)</f>
        <v>0</v>
      </c>
    </row>
    <row r="442" customFormat="false" ht="15.75" hidden="false" customHeight="true" outlineLevel="0" collapsed="false">
      <c r="A442" s="65" t="n">
        <v>45352</v>
      </c>
      <c r="B442" s="31" t="s">
        <v>11</v>
      </c>
      <c r="C442" s="32"/>
      <c r="D442" s="32"/>
      <c r="E442" s="19" t="n">
        <f aca="false">+IF(C442="EQUIPO",F442,0)</f>
        <v>0</v>
      </c>
      <c r="F442" s="33" t="n">
        <v>0</v>
      </c>
      <c r="G442" s="62"/>
      <c r="H442" s="35" t="n">
        <v>0</v>
      </c>
      <c r="I442" s="34" t="n">
        <f aca="false">+IF(E442=0,0,E442*0.03)</f>
        <v>0</v>
      </c>
    </row>
    <row r="443" customFormat="false" ht="15.75" hidden="false" customHeight="true" outlineLevel="0" collapsed="false">
      <c r="A443" s="65" t="n">
        <v>45352</v>
      </c>
      <c r="B443" s="31" t="s">
        <v>11</v>
      </c>
      <c r="C443" s="32"/>
      <c r="D443" s="32"/>
      <c r="E443" s="19" t="n">
        <f aca="false">+IF(C443="EQUIPO",F443,0)</f>
        <v>0</v>
      </c>
      <c r="F443" s="33" t="n">
        <v>0</v>
      </c>
      <c r="G443" s="62"/>
      <c r="H443" s="35" t="n">
        <v>0</v>
      </c>
      <c r="I443" s="34" t="n">
        <f aca="false">+IF(E443=0,0,E443*0.03)</f>
        <v>0</v>
      </c>
    </row>
    <row r="444" customFormat="false" ht="15.75" hidden="false" customHeight="true" outlineLevel="0" collapsed="false">
      <c r="A444" s="65" t="n">
        <v>45352</v>
      </c>
      <c r="B444" s="31" t="s">
        <v>11</v>
      </c>
      <c r="C444" s="32"/>
      <c r="D444" s="32"/>
      <c r="E444" s="19" t="n">
        <f aca="false">+IF(C444="EQUIPO",F444,0)</f>
        <v>0</v>
      </c>
      <c r="F444" s="33" t="n">
        <v>0</v>
      </c>
      <c r="G444" s="62"/>
      <c r="H444" s="35" t="n">
        <v>0</v>
      </c>
      <c r="I444" s="34" t="n">
        <f aca="false">+IF(E444=0,0,E444*0.03)</f>
        <v>0</v>
      </c>
    </row>
    <row r="445" customFormat="false" ht="15.75" hidden="false" customHeight="true" outlineLevel="0" collapsed="false">
      <c r="A445" s="65" t="n">
        <v>45352</v>
      </c>
      <c r="B445" s="31" t="s">
        <v>11</v>
      </c>
      <c r="C445" s="32"/>
      <c r="D445" s="32"/>
      <c r="E445" s="19" t="n">
        <f aca="false">+IF(C445="EQUIPO",F445,0)</f>
        <v>0</v>
      </c>
      <c r="F445" s="33" t="n">
        <v>0</v>
      </c>
      <c r="G445" s="62"/>
      <c r="H445" s="35" t="n">
        <v>0</v>
      </c>
      <c r="I445" s="34" t="n">
        <f aca="false">+IF(E445=0,0,E445*0.03)</f>
        <v>0</v>
      </c>
    </row>
    <row r="446" customFormat="false" ht="15.75" hidden="false" customHeight="true" outlineLevel="0" collapsed="false">
      <c r="A446" s="65" t="n">
        <v>45352</v>
      </c>
      <c r="B446" s="31" t="s">
        <v>11</v>
      </c>
      <c r="C446" s="32"/>
      <c r="D446" s="32"/>
      <c r="E446" s="19" t="n">
        <f aca="false">+IF(C446="EQUIPO",F446,0)</f>
        <v>0</v>
      </c>
      <c r="F446" s="33" t="n">
        <v>0</v>
      </c>
      <c r="G446" s="62"/>
      <c r="H446" s="35" t="n">
        <v>0</v>
      </c>
      <c r="I446" s="34" t="n">
        <f aca="false">+IF(E446=0,0,E446*0.03)</f>
        <v>0</v>
      </c>
    </row>
    <row r="447" customFormat="false" ht="15.75" hidden="false" customHeight="true" outlineLevel="0" collapsed="false">
      <c r="A447" s="65" t="n">
        <v>45352</v>
      </c>
      <c r="B447" s="31" t="s">
        <v>11</v>
      </c>
      <c r="C447" s="32"/>
      <c r="D447" s="32"/>
      <c r="E447" s="19" t="n">
        <f aca="false">+IF(C447="EQUIPO",F447,0)</f>
        <v>0</v>
      </c>
      <c r="F447" s="33" t="n">
        <v>0</v>
      </c>
      <c r="G447" s="62"/>
      <c r="H447" s="35" t="n">
        <v>0</v>
      </c>
      <c r="I447" s="34" t="n">
        <f aca="false">+IF(E447=0,0,E447*0.03)</f>
        <v>0</v>
      </c>
    </row>
    <row r="448" customFormat="false" ht="15.75" hidden="false" customHeight="true" outlineLevel="0" collapsed="false">
      <c r="A448" s="65" t="n">
        <v>45352</v>
      </c>
      <c r="B448" s="31" t="s">
        <v>11</v>
      </c>
      <c r="C448" s="32"/>
      <c r="D448" s="32"/>
      <c r="E448" s="19" t="n">
        <f aca="false">+IF(C448="EQUIPO",F448,0)</f>
        <v>0</v>
      </c>
      <c r="F448" s="33" t="n">
        <v>0</v>
      </c>
      <c r="G448" s="62"/>
      <c r="H448" s="35" t="n">
        <v>0</v>
      </c>
      <c r="I448" s="34" t="n">
        <f aca="false">+IF(E448=0,0,E448*0.03)</f>
        <v>0</v>
      </c>
    </row>
    <row r="449" customFormat="false" ht="15.75" hidden="false" customHeight="true" outlineLevel="0" collapsed="false">
      <c r="A449" s="65" t="n">
        <v>45352</v>
      </c>
      <c r="B449" s="31" t="s">
        <v>11</v>
      </c>
      <c r="C449" s="32"/>
      <c r="D449" s="32"/>
      <c r="E449" s="19" t="n">
        <f aca="false">+IF(C449="EQUIPO",F449,0)</f>
        <v>0</v>
      </c>
      <c r="F449" s="33" t="n">
        <v>0</v>
      </c>
      <c r="G449" s="62"/>
      <c r="H449" s="35" t="n">
        <v>0</v>
      </c>
      <c r="I449" s="34" t="n">
        <f aca="false">+IF(E449=0,0,E449*0.03)</f>
        <v>0</v>
      </c>
    </row>
    <row r="450" customFormat="false" ht="15.75" hidden="false" customHeight="true" outlineLevel="0" collapsed="false">
      <c r="A450" s="65" t="n">
        <v>45352</v>
      </c>
      <c r="B450" s="31" t="s">
        <v>11</v>
      </c>
      <c r="C450" s="32"/>
      <c r="D450" s="32"/>
      <c r="E450" s="19" t="n">
        <f aca="false">+IF(C450="EQUIPO",F450,0)</f>
        <v>0</v>
      </c>
      <c r="F450" s="33" t="n">
        <v>0</v>
      </c>
      <c r="G450" s="62"/>
      <c r="H450" s="35" t="n">
        <v>0</v>
      </c>
      <c r="I450" s="34" t="n">
        <f aca="false">+IF(E450=0,0,E450*0.03)</f>
        <v>0</v>
      </c>
    </row>
    <row r="451" customFormat="false" ht="15.75" hidden="false" customHeight="true" outlineLevel="0" collapsed="false">
      <c r="A451" s="65" t="n">
        <v>45352</v>
      </c>
      <c r="B451" s="31" t="s">
        <v>11</v>
      </c>
      <c r="C451" s="32"/>
      <c r="D451" s="32"/>
      <c r="E451" s="19" t="n">
        <f aca="false">+IF(C451="EQUIPO",F451,0)</f>
        <v>0</v>
      </c>
      <c r="F451" s="33" t="n">
        <v>0</v>
      </c>
      <c r="G451" s="62"/>
      <c r="H451" s="35" t="n">
        <v>0</v>
      </c>
      <c r="I451" s="34" t="n">
        <f aca="false">+IF(E451=0,0,E451*0.03)</f>
        <v>0</v>
      </c>
    </row>
    <row r="452" customFormat="false" ht="15.75" hidden="false" customHeight="true" outlineLevel="0" collapsed="false">
      <c r="A452" s="65" t="n">
        <v>45352</v>
      </c>
      <c r="B452" s="31" t="s">
        <v>11</v>
      </c>
      <c r="C452" s="32"/>
      <c r="D452" s="32"/>
      <c r="E452" s="19" t="n">
        <f aca="false">+IF(C452="EQUIPO",F452,0)</f>
        <v>0</v>
      </c>
      <c r="F452" s="33" t="n">
        <v>0</v>
      </c>
      <c r="G452" s="62"/>
      <c r="H452" s="35" t="n">
        <v>0</v>
      </c>
      <c r="I452" s="34" t="n">
        <f aca="false">+IF(E452=0,0,E452*0.03)</f>
        <v>0</v>
      </c>
    </row>
    <row r="453" customFormat="false" ht="15.75" hidden="false" customHeight="true" outlineLevel="0" collapsed="false">
      <c r="A453" s="65" t="n">
        <v>45352</v>
      </c>
      <c r="B453" s="31" t="s">
        <v>11</v>
      </c>
      <c r="C453" s="32"/>
      <c r="D453" s="32"/>
      <c r="E453" s="19" t="n">
        <f aca="false">+IF(C453="EQUIPO",F453,0)</f>
        <v>0</v>
      </c>
      <c r="F453" s="33" t="n">
        <v>0</v>
      </c>
      <c r="G453" s="62"/>
      <c r="H453" s="35" t="n">
        <v>0</v>
      </c>
      <c r="I453" s="34" t="n">
        <f aca="false">+IF(E453=0,0,E453*0.03)</f>
        <v>0</v>
      </c>
    </row>
    <row r="454" customFormat="false" ht="15.75" hidden="false" customHeight="true" outlineLevel="0" collapsed="false">
      <c r="A454" s="65" t="n">
        <v>45352</v>
      </c>
      <c r="B454" s="31" t="s">
        <v>11</v>
      </c>
      <c r="C454" s="32"/>
      <c r="D454" s="32"/>
      <c r="E454" s="19" t="n">
        <f aca="false">+IF(C454="EQUIPO",F454,0)</f>
        <v>0</v>
      </c>
      <c r="F454" s="33" t="n">
        <v>0</v>
      </c>
      <c r="G454" s="62"/>
      <c r="H454" s="35" t="n">
        <v>0</v>
      </c>
      <c r="I454" s="34" t="n">
        <f aca="false">+IF(E454=0,0,E454*0.03)</f>
        <v>0</v>
      </c>
    </row>
    <row r="455" customFormat="false" ht="15.75" hidden="false" customHeight="true" outlineLevel="0" collapsed="false">
      <c r="A455" s="65" t="n">
        <v>45352</v>
      </c>
      <c r="B455" s="31" t="s">
        <v>11</v>
      </c>
      <c r="C455" s="32"/>
      <c r="D455" s="32"/>
      <c r="E455" s="19" t="n">
        <f aca="false">+IF(C455="EQUIPO",F455,0)</f>
        <v>0</v>
      </c>
      <c r="F455" s="33" t="n">
        <v>0</v>
      </c>
      <c r="G455" s="62"/>
      <c r="H455" s="35" t="n">
        <v>0</v>
      </c>
      <c r="I455" s="34" t="n">
        <f aca="false">+IF(E455=0,0,E455*0.03)</f>
        <v>0</v>
      </c>
    </row>
    <row r="456" customFormat="false" ht="15.75" hidden="false" customHeight="true" outlineLevel="0" collapsed="false">
      <c r="A456" s="65" t="n">
        <v>45352</v>
      </c>
      <c r="B456" s="31" t="s">
        <v>11</v>
      </c>
      <c r="C456" s="32"/>
      <c r="D456" s="32"/>
      <c r="E456" s="19" t="n">
        <f aca="false">+IF(C456="EQUIPO",F456,0)</f>
        <v>0</v>
      </c>
      <c r="F456" s="33" t="n">
        <v>0</v>
      </c>
      <c r="G456" s="62"/>
      <c r="H456" s="35" t="n">
        <v>0</v>
      </c>
      <c r="I456" s="34" t="n">
        <f aca="false">+IF(E456=0,0,E456*0.03)</f>
        <v>0</v>
      </c>
    </row>
    <row r="457" customFormat="false" ht="15.75" hidden="false" customHeight="true" outlineLevel="0" collapsed="false">
      <c r="A457" s="65" t="n">
        <v>45352</v>
      </c>
      <c r="B457" s="31" t="s">
        <v>11</v>
      </c>
      <c r="C457" s="32"/>
      <c r="D457" s="32"/>
      <c r="E457" s="19" t="n">
        <f aca="false">+IF(C457="EQUIPO",F457,0)</f>
        <v>0</v>
      </c>
      <c r="F457" s="33" t="n">
        <v>0</v>
      </c>
      <c r="G457" s="62"/>
      <c r="H457" s="35" t="n">
        <v>0</v>
      </c>
      <c r="I457" s="34" t="n">
        <f aca="false">+IF(E457=0,0,E457*0.03)</f>
        <v>0</v>
      </c>
    </row>
    <row r="458" customFormat="false" ht="15.75" hidden="false" customHeight="true" outlineLevel="0" collapsed="false">
      <c r="A458" s="65" t="n">
        <v>45352</v>
      </c>
      <c r="B458" s="31" t="s">
        <v>11</v>
      </c>
      <c r="C458" s="32"/>
      <c r="D458" s="32"/>
      <c r="E458" s="19" t="n">
        <f aca="false">+IF(C458="EQUIPO",F458,0)</f>
        <v>0</v>
      </c>
      <c r="F458" s="33" t="n">
        <v>0</v>
      </c>
      <c r="G458" s="62"/>
      <c r="H458" s="35" t="n">
        <v>0</v>
      </c>
      <c r="I458" s="34" t="n">
        <f aca="false">+IF(E458=0,0,E458*0.03)</f>
        <v>0</v>
      </c>
    </row>
    <row r="459" customFormat="false" ht="15.75" hidden="false" customHeight="true" outlineLevel="0" collapsed="false">
      <c r="A459" s="65" t="n">
        <v>45352</v>
      </c>
      <c r="B459" s="31" t="s">
        <v>11</v>
      </c>
      <c r="C459" s="32"/>
      <c r="D459" s="32"/>
      <c r="E459" s="19" t="n">
        <f aca="false">+IF(C459="EQUIPO",F459,0)</f>
        <v>0</v>
      </c>
      <c r="F459" s="33" t="n">
        <v>0</v>
      </c>
      <c r="G459" s="62"/>
      <c r="H459" s="35" t="n">
        <v>0</v>
      </c>
      <c r="I459" s="34" t="n">
        <f aca="false">+IF(E459=0,0,E459*0.03)</f>
        <v>0</v>
      </c>
    </row>
    <row r="460" customFormat="false" ht="15.75" hidden="false" customHeight="true" outlineLevel="0" collapsed="false">
      <c r="A460" s="65" t="n">
        <v>45352</v>
      </c>
      <c r="B460" s="31" t="s">
        <v>11</v>
      </c>
      <c r="C460" s="32"/>
      <c r="D460" s="32"/>
      <c r="E460" s="19" t="n">
        <f aca="false">+IF(C460="EQUIPO",F460,0)</f>
        <v>0</v>
      </c>
      <c r="F460" s="33" t="n">
        <v>0</v>
      </c>
      <c r="G460" s="62"/>
      <c r="H460" s="35" t="n">
        <v>0</v>
      </c>
      <c r="I460" s="34" t="n">
        <f aca="false">+IF(E460=0,0,E460*0.03)</f>
        <v>0</v>
      </c>
    </row>
    <row r="461" customFormat="false" ht="15.75" hidden="false" customHeight="true" outlineLevel="0" collapsed="false">
      <c r="A461" s="65" t="n">
        <v>45352</v>
      </c>
      <c r="B461" s="31" t="s">
        <v>11</v>
      </c>
      <c r="C461" s="32"/>
      <c r="D461" s="32"/>
      <c r="E461" s="19" t="n">
        <f aca="false">+IF(C461="EQUIPO",F461,0)</f>
        <v>0</v>
      </c>
      <c r="F461" s="33" t="n">
        <v>0</v>
      </c>
      <c r="G461" s="62"/>
      <c r="H461" s="35" t="n">
        <v>0</v>
      </c>
      <c r="I461" s="34" t="n">
        <f aca="false">+IF(E461=0,0,E461*0.03)</f>
        <v>0</v>
      </c>
    </row>
    <row r="462" customFormat="false" ht="15.75" hidden="false" customHeight="true" outlineLevel="0" collapsed="false">
      <c r="A462" s="65" t="n">
        <v>45352</v>
      </c>
      <c r="B462" s="31" t="s">
        <v>11</v>
      </c>
      <c r="C462" s="32"/>
      <c r="D462" s="32"/>
      <c r="E462" s="19" t="n">
        <f aca="false">+IF(C462="EQUIPO",F462,0)</f>
        <v>0</v>
      </c>
      <c r="F462" s="33" t="n">
        <v>0</v>
      </c>
      <c r="G462" s="62"/>
      <c r="H462" s="35" t="n">
        <v>0</v>
      </c>
      <c r="I462" s="34" t="n">
        <f aca="false">+IF(E462=0,0,E462*0.03)</f>
        <v>0</v>
      </c>
    </row>
    <row r="463" customFormat="false" ht="15.75" hidden="false" customHeight="true" outlineLevel="0" collapsed="false">
      <c r="A463" s="65" t="n">
        <v>45352</v>
      </c>
      <c r="B463" s="31" t="s">
        <v>11</v>
      </c>
      <c r="C463" s="32"/>
      <c r="D463" s="32"/>
      <c r="E463" s="19" t="n">
        <f aca="false">+IF(C463="EQUIPO",F463,0)</f>
        <v>0</v>
      </c>
      <c r="F463" s="33" t="n">
        <v>0</v>
      </c>
      <c r="G463" s="62"/>
      <c r="H463" s="35" t="n">
        <v>0</v>
      </c>
      <c r="I463" s="34" t="n">
        <f aca="false">+IF(E463=0,0,E463*0.03)</f>
        <v>0</v>
      </c>
    </row>
    <row r="464" customFormat="false" ht="15.75" hidden="false" customHeight="true" outlineLevel="0" collapsed="false">
      <c r="A464" s="65" t="n">
        <v>45352</v>
      </c>
      <c r="B464" s="31" t="s">
        <v>11</v>
      </c>
      <c r="C464" s="32"/>
      <c r="D464" s="32"/>
      <c r="E464" s="19" t="n">
        <f aca="false">+IF(C464="EQUIPO",F464,0)</f>
        <v>0</v>
      </c>
      <c r="F464" s="33" t="n">
        <v>0</v>
      </c>
      <c r="G464" s="62"/>
      <c r="H464" s="35" t="n">
        <v>0</v>
      </c>
      <c r="I464" s="34" t="n">
        <f aca="false">+IF(E464=0,0,E464*0.03)</f>
        <v>0</v>
      </c>
    </row>
    <row r="465" customFormat="false" ht="15.75" hidden="false" customHeight="true" outlineLevel="0" collapsed="false">
      <c r="A465" s="65" t="n">
        <v>45352</v>
      </c>
      <c r="B465" s="31" t="s">
        <v>11</v>
      </c>
      <c r="C465" s="32"/>
      <c r="D465" s="32"/>
      <c r="E465" s="19" t="n">
        <f aca="false">+IF(C465="EQUIPO",F465,0)</f>
        <v>0</v>
      </c>
      <c r="F465" s="33" t="n">
        <v>0</v>
      </c>
      <c r="G465" s="62"/>
      <c r="H465" s="35" t="n">
        <v>0</v>
      </c>
      <c r="I465" s="34" t="n">
        <f aca="false">+IF(E465=0,0,E465*0.03)</f>
        <v>0</v>
      </c>
    </row>
    <row r="466" customFormat="false" ht="15.75" hidden="false" customHeight="true" outlineLevel="0" collapsed="false">
      <c r="A466" s="65" t="n">
        <v>45352</v>
      </c>
      <c r="B466" s="31" t="s">
        <v>11</v>
      </c>
      <c r="C466" s="32"/>
      <c r="D466" s="32"/>
      <c r="E466" s="19" t="n">
        <f aca="false">+IF(C466="EQUIPO",F466,0)</f>
        <v>0</v>
      </c>
      <c r="F466" s="33" t="n">
        <v>0</v>
      </c>
      <c r="G466" s="62"/>
      <c r="H466" s="35" t="n">
        <v>0</v>
      </c>
      <c r="I466" s="34" t="n">
        <f aca="false">+IF(E466=0,0,E466*0.03)</f>
        <v>0</v>
      </c>
    </row>
    <row r="467" customFormat="false" ht="15.75" hidden="false" customHeight="true" outlineLevel="0" collapsed="false">
      <c r="A467" s="65" t="n">
        <v>45352</v>
      </c>
      <c r="B467" s="31" t="s">
        <v>11</v>
      </c>
      <c r="C467" s="32"/>
      <c r="D467" s="32"/>
      <c r="E467" s="19" t="n">
        <f aca="false">+IF(C467="EQUIPO",F467,0)</f>
        <v>0</v>
      </c>
      <c r="F467" s="33" t="n">
        <v>0</v>
      </c>
      <c r="G467" s="62"/>
      <c r="H467" s="35" t="n">
        <v>0</v>
      </c>
      <c r="I467" s="34" t="n">
        <f aca="false">+IF(E467=0,0,E467*0.03)</f>
        <v>0</v>
      </c>
    </row>
    <row r="468" customFormat="false" ht="15.75" hidden="false" customHeight="true" outlineLevel="0" collapsed="false">
      <c r="A468" s="65" t="n">
        <v>45352</v>
      </c>
      <c r="B468" s="31" t="s">
        <v>11</v>
      </c>
      <c r="C468" s="32"/>
      <c r="D468" s="32"/>
      <c r="E468" s="19" t="n">
        <f aca="false">+IF(C468="EQUIPO",F468,0)</f>
        <v>0</v>
      </c>
      <c r="F468" s="33" t="n">
        <v>0</v>
      </c>
      <c r="G468" s="62"/>
      <c r="H468" s="35" t="n">
        <v>0</v>
      </c>
      <c r="I468" s="34" t="n">
        <f aca="false">+IF(E468=0,0,E468*0.03)</f>
        <v>0</v>
      </c>
    </row>
    <row r="469" customFormat="false" ht="15.75" hidden="false" customHeight="true" outlineLevel="0" collapsed="false">
      <c r="A469" s="65" t="n">
        <v>45352</v>
      </c>
      <c r="B469" s="31" t="s">
        <v>11</v>
      </c>
      <c r="C469" s="32"/>
      <c r="D469" s="32"/>
      <c r="E469" s="19" t="n">
        <f aca="false">+IF(C469="EQUIPO",F469,0)</f>
        <v>0</v>
      </c>
      <c r="F469" s="33" t="n">
        <v>0</v>
      </c>
      <c r="G469" s="62"/>
      <c r="H469" s="35" t="n">
        <v>0</v>
      </c>
      <c r="I469" s="34" t="n">
        <f aca="false">+IF(E469=0,0,E469*0.03)</f>
        <v>0</v>
      </c>
    </row>
    <row r="470" customFormat="false" ht="15.75" hidden="false" customHeight="true" outlineLevel="0" collapsed="false">
      <c r="A470" s="65" t="n">
        <v>45352</v>
      </c>
      <c r="B470" s="31" t="s">
        <v>11</v>
      </c>
      <c r="C470" s="32"/>
      <c r="D470" s="32"/>
      <c r="E470" s="19" t="n">
        <f aca="false">+IF(C470="EQUIPO",F470,0)</f>
        <v>0</v>
      </c>
      <c r="F470" s="33" t="n">
        <v>0</v>
      </c>
      <c r="G470" s="62"/>
      <c r="H470" s="35" t="n">
        <v>0</v>
      </c>
      <c r="I470" s="34" t="n">
        <f aca="false">+IF(E470=0,0,E470*0.03)</f>
        <v>0</v>
      </c>
    </row>
    <row r="471" customFormat="false" ht="15.75" hidden="false" customHeight="true" outlineLevel="0" collapsed="false">
      <c r="A471" s="65" t="n">
        <v>45352</v>
      </c>
      <c r="B471" s="31" t="s">
        <v>11</v>
      </c>
      <c r="C471" s="32"/>
      <c r="D471" s="32"/>
      <c r="E471" s="19" t="n">
        <f aca="false">+IF(C471="EQUIPO",F471,0)</f>
        <v>0</v>
      </c>
      <c r="F471" s="33" t="n">
        <v>0</v>
      </c>
      <c r="G471" s="62"/>
      <c r="H471" s="35" t="n">
        <v>0</v>
      </c>
      <c r="I471" s="34" t="n">
        <f aca="false">+IF(E471=0,0,E471*0.03)</f>
        <v>0</v>
      </c>
    </row>
    <row r="472" customFormat="false" ht="15.75" hidden="false" customHeight="true" outlineLevel="0" collapsed="false">
      <c r="A472" s="65" t="n">
        <v>45352</v>
      </c>
      <c r="B472" s="31" t="s">
        <v>11</v>
      </c>
      <c r="C472" s="32"/>
      <c r="D472" s="32"/>
      <c r="E472" s="19" t="n">
        <f aca="false">+IF(C472="EQUIPO",F472,0)</f>
        <v>0</v>
      </c>
      <c r="F472" s="33" t="n">
        <v>0</v>
      </c>
      <c r="G472" s="62"/>
      <c r="H472" s="35" t="n">
        <v>0</v>
      </c>
      <c r="I472" s="34" t="n">
        <f aca="false">+IF(E472=0,0,E472*0.03)</f>
        <v>0</v>
      </c>
    </row>
    <row r="473" customFormat="false" ht="15.75" hidden="false" customHeight="true" outlineLevel="0" collapsed="false">
      <c r="A473" s="65" t="n">
        <v>45352</v>
      </c>
      <c r="B473" s="31" t="s">
        <v>11</v>
      </c>
      <c r="C473" s="32"/>
      <c r="D473" s="32"/>
      <c r="E473" s="19" t="n">
        <f aca="false">+IF(C473="EQUIPO",F473,0)</f>
        <v>0</v>
      </c>
      <c r="F473" s="33" t="n">
        <v>0</v>
      </c>
      <c r="G473" s="62"/>
      <c r="H473" s="35" t="n">
        <v>0</v>
      </c>
      <c r="I473" s="34" t="n">
        <f aca="false">+IF(E473=0,0,E473*0.03)</f>
        <v>0</v>
      </c>
    </row>
    <row r="474" customFormat="false" ht="15.75" hidden="false" customHeight="true" outlineLevel="0" collapsed="false">
      <c r="A474" s="65" t="n">
        <v>45352</v>
      </c>
      <c r="B474" s="31" t="s">
        <v>11</v>
      </c>
      <c r="C474" s="32"/>
      <c r="D474" s="32"/>
      <c r="E474" s="19" t="n">
        <f aca="false">+IF(C474="EQUIPO",F474,0)</f>
        <v>0</v>
      </c>
      <c r="F474" s="33" t="n">
        <v>0</v>
      </c>
      <c r="G474" s="62"/>
      <c r="H474" s="35" t="n">
        <v>0</v>
      </c>
      <c r="I474" s="34" t="n">
        <f aca="false">+IF(E474=0,0,E474*0.03)</f>
        <v>0</v>
      </c>
    </row>
    <row r="475" customFormat="false" ht="15.75" hidden="false" customHeight="true" outlineLevel="0" collapsed="false">
      <c r="A475" s="65" t="n">
        <v>45352</v>
      </c>
      <c r="B475" s="31" t="s">
        <v>11</v>
      </c>
      <c r="C475" s="32"/>
      <c r="D475" s="32"/>
      <c r="E475" s="19" t="n">
        <f aca="false">+IF(C475="EQUIPO",F475,0)</f>
        <v>0</v>
      </c>
      <c r="F475" s="33" t="n">
        <v>0</v>
      </c>
      <c r="G475" s="62"/>
      <c r="H475" s="35" t="n">
        <v>0</v>
      </c>
      <c r="I475" s="34" t="n">
        <f aca="false">+IF(E475=0,0,E475*0.03)</f>
        <v>0</v>
      </c>
    </row>
    <row r="476" customFormat="false" ht="15.75" hidden="false" customHeight="true" outlineLevel="0" collapsed="false">
      <c r="A476" s="65" t="n">
        <v>45352</v>
      </c>
      <c r="B476" s="31" t="s">
        <v>11</v>
      </c>
      <c r="C476" s="32"/>
      <c r="D476" s="32"/>
      <c r="E476" s="19" t="n">
        <f aca="false">+IF(C476="EQUIPO",F476,0)</f>
        <v>0</v>
      </c>
      <c r="F476" s="33" t="n">
        <v>0</v>
      </c>
      <c r="G476" s="62"/>
      <c r="H476" s="35" t="n">
        <v>0</v>
      </c>
      <c r="I476" s="34" t="n">
        <f aca="false">+IF(E476=0,0,E476*0.03)</f>
        <v>0</v>
      </c>
    </row>
    <row r="477" customFormat="false" ht="15.75" hidden="false" customHeight="true" outlineLevel="0" collapsed="false">
      <c r="A477" s="65" t="n">
        <v>45352</v>
      </c>
      <c r="B477" s="31" t="s">
        <v>11</v>
      </c>
      <c r="C477" s="32"/>
      <c r="D477" s="32"/>
      <c r="E477" s="19" t="n">
        <f aca="false">+IF(C477="EQUIPO",F477,0)</f>
        <v>0</v>
      </c>
      <c r="F477" s="33" t="n">
        <v>0</v>
      </c>
      <c r="G477" s="62"/>
      <c r="H477" s="35" t="n">
        <v>0</v>
      </c>
      <c r="I477" s="34" t="n">
        <f aca="false">+IF(E477=0,0,E477*0.03)</f>
        <v>0</v>
      </c>
    </row>
    <row r="478" customFormat="false" ht="15.75" hidden="false" customHeight="true" outlineLevel="0" collapsed="false">
      <c r="A478" s="65" t="n">
        <v>45352</v>
      </c>
      <c r="B478" s="31" t="s">
        <v>11</v>
      </c>
      <c r="C478" s="32"/>
      <c r="D478" s="32"/>
      <c r="E478" s="19" t="n">
        <f aca="false">+IF(C478="EQUIPO",F478,0)</f>
        <v>0</v>
      </c>
      <c r="F478" s="33" t="n">
        <v>0</v>
      </c>
      <c r="G478" s="62"/>
      <c r="H478" s="35" t="n">
        <v>0</v>
      </c>
      <c r="I478" s="34" t="n">
        <f aca="false">+IF(E478=0,0,E478*0.03)</f>
        <v>0</v>
      </c>
    </row>
    <row r="479" customFormat="false" ht="15.75" hidden="false" customHeight="true" outlineLevel="0" collapsed="false">
      <c r="A479" s="65" t="n">
        <v>45352</v>
      </c>
      <c r="B479" s="31" t="s">
        <v>11</v>
      </c>
      <c r="C479" s="32"/>
      <c r="D479" s="32"/>
      <c r="E479" s="19" t="n">
        <f aca="false">+IF(C479="EQUIPO",F479,0)</f>
        <v>0</v>
      </c>
      <c r="F479" s="33" t="n">
        <v>0</v>
      </c>
      <c r="G479" s="62"/>
      <c r="H479" s="35" t="n">
        <v>0</v>
      </c>
      <c r="I479" s="34" t="n">
        <f aca="false">+IF(E479=0,0,E479*0.03)</f>
        <v>0</v>
      </c>
    </row>
    <row r="480" customFormat="false" ht="15.75" hidden="false" customHeight="true" outlineLevel="0" collapsed="false">
      <c r="A480" s="65" t="n">
        <v>45352</v>
      </c>
      <c r="B480" s="31" t="s">
        <v>11</v>
      </c>
      <c r="C480" s="32"/>
      <c r="D480" s="32"/>
      <c r="E480" s="19" t="n">
        <f aca="false">+IF(C480="EQUIPO",F480,0)</f>
        <v>0</v>
      </c>
      <c r="F480" s="33" t="n">
        <v>0</v>
      </c>
      <c r="G480" s="62"/>
      <c r="H480" s="35" t="n">
        <v>0</v>
      </c>
      <c r="I480" s="34" t="n">
        <f aca="false">+IF(E480=0,0,E480*0.03)</f>
        <v>0</v>
      </c>
    </row>
    <row r="481" customFormat="false" ht="15.75" hidden="false" customHeight="true" outlineLevel="0" collapsed="false">
      <c r="A481" s="65" t="n">
        <v>45352</v>
      </c>
      <c r="B481" s="31" t="s">
        <v>11</v>
      </c>
      <c r="C481" s="32"/>
      <c r="D481" s="32"/>
      <c r="E481" s="19" t="n">
        <f aca="false">+IF(C481="EQUIPO",F481,0)</f>
        <v>0</v>
      </c>
      <c r="F481" s="33" t="n">
        <v>0</v>
      </c>
      <c r="G481" s="62"/>
      <c r="H481" s="35" t="n">
        <v>0</v>
      </c>
      <c r="I481" s="34" t="n">
        <f aca="false">+IF(E481=0,0,E481*0.03)</f>
        <v>0</v>
      </c>
    </row>
    <row r="482" customFormat="false" ht="15.75" hidden="false" customHeight="true" outlineLevel="0" collapsed="false">
      <c r="A482" s="65" t="n">
        <v>45352</v>
      </c>
      <c r="B482" s="31" t="s">
        <v>11</v>
      </c>
      <c r="C482" s="32"/>
      <c r="D482" s="32"/>
      <c r="E482" s="19" t="n">
        <f aca="false">+IF(C482="EQUIPO",F482,0)</f>
        <v>0</v>
      </c>
      <c r="F482" s="33" t="n">
        <v>0</v>
      </c>
      <c r="G482" s="62"/>
      <c r="H482" s="35" t="n">
        <v>0</v>
      </c>
      <c r="I482" s="34" t="n">
        <f aca="false">+IF(E482=0,0,E482*0.03)</f>
        <v>0</v>
      </c>
    </row>
    <row r="483" customFormat="false" ht="15.75" hidden="false" customHeight="true" outlineLevel="0" collapsed="false">
      <c r="A483" s="65" t="n">
        <v>45352</v>
      </c>
      <c r="B483" s="31" t="s">
        <v>11</v>
      </c>
      <c r="C483" s="32"/>
      <c r="D483" s="32"/>
      <c r="E483" s="19" t="n">
        <f aca="false">+IF(C483="EQUIPO",F483,0)</f>
        <v>0</v>
      </c>
      <c r="F483" s="33" t="n">
        <v>0</v>
      </c>
      <c r="G483" s="62"/>
      <c r="H483" s="35" t="n">
        <v>0</v>
      </c>
      <c r="I483" s="34" t="n">
        <f aca="false">+IF(E483=0,0,E483*0.03)</f>
        <v>0</v>
      </c>
    </row>
    <row r="484" customFormat="false" ht="15.75" hidden="false" customHeight="true" outlineLevel="0" collapsed="false">
      <c r="A484" s="65" t="n">
        <v>45352</v>
      </c>
      <c r="B484" s="31" t="s">
        <v>11</v>
      </c>
      <c r="C484" s="32"/>
      <c r="D484" s="32"/>
      <c r="E484" s="19" t="n">
        <f aca="false">+IF(C484="EQUIPO",F484,0)</f>
        <v>0</v>
      </c>
      <c r="F484" s="33" t="n">
        <v>0</v>
      </c>
      <c r="G484" s="62"/>
      <c r="H484" s="35" t="n">
        <v>0</v>
      </c>
      <c r="I484" s="34" t="n">
        <f aca="false">+IF(E484=0,0,E484*0.03)</f>
        <v>0</v>
      </c>
    </row>
    <row r="485" customFormat="false" ht="15.75" hidden="false" customHeight="true" outlineLevel="0" collapsed="false">
      <c r="A485" s="65" t="n">
        <v>45352</v>
      </c>
      <c r="B485" s="31" t="s">
        <v>11</v>
      </c>
      <c r="C485" s="32"/>
      <c r="D485" s="32"/>
      <c r="E485" s="19" t="n">
        <f aca="false">+IF(C485="EQUIPO",F485,0)</f>
        <v>0</v>
      </c>
      <c r="F485" s="33" t="n">
        <v>0</v>
      </c>
      <c r="G485" s="62"/>
      <c r="H485" s="35" t="n">
        <v>0</v>
      </c>
      <c r="I485" s="34" t="n">
        <f aca="false">+IF(E485=0,0,E485*0.03)</f>
        <v>0</v>
      </c>
    </row>
    <row r="486" customFormat="false" ht="15.75" hidden="false" customHeight="true" outlineLevel="0" collapsed="false">
      <c r="A486" s="65" t="n">
        <v>45352</v>
      </c>
      <c r="B486" s="31" t="s">
        <v>11</v>
      </c>
      <c r="C486" s="32"/>
      <c r="D486" s="32"/>
      <c r="E486" s="19" t="n">
        <f aca="false">+IF(C486="EQUIPO",F486,0)</f>
        <v>0</v>
      </c>
      <c r="F486" s="33" t="n">
        <v>0</v>
      </c>
      <c r="G486" s="62"/>
      <c r="H486" s="35" t="n">
        <v>0</v>
      </c>
      <c r="I486" s="34" t="n">
        <f aca="false">+IF(E486=0,0,E486*0.03)</f>
        <v>0</v>
      </c>
    </row>
    <row r="487" customFormat="false" ht="15.75" hidden="false" customHeight="true" outlineLevel="0" collapsed="false">
      <c r="A487" s="65" t="n">
        <v>45352</v>
      </c>
      <c r="B487" s="31" t="s">
        <v>11</v>
      </c>
      <c r="C487" s="32"/>
      <c r="D487" s="32"/>
      <c r="E487" s="19" t="n">
        <f aca="false">+IF(C487="EQUIPO",F487,0)</f>
        <v>0</v>
      </c>
      <c r="F487" s="33" t="n">
        <v>0</v>
      </c>
      <c r="G487" s="62"/>
      <c r="H487" s="35" t="n">
        <v>0</v>
      </c>
      <c r="I487" s="34" t="n">
        <f aca="false">+IF(E487=0,0,E487*0.03)</f>
        <v>0</v>
      </c>
    </row>
    <row r="488" customFormat="false" ht="15.75" hidden="false" customHeight="true" outlineLevel="0" collapsed="false">
      <c r="A488" s="65" t="n">
        <v>45352</v>
      </c>
      <c r="B488" s="31" t="s">
        <v>11</v>
      </c>
      <c r="C488" s="32"/>
      <c r="D488" s="32"/>
      <c r="E488" s="19" t="n">
        <f aca="false">+IF(C488="EQUIPO",F488,0)</f>
        <v>0</v>
      </c>
      <c r="F488" s="33" t="n">
        <v>0</v>
      </c>
      <c r="G488" s="62"/>
      <c r="H488" s="35" t="n">
        <v>0</v>
      </c>
      <c r="I488" s="34" t="n">
        <f aca="false">+IF(E488=0,0,E488*0.03)</f>
        <v>0</v>
      </c>
    </row>
    <row r="489" customFormat="false" ht="15.75" hidden="false" customHeight="true" outlineLevel="0" collapsed="false">
      <c r="A489" s="65" t="n">
        <v>45352</v>
      </c>
      <c r="B489" s="31" t="s">
        <v>11</v>
      </c>
      <c r="C489" s="32"/>
      <c r="D489" s="32"/>
      <c r="E489" s="19" t="n">
        <f aca="false">+IF(C489="EQUIPO",F489,0)</f>
        <v>0</v>
      </c>
      <c r="F489" s="33" t="n">
        <v>0</v>
      </c>
      <c r="G489" s="62"/>
      <c r="H489" s="35" t="n">
        <v>0</v>
      </c>
      <c r="I489" s="34" t="n">
        <f aca="false">+IF(E489=0,0,E489*0.03)</f>
        <v>0</v>
      </c>
    </row>
    <row r="490" customFormat="false" ht="15.75" hidden="false" customHeight="true" outlineLevel="0" collapsed="false">
      <c r="A490" s="65" t="n">
        <v>45352</v>
      </c>
      <c r="B490" s="31" t="s">
        <v>11</v>
      </c>
      <c r="C490" s="32"/>
      <c r="D490" s="32"/>
      <c r="E490" s="19" t="n">
        <f aca="false">+IF(C490="EQUIPO",F490,0)</f>
        <v>0</v>
      </c>
      <c r="F490" s="33" t="n">
        <v>0</v>
      </c>
      <c r="G490" s="62"/>
      <c r="H490" s="35" t="n">
        <v>0</v>
      </c>
      <c r="I490" s="34" t="n">
        <f aca="false">+IF(E490=0,0,E490*0.03)</f>
        <v>0</v>
      </c>
    </row>
    <row r="491" customFormat="false" ht="15.75" hidden="false" customHeight="true" outlineLevel="0" collapsed="false">
      <c r="A491" s="65" t="n">
        <v>45352</v>
      </c>
      <c r="B491" s="31" t="s">
        <v>11</v>
      </c>
      <c r="C491" s="32"/>
      <c r="D491" s="32"/>
      <c r="E491" s="19" t="n">
        <f aca="false">+IF(C491="EQUIPO",F491,0)</f>
        <v>0</v>
      </c>
      <c r="F491" s="33" t="n">
        <v>0</v>
      </c>
      <c r="G491" s="62"/>
      <c r="H491" s="35" t="n">
        <v>0</v>
      </c>
      <c r="I491" s="34" t="n">
        <f aca="false">+IF(E491=0,0,E491*0.03)</f>
        <v>0</v>
      </c>
    </row>
    <row r="492" customFormat="false" ht="15.75" hidden="false" customHeight="true" outlineLevel="0" collapsed="false">
      <c r="A492" s="65" t="n">
        <v>45352</v>
      </c>
      <c r="B492" s="31" t="s">
        <v>11</v>
      </c>
      <c r="C492" s="32"/>
      <c r="D492" s="32"/>
      <c r="E492" s="19" t="n">
        <f aca="false">+IF(C492="EQUIPO",F492,0)</f>
        <v>0</v>
      </c>
      <c r="F492" s="33" t="n">
        <v>0</v>
      </c>
      <c r="G492" s="62"/>
      <c r="H492" s="35" t="n">
        <v>0</v>
      </c>
      <c r="I492" s="34" t="n">
        <f aca="false">+IF(E492=0,0,E492*0.03)</f>
        <v>0</v>
      </c>
    </row>
    <row r="493" customFormat="false" ht="15.75" hidden="false" customHeight="true" outlineLevel="0" collapsed="false">
      <c r="A493" s="65" t="n">
        <v>45352</v>
      </c>
      <c r="B493" s="31" t="s">
        <v>11</v>
      </c>
      <c r="C493" s="32"/>
      <c r="D493" s="32"/>
      <c r="E493" s="19" t="n">
        <f aca="false">+IF(C493="EQUIPO",F493,0)</f>
        <v>0</v>
      </c>
      <c r="F493" s="33" t="n">
        <v>0</v>
      </c>
      <c r="G493" s="62"/>
      <c r="H493" s="35" t="n">
        <v>0</v>
      </c>
      <c r="I493" s="34" t="n">
        <f aca="false">+IF(E493=0,0,E493*0.03)</f>
        <v>0</v>
      </c>
    </row>
    <row r="494" customFormat="false" ht="15.75" hidden="false" customHeight="true" outlineLevel="0" collapsed="false">
      <c r="A494" s="65" t="n">
        <v>45352</v>
      </c>
      <c r="B494" s="31" t="s">
        <v>11</v>
      </c>
      <c r="C494" s="32"/>
      <c r="D494" s="32"/>
      <c r="E494" s="19" t="n">
        <f aca="false">+IF(C494="EQUIPO",F494,0)</f>
        <v>0</v>
      </c>
      <c r="F494" s="33" t="n">
        <v>0</v>
      </c>
      <c r="G494" s="62"/>
      <c r="H494" s="35" t="n">
        <v>0</v>
      </c>
      <c r="I494" s="34" t="n">
        <f aca="false">+IF(E494=0,0,E494*0.03)</f>
        <v>0</v>
      </c>
    </row>
    <row r="495" customFormat="false" ht="15.75" hidden="false" customHeight="true" outlineLevel="0" collapsed="false">
      <c r="A495" s="65" t="n">
        <v>45352</v>
      </c>
      <c r="B495" s="31" t="s">
        <v>11</v>
      </c>
      <c r="C495" s="32"/>
      <c r="D495" s="32"/>
      <c r="E495" s="19" t="n">
        <f aca="false">+IF(C495="EQUIPO",F495,0)</f>
        <v>0</v>
      </c>
      <c r="F495" s="33" t="n">
        <v>0</v>
      </c>
      <c r="G495" s="62"/>
      <c r="H495" s="35" t="n">
        <v>0</v>
      </c>
      <c r="I495" s="34" t="n">
        <f aca="false">+IF(E495=0,0,E495*0.03)</f>
        <v>0</v>
      </c>
    </row>
    <row r="496" customFormat="false" ht="15.75" hidden="false" customHeight="true" outlineLevel="0" collapsed="false">
      <c r="A496" s="65" t="n">
        <v>45352</v>
      </c>
      <c r="B496" s="31" t="s">
        <v>11</v>
      </c>
      <c r="C496" s="32"/>
      <c r="D496" s="32"/>
      <c r="E496" s="19" t="n">
        <f aca="false">+IF(C496="EQUIPO",F496,0)</f>
        <v>0</v>
      </c>
      <c r="F496" s="33" t="n">
        <v>0</v>
      </c>
      <c r="G496" s="62"/>
      <c r="H496" s="35" t="n">
        <v>0</v>
      </c>
      <c r="I496" s="34" t="n">
        <f aca="false">+IF(E496=0,0,E496*0.03)</f>
        <v>0</v>
      </c>
    </row>
    <row r="497" customFormat="false" ht="15.75" hidden="false" customHeight="true" outlineLevel="0" collapsed="false">
      <c r="A497" s="65" t="n">
        <v>45352</v>
      </c>
      <c r="B497" s="31" t="s">
        <v>11</v>
      </c>
      <c r="C497" s="32"/>
      <c r="D497" s="32"/>
      <c r="E497" s="19" t="n">
        <f aca="false">+IF(C497="EQUIPO",F497,0)</f>
        <v>0</v>
      </c>
      <c r="F497" s="33" t="n">
        <v>0</v>
      </c>
      <c r="G497" s="62"/>
      <c r="H497" s="35" t="n">
        <v>0</v>
      </c>
      <c r="I497" s="34" t="n">
        <f aca="false">+IF(E497=0,0,E497*0.03)</f>
        <v>0</v>
      </c>
    </row>
    <row r="498" customFormat="false" ht="15.75" hidden="false" customHeight="true" outlineLevel="0" collapsed="false">
      <c r="A498" s="65" t="n">
        <v>45352</v>
      </c>
      <c r="B498" s="31" t="s">
        <v>11</v>
      </c>
      <c r="C498" s="32"/>
      <c r="D498" s="32"/>
      <c r="E498" s="19" t="n">
        <f aca="false">+IF(C498="EQUIPO",F498,0)</f>
        <v>0</v>
      </c>
      <c r="F498" s="33" t="n">
        <v>0</v>
      </c>
      <c r="G498" s="62"/>
      <c r="H498" s="35" t="n">
        <v>0</v>
      </c>
      <c r="I498" s="34" t="n">
        <f aca="false">+IF(E498=0,0,E498*0.03)</f>
        <v>0</v>
      </c>
    </row>
    <row r="499" customFormat="false" ht="15.75" hidden="false" customHeight="true" outlineLevel="0" collapsed="false">
      <c r="A499" s="65" t="n">
        <v>45352</v>
      </c>
      <c r="B499" s="31" t="s">
        <v>11</v>
      </c>
      <c r="C499" s="32"/>
      <c r="D499" s="32"/>
      <c r="E499" s="19" t="n">
        <f aca="false">+IF(C499="EQUIPO",F499,0)</f>
        <v>0</v>
      </c>
      <c r="F499" s="33" t="n">
        <v>0</v>
      </c>
      <c r="G499" s="62"/>
      <c r="H499" s="35" t="n">
        <v>0</v>
      </c>
      <c r="I499" s="34" t="n">
        <f aca="false">+IF(E499=0,0,E499*0.03)</f>
        <v>0</v>
      </c>
    </row>
    <row r="500" customFormat="false" ht="15.75" hidden="false" customHeight="true" outlineLevel="0" collapsed="false">
      <c r="A500" s="65" t="n">
        <v>45352</v>
      </c>
      <c r="B500" s="31" t="s">
        <v>11</v>
      </c>
      <c r="C500" s="32"/>
      <c r="D500" s="32"/>
      <c r="E500" s="19" t="n">
        <f aca="false">+IF(C500="EQUIPO",F500,0)</f>
        <v>0</v>
      </c>
      <c r="F500" s="33" t="n">
        <v>0</v>
      </c>
      <c r="G500" s="62"/>
      <c r="H500" s="35" t="n">
        <v>0</v>
      </c>
      <c r="I500" s="34" t="n">
        <f aca="false">+IF(E500=0,0,E500*0.03)</f>
        <v>0</v>
      </c>
    </row>
    <row r="501" customFormat="false" ht="15.75" hidden="false" customHeight="true" outlineLevel="0" collapsed="false">
      <c r="A501" s="65" t="n">
        <v>45352</v>
      </c>
      <c r="B501" s="31" t="s">
        <v>11</v>
      </c>
      <c r="C501" s="32"/>
      <c r="D501" s="32"/>
      <c r="E501" s="19" t="n">
        <f aca="false">+IF(C501="EQUIPO",F501,0)</f>
        <v>0</v>
      </c>
      <c r="F501" s="33" t="n">
        <v>0</v>
      </c>
      <c r="G501" s="62"/>
      <c r="H501" s="35" t="n">
        <v>0</v>
      </c>
      <c r="I501" s="34" t="n">
        <f aca="false">+IF(E501=0,0,E501*0.03)</f>
        <v>0</v>
      </c>
    </row>
    <row r="502" customFormat="false" ht="15.75" hidden="false" customHeight="true" outlineLevel="0" collapsed="false">
      <c r="A502" s="65" t="n">
        <v>45352</v>
      </c>
      <c r="B502" s="31" t="s">
        <v>11</v>
      </c>
      <c r="C502" s="32"/>
      <c r="D502" s="32"/>
      <c r="E502" s="19" t="n">
        <f aca="false">+IF(C502="EQUIPO",F502,0)</f>
        <v>0</v>
      </c>
      <c r="F502" s="33" t="n">
        <v>0</v>
      </c>
      <c r="G502" s="62"/>
      <c r="H502" s="35" t="n">
        <v>0</v>
      </c>
      <c r="I502" s="34" t="n">
        <f aca="false">+IF(E502=0,0,E502*0.03)</f>
        <v>0</v>
      </c>
    </row>
    <row r="503" customFormat="false" ht="15.75" hidden="false" customHeight="true" outlineLevel="0" collapsed="false">
      <c r="A503" s="65" t="n">
        <v>45352</v>
      </c>
      <c r="B503" s="31" t="s">
        <v>11</v>
      </c>
      <c r="C503" s="32"/>
      <c r="D503" s="32"/>
      <c r="E503" s="19" t="n">
        <f aca="false">+IF(C503="EQUIPO",F503,0)</f>
        <v>0</v>
      </c>
      <c r="F503" s="33" t="n">
        <v>0</v>
      </c>
      <c r="G503" s="62"/>
      <c r="H503" s="35" t="n">
        <v>0</v>
      </c>
      <c r="I503" s="34" t="n">
        <f aca="false">+IF(E503=0,0,E503*0.03)</f>
        <v>0</v>
      </c>
    </row>
    <row r="504" customFormat="false" ht="15.75" hidden="false" customHeight="true" outlineLevel="0" collapsed="false">
      <c r="A504" s="65" t="n">
        <v>45352</v>
      </c>
      <c r="B504" s="31" t="s">
        <v>11</v>
      </c>
      <c r="C504" s="32"/>
      <c r="D504" s="32"/>
      <c r="E504" s="19" t="n">
        <f aca="false">+IF(C504="EQUIPO",F504,0)</f>
        <v>0</v>
      </c>
      <c r="F504" s="33" t="n">
        <v>0</v>
      </c>
      <c r="G504" s="62"/>
      <c r="H504" s="35" t="n">
        <v>0</v>
      </c>
      <c r="I504" s="34" t="n">
        <f aca="false">+IF(E504=0,0,E504*0.03)</f>
        <v>0</v>
      </c>
    </row>
    <row r="505" customFormat="false" ht="15.75" hidden="false" customHeight="true" outlineLevel="0" collapsed="false">
      <c r="A505" s="65" t="n">
        <v>45352</v>
      </c>
      <c r="B505" s="31" t="s">
        <v>11</v>
      </c>
      <c r="C505" s="32"/>
      <c r="D505" s="32"/>
      <c r="E505" s="19" t="n">
        <f aca="false">+IF(C505="EQUIPO",F505,0)</f>
        <v>0</v>
      </c>
      <c r="F505" s="33" t="n">
        <v>0</v>
      </c>
      <c r="G505" s="62"/>
      <c r="H505" s="35" t="n">
        <v>0</v>
      </c>
      <c r="I505" s="34" t="n">
        <f aca="false">+IF(E505=0,0,E505*0.03)</f>
        <v>0</v>
      </c>
    </row>
    <row r="506" customFormat="false" ht="15.75" hidden="false" customHeight="true" outlineLevel="0" collapsed="false">
      <c r="A506" s="65" t="n">
        <v>45352</v>
      </c>
      <c r="B506" s="31" t="s">
        <v>11</v>
      </c>
      <c r="C506" s="32"/>
      <c r="D506" s="32"/>
      <c r="E506" s="19" t="n">
        <f aca="false">+IF(C506="EQUIPO",F506,0)</f>
        <v>0</v>
      </c>
      <c r="F506" s="33" t="n">
        <v>0</v>
      </c>
      <c r="G506" s="62"/>
      <c r="H506" s="35" t="n">
        <v>0</v>
      </c>
      <c r="I506" s="34" t="n">
        <f aca="false">+IF(E506=0,0,E506*0.03)</f>
        <v>0</v>
      </c>
    </row>
    <row r="507" customFormat="false" ht="15.75" hidden="false" customHeight="true" outlineLevel="0" collapsed="false">
      <c r="A507" s="65" t="n">
        <v>45352</v>
      </c>
      <c r="B507" s="31" t="s">
        <v>11</v>
      </c>
      <c r="C507" s="32"/>
      <c r="D507" s="32"/>
      <c r="E507" s="19" t="n">
        <f aca="false">+IF(C507="EQUIPO",F507,0)</f>
        <v>0</v>
      </c>
      <c r="F507" s="33" t="n">
        <v>0</v>
      </c>
      <c r="G507" s="62"/>
      <c r="H507" s="35" t="n">
        <v>0</v>
      </c>
      <c r="I507" s="34" t="n">
        <f aca="false">+IF(E507=0,0,E507*0.03)</f>
        <v>0</v>
      </c>
    </row>
    <row r="508" customFormat="false" ht="15.75" hidden="false" customHeight="true" outlineLevel="0" collapsed="false">
      <c r="A508" s="65" t="n">
        <v>45352</v>
      </c>
      <c r="B508" s="31" t="s">
        <v>11</v>
      </c>
      <c r="C508" s="32"/>
      <c r="D508" s="32"/>
      <c r="E508" s="19" t="n">
        <f aca="false">+IF(C508="EQUIPO",F508,0)</f>
        <v>0</v>
      </c>
      <c r="F508" s="33" t="n">
        <v>0</v>
      </c>
      <c r="G508" s="62"/>
      <c r="H508" s="35" t="n">
        <v>0</v>
      </c>
      <c r="I508" s="34" t="n">
        <f aca="false">+IF(E508=0,0,E508*0.03)</f>
        <v>0</v>
      </c>
    </row>
    <row r="509" customFormat="false" ht="15.75" hidden="false" customHeight="true" outlineLevel="0" collapsed="false">
      <c r="A509" s="65" t="n">
        <v>45352</v>
      </c>
      <c r="B509" s="31" t="s">
        <v>11</v>
      </c>
      <c r="C509" s="32"/>
      <c r="D509" s="32"/>
      <c r="E509" s="19" t="n">
        <f aca="false">+IF(C509="EQUIPO",F509,0)</f>
        <v>0</v>
      </c>
      <c r="F509" s="33" t="n">
        <v>0</v>
      </c>
      <c r="G509" s="62"/>
      <c r="H509" s="35" t="n">
        <v>0</v>
      </c>
      <c r="I509" s="34" t="n">
        <f aca="false">+IF(E509=0,0,E509*0.03)</f>
        <v>0</v>
      </c>
    </row>
    <row r="510" customFormat="false" ht="15.75" hidden="false" customHeight="true" outlineLevel="0" collapsed="false">
      <c r="A510" s="65" t="n">
        <v>45352</v>
      </c>
      <c r="B510" s="31" t="s">
        <v>11</v>
      </c>
      <c r="C510" s="32"/>
      <c r="D510" s="32"/>
      <c r="E510" s="19" t="n">
        <f aca="false">+IF(C510="EQUIPO",F510,0)</f>
        <v>0</v>
      </c>
      <c r="F510" s="33" t="n">
        <v>0</v>
      </c>
      <c r="G510" s="62"/>
      <c r="H510" s="35" t="n">
        <v>0</v>
      </c>
      <c r="I510" s="34" t="n">
        <f aca="false">+IF(E510=0,0,E510*0.03)</f>
        <v>0</v>
      </c>
    </row>
    <row r="511" customFormat="false" ht="15.75" hidden="false" customHeight="true" outlineLevel="0" collapsed="false">
      <c r="A511" s="65" t="n">
        <v>45352</v>
      </c>
      <c r="B511" s="31" t="s">
        <v>11</v>
      </c>
      <c r="C511" s="32"/>
      <c r="D511" s="32"/>
      <c r="E511" s="19" t="n">
        <f aca="false">+IF(C511="EQUIPO",F511,0)</f>
        <v>0</v>
      </c>
      <c r="F511" s="33" t="n">
        <v>0</v>
      </c>
      <c r="G511" s="62"/>
      <c r="H511" s="35" t="n">
        <v>0</v>
      </c>
      <c r="I511" s="34" t="n">
        <f aca="false">+IF(E511=0,0,E511*0.03)</f>
        <v>0</v>
      </c>
    </row>
    <row r="512" customFormat="false" ht="15.75" hidden="false" customHeight="true" outlineLevel="0" collapsed="false">
      <c r="A512" s="65" t="n">
        <v>45352</v>
      </c>
      <c r="B512" s="31" t="s">
        <v>11</v>
      </c>
      <c r="C512" s="32"/>
      <c r="D512" s="32"/>
      <c r="E512" s="19" t="n">
        <f aca="false">+IF(C512="EQUIPO",F512,0)</f>
        <v>0</v>
      </c>
      <c r="F512" s="33" t="n">
        <v>0</v>
      </c>
      <c r="G512" s="62"/>
      <c r="H512" s="35" t="n">
        <v>0</v>
      </c>
      <c r="I512" s="34" t="n">
        <f aca="false">+IF(E512=0,0,E512*0.03)</f>
        <v>0</v>
      </c>
    </row>
    <row r="513" customFormat="false" ht="15.75" hidden="false" customHeight="true" outlineLevel="0" collapsed="false">
      <c r="A513" s="65" t="n">
        <v>45352</v>
      </c>
      <c r="B513" s="31" t="s">
        <v>11</v>
      </c>
      <c r="C513" s="32"/>
      <c r="D513" s="32"/>
      <c r="E513" s="19" t="n">
        <f aca="false">+IF(C513="EQUIPO",F513,0)</f>
        <v>0</v>
      </c>
      <c r="F513" s="33" t="n">
        <v>0</v>
      </c>
      <c r="G513" s="62"/>
      <c r="H513" s="35" t="n">
        <v>0</v>
      </c>
      <c r="I513" s="34" t="n">
        <f aca="false">+IF(E513=0,0,E513*0.03)</f>
        <v>0</v>
      </c>
    </row>
    <row r="514" customFormat="false" ht="15.75" hidden="false" customHeight="true" outlineLevel="0" collapsed="false">
      <c r="A514" s="65" t="n">
        <v>45352</v>
      </c>
      <c r="B514" s="31" t="s">
        <v>11</v>
      </c>
      <c r="C514" s="32"/>
      <c r="D514" s="32"/>
      <c r="E514" s="19" t="n">
        <f aca="false">+IF(C514="EQUIPO",F514,0)</f>
        <v>0</v>
      </c>
      <c r="F514" s="33" t="n">
        <v>0</v>
      </c>
      <c r="G514" s="62"/>
      <c r="H514" s="35" t="n">
        <v>0</v>
      </c>
      <c r="I514" s="34" t="n">
        <f aca="false">+IF(E514=0,0,E514*0.03)</f>
        <v>0</v>
      </c>
    </row>
    <row r="515" customFormat="false" ht="15.75" hidden="false" customHeight="true" outlineLevel="0" collapsed="false">
      <c r="A515" s="65" t="n">
        <v>45352</v>
      </c>
      <c r="B515" s="31" t="s">
        <v>11</v>
      </c>
      <c r="C515" s="32"/>
      <c r="D515" s="32"/>
      <c r="E515" s="19" t="n">
        <f aca="false">+IF(C515="EQUIPO",F515,0)</f>
        <v>0</v>
      </c>
      <c r="F515" s="33" t="n">
        <v>0</v>
      </c>
      <c r="G515" s="62"/>
      <c r="H515" s="35" t="n">
        <v>0</v>
      </c>
      <c r="I515" s="34" t="n">
        <f aca="false">+IF(E515=0,0,E515*0.03)</f>
        <v>0</v>
      </c>
    </row>
    <row r="516" customFormat="false" ht="15.75" hidden="false" customHeight="true" outlineLevel="0" collapsed="false">
      <c r="A516" s="65" t="n">
        <v>45352</v>
      </c>
      <c r="B516" s="31" t="s">
        <v>11</v>
      </c>
      <c r="C516" s="32"/>
      <c r="D516" s="32"/>
      <c r="E516" s="19" t="n">
        <f aca="false">+IF(C516="EQUIPO",F516,0)</f>
        <v>0</v>
      </c>
      <c r="F516" s="33" t="n">
        <v>0</v>
      </c>
      <c r="G516" s="62"/>
      <c r="H516" s="35" t="n">
        <v>0</v>
      </c>
      <c r="I516" s="34" t="n">
        <f aca="false">+IF(E516=0,0,E516*0.03)</f>
        <v>0</v>
      </c>
    </row>
    <row r="517" customFormat="false" ht="15.75" hidden="false" customHeight="true" outlineLevel="0" collapsed="false">
      <c r="A517" s="65" t="n">
        <v>45352</v>
      </c>
      <c r="B517" s="31" t="s">
        <v>11</v>
      </c>
      <c r="C517" s="32"/>
      <c r="D517" s="32"/>
      <c r="E517" s="19" t="n">
        <f aca="false">+IF(C517="EQUIPO",F517,0)</f>
        <v>0</v>
      </c>
      <c r="F517" s="33" t="n">
        <v>0</v>
      </c>
      <c r="G517" s="62"/>
      <c r="H517" s="35" t="n">
        <v>0</v>
      </c>
      <c r="I517" s="34" t="n">
        <f aca="false">+IF(E517=0,0,E517*0.03)</f>
        <v>0</v>
      </c>
    </row>
    <row r="518" customFormat="false" ht="15.75" hidden="false" customHeight="true" outlineLevel="0" collapsed="false">
      <c r="A518" s="65" t="n">
        <v>45352</v>
      </c>
      <c r="B518" s="31" t="s">
        <v>11</v>
      </c>
      <c r="C518" s="32"/>
      <c r="D518" s="32"/>
      <c r="E518" s="19" t="n">
        <f aca="false">+IF(C518="EQUIPO",F518,0)</f>
        <v>0</v>
      </c>
      <c r="F518" s="33" t="n">
        <v>0</v>
      </c>
      <c r="G518" s="62"/>
      <c r="H518" s="35" t="n">
        <v>0</v>
      </c>
      <c r="I518" s="34" t="n">
        <f aca="false">+IF(E518=0,0,E518*0.03)</f>
        <v>0</v>
      </c>
    </row>
    <row r="519" customFormat="false" ht="15.75" hidden="false" customHeight="true" outlineLevel="0" collapsed="false">
      <c r="A519" s="65" t="n">
        <v>45352</v>
      </c>
      <c r="B519" s="31" t="s">
        <v>11</v>
      </c>
      <c r="C519" s="32"/>
      <c r="D519" s="32"/>
      <c r="E519" s="19" t="n">
        <f aca="false">+IF(C519="EQUIPO",F519,0)</f>
        <v>0</v>
      </c>
      <c r="F519" s="33" t="n">
        <v>0</v>
      </c>
      <c r="G519" s="62"/>
      <c r="H519" s="35" t="n">
        <v>0</v>
      </c>
      <c r="I519" s="34" t="n">
        <f aca="false">+IF(E519=0,0,E519*0.03)</f>
        <v>0</v>
      </c>
    </row>
    <row r="520" customFormat="false" ht="15.75" hidden="false" customHeight="true" outlineLevel="0" collapsed="false">
      <c r="A520" s="65" t="n">
        <v>45352</v>
      </c>
      <c r="B520" s="31" t="s">
        <v>11</v>
      </c>
      <c r="C520" s="32"/>
      <c r="D520" s="32"/>
      <c r="E520" s="19" t="n">
        <f aca="false">+IF(C520="EQUIPO",F520,0)</f>
        <v>0</v>
      </c>
      <c r="F520" s="33" t="n">
        <v>0</v>
      </c>
      <c r="G520" s="62"/>
      <c r="H520" s="35" t="n">
        <v>0</v>
      </c>
      <c r="I520" s="34" t="n">
        <f aca="false">+IF(E520=0,0,E520*0.03)</f>
        <v>0</v>
      </c>
    </row>
    <row r="521" customFormat="false" ht="15.75" hidden="false" customHeight="true" outlineLevel="0" collapsed="false">
      <c r="A521" s="65" t="n">
        <v>45352</v>
      </c>
      <c r="B521" s="31" t="s">
        <v>11</v>
      </c>
      <c r="C521" s="32"/>
      <c r="D521" s="32"/>
      <c r="E521" s="19" t="n">
        <f aca="false">+IF(C521="EQUIPO",F521,0)</f>
        <v>0</v>
      </c>
      <c r="F521" s="33" t="n">
        <v>0</v>
      </c>
      <c r="G521" s="62"/>
      <c r="H521" s="35" t="n">
        <v>0</v>
      </c>
      <c r="I521" s="34" t="n">
        <f aca="false">+IF(E521=0,0,E521*0.03)</f>
        <v>0</v>
      </c>
    </row>
    <row r="522" customFormat="false" ht="15.75" hidden="false" customHeight="true" outlineLevel="0" collapsed="false">
      <c r="A522" s="65" t="n">
        <v>45352</v>
      </c>
      <c r="B522" s="31" t="s">
        <v>11</v>
      </c>
      <c r="C522" s="32"/>
      <c r="D522" s="32"/>
      <c r="E522" s="19" t="n">
        <f aca="false">+IF(C522="EQUIPO",F522,0)</f>
        <v>0</v>
      </c>
      <c r="F522" s="33" t="n">
        <v>0</v>
      </c>
      <c r="G522" s="62"/>
      <c r="H522" s="35" t="n">
        <v>0</v>
      </c>
      <c r="I522" s="34" t="n">
        <f aca="false">+IF(E522=0,0,E522*0.03)</f>
        <v>0</v>
      </c>
    </row>
    <row r="523" customFormat="false" ht="15.75" hidden="false" customHeight="true" outlineLevel="0" collapsed="false">
      <c r="A523" s="65" t="n">
        <v>45352</v>
      </c>
      <c r="B523" s="31" t="s">
        <v>11</v>
      </c>
      <c r="C523" s="32"/>
      <c r="D523" s="32"/>
      <c r="E523" s="19" t="n">
        <f aca="false">+IF(C523="EQUIPO",F523,0)</f>
        <v>0</v>
      </c>
      <c r="F523" s="33" t="n">
        <v>0</v>
      </c>
      <c r="G523" s="62"/>
      <c r="H523" s="35" t="n">
        <v>0</v>
      </c>
      <c r="I523" s="34" t="n">
        <f aca="false">+IF(E523=0,0,E523*0.03)</f>
        <v>0</v>
      </c>
    </row>
    <row r="524" customFormat="false" ht="15.75" hidden="false" customHeight="true" outlineLevel="0" collapsed="false">
      <c r="A524" s="65" t="n">
        <v>45352</v>
      </c>
      <c r="B524" s="31" t="s">
        <v>11</v>
      </c>
      <c r="C524" s="32"/>
      <c r="D524" s="32"/>
      <c r="E524" s="19" t="n">
        <f aca="false">+IF(C524="EQUIPO",F524,0)</f>
        <v>0</v>
      </c>
      <c r="F524" s="33" t="n">
        <v>0</v>
      </c>
      <c r="G524" s="62"/>
      <c r="H524" s="35" t="n">
        <v>0</v>
      </c>
      <c r="I524" s="34" t="n">
        <f aca="false">+IF(E524=0,0,E524*0.03)</f>
        <v>0</v>
      </c>
    </row>
    <row r="525" customFormat="false" ht="15.75" hidden="false" customHeight="true" outlineLevel="0" collapsed="false">
      <c r="A525" s="65" t="n">
        <v>45352</v>
      </c>
      <c r="B525" s="31" t="s">
        <v>11</v>
      </c>
      <c r="C525" s="32"/>
      <c r="D525" s="32"/>
      <c r="E525" s="19" t="n">
        <f aca="false">+IF(C525="EQUIPO",F525,0)</f>
        <v>0</v>
      </c>
      <c r="F525" s="33" t="n">
        <v>0</v>
      </c>
      <c r="G525" s="62"/>
      <c r="H525" s="35" t="n">
        <v>0</v>
      </c>
      <c r="I525" s="34" t="n">
        <f aca="false">+IF(E525=0,0,E525*0.03)</f>
        <v>0</v>
      </c>
    </row>
    <row r="526" customFormat="false" ht="15.75" hidden="false" customHeight="true" outlineLevel="0" collapsed="false">
      <c r="A526" s="65" t="n">
        <v>45352</v>
      </c>
      <c r="B526" s="31" t="s">
        <v>11</v>
      </c>
      <c r="C526" s="32"/>
      <c r="D526" s="32"/>
      <c r="E526" s="19" t="n">
        <f aca="false">+IF(C526="EQUIPO",F526,0)</f>
        <v>0</v>
      </c>
      <c r="F526" s="33" t="n">
        <v>0</v>
      </c>
      <c r="G526" s="62"/>
      <c r="H526" s="35" t="n">
        <v>0</v>
      </c>
      <c r="I526" s="34" t="n">
        <f aca="false">+IF(E526=0,0,E526*0.03)</f>
        <v>0</v>
      </c>
    </row>
    <row r="527" customFormat="false" ht="15.75" hidden="false" customHeight="true" outlineLevel="0" collapsed="false">
      <c r="A527" s="65" t="n">
        <v>45352</v>
      </c>
      <c r="B527" s="31" t="s">
        <v>11</v>
      </c>
      <c r="C527" s="32"/>
      <c r="D527" s="32"/>
      <c r="E527" s="19" t="n">
        <f aca="false">+IF(C527="EQUIPO",F527,0)</f>
        <v>0</v>
      </c>
      <c r="F527" s="33" t="n">
        <v>0</v>
      </c>
      <c r="G527" s="62"/>
      <c r="H527" s="35" t="n">
        <v>0</v>
      </c>
      <c r="I527" s="34" t="n">
        <f aca="false">+IF(E527=0,0,E527*0.03)</f>
        <v>0</v>
      </c>
    </row>
    <row r="528" customFormat="false" ht="15.75" hidden="false" customHeight="true" outlineLevel="0" collapsed="false">
      <c r="A528" s="65" t="n">
        <v>45352</v>
      </c>
      <c r="B528" s="31" t="s">
        <v>11</v>
      </c>
      <c r="C528" s="32"/>
      <c r="D528" s="32"/>
      <c r="E528" s="19" t="n">
        <f aca="false">+IF(C528="EQUIPO",F528,0)</f>
        <v>0</v>
      </c>
      <c r="F528" s="33" t="n">
        <v>0</v>
      </c>
      <c r="G528" s="62"/>
      <c r="H528" s="35" t="n">
        <v>0</v>
      </c>
      <c r="I528" s="34" t="n">
        <f aca="false">+IF(E528=0,0,E528*0.03)</f>
        <v>0</v>
      </c>
    </row>
    <row r="529" customFormat="false" ht="15.75" hidden="false" customHeight="true" outlineLevel="0" collapsed="false">
      <c r="A529" s="65" t="n">
        <v>45352</v>
      </c>
      <c r="B529" s="31" t="s">
        <v>11</v>
      </c>
      <c r="C529" s="32"/>
      <c r="D529" s="32"/>
      <c r="E529" s="19" t="n">
        <f aca="false">+IF(C529="EQUIPO",F529,0)</f>
        <v>0</v>
      </c>
      <c r="F529" s="33" t="n">
        <v>0</v>
      </c>
      <c r="G529" s="62"/>
      <c r="H529" s="35" t="n">
        <v>0</v>
      </c>
      <c r="I529" s="34" t="n">
        <f aca="false">+IF(E529=0,0,E529*0.03)</f>
        <v>0</v>
      </c>
    </row>
    <row r="530" customFormat="false" ht="15.75" hidden="false" customHeight="true" outlineLevel="0" collapsed="false">
      <c r="A530" s="65" t="n">
        <v>45352</v>
      </c>
      <c r="B530" s="31" t="s">
        <v>11</v>
      </c>
      <c r="C530" s="32"/>
      <c r="D530" s="32"/>
      <c r="E530" s="19" t="n">
        <f aca="false">+IF(C530="EQUIPO",F530,0)</f>
        <v>0</v>
      </c>
      <c r="F530" s="33" t="n">
        <v>0</v>
      </c>
      <c r="G530" s="62"/>
      <c r="H530" s="35" t="n">
        <v>0</v>
      </c>
      <c r="I530" s="34" t="n">
        <f aca="false">+IF(E530=0,0,E530*0.03)</f>
        <v>0</v>
      </c>
    </row>
    <row r="531" customFormat="false" ht="15.75" hidden="false" customHeight="true" outlineLevel="0" collapsed="false">
      <c r="A531" s="65" t="n">
        <v>45352</v>
      </c>
      <c r="B531" s="31" t="s">
        <v>11</v>
      </c>
      <c r="C531" s="32"/>
      <c r="D531" s="32"/>
      <c r="E531" s="19" t="n">
        <f aca="false">+IF(C531="EQUIPO",F531,0)</f>
        <v>0</v>
      </c>
      <c r="F531" s="33" t="n">
        <v>0</v>
      </c>
      <c r="G531" s="62"/>
      <c r="H531" s="35" t="n">
        <v>0</v>
      </c>
      <c r="I531" s="34" t="n">
        <f aca="false">+IF(E531=0,0,E531*0.03)</f>
        <v>0</v>
      </c>
    </row>
    <row r="532" customFormat="false" ht="15.75" hidden="false" customHeight="true" outlineLevel="0" collapsed="false">
      <c r="A532" s="65" t="n">
        <v>45352</v>
      </c>
      <c r="B532" s="31" t="s">
        <v>11</v>
      </c>
      <c r="C532" s="32"/>
      <c r="D532" s="32"/>
      <c r="E532" s="19" t="n">
        <f aca="false">+IF(C532="EQUIPO",F532,0)</f>
        <v>0</v>
      </c>
      <c r="F532" s="33" t="n">
        <v>0</v>
      </c>
      <c r="G532" s="62"/>
      <c r="H532" s="35" t="n">
        <v>0</v>
      </c>
      <c r="I532" s="34" t="n">
        <f aca="false">+IF(E532=0,0,E532*0.03)</f>
        <v>0</v>
      </c>
    </row>
    <row r="533" customFormat="false" ht="15.75" hidden="false" customHeight="true" outlineLevel="0" collapsed="false">
      <c r="A533" s="65" t="n">
        <v>45352</v>
      </c>
      <c r="B533" s="31" t="s">
        <v>11</v>
      </c>
      <c r="C533" s="32"/>
      <c r="D533" s="32"/>
      <c r="E533" s="19" t="n">
        <f aca="false">+IF(C533="EQUIPO",F533,0)</f>
        <v>0</v>
      </c>
      <c r="F533" s="33" t="n">
        <v>0</v>
      </c>
      <c r="G533" s="62"/>
      <c r="H533" s="35" t="n">
        <v>0</v>
      </c>
      <c r="I533" s="34" t="n">
        <f aca="false">+IF(E533=0,0,E533*0.03)</f>
        <v>0</v>
      </c>
    </row>
    <row r="534" customFormat="false" ht="15.75" hidden="false" customHeight="true" outlineLevel="0" collapsed="false">
      <c r="A534" s="65" t="n">
        <v>45352</v>
      </c>
      <c r="B534" s="31" t="s">
        <v>11</v>
      </c>
      <c r="C534" s="32"/>
      <c r="D534" s="32"/>
      <c r="E534" s="19" t="n">
        <f aca="false">+IF(C534="EQUIPO",F534,0)</f>
        <v>0</v>
      </c>
      <c r="F534" s="33" t="n">
        <v>0</v>
      </c>
      <c r="G534" s="62"/>
      <c r="H534" s="35" t="n">
        <v>0</v>
      </c>
      <c r="I534" s="34" t="n">
        <f aca="false">+IF(E534=0,0,E534*0.03)</f>
        <v>0</v>
      </c>
    </row>
    <row r="535" customFormat="false" ht="15.75" hidden="false" customHeight="true" outlineLevel="0" collapsed="false">
      <c r="A535" s="65" t="n">
        <v>45352</v>
      </c>
      <c r="B535" s="31" t="s">
        <v>11</v>
      </c>
      <c r="C535" s="32"/>
      <c r="D535" s="32"/>
      <c r="E535" s="19" t="n">
        <f aca="false">+IF(C535="EQUIPO",F535,0)</f>
        <v>0</v>
      </c>
      <c r="F535" s="33" t="n">
        <v>0</v>
      </c>
      <c r="G535" s="62"/>
      <c r="H535" s="35" t="n">
        <v>0</v>
      </c>
      <c r="I535" s="34" t="n">
        <f aca="false">+IF(E535=0,0,E535*0.03)</f>
        <v>0</v>
      </c>
    </row>
    <row r="536" customFormat="false" ht="15.75" hidden="false" customHeight="true" outlineLevel="0" collapsed="false">
      <c r="A536" s="65" t="n">
        <v>45352</v>
      </c>
      <c r="B536" s="31" t="s">
        <v>11</v>
      </c>
      <c r="C536" s="32"/>
      <c r="D536" s="32"/>
      <c r="E536" s="19" t="n">
        <f aca="false">+IF(C536="EQUIPO",F536,0)</f>
        <v>0</v>
      </c>
      <c r="F536" s="33" t="n">
        <v>0</v>
      </c>
      <c r="G536" s="62"/>
      <c r="H536" s="35" t="n">
        <v>0</v>
      </c>
      <c r="I536" s="34" t="n">
        <f aca="false">+IF(E536=0,0,E536*0.03)</f>
        <v>0</v>
      </c>
    </row>
    <row r="537" customFormat="false" ht="15.75" hidden="false" customHeight="true" outlineLevel="0" collapsed="false">
      <c r="A537" s="65" t="n">
        <v>45352</v>
      </c>
      <c r="B537" s="31" t="s">
        <v>11</v>
      </c>
      <c r="C537" s="32"/>
      <c r="D537" s="32"/>
      <c r="E537" s="19" t="n">
        <f aca="false">+IF(C537="EQUIPO",F537,0)</f>
        <v>0</v>
      </c>
      <c r="F537" s="33" t="n">
        <v>0</v>
      </c>
      <c r="G537" s="62"/>
      <c r="H537" s="35" t="n">
        <v>0</v>
      </c>
      <c r="I537" s="34" t="n">
        <f aca="false">+IF(E537=0,0,E537*0.03)</f>
        <v>0</v>
      </c>
    </row>
    <row r="538" customFormat="false" ht="15.75" hidden="false" customHeight="true" outlineLevel="0" collapsed="false">
      <c r="A538" s="65" t="n">
        <v>45352</v>
      </c>
      <c r="B538" s="31" t="s">
        <v>11</v>
      </c>
      <c r="C538" s="32"/>
      <c r="D538" s="32"/>
      <c r="E538" s="19" t="n">
        <f aca="false">+IF(C538="EQUIPO",F538,0)</f>
        <v>0</v>
      </c>
      <c r="F538" s="33" t="n">
        <v>0</v>
      </c>
      <c r="G538" s="62"/>
      <c r="H538" s="35" t="n">
        <v>0</v>
      </c>
      <c r="I538" s="34" t="n">
        <f aca="false">+IF(E538=0,0,E538*0.03)</f>
        <v>0</v>
      </c>
    </row>
    <row r="539" customFormat="false" ht="15.75" hidden="false" customHeight="true" outlineLevel="0" collapsed="false">
      <c r="A539" s="65" t="n">
        <v>45352</v>
      </c>
      <c r="B539" s="31" t="s">
        <v>11</v>
      </c>
      <c r="C539" s="32"/>
      <c r="D539" s="32"/>
      <c r="E539" s="19" t="n">
        <f aca="false">+IF(C539="EQUIPO",F539,0)</f>
        <v>0</v>
      </c>
      <c r="F539" s="33" t="n">
        <v>0</v>
      </c>
      <c r="G539" s="62"/>
      <c r="H539" s="35" t="n">
        <v>0</v>
      </c>
      <c r="I539" s="34" t="n">
        <f aca="false">+IF(E539=0,0,E539*0.03)</f>
        <v>0</v>
      </c>
    </row>
    <row r="540" customFormat="false" ht="15.75" hidden="false" customHeight="true" outlineLevel="0" collapsed="false">
      <c r="A540" s="65" t="n">
        <v>45352</v>
      </c>
      <c r="B540" s="31" t="s">
        <v>11</v>
      </c>
      <c r="C540" s="32"/>
      <c r="D540" s="32"/>
      <c r="E540" s="19" t="n">
        <f aca="false">+IF(C540="EQUIPO",F540,0)</f>
        <v>0</v>
      </c>
      <c r="F540" s="33" t="n">
        <v>0</v>
      </c>
      <c r="G540" s="62"/>
      <c r="H540" s="35" t="n">
        <v>0</v>
      </c>
      <c r="I540" s="34" t="n">
        <f aca="false">+IF(E540=0,0,E540*0.03)</f>
        <v>0</v>
      </c>
    </row>
    <row r="541" customFormat="false" ht="15.75" hidden="false" customHeight="true" outlineLevel="0" collapsed="false">
      <c r="A541" s="65" t="n">
        <v>45352</v>
      </c>
      <c r="B541" s="31" t="s">
        <v>11</v>
      </c>
      <c r="C541" s="32"/>
      <c r="D541" s="32"/>
      <c r="E541" s="19" t="n">
        <f aca="false">+IF(C541="EQUIPO",F541,0)</f>
        <v>0</v>
      </c>
      <c r="F541" s="33" t="n">
        <v>0</v>
      </c>
      <c r="G541" s="62"/>
      <c r="H541" s="35" t="n">
        <v>0</v>
      </c>
      <c r="I541" s="34" t="n">
        <f aca="false">+IF(E541=0,0,E541*0.03)</f>
        <v>0</v>
      </c>
    </row>
    <row r="542" customFormat="false" ht="15.75" hidden="false" customHeight="true" outlineLevel="0" collapsed="false">
      <c r="A542" s="65" t="n">
        <v>45352</v>
      </c>
      <c r="B542" s="31" t="s">
        <v>11</v>
      </c>
      <c r="C542" s="32"/>
      <c r="D542" s="32"/>
      <c r="E542" s="19" t="n">
        <f aca="false">+IF(C542="EQUIPO",F542,0)</f>
        <v>0</v>
      </c>
      <c r="F542" s="33" t="n">
        <v>0</v>
      </c>
      <c r="G542" s="62"/>
      <c r="H542" s="35" t="n">
        <v>0</v>
      </c>
      <c r="I542" s="34" t="n">
        <f aca="false">+IF(E542=0,0,E542*0.03)</f>
        <v>0</v>
      </c>
    </row>
    <row r="543" customFormat="false" ht="15.75" hidden="false" customHeight="true" outlineLevel="0" collapsed="false">
      <c r="A543" s="65" t="n">
        <v>45352</v>
      </c>
      <c r="B543" s="31" t="s">
        <v>11</v>
      </c>
      <c r="C543" s="32"/>
      <c r="D543" s="32"/>
      <c r="E543" s="19" t="n">
        <f aca="false">+IF(C543="EQUIPO",F543,0)</f>
        <v>0</v>
      </c>
      <c r="F543" s="33" t="n">
        <v>0</v>
      </c>
      <c r="G543" s="62"/>
      <c r="H543" s="35" t="n">
        <v>0</v>
      </c>
      <c r="I543" s="34" t="n">
        <f aca="false">+IF(E543=0,0,E543*0.03)</f>
        <v>0</v>
      </c>
    </row>
    <row r="544" customFormat="false" ht="15.75" hidden="false" customHeight="true" outlineLevel="0" collapsed="false">
      <c r="A544" s="65" t="n">
        <v>45352</v>
      </c>
      <c r="B544" s="31" t="s">
        <v>11</v>
      </c>
      <c r="C544" s="32"/>
      <c r="D544" s="32"/>
      <c r="E544" s="19" t="n">
        <f aca="false">+IF(C544="EQUIPO",F544,0)</f>
        <v>0</v>
      </c>
      <c r="F544" s="33" t="n">
        <v>0</v>
      </c>
      <c r="G544" s="62"/>
      <c r="H544" s="35" t="n">
        <v>0</v>
      </c>
      <c r="I544" s="34" t="n">
        <f aca="false">+IF(E544=0,0,E544*0.03)</f>
        <v>0</v>
      </c>
    </row>
    <row r="545" customFormat="false" ht="15.75" hidden="false" customHeight="true" outlineLevel="0" collapsed="false">
      <c r="A545" s="65" t="n">
        <v>45352</v>
      </c>
      <c r="B545" s="31" t="s">
        <v>11</v>
      </c>
      <c r="C545" s="32"/>
      <c r="D545" s="32"/>
      <c r="E545" s="19" t="n">
        <f aca="false">+IF(C545="EQUIPO",F545,0)</f>
        <v>0</v>
      </c>
      <c r="F545" s="33" t="n">
        <v>0</v>
      </c>
      <c r="G545" s="62"/>
      <c r="H545" s="35" t="n">
        <v>0</v>
      </c>
      <c r="I545" s="34" t="n">
        <f aca="false">+IF(E545=0,0,E545*0.03)</f>
        <v>0</v>
      </c>
    </row>
    <row r="546" customFormat="false" ht="15.75" hidden="false" customHeight="true" outlineLevel="0" collapsed="false">
      <c r="A546" s="65" t="n">
        <v>45352</v>
      </c>
      <c r="B546" s="31" t="s">
        <v>11</v>
      </c>
      <c r="C546" s="32"/>
      <c r="D546" s="32"/>
      <c r="E546" s="19" t="n">
        <f aca="false">+IF(C546="EQUIPO",F546,0)</f>
        <v>0</v>
      </c>
      <c r="F546" s="33" t="n">
        <v>0</v>
      </c>
      <c r="G546" s="62"/>
      <c r="H546" s="35" t="n">
        <v>0</v>
      </c>
      <c r="I546" s="34" t="n">
        <f aca="false">+IF(E546=0,0,E546*0.03)</f>
        <v>0</v>
      </c>
    </row>
    <row r="547" customFormat="false" ht="15.75" hidden="false" customHeight="true" outlineLevel="0" collapsed="false">
      <c r="A547" s="65" t="n">
        <v>45352</v>
      </c>
      <c r="B547" s="31" t="s">
        <v>11</v>
      </c>
      <c r="C547" s="32"/>
      <c r="D547" s="32"/>
      <c r="E547" s="19" t="n">
        <f aca="false">+IF(C547="EQUIPO",F547,0)</f>
        <v>0</v>
      </c>
      <c r="F547" s="33" t="n">
        <v>0</v>
      </c>
      <c r="G547" s="62"/>
      <c r="H547" s="35" t="n">
        <v>0</v>
      </c>
      <c r="I547" s="34" t="n">
        <f aca="false">+IF(E547=0,0,E547*0.03)</f>
        <v>0</v>
      </c>
    </row>
    <row r="548" customFormat="false" ht="15.75" hidden="false" customHeight="true" outlineLevel="0" collapsed="false">
      <c r="A548" s="65" t="n">
        <v>45352</v>
      </c>
      <c r="B548" s="31" t="s">
        <v>11</v>
      </c>
      <c r="C548" s="32"/>
      <c r="D548" s="32"/>
      <c r="E548" s="19" t="n">
        <f aca="false">+IF(C548="EQUIPO",F548,0)</f>
        <v>0</v>
      </c>
      <c r="F548" s="33" t="n">
        <v>0</v>
      </c>
      <c r="G548" s="62"/>
      <c r="H548" s="35" t="n">
        <v>0</v>
      </c>
      <c r="I548" s="34" t="n">
        <f aca="false">+IF(E548=0,0,E548*0.03)</f>
        <v>0</v>
      </c>
    </row>
    <row r="549" customFormat="false" ht="15.75" hidden="false" customHeight="true" outlineLevel="0" collapsed="false">
      <c r="A549" s="65" t="n">
        <v>45352</v>
      </c>
      <c r="B549" s="31" t="s">
        <v>11</v>
      </c>
      <c r="C549" s="32"/>
      <c r="D549" s="32"/>
      <c r="E549" s="19" t="n">
        <f aca="false">+IF(C549="EQUIPO",F549,0)</f>
        <v>0</v>
      </c>
      <c r="F549" s="33" t="n">
        <v>0</v>
      </c>
      <c r="G549" s="62"/>
      <c r="H549" s="35" t="n">
        <v>0</v>
      </c>
      <c r="I549" s="34" t="n">
        <f aca="false">+IF(E549=0,0,E549*0.03)</f>
        <v>0</v>
      </c>
    </row>
    <row r="550" customFormat="false" ht="15.75" hidden="false" customHeight="true" outlineLevel="0" collapsed="false">
      <c r="A550" s="65" t="n">
        <v>45352</v>
      </c>
      <c r="B550" s="31" t="s">
        <v>11</v>
      </c>
      <c r="C550" s="32"/>
      <c r="D550" s="32"/>
      <c r="E550" s="19" t="n">
        <f aca="false">+IF(C550="EQUIPO",F550,0)</f>
        <v>0</v>
      </c>
      <c r="F550" s="33" t="n">
        <v>0</v>
      </c>
      <c r="G550" s="62"/>
      <c r="H550" s="35" t="n">
        <v>0</v>
      </c>
      <c r="I550" s="34" t="n">
        <f aca="false">+IF(E550=0,0,E550*0.03)</f>
        <v>0</v>
      </c>
    </row>
    <row r="551" customFormat="false" ht="15.75" hidden="false" customHeight="true" outlineLevel="0" collapsed="false">
      <c r="A551" s="65" t="n">
        <v>45352</v>
      </c>
      <c r="B551" s="31" t="s">
        <v>11</v>
      </c>
      <c r="C551" s="32"/>
      <c r="D551" s="32"/>
      <c r="E551" s="19" t="n">
        <f aca="false">+IF(C551="EQUIPO",F551,0)</f>
        <v>0</v>
      </c>
      <c r="F551" s="33" t="n">
        <v>0</v>
      </c>
      <c r="G551" s="62"/>
      <c r="H551" s="35" t="n">
        <v>0</v>
      </c>
      <c r="I551" s="34" t="n">
        <f aca="false">+IF(E551=0,0,E551*0.03)</f>
        <v>0</v>
      </c>
    </row>
    <row r="552" customFormat="false" ht="15.75" hidden="false" customHeight="true" outlineLevel="0" collapsed="false">
      <c r="A552" s="65" t="n">
        <v>45352</v>
      </c>
      <c r="B552" s="31" t="s">
        <v>11</v>
      </c>
      <c r="C552" s="32"/>
      <c r="D552" s="32"/>
      <c r="E552" s="19" t="n">
        <f aca="false">+IF(C552="EQUIPO",F552,0)</f>
        <v>0</v>
      </c>
      <c r="F552" s="33" t="n">
        <v>0</v>
      </c>
      <c r="G552" s="62"/>
      <c r="H552" s="35" t="n">
        <v>0</v>
      </c>
      <c r="I552" s="34" t="n">
        <f aca="false">+IF(E552=0,0,E552*0.03)</f>
        <v>0</v>
      </c>
    </row>
    <row r="553" customFormat="false" ht="15.75" hidden="false" customHeight="true" outlineLevel="0" collapsed="false">
      <c r="A553" s="65" t="n">
        <v>45352</v>
      </c>
      <c r="B553" s="31" t="s">
        <v>11</v>
      </c>
      <c r="C553" s="32"/>
      <c r="D553" s="32"/>
      <c r="E553" s="19" t="n">
        <f aca="false">+IF(C553="EQUIPO",F553,0)</f>
        <v>0</v>
      </c>
      <c r="F553" s="33" t="n">
        <v>0</v>
      </c>
      <c r="G553" s="62"/>
      <c r="H553" s="35" t="n">
        <v>0</v>
      </c>
      <c r="I553" s="34" t="n">
        <f aca="false">+IF(E553=0,0,E553*0.03)</f>
        <v>0</v>
      </c>
    </row>
    <row r="554" customFormat="false" ht="15.75" hidden="false" customHeight="true" outlineLevel="0" collapsed="false">
      <c r="A554" s="65" t="n">
        <v>45352</v>
      </c>
      <c r="B554" s="31" t="s">
        <v>11</v>
      </c>
      <c r="C554" s="32"/>
      <c r="D554" s="32"/>
      <c r="E554" s="19" t="n">
        <f aca="false">+IF(C554="EQUIPO",F554,0)</f>
        <v>0</v>
      </c>
      <c r="F554" s="33" t="n">
        <v>0</v>
      </c>
      <c r="G554" s="62"/>
      <c r="H554" s="35" t="n">
        <v>0</v>
      </c>
      <c r="I554" s="34" t="n">
        <f aca="false">+IF(E554=0,0,E554*0.03)</f>
        <v>0</v>
      </c>
    </row>
    <row r="555" customFormat="false" ht="15.75" hidden="false" customHeight="true" outlineLevel="0" collapsed="false">
      <c r="A555" s="65" t="n">
        <v>45352</v>
      </c>
      <c r="B555" s="31" t="s">
        <v>11</v>
      </c>
      <c r="C555" s="32"/>
      <c r="D555" s="32"/>
      <c r="E555" s="19" t="n">
        <f aca="false">+IF(C555="EQUIPO",F555,0)</f>
        <v>0</v>
      </c>
      <c r="F555" s="33" t="n">
        <v>0</v>
      </c>
      <c r="G555" s="62"/>
      <c r="H555" s="35" t="n">
        <v>0</v>
      </c>
      <c r="I555" s="34" t="n">
        <f aca="false">+IF(E555=0,0,E555*0.03)</f>
        <v>0</v>
      </c>
    </row>
    <row r="556" customFormat="false" ht="15.75" hidden="false" customHeight="true" outlineLevel="0" collapsed="false">
      <c r="A556" s="65" t="n">
        <v>45352</v>
      </c>
      <c r="B556" s="31" t="s">
        <v>11</v>
      </c>
      <c r="C556" s="32"/>
      <c r="D556" s="32"/>
      <c r="E556" s="19" t="n">
        <f aca="false">+IF(C556="EQUIPO",F556,0)</f>
        <v>0</v>
      </c>
      <c r="F556" s="33" t="n">
        <v>0</v>
      </c>
      <c r="G556" s="62"/>
      <c r="H556" s="35" t="n">
        <v>0</v>
      </c>
      <c r="I556" s="34" t="n">
        <f aca="false">+IF(E556=0,0,E556*0.03)</f>
        <v>0</v>
      </c>
    </row>
    <row r="557" customFormat="false" ht="15.75" hidden="false" customHeight="true" outlineLevel="0" collapsed="false">
      <c r="A557" s="65" t="n">
        <v>45352</v>
      </c>
      <c r="B557" s="31" t="s">
        <v>11</v>
      </c>
      <c r="C557" s="32"/>
      <c r="D557" s="32"/>
      <c r="E557" s="19" t="n">
        <f aca="false">+IF(C557="EQUIPO",F557,0)</f>
        <v>0</v>
      </c>
      <c r="F557" s="33" t="n">
        <v>0</v>
      </c>
      <c r="G557" s="62"/>
      <c r="H557" s="35" t="n">
        <v>0</v>
      </c>
      <c r="I557" s="34" t="n">
        <f aca="false">+IF(E557=0,0,E557*0.03)</f>
        <v>0</v>
      </c>
    </row>
    <row r="558" customFormat="false" ht="15.75" hidden="false" customHeight="true" outlineLevel="0" collapsed="false">
      <c r="A558" s="65" t="n">
        <v>45352</v>
      </c>
      <c r="B558" s="31" t="s">
        <v>11</v>
      </c>
      <c r="C558" s="32"/>
      <c r="D558" s="32"/>
      <c r="E558" s="19" t="n">
        <f aca="false">+IF(C558="EQUIPO",F558,0)</f>
        <v>0</v>
      </c>
      <c r="F558" s="33" t="n">
        <v>0</v>
      </c>
      <c r="G558" s="62"/>
      <c r="H558" s="35" t="n">
        <v>0</v>
      </c>
      <c r="I558" s="34" t="n">
        <f aca="false">+IF(E558=0,0,E558*0.03)</f>
        <v>0</v>
      </c>
    </row>
    <row r="559" customFormat="false" ht="15.75" hidden="false" customHeight="true" outlineLevel="0" collapsed="false">
      <c r="A559" s="65" t="n">
        <v>45352</v>
      </c>
      <c r="B559" s="31" t="s">
        <v>11</v>
      </c>
      <c r="C559" s="32"/>
      <c r="D559" s="32"/>
      <c r="E559" s="19" t="n">
        <f aca="false">+IF(C559="EQUIPO",F559,0)</f>
        <v>0</v>
      </c>
      <c r="F559" s="33" t="n">
        <v>0</v>
      </c>
      <c r="G559" s="62"/>
      <c r="H559" s="35" t="n">
        <v>0</v>
      </c>
      <c r="I559" s="34" t="n">
        <f aca="false">+IF(E559=0,0,E559*0.03)</f>
        <v>0</v>
      </c>
    </row>
    <row r="560" customFormat="false" ht="15.75" hidden="false" customHeight="true" outlineLevel="0" collapsed="false">
      <c r="A560" s="65" t="n">
        <v>45352</v>
      </c>
      <c r="B560" s="31" t="s">
        <v>11</v>
      </c>
      <c r="C560" s="32"/>
      <c r="D560" s="32"/>
      <c r="E560" s="19" t="n">
        <f aca="false">+IF(C560="EQUIPO",F560,0)</f>
        <v>0</v>
      </c>
      <c r="F560" s="33" t="n">
        <v>0</v>
      </c>
      <c r="G560" s="62"/>
      <c r="H560" s="35" t="n">
        <v>0</v>
      </c>
      <c r="I560" s="34" t="n">
        <f aca="false">+IF(E560=0,0,E560*0.03)</f>
        <v>0</v>
      </c>
    </row>
    <row r="561" customFormat="false" ht="15.75" hidden="false" customHeight="true" outlineLevel="0" collapsed="false">
      <c r="A561" s="65" t="n">
        <v>45352</v>
      </c>
      <c r="B561" s="31" t="s">
        <v>11</v>
      </c>
      <c r="C561" s="32"/>
      <c r="D561" s="32"/>
      <c r="E561" s="19" t="n">
        <f aca="false">+IF(C561="EQUIPO",F561,0)</f>
        <v>0</v>
      </c>
      <c r="F561" s="33" t="n">
        <v>0</v>
      </c>
      <c r="G561" s="62"/>
      <c r="H561" s="35" t="n">
        <v>0</v>
      </c>
      <c r="I561" s="34" t="n">
        <f aca="false">+IF(E561=0,0,E561*0.03)</f>
        <v>0</v>
      </c>
    </row>
    <row r="562" customFormat="false" ht="15.75" hidden="false" customHeight="true" outlineLevel="0" collapsed="false">
      <c r="A562" s="65" t="n">
        <v>45352</v>
      </c>
      <c r="B562" s="31" t="s">
        <v>11</v>
      </c>
      <c r="C562" s="32"/>
      <c r="D562" s="32"/>
      <c r="E562" s="19" t="n">
        <f aca="false">+IF(C562="EQUIPO",F562,0)</f>
        <v>0</v>
      </c>
      <c r="F562" s="33" t="n">
        <v>0</v>
      </c>
      <c r="G562" s="62"/>
      <c r="H562" s="35" t="n">
        <v>0</v>
      </c>
      <c r="I562" s="34" t="n">
        <f aca="false">+IF(E562=0,0,E562*0.03)</f>
        <v>0</v>
      </c>
    </row>
    <row r="563" customFormat="false" ht="15.75" hidden="false" customHeight="true" outlineLevel="0" collapsed="false">
      <c r="A563" s="65" t="n">
        <v>45352</v>
      </c>
      <c r="B563" s="31" t="s">
        <v>11</v>
      </c>
      <c r="C563" s="32"/>
      <c r="D563" s="32"/>
      <c r="E563" s="19" t="n">
        <f aca="false">+IF(C563="EQUIPO",F563,0)</f>
        <v>0</v>
      </c>
      <c r="F563" s="33" t="n">
        <v>0</v>
      </c>
      <c r="G563" s="62"/>
      <c r="H563" s="35" t="n">
        <v>0</v>
      </c>
      <c r="I563" s="34" t="n">
        <f aca="false">+IF(E563=0,0,E563*0.03)</f>
        <v>0</v>
      </c>
    </row>
    <row r="564" customFormat="false" ht="15.75" hidden="false" customHeight="true" outlineLevel="0" collapsed="false">
      <c r="A564" s="65" t="n">
        <v>45352</v>
      </c>
      <c r="B564" s="31" t="s">
        <v>11</v>
      </c>
      <c r="C564" s="32"/>
      <c r="D564" s="32"/>
      <c r="E564" s="19" t="n">
        <f aca="false">+IF(C564="EQUIPO",F564,0)</f>
        <v>0</v>
      </c>
      <c r="F564" s="33" t="n">
        <v>0</v>
      </c>
      <c r="G564" s="62"/>
      <c r="H564" s="35" t="n">
        <v>0</v>
      </c>
      <c r="I564" s="34" t="n">
        <f aca="false">+IF(E564=0,0,E564*0.03)</f>
        <v>0</v>
      </c>
    </row>
    <row r="565" customFormat="false" ht="15.75" hidden="false" customHeight="true" outlineLevel="0" collapsed="false">
      <c r="A565" s="65" t="n">
        <v>45352</v>
      </c>
      <c r="B565" s="31" t="s">
        <v>11</v>
      </c>
      <c r="C565" s="32"/>
      <c r="D565" s="32"/>
      <c r="E565" s="19" t="n">
        <f aca="false">+IF(C565="EQUIPO",F565,0)</f>
        <v>0</v>
      </c>
      <c r="F565" s="33" t="n">
        <v>0</v>
      </c>
      <c r="G565" s="62"/>
      <c r="H565" s="35" t="n">
        <v>0</v>
      </c>
      <c r="I565" s="34" t="n">
        <f aca="false">+IF(E565=0,0,E565*0.03)</f>
        <v>0</v>
      </c>
    </row>
    <row r="566" customFormat="false" ht="15.75" hidden="false" customHeight="true" outlineLevel="0" collapsed="false">
      <c r="A566" s="65" t="n">
        <v>45352</v>
      </c>
      <c r="B566" s="31" t="s">
        <v>11</v>
      </c>
      <c r="C566" s="32"/>
      <c r="D566" s="32"/>
      <c r="E566" s="19" t="n">
        <f aca="false">+IF(C566="EQUIPO",F566,0)</f>
        <v>0</v>
      </c>
      <c r="F566" s="33" t="n">
        <v>0</v>
      </c>
      <c r="G566" s="62"/>
      <c r="H566" s="35" t="n">
        <v>0</v>
      </c>
      <c r="I566" s="34" t="n">
        <f aca="false">+IF(E566=0,0,E566*0.03)</f>
        <v>0</v>
      </c>
    </row>
    <row r="567" customFormat="false" ht="15.75" hidden="false" customHeight="true" outlineLevel="0" collapsed="false">
      <c r="A567" s="65" t="n">
        <v>45352</v>
      </c>
      <c r="B567" s="31" t="s">
        <v>11</v>
      </c>
      <c r="C567" s="32"/>
      <c r="D567" s="32"/>
      <c r="E567" s="19" t="n">
        <f aca="false">+IF(C567="EQUIPO",F567,0)</f>
        <v>0</v>
      </c>
      <c r="F567" s="33" t="n">
        <v>0</v>
      </c>
      <c r="G567" s="62"/>
      <c r="H567" s="35" t="n">
        <v>0</v>
      </c>
      <c r="I567" s="34" t="n">
        <f aca="false">+IF(E567=0,0,E567*0.03)</f>
        <v>0</v>
      </c>
    </row>
    <row r="568" customFormat="false" ht="15.75" hidden="false" customHeight="true" outlineLevel="0" collapsed="false">
      <c r="A568" s="65" t="n">
        <v>45352</v>
      </c>
      <c r="B568" s="31" t="s">
        <v>11</v>
      </c>
      <c r="C568" s="32"/>
      <c r="D568" s="32"/>
      <c r="E568" s="19" t="n">
        <f aca="false">+IF(C568="EQUIPO",F568,0)</f>
        <v>0</v>
      </c>
      <c r="F568" s="33" t="n">
        <v>0</v>
      </c>
      <c r="G568" s="62"/>
      <c r="H568" s="35" t="n">
        <v>0</v>
      </c>
      <c r="I568" s="34" t="n">
        <f aca="false">+IF(E568=0,0,E568*0.03)</f>
        <v>0</v>
      </c>
    </row>
    <row r="569" customFormat="false" ht="15.75" hidden="false" customHeight="true" outlineLevel="0" collapsed="false">
      <c r="A569" s="65" t="n">
        <v>45352</v>
      </c>
      <c r="B569" s="31" t="s">
        <v>11</v>
      </c>
      <c r="C569" s="32"/>
      <c r="D569" s="32"/>
      <c r="E569" s="19" t="n">
        <f aca="false">+IF(C569="EQUIPO",F569,0)</f>
        <v>0</v>
      </c>
      <c r="F569" s="33" t="n">
        <v>0</v>
      </c>
      <c r="G569" s="62"/>
      <c r="H569" s="35" t="n">
        <v>0</v>
      </c>
      <c r="I569" s="34" t="n">
        <f aca="false">+IF(E569=0,0,E569*0.03)</f>
        <v>0</v>
      </c>
    </row>
    <row r="570" customFormat="false" ht="15.75" hidden="false" customHeight="true" outlineLevel="0" collapsed="false">
      <c r="A570" s="65" t="n">
        <v>45352</v>
      </c>
      <c r="B570" s="31" t="s">
        <v>11</v>
      </c>
      <c r="C570" s="32"/>
      <c r="D570" s="32"/>
      <c r="E570" s="19" t="n">
        <f aca="false">+IF(C570="EQUIPO",F570,0)</f>
        <v>0</v>
      </c>
      <c r="F570" s="33" t="n">
        <v>0</v>
      </c>
      <c r="G570" s="62"/>
      <c r="H570" s="35" t="n">
        <v>0</v>
      </c>
      <c r="I570" s="34" t="n">
        <f aca="false">+IF(E570=0,0,E570*0.03)</f>
        <v>0</v>
      </c>
    </row>
    <row r="571" customFormat="false" ht="15.75" hidden="false" customHeight="true" outlineLevel="0" collapsed="false">
      <c r="A571" s="65" t="n">
        <v>45352</v>
      </c>
      <c r="B571" s="31" t="s">
        <v>11</v>
      </c>
      <c r="C571" s="32"/>
      <c r="D571" s="32"/>
      <c r="E571" s="19" t="n">
        <f aca="false">+IF(C571="EQUIPO",F571,0)</f>
        <v>0</v>
      </c>
      <c r="F571" s="33" t="n">
        <v>0</v>
      </c>
      <c r="G571" s="62"/>
      <c r="H571" s="35" t="n">
        <v>0</v>
      </c>
      <c r="I571" s="34" t="n">
        <f aca="false">+IF(E571=0,0,E571*0.03)</f>
        <v>0</v>
      </c>
    </row>
    <row r="572" customFormat="false" ht="15.75" hidden="false" customHeight="true" outlineLevel="0" collapsed="false">
      <c r="A572" s="65" t="n">
        <v>45352</v>
      </c>
      <c r="B572" s="31" t="s">
        <v>11</v>
      </c>
      <c r="C572" s="32"/>
      <c r="D572" s="32"/>
      <c r="E572" s="19" t="n">
        <f aca="false">+IF(C572="EQUIPO",F572,0)</f>
        <v>0</v>
      </c>
      <c r="F572" s="33" t="n">
        <v>0</v>
      </c>
      <c r="G572" s="62"/>
      <c r="H572" s="35" t="n">
        <v>0</v>
      </c>
      <c r="I572" s="34" t="n">
        <f aca="false">+IF(E572=0,0,E572*0.03)</f>
        <v>0</v>
      </c>
    </row>
    <row r="573" customFormat="false" ht="15.75" hidden="false" customHeight="true" outlineLevel="0" collapsed="false">
      <c r="A573" s="65" t="n">
        <v>45352</v>
      </c>
      <c r="B573" s="31" t="s">
        <v>11</v>
      </c>
      <c r="C573" s="32"/>
      <c r="D573" s="32"/>
      <c r="E573" s="19" t="n">
        <f aca="false">+IF(C573="EQUIPO",F573,0)</f>
        <v>0</v>
      </c>
      <c r="F573" s="33" t="n">
        <v>0</v>
      </c>
      <c r="G573" s="62"/>
      <c r="H573" s="35" t="n">
        <v>0</v>
      </c>
      <c r="I573" s="34" t="n">
        <f aca="false">+IF(E573=0,0,E573*0.03)</f>
        <v>0</v>
      </c>
    </row>
    <row r="574" customFormat="false" ht="15.75" hidden="false" customHeight="true" outlineLevel="0" collapsed="false">
      <c r="A574" s="65" t="n">
        <v>45352</v>
      </c>
      <c r="B574" s="31" t="s">
        <v>11</v>
      </c>
      <c r="C574" s="32"/>
      <c r="D574" s="32"/>
      <c r="E574" s="19" t="n">
        <f aca="false">+IF(C574="EQUIPO",F574,0)</f>
        <v>0</v>
      </c>
      <c r="F574" s="33" t="n">
        <v>0</v>
      </c>
      <c r="G574" s="62"/>
      <c r="H574" s="35" t="n">
        <v>0</v>
      </c>
      <c r="I574" s="34" t="n">
        <f aca="false">+IF(E574=0,0,E574*0.03)</f>
        <v>0</v>
      </c>
    </row>
    <row r="575" customFormat="false" ht="15.75" hidden="false" customHeight="true" outlineLevel="0" collapsed="false">
      <c r="A575" s="65" t="n">
        <v>45352</v>
      </c>
      <c r="B575" s="31" t="s">
        <v>11</v>
      </c>
      <c r="C575" s="32"/>
      <c r="D575" s="32"/>
      <c r="E575" s="19" t="n">
        <f aca="false">+IF(C575="EQUIPO",F575,0)</f>
        <v>0</v>
      </c>
      <c r="F575" s="33" t="n">
        <v>0</v>
      </c>
      <c r="G575" s="62"/>
      <c r="H575" s="35" t="n">
        <v>0</v>
      </c>
      <c r="I575" s="34" t="n">
        <f aca="false">+IF(E575=0,0,E575*0.03)</f>
        <v>0</v>
      </c>
    </row>
    <row r="576" customFormat="false" ht="15.75" hidden="false" customHeight="true" outlineLevel="0" collapsed="false">
      <c r="A576" s="65" t="n">
        <v>45352</v>
      </c>
      <c r="B576" s="31" t="s">
        <v>11</v>
      </c>
      <c r="C576" s="32"/>
      <c r="D576" s="32"/>
      <c r="E576" s="19" t="n">
        <f aca="false">+IF(C576="EQUIPO",F576,0)</f>
        <v>0</v>
      </c>
      <c r="F576" s="33" t="n">
        <v>0</v>
      </c>
      <c r="G576" s="62"/>
      <c r="H576" s="35" t="n">
        <v>0</v>
      </c>
      <c r="I576" s="34" t="n">
        <f aca="false">+IF(E576=0,0,E576*0.03)</f>
        <v>0</v>
      </c>
    </row>
    <row r="577" customFormat="false" ht="15.75" hidden="false" customHeight="true" outlineLevel="0" collapsed="false">
      <c r="A577" s="65" t="n">
        <v>45352</v>
      </c>
      <c r="B577" s="31" t="s">
        <v>11</v>
      </c>
      <c r="C577" s="32"/>
      <c r="D577" s="32"/>
      <c r="E577" s="19" t="n">
        <f aca="false">+IF(C577="EQUIPO",F577,0)</f>
        <v>0</v>
      </c>
      <c r="F577" s="33" t="n">
        <v>0</v>
      </c>
      <c r="G577" s="62"/>
      <c r="H577" s="35" t="n">
        <v>0</v>
      </c>
      <c r="I577" s="34" t="n">
        <f aca="false">+IF(E577=0,0,E577*0.03)</f>
        <v>0</v>
      </c>
    </row>
    <row r="578" customFormat="false" ht="15.75" hidden="false" customHeight="true" outlineLevel="0" collapsed="false">
      <c r="A578" s="65" t="n">
        <v>45352</v>
      </c>
      <c r="B578" s="31" t="s">
        <v>11</v>
      </c>
      <c r="C578" s="32"/>
      <c r="D578" s="32"/>
      <c r="E578" s="19" t="n">
        <f aca="false">+IF(C578="EQUIPO",F578,0)</f>
        <v>0</v>
      </c>
      <c r="F578" s="33" t="n">
        <v>0</v>
      </c>
      <c r="G578" s="62"/>
      <c r="H578" s="35" t="n">
        <v>0</v>
      </c>
      <c r="I578" s="34" t="n">
        <f aca="false">+IF(E578=0,0,E578*0.03)</f>
        <v>0</v>
      </c>
    </row>
    <row r="579" customFormat="false" ht="15.75" hidden="false" customHeight="true" outlineLevel="0" collapsed="false">
      <c r="A579" s="65" t="n">
        <v>45352</v>
      </c>
      <c r="B579" s="31" t="s">
        <v>11</v>
      </c>
      <c r="C579" s="32"/>
      <c r="D579" s="32"/>
      <c r="E579" s="19" t="n">
        <f aca="false">+IF(C579="EQUIPO",F579,0)</f>
        <v>0</v>
      </c>
      <c r="F579" s="33" t="n">
        <v>0</v>
      </c>
      <c r="G579" s="62"/>
      <c r="H579" s="35" t="n">
        <v>0</v>
      </c>
      <c r="I579" s="34" t="n">
        <f aca="false">+IF(E579=0,0,E579*0.03)</f>
        <v>0</v>
      </c>
    </row>
    <row r="580" customFormat="false" ht="15.75" hidden="false" customHeight="true" outlineLevel="0" collapsed="false">
      <c r="A580" s="65" t="n">
        <v>45352</v>
      </c>
      <c r="B580" s="31" t="s">
        <v>11</v>
      </c>
      <c r="C580" s="32"/>
      <c r="D580" s="32"/>
      <c r="E580" s="19" t="n">
        <f aca="false">+IF(C580="EQUIPO",F580,0)</f>
        <v>0</v>
      </c>
      <c r="F580" s="33" t="n">
        <v>0</v>
      </c>
      <c r="G580" s="62"/>
      <c r="H580" s="35" t="n">
        <v>0</v>
      </c>
      <c r="I580" s="34" t="n">
        <f aca="false">+IF(E580=0,0,E580*0.03)</f>
        <v>0</v>
      </c>
    </row>
    <row r="581" customFormat="false" ht="15.75" hidden="false" customHeight="true" outlineLevel="0" collapsed="false">
      <c r="A581" s="65" t="n">
        <v>45352</v>
      </c>
      <c r="B581" s="31" t="s">
        <v>11</v>
      </c>
      <c r="C581" s="32"/>
      <c r="D581" s="32"/>
      <c r="E581" s="19" t="n">
        <f aca="false">+IF(C581="EQUIPO",F581,0)</f>
        <v>0</v>
      </c>
      <c r="F581" s="33" t="n">
        <v>0</v>
      </c>
      <c r="G581" s="62"/>
      <c r="H581" s="35" t="n">
        <v>0</v>
      </c>
      <c r="I581" s="34" t="n">
        <f aca="false">+IF(E581=0,0,E581*0.03)</f>
        <v>0</v>
      </c>
    </row>
    <row r="582" customFormat="false" ht="15.75" hidden="false" customHeight="true" outlineLevel="0" collapsed="false">
      <c r="A582" s="65" t="n">
        <v>45352</v>
      </c>
      <c r="B582" s="31" t="s">
        <v>11</v>
      </c>
      <c r="C582" s="32"/>
      <c r="D582" s="32"/>
      <c r="E582" s="19" t="n">
        <f aca="false">+IF(C582="EQUIPO",F582,0)</f>
        <v>0</v>
      </c>
      <c r="F582" s="33" t="n">
        <v>0</v>
      </c>
      <c r="G582" s="62"/>
      <c r="H582" s="35" t="n">
        <v>0</v>
      </c>
      <c r="I582" s="34" t="n">
        <f aca="false">+IF(E582=0,0,E582*0.03)</f>
        <v>0</v>
      </c>
    </row>
    <row r="583" customFormat="false" ht="15.75" hidden="false" customHeight="true" outlineLevel="0" collapsed="false">
      <c r="A583" s="65" t="n">
        <v>45352</v>
      </c>
      <c r="B583" s="31" t="s">
        <v>11</v>
      </c>
      <c r="C583" s="32"/>
      <c r="D583" s="32"/>
      <c r="E583" s="19" t="n">
        <f aca="false">+IF(C583="EQUIPO",F583,0)</f>
        <v>0</v>
      </c>
      <c r="F583" s="33" t="n">
        <v>0</v>
      </c>
      <c r="G583" s="62"/>
      <c r="H583" s="35" t="n">
        <v>0</v>
      </c>
      <c r="I583" s="34" t="n">
        <f aca="false">+IF(E583=0,0,E583*0.03)</f>
        <v>0</v>
      </c>
    </row>
    <row r="584" customFormat="false" ht="15.75" hidden="false" customHeight="true" outlineLevel="0" collapsed="false">
      <c r="A584" s="65" t="n">
        <v>45352</v>
      </c>
      <c r="B584" s="31" t="s">
        <v>11</v>
      </c>
      <c r="C584" s="32"/>
      <c r="D584" s="32"/>
      <c r="E584" s="19" t="n">
        <f aca="false">+IF(C584="EQUIPO",F584,0)</f>
        <v>0</v>
      </c>
      <c r="F584" s="33" t="n">
        <v>0</v>
      </c>
      <c r="G584" s="62"/>
      <c r="H584" s="35" t="n">
        <v>0</v>
      </c>
      <c r="I584" s="34" t="n">
        <f aca="false">+IF(E584=0,0,E584*0.03)</f>
        <v>0</v>
      </c>
    </row>
    <row r="585" customFormat="false" ht="15.75" hidden="false" customHeight="true" outlineLevel="0" collapsed="false">
      <c r="A585" s="65" t="n">
        <v>45352</v>
      </c>
      <c r="B585" s="31" t="s">
        <v>11</v>
      </c>
      <c r="C585" s="32"/>
      <c r="D585" s="32"/>
      <c r="E585" s="19" t="n">
        <f aca="false">+IF(C585="EQUIPO",F585,0)</f>
        <v>0</v>
      </c>
      <c r="F585" s="33" t="n">
        <v>0</v>
      </c>
      <c r="G585" s="62"/>
      <c r="H585" s="35" t="n">
        <v>0</v>
      </c>
      <c r="I585" s="34" t="n">
        <f aca="false">+IF(E585=0,0,E585*0.03)</f>
        <v>0</v>
      </c>
    </row>
    <row r="586" customFormat="false" ht="15.75" hidden="false" customHeight="true" outlineLevel="0" collapsed="false">
      <c r="A586" s="65" t="n">
        <v>45352</v>
      </c>
      <c r="B586" s="31" t="s">
        <v>11</v>
      </c>
      <c r="C586" s="32"/>
      <c r="D586" s="32"/>
      <c r="E586" s="19" t="n">
        <f aca="false">+IF(C586="EQUIPO",F586,0)</f>
        <v>0</v>
      </c>
      <c r="F586" s="33" t="n">
        <v>0</v>
      </c>
      <c r="G586" s="62"/>
      <c r="H586" s="35" t="n">
        <v>0</v>
      </c>
      <c r="I586" s="34" t="n">
        <f aca="false">+IF(E586=0,0,E586*0.03)</f>
        <v>0</v>
      </c>
    </row>
    <row r="587" customFormat="false" ht="15.75" hidden="false" customHeight="true" outlineLevel="0" collapsed="false">
      <c r="A587" s="65" t="n">
        <v>45352</v>
      </c>
      <c r="B587" s="31" t="s">
        <v>11</v>
      </c>
      <c r="C587" s="32"/>
      <c r="D587" s="32"/>
      <c r="E587" s="19" t="n">
        <f aca="false">+IF(C587="EQUIPO",F587,0)</f>
        <v>0</v>
      </c>
      <c r="F587" s="33" t="n">
        <v>0</v>
      </c>
      <c r="G587" s="62"/>
      <c r="H587" s="35" t="n">
        <v>0</v>
      </c>
      <c r="I587" s="34" t="n">
        <f aca="false">+IF(E587=0,0,E587*0.03)</f>
        <v>0</v>
      </c>
    </row>
    <row r="588" customFormat="false" ht="15.75" hidden="false" customHeight="true" outlineLevel="0" collapsed="false">
      <c r="A588" s="65" t="n">
        <v>45352</v>
      </c>
      <c r="B588" s="31" t="s">
        <v>11</v>
      </c>
      <c r="C588" s="32"/>
      <c r="D588" s="32"/>
      <c r="E588" s="19" t="n">
        <f aca="false">+IF(C588="EQUIPO",F588,0)</f>
        <v>0</v>
      </c>
      <c r="F588" s="33" t="n">
        <v>0</v>
      </c>
      <c r="G588" s="62"/>
      <c r="H588" s="35" t="n">
        <v>0</v>
      </c>
      <c r="I588" s="34" t="n">
        <f aca="false">+IF(E588=0,0,E588*0.03)</f>
        <v>0</v>
      </c>
    </row>
    <row r="589" customFormat="false" ht="15.75" hidden="false" customHeight="true" outlineLevel="0" collapsed="false">
      <c r="A589" s="65" t="n">
        <v>45352</v>
      </c>
      <c r="B589" s="31" t="s">
        <v>11</v>
      </c>
      <c r="C589" s="32"/>
      <c r="D589" s="32"/>
      <c r="E589" s="19" t="n">
        <f aca="false">+IF(C589="EQUIPO",F589,0)</f>
        <v>0</v>
      </c>
      <c r="F589" s="33" t="n">
        <v>0</v>
      </c>
      <c r="G589" s="62"/>
      <c r="H589" s="35" t="n">
        <v>0</v>
      </c>
      <c r="I589" s="34" t="n">
        <f aca="false">+IF(E589=0,0,E589*0.03)</f>
        <v>0</v>
      </c>
    </row>
    <row r="590" customFormat="false" ht="15.75" hidden="false" customHeight="true" outlineLevel="0" collapsed="false">
      <c r="A590" s="65" t="n">
        <v>45352</v>
      </c>
      <c r="B590" s="31" t="s">
        <v>11</v>
      </c>
      <c r="C590" s="32"/>
      <c r="D590" s="32"/>
      <c r="E590" s="19" t="n">
        <f aca="false">+IF(C590="EQUIPO",F590,0)</f>
        <v>0</v>
      </c>
      <c r="F590" s="33" t="n">
        <v>0</v>
      </c>
      <c r="G590" s="62"/>
      <c r="H590" s="35" t="n">
        <v>0</v>
      </c>
      <c r="I590" s="34" t="n">
        <f aca="false">+IF(E590=0,0,E590*0.03)</f>
        <v>0</v>
      </c>
    </row>
    <row r="591" customFormat="false" ht="15.75" hidden="false" customHeight="true" outlineLevel="0" collapsed="false">
      <c r="A591" s="65" t="n">
        <v>45352</v>
      </c>
      <c r="B591" s="31" t="s">
        <v>11</v>
      </c>
      <c r="C591" s="32"/>
      <c r="D591" s="32"/>
      <c r="E591" s="19" t="n">
        <f aca="false">+IF(C591="EQUIPO",F591,0)</f>
        <v>0</v>
      </c>
      <c r="F591" s="33" t="n">
        <v>0</v>
      </c>
      <c r="G591" s="62"/>
      <c r="H591" s="35" t="n">
        <v>0</v>
      </c>
      <c r="I591" s="34" t="n">
        <f aca="false">+IF(E591=0,0,E591*0.03)</f>
        <v>0</v>
      </c>
    </row>
    <row r="592" customFormat="false" ht="15.75" hidden="false" customHeight="true" outlineLevel="0" collapsed="false">
      <c r="A592" s="65" t="n">
        <v>45352</v>
      </c>
      <c r="B592" s="31" t="s">
        <v>11</v>
      </c>
      <c r="C592" s="32"/>
      <c r="D592" s="32"/>
      <c r="E592" s="19" t="n">
        <f aca="false">+IF(C592="EQUIPO",F592,0)</f>
        <v>0</v>
      </c>
      <c r="F592" s="33" t="n">
        <v>0</v>
      </c>
      <c r="G592" s="62"/>
      <c r="H592" s="35" t="n">
        <v>0</v>
      </c>
      <c r="I592" s="34" t="n">
        <f aca="false">+IF(E592=0,0,E592*0.03)</f>
        <v>0</v>
      </c>
    </row>
    <row r="593" customFormat="false" ht="15.75" hidden="false" customHeight="true" outlineLevel="0" collapsed="false">
      <c r="A593" s="65" t="n">
        <v>45352</v>
      </c>
      <c r="B593" s="31" t="s">
        <v>11</v>
      </c>
      <c r="C593" s="32"/>
      <c r="D593" s="32"/>
      <c r="E593" s="19" t="n">
        <f aca="false">+IF(C593="EQUIPO",F593,0)</f>
        <v>0</v>
      </c>
      <c r="F593" s="33" t="n">
        <v>0</v>
      </c>
      <c r="G593" s="62"/>
      <c r="H593" s="35" t="n">
        <v>0</v>
      </c>
      <c r="I593" s="34" t="n">
        <f aca="false">+IF(E593=0,0,E593*0.03)</f>
        <v>0</v>
      </c>
    </row>
    <row r="594" customFormat="false" ht="15.75" hidden="false" customHeight="true" outlineLevel="0" collapsed="false">
      <c r="A594" s="65" t="n">
        <v>45352</v>
      </c>
      <c r="B594" s="31" t="s">
        <v>11</v>
      </c>
      <c r="C594" s="32"/>
      <c r="D594" s="32"/>
      <c r="E594" s="19" t="n">
        <f aca="false">+IF(C594="EQUIPO",F594,0)</f>
        <v>0</v>
      </c>
      <c r="F594" s="33" t="n">
        <v>0</v>
      </c>
      <c r="G594" s="62"/>
      <c r="H594" s="35" t="n">
        <v>0</v>
      </c>
      <c r="I594" s="34" t="n">
        <f aca="false">+IF(E594=0,0,E594*0.03)</f>
        <v>0</v>
      </c>
    </row>
    <row r="595" customFormat="false" ht="15.75" hidden="false" customHeight="true" outlineLevel="0" collapsed="false">
      <c r="A595" s="65" t="n">
        <v>45352</v>
      </c>
      <c r="B595" s="31" t="s">
        <v>11</v>
      </c>
      <c r="C595" s="32"/>
      <c r="D595" s="32"/>
      <c r="E595" s="19" t="n">
        <f aca="false">+IF(C595="EQUIPO",F595,0)</f>
        <v>0</v>
      </c>
      <c r="F595" s="33" t="n">
        <v>0</v>
      </c>
      <c r="G595" s="62"/>
      <c r="H595" s="35" t="n">
        <v>0</v>
      </c>
      <c r="I595" s="34" t="n">
        <f aca="false">+IF(E595=0,0,E595*0.03)</f>
        <v>0</v>
      </c>
    </row>
    <row r="596" customFormat="false" ht="15.75" hidden="false" customHeight="true" outlineLevel="0" collapsed="false">
      <c r="A596" s="65" t="n">
        <v>45352</v>
      </c>
      <c r="B596" s="31" t="s">
        <v>11</v>
      </c>
      <c r="C596" s="32"/>
      <c r="D596" s="32"/>
      <c r="E596" s="19" t="n">
        <f aca="false">+IF(C596="EQUIPO",F596,0)</f>
        <v>0</v>
      </c>
      <c r="F596" s="33" t="n">
        <v>0</v>
      </c>
      <c r="G596" s="62"/>
      <c r="H596" s="35" t="n">
        <v>0</v>
      </c>
      <c r="I596" s="34" t="n">
        <f aca="false">+IF(E596=0,0,E596*0.03)</f>
        <v>0</v>
      </c>
    </row>
    <row r="597" customFormat="false" ht="15.75" hidden="false" customHeight="true" outlineLevel="0" collapsed="false">
      <c r="A597" s="65" t="n">
        <v>45352</v>
      </c>
      <c r="B597" s="31" t="s">
        <v>11</v>
      </c>
      <c r="C597" s="32"/>
      <c r="D597" s="32"/>
      <c r="E597" s="19" t="n">
        <f aca="false">+IF(C597="EQUIPO",F597,0)</f>
        <v>0</v>
      </c>
      <c r="F597" s="33" t="n">
        <v>0</v>
      </c>
      <c r="G597" s="62"/>
      <c r="H597" s="35" t="n">
        <v>0</v>
      </c>
      <c r="I597" s="34" t="n">
        <f aca="false">+IF(E597=0,0,E597*0.03)</f>
        <v>0</v>
      </c>
    </row>
    <row r="598" customFormat="false" ht="15.75" hidden="false" customHeight="true" outlineLevel="0" collapsed="false">
      <c r="A598" s="65" t="n">
        <v>45352</v>
      </c>
      <c r="B598" s="31" t="s">
        <v>11</v>
      </c>
      <c r="C598" s="32"/>
      <c r="D598" s="32"/>
      <c r="E598" s="19" t="n">
        <f aca="false">+IF(C598="EQUIPO",F598,0)</f>
        <v>0</v>
      </c>
      <c r="F598" s="33" t="n">
        <v>0</v>
      </c>
      <c r="G598" s="62"/>
      <c r="H598" s="35" t="n">
        <v>0</v>
      </c>
      <c r="I598" s="34" t="n">
        <f aca="false">+IF(E598=0,0,E598*0.03)</f>
        <v>0</v>
      </c>
    </row>
    <row r="599" customFormat="false" ht="15.75" hidden="false" customHeight="true" outlineLevel="0" collapsed="false">
      <c r="A599" s="65" t="n">
        <v>45352</v>
      </c>
      <c r="B599" s="31" t="s">
        <v>11</v>
      </c>
      <c r="C599" s="32"/>
      <c r="D599" s="32"/>
      <c r="E599" s="19" t="n">
        <f aca="false">+IF(C599="EQUIPO",F599,0)</f>
        <v>0</v>
      </c>
      <c r="F599" s="33" t="n">
        <v>0</v>
      </c>
      <c r="G599" s="62"/>
      <c r="H599" s="35" t="n">
        <v>0</v>
      </c>
      <c r="I599" s="34" t="n">
        <f aca="false">+IF(E599=0,0,E599*0.03)</f>
        <v>0</v>
      </c>
    </row>
    <row r="600" customFormat="false" ht="15.75" hidden="false" customHeight="true" outlineLevel="0" collapsed="false">
      <c r="A600" s="65" t="n">
        <v>45352</v>
      </c>
      <c r="B600" s="31" t="s">
        <v>11</v>
      </c>
      <c r="C600" s="32"/>
      <c r="D600" s="32"/>
      <c r="E600" s="19" t="n">
        <f aca="false">+IF(C600="EQUIPO",F600,0)</f>
        <v>0</v>
      </c>
      <c r="F600" s="33" t="n">
        <v>0</v>
      </c>
      <c r="G600" s="62"/>
      <c r="H600" s="35" t="n">
        <v>0</v>
      </c>
      <c r="I600" s="34" t="n">
        <f aca="false">+IF(E600=0,0,E600*0.03)</f>
        <v>0</v>
      </c>
    </row>
    <row r="601" customFormat="false" ht="15.75" hidden="false" customHeight="true" outlineLevel="0" collapsed="false">
      <c r="A601" s="65" t="n">
        <v>45352</v>
      </c>
      <c r="B601" s="31" t="s">
        <v>11</v>
      </c>
      <c r="C601" s="32"/>
      <c r="D601" s="32"/>
      <c r="E601" s="19" t="n">
        <f aca="false">+IF(C601="EQUIPO",F601,0)</f>
        <v>0</v>
      </c>
      <c r="F601" s="33" t="n">
        <v>0</v>
      </c>
      <c r="G601" s="62"/>
      <c r="H601" s="35" t="n">
        <v>0</v>
      </c>
      <c r="I601" s="34" t="n">
        <f aca="false">+IF(E601=0,0,E601*0.03)</f>
        <v>0</v>
      </c>
    </row>
    <row r="602" customFormat="false" ht="15.75" hidden="false" customHeight="true" outlineLevel="0" collapsed="false">
      <c r="A602" s="65" t="n">
        <v>45352</v>
      </c>
      <c r="B602" s="31" t="s">
        <v>11</v>
      </c>
      <c r="C602" s="32"/>
      <c r="D602" s="32"/>
      <c r="E602" s="19" t="n">
        <f aca="false">+IF(C602="EQUIPO",F602,0)</f>
        <v>0</v>
      </c>
      <c r="F602" s="33" t="n">
        <v>0</v>
      </c>
      <c r="G602" s="62"/>
      <c r="H602" s="35" t="n">
        <v>0</v>
      </c>
      <c r="I602" s="34" t="n">
        <f aca="false">+IF(E602=0,0,E602*0.03)</f>
        <v>0</v>
      </c>
    </row>
    <row r="603" customFormat="false" ht="15.75" hidden="false" customHeight="true" outlineLevel="0" collapsed="false">
      <c r="A603" s="65" t="n">
        <v>45352</v>
      </c>
      <c r="B603" s="31" t="s">
        <v>11</v>
      </c>
      <c r="C603" s="32"/>
      <c r="D603" s="32"/>
      <c r="E603" s="19" t="n">
        <f aca="false">+IF(C603="EQUIPO",F603,0)</f>
        <v>0</v>
      </c>
      <c r="F603" s="33" t="n">
        <v>0</v>
      </c>
      <c r="G603" s="62"/>
      <c r="H603" s="35" t="n">
        <v>0</v>
      </c>
      <c r="I603" s="34" t="n">
        <f aca="false">+IF(E603=0,0,E603*0.03)</f>
        <v>0</v>
      </c>
    </row>
    <row r="604" customFormat="false" ht="15.75" hidden="false" customHeight="true" outlineLevel="0" collapsed="false">
      <c r="A604" s="65" t="n">
        <v>45352</v>
      </c>
      <c r="B604" s="31" t="s">
        <v>11</v>
      </c>
      <c r="C604" s="32"/>
      <c r="D604" s="32"/>
      <c r="E604" s="19" t="n">
        <f aca="false">+IF(C604="EQUIPO",F604,0)</f>
        <v>0</v>
      </c>
      <c r="F604" s="33" t="n">
        <v>0</v>
      </c>
      <c r="G604" s="62"/>
      <c r="H604" s="35" t="n">
        <v>0</v>
      </c>
      <c r="I604" s="34" t="n">
        <f aca="false">+IF(E604=0,0,E604*0.03)</f>
        <v>0</v>
      </c>
    </row>
    <row r="605" customFormat="false" ht="15.75" hidden="false" customHeight="true" outlineLevel="0" collapsed="false">
      <c r="A605" s="65" t="n">
        <v>45352</v>
      </c>
      <c r="B605" s="31" t="s">
        <v>11</v>
      </c>
      <c r="C605" s="32"/>
      <c r="D605" s="32"/>
      <c r="E605" s="19" t="n">
        <f aca="false">+IF(C605="EQUIPO",F605,0)</f>
        <v>0</v>
      </c>
      <c r="F605" s="33" t="n">
        <v>0</v>
      </c>
      <c r="G605" s="62"/>
      <c r="H605" s="35" t="n">
        <v>0</v>
      </c>
      <c r="I605" s="34" t="n">
        <f aca="false">+IF(E605=0,0,E605*0.03)</f>
        <v>0</v>
      </c>
    </row>
    <row r="606" customFormat="false" ht="15.75" hidden="false" customHeight="true" outlineLevel="0" collapsed="false">
      <c r="A606" s="65" t="n">
        <v>45352</v>
      </c>
      <c r="B606" s="31" t="s">
        <v>11</v>
      </c>
      <c r="C606" s="32"/>
      <c r="D606" s="32"/>
      <c r="E606" s="19" t="n">
        <f aca="false">+IF(C606="EQUIPO",F606,0)</f>
        <v>0</v>
      </c>
      <c r="F606" s="33" t="n">
        <v>0</v>
      </c>
      <c r="G606" s="62"/>
      <c r="H606" s="35" t="n">
        <v>0</v>
      </c>
      <c r="I606" s="34" t="n">
        <f aca="false">+IF(E606=0,0,E606*0.03)</f>
        <v>0</v>
      </c>
    </row>
    <row r="607" customFormat="false" ht="15.75" hidden="false" customHeight="true" outlineLevel="0" collapsed="false">
      <c r="A607" s="65" t="n">
        <v>45352</v>
      </c>
      <c r="B607" s="31" t="s">
        <v>11</v>
      </c>
      <c r="C607" s="32"/>
      <c r="D607" s="32"/>
      <c r="E607" s="19" t="n">
        <f aca="false">+IF(C607="EQUIPO",F607,0)</f>
        <v>0</v>
      </c>
      <c r="F607" s="33" t="n">
        <v>0</v>
      </c>
      <c r="G607" s="62"/>
      <c r="H607" s="35" t="n">
        <v>0</v>
      </c>
      <c r="I607" s="34" t="n">
        <f aca="false">+IF(E607=0,0,E607*0.03)</f>
        <v>0</v>
      </c>
    </row>
    <row r="608" customFormat="false" ht="15.75" hidden="false" customHeight="true" outlineLevel="0" collapsed="false">
      <c r="A608" s="65" t="n">
        <v>45352</v>
      </c>
      <c r="B608" s="31" t="s">
        <v>11</v>
      </c>
      <c r="C608" s="32"/>
      <c r="D608" s="32"/>
      <c r="E608" s="19" t="n">
        <f aca="false">+IF(C608="EQUIPO",F608,0)</f>
        <v>0</v>
      </c>
      <c r="F608" s="33" t="n">
        <v>0</v>
      </c>
      <c r="G608" s="62"/>
      <c r="H608" s="35" t="n">
        <v>0</v>
      </c>
      <c r="I608" s="34" t="n">
        <f aca="false">+IF(E608=0,0,E608*0.03)</f>
        <v>0</v>
      </c>
    </row>
    <row r="609" customFormat="false" ht="15.75" hidden="false" customHeight="true" outlineLevel="0" collapsed="false">
      <c r="A609" s="65" t="n">
        <v>45352</v>
      </c>
      <c r="B609" s="31" t="s">
        <v>11</v>
      </c>
      <c r="C609" s="32"/>
      <c r="D609" s="32"/>
      <c r="E609" s="19" t="n">
        <f aca="false">+IF(C609="EQUIPO",F609,0)</f>
        <v>0</v>
      </c>
      <c r="F609" s="33" t="n">
        <v>0</v>
      </c>
      <c r="G609" s="62"/>
      <c r="H609" s="35" t="n">
        <v>0</v>
      </c>
      <c r="I609" s="34" t="n">
        <f aca="false">+IF(E609=0,0,E609*0.03)</f>
        <v>0</v>
      </c>
    </row>
    <row r="610" customFormat="false" ht="15.75" hidden="false" customHeight="true" outlineLevel="0" collapsed="false">
      <c r="A610" s="65" t="n">
        <v>45352</v>
      </c>
      <c r="B610" s="31" t="s">
        <v>11</v>
      </c>
      <c r="C610" s="32"/>
      <c r="D610" s="32"/>
      <c r="E610" s="19" t="n">
        <f aca="false">+IF(C610="EQUIPO",F610,0)</f>
        <v>0</v>
      </c>
      <c r="F610" s="33" t="n">
        <v>0</v>
      </c>
      <c r="G610" s="62"/>
      <c r="H610" s="35" t="n">
        <v>0</v>
      </c>
      <c r="I610" s="34" t="n">
        <f aca="false">+IF(E610=0,0,E610*0.03)</f>
        <v>0</v>
      </c>
    </row>
    <row r="611" customFormat="false" ht="15.75" hidden="false" customHeight="true" outlineLevel="0" collapsed="false">
      <c r="A611" s="65" t="n">
        <v>45352</v>
      </c>
      <c r="B611" s="31" t="s">
        <v>11</v>
      </c>
      <c r="C611" s="32"/>
      <c r="D611" s="32"/>
      <c r="E611" s="19" t="n">
        <f aca="false">+IF(C611="EQUIPO",F611,0)</f>
        <v>0</v>
      </c>
      <c r="F611" s="33" t="n">
        <v>0</v>
      </c>
      <c r="G611" s="62"/>
      <c r="H611" s="35" t="n">
        <v>0</v>
      </c>
      <c r="I611" s="34" t="n">
        <f aca="false">+IF(E611=0,0,E611*0.03)</f>
        <v>0</v>
      </c>
    </row>
    <row r="612" customFormat="false" ht="15.75" hidden="false" customHeight="true" outlineLevel="0" collapsed="false">
      <c r="A612" s="65" t="n">
        <v>45352</v>
      </c>
      <c r="B612" s="31" t="s">
        <v>11</v>
      </c>
      <c r="C612" s="32"/>
      <c r="D612" s="32"/>
      <c r="E612" s="19" t="n">
        <f aca="false">+IF(C612="EQUIPO",F612,0)</f>
        <v>0</v>
      </c>
      <c r="F612" s="33" t="n">
        <v>0</v>
      </c>
      <c r="G612" s="62"/>
      <c r="H612" s="35" t="n">
        <v>0</v>
      </c>
      <c r="I612" s="34" t="n">
        <f aca="false">+IF(E612=0,0,E612*0.03)</f>
        <v>0</v>
      </c>
    </row>
    <row r="613" customFormat="false" ht="15.75" hidden="false" customHeight="true" outlineLevel="0" collapsed="false">
      <c r="A613" s="65" t="n">
        <v>45352</v>
      </c>
      <c r="B613" s="31" t="s">
        <v>11</v>
      </c>
      <c r="C613" s="32"/>
      <c r="D613" s="32"/>
      <c r="E613" s="19" t="n">
        <f aca="false">+IF(C613="EQUIPO",F613,0)</f>
        <v>0</v>
      </c>
      <c r="F613" s="33" t="n">
        <v>0</v>
      </c>
      <c r="G613" s="62"/>
      <c r="H613" s="35" t="n">
        <v>0</v>
      </c>
      <c r="I613" s="34" t="n">
        <f aca="false">+IF(E613=0,0,E613*0.03)</f>
        <v>0</v>
      </c>
    </row>
    <row r="614" customFormat="false" ht="15.75" hidden="false" customHeight="true" outlineLevel="0" collapsed="false">
      <c r="A614" s="65" t="n">
        <v>45352</v>
      </c>
      <c r="B614" s="31" t="s">
        <v>11</v>
      </c>
      <c r="C614" s="32"/>
      <c r="D614" s="32"/>
      <c r="E614" s="19" t="n">
        <f aca="false">+IF(C614="EQUIPO",F614,0)</f>
        <v>0</v>
      </c>
      <c r="F614" s="33" t="n">
        <v>0</v>
      </c>
      <c r="G614" s="62"/>
      <c r="H614" s="35" t="n">
        <v>0</v>
      </c>
      <c r="I614" s="34" t="n">
        <f aca="false">+IF(E614=0,0,E614*0.03)</f>
        <v>0</v>
      </c>
    </row>
    <row r="615" customFormat="false" ht="15.75" hidden="false" customHeight="true" outlineLevel="0" collapsed="false">
      <c r="A615" s="65" t="n">
        <v>45352</v>
      </c>
      <c r="B615" s="31" t="s">
        <v>11</v>
      </c>
      <c r="C615" s="32"/>
      <c r="D615" s="32"/>
      <c r="E615" s="19" t="n">
        <f aca="false">+IF(C615="EQUIPO",F615,0)</f>
        <v>0</v>
      </c>
      <c r="F615" s="33" t="n">
        <v>0</v>
      </c>
      <c r="G615" s="62"/>
      <c r="H615" s="35" t="n">
        <v>0</v>
      </c>
      <c r="I615" s="34" t="n">
        <f aca="false">+IF(E615=0,0,E615*0.03)</f>
        <v>0</v>
      </c>
    </row>
    <row r="616" customFormat="false" ht="15.75" hidden="false" customHeight="true" outlineLevel="0" collapsed="false">
      <c r="A616" s="65" t="n">
        <v>45352</v>
      </c>
      <c r="B616" s="31" t="s">
        <v>11</v>
      </c>
      <c r="C616" s="32"/>
      <c r="D616" s="32"/>
      <c r="E616" s="19" t="n">
        <f aca="false">+IF(C616="EQUIPO",F616,0)</f>
        <v>0</v>
      </c>
      <c r="F616" s="33" t="n">
        <v>0</v>
      </c>
      <c r="G616" s="62"/>
      <c r="H616" s="35" t="n">
        <v>0</v>
      </c>
      <c r="I616" s="34" t="n">
        <f aca="false">+IF(E616=0,0,E616*0.03)</f>
        <v>0</v>
      </c>
    </row>
    <row r="617" customFormat="false" ht="15.75" hidden="false" customHeight="true" outlineLevel="0" collapsed="false">
      <c r="A617" s="65" t="n">
        <v>45352</v>
      </c>
      <c r="B617" s="31" t="s">
        <v>11</v>
      </c>
      <c r="C617" s="32"/>
      <c r="D617" s="32"/>
      <c r="E617" s="19" t="n">
        <f aca="false">+IF(C617="EQUIPO",F617,0)</f>
        <v>0</v>
      </c>
      <c r="F617" s="33" t="n">
        <v>0</v>
      </c>
      <c r="G617" s="62"/>
      <c r="H617" s="35" t="n">
        <v>0</v>
      </c>
      <c r="I617" s="34" t="n">
        <f aca="false">+IF(E617=0,0,E617*0.03)</f>
        <v>0</v>
      </c>
    </row>
    <row r="618" customFormat="false" ht="15.75" hidden="false" customHeight="true" outlineLevel="0" collapsed="false">
      <c r="A618" s="65" t="n">
        <v>45352</v>
      </c>
      <c r="B618" s="31" t="s">
        <v>11</v>
      </c>
      <c r="C618" s="32"/>
      <c r="D618" s="32"/>
      <c r="E618" s="19" t="n">
        <f aca="false">+IF(C618="EQUIPO",F618,0)</f>
        <v>0</v>
      </c>
      <c r="F618" s="33" t="n">
        <v>0</v>
      </c>
      <c r="G618" s="62"/>
      <c r="H618" s="35" t="n">
        <v>0</v>
      </c>
      <c r="I618" s="34" t="n">
        <f aca="false">+IF(E618=0,0,E618*0.03)</f>
        <v>0</v>
      </c>
    </row>
    <row r="619" customFormat="false" ht="15.75" hidden="false" customHeight="true" outlineLevel="0" collapsed="false">
      <c r="A619" s="65" t="n">
        <v>45352</v>
      </c>
      <c r="B619" s="31" t="s">
        <v>11</v>
      </c>
      <c r="C619" s="32"/>
      <c r="D619" s="32"/>
      <c r="E619" s="19" t="n">
        <f aca="false">+IF(C619="EQUIPO",F619,0)</f>
        <v>0</v>
      </c>
      <c r="F619" s="33" t="n">
        <v>0</v>
      </c>
      <c r="G619" s="62"/>
      <c r="H619" s="35" t="n">
        <v>0</v>
      </c>
      <c r="I619" s="34" t="n">
        <f aca="false">+IF(E619=0,0,E619*0.03)</f>
        <v>0</v>
      </c>
    </row>
    <row r="620" customFormat="false" ht="15.75" hidden="false" customHeight="true" outlineLevel="0" collapsed="false">
      <c r="A620" s="65" t="n">
        <v>45352</v>
      </c>
      <c r="B620" s="31" t="s">
        <v>11</v>
      </c>
      <c r="C620" s="32"/>
      <c r="D620" s="32"/>
      <c r="E620" s="19" t="n">
        <f aca="false">+IF(C620="EQUIPO",F620,0)</f>
        <v>0</v>
      </c>
      <c r="F620" s="33" t="n">
        <v>0</v>
      </c>
      <c r="G620" s="62"/>
      <c r="H620" s="35" t="n">
        <v>0</v>
      </c>
      <c r="I620" s="34" t="n">
        <f aca="false">+IF(E620=0,0,E620*0.03)</f>
        <v>0</v>
      </c>
    </row>
    <row r="621" customFormat="false" ht="15.75" hidden="false" customHeight="true" outlineLevel="0" collapsed="false">
      <c r="A621" s="65" t="n">
        <v>45352</v>
      </c>
      <c r="B621" s="31" t="s">
        <v>11</v>
      </c>
      <c r="C621" s="32"/>
      <c r="D621" s="32"/>
      <c r="E621" s="19" t="n">
        <f aca="false">+IF(C621="EQUIPO",F621,0)</f>
        <v>0</v>
      </c>
      <c r="F621" s="33" t="n">
        <v>0</v>
      </c>
      <c r="G621" s="62"/>
      <c r="H621" s="35" t="n">
        <v>0</v>
      </c>
      <c r="I621" s="34" t="n">
        <f aca="false">+IF(E621=0,0,E621*0.03)</f>
        <v>0</v>
      </c>
    </row>
    <row r="622" customFormat="false" ht="15.75" hidden="false" customHeight="true" outlineLevel="0" collapsed="false">
      <c r="A622" s="65" t="n">
        <v>45352</v>
      </c>
      <c r="B622" s="31" t="s">
        <v>11</v>
      </c>
      <c r="C622" s="32"/>
      <c r="D622" s="32"/>
      <c r="E622" s="19" t="n">
        <f aca="false">+IF(C622="EQUIPO",F622,0)</f>
        <v>0</v>
      </c>
      <c r="F622" s="33" t="n">
        <v>0</v>
      </c>
      <c r="G622" s="62"/>
      <c r="H622" s="35" t="n">
        <v>0</v>
      </c>
      <c r="I622" s="34" t="n">
        <f aca="false">+IF(E622=0,0,E622*0.03)</f>
        <v>0</v>
      </c>
    </row>
    <row r="623" customFormat="false" ht="15.75" hidden="false" customHeight="true" outlineLevel="0" collapsed="false">
      <c r="A623" s="65" t="n">
        <v>45352</v>
      </c>
      <c r="B623" s="31" t="s">
        <v>11</v>
      </c>
      <c r="C623" s="32"/>
      <c r="D623" s="32"/>
      <c r="E623" s="19" t="n">
        <f aca="false">+IF(C623="EQUIPO",F623,0)</f>
        <v>0</v>
      </c>
      <c r="F623" s="33" t="n">
        <v>0</v>
      </c>
      <c r="G623" s="62"/>
      <c r="H623" s="35" t="n">
        <v>0</v>
      </c>
      <c r="I623" s="34" t="n">
        <f aca="false">+IF(E623=0,0,E623*0.03)</f>
        <v>0</v>
      </c>
    </row>
    <row r="624" customFormat="false" ht="15.75" hidden="false" customHeight="true" outlineLevel="0" collapsed="false">
      <c r="A624" s="65" t="n">
        <v>45352</v>
      </c>
      <c r="B624" s="31" t="s">
        <v>11</v>
      </c>
      <c r="C624" s="32"/>
      <c r="D624" s="32"/>
      <c r="E624" s="19" t="n">
        <f aca="false">+IF(C624="EQUIPO",F624,0)</f>
        <v>0</v>
      </c>
      <c r="F624" s="33" t="n">
        <v>0</v>
      </c>
      <c r="G624" s="62"/>
      <c r="H624" s="35" t="n">
        <v>0</v>
      </c>
      <c r="I624" s="34" t="n">
        <f aca="false">+IF(E624=0,0,E624*0.03)</f>
        <v>0</v>
      </c>
    </row>
    <row r="625" customFormat="false" ht="15.75" hidden="false" customHeight="true" outlineLevel="0" collapsed="false">
      <c r="A625" s="65" t="n">
        <v>45352</v>
      </c>
      <c r="B625" s="31" t="s">
        <v>11</v>
      </c>
      <c r="C625" s="32"/>
      <c r="D625" s="32"/>
      <c r="E625" s="19" t="n">
        <f aca="false">+IF(C625="EQUIPO",F625,0)</f>
        <v>0</v>
      </c>
      <c r="F625" s="33" t="n">
        <v>0</v>
      </c>
      <c r="G625" s="62"/>
      <c r="H625" s="35" t="n">
        <v>0</v>
      </c>
      <c r="I625" s="34" t="n">
        <f aca="false">+IF(E625=0,0,E625*0.03)</f>
        <v>0</v>
      </c>
    </row>
    <row r="626" customFormat="false" ht="15.75" hidden="false" customHeight="true" outlineLevel="0" collapsed="false">
      <c r="A626" s="65" t="n">
        <v>45352</v>
      </c>
      <c r="B626" s="31" t="s">
        <v>11</v>
      </c>
      <c r="C626" s="32"/>
      <c r="D626" s="32"/>
      <c r="E626" s="19" t="n">
        <f aca="false">+IF(C626="EQUIPO",F626,0)</f>
        <v>0</v>
      </c>
      <c r="F626" s="33" t="n">
        <v>0</v>
      </c>
      <c r="G626" s="62"/>
      <c r="H626" s="35" t="n">
        <v>0</v>
      </c>
      <c r="I626" s="34" t="n">
        <f aca="false">+IF(E626=0,0,E626*0.03)</f>
        <v>0</v>
      </c>
    </row>
    <row r="627" customFormat="false" ht="15.75" hidden="false" customHeight="true" outlineLevel="0" collapsed="false">
      <c r="A627" s="65" t="n">
        <v>45352</v>
      </c>
      <c r="B627" s="31" t="s">
        <v>11</v>
      </c>
      <c r="C627" s="32"/>
      <c r="D627" s="32"/>
      <c r="E627" s="19" t="n">
        <f aca="false">+IF(C627="EQUIPO",F627,0)</f>
        <v>0</v>
      </c>
      <c r="F627" s="33" t="n">
        <v>0</v>
      </c>
      <c r="G627" s="62"/>
      <c r="H627" s="35" t="n">
        <v>0</v>
      </c>
      <c r="I627" s="34" t="n">
        <f aca="false">+IF(E627=0,0,E627*0.03)</f>
        <v>0</v>
      </c>
    </row>
    <row r="628" customFormat="false" ht="15.75" hidden="false" customHeight="true" outlineLevel="0" collapsed="false">
      <c r="A628" s="65" t="n">
        <v>45352</v>
      </c>
      <c r="B628" s="31" t="s">
        <v>11</v>
      </c>
      <c r="C628" s="32"/>
      <c r="D628" s="32"/>
      <c r="E628" s="19" t="n">
        <f aca="false">+IF(C628="EQUIPO",F628,0)</f>
        <v>0</v>
      </c>
      <c r="F628" s="33" t="n">
        <v>0</v>
      </c>
      <c r="G628" s="62"/>
      <c r="H628" s="35" t="n">
        <v>0</v>
      </c>
      <c r="I628" s="34" t="n">
        <f aca="false">+IF(E628=0,0,E628*0.03)</f>
        <v>0</v>
      </c>
    </row>
    <row r="629" customFormat="false" ht="15.75" hidden="false" customHeight="true" outlineLevel="0" collapsed="false">
      <c r="A629" s="65" t="n">
        <v>45352</v>
      </c>
      <c r="B629" s="31" t="s">
        <v>11</v>
      </c>
      <c r="C629" s="32"/>
      <c r="D629" s="32"/>
      <c r="E629" s="19" t="n">
        <f aca="false">+IF(C629="EQUIPO",F629,0)</f>
        <v>0</v>
      </c>
      <c r="F629" s="33" t="n">
        <v>0</v>
      </c>
      <c r="G629" s="62"/>
      <c r="H629" s="35" t="n">
        <v>0</v>
      </c>
      <c r="I629" s="34" t="n">
        <f aca="false">+IF(E629=0,0,E629*0.03)</f>
        <v>0</v>
      </c>
    </row>
    <row r="630" customFormat="false" ht="15.75" hidden="false" customHeight="true" outlineLevel="0" collapsed="false">
      <c r="A630" s="65" t="n">
        <v>45352</v>
      </c>
      <c r="B630" s="31" t="s">
        <v>11</v>
      </c>
      <c r="C630" s="32"/>
      <c r="D630" s="32"/>
      <c r="E630" s="19" t="n">
        <f aca="false">+IF(C630="EQUIPO",F630,0)</f>
        <v>0</v>
      </c>
      <c r="F630" s="33" t="n">
        <v>0</v>
      </c>
      <c r="G630" s="62"/>
      <c r="H630" s="35" t="n">
        <v>0</v>
      </c>
      <c r="I630" s="34" t="n">
        <f aca="false">+IF(E630=0,0,E630*0.03)</f>
        <v>0</v>
      </c>
    </row>
    <row r="631" customFormat="false" ht="15.75" hidden="false" customHeight="true" outlineLevel="0" collapsed="false">
      <c r="A631" s="65" t="n">
        <v>45352</v>
      </c>
      <c r="B631" s="31" t="s">
        <v>11</v>
      </c>
      <c r="C631" s="32"/>
      <c r="D631" s="32"/>
      <c r="E631" s="19" t="n">
        <f aca="false">+IF(C631="EQUIPO",F631,0)</f>
        <v>0</v>
      </c>
      <c r="F631" s="33" t="n">
        <v>0</v>
      </c>
      <c r="G631" s="62"/>
      <c r="H631" s="35" t="n">
        <v>0</v>
      </c>
      <c r="I631" s="34" t="n">
        <f aca="false">+IF(E631=0,0,E631*0.03)</f>
        <v>0</v>
      </c>
    </row>
    <row r="632" customFormat="false" ht="15.75" hidden="false" customHeight="true" outlineLevel="0" collapsed="false">
      <c r="A632" s="65" t="n">
        <v>45352</v>
      </c>
      <c r="B632" s="31" t="s">
        <v>11</v>
      </c>
      <c r="C632" s="32"/>
      <c r="D632" s="32"/>
      <c r="E632" s="19" t="n">
        <f aca="false">+IF(C632="EQUIPO",F632,0)</f>
        <v>0</v>
      </c>
      <c r="F632" s="33" t="n">
        <v>0</v>
      </c>
      <c r="G632" s="62"/>
      <c r="H632" s="35" t="n">
        <v>0</v>
      </c>
      <c r="I632" s="34" t="n">
        <f aca="false">+IF(E632=0,0,E632*0.03)</f>
        <v>0</v>
      </c>
    </row>
    <row r="633" customFormat="false" ht="15.75" hidden="false" customHeight="true" outlineLevel="0" collapsed="false">
      <c r="A633" s="65" t="n">
        <v>45352</v>
      </c>
      <c r="B633" s="31" t="s">
        <v>11</v>
      </c>
      <c r="C633" s="32"/>
      <c r="D633" s="32"/>
      <c r="E633" s="19" t="n">
        <f aca="false">+IF(C633="EQUIPO",F633,0)</f>
        <v>0</v>
      </c>
      <c r="F633" s="33" t="n">
        <v>0</v>
      </c>
      <c r="G633" s="62"/>
      <c r="H633" s="35" t="n">
        <v>0</v>
      </c>
      <c r="I633" s="34" t="n">
        <f aca="false">+IF(E633=0,0,E633*0.03)</f>
        <v>0</v>
      </c>
    </row>
    <row r="634" customFormat="false" ht="15.75" hidden="false" customHeight="true" outlineLevel="0" collapsed="false">
      <c r="A634" s="65" t="n">
        <v>45352</v>
      </c>
      <c r="B634" s="31" t="s">
        <v>11</v>
      </c>
      <c r="C634" s="32"/>
      <c r="D634" s="32"/>
      <c r="E634" s="19" t="n">
        <f aca="false">+IF(C634="EQUIPO",F634,0)</f>
        <v>0</v>
      </c>
      <c r="F634" s="33" t="n">
        <v>0</v>
      </c>
      <c r="G634" s="62"/>
      <c r="H634" s="35" t="n">
        <v>0</v>
      </c>
      <c r="I634" s="34" t="n">
        <f aca="false">+IF(E634=0,0,E634*0.03)</f>
        <v>0</v>
      </c>
    </row>
    <row r="635" customFormat="false" ht="15.75" hidden="false" customHeight="true" outlineLevel="0" collapsed="false">
      <c r="A635" s="65" t="n">
        <v>45352</v>
      </c>
      <c r="B635" s="31" t="s">
        <v>11</v>
      </c>
      <c r="C635" s="32"/>
      <c r="D635" s="32"/>
      <c r="E635" s="19" t="n">
        <f aca="false">+IF(C635="EQUIPO",F635,0)</f>
        <v>0</v>
      </c>
      <c r="F635" s="33" t="n">
        <v>0</v>
      </c>
      <c r="G635" s="62"/>
      <c r="H635" s="35" t="n">
        <v>0</v>
      </c>
      <c r="I635" s="34" t="n">
        <f aca="false">+IF(E635=0,0,E635*0.03)</f>
        <v>0</v>
      </c>
    </row>
    <row r="636" customFormat="false" ht="15.75" hidden="false" customHeight="true" outlineLevel="0" collapsed="false">
      <c r="A636" s="65" t="n">
        <v>45352</v>
      </c>
      <c r="B636" s="31" t="s">
        <v>11</v>
      </c>
      <c r="C636" s="32"/>
      <c r="D636" s="32"/>
      <c r="E636" s="19" t="n">
        <f aca="false">+IF(C636="EQUIPO",F636,0)</f>
        <v>0</v>
      </c>
      <c r="F636" s="33" t="n">
        <v>0</v>
      </c>
      <c r="G636" s="62"/>
      <c r="H636" s="35" t="n">
        <v>0</v>
      </c>
      <c r="I636" s="34" t="n">
        <f aca="false">+IF(E636=0,0,E636*0.03)</f>
        <v>0</v>
      </c>
    </row>
    <row r="637" customFormat="false" ht="15.75" hidden="false" customHeight="true" outlineLevel="0" collapsed="false">
      <c r="A637" s="65" t="n">
        <v>45352</v>
      </c>
      <c r="B637" s="31" t="s">
        <v>11</v>
      </c>
      <c r="C637" s="32"/>
      <c r="D637" s="32"/>
      <c r="E637" s="19" t="n">
        <f aca="false">+IF(C637="EQUIPO",F637,0)</f>
        <v>0</v>
      </c>
      <c r="F637" s="33" t="n">
        <v>0</v>
      </c>
      <c r="G637" s="62"/>
      <c r="H637" s="35" t="n">
        <v>0</v>
      </c>
      <c r="I637" s="34" t="n">
        <f aca="false">+IF(E637=0,0,E637*0.03)</f>
        <v>0</v>
      </c>
    </row>
    <row r="638" customFormat="false" ht="15.75" hidden="false" customHeight="true" outlineLevel="0" collapsed="false">
      <c r="A638" s="65" t="n">
        <v>45352</v>
      </c>
      <c r="B638" s="31" t="s">
        <v>11</v>
      </c>
      <c r="C638" s="32"/>
      <c r="D638" s="32"/>
      <c r="E638" s="19" t="n">
        <f aca="false">+IF(C638="EQUIPO",F638,0)</f>
        <v>0</v>
      </c>
      <c r="F638" s="33" t="n">
        <v>0</v>
      </c>
      <c r="G638" s="62"/>
      <c r="H638" s="35" t="n">
        <v>0</v>
      </c>
      <c r="I638" s="34" t="n">
        <f aca="false">+IF(E638=0,0,E638*0.03)</f>
        <v>0</v>
      </c>
    </row>
    <row r="639" customFormat="false" ht="15.75" hidden="false" customHeight="true" outlineLevel="0" collapsed="false">
      <c r="A639" s="65" t="n">
        <v>45352</v>
      </c>
      <c r="B639" s="31" t="s">
        <v>11</v>
      </c>
      <c r="C639" s="32"/>
      <c r="D639" s="32"/>
      <c r="E639" s="19" t="n">
        <f aca="false">+IF(C639="EQUIPO",F639,0)</f>
        <v>0</v>
      </c>
      <c r="F639" s="33" t="n">
        <v>0</v>
      </c>
      <c r="G639" s="62"/>
      <c r="H639" s="35" t="n">
        <v>0</v>
      </c>
      <c r="I639" s="34" t="n">
        <f aca="false">+IF(E639=0,0,E639*0.03)</f>
        <v>0</v>
      </c>
    </row>
    <row r="640" customFormat="false" ht="15.75" hidden="false" customHeight="true" outlineLevel="0" collapsed="false">
      <c r="A640" s="65" t="n">
        <v>45352</v>
      </c>
      <c r="B640" s="31" t="s">
        <v>11</v>
      </c>
      <c r="C640" s="32"/>
      <c r="D640" s="32"/>
      <c r="E640" s="19" t="n">
        <f aca="false">+IF(C640="EQUIPO",F640,0)</f>
        <v>0</v>
      </c>
      <c r="F640" s="33" t="n">
        <v>0</v>
      </c>
      <c r="G640" s="62"/>
      <c r="H640" s="35" t="n">
        <v>0</v>
      </c>
      <c r="I640" s="34" t="n">
        <f aca="false">+IF(E640=0,0,E640*0.03)</f>
        <v>0</v>
      </c>
    </row>
    <row r="641" customFormat="false" ht="15.75" hidden="false" customHeight="true" outlineLevel="0" collapsed="false">
      <c r="A641" s="65" t="n">
        <v>45352</v>
      </c>
      <c r="B641" s="31" t="s">
        <v>11</v>
      </c>
      <c r="C641" s="32"/>
      <c r="D641" s="32"/>
      <c r="E641" s="19" t="n">
        <f aca="false">+IF(C641="EQUIPO",F641,0)</f>
        <v>0</v>
      </c>
      <c r="F641" s="33" t="n">
        <v>0</v>
      </c>
      <c r="G641" s="62"/>
      <c r="H641" s="35" t="n">
        <v>0</v>
      </c>
      <c r="I641" s="34" t="n">
        <f aca="false">+IF(E641=0,0,E641*0.03)</f>
        <v>0</v>
      </c>
    </row>
    <row r="642" customFormat="false" ht="15.75" hidden="false" customHeight="true" outlineLevel="0" collapsed="false">
      <c r="A642" s="65" t="n">
        <v>45352</v>
      </c>
      <c r="B642" s="31" t="s">
        <v>11</v>
      </c>
      <c r="C642" s="32"/>
      <c r="D642" s="32"/>
      <c r="E642" s="19" t="n">
        <f aca="false">+IF(C642="EQUIPO",F642,0)</f>
        <v>0</v>
      </c>
      <c r="F642" s="33" t="n">
        <v>0</v>
      </c>
      <c r="G642" s="62"/>
      <c r="H642" s="35" t="n">
        <v>0</v>
      </c>
      <c r="I642" s="34" t="n">
        <f aca="false">+IF(E642=0,0,E642*0.03)</f>
        <v>0</v>
      </c>
    </row>
    <row r="643" customFormat="false" ht="15.75" hidden="false" customHeight="true" outlineLevel="0" collapsed="false">
      <c r="A643" s="65" t="n">
        <v>45352</v>
      </c>
      <c r="B643" s="31" t="s">
        <v>11</v>
      </c>
      <c r="C643" s="32"/>
      <c r="D643" s="32"/>
      <c r="E643" s="19" t="n">
        <f aca="false">+IF(C643="EQUIPO",F643,0)</f>
        <v>0</v>
      </c>
      <c r="F643" s="33" t="n">
        <v>0</v>
      </c>
      <c r="G643" s="62"/>
      <c r="H643" s="35" t="n">
        <v>0</v>
      </c>
      <c r="I643" s="34" t="n">
        <f aca="false">+IF(E643=0,0,E643*0.03)</f>
        <v>0</v>
      </c>
    </row>
    <row r="644" customFormat="false" ht="15.75" hidden="false" customHeight="true" outlineLevel="0" collapsed="false">
      <c r="A644" s="65" t="n">
        <v>45352</v>
      </c>
      <c r="B644" s="31" t="s">
        <v>11</v>
      </c>
      <c r="C644" s="32"/>
      <c r="D644" s="32"/>
      <c r="E644" s="19" t="n">
        <f aca="false">+IF(C644="EQUIPO",F644,0)</f>
        <v>0</v>
      </c>
      <c r="F644" s="33" t="n">
        <v>0</v>
      </c>
      <c r="G644" s="62"/>
      <c r="H644" s="35" t="n">
        <v>0</v>
      </c>
      <c r="I644" s="34" t="n">
        <f aca="false">+IF(E644=0,0,E644*0.03)</f>
        <v>0</v>
      </c>
    </row>
    <row r="645" customFormat="false" ht="15.75" hidden="false" customHeight="true" outlineLevel="0" collapsed="false">
      <c r="A645" s="65" t="n">
        <v>45352</v>
      </c>
      <c r="B645" s="31" t="s">
        <v>11</v>
      </c>
      <c r="C645" s="32"/>
      <c r="D645" s="32"/>
      <c r="E645" s="19" t="n">
        <f aca="false">+IF(C645="EQUIPO",F645,0)</f>
        <v>0</v>
      </c>
      <c r="F645" s="33" t="n">
        <v>0</v>
      </c>
      <c r="G645" s="62"/>
      <c r="H645" s="35" t="n">
        <v>0</v>
      </c>
      <c r="I645" s="34" t="n">
        <f aca="false">+IF(E645=0,0,E645*0.03)</f>
        <v>0</v>
      </c>
    </row>
    <row r="646" customFormat="false" ht="15.75" hidden="false" customHeight="true" outlineLevel="0" collapsed="false">
      <c r="A646" s="65" t="n">
        <v>45352</v>
      </c>
      <c r="B646" s="31" t="s">
        <v>11</v>
      </c>
      <c r="C646" s="32"/>
      <c r="D646" s="32"/>
      <c r="E646" s="19" t="n">
        <f aca="false">+IF(C646="EQUIPO",F646,0)</f>
        <v>0</v>
      </c>
      <c r="F646" s="33" t="n">
        <v>0</v>
      </c>
      <c r="G646" s="62"/>
      <c r="H646" s="35" t="n">
        <v>0</v>
      </c>
      <c r="I646" s="34" t="n">
        <f aca="false">+IF(E646=0,0,E646*0.03)</f>
        <v>0</v>
      </c>
    </row>
    <row r="647" customFormat="false" ht="15.75" hidden="false" customHeight="true" outlineLevel="0" collapsed="false">
      <c r="A647" s="65" t="n">
        <v>45352</v>
      </c>
      <c r="B647" s="31" t="s">
        <v>11</v>
      </c>
      <c r="C647" s="32"/>
      <c r="D647" s="32"/>
      <c r="E647" s="19" t="n">
        <f aca="false">+IF(C647="EQUIPO",F647,0)</f>
        <v>0</v>
      </c>
      <c r="F647" s="33" t="n">
        <v>0</v>
      </c>
      <c r="G647" s="62"/>
      <c r="H647" s="35" t="n">
        <v>0</v>
      </c>
      <c r="I647" s="34" t="n">
        <f aca="false">+IF(E647=0,0,E647*0.03)</f>
        <v>0</v>
      </c>
    </row>
    <row r="648" customFormat="false" ht="15.75" hidden="false" customHeight="true" outlineLevel="0" collapsed="false">
      <c r="A648" s="65" t="n">
        <v>45352</v>
      </c>
      <c r="B648" s="31" t="s">
        <v>11</v>
      </c>
      <c r="C648" s="32"/>
      <c r="D648" s="32"/>
      <c r="E648" s="19" t="n">
        <f aca="false">+IF(C648="EQUIPO",F648,0)</f>
        <v>0</v>
      </c>
      <c r="F648" s="33" t="n">
        <v>0</v>
      </c>
      <c r="G648" s="62"/>
      <c r="H648" s="35" t="n">
        <v>0</v>
      </c>
      <c r="I648" s="34" t="n">
        <f aca="false">+IF(E648=0,0,E648*0.03)</f>
        <v>0</v>
      </c>
    </row>
    <row r="649" customFormat="false" ht="15.75" hidden="false" customHeight="true" outlineLevel="0" collapsed="false">
      <c r="A649" s="65" t="n">
        <v>45352</v>
      </c>
      <c r="B649" s="31" t="s">
        <v>11</v>
      </c>
      <c r="C649" s="32"/>
      <c r="D649" s="32"/>
      <c r="E649" s="19" t="n">
        <f aca="false">+IF(C649="EQUIPO",F649,0)</f>
        <v>0</v>
      </c>
      <c r="F649" s="33" t="n">
        <v>0</v>
      </c>
      <c r="G649" s="62"/>
      <c r="H649" s="35" t="n">
        <v>0</v>
      </c>
      <c r="I649" s="34" t="n">
        <f aca="false">+IF(E649=0,0,E649*0.03)</f>
        <v>0</v>
      </c>
    </row>
    <row r="650" customFormat="false" ht="15.75" hidden="false" customHeight="true" outlineLevel="0" collapsed="false">
      <c r="A650" s="65" t="n">
        <v>45352</v>
      </c>
      <c r="B650" s="31" t="s">
        <v>11</v>
      </c>
      <c r="C650" s="32"/>
      <c r="D650" s="32"/>
      <c r="E650" s="19" t="n">
        <f aca="false">+IF(C650="EQUIPO",F650,0)</f>
        <v>0</v>
      </c>
      <c r="F650" s="33" t="n">
        <v>0</v>
      </c>
      <c r="G650" s="62"/>
      <c r="H650" s="35" t="n">
        <v>0</v>
      </c>
      <c r="I650" s="34" t="n">
        <f aca="false">+IF(E650=0,0,E650*0.03)</f>
        <v>0</v>
      </c>
    </row>
    <row r="651" customFormat="false" ht="15.75" hidden="false" customHeight="true" outlineLevel="0" collapsed="false">
      <c r="A651" s="65" t="n">
        <v>45352</v>
      </c>
      <c r="B651" s="31" t="s">
        <v>11</v>
      </c>
      <c r="C651" s="32"/>
      <c r="D651" s="32"/>
      <c r="E651" s="19" t="n">
        <f aca="false">+IF(C651="EQUIPO",F651,0)</f>
        <v>0</v>
      </c>
      <c r="F651" s="33" t="n">
        <v>0</v>
      </c>
      <c r="G651" s="62"/>
      <c r="H651" s="35" t="n">
        <v>0</v>
      </c>
      <c r="I651" s="34" t="n">
        <f aca="false">+IF(E651=0,0,E651*0.03)</f>
        <v>0</v>
      </c>
    </row>
    <row r="652" customFormat="false" ht="15.75" hidden="false" customHeight="true" outlineLevel="0" collapsed="false">
      <c r="A652" s="65" t="n">
        <v>45352</v>
      </c>
      <c r="B652" s="31" t="s">
        <v>11</v>
      </c>
      <c r="C652" s="32"/>
      <c r="D652" s="32"/>
      <c r="E652" s="19" t="n">
        <f aca="false">+IF(C652="EQUIPO",F652,0)</f>
        <v>0</v>
      </c>
      <c r="F652" s="33" t="n">
        <v>0</v>
      </c>
      <c r="G652" s="62"/>
      <c r="H652" s="35" t="n">
        <v>0</v>
      </c>
      <c r="I652" s="34" t="n">
        <f aca="false">+IF(E652=0,0,E652*0.03)</f>
        <v>0</v>
      </c>
    </row>
    <row r="653" customFormat="false" ht="15.75" hidden="false" customHeight="true" outlineLevel="0" collapsed="false">
      <c r="A653" s="65" t="n">
        <v>45352</v>
      </c>
      <c r="B653" s="31" t="s">
        <v>11</v>
      </c>
      <c r="C653" s="32"/>
      <c r="D653" s="32"/>
      <c r="E653" s="19" t="n">
        <f aca="false">+IF(C653="EQUIPO",F653,0)</f>
        <v>0</v>
      </c>
      <c r="F653" s="33" t="n">
        <v>0</v>
      </c>
      <c r="G653" s="62"/>
      <c r="H653" s="35" t="n">
        <v>0</v>
      </c>
      <c r="I653" s="34" t="n">
        <f aca="false">+IF(E653=0,0,E653*0.03)</f>
        <v>0</v>
      </c>
    </row>
    <row r="654" customFormat="false" ht="15.75" hidden="false" customHeight="true" outlineLevel="0" collapsed="false">
      <c r="A654" s="65" t="n">
        <v>45352</v>
      </c>
      <c r="B654" s="31" t="s">
        <v>11</v>
      </c>
      <c r="C654" s="32"/>
      <c r="D654" s="32"/>
      <c r="E654" s="19" t="n">
        <f aca="false">+IF(C654="EQUIPO",F654,0)</f>
        <v>0</v>
      </c>
      <c r="F654" s="33" t="n">
        <v>0</v>
      </c>
      <c r="G654" s="62"/>
      <c r="H654" s="35" t="n">
        <v>0</v>
      </c>
      <c r="I654" s="34" t="n">
        <f aca="false">+IF(E654=0,0,E654*0.03)</f>
        <v>0</v>
      </c>
    </row>
    <row r="655" customFormat="false" ht="15.75" hidden="false" customHeight="true" outlineLevel="0" collapsed="false">
      <c r="A655" s="65" t="n">
        <v>45352</v>
      </c>
      <c r="B655" s="31" t="s">
        <v>11</v>
      </c>
      <c r="C655" s="32"/>
      <c r="D655" s="32"/>
      <c r="E655" s="19" t="n">
        <f aca="false">+IF(C655="EQUIPO",F655,0)</f>
        <v>0</v>
      </c>
      <c r="F655" s="33" t="n">
        <v>0</v>
      </c>
      <c r="G655" s="62"/>
      <c r="H655" s="35" t="n">
        <v>0</v>
      </c>
      <c r="I655" s="34" t="n">
        <f aca="false">+IF(E655=0,0,E655*0.03)</f>
        <v>0</v>
      </c>
    </row>
    <row r="656" customFormat="false" ht="15.75" hidden="false" customHeight="true" outlineLevel="0" collapsed="false">
      <c r="A656" s="65" t="n">
        <v>45352</v>
      </c>
      <c r="B656" s="31" t="s">
        <v>11</v>
      </c>
      <c r="C656" s="32"/>
      <c r="D656" s="32"/>
      <c r="E656" s="19" t="n">
        <f aca="false">+IF(C656="EQUIPO",F656,0)</f>
        <v>0</v>
      </c>
      <c r="F656" s="33" t="n">
        <v>0</v>
      </c>
      <c r="G656" s="62"/>
      <c r="H656" s="35" t="n">
        <v>0</v>
      </c>
      <c r="I656" s="34" t="n">
        <f aca="false">+IF(E656=0,0,E656*0.03)</f>
        <v>0</v>
      </c>
    </row>
    <row r="657" customFormat="false" ht="15.75" hidden="false" customHeight="true" outlineLevel="0" collapsed="false">
      <c r="A657" s="65" t="n">
        <v>45352</v>
      </c>
      <c r="B657" s="31" t="s">
        <v>11</v>
      </c>
      <c r="C657" s="32"/>
      <c r="D657" s="32"/>
      <c r="E657" s="19" t="n">
        <f aca="false">+IF(C657="EQUIPO",F657,0)</f>
        <v>0</v>
      </c>
      <c r="F657" s="33" t="n">
        <v>0</v>
      </c>
      <c r="G657" s="62"/>
      <c r="H657" s="35" t="n">
        <v>0</v>
      </c>
      <c r="I657" s="34" t="n">
        <f aca="false">+IF(E657=0,0,E657*0.03)</f>
        <v>0</v>
      </c>
    </row>
    <row r="658" customFormat="false" ht="15.75" hidden="false" customHeight="true" outlineLevel="0" collapsed="false">
      <c r="A658" s="65" t="n">
        <v>45352</v>
      </c>
      <c r="B658" s="31" t="s">
        <v>11</v>
      </c>
      <c r="C658" s="32"/>
      <c r="D658" s="32"/>
      <c r="E658" s="19" t="n">
        <f aca="false">+IF(C658="EQUIPO",F658,0)</f>
        <v>0</v>
      </c>
      <c r="F658" s="33" t="n">
        <v>0</v>
      </c>
      <c r="G658" s="62"/>
      <c r="H658" s="35" t="n">
        <v>0</v>
      </c>
      <c r="I658" s="34" t="n">
        <f aca="false">+IF(E658=0,0,E658*0.03)</f>
        <v>0</v>
      </c>
    </row>
    <row r="659" customFormat="false" ht="15.75" hidden="false" customHeight="true" outlineLevel="0" collapsed="false">
      <c r="A659" s="65" t="n">
        <v>45352</v>
      </c>
      <c r="B659" s="31" t="s">
        <v>11</v>
      </c>
      <c r="C659" s="32"/>
      <c r="D659" s="32"/>
      <c r="E659" s="19" t="n">
        <f aca="false">+IF(C659="EQUIPO",F659,0)</f>
        <v>0</v>
      </c>
      <c r="F659" s="33" t="n">
        <v>0</v>
      </c>
      <c r="G659" s="62"/>
      <c r="H659" s="35" t="n">
        <v>0</v>
      </c>
      <c r="I659" s="34" t="n">
        <f aca="false">+IF(E659=0,0,E659*0.03)</f>
        <v>0</v>
      </c>
    </row>
    <row r="660" customFormat="false" ht="15.75" hidden="false" customHeight="true" outlineLevel="0" collapsed="false">
      <c r="A660" s="65" t="n">
        <v>45352</v>
      </c>
      <c r="B660" s="31" t="s">
        <v>11</v>
      </c>
      <c r="C660" s="32"/>
      <c r="D660" s="32"/>
      <c r="E660" s="19" t="n">
        <f aca="false">+IF(C660="EQUIPO",F660,0)</f>
        <v>0</v>
      </c>
      <c r="F660" s="33" t="n">
        <v>0</v>
      </c>
      <c r="G660" s="62"/>
      <c r="H660" s="35" t="n">
        <v>0</v>
      </c>
      <c r="I660" s="34" t="n">
        <f aca="false">+IF(E660=0,0,E660*0.03)</f>
        <v>0</v>
      </c>
    </row>
    <row r="661" customFormat="false" ht="15.75" hidden="false" customHeight="true" outlineLevel="0" collapsed="false">
      <c r="A661" s="65" t="n">
        <v>45352</v>
      </c>
      <c r="B661" s="31" t="s">
        <v>11</v>
      </c>
      <c r="C661" s="32"/>
      <c r="D661" s="32"/>
      <c r="E661" s="19" t="n">
        <f aca="false">+IF(C661="EQUIPO",F661,0)</f>
        <v>0</v>
      </c>
      <c r="F661" s="33" t="n">
        <v>0</v>
      </c>
      <c r="G661" s="62"/>
      <c r="H661" s="35" t="n">
        <v>0</v>
      </c>
      <c r="I661" s="34" t="n">
        <f aca="false">+IF(E661=0,0,E661*0.03)</f>
        <v>0</v>
      </c>
    </row>
    <row r="662" customFormat="false" ht="15.75" hidden="false" customHeight="true" outlineLevel="0" collapsed="false">
      <c r="A662" s="65" t="n">
        <v>45352</v>
      </c>
      <c r="B662" s="31" t="s">
        <v>11</v>
      </c>
      <c r="C662" s="32"/>
      <c r="D662" s="32"/>
      <c r="E662" s="19" t="n">
        <f aca="false">+IF(C662="EQUIPO",F662,0)</f>
        <v>0</v>
      </c>
      <c r="F662" s="33" t="n">
        <v>0</v>
      </c>
      <c r="G662" s="62"/>
      <c r="H662" s="35" t="n">
        <v>0</v>
      </c>
      <c r="I662" s="34" t="n">
        <f aca="false">+IF(E662=0,0,E662*0.03)</f>
        <v>0</v>
      </c>
    </row>
    <row r="663" customFormat="false" ht="15.75" hidden="false" customHeight="true" outlineLevel="0" collapsed="false">
      <c r="A663" s="65" t="n">
        <v>45352</v>
      </c>
      <c r="B663" s="31" t="s">
        <v>11</v>
      </c>
      <c r="C663" s="32"/>
      <c r="D663" s="32"/>
      <c r="E663" s="19" t="n">
        <f aca="false">+IF(C663="EQUIPO",F663,0)</f>
        <v>0</v>
      </c>
      <c r="F663" s="33" t="n">
        <v>0</v>
      </c>
      <c r="G663" s="62"/>
      <c r="H663" s="35" t="n">
        <v>0</v>
      </c>
      <c r="I663" s="34" t="n">
        <f aca="false">+IF(E663=0,0,E663*0.03)</f>
        <v>0</v>
      </c>
    </row>
    <row r="664" customFormat="false" ht="15.75" hidden="false" customHeight="true" outlineLevel="0" collapsed="false">
      <c r="A664" s="65" t="n">
        <v>45352</v>
      </c>
      <c r="B664" s="31" t="s">
        <v>11</v>
      </c>
      <c r="C664" s="32"/>
      <c r="D664" s="32"/>
      <c r="E664" s="19" t="n">
        <f aca="false">+IF(C664="EQUIPO",F664,0)</f>
        <v>0</v>
      </c>
      <c r="F664" s="33" t="n">
        <v>0</v>
      </c>
      <c r="G664" s="62"/>
      <c r="H664" s="35" t="n">
        <v>0</v>
      </c>
      <c r="I664" s="34" t="n">
        <f aca="false">+IF(E664=0,0,E664*0.03)</f>
        <v>0</v>
      </c>
    </row>
    <row r="665" customFormat="false" ht="15.75" hidden="false" customHeight="true" outlineLevel="0" collapsed="false">
      <c r="A665" s="65" t="n">
        <v>45352</v>
      </c>
      <c r="B665" s="31" t="s">
        <v>11</v>
      </c>
      <c r="C665" s="32"/>
      <c r="D665" s="32"/>
      <c r="E665" s="19" t="n">
        <f aca="false">+IF(C665="EQUIPO",F665,0)</f>
        <v>0</v>
      </c>
      <c r="F665" s="33" t="n">
        <v>0</v>
      </c>
      <c r="G665" s="62"/>
      <c r="H665" s="35" t="n">
        <v>0</v>
      </c>
      <c r="I665" s="34" t="n">
        <f aca="false">+IF(E665=0,0,E665*0.03)</f>
        <v>0</v>
      </c>
    </row>
    <row r="666" customFormat="false" ht="15.75" hidden="false" customHeight="true" outlineLevel="0" collapsed="false">
      <c r="A666" s="65" t="n">
        <v>45352</v>
      </c>
      <c r="B666" s="31" t="s">
        <v>11</v>
      </c>
      <c r="C666" s="32"/>
      <c r="D666" s="32"/>
      <c r="E666" s="19" t="n">
        <f aca="false">+IF(C666="EQUIPO",F666,0)</f>
        <v>0</v>
      </c>
      <c r="F666" s="33" t="n">
        <v>0</v>
      </c>
      <c r="G666" s="62"/>
      <c r="H666" s="35" t="n">
        <v>0</v>
      </c>
      <c r="I666" s="34" t="n">
        <f aca="false">+IF(E666=0,0,E666*0.03)</f>
        <v>0</v>
      </c>
    </row>
    <row r="667" customFormat="false" ht="15.75" hidden="false" customHeight="true" outlineLevel="0" collapsed="false">
      <c r="A667" s="65" t="n">
        <v>45352</v>
      </c>
      <c r="B667" s="31" t="s">
        <v>11</v>
      </c>
      <c r="C667" s="32"/>
      <c r="D667" s="32"/>
      <c r="E667" s="19" t="n">
        <f aca="false">+IF(C667="EQUIPO",F667,0)</f>
        <v>0</v>
      </c>
      <c r="F667" s="33" t="n">
        <v>0</v>
      </c>
      <c r="G667" s="62"/>
      <c r="H667" s="35" t="n">
        <v>0</v>
      </c>
      <c r="I667" s="34" t="n">
        <f aca="false">+IF(E667=0,0,E667*0.03)</f>
        <v>0</v>
      </c>
    </row>
    <row r="668" customFormat="false" ht="15.75" hidden="false" customHeight="true" outlineLevel="0" collapsed="false">
      <c r="A668" s="65" t="n">
        <v>45352</v>
      </c>
      <c r="B668" s="31" t="s">
        <v>11</v>
      </c>
      <c r="C668" s="32"/>
      <c r="D668" s="32"/>
      <c r="E668" s="19" t="n">
        <f aca="false">+IF(C668="EQUIPO",F668,0)</f>
        <v>0</v>
      </c>
      <c r="F668" s="33" t="n">
        <v>0</v>
      </c>
      <c r="G668" s="62"/>
      <c r="H668" s="35" t="n">
        <v>0</v>
      </c>
      <c r="I668" s="34" t="n">
        <f aca="false">+IF(E668=0,0,E668*0.03)</f>
        <v>0</v>
      </c>
    </row>
    <row r="669" customFormat="false" ht="15.75" hidden="false" customHeight="true" outlineLevel="0" collapsed="false">
      <c r="A669" s="65" t="n">
        <v>45352</v>
      </c>
      <c r="B669" s="31" t="s">
        <v>11</v>
      </c>
      <c r="C669" s="32"/>
      <c r="D669" s="32"/>
      <c r="E669" s="19" t="n">
        <f aca="false">+IF(C669="EQUIPO",F669,0)</f>
        <v>0</v>
      </c>
      <c r="F669" s="33" t="n">
        <v>0</v>
      </c>
      <c r="G669" s="62"/>
      <c r="H669" s="35" t="n">
        <v>0</v>
      </c>
      <c r="I669" s="34" t="n">
        <f aca="false">+IF(E669=0,0,E669*0.03)</f>
        <v>0</v>
      </c>
    </row>
    <row r="670" customFormat="false" ht="15.75" hidden="false" customHeight="true" outlineLevel="0" collapsed="false">
      <c r="A670" s="65" t="n">
        <v>45352</v>
      </c>
      <c r="B670" s="31" t="s">
        <v>11</v>
      </c>
      <c r="C670" s="32"/>
      <c r="D670" s="32"/>
      <c r="E670" s="19" t="n">
        <f aca="false">+IF(C670="EQUIPO",F670,0)</f>
        <v>0</v>
      </c>
      <c r="F670" s="33" t="n">
        <v>0</v>
      </c>
      <c r="G670" s="62"/>
      <c r="H670" s="35" t="n">
        <v>0</v>
      </c>
      <c r="I670" s="34" t="n">
        <f aca="false">+IF(E670=0,0,E670*0.03)</f>
        <v>0</v>
      </c>
    </row>
    <row r="671" customFormat="false" ht="15.75" hidden="false" customHeight="true" outlineLevel="0" collapsed="false">
      <c r="A671" s="65" t="n">
        <v>45352</v>
      </c>
      <c r="B671" s="31" t="s">
        <v>11</v>
      </c>
      <c r="C671" s="32"/>
      <c r="D671" s="32"/>
      <c r="E671" s="19" t="n">
        <f aca="false">+IF(C671="EQUIPO",F671,0)</f>
        <v>0</v>
      </c>
      <c r="F671" s="33" t="n">
        <v>0</v>
      </c>
      <c r="G671" s="62"/>
      <c r="H671" s="35" t="n">
        <v>0</v>
      </c>
      <c r="I671" s="34" t="n">
        <f aca="false">+IF(E671=0,0,E671*0.03)</f>
        <v>0</v>
      </c>
    </row>
    <row r="672" customFormat="false" ht="15.75" hidden="false" customHeight="true" outlineLevel="0" collapsed="false">
      <c r="A672" s="65" t="n">
        <v>45352</v>
      </c>
      <c r="B672" s="31" t="s">
        <v>11</v>
      </c>
      <c r="C672" s="32"/>
      <c r="D672" s="32"/>
      <c r="E672" s="19" t="n">
        <f aca="false">+IF(C672="EQUIPO",F672,0)</f>
        <v>0</v>
      </c>
      <c r="F672" s="33" t="n">
        <v>0</v>
      </c>
      <c r="G672" s="62"/>
      <c r="H672" s="35" t="n">
        <v>0</v>
      </c>
      <c r="I672" s="34" t="n">
        <f aca="false">+IF(E672=0,0,E672*0.03)</f>
        <v>0</v>
      </c>
    </row>
    <row r="673" customFormat="false" ht="15.75" hidden="false" customHeight="true" outlineLevel="0" collapsed="false">
      <c r="A673" s="65" t="n">
        <v>45352</v>
      </c>
      <c r="B673" s="31" t="s">
        <v>11</v>
      </c>
      <c r="C673" s="32"/>
      <c r="D673" s="32"/>
      <c r="E673" s="19" t="n">
        <f aca="false">+IF(C673="EQUIPO",F673,0)</f>
        <v>0</v>
      </c>
      <c r="F673" s="33" t="n">
        <v>0</v>
      </c>
      <c r="G673" s="62"/>
      <c r="H673" s="35" t="n">
        <v>0</v>
      </c>
      <c r="I673" s="34" t="n">
        <f aca="false">+IF(E673=0,0,E673*0.03)</f>
        <v>0</v>
      </c>
    </row>
    <row r="674" customFormat="false" ht="15.75" hidden="false" customHeight="true" outlineLevel="0" collapsed="false">
      <c r="A674" s="65" t="n">
        <v>45352</v>
      </c>
      <c r="B674" s="31" t="s">
        <v>11</v>
      </c>
      <c r="C674" s="32"/>
      <c r="D674" s="32"/>
      <c r="E674" s="19" t="n">
        <f aca="false">+IF(C674="EQUIPO",F674,0)</f>
        <v>0</v>
      </c>
      <c r="F674" s="33" t="n">
        <v>0</v>
      </c>
      <c r="G674" s="62"/>
      <c r="H674" s="35" t="n">
        <v>0</v>
      </c>
      <c r="I674" s="34" t="n">
        <f aca="false">+IF(E674=0,0,E674*0.03)</f>
        <v>0</v>
      </c>
    </row>
    <row r="675" customFormat="false" ht="15.75" hidden="false" customHeight="true" outlineLevel="0" collapsed="false">
      <c r="A675" s="65" t="n">
        <v>45352</v>
      </c>
      <c r="B675" s="31" t="s">
        <v>11</v>
      </c>
      <c r="C675" s="32"/>
      <c r="D675" s="32"/>
      <c r="E675" s="19" t="n">
        <f aca="false">+IF(C675="EQUIPO",F675,0)</f>
        <v>0</v>
      </c>
      <c r="F675" s="33" t="n">
        <v>0</v>
      </c>
      <c r="G675" s="62"/>
      <c r="H675" s="35" t="n">
        <v>0</v>
      </c>
      <c r="I675" s="34" t="n">
        <f aca="false">+IF(E675=0,0,E675*0.03)</f>
        <v>0</v>
      </c>
    </row>
    <row r="676" customFormat="false" ht="15.75" hidden="false" customHeight="true" outlineLevel="0" collapsed="false">
      <c r="A676" s="65" t="n">
        <v>45352</v>
      </c>
      <c r="B676" s="31" t="s">
        <v>11</v>
      </c>
      <c r="C676" s="32"/>
      <c r="D676" s="32"/>
      <c r="E676" s="19" t="n">
        <f aca="false">+IF(C676="EQUIPO",F676,0)</f>
        <v>0</v>
      </c>
      <c r="F676" s="33" t="n">
        <v>0</v>
      </c>
      <c r="G676" s="62"/>
      <c r="H676" s="35" t="n">
        <v>0</v>
      </c>
      <c r="I676" s="34" t="n">
        <f aca="false">+IF(E676=0,0,E676*0.03)</f>
        <v>0</v>
      </c>
    </row>
    <row r="677" customFormat="false" ht="15.75" hidden="false" customHeight="true" outlineLevel="0" collapsed="false">
      <c r="A677" s="65" t="n">
        <v>45352</v>
      </c>
      <c r="B677" s="31" t="s">
        <v>11</v>
      </c>
      <c r="C677" s="32"/>
      <c r="D677" s="32"/>
      <c r="E677" s="19" t="n">
        <f aca="false">+IF(C677="EQUIPO",F677,0)</f>
        <v>0</v>
      </c>
      <c r="F677" s="33" t="n">
        <v>0</v>
      </c>
      <c r="G677" s="62"/>
      <c r="H677" s="35" t="n">
        <v>0</v>
      </c>
      <c r="I677" s="34" t="n">
        <f aca="false">+IF(E677=0,0,E677*0.03)</f>
        <v>0</v>
      </c>
    </row>
    <row r="678" customFormat="false" ht="15.75" hidden="false" customHeight="true" outlineLevel="0" collapsed="false">
      <c r="A678" s="65" t="n">
        <v>45352</v>
      </c>
      <c r="B678" s="31" t="s">
        <v>11</v>
      </c>
      <c r="C678" s="32"/>
      <c r="D678" s="32"/>
      <c r="E678" s="19" t="n">
        <f aca="false">+IF(C678="EQUIPO",F678,0)</f>
        <v>0</v>
      </c>
      <c r="F678" s="33" t="n">
        <v>0</v>
      </c>
      <c r="G678" s="62"/>
      <c r="H678" s="35" t="n">
        <v>0</v>
      </c>
      <c r="I678" s="34" t="n">
        <f aca="false">+IF(E678=0,0,E678*0.03)</f>
        <v>0</v>
      </c>
    </row>
    <row r="679" customFormat="false" ht="15.75" hidden="false" customHeight="true" outlineLevel="0" collapsed="false">
      <c r="A679" s="65" t="n">
        <v>45352</v>
      </c>
      <c r="B679" s="31" t="s">
        <v>11</v>
      </c>
      <c r="C679" s="32"/>
      <c r="D679" s="32"/>
      <c r="E679" s="19" t="n">
        <f aca="false">+IF(C679="EQUIPO",F679,0)</f>
        <v>0</v>
      </c>
      <c r="F679" s="33" t="n">
        <v>0</v>
      </c>
      <c r="G679" s="62"/>
      <c r="H679" s="35" t="n">
        <v>0</v>
      </c>
      <c r="I679" s="34" t="n">
        <f aca="false">+IF(E679=0,0,E679*0.03)</f>
        <v>0</v>
      </c>
    </row>
    <row r="680" customFormat="false" ht="15.75" hidden="false" customHeight="true" outlineLevel="0" collapsed="false">
      <c r="A680" s="65" t="n">
        <v>45352</v>
      </c>
      <c r="B680" s="31" t="s">
        <v>11</v>
      </c>
      <c r="C680" s="32"/>
      <c r="D680" s="32"/>
      <c r="E680" s="19" t="n">
        <f aca="false">+IF(C680="EQUIPO",F680,0)</f>
        <v>0</v>
      </c>
      <c r="F680" s="33" t="n">
        <v>0</v>
      </c>
      <c r="G680" s="62"/>
      <c r="H680" s="35" t="n">
        <v>0</v>
      </c>
      <c r="I680" s="34" t="n">
        <f aca="false">+IF(E680=0,0,E680*0.03)</f>
        <v>0</v>
      </c>
    </row>
    <row r="681" customFormat="false" ht="15.75" hidden="false" customHeight="true" outlineLevel="0" collapsed="false">
      <c r="A681" s="65" t="n">
        <v>45352</v>
      </c>
      <c r="B681" s="31" t="s">
        <v>11</v>
      </c>
      <c r="C681" s="32"/>
      <c r="D681" s="32"/>
      <c r="E681" s="19" t="n">
        <f aca="false">+IF(C681="EQUIPO",F681,0)</f>
        <v>0</v>
      </c>
      <c r="F681" s="33" t="n">
        <v>0</v>
      </c>
      <c r="G681" s="62"/>
      <c r="H681" s="35" t="n">
        <v>0</v>
      </c>
      <c r="I681" s="34" t="n">
        <f aca="false">+IF(E681=0,0,E681*0.03)</f>
        <v>0</v>
      </c>
    </row>
    <row r="682" customFormat="false" ht="15.75" hidden="false" customHeight="true" outlineLevel="0" collapsed="false">
      <c r="A682" s="65" t="n">
        <v>45352</v>
      </c>
      <c r="B682" s="31" t="s">
        <v>11</v>
      </c>
      <c r="C682" s="32"/>
      <c r="D682" s="32"/>
      <c r="E682" s="19" t="n">
        <f aca="false">+IF(C682="EQUIPO",F682,0)</f>
        <v>0</v>
      </c>
      <c r="F682" s="33" t="n">
        <v>0</v>
      </c>
      <c r="G682" s="62"/>
      <c r="H682" s="35" t="n">
        <v>0</v>
      </c>
      <c r="I682" s="34" t="n">
        <f aca="false">+IF(E682=0,0,E682*0.03)</f>
        <v>0</v>
      </c>
    </row>
    <row r="683" customFormat="false" ht="15.75" hidden="false" customHeight="true" outlineLevel="0" collapsed="false">
      <c r="A683" s="65" t="n">
        <v>45352</v>
      </c>
      <c r="B683" s="31" t="s">
        <v>11</v>
      </c>
      <c r="C683" s="32"/>
      <c r="D683" s="32"/>
      <c r="E683" s="19" t="n">
        <f aca="false">+IF(C683="EQUIPO",F683,0)</f>
        <v>0</v>
      </c>
      <c r="F683" s="33" t="n">
        <v>0</v>
      </c>
      <c r="G683" s="62"/>
      <c r="H683" s="35" t="n">
        <v>0</v>
      </c>
      <c r="I683" s="34" t="n">
        <f aca="false">+IF(E683=0,0,E683*0.03)</f>
        <v>0</v>
      </c>
    </row>
    <row r="684" customFormat="false" ht="15.75" hidden="false" customHeight="true" outlineLevel="0" collapsed="false">
      <c r="A684" s="65" t="n">
        <v>45352</v>
      </c>
      <c r="B684" s="31" t="s">
        <v>11</v>
      </c>
      <c r="C684" s="32"/>
      <c r="D684" s="32"/>
      <c r="E684" s="19" t="n">
        <f aca="false">+IF(C684="EQUIPO",F684,0)</f>
        <v>0</v>
      </c>
      <c r="F684" s="33" t="n">
        <v>0</v>
      </c>
      <c r="G684" s="62"/>
      <c r="H684" s="35" t="n">
        <v>0</v>
      </c>
      <c r="I684" s="34" t="n">
        <f aca="false">+IF(E684=0,0,E684*0.03)</f>
        <v>0</v>
      </c>
    </row>
    <row r="685" customFormat="false" ht="15.75" hidden="false" customHeight="true" outlineLevel="0" collapsed="false">
      <c r="A685" s="65" t="n">
        <v>45352</v>
      </c>
      <c r="B685" s="31" t="s">
        <v>11</v>
      </c>
      <c r="C685" s="32"/>
      <c r="D685" s="32"/>
      <c r="E685" s="19" t="n">
        <f aca="false">+IF(C685="EQUIPO",F685,0)</f>
        <v>0</v>
      </c>
      <c r="F685" s="33" t="n">
        <v>0</v>
      </c>
      <c r="G685" s="62"/>
      <c r="H685" s="35" t="n">
        <v>0</v>
      </c>
      <c r="I685" s="34" t="n">
        <f aca="false">+IF(E685=0,0,E685*0.03)</f>
        <v>0</v>
      </c>
    </row>
    <row r="686" customFormat="false" ht="15.75" hidden="false" customHeight="true" outlineLevel="0" collapsed="false">
      <c r="A686" s="65" t="n">
        <v>45352</v>
      </c>
      <c r="B686" s="31" t="s">
        <v>11</v>
      </c>
      <c r="C686" s="32"/>
      <c r="D686" s="32"/>
      <c r="E686" s="19" t="n">
        <f aca="false">+IF(C686="EQUIPO",F686,0)</f>
        <v>0</v>
      </c>
      <c r="F686" s="33" t="n">
        <v>0</v>
      </c>
      <c r="G686" s="62"/>
      <c r="H686" s="35" t="n">
        <v>0</v>
      </c>
      <c r="I686" s="34" t="n">
        <f aca="false">+IF(E686=0,0,E686*0.03)</f>
        <v>0</v>
      </c>
    </row>
    <row r="687" customFormat="false" ht="15.75" hidden="false" customHeight="true" outlineLevel="0" collapsed="false">
      <c r="A687" s="65" t="n">
        <v>45352</v>
      </c>
      <c r="B687" s="31" t="s">
        <v>11</v>
      </c>
      <c r="C687" s="32"/>
      <c r="D687" s="32"/>
      <c r="E687" s="19" t="n">
        <f aca="false">+IF(C687="EQUIPO",F687,0)</f>
        <v>0</v>
      </c>
      <c r="F687" s="33" t="n">
        <v>0</v>
      </c>
      <c r="G687" s="62"/>
      <c r="H687" s="35" t="n">
        <v>0</v>
      </c>
      <c r="I687" s="34" t="n">
        <f aca="false">+IF(E687=0,0,E687*0.03)</f>
        <v>0</v>
      </c>
    </row>
    <row r="688" customFormat="false" ht="15.75" hidden="false" customHeight="true" outlineLevel="0" collapsed="false">
      <c r="A688" s="65" t="n">
        <v>45352</v>
      </c>
      <c r="B688" s="31" t="s">
        <v>11</v>
      </c>
      <c r="C688" s="32"/>
      <c r="D688" s="32"/>
      <c r="E688" s="19" t="n">
        <f aca="false">+IF(C688="EQUIPO",F688,0)</f>
        <v>0</v>
      </c>
      <c r="F688" s="33" t="n">
        <v>0</v>
      </c>
      <c r="G688" s="62"/>
      <c r="H688" s="35" t="n">
        <v>0</v>
      </c>
      <c r="I688" s="34" t="n">
        <f aca="false">+IF(E688=0,0,E688*0.03)</f>
        <v>0</v>
      </c>
    </row>
    <row r="689" customFormat="false" ht="15.75" hidden="false" customHeight="true" outlineLevel="0" collapsed="false">
      <c r="A689" s="65" t="n">
        <v>45352</v>
      </c>
      <c r="B689" s="31" t="s">
        <v>11</v>
      </c>
      <c r="C689" s="32"/>
      <c r="D689" s="32"/>
      <c r="E689" s="19" t="n">
        <f aca="false">+IF(C689="EQUIPO",F689,0)</f>
        <v>0</v>
      </c>
      <c r="F689" s="33" t="n">
        <v>0</v>
      </c>
      <c r="G689" s="62"/>
      <c r="H689" s="35" t="n">
        <v>0</v>
      </c>
      <c r="I689" s="34" t="n">
        <f aca="false">+IF(E689=0,0,E689*0.03)</f>
        <v>0</v>
      </c>
    </row>
    <row r="690" customFormat="false" ht="15.75" hidden="false" customHeight="true" outlineLevel="0" collapsed="false">
      <c r="A690" s="65" t="n">
        <v>45352</v>
      </c>
      <c r="B690" s="31" t="s">
        <v>11</v>
      </c>
      <c r="C690" s="32"/>
      <c r="D690" s="32"/>
      <c r="E690" s="19" t="n">
        <f aca="false">+IF(C690="EQUIPO",F690,0)</f>
        <v>0</v>
      </c>
      <c r="F690" s="33" t="n">
        <v>0</v>
      </c>
      <c r="G690" s="62"/>
      <c r="H690" s="35" t="n">
        <v>0</v>
      </c>
      <c r="I690" s="34" t="n">
        <f aca="false">+IF(E690=0,0,E690*0.03)</f>
        <v>0</v>
      </c>
    </row>
    <row r="691" customFormat="false" ht="15.75" hidden="false" customHeight="true" outlineLevel="0" collapsed="false">
      <c r="A691" s="65" t="n">
        <v>45352</v>
      </c>
      <c r="B691" s="31" t="s">
        <v>11</v>
      </c>
      <c r="C691" s="32"/>
      <c r="D691" s="32"/>
      <c r="E691" s="19" t="n">
        <f aca="false">+IF(C691="EQUIPO",F691,0)</f>
        <v>0</v>
      </c>
      <c r="F691" s="33" t="n">
        <v>0</v>
      </c>
      <c r="G691" s="62"/>
      <c r="H691" s="35" t="n">
        <v>0</v>
      </c>
      <c r="I691" s="34" t="n">
        <f aca="false">+IF(E691=0,0,E691*0.03)</f>
        <v>0</v>
      </c>
    </row>
    <row r="692" customFormat="false" ht="15.75" hidden="false" customHeight="true" outlineLevel="0" collapsed="false">
      <c r="A692" s="65" t="n">
        <v>45352</v>
      </c>
      <c r="B692" s="31" t="s">
        <v>11</v>
      </c>
      <c r="C692" s="32"/>
      <c r="D692" s="32"/>
      <c r="E692" s="19" t="n">
        <f aca="false">+IF(C692="EQUIPO",F692,0)</f>
        <v>0</v>
      </c>
      <c r="F692" s="33" t="n">
        <v>0</v>
      </c>
      <c r="G692" s="62"/>
      <c r="H692" s="35" t="n">
        <v>0</v>
      </c>
      <c r="I692" s="34" t="n">
        <f aca="false">+IF(E692=0,0,E692*0.03)</f>
        <v>0</v>
      </c>
    </row>
    <row r="693" customFormat="false" ht="15.75" hidden="false" customHeight="true" outlineLevel="0" collapsed="false">
      <c r="A693" s="65" t="n">
        <v>45352</v>
      </c>
      <c r="B693" s="31" t="s">
        <v>11</v>
      </c>
      <c r="C693" s="32"/>
      <c r="D693" s="32"/>
      <c r="E693" s="19" t="n">
        <f aca="false">+IF(C693="EQUIPO",F693,0)</f>
        <v>0</v>
      </c>
      <c r="F693" s="33" t="n">
        <v>0</v>
      </c>
      <c r="G693" s="62"/>
      <c r="H693" s="35" t="n">
        <v>0</v>
      </c>
      <c r="I693" s="34" t="n">
        <f aca="false">+IF(E693=0,0,E693*0.03)</f>
        <v>0</v>
      </c>
    </row>
    <row r="694" customFormat="false" ht="15.75" hidden="false" customHeight="true" outlineLevel="0" collapsed="false">
      <c r="A694" s="65" t="n">
        <v>45352</v>
      </c>
      <c r="B694" s="31" t="s">
        <v>11</v>
      </c>
      <c r="C694" s="32"/>
      <c r="D694" s="32"/>
      <c r="E694" s="19" t="n">
        <f aca="false">+IF(C694="EQUIPO",F694,0)</f>
        <v>0</v>
      </c>
      <c r="F694" s="33" t="n">
        <v>0</v>
      </c>
      <c r="G694" s="62"/>
      <c r="H694" s="35" t="n">
        <v>0</v>
      </c>
      <c r="I694" s="34" t="n">
        <f aca="false">+IF(E694=0,0,E694*0.03)</f>
        <v>0</v>
      </c>
    </row>
    <row r="695" customFormat="false" ht="15.75" hidden="false" customHeight="true" outlineLevel="0" collapsed="false">
      <c r="A695" s="65" t="n">
        <v>45352</v>
      </c>
      <c r="B695" s="31" t="s">
        <v>11</v>
      </c>
      <c r="C695" s="32"/>
      <c r="D695" s="32"/>
      <c r="E695" s="19" t="n">
        <f aca="false">+IF(C695="EQUIPO",F695,0)</f>
        <v>0</v>
      </c>
      <c r="F695" s="33" t="n">
        <v>0</v>
      </c>
      <c r="G695" s="62"/>
      <c r="H695" s="35" t="n">
        <v>0</v>
      </c>
      <c r="I695" s="34" t="n">
        <f aca="false">+IF(E695=0,0,E695*0.03)</f>
        <v>0</v>
      </c>
    </row>
    <row r="696" customFormat="false" ht="15.75" hidden="false" customHeight="true" outlineLevel="0" collapsed="false">
      <c r="A696" s="65" t="n">
        <v>45352</v>
      </c>
      <c r="B696" s="31" t="s">
        <v>11</v>
      </c>
      <c r="C696" s="32"/>
      <c r="D696" s="32"/>
      <c r="E696" s="19" t="n">
        <f aca="false">+IF(C696="EQUIPO",F696,0)</f>
        <v>0</v>
      </c>
      <c r="F696" s="33" t="n">
        <v>0</v>
      </c>
      <c r="G696" s="62"/>
      <c r="H696" s="35" t="n">
        <v>0</v>
      </c>
      <c r="I696" s="34" t="n">
        <f aca="false">+IF(E696=0,0,E696*0.03)</f>
        <v>0</v>
      </c>
    </row>
    <row r="697" customFormat="false" ht="15.75" hidden="false" customHeight="true" outlineLevel="0" collapsed="false">
      <c r="A697" s="65" t="n">
        <v>45352</v>
      </c>
      <c r="B697" s="31" t="s">
        <v>11</v>
      </c>
      <c r="C697" s="32"/>
      <c r="D697" s="32"/>
      <c r="E697" s="19" t="n">
        <f aca="false">+IF(C697="EQUIPO",F697,0)</f>
        <v>0</v>
      </c>
      <c r="F697" s="33" t="n">
        <v>0</v>
      </c>
      <c r="G697" s="62"/>
      <c r="H697" s="35" t="n">
        <v>0</v>
      </c>
      <c r="I697" s="34" t="n">
        <f aca="false">+IF(E697=0,0,E697*0.03)</f>
        <v>0</v>
      </c>
    </row>
    <row r="698" customFormat="false" ht="15.75" hidden="false" customHeight="true" outlineLevel="0" collapsed="false">
      <c r="A698" s="65" t="n">
        <v>45352</v>
      </c>
      <c r="B698" s="31" t="s">
        <v>11</v>
      </c>
      <c r="C698" s="32"/>
      <c r="D698" s="32"/>
      <c r="E698" s="19" t="n">
        <f aca="false">+IF(C698="EQUIPO",F698,0)</f>
        <v>0</v>
      </c>
      <c r="F698" s="33" t="n">
        <v>0</v>
      </c>
      <c r="G698" s="62"/>
      <c r="H698" s="35" t="n">
        <v>0</v>
      </c>
      <c r="I698" s="34" t="n">
        <f aca="false">+IF(E698=0,0,E698*0.03)</f>
        <v>0</v>
      </c>
    </row>
    <row r="699" customFormat="false" ht="15.75" hidden="false" customHeight="true" outlineLevel="0" collapsed="false">
      <c r="A699" s="65" t="n">
        <v>45352</v>
      </c>
      <c r="B699" s="31" t="s">
        <v>11</v>
      </c>
      <c r="C699" s="32"/>
      <c r="D699" s="32"/>
      <c r="E699" s="19" t="n">
        <f aca="false">+IF(C699="EQUIPO",F699,0)</f>
        <v>0</v>
      </c>
      <c r="F699" s="33" t="n">
        <v>0</v>
      </c>
      <c r="G699" s="62"/>
      <c r="H699" s="35" t="n">
        <v>0</v>
      </c>
      <c r="I699" s="34" t="n">
        <f aca="false">+IF(E699=0,0,E699*0.03)</f>
        <v>0</v>
      </c>
    </row>
    <row r="700" customFormat="false" ht="15.75" hidden="false" customHeight="true" outlineLevel="0" collapsed="false">
      <c r="A700" s="65" t="n">
        <v>45352</v>
      </c>
      <c r="B700" s="31" t="s">
        <v>11</v>
      </c>
      <c r="C700" s="32"/>
      <c r="D700" s="32"/>
      <c r="E700" s="19" t="n">
        <f aca="false">+IF(C700="EQUIPO",F700,0)</f>
        <v>0</v>
      </c>
      <c r="F700" s="33" t="n">
        <v>0</v>
      </c>
      <c r="G700" s="62"/>
      <c r="H700" s="35" t="n">
        <v>0</v>
      </c>
      <c r="I700" s="34" t="n">
        <f aca="false">+IF(E700=0,0,E700*0.03)</f>
        <v>0</v>
      </c>
    </row>
    <row r="701" customFormat="false" ht="15.75" hidden="false" customHeight="true" outlineLevel="0" collapsed="false">
      <c r="A701" s="65" t="n">
        <v>45352</v>
      </c>
      <c r="B701" s="31" t="s">
        <v>11</v>
      </c>
      <c r="C701" s="32"/>
      <c r="D701" s="32"/>
      <c r="E701" s="19" t="n">
        <f aca="false">+IF(C701="EQUIPO",F701,0)</f>
        <v>0</v>
      </c>
      <c r="F701" s="33" t="n">
        <v>0</v>
      </c>
      <c r="G701" s="62"/>
      <c r="H701" s="35" t="n">
        <v>0</v>
      </c>
      <c r="I701" s="34" t="n">
        <f aca="false">+IF(E701=0,0,E701*0.03)</f>
        <v>0</v>
      </c>
    </row>
    <row r="702" customFormat="false" ht="15.75" hidden="false" customHeight="true" outlineLevel="0" collapsed="false">
      <c r="A702" s="65" t="n">
        <v>45352</v>
      </c>
      <c r="B702" s="31" t="s">
        <v>11</v>
      </c>
      <c r="C702" s="32"/>
      <c r="D702" s="32"/>
      <c r="E702" s="19" t="n">
        <f aca="false">+IF(C702="EQUIPO",F702,0)</f>
        <v>0</v>
      </c>
      <c r="F702" s="33" t="n">
        <v>0</v>
      </c>
      <c r="G702" s="62"/>
      <c r="H702" s="35" t="n">
        <v>0</v>
      </c>
      <c r="I702" s="34" t="n">
        <f aca="false">+IF(E702=0,0,E702*0.03)</f>
        <v>0</v>
      </c>
    </row>
    <row r="703" customFormat="false" ht="15.75" hidden="false" customHeight="true" outlineLevel="0" collapsed="false">
      <c r="A703" s="65" t="n">
        <v>45352</v>
      </c>
      <c r="B703" s="31" t="s">
        <v>11</v>
      </c>
      <c r="C703" s="32"/>
      <c r="D703" s="32"/>
      <c r="E703" s="19" t="n">
        <f aca="false">+IF(C703="EQUIPO",F703,0)</f>
        <v>0</v>
      </c>
      <c r="F703" s="33" t="n">
        <v>0</v>
      </c>
      <c r="G703" s="62"/>
      <c r="H703" s="35" t="n">
        <v>0</v>
      </c>
      <c r="I703" s="34" t="n">
        <f aca="false">+IF(E703=0,0,E703*0.03)</f>
        <v>0</v>
      </c>
    </row>
    <row r="704" customFormat="false" ht="15.75" hidden="false" customHeight="true" outlineLevel="0" collapsed="false">
      <c r="A704" s="65" t="n">
        <v>45352</v>
      </c>
      <c r="B704" s="31" t="s">
        <v>11</v>
      </c>
      <c r="C704" s="32"/>
      <c r="D704" s="32"/>
      <c r="E704" s="19" t="n">
        <f aca="false">+IF(C704="EQUIPO",F704,0)</f>
        <v>0</v>
      </c>
      <c r="F704" s="33" t="n">
        <v>0</v>
      </c>
      <c r="G704" s="62"/>
      <c r="H704" s="35" t="n">
        <v>0</v>
      </c>
      <c r="I704" s="34" t="n">
        <f aca="false">+IF(E704=0,0,E704*0.03)</f>
        <v>0</v>
      </c>
    </row>
    <row r="705" customFormat="false" ht="15.75" hidden="false" customHeight="true" outlineLevel="0" collapsed="false">
      <c r="A705" s="65" t="n">
        <v>45352</v>
      </c>
      <c r="B705" s="31" t="s">
        <v>11</v>
      </c>
      <c r="C705" s="32"/>
      <c r="D705" s="32"/>
      <c r="E705" s="19" t="n">
        <f aca="false">+IF(C705="EQUIPO",F705,0)</f>
        <v>0</v>
      </c>
      <c r="F705" s="33" t="n">
        <v>0</v>
      </c>
      <c r="G705" s="62"/>
      <c r="H705" s="35" t="n">
        <v>0</v>
      </c>
      <c r="I705" s="34" t="n">
        <f aca="false">+IF(E705=0,0,E705*0.03)</f>
        <v>0</v>
      </c>
    </row>
    <row r="706" customFormat="false" ht="15.75" hidden="false" customHeight="true" outlineLevel="0" collapsed="false">
      <c r="A706" s="65" t="n">
        <v>45352</v>
      </c>
      <c r="B706" s="31" t="s">
        <v>11</v>
      </c>
      <c r="C706" s="32"/>
      <c r="D706" s="32"/>
      <c r="E706" s="19" t="n">
        <f aca="false">+IF(C706="EQUIPO",F706,0)</f>
        <v>0</v>
      </c>
      <c r="F706" s="33" t="n">
        <v>0</v>
      </c>
      <c r="G706" s="62"/>
      <c r="H706" s="35" t="n">
        <v>0</v>
      </c>
      <c r="I706" s="34" t="n">
        <f aca="false">+IF(E706=0,0,E706*0.03)</f>
        <v>0</v>
      </c>
    </row>
    <row r="707" customFormat="false" ht="15.75" hidden="false" customHeight="true" outlineLevel="0" collapsed="false">
      <c r="A707" s="65" t="n">
        <v>45352</v>
      </c>
      <c r="B707" s="31" t="s">
        <v>11</v>
      </c>
      <c r="C707" s="32"/>
      <c r="D707" s="32"/>
      <c r="E707" s="19" t="n">
        <f aca="false">+IF(C707="EQUIPO",F707,0)</f>
        <v>0</v>
      </c>
      <c r="F707" s="33" t="n">
        <v>0</v>
      </c>
      <c r="G707" s="62"/>
      <c r="H707" s="35" t="n">
        <v>0</v>
      </c>
      <c r="I707" s="34" t="n">
        <f aca="false">+IF(E707=0,0,E707*0.03)</f>
        <v>0</v>
      </c>
    </row>
    <row r="708" customFormat="false" ht="15.75" hidden="false" customHeight="true" outlineLevel="0" collapsed="false">
      <c r="A708" s="65" t="n">
        <v>45352</v>
      </c>
      <c r="B708" s="31" t="s">
        <v>11</v>
      </c>
      <c r="C708" s="32"/>
      <c r="D708" s="32"/>
      <c r="E708" s="19" t="n">
        <f aca="false">+IF(C708="EQUIPO",F708,0)</f>
        <v>0</v>
      </c>
      <c r="F708" s="33" t="n">
        <v>0</v>
      </c>
      <c r="G708" s="62"/>
      <c r="H708" s="35" t="n">
        <v>0</v>
      </c>
      <c r="I708" s="34" t="n">
        <f aca="false">+IF(E708=0,0,E708*0.03)</f>
        <v>0</v>
      </c>
    </row>
    <row r="709" customFormat="false" ht="15.75" hidden="false" customHeight="true" outlineLevel="0" collapsed="false">
      <c r="A709" s="65" t="n">
        <v>45352</v>
      </c>
      <c r="B709" s="31" t="s">
        <v>11</v>
      </c>
      <c r="C709" s="32"/>
      <c r="D709" s="32"/>
      <c r="E709" s="19" t="n">
        <f aca="false">+IF(C709="EQUIPO",F709,0)</f>
        <v>0</v>
      </c>
      <c r="F709" s="33" t="n">
        <v>0</v>
      </c>
      <c r="G709" s="62"/>
      <c r="H709" s="35" t="n">
        <v>0</v>
      </c>
      <c r="I709" s="34" t="n">
        <f aca="false">+IF(E709=0,0,E709*0.03)</f>
        <v>0</v>
      </c>
    </row>
    <row r="710" customFormat="false" ht="15.75" hidden="false" customHeight="true" outlineLevel="0" collapsed="false">
      <c r="A710" s="65" t="n">
        <v>45352</v>
      </c>
      <c r="B710" s="31" t="s">
        <v>11</v>
      </c>
      <c r="C710" s="32"/>
      <c r="D710" s="32"/>
      <c r="E710" s="19" t="n">
        <f aca="false">+IF(C710="EQUIPO",F710,0)</f>
        <v>0</v>
      </c>
      <c r="F710" s="33" t="n">
        <v>0</v>
      </c>
      <c r="G710" s="62"/>
      <c r="H710" s="35" t="n">
        <v>0</v>
      </c>
      <c r="I710" s="34" t="n">
        <f aca="false">+IF(E710=0,0,E710*0.03)</f>
        <v>0</v>
      </c>
    </row>
    <row r="711" customFormat="false" ht="15.75" hidden="false" customHeight="true" outlineLevel="0" collapsed="false">
      <c r="A711" s="65" t="n">
        <v>45352</v>
      </c>
      <c r="B711" s="31" t="s">
        <v>11</v>
      </c>
      <c r="C711" s="32"/>
      <c r="D711" s="32"/>
      <c r="E711" s="19" t="n">
        <f aca="false">+IF(C711="EQUIPO",F711,0)</f>
        <v>0</v>
      </c>
      <c r="F711" s="33" t="n">
        <v>0</v>
      </c>
      <c r="G711" s="62"/>
      <c r="H711" s="35" t="n">
        <v>0</v>
      </c>
      <c r="I711" s="34" t="n">
        <f aca="false">+IF(E711=0,0,E711*0.03)</f>
        <v>0</v>
      </c>
    </row>
    <row r="712" customFormat="false" ht="15.75" hidden="false" customHeight="true" outlineLevel="0" collapsed="false">
      <c r="A712" s="65" t="n">
        <v>45352</v>
      </c>
      <c r="B712" s="31" t="s">
        <v>11</v>
      </c>
      <c r="C712" s="32"/>
      <c r="D712" s="32"/>
      <c r="E712" s="19" t="n">
        <f aca="false">+IF(C712="EQUIPO",F712,0)</f>
        <v>0</v>
      </c>
      <c r="F712" s="33" t="n">
        <v>0</v>
      </c>
      <c r="G712" s="62"/>
      <c r="H712" s="35" t="n">
        <v>0</v>
      </c>
      <c r="I712" s="34" t="n">
        <f aca="false">+IF(E712=0,0,E712*0.03)</f>
        <v>0</v>
      </c>
    </row>
    <row r="713" customFormat="false" ht="15.75" hidden="false" customHeight="true" outlineLevel="0" collapsed="false">
      <c r="A713" s="65" t="n">
        <v>45352</v>
      </c>
      <c r="B713" s="31" t="s">
        <v>11</v>
      </c>
      <c r="C713" s="32"/>
      <c r="D713" s="32"/>
      <c r="E713" s="19" t="n">
        <f aca="false">+IF(C713="EQUIPO",F713,0)</f>
        <v>0</v>
      </c>
      <c r="F713" s="33" t="n">
        <v>0</v>
      </c>
      <c r="G713" s="62"/>
      <c r="H713" s="35" t="n">
        <v>0</v>
      </c>
      <c r="I713" s="34" t="n">
        <f aca="false">+IF(E713=0,0,E713*0.03)</f>
        <v>0</v>
      </c>
    </row>
    <row r="714" customFormat="false" ht="15.75" hidden="false" customHeight="true" outlineLevel="0" collapsed="false">
      <c r="A714" s="65" t="n">
        <v>45352</v>
      </c>
      <c r="B714" s="31" t="s">
        <v>11</v>
      </c>
      <c r="C714" s="32"/>
      <c r="D714" s="32"/>
      <c r="E714" s="19" t="n">
        <f aca="false">+IF(C714="EQUIPO",F714,0)</f>
        <v>0</v>
      </c>
      <c r="F714" s="33" t="n">
        <v>0</v>
      </c>
      <c r="G714" s="62"/>
      <c r="H714" s="35" t="n">
        <v>0</v>
      </c>
      <c r="I714" s="34" t="n">
        <f aca="false">+IF(E714=0,0,E714*0.03)</f>
        <v>0</v>
      </c>
    </row>
    <row r="715" customFormat="false" ht="15.75" hidden="false" customHeight="true" outlineLevel="0" collapsed="false">
      <c r="A715" s="65" t="n">
        <v>45352</v>
      </c>
      <c r="B715" s="31" t="s">
        <v>11</v>
      </c>
      <c r="C715" s="32"/>
      <c r="D715" s="32"/>
      <c r="E715" s="19" t="n">
        <f aca="false">+IF(C715="EQUIPO",F715,0)</f>
        <v>0</v>
      </c>
      <c r="F715" s="33" t="n">
        <v>0</v>
      </c>
      <c r="G715" s="62"/>
      <c r="H715" s="35" t="n">
        <v>0</v>
      </c>
      <c r="I715" s="34" t="n">
        <f aca="false">+IF(E715=0,0,E715*0.03)</f>
        <v>0</v>
      </c>
    </row>
    <row r="716" customFormat="false" ht="15.75" hidden="false" customHeight="true" outlineLevel="0" collapsed="false">
      <c r="A716" s="65" t="n">
        <v>45352</v>
      </c>
      <c r="B716" s="31" t="s">
        <v>11</v>
      </c>
      <c r="C716" s="32"/>
      <c r="D716" s="32"/>
      <c r="E716" s="19" t="n">
        <f aca="false">+IF(C716="EQUIPO",F716,0)</f>
        <v>0</v>
      </c>
      <c r="F716" s="33" t="n">
        <v>0</v>
      </c>
      <c r="G716" s="62"/>
      <c r="H716" s="35" t="n">
        <v>0</v>
      </c>
      <c r="I716" s="34" t="n">
        <f aca="false">+IF(E716=0,0,E716*0.03)</f>
        <v>0</v>
      </c>
    </row>
    <row r="717" customFormat="false" ht="15.75" hidden="false" customHeight="true" outlineLevel="0" collapsed="false">
      <c r="A717" s="65" t="n">
        <v>45352</v>
      </c>
      <c r="B717" s="31" t="s">
        <v>11</v>
      </c>
      <c r="C717" s="32"/>
      <c r="D717" s="32"/>
      <c r="E717" s="19" t="n">
        <f aca="false">+IF(C717="EQUIPO",F717,0)</f>
        <v>0</v>
      </c>
      <c r="F717" s="33" t="n">
        <v>0</v>
      </c>
      <c r="G717" s="62"/>
      <c r="H717" s="35" t="n">
        <v>0</v>
      </c>
      <c r="I717" s="34" t="n">
        <f aca="false">+IF(E717=0,0,E717*0.03)</f>
        <v>0</v>
      </c>
    </row>
    <row r="718" customFormat="false" ht="15.75" hidden="false" customHeight="true" outlineLevel="0" collapsed="false">
      <c r="A718" s="65" t="n">
        <v>45352</v>
      </c>
      <c r="B718" s="31" t="s">
        <v>11</v>
      </c>
      <c r="C718" s="32"/>
      <c r="D718" s="32"/>
      <c r="E718" s="19" t="n">
        <f aca="false">+IF(C718="EQUIPO",F718,0)</f>
        <v>0</v>
      </c>
      <c r="F718" s="33" t="n">
        <v>0</v>
      </c>
      <c r="G718" s="62"/>
      <c r="H718" s="35" t="n">
        <v>0</v>
      </c>
      <c r="I718" s="34" t="n">
        <f aca="false">+IF(E718=0,0,E718*0.03)</f>
        <v>0</v>
      </c>
    </row>
    <row r="719" customFormat="false" ht="15.75" hidden="false" customHeight="true" outlineLevel="0" collapsed="false">
      <c r="A719" s="65" t="n">
        <v>45352</v>
      </c>
      <c r="B719" s="31" t="s">
        <v>11</v>
      </c>
      <c r="C719" s="32"/>
      <c r="D719" s="32"/>
      <c r="E719" s="19" t="n">
        <f aca="false">+IF(C719="EQUIPO",F719,0)</f>
        <v>0</v>
      </c>
      <c r="F719" s="33" t="n">
        <v>0</v>
      </c>
      <c r="G719" s="62"/>
      <c r="H719" s="35" t="n">
        <v>0</v>
      </c>
      <c r="I719" s="34" t="n">
        <f aca="false">+IF(E719=0,0,E719*0.03)</f>
        <v>0</v>
      </c>
    </row>
    <row r="720" customFormat="false" ht="15.75" hidden="false" customHeight="true" outlineLevel="0" collapsed="false">
      <c r="A720" s="65" t="n">
        <v>45352</v>
      </c>
      <c r="B720" s="31" t="s">
        <v>11</v>
      </c>
      <c r="C720" s="32"/>
      <c r="D720" s="32"/>
      <c r="E720" s="19" t="n">
        <f aca="false">+IF(C720="EQUIPO",F720,0)</f>
        <v>0</v>
      </c>
      <c r="F720" s="33" t="n">
        <v>0</v>
      </c>
      <c r="G720" s="62"/>
      <c r="H720" s="35" t="n">
        <v>0</v>
      </c>
      <c r="I720" s="34" t="n">
        <f aca="false">+IF(E720=0,0,E720*0.03)</f>
        <v>0</v>
      </c>
    </row>
    <row r="721" customFormat="false" ht="15.75" hidden="false" customHeight="true" outlineLevel="0" collapsed="false">
      <c r="A721" s="65" t="n">
        <v>45352</v>
      </c>
      <c r="B721" s="31" t="s">
        <v>11</v>
      </c>
      <c r="C721" s="32"/>
      <c r="D721" s="32"/>
      <c r="E721" s="19" t="n">
        <f aca="false">+IF(C721="EQUIPO",F721,0)</f>
        <v>0</v>
      </c>
      <c r="F721" s="33" t="n">
        <v>0</v>
      </c>
      <c r="G721" s="62"/>
      <c r="H721" s="35" t="n">
        <v>0</v>
      </c>
      <c r="I721" s="34" t="n">
        <f aca="false">+IF(E721=0,0,E721*0.03)</f>
        <v>0</v>
      </c>
    </row>
    <row r="722" customFormat="false" ht="15.75" hidden="false" customHeight="true" outlineLevel="0" collapsed="false">
      <c r="A722" s="65" t="n">
        <v>45352</v>
      </c>
      <c r="B722" s="31" t="s">
        <v>11</v>
      </c>
      <c r="C722" s="32"/>
      <c r="D722" s="32"/>
      <c r="E722" s="19" t="n">
        <f aca="false">+IF(C722="EQUIPO",F722,0)</f>
        <v>0</v>
      </c>
      <c r="F722" s="33" t="n">
        <v>0</v>
      </c>
      <c r="G722" s="62"/>
      <c r="H722" s="35" t="n">
        <v>0</v>
      </c>
      <c r="I722" s="34" t="n">
        <f aca="false">+IF(E722=0,0,E722*0.03)</f>
        <v>0</v>
      </c>
    </row>
    <row r="723" customFormat="false" ht="15.75" hidden="false" customHeight="true" outlineLevel="0" collapsed="false">
      <c r="A723" s="65" t="n">
        <v>45352</v>
      </c>
      <c r="B723" s="31" t="s">
        <v>11</v>
      </c>
      <c r="C723" s="32"/>
      <c r="D723" s="32"/>
      <c r="E723" s="19" t="n">
        <f aca="false">+IF(C723="EQUIPO",F723,0)</f>
        <v>0</v>
      </c>
      <c r="F723" s="33" t="n">
        <v>0</v>
      </c>
      <c r="G723" s="62"/>
      <c r="H723" s="35" t="n">
        <v>0</v>
      </c>
      <c r="I723" s="34" t="n">
        <f aca="false">+IF(E723=0,0,E723*0.03)</f>
        <v>0</v>
      </c>
    </row>
    <row r="724" customFormat="false" ht="15.75" hidden="false" customHeight="true" outlineLevel="0" collapsed="false">
      <c r="A724" s="65" t="n">
        <v>45352</v>
      </c>
      <c r="B724" s="31" t="s">
        <v>11</v>
      </c>
      <c r="C724" s="32"/>
      <c r="D724" s="32"/>
      <c r="E724" s="19" t="n">
        <f aca="false">+IF(C724="EQUIPO",F724,0)</f>
        <v>0</v>
      </c>
      <c r="F724" s="33" t="n">
        <v>0</v>
      </c>
      <c r="G724" s="62"/>
      <c r="H724" s="35" t="n">
        <v>0</v>
      </c>
      <c r="I724" s="34" t="n">
        <f aca="false">+IF(E724=0,0,E724*0.03)</f>
        <v>0</v>
      </c>
    </row>
    <row r="725" customFormat="false" ht="15.75" hidden="false" customHeight="true" outlineLevel="0" collapsed="false">
      <c r="A725" s="65" t="n">
        <v>45352</v>
      </c>
      <c r="B725" s="31" t="s">
        <v>11</v>
      </c>
      <c r="C725" s="32"/>
      <c r="D725" s="32"/>
      <c r="E725" s="19" t="n">
        <f aca="false">+IF(C725="EQUIPO",F725,0)</f>
        <v>0</v>
      </c>
      <c r="F725" s="33" t="n">
        <v>0</v>
      </c>
      <c r="G725" s="62"/>
      <c r="H725" s="35" t="n">
        <v>0</v>
      </c>
      <c r="I725" s="34" t="n">
        <f aca="false">+IF(E725=0,0,E725*0.03)</f>
        <v>0</v>
      </c>
    </row>
    <row r="726" customFormat="false" ht="15.75" hidden="false" customHeight="true" outlineLevel="0" collapsed="false">
      <c r="A726" s="65" t="n">
        <v>45352</v>
      </c>
      <c r="B726" s="31" t="s">
        <v>11</v>
      </c>
      <c r="C726" s="32"/>
      <c r="D726" s="32"/>
      <c r="E726" s="19" t="n">
        <f aca="false">+IF(C726="EQUIPO",F726,0)</f>
        <v>0</v>
      </c>
      <c r="F726" s="33" t="n">
        <v>0</v>
      </c>
      <c r="G726" s="62"/>
      <c r="H726" s="35" t="n">
        <v>0</v>
      </c>
      <c r="I726" s="34" t="n">
        <f aca="false">+IF(E726=0,0,E726*0.03)</f>
        <v>0</v>
      </c>
    </row>
    <row r="727" customFormat="false" ht="15.75" hidden="false" customHeight="true" outlineLevel="0" collapsed="false">
      <c r="A727" s="65" t="n">
        <v>45352</v>
      </c>
      <c r="B727" s="31" t="s">
        <v>11</v>
      </c>
      <c r="C727" s="32"/>
      <c r="D727" s="32"/>
      <c r="E727" s="19" t="n">
        <f aca="false">+IF(C727="EQUIPO",F727,0)</f>
        <v>0</v>
      </c>
      <c r="F727" s="33" t="n">
        <v>0</v>
      </c>
      <c r="G727" s="62"/>
      <c r="H727" s="35" t="n">
        <v>0</v>
      </c>
      <c r="I727" s="34" t="n">
        <f aca="false">+IF(E727=0,0,E727*0.03)</f>
        <v>0</v>
      </c>
    </row>
    <row r="728" customFormat="false" ht="15.75" hidden="false" customHeight="true" outlineLevel="0" collapsed="false">
      <c r="A728" s="65" t="n">
        <v>45352</v>
      </c>
      <c r="B728" s="31" t="s">
        <v>11</v>
      </c>
      <c r="C728" s="32"/>
      <c r="D728" s="32"/>
      <c r="E728" s="19" t="n">
        <f aca="false">+IF(C728="EQUIPO",F728,0)</f>
        <v>0</v>
      </c>
      <c r="F728" s="33" t="n">
        <v>0</v>
      </c>
      <c r="G728" s="62"/>
      <c r="H728" s="35" t="n">
        <v>0</v>
      </c>
      <c r="I728" s="34" t="n">
        <f aca="false">+IF(E728=0,0,E728*0.03)</f>
        <v>0</v>
      </c>
    </row>
    <row r="729" customFormat="false" ht="15.75" hidden="false" customHeight="true" outlineLevel="0" collapsed="false">
      <c r="A729" s="65" t="n">
        <v>45352</v>
      </c>
      <c r="B729" s="31" t="s">
        <v>11</v>
      </c>
      <c r="C729" s="32"/>
      <c r="D729" s="32"/>
      <c r="E729" s="19" t="n">
        <f aca="false">+IF(C729="EQUIPO",F729,0)</f>
        <v>0</v>
      </c>
      <c r="F729" s="33" t="n">
        <v>0</v>
      </c>
      <c r="G729" s="62"/>
      <c r="H729" s="35" t="n">
        <v>0</v>
      </c>
      <c r="I729" s="34" t="n">
        <f aca="false">+IF(E729=0,0,E729*0.03)</f>
        <v>0</v>
      </c>
    </row>
    <row r="730" customFormat="false" ht="15.75" hidden="false" customHeight="true" outlineLevel="0" collapsed="false">
      <c r="A730" s="65" t="n">
        <v>45352</v>
      </c>
      <c r="B730" s="31" t="s">
        <v>11</v>
      </c>
      <c r="C730" s="32"/>
      <c r="D730" s="32"/>
      <c r="E730" s="19" t="n">
        <f aca="false">+IF(C730="EQUIPO",F730,0)</f>
        <v>0</v>
      </c>
      <c r="F730" s="33" t="n">
        <v>0</v>
      </c>
      <c r="G730" s="62"/>
      <c r="H730" s="35" t="n">
        <v>0</v>
      </c>
      <c r="I730" s="34" t="n">
        <f aca="false">+IF(E730=0,0,E730*0.03)</f>
        <v>0</v>
      </c>
    </row>
    <row r="731" customFormat="false" ht="15.75" hidden="false" customHeight="true" outlineLevel="0" collapsed="false">
      <c r="A731" s="65" t="n">
        <v>45352</v>
      </c>
      <c r="B731" s="31" t="s">
        <v>11</v>
      </c>
      <c r="C731" s="32"/>
      <c r="D731" s="32"/>
      <c r="E731" s="19" t="n">
        <f aca="false">+IF(C731="EQUIPO",F731,0)</f>
        <v>0</v>
      </c>
      <c r="F731" s="33" t="n">
        <v>0</v>
      </c>
      <c r="G731" s="62"/>
      <c r="H731" s="35" t="n">
        <v>0</v>
      </c>
      <c r="I731" s="34" t="n">
        <f aca="false">+IF(E731=0,0,E731*0.03)</f>
        <v>0</v>
      </c>
    </row>
    <row r="732" customFormat="false" ht="15.75" hidden="false" customHeight="true" outlineLevel="0" collapsed="false">
      <c r="A732" s="65" t="n">
        <v>45352</v>
      </c>
      <c r="B732" s="31" t="s">
        <v>11</v>
      </c>
      <c r="C732" s="32"/>
      <c r="D732" s="32"/>
      <c r="E732" s="19" t="n">
        <f aca="false">+IF(C732="EQUIPO",F732,0)</f>
        <v>0</v>
      </c>
      <c r="F732" s="33" t="n">
        <v>0</v>
      </c>
      <c r="G732" s="62"/>
      <c r="H732" s="35" t="n">
        <v>0</v>
      </c>
      <c r="I732" s="34" t="n">
        <f aca="false">+IF(E732=0,0,E732*0.03)</f>
        <v>0</v>
      </c>
    </row>
    <row r="733" customFormat="false" ht="15.75" hidden="false" customHeight="true" outlineLevel="0" collapsed="false">
      <c r="A733" s="65" t="n">
        <v>45352</v>
      </c>
      <c r="B733" s="31" t="s">
        <v>11</v>
      </c>
      <c r="C733" s="32"/>
      <c r="D733" s="32"/>
      <c r="E733" s="19" t="n">
        <f aca="false">+IF(C733="EQUIPO",F733,0)</f>
        <v>0</v>
      </c>
      <c r="F733" s="33" t="n">
        <v>0</v>
      </c>
      <c r="G733" s="62"/>
      <c r="H733" s="35" t="n">
        <v>0</v>
      </c>
      <c r="I733" s="34" t="n">
        <f aca="false">+IF(E733=0,0,E733*0.03)</f>
        <v>0</v>
      </c>
    </row>
    <row r="734" customFormat="false" ht="15.75" hidden="false" customHeight="true" outlineLevel="0" collapsed="false">
      <c r="A734" s="65" t="n">
        <v>45352</v>
      </c>
      <c r="B734" s="31" t="s">
        <v>11</v>
      </c>
      <c r="C734" s="32"/>
      <c r="D734" s="32"/>
      <c r="E734" s="19" t="n">
        <f aca="false">+IF(C734="EQUIPO",F734,0)</f>
        <v>0</v>
      </c>
      <c r="F734" s="33" t="n">
        <v>0</v>
      </c>
      <c r="G734" s="62"/>
      <c r="H734" s="35" t="n">
        <v>0</v>
      </c>
      <c r="I734" s="34" t="n">
        <f aca="false">+IF(E734=0,0,E734*0.03)</f>
        <v>0</v>
      </c>
    </row>
    <row r="735" customFormat="false" ht="15.75" hidden="false" customHeight="true" outlineLevel="0" collapsed="false">
      <c r="A735" s="65" t="n">
        <v>45352</v>
      </c>
      <c r="B735" s="31" t="s">
        <v>11</v>
      </c>
      <c r="C735" s="32"/>
      <c r="D735" s="32"/>
      <c r="E735" s="19" t="n">
        <f aca="false">+IF(C735="EQUIPO",F735,0)</f>
        <v>0</v>
      </c>
      <c r="F735" s="33" t="n">
        <v>0</v>
      </c>
      <c r="G735" s="62"/>
      <c r="H735" s="35" t="n">
        <v>0</v>
      </c>
      <c r="I735" s="34" t="n">
        <f aca="false">+IF(E735=0,0,E735*0.03)</f>
        <v>0</v>
      </c>
    </row>
    <row r="736" customFormat="false" ht="15.75" hidden="false" customHeight="true" outlineLevel="0" collapsed="false">
      <c r="A736" s="65" t="n">
        <v>45352</v>
      </c>
      <c r="B736" s="31" t="s">
        <v>11</v>
      </c>
      <c r="C736" s="32"/>
      <c r="D736" s="32"/>
      <c r="E736" s="19" t="n">
        <f aca="false">+IF(C736="EQUIPO",F736,0)</f>
        <v>0</v>
      </c>
      <c r="F736" s="33" t="n">
        <v>0</v>
      </c>
      <c r="G736" s="62"/>
      <c r="H736" s="35" t="n">
        <v>0</v>
      </c>
      <c r="I736" s="34" t="n">
        <f aca="false">+IF(E736=0,0,E736*0.03)</f>
        <v>0</v>
      </c>
    </row>
    <row r="737" customFormat="false" ht="15.75" hidden="false" customHeight="true" outlineLevel="0" collapsed="false">
      <c r="A737" s="65" t="n">
        <v>45352</v>
      </c>
      <c r="B737" s="31" t="s">
        <v>11</v>
      </c>
      <c r="C737" s="32"/>
      <c r="D737" s="32"/>
      <c r="E737" s="19" t="n">
        <f aca="false">+IF(C737="EQUIPO",F737,0)</f>
        <v>0</v>
      </c>
      <c r="F737" s="33" t="n">
        <v>0</v>
      </c>
      <c r="G737" s="62"/>
      <c r="H737" s="35" t="n">
        <v>0</v>
      </c>
      <c r="I737" s="34" t="n">
        <f aca="false">+IF(E737=0,0,E737*0.03)</f>
        <v>0</v>
      </c>
    </row>
    <row r="738" customFormat="false" ht="15.75" hidden="false" customHeight="true" outlineLevel="0" collapsed="false">
      <c r="A738" s="65" t="n">
        <v>45352</v>
      </c>
      <c r="B738" s="31" t="s">
        <v>11</v>
      </c>
      <c r="C738" s="32"/>
      <c r="D738" s="32"/>
      <c r="E738" s="19" t="n">
        <f aca="false">+IF(C738="EQUIPO",F738,0)</f>
        <v>0</v>
      </c>
      <c r="F738" s="33" t="n">
        <v>0</v>
      </c>
      <c r="G738" s="62"/>
      <c r="H738" s="35" t="n">
        <v>0</v>
      </c>
      <c r="I738" s="34" t="n">
        <f aca="false">+IF(E738=0,0,E738*0.03)</f>
        <v>0</v>
      </c>
    </row>
    <row r="739" customFormat="false" ht="15.75" hidden="false" customHeight="true" outlineLevel="0" collapsed="false">
      <c r="A739" s="65" t="n">
        <v>45352</v>
      </c>
      <c r="B739" s="31" t="s">
        <v>11</v>
      </c>
      <c r="C739" s="32"/>
      <c r="D739" s="32"/>
      <c r="E739" s="19" t="n">
        <f aca="false">+IF(C739="EQUIPO",F739,0)</f>
        <v>0</v>
      </c>
      <c r="F739" s="33" t="n">
        <v>0</v>
      </c>
      <c r="G739" s="62"/>
      <c r="H739" s="35" t="n">
        <v>0</v>
      </c>
      <c r="I739" s="34" t="n">
        <f aca="false">+IF(E739=0,0,E739*0.03)</f>
        <v>0</v>
      </c>
    </row>
    <row r="740" customFormat="false" ht="15.75" hidden="false" customHeight="true" outlineLevel="0" collapsed="false">
      <c r="A740" s="65" t="n">
        <v>45352</v>
      </c>
      <c r="B740" s="31" t="s">
        <v>11</v>
      </c>
      <c r="C740" s="32"/>
      <c r="D740" s="32"/>
      <c r="E740" s="19" t="n">
        <f aca="false">+IF(C740="EQUIPO",F740,0)</f>
        <v>0</v>
      </c>
      <c r="F740" s="33" t="n">
        <v>0</v>
      </c>
      <c r="G740" s="62"/>
      <c r="H740" s="35" t="n">
        <v>0</v>
      </c>
      <c r="I740" s="34" t="n">
        <f aca="false">+IF(E740=0,0,E740*0.03)</f>
        <v>0</v>
      </c>
    </row>
    <row r="741" customFormat="false" ht="15.75" hidden="false" customHeight="true" outlineLevel="0" collapsed="false">
      <c r="A741" s="65" t="n">
        <v>45352</v>
      </c>
      <c r="B741" s="31" t="s">
        <v>11</v>
      </c>
      <c r="C741" s="32"/>
      <c r="D741" s="32"/>
      <c r="E741" s="19" t="n">
        <f aca="false">+IF(C741="EQUIPO",F741,0)</f>
        <v>0</v>
      </c>
      <c r="F741" s="33" t="n">
        <v>0</v>
      </c>
      <c r="G741" s="62"/>
      <c r="H741" s="35" t="n">
        <v>0</v>
      </c>
      <c r="I741" s="34" t="n">
        <f aca="false">+IF(E741=0,0,E741*0.03)</f>
        <v>0</v>
      </c>
    </row>
    <row r="742" customFormat="false" ht="15.75" hidden="false" customHeight="true" outlineLevel="0" collapsed="false">
      <c r="A742" s="65" t="n">
        <v>45352</v>
      </c>
      <c r="B742" s="31" t="s">
        <v>11</v>
      </c>
      <c r="C742" s="32"/>
      <c r="D742" s="32"/>
      <c r="E742" s="19" t="n">
        <f aca="false">+IF(C742="EQUIPO",F742,0)</f>
        <v>0</v>
      </c>
      <c r="F742" s="33" t="n">
        <v>0</v>
      </c>
      <c r="G742" s="62"/>
      <c r="H742" s="35" t="n">
        <v>0</v>
      </c>
      <c r="I742" s="34" t="n">
        <f aca="false">+IF(E742=0,0,E742*0.03)</f>
        <v>0</v>
      </c>
    </row>
    <row r="743" customFormat="false" ht="15.75" hidden="false" customHeight="true" outlineLevel="0" collapsed="false">
      <c r="A743" s="65" t="n">
        <v>45352</v>
      </c>
      <c r="B743" s="31" t="s">
        <v>11</v>
      </c>
      <c r="C743" s="32"/>
      <c r="D743" s="32"/>
      <c r="E743" s="19" t="n">
        <f aca="false">+IF(C743="EQUIPO",F743,0)</f>
        <v>0</v>
      </c>
      <c r="F743" s="33" t="n">
        <v>0</v>
      </c>
      <c r="G743" s="62"/>
      <c r="H743" s="35" t="n">
        <v>0</v>
      </c>
      <c r="I743" s="34" t="n">
        <f aca="false">+IF(E743=0,0,E743*0.03)</f>
        <v>0</v>
      </c>
    </row>
    <row r="744" customFormat="false" ht="15.75" hidden="false" customHeight="true" outlineLevel="0" collapsed="false">
      <c r="A744" s="65" t="n">
        <v>45352</v>
      </c>
      <c r="B744" s="31" t="s">
        <v>11</v>
      </c>
      <c r="C744" s="32"/>
      <c r="D744" s="32"/>
      <c r="E744" s="19" t="n">
        <f aca="false">+IF(C744="EQUIPO",F744,0)</f>
        <v>0</v>
      </c>
      <c r="F744" s="33" t="n">
        <v>0</v>
      </c>
      <c r="G744" s="62"/>
      <c r="H744" s="35" t="n">
        <v>0</v>
      </c>
      <c r="I744" s="34" t="n">
        <f aca="false">+IF(E744=0,0,E744*0.03)</f>
        <v>0</v>
      </c>
    </row>
    <row r="745" customFormat="false" ht="15.75" hidden="false" customHeight="true" outlineLevel="0" collapsed="false">
      <c r="A745" s="65" t="n">
        <v>45352</v>
      </c>
      <c r="B745" s="31" t="s">
        <v>11</v>
      </c>
      <c r="C745" s="32"/>
      <c r="D745" s="32"/>
      <c r="E745" s="19" t="n">
        <f aca="false">+IF(C745="EQUIPO",F745,0)</f>
        <v>0</v>
      </c>
      <c r="F745" s="33" t="n">
        <v>0</v>
      </c>
      <c r="G745" s="62"/>
      <c r="H745" s="35" t="n">
        <v>0</v>
      </c>
      <c r="I745" s="34" t="n">
        <f aca="false">+IF(E745=0,0,E745*0.03)</f>
        <v>0</v>
      </c>
    </row>
    <row r="746" customFormat="false" ht="15.75" hidden="false" customHeight="true" outlineLevel="0" collapsed="false">
      <c r="A746" s="65" t="n">
        <v>45352</v>
      </c>
      <c r="B746" s="31" t="s">
        <v>11</v>
      </c>
      <c r="C746" s="32"/>
      <c r="D746" s="32"/>
      <c r="E746" s="19" t="n">
        <f aca="false">+IF(C746="EQUIPO",F746,0)</f>
        <v>0</v>
      </c>
      <c r="F746" s="33" t="n">
        <v>0</v>
      </c>
      <c r="G746" s="62"/>
      <c r="H746" s="35" t="n">
        <v>0</v>
      </c>
      <c r="I746" s="34" t="n">
        <f aca="false">+IF(E746=0,0,E746*0.03)</f>
        <v>0</v>
      </c>
    </row>
    <row r="747" customFormat="false" ht="15.75" hidden="false" customHeight="true" outlineLevel="0" collapsed="false">
      <c r="A747" s="65" t="n">
        <v>45352</v>
      </c>
      <c r="B747" s="31" t="s">
        <v>11</v>
      </c>
      <c r="C747" s="32"/>
      <c r="D747" s="32"/>
      <c r="E747" s="19" t="n">
        <f aca="false">+IF(C747="EQUIPO",F747,0)</f>
        <v>0</v>
      </c>
      <c r="F747" s="33" t="n">
        <v>0</v>
      </c>
      <c r="G747" s="62"/>
      <c r="H747" s="35" t="n">
        <v>0</v>
      </c>
      <c r="I747" s="34" t="n">
        <f aca="false">+IF(E747=0,0,E747*0.03)</f>
        <v>0</v>
      </c>
    </row>
    <row r="748" customFormat="false" ht="15.75" hidden="false" customHeight="true" outlineLevel="0" collapsed="false">
      <c r="A748" s="65" t="n">
        <v>45352</v>
      </c>
      <c r="B748" s="31" t="s">
        <v>11</v>
      </c>
      <c r="C748" s="32"/>
      <c r="D748" s="32"/>
      <c r="E748" s="19" t="n">
        <f aca="false">+IF(C748="EQUIPO",F748,0)</f>
        <v>0</v>
      </c>
      <c r="F748" s="33" t="n">
        <v>0</v>
      </c>
      <c r="G748" s="62"/>
      <c r="H748" s="35" t="n">
        <v>0</v>
      </c>
      <c r="I748" s="34" t="n">
        <f aca="false">+IF(E748=0,0,E748*0.03)</f>
        <v>0</v>
      </c>
    </row>
    <row r="749" customFormat="false" ht="15.75" hidden="false" customHeight="true" outlineLevel="0" collapsed="false">
      <c r="A749" s="65" t="n">
        <v>45352</v>
      </c>
      <c r="B749" s="31" t="s">
        <v>11</v>
      </c>
      <c r="C749" s="32"/>
      <c r="D749" s="32"/>
      <c r="E749" s="19" t="n">
        <f aca="false">+IF(C749="EQUIPO",F749,0)</f>
        <v>0</v>
      </c>
      <c r="F749" s="33" t="n">
        <v>0</v>
      </c>
      <c r="G749" s="62"/>
      <c r="H749" s="35" t="n">
        <v>0</v>
      </c>
      <c r="I749" s="34" t="n">
        <f aca="false">+IF(E749=0,0,E749*0.03)</f>
        <v>0</v>
      </c>
    </row>
    <row r="750" customFormat="false" ht="15.75" hidden="false" customHeight="true" outlineLevel="0" collapsed="false">
      <c r="A750" s="65" t="n">
        <v>45352</v>
      </c>
      <c r="B750" s="31" t="s">
        <v>11</v>
      </c>
      <c r="C750" s="32"/>
      <c r="D750" s="32"/>
      <c r="E750" s="19" t="n">
        <f aca="false">+IF(C750="EQUIPO",F750,0)</f>
        <v>0</v>
      </c>
      <c r="F750" s="33" t="n">
        <v>0</v>
      </c>
      <c r="G750" s="62"/>
      <c r="H750" s="35" t="n">
        <v>0</v>
      </c>
      <c r="I750" s="34" t="n">
        <f aca="false">+IF(E750=0,0,E750*0.03)</f>
        <v>0</v>
      </c>
    </row>
    <row r="751" customFormat="false" ht="15.75" hidden="false" customHeight="true" outlineLevel="0" collapsed="false">
      <c r="A751" s="65" t="n">
        <v>45352</v>
      </c>
      <c r="B751" s="31" t="s">
        <v>11</v>
      </c>
      <c r="C751" s="32"/>
      <c r="D751" s="32"/>
      <c r="E751" s="19" t="n">
        <f aca="false">+IF(C751="EQUIPO",F751,0)</f>
        <v>0</v>
      </c>
      <c r="F751" s="33" t="n">
        <v>0</v>
      </c>
      <c r="G751" s="62"/>
      <c r="H751" s="35" t="n">
        <v>0</v>
      </c>
      <c r="I751" s="34" t="n">
        <f aca="false">+IF(E751=0,0,E751*0.03)</f>
        <v>0</v>
      </c>
    </row>
    <row r="752" customFormat="false" ht="15.75" hidden="false" customHeight="true" outlineLevel="0" collapsed="false">
      <c r="A752" s="65" t="n">
        <v>45352</v>
      </c>
      <c r="B752" s="31" t="s">
        <v>11</v>
      </c>
      <c r="C752" s="32"/>
      <c r="D752" s="32"/>
      <c r="E752" s="19" t="n">
        <f aca="false">+IF(C752="EQUIPO",F752,0)</f>
        <v>0</v>
      </c>
      <c r="F752" s="33" t="n">
        <v>0</v>
      </c>
      <c r="G752" s="62"/>
      <c r="H752" s="35" t="n">
        <v>0</v>
      </c>
      <c r="I752" s="34" t="n">
        <f aca="false">+IF(E752=0,0,E752*0.03)</f>
        <v>0</v>
      </c>
    </row>
    <row r="753" customFormat="false" ht="15.75" hidden="false" customHeight="true" outlineLevel="0" collapsed="false">
      <c r="A753" s="65" t="n">
        <v>45352</v>
      </c>
      <c r="B753" s="31" t="s">
        <v>11</v>
      </c>
      <c r="C753" s="32"/>
      <c r="D753" s="32"/>
      <c r="E753" s="19" t="n">
        <f aca="false">+IF(C753="EQUIPO",F753,0)</f>
        <v>0</v>
      </c>
      <c r="F753" s="33" t="n">
        <v>0</v>
      </c>
      <c r="G753" s="62"/>
      <c r="H753" s="35" t="n">
        <v>0</v>
      </c>
      <c r="I753" s="34" t="n">
        <f aca="false">+IF(E753=0,0,E753*0.03)</f>
        <v>0</v>
      </c>
    </row>
    <row r="754" customFormat="false" ht="15.75" hidden="false" customHeight="true" outlineLevel="0" collapsed="false">
      <c r="A754" s="65" t="n">
        <v>45352</v>
      </c>
      <c r="B754" s="31" t="s">
        <v>11</v>
      </c>
      <c r="C754" s="32"/>
      <c r="D754" s="32"/>
      <c r="E754" s="19" t="n">
        <f aca="false">+IF(C754="EQUIPO",F754,0)</f>
        <v>0</v>
      </c>
      <c r="F754" s="33" t="n">
        <v>0</v>
      </c>
      <c r="G754" s="62"/>
      <c r="H754" s="35" t="n">
        <v>0</v>
      </c>
      <c r="I754" s="34" t="n">
        <f aca="false">+IF(E754=0,0,E754*0.03)</f>
        <v>0</v>
      </c>
    </row>
    <row r="755" customFormat="false" ht="15.75" hidden="false" customHeight="true" outlineLevel="0" collapsed="false">
      <c r="A755" s="65" t="n">
        <v>45352</v>
      </c>
      <c r="B755" s="31" t="s">
        <v>11</v>
      </c>
      <c r="C755" s="32"/>
      <c r="D755" s="32"/>
      <c r="E755" s="19" t="n">
        <f aca="false">+IF(C755="EQUIPO",F755,0)</f>
        <v>0</v>
      </c>
      <c r="F755" s="33" t="n">
        <v>0</v>
      </c>
      <c r="G755" s="62"/>
      <c r="H755" s="35" t="n">
        <v>0</v>
      </c>
      <c r="I755" s="34" t="n">
        <f aca="false">+IF(E755=0,0,E755*0.03)</f>
        <v>0</v>
      </c>
    </row>
    <row r="756" customFormat="false" ht="15.75" hidden="false" customHeight="true" outlineLevel="0" collapsed="false">
      <c r="A756" s="65" t="n">
        <v>45352</v>
      </c>
      <c r="B756" s="31" t="s">
        <v>11</v>
      </c>
      <c r="C756" s="32"/>
      <c r="D756" s="32"/>
      <c r="E756" s="19" t="n">
        <f aca="false">+IF(C756="EQUIPO",F756,0)</f>
        <v>0</v>
      </c>
      <c r="F756" s="33" t="n">
        <v>0</v>
      </c>
      <c r="G756" s="62"/>
      <c r="H756" s="35" t="n">
        <v>0</v>
      </c>
      <c r="I756" s="34" t="n">
        <f aca="false">+IF(E756=0,0,E756*0.03)</f>
        <v>0</v>
      </c>
    </row>
    <row r="757" customFormat="false" ht="15.75" hidden="false" customHeight="true" outlineLevel="0" collapsed="false">
      <c r="A757" s="65" t="n">
        <v>45352</v>
      </c>
      <c r="B757" s="31" t="s">
        <v>11</v>
      </c>
      <c r="C757" s="32"/>
      <c r="D757" s="32"/>
      <c r="E757" s="19" t="n">
        <f aca="false">+IF(C757="EQUIPO",F757,0)</f>
        <v>0</v>
      </c>
      <c r="F757" s="33" t="n">
        <v>0</v>
      </c>
      <c r="G757" s="62"/>
      <c r="H757" s="35" t="n">
        <v>0</v>
      </c>
      <c r="I757" s="34" t="n">
        <f aca="false">+IF(E757=0,0,E757*0.03)</f>
        <v>0</v>
      </c>
    </row>
    <row r="758" customFormat="false" ht="15.75" hidden="false" customHeight="true" outlineLevel="0" collapsed="false">
      <c r="A758" s="65" t="n">
        <v>45352</v>
      </c>
      <c r="B758" s="31" t="s">
        <v>11</v>
      </c>
      <c r="C758" s="32"/>
      <c r="D758" s="32"/>
      <c r="E758" s="19" t="n">
        <f aca="false">+IF(C758="EQUIPO",F758,0)</f>
        <v>0</v>
      </c>
      <c r="F758" s="33" t="n">
        <v>0</v>
      </c>
      <c r="G758" s="62"/>
      <c r="H758" s="35" t="n">
        <v>0</v>
      </c>
      <c r="I758" s="34" t="n">
        <f aca="false">+IF(E758=0,0,E758*0.03)</f>
        <v>0</v>
      </c>
    </row>
    <row r="759" customFormat="false" ht="15.75" hidden="false" customHeight="true" outlineLevel="0" collapsed="false">
      <c r="A759" s="65" t="n">
        <v>45352</v>
      </c>
      <c r="B759" s="31" t="s">
        <v>11</v>
      </c>
      <c r="C759" s="32"/>
      <c r="D759" s="32"/>
      <c r="E759" s="19" t="n">
        <f aca="false">+IF(C759="EQUIPO",F759,0)</f>
        <v>0</v>
      </c>
      <c r="F759" s="33" t="n">
        <v>0</v>
      </c>
      <c r="G759" s="62"/>
      <c r="H759" s="35" t="n">
        <v>0</v>
      </c>
      <c r="I759" s="34" t="n">
        <f aca="false">+IF(E759=0,0,E759*0.03)</f>
        <v>0</v>
      </c>
    </row>
    <row r="760" customFormat="false" ht="15.75" hidden="false" customHeight="true" outlineLevel="0" collapsed="false">
      <c r="A760" s="65" t="n">
        <v>45352</v>
      </c>
      <c r="B760" s="31" t="s">
        <v>11</v>
      </c>
      <c r="C760" s="32"/>
      <c r="D760" s="32"/>
      <c r="E760" s="19" t="n">
        <f aca="false">+IF(C760="EQUIPO",F760,0)</f>
        <v>0</v>
      </c>
      <c r="F760" s="33" t="n">
        <v>0</v>
      </c>
      <c r="G760" s="62"/>
      <c r="H760" s="35" t="n">
        <v>0</v>
      </c>
      <c r="I760" s="34" t="n">
        <f aca="false">+IF(E760=0,0,E760*0.03)</f>
        <v>0</v>
      </c>
    </row>
    <row r="761" customFormat="false" ht="15.75" hidden="false" customHeight="true" outlineLevel="0" collapsed="false">
      <c r="A761" s="65" t="n">
        <v>45352</v>
      </c>
      <c r="B761" s="31" t="s">
        <v>11</v>
      </c>
      <c r="C761" s="32"/>
      <c r="D761" s="32"/>
      <c r="E761" s="19" t="n">
        <f aca="false">+IF(C761="EQUIPO",F761,0)</f>
        <v>0</v>
      </c>
      <c r="F761" s="33" t="n">
        <v>0</v>
      </c>
      <c r="G761" s="62"/>
      <c r="H761" s="35" t="n">
        <v>0</v>
      </c>
      <c r="I761" s="34" t="n">
        <f aca="false">+IF(E761=0,0,E761*0.03)</f>
        <v>0</v>
      </c>
    </row>
    <row r="762" customFormat="false" ht="15.75" hidden="false" customHeight="true" outlineLevel="0" collapsed="false">
      <c r="A762" s="65" t="n">
        <v>45352</v>
      </c>
      <c r="B762" s="31" t="s">
        <v>11</v>
      </c>
      <c r="C762" s="32"/>
      <c r="D762" s="32"/>
      <c r="E762" s="19" t="n">
        <f aca="false">+IF(C762="EQUIPO",F762,0)</f>
        <v>0</v>
      </c>
      <c r="F762" s="33" t="n">
        <v>0</v>
      </c>
      <c r="G762" s="62"/>
      <c r="H762" s="35" t="n">
        <v>0</v>
      </c>
      <c r="I762" s="34" t="n">
        <f aca="false">+IF(E762=0,0,E762*0.03)</f>
        <v>0</v>
      </c>
    </row>
    <row r="763" customFormat="false" ht="15.75" hidden="false" customHeight="true" outlineLevel="0" collapsed="false">
      <c r="A763" s="65" t="n">
        <v>45352</v>
      </c>
      <c r="B763" s="31" t="s">
        <v>11</v>
      </c>
      <c r="C763" s="32"/>
      <c r="D763" s="32"/>
      <c r="E763" s="19" t="n">
        <f aca="false">+IF(C763="EQUIPO",F763,0)</f>
        <v>0</v>
      </c>
      <c r="F763" s="33" t="n">
        <v>0</v>
      </c>
      <c r="G763" s="62"/>
      <c r="H763" s="35" t="n">
        <v>0</v>
      </c>
      <c r="I763" s="34" t="n">
        <f aca="false">+IF(E763=0,0,E763*0.03)</f>
        <v>0</v>
      </c>
    </row>
    <row r="764" customFormat="false" ht="15.75" hidden="false" customHeight="true" outlineLevel="0" collapsed="false">
      <c r="A764" s="65" t="n">
        <v>45352</v>
      </c>
      <c r="B764" s="31" t="s">
        <v>11</v>
      </c>
      <c r="C764" s="32"/>
      <c r="D764" s="32"/>
      <c r="E764" s="19" t="n">
        <f aca="false">+IF(C764="EQUIPO",F764,0)</f>
        <v>0</v>
      </c>
      <c r="F764" s="33" t="n">
        <v>0</v>
      </c>
      <c r="G764" s="62"/>
      <c r="H764" s="35" t="n">
        <v>0</v>
      </c>
      <c r="I764" s="34" t="n">
        <f aca="false">+IF(E764=0,0,E764*0.03)</f>
        <v>0</v>
      </c>
    </row>
    <row r="765" customFormat="false" ht="15.75" hidden="false" customHeight="true" outlineLevel="0" collapsed="false">
      <c r="A765" s="65" t="n">
        <v>45352</v>
      </c>
      <c r="B765" s="31" t="s">
        <v>11</v>
      </c>
      <c r="C765" s="32"/>
      <c r="D765" s="32"/>
      <c r="E765" s="19" t="n">
        <f aca="false">+IF(C765="EQUIPO",F765,0)</f>
        <v>0</v>
      </c>
      <c r="F765" s="33" t="n">
        <v>0</v>
      </c>
      <c r="G765" s="62"/>
      <c r="H765" s="35" t="n">
        <v>0</v>
      </c>
      <c r="I765" s="34" t="n">
        <f aca="false">+IF(E765=0,0,E765*0.03)</f>
        <v>0</v>
      </c>
    </row>
    <row r="766" customFormat="false" ht="15.75" hidden="false" customHeight="true" outlineLevel="0" collapsed="false">
      <c r="A766" s="65" t="n">
        <v>45352</v>
      </c>
      <c r="B766" s="31" t="s">
        <v>11</v>
      </c>
      <c r="C766" s="32"/>
      <c r="D766" s="32"/>
      <c r="E766" s="19" t="n">
        <f aca="false">+IF(C766="EQUIPO",F766,0)</f>
        <v>0</v>
      </c>
      <c r="F766" s="33" t="n">
        <v>0</v>
      </c>
      <c r="G766" s="62"/>
      <c r="H766" s="35" t="n">
        <v>0</v>
      </c>
      <c r="I766" s="34" t="n">
        <f aca="false">+IF(E766=0,0,E766*0.03)</f>
        <v>0</v>
      </c>
    </row>
    <row r="767" customFormat="false" ht="15.75" hidden="false" customHeight="true" outlineLevel="0" collapsed="false">
      <c r="A767" s="65" t="n">
        <v>45352</v>
      </c>
      <c r="B767" s="31" t="s">
        <v>11</v>
      </c>
      <c r="C767" s="32"/>
      <c r="D767" s="32"/>
      <c r="E767" s="19" t="n">
        <f aca="false">+IF(C767="EQUIPO",F767,0)</f>
        <v>0</v>
      </c>
      <c r="F767" s="33" t="n">
        <v>0</v>
      </c>
      <c r="G767" s="62"/>
      <c r="H767" s="35" t="n">
        <v>0</v>
      </c>
      <c r="I767" s="34" t="n">
        <f aca="false">+IF(E767=0,0,E767*0.03)</f>
        <v>0</v>
      </c>
    </row>
    <row r="768" customFormat="false" ht="15.75" hidden="false" customHeight="true" outlineLevel="0" collapsed="false">
      <c r="A768" s="65" t="n">
        <v>45352</v>
      </c>
      <c r="B768" s="31" t="s">
        <v>11</v>
      </c>
      <c r="C768" s="32"/>
      <c r="D768" s="32"/>
      <c r="E768" s="19" t="n">
        <f aca="false">+IF(C768="EQUIPO",F768,0)</f>
        <v>0</v>
      </c>
      <c r="F768" s="33" t="n">
        <v>0</v>
      </c>
      <c r="G768" s="62"/>
      <c r="H768" s="35" t="n">
        <v>0</v>
      </c>
      <c r="I768" s="34" t="n">
        <f aca="false">+IF(E768=0,0,E768*0.03)</f>
        <v>0</v>
      </c>
    </row>
    <row r="769" customFormat="false" ht="15.75" hidden="false" customHeight="true" outlineLevel="0" collapsed="false">
      <c r="A769" s="65" t="n">
        <v>45352</v>
      </c>
      <c r="B769" s="31" t="s">
        <v>11</v>
      </c>
      <c r="C769" s="32"/>
      <c r="D769" s="32"/>
      <c r="E769" s="19" t="n">
        <f aca="false">+IF(C769="EQUIPO",F769,0)</f>
        <v>0</v>
      </c>
      <c r="F769" s="33" t="n">
        <v>0</v>
      </c>
      <c r="G769" s="62"/>
      <c r="H769" s="35" t="n">
        <v>0</v>
      </c>
      <c r="I769" s="34" t="n">
        <f aca="false">+IF(E769=0,0,E769*0.03)</f>
        <v>0</v>
      </c>
    </row>
    <row r="770" customFormat="false" ht="15.75" hidden="false" customHeight="true" outlineLevel="0" collapsed="false">
      <c r="A770" s="65" t="n">
        <v>45352</v>
      </c>
      <c r="B770" s="31" t="s">
        <v>11</v>
      </c>
      <c r="C770" s="32"/>
      <c r="D770" s="32"/>
      <c r="E770" s="19" t="n">
        <f aca="false">+IF(C770="EQUIPO",F770,0)</f>
        <v>0</v>
      </c>
      <c r="F770" s="33" t="n">
        <v>0</v>
      </c>
      <c r="G770" s="62"/>
      <c r="H770" s="35" t="n">
        <v>0</v>
      </c>
      <c r="I770" s="34" t="n">
        <f aca="false">+IF(E770=0,0,E770*0.03)</f>
        <v>0</v>
      </c>
    </row>
    <row r="771" customFormat="false" ht="15.75" hidden="false" customHeight="true" outlineLevel="0" collapsed="false">
      <c r="A771" s="65" t="n">
        <v>45352</v>
      </c>
      <c r="B771" s="31" t="s">
        <v>11</v>
      </c>
      <c r="C771" s="32"/>
      <c r="D771" s="32"/>
      <c r="E771" s="19" t="n">
        <f aca="false">+IF(C771="EQUIPO",F771,0)</f>
        <v>0</v>
      </c>
      <c r="F771" s="33" t="n">
        <v>0</v>
      </c>
      <c r="G771" s="62"/>
      <c r="H771" s="35" t="n">
        <v>0</v>
      </c>
      <c r="I771" s="34" t="n">
        <f aca="false">+IF(E771=0,0,E771*0.03)</f>
        <v>0</v>
      </c>
    </row>
    <row r="772" customFormat="false" ht="15.75" hidden="false" customHeight="true" outlineLevel="0" collapsed="false">
      <c r="A772" s="65" t="n">
        <v>45352</v>
      </c>
      <c r="B772" s="31" t="s">
        <v>11</v>
      </c>
      <c r="C772" s="32"/>
      <c r="D772" s="32"/>
      <c r="E772" s="19" t="n">
        <f aca="false">+IF(C772="EQUIPO",F772,0)</f>
        <v>0</v>
      </c>
      <c r="F772" s="33" t="n">
        <v>0</v>
      </c>
      <c r="G772" s="62"/>
      <c r="H772" s="35" t="n">
        <v>0</v>
      </c>
      <c r="I772" s="34" t="n">
        <f aca="false">+IF(E772=0,0,E772*0.03)</f>
        <v>0</v>
      </c>
    </row>
    <row r="773" customFormat="false" ht="15.75" hidden="false" customHeight="true" outlineLevel="0" collapsed="false">
      <c r="A773" s="65" t="n">
        <v>45352</v>
      </c>
      <c r="B773" s="31" t="s">
        <v>11</v>
      </c>
      <c r="C773" s="32"/>
      <c r="D773" s="32"/>
      <c r="E773" s="19" t="n">
        <f aca="false">+IF(C773="EQUIPO",F773,0)</f>
        <v>0</v>
      </c>
      <c r="F773" s="33" t="n">
        <v>0</v>
      </c>
      <c r="G773" s="62"/>
      <c r="H773" s="35" t="n">
        <v>0</v>
      </c>
      <c r="I773" s="34" t="n">
        <f aca="false">+IF(E773=0,0,E773*0.03)</f>
        <v>0</v>
      </c>
    </row>
    <row r="774" customFormat="false" ht="15.75" hidden="false" customHeight="true" outlineLevel="0" collapsed="false">
      <c r="A774" s="65" t="n">
        <v>45352</v>
      </c>
      <c r="B774" s="31" t="s">
        <v>11</v>
      </c>
      <c r="C774" s="32"/>
      <c r="D774" s="32"/>
      <c r="E774" s="19" t="n">
        <f aca="false">+IF(C774="EQUIPO",F774,0)</f>
        <v>0</v>
      </c>
      <c r="F774" s="33" t="n">
        <v>0</v>
      </c>
      <c r="G774" s="62"/>
      <c r="H774" s="35" t="n">
        <v>0</v>
      </c>
      <c r="I774" s="34" t="n">
        <f aca="false">+IF(E774=0,0,E774*0.03)</f>
        <v>0</v>
      </c>
    </row>
    <row r="775" customFormat="false" ht="15.75" hidden="false" customHeight="true" outlineLevel="0" collapsed="false">
      <c r="A775" s="65" t="n">
        <v>45352</v>
      </c>
      <c r="B775" s="31" t="s">
        <v>11</v>
      </c>
      <c r="C775" s="32"/>
      <c r="D775" s="32"/>
      <c r="E775" s="19" t="n">
        <f aca="false">+IF(C775="EQUIPO",F775,0)</f>
        <v>0</v>
      </c>
      <c r="F775" s="33" t="n">
        <v>0</v>
      </c>
      <c r="G775" s="62"/>
      <c r="H775" s="35" t="n">
        <v>0</v>
      </c>
      <c r="I775" s="34" t="n">
        <f aca="false">+IF(E775=0,0,E775*0.03)</f>
        <v>0</v>
      </c>
    </row>
    <row r="776" customFormat="false" ht="15.75" hidden="false" customHeight="true" outlineLevel="0" collapsed="false">
      <c r="A776" s="65" t="n">
        <v>45352</v>
      </c>
      <c r="B776" s="31" t="s">
        <v>11</v>
      </c>
      <c r="C776" s="32"/>
      <c r="D776" s="32"/>
      <c r="E776" s="19" t="n">
        <f aca="false">+IF(C776="EQUIPO",F776,0)</f>
        <v>0</v>
      </c>
      <c r="F776" s="33" t="n">
        <v>0</v>
      </c>
      <c r="G776" s="62"/>
      <c r="H776" s="35" t="n">
        <v>0</v>
      </c>
      <c r="I776" s="34" t="n">
        <f aca="false">+IF(E776=0,0,E776*0.03)</f>
        <v>0</v>
      </c>
    </row>
    <row r="777" customFormat="false" ht="15.75" hidden="false" customHeight="true" outlineLevel="0" collapsed="false">
      <c r="A777" s="65" t="n">
        <v>45352</v>
      </c>
      <c r="B777" s="31" t="s">
        <v>11</v>
      </c>
      <c r="C777" s="32"/>
      <c r="D777" s="32"/>
      <c r="E777" s="19" t="n">
        <f aca="false">+IF(C777="EQUIPO",F777,0)</f>
        <v>0</v>
      </c>
      <c r="F777" s="33" t="n">
        <v>0</v>
      </c>
      <c r="G777" s="62"/>
      <c r="H777" s="35" t="n">
        <v>0</v>
      </c>
      <c r="I777" s="34" t="n">
        <f aca="false">+IF(E777=0,0,E777*0.03)</f>
        <v>0</v>
      </c>
    </row>
    <row r="778" customFormat="false" ht="15.75" hidden="false" customHeight="true" outlineLevel="0" collapsed="false">
      <c r="A778" s="65" t="n">
        <v>45352</v>
      </c>
      <c r="B778" s="31" t="s">
        <v>11</v>
      </c>
      <c r="C778" s="32"/>
      <c r="D778" s="32"/>
      <c r="E778" s="19" t="n">
        <f aca="false">+IF(C778="EQUIPO",F778,0)</f>
        <v>0</v>
      </c>
      <c r="F778" s="33" t="n">
        <v>0</v>
      </c>
      <c r="G778" s="62"/>
      <c r="H778" s="35" t="n">
        <v>0</v>
      </c>
      <c r="I778" s="34" t="n">
        <f aca="false">+IF(E778=0,0,E778*0.03)</f>
        <v>0</v>
      </c>
    </row>
    <row r="779" customFormat="false" ht="15.75" hidden="false" customHeight="true" outlineLevel="0" collapsed="false">
      <c r="A779" s="65" t="n">
        <v>45352</v>
      </c>
      <c r="B779" s="31" t="s">
        <v>11</v>
      </c>
      <c r="C779" s="32"/>
      <c r="D779" s="32"/>
      <c r="E779" s="19" t="n">
        <f aca="false">+IF(C779="EQUIPO",F779,0)</f>
        <v>0</v>
      </c>
      <c r="F779" s="33" t="n">
        <v>0</v>
      </c>
      <c r="G779" s="62"/>
      <c r="H779" s="35" t="n">
        <v>0</v>
      </c>
      <c r="I779" s="34" t="n">
        <f aca="false">+IF(E779=0,0,E779*0.03)</f>
        <v>0</v>
      </c>
    </row>
    <row r="780" customFormat="false" ht="15.75" hidden="false" customHeight="true" outlineLevel="0" collapsed="false">
      <c r="A780" s="65" t="n">
        <v>45352</v>
      </c>
      <c r="B780" s="31" t="s">
        <v>11</v>
      </c>
      <c r="C780" s="32"/>
      <c r="D780" s="32"/>
      <c r="E780" s="19" t="n">
        <f aca="false">+IF(C780="EQUIPO",F780,0)</f>
        <v>0</v>
      </c>
      <c r="F780" s="33" t="n">
        <v>0</v>
      </c>
      <c r="G780" s="62"/>
      <c r="H780" s="35" t="n">
        <v>0</v>
      </c>
      <c r="I780" s="34" t="n">
        <f aca="false">+IF(E780=0,0,E780*0.03)</f>
        <v>0</v>
      </c>
    </row>
    <row r="781" customFormat="false" ht="15.75" hidden="false" customHeight="true" outlineLevel="0" collapsed="false">
      <c r="A781" s="65" t="n">
        <v>45352</v>
      </c>
      <c r="B781" s="31" t="s">
        <v>11</v>
      </c>
      <c r="C781" s="32"/>
      <c r="D781" s="32"/>
      <c r="E781" s="19" t="n">
        <f aca="false">+IF(C781="EQUIPO",F781,0)</f>
        <v>0</v>
      </c>
      <c r="F781" s="33" t="n">
        <v>0</v>
      </c>
      <c r="G781" s="62"/>
      <c r="H781" s="35" t="n">
        <v>0</v>
      </c>
      <c r="I781" s="34" t="n">
        <f aca="false">+IF(E781=0,0,E781*0.03)</f>
        <v>0</v>
      </c>
    </row>
    <row r="782" customFormat="false" ht="15.75" hidden="false" customHeight="true" outlineLevel="0" collapsed="false">
      <c r="A782" s="65" t="n">
        <v>45352</v>
      </c>
      <c r="B782" s="31" t="s">
        <v>11</v>
      </c>
      <c r="C782" s="32"/>
      <c r="D782" s="32"/>
      <c r="E782" s="19" t="n">
        <f aca="false">+IF(C782="EQUIPO",F782,0)</f>
        <v>0</v>
      </c>
      <c r="F782" s="33" t="n">
        <v>0</v>
      </c>
      <c r="G782" s="62"/>
      <c r="H782" s="35" t="n">
        <v>0</v>
      </c>
      <c r="I782" s="34" t="n">
        <f aca="false">+IF(E782=0,0,E782*0.03)</f>
        <v>0</v>
      </c>
    </row>
    <row r="783" customFormat="false" ht="15.75" hidden="false" customHeight="true" outlineLevel="0" collapsed="false">
      <c r="A783" s="65" t="n">
        <v>45352</v>
      </c>
      <c r="B783" s="31" t="s">
        <v>11</v>
      </c>
      <c r="C783" s="32"/>
      <c r="D783" s="32"/>
      <c r="E783" s="19" t="n">
        <f aca="false">+IF(C783="EQUIPO",F783,0)</f>
        <v>0</v>
      </c>
      <c r="F783" s="33" t="n">
        <v>0</v>
      </c>
      <c r="G783" s="62"/>
      <c r="H783" s="35" t="n">
        <v>0</v>
      </c>
      <c r="I783" s="34" t="n">
        <f aca="false">+IF(E783=0,0,E783*0.03)</f>
        <v>0</v>
      </c>
    </row>
    <row r="784" customFormat="false" ht="15.75" hidden="false" customHeight="true" outlineLevel="0" collapsed="false">
      <c r="A784" s="65" t="n">
        <v>45352</v>
      </c>
      <c r="B784" s="31" t="s">
        <v>11</v>
      </c>
      <c r="C784" s="32"/>
      <c r="D784" s="32"/>
      <c r="E784" s="19" t="n">
        <f aca="false">+IF(C784="EQUIPO",F784,0)</f>
        <v>0</v>
      </c>
      <c r="F784" s="33" t="n">
        <v>0</v>
      </c>
      <c r="G784" s="62"/>
      <c r="H784" s="35" t="n">
        <v>0</v>
      </c>
      <c r="I784" s="34" t="n">
        <f aca="false">+IF(E784=0,0,E784*0.03)</f>
        <v>0</v>
      </c>
    </row>
    <row r="785" customFormat="false" ht="15.75" hidden="false" customHeight="true" outlineLevel="0" collapsed="false">
      <c r="A785" s="65" t="n">
        <v>45352</v>
      </c>
      <c r="B785" s="31" t="s">
        <v>11</v>
      </c>
      <c r="C785" s="32"/>
      <c r="D785" s="32"/>
      <c r="E785" s="19" t="n">
        <f aca="false">+IF(C785="EQUIPO",F785,0)</f>
        <v>0</v>
      </c>
      <c r="F785" s="33" t="n">
        <v>0</v>
      </c>
      <c r="G785" s="62"/>
      <c r="H785" s="35" t="n">
        <v>0</v>
      </c>
      <c r="I785" s="34" t="n">
        <f aca="false">+IF(E785=0,0,E785*0.03)</f>
        <v>0</v>
      </c>
    </row>
    <row r="786" customFormat="false" ht="15.75" hidden="false" customHeight="true" outlineLevel="0" collapsed="false">
      <c r="A786" s="65" t="n">
        <v>45352</v>
      </c>
      <c r="B786" s="31" t="s">
        <v>11</v>
      </c>
      <c r="C786" s="32"/>
      <c r="D786" s="32"/>
      <c r="E786" s="19" t="n">
        <f aca="false">+IF(C786="EQUIPO",F786,0)</f>
        <v>0</v>
      </c>
      <c r="F786" s="33" t="n">
        <v>0</v>
      </c>
      <c r="G786" s="62"/>
      <c r="H786" s="35" t="n">
        <v>0</v>
      </c>
      <c r="I786" s="34" t="n">
        <f aca="false">+IF(E786=0,0,E786*0.03)</f>
        <v>0</v>
      </c>
    </row>
    <row r="787" customFormat="false" ht="15.75" hidden="false" customHeight="true" outlineLevel="0" collapsed="false">
      <c r="A787" s="65" t="n">
        <v>45352</v>
      </c>
      <c r="B787" s="31" t="s">
        <v>11</v>
      </c>
      <c r="C787" s="32"/>
      <c r="D787" s="32"/>
      <c r="E787" s="19" t="n">
        <f aca="false">+IF(C787="EQUIPO",F787,0)</f>
        <v>0</v>
      </c>
      <c r="F787" s="33" t="n">
        <v>0</v>
      </c>
      <c r="G787" s="62"/>
      <c r="H787" s="35" t="n">
        <v>0</v>
      </c>
      <c r="I787" s="34" t="n">
        <f aca="false">+IF(E787=0,0,E787*0.03)</f>
        <v>0</v>
      </c>
    </row>
    <row r="788" customFormat="false" ht="15.75" hidden="false" customHeight="true" outlineLevel="0" collapsed="false">
      <c r="A788" s="30" t="n">
        <v>45323</v>
      </c>
      <c r="B788" s="31" t="s">
        <v>11</v>
      </c>
      <c r="C788" s="32"/>
      <c r="D788" s="32"/>
      <c r="E788" s="19" t="n">
        <f aca="false">+IF(C788="EQUIPO",F788,0)</f>
        <v>0</v>
      </c>
      <c r="F788" s="33" t="n">
        <v>0</v>
      </c>
      <c r="G788" s="62"/>
      <c r="H788" s="35" t="n">
        <v>0</v>
      </c>
      <c r="I788" s="34" t="n">
        <f aca="false">+IF(E788=0,0,E788*0.03)</f>
        <v>0</v>
      </c>
    </row>
    <row r="789" customFormat="false" ht="15.75" hidden="false" customHeight="true" outlineLevel="0" collapsed="false">
      <c r="A789" s="30" t="n">
        <v>45323</v>
      </c>
      <c r="B789" s="31" t="s">
        <v>11</v>
      </c>
      <c r="C789" s="32"/>
      <c r="D789" s="32"/>
      <c r="E789" s="19" t="n">
        <f aca="false">+IF(C789="EQUIPO",F789,0)</f>
        <v>0</v>
      </c>
      <c r="F789" s="33" t="n">
        <v>0</v>
      </c>
      <c r="G789" s="62"/>
      <c r="H789" s="35" t="n">
        <v>0</v>
      </c>
      <c r="I789" s="34" t="n">
        <f aca="false">+IF(E789=0,0,E789*0.03)</f>
        <v>0</v>
      </c>
    </row>
    <row r="790" customFormat="false" ht="15.75" hidden="false" customHeight="true" outlineLevel="0" collapsed="false">
      <c r="A790" s="30" t="n">
        <v>45323</v>
      </c>
      <c r="B790" s="31" t="s">
        <v>11</v>
      </c>
      <c r="C790" s="32"/>
      <c r="D790" s="32"/>
      <c r="E790" s="19" t="n">
        <f aca="false">+IF(C790="EQUIPO",F790,0)</f>
        <v>0</v>
      </c>
      <c r="F790" s="33" t="n">
        <v>0</v>
      </c>
      <c r="G790" s="62"/>
      <c r="H790" s="35" t="n">
        <v>0</v>
      </c>
      <c r="I790" s="34" t="n">
        <f aca="false">+IF(E790=0,0,E790*0.03)</f>
        <v>0</v>
      </c>
    </row>
    <row r="791" customFormat="false" ht="15.75" hidden="false" customHeight="true" outlineLevel="0" collapsed="false">
      <c r="A791" s="30" t="n">
        <v>45323</v>
      </c>
      <c r="B791" s="31" t="s">
        <v>11</v>
      </c>
      <c r="C791" s="32"/>
      <c r="D791" s="32"/>
      <c r="E791" s="19" t="n">
        <f aca="false">+IF(C791="EQUIPO",F791,0)</f>
        <v>0</v>
      </c>
      <c r="F791" s="33" t="n">
        <v>0</v>
      </c>
      <c r="G791" s="62"/>
      <c r="H791" s="35" t="n">
        <v>0</v>
      </c>
      <c r="I791" s="34" t="n">
        <f aca="false">+IF(E791=0,0,E791*0.03)</f>
        <v>0</v>
      </c>
    </row>
    <row r="792" customFormat="false" ht="15.75" hidden="false" customHeight="true" outlineLevel="0" collapsed="false">
      <c r="A792" s="30" t="n">
        <v>45323</v>
      </c>
      <c r="B792" s="31" t="s">
        <v>11</v>
      </c>
      <c r="C792" s="32"/>
      <c r="D792" s="32"/>
      <c r="E792" s="19" t="n">
        <f aca="false">+IF(C792="EQUIPO",F792,0)</f>
        <v>0</v>
      </c>
      <c r="F792" s="33" t="n">
        <v>0</v>
      </c>
      <c r="G792" s="62"/>
      <c r="H792" s="35" t="n">
        <v>0</v>
      </c>
      <c r="I792" s="34" t="n">
        <f aca="false">+IF(E792=0,0,E792*0.03)</f>
        <v>0</v>
      </c>
    </row>
    <row r="793" customFormat="false" ht="15.75" hidden="false" customHeight="true" outlineLevel="0" collapsed="false">
      <c r="A793" s="30" t="n">
        <v>45323</v>
      </c>
      <c r="B793" s="31" t="s">
        <v>11</v>
      </c>
      <c r="C793" s="32"/>
      <c r="D793" s="32"/>
      <c r="E793" s="19" t="n">
        <f aca="false">+IF(C793="EQUIPO",F793,0)</f>
        <v>0</v>
      </c>
      <c r="F793" s="33" t="n">
        <v>0</v>
      </c>
      <c r="G793" s="62"/>
      <c r="H793" s="35" t="n">
        <v>0</v>
      </c>
      <c r="I793" s="34" t="n">
        <f aca="false">+IF(E793=0,0,E793*0.03)</f>
        <v>0</v>
      </c>
    </row>
    <row r="794" customFormat="false" ht="15.75" hidden="false" customHeight="true" outlineLevel="0" collapsed="false">
      <c r="A794" s="30" t="n">
        <v>45323</v>
      </c>
      <c r="B794" s="31" t="s">
        <v>11</v>
      </c>
      <c r="C794" s="32"/>
      <c r="D794" s="32"/>
      <c r="E794" s="19" t="n">
        <f aca="false">+IF(C794="EQUIPO",F794,0)</f>
        <v>0</v>
      </c>
      <c r="F794" s="33" t="n">
        <v>0</v>
      </c>
      <c r="G794" s="62"/>
      <c r="H794" s="35" t="n">
        <v>0</v>
      </c>
      <c r="I794" s="34" t="n">
        <f aca="false">+IF(E794=0,0,E794*0.03)</f>
        <v>0</v>
      </c>
    </row>
    <row r="795" customFormat="false" ht="15.75" hidden="false" customHeight="true" outlineLevel="0" collapsed="false">
      <c r="A795" s="30" t="n">
        <v>45323</v>
      </c>
      <c r="B795" s="31" t="s">
        <v>11</v>
      </c>
      <c r="C795" s="32"/>
      <c r="D795" s="32"/>
      <c r="E795" s="19" t="n">
        <f aca="false">+IF(C795="EQUIPO",F795,0)</f>
        <v>0</v>
      </c>
      <c r="F795" s="33" t="n">
        <v>0</v>
      </c>
      <c r="G795" s="62"/>
      <c r="H795" s="35" t="n">
        <v>0</v>
      </c>
      <c r="I795" s="34" t="n">
        <f aca="false">+IF(E795=0,0,E795*0.03)</f>
        <v>0</v>
      </c>
    </row>
    <row r="796" customFormat="false" ht="15.75" hidden="false" customHeight="true" outlineLevel="0" collapsed="false">
      <c r="A796" s="30" t="n">
        <v>45323</v>
      </c>
      <c r="B796" s="31" t="s">
        <v>11</v>
      </c>
      <c r="C796" s="32"/>
      <c r="D796" s="32"/>
      <c r="E796" s="19" t="n">
        <f aca="false">+IF(C796="EQUIPO",F796,0)</f>
        <v>0</v>
      </c>
      <c r="F796" s="33" t="n">
        <v>0</v>
      </c>
      <c r="G796" s="62"/>
      <c r="H796" s="35" t="n">
        <v>0</v>
      </c>
      <c r="I796" s="34" t="n">
        <f aca="false">+IF(E796=0,0,E796*0.03)</f>
        <v>0</v>
      </c>
    </row>
    <row r="797" customFormat="false" ht="15.75" hidden="false" customHeight="true" outlineLevel="0" collapsed="false">
      <c r="A797" s="30" t="n">
        <v>45323</v>
      </c>
      <c r="B797" s="31" t="s">
        <v>11</v>
      </c>
      <c r="C797" s="32"/>
      <c r="D797" s="32"/>
      <c r="E797" s="19" t="n">
        <f aca="false">+IF(C797="EQUIPO",F797,0)</f>
        <v>0</v>
      </c>
      <c r="F797" s="33" t="n">
        <v>0</v>
      </c>
      <c r="G797" s="62"/>
      <c r="H797" s="35" t="n">
        <v>0</v>
      </c>
      <c r="I797" s="34" t="n">
        <f aca="false">+IF(E797=0,0,E797*0.03)</f>
        <v>0</v>
      </c>
    </row>
    <row r="798" customFormat="false" ht="15.75" hidden="false" customHeight="true" outlineLevel="0" collapsed="false">
      <c r="A798" s="30" t="n">
        <v>45323</v>
      </c>
      <c r="B798" s="31" t="s">
        <v>11</v>
      </c>
      <c r="C798" s="32"/>
      <c r="D798" s="32"/>
      <c r="E798" s="19" t="n">
        <f aca="false">+IF(C798="EQUIPO",F798,0)</f>
        <v>0</v>
      </c>
      <c r="F798" s="33" t="n">
        <v>0</v>
      </c>
      <c r="G798" s="62"/>
      <c r="H798" s="35" t="n">
        <v>0</v>
      </c>
      <c r="I798" s="34" t="n">
        <f aca="false">+IF(E798=0,0,E798*0.03)</f>
        <v>0</v>
      </c>
    </row>
    <row r="799" customFormat="false" ht="15.75" hidden="false" customHeight="true" outlineLevel="0" collapsed="false">
      <c r="A799" s="30" t="n">
        <v>45323</v>
      </c>
      <c r="B799" s="31" t="s">
        <v>11</v>
      </c>
      <c r="C799" s="32"/>
      <c r="D799" s="32"/>
      <c r="E799" s="19" t="n">
        <f aca="false">+IF(C799="EQUIPO",F799,0)</f>
        <v>0</v>
      </c>
      <c r="F799" s="33" t="n">
        <v>0</v>
      </c>
      <c r="G799" s="62"/>
      <c r="H799" s="35" t="n">
        <v>0</v>
      </c>
      <c r="I799" s="34" t="n">
        <f aca="false">+IF(E799=0,0,E799*0.03)</f>
        <v>0</v>
      </c>
    </row>
    <row r="800" customFormat="false" ht="15.75" hidden="false" customHeight="true" outlineLevel="0" collapsed="false">
      <c r="A800" s="30" t="n">
        <v>45323</v>
      </c>
      <c r="B800" s="31" t="s">
        <v>11</v>
      </c>
      <c r="C800" s="32"/>
      <c r="D800" s="32"/>
      <c r="E800" s="19" t="n">
        <f aca="false">+IF(C800="EQUIPO",F800,0)</f>
        <v>0</v>
      </c>
      <c r="F800" s="33" t="n">
        <v>0</v>
      </c>
      <c r="G800" s="62"/>
      <c r="H800" s="35" t="n">
        <v>0</v>
      </c>
      <c r="I800" s="34" t="n">
        <f aca="false">+IF(E800=0,0,E800*0.03)</f>
        <v>0</v>
      </c>
    </row>
    <row r="801" customFormat="false" ht="15.75" hidden="false" customHeight="true" outlineLevel="0" collapsed="false">
      <c r="A801" s="30" t="n">
        <v>45323</v>
      </c>
      <c r="B801" s="31" t="s">
        <v>11</v>
      </c>
      <c r="C801" s="32"/>
      <c r="D801" s="32"/>
      <c r="E801" s="19" t="n">
        <f aca="false">+IF(C801="EQUIPO",F801,0)</f>
        <v>0</v>
      </c>
      <c r="F801" s="33" t="n">
        <v>0</v>
      </c>
      <c r="G801" s="62"/>
      <c r="H801" s="35" t="n">
        <v>0</v>
      </c>
      <c r="I801" s="34" t="n">
        <f aca="false">+IF(E801=0,0,E801*0.03)</f>
        <v>0</v>
      </c>
    </row>
    <row r="802" customFormat="false" ht="15.75" hidden="false" customHeight="true" outlineLevel="0" collapsed="false">
      <c r="A802" s="30" t="n">
        <v>45323</v>
      </c>
      <c r="B802" s="31" t="s">
        <v>11</v>
      </c>
      <c r="C802" s="32"/>
      <c r="D802" s="32"/>
      <c r="E802" s="19" t="n">
        <f aca="false">+IF(C802="EQUIPO",F802,0)</f>
        <v>0</v>
      </c>
      <c r="F802" s="33" t="n">
        <v>0</v>
      </c>
      <c r="G802" s="62"/>
      <c r="H802" s="35" t="n">
        <v>0</v>
      </c>
      <c r="I802" s="34" t="n">
        <f aca="false">+IF(E802=0,0,E802*0.03)</f>
        <v>0</v>
      </c>
    </row>
    <row r="803" customFormat="false" ht="15.75" hidden="false" customHeight="true" outlineLevel="0" collapsed="false">
      <c r="A803" s="30" t="n">
        <v>45323</v>
      </c>
      <c r="B803" s="31" t="s">
        <v>11</v>
      </c>
      <c r="C803" s="32"/>
      <c r="D803" s="32"/>
      <c r="E803" s="19" t="n">
        <f aca="false">+IF(C803="EQUIPO",F803,0)</f>
        <v>0</v>
      </c>
      <c r="F803" s="33" t="n">
        <v>0</v>
      </c>
      <c r="G803" s="62"/>
      <c r="H803" s="35" t="n">
        <v>0</v>
      </c>
      <c r="I803" s="34" t="n">
        <f aca="false">+IF(E803=0,0,E803*0.03)</f>
        <v>0</v>
      </c>
    </row>
    <row r="804" customFormat="false" ht="15.75" hidden="false" customHeight="true" outlineLevel="0" collapsed="false">
      <c r="A804" s="30" t="n">
        <v>45323</v>
      </c>
      <c r="B804" s="31" t="s">
        <v>11</v>
      </c>
      <c r="C804" s="32"/>
      <c r="D804" s="32"/>
      <c r="E804" s="19" t="n">
        <f aca="false">+IF(C804="EQUIPO",F804,0)</f>
        <v>0</v>
      </c>
      <c r="F804" s="33" t="n">
        <v>0</v>
      </c>
      <c r="G804" s="62"/>
      <c r="H804" s="35" t="n">
        <v>0</v>
      </c>
      <c r="I804" s="34" t="n">
        <f aca="false">+IF(E804=0,0,E804*0.03)</f>
        <v>0</v>
      </c>
    </row>
    <row r="805" customFormat="false" ht="15.75" hidden="false" customHeight="true" outlineLevel="0" collapsed="false">
      <c r="A805" s="30" t="n">
        <v>45323</v>
      </c>
      <c r="B805" s="31" t="s">
        <v>11</v>
      </c>
      <c r="C805" s="32"/>
      <c r="D805" s="32"/>
      <c r="E805" s="19" t="n">
        <f aca="false">+IF(C805="EQUIPO",F805,0)</f>
        <v>0</v>
      </c>
      <c r="F805" s="33" t="n">
        <v>0</v>
      </c>
      <c r="G805" s="62"/>
      <c r="H805" s="35" t="n">
        <v>0</v>
      </c>
      <c r="I805" s="34" t="n">
        <f aca="false">+IF(E805=0,0,E805*0.03)</f>
        <v>0</v>
      </c>
    </row>
    <row r="806" customFormat="false" ht="15.75" hidden="false" customHeight="true" outlineLevel="0" collapsed="false">
      <c r="A806" s="30" t="n">
        <v>45323</v>
      </c>
      <c r="B806" s="31" t="s">
        <v>11</v>
      </c>
      <c r="C806" s="32"/>
      <c r="D806" s="32"/>
      <c r="E806" s="19" t="n">
        <f aca="false">+IF(C806="EQUIPO",F806,0)</f>
        <v>0</v>
      </c>
      <c r="F806" s="33" t="n">
        <v>0</v>
      </c>
      <c r="G806" s="62"/>
      <c r="H806" s="35" t="n">
        <v>0</v>
      </c>
      <c r="I806" s="34" t="n">
        <f aca="false">+IF(E806=0,0,E806*0.03)</f>
        <v>0</v>
      </c>
    </row>
    <row r="807" customFormat="false" ht="15.75" hidden="false" customHeight="true" outlineLevel="0" collapsed="false">
      <c r="A807" s="30" t="n">
        <v>45323</v>
      </c>
      <c r="B807" s="31" t="s">
        <v>11</v>
      </c>
      <c r="C807" s="32"/>
      <c r="D807" s="32"/>
      <c r="E807" s="19" t="n">
        <f aca="false">+IF(C807="EQUIPO",F807,0)</f>
        <v>0</v>
      </c>
      <c r="F807" s="33" t="n">
        <v>0</v>
      </c>
      <c r="G807" s="62"/>
      <c r="H807" s="35" t="n">
        <v>0</v>
      </c>
      <c r="I807" s="34" t="n">
        <f aca="false">+IF(E807=0,0,E807*0.03)</f>
        <v>0</v>
      </c>
    </row>
    <row r="808" customFormat="false" ht="15.75" hidden="false" customHeight="true" outlineLevel="0" collapsed="false">
      <c r="A808" s="30" t="n">
        <v>45323</v>
      </c>
      <c r="B808" s="31" t="s">
        <v>11</v>
      </c>
      <c r="C808" s="32"/>
      <c r="D808" s="32"/>
      <c r="E808" s="19" t="n">
        <f aca="false">+IF(C808="EQUIPO",F808,0)</f>
        <v>0</v>
      </c>
      <c r="F808" s="33" t="n">
        <v>0</v>
      </c>
      <c r="G808" s="62"/>
      <c r="H808" s="35" t="n">
        <v>0</v>
      </c>
      <c r="I808" s="34" t="n">
        <f aca="false">+IF(E808=0,0,E808*0.03)</f>
        <v>0</v>
      </c>
    </row>
    <row r="809" customFormat="false" ht="15.75" hidden="false" customHeight="true" outlineLevel="0" collapsed="false">
      <c r="A809" s="30" t="n">
        <v>45323</v>
      </c>
      <c r="B809" s="31" t="s">
        <v>11</v>
      </c>
      <c r="C809" s="32"/>
      <c r="D809" s="32"/>
      <c r="E809" s="19" t="n">
        <f aca="false">+IF(C809="EQUIPO",F809,0)</f>
        <v>0</v>
      </c>
      <c r="F809" s="33" t="n">
        <v>0</v>
      </c>
      <c r="G809" s="62"/>
      <c r="H809" s="35" t="n">
        <v>0</v>
      </c>
      <c r="I809" s="34" t="n">
        <f aca="false">+IF(E809=0,0,E809*0.03)</f>
        <v>0</v>
      </c>
    </row>
    <row r="810" customFormat="false" ht="15.75" hidden="false" customHeight="true" outlineLevel="0" collapsed="false">
      <c r="A810" s="30" t="n">
        <v>45323</v>
      </c>
      <c r="B810" s="31" t="s">
        <v>11</v>
      </c>
      <c r="C810" s="32"/>
      <c r="D810" s="32"/>
      <c r="E810" s="19" t="n">
        <f aca="false">+IF(C810="EQUIPO",F810,0)</f>
        <v>0</v>
      </c>
      <c r="F810" s="33" t="n">
        <v>0</v>
      </c>
      <c r="G810" s="62"/>
      <c r="H810" s="35" t="n">
        <v>0</v>
      </c>
      <c r="I810" s="34" t="n">
        <f aca="false">+IF(E810=0,0,E810*0.03)</f>
        <v>0</v>
      </c>
    </row>
    <row r="811" customFormat="false" ht="15.75" hidden="false" customHeight="true" outlineLevel="0" collapsed="false">
      <c r="A811" s="30" t="n">
        <v>45323</v>
      </c>
      <c r="B811" s="31" t="s">
        <v>11</v>
      </c>
      <c r="C811" s="32"/>
      <c r="D811" s="32"/>
      <c r="E811" s="19" t="n">
        <f aca="false">+IF(C811="EQUIPO",F811,0)</f>
        <v>0</v>
      </c>
      <c r="F811" s="33" t="n">
        <v>0</v>
      </c>
      <c r="G811" s="62"/>
      <c r="H811" s="35" t="n">
        <v>0</v>
      </c>
      <c r="I811" s="34" t="n">
        <f aca="false">+IF(E811=0,0,E811*0.03)</f>
        <v>0</v>
      </c>
    </row>
    <row r="812" customFormat="false" ht="15.75" hidden="false" customHeight="true" outlineLevel="0" collapsed="false">
      <c r="A812" s="30" t="n">
        <v>45323</v>
      </c>
      <c r="B812" s="31" t="s">
        <v>11</v>
      </c>
      <c r="C812" s="32"/>
      <c r="D812" s="32"/>
      <c r="E812" s="19" t="n">
        <f aca="false">+IF(C812="EQUIPO",F812,0)</f>
        <v>0</v>
      </c>
      <c r="F812" s="33" t="n">
        <v>0</v>
      </c>
      <c r="G812" s="62"/>
      <c r="H812" s="35" t="n">
        <v>0</v>
      </c>
      <c r="I812" s="34" t="n">
        <f aca="false">+IF(E812=0,0,E812*0.03)</f>
        <v>0</v>
      </c>
    </row>
    <row r="813" customFormat="false" ht="15.75" hidden="false" customHeight="true" outlineLevel="0" collapsed="false">
      <c r="A813" s="30" t="n">
        <v>45323</v>
      </c>
      <c r="B813" s="31" t="s">
        <v>11</v>
      </c>
      <c r="C813" s="32"/>
      <c r="D813" s="32"/>
      <c r="E813" s="19" t="n">
        <f aca="false">+IF(C813="EQUIPO",F813,0)</f>
        <v>0</v>
      </c>
      <c r="F813" s="33" t="n">
        <v>0</v>
      </c>
      <c r="G813" s="62"/>
      <c r="H813" s="35" t="n">
        <v>0</v>
      </c>
      <c r="I813" s="34" t="n">
        <f aca="false">+IF(E813=0,0,E813*0.03)</f>
        <v>0</v>
      </c>
    </row>
    <row r="814" customFormat="false" ht="15.75" hidden="false" customHeight="true" outlineLevel="0" collapsed="false">
      <c r="A814" s="30" t="n">
        <v>45323</v>
      </c>
      <c r="B814" s="31" t="s">
        <v>11</v>
      </c>
      <c r="C814" s="32"/>
      <c r="D814" s="32"/>
      <c r="E814" s="19" t="n">
        <f aca="false">+IF(C814="EQUIPO",F814,0)</f>
        <v>0</v>
      </c>
      <c r="F814" s="33" t="n">
        <v>0</v>
      </c>
      <c r="G814" s="62"/>
      <c r="H814" s="35" t="n">
        <v>0</v>
      </c>
      <c r="I814" s="34" t="n">
        <f aca="false">+IF(E814=0,0,E814*0.03)</f>
        <v>0</v>
      </c>
    </row>
    <row r="815" customFormat="false" ht="15.75" hidden="false" customHeight="true" outlineLevel="0" collapsed="false">
      <c r="A815" s="30" t="n">
        <v>45323</v>
      </c>
      <c r="B815" s="31" t="s">
        <v>11</v>
      </c>
      <c r="C815" s="32"/>
      <c r="D815" s="32"/>
      <c r="E815" s="19" t="n">
        <f aca="false">+IF(C815="EQUIPO",F815,0)</f>
        <v>0</v>
      </c>
      <c r="F815" s="33" t="n">
        <v>0</v>
      </c>
      <c r="G815" s="62"/>
      <c r="H815" s="35" t="n">
        <v>0</v>
      </c>
      <c r="I815" s="34" t="n">
        <f aca="false">+IF(E815=0,0,E815*0.03)</f>
        <v>0</v>
      </c>
    </row>
    <row r="816" customFormat="false" ht="15.75" hidden="false" customHeight="true" outlineLevel="0" collapsed="false">
      <c r="A816" s="30" t="n">
        <v>45323</v>
      </c>
      <c r="B816" s="31" t="s">
        <v>11</v>
      </c>
      <c r="C816" s="32"/>
      <c r="D816" s="32"/>
      <c r="E816" s="19" t="n">
        <f aca="false">+IF(C816="EQUIPO",F816,0)</f>
        <v>0</v>
      </c>
      <c r="F816" s="33" t="n">
        <v>0</v>
      </c>
      <c r="G816" s="62"/>
      <c r="H816" s="35" t="n">
        <v>0</v>
      </c>
      <c r="I816" s="34" t="n">
        <f aca="false">+IF(E816=0,0,E816*0.03)</f>
        <v>0</v>
      </c>
    </row>
    <row r="817" customFormat="false" ht="15.75" hidden="false" customHeight="true" outlineLevel="0" collapsed="false">
      <c r="A817" s="30" t="n">
        <v>45323</v>
      </c>
      <c r="B817" s="31" t="s">
        <v>11</v>
      </c>
      <c r="C817" s="32"/>
      <c r="D817" s="32"/>
      <c r="E817" s="19" t="n">
        <f aca="false">+IF(C817="EQUIPO",F817,0)</f>
        <v>0</v>
      </c>
      <c r="F817" s="33" t="n">
        <v>0</v>
      </c>
      <c r="G817" s="62"/>
      <c r="H817" s="35" t="n">
        <v>0</v>
      </c>
      <c r="I817" s="34" t="n">
        <f aca="false">+IF(E817=0,0,E817*0.03)</f>
        <v>0</v>
      </c>
    </row>
    <row r="818" customFormat="false" ht="15.75" hidden="false" customHeight="true" outlineLevel="0" collapsed="false">
      <c r="A818" s="30" t="n">
        <v>45323</v>
      </c>
      <c r="B818" s="31" t="s">
        <v>11</v>
      </c>
      <c r="C818" s="32"/>
      <c r="D818" s="32"/>
      <c r="E818" s="19" t="n">
        <f aca="false">+IF(C818="EQUIPO",F818,0)</f>
        <v>0</v>
      </c>
      <c r="F818" s="33" t="n">
        <v>0</v>
      </c>
      <c r="G818" s="62"/>
      <c r="H818" s="35" t="n">
        <v>0</v>
      </c>
      <c r="I818" s="34" t="n">
        <f aca="false">+IF(E818=0,0,E818*0.03)</f>
        <v>0</v>
      </c>
    </row>
    <row r="819" customFormat="false" ht="15.75" hidden="false" customHeight="true" outlineLevel="0" collapsed="false">
      <c r="A819" s="30" t="n">
        <v>45323</v>
      </c>
      <c r="B819" s="31" t="s">
        <v>11</v>
      </c>
      <c r="C819" s="32"/>
      <c r="D819" s="32"/>
      <c r="E819" s="19" t="n">
        <f aca="false">+IF(C819="EQUIPO",F819,0)</f>
        <v>0</v>
      </c>
      <c r="F819" s="33" t="n">
        <v>0</v>
      </c>
      <c r="G819" s="62"/>
      <c r="H819" s="35" t="n">
        <v>0</v>
      </c>
      <c r="I819" s="34" t="n">
        <f aca="false">+IF(E819=0,0,E819*0.03)</f>
        <v>0</v>
      </c>
    </row>
    <row r="820" customFormat="false" ht="15.75" hidden="false" customHeight="true" outlineLevel="0" collapsed="false">
      <c r="A820" s="30" t="n">
        <v>45323</v>
      </c>
      <c r="B820" s="31" t="s">
        <v>11</v>
      </c>
      <c r="C820" s="32"/>
      <c r="D820" s="32"/>
      <c r="E820" s="19" t="n">
        <f aca="false">+IF(C820="EQUIPO",F820,0)</f>
        <v>0</v>
      </c>
      <c r="F820" s="33" t="n">
        <v>0</v>
      </c>
      <c r="G820" s="62"/>
      <c r="H820" s="35" t="n">
        <v>0</v>
      </c>
      <c r="I820" s="34" t="n">
        <f aca="false">+IF(E820=0,0,E820*0.03)</f>
        <v>0</v>
      </c>
    </row>
    <row r="821" customFormat="false" ht="15.75" hidden="false" customHeight="true" outlineLevel="0" collapsed="false">
      <c r="A821" s="30" t="n">
        <v>45323</v>
      </c>
      <c r="B821" s="31" t="s">
        <v>11</v>
      </c>
      <c r="C821" s="32"/>
      <c r="D821" s="32"/>
      <c r="E821" s="19" t="n">
        <f aca="false">+IF(C821="EQUIPO",F821,0)</f>
        <v>0</v>
      </c>
      <c r="F821" s="33" t="n">
        <v>0</v>
      </c>
      <c r="G821" s="62"/>
      <c r="H821" s="35" t="n">
        <v>0</v>
      </c>
      <c r="I821" s="34" t="n">
        <f aca="false">+IF(E821=0,0,E821*0.03)</f>
        <v>0</v>
      </c>
    </row>
    <row r="822" customFormat="false" ht="15.75" hidden="false" customHeight="true" outlineLevel="0" collapsed="false">
      <c r="A822" s="30" t="n">
        <v>45323</v>
      </c>
      <c r="B822" s="31" t="s">
        <v>11</v>
      </c>
      <c r="C822" s="32"/>
      <c r="D822" s="32"/>
      <c r="E822" s="19" t="n">
        <f aca="false">+IF(C822="EQUIPO",F822,0)</f>
        <v>0</v>
      </c>
      <c r="F822" s="33" t="n">
        <v>0</v>
      </c>
      <c r="G822" s="62"/>
      <c r="H822" s="35" t="n">
        <v>0</v>
      </c>
      <c r="I822" s="34" t="n">
        <f aca="false">+IF(E822=0,0,E822*0.03)</f>
        <v>0</v>
      </c>
    </row>
    <row r="823" customFormat="false" ht="15.75" hidden="false" customHeight="true" outlineLevel="0" collapsed="false">
      <c r="A823" s="30" t="n">
        <v>45323</v>
      </c>
      <c r="B823" s="31" t="s">
        <v>11</v>
      </c>
      <c r="C823" s="32"/>
      <c r="D823" s="32"/>
      <c r="E823" s="19" t="n">
        <f aca="false">+IF(C823="EQUIPO",F823,0)</f>
        <v>0</v>
      </c>
      <c r="F823" s="33" t="n">
        <v>0</v>
      </c>
      <c r="G823" s="62"/>
      <c r="H823" s="35" t="n">
        <v>0</v>
      </c>
      <c r="I823" s="34" t="n">
        <f aca="false">+IF(E823=0,0,E823*0.03)</f>
        <v>0</v>
      </c>
    </row>
    <row r="824" customFormat="false" ht="15.75" hidden="false" customHeight="true" outlineLevel="0" collapsed="false">
      <c r="A824" s="30" t="n">
        <v>45323</v>
      </c>
      <c r="B824" s="31" t="s">
        <v>11</v>
      </c>
      <c r="C824" s="32"/>
      <c r="D824" s="32"/>
      <c r="E824" s="19" t="n">
        <f aca="false">+IF(C824="EQUIPO",F824,0)</f>
        <v>0</v>
      </c>
      <c r="F824" s="33" t="n">
        <v>0</v>
      </c>
      <c r="G824" s="62"/>
      <c r="H824" s="35" t="n">
        <v>0</v>
      </c>
      <c r="I824" s="34" t="n">
        <f aca="false">+IF(E824=0,0,E824*0.03)</f>
        <v>0</v>
      </c>
    </row>
    <row r="825" customFormat="false" ht="15.75" hidden="false" customHeight="true" outlineLevel="0" collapsed="false">
      <c r="A825" s="30" t="n">
        <v>45323</v>
      </c>
      <c r="B825" s="31" t="s">
        <v>11</v>
      </c>
      <c r="C825" s="32"/>
      <c r="D825" s="32"/>
      <c r="E825" s="19" t="n">
        <f aca="false">+IF(C825="EQUIPO",F825,0)</f>
        <v>0</v>
      </c>
      <c r="F825" s="33" t="n">
        <v>0</v>
      </c>
      <c r="G825" s="62"/>
      <c r="H825" s="35" t="n">
        <v>0</v>
      </c>
      <c r="I825" s="34" t="n">
        <f aca="false">+IF(E825=0,0,E825*0.03)</f>
        <v>0</v>
      </c>
    </row>
    <row r="826" customFormat="false" ht="15.75" hidden="false" customHeight="true" outlineLevel="0" collapsed="false">
      <c r="A826" s="30" t="n">
        <v>45323</v>
      </c>
      <c r="B826" s="31" t="s">
        <v>11</v>
      </c>
      <c r="C826" s="32"/>
      <c r="D826" s="32"/>
      <c r="E826" s="19" t="n">
        <f aca="false">+IF(C826="EQUIPO",F826,0)</f>
        <v>0</v>
      </c>
      <c r="F826" s="33" t="n">
        <v>0</v>
      </c>
      <c r="G826" s="62"/>
      <c r="H826" s="35" t="n">
        <v>0</v>
      </c>
      <c r="I826" s="34" t="n">
        <f aca="false">+IF(E826=0,0,E826*0.03)</f>
        <v>0</v>
      </c>
    </row>
    <row r="827" customFormat="false" ht="15.75" hidden="false" customHeight="true" outlineLevel="0" collapsed="false">
      <c r="A827" s="30" t="n">
        <v>45323</v>
      </c>
      <c r="B827" s="31" t="s">
        <v>11</v>
      </c>
      <c r="C827" s="32"/>
      <c r="D827" s="32"/>
      <c r="E827" s="19" t="n">
        <f aca="false">+IF(C827="EQUIPO",F827,0)</f>
        <v>0</v>
      </c>
      <c r="F827" s="33" t="n">
        <v>0</v>
      </c>
      <c r="G827" s="62"/>
      <c r="H827" s="35" t="n">
        <v>0</v>
      </c>
      <c r="I827" s="34" t="n">
        <f aca="false">+IF(E827=0,0,E827*0.03)</f>
        <v>0</v>
      </c>
    </row>
    <row r="828" customFormat="false" ht="15.75" hidden="false" customHeight="true" outlineLevel="0" collapsed="false">
      <c r="A828" s="30" t="n">
        <v>45323</v>
      </c>
      <c r="B828" s="31" t="s">
        <v>11</v>
      </c>
      <c r="C828" s="32"/>
      <c r="D828" s="32"/>
      <c r="E828" s="19" t="n">
        <f aca="false">+IF(C828="EQUIPO",F828,0)</f>
        <v>0</v>
      </c>
      <c r="F828" s="33" t="n">
        <v>0</v>
      </c>
      <c r="G828" s="62"/>
      <c r="H828" s="35" t="n">
        <v>0</v>
      </c>
      <c r="I828" s="34" t="n">
        <f aca="false">+IF(E828=0,0,E828*0.03)</f>
        <v>0</v>
      </c>
    </row>
    <row r="829" customFormat="false" ht="15.75" hidden="false" customHeight="true" outlineLevel="0" collapsed="false">
      <c r="A829" s="30" t="n">
        <v>45323</v>
      </c>
      <c r="B829" s="31" t="s">
        <v>11</v>
      </c>
      <c r="C829" s="32"/>
      <c r="D829" s="32"/>
      <c r="E829" s="19" t="n">
        <f aca="false">+IF(C829="EQUIPO",F829,0)</f>
        <v>0</v>
      </c>
      <c r="F829" s="33" t="n">
        <v>0</v>
      </c>
      <c r="G829" s="62"/>
      <c r="H829" s="35" t="n">
        <v>0</v>
      </c>
      <c r="I829" s="34" t="n">
        <f aca="false">+IF(E829=0,0,E829*0.03)</f>
        <v>0</v>
      </c>
    </row>
    <row r="830" customFormat="false" ht="15.75" hidden="false" customHeight="true" outlineLevel="0" collapsed="false">
      <c r="A830" s="30" t="n">
        <v>45323</v>
      </c>
      <c r="B830" s="31" t="s">
        <v>11</v>
      </c>
      <c r="C830" s="32"/>
      <c r="D830" s="32"/>
      <c r="E830" s="19" t="n">
        <f aca="false">+IF(C830="EQUIPO",F830,0)</f>
        <v>0</v>
      </c>
      <c r="F830" s="33" t="n">
        <v>0</v>
      </c>
      <c r="G830" s="62"/>
      <c r="H830" s="35" t="n">
        <v>0</v>
      </c>
      <c r="I830" s="34" t="n">
        <f aca="false">+IF(E830=0,0,E830*0.03)</f>
        <v>0</v>
      </c>
    </row>
    <row r="831" customFormat="false" ht="15.75" hidden="false" customHeight="true" outlineLevel="0" collapsed="false">
      <c r="A831" s="30" t="n">
        <v>45323</v>
      </c>
      <c r="B831" s="31" t="s">
        <v>11</v>
      </c>
      <c r="C831" s="32"/>
      <c r="D831" s="32"/>
      <c r="E831" s="19" t="n">
        <f aca="false">+IF(C831="EQUIPO",F831,0)</f>
        <v>0</v>
      </c>
      <c r="F831" s="33" t="n">
        <v>0</v>
      </c>
      <c r="G831" s="62"/>
      <c r="H831" s="35" t="n">
        <v>0</v>
      </c>
      <c r="I831" s="34" t="n">
        <f aca="false">+IF(E831=0,0,E831*0.03)</f>
        <v>0</v>
      </c>
    </row>
    <row r="832" customFormat="false" ht="15.75" hidden="false" customHeight="true" outlineLevel="0" collapsed="false">
      <c r="A832" s="30" t="n">
        <v>45323</v>
      </c>
      <c r="B832" s="31" t="s">
        <v>11</v>
      </c>
      <c r="C832" s="32"/>
      <c r="D832" s="32"/>
      <c r="E832" s="19" t="n">
        <f aca="false">+IF(C832="EQUIPO",F832,0)</f>
        <v>0</v>
      </c>
      <c r="F832" s="33" t="n">
        <v>0</v>
      </c>
      <c r="G832" s="62"/>
      <c r="H832" s="35" t="n">
        <v>0</v>
      </c>
      <c r="I832" s="34" t="n">
        <f aca="false">+IF(E832=0,0,E832*0.03)</f>
        <v>0</v>
      </c>
    </row>
    <row r="833" customFormat="false" ht="15.75" hidden="false" customHeight="true" outlineLevel="0" collapsed="false">
      <c r="A833" s="30" t="n">
        <v>45323</v>
      </c>
      <c r="B833" s="31" t="s">
        <v>11</v>
      </c>
      <c r="C833" s="32"/>
      <c r="D833" s="32"/>
      <c r="E833" s="19" t="n">
        <f aca="false">+IF(C833="EQUIPO",F833,0)</f>
        <v>0</v>
      </c>
      <c r="F833" s="33" t="n">
        <v>0</v>
      </c>
      <c r="G833" s="62"/>
      <c r="H833" s="35" t="n">
        <v>0</v>
      </c>
      <c r="I833" s="34" t="n">
        <f aca="false">+IF(E833=0,0,E833*0.03)</f>
        <v>0</v>
      </c>
    </row>
    <row r="834" customFormat="false" ht="15.75" hidden="false" customHeight="true" outlineLevel="0" collapsed="false">
      <c r="A834" s="30" t="n">
        <v>45323</v>
      </c>
      <c r="B834" s="31" t="s">
        <v>11</v>
      </c>
      <c r="C834" s="32"/>
      <c r="D834" s="32"/>
      <c r="E834" s="19" t="n">
        <f aca="false">+IF(C834="EQUIPO",F834,0)</f>
        <v>0</v>
      </c>
      <c r="F834" s="33" t="n">
        <v>0</v>
      </c>
      <c r="G834" s="62"/>
      <c r="H834" s="35" t="n">
        <v>0</v>
      </c>
      <c r="I834" s="34" t="n">
        <f aca="false">+IF(E834=0,0,E834*0.03)</f>
        <v>0</v>
      </c>
    </row>
    <row r="835" customFormat="false" ht="15.75" hidden="false" customHeight="true" outlineLevel="0" collapsed="false">
      <c r="A835" s="30" t="n">
        <v>45323</v>
      </c>
      <c r="B835" s="31" t="s">
        <v>11</v>
      </c>
      <c r="C835" s="32"/>
      <c r="D835" s="32"/>
      <c r="E835" s="19" t="n">
        <f aca="false">+IF(C835="EQUIPO",F835,0)</f>
        <v>0</v>
      </c>
      <c r="F835" s="33" t="n">
        <v>0</v>
      </c>
      <c r="G835" s="62"/>
      <c r="H835" s="35" t="n">
        <v>0</v>
      </c>
      <c r="I835" s="34" t="n">
        <f aca="false">+IF(E835=0,0,E835*0.03)</f>
        <v>0</v>
      </c>
    </row>
    <row r="836" customFormat="false" ht="15.75" hidden="false" customHeight="true" outlineLevel="0" collapsed="false">
      <c r="A836" s="30" t="n">
        <v>45323</v>
      </c>
      <c r="B836" s="31" t="s">
        <v>11</v>
      </c>
      <c r="C836" s="32"/>
      <c r="D836" s="32"/>
      <c r="E836" s="19" t="n">
        <f aca="false">+IF(C836="EQUIPO",F836,0)</f>
        <v>0</v>
      </c>
      <c r="F836" s="33" t="n">
        <v>0</v>
      </c>
      <c r="G836" s="62"/>
      <c r="H836" s="35" t="n">
        <v>0</v>
      </c>
      <c r="I836" s="34" t="n">
        <f aca="false">+IF(E836=0,0,E836*0.03)</f>
        <v>0</v>
      </c>
    </row>
    <row r="837" customFormat="false" ht="15.75" hidden="false" customHeight="true" outlineLevel="0" collapsed="false">
      <c r="A837" s="30" t="n">
        <v>45323</v>
      </c>
      <c r="B837" s="31" t="s">
        <v>11</v>
      </c>
      <c r="C837" s="32"/>
      <c r="D837" s="32"/>
      <c r="E837" s="19" t="n">
        <f aca="false">+IF(C837="EQUIPO",F837,0)</f>
        <v>0</v>
      </c>
      <c r="F837" s="33" t="n">
        <v>0</v>
      </c>
      <c r="G837" s="62"/>
      <c r="H837" s="35" t="n">
        <v>0</v>
      </c>
      <c r="I837" s="34" t="n">
        <f aca="false">+IF(E837=0,0,E837*0.03)</f>
        <v>0</v>
      </c>
    </row>
    <row r="838" customFormat="false" ht="15.75" hidden="false" customHeight="true" outlineLevel="0" collapsed="false">
      <c r="A838" s="30" t="n">
        <v>45323</v>
      </c>
      <c r="B838" s="31" t="s">
        <v>11</v>
      </c>
      <c r="C838" s="32"/>
      <c r="D838" s="32"/>
      <c r="E838" s="19" t="n">
        <f aca="false">+IF(C838="EQUIPO",F838,0)</f>
        <v>0</v>
      </c>
      <c r="F838" s="33" t="n">
        <v>0</v>
      </c>
      <c r="G838" s="62"/>
      <c r="H838" s="35" t="n">
        <v>0</v>
      </c>
      <c r="I838" s="34" t="n">
        <f aca="false">+IF(E838=0,0,E838*0.03)</f>
        <v>0</v>
      </c>
    </row>
    <row r="839" customFormat="false" ht="15.75" hidden="false" customHeight="true" outlineLevel="0" collapsed="false">
      <c r="A839" s="30" t="n">
        <v>45323</v>
      </c>
      <c r="B839" s="31" t="s">
        <v>11</v>
      </c>
      <c r="C839" s="32"/>
      <c r="D839" s="32"/>
      <c r="E839" s="19" t="n">
        <f aca="false">+IF(C839="EQUIPO",F839,0)</f>
        <v>0</v>
      </c>
      <c r="F839" s="33" t="n">
        <v>0</v>
      </c>
      <c r="G839" s="62"/>
      <c r="H839" s="35" t="n">
        <v>0</v>
      </c>
      <c r="I839" s="34" t="n">
        <f aca="false">+IF(E839=0,0,E839*0.03)</f>
        <v>0</v>
      </c>
    </row>
    <row r="840" customFormat="false" ht="15.75" hidden="false" customHeight="true" outlineLevel="0" collapsed="false">
      <c r="A840" s="30" t="n">
        <v>45323</v>
      </c>
      <c r="B840" s="31" t="s">
        <v>11</v>
      </c>
      <c r="C840" s="32"/>
      <c r="D840" s="32"/>
      <c r="E840" s="19" t="n">
        <f aca="false">+IF(C840="EQUIPO",F840,0)</f>
        <v>0</v>
      </c>
      <c r="F840" s="33" t="n">
        <v>0</v>
      </c>
      <c r="G840" s="62"/>
      <c r="H840" s="35" t="n">
        <v>0</v>
      </c>
      <c r="I840" s="34" t="n">
        <f aca="false">+IF(E840=0,0,E840*0.03)</f>
        <v>0</v>
      </c>
    </row>
    <row r="841" customFormat="false" ht="15.75" hidden="false" customHeight="true" outlineLevel="0" collapsed="false">
      <c r="A841" s="30" t="n">
        <v>45323</v>
      </c>
      <c r="B841" s="31" t="s">
        <v>11</v>
      </c>
      <c r="C841" s="32"/>
      <c r="D841" s="32"/>
      <c r="E841" s="19" t="n">
        <f aca="false">+IF(C841="EQUIPO",F841,0)</f>
        <v>0</v>
      </c>
      <c r="F841" s="33" t="n">
        <v>0</v>
      </c>
      <c r="G841" s="62"/>
      <c r="H841" s="35" t="n">
        <v>0</v>
      </c>
      <c r="I841" s="34" t="n">
        <f aca="false">+IF(E841=0,0,E841*0.03)</f>
        <v>0</v>
      </c>
    </row>
    <row r="842" customFormat="false" ht="15.75" hidden="false" customHeight="true" outlineLevel="0" collapsed="false">
      <c r="A842" s="30" t="n">
        <v>45323</v>
      </c>
      <c r="B842" s="31" t="s">
        <v>11</v>
      </c>
      <c r="C842" s="32"/>
      <c r="D842" s="32"/>
      <c r="E842" s="19" t="n">
        <f aca="false">+IF(C842="EQUIPO",F842,0)</f>
        <v>0</v>
      </c>
      <c r="F842" s="33" t="n">
        <v>0</v>
      </c>
      <c r="G842" s="62"/>
      <c r="H842" s="35" t="n">
        <v>0</v>
      </c>
      <c r="I842" s="34" t="n">
        <f aca="false">+IF(E842=0,0,E842*0.03)</f>
        <v>0</v>
      </c>
    </row>
    <row r="843" customFormat="false" ht="15.75" hidden="false" customHeight="true" outlineLevel="0" collapsed="false">
      <c r="A843" s="30" t="n">
        <v>45323</v>
      </c>
      <c r="B843" s="31" t="s">
        <v>11</v>
      </c>
      <c r="C843" s="32"/>
      <c r="D843" s="32"/>
      <c r="E843" s="19" t="n">
        <f aca="false">+IF(C843="EQUIPO",F843,0)</f>
        <v>0</v>
      </c>
      <c r="F843" s="33" t="n">
        <v>0</v>
      </c>
      <c r="G843" s="62"/>
      <c r="H843" s="35" t="n">
        <v>0</v>
      </c>
      <c r="I843" s="34" t="n">
        <f aca="false">+IF(E843=0,0,E843*0.03)</f>
        <v>0</v>
      </c>
    </row>
    <row r="844" customFormat="false" ht="15.75" hidden="false" customHeight="true" outlineLevel="0" collapsed="false">
      <c r="A844" s="30" t="n">
        <v>45323</v>
      </c>
      <c r="B844" s="31" t="s">
        <v>11</v>
      </c>
      <c r="C844" s="32"/>
      <c r="D844" s="32"/>
      <c r="E844" s="19" t="n">
        <f aca="false">+IF(C844="EQUIPO",F844,0)</f>
        <v>0</v>
      </c>
      <c r="F844" s="33" t="n">
        <v>0</v>
      </c>
      <c r="G844" s="62"/>
      <c r="H844" s="35" t="n">
        <v>0</v>
      </c>
      <c r="I844" s="34" t="n">
        <f aca="false">+IF(E844=0,0,E844*0.03)</f>
        <v>0</v>
      </c>
    </row>
    <row r="845" customFormat="false" ht="15.75" hidden="false" customHeight="true" outlineLevel="0" collapsed="false">
      <c r="A845" s="30" t="n">
        <v>45323</v>
      </c>
      <c r="B845" s="31" t="s">
        <v>11</v>
      </c>
      <c r="C845" s="32"/>
      <c r="D845" s="32"/>
      <c r="E845" s="19" t="n">
        <f aca="false">+IF(C845="EQUIPO",F845,0)</f>
        <v>0</v>
      </c>
      <c r="F845" s="33" t="n">
        <v>0</v>
      </c>
      <c r="G845" s="62"/>
      <c r="H845" s="35" t="n">
        <v>0</v>
      </c>
      <c r="I845" s="34" t="n">
        <f aca="false">+IF(E845=0,0,E845*0.03)</f>
        <v>0</v>
      </c>
    </row>
    <row r="846" customFormat="false" ht="15.75" hidden="false" customHeight="true" outlineLevel="0" collapsed="false">
      <c r="A846" s="30" t="n">
        <v>45323</v>
      </c>
      <c r="B846" s="31" t="s">
        <v>11</v>
      </c>
      <c r="C846" s="32"/>
      <c r="D846" s="32"/>
      <c r="E846" s="19" t="n">
        <f aca="false">+IF(C846="EQUIPO",F846,0)</f>
        <v>0</v>
      </c>
      <c r="F846" s="33" t="n">
        <v>0</v>
      </c>
      <c r="G846" s="62"/>
      <c r="H846" s="35" t="n">
        <v>0</v>
      </c>
      <c r="I846" s="34" t="n">
        <f aca="false">+IF(E846=0,0,E846*0.03)</f>
        <v>0</v>
      </c>
    </row>
    <row r="847" customFormat="false" ht="15.75" hidden="false" customHeight="true" outlineLevel="0" collapsed="false">
      <c r="A847" s="30" t="n">
        <v>45323</v>
      </c>
      <c r="B847" s="31" t="s">
        <v>11</v>
      </c>
      <c r="C847" s="32"/>
      <c r="D847" s="32"/>
      <c r="E847" s="19" t="n">
        <f aca="false">+IF(C847="EQUIPO",F847,0)</f>
        <v>0</v>
      </c>
      <c r="F847" s="33" t="n">
        <v>0</v>
      </c>
      <c r="G847" s="62"/>
      <c r="H847" s="35" t="n">
        <v>0</v>
      </c>
      <c r="I847" s="34" t="n">
        <f aca="false">+IF(E847=0,0,E847*0.03)</f>
        <v>0</v>
      </c>
    </row>
    <row r="848" customFormat="false" ht="15.75" hidden="false" customHeight="true" outlineLevel="0" collapsed="false">
      <c r="A848" s="30" t="n">
        <v>45323</v>
      </c>
      <c r="B848" s="31" t="s">
        <v>11</v>
      </c>
      <c r="C848" s="32"/>
      <c r="D848" s="32"/>
      <c r="E848" s="19" t="n">
        <f aca="false">+IF(C848="EQUIPO",F848,0)</f>
        <v>0</v>
      </c>
      <c r="F848" s="33" t="n">
        <v>0</v>
      </c>
      <c r="G848" s="62"/>
      <c r="H848" s="35" t="n">
        <v>0</v>
      </c>
      <c r="I848" s="34" t="n">
        <f aca="false">+IF(E848=0,0,E848*0.03)</f>
        <v>0</v>
      </c>
    </row>
    <row r="849" customFormat="false" ht="15.75" hidden="false" customHeight="true" outlineLevel="0" collapsed="false">
      <c r="A849" s="30" t="n">
        <v>45323</v>
      </c>
      <c r="B849" s="31" t="s">
        <v>11</v>
      </c>
      <c r="C849" s="32"/>
      <c r="D849" s="32"/>
      <c r="E849" s="19" t="n">
        <f aca="false">+IF(C849="EQUIPO",F849,0)</f>
        <v>0</v>
      </c>
      <c r="F849" s="33" t="n">
        <v>0</v>
      </c>
      <c r="G849" s="62"/>
      <c r="H849" s="35" t="n">
        <v>0</v>
      </c>
      <c r="I849" s="34" t="n">
        <f aca="false">+IF(E849=0,0,E849*0.03)</f>
        <v>0</v>
      </c>
    </row>
    <row r="850" customFormat="false" ht="15.75" hidden="false" customHeight="true" outlineLevel="0" collapsed="false">
      <c r="A850" s="30" t="n">
        <v>45323</v>
      </c>
      <c r="B850" s="31" t="s">
        <v>11</v>
      </c>
      <c r="C850" s="32"/>
      <c r="D850" s="32"/>
      <c r="E850" s="19" t="n">
        <f aca="false">+IF(C850="EQUIPO",F850,0)</f>
        <v>0</v>
      </c>
      <c r="F850" s="33" t="n">
        <v>0</v>
      </c>
      <c r="G850" s="62"/>
      <c r="H850" s="35" t="n">
        <v>0</v>
      </c>
      <c r="I850" s="34" t="n">
        <f aca="false">+IF(E850=0,0,E850*0.03)</f>
        <v>0</v>
      </c>
    </row>
    <row r="851" customFormat="false" ht="15.75" hidden="false" customHeight="true" outlineLevel="0" collapsed="false">
      <c r="A851" s="30" t="n">
        <v>45323</v>
      </c>
      <c r="B851" s="31" t="s">
        <v>11</v>
      </c>
      <c r="C851" s="32"/>
      <c r="D851" s="32"/>
      <c r="E851" s="19" t="n">
        <f aca="false">+IF(C851="EQUIPO",F851,0)</f>
        <v>0</v>
      </c>
      <c r="F851" s="33" t="n">
        <v>0</v>
      </c>
      <c r="G851" s="62"/>
      <c r="H851" s="35" t="n">
        <v>0</v>
      </c>
      <c r="I851" s="34" t="n">
        <f aca="false">+IF(E851=0,0,E851*0.03)</f>
        <v>0</v>
      </c>
    </row>
    <row r="852" customFormat="false" ht="15.75" hidden="false" customHeight="true" outlineLevel="0" collapsed="false">
      <c r="A852" s="30" t="n">
        <v>45323</v>
      </c>
      <c r="B852" s="31" t="s">
        <v>11</v>
      </c>
      <c r="C852" s="32"/>
      <c r="D852" s="32"/>
      <c r="E852" s="19" t="n">
        <f aca="false">+IF(C852="EQUIPO",F852,0)</f>
        <v>0</v>
      </c>
      <c r="F852" s="33" t="n">
        <v>0</v>
      </c>
      <c r="G852" s="62"/>
      <c r="H852" s="35" t="n">
        <v>0</v>
      </c>
      <c r="I852" s="34" t="n">
        <f aca="false">+IF(E852=0,0,E852*0.03)</f>
        <v>0</v>
      </c>
    </row>
    <row r="853" customFormat="false" ht="15.75" hidden="false" customHeight="true" outlineLevel="0" collapsed="false">
      <c r="A853" s="30" t="n">
        <v>45323</v>
      </c>
      <c r="B853" s="31" t="s">
        <v>11</v>
      </c>
      <c r="C853" s="32"/>
      <c r="D853" s="32"/>
      <c r="E853" s="19" t="n">
        <f aca="false">+IF(C853="EQUIPO",F853,0)</f>
        <v>0</v>
      </c>
      <c r="F853" s="33" t="n">
        <v>0</v>
      </c>
      <c r="G853" s="62"/>
      <c r="H853" s="35" t="n">
        <v>0</v>
      </c>
      <c r="I853" s="34" t="n">
        <f aca="false">+IF(E853=0,0,E853*0.03)</f>
        <v>0</v>
      </c>
    </row>
    <row r="854" customFormat="false" ht="15.75" hidden="false" customHeight="true" outlineLevel="0" collapsed="false">
      <c r="A854" s="30" t="n">
        <v>45323</v>
      </c>
      <c r="B854" s="31" t="s">
        <v>11</v>
      </c>
      <c r="C854" s="32"/>
      <c r="D854" s="32"/>
      <c r="E854" s="19" t="n">
        <f aca="false">+IF(C854="EQUIPO",F854,0)</f>
        <v>0</v>
      </c>
      <c r="F854" s="33" t="n">
        <v>0</v>
      </c>
      <c r="G854" s="62"/>
      <c r="H854" s="35" t="n">
        <v>0</v>
      </c>
      <c r="I854" s="34" t="n">
        <f aca="false">+IF(E854=0,0,E854*0.03)</f>
        <v>0</v>
      </c>
    </row>
    <row r="855" customFormat="false" ht="15.75" hidden="false" customHeight="true" outlineLevel="0" collapsed="false">
      <c r="A855" s="30" t="n">
        <v>45323</v>
      </c>
      <c r="B855" s="31" t="s">
        <v>11</v>
      </c>
      <c r="C855" s="32"/>
      <c r="D855" s="32"/>
      <c r="E855" s="19" t="n">
        <f aca="false">+IF(C855="EQUIPO",F855,0)</f>
        <v>0</v>
      </c>
      <c r="F855" s="33" t="n">
        <v>0</v>
      </c>
      <c r="G855" s="62"/>
      <c r="H855" s="35" t="n">
        <v>0</v>
      </c>
      <c r="I855" s="34" t="n">
        <f aca="false">+IF(E855=0,0,E855*0.03)</f>
        <v>0</v>
      </c>
    </row>
    <row r="856" customFormat="false" ht="15.75" hidden="false" customHeight="true" outlineLevel="0" collapsed="false">
      <c r="A856" s="30" t="n">
        <v>45323</v>
      </c>
      <c r="B856" s="31" t="s">
        <v>11</v>
      </c>
      <c r="C856" s="32"/>
      <c r="D856" s="32"/>
      <c r="E856" s="19" t="n">
        <f aca="false">+IF(C856="EQUIPO",F856,0)</f>
        <v>0</v>
      </c>
      <c r="F856" s="33" t="n">
        <v>0</v>
      </c>
      <c r="G856" s="62"/>
      <c r="H856" s="35" t="n">
        <v>0</v>
      </c>
      <c r="I856" s="34" t="n">
        <f aca="false">+IF(E856=0,0,E856*0.03)</f>
        <v>0</v>
      </c>
    </row>
    <row r="857" customFormat="false" ht="15.75" hidden="false" customHeight="true" outlineLevel="0" collapsed="false">
      <c r="A857" s="30" t="n">
        <v>45323</v>
      </c>
      <c r="B857" s="31" t="s">
        <v>11</v>
      </c>
      <c r="C857" s="32"/>
      <c r="D857" s="32"/>
      <c r="E857" s="19" t="n">
        <f aca="false">+IF(C857="EQUIPO",F857,0)</f>
        <v>0</v>
      </c>
      <c r="F857" s="33" t="n">
        <v>0</v>
      </c>
      <c r="G857" s="62"/>
      <c r="H857" s="35" t="n">
        <v>0</v>
      </c>
      <c r="I857" s="34" t="n">
        <f aca="false">+IF(E857=0,0,E857*0.03)</f>
        <v>0</v>
      </c>
    </row>
    <row r="858" customFormat="false" ht="15.75" hidden="false" customHeight="true" outlineLevel="0" collapsed="false">
      <c r="A858" s="30" t="n">
        <v>45323</v>
      </c>
      <c r="B858" s="31" t="s">
        <v>11</v>
      </c>
      <c r="C858" s="32"/>
      <c r="D858" s="32"/>
      <c r="E858" s="19" t="n">
        <f aca="false">+IF(C858="EQUIPO",F858,0)</f>
        <v>0</v>
      </c>
      <c r="F858" s="33" t="n">
        <v>0</v>
      </c>
      <c r="G858" s="62"/>
      <c r="H858" s="35" t="n">
        <v>0</v>
      </c>
      <c r="I858" s="34" t="n">
        <f aca="false">+IF(E858=0,0,E858*0.03)</f>
        <v>0</v>
      </c>
    </row>
    <row r="859" customFormat="false" ht="15.75" hidden="false" customHeight="true" outlineLevel="0" collapsed="false">
      <c r="A859" s="30" t="n">
        <v>45323</v>
      </c>
      <c r="B859" s="31" t="s">
        <v>11</v>
      </c>
      <c r="C859" s="32"/>
      <c r="D859" s="32"/>
      <c r="E859" s="19" t="n">
        <f aca="false">+IF(C859="EQUIPO",F859,0)</f>
        <v>0</v>
      </c>
      <c r="F859" s="33" t="n">
        <v>0</v>
      </c>
      <c r="G859" s="62"/>
      <c r="H859" s="35" t="n">
        <v>0</v>
      </c>
      <c r="I859" s="34" t="n">
        <f aca="false">+IF(E859=0,0,E859*0.03)</f>
        <v>0</v>
      </c>
    </row>
    <row r="860" customFormat="false" ht="15.75" hidden="false" customHeight="true" outlineLevel="0" collapsed="false">
      <c r="A860" s="30" t="n">
        <v>45323</v>
      </c>
      <c r="B860" s="31" t="s">
        <v>11</v>
      </c>
      <c r="C860" s="32"/>
      <c r="D860" s="32"/>
      <c r="E860" s="19" t="n">
        <f aca="false">+IF(C860="EQUIPO",F860,0)</f>
        <v>0</v>
      </c>
      <c r="F860" s="33" t="n">
        <v>0</v>
      </c>
      <c r="G860" s="62"/>
      <c r="H860" s="35" t="n">
        <v>0</v>
      </c>
      <c r="I860" s="34" t="n">
        <f aca="false">+IF(E860=0,0,E860*0.03)</f>
        <v>0</v>
      </c>
    </row>
    <row r="861" customFormat="false" ht="15.75" hidden="false" customHeight="true" outlineLevel="0" collapsed="false">
      <c r="A861" s="30" t="n">
        <v>45323</v>
      </c>
      <c r="B861" s="31" t="s">
        <v>11</v>
      </c>
      <c r="C861" s="32"/>
      <c r="D861" s="32"/>
      <c r="E861" s="19" t="n">
        <f aca="false">+IF(C861="EQUIPO",F861,0)</f>
        <v>0</v>
      </c>
      <c r="F861" s="33" t="n">
        <v>0</v>
      </c>
      <c r="G861" s="62"/>
      <c r="H861" s="35" t="n">
        <v>0</v>
      </c>
      <c r="I861" s="34" t="n">
        <f aca="false">+IF(E861=0,0,E861*0.03)</f>
        <v>0</v>
      </c>
    </row>
    <row r="862" customFormat="false" ht="15.75" hidden="false" customHeight="true" outlineLevel="0" collapsed="false">
      <c r="A862" s="30" t="n">
        <v>45323</v>
      </c>
      <c r="B862" s="31" t="s">
        <v>11</v>
      </c>
      <c r="C862" s="32"/>
      <c r="D862" s="32"/>
      <c r="E862" s="19" t="n">
        <f aca="false">+IF(C862="EQUIPO",F862,0)</f>
        <v>0</v>
      </c>
      <c r="F862" s="33" t="n">
        <v>0</v>
      </c>
      <c r="G862" s="62"/>
      <c r="H862" s="35" t="n">
        <v>0</v>
      </c>
      <c r="I862" s="34" t="n">
        <f aca="false">+IF(E862=0,0,E862*0.03)</f>
        <v>0</v>
      </c>
    </row>
    <row r="863" customFormat="false" ht="15.75" hidden="false" customHeight="true" outlineLevel="0" collapsed="false">
      <c r="A863" s="30" t="n">
        <v>45323</v>
      </c>
      <c r="B863" s="31" t="s">
        <v>11</v>
      </c>
      <c r="C863" s="32"/>
      <c r="D863" s="32"/>
      <c r="E863" s="19" t="n">
        <f aca="false">+IF(C863="EQUIPO",F863,0)</f>
        <v>0</v>
      </c>
      <c r="F863" s="33" t="n">
        <v>0</v>
      </c>
      <c r="G863" s="62"/>
      <c r="H863" s="35" t="n">
        <v>0</v>
      </c>
      <c r="I863" s="34" t="n">
        <f aca="false">+IF(E863=0,0,E863*0.03)</f>
        <v>0</v>
      </c>
    </row>
    <row r="864" customFormat="false" ht="15.75" hidden="false" customHeight="true" outlineLevel="0" collapsed="false">
      <c r="A864" s="30" t="n">
        <v>45323</v>
      </c>
      <c r="B864" s="31" t="s">
        <v>11</v>
      </c>
      <c r="C864" s="32"/>
      <c r="D864" s="32"/>
      <c r="E864" s="19" t="n">
        <f aca="false">+IF(C864="EQUIPO",F864,0)</f>
        <v>0</v>
      </c>
      <c r="F864" s="33" t="n">
        <v>0</v>
      </c>
      <c r="G864" s="62"/>
      <c r="H864" s="35" t="n">
        <v>0</v>
      </c>
      <c r="I864" s="34" t="n">
        <f aca="false">+IF(E864=0,0,E864*0.03)</f>
        <v>0</v>
      </c>
    </row>
    <row r="865" customFormat="false" ht="15.75" hidden="false" customHeight="true" outlineLevel="0" collapsed="false">
      <c r="A865" s="30" t="n">
        <v>45323</v>
      </c>
      <c r="B865" s="31" t="s">
        <v>11</v>
      </c>
      <c r="C865" s="32"/>
      <c r="D865" s="32"/>
      <c r="E865" s="19" t="n">
        <f aca="false">+IF(C865="EQUIPO",F865,0)</f>
        <v>0</v>
      </c>
      <c r="F865" s="33" t="n">
        <v>0</v>
      </c>
      <c r="G865" s="62"/>
      <c r="H865" s="35" t="n">
        <v>0</v>
      </c>
      <c r="I865" s="34" t="n">
        <f aca="false">+IF(E865=0,0,E865*0.03)</f>
        <v>0</v>
      </c>
    </row>
    <row r="866" customFormat="false" ht="15.75" hidden="false" customHeight="true" outlineLevel="0" collapsed="false">
      <c r="A866" s="30" t="n">
        <v>45323</v>
      </c>
      <c r="B866" s="31" t="s">
        <v>11</v>
      </c>
      <c r="C866" s="32"/>
      <c r="D866" s="32"/>
      <c r="E866" s="19" t="n">
        <f aca="false">+IF(C866="EQUIPO",F866,0)</f>
        <v>0</v>
      </c>
      <c r="F866" s="33" t="n">
        <v>0</v>
      </c>
      <c r="G866" s="62"/>
      <c r="H866" s="35" t="n">
        <v>0</v>
      </c>
      <c r="I866" s="34" t="n">
        <f aca="false">+IF(E866=0,0,E866*0.03)</f>
        <v>0</v>
      </c>
    </row>
    <row r="867" customFormat="false" ht="15.75" hidden="false" customHeight="true" outlineLevel="0" collapsed="false">
      <c r="A867" s="30" t="n">
        <v>45323</v>
      </c>
      <c r="B867" s="31" t="s">
        <v>11</v>
      </c>
      <c r="C867" s="32"/>
      <c r="D867" s="32"/>
      <c r="E867" s="19" t="n">
        <f aca="false">+IF(C867="EQUIPO",F867,0)</f>
        <v>0</v>
      </c>
      <c r="F867" s="33" t="n">
        <v>0</v>
      </c>
      <c r="G867" s="62"/>
      <c r="H867" s="35" t="n">
        <v>0</v>
      </c>
      <c r="I867" s="34" t="n">
        <f aca="false">+IF(E867=0,0,E867*0.03)</f>
        <v>0</v>
      </c>
    </row>
    <row r="868" customFormat="false" ht="15.75" hidden="false" customHeight="true" outlineLevel="0" collapsed="false">
      <c r="A868" s="30" t="n">
        <v>45323</v>
      </c>
      <c r="B868" s="31" t="s">
        <v>11</v>
      </c>
      <c r="C868" s="32"/>
      <c r="D868" s="32"/>
      <c r="E868" s="19" t="n">
        <f aca="false">+IF(C868="EQUIPO",F868,0)</f>
        <v>0</v>
      </c>
      <c r="F868" s="33" t="n">
        <v>0</v>
      </c>
      <c r="G868" s="62"/>
      <c r="H868" s="35" t="n">
        <v>0</v>
      </c>
      <c r="I868" s="34" t="n">
        <f aca="false">+IF(E868=0,0,E868*0.03)</f>
        <v>0</v>
      </c>
    </row>
    <row r="869" customFormat="false" ht="15.75" hidden="false" customHeight="true" outlineLevel="0" collapsed="false">
      <c r="A869" s="30" t="n">
        <v>45323</v>
      </c>
      <c r="B869" s="31" t="s">
        <v>11</v>
      </c>
      <c r="C869" s="32"/>
      <c r="D869" s="32"/>
      <c r="E869" s="19" t="n">
        <f aca="false">+IF(C869="EQUIPO",F869,0)</f>
        <v>0</v>
      </c>
      <c r="F869" s="33" t="n">
        <v>0</v>
      </c>
      <c r="G869" s="62"/>
      <c r="H869" s="35" t="n">
        <v>0</v>
      </c>
      <c r="I869" s="34" t="n">
        <f aca="false">+IF(E869=0,0,E869*0.03)</f>
        <v>0</v>
      </c>
    </row>
    <row r="870" customFormat="false" ht="15.75" hidden="false" customHeight="true" outlineLevel="0" collapsed="false">
      <c r="A870" s="30" t="n">
        <v>45323</v>
      </c>
      <c r="B870" s="31" t="s">
        <v>11</v>
      </c>
      <c r="C870" s="32"/>
      <c r="D870" s="32"/>
      <c r="E870" s="19" t="n">
        <f aca="false">+IF(C870="EQUIPO",F870,0)</f>
        <v>0</v>
      </c>
      <c r="F870" s="33" t="n">
        <v>0</v>
      </c>
      <c r="G870" s="62"/>
      <c r="H870" s="35" t="n">
        <v>0</v>
      </c>
      <c r="I870" s="34" t="n">
        <f aca="false">+IF(E870=0,0,E870*0.03)</f>
        <v>0</v>
      </c>
    </row>
    <row r="871" customFormat="false" ht="15.75" hidden="false" customHeight="true" outlineLevel="0" collapsed="false">
      <c r="A871" s="30" t="n">
        <v>45323</v>
      </c>
      <c r="B871" s="31" t="s">
        <v>11</v>
      </c>
      <c r="C871" s="32"/>
      <c r="D871" s="32"/>
      <c r="E871" s="19" t="n">
        <f aca="false">+IF(C871="EQUIPO",F871,0)</f>
        <v>0</v>
      </c>
      <c r="F871" s="33" t="n">
        <v>0</v>
      </c>
      <c r="G871" s="62"/>
      <c r="H871" s="35" t="n">
        <v>0</v>
      </c>
      <c r="I871" s="34" t="n">
        <f aca="false">+IF(E871=0,0,E871*0.03)</f>
        <v>0</v>
      </c>
    </row>
    <row r="872" customFormat="false" ht="15.75" hidden="false" customHeight="true" outlineLevel="0" collapsed="false">
      <c r="A872" s="30" t="n">
        <v>45323</v>
      </c>
      <c r="B872" s="31" t="s">
        <v>11</v>
      </c>
      <c r="C872" s="32"/>
      <c r="D872" s="32"/>
      <c r="E872" s="19" t="n">
        <f aca="false">+IF(C872="EQUIPO",F872,0)</f>
        <v>0</v>
      </c>
      <c r="F872" s="33" t="n">
        <v>0</v>
      </c>
      <c r="G872" s="62"/>
      <c r="H872" s="35" t="n">
        <v>0</v>
      </c>
      <c r="I872" s="34" t="n">
        <f aca="false">+IF(E872=0,0,E872*0.03)</f>
        <v>0</v>
      </c>
    </row>
    <row r="873" customFormat="false" ht="15.75" hidden="false" customHeight="true" outlineLevel="0" collapsed="false">
      <c r="A873" s="30" t="n">
        <v>45323</v>
      </c>
      <c r="B873" s="31" t="s">
        <v>11</v>
      </c>
      <c r="C873" s="32"/>
      <c r="D873" s="32"/>
      <c r="E873" s="19" t="n">
        <f aca="false">+IF(C873="EQUIPO",F873,0)</f>
        <v>0</v>
      </c>
      <c r="F873" s="33" t="n">
        <v>0</v>
      </c>
      <c r="G873" s="62"/>
      <c r="H873" s="35" t="n">
        <v>0</v>
      </c>
      <c r="I873" s="34" t="n">
        <f aca="false">+IF(E873=0,0,E873*0.03)</f>
        <v>0</v>
      </c>
    </row>
    <row r="874" customFormat="false" ht="15.75" hidden="false" customHeight="true" outlineLevel="0" collapsed="false">
      <c r="A874" s="30" t="n">
        <v>45323</v>
      </c>
      <c r="B874" s="31" t="s">
        <v>11</v>
      </c>
      <c r="C874" s="32"/>
      <c r="D874" s="32"/>
      <c r="E874" s="19" t="n">
        <f aca="false">+IF(C874="EQUIPO",F874,0)</f>
        <v>0</v>
      </c>
      <c r="F874" s="33" t="n">
        <v>0</v>
      </c>
      <c r="G874" s="62"/>
      <c r="H874" s="35" t="n">
        <v>0</v>
      </c>
      <c r="I874" s="34" t="n">
        <f aca="false">+IF(E874=0,0,E874*0.03)</f>
        <v>0</v>
      </c>
    </row>
    <row r="875" customFormat="false" ht="15.75" hidden="false" customHeight="true" outlineLevel="0" collapsed="false">
      <c r="A875" s="30" t="n">
        <v>45323</v>
      </c>
      <c r="B875" s="31" t="s">
        <v>11</v>
      </c>
      <c r="C875" s="32"/>
      <c r="D875" s="32"/>
      <c r="E875" s="19" t="n">
        <f aca="false">+IF(C875="EQUIPO",F875,0)</f>
        <v>0</v>
      </c>
      <c r="F875" s="33" t="n">
        <v>0</v>
      </c>
      <c r="G875" s="62"/>
      <c r="H875" s="35" t="n">
        <v>0</v>
      </c>
      <c r="I875" s="34" t="n">
        <f aca="false">+IF(E875=0,0,E875*0.03)</f>
        <v>0</v>
      </c>
    </row>
    <row r="876" customFormat="false" ht="15.75" hidden="false" customHeight="true" outlineLevel="0" collapsed="false">
      <c r="A876" s="30" t="n">
        <v>45323</v>
      </c>
      <c r="B876" s="31" t="s">
        <v>11</v>
      </c>
      <c r="C876" s="32"/>
      <c r="D876" s="32"/>
      <c r="E876" s="19" t="n">
        <f aca="false">+IF(C876="EQUIPO",F876,0)</f>
        <v>0</v>
      </c>
      <c r="F876" s="33" t="n">
        <v>0</v>
      </c>
      <c r="G876" s="62"/>
      <c r="H876" s="35" t="n">
        <v>0</v>
      </c>
      <c r="I876" s="34" t="n">
        <f aca="false">+IF(E876=0,0,E876*0.03)</f>
        <v>0</v>
      </c>
    </row>
    <row r="877" customFormat="false" ht="15.75" hidden="false" customHeight="true" outlineLevel="0" collapsed="false">
      <c r="A877" s="30" t="n">
        <v>45323</v>
      </c>
      <c r="B877" s="31" t="s">
        <v>11</v>
      </c>
      <c r="C877" s="32"/>
      <c r="D877" s="32"/>
      <c r="E877" s="19" t="n">
        <f aca="false">+IF(C877="EQUIPO",F877,0)</f>
        <v>0</v>
      </c>
      <c r="F877" s="33" t="n">
        <v>0</v>
      </c>
      <c r="G877" s="62"/>
      <c r="H877" s="35" t="n">
        <v>0</v>
      </c>
      <c r="I877" s="34" t="n">
        <f aca="false">+IF(E877=0,0,E877*0.03)</f>
        <v>0</v>
      </c>
    </row>
    <row r="878" customFormat="false" ht="15.75" hidden="false" customHeight="true" outlineLevel="0" collapsed="false">
      <c r="A878" s="30" t="n">
        <v>45323</v>
      </c>
      <c r="B878" s="31" t="s">
        <v>11</v>
      </c>
      <c r="C878" s="32"/>
      <c r="D878" s="32"/>
      <c r="E878" s="19" t="n">
        <f aca="false">+IF(C878="EQUIPO",F878,0)</f>
        <v>0</v>
      </c>
      <c r="F878" s="33" t="n">
        <v>0</v>
      </c>
      <c r="G878" s="62"/>
      <c r="H878" s="35" t="n">
        <v>0</v>
      </c>
      <c r="I878" s="34" t="n">
        <f aca="false">+IF(E878=0,0,E878*0.03)</f>
        <v>0</v>
      </c>
    </row>
    <row r="879" customFormat="false" ht="15.75" hidden="false" customHeight="true" outlineLevel="0" collapsed="false">
      <c r="A879" s="30" t="n">
        <v>45323</v>
      </c>
      <c r="B879" s="31" t="s">
        <v>11</v>
      </c>
      <c r="C879" s="32"/>
      <c r="D879" s="32"/>
      <c r="E879" s="19" t="n">
        <f aca="false">+IF(C879="EQUIPO",F879,0)</f>
        <v>0</v>
      </c>
      <c r="F879" s="33" t="n">
        <v>0</v>
      </c>
      <c r="G879" s="62"/>
      <c r="H879" s="35" t="n">
        <v>0</v>
      </c>
      <c r="I879" s="34" t="n">
        <f aca="false">+IF(E879=0,0,E879*0.03)</f>
        <v>0</v>
      </c>
    </row>
    <row r="880" customFormat="false" ht="15.75" hidden="false" customHeight="true" outlineLevel="0" collapsed="false">
      <c r="A880" s="30" t="n">
        <v>45323</v>
      </c>
      <c r="B880" s="31" t="s">
        <v>11</v>
      </c>
      <c r="C880" s="32"/>
      <c r="D880" s="32"/>
      <c r="E880" s="19" t="n">
        <f aca="false">+IF(C880="EQUIPO",F880,0)</f>
        <v>0</v>
      </c>
      <c r="F880" s="33" t="n">
        <v>0</v>
      </c>
      <c r="G880" s="62"/>
      <c r="H880" s="35" t="n">
        <v>0</v>
      </c>
      <c r="I880" s="34" t="n">
        <f aca="false">+IF(E880=0,0,E880*0.03)</f>
        <v>0</v>
      </c>
    </row>
    <row r="881" customFormat="false" ht="15.75" hidden="false" customHeight="true" outlineLevel="0" collapsed="false">
      <c r="A881" s="30" t="n">
        <v>45323</v>
      </c>
      <c r="B881" s="31" t="s">
        <v>11</v>
      </c>
      <c r="C881" s="32"/>
      <c r="D881" s="32"/>
      <c r="E881" s="19" t="n">
        <f aca="false">+IF(C881="EQUIPO",F881,0)</f>
        <v>0</v>
      </c>
      <c r="F881" s="33" t="n">
        <v>0</v>
      </c>
      <c r="G881" s="62"/>
      <c r="H881" s="35" t="n">
        <v>0</v>
      </c>
      <c r="I881" s="34" t="n">
        <f aca="false">+IF(E881=0,0,E881*0.03)</f>
        <v>0</v>
      </c>
    </row>
    <row r="882" customFormat="false" ht="15.75" hidden="false" customHeight="true" outlineLevel="0" collapsed="false">
      <c r="A882" s="30" t="n">
        <v>45323</v>
      </c>
      <c r="B882" s="31" t="s">
        <v>11</v>
      </c>
      <c r="C882" s="32"/>
      <c r="D882" s="32"/>
      <c r="E882" s="19" t="n">
        <f aca="false">+IF(C882="EQUIPO",F882,0)</f>
        <v>0</v>
      </c>
      <c r="F882" s="33" t="n">
        <v>0</v>
      </c>
      <c r="G882" s="62"/>
      <c r="H882" s="35" t="n">
        <v>0</v>
      </c>
      <c r="I882" s="34" t="n">
        <f aca="false">+IF(E882=0,0,E882*0.03)</f>
        <v>0</v>
      </c>
    </row>
    <row r="883" customFormat="false" ht="15.75" hidden="false" customHeight="true" outlineLevel="0" collapsed="false">
      <c r="A883" s="30" t="n">
        <v>45323</v>
      </c>
      <c r="B883" s="31" t="s">
        <v>11</v>
      </c>
      <c r="C883" s="32"/>
      <c r="D883" s="32"/>
      <c r="E883" s="19" t="n">
        <f aca="false">+IF(C883="EQUIPO",F883,0)</f>
        <v>0</v>
      </c>
      <c r="F883" s="33" t="n">
        <v>0</v>
      </c>
      <c r="G883" s="62"/>
      <c r="H883" s="35" t="n">
        <v>0</v>
      </c>
      <c r="I883" s="34" t="n">
        <f aca="false">+IF(E883=0,0,E883*0.03)</f>
        <v>0</v>
      </c>
    </row>
    <row r="884" customFormat="false" ht="15.75" hidden="false" customHeight="true" outlineLevel="0" collapsed="false">
      <c r="A884" s="30" t="n">
        <v>45323</v>
      </c>
      <c r="B884" s="31" t="s">
        <v>11</v>
      </c>
      <c r="C884" s="32"/>
      <c r="D884" s="32"/>
      <c r="E884" s="19" t="n">
        <f aca="false">+IF(C884="EQUIPO",F884,0)</f>
        <v>0</v>
      </c>
      <c r="F884" s="33" t="n">
        <v>0</v>
      </c>
      <c r="G884" s="62"/>
      <c r="H884" s="35" t="n">
        <v>0</v>
      </c>
      <c r="I884" s="34" t="n">
        <f aca="false">+IF(E884=0,0,E884*0.03)</f>
        <v>0</v>
      </c>
    </row>
    <row r="885" customFormat="false" ht="15.75" hidden="false" customHeight="true" outlineLevel="0" collapsed="false">
      <c r="A885" s="30" t="n">
        <v>45323</v>
      </c>
      <c r="B885" s="31" t="s">
        <v>11</v>
      </c>
      <c r="C885" s="32"/>
      <c r="D885" s="32"/>
      <c r="E885" s="19" t="n">
        <f aca="false">+IF(C885="EQUIPO",F885,0)</f>
        <v>0</v>
      </c>
      <c r="F885" s="33" t="n">
        <v>0</v>
      </c>
      <c r="G885" s="62"/>
      <c r="H885" s="35" t="n">
        <v>0</v>
      </c>
      <c r="I885" s="34" t="n">
        <f aca="false">+IF(E885=0,0,E885*0.03)</f>
        <v>0</v>
      </c>
    </row>
    <row r="886" customFormat="false" ht="15.75" hidden="false" customHeight="true" outlineLevel="0" collapsed="false">
      <c r="A886" s="30" t="n">
        <v>45323</v>
      </c>
      <c r="B886" s="31" t="s">
        <v>11</v>
      </c>
      <c r="C886" s="32"/>
      <c r="D886" s="32"/>
      <c r="E886" s="19" t="n">
        <f aca="false">+IF(C886="EQUIPO",F886,0)</f>
        <v>0</v>
      </c>
      <c r="F886" s="33" t="n">
        <v>0</v>
      </c>
      <c r="G886" s="62"/>
      <c r="H886" s="35" t="n">
        <v>0</v>
      </c>
      <c r="I886" s="34" t="n">
        <f aca="false">+IF(E886=0,0,E886*0.03)</f>
        <v>0</v>
      </c>
    </row>
    <row r="887" customFormat="false" ht="15.75" hidden="false" customHeight="true" outlineLevel="0" collapsed="false">
      <c r="A887" s="30" t="n">
        <v>45323</v>
      </c>
      <c r="B887" s="31" t="s">
        <v>11</v>
      </c>
      <c r="C887" s="32"/>
      <c r="D887" s="32"/>
      <c r="E887" s="19" t="n">
        <f aca="false">+IF(C887="EQUIPO",F887,0)</f>
        <v>0</v>
      </c>
      <c r="F887" s="33" t="n">
        <v>0</v>
      </c>
      <c r="G887" s="62"/>
      <c r="H887" s="35" t="n">
        <v>0</v>
      </c>
      <c r="I887" s="34" t="n">
        <f aca="false">+IF(E887=0,0,E887*0.03)</f>
        <v>0</v>
      </c>
    </row>
    <row r="888" customFormat="false" ht="15.75" hidden="false" customHeight="true" outlineLevel="0" collapsed="false">
      <c r="A888" s="30" t="n">
        <v>45323</v>
      </c>
      <c r="B888" s="31" t="s">
        <v>11</v>
      </c>
      <c r="C888" s="32"/>
      <c r="D888" s="32"/>
      <c r="E888" s="19" t="n">
        <f aca="false">+IF(C888="EQUIPO",F888,0)</f>
        <v>0</v>
      </c>
      <c r="F888" s="33" t="n">
        <v>0</v>
      </c>
      <c r="G888" s="62"/>
      <c r="H888" s="35" t="n">
        <v>0</v>
      </c>
      <c r="I888" s="34" t="n">
        <f aca="false">+IF(E888=0,0,E888*0.03)</f>
        <v>0</v>
      </c>
    </row>
    <row r="889" customFormat="false" ht="15.75" hidden="false" customHeight="true" outlineLevel="0" collapsed="false">
      <c r="A889" s="30" t="n">
        <v>45323</v>
      </c>
      <c r="B889" s="31" t="s">
        <v>11</v>
      </c>
      <c r="C889" s="32"/>
      <c r="D889" s="32"/>
      <c r="E889" s="19" t="n">
        <f aca="false">+IF(C889="EQUIPO",F889,0)</f>
        <v>0</v>
      </c>
      <c r="F889" s="33" t="n">
        <v>0</v>
      </c>
      <c r="G889" s="62"/>
      <c r="H889" s="35" t="n">
        <v>0</v>
      </c>
      <c r="I889" s="34" t="n">
        <f aca="false">+IF(E889=0,0,E889*0.03)</f>
        <v>0</v>
      </c>
    </row>
    <row r="890" customFormat="false" ht="15.75" hidden="false" customHeight="true" outlineLevel="0" collapsed="false">
      <c r="A890" s="30" t="n">
        <v>45323</v>
      </c>
      <c r="B890" s="31" t="s">
        <v>11</v>
      </c>
      <c r="C890" s="32"/>
      <c r="D890" s="32"/>
      <c r="E890" s="19" t="n">
        <f aca="false">+IF(C890="EQUIPO",F890,0)</f>
        <v>0</v>
      </c>
      <c r="F890" s="33" t="n">
        <v>0</v>
      </c>
      <c r="G890" s="62"/>
      <c r="H890" s="35" t="n">
        <v>0</v>
      </c>
      <c r="I890" s="34" t="n">
        <f aca="false">+IF(E890=0,0,E890*0.03)</f>
        <v>0</v>
      </c>
    </row>
    <row r="891" customFormat="false" ht="15.75" hidden="false" customHeight="true" outlineLevel="0" collapsed="false">
      <c r="A891" s="30" t="n">
        <v>45323</v>
      </c>
      <c r="B891" s="31" t="s">
        <v>11</v>
      </c>
      <c r="C891" s="32"/>
      <c r="D891" s="32"/>
      <c r="E891" s="19" t="n">
        <f aca="false">+IF(C891="EQUIPO",F891,0)</f>
        <v>0</v>
      </c>
      <c r="F891" s="33" t="n">
        <v>0</v>
      </c>
      <c r="G891" s="62"/>
      <c r="H891" s="35" t="n">
        <v>0</v>
      </c>
      <c r="I891" s="34" t="n">
        <f aca="false">+IF(E891=0,0,E891*0.03)</f>
        <v>0</v>
      </c>
    </row>
    <row r="892" customFormat="false" ht="15.75" hidden="false" customHeight="true" outlineLevel="0" collapsed="false">
      <c r="A892" s="30" t="n">
        <v>45323</v>
      </c>
      <c r="B892" s="31" t="s">
        <v>11</v>
      </c>
      <c r="C892" s="32"/>
      <c r="D892" s="32"/>
      <c r="E892" s="19" t="n">
        <f aca="false">+IF(C892="EQUIPO",F892,0)</f>
        <v>0</v>
      </c>
      <c r="F892" s="33" t="n">
        <v>0</v>
      </c>
      <c r="G892" s="62"/>
      <c r="H892" s="35" t="n">
        <v>0</v>
      </c>
      <c r="I892" s="34" t="n">
        <f aca="false">+IF(E892=0,0,E892*0.03)</f>
        <v>0</v>
      </c>
    </row>
    <row r="893" customFormat="false" ht="15.75" hidden="false" customHeight="true" outlineLevel="0" collapsed="false">
      <c r="A893" s="30" t="n">
        <v>45323</v>
      </c>
      <c r="B893" s="31" t="s">
        <v>11</v>
      </c>
      <c r="C893" s="32"/>
      <c r="D893" s="32"/>
      <c r="E893" s="19" t="n">
        <f aca="false">+IF(C893="EQUIPO",F893,0)</f>
        <v>0</v>
      </c>
      <c r="F893" s="33" t="n">
        <v>0</v>
      </c>
      <c r="G893" s="62"/>
      <c r="H893" s="35" t="n">
        <v>0</v>
      </c>
      <c r="I893" s="34" t="n">
        <f aca="false">+IF(E893=0,0,E893*0.03)</f>
        <v>0</v>
      </c>
    </row>
    <row r="894" customFormat="false" ht="15.75" hidden="false" customHeight="true" outlineLevel="0" collapsed="false">
      <c r="A894" s="30" t="n">
        <v>45323</v>
      </c>
      <c r="B894" s="31" t="s">
        <v>11</v>
      </c>
      <c r="C894" s="32"/>
      <c r="D894" s="32"/>
      <c r="E894" s="19" t="n">
        <f aca="false">+IF(C894="EQUIPO",F894,0)</f>
        <v>0</v>
      </c>
      <c r="F894" s="33" t="n">
        <v>0</v>
      </c>
      <c r="G894" s="62"/>
      <c r="H894" s="35" t="n">
        <v>0</v>
      </c>
      <c r="I894" s="34" t="n">
        <f aca="false">+IF(E894=0,0,E894*0.03)</f>
        <v>0</v>
      </c>
    </row>
    <row r="895" customFormat="false" ht="15.75" hidden="false" customHeight="true" outlineLevel="0" collapsed="false">
      <c r="A895" s="30" t="n">
        <v>45323</v>
      </c>
      <c r="B895" s="31" t="s">
        <v>11</v>
      </c>
      <c r="C895" s="32"/>
      <c r="D895" s="32"/>
      <c r="E895" s="19" t="n">
        <f aca="false">+IF(C895="EQUIPO",F895,0)</f>
        <v>0</v>
      </c>
      <c r="F895" s="33" t="n">
        <v>0</v>
      </c>
      <c r="G895" s="62"/>
      <c r="H895" s="35" t="n">
        <v>0</v>
      </c>
      <c r="I895" s="34" t="n">
        <f aca="false">+IF(E895=0,0,E895*0.03)</f>
        <v>0</v>
      </c>
    </row>
    <row r="896" customFormat="false" ht="15.75" hidden="false" customHeight="true" outlineLevel="0" collapsed="false">
      <c r="A896" s="30" t="n">
        <v>45323</v>
      </c>
      <c r="B896" s="31" t="s">
        <v>11</v>
      </c>
      <c r="C896" s="32"/>
      <c r="D896" s="32"/>
      <c r="E896" s="19" t="n">
        <f aca="false">+IF(C896="EQUIPO",F896,0)</f>
        <v>0</v>
      </c>
      <c r="F896" s="33" t="n">
        <v>0</v>
      </c>
      <c r="G896" s="62"/>
      <c r="H896" s="35" t="n">
        <v>0</v>
      </c>
      <c r="I896" s="34" t="n">
        <f aca="false">+IF(E896=0,0,E896*0.03)</f>
        <v>0</v>
      </c>
    </row>
    <row r="897" customFormat="false" ht="15.75" hidden="false" customHeight="true" outlineLevel="0" collapsed="false">
      <c r="A897" s="30" t="n">
        <v>45323</v>
      </c>
      <c r="B897" s="31" t="s">
        <v>11</v>
      </c>
      <c r="C897" s="32"/>
      <c r="D897" s="32"/>
      <c r="E897" s="19" t="n">
        <f aca="false">+IF(C897="EQUIPO",F897,0)</f>
        <v>0</v>
      </c>
      <c r="F897" s="33" t="n">
        <v>0</v>
      </c>
      <c r="G897" s="62"/>
      <c r="H897" s="35" t="n">
        <v>0</v>
      </c>
      <c r="I897" s="34" t="n">
        <f aca="false">+IF(E897=0,0,E897*0.03)</f>
        <v>0</v>
      </c>
    </row>
    <row r="898" customFormat="false" ht="15.75" hidden="false" customHeight="true" outlineLevel="0" collapsed="false">
      <c r="A898" s="30" t="n">
        <v>45323</v>
      </c>
      <c r="B898" s="31" t="s">
        <v>11</v>
      </c>
      <c r="C898" s="32"/>
      <c r="D898" s="32"/>
      <c r="E898" s="19" t="n">
        <f aca="false">+IF(C898="EQUIPO",F898,0)</f>
        <v>0</v>
      </c>
      <c r="F898" s="33" t="n">
        <v>0</v>
      </c>
      <c r="G898" s="62"/>
      <c r="H898" s="35" t="n">
        <v>0</v>
      </c>
      <c r="I898" s="34" t="n">
        <f aca="false">+IF(E898=0,0,E898*0.03)</f>
        <v>0</v>
      </c>
    </row>
    <row r="899" customFormat="false" ht="15.75" hidden="false" customHeight="true" outlineLevel="0" collapsed="false">
      <c r="A899" s="30" t="n">
        <v>45323</v>
      </c>
      <c r="B899" s="31" t="s">
        <v>11</v>
      </c>
      <c r="C899" s="32"/>
      <c r="D899" s="32"/>
      <c r="E899" s="19" t="n">
        <f aca="false">+IF(C899="EQUIPO",F899,0)</f>
        <v>0</v>
      </c>
      <c r="F899" s="33" t="n">
        <v>0</v>
      </c>
      <c r="G899" s="62"/>
      <c r="H899" s="35" t="n">
        <v>0</v>
      </c>
      <c r="I899" s="34" t="n">
        <f aca="false">+IF(E899=0,0,E899*0.03)</f>
        <v>0</v>
      </c>
    </row>
    <row r="900" customFormat="false" ht="15.75" hidden="false" customHeight="true" outlineLevel="0" collapsed="false">
      <c r="A900" s="30" t="n">
        <v>45323</v>
      </c>
      <c r="B900" s="31" t="s">
        <v>11</v>
      </c>
      <c r="C900" s="32"/>
      <c r="D900" s="32"/>
      <c r="E900" s="19" t="n">
        <f aca="false">+IF(C900="EQUIPO",F900,0)</f>
        <v>0</v>
      </c>
      <c r="F900" s="33" t="n">
        <v>0</v>
      </c>
      <c r="G900" s="62"/>
      <c r="H900" s="35" t="n">
        <v>0</v>
      </c>
      <c r="I900" s="34" t="n">
        <f aca="false">+IF(E900=0,0,E900*0.03)</f>
        <v>0</v>
      </c>
    </row>
    <row r="901" customFormat="false" ht="15.75" hidden="false" customHeight="true" outlineLevel="0" collapsed="false">
      <c r="A901" s="30" t="n">
        <v>45323</v>
      </c>
      <c r="B901" s="31" t="s">
        <v>11</v>
      </c>
      <c r="C901" s="32"/>
      <c r="D901" s="32"/>
      <c r="E901" s="19" t="n">
        <f aca="false">+IF(C901="EQUIPO",F901,0)</f>
        <v>0</v>
      </c>
      <c r="F901" s="33" t="n">
        <v>0</v>
      </c>
      <c r="G901" s="62"/>
      <c r="H901" s="35" t="n">
        <v>0</v>
      </c>
      <c r="I901" s="34" t="n">
        <f aca="false">+IF(E901=0,0,E901*0.03)</f>
        <v>0</v>
      </c>
    </row>
    <row r="902" customFormat="false" ht="15.75" hidden="false" customHeight="true" outlineLevel="0" collapsed="false">
      <c r="A902" s="30" t="n">
        <v>45323</v>
      </c>
      <c r="B902" s="31" t="s">
        <v>11</v>
      </c>
      <c r="C902" s="32"/>
      <c r="D902" s="32"/>
      <c r="E902" s="19" t="n">
        <f aca="false">+IF(C902="EQUIPO",F902,0)</f>
        <v>0</v>
      </c>
      <c r="F902" s="33" t="n">
        <v>0</v>
      </c>
      <c r="G902" s="62"/>
      <c r="H902" s="35" t="n">
        <v>0</v>
      </c>
      <c r="I902" s="34" t="n">
        <f aca="false">+IF(E902=0,0,E902*0.03)</f>
        <v>0</v>
      </c>
    </row>
    <row r="903" customFormat="false" ht="15.75" hidden="false" customHeight="true" outlineLevel="0" collapsed="false">
      <c r="A903" s="30" t="n">
        <v>45323</v>
      </c>
      <c r="B903" s="31" t="s">
        <v>11</v>
      </c>
      <c r="C903" s="32"/>
      <c r="D903" s="32"/>
      <c r="E903" s="19" t="n">
        <f aca="false">+IF(C903="EQUIPO",F903,0)</f>
        <v>0</v>
      </c>
      <c r="F903" s="33" t="n">
        <v>0</v>
      </c>
      <c r="G903" s="62"/>
      <c r="H903" s="35" t="n">
        <v>0</v>
      </c>
      <c r="I903" s="34" t="n">
        <f aca="false">+IF(E903=0,0,E903*0.03)</f>
        <v>0</v>
      </c>
    </row>
    <row r="904" customFormat="false" ht="15.75" hidden="false" customHeight="true" outlineLevel="0" collapsed="false">
      <c r="A904" s="30" t="n">
        <v>45323</v>
      </c>
      <c r="B904" s="31" t="s">
        <v>11</v>
      </c>
      <c r="C904" s="32"/>
      <c r="D904" s="32"/>
      <c r="E904" s="19" t="n">
        <f aca="false">+IF(C904="EQUIPO",F904,0)</f>
        <v>0</v>
      </c>
      <c r="F904" s="33" t="n">
        <v>0</v>
      </c>
      <c r="G904" s="62"/>
      <c r="H904" s="35" t="n">
        <v>0</v>
      </c>
      <c r="I904" s="34" t="n">
        <f aca="false">+IF(E904=0,0,E904*0.03)</f>
        <v>0</v>
      </c>
    </row>
    <row r="905" customFormat="false" ht="15.75" hidden="false" customHeight="true" outlineLevel="0" collapsed="false">
      <c r="A905" s="30" t="n">
        <v>45323</v>
      </c>
      <c r="B905" s="31" t="s">
        <v>11</v>
      </c>
      <c r="C905" s="32"/>
      <c r="D905" s="32"/>
      <c r="E905" s="19" t="n">
        <f aca="false">+IF(C905="EQUIPO",F905,0)</f>
        <v>0</v>
      </c>
      <c r="F905" s="33" t="n">
        <v>0</v>
      </c>
      <c r="G905" s="62"/>
      <c r="H905" s="35" t="n">
        <v>0</v>
      </c>
      <c r="I905" s="34" t="n">
        <f aca="false">+IF(E905=0,0,E905*0.03)</f>
        <v>0</v>
      </c>
    </row>
    <row r="906" customFormat="false" ht="15.75" hidden="false" customHeight="true" outlineLevel="0" collapsed="false">
      <c r="A906" s="30" t="n">
        <v>45323</v>
      </c>
      <c r="B906" s="31" t="s">
        <v>11</v>
      </c>
      <c r="C906" s="32"/>
      <c r="D906" s="32"/>
      <c r="E906" s="19" t="n">
        <f aca="false">+IF(C906="EQUIPO",F906,0)</f>
        <v>0</v>
      </c>
      <c r="F906" s="33" t="n">
        <v>0</v>
      </c>
      <c r="G906" s="62"/>
      <c r="H906" s="35" t="n">
        <v>0</v>
      </c>
      <c r="I906" s="34" t="n">
        <f aca="false">+IF(E906=0,0,E906*0.03)</f>
        <v>0</v>
      </c>
    </row>
    <row r="907" customFormat="false" ht="15.75" hidden="false" customHeight="true" outlineLevel="0" collapsed="false">
      <c r="A907" s="30" t="n">
        <v>45323</v>
      </c>
      <c r="B907" s="31" t="s">
        <v>11</v>
      </c>
      <c r="C907" s="32"/>
      <c r="D907" s="32"/>
      <c r="E907" s="19" t="n">
        <f aca="false">+IF(C907="EQUIPO",F907,0)</f>
        <v>0</v>
      </c>
      <c r="F907" s="33" t="n">
        <v>0</v>
      </c>
      <c r="G907" s="62"/>
      <c r="H907" s="35" t="n">
        <v>0</v>
      </c>
      <c r="I907" s="34" t="n">
        <f aca="false">+IF(E907=0,0,E907*0.03)</f>
        <v>0</v>
      </c>
    </row>
    <row r="908" customFormat="false" ht="15.75" hidden="false" customHeight="true" outlineLevel="0" collapsed="false">
      <c r="A908" s="30" t="n">
        <v>45323</v>
      </c>
      <c r="B908" s="31" t="s">
        <v>11</v>
      </c>
      <c r="C908" s="32"/>
      <c r="D908" s="32"/>
      <c r="E908" s="19" t="n">
        <f aca="false">+IF(C908="EQUIPO",F908,0)</f>
        <v>0</v>
      </c>
      <c r="F908" s="33" t="n">
        <v>0</v>
      </c>
      <c r="G908" s="62"/>
      <c r="H908" s="35" t="n">
        <v>0</v>
      </c>
      <c r="I908" s="34" t="n">
        <f aca="false">+IF(E908=0,0,E908*0.03)</f>
        <v>0</v>
      </c>
    </row>
    <row r="909" customFormat="false" ht="15.75" hidden="false" customHeight="true" outlineLevel="0" collapsed="false">
      <c r="A909" s="30" t="n">
        <v>45323</v>
      </c>
      <c r="B909" s="31" t="s">
        <v>11</v>
      </c>
      <c r="C909" s="32"/>
      <c r="D909" s="32"/>
      <c r="E909" s="19" t="n">
        <f aca="false">+IF(C909="EQUIPO",F909,0)</f>
        <v>0</v>
      </c>
      <c r="F909" s="33" t="n">
        <v>0</v>
      </c>
      <c r="G909" s="62"/>
      <c r="H909" s="35" t="n">
        <v>0</v>
      </c>
      <c r="I909" s="34" t="n">
        <f aca="false">+IF(E909=0,0,E909*0.03)</f>
        <v>0</v>
      </c>
    </row>
    <row r="910" customFormat="false" ht="15.75" hidden="false" customHeight="true" outlineLevel="0" collapsed="false">
      <c r="A910" s="30" t="n">
        <v>45323</v>
      </c>
      <c r="B910" s="31" t="s">
        <v>11</v>
      </c>
      <c r="C910" s="32"/>
      <c r="D910" s="32"/>
      <c r="E910" s="19" t="n">
        <f aca="false">+IF(C910="EQUIPO",F910,0)</f>
        <v>0</v>
      </c>
      <c r="F910" s="33" t="n">
        <v>0</v>
      </c>
      <c r="G910" s="62"/>
      <c r="H910" s="35" t="n">
        <v>0</v>
      </c>
      <c r="I910" s="34" t="n">
        <f aca="false">+IF(E910=0,0,E910*0.03)</f>
        <v>0</v>
      </c>
    </row>
    <row r="911" customFormat="false" ht="15.75" hidden="false" customHeight="true" outlineLevel="0" collapsed="false">
      <c r="A911" s="30" t="n">
        <v>45323</v>
      </c>
      <c r="B911" s="31" t="s">
        <v>11</v>
      </c>
      <c r="C911" s="32"/>
      <c r="D911" s="32"/>
      <c r="E911" s="19" t="n">
        <f aca="false">+IF(C911="EQUIPO",F911,0)</f>
        <v>0</v>
      </c>
      <c r="F911" s="33" t="n">
        <v>0</v>
      </c>
      <c r="G911" s="62"/>
      <c r="H911" s="35" t="n">
        <v>0</v>
      </c>
      <c r="I911" s="34" t="n">
        <f aca="false">+IF(E911=0,0,E911*0.03)</f>
        <v>0</v>
      </c>
    </row>
    <row r="912" customFormat="false" ht="15.75" hidden="false" customHeight="true" outlineLevel="0" collapsed="false">
      <c r="A912" s="30" t="n">
        <v>45323</v>
      </c>
      <c r="B912" s="31" t="s">
        <v>11</v>
      </c>
      <c r="C912" s="32"/>
      <c r="D912" s="32"/>
      <c r="E912" s="19" t="n">
        <f aca="false">+IF(C912="EQUIPO",F912,0)</f>
        <v>0</v>
      </c>
      <c r="F912" s="33" t="n">
        <v>0</v>
      </c>
      <c r="G912" s="62"/>
      <c r="H912" s="35" t="n">
        <v>0</v>
      </c>
      <c r="I912" s="34" t="n">
        <f aca="false">+IF(E912=0,0,E912*0.03)</f>
        <v>0</v>
      </c>
    </row>
    <row r="913" customFormat="false" ht="15.75" hidden="false" customHeight="true" outlineLevel="0" collapsed="false">
      <c r="A913" s="30" t="n">
        <v>45323</v>
      </c>
      <c r="B913" s="31" t="s">
        <v>11</v>
      </c>
      <c r="C913" s="32"/>
      <c r="D913" s="32"/>
      <c r="E913" s="19" t="n">
        <f aca="false">+IF(C913="EQUIPO",F913,0)</f>
        <v>0</v>
      </c>
      <c r="F913" s="33" t="n">
        <v>0</v>
      </c>
      <c r="G913" s="62"/>
      <c r="H913" s="35" t="n">
        <v>0</v>
      </c>
      <c r="I913" s="34" t="n">
        <f aca="false">+IF(E913=0,0,E913*0.03)</f>
        <v>0</v>
      </c>
    </row>
    <row r="914" customFormat="false" ht="15.75" hidden="false" customHeight="true" outlineLevel="0" collapsed="false">
      <c r="A914" s="30" t="n">
        <v>45323</v>
      </c>
      <c r="B914" s="31" t="s">
        <v>11</v>
      </c>
      <c r="C914" s="32"/>
      <c r="D914" s="32"/>
      <c r="E914" s="19" t="n">
        <f aca="false">+IF(C914="EQUIPO",F914,0)</f>
        <v>0</v>
      </c>
      <c r="F914" s="33" t="n">
        <v>0</v>
      </c>
      <c r="G914" s="62"/>
      <c r="H914" s="35" t="n">
        <v>0</v>
      </c>
      <c r="I914" s="34" t="n">
        <f aca="false">+IF(E914=0,0,E914*0.03)</f>
        <v>0</v>
      </c>
    </row>
    <row r="915" customFormat="false" ht="15.75" hidden="false" customHeight="true" outlineLevel="0" collapsed="false">
      <c r="A915" s="30" t="n">
        <v>45323</v>
      </c>
      <c r="B915" s="31" t="s">
        <v>11</v>
      </c>
      <c r="C915" s="32"/>
      <c r="D915" s="32"/>
      <c r="E915" s="19" t="n">
        <f aca="false">+IF(C915="EQUIPO",F915,0)</f>
        <v>0</v>
      </c>
      <c r="F915" s="33" t="n">
        <v>0</v>
      </c>
      <c r="G915" s="62"/>
      <c r="H915" s="35" t="n">
        <v>0</v>
      </c>
      <c r="I915" s="34" t="n">
        <f aca="false">+IF(E915=0,0,E915*0.03)</f>
        <v>0</v>
      </c>
    </row>
    <row r="916" customFormat="false" ht="15.75" hidden="false" customHeight="true" outlineLevel="0" collapsed="false">
      <c r="A916" s="30" t="n">
        <v>45323</v>
      </c>
      <c r="B916" s="31" t="s">
        <v>11</v>
      </c>
      <c r="C916" s="32"/>
      <c r="D916" s="32"/>
      <c r="E916" s="19" t="n">
        <f aca="false">+IF(C916="EQUIPO",F916,0)</f>
        <v>0</v>
      </c>
      <c r="F916" s="33" t="n">
        <v>0</v>
      </c>
      <c r="G916" s="62"/>
      <c r="H916" s="35" t="n">
        <v>0</v>
      </c>
      <c r="I916" s="34" t="n">
        <f aca="false">+IF(E916=0,0,E916*0.03)</f>
        <v>0</v>
      </c>
    </row>
    <row r="917" customFormat="false" ht="15.75" hidden="false" customHeight="true" outlineLevel="0" collapsed="false">
      <c r="A917" s="30" t="n">
        <v>45323</v>
      </c>
      <c r="B917" s="31" t="s">
        <v>11</v>
      </c>
      <c r="C917" s="32"/>
      <c r="D917" s="32"/>
      <c r="E917" s="19" t="n">
        <f aca="false">+IF(C917="EQUIPO",F917,0)</f>
        <v>0</v>
      </c>
      <c r="F917" s="33" t="n">
        <v>0</v>
      </c>
      <c r="G917" s="62"/>
      <c r="H917" s="35" t="n">
        <v>0</v>
      </c>
      <c r="I917" s="34" t="n">
        <f aca="false">+IF(E917=0,0,E917*0.03)</f>
        <v>0</v>
      </c>
    </row>
    <row r="918" customFormat="false" ht="15.75" hidden="false" customHeight="true" outlineLevel="0" collapsed="false">
      <c r="A918" s="30" t="n">
        <v>45323</v>
      </c>
      <c r="B918" s="31" t="s">
        <v>11</v>
      </c>
      <c r="C918" s="32"/>
      <c r="D918" s="32"/>
      <c r="E918" s="19" t="n">
        <f aca="false">+IF(C918="EQUIPO",F918,0)</f>
        <v>0</v>
      </c>
      <c r="F918" s="33" t="n">
        <v>0</v>
      </c>
      <c r="G918" s="62"/>
      <c r="H918" s="35" t="n">
        <v>0</v>
      </c>
      <c r="I918" s="34" t="n">
        <f aca="false">+IF(E918=0,0,E918*0.03)</f>
        <v>0</v>
      </c>
    </row>
    <row r="919" customFormat="false" ht="15.75" hidden="false" customHeight="true" outlineLevel="0" collapsed="false">
      <c r="A919" s="30" t="n">
        <v>45323</v>
      </c>
      <c r="B919" s="31" t="s">
        <v>11</v>
      </c>
      <c r="C919" s="32"/>
      <c r="D919" s="32"/>
      <c r="E919" s="19" t="n">
        <f aca="false">+IF(C919="EQUIPO",F919,0)</f>
        <v>0</v>
      </c>
      <c r="F919" s="33" t="n">
        <v>0</v>
      </c>
      <c r="G919" s="62"/>
      <c r="H919" s="35" t="n">
        <v>0</v>
      </c>
      <c r="I919" s="34" t="n">
        <f aca="false">+IF(E919=0,0,E919*0.03)</f>
        <v>0</v>
      </c>
    </row>
    <row r="920" customFormat="false" ht="15.75" hidden="false" customHeight="true" outlineLevel="0" collapsed="false">
      <c r="A920" s="30" t="n">
        <v>45323</v>
      </c>
      <c r="B920" s="31" t="s">
        <v>11</v>
      </c>
      <c r="C920" s="32"/>
      <c r="D920" s="32"/>
      <c r="E920" s="19" t="n">
        <f aca="false">+IF(C920="EQUIPO",F920,0)</f>
        <v>0</v>
      </c>
      <c r="F920" s="33" t="n">
        <v>0</v>
      </c>
      <c r="G920" s="62"/>
      <c r="H920" s="35" t="n">
        <v>0</v>
      </c>
      <c r="I920" s="34" t="n">
        <f aca="false">+IF(E920=0,0,E920*0.03)</f>
        <v>0</v>
      </c>
    </row>
    <row r="921" customFormat="false" ht="15.75" hidden="false" customHeight="true" outlineLevel="0" collapsed="false">
      <c r="A921" s="30" t="n">
        <v>45323</v>
      </c>
      <c r="B921" s="31" t="s">
        <v>11</v>
      </c>
      <c r="C921" s="32"/>
      <c r="D921" s="32"/>
      <c r="E921" s="19" t="n">
        <f aca="false">+IF(C921="EQUIPO",F921,0)</f>
        <v>0</v>
      </c>
      <c r="F921" s="33" t="n">
        <v>0</v>
      </c>
      <c r="G921" s="62"/>
      <c r="H921" s="35" t="n">
        <v>0</v>
      </c>
      <c r="I921" s="34" t="n">
        <f aca="false">+IF(E921=0,0,E921*0.03)</f>
        <v>0</v>
      </c>
    </row>
    <row r="922" customFormat="false" ht="15.75" hidden="false" customHeight="true" outlineLevel="0" collapsed="false">
      <c r="A922" s="30" t="n">
        <v>45323</v>
      </c>
      <c r="B922" s="31" t="s">
        <v>11</v>
      </c>
      <c r="C922" s="32"/>
      <c r="D922" s="32"/>
      <c r="E922" s="19" t="n">
        <f aca="false">+IF(C922="EQUIPO",F922,0)</f>
        <v>0</v>
      </c>
      <c r="F922" s="33" t="n">
        <v>0</v>
      </c>
      <c r="G922" s="62"/>
      <c r="H922" s="35" t="n">
        <v>0</v>
      </c>
      <c r="I922" s="34" t="n">
        <f aca="false">+IF(E922=0,0,E922*0.03)</f>
        <v>0</v>
      </c>
    </row>
    <row r="923" customFormat="false" ht="15.75" hidden="false" customHeight="true" outlineLevel="0" collapsed="false">
      <c r="A923" s="30" t="n">
        <v>45323</v>
      </c>
      <c r="B923" s="31" t="s">
        <v>11</v>
      </c>
      <c r="C923" s="32"/>
      <c r="D923" s="32"/>
      <c r="E923" s="19" t="n">
        <f aca="false">+IF(C923="EQUIPO",F923,0)</f>
        <v>0</v>
      </c>
      <c r="F923" s="33" t="n">
        <v>0</v>
      </c>
      <c r="G923" s="62"/>
      <c r="H923" s="35" t="n">
        <v>0</v>
      </c>
      <c r="I923" s="34" t="n">
        <f aca="false">+IF(E923=0,0,E923*0.03)</f>
        <v>0</v>
      </c>
    </row>
    <row r="924" customFormat="false" ht="15.75" hidden="false" customHeight="true" outlineLevel="0" collapsed="false">
      <c r="A924" s="30" t="n">
        <v>45323</v>
      </c>
      <c r="B924" s="31" t="s">
        <v>11</v>
      </c>
      <c r="C924" s="32"/>
      <c r="D924" s="32"/>
      <c r="E924" s="19" t="n">
        <f aca="false">+IF(C924="EQUIPO",F924,0)</f>
        <v>0</v>
      </c>
      <c r="F924" s="33" t="n">
        <v>0</v>
      </c>
      <c r="G924" s="62"/>
      <c r="H924" s="35" t="n">
        <v>0</v>
      </c>
      <c r="I924" s="34" t="n">
        <f aca="false">+IF(E924=0,0,E924*0.03)</f>
        <v>0</v>
      </c>
    </row>
    <row r="925" customFormat="false" ht="15.75" hidden="false" customHeight="true" outlineLevel="0" collapsed="false">
      <c r="A925" s="30" t="n">
        <v>45323</v>
      </c>
      <c r="B925" s="31" t="s">
        <v>11</v>
      </c>
      <c r="C925" s="32"/>
      <c r="D925" s="32"/>
      <c r="E925" s="19" t="n">
        <f aca="false">+IF(C925="EQUIPO",F925,0)</f>
        <v>0</v>
      </c>
      <c r="F925" s="33" t="n">
        <v>0</v>
      </c>
      <c r="G925" s="62"/>
      <c r="H925" s="35" t="n">
        <v>0</v>
      </c>
      <c r="I925" s="34" t="n">
        <f aca="false">+IF(E925=0,0,E925*0.03)</f>
        <v>0</v>
      </c>
    </row>
    <row r="926" customFormat="false" ht="15.75" hidden="false" customHeight="true" outlineLevel="0" collapsed="false">
      <c r="A926" s="30" t="n">
        <v>45323</v>
      </c>
      <c r="B926" s="31" t="s">
        <v>11</v>
      </c>
      <c r="C926" s="32"/>
      <c r="D926" s="32"/>
      <c r="E926" s="19" t="n">
        <f aca="false">+IF(C926="EQUIPO",F926,0)</f>
        <v>0</v>
      </c>
      <c r="F926" s="33" t="n">
        <v>0</v>
      </c>
      <c r="G926" s="62"/>
      <c r="H926" s="35" t="n">
        <v>0</v>
      </c>
      <c r="I926" s="34" t="n">
        <f aca="false">+IF(E926=0,0,E926*0.03)</f>
        <v>0</v>
      </c>
    </row>
    <row r="927" customFormat="false" ht="15.75" hidden="false" customHeight="true" outlineLevel="0" collapsed="false">
      <c r="A927" s="30" t="n">
        <v>45323</v>
      </c>
      <c r="B927" s="31" t="s">
        <v>11</v>
      </c>
      <c r="C927" s="32"/>
      <c r="D927" s="32"/>
      <c r="E927" s="19" t="n">
        <f aca="false">+IF(C927="EQUIPO",F927,0)</f>
        <v>0</v>
      </c>
      <c r="F927" s="33" t="n">
        <v>0</v>
      </c>
      <c r="G927" s="62"/>
      <c r="H927" s="35" t="n">
        <v>0</v>
      </c>
      <c r="I927" s="34" t="n">
        <f aca="false">+IF(E927=0,0,E927*0.03)</f>
        <v>0</v>
      </c>
    </row>
    <row r="928" customFormat="false" ht="15.75" hidden="false" customHeight="true" outlineLevel="0" collapsed="false">
      <c r="A928" s="30" t="n">
        <v>45323</v>
      </c>
      <c r="B928" s="31" t="s">
        <v>11</v>
      </c>
      <c r="C928" s="32"/>
      <c r="D928" s="32"/>
      <c r="E928" s="19" t="n">
        <f aca="false">+IF(C928="EQUIPO",F928,0)</f>
        <v>0</v>
      </c>
      <c r="F928" s="33" t="n">
        <v>0</v>
      </c>
      <c r="G928" s="62"/>
      <c r="H928" s="35" t="n">
        <v>0</v>
      </c>
      <c r="I928" s="34" t="n">
        <f aca="false">+IF(E928=0,0,E928*0.03)</f>
        <v>0</v>
      </c>
    </row>
    <row r="929" customFormat="false" ht="15.75" hidden="false" customHeight="true" outlineLevel="0" collapsed="false">
      <c r="A929" s="30" t="n">
        <v>45323</v>
      </c>
      <c r="B929" s="31" t="s">
        <v>11</v>
      </c>
      <c r="C929" s="32"/>
      <c r="D929" s="32"/>
      <c r="E929" s="19" t="n">
        <f aca="false">+IF(C929="EQUIPO",F929,0)</f>
        <v>0</v>
      </c>
      <c r="F929" s="33" t="n">
        <v>0</v>
      </c>
      <c r="G929" s="62"/>
      <c r="H929" s="35" t="n">
        <v>0</v>
      </c>
      <c r="I929" s="34" t="n">
        <f aca="false">+IF(E929=0,0,E929*0.03)</f>
        <v>0</v>
      </c>
    </row>
    <row r="930" customFormat="false" ht="15.75" hidden="false" customHeight="true" outlineLevel="0" collapsed="false">
      <c r="A930" s="30" t="n">
        <v>45323</v>
      </c>
      <c r="B930" s="31" t="s">
        <v>11</v>
      </c>
      <c r="C930" s="32"/>
      <c r="D930" s="32"/>
      <c r="E930" s="19" t="n">
        <f aca="false">+IF(C930="EQUIPO",F930,0)</f>
        <v>0</v>
      </c>
      <c r="F930" s="33" t="n">
        <v>0</v>
      </c>
      <c r="G930" s="62"/>
      <c r="H930" s="35" t="n">
        <v>0</v>
      </c>
      <c r="I930" s="34" t="n">
        <f aca="false">+IF(E930=0,0,E930*0.03)</f>
        <v>0</v>
      </c>
    </row>
    <row r="931" customFormat="false" ht="15.75" hidden="false" customHeight="true" outlineLevel="0" collapsed="false">
      <c r="A931" s="30" t="n">
        <v>45323</v>
      </c>
      <c r="B931" s="31" t="s">
        <v>11</v>
      </c>
      <c r="C931" s="32"/>
      <c r="D931" s="32"/>
      <c r="E931" s="19" t="n">
        <f aca="false">+IF(C931="EQUIPO",F931,0)</f>
        <v>0</v>
      </c>
      <c r="F931" s="33" t="n">
        <v>0</v>
      </c>
      <c r="G931" s="62"/>
      <c r="H931" s="35" t="n">
        <v>0</v>
      </c>
      <c r="I931" s="34" t="n">
        <f aca="false">+IF(E931=0,0,E931*0.03)</f>
        <v>0</v>
      </c>
    </row>
    <row r="932" customFormat="false" ht="15.75" hidden="false" customHeight="true" outlineLevel="0" collapsed="false">
      <c r="A932" s="30" t="n">
        <v>45323</v>
      </c>
      <c r="B932" s="31" t="s">
        <v>11</v>
      </c>
      <c r="C932" s="32"/>
      <c r="D932" s="32"/>
      <c r="E932" s="19" t="n">
        <f aca="false">+IF(C932="EQUIPO",F932,0)</f>
        <v>0</v>
      </c>
      <c r="F932" s="33" t="n">
        <v>0</v>
      </c>
      <c r="G932" s="62"/>
      <c r="H932" s="35" t="n">
        <v>0</v>
      </c>
      <c r="I932" s="34" t="n">
        <f aca="false">+IF(E932=0,0,E932*0.03)</f>
        <v>0</v>
      </c>
    </row>
    <row r="933" customFormat="false" ht="15.75" hidden="false" customHeight="true" outlineLevel="0" collapsed="false">
      <c r="A933" s="30" t="n">
        <v>45323</v>
      </c>
      <c r="B933" s="31" t="s">
        <v>11</v>
      </c>
      <c r="C933" s="32"/>
      <c r="D933" s="32"/>
      <c r="E933" s="19" t="n">
        <f aca="false">+IF(C933="EQUIPO",F933,0)</f>
        <v>0</v>
      </c>
      <c r="F933" s="33" t="n">
        <v>0</v>
      </c>
      <c r="G933" s="62"/>
      <c r="H933" s="35" t="n">
        <v>0</v>
      </c>
      <c r="I933" s="34" t="n">
        <f aca="false">+IF(E933=0,0,E933*0.03)</f>
        <v>0</v>
      </c>
    </row>
    <row r="934" customFormat="false" ht="15.75" hidden="false" customHeight="true" outlineLevel="0" collapsed="false">
      <c r="A934" s="30" t="n">
        <v>45323</v>
      </c>
      <c r="B934" s="31" t="s">
        <v>11</v>
      </c>
      <c r="C934" s="32"/>
      <c r="D934" s="32"/>
      <c r="E934" s="19" t="n">
        <f aca="false">+IF(C934="EQUIPO",F934,0)</f>
        <v>0</v>
      </c>
      <c r="F934" s="33" t="n">
        <v>0</v>
      </c>
      <c r="G934" s="62"/>
      <c r="H934" s="35" t="n">
        <v>0</v>
      </c>
      <c r="I934" s="34" t="n">
        <f aca="false">+IF(E934=0,0,E934*0.03)</f>
        <v>0</v>
      </c>
    </row>
    <row r="935" customFormat="false" ht="15.75" hidden="false" customHeight="true" outlineLevel="0" collapsed="false">
      <c r="A935" s="30" t="n">
        <v>45323</v>
      </c>
      <c r="B935" s="31" t="s">
        <v>11</v>
      </c>
      <c r="C935" s="32"/>
      <c r="D935" s="32"/>
      <c r="E935" s="19" t="n">
        <f aca="false">+IF(C935="EQUIPO",F935,0)</f>
        <v>0</v>
      </c>
      <c r="F935" s="33" t="n">
        <v>0</v>
      </c>
      <c r="G935" s="62"/>
      <c r="H935" s="35" t="n">
        <v>0</v>
      </c>
      <c r="I935" s="34" t="n">
        <f aca="false">+IF(E935=0,0,E935*0.03)</f>
        <v>0</v>
      </c>
    </row>
    <row r="936" customFormat="false" ht="15.75" hidden="false" customHeight="true" outlineLevel="0" collapsed="false">
      <c r="A936" s="30" t="n">
        <v>45323</v>
      </c>
      <c r="B936" s="31" t="s">
        <v>11</v>
      </c>
      <c r="C936" s="32"/>
      <c r="D936" s="32"/>
      <c r="E936" s="19" t="n">
        <f aca="false">+IF(C936="EQUIPO",F936,0)</f>
        <v>0</v>
      </c>
      <c r="F936" s="33" t="n">
        <v>0</v>
      </c>
      <c r="G936" s="62"/>
      <c r="H936" s="35" t="n">
        <v>0</v>
      </c>
      <c r="I936" s="34" t="n">
        <f aca="false">+IF(E936=0,0,E936*0.03)</f>
        <v>0</v>
      </c>
    </row>
    <row r="937" customFormat="false" ht="15.75" hidden="false" customHeight="true" outlineLevel="0" collapsed="false">
      <c r="A937" s="30" t="n">
        <v>45323</v>
      </c>
      <c r="B937" s="31" t="s">
        <v>11</v>
      </c>
      <c r="C937" s="32"/>
      <c r="D937" s="32"/>
      <c r="E937" s="19" t="n">
        <f aca="false">+IF(C937="EQUIPO",F937,0)</f>
        <v>0</v>
      </c>
      <c r="F937" s="33" t="n">
        <v>0</v>
      </c>
      <c r="G937" s="62"/>
      <c r="H937" s="35" t="n">
        <v>0</v>
      </c>
      <c r="I937" s="34" t="n">
        <f aca="false">+IF(E937=0,0,E937*0.03)</f>
        <v>0</v>
      </c>
    </row>
    <row r="938" customFormat="false" ht="15.75" hidden="false" customHeight="true" outlineLevel="0" collapsed="false">
      <c r="A938" s="30" t="n">
        <v>45323</v>
      </c>
      <c r="B938" s="31" t="s">
        <v>11</v>
      </c>
      <c r="C938" s="32"/>
      <c r="D938" s="32"/>
      <c r="E938" s="19" t="n">
        <f aca="false">+IF(C938="EQUIPO",F938,0)</f>
        <v>0</v>
      </c>
      <c r="F938" s="33" t="n">
        <v>0</v>
      </c>
      <c r="G938" s="62"/>
      <c r="H938" s="35" t="n">
        <v>0</v>
      </c>
      <c r="I938" s="34" t="n">
        <f aca="false">+IF(E938=0,0,E938*0.03)</f>
        <v>0</v>
      </c>
    </row>
    <row r="939" customFormat="false" ht="15.75" hidden="false" customHeight="true" outlineLevel="0" collapsed="false">
      <c r="A939" s="30" t="n">
        <v>45323</v>
      </c>
      <c r="B939" s="31" t="s">
        <v>11</v>
      </c>
      <c r="C939" s="32"/>
      <c r="D939" s="32"/>
      <c r="E939" s="19" t="n">
        <f aca="false">+IF(C939="EQUIPO",F939,0)</f>
        <v>0</v>
      </c>
      <c r="F939" s="33" t="n">
        <v>0</v>
      </c>
      <c r="G939" s="62"/>
      <c r="H939" s="35" t="n">
        <v>0</v>
      </c>
      <c r="I939" s="34" t="n">
        <f aca="false">+IF(E939=0,0,E939*0.03)</f>
        <v>0</v>
      </c>
    </row>
    <row r="940" customFormat="false" ht="15.75" hidden="false" customHeight="true" outlineLevel="0" collapsed="false">
      <c r="A940" s="30" t="n">
        <v>45323</v>
      </c>
      <c r="B940" s="31" t="s">
        <v>11</v>
      </c>
      <c r="C940" s="32"/>
      <c r="D940" s="32"/>
      <c r="E940" s="19" t="n">
        <f aca="false">+IF(C940="EQUIPO",F940,0)</f>
        <v>0</v>
      </c>
      <c r="F940" s="33" t="n">
        <v>0</v>
      </c>
      <c r="G940" s="62"/>
      <c r="H940" s="35" t="n">
        <v>0</v>
      </c>
      <c r="I940" s="34" t="n">
        <f aca="false">+IF(E940=0,0,E940*0.03)</f>
        <v>0</v>
      </c>
    </row>
    <row r="941" customFormat="false" ht="15.75" hidden="false" customHeight="true" outlineLevel="0" collapsed="false">
      <c r="A941" s="30" t="n">
        <v>45323</v>
      </c>
      <c r="B941" s="31" t="s">
        <v>11</v>
      </c>
      <c r="C941" s="32"/>
      <c r="D941" s="32"/>
      <c r="E941" s="19" t="n">
        <f aca="false">+IF(C941="EQUIPO",F941,0)</f>
        <v>0</v>
      </c>
      <c r="F941" s="33" t="n">
        <v>0</v>
      </c>
      <c r="G941" s="62"/>
      <c r="H941" s="35" t="n">
        <v>0</v>
      </c>
      <c r="I941" s="34" t="n">
        <f aca="false">+IF(E941=0,0,E941*0.03)</f>
        <v>0</v>
      </c>
    </row>
    <row r="942" customFormat="false" ht="15.75" hidden="false" customHeight="true" outlineLevel="0" collapsed="false">
      <c r="A942" s="30" t="n">
        <v>45323</v>
      </c>
      <c r="B942" s="31" t="s">
        <v>11</v>
      </c>
      <c r="C942" s="32"/>
      <c r="D942" s="32"/>
      <c r="E942" s="19" t="n">
        <f aca="false">+IF(C942="EQUIPO",F942,0)</f>
        <v>0</v>
      </c>
      <c r="F942" s="33" t="n">
        <v>0</v>
      </c>
      <c r="G942" s="62"/>
      <c r="H942" s="35" t="n">
        <v>0</v>
      </c>
      <c r="I942" s="34" t="n">
        <f aca="false">+IF(E942=0,0,E942*0.03)</f>
        <v>0</v>
      </c>
    </row>
    <row r="943" customFormat="false" ht="15.75" hidden="false" customHeight="true" outlineLevel="0" collapsed="false">
      <c r="A943" s="30" t="n">
        <v>45323</v>
      </c>
      <c r="B943" s="31" t="s">
        <v>11</v>
      </c>
      <c r="C943" s="32"/>
      <c r="D943" s="32"/>
      <c r="E943" s="19" t="n">
        <f aca="false">+IF(C943="EQUIPO",F943,0)</f>
        <v>0</v>
      </c>
      <c r="F943" s="33" t="n">
        <v>0</v>
      </c>
      <c r="G943" s="62"/>
      <c r="H943" s="35" t="n">
        <v>0</v>
      </c>
      <c r="I943" s="34" t="n">
        <f aca="false">+IF(E943=0,0,E943*0.03)</f>
        <v>0</v>
      </c>
    </row>
    <row r="944" customFormat="false" ht="15.75" hidden="false" customHeight="true" outlineLevel="0" collapsed="false">
      <c r="A944" s="30" t="n">
        <v>45323</v>
      </c>
      <c r="B944" s="31" t="s">
        <v>11</v>
      </c>
      <c r="C944" s="32"/>
      <c r="D944" s="32"/>
      <c r="E944" s="19" t="n">
        <f aca="false">+IF(C944="EQUIPO",F944,0)</f>
        <v>0</v>
      </c>
      <c r="F944" s="33" t="n">
        <v>0</v>
      </c>
      <c r="G944" s="62"/>
      <c r="H944" s="35" t="n">
        <v>0</v>
      </c>
      <c r="I944" s="34" t="n">
        <f aca="false">+IF(E944=0,0,E944*0.03)</f>
        <v>0</v>
      </c>
    </row>
    <row r="945" customFormat="false" ht="15.75" hidden="false" customHeight="true" outlineLevel="0" collapsed="false">
      <c r="A945" s="30" t="n">
        <v>45323</v>
      </c>
      <c r="B945" s="31" t="s">
        <v>11</v>
      </c>
      <c r="C945" s="32"/>
      <c r="D945" s="32"/>
      <c r="E945" s="19" t="n">
        <f aca="false">+IF(C945="EQUIPO",F945,0)</f>
        <v>0</v>
      </c>
      <c r="F945" s="33" t="n">
        <v>0</v>
      </c>
      <c r="G945" s="62"/>
      <c r="H945" s="35" t="n">
        <v>0</v>
      </c>
      <c r="I945" s="34" t="n">
        <f aca="false">+IF(E945=0,0,E945*0.03)</f>
        <v>0</v>
      </c>
    </row>
    <row r="946" customFormat="false" ht="15.75" hidden="false" customHeight="true" outlineLevel="0" collapsed="false">
      <c r="A946" s="30" t="n">
        <v>45323</v>
      </c>
      <c r="B946" s="31" t="s">
        <v>11</v>
      </c>
      <c r="C946" s="32"/>
      <c r="D946" s="32"/>
      <c r="E946" s="19" t="n">
        <f aca="false">+IF(C946="EQUIPO",F946,0)</f>
        <v>0</v>
      </c>
      <c r="F946" s="33" t="n">
        <v>0</v>
      </c>
      <c r="G946" s="62"/>
      <c r="H946" s="35" t="n">
        <v>0</v>
      </c>
      <c r="I946" s="34" t="n">
        <f aca="false">+IF(E946=0,0,E946*0.03)</f>
        <v>0</v>
      </c>
    </row>
    <row r="947" customFormat="false" ht="15.75" hidden="false" customHeight="true" outlineLevel="0" collapsed="false">
      <c r="A947" s="30" t="n">
        <v>45323</v>
      </c>
      <c r="B947" s="31" t="s">
        <v>11</v>
      </c>
      <c r="C947" s="32"/>
      <c r="D947" s="32"/>
      <c r="E947" s="19" t="n">
        <f aca="false">+IF(C947="EQUIPO",F947,0)</f>
        <v>0</v>
      </c>
      <c r="F947" s="33" t="n">
        <v>0</v>
      </c>
      <c r="G947" s="62"/>
      <c r="H947" s="35" t="n">
        <v>0</v>
      </c>
      <c r="I947" s="34" t="n">
        <f aca="false">+IF(E947=0,0,E947*0.03)</f>
        <v>0</v>
      </c>
    </row>
    <row r="948" customFormat="false" ht="15.75" hidden="false" customHeight="true" outlineLevel="0" collapsed="false">
      <c r="A948" s="30" t="n">
        <v>45323</v>
      </c>
      <c r="B948" s="31" t="s">
        <v>11</v>
      </c>
      <c r="C948" s="32"/>
      <c r="D948" s="32"/>
      <c r="E948" s="19" t="n">
        <f aca="false">+IF(C948="EQUIPO",F948,0)</f>
        <v>0</v>
      </c>
      <c r="F948" s="33" t="n">
        <v>0</v>
      </c>
      <c r="G948" s="62"/>
      <c r="H948" s="35" t="n">
        <v>0</v>
      </c>
      <c r="I948" s="34" t="n">
        <f aca="false">+IF(E948=0,0,E948*0.03)</f>
        <v>0</v>
      </c>
    </row>
    <row r="949" customFormat="false" ht="15.75" hidden="false" customHeight="true" outlineLevel="0" collapsed="false">
      <c r="A949" s="30" t="n">
        <v>45323</v>
      </c>
      <c r="B949" s="31" t="s">
        <v>11</v>
      </c>
      <c r="C949" s="32"/>
      <c r="D949" s="32"/>
      <c r="E949" s="19" t="n">
        <f aca="false">+IF(C949="EQUIPO",F949,0)</f>
        <v>0</v>
      </c>
      <c r="F949" s="33" t="n">
        <v>0</v>
      </c>
      <c r="G949" s="62"/>
      <c r="H949" s="35" t="n">
        <v>0</v>
      </c>
      <c r="I949" s="34" t="n">
        <f aca="false">+IF(E949=0,0,E949*0.03)</f>
        <v>0</v>
      </c>
    </row>
    <row r="950" customFormat="false" ht="15.75" hidden="false" customHeight="true" outlineLevel="0" collapsed="false">
      <c r="A950" s="30" t="n">
        <v>45323</v>
      </c>
      <c r="B950" s="31" t="s">
        <v>11</v>
      </c>
      <c r="C950" s="32"/>
      <c r="D950" s="32"/>
      <c r="E950" s="19" t="n">
        <f aca="false">+IF(C950="EQUIPO",F950,0)</f>
        <v>0</v>
      </c>
      <c r="F950" s="33" t="n">
        <v>0</v>
      </c>
      <c r="G950" s="62"/>
      <c r="H950" s="35" t="n">
        <v>0</v>
      </c>
      <c r="I950" s="34" t="n">
        <f aca="false">+IF(E950=0,0,E950*0.03)</f>
        <v>0</v>
      </c>
    </row>
    <row r="951" customFormat="false" ht="15.75" hidden="false" customHeight="true" outlineLevel="0" collapsed="false">
      <c r="A951" s="30" t="n">
        <v>45323</v>
      </c>
      <c r="B951" s="31" t="s">
        <v>11</v>
      </c>
      <c r="C951" s="32"/>
      <c r="D951" s="32"/>
      <c r="E951" s="19" t="n">
        <f aca="false">+IF(C951="EQUIPO",F951,0)</f>
        <v>0</v>
      </c>
      <c r="F951" s="33" t="n">
        <v>0</v>
      </c>
      <c r="G951" s="62"/>
      <c r="H951" s="35" t="n">
        <v>0</v>
      </c>
      <c r="I951" s="34" t="n">
        <f aca="false">+IF(E951=0,0,E951*0.03)</f>
        <v>0</v>
      </c>
    </row>
    <row r="952" customFormat="false" ht="15.75" hidden="false" customHeight="true" outlineLevel="0" collapsed="false">
      <c r="A952" s="30" t="n">
        <v>45323</v>
      </c>
      <c r="B952" s="31" t="s">
        <v>11</v>
      </c>
      <c r="C952" s="32"/>
      <c r="D952" s="32"/>
      <c r="E952" s="19" t="n">
        <f aca="false">+IF(C952="EQUIPO",F952,0)</f>
        <v>0</v>
      </c>
      <c r="F952" s="33" t="n">
        <v>0</v>
      </c>
      <c r="G952" s="62"/>
      <c r="H952" s="35" t="n">
        <v>0</v>
      </c>
      <c r="I952" s="34" t="n">
        <f aca="false">+IF(E952=0,0,E952*0.03)</f>
        <v>0</v>
      </c>
    </row>
    <row r="953" customFormat="false" ht="15.75" hidden="false" customHeight="true" outlineLevel="0" collapsed="false">
      <c r="A953" s="30" t="n">
        <v>45323</v>
      </c>
      <c r="B953" s="31" t="s">
        <v>11</v>
      </c>
      <c r="C953" s="32"/>
      <c r="D953" s="32"/>
      <c r="E953" s="19" t="n">
        <f aca="false">+IF(C953="EQUIPO",F953,0)</f>
        <v>0</v>
      </c>
      <c r="F953" s="33" t="n">
        <v>0</v>
      </c>
      <c r="G953" s="62"/>
      <c r="H953" s="35" t="n">
        <v>0</v>
      </c>
      <c r="I953" s="34" t="n">
        <f aca="false">+IF(E953=0,0,E953*0.03)</f>
        <v>0</v>
      </c>
    </row>
    <row r="954" customFormat="false" ht="15.75" hidden="false" customHeight="true" outlineLevel="0" collapsed="false">
      <c r="A954" s="30" t="n">
        <v>45323</v>
      </c>
      <c r="B954" s="31" t="s">
        <v>11</v>
      </c>
      <c r="C954" s="32"/>
      <c r="D954" s="32"/>
      <c r="E954" s="19" t="n">
        <f aca="false">+IF(C954="EQUIPO",F954,0)</f>
        <v>0</v>
      </c>
      <c r="F954" s="33" t="n">
        <v>0</v>
      </c>
      <c r="G954" s="62"/>
      <c r="H954" s="35" t="n">
        <v>0</v>
      </c>
      <c r="I954" s="34" t="n">
        <f aca="false">+IF(E954=0,0,E954*0.03)</f>
        <v>0</v>
      </c>
    </row>
    <row r="955" customFormat="false" ht="15.75" hidden="false" customHeight="true" outlineLevel="0" collapsed="false">
      <c r="A955" s="30" t="n">
        <v>45323</v>
      </c>
      <c r="B955" s="31" t="s">
        <v>11</v>
      </c>
      <c r="C955" s="32"/>
      <c r="D955" s="32"/>
      <c r="E955" s="19" t="n">
        <f aca="false">+IF(C955="EQUIPO",F955,0)</f>
        <v>0</v>
      </c>
      <c r="F955" s="33" t="n">
        <v>0</v>
      </c>
      <c r="G955" s="62"/>
      <c r="H955" s="35" t="n">
        <v>0</v>
      </c>
      <c r="I955" s="34" t="n">
        <f aca="false">+IF(E955=0,0,E955*0.03)</f>
        <v>0</v>
      </c>
    </row>
    <row r="956" customFormat="false" ht="15.75" hidden="false" customHeight="true" outlineLevel="0" collapsed="false">
      <c r="A956" s="30" t="n">
        <v>45323</v>
      </c>
      <c r="B956" s="31" t="s">
        <v>11</v>
      </c>
      <c r="C956" s="32"/>
      <c r="D956" s="32"/>
      <c r="E956" s="19" t="n">
        <f aca="false">+IF(C956="EQUIPO",F956,0)</f>
        <v>0</v>
      </c>
      <c r="F956" s="33" t="n">
        <v>0</v>
      </c>
      <c r="G956" s="62"/>
      <c r="H956" s="35" t="n">
        <v>0</v>
      </c>
      <c r="I956" s="34" t="n">
        <f aca="false">+IF(E956=0,0,E956*0.03)</f>
        <v>0</v>
      </c>
    </row>
    <row r="957" customFormat="false" ht="15.75" hidden="false" customHeight="true" outlineLevel="0" collapsed="false">
      <c r="A957" s="30" t="n">
        <v>45323</v>
      </c>
      <c r="B957" s="31" t="s">
        <v>11</v>
      </c>
      <c r="C957" s="32"/>
      <c r="D957" s="32"/>
      <c r="E957" s="19" t="n">
        <f aca="false">+IF(C957="EQUIPO",F957,0)</f>
        <v>0</v>
      </c>
      <c r="F957" s="33" t="n">
        <v>0</v>
      </c>
      <c r="G957" s="62"/>
      <c r="H957" s="35" t="n">
        <v>0</v>
      </c>
      <c r="I957" s="34" t="n">
        <f aca="false">+IF(E957=0,0,E957*0.03)</f>
        <v>0</v>
      </c>
    </row>
    <row r="958" customFormat="false" ht="15.75" hidden="false" customHeight="true" outlineLevel="0" collapsed="false">
      <c r="A958" s="30" t="n">
        <v>45323</v>
      </c>
      <c r="B958" s="31" t="s">
        <v>11</v>
      </c>
      <c r="C958" s="32"/>
      <c r="D958" s="32"/>
      <c r="E958" s="19" t="n">
        <f aca="false">+IF(C958="EQUIPO",F958,0)</f>
        <v>0</v>
      </c>
      <c r="F958" s="33" t="n">
        <v>0</v>
      </c>
      <c r="G958" s="62"/>
      <c r="H958" s="35" t="n">
        <v>0</v>
      </c>
      <c r="I958" s="34" t="n">
        <f aca="false">+IF(E958=0,0,E958*0.03)</f>
        <v>0</v>
      </c>
    </row>
    <row r="959" customFormat="false" ht="15.75" hidden="false" customHeight="true" outlineLevel="0" collapsed="false">
      <c r="A959" s="30" t="n">
        <v>45323</v>
      </c>
      <c r="B959" s="31" t="s">
        <v>11</v>
      </c>
      <c r="C959" s="32"/>
      <c r="D959" s="32"/>
      <c r="E959" s="19" t="n">
        <f aca="false">+IF(C959="EQUIPO",F959,0)</f>
        <v>0</v>
      </c>
      <c r="F959" s="33" t="n">
        <v>0</v>
      </c>
      <c r="G959" s="62"/>
      <c r="H959" s="35" t="n">
        <v>0</v>
      </c>
      <c r="I959" s="34" t="n">
        <f aca="false">+IF(E959=0,0,E959*0.03)</f>
        <v>0</v>
      </c>
    </row>
    <row r="960" customFormat="false" ht="15.75" hidden="false" customHeight="true" outlineLevel="0" collapsed="false">
      <c r="A960" s="30" t="n">
        <v>45323</v>
      </c>
      <c r="B960" s="31" t="s">
        <v>11</v>
      </c>
      <c r="C960" s="32"/>
      <c r="D960" s="32"/>
      <c r="E960" s="19" t="n">
        <f aca="false">+IF(C960="EQUIPO",F960,0)</f>
        <v>0</v>
      </c>
      <c r="F960" s="33" t="n">
        <v>0</v>
      </c>
      <c r="G960" s="62"/>
      <c r="H960" s="35" t="n">
        <v>0</v>
      </c>
      <c r="I960" s="34" t="n">
        <f aca="false">+IF(E960=0,0,E960*0.03)</f>
        <v>0</v>
      </c>
    </row>
    <row r="961" customFormat="false" ht="15.75" hidden="false" customHeight="true" outlineLevel="0" collapsed="false">
      <c r="A961" s="30" t="n">
        <v>45323</v>
      </c>
      <c r="B961" s="31" t="s">
        <v>11</v>
      </c>
      <c r="C961" s="32"/>
      <c r="D961" s="32"/>
      <c r="E961" s="19" t="n">
        <f aca="false">+IF(C961="EQUIPO",F961,0)</f>
        <v>0</v>
      </c>
      <c r="F961" s="33" t="n">
        <v>0</v>
      </c>
      <c r="G961" s="62"/>
      <c r="H961" s="35" t="n">
        <v>0</v>
      </c>
      <c r="I961" s="34" t="n">
        <f aca="false">+IF(E961=0,0,E961*0.03)</f>
        <v>0</v>
      </c>
    </row>
    <row r="962" customFormat="false" ht="15.75" hidden="false" customHeight="true" outlineLevel="0" collapsed="false">
      <c r="A962" s="30" t="n">
        <v>45323</v>
      </c>
      <c r="B962" s="31" t="s">
        <v>11</v>
      </c>
      <c r="C962" s="32"/>
      <c r="D962" s="32"/>
      <c r="E962" s="19" t="n">
        <f aca="false">+IF(C962="EQUIPO",F962,0)</f>
        <v>0</v>
      </c>
      <c r="F962" s="33" t="n">
        <v>0</v>
      </c>
      <c r="G962" s="62"/>
      <c r="H962" s="35" t="n">
        <v>0</v>
      </c>
      <c r="I962" s="34" t="n">
        <f aca="false">+IF(E962=0,0,E962*0.03)</f>
        <v>0</v>
      </c>
    </row>
    <row r="963" customFormat="false" ht="15.75" hidden="false" customHeight="true" outlineLevel="0" collapsed="false">
      <c r="A963" s="30" t="n">
        <v>45323</v>
      </c>
      <c r="B963" s="31" t="s">
        <v>11</v>
      </c>
      <c r="C963" s="32"/>
      <c r="D963" s="32"/>
      <c r="E963" s="19" t="n">
        <f aca="false">+IF(C963="EQUIPO",F963,0)</f>
        <v>0</v>
      </c>
      <c r="F963" s="33" t="n">
        <v>0</v>
      </c>
      <c r="G963" s="62"/>
      <c r="H963" s="35" t="n">
        <v>0</v>
      </c>
      <c r="I963" s="34" t="n">
        <f aca="false">+IF(E963=0,0,E963*0.03)</f>
        <v>0</v>
      </c>
    </row>
    <row r="964" customFormat="false" ht="15.75" hidden="false" customHeight="true" outlineLevel="0" collapsed="false">
      <c r="A964" s="30" t="n">
        <v>45323</v>
      </c>
      <c r="B964" s="31" t="s">
        <v>11</v>
      </c>
      <c r="C964" s="32"/>
      <c r="D964" s="32"/>
      <c r="E964" s="19" t="n">
        <f aca="false">+IF(C964="EQUIPO",F964,0)</f>
        <v>0</v>
      </c>
      <c r="F964" s="33" t="n">
        <v>0</v>
      </c>
      <c r="G964" s="62"/>
      <c r="H964" s="35" t="n">
        <v>0</v>
      </c>
      <c r="I964" s="34" t="n">
        <f aca="false">+IF(E964=0,0,E964*0.03)</f>
        <v>0</v>
      </c>
    </row>
    <row r="965" customFormat="false" ht="15.75" hidden="false" customHeight="true" outlineLevel="0" collapsed="false">
      <c r="A965" s="30" t="n">
        <v>45323</v>
      </c>
      <c r="B965" s="31" t="s">
        <v>11</v>
      </c>
      <c r="C965" s="32"/>
      <c r="D965" s="32"/>
      <c r="E965" s="19" t="n">
        <f aca="false">+IF(C965="EQUIPO",F965,0)</f>
        <v>0</v>
      </c>
      <c r="F965" s="33" t="n">
        <v>0</v>
      </c>
      <c r="G965" s="62"/>
      <c r="H965" s="35" t="n">
        <v>0</v>
      </c>
      <c r="I965" s="34" t="n">
        <f aca="false">+IF(E965=0,0,E965*0.03)</f>
        <v>0</v>
      </c>
    </row>
    <row r="966" customFormat="false" ht="15.75" hidden="false" customHeight="true" outlineLevel="0" collapsed="false">
      <c r="A966" s="30" t="n">
        <v>45323</v>
      </c>
      <c r="B966" s="31" t="s">
        <v>11</v>
      </c>
      <c r="C966" s="32"/>
      <c r="D966" s="32"/>
      <c r="E966" s="19" t="n">
        <f aca="false">+IF(C966="EQUIPO",F966,0)</f>
        <v>0</v>
      </c>
      <c r="F966" s="33" t="n">
        <v>0</v>
      </c>
      <c r="G966" s="62"/>
      <c r="H966" s="35" t="n">
        <v>0</v>
      </c>
      <c r="I966" s="34" t="n">
        <f aca="false">+IF(E966=0,0,E966*0.03)</f>
        <v>0</v>
      </c>
    </row>
    <row r="967" customFormat="false" ht="15.75" hidden="false" customHeight="true" outlineLevel="0" collapsed="false">
      <c r="A967" s="30" t="n">
        <v>45323</v>
      </c>
      <c r="B967" s="31" t="s">
        <v>11</v>
      </c>
      <c r="C967" s="32"/>
      <c r="D967" s="32"/>
      <c r="E967" s="19" t="n">
        <f aca="false">+IF(C967="EQUIPO",F967,0)</f>
        <v>0</v>
      </c>
      <c r="F967" s="33" t="n">
        <v>0</v>
      </c>
      <c r="G967" s="62"/>
      <c r="H967" s="35" t="n">
        <v>0</v>
      </c>
      <c r="I967" s="34" t="n">
        <f aca="false">+IF(E967=0,0,E967*0.03)</f>
        <v>0</v>
      </c>
    </row>
    <row r="968" customFormat="false" ht="15.75" hidden="false" customHeight="true" outlineLevel="0" collapsed="false">
      <c r="A968" s="30" t="n">
        <v>45323</v>
      </c>
      <c r="B968" s="31" t="s">
        <v>11</v>
      </c>
      <c r="C968" s="32"/>
      <c r="D968" s="32"/>
      <c r="E968" s="19" t="n">
        <f aca="false">+IF(C968="EQUIPO",F968,0)</f>
        <v>0</v>
      </c>
      <c r="F968" s="33" t="n">
        <v>0</v>
      </c>
      <c r="G968" s="62"/>
      <c r="H968" s="35" t="n">
        <v>0</v>
      </c>
      <c r="I968" s="34" t="n">
        <f aca="false">+IF(E968=0,0,E968*0.03)</f>
        <v>0</v>
      </c>
    </row>
    <row r="969" customFormat="false" ht="15.75" hidden="false" customHeight="true" outlineLevel="0" collapsed="false">
      <c r="A969" s="30" t="n">
        <v>45323</v>
      </c>
      <c r="B969" s="31" t="s">
        <v>11</v>
      </c>
      <c r="C969" s="32"/>
      <c r="D969" s="32"/>
      <c r="E969" s="19" t="n">
        <f aca="false">+IF(C969="EQUIPO",F969,0)</f>
        <v>0</v>
      </c>
      <c r="F969" s="33" t="n">
        <v>0</v>
      </c>
      <c r="G969" s="62"/>
      <c r="H969" s="35" t="n">
        <v>0</v>
      </c>
      <c r="I969" s="34" t="n">
        <f aca="false">+IF(E969=0,0,E969*0.03)</f>
        <v>0</v>
      </c>
    </row>
    <row r="970" customFormat="false" ht="15.75" hidden="false" customHeight="true" outlineLevel="0" collapsed="false">
      <c r="A970" s="30" t="n">
        <v>45323</v>
      </c>
      <c r="B970" s="31" t="s">
        <v>11</v>
      </c>
      <c r="C970" s="32"/>
      <c r="D970" s="32"/>
      <c r="E970" s="19" t="n">
        <f aca="false">+IF(C970="EQUIPO",F970,0)</f>
        <v>0</v>
      </c>
      <c r="F970" s="33" t="n">
        <v>0</v>
      </c>
      <c r="G970" s="62"/>
      <c r="H970" s="35" t="n">
        <v>0</v>
      </c>
      <c r="I970" s="34" t="n">
        <f aca="false">+IF(E970=0,0,E970*0.03)</f>
        <v>0</v>
      </c>
    </row>
    <row r="971" customFormat="false" ht="15.75" hidden="false" customHeight="true" outlineLevel="0" collapsed="false">
      <c r="A971" s="30" t="n">
        <v>45323</v>
      </c>
      <c r="B971" s="31" t="s">
        <v>11</v>
      </c>
      <c r="C971" s="32"/>
      <c r="D971" s="32"/>
      <c r="E971" s="19" t="n">
        <f aca="false">+IF(C971="EQUIPO",F971,0)</f>
        <v>0</v>
      </c>
      <c r="F971" s="33" t="n">
        <v>0</v>
      </c>
      <c r="G971" s="62"/>
      <c r="H971" s="35" t="n">
        <v>0</v>
      </c>
      <c r="I971" s="34" t="n">
        <f aca="false">+IF(E971=0,0,E971*0.03)</f>
        <v>0</v>
      </c>
    </row>
    <row r="972" customFormat="false" ht="15.75" hidden="false" customHeight="true" outlineLevel="0" collapsed="false">
      <c r="A972" s="30" t="n">
        <v>45323</v>
      </c>
      <c r="B972" s="31" t="s">
        <v>11</v>
      </c>
      <c r="C972" s="32"/>
      <c r="D972" s="32"/>
      <c r="E972" s="19" t="n">
        <f aca="false">+IF(C972="EQUIPO",F972,0)</f>
        <v>0</v>
      </c>
      <c r="F972" s="33" t="n">
        <v>0</v>
      </c>
      <c r="G972" s="62"/>
      <c r="H972" s="35" t="n">
        <v>0</v>
      </c>
      <c r="I972" s="34" t="n">
        <f aca="false">+IF(E972=0,0,E972*0.03)</f>
        <v>0</v>
      </c>
    </row>
    <row r="973" customFormat="false" ht="15.75" hidden="false" customHeight="true" outlineLevel="0" collapsed="false">
      <c r="A973" s="30" t="n">
        <v>45323</v>
      </c>
      <c r="B973" s="31" t="s">
        <v>11</v>
      </c>
      <c r="C973" s="32"/>
      <c r="D973" s="32"/>
      <c r="E973" s="19" t="n">
        <f aca="false">+IF(C973="EQUIPO",F973,0)</f>
        <v>0</v>
      </c>
      <c r="F973" s="33" t="n">
        <v>0</v>
      </c>
      <c r="G973" s="62"/>
      <c r="H973" s="35" t="n">
        <v>0</v>
      </c>
      <c r="I973" s="34" t="n">
        <f aca="false">+IF(E973=0,0,E973*0.03)</f>
        <v>0</v>
      </c>
    </row>
    <row r="974" customFormat="false" ht="15.75" hidden="false" customHeight="true" outlineLevel="0" collapsed="false">
      <c r="A974" s="30" t="n">
        <v>45323</v>
      </c>
      <c r="B974" s="31" t="s">
        <v>11</v>
      </c>
      <c r="C974" s="32"/>
      <c r="D974" s="32"/>
      <c r="E974" s="19" t="n">
        <f aca="false">+IF(C974="EQUIPO",F974,0)</f>
        <v>0</v>
      </c>
      <c r="F974" s="33" t="n">
        <v>0</v>
      </c>
      <c r="G974" s="62"/>
      <c r="H974" s="35" t="n">
        <v>0</v>
      </c>
      <c r="I974" s="34" t="n">
        <f aca="false">+IF(E974=0,0,E974*0.03)</f>
        <v>0</v>
      </c>
    </row>
    <row r="975" customFormat="false" ht="15.75" hidden="false" customHeight="true" outlineLevel="0" collapsed="false">
      <c r="A975" s="30" t="n">
        <v>45323</v>
      </c>
      <c r="B975" s="31" t="s">
        <v>11</v>
      </c>
      <c r="C975" s="32"/>
      <c r="D975" s="32"/>
      <c r="E975" s="19" t="n">
        <f aca="false">+IF(C975="EQUIPO",F975,0)</f>
        <v>0</v>
      </c>
      <c r="F975" s="33" t="n">
        <v>0</v>
      </c>
      <c r="G975" s="62"/>
      <c r="H975" s="35" t="n">
        <v>0</v>
      </c>
      <c r="I975" s="34" t="n">
        <f aca="false">+IF(E975=0,0,E975*0.03)</f>
        <v>0</v>
      </c>
    </row>
    <row r="976" customFormat="false" ht="15.75" hidden="false" customHeight="true" outlineLevel="0" collapsed="false">
      <c r="A976" s="30" t="n">
        <v>45323</v>
      </c>
      <c r="B976" s="31" t="s">
        <v>11</v>
      </c>
      <c r="C976" s="32"/>
      <c r="D976" s="32"/>
      <c r="E976" s="19" t="n">
        <f aca="false">+IF(C976="EQUIPO",F976,0)</f>
        <v>0</v>
      </c>
      <c r="F976" s="33" t="n">
        <v>0</v>
      </c>
      <c r="G976" s="62"/>
      <c r="H976" s="35" t="n">
        <v>0</v>
      </c>
      <c r="I976" s="34" t="n">
        <f aca="false">+IF(E976=0,0,E976*0.03)</f>
        <v>0</v>
      </c>
    </row>
    <row r="977" customFormat="false" ht="15.75" hidden="false" customHeight="true" outlineLevel="0" collapsed="false">
      <c r="A977" s="30" t="n">
        <v>45323</v>
      </c>
      <c r="B977" s="31" t="s">
        <v>11</v>
      </c>
      <c r="C977" s="32"/>
      <c r="D977" s="32"/>
      <c r="E977" s="19" t="n">
        <f aca="false">+IF(C977="EQUIPO",F977,0)</f>
        <v>0</v>
      </c>
      <c r="F977" s="33" t="n">
        <v>0</v>
      </c>
      <c r="G977" s="62"/>
      <c r="H977" s="35" t="n">
        <v>0</v>
      </c>
      <c r="I977" s="34" t="n">
        <f aca="false">+IF(E977=0,0,E977*0.03)</f>
        <v>0</v>
      </c>
    </row>
    <row r="978" customFormat="false" ht="15.75" hidden="false" customHeight="true" outlineLevel="0" collapsed="false">
      <c r="A978" s="30" t="n">
        <v>45323</v>
      </c>
      <c r="B978" s="31" t="s">
        <v>11</v>
      </c>
      <c r="C978" s="32"/>
      <c r="D978" s="32"/>
      <c r="E978" s="19" t="n">
        <f aca="false">+IF(C978="EQUIPO",F978,0)</f>
        <v>0</v>
      </c>
      <c r="F978" s="33" t="n">
        <v>0</v>
      </c>
      <c r="G978" s="62"/>
      <c r="H978" s="35" t="n">
        <v>0</v>
      </c>
      <c r="I978" s="34" t="n">
        <f aca="false">+IF(E978=0,0,E978*0.03)</f>
        <v>0</v>
      </c>
    </row>
    <row r="979" customFormat="false" ht="15.75" hidden="false" customHeight="true" outlineLevel="0" collapsed="false">
      <c r="A979" s="30" t="n">
        <v>45323</v>
      </c>
      <c r="B979" s="31" t="s">
        <v>11</v>
      </c>
      <c r="C979" s="32"/>
      <c r="D979" s="32"/>
      <c r="E979" s="19" t="n">
        <f aca="false">+IF(C979="EQUIPO",F979,0)</f>
        <v>0</v>
      </c>
      <c r="F979" s="33" t="n">
        <v>0</v>
      </c>
      <c r="G979" s="62"/>
      <c r="H979" s="35" t="n">
        <v>0</v>
      </c>
      <c r="I979" s="34" t="n">
        <f aca="false">+IF(E979=0,0,E979*0.03)</f>
        <v>0</v>
      </c>
    </row>
    <row r="980" customFormat="false" ht="15.75" hidden="false" customHeight="true" outlineLevel="0" collapsed="false">
      <c r="A980" s="30" t="n">
        <v>45323</v>
      </c>
      <c r="B980" s="31" t="s">
        <v>11</v>
      </c>
      <c r="C980" s="32"/>
      <c r="D980" s="32"/>
      <c r="E980" s="19" t="n">
        <f aca="false">+IF(C980="EQUIPO",F980,0)</f>
        <v>0</v>
      </c>
      <c r="F980" s="33" t="n">
        <v>0</v>
      </c>
      <c r="G980" s="62"/>
      <c r="H980" s="35" t="n">
        <v>0</v>
      </c>
      <c r="I980" s="34" t="n">
        <f aca="false">+IF(E980=0,0,E980*0.03)</f>
        <v>0</v>
      </c>
    </row>
    <row r="981" customFormat="false" ht="15.75" hidden="false" customHeight="true" outlineLevel="0" collapsed="false">
      <c r="A981" s="30" t="n">
        <v>45323</v>
      </c>
      <c r="B981" s="31" t="s">
        <v>11</v>
      </c>
      <c r="C981" s="32"/>
      <c r="D981" s="32"/>
      <c r="E981" s="19" t="n">
        <f aca="false">+IF(C981="EQUIPO",F981,0)</f>
        <v>0</v>
      </c>
      <c r="F981" s="33" t="n">
        <v>0</v>
      </c>
      <c r="G981" s="62"/>
      <c r="H981" s="35" t="n">
        <v>0</v>
      </c>
      <c r="I981" s="34" t="n">
        <f aca="false">+IF(E981=0,0,E981*0.03)</f>
        <v>0</v>
      </c>
    </row>
    <row r="982" customFormat="false" ht="15.75" hidden="false" customHeight="true" outlineLevel="0" collapsed="false">
      <c r="A982" s="30" t="n">
        <v>45323</v>
      </c>
      <c r="B982" s="31" t="s">
        <v>11</v>
      </c>
      <c r="C982" s="32"/>
      <c r="D982" s="32"/>
      <c r="E982" s="19" t="n">
        <f aca="false">+IF(C982="EQUIPO",F982,0)</f>
        <v>0</v>
      </c>
      <c r="F982" s="33" t="n">
        <v>0</v>
      </c>
      <c r="G982" s="62"/>
      <c r="H982" s="35" t="n">
        <v>0</v>
      </c>
      <c r="I982" s="34" t="n">
        <f aca="false">+IF(E982=0,0,E982*0.03)</f>
        <v>0</v>
      </c>
    </row>
    <row r="983" customFormat="false" ht="15.75" hidden="false" customHeight="true" outlineLevel="0" collapsed="false">
      <c r="A983" s="30" t="n">
        <v>45323</v>
      </c>
      <c r="B983" s="31" t="s">
        <v>11</v>
      </c>
      <c r="C983" s="32"/>
      <c r="D983" s="32"/>
      <c r="E983" s="19" t="n">
        <f aca="false">+IF(C983="EQUIPO",F983,0)</f>
        <v>0</v>
      </c>
      <c r="F983" s="33" t="n">
        <v>0</v>
      </c>
      <c r="G983" s="62"/>
      <c r="H983" s="35" t="n">
        <v>0</v>
      </c>
      <c r="I983" s="34" t="n">
        <f aca="false">+IF(E983=0,0,E983*0.03)</f>
        <v>0</v>
      </c>
    </row>
    <row r="984" customFormat="false" ht="15.75" hidden="false" customHeight="true" outlineLevel="0" collapsed="false">
      <c r="A984" s="30" t="n">
        <v>45323</v>
      </c>
      <c r="B984" s="31" t="s">
        <v>11</v>
      </c>
      <c r="C984" s="32"/>
      <c r="D984" s="32"/>
      <c r="E984" s="19" t="n">
        <f aca="false">+IF(C984="EQUIPO",F984,0)</f>
        <v>0</v>
      </c>
      <c r="F984" s="33" t="n">
        <v>0</v>
      </c>
      <c r="G984" s="62"/>
      <c r="H984" s="35" t="n">
        <v>0</v>
      </c>
      <c r="I984" s="34" t="n">
        <f aca="false">+IF(E984=0,0,E984*0.03)</f>
        <v>0</v>
      </c>
    </row>
    <row r="985" customFormat="false" ht="15.75" hidden="false" customHeight="true" outlineLevel="0" collapsed="false">
      <c r="A985" s="30" t="n">
        <v>45323</v>
      </c>
      <c r="B985" s="31" t="s">
        <v>11</v>
      </c>
      <c r="C985" s="32"/>
      <c r="D985" s="32"/>
      <c r="E985" s="19" t="n">
        <f aca="false">+IF(C985="EQUIPO",F985,0)</f>
        <v>0</v>
      </c>
      <c r="F985" s="33" t="n">
        <v>0</v>
      </c>
      <c r="G985" s="62"/>
      <c r="H985" s="35" t="n">
        <v>0</v>
      </c>
      <c r="I985" s="34" t="n">
        <f aca="false">+IF(E985=0,0,E985*0.03)</f>
        <v>0</v>
      </c>
    </row>
    <row r="986" customFormat="false" ht="15.75" hidden="false" customHeight="true" outlineLevel="0" collapsed="false">
      <c r="A986" s="30" t="n">
        <v>45323</v>
      </c>
      <c r="B986" s="31" t="s">
        <v>11</v>
      </c>
      <c r="C986" s="32"/>
      <c r="D986" s="32"/>
      <c r="E986" s="19" t="n">
        <f aca="false">+IF(C986="EQUIPO",F986,0)</f>
        <v>0</v>
      </c>
      <c r="F986" s="33" t="n">
        <v>0</v>
      </c>
      <c r="G986" s="62"/>
      <c r="H986" s="35" t="n">
        <v>0</v>
      </c>
      <c r="I986" s="34" t="n">
        <f aca="false">+IF(E986=0,0,E986*0.03)</f>
        <v>0</v>
      </c>
    </row>
    <row r="987" customFormat="false" ht="15.75" hidden="false" customHeight="true" outlineLevel="0" collapsed="false">
      <c r="A987" s="30" t="n">
        <v>45323</v>
      </c>
      <c r="B987" s="31" t="s">
        <v>11</v>
      </c>
      <c r="C987" s="32"/>
      <c r="D987" s="32"/>
      <c r="E987" s="19" t="n">
        <f aca="false">+IF(C987="EQUIPO",F987,0)</f>
        <v>0</v>
      </c>
      <c r="F987" s="33" t="n">
        <v>0</v>
      </c>
      <c r="G987" s="62"/>
      <c r="H987" s="35" t="n">
        <v>0</v>
      </c>
      <c r="I987" s="34" t="n">
        <f aca="false">+IF(E987=0,0,E987*0.03)</f>
        <v>0</v>
      </c>
    </row>
    <row r="988" customFormat="false" ht="15.75" hidden="false" customHeight="true" outlineLevel="0" collapsed="false">
      <c r="A988" s="30" t="n">
        <v>45323</v>
      </c>
      <c r="B988" s="31" t="s">
        <v>11</v>
      </c>
      <c r="C988" s="32"/>
      <c r="D988" s="32"/>
      <c r="E988" s="19" t="n">
        <f aca="false">+IF(C988="EQUIPO",F988,0)</f>
        <v>0</v>
      </c>
      <c r="F988" s="33" t="n">
        <v>0</v>
      </c>
      <c r="G988" s="62"/>
      <c r="H988" s="35" t="n">
        <v>0</v>
      </c>
      <c r="I988" s="34" t="n">
        <f aca="false">+IF(E988=0,0,E988*0.03)</f>
        <v>0</v>
      </c>
    </row>
    <row r="989" customFormat="false" ht="15.75" hidden="false" customHeight="true" outlineLevel="0" collapsed="false">
      <c r="A989" s="30" t="n">
        <v>45323</v>
      </c>
      <c r="B989" s="31" t="s">
        <v>11</v>
      </c>
      <c r="C989" s="32"/>
      <c r="D989" s="32"/>
      <c r="E989" s="19" t="n">
        <f aca="false">+IF(C989="EQUIPO",F989,0)</f>
        <v>0</v>
      </c>
      <c r="F989" s="33" t="n">
        <v>0</v>
      </c>
      <c r="G989" s="62"/>
      <c r="H989" s="35" t="n">
        <v>0</v>
      </c>
      <c r="I989" s="34" t="n">
        <f aca="false">+IF(E989=0,0,E989*0.03)</f>
        <v>0</v>
      </c>
    </row>
    <row r="990" customFormat="false" ht="15.75" hidden="false" customHeight="true" outlineLevel="0" collapsed="false">
      <c r="A990" s="30" t="n">
        <v>45323</v>
      </c>
      <c r="B990" s="31" t="s">
        <v>11</v>
      </c>
      <c r="C990" s="32"/>
      <c r="D990" s="32"/>
      <c r="E990" s="19" t="n">
        <f aca="false">+IF(C990="EQUIPO",F990,0)</f>
        <v>0</v>
      </c>
      <c r="F990" s="33" t="n">
        <v>0</v>
      </c>
      <c r="G990" s="62"/>
      <c r="H990" s="35" t="n">
        <v>0</v>
      </c>
      <c r="I990" s="34" t="n">
        <f aca="false">+IF(E990=0,0,E990*0.03)</f>
        <v>0</v>
      </c>
    </row>
    <row r="991" customFormat="false" ht="15.75" hidden="false" customHeight="true" outlineLevel="0" collapsed="false">
      <c r="A991" s="30" t="n">
        <v>45323</v>
      </c>
      <c r="B991" s="31" t="s">
        <v>11</v>
      </c>
      <c r="C991" s="32"/>
      <c r="D991" s="32"/>
      <c r="E991" s="19" t="n">
        <f aca="false">+IF(C991="EQUIPO",F991,0)</f>
        <v>0</v>
      </c>
      <c r="F991" s="33" t="n">
        <v>0</v>
      </c>
      <c r="G991" s="62"/>
      <c r="H991" s="35" t="n">
        <v>0</v>
      </c>
      <c r="I991" s="34" t="n">
        <f aca="false">+IF(E991=0,0,E991*0.03)</f>
        <v>0</v>
      </c>
    </row>
    <row r="992" customFormat="false" ht="15.75" hidden="false" customHeight="true" outlineLevel="0" collapsed="false">
      <c r="A992" s="30" t="n">
        <v>45323</v>
      </c>
      <c r="B992" s="31" t="s">
        <v>11</v>
      </c>
      <c r="C992" s="32"/>
      <c r="D992" s="32"/>
      <c r="E992" s="19" t="n">
        <f aca="false">+IF(C992="EQUIPO",F992,0)</f>
        <v>0</v>
      </c>
      <c r="F992" s="33" t="n">
        <v>0</v>
      </c>
      <c r="G992" s="62"/>
      <c r="H992" s="35" t="n">
        <v>0</v>
      </c>
      <c r="I992" s="34" t="n">
        <f aca="false">+IF(E992=0,0,E992*0.03)</f>
        <v>0</v>
      </c>
    </row>
    <row r="993" customFormat="false" ht="15.75" hidden="false" customHeight="true" outlineLevel="0" collapsed="false">
      <c r="A993" s="30" t="n">
        <v>45323</v>
      </c>
      <c r="B993" s="31" t="s">
        <v>11</v>
      </c>
      <c r="C993" s="32"/>
      <c r="D993" s="32"/>
      <c r="E993" s="19" t="n">
        <f aca="false">+IF(C993="EQUIPO",F993,0)</f>
        <v>0</v>
      </c>
      <c r="F993" s="33" t="n">
        <v>0</v>
      </c>
      <c r="G993" s="62"/>
      <c r="H993" s="35" t="n">
        <v>0</v>
      </c>
      <c r="I993" s="34" t="n">
        <f aca="false">+IF(E993=0,0,E993*0.03)</f>
        <v>0</v>
      </c>
    </row>
    <row r="994" customFormat="false" ht="15.75" hidden="false" customHeight="true" outlineLevel="0" collapsed="false">
      <c r="A994" s="30" t="n">
        <v>45323</v>
      </c>
      <c r="B994" s="31" t="s">
        <v>11</v>
      </c>
      <c r="C994" s="32"/>
      <c r="D994" s="32"/>
      <c r="E994" s="19" t="n">
        <f aca="false">+IF(C994="EQUIPO",F994,0)</f>
        <v>0</v>
      </c>
      <c r="F994" s="33" t="n">
        <v>0</v>
      </c>
      <c r="G994" s="62"/>
      <c r="H994" s="35" t="n">
        <v>0</v>
      </c>
      <c r="I994" s="34" t="n">
        <f aca="false">+IF(E994=0,0,E994*0.03)</f>
        <v>0</v>
      </c>
    </row>
    <row r="995" customFormat="false" ht="15.75" hidden="false" customHeight="true" outlineLevel="0" collapsed="false">
      <c r="A995" s="30" t="n">
        <v>45323</v>
      </c>
      <c r="B995" s="31" t="s">
        <v>11</v>
      </c>
      <c r="C995" s="32"/>
      <c r="D995" s="32"/>
      <c r="E995" s="19" t="n">
        <f aca="false">+IF(C995="EQUIPO",F995,0)</f>
        <v>0</v>
      </c>
      <c r="F995" s="33" t="n">
        <v>0</v>
      </c>
      <c r="G995" s="62"/>
      <c r="H995" s="35" t="n">
        <v>0</v>
      </c>
      <c r="I995" s="34" t="n">
        <f aca="false">+IF(E995=0,0,E995*0.03)</f>
        <v>0</v>
      </c>
    </row>
    <row r="996" customFormat="false" ht="15.75" hidden="false" customHeight="true" outlineLevel="0" collapsed="false">
      <c r="A996" s="30" t="n">
        <v>45323</v>
      </c>
      <c r="B996" s="31" t="s">
        <v>11</v>
      </c>
      <c r="C996" s="32"/>
      <c r="D996" s="32"/>
      <c r="E996" s="19" t="n">
        <f aca="false">+IF(C996="EQUIPO",F996,0)</f>
        <v>0</v>
      </c>
      <c r="F996" s="33" t="n">
        <v>0</v>
      </c>
      <c r="G996" s="62"/>
      <c r="H996" s="35" t="n">
        <v>0</v>
      </c>
      <c r="I996" s="34" t="n">
        <f aca="false">+IF(E996=0,0,E996*0.03)</f>
        <v>0</v>
      </c>
    </row>
    <row r="997" customFormat="false" ht="15.75" hidden="false" customHeight="true" outlineLevel="0" collapsed="false">
      <c r="A997" s="30" t="n">
        <v>45323</v>
      </c>
      <c r="B997" s="31" t="s">
        <v>11</v>
      </c>
      <c r="C997" s="32"/>
      <c r="D997" s="32"/>
      <c r="E997" s="19" t="n">
        <f aca="false">+IF(C997="EQUIPO",F997,0)</f>
        <v>0</v>
      </c>
      <c r="F997" s="33" t="n">
        <v>0</v>
      </c>
      <c r="G997" s="62"/>
      <c r="H997" s="35" t="n">
        <v>0</v>
      </c>
      <c r="I997" s="34" t="n">
        <f aca="false">+IF(E997=0,0,E997*0.03)</f>
        <v>0</v>
      </c>
    </row>
    <row r="998" customFormat="false" ht="15.75" hidden="false" customHeight="true" outlineLevel="0" collapsed="false">
      <c r="A998" s="30" t="n">
        <v>45323</v>
      </c>
      <c r="B998" s="31" t="s">
        <v>11</v>
      </c>
      <c r="C998" s="32"/>
      <c r="D998" s="32"/>
      <c r="E998" s="19" t="n">
        <f aca="false">+IF(C998="EQUIPO",F998,0)</f>
        <v>0</v>
      </c>
      <c r="F998" s="33" t="n">
        <v>0</v>
      </c>
      <c r="G998" s="62"/>
      <c r="H998" s="35" t="n">
        <v>0</v>
      </c>
      <c r="I998" s="34" t="n">
        <f aca="false">+IF(E998=0,0,E998*0.03)</f>
        <v>0</v>
      </c>
    </row>
    <row r="999" customFormat="false" ht="15.75" hidden="false" customHeight="true" outlineLevel="0" collapsed="false">
      <c r="A999" s="30" t="n">
        <v>45323</v>
      </c>
      <c r="B999" s="31" t="s">
        <v>11</v>
      </c>
      <c r="C999" s="32"/>
      <c r="D999" s="32"/>
      <c r="E999" s="19" t="n">
        <f aca="false">+IF(C999="EQUIPO",F999,0)</f>
        <v>0</v>
      </c>
      <c r="F999" s="33" t="n">
        <v>0</v>
      </c>
      <c r="G999" s="62"/>
      <c r="H999" s="35" t="n">
        <v>0</v>
      </c>
      <c r="I999" s="34" t="n">
        <f aca="false">+IF(E999=0,0,E999*0.03)</f>
        <v>0</v>
      </c>
    </row>
    <row r="1000" customFormat="false" ht="15.75" hidden="false" customHeight="true" outlineLevel="0" collapsed="false">
      <c r="A1000" s="30" t="n">
        <v>45323</v>
      </c>
      <c r="B1000" s="31" t="s">
        <v>11</v>
      </c>
      <c r="C1000" s="32"/>
      <c r="D1000" s="32"/>
      <c r="E1000" s="19" t="n">
        <f aca="false">+IF(C1000="EQUIPO",F1000,0)</f>
        <v>0</v>
      </c>
      <c r="F1000" s="33" t="n">
        <v>0</v>
      </c>
      <c r="G1000" s="62"/>
      <c r="H1000" s="35" t="n">
        <v>0</v>
      </c>
      <c r="I1000" s="34" t="n">
        <f aca="false">+IF(E1000=0,0,E1000*0.03)</f>
        <v>0</v>
      </c>
    </row>
    <row r="1001" customFormat="false" ht="15.75" hidden="false" customHeight="true" outlineLevel="0" collapsed="false">
      <c r="A1001" s="30" t="n">
        <v>45323</v>
      </c>
      <c r="B1001" s="31" t="s">
        <v>11</v>
      </c>
      <c r="C1001" s="32"/>
      <c r="D1001" s="32"/>
      <c r="E1001" s="19" t="n">
        <f aca="false">+IF(C1001="EQUIPO",F1001,0)</f>
        <v>0</v>
      </c>
      <c r="F1001" s="33" t="n">
        <v>0</v>
      </c>
      <c r="G1001" s="62"/>
      <c r="H1001" s="35" t="n">
        <v>0</v>
      </c>
      <c r="I1001" s="34" t="n">
        <f aca="false">+IF(E1001=0,0,E1001*0.03)</f>
        <v>0</v>
      </c>
    </row>
    <row r="1002" customFormat="false" ht="15.75" hidden="false" customHeight="true" outlineLevel="0" collapsed="false">
      <c r="A1002" s="30" t="n">
        <v>45323</v>
      </c>
      <c r="B1002" s="31" t="s">
        <v>11</v>
      </c>
      <c r="C1002" s="32"/>
      <c r="D1002" s="32"/>
      <c r="E1002" s="19" t="n">
        <f aca="false">+IF(C1002="EQUIPO",F1002,0)</f>
        <v>0</v>
      </c>
      <c r="F1002" s="33" t="n">
        <v>0</v>
      </c>
      <c r="G1002" s="62"/>
      <c r="H1002" s="35" t="n">
        <v>0</v>
      </c>
      <c r="I1002" s="34" t="n">
        <f aca="false">+IF(E1002=0,0,E1002*0.03)</f>
        <v>0</v>
      </c>
    </row>
    <row r="1003" customFormat="false" ht="15.75" hidden="false" customHeight="true" outlineLevel="0" collapsed="false">
      <c r="A1003" s="30" t="n">
        <v>45323</v>
      </c>
      <c r="B1003" s="31" t="s">
        <v>11</v>
      </c>
      <c r="C1003" s="32"/>
      <c r="D1003" s="32"/>
      <c r="E1003" s="19" t="n">
        <f aca="false">+IF(C1003="EQUIPO",F1003,0)</f>
        <v>0</v>
      </c>
      <c r="F1003" s="33" t="n">
        <v>0</v>
      </c>
      <c r="G1003" s="62"/>
      <c r="H1003" s="35" t="n">
        <v>0</v>
      </c>
      <c r="I1003" s="34" t="n">
        <f aca="false">+IF(E1003=0,0,E1003*0.03)</f>
        <v>0</v>
      </c>
    </row>
    <row r="1004" customFormat="false" ht="15.75" hidden="false" customHeight="true" outlineLevel="0" collapsed="false">
      <c r="A1004" s="30" t="n">
        <v>45323</v>
      </c>
      <c r="B1004" s="31" t="s">
        <v>11</v>
      </c>
      <c r="C1004" s="32"/>
      <c r="D1004" s="32"/>
      <c r="E1004" s="19" t="n">
        <f aca="false">+IF(C1004="EQUIPO",F1004,0)</f>
        <v>0</v>
      </c>
      <c r="F1004" s="33" t="n">
        <v>0</v>
      </c>
      <c r="G1004" s="62"/>
      <c r="H1004" s="35" t="n">
        <v>0</v>
      </c>
      <c r="I1004" s="34" t="n">
        <f aca="false">+IF(E1004=0,0,E1004*0.03)</f>
        <v>0</v>
      </c>
    </row>
    <row r="1005" customFormat="false" ht="15.75" hidden="false" customHeight="true" outlineLevel="0" collapsed="false">
      <c r="A1005" s="30" t="n">
        <v>45323</v>
      </c>
      <c r="B1005" s="31" t="s">
        <v>11</v>
      </c>
      <c r="C1005" s="32"/>
      <c r="D1005" s="32"/>
      <c r="E1005" s="19" t="n">
        <f aca="false">+IF(C1005="EQUIPO",F1005,0)</f>
        <v>0</v>
      </c>
      <c r="F1005" s="33" t="n">
        <v>0</v>
      </c>
      <c r="G1005" s="62"/>
      <c r="H1005" s="35" t="n">
        <v>0</v>
      </c>
      <c r="I1005" s="34" t="n">
        <f aca="false">+IF(E1005=0,0,E1005*0.03)</f>
        <v>0</v>
      </c>
    </row>
    <row r="1006" customFormat="false" ht="15.75" hidden="false" customHeight="true" outlineLevel="0" collapsed="false">
      <c r="A1006" s="30" t="n">
        <v>45323</v>
      </c>
      <c r="B1006" s="31" t="s">
        <v>11</v>
      </c>
      <c r="C1006" s="32"/>
      <c r="D1006" s="32"/>
      <c r="E1006" s="19" t="n">
        <f aca="false">+IF(C1006="EQUIPO",F1006,0)</f>
        <v>0</v>
      </c>
      <c r="F1006" s="33" t="n">
        <v>0</v>
      </c>
      <c r="G1006" s="62"/>
      <c r="H1006" s="35" t="n">
        <v>0</v>
      </c>
      <c r="I1006" s="34" t="n">
        <f aca="false">+IF(E1006=0,0,E1006*0.03)</f>
        <v>0</v>
      </c>
    </row>
    <row r="1007" customFormat="false" ht="15.75" hidden="false" customHeight="true" outlineLevel="0" collapsed="false">
      <c r="A1007" s="30" t="n">
        <v>45323</v>
      </c>
      <c r="B1007" s="31" t="s">
        <v>11</v>
      </c>
      <c r="C1007" s="32"/>
      <c r="D1007" s="32"/>
      <c r="E1007" s="19" t="n">
        <f aca="false">+IF(C1007="EQUIPO",F1007,0)</f>
        <v>0</v>
      </c>
      <c r="F1007" s="33" t="n">
        <v>0</v>
      </c>
      <c r="G1007" s="62"/>
      <c r="H1007" s="35" t="n">
        <v>0</v>
      </c>
      <c r="I1007" s="34" t="n">
        <f aca="false">+IF(E1007=0,0,E1007*0.03)</f>
        <v>0</v>
      </c>
    </row>
    <row r="1008" customFormat="false" ht="15.75" hidden="false" customHeight="true" outlineLevel="0" collapsed="false">
      <c r="A1008" s="30" t="n">
        <v>45323</v>
      </c>
      <c r="B1008" s="31" t="s">
        <v>11</v>
      </c>
      <c r="C1008" s="32"/>
      <c r="D1008" s="32"/>
      <c r="E1008" s="19" t="n">
        <f aca="false">+IF(C1008="EQUIPO",F1008,0)</f>
        <v>0</v>
      </c>
      <c r="F1008" s="33" t="n">
        <v>0</v>
      </c>
      <c r="G1008" s="62"/>
      <c r="H1008" s="35" t="n">
        <v>0</v>
      </c>
      <c r="I1008" s="34" t="n">
        <f aca="false">+IF(E1008=0,0,E1008*0.03)</f>
        <v>0</v>
      </c>
    </row>
    <row r="1009" customFormat="false" ht="15.75" hidden="false" customHeight="true" outlineLevel="0" collapsed="false">
      <c r="A1009" s="30" t="n">
        <v>45323</v>
      </c>
      <c r="B1009" s="31" t="s">
        <v>11</v>
      </c>
      <c r="C1009" s="32"/>
      <c r="D1009" s="32"/>
      <c r="E1009" s="19" t="n">
        <f aca="false">+IF(C1009="EQUIPO",F1009,0)</f>
        <v>0</v>
      </c>
      <c r="F1009" s="33" t="n">
        <v>0</v>
      </c>
      <c r="G1009" s="62"/>
      <c r="H1009" s="35" t="n">
        <v>0</v>
      </c>
      <c r="I1009" s="34" t="n">
        <f aca="false">+IF(E1009=0,0,E1009*0.03)</f>
        <v>0</v>
      </c>
    </row>
    <row r="1010" customFormat="false" ht="15.75" hidden="false" customHeight="true" outlineLevel="0" collapsed="false">
      <c r="A1010" s="30" t="n">
        <v>45323</v>
      </c>
      <c r="B1010" s="31" t="s">
        <v>11</v>
      </c>
      <c r="C1010" s="32"/>
      <c r="D1010" s="32"/>
      <c r="E1010" s="19" t="n">
        <f aca="false">+IF(C1010="EQUIPO",F1010,0)</f>
        <v>0</v>
      </c>
      <c r="F1010" s="33" t="n">
        <v>0</v>
      </c>
      <c r="G1010" s="62"/>
      <c r="H1010" s="35" t="n">
        <v>0</v>
      </c>
      <c r="I1010" s="34" t="n">
        <f aca="false">+IF(E1010=0,0,E1010*0.03)</f>
        <v>0</v>
      </c>
    </row>
    <row r="1011" customFormat="false" ht="15.75" hidden="false" customHeight="true" outlineLevel="0" collapsed="false">
      <c r="A1011" s="30" t="n">
        <v>45323</v>
      </c>
      <c r="B1011" s="31" t="s">
        <v>11</v>
      </c>
      <c r="C1011" s="32"/>
      <c r="D1011" s="32"/>
      <c r="E1011" s="19" t="n">
        <f aca="false">+IF(C1011="EQUIPO",F1011,0)</f>
        <v>0</v>
      </c>
      <c r="F1011" s="33" t="n">
        <v>0</v>
      </c>
      <c r="G1011" s="62"/>
      <c r="H1011" s="35" t="n">
        <v>0</v>
      </c>
      <c r="I1011" s="34" t="n">
        <f aca="false">+IF(E1011=0,0,E1011*0.03)</f>
        <v>0</v>
      </c>
    </row>
    <row r="1012" customFormat="false" ht="15.75" hidden="false" customHeight="true" outlineLevel="0" collapsed="false">
      <c r="A1012" s="30" t="n">
        <v>45323</v>
      </c>
      <c r="B1012" s="31" t="s">
        <v>11</v>
      </c>
      <c r="C1012" s="32"/>
      <c r="D1012" s="32"/>
      <c r="E1012" s="19" t="n">
        <f aca="false">+IF(C1012="EQUIPO",F1012,0)</f>
        <v>0</v>
      </c>
      <c r="F1012" s="33" t="n">
        <v>0</v>
      </c>
      <c r="G1012" s="62"/>
      <c r="H1012" s="35" t="n">
        <v>0</v>
      </c>
      <c r="I1012" s="34" t="n">
        <f aca="false">+IF(E1012=0,0,E1012*0.03)</f>
        <v>0</v>
      </c>
    </row>
    <row r="1013" customFormat="false" ht="15.75" hidden="false" customHeight="true" outlineLevel="0" collapsed="false">
      <c r="A1013" s="30" t="n">
        <v>45323</v>
      </c>
      <c r="B1013" s="31" t="s">
        <v>11</v>
      </c>
      <c r="C1013" s="32"/>
      <c r="D1013" s="32"/>
      <c r="E1013" s="19" t="n">
        <f aca="false">+IF(C1013="EQUIPO",F1013,0)</f>
        <v>0</v>
      </c>
      <c r="F1013" s="33" t="n">
        <v>0</v>
      </c>
      <c r="G1013" s="62"/>
      <c r="H1013" s="35" t="n">
        <v>0</v>
      </c>
      <c r="I1013" s="34" t="n">
        <f aca="false">+IF(E1013=0,0,E1013*0.03)</f>
        <v>0</v>
      </c>
    </row>
    <row r="1014" customFormat="false" ht="15.75" hidden="false" customHeight="true" outlineLevel="0" collapsed="false">
      <c r="A1014" s="30" t="n">
        <v>45323</v>
      </c>
      <c r="B1014" s="31" t="s">
        <v>11</v>
      </c>
      <c r="C1014" s="32"/>
      <c r="D1014" s="32"/>
      <c r="E1014" s="19" t="n">
        <f aca="false">+IF(C1014="EQUIPO",F1014,0)</f>
        <v>0</v>
      </c>
      <c r="F1014" s="33" t="n">
        <v>0</v>
      </c>
      <c r="G1014" s="62"/>
      <c r="H1014" s="35" t="n">
        <v>0</v>
      </c>
      <c r="I1014" s="34" t="n">
        <f aca="false">+IF(E1014=0,0,E1014*0.03)</f>
        <v>0</v>
      </c>
    </row>
    <row r="1015" customFormat="false" ht="15.75" hidden="false" customHeight="true" outlineLevel="0" collapsed="false">
      <c r="A1015" s="30" t="n">
        <v>45323</v>
      </c>
      <c r="B1015" s="31" t="s">
        <v>11</v>
      </c>
      <c r="C1015" s="32"/>
      <c r="D1015" s="32"/>
      <c r="E1015" s="19" t="n">
        <f aca="false">+IF(C1015="EQUIPO",F1015,0)</f>
        <v>0</v>
      </c>
      <c r="F1015" s="33" t="n">
        <v>0</v>
      </c>
      <c r="G1015" s="62"/>
      <c r="H1015" s="35" t="n">
        <v>0</v>
      </c>
      <c r="I1015" s="34" t="n">
        <f aca="false">+IF(E1015=0,0,E1015*0.03)</f>
        <v>0</v>
      </c>
    </row>
    <row r="1016" customFormat="false" ht="15.75" hidden="false" customHeight="true" outlineLevel="0" collapsed="false">
      <c r="A1016" s="30" t="n">
        <v>45323</v>
      </c>
      <c r="B1016" s="31" t="s">
        <v>11</v>
      </c>
      <c r="C1016" s="32"/>
      <c r="D1016" s="32"/>
      <c r="E1016" s="19" t="n">
        <f aca="false">+IF(C1016="EQUIPO",F1016,0)</f>
        <v>0</v>
      </c>
      <c r="F1016" s="33" t="n">
        <v>0</v>
      </c>
      <c r="G1016" s="62"/>
      <c r="H1016" s="35" t="n">
        <v>0</v>
      </c>
      <c r="I1016" s="34" t="n">
        <f aca="false">+IF(E1016=0,0,E1016*0.03)</f>
        <v>0</v>
      </c>
    </row>
    <row r="1017" customFormat="false" ht="15.75" hidden="false" customHeight="true" outlineLevel="0" collapsed="false">
      <c r="A1017" s="30" t="n">
        <v>45323</v>
      </c>
      <c r="B1017" s="31" t="s">
        <v>11</v>
      </c>
      <c r="C1017" s="32"/>
      <c r="D1017" s="32"/>
      <c r="E1017" s="19" t="n">
        <f aca="false">+IF(C1017="EQUIPO",F1017,0)</f>
        <v>0</v>
      </c>
      <c r="F1017" s="33" t="n">
        <v>0</v>
      </c>
      <c r="G1017" s="62"/>
      <c r="H1017" s="35" t="n">
        <v>0</v>
      </c>
      <c r="I1017" s="34" t="n">
        <f aca="false">+IF(E1017=0,0,E1017*0.03)</f>
        <v>0</v>
      </c>
    </row>
    <row r="1018" customFormat="false" ht="15.75" hidden="false" customHeight="true" outlineLevel="0" collapsed="false">
      <c r="A1018" s="30" t="n">
        <v>45323</v>
      </c>
      <c r="B1018" s="31" t="s">
        <v>11</v>
      </c>
      <c r="C1018" s="32"/>
      <c r="D1018" s="32"/>
      <c r="E1018" s="19" t="n">
        <f aca="false">+IF(C1018="EQUIPO",F1018,0)</f>
        <v>0</v>
      </c>
      <c r="F1018" s="33" t="n">
        <v>0</v>
      </c>
      <c r="G1018" s="62"/>
      <c r="H1018" s="35" t="n">
        <v>0</v>
      </c>
      <c r="I1018" s="34" t="n">
        <f aca="false">+IF(E1018=0,0,E1018*0.03)</f>
        <v>0</v>
      </c>
    </row>
    <row r="1019" customFormat="false" ht="15.75" hidden="false" customHeight="true" outlineLevel="0" collapsed="false">
      <c r="A1019" s="30" t="n">
        <v>45323</v>
      </c>
      <c r="B1019" s="31" t="s">
        <v>11</v>
      </c>
      <c r="C1019" s="32"/>
      <c r="D1019" s="32"/>
      <c r="E1019" s="19" t="n">
        <f aca="false">+IF(C1019="EQUIPO",F1019,0)</f>
        <v>0</v>
      </c>
      <c r="F1019" s="33" t="n">
        <v>0</v>
      </c>
      <c r="G1019" s="62"/>
      <c r="H1019" s="35" t="n">
        <v>0</v>
      </c>
      <c r="I1019" s="34" t="n">
        <f aca="false">+IF(E1019=0,0,E1019*0.03)</f>
        <v>0</v>
      </c>
    </row>
    <row r="1020" customFormat="false" ht="15.75" hidden="false" customHeight="true" outlineLevel="0" collapsed="false">
      <c r="A1020" s="30" t="n">
        <v>45323</v>
      </c>
      <c r="B1020" s="31" t="s">
        <v>11</v>
      </c>
      <c r="C1020" s="32"/>
      <c r="D1020" s="32"/>
      <c r="E1020" s="19" t="n">
        <f aca="false">+IF(C1020="EQUIPO",F1020,0)</f>
        <v>0</v>
      </c>
      <c r="F1020" s="33" t="n">
        <v>0</v>
      </c>
      <c r="G1020" s="62"/>
      <c r="H1020" s="35" t="n">
        <v>0</v>
      </c>
      <c r="I1020" s="34" t="n">
        <f aca="false">+IF(E1020=0,0,E1020*0.03)</f>
        <v>0</v>
      </c>
    </row>
    <row r="1021" customFormat="false" ht="15.75" hidden="false" customHeight="true" outlineLevel="0" collapsed="false">
      <c r="A1021" s="30" t="n">
        <v>45323</v>
      </c>
      <c r="B1021" s="31" t="s">
        <v>11</v>
      </c>
      <c r="C1021" s="32"/>
      <c r="D1021" s="32"/>
      <c r="E1021" s="19" t="n">
        <f aca="false">+IF(C1021="EQUIPO",F1021,0)</f>
        <v>0</v>
      </c>
      <c r="F1021" s="33" t="n">
        <v>0</v>
      </c>
      <c r="G1021" s="62"/>
      <c r="H1021" s="35" t="n">
        <v>0</v>
      </c>
      <c r="I1021" s="34" t="n">
        <f aca="false">+IF(E1021=0,0,E1021*0.03)</f>
        <v>0</v>
      </c>
    </row>
    <row r="1022" customFormat="false" ht="15.75" hidden="false" customHeight="true" outlineLevel="0" collapsed="false">
      <c r="A1022" s="30" t="n">
        <v>45323</v>
      </c>
      <c r="B1022" s="31" t="s">
        <v>11</v>
      </c>
      <c r="C1022" s="32"/>
      <c r="D1022" s="32"/>
      <c r="E1022" s="19" t="n">
        <f aca="false">+IF(C1022="EQUIPO",F1022,0)</f>
        <v>0</v>
      </c>
      <c r="F1022" s="33" t="n">
        <v>0</v>
      </c>
      <c r="G1022" s="62"/>
      <c r="H1022" s="35" t="n">
        <v>0</v>
      </c>
      <c r="I1022" s="34" t="n">
        <f aca="false">+IF(E1022=0,0,E1022*0.03)</f>
        <v>0</v>
      </c>
    </row>
    <row r="1023" customFormat="false" ht="15.75" hidden="false" customHeight="true" outlineLevel="0" collapsed="false">
      <c r="A1023" s="30" t="n">
        <v>45323</v>
      </c>
      <c r="B1023" s="31" t="s">
        <v>11</v>
      </c>
      <c r="C1023" s="32"/>
      <c r="D1023" s="32"/>
      <c r="E1023" s="19" t="n">
        <f aca="false">+IF(C1023="EQUIPO",F1023,0)</f>
        <v>0</v>
      </c>
      <c r="F1023" s="33" t="n">
        <v>0</v>
      </c>
      <c r="G1023" s="62"/>
      <c r="H1023" s="35" t="n">
        <v>0</v>
      </c>
      <c r="I1023" s="34" t="n">
        <f aca="false">+IF(E1023=0,0,E1023*0.03)</f>
        <v>0</v>
      </c>
    </row>
    <row r="1024" customFormat="false" ht="15.75" hidden="false" customHeight="true" outlineLevel="0" collapsed="false">
      <c r="A1024" s="30" t="n">
        <v>45323</v>
      </c>
      <c r="B1024" s="31" t="s">
        <v>11</v>
      </c>
      <c r="C1024" s="32"/>
      <c r="D1024" s="32"/>
      <c r="E1024" s="19" t="n">
        <f aca="false">+IF(C1024="EQUIPO",F1024,0)</f>
        <v>0</v>
      </c>
      <c r="F1024" s="33" t="n">
        <v>0</v>
      </c>
      <c r="G1024" s="62"/>
      <c r="H1024" s="35" t="n">
        <v>0</v>
      </c>
      <c r="I1024" s="34" t="n">
        <f aca="false">+IF(E1024=0,0,E1024*0.03)</f>
        <v>0</v>
      </c>
    </row>
    <row r="1025" customFormat="false" ht="15.75" hidden="false" customHeight="true" outlineLevel="0" collapsed="false">
      <c r="A1025" s="30" t="n">
        <v>45323</v>
      </c>
      <c r="B1025" s="31" t="s">
        <v>11</v>
      </c>
      <c r="C1025" s="32"/>
      <c r="D1025" s="32"/>
      <c r="E1025" s="19" t="n">
        <f aca="false">+IF(C1025="EQUIPO",F1025,0)</f>
        <v>0</v>
      </c>
      <c r="F1025" s="33" t="n">
        <v>0</v>
      </c>
      <c r="G1025" s="62"/>
      <c r="H1025" s="35" t="n">
        <v>0</v>
      </c>
      <c r="I1025" s="34" t="n">
        <f aca="false">+IF(E1025=0,0,E1025*0.03)</f>
        <v>0</v>
      </c>
    </row>
    <row r="1026" customFormat="false" ht="15.75" hidden="false" customHeight="true" outlineLevel="0" collapsed="false">
      <c r="A1026" s="30" t="n">
        <v>45323</v>
      </c>
      <c r="B1026" s="31" t="s">
        <v>11</v>
      </c>
      <c r="C1026" s="32"/>
      <c r="D1026" s="32"/>
      <c r="E1026" s="19" t="n">
        <f aca="false">+IF(C1026="EQUIPO",F1026,0)</f>
        <v>0</v>
      </c>
      <c r="F1026" s="33" t="n">
        <v>0</v>
      </c>
      <c r="G1026" s="62"/>
      <c r="H1026" s="35" t="n">
        <v>0</v>
      </c>
      <c r="I1026" s="34" t="n">
        <f aca="false">+IF(E1026=0,0,E1026*0.03)</f>
        <v>0</v>
      </c>
    </row>
    <row r="1027" customFormat="false" ht="15.75" hidden="false" customHeight="true" outlineLevel="0" collapsed="false">
      <c r="A1027" s="30" t="n">
        <v>45323</v>
      </c>
      <c r="B1027" s="31" t="s">
        <v>11</v>
      </c>
      <c r="C1027" s="32"/>
      <c r="D1027" s="32"/>
      <c r="E1027" s="19" t="n">
        <f aca="false">+IF(C1027="EQUIPO",F1027,0)</f>
        <v>0</v>
      </c>
      <c r="F1027" s="33" t="n">
        <v>0</v>
      </c>
      <c r="G1027" s="62"/>
      <c r="H1027" s="35" t="n">
        <v>0</v>
      </c>
      <c r="I1027" s="34" t="n">
        <f aca="false">+IF(E1027=0,0,E1027*0.03)</f>
        <v>0</v>
      </c>
    </row>
    <row r="1028" customFormat="false" ht="15.75" hidden="false" customHeight="true" outlineLevel="0" collapsed="false">
      <c r="A1028" s="30" t="n">
        <v>45323</v>
      </c>
      <c r="B1028" s="31" t="s">
        <v>11</v>
      </c>
      <c r="C1028" s="32"/>
      <c r="D1028" s="32"/>
      <c r="E1028" s="19" t="n">
        <f aca="false">+IF(C1028="EQUIPO",F1028,0)</f>
        <v>0</v>
      </c>
      <c r="F1028" s="33" t="n">
        <v>0</v>
      </c>
      <c r="G1028" s="62"/>
      <c r="H1028" s="35" t="n">
        <v>0</v>
      </c>
      <c r="I1028" s="34" t="n">
        <f aca="false">+IF(E1028=0,0,E1028*0.03)</f>
        <v>0</v>
      </c>
    </row>
    <row r="1029" customFormat="false" ht="15.75" hidden="false" customHeight="true" outlineLevel="0" collapsed="false">
      <c r="A1029" s="30" t="n">
        <v>45323</v>
      </c>
      <c r="B1029" s="31" t="s">
        <v>11</v>
      </c>
      <c r="C1029" s="32"/>
      <c r="D1029" s="32"/>
      <c r="E1029" s="19" t="n">
        <f aca="false">+IF(C1029="EQUIPO",F1029,0)</f>
        <v>0</v>
      </c>
      <c r="F1029" s="33" t="n">
        <v>0</v>
      </c>
      <c r="G1029" s="62"/>
      <c r="H1029" s="35" t="n">
        <v>0</v>
      </c>
      <c r="I1029" s="34" t="n">
        <f aca="false">+IF(E1029=0,0,E1029*0.03)</f>
        <v>0</v>
      </c>
    </row>
    <row r="1030" customFormat="false" ht="15.75" hidden="false" customHeight="true" outlineLevel="0" collapsed="false">
      <c r="A1030" s="30" t="n">
        <v>45323</v>
      </c>
      <c r="B1030" s="31" t="s">
        <v>11</v>
      </c>
      <c r="C1030" s="32"/>
      <c r="D1030" s="32"/>
      <c r="E1030" s="19" t="n">
        <f aca="false">+IF(C1030="EQUIPO",F1030,0)</f>
        <v>0</v>
      </c>
      <c r="F1030" s="33" t="n">
        <v>0</v>
      </c>
      <c r="G1030" s="62"/>
      <c r="H1030" s="35" t="n">
        <v>0</v>
      </c>
      <c r="I1030" s="34" t="n">
        <f aca="false">+IF(E1030=0,0,E1030*0.03)</f>
        <v>0</v>
      </c>
    </row>
    <row r="1031" customFormat="false" ht="15.75" hidden="false" customHeight="true" outlineLevel="0" collapsed="false">
      <c r="A1031" s="30" t="n">
        <v>45323</v>
      </c>
      <c r="B1031" s="31" t="s">
        <v>11</v>
      </c>
      <c r="C1031" s="32"/>
      <c r="D1031" s="32"/>
      <c r="E1031" s="19" t="n">
        <f aca="false">+IF(C1031="EQUIPO",F1031,0)</f>
        <v>0</v>
      </c>
      <c r="F1031" s="33" t="n">
        <v>0</v>
      </c>
      <c r="G1031" s="62"/>
      <c r="H1031" s="35" t="n">
        <v>0</v>
      </c>
      <c r="I1031" s="34" t="n">
        <f aca="false">+IF(E1031=0,0,E1031*0.03)</f>
        <v>0</v>
      </c>
    </row>
    <row r="1032" customFormat="false" ht="15.75" hidden="false" customHeight="true" outlineLevel="0" collapsed="false">
      <c r="A1032" s="30" t="n">
        <v>45323</v>
      </c>
      <c r="B1032" s="31" t="s">
        <v>11</v>
      </c>
      <c r="C1032" s="32"/>
      <c r="D1032" s="32"/>
      <c r="E1032" s="19" t="n">
        <f aca="false">+IF(C1032="EQUIPO",F1032,0)</f>
        <v>0</v>
      </c>
      <c r="F1032" s="33" t="n">
        <v>0</v>
      </c>
      <c r="G1032" s="62"/>
      <c r="H1032" s="35" t="n">
        <v>0</v>
      </c>
      <c r="I1032" s="34" t="n">
        <f aca="false">+IF(E1032=0,0,E1032*0.03)</f>
        <v>0</v>
      </c>
    </row>
    <row r="1033" customFormat="false" ht="15.75" hidden="false" customHeight="true" outlineLevel="0" collapsed="false">
      <c r="A1033" s="30" t="n">
        <v>45323</v>
      </c>
      <c r="B1033" s="31" t="s">
        <v>11</v>
      </c>
      <c r="C1033" s="32"/>
      <c r="D1033" s="32"/>
      <c r="E1033" s="19" t="n">
        <f aca="false">+IF(C1033="EQUIPO",F1033,0)</f>
        <v>0</v>
      </c>
      <c r="F1033" s="33" t="n">
        <v>0</v>
      </c>
      <c r="G1033" s="62"/>
      <c r="H1033" s="35" t="n">
        <v>0</v>
      </c>
      <c r="I1033" s="34" t="n">
        <f aca="false">+IF(E1033=0,0,E1033*0.03)</f>
        <v>0</v>
      </c>
    </row>
    <row r="1034" customFormat="false" ht="15.75" hidden="false" customHeight="true" outlineLevel="0" collapsed="false">
      <c r="A1034" s="30" t="n">
        <v>45323</v>
      </c>
      <c r="B1034" s="31" t="s">
        <v>11</v>
      </c>
      <c r="C1034" s="32"/>
      <c r="D1034" s="32"/>
      <c r="E1034" s="19" t="n">
        <f aca="false">+IF(C1034="EQUIPO",F1034,0)</f>
        <v>0</v>
      </c>
      <c r="F1034" s="33" t="n">
        <v>0</v>
      </c>
      <c r="G1034" s="62"/>
      <c r="H1034" s="35" t="n">
        <v>0</v>
      </c>
      <c r="I1034" s="34" t="n">
        <f aca="false">+IF(E1034=0,0,E1034*0.03)</f>
        <v>0</v>
      </c>
    </row>
    <row r="1035" customFormat="false" ht="15.75" hidden="false" customHeight="true" outlineLevel="0" collapsed="false">
      <c r="A1035" s="30" t="n">
        <v>45323</v>
      </c>
      <c r="B1035" s="31" t="s">
        <v>11</v>
      </c>
      <c r="C1035" s="32"/>
      <c r="D1035" s="32"/>
      <c r="E1035" s="19" t="n">
        <f aca="false">+IF(C1035="EQUIPO",F1035,0)</f>
        <v>0</v>
      </c>
      <c r="F1035" s="33" t="n">
        <v>0</v>
      </c>
      <c r="G1035" s="62"/>
      <c r="H1035" s="35" t="n">
        <v>0</v>
      </c>
      <c r="I1035" s="34" t="n">
        <f aca="false">+IF(E1035=0,0,E1035*0.03)</f>
        <v>0</v>
      </c>
    </row>
    <row r="1036" customFormat="false" ht="15.75" hidden="false" customHeight="true" outlineLevel="0" collapsed="false">
      <c r="A1036" s="30" t="n">
        <v>45323</v>
      </c>
      <c r="B1036" s="31" t="s">
        <v>11</v>
      </c>
      <c r="C1036" s="32"/>
      <c r="D1036" s="32"/>
      <c r="E1036" s="19" t="n">
        <f aca="false">+IF(C1036="EQUIPO",F1036,0)</f>
        <v>0</v>
      </c>
      <c r="F1036" s="33" t="n">
        <v>0</v>
      </c>
      <c r="G1036" s="62"/>
      <c r="H1036" s="35" t="n">
        <v>0</v>
      </c>
      <c r="I1036" s="34" t="n">
        <f aca="false">+IF(E1036=0,0,E1036*0.03)</f>
        <v>0</v>
      </c>
    </row>
    <row r="1037" customFormat="false" ht="15.75" hidden="false" customHeight="true" outlineLevel="0" collapsed="false">
      <c r="A1037" s="30" t="n">
        <v>45323</v>
      </c>
      <c r="B1037" s="31" t="s">
        <v>11</v>
      </c>
      <c r="C1037" s="32"/>
      <c r="D1037" s="32"/>
      <c r="E1037" s="19" t="n">
        <f aca="false">+IF(C1037="EQUIPO",F1037,0)</f>
        <v>0</v>
      </c>
      <c r="F1037" s="33" t="n">
        <v>0</v>
      </c>
      <c r="G1037" s="62"/>
      <c r="H1037" s="35" t="n">
        <v>0</v>
      </c>
      <c r="I1037" s="34" t="n">
        <f aca="false">+IF(E1037=0,0,E1037*0.03)</f>
        <v>0</v>
      </c>
    </row>
    <row r="1038" customFormat="false" ht="15.75" hidden="false" customHeight="true" outlineLevel="0" collapsed="false">
      <c r="A1038" s="30" t="n">
        <v>45323</v>
      </c>
      <c r="B1038" s="31" t="s">
        <v>11</v>
      </c>
      <c r="C1038" s="32"/>
      <c r="D1038" s="32"/>
      <c r="E1038" s="19" t="n">
        <f aca="false">+IF(C1038="EQUIPO",F1038,0)</f>
        <v>0</v>
      </c>
      <c r="F1038" s="33" t="n">
        <v>0</v>
      </c>
      <c r="G1038" s="62"/>
      <c r="H1038" s="35" t="n">
        <v>0</v>
      </c>
      <c r="I1038" s="34" t="n">
        <f aca="false">+IF(E1038=0,0,E1038*0.03)</f>
        <v>0</v>
      </c>
    </row>
    <row r="1039" customFormat="false" ht="15.75" hidden="false" customHeight="true" outlineLevel="0" collapsed="false">
      <c r="A1039" s="30" t="n">
        <v>45323</v>
      </c>
      <c r="B1039" s="31" t="s">
        <v>11</v>
      </c>
      <c r="C1039" s="32"/>
      <c r="D1039" s="32"/>
      <c r="E1039" s="19" t="n">
        <f aca="false">+IF(C1039="EQUIPO",F1039,0)</f>
        <v>0</v>
      </c>
      <c r="F1039" s="33" t="n">
        <v>0</v>
      </c>
      <c r="G1039" s="62"/>
      <c r="H1039" s="35" t="n">
        <v>0</v>
      </c>
      <c r="I1039" s="34" t="n">
        <f aca="false">+IF(E1039=0,0,E1039*0.03)</f>
        <v>0</v>
      </c>
    </row>
    <row r="1040" customFormat="false" ht="15.75" hidden="false" customHeight="true" outlineLevel="0" collapsed="false">
      <c r="A1040" s="30" t="n">
        <v>45323</v>
      </c>
      <c r="B1040" s="31" t="s">
        <v>11</v>
      </c>
      <c r="C1040" s="32"/>
      <c r="D1040" s="32"/>
      <c r="E1040" s="19" t="n">
        <f aca="false">+IF(C1040="EQUIPO",F1040,0)</f>
        <v>0</v>
      </c>
      <c r="F1040" s="33" t="n">
        <v>0</v>
      </c>
      <c r="G1040" s="62"/>
      <c r="H1040" s="35" t="n">
        <v>0</v>
      </c>
      <c r="I1040" s="34" t="n">
        <f aca="false">+IF(E1040=0,0,E1040*0.03)</f>
        <v>0</v>
      </c>
    </row>
    <row r="1041" customFormat="false" ht="15.75" hidden="false" customHeight="true" outlineLevel="0" collapsed="false">
      <c r="A1041" s="30" t="n">
        <v>45323</v>
      </c>
      <c r="B1041" s="31" t="s">
        <v>11</v>
      </c>
      <c r="C1041" s="32"/>
      <c r="D1041" s="32"/>
      <c r="E1041" s="19" t="n">
        <f aca="false">+IF(C1041="EQUIPO",F1041,0)</f>
        <v>0</v>
      </c>
      <c r="F1041" s="33" t="n">
        <v>0</v>
      </c>
      <c r="G1041" s="62"/>
      <c r="H1041" s="35" t="n">
        <v>0</v>
      </c>
      <c r="I1041" s="34" t="n">
        <f aca="false">+IF(E1041=0,0,E1041*0.03)</f>
        <v>0</v>
      </c>
    </row>
    <row r="1042" customFormat="false" ht="15.75" hidden="false" customHeight="true" outlineLevel="0" collapsed="false">
      <c r="A1042" s="30" t="n">
        <v>45323</v>
      </c>
      <c r="B1042" s="31" t="s">
        <v>11</v>
      </c>
      <c r="C1042" s="32"/>
      <c r="D1042" s="32"/>
      <c r="E1042" s="19" t="n">
        <f aca="false">+IF(C1042="EQUIPO",F1042,0)</f>
        <v>0</v>
      </c>
      <c r="F1042" s="33" t="n">
        <v>0</v>
      </c>
      <c r="G1042" s="62"/>
      <c r="H1042" s="35" t="n">
        <v>0</v>
      </c>
      <c r="I1042" s="34" t="n">
        <f aca="false">+IF(E1042=0,0,E1042*0.03)</f>
        <v>0</v>
      </c>
    </row>
    <row r="1043" customFormat="false" ht="15.75" hidden="false" customHeight="true" outlineLevel="0" collapsed="false">
      <c r="A1043" s="30" t="n">
        <v>45323</v>
      </c>
      <c r="B1043" s="31" t="s">
        <v>11</v>
      </c>
      <c r="C1043" s="32"/>
      <c r="D1043" s="32"/>
      <c r="E1043" s="19" t="n">
        <f aca="false">+IF(C1043="EQUIPO",F1043,0)</f>
        <v>0</v>
      </c>
      <c r="F1043" s="33" t="n">
        <v>0</v>
      </c>
      <c r="G1043" s="62"/>
      <c r="H1043" s="35" t="n">
        <v>0</v>
      </c>
      <c r="I1043" s="34" t="n">
        <f aca="false">+IF(E1043=0,0,E1043*0.03)</f>
        <v>0</v>
      </c>
    </row>
    <row r="1044" customFormat="false" ht="15.75" hidden="false" customHeight="true" outlineLevel="0" collapsed="false">
      <c r="A1044" s="30" t="n">
        <v>45323</v>
      </c>
      <c r="B1044" s="31" t="s">
        <v>11</v>
      </c>
      <c r="C1044" s="32"/>
      <c r="D1044" s="32"/>
      <c r="E1044" s="19" t="n">
        <f aca="false">+IF(C1044="EQUIPO",F1044,0)</f>
        <v>0</v>
      </c>
      <c r="F1044" s="33" t="n">
        <v>0</v>
      </c>
      <c r="G1044" s="62"/>
      <c r="H1044" s="35" t="n">
        <v>0</v>
      </c>
      <c r="I1044" s="34" t="n">
        <f aca="false">+IF(E1044=0,0,E1044*0.03)</f>
        <v>0</v>
      </c>
    </row>
    <row r="1045" customFormat="false" ht="15.75" hidden="false" customHeight="true" outlineLevel="0" collapsed="false">
      <c r="A1045" s="30" t="n">
        <v>45323</v>
      </c>
      <c r="B1045" s="31" t="s">
        <v>11</v>
      </c>
      <c r="C1045" s="32"/>
      <c r="D1045" s="32"/>
      <c r="E1045" s="19" t="n">
        <f aca="false">+IF(C1045="EQUIPO",F1045,0)</f>
        <v>0</v>
      </c>
      <c r="F1045" s="33" t="n">
        <v>0</v>
      </c>
      <c r="G1045" s="62"/>
      <c r="H1045" s="35" t="n">
        <v>0</v>
      </c>
      <c r="I1045" s="34" t="n">
        <f aca="false">+IF(E1045=0,0,E1045*0.03)</f>
        <v>0</v>
      </c>
    </row>
    <row r="1046" customFormat="false" ht="15.75" hidden="false" customHeight="true" outlineLevel="0" collapsed="false">
      <c r="A1046" s="30" t="n">
        <v>45323</v>
      </c>
      <c r="B1046" s="31" t="s">
        <v>11</v>
      </c>
      <c r="C1046" s="32"/>
      <c r="D1046" s="32"/>
      <c r="E1046" s="19" t="n">
        <f aca="false">+IF(C1046="EQUIPO",F1046,0)</f>
        <v>0</v>
      </c>
      <c r="F1046" s="33" t="n">
        <v>0</v>
      </c>
      <c r="G1046" s="62"/>
      <c r="H1046" s="35" t="n">
        <v>0</v>
      </c>
      <c r="I1046" s="34" t="n">
        <f aca="false">+IF(E1046=0,0,E1046*0.03)</f>
        <v>0</v>
      </c>
    </row>
    <row r="1047" customFormat="false" ht="15.75" hidden="false" customHeight="true" outlineLevel="0" collapsed="false">
      <c r="A1047" s="30" t="n">
        <v>45323</v>
      </c>
      <c r="B1047" s="31" t="s">
        <v>11</v>
      </c>
      <c r="C1047" s="32"/>
      <c r="D1047" s="32"/>
      <c r="E1047" s="19" t="n">
        <f aca="false">+IF(C1047="EQUIPO",F1047,0)</f>
        <v>0</v>
      </c>
      <c r="F1047" s="33" t="n">
        <v>0</v>
      </c>
      <c r="G1047" s="62"/>
      <c r="H1047" s="35" t="n">
        <v>0</v>
      </c>
      <c r="I1047" s="34" t="n">
        <f aca="false">+IF(E1047=0,0,E1047*0.03)</f>
        <v>0</v>
      </c>
    </row>
    <row r="1048" customFormat="false" ht="15.75" hidden="false" customHeight="true" outlineLevel="0" collapsed="false">
      <c r="A1048" s="30" t="n">
        <v>45323</v>
      </c>
      <c r="B1048" s="31" t="s">
        <v>11</v>
      </c>
      <c r="C1048" s="32"/>
      <c r="D1048" s="32"/>
      <c r="E1048" s="19" t="n">
        <f aca="false">+IF(C1048="EQUIPO",F1048,0)</f>
        <v>0</v>
      </c>
      <c r="F1048" s="33" t="n">
        <v>0</v>
      </c>
      <c r="G1048" s="62"/>
      <c r="H1048" s="35" t="n">
        <v>0</v>
      </c>
      <c r="I1048" s="34" t="n">
        <f aca="false">+IF(E1048=0,0,E1048*0.03)</f>
        <v>0</v>
      </c>
    </row>
    <row r="1049" customFormat="false" ht="15.75" hidden="false" customHeight="true" outlineLevel="0" collapsed="false">
      <c r="A1049" s="30" t="n">
        <v>45323</v>
      </c>
      <c r="B1049" s="31" t="s">
        <v>11</v>
      </c>
      <c r="C1049" s="32"/>
      <c r="D1049" s="32"/>
      <c r="E1049" s="19" t="n">
        <f aca="false">+IF(C1049="EQUIPO",F1049,0)</f>
        <v>0</v>
      </c>
      <c r="F1049" s="33" t="n">
        <v>0</v>
      </c>
      <c r="G1049" s="62"/>
      <c r="H1049" s="35" t="n">
        <v>0</v>
      </c>
      <c r="I1049" s="34" t="n">
        <f aca="false">+IF(E1049=0,0,E1049*0.03)</f>
        <v>0</v>
      </c>
    </row>
    <row r="1050" customFormat="false" ht="15.75" hidden="false" customHeight="true" outlineLevel="0" collapsed="false">
      <c r="A1050" s="30" t="n">
        <v>45323</v>
      </c>
      <c r="B1050" s="31" t="s">
        <v>11</v>
      </c>
      <c r="C1050" s="32"/>
      <c r="D1050" s="32"/>
      <c r="E1050" s="19" t="n">
        <f aca="false">+IF(C1050="EQUIPO",F1050,0)</f>
        <v>0</v>
      </c>
      <c r="F1050" s="33" t="n">
        <v>0</v>
      </c>
      <c r="G1050" s="62"/>
      <c r="H1050" s="35" t="n">
        <v>0</v>
      </c>
      <c r="I1050" s="34" t="n">
        <f aca="false">+IF(E1050=0,0,E1050*0.03)</f>
        <v>0</v>
      </c>
    </row>
    <row r="1051" customFormat="false" ht="15.75" hidden="false" customHeight="true" outlineLevel="0" collapsed="false">
      <c r="A1051" s="30" t="n">
        <v>45323</v>
      </c>
      <c r="B1051" s="31" t="s">
        <v>11</v>
      </c>
      <c r="C1051" s="32"/>
      <c r="D1051" s="32"/>
      <c r="E1051" s="19" t="n">
        <f aca="false">+IF(C1051="EQUIPO",F1051,0)</f>
        <v>0</v>
      </c>
      <c r="F1051" s="33" t="n">
        <v>0</v>
      </c>
      <c r="G1051" s="62"/>
      <c r="H1051" s="35" t="n">
        <v>0</v>
      </c>
      <c r="I1051" s="34" t="n">
        <f aca="false">+IF(E1051=0,0,E1051*0.03)</f>
        <v>0</v>
      </c>
    </row>
    <row r="1052" customFormat="false" ht="15.75" hidden="false" customHeight="true" outlineLevel="0" collapsed="false">
      <c r="A1052" s="30" t="n">
        <v>45323</v>
      </c>
      <c r="B1052" s="31" t="s">
        <v>11</v>
      </c>
      <c r="C1052" s="32"/>
      <c r="D1052" s="32"/>
      <c r="E1052" s="19" t="n">
        <f aca="false">+IF(C1052="EQUIPO",F1052,0)</f>
        <v>0</v>
      </c>
      <c r="F1052" s="33" t="n">
        <v>0</v>
      </c>
      <c r="G1052" s="62"/>
      <c r="H1052" s="35" t="n">
        <v>0</v>
      </c>
      <c r="I1052" s="34" t="n">
        <f aca="false">+IF(E1052=0,0,E1052*0.03)</f>
        <v>0</v>
      </c>
    </row>
    <row r="1053" customFormat="false" ht="15.75" hidden="false" customHeight="true" outlineLevel="0" collapsed="false">
      <c r="A1053" s="30" t="n">
        <v>45323</v>
      </c>
      <c r="B1053" s="31" t="s">
        <v>11</v>
      </c>
      <c r="C1053" s="32"/>
      <c r="D1053" s="32"/>
      <c r="E1053" s="19" t="n">
        <f aca="false">+IF(C1053="EQUIPO",F1053,0)</f>
        <v>0</v>
      </c>
      <c r="F1053" s="33" t="n">
        <v>0</v>
      </c>
      <c r="G1053" s="62"/>
      <c r="H1053" s="35" t="n">
        <v>0</v>
      </c>
      <c r="I1053" s="34" t="n">
        <f aca="false">+IF(E1053=0,0,E1053*0.03)</f>
        <v>0</v>
      </c>
    </row>
    <row r="1054" customFormat="false" ht="15.75" hidden="false" customHeight="true" outlineLevel="0" collapsed="false">
      <c r="A1054" s="30" t="n">
        <v>45323</v>
      </c>
      <c r="B1054" s="31" t="s">
        <v>11</v>
      </c>
      <c r="C1054" s="32"/>
      <c r="D1054" s="32"/>
      <c r="E1054" s="19" t="n">
        <f aca="false">+IF(C1054="EQUIPO",F1054,0)</f>
        <v>0</v>
      </c>
      <c r="F1054" s="33" t="n">
        <v>0</v>
      </c>
      <c r="G1054" s="62"/>
      <c r="H1054" s="35" t="n">
        <v>0</v>
      </c>
      <c r="I1054" s="34" t="n">
        <f aca="false">+IF(E1054=0,0,E1054*0.03)</f>
        <v>0</v>
      </c>
    </row>
    <row r="1055" customFormat="false" ht="15.75" hidden="false" customHeight="true" outlineLevel="0" collapsed="false">
      <c r="A1055" s="30" t="n">
        <v>45323</v>
      </c>
      <c r="B1055" s="31" t="s">
        <v>11</v>
      </c>
      <c r="C1055" s="32"/>
      <c r="D1055" s="32"/>
      <c r="E1055" s="19" t="n">
        <f aca="false">+IF(C1055="EQUIPO",F1055,0)</f>
        <v>0</v>
      </c>
      <c r="F1055" s="33" t="n">
        <v>0</v>
      </c>
      <c r="G1055" s="62"/>
      <c r="H1055" s="35" t="n">
        <v>0</v>
      </c>
      <c r="I1055" s="34" t="n">
        <f aca="false">+IF(E1055=0,0,E1055*0.03)</f>
        <v>0</v>
      </c>
    </row>
    <row r="1056" customFormat="false" ht="15.75" hidden="false" customHeight="true" outlineLevel="0" collapsed="false">
      <c r="A1056" s="30" t="n">
        <v>45323</v>
      </c>
      <c r="B1056" s="31" t="s">
        <v>11</v>
      </c>
      <c r="C1056" s="32"/>
      <c r="D1056" s="32"/>
      <c r="E1056" s="19" t="n">
        <f aca="false">+IF(C1056="EQUIPO",F1056,0)</f>
        <v>0</v>
      </c>
      <c r="F1056" s="33" t="n">
        <v>0</v>
      </c>
      <c r="G1056" s="62"/>
      <c r="H1056" s="35" t="n">
        <v>0</v>
      </c>
      <c r="I1056" s="34" t="n">
        <f aca="false">+IF(E1056=0,0,E1056*0.03)</f>
        <v>0</v>
      </c>
    </row>
    <row r="1057" customFormat="false" ht="15.75" hidden="false" customHeight="true" outlineLevel="0" collapsed="false">
      <c r="A1057" s="30" t="n">
        <v>45323</v>
      </c>
      <c r="B1057" s="31" t="s">
        <v>11</v>
      </c>
      <c r="C1057" s="32"/>
      <c r="D1057" s="32"/>
      <c r="E1057" s="19" t="n">
        <f aca="false">+IF(C1057="EQUIPO",F1057,0)</f>
        <v>0</v>
      </c>
      <c r="F1057" s="33" t="n">
        <v>0</v>
      </c>
      <c r="G1057" s="62"/>
      <c r="H1057" s="35" t="n">
        <v>0</v>
      </c>
      <c r="I1057" s="34" t="n">
        <f aca="false">+IF(E1057=0,0,E1057*0.03)</f>
        <v>0</v>
      </c>
    </row>
    <row r="1058" customFormat="false" ht="15.75" hidden="false" customHeight="true" outlineLevel="0" collapsed="false">
      <c r="A1058" s="30" t="n">
        <v>45323</v>
      </c>
      <c r="B1058" s="31" t="s">
        <v>11</v>
      </c>
      <c r="C1058" s="32"/>
      <c r="D1058" s="32"/>
      <c r="E1058" s="19" t="n">
        <f aca="false">+IF(C1058="EQUIPO",F1058,0)</f>
        <v>0</v>
      </c>
      <c r="F1058" s="33" t="n">
        <v>0</v>
      </c>
      <c r="G1058" s="62"/>
      <c r="H1058" s="35" t="n">
        <v>0</v>
      </c>
      <c r="I1058" s="34" t="n">
        <f aca="false">+IF(E1058=0,0,E1058*0.03)</f>
        <v>0</v>
      </c>
    </row>
    <row r="1059" customFormat="false" ht="15.75" hidden="false" customHeight="true" outlineLevel="0" collapsed="false">
      <c r="A1059" s="30" t="n">
        <v>45323</v>
      </c>
      <c r="B1059" s="31" t="s">
        <v>11</v>
      </c>
      <c r="C1059" s="32"/>
      <c r="D1059" s="32"/>
      <c r="E1059" s="19" t="n">
        <f aca="false">+IF(C1059="EQUIPO",F1059,0)</f>
        <v>0</v>
      </c>
      <c r="F1059" s="33" t="n">
        <v>0</v>
      </c>
      <c r="G1059" s="62"/>
      <c r="H1059" s="35" t="n">
        <v>0</v>
      </c>
      <c r="I1059" s="34" t="n">
        <f aca="false">+IF(E1059=0,0,E1059*0.03)</f>
        <v>0</v>
      </c>
    </row>
    <row r="1060" customFormat="false" ht="15.75" hidden="false" customHeight="true" outlineLevel="0" collapsed="false">
      <c r="A1060" s="30" t="n">
        <v>45323</v>
      </c>
      <c r="B1060" s="31" t="s">
        <v>11</v>
      </c>
      <c r="C1060" s="32"/>
      <c r="D1060" s="32"/>
      <c r="E1060" s="19" t="n">
        <f aca="false">+IF(C1060="EQUIPO",F1060,0)</f>
        <v>0</v>
      </c>
      <c r="F1060" s="33" t="n">
        <v>0</v>
      </c>
      <c r="G1060" s="62"/>
      <c r="H1060" s="35" t="n">
        <v>0</v>
      </c>
      <c r="I1060" s="34" t="n">
        <f aca="false">+IF(E1060=0,0,E1060*0.03)</f>
        <v>0</v>
      </c>
    </row>
    <row r="1061" customFormat="false" ht="15.75" hidden="false" customHeight="true" outlineLevel="0" collapsed="false">
      <c r="A1061" s="30" t="n">
        <v>45323</v>
      </c>
      <c r="B1061" s="31" t="s">
        <v>11</v>
      </c>
      <c r="C1061" s="32"/>
      <c r="D1061" s="32"/>
      <c r="E1061" s="19" t="n">
        <f aca="false">+IF(C1061="EQUIPO",F1061,0)</f>
        <v>0</v>
      </c>
      <c r="F1061" s="33" t="n">
        <v>0</v>
      </c>
      <c r="G1061" s="62"/>
      <c r="H1061" s="35" t="n">
        <v>0</v>
      </c>
      <c r="I1061" s="34" t="n">
        <f aca="false">+IF(E1061=0,0,E1061*0.03)</f>
        <v>0</v>
      </c>
    </row>
    <row r="1062" customFormat="false" ht="15.75" hidden="false" customHeight="true" outlineLevel="0" collapsed="false">
      <c r="A1062" s="30" t="n">
        <v>45323</v>
      </c>
      <c r="B1062" s="31" t="s">
        <v>11</v>
      </c>
      <c r="C1062" s="32"/>
      <c r="D1062" s="32"/>
      <c r="E1062" s="19" t="n">
        <f aca="false">+IF(C1062="EQUIPO",F1062,0)</f>
        <v>0</v>
      </c>
      <c r="F1062" s="33" t="n">
        <v>0</v>
      </c>
      <c r="G1062" s="62"/>
      <c r="H1062" s="35" t="n">
        <v>0</v>
      </c>
      <c r="I1062" s="34" t="n">
        <f aca="false">+IF(E1062=0,0,E1062*0.03)</f>
        <v>0</v>
      </c>
    </row>
    <row r="1063" customFormat="false" ht="15.75" hidden="false" customHeight="true" outlineLevel="0" collapsed="false">
      <c r="A1063" s="30" t="n">
        <v>45323</v>
      </c>
      <c r="B1063" s="31" t="s">
        <v>11</v>
      </c>
      <c r="C1063" s="32"/>
      <c r="D1063" s="32"/>
      <c r="E1063" s="19" t="n">
        <f aca="false">+IF(C1063="EQUIPO",F1063,0)</f>
        <v>0</v>
      </c>
      <c r="F1063" s="33" t="n">
        <v>0</v>
      </c>
      <c r="G1063" s="62"/>
      <c r="H1063" s="35" t="n">
        <v>0</v>
      </c>
      <c r="I1063" s="34" t="n">
        <f aca="false">+IF(E1063=0,0,E1063*0.03)</f>
        <v>0</v>
      </c>
    </row>
    <row r="1064" customFormat="false" ht="15.75" hidden="false" customHeight="true" outlineLevel="0" collapsed="false">
      <c r="A1064" s="30" t="n">
        <v>45323</v>
      </c>
      <c r="B1064" s="31" t="s">
        <v>11</v>
      </c>
      <c r="C1064" s="32"/>
      <c r="D1064" s="32"/>
      <c r="E1064" s="19" t="n">
        <f aca="false">+IF(C1064="EQUIPO",F1064,0)</f>
        <v>0</v>
      </c>
      <c r="F1064" s="33" t="n">
        <v>0</v>
      </c>
      <c r="G1064" s="62"/>
      <c r="H1064" s="35" t="n">
        <v>0</v>
      </c>
      <c r="I1064" s="34" t="n">
        <f aca="false">+IF(E1064=0,0,E1064*0.03)</f>
        <v>0</v>
      </c>
    </row>
    <row r="1065" customFormat="false" ht="15.75" hidden="false" customHeight="true" outlineLevel="0" collapsed="false">
      <c r="A1065" s="30" t="n">
        <v>45323</v>
      </c>
      <c r="B1065" s="31" t="s">
        <v>11</v>
      </c>
      <c r="C1065" s="32"/>
      <c r="D1065" s="32"/>
      <c r="E1065" s="19" t="n">
        <f aca="false">+IF(C1065="EQUIPO",F1065,0)</f>
        <v>0</v>
      </c>
      <c r="F1065" s="33" t="n">
        <v>0</v>
      </c>
      <c r="G1065" s="62"/>
      <c r="H1065" s="35" t="n">
        <v>0</v>
      </c>
      <c r="I1065" s="34" t="n">
        <f aca="false">+IF(E1065=0,0,E1065*0.03)</f>
        <v>0</v>
      </c>
    </row>
    <row r="1066" customFormat="false" ht="15.75" hidden="false" customHeight="true" outlineLevel="0" collapsed="false">
      <c r="A1066" s="30" t="n">
        <v>45323</v>
      </c>
      <c r="B1066" s="31" t="s">
        <v>11</v>
      </c>
      <c r="C1066" s="32"/>
      <c r="D1066" s="32"/>
      <c r="E1066" s="19" t="n">
        <f aca="false">+IF(C1066="EQUIPO",F1066,0)</f>
        <v>0</v>
      </c>
      <c r="F1066" s="33" t="n">
        <v>0</v>
      </c>
      <c r="G1066" s="62"/>
      <c r="H1066" s="35" t="n">
        <v>0</v>
      </c>
      <c r="I1066" s="34" t="n">
        <f aca="false">+IF(E1066=0,0,E1066*0.03)</f>
        <v>0</v>
      </c>
    </row>
    <row r="1067" customFormat="false" ht="15.75" hidden="false" customHeight="true" outlineLevel="0" collapsed="false">
      <c r="A1067" s="30" t="n">
        <v>45323</v>
      </c>
      <c r="B1067" s="31" t="s">
        <v>11</v>
      </c>
      <c r="C1067" s="32"/>
      <c r="D1067" s="32"/>
      <c r="E1067" s="19" t="n">
        <f aca="false">+IF(C1067="EQUIPO",F1067,0)</f>
        <v>0</v>
      </c>
      <c r="F1067" s="33" t="n">
        <v>0</v>
      </c>
      <c r="G1067" s="62"/>
      <c r="H1067" s="35" t="n">
        <v>0</v>
      </c>
      <c r="I1067" s="34" t="n">
        <f aca="false">+IF(E1067=0,0,E1067*0.03)</f>
        <v>0</v>
      </c>
    </row>
    <row r="1068" customFormat="false" ht="15.75" hidden="false" customHeight="true" outlineLevel="0" collapsed="false">
      <c r="A1068" s="30" t="n">
        <v>45323</v>
      </c>
      <c r="B1068" s="31" t="s">
        <v>11</v>
      </c>
      <c r="C1068" s="32"/>
      <c r="D1068" s="32"/>
      <c r="E1068" s="19" t="n">
        <f aca="false">+IF(C1068="EQUIPO",F1068,0)</f>
        <v>0</v>
      </c>
      <c r="F1068" s="33" t="n">
        <v>0</v>
      </c>
      <c r="G1068" s="62"/>
      <c r="H1068" s="35" t="n">
        <v>0</v>
      </c>
      <c r="I1068" s="34" t="n">
        <f aca="false">+IF(E1068=0,0,E1068*0.03)</f>
        <v>0</v>
      </c>
    </row>
    <row r="1069" customFormat="false" ht="15.75" hidden="false" customHeight="true" outlineLevel="0" collapsed="false">
      <c r="A1069" s="30" t="n">
        <v>45323</v>
      </c>
      <c r="B1069" s="31" t="s">
        <v>11</v>
      </c>
      <c r="C1069" s="32"/>
      <c r="D1069" s="32"/>
      <c r="E1069" s="19" t="n">
        <f aca="false">+IF(C1069="EQUIPO",F1069,0)</f>
        <v>0</v>
      </c>
      <c r="F1069" s="33" t="n">
        <v>0</v>
      </c>
      <c r="G1069" s="62"/>
      <c r="H1069" s="35" t="n">
        <v>0</v>
      </c>
      <c r="I1069" s="34" t="n">
        <f aca="false">+IF(E1069=0,0,E1069*0.03)</f>
        <v>0</v>
      </c>
    </row>
    <row r="1070" customFormat="false" ht="15.75" hidden="false" customHeight="true" outlineLevel="0" collapsed="false">
      <c r="A1070" s="30" t="n">
        <v>45323</v>
      </c>
      <c r="B1070" s="31" t="s">
        <v>11</v>
      </c>
      <c r="C1070" s="32"/>
      <c r="D1070" s="32"/>
      <c r="E1070" s="19" t="n">
        <f aca="false">+IF(C1070="EQUIPO",F1070,0)</f>
        <v>0</v>
      </c>
      <c r="F1070" s="33" t="n">
        <v>0</v>
      </c>
      <c r="G1070" s="62"/>
      <c r="H1070" s="35" t="n">
        <v>0</v>
      </c>
      <c r="I1070" s="34" t="n">
        <f aca="false">+IF(E1070=0,0,E1070*0.03)</f>
        <v>0</v>
      </c>
    </row>
    <row r="1071" customFormat="false" ht="15.75" hidden="false" customHeight="true" outlineLevel="0" collapsed="false">
      <c r="A1071" s="30" t="n">
        <v>45323</v>
      </c>
      <c r="B1071" s="31" t="s">
        <v>11</v>
      </c>
      <c r="C1071" s="32"/>
      <c r="D1071" s="32"/>
      <c r="E1071" s="19" t="n">
        <f aca="false">+IF(C1071="EQUIPO",F1071,0)</f>
        <v>0</v>
      </c>
      <c r="F1071" s="33" t="n">
        <v>0</v>
      </c>
      <c r="G1071" s="62"/>
      <c r="H1071" s="35" t="n">
        <v>0</v>
      </c>
      <c r="I1071" s="34" t="n">
        <f aca="false">+IF(E1071=0,0,E1071*0.03)</f>
        <v>0</v>
      </c>
    </row>
    <row r="1072" customFormat="false" ht="15.75" hidden="false" customHeight="true" outlineLevel="0" collapsed="false">
      <c r="A1072" s="30" t="n">
        <v>45323</v>
      </c>
      <c r="B1072" s="31" t="s">
        <v>11</v>
      </c>
      <c r="C1072" s="32"/>
      <c r="D1072" s="32"/>
      <c r="E1072" s="19" t="n">
        <f aca="false">+IF(C1072="EQUIPO",F1072,0)</f>
        <v>0</v>
      </c>
      <c r="F1072" s="33" t="n">
        <v>0</v>
      </c>
      <c r="G1072" s="62"/>
      <c r="H1072" s="35" t="n">
        <v>0</v>
      </c>
      <c r="I1072" s="34" t="n">
        <f aca="false">+IF(E1072=0,0,E1072*0.03)</f>
        <v>0</v>
      </c>
    </row>
    <row r="1073" customFormat="false" ht="15.75" hidden="false" customHeight="true" outlineLevel="0" collapsed="false">
      <c r="A1073" s="30" t="n">
        <v>45323</v>
      </c>
      <c r="B1073" s="31" t="s">
        <v>11</v>
      </c>
      <c r="C1073" s="32"/>
      <c r="D1073" s="32"/>
      <c r="E1073" s="19" t="n">
        <f aca="false">+IF(C1073="EQUIPO",F1073,0)</f>
        <v>0</v>
      </c>
      <c r="F1073" s="33" t="n">
        <v>0</v>
      </c>
      <c r="G1073" s="62"/>
      <c r="H1073" s="35" t="n">
        <v>0</v>
      </c>
      <c r="I1073" s="34" t="n">
        <f aca="false">+IF(E1073=0,0,E1073*0.03)</f>
        <v>0</v>
      </c>
    </row>
    <row r="1074" customFormat="false" ht="15.75" hidden="false" customHeight="true" outlineLevel="0" collapsed="false">
      <c r="A1074" s="30" t="n">
        <v>45323</v>
      </c>
      <c r="B1074" s="31" t="s">
        <v>11</v>
      </c>
      <c r="C1074" s="32"/>
      <c r="D1074" s="32"/>
      <c r="E1074" s="19" t="n">
        <f aca="false">+IF(C1074="EQUIPO",F1074,0)</f>
        <v>0</v>
      </c>
      <c r="F1074" s="33" t="n">
        <v>0</v>
      </c>
      <c r="G1074" s="62"/>
      <c r="H1074" s="35" t="n">
        <v>0</v>
      </c>
      <c r="I1074" s="34" t="n">
        <f aca="false">+IF(E1074=0,0,E1074*0.03)</f>
        <v>0</v>
      </c>
    </row>
    <row r="1075" customFormat="false" ht="15.75" hidden="false" customHeight="true" outlineLevel="0" collapsed="false">
      <c r="A1075" s="30" t="n">
        <v>45323</v>
      </c>
      <c r="B1075" s="31" t="s">
        <v>11</v>
      </c>
      <c r="C1075" s="32"/>
      <c r="D1075" s="32"/>
      <c r="E1075" s="19" t="n">
        <f aca="false">+IF(C1075="EQUIPO",F1075,0)</f>
        <v>0</v>
      </c>
      <c r="F1075" s="33" t="n">
        <v>0</v>
      </c>
      <c r="G1075" s="62"/>
      <c r="H1075" s="35" t="n">
        <v>0</v>
      </c>
      <c r="I1075" s="34" t="n">
        <f aca="false">+IF(E1075=0,0,E1075*0.03)</f>
        <v>0</v>
      </c>
    </row>
    <row r="1076" customFormat="false" ht="15.75" hidden="false" customHeight="true" outlineLevel="0" collapsed="false">
      <c r="A1076" s="30" t="n">
        <v>45323</v>
      </c>
      <c r="B1076" s="31" t="s">
        <v>11</v>
      </c>
      <c r="C1076" s="32"/>
      <c r="D1076" s="32"/>
      <c r="E1076" s="19" t="n">
        <f aca="false">+IF(C1076="EQUIPO",F1076,0)</f>
        <v>0</v>
      </c>
      <c r="F1076" s="33" t="n">
        <v>0</v>
      </c>
      <c r="G1076" s="62"/>
      <c r="H1076" s="35" t="n">
        <v>0</v>
      </c>
      <c r="I1076" s="34" t="n">
        <f aca="false">+IF(E1076=0,0,E1076*0.03)</f>
        <v>0</v>
      </c>
    </row>
    <row r="1077" customFormat="false" ht="15.75" hidden="false" customHeight="true" outlineLevel="0" collapsed="false">
      <c r="A1077" s="30" t="n">
        <v>45323</v>
      </c>
      <c r="B1077" s="31" t="s">
        <v>11</v>
      </c>
      <c r="C1077" s="32"/>
      <c r="D1077" s="32"/>
      <c r="E1077" s="19" t="n">
        <f aca="false">+IF(C1077="EQUIPO",F1077,0)</f>
        <v>0</v>
      </c>
      <c r="F1077" s="33" t="n">
        <v>0</v>
      </c>
      <c r="G1077" s="62"/>
      <c r="H1077" s="35" t="n">
        <v>0</v>
      </c>
      <c r="I1077" s="34" t="n">
        <f aca="false">+IF(E1077=0,0,E1077*0.03)</f>
        <v>0</v>
      </c>
    </row>
    <row r="1078" customFormat="false" ht="15.75" hidden="false" customHeight="true" outlineLevel="0" collapsed="false">
      <c r="A1078" s="30" t="n">
        <v>45323</v>
      </c>
      <c r="B1078" s="31" t="s">
        <v>11</v>
      </c>
      <c r="C1078" s="32"/>
      <c r="D1078" s="32"/>
      <c r="E1078" s="19" t="n">
        <f aca="false">+IF(C1078="EQUIPO",F1078,0)</f>
        <v>0</v>
      </c>
      <c r="F1078" s="33" t="n">
        <v>0</v>
      </c>
      <c r="G1078" s="62"/>
      <c r="H1078" s="35" t="n">
        <v>0</v>
      </c>
      <c r="I1078" s="34" t="n">
        <f aca="false">+IF(E1078=0,0,E1078*0.03)</f>
        <v>0</v>
      </c>
    </row>
    <row r="1079" customFormat="false" ht="15.75" hidden="false" customHeight="true" outlineLevel="0" collapsed="false">
      <c r="A1079" s="30" t="n">
        <v>45323</v>
      </c>
      <c r="B1079" s="31" t="s">
        <v>11</v>
      </c>
      <c r="C1079" s="32"/>
      <c r="D1079" s="32"/>
      <c r="E1079" s="19" t="n">
        <f aca="false">+IF(C1079="EQUIPO",F1079,0)</f>
        <v>0</v>
      </c>
      <c r="F1079" s="33" t="n">
        <v>0</v>
      </c>
      <c r="G1079" s="62"/>
      <c r="H1079" s="35" t="n">
        <v>0</v>
      </c>
      <c r="I1079" s="34" t="n">
        <f aca="false">+IF(E1079=0,0,E1079*0.03)</f>
        <v>0</v>
      </c>
    </row>
    <row r="1080" customFormat="false" ht="15.75" hidden="false" customHeight="true" outlineLevel="0" collapsed="false">
      <c r="A1080" s="30" t="n">
        <v>45323</v>
      </c>
      <c r="B1080" s="31" t="s">
        <v>11</v>
      </c>
      <c r="C1080" s="32"/>
      <c r="D1080" s="32"/>
      <c r="E1080" s="19" t="n">
        <f aca="false">+IF(C1080="EQUIPO",F1080,0)</f>
        <v>0</v>
      </c>
      <c r="F1080" s="33" t="n">
        <v>0</v>
      </c>
      <c r="G1080" s="62"/>
      <c r="H1080" s="35" t="n">
        <v>0</v>
      </c>
      <c r="I1080" s="34" t="n">
        <f aca="false">+IF(E1080=0,0,E1080*0.03)</f>
        <v>0</v>
      </c>
    </row>
    <row r="1081" customFormat="false" ht="15.75" hidden="false" customHeight="true" outlineLevel="0" collapsed="false">
      <c r="A1081" s="30" t="n">
        <v>45323</v>
      </c>
      <c r="B1081" s="31" t="s">
        <v>11</v>
      </c>
      <c r="C1081" s="32"/>
      <c r="D1081" s="32"/>
      <c r="E1081" s="19" t="n">
        <f aca="false">+IF(C1081="EQUIPO",F1081,0)</f>
        <v>0</v>
      </c>
      <c r="F1081" s="33" t="n">
        <v>0</v>
      </c>
      <c r="G1081" s="62"/>
      <c r="H1081" s="35" t="n">
        <v>0</v>
      </c>
      <c r="I1081" s="34" t="n">
        <f aca="false">+IF(E1081=0,0,E1081*0.03)</f>
        <v>0</v>
      </c>
    </row>
    <row r="1082" customFormat="false" ht="15.75" hidden="false" customHeight="true" outlineLevel="0" collapsed="false">
      <c r="A1082" s="30" t="n">
        <v>45323</v>
      </c>
      <c r="B1082" s="31" t="s">
        <v>11</v>
      </c>
      <c r="C1082" s="32"/>
      <c r="D1082" s="32"/>
      <c r="E1082" s="19" t="n">
        <f aca="false">+IF(C1082="EQUIPO",F1082,0)</f>
        <v>0</v>
      </c>
      <c r="F1082" s="33" t="n">
        <v>0</v>
      </c>
      <c r="G1082" s="62"/>
      <c r="H1082" s="35" t="n">
        <v>0</v>
      </c>
      <c r="I1082" s="34" t="n">
        <f aca="false">+IF(E1082=0,0,E1082*0.03)</f>
        <v>0</v>
      </c>
    </row>
    <row r="1083" customFormat="false" ht="15.75" hidden="false" customHeight="true" outlineLevel="0" collapsed="false">
      <c r="A1083" s="30" t="n">
        <v>45323</v>
      </c>
      <c r="B1083" s="31" t="s">
        <v>11</v>
      </c>
      <c r="C1083" s="32"/>
      <c r="D1083" s="32"/>
      <c r="E1083" s="19" t="n">
        <f aca="false">+IF(C1083="EQUIPO",F1083,0)</f>
        <v>0</v>
      </c>
      <c r="F1083" s="33" t="n">
        <v>0</v>
      </c>
      <c r="G1083" s="62"/>
      <c r="H1083" s="35" t="n">
        <v>0</v>
      </c>
      <c r="I1083" s="34" t="n">
        <f aca="false">+IF(E1083=0,0,E1083*0.03)</f>
        <v>0</v>
      </c>
    </row>
    <row r="1084" customFormat="false" ht="15.75" hidden="false" customHeight="true" outlineLevel="0" collapsed="false">
      <c r="A1084" s="30" t="n">
        <v>45323</v>
      </c>
      <c r="B1084" s="31" t="s">
        <v>11</v>
      </c>
      <c r="C1084" s="32"/>
      <c r="D1084" s="32"/>
      <c r="E1084" s="19" t="n">
        <f aca="false">+IF(C1084="EQUIPO",F1084,0)</f>
        <v>0</v>
      </c>
      <c r="F1084" s="33" t="n">
        <v>0</v>
      </c>
      <c r="G1084" s="62"/>
      <c r="H1084" s="35" t="n">
        <v>0</v>
      </c>
      <c r="I1084" s="34" t="n">
        <f aca="false">+IF(E1084=0,0,E1084*0.03)</f>
        <v>0</v>
      </c>
    </row>
    <row r="1085" customFormat="false" ht="15.75" hidden="false" customHeight="true" outlineLevel="0" collapsed="false">
      <c r="A1085" s="30" t="n">
        <v>45323</v>
      </c>
      <c r="B1085" s="31" t="s">
        <v>11</v>
      </c>
      <c r="C1085" s="32"/>
      <c r="D1085" s="32"/>
      <c r="E1085" s="19" t="n">
        <f aca="false">+IF(C1085="EQUIPO",F1085,0)</f>
        <v>0</v>
      </c>
      <c r="F1085" s="33" t="n">
        <v>0</v>
      </c>
      <c r="G1085" s="62"/>
      <c r="H1085" s="35" t="n">
        <v>0</v>
      </c>
      <c r="I1085" s="34" t="n">
        <f aca="false">+IF(E1085=0,0,E1085*0.03)</f>
        <v>0</v>
      </c>
    </row>
    <row r="1086" customFormat="false" ht="15.75" hidden="false" customHeight="true" outlineLevel="0" collapsed="false">
      <c r="A1086" s="30" t="n">
        <v>45323</v>
      </c>
      <c r="B1086" s="31" t="s">
        <v>11</v>
      </c>
      <c r="C1086" s="32"/>
      <c r="D1086" s="32"/>
      <c r="E1086" s="19" t="n">
        <f aca="false">+IF(C1086="EQUIPO",F1086,0)</f>
        <v>0</v>
      </c>
      <c r="F1086" s="33" t="n">
        <v>0</v>
      </c>
      <c r="G1086" s="62"/>
      <c r="H1086" s="35" t="n">
        <v>0</v>
      </c>
      <c r="I1086" s="34" t="n">
        <f aca="false">+IF(E1086=0,0,E1086*0.03)</f>
        <v>0</v>
      </c>
    </row>
    <row r="1087" customFormat="false" ht="15.75" hidden="false" customHeight="true" outlineLevel="0" collapsed="false">
      <c r="A1087" s="30" t="n">
        <v>45323</v>
      </c>
      <c r="B1087" s="31" t="s">
        <v>11</v>
      </c>
      <c r="C1087" s="32"/>
      <c r="D1087" s="32"/>
      <c r="E1087" s="19" t="n">
        <f aca="false">+IF(C1087="EQUIPO",F1087,0)</f>
        <v>0</v>
      </c>
      <c r="F1087" s="33" t="n">
        <v>0</v>
      </c>
      <c r="G1087" s="62"/>
      <c r="H1087" s="35" t="n">
        <v>0</v>
      </c>
      <c r="I1087" s="34" t="n">
        <f aca="false">+IF(E1087=0,0,E1087*0.03)</f>
        <v>0</v>
      </c>
    </row>
    <row r="1088" customFormat="false" ht="15.75" hidden="false" customHeight="true" outlineLevel="0" collapsed="false">
      <c r="A1088" s="30" t="n">
        <v>45323</v>
      </c>
      <c r="B1088" s="31" t="s">
        <v>11</v>
      </c>
      <c r="C1088" s="32"/>
      <c r="D1088" s="32"/>
      <c r="E1088" s="19" t="n">
        <f aca="false">+IF(C1088="EQUIPO",F1088,0)</f>
        <v>0</v>
      </c>
      <c r="F1088" s="33" t="n">
        <v>0</v>
      </c>
      <c r="G1088" s="62"/>
      <c r="H1088" s="35" t="n">
        <v>0</v>
      </c>
      <c r="I1088" s="34" t="n">
        <f aca="false">+IF(E1088=0,0,E1088*0.03)</f>
        <v>0</v>
      </c>
    </row>
    <row r="1089" customFormat="false" ht="15.75" hidden="false" customHeight="true" outlineLevel="0" collapsed="false">
      <c r="A1089" s="30" t="n">
        <v>45323</v>
      </c>
      <c r="B1089" s="31" t="s">
        <v>11</v>
      </c>
      <c r="C1089" s="32"/>
      <c r="D1089" s="32"/>
      <c r="E1089" s="19" t="n">
        <f aca="false">+IF(C1089="EQUIPO",F1089,0)</f>
        <v>0</v>
      </c>
      <c r="F1089" s="33" t="n">
        <v>0</v>
      </c>
      <c r="G1089" s="62"/>
      <c r="H1089" s="35" t="n">
        <v>0</v>
      </c>
      <c r="I1089" s="34" t="n">
        <f aca="false">+IF(E1089=0,0,E1089*0.03)</f>
        <v>0</v>
      </c>
    </row>
    <row r="1090" customFormat="false" ht="15.75" hidden="false" customHeight="true" outlineLevel="0" collapsed="false">
      <c r="A1090" s="30" t="n">
        <v>45323</v>
      </c>
      <c r="B1090" s="31" t="s">
        <v>11</v>
      </c>
      <c r="C1090" s="32"/>
      <c r="D1090" s="32"/>
      <c r="E1090" s="19" t="n">
        <f aca="false">+IF(C1090="EQUIPO",F1090,0)</f>
        <v>0</v>
      </c>
      <c r="F1090" s="33" t="n">
        <v>0</v>
      </c>
      <c r="G1090" s="62"/>
      <c r="H1090" s="35" t="n">
        <v>0</v>
      </c>
      <c r="I1090" s="34" t="n">
        <f aca="false">+IF(E1090=0,0,E1090*0.03)</f>
        <v>0</v>
      </c>
    </row>
    <row r="1091" customFormat="false" ht="15.75" hidden="false" customHeight="true" outlineLevel="0" collapsed="false">
      <c r="A1091" s="30" t="n">
        <v>45323</v>
      </c>
      <c r="B1091" s="31" t="s">
        <v>11</v>
      </c>
      <c r="C1091" s="32"/>
      <c r="D1091" s="32"/>
      <c r="E1091" s="19" t="n">
        <f aca="false">+IF(C1091="EQUIPO",F1091,0)</f>
        <v>0</v>
      </c>
      <c r="F1091" s="33" t="n">
        <v>0</v>
      </c>
      <c r="G1091" s="62"/>
      <c r="H1091" s="35" t="n">
        <v>0</v>
      </c>
      <c r="I1091" s="34" t="n">
        <f aca="false">+IF(E1091=0,0,E1091*0.03)</f>
        <v>0</v>
      </c>
    </row>
    <row r="1092" customFormat="false" ht="15.75" hidden="false" customHeight="true" outlineLevel="0" collapsed="false">
      <c r="A1092" s="30" t="n">
        <v>45323</v>
      </c>
      <c r="B1092" s="31" t="s">
        <v>11</v>
      </c>
      <c r="C1092" s="32"/>
      <c r="D1092" s="32"/>
      <c r="E1092" s="19" t="n">
        <f aca="false">+IF(C1092="EQUIPO",F1092,0)</f>
        <v>0</v>
      </c>
      <c r="F1092" s="33" t="n">
        <v>0</v>
      </c>
      <c r="G1092" s="62"/>
      <c r="H1092" s="35" t="n">
        <v>0</v>
      </c>
      <c r="I1092" s="34" t="n">
        <f aca="false">+IF(E1092=0,0,E1092*0.03)</f>
        <v>0</v>
      </c>
    </row>
    <row r="1093" customFormat="false" ht="15.75" hidden="false" customHeight="true" outlineLevel="0" collapsed="false">
      <c r="A1093" s="30" t="n">
        <v>45323</v>
      </c>
      <c r="B1093" s="31" t="s">
        <v>11</v>
      </c>
      <c r="C1093" s="32"/>
      <c r="D1093" s="32"/>
      <c r="E1093" s="19" t="n">
        <f aca="false">+IF(C1093="EQUIPO",F1093,0)</f>
        <v>0</v>
      </c>
      <c r="F1093" s="33" t="n">
        <v>0</v>
      </c>
      <c r="G1093" s="62"/>
      <c r="H1093" s="35" t="n">
        <v>0</v>
      </c>
      <c r="I1093" s="34" t="n">
        <f aca="false">+IF(E1093=0,0,E1093*0.03)</f>
        <v>0</v>
      </c>
    </row>
    <row r="1094" customFormat="false" ht="15.75" hidden="false" customHeight="true" outlineLevel="0" collapsed="false">
      <c r="A1094" s="30" t="n">
        <v>45323</v>
      </c>
      <c r="B1094" s="31" t="s">
        <v>11</v>
      </c>
      <c r="C1094" s="32"/>
      <c r="D1094" s="32"/>
      <c r="E1094" s="19" t="n">
        <f aca="false">+IF(C1094="EQUIPO",F1094,0)</f>
        <v>0</v>
      </c>
      <c r="F1094" s="33" t="n">
        <v>0</v>
      </c>
      <c r="G1094" s="62"/>
      <c r="H1094" s="35" t="n">
        <v>0</v>
      </c>
      <c r="I1094" s="34" t="n">
        <f aca="false">+IF(E1094=0,0,E1094*0.03)</f>
        <v>0</v>
      </c>
    </row>
    <row r="1095" customFormat="false" ht="15.75" hidden="false" customHeight="true" outlineLevel="0" collapsed="false">
      <c r="A1095" s="30" t="n">
        <v>45323</v>
      </c>
      <c r="B1095" s="31" t="s">
        <v>11</v>
      </c>
      <c r="C1095" s="32"/>
      <c r="D1095" s="32"/>
      <c r="E1095" s="19" t="n">
        <f aca="false">+IF(C1095="EQUIPO",F1095,0)</f>
        <v>0</v>
      </c>
      <c r="F1095" s="33" t="n">
        <v>0</v>
      </c>
      <c r="G1095" s="62"/>
      <c r="H1095" s="35" t="n">
        <v>0</v>
      </c>
      <c r="I1095" s="34" t="n">
        <f aca="false">+IF(E1095=0,0,E1095*0.03)</f>
        <v>0</v>
      </c>
    </row>
    <row r="1096" customFormat="false" ht="15.75" hidden="false" customHeight="true" outlineLevel="0" collapsed="false">
      <c r="A1096" s="30" t="n">
        <v>45323</v>
      </c>
      <c r="B1096" s="31" t="s">
        <v>11</v>
      </c>
      <c r="C1096" s="32"/>
      <c r="D1096" s="32"/>
      <c r="E1096" s="19" t="n">
        <f aca="false">+IF(C1096="EQUIPO",F1096,0)</f>
        <v>0</v>
      </c>
      <c r="F1096" s="33" t="n">
        <v>0</v>
      </c>
      <c r="G1096" s="62"/>
      <c r="H1096" s="35" t="n">
        <v>0</v>
      </c>
      <c r="I1096" s="34" t="n">
        <f aca="false">+IF(E1096=0,0,E1096*0.03)</f>
        <v>0</v>
      </c>
    </row>
    <row r="1097" customFormat="false" ht="15.75" hidden="false" customHeight="true" outlineLevel="0" collapsed="false">
      <c r="A1097" s="30" t="n">
        <v>45323</v>
      </c>
      <c r="B1097" s="31" t="s">
        <v>11</v>
      </c>
      <c r="C1097" s="32"/>
      <c r="D1097" s="32"/>
      <c r="E1097" s="19" t="n">
        <f aca="false">+IF(C1097="EQUIPO",F1097,0)</f>
        <v>0</v>
      </c>
      <c r="F1097" s="33" t="n">
        <v>0</v>
      </c>
      <c r="G1097" s="62"/>
      <c r="H1097" s="35" t="n">
        <v>0</v>
      </c>
      <c r="I1097" s="34" t="n">
        <f aca="false">+IF(E1097=0,0,E1097*0.03)</f>
        <v>0</v>
      </c>
    </row>
    <row r="1098" customFormat="false" ht="15.75" hidden="false" customHeight="true" outlineLevel="0" collapsed="false">
      <c r="A1098" s="30" t="n">
        <v>45323</v>
      </c>
      <c r="B1098" s="31" t="s">
        <v>11</v>
      </c>
      <c r="C1098" s="32"/>
      <c r="D1098" s="32"/>
      <c r="E1098" s="19" t="n">
        <f aca="false">+IF(C1098="EQUIPO",F1098,0)</f>
        <v>0</v>
      </c>
      <c r="F1098" s="33" t="n">
        <v>0</v>
      </c>
      <c r="G1098" s="62"/>
      <c r="H1098" s="35" t="n">
        <v>0</v>
      </c>
      <c r="I1098" s="34" t="n">
        <f aca="false">+IF(E1098=0,0,E1098*0.03)</f>
        <v>0</v>
      </c>
    </row>
    <row r="1099" customFormat="false" ht="15.75" hidden="false" customHeight="true" outlineLevel="0" collapsed="false">
      <c r="A1099" s="30" t="n">
        <v>45323</v>
      </c>
      <c r="B1099" s="31" t="s">
        <v>11</v>
      </c>
      <c r="C1099" s="32"/>
      <c r="D1099" s="32"/>
      <c r="E1099" s="19" t="n">
        <f aca="false">+IF(C1099="EQUIPO",F1099,0)</f>
        <v>0</v>
      </c>
      <c r="F1099" s="33" t="n">
        <v>0</v>
      </c>
      <c r="G1099" s="62"/>
      <c r="H1099" s="35" t="n">
        <v>0</v>
      </c>
      <c r="I1099" s="34" t="n">
        <f aca="false">+IF(E1099=0,0,E1099*0.03)</f>
        <v>0</v>
      </c>
    </row>
    <row r="1100" customFormat="false" ht="15.75" hidden="false" customHeight="true" outlineLevel="0" collapsed="false">
      <c r="A1100" s="30" t="n">
        <v>45323</v>
      </c>
      <c r="B1100" s="31" t="s">
        <v>11</v>
      </c>
      <c r="C1100" s="32"/>
      <c r="D1100" s="32"/>
      <c r="E1100" s="19" t="n">
        <f aca="false">+IF(C1100="EQUIPO",F1100,0)</f>
        <v>0</v>
      </c>
      <c r="F1100" s="33" t="n">
        <v>0</v>
      </c>
      <c r="G1100" s="62"/>
      <c r="H1100" s="35" t="n">
        <v>0</v>
      </c>
      <c r="I1100" s="34" t="n">
        <f aca="false">+IF(E1100=0,0,E1100*0.03)</f>
        <v>0</v>
      </c>
    </row>
    <row r="1101" customFormat="false" ht="15.75" hidden="false" customHeight="true" outlineLevel="0" collapsed="false">
      <c r="A1101" s="30" t="n">
        <v>45323</v>
      </c>
      <c r="B1101" s="31" t="s">
        <v>11</v>
      </c>
      <c r="C1101" s="32"/>
      <c r="D1101" s="32"/>
      <c r="E1101" s="19" t="n">
        <f aca="false">+IF(C1101="EQUIPO",F1101,0)</f>
        <v>0</v>
      </c>
      <c r="F1101" s="33" t="n">
        <v>0</v>
      </c>
      <c r="G1101" s="62"/>
      <c r="H1101" s="35" t="n">
        <v>0</v>
      </c>
      <c r="I1101" s="34" t="n">
        <f aca="false">+IF(E1101=0,0,E1101*0.03)</f>
        <v>0</v>
      </c>
    </row>
    <row r="1102" customFormat="false" ht="15.75" hidden="false" customHeight="true" outlineLevel="0" collapsed="false">
      <c r="A1102" s="30" t="n">
        <v>45323</v>
      </c>
      <c r="B1102" s="31" t="s">
        <v>11</v>
      </c>
      <c r="C1102" s="32"/>
      <c r="D1102" s="32"/>
      <c r="E1102" s="19" t="n">
        <f aca="false">+IF(C1102="EQUIPO",F1102,0)</f>
        <v>0</v>
      </c>
      <c r="F1102" s="33" t="n">
        <v>0</v>
      </c>
      <c r="G1102" s="62"/>
      <c r="H1102" s="35" t="n">
        <v>0</v>
      </c>
      <c r="I1102" s="34" t="n">
        <f aca="false">+IF(E1102=0,0,E1102*0.03)</f>
        <v>0</v>
      </c>
    </row>
    <row r="1103" customFormat="false" ht="15.75" hidden="false" customHeight="true" outlineLevel="0" collapsed="false">
      <c r="A1103" s="30" t="n">
        <v>45323</v>
      </c>
      <c r="B1103" s="31" t="s">
        <v>11</v>
      </c>
      <c r="C1103" s="32"/>
      <c r="D1103" s="32"/>
      <c r="E1103" s="19" t="n">
        <f aca="false">+IF(C1103="EQUIPO",F1103,0)</f>
        <v>0</v>
      </c>
      <c r="F1103" s="33" t="n">
        <v>0</v>
      </c>
      <c r="G1103" s="62"/>
      <c r="H1103" s="35" t="n">
        <v>0</v>
      </c>
      <c r="I1103" s="34" t="n">
        <f aca="false">+IF(E1103=0,0,E1103*0.03)</f>
        <v>0</v>
      </c>
    </row>
    <row r="1104" customFormat="false" ht="15.75" hidden="false" customHeight="true" outlineLevel="0" collapsed="false">
      <c r="A1104" s="30" t="n">
        <v>45323</v>
      </c>
      <c r="B1104" s="31" t="s">
        <v>11</v>
      </c>
      <c r="C1104" s="32"/>
      <c r="D1104" s="32"/>
      <c r="E1104" s="19" t="n">
        <f aca="false">+IF(C1104="EQUIPO",F1104,0)</f>
        <v>0</v>
      </c>
      <c r="F1104" s="33" t="n">
        <v>0</v>
      </c>
      <c r="G1104" s="62"/>
      <c r="H1104" s="35" t="n">
        <v>0</v>
      </c>
      <c r="I1104" s="34" t="n">
        <f aca="false">+IF(E1104=0,0,E1104*0.03)</f>
        <v>0</v>
      </c>
    </row>
    <row r="1105" customFormat="false" ht="15.75" hidden="false" customHeight="true" outlineLevel="0" collapsed="false">
      <c r="A1105" s="30" t="n">
        <v>45323</v>
      </c>
      <c r="B1105" s="31" t="s">
        <v>11</v>
      </c>
      <c r="C1105" s="32"/>
      <c r="D1105" s="32"/>
      <c r="E1105" s="19" t="n">
        <f aca="false">+IF(C1105="EQUIPO",F1105,0)</f>
        <v>0</v>
      </c>
      <c r="F1105" s="33" t="n">
        <v>0</v>
      </c>
      <c r="G1105" s="62"/>
      <c r="H1105" s="35" t="n">
        <v>0</v>
      </c>
      <c r="I1105" s="34" t="n">
        <f aca="false">+IF(E1105=0,0,E1105*0.03)</f>
        <v>0</v>
      </c>
    </row>
    <row r="1106" customFormat="false" ht="15.75" hidden="false" customHeight="true" outlineLevel="0" collapsed="false">
      <c r="A1106" s="30" t="n">
        <v>45323</v>
      </c>
      <c r="B1106" s="31" t="s">
        <v>11</v>
      </c>
      <c r="C1106" s="32"/>
      <c r="D1106" s="32"/>
      <c r="E1106" s="19" t="n">
        <f aca="false">+IF(C1106="EQUIPO",F1106,0)</f>
        <v>0</v>
      </c>
      <c r="F1106" s="33" t="n">
        <v>0</v>
      </c>
      <c r="G1106" s="62"/>
      <c r="H1106" s="35" t="n">
        <v>0</v>
      </c>
      <c r="I1106" s="34" t="n">
        <f aca="false">+IF(E1106=0,0,E1106*0.03)</f>
        <v>0</v>
      </c>
    </row>
    <row r="1107" customFormat="false" ht="15.75" hidden="false" customHeight="true" outlineLevel="0" collapsed="false">
      <c r="A1107" s="30" t="n">
        <v>45323</v>
      </c>
      <c r="B1107" s="31" t="s">
        <v>11</v>
      </c>
      <c r="C1107" s="32"/>
      <c r="D1107" s="32"/>
      <c r="E1107" s="19" t="n">
        <f aca="false">+IF(C1107="EQUIPO",F1107,0)</f>
        <v>0</v>
      </c>
      <c r="F1107" s="33" t="n">
        <v>0</v>
      </c>
      <c r="G1107" s="62"/>
      <c r="H1107" s="35" t="n">
        <v>0</v>
      </c>
      <c r="I1107" s="34" t="n">
        <f aca="false">+IF(E1107=0,0,E1107*0.03)</f>
        <v>0</v>
      </c>
    </row>
    <row r="1108" customFormat="false" ht="15.75" hidden="false" customHeight="true" outlineLevel="0" collapsed="false">
      <c r="A1108" s="30" t="n">
        <v>45323</v>
      </c>
      <c r="B1108" s="31" t="s">
        <v>11</v>
      </c>
      <c r="C1108" s="32"/>
      <c r="D1108" s="32"/>
      <c r="E1108" s="19" t="n">
        <f aca="false">+IF(C1108="EQUIPO",F1108,0)</f>
        <v>0</v>
      </c>
      <c r="F1108" s="33" t="n">
        <v>0</v>
      </c>
      <c r="G1108" s="62"/>
      <c r="H1108" s="35" t="n">
        <v>0</v>
      </c>
      <c r="I1108" s="34" t="n">
        <f aca="false">+IF(E1108=0,0,E1108*0.03)</f>
        <v>0</v>
      </c>
    </row>
    <row r="1109" customFormat="false" ht="15.75" hidden="false" customHeight="true" outlineLevel="0" collapsed="false">
      <c r="A1109" s="30" t="n">
        <v>45323</v>
      </c>
      <c r="B1109" s="31" t="s">
        <v>11</v>
      </c>
      <c r="C1109" s="32"/>
      <c r="D1109" s="32"/>
      <c r="E1109" s="19" t="n">
        <f aca="false">+IF(C1109="EQUIPO",F1109,0)</f>
        <v>0</v>
      </c>
      <c r="F1109" s="33" t="n">
        <v>0</v>
      </c>
      <c r="G1109" s="62"/>
      <c r="H1109" s="35" t="n">
        <v>0</v>
      </c>
      <c r="I1109" s="34" t="n">
        <f aca="false">+IF(E1109=0,0,E1109*0.03)</f>
        <v>0</v>
      </c>
    </row>
    <row r="1110" customFormat="false" ht="15.75" hidden="false" customHeight="true" outlineLevel="0" collapsed="false">
      <c r="A1110" s="30" t="n">
        <v>45323</v>
      </c>
      <c r="B1110" s="31" t="s">
        <v>11</v>
      </c>
      <c r="C1110" s="32"/>
      <c r="D1110" s="32"/>
      <c r="E1110" s="19" t="n">
        <f aca="false">+IF(C1110="EQUIPO",F1110,0)</f>
        <v>0</v>
      </c>
      <c r="F1110" s="33" t="n">
        <v>0</v>
      </c>
      <c r="G1110" s="62"/>
      <c r="H1110" s="35" t="n">
        <v>0</v>
      </c>
      <c r="I1110" s="34" t="n">
        <f aca="false">+IF(E1110=0,0,E1110*0.03)</f>
        <v>0</v>
      </c>
    </row>
    <row r="1111" customFormat="false" ht="15.75" hidden="false" customHeight="true" outlineLevel="0" collapsed="false">
      <c r="A1111" s="30" t="n">
        <v>45323</v>
      </c>
      <c r="B1111" s="31" t="s">
        <v>11</v>
      </c>
      <c r="C1111" s="32"/>
      <c r="D1111" s="32"/>
      <c r="E1111" s="19" t="n">
        <f aca="false">+IF(C1111="EQUIPO",F1111,0)</f>
        <v>0</v>
      </c>
      <c r="F1111" s="33" t="n">
        <v>0</v>
      </c>
      <c r="G1111" s="62"/>
      <c r="H1111" s="35" t="n">
        <v>0</v>
      </c>
      <c r="I1111" s="34" t="n">
        <f aca="false">+IF(E1111=0,0,E1111*0.03)</f>
        <v>0</v>
      </c>
    </row>
    <row r="1112" customFormat="false" ht="15.75" hidden="false" customHeight="true" outlineLevel="0" collapsed="false">
      <c r="A1112" s="30" t="n">
        <v>45323</v>
      </c>
      <c r="B1112" s="31" t="s">
        <v>11</v>
      </c>
      <c r="C1112" s="32"/>
      <c r="D1112" s="32"/>
      <c r="E1112" s="19" t="n">
        <f aca="false">+IF(C1112="EQUIPO",F1112,0)</f>
        <v>0</v>
      </c>
      <c r="F1112" s="33" t="n">
        <v>0</v>
      </c>
      <c r="G1112" s="62"/>
      <c r="H1112" s="35" t="n">
        <v>0</v>
      </c>
      <c r="I1112" s="34" t="n">
        <f aca="false">+IF(E1112=0,0,E1112*0.03)</f>
        <v>0</v>
      </c>
    </row>
    <row r="1113" customFormat="false" ht="15.75" hidden="false" customHeight="true" outlineLevel="0" collapsed="false">
      <c r="A1113" s="30" t="n">
        <v>45323</v>
      </c>
      <c r="B1113" s="31" t="s">
        <v>11</v>
      </c>
      <c r="C1113" s="32"/>
      <c r="D1113" s="32"/>
      <c r="E1113" s="19" t="n">
        <f aca="false">+IF(C1113="EQUIPO",F1113,0)</f>
        <v>0</v>
      </c>
      <c r="F1113" s="33" t="n">
        <v>0</v>
      </c>
      <c r="G1113" s="62"/>
      <c r="H1113" s="35" t="n">
        <v>0</v>
      </c>
      <c r="I1113" s="34" t="n">
        <f aca="false">+IF(E1113=0,0,E1113*0.03)</f>
        <v>0</v>
      </c>
    </row>
    <row r="1114" customFormat="false" ht="15.75" hidden="false" customHeight="true" outlineLevel="0" collapsed="false">
      <c r="A1114" s="30" t="n">
        <v>45323</v>
      </c>
      <c r="B1114" s="31" t="s">
        <v>11</v>
      </c>
      <c r="C1114" s="32"/>
      <c r="D1114" s="32"/>
      <c r="E1114" s="19" t="n">
        <f aca="false">+IF(C1114="EQUIPO",F1114,0)</f>
        <v>0</v>
      </c>
      <c r="F1114" s="33" t="n">
        <v>0</v>
      </c>
      <c r="G1114" s="62"/>
      <c r="H1114" s="35" t="n">
        <v>0</v>
      </c>
      <c r="I1114" s="34" t="n">
        <f aca="false">+IF(E1114=0,0,E1114*0.03)</f>
        <v>0</v>
      </c>
    </row>
    <row r="1115" customFormat="false" ht="15.75" hidden="false" customHeight="true" outlineLevel="0" collapsed="false">
      <c r="A1115" s="30" t="n">
        <v>45323</v>
      </c>
      <c r="B1115" s="31" t="s">
        <v>11</v>
      </c>
      <c r="C1115" s="32"/>
      <c r="D1115" s="32"/>
      <c r="E1115" s="19" t="n">
        <f aca="false">+IF(C1115="EQUIPO",F1115,0)</f>
        <v>0</v>
      </c>
      <c r="F1115" s="33" t="n">
        <v>0</v>
      </c>
      <c r="G1115" s="62"/>
      <c r="H1115" s="35" t="n">
        <v>0</v>
      </c>
      <c r="I1115" s="34" t="n">
        <f aca="false">+IF(E1115=0,0,E1115*0.03)</f>
        <v>0</v>
      </c>
    </row>
    <row r="1116" customFormat="false" ht="15.75" hidden="false" customHeight="true" outlineLevel="0" collapsed="false">
      <c r="A1116" s="30" t="n">
        <v>45323</v>
      </c>
      <c r="B1116" s="31" t="s">
        <v>11</v>
      </c>
      <c r="C1116" s="32"/>
      <c r="D1116" s="32"/>
      <c r="E1116" s="19" t="n">
        <f aca="false">+IF(C1116="EQUIPO",F1116,0)</f>
        <v>0</v>
      </c>
      <c r="F1116" s="33" t="n">
        <v>0</v>
      </c>
      <c r="G1116" s="62"/>
      <c r="H1116" s="35" t="n">
        <v>0</v>
      </c>
      <c r="I1116" s="34" t="n">
        <f aca="false">+IF(E1116=0,0,E1116*0.03)</f>
        <v>0</v>
      </c>
    </row>
    <row r="1117" customFormat="false" ht="15.75" hidden="false" customHeight="true" outlineLevel="0" collapsed="false">
      <c r="A1117" s="30" t="n">
        <v>45323</v>
      </c>
      <c r="B1117" s="31" t="s">
        <v>11</v>
      </c>
      <c r="C1117" s="32"/>
      <c r="D1117" s="32"/>
      <c r="E1117" s="19" t="n">
        <f aca="false">+IF(C1117="EQUIPO",F1117,0)</f>
        <v>0</v>
      </c>
      <c r="F1117" s="33" t="n">
        <v>0</v>
      </c>
      <c r="G1117" s="62"/>
      <c r="H1117" s="35" t="n">
        <v>0</v>
      </c>
      <c r="I1117" s="34" t="n">
        <f aca="false">+IF(E1117=0,0,E1117*0.03)</f>
        <v>0</v>
      </c>
    </row>
    <row r="1118" customFormat="false" ht="15.75" hidden="false" customHeight="true" outlineLevel="0" collapsed="false">
      <c r="A1118" s="30" t="n">
        <v>45323</v>
      </c>
      <c r="B1118" s="31" t="s">
        <v>11</v>
      </c>
      <c r="C1118" s="32"/>
      <c r="D1118" s="32"/>
      <c r="E1118" s="19" t="n">
        <f aca="false">+IF(C1118="EQUIPO",F1118,0)</f>
        <v>0</v>
      </c>
      <c r="F1118" s="33" t="n">
        <v>0</v>
      </c>
      <c r="G1118" s="62"/>
      <c r="H1118" s="35" t="n">
        <v>0</v>
      </c>
      <c r="I1118" s="34" t="n">
        <f aca="false">+IF(E1118=0,0,E1118*0.03)</f>
        <v>0</v>
      </c>
    </row>
    <row r="1119" customFormat="false" ht="15.75" hidden="false" customHeight="true" outlineLevel="0" collapsed="false">
      <c r="A1119" s="30" t="n">
        <v>45323</v>
      </c>
      <c r="B1119" s="31" t="s">
        <v>11</v>
      </c>
      <c r="C1119" s="32"/>
      <c r="D1119" s="32"/>
      <c r="E1119" s="19" t="n">
        <f aca="false">+IF(C1119="EQUIPO",F1119,0)</f>
        <v>0</v>
      </c>
      <c r="F1119" s="33" t="n">
        <v>0</v>
      </c>
      <c r="G1119" s="62"/>
      <c r="H1119" s="35" t="n">
        <v>0</v>
      </c>
      <c r="I1119" s="34" t="n">
        <f aca="false">+IF(E1119=0,0,E1119*0.03)</f>
        <v>0</v>
      </c>
    </row>
    <row r="1120" customFormat="false" ht="15.75" hidden="false" customHeight="true" outlineLevel="0" collapsed="false">
      <c r="A1120" s="30" t="n">
        <v>45323</v>
      </c>
      <c r="B1120" s="31" t="s">
        <v>11</v>
      </c>
      <c r="C1120" s="32"/>
      <c r="D1120" s="32"/>
      <c r="E1120" s="19" t="n">
        <f aca="false">+IF(C1120="EQUIPO",F1120,0)</f>
        <v>0</v>
      </c>
      <c r="F1120" s="33" t="n">
        <v>0</v>
      </c>
      <c r="G1120" s="62"/>
      <c r="H1120" s="35" t="n">
        <v>0</v>
      </c>
      <c r="I1120" s="34" t="n">
        <f aca="false">+IF(E1120=0,0,E1120*0.03)</f>
        <v>0</v>
      </c>
    </row>
    <row r="1121" customFormat="false" ht="15.75" hidden="false" customHeight="true" outlineLevel="0" collapsed="false">
      <c r="A1121" s="30" t="n">
        <v>45323</v>
      </c>
      <c r="B1121" s="31" t="s">
        <v>11</v>
      </c>
      <c r="C1121" s="32"/>
      <c r="D1121" s="32"/>
      <c r="E1121" s="19" t="n">
        <f aca="false">+IF(C1121="EQUIPO",F1121,0)</f>
        <v>0</v>
      </c>
      <c r="F1121" s="33" t="n">
        <v>0</v>
      </c>
      <c r="G1121" s="62"/>
      <c r="H1121" s="35" t="n">
        <v>0</v>
      </c>
      <c r="I1121" s="34" t="n">
        <f aca="false">+IF(E1121=0,0,E1121*0.03)</f>
        <v>0</v>
      </c>
    </row>
    <row r="1122" customFormat="false" ht="15.75" hidden="false" customHeight="true" outlineLevel="0" collapsed="false">
      <c r="A1122" s="30" t="n">
        <v>45323</v>
      </c>
      <c r="B1122" s="31" t="s">
        <v>11</v>
      </c>
      <c r="C1122" s="32"/>
      <c r="D1122" s="32"/>
      <c r="E1122" s="19" t="n">
        <f aca="false">+IF(C1122="EQUIPO",F1122,0)</f>
        <v>0</v>
      </c>
      <c r="F1122" s="33" t="n">
        <v>0</v>
      </c>
      <c r="G1122" s="62"/>
      <c r="H1122" s="35" t="n">
        <v>0</v>
      </c>
      <c r="I1122" s="34" t="n">
        <f aca="false">+IF(E1122=0,0,E1122*0.03)</f>
        <v>0</v>
      </c>
    </row>
    <row r="1123" customFormat="false" ht="15.75" hidden="false" customHeight="true" outlineLevel="0" collapsed="false">
      <c r="A1123" s="30" t="n">
        <v>45323</v>
      </c>
      <c r="B1123" s="31" t="s">
        <v>11</v>
      </c>
      <c r="C1123" s="32"/>
      <c r="D1123" s="32"/>
      <c r="E1123" s="19" t="n">
        <f aca="false">+IF(C1123="EQUIPO",F1123,0)</f>
        <v>0</v>
      </c>
      <c r="F1123" s="33" t="n">
        <v>0</v>
      </c>
      <c r="G1123" s="62"/>
      <c r="H1123" s="35" t="n">
        <v>0</v>
      </c>
      <c r="I1123" s="34" t="n">
        <f aca="false">+IF(E1123=0,0,E1123*0.03)</f>
        <v>0</v>
      </c>
    </row>
    <row r="1124" customFormat="false" ht="15.75" hidden="false" customHeight="true" outlineLevel="0" collapsed="false">
      <c r="A1124" s="30" t="n">
        <v>45323</v>
      </c>
      <c r="B1124" s="31" t="s">
        <v>11</v>
      </c>
      <c r="C1124" s="32"/>
      <c r="D1124" s="32"/>
      <c r="E1124" s="19" t="n">
        <f aca="false">+IF(C1124="EQUIPO",F1124,0)</f>
        <v>0</v>
      </c>
      <c r="F1124" s="33" t="n">
        <v>0</v>
      </c>
      <c r="G1124" s="62"/>
      <c r="H1124" s="35" t="n">
        <v>0</v>
      </c>
      <c r="I1124" s="34" t="n">
        <f aca="false">+IF(E1124=0,0,E1124*0.03)</f>
        <v>0</v>
      </c>
    </row>
    <row r="1125" customFormat="false" ht="15.75" hidden="false" customHeight="true" outlineLevel="0" collapsed="false">
      <c r="A1125" s="30" t="n">
        <v>45323</v>
      </c>
      <c r="B1125" s="31" t="s">
        <v>11</v>
      </c>
      <c r="C1125" s="32"/>
      <c r="D1125" s="32"/>
      <c r="E1125" s="19" t="n">
        <f aca="false">+IF(C1125="EQUIPO",F1125,0)</f>
        <v>0</v>
      </c>
      <c r="F1125" s="33" t="n">
        <v>0</v>
      </c>
      <c r="G1125" s="62"/>
      <c r="H1125" s="35" t="n">
        <v>0</v>
      </c>
      <c r="I1125" s="34" t="n">
        <f aca="false">+IF(E1125=0,0,E1125*0.03)</f>
        <v>0</v>
      </c>
    </row>
    <row r="1126" customFormat="false" ht="15.75" hidden="false" customHeight="true" outlineLevel="0" collapsed="false">
      <c r="A1126" s="30" t="n">
        <v>45323</v>
      </c>
      <c r="B1126" s="31" t="s">
        <v>11</v>
      </c>
      <c r="C1126" s="32"/>
      <c r="D1126" s="32"/>
      <c r="E1126" s="19" t="n">
        <f aca="false">+IF(C1126="EQUIPO",F1126,0)</f>
        <v>0</v>
      </c>
      <c r="F1126" s="33" t="n">
        <v>0</v>
      </c>
      <c r="G1126" s="62"/>
      <c r="H1126" s="35" t="n">
        <v>0</v>
      </c>
      <c r="I1126" s="34" t="n">
        <f aca="false">+IF(E1126=0,0,E1126*0.03)</f>
        <v>0</v>
      </c>
    </row>
    <row r="1127" customFormat="false" ht="15.75" hidden="false" customHeight="true" outlineLevel="0" collapsed="false">
      <c r="A1127" s="30" t="n">
        <v>45323</v>
      </c>
      <c r="B1127" s="31" t="s">
        <v>11</v>
      </c>
      <c r="C1127" s="32"/>
      <c r="D1127" s="32"/>
      <c r="E1127" s="19" t="n">
        <f aca="false">+IF(C1127="EQUIPO",F1127,0)</f>
        <v>0</v>
      </c>
      <c r="F1127" s="33" t="n">
        <v>0</v>
      </c>
      <c r="G1127" s="62"/>
      <c r="H1127" s="35" t="n">
        <v>0</v>
      </c>
      <c r="I1127" s="34" t="n">
        <f aca="false">+IF(E1127=0,0,E1127*0.03)</f>
        <v>0</v>
      </c>
    </row>
    <row r="1128" customFormat="false" ht="15.75" hidden="false" customHeight="true" outlineLevel="0" collapsed="false">
      <c r="A1128" s="30" t="n">
        <v>45323</v>
      </c>
      <c r="B1128" s="31" t="s">
        <v>11</v>
      </c>
      <c r="C1128" s="32"/>
      <c r="D1128" s="32"/>
      <c r="E1128" s="19" t="n">
        <f aca="false">+IF(C1128="EQUIPO",F1128,0)</f>
        <v>0</v>
      </c>
      <c r="F1128" s="33" t="n">
        <v>0</v>
      </c>
      <c r="G1128" s="62"/>
      <c r="H1128" s="35" t="n">
        <v>0</v>
      </c>
      <c r="I1128" s="34" t="n">
        <f aca="false">+IF(E1128=0,0,E1128*0.03)</f>
        <v>0</v>
      </c>
    </row>
    <row r="1129" customFormat="false" ht="15.75" hidden="false" customHeight="true" outlineLevel="0" collapsed="false">
      <c r="A1129" s="30" t="n">
        <v>45323</v>
      </c>
      <c r="B1129" s="31" t="s">
        <v>11</v>
      </c>
      <c r="C1129" s="32"/>
      <c r="D1129" s="32"/>
      <c r="E1129" s="19" t="n">
        <f aca="false">+IF(C1129="EQUIPO",F1129,0)</f>
        <v>0</v>
      </c>
      <c r="F1129" s="33" t="n">
        <v>0</v>
      </c>
      <c r="G1129" s="62"/>
      <c r="H1129" s="35" t="n">
        <v>0</v>
      </c>
      <c r="I1129" s="34" t="n">
        <f aca="false">+IF(E1129=0,0,E1129*0.03)</f>
        <v>0</v>
      </c>
    </row>
    <row r="1130" customFormat="false" ht="15.75" hidden="false" customHeight="true" outlineLevel="0" collapsed="false">
      <c r="A1130" s="30" t="n">
        <v>45323</v>
      </c>
      <c r="B1130" s="31" t="s">
        <v>11</v>
      </c>
      <c r="C1130" s="32"/>
      <c r="D1130" s="32"/>
      <c r="E1130" s="19" t="n">
        <f aca="false">+IF(C1130="EQUIPO",F1130,0)</f>
        <v>0</v>
      </c>
      <c r="F1130" s="33" t="n">
        <v>0</v>
      </c>
      <c r="G1130" s="62"/>
      <c r="H1130" s="35" t="n">
        <v>0</v>
      </c>
      <c r="I1130" s="34" t="n">
        <f aca="false">+IF(E1130=0,0,E1130*0.03)</f>
        <v>0</v>
      </c>
    </row>
    <row r="1131" customFormat="false" ht="15.75" hidden="false" customHeight="true" outlineLevel="0" collapsed="false">
      <c r="A1131" s="30" t="n">
        <v>45323</v>
      </c>
      <c r="B1131" s="31" t="s">
        <v>11</v>
      </c>
      <c r="C1131" s="32"/>
      <c r="D1131" s="32"/>
      <c r="E1131" s="19" t="n">
        <f aca="false">+IF(C1131="EQUIPO",F1131,0)</f>
        <v>0</v>
      </c>
      <c r="F1131" s="33" t="n">
        <v>0</v>
      </c>
      <c r="G1131" s="62"/>
      <c r="H1131" s="35" t="n">
        <v>0</v>
      </c>
      <c r="I1131" s="34" t="n">
        <f aca="false">+IF(E1131=0,0,E1131*0.03)</f>
        <v>0</v>
      </c>
    </row>
    <row r="1132" customFormat="false" ht="15.75" hidden="false" customHeight="true" outlineLevel="0" collapsed="false">
      <c r="A1132" s="30" t="n">
        <v>45323</v>
      </c>
      <c r="B1132" s="31" t="s">
        <v>11</v>
      </c>
      <c r="C1132" s="32"/>
      <c r="D1132" s="32"/>
      <c r="E1132" s="19" t="n">
        <f aca="false">+IF(C1132="EQUIPO",F1132,0)</f>
        <v>0</v>
      </c>
      <c r="F1132" s="33" t="n">
        <v>0</v>
      </c>
      <c r="G1132" s="62"/>
      <c r="H1132" s="35" t="n">
        <v>0</v>
      </c>
      <c r="I1132" s="34" t="n">
        <f aca="false">+IF(E1132=0,0,E1132*0.03)</f>
        <v>0</v>
      </c>
    </row>
    <row r="1133" customFormat="false" ht="15.75" hidden="false" customHeight="true" outlineLevel="0" collapsed="false">
      <c r="A1133" s="30" t="n">
        <v>45323</v>
      </c>
      <c r="B1133" s="31" t="s">
        <v>11</v>
      </c>
      <c r="C1133" s="32"/>
      <c r="D1133" s="32"/>
      <c r="E1133" s="19" t="n">
        <f aca="false">+IF(C1133="EQUIPO",F1133,0)</f>
        <v>0</v>
      </c>
      <c r="F1133" s="33" t="n">
        <v>0</v>
      </c>
      <c r="G1133" s="62"/>
      <c r="H1133" s="35" t="n">
        <v>0</v>
      </c>
      <c r="I1133" s="34" t="n">
        <f aca="false">+IF(E1133=0,0,E1133*0.03)</f>
        <v>0</v>
      </c>
    </row>
    <row r="1134" customFormat="false" ht="15.75" hidden="false" customHeight="true" outlineLevel="0" collapsed="false">
      <c r="A1134" s="30" t="n">
        <v>45323</v>
      </c>
      <c r="B1134" s="31" t="s">
        <v>11</v>
      </c>
      <c r="C1134" s="32"/>
      <c r="D1134" s="32"/>
      <c r="E1134" s="19" t="n">
        <f aca="false">+IF(C1134="EQUIPO",F1134,0)</f>
        <v>0</v>
      </c>
      <c r="F1134" s="33" t="n">
        <v>0</v>
      </c>
      <c r="G1134" s="62"/>
      <c r="H1134" s="35" t="n">
        <v>0</v>
      </c>
      <c r="I1134" s="34" t="n">
        <f aca="false">+IF(E1134=0,0,E1134*0.03)</f>
        <v>0</v>
      </c>
    </row>
    <row r="1135" customFormat="false" ht="15.75" hidden="false" customHeight="true" outlineLevel="0" collapsed="false">
      <c r="A1135" s="30" t="n">
        <v>45323</v>
      </c>
      <c r="B1135" s="31" t="s">
        <v>11</v>
      </c>
      <c r="C1135" s="32"/>
      <c r="D1135" s="32"/>
      <c r="E1135" s="19" t="n">
        <f aca="false">+IF(C1135="EQUIPO",F1135,0)</f>
        <v>0</v>
      </c>
      <c r="F1135" s="33" t="n">
        <v>0</v>
      </c>
      <c r="G1135" s="62"/>
      <c r="H1135" s="35" t="n">
        <v>0</v>
      </c>
      <c r="I1135" s="34" t="n">
        <f aca="false">+IF(E1135=0,0,E1135*0.03)</f>
        <v>0</v>
      </c>
    </row>
    <row r="1136" customFormat="false" ht="15.75" hidden="false" customHeight="true" outlineLevel="0" collapsed="false">
      <c r="A1136" s="30" t="n">
        <v>45323</v>
      </c>
      <c r="B1136" s="31" t="s">
        <v>11</v>
      </c>
      <c r="C1136" s="32"/>
      <c r="D1136" s="32"/>
      <c r="E1136" s="19" t="n">
        <f aca="false">+IF(C1136="EQUIPO",F1136,0)</f>
        <v>0</v>
      </c>
      <c r="F1136" s="33" t="n">
        <v>0</v>
      </c>
      <c r="G1136" s="62"/>
      <c r="H1136" s="35" t="n">
        <v>0</v>
      </c>
      <c r="I1136" s="34" t="n">
        <f aca="false">+IF(E1136=0,0,E1136*0.03)</f>
        <v>0</v>
      </c>
    </row>
    <row r="1137" customFormat="false" ht="15.75" hidden="false" customHeight="true" outlineLevel="0" collapsed="false">
      <c r="A1137" s="30" t="n">
        <v>45323</v>
      </c>
      <c r="B1137" s="31" t="s">
        <v>11</v>
      </c>
      <c r="C1137" s="32"/>
      <c r="D1137" s="32"/>
      <c r="E1137" s="19" t="n">
        <f aca="false">+IF(C1137="EQUIPO",F1137,0)</f>
        <v>0</v>
      </c>
      <c r="F1137" s="33" t="n">
        <v>0</v>
      </c>
      <c r="G1137" s="62"/>
      <c r="H1137" s="35" t="n">
        <v>0</v>
      </c>
      <c r="I1137" s="34" t="n">
        <f aca="false">+IF(E1137=0,0,E1137*0.03)</f>
        <v>0</v>
      </c>
    </row>
    <row r="1138" customFormat="false" ht="15.75" hidden="false" customHeight="true" outlineLevel="0" collapsed="false">
      <c r="A1138" s="30" t="n">
        <v>45323</v>
      </c>
      <c r="B1138" s="31" t="s">
        <v>11</v>
      </c>
      <c r="C1138" s="32"/>
      <c r="D1138" s="32"/>
      <c r="E1138" s="19" t="n">
        <f aca="false">+IF(C1138="EQUIPO",F1138,0)</f>
        <v>0</v>
      </c>
      <c r="F1138" s="33" t="n">
        <v>0</v>
      </c>
      <c r="G1138" s="62"/>
      <c r="H1138" s="35" t="n">
        <v>0</v>
      </c>
      <c r="I1138" s="34" t="n">
        <f aca="false">+IF(E1138=0,0,E1138*0.03)</f>
        <v>0</v>
      </c>
    </row>
    <row r="1139" customFormat="false" ht="15.75" hidden="false" customHeight="true" outlineLevel="0" collapsed="false">
      <c r="A1139" s="30" t="n">
        <v>45323</v>
      </c>
      <c r="B1139" s="31" t="s">
        <v>11</v>
      </c>
      <c r="C1139" s="32"/>
      <c r="D1139" s="32"/>
      <c r="E1139" s="19" t="n">
        <f aca="false">+IF(C1139="EQUIPO",F1139,0)</f>
        <v>0</v>
      </c>
      <c r="F1139" s="33" t="n">
        <v>0</v>
      </c>
      <c r="G1139" s="62"/>
      <c r="H1139" s="35" t="n">
        <v>0</v>
      </c>
      <c r="I1139" s="34" t="n">
        <f aca="false">+IF(E1139=0,0,E1139*0.03)</f>
        <v>0</v>
      </c>
    </row>
    <row r="1140" customFormat="false" ht="15.75" hidden="false" customHeight="true" outlineLevel="0" collapsed="false">
      <c r="A1140" s="30" t="n">
        <v>45323</v>
      </c>
      <c r="B1140" s="31" t="s">
        <v>11</v>
      </c>
      <c r="C1140" s="32"/>
      <c r="D1140" s="32"/>
      <c r="E1140" s="19" t="n">
        <f aca="false">+IF(C1140="EQUIPO",F1140,0)</f>
        <v>0</v>
      </c>
      <c r="F1140" s="33" t="n">
        <v>0</v>
      </c>
      <c r="G1140" s="62"/>
      <c r="H1140" s="35" t="n">
        <v>0</v>
      </c>
      <c r="I1140" s="34" t="n">
        <f aca="false">+IF(E1140=0,0,E1140*0.03)</f>
        <v>0</v>
      </c>
    </row>
    <row r="1141" customFormat="false" ht="15.75" hidden="false" customHeight="true" outlineLevel="0" collapsed="false">
      <c r="A1141" s="30" t="n">
        <v>45323</v>
      </c>
      <c r="B1141" s="31" t="s">
        <v>11</v>
      </c>
      <c r="C1141" s="32"/>
      <c r="D1141" s="32"/>
      <c r="E1141" s="19" t="n">
        <f aca="false">+IF(C1141="EQUIPO",F1141,0)</f>
        <v>0</v>
      </c>
      <c r="F1141" s="33" t="n">
        <v>0</v>
      </c>
      <c r="G1141" s="62"/>
      <c r="H1141" s="35" t="n">
        <v>0</v>
      </c>
      <c r="I1141" s="34" t="n">
        <f aca="false">+IF(E1141=0,0,E1141*0.03)</f>
        <v>0</v>
      </c>
    </row>
    <row r="1142" customFormat="false" ht="15.75" hidden="false" customHeight="true" outlineLevel="0" collapsed="false">
      <c r="A1142" s="30" t="n">
        <v>45323</v>
      </c>
      <c r="B1142" s="31" t="s">
        <v>11</v>
      </c>
      <c r="C1142" s="32"/>
      <c r="D1142" s="32"/>
      <c r="E1142" s="19" t="n">
        <f aca="false">+IF(C1142="EQUIPO",F1142,0)</f>
        <v>0</v>
      </c>
      <c r="F1142" s="33" t="n">
        <v>0</v>
      </c>
      <c r="G1142" s="62"/>
      <c r="H1142" s="35" t="n">
        <v>0</v>
      </c>
      <c r="I1142" s="34" t="n">
        <f aca="false">+IF(E1142=0,0,E1142*0.03)</f>
        <v>0</v>
      </c>
    </row>
    <row r="1143" customFormat="false" ht="15.75" hidden="false" customHeight="true" outlineLevel="0" collapsed="false">
      <c r="A1143" s="30" t="n">
        <v>45323</v>
      </c>
      <c r="B1143" s="31" t="s">
        <v>11</v>
      </c>
      <c r="C1143" s="32"/>
      <c r="D1143" s="32"/>
      <c r="E1143" s="19" t="n">
        <f aca="false">+IF(C1143="EQUIPO",F1143,0)</f>
        <v>0</v>
      </c>
      <c r="F1143" s="33" t="n">
        <v>0</v>
      </c>
      <c r="G1143" s="62"/>
      <c r="H1143" s="35" t="n">
        <v>0</v>
      </c>
      <c r="I1143" s="34" t="n">
        <f aca="false">+IF(E1143=0,0,E1143*0.03)</f>
        <v>0</v>
      </c>
    </row>
    <row r="1144" customFormat="false" ht="15.75" hidden="false" customHeight="true" outlineLevel="0" collapsed="false">
      <c r="A1144" s="30" t="n">
        <v>45323</v>
      </c>
      <c r="B1144" s="31" t="s">
        <v>11</v>
      </c>
      <c r="C1144" s="32"/>
      <c r="D1144" s="32"/>
      <c r="E1144" s="19" t="n">
        <f aca="false">+IF(C1144="EQUIPO",F1144,0)</f>
        <v>0</v>
      </c>
      <c r="F1144" s="33" t="n">
        <v>0</v>
      </c>
      <c r="G1144" s="62"/>
      <c r="H1144" s="35" t="n">
        <v>0</v>
      </c>
      <c r="I1144" s="34" t="n">
        <f aca="false">+IF(E1144=0,0,E1144*0.03)</f>
        <v>0</v>
      </c>
    </row>
    <row r="1145" customFormat="false" ht="15.75" hidden="false" customHeight="true" outlineLevel="0" collapsed="false">
      <c r="A1145" s="30" t="n">
        <v>45323</v>
      </c>
      <c r="B1145" s="31" t="s">
        <v>11</v>
      </c>
      <c r="C1145" s="32"/>
      <c r="D1145" s="32"/>
      <c r="E1145" s="19" t="n">
        <f aca="false">+IF(C1145="EQUIPO",F1145,0)</f>
        <v>0</v>
      </c>
      <c r="F1145" s="33" t="n">
        <v>0</v>
      </c>
      <c r="G1145" s="62"/>
      <c r="H1145" s="35" t="n">
        <v>0</v>
      </c>
      <c r="I1145" s="34" t="n">
        <f aca="false">+IF(E1145=0,0,E1145*0.03)</f>
        <v>0</v>
      </c>
    </row>
    <row r="1146" customFormat="false" ht="15.75" hidden="false" customHeight="true" outlineLevel="0" collapsed="false">
      <c r="A1146" s="30" t="n">
        <v>45323</v>
      </c>
      <c r="B1146" s="31" t="s">
        <v>11</v>
      </c>
      <c r="C1146" s="32"/>
      <c r="D1146" s="32"/>
      <c r="E1146" s="19" t="n">
        <f aca="false">+IF(C1146="EQUIPO",F1146,0)</f>
        <v>0</v>
      </c>
      <c r="F1146" s="33" t="n">
        <v>0</v>
      </c>
      <c r="G1146" s="62"/>
      <c r="H1146" s="35" t="n">
        <v>0</v>
      </c>
      <c r="I1146" s="34" t="n">
        <f aca="false">+IF(E1146=0,0,E1146*0.03)</f>
        <v>0</v>
      </c>
    </row>
    <row r="1147" customFormat="false" ht="15.75" hidden="false" customHeight="true" outlineLevel="0" collapsed="false">
      <c r="A1147" s="30" t="n">
        <v>45323</v>
      </c>
      <c r="B1147" s="31" t="s">
        <v>11</v>
      </c>
      <c r="C1147" s="32"/>
      <c r="D1147" s="32"/>
      <c r="E1147" s="19" t="n">
        <f aca="false">+IF(C1147="EQUIPO",F1147,0)</f>
        <v>0</v>
      </c>
      <c r="F1147" s="33" t="n">
        <v>0</v>
      </c>
      <c r="G1147" s="62"/>
      <c r="H1147" s="35" t="n">
        <v>0</v>
      </c>
      <c r="I1147" s="34" t="n">
        <f aca="false">+IF(E1147=0,0,E1147*0.03)</f>
        <v>0</v>
      </c>
    </row>
    <row r="1148" customFormat="false" ht="15.75" hidden="false" customHeight="true" outlineLevel="0" collapsed="false">
      <c r="A1148" s="30" t="n">
        <v>45323</v>
      </c>
      <c r="B1148" s="31" t="s">
        <v>11</v>
      </c>
      <c r="C1148" s="32"/>
      <c r="D1148" s="32"/>
      <c r="E1148" s="19" t="n">
        <f aca="false">+IF(C1148="EQUIPO",F1148,0)</f>
        <v>0</v>
      </c>
      <c r="F1148" s="33" t="n">
        <v>0</v>
      </c>
      <c r="G1148" s="62"/>
      <c r="H1148" s="35" t="n">
        <v>0</v>
      </c>
      <c r="I1148" s="34" t="n">
        <f aca="false">+IF(E1148=0,0,E1148*0.03)</f>
        <v>0</v>
      </c>
    </row>
    <row r="1149" customFormat="false" ht="15.75" hidden="false" customHeight="true" outlineLevel="0" collapsed="false">
      <c r="A1149" s="30" t="n">
        <v>45323</v>
      </c>
      <c r="B1149" s="31" t="s">
        <v>11</v>
      </c>
      <c r="C1149" s="32"/>
      <c r="D1149" s="32"/>
      <c r="E1149" s="19" t="n">
        <f aca="false">+IF(C1149="EQUIPO",F1149,0)</f>
        <v>0</v>
      </c>
      <c r="F1149" s="33" t="n">
        <v>0</v>
      </c>
      <c r="G1149" s="62"/>
      <c r="H1149" s="35" t="n">
        <v>0</v>
      </c>
      <c r="I1149" s="34" t="n">
        <f aca="false">+IF(E1149=0,0,E1149*0.03)</f>
        <v>0</v>
      </c>
    </row>
    <row r="1150" customFormat="false" ht="15.75" hidden="false" customHeight="true" outlineLevel="0" collapsed="false">
      <c r="A1150" s="30" t="n">
        <v>45323</v>
      </c>
      <c r="B1150" s="31" t="s">
        <v>11</v>
      </c>
      <c r="C1150" s="32"/>
      <c r="D1150" s="32"/>
      <c r="E1150" s="19" t="n">
        <f aca="false">+IF(C1150="EQUIPO",F1150,0)</f>
        <v>0</v>
      </c>
      <c r="F1150" s="33" t="n">
        <v>0</v>
      </c>
      <c r="G1150" s="62"/>
      <c r="H1150" s="35" t="n">
        <v>0</v>
      </c>
      <c r="I1150" s="34" t="n">
        <f aca="false">+IF(E1150=0,0,E1150*0.03)</f>
        <v>0</v>
      </c>
    </row>
    <row r="1151" customFormat="false" ht="15.75" hidden="false" customHeight="true" outlineLevel="0" collapsed="false">
      <c r="A1151" s="30" t="n">
        <v>45323</v>
      </c>
      <c r="B1151" s="31" t="s">
        <v>11</v>
      </c>
      <c r="C1151" s="32"/>
      <c r="D1151" s="32"/>
      <c r="E1151" s="19" t="n">
        <f aca="false">+IF(C1151="EQUIPO",F1151,0)</f>
        <v>0</v>
      </c>
      <c r="F1151" s="33" t="n">
        <v>0</v>
      </c>
      <c r="G1151" s="62"/>
      <c r="H1151" s="35" t="n">
        <v>0</v>
      </c>
      <c r="I1151" s="34" t="n">
        <f aca="false">+IF(E1151=0,0,E1151*0.03)</f>
        <v>0</v>
      </c>
    </row>
    <row r="1152" customFormat="false" ht="15.75" hidden="false" customHeight="true" outlineLevel="0" collapsed="false">
      <c r="A1152" s="30" t="n">
        <v>45323</v>
      </c>
      <c r="B1152" s="31" t="s">
        <v>11</v>
      </c>
      <c r="C1152" s="32"/>
      <c r="D1152" s="32"/>
      <c r="E1152" s="19" t="n">
        <f aca="false">+IF(C1152="EQUIPO",F1152,0)</f>
        <v>0</v>
      </c>
      <c r="F1152" s="33" t="n">
        <v>0</v>
      </c>
      <c r="G1152" s="62"/>
      <c r="H1152" s="35" t="n">
        <v>0</v>
      </c>
      <c r="I1152" s="34" t="n">
        <f aca="false">+IF(E1152=0,0,E1152*0.03)</f>
        <v>0</v>
      </c>
    </row>
    <row r="1153" customFormat="false" ht="15.75" hidden="false" customHeight="true" outlineLevel="0" collapsed="false">
      <c r="A1153" s="30" t="n">
        <v>45323</v>
      </c>
      <c r="B1153" s="31" t="s">
        <v>11</v>
      </c>
      <c r="C1153" s="32"/>
      <c r="D1153" s="32"/>
      <c r="E1153" s="19" t="n">
        <f aca="false">+IF(C1153="EQUIPO",F1153,0)</f>
        <v>0</v>
      </c>
      <c r="F1153" s="33" t="n">
        <v>0</v>
      </c>
      <c r="G1153" s="62"/>
      <c r="H1153" s="35" t="n">
        <v>0</v>
      </c>
      <c r="I1153" s="34" t="n">
        <f aca="false">+IF(E1153=0,0,E1153*0.03)</f>
        <v>0</v>
      </c>
    </row>
    <row r="1154" customFormat="false" ht="15.75" hidden="false" customHeight="true" outlineLevel="0" collapsed="false">
      <c r="A1154" s="30" t="n">
        <v>45323</v>
      </c>
      <c r="B1154" s="31" t="s">
        <v>11</v>
      </c>
      <c r="C1154" s="32"/>
      <c r="D1154" s="32"/>
      <c r="E1154" s="19" t="n">
        <f aca="false">+IF(C1154="EQUIPO",F1154,0)</f>
        <v>0</v>
      </c>
      <c r="F1154" s="33" t="n">
        <v>0</v>
      </c>
      <c r="G1154" s="62"/>
      <c r="H1154" s="35" t="n">
        <v>0</v>
      </c>
      <c r="I1154" s="34" t="n">
        <f aca="false">+IF(E1154=0,0,E1154*0.03)</f>
        <v>0</v>
      </c>
    </row>
    <row r="1155" customFormat="false" ht="15.75" hidden="false" customHeight="true" outlineLevel="0" collapsed="false">
      <c r="A1155" s="30" t="n">
        <v>45323</v>
      </c>
      <c r="B1155" s="31" t="s">
        <v>11</v>
      </c>
      <c r="C1155" s="32"/>
      <c r="D1155" s="32"/>
      <c r="E1155" s="19" t="n">
        <f aca="false">+IF(C1155="EQUIPO",F1155,0)</f>
        <v>0</v>
      </c>
      <c r="F1155" s="33" t="n">
        <v>0</v>
      </c>
      <c r="G1155" s="62"/>
      <c r="H1155" s="35" t="n">
        <v>0</v>
      </c>
      <c r="I1155" s="34" t="n">
        <f aca="false">+IF(E1155=0,0,E1155*0.03)</f>
        <v>0</v>
      </c>
    </row>
    <row r="1156" customFormat="false" ht="15.75" hidden="false" customHeight="true" outlineLevel="0" collapsed="false">
      <c r="A1156" s="30" t="n">
        <v>45323</v>
      </c>
      <c r="B1156" s="31" t="s">
        <v>11</v>
      </c>
      <c r="C1156" s="32"/>
      <c r="D1156" s="32"/>
      <c r="E1156" s="19" t="n">
        <f aca="false">+IF(C1156="EQUIPO",F1156,0)</f>
        <v>0</v>
      </c>
      <c r="F1156" s="33" t="n">
        <v>0</v>
      </c>
      <c r="G1156" s="62"/>
      <c r="H1156" s="35" t="n">
        <v>0</v>
      </c>
      <c r="I1156" s="34" t="n">
        <f aca="false">+IF(E1156=0,0,E1156*0.03)</f>
        <v>0</v>
      </c>
    </row>
    <row r="1157" customFormat="false" ht="15.75" hidden="false" customHeight="true" outlineLevel="0" collapsed="false">
      <c r="A1157" s="30" t="n">
        <v>45323</v>
      </c>
      <c r="B1157" s="31" t="s">
        <v>11</v>
      </c>
      <c r="C1157" s="32"/>
      <c r="D1157" s="32"/>
      <c r="E1157" s="19" t="n">
        <f aca="false">+IF(C1157="EQUIPO",F1157,0)</f>
        <v>0</v>
      </c>
      <c r="F1157" s="33" t="n">
        <v>0</v>
      </c>
      <c r="G1157" s="62"/>
      <c r="H1157" s="35" t="n">
        <v>0</v>
      </c>
      <c r="I1157" s="34" t="n">
        <f aca="false">+IF(E1157=0,0,E1157*0.03)</f>
        <v>0</v>
      </c>
    </row>
    <row r="1158" customFormat="false" ht="15.75" hidden="false" customHeight="true" outlineLevel="0" collapsed="false">
      <c r="A1158" s="30" t="n">
        <v>45323</v>
      </c>
      <c r="B1158" s="31" t="s">
        <v>11</v>
      </c>
      <c r="C1158" s="32"/>
      <c r="D1158" s="32"/>
      <c r="E1158" s="19" t="n">
        <f aca="false">+IF(C1158="EQUIPO",F1158,0)</f>
        <v>0</v>
      </c>
      <c r="F1158" s="33" t="n">
        <v>0</v>
      </c>
      <c r="G1158" s="62"/>
      <c r="H1158" s="35" t="n">
        <v>0</v>
      </c>
      <c r="I1158" s="34" t="n">
        <f aca="false">+IF(E1158=0,0,E1158*0.03)</f>
        <v>0</v>
      </c>
    </row>
    <row r="1159" customFormat="false" ht="15.75" hidden="false" customHeight="true" outlineLevel="0" collapsed="false">
      <c r="A1159" s="30" t="n">
        <v>45323</v>
      </c>
      <c r="B1159" s="31" t="s">
        <v>11</v>
      </c>
      <c r="C1159" s="32"/>
      <c r="D1159" s="32"/>
      <c r="E1159" s="19" t="n">
        <f aca="false">+IF(C1159="EQUIPO",F1159,0)</f>
        <v>0</v>
      </c>
      <c r="F1159" s="33" t="n">
        <v>0</v>
      </c>
      <c r="G1159" s="62"/>
      <c r="H1159" s="35" t="n">
        <v>0</v>
      </c>
      <c r="I1159" s="34" t="n">
        <f aca="false">+IF(E1159=0,0,E1159*0.03)</f>
        <v>0</v>
      </c>
    </row>
    <row r="1160" customFormat="false" ht="15.75" hidden="false" customHeight="true" outlineLevel="0" collapsed="false">
      <c r="A1160" s="30" t="n">
        <v>45323</v>
      </c>
      <c r="B1160" s="31" t="s">
        <v>11</v>
      </c>
      <c r="C1160" s="32"/>
      <c r="D1160" s="32"/>
      <c r="E1160" s="19" t="n">
        <f aca="false">+IF(C1160="EQUIPO",F1160,0)</f>
        <v>0</v>
      </c>
      <c r="F1160" s="33" t="n">
        <v>0</v>
      </c>
      <c r="G1160" s="62"/>
      <c r="H1160" s="35" t="n">
        <v>0</v>
      </c>
      <c r="I1160" s="34" t="n">
        <f aca="false">+IF(E1160=0,0,E1160*0.03)</f>
        <v>0</v>
      </c>
    </row>
    <row r="1161" customFormat="false" ht="15.75" hidden="false" customHeight="true" outlineLevel="0" collapsed="false">
      <c r="A1161" s="30" t="n">
        <v>45323</v>
      </c>
      <c r="B1161" s="31" t="s">
        <v>11</v>
      </c>
      <c r="C1161" s="32"/>
      <c r="D1161" s="32"/>
      <c r="E1161" s="19" t="n">
        <f aca="false">+IF(C1161="EQUIPO",F1161,0)</f>
        <v>0</v>
      </c>
      <c r="F1161" s="33" t="n">
        <v>0</v>
      </c>
      <c r="G1161" s="62"/>
      <c r="H1161" s="35" t="n">
        <v>0</v>
      </c>
      <c r="I1161" s="34" t="n">
        <f aca="false">+IF(E1161=0,0,E1161*0.03)</f>
        <v>0</v>
      </c>
    </row>
    <row r="1162" customFormat="false" ht="15.75" hidden="false" customHeight="true" outlineLevel="0" collapsed="false">
      <c r="A1162" s="30" t="n">
        <v>45323</v>
      </c>
      <c r="B1162" s="31" t="s">
        <v>11</v>
      </c>
      <c r="C1162" s="32"/>
      <c r="D1162" s="32"/>
      <c r="E1162" s="19" t="n">
        <f aca="false">+IF(C1162="EQUIPO",F1162,0)</f>
        <v>0</v>
      </c>
      <c r="F1162" s="33" t="n">
        <v>0</v>
      </c>
      <c r="G1162" s="62"/>
      <c r="H1162" s="35" t="n">
        <v>0</v>
      </c>
      <c r="I1162" s="34" t="n">
        <f aca="false">+IF(E1162=0,0,E1162*0.03)</f>
        <v>0</v>
      </c>
    </row>
    <row r="1163" customFormat="false" ht="15.75" hidden="false" customHeight="true" outlineLevel="0" collapsed="false">
      <c r="A1163" s="30" t="n">
        <v>45323</v>
      </c>
      <c r="B1163" s="31" t="s">
        <v>11</v>
      </c>
      <c r="C1163" s="32"/>
      <c r="D1163" s="32"/>
      <c r="E1163" s="19" t="n">
        <f aca="false">+IF(C1163="EQUIPO",F1163,0)</f>
        <v>0</v>
      </c>
      <c r="F1163" s="33" t="n">
        <v>0</v>
      </c>
      <c r="G1163" s="62"/>
      <c r="H1163" s="35" t="n">
        <v>0</v>
      </c>
      <c r="I1163" s="34" t="n">
        <f aca="false">+IF(E1163=0,0,E1163*0.03)</f>
        <v>0</v>
      </c>
    </row>
    <row r="1164" customFormat="false" ht="15.75" hidden="false" customHeight="true" outlineLevel="0" collapsed="false">
      <c r="A1164" s="30" t="n">
        <v>45323</v>
      </c>
      <c r="B1164" s="31" t="s">
        <v>11</v>
      </c>
      <c r="C1164" s="32"/>
      <c r="D1164" s="32"/>
      <c r="E1164" s="19" t="n">
        <f aca="false">+IF(C1164="EQUIPO",F1164,0)</f>
        <v>0</v>
      </c>
      <c r="F1164" s="33" t="n">
        <v>0</v>
      </c>
      <c r="G1164" s="62"/>
      <c r="H1164" s="35" t="n">
        <v>0</v>
      </c>
      <c r="I1164" s="34" t="n">
        <f aca="false">+IF(E1164=0,0,E1164*0.03)</f>
        <v>0</v>
      </c>
    </row>
    <row r="1165" customFormat="false" ht="15.75" hidden="false" customHeight="true" outlineLevel="0" collapsed="false">
      <c r="A1165" s="30" t="n">
        <v>45323</v>
      </c>
      <c r="B1165" s="31" t="s">
        <v>11</v>
      </c>
      <c r="C1165" s="32"/>
      <c r="D1165" s="32"/>
      <c r="E1165" s="19" t="n">
        <f aca="false">+IF(C1165="EQUIPO",F1165,0)</f>
        <v>0</v>
      </c>
      <c r="F1165" s="33" t="n">
        <v>0</v>
      </c>
      <c r="G1165" s="62"/>
      <c r="H1165" s="35" t="n">
        <v>0</v>
      </c>
      <c r="I1165" s="34" t="n">
        <f aca="false">+IF(E1165=0,0,E1165*0.03)</f>
        <v>0</v>
      </c>
    </row>
    <row r="1166" customFormat="false" ht="15.75" hidden="false" customHeight="true" outlineLevel="0" collapsed="false">
      <c r="A1166" s="30" t="n">
        <v>45323</v>
      </c>
      <c r="B1166" s="31" t="s">
        <v>11</v>
      </c>
      <c r="C1166" s="32"/>
      <c r="D1166" s="32"/>
      <c r="E1166" s="19" t="n">
        <f aca="false">+IF(C1166="EQUIPO",F1166,0)</f>
        <v>0</v>
      </c>
      <c r="F1166" s="33" t="n">
        <v>0</v>
      </c>
      <c r="G1166" s="62"/>
      <c r="H1166" s="35" t="n">
        <v>0</v>
      </c>
      <c r="I1166" s="34" t="n">
        <f aca="false">+IF(E1166=0,0,E1166*0.03)</f>
        <v>0</v>
      </c>
    </row>
    <row r="1167" customFormat="false" ht="15.75" hidden="false" customHeight="true" outlineLevel="0" collapsed="false">
      <c r="A1167" s="30" t="n">
        <v>45323</v>
      </c>
      <c r="B1167" s="31" t="s">
        <v>11</v>
      </c>
      <c r="C1167" s="32"/>
      <c r="D1167" s="32"/>
      <c r="E1167" s="19" t="n">
        <f aca="false">+IF(C1167="EQUIPO",F1167,0)</f>
        <v>0</v>
      </c>
      <c r="F1167" s="33" t="n">
        <v>0</v>
      </c>
      <c r="G1167" s="62"/>
      <c r="H1167" s="35" t="n">
        <v>0</v>
      </c>
      <c r="I1167" s="34" t="n">
        <f aca="false">+IF(E1167=0,0,E1167*0.03)</f>
        <v>0</v>
      </c>
    </row>
    <row r="1168" customFormat="false" ht="15.75" hidden="false" customHeight="true" outlineLevel="0" collapsed="false">
      <c r="A1168" s="30" t="n">
        <v>45323</v>
      </c>
      <c r="B1168" s="31" t="s">
        <v>11</v>
      </c>
      <c r="C1168" s="32"/>
      <c r="D1168" s="32"/>
      <c r="E1168" s="19" t="n">
        <f aca="false">+IF(C1168="EQUIPO",F1168,0)</f>
        <v>0</v>
      </c>
      <c r="F1168" s="33" t="n">
        <v>0</v>
      </c>
      <c r="G1168" s="62"/>
      <c r="H1168" s="35" t="n">
        <v>0</v>
      </c>
      <c r="I1168" s="34" t="n">
        <f aca="false">+IF(E1168=0,0,E1168*0.03)</f>
        <v>0</v>
      </c>
    </row>
    <row r="1169" customFormat="false" ht="15.75" hidden="false" customHeight="true" outlineLevel="0" collapsed="false">
      <c r="A1169" s="30" t="n">
        <v>45323</v>
      </c>
      <c r="B1169" s="31" t="s">
        <v>11</v>
      </c>
      <c r="C1169" s="32"/>
      <c r="D1169" s="32"/>
      <c r="E1169" s="19" t="n">
        <f aca="false">+IF(C1169="EQUIPO",F1169,0)</f>
        <v>0</v>
      </c>
      <c r="F1169" s="33" t="n">
        <v>0</v>
      </c>
      <c r="G1169" s="62"/>
      <c r="H1169" s="35" t="n">
        <v>0</v>
      </c>
      <c r="I1169" s="34" t="n">
        <f aca="false">+IF(E1169=0,0,E1169*0.03)</f>
        <v>0</v>
      </c>
    </row>
    <row r="1170" customFormat="false" ht="15.75" hidden="false" customHeight="true" outlineLevel="0" collapsed="false">
      <c r="A1170" s="30" t="n">
        <v>45323</v>
      </c>
      <c r="B1170" s="31" t="s">
        <v>11</v>
      </c>
      <c r="C1170" s="32"/>
      <c r="D1170" s="32"/>
      <c r="E1170" s="19" t="n">
        <f aca="false">+IF(C1170="EQUIPO",F1170,0)</f>
        <v>0</v>
      </c>
      <c r="F1170" s="33" t="n">
        <v>0</v>
      </c>
      <c r="G1170" s="62"/>
      <c r="H1170" s="35" t="n">
        <v>0</v>
      </c>
      <c r="I1170" s="34" t="n">
        <f aca="false">+IF(E1170=0,0,E1170*0.03)</f>
        <v>0</v>
      </c>
    </row>
    <row r="1171" customFormat="false" ht="15.75" hidden="false" customHeight="true" outlineLevel="0" collapsed="false">
      <c r="A1171" s="30" t="n">
        <v>45323</v>
      </c>
      <c r="B1171" s="31" t="s">
        <v>11</v>
      </c>
      <c r="C1171" s="32"/>
      <c r="D1171" s="32"/>
      <c r="E1171" s="19" t="n">
        <f aca="false">+IF(C1171="EQUIPO",F1171,0)</f>
        <v>0</v>
      </c>
      <c r="F1171" s="33" t="n">
        <v>0</v>
      </c>
      <c r="G1171" s="62"/>
      <c r="H1171" s="35" t="n">
        <v>0</v>
      </c>
      <c r="I1171" s="34" t="n">
        <f aca="false">+IF(E1171=0,0,E1171*0.03)</f>
        <v>0</v>
      </c>
    </row>
    <row r="1172" customFormat="false" ht="15.75" hidden="false" customHeight="true" outlineLevel="0" collapsed="false">
      <c r="A1172" s="30" t="n">
        <v>45323</v>
      </c>
      <c r="B1172" s="31" t="s">
        <v>11</v>
      </c>
      <c r="C1172" s="32"/>
      <c r="D1172" s="32"/>
      <c r="E1172" s="19" t="n">
        <f aca="false">+IF(C1172="EQUIPO",F1172,0)</f>
        <v>0</v>
      </c>
      <c r="F1172" s="33" t="n">
        <v>0</v>
      </c>
      <c r="G1172" s="62"/>
      <c r="H1172" s="35" t="n">
        <v>0</v>
      </c>
      <c r="I1172" s="34" t="n">
        <f aca="false">+IF(E1172=0,0,E1172*0.03)</f>
        <v>0</v>
      </c>
    </row>
    <row r="1173" customFormat="false" ht="15.75" hidden="false" customHeight="true" outlineLevel="0" collapsed="false">
      <c r="A1173" s="30" t="n">
        <v>45323</v>
      </c>
      <c r="B1173" s="31" t="s">
        <v>11</v>
      </c>
      <c r="C1173" s="32"/>
      <c r="D1173" s="32"/>
      <c r="E1173" s="19" t="n">
        <f aca="false">+IF(C1173="EQUIPO",F1173,0)</f>
        <v>0</v>
      </c>
      <c r="F1173" s="33" t="n">
        <v>0</v>
      </c>
      <c r="G1173" s="62"/>
      <c r="H1173" s="35" t="n">
        <v>0</v>
      </c>
      <c r="I1173" s="34" t="n">
        <f aca="false">+IF(E1173=0,0,E1173*0.03)</f>
        <v>0</v>
      </c>
    </row>
    <row r="1174" customFormat="false" ht="15.75" hidden="false" customHeight="true" outlineLevel="0" collapsed="false">
      <c r="A1174" s="30" t="n">
        <v>45323</v>
      </c>
      <c r="B1174" s="31" t="s">
        <v>11</v>
      </c>
      <c r="C1174" s="32"/>
      <c r="D1174" s="32"/>
      <c r="E1174" s="19" t="n">
        <f aca="false">+IF(C1174="EQUIPO",F1174,0)</f>
        <v>0</v>
      </c>
      <c r="F1174" s="33" t="n">
        <v>0</v>
      </c>
      <c r="G1174" s="62"/>
      <c r="H1174" s="35" t="n">
        <v>0</v>
      </c>
      <c r="I1174" s="34" t="n">
        <f aca="false">+IF(E1174=0,0,E1174*0.03)</f>
        <v>0</v>
      </c>
    </row>
    <row r="1175" customFormat="false" ht="15.75" hidden="false" customHeight="true" outlineLevel="0" collapsed="false">
      <c r="A1175" s="30" t="n">
        <v>45323</v>
      </c>
      <c r="B1175" s="31" t="s">
        <v>11</v>
      </c>
      <c r="C1175" s="32"/>
      <c r="D1175" s="32"/>
      <c r="E1175" s="19" t="n">
        <f aca="false">+IF(C1175="EQUIPO",F1175,0)</f>
        <v>0</v>
      </c>
      <c r="F1175" s="33" t="n">
        <v>0</v>
      </c>
      <c r="G1175" s="62"/>
      <c r="H1175" s="35" t="n">
        <v>0</v>
      </c>
      <c r="I1175" s="34" t="n">
        <f aca="false">+IF(E1175=0,0,E1175*0.03)</f>
        <v>0</v>
      </c>
    </row>
    <row r="1176" customFormat="false" ht="15.75" hidden="false" customHeight="true" outlineLevel="0" collapsed="false">
      <c r="A1176" s="30" t="n">
        <v>45323</v>
      </c>
      <c r="B1176" s="31" t="s">
        <v>11</v>
      </c>
      <c r="C1176" s="32"/>
      <c r="D1176" s="32"/>
      <c r="E1176" s="19" t="n">
        <f aca="false">+IF(C1176="EQUIPO",F1176,0)</f>
        <v>0</v>
      </c>
      <c r="F1176" s="33" t="n">
        <v>0</v>
      </c>
      <c r="G1176" s="62"/>
      <c r="H1176" s="35" t="n">
        <v>0</v>
      </c>
      <c r="I1176" s="34" t="n">
        <f aca="false">+IF(E1176=0,0,E1176*0.03)</f>
        <v>0</v>
      </c>
    </row>
    <row r="1177" customFormat="false" ht="15.75" hidden="false" customHeight="true" outlineLevel="0" collapsed="false">
      <c r="A1177" s="30" t="n">
        <v>45323</v>
      </c>
      <c r="B1177" s="31" t="s">
        <v>11</v>
      </c>
      <c r="C1177" s="32"/>
      <c r="D1177" s="32"/>
      <c r="E1177" s="19" t="n">
        <f aca="false">+IF(C1177="EQUIPO",F1177,0)</f>
        <v>0</v>
      </c>
      <c r="F1177" s="33" t="n">
        <v>0</v>
      </c>
      <c r="G1177" s="62"/>
      <c r="H1177" s="35" t="n">
        <v>0</v>
      </c>
      <c r="I1177" s="34" t="n">
        <f aca="false">+IF(E1177=0,0,E1177*0.03)</f>
        <v>0</v>
      </c>
    </row>
    <row r="1178" customFormat="false" ht="15.75" hidden="false" customHeight="true" outlineLevel="0" collapsed="false">
      <c r="A1178" s="30" t="n">
        <v>45323</v>
      </c>
      <c r="B1178" s="31" t="s">
        <v>11</v>
      </c>
      <c r="C1178" s="32"/>
      <c r="D1178" s="32"/>
      <c r="E1178" s="19" t="n">
        <f aca="false">+IF(C1178="EQUIPO",F1178,0)</f>
        <v>0</v>
      </c>
      <c r="F1178" s="33" t="n">
        <v>0</v>
      </c>
      <c r="G1178" s="62"/>
      <c r="H1178" s="35" t="n">
        <v>0</v>
      </c>
      <c r="I1178" s="34" t="n">
        <f aca="false">+IF(E1178=0,0,E1178*0.03)</f>
        <v>0</v>
      </c>
    </row>
    <row r="1179" customFormat="false" ht="15.75" hidden="false" customHeight="true" outlineLevel="0" collapsed="false">
      <c r="A1179" s="30" t="n">
        <v>45323</v>
      </c>
      <c r="B1179" s="31" t="s">
        <v>11</v>
      </c>
      <c r="C1179" s="32"/>
      <c r="D1179" s="32"/>
      <c r="E1179" s="19" t="n">
        <f aca="false">+IF(C1179="EQUIPO",F1179,0)</f>
        <v>0</v>
      </c>
      <c r="F1179" s="33" t="n">
        <v>0</v>
      </c>
      <c r="G1179" s="62"/>
      <c r="H1179" s="35" t="n">
        <v>0</v>
      </c>
      <c r="I1179" s="34" t="n">
        <f aca="false">+IF(E1179=0,0,E1179*0.03)</f>
        <v>0</v>
      </c>
    </row>
    <row r="1180" customFormat="false" ht="15.75" hidden="false" customHeight="true" outlineLevel="0" collapsed="false">
      <c r="A1180" s="30" t="n">
        <v>45323</v>
      </c>
      <c r="B1180" s="31" t="s">
        <v>11</v>
      </c>
      <c r="C1180" s="32"/>
      <c r="D1180" s="32"/>
      <c r="E1180" s="19" t="n">
        <f aca="false">+IF(C1180="EQUIPO",F1180,0)</f>
        <v>0</v>
      </c>
      <c r="F1180" s="33" t="n">
        <v>0</v>
      </c>
      <c r="G1180" s="62"/>
      <c r="H1180" s="35" t="n">
        <v>0</v>
      </c>
      <c r="I1180" s="34" t="n">
        <f aca="false">+IF(E1180=0,0,E1180*0.03)</f>
        <v>0</v>
      </c>
    </row>
    <row r="1181" customFormat="false" ht="15.75" hidden="false" customHeight="true" outlineLevel="0" collapsed="false">
      <c r="A1181" s="30" t="n">
        <v>45323</v>
      </c>
      <c r="B1181" s="31" t="s">
        <v>11</v>
      </c>
      <c r="C1181" s="32"/>
      <c r="D1181" s="32"/>
      <c r="E1181" s="19" t="n">
        <f aca="false">+IF(C1181="EQUIPO",F1181,0)</f>
        <v>0</v>
      </c>
      <c r="F1181" s="33" t="n">
        <v>0</v>
      </c>
      <c r="G1181" s="62"/>
      <c r="H1181" s="35" t="n">
        <v>0</v>
      </c>
      <c r="I1181" s="34" t="n">
        <f aca="false">+IF(E1181=0,0,E1181*0.03)</f>
        <v>0</v>
      </c>
    </row>
    <row r="1182" customFormat="false" ht="15.75" hidden="false" customHeight="true" outlineLevel="0" collapsed="false">
      <c r="A1182" s="30" t="n">
        <v>45323</v>
      </c>
      <c r="B1182" s="31" t="s">
        <v>11</v>
      </c>
      <c r="C1182" s="32"/>
      <c r="D1182" s="32"/>
      <c r="E1182" s="19" t="n">
        <f aca="false">+IF(C1182="EQUIPO",F1182,0)</f>
        <v>0</v>
      </c>
      <c r="F1182" s="33" t="n">
        <v>0</v>
      </c>
      <c r="G1182" s="62"/>
      <c r="H1182" s="35" t="n">
        <v>0</v>
      </c>
      <c r="I1182" s="34" t="n">
        <f aca="false">+IF(E1182=0,0,E1182*0.03)</f>
        <v>0</v>
      </c>
    </row>
    <row r="1183" customFormat="false" ht="15.75" hidden="false" customHeight="true" outlineLevel="0" collapsed="false">
      <c r="A1183" s="30" t="n">
        <v>45323</v>
      </c>
      <c r="B1183" s="31" t="s">
        <v>11</v>
      </c>
      <c r="C1183" s="32"/>
      <c r="D1183" s="32"/>
      <c r="E1183" s="19" t="n">
        <f aca="false">+IF(C1183="EQUIPO",F1183,0)</f>
        <v>0</v>
      </c>
      <c r="F1183" s="33" t="n">
        <v>0</v>
      </c>
      <c r="G1183" s="62"/>
      <c r="H1183" s="35" t="n">
        <v>0</v>
      </c>
      <c r="I1183" s="34" t="n">
        <f aca="false">+IF(E1183=0,0,E1183*0.03)</f>
        <v>0</v>
      </c>
    </row>
    <row r="1184" customFormat="false" ht="15.75" hidden="false" customHeight="true" outlineLevel="0" collapsed="false">
      <c r="A1184" s="30" t="n">
        <v>45323</v>
      </c>
      <c r="B1184" s="31" t="s">
        <v>11</v>
      </c>
      <c r="C1184" s="32"/>
      <c r="D1184" s="32"/>
      <c r="E1184" s="19" t="n">
        <f aca="false">+IF(C1184="EQUIPO",F1184,0)</f>
        <v>0</v>
      </c>
      <c r="F1184" s="33" t="n">
        <v>0</v>
      </c>
      <c r="G1184" s="62"/>
      <c r="H1184" s="35" t="n">
        <v>0</v>
      </c>
      <c r="I1184" s="34" t="n">
        <f aca="false">+IF(E1184=0,0,E1184*0.03)</f>
        <v>0</v>
      </c>
    </row>
    <row r="1185" customFormat="false" ht="15.75" hidden="false" customHeight="true" outlineLevel="0" collapsed="false">
      <c r="A1185" s="30" t="n">
        <v>45323</v>
      </c>
      <c r="B1185" s="31" t="s">
        <v>11</v>
      </c>
      <c r="C1185" s="32"/>
      <c r="D1185" s="32"/>
      <c r="E1185" s="19" t="n">
        <f aca="false">+IF(C1185="EQUIPO",F1185,0)</f>
        <v>0</v>
      </c>
      <c r="F1185" s="33" t="n">
        <v>0</v>
      </c>
      <c r="G1185" s="62"/>
      <c r="H1185" s="35" t="n">
        <v>0</v>
      </c>
      <c r="I1185" s="34" t="n">
        <f aca="false">+IF(E1185=0,0,E1185*0.03)</f>
        <v>0</v>
      </c>
    </row>
    <row r="1186" customFormat="false" ht="15.75" hidden="false" customHeight="true" outlineLevel="0" collapsed="false">
      <c r="A1186" s="30" t="n">
        <v>45323</v>
      </c>
      <c r="B1186" s="31" t="s">
        <v>11</v>
      </c>
      <c r="C1186" s="32"/>
      <c r="D1186" s="32"/>
      <c r="E1186" s="19" t="n">
        <f aca="false">+IF(C1186="EQUIPO",F1186,0)</f>
        <v>0</v>
      </c>
      <c r="F1186" s="33" t="n">
        <v>0</v>
      </c>
      <c r="G1186" s="62"/>
      <c r="H1186" s="35" t="n">
        <v>0</v>
      </c>
      <c r="I1186" s="34" t="n">
        <f aca="false">+IF(E1186=0,0,E1186*0.03)</f>
        <v>0</v>
      </c>
    </row>
    <row r="1187" customFormat="false" ht="15.75" hidden="false" customHeight="true" outlineLevel="0" collapsed="false">
      <c r="A1187" s="30" t="n">
        <v>45323</v>
      </c>
      <c r="B1187" s="31" t="s">
        <v>11</v>
      </c>
      <c r="C1187" s="32"/>
      <c r="D1187" s="32"/>
      <c r="E1187" s="19" t="n">
        <f aca="false">+IF(C1187="EQUIPO",F1187,0)</f>
        <v>0</v>
      </c>
      <c r="F1187" s="33" t="n">
        <v>0</v>
      </c>
      <c r="G1187" s="62"/>
      <c r="H1187" s="35" t="n">
        <v>0</v>
      </c>
      <c r="I1187" s="34" t="n">
        <f aca="false">+IF(E1187=0,0,E1187*0.03)</f>
        <v>0</v>
      </c>
    </row>
    <row r="1188" customFormat="false" ht="15.75" hidden="false" customHeight="true" outlineLevel="0" collapsed="false">
      <c r="A1188" s="30" t="n">
        <v>45323</v>
      </c>
      <c r="B1188" s="31" t="s">
        <v>11</v>
      </c>
      <c r="C1188" s="32"/>
      <c r="D1188" s="32"/>
      <c r="E1188" s="19" t="n">
        <f aca="false">+IF(C1188="EQUIPO",F1188,0)</f>
        <v>0</v>
      </c>
      <c r="F1188" s="33" t="n">
        <v>0</v>
      </c>
      <c r="G1188" s="62"/>
      <c r="H1188" s="35" t="n">
        <v>0</v>
      </c>
      <c r="I1188" s="34" t="n">
        <f aca="false">+IF(E1188=0,0,E1188*0.03)</f>
        <v>0</v>
      </c>
    </row>
    <row r="1189" customFormat="false" ht="15.75" hidden="false" customHeight="true" outlineLevel="0" collapsed="false">
      <c r="A1189" s="30" t="n">
        <v>45323</v>
      </c>
      <c r="B1189" s="31" t="s">
        <v>11</v>
      </c>
      <c r="C1189" s="32"/>
      <c r="D1189" s="32"/>
      <c r="E1189" s="19" t="n">
        <f aca="false">+IF(C1189="EQUIPO",F1189,0)</f>
        <v>0</v>
      </c>
      <c r="F1189" s="33" t="n">
        <v>0</v>
      </c>
      <c r="G1189" s="62"/>
      <c r="H1189" s="35" t="n">
        <v>0</v>
      </c>
      <c r="I1189" s="34" t="n">
        <f aca="false">+IF(E1189=0,0,E1189*0.03)</f>
        <v>0</v>
      </c>
    </row>
    <row r="1190" customFormat="false" ht="15.75" hidden="false" customHeight="true" outlineLevel="0" collapsed="false">
      <c r="A1190" s="30" t="n">
        <v>45323</v>
      </c>
      <c r="B1190" s="31" t="s">
        <v>11</v>
      </c>
      <c r="C1190" s="32"/>
      <c r="D1190" s="32"/>
      <c r="E1190" s="19" t="n">
        <f aca="false">+IF(C1190="EQUIPO",F1190,0)</f>
        <v>0</v>
      </c>
      <c r="F1190" s="33" t="n">
        <v>0</v>
      </c>
      <c r="G1190" s="62"/>
      <c r="H1190" s="35" t="n">
        <v>0</v>
      </c>
      <c r="I1190" s="34" t="n">
        <f aca="false">+IF(E1190=0,0,E1190*0.03)</f>
        <v>0</v>
      </c>
    </row>
    <row r="1191" customFormat="false" ht="15.75" hidden="false" customHeight="true" outlineLevel="0" collapsed="false">
      <c r="A1191" s="30" t="n">
        <v>45323</v>
      </c>
      <c r="B1191" s="31" t="s">
        <v>11</v>
      </c>
      <c r="C1191" s="32"/>
      <c r="D1191" s="32"/>
      <c r="E1191" s="19" t="n">
        <f aca="false">+IF(C1191="EQUIPO",F1191,0)</f>
        <v>0</v>
      </c>
      <c r="F1191" s="33" t="n">
        <v>0</v>
      </c>
      <c r="G1191" s="62"/>
      <c r="H1191" s="35" t="n">
        <v>0</v>
      </c>
      <c r="I1191" s="34" t="n">
        <f aca="false">+IF(E1191=0,0,E1191*0.03)</f>
        <v>0</v>
      </c>
    </row>
    <row r="1192" customFormat="false" ht="15.75" hidden="false" customHeight="true" outlineLevel="0" collapsed="false">
      <c r="A1192" s="30" t="n">
        <v>45323</v>
      </c>
      <c r="B1192" s="31" t="s">
        <v>11</v>
      </c>
      <c r="C1192" s="32"/>
      <c r="D1192" s="32"/>
      <c r="E1192" s="19" t="n">
        <f aca="false">+IF(C1192="EQUIPO",F1192,0)</f>
        <v>0</v>
      </c>
      <c r="F1192" s="33" t="n">
        <v>0</v>
      </c>
      <c r="G1192" s="62"/>
      <c r="H1192" s="35" t="n">
        <v>0</v>
      </c>
      <c r="I1192" s="34" t="n">
        <f aca="false">+IF(E1192=0,0,E1192*0.03)</f>
        <v>0</v>
      </c>
    </row>
    <row r="1193" customFormat="false" ht="15.75" hidden="false" customHeight="true" outlineLevel="0" collapsed="false">
      <c r="A1193" s="30" t="n">
        <v>45323</v>
      </c>
      <c r="B1193" s="31" t="s">
        <v>11</v>
      </c>
      <c r="C1193" s="32"/>
      <c r="D1193" s="32"/>
      <c r="E1193" s="19" t="n">
        <f aca="false">+IF(C1193="EQUIPO",F1193,0)</f>
        <v>0</v>
      </c>
      <c r="F1193" s="33" t="n">
        <v>0</v>
      </c>
      <c r="G1193" s="62"/>
      <c r="H1193" s="35" t="n">
        <v>0</v>
      </c>
      <c r="I1193" s="34" t="n">
        <f aca="false">+IF(E1193=0,0,E1193*0.03)</f>
        <v>0</v>
      </c>
    </row>
    <row r="1194" customFormat="false" ht="15.75" hidden="false" customHeight="true" outlineLevel="0" collapsed="false">
      <c r="A1194" s="30" t="n">
        <v>45323</v>
      </c>
      <c r="B1194" s="31" t="s">
        <v>11</v>
      </c>
      <c r="C1194" s="32"/>
      <c r="D1194" s="32"/>
      <c r="E1194" s="19" t="n">
        <f aca="false">+IF(C1194="EQUIPO",F1194,0)</f>
        <v>0</v>
      </c>
      <c r="F1194" s="33" t="n">
        <v>0</v>
      </c>
      <c r="G1194" s="62"/>
      <c r="H1194" s="35" t="n">
        <v>0</v>
      </c>
      <c r="I1194" s="34" t="n">
        <f aca="false">+IF(E1194=0,0,E1194*0.03)</f>
        <v>0</v>
      </c>
    </row>
    <row r="1195" customFormat="false" ht="15.75" hidden="false" customHeight="true" outlineLevel="0" collapsed="false">
      <c r="A1195" s="30" t="n">
        <v>45323</v>
      </c>
      <c r="B1195" s="31" t="s">
        <v>11</v>
      </c>
      <c r="C1195" s="32"/>
      <c r="D1195" s="32"/>
      <c r="E1195" s="19" t="n">
        <f aca="false">+IF(C1195="EQUIPO",F1195,0)</f>
        <v>0</v>
      </c>
      <c r="F1195" s="33" t="n">
        <v>0</v>
      </c>
      <c r="G1195" s="62"/>
      <c r="H1195" s="35" t="n">
        <v>0</v>
      </c>
      <c r="I1195" s="34" t="n">
        <f aca="false">+IF(E1195=0,0,E1195*0.03)</f>
        <v>0</v>
      </c>
    </row>
    <row r="1196" customFormat="false" ht="15.75" hidden="false" customHeight="true" outlineLevel="0" collapsed="false">
      <c r="A1196" s="30" t="n">
        <v>45323</v>
      </c>
      <c r="B1196" s="31" t="s">
        <v>11</v>
      </c>
      <c r="C1196" s="32"/>
      <c r="D1196" s="32"/>
      <c r="E1196" s="19" t="n">
        <f aca="false">+IF(C1196="EQUIPO",F1196,0)</f>
        <v>0</v>
      </c>
      <c r="F1196" s="33" t="n">
        <v>0</v>
      </c>
      <c r="G1196" s="62"/>
      <c r="H1196" s="35" t="n">
        <v>0</v>
      </c>
      <c r="I1196" s="34" t="n">
        <f aca="false">+IF(E1196=0,0,E1196*0.03)</f>
        <v>0</v>
      </c>
    </row>
    <row r="1197" customFormat="false" ht="15.75" hidden="false" customHeight="true" outlineLevel="0" collapsed="false">
      <c r="A1197" s="30" t="n">
        <v>45323</v>
      </c>
      <c r="B1197" s="31" t="s">
        <v>11</v>
      </c>
      <c r="C1197" s="32"/>
      <c r="D1197" s="32"/>
      <c r="E1197" s="19" t="n">
        <f aca="false">+IF(C1197="EQUIPO",F1197,0)</f>
        <v>0</v>
      </c>
      <c r="F1197" s="33" t="n">
        <v>0</v>
      </c>
      <c r="G1197" s="62"/>
      <c r="H1197" s="35" t="n">
        <v>0</v>
      </c>
      <c r="I1197" s="34" t="n">
        <f aca="false">+IF(E1197=0,0,E1197*0.03)</f>
        <v>0</v>
      </c>
    </row>
    <row r="1198" customFormat="false" ht="15.75" hidden="false" customHeight="true" outlineLevel="0" collapsed="false">
      <c r="A1198" s="30" t="n">
        <v>45323</v>
      </c>
      <c r="B1198" s="31" t="s">
        <v>11</v>
      </c>
      <c r="C1198" s="32"/>
      <c r="D1198" s="32"/>
      <c r="E1198" s="19" t="n">
        <f aca="false">+IF(C1198="EQUIPO",F1198,0)</f>
        <v>0</v>
      </c>
      <c r="F1198" s="33" t="n">
        <v>0</v>
      </c>
      <c r="G1198" s="62"/>
      <c r="H1198" s="35" t="n">
        <v>0</v>
      </c>
      <c r="I1198" s="34" t="n">
        <f aca="false">+IF(E1198=0,0,E1198*0.03)</f>
        <v>0</v>
      </c>
    </row>
    <row r="1199" customFormat="false" ht="15.75" hidden="false" customHeight="true" outlineLevel="0" collapsed="false">
      <c r="A1199" s="30" t="n">
        <v>45323</v>
      </c>
      <c r="B1199" s="31" t="s">
        <v>11</v>
      </c>
      <c r="C1199" s="32"/>
      <c r="D1199" s="32"/>
      <c r="E1199" s="19" t="n">
        <f aca="false">+IF(C1199="EQUIPO",F1199,0)</f>
        <v>0</v>
      </c>
      <c r="F1199" s="33" t="n">
        <v>0</v>
      </c>
      <c r="G1199" s="62"/>
      <c r="H1199" s="35" t="n">
        <v>0</v>
      </c>
      <c r="I1199" s="34" t="n">
        <f aca="false">+IF(E1199=0,0,E1199*0.03)</f>
        <v>0</v>
      </c>
    </row>
    <row r="1200" customFormat="false" ht="15.75" hidden="false" customHeight="true" outlineLevel="0" collapsed="false">
      <c r="A1200" s="30" t="n">
        <v>45323</v>
      </c>
      <c r="B1200" s="31" t="s">
        <v>11</v>
      </c>
      <c r="C1200" s="32"/>
      <c r="D1200" s="32"/>
      <c r="E1200" s="19" t="n">
        <f aca="false">+IF(C1200="EQUIPO",F1200,0)</f>
        <v>0</v>
      </c>
      <c r="F1200" s="33" t="n">
        <v>0</v>
      </c>
      <c r="G1200" s="62"/>
      <c r="H1200" s="35" t="n">
        <v>0</v>
      </c>
      <c r="I1200" s="34" t="n">
        <f aca="false">+IF(E1200=0,0,E1200*0.03)</f>
        <v>0</v>
      </c>
    </row>
    <row r="1201" customFormat="false" ht="15.75" hidden="false" customHeight="true" outlineLevel="0" collapsed="false">
      <c r="A1201" s="30" t="n">
        <v>45323</v>
      </c>
      <c r="B1201" s="31" t="s">
        <v>11</v>
      </c>
      <c r="C1201" s="32"/>
      <c r="D1201" s="32"/>
      <c r="E1201" s="19" t="n">
        <f aca="false">+IF(C1201="EQUIPO",F1201,0)</f>
        <v>0</v>
      </c>
      <c r="F1201" s="33" t="n">
        <v>0</v>
      </c>
      <c r="G1201" s="62"/>
      <c r="H1201" s="35" t="n">
        <v>0</v>
      </c>
      <c r="I1201" s="34" t="n">
        <f aca="false">+IF(E1201=0,0,E1201*0.03)</f>
        <v>0</v>
      </c>
    </row>
    <row r="1202" customFormat="false" ht="15.75" hidden="false" customHeight="true" outlineLevel="0" collapsed="false">
      <c r="A1202" s="30" t="n">
        <v>45323</v>
      </c>
      <c r="B1202" s="31" t="s">
        <v>11</v>
      </c>
      <c r="C1202" s="32"/>
      <c r="D1202" s="32"/>
      <c r="E1202" s="19" t="n">
        <f aca="false">+IF(C1202="EQUIPO",F1202,0)</f>
        <v>0</v>
      </c>
      <c r="F1202" s="33" t="n">
        <v>0</v>
      </c>
      <c r="G1202" s="62"/>
      <c r="H1202" s="35" t="n">
        <v>0</v>
      </c>
      <c r="I1202" s="34" t="n">
        <f aca="false">+IF(E1202=0,0,E1202*0.03)</f>
        <v>0</v>
      </c>
    </row>
    <row r="1203" customFormat="false" ht="15.75" hidden="false" customHeight="true" outlineLevel="0" collapsed="false">
      <c r="A1203" s="30" t="n">
        <v>45323</v>
      </c>
      <c r="B1203" s="31" t="s">
        <v>11</v>
      </c>
      <c r="C1203" s="32"/>
      <c r="D1203" s="32"/>
      <c r="E1203" s="19" t="n">
        <f aca="false">+IF(C1203="EQUIPO",F1203,0)</f>
        <v>0</v>
      </c>
      <c r="F1203" s="33" t="n">
        <v>0</v>
      </c>
      <c r="G1203" s="62"/>
      <c r="H1203" s="35" t="n">
        <v>0</v>
      </c>
      <c r="I1203" s="34" t="n">
        <f aca="false">+IF(E1203=0,0,E1203*0.03)</f>
        <v>0</v>
      </c>
    </row>
    <row r="1204" customFormat="false" ht="15.75" hidden="false" customHeight="true" outlineLevel="0" collapsed="false">
      <c r="A1204" s="30" t="n">
        <v>45323</v>
      </c>
      <c r="B1204" s="31" t="s">
        <v>11</v>
      </c>
      <c r="C1204" s="32"/>
      <c r="D1204" s="32"/>
      <c r="E1204" s="19" t="n">
        <f aca="false">+IF(C1204="EQUIPO",F1204,0)</f>
        <v>0</v>
      </c>
      <c r="F1204" s="33" t="n">
        <v>0</v>
      </c>
      <c r="G1204" s="62"/>
      <c r="H1204" s="35" t="n">
        <v>0</v>
      </c>
      <c r="I1204" s="34" t="n">
        <f aca="false">+IF(E1204=0,0,E1204*0.03)</f>
        <v>0</v>
      </c>
    </row>
    <row r="1205" customFormat="false" ht="15.75" hidden="false" customHeight="true" outlineLevel="0" collapsed="false">
      <c r="A1205" s="30" t="n">
        <v>45323</v>
      </c>
      <c r="B1205" s="31" t="s">
        <v>11</v>
      </c>
      <c r="C1205" s="32"/>
      <c r="D1205" s="32"/>
      <c r="E1205" s="19" t="n">
        <f aca="false">+IF(C1205="EQUIPO",F1205,0)</f>
        <v>0</v>
      </c>
      <c r="F1205" s="33" t="n">
        <v>0</v>
      </c>
      <c r="G1205" s="62"/>
      <c r="H1205" s="35" t="n">
        <v>0</v>
      </c>
      <c r="I1205" s="34" t="n">
        <f aca="false">+IF(E1205=0,0,E1205*0.03)</f>
        <v>0</v>
      </c>
    </row>
    <row r="1206" customFormat="false" ht="15.75" hidden="false" customHeight="true" outlineLevel="0" collapsed="false">
      <c r="A1206" s="30" t="n">
        <v>45323</v>
      </c>
      <c r="B1206" s="31" t="s">
        <v>11</v>
      </c>
      <c r="C1206" s="32"/>
      <c r="D1206" s="32"/>
      <c r="E1206" s="19" t="n">
        <f aca="false">+IF(C1206="EQUIPO",F1206,0)</f>
        <v>0</v>
      </c>
      <c r="F1206" s="33" t="n">
        <v>0</v>
      </c>
      <c r="G1206" s="62"/>
      <c r="H1206" s="35" t="n">
        <v>0</v>
      </c>
      <c r="I1206" s="34" t="n">
        <f aca="false">+IF(E1206=0,0,E1206*0.03)</f>
        <v>0</v>
      </c>
    </row>
    <row r="1207" customFormat="false" ht="15.75" hidden="false" customHeight="true" outlineLevel="0" collapsed="false">
      <c r="A1207" s="30" t="n">
        <v>45323</v>
      </c>
      <c r="B1207" s="31" t="s">
        <v>11</v>
      </c>
      <c r="C1207" s="32"/>
      <c r="D1207" s="32"/>
      <c r="E1207" s="19" t="n">
        <f aca="false">+IF(C1207="EQUIPO",F1207,0)</f>
        <v>0</v>
      </c>
      <c r="F1207" s="33" t="n">
        <v>0</v>
      </c>
      <c r="G1207" s="62"/>
      <c r="H1207" s="35" t="n">
        <v>0</v>
      </c>
      <c r="I1207" s="34" t="n">
        <f aca="false">+IF(E1207=0,0,E1207*0.03)</f>
        <v>0</v>
      </c>
    </row>
    <row r="1208" customFormat="false" ht="15.75" hidden="false" customHeight="true" outlineLevel="0" collapsed="false">
      <c r="A1208" s="30" t="n">
        <v>45323</v>
      </c>
      <c r="B1208" s="31" t="s">
        <v>11</v>
      </c>
      <c r="C1208" s="32"/>
      <c r="D1208" s="32"/>
      <c r="E1208" s="19" t="n">
        <f aca="false">+IF(C1208="EQUIPO",F1208,0)</f>
        <v>0</v>
      </c>
      <c r="F1208" s="33" t="n">
        <v>0</v>
      </c>
      <c r="G1208" s="62"/>
      <c r="H1208" s="35" t="n">
        <v>0</v>
      </c>
      <c r="I1208" s="34" t="n">
        <f aca="false">+IF(E1208=0,0,E1208*0.03)</f>
        <v>0</v>
      </c>
    </row>
    <row r="1209" customFormat="false" ht="15.75" hidden="false" customHeight="true" outlineLevel="0" collapsed="false">
      <c r="A1209" s="30" t="n">
        <v>45323</v>
      </c>
      <c r="B1209" s="31" t="s">
        <v>11</v>
      </c>
      <c r="C1209" s="32"/>
      <c r="D1209" s="32"/>
      <c r="E1209" s="19" t="n">
        <f aca="false">+IF(C1209="EQUIPO",F1209,0)</f>
        <v>0</v>
      </c>
      <c r="F1209" s="33" t="n">
        <v>0</v>
      </c>
      <c r="G1209" s="62"/>
      <c r="H1209" s="35" t="n">
        <v>0</v>
      </c>
      <c r="I1209" s="34" t="n">
        <f aca="false">+IF(E1209=0,0,E1209*0.03)</f>
        <v>0</v>
      </c>
    </row>
    <row r="1210" customFormat="false" ht="15.75" hidden="false" customHeight="true" outlineLevel="0" collapsed="false">
      <c r="A1210" s="30" t="n">
        <v>45323</v>
      </c>
      <c r="B1210" s="31" t="s">
        <v>11</v>
      </c>
      <c r="C1210" s="32"/>
      <c r="D1210" s="32"/>
      <c r="E1210" s="19" t="n">
        <f aca="false">+IF(C1210="EQUIPO",F1210,0)</f>
        <v>0</v>
      </c>
      <c r="F1210" s="33" t="n">
        <v>0</v>
      </c>
      <c r="G1210" s="62"/>
      <c r="H1210" s="35" t="n">
        <v>0</v>
      </c>
      <c r="I1210" s="34" t="n">
        <f aca="false">+IF(E1210=0,0,E1210*0.03)</f>
        <v>0</v>
      </c>
    </row>
    <row r="1211" customFormat="false" ht="15.75" hidden="false" customHeight="true" outlineLevel="0" collapsed="false">
      <c r="A1211" s="30" t="n">
        <v>45323</v>
      </c>
      <c r="B1211" s="31" t="s">
        <v>11</v>
      </c>
      <c r="C1211" s="32"/>
      <c r="D1211" s="32"/>
      <c r="E1211" s="19" t="n">
        <f aca="false">+IF(C1211="EQUIPO",F1211,0)</f>
        <v>0</v>
      </c>
      <c r="F1211" s="33" t="n">
        <v>0</v>
      </c>
      <c r="G1211" s="62"/>
      <c r="H1211" s="35" t="n">
        <v>0</v>
      </c>
      <c r="I1211" s="34" t="n">
        <f aca="false">+IF(E1211=0,0,E1211*0.03)</f>
        <v>0</v>
      </c>
    </row>
    <row r="1212" customFormat="false" ht="15.75" hidden="false" customHeight="true" outlineLevel="0" collapsed="false">
      <c r="A1212" s="30" t="n">
        <v>45323</v>
      </c>
      <c r="B1212" s="31" t="s">
        <v>11</v>
      </c>
      <c r="C1212" s="32"/>
      <c r="D1212" s="32"/>
      <c r="E1212" s="19" t="n">
        <f aca="false">+IF(C1212="EQUIPO",F1212,0)</f>
        <v>0</v>
      </c>
      <c r="F1212" s="33" t="n">
        <v>0</v>
      </c>
      <c r="G1212" s="62"/>
      <c r="H1212" s="35" t="n">
        <v>0</v>
      </c>
      <c r="I1212" s="34" t="n">
        <f aca="false">+IF(E1212=0,0,E1212*0.03)</f>
        <v>0</v>
      </c>
    </row>
    <row r="1213" customFormat="false" ht="15.75" hidden="false" customHeight="true" outlineLevel="0" collapsed="false">
      <c r="A1213" s="30" t="n">
        <v>45323</v>
      </c>
      <c r="B1213" s="31" t="s">
        <v>11</v>
      </c>
      <c r="C1213" s="32"/>
      <c r="D1213" s="32"/>
      <c r="E1213" s="19" t="n">
        <f aca="false">+IF(C1213="EQUIPO",F1213,0)</f>
        <v>0</v>
      </c>
      <c r="F1213" s="33" t="n">
        <v>0</v>
      </c>
      <c r="G1213" s="62"/>
      <c r="H1213" s="35" t="n">
        <v>0</v>
      </c>
      <c r="I1213" s="34" t="n">
        <f aca="false">+IF(E1213=0,0,E1213*0.03)</f>
        <v>0</v>
      </c>
    </row>
    <row r="1214" customFormat="false" ht="15.75" hidden="false" customHeight="true" outlineLevel="0" collapsed="false">
      <c r="A1214" s="30" t="n">
        <v>45323</v>
      </c>
      <c r="B1214" s="31" t="s">
        <v>11</v>
      </c>
      <c r="C1214" s="32"/>
      <c r="D1214" s="32"/>
      <c r="E1214" s="19" t="n">
        <f aca="false">+IF(C1214="EQUIPO",F1214,0)</f>
        <v>0</v>
      </c>
      <c r="F1214" s="33" t="n">
        <v>0</v>
      </c>
      <c r="G1214" s="62"/>
      <c r="H1214" s="35" t="n">
        <v>0</v>
      </c>
      <c r="I1214" s="34" t="n">
        <f aca="false">+IF(E1214=0,0,E1214*0.03)</f>
        <v>0</v>
      </c>
    </row>
    <row r="1215" customFormat="false" ht="15.75" hidden="false" customHeight="true" outlineLevel="0" collapsed="false">
      <c r="A1215" s="30" t="n">
        <v>45323</v>
      </c>
      <c r="B1215" s="31" t="s">
        <v>11</v>
      </c>
      <c r="C1215" s="32"/>
      <c r="D1215" s="32"/>
      <c r="E1215" s="19" t="n">
        <f aca="false">+IF(C1215="EQUIPO",F1215,0)</f>
        <v>0</v>
      </c>
      <c r="F1215" s="33" t="n">
        <v>0</v>
      </c>
      <c r="G1215" s="62"/>
      <c r="H1215" s="35" t="n">
        <v>0</v>
      </c>
      <c r="I1215" s="34" t="n">
        <f aca="false">+IF(E1215=0,0,E1215*0.03)</f>
        <v>0</v>
      </c>
    </row>
    <row r="1216" customFormat="false" ht="15.75" hidden="false" customHeight="true" outlineLevel="0" collapsed="false">
      <c r="A1216" s="30" t="n">
        <v>45323</v>
      </c>
      <c r="B1216" s="31" t="s">
        <v>11</v>
      </c>
      <c r="C1216" s="32"/>
      <c r="D1216" s="32"/>
      <c r="E1216" s="19" t="n">
        <f aca="false">+IF(C1216="EQUIPO",F1216,0)</f>
        <v>0</v>
      </c>
      <c r="F1216" s="33" t="n">
        <v>0</v>
      </c>
      <c r="G1216" s="62"/>
      <c r="H1216" s="35" t="n">
        <v>0</v>
      </c>
      <c r="I1216" s="34" t="n">
        <f aca="false">+IF(E1216=0,0,E1216*0.03)</f>
        <v>0</v>
      </c>
    </row>
    <row r="1217" customFormat="false" ht="15.75" hidden="false" customHeight="true" outlineLevel="0" collapsed="false">
      <c r="A1217" s="30" t="n">
        <v>45323</v>
      </c>
      <c r="B1217" s="31" t="s">
        <v>11</v>
      </c>
      <c r="C1217" s="32"/>
      <c r="D1217" s="32"/>
      <c r="E1217" s="19" t="n">
        <f aca="false">+IF(C1217="EQUIPO",F1217,0)</f>
        <v>0</v>
      </c>
      <c r="F1217" s="33" t="n">
        <v>0</v>
      </c>
      <c r="G1217" s="62"/>
      <c r="H1217" s="35" t="n">
        <v>0</v>
      </c>
      <c r="I1217" s="34" t="n">
        <f aca="false">+IF(E1217=0,0,E1217*0.03)</f>
        <v>0</v>
      </c>
    </row>
    <row r="1218" customFormat="false" ht="15.75" hidden="false" customHeight="true" outlineLevel="0" collapsed="false">
      <c r="A1218" s="30" t="n">
        <v>45323</v>
      </c>
      <c r="B1218" s="31" t="s">
        <v>11</v>
      </c>
      <c r="C1218" s="32"/>
      <c r="D1218" s="32"/>
      <c r="E1218" s="19" t="n">
        <f aca="false">+IF(C1218="EQUIPO",F1218,0)</f>
        <v>0</v>
      </c>
      <c r="F1218" s="33" t="n">
        <v>0</v>
      </c>
      <c r="G1218" s="62"/>
      <c r="H1218" s="35" t="n">
        <v>0</v>
      </c>
      <c r="I1218" s="34" t="n">
        <f aca="false">+IF(E1218=0,0,E1218*0.03)</f>
        <v>0</v>
      </c>
    </row>
    <row r="1219" customFormat="false" ht="15.75" hidden="false" customHeight="true" outlineLevel="0" collapsed="false">
      <c r="A1219" s="30" t="n">
        <v>45323</v>
      </c>
      <c r="B1219" s="31" t="s">
        <v>11</v>
      </c>
      <c r="C1219" s="32"/>
      <c r="D1219" s="32"/>
      <c r="E1219" s="19" t="n">
        <f aca="false">+IF(C1219="EQUIPO",F1219,0)</f>
        <v>0</v>
      </c>
      <c r="F1219" s="33" t="n">
        <v>0</v>
      </c>
      <c r="G1219" s="62"/>
      <c r="H1219" s="35" t="n">
        <v>0</v>
      </c>
      <c r="I1219" s="34" t="n">
        <f aca="false">+IF(E1219=0,0,E1219*0.03)</f>
        <v>0</v>
      </c>
    </row>
    <row r="1220" customFormat="false" ht="15.75" hidden="false" customHeight="true" outlineLevel="0" collapsed="false">
      <c r="A1220" s="30" t="n">
        <v>45323</v>
      </c>
      <c r="B1220" s="31" t="s">
        <v>11</v>
      </c>
      <c r="C1220" s="32"/>
      <c r="D1220" s="32"/>
      <c r="E1220" s="19" t="n">
        <f aca="false">+IF(C1220="EQUIPO",F1220,0)</f>
        <v>0</v>
      </c>
      <c r="F1220" s="33" t="n">
        <v>0</v>
      </c>
      <c r="G1220" s="62"/>
      <c r="H1220" s="35" t="n">
        <v>0</v>
      </c>
      <c r="I1220" s="34" t="n">
        <f aca="false">+IF(E1220=0,0,E1220*0.03)</f>
        <v>0</v>
      </c>
    </row>
    <row r="1221" customFormat="false" ht="15.75" hidden="false" customHeight="true" outlineLevel="0" collapsed="false">
      <c r="A1221" s="30" t="n">
        <v>45323</v>
      </c>
      <c r="B1221" s="31" t="s">
        <v>11</v>
      </c>
      <c r="C1221" s="32"/>
      <c r="D1221" s="32"/>
      <c r="E1221" s="19" t="n">
        <f aca="false">+IF(C1221="EQUIPO",F1221,0)</f>
        <v>0</v>
      </c>
      <c r="F1221" s="33" t="n">
        <v>0</v>
      </c>
      <c r="G1221" s="62"/>
      <c r="H1221" s="35" t="n">
        <v>0</v>
      </c>
      <c r="I1221" s="34" t="n">
        <f aca="false">+IF(E1221=0,0,E1221*0.03)</f>
        <v>0</v>
      </c>
    </row>
    <row r="1222" customFormat="false" ht="15.75" hidden="false" customHeight="true" outlineLevel="0" collapsed="false">
      <c r="A1222" s="30" t="n">
        <v>45323</v>
      </c>
      <c r="B1222" s="31" t="s">
        <v>11</v>
      </c>
      <c r="C1222" s="32"/>
      <c r="D1222" s="32"/>
      <c r="E1222" s="19" t="n">
        <f aca="false">+IF(C1222="EQUIPO",F1222,0)</f>
        <v>0</v>
      </c>
      <c r="F1222" s="33" t="n">
        <v>0</v>
      </c>
      <c r="G1222" s="62"/>
      <c r="H1222" s="35" t="n">
        <v>0</v>
      </c>
      <c r="I1222" s="34" t="n">
        <f aca="false">+IF(E1222=0,0,E1222*0.03)</f>
        <v>0</v>
      </c>
    </row>
    <row r="1223" customFormat="false" ht="15.75" hidden="false" customHeight="true" outlineLevel="0" collapsed="false">
      <c r="A1223" s="30" t="n">
        <v>45323</v>
      </c>
      <c r="B1223" s="31" t="s">
        <v>11</v>
      </c>
      <c r="C1223" s="32"/>
      <c r="D1223" s="32"/>
      <c r="E1223" s="19" t="n">
        <f aca="false">+IF(C1223="EQUIPO",F1223,0)</f>
        <v>0</v>
      </c>
      <c r="F1223" s="33" t="n">
        <v>0</v>
      </c>
      <c r="G1223" s="62"/>
      <c r="H1223" s="35" t="n">
        <v>0</v>
      </c>
      <c r="I1223" s="34" t="n">
        <f aca="false">+IF(E1223=0,0,E1223*0.03)</f>
        <v>0</v>
      </c>
    </row>
    <row r="1224" customFormat="false" ht="15.75" hidden="false" customHeight="true" outlineLevel="0" collapsed="false">
      <c r="A1224" s="30" t="n">
        <v>45323</v>
      </c>
      <c r="B1224" s="31" t="s">
        <v>11</v>
      </c>
      <c r="C1224" s="32"/>
      <c r="D1224" s="32"/>
      <c r="E1224" s="19" t="n">
        <f aca="false">+IF(C1224="EQUIPO",F1224,0)</f>
        <v>0</v>
      </c>
      <c r="F1224" s="33" t="n">
        <v>0</v>
      </c>
      <c r="G1224" s="62"/>
      <c r="H1224" s="35" t="n">
        <v>0</v>
      </c>
      <c r="I1224" s="34" t="n">
        <f aca="false">+IF(E1224=0,0,E1224*0.03)</f>
        <v>0</v>
      </c>
    </row>
    <row r="1225" customFormat="false" ht="15.75" hidden="false" customHeight="true" outlineLevel="0" collapsed="false">
      <c r="A1225" s="30" t="n">
        <v>45323</v>
      </c>
      <c r="B1225" s="31" t="s">
        <v>11</v>
      </c>
      <c r="C1225" s="32"/>
      <c r="D1225" s="32"/>
      <c r="E1225" s="19" t="n">
        <f aca="false">+IF(C1225="EQUIPO",F1225,0)</f>
        <v>0</v>
      </c>
      <c r="F1225" s="33" t="n">
        <v>0</v>
      </c>
      <c r="G1225" s="62"/>
      <c r="H1225" s="35" t="n">
        <v>0</v>
      </c>
      <c r="I1225" s="34" t="n">
        <f aca="false">+IF(E1225=0,0,E1225*0.03)</f>
        <v>0</v>
      </c>
    </row>
    <row r="1226" customFormat="false" ht="15.75" hidden="false" customHeight="true" outlineLevel="0" collapsed="false">
      <c r="A1226" s="30" t="n">
        <v>45323</v>
      </c>
      <c r="B1226" s="31" t="s">
        <v>11</v>
      </c>
      <c r="C1226" s="32"/>
      <c r="D1226" s="32"/>
      <c r="E1226" s="19" t="n">
        <f aca="false">+IF(C1226="EQUIPO",F1226,0)</f>
        <v>0</v>
      </c>
      <c r="F1226" s="33" t="n">
        <v>0</v>
      </c>
      <c r="G1226" s="62"/>
      <c r="H1226" s="35" t="n">
        <v>0</v>
      </c>
      <c r="I1226" s="34" t="n">
        <f aca="false">+IF(E1226=0,0,E1226*0.03)</f>
        <v>0</v>
      </c>
    </row>
    <row r="1227" customFormat="false" ht="15.75" hidden="false" customHeight="true" outlineLevel="0" collapsed="false">
      <c r="A1227" s="30" t="n">
        <v>45323</v>
      </c>
      <c r="B1227" s="31" t="s">
        <v>11</v>
      </c>
      <c r="C1227" s="32"/>
      <c r="D1227" s="32"/>
      <c r="E1227" s="19" t="n">
        <f aca="false">+IF(C1227="EQUIPO",F1227,0)</f>
        <v>0</v>
      </c>
      <c r="F1227" s="33" t="n">
        <v>0</v>
      </c>
      <c r="G1227" s="62"/>
      <c r="H1227" s="35" t="n">
        <v>0</v>
      </c>
      <c r="I1227" s="34" t="n">
        <f aca="false">+IF(E1227=0,0,E1227*0.03)</f>
        <v>0</v>
      </c>
    </row>
    <row r="1228" customFormat="false" ht="15.75" hidden="false" customHeight="true" outlineLevel="0" collapsed="false">
      <c r="A1228" s="30" t="n">
        <v>45323</v>
      </c>
      <c r="B1228" s="31" t="s">
        <v>11</v>
      </c>
      <c r="C1228" s="32"/>
      <c r="D1228" s="32"/>
      <c r="E1228" s="19" t="n">
        <f aca="false">+IF(C1228="EQUIPO",F1228,0)</f>
        <v>0</v>
      </c>
      <c r="F1228" s="33" t="n">
        <v>0</v>
      </c>
      <c r="G1228" s="62"/>
      <c r="H1228" s="35" t="n">
        <v>0</v>
      </c>
      <c r="I1228" s="34" t="n">
        <f aca="false">+IF(E1228=0,0,E1228*0.03)</f>
        <v>0</v>
      </c>
    </row>
    <row r="1229" customFormat="false" ht="15.75" hidden="false" customHeight="true" outlineLevel="0" collapsed="false">
      <c r="A1229" s="30" t="n">
        <v>45323</v>
      </c>
      <c r="B1229" s="31" t="s">
        <v>11</v>
      </c>
      <c r="C1229" s="32"/>
      <c r="D1229" s="32"/>
      <c r="E1229" s="19" t="n">
        <f aca="false">+IF(C1229="EQUIPO",F1229,0)</f>
        <v>0</v>
      </c>
      <c r="F1229" s="33" t="n">
        <v>0</v>
      </c>
      <c r="G1229" s="62"/>
      <c r="H1229" s="35" t="n">
        <v>0</v>
      </c>
      <c r="I1229" s="34" t="n">
        <f aca="false">+IF(E1229=0,0,E1229*0.03)</f>
        <v>0</v>
      </c>
    </row>
    <row r="1230" customFormat="false" ht="15.75" hidden="false" customHeight="true" outlineLevel="0" collapsed="false">
      <c r="A1230" s="30" t="n">
        <v>45323</v>
      </c>
      <c r="B1230" s="31" t="s">
        <v>11</v>
      </c>
      <c r="C1230" s="32"/>
      <c r="D1230" s="32"/>
      <c r="E1230" s="19" t="n">
        <f aca="false">+IF(C1230="EQUIPO",F1230,0)</f>
        <v>0</v>
      </c>
      <c r="F1230" s="33" t="n">
        <v>0</v>
      </c>
      <c r="G1230" s="62"/>
      <c r="H1230" s="35" t="n">
        <v>0</v>
      </c>
      <c r="I1230" s="34" t="n">
        <f aca="false">+IF(E1230=0,0,E1230*0.03)</f>
        <v>0</v>
      </c>
    </row>
    <row r="1231" customFormat="false" ht="15.75" hidden="false" customHeight="true" outlineLevel="0" collapsed="false">
      <c r="A1231" s="30" t="n">
        <v>45323</v>
      </c>
      <c r="B1231" s="31" t="s">
        <v>11</v>
      </c>
      <c r="C1231" s="32"/>
      <c r="D1231" s="32"/>
      <c r="E1231" s="19" t="n">
        <f aca="false">+IF(C1231="EQUIPO",F1231,0)</f>
        <v>0</v>
      </c>
      <c r="F1231" s="33" t="n">
        <v>0</v>
      </c>
      <c r="G1231" s="62"/>
      <c r="H1231" s="35" t="n">
        <v>0</v>
      </c>
      <c r="I1231" s="34" t="n">
        <f aca="false">+IF(E1231=0,0,E1231*0.03)</f>
        <v>0</v>
      </c>
    </row>
    <row r="1232" customFormat="false" ht="15.75" hidden="false" customHeight="true" outlineLevel="0" collapsed="false">
      <c r="A1232" s="30" t="n">
        <v>45323</v>
      </c>
      <c r="B1232" s="31" t="s">
        <v>11</v>
      </c>
      <c r="C1232" s="32"/>
      <c r="D1232" s="32"/>
      <c r="E1232" s="19" t="n">
        <f aca="false">+IF(C1232="EQUIPO",F1232,0)</f>
        <v>0</v>
      </c>
      <c r="F1232" s="33" t="n">
        <v>0</v>
      </c>
      <c r="G1232" s="62"/>
      <c r="H1232" s="35" t="n">
        <v>0</v>
      </c>
      <c r="I1232" s="34" t="n">
        <f aca="false">+IF(E1232=0,0,E1232*0.03)</f>
        <v>0</v>
      </c>
    </row>
    <row r="1233" customFormat="false" ht="15.75" hidden="false" customHeight="true" outlineLevel="0" collapsed="false">
      <c r="A1233" s="30" t="n">
        <v>45323</v>
      </c>
      <c r="B1233" s="31" t="s">
        <v>11</v>
      </c>
      <c r="C1233" s="32"/>
      <c r="D1233" s="32"/>
      <c r="E1233" s="19" t="n">
        <f aca="false">+IF(C1233="EQUIPO",F1233,0)</f>
        <v>0</v>
      </c>
      <c r="F1233" s="33" t="n">
        <v>0</v>
      </c>
      <c r="G1233" s="62"/>
      <c r="H1233" s="35" t="n">
        <v>0</v>
      </c>
      <c r="I1233" s="34" t="n">
        <f aca="false">+IF(E1233=0,0,E1233*0.03)</f>
        <v>0</v>
      </c>
    </row>
    <row r="1234" customFormat="false" ht="15.75" hidden="false" customHeight="true" outlineLevel="0" collapsed="false">
      <c r="A1234" s="30" t="n">
        <v>45323</v>
      </c>
      <c r="B1234" s="31" t="s">
        <v>11</v>
      </c>
      <c r="C1234" s="32"/>
      <c r="D1234" s="32"/>
      <c r="E1234" s="19" t="n">
        <f aca="false">+IF(C1234="EQUIPO",F1234,0)</f>
        <v>0</v>
      </c>
      <c r="F1234" s="33" t="n">
        <v>0</v>
      </c>
      <c r="G1234" s="62"/>
      <c r="H1234" s="35" t="n">
        <v>0</v>
      </c>
      <c r="I1234" s="34" t="n">
        <f aca="false">+IF(E1234=0,0,E1234*0.03)</f>
        <v>0</v>
      </c>
    </row>
    <row r="1235" customFormat="false" ht="15.75" hidden="false" customHeight="true" outlineLevel="0" collapsed="false">
      <c r="A1235" s="30" t="n">
        <v>45323</v>
      </c>
      <c r="B1235" s="31" t="s">
        <v>11</v>
      </c>
      <c r="C1235" s="32"/>
      <c r="D1235" s="32"/>
      <c r="E1235" s="19" t="n">
        <f aca="false">+IF(C1235="EQUIPO",F1235,0)</f>
        <v>0</v>
      </c>
      <c r="F1235" s="33" t="n">
        <v>0</v>
      </c>
      <c r="G1235" s="62"/>
      <c r="H1235" s="35" t="n">
        <v>0</v>
      </c>
      <c r="I1235" s="34" t="n">
        <f aca="false">+IF(E1235=0,0,E1235*0.03)</f>
        <v>0</v>
      </c>
    </row>
    <row r="1236" customFormat="false" ht="15.75" hidden="false" customHeight="true" outlineLevel="0" collapsed="false">
      <c r="A1236" s="30" t="n">
        <v>45323</v>
      </c>
      <c r="B1236" s="31" t="s">
        <v>11</v>
      </c>
      <c r="C1236" s="32"/>
      <c r="D1236" s="32"/>
      <c r="E1236" s="19" t="n">
        <f aca="false">+IF(C1236="EQUIPO",F1236,0)</f>
        <v>0</v>
      </c>
      <c r="F1236" s="33" t="n">
        <v>0</v>
      </c>
      <c r="G1236" s="62"/>
      <c r="H1236" s="35" t="n">
        <v>0</v>
      </c>
      <c r="I1236" s="34" t="n">
        <f aca="false">+IF(E1236=0,0,E1236*0.03)</f>
        <v>0</v>
      </c>
    </row>
    <row r="1237" customFormat="false" ht="15.75" hidden="false" customHeight="true" outlineLevel="0" collapsed="false">
      <c r="A1237" s="30" t="n">
        <v>45323</v>
      </c>
      <c r="B1237" s="31" t="s">
        <v>11</v>
      </c>
      <c r="C1237" s="32"/>
      <c r="D1237" s="32"/>
      <c r="E1237" s="19" t="n">
        <f aca="false">+IF(C1237="EQUIPO",F1237,0)</f>
        <v>0</v>
      </c>
      <c r="F1237" s="33" t="n">
        <v>0</v>
      </c>
      <c r="G1237" s="62"/>
      <c r="H1237" s="35" t="n">
        <v>0</v>
      </c>
      <c r="I1237" s="34" t="n">
        <f aca="false">+IF(E1237=0,0,E1237*0.03)</f>
        <v>0</v>
      </c>
    </row>
    <row r="1238" customFormat="false" ht="15.75" hidden="false" customHeight="true" outlineLevel="0" collapsed="false">
      <c r="A1238" s="30" t="n">
        <v>45323</v>
      </c>
      <c r="B1238" s="31" t="s">
        <v>11</v>
      </c>
      <c r="C1238" s="32"/>
      <c r="D1238" s="32"/>
      <c r="E1238" s="19" t="n">
        <f aca="false">+IF(C1238="EQUIPO",F1238,0)</f>
        <v>0</v>
      </c>
      <c r="F1238" s="33" t="n">
        <v>0</v>
      </c>
      <c r="G1238" s="62"/>
      <c r="H1238" s="35" t="n">
        <v>0</v>
      </c>
      <c r="I1238" s="34" t="n">
        <f aca="false">+IF(E1238=0,0,E1238*0.03)</f>
        <v>0</v>
      </c>
    </row>
    <row r="1239" customFormat="false" ht="15.75" hidden="false" customHeight="true" outlineLevel="0" collapsed="false">
      <c r="A1239" s="30" t="n">
        <v>45323</v>
      </c>
      <c r="B1239" s="31" t="s">
        <v>11</v>
      </c>
      <c r="C1239" s="32"/>
      <c r="D1239" s="32"/>
      <c r="E1239" s="19" t="n">
        <f aca="false">+IF(C1239="EQUIPO",F1239,0)</f>
        <v>0</v>
      </c>
      <c r="F1239" s="33" t="n">
        <v>0</v>
      </c>
      <c r="G1239" s="62"/>
      <c r="H1239" s="35" t="n">
        <v>0</v>
      </c>
      <c r="I1239" s="34" t="n">
        <f aca="false">+IF(E1239=0,0,E1239*0.03)</f>
        <v>0</v>
      </c>
    </row>
    <row r="1240" customFormat="false" ht="15.75" hidden="false" customHeight="true" outlineLevel="0" collapsed="false">
      <c r="A1240" s="30" t="n">
        <v>45323</v>
      </c>
      <c r="B1240" s="31" t="s">
        <v>11</v>
      </c>
      <c r="C1240" s="32"/>
      <c r="D1240" s="32"/>
      <c r="E1240" s="19" t="n">
        <f aca="false">+IF(C1240="EQUIPO",F1240,0)</f>
        <v>0</v>
      </c>
      <c r="F1240" s="33" t="n">
        <v>0</v>
      </c>
      <c r="G1240" s="62"/>
      <c r="H1240" s="35" t="n">
        <v>0</v>
      </c>
      <c r="I1240" s="34" t="n">
        <f aca="false">+IF(E1240=0,0,E1240*0.03)</f>
        <v>0</v>
      </c>
    </row>
    <row r="1241" customFormat="false" ht="15.75" hidden="false" customHeight="true" outlineLevel="0" collapsed="false">
      <c r="A1241" s="30" t="n">
        <v>45323</v>
      </c>
      <c r="B1241" s="31" t="s">
        <v>11</v>
      </c>
      <c r="C1241" s="32"/>
      <c r="D1241" s="32"/>
      <c r="E1241" s="19" t="n">
        <f aca="false">+IF(C1241="EQUIPO",F1241,0)</f>
        <v>0</v>
      </c>
      <c r="F1241" s="33" t="n">
        <v>0</v>
      </c>
      <c r="G1241" s="62"/>
      <c r="H1241" s="35" t="n">
        <v>0</v>
      </c>
      <c r="I1241" s="34" t="n">
        <f aca="false">+IF(E1241=0,0,E1241*0.03)</f>
        <v>0</v>
      </c>
    </row>
    <row r="1242" customFormat="false" ht="15.75" hidden="false" customHeight="true" outlineLevel="0" collapsed="false">
      <c r="A1242" s="30" t="n">
        <v>45323</v>
      </c>
      <c r="B1242" s="31" t="s">
        <v>11</v>
      </c>
      <c r="C1242" s="32"/>
      <c r="D1242" s="32"/>
      <c r="E1242" s="19" t="n">
        <f aca="false">+IF(C1242="EQUIPO",F1242,0)</f>
        <v>0</v>
      </c>
      <c r="F1242" s="33" t="n">
        <v>0</v>
      </c>
      <c r="G1242" s="62"/>
      <c r="H1242" s="35" t="n">
        <v>0</v>
      </c>
      <c r="I1242" s="34" t="n">
        <f aca="false">+IF(E1242=0,0,E1242*0.03)</f>
        <v>0</v>
      </c>
    </row>
    <row r="1243" customFormat="false" ht="15.75" hidden="false" customHeight="true" outlineLevel="0" collapsed="false">
      <c r="A1243" s="30" t="n">
        <v>45323</v>
      </c>
      <c r="B1243" s="31" t="s">
        <v>11</v>
      </c>
      <c r="C1243" s="32"/>
      <c r="D1243" s="32"/>
      <c r="E1243" s="19" t="n">
        <f aca="false">+IF(C1243="EQUIPO",F1243,0)</f>
        <v>0</v>
      </c>
      <c r="F1243" s="33" t="n">
        <v>0</v>
      </c>
      <c r="G1243" s="62"/>
      <c r="H1243" s="35" t="n">
        <v>0</v>
      </c>
      <c r="I1243" s="34" t="n">
        <f aca="false">+IF(E1243=0,0,E1243*0.03)</f>
        <v>0</v>
      </c>
    </row>
    <row r="1244" customFormat="false" ht="15.75" hidden="false" customHeight="true" outlineLevel="0" collapsed="false">
      <c r="A1244" s="30" t="n">
        <v>45323</v>
      </c>
      <c r="B1244" s="31" t="s">
        <v>11</v>
      </c>
      <c r="C1244" s="32"/>
      <c r="D1244" s="32"/>
      <c r="E1244" s="19" t="n">
        <f aca="false">+IF(C1244="EQUIPO",F1244,0)</f>
        <v>0</v>
      </c>
      <c r="F1244" s="33" t="n">
        <v>0</v>
      </c>
      <c r="G1244" s="62"/>
      <c r="H1244" s="35" t="n">
        <v>0</v>
      </c>
      <c r="I1244" s="34" t="n">
        <f aca="false">+IF(E1244=0,0,E1244*0.03)</f>
        <v>0</v>
      </c>
    </row>
    <row r="1245" customFormat="false" ht="15.75" hidden="false" customHeight="true" outlineLevel="0" collapsed="false">
      <c r="A1245" s="30" t="n">
        <v>45323</v>
      </c>
      <c r="B1245" s="31" t="s">
        <v>11</v>
      </c>
      <c r="C1245" s="32"/>
      <c r="D1245" s="32"/>
      <c r="E1245" s="19" t="n">
        <f aca="false">+IF(C1245="EQUIPO",F1245,0)</f>
        <v>0</v>
      </c>
      <c r="F1245" s="33" t="n">
        <v>0</v>
      </c>
      <c r="G1245" s="62"/>
      <c r="H1245" s="35" t="n">
        <v>0</v>
      </c>
      <c r="I1245" s="34" t="n">
        <f aca="false">+IF(E1245=0,0,E1245*0.03)</f>
        <v>0</v>
      </c>
    </row>
    <row r="1246" customFormat="false" ht="15.75" hidden="false" customHeight="true" outlineLevel="0" collapsed="false">
      <c r="A1246" s="30" t="n">
        <v>45323</v>
      </c>
      <c r="B1246" s="31" t="s">
        <v>11</v>
      </c>
      <c r="C1246" s="32"/>
      <c r="D1246" s="32"/>
      <c r="E1246" s="19" t="n">
        <f aca="false">+IF(C1246="EQUIPO",F1246,0)</f>
        <v>0</v>
      </c>
      <c r="F1246" s="33" t="n">
        <v>0</v>
      </c>
      <c r="G1246" s="62"/>
      <c r="H1246" s="35" t="n">
        <v>0</v>
      </c>
      <c r="I1246" s="34" t="n">
        <f aca="false">+IF(E1246=0,0,E1246*0.03)</f>
        <v>0</v>
      </c>
    </row>
    <row r="1247" customFormat="false" ht="15.75" hidden="false" customHeight="true" outlineLevel="0" collapsed="false">
      <c r="A1247" s="30" t="n">
        <v>45323</v>
      </c>
      <c r="B1247" s="31" t="s">
        <v>11</v>
      </c>
      <c r="C1247" s="32"/>
      <c r="D1247" s="32"/>
      <c r="E1247" s="19" t="n">
        <f aca="false">+IF(C1247="EQUIPO",F1247,0)</f>
        <v>0</v>
      </c>
      <c r="F1247" s="33" t="n">
        <v>0</v>
      </c>
      <c r="G1247" s="62"/>
      <c r="H1247" s="35" t="n">
        <v>0</v>
      </c>
      <c r="I1247" s="34" t="n">
        <f aca="false">+IF(E1247=0,0,E1247*0.03)</f>
        <v>0</v>
      </c>
    </row>
    <row r="1248" customFormat="false" ht="15.75" hidden="false" customHeight="true" outlineLevel="0" collapsed="false">
      <c r="A1248" s="30" t="n">
        <v>45323</v>
      </c>
      <c r="B1248" s="31" t="s">
        <v>11</v>
      </c>
      <c r="C1248" s="32"/>
      <c r="D1248" s="32"/>
      <c r="E1248" s="19" t="n">
        <f aca="false">+IF(C1248="EQUIPO",F1248,0)</f>
        <v>0</v>
      </c>
      <c r="F1248" s="33" t="n">
        <v>0</v>
      </c>
      <c r="G1248" s="62"/>
      <c r="H1248" s="35" t="n">
        <v>0</v>
      </c>
      <c r="I1248" s="34" t="n">
        <f aca="false">+IF(E1248=0,0,E1248*0.03)</f>
        <v>0</v>
      </c>
    </row>
    <row r="1249" customFormat="false" ht="15.75" hidden="false" customHeight="true" outlineLevel="0" collapsed="false">
      <c r="A1249" s="30" t="n">
        <v>45323</v>
      </c>
      <c r="B1249" s="31" t="s">
        <v>11</v>
      </c>
      <c r="C1249" s="32"/>
      <c r="D1249" s="32"/>
      <c r="E1249" s="19" t="n">
        <f aca="false">+IF(C1249="EQUIPO",F1249,0)</f>
        <v>0</v>
      </c>
      <c r="F1249" s="33" t="n">
        <v>0</v>
      </c>
      <c r="G1249" s="62"/>
      <c r="H1249" s="35" t="n">
        <v>0</v>
      </c>
      <c r="I1249" s="34" t="n">
        <f aca="false">+IF(E1249=0,0,E1249*0.03)</f>
        <v>0</v>
      </c>
    </row>
    <row r="1250" customFormat="false" ht="15.75" hidden="false" customHeight="true" outlineLevel="0" collapsed="false">
      <c r="A1250" s="30" t="n">
        <v>45323</v>
      </c>
      <c r="B1250" s="31" t="s">
        <v>11</v>
      </c>
      <c r="C1250" s="32"/>
      <c r="D1250" s="32"/>
      <c r="E1250" s="19" t="n">
        <f aca="false">+IF(C1250="EQUIPO",F1250,0)</f>
        <v>0</v>
      </c>
      <c r="F1250" s="33" t="n">
        <v>0</v>
      </c>
      <c r="G1250" s="62"/>
      <c r="H1250" s="35" t="n">
        <v>0</v>
      </c>
      <c r="I1250" s="34" t="n">
        <f aca="false">+IF(E1250=0,0,E1250*0.03)</f>
        <v>0</v>
      </c>
    </row>
    <row r="1251" customFormat="false" ht="15.75" hidden="false" customHeight="true" outlineLevel="0" collapsed="false">
      <c r="A1251" s="30" t="n">
        <v>45323</v>
      </c>
      <c r="B1251" s="31" t="s">
        <v>11</v>
      </c>
      <c r="C1251" s="32"/>
      <c r="D1251" s="32"/>
      <c r="E1251" s="19" t="n">
        <f aca="false">+IF(C1251="EQUIPO",F1251,0)</f>
        <v>0</v>
      </c>
      <c r="F1251" s="33" t="n">
        <v>0</v>
      </c>
      <c r="G1251" s="62"/>
      <c r="H1251" s="35" t="n">
        <v>0</v>
      </c>
      <c r="I1251" s="34" t="n">
        <f aca="false">+IF(E1251=0,0,E1251*0.03)</f>
        <v>0</v>
      </c>
    </row>
    <row r="1252" customFormat="false" ht="15.75" hidden="false" customHeight="true" outlineLevel="0" collapsed="false">
      <c r="A1252" s="30" t="n">
        <v>45323</v>
      </c>
      <c r="B1252" s="31" t="s">
        <v>11</v>
      </c>
      <c r="C1252" s="32"/>
      <c r="D1252" s="32"/>
      <c r="E1252" s="19" t="n">
        <f aca="false">+IF(C1252="EQUIPO",F1252,0)</f>
        <v>0</v>
      </c>
      <c r="F1252" s="33" t="n">
        <v>0</v>
      </c>
      <c r="G1252" s="62"/>
      <c r="H1252" s="35" t="n">
        <v>0</v>
      </c>
      <c r="I1252" s="34" t="n">
        <f aca="false">+IF(E1252=0,0,E1252*0.03)</f>
        <v>0</v>
      </c>
    </row>
    <row r="1253" customFormat="false" ht="15.75" hidden="false" customHeight="true" outlineLevel="0" collapsed="false">
      <c r="A1253" s="30" t="n">
        <v>45323</v>
      </c>
      <c r="B1253" s="31" t="s">
        <v>11</v>
      </c>
      <c r="C1253" s="32"/>
      <c r="D1253" s="32"/>
      <c r="E1253" s="19" t="n">
        <f aca="false">+IF(C1253="EQUIPO",F1253,0)</f>
        <v>0</v>
      </c>
      <c r="F1253" s="33" t="n">
        <v>0</v>
      </c>
      <c r="G1253" s="62"/>
      <c r="H1253" s="35" t="n">
        <v>0</v>
      </c>
      <c r="I1253" s="34" t="n">
        <f aca="false">+IF(E1253=0,0,E1253*0.03)</f>
        <v>0</v>
      </c>
    </row>
    <row r="1254" customFormat="false" ht="15.75" hidden="false" customHeight="true" outlineLevel="0" collapsed="false">
      <c r="A1254" s="30" t="n">
        <v>45323</v>
      </c>
      <c r="B1254" s="31" t="s">
        <v>11</v>
      </c>
      <c r="C1254" s="32"/>
      <c r="D1254" s="32"/>
      <c r="E1254" s="19" t="n">
        <f aca="false">+IF(C1254="EQUIPO",F1254,0)</f>
        <v>0</v>
      </c>
      <c r="F1254" s="33" t="n">
        <v>0</v>
      </c>
      <c r="G1254" s="62"/>
      <c r="H1254" s="35" t="n">
        <v>0</v>
      </c>
      <c r="I1254" s="34" t="n">
        <f aca="false">+IF(E1254=0,0,E1254*0.03)</f>
        <v>0</v>
      </c>
    </row>
    <row r="1255" customFormat="false" ht="15.75" hidden="false" customHeight="true" outlineLevel="0" collapsed="false">
      <c r="A1255" s="30" t="n">
        <v>45323</v>
      </c>
      <c r="B1255" s="31" t="s">
        <v>11</v>
      </c>
      <c r="C1255" s="32"/>
      <c r="D1255" s="32"/>
      <c r="E1255" s="19" t="n">
        <f aca="false">+IF(C1255="EQUIPO",F1255,0)</f>
        <v>0</v>
      </c>
      <c r="F1255" s="33" t="n">
        <v>0</v>
      </c>
      <c r="G1255" s="62"/>
      <c r="H1255" s="35" t="n">
        <v>0</v>
      </c>
      <c r="I1255" s="34" t="n">
        <f aca="false">+IF(E1255=0,0,E1255*0.03)</f>
        <v>0</v>
      </c>
    </row>
    <row r="1256" customFormat="false" ht="15.75" hidden="false" customHeight="true" outlineLevel="0" collapsed="false">
      <c r="A1256" s="30" t="n">
        <v>45323</v>
      </c>
      <c r="B1256" s="31" t="s">
        <v>11</v>
      </c>
      <c r="C1256" s="32"/>
      <c r="D1256" s="32"/>
      <c r="E1256" s="19" t="n">
        <f aca="false">+IF(C1256="EQUIPO",F1256,0)</f>
        <v>0</v>
      </c>
      <c r="F1256" s="33" t="n">
        <v>0</v>
      </c>
      <c r="G1256" s="62"/>
      <c r="H1256" s="35" t="n">
        <v>0</v>
      </c>
      <c r="I1256" s="34" t="n">
        <f aca="false">+IF(E1256=0,0,E1256*0.03)</f>
        <v>0</v>
      </c>
    </row>
    <row r="1257" customFormat="false" ht="15.75" hidden="false" customHeight="true" outlineLevel="0" collapsed="false">
      <c r="A1257" s="30" t="n">
        <v>45323</v>
      </c>
      <c r="B1257" s="31" t="s">
        <v>11</v>
      </c>
      <c r="C1257" s="32"/>
      <c r="D1257" s="32"/>
      <c r="E1257" s="19" t="n">
        <f aca="false">+IF(C1257="EQUIPO",F1257,0)</f>
        <v>0</v>
      </c>
      <c r="F1257" s="33" t="n">
        <v>0</v>
      </c>
      <c r="G1257" s="62"/>
      <c r="H1257" s="35" t="n">
        <v>0</v>
      </c>
      <c r="I1257" s="34" t="n">
        <f aca="false">+IF(E1257=0,0,E1257*0.03)</f>
        <v>0</v>
      </c>
    </row>
    <row r="1258" customFormat="false" ht="15.75" hidden="false" customHeight="true" outlineLevel="0" collapsed="false">
      <c r="A1258" s="30" t="n">
        <v>45323</v>
      </c>
      <c r="B1258" s="31" t="s">
        <v>11</v>
      </c>
      <c r="C1258" s="32"/>
      <c r="D1258" s="32"/>
      <c r="E1258" s="19" t="n">
        <f aca="false">+IF(C1258="EQUIPO",F1258,0)</f>
        <v>0</v>
      </c>
      <c r="F1258" s="33" t="n">
        <v>0</v>
      </c>
      <c r="G1258" s="62"/>
      <c r="H1258" s="35" t="n">
        <v>0</v>
      </c>
      <c r="I1258" s="34" t="n">
        <f aca="false">+IF(E1258=0,0,E1258*0.03)</f>
        <v>0</v>
      </c>
    </row>
    <row r="1259" customFormat="false" ht="15.75" hidden="false" customHeight="true" outlineLevel="0" collapsed="false">
      <c r="A1259" s="30" t="n">
        <v>45323</v>
      </c>
      <c r="B1259" s="31" t="s">
        <v>11</v>
      </c>
      <c r="C1259" s="32"/>
      <c r="D1259" s="32"/>
      <c r="E1259" s="19" t="n">
        <f aca="false">+IF(C1259="EQUIPO",F1259,0)</f>
        <v>0</v>
      </c>
      <c r="F1259" s="33" t="n">
        <v>0</v>
      </c>
      <c r="G1259" s="62"/>
      <c r="H1259" s="35" t="n">
        <v>0</v>
      </c>
      <c r="I1259" s="34" t="n">
        <f aca="false">+IF(E1259=0,0,E1259*0.03)</f>
        <v>0</v>
      </c>
    </row>
    <row r="1260" customFormat="false" ht="15.75" hidden="false" customHeight="true" outlineLevel="0" collapsed="false">
      <c r="A1260" s="30" t="n">
        <v>45323</v>
      </c>
      <c r="B1260" s="31" t="s">
        <v>11</v>
      </c>
      <c r="C1260" s="32"/>
      <c r="D1260" s="32"/>
      <c r="E1260" s="19" t="n">
        <f aca="false">+IF(C1260="EQUIPO",F1260,0)</f>
        <v>0</v>
      </c>
      <c r="F1260" s="33" t="n">
        <v>0</v>
      </c>
      <c r="G1260" s="62"/>
      <c r="H1260" s="35" t="n">
        <v>0</v>
      </c>
      <c r="I1260" s="34" t="n">
        <f aca="false">+IF(E1260=0,0,E1260*0.03)</f>
        <v>0</v>
      </c>
    </row>
    <row r="1261" customFormat="false" ht="15.75" hidden="false" customHeight="true" outlineLevel="0" collapsed="false">
      <c r="A1261" s="30" t="n">
        <v>45323</v>
      </c>
      <c r="B1261" s="31" t="s">
        <v>11</v>
      </c>
      <c r="C1261" s="32"/>
      <c r="D1261" s="32"/>
      <c r="E1261" s="19" t="n">
        <f aca="false">+IF(C1261="EQUIPO",F1261,0)</f>
        <v>0</v>
      </c>
      <c r="F1261" s="33" t="n">
        <v>0</v>
      </c>
      <c r="G1261" s="62"/>
      <c r="H1261" s="35" t="n">
        <v>0</v>
      </c>
      <c r="I1261" s="34" t="n">
        <f aca="false">+IF(E1261=0,0,E1261*0.03)</f>
        <v>0</v>
      </c>
    </row>
    <row r="1262" customFormat="false" ht="15.75" hidden="false" customHeight="true" outlineLevel="0" collapsed="false">
      <c r="A1262" s="30" t="n">
        <v>45323</v>
      </c>
      <c r="B1262" s="31" t="s">
        <v>11</v>
      </c>
      <c r="C1262" s="32"/>
      <c r="D1262" s="32"/>
      <c r="E1262" s="19" t="n">
        <f aca="false">+IF(C1262="EQUIPO",F1262,0)</f>
        <v>0</v>
      </c>
      <c r="F1262" s="33" t="n">
        <v>0</v>
      </c>
      <c r="G1262" s="62"/>
      <c r="H1262" s="35" t="n">
        <v>0</v>
      </c>
      <c r="I1262" s="34" t="n">
        <f aca="false">+IF(E1262=0,0,E1262*0.03)</f>
        <v>0</v>
      </c>
    </row>
    <row r="1263" customFormat="false" ht="15.75" hidden="false" customHeight="true" outlineLevel="0" collapsed="false">
      <c r="A1263" s="30" t="n">
        <v>45323</v>
      </c>
      <c r="B1263" s="31" t="s">
        <v>11</v>
      </c>
      <c r="C1263" s="32"/>
      <c r="D1263" s="32"/>
      <c r="E1263" s="19" t="n">
        <f aca="false">+IF(C1263="EQUIPO",F1263,0)</f>
        <v>0</v>
      </c>
      <c r="F1263" s="33" t="n">
        <v>0</v>
      </c>
      <c r="G1263" s="62"/>
      <c r="H1263" s="35" t="n">
        <v>0</v>
      </c>
      <c r="I1263" s="34" t="n">
        <f aca="false">+IF(E1263=0,0,E1263*0.03)</f>
        <v>0</v>
      </c>
    </row>
    <row r="1264" customFormat="false" ht="15.75" hidden="false" customHeight="true" outlineLevel="0" collapsed="false">
      <c r="A1264" s="30" t="n">
        <v>45323</v>
      </c>
      <c r="B1264" s="31" t="s">
        <v>11</v>
      </c>
      <c r="C1264" s="32"/>
      <c r="D1264" s="32"/>
      <c r="E1264" s="19" t="n">
        <f aca="false">+IF(C1264="EQUIPO",F1264,0)</f>
        <v>0</v>
      </c>
      <c r="F1264" s="33" t="n">
        <v>0</v>
      </c>
      <c r="G1264" s="62"/>
      <c r="H1264" s="35" t="n">
        <v>0</v>
      </c>
      <c r="I1264" s="34" t="n">
        <f aca="false">+IF(E1264=0,0,E1264*0.03)</f>
        <v>0</v>
      </c>
    </row>
    <row r="1265" customFormat="false" ht="15.75" hidden="false" customHeight="true" outlineLevel="0" collapsed="false">
      <c r="A1265" s="30" t="n">
        <v>45323</v>
      </c>
      <c r="B1265" s="31" t="s">
        <v>11</v>
      </c>
      <c r="C1265" s="32"/>
      <c r="D1265" s="32"/>
      <c r="E1265" s="19" t="n">
        <f aca="false">+IF(C1265="EQUIPO",F1265,0)</f>
        <v>0</v>
      </c>
      <c r="F1265" s="33" t="n">
        <v>0</v>
      </c>
      <c r="G1265" s="62"/>
      <c r="H1265" s="35" t="n">
        <v>0</v>
      </c>
      <c r="I1265" s="34" t="n">
        <f aca="false">+IF(E1265=0,0,E1265*0.03)</f>
        <v>0</v>
      </c>
    </row>
    <row r="1266" customFormat="false" ht="15.75" hidden="false" customHeight="true" outlineLevel="0" collapsed="false">
      <c r="A1266" s="30" t="n">
        <v>45323</v>
      </c>
      <c r="B1266" s="31" t="s">
        <v>11</v>
      </c>
      <c r="C1266" s="32"/>
      <c r="D1266" s="32"/>
      <c r="E1266" s="19" t="n">
        <f aca="false">+IF(C1266="EQUIPO",F1266,0)</f>
        <v>0</v>
      </c>
      <c r="F1266" s="33" t="n">
        <v>0</v>
      </c>
      <c r="G1266" s="62"/>
      <c r="H1266" s="35" t="n">
        <v>0</v>
      </c>
      <c r="I1266" s="34" t="n">
        <f aca="false">+IF(E1266=0,0,E1266*0.03)</f>
        <v>0</v>
      </c>
    </row>
    <row r="1267" customFormat="false" ht="15.75" hidden="false" customHeight="true" outlineLevel="0" collapsed="false">
      <c r="A1267" s="30" t="n">
        <v>45323</v>
      </c>
      <c r="B1267" s="31" t="s">
        <v>11</v>
      </c>
      <c r="C1267" s="32"/>
      <c r="D1267" s="32"/>
      <c r="E1267" s="19" t="n">
        <f aca="false">+IF(C1267="EQUIPO",F1267,0)</f>
        <v>0</v>
      </c>
      <c r="F1267" s="33" t="n">
        <v>0</v>
      </c>
      <c r="G1267" s="62"/>
      <c r="H1267" s="35" t="n">
        <v>0</v>
      </c>
      <c r="I1267" s="34" t="n">
        <f aca="false">+IF(E1267=0,0,E1267*0.03)</f>
        <v>0</v>
      </c>
    </row>
    <row r="1268" customFormat="false" ht="15.75" hidden="false" customHeight="true" outlineLevel="0" collapsed="false">
      <c r="A1268" s="30" t="n">
        <v>45323</v>
      </c>
      <c r="B1268" s="31" t="s">
        <v>11</v>
      </c>
      <c r="C1268" s="32"/>
      <c r="D1268" s="32"/>
      <c r="E1268" s="19" t="n">
        <f aca="false">+IF(C1268="EQUIPO",F1268,0)</f>
        <v>0</v>
      </c>
      <c r="F1268" s="33" t="n">
        <v>0</v>
      </c>
      <c r="G1268" s="62"/>
      <c r="H1268" s="35" t="n">
        <v>0</v>
      </c>
      <c r="I1268" s="34" t="n">
        <f aca="false">+IF(E1268=0,0,E1268*0.03)</f>
        <v>0</v>
      </c>
    </row>
    <row r="1269" customFormat="false" ht="15.75" hidden="false" customHeight="true" outlineLevel="0" collapsed="false">
      <c r="A1269" s="30" t="n">
        <v>45323</v>
      </c>
      <c r="B1269" s="31" t="s">
        <v>11</v>
      </c>
      <c r="C1269" s="32"/>
      <c r="D1269" s="32"/>
      <c r="E1269" s="19" t="n">
        <f aca="false">+IF(C1269="EQUIPO",F1269,0)</f>
        <v>0</v>
      </c>
      <c r="F1269" s="33" t="n">
        <v>0</v>
      </c>
      <c r="G1269" s="62"/>
      <c r="H1269" s="35" t="n">
        <v>0</v>
      </c>
      <c r="I1269" s="34" t="n">
        <f aca="false">+IF(E1269=0,0,E1269*0.03)</f>
        <v>0</v>
      </c>
    </row>
    <row r="1270" customFormat="false" ht="15.75" hidden="false" customHeight="true" outlineLevel="0" collapsed="false">
      <c r="A1270" s="30" t="n">
        <v>45323</v>
      </c>
      <c r="B1270" s="31" t="s">
        <v>11</v>
      </c>
      <c r="C1270" s="32"/>
      <c r="D1270" s="32"/>
      <c r="E1270" s="19" t="n">
        <f aca="false">+IF(C1270="EQUIPO",F1270,0)</f>
        <v>0</v>
      </c>
      <c r="F1270" s="33" t="n">
        <v>0</v>
      </c>
      <c r="G1270" s="62"/>
      <c r="H1270" s="35" t="n">
        <v>0</v>
      </c>
      <c r="I1270" s="34" t="n">
        <f aca="false">+IF(E1270=0,0,E1270*0.03)</f>
        <v>0</v>
      </c>
    </row>
    <row r="1271" customFormat="false" ht="15.75" hidden="false" customHeight="true" outlineLevel="0" collapsed="false">
      <c r="A1271" s="30" t="n">
        <v>45323</v>
      </c>
      <c r="B1271" s="31" t="s">
        <v>11</v>
      </c>
      <c r="C1271" s="32"/>
      <c r="D1271" s="32"/>
      <c r="E1271" s="19" t="n">
        <f aca="false">+IF(C1271="EQUIPO",F1271,0)</f>
        <v>0</v>
      </c>
      <c r="F1271" s="33" t="n">
        <v>0</v>
      </c>
      <c r="G1271" s="62"/>
      <c r="H1271" s="35" t="n">
        <v>0</v>
      </c>
      <c r="I1271" s="34" t="n">
        <f aca="false">+IF(E1271=0,0,E1271*0.03)</f>
        <v>0</v>
      </c>
    </row>
    <row r="1272" customFormat="false" ht="15.75" hidden="false" customHeight="true" outlineLevel="0" collapsed="false">
      <c r="A1272" s="30" t="n">
        <v>45323</v>
      </c>
      <c r="B1272" s="31" t="s">
        <v>11</v>
      </c>
      <c r="C1272" s="32"/>
      <c r="D1272" s="32"/>
      <c r="E1272" s="19" t="n">
        <f aca="false">+IF(C1272="EQUIPO",F1272,0)</f>
        <v>0</v>
      </c>
      <c r="F1272" s="33" t="n">
        <v>0</v>
      </c>
      <c r="G1272" s="62"/>
      <c r="H1272" s="35" t="n">
        <v>0</v>
      </c>
      <c r="I1272" s="34" t="n">
        <f aca="false">+IF(E1272=0,0,E1272*0.03)</f>
        <v>0</v>
      </c>
    </row>
    <row r="1273" customFormat="false" ht="15.75" hidden="false" customHeight="true" outlineLevel="0" collapsed="false">
      <c r="A1273" s="30" t="n">
        <v>45323</v>
      </c>
      <c r="B1273" s="31" t="s">
        <v>11</v>
      </c>
      <c r="C1273" s="32"/>
      <c r="D1273" s="32"/>
      <c r="E1273" s="19" t="n">
        <f aca="false">+IF(C1273="EQUIPO",F1273,0)</f>
        <v>0</v>
      </c>
      <c r="F1273" s="33" t="n">
        <v>0</v>
      </c>
      <c r="G1273" s="62"/>
      <c r="H1273" s="35" t="n">
        <v>0</v>
      </c>
      <c r="I1273" s="34" t="n">
        <f aca="false">+IF(E1273=0,0,E1273*0.03)</f>
        <v>0</v>
      </c>
    </row>
    <row r="1274" customFormat="false" ht="15.75" hidden="false" customHeight="true" outlineLevel="0" collapsed="false">
      <c r="A1274" s="30" t="n">
        <v>45323</v>
      </c>
      <c r="B1274" s="31" t="s">
        <v>11</v>
      </c>
      <c r="C1274" s="32"/>
      <c r="D1274" s="32"/>
      <c r="E1274" s="19" t="n">
        <f aca="false">+IF(C1274="EQUIPO",F1274,0)</f>
        <v>0</v>
      </c>
      <c r="F1274" s="33" t="n">
        <v>0</v>
      </c>
      <c r="G1274" s="62"/>
      <c r="H1274" s="35" t="n">
        <v>0</v>
      </c>
      <c r="I1274" s="34" t="n">
        <f aca="false">+IF(E1274=0,0,E1274*0.03)</f>
        <v>0</v>
      </c>
    </row>
    <row r="1275" customFormat="false" ht="15.75" hidden="false" customHeight="true" outlineLevel="0" collapsed="false">
      <c r="A1275" s="30" t="n">
        <v>45323</v>
      </c>
      <c r="B1275" s="31" t="s">
        <v>11</v>
      </c>
      <c r="C1275" s="32"/>
      <c r="D1275" s="32"/>
      <c r="E1275" s="19" t="n">
        <f aca="false">+IF(C1275="EQUIPO",F1275,0)</f>
        <v>0</v>
      </c>
      <c r="F1275" s="33" t="n">
        <v>0</v>
      </c>
      <c r="G1275" s="62"/>
      <c r="H1275" s="35" t="n">
        <v>0</v>
      </c>
      <c r="I1275" s="34" t="n">
        <f aca="false">+IF(E1275=0,0,E1275*0.03)</f>
        <v>0</v>
      </c>
    </row>
    <row r="1276" customFormat="false" ht="15.75" hidden="false" customHeight="true" outlineLevel="0" collapsed="false">
      <c r="A1276" s="30" t="n">
        <v>45323</v>
      </c>
      <c r="B1276" s="31" t="s">
        <v>11</v>
      </c>
      <c r="C1276" s="32"/>
      <c r="D1276" s="32"/>
      <c r="E1276" s="19" t="n">
        <f aca="false">+IF(C1276="EQUIPO",F1276,0)</f>
        <v>0</v>
      </c>
      <c r="F1276" s="33" t="n">
        <v>0</v>
      </c>
      <c r="G1276" s="62"/>
      <c r="H1276" s="35" t="n">
        <v>0</v>
      </c>
      <c r="I1276" s="34" t="n">
        <f aca="false">+IF(E1276=0,0,E1276*0.03)</f>
        <v>0</v>
      </c>
    </row>
    <row r="1277" customFormat="false" ht="15.75" hidden="false" customHeight="true" outlineLevel="0" collapsed="false">
      <c r="A1277" s="30" t="n">
        <v>45323</v>
      </c>
      <c r="B1277" s="31" t="s">
        <v>11</v>
      </c>
      <c r="C1277" s="32"/>
      <c r="D1277" s="32"/>
      <c r="E1277" s="19" t="n">
        <f aca="false">+IF(C1277="EQUIPO",F1277,0)</f>
        <v>0</v>
      </c>
      <c r="F1277" s="33" t="n">
        <v>0</v>
      </c>
      <c r="G1277" s="62"/>
      <c r="H1277" s="35" t="n">
        <v>0</v>
      </c>
      <c r="I1277" s="34" t="n">
        <f aca="false">+IF(E1277=0,0,E1277*0.03)</f>
        <v>0</v>
      </c>
    </row>
    <row r="1278" customFormat="false" ht="15.75" hidden="false" customHeight="true" outlineLevel="0" collapsed="false">
      <c r="A1278" s="30" t="n">
        <v>45323</v>
      </c>
      <c r="B1278" s="31" t="s">
        <v>11</v>
      </c>
      <c r="C1278" s="32"/>
      <c r="D1278" s="32"/>
      <c r="E1278" s="19" t="n">
        <f aca="false">+IF(C1278="EQUIPO",F1278,0)</f>
        <v>0</v>
      </c>
      <c r="F1278" s="33" t="n">
        <v>0</v>
      </c>
      <c r="G1278" s="62"/>
      <c r="H1278" s="35" t="n">
        <v>0</v>
      </c>
      <c r="I1278" s="34" t="n">
        <f aca="false">+IF(E1278=0,0,E1278*0.03)</f>
        <v>0</v>
      </c>
    </row>
    <row r="1279" customFormat="false" ht="15.75" hidden="false" customHeight="true" outlineLevel="0" collapsed="false">
      <c r="A1279" s="30" t="n">
        <v>45323</v>
      </c>
      <c r="B1279" s="31" t="s">
        <v>11</v>
      </c>
      <c r="C1279" s="32"/>
      <c r="D1279" s="32"/>
      <c r="E1279" s="19" t="n">
        <f aca="false">+IF(C1279="EQUIPO",F1279,0)</f>
        <v>0</v>
      </c>
      <c r="F1279" s="33" t="n">
        <v>0</v>
      </c>
      <c r="G1279" s="62"/>
      <c r="H1279" s="35" t="n">
        <v>0</v>
      </c>
      <c r="I1279" s="34" t="n">
        <f aca="false">+IF(E1279=0,0,E1279*0.03)</f>
        <v>0</v>
      </c>
    </row>
    <row r="1280" customFormat="false" ht="15.75" hidden="false" customHeight="true" outlineLevel="0" collapsed="false">
      <c r="A1280" s="30" t="n">
        <v>45323</v>
      </c>
      <c r="B1280" s="31" t="s">
        <v>11</v>
      </c>
      <c r="C1280" s="32"/>
      <c r="D1280" s="32"/>
      <c r="E1280" s="19" t="n">
        <f aca="false">+IF(C1280="EQUIPO",F1280,0)</f>
        <v>0</v>
      </c>
      <c r="F1280" s="33" t="n">
        <v>0</v>
      </c>
      <c r="G1280" s="62"/>
      <c r="H1280" s="35" t="n">
        <v>0</v>
      </c>
      <c r="I1280" s="34" t="n">
        <f aca="false">+IF(E1280=0,0,E1280*0.03)</f>
        <v>0</v>
      </c>
    </row>
    <row r="1281" customFormat="false" ht="15.75" hidden="false" customHeight="true" outlineLevel="0" collapsed="false">
      <c r="A1281" s="30" t="n">
        <v>45323</v>
      </c>
      <c r="B1281" s="31" t="s">
        <v>11</v>
      </c>
      <c r="C1281" s="32"/>
      <c r="D1281" s="32"/>
      <c r="E1281" s="19" t="n">
        <f aca="false">+IF(C1281="EQUIPO",F1281,0)</f>
        <v>0</v>
      </c>
      <c r="F1281" s="33" t="n">
        <v>0</v>
      </c>
      <c r="G1281" s="62"/>
      <c r="H1281" s="35" t="n">
        <v>0</v>
      </c>
      <c r="I1281" s="34" t="n">
        <f aca="false">+IF(E1281=0,0,E1281*0.03)</f>
        <v>0</v>
      </c>
    </row>
    <row r="1282" customFormat="false" ht="15.75" hidden="false" customHeight="true" outlineLevel="0" collapsed="false">
      <c r="A1282" s="30" t="n">
        <v>45323</v>
      </c>
      <c r="B1282" s="31" t="s">
        <v>11</v>
      </c>
      <c r="C1282" s="32"/>
      <c r="D1282" s="32"/>
      <c r="E1282" s="19" t="n">
        <f aca="false">+IF(C1282="EQUIPO",F1282,0)</f>
        <v>0</v>
      </c>
      <c r="F1282" s="33" t="n">
        <v>0</v>
      </c>
      <c r="G1282" s="62"/>
      <c r="H1282" s="35" t="n">
        <v>0</v>
      </c>
      <c r="I1282" s="34" t="n">
        <f aca="false">+IF(E1282=0,0,E1282*0.03)</f>
        <v>0</v>
      </c>
    </row>
    <row r="1283" customFormat="false" ht="15.75" hidden="false" customHeight="true" outlineLevel="0" collapsed="false">
      <c r="A1283" s="30" t="n">
        <v>45323</v>
      </c>
      <c r="B1283" s="31" t="s">
        <v>11</v>
      </c>
      <c r="C1283" s="32"/>
      <c r="D1283" s="32"/>
      <c r="E1283" s="19" t="n">
        <f aca="false">+IF(C1283="EQUIPO",F1283,0)</f>
        <v>0</v>
      </c>
      <c r="F1283" s="33" t="n">
        <v>0</v>
      </c>
      <c r="G1283" s="62"/>
      <c r="H1283" s="35" t="n">
        <v>0</v>
      </c>
      <c r="I1283" s="34" t="n">
        <f aca="false">+IF(E1283=0,0,E1283*0.03)</f>
        <v>0</v>
      </c>
    </row>
    <row r="1284" customFormat="false" ht="15.75" hidden="false" customHeight="true" outlineLevel="0" collapsed="false">
      <c r="A1284" s="30" t="n">
        <v>45323</v>
      </c>
      <c r="B1284" s="31" t="s">
        <v>11</v>
      </c>
      <c r="C1284" s="32"/>
      <c r="D1284" s="32"/>
      <c r="E1284" s="19" t="n">
        <f aca="false">+IF(C1284="EQUIPO",F1284,0)</f>
        <v>0</v>
      </c>
      <c r="F1284" s="33" t="n">
        <v>0</v>
      </c>
      <c r="G1284" s="62"/>
      <c r="H1284" s="35" t="n">
        <v>0</v>
      </c>
      <c r="I1284" s="34" t="n">
        <f aca="false">+IF(E1284=0,0,E1284*0.03)</f>
        <v>0</v>
      </c>
    </row>
    <row r="1285" customFormat="false" ht="15.75" hidden="false" customHeight="true" outlineLevel="0" collapsed="false">
      <c r="A1285" s="30" t="n">
        <v>45323</v>
      </c>
      <c r="B1285" s="31" t="s">
        <v>11</v>
      </c>
      <c r="C1285" s="32"/>
      <c r="D1285" s="32"/>
      <c r="E1285" s="19" t="n">
        <f aca="false">+IF(C1285="EQUIPO",F1285,0)</f>
        <v>0</v>
      </c>
      <c r="F1285" s="33" t="n">
        <v>0</v>
      </c>
      <c r="G1285" s="62"/>
      <c r="H1285" s="35" t="n">
        <v>0</v>
      </c>
      <c r="I1285" s="34" t="n">
        <f aca="false">+IF(E1285=0,0,E1285*0.03)</f>
        <v>0</v>
      </c>
    </row>
    <row r="1286" customFormat="false" ht="15.75" hidden="false" customHeight="true" outlineLevel="0" collapsed="false">
      <c r="A1286" s="30" t="n">
        <v>45323</v>
      </c>
      <c r="B1286" s="31" t="s">
        <v>11</v>
      </c>
      <c r="C1286" s="32"/>
      <c r="D1286" s="32"/>
      <c r="E1286" s="19" t="n">
        <f aca="false">+IF(C1286="EQUIPO",F1286,0)</f>
        <v>0</v>
      </c>
      <c r="F1286" s="33" t="n">
        <v>0</v>
      </c>
      <c r="G1286" s="62"/>
      <c r="H1286" s="35" t="n">
        <v>0</v>
      </c>
      <c r="I1286" s="34" t="n">
        <f aca="false">+IF(E1286=0,0,E1286*0.03)</f>
        <v>0</v>
      </c>
    </row>
    <row r="1287" customFormat="false" ht="15.75" hidden="false" customHeight="true" outlineLevel="0" collapsed="false">
      <c r="A1287" s="30" t="n">
        <v>45323</v>
      </c>
      <c r="B1287" s="31" t="s">
        <v>11</v>
      </c>
      <c r="C1287" s="32"/>
      <c r="D1287" s="32"/>
      <c r="E1287" s="19" t="n">
        <f aca="false">+IF(C1287="EQUIPO",F1287,0)</f>
        <v>0</v>
      </c>
      <c r="F1287" s="33" t="n">
        <v>0</v>
      </c>
      <c r="G1287" s="62"/>
      <c r="H1287" s="35" t="n">
        <v>0</v>
      </c>
      <c r="I1287" s="34" t="n">
        <f aca="false">+IF(E1287=0,0,E1287*0.03)</f>
        <v>0</v>
      </c>
    </row>
    <row r="1288" customFormat="false" ht="15.75" hidden="false" customHeight="true" outlineLevel="0" collapsed="false">
      <c r="A1288" s="30" t="n">
        <v>45323</v>
      </c>
      <c r="B1288" s="31" t="s">
        <v>11</v>
      </c>
      <c r="C1288" s="32"/>
      <c r="D1288" s="32"/>
      <c r="E1288" s="19" t="n">
        <f aca="false">+IF(C1288="EQUIPO",F1288,0)</f>
        <v>0</v>
      </c>
      <c r="F1288" s="33" t="n">
        <v>0</v>
      </c>
      <c r="G1288" s="62"/>
      <c r="H1288" s="35" t="n">
        <v>0</v>
      </c>
      <c r="I1288" s="34" t="n">
        <f aca="false">+IF(E1288=0,0,E1288*0.03)</f>
        <v>0</v>
      </c>
    </row>
    <row r="1289" customFormat="false" ht="15.75" hidden="false" customHeight="true" outlineLevel="0" collapsed="false">
      <c r="A1289" s="30" t="n">
        <v>45323</v>
      </c>
      <c r="B1289" s="31" t="s">
        <v>11</v>
      </c>
      <c r="C1289" s="32"/>
      <c r="D1289" s="32"/>
      <c r="E1289" s="19" t="n">
        <f aca="false">+IF(C1289="EQUIPO",F1289,0)</f>
        <v>0</v>
      </c>
      <c r="F1289" s="33" t="n">
        <v>0</v>
      </c>
      <c r="G1289" s="62"/>
      <c r="H1289" s="35" t="n">
        <v>0</v>
      </c>
      <c r="I1289" s="34" t="n">
        <f aca="false">+IF(E1289=0,0,E1289*0.03)</f>
        <v>0</v>
      </c>
    </row>
    <row r="1290" customFormat="false" ht="15.75" hidden="false" customHeight="true" outlineLevel="0" collapsed="false">
      <c r="A1290" s="30" t="n">
        <v>45323</v>
      </c>
      <c r="B1290" s="31" t="s">
        <v>11</v>
      </c>
      <c r="C1290" s="32"/>
      <c r="D1290" s="32"/>
      <c r="E1290" s="19" t="n">
        <f aca="false">+IF(C1290="EQUIPO",F1290,0)</f>
        <v>0</v>
      </c>
      <c r="F1290" s="33" t="n">
        <v>0</v>
      </c>
      <c r="G1290" s="62"/>
      <c r="H1290" s="35" t="n">
        <v>0</v>
      </c>
      <c r="I1290" s="34" t="n">
        <f aca="false">+IF(E1290=0,0,E1290*0.03)</f>
        <v>0</v>
      </c>
    </row>
    <row r="1291" customFormat="false" ht="15.75" hidden="false" customHeight="true" outlineLevel="0" collapsed="false">
      <c r="A1291" s="30" t="n">
        <v>45323</v>
      </c>
      <c r="B1291" s="31" t="s">
        <v>11</v>
      </c>
      <c r="C1291" s="32"/>
      <c r="D1291" s="32"/>
      <c r="E1291" s="19" t="n">
        <f aca="false">+IF(C1291="EQUIPO",F1291,0)</f>
        <v>0</v>
      </c>
      <c r="F1291" s="33" t="n">
        <v>0</v>
      </c>
      <c r="G1291" s="62"/>
      <c r="H1291" s="35" t="n">
        <v>0</v>
      </c>
      <c r="I1291" s="34" t="n">
        <f aca="false">+IF(E1291=0,0,E1291*0.03)</f>
        <v>0</v>
      </c>
    </row>
    <row r="1292" customFormat="false" ht="15.75" hidden="false" customHeight="true" outlineLevel="0" collapsed="false">
      <c r="A1292" s="30" t="n">
        <v>45323</v>
      </c>
      <c r="B1292" s="31" t="s">
        <v>11</v>
      </c>
      <c r="C1292" s="32"/>
      <c r="D1292" s="32"/>
      <c r="E1292" s="19" t="n">
        <f aca="false">+IF(C1292="EQUIPO",F1292,0)</f>
        <v>0</v>
      </c>
      <c r="F1292" s="33" t="n">
        <v>0</v>
      </c>
      <c r="G1292" s="62"/>
      <c r="H1292" s="35" t="n">
        <v>0</v>
      </c>
      <c r="I1292" s="34" t="n">
        <f aca="false">+IF(E1292=0,0,E1292*0.03)</f>
        <v>0</v>
      </c>
    </row>
    <row r="1293" customFormat="false" ht="15.75" hidden="false" customHeight="true" outlineLevel="0" collapsed="false">
      <c r="A1293" s="30" t="n">
        <v>45323</v>
      </c>
      <c r="B1293" s="31" t="s">
        <v>11</v>
      </c>
      <c r="C1293" s="32"/>
      <c r="D1293" s="32"/>
      <c r="E1293" s="19" t="n">
        <f aca="false">+IF(C1293="EQUIPO",F1293,0)</f>
        <v>0</v>
      </c>
      <c r="F1293" s="33" t="n">
        <v>0</v>
      </c>
      <c r="G1293" s="62"/>
      <c r="H1293" s="35" t="n">
        <v>0</v>
      </c>
      <c r="I1293" s="34" t="n">
        <f aca="false">+IF(E1293=0,0,E1293*0.03)</f>
        <v>0</v>
      </c>
    </row>
    <row r="1294" customFormat="false" ht="15.75" hidden="false" customHeight="true" outlineLevel="0" collapsed="false">
      <c r="A1294" s="30" t="n">
        <v>45323</v>
      </c>
      <c r="B1294" s="31" t="s">
        <v>11</v>
      </c>
      <c r="C1294" s="32"/>
      <c r="D1294" s="32"/>
      <c r="E1294" s="19" t="n">
        <f aca="false">+IF(C1294="EQUIPO",F1294,0)</f>
        <v>0</v>
      </c>
      <c r="F1294" s="33" t="n">
        <v>0</v>
      </c>
      <c r="G1294" s="62"/>
      <c r="H1294" s="35" t="n">
        <v>0</v>
      </c>
      <c r="I1294" s="34" t="n">
        <f aca="false">+IF(E1294=0,0,E1294*0.03)</f>
        <v>0</v>
      </c>
    </row>
    <row r="1295" customFormat="false" ht="15.75" hidden="false" customHeight="true" outlineLevel="0" collapsed="false">
      <c r="A1295" s="30" t="n">
        <v>45323</v>
      </c>
      <c r="B1295" s="31" t="s">
        <v>11</v>
      </c>
      <c r="C1295" s="32"/>
      <c r="D1295" s="32"/>
      <c r="E1295" s="19" t="n">
        <f aca="false">+IF(C1295="EQUIPO",F1295,0)</f>
        <v>0</v>
      </c>
      <c r="F1295" s="33" t="n">
        <v>0</v>
      </c>
      <c r="G1295" s="62"/>
      <c r="H1295" s="35" t="n">
        <v>0</v>
      </c>
      <c r="I1295" s="34" t="n">
        <f aca="false">+IF(E1295=0,0,E1295*0.03)</f>
        <v>0</v>
      </c>
    </row>
    <row r="1296" customFormat="false" ht="15.75" hidden="false" customHeight="true" outlineLevel="0" collapsed="false">
      <c r="A1296" s="30" t="n">
        <v>45323</v>
      </c>
      <c r="B1296" s="31" t="s">
        <v>11</v>
      </c>
      <c r="C1296" s="32"/>
      <c r="D1296" s="32"/>
      <c r="E1296" s="19" t="n">
        <f aca="false">+IF(C1296="EQUIPO",F1296,0)</f>
        <v>0</v>
      </c>
      <c r="F1296" s="33" t="n">
        <v>0</v>
      </c>
      <c r="G1296" s="62"/>
      <c r="H1296" s="35" t="n">
        <v>0</v>
      </c>
      <c r="I1296" s="34" t="n">
        <f aca="false">+IF(E1296=0,0,E1296*0.03)</f>
        <v>0</v>
      </c>
    </row>
    <row r="1297" customFormat="false" ht="15.75" hidden="false" customHeight="true" outlineLevel="0" collapsed="false">
      <c r="A1297" s="30" t="n">
        <v>45323</v>
      </c>
      <c r="B1297" s="31" t="s">
        <v>11</v>
      </c>
      <c r="C1297" s="32"/>
      <c r="D1297" s="32"/>
      <c r="E1297" s="19" t="n">
        <f aca="false">+IF(C1297="EQUIPO",F1297,0)</f>
        <v>0</v>
      </c>
      <c r="F1297" s="33" t="n">
        <v>0</v>
      </c>
      <c r="G1297" s="62"/>
      <c r="H1297" s="35" t="n">
        <v>0</v>
      </c>
      <c r="I1297" s="34" t="n">
        <f aca="false">+IF(E1297=0,0,E1297*0.03)</f>
        <v>0</v>
      </c>
    </row>
    <row r="1298" customFormat="false" ht="15.75" hidden="false" customHeight="true" outlineLevel="0" collapsed="false">
      <c r="A1298" s="30" t="n">
        <v>45323</v>
      </c>
      <c r="B1298" s="31" t="s">
        <v>11</v>
      </c>
      <c r="C1298" s="32"/>
      <c r="D1298" s="32"/>
      <c r="E1298" s="19" t="n">
        <f aca="false">+IF(C1298="EQUIPO",F1298,0)</f>
        <v>0</v>
      </c>
      <c r="F1298" s="33" t="n">
        <v>0</v>
      </c>
      <c r="G1298" s="62"/>
      <c r="H1298" s="35" t="n">
        <v>0</v>
      </c>
      <c r="I1298" s="34" t="n">
        <f aca="false">+IF(E1298=0,0,E1298*0.03)</f>
        <v>0</v>
      </c>
    </row>
    <row r="1299" customFormat="false" ht="15.75" hidden="false" customHeight="true" outlineLevel="0" collapsed="false">
      <c r="A1299" s="30" t="n">
        <v>45323</v>
      </c>
      <c r="B1299" s="31" t="s">
        <v>11</v>
      </c>
      <c r="C1299" s="32"/>
      <c r="D1299" s="32"/>
      <c r="E1299" s="19" t="n">
        <f aca="false">+IF(C1299="EQUIPO",F1299,0)</f>
        <v>0</v>
      </c>
      <c r="F1299" s="33" t="n">
        <v>0</v>
      </c>
      <c r="G1299" s="62"/>
      <c r="H1299" s="35" t="n">
        <v>0</v>
      </c>
      <c r="I1299" s="34" t="n">
        <f aca="false">+IF(E1299=0,0,E1299*0.03)</f>
        <v>0</v>
      </c>
    </row>
    <row r="1300" customFormat="false" ht="15.75" hidden="false" customHeight="true" outlineLevel="0" collapsed="false">
      <c r="A1300" s="30" t="n">
        <v>45323</v>
      </c>
      <c r="B1300" s="31" t="s">
        <v>11</v>
      </c>
      <c r="C1300" s="32"/>
      <c r="D1300" s="32"/>
      <c r="E1300" s="19" t="n">
        <f aca="false">+IF(C1300="EQUIPO",F1300,0)</f>
        <v>0</v>
      </c>
      <c r="F1300" s="33" t="n">
        <v>0</v>
      </c>
      <c r="G1300" s="62"/>
      <c r="H1300" s="35" t="n">
        <v>0</v>
      </c>
      <c r="I1300" s="34" t="n">
        <f aca="false">+IF(E1300=0,0,E1300*0.03)</f>
        <v>0</v>
      </c>
    </row>
    <row r="1301" customFormat="false" ht="15.75" hidden="false" customHeight="true" outlineLevel="0" collapsed="false">
      <c r="A1301" s="30" t="n">
        <v>45323</v>
      </c>
      <c r="B1301" s="31" t="s">
        <v>11</v>
      </c>
      <c r="C1301" s="32"/>
      <c r="D1301" s="32"/>
      <c r="E1301" s="19" t="n">
        <f aca="false">+IF(C1301="EQUIPO",F1301,0)</f>
        <v>0</v>
      </c>
      <c r="F1301" s="33" t="n">
        <v>0</v>
      </c>
      <c r="G1301" s="62"/>
      <c r="H1301" s="35" t="n">
        <v>0</v>
      </c>
      <c r="I1301" s="34" t="n">
        <f aca="false">+IF(E1301=0,0,E1301*0.03)</f>
        <v>0</v>
      </c>
    </row>
    <row r="1302" customFormat="false" ht="15.75" hidden="false" customHeight="true" outlineLevel="0" collapsed="false">
      <c r="A1302" s="30" t="n">
        <v>45323</v>
      </c>
      <c r="B1302" s="31" t="s">
        <v>11</v>
      </c>
      <c r="C1302" s="32"/>
      <c r="D1302" s="32"/>
      <c r="E1302" s="19" t="n">
        <f aca="false">+IF(C1302="EQUIPO",F1302,0)</f>
        <v>0</v>
      </c>
      <c r="F1302" s="33" t="n">
        <v>0</v>
      </c>
      <c r="G1302" s="62"/>
      <c r="H1302" s="35" t="n">
        <v>0</v>
      </c>
      <c r="I1302" s="34" t="n">
        <f aca="false">+IF(E1302=0,0,E1302*0.03)</f>
        <v>0</v>
      </c>
    </row>
    <row r="1303" customFormat="false" ht="15.75" hidden="false" customHeight="true" outlineLevel="0" collapsed="false">
      <c r="A1303" s="30" t="n">
        <v>45323</v>
      </c>
      <c r="B1303" s="31" t="s">
        <v>11</v>
      </c>
      <c r="C1303" s="32"/>
      <c r="D1303" s="32"/>
      <c r="E1303" s="19" t="n">
        <f aca="false">+IF(C1303="EQUIPO",F1303,0)</f>
        <v>0</v>
      </c>
      <c r="F1303" s="33" t="n">
        <v>0</v>
      </c>
      <c r="G1303" s="62"/>
      <c r="H1303" s="35" t="n">
        <v>0</v>
      </c>
      <c r="I1303" s="34" t="n">
        <f aca="false">+IF(E1303=0,0,E1303*0.03)</f>
        <v>0</v>
      </c>
    </row>
    <row r="1304" customFormat="false" ht="15.75" hidden="false" customHeight="true" outlineLevel="0" collapsed="false">
      <c r="A1304" s="30" t="n">
        <v>45323</v>
      </c>
      <c r="B1304" s="31" t="s">
        <v>11</v>
      </c>
      <c r="C1304" s="32"/>
      <c r="D1304" s="32"/>
      <c r="E1304" s="19" t="n">
        <f aca="false">+IF(C1304="EQUIPO",F1304,0)</f>
        <v>0</v>
      </c>
      <c r="F1304" s="33" t="n">
        <v>0</v>
      </c>
      <c r="G1304" s="62"/>
      <c r="H1304" s="35" t="n">
        <v>0</v>
      </c>
      <c r="I1304" s="34" t="n">
        <f aca="false">+IF(E1304=0,0,E1304*0.03)</f>
        <v>0</v>
      </c>
    </row>
    <row r="1305" customFormat="false" ht="15.75" hidden="false" customHeight="true" outlineLevel="0" collapsed="false">
      <c r="A1305" s="30" t="n">
        <v>45323</v>
      </c>
      <c r="B1305" s="31" t="s">
        <v>11</v>
      </c>
      <c r="C1305" s="32"/>
      <c r="D1305" s="32"/>
      <c r="E1305" s="19" t="n">
        <f aca="false">+IF(C1305="EQUIPO",F1305,0)</f>
        <v>0</v>
      </c>
      <c r="F1305" s="33" t="n">
        <v>0</v>
      </c>
      <c r="G1305" s="62"/>
      <c r="H1305" s="35" t="n">
        <v>0</v>
      </c>
      <c r="I1305" s="34" t="n">
        <f aca="false">+IF(E1305=0,0,E1305*0.03)</f>
        <v>0</v>
      </c>
    </row>
    <row r="1306" customFormat="false" ht="15.75" hidden="false" customHeight="true" outlineLevel="0" collapsed="false">
      <c r="A1306" s="30" t="n">
        <v>45323</v>
      </c>
      <c r="B1306" s="31" t="s">
        <v>11</v>
      </c>
      <c r="C1306" s="32"/>
      <c r="D1306" s="32"/>
      <c r="E1306" s="19" t="n">
        <f aca="false">+IF(C1306="EQUIPO",F1306,0)</f>
        <v>0</v>
      </c>
      <c r="F1306" s="33" t="n">
        <v>0</v>
      </c>
      <c r="G1306" s="62"/>
      <c r="H1306" s="35" t="n">
        <v>0</v>
      </c>
      <c r="I1306" s="34" t="n">
        <f aca="false">+IF(E1306=0,0,E1306*0.03)</f>
        <v>0</v>
      </c>
    </row>
    <row r="1307" customFormat="false" ht="15.75" hidden="false" customHeight="true" outlineLevel="0" collapsed="false">
      <c r="A1307" s="30" t="n">
        <v>45323</v>
      </c>
      <c r="B1307" s="31" t="s">
        <v>11</v>
      </c>
      <c r="C1307" s="32"/>
      <c r="D1307" s="32"/>
      <c r="E1307" s="19" t="n">
        <f aca="false">+IF(C1307="EQUIPO",F1307,0)</f>
        <v>0</v>
      </c>
      <c r="F1307" s="33" t="n">
        <v>0</v>
      </c>
      <c r="G1307" s="62"/>
      <c r="H1307" s="35" t="n">
        <v>0</v>
      </c>
      <c r="I1307" s="34" t="n">
        <f aca="false">+IF(E1307=0,0,E1307*0.03)</f>
        <v>0</v>
      </c>
    </row>
    <row r="1308" customFormat="false" ht="15.75" hidden="false" customHeight="true" outlineLevel="0" collapsed="false">
      <c r="A1308" s="30" t="n">
        <v>45323</v>
      </c>
      <c r="B1308" s="31" t="s">
        <v>11</v>
      </c>
      <c r="C1308" s="32"/>
      <c r="D1308" s="32"/>
      <c r="E1308" s="19" t="n">
        <f aca="false">+IF(C1308="EQUIPO",F1308,0)</f>
        <v>0</v>
      </c>
      <c r="F1308" s="33" t="n">
        <v>0</v>
      </c>
      <c r="G1308" s="62"/>
      <c r="H1308" s="35" t="n">
        <v>0</v>
      </c>
      <c r="I1308" s="34" t="n">
        <f aca="false">+IF(E1308=0,0,E1308*0.03)</f>
        <v>0</v>
      </c>
    </row>
    <row r="1309" customFormat="false" ht="15.75" hidden="false" customHeight="true" outlineLevel="0" collapsed="false">
      <c r="A1309" s="30" t="n">
        <v>45323</v>
      </c>
      <c r="B1309" s="31" t="s">
        <v>11</v>
      </c>
      <c r="C1309" s="32"/>
      <c r="D1309" s="32"/>
      <c r="E1309" s="19" t="n">
        <f aca="false">+IF(C1309="EQUIPO",F1309,0)</f>
        <v>0</v>
      </c>
      <c r="F1309" s="33" t="n">
        <v>0</v>
      </c>
      <c r="G1309" s="62"/>
      <c r="H1309" s="35" t="n">
        <v>0</v>
      </c>
      <c r="I1309" s="34" t="n">
        <f aca="false">+IF(E1309=0,0,E1309*0.03)</f>
        <v>0</v>
      </c>
    </row>
    <row r="1310" customFormat="false" ht="15.75" hidden="false" customHeight="true" outlineLevel="0" collapsed="false">
      <c r="A1310" s="30" t="n">
        <v>45323</v>
      </c>
      <c r="B1310" s="31" t="s">
        <v>11</v>
      </c>
      <c r="C1310" s="32"/>
      <c r="D1310" s="32"/>
      <c r="E1310" s="19" t="n">
        <f aca="false">+IF(C1310="EQUIPO",F1310,0)</f>
        <v>0</v>
      </c>
      <c r="F1310" s="33" t="n">
        <v>0</v>
      </c>
      <c r="G1310" s="62"/>
      <c r="H1310" s="35" t="n">
        <v>0</v>
      </c>
      <c r="I1310" s="34" t="n">
        <f aca="false">+IF(E1310=0,0,E1310*0.03)</f>
        <v>0</v>
      </c>
    </row>
    <row r="1311" customFormat="false" ht="15.75" hidden="false" customHeight="true" outlineLevel="0" collapsed="false">
      <c r="A1311" s="30" t="n">
        <v>45323</v>
      </c>
      <c r="B1311" s="31" t="s">
        <v>11</v>
      </c>
      <c r="C1311" s="32"/>
      <c r="D1311" s="32"/>
      <c r="E1311" s="19" t="n">
        <f aca="false">+IF(C1311="EQUIPO",F1311,0)</f>
        <v>0</v>
      </c>
      <c r="F1311" s="33" t="n">
        <v>0</v>
      </c>
      <c r="G1311" s="62"/>
      <c r="H1311" s="35" t="n">
        <v>0</v>
      </c>
      <c r="I1311" s="34" t="n">
        <f aca="false">+IF(E1311=0,0,E1311*0.03)</f>
        <v>0</v>
      </c>
    </row>
    <row r="1312" customFormat="false" ht="15.75" hidden="false" customHeight="true" outlineLevel="0" collapsed="false">
      <c r="A1312" s="30" t="n">
        <v>45323</v>
      </c>
      <c r="B1312" s="31" t="s">
        <v>11</v>
      </c>
      <c r="C1312" s="32"/>
      <c r="D1312" s="32"/>
      <c r="E1312" s="19" t="n">
        <f aca="false">+IF(C1312="EQUIPO",F1312,0)</f>
        <v>0</v>
      </c>
      <c r="F1312" s="33" t="n">
        <v>0</v>
      </c>
      <c r="G1312" s="62"/>
      <c r="H1312" s="35" t="n">
        <v>0</v>
      </c>
      <c r="I1312" s="34" t="n">
        <f aca="false">+IF(E1312=0,0,E1312*0.03)</f>
        <v>0</v>
      </c>
    </row>
    <row r="1313" customFormat="false" ht="15.75" hidden="false" customHeight="true" outlineLevel="0" collapsed="false">
      <c r="A1313" s="30" t="n">
        <v>45323</v>
      </c>
      <c r="B1313" s="31" t="s">
        <v>11</v>
      </c>
      <c r="C1313" s="32"/>
      <c r="D1313" s="32"/>
      <c r="E1313" s="19" t="n">
        <f aca="false">+IF(C1313="EQUIPO",F1313,0)</f>
        <v>0</v>
      </c>
      <c r="F1313" s="33" t="n">
        <v>0</v>
      </c>
      <c r="G1313" s="62"/>
      <c r="H1313" s="35" t="n">
        <v>0</v>
      </c>
      <c r="I1313" s="34" t="n">
        <f aca="false">+IF(E1313=0,0,E1313*0.03)</f>
        <v>0</v>
      </c>
    </row>
    <row r="1314" customFormat="false" ht="15.75" hidden="false" customHeight="true" outlineLevel="0" collapsed="false">
      <c r="A1314" s="30" t="n">
        <v>45323</v>
      </c>
      <c r="B1314" s="31" t="s">
        <v>11</v>
      </c>
      <c r="C1314" s="32"/>
      <c r="D1314" s="32"/>
      <c r="E1314" s="19" t="n">
        <f aca="false">+IF(C1314="EQUIPO",F1314,0)</f>
        <v>0</v>
      </c>
      <c r="F1314" s="33" t="n">
        <v>0</v>
      </c>
      <c r="G1314" s="62"/>
      <c r="H1314" s="35" t="n">
        <v>0</v>
      </c>
      <c r="I1314" s="34" t="n">
        <f aca="false">+IF(E1314=0,0,E1314*0.03)</f>
        <v>0</v>
      </c>
    </row>
    <row r="1315" customFormat="false" ht="15.75" hidden="false" customHeight="true" outlineLevel="0" collapsed="false">
      <c r="A1315" s="30" t="n">
        <v>45323</v>
      </c>
      <c r="B1315" s="31" t="s">
        <v>11</v>
      </c>
      <c r="C1315" s="32"/>
      <c r="D1315" s="32"/>
      <c r="E1315" s="19" t="n">
        <f aca="false">+IF(C1315="EQUIPO",F1315,0)</f>
        <v>0</v>
      </c>
      <c r="F1315" s="33" t="n">
        <v>0</v>
      </c>
      <c r="G1315" s="62"/>
      <c r="H1315" s="35" t="n">
        <v>0</v>
      </c>
      <c r="I1315" s="34" t="n">
        <f aca="false">+IF(E1315=0,0,E1315*0.03)</f>
        <v>0</v>
      </c>
    </row>
    <row r="1316" customFormat="false" ht="15.75" hidden="false" customHeight="true" outlineLevel="0" collapsed="false">
      <c r="A1316" s="30" t="n">
        <v>45323</v>
      </c>
      <c r="B1316" s="31" t="s">
        <v>11</v>
      </c>
      <c r="C1316" s="32"/>
      <c r="D1316" s="32"/>
      <c r="E1316" s="19" t="n">
        <f aca="false">+IF(C1316="EQUIPO",F1316,0)</f>
        <v>0</v>
      </c>
      <c r="F1316" s="33" t="n">
        <v>0</v>
      </c>
      <c r="G1316" s="62"/>
      <c r="H1316" s="35" t="n">
        <v>0</v>
      </c>
      <c r="I1316" s="34" t="n">
        <f aca="false">+IF(E1316=0,0,E1316*0.03)</f>
        <v>0</v>
      </c>
    </row>
    <row r="1317" customFormat="false" ht="15.75" hidden="false" customHeight="true" outlineLevel="0" collapsed="false">
      <c r="A1317" s="30" t="n">
        <v>45323</v>
      </c>
      <c r="B1317" s="31" t="s">
        <v>11</v>
      </c>
      <c r="C1317" s="32"/>
      <c r="D1317" s="32"/>
      <c r="E1317" s="19" t="n">
        <f aca="false">+IF(C1317="EQUIPO",F1317,0)</f>
        <v>0</v>
      </c>
      <c r="F1317" s="33" t="n">
        <v>0</v>
      </c>
      <c r="G1317" s="62"/>
      <c r="H1317" s="35" t="n">
        <v>0</v>
      </c>
      <c r="I1317" s="34" t="n">
        <f aca="false">+IF(E1317=0,0,E1317*0.03)</f>
        <v>0</v>
      </c>
    </row>
    <row r="1318" customFormat="false" ht="15.75" hidden="false" customHeight="true" outlineLevel="0" collapsed="false">
      <c r="A1318" s="30" t="n">
        <v>45323</v>
      </c>
      <c r="B1318" s="31" t="s">
        <v>11</v>
      </c>
      <c r="C1318" s="32"/>
      <c r="D1318" s="32"/>
      <c r="E1318" s="19" t="n">
        <f aca="false">+IF(C1318="EQUIPO",F1318,0)</f>
        <v>0</v>
      </c>
      <c r="F1318" s="33" t="n">
        <v>0</v>
      </c>
      <c r="G1318" s="62"/>
      <c r="H1318" s="35" t="n">
        <v>0</v>
      </c>
      <c r="I1318" s="34" t="n">
        <f aca="false">+IF(E1318=0,0,E1318*0.03)</f>
        <v>0</v>
      </c>
    </row>
    <row r="1319" customFormat="false" ht="15.75" hidden="false" customHeight="true" outlineLevel="0" collapsed="false">
      <c r="A1319" s="30" t="n">
        <v>45323</v>
      </c>
      <c r="B1319" s="31" t="s">
        <v>11</v>
      </c>
      <c r="C1319" s="32"/>
      <c r="D1319" s="32"/>
      <c r="E1319" s="19" t="n">
        <f aca="false">+IF(C1319="EQUIPO",F1319,0)</f>
        <v>0</v>
      </c>
      <c r="F1319" s="33" t="n">
        <v>0</v>
      </c>
      <c r="G1319" s="62"/>
      <c r="H1319" s="35" t="n">
        <v>0</v>
      </c>
      <c r="I1319" s="34" t="n">
        <f aca="false">+IF(E1319=0,0,E1319*0.03)</f>
        <v>0</v>
      </c>
    </row>
    <row r="1320" customFormat="false" ht="15.75" hidden="false" customHeight="true" outlineLevel="0" collapsed="false">
      <c r="A1320" s="30" t="n">
        <v>45323</v>
      </c>
      <c r="B1320" s="31" t="s">
        <v>11</v>
      </c>
      <c r="C1320" s="32"/>
      <c r="D1320" s="32"/>
      <c r="E1320" s="19" t="n">
        <f aca="false">+IF(C1320="EQUIPO",F1320,0)</f>
        <v>0</v>
      </c>
      <c r="F1320" s="33" t="n">
        <v>0</v>
      </c>
      <c r="G1320" s="62"/>
      <c r="H1320" s="35" t="n">
        <v>0</v>
      </c>
      <c r="I1320" s="34" t="n">
        <f aca="false">+IF(E1320=0,0,E1320*0.03)</f>
        <v>0</v>
      </c>
    </row>
    <row r="1321" customFormat="false" ht="15.75" hidden="false" customHeight="true" outlineLevel="0" collapsed="false">
      <c r="A1321" s="30" t="n">
        <v>45323</v>
      </c>
      <c r="B1321" s="31" t="s">
        <v>11</v>
      </c>
      <c r="C1321" s="32"/>
      <c r="D1321" s="32"/>
      <c r="E1321" s="19" t="n">
        <f aca="false">+IF(C1321="EQUIPO",F1321,0)</f>
        <v>0</v>
      </c>
      <c r="F1321" s="33" t="n">
        <v>0</v>
      </c>
      <c r="G1321" s="62"/>
      <c r="H1321" s="35" t="n">
        <v>0</v>
      </c>
      <c r="I1321" s="34" t="n">
        <f aca="false">+IF(E1321=0,0,E1321*0.03)</f>
        <v>0</v>
      </c>
    </row>
    <row r="1322" customFormat="false" ht="15.75" hidden="false" customHeight="true" outlineLevel="0" collapsed="false">
      <c r="A1322" s="30" t="n">
        <v>45323</v>
      </c>
      <c r="B1322" s="31" t="s">
        <v>11</v>
      </c>
      <c r="C1322" s="32"/>
      <c r="D1322" s="32"/>
      <c r="E1322" s="19" t="n">
        <f aca="false">+IF(C1322="EQUIPO",F1322,0)</f>
        <v>0</v>
      </c>
      <c r="F1322" s="33" t="n">
        <v>0</v>
      </c>
      <c r="G1322" s="62"/>
      <c r="H1322" s="35" t="n">
        <v>0</v>
      </c>
      <c r="I1322" s="34" t="n">
        <f aca="false">+IF(E1322=0,0,E1322*0.03)</f>
        <v>0</v>
      </c>
    </row>
    <row r="1323" customFormat="false" ht="15.75" hidden="false" customHeight="true" outlineLevel="0" collapsed="false">
      <c r="A1323" s="30" t="n">
        <v>45323</v>
      </c>
      <c r="B1323" s="31" t="s">
        <v>11</v>
      </c>
      <c r="C1323" s="32"/>
      <c r="D1323" s="32"/>
      <c r="E1323" s="19" t="n">
        <f aca="false">+IF(C1323="EQUIPO",F1323,0)</f>
        <v>0</v>
      </c>
      <c r="F1323" s="33" t="n">
        <v>0</v>
      </c>
      <c r="G1323" s="62"/>
      <c r="H1323" s="35" t="n">
        <v>0</v>
      </c>
      <c r="I1323" s="34" t="n">
        <f aca="false">+IF(E1323=0,0,E1323*0.03)</f>
        <v>0</v>
      </c>
    </row>
    <row r="1324" customFormat="false" ht="15.75" hidden="false" customHeight="true" outlineLevel="0" collapsed="false">
      <c r="A1324" s="30" t="n">
        <v>45323</v>
      </c>
      <c r="B1324" s="31" t="s">
        <v>11</v>
      </c>
      <c r="C1324" s="32"/>
      <c r="D1324" s="32"/>
      <c r="E1324" s="19" t="n">
        <f aca="false">+IF(C1324="EQUIPO",F1324,0)</f>
        <v>0</v>
      </c>
      <c r="F1324" s="33" t="n">
        <v>0</v>
      </c>
      <c r="G1324" s="62"/>
      <c r="H1324" s="35" t="n">
        <v>0</v>
      </c>
      <c r="I1324" s="34" t="n">
        <f aca="false">+IF(E1324=0,0,E1324*0.03)</f>
        <v>0</v>
      </c>
    </row>
    <row r="1325" customFormat="false" ht="15.75" hidden="false" customHeight="true" outlineLevel="0" collapsed="false">
      <c r="A1325" s="30" t="n">
        <v>45323</v>
      </c>
      <c r="B1325" s="31" t="s">
        <v>11</v>
      </c>
      <c r="C1325" s="32"/>
      <c r="D1325" s="32"/>
      <c r="E1325" s="19" t="n">
        <f aca="false">+IF(C1325="EQUIPO",F1325,0)</f>
        <v>0</v>
      </c>
      <c r="F1325" s="33" t="n">
        <v>0</v>
      </c>
      <c r="G1325" s="62"/>
      <c r="H1325" s="35" t="n">
        <v>0</v>
      </c>
      <c r="I1325" s="34" t="n">
        <f aca="false">+IF(E1325=0,0,E1325*0.03)</f>
        <v>0</v>
      </c>
    </row>
    <row r="1326" customFormat="false" ht="15.75" hidden="false" customHeight="true" outlineLevel="0" collapsed="false">
      <c r="A1326" s="30" t="n">
        <v>45323</v>
      </c>
      <c r="B1326" s="31" t="s">
        <v>11</v>
      </c>
      <c r="C1326" s="32"/>
      <c r="D1326" s="32"/>
      <c r="E1326" s="19" t="n">
        <f aca="false">+IF(C1326="EQUIPO",F1326,0)</f>
        <v>0</v>
      </c>
      <c r="F1326" s="33" t="n">
        <v>0</v>
      </c>
      <c r="G1326" s="62"/>
      <c r="H1326" s="35" t="n">
        <v>0</v>
      </c>
      <c r="I1326" s="34" t="n">
        <f aca="false">+IF(E1326=0,0,E1326*0.03)</f>
        <v>0</v>
      </c>
    </row>
    <row r="1327" customFormat="false" ht="15.75" hidden="false" customHeight="true" outlineLevel="0" collapsed="false">
      <c r="A1327" s="30" t="n">
        <v>45323</v>
      </c>
      <c r="B1327" s="31" t="s">
        <v>11</v>
      </c>
      <c r="C1327" s="32"/>
      <c r="D1327" s="32"/>
      <c r="E1327" s="19" t="n">
        <f aca="false">+IF(C1327="EQUIPO",F1327,0)</f>
        <v>0</v>
      </c>
      <c r="F1327" s="33" t="n">
        <v>0</v>
      </c>
      <c r="G1327" s="62"/>
      <c r="H1327" s="35" t="n">
        <v>0</v>
      </c>
      <c r="I1327" s="34" t="n">
        <f aca="false">+IF(E1327=0,0,E1327*0.03)</f>
        <v>0</v>
      </c>
    </row>
    <row r="1328" customFormat="false" ht="15.75" hidden="false" customHeight="true" outlineLevel="0" collapsed="false">
      <c r="A1328" s="30" t="n">
        <v>45323</v>
      </c>
      <c r="B1328" s="31" t="s">
        <v>11</v>
      </c>
      <c r="C1328" s="32"/>
      <c r="D1328" s="32"/>
      <c r="E1328" s="19" t="n">
        <f aca="false">+IF(C1328="EQUIPO",F1328,0)</f>
        <v>0</v>
      </c>
      <c r="F1328" s="33" t="n">
        <v>0</v>
      </c>
      <c r="G1328" s="62"/>
      <c r="H1328" s="35" t="n">
        <v>0</v>
      </c>
      <c r="I1328" s="34" t="n">
        <f aca="false">+IF(E1328=0,0,E1328*0.03)</f>
        <v>0</v>
      </c>
    </row>
    <row r="1329" customFormat="false" ht="15.75" hidden="false" customHeight="true" outlineLevel="0" collapsed="false">
      <c r="A1329" s="30" t="n">
        <v>45323</v>
      </c>
      <c r="B1329" s="31" t="s">
        <v>11</v>
      </c>
      <c r="C1329" s="32"/>
      <c r="D1329" s="32"/>
      <c r="E1329" s="19" t="n">
        <f aca="false">+IF(C1329="EQUIPO",F1329,0)</f>
        <v>0</v>
      </c>
      <c r="F1329" s="33" t="n">
        <v>0</v>
      </c>
      <c r="G1329" s="62"/>
      <c r="H1329" s="35" t="n">
        <v>0</v>
      </c>
      <c r="I1329" s="34" t="n">
        <f aca="false">+IF(E1329=0,0,E1329*0.03)</f>
        <v>0</v>
      </c>
    </row>
    <row r="1330" customFormat="false" ht="15.75" hidden="false" customHeight="true" outlineLevel="0" collapsed="false">
      <c r="A1330" s="30" t="n">
        <v>45323</v>
      </c>
      <c r="B1330" s="31" t="s">
        <v>11</v>
      </c>
      <c r="C1330" s="32"/>
      <c r="D1330" s="32"/>
      <c r="E1330" s="19" t="n">
        <f aca="false">+IF(C1330="EQUIPO",F1330,0)</f>
        <v>0</v>
      </c>
      <c r="F1330" s="33" t="n">
        <v>0</v>
      </c>
      <c r="G1330" s="62"/>
      <c r="H1330" s="35" t="n">
        <v>0</v>
      </c>
      <c r="I1330" s="34" t="n">
        <f aca="false">+IF(E1330=0,0,E1330*0.03)</f>
        <v>0</v>
      </c>
    </row>
    <row r="1331" customFormat="false" ht="15.75" hidden="false" customHeight="true" outlineLevel="0" collapsed="false">
      <c r="A1331" s="30" t="n">
        <v>45323</v>
      </c>
      <c r="B1331" s="31" t="s">
        <v>11</v>
      </c>
      <c r="C1331" s="32"/>
      <c r="D1331" s="32"/>
      <c r="E1331" s="19" t="n">
        <f aca="false">+IF(C1331="EQUIPO",F1331,0)</f>
        <v>0</v>
      </c>
      <c r="F1331" s="33" t="n">
        <v>0</v>
      </c>
      <c r="G1331" s="62"/>
      <c r="H1331" s="35" t="n">
        <v>0</v>
      </c>
      <c r="I1331" s="34" t="n">
        <f aca="false">+IF(E1331=0,0,E1331*0.03)</f>
        <v>0</v>
      </c>
    </row>
    <row r="1332" customFormat="false" ht="15.75" hidden="false" customHeight="true" outlineLevel="0" collapsed="false">
      <c r="A1332" s="30" t="n">
        <v>45323</v>
      </c>
      <c r="B1332" s="31" t="s">
        <v>11</v>
      </c>
      <c r="C1332" s="32"/>
      <c r="D1332" s="32"/>
      <c r="E1332" s="19" t="n">
        <f aca="false">+IF(C1332="EQUIPO",F1332,0)</f>
        <v>0</v>
      </c>
      <c r="F1332" s="33" t="n">
        <v>0</v>
      </c>
      <c r="G1332" s="62"/>
      <c r="H1332" s="35" t="n">
        <v>0</v>
      </c>
      <c r="I1332" s="34" t="n">
        <f aca="false">+IF(E1332=0,0,E1332*0.03)</f>
        <v>0</v>
      </c>
    </row>
    <row r="1333" customFormat="false" ht="15.75" hidden="false" customHeight="true" outlineLevel="0" collapsed="false">
      <c r="A1333" s="30" t="n">
        <v>45323</v>
      </c>
      <c r="B1333" s="31" t="s">
        <v>11</v>
      </c>
      <c r="C1333" s="32"/>
      <c r="D1333" s="32"/>
      <c r="E1333" s="19" t="n">
        <f aca="false">+IF(C1333="EQUIPO",F1333,0)</f>
        <v>0</v>
      </c>
      <c r="F1333" s="33" t="n">
        <v>0</v>
      </c>
      <c r="G1333" s="62"/>
      <c r="H1333" s="35" t="n">
        <v>0</v>
      </c>
      <c r="I1333" s="34" t="n">
        <f aca="false">+IF(E1333=0,0,E1333*0.03)</f>
        <v>0</v>
      </c>
    </row>
    <row r="1334" customFormat="false" ht="15.75" hidden="false" customHeight="true" outlineLevel="0" collapsed="false">
      <c r="A1334" s="30" t="n">
        <v>45323</v>
      </c>
      <c r="B1334" s="31" t="s">
        <v>11</v>
      </c>
      <c r="C1334" s="32"/>
      <c r="D1334" s="32"/>
      <c r="E1334" s="19" t="n">
        <f aca="false">+IF(C1334="EQUIPO",F1334,0)</f>
        <v>0</v>
      </c>
      <c r="F1334" s="33" t="n">
        <v>0</v>
      </c>
      <c r="G1334" s="62"/>
      <c r="H1334" s="35" t="n">
        <v>0</v>
      </c>
      <c r="I1334" s="34" t="n">
        <f aca="false">+IF(E1334=0,0,E1334*0.03)</f>
        <v>0</v>
      </c>
    </row>
    <row r="1335" customFormat="false" ht="15.75" hidden="false" customHeight="true" outlineLevel="0" collapsed="false">
      <c r="A1335" s="30" t="n">
        <v>45323</v>
      </c>
      <c r="B1335" s="31" t="s">
        <v>11</v>
      </c>
      <c r="C1335" s="32"/>
      <c r="D1335" s="32"/>
      <c r="E1335" s="19" t="n">
        <f aca="false">+IF(C1335="EQUIPO",F1335,0)</f>
        <v>0</v>
      </c>
      <c r="F1335" s="33" t="n">
        <v>0</v>
      </c>
      <c r="G1335" s="62"/>
      <c r="H1335" s="35" t="n">
        <v>0</v>
      </c>
      <c r="I1335" s="34" t="n">
        <f aca="false">+IF(E1335=0,0,E1335*0.03)</f>
        <v>0</v>
      </c>
    </row>
    <row r="1336" customFormat="false" ht="15.75" hidden="false" customHeight="true" outlineLevel="0" collapsed="false">
      <c r="A1336" s="30" t="n">
        <v>45323</v>
      </c>
      <c r="B1336" s="31" t="s">
        <v>11</v>
      </c>
      <c r="C1336" s="32"/>
      <c r="D1336" s="32"/>
      <c r="E1336" s="19" t="n">
        <f aca="false">+IF(C1336="EQUIPO",F1336,0)</f>
        <v>0</v>
      </c>
      <c r="F1336" s="33" t="n">
        <v>0</v>
      </c>
      <c r="G1336" s="62"/>
      <c r="H1336" s="35" t="n">
        <v>0</v>
      </c>
      <c r="I1336" s="34" t="n">
        <f aca="false">+IF(E1336=0,0,E1336*0.03)</f>
        <v>0</v>
      </c>
    </row>
    <row r="1337" customFormat="false" ht="15.75" hidden="false" customHeight="true" outlineLevel="0" collapsed="false">
      <c r="A1337" s="30" t="n">
        <v>45323</v>
      </c>
      <c r="B1337" s="31" t="s">
        <v>11</v>
      </c>
      <c r="C1337" s="32"/>
      <c r="D1337" s="32"/>
      <c r="E1337" s="19" t="n">
        <f aca="false">+IF(C1337="EQUIPO",F1337,0)</f>
        <v>0</v>
      </c>
      <c r="F1337" s="33" t="n">
        <v>0</v>
      </c>
      <c r="G1337" s="62"/>
      <c r="H1337" s="35" t="n">
        <v>0</v>
      </c>
      <c r="I1337" s="34" t="n">
        <f aca="false">+IF(E1337=0,0,E1337*0.03)</f>
        <v>0</v>
      </c>
    </row>
    <row r="1338" customFormat="false" ht="15.75" hidden="false" customHeight="true" outlineLevel="0" collapsed="false">
      <c r="A1338" s="30" t="n">
        <v>45323</v>
      </c>
      <c r="B1338" s="31" t="s">
        <v>11</v>
      </c>
      <c r="C1338" s="32"/>
      <c r="D1338" s="32"/>
      <c r="E1338" s="19" t="n">
        <f aca="false">+IF(C1338="EQUIPO",F1338,0)</f>
        <v>0</v>
      </c>
      <c r="F1338" s="33" t="n">
        <v>0</v>
      </c>
      <c r="G1338" s="62"/>
      <c r="H1338" s="35" t="n">
        <v>0</v>
      </c>
      <c r="I1338" s="34" t="n">
        <f aca="false">+IF(E1338=0,0,E1338*0.03)</f>
        <v>0</v>
      </c>
    </row>
    <row r="1339" customFormat="false" ht="15.75" hidden="false" customHeight="true" outlineLevel="0" collapsed="false">
      <c r="A1339" s="30" t="n">
        <v>45323</v>
      </c>
      <c r="B1339" s="31" t="s">
        <v>11</v>
      </c>
      <c r="C1339" s="32"/>
      <c r="D1339" s="32"/>
      <c r="E1339" s="19" t="n">
        <f aca="false">+IF(C1339="EQUIPO",F1339,0)</f>
        <v>0</v>
      </c>
      <c r="F1339" s="33" t="n">
        <v>0</v>
      </c>
      <c r="G1339" s="62"/>
      <c r="H1339" s="35" t="n">
        <v>0</v>
      </c>
      <c r="I1339" s="34" t="n">
        <f aca="false">+IF(E1339=0,0,E1339*0.03)</f>
        <v>0</v>
      </c>
    </row>
    <row r="1340" customFormat="false" ht="15.75" hidden="false" customHeight="true" outlineLevel="0" collapsed="false">
      <c r="A1340" s="30" t="n">
        <v>45323</v>
      </c>
      <c r="B1340" s="31" t="s">
        <v>11</v>
      </c>
      <c r="C1340" s="32"/>
      <c r="D1340" s="32"/>
      <c r="E1340" s="19" t="n">
        <f aca="false">+IF(C1340="EQUIPO",F1340,0)</f>
        <v>0</v>
      </c>
      <c r="F1340" s="33" t="n">
        <v>0</v>
      </c>
      <c r="G1340" s="62"/>
      <c r="H1340" s="35" t="n">
        <v>0</v>
      </c>
      <c r="I1340" s="34" t="n">
        <f aca="false">+IF(E1340=0,0,E1340*0.03)</f>
        <v>0</v>
      </c>
    </row>
    <row r="1341" customFormat="false" ht="15.75" hidden="false" customHeight="true" outlineLevel="0" collapsed="false">
      <c r="A1341" s="30" t="n">
        <v>45323</v>
      </c>
      <c r="B1341" s="31" t="s">
        <v>11</v>
      </c>
      <c r="C1341" s="32"/>
      <c r="D1341" s="32"/>
      <c r="E1341" s="19" t="n">
        <f aca="false">+IF(C1341="EQUIPO",F1341,0)</f>
        <v>0</v>
      </c>
      <c r="F1341" s="33" t="n">
        <v>0</v>
      </c>
      <c r="G1341" s="62"/>
      <c r="H1341" s="35" t="n">
        <v>0</v>
      </c>
      <c r="I1341" s="34" t="n">
        <f aca="false">+IF(E1341=0,0,E1341*0.03)</f>
        <v>0</v>
      </c>
    </row>
    <row r="1342" customFormat="false" ht="15.75" hidden="false" customHeight="true" outlineLevel="0" collapsed="false">
      <c r="A1342" s="30" t="n">
        <v>45323</v>
      </c>
      <c r="B1342" s="31" t="s">
        <v>11</v>
      </c>
      <c r="C1342" s="32"/>
      <c r="D1342" s="32"/>
      <c r="E1342" s="19" t="n">
        <f aca="false">+IF(C1342="EQUIPO",F1342,0)</f>
        <v>0</v>
      </c>
      <c r="F1342" s="33" t="n">
        <v>0</v>
      </c>
      <c r="G1342" s="62"/>
      <c r="H1342" s="35" t="n">
        <v>0</v>
      </c>
      <c r="I1342" s="34" t="n">
        <f aca="false">+IF(E1342=0,0,E1342*0.03)</f>
        <v>0</v>
      </c>
    </row>
    <row r="1343" customFormat="false" ht="15.75" hidden="false" customHeight="true" outlineLevel="0" collapsed="false">
      <c r="A1343" s="30" t="n">
        <v>45323</v>
      </c>
      <c r="B1343" s="31" t="s">
        <v>11</v>
      </c>
      <c r="C1343" s="32"/>
      <c r="D1343" s="32"/>
      <c r="E1343" s="19" t="n">
        <f aca="false">+IF(C1343="EQUIPO",F1343,0)</f>
        <v>0</v>
      </c>
      <c r="F1343" s="33" t="n">
        <v>0</v>
      </c>
      <c r="G1343" s="62"/>
      <c r="H1343" s="35" t="n">
        <v>0</v>
      </c>
      <c r="I1343" s="34" t="n">
        <f aca="false">+IF(E1343=0,0,E1343*0.03)</f>
        <v>0</v>
      </c>
    </row>
    <row r="1344" customFormat="false" ht="15.75" hidden="false" customHeight="true" outlineLevel="0" collapsed="false">
      <c r="A1344" s="30" t="n">
        <v>45323</v>
      </c>
      <c r="B1344" s="31" t="s">
        <v>11</v>
      </c>
      <c r="C1344" s="32"/>
      <c r="D1344" s="32"/>
      <c r="E1344" s="19" t="n">
        <f aca="false">+IF(C1344="EQUIPO",F1344,0)</f>
        <v>0</v>
      </c>
      <c r="F1344" s="33" t="n">
        <v>0</v>
      </c>
      <c r="G1344" s="62"/>
      <c r="H1344" s="35" t="n">
        <v>0</v>
      </c>
      <c r="I1344" s="34" t="n">
        <f aca="false">+IF(E1344=0,0,E1344*0.03)</f>
        <v>0</v>
      </c>
    </row>
    <row r="1345" customFormat="false" ht="15.75" hidden="false" customHeight="true" outlineLevel="0" collapsed="false">
      <c r="A1345" s="30" t="n">
        <v>45323</v>
      </c>
      <c r="B1345" s="31" t="s">
        <v>11</v>
      </c>
      <c r="C1345" s="32"/>
      <c r="D1345" s="32"/>
      <c r="E1345" s="19" t="n">
        <f aca="false">+IF(C1345="EQUIPO",F1345,0)</f>
        <v>0</v>
      </c>
      <c r="F1345" s="33" t="n">
        <v>0</v>
      </c>
      <c r="G1345" s="62"/>
      <c r="H1345" s="35" t="n">
        <v>0</v>
      </c>
      <c r="I1345" s="34" t="n">
        <f aca="false">+IF(E1345=0,0,E1345*0.03)</f>
        <v>0</v>
      </c>
    </row>
    <row r="1346" customFormat="false" ht="15.75" hidden="false" customHeight="true" outlineLevel="0" collapsed="false">
      <c r="A1346" s="30" t="n">
        <v>45323</v>
      </c>
      <c r="B1346" s="31" t="s">
        <v>11</v>
      </c>
      <c r="C1346" s="32"/>
      <c r="D1346" s="32"/>
      <c r="E1346" s="19" t="n">
        <f aca="false">+IF(C1346="EQUIPO",F1346,0)</f>
        <v>0</v>
      </c>
      <c r="F1346" s="33" t="n">
        <v>0</v>
      </c>
      <c r="G1346" s="62"/>
      <c r="H1346" s="35" t="n">
        <v>0</v>
      </c>
      <c r="I1346" s="34" t="n">
        <f aca="false">+IF(E1346=0,0,E1346*0.03)</f>
        <v>0</v>
      </c>
    </row>
    <row r="1347" customFormat="false" ht="15.75" hidden="false" customHeight="true" outlineLevel="0" collapsed="false">
      <c r="A1347" s="30" t="n">
        <v>45323</v>
      </c>
      <c r="B1347" s="31" t="s">
        <v>11</v>
      </c>
      <c r="C1347" s="32"/>
      <c r="D1347" s="32"/>
      <c r="E1347" s="19" t="n">
        <f aca="false">+IF(C1347="EQUIPO",F1347,0)</f>
        <v>0</v>
      </c>
      <c r="F1347" s="33" t="n">
        <v>0</v>
      </c>
      <c r="G1347" s="62"/>
      <c r="H1347" s="35" t="n">
        <v>0</v>
      </c>
      <c r="I1347" s="34" t="n">
        <f aca="false">+IF(E1347=0,0,E1347*0.03)</f>
        <v>0</v>
      </c>
    </row>
    <row r="1348" customFormat="false" ht="15.75" hidden="false" customHeight="true" outlineLevel="0" collapsed="false">
      <c r="A1348" s="30" t="n">
        <v>45323</v>
      </c>
      <c r="B1348" s="31" t="s">
        <v>11</v>
      </c>
      <c r="C1348" s="32"/>
      <c r="D1348" s="32"/>
      <c r="E1348" s="19" t="n">
        <f aca="false">+IF(C1348="EQUIPO",F1348,0)</f>
        <v>0</v>
      </c>
      <c r="F1348" s="33" t="n">
        <v>0</v>
      </c>
      <c r="G1348" s="62"/>
      <c r="H1348" s="35" t="n">
        <v>0</v>
      </c>
      <c r="I1348" s="34" t="n">
        <f aca="false">+IF(E1348=0,0,E1348*0.03)</f>
        <v>0</v>
      </c>
    </row>
    <row r="1349" customFormat="false" ht="15.75" hidden="false" customHeight="true" outlineLevel="0" collapsed="false">
      <c r="A1349" s="30" t="n">
        <v>45323</v>
      </c>
      <c r="B1349" s="31" t="s">
        <v>11</v>
      </c>
      <c r="C1349" s="32"/>
      <c r="D1349" s="32"/>
      <c r="E1349" s="19" t="n">
        <f aca="false">+IF(C1349="EQUIPO",F1349,0)</f>
        <v>0</v>
      </c>
      <c r="F1349" s="33" t="n">
        <v>0</v>
      </c>
      <c r="G1349" s="62"/>
      <c r="H1349" s="35" t="n">
        <v>0</v>
      </c>
      <c r="I1349" s="34" t="n">
        <f aca="false">+IF(E1349=0,0,E1349*0.03)</f>
        <v>0</v>
      </c>
    </row>
    <row r="1350" customFormat="false" ht="15.75" hidden="false" customHeight="true" outlineLevel="0" collapsed="false">
      <c r="A1350" s="30" t="n">
        <v>45323</v>
      </c>
      <c r="B1350" s="31" t="s">
        <v>11</v>
      </c>
      <c r="C1350" s="32"/>
      <c r="D1350" s="32"/>
      <c r="E1350" s="19" t="n">
        <f aca="false">+IF(C1350="EQUIPO",F1350,0)</f>
        <v>0</v>
      </c>
      <c r="F1350" s="33" t="n">
        <v>0</v>
      </c>
      <c r="G1350" s="62"/>
      <c r="H1350" s="35" t="n">
        <v>0</v>
      </c>
      <c r="I1350" s="34" t="n">
        <f aca="false">+IF(E1350=0,0,E1350*0.03)</f>
        <v>0</v>
      </c>
    </row>
    <row r="1351" customFormat="false" ht="15.75" hidden="false" customHeight="true" outlineLevel="0" collapsed="false">
      <c r="A1351" s="30" t="n">
        <v>45323</v>
      </c>
      <c r="B1351" s="31" t="s">
        <v>11</v>
      </c>
      <c r="C1351" s="32"/>
      <c r="D1351" s="32"/>
      <c r="E1351" s="19" t="n">
        <f aca="false">+IF(C1351="EQUIPO",F1351,0)</f>
        <v>0</v>
      </c>
      <c r="F1351" s="33" t="n">
        <v>0</v>
      </c>
      <c r="G1351" s="62"/>
      <c r="H1351" s="35" t="n">
        <v>0</v>
      </c>
      <c r="I1351" s="34" t="n">
        <f aca="false">+IF(E1351=0,0,E1351*0.03)</f>
        <v>0</v>
      </c>
    </row>
    <row r="1352" customFormat="false" ht="15.75" hidden="false" customHeight="true" outlineLevel="0" collapsed="false">
      <c r="A1352" s="30" t="n">
        <v>45323</v>
      </c>
      <c r="B1352" s="31" t="s">
        <v>11</v>
      </c>
      <c r="C1352" s="32"/>
      <c r="D1352" s="32"/>
      <c r="E1352" s="19" t="n">
        <f aca="false">+IF(C1352="EQUIPO",F1352,0)</f>
        <v>0</v>
      </c>
      <c r="F1352" s="33" t="n">
        <v>0</v>
      </c>
      <c r="G1352" s="62"/>
      <c r="H1352" s="35" t="n">
        <v>0</v>
      </c>
      <c r="I1352" s="34" t="n">
        <f aca="false">+IF(E1352=0,0,E1352*0.03)</f>
        <v>0</v>
      </c>
    </row>
    <row r="1353" customFormat="false" ht="15.75" hidden="false" customHeight="true" outlineLevel="0" collapsed="false">
      <c r="A1353" s="30" t="n">
        <v>45323</v>
      </c>
      <c r="B1353" s="31" t="s">
        <v>11</v>
      </c>
      <c r="C1353" s="32"/>
      <c r="D1353" s="32"/>
      <c r="E1353" s="19" t="n">
        <f aca="false">+IF(C1353="EQUIPO",F1353,0)</f>
        <v>0</v>
      </c>
      <c r="F1353" s="33" t="n">
        <v>0</v>
      </c>
      <c r="G1353" s="62"/>
      <c r="H1353" s="35" t="n">
        <v>0</v>
      </c>
      <c r="I1353" s="34" t="n">
        <f aca="false">+IF(E1353=0,0,E1353*0.03)</f>
        <v>0</v>
      </c>
    </row>
    <row r="1354" customFormat="false" ht="15.75" hidden="false" customHeight="true" outlineLevel="0" collapsed="false">
      <c r="A1354" s="30" t="n">
        <v>45323</v>
      </c>
      <c r="B1354" s="31" t="s">
        <v>11</v>
      </c>
      <c r="C1354" s="32"/>
      <c r="D1354" s="32"/>
      <c r="E1354" s="19" t="n">
        <f aca="false">+IF(C1354="EQUIPO",F1354,0)</f>
        <v>0</v>
      </c>
      <c r="F1354" s="33" t="n">
        <v>0</v>
      </c>
      <c r="G1354" s="62"/>
      <c r="H1354" s="35" t="n">
        <v>0</v>
      </c>
      <c r="I1354" s="34" t="n">
        <f aca="false">+IF(E1354=0,0,E1354*0.03)</f>
        <v>0</v>
      </c>
    </row>
    <row r="1355" customFormat="false" ht="15.75" hidden="false" customHeight="true" outlineLevel="0" collapsed="false">
      <c r="A1355" s="30" t="n">
        <v>45323</v>
      </c>
      <c r="B1355" s="31" t="s">
        <v>11</v>
      </c>
      <c r="C1355" s="32"/>
      <c r="D1355" s="32"/>
      <c r="E1355" s="19" t="n">
        <f aca="false">+IF(C1355="EQUIPO",F1355,0)</f>
        <v>0</v>
      </c>
      <c r="F1355" s="33" t="n">
        <v>0</v>
      </c>
      <c r="G1355" s="62"/>
      <c r="H1355" s="35" t="n">
        <v>0</v>
      </c>
      <c r="I1355" s="34" t="n">
        <f aca="false">+IF(E1355=0,0,E1355*0.03)</f>
        <v>0</v>
      </c>
    </row>
    <row r="1356" customFormat="false" ht="15.75" hidden="false" customHeight="true" outlineLevel="0" collapsed="false">
      <c r="A1356" s="30" t="n">
        <v>45323</v>
      </c>
      <c r="B1356" s="31" t="s">
        <v>11</v>
      </c>
      <c r="C1356" s="32"/>
      <c r="D1356" s="32"/>
      <c r="E1356" s="19" t="n">
        <f aca="false">+IF(C1356="EQUIPO",F1356,0)</f>
        <v>0</v>
      </c>
      <c r="F1356" s="33" t="n">
        <v>0</v>
      </c>
      <c r="G1356" s="62"/>
      <c r="H1356" s="35" t="n">
        <v>0</v>
      </c>
      <c r="I1356" s="34" t="n">
        <f aca="false">+IF(E1356=0,0,E1356*0.03)</f>
        <v>0</v>
      </c>
    </row>
    <row r="1357" customFormat="false" ht="15.75" hidden="false" customHeight="true" outlineLevel="0" collapsed="false">
      <c r="A1357" s="30" t="n">
        <v>45323</v>
      </c>
      <c r="B1357" s="31" t="s">
        <v>11</v>
      </c>
      <c r="C1357" s="32"/>
      <c r="D1357" s="32"/>
      <c r="E1357" s="19" t="n">
        <f aca="false">+IF(C1357="EQUIPO",F1357,0)</f>
        <v>0</v>
      </c>
      <c r="F1357" s="33" t="n">
        <v>0</v>
      </c>
      <c r="G1357" s="62"/>
      <c r="H1357" s="35" t="n">
        <v>0</v>
      </c>
      <c r="I1357" s="34" t="n">
        <f aca="false">+IF(E1357=0,0,E1357*0.03)</f>
        <v>0</v>
      </c>
    </row>
    <row r="1358" customFormat="false" ht="15.75" hidden="false" customHeight="true" outlineLevel="0" collapsed="false">
      <c r="A1358" s="30" t="n">
        <v>45323</v>
      </c>
      <c r="B1358" s="31" t="s">
        <v>11</v>
      </c>
      <c r="C1358" s="32"/>
      <c r="D1358" s="32"/>
      <c r="E1358" s="19" t="n">
        <f aca="false">+IF(C1358="EQUIPO",F1358,0)</f>
        <v>0</v>
      </c>
      <c r="F1358" s="33" t="n">
        <v>0</v>
      </c>
      <c r="G1358" s="62"/>
      <c r="H1358" s="35" t="n">
        <v>0</v>
      </c>
      <c r="I1358" s="34" t="n">
        <f aca="false">+IF(E1358=0,0,E1358*0.03)</f>
        <v>0</v>
      </c>
    </row>
    <row r="1359" customFormat="false" ht="15.75" hidden="false" customHeight="true" outlineLevel="0" collapsed="false">
      <c r="A1359" s="30" t="n">
        <v>45323</v>
      </c>
      <c r="B1359" s="31" t="s">
        <v>11</v>
      </c>
      <c r="C1359" s="32"/>
      <c r="D1359" s="32"/>
      <c r="E1359" s="19" t="n">
        <f aca="false">+IF(C1359="EQUIPO",F1359,0)</f>
        <v>0</v>
      </c>
      <c r="F1359" s="33" t="n">
        <v>0</v>
      </c>
      <c r="G1359" s="62"/>
      <c r="H1359" s="35" t="n">
        <v>0</v>
      </c>
      <c r="I1359" s="34" t="n">
        <f aca="false">+IF(E1359=0,0,E1359*0.03)</f>
        <v>0</v>
      </c>
    </row>
    <row r="1360" customFormat="false" ht="15.75" hidden="false" customHeight="true" outlineLevel="0" collapsed="false">
      <c r="A1360" s="30" t="n">
        <v>45323</v>
      </c>
      <c r="B1360" s="31" t="s">
        <v>11</v>
      </c>
      <c r="C1360" s="32"/>
      <c r="D1360" s="32"/>
      <c r="E1360" s="19" t="n">
        <f aca="false">+IF(C1360="EQUIPO",F1360,0)</f>
        <v>0</v>
      </c>
      <c r="F1360" s="33" t="n">
        <v>0</v>
      </c>
      <c r="G1360" s="62"/>
      <c r="H1360" s="35" t="n">
        <v>0</v>
      </c>
      <c r="I1360" s="34" t="n">
        <f aca="false">+IF(E1360=0,0,E1360*0.03)</f>
        <v>0</v>
      </c>
    </row>
    <row r="1361" customFormat="false" ht="15.75" hidden="false" customHeight="true" outlineLevel="0" collapsed="false">
      <c r="A1361" s="30" t="n">
        <v>45323</v>
      </c>
      <c r="B1361" s="31" t="s">
        <v>11</v>
      </c>
      <c r="C1361" s="32"/>
      <c r="D1361" s="32"/>
      <c r="E1361" s="19" t="n">
        <f aca="false">+IF(C1361="EQUIPO",F1361,0)</f>
        <v>0</v>
      </c>
      <c r="F1361" s="33" t="n">
        <v>0</v>
      </c>
      <c r="G1361" s="62"/>
      <c r="H1361" s="35" t="n">
        <v>0</v>
      </c>
      <c r="I1361" s="34" t="n">
        <f aca="false">+IF(E1361=0,0,E1361*0.03)</f>
        <v>0</v>
      </c>
    </row>
    <row r="1362" customFormat="false" ht="15.75" hidden="false" customHeight="true" outlineLevel="0" collapsed="false">
      <c r="A1362" s="30" t="n">
        <v>45323</v>
      </c>
      <c r="B1362" s="31" t="s">
        <v>11</v>
      </c>
      <c r="C1362" s="32"/>
      <c r="D1362" s="32"/>
      <c r="E1362" s="19" t="n">
        <f aca="false">+IF(C1362="EQUIPO",F1362,0)</f>
        <v>0</v>
      </c>
      <c r="F1362" s="33" t="n">
        <v>0</v>
      </c>
      <c r="G1362" s="62"/>
      <c r="H1362" s="35" t="n">
        <v>0</v>
      </c>
      <c r="I1362" s="34" t="n">
        <f aca="false">+IF(E1362=0,0,E1362*0.03)</f>
        <v>0</v>
      </c>
    </row>
    <row r="1363" customFormat="false" ht="15.75" hidden="false" customHeight="true" outlineLevel="0" collapsed="false">
      <c r="A1363" s="30" t="n">
        <v>45323</v>
      </c>
      <c r="B1363" s="31" t="s">
        <v>11</v>
      </c>
      <c r="C1363" s="32"/>
      <c r="D1363" s="32"/>
      <c r="E1363" s="19" t="n">
        <f aca="false">+IF(C1363="EQUIPO",F1363,0)</f>
        <v>0</v>
      </c>
      <c r="F1363" s="33" t="n">
        <v>0</v>
      </c>
      <c r="G1363" s="62"/>
      <c r="H1363" s="35" t="n">
        <v>0</v>
      </c>
      <c r="I1363" s="34" t="n">
        <f aca="false">+IF(E1363=0,0,E1363*0.03)</f>
        <v>0</v>
      </c>
    </row>
    <row r="1364" customFormat="false" ht="15.75" hidden="false" customHeight="true" outlineLevel="0" collapsed="false">
      <c r="A1364" s="30" t="n">
        <v>45323</v>
      </c>
      <c r="B1364" s="31" t="s">
        <v>11</v>
      </c>
      <c r="C1364" s="32"/>
      <c r="D1364" s="32"/>
      <c r="E1364" s="19" t="n">
        <f aca="false">+IF(C1364="EQUIPO",F1364,0)</f>
        <v>0</v>
      </c>
      <c r="F1364" s="33" t="n">
        <v>0</v>
      </c>
      <c r="G1364" s="62"/>
      <c r="H1364" s="35" t="n">
        <v>0</v>
      </c>
      <c r="I1364" s="34" t="n">
        <f aca="false">+IF(E1364=0,0,E1364*0.03)</f>
        <v>0</v>
      </c>
    </row>
    <row r="1365" customFormat="false" ht="15.75" hidden="false" customHeight="true" outlineLevel="0" collapsed="false">
      <c r="A1365" s="30" t="n">
        <v>45323</v>
      </c>
      <c r="B1365" s="31" t="s">
        <v>11</v>
      </c>
      <c r="C1365" s="32"/>
      <c r="D1365" s="32"/>
      <c r="E1365" s="19" t="n">
        <f aca="false">+IF(C1365="EQUIPO",F1365,0)</f>
        <v>0</v>
      </c>
      <c r="F1365" s="33" t="n">
        <v>0</v>
      </c>
      <c r="G1365" s="62"/>
      <c r="H1365" s="35" t="n">
        <v>0</v>
      </c>
      <c r="I1365" s="34" t="n">
        <f aca="false">+IF(E1365=0,0,E1365*0.03)</f>
        <v>0</v>
      </c>
    </row>
    <row r="1366" customFormat="false" ht="15.75" hidden="false" customHeight="true" outlineLevel="0" collapsed="false">
      <c r="A1366" s="30" t="n">
        <v>45323</v>
      </c>
      <c r="B1366" s="31" t="s">
        <v>11</v>
      </c>
      <c r="C1366" s="32"/>
      <c r="D1366" s="32"/>
      <c r="E1366" s="19" t="n">
        <f aca="false">+IF(C1366="EQUIPO",F1366,0)</f>
        <v>0</v>
      </c>
      <c r="F1366" s="33" t="n">
        <v>0</v>
      </c>
      <c r="G1366" s="62"/>
      <c r="H1366" s="35" t="n">
        <v>0</v>
      </c>
      <c r="I1366" s="34" t="n">
        <f aca="false">+IF(E1366=0,0,E1366*0.03)</f>
        <v>0</v>
      </c>
    </row>
    <row r="1367" customFormat="false" ht="15.75" hidden="false" customHeight="true" outlineLevel="0" collapsed="false">
      <c r="A1367" s="30" t="n">
        <v>45323</v>
      </c>
      <c r="B1367" s="31" t="s">
        <v>11</v>
      </c>
      <c r="C1367" s="32"/>
      <c r="D1367" s="32"/>
      <c r="E1367" s="19" t="n">
        <f aca="false">+IF(C1367="EQUIPO",F1367,0)</f>
        <v>0</v>
      </c>
      <c r="F1367" s="33" t="n">
        <v>0</v>
      </c>
      <c r="G1367" s="62"/>
      <c r="H1367" s="35" t="n">
        <v>0</v>
      </c>
      <c r="I1367" s="34" t="n">
        <f aca="false">+IF(E1367=0,0,E1367*0.03)</f>
        <v>0</v>
      </c>
    </row>
    <row r="1368" customFormat="false" ht="15.75" hidden="false" customHeight="true" outlineLevel="0" collapsed="false">
      <c r="A1368" s="30" t="n">
        <v>45323</v>
      </c>
      <c r="B1368" s="31" t="s">
        <v>11</v>
      </c>
      <c r="C1368" s="32"/>
      <c r="D1368" s="32"/>
      <c r="E1368" s="19" t="n">
        <f aca="false">+IF(C1368="EQUIPO",F1368,0)</f>
        <v>0</v>
      </c>
      <c r="F1368" s="33" t="n">
        <v>0</v>
      </c>
      <c r="G1368" s="62"/>
      <c r="H1368" s="35" t="n">
        <v>0</v>
      </c>
      <c r="I1368" s="34" t="n">
        <f aca="false">+IF(E1368=0,0,E1368*0.03)</f>
        <v>0</v>
      </c>
    </row>
    <row r="1369" customFormat="false" ht="15.75" hidden="false" customHeight="true" outlineLevel="0" collapsed="false">
      <c r="A1369" s="30" t="n">
        <v>45323</v>
      </c>
      <c r="B1369" s="31" t="s">
        <v>11</v>
      </c>
      <c r="C1369" s="32"/>
      <c r="D1369" s="32"/>
      <c r="E1369" s="19" t="n">
        <f aca="false">+IF(C1369="EQUIPO",F1369,0)</f>
        <v>0</v>
      </c>
      <c r="F1369" s="33" t="n">
        <v>0</v>
      </c>
      <c r="G1369" s="62"/>
      <c r="H1369" s="35" t="n">
        <v>0</v>
      </c>
      <c r="I1369" s="34" t="n">
        <f aca="false">+IF(E1369=0,0,E1369*0.03)</f>
        <v>0</v>
      </c>
    </row>
    <row r="1370" customFormat="false" ht="15.75" hidden="false" customHeight="true" outlineLevel="0" collapsed="false">
      <c r="A1370" s="30" t="n">
        <v>45323</v>
      </c>
      <c r="B1370" s="31" t="s">
        <v>11</v>
      </c>
      <c r="C1370" s="32"/>
      <c r="D1370" s="32"/>
      <c r="E1370" s="19" t="n">
        <f aca="false">+IF(C1370="EQUIPO",F1370,0)</f>
        <v>0</v>
      </c>
      <c r="F1370" s="33" t="n">
        <v>0</v>
      </c>
      <c r="G1370" s="62"/>
      <c r="H1370" s="35" t="n">
        <v>0</v>
      </c>
      <c r="I1370" s="34" t="n">
        <f aca="false">+IF(E1370=0,0,E1370*0.03)</f>
        <v>0</v>
      </c>
    </row>
    <row r="1371" customFormat="false" ht="15.75" hidden="false" customHeight="true" outlineLevel="0" collapsed="false">
      <c r="A1371" s="30" t="n">
        <v>45323</v>
      </c>
      <c r="B1371" s="31" t="s">
        <v>11</v>
      </c>
      <c r="C1371" s="32"/>
      <c r="D1371" s="32"/>
      <c r="E1371" s="19" t="n">
        <f aca="false">+IF(C1371="EQUIPO",F1371,0)</f>
        <v>0</v>
      </c>
      <c r="F1371" s="33" t="n">
        <v>0</v>
      </c>
      <c r="G1371" s="62"/>
      <c r="H1371" s="35" t="n">
        <v>0</v>
      </c>
      <c r="I1371" s="34" t="n">
        <f aca="false">+IF(E1371=0,0,E1371*0.03)</f>
        <v>0</v>
      </c>
    </row>
    <row r="1372" customFormat="false" ht="15.75" hidden="false" customHeight="true" outlineLevel="0" collapsed="false">
      <c r="A1372" s="30" t="n">
        <v>45323</v>
      </c>
      <c r="B1372" s="31" t="s">
        <v>11</v>
      </c>
      <c r="C1372" s="32"/>
      <c r="D1372" s="32"/>
      <c r="E1372" s="19" t="n">
        <f aca="false">+IF(C1372="EQUIPO",F1372,0)</f>
        <v>0</v>
      </c>
      <c r="F1372" s="33" t="n">
        <v>0</v>
      </c>
      <c r="G1372" s="62"/>
      <c r="H1372" s="35" t="n">
        <v>0</v>
      </c>
      <c r="I1372" s="34" t="n">
        <f aca="false">+IF(E1372=0,0,E1372*0.03)</f>
        <v>0</v>
      </c>
    </row>
    <row r="1373" customFormat="false" ht="15.75" hidden="false" customHeight="true" outlineLevel="0" collapsed="false">
      <c r="A1373" s="30" t="n">
        <v>45323</v>
      </c>
      <c r="B1373" s="31" t="s">
        <v>11</v>
      </c>
      <c r="C1373" s="32"/>
      <c r="D1373" s="32"/>
      <c r="E1373" s="19" t="n">
        <f aca="false">+IF(C1373="EQUIPO",F1373,0)</f>
        <v>0</v>
      </c>
      <c r="F1373" s="33" t="n">
        <v>0</v>
      </c>
      <c r="G1373" s="62"/>
      <c r="H1373" s="35" t="n">
        <v>0</v>
      </c>
      <c r="I1373" s="34" t="n">
        <f aca="false">+IF(E1373=0,0,E1373*0.03)</f>
        <v>0</v>
      </c>
    </row>
    <row r="1374" customFormat="false" ht="15.75" hidden="false" customHeight="true" outlineLevel="0" collapsed="false">
      <c r="A1374" s="30" t="n">
        <v>45323</v>
      </c>
      <c r="B1374" s="31" t="s">
        <v>11</v>
      </c>
      <c r="C1374" s="32"/>
      <c r="D1374" s="32"/>
      <c r="E1374" s="19" t="n">
        <f aca="false">+IF(C1374="EQUIPO",F1374,0)</f>
        <v>0</v>
      </c>
      <c r="F1374" s="33" t="n">
        <v>0</v>
      </c>
      <c r="G1374" s="62"/>
      <c r="H1374" s="35" t="n">
        <v>0</v>
      </c>
      <c r="I1374" s="34" t="n">
        <f aca="false">+IF(E1374=0,0,E1374*0.03)</f>
        <v>0</v>
      </c>
    </row>
    <row r="1375" customFormat="false" ht="15.75" hidden="false" customHeight="true" outlineLevel="0" collapsed="false">
      <c r="A1375" s="30" t="n">
        <v>45323</v>
      </c>
      <c r="B1375" s="31" t="s">
        <v>11</v>
      </c>
      <c r="C1375" s="32"/>
      <c r="D1375" s="32"/>
      <c r="E1375" s="19" t="n">
        <f aca="false">+IF(C1375="EQUIPO",F1375,0)</f>
        <v>0</v>
      </c>
      <c r="F1375" s="33" t="n">
        <v>0</v>
      </c>
      <c r="G1375" s="62"/>
      <c r="H1375" s="35" t="n">
        <v>0</v>
      </c>
      <c r="I1375" s="34" t="n">
        <f aca="false">+IF(E1375=0,0,E1375*0.03)</f>
        <v>0</v>
      </c>
    </row>
    <row r="1376" customFormat="false" ht="15.75" hidden="false" customHeight="true" outlineLevel="0" collapsed="false">
      <c r="A1376" s="30" t="n">
        <v>45323</v>
      </c>
      <c r="B1376" s="31" t="s">
        <v>11</v>
      </c>
      <c r="C1376" s="32"/>
      <c r="D1376" s="32"/>
      <c r="E1376" s="19" t="n">
        <f aca="false">+IF(C1376="EQUIPO",F1376,0)</f>
        <v>0</v>
      </c>
      <c r="F1376" s="33" t="n">
        <v>0</v>
      </c>
      <c r="G1376" s="62"/>
      <c r="H1376" s="35" t="n">
        <v>0</v>
      </c>
      <c r="I1376" s="34" t="n">
        <f aca="false">+IF(E1376=0,0,E1376*0.03)</f>
        <v>0</v>
      </c>
    </row>
    <row r="1377" customFormat="false" ht="15.75" hidden="false" customHeight="true" outlineLevel="0" collapsed="false">
      <c r="A1377" s="30" t="n">
        <v>45323</v>
      </c>
      <c r="B1377" s="31" t="s">
        <v>11</v>
      </c>
      <c r="C1377" s="32"/>
      <c r="D1377" s="32"/>
      <c r="E1377" s="19" t="n">
        <f aca="false">+IF(C1377="EQUIPO",F1377,0)</f>
        <v>0</v>
      </c>
      <c r="F1377" s="33" t="n">
        <v>0</v>
      </c>
      <c r="G1377" s="62"/>
      <c r="H1377" s="35" t="n">
        <v>0</v>
      </c>
      <c r="I1377" s="34" t="n">
        <f aca="false">+IF(E1377=0,0,E1377*0.03)</f>
        <v>0</v>
      </c>
    </row>
    <row r="1378" customFormat="false" ht="15.75" hidden="false" customHeight="true" outlineLevel="0" collapsed="false">
      <c r="A1378" s="30" t="n">
        <v>45323</v>
      </c>
      <c r="B1378" s="31" t="s">
        <v>11</v>
      </c>
      <c r="C1378" s="32"/>
      <c r="D1378" s="32"/>
      <c r="E1378" s="19" t="n">
        <f aca="false">+IF(C1378="EQUIPO",F1378,0)</f>
        <v>0</v>
      </c>
      <c r="F1378" s="33" t="n">
        <v>0</v>
      </c>
      <c r="G1378" s="62"/>
      <c r="H1378" s="35" t="n">
        <v>0</v>
      </c>
      <c r="I1378" s="34" t="n">
        <f aca="false">+IF(E1378=0,0,E1378*0.03)</f>
        <v>0</v>
      </c>
    </row>
    <row r="1379" customFormat="false" ht="15.75" hidden="false" customHeight="true" outlineLevel="0" collapsed="false">
      <c r="A1379" s="30" t="n">
        <v>45323</v>
      </c>
      <c r="B1379" s="31" t="s">
        <v>11</v>
      </c>
      <c r="C1379" s="32"/>
      <c r="D1379" s="32"/>
      <c r="E1379" s="19" t="n">
        <f aca="false">+IF(C1379="EQUIPO",F1379,0)</f>
        <v>0</v>
      </c>
      <c r="F1379" s="33" t="n">
        <v>0</v>
      </c>
      <c r="G1379" s="62"/>
      <c r="H1379" s="35" t="n">
        <v>0</v>
      </c>
      <c r="I1379" s="34" t="n">
        <f aca="false">+IF(E1379=0,0,E1379*0.03)</f>
        <v>0</v>
      </c>
    </row>
    <row r="1380" customFormat="false" ht="15.75" hidden="false" customHeight="true" outlineLevel="0" collapsed="false">
      <c r="A1380" s="30" t="n">
        <v>45323</v>
      </c>
      <c r="B1380" s="31" t="s">
        <v>11</v>
      </c>
      <c r="C1380" s="32"/>
      <c r="D1380" s="32"/>
      <c r="E1380" s="19" t="n">
        <f aca="false">+IF(C1380="EQUIPO",F1380,0)</f>
        <v>0</v>
      </c>
      <c r="F1380" s="33" t="n">
        <v>0</v>
      </c>
      <c r="G1380" s="62"/>
      <c r="H1380" s="35" t="n">
        <v>0</v>
      </c>
      <c r="I1380" s="34" t="n">
        <f aca="false">+IF(E1380=0,0,E1380*0.03)</f>
        <v>0</v>
      </c>
    </row>
    <row r="1381" customFormat="false" ht="15.75" hidden="false" customHeight="true" outlineLevel="0" collapsed="false">
      <c r="A1381" s="30" t="n">
        <v>45323</v>
      </c>
      <c r="B1381" s="31" t="s">
        <v>11</v>
      </c>
      <c r="C1381" s="32"/>
      <c r="D1381" s="32"/>
      <c r="E1381" s="19" t="n">
        <f aca="false">+IF(C1381="EQUIPO",F1381,0)</f>
        <v>0</v>
      </c>
      <c r="F1381" s="33" t="n">
        <v>0</v>
      </c>
      <c r="G1381" s="62"/>
      <c r="H1381" s="35" t="n">
        <v>0</v>
      </c>
      <c r="I1381" s="34" t="n">
        <f aca="false">+IF(E1381=0,0,E1381*0.03)</f>
        <v>0</v>
      </c>
    </row>
    <row r="1382" customFormat="false" ht="15.75" hidden="false" customHeight="true" outlineLevel="0" collapsed="false">
      <c r="A1382" s="30" t="n">
        <v>45323</v>
      </c>
      <c r="B1382" s="31" t="s">
        <v>11</v>
      </c>
      <c r="C1382" s="32"/>
      <c r="D1382" s="32"/>
      <c r="E1382" s="19" t="n">
        <f aca="false">+IF(C1382="EQUIPO",F1382,0)</f>
        <v>0</v>
      </c>
      <c r="F1382" s="33" t="n">
        <v>0</v>
      </c>
      <c r="G1382" s="62"/>
      <c r="H1382" s="35" t="n">
        <v>0</v>
      </c>
      <c r="I1382" s="34" t="n">
        <f aca="false">+IF(E1382=0,0,E1382*0.03)</f>
        <v>0</v>
      </c>
    </row>
    <row r="1383" customFormat="false" ht="15.75" hidden="false" customHeight="true" outlineLevel="0" collapsed="false">
      <c r="A1383" s="30" t="n">
        <v>45323</v>
      </c>
      <c r="B1383" s="31" t="s">
        <v>11</v>
      </c>
      <c r="C1383" s="32"/>
      <c r="D1383" s="32"/>
      <c r="E1383" s="19" t="n">
        <f aca="false">+IF(C1383="EQUIPO",F1383,0)</f>
        <v>0</v>
      </c>
      <c r="F1383" s="33" t="n">
        <v>0</v>
      </c>
      <c r="G1383" s="62"/>
      <c r="H1383" s="35" t="n">
        <v>0</v>
      </c>
      <c r="I1383" s="34" t="n">
        <f aca="false">+IF(E1383=0,0,E1383*0.03)</f>
        <v>0</v>
      </c>
    </row>
    <row r="1384" customFormat="false" ht="15.75" hidden="false" customHeight="true" outlineLevel="0" collapsed="false">
      <c r="A1384" s="30" t="n">
        <v>45323</v>
      </c>
      <c r="B1384" s="31" t="s">
        <v>11</v>
      </c>
      <c r="C1384" s="32"/>
      <c r="D1384" s="32"/>
      <c r="E1384" s="19" t="n">
        <f aca="false">+IF(C1384="EQUIPO",F1384,0)</f>
        <v>0</v>
      </c>
      <c r="F1384" s="33" t="n">
        <v>0</v>
      </c>
      <c r="G1384" s="62"/>
      <c r="H1384" s="35" t="n">
        <v>0</v>
      </c>
      <c r="I1384" s="34" t="n">
        <f aca="false">+IF(E1384=0,0,E1384*0.03)</f>
        <v>0</v>
      </c>
    </row>
    <row r="1385" customFormat="false" ht="15.75" hidden="false" customHeight="true" outlineLevel="0" collapsed="false">
      <c r="A1385" s="30" t="n">
        <v>45323</v>
      </c>
      <c r="B1385" s="31" t="s">
        <v>11</v>
      </c>
      <c r="C1385" s="32"/>
      <c r="D1385" s="32"/>
      <c r="E1385" s="19" t="n">
        <f aca="false">+IF(C1385="EQUIPO",F1385,0)</f>
        <v>0</v>
      </c>
      <c r="F1385" s="33" t="n">
        <v>0</v>
      </c>
      <c r="G1385" s="62"/>
      <c r="H1385" s="35" t="n">
        <v>0</v>
      </c>
      <c r="I1385" s="34" t="n">
        <f aca="false">+IF(E1385=0,0,E1385*0.03)</f>
        <v>0</v>
      </c>
    </row>
    <row r="1386" customFormat="false" ht="15.75" hidden="false" customHeight="true" outlineLevel="0" collapsed="false">
      <c r="A1386" s="30" t="n">
        <v>45323</v>
      </c>
      <c r="B1386" s="31" t="s">
        <v>11</v>
      </c>
      <c r="C1386" s="32"/>
      <c r="D1386" s="32"/>
      <c r="E1386" s="19" t="n">
        <f aca="false">+IF(C1386="EQUIPO",F1386,0)</f>
        <v>0</v>
      </c>
      <c r="F1386" s="33" t="n">
        <v>0</v>
      </c>
      <c r="G1386" s="62"/>
      <c r="H1386" s="35" t="n">
        <v>0</v>
      </c>
      <c r="I1386" s="34" t="n">
        <f aca="false">+IF(E1386=0,0,E1386*0.03)</f>
        <v>0</v>
      </c>
    </row>
    <row r="1387" customFormat="false" ht="15.75" hidden="false" customHeight="true" outlineLevel="0" collapsed="false">
      <c r="A1387" s="30" t="n">
        <v>45323</v>
      </c>
      <c r="B1387" s="31" t="s">
        <v>11</v>
      </c>
      <c r="C1387" s="32"/>
      <c r="D1387" s="32"/>
      <c r="E1387" s="19" t="n">
        <f aca="false">+IF(C1387="EQUIPO",F1387,0)</f>
        <v>0</v>
      </c>
      <c r="F1387" s="33" t="n">
        <v>0</v>
      </c>
      <c r="G1387" s="62"/>
      <c r="H1387" s="35" t="n">
        <v>0</v>
      </c>
      <c r="I1387" s="34" t="n">
        <f aca="false">+IF(E1387=0,0,E1387*0.03)</f>
        <v>0</v>
      </c>
    </row>
    <row r="1388" customFormat="false" ht="15.75" hidden="false" customHeight="true" outlineLevel="0" collapsed="false">
      <c r="A1388" s="30" t="n">
        <v>45323</v>
      </c>
      <c r="B1388" s="31" t="s">
        <v>11</v>
      </c>
      <c r="C1388" s="32"/>
      <c r="D1388" s="32"/>
      <c r="E1388" s="19" t="n">
        <f aca="false">+IF(C1388="EQUIPO",F1388,0)</f>
        <v>0</v>
      </c>
      <c r="F1388" s="33" t="n">
        <v>0</v>
      </c>
      <c r="G1388" s="62"/>
      <c r="H1388" s="35" t="n">
        <v>0</v>
      </c>
      <c r="I1388" s="34" t="n">
        <f aca="false">+IF(E1388=0,0,E1388*0.03)</f>
        <v>0</v>
      </c>
    </row>
    <row r="1389" customFormat="false" ht="15.75" hidden="false" customHeight="true" outlineLevel="0" collapsed="false">
      <c r="A1389" s="30" t="n">
        <v>45323</v>
      </c>
      <c r="B1389" s="31" t="s">
        <v>11</v>
      </c>
      <c r="C1389" s="32"/>
      <c r="D1389" s="32"/>
      <c r="E1389" s="19" t="n">
        <f aca="false">+IF(C1389="EQUIPO",F1389,0)</f>
        <v>0</v>
      </c>
      <c r="F1389" s="33" t="n">
        <v>0</v>
      </c>
      <c r="G1389" s="62"/>
      <c r="H1389" s="35" t="n">
        <v>0</v>
      </c>
      <c r="I1389" s="34" t="n">
        <f aca="false">+IF(E1389=0,0,E1389*0.03)</f>
        <v>0</v>
      </c>
    </row>
    <row r="1390" customFormat="false" ht="15.75" hidden="false" customHeight="true" outlineLevel="0" collapsed="false">
      <c r="A1390" s="30" t="n">
        <v>45323</v>
      </c>
      <c r="B1390" s="31" t="s">
        <v>11</v>
      </c>
      <c r="C1390" s="32"/>
      <c r="D1390" s="32"/>
      <c r="E1390" s="19" t="n">
        <f aca="false">+IF(C1390="EQUIPO",F1390,0)</f>
        <v>0</v>
      </c>
      <c r="F1390" s="33" t="n">
        <v>0</v>
      </c>
      <c r="G1390" s="62"/>
      <c r="H1390" s="35" t="n">
        <v>0</v>
      </c>
      <c r="I1390" s="34" t="n">
        <f aca="false">+IF(E1390=0,0,E1390*0.03)</f>
        <v>0</v>
      </c>
    </row>
    <row r="1391" customFormat="false" ht="15.75" hidden="false" customHeight="true" outlineLevel="0" collapsed="false">
      <c r="A1391" s="30" t="n">
        <v>45323</v>
      </c>
      <c r="B1391" s="31" t="s">
        <v>11</v>
      </c>
      <c r="C1391" s="32"/>
      <c r="D1391" s="32"/>
      <c r="E1391" s="19" t="n">
        <f aca="false">+IF(C1391="EQUIPO",F1391,0)</f>
        <v>0</v>
      </c>
      <c r="F1391" s="33" t="n">
        <v>0</v>
      </c>
      <c r="G1391" s="62"/>
      <c r="H1391" s="35" t="n">
        <v>0</v>
      </c>
      <c r="I1391" s="34" t="n">
        <f aca="false">+IF(E1391=0,0,E1391*0.03)</f>
        <v>0</v>
      </c>
    </row>
    <row r="1392" customFormat="false" ht="15.75" hidden="false" customHeight="true" outlineLevel="0" collapsed="false">
      <c r="A1392" s="30" t="n">
        <v>45323</v>
      </c>
      <c r="B1392" s="31" t="s">
        <v>11</v>
      </c>
      <c r="C1392" s="32"/>
      <c r="D1392" s="32"/>
      <c r="E1392" s="19" t="n">
        <f aca="false">+IF(C1392="EQUIPO",F1392,0)</f>
        <v>0</v>
      </c>
      <c r="F1392" s="33" t="n">
        <v>0</v>
      </c>
      <c r="G1392" s="62"/>
      <c r="H1392" s="35" t="n">
        <v>0</v>
      </c>
      <c r="I1392" s="34" t="n">
        <f aca="false">+IF(E1392=0,0,E1392*0.03)</f>
        <v>0</v>
      </c>
    </row>
    <row r="1393" customFormat="false" ht="15.75" hidden="false" customHeight="true" outlineLevel="0" collapsed="false">
      <c r="A1393" s="30" t="n">
        <v>45323</v>
      </c>
      <c r="B1393" s="31" t="s">
        <v>11</v>
      </c>
      <c r="C1393" s="32"/>
      <c r="D1393" s="32"/>
      <c r="E1393" s="19" t="n">
        <f aca="false">+IF(C1393="EQUIPO",F1393,0)</f>
        <v>0</v>
      </c>
      <c r="F1393" s="33" t="n">
        <v>0</v>
      </c>
      <c r="G1393" s="62"/>
      <c r="H1393" s="35" t="n">
        <v>0</v>
      </c>
      <c r="I1393" s="34" t="n">
        <f aca="false">+IF(E1393=0,0,E1393*0.03)</f>
        <v>0</v>
      </c>
    </row>
    <row r="1394" customFormat="false" ht="15.75" hidden="false" customHeight="true" outlineLevel="0" collapsed="false">
      <c r="A1394" s="30" t="n">
        <v>45323</v>
      </c>
      <c r="B1394" s="31" t="s">
        <v>11</v>
      </c>
      <c r="C1394" s="32"/>
      <c r="D1394" s="32"/>
      <c r="E1394" s="19" t="n">
        <f aca="false">+IF(C1394="EQUIPO",F1394,0)</f>
        <v>0</v>
      </c>
      <c r="F1394" s="33" t="n">
        <v>0</v>
      </c>
      <c r="G1394" s="62"/>
      <c r="H1394" s="35" t="n">
        <v>0</v>
      </c>
      <c r="I1394" s="34" t="n">
        <f aca="false">+IF(E1394=0,0,E1394*0.03)</f>
        <v>0</v>
      </c>
    </row>
    <row r="1395" customFormat="false" ht="15.75" hidden="false" customHeight="true" outlineLevel="0" collapsed="false">
      <c r="A1395" s="30" t="n">
        <v>45323</v>
      </c>
      <c r="B1395" s="31" t="s">
        <v>11</v>
      </c>
      <c r="C1395" s="32"/>
      <c r="D1395" s="32"/>
      <c r="E1395" s="19" t="n">
        <f aca="false">+IF(C1395="EQUIPO",F1395,0)</f>
        <v>0</v>
      </c>
      <c r="F1395" s="33" t="n">
        <v>0</v>
      </c>
      <c r="G1395" s="62"/>
      <c r="H1395" s="35" t="n">
        <v>0</v>
      </c>
      <c r="I1395" s="34" t="n">
        <f aca="false">+IF(E1395=0,0,E1395*0.03)</f>
        <v>0</v>
      </c>
    </row>
    <row r="1396" customFormat="false" ht="15.75" hidden="false" customHeight="true" outlineLevel="0" collapsed="false">
      <c r="A1396" s="30" t="n">
        <v>45323</v>
      </c>
      <c r="B1396" s="31" t="s">
        <v>11</v>
      </c>
      <c r="C1396" s="32"/>
      <c r="D1396" s="32"/>
      <c r="E1396" s="19" t="n">
        <f aca="false">+IF(C1396="EQUIPO",F1396,0)</f>
        <v>0</v>
      </c>
      <c r="F1396" s="33" t="n">
        <v>0</v>
      </c>
      <c r="G1396" s="62"/>
      <c r="H1396" s="35" t="n">
        <v>0</v>
      </c>
      <c r="I1396" s="34" t="n">
        <f aca="false">+IF(E1396=0,0,E1396*0.03)</f>
        <v>0</v>
      </c>
    </row>
    <row r="1397" customFormat="false" ht="15.75" hidden="false" customHeight="true" outlineLevel="0" collapsed="false">
      <c r="A1397" s="30" t="n">
        <v>45323</v>
      </c>
      <c r="B1397" s="31" t="s">
        <v>11</v>
      </c>
      <c r="C1397" s="32"/>
      <c r="D1397" s="32"/>
      <c r="E1397" s="19" t="n">
        <f aca="false">+IF(C1397="EQUIPO",F1397,0)</f>
        <v>0</v>
      </c>
      <c r="F1397" s="33" t="n">
        <v>0</v>
      </c>
      <c r="G1397" s="62"/>
      <c r="H1397" s="35" t="n">
        <v>0</v>
      </c>
      <c r="I1397" s="34" t="n">
        <f aca="false">+IF(E1397=0,0,E1397*0.03)</f>
        <v>0</v>
      </c>
    </row>
    <row r="1398" customFormat="false" ht="15.75" hidden="false" customHeight="true" outlineLevel="0" collapsed="false">
      <c r="A1398" s="30" t="n">
        <v>45323</v>
      </c>
      <c r="B1398" s="31" t="s">
        <v>11</v>
      </c>
      <c r="C1398" s="32"/>
      <c r="D1398" s="32"/>
      <c r="E1398" s="19" t="n">
        <f aca="false">+IF(C1398="EQUIPO",F1398,0)</f>
        <v>0</v>
      </c>
      <c r="F1398" s="33" t="n">
        <v>0</v>
      </c>
      <c r="G1398" s="62"/>
      <c r="H1398" s="35" t="n">
        <v>0</v>
      </c>
      <c r="I1398" s="34" t="n">
        <f aca="false">+IF(E1398=0,0,E1398*0.03)</f>
        <v>0</v>
      </c>
    </row>
    <row r="1399" customFormat="false" ht="15.75" hidden="false" customHeight="true" outlineLevel="0" collapsed="false">
      <c r="A1399" s="30" t="n">
        <v>45323</v>
      </c>
      <c r="B1399" s="31" t="s">
        <v>11</v>
      </c>
      <c r="C1399" s="32"/>
      <c r="D1399" s="32"/>
      <c r="E1399" s="19" t="n">
        <f aca="false">+IF(C1399="EQUIPO",F1399,0)</f>
        <v>0</v>
      </c>
      <c r="F1399" s="33" t="n">
        <v>0</v>
      </c>
      <c r="G1399" s="62"/>
      <c r="H1399" s="35" t="n">
        <v>0</v>
      </c>
      <c r="I1399" s="34" t="n">
        <f aca="false">+IF(E1399=0,0,E1399*0.03)</f>
        <v>0</v>
      </c>
    </row>
    <row r="1400" customFormat="false" ht="15.75" hidden="false" customHeight="true" outlineLevel="0" collapsed="false">
      <c r="A1400" s="30" t="n">
        <v>45323</v>
      </c>
      <c r="B1400" s="31" t="s">
        <v>11</v>
      </c>
      <c r="C1400" s="32"/>
      <c r="D1400" s="32"/>
      <c r="E1400" s="19" t="n">
        <f aca="false">+IF(C1400="EQUIPO",F1400,0)</f>
        <v>0</v>
      </c>
      <c r="F1400" s="33" t="n">
        <v>0</v>
      </c>
      <c r="G1400" s="62"/>
      <c r="H1400" s="35" t="n">
        <v>0</v>
      </c>
      <c r="I1400" s="34" t="n">
        <f aca="false">+IF(E1400=0,0,E1400*0.03)</f>
        <v>0</v>
      </c>
    </row>
    <row r="1401" customFormat="false" ht="15.75" hidden="false" customHeight="true" outlineLevel="0" collapsed="false">
      <c r="A1401" s="30" t="n">
        <v>45323</v>
      </c>
      <c r="B1401" s="31" t="s">
        <v>11</v>
      </c>
      <c r="C1401" s="32"/>
      <c r="D1401" s="32"/>
      <c r="E1401" s="19" t="n">
        <f aca="false">+IF(C1401="EQUIPO",F1401,0)</f>
        <v>0</v>
      </c>
      <c r="F1401" s="33" t="n">
        <v>0</v>
      </c>
      <c r="G1401" s="62"/>
      <c r="H1401" s="35" t="n">
        <v>0</v>
      </c>
      <c r="I1401" s="34" t="n">
        <f aca="false">+IF(E1401=0,0,E1401*0.03)</f>
        <v>0</v>
      </c>
    </row>
    <row r="1402" customFormat="false" ht="15.75" hidden="false" customHeight="true" outlineLevel="0" collapsed="false">
      <c r="A1402" s="30" t="n">
        <v>45323</v>
      </c>
      <c r="B1402" s="31" t="s">
        <v>11</v>
      </c>
      <c r="C1402" s="32"/>
      <c r="D1402" s="32"/>
      <c r="E1402" s="19" t="n">
        <f aca="false">+IF(C1402="EQUIPO",F1402,0)</f>
        <v>0</v>
      </c>
      <c r="F1402" s="33" t="n">
        <v>0</v>
      </c>
      <c r="G1402" s="62"/>
      <c r="H1402" s="35" t="n">
        <v>0</v>
      </c>
      <c r="I1402" s="34" t="n">
        <f aca="false">+IF(E1402=0,0,E1402*0.03)</f>
        <v>0</v>
      </c>
    </row>
    <row r="1403" customFormat="false" ht="15.75" hidden="false" customHeight="true" outlineLevel="0" collapsed="false">
      <c r="A1403" s="30" t="n">
        <v>45323</v>
      </c>
      <c r="B1403" s="31" t="s">
        <v>11</v>
      </c>
      <c r="C1403" s="32"/>
      <c r="D1403" s="32"/>
      <c r="E1403" s="19" t="n">
        <f aca="false">+IF(C1403="EQUIPO",F1403,0)</f>
        <v>0</v>
      </c>
      <c r="F1403" s="33" t="n">
        <v>0</v>
      </c>
      <c r="G1403" s="62"/>
      <c r="H1403" s="35" t="n">
        <v>0</v>
      </c>
      <c r="I1403" s="34" t="n">
        <f aca="false">+IF(E1403=0,0,E1403*0.03)</f>
        <v>0</v>
      </c>
    </row>
    <row r="1404" customFormat="false" ht="15.75" hidden="false" customHeight="true" outlineLevel="0" collapsed="false">
      <c r="A1404" s="30" t="n">
        <v>45323</v>
      </c>
      <c r="B1404" s="31" t="s">
        <v>11</v>
      </c>
      <c r="C1404" s="32"/>
      <c r="D1404" s="32"/>
      <c r="E1404" s="19" t="n">
        <f aca="false">+IF(C1404="EQUIPO",F1404,0)</f>
        <v>0</v>
      </c>
      <c r="F1404" s="33" t="n">
        <v>0</v>
      </c>
      <c r="G1404" s="62"/>
      <c r="H1404" s="35" t="n">
        <v>0</v>
      </c>
      <c r="I1404" s="34" t="n">
        <f aca="false">+IF(E1404=0,0,E1404*0.03)</f>
        <v>0</v>
      </c>
    </row>
    <row r="1405" customFormat="false" ht="15.75" hidden="false" customHeight="true" outlineLevel="0" collapsed="false">
      <c r="A1405" s="30" t="n">
        <v>45323</v>
      </c>
      <c r="B1405" s="31" t="s">
        <v>11</v>
      </c>
      <c r="C1405" s="32"/>
      <c r="D1405" s="32"/>
      <c r="E1405" s="19" t="n">
        <f aca="false">+IF(C1405="EQUIPO",F1405,0)</f>
        <v>0</v>
      </c>
      <c r="F1405" s="33" t="n">
        <v>0</v>
      </c>
      <c r="G1405" s="62"/>
      <c r="H1405" s="35" t="n">
        <v>0</v>
      </c>
      <c r="I1405" s="34" t="n">
        <f aca="false">+IF(E1405=0,0,E1405*0.03)</f>
        <v>0</v>
      </c>
    </row>
    <row r="1406" customFormat="false" ht="15.75" hidden="false" customHeight="true" outlineLevel="0" collapsed="false">
      <c r="A1406" s="30" t="n">
        <v>45323</v>
      </c>
      <c r="B1406" s="31" t="s">
        <v>11</v>
      </c>
      <c r="C1406" s="32"/>
      <c r="D1406" s="32"/>
      <c r="E1406" s="19" t="n">
        <f aca="false">+IF(C1406="EQUIPO",F1406,0)</f>
        <v>0</v>
      </c>
      <c r="F1406" s="33" t="n">
        <v>0</v>
      </c>
      <c r="G1406" s="62"/>
      <c r="H1406" s="35" t="n">
        <v>0</v>
      </c>
      <c r="I1406" s="34" t="n">
        <f aca="false">+IF(E1406=0,0,E1406*0.03)</f>
        <v>0</v>
      </c>
    </row>
    <row r="1407" customFormat="false" ht="15.75" hidden="false" customHeight="true" outlineLevel="0" collapsed="false">
      <c r="A1407" s="30" t="n">
        <v>45323</v>
      </c>
      <c r="B1407" s="31" t="s">
        <v>11</v>
      </c>
      <c r="C1407" s="32"/>
      <c r="D1407" s="32"/>
      <c r="E1407" s="19" t="n">
        <f aca="false">+IF(C1407="EQUIPO",F1407,0)</f>
        <v>0</v>
      </c>
      <c r="F1407" s="33" t="n">
        <v>0</v>
      </c>
      <c r="G1407" s="62"/>
      <c r="H1407" s="35" t="n">
        <v>0</v>
      </c>
      <c r="I1407" s="34" t="n">
        <f aca="false">+IF(E1407=0,0,E1407*0.03)</f>
        <v>0</v>
      </c>
    </row>
    <row r="1408" customFormat="false" ht="15.75" hidden="false" customHeight="true" outlineLevel="0" collapsed="false">
      <c r="A1408" s="30" t="n">
        <v>45323</v>
      </c>
      <c r="B1408" s="31" t="s">
        <v>11</v>
      </c>
      <c r="C1408" s="32"/>
      <c r="D1408" s="32"/>
      <c r="E1408" s="19" t="n">
        <f aca="false">+IF(C1408="EQUIPO",F1408,0)</f>
        <v>0</v>
      </c>
      <c r="F1408" s="33" t="n">
        <v>0</v>
      </c>
      <c r="G1408" s="62"/>
      <c r="H1408" s="35" t="n">
        <v>0</v>
      </c>
      <c r="I1408" s="34" t="n">
        <f aca="false">+IF(E1408=0,0,E1408*0.03)</f>
        <v>0</v>
      </c>
    </row>
    <row r="1409" customFormat="false" ht="15.75" hidden="false" customHeight="true" outlineLevel="0" collapsed="false">
      <c r="A1409" s="30" t="n">
        <v>45323</v>
      </c>
      <c r="B1409" s="31" t="s">
        <v>11</v>
      </c>
      <c r="C1409" s="32"/>
      <c r="D1409" s="32"/>
      <c r="E1409" s="19" t="n">
        <f aca="false">+IF(C1409="EQUIPO",F1409,0)</f>
        <v>0</v>
      </c>
      <c r="F1409" s="33" t="n">
        <v>0</v>
      </c>
      <c r="G1409" s="62"/>
      <c r="H1409" s="35" t="n">
        <v>0</v>
      </c>
      <c r="I1409" s="34" t="n">
        <f aca="false">+IF(E1409=0,0,E1409*0.03)</f>
        <v>0</v>
      </c>
    </row>
    <row r="1410" customFormat="false" ht="15.75" hidden="false" customHeight="true" outlineLevel="0" collapsed="false">
      <c r="A1410" s="30" t="n">
        <v>45323</v>
      </c>
      <c r="B1410" s="31" t="s">
        <v>11</v>
      </c>
      <c r="C1410" s="32"/>
      <c r="D1410" s="32"/>
      <c r="E1410" s="19" t="n">
        <f aca="false">+IF(C1410="EQUIPO",F1410,0)</f>
        <v>0</v>
      </c>
      <c r="F1410" s="33" t="n">
        <v>0</v>
      </c>
      <c r="G1410" s="62"/>
      <c r="H1410" s="35" t="n">
        <v>0</v>
      </c>
      <c r="I1410" s="34" t="n">
        <f aca="false">+IF(E1410=0,0,E1410*0.03)</f>
        <v>0</v>
      </c>
    </row>
    <row r="1411" customFormat="false" ht="15.75" hidden="false" customHeight="true" outlineLevel="0" collapsed="false">
      <c r="A1411" s="30" t="n">
        <v>45323</v>
      </c>
      <c r="B1411" s="31" t="s">
        <v>11</v>
      </c>
      <c r="C1411" s="32"/>
      <c r="D1411" s="32"/>
      <c r="E1411" s="19" t="n">
        <f aca="false">+IF(C1411="EQUIPO",F1411,0)</f>
        <v>0</v>
      </c>
      <c r="F1411" s="33" t="n">
        <v>0</v>
      </c>
      <c r="G1411" s="62"/>
      <c r="H1411" s="35" t="n">
        <v>0</v>
      </c>
      <c r="I1411" s="34" t="n">
        <f aca="false">+IF(E1411=0,0,E1411*0.03)</f>
        <v>0</v>
      </c>
    </row>
    <row r="1412" customFormat="false" ht="15.75" hidden="false" customHeight="true" outlineLevel="0" collapsed="false">
      <c r="A1412" s="30" t="n">
        <v>45323</v>
      </c>
      <c r="B1412" s="31" t="s">
        <v>11</v>
      </c>
      <c r="C1412" s="32"/>
      <c r="D1412" s="32"/>
      <c r="E1412" s="19" t="n">
        <f aca="false">+IF(C1412="EQUIPO",F1412,0)</f>
        <v>0</v>
      </c>
      <c r="F1412" s="33" t="n">
        <v>0</v>
      </c>
      <c r="G1412" s="62"/>
      <c r="H1412" s="35" t="n">
        <v>0</v>
      </c>
      <c r="I1412" s="34" t="n">
        <f aca="false">+IF(E1412=0,0,E1412*0.03)</f>
        <v>0</v>
      </c>
    </row>
    <row r="1413" customFormat="false" ht="15.75" hidden="false" customHeight="true" outlineLevel="0" collapsed="false">
      <c r="A1413" s="30" t="n">
        <v>45323</v>
      </c>
      <c r="B1413" s="31" t="s">
        <v>11</v>
      </c>
      <c r="C1413" s="32"/>
      <c r="D1413" s="32"/>
      <c r="E1413" s="19" t="n">
        <f aca="false">+IF(C1413="EQUIPO",F1413,0)</f>
        <v>0</v>
      </c>
      <c r="F1413" s="33" t="n">
        <v>0</v>
      </c>
      <c r="G1413" s="62"/>
      <c r="H1413" s="35" t="n">
        <v>0</v>
      </c>
      <c r="I1413" s="34" t="n">
        <f aca="false">+IF(E1413=0,0,E1413*0.03)</f>
        <v>0</v>
      </c>
    </row>
    <row r="1414" customFormat="false" ht="15.75" hidden="false" customHeight="true" outlineLevel="0" collapsed="false">
      <c r="A1414" s="30" t="n">
        <v>45323</v>
      </c>
      <c r="B1414" s="31" t="s">
        <v>11</v>
      </c>
      <c r="C1414" s="32"/>
      <c r="D1414" s="32"/>
      <c r="E1414" s="19" t="n">
        <f aca="false">+IF(C1414="EQUIPO",F1414,0)</f>
        <v>0</v>
      </c>
      <c r="F1414" s="33" t="n">
        <v>0</v>
      </c>
      <c r="G1414" s="62"/>
      <c r="H1414" s="35" t="n">
        <v>0</v>
      </c>
      <c r="I1414" s="34" t="n">
        <f aca="false">+IF(E1414=0,0,E1414*0.03)</f>
        <v>0</v>
      </c>
    </row>
    <row r="1415" customFormat="false" ht="15.75" hidden="false" customHeight="true" outlineLevel="0" collapsed="false">
      <c r="A1415" s="30" t="n">
        <v>45323</v>
      </c>
      <c r="B1415" s="31" t="s">
        <v>11</v>
      </c>
      <c r="C1415" s="32"/>
      <c r="D1415" s="32"/>
      <c r="E1415" s="19" t="n">
        <f aca="false">+IF(C1415="EQUIPO",F1415,0)</f>
        <v>0</v>
      </c>
      <c r="F1415" s="33" t="n">
        <v>0</v>
      </c>
      <c r="G1415" s="62"/>
      <c r="H1415" s="35" t="n">
        <v>0</v>
      </c>
      <c r="I1415" s="34" t="n">
        <f aca="false">+IF(E1415=0,0,E1415*0.03)</f>
        <v>0</v>
      </c>
    </row>
    <row r="1416" customFormat="false" ht="15.75" hidden="false" customHeight="true" outlineLevel="0" collapsed="false">
      <c r="A1416" s="30" t="n">
        <v>45323</v>
      </c>
      <c r="B1416" s="31" t="s">
        <v>11</v>
      </c>
      <c r="C1416" s="32"/>
      <c r="D1416" s="32"/>
      <c r="E1416" s="19" t="n">
        <f aca="false">+IF(C1416="EQUIPO",F1416,0)</f>
        <v>0</v>
      </c>
      <c r="F1416" s="33" t="n">
        <v>0</v>
      </c>
      <c r="G1416" s="62"/>
      <c r="H1416" s="35" t="n">
        <v>0</v>
      </c>
      <c r="I1416" s="34" t="n">
        <f aca="false">+IF(E1416=0,0,E1416*0.03)</f>
        <v>0</v>
      </c>
    </row>
    <row r="1417" customFormat="false" ht="15.75" hidden="false" customHeight="true" outlineLevel="0" collapsed="false">
      <c r="A1417" s="30" t="n">
        <v>45323</v>
      </c>
      <c r="B1417" s="31" t="s">
        <v>11</v>
      </c>
      <c r="C1417" s="32"/>
      <c r="D1417" s="32"/>
      <c r="E1417" s="19" t="n">
        <f aca="false">+IF(C1417="EQUIPO",F1417,0)</f>
        <v>0</v>
      </c>
      <c r="F1417" s="33" t="n">
        <v>0</v>
      </c>
      <c r="G1417" s="62"/>
      <c r="H1417" s="35" t="n">
        <v>0</v>
      </c>
      <c r="I1417" s="34" t="n">
        <f aca="false">+IF(E1417=0,0,E1417*0.03)</f>
        <v>0</v>
      </c>
    </row>
    <row r="1418" customFormat="false" ht="15.75" hidden="false" customHeight="true" outlineLevel="0" collapsed="false">
      <c r="A1418" s="30" t="n">
        <v>45323</v>
      </c>
      <c r="B1418" s="31" t="s">
        <v>11</v>
      </c>
      <c r="C1418" s="32"/>
      <c r="D1418" s="32"/>
      <c r="E1418" s="19" t="n">
        <f aca="false">+IF(C1418="EQUIPO",F1418,0)</f>
        <v>0</v>
      </c>
      <c r="F1418" s="33" t="n">
        <v>0</v>
      </c>
      <c r="G1418" s="62"/>
      <c r="H1418" s="35" t="n">
        <v>0</v>
      </c>
      <c r="I1418" s="34" t="n">
        <f aca="false">+IF(E1418=0,0,E1418*0.03)</f>
        <v>0</v>
      </c>
    </row>
    <row r="1419" customFormat="false" ht="15.75" hidden="false" customHeight="true" outlineLevel="0" collapsed="false">
      <c r="A1419" s="30" t="n">
        <v>45323</v>
      </c>
      <c r="B1419" s="31" t="s">
        <v>11</v>
      </c>
      <c r="C1419" s="32"/>
      <c r="D1419" s="32"/>
      <c r="E1419" s="19" t="n">
        <f aca="false">+IF(C1419="EQUIPO",F1419,0)</f>
        <v>0</v>
      </c>
      <c r="F1419" s="33" t="n">
        <v>0</v>
      </c>
      <c r="G1419" s="62"/>
      <c r="H1419" s="35" t="n">
        <v>0</v>
      </c>
      <c r="I1419" s="34" t="n">
        <f aca="false">+IF(E1419=0,0,E1419*0.03)</f>
        <v>0</v>
      </c>
    </row>
    <row r="1420" customFormat="false" ht="15.75" hidden="false" customHeight="true" outlineLevel="0" collapsed="false">
      <c r="A1420" s="30" t="n">
        <v>45323</v>
      </c>
      <c r="B1420" s="31" t="s">
        <v>11</v>
      </c>
      <c r="C1420" s="32"/>
      <c r="D1420" s="32"/>
      <c r="E1420" s="19" t="n">
        <f aca="false">+IF(C1420="EQUIPO",F1420,0)</f>
        <v>0</v>
      </c>
      <c r="F1420" s="33" t="n">
        <v>0</v>
      </c>
      <c r="G1420" s="62"/>
      <c r="H1420" s="35" t="n">
        <v>0</v>
      </c>
      <c r="I1420" s="34" t="n">
        <f aca="false">+IF(E1420=0,0,E1420*0.03)</f>
        <v>0</v>
      </c>
    </row>
    <row r="1421" customFormat="false" ht="15.75" hidden="false" customHeight="true" outlineLevel="0" collapsed="false">
      <c r="A1421" s="30" t="n">
        <v>45323</v>
      </c>
      <c r="B1421" s="31" t="s">
        <v>11</v>
      </c>
      <c r="C1421" s="32"/>
      <c r="D1421" s="32"/>
      <c r="E1421" s="19" t="n">
        <f aca="false">+IF(C1421="EQUIPO",F1421,0)</f>
        <v>0</v>
      </c>
      <c r="F1421" s="33" t="n">
        <v>0</v>
      </c>
      <c r="G1421" s="62"/>
      <c r="H1421" s="35" t="n">
        <v>0</v>
      </c>
      <c r="I1421" s="34" t="n">
        <f aca="false">+IF(E1421=0,0,E1421*0.03)</f>
        <v>0</v>
      </c>
    </row>
    <row r="1422" customFormat="false" ht="15.75" hidden="false" customHeight="true" outlineLevel="0" collapsed="false">
      <c r="A1422" s="30" t="n">
        <v>45323</v>
      </c>
      <c r="B1422" s="31" t="s">
        <v>11</v>
      </c>
      <c r="C1422" s="32"/>
      <c r="D1422" s="32"/>
      <c r="E1422" s="19" t="n">
        <f aca="false">+IF(C1422="EQUIPO",F1422,0)</f>
        <v>0</v>
      </c>
      <c r="F1422" s="33" t="n">
        <v>0</v>
      </c>
      <c r="G1422" s="62"/>
      <c r="H1422" s="35" t="n">
        <v>0</v>
      </c>
      <c r="I1422" s="34" t="n">
        <f aca="false">+IF(E1422=0,0,E1422*0.03)</f>
        <v>0</v>
      </c>
    </row>
    <row r="1423" customFormat="false" ht="15.75" hidden="false" customHeight="true" outlineLevel="0" collapsed="false">
      <c r="A1423" s="30" t="n">
        <v>45323</v>
      </c>
      <c r="B1423" s="31" t="s">
        <v>11</v>
      </c>
      <c r="C1423" s="32"/>
      <c r="D1423" s="32"/>
      <c r="E1423" s="19" t="n">
        <f aca="false">+IF(C1423="EQUIPO",F1423,0)</f>
        <v>0</v>
      </c>
      <c r="F1423" s="33" t="n">
        <v>0</v>
      </c>
      <c r="G1423" s="62"/>
      <c r="H1423" s="35" t="n">
        <v>0</v>
      </c>
      <c r="I1423" s="34" t="n">
        <f aca="false">+IF(E1423=0,0,E1423*0.03)</f>
        <v>0</v>
      </c>
    </row>
    <row r="1424" customFormat="false" ht="15.75" hidden="false" customHeight="true" outlineLevel="0" collapsed="false">
      <c r="A1424" s="30" t="n">
        <v>45323</v>
      </c>
      <c r="B1424" s="31" t="s">
        <v>11</v>
      </c>
      <c r="C1424" s="32"/>
      <c r="D1424" s="32"/>
      <c r="E1424" s="19" t="n">
        <f aca="false">+IF(C1424="EQUIPO",F1424,0)</f>
        <v>0</v>
      </c>
      <c r="F1424" s="33" t="n">
        <v>0</v>
      </c>
      <c r="G1424" s="62"/>
      <c r="H1424" s="35" t="n">
        <v>0</v>
      </c>
      <c r="I1424" s="34" t="n">
        <f aca="false">+IF(E1424=0,0,E1424*0.03)</f>
        <v>0</v>
      </c>
    </row>
    <row r="1425" customFormat="false" ht="15.75" hidden="false" customHeight="true" outlineLevel="0" collapsed="false">
      <c r="A1425" s="30" t="n">
        <v>45323</v>
      </c>
      <c r="B1425" s="31" t="s">
        <v>11</v>
      </c>
      <c r="C1425" s="32"/>
      <c r="D1425" s="32"/>
      <c r="E1425" s="19" t="n">
        <f aca="false">+IF(C1425="EQUIPO",F1425,0)</f>
        <v>0</v>
      </c>
      <c r="F1425" s="33" t="n">
        <v>0</v>
      </c>
      <c r="G1425" s="62"/>
      <c r="H1425" s="35" t="n">
        <v>0</v>
      </c>
      <c r="I1425" s="34" t="n">
        <f aca="false">+IF(E1425=0,0,E1425*0.03)</f>
        <v>0</v>
      </c>
    </row>
    <row r="1426" customFormat="false" ht="15.75" hidden="false" customHeight="true" outlineLevel="0" collapsed="false">
      <c r="A1426" s="30" t="n">
        <v>45323</v>
      </c>
      <c r="B1426" s="31" t="s">
        <v>11</v>
      </c>
      <c r="C1426" s="32"/>
      <c r="D1426" s="32"/>
      <c r="E1426" s="19" t="n">
        <f aca="false">+IF(C1426="EQUIPO",F1426,0)</f>
        <v>0</v>
      </c>
      <c r="F1426" s="33" t="n">
        <v>0</v>
      </c>
      <c r="G1426" s="62"/>
      <c r="H1426" s="35" t="n">
        <v>0</v>
      </c>
      <c r="I1426" s="34" t="n">
        <f aca="false">+IF(E1426=0,0,E1426*0.03)</f>
        <v>0</v>
      </c>
    </row>
    <row r="1427" customFormat="false" ht="15.75" hidden="false" customHeight="true" outlineLevel="0" collapsed="false">
      <c r="A1427" s="30" t="n">
        <v>45323</v>
      </c>
      <c r="B1427" s="31" t="s">
        <v>11</v>
      </c>
      <c r="C1427" s="32"/>
      <c r="D1427" s="32"/>
      <c r="E1427" s="19" t="n">
        <f aca="false">+IF(C1427="EQUIPO",F1427,0)</f>
        <v>0</v>
      </c>
      <c r="F1427" s="33" t="n">
        <v>0</v>
      </c>
      <c r="G1427" s="62"/>
      <c r="H1427" s="35" t="n">
        <v>0</v>
      </c>
      <c r="I1427" s="34" t="n">
        <f aca="false">+IF(E1427=0,0,E1427*0.03)</f>
        <v>0</v>
      </c>
    </row>
    <row r="1428" customFormat="false" ht="15.75" hidden="false" customHeight="true" outlineLevel="0" collapsed="false">
      <c r="A1428" s="30" t="n">
        <v>45323</v>
      </c>
      <c r="B1428" s="31" t="s">
        <v>11</v>
      </c>
      <c r="C1428" s="32"/>
      <c r="D1428" s="32"/>
      <c r="E1428" s="19" t="n">
        <f aca="false">+IF(C1428="EQUIPO",F1428,0)</f>
        <v>0</v>
      </c>
      <c r="F1428" s="33" t="n">
        <v>0</v>
      </c>
      <c r="G1428" s="62"/>
      <c r="H1428" s="35" t="n">
        <v>0</v>
      </c>
      <c r="I1428" s="34" t="n">
        <f aca="false">+IF(E1428=0,0,E1428*0.03)</f>
        <v>0</v>
      </c>
    </row>
    <row r="1429" customFormat="false" ht="15.75" hidden="false" customHeight="true" outlineLevel="0" collapsed="false">
      <c r="A1429" s="30" t="n">
        <v>45323</v>
      </c>
      <c r="B1429" s="31" t="s">
        <v>11</v>
      </c>
      <c r="C1429" s="32"/>
      <c r="D1429" s="32"/>
      <c r="E1429" s="19" t="n">
        <f aca="false">+IF(C1429="EQUIPO",F1429,0)</f>
        <v>0</v>
      </c>
      <c r="F1429" s="33" t="n">
        <v>0</v>
      </c>
      <c r="G1429" s="62"/>
      <c r="H1429" s="35" t="n">
        <v>0</v>
      </c>
      <c r="I1429" s="34" t="n">
        <f aca="false">+IF(E1429=0,0,E1429*0.03)</f>
        <v>0</v>
      </c>
    </row>
    <row r="1430" customFormat="false" ht="15.75" hidden="false" customHeight="true" outlineLevel="0" collapsed="false">
      <c r="A1430" s="30" t="n">
        <v>45323</v>
      </c>
      <c r="B1430" s="31" t="s">
        <v>11</v>
      </c>
      <c r="C1430" s="32"/>
      <c r="D1430" s="32"/>
      <c r="E1430" s="19" t="n">
        <f aca="false">+IF(C1430="EQUIPO",F1430,0)</f>
        <v>0</v>
      </c>
      <c r="F1430" s="33" t="n">
        <v>0</v>
      </c>
      <c r="G1430" s="62"/>
      <c r="H1430" s="35" t="n">
        <v>0</v>
      </c>
      <c r="I1430" s="34" t="n">
        <f aca="false">+IF(E1430=0,0,E1430*0.03)</f>
        <v>0</v>
      </c>
    </row>
    <row r="1431" customFormat="false" ht="15.75" hidden="false" customHeight="true" outlineLevel="0" collapsed="false">
      <c r="A1431" s="30" t="n">
        <v>45323</v>
      </c>
      <c r="B1431" s="31" t="s">
        <v>11</v>
      </c>
      <c r="C1431" s="32"/>
      <c r="D1431" s="32"/>
      <c r="E1431" s="19" t="n">
        <f aca="false">+IF(C1431="EQUIPO",F1431,0)</f>
        <v>0</v>
      </c>
      <c r="F1431" s="33" t="n">
        <v>0</v>
      </c>
      <c r="G1431" s="62"/>
      <c r="H1431" s="35" t="n">
        <v>0</v>
      </c>
      <c r="I1431" s="34" t="n">
        <f aca="false">+IF(E1431=0,0,E1431*0.03)</f>
        <v>0</v>
      </c>
    </row>
    <row r="1432" customFormat="false" ht="15.75" hidden="false" customHeight="true" outlineLevel="0" collapsed="false">
      <c r="A1432" s="30" t="n">
        <v>45323</v>
      </c>
      <c r="B1432" s="31" t="s">
        <v>11</v>
      </c>
      <c r="C1432" s="32"/>
      <c r="D1432" s="32"/>
      <c r="E1432" s="19" t="n">
        <f aca="false">+IF(C1432="EQUIPO",F1432,0)</f>
        <v>0</v>
      </c>
      <c r="F1432" s="33" t="n">
        <v>0</v>
      </c>
      <c r="G1432" s="62"/>
      <c r="H1432" s="35" t="n">
        <v>0</v>
      </c>
      <c r="I1432" s="34" t="n">
        <f aca="false">+IF(E1432=0,0,E1432*0.03)</f>
        <v>0</v>
      </c>
    </row>
    <row r="1433" customFormat="false" ht="15.75" hidden="false" customHeight="true" outlineLevel="0" collapsed="false">
      <c r="A1433" s="30" t="n">
        <v>45323</v>
      </c>
      <c r="B1433" s="31" t="s">
        <v>11</v>
      </c>
      <c r="C1433" s="32"/>
      <c r="D1433" s="32"/>
      <c r="E1433" s="19" t="n">
        <f aca="false">+IF(C1433="EQUIPO",F1433,0)</f>
        <v>0</v>
      </c>
      <c r="F1433" s="33" t="n">
        <v>0</v>
      </c>
      <c r="G1433" s="62"/>
      <c r="H1433" s="35" t="n">
        <v>0</v>
      </c>
      <c r="I1433" s="34" t="n">
        <f aca="false">+IF(E1433=0,0,E1433*0.03)</f>
        <v>0</v>
      </c>
    </row>
    <row r="1434" customFormat="false" ht="15.75" hidden="false" customHeight="true" outlineLevel="0" collapsed="false">
      <c r="A1434" s="30" t="n">
        <v>45323</v>
      </c>
      <c r="B1434" s="31" t="s">
        <v>11</v>
      </c>
      <c r="C1434" s="32"/>
      <c r="D1434" s="32"/>
      <c r="E1434" s="19" t="n">
        <f aca="false">+IF(C1434="EQUIPO",F1434,0)</f>
        <v>0</v>
      </c>
      <c r="F1434" s="33" t="n">
        <v>0</v>
      </c>
      <c r="G1434" s="62"/>
      <c r="H1434" s="35" t="n">
        <v>0</v>
      </c>
      <c r="I1434" s="34" t="n">
        <f aca="false">+IF(E1434=0,0,E1434*0.03)</f>
        <v>0</v>
      </c>
    </row>
    <row r="1435" customFormat="false" ht="15.75" hidden="false" customHeight="true" outlineLevel="0" collapsed="false">
      <c r="A1435" s="30" t="n">
        <v>45323</v>
      </c>
      <c r="B1435" s="31" t="s">
        <v>11</v>
      </c>
      <c r="C1435" s="32"/>
      <c r="D1435" s="32"/>
      <c r="E1435" s="19" t="n">
        <f aca="false">+IF(C1435="EQUIPO",F1435,0)</f>
        <v>0</v>
      </c>
      <c r="F1435" s="33" t="n">
        <v>0</v>
      </c>
      <c r="G1435" s="62"/>
      <c r="H1435" s="35" t="n">
        <v>0</v>
      </c>
      <c r="I1435" s="34" t="n">
        <f aca="false">+IF(E1435=0,0,E1435*0.03)</f>
        <v>0</v>
      </c>
    </row>
    <row r="1436" customFormat="false" ht="15.75" hidden="false" customHeight="true" outlineLevel="0" collapsed="false">
      <c r="A1436" s="30" t="n">
        <v>45323</v>
      </c>
      <c r="B1436" s="31" t="s">
        <v>11</v>
      </c>
      <c r="C1436" s="32"/>
      <c r="D1436" s="32"/>
      <c r="E1436" s="19" t="n">
        <f aca="false">+IF(C1436="EQUIPO",F1436,0)</f>
        <v>0</v>
      </c>
      <c r="F1436" s="33" t="n">
        <v>0</v>
      </c>
      <c r="G1436" s="62"/>
      <c r="H1436" s="35" t="n">
        <v>0</v>
      </c>
      <c r="I1436" s="34" t="n">
        <f aca="false">+IF(E1436=0,0,E1436*0.03)</f>
        <v>0</v>
      </c>
    </row>
    <row r="1437" customFormat="false" ht="15.75" hidden="false" customHeight="true" outlineLevel="0" collapsed="false">
      <c r="A1437" s="30" t="n">
        <v>45323</v>
      </c>
      <c r="B1437" s="31" t="s">
        <v>11</v>
      </c>
      <c r="C1437" s="32"/>
      <c r="D1437" s="32"/>
      <c r="E1437" s="19" t="n">
        <f aca="false">+IF(C1437="EQUIPO",F1437,0)</f>
        <v>0</v>
      </c>
      <c r="F1437" s="33" t="n">
        <v>0</v>
      </c>
      <c r="G1437" s="62"/>
      <c r="H1437" s="35" t="n">
        <v>0</v>
      </c>
      <c r="I1437" s="34" t="n">
        <f aca="false">+IF(E1437=0,0,E1437*0.03)</f>
        <v>0</v>
      </c>
    </row>
    <row r="1438" customFormat="false" ht="15.75" hidden="false" customHeight="true" outlineLevel="0" collapsed="false">
      <c r="A1438" s="30" t="n">
        <v>45323</v>
      </c>
      <c r="B1438" s="31" t="s">
        <v>11</v>
      </c>
      <c r="C1438" s="32"/>
      <c r="D1438" s="32"/>
      <c r="E1438" s="19" t="n">
        <f aca="false">+IF(C1438="EQUIPO",F1438,0)</f>
        <v>0</v>
      </c>
      <c r="F1438" s="33" t="n">
        <v>0</v>
      </c>
      <c r="G1438" s="62"/>
      <c r="H1438" s="35" t="n">
        <v>0</v>
      </c>
      <c r="I1438" s="34" t="n">
        <f aca="false">+IF(E1438=0,0,E1438*0.03)</f>
        <v>0</v>
      </c>
    </row>
    <row r="1439" customFormat="false" ht="15.75" hidden="false" customHeight="true" outlineLevel="0" collapsed="false">
      <c r="A1439" s="30" t="n">
        <v>45323</v>
      </c>
      <c r="B1439" s="31" t="s">
        <v>11</v>
      </c>
      <c r="C1439" s="32"/>
      <c r="D1439" s="32"/>
      <c r="E1439" s="19" t="n">
        <f aca="false">+IF(C1439="EQUIPO",F1439,0)</f>
        <v>0</v>
      </c>
      <c r="F1439" s="33" t="n">
        <v>0</v>
      </c>
      <c r="G1439" s="62"/>
      <c r="H1439" s="35" t="n">
        <v>0</v>
      </c>
      <c r="I1439" s="34" t="n">
        <f aca="false">+IF(E1439=0,0,E1439*0.03)</f>
        <v>0</v>
      </c>
    </row>
    <row r="1440" customFormat="false" ht="15.75" hidden="false" customHeight="true" outlineLevel="0" collapsed="false">
      <c r="A1440" s="30" t="n">
        <v>45323</v>
      </c>
      <c r="B1440" s="31" t="s">
        <v>11</v>
      </c>
      <c r="C1440" s="32"/>
      <c r="D1440" s="32"/>
      <c r="E1440" s="19" t="n">
        <f aca="false">+IF(C1440="EQUIPO",F1440,0)</f>
        <v>0</v>
      </c>
      <c r="F1440" s="33" t="n">
        <v>0</v>
      </c>
      <c r="G1440" s="62"/>
      <c r="H1440" s="35" t="n">
        <v>0</v>
      </c>
      <c r="I1440" s="34" t="n">
        <f aca="false">+IF(E1440=0,0,E1440*0.03)</f>
        <v>0</v>
      </c>
    </row>
    <row r="1441" customFormat="false" ht="15.75" hidden="false" customHeight="true" outlineLevel="0" collapsed="false">
      <c r="A1441" s="30" t="n">
        <v>45323</v>
      </c>
      <c r="B1441" s="31" t="s">
        <v>11</v>
      </c>
      <c r="C1441" s="32"/>
      <c r="D1441" s="32"/>
      <c r="E1441" s="19" t="n">
        <f aca="false">+IF(C1441="EQUIPO",F1441,0)</f>
        <v>0</v>
      </c>
      <c r="F1441" s="33" t="n">
        <v>0</v>
      </c>
      <c r="G1441" s="62"/>
      <c r="H1441" s="35" t="n">
        <v>0</v>
      </c>
      <c r="I1441" s="34" t="n">
        <f aca="false">+IF(E1441=0,0,E1441*0.03)</f>
        <v>0</v>
      </c>
    </row>
    <row r="1442" customFormat="false" ht="15.75" hidden="false" customHeight="true" outlineLevel="0" collapsed="false">
      <c r="A1442" s="30" t="n">
        <v>45323</v>
      </c>
      <c r="B1442" s="31" t="s">
        <v>11</v>
      </c>
      <c r="C1442" s="32"/>
      <c r="D1442" s="32"/>
      <c r="E1442" s="19" t="n">
        <f aca="false">+IF(C1442="EQUIPO",F1442,0)</f>
        <v>0</v>
      </c>
      <c r="F1442" s="33" t="n">
        <v>0</v>
      </c>
      <c r="G1442" s="62"/>
      <c r="H1442" s="35" t="n">
        <v>0</v>
      </c>
      <c r="I1442" s="34" t="n">
        <f aca="false">+IF(E1442=0,0,E1442*0.03)</f>
        <v>0</v>
      </c>
    </row>
    <row r="1443" customFormat="false" ht="15.75" hidden="false" customHeight="true" outlineLevel="0" collapsed="false">
      <c r="A1443" s="30" t="n">
        <v>45323</v>
      </c>
      <c r="B1443" s="31" t="s">
        <v>11</v>
      </c>
      <c r="C1443" s="32"/>
      <c r="D1443" s="32"/>
      <c r="E1443" s="19" t="n">
        <f aca="false">+IF(C1443="EQUIPO",F1443,0)</f>
        <v>0</v>
      </c>
      <c r="F1443" s="33" t="n">
        <v>0</v>
      </c>
      <c r="G1443" s="62"/>
      <c r="H1443" s="35" t="n">
        <v>0</v>
      </c>
      <c r="I1443" s="34" t="n">
        <f aca="false">+IF(E1443=0,0,E1443*0.03)</f>
        <v>0</v>
      </c>
    </row>
    <row r="1444" customFormat="false" ht="15.75" hidden="false" customHeight="true" outlineLevel="0" collapsed="false">
      <c r="A1444" s="30" t="n">
        <v>45323</v>
      </c>
      <c r="B1444" s="31" t="s">
        <v>11</v>
      </c>
      <c r="C1444" s="32"/>
      <c r="D1444" s="32"/>
      <c r="E1444" s="19" t="n">
        <f aca="false">+IF(C1444="EQUIPO",F1444,0)</f>
        <v>0</v>
      </c>
      <c r="F1444" s="33" t="n">
        <v>0</v>
      </c>
      <c r="G1444" s="62"/>
      <c r="H1444" s="35" t="n">
        <v>0</v>
      </c>
      <c r="I1444" s="34" t="n">
        <f aca="false">+IF(E1444=0,0,E1444*0.03)</f>
        <v>0</v>
      </c>
    </row>
    <row r="1445" customFormat="false" ht="15.75" hidden="false" customHeight="true" outlineLevel="0" collapsed="false">
      <c r="A1445" s="30" t="n">
        <v>45323</v>
      </c>
      <c r="B1445" s="31" t="s">
        <v>11</v>
      </c>
      <c r="C1445" s="32"/>
      <c r="D1445" s="32"/>
      <c r="E1445" s="19" t="n">
        <f aca="false">+IF(C1445="EQUIPO",F1445,0)</f>
        <v>0</v>
      </c>
      <c r="F1445" s="33" t="n">
        <v>0</v>
      </c>
      <c r="G1445" s="62"/>
      <c r="H1445" s="35" t="n">
        <v>0</v>
      </c>
      <c r="I1445" s="34" t="n">
        <f aca="false">+IF(E1445=0,0,E1445*0.03)</f>
        <v>0</v>
      </c>
    </row>
    <row r="1446" customFormat="false" ht="15.75" hidden="false" customHeight="true" outlineLevel="0" collapsed="false">
      <c r="A1446" s="30" t="n">
        <v>45323</v>
      </c>
      <c r="B1446" s="31" t="s">
        <v>11</v>
      </c>
      <c r="C1446" s="32"/>
      <c r="D1446" s="32"/>
      <c r="E1446" s="19" t="n">
        <f aca="false">+IF(C1446="EQUIPO",F1446,0)</f>
        <v>0</v>
      </c>
      <c r="F1446" s="33" t="n">
        <v>0</v>
      </c>
      <c r="G1446" s="62"/>
      <c r="H1446" s="35" t="n">
        <v>0</v>
      </c>
      <c r="I1446" s="34" t="n">
        <f aca="false">+IF(E1446=0,0,E1446*0.03)</f>
        <v>0</v>
      </c>
    </row>
    <row r="1447" customFormat="false" ht="15.75" hidden="false" customHeight="true" outlineLevel="0" collapsed="false">
      <c r="A1447" s="30" t="n">
        <v>45323</v>
      </c>
      <c r="B1447" s="31" t="s">
        <v>11</v>
      </c>
      <c r="C1447" s="32"/>
      <c r="D1447" s="32"/>
      <c r="E1447" s="19" t="n">
        <f aca="false">+IF(C1447="EQUIPO",F1447,0)</f>
        <v>0</v>
      </c>
      <c r="F1447" s="33" t="n">
        <v>0</v>
      </c>
      <c r="G1447" s="62"/>
      <c r="H1447" s="35" t="n">
        <v>0</v>
      </c>
      <c r="I1447" s="34" t="n">
        <f aca="false">+IF(E1447=0,0,E1447*0.03)</f>
        <v>0</v>
      </c>
    </row>
    <row r="1448" customFormat="false" ht="15.75" hidden="false" customHeight="true" outlineLevel="0" collapsed="false">
      <c r="A1448" s="30" t="n">
        <v>45323</v>
      </c>
      <c r="B1448" s="31" t="s">
        <v>11</v>
      </c>
      <c r="C1448" s="32"/>
      <c r="D1448" s="32"/>
      <c r="E1448" s="19" t="n">
        <f aca="false">+IF(C1448="EQUIPO",F1448,0)</f>
        <v>0</v>
      </c>
      <c r="F1448" s="33" t="n">
        <v>0</v>
      </c>
      <c r="G1448" s="62"/>
      <c r="H1448" s="35" t="n">
        <v>0</v>
      </c>
      <c r="I1448" s="34" t="n">
        <f aca="false">+IF(E1448=0,0,E1448*0.03)</f>
        <v>0</v>
      </c>
    </row>
    <row r="1449" customFormat="false" ht="15.75" hidden="false" customHeight="true" outlineLevel="0" collapsed="false">
      <c r="A1449" s="30" t="n">
        <v>45323</v>
      </c>
      <c r="B1449" s="31" t="s">
        <v>11</v>
      </c>
      <c r="C1449" s="32"/>
      <c r="D1449" s="32"/>
      <c r="E1449" s="19" t="n">
        <f aca="false">+IF(C1449="EQUIPO",F1449,0)</f>
        <v>0</v>
      </c>
      <c r="F1449" s="33" t="n">
        <v>0</v>
      </c>
      <c r="G1449" s="62"/>
      <c r="H1449" s="35" t="n">
        <v>0</v>
      </c>
      <c r="I1449" s="34" t="n">
        <f aca="false">+IF(E1449=0,0,E1449*0.03)</f>
        <v>0</v>
      </c>
    </row>
    <row r="1450" customFormat="false" ht="15.75" hidden="false" customHeight="true" outlineLevel="0" collapsed="false">
      <c r="A1450" s="30" t="n">
        <v>45323</v>
      </c>
      <c r="B1450" s="31" t="s">
        <v>11</v>
      </c>
      <c r="C1450" s="32"/>
      <c r="D1450" s="32"/>
      <c r="E1450" s="19" t="n">
        <f aca="false">+IF(C1450="EQUIPO",F1450,0)</f>
        <v>0</v>
      </c>
      <c r="F1450" s="33" t="n">
        <v>0</v>
      </c>
      <c r="G1450" s="62"/>
      <c r="H1450" s="35" t="n">
        <v>0</v>
      </c>
      <c r="I1450" s="34" t="n">
        <f aca="false">+IF(E1450=0,0,E1450*0.03)</f>
        <v>0</v>
      </c>
    </row>
    <row r="1451" customFormat="false" ht="15.75" hidden="false" customHeight="true" outlineLevel="0" collapsed="false">
      <c r="A1451" s="30" t="n">
        <v>45323</v>
      </c>
      <c r="B1451" s="31" t="s">
        <v>11</v>
      </c>
      <c r="C1451" s="32"/>
      <c r="D1451" s="32"/>
      <c r="E1451" s="19" t="n">
        <f aca="false">+IF(C1451="EQUIPO",F1451,0)</f>
        <v>0</v>
      </c>
      <c r="F1451" s="33" t="n">
        <v>0</v>
      </c>
      <c r="G1451" s="62"/>
      <c r="H1451" s="35" t="n">
        <v>0</v>
      </c>
      <c r="I1451" s="34" t="n">
        <f aca="false">+IF(E1451=0,0,E1451*0.03)</f>
        <v>0</v>
      </c>
    </row>
    <row r="1452" customFormat="false" ht="15.75" hidden="false" customHeight="true" outlineLevel="0" collapsed="false">
      <c r="A1452" s="30" t="n">
        <v>45323</v>
      </c>
      <c r="B1452" s="31" t="s">
        <v>11</v>
      </c>
      <c r="C1452" s="32"/>
      <c r="D1452" s="32"/>
      <c r="E1452" s="19" t="n">
        <f aca="false">+IF(C1452="EQUIPO",F1452,0)</f>
        <v>0</v>
      </c>
      <c r="F1452" s="33" t="n">
        <v>0</v>
      </c>
      <c r="G1452" s="62"/>
      <c r="H1452" s="35" t="n">
        <v>0</v>
      </c>
      <c r="I1452" s="34" t="n">
        <f aca="false">+IF(E1452=0,0,E1452*0.03)</f>
        <v>0</v>
      </c>
    </row>
    <row r="1453" customFormat="false" ht="15.75" hidden="false" customHeight="true" outlineLevel="0" collapsed="false">
      <c r="A1453" s="30" t="n">
        <v>45323</v>
      </c>
      <c r="B1453" s="31" t="s">
        <v>11</v>
      </c>
      <c r="C1453" s="32"/>
      <c r="D1453" s="32"/>
      <c r="E1453" s="19" t="n">
        <f aca="false">+IF(C1453="EQUIPO",F1453,0)</f>
        <v>0</v>
      </c>
      <c r="F1453" s="33" t="n">
        <v>0</v>
      </c>
      <c r="G1453" s="62"/>
      <c r="H1453" s="35" t="n">
        <v>0</v>
      </c>
      <c r="I1453" s="34" t="n">
        <f aca="false">+IF(E1453=0,0,E1453*0.03)</f>
        <v>0</v>
      </c>
    </row>
    <row r="1454" customFormat="false" ht="15.75" hidden="false" customHeight="true" outlineLevel="0" collapsed="false">
      <c r="A1454" s="30" t="n">
        <v>45323</v>
      </c>
      <c r="B1454" s="31" t="s">
        <v>11</v>
      </c>
      <c r="C1454" s="32"/>
      <c r="D1454" s="32"/>
      <c r="E1454" s="19" t="n">
        <f aca="false">+IF(C1454="EQUIPO",F1454,0)</f>
        <v>0</v>
      </c>
      <c r="F1454" s="33" t="n">
        <v>0</v>
      </c>
      <c r="G1454" s="62"/>
      <c r="H1454" s="35" t="n">
        <v>0</v>
      </c>
      <c r="I1454" s="34" t="n">
        <f aca="false">+IF(E1454=0,0,E1454*0.03)</f>
        <v>0</v>
      </c>
    </row>
    <row r="1455" customFormat="false" ht="15.75" hidden="false" customHeight="true" outlineLevel="0" collapsed="false">
      <c r="A1455" s="30" t="n">
        <v>45323</v>
      </c>
      <c r="B1455" s="31" t="s">
        <v>11</v>
      </c>
      <c r="C1455" s="32"/>
      <c r="D1455" s="32"/>
      <c r="E1455" s="19" t="n">
        <f aca="false">+IF(C1455="EQUIPO",F1455,0)</f>
        <v>0</v>
      </c>
      <c r="F1455" s="33" t="n">
        <v>0</v>
      </c>
      <c r="G1455" s="62"/>
      <c r="H1455" s="35" t="n">
        <v>0</v>
      </c>
      <c r="I1455" s="34" t="n">
        <f aca="false">+IF(E1455=0,0,E1455*0.03)</f>
        <v>0</v>
      </c>
    </row>
    <row r="1456" customFormat="false" ht="15.75" hidden="false" customHeight="true" outlineLevel="0" collapsed="false">
      <c r="A1456" s="30" t="n">
        <v>45323</v>
      </c>
      <c r="B1456" s="31" t="s">
        <v>11</v>
      </c>
      <c r="C1456" s="32"/>
      <c r="D1456" s="32"/>
      <c r="E1456" s="19" t="n">
        <f aca="false">+IF(C1456="EQUIPO",F1456,0)</f>
        <v>0</v>
      </c>
      <c r="F1456" s="33" t="n">
        <v>0</v>
      </c>
      <c r="G1456" s="62"/>
      <c r="H1456" s="35" t="n">
        <v>0</v>
      </c>
      <c r="I1456" s="34" t="n">
        <f aca="false">+IF(E1456=0,0,E1456*0.03)</f>
        <v>0</v>
      </c>
    </row>
    <row r="1457" customFormat="false" ht="15.75" hidden="false" customHeight="true" outlineLevel="0" collapsed="false">
      <c r="A1457" s="30" t="n">
        <v>45323</v>
      </c>
      <c r="B1457" s="31" t="s">
        <v>11</v>
      </c>
      <c r="C1457" s="32"/>
      <c r="D1457" s="32"/>
      <c r="E1457" s="19" t="n">
        <f aca="false">+IF(C1457="EQUIPO",F1457,0)</f>
        <v>0</v>
      </c>
      <c r="F1457" s="33" t="n">
        <v>0</v>
      </c>
      <c r="G1457" s="62"/>
      <c r="H1457" s="35" t="n">
        <v>0</v>
      </c>
      <c r="I1457" s="34" t="n">
        <f aca="false">+IF(E1457=0,0,E1457*0.03)</f>
        <v>0</v>
      </c>
    </row>
    <row r="1458" customFormat="false" ht="15.75" hidden="false" customHeight="true" outlineLevel="0" collapsed="false">
      <c r="A1458" s="30" t="n">
        <v>45323</v>
      </c>
      <c r="B1458" s="31" t="s">
        <v>11</v>
      </c>
      <c r="C1458" s="32"/>
      <c r="D1458" s="32"/>
      <c r="E1458" s="19" t="n">
        <f aca="false">+IF(C1458="EQUIPO",F1458,0)</f>
        <v>0</v>
      </c>
      <c r="F1458" s="33" t="n">
        <v>0</v>
      </c>
      <c r="G1458" s="62"/>
      <c r="H1458" s="35" t="n">
        <v>0</v>
      </c>
      <c r="I1458" s="34" t="n">
        <f aca="false">+IF(E1458=0,0,E1458*0.03)</f>
        <v>0</v>
      </c>
    </row>
    <row r="1459" customFormat="false" ht="15.75" hidden="false" customHeight="true" outlineLevel="0" collapsed="false">
      <c r="A1459" s="30" t="n">
        <v>45323</v>
      </c>
      <c r="B1459" s="31" t="s">
        <v>11</v>
      </c>
      <c r="C1459" s="32"/>
      <c r="D1459" s="32"/>
      <c r="E1459" s="19" t="n">
        <f aca="false">+IF(C1459="EQUIPO",F1459,0)</f>
        <v>0</v>
      </c>
      <c r="F1459" s="33" t="n">
        <v>0</v>
      </c>
      <c r="G1459" s="62"/>
      <c r="H1459" s="35" t="n">
        <v>0</v>
      </c>
      <c r="I1459" s="34" t="n">
        <f aca="false">+IF(E1459=0,0,E1459*0.03)</f>
        <v>0</v>
      </c>
    </row>
    <row r="1460" customFormat="false" ht="15.75" hidden="false" customHeight="true" outlineLevel="0" collapsed="false">
      <c r="A1460" s="30" t="n">
        <v>45323</v>
      </c>
      <c r="B1460" s="31" t="s">
        <v>11</v>
      </c>
      <c r="C1460" s="32"/>
      <c r="D1460" s="32"/>
      <c r="E1460" s="19" t="n">
        <f aca="false">+IF(C1460="EQUIPO",F1460,0)</f>
        <v>0</v>
      </c>
      <c r="F1460" s="33" t="n">
        <v>0</v>
      </c>
      <c r="G1460" s="62"/>
      <c r="H1460" s="35" t="n">
        <v>0</v>
      </c>
      <c r="I1460" s="34" t="n">
        <f aca="false">+IF(E1460=0,0,E1460*0.03)</f>
        <v>0</v>
      </c>
    </row>
    <row r="1461" customFormat="false" ht="15.75" hidden="false" customHeight="true" outlineLevel="0" collapsed="false">
      <c r="A1461" s="30" t="n">
        <v>45323</v>
      </c>
      <c r="B1461" s="31" t="s">
        <v>11</v>
      </c>
      <c r="C1461" s="32"/>
      <c r="D1461" s="32"/>
      <c r="E1461" s="19" t="n">
        <f aca="false">+IF(C1461="EQUIPO",F1461,0)</f>
        <v>0</v>
      </c>
      <c r="F1461" s="33" t="n">
        <v>0</v>
      </c>
      <c r="G1461" s="62"/>
      <c r="H1461" s="35" t="n">
        <v>0</v>
      </c>
      <c r="I1461" s="34" t="n">
        <f aca="false">+IF(E1461=0,0,E1461*0.03)</f>
        <v>0</v>
      </c>
    </row>
    <row r="1462" customFormat="false" ht="15.75" hidden="false" customHeight="true" outlineLevel="0" collapsed="false">
      <c r="A1462" s="30" t="n">
        <v>45323</v>
      </c>
      <c r="B1462" s="31" t="s">
        <v>11</v>
      </c>
      <c r="C1462" s="32"/>
      <c r="D1462" s="32"/>
      <c r="E1462" s="19" t="n">
        <f aca="false">+IF(C1462="EQUIPO",F1462,0)</f>
        <v>0</v>
      </c>
      <c r="F1462" s="33" t="n">
        <v>0</v>
      </c>
      <c r="G1462" s="62"/>
      <c r="H1462" s="35" t="n">
        <v>0</v>
      </c>
      <c r="I1462" s="34" t="n">
        <f aca="false">+IF(E1462=0,0,E1462*0.03)</f>
        <v>0</v>
      </c>
    </row>
    <row r="1463" customFormat="false" ht="15.75" hidden="false" customHeight="true" outlineLevel="0" collapsed="false">
      <c r="A1463" s="30" t="n">
        <v>45323</v>
      </c>
      <c r="B1463" s="31" t="s">
        <v>11</v>
      </c>
      <c r="C1463" s="32"/>
      <c r="D1463" s="32"/>
      <c r="E1463" s="19" t="n">
        <f aca="false">+IF(C1463="EQUIPO",F1463,0)</f>
        <v>0</v>
      </c>
      <c r="F1463" s="33" t="n">
        <v>0</v>
      </c>
      <c r="G1463" s="62"/>
      <c r="H1463" s="35" t="n">
        <v>0</v>
      </c>
      <c r="I1463" s="34" t="n">
        <f aca="false">+IF(E1463=0,0,E1463*0.03)</f>
        <v>0</v>
      </c>
    </row>
    <row r="1464" customFormat="false" ht="15.75" hidden="false" customHeight="true" outlineLevel="0" collapsed="false">
      <c r="A1464" s="30" t="n">
        <v>45323</v>
      </c>
      <c r="B1464" s="31" t="s">
        <v>11</v>
      </c>
      <c r="C1464" s="32"/>
      <c r="D1464" s="32"/>
      <c r="E1464" s="19" t="n">
        <f aca="false">+IF(C1464="EQUIPO",F1464,0)</f>
        <v>0</v>
      </c>
      <c r="F1464" s="33" t="n">
        <v>0</v>
      </c>
      <c r="G1464" s="62"/>
      <c r="H1464" s="35" t="n">
        <v>0</v>
      </c>
      <c r="I1464" s="34" t="n">
        <f aca="false">+IF(E1464=0,0,E1464*0.03)</f>
        <v>0</v>
      </c>
    </row>
    <row r="1465" customFormat="false" ht="15.75" hidden="false" customHeight="true" outlineLevel="0" collapsed="false">
      <c r="A1465" s="30" t="n">
        <v>45323</v>
      </c>
      <c r="B1465" s="31" t="s">
        <v>11</v>
      </c>
      <c r="C1465" s="32"/>
      <c r="D1465" s="32"/>
      <c r="E1465" s="19" t="n">
        <f aca="false">+IF(C1465="EQUIPO",F1465,0)</f>
        <v>0</v>
      </c>
      <c r="F1465" s="33" t="n">
        <v>0</v>
      </c>
      <c r="G1465" s="62"/>
      <c r="H1465" s="35" t="n">
        <v>0</v>
      </c>
      <c r="I1465" s="34" t="n">
        <f aca="false">+IF(E1465=0,0,E1465*0.03)</f>
        <v>0</v>
      </c>
    </row>
    <row r="1466" customFormat="false" ht="15.75" hidden="false" customHeight="true" outlineLevel="0" collapsed="false">
      <c r="A1466" s="30" t="n">
        <v>45323</v>
      </c>
      <c r="B1466" s="31" t="s">
        <v>11</v>
      </c>
      <c r="C1466" s="32"/>
      <c r="D1466" s="32"/>
      <c r="E1466" s="19" t="n">
        <f aca="false">+IF(C1466="EQUIPO",F1466,0)</f>
        <v>0</v>
      </c>
      <c r="F1466" s="33" t="n">
        <v>0</v>
      </c>
      <c r="G1466" s="62"/>
      <c r="H1466" s="35" t="n">
        <v>0</v>
      </c>
      <c r="I1466" s="34" t="n">
        <f aca="false">+IF(E1466=0,0,E1466*0.03)</f>
        <v>0</v>
      </c>
    </row>
    <row r="1467" customFormat="false" ht="15.75" hidden="false" customHeight="true" outlineLevel="0" collapsed="false">
      <c r="A1467" s="30" t="n">
        <v>45323</v>
      </c>
      <c r="B1467" s="31" t="s">
        <v>11</v>
      </c>
      <c r="C1467" s="32"/>
      <c r="D1467" s="32"/>
      <c r="E1467" s="19" t="n">
        <f aca="false">+IF(C1467="EQUIPO",F1467,0)</f>
        <v>0</v>
      </c>
      <c r="F1467" s="33" t="n">
        <v>0</v>
      </c>
      <c r="G1467" s="62"/>
      <c r="H1467" s="35" t="n">
        <v>0</v>
      </c>
      <c r="I1467" s="34" t="n">
        <f aca="false">+IF(E1467=0,0,E1467*0.03)</f>
        <v>0</v>
      </c>
    </row>
    <row r="1468" customFormat="false" ht="15.75" hidden="false" customHeight="true" outlineLevel="0" collapsed="false">
      <c r="A1468" s="30" t="n">
        <v>45323</v>
      </c>
      <c r="B1468" s="31" t="s">
        <v>11</v>
      </c>
      <c r="C1468" s="32"/>
      <c r="D1468" s="32"/>
      <c r="E1468" s="19" t="n">
        <f aca="false">+IF(C1468="EQUIPO",F1468,0)</f>
        <v>0</v>
      </c>
      <c r="F1468" s="33" t="n">
        <v>0</v>
      </c>
      <c r="G1468" s="62"/>
      <c r="H1468" s="35" t="n">
        <v>0</v>
      </c>
      <c r="I1468" s="34" t="n">
        <f aca="false">+IF(E1468=0,0,E1468*0.03)</f>
        <v>0</v>
      </c>
    </row>
    <row r="1469" customFormat="false" ht="15.75" hidden="false" customHeight="true" outlineLevel="0" collapsed="false">
      <c r="A1469" s="30" t="n">
        <v>45323</v>
      </c>
      <c r="B1469" s="31" t="s">
        <v>11</v>
      </c>
      <c r="C1469" s="32"/>
      <c r="D1469" s="32"/>
      <c r="E1469" s="19" t="n">
        <f aca="false">+IF(C1469="EQUIPO",F1469,0)</f>
        <v>0</v>
      </c>
      <c r="F1469" s="33" t="n">
        <v>0</v>
      </c>
      <c r="G1469" s="62"/>
      <c r="H1469" s="35" t="n">
        <v>0</v>
      </c>
      <c r="I1469" s="34" t="n">
        <f aca="false">+IF(E1469=0,0,E1469*0.03)</f>
        <v>0</v>
      </c>
    </row>
    <row r="1470" customFormat="false" ht="15.75" hidden="false" customHeight="true" outlineLevel="0" collapsed="false">
      <c r="A1470" s="30" t="n">
        <v>45323</v>
      </c>
      <c r="B1470" s="31" t="s">
        <v>11</v>
      </c>
      <c r="C1470" s="32"/>
      <c r="D1470" s="32"/>
      <c r="E1470" s="19" t="n">
        <f aca="false">+IF(C1470="EQUIPO",F1470,0)</f>
        <v>0</v>
      </c>
      <c r="F1470" s="33" t="n">
        <v>0</v>
      </c>
      <c r="G1470" s="62"/>
      <c r="H1470" s="35" t="n">
        <v>0</v>
      </c>
      <c r="I1470" s="34" t="n">
        <f aca="false">+IF(E1470=0,0,E1470*0.03)</f>
        <v>0</v>
      </c>
    </row>
    <row r="1471" customFormat="false" ht="15.75" hidden="false" customHeight="true" outlineLevel="0" collapsed="false">
      <c r="A1471" s="30" t="n">
        <v>45323</v>
      </c>
      <c r="B1471" s="31" t="s">
        <v>11</v>
      </c>
      <c r="C1471" s="32"/>
      <c r="D1471" s="32"/>
      <c r="E1471" s="19" t="n">
        <f aca="false">+IF(C1471="EQUIPO",F1471,0)</f>
        <v>0</v>
      </c>
      <c r="F1471" s="33" t="n">
        <v>0</v>
      </c>
      <c r="G1471" s="62"/>
      <c r="H1471" s="35" t="n">
        <v>0</v>
      </c>
      <c r="I1471" s="34" t="n">
        <f aca="false">+IF(E1471=0,0,E1471*0.03)</f>
        <v>0</v>
      </c>
    </row>
    <row r="1472" customFormat="false" ht="15.75" hidden="false" customHeight="true" outlineLevel="0" collapsed="false">
      <c r="A1472" s="30" t="n">
        <v>45323</v>
      </c>
      <c r="B1472" s="31" t="s">
        <v>11</v>
      </c>
      <c r="C1472" s="32"/>
      <c r="D1472" s="32"/>
      <c r="E1472" s="19" t="n">
        <f aca="false">+IF(C1472="EQUIPO",F1472,0)</f>
        <v>0</v>
      </c>
      <c r="F1472" s="33" t="n">
        <v>0</v>
      </c>
      <c r="G1472" s="62"/>
      <c r="H1472" s="35" t="n">
        <v>0</v>
      </c>
      <c r="I1472" s="34" t="n">
        <f aca="false">+IF(E1472=0,0,E1472*0.03)</f>
        <v>0</v>
      </c>
    </row>
    <row r="1473" customFormat="false" ht="15.75" hidden="false" customHeight="true" outlineLevel="0" collapsed="false">
      <c r="A1473" s="30" t="n">
        <v>45323</v>
      </c>
      <c r="B1473" s="31" t="s">
        <v>11</v>
      </c>
      <c r="C1473" s="32"/>
      <c r="D1473" s="32"/>
      <c r="E1473" s="19" t="n">
        <f aca="false">+IF(C1473="EQUIPO",F1473,0)</f>
        <v>0</v>
      </c>
      <c r="F1473" s="33" t="n">
        <v>0</v>
      </c>
      <c r="G1473" s="62"/>
      <c r="H1473" s="35" t="n">
        <v>0</v>
      </c>
      <c r="I1473" s="34" t="n">
        <f aca="false">+IF(E1473=0,0,E1473*0.03)</f>
        <v>0</v>
      </c>
    </row>
    <row r="1474" customFormat="false" ht="15.75" hidden="false" customHeight="true" outlineLevel="0" collapsed="false">
      <c r="A1474" s="30" t="n">
        <v>45323</v>
      </c>
      <c r="B1474" s="31" t="s">
        <v>11</v>
      </c>
      <c r="C1474" s="32"/>
      <c r="D1474" s="32"/>
      <c r="E1474" s="19" t="n">
        <f aca="false">+IF(C1474="EQUIPO",F1474,0)</f>
        <v>0</v>
      </c>
      <c r="F1474" s="33" t="n">
        <v>0</v>
      </c>
      <c r="G1474" s="62"/>
      <c r="H1474" s="35" t="n">
        <v>0</v>
      </c>
      <c r="I1474" s="34" t="n">
        <f aca="false">+IF(E1474=0,0,E1474*0.03)</f>
        <v>0</v>
      </c>
    </row>
    <row r="1475" customFormat="false" ht="15.75" hidden="false" customHeight="true" outlineLevel="0" collapsed="false">
      <c r="A1475" s="30" t="n">
        <v>45323</v>
      </c>
      <c r="B1475" s="31" t="s">
        <v>11</v>
      </c>
      <c r="C1475" s="32"/>
      <c r="D1475" s="32"/>
      <c r="E1475" s="19" t="n">
        <f aca="false">+IF(C1475="EQUIPO",F1475,0)</f>
        <v>0</v>
      </c>
      <c r="F1475" s="33" t="n">
        <v>0</v>
      </c>
      <c r="G1475" s="62"/>
      <c r="H1475" s="35" t="n">
        <v>0</v>
      </c>
      <c r="I1475" s="34" t="n">
        <f aca="false">+IF(E1475=0,0,E1475*0.03)</f>
        <v>0</v>
      </c>
    </row>
    <row r="1476" customFormat="false" ht="15.75" hidden="false" customHeight="true" outlineLevel="0" collapsed="false">
      <c r="A1476" s="30" t="n">
        <v>45323</v>
      </c>
      <c r="B1476" s="31" t="s">
        <v>11</v>
      </c>
      <c r="C1476" s="32"/>
      <c r="D1476" s="32"/>
      <c r="E1476" s="19" t="n">
        <f aca="false">+IF(C1476="EQUIPO",F1476,0)</f>
        <v>0</v>
      </c>
      <c r="F1476" s="33" t="n">
        <v>0</v>
      </c>
      <c r="G1476" s="62"/>
      <c r="H1476" s="35" t="n">
        <v>0</v>
      </c>
      <c r="I1476" s="34" t="n">
        <f aca="false">+IF(E1476=0,0,E1476*0.03)</f>
        <v>0</v>
      </c>
    </row>
    <row r="1477" customFormat="false" ht="15.75" hidden="false" customHeight="true" outlineLevel="0" collapsed="false">
      <c r="A1477" s="30" t="n">
        <v>45323</v>
      </c>
      <c r="B1477" s="31" t="s">
        <v>11</v>
      </c>
      <c r="C1477" s="32"/>
      <c r="D1477" s="32"/>
      <c r="E1477" s="19" t="n">
        <f aca="false">+IF(C1477="EQUIPO",F1477,0)</f>
        <v>0</v>
      </c>
      <c r="F1477" s="33" t="n">
        <v>0</v>
      </c>
      <c r="G1477" s="62"/>
      <c r="H1477" s="35" t="n">
        <v>0</v>
      </c>
      <c r="I1477" s="34" t="n">
        <f aca="false">+IF(E1477=0,0,E1477*0.03)</f>
        <v>0</v>
      </c>
    </row>
    <row r="1478" customFormat="false" ht="15.75" hidden="false" customHeight="true" outlineLevel="0" collapsed="false">
      <c r="A1478" s="30" t="n">
        <v>45323</v>
      </c>
      <c r="B1478" s="31" t="s">
        <v>11</v>
      </c>
      <c r="C1478" s="32"/>
      <c r="D1478" s="32"/>
      <c r="E1478" s="19" t="n">
        <f aca="false">+IF(C1478="EQUIPO",F1478,0)</f>
        <v>0</v>
      </c>
      <c r="F1478" s="33" t="n">
        <v>0</v>
      </c>
      <c r="G1478" s="62"/>
      <c r="H1478" s="35" t="n">
        <v>0</v>
      </c>
      <c r="I1478" s="34" t="n">
        <f aca="false">+IF(E1478=0,0,E1478*0.03)</f>
        <v>0</v>
      </c>
    </row>
    <row r="1479" customFormat="false" ht="15.75" hidden="false" customHeight="true" outlineLevel="0" collapsed="false">
      <c r="A1479" s="30" t="n">
        <v>45323</v>
      </c>
      <c r="B1479" s="31" t="s">
        <v>11</v>
      </c>
      <c r="C1479" s="32"/>
      <c r="D1479" s="32"/>
      <c r="E1479" s="19" t="n">
        <f aca="false">+IF(C1479="EQUIPO",F1479,0)</f>
        <v>0</v>
      </c>
      <c r="F1479" s="33" t="n">
        <v>0</v>
      </c>
      <c r="G1479" s="62"/>
      <c r="H1479" s="35" t="n">
        <v>0</v>
      </c>
      <c r="I1479" s="34" t="n">
        <f aca="false">+IF(E1479=0,0,E1479*0.03)</f>
        <v>0</v>
      </c>
    </row>
    <row r="1480" customFormat="false" ht="15.75" hidden="false" customHeight="true" outlineLevel="0" collapsed="false">
      <c r="A1480" s="30" t="n">
        <v>45323</v>
      </c>
      <c r="B1480" s="31" t="s">
        <v>11</v>
      </c>
      <c r="C1480" s="32"/>
      <c r="D1480" s="32"/>
      <c r="E1480" s="19" t="n">
        <f aca="false">+IF(C1480="EQUIPO",F1480,0)</f>
        <v>0</v>
      </c>
      <c r="F1480" s="33" t="n">
        <v>0</v>
      </c>
      <c r="G1480" s="62"/>
      <c r="H1480" s="35" t="n">
        <v>0</v>
      </c>
      <c r="I1480" s="34" t="n">
        <f aca="false">+IF(E1480=0,0,E1480*0.03)</f>
        <v>0</v>
      </c>
    </row>
    <row r="1481" customFormat="false" ht="15.75" hidden="false" customHeight="true" outlineLevel="0" collapsed="false">
      <c r="A1481" s="30" t="n">
        <v>45323</v>
      </c>
      <c r="B1481" s="31" t="s">
        <v>11</v>
      </c>
      <c r="C1481" s="32"/>
      <c r="D1481" s="32"/>
      <c r="E1481" s="19" t="n">
        <f aca="false">+IF(C1481="EQUIPO",F1481,0)</f>
        <v>0</v>
      </c>
      <c r="F1481" s="33" t="n">
        <v>0</v>
      </c>
      <c r="G1481" s="62"/>
      <c r="H1481" s="35" t="n">
        <v>0</v>
      </c>
      <c r="I1481" s="34" t="n">
        <f aca="false">+IF(E1481=0,0,E1481*0.03)</f>
        <v>0</v>
      </c>
    </row>
    <row r="1482" customFormat="false" ht="15.75" hidden="false" customHeight="true" outlineLevel="0" collapsed="false">
      <c r="A1482" s="30" t="n">
        <v>45323</v>
      </c>
      <c r="B1482" s="31" t="s">
        <v>11</v>
      </c>
      <c r="C1482" s="32"/>
      <c r="D1482" s="32"/>
      <c r="E1482" s="19" t="n">
        <f aca="false">+IF(C1482="EQUIPO",F1482,0)</f>
        <v>0</v>
      </c>
      <c r="F1482" s="33" t="n">
        <v>0</v>
      </c>
      <c r="G1482" s="62"/>
      <c r="H1482" s="35" t="n">
        <v>0</v>
      </c>
      <c r="I1482" s="34" t="n">
        <f aca="false">+IF(E1482=0,0,E1482*0.03)</f>
        <v>0</v>
      </c>
    </row>
    <row r="1483" customFormat="false" ht="15.75" hidden="false" customHeight="true" outlineLevel="0" collapsed="false">
      <c r="A1483" s="30" t="n">
        <v>45323</v>
      </c>
      <c r="B1483" s="31" t="s">
        <v>11</v>
      </c>
      <c r="C1483" s="32"/>
      <c r="D1483" s="32"/>
      <c r="E1483" s="19" t="n">
        <f aca="false">+IF(C1483="EQUIPO",F1483,0)</f>
        <v>0</v>
      </c>
      <c r="F1483" s="33" t="n">
        <v>0</v>
      </c>
      <c r="G1483" s="62"/>
      <c r="H1483" s="35" t="n">
        <v>0</v>
      </c>
      <c r="I1483" s="34" t="n">
        <f aca="false">+IF(E1483=0,0,E1483*0.03)</f>
        <v>0</v>
      </c>
    </row>
    <row r="1484" customFormat="false" ht="15.75" hidden="false" customHeight="true" outlineLevel="0" collapsed="false">
      <c r="A1484" s="30" t="n">
        <v>45323</v>
      </c>
      <c r="B1484" s="31" t="s">
        <v>11</v>
      </c>
      <c r="C1484" s="32"/>
      <c r="D1484" s="32"/>
      <c r="E1484" s="19" t="n">
        <f aca="false">+IF(C1484="EQUIPO",F1484,0)</f>
        <v>0</v>
      </c>
      <c r="F1484" s="33" t="n">
        <v>0</v>
      </c>
      <c r="G1484" s="62"/>
      <c r="H1484" s="35" t="n">
        <v>0</v>
      </c>
      <c r="I1484" s="34" t="n">
        <f aca="false">+IF(E1484=0,0,E1484*0.03)</f>
        <v>0</v>
      </c>
    </row>
    <row r="1485" customFormat="false" ht="15.75" hidden="false" customHeight="true" outlineLevel="0" collapsed="false">
      <c r="A1485" s="30" t="n">
        <v>45323</v>
      </c>
      <c r="B1485" s="31" t="s">
        <v>11</v>
      </c>
      <c r="C1485" s="32"/>
      <c r="D1485" s="32"/>
      <c r="E1485" s="19" t="n">
        <f aca="false">+IF(C1485="EQUIPO",F1485,0)</f>
        <v>0</v>
      </c>
      <c r="F1485" s="33" t="n">
        <v>0</v>
      </c>
      <c r="G1485" s="62"/>
      <c r="H1485" s="35" t="n">
        <v>0</v>
      </c>
      <c r="I1485" s="34" t="n">
        <f aca="false">+IF(E1485=0,0,E1485*0.03)</f>
        <v>0</v>
      </c>
    </row>
    <row r="1486" customFormat="false" ht="15.75" hidden="false" customHeight="true" outlineLevel="0" collapsed="false">
      <c r="A1486" s="30" t="n">
        <v>45323</v>
      </c>
      <c r="B1486" s="31" t="s">
        <v>11</v>
      </c>
      <c r="C1486" s="32"/>
      <c r="D1486" s="32"/>
      <c r="E1486" s="19" t="n">
        <f aca="false">+IF(C1486="EQUIPO",F1486,0)</f>
        <v>0</v>
      </c>
      <c r="F1486" s="33" t="n">
        <v>0</v>
      </c>
      <c r="G1486" s="62"/>
      <c r="H1486" s="35" t="n">
        <v>0</v>
      </c>
      <c r="I1486" s="34" t="n">
        <f aca="false">+IF(E1486=0,0,E1486*0.03)</f>
        <v>0</v>
      </c>
    </row>
    <row r="1487" customFormat="false" ht="15.75" hidden="false" customHeight="true" outlineLevel="0" collapsed="false">
      <c r="A1487" s="30" t="n">
        <v>45323</v>
      </c>
      <c r="B1487" s="31" t="s">
        <v>11</v>
      </c>
      <c r="C1487" s="32"/>
      <c r="D1487" s="32"/>
      <c r="E1487" s="19" t="n">
        <f aca="false">+IF(C1487="EQUIPO",F1487,0)</f>
        <v>0</v>
      </c>
      <c r="F1487" s="33" t="n">
        <v>0</v>
      </c>
      <c r="G1487" s="62"/>
      <c r="H1487" s="35" t="n">
        <v>0</v>
      </c>
      <c r="I1487" s="34" t="n">
        <f aca="false">+IF(E1487=0,0,E1487*0.03)</f>
        <v>0</v>
      </c>
    </row>
    <row r="1488" customFormat="false" ht="15.75" hidden="false" customHeight="true" outlineLevel="0" collapsed="false">
      <c r="A1488" s="30" t="n">
        <v>45323</v>
      </c>
      <c r="B1488" s="31" t="s">
        <v>11</v>
      </c>
      <c r="C1488" s="32"/>
      <c r="D1488" s="32"/>
      <c r="E1488" s="19" t="n">
        <f aca="false">+IF(C1488="EQUIPO",F1488,0)</f>
        <v>0</v>
      </c>
      <c r="F1488" s="33" t="n">
        <v>0</v>
      </c>
      <c r="G1488" s="62"/>
      <c r="H1488" s="35" t="n">
        <v>0</v>
      </c>
      <c r="I1488" s="34" t="n">
        <f aca="false">+IF(E1488=0,0,E1488*0.03)</f>
        <v>0</v>
      </c>
    </row>
    <row r="1489" customFormat="false" ht="15.75" hidden="false" customHeight="true" outlineLevel="0" collapsed="false">
      <c r="A1489" s="30" t="n">
        <v>45323</v>
      </c>
      <c r="B1489" s="31" t="s">
        <v>11</v>
      </c>
      <c r="C1489" s="32"/>
      <c r="D1489" s="32"/>
      <c r="E1489" s="19" t="n">
        <f aca="false">+IF(C1489="EQUIPO",F1489,0)</f>
        <v>0</v>
      </c>
      <c r="F1489" s="33" t="n">
        <v>0</v>
      </c>
      <c r="G1489" s="62"/>
      <c r="H1489" s="35" t="n">
        <v>0</v>
      </c>
      <c r="I1489" s="34" t="n">
        <f aca="false">+IF(E1489=0,0,E1489*0.03)</f>
        <v>0</v>
      </c>
    </row>
    <row r="1490" customFormat="false" ht="15.75" hidden="false" customHeight="true" outlineLevel="0" collapsed="false">
      <c r="A1490" s="30" t="n">
        <v>45323</v>
      </c>
      <c r="B1490" s="31" t="s">
        <v>11</v>
      </c>
      <c r="C1490" s="32"/>
      <c r="D1490" s="32"/>
      <c r="E1490" s="19" t="n">
        <f aca="false">+IF(C1490="EQUIPO",F1490,0)</f>
        <v>0</v>
      </c>
      <c r="F1490" s="33" t="n">
        <v>0</v>
      </c>
      <c r="G1490" s="62"/>
      <c r="H1490" s="35" t="n">
        <v>0</v>
      </c>
      <c r="I1490" s="34" t="n">
        <f aca="false">+IF(E1490=0,0,E1490*0.03)</f>
        <v>0</v>
      </c>
    </row>
    <row r="1491" customFormat="false" ht="15.75" hidden="false" customHeight="true" outlineLevel="0" collapsed="false">
      <c r="A1491" s="30" t="n">
        <v>45323</v>
      </c>
      <c r="B1491" s="31" t="s">
        <v>11</v>
      </c>
      <c r="C1491" s="32"/>
      <c r="D1491" s="32"/>
      <c r="E1491" s="19" t="n">
        <f aca="false">+IF(C1491="EQUIPO",F1491,0)</f>
        <v>0</v>
      </c>
      <c r="F1491" s="33" t="n">
        <v>0</v>
      </c>
      <c r="G1491" s="62"/>
      <c r="H1491" s="35" t="n">
        <v>0</v>
      </c>
      <c r="I1491" s="34" t="n">
        <f aca="false">+IF(E1491=0,0,E1491*0.03)</f>
        <v>0</v>
      </c>
    </row>
    <row r="1492" customFormat="false" ht="15.75" hidden="false" customHeight="true" outlineLevel="0" collapsed="false">
      <c r="A1492" s="30" t="n">
        <v>45323</v>
      </c>
      <c r="B1492" s="31" t="s">
        <v>11</v>
      </c>
      <c r="C1492" s="32"/>
      <c r="D1492" s="32"/>
      <c r="E1492" s="19" t="n">
        <f aca="false">+IF(C1492="EQUIPO",F1492,0)</f>
        <v>0</v>
      </c>
      <c r="F1492" s="33" t="n">
        <v>0</v>
      </c>
      <c r="G1492" s="62"/>
      <c r="H1492" s="35" t="n">
        <v>0</v>
      </c>
      <c r="I1492" s="34" t="n">
        <f aca="false">+IF(E1492=0,0,E1492*0.03)</f>
        <v>0</v>
      </c>
    </row>
    <row r="1493" customFormat="false" ht="15.75" hidden="false" customHeight="true" outlineLevel="0" collapsed="false">
      <c r="A1493" s="30" t="n">
        <v>45323</v>
      </c>
      <c r="B1493" s="31" t="s">
        <v>11</v>
      </c>
      <c r="C1493" s="32"/>
      <c r="D1493" s="32"/>
      <c r="E1493" s="19" t="n">
        <f aca="false">+IF(C1493="EQUIPO",F1493,0)</f>
        <v>0</v>
      </c>
      <c r="F1493" s="33" t="n">
        <v>0</v>
      </c>
      <c r="G1493" s="62"/>
      <c r="H1493" s="35" t="n">
        <v>0</v>
      </c>
      <c r="I1493" s="34" t="n">
        <f aca="false">+IF(E1493=0,0,E1493*0.03)</f>
        <v>0</v>
      </c>
    </row>
    <row r="1494" customFormat="false" ht="15.75" hidden="false" customHeight="true" outlineLevel="0" collapsed="false">
      <c r="A1494" s="30" t="n">
        <v>45323</v>
      </c>
      <c r="B1494" s="31" t="s">
        <v>11</v>
      </c>
      <c r="C1494" s="32"/>
      <c r="D1494" s="32"/>
      <c r="E1494" s="19" t="n">
        <f aca="false">+IF(C1494="EQUIPO",F1494,0)</f>
        <v>0</v>
      </c>
      <c r="F1494" s="33" t="n">
        <v>0</v>
      </c>
      <c r="G1494" s="62"/>
      <c r="H1494" s="35" t="n">
        <v>0</v>
      </c>
      <c r="I1494" s="34" t="n">
        <f aca="false">+IF(E1494=0,0,E1494*0.03)</f>
        <v>0</v>
      </c>
    </row>
    <row r="1495" customFormat="false" ht="15.75" hidden="false" customHeight="true" outlineLevel="0" collapsed="false">
      <c r="A1495" s="30" t="n">
        <v>45323</v>
      </c>
      <c r="B1495" s="31" t="s">
        <v>11</v>
      </c>
      <c r="C1495" s="32"/>
      <c r="D1495" s="32"/>
      <c r="E1495" s="19" t="n">
        <f aca="false">+IF(C1495="EQUIPO",F1495,0)</f>
        <v>0</v>
      </c>
      <c r="F1495" s="33" t="n">
        <v>0</v>
      </c>
      <c r="G1495" s="62"/>
      <c r="H1495" s="35" t="n">
        <v>0</v>
      </c>
      <c r="I1495" s="34" t="n">
        <f aca="false">+IF(E1495=0,0,E1495*0.03)</f>
        <v>0</v>
      </c>
    </row>
    <row r="1496" customFormat="false" ht="15.75" hidden="false" customHeight="true" outlineLevel="0" collapsed="false">
      <c r="A1496" s="30" t="n">
        <v>45323</v>
      </c>
      <c r="B1496" s="31" t="s">
        <v>11</v>
      </c>
      <c r="C1496" s="32"/>
      <c r="D1496" s="32"/>
      <c r="E1496" s="19" t="n">
        <f aca="false">+IF(C1496="EQUIPO",F1496,0)</f>
        <v>0</v>
      </c>
      <c r="F1496" s="33" t="n">
        <v>0</v>
      </c>
      <c r="G1496" s="62"/>
      <c r="H1496" s="35" t="n">
        <v>0</v>
      </c>
      <c r="I1496" s="34" t="n">
        <f aca="false">+IF(E1496=0,0,E1496*0.03)</f>
        <v>0</v>
      </c>
    </row>
    <row r="1497" customFormat="false" ht="15.75" hidden="false" customHeight="true" outlineLevel="0" collapsed="false">
      <c r="A1497" s="30" t="n">
        <v>45323</v>
      </c>
      <c r="B1497" s="31" t="s">
        <v>11</v>
      </c>
      <c r="C1497" s="32"/>
      <c r="D1497" s="32"/>
      <c r="E1497" s="19" t="n">
        <f aca="false">+IF(C1497="EQUIPO",F1497,0)</f>
        <v>0</v>
      </c>
      <c r="F1497" s="33" t="n">
        <v>0</v>
      </c>
      <c r="G1497" s="62"/>
      <c r="H1497" s="35" t="n">
        <v>0</v>
      </c>
      <c r="I1497" s="34" t="n">
        <f aca="false">+IF(E1497=0,0,E1497*0.03)</f>
        <v>0</v>
      </c>
    </row>
    <row r="1498" customFormat="false" ht="15.75" hidden="false" customHeight="true" outlineLevel="0" collapsed="false">
      <c r="A1498" s="30" t="n">
        <v>45323</v>
      </c>
      <c r="B1498" s="31" t="s">
        <v>11</v>
      </c>
      <c r="C1498" s="32"/>
      <c r="D1498" s="32"/>
      <c r="E1498" s="19" t="n">
        <f aca="false">+IF(C1498="EQUIPO",F1498,0)</f>
        <v>0</v>
      </c>
      <c r="F1498" s="33" t="n">
        <v>0</v>
      </c>
      <c r="G1498" s="62"/>
      <c r="H1498" s="35" t="n">
        <v>0</v>
      </c>
      <c r="I1498" s="34" t="n">
        <f aca="false">+IF(E1498=0,0,E1498*0.03)</f>
        <v>0</v>
      </c>
    </row>
    <row r="1499" customFormat="false" ht="15.75" hidden="false" customHeight="true" outlineLevel="0" collapsed="false">
      <c r="A1499" s="30" t="n">
        <v>45323</v>
      </c>
      <c r="B1499" s="31" t="s">
        <v>11</v>
      </c>
      <c r="C1499" s="32"/>
      <c r="D1499" s="32"/>
      <c r="E1499" s="19" t="n">
        <f aca="false">+IF(C1499="EQUIPO",F1499,0)</f>
        <v>0</v>
      </c>
      <c r="F1499" s="33" t="n">
        <v>0</v>
      </c>
      <c r="G1499" s="62"/>
      <c r="H1499" s="35" t="n">
        <v>0</v>
      </c>
      <c r="I1499" s="34" t="n">
        <f aca="false">+IF(E1499=0,0,E1499*0.03)</f>
        <v>0</v>
      </c>
    </row>
    <row r="1500" customFormat="false" ht="15.75" hidden="false" customHeight="true" outlineLevel="0" collapsed="false">
      <c r="A1500" s="30" t="n">
        <v>45323</v>
      </c>
      <c r="B1500" s="31" t="s">
        <v>11</v>
      </c>
      <c r="C1500" s="32"/>
      <c r="D1500" s="32"/>
      <c r="E1500" s="19" t="n">
        <f aca="false">+IF(C1500="EQUIPO",F1500,0)</f>
        <v>0</v>
      </c>
      <c r="F1500" s="33" t="n">
        <v>0</v>
      </c>
      <c r="G1500" s="62"/>
      <c r="H1500" s="35" t="n">
        <v>0</v>
      </c>
      <c r="I1500" s="34" t="n">
        <f aca="false">+IF(E1500=0,0,E1500*0.03)</f>
        <v>0</v>
      </c>
    </row>
    <row r="1501" customFormat="false" ht="15.75" hidden="false" customHeight="true" outlineLevel="0" collapsed="false">
      <c r="A1501" s="30" t="n">
        <v>45323</v>
      </c>
      <c r="B1501" s="31" t="s">
        <v>11</v>
      </c>
      <c r="C1501" s="32"/>
      <c r="D1501" s="32"/>
      <c r="E1501" s="19" t="n">
        <f aca="false">+IF(C1501="EQUIPO",F1501,0)</f>
        <v>0</v>
      </c>
      <c r="F1501" s="33" t="n">
        <v>0</v>
      </c>
      <c r="G1501" s="62"/>
      <c r="H1501" s="35" t="n">
        <v>0</v>
      </c>
      <c r="I1501" s="34" t="n">
        <f aca="false">+IF(E1501=0,0,E1501*0.03)</f>
        <v>0</v>
      </c>
    </row>
    <row r="1502" customFormat="false" ht="15.75" hidden="false" customHeight="true" outlineLevel="0" collapsed="false">
      <c r="A1502" s="30" t="n">
        <v>45323</v>
      </c>
      <c r="B1502" s="31" t="s">
        <v>11</v>
      </c>
      <c r="C1502" s="32"/>
      <c r="D1502" s="32"/>
      <c r="E1502" s="19" t="n">
        <f aca="false">+IF(C1502="EQUIPO",F1502,0)</f>
        <v>0</v>
      </c>
      <c r="F1502" s="33" t="n">
        <v>0</v>
      </c>
      <c r="G1502" s="62"/>
      <c r="H1502" s="35" t="n">
        <v>0</v>
      </c>
      <c r="I1502" s="34" t="n">
        <f aca="false">+IF(E1502=0,0,E1502*0.03)</f>
        <v>0</v>
      </c>
    </row>
    <row r="1503" customFormat="false" ht="15.75" hidden="false" customHeight="true" outlineLevel="0" collapsed="false">
      <c r="A1503" s="30" t="n">
        <v>45323</v>
      </c>
      <c r="B1503" s="31" t="s">
        <v>11</v>
      </c>
      <c r="C1503" s="32"/>
      <c r="D1503" s="32"/>
      <c r="E1503" s="19" t="n">
        <f aca="false">+IF(C1503="EQUIPO",F1503,0)</f>
        <v>0</v>
      </c>
      <c r="F1503" s="33" t="n">
        <v>0</v>
      </c>
      <c r="G1503" s="62"/>
      <c r="H1503" s="35" t="n">
        <v>0</v>
      </c>
      <c r="I1503" s="34" t="n">
        <f aca="false">+IF(E1503=0,0,E1503*0.03)</f>
        <v>0</v>
      </c>
    </row>
    <row r="1504" customFormat="false" ht="15.75" hidden="false" customHeight="true" outlineLevel="0" collapsed="false">
      <c r="A1504" s="30" t="n">
        <v>45323</v>
      </c>
      <c r="B1504" s="31" t="s">
        <v>11</v>
      </c>
      <c r="C1504" s="32"/>
      <c r="D1504" s="32"/>
      <c r="E1504" s="19" t="n">
        <f aca="false">+IF(C1504="EQUIPO",F1504,0)</f>
        <v>0</v>
      </c>
      <c r="F1504" s="33" t="n">
        <v>0</v>
      </c>
      <c r="G1504" s="62"/>
      <c r="H1504" s="35" t="n">
        <v>0</v>
      </c>
      <c r="I1504" s="34" t="n">
        <f aca="false">+IF(E1504=0,0,E1504*0.03)</f>
        <v>0</v>
      </c>
    </row>
    <row r="1505" customFormat="false" ht="15.75" hidden="false" customHeight="true" outlineLevel="0" collapsed="false">
      <c r="A1505" s="30" t="n">
        <v>45323</v>
      </c>
      <c r="B1505" s="31" t="s">
        <v>11</v>
      </c>
      <c r="C1505" s="32"/>
      <c r="D1505" s="32"/>
      <c r="E1505" s="19" t="n">
        <f aca="false">+IF(C1505="EQUIPO",F1505,0)</f>
        <v>0</v>
      </c>
      <c r="F1505" s="33" t="n">
        <v>0</v>
      </c>
      <c r="G1505" s="62"/>
      <c r="H1505" s="35" t="n">
        <v>0</v>
      </c>
      <c r="I1505" s="34" t="n">
        <f aca="false">+IF(E1505=0,0,E1505*0.03)</f>
        <v>0</v>
      </c>
    </row>
    <row r="1506" customFormat="false" ht="15.75" hidden="false" customHeight="true" outlineLevel="0" collapsed="false">
      <c r="A1506" s="30" t="n">
        <v>45323</v>
      </c>
      <c r="B1506" s="31" t="s">
        <v>11</v>
      </c>
      <c r="C1506" s="32"/>
      <c r="D1506" s="32"/>
      <c r="E1506" s="19" t="n">
        <f aca="false">+IF(C1506="EQUIPO",F1506,0)</f>
        <v>0</v>
      </c>
      <c r="F1506" s="33" t="n">
        <v>0</v>
      </c>
      <c r="G1506" s="62"/>
      <c r="H1506" s="35" t="n">
        <v>0</v>
      </c>
      <c r="I1506" s="34" t="n">
        <f aca="false">+IF(E1506=0,0,E1506*0.03)</f>
        <v>0</v>
      </c>
    </row>
    <row r="1507" customFormat="false" ht="15.75" hidden="false" customHeight="true" outlineLevel="0" collapsed="false">
      <c r="A1507" s="30" t="n">
        <v>45323</v>
      </c>
      <c r="B1507" s="31" t="s">
        <v>11</v>
      </c>
      <c r="C1507" s="32"/>
      <c r="D1507" s="32"/>
      <c r="E1507" s="19" t="n">
        <f aca="false">+IF(C1507="EQUIPO",F1507,0)</f>
        <v>0</v>
      </c>
      <c r="F1507" s="33" t="n">
        <v>0</v>
      </c>
      <c r="G1507" s="62"/>
      <c r="H1507" s="35" t="n">
        <v>0</v>
      </c>
      <c r="I1507" s="34" t="n">
        <f aca="false">+IF(E1507=0,0,E1507*0.03)</f>
        <v>0</v>
      </c>
    </row>
    <row r="1508" customFormat="false" ht="15.75" hidden="false" customHeight="true" outlineLevel="0" collapsed="false">
      <c r="A1508" s="30" t="n">
        <v>45323</v>
      </c>
      <c r="B1508" s="31" t="s">
        <v>11</v>
      </c>
      <c r="C1508" s="32"/>
      <c r="D1508" s="32"/>
      <c r="E1508" s="19" t="n">
        <f aca="false">+IF(C1508="EQUIPO",F1508,0)</f>
        <v>0</v>
      </c>
      <c r="F1508" s="33" t="n">
        <v>0</v>
      </c>
      <c r="G1508" s="62"/>
      <c r="H1508" s="35" t="n">
        <v>0</v>
      </c>
      <c r="I1508" s="34" t="n">
        <f aca="false">+IF(E1508=0,0,E1508*0.03)</f>
        <v>0</v>
      </c>
    </row>
    <row r="1509" customFormat="false" ht="15.75" hidden="false" customHeight="true" outlineLevel="0" collapsed="false">
      <c r="A1509" s="30" t="n">
        <v>45323</v>
      </c>
      <c r="B1509" s="31" t="s">
        <v>11</v>
      </c>
      <c r="C1509" s="32"/>
      <c r="D1509" s="32"/>
      <c r="E1509" s="19" t="n">
        <f aca="false">+IF(C1509="EQUIPO",F1509,0)</f>
        <v>0</v>
      </c>
      <c r="F1509" s="33" t="n">
        <v>0</v>
      </c>
      <c r="G1509" s="62"/>
      <c r="H1509" s="35" t="n">
        <v>0</v>
      </c>
      <c r="I1509" s="34" t="n">
        <f aca="false">+IF(E1509=0,0,E1509*0.03)</f>
        <v>0</v>
      </c>
    </row>
    <row r="1510" customFormat="false" ht="15.75" hidden="false" customHeight="true" outlineLevel="0" collapsed="false">
      <c r="A1510" s="30" t="n">
        <v>45323</v>
      </c>
      <c r="B1510" s="31" t="s">
        <v>11</v>
      </c>
      <c r="C1510" s="32"/>
      <c r="D1510" s="32"/>
      <c r="E1510" s="19" t="n">
        <f aca="false">+IF(C1510="EQUIPO",F1510,0)</f>
        <v>0</v>
      </c>
      <c r="F1510" s="33" t="n">
        <v>0</v>
      </c>
      <c r="G1510" s="62"/>
      <c r="H1510" s="35" t="n">
        <v>0</v>
      </c>
      <c r="I1510" s="34" t="n">
        <f aca="false">+IF(E1510=0,0,E1510*0.03)</f>
        <v>0</v>
      </c>
    </row>
    <row r="1511" customFormat="false" ht="15.75" hidden="false" customHeight="true" outlineLevel="0" collapsed="false">
      <c r="A1511" s="30" t="n">
        <v>45323</v>
      </c>
      <c r="B1511" s="31" t="s">
        <v>11</v>
      </c>
      <c r="C1511" s="32"/>
      <c r="D1511" s="32"/>
      <c r="E1511" s="19" t="n">
        <f aca="false">+IF(C1511="EQUIPO",F1511,0)</f>
        <v>0</v>
      </c>
      <c r="F1511" s="33" t="n">
        <v>0</v>
      </c>
      <c r="G1511" s="62"/>
      <c r="H1511" s="35" t="n">
        <v>0</v>
      </c>
      <c r="I1511" s="34" t="n">
        <f aca="false">+IF(E1511=0,0,E1511*0.03)</f>
        <v>0</v>
      </c>
    </row>
    <row r="1512" customFormat="false" ht="15.75" hidden="false" customHeight="true" outlineLevel="0" collapsed="false">
      <c r="A1512" s="30" t="n">
        <v>45323</v>
      </c>
      <c r="B1512" s="31" t="s">
        <v>11</v>
      </c>
      <c r="C1512" s="32"/>
      <c r="D1512" s="32"/>
      <c r="E1512" s="19" t="n">
        <f aca="false">+IF(C1512="EQUIPO",F1512,0)</f>
        <v>0</v>
      </c>
      <c r="F1512" s="33" t="n">
        <v>0</v>
      </c>
      <c r="G1512" s="62"/>
      <c r="H1512" s="35" t="n">
        <v>0</v>
      </c>
      <c r="I1512" s="34" t="n">
        <f aca="false">+IF(E1512=0,0,E1512*0.03)</f>
        <v>0</v>
      </c>
    </row>
    <row r="1513" customFormat="false" ht="15.75" hidden="false" customHeight="true" outlineLevel="0" collapsed="false">
      <c r="A1513" s="30" t="n">
        <v>45323</v>
      </c>
      <c r="B1513" s="31" t="s">
        <v>11</v>
      </c>
      <c r="C1513" s="32"/>
      <c r="D1513" s="32"/>
      <c r="E1513" s="19" t="n">
        <f aca="false">+IF(C1513="EQUIPO",F1513,0)</f>
        <v>0</v>
      </c>
      <c r="F1513" s="33" t="n">
        <v>0</v>
      </c>
      <c r="G1513" s="62"/>
      <c r="H1513" s="35" t="n">
        <v>0</v>
      </c>
      <c r="I1513" s="34" t="n">
        <f aca="false">+IF(E1513=0,0,E1513*0.03)</f>
        <v>0</v>
      </c>
    </row>
    <row r="1514" customFormat="false" ht="15.75" hidden="false" customHeight="true" outlineLevel="0" collapsed="false">
      <c r="A1514" s="30" t="n">
        <v>45323</v>
      </c>
      <c r="B1514" s="31" t="s">
        <v>11</v>
      </c>
      <c r="C1514" s="32"/>
      <c r="D1514" s="32"/>
      <c r="E1514" s="19" t="n">
        <f aca="false">+IF(C1514="EQUIPO",F1514,0)</f>
        <v>0</v>
      </c>
      <c r="F1514" s="33" t="n">
        <v>0</v>
      </c>
      <c r="G1514" s="62"/>
      <c r="H1514" s="35" t="n">
        <v>0</v>
      </c>
      <c r="I1514" s="34" t="n">
        <f aca="false">+IF(E1514=0,0,E1514*0.03)</f>
        <v>0</v>
      </c>
    </row>
    <row r="1515" customFormat="false" ht="15.75" hidden="false" customHeight="true" outlineLevel="0" collapsed="false">
      <c r="A1515" s="30" t="n">
        <v>45323</v>
      </c>
      <c r="B1515" s="31" t="s">
        <v>11</v>
      </c>
      <c r="C1515" s="32"/>
      <c r="D1515" s="32"/>
      <c r="E1515" s="19" t="n">
        <f aca="false">+IF(C1515="EQUIPO",F1515,0)</f>
        <v>0</v>
      </c>
      <c r="F1515" s="33" t="n">
        <v>0</v>
      </c>
      <c r="G1515" s="62"/>
      <c r="H1515" s="35" t="n">
        <v>0</v>
      </c>
      <c r="I1515" s="34" t="n">
        <f aca="false">+IF(E1515=0,0,E1515*0.03)</f>
        <v>0</v>
      </c>
    </row>
    <row r="1516" customFormat="false" ht="15.75" hidden="false" customHeight="true" outlineLevel="0" collapsed="false">
      <c r="A1516" s="30" t="n">
        <v>45323</v>
      </c>
      <c r="B1516" s="31" t="s">
        <v>11</v>
      </c>
      <c r="C1516" s="32"/>
      <c r="D1516" s="32"/>
      <c r="E1516" s="19" t="n">
        <f aca="false">+IF(C1516="EQUIPO",F1516,0)</f>
        <v>0</v>
      </c>
      <c r="F1516" s="33" t="n">
        <v>0</v>
      </c>
      <c r="G1516" s="62"/>
      <c r="H1516" s="35" t="n">
        <v>0</v>
      </c>
      <c r="I1516" s="34" t="n">
        <f aca="false">+IF(E1516=0,0,E1516*0.03)</f>
        <v>0</v>
      </c>
    </row>
    <row r="1517" customFormat="false" ht="15.75" hidden="false" customHeight="true" outlineLevel="0" collapsed="false">
      <c r="A1517" s="30" t="n">
        <v>45323</v>
      </c>
      <c r="B1517" s="31" t="s">
        <v>11</v>
      </c>
      <c r="C1517" s="32"/>
      <c r="D1517" s="32"/>
      <c r="E1517" s="19" t="n">
        <f aca="false">+IF(C1517="EQUIPO",F1517,0)</f>
        <v>0</v>
      </c>
      <c r="F1517" s="33" t="n">
        <v>0</v>
      </c>
      <c r="G1517" s="62"/>
      <c r="H1517" s="35" t="n">
        <v>0</v>
      </c>
      <c r="I1517" s="34" t="n">
        <f aca="false">+IF(E1517=0,0,E1517*0.03)</f>
        <v>0</v>
      </c>
    </row>
    <row r="1518" customFormat="false" ht="15.75" hidden="false" customHeight="true" outlineLevel="0" collapsed="false">
      <c r="A1518" s="30" t="n">
        <v>45323</v>
      </c>
      <c r="B1518" s="31" t="s">
        <v>11</v>
      </c>
      <c r="C1518" s="32"/>
      <c r="D1518" s="32"/>
      <c r="E1518" s="19" t="n">
        <f aca="false">+IF(C1518="EQUIPO",F1518,0)</f>
        <v>0</v>
      </c>
      <c r="F1518" s="33" t="n">
        <v>0</v>
      </c>
      <c r="G1518" s="62"/>
      <c r="H1518" s="35" t="n">
        <v>0</v>
      </c>
      <c r="I1518" s="34" t="n">
        <f aca="false">+IF(E1518=0,0,E1518*0.03)</f>
        <v>0</v>
      </c>
    </row>
    <row r="1519" customFormat="false" ht="15.75" hidden="false" customHeight="true" outlineLevel="0" collapsed="false">
      <c r="A1519" s="30" t="n">
        <v>45323</v>
      </c>
      <c r="B1519" s="31" t="s">
        <v>11</v>
      </c>
      <c r="C1519" s="32"/>
      <c r="D1519" s="32"/>
      <c r="E1519" s="19" t="n">
        <f aca="false">+IF(C1519="EQUIPO",F1519,0)</f>
        <v>0</v>
      </c>
      <c r="F1519" s="33" t="n">
        <v>0</v>
      </c>
      <c r="G1519" s="62"/>
      <c r="H1519" s="35" t="n">
        <v>0</v>
      </c>
      <c r="I1519" s="34" t="n">
        <f aca="false">+IF(E1519=0,0,E1519*0.03)</f>
        <v>0</v>
      </c>
    </row>
    <row r="1520" customFormat="false" ht="15.75" hidden="false" customHeight="true" outlineLevel="0" collapsed="false">
      <c r="A1520" s="30" t="n">
        <v>45323</v>
      </c>
      <c r="B1520" s="31" t="s">
        <v>11</v>
      </c>
      <c r="C1520" s="32"/>
      <c r="D1520" s="32"/>
      <c r="E1520" s="19" t="n">
        <f aca="false">+IF(C1520="EQUIPO",F1520,0)</f>
        <v>0</v>
      </c>
      <c r="F1520" s="33" t="n">
        <v>0</v>
      </c>
      <c r="G1520" s="62"/>
      <c r="H1520" s="35" t="n">
        <v>0</v>
      </c>
      <c r="I1520" s="34" t="n">
        <f aca="false">+IF(E1520=0,0,E1520*0.03)</f>
        <v>0</v>
      </c>
    </row>
    <row r="1521" customFormat="false" ht="15.75" hidden="false" customHeight="true" outlineLevel="0" collapsed="false">
      <c r="A1521" s="30" t="n">
        <v>45323</v>
      </c>
      <c r="B1521" s="31" t="s">
        <v>11</v>
      </c>
      <c r="C1521" s="32"/>
      <c r="D1521" s="32"/>
      <c r="E1521" s="19" t="n">
        <f aca="false">+IF(C1521="EQUIPO",F1521,0)</f>
        <v>0</v>
      </c>
      <c r="F1521" s="33" t="n">
        <v>0</v>
      </c>
      <c r="G1521" s="62"/>
      <c r="H1521" s="35" t="n">
        <v>0</v>
      </c>
      <c r="I1521" s="34" t="n">
        <f aca="false">+IF(E1521=0,0,E1521*0.03)</f>
        <v>0</v>
      </c>
    </row>
    <row r="1522" customFormat="false" ht="15.75" hidden="false" customHeight="true" outlineLevel="0" collapsed="false">
      <c r="A1522" s="30" t="n">
        <v>45323</v>
      </c>
      <c r="B1522" s="31" t="s">
        <v>11</v>
      </c>
      <c r="C1522" s="32"/>
      <c r="D1522" s="32"/>
      <c r="E1522" s="19" t="n">
        <f aca="false">+IF(C1522="EQUIPO",F1522,0)</f>
        <v>0</v>
      </c>
      <c r="F1522" s="33" t="n">
        <v>0</v>
      </c>
      <c r="G1522" s="62"/>
      <c r="H1522" s="35" t="n">
        <v>0</v>
      </c>
      <c r="I1522" s="34" t="n">
        <f aca="false">+IF(E1522=0,0,E1522*0.03)</f>
        <v>0</v>
      </c>
    </row>
    <row r="1523" customFormat="false" ht="15.75" hidden="false" customHeight="true" outlineLevel="0" collapsed="false">
      <c r="A1523" s="30" t="n">
        <v>45323</v>
      </c>
      <c r="B1523" s="31" t="s">
        <v>11</v>
      </c>
      <c r="C1523" s="32"/>
      <c r="D1523" s="32"/>
      <c r="E1523" s="19" t="n">
        <f aca="false">+IF(C1523="EQUIPO",F1523,0)</f>
        <v>0</v>
      </c>
      <c r="F1523" s="33" t="n">
        <v>0</v>
      </c>
      <c r="G1523" s="62"/>
      <c r="H1523" s="35" t="n">
        <v>0</v>
      </c>
      <c r="I1523" s="34" t="n">
        <f aca="false">+IF(E1523=0,0,E1523*0.03)</f>
        <v>0</v>
      </c>
    </row>
    <row r="1524" customFormat="false" ht="15.75" hidden="false" customHeight="true" outlineLevel="0" collapsed="false">
      <c r="A1524" s="30" t="n">
        <v>45323</v>
      </c>
      <c r="B1524" s="31" t="s">
        <v>11</v>
      </c>
      <c r="C1524" s="32"/>
      <c r="D1524" s="32"/>
      <c r="E1524" s="19" t="n">
        <f aca="false">+IF(C1524="EQUIPO",F1524,0)</f>
        <v>0</v>
      </c>
      <c r="F1524" s="33" t="n">
        <v>0</v>
      </c>
      <c r="G1524" s="62"/>
      <c r="H1524" s="35" t="n">
        <v>0</v>
      </c>
      <c r="I1524" s="34" t="n">
        <f aca="false">+IF(E1524=0,0,E1524*0.03)</f>
        <v>0</v>
      </c>
    </row>
    <row r="1525" customFormat="false" ht="15.75" hidden="false" customHeight="true" outlineLevel="0" collapsed="false">
      <c r="A1525" s="30" t="n">
        <v>45323</v>
      </c>
      <c r="B1525" s="31" t="s">
        <v>11</v>
      </c>
      <c r="C1525" s="32"/>
      <c r="D1525" s="32"/>
      <c r="E1525" s="19" t="n">
        <f aca="false">+IF(C1525="EQUIPO",F1525,0)</f>
        <v>0</v>
      </c>
      <c r="F1525" s="33" t="n">
        <v>0</v>
      </c>
      <c r="G1525" s="62"/>
      <c r="H1525" s="35" t="n">
        <v>0</v>
      </c>
      <c r="I1525" s="34" t="n">
        <f aca="false">+IF(E1525=0,0,E1525*0.03)</f>
        <v>0</v>
      </c>
    </row>
    <row r="1526" customFormat="false" ht="15.75" hidden="false" customHeight="true" outlineLevel="0" collapsed="false">
      <c r="A1526" s="30" t="n">
        <v>45323</v>
      </c>
      <c r="B1526" s="31" t="s">
        <v>11</v>
      </c>
      <c r="C1526" s="32"/>
      <c r="D1526" s="32"/>
      <c r="E1526" s="19" t="n">
        <f aca="false">+IF(C1526="EQUIPO",F1526,0)</f>
        <v>0</v>
      </c>
      <c r="F1526" s="33" t="n">
        <v>0</v>
      </c>
      <c r="G1526" s="62"/>
      <c r="H1526" s="35" t="n">
        <v>0</v>
      </c>
      <c r="I1526" s="34" t="n">
        <f aca="false">+IF(E1526=0,0,E1526*0.03)</f>
        <v>0</v>
      </c>
    </row>
    <row r="1527" customFormat="false" ht="15.75" hidden="false" customHeight="true" outlineLevel="0" collapsed="false">
      <c r="A1527" s="30" t="n">
        <v>45323</v>
      </c>
      <c r="B1527" s="31" t="s">
        <v>11</v>
      </c>
      <c r="C1527" s="32"/>
      <c r="D1527" s="32"/>
      <c r="E1527" s="19" t="n">
        <f aca="false">+IF(C1527="EQUIPO",F1527,0)</f>
        <v>0</v>
      </c>
      <c r="F1527" s="33" t="n">
        <v>0</v>
      </c>
      <c r="G1527" s="62"/>
      <c r="H1527" s="35" t="n">
        <v>0</v>
      </c>
      <c r="I1527" s="34" t="n">
        <f aca="false">+IF(E1527=0,0,E1527*0.03)</f>
        <v>0</v>
      </c>
    </row>
    <row r="1528" customFormat="false" ht="15.75" hidden="false" customHeight="true" outlineLevel="0" collapsed="false">
      <c r="A1528" s="30" t="n">
        <v>45323</v>
      </c>
      <c r="B1528" s="31" t="s">
        <v>11</v>
      </c>
      <c r="C1528" s="32"/>
      <c r="D1528" s="32"/>
      <c r="E1528" s="19" t="n">
        <f aca="false">+IF(C1528="EQUIPO",F1528,0)</f>
        <v>0</v>
      </c>
      <c r="F1528" s="33" t="n">
        <v>0</v>
      </c>
      <c r="G1528" s="62"/>
      <c r="H1528" s="35" t="n">
        <v>0</v>
      </c>
      <c r="I1528" s="34" t="n">
        <f aca="false">+IF(E1528=0,0,E1528*0.03)</f>
        <v>0</v>
      </c>
    </row>
    <row r="1529" customFormat="false" ht="15.75" hidden="false" customHeight="true" outlineLevel="0" collapsed="false">
      <c r="A1529" s="30" t="n">
        <v>45323</v>
      </c>
      <c r="B1529" s="31" t="s">
        <v>11</v>
      </c>
      <c r="C1529" s="32"/>
      <c r="D1529" s="32"/>
      <c r="E1529" s="19" t="n">
        <f aca="false">+IF(C1529="EQUIPO",F1529,0)</f>
        <v>0</v>
      </c>
      <c r="F1529" s="33" t="n">
        <v>0</v>
      </c>
      <c r="G1529" s="62"/>
      <c r="H1529" s="35" t="n">
        <v>0</v>
      </c>
      <c r="I1529" s="34" t="n">
        <f aca="false">+IF(E1529=0,0,E1529*0.03)</f>
        <v>0</v>
      </c>
    </row>
    <row r="1530" customFormat="false" ht="15.75" hidden="false" customHeight="true" outlineLevel="0" collapsed="false">
      <c r="A1530" s="30" t="n">
        <v>45323</v>
      </c>
      <c r="B1530" s="31" t="s">
        <v>11</v>
      </c>
      <c r="C1530" s="32"/>
      <c r="D1530" s="32"/>
      <c r="E1530" s="19" t="n">
        <f aca="false">+IF(C1530="EQUIPO",F1530,0)</f>
        <v>0</v>
      </c>
      <c r="F1530" s="33" t="n">
        <v>0</v>
      </c>
      <c r="G1530" s="62"/>
      <c r="H1530" s="35" t="n">
        <v>0</v>
      </c>
      <c r="I1530" s="34" t="n">
        <f aca="false">+IF(E1530=0,0,E1530*0.03)</f>
        <v>0</v>
      </c>
    </row>
    <row r="1531" customFormat="false" ht="15.75" hidden="false" customHeight="true" outlineLevel="0" collapsed="false">
      <c r="A1531" s="30" t="n">
        <v>45323</v>
      </c>
      <c r="B1531" s="31" t="s">
        <v>11</v>
      </c>
      <c r="C1531" s="32"/>
      <c r="D1531" s="32"/>
      <c r="E1531" s="19" t="n">
        <f aca="false">+IF(C1531="EQUIPO",F1531,0)</f>
        <v>0</v>
      </c>
      <c r="F1531" s="33" t="n">
        <v>0</v>
      </c>
      <c r="G1531" s="62"/>
      <c r="H1531" s="35" t="n">
        <v>0</v>
      </c>
      <c r="I1531" s="34" t="n">
        <f aca="false">+IF(E1531=0,0,E1531*0.03)</f>
        <v>0</v>
      </c>
    </row>
    <row r="1532" customFormat="false" ht="15.75" hidden="false" customHeight="true" outlineLevel="0" collapsed="false">
      <c r="A1532" s="30" t="n">
        <v>45323</v>
      </c>
      <c r="B1532" s="31" t="s">
        <v>11</v>
      </c>
      <c r="C1532" s="32"/>
      <c r="D1532" s="32"/>
      <c r="E1532" s="19" t="n">
        <f aca="false">+IF(C1532="EQUIPO",F1532,0)</f>
        <v>0</v>
      </c>
      <c r="F1532" s="33" t="n">
        <v>0</v>
      </c>
      <c r="G1532" s="62"/>
      <c r="H1532" s="35" t="n">
        <v>0</v>
      </c>
      <c r="I1532" s="34" t="n">
        <f aca="false">+IF(E1532=0,0,E1532*0.03)</f>
        <v>0</v>
      </c>
    </row>
    <row r="1533" customFormat="false" ht="15.75" hidden="false" customHeight="true" outlineLevel="0" collapsed="false">
      <c r="A1533" s="30" t="n">
        <v>45323</v>
      </c>
      <c r="B1533" s="31" t="s">
        <v>11</v>
      </c>
      <c r="C1533" s="32"/>
      <c r="D1533" s="32"/>
      <c r="E1533" s="19" t="n">
        <f aca="false">+IF(C1533="EQUIPO",F1533,0)</f>
        <v>0</v>
      </c>
      <c r="F1533" s="33" t="n">
        <v>0</v>
      </c>
      <c r="G1533" s="62"/>
      <c r="H1533" s="35" t="n">
        <v>0</v>
      </c>
      <c r="I1533" s="34" t="n">
        <f aca="false">+IF(E1533=0,0,E1533*0.03)</f>
        <v>0</v>
      </c>
    </row>
    <row r="1534" customFormat="false" ht="15.75" hidden="false" customHeight="true" outlineLevel="0" collapsed="false">
      <c r="A1534" s="30" t="n">
        <v>45323</v>
      </c>
      <c r="B1534" s="31" t="s">
        <v>11</v>
      </c>
      <c r="C1534" s="32"/>
      <c r="D1534" s="32"/>
      <c r="E1534" s="19" t="n">
        <f aca="false">+IF(C1534="EQUIPO",F1534,0)</f>
        <v>0</v>
      </c>
      <c r="F1534" s="33" t="n">
        <v>0</v>
      </c>
      <c r="G1534" s="62"/>
      <c r="H1534" s="35" t="n">
        <v>0</v>
      </c>
      <c r="I1534" s="34" t="n">
        <f aca="false">+IF(E1534=0,0,E1534*0.03)</f>
        <v>0</v>
      </c>
    </row>
    <row r="1535" customFormat="false" ht="15.75" hidden="false" customHeight="true" outlineLevel="0" collapsed="false">
      <c r="A1535" s="30" t="n">
        <v>45323</v>
      </c>
      <c r="B1535" s="31" t="s">
        <v>11</v>
      </c>
      <c r="C1535" s="32"/>
      <c r="D1535" s="32"/>
      <c r="E1535" s="19" t="n">
        <f aca="false">+IF(C1535="EQUIPO",F1535,0)</f>
        <v>0</v>
      </c>
      <c r="F1535" s="33" t="n">
        <v>0</v>
      </c>
      <c r="G1535" s="62"/>
      <c r="H1535" s="35" t="n">
        <v>0</v>
      </c>
      <c r="I1535" s="34" t="n">
        <f aca="false">+IF(E1535=0,0,E1535*0.03)</f>
        <v>0</v>
      </c>
    </row>
    <row r="1536" customFormat="false" ht="15.75" hidden="false" customHeight="true" outlineLevel="0" collapsed="false">
      <c r="A1536" s="30" t="n">
        <v>45323</v>
      </c>
      <c r="B1536" s="31" t="s">
        <v>11</v>
      </c>
      <c r="C1536" s="32"/>
      <c r="D1536" s="32"/>
      <c r="E1536" s="19" t="n">
        <f aca="false">+IF(C1536="EQUIPO",F1536,0)</f>
        <v>0</v>
      </c>
      <c r="F1536" s="33" t="n">
        <v>0</v>
      </c>
      <c r="G1536" s="62"/>
      <c r="H1536" s="35" t="n">
        <v>0</v>
      </c>
      <c r="I1536" s="34" t="n">
        <f aca="false">+IF(E1536=0,0,E1536*0.03)</f>
        <v>0</v>
      </c>
    </row>
    <row r="1537" customFormat="false" ht="15.75" hidden="false" customHeight="true" outlineLevel="0" collapsed="false">
      <c r="A1537" s="30" t="n">
        <v>45323</v>
      </c>
      <c r="B1537" s="31" t="s">
        <v>11</v>
      </c>
      <c r="C1537" s="32"/>
      <c r="D1537" s="32"/>
      <c r="E1537" s="19" t="n">
        <f aca="false">+IF(C1537="EQUIPO",F1537,0)</f>
        <v>0</v>
      </c>
      <c r="F1537" s="33" t="n">
        <v>0</v>
      </c>
      <c r="G1537" s="62"/>
      <c r="H1537" s="35" t="n">
        <v>0</v>
      </c>
      <c r="I1537" s="34" t="n">
        <f aca="false">+IF(E1537=0,0,E1537*0.03)</f>
        <v>0</v>
      </c>
    </row>
    <row r="1538" customFormat="false" ht="15.75" hidden="false" customHeight="true" outlineLevel="0" collapsed="false">
      <c r="A1538" s="30" t="n">
        <v>45323</v>
      </c>
      <c r="B1538" s="31" t="s">
        <v>11</v>
      </c>
      <c r="C1538" s="32"/>
      <c r="D1538" s="32"/>
      <c r="E1538" s="19" t="n">
        <f aca="false">+IF(C1538="EQUIPO",F1538,0)</f>
        <v>0</v>
      </c>
      <c r="F1538" s="33" t="n">
        <v>0</v>
      </c>
      <c r="G1538" s="62"/>
      <c r="H1538" s="35" t="n">
        <v>0</v>
      </c>
      <c r="I1538" s="34" t="n">
        <f aca="false">+IF(E1538=0,0,E1538*0.03)</f>
        <v>0</v>
      </c>
    </row>
    <row r="1539" customFormat="false" ht="15.75" hidden="false" customHeight="true" outlineLevel="0" collapsed="false">
      <c r="A1539" s="30" t="n">
        <v>45323</v>
      </c>
      <c r="B1539" s="31" t="s">
        <v>11</v>
      </c>
      <c r="C1539" s="32"/>
      <c r="D1539" s="32"/>
      <c r="E1539" s="19" t="n">
        <f aca="false">+IF(C1539="EQUIPO",F1539,0)</f>
        <v>0</v>
      </c>
      <c r="F1539" s="33" t="n">
        <v>0</v>
      </c>
      <c r="G1539" s="62"/>
      <c r="H1539" s="35" t="n">
        <v>0</v>
      </c>
      <c r="I1539" s="34" t="n">
        <f aca="false">+IF(E1539=0,0,E1539*0.03)</f>
        <v>0</v>
      </c>
    </row>
    <row r="1540" customFormat="false" ht="15.75" hidden="false" customHeight="true" outlineLevel="0" collapsed="false">
      <c r="A1540" s="30" t="n">
        <v>45323</v>
      </c>
      <c r="B1540" s="31" t="s">
        <v>11</v>
      </c>
      <c r="C1540" s="32"/>
      <c r="D1540" s="32"/>
      <c r="E1540" s="19" t="n">
        <f aca="false">+IF(C1540="EQUIPO",F1540,0)</f>
        <v>0</v>
      </c>
      <c r="F1540" s="33" t="n">
        <v>0</v>
      </c>
      <c r="G1540" s="62"/>
      <c r="H1540" s="35" t="n">
        <v>0</v>
      </c>
      <c r="I1540" s="34" t="n">
        <f aca="false">+IF(E1540=0,0,E1540*0.03)</f>
        <v>0</v>
      </c>
    </row>
    <row r="1541" customFormat="false" ht="15.75" hidden="false" customHeight="true" outlineLevel="0" collapsed="false">
      <c r="A1541" s="30" t="n">
        <v>45323</v>
      </c>
      <c r="B1541" s="31" t="s">
        <v>11</v>
      </c>
      <c r="C1541" s="32"/>
      <c r="D1541" s="32"/>
      <c r="E1541" s="19" t="n">
        <f aca="false">+IF(C1541="EQUIPO",F1541,0)</f>
        <v>0</v>
      </c>
      <c r="F1541" s="33" t="n">
        <v>0</v>
      </c>
      <c r="G1541" s="62"/>
      <c r="H1541" s="35" t="n">
        <v>0</v>
      </c>
      <c r="I1541" s="34" t="n">
        <f aca="false">+IF(E1541=0,0,E1541*0.03)</f>
        <v>0</v>
      </c>
    </row>
    <row r="1542" customFormat="false" ht="15.75" hidden="false" customHeight="true" outlineLevel="0" collapsed="false">
      <c r="A1542" s="30" t="n">
        <v>45323</v>
      </c>
      <c r="B1542" s="31" t="s">
        <v>11</v>
      </c>
      <c r="C1542" s="32"/>
      <c r="D1542" s="32"/>
      <c r="E1542" s="19" t="n">
        <f aca="false">+IF(C1542="EQUIPO",F1542,0)</f>
        <v>0</v>
      </c>
      <c r="F1542" s="33" t="n">
        <v>0</v>
      </c>
      <c r="G1542" s="62"/>
      <c r="H1542" s="35" t="n">
        <v>0</v>
      </c>
      <c r="I1542" s="34" t="n">
        <f aca="false">+IF(E1542=0,0,E1542*0.03)</f>
        <v>0</v>
      </c>
    </row>
    <row r="1543" customFormat="false" ht="15.75" hidden="false" customHeight="true" outlineLevel="0" collapsed="false">
      <c r="A1543" s="30" t="n">
        <v>45323</v>
      </c>
      <c r="B1543" s="31" t="s">
        <v>11</v>
      </c>
      <c r="C1543" s="32"/>
      <c r="D1543" s="32"/>
      <c r="E1543" s="19" t="n">
        <f aca="false">+IF(C1543="EQUIPO",F1543,0)</f>
        <v>0</v>
      </c>
      <c r="F1543" s="33" t="n">
        <v>0</v>
      </c>
      <c r="G1543" s="62"/>
      <c r="H1543" s="35" t="n">
        <v>0</v>
      </c>
      <c r="I1543" s="34" t="n">
        <f aca="false">+IF(E1543=0,0,E1543*0.03)</f>
        <v>0</v>
      </c>
    </row>
    <row r="1544" customFormat="false" ht="15.75" hidden="false" customHeight="true" outlineLevel="0" collapsed="false">
      <c r="A1544" s="30" t="n">
        <v>45323</v>
      </c>
      <c r="B1544" s="31" t="s">
        <v>11</v>
      </c>
      <c r="C1544" s="32"/>
      <c r="D1544" s="32"/>
      <c r="E1544" s="19" t="n">
        <f aca="false">+IF(C1544="EQUIPO",F1544,0)</f>
        <v>0</v>
      </c>
      <c r="F1544" s="33" t="n">
        <v>0</v>
      </c>
      <c r="G1544" s="62"/>
      <c r="H1544" s="35" t="n">
        <v>0</v>
      </c>
      <c r="I1544" s="34" t="n">
        <f aca="false">+IF(E1544=0,0,E1544*0.03)</f>
        <v>0</v>
      </c>
    </row>
    <row r="1545" customFormat="false" ht="15.75" hidden="false" customHeight="true" outlineLevel="0" collapsed="false">
      <c r="A1545" s="30" t="n">
        <v>45323</v>
      </c>
      <c r="B1545" s="31" t="s">
        <v>11</v>
      </c>
      <c r="C1545" s="32"/>
      <c r="D1545" s="32"/>
      <c r="E1545" s="19" t="n">
        <f aca="false">+IF(C1545="EQUIPO",F1545,0)</f>
        <v>0</v>
      </c>
      <c r="F1545" s="33" t="n">
        <v>0</v>
      </c>
      <c r="G1545" s="62"/>
      <c r="H1545" s="35" t="n">
        <v>0</v>
      </c>
      <c r="I1545" s="34" t="n">
        <f aca="false">+IF(E1545=0,0,E1545*0.03)</f>
        <v>0</v>
      </c>
    </row>
    <row r="1546" customFormat="false" ht="15.75" hidden="false" customHeight="true" outlineLevel="0" collapsed="false">
      <c r="A1546" s="30" t="n">
        <v>45323</v>
      </c>
      <c r="B1546" s="31" t="s">
        <v>11</v>
      </c>
      <c r="C1546" s="32"/>
      <c r="D1546" s="32"/>
      <c r="E1546" s="19" t="n">
        <f aca="false">+IF(C1546="EQUIPO",F1546,0)</f>
        <v>0</v>
      </c>
      <c r="F1546" s="33" t="n">
        <v>0</v>
      </c>
      <c r="G1546" s="62"/>
      <c r="H1546" s="35" t="n">
        <v>0</v>
      </c>
      <c r="I1546" s="34" t="n">
        <f aca="false">+IF(E1546=0,0,E1546*0.03)</f>
        <v>0</v>
      </c>
    </row>
    <row r="1547" customFormat="false" ht="15.75" hidden="false" customHeight="true" outlineLevel="0" collapsed="false">
      <c r="A1547" s="30" t="n">
        <v>45323</v>
      </c>
      <c r="B1547" s="31" t="s">
        <v>11</v>
      </c>
      <c r="C1547" s="32"/>
      <c r="D1547" s="32"/>
      <c r="E1547" s="19" t="n">
        <f aca="false">+IF(C1547="EQUIPO",F1547,0)</f>
        <v>0</v>
      </c>
      <c r="F1547" s="33" t="n">
        <v>0</v>
      </c>
      <c r="G1547" s="62"/>
      <c r="H1547" s="35" t="n">
        <v>0</v>
      </c>
      <c r="I1547" s="34" t="n">
        <f aca="false">+IF(E1547=0,0,E1547*0.03)</f>
        <v>0</v>
      </c>
    </row>
    <row r="1548" customFormat="false" ht="15.75" hidden="false" customHeight="true" outlineLevel="0" collapsed="false">
      <c r="A1548" s="30" t="n">
        <v>45323</v>
      </c>
      <c r="B1548" s="31" t="s">
        <v>11</v>
      </c>
      <c r="C1548" s="32"/>
      <c r="D1548" s="32"/>
      <c r="E1548" s="19" t="n">
        <f aca="false">+IF(C1548="EQUIPO",F1548,0)</f>
        <v>0</v>
      </c>
      <c r="F1548" s="33" t="n">
        <v>0</v>
      </c>
      <c r="G1548" s="62"/>
      <c r="H1548" s="35" t="n">
        <v>0</v>
      </c>
      <c r="I1548" s="34" t="n">
        <f aca="false">+IF(E1548=0,0,E1548*0.03)</f>
        <v>0</v>
      </c>
    </row>
    <row r="1549" customFormat="false" ht="15.75" hidden="false" customHeight="true" outlineLevel="0" collapsed="false">
      <c r="A1549" s="30" t="n">
        <v>45323</v>
      </c>
      <c r="B1549" s="31" t="s">
        <v>11</v>
      </c>
      <c r="C1549" s="32"/>
      <c r="D1549" s="32"/>
      <c r="E1549" s="19" t="n">
        <f aca="false">+IF(C1549="EQUIPO",F1549,0)</f>
        <v>0</v>
      </c>
      <c r="F1549" s="33" t="n">
        <v>0</v>
      </c>
      <c r="G1549" s="62"/>
      <c r="H1549" s="35" t="n">
        <v>0</v>
      </c>
      <c r="I1549" s="34" t="n">
        <f aca="false">+IF(E1549=0,0,E1549*0.03)</f>
        <v>0</v>
      </c>
    </row>
    <row r="1550" customFormat="false" ht="15.75" hidden="false" customHeight="true" outlineLevel="0" collapsed="false">
      <c r="A1550" s="30" t="n">
        <v>45323</v>
      </c>
      <c r="B1550" s="31" t="s">
        <v>11</v>
      </c>
      <c r="C1550" s="32"/>
      <c r="D1550" s="32"/>
      <c r="E1550" s="19" t="n">
        <f aca="false">+IF(C1550="EQUIPO",F1550,0)</f>
        <v>0</v>
      </c>
      <c r="F1550" s="33" t="n">
        <v>0</v>
      </c>
      <c r="G1550" s="62"/>
      <c r="H1550" s="35" t="n">
        <v>0</v>
      </c>
      <c r="I1550" s="34" t="n">
        <f aca="false">+IF(E1550=0,0,E1550*0.03)</f>
        <v>0</v>
      </c>
    </row>
    <row r="1551" customFormat="false" ht="15.75" hidden="false" customHeight="true" outlineLevel="0" collapsed="false">
      <c r="A1551" s="30" t="n">
        <v>45323</v>
      </c>
      <c r="B1551" s="31" t="s">
        <v>11</v>
      </c>
      <c r="C1551" s="32"/>
      <c r="D1551" s="32"/>
      <c r="E1551" s="19" t="n">
        <f aca="false">+IF(C1551="EQUIPO",F1551,0)</f>
        <v>0</v>
      </c>
      <c r="F1551" s="33" t="n">
        <v>0</v>
      </c>
      <c r="G1551" s="62"/>
      <c r="H1551" s="35" t="n">
        <v>0</v>
      </c>
      <c r="I1551" s="34" t="n">
        <f aca="false">+IF(E1551=0,0,E1551*0.03)</f>
        <v>0</v>
      </c>
    </row>
    <row r="1552" customFormat="false" ht="15.75" hidden="false" customHeight="true" outlineLevel="0" collapsed="false">
      <c r="A1552" s="30" t="n">
        <v>45323</v>
      </c>
      <c r="B1552" s="31" t="s">
        <v>11</v>
      </c>
      <c r="C1552" s="32"/>
      <c r="D1552" s="32"/>
      <c r="E1552" s="19" t="n">
        <f aca="false">+IF(C1552="EQUIPO",F1552,0)</f>
        <v>0</v>
      </c>
      <c r="F1552" s="33" t="n">
        <v>0</v>
      </c>
      <c r="G1552" s="62"/>
      <c r="H1552" s="35" t="n">
        <v>0</v>
      </c>
      <c r="I1552" s="34" t="n">
        <f aca="false">+IF(E1552=0,0,E1552*0.03)</f>
        <v>0</v>
      </c>
    </row>
    <row r="1553" customFormat="false" ht="15.75" hidden="false" customHeight="true" outlineLevel="0" collapsed="false">
      <c r="A1553" s="30" t="n">
        <v>45323</v>
      </c>
      <c r="B1553" s="31" t="s">
        <v>11</v>
      </c>
      <c r="C1553" s="32"/>
      <c r="D1553" s="32"/>
      <c r="E1553" s="19" t="n">
        <f aca="false">+IF(C1553="EQUIPO",F1553,0)</f>
        <v>0</v>
      </c>
      <c r="F1553" s="33" t="n">
        <v>0</v>
      </c>
      <c r="G1553" s="62"/>
      <c r="H1553" s="35" t="n">
        <v>0</v>
      </c>
      <c r="I1553" s="34" t="n">
        <f aca="false">+IF(E1553=0,0,E1553*0.03)</f>
        <v>0</v>
      </c>
    </row>
    <row r="1554" customFormat="false" ht="15.75" hidden="false" customHeight="true" outlineLevel="0" collapsed="false">
      <c r="A1554" s="30" t="n">
        <v>45323</v>
      </c>
      <c r="B1554" s="31" t="s">
        <v>11</v>
      </c>
      <c r="C1554" s="32"/>
      <c r="D1554" s="32"/>
      <c r="E1554" s="19" t="n">
        <f aca="false">+IF(C1554="EQUIPO",F1554,0)</f>
        <v>0</v>
      </c>
      <c r="F1554" s="33" t="n">
        <v>0</v>
      </c>
      <c r="G1554" s="62"/>
      <c r="H1554" s="35" t="n">
        <v>0</v>
      </c>
      <c r="I1554" s="34" t="n">
        <f aca="false">+IF(E1554=0,0,E1554*0.03)</f>
        <v>0</v>
      </c>
    </row>
    <row r="1555" customFormat="false" ht="15.75" hidden="false" customHeight="true" outlineLevel="0" collapsed="false">
      <c r="A1555" s="30" t="n">
        <v>45323</v>
      </c>
      <c r="B1555" s="31" t="s">
        <v>11</v>
      </c>
      <c r="C1555" s="32"/>
      <c r="D1555" s="32"/>
      <c r="E1555" s="19" t="n">
        <f aca="false">+IF(C1555="EQUIPO",F1555,0)</f>
        <v>0</v>
      </c>
      <c r="F1555" s="33" t="n">
        <v>0</v>
      </c>
      <c r="G1555" s="62"/>
      <c r="H1555" s="35" t="n">
        <v>0</v>
      </c>
      <c r="I1555" s="34" t="n">
        <f aca="false">+IF(E1555=0,0,E1555*0.03)</f>
        <v>0</v>
      </c>
    </row>
    <row r="1556" customFormat="false" ht="15.75" hidden="false" customHeight="true" outlineLevel="0" collapsed="false">
      <c r="A1556" s="30" t="n">
        <v>45323</v>
      </c>
      <c r="B1556" s="31" t="s">
        <v>11</v>
      </c>
      <c r="C1556" s="32"/>
      <c r="D1556" s="32"/>
      <c r="E1556" s="19" t="n">
        <f aca="false">+IF(C1556="EQUIPO",F1556,0)</f>
        <v>0</v>
      </c>
      <c r="F1556" s="33" t="n">
        <v>0</v>
      </c>
      <c r="G1556" s="62"/>
      <c r="H1556" s="35" t="n">
        <v>0</v>
      </c>
      <c r="I1556" s="34" t="n">
        <f aca="false">+IF(E1556=0,0,E1556*0.03)</f>
        <v>0</v>
      </c>
    </row>
    <row r="1557" customFormat="false" ht="15.75" hidden="false" customHeight="true" outlineLevel="0" collapsed="false">
      <c r="A1557" s="30" t="n">
        <v>45323</v>
      </c>
      <c r="B1557" s="31" t="s">
        <v>11</v>
      </c>
      <c r="C1557" s="32"/>
      <c r="D1557" s="32"/>
      <c r="E1557" s="19" t="n">
        <f aca="false">+IF(C1557="EQUIPO",F1557,0)</f>
        <v>0</v>
      </c>
      <c r="F1557" s="33" t="n">
        <v>0</v>
      </c>
      <c r="G1557" s="62"/>
      <c r="H1557" s="35" t="n">
        <v>0</v>
      </c>
      <c r="I1557" s="34" t="n">
        <f aca="false">+IF(E1557=0,0,E1557*0.03)</f>
        <v>0</v>
      </c>
    </row>
    <row r="1558" customFormat="false" ht="15.75" hidden="false" customHeight="true" outlineLevel="0" collapsed="false">
      <c r="A1558" s="30" t="n">
        <v>45323</v>
      </c>
      <c r="B1558" s="31" t="s">
        <v>11</v>
      </c>
      <c r="C1558" s="32"/>
      <c r="D1558" s="32"/>
      <c r="E1558" s="19" t="n">
        <f aca="false">+IF(C1558="EQUIPO",F1558,0)</f>
        <v>0</v>
      </c>
      <c r="F1558" s="33" t="n">
        <v>0</v>
      </c>
      <c r="G1558" s="62"/>
      <c r="H1558" s="35" t="n">
        <v>0</v>
      </c>
      <c r="I1558" s="34" t="n">
        <f aca="false">+IF(E1558=0,0,E1558*0.03)</f>
        <v>0</v>
      </c>
    </row>
    <row r="1559" customFormat="false" ht="15.75" hidden="false" customHeight="true" outlineLevel="0" collapsed="false">
      <c r="A1559" s="30" t="n">
        <v>45323</v>
      </c>
      <c r="B1559" s="31" t="s">
        <v>11</v>
      </c>
      <c r="C1559" s="32"/>
      <c r="D1559" s="32"/>
      <c r="E1559" s="19" t="n">
        <f aca="false">+IF(C1559="EQUIPO",F1559,0)</f>
        <v>0</v>
      </c>
      <c r="F1559" s="33" t="n">
        <v>0</v>
      </c>
      <c r="G1559" s="62"/>
      <c r="H1559" s="35" t="n">
        <v>0</v>
      </c>
      <c r="I1559" s="34" t="n">
        <f aca="false">+IF(E1559=0,0,E1559*0.03)</f>
        <v>0</v>
      </c>
    </row>
    <row r="1560" customFormat="false" ht="15.75" hidden="false" customHeight="true" outlineLevel="0" collapsed="false">
      <c r="A1560" s="30" t="n">
        <v>45323</v>
      </c>
      <c r="B1560" s="31" t="s">
        <v>11</v>
      </c>
      <c r="C1560" s="32"/>
      <c r="D1560" s="32"/>
      <c r="E1560" s="19" t="n">
        <f aca="false">+IF(C1560="EQUIPO",F1560,0)</f>
        <v>0</v>
      </c>
      <c r="F1560" s="33" t="n">
        <v>0</v>
      </c>
      <c r="G1560" s="62"/>
      <c r="H1560" s="35" t="n">
        <v>0</v>
      </c>
      <c r="I1560" s="34" t="n">
        <f aca="false">+IF(E1560=0,0,E1560*0.03)</f>
        <v>0</v>
      </c>
    </row>
    <row r="1561" customFormat="false" ht="15.75" hidden="false" customHeight="true" outlineLevel="0" collapsed="false">
      <c r="A1561" s="30" t="n">
        <v>45323</v>
      </c>
      <c r="B1561" s="31" t="s">
        <v>11</v>
      </c>
      <c r="C1561" s="32"/>
      <c r="D1561" s="32"/>
      <c r="E1561" s="19" t="n">
        <f aca="false">+IF(C1561="EQUIPO",F1561,0)</f>
        <v>0</v>
      </c>
      <c r="F1561" s="33" t="n">
        <v>0</v>
      </c>
      <c r="G1561" s="62"/>
      <c r="H1561" s="35" t="n">
        <v>0</v>
      </c>
      <c r="I1561" s="34" t="n">
        <f aca="false">+IF(E1561=0,0,E1561*0.03)</f>
        <v>0</v>
      </c>
    </row>
    <row r="1562" customFormat="false" ht="15.75" hidden="false" customHeight="true" outlineLevel="0" collapsed="false">
      <c r="A1562" s="30" t="n">
        <v>45323</v>
      </c>
      <c r="B1562" s="31" t="s">
        <v>11</v>
      </c>
      <c r="C1562" s="32"/>
      <c r="D1562" s="32"/>
      <c r="E1562" s="19" t="n">
        <f aca="false">+IF(C1562="EQUIPO",F1562,0)</f>
        <v>0</v>
      </c>
      <c r="F1562" s="33" t="n">
        <v>0</v>
      </c>
      <c r="G1562" s="62"/>
      <c r="H1562" s="35" t="n">
        <v>0</v>
      </c>
      <c r="I1562" s="34" t="n">
        <f aca="false">+IF(E1562=0,0,E1562*0.03)</f>
        <v>0</v>
      </c>
    </row>
    <row r="1563" customFormat="false" ht="15.75" hidden="false" customHeight="true" outlineLevel="0" collapsed="false">
      <c r="A1563" s="30" t="n">
        <v>45323</v>
      </c>
      <c r="B1563" s="31" t="s">
        <v>11</v>
      </c>
      <c r="C1563" s="32"/>
      <c r="D1563" s="32"/>
      <c r="E1563" s="19" t="n">
        <f aca="false">+IF(C1563="EQUIPO",F1563,0)</f>
        <v>0</v>
      </c>
      <c r="F1563" s="33" t="n">
        <v>0</v>
      </c>
      <c r="G1563" s="62"/>
      <c r="H1563" s="35" t="n">
        <v>0</v>
      </c>
      <c r="I1563" s="34" t="n">
        <f aca="false">+IF(E1563=0,0,E1563*0.03)</f>
        <v>0</v>
      </c>
    </row>
    <row r="1564" customFormat="false" ht="15.75" hidden="false" customHeight="true" outlineLevel="0" collapsed="false">
      <c r="A1564" s="30" t="n">
        <v>45323</v>
      </c>
      <c r="B1564" s="31" t="s">
        <v>11</v>
      </c>
      <c r="C1564" s="32"/>
      <c r="D1564" s="32"/>
      <c r="E1564" s="19" t="n">
        <f aca="false">+IF(C1564="EQUIPO",F1564,0)</f>
        <v>0</v>
      </c>
      <c r="F1564" s="33" t="n">
        <v>0</v>
      </c>
      <c r="G1564" s="62"/>
      <c r="H1564" s="35" t="n">
        <v>0</v>
      </c>
      <c r="I1564" s="34" t="n">
        <f aca="false">+IF(E1564=0,0,E1564*0.03)</f>
        <v>0</v>
      </c>
    </row>
    <row r="1565" customFormat="false" ht="15.75" hidden="false" customHeight="true" outlineLevel="0" collapsed="false">
      <c r="A1565" s="30" t="n">
        <v>45323</v>
      </c>
      <c r="B1565" s="31" t="s">
        <v>11</v>
      </c>
      <c r="C1565" s="32"/>
      <c r="D1565" s="32"/>
      <c r="E1565" s="19" t="n">
        <f aca="false">+IF(C1565="EQUIPO",F1565,0)</f>
        <v>0</v>
      </c>
      <c r="F1565" s="33" t="n">
        <v>0</v>
      </c>
      <c r="G1565" s="62"/>
      <c r="H1565" s="35" t="n">
        <v>0</v>
      </c>
      <c r="I1565" s="34" t="n">
        <f aca="false">+IF(E1565=0,0,E1565*0.03)</f>
        <v>0</v>
      </c>
    </row>
    <row r="1566" customFormat="false" ht="15.75" hidden="false" customHeight="true" outlineLevel="0" collapsed="false">
      <c r="A1566" s="30" t="n">
        <v>45323</v>
      </c>
      <c r="B1566" s="31" t="s">
        <v>11</v>
      </c>
      <c r="C1566" s="32"/>
      <c r="D1566" s="32"/>
      <c r="E1566" s="19" t="n">
        <f aca="false">+IF(C1566="EQUIPO",F1566,0)</f>
        <v>0</v>
      </c>
      <c r="F1566" s="33" t="n">
        <v>0</v>
      </c>
      <c r="G1566" s="62"/>
      <c r="H1566" s="35" t="n">
        <v>0</v>
      </c>
      <c r="I1566" s="34" t="n">
        <f aca="false">+IF(E1566=0,0,E1566*0.03)</f>
        <v>0</v>
      </c>
    </row>
    <row r="1567" customFormat="false" ht="15.75" hidden="false" customHeight="true" outlineLevel="0" collapsed="false">
      <c r="A1567" s="30" t="n">
        <v>45323</v>
      </c>
      <c r="B1567" s="31" t="s">
        <v>11</v>
      </c>
      <c r="C1567" s="32"/>
      <c r="D1567" s="32"/>
      <c r="E1567" s="19" t="n">
        <f aca="false">+IF(C1567="EQUIPO",F1567,0)</f>
        <v>0</v>
      </c>
      <c r="F1567" s="33" t="n">
        <v>0</v>
      </c>
      <c r="G1567" s="62"/>
      <c r="H1567" s="35" t="n">
        <v>0</v>
      </c>
      <c r="I1567" s="34" t="n">
        <f aca="false">+IF(E1567=0,0,E1567*0.03)</f>
        <v>0</v>
      </c>
    </row>
    <row r="1568" customFormat="false" ht="15.75" hidden="false" customHeight="true" outlineLevel="0" collapsed="false">
      <c r="A1568" s="30" t="n">
        <v>45323</v>
      </c>
      <c r="B1568" s="31" t="s">
        <v>11</v>
      </c>
      <c r="C1568" s="32"/>
      <c r="D1568" s="32"/>
      <c r="E1568" s="19" t="n">
        <f aca="false">+IF(C1568="EQUIPO",F1568,0)</f>
        <v>0</v>
      </c>
      <c r="F1568" s="33" t="n">
        <v>0</v>
      </c>
      <c r="G1568" s="62"/>
      <c r="H1568" s="35" t="n">
        <v>0</v>
      </c>
      <c r="I1568" s="34" t="n">
        <f aca="false">+IF(E1568=0,0,E1568*0.03)</f>
        <v>0</v>
      </c>
    </row>
    <row r="1569" customFormat="false" ht="15.75" hidden="false" customHeight="true" outlineLevel="0" collapsed="false">
      <c r="A1569" s="30" t="n">
        <v>45323</v>
      </c>
      <c r="B1569" s="31" t="s">
        <v>11</v>
      </c>
      <c r="C1569" s="32"/>
      <c r="D1569" s="32"/>
      <c r="E1569" s="19" t="n">
        <f aca="false">+IF(C1569="EQUIPO",F1569,0)</f>
        <v>0</v>
      </c>
      <c r="F1569" s="33" t="n">
        <v>0</v>
      </c>
      <c r="G1569" s="62"/>
      <c r="H1569" s="35" t="n">
        <v>0</v>
      </c>
      <c r="I1569" s="34" t="n">
        <f aca="false">+IF(E1569=0,0,E1569*0.03)</f>
        <v>0</v>
      </c>
    </row>
    <row r="1570" customFormat="false" ht="15.75" hidden="false" customHeight="true" outlineLevel="0" collapsed="false">
      <c r="A1570" s="30" t="n">
        <v>45323</v>
      </c>
      <c r="B1570" s="31" t="s">
        <v>11</v>
      </c>
      <c r="C1570" s="32"/>
      <c r="D1570" s="32"/>
      <c r="E1570" s="19" t="n">
        <f aca="false">+IF(C1570="EQUIPO",F1570,0)</f>
        <v>0</v>
      </c>
      <c r="F1570" s="33" t="n">
        <v>0</v>
      </c>
      <c r="G1570" s="62"/>
      <c r="H1570" s="35" t="n">
        <v>0</v>
      </c>
      <c r="I1570" s="34" t="n">
        <f aca="false">+IF(E1570=0,0,E1570*0.03)</f>
        <v>0</v>
      </c>
    </row>
    <row r="1571" customFormat="false" ht="15.75" hidden="false" customHeight="true" outlineLevel="0" collapsed="false">
      <c r="A1571" s="30" t="n">
        <v>45323</v>
      </c>
      <c r="B1571" s="31" t="s">
        <v>11</v>
      </c>
      <c r="C1571" s="32"/>
      <c r="D1571" s="32"/>
      <c r="E1571" s="19" t="n">
        <f aca="false">+IF(C1571="EQUIPO",F1571,0)</f>
        <v>0</v>
      </c>
      <c r="F1571" s="33" t="n">
        <v>0</v>
      </c>
      <c r="G1571" s="62"/>
      <c r="H1571" s="35" t="n">
        <v>0</v>
      </c>
      <c r="I1571" s="34" t="n">
        <f aca="false">+IF(E1571=0,0,E1571*0.03)</f>
        <v>0</v>
      </c>
    </row>
    <row r="1572" customFormat="false" ht="15.75" hidden="false" customHeight="true" outlineLevel="0" collapsed="false">
      <c r="A1572" s="30" t="n">
        <v>45323</v>
      </c>
      <c r="B1572" s="31" t="s">
        <v>11</v>
      </c>
      <c r="C1572" s="32"/>
      <c r="D1572" s="32"/>
      <c r="E1572" s="19" t="n">
        <f aca="false">+IF(C1572="EQUIPO",F1572,0)</f>
        <v>0</v>
      </c>
      <c r="F1572" s="33" t="n">
        <v>0</v>
      </c>
      <c r="G1572" s="62"/>
      <c r="H1572" s="35" t="n">
        <v>0</v>
      </c>
      <c r="I1572" s="34" t="n">
        <f aca="false">+IF(E1572=0,0,E1572*0.03)</f>
        <v>0</v>
      </c>
    </row>
    <row r="1573" customFormat="false" ht="15.75" hidden="false" customHeight="true" outlineLevel="0" collapsed="false">
      <c r="A1573" s="30" t="n">
        <v>45323</v>
      </c>
      <c r="B1573" s="31" t="s">
        <v>11</v>
      </c>
      <c r="C1573" s="32"/>
      <c r="D1573" s="32"/>
      <c r="E1573" s="19" t="n">
        <f aca="false">+IF(C1573="EQUIPO",F1573,0)</f>
        <v>0</v>
      </c>
      <c r="F1573" s="33" t="n">
        <v>0</v>
      </c>
      <c r="G1573" s="62"/>
      <c r="H1573" s="35" t="n">
        <v>0</v>
      </c>
      <c r="I1573" s="34" t="n">
        <f aca="false">+IF(E1573=0,0,E1573*0.03)</f>
        <v>0</v>
      </c>
    </row>
    <row r="1574" customFormat="false" ht="15.75" hidden="false" customHeight="true" outlineLevel="0" collapsed="false">
      <c r="A1574" s="30" t="n">
        <v>45323</v>
      </c>
      <c r="B1574" s="31" t="s">
        <v>11</v>
      </c>
      <c r="C1574" s="32"/>
      <c r="D1574" s="32"/>
      <c r="E1574" s="19" t="n">
        <f aca="false">+IF(C1574="EQUIPO",F1574,0)</f>
        <v>0</v>
      </c>
      <c r="F1574" s="33" t="n">
        <v>0</v>
      </c>
      <c r="G1574" s="62"/>
      <c r="H1574" s="35" t="n">
        <v>0</v>
      </c>
      <c r="I1574" s="34" t="n">
        <f aca="false">+IF(E1574=0,0,E1574*0.03)</f>
        <v>0</v>
      </c>
    </row>
    <row r="1575" customFormat="false" ht="15.75" hidden="false" customHeight="true" outlineLevel="0" collapsed="false">
      <c r="A1575" s="30" t="n">
        <v>45323</v>
      </c>
      <c r="B1575" s="31" t="s">
        <v>11</v>
      </c>
      <c r="C1575" s="32"/>
      <c r="D1575" s="32"/>
      <c r="E1575" s="19" t="n">
        <f aca="false">+IF(C1575="EQUIPO",F1575,0)</f>
        <v>0</v>
      </c>
      <c r="F1575" s="33" t="n">
        <v>0</v>
      </c>
      <c r="G1575" s="62"/>
      <c r="H1575" s="35" t="n">
        <v>0</v>
      </c>
      <c r="I1575" s="34" t="n">
        <f aca="false">+IF(E1575=0,0,E1575*0.03)</f>
        <v>0</v>
      </c>
    </row>
    <row r="1576" customFormat="false" ht="15.75" hidden="false" customHeight="true" outlineLevel="0" collapsed="false">
      <c r="A1576" s="30" t="n">
        <v>45323</v>
      </c>
      <c r="B1576" s="31" t="s">
        <v>11</v>
      </c>
      <c r="C1576" s="32"/>
      <c r="D1576" s="32"/>
      <c r="E1576" s="19" t="n">
        <f aca="false">+IF(C1576="EQUIPO",F1576,0)</f>
        <v>0</v>
      </c>
      <c r="F1576" s="33" t="n">
        <v>0</v>
      </c>
      <c r="G1576" s="62"/>
      <c r="H1576" s="35" t="n">
        <v>0</v>
      </c>
      <c r="I1576" s="34" t="n">
        <f aca="false">+IF(E1576=0,0,E1576*0.03)</f>
        <v>0</v>
      </c>
    </row>
    <row r="1577" customFormat="false" ht="15.75" hidden="false" customHeight="true" outlineLevel="0" collapsed="false">
      <c r="A1577" s="30" t="n">
        <v>45323</v>
      </c>
      <c r="B1577" s="31" t="s">
        <v>11</v>
      </c>
      <c r="C1577" s="32"/>
      <c r="D1577" s="32"/>
      <c r="E1577" s="19" t="n">
        <f aca="false">+IF(C1577="EQUIPO",F1577,0)</f>
        <v>0</v>
      </c>
      <c r="F1577" s="33" t="n">
        <v>0</v>
      </c>
      <c r="G1577" s="62"/>
      <c r="H1577" s="35" t="n">
        <v>0</v>
      </c>
      <c r="I1577" s="34" t="n">
        <f aca="false">+IF(E1577=0,0,E1577*0.03)</f>
        <v>0</v>
      </c>
    </row>
    <row r="1578" customFormat="false" ht="15.75" hidden="false" customHeight="true" outlineLevel="0" collapsed="false">
      <c r="A1578" s="30" t="n">
        <v>45323</v>
      </c>
      <c r="B1578" s="31" t="s">
        <v>11</v>
      </c>
      <c r="C1578" s="32"/>
      <c r="D1578" s="32"/>
      <c r="E1578" s="19" t="n">
        <f aca="false">+IF(C1578="EQUIPO",F1578,0)</f>
        <v>0</v>
      </c>
      <c r="F1578" s="33" t="n">
        <v>0</v>
      </c>
      <c r="G1578" s="62"/>
      <c r="H1578" s="35" t="n">
        <v>0</v>
      </c>
      <c r="I1578" s="34" t="n">
        <f aca="false">+IF(E1578=0,0,E1578*0.03)</f>
        <v>0</v>
      </c>
    </row>
    <row r="1579" customFormat="false" ht="15.75" hidden="false" customHeight="true" outlineLevel="0" collapsed="false">
      <c r="A1579" s="30" t="n">
        <v>45323</v>
      </c>
      <c r="B1579" s="31" t="s">
        <v>11</v>
      </c>
      <c r="C1579" s="32"/>
      <c r="D1579" s="32"/>
      <c r="E1579" s="19" t="n">
        <f aca="false">+IF(C1579="EQUIPO",F1579,0)</f>
        <v>0</v>
      </c>
      <c r="F1579" s="33" t="n">
        <v>0</v>
      </c>
      <c r="G1579" s="62"/>
      <c r="H1579" s="35" t="n">
        <v>0</v>
      </c>
      <c r="I1579" s="34" t="n">
        <f aca="false">+IF(E1579=0,0,E1579*0.03)</f>
        <v>0</v>
      </c>
    </row>
    <row r="1580" customFormat="false" ht="15.75" hidden="false" customHeight="true" outlineLevel="0" collapsed="false">
      <c r="A1580" s="30" t="n">
        <v>45323</v>
      </c>
      <c r="B1580" s="31" t="s">
        <v>11</v>
      </c>
      <c r="C1580" s="32"/>
      <c r="D1580" s="32"/>
      <c r="E1580" s="19" t="n">
        <f aca="false">+IF(C1580="EQUIPO",F1580,0)</f>
        <v>0</v>
      </c>
      <c r="F1580" s="33" t="n">
        <v>0</v>
      </c>
      <c r="G1580" s="62"/>
      <c r="H1580" s="35" t="n">
        <v>0</v>
      </c>
      <c r="I1580" s="34" t="n">
        <f aca="false">+IF(E1580=0,0,E1580*0.03)</f>
        <v>0</v>
      </c>
    </row>
    <row r="1581" customFormat="false" ht="15.75" hidden="false" customHeight="true" outlineLevel="0" collapsed="false">
      <c r="A1581" s="30" t="n">
        <v>45323</v>
      </c>
      <c r="B1581" s="31" t="s">
        <v>11</v>
      </c>
      <c r="C1581" s="32"/>
      <c r="D1581" s="32"/>
      <c r="E1581" s="19" t="n">
        <f aca="false">+IF(C1581="EQUIPO",F1581,0)</f>
        <v>0</v>
      </c>
      <c r="F1581" s="33" t="n">
        <v>0</v>
      </c>
      <c r="G1581" s="62"/>
      <c r="H1581" s="35" t="n">
        <v>0</v>
      </c>
      <c r="I1581" s="34" t="n">
        <f aca="false">+IF(E1581=0,0,E1581*0.03)</f>
        <v>0</v>
      </c>
    </row>
    <row r="1582" customFormat="false" ht="15.75" hidden="false" customHeight="true" outlineLevel="0" collapsed="false">
      <c r="A1582" s="30" t="n">
        <v>45323</v>
      </c>
      <c r="B1582" s="31" t="s">
        <v>11</v>
      </c>
      <c r="C1582" s="32"/>
      <c r="D1582" s="32"/>
      <c r="E1582" s="19" t="n">
        <f aca="false">+IF(C1582="EQUIPO",F1582,0)</f>
        <v>0</v>
      </c>
      <c r="F1582" s="33" t="n">
        <v>0</v>
      </c>
      <c r="G1582" s="62"/>
      <c r="H1582" s="35" t="n">
        <v>0</v>
      </c>
      <c r="I1582" s="34" t="n">
        <f aca="false">+IF(E1582=0,0,E1582*0.03)</f>
        <v>0</v>
      </c>
    </row>
    <row r="1583" customFormat="false" ht="15.75" hidden="false" customHeight="true" outlineLevel="0" collapsed="false">
      <c r="A1583" s="30" t="n">
        <v>45323</v>
      </c>
      <c r="B1583" s="31" t="s">
        <v>11</v>
      </c>
      <c r="C1583" s="32"/>
      <c r="D1583" s="32"/>
      <c r="E1583" s="19" t="n">
        <f aca="false">+IF(C1583="EQUIPO",F1583,0)</f>
        <v>0</v>
      </c>
      <c r="F1583" s="33" t="n">
        <v>0</v>
      </c>
      <c r="G1583" s="62"/>
      <c r="H1583" s="35" t="n">
        <v>0</v>
      </c>
      <c r="I1583" s="34" t="n">
        <f aca="false">+IF(E1583=0,0,E1583*0.03)</f>
        <v>0</v>
      </c>
    </row>
    <row r="1584" customFormat="false" ht="15.75" hidden="false" customHeight="true" outlineLevel="0" collapsed="false">
      <c r="A1584" s="30" t="n">
        <v>45323</v>
      </c>
      <c r="B1584" s="31" t="s">
        <v>11</v>
      </c>
      <c r="C1584" s="32"/>
      <c r="D1584" s="32"/>
      <c r="E1584" s="19" t="n">
        <f aca="false">+IF(C1584="EQUIPO",F1584,0)</f>
        <v>0</v>
      </c>
      <c r="F1584" s="33" t="n">
        <v>0</v>
      </c>
      <c r="G1584" s="62"/>
      <c r="H1584" s="35" t="n">
        <v>0</v>
      </c>
      <c r="I1584" s="34" t="n">
        <f aca="false">+IF(E1584=0,0,E1584*0.03)</f>
        <v>0</v>
      </c>
    </row>
    <row r="1585" customFormat="false" ht="15.75" hidden="false" customHeight="true" outlineLevel="0" collapsed="false">
      <c r="A1585" s="30" t="n">
        <v>45323</v>
      </c>
      <c r="B1585" s="31" t="s">
        <v>11</v>
      </c>
      <c r="C1585" s="32"/>
      <c r="D1585" s="32"/>
      <c r="E1585" s="19" t="n">
        <f aca="false">+IF(C1585="EQUIPO",F1585,0)</f>
        <v>0</v>
      </c>
      <c r="F1585" s="33" t="n">
        <v>0</v>
      </c>
      <c r="G1585" s="62"/>
      <c r="H1585" s="35" t="n">
        <v>0</v>
      </c>
      <c r="I1585" s="34" t="n">
        <f aca="false">+IF(E1585=0,0,E1585*0.03)</f>
        <v>0</v>
      </c>
    </row>
    <row r="1586" customFormat="false" ht="15.75" hidden="false" customHeight="true" outlineLevel="0" collapsed="false">
      <c r="A1586" s="30" t="n">
        <v>45323</v>
      </c>
      <c r="B1586" s="31" t="s">
        <v>11</v>
      </c>
      <c r="C1586" s="32"/>
      <c r="D1586" s="32"/>
      <c r="E1586" s="19" t="n">
        <f aca="false">+IF(C1586="EQUIPO",F1586,0)</f>
        <v>0</v>
      </c>
      <c r="F1586" s="33" t="n">
        <v>0</v>
      </c>
      <c r="G1586" s="62"/>
      <c r="H1586" s="35" t="n">
        <v>0</v>
      </c>
      <c r="I1586" s="34" t="n">
        <f aca="false">+IF(E1586=0,0,E1586*0.03)</f>
        <v>0</v>
      </c>
    </row>
    <row r="1587" customFormat="false" ht="15.75" hidden="false" customHeight="true" outlineLevel="0" collapsed="false">
      <c r="A1587" s="30" t="n">
        <v>45323</v>
      </c>
      <c r="B1587" s="31" t="s">
        <v>11</v>
      </c>
      <c r="C1587" s="32"/>
      <c r="D1587" s="32"/>
      <c r="E1587" s="19" t="n">
        <f aca="false">+IF(C1587="EQUIPO",F1587,0)</f>
        <v>0</v>
      </c>
      <c r="F1587" s="33" t="n">
        <v>0</v>
      </c>
      <c r="G1587" s="62"/>
      <c r="H1587" s="35" t="n">
        <v>0</v>
      </c>
      <c r="I1587" s="34" t="n">
        <f aca="false">+IF(E1587=0,0,E1587*0.03)</f>
        <v>0</v>
      </c>
    </row>
    <row r="1588" customFormat="false" ht="15.75" hidden="false" customHeight="true" outlineLevel="0" collapsed="false">
      <c r="A1588" s="30" t="n">
        <v>45323</v>
      </c>
      <c r="B1588" s="31" t="s">
        <v>11</v>
      </c>
      <c r="C1588" s="32"/>
      <c r="D1588" s="32"/>
      <c r="E1588" s="19" t="n">
        <f aca="false">+IF(C1588="EQUIPO",F1588,0)</f>
        <v>0</v>
      </c>
      <c r="F1588" s="33" t="n">
        <v>0</v>
      </c>
      <c r="G1588" s="62"/>
      <c r="H1588" s="35" t="n">
        <v>0</v>
      </c>
      <c r="I1588" s="34" t="n">
        <f aca="false">+IF(E1588=0,0,E1588*0.03)</f>
        <v>0</v>
      </c>
    </row>
    <row r="1589" customFormat="false" ht="15.75" hidden="false" customHeight="true" outlineLevel="0" collapsed="false">
      <c r="A1589" s="30" t="n">
        <v>45323</v>
      </c>
      <c r="B1589" s="31" t="s">
        <v>11</v>
      </c>
      <c r="C1589" s="32"/>
      <c r="D1589" s="32"/>
      <c r="E1589" s="19" t="n">
        <f aca="false">+IF(C1589="EQUIPO",F1589,0)</f>
        <v>0</v>
      </c>
      <c r="F1589" s="33" t="n">
        <v>0</v>
      </c>
      <c r="G1589" s="62"/>
      <c r="H1589" s="35" t="n">
        <v>0</v>
      </c>
      <c r="I1589" s="34" t="n">
        <f aca="false">+IF(E1589=0,0,E1589*0.03)</f>
        <v>0</v>
      </c>
    </row>
    <row r="1590" customFormat="false" ht="15.75" hidden="false" customHeight="true" outlineLevel="0" collapsed="false">
      <c r="A1590" s="30" t="n">
        <v>45323</v>
      </c>
      <c r="B1590" s="31" t="s">
        <v>11</v>
      </c>
      <c r="C1590" s="32"/>
      <c r="D1590" s="32"/>
      <c r="E1590" s="19" t="n">
        <f aca="false">+IF(C1590="EQUIPO",F1590,0)</f>
        <v>0</v>
      </c>
      <c r="F1590" s="33" t="n">
        <v>0</v>
      </c>
      <c r="G1590" s="62"/>
      <c r="H1590" s="35" t="n">
        <v>0</v>
      </c>
      <c r="I1590" s="34" t="n">
        <f aca="false">+IF(E1590=0,0,E1590*0.03)</f>
        <v>0</v>
      </c>
    </row>
    <row r="1591" customFormat="false" ht="15.75" hidden="false" customHeight="true" outlineLevel="0" collapsed="false">
      <c r="A1591" s="30" t="n">
        <v>45323</v>
      </c>
      <c r="B1591" s="31" t="s">
        <v>11</v>
      </c>
      <c r="C1591" s="32"/>
      <c r="D1591" s="32"/>
      <c r="E1591" s="19" t="n">
        <f aca="false">+IF(C1591="EQUIPO",F1591,0)</f>
        <v>0</v>
      </c>
      <c r="F1591" s="33" t="n">
        <v>0</v>
      </c>
      <c r="G1591" s="62"/>
      <c r="H1591" s="35" t="n">
        <v>0</v>
      </c>
      <c r="I1591" s="34" t="n">
        <f aca="false">+IF(E1591=0,0,E1591*0.03)</f>
        <v>0</v>
      </c>
    </row>
    <row r="1592" customFormat="false" ht="15.75" hidden="false" customHeight="true" outlineLevel="0" collapsed="false">
      <c r="A1592" s="30" t="n">
        <v>45323</v>
      </c>
      <c r="B1592" s="31" t="s">
        <v>11</v>
      </c>
      <c r="C1592" s="32"/>
      <c r="D1592" s="32"/>
      <c r="E1592" s="19" t="n">
        <f aca="false">+IF(C1592="EQUIPO",F1592,0)</f>
        <v>0</v>
      </c>
      <c r="F1592" s="33" t="n">
        <v>0</v>
      </c>
      <c r="G1592" s="62"/>
      <c r="H1592" s="35" t="n">
        <v>0</v>
      </c>
      <c r="I1592" s="34" t="n">
        <f aca="false">+IF(E1592=0,0,E1592*0.03)</f>
        <v>0</v>
      </c>
    </row>
    <row r="1593" customFormat="false" ht="15.75" hidden="false" customHeight="true" outlineLevel="0" collapsed="false">
      <c r="A1593" s="30" t="n">
        <v>45323</v>
      </c>
      <c r="B1593" s="31" t="s">
        <v>11</v>
      </c>
      <c r="C1593" s="32"/>
      <c r="D1593" s="32"/>
      <c r="E1593" s="19" t="n">
        <f aca="false">+IF(C1593="EQUIPO",F1593,0)</f>
        <v>0</v>
      </c>
      <c r="F1593" s="33" t="n">
        <v>0</v>
      </c>
      <c r="G1593" s="62"/>
      <c r="H1593" s="35" t="n">
        <v>0</v>
      </c>
      <c r="I1593" s="34" t="n">
        <f aca="false">+IF(E1593=0,0,E1593*0.03)</f>
        <v>0</v>
      </c>
    </row>
    <row r="1594" customFormat="false" ht="15.75" hidden="false" customHeight="true" outlineLevel="0" collapsed="false">
      <c r="A1594" s="30" t="n">
        <v>45323</v>
      </c>
      <c r="B1594" s="31" t="s">
        <v>11</v>
      </c>
      <c r="C1594" s="32"/>
      <c r="D1594" s="32"/>
      <c r="E1594" s="19" t="n">
        <f aca="false">+IF(C1594="EQUIPO",F1594,0)</f>
        <v>0</v>
      </c>
      <c r="F1594" s="33" t="n">
        <v>0</v>
      </c>
      <c r="G1594" s="62"/>
      <c r="H1594" s="35" t="n">
        <v>0</v>
      </c>
      <c r="I1594" s="34" t="n">
        <f aca="false">+IF(E1594=0,0,E1594*0.03)</f>
        <v>0</v>
      </c>
    </row>
    <row r="1595" customFormat="false" ht="15.75" hidden="false" customHeight="true" outlineLevel="0" collapsed="false">
      <c r="A1595" s="30" t="n">
        <v>45323</v>
      </c>
      <c r="B1595" s="31" t="s">
        <v>11</v>
      </c>
      <c r="C1595" s="32"/>
      <c r="D1595" s="32"/>
      <c r="E1595" s="19" t="n">
        <f aca="false">+IF(C1595="EQUIPO",F1595,0)</f>
        <v>0</v>
      </c>
      <c r="F1595" s="33" t="n">
        <v>0</v>
      </c>
      <c r="G1595" s="62"/>
      <c r="H1595" s="35" t="n">
        <v>0</v>
      </c>
      <c r="I1595" s="34" t="n">
        <f aca="false">+IF(E1595=0,0,E1595*0.03)</f>
        <v>0</v>
      </c>
    </row>
    <row r="1596" customFormat="false" ht="15.75" hidden="false" customHeight="true" outlineLevel="0" collapsed="false">
      <c r="A1596" s="30" t="n">
        <v>45323</v>
      </c>
      <c r="B1596" s="31" t="s">
        <v>11</v>
      </c>
      <c r="C1596" s="32"/>
      <c r="D1596" s="32"/>
      <c r="E1596" s="19" t="n">
        <f aca="false">+IF(C1596="EQUIPO",F1596,0)</f>
        <v>0</v>
      </c>
      <c r="F1596" s="33" t="n">
        <v>0</v>
      </c>
      <c r="G1596" s="62"/>
      <c r="H1596" s="35" t="n">
        <v>0</v>
      </c>
      <c r="I1596" s="34" t="n">
        <f aca="false">+IF(E1596=0,0,E1596*0.03)</f>
        <v>0</v>
      </c>
    </row>
    <row r="1597" customFormat="false" ht="15.75" hidden="false" customHeight="true" outlineLevel="0" collapsed="false">
      <c r="A1597" s="30" t="n">
        <v>45323</v>
      </c>
      <c r="B1597" s="31" t="s">
        <v>11</v>
      </c>
      <c r="C1597" s="32"/>
      <c r="D1597" s="32"/>
      <c r="E1597" s="19" t="n">
        <f aca="false">+IF(C1597="EQUIPO",F1597,0)</f>
        <v>0</v>
      </c>
      <c r="F1597" s="33" t="n">
        <v>0</v>
      </c>
      <c r="G1597" s="62"/>
      <c r="H1597" s="35" t="n">
        <v>0</v>
      </c>
      <c r="I1597" s="34" t="n">
        <f aca="false">+IF(E1597=0,0,E1597*0.03)</f>
        <v>0</v>
      </c>
    </row>
    <row r="1598" customFormat="false" ht="15.75" hidden="false" customHeight="true" outlineLevel="0" collapsed="false">
      <c r="A1598" s="30" t="n">
        <v>45323</v>
      </c>
      <c r="B1598" s="31" t="s">
        <v>11</v>
      </c>
      <c r="C1598" s="32"/>
      <c r="D1598" s="32"/>
      <c r="E1598" s="19" t="n">
        <f aca="false">+IF(C1598="EQUIPO",F1598,0)</f>
        <v>0</v>
      </c>
      <c r="F1598" s="33" t="n">
        <v>0</v>
      </c>
      <c r="G1598" s="62"/>
      <c r="H1598" s="35" t="n">
        <v>0</v>
      </c>
      <c r="I1598" s="34" t="n">
        <f aca="false">+IF(E1598=0,0,E1598*0.03)</f>
        <v>0</v>
      </c>
    </row>
    <row r="1599" customFormat="false" ht="15.75" hidden="false" customHeight="true" outlineLevel="0" collapsed="false">
      <c r="A1599" s="30" t="n">
        <v>45323</v>
      </c>
      <c r="B1599" s="31" t="s">
        <v>11</v>
      </c>
      <c r="C1599" s="32"/>
      <c r="D1599" s="32"/>
      <c r="E1599" s="19" t="n">
        <f aca="false">+IF(C1599="EQUIPO",F1599,0)</f>
        <v>0</v>
      </c>
      <c r="F1599" s="33" t="n">
        <v>0</v>
      </c>
      <c r="G1599" s="62"/>
      <c r="H1599" s="35" t="n">
        <v>0</v>
      </c>
      <c r="I1599" s="34" t="n">
        <f aca="false">+IF(E1599=0,0,E1599*0.03)</f>
        <v>0</v>
      </c>
    </row>
    <row r="1600" customFormat="false" ht="15.75" hidden="false" customHeight="true" outlineLevel="0" collapsed="false">
      <c r="A1600" s="30" t="n">
        <v>45323</v>
      </c>
      <c r="B1600" s="31" t="s">
        <v>11</v>
      </c>
      <c r="C1600" s="32"/>
      <c r="D1600" s="32"/>
      <c r="E1600" s="19" t="n">
        <f aca="false">+IF(C1600="EQUIPO",F1600,0)</f>
        <v>0</v>
      </c>
      <c r="F1600" s="33" t="n">
        <v>0</v>
      </c>
      <c r="G1600" s="62"/>
      <c r="H1600" s="35" t="n">
        <v>0</v>
      </c>
      <c r="I1600" s="34" t="n">
        <f aca="false">+IF(E1600=0,0,E1600*0.03)</f>
        <v>0</v>
      </c>
    </row>
    <row r="1601" customFormat="false" ht="15.75" hidden="false" customHeight="true" outlineLevel="0" collapsed="false">
      <c r="A1601" s="30" t="n">
        <v>45323</v>
      </c>
      <c r="B1601" s="31" t="s">
        <v>11</v>
      </c>
      <c r="C1601" s="32"/>
      <c r="D1601" s="32"/>
      <c r="E1601" s="19" t="n">
        <f aca="false">+IF(C1601="EQUIPO",F1601,0)</f>
        <v>0</v>
      </c>
      <c r="F1601" s="33" t="n">
        <v>0</v>
      </c>
      <c r="G1601" s="62"/>
      <c r="H1601" s="35" t="n">
        <v>0</v>
      </c>
      <c r="I1601" s="34" t="n">
        <f aca="false">+IF(E1601=0,0,E1601*0.03)</f>
        <v>0</v>
      </c>
    </row>
    <row r="1602" customFormat="false" ht="15.75" hidden="false" customHeight="true" outlineLevel="0" collapsed="false">
      <c r="A1602" s="30" t="n">
        <v>45323</v>
      </c>
      <c r="B1602" s="31" t="s">
        <v>11</v>
      </c>
      <c r="C1602" s="32"/>
      <c r="D1602" s="32"/>
      <c r="E1602" s="19" t="n">
        <f aca="false">+IF(C1602="EQUIPO",F1602,0)</f>
        <v>0</v>
      </c>
      <c r="F1602" s="33" t="n">
        <v>0</v>
      </c>
      <c r="G1602" s="62"/>
      <c r="H1602" s="35" t="n">
        <v>0</v>
      </c>
      <c r="I1602" s="34" t="n">
        <f aca="false">+IF(E1602=0,0,E1602*0.03)</f>
        <v>0</v>
      </c>
    </row>
    <row r="1603" customFormat="false" ht="15.75" hidden="false" customHeight="true" outlineLevel="0" collapsed="false">
      <c r="A1603" s="30" t="n">
        <v>45323</v>
      </c>
      <c r="B1603" s="31" t="s">
        <v>11</v>
      </c>
      <c r="C1603" s="32"/>
      <c r="D1603" s="32"/>
      <c r="E1603" s="19" t="n">
        <f aca="false">+IF(C1603="EQUIPO",F1603,0)</f>
        <v>0</v>
      </c>
      <c r="F1603" s="33" t="n">
        <v>0</v>
      </c>
      <c r="G1603" s="62"/>
      <c r="H1603" s="35" t="n">
        <v>0</v>
      </c>
      <c r="I1603" s="34" t="n">
        <f aca="false">+IF(E1603=0,0,E1603*0.03)</f>
        <v>0</v>
      </c>
    </row>
    <row r="1604" customFormat="false" ht="15.75" hidden="false" customHeight="true" outlineLevel="0" collapsed="false">
      <c r="A1604" s="30" t="n">
        <v>45323</v>
      </c>
      <c r="B1604" s="31" t="s">
        <v>11</v>
      </c>
      <c r="C1604" s="32"/>
      <c r="D1604" s="32"/>
      <c r="E1604" s="19" t="n">
        <f aca="false">+IF(C1604="EQUIPO",F1604,0)</f>
        <v>0</v>
      </c>
      <c r="F1604" s="33" t="n">
        <v>0</v>
      </c>
      <c r="G1604" s="62"/>
      <c r="H1604" s="35" t="n">
        <v>0</v>
      </c>
      <c r="I1604" s="34" t="n">
        <f aca="false">+IF(E1604=0,0,E1604*0.03)</f>
        <v>0</v>
      </c>
    </row>
    <row r="1605" customFormat="false" ht="15.75" hidden="false" customHeight="true" outlineLevel="0" collapsed="false">
      <c r="A1605" s="30" t="n">
        <v>45323</v>
      </c>
      <c r="B1605" s="31" t="s">
        <v>11</v>
      </c>
      <c r="C1605" s="32"/>
      <c r="D1605" s="32"/>
      <c r="E1605" s="19" t="n">
        <f aca="false">+IF(C1605="EQUIPO",F1605,0)</f>
        <v>0</v>
      </c>
      <c r="F1605" s="33" t="n">
        <v>0</v>
      </c>
      <c r="G1605" s="62"/>
      <c r="H1605" s="35" t="n">
        <v>0</v>
      </c>
      <c r="I1605" s="34" t="n">
        <f aca="false">+IF(E1605=0,0,E1605*0.03)</f>
        <v>0</v>
      </c>
    </row>
    <row r="1606" customFormat="false" ht="15.75" hidden="false" customHeight="true" outlineLevel="0" collapsed="false">
      <c r="A1606" s="30" t="n">
        <v>45323</v>
      </c>
      <c r="B1606" s="31" t="s">
        <v>11</v>
      </c>
      <c r="C1606" s="32"/>
      <c r="D1606" s="32"/>
      <c r="E1606" s="19" t="n">
        <f aca="false">+IF(C1606="EQUIPO",F1606,0)</f>
        <v>0</v>
      </c>
      <c r="F1606" s="33" t="n">
        <v>0</v>
      </c>
      <c r="G1606" s="62"/>
      <c r="H1606" s="35" t="n">
        <v>0</v>
      </c>
      <c r="I1606" s="34" t="n">
        <f aca="false">+IF(E1606=0,0,E1606*0.03)</f>
        <v>0</v>
      </c>
    </row>
    <row r="1607" customFormat="false" ht="15.75" hidden="false" customHeight="true" outlineLevel="0" collapsed="false">
      <c r="A1607" s="30" t="n">
        <v>45323</v>
      </c>
      <c r="B1607" s="31" t="s">
        <v>11</v>
      </c>
      <c r="C1607" s="32"/>
      <c r="D1607" s="32"/>
      <c r="E1607" s="19" t="n">
        <f aca="false">+IF(C1607="EQUIPO",F1607,0)</f>
        <v>0</v>
      </c>
      <c r="F1607" s="33" t="n">
        <v>0</v>
      </c>
      <c r="G1607" s="62"/>
      <c r="H1607" s="35" t="n">
        <v>0</v>
      </c>
      <c r="I1607" s="34" t="n">
        <f aca="false">+IF(E1607=0,0,E1607*0.03)</f>
        <v>0</v>
      </c>
    </row>
    <row r="1608" customFormat="false" ht="15.75" hidden="false" customHeight="true" outlineLevel="0" collapsed="false">
      <c r="A1608" s="30" t="n">
        <v>45323</v>
      </c>
      <c r="B1608" s="31" t="s">
        <v>11</v>
      </c>
      <c r="C1608" s="32"/>
      <c r="D1608" s="32"/>
      <c r="E1608" s="19" t="n">
        <f aca="false">+IF(C1608="EQUIPO",F1608,0)</f>
        <v>0</v>
      </c>
      <c r="F1608" s="33" t="n">
        <v>0</v>
      </c>
      <c r="G1608" s="62"/>
      <c r="H1608" s="35" t="n">
        <v>0</v>
      </c>
      <c r="I1608" s="34" t="n">
        <f aca="false">+IF(E1608=0,0,E1608*0.03)</f>
        <v>0</v>
      </c>
    </row>
    <row r="1609" customFormat="false" ht="15.75" hidden="false" customHeight="true" outlineLevel="0" collapsed="false">
      <c r="A1609" s="30" t="n">
        <v>45323</v>
      </c>
      <c r="B1609" s="31" t="s">
        <v>11</v>
      </c>
      <c r="C1609" s="32"/>
      <c r="D1609" s="32"/>
      <c r="E1609" s="19" t="n">
        <f aca="false">+IF(C1609="EQUIPO",F1609,0)</f>
        <v>0</v>
      </c>
      <c r="F1609" s="33" t="n">
        <v>0</v>
      </c>
      <c r="G1609" s="62"/>
      <c r="H1609" s="35" t="n">
        <v>0</v>
      </c>
      <c r="I1609" s="34" t="n">
        <f aca="false">+IF(E1609=0,0,E1609*0.03)</f>
        <v>0</v>
      </c>
    </row>
    <row r="1610" customFormat="false" ht="15.75" hidden="false" customHeight="true" outlineLevel="0" collapsed="false">
      <c r="A1610" s="30" t="n">
        <v>45323</v>
      </c>
      <c r="B1610" s="31" t="s">
        <v>11</v>
      </c>
      <c r="C1610" s="32"/>
      <c r="D1610" s="32"/>
      <c r="E1610" s="19" t="n">
        <f aca="false">+IF(C1610="EQUIPO",F1610,0)</f>
        <v>0</v>
      </c>
      <c r="F1610" s="33" t="n">
        <v>0</v>
      </c>
      <c r="G1610" s="62"/>
      <c r="H1610" s="35" t="n">
        <v>0</v>
      </c>
      <c r="I1610" s="34" t="n">
        <f aca="false">+IF(E1610=0,0,E1610*0.03)</f>
        <v>0</v>
      </c>
    </row>
    <row r="1611" customFormat="false" ht="15.75" hidden="false" customHeight="true" outlineLevel="0" collapsed="false">
      <c r="A1611" s="30" t="n">
        <v>45323</v>
      </c>
      <c r="B1611" s="31" t="s">
        <v>11</v>
      </c>
      <c r="C1611" s="32"/>
      <c r="D1611" s="32"/>
      <c r="E1611" s="19" t="n">
        <f aca="false">+IF(C1611="EQUIPO",F1611,0)</f>
        <v>0</v>
      </c>
      <c r="F1611" s="33" t="n">
        <v>0</v>
      </c>
      <c r="G1611" s="62"/>
      <c r="H1611" s="35" t="n">
        <v>0</v>
      </c>
      <c r="I1611" s="34" t="n">
        <f aca="false">+IF(E1611=0,0,E1611*0.03)</f>
        <v>0</v>
      </c>
    </row>
    <row r="1612" customFormat="false" ht="15.75" hidden="false" customHeight="true" outlineLevel="0" collapsed="false">
      <c r="A1612" s="30" t="n">
        <v>45323</v>
      </c>
      <c r="B1612" s="31" t="s">
        <v>11</v>
      </c>
      <c r="C1612" s="32"/>
      <c r="D1612" s="32"/>
      <c r="E1612" s="19" t="n">
        <f aca="false">+IF(C1612="EQUIPO",F1612,0)</f>
        <v>0</v>
      </c>
      <c r="F1612" s="33" t="n">
        <v>0</v>
      </c>
      <c r="G1612" s="62"/>
      <c r="H1612" s="35" t="n">
        <v>0</v>
      </c>
      <c r="I1612" s="34" t="n">
        <f aca="false">+IF(E1612=0,0,E1612*0.03)</f>
        <v>0</v>
      </c>
    </row>
    <row r="1613" customFormat="false" ht="15.75" hidden="false" customHeight="true" outlineLevel="0" collapsed="false">
      <c r="A1613" s="30" t="n">
        <v>45323</v>
      </c>
      <c r="B1613" s="31" t="s">
        <v>11</v>
      </c>
      <c r="C1613" s="32"/>
      <c r="D1613" s="32"/>
      <c r="E1613" s="19" t="n">
        <f aca="false">+IF(C1613="EQUIPO",F1613,0)</f>
        <v>0</v>
      </c>
      <c r="F1613" s="33" t="n">
        <v>0</v>
      </c>
      <c r="G1613" s="62"/>
      <c r="H1613" s="35" t="n">
        <v>0</v>
      </c>
      <c r="I1613" s="34" t="n">
        <f aca="false">+IF(E1613=0,0,E1613*0.03)</f>
        <v>0</v>
      </c>
    </row>
    <row r="1614" customFormat="false" ht="15.75" hidden="false" customHeight="true" outlineLevel="0" collapsed="false">
      <c r="A1614" s="30" t="n">
        <v>45323</v>
      </c>
      <c r="B1614" s="31" t="s">
        <v>11</v>
      </c>
      <c r="C1614" s="32"/>
      <c r="D1614" s="32"/>
      <c r="E1614" s="19" t="n">
        <f aca="false">+IF(C1614="EQUIPO",F1614,0)</f>
        <v>0</v>
      </c>
      <c r="F1614" s="33" t="n">
        <v>0</v>
      </c>
      <c r="G1614" s="62"/>
      <c r="H1614" s="35" t="n">
        <v>0</v>
      </c>
      <c r="I1614" s="34" t="n">
        <f aca="false">+IF(E1614=0,0,E1614*0.03)</f>
        <v>0</v>
      </c>
    </row>
    <row r="1615" customFormat="false" ht="15.75" hidden="false" customHeight="true" outlineLevel="0" collapsed="false">
      <c r="A1615" s="30" t="n">
        <v>45323</v>
      </c>
      <c r="B1615" s="31" t="s">
        <v>11</v>
      </c>
      <c r="C1615" s="32"/>
      <c r="D1615" s="32"/>
      <c r="E1615" s="19" t="n">
        <f aca="false">+IF(C1615="EQUIPO",F1615,0)</f>
        <v>0</v>
      </c>
      <c r="F1615" s="33" t="n">
        <v>0</v>
      </c>
      <c r="G1615" s="62"/>
      <c r="H1615" s="35" t="n">
        <v>0</v>
      </c>
      <c r="I1615" s="34" t="n">
        <f aca="false">+IF(E1615=0,0,E1615*0.03)</f>
        <v>0</v>
      </c>
    </row>
    <row r="1616" customFormat="false" ht="15.75" hidden="false" customHeight="true" outlineLevel="0" collapsed="false">
      <c r="A1616" s="30" t="n">
        <v>45323</v>
      </c>
      <c r="B1616" s="31" t="s">
        <v>11</v>
      </c>
      <c r="C1616" s="32"/>
      <c r="D1616" s="32"/>
      <c r="E1616" s="19" t="n">
        <f aca="false">+IF(C1616="EQUIPO",F1616,0)</f>
        <v>0</v>
      </c>
      <c r="F1616" s="33" t="n">
        <v>0</v>
      </c>
      <c r="G1616" s="62"/>
      <c r="H1616" s="35" t="n">
        <v>0</v>
      </c>
      <c r="I1616" s="34" t="n">
        <f aca="false">+IF(E1616=0,0,E1616*0.03)</f>
        <v>0</v>
      </c>
    </row>
    <row r="1617" customFormat="false" ht="15.75" hidden="false" customHeight="true" outlineLevel="0" collapsed="false">
      <c r="A1617" s="30" t="n">
        <v>45323</v>
      </c>
      <c r="B1617" s="31" t="s">
        <v>11</v>
      </c>
      <c r="C1617" s="32"/>
      <c r="D1617" s="32"/>
      <c r="E1617" s="19" t="n">
        <f aca="false">+IF(C1617="EQUIPO",F1617,0)</f>
        <v>0</v>
      </c>
      <c r="F1617" s="33" t="n">
        <v>0</v>
      </c>
      <c r="G1617" s="62"/>
      <c r="H1617" s="35" t="n">
        <v>0</v>
      </c>
      <c r="I1617" s="34" t="n">
        <f aca="false">+IF(E1617=0,0,E1617*0.03)</f>
        <v>0</v>
      </c>
    </row>
    <row r="1618" customFormat="false" ht="15.75" hidden="false" customHeight="true" outlineLevel="0" collapsed="false">
      <c r="A1618" s="30" t="n">
        <v>45323</v>
      </c>
      <c r="B1618" s="31" t="s">
        <v>11</v>
      </c>
      <c r="C1618" s="32"/>
      <c r="D1618" s="32"/>
      <c r="E1618" s="19" t="n">
        <f aca="false">+IF(C1618="EQUIPO",F1618,0)</f>
        <v>0</v>
      </c>
      <c r="F1618" s="33" t="n">
        <v>0</v>
      </c>
      <c r="G1618" s="62"/>
      <c r="H1618" s="35" t="n">
        <v>0</v>
      </c>
      <c r="I1618" s="34" t="n">
        <f aca="false">+IF(E1618=0,0,E1618*0.03)</f>
        <v>0</v>
      </c>
    </row>
    <row r="1619" customFormat="false" ht="15.75" hidden="false" customHeight="true" outlineLevel="0" collapsed="false">
      <c r="A1619" s="30" t="n">
        <v>45323</v>
      </c>
      <c r="B1619" s="31" t="s">
        <v>11</v>
      </c>
      <c r="C1619" s="32"/>
      <c r="D1619" s="32"/>
      <c r="E1619" s="19" t="n">
        <f aca="false">+IF(C1619="EQUIPO",F1619,0)</f>
        <v>0</v>
      </c>
      <c r="F1619" s="33" t="n">
        <v>0</v>
      </c>
      <c r="G1619" s="62"/>
      <c r="H1619" s="35" t="n">
        <v>0</v>
      </c>
      <c r="I1619" s="34" t="n">
        <f aca="false">+IF(E1619=0,0,E1619*0.03)</f>
        <v>0</v>
      </c>
    </row>
    <row r="1620" customFormat="false" ht="15.75" hidden="false" customHeight="true" outlineLevel="0" collapsed="false">
      <c r="A1620" s="30" t="n">
        <v>45323</v>
      </c>
      <c r="B1620" s="31" t="s">
        <v>11</v>
      </c>
      <c r="C1620" s="32"/>
      <c r="D1620" s="32"/>
      <c r="E1620" s="19" t="n">
        <f aca="false">+IF(C1620="EQUIPO",F1620,0)</f>
        <v>0</v>
      </c>
      <c r="F1620" s="33" t="n">
        <v>0</v>
      </c>
      <c r="G1620" s="62"/>
      <c r="H1620" s="35" t="n">
        <v>0</v>
      </c>
      <c r="I1620" s="34" t="n">
        <f aca="false">+IF(E1620=0,0,E1620*0.03)</f>
        <v>0</v>
      </c>
    </row>
    <row r="1621" customFormat="false" ht="15.75" hidden="false" customHeight="true" outlineLevel="0" collapsed="false">
      <c r="A1621" s="30" t="n">
        <v>45323</v>
      </c>
      <c r="B1621" s="31" t="s">
        <v>11</v>
      </c>
      <c r="C1621" s="32"/>
      <c r="D1621" s="32"/>
      <c r="E1621" s="19" t="n">
        <f aca="false">+IF(C1621="EQUIPO",F1621,0)</f>
        <v>0</v>
      </c>
      <c r="F1621" s="33" t="n">
        <v>0</v>
      </c>
      <c r="G1621" s="62"/>
      <c r="H1621" s="35" t="n">
        <v>0</v>
      </c>
      <c r="I1621" s="34" t="n">
        <f aca="false">+IF(E1621=0,0,E1621*0.03)</f>
        <v>0</v>
      </c>
    </row>
    <row r="1622" customFormat="false" ht="15.75" hidden="false" customHeight="true" outlineLevel="0" collapsed="false">
      <c r="A1622" s="30" t="n">
        <v>45323</v>
      </c>
      <c r="B1622" s="31" t="s">
        <v>11</v>
      </c>
      <c r="C1622" s="32"/>
      <c r="D1622" s="32"/>
      <c r="E1622" s="19" t="n">
        <f aca="false">+IF(C1622="EQUIPO",F1622,0)</f>
        <v>0</v>
      </c>
      <c r="F1622" s="33" t="n">
        <v>0</v>
      </c>
      <c r="G1622" s="62"/>
      <c r="H1622" s="35" t="n">
        <v>0</v>
      </c>
      <c r="I1622" s="34" t="n">
        <f aca="false">+IF(E1622=0,0,E1622*0.03)</f>
        <v>0</v>
      </c>
    </row>
    <row r="1623" customFormat="false" ht="15.75" hidden="false" customHeight="true" outlineLevel="0" collapsed="false">
      <c r="A1623" s="30" t="n">
        <v>45323</v>
      </c>
      <c r="B1623" s="31" t="s">
        <v>11</v>
      </c>
      <c r="C1623" s="32"/>
      <c r="D1623" s="32"/>
      <c r="E1623" s="19" t="n">
        <f aca="false">+IF(C1623="EQUIPO",F1623,0)</f>
        <v>0</v>
      </c>
      <c r="F1623" s="33" t="n">
        <v>0</v>
      </c>
      <c r="G1623" s="62"/>
      <c r="H1623" s="35" t="n">
        <v>0</v>
      </c>
      <c r="I1623" s="34" t="n">
        <f aca="false">+IF(E1623=0,0,E1623*0.03)</f>
        <v>0</v>
      </c>
    </row>
    <row r="1624" customFormat="false" ht="15.75" hidden="false" customHeight="true" outlineLevel="0" collapsed="false">
      <c r="A1624" s="30" t="n">
        <v>45323</v>
      </c>
      <c r="B1624" s="31" t="s">
        <v>11</v>
      </c>
      <c r="C1624" s="32"/>
      <c r="D1624" s="32"/>
      <c r="E1624" s="19" t="n">
        <f aca="false">+IF(C1624="EQUIPO",F1624,0)</f>
        <v>0</v>
      </c>
      <c r="F1624" s="33" t="n">
        <v>0</v>
      </c>
      <c r="G1624" s="62"/>
      <c r="H1624" s="35" t="n">
        <v>0</v>
      </c>
      <c r="I1624" s="34" t="n">
        <f aca="false">+IF(E1624=0,0,E1624*0.03)</f>
        <v>0</v>
      </c>
    </row>
    <row r="1625" customFormat="false" ht="15.75" hidden="false" customHeight="true" outlineLevel="0" collapsed="false">
      <c r="A1625" s="30" t="n">
        <v>45323</v>
      </c>
      <c r="B1625" s="31" t="s">
        <v>11</v>
      </c>
      <c r="C1625" s="32"/>
      <c r="D1625" s="32"/>
      <c r="E1625" s="19" t="n">
        <f aca="false">+IF(C1625="EQUIPO",F1625,0)</f>
        <v>0</v>
      </c>
      <c r="F1625" s="33" t="n">
        <v>0</v>
      </c>
      <c r="G1625" s="62"/>
      <c r="H1625" s="35" t="n">
        <v>0</v>
      </c>
      <c r="I1625" s="34" t="n">
        <f aca="false">+IF(E1625=0,0,E1625*0.03)</f>
        <v>0</v>
      </c>
    </row>
    <row r="1626" customFormat="false" ht="15.75" hidden="false" customHeight="true" outlineLevel="0" collapsed="false">
      <c r="A1626" s="30" t="n">
        <v>45323</v>
      </c>
      <c r="B1626" s="31" t="s">
        <v>11</v>
      </c>
      <c r="C1626" s="32"/>
      <c r="D1626" s="32"/>
      <c r="E1626" s="19" t="n">
        <f aca="false">+IF(C1626="EQUIPO",F1626,0)</f>
        <v>0</v>
      </c>
      <c r="F1626" s="33" t="n">
        <v>0</v>
      </c>
      <c r="G1626" s="62"/>
      <c r="H1626" s="35" t="n">
        <v>0</v>
      </c>
      <c r="I1626" s="34" t="n">
        <f aca="false">+IF(E1626=0,0,E1626*0.03)</f>
        <v>0</v>
      </c>
    </row>
    <row r="1627" customFormat="false" ht="15.75" hidden="false" customHeight="true" outlineLevel="0" collapsed="false">
      <c r="A1627" s="30" t="n">
        <v>45323</v>
      </c>
      <c r="B1627" s="31" t="s">
        <v>11</v>
      </c>
      <c r="C1627" s="32"/>
      <c r="D1627" s="32"/>
      <c r="E1627" s="19" t="n">
        <f aca="false">+IF(C1627="EQUIPO",F1627,0)</f>
        <v>0</v>
      </c>
      <c r="F1627" s="33" t="n">
        <v>0</v>
      </c>
      <c r="G1627" s="62"/>
      <c r="H1627" s="35" t="n">
        <v>0</v>
      </c>
      <c r="I1627" s="34" t="n">
        <f aca="false">+IF(E1627=0,0,E1627*0.03)</f>
        <v>0</v>
      </c>
    </row>
    <row r="1628" customFormat="false" ht="15.75" hidden="false" customHeight="true" outlineLevel="0" collapsed="false">
      <c r="A1628" s="30" t="n">
        <v>45323</v>
      </c>
      <c r="B1628" s="31" t="s">
        <v>11</v>
      </c>
      <c r="C1628" s="32"/>
      <c r="D1628" s="32"/>
      <c r="E1628" s="19" t="n">
        <f aca="false">+IF(C1628="EQUIPO",F1628,0)</f>
        <v>0</v>
      </c>
      <c r="F1628" s="33" t="n">
        <v>0</v>
      </c>
      <c r="G1628" s="62"/>
      <c r="H1628" s="35" t="n">
        <v>0</v>
      </c>
      <c r="I1628" s="34" t="n">
        <f aca="false">+IF(E1628=0,0,E1628*0.03)</f>
        <v>0</v>
      </c>
    </row>
    <row r="1629" customFormat="false" ht="15.75" hidden="false" customHeight="true" outlineLevel="0" collapsed="false">
      <c r="A1629" s="30" t="n">
        <v>45323</v>
      </c>
      <c r="B1629" s="31" t="s">
        <v>11</v>
      </c>
      <c r="C1629" s="32"/>
      <c r="D1629" s="32"/>
      <c r="E1629" s="19" t="n">
        <f aca="false">+IF(C1629="EQUIPO",F1629,0)</f>
        <v>0</v>
      </c>
      <c r="F1629" s="33" t="n">
        <v>0</v>
      </c>
      <c r="G1629" s="62"/>
      <c r="H1629" s="35" t="n">
        <v>0</v>
      </c>
      <c r="I1629" s="34" t="n">
        <f aca="false">+IF(E1629=0,0,E1629*0.03)</f>
        <v>0</v>
      </c>
    </row>
    <row r="1630" customFormat="false" ht="15.75" hidden="false" customHeight="true" outlineLevel="0" collapsed="false">
      <c r="A1630" s="30" t="n">
        <v>45323</v>
      </c>
      <c r="B1630" s="31" t="s">
        <v>11</v>
      </c>
      <c r="C1630" s="32"/>
      <c r="D1630" s="32"/>
      <c r="E1630" s="19" t="n">
        <f aca="false">+IF(C1630="EQUIPO",F1630,0)</f>
        <v>0</v>
      </c>
      <c r="F1630" s="33" t="n">
        <v>0</v>
      </c>
      <c r="G1630" s="62"/>
      <c r="H1630" s="35" t="n">
        <v>0</v>
      </c>
      <c r="I1630" s="34" t="n">
        <f aca="false">+IF(E1630=0,0,E1630*0.03)</f>
        <v>0</v>
      </c>
    </row>
    <row r="1631" customFormat="false" ht="15.75" hidden="false" customHeight="true" outlineLevel="0" collapsed="false">
      <c r="A1631" s="30" t="n">
        <v>45323</v>
      </c>
      <c r="B1631" s="31" t="s">
        <v>11</v>
      </c>
      <c r="C1631" s="32"/>
      <c r="D1631" s="32"/>
      <c r="E1631" s="19" t="n">
        <f aca="false">+IF(C1631="EQUIPO",F1631,0)</f>
        <v>0</v>
      </c>
      <c r="F1631" s="33" t="n">
        <v>0</v>
      </c>
      <c r="G1631" s="62"/>
      <c r="H1631" s="35" t="n">
        <v>0</v>
      </c>
      <c r="I1631" s="34" t="n">
        <f aca="false">+IF(E1631=0,0,E1631*0.03)</f>
        <v>0</v>
      </c>
    </row>
    <row r="1632" customFormat="false" ht="15.75" hidden="false" customHeight="true" outlineLevel="0" collapsed="false">
      <c r="A1632" s="30" t="n">
        <v>45323</v>
      </c>
      <c r="B1632" s="31" t="s">
        <v>11</v>
      </c>
      <c r="C1632" s="32"/>
      <c r="D1632" s="32"/>
      <c r="E1632" s="19" t="n">
        <f aca="false">+IF(C1632="EQUIPO",F1632,0)</f>
        <v>0</v>
      </c>
      <c r="F1632" s="33" t="n">
        <v>0</v>
      </c>
      <c r="G1632" s="62"/>
      <c r="H1632" s="35" t="n">
        <v>0</v>
      </c>
      <c r="I1632" s="34" t="n">
        <f aca="false">+IF(E1632=0,0,E1632*0.03)</f>
        <v>0</v>
      </c>
    </row>
    <row r="1633" customFormat="false" ht="15.75" hidden="false" customHeight="true" outlineLevel="0" collapsed="false">
      <c r="A1633" s="30" t="n">
        <v>45323</v>
      </c>
      <c r="B1633" s="31" t="s">
        <v>11</v>
      </c>
      <c r="C1633" s="32"/>
      <c r="D1633" s="32"/>
      <c r="E1633" s="19" t="n">
        <f aca="false">+IF(C1633="EQUIPO",F1633,0)</f>
        <v>0</v>
      </c>
      <c r="F1633" s="33" t="n">
        <v>0</v>
      </c>
      <c r="G1633" s="62"/>
      <c r="H1633" s="35" t="n">
        <v>0</v>
      </c>
      <c r="I1633" s="34" t="n">
        <f aca="false">+IF(E1633=0,0,E1633*0.03)</f>
        <v>0</v>
      </c>
    </row>
    <row r="1634" customFormat="false" ht="15.75" hidden="false" customHeight="true" outlineLevel="0" collapsed="false">
      <c r="A1634" s="30" t="n">
        <v>45323</v>
      </c>
      <c r="B1634" s="31" t="s">
        <v>11</v>
      </c>
      <c r="C1634" s="32"/>
      <c r="D1634" s="32"/>
      <c r="E1634" s="19" t="n">
        <f aca="false">+IF(C1634="EQUIPO",F1634,0)</f>
        <v>0</v>
      </c>
      <c r="F1634" s="33" t="n">
        <v>0</v>
      </c>
      <c r="G1634" s="62"/>
      <c r="H1634" s="35" t="n">
        <v>0</v>
      </c>
      <c r="I1634" s="34" t="n">
        <f aca="false">+IF(E1634=0,0,E1634*0.03)</f>
        <v>0</v>
      </c>
    </row>
    <row r="1635" customFormat="false" ht="15.75" hidden="false" customHeight="true" outlineLevel="0" collapsed="false">
      <c r="A1635" s="30" t="n">
        <v>45323</v>
      </c>
      <c r="B1635" s="31" t="s">
        <v>11</v>
      </c>
      <c r="C1635" s="32"/>
      <c r="D1635" s="32"/>
      <c r="E1635" s="19" t="n">
        <f aca="false">+IF(C1635="EQUIPO",F1635,0)</f>
        <v>0</v>
      </c>
      <c r="F1635" s="33" t="n">
        <v>0</v>
      </c>
      <c r="G1635" s="62"/>
      <c r="H1635" s="35" t="n">
        <v>0</v>
      </c>
      <c r="I1635" s="34" t="n">
        <f aca="false">+IF(E1635=0,0,E1635*0.03)</f>
        <v>0</v>
      </c>
    </row>
    <row r="1636" customFormat="false" ht="15.75" hidden="false" customHeight="true" outlineLevel="0" collapsed="false">
      <c r="A1636" s="30" t="n">
        <v>45323</v>
      </c>
      <c r="B1636" s="31" t="s">
        <v>11</v>
      </c>
      <c r="C1636" s="32"/>
      <c r="D1636" s="32"/>
      <c r="E1636" s="19" t="n">
        <f aca="false">+IF(C1636="EQUIPO",F1636,0)</f>
        <v>0</v>
      </c>
      <c r="F1636" s="33" t="n">
        <v>0</v>
      </c>
      <c r="G1636" s="62"/>
      <c r="H1636" s="35" t="n">
        <v>0</v>
      </c>
      <c r="I1636" s="34" t="n">
        <f aca="false">+IF(E1636=0,0,E1636*0.03)</f>
        <v>0</v>
      </c>
    </row>
    <row r="1637" customFormat="false" ht="15.75" hidden="false" customHeight="true" outlineLevel="0" collapsed="false">
      <c r="A1637" s="30" t="n">
        <v>45323</v>
      </c>
      <c r="B1637" s="31" t="s">
        <v>11</v>
      </c>
      <c r="C1637" s="32"/>
      <c r="D1637" s="32"/>
      <c r="E1637" s="19" t="n">
        <f aca="false">+IF(C1637="EQUIPO",F1637,0)</f>
        <v>0</v>
      </c>
      <c r="F1637" s="33" t="n">
        <v>0</v>
      </c>
      <c r="G1637" s="62"/>
      <c r="H1637" s="35" t="n">
        <v>0</v>
      </c>
      <c r="I1637" s="34" t="n">
        <f aca="false">+IF(E1637=0,0,E1637*0.03)</f>
        <v>0</v>
      </c>
    </row>
    <row r="1638" customFormat="false" ht="15.75" hidden="false" customHeight="true" outlineLevel="0" collapsed="false">
      <c r="A1638" s="30" t="n">
        <v>45323</v>
      </c>
      <c r="B1638" s="31" t="s">
        <v>11</v>
      </c>
      <c r="C1638" s="32"/>
      <c r="D1638" s="32"/>
      <c r="E1638" s="19" t="n">
        <f aca="false">+IF(C1638="EQUIPO",F1638,0)</f>
        <v>0</v>
      </c>
      <c r="F1638" s="33" t="n">
        <v>0</v>
      </c>
      <c r="G1638" s="62"/>
      <c r="H1638" s="35" t="n">
        <v>0</v>
      </c>
      <c r="I1638" s="34" t="n">
        <f aca="false">+IF(E1638=0,0,E1638*0.03)</f>
        <v>0</v>
      </c>
    </row>
    <row r="1639" customFormat="false" ht="15.75" hidden="false" customHeight="true" outlineLevel="0" collapsed="false">
      <c r="A1639" s="30" t="n">
        <v>45323</v>
      </c>
      <c r="B1639" s="31" t="s">
        <v>11</v>
      </c>
      <c r="C1639" s="32"/>
      <c r="D1639" s="32"/>
      <c r="E1639" s="19" t="n">
        <f aca="false">+IF(C1639="EQUIPO",F1639,0)</f>
        <v>0</v>
      </c>
      <c r="F1639" s="33" t="n">
        <v>0</v>
      </c>
      <c r="G1639" s="62"/>
      <c r="H1639" s="35" t="n">
        <v>0</v>
      </c>
      <c r="I1639" s="34" t="n">
        <f aca="false">+IF(E1639=0,0,E1639*0.03)</f>
        <v>0</v>
      </c>
    </row>
    <row r="1640" customFormat="false" ht="15.75" hidden="false" customHeight="true" outlineLevel="0" collapsed="false">
      <c r="A1640" s="30" t="n">
        <v>45323</v>
      </c>
      <c r="B1640" s="31" t="s">
        <v>11</v>
      </c>
      <c r="C1640" s="32"/>
      <c r="D1640" s="32"/>
      <c r="E1640" s="19" t="n">
        <f aca="false">+IF(C1640="EQUIPO",F1640,0)</f>
        <v>0</v>
      </c>
      <c r="F1640" s="33" t="n">
        <v>0</v>
      </c>
      <c r="G1640" s="62"/>
      <c r="H1640" s="35" t="n">
        <v>0</v>
      </c>
      <c r="I1640" s="34" t="n">
        <f aca="false">+IF(E1640=0,0,E1640*0.03)</f>
        <v>0</v>
      </c>
    </row>
    <row r="1641" customFormat="false" ht="15.75" hidden="false" customHeight="true" outlineLevel="0" collapsed="false">
      <c r="A1641" s="30" t="n">
        <v>45323</v>
      </c>
      <c r="B1641" s="31" t="s">
        <v>11</v>
      </c>
      <c r="C1641" s="32"/>
      <c r="D1641" s="32"/>
      <c r="E1641" s="19" t="n">
        <f aca="false">+IF(C1641="EQUIPO",F1641,0)</f>
        <v>0</v>
      </c>
      <c r="F1641" s="33" t="n">
        <v>0</v>
      </c>
      <c r="G1641" s="62"/>
      <c r="H1641" s="35" t="n">
        <v>0</v>
      </c>
      <c r="I1641" s="34" t="n">
        <f aca="false">+IF(E1641=0,0,E1641*0.03)</f>
        <v>0</v>
      </c>
    </row>
    <row r="1642" customFormat="false" ht="15.75" hidden="false" customHeight="true" outlineLevel="0" collapsed="false">
      <c r="A1642" s="30" t="n">
        <v>45323</v>
      </c>
      <c r="B1642" s="31" t="s">
        <v>11</v>
      </c>
      <c r="C1642" s="32"/>
      <c r="D1642" s="32"/>
      <c r="E1642" s="19" t="n">
        <f aca="false">+IF(C1642="EQUIPO",F1642,0)</f>
        <v>0</v>
      </c>
      <c r="F1642" s="33" t="n">
        <v>0</v>
      </c>
      <c r="G1642" s="62"/>
      <c r="H1642" s="35" t="n">
        <v>0</v>
      </c>
      <c r="I1642" s="34" t="n">
        <f aca="false">+IF(E1642=0,0,E1642*0.03)</f>
        <v>0</v>
      </c>
    </row>
    <row r="1643" customFormat="false" ht="15.75" hidden="false" customHeight="true" outlineLevel="0" collapsed="false">
      <c r="A1643" s="30" t="n">
        <v>45323</v>
      </c>
      <c r="B1643" s="31" t="s">
        <v>11</v>
      </c>
      <c r="C1643" s="32"/>
      <c r="D1643" s="32"/>
      <c r="E1643" s="19" t="n">
        <f aca="false">+IF(C1643="EQUIPO",F1643,0)</f>
        <v>0</v>
      </c>
      <c r="F1643" s="33" t="n">
        <v>0</v>
      </c>
      <c r="G1643" s="62"/>
      <c r="H1643" s="35" t="n">
        <v>0</v>
      </c>
      <c r="I1643" s="34" t="n">
        <f aca="false">+IF(E1643=0,0,E1643*0.03)</f>
        <v>0</v>
      </c>
    </row>
    <row r="1644" customFormat="false" ht="15.75" hidden="false" customHeight="true" outlineLevel="0" collapsed="false">
      <c r="A1644" s="30" t="n">
        <v>45323</v>
      </c>
      <c r="B1644" s="31" t="s">
        <v>11</v>
      </c>
      <c r="C1644" s="32"/>
      <c r="D1644" s="32"/>
      <c r="E1644" s="19" t="n">
        <f aca="false">+IF(C1644="EQUIPO",F1644,0)</f>
        <v>0</v>
      </c>
      <c r="F1644" s="33" t="n">
        <v>0</v>
      </c>
      <c r="G1644" s="62"/>
      <c r="H1644" s="35" t="n">
        <v>0</v>
      </c>
      <c r="I1644" s="34" t="n">
        <f aca="false">+IF(E1644=0,0,E1644*0.03)</f>
        <v>0</v>
      </c>
    </row>
    <row r="1645" customFormat="false" ht="15.75" hidden="false" customHeight="true" outlineLevel="0" collapsed="false">
      <c r="A1645" s="30" t="n">
        <v>45323</v>
      </c>
      <c r="B1645" s="31" t="s">
        <v>11</v>
      </c>
      <c r="C1645" s="32"/>
      <c r="D1645" s="32"/>
      <c r="E1645" s="19" t="n">
        <f aca="false">+IF(C1645="EQUIPO",F1645,0)</f>
        <v>0</v>
      </c>
      <c r="F1645" s="33" t="n">
        <v>0</v>
      </c>
      <c r="G1645" s="62"/>
      <c r="H1645" s="35" t="n">
        <v>0</v>
      </c>
      <c r="I1645" s="34" t="n">
        <f aca="false">+IF(E1645=0,0,E1645*0.03)</f>
        <v>0</v>
      </c>
    </row>
    <row r="1646" customFormat="false" ht="15.75" hidden="false" customHeight="true" outlineLevel="0" collapsed="false">
      <c r="A1646" s="30" t="n">
        <v>45323</v>
      </c>
      <c r="B1646" s="31" t="s">
        <v>11</v>
      </c>
      <c r="C1646" s="32"/>
      <c r="D1646" s="32"/>
      <c r="E1646" s="19" t="n">
        <f aca="false">+IF(C1646="EQUIPO",F1646,0)</f>
        <v>0</v>
      </c>
      <c r="F1646" s="33" t="n">
        <v>0</v>
      </c>
      <c r="G1646" s="62"/>
      <c r="H1646" s="35" t="n">
        <v>0</v>
      </c>
      <c r="I1646" s="34" t="n">
        <f aca="false">+IF(E1646=0,0,E1646*0.03)</f>
        <v>0</v>
      </c>
    </row>
    <row r="1647" customFormat="false" ht="15.75" hidden="false" customHeight="true" outlineLevel="0" collapsed="false">
      <c r="A1647" s="30" t="n">
        <v>45323</v>
      </c>
      <c r="B1647" s="31" t="s">
        <v>11</v>
      </c>
      <c r="C1647" s="32"/>
      <c r="D1647" s="32"/>
      <c r="E1647" s="19" t="n">
        <f aca="false">+IF(C1647="EQUIPO",F1647,0)</f>
        <v>0</v>
      </c>
      <c r="F1647" s="33" t="n">
        <v>0</v>
      </c>
      <c r="G1647" s="62"/>
      <c r="H1647" s="35" t="n">
        <v>0</v>
      </c>
      <c r="I1647" s="34" t="n">
        <f aca="false">+IF(E1647=0,0,E1647*0.03)</f>
        <v>0</v>
      </c>
    </row>
    <row r="1648" customFormat="false" ht="15.75" hidden="false" customHeight="true" outlineLevel="0" collapsed="false">
      <c r="A1648" s="30" t="n">
        <v>45323</v>
      </c>
      <c r="B1648" s="31" t="s">
        <v>11</v>
      </c>
      <c r="C1648" s="32"/>
      <c r="D1648" s="32"/>
      <c r="E1648" s="19" t="n">
        <f aca="false">+IF(C1648="EQUIPO",F1648,0)</f>
        <v>0</v>
      </c>
      <c r="F1648" s="33" t="n">
        <v>0</v>
      </c>
      <c r="G1648" s="62"/>
      <c r="H1648" s="35" t="n">
        <v>0</v>
      </c>
      <c r="I1648" s="34" t="n">
        <f aca="false">+IF(E1648=0,0,E1648*0.03)</f>
        <v>0</v>
      </c>
    </row>
    <row r="1649" customFormat="false" ht="15.75" hidden="false" customHeight="true" outlineLevel="0" collapsed="false">
      <c r="A1649" s="30" t="n">
        <v>45323</v>
      </c>
      <c r="B1649" s="31" t="s">
        <v>11</v>
      </c>
      <c r="C1649" s="32"/>
      <c r="D1649" s="32"/>
      <c r="E1649" s="19" t="n">
        <f aca="false">+IF(C1649="EQUIPO",F1649,0)</f>
        <v>0</v>
      </c>
      <c r="F1649" s="33" t="n">
        <v>0</v>
      </c>
      <c r="G1649" s="62"/>
      <c r="H1649" s="35" t="n">
        <v>0</v>
      </c>
      <c r="I1649" s="34" t="n">
        <f aca="false">+IF(E1649=0,0,E1649*0.03)</f>
        <v>0</v>
      </c>
    </row>
    <row r="1650" customFormat="false" ht="15.75" hidden="false" customHeight="true" outlineLevel="0" collapsed="false">
      <c r="A1650" s="30" t="n">
        <v>45323</v>
      </c>
      <c r="B1650" s="31" t="s">
        <v>11</v>
      </c>
      <c r="C1650" s="32"/>
      <c r="D1650" s="32"/>
      <c r="E1650" s="19" t="n">
        <f aca="false">+IF(C1650="EQUIPO",F1650,0)</f>
        <v>0</v>
      </c>
      <c r="F1650" s="33" t="n">
        <v>0</v>
      </c>
      <c r="G1650" s="62"/>
      <c r="H1650" s="35" t="n">
        <v>0</v>
      </c>
      <c r="I1650" s="34" t="n">
        <f aca="false">+IF(E1650=0,0,E1650*0.03)</f>
        <v>0</v>
      </c>
    </row>
    <row r="1651" customFormat="false" ht="15.75" hidden="false" customHeight="true" outlineLevel="0" collapsed="false">
      <c r="A1651" s="30" t="n">
        <v>45323</v>
      </c>
      <c r="B1651" s="31" t="s">
        <v>11</v>
      </c>
      <c r="C1651" s="32"/>
      <c r="D1651" s="32"/>
      <c r="E1651" s="19" t="n">
        <f aca="false">+IF(C1651="EQUIPO",F1651,0)</f>
        <v>0</v>
      </c>
      <c r="F1651" s="33" t="n">
        <v>0</v>
      </c>
      <c r="G1651" s="62"/>
      <c r="H1651" s="35" t="n">
        <v>0</v>
      </c>
      <c r="I1651" s="34" t="n">
        <f aca="false">+IF(E1651=0,0,E1651*0.03)</f>
        <v>0</v>
      </c>
    </row>
    <row r="1652" customFormat="false" ht="15.75" hidden="false" customHeight="true" outlineLevel="0" collapsed="false">
      <c r="A1652" s="30" t="n">
        <v>45323</v>
      </c>
      <c r="B1652" s="31" t="s">
        <v>11</v>
      </c>
      <c r="C1652" s="32"/>
      <c r="D1652" s="32"/>
      <c r="E1652" s="19" t="n">
        <f aca="false">+IF(C1652="EQUIPO",F1652,0)</f>
        <v>0</v>
      </c>
      <c r="F1652" s="33" t="n">
        <v>0</v>
      </c>
      <c r="G1652" s="62"/>
      <c r="H1652" s="35" t="n">
        <v>0</v>
      </c>
      <c r="I1652" s="34" t="n">
        <f aca="false">+IF(E1652=0,0,E1652*0.03)</f>
        <v>0</v>
      </c>
    </row>
    <row r="1653" customFormat="false" ht="15.75" hidden="false" customHeight="true" outlineLevel="0" collapsed="false">
      <c r="A1653" s="30" t="n">
        <v>45323</v>
      </c>
      <c r="B1653" s="31" t="s">
        <v>11</v>
      </c>
      <c r="C1653" s="32"/>
      <c r="D1653" s="32"/>
      <c r="E1653" s="19" t="n">
        <f aca="false">+IF(C1653="EQUIPO",F1653,0)</f>
        <v>0</v>
      </c>
      <c r="F1653" s="33" t="n">
        <v>0</v>
      </c>
      <c r="G1653" s="62"/>
      <c r="H1653" s="35" t="n">
        <v>0</v>
      </c>
      <c r="I1653" s="34" t="n">
        <f aca="false">+IF(E1653=0,0,E1653*0.03)</f>
        <v>0</v>
      </c>
    </row>
    <row r="1654" customFormat="false" ht="15.75" hidden="false" customHeight="true" outlineLevel="0" collapsed="false">
      <c r="A1654" s="30" t="n">
        <v>45323</v>
      </c>
      <c r="B1654" s="31" t="s">
        <v>11</v>
      </c>
      <c r="C1654" s="32"/>
      <c r="D1654" s="32"/>
      <c r="E1654" s="19" t="n">
        <f aca="false">+IF(C1654="EQUIPO",F1654,0)</f>
        <v>0</v>
      </c>
      <c r="F1654" s="33" t="n">
        <v>0</v>
      </c>
      <c r="G1654" s="62"/>
      <c r="H1654" s="35" t="n">
        <v>0</v>
      </c>
      <c r="I1654" s="34" t="n">
        <f aca="false">+IF(E1654=0,0,E1654*0.03)</f>
        <v>0</v>
      </c>
    </row>
    <row r="1655" customFormat="false" ht="15.75" hidden="false" customHeight="true" outlineLevel="0" collapsed="false">
      <c r="A1655" s="30" t="n">
        <v>45323</v>
      </c>
      <c r="B1655" s="31" t="s">
        <v>11</v>
      </c>
      <c r="C1655" s="32"/>
      <c r="D1655" s="32"/>
      <c r="E1655" s="19" t="n">
        <f aca="false">+IF(C1655="EQUIPO",F1655,0)</f>
        <v>0</v>
      </c>
      <c r="F1655" s="33" t="n">
        <v>0</v>
      </c>
      <c r="G1655" s="62"/>
      <c r="H1655" s="35" t="n">
        <v>0</v>
      </c>
      <c r="I1655" s="34" t="n">
        <f aca="false">+IF(E1655=0,0,E1655*0.03)</f>
        <v>0</v>
      </c>
    </row>
    <row r="1656" customFormat="false" ht="15.75" hidden="false" customHeight="true" outlineLevel="0" collapsed="false">
      <c r="A1656" s="30" t="n">
        <v>45323</v>
      </c>
      <c r="B1656" s="31" t="s">
        <v>11</v>
      </c>
      <c r="C1656" s="32"/>
      <c r="D1656" s="32"/>
      <c r="E1656" s="19" t="n">
        <f aca="false">+IF(C1656="EQUIPO",F1656,0)</f>
        <v>0</v>
      </c>
      <c r="F1656" s="33" t="n">
        <v>0</v>
      </c>
      <c r="G1656" s="62"/>
      <c r="H1656" s="35" t="n">
        <v>0</v>
      </c>
      <c r="I1656" s="34" t="n">
        <f aca="false">+IF(E1656=0,0,E1656*0.03)</f>
        <v>0</v>
      </c>
    </row>
    <row r="1657" customFormat="false" ht="15.75" hidden="false" customHeight="true" outlineLevel="0" collapsed="false">
      <c r="A1657" s="30" t="n">
        <v>45323</v>
      </c>
      <c r="B1657" s="31" t="s">
        <v>11</v>
      </c>
      <c r="C1657" s="32"/>
      <c r="D1657" s="32"/>
      <c r="E1657" s="19" t="n">
        <f aca="false">+IF(C1657="EQUIPO",F1657,0)</f>
        <v>0</v>
      </c>
      <c r="F1657" s="33" t="n">
        <v>0</v>
      </c>
      <c r="G1657" s="62"/>
      <c r="H1657" s="35" t="n">
        <v>0</v>
      </c>
      <c r="I1657" s="34" t="n">
        <f aca="false">+IF(E1657=0,0,E1657*0.03)</f>
        <v>0</v>
      </c>
    </row>
    <row r="1658" customFormat="false" ht="15.75" hidden="false" customHeight="true" outlineLevel="0" collapsed="false">
      <c r="A1658" s="30" t="n">
        <v>45323</v>
      </c>
      <c r="B1658" s="31" t="s">
        <v>11</v>
      </c>
      <c r="C1658" s="32"/>
      <c r="D1658" s="32"/>
      <c r="E1658" s="19" t="n">
        <f aca="false">+IF(C1658="EQUIPO",F1658,0)</f>
        <v>0</v>
      </c>
      <c r="F1658" s="33" t="n">
        <v>0</v>
      </c>
      <c r="G1658" s="62"/>
      <c r="H1658" s="35" t="n">
        <v>0</v>
      </c>
      <c r="I1658" s="34" t="n">
        <f aca="false">+IF(E1658=0,0,E1658*0.03)</f>
        <v>0</v>
      </c>
    </row>
    <row r="1659" customFormat="false" ht="15.75" hidden="false" customHeight="true" outlineLevel="0" collapsed="false">
      <c r="A1659" s="30" t="n">
        <v>45323</v>
      </c>
      <c r="B1659" s="31" t="s">
        <v>11</v>
      </c>
      <c r="C1659" s="32"/>
      <c r="D1659" s="32"/>
      <c r="E1659" s="19" t="n">
        <f aca="false">+IF(C1659="EQUIPO",F1659,0)</f>
        <v>0</v>
      </c>
      <c r="F1659" s="33" t="n">
        <v>0</v>
      </c>
      <c r="G1659" s="62"/>
      <c r="H1659" s="35" t="n">
        <v>0</v>
      </c>
      <c r="I1659" s="34" t="n">
        <f aca="false">+IF(E1659=0,0,E1659*0.03)</f>
        <v>0</v>
      </c>
    </row>
    <row r="1660" customFormat="false" ht="15.75" hidden="false" customHeight="true" outlineLevel="0" collapsed="false">
      <c r="A1660" s="30" t="n">
        <v>45323</v>
      </c>
      <c r="B1660" s="31" t="s">
        <v>11</v>
      </c>
      <c r="C1660" s="32"/>
      <c r="D1660" s="32"/>
      <c r="E1660" s="19" t="n">
        <f aca="false">+IF(C1660="EQUIPO",F1660,0)</f>
        <v>0</v>
      </c>
      <c r="F1660" s="33" t="n">
        <v>0</v>
      </c>
      <c r="G1660" s="62"/>
      <c r="H1660" s="35" t="n">
        <v>0</v>
      </c>
      <c r="I1660" s="34" t="n">
        <f aca="false">+IF(E1660=0,0,E1660*0.03)</f>
        <v>0</v>
      </c>
    </row>
    <row r="1661" customFormat="false" ht="15.75" hidden="false" customHeight="true" outlineLevel="0" collapsed="false">
      <c r="A1661" s="30" t="n">
        <v>45323</v>
      </c>
      <c r="B1661" s="31" t="s">
        <v>11</v>
      </c>
      <c r="C1661" s="32"/>
      <c r="D1661" s="32"/>
      <c r="E1661" s="19" t="n">
        <f aca="false">+IF(C1661="EQUIPO",F1661,0)</f>
        <v>0</v>
      </c>
      <c r="F1661" s="33" t="n">
        <v>0</v>
      </c>
      <c r="G1661" s="62"/>
      <c r="H1661" s="35" t="n">
        <v>0</v>
      </c>
      <c r="I1661" s="34" t="n">
        <f aca="false">+IF(E1661=0,0,E1661*0.03)</f>
        <v>0</v>
      </c>
    </row>
    <row r="1662" customFormat="false" ht="15.75" hidden="false" customHeight="true" outlineLevel="0" collapsed="false">
      <c r="A1662" s="30" t="n">
        <v>45323</v>
      </c>
      <c r="B1662" s="31" t="s">
        <v>11</v>
      </c>
      <c r="C1662" s="32"/>
      <c r="D1662" s="32"/>
      <c r="E1662" s="19" t="n">
        <f aca="false">+IF(C1662="EQUIPO",F1662,0)</f>
        <v>0</v>
      </c>
      <c r="F1662" s="33" t="n">
        <v>0</v>
      </c>
      <c r="G1662" s="62"/>
      <c r="H1662" s="35" t="n">
        <v>0</v>
      </c>
      <c r="I1662" s="34" t="n">
        <f aca="false">+IF(E1662=0,0,E1662*0.03)</f>
        <v>0</v>
      </c>
    </row>
    <row r="1663" customFormat="false" ht="15.75" hidden="false" customHeight="true" outlineLevel="0" collapsed="false">
      <c r="A1663" s="30" t="n">
        <v>45323</v>
      </c>
      <c r="B1663" s="31" t="s">
        <v>11</v>
      </c>
      <c r="C1663" s="32"/>
      <c r="D1663" s="32"/>
      <c r="E1663" s="19" t="n">
        <f aca="false">+IF(C1663="EQUIPO",F1663,0)</f>
        <v>0</v>
      </c>
      <c r="F1663" s="33" t="n">
        <v>0</v>
      </c>
      <c r="G1663" s="62"/>
      <c r="H1663" s="35" t="n">
        <v>0</v>
      </c>
      <c r="I1663" s="34" t="n">
        <f aca="false">+IF(E1663=0,0,E1663*0.03)</f>
        <v>0</v>
      </c>
    </row>
    <row r="1664" customFormat="false" ht="15.75" hidden="false" customHeight="true" outlineLevel="0" collapsed="false">
      <c r="A1664" s="30" t="n">
        <v>45323</v>
      </c>
      <c r="B1664" s="31" t="s">
        <v>11</v>
      </c>
      <c r="C1664" s="32"/>
      <c r="D1664" s="32"/>
      <c r="E1664" s="19" t="n">
        <f aca="false">+IF(C1664="EQUIPO",F1664,0)</f>
        <v>0</v>
      </c>
      <c r="F1664" s="33" t="n">
        <v>0</v>
      </c>
      <c r="G1664" s="62"/>
      <c r="H1664" s="35" t="n">
        <v>0</v>
      </c>
      <c r="I1664" s="34" t="n">
        <f aca="false">+IF(E1664=0,0,E1664*0.03)</f>
        <v>0</v>
      </c>
    </row>
    <row r="1665" customFormat="false" ht="15.75" hidden="false" customHeight="true" outlineLevel="0" collapsed="false">
      <c r="A1665" s="30" t="n">
        <v>45323</v>
      </c>
      <c r="B1665" s="31" t="s">
        <v>11</v>
      </c>
      <c r="C1665" s="32"/>
      <c r="D1665" s="32"/>
      <c r="E1665" s="19" t="n">
        <f aca="false">+IF(C1665="EQUIPO",F1665,0)</f>
        <v>0</v>
      </c>
      <c r="F1665" s="33" t="n">
        <v>0</v>
      </c>
      <c r="G1665" s="62"/>
      <c r="H1665" s="35" t="n">
        <v>0</v>
      </c>
      <c r="I1665" s="34" t="n">
        <f aca="false">+IF(E1665=0,0,E1665*0.03)</f>
        <v>0</v>
      </c>
    </row>
    <row r="1666" customFormat="false" ht="15.75" hidden="false" customHeight="true" outlineLevel="0" collapsed="false">
      <c r="A1666" s="30" t="n">
        <v>45323</v>
      </c>
      <c r="B1666" s="31" t="s">
        <v>11</v>
      </c>
      <c r="C1666" s="32"/>
      <c r="D1666" s="32"/>
      <c r="E1666" s="19" t="n">
        <f aca="false">+IF(C1666="EQUIPO",F1666,0)</f>
        <v>0</v>
      </c>
      <c r="F1666" s="33" t="n">
        <v>0</v>
      </c>
      <c r="G1666" s="62"/>
      <c r="H1666" s="35" t="n">
        <v>0</v>
      </c>
      <c r="I1666" s="34" t="n">
        <f aca="false">+IF(E1666=0,0,E1666*0.03)</f>
        <v>0</v>
      </c>
    </row>
    <row r="1667" customFormat="false" ht="15.75" hidden="false" customHeight="true" outlineLevel="0" collapsed="false">
      <c r="A1667" s="30" t="n">
        <v>45323</v>
      </c>
      <c r="B1667" s="31" t="s">
        <v>11</v>
      </c>
      <c r="C1667" s="32"/>
      <c r="D1667" s="32"/>
      <c r="E1667" s="19" t="n">
        <f aca="false">+IF(C1667="EQUIPO",F1667,0)</f>
        <v>0</v>
      </c>
      <c r="F1667" s="33" t="n">
        <v>0</v>
      </c>
      <c r="G1667" s="62"/>
      <c r="H1667" s="35" t="n">
        <v>0</v>
      </c>
      <c r="I1667" s="34" t="n">
        <f aca="false">+IF(E1667=0,0,E1667*0.03)</f>
        <v>0</v>
      </c>
    </row>
    <row r="1668" customFormat="false" ht="15.75" hidden="false" customHeight="true" outlineLevel="0" collapsed="false">
      <c r="A1668" s="30" t="n">
        <v>45323</v>
      </c>
      <c r="B1668" s="31" t="s">
        <v>11</v>
      </c>
      <c r="C1668" s="32"/>
      <c r="D1668" s="32"/>
      <c r="E1668" s="19" t="n">
        <f aca="false">+IF(C1668="EQUIPO",F1668,0)</f>
        <v>0</v>
      </c>
      <c r="F1668" s="33" t="n">
        <v>0</v>
      </c>
      <c r="G1668" s="62"/>
      <c r="H1668" s="35" t="n">
        <v>0</v>
      </c>
      <c r="I1668" s="34" t="n">
        <f aca="false">+IF(E1668=0,0,E1668*0.03)</f>
        <v>0</v>
      </c>
    </row>
    <row r="1669" customFormat="false" ht="15.75" hidden="false" customHeight="true" outlineLevel="0" collapsed="false">
      <c r="A1669" s="30" t="n">
        <v>45323</v>
      </c>
      <c r="B1669" s="31" t="s">
        <v>11</v>
      </c>
      <c r="C1669" s="32"/>
      <c r="D1669" s="32"/>
      <c r="E1669" s="19" t="n">
        <f aca="false">+IF(C1669="EQUIPO",F1669,0)</f>
        <v>0</v>
      </c>
      <c r="F1669" s="33" t="n">
        <v>0</v>
      </c>
      <c r="G1669" s="62"/>
      <c r="H1669" s="35" t="n">
        <v>0</v>
      </c>
      <c r="I1669" s="34" t="n">
        <f aca="false">+IF(E1669=0,0,E1669*0.03)</f>
        <v>0</v>
      </c>
    </row>
    <row r="1670" customFormat="false" ht="15.75" hidden="false" customHeight="true" outlineLevel="0" collapsed="false">
      <c r="A1670" s="30" t="n">
        <v>45323</v>
      </c>
      <c r="B1670" s="31" t="s">
        <v>11</v>
      </c>
      <c r="C1670" s="32"/>
      <c r="D1670" s="32"/>
      <c r="E1670" s="19" t="n">
        <f aca="false">+IF(C1670="EQUIPO",F1670,0)</f>
        <v>0</v>
      </c>
      <c r="F1670" s="33" t="n">
        <v>0</v>
      </c>
      <c r="G1670" s="62"/>
      <c r="H1670" s="35" t="n">
        <v>0</v>
      </c>
      <c r="I1670" s="34" t="n">
        <f aca="false">+IF(E1670=0,0,E1670*0.03)</f>
        <v>0</v>
      </c>
    </row>
    <row r="1671" customFormat="false" ht="15.75" hidden="false" customHeight="true" outlineLevel="0" collapsed="false">
      <c r="A1671" s="30" t="n">
        <v>45323</v>
      </c>
      <c r="B1671" s="31" t="s">
        <v>11</v>
      </c>
      <c r="C1671" s="32"/>
      <c r="D1671" s="32"/>
      <c r="E1671" s="19" t="n">
        <f aca="false">+IF(C1671="EQUIPO",F1671,0)</f>
        <v>0</v>
      </c>
      <c r="F1671" s="33" t="n">
        <v>0</v>
      </c>
      <c r="G1671" s="62"/>
      <c r="H1671" s="35" t="n">
        <v>0</v>
      </c>
      <c r="I1671" s="34" t="n">
        <f aca="false">+IF(E1671=0,0,E1671*0.03)</f>
        <v>0</v>
      </c>
    </row>
    <row r="1672" customFormat="false" ht="15.75" hidden="false" customHeight="true" outlineLevel="0" collapsed="false">
      <c r="A1672" s="30" t="n">
        <v>45323</v>
      </c>
      <c r="B1672" s="31" t="s">
        <v>11</v>
      </c>
      <c r="C1672" s="32"/>
      <c r="D1672" s="32"/>
      <c r="E1672" s="19" t="n">
        <f aca="false">+IF(C1672="EQUIPO",F1672,0)</f>
        <v>0</v>
      </c>
      <c r="F1672" s="33" t="n">
        <v>0</v>
      </c>
      <c r="G1672" s="62"/>
      <c r="H1672" s="35" t="n">
        <v>0</v>
      </c>
      <c r="I1672" s="34" t="n">
        <f aca="false">+IF(E1672=0,0,E1672*0.03)</f>
        <v>0</v>
      </c>
    </row>
    <row r="1673" customFormat="false" ht="15.75" hidden="false" customHeight="true" outlineLevel="0" collapsed="false">
      <c r="A1673" s="30" t="n">
        <v>45323</v>
      </c>
      <c r="B1673" s="31" t="s">
        <v>11</v>
      </c>
      <c r="C1673" s="32"/>
      <c r="D1673" s="32"/>
      <c r="E1673" s="19" t="n">
        <f aca="false">+IF(C1673="EQUIPO",F1673,0)</f>
        <v>0</v>
      </c>
      <c r="F1673" s="33" t="n">
        <v>0</v>
      </c>
      <c r="G1673" s="62"/>
      <c r="H1673" s="35" t="n">
        <v>0</v>
      </c>
      <c r="I1673" s="34" t="n">
        <f aca="false">+IF(E1673=0,0,E1673*0.03)</f>
        <v>0</v>
      </c>
    </row>
    <row r="1674" customFormat="false" ht="15.75" hidden="false" customHeight="true" outlineLevel="0" collapsed="false">
      <c r="A1674" s="30" t="n">
        <v>45323</v>
      </c>
      <c r="B1674" s="31" t="s">
        <v>11</v>
      </c>
      <c r="C1674" s="32"/>
      <c r="D1674" s="32"/>
      <c r="E1674" s="19" t="n">
        <f aca="false">+IF(C1674="EQUIPO",F1674,0)</f>
        <v>0</v>
      </c>
      <c r="F1674" s="33" t="n">
        <v>0</v>
      </c>
      <c r="G1674" s="62"/>
      <c r="H1674" s="35" t="n">
        <v>0</v>
      </c>
      <c r="I1674" s="34" t="n">
        <f aca="false">+IF(E1674=0,0,E1674*0.03)</f>
        <v>0</v>
      </c>
    </row>
    <row r="1675" customFormat="false" ht="15.75" hidden="false" customHeight="true" outlineLevel="0" collapsed="false">
      <c r="A1675" s="30" t="n">
        <v>45323</v>
      </c>
      <c r="B1675" s="31" t="s">
        <v>11</v>
      </c>
      <c r="C1675" s="32"/>
      <c r="D1675" s="32"/>
      <c r="E1675" s="19" t="n">
        <f aca="false">+IF(C1675="EQUIPO",F1675,0)</f>
        <v>0</v>
      </c>
      <c r="F1675" s="33" t="n">
        <v>0</v>
      </c>
      <c r="G1675" s="62"/>
      <c r="H1675" s="35" t="n">
        <v>0</v>
      </c>
      <c r="I1675" s="34" t="n">
        <f aca="false">+IF(E1675=0,0,E1675*0.03)</f>
        <v>0</v>
      </c>
    </row>
    <row r="1676" customFormat="false" ht="15.75" hidden="false" customHeight="true" outlineLevel="0" collapsed="false">
      <c r="A1676" s="30" t="n">
        <v>45323</v>
      </c>
      <c r="B1676" s="31" t="s">
        <v>11</v>
      </c>
      <c r="C1676" s="32"/>
      <c r="D1676" s="32"/>
      <c r="E1676" s="19" t="n">
        <f aca="false">+IF(C1676="EQUIPO",F1676,0)</f>
        <v>0</v>
      </c>
      <c r="F1676" s="33" t="n">
        <v>0</v>
      </c>
      <c r="G1676" s="62"/>
      <c r="H1676" s="35" t="n">
        <v>0</v>
      </c>
      <c r="I1676" s="34" t="n">
        <f aca="false">+IF(E1676=0,0,E1676*0.03)</f>
        <v>0</v>
      </c>
    </row>
    <row r="1677" customFormat="false" ht="15.75" hidden="false" customHeight="true" outlineLevel="0" collapsed="false">
      <c r="A1677" s="30" t="n">
        <v>45323</v>
      </c>
      <c r="B1677" s="31" t="s">
        <v>11</v>
      </c>
      <c r="C1677" s="32"/>
      <c r="D1677" s="32"/>
      <c r="E1677" s="19" t="n">
        <f aca="false">+IF(C1677="EQUIPO",F1677,0)</f>
        <v>0</v>
      </c>
      <c r="F1677" s="33" t="n">
        <v>0</v>
      </c>
      <c r="G1677" s="62"/>
      <c r="H1677" s="35" t="n">
        <v>0</v>
      </c>
      <c r="I1677" s="34" t="n">
        <f aca="false">+IF(E1677=0,0,E1677*0.03)</f>
        <v>0</v>
      </c>
    </row>
    <row r="1678" customFormat="false" ht="15.75" hidden="false" customHeight="true" outlineLevel="0" collapsed="false">
      <c r="A1678" s="30" t="n">
        <v>45323</v>
      </c>
      <c r="B1678" s="31" t="s">
        <v>11</v>
      </c>
      <c r="C1678" s="32"/>
      <c r="D1678" s="32"/>
      <c r="E1678" s="19" t="n">
        <f aca="false">+IF(C1678="EQUIPO",F1678,0)</f>
        <v>0</v>
      </c>
      <c r="F1678" s="33" t="n">
        <v>0</v>
      </c>
      <c r="G1678" s="62"/>
      <c r="H1678" s="35" t="n">
        <v>0</v>
      </c>
      <c r="I1678" s="34" t="n">
        <f aca="false">+IF(E1678=0,0,E1678*0.03)</f>
        <v>0</v>
      </c>
    </row>
    <row r="1679" customFormat="false" ht="15.75" hidden="false" customHeight="true" outlineLevel="0" collapsed="false">
      <c r="A1679" s="30" t="n">
        <v>45323</v>
      </c>
      <c r="B1679" s="31" t="s">
        <v>11</v>
      </c>
      <c r="C1679" s="32"/>
      <c r="D1679" s="32"/>
      <c r="E1679" s="19" t="n">
        <f aca="false">+IF(C1679="EQUIPO",F1679,0)</f>
        <v>0</v>
      </c>
      <c r="F1679" s="33" t="n">
        <v>0</v>
      </c>
      <c r="G1679" s="62"/>
      <c r="H1679" s="35" t="n">
        <v>0</v>
      </c>
      <c r="I1679" s="34" t="n">
        <f aca="false">+IF(E1679=0,0,E1679*0.03)</f>
        <v>0</v>
      </c>
    </row>
    <row r="1680" customFormat="false" ht="15.75" hidden="false" customHeight="true" outlineLevel="0" collapsed="false">
      <c r="A1680" s="30" t="n">
        <v>45323</v>
      </c>
      <c r="B1680" s="31" t="s">
        <v>11</v>
      </c>
      <c r="C1680" s="32"/>
      <c r="D1680" s="32"/>
      <c r="E1680" s="19" t="n">
        <f aca="false">+IF(C1680="EQUIPO",F1680,0)</f>
        <v>0</v>
      </c>
      <c r="F1680" s="33" t="n">
        <v>0</v>
      </c>
      <c r="G1680" s="62"/>
      <c r="H1680" s="35" t="n">
        <v>0</v>
      </c>
      <c r="I1680" s="34" t="n">
        <f aca="false">+IF(E1680=0,0,E1680*0.03)</f>
        <v>0</v>
      </c>
    </row>
    <row r="1681" customFormat="false" ht="15.75" hidden="false" customHeight="true" outlineLevel="0" collapsed="false">
      <c r="A1681" s="30" t="n">
        <v>45323</v>
      </c>
      <c r="B1681" s="31" t="s">
        <v>11</v>
      </c>
      <c r="C1681" s="32"/>
      <c r="D1681" s="32"/>
      <c r="E1681" s="19" t="n">
        <f aca="false">+IF(C1681="EQUIPO",F1681,0)</f>
        <v>0</v>
      </c>
      <c r="F1681" s="33" t="n">
        <v>0</v>
      </c>
      <c r="G1681" s="62"/>
      <c r="H1681" s="35" t="n">
        <v>0</v>
      </c>
      <c r="I1681" s="34" t="n">
        <f aca="false">+IF(E1681=0,0,E1681*0.03)</f>
        <v>0</v>
      </c>
    </row>
    <row r="1682" customFormat="false" ht="15.75" hidden="false" customHeight="true" outlineLevel="0" collapsed="false">
      <c r="A1682" s="30" t="n">
        <v>45323</v>
      </c>
      <c r="B1682" s="31" t="s">
        <v>11</v>
      </c>
      <c r="C1682" s="32"/>
      <c r="D1682" s="32"/>
      <c r="E1682" s="19" t="n">
        <f aca="false">+IF(C1682="EQUIPO",F1682,0)</f>
        <v>0</v>
      </c>
      <c r="F1682" s="33" t="n">
        <v>0</v>
      </c>
      <c r="G1682" s="62"/>
      <c r="H1682" s="35" t="n">
        <v>0</v>
      </c>
      <c r="I1682" s="34" t="n">
        <f aca="false">+IF(E1682=0,0,E1682*0.03)</f>
        <v>0</v>
      </c>
    </row>
    <row r="1683" customFormat="false" ht="15.75" hidden="false" customHeight="true" outlineLevel="0" collapsed="false">
      <c r="A1683" s="30" t="n">
        <v>45323</v>
      </c>
      <c r="B1683" s="31" t="s">
        <v>11</v>
      </c>
      <c r="C1683" s="32"/>
      <c r="D1683" s="32"/>
      <c r="E1683" s="19" t="n">
        <f aca="false">+IF(C1683="EQUIPO",F1683,0)</f>
        <v>0</v>
      </c>
      <c r="F1683" s="33" t="n">
        <v>0</v>
      </c>
      <c r="G1683" s="62"/>
      <c r="H1683" s="35" t="n">
        <v>0</v>
      </c>
      <c r="I1683" s="34" t="n">
        <f aca="false">+IF(E1683=0,0,E1683*0.03)</f>
        <v>0</v>
      </c>
    </row>
    <row r="1684" customFormat="false" ht="15.75" hidden="false" customHeight="true" outlineLevel="0" collapsed="false">
      <c r="A1684" s="30" t="n">
        <v>45323</v>
      </c>
      <c r="B1684" s="31" t="s">
        <v>11</v>
      </c>
      <c r="C1684" s="32"/>
      <c r="D1684" s="32"/>
      <c r="E1684" s="19" t="n">
        <f aca="false">+IF(C1684="EQUIPO",F1684,0)</f>
        <v>0</v>
      </c>
      <c r="F1684" s="33" t="n">
        <v>0</v>
      </c>
      <c r="G1684" s="62"/>
      <c r="H1684" s="35" t="n">
        <v>0</v>
      </c>
      <c r="I1684" s="34" t="n">
        <f aca="false">+IF(E1684=0,0,E1684*0.03)</f>
        <v>0</v>
      </c>
    </row>
    <row r="1685" customFormat="false" ht="15.75" hidden="false" customHeight="true" outlineLevel="0" collapsed="false">
      <c r="A1685" s="30" t="n">
        <v>45323</v>
      </c>
      <c r="B1685" s="31" t="s">
        <v>11</v>
      </c>
      <c r="C1685" s="32"/>
      <c r="D1685" s="32"/>
      <c r="E1685" s="19" t="n">
        <f aca="false">+IF(C1685="EQUIPO",F1685,0)</f>
        <v>0</v>
      </c>
      <c r="F1685" s="33" t="n">
        <v>0</v>
      </c>
      <c r="G1685" s="62"/>
      <c r="H1685" s="35" t="n">
        <v>0</v>
      </c>
      <c r="I1685" s="34" t="n">
        <f aca="false">+IF(E1685=0,0,E1685*0.03)</f>
        <v>0</v>
      </c>
    </row>
    <row r="1686" customFormat="false" ht="15.75" hidden="false" customHeight="true" outlineLevel="0" collapsed="false">
      <c r="A1686" s="30" t="n">
        <v>45323</v>
      </c>
      <c r="B1686" s="31" t="s">
        <v>11</v>
      </c>
      <c r="C1686" s="32"/>
      <c r="D1686" s="32"/>
      <c r="E1686" s="19" t="n">
        <f aca="false">+IF(C1686="EQUIPO",F1686,0)</f>
        <v>0</v>
      </c>
      <c r="F1686" s="33" t="n">
        <v>0</v>
      </c>
      <c r="G1686" s="62"/>
      <c r="H1686" s="35" t="n">
        <v>0</v>
      </c>
      <c r="I1686" s="34" t="n">
        <f aca="false">+IF(E1686=0,0,E1686*0.03)</f>
        <v>0</v>
      </c>
    </row>
    <row r="1687" customFormat="false" ht="15.75" hidden="false" customHeight="true" outlineLevel="0" collapsed="false">
      <c r="A1687" s="30" t="n">
        <v>45323</v>
      </c>
      <c r="B1687" s="31" t="s">
        <v>11</v>
      </c>
      <c r="C1687" s="32"/>
      <c r="D1687" s="32"/>
      <c r="E1687" s="19" t="n">
        <f aca="false">+IF(C1687="EQUIPO",F1687,0)</f>
        <v>0</v>
      </c>
      <c r="F1687" s="33" t="n">
        <v>0</v>
      </c>
      <c r="G1687" s="62"/>
      <c r="H1687" s="35" t="n">
        <v>0</v>
      </c>
      <c r="I1687" s="34" t="n">
        <f aca="false">+IF(E1687=0,0,E1687*0.03)</f>
        <v>0</v>
      </c>
    </row>
    <row r="1688" customFormat="false" ht="15.75" hidden="false" customHeight="true" outlineLevel="0" collapsed="false">
      <c r="A1688" s="30" t="n">
        <v>45323</v>
      </c>
      <c r="B1688" s="31" t="s">
        <v>11</v>
      </c>
      <c r="C1688" s="32"/>
      <c r="D1688" s="32"/>
      <c r="E1688" s="19" t="n">
        <f aca="false">+IF(C1688="EQUIPO",F1688,0)</f>
        <v>0</v>
      </c>
      <c r="F1688" s="33" t="n">
        <v>0</v>
      </c>
      <c r="G1688" s="62"/>
      <c r="H1688" s="35" t="n">
        <v>0</v>
      </c>
      <c r="I1688" s="34" t="n">
        <f aca="false">+IF(E1688=0,0,E1688*0.03)</f>
        <v>0</v>
      </c>
    </row>
    <row r="1689" customFormat="false" ht="15.75" hidden="false" customHeight="true" outlineLevel="0" collapsed="false">
      <c r="A1689" s="30" t="n">
        <v>45323</v>
      </c>
      <c r="B1689" s="31" t="s">
        <v>11</v>
      </c>
      <c r="C1689" s="32"/>
      <c r="D1689" s="32"/>
      <c r="E1689" s="19" t="n">
        <f aca="false">+IF(C1689="EQUIPO",F1689,0)</f>
        <v>0</v>
      </c>
      <c r="F1689" s="33" t="n">
        <v>0</v>
      </c>
      <c r="G1689" s="62"/>
      <c r="H1689" s="35" t="n">
        <v>0</v>
      </c>
      <c r="I1689" s="34" t="n">
        <f aca="false">+IF(E1689=0,0,E1689*0.03)</f>
        <v>0</v>
      </c>
    </row>
    <row r="1690" customFormat="false" ht="15.75" hidden="false" customHeight="true" outlineLevel="0" collapsed="false">
      <c r="A1690" s="30" t="n">
        <v>45323</v>
      </c>
      <c r="B1690" s="31" t="s">
        <v>11</v>
      </c>
      <c r="C1690" s="32"/>
      <c r="D1690" s="32"/>
      <c r="E1690" s="19" t="n">
        <f aca="false">+IF(C1690="EQUIPO",F1690,0)</f>
        <v>0</v>
      </c>
      <c r="F1690" s="33" t="n">
        <v>0</v>
      </c>
      <c r="G1690" s="62"/>
      <c r="H1690" s="35" t="n">
        <v>0</v>
      </c>
      <c r="I1690" s="34" t="n">
        <f aca="false">+IF(E1690=0,0,E1690*0.03)</f>
        <v>0</v>
      </c>
    </row>
    <row r="1691" customFormat="false" ht="15.75" hidden="false" customHeight="true" outlineLevel="0" collapsed="false">
      <c r="A1691" s="30" t="n">
        <v>45323</v>
      </c>
      <c r="B1691" s="31" t="s">
        <v>11</v>
      </c>
      <c r="C1691" s="32"/>
      <c r="D1691" s="32"/>
      <c r="E1691" s="19" t="n">
        <f aca="false">+IF(C1691="EQUIPO",F1691,0)</f>
        <v>0</v>
      </c>
      <c r="F1691" s="33" t="n">
        <v>0</v>
      </c>
      <c r="G1691" s="62"/>
      <c r="H1691" s="35" t="n">
        <v>0</v>
      </c>
      <c r="I1691" s="34" t="n">
        <f aca="false">+IF(E1691=0,0,E1691*0.03)</f>
        <v>0</v>
      </c>
    </row>
    <row r="1692" customFormat="false" ht="15.75" hidden="false" customHeight="true" outlineLevel="0" collapsed="false">
      <c r="A1692" s="30" t="n">
        <v>45323</v>
      </c>
      <c r="B1692" s="31" t="s">
        <v>11</v>
      </c>
      <c r="C1692" s="32"/>
      <c r="D1692" s="32"/>
      <c r="E1692" s="19" t="n">
        <f aca="false">+IF(C1692="EQUIPO",F1692,0)</f>
        <v>0</v>
      </c>
      <c r="F1692" s="33" t="n">
        <v>0</v>
      </c>
      <c r="G1692" s="62"/>
      <c r="H1692" s="35" t="n">
        <v>0</v>
      </c>
      <c r="I1692" s="34" t="n">
        <f aca="false">+IF(E1692=0,0,E1692*0.03)</f>
        <v>0</v>
      </c>
    </row>
    <row r="1693" customFormat="false" ht="15.75" hidden="false" customHeight="true" outlineLevel="0" collapsed="false">
      <c r="A1693" s="30" t="n">
        <v>45323</v>
      </c>
      <c r="B1693" s="31" t="s">
        <v>11</v>
      </c>
      <c r="C1693" s="32"/>
      <c r="D1693" s="32"/>
      <c r="E1693" s="19" t="n">
        <f aca="false">+IF(C1693="EQUIPO",F1693,0)</f>
        <v>0</v>
      </c>
      <c r="F1693" s="33" t="n">
        <v>0</v>
      </c>
      <c r="G1693" s="62"/>
      <c r="H1693" s="35" t="n">
        <v>0</v>
      </c>
      <c r="I1693" s="34" t="n">
        <f aca="false">+IF(E1693=0,0,E1693*0.03)</f>
        <v>0</v>
      </c>
    </row>
    <row r="1694" customFormat="false" ht="15.75" hidden="false" customHeight="true" outlineLevel="0" collapsed="false">
      <c r="A1694" s="30" t="n">
        <v>45323</v>
      </c>
      <c r="B1694" s="31" t="s">
        <v>11</v>
      </c>
      <c r="C1694" s="32"/>
      <c r="D1694" s="32"/>
      <c r="E1694" s="19" t="n">
        <f aca="false">+IF(C1694="EQUIPO",F1694,0)</f>
        <v>0</v>
      </c>
      <c r="F1694" s="33" t="n">
        <v>0</v>
      </c>
      <c r="G1694" s="62"/>
      <c r="H1694" s="35" t="n">
        <v>0</v>
      </c>
      <c r="I1694" s="34" t="n">
        <f aca="false">+IF(E1694=0,0,E1694*0.03)</f>
        <v>0</v>
      </c>
    </row>
    <row r="1695" customFormat="false" ht="15.75" hidden="false" customHeight="true" outlineLevel="0" collapsed="false">
      <c r="A1695" s="30" t="n">
        <v>45323</v>
      </c>
      <c r="B1695" s="31" t="s">
        <v>11</v>
      </c>
      <c r="C1695" s="32"/>
      <c r="D1695" s="32"/>
      <c r="E1695" s="19" t="n">
        <f aca="false">+IF(C1695="EQUIPO",F1695,0)</f>
        <v>0</v>
      </c>
      <c r="F1695" s="33" t="n">
        <v>0</v>
      </c>
      <c r="G1695" s="62"/>
      <c r="H1695" s="35" t="n">
        <v>0</v>
      </c>
      <c r="I1695" s="34" t="n">
        <f aca="false">+IF(E1695=0,0,E1695*0.03)</f>
        <v>0</v>
      </c>
    </row>
    <row r="1696" customFormat="false" ht="15.75" hidden="false" customHeight="true" outlineLevel="0" collapsed="false">
      <c r="A1696" s="30" t="n">
        <v>45323</v>
      </c>
      <c r="B1696" s="31" t="s">
        <v>11</v>
      </c>
      <c r="C1696" s="32"/>
      <c r="D1696" s="32"/>
      <c r="E1696" s="19" t="n">
        <f aca="false">+IF(C1696="EQUIPO",F1696,0)</f>
        <v>0</v>
      </c>
      <c r="F1696" s="33" t="n">
        <v>0</v>
      </c>
      <c r="G1696" s="62"/>
      <c r="H1696" s="35" t="n">
        <v>0</v>
      </c>
      <c r="I1696" s="34" t="n">
        <f aca="false">+IF(E1696=0,0,E1696*0.03)</f>
        <v>0</v>
      </c>
    </row>
    <row r="1697" customFormat="false" ht="15.75" hidden="false" customHeight="true" outlineLevel="0" collapsed="false">
      <c r="A1697" s="30" t="n">
        <v>45323</v>
      </c>
      <c r="B1697" s="31" t="s">
        <v>11</v>
      </c>
      <c r="C1697" s="32"/>
      <c r="D1697" s="32"/>
      <c r="E1697" s="19" t="n">
        <f aca="false">+IF(C1697="EQUIPO",F1697,0)</f>
        <v>0</v>
      </c>
      <c r="F1697" s="33" t="n">
        <v>0</v>
      </c>
      <c r="G1697" s="62"/>
      <c r="H1697" s="35" t="n">
        <v>0</v>
      </c>
      <c r="I1697" s="34" t="n">
        <f aca="false">+IF(E1697=0,0,E1697*0.03)</f>
        <v>0</v>
      </c>
    </row>
    <row r="1698" customFormat="false" ht="15.75" hidden="false" customHeight="true" outlineLevel="0" collapsed="false">
      <c r="A1698" s="30" t="n">
        <v>45323</v>
      </c>
      <c r="B1698" s="31" t="s">
        <v>11</v>
      </c>
      <c r="C1698" s="32"/>
      <c r="D1698" s="32"/>
      <c r="E1698" s="19" t="n">
        <f aca="false">+IF(C1698="EQUIPO",F1698,0)</f>
        <v>0</v>
      </c>
      <c r="F1698" s="33" t="n">
        <v>0</v>
      </c>
      <c r="G1698" s="62"/>
      <c r="H1698" s="35" t="n">
        <v>0</v>
      </c>
      <c r="I1698" s="34" t="n">
        <f aca="false">+IF(E1698=0,0,E1698*0.03)</f>
        <v>0</v>
      </c>
    </row>
    <row r="1699" customFormat="false" ht="15.75" hidden="false" customHeight="true" outlineLevel="0" collapsed="false">
      <c r="A1699" s="30" t="n">
        <v>45323</v>
      </c>
      <c r="B1699" s="31" t="s">
        <v>11</v>
      </c>
      <c r="C1699" s="32"/>
      <c r="D1699" s="32"/>
      <c r="E1699" s="19" t="n">
        <f aca="false">+IF(C1699="EQUIPO",F1699,0)</f>
        <v>0</v>
      </c>
      <c r="F1699" s="33" t="n">
        <v>0</v>
      </c>
      <c r="G1699" s="62"/>
      <c r="H1699" s="35" t="n">
        <v>0</v>
      </c>
      <c r="I1699" s="34" t="n">
        <f aca="false">+IF(E1699=0,0,E1699*0.03)</f>
        <v>0</v>
      </c>
    </row>
    <row r="1700" customFormat="false" ht="15.75" hidden="false" customHeight="true" outlineLevel="0" collapsed="false">
      <c r="A1700" s="30" t="n">
        <v>45323</v>
      </c>
      <c r="B1700" s="31" t="s">
        <v>11</v>
      </c>
      <c r="C1700" s="32"/>
      <c r="D1700" s="32"/>
      <c r="E1700" s="19" t="n">
        <f aca="false">+IF(C1700="EQUIPO",F1700,0)</f>
        <v>0</v>
      </c>
      <c r="F1700" s="33" t="n">
        <v>0</v>
      </c>
      <c r="G1700" s="62"/>
      <c r="H1700" s="35" t="n">
        <v>0</v>
      </c>
      <c r="I1700" s="34" t="n">
        <f aca="false">+IF(E1700=0,0,E1700*0.03)</f>
        <v>0</v>
      </c>
    </row>
    <row r="1701" customFormat="false" ht="15.75" hidden="false" customHeight="true" outlineLevel="0" collapsed="false">
      <c r="A1701" s="30" t="n">
        <v>45323</v>
      </c>
      <c r="B1701" s="31" t="s">
        <v>11</v>
      </c>
      <c r="C1701" s="32"/>
      <c r="D1701" s="32"/>
      <c r="E1701" s="19" t="n">
        <f aca="false">+IF(C1701="EQUIPO",F1701,0)</f>
        <v>0</v>
      </c>
      <c r="F1701" s="33" t="n">
        <v>0</v>
      </c>
      <c r="G1701" s="62"/>
      <c r="H1701" s="35" t="n">
        <v>0</v>
      </c>
      <c r="I1701" s="34" t="n">
        <f aca="false">+IF(E1701=0,0,E1701*0.03)</f>
        <v>0</v>
      </c>
    </row>
    <row r="1702" customFormat="false" ht="15.75" hidden="false" customHeight="true" outlineLevel="0" collapsed="false">
      <c r="A1702" s="30" t="n">
        <v>45323</v>
      </c>
      <c r="B1702" s="31" t="s">
        <v>11</v>
      </c>
      <c r="C1702" s="32"/>
      <c r="D1702" s="32"/>
      <c r="E1702" s="19" t="n">
        <f aca="false">+IF(C1702="EQUIPO",F1702,0)</f>
        <v>0</v>
      </c>
      <c r="F1702" s="33" t="n">
        <v>0</v>
      </c>
      <c r="G1702" s="62"/>
      <c r="H1702" s="35" t="n">
        <v>0</v>
      </c>
      <c r="I1702" s="34" t="n">
        <f aca="false">+IF(E1702=0,0,E1702*0.03)</f>
        <v>0</v>
      </c>
    </row>
    <row r="1703" customFormat="false" ht="15.75" hidden="false" customHeight="true" outlineLevel="0" collapsed="false">
      <c r="A1703" s="30" t="n">
        <v>45323</v>
      </c>
      <c r="B1703" s="31" t="s">
        <v>11</v>
      </c>
      <c r="C1703" s="32"/>
      <c r="D1703" s="32"/>
      <c r="E1703" s="19" t="n">
        <f aca="false">+IF(C1703="EQUIPO",F1703,0)</f>
        <v>0</v>
      </c>
      <c r="F1703" s="33" t="n">
        <v>0</v>
      </c>
      <c r="G1703" s="62"/>
      <c r="H1703" s="35" t="n">
        <v>0</v>
      </c>
      <c r="I1703" s="34" t="n">
        <f aca="false">+IF(E1703=0,0,E1703*0.03)</f>
        <v>0</v>
      </c>
    </row>
    <row r="1704" customFormat="false" ht="15.75" hidden="false" customHeight="true" outlineLevel="0" collapsed="false">
      <c r="A1704" s="30" t="n">
        <v>45323</v>
      </c>
      <c r="B1704" s="31" t="s">
        <v>11</v>
      </c>
      <c r="C1704" s="32"/>
      <c r="D1704" s="32"/>
      <c r="E1704" s="19" t="n">
        <f aca="false">+IF(C1704="EQUIPO",F1704,0)</f>
        <v>0</v>
      </c>
      <c r="F1704" s="33" t="n">
        <v>0</v>
      </c>
      <c r="G1704" s="62"/>
      <c r="H1704" s="35" t="n">
        <v>0</v>
      </c>
      <c r="I1704" s="34" t="n">
        <f aca="false">+IF(E1704=0,0,E1704*0.03)</f>
        <v>0</v>
      </c>
    </row>
    <row r="1705" customFormat="false" ht="15.75" hidden="false" customHeight="true" outlineLevel="0" collapsed="false">
      <c r="A1705" s="30" t="n">
        <v>45323</v>
      </c>
      <c r="B1705" s="31" t="s">
        <v>11</v>
      </c>
      <c r="C1705" s="32"/>
      <c r="D1705" s="32"/>
      <c r="E1705" s="19" t="n">
        <f aca="false">+IF(C1705="EQUIPO",F1705,0)</f>
        <v>0</v>
      </c>
      <c r="F1705" s="33" t="n">
        <v>0</v>
      </c>
      <c r="G1705" s="62"/>
      <c r="H1705" s="35" t="n">
        <v>0</v>
      </c>
      <c r="I1705" s="34" t="n">
        <f aca="false">+IF(E1705=0,0,E1705*0.03)</f>
        <v>0</v>
      </c>
    </row>
    <row r="1706" customFormat="false" ht="15.75" hidden="false" customHeight="true" outlineLevel="0" collapsed="false">
      <c r="A1706" s="30" t="n">
        <v>45323</v>
      </c>
      <c r="B1706" s="31" t="s">
        <v>11</v>
      </c>
      <c r="C1706" s="32"/>
      <c r="D1706" s="32"/>
      <c r="E1706" s="19" t="n">
        <f aca="false">+IF(C1706="EQUIPO",F1706,0)</f>
        <v>0</v>
      </c>
      <c r="F1706" s="33" t="n">
        <v>0</v>
      </c>
      <c r="G1706" s="62"/>
      <c r="H1706" s="35" t="n">
        <v>0</v>
      </c>
      <c r="I1706" s="34" t="n">
        <f aca="false">+IF(E1706=0,0,E1706*0.03)</f>
        <v>0</v>
      </c>
    </row>
    <row r="1707" customFormat="false" ht="15.75" hidden="false" customHeight="true" outlineLevel="0" collapsed="false">
      <c r="A1707" s="30" t="n">
        <v>45323</v>
      </c>
      <c r="B1707" s="31" t="s">
        <v>11</v>
      </c>
      <c r="C1707" s="32"/>
      <c r="D1707" s="32"/>
      <c r="E1707" s="19" t="n">
        <f aca="false">+IF(C1707="EQUIPO",F1707,0)</f>
        <v>0</v>
      </c>
      <c r="F1707" s="33" t="n">
        <v>0</v>
      </c>
      <c r="G1707" s="62"/>
      <c r="H1707" s="35" t="n">
        <v>0</v>
      </c>
      <c r="I1707" s="34" t="n">
        <f aca="false">+IF(E1707=0,0,E1707*0.03)</f>
        <v>0</v>
      </c>
    </row>
    <row r="1708" customFormat="false" ht="15.75" hidden="false" customHeight="true" outlineLevel="0" collapsed="false">
      <c r="A1708" s="30" t="n">
        <v>45323</v>
      </c>
      <c r="B1708" s="31" t="s">
        <v>11</v>
      </c>
      <c r="C1708" s="32"/>
      <c r="D1708" s="32"/>
      <c r="E1708" s="19" t="n">
        <f aca="false">+IF(C1708="EQUIPO",F1708,0)</f>
        <v>0</v>
      </c>
      <c r="F1708" s="33" t="n">
        <v>0</v>
      </c>
      <c r="G1708" s="62"/>
      <c r="H1708" s="35" t="n">
        <v>0</v>
      </c>
      <c r="I1708" s="34" t="n">
        <f aca="false">+IF(E1708=0,0,E1708*0.03)</f>
        <v>0</v>
      </c>
    </row>
    <row r="1709" customFormat="false" ht="15.75" hidden="false" customHeight="true" outlineLevel="0" collapsed="false">
      <c r="A1709" s="30" t="n">
        <v>45323</v>
      </c>
      <c r="B1709" s="31" t="s">
        <v>11</v>
      </c>
      <c r="C1709" s="32"/>
      <c r="D1709" s="32"/>
      <c r="E1709" s="19" t="n">
        <f aca="false">+IF(C1709="EQUIPO",F1709,0)</f>
        <v>0</v>
      </c>
      <c r="F1709" s="33" t="n">
        <v>0</v>
      </c>
      <c r="G1709" s="62"/>
      <c r="H1709" s="35" t="n">
        <v>0</v>
      </c>
      <c r="I1709" s="34" t="n">
        <f aca="false">+IF(E1709=0,0,E1709*0.03)</f>
        <v>0</v>
      </c>
    </row>
    <row r="1710" customFormat="false" ht="15.75" hidden="false" customHeight="true" outlineLevel="0" collapsed="false">
      <c r="A1710" s="30" t="n">
        <v>45323</v>
      </c>
      <c r="B1710" s="31" t="s">
        <v>11</v>
      </c>
      <c r="C1710" s="32"/>
      <c r="D1710" s="32"/>
      <c r="E1710" s="19" t="n">
        <f aca="false">+IF(C1710="EQUIPO",F1710,0)</f>
        <v>0</v>
      </c>
      <c r="F1710" s="33" t="n">
        <v>0</v>
      </c>
      <c r="G1710" s="62"/>
      <c r="H1710" s="35" t="n">
        <v>0</v>
      </c>
      <c r="I1710" s="34" t="n">
        <f aca="false">+IF(E1710=0,0,E1710*0.03)</f>
        <v>0</v>
      </c>
    </row>
    <row r="1711" customFormat="false" ht="15.75" hidden="false" customHeight="true" outlineLevel="0" collapsed="false">
      <c r="A1711" s="30" t="n">
        <v>45323</v>
      </c>
      <c r="B1711" s="31" t="s">
        <v>11</v>
      </c>
      <c r="C1711" s="32"/>
      <c r="D1711" s="32"/>
      <c r="E1711" s="19" t="n">
        <f aca="false">+IF(C1711="EQUIPO",F1711,0)</f>
        <v>0</v>
      </c>
      <c r="F1711" s="33" t="n">
        <v>0</v>
      </c>
      <c r="G1711" s="62"/>
      <c r="H1711" s="35" t="n">
        <v>0</v>
      </c>
      <c r="I1711" s="34" t="n">
        <f aca="false">+IF(E1711=0,0,E1711*0.03)</f>
        <v>0</v>
      </c>
    </row>
    <row r="1712" customFormat="false" ht="15.75" hidden="false" customHeight="true" outlineLevel="0" collapsed="false">
      <c r="A1712" s="30" t="n">
        <v>45323</v>
      </c>
      <c r="B1712" s="31" t="s">
        <v>11</v>
      </c>
      <c r="C1712" s="32"/>
      <c r="D1712" s="32"/>
      <c r="E1712" s="19" t="n">
        <f aca="false">+IF(C1712="EQUIPO",F1712,0)</f>
        <v>0</v>
      </c>
      <c r="F1712" s="33" t="n">
        <v>0</v>
      </c>
      <c r="G1712" s="62"/>
      <c r="H1712" s="35" t="n">
        <v>0</v>
      </c>
      <c r="I1712" s="34" t="n">
        <f aca="false">+IF(E1712=0,0,E1712*0.03)</f>
        <v>0</v>
      </c>
    </row>
    <row r="1713" customFormat="false" ht="15.75" hidden="false" customHeight="true" outlineLevel="0" collapsed="false">
      <c r="A1713" s="30" t="n">
        <v>45323</v>
      </c>
      <c r="B1713" s="31" t="s">
        <v>11</v>
      </c>
      <c r="C1713" s="32"/>
      <c r="D1713" s="32"/>
      <c r="E1713" s="19" t="n">
        <f aca="false">+IF(C1713="EQUIPO",F1713,0)</f>
        <v>0</v>
      </c>
      <c r="F1713" s="33" t="n">
        <v>0</v>
      </c>
      <c r="G1713" s="62"/>
      <c r="H1713" s="35" t="n">
        <v>0</v>
      </c>
      <c r="I1713" s="34" t="n">
        <f aca="false">+IF(E1713=0,0,E1713*0.03)</f>
        <v>0</v>
      </c>
    </row>
    <row r="1714" customFormat="false" ht="15.75" hidden="false" customHeight="true" outlineLevel="0" collapsed="false">
      <c r="A1714" s="30" t="n">
        <v>45323</v>
      </c>
      <c r="B1714" s="31" t="s">
        <v>11</v>
      </c>
      <c r="C1714" s="32"/>
      <c r="D1714" s="32"/>
      <c r="E1714" s="19" t="n">
        <f aca="false">+IF(C1714="EQUIPO",F1714,0)</f>
        <v>0</v>
      </c>
      <c r="F1714" s="33" t="n">
        <v>0</v>
      </c>
      <c r="G1714" s="62"/>
      <c r="H1714" s="35" t="n">
        <v>0</v>
      </c>
      <c r="I1714" s="34" t="n">
        <f aca="false">+IF(E1714=0,0,E1714*0.03)</f>
        <v>0</v>
      </c>
    </row>
    <row r="1715" customFormat="false" ht="15.75" hidden="false" customHeight="true" outlineLevel="0" collapsed="false">
      <c r="A1715" s="30" t="n">
        <v>45323</v>
      </c>
      <c r="B1715" s="31" t="s">
        <v>11</v>
      </c>
      <c r="C1715" s="32"/>
      <c r="D1715" s="32"/>
      <c r="E1715" s="19" t="n">
        <f aca="false">+IF(C1715="EQUIPO",F1715,0)</f>
        <v>0</v>
      </c>
      <c r="F1715" s="33" t="n">
        <v>0</v>
      </c>
      <c r="G1715" s="62"/>
      <c r="H1715" s="35" t="n">
        <v>0</v>
      </c>
      <c r="I1715" s="34" t="n">
        <f aca="false">+IF(E1715=0,0,E1715*0.03)</f>
        <v>0</v>
      </c>
    </row>
    <row r="1716" customFormat="false" ht="15.75" hidden="false" customHeight="true" outlineLevel="0" collapsed="false">
      <c r="A1716" s="30" t="n">
        <v>45323</v>
      </c>
      <c r="B1716" s="31" t="s">
        <v>11</v>
      </c>
      <c r="C1716" s="32"/>
      <c r="D1716" s="32"/>
      <c r="E1716" s="19" t="n">
        <f aca="false">+IF(C1716="EQUIPO",F1716,0)</f>
        <v>0</v>
      </c>
      <c r="F1716" s="33" t="n">
        <v>0</v>
      </c>
      <c r="G1716" s="62"/>
      <c r="H1716" s="35" t="n">
        <v>0</v>
      </c>
      <c r="I1716" s="34" t="n">
        <f aca="false">+IF(E1716=0,0,E1716*0.03)</f>
        <v>0</v>
      </c>
    </row>
    <row r="1717" customFormat="false" ht="15.75" hidden="false" customHeight="true" outlineLevel="0" collapsed="false">
      <c r="A1717" s="30" t="n">
        <v>45323</v>
      </c>
      <c r="B1717" s="31" t="s">
        <v>11</v>
      </c>
      <c r="C1717" s="32"/>
      <c r="D1717" s="32"/>
      <c r="E1717" s="19" t="n">
        <f aca="false">+IF(C1717="EQUIPO",F1717,0)</f>
        <v>0</v>
      </c>
      <c r="F1717" s="33" t="n">
        <v>0</v>
      </c>
      <c r="G1717" s="62"/>
      <c r="H1717" s="35" t="n">
        <v>0</v>
      </c>
      <c r="I1717" s="34" t="n">
        <f aca="false">+IF(E1717=0,0,E1717*0.03)</f>
        <v>0</v>
      </c>
    </row>
    <row r="1718" customFormat="false" ht="15.75" hidden="false" customHeight="true" outlineLevel="0" collapsed="false">
      <c r="A1718" s="30" t="n">
        <v>45323</v>
      </c>
      <c r="B1718" s="31" t="s">
        <v>11</v>
      </c>
      <c r="C1718" s="32"/>
      <c r="D1718" s="32"/>
      <c r="E1718" s="19" t="n">
        <f aca="false">+IF(C1718="EQUIPO",F1718,0)</f>
        <v>0</v>
      </c>
      <c r="F1718" s="33" t="n">
        <v>0</v>
      </c>
      <c r="G1718" s="62"/>
      <c r="H1718" s="35" t="n">
        <v>0</v>
      </c>
      <c r="I1718" s="34" t="n">
        <f aca="false">+IF(E1718=0,0,E1718*0.03)</f>
        <v>0</v>
      </c>
    </row>
    <row r="1719" customFormat="false" ht="15.75" hidden="false" customHeight="true" outlineLevel="0" collapsed="false">
      <c r="A1719" s="30" t="n">
        <v>45323</v>
      </c>
      <c r="B1719" s="31" t="s">
        <v>11</v>
      </c>
      <c r="C1719" s="32"/>
      <c r="D1719" s="32"/>
      <c r="E1719" s="19" t="n">
        <f aca="false">+IF(C1719="EQUIPO",F1719,0)</f>
        <v>0</v>
      </c>
      <c r="F1719" s="33" t="n">
        <v>0</v>
      </c>
      <c r="G1719" s="62"/>
      <c r="H1719" s="35" t="n">
        <v>0</v>
      </c>
      <c r="I1719" s="34" t="n">
        <f aca="false">+IF(E1719=0,0,E1719*0.03)</f>
        <v>0</v>
      </c>
    </row>
    <row r="1720" customFormat="false" ht="15.75" hidden="false" customHeight="true" outlineLevel="0" collapsed="false">
      <c r="A1720" s="30" t="n">
        <v>45323</v>
      </c>
      <c r="B1720" s="31" t="s">
        <v>11</v>
      </c>
      <c r="C1720" s="32"/>
      <c r="D1720" s="32"/>
      <c r="E1720" s="19" t="n">
        <f aca="false">+IF(C1720="EQUIPO",F1720,0)</f>
        <v>0</v>
      </c>
      <c r="F1720" s="33" t="n">
        <v>0</v>
      </c>
      <c r="G1720" s="62"/>
      <c r="H1720" s="35" t="n">
        <v>0</v>
      </c>
      <c r="I1720" s="34" t="n">
        <f aca="false">+IF(E1720=0,0,E1720*0.03)</f>
        <v>0</v>
      </c>
    </row>
    <row r="1721" customFormat="false" ht="15.75" hidden="false" customHeight="true" outlineLevel="0" collapsed="false">
      <c r="A1721" s="30" t="n">
        <v>45323</v>
      </c>
      <c r="B1721" s="31" t="s">
        <v>11</v>
      </c>
      <c r="C1721" s="32"/>
      <c r="D1721" s="32"/>
      <c r="E1721" s="19" t="n">
        <f aca="false">+IF(C1721="EQUIPO",F1721,0)</f>
        <v>0</v>
      </c>
      <c r="F1721" s="33" t="n">
        <v>0</v>
      </c>
      <c r="G1721" s="62"/>
      <c r="H1721" s="35" t="n">
        <v>0</v>
      </c>
      <c r="I1721" s="34" t="n">
        <f aca="false">+IF(E1721=0,0,E1721*0.03)</f>
        <v>0</v>
      </c>
    </row>
    <row r="1722" customFormat="false" ht="15.75" hidden="false" customHeight="true" outlineLevel="0" collapsed="false">
      <c r="A1722" s="30" t="n">
        <v>45323</v>
      </c>
      <c r="B1722" s="31" t="s">
        <v>11</v>
      </c>
      <c r="C1722" s="32"/>
      <c r="D1722" s="32"/>
      <c r="E1722" s="19" t="n">
        <f aca="false">+IF(C1722="EQUIPO",F1722,0)</f>
        <v>0</v>
      </c>
      <c r="F1722" s="33" t="n">
        <v>0</v>
      </c>
      <c r="G1722" s="62"/>
      <c r="H1722" s="35" t="n">
        <v>0</v>
      </c>
      <c r="I1722" s="34" t="n">
        <f aca="false">+IF(E1722=0,0,E1722*0.03)</f>
        <v>0</v>
      </c>
    </row>
    <row r="1723" customFormat="false" ht="15.75" hidden="false" customHeight="true" outlineLevel="0" collapsed="false">
      <c r="A1723" s="30" t="n">
        <v>45323</v>
      </c>
      <c r="B1723" s="31" t="s">
        <v>11</v>
      </c>
      <c r="C1723" s="32"/>
      <c r="D1723" s="32"/>
      <c r="E1723" s="19" t="n">
        <f aca="false">+IF(C1723="EQUIPO",F1723,0)</f>
        <v>0</v>
      </c>
      <c r="F1723" s="33" t="n">
        <v>0</v>
      </c>
      <c r="G1723" s="62"/>
      <c r="H1723" s="35" t="n">
        <v>0</v>
      </c>
      <c r="I1723" s="34" t="n">
        <f aca="false">+IF(E1723=0,0,E1723*0.03)</f>
        <v>0</v>
      </c>
    </row>
    <row r="1724" customFormat="false" ht="15.75" hidden="false" customHeight="true" outlineLevel="0" collapsed="false">
      <c r="A1724" s="30" t="n">
        <v>45323</v>
      </c>
      <c r="B1724" s="31" t="s">
        <v>11</v>
      </c>
      <c r="C1724" s="32"/>
      <c r="D1724" s="32"/>
      <c r="E1724" s="19" t="n">
        <f aca="false">+IF(C1724="EQUIPO",F1724,0)</f>
        <v>0</v>
      </c>
      <c r="F1724" s="33" t="n">
        <v>0</v>
      </c>
      <c r="G1724" s="62"/>
      <c r="H1724" s="35" t="n">
        <v>0</v>
      </c>
      <c r="I1724" s="34" t="n">
        <f aca="false">+IF(E1724=0,0,E1724*0.03)</f>
        <v>0</v>
      </c>
    </row>
    <row r="1725" customFormat="false" ht="15.75" hidden="false" customHeight="true" outlineLevel="0" collapsed="false">
      <c r="A1725" s="30" t="n">
        <v>45323</v>
      </c>
      <c r="B1725" s="31" t="s">
        <v>11</v>
      </c>
      <c r="C1725" s="32"/>
      <c r="D1725" s="32"/>
      <c r="E1725" s="19" t="n">
        <f aca="false">+IF(C1725="EQUIPO",F1725,0)</f>
        <v>0</v>
      </c>
      <c r="F1725" s="33" t="n">
        <v>0</v>
      </c>
      <c r="G1725" s="62"/>
      <c r="H1725" s="35" t="n">
        <v>0</v>
      </c>
      <c r="I1725" s="34" t="n">
        <f aca="false">+IF(E1725=0,0,E1725*0.03)</f>
        <v>0</v>
      </c>
    </row>
    <row r="1726" customFormat="false" ht="15.75" hidden="false" customHeight="true" outlineLevel="0" collapsed="false">
      <c r="A1726" s="30" t="n">
        <v>45323</v>
      </c>
      <c r="B1726" s="31" t="s">
        <v>11</v>
      </c>
      <c r="C1726" s="32"/>
      <c r="D1726" s="32"/>
      <c r="E1726" s="19" t="n">
        <f aca="false">+IF(C1726="EQUIPO",F1726,0)</f>
        <v>0</v>
      </c>
      <c r="F1726" s="33" t="n">
        <v>0</v>
      </c>
      <c r="G1726" s="62"/>
      <c r="H1726" s="35" t="n">
        <v>0</v>
      </c>
      <c r="I1726" s="34" t="n">
        <f aca="false">+IF(E1726=0,0,E1726*0.03)</f>
        <v>0</v>
      </c>
    </row>
    <row r="1727" customFormat="false" ht="15.75" hidden="false" customHeight="true" outlineLevel="0" collapsed="false">
      <c r="A1727" s="30" t="n">
        <v>45323</v>
      </c>
      <c r="B1727" s="31" t="s">
        <v>11</v>
      </c>
      <c r="C1727" s="32"/>
      <c r="D1727" s="32"/>
      <c r="E1727" s="19" t="n">
        <f aca="false">+IF(C1727="EQUIPO",F1727,0)</f>
        <v>0</v>
      </c>
      <c r="F1727" s="33" t="n">
        <v>0</v>
      </c>
      <c r="G1727" s="62"/>
      <c r="H1727" s="35" t="n">
        <v>0</v>
      </c>
      <c r="I1727" s="34" t="n">
        <f aca="false">+IF(E1727=0,0,E1727*0.03)</f>
        <v>0</v>
      </c>
    </row>
    <row r="1728" customFormat="false" ht="15.75" hidden="false" customHeight="true" outlineLevel="0" collapsed="false">
      <c r="A1728" s="30" t="n">
        <v>45323</v>
      </c>
      <c r="B1728" s="31" t="s">
        <v>11</v>
      </c>
      <c r="C1728" s="32"/>
      <c r="D1728" s="32"/>
      <c r="E1728" s="19" t="n">
        <f aca="false">+IF(C1728="EQUIPO",F1728,0)</f>
        <v>0</v>
      </c>
      <c r="F1728" s="33" t="n">
        <v>0</v>
      </c>
      <c r="G1728" s="62"/>
      <c r="H1728" s="35" t="n">
        <v>0</v>
      </c>
      <c r="I1728" s="34" t="n">
        <f aca="false">+IF(E1728=0,0,E1728*0.03)</f>
        <v>0</v>
      </c>
    </row>
    <row r="1729" customFormat="false" ht="15.75" hidden="false" customHeight="true" outlineLevel="0" collapsed="false">
      <c r="A1729" s="30" t="n">
        <v>45323</v>
      </c>
      <c r="B1729" s="31" t="s">
        <v>11</v>
      </c>
      <c r="C1729" s="32"/>
      <c r="D1729" s="32"/>
      <c r="E1729" s="19" t="n">
        <f aca="false">+IF(C1729="EQUIPO",F1729,0)</f>
        <v>0</v>
      </c>
      <c r="F1729" s="33" t="n">
        <v>0</v>
      </c>
      <c r="G1729" s="62"/>
      <c r="H1729" s="35" t="n">
        <v>0</v>
      </c>
      <c r="I1729" s="34" t="n">
        <f aca="false">+IF(E1729=0,0,E1729*0.03)</f>
        <v>0</v>
      </c>
    </row>
    <row r="1730" customFormat="false" ht="15.75" hidden="false" customHeight="true" outlineLevel="0" collapsed="false">
      <c r="A1730" s="30" t="n">
        <v>45323</v>
      </c>
      <c r="B1730" s="31" t="s">
        <v>11</v>
      </c>
      <c r="C1730" s="32"/>
      <c r="D1730" s="32"/>
      <c r="E1730" s="19" t="n">
        <f aca="false">+IF(C1730="EQUIPO",F1730,0)</f>
        <v>0</v>
      </c>
      <c r="F1730" s="33" t="n">
        <v>0</v>
      </c>
      <c r="G1730" s="62"/>
      <c r="H1730" s="35" t="n">
        <v>0</v>
      </c>
      <c r="I1730" s="34" t="n">
        <f aca="false">+IF(E1730=0,0,E1730*0.03)</f>
        <v>0</v>
      </c>
    </row>
    <row r="1731" customFormat="false" ht="15.75" hidden="false" customHeight="true" outlineLevel="0" collapsed="false">
      <c r="A1731" s="30" t="n">
        <v>45323</v>
      </c>
      <c r="B1731" s="31" t="s">
        <v>11</v>
      </c>
      <c r="C1731" s="32"/>
      <c r="D1731" s="32"/>
      <c r="E1731" s="19" t="n">
        <f aca="false">+IF(C1731="EQUIPO",F1731,0)</f>
        <v>0</v>
      </c>
      <c r="F1731" s="33" t="n">
        <v>0</v>
      </c>
      <c r="G1731" s="62"/>
      <c r="H1731" s="35" t="n">
        <v>0</v>
      </c>
      <c r="I1731" s="34" t="n">
        <f aca="false">+IF(E1731=0,0,E1731*0.03)</f>
        <v>0</v>
      </c>
    </row>
    <row r="1732" customFormat="false" ht="15.75" hidden="false" customHeight="true" outlineLevel="0" collapsed="false">
      <c r="A1732" s="30" t="n">
        <v>45323</v>
      </c>
      <c r="B1732" s="31" t="s">
        <v>11</v>
      </c>
      <c r="C1732" s="32"/>
      <c r="D1732" s="32"/>
      <c r="E1732" s="19" t="n">
        <f aca="false">+IF(C1732="EQUIPO",F1732,0)</f>
        <v>0</v>
      </c>
      <c r="F1732" s="33" t="n">
        <v>0</v>
      </c>
      <c r="G1732" s="62"/>
      <c r="H1732" s="35" t="n">
        <v>0</v>
      </c>
      <c r="I1732" s="34" t="n">
        <f aca="false">+IF(E1732=0,0,E1732*0.03)</f>
        <v>0</v>
      </c>
    </row>
    <row r="1733" customFormat="false" ht="15.75" hidden="false" customHeight="true" outlineLevel="0" collapsed="false">
      <c r="A1733" s="30" t="n">
        <v>45323</v>
      </c>
      <c r="B1733" s="31" t="s">
        <v>11</v>
      </c>
      <c r="C1733" s="32"/>
      <c r="D1733" s="32"/>
      <c r="E1733" s="19" t="n">
        <f aca="false">+IF(C1733="EQUIPO",F1733,0)</f>
        <v>0</v>
      </c>
      <c r="F1733" s="33" t="n">
        <v>0</v>
      </c>
      <c r="G1733" s="62"/>
      <c r="H1733" s="35" t="n">
        <v>0</v>
      </c>
      <c r="I1733" s="34" t="n">
        <f aca="false">+IF(E1733=0,0,E1733*0.03)</f>
        <v>0</v>
      </c>
    </row>
    <row r="1734" customFormat="false" ht="15.75" hidden="false" customHeight="true" outlineLevel="0" collapsed="false">
      <c r="A1734" s="30" t="n">
        <v>45323</v>
      </c>
      <c r="B1734" s="31" t="s">
        <v>11</v>
      </c>
      <c r="C1734" s="32"/>
      <c r="D1734" s="32"/>
      <c r="E1734" s="19" t="n">
        <f aca="false">+IF(C1734="EQUIPO",F1734,0)</f>
        <v>0</v>
      </c>
      <c r="F1734" s="33" t="n">
        <v>0</v>
      </c>
      <c r="G1734" s="62"/>
      <c r="H1734" s="35" t="n">
        <v>0</v>
      </c>
      <c r="I1734" s="34" t="n">
        <f aca="false">+IF(E1734=0,0,E1734*0.03)</f>
        <v>0</v>
      </c>
    </row>
    <row r="1735" customFormat="false" ht="15.75" hidden="false" customHeight="true" outlineLevel="0" collapsed="false">
      <c r="A1735" s="30" t="n">
        <v>45323</v>
      </c>
      <c r="B1735" s="31" t="s">
        <v>11</v>
      </c>
      <c r="C1735" s="32"/>
      <c r="D1735" s="32"/>
      <c r="E1735" s="19" t="n">
        <f aca="false">+IF(C1735="EQUIPO",F1735,0)</f>
        <v>0</v>
      </c>
      <c r="F1735" s="33" t="n">
        <v>0</v>
      </c>
      <c r="G1735" s="62"/>
      <c r="H1735" s="35" t="n">
        <v>0</v>
      </c>
      <c r="I1735" s="34" t="n">
        <f aca="false">+IF(E1735=0,0,E1735*0.03)</f>
        <v>0</v>
      </c>
    </row>
    <row r="1736" customFormat="false" ht="15.75" hidden="false" customHeight="true" outlineLevel="0" collapsed="false">
      <c r="A1736" s="30" t="n">
        <v>45323</v>
      </c>
      <c r="B1736" s="31" t="s">
        <v>11</v>
      </c>
      <c r="C1736" s="32"/>
      <c r="D1736" s="32"/>
      <c r="E1736" s="19" t="n">
        <f aca="false">+IF(C1736="EQUIPO",F1736,0)</f>
        <v>0</v>
      </c>
      <c r="F1736" s="33" t="n">
        <v>0</v>
      </c>
      <c r="G1736" s="62"/>
      <c r="H1736" s="35" t="n">
        <v>0</v>
      </c>
      <c r="I1736" s="34" t="n">
        <f aca="false">+IF(E1736=0,0,E1736*0.03)</f>
        <v>0</v>
      </c>
    </row>
    <row r="1737" customFormat="false" ht="15.75" hidden="false" customHeight="true" outlineLevel="0" collapsed="false">
      <c r="A1737" s="30" t="n">
        <v>45323</v>
      </c>
      <c r="B1737" s="31" t="s">
        <v>11</v>
      </c>
      <c r="C1737" s="32"/>
      <c r="D1737" s="32"/>
      <c r="E1737" s="19" t="n">
        <f aca="false">+IF(C1737="EQUIPO",F1737,0)</f>
        <v>0</v>
      </c>
      <c r="F1737" s="33" t="n">
        <v>0</v>
      </c>
      <c r="G1737" s="62"/>
      <c r="H1737" s="35" t="n">
        <v>0</v>
      </c>
      <c r="I1737" s="34" t="n">
        <f aca="false">+IF(E1737=0,0,E1737*0.03)</f>
        <v>0</v>
      </c>
    </row>
    <row r="1738" customFormat="false" ht="15.75" hidden="false" customHeight="true" outlineLevel="0" collapsed="false">
      <c r="A1738" s="30" t="n">
        <v>45323</v>
      </c>
      <c r="B1738" s="31" t="s">
        <v>11</v>
      </c>
      <c r="C1738" s="32"/>
      <c r="D1738" s="32"/>
      <c r="E1738" s="19" t="n">
        <f aca="false">+IF(C1738="EQUIPO",F1738,0)</f>
        <v>0</v>
      </c>
      <c r="F1738" s="33" t="n">
        <v>0</v>
      </c>
      <c r="G1738" s="62"/>
      <c r="H1738" s="35" t="n">
        <v>0</v>
      </c>
      <c r="I1738" s="34" t="n">
        <f aca="false">+IF(E1738=0,0,E1738*0.03)</f>
        <v>0</v>
      </c>
    </row>
    <row r="1739" customFormat="false" ht="15.75" hidden="false" customHeight="true" outlineLevel="0" collapsed="false">
      <c r="A1739" s="30" t="n">
        <v>45323</v>
      </c>
      <c r="B1739" s="31" t="s">
        <v>11</v>
      </c>
      <c r="C1739" s="32"/>
      <c r="D1739" s="32"/>
      <c r="E1739" s="19" t="n">
        <f aca="false">+IF(C1739="EQUIPO",F1739,0)</f>
        <v>0</v>
      </c>
      <c r="F1739" s="33" t="n">
        <v>0</v>
      </c>
      <c r="G1739" s="62"/>
      <c r="H1739" s="35" t="n">
        <v>0</v>
      </c>
      <c r="I1739" s="34" t="n">
        <f aca="false">+IF(E1739=0,0,E1739*0.03)</f>
        <v>0</v>
      </c>
    </row>
    <row r="1740" customFormat="false" ht="15.75" hidden="false" customHeight="true" outlineLevel="0" collapsed="false">
      <c r="A1740" s="30" t="n">
        <v>45323</v>
      </c>
      <c r="B1740" s="31" t="s">
        <v>11</v>
      </c>
      <c r="C1740" s="32"/>
      <c r="D1740" s="32"/>
      <c r="E1740" s="19" t="n">
        <f aca="false">+IF(C1740="EQUIPO",F1740,0)</f>
        <v>0</v>
      </c>
      <c r="F1740" s="33" t="n">
        <v>0</v>
      </c>
      <c r="G1740" s="62"/>
      <c r="H1740" s="35" t="n">
        <v>0</v>
      </c>
      <c r="I1740" s="34" t="n">
        <f aca="false">+IF(E1740=0,0,E1740*0.03)</f>
        <v>0</v>
      </c>
    </row>
    <row r="1741" customFormat="false" ht="15.75" hidden="false" customHeight="true" outlineLevel="0" collapsed="false">
      <c r="A1741" s="30" t="n">
        <v>45323</v>
      </c>
      <c r="B1741" s="31" t="s">
        <v>11</v>
      </c>
      <c r="C1741" s="32"/>
      <c r="D1741" s="32"/>
      <c r="E1741" s="19" t="n">
        <f aca="false">+IF(C1741="EQUIPO",F1741,0)</f>
        <v>0</v>
      </c>
      <c r="F1741" s="33" t="n">
        <v>0</v>
      </c>
      <c r="G1741" s="62"/>
      <c r="H1741" s="35" t="n">
        <v>0</v>
      </c>
      <c r="I1741" s="34" t="n">
        <f aca="false">+IF(E1741=0,0,E1741*0.03)</f>
        <v>0</v>
      </c>
    </row>
    <row r="1742" customFormat="false" ht="15.75" hidden="false" customHeight="true" outlineLevel="0" collapsed="false">
      <c r="A1742" s="30" t="n">
        <v>45323</v>
      </c>
      <c r="B1742" s="31" t="s">
        <v>11</v>
      </c>
      <c r="C1742" s="32"/>
      <c r="D1742" s="32"/>
      <c r="E1742" s="19" t="n">
        <f aca="false">+IF(C1742="EQUIPO",F1742,0)</f>
        <v>0</v>
      </c>
      <c r="F1742" s="33" t="n">
        <v>0</v>
      </c>
      <c r="G1742" s="62"/>
      <c r="H1742" s="35" t="n">
        <v>0</v>
      </c>
      <c r="I1742" s="34" t="n">
        <f aca="false">+IF(E1742=0,0,E1742*0.03)</f>
        <v>0</v>
      </c>
    </row>
    <row r="1743" customFormat="false" ht="15.75" hidden="false" customHeight="true" outlineLevel="0" collapsed="false">
      <c r="A1743" s="30" t="n">
        <v>45323</v>
      </c>
      <c r="B1743" s="31" t="s">
        <v>11</v>
      </c>
      <c r="C1743" s="32"/>
      <c r="D1743" s="32"/>
      <c r="E1743" s="19" t="n">
        <f aca="false">+IF(C1743="EQUIPO",F1743,0)</f>
        <v>0</v>
      </c>
      <c r="F1743" s="33" t="n">
        <v>0</v>
      </c>
      <c r="G1743" s="62"/>
      <c r="H1743" s="35" t="n">
        <v>0</v>
      </c>
      <c r="I1743" s="34" t="n">
        <f aca="false">+IF(E1743=0,0,E1743*0.03)</f>
        <v>0</v>
      </c>
    </row>
    <row r="1744" customFormat="false" ht="15.75" hidden="false" customHeight="true" outlineLevel="0" collapsed="false">
      <c r="A1744" s="30" t="n">
        <v>45323</v>
      </c>
      <c r="B1744" s="31" t="s">
        <v>11</v>
      </c>
      <c r="C1744" s="32"/>
      <c r="D1744" s="32"/>
      <c r="E1744" s="19" t="n">
        <f aca="false">+IF(C1744="EQUIPO",F1744,0)</f>
        <v>0</v>
      </c>
      <c r="F1744" s="33" t="n">
        <v>0</v>
      </c>
      <c r="G1744" s="62"/>
      <c r="H1744" s="35" t="n">
        <v>0</v>
      </c>
      <c r="I1744" s="34" t="n">
        <f aca="false">+IF(E1744=0,0,E1744*0.03)</f>
        <v>0</v>
      </c>
    </row>
    <row r="1745" customFormat="false" ht="15.75" hidden="false" customHeight="true" outlineLevel="0" collapsed="false">
      <c r="A1745" s="30" t="n">
        <v>45323</v>
      </c>
      <c r="B1745" s="31" t="s">
        <v>11</v>
      </c>
      <c r="C1745" s="32"/>
      <c r="D1745" s="32"/>
      <c r="E1745" s="19" t="n">
        <f aca="false">+IF(C1745="EQUIPO",F1745,0)</f>
        <v>0</v>
      </c>
      <c r="F1745" s="33" t="n">
        <v>0</v>
      </c>
      <c r="G1745" s="62"/>
      <c r="H1745" s="35" t="n">
        <v>0</v>
      </c>
      <c r="I1745" s="34" t="n">
        <f aca="false">+IF(E1745=0,0,E1745*0.03)</f>
        <v>0</v>
      </c>
    </row>
    <row r="1746" customFormat="false" ht="15.75" hidden="false" customHeight="true" outlineLevel="0" collapsed="false">
      <c r="A1746" s="30" t="n">
        <v>45323</v>
      </c>
      <c r="B1746" s="31" t="s">
        <v>11</v>
      </c>
      <c r="C1746" s="32"/>
      <c r="D1746" s="32"/>
      <c r="E1746" s="19" t="n">
        <f aca="false">+IF(C1746="EQUIPO",F1746,0)</f>
        <v>0</v>
      </c>
      <c r="F1746" s="33" t="n">
        <v>0</v>
      </c>
      <c r="G1746" s="62"/>
      <c r="H1746" s="35" t="n">
        <v>0</v>
      </c>
      <c r="I1746" s="34" t="n">
        <f aca="false">+IF(E1746=0,0,E1746*0.03)</f>
        <v>0</v>
      </c>
    </row>
    <row r="1747" customFormat="false" ht="15.75" hidden="false" customHeight="true" outlineLevel="0" collapsed="false">
      <c r="A1747" s="30" t="n">
        <v>45323</v>
      </c>
      <c r="B1747" s="31" t="s">
        <v>11</v>
      </c>
      <c r="C1747" s="32"/>
      <c r="D1747" s="32"/>
      <c r="E1747" s="19" t="n">
        <f aca="false">+IF(C1747="EQUIPO",F1747,0)</f>
        <v>0</v>
      </c>
      <c r="F1747" s="33" t="n">
        <v>0</v>
      </c>
      <c r="G1747" s="62"/>
      <c r="H1747" s="35" t="n">
        <v>0</v>
      </c>
      <c r="I1747" s="34" t="n">
        <f aca="false">+IF(E1747=0,0,E1747*0.03)</f>
        <v>0</v>
      </c>
    </row>
    <row r="1748" customFormat="false" ht="15.75" hidden="false" customHeight="true" outlineLevel="0" collapsed="false">
      <c r="A1748" s="30" t="n">
        <v>45323</v>
      </c>
      <c r="B1748" s="31" t="s">
        <v>11</v>
      </c>
      <c r="C1748" s="32"/>
      <c r="D1748" s="32"/>
      <c r="E1748" s="19" t="n">
        <f aca="false">+IF(C1748="EQUIPO",F1748,0)</f>
        <v>0</v>
      </c>
      <c r="F1748" s="33" t="n">
        <v>0</v>
      </c>
      <c r="G1748" s="62"/>
      <c r="H1748" s="35" t="n">
        <v>0</v>
      </c>
      <c r="I1748" s="34" t="n">
        <f aca="false">+IF(E1748=0,0,E1748*0.03)</f>
        <v>0</v>
      </c>
    </row>
    <row r="1749" customFormat="false" ht="15.75" hidden="false" customHeight="true" outlineLevel="0" collapsed="false">
      <c r="A1749" s="30" t="n">
        <v>45323</v>
      </c>
      <c r="B1749" s="31" t="s">
        <v>11</v>
      </c>
      <c r="C1749" s="32"/>
      <c r="D1749" s="32"/>
      <c r="E1749" s="19" t="n">
        <f aca="false">+IF(C1749="EQUIPO",F1749,0)</f>
        <v>0</v>
      </c>
      <c r="F1749" s="33" t="n">
        <v>0</v>
      </c>
      <c r="G1749" s="62"/>
      <c r="H1749" s="35" t="n">
        <v>0</v>
      </c>
      <c r="I1749" s="34" t="n">
        <f aca="false">+IF(E1749=0,0,E1749*0.03)</f>
        <v>0</v>
      </c>
    </row>
    <row r="1750" customFormat="false" ht="15.75" hidden="false" customHeight="true" outlineLevel="0" collapsed="false">
      <c r="A1750" s="30" t="n">
        <v>45323</v>
      </c>
      <c r="B1750" s="31" t="s">
        <v>11</v>
      </c>
      <c r="C1750" s="32"/>
      <c r="D1750" s="32"/>
      <c r="E1750" s="19" t="n">
        <f aca="false">+IF(C1750="EQUIPO",F1750,0)</f>
        <v>0</v>
      </c>
      <c r="F1750" s="33" t="n">
        <v>0</v>
      </c>
      <c r="G1750" s="62"/>
      <c r="H1750" s="35" t="n">
        <v>0</v>
      </c>
      <c r="I1750" s="34" t="n">
        <f aca="false">+IF(E1750=0,0,E1750*0.03)</f>
        <v>0</v>
      </c>
    </row>
    <row r="1751" customFormat="false" ht="15.75" hidden="false" customHeight="true" outlineLevel="0" collapsed="false">
      <c r="A1751" s="30" t="n">
        <v>45323</v>
      </c>
      <c r="B1751" s="31" t="s">
        <v>11</v>
      </c>
      <c r="C1751" s="32"/>
      <c r="D1751" s="32"/>
      <c r="E1751" s="19" t="n">
        <f aca="false">+IF(C1751="EQUIPO",F1751,0)</f>
        <v>0</v>
      </c>
      <c r="F1751" s="33" t="n">
        <v>0</v>
      </c>
      <c r="G1751" s="62"/>
      <c r="H1751" s="35" t="n">
        <v>0</v>
      </c>
      <c r="I1751" s="34" t="n">
        <f aca="false">+IF(E1751=0,0,E1751*0.03)</f>
        <v>0</v>
      </c>
    </row>
    <row r="1752" customFormat="false" ht="15.75" hidden="false" customHeight="true" outlineLevel="0" collapsed="false">
      <c r="A1752" s="30" t="n">
        <v>45323</v>
      </c>
      <c r="B1752" s="31" t="s">
        <v>11</v>
      </c>
      <c r="C1752" s="32"/>
      <c r="D1752" s="32"/>
      <c r="E1752" s="19" t="n">
        <f aca="false">+IF(C1752="EQUIPO",F1752,0)</f>
        <v>0</v>
      </c>
      <c r="F1752" s="33" t="n">
        <v>0</v>
      </c>
      <c r="G1752" s="62"/>
      <c r="H1752" s="35" t="n">
        <v>0</v>
      </c>
      <c r="I1752" s="34" t="n">
        <f aca="false">+IF(E1752=0,0,E1752*0.03)</f>
        <v>0</v>
      </c>
    </row>
    <row r="1753" customFormat="false" ht="15.75" hidden="false" customHeight="true" outlineLevel="0" collapsed="false">
      <c r="A1753" s="30" t="n">
        <v>45323</v>
      </c>
      <c r="B1753" s="31" t="s">
        <v>11</v>
      </c>
      <c r="C1753" s="32"/>
      <c r="D1753" s="32"/>
      <c r="E1753" s="19" t="n">
        <f aca="false">+IF(C1753="EQUIPO",F1753,0)</f>
        <v>0</v>
      </c>
      <c r="F1753" s="33" t="n">
        <v>0</v>
      </c>
      <c r="G1753" s="62"/>
      <c r="H1753" s="35" t="n">
        <v>0</v>
      </c>
      <c r="I1753" s="34" t="n">
        <f aca="false">+IF(E1753=0,0,E1753*0.03)</f>
        <v>0</v>
      </c>
    </row>
    <row r="1754" customFormat="false" ht="15.75" hidden="false" customHeight="true" outlineLevel="0" collapsed="false">
      <c r="A1754" s="30" t="n">
        <v>45323</v>
      </c>
      <c r="B1754" s="31" t="s">
        <v>11</v>
      </c>
      <c r="C1754" s="32"/>
      <c r="D1754" s="32"/>
      <c r="E1754" s="19" t="n">
        <f aca="false">+IF(C1754="EQUIPO",F1754,0)</f>
        <v>0</v>
      </c>
      <c r="F1754" s="33" t="n">
        <v>0</v>
      </c>
      <c r="G1754" s="62"/>
      <c r="H1754" s="35" t="n">
        <v>0</v>
      </c>
      <c r="I1754" s="34" t="n">
        <f aca="false">+IF(E1754=0,0,E1754*0.03)</f>
        <v>0</v>
      </c>
    </row>
    <row r="1755" customFormat="false" ht="15.75" hidden="false" customHeight="true" outlineLevel="0" collapsed="false">
      <c r="A1755" s="30" t="n">
        <v>45323</v>
      </c>
      <c r="B1755" s="31" t="s">
        <v>11</v>
      </c>
      <c r="C1755" s="32"/>
      <c r="D1755" s="32"/>
      <c r="E1755" s="19" t="n">
        <f aca="false">+IF(C1755="EQUIPO",F1755,0)</f>
        <v>0</v>
      </c>
      <c r="F1755" s="33" t="n">
        <v>0</v>
      </c>
      <c r="G1755" s="62"/>
      <c r="H1755" s="35" t="n">
        <v>0</v>
      </c>
      <c r="I1755" s="34" t="n">
        <f aca="false">+IF(E1755=0,0,E1755*0.03)</f>
        <v>0</v>
      </c>
    </row>
    <row r="1756" customFormat="false" ht="15.75" hidden="false" customHeight="true" outlineLevel="0" collapsed="false">
      <c r="A1756" s="30" t="n">
        <v>45323</v>
      </c>
      <c r="B1756" s="31" t="s">
        <v>11</v>
      </c>
      <c r="C1756" s="32"/>
      <c r="D1756" s="32"/>
      <c r="E1756" s="19" t="n">
        <f aca="false">+IF(C1756="EQUIPO",F1756,0)</f>
        <v>0</v>
      </c>
      <c r="F1756" s="33" t="n">
        <v>0</v>
      </c>
      <c r="G1756" s="62"/>
      <c r="H1756" s="35" t="n">
        <v>0</v>
      </c>
      <c r="I1756" s="34" t="n">
        <f aca="false">+IF(E1756=0,0,E1756*0.03)</f>
        <v>0</v>
      </c>
    </row>
    <row r="1757" customFormat="false" ht="15.75" hidden="false" customHeight="true" outlineLevel="0" collapsed="false">
      <c r="A1757" s="30" t="n">
        <v>45323</v>
      </c>
      <c r="B1757" s="31" t="s">
        <v>11</v>
      </c>
      <c r="C1757" s="32"/>
      <c r="D1757" s="32"/>
      <c r="E1757" s="19" t="n">
        <f aca="false">+IF(C1757="EQUIPO",F1757,0)</f>
        <v>0</v>
      </c>
      <c r="F1757" s="33" t="n">
        <v>0</v>
      </c>
      <c r="G1757" s="62"/>
      <c r="H1757" s="35" t="n">
        <v>0</v>
      </c>
      <c r="I1757" s="34" t="n">
        <f aca="false">+IF(E1757=0,0,E1757*0.03)</f>
        <v>0</v>
      </c>
    </row>
    <row r="1758" customFormat="false" ht="15.75" hidden="false" customHeight="true" outlineLevel="0" collapsed="false">
      <c r="A1758" s="30" t="n">
        <v>45323</v>
      </c>
      <c r="B1758" s="31" t="s">
        <v>11</v>
      </c>
      <c r="C1758" s="32"/>
      <c r="D1758" s="32"/>
      <c r="E1758" s="19" t="n">
        <f aca="false">+IF(C1758="EQUIPO",F1758,0)</f>
        <v>0</v>
      </c>
      <c r="F1758" s="33" t="n">
        <v>0</v>
      </c>
      <c r="G1758" s="62"/>
      <c r="H1758" s="35" t="n">
        <v>0</v>
      </c>
      <c r="I1758" s="34" t="n">
        <f aca="false">+IF(E1758=0,0,E1758*0.03)</f>
        <v>0</v>
      </c>
    </row>
    <row r="1759" customFormat="false" ht="15.75" hidden="false" customHeight="true" outlineLevel="0" collapsed="false">
      <c r="A1759" s="30" t="n">
        <v>45323</v>
      </c>
      <c r="B1759" s="31" t="s">
        <v>11</v>
      </c>
      <c r="C1759" s="32"/>
      <c r="D1759" s="32"/>
      <c r="E1759" s="19" t="n">
        <f aca="false">+IF(C1759="EQUIPO",F1759,0)</f>
        <v>0</v>
      </c>
      <c r="F1759" s="33" t="n">
        <v>0</v>
      </c>
      <c r="G1759" s="62"/>
      <c r="H1759" s="35" t="n">
        <v>0</v>
      </c>
      <c r="I1759" s="34" t="n">
        <f aca="false">+IF(E1759=0,0,E1759*0.03)</f>
        <v>0</v>
      </c>
    </row>
    <row r="1760" customFormat="false" ht="15.75" hidden="false" customHeight="true" outlineLevel="0" collapsed="false">
      <c r="A1760" s="30" t="n">
        <v>45323</v>
      </c>
      <c r="B1760" s="31" t="s">
        <v>11</v>
      </c>
      <c r="C1760" s="32"/>
      <c r="D1760" s="32"/>
      <c r="E1760" s="19" t="n">
        <f aca="false">+IF(C1760="EQUIPO",F1760,0)</f>
        <v>0</v>
      </c>
      <c r="F1760" s="33" t="n">
        <v>0</v>
      </c>
      <c r="G1760" s="62"/>
      <c r="H1760" s="35" t="n">
        <v>0</v>
      </c>
      <c r="I1760" s="34" t="n">
        <f aca="false">+IF(E1760=0,0,E1760*0.03)</f>
        <v>0</v>
      </c>
    </row>
    <row r="1761" customFormat="false" ht="15.75" hidden="false" customHeight="true" outlineLevel="0" collapsed="false">
      <c r="A1761" s="30" t="n">
        <v>45323</v>
      </c>
      <c r="B1761" s="31" t="s">
        <v>11</v>
      </c>
      <c r="C1761" s="32"/>
      <c r="D1761" s="32"/>
      <c r="E1761" s="19" t="n">
        <f aca="false">+IF(C1761="EQUIPO",F1761,0)</f>
        <v>0</v>
      </c>
      <c r="F1761" s="33" t="n">
        <v>0</v>
      </c>
      <c r="G1761" s="62"/>
      <c r="H1761" s="35" t="n">
        <v>0</v>
      </c>
      <c r="I1761" s="34" t="n">
        <f aca="false">+IF(E1761=0,0,E1761*0.03)</f>
        <v>0</v>
      </c>
    </row>
    <row r="1762" customFormat="false" ht="15.75" hidden="false" customHeight="true" outlineLevel="0" collapsed="false">
      <c r="A1762" s="30" t="n">
        <v>45323</v>
      </c>
      <c r="B1762" s="31" t="s">
        <v>11</v>
      </c>
      <c r="C1762" s="32"/>
      <c r="D1762" s="32"/>
      <c r="E1762" s="19" t="n">
        <f aca="false">+IF(C1762="EQUIPO",F1762,0)</f>
        <v>0</v>
      </c>
      <c r="F1762" s="33" t="n">
        <v>0</v>
      </c>
      <c r="G1762" s="62"/>
      <c r="H1762" s="35" t="n">
        <v>0</v>
      </c>
      <c r="I1762" s="34" t="n">
        <f aca="false">+IF(E1762=0,0,E1762*0.03)</f>
        <v>0</v>
      </c>
    </row>
    <row r="1763" customFormat="false" ht="15.75" hidden="false" customHeight="true" outlineLevel="0" collapsed="false">
      <c r="A1763" s="30" t="n">
        <v>45323</v>
      </c>
      <c r="B1763" s="31" t="s">
        <v>11</v>
      </c>
      <c r="C1763" s="32"/>
      <c r="D1763" s="32"/>
      <c r="E1763" s="19" t="n">
        <f aca="false">+IF(C1763="EQUIPO",F1763,0)</f>
        <v>0</v>
      </c>
      <c r="F1763" s="33" t="n">
        <v>0</v>
      </c>
      <c r="G1763" s="62"/>
      <c r="H1763" s="35" t="n">
        <v>0</v>
      </c>
      <c r="I1763" s="34" t="n">
        <f aca="false">+IF(E1763=0,0,E1763*0.03)</f>
        <v>0</v>
      </c>
    </row>
    <row r="1764" customFormat="false" ht="15.75" hidden="false" customHeight="true" outlineLevel="0" collapsed="false">
      <c r="A1764" s="30" t="n">
        <v>45323</v>
      </c>
      <c r="B1764" s="31" t="s">
        <v>11</v>
      </c>
      <c r="C1764" s="32"/>
      <c r="D1764" s="32"/>
      <c r="E1764" s="19" t="n">
        <f aca="false">+IF(C1764="EQUIPO",F1764,0)</f>
        <v>0</v>
      </c>
      <c r="F1764" s="33" t="n">
        <v>0</v>
      </c>
      <c r="G1764" s="62"/>
      <c r="H1764" s="35" t="n">
        <v>0</v>
      </c>
      <c r="I1764" s="34" t="n">
        <f aca="false">+IF(E1764=0,0,E1764*0.03)</f>
        <v>0</v>
      </c>
    </row>
    <row r="1765" customFormat="false" ht="15.75" hidden="false" customHeight="true" outlineLevel="0" collapsed="false">
      <c r="A1765" s="30" t="n">
        <v>45323</v>
      </c>
      <c r="B1765" s="31" t="s">
        <v>11</v>
      </c>
      <c r="C1765" s="32"/>
      <c r="D1765" s="32"/>
      <c r="E1765" s="19" t="n">
        <f aca="false">+IF(C1765="EQUIPO",F1765,0)</f>
        <v>0</v>
      </c>
      <c r="F1765" s="33" t="n">
        <v>0</v>
      </c>
      <c r="G1765" s="62"/>
      <c r="H1765" s="35" t="n">
        <v>0</v>
      </c>
      <c r="I1765" s="34" t="n">
        <f aca="false">+IF(E1765=0,0,E1765*0.03)</f>
        <v>0</v>
      </c>
    </row>
    <row r="1766" customFormat="false" ht="15.75" hidden="false" customHeight="true" outlineLevel="0" collapsed="false">
      <c r="A1766" s="30" t="n">
        <v>45323</v>
      </c>
      <c r="B1766" s="31" t="s">
        <v>11</v>
      </c>
      <c r="C1766" s="32"/>
      <c r="D1766" s="32"/>
      <c r="E1766" s="19" t="n">
        <f aca="false">+IF(C1766="EQUIPO",F1766,0)</f>
        <v>0</v>
      </c>
      <c r="F1766" s="33" t="n">
        <v>0</v>
      </c>
      <c r="G1766" s="62"/>
      <c r="H1766" s="35" t="n">
        <v>0</v>
      </c>
      <c r="I1766" s="34" t="n">
        <f aca="false">+IF(E1766=0,0,E1766*0.03)</f>
        <v>0</v>
      </c>
    </row>
    <row r="1767" customFormat="false" ht="15.75" hidden="false" customHeight="true" outlineLevel="0" collapsed="false">
      <c r="A1767" s="30" t="n">
        <v>45323</v>
      </c>
      <c r="B1767" s="31" t="s">
        <v>11</v>
      </c>
      <c r="C1767" s="32"/>
      <c r="D1767" s="32"/>
      <c r="E1767" s="19" t="n">
        <f aca="false">+IF(C1767="EQUIPO",F1767,0)</f>
        <v>0</v>
      </c>
      <c r="F1767" s="33" t="n">
        <v>0</v>
      </c>
      <c r="G1767" s="62"/>
      <c r="H1767" s="35" t="n">
        <v>0</v>
      </c>
      <c r="I1767" s="34" t="n">
        <f aca="false">+IF(E1767=0,0,E1767*0.03)</f>
        <v>0</v>
      </c>
    </row>
    <row r="1768" customFormat="false" ht="15.75" hidden="false" customHeight="true" outlineLevel="0" collapsed="false">
      <c r="A1768" s="30" t="n">
        <v>45323</v>
      </c>
      <c r="B1768" s="31" t="s">
        <v>11</v>
      </c>
      <c r="C1768" s="32"/>
      <c r="D1768" s="32"/>
      <c r="E1768" s="19" t="n">
        <f aca="false">+IF(C1768="EQUIPO",F1768,0)</f>
        <v>0</v>
      </c>
      <c r="F1768" s="33" t="n">
        <v>0</v>
      </c>
      <c r="G1768" s="62"/>
      <c r="H1768" s="35" t="n">
        <v>0</v>
      </c>
      <c r="I1768" s="34" t="n">
        <f aca="false">+IF(E1768=0,0,E1768*0.03)</f>
        <v>0</v>
      </c>
    </row>
    <row r="1769" customFormat="false" ht="15.75" hidden="false" customHeight="true" outlineLevel="0" collapsed="false">
      <c r="A1769" s="30" t="n">
        <v>45323</v>
      </c>
      <c r="B1769" s="31" t="s">
        <v>11</v>
      </c>
      <c r="C1769" s="32"/>
      <c r="D1769" s="32"/>
      <c r="E1769" s="19" t="n">
        <f aca="false">+IF(C1769="EQUIPO",F1769,0)</f>
        <v>0</v>
      </c>
      <c r="F1769" s="33" t="n">
        <v>0</v>
      </c>
      <c r="G1769" s="62"/>
      <c r="H1769" s="35" t="n">
        <v>0</v>
      </c>
      <c r="I1769" s="34" t="n">
        <f aca="false">+IF(E1769=0,0,E1769*0.03)</f>
        <v>0</v>
      </c>
    </row>
    <row r="1770" customFormat="false" ht="15.75" hidden="false" customHeight="true" outlineLevel="0" collapsed="false">
      <c r="A1770" s="30" t="n">
        <v>45323</v>
      </c>
      <c r="B1770" s="31" t="s">
        <v>11</v>
      </c>
      <c r="C1770" s="32"/>
      <c r="D1770" s="32"/>
      <c r="E1770" s="19" t="n">
        <f aca="false">+IF(C1770="EQUIPO",F1770,0)</f>
        <v>0</v>
      </c>
      <c r="F1770" s="33" t="n">
        <v>0</v>
      </c>
      <c r="G1770" s="62"/>
      <c r="H1770" s="35" t="n">
        <v>0</v>
      </c>
      <c r="I1770" s="34" t="n">
        <f aca="false">+IF(E1770=0,0,E1770*0.03)</f>
        <v>0</v>
      </c>
    </row>
    <row r="1771" customFormat="false" ht="15.75" hidden="false" customHeight="true" outlineLevel="0" collapsed="false">
      <c r="A1771" s="30" t="n">
        <v>45323</v>
      </c>
      <c r="B1771" s="31" t="s">
        <v>11</v>
      </c>
      <c r="C1771" s="32"/>
      <c r="D1771" s="32"/>
      <c r="E1771" s="19" t="n">
        <f aca="false">+IF(C1771="EQUIPO",F1771,0)</f>
        <v>0</v>
      </c>
      <c r="F1771" s="33" t="n">
        <v>0</v>
      </c>
      <c r="G1771" s="62"/>
      <c r="H1771" s="35" t="n">
        <v>0</v>
      </c>
      <c r="I1771" s="34" t="n">
        <f aca="false">+IF(E1771=0,0,E1771*0.03)</f>
        <v>0</v>
      </c>
    </row>
    <row r="1772" customFormat="false" ht="15.75" hidden="false" customHeight="true" outlineLevel="0" collapsed="false">
      <c r="A1772" s="30" t="n">
        <v>45323</v>
      </c>
      <c r="B1772" s="31" t="s">
        <v>11</v>
      </c>
      <c r="C1772" s="32"/>
      <c r="D1772" s="32"/>
      <c r="E1772" s="19" t="n">
        <f aca="false">+IF(C1772="EQUIPO",F1772,0)</f>
        <v>0</v>
      </c>
      <c r="F1772" s="33" t="n">
        <v>0</v>
      </c>
      <c r="G1772" s="62"/>
      <c r="H1772" s="35" t="n">
        <v>0</v>
      </c>
      <c r="I1772" s="34" t="n">
        <f aca="false">+IF(E1772=0,0,E1772*0.03)</f>
        <v>0</v>
      </c>
    </row>
    <row r="1773" customFormat="false" ht="15.75" hidden="false" customHeight="true" outlineLevel="0" collapsed="false">
      <c r="A1773" s="30" t="n">
        <v>45323</v>
      </c>
      <c r="B1773" s="31" t="s">
        <v>11</v>
      </c>
      <c r="C1773" s="32"/>
      <c r="D1773" s="32"/>
      <c r="E1773" s="19" t="n">
        <f aca="false">+IF(C1773="EQUIPO",F1773,0)</f>
        <v>0</v>
      </c>
      <c r="F1773" s="33" t="n">
        <v>0</v>
      </c>
      <c r="G1773" s="62"/>
      <c r="H1773" s="35" t="n">
        <v>0</v>
      </c>
      <c r="I1773" s="34" t="n">
        <f aca="false">+IF(E1773=0,0,E1773*0.03)</f>
        <v>0</v>
      </c>
    </row>
    <row r="1774" customFormat="false" ht="15.75" hidden="false" customHeight="true" outlineLevel="0" collapsed="false">
      <c r="A1774" s="30" t="n">
        <v>45323</v>
      </c>
      <c r="B1774" s="31" t="s">
        <v>11</v>
      </c>
      <c r="C1774" s="32"/>
      <c r="D1774" s="32"/>
      <c r="E1774" s="19" t="n">
        <f aca="false">+IF(C1774="EQUIPO",F1774,0)</f>
        <v>0</v>
      </c>
      <c r="F1774" s="33" t="n">
        <v>0</v>
      </c>
      <c r="G1774" s="62"/>
      <c r="H1774" s="35" t="n">
        <v>0</v>
      </c>
      <c r="I1774" s="34" t="n">
        <f aca="false">+IF(E1774=0,0,E1774*0.03)</f>
        <v>0</v>
      </c>
    </row>
    <row r="1775" customFormat="false" ht="15.75" hidden="false" customHeight="true" outlineLevel="0" collapsed="false">
      <c r="A1775" s="30" t="n">
        <v>45323</v>
      </c>
      <c r="B1775" s="31" t="s">
        <v>11</v>
      </c>
      <c r="C1775" s="32"/>
      <c r="D1775" s="32"/>
      <c r="E1775" s="19" t="n">
        <f aca="false">+IF(C1775="EQUIPO",F1775,0)</f>
        <v>0</v>
      </c>
      <c r="F1775" s="33" t="n">
        <v>0</v>
      </c>
      <c r="G1775" s="62"/>
      <c r="H1775" s="35" t="n">
        <v>0</v>
      </c>
      <c r="I1775" s="34" t="n">
        <f aca="false">+IF(E1775=0,0,E1775*0.03)</f>
        <v>0</v>
      </c>
    </row>
    <row r="1776" customFormat="false" ht="15.75" hidden="false" customHeight="true" outlineLevel="0" collapsed="false">
      <c r="A1776" s="30" t="n">
        <v>45323</v>
      </c>
      <c r="B1776" s="31" t="s">
        <v>11</v>
      </c>
      <c r="C1776" s="32"/>
      <c r="D1776" s="32"/>
      <c r="E1776" s="19" t="n">
        <f aca="false">+IF(C1776="EQUIPO",F1776,0)</f>
        <v>0</v>
      </c>
      <c r="F1776" s="33" t="n">
        <v>0</v>
      </c>
      <c r="G1776" s="62"/>
      <c r="H1776" s="35" t="n">
        <v>0</v>
      </c>
      <c r="I1776" s="34" t="n">
        <f aca="false">+IF(E1776=0,0,E1776*0.03)</f>
        <v>0</v>
      </c>
    </row>
    <row r="1777" customFormat="false" ht="15.75" hidden="false" customHeight="true" outlineLevel="0" collapsed="false">
      <c r="A1777" s="30" t="n">
        <v>45323</v>
      </c>
      <c r="B1777" s="31" t="s">
        <v>11</v>
      </c>
      <c r="C1777" s="32"/>
      <c r="D1777" s="32"/>
      <c r="E1777" s="19" t="n">
        <f aca="false">+IF(C1777="EQUIPO",F1777,0)</f>
        <v>0</v>
      </c>
      <c r="F1777" s="33" t="n">
        <v>0</v>
      </c>
      <c r="G1777" s="62"/>
      <c r="H1777" s="35" t="n">
        <v>0</v>
      </c>
      <c r="I1777" s="34" t="n">
        <f aca="false">+IF(E1777=0,0,E1777*0.03)</f>
        <v>0</v>
      </c>
    </row>
    <row r="1778" customFormat="false" ht="15.75" hidden="false" customHeight="true" outlineLevel="0" collapsed="false">
      <c r="A1778" s="30" t="n">
        <v>45323</v>
      </c>
      <c r="B1778" s="31" t="s">
        <v>11</v>
      </c>
      <c r="C1778" s="32"/>
      <c r="D1778" s="32"/>
      <c r="E1778" s="19" t="n">
        <f aca="false">+IF(C1778="EQUIPO",F1778,0)</f>
        <v>0</v>
      </c>
      <c r="F1778" s="33" t="n">
        <v>0</v>
      </c>
      <c r="G1778" s="62"/>
      <c r="H1778" s="35" t="n">
        <v>0</v>
      </c>
      <c r="I1778" s="34" t="n">
        <f aca="false">+IF(E1778=0,0,E1778*0.03)</f>
        <v>0</v>
      </c>
    </row>
    <row r="1779" customFormat="false" ht="15.75" hidden="false" customHeight="true" outlineLevel="0" collapsed="false">
      <c r="A1779" s="30" t="n">
        <v>45323</v>
      </c>
      <c r="B1779" s="31" t="s">
        <v>11</v>
      </c>
      <c r="C1779" s="32"/>
      <c r="D1779" s="32"/>
      <c r="E1779" s="19" t="n">
        <f aca="false">+IF(C1779="EQUIPO",F1779,0)</f>
        <v>0</v>
      </c>
      <c r="F1779" s="33" t="n">
        <v>0</v>
      </c>
      <c r="G1779" s="62"/>
      <c r="H1779" s="35" t="n">
        <v>0</v>
      </c>
      <c r="I1779" s="34" t="n">
        <f aca="false">+IF(E1779=0,0,E1779*0.03)</f>
        <v>0</v>
      </c>
    </row>
    <row r="1780" customFormat="false" ht="15.75" hidden="false" customHeight="true" outlineLevel="0" collapsed="false">
      <c r="A1780" s="30" t="n">
        <v>45323</v>
      </c>
      <c r="B1780" s="31" t="s">
        <v>11</v>
      </c>
      <c r="C1780" s="32"/>
      <c r="D1780" s="32"/>
      <c r="E1780" s="19" t="n">
        <f aca="false">+IF(C1780="EQUIPO",F1780,0)</f>
        <v>0</v>
      </c>
      <c r="F1780" s="33" t="n">
        <v>0</v>
      </c>
      <c r="G1780" s="62"/>
      <c r="H1780" s="35" t="n">
        <v>0</v>
      </c>
      <c r="I1780" s="34" t="n">
        <f aca="false">+IF(E1780=0,0,E1780*0.03)</f>
        <v>0</v>
      </c>
    </row>
    <row r="1781" customFormat="false" ht="15.75" hidden="false" customHeight="true" outlineLevel="0" collapsed="false">
      <c r="A1781" s="30" t="n">
        <v>45323</v>
      </c>
      <c r="B1781" s="31" t="s">
        <v>11</v>
      </c>
      <c r="C1781" s="32"/>
      <c r="D1781" s="32"/>
      <c r="E1781" s="19" t="n">
        <f aca="false">+IF(C1781="EQUIPO",F1781,0)</f>
        <v>0</v>
      </c>
      <c r="F1781" s="33" t="n">
        <v>0</v>
      </c>
      <c r="G1781" s="62"/>
      <c r="H1781" s="35" t="n">
        <v>0</v>
      </c>
      <c r="I1781" s="34" t="n">
        <f aca="false">+IF(E1781=0,0,E1781*0.03)</f>
        <v>0</v>
      </c>
    </row>
    <row r="1782" customFormat="false" ht="15.75" hidden="false" customHeight="true" outlineLevel="0" collapsed="false">
      <c r="A1782" s="30" t="n">
        <v>45323</v>
      </c>
      <c r="B1782" s="31" t="s">
        <v>11</v>
      </c>
      <c r="C1782" s="32"/>
      <c r="D1782" s="32"/>
      <c r="E1782" s="19" t="n">
        <f aca="false">+IF(C1782="EQUIPO",F1782,0)</f>
        <v>0</v>
      </c>
      <c r="F1782" s="33" t="n">
        <v>0</v>
      </c>
      <c r="G1782" s="62"/>
      <c r="H1782" s="35" t="n">
        <v>0</v>
      </c>
      <c r="I1782" s="34" t="n">
        <f aca="false">+IF(E1782=0,0,E1782*0.03)</f>
        <v>0</v>
      </c>
    </row>
    <row r="1783" customFormat="false" ht="15.75" hidden="false" customHeight="true" outlineLevel="0" collapsed="false">
      <c r="A1783" s="30" t="n">
        <v>45323</v>
      </c>
      <c r="B1783" s="31" t="s">
        <v>11</v>
      </c>
      <c r="C1783" s="32"/>
      <c r="D1783" s="32"/>
      <c r="E1783" s="19" t="n">
        <f aca="false">+IF(C1783="EQUIPO",F1783,0)</f>
        <v>0</v>
      </c>
      <c r="F1783" s="33" t="n">
        <v>0</v>
      </c>
      <c r="G1783" s="62"/>
      <c r="H1783" s="35" t="n">
        <v>0</v>
      </c>
      <c r="I1783" s="34" t="n">
        <f aca="false">+IF(E1783=0,0,E1783*0.03)</f>
        <v>0</v>
      </c>
    </row>
    <row r="1784" customFormat="false" ht="15.75" hidden="false" customHeight="true" outlineLevel="0" collapsed="false">
      <c r="A1784" s="30" t="n">
        <v>45323</v>
      </c>
      <c r="B1784" s="31" t="s">
        <v>11</v>
      </c>
      <c r="C1784" s="32"/>
      <c r="D1784" s="32"/>
      <c r="E1784" s="19" t="n">
        <f aca="false">+IF(C1784="EQUIPO",F1784,0)</f>
        <v>0</v>
      </c>
      <c r="F1784" s="33" t="n">
        <v>0</v>
      </c>
      <c r="G1784" s="62"/>
      <c r="H1784" s="35" t="n">
        <v>0</v>
      </c>
      <c r="I1784" s="34" t="n">
        <f aca="false">+IF(E1784=0,0,E1784*0.03)</f>
        <v>0</v>
      </c>
    </row>
    <row r="1785" customFormat="false" ht="15.75" hidden="false" customHeight="true" outlineLevel="0" collapsed="false">
      <c r="A1785" s="30" t="n">
        <v>45323</v>
      </c>
      <c r="B1785" s="31" t="s">
        <v>11</v>
      </c>
      <c r="C1785" s="32"/>
      <c r="D1785" s="32"/>
      <c r="E1785" s="19" t="n">
        <f aca="false">+IF(C1785="EQUIPO",F1785,0)</f>
        <v>0</v>
      </c>
      <c r="F1785" s="33" t="n">
        <v>0</v>
      </c>
      <c r="G1785" s="62"/>
      <c r="H1785" s="35" t="n">
        <v>0</v>
      </c>
      <c r="I1785" s="34" t="n">
        <f aca="false">+IF(E1785=0,0,E1785*0.03)</f>
        <v>0</v>
      </c>
    </row>
    <row r="1786" customFormat="false" ht="15.75" hidden="false" customHeight="true" outlineLevel="0" collapsed="false">
      <c r="A1786" s="30" t="n">
        <v>45323</v>
      </c>
      <c r="B1786" s="31" t="s">
        <v>11</v>
      </c>
      <c r="C1786" s="32"/>
      <c r="D1786" s="32"/>
      <c r="E1786" s="19" t="n">
        <f aca="false">+IF(C1786="EQUIPO",F1786,0)</f>
        <v>0</v>
      </c>
      <c r="F1786" s="33" t="n">
        <v>0</v>
      </c>
      <c r="G1786" s="62"/>
      <c r="H1786" s="35" t="n">
        <v>0</v>
      </c>
      <c r="I1786" s="34" t="n">
        <f aca="false">+IF(E1786=0,0,E1786*0.03)</f>
        <v>0</v>
      </c>
    </row>
    <row r="1787" customFormat="false" ht="15.75" hidden="false" customHeight="true" outlineLevel="0" collapsed="false">
      <c r="A1787" s="30" t="n">
        <v>45323</v>
      </c>
      <c r="B1787" s="31" t="s">
        <v>11</v>
      </c>
      <c r="C1787" s="32"/>
      <c r="D1787" s="32"/>
      <c r="E1787" s="19" t="n">
        <f aca="false">+IF(C1787="EQUIPO",F1787,0)</f>
        <v>0</v>
      </c>
      <c r="F1787" s="33" t="n">
        <v>0</v>
      </c>
      <c r="G1787" s="62"/>
      <c r="H1787" s="35" t="n">
        <v>0</v>
      </c>
      <c r="I1787" s="34" t="n">
        <f aca="false">+IF(E1787=0,0,E1787*0.03)</f>
        <v>0</v>
      </c>
    </row>
    <row r="1788" customFormat="false" ht="15.75" hidden="false" customHeight="true" outlineLevel="0" collapsed="false">
      <c r="A1788" s="30" t="n">
        <v>45323</v>
      </c>
      <c r="B1788" s="31" t="s">
        <v>11</v>
      </c>
      <c r="C1788" s="32"/>
      <c r="D1788" s="32"/>
      <c r="E1788" s="19" t="n">
        <f aca="false">+IF(C1788="EQUIPO",F1788,0)</f>
        <v>0</v>
      </c>
      <c r="F1788" s="33" t="n">
        <v>0</v>
      </c>
      <c r="G1788" s="62"/>
      <c r="H1788" s="35" t="n">
        <v>0</v>
      </c>
      <c r="I1788" s="34" t="n">
        <f aca="false">+IF(E1788=0,0,E1788*0.03)</f>
        <v>0</v>
      </c>
    </row>
    <row r="1789" customFormat="false" ht="15.75" hidden="false" customHeight="true" outlineLevel="0" collapsed="false">
      <c r="A1789" s="30" t="n">
        <v>45323</v>
      </c>
      <c r="B1789" s="31" t="s">
        <v>11</v>
      </c>
      <c r="C1789" s="32"/>
      <c r="D1789" s="32"/>
      <c r="E1789" s="19" t="n">
        <f aca="false">+IF(C1789="EQUIPO",F1789,0)</f>
        <v>0</v>
      </c>
      <c r="F1789" s="33" t="n">
        <v>0</v>
      </c>
      <c r="G1789" s="62"/>
      <c r="H1789" s="35" t="n">
        <v>0</v>
      </c>
      <c r="I1789" s="34" t="n">
        <f aca="false">+IF(E1789=0,0,E1789*0.03)</f>
        <v>0</v>
      </c>
    </row>
    <row r="1790" customFormat="false" ht="15.75" hidden="false" customHeight="true" outlineLevel="0" collapsed="false">
      <c r="A1790" s="30" t="n">
        <v>45323</v>
      </c>
      <c r="B1790" s="31" t="s">
        <v>11</v>
      </c>
      <c r="C1790" s="32"/>
      <c r="D1790" s="32"/>
      <c r="E1790" s="19" t="n">
        <f aca="false">+IF(C1790="EQUIPO",F1790,0)</f>
        <v>0</v>
      </c>
      <c r="F1790" s="33" t="n">
        <v>0</v>
      </c>
      <c r="G1790" s="62"/>
      <c r="H1790" s="35" t="n">
        <v>0</v>
      </c>
      <c r="I1790" s="34" t="n">
        <f aca="false">+IF(E1790=0,0,E1790*0.03)</f>
        <v>0</v>
      </c>
    </row>
    <row r="1791" customFormat="false" ht="15.75" hidden="false" customHeight="true" outlineLevel="0" collapsed="false">
      <c r="A1791" s="30" t="n">
        <v>45323</v>
      </c>
      <c r="B1791" s="31" t="s">
        <v>11</v>
      </c>
      <c r="C1791" s="32"/>
      <c r="D1791" s="32"/>
      <c r="E1791" s="19" t="n">
        <f aca="false">+IF(C1791="EQUIPO",F1791,0)</f>
        <v>0</v>
      </c>
      <c r="F1791" s="33" t="n">
        <v>0</v>
      </c>
      <c r="G1791" s="62"/>
      <c r="H1791" s="35" t="n">
        <v>0</v>
      </c>
      <c r="I1791" s="34" t="n">
        <f aca="false">+IF(E1791=0,0,E1791*0.03)</f>
        <v>0</v>
      </c>
    </row>
    <row r="1792" customFormat="false" ht="15.75" hidden="false" customHeight="true" outlineLevel="0" collapsed="false">
      <c r="A1792" s="30" t="n">
        <v>45323</v>
      </c>
      <c r="B1792" s="31" t="s">
        <v>11</v>
      </c>
      <c r="C1792" s="32"/>
      <c r="D1792" s="32"/>
      <c r="E1792" s="19" t="n">
        <f aca="false">+IF(C1792="EQUIPO",F1792,0)</f>
        <v>0</v>
      </c>
      <c r="F1792" s="33" t="n">
        <v>0</v>
      </c>
      <c r="G1792" s="62"/>
      <c r="H1792" s="35" t="n">
        <v>0</v>
      </c>
      <c r="I1792" s="34" t="n">
        <f aca="false">+IF(E1792=0,0,E1792*0.03)</f>
        <v>0</v>
      </c>
    </row>
    <row r="1793" customFormat="false" ht="15.75" hidden="false" customHeight="true" outlineLevel="0" collapsed="false">
      <c r="A1793" s="30" t="n">
        <v>45323</v>
      </c>
      <c r="B1793" s="31" t="s">
        <v>11</v>
      </c>
      <c r="C1793" s="32"/>
      <c r="D1793" s="32"/>
      <c r="E1793" s="19" t="n">
        <f aca="false">+IF(C1793="EQUIPO",F1793,0)</f>
        <v>0</v>
      </c>
      <c r="F1793" s="33" t="n">
        <v>0</v>
      </c>
      <c r="G1793" s="62"/>
      <c r="H1793" s="35" t="n">
        <v>0</v>
      </c>
      <c r="I1793" s="34" t="n">
        <f aca="false">+IF(E1793=0,0,E1793*0.03)</f>
        <v>0</v>
      </c>
    </row>
    <row r="1794" customFormat="false" ht="15.75" hidden="false" customHeight="true" outlineLevel="0" collapsed="false">
      <c r="A1794" s="30" t="n">
        <v>45323</v>
      </c>
      <c r="B1794" s="31" t="s">
        <v>11</v>
      </c>
      <c r="C1794" s="32"/>
      <c r="D1794" s="32"/>
      <c r="E1794" s="19" t="n">
        <f aca="false">+IF(C1794="EQUIPO",F1794,0)</f>
        <v>0</v>
      </c>
      <c r="F1794" s="33" t="n">
        <v>0</v>
      </c>
      <c r="G1794" s="62"/>
      <c r="H1794" s="35" t="n">
        <v>0</v>
      </c>
      <c r="I1794" s="34" t="n">
        <f aca="false">+IF(E1794=0,0,E1794*0.03)</f>
        <v>0</v>
      </c>
    </row>
    <row r="1795" customFormat="false" ht="15.75" hidden="false" customHeight="true" outlineLevel="0" collapsed="false">
      <c r="A1795" s="30" t="n">
        <v>45323</v>
      </c>
      <c r="B1795" s="31" t="s">
        <v>11</v>
      </c>
      <c r="C1795" s="32"/>
      <c r="D1795" s="32"/>
      <c r="E1795" s="19" t="n">
        <f aca="false">+IF(C1795="EQUIPO",F1795,0)</f>
        <v>0</v>
      </c>
      <c r="F1795" s="33" t="n">
        <v>0</v>
      </c>
      <c r="G1795" s="62"/>
      <c r="H1795" s="35" t="n">
        <v>0</v>
      </c>
      <c r="I1795" s="34" t="n">
        <f aca="false">+IF(E1795=0,0,E1795*0.03)</f>
        <v>0</v>
      </c>
    </row>
    <row r="1796" customFormat="false" ht="15.75" hidden="false" customHeight="true" outlineLevel="0" collapsed="false">
      <c r="A1796" s="30" t="n">
        <v>45323</v>
      </c>
      <c r="B1796" s="31" t="s">
        <v>11</v>
      </c>
      <c r="C1796" s="32"/>
      <c r="D1796" s="32"/>
      <c r="E1796" s="19" t="n">
        <f aca="false">+IF(C1796="EQUIPO",F1796,0)</f>
        <v>0</v>
      </c>
      <c r="F1796" s="33" t="n">
        <v>0</v>
      </c>
      <c r="G1796" s="62"/>
      <c r="H1796" s="35" t="n">
        <v>0</v>
      </c>
      <c r="I1796" s="34" t="n">
        <f aca="false">+IF(E1796=0,0,E1796*0.03)</f>
        <v>0</v>
      </c>
    </row>
    <row r="1797" customFormat="false" ht="15.75" hidden="false" customHeight="true" outlineLevel="0" collapsed="false">
      <c r="A1797" s="30" t="n">
        <v>45323</v>
      </c>
      <c r="B1797" s="31" t="s">
        <v>11</v>
      </c>
      <c r="C1797" s="32"/>
      <c r="D1797" s="32"/>
      <c r="E1797" s="19" t="n">
        <f aca="false">+IF(C1797="EQUIPO",F1797,0)</f>
        <v>0</v>
      </c>
      <c r="F1797" s="33" t="n">
        <v>0</v>
      </c>
      <c r="G1797" s="62"/>
      <c r="H1797" s="35" t="n">
        <v>0</v>
      </c>
      <c r="I1797" s="34" t="n">
        <f aca="false">+IF(E1797=0,0,E1797*0.03)</f>
        <v>0</v>
      </c>
    </row>
    <row r="1798" customFormat="false" ht="15.75" hidden="false" customHeight="true" outlineLevel="0" collapsed="false">
      <c r="A1798" s="30" t="n">
        <v>45323</v>
      </c>
      <c r="B1798" s="31" t="s">
        <v>11</v>
      </c>
      <c r="C1798" s="32"/>
      <c r="D1798" s="32"/>
      <c r="E1798" s="19" t="n">
        <f aca="false">+IF(C1798="EQUIPO",F1798,0)</f>
        <v>0</v>
      </c>
      <c r="F1798" s="33" t="n">
        <v>0</v>
      </c>
      <c r="G1798" s="62"/>
      <c r="H1798" s="35" t="n">
        <v>0</v>
      </c>
      <c r="I1798" s="34" t="n">
        <f aca="false">+IF(E1798=0,0,E1798*0.03)</f>
        <v>0</v>
      </c>
    </row>
    <row r="1799" customFormat="false" ht="15.75" hidden="false" customHeight="true" outlineLevel="0" collapsed="false">
      <c r="A1799" s="30" t="n">
        <v>45323</v>
      </c>
      <c r="B1799" s="31" t="s">
        <v>11</v>
      </c>
      <c r="C1799" s="32"/>
      <c r="D1799" s="32"/>
      <c r="E1799" s="19" t="n">
        <f aca="false">+IF(C1799="EQUIPO",F1799,0)</f>
        <v>0</v>
      </c>
      <c r="F1799" s="33" t="n">
        <v>0</v>
      </c>
      <c r="G1799" s="62"/>
      <c r="H1799" s="35" t="n">
        <v>0</v>
      </c>
      <c r="I1799" s="34" t="n">
        <f aca="false">+IF(E1799=0,0,E1799*0.03)</f>
        <v>0</v>
      </c>
    </row>
    <row r="1800" customFormat="false" ht="15.75" hidden="false" customHeight="true" outlineLevel="0" collapsed="false">
      <c r="A1800" s="30" t="n">
        <v>45323</v>
      </c>
      <c r="B1800" s="31" t="s">
        <v>11</v>
      </c>
      <c r="C1800" s="32"/>
      <c r="D1800" s="32"/>
      <c r="E1800" s="19" t="n">
        <f aca="false">+IF(C1800="EQUIPO",F1800,0)</f>
        <v>0</v>
      </c>
      <c r="F1800" s="33" t="n">
        <v>0</v>
      </c>
      <c r="G1800" s="62"/>
      <c r="H1800" s="35" t="n">
        <v>0</v>
      </c>
      <c r="I1800" s="34" t="n">
        <f aca="false">+IF(E1800=0,0,E1800*0.03)</f>
        <v>0</v>
      </c>
    </row>
    <row r="1801" customFormat="false" ht="15.75" hidden="false" customHeight="true" outlineLevel="0" collapsed="false">
      <c r="A1801" s="30" t="n">
        <v>45323</v>
      </c>
      <c r="B1801" s="31" t="s">
        <v>11</v>
      </c>
      <c r="C1801" s="32"/>
      <c r="D1801" s="32"/>
      <c r="E1801" s="19" t="n">
        <f aca="false">+IF(C1801="EQUIPO",F1801,0)</f>
        <v>0</v>
      </c>
      <c r="F1801" s="33" t="n">
        <v>0</v>
      </c>
      <c r="G1801" s="62"/>
      <c r="H1801" s="35" t="n">
        <v>0</v>
      </c>
      <c r="I1801" s="34" t="n">
        <f aca="false">+IF(E1801=0,0,E1801*0.03)</f>
        <v>0</v>
      </c>
    </row>
    <row r="1802" customFormat="false" ht="15.75" hidden="false" customHeight="true" outlineLevel="0" collapsed="false">
      <c r="A1802" s="30" t="n">
        <v>45323</v>
      </c>
      <c r="B1802" s="31" t="s">
        <v>11</v>
      </c>
      <c r="C1802" s="32"/>
      <c r="D1802" s="32"/>
      <c r="E1802" s="19" t="n">
        <f aca="false">+IF(C1802="EQUIPO",F1802,0)</f>
        <v>0</v>
      </c>
      <c r="F1802" s="33" t="n">
        <v>0</v>
      </c>
      <c r="G1802" s="62"/>
      <c r="H1802" s="35" t="n">
        <v>0</v>
      </c>
      <c r="I1802" s="34" t="n">
        <f aca="false">+IF(E1802=0,0,E1802*0.03)</f>
        <v>0</v>
      </c>
    </row>
    <row r="1803" customFormat="false" ht="15.75" hidden="false" customHeight="true" outlineLevel="0" collapsed="false">
      <c r="A1803" s="30" t="n">
        <v>45323</v>
      </c>
      <c r="B1803" s="31" t="s">
        <v>11</v>
      </c>
      <c r="C1803" s="32"/>
      <c r="D1803" s="32"/>
      <c r="E1803" s="19" t="n">
        <f aca="false">+IF(C1803="EQUIPO",F1803,0)</f>
        <v>0</v>
      </c>
      <c r="F1803" s="33" t="n">
        <v>0</v>
      </c>
      <c r="G1803" s="62"/>
      <c r="H1803" s="35" t="n">
        <v>0</v>
      </c>
      <c r="I1803" s="34" t="n">
        <f aca="false">+IF(E1803=0,0,E1803*0.03)</f>
        <v>0</v>
      </c>
    </row>
    <row r="1804" customFormat="false" ht="15.75" hidden="false" customHeight="true" outlineLevel="0" collapsed="false">
      <c r="A1804" s="30" t="n">
        <v>45323</v>
      </c>
      <c r="B1804" s="31" t="s">
        <v>11</v>
      </c>
      <c r="C1804" s="32"/>
      <c r="D1804" s="32"/>
      <c r="E1804" s="19" t="n">
        <f aca="false">+IF(C1804="EQUIPO",F1804,0)</f>
        <v>0</v>
      </c>
      <c r="F1804" s="33" t="n">
        <v>0</v>
      </c>
      <c r="G1804" s="62"/>
      <c r="H1804" s="35" t="n">
        <v>0</v>
      </c>
      <c r="I1804" s="34" t="n">
        <f aca="false">+IF(E1804=0,0,E1804*0.03)</f>
        <v>0</v>
      </c>
    </row>
    <row r="1805" customFormat="false" ht="15.75" hidden="false" customHeight="true" outlineLevel="0" collapsed="false">
      <c r="A1805" s="30" t="n">
        <v>45323</v>
      </c>
      <c r="B1805" s="31" t="s">
        <v>11</v>
      </c>
      <c r="C1805" s="32"/>
      <c r="D1805" s="32"/>
      <c r="E1805" s="19" t="n">
        <f aca="false">+IF(C1805="EQUIPO",F1805,0)</f>
        <v>0</v>
      </c>
      <c r="F1805" s="33" t="n">
        <v>0</v>
      </c>
      <c r="G1805" s="62"/>
      <c r="H1805" s="35" t="n">
        <v>0</v>
      </c>
      <c r="I1805" s="34" t="n">
        <f aca="false">+IF(E1805=0,0,E1805*0.03)</f>
        <v>0</v>
      </c>
    </row>
    <row r="1806" customFormat="false" ht="15.75" hidden="false" customHeight="true" outlineLevel="0" collapsed="false">
      <c r="A1806" s="30" t="n">
        <v>45323</v>
      </c>
      <c r="B1806" s="31" t="s">
        <v>11</v>
      </c>
      <c r="C1806" s="32"/>
      <c r="D1806" s="32"/>
      <c r="E1806" s="19" t="n">
        <f aca="false">+IF(C1806="EQUIPO",F1806,0)</f>
        <v>0</v>
      </c>
      <c r="F1806" s="33" t="n">
        <v>0</v>
      </c>
      <c r="G1806" s="62"/>
      <c r="H1806" s="35" t="n">
        <v>0</v>
      </c>
      <c r="I1806" s="34" t="n">
        <f aca="false">+IF(E1806=0,0,E1806*0.03)</f>
        <v>0</v>
      </c>
    </row>
    <row r="1807" customFormat="false" ht="15.75" hidden="false" customHeight="true" outlineLevel="0" collapsed="false">
      <c r="A1807" s="30" t="n">
        <v>45323</v>
      </c>
      <c r="B1807" s="31" t="s">
        <v>11</v>
      </c>
      <c r="C1807" s="32"/>
      <c r="D1807" s="32"/>
      <c r="E1807" s="19" t="n">
        <f aca="false">+IF(C1807="EQUIPO",F1807,0)</f>
        <v>0</v>
      </c>
      <c r="F1807" s="33" t="n">
        <v>0</v>
      </c>
      <c r="G1807" s="62"/>
      <c r="H1807" s="35" t="n">
        <v>0</v>
      </c>
      <c r="I1807" s="34" t="n">
        <f aca="false">+IF(E1807=0,0,E1807*0.03)</f>
        <v>0</v>
      </c>
    </row>
    <row r="1808" customFormat="false" ht="15.75" hidden="false" customHeight="true" outlineLevel="0" collapsed="false">
      <c r="A1808" s="30" t="n">
        <v>45323</v>
      </c>
      <c r="B1808" s="31" t="s">
        <v>11</v>
      </c>
      <c r="C1808" s="32"/>
      <c r="D1808" s="32"/>
      <c r="E1808" s="19" t="n">
        <f aca="false">+IF(C1808="EQUIPO",F1808,0)</f>
        <v>0</v>
      </c>
      <c r="F1808" s="33" t="n">
        <v>0</v>
      </c>
      <c r="G1808" s="62"/>
      <c r="H1808" s="35" t="n">
        <v>0</v>
      </c>
      <c r="I1808" s="34" t="n">
        <f aca="false">+IF(E1808=0,0,E1808*0.03)</f>
        <v>0</v>
      </c>
    </row>
    <row r="1809" customFormat="false" ht="15.75" hidden="false" customHeight="true" outlineLevel="0" collapsed="false">
      <c r="A1809" s="30" t="n">
        <v>45323</v>
      </c>
      <c r="B1809" s="31" t="s">
        <v>11</v>
      </c>
      <c r="C1809" s="32"/>
      <c r="D1809" s="32"/>
      <c r="E1809" s="19" t="n">
        <f aca="false">+IF(C1809="EQUIPO",F1809,0)</f>
        <v>0</v>
      </c>
      <c r="F1809" s="33" t="n">
        <v>0</v>
      </c>
      <c r="G1809" s="62"/>
      <c r="H1809" s="35" t="n">
        <v>0</v>
      </c>
      <c r="I1809" s="34" t="n">
        <f aca="false">+IF(E1809=0,0,E1809*0.03)</f>
        <v>0</v>
      </c>
    </row>
    <row r="1810" customFormat="false" ht="15.75" hidden="false" customHeight="true" outlineLevel="0" collapsed="false">
      <c r="A1810" s="30" t="n">
        <v>45323</v>
      </c>
      <c r="B1810" s="31" t="s">
        <v>11</v>
      </c>
      <c r="C1810" s="32"/>
      <c r="D1810" s="32"/>
      <c r="E1810" s="19" t="n">
        <f aca="false">+IF(C1810="EQUIPO",F1810,0)</f>
        <v>0</v>
      </c>
      <c r="F1810" s="33" t="n">
        <v>0</v>
      </c>
      <c r="G1810" s="62"/>
      <c r="H1810" s="35" t="n">
        <v>0</v>
      </c>
      <c r="I1810" s="34" t="n">
        <f aca="false">+IF(E1810=0,0,E1810*0.03)</f>
        <v>0</v>
      </c>
    </row>
    <row r="1811" customFormat="false" ht="15.75" hidden="false" customHeight="true" outlineLevel="0" collapsed="false">
      <c r="A1811" s="30" t="n">
        <v>45323</v>
      </c>
      <c r="B1811" s="31" t="s">
        <v>11</v>
      </c>
      <c r="C1811" s="32"/>
      <c r="D1811" s="32"/>
      <c r="E1811" s="19" t="n">
        <f aca="false">+IF(C1811="EQUIPO",F1811,0)</f>
        <v>0</v>
      </c>
      <c r="F1811" s="33" t="n">
        <v>0</v>
      </c>
      <c r="G1811" s="62"/>
      <c r="H1811" s="35" t="n">
        <v>0</v>
      </c>
      <c r="I1811" s="34" t="n">
        <f aca="false">+IF(E1811=0,0,E1811*0.03)</f>
        <v>0</v>
      </c>
    </row>
    <row r="1812" customFormat="false" ht="15.75" hidden="false" customHeight="true" outlineLevel="0" collapsed="false">
      <c r="A1812" s="30" t="n">
        <v>45323</v>
      </c>
      <c r="B1812" s="31" t="s">
        <v>11</v>
      </c>
      <c r="C1812" s="32"/>
      <c r="D1812" s="32"/>
      <c r="E1812" s="19" t="n">
        <f aca="false">+IF(C1812="EQUIPO",F1812,0)</f>
        <v>0</v>
      </c>
      <c r="F1812" s="33" t="n">
        <v>0</v>
      </c>
      <c r="G1812" s="62"/>
      <c r="H1812" s="35" t="n">
        <v>0</v>
      </c>
      <c r="I1812" s="34" t="n">
        <f aca="false">+IF(E1812=0,0,E1812*0.03)</f>
        <v>0</v>
      </c>
    </row>
    <row r="1813" customFormat="false" ht="15.75" hidden="false" customHeight="true" outlineLevel="0" collapsed="false">
      <c r="A1813" s="30" t="n">
        <v>45323</v>
      </c>
      <c r="B1813" s="31" t="s">
        <v>11</v>
      </c>
      <c r="C1813" s="32"/>
      <c r="D1813" s="32"/>
      <c r="E1813" s="19" t="n">
        <f aca="false">+IF(C1813="EQUIPO",F1813,0)</f>
        <v>0</v>
      </c>
      <c r="F1813" s="33" t="n">
        <v>0</v>
      </c>
      <c r="G1813" s="62"/>
      <c r="H1813" s="35" t="n">
        <v>0</v>
      </c>
      <c r="I1813" s="34" t="n">
        <f aca="false">+IF(E1813=0,0,E1813*0.03)</f>
        <v>0</v>
      </c>
    </row>
    <row r="1814" customFormat="false" ht="15.75" hidden="false" customHeight="true" outlineLevel="0" collapsed="false">
      <c r="A1814" s="30" t="n">
        <v>45323</v>
      </c>
      <c r="B1814" s="31" t="s">
        <v>11</v>
      </c>
      <c r="C1814" s="32"/>
      <c r="D1814" s="32"/>
      <c r="E1814" s="19" t="n">
        <f aca="false">+IF(C1814="EQUIPO",F1814,0)</f>
        <v>0</v>
      </c>
      <c r="F1814" s="33" t="n">
        <v>0</v>
      </c>
      <c r="G1814" s="62"/>
      <c r="H1814" s="35" t="n">
        <v>0</v>
      </c>
      <c r="I1814" s="34" t="n">
        <f aca="false">+IF(E1814=0,0,E1814*0.03)</f>
        <v>0</v>
      </c>
    </row>
    <row r="1815" customFormat="false" ht="15.75" hidden="false" customHeight="true" outlineLevel="0" collapsed="false">
      <c r="A1815" s="30" t="n">
        <v>45323</v>
      </c>
      <c r="B1815" s="31" t="s">
        <v>11</v>
      </c>
      <c r="C1815" s="32"/>
      <c r="D1815" s="32"/>
      <c r="E1815" s="19" t="n">
        <f aca="false">+IF(C1815="EQUIPO",F1815,0)</f>
        <v>0</v>
      </c>
      <c r="F1815" s="33" t="n">
        <v>0</v>
      </c>
      <c r="G1815" s="62"/>
      <c r="H1815" s="35" t="n">
        <v>0</v>
      </c>
      <c r="I1815" s="34" t="n">
        <f aca="false">+IF(E1815=0,0,E1815*0.03)</f>
        <v>0</v>
      </c>
    </row>
    <row r="1816" customFormat="false" ht="15.75" hidden="false" customHeight="true" outlineLevel="0" collapsed="false">
      <c r="A1816" s="30" t="n">
        <v>45323</v>
      </c>
      <c r="B1816" s="31" t="s">
        <v>11</v>
      </c>
      <c r="C1816" s="32"/>
      <c r="D1816" s="32"/>
      <c r="E1816" s="19" t="n">
        <f aca="false">+IF(C1816="EQUIPO",F1816,0)</f>
        <v>0</v>
      </c>
      <c r="F1816" s="33" t="n">
        <v>0</v>
      </c>
      <c r="G1816" s="62"/>
      <c r="H1816" s="35" t="n">
        <v>0</v>
      </c>
      <c r="I1816" s="34" t="n">
        <f aca="false">+IF(E1816=0,0,E1816*0.03)</f>
        <v>0</v>
      </c>
    </row>
    <row r="1817" customFormat="false" ht="15.75" hidden="false" customHeight="true" outlineLevel="0" collapsed="false">
      <c r="A1817" s="30" t="n">
        <v>45323</v>
      </c>
      <c r="B1817" s="31" t="s">
        <v>11</v>
      </c>
      <c r="C1817" s="32"/>
      <c r="D1817" s="32"/>
      <c r="E1817" s="19" t="n">
        <f aca="false">+IF(C1817="EQUIPO",F1817,0)</f>
        <v>0</v>
      </c>
      <c r="F1817" s="33" t="n">
        <v>0</v>
      </c>
      <c r="G1817" s="62"/>
      <c r="H1817" s="35" t="n">
        <v>0</v>
      </c>
      <c r="I1817" s="34" t="n">
        <f aca="false">+IF(E1817=0,0,E1817*0.03)</f>
        <v>0</v>
      </c>
    </row>
    <row r="1818" customFormat="false" ht="15.75" hidden="false" customHeight="true" outlineLevel="0" collapsed="false">
      <c r="A1818" s="30" t="n">
        <v>45323</v>
      </c>
      <c r="B1818" s="31" t="s">
        <v>11</v>
      </c>
      <c r="C1818" s="32"/>
      <c r="D1818" s="32"/>
      <c r="E1818" s="19" t="n">
        <f aca="false">+IF(C1818="EQUIPO",F1818,0)</f>
        <v>0</v>
      </c>
      <c r="F1818" s="33" t="n">
        <v>0</v>
      </c>
      <c r="G1818" s="62"/>
      <c r="H1818" s="35" t="n">
        <v>0</v>
      </c>
      <c r="I1818" s="34" t="n">
        <f aca="false">+IF(E1818=0,0,E1818*0.03)</f>
        <v>0</v>
      </c>
    </row>
    <row r="1819" customFormat="false" ht="15.75" hidden="false" customHeight="true" outlineLevel="0" collapsed="false">
      <c r="A1819" s="30" t="n">
        <v>45323</v>
      </c>
      <c r="B1819" s="31" t="s">
        <v>11</v>
      </c>
      <c r="C1819" s="32"/>
      <c r="D1819" s="32"/>
      <c r="E1819" s="19" t="n">
        <f aca="false">+IF(C1819="EQUIPO",F1819,0)</f>
        <v>0</v>
      </c>
      <c r="F1819" s="33" t="n">
        <v>0</v>
      </c>
      <c r="G1819" s="62"/>
      <c r="H1819" s="35" t="n">
        <v>0</v>
      </c>
      <c r="I1819" s="34" t="n">
        <f aca="false">+IF(E1819=0,0,E1819*0.03)</f>
        <v>0</v>
      </c>
    </row>
    <row r="1820" customFormat="false" ht="15.75" hidden="false" customHeight="true" outlineLevel="0" collapsed="false">
      <c r="A1820" s="30" t="n">
        <v>45323</v>
      </c>
      <c r="B1820" s="31" t="s">
        <v>11</v>
      </c>
      <c r="C1820" s="32"/>
      <c r="D1820" s="32"/>
      <c r="E1820" s="19" t="n">
        <f aca="false">+IF(C1820="EQUIPO",F1820,0)</f>
        <v>0</v>
      </c>
      <c r="F1820" s="33" t="n">
        <v>0</v>
      </c>
      <c r="G1820" s="62"/>
      <c r="H1820" s="35" t="n">
        <v>0</v>
      </c>
      <c r="I1820" s="34" t="n">
        <f aca="false">+IF(E1820=0,0,E1820*0.03)</f>
        <v>0</v>
      </c>
    </row>
    <row r="1821" customFormat="false" ht="15.75" hidden="false" customHeight="true" outlineLevel="0" collapsed="false">
      <c r="A1821" s="30" t="n">
        <v>45323</v>
      </c>
      <c r="B1821" s="31" t="s">
        <v>11</v>
      </c>
      <c r="C1821" s="32"/>
      <c r="D1821" s="32"/>
      <c r="E1821" s="19" t="n">
        <f aca="false">+IF(C1821="EQUIPO",F1821,0)</f>
        <v>0</v>
      </c>
      <c r="F1821" s="33" t="n">
        <v>0</v>
      </c>
      <c r="G1821" s="62"/>
      <c r="H1821" s="35" t="n">
        <v>0</v>
      </c>
      <c r="I1821" s="34" t="n">
        <f aca="false">+IF(E1821=0,0,E1821*0.03)</f>
        <v>0</v>
      </c>
    </row>
    <row r="1822" customFormat="false" ht="15.75" hidden="false" customHeight="true" outlineLevel="0" collapsed="false">
      <c r="A1822" s="30" t="n">
        <v>45323</v>
      </c>
      <c r="B1822" s="31" t="s">
        <v>11</v>
      </c>
      <c r="C1822" s="32"/>
      <c r="D1822" s="32"/>
      <c r="E1822" s="19" t="n">
        <f aca="false">+IF(C1822="EQUIPO",F1822,0)</f>
        <v>0</v>
      </c>
      <c r="F1822" s="33" t="n">
        <v>0</v>
      </c>
      <c r="G1822" s="62"/>
      <c r="H1822" s="35" t="n">
        <v>0</v>
      </c>
      <c r="I1822" s="34" t="n">
        <f aca="false">+IF(E1822=0,0,E1822*0.03)</f>
        <v>0</v>
      </c>
    </row>
    <row r="1823" customFormat="false" ht="15.75" hidden="false" customHeight="true" outlineLevel="0" collapsed="false">
      <c r="A1823" s="30" t="n">
        <v>45323</v>
      </c>
      <c r="B1823" s="31" t="s">
        <v>11</v>
      </c>
      <c r="C1823" s="32"/>
      <c r="D1823" s="32"/>
      <c r="E1823" s="19" t="n">
        <f aca="false">+IF(C1823="EQUIPO",F1823,0)</f>
        <v>0</v>
      </c>
      <c r="F1823" s="33" t="n">
        <v>0</v>
      </c>
      <c r="G1823" s="62"/>
      <c r="H1823" s="35" t="n">
        <v>0</v>
      </c>
      <c r="I1823" s="34" t="n">
        <f aca="false">+IF(E1823=0,0,E1823*0.03)</f>
        <v>0</v>
      </c>
    </row>
    <row r="1824" customFormat="false" ht="15.75" hidden="false" customHeight="true" outlineLevel="0" collapsed="false">
      <c r="A1824" s="30" t="n">
        <v>45323</v>
      </c>
      <c r="B1824" s="31" t="s">
        <v>11</v>
      </c>
      <c r="C1824" s="32"/>
      <c r="D1824" s="32"/>
      <c r="E1824" s="19" t="n">
        <f aca="false">+IF(C1824="EQUIPO",F1824,0)</f>
        <v>0</v>
      </c>
      <c r="F1824" s="33" t="n">
        <v>0</v>
      </c>
      <c r="G1824" s="62"/>
      <c r="H1824" s="35" t="n">
        <v>0</v>
      </c>
      <c r="I1824" s="34" t="n">
        <f aca="false">+IF(E1824=0,0,E1824*0.03)</f>
        <v>0</v>
      </c>
    </row>
    <row r="1825" customFormat="false" ht="15.75" hidden="false" customHeight="true" outlineLevel="0" collapsed="false">
      <c r="A1825" s="30" t="n">
        <v>45323</v>
      </c>
      <c r="B1825" s="31" t="s">
        <v>11</v>
      </c>
      <c r="C1825" s="32"/>
      <c r="D1825" s="32"/>
      <c r="E1825" s="19" t="n">
        <f aca="false">+IF(C1825="EQUIPO",F1825,0)</f>
        <v>0</v>
      </c>
      <c r="F1825" s="33" t="n">
        <v>0</v>
      </c>
      <c r="G1825" s="62"/>
      <c r="H1825" s="35" t="n">
        <v>0</v>
      </c>
      <c r="I1825" s="34" t="n">
        <f aca="false">+IF(E1825=0,0,E1825*0.03)</f>
        <v>0</v>
      </c>
    </row>
    <row r="1826" customFormat="false" ht="15.75" hidden="false" customHeight="true" outlineLevel="0" collapsed="false">
      <c r="A1826" s="30" t="n">
        <v>45323</v>
      </c>
      <c r="B1826" s="31" t="s">
        <v>11</v>
      </c>
      <c r="C1826" s="32"/>
      <c r="D1826" s="32"/>
      <c r="E1826" s="19" t="n">
        <f aca="false">+IF(C1826="EQUIPO",F1826,0)</f>
        <v>0</v>
      </c>
      <c r="F1826" s="33" t="n">
        <v>0</v>
      </c>
      <c r="G1826" s="62"/>
      <c r="H1826" s="35" t="n">
        <v>0</v>
      </c>
      <c r="I1826" s="34" t="n">
        <f aca="false">+IF(E1826=0,0,E1826*0.03)</f>
        <v>0</v>
      </c>
    </row>
    <row r="1827" customFormat="false" ht="15.75" hidden="false" customHeight="true" outlineLevel="0" collapsed="false">
      <c r="A1827" s="30" t="n">
        <v>45323</v>
      </c>
      <c r="B1827" s="31" t="s">
        <v>11</v>
      </c>
      <c r="C1827" s="32"/>
      <c r="D1827" s="32"/>
      <c r="E1827" s="19" t="n">
        <f aca="false">+IF(C1827="EQUIPO",F1827,0)</f>
        <v>0</v>
      </c>
      <c r="F1827" s="33" t="n">
        <v>0</v>
      </c>
      <c r="G1827" s="62"/>
      <c r="H1827" s="35" t="n">
        <v>0</v>
      </c>
      <c r="I1827" s="34" t="n">
        <f aca="false">+IF(E1827=0,0,E1827*0.03)</f>
        <v>0</v>
      </c>
    </row>
    <row r="1828" customFormat="false" ht="15.75" hidden="false" customHeight="true" outlineLevel="0" collapsed="false">
      <c r="A1828" s="30" t="n">
        <v>45323</v>
      </c>
      <c r="B1828" s="31" t="s">
        <v>11</v>
      </c>
      <c r="C1828" s="32"/>
      <c r="D1828" s="32"/>
      <c r="E1828" s="19" t="n">
        <f aca="false">+IF(C1828="EQUIPO",F1828,0)</f>
        <v>0</v>
      </c>
      <c r="F1828" s="33" t="n">
        <v>0</v>
      </c>
      <c r="G1828" s="62"/>
      <c r="H1828" s="35" t="n">
        <v>0</v>
      </c>
      <c r="I1828" s="34" t="n">
        <f aca="false">+IF(E1828=0,0,E1828*0.03)</f>
        <v>0</v>
      </c>
    </row>
    <row r="1829" customFormat="false" ht="15.75" hidden="false" customHeight="true" outlineLevel="0" collapsed="false">
      <c r="A1829" s="30" t="n">
        <v>45323</v>
      </c>
      <c r="B1829" s="31" t="s">
        <v>11</v>
      </c>
      <c r="C1829" s="32"/>
      <c r="D1829" s="32"/>
      <c r="E1829" s="19" t="n">
        <f aca="false">+IF(C1829="EQUIPO",F1829,0)</f>
        <v>0</v>
      </c>
      <c r="F1829" s="33" t="n">
        <v>0</v>
      </c>
      <c r="G1829" s="62"/>
      <c r="H1829" s="35" t="n">
        <v>0</v>
      </c>
      <c r="I1829" s="34" t="n">
        <f aca="false">+IF(E1829=0,0,E1829*0.03)</f>
        <v>0</v>
      </c>
    </row>
    <row r="1830" customFormat="false" ht="15.75" hidden="false" customHeight="true" outlineLevel="0" collapsed="false">
      <c r="A1830" s="30" t="n">
        <v>45323</v>
      </c>
      <c r="B1830" s="31" t="s">
        <v>11</v>
      </c>
      <c r="C1830" s="32"/>
      <c r="D1830" s="32"/>
      <c r="E1830" s="19" t="n">
        <f aca="false">+IF(C1830="EQUIPO",F1830,0)</f>
        <v>0</v>
      </c>
      <c r="F1830" s="33" t="n">
        <v>0</v>
      </c>
      <c r="G1830" s="62"/>
      <c r="H1830" s="35" t="n">
        <v>0</v>
      </c>
      <c r="I1830" s="34" t="n">
        <f aca="false">+IF(E1830=0,0,E1830*0.03)</f>
        <v>0</v>
      </c>
    </row>
    <row r="1831" customFormat="false" ht="15.75" hidden="false" customHeight="true" outlineLevel="0" collapsed="false">
      <c r="A1831" s="30" t="n">
        <v>45323</v>
      </c>
      <c r="B1831" s="31" t="s">
        <v>11</v>
      </c>
      <c r="C1831" s="32"/>
      <c r="D1831" s="32"/>
      <c r="E1831" s="19" t="n">
        <f aca="false">+IF(C1831="EQUIPO",F1831,0)</f>
        <v>0</v>
      </c>
      <c r="F1831" s="33" t="n">
        <v>0</v>
      </c>
      <c r="G1831" s="62"/>
      <c r="H1831" s="35" t="n">
        <v>0</v>
      </c>
      <c r="I1831" s="34" t="n">
        <f aca="false">+IF(E1831=0,0,E1831*0.03)</f>
        <v>0</v>
      </c>
    </row>
    <row r="1832" customFormat="false" ht="15.75" hidden="false" customHeight="true" outlineLevel="0" collapsed="false">
      <c r="A1832" s="30" t="n">
        <v>45323</v>
      </c>
      <c r="B1832" s="31" t="s">
        <v>11</v>
      </c>
      <c r="C1832" s="32"/>
      <c r="D1832" s="32"/>
      <c r="E1832" s="19" t="n">
        <f aca="false">+IF(C1832="EQUIPO",F1832,0)</f>
        <v>0</v>
      </c>
      <c r="F1832" s="33" t="n">
        <v>0</v>
      </c>
      <c r="G1832" s="62"/>
      <c r="H1832" s="35" t="n">
        <v>0</v>
      </c>
      <c r="I1832" s="34" t="n">
        <f aca="false">+IF(E1832=0,0,E1832*0.03)</f>
        <v>0</v>
      </c>
    </row>
    <row r="1833" customFormat="false" ht="15.75" hidden="false" customHeight="true" outlineLevel="0" collapsed="false">
      <c r="A1833" s="30" t="n">
        <v>45323</v>
      </c>
      <c r="B1833" s="31" t="s">
        <v>11</v>
      </c>
      <c r="C1833" s="32"/>
      <c r="D1833" s="32"/>
      <c r="E1833" s="19" t="n">
        <f aca="false">+IF(C1833="EQUIPO",F1833,0)</f>
        <v>0</v>
      </c>
      <c r="F1833" s="33" t="n">
        <v>0</v>
      </c>
      <c r="G1833" s="62"/>
      <c r="H1833" s="35" t="n">
        <v>0</v>
      </c>
      <c r="I1833" s="34" t="n">
        <f aca="false">+IF(E1833=0,0,E1833*0.03)</f>
        <v>0</v>
      </c>
    </row>
    <row r="1834" customFormat="false" ht="15.75" hidden="false" customHeight="true" outlineLevel="0" collapsed="false">
      <c r="A1834" s="30" t="n">
        <v>45323</v>
      </c>
      <c r="B1834" s="31" t="s">
        <v>11</v>
      </c>
      <c r="C1834" s="32"/>
      <c r="D1834" s="32"/>
      <c r="E1834" s="19" t="n">
        <f aca="false">+IF(C1834="EQUIPO",F1834,0)</f>
        <v>0</v>
      </c>
      <c r="F1834" s="33" t="n">
        <v>0</v>
      </c>
      <c r="G1834" s="62"/>
      <c r="H1834" s="35" t="n">
        <v>0</v>
      </c>
      <c r="I1834" s="34" t="n">
        <f aca="false">+IF(E1834=0,0,E1834*0.03)</f>
        <v>0</v>
      </c>
    </row>
    <row r="1835" customFormat="false" ht="15.75" hidden="false" customHeight="true" outlineLevel="0" collapsed="false">
      <c r="A1835" s="30" t="n">
        <v>45323</v>
      </c>
      <c r="B1835" s="31" t="s">
        <v>11</v>
      </c>
      <c r="C1835" s="32"/>
      <c r="D1835" s="32"/>
      <c r="E1835" s="19" t="n">
        <f aca="false">+IF(C1835="EQUIPO",F1835,0)</f>
        <v>0</v>
      </c>
      <c r="F1835" s="33" t="n">
        <v>0</v>
      </c>
      <c r="G1835" s="62"/>
      <c r="H1835" s="35" t="n">
        <v>0</v>
      </c>
      <c r="I1835" s="34" t="n">
        <f aca="false">+IF(E1835=0,0,E1835*0.03)</f>
        <v>0</v>
      </c>
    </row>
    <row r="1836" customFormat="false" ht="15.75" hidden="false" customHeight="true" outlineLevel="0" collapsed="false">
      <c r="A1836" s="30" t="n">
        <v>45323</v>
      </c>
      <c r="B1836" s="31" t="s">
        <v>11</v>
      </c>
      <c r="C1836" s="32"/>
      <c r="D1836" s="32"/>
      <c r="E1836" s="19" t="n">
        <f aca="false">+IF(C1836="EQUIPO",F1836,0)</f>
        <v>0</v>
      </c>
      <c r="F1836" s="33" t="n">
        <v>0</v>
      </c>
      <c r="G1836" s="62"/>
      <c r="H1836" s="35" t="n">
        <v>0</v>
      </c>
      <c r="I1836" s="34" t="n">
        <f aca="false">+IF(E1836=0,0,E1836*0.03)</f>
        <v>0</v>
      </c>
    </row>
    <row r="1837" customFormat="false" ht="15.75" hidden="false" customHeight="true" outlineLevel="0" collapsed="false">
      <c r="A1837" s="30" t="n">
        <v>45323</v>
      </c>
      <c r="B1837" s="31" t="s">
        <v>11</v>
      </c>
      <c r="C1837" s="32"/>
      <c r="D1837" s="32"/>
      <c r="E1837" s="19" t="n">
        <f aca="false">+IF(C1837="EQUIPO",F1837,0)</f>
        <v>0</v>
      </c>
      <c r="F1837" s="33" t="n">
        <v>0</v>
      </c>
      <c r="G1837" s="62"/>
      <c r="H1837" s="35" t="n">
        <v>0</v>
      </c>
      <c r="I1837" s="34" t="n">
        <f aca="false">+IF(E1837=0,0,E1837*0.03)</f>
        <v>0</v>
      </c>
    </row>
    <row r="1838" customFormat="false" ht="15.75" hidden="false" customHeight="true" outlineLevel="0" collapsed="false">
      <c r="A1838" s="30" t="n">
        <v>45323</v>
      </c>
      <c r="B1838" s="31" t="s">
        <v>11</v>
      </c>
      <c r="C1838" s="32"/>
      <c r="D1838" s="32"/>
      <c r="E1838" s="19" t="n">
        <f aca="false">+IF(C1838="EQUIPO",F1838,0)</f>
        <v>0</v>
      </c>
      <c r="F1838" s="33" t="n">
        <v>0</v>
      </c>
      <c r="G1838" s="62"/>
      <c r="H1838" s="35" t="n">
        <v>0</v>
      </c>
      <c r="I1838" s="34" t="n">
        <f aca="false">+IF(E1838=0,0,E1838*0.03)</f>
        <v>0</v>
      </c>
    </row>
    <row r="1839" customFormat="false" ht="15.75" hidden="false" customHeight="true" outlineLevel="0" collapsed="false">
      <c r="A1839" s="30" t="n">
        <v>45323</v>
      </c>
      <c r="B1839" s="31" t="s">
        <v>11</v>
      </c>
      <c r="C1839" s="32"/>
      <c r="D1839" s="32"/>
      <c r="E1839" s="19" t="n">
        <f aca="false">+IF(C1839="EQUIPO",F1839,0)</f>
        <v>0</v>
      </c>
      <c r="F1839" s="33" t="n">
        <v>0</v>
      </c>
      <c r="G1839" s="62"/>
      <c r="H1839" s="35" t="n">
        <v>0</v>
      </c>
      <c r="I1839" s="34" t="n">
        <f aca="false">+IF(E1839=0,0,E1839*0.03)</f>
        <v>0</v>
      </c>
    </row>
    <row r="1840" customFormat="false" ht="15.75" hidden="false" customHeight="true" outlineLevel="0" collapsed="false">
      <c r="A1840" s="30" t="n">
        <v>45323</v>
      </c>
      <c r="B1840" s="31" t="s">
        <v>11</v>
      </c>
      <c r="C1840" s="32"/>
      <c r="D1840" s="32"/>
      <c r="E1840" s="19" t="n">
        <f aca="false">+IF(C1840="EQUIPO",F1840,0)</f>
        <v>0</v>
      </c>
      <c r="F1840" s="33" t="n">
        <v>0</v>
      </c>
      <c r="G1840" s="62"/>
      <c r="H1840" s="35" t="n">
        <v>0</v>
      </c>
      <c r="I1840" s="34" t="n">
        <f aca="false">+IF(E1840=0,0,E1840*0.03)</f>
        <v>0</v>
      </c>
    </row>
    <row r="1841" customFormat="false" ht="15.75" hidden="false" customHeight="true" outlineLevel="0" collapsed="false">
      <c r="A1841" s="30" t="n">
        <v>45323</v>
      </c>
      <c r="B1841" s="31" t="s">
        <v>11</v>
      </c>
      <c r="C1841" s="32"/>
      <c r="D1841" s="32"/>
      <c r="E1841" s="19" t="n">
        <f aca="false">+IF(C1841="EQUIPO",F1841,0)</f>
        <v>0</v>
      </c>
      <c r="F1841" s="33" t="n">
        <v>0</v>
      </c>
      <c r="G1841" s="62"/>
      <c r="H1841" s="35" t="n">
        <v>0</v>
      </c>
      <c r="I1841" s="34" t="n">
        <f aca="false">+IF(E1841=0,0,E1841*0.03)</f>
        <v>0</v>
      </c>
    </row>
    <row r="1842" customFormat="false" ht="15.75" hidden="false" customHeight="true" outlineLevel="0" collapsed="false">
      <c r="A1842" s="30" t="n">
        <v>45323</v>
      </c>
      <c r="B1842" s="31" t="s">
        <v>11</v>
      </c>
      <c r="C1842" s="32"/>
      <c r="D1842" s="32"/>
      <c r="E1842" s="19" t="n">
        <f aca="false">+IF(C1842="EQUIPO",F1842,0)</f>
        <v>0</v>
      </c>
      <c r="F1842" s="33" t="n">
        <v>0</v>
      </c>
      <c r="G1842" s="62"/>
      <c r="H1842" s="35" t="n">
        <v>0</v>
      </c>
      <c r="I1842" s="34" t="n">
        <f aca="false">+IF(E1842=0,0,E1842*0.03)</f>
        <v>0</v>
      </c>
    </row>
    <row r="1843" customFormat="false" ht="15.75" hidden="false" customHeight="true" outlineLevel="0" collapsed="false">
      <c r="A1843" s="30" t="n">
        <v>45323</v>
      </c>
      <c r="B1843" s="31" t="s">
        <v>11</v>
      </c>
      <c r="C1843" s="32"/>
      <c r="D1843" s="32"/>
      <c r="E1843" s="19" t="n">
        <f aca="false">+IF(C1843="EQUIPO",F1843,0)</f>
        <v>0</v>
      </c>
      <c r="F1843" s="33" t="n">
        <v>0</v>
      </c>
      <c r="G1843" s="62"/>
      <c r="H1843" s="35" t="n">
        <v>0</v>
      </c>
      <c r="I1843" s="34" t="n">
        <f aca="false">+IF(E1843=0,0,E1843*0.03)</f>
        <v>0</v>
      </c>
    </row>
    <row r="1844" customFormat="false" ht="15.75" hidden="false" customHeight="true" outlineLevel="0" collapsed="false">
      <c r="A1844" s="30" t="n">
        <v>45323</v>
      </c>
      <c r="B1844" s="31" t="s">
        <v>11</v>
      </c>
      <c r="C1844" s="32"/>
      <c r="D1844" s="32"/>
      <c r="E1844" s="19" t="n">
        <f aca="false">+IF(C1844="EQUIPO",F1844,0)</f>
        <v>0</v>
      </c>
      <c r="F1844" s="33" t="n">
        <v>0</v>
      </c>
      <c r="G1844" s="62"/>
      <c r="H1844" s="35" t="n">
        <v>0</v>
      </c>
      <c r="I1844" s="34" t="n">
        <f aca="false">+IF(E1844=0,0,E1844*0.03)</f>
        <v>0</v>
      </c>
    </row>
    <row r="1845" customFormat="false" ht="15.75" hidden="false" customHeight="true" outlineLevel="0" collapsed="false">
      <c r="A1845" s="30" t="n">
        <v>45323</v>
      </c>
      <c r="B1845" s="31" t="s">
        <v>11</v>
      </c>
      <c r="C1845" s="32"/>
      <c r="D1845" s="32"/>
      <c r="E1845" s="19" t="n">
        <f aca="false">+IF(C1845="EQUIPO",F1845,0)</f>
        <v>0</v>
      </c>
      <c r="F1845" s="33" t="n">
        <v>0</v>
      </c>
      <c r="G1845" s="62"/>
      <c r="H1845" s="35" t="n">
        <v>0</v>
      </c>
      <c r="I1845" s="34" t="n">
        <f aca="false">+IF(E1845=0,0,E1845*0.03)</f>
        <v>0</v>
      </c>
    </row>
    <row r="1846" customFormat="false" ht="15.75" hidden="false" customHeight="true" outlineLevel="0" collapsed="false">
      <c r="A1846" s="30" t="n">
        <v>45323</v>
      </c>
      <c r="B1846" s="31" t="s">
        <v>11</v>
      </c>
      <c r="C1846" s="32"/>
      <c r="D1846" s="32"/>
      <c r="E1846" s="19" t="n">
        <f aca="false">+IF(C1846="EQUIPO",F1846,0)</f>
        <v>0</v>
      </c>
      <c r="F1846" s="33" t="n">
        <v>0</v>
      </c>
      <c r="G1846" s="62"/>
      <c r="H1846" s="35" t="n">
        <v>0</v>
      </c>
      <c r="I1846" s="34" t="n">
        <f aca="false">+IF(E1846=0,0,E1846*0.03)</f>
        <v>0</v>
      </c>
    </row>
    <row r="1847" customFormat="false" ht="15.75" hidden="false" customHeight="true" outlineLevel="0" collapsed="false">
      <c r="A1847" s="30" t="n">
        <v>45323</v>
      </c>
      <c r="B1847" s="31" t="s">
        <v>11</v>
      </c>
      <c r="C1847" s="32"/>
      <c r="D1847" s="32"/>
      <c r="E1847" s="19" t="n">
        <f aca="false">+IF(C1847="EQUIPO",F1847,0)</f>
        <v>0</v>
      </c>
      <c r="F1847" s="33" t="n">
        <v>0</v>
      </c>
      <c r="G1847" s="62"/>
      <c r="H1847" s="35" t="n">
        <v>0</v>
      </c>
      <c r="I1847" s="34" t="n">
        <f aca="false">+IF(E1847=0,0,E1847*0.03)</f>
        <v>0</v>
      </c>
    </row>
    <row r="1848" customFormat="false" ht="15.75" hidden="false" customHeight="true" outlineLevel="0" collapsed="false">
      <c r="A1848" s="30" t="n">
        <v>45323</v>
      </c>
      <c r="B1848" s="31" t="s">
        <v>11</v>
      </c>
      <c r="C1848" s="32"/>
      <c r="D1848" s="32"/>
      <c r="E1848" s="19" t="n">
        <f aca="false">+IF(C1848="EQUIPO",F1848,0)</f>
        <v>0</v>
      </c>
      <c r="F1848" s="33" t="n">
        <v>0</v>
      </c>
      <c r="G1848" s="62"/>
      <c r="H1848" s="35" t="n">
        <v>0</v>
      </c>
      <c r="I1848" s="34" t="n">
        <f aca="false">+IF(E1848=0,0,E1848*0.03)</f>
        <v>0</v>
      </c>
    </row>
    <row r="1849" customFormat="false" ht="15.75" hidden="false" customHeight="true" outlineLevel="0" collapsed="false">
      <c r="A1849" s="30" t="n">
        <v>45323</v>
      </c>
      <c r="B1849" s="31" t="s">
        <v>11</v>
      </c>
      <c r="C1849" s="32"/>
      <c r="D1849" s="32"/>
      <c r="E1849" s="19" t="n">
        <f aca="false">+IF(C1849="EQUIPO",F1849,0)</f>
        <v>0</v>
      </c>
      <c r="F1849" s="33" t="n">
        <v>0</v>
      </c>
      <c r="G1849" s="62"/>
      <c r="H1849" s="35" t="n">
        <v>0</v>
      </c>
      <c r="I1849" s="34" t="n">
        <f aca="false">+IF(E1849=0,0,E1849*0.03)</f>
        <v>0</v>
      </c>
    </row>
    <row r="1850" customFormat="false" ht="15.75" hidden="false" customHeight="true" outlineLevel="0" collapsed="false">
      <c r="A1850" s="30" t="n">
        <v>45323</v>
      </c>
      <c r="B1850" s="31" t="s">
        <v>11</v>
      </c>
      <c r="C1850" s="32"/>
      <c r="D1850" s="32"/>
      <c r="E1850" s="19" t="n">
        <f aca="false">+IF(C1850="EQUIPO",F1850,0)</f>
        <v>0</v>
      </c>
      <c r="F1850" s="33" t="n">
        <v>0</v>
      </c>
      <c r="G1850" s="62"/>
      <c r="H1850" s="35" t="n">
        <v>0</v>
      </c>
      <c r="I1850" s="34" t="n">
        <f aca="false">+IF(E1850=0,0,E1850*0.03)</f>
        <v>0</v>
      </c>
    </row>
    <row r="1851" customFormat="false" ht="15.75" hidden="false" customHeight="true" outlineLevel="0" collapsed="false">
      <c r="A1851" s="30" t="n">
        <v>45323</v>
      </c>
      <c r="B1851" s="31" t="s">
        <v>11</v>
      </c>
      <c r="C1851" s="32"/>
      <c r="D1851" s="32"/>
      <c r="E1851" s="19" t="n">
        <f aca="false">+IF(C1851="EQUIPO",F1851,0)</f>
        <v>0</v>
      </c>
      <c r="F1851" s="33" t="n">
        <v>0</v>
      </c>
      <c r="G1851" s="62"/>
      <c r="H1851" s="35" t="n">
        <v>0</v>
      </c>
      <c r="I1851" s="34" t="n">
        <f aca="false">+IF(E1851=0,0,E1851*0.03)</f>
        <v>0</v>
      </c>
    </row>
    <row r="1852" customFormat="false" ht="15.75" hidden="false" customHeight="true" outlineLevel="0" collapsed="false">
      <c r="A1852" s="30" t="n">
        <v>45323</v>
      </c>
      <c r="B1852" s="31" t="s">
        <v>11</v>
      </c>
      <c r="C1852" s="32"/>
      <c r="D1852" s="32"/>
      <c r="E1852" s="19" t="n">
        <f aca="false">+IF(C1852="EQUIPO",F1852,0)</f>
        <v>0</v>
      </c>
      <c r="F1852" s="33" t="n">
        <v>0</v>
      </c>
      <c r="G1852" s="62"/>
      <c r="H1852" s="35" t="n">
        <v>0</v>
      </c>
      <c r="I1852" s="34" t="n">
        <f aca="false">+IF(E1852=0,0,E1852*0.03)</f>
        <v>0</v>
      </c>
    </row>
    <row r="1853" customFormat="false" ht="15.75" hidden="false" customHeight="true" outlineLevel="0" collapsed="false">
      <c r="A1853" s="30" t="n">
        <v>45323</v>
      </c>
      <c r="B1853" s="31" t="s">
        <v>11</v>
      </c>
      <c r="C1853" s="32"/>
      <c r="D1853" s="32"/>
      <c r="E1853" s="19" t="n">
        <f aca="false">+IF(C1853="EQUIPO",F1853,0)</f>
        <v>0</v>
      </c>
      <c r="F1853" s="33" t="n">
        <v>0</v>
      </c>
      <c r="G1853" s="62"/>
      <c r="H1853" s="35" t="n">
        <v>0</v>
      </c>
      <c r="I1853" s="34" t="n">
        <f aca="false">+IF(E1853=0,0,E1853*0.03)</f>
        <v>0</v>
      </c>
    </row>
    <row r="1854" customFormat="false" ht="15.75" hidden="false" customHeight="true" outlineLevel="0" collapsed="false">
      <c r="A1854" s="30" t="n">
        <v>45323</v>
      </c>
      <c r="B1854" s="31" t="s">
        <v>11</v>
      </c>
      <c r="C1854" s="32"/>
      <c r="D1854" s="32"/>
      <c r="E1854" s="19" t="n">
        <f aca="false">+IF(C1854="EQUIPO",F1854,0)</f>
        <v>0</v>
      </c>
      <c r="F1854" s="33" t="n">
        <v>0</v>
      </c>
      <c r="G1854" s="62"/>
      <c r="H1854" s="35" t="n">
        <v>0</v>
      </c>
      <c r="I1854" s="34" t="n">
        <f aca="false">+IF(E1854=0,0,E1854*0.03)</f>
        <v>0</v>
      </c>
    </row>
    <row r="1855" customFormat="false" ht="15.75" hidden="false" customHeight="true" outlineLevel="0" collapsed="false">
      <c r="A1855" s="30" t="n">
        <v>45323</v>
      </c>
      <c r="B1855" s="31" t="s">
        <v>11</v>
      </c>
      <c r="C1855" s="32"/>
      <c r="D1855" s="32"/>
      <c r="E1855" s="19" t="n">
        <f aca="false">+IF(C1855="EQUIPO",F1855,0)</f>
        <v>0</v>
      </c>
      <c r="F1855" s="33" t="n">
        <v>0</v>
      </c>
      <c r="G1855" s="62"/>
      <c r="H1855" s="35" t="n">
        <v>0</v>
      </c>
      <c r="I1855" s="34" t="n">
        <f aca="false">+IF(E1855=0,0,E1855*0.03)</f>
        <v>0</v>
      </c>
    </row>
    <row r="1856" customFormat="false" ht="15.75" hidden="false" customHeight="true" outlineLevel="0" collapsed="false">
      <c r="A1856" s="30" t="n">
        <v>45323</v>
      </c>
      <c r="B1856" s="31" t="s">
        <v>11</v>
      </c>
      <c r="C1856" s="32"/>
      <c r="D1856" s="32"/>
      <c r="E1856" s="19" t="n">
        <f aca="false">+IF(C1856="EQUIPO",F1856,0)</f>
        <v>0</v>
      </c>
      <c r="F1856" s="33" t="n">
        <v>0</v>
      </c>
      <c r="G1856" s="62"/>
      <c r="H1856" s="35" t="n">
        <v>0</v>
      </c>
      <c r="I1856" s="34" t="n">
        <f aca="false">+IF(E1856=0,0,E1856*0.03)</f>
        <v>0</v>
      </c>
    </row>
    <row r="1857" customFormat="false" ht="15.75" hidden="false" customHeight="true" outlineLevel="0" collapsed="false">
      <c r="A1857" s="30" t="n">
        <v>45323</v>
      </c>
      <c r="B1857" s="31" t="s">
        <v>11</v>
      </c>
      <c r="C1857" s="32"/>
      <c r="D1857" s="32"/>
      <c r="E1857" s="19" t="n">
        <f aca="false">+IF(C1857="EQUIPO",F1857,0)</f>
        <v>0</v>
      </c>
      <c r="F1857" s="33" t="n">
        <v>0</v>
      </c>
      <c r="G1857" s="62"/>
      <c r="H1857" s="35" t="n">
        <v>0</v>
      </c>
      <c r="I1857" s="34" t="n">
        <f aca="false">+IF(E1857=0,0,E1857*0.03)</f>
        <v>0</v>
      </c>
    </row>
    <row r="1858" customFormat="false" ht="15.75" hidden="false" customHeight="true" outlineLevel="0" collapsed="false">
      <c r="A1858" s="30" t="n">
        <v>45323</v>
      </c>
      <c r="B1858" s="31" t="s">
        <v>11</v>
      </c>
      <c r="C1858" s="32"/>
      <c r="D1858" s="32"/>
      <c r="E1858" s="19" t="n">
        <f aca="false">+IF(C1858="EQUIPO",F1858,0)</f>
        <v>0</v>
      </c>
      <c r="F1858" s="33" t="n">
        <v>0</v>
      </c>
      <c r="G1858" s="62"/>
      <c r="H1858" s="35" t="n">
        <v>0</v>
      </c>
      <c r="I1858" s="34" t="n">
        <f aca="false">+IF(E1858=0,0,E1858*0.03)</f>
        <v>0</v>
      </c>
    </row>
    <row r="1859" customFormat="false" ht="15.75" hidden="false" customHeight="true" outlineLevel="0" collapsed="false">
      <c r="A1859" s="30" t="n">
        <v>45323</v>
      </c>
      <c r="B1859" s="31" t="s">
        <v>11</v>
      </c>
      <c r="C1859" s="32"/>
      <c r="D1859" s="32"/>
      <c r="E1859" s="19" t="n">
        <f aca="false">+IF(C1859="EQUIPO",F1859,0)</f>
        <v>0</v>
      </c>
      <c r="F1859" s="33" t="n">
        <v>0</v>
      </c>
      <c r="G1859" s="62"/>
      <c r="H1859" s="35" t="n">
        <v>0</v>
      </c>
      <c r="I1859" s="34" t="n">
        <f aca="false">+IF(E1859=0,0,E1859*0.03)</f>
        <v>0</v>
      </c>
    </row>
    <row r="1860" customFormat="false" ht="15.75" hidden="false" customHeight="true" outlineLevel="0" collapsed="false">
      <c r="A1860" s="30" t="n">
        <v>45323</v>
      </c>
      <c r="B1860" s="31" t="s">
        <v>11</v>
      </c>
      <c r="C1860" s="32"/>
      <c r="D1860" s="32"/>
      <c r="E1860" s="19" t="n">
        <f aca="false">+IF(C1860="EQUIPO",F1860,0)</f>
        <v>0</v>
      </c>
      <c r="F1860" s="33" t="n">
        <v>0</v>
      </c>
      <c r="G1860" s="62"/>
      <c r="H1860" s="35" t="n">
        <v>0</v>
      </c>
      <c r="I1860" s="34" t="n">
        <f aca="false">+IF(E1860=0,0,E1860*0.03)</f>
        <v>0</v>
      </c>
    </row>
    <row r="1861" customFormat="false" ht="15.75" hidden="false" customHeight="true" outlineLevel="0" collapsed="false">
      <c r="A1861" s="30" t="n">
        <v>45323</v>
      </c>
      <c r="B1861" s="31" t="s">
        <v>11</v>
      </c>
      <c r="C1861" s="32"/>
      <c r="D1861" s="32"/>
      <c r="E1861" s="19" t="n">
        <f aca="false">+IF(C1861="EQUIPO",F1861,0)</f>
        <v>0</v>
      </c>
      <c r="F1861" s="33" t="n">
        <v>0</v>
      </c>
      <c r="G1861" s="62"/>
      <c r="H1861" s="35" t="n">
        <v>0</v>
      </c>
      <c r="I1861" s="34" t="n">
        <f aca="false">+IF(E1861=0,0,E1861*0.03)</f>
        <v>0</v>
      </c>
    </row>
    <row r="1862" customFormat="false" ht="15.75" hidden="false" customHeight="true" outlineLevel="0" collapsed="false">
      <c r="A1862" s="30" t="n">
        <v>45323</v>
      </c>
      <c r="B1862" s="31" t="s">
        <v>11</v>
      </c>
      <c r="C1862" s="32"/>
      <c r="D1862" s="32"/>
      <c r="E1862" s="19" t="n">
        <f aca="false">+IF(C1862="EQUIPO",F1862,0)</f>
        <v>0</v>
      </c>
      <c r="F1862" s="33" t="n">
        <v>0</v>
      </c>
      <c r="G1862" s="62"/>
      <c r="H1862" s="35" t="n">
        <v>0</v>
      </c>
      <c r="I1862" s="34" t="n">
        <f aca="false">+IF(E1862=0,0,E1862*0.03)</f>
        <v>0</v>
      </c>
    </row>
    <row r="1863" customFormat="false" ht="15.75" hidden="false" customHeight="true" outlineLevel="0" collapsed="false">
      <c r="A1863" s="30" t="n">
        <v>45323</v>
      </c>
      <c r="B1863" s="31" t="s">
        <v>11</v>
      </c>
      <c r="C1863" s="32"/>
      <c r="D1863" s="32"/>
      <c r="E1863" s="19" t="n">
        <f aca="false">+IF(C1863="EQUIPO",F1863,0)</f>
        <v>0</v>
      </c>
      <c r="F1863" s="33" t="n">
        <v>0</v>
      </c>
      <c r="G1863" s="62"/>
      <c r="H1863" s="35" t="n">
        <v>0</v>
      </c>
      <c r="I1863" s="34" t="n">
        <f aca="false">+IF(E1863=0,0,E1863*0.03)</f>
        <v>0</v>
      </c>
    </row>
    <row r="1864" customFormat="false" ht="15.75" hidden="false" customHeight="true" outlineLevel="0" collapsed="false">
      <c r="A1864" s="30" t="n">
        <v>45323</v>
      </c>
      <c r="B1864" s="31" t="s">
        <v>11</v>
      </c>
      <c r="C1864" s="32"/>
      <c r="D1864" s="32"/>
      <c r="E1864" s="19" t="n">
        <f aca="false">+IF(C1864="EQUIPO",F1864,0)</f>
        <v>0</v>
      </c>
      <c r="F1864" s="33" t="n">
        <v>0</v>
      </c>
      <c r="G1864" s="62"/>
      <c r="H1864" s="35" t="n">
        <v>0</v>
      </c>
      <c r="I1864" s="34" t="n">
        <f aca="false">+IF(E1864=0,0,E1864*0.03)</f>
        <v>0</v>
      </c>
    </row>
    <row r="1865" customFormat="false" ht="15.75" hidden="false" customHeight="true" outlineLevel="0" collapsed="false">
      <c r="A1865" s="30" t="n">
        <v>45323</v>
      </c>
      <c r="B1865" s="31" t="s">
        <v>11</v>
      </c>
      <c r="C1865" s="32"/>
      <c r="D1865" s="32"/>
      <c r="E1865" s="19" t="n">
        <f aca="false">+IF(C1865="EQUIPO",F1865,0)</f>
        <v>0</v>
      </c>
      <c r="F1865" s="33" t="n">
        <v>0</v>
      </c>
      <c r="G1865" s="62"/>
      <c r="H1865" s="35" t="n">
        <v>0</v>
      </c>
      <c r="I1865" s="34" t="n">
        <f aca="false">+IF(E1865=0,0,E1865*0.03)</f>
        <v>0</v>
      </c>
    </row>
    <row r="1866" customFormat="false" ht="15.75" hidden="false" customHeight="true" outlineLevel="0" collapsed="false">
      <c r="A1866" s="30" t="n">
        <v>45323</v>
      </c>
      <c r="B1866" s="31" t="s">
        <v>11</v>
      </c>
      <c r="C1866" s="32"/>
      <c r="D1866" s="32"/>
      <c r="E1866" s="19" t="n">
        <f aca="false">+IF(C1866="EQUIPO",F1866,0)</f>
        <v>0</v>
      </c>
      <c r="F1866" s="33" t="n">
        <v>0</v>
      </c>
      <c r="G1866" s="62"/>
      <c r="H1866" s="35" t="n">
        <v>0</v>
      </c>
      <c r="I1866" s="34" t="n">
        <f aca="false">+IF(E1866=0,0,E1866*0.03)</f>
        <v>0</v>
      </c>
    </row>
    <row r="1867" customFormat="false" ht="15.75" hidden="false" customHeight="true" outlineLevel="0" collapsed="false">
      <c r="A1867" s="30" t="n">
        <v>45323</v>
      </c>
      <c r="B1867" s="31" t="s">
        <v>11</v>
      </c>
      <c r="C1867" s="32"/>
      <c r="D1867" s="32"/>
      <c r="E1867" s="19" t="n">
        <f aca="false">+IF(C1867="EQUIPO",F1867,0)</f>
        <v>0</v>
      </c>
      <c r="F1867" s="33" t="n">
        <v>0</v>
      </c>
      <c r="G1867" s="62"/>
      <c r="H1867" s="35" t="n">
        <v>0</v>
      </c>
      <c r="I1867" s="34" t="n">
        <f aca="false">+IF(E1867=0,0,E1867*0.03)</f>
        <v>0</v>
      </c>
    </row>
    <row r="1868" customFormat="false" ht="15.75" hidden="false" customHeight="true" outlineLevel="0" collapsed="false">
      <c r="A1868" s="30" t="n">
        <v>45323</v>
      </c>
      <c r="B1868" s="31" t="s">
        <v>11</v>
      </c>
      <c r="C1868" s="32"/>
      <c r="D1868" s="32"/>
      <c r="E1868" s="19" t="n">
        <f aca="false">+IF(C1868="EQUIPO",F1868,0)</f>
        <v>0</v>
      </c>
      <c r="F1868" s="33" t="n">
        <v>0</v>
      </c>
      <c r="G1868" s="62"/>
      <c r="H1868" s="35" t="n">
        <v>0</v>
      </c>
      <c r="I1868" s="34" t="n">
        <f aca="false">+IF(E1868=0,0,E1868*0.03)</f>
        <v>0</v>
      </c>
    </row>
    <row r="1869" customFormat="false" ht="15.75" hidden="false" customHeight="true" outlineLevel="0" collapsed="false">
      <c r="A1869" s="30" t="n">
        <v>45323</v>
      </c>
      <c r="B1869" s="31" t="s">
        <v>11</v>
      </c>
      <c r="C1869" s="32"/>
      <c r="D1869" s="32"/>
      <c r="E1869" s="19" t="n">
        <f aca="false">+IF(C1869="EQUIPO",F1869,0)</f>
        <v>0</v>
      </c>
      <c r="F1869" s="33" t="n">
        <v>0</v>
      </c>
      <c r="G1869" s="62"/>
      <c r="H1869" s="35" t="n">
        <v>0</v>
      </c>
      <c r="I1869" s="34" t="n">
        <f aca="false">+IF(E1869=0,0,E1869*0.03)</f>
        <v>0</v>
      </c>
    </row>
    <row r="1870" customFormat="false" ht="15.75" hidden="false" customHeight="true" outlineLevel="0" collapsed="false">
      <c r="A1870" s="30" t="n">
        <v>45323</v>
      </c>
      <c r="B1870" s="31" t="s">
        <v>11</v>
      </c>
      <c r="C1870" s="32"/>
      <c r="D1870" s="32"/>
      <c r="E1870" s="19" t="n">
        <f aca="false">+IF(C1870="EQUIPO",F1870,0)</f>
        <v>0</v>
      </c>
      <c r="F1870" s="33" t="n">
        <v>0</v>
      </c>
      <c r="G1870" s="62"/>
      <c r="H1870" s="35" t="n">
        <v>0</v>
      </c>
      <c r="I1870" s="34" t="n">
        <f aca="false">+IF(E1870=0,0,E1870*0.03)</f>
        <v>0</v>
      </c>
    </row>
    <row r="1871" customFormat="false" ht="15.75" hidden="false" customHeight="true" outlineLevel="0" collapsed="false">
      <c r="A1871" s="30" t="n">
        <v>45323</v>
      </c>
      <c r="B1871" s="31" t="s">
        <v>11</v>
      </c>
      <c r="C1871" s="32"/>
      <c r="D1871" s="32"/>
      <c r="E1871" s="19" t="n">
        <f aca="false">+IF(C1871="EQUIPO",F1871,0)</f>
        <v>0</v>
      </c>
      <c r="F1871" s="33" t="n">
        <v>0</v>
      </c>
      <c r="G1871" s="62"/>
      <c r="H1871" s="35" t="n">
        <v>0</v>
      </c>
      <c r="I1871" s="34" t="n">
        <f aca="false">+IF(E1871=0,0,E1871*0.03)</f>
        <v>0</v>
      </c>
    </row>
    <row r="1872" customFormat="false" ht="15.75" hidden="false" customHeight="true" outlineLevel="0" collapsed="false">
      <c r="A1872" s="30" t="n">
        <v>45323</v>
      </c>
      <c r="B1872" s="31" t="s">
        <v>11</v>
      </c>
      <c r="C1872" s="32"/>
      <c r="D1872" s="32"/>
      <c r="E1872" s="19" t="n">
        <f aca="false">+IF(C1872="EQUIPO",F1872,0)</f>
        <v>0</v>
      </c>
      <c r="F1872" s="33" t="n">
        <v>0</v>
      </c>
      <c r="G1872" s="62"/>
      <c r="H1872" s="35" t="n">
        <v>0</v>
      </c>
      <c r="I1872" s="34" t="n">
        <f aca="false">+IF(E1872=0,0,E1872*0.03)</f>
        <v>0</v>
      </c>
    </row>
    <row r="1873" customFormat="false" ht="15.75" hidden="false" customHeight="true" outlineLevel="0" collapsed="false">
      <c r="A1873" s="30" t="n">
        <v>45323</v>
      </c>
      <c r="B1873" s="31" t="s">
        <v>11</v>
      </c>
      <c r="C1873" s="32"/>
      <c r="D1873" s="32"/>
      <c r="E1873" s="19" t="n">
        <f aca="false">+IF(C1873="EQUIPO",F1873,0)</f>
        <v>0</v>
      </c>
      <c r="F1873" s="33" t="n">
        <v>0</v>
      </c>
      <c r="G1873" s="62"/>
      <c r="H1873" s="35" t="n">
        <v>0</v>
      </c>
      <c r="I1873" s="34" t="n">
        <f aca="false">+IF(E1873=0,0,E1873*0.03)</f>
        <v>0</v>
      </c>
    </row>
    <row r="1874" customFormat="false" ht="15.75" hidden="false" customHeight="true" outlineLevel="0" collapsed="false">
      <c r="A1874" s="30" t="n">
        <v>45323</v>
      </c>
      <c r="B1874" s="31" t="s">
        <v>11</v>
      </c>
      <c r="C1874" s="32"/>
      <c r="D1874" s="32"/>
      <c r="E1874" s="19" t="n">
        <f aca="false">+IF(C1874="EQUIPO",F1874,0)</f>
        <v>0</v>
      </c>
      <c r="F1874" s="33" t="n">
        <v>0</v>
      </c>
      <c r="G1874" s="62"/>
      <c r="H1874" s="35" t="n">
        <v>0</v>
      </c>
      <c r="I1874" s="34" t="n">
        <f aca="false">+IF(E1874=0,0,E1874*0.03)</f>
        <v>0</v>
      </c>
    </row>
    <row r="1875" customFormat="false" ht="15.75" hidden="false" customHeight="true" outlineLevel="0" collapsed="false">
      <c r="A1875" s="30" t="n">
        <v>45323</v>
      </c>
      <c r="B1875" s="31" t="s">
        <v>11</v>
      </c>
      <c r="C1875" s="32"/>
      <c r="D1875" s="32"/>
      <c r="E1875" s="19" t="n">
        <f aca="false">+IF(C1875="EQUIPO",F1875,0)</f>
        <v>0</v>
      </c>
      <c r="F1875" s="33" t="n">
        <v>0</v>
      </c>
      <c r="G1875" s="62"/>
      <c r="H1875" s="35" t="n">
        <v>0</v>
      </c>
      <c r="I1875" s="34" t="n">
        <f aca="false">+IF(E1875=0,0,E1875*0.03)</f>
        <v>0</v>
      </c>
    </row>
    <row r="1876" customFormat="false" ht="15.75" hidden="false" customHeight="true" outlineLevel="0" collapsed="false">
      <c r="A1876" s="30" t="n">
        <v>45323</v>
      </c>
      <c r="B1876" s="31" t="s">
        <v>11</v>
      </c>
      <c r="C1876" s="32"/>
      <c r="D1876" s="32"/>
      <c r="E1876" s="19" t="n">
        <f aca="false">+IF(C1876="EQUIPO",F1876,0)</f>
        <v>0</v>
      </c>
      <c r="F1876" s="33" t="n">
        <v>0</v>
      </c>
      <c r="G1876" s="62"/>
      <c r="H1876" s="35" t="n">
        <v>0</v>
      </c>
      <c r="I1876" s="34" t="n">
        <f aca="false">+IF(E1876=0,0,E1876*0.03)</f>
        <v>0</v>
      </c>
    </row>
    <row r="1877" customFormat="false" ht="15.75" hidden="false" customHeight="true" outlineLevel="0" collapsed="false">
      <c r="A1877" s="30" t="n">
        <v>45323</v>
      </c>
      <c r="B1877" s="31" t="s">
        <v>11</v>
      </c>
      <c r="C1877" s="32"/>
      <c r="D1877" s="32"/>
      <c r="E1877" s="19" t="n">
        <f aca="false">+IF(C1877="EQUIPO",F1877,0)</f>
        <v>0</v>
      </c>
      <c r="F1877" s="33" t="n">
        <v>0</v>
      </c>
      <c r="G1877" s="62"/>
      <c r="H1877" s="35" t="n">
        <v>0</v>
      </c>
      <c r="I1877" s="34" t="n">
        <f aca="false">+IF(E1877=0,0,E1877*0.03)</f>
        <v>0</v>
      </c>
    </row>
    <row r="1878" customFormat="false" ht="15.75" hidden="false" customHeight="true" outlineLevel="0" collapsed="false">
      <c r="A1878" s="30" t="n">
        <v>45323</v>
      </c>
      <c r="B1878" s="31" t="s">
        <v>11</v>
      </c>
      <c r="C1878" s="32"/>
      <c r="D1878" s="32"/>
      <c r="E1878" s="19" t="n">
        <f aca="false">+IF(C1878="EQUIPO",F1878,0)</f>
        <v>0</v>
      </c>
      <c r="F1878" s="33" t="n">
        <v>0</v>
      </c>
      <c r="G1878" s="62"/>
      <c r="H1878" s="35" t="n">
        <v>0</v>
      </c>
      <c r="I1878" s="34" t="n">
        <f aca="false">+IF(E1878=0,0,E1878*0.03)</f>
        <v>0</v>
      </c>
    </row>
    <row r="1879" customFormat="false" ht="15.75" hidden="false" customHeight="true" outlineLevel="0" collapsed="false">
      <c r="A1879" s="30" t="n">
        <v>45323</v>
      </c>
      <c r="B1879" s="31" t="s">
        <v>11</v>
      </c>
      <c r="C1879" s="32"/>
      <c r="D1879" s="32"/>
      <c r="E1879" s="19" t="n">
        <f aca="false">+IF(C1879="EQUIPO",F1879,0)</f>
        <v>0</v>
      </c>
      <c r="F1879" s="33" t="n">
        <v>0</v>
      </c>
      <c r="G1879" s="62"/>
      <c r="H1879" s="35" t="n">
        <v>0</v>
      </c>
      <c r="I1879" s="34" t="n">
        <f aca="false">+IF(E1879=0,0,E1879*0.03)</f>
        <v>0</v>
      </c>
    </row>
    <row r="1880" customFormat="false" ht="15.75" hidden="false" customHeight="true" outlineLevel="0" collapsed="false">
      <c r="A1880" s="30" t="n">
        <v>45323</v>
      </c>
      <c r="B1880" s="31" t="s">
        <v>11</v>
      </c>
      <c r="C1880" s="32"/>
      <c r="D1880" s="32"/>
      <c r="E1880" s="19" t="n">
        <f aca="false">+IF(C1880="EQUIPO",F1880,0)</f>
        <v>0</v>
      </c>
      <c r="F1880" s="33" t="n">
        <v>0</v>
      </c>
      <c r="G1880" s="62"/>
      <c r="H1880" s="35" t="n">
        <v>0</v>
      </c>
      <c r="I1880" s="34" t="n">
        <f aca="false">+IF(E1880=0,0,E1880*0.03)</f>
        <v>0</v>
      </c>
    </row>
    <row r="1881" customFormat="false" ht="15.75" hidden="false" customHeight="true" outlineLevel="0" collapsed="false">
      <c r="A1881" s="30" t="n">
        <v>45323</v>
      </c>
      <c r="B1881" s="31" t="s">
        <v>11</v>
      </c>
      <c r="C1881" s="32"/>
      <c r="D1881" s="32"/>
      <c r="E1881" s="19" t="n">
        <f aca="false">+IF(C1881="EQUIPO",F1881,0)</f>
        <v>0</v>
      </c>
      <c r="F1881" s="33" t="n">
        <v>0</v>
      </c>
      <c r="G1881" s="62"/>
      <c r="H1881" s="35" t="n">
        <v>0</v>
      </c>
      <c r="I1881" s="34" t="n">
        <f aca="false">+IF(E1881=0,0,E1881*0.03)</f>
        <v>0</v>
      </c>
    </row>
    <row r="1882" customFormat="false" ht="15.75" hidden="false" customHeight="true" outlineLevel="0" collapsed="false">
      <c r="A1882" s="30" t="n">
        <v>45323</v>
      </c>
      <c r="B1882" s="31" t="s">
        <v>11</v>
      </c>
      <c r="C1882" s="32"/>
      <c r="D1882" s="32"/>
      <c r="E1882" s="19" t="n">
        <f aca="false">+IF(C1882="EQUIPO",F1882,0)</f>
        <v>0</v>
      </c>
      <c r="F1882" s="33" t="n">
        <v>0</v>
      </c>
      <c r="G1882" s="62"/>
      <c r="H1882" s="35" t="n">
        <v>0</v>
      </c>
      <c r="I1882" s="34" t="n">
        <f aca="false">+IF(E1882=0,0,E1882*0.03)</f>
        <v>0</v>
      </c>
    </row>
    <row r="1883" customFormat="false" ht="15.75" hidden="false" customHeight="true" outlineLevel="0" collapsed="false">
      <c r="A1883" s="30" t="n">
        <v>45323</v>
      </c>
      <c r="B1883" s="31" t="s">
        <v>11</v>
      </c>
      <c r="C1883" s="32"/>
      <c r="D1883" s="32"/>
      <c r="E1883" s="19" t="n">
        <f aca="false">+IF(C1883="EQUIPO",F1883,0)</f>
        <v>0</v>
      </c>
      <c r="F1883" s="33" t="n">
        <v>0</v>
      </c>
      <c r="G1883" s="62"/>
      <c r="H1883" s="35" t="n">
        <v>0</v>
      </c>
      <c r="I1883" s="34" t="n">
        <f aca="false">+IF(E1883=0,0,E1883*0.03)</f>
        <v>0</v>
      </c>
    </row>
    <row r="1884" customFormat="false" ht="15.75" hidden="false" customHeight="true" outlineLevel="0" collapsed="false">
      <c r="A1884" s="30" t="n">
        <v>45323</v>
      </c>
      <c r="B1884" s="31" t="s">
        <v>11</v>
      </c>
      <c r="C1884" s="32"/>
      <c r="D1884" s="32"/>
      <c r="E1884" s="19" t="n">
        <f aca="false">+IF(C1884="EQUIPO",F1884,0)</f>
        <v>0</v>
      </c>
      <c r="F1884" s="33" t="n">
        <v>0</v>
      </c>
      <c r="G1884" s="62"/>
      <c r="H1884" s="35" t="n">
        <v>0</v>
      </c>
      <c r="I1884" s="34" t="n">
        <f aca="false">+IF(E1884=0,0,E1884*0.03)</f>
        <v>0</v>
      </c>
    </row>
    <row r="1885" customFormat="false" ht="15.75" hidden="false" customHeight="true" outlineLevel="0" collapsed="false">
      <c r="A1885" s="30" t="n">
        <v>45323</v>
      </c>
      <c r="B1885" s="31" t="s">
        <v>11</v>
      </c>
      <c r="C1885" s="32"/>
      <c r="D1885" s="32"/>
      <c r="E1885" s="19" t="n">
        <f aca="false">+IF(C1885="EQUIPO",F1885,0)</f>
        <v>0</v>
      </c>
      <c r="F1885" s="33" t="n">
        <v>0</v>
      </c>
      <c r="G1885" s="62"/>
      <c r="H1885" s="35" t="n">
        <v>0</v>
      </c>
      <c r="I1885" s="34" t="n">
        <f aca="false">+IF(E1885=0,0,E1885*0.03)</f>
        <v>0</v>
      </c>
    </row>
    <row r="1886" customFormat="false" ht="15.75" hidden="false" customHeight="true" outlineLevel="0" collapsed="false">
      <c r="A1886" s="30" t="n">
        <v>45323</v>
      </c>
      <c r="B1886" s="31" t="s">
        <v>11</v>
      </c>
      <c r="C1886" s="32"/>
      <c r="D1886" s="32"/>
      <c r="E1886" s="19" t="n">
        <f aca="false">+IF(C1886="EQUIPO",F1886,0)</f>
        <v>0</v>
      </c>
      <c r="F1886" s="33" t="n">
        <v>0</v>
      </c>
      <c r="G1886" s="62"/>
      <c r="H1886" s="35" t="n">
        <v>0</v>
      </c>
      <c r="I1886" s="34" t="n">
        <f aca="false">+IF(E1886=0,0,E1886*0.03)</f>
        <v>0</v>
      </c>
    </row>
    <row r="1887" customFormat="false" ht="15.75" hidden="false" customHeight="true" outlineLevel="0" collapsed="false">
      <c r="A1887" s="30" t="n">
        <v>45323</v>
      </c>
      <c r="B1887" s="31" t="s">
        <v>11</v>
      </c>
      <c r="C1887" s="32"/>
      <c r="D1887" s="32"/>
      <c r="E1887" s="19" t="n">
        <f aca="false">+IF(C1887="EQUIPO",F1887,0)</f>
        <v>0</v>
      </c>
      <c r="F1887" s="33" t="n">
        <v>0</v>
      </c>
      <c r="G1887" s="62"/>
      <c r="H1887" s="35" t="n">
        <v>0</v>
      </c>
      <c r="I1887" s="34" t="n">
        <f aca="false">+IF(E1887=0,0,E1887*0.03)</f>
        <v>0</v>
      </c>
    </row>
    <row r="1888" customFormat="false" ht="15.75" hidden="false" customHeight="true" outlineLevel="0" collapsed="false">
      <c r="A1888" s="30" t="n">
        <v>45323</v>
      </c>
      <c r="B1888" s="31" t="s">
        <v>11</v>
      </c>
      <c r="C1888" s="32"/>
      <c r="D1888" s="32"/>
      <c r="E1888" s="19" t="n">
        <f aca="false">+IF(C1888="EQUIPO",F1888,0)</f>
        <v>0</v>
      </c>
      <c r="F1888" s="33" t="n">
        <v>0</v>
      </c>
      <c r="G1888" s="62"/>
      <c r="H1888" s="35" t="n">
        <v>0</v>
      </c>
      <c r="I1888" s="34" t="n">
        <f aca="false">+IF(E1888=0,0,E1888*0.03)</f>
        <v>0</v>
      </c>
    </row>
    <row r="1889" customFormat="false" ht="15.75" hidden="false" customHeight="true" outlineLevel="0" collapsed="false">
      <c r="A1889" s="30" t="n">
        <v>45323</v>
      </c>
      <c r="B1889" s="31" t="s">
        <v>11</v>
      </c>
      <c r="C1889" s="32"/>
      <c r="D1889" s="32"/>
      <c r="E1889" s="19" t="n">
        <f aca="false">+IF(C1889="EQUIPO",F1889,0)</f>
        <v>0</v>
      </c>
      <c r="F1889" s="33" t="n">
        <v>0</v>
      </c>
      <c r="G1889" s="62"/>
      <c r="H1889" s="35" t="n">
        <v>0</v>
      </c>
      <c r="I1889" s="34" t="n">
        <f aca="false">+IF(E1889=0,0,E1889*0.03)</f>
        <v>0</v>
      </c>
    </row>
    <row r="1890" customFormat="false" ht="15.75" hidden="false" customHeight="true" outlineLevel="0" collapsed="false">
      <c r="A1890" s="30" t="n">
        <v>45323</v>
      </c>
      <c r="B1890" s="31" t="s">
        <v>11</v>
      </c>
      <c r="C1890" s="32"/>
      <c r="D1890" s="32"/>
      <c r="E1890" s="19" t="n">
        <f aca="false">+IF(C1890="EQUIPO",F1890,0)</f>
        <v>0</v>
      </c>
      <c r="F1890" s="33" t="n">
        <v>0</v>
      </c>
      <c r="G1890" s="62"/>
      <c r="H1890" s="35" t="n">
        <v>0</v>
      </c>
      <c r="I1890" s="34" t="n">
        <f aca="false">+IF(E1890=0,0,E1890*0.03)</f>
        <v>0</v>
      </c>
    </row>
    <row r="1891" customFormat="false" ht="15.75" hidden="false" customHeight="true" outlineLevel="0" collapsed="false">
      <c r="A1891" s="30" t="n">
        <v>45323</v>
      </c>
      <c r="B1891" s="31" t="s">
        <v>11</v>
      </c>
      <c r="C1891" s="32"/>
      <c r="D1891" s="32"/>
      <c r="E1891" s="19" t="n">
        <f aca="false">+IF(C1891="EQUIPO",F1891,0)</f>
        <v>0</v>
      </c>
      <c r="F1891" s="33" t="n">
        <v>0</v>
      </c>
      <c r="G1891" s="62"/>
      <c r="H1891" s="35" t="n">
        <v>0</v>
      </c>
      <c r="I1891" s="34" t="n">
        <f aca="false">+IF(E1891=0,0,E1891*0.03)</f>
        <v>0</v>
      </c>
    </row>
    <row r="1892" customFormat="false" ht="15.75" hidden="false" customHeight="true" outlineLevel="0" collapsed="false">
      <c r="A1892" s="30" t="n">
        <v>45323</v>
      </c>
      <c r="B1892" s="31" t="s">
        <v>11</v>
      </c>
      <c r="C1892" s="32"/>
      <c r="D1892" s="32"/>
      <c r="E1892" s="19" t="n">
        <f aca="false">+IF(C1892="EQUIPO",F1892,0)</f>
        <v>0</v>
      </c>
      <c r="F1892" s="33" t="n">
        <v>0</v>
      </c>
      <c r="G1892" s="62"/>
      <c r="H1892" s="35" t="n">
        <v>0</v>
      </c>
      <c r="I1892" s="34" t="n">
        <f aca="false">+IF(E1892=0,0,E1892*0.03)</f>
        <v>0</v>
      </c>
    </row>
    <row r="1893" customFormat="false" ht="15.75" hidden="false" customHeight="true" outlineLevel="0" collapsed="false">
      <c r="A1893" s="30" t="n">
        <v>45323</v>
      </c>
      <c r="B1893" s="31" t="s">
        <v>11</v>
      </c>
      <c r="C1893" s="32"/>
      <c r="D1893" s="32"/>
      <c r="E1893" s="19" t="n">
        <f aca="false">+IF(C1893="EQUIPO",F1893,0)</f>
        <v>0</v>
      </c>
      <c r="F1893" s="33" t="n">
        <v>0</v>
      </c>
      <c r="G1893" s="62"/>
      <c r="H1893" s="35" t="n">
        <v>0</v>
      </c>
      <c r="I1893" s="34" t="n">
        <f aca="false">+IF(E1893=0,0,E1893*0.03)</f>
        <v>0</v>
      </c>
    </row>
    <row r="1894" customFormat="false" ht="15.75" hidden="false" customHeight="true" outlineLevel="0" collapsed="false">
      <c r="A1894" s="30" t="n">
        <v>45323</v>
      </c>
      <c r="B1894" s="31" t="s">
        <v>11</v>
      </c>
      <c r="C1894" s="32"/>
      <c r="D1894" s="32"/>
      <c r="E1894" s="19" t="n">
        <f aca="false">+IF(C1894="EQUIPO",F1894,0)</f>
        <v>0</v>
      </c>
      <c r="F1894" s="33" t="n">
        <v>0</v>
      </c>
      <c r="G1894" s="62"/>
      <c r="H1894" s="35" t="n">
        <v>0</v>
      </c>
      <c r="I1894" s="34" t="n">
        <f aca="false">+IF(E1894=0,0,E1894*0.03)</f>
        <v>0</v>
      </c>
    </row>
    <row r="1895" customFormat="false" ht="15.75" hidden="false" customHeight="true" outlineLevel="0" collapsed="false">
      <c r="A1895" s="30" t="n">
        <v>45323</v>
      </c>
      <c r="B1895" s="31" t="s">
        <v>11</v>
      </c>
      <c r="C1895" s="32"/>
      <c r="D1895" s="32"/>
      <c r="E1895" s="19" t="n">
        <f aca="false">+IF(C1895="EQUIPO",F1895,0)</f>
        <v>0</v>
      </c>
      <c r="F1895" s="33" t="n">
        <v>0</v>
      </c>
      <c r="G1895" s="62"/>
      <c r="H1895" s="35" t="n">
        <v>0</v>
      </c>
      <c r="I1895" s="34" t="n">
        <f aca="false">+IF(E1895=0,0,E1895*0.03)</f>
        <v>0</v>
      </c>
    </row>
    <row r="1896" customFormat="false" ht="15.75" hidden="false" customHeight="true" outlineLevel="0" collapsed="false">
      <c r="A1896" s="30" t="n">
        <v>45323</v>
      </c>
      <c r="B1896" s="31" t="s">
        <v>11</v>
      </c>
      <c r="C1896" s="32"/>
      <c r="D1896" s="32"/>
      <c r="E1896" s="19" t="n">
        <f aca="false">+IF(C1896="EQUIPO",F1896,0)</f>
        <v>0</v>
      </c>
      <c r="F1896" s="33" t="n">
        <v>0</v>
      </c>
      <c r="G1896" s="62"/>
      <c r="H1896" s="35" t="n">
        <v>0</v>
      </c>
      <c r="I1896" s="34" t="n">
        <f aca="false">+IF(E1896=0,0,E1896*0.03)</f>
        <v>0</v>
      </c>
    </row>
    <row r="1897" customFormat="false" ht="15.75" hidden="false" customHeight="true" outlineLevel="0" collapsed="false">
      <c r="A1897" s="30" t="n">
        <v>45323</v>
      </c>
      <c r="B1897" s="31" t="s">
        <v>11</v>
      </c>
      <c r="C1897" s="32"/>
      <c r="D1897" s="32"/>
      <c r="E1897" s="19" t="n">
        <f aca="false">+IF(C1897="EQUIPO",F1897,0)</f>
        <v>0</v>
      </c>
      <c r="F1897" s="33" t="n">
        <v>0</v>
      </c>
      <c r="G1897" s="62"/>
      <c r="H1897" s="35" t="n">
        <v>0</v>
      </c>
      <c r="I1897" s="34" t="n">
        <f aca="false">+IF(E1897=0,0,E1897*0.03)</f>
        <v>0</v>
      </c>
    </row>
    <row r="1898" customFormat="false" ht="15.75" hidden="false" customHeight="true" outlineLevel="0" collapsed="false">
      <c r="A1898" s="30" t="n">
        <v>45323</v>
      </c>
      <c r="B1898" s="31" t="s">
        <v>11</v>
      </c>
      <c r="C1898" s="32"/>
      <c r="D1898" s="32"/>
      <c r="E1898" s="19" t="n">
        <f aca="false">+IF(C1898="EQUIPO",F1898,0)</f>
        <v>0</v>
      </c>
      <c r="F1898" s="33" t="n">
        <v>0</v>
      </c>
      <c r="G1898" s="62"/>
      <c r="H1898" s="35" t="n">
        <v>0</v>
      </c>
      <c r="I1898" s="34" t="n">
        <f aca="false">+IF(E1898=0,0,E1898*0.03)</f>
        <v>0</v>
      </c>
    </row>
    <row r="1899" customFormat="false" ht="15.75" hidden="false" customHeight="true" outlineLevel="0" collapsed="false">
      <c r="A1899" s="30" t="n">
        <v>45323</v>
      </c>
      <c r="B1899" s="31" t="s">
        <v>11</v>
      </c>
      <c r="C1899" s="32"/>
      <c r="D1899" s="32"/>
      <c r="E1899" s="19" t="n">
        <f aca="false">+IF(C1899="EQUIPO",F1899,0)</f>
        <v>0</v>
      </c>
      <c r="F1899" s="33" t="n">
        <v>0</v>
      </c>
      <c r="G1899" s="62"/>
      <c r="H1899" s="35" t="n">
        <v>0</v>
      </c>
      <c r="I1899" s="34" t="n">
        <f aca="false">+IF(E1899=0,0,E1899*0.03)</f>
        <v>0</v>
      </c>
    </row>
    <row r="1900" customFormat="false" ht="15.75" hidden="false" customHeight="true" outlineLevel="0" collapsed="false">
      <c r="A1900" s="30" t="n">
        <v>45323</v>
      </c>
      <c r="B1900" s="31" t="s">
        <v>11</v>
      </c>
      <c r="C1900" s="32"/>
      <c r="D1900" s="32"/>
      <c r="E1900" s="19" t="n">
        <f aca="false">+IF(C1900="EQUIPO",F1900,0)</f>
        <v>0</v>
      </c>
      <c r="F1900" s="33" t="n">
        <v>0</v>
      </c>
      <c r="G1900" s="62"/>
      <c r="H1900" s="35" t="n">
        <v>0</v>
      </c>
      <c r="I1900" s="34" t="n">
        <f aca="false">+IF(E1900=0,0,E1900*0.03)</f>
        <v>0</v>
      </c>
    </row>
    <row r="1901" customFormat="false" ht="15.75" hidden="false" customHeight="true" outlineLevel="0" collapsed="false">
      <c r="A1901" s="30" t="n">
        <v>45323</v>
      </c>
      <c r="B1901" s="31" t="s">
        <v>11</v>
      </c>
      <c r="C1901" s="32"/>
      <c r="D1901" s="32"/>
      <c r="E1901" s="19" t="n">
        <f aca="false">+IF(C1901="EQUIPO",F1901,0)</f>
        <v>0</v>
      </c>
      <c r="F1901" s="33" t="n">
        <v>0</v>
      </c>
      <c r="G1901" s="62"/>
      <c r="H1901" s="35" t="n">
        <v>0</v>
      </c>
      <c r="I1901" s="34" t="n">
        <f aca="false">+IF(E1901=0,0,E1901*0.03)</f>
        <v>0</v>
      </c>
    </row>
    <row r="1902" customFormat="false" ht="15.75" hidden="false" customHeight="true" outlineLevel="0" collapsed="false">
      <c r="A1902" s="30" t="n">
        <v>45323</v>
      </c>
      <c r="B1902" s="31" t="s">
        <v>11</v>
      </c>
      <c r="C1902" s="32"/>
      <c r="D1902" s="32"/>
      <c r="E1902" s="19" t="n">
        <f aca="false">+IF(C1902="EQUIPO",F1902,0)</f>
        <v>0</v>
      </c>
      <c r="F1902" s="33" t="n">
        <v>0</v>
      </c>
      <c r="G1902" s="62"/>
      <c r="H1902" s="35" t="n">
        <v>0</v>
      </c>
      <c r="I1902" s="34" t="n">
        <f aca="false">+IF(E1902=0,0,E1902*0.03)</f>
        <v>0</v>
      </c>
    </row>
    <row r="1903" customFormat="false" ht="15.75" hidden="false" customHeight="true" outlineLevel="0" collapsed="false">
      <c r="A1903" s="30" t="n">
        <v>45323</v>
      </c>
      <c r="B1903" s="31" t="s">
        <v>11</v>
      </c>
      <c r="C1903" s="32"/>
      <c r="D1903" s="32"/>
      <c r="E1903" s="19" t="n">
        <f aca="false">+IF(C1903="EQUIPO",F1903,0)</f>
        <v>0</v>
      </c>
      <c r="F1903" s="33" t="n">
        <v>0</v>
      </c>
      <c r="G1903" s="62"/>
      <c r="H1903" s="35" t="n">
        <v>0</v>
      </c>
      <c r="I1903" s="34" t="n">
        <f aca="false">+IF(E1903=0,0,E1903*0.03)</f>
        <v>0</v>
      </c>
    </row>
    <row r="1904" customFormat="false" ht="15.75" hidden="false" customHeight="true" outlineLevel="0" collapsed="false">
      <c r="A1904" s="30" t="n">
        <v>45323</v>
      </c>
      <c r="B1904" s="31" t="s">
        <v>11</v>
      </c>
      <c r="C1904" s="32"/>
      <c r="D1904" s="32"/>
      <c r="E1904" s="19" t="n">
        <f aca="false">+IF(C1904="EQUIPO",F1904,0)</f>
        <v>0</v>
      </c>
      <c r="F1904" s="33" t="n">
        <v>0</v>
      </c>
      <c r="G1904" s="62"/>
      <c r="H1904" s="35" t="n">
        <v>0</v>
      </c>
      <c r="I1904" s="34" t="n">
        <f aca="false">+IF(E1904=0,0,E1904*0.03)</f>
        <v>0</v>
      </c>
    </row>
    <row r="1905" customFormat="false" ht="15.75" hidden="false" customHeight="true" outlineLevel="0" collapsed="false">
      <c r="A1905" s="30" t="n">
        <v>45323</v>
      </c>
      <c r="B1905" s="31" t="s">
        <v>11</v>
      </c>
      <c r="C1905" s="32"/>
      <c r="D1905" s="32"/>
      <c r="E1905" s="19" t="n">
        <f aca="false">+IF(C1905="EQUIPO",F1905,0)</f>
        <v>0</v>
      </c>
      <c r="F1905" s="33" t="n">
        <v>0</v>
      </c>
      <c r="G1905" s="62"/>
      <c r="H1905" s="35" t="n">
        <v>0</v>
      </c>
      <c r="I1905" s="34" t="n">
        <f aca="false">+IF(E1905=0,0,E1905*0.03)</f>
        <v>0</v>
      </c>
    </row>
    <row r="1906" customFormat="false" ht="15.75" hidden="false" customHeight="true" outlineLevel="0" collapsed="false">
      <c r="A1906" s="30" t="n">
        <v>45323</v>
      </c>
      <c r="B1906" s="31" t="s">
        <v>11</v>
      </c>
      <c r="C1906" s="32"/>
      <c r="D1906" s="32"/>
      <c r="E1906" s="19" t="n">
        <f aca="false">+IF(C1906="EQUIPO",F1906,0)</f>
        <v>0</v>
      </c>
      <c r="F1906" s="33" t="n">
        <v>0</v>
      </c>
      <c r="G1906" s="62"/>
      <c r="H1906" s="35" t="n">
        <v>0</v>
      </c>
      <c r="I1906" s="34" t="n">
        <f aca="false">+IF(E1906=0,0,E1906*0.03)</f>
        <v>0</v>
      </c>
    </row>
    <row r="1907" customFormat="false" ht="15.75" hidden="false" customHeight="true" outlineLevel="0" collapsed="false">
      <c r="A1907" s="30" t="n">
        <v>45323</v>
      </c>
      <c r="B1907" s="31" t="s">
        <v>11</v>
      </c>
      <c r="C1907" s="32"/>
      <c r="D1907" s="32"/>
      <c r="E1907" s="19" t="n">
        <f aca="false">+IF(C1907="EQUIPO",F1907,0)</f>
        <v>0</v>
      </c>
      <c r="F1907" s="33" t="n">
        <v>0</v>
      </c>
      <c r="G1907" s="62"/>
      <c r="H1907" s="35" t="n">
        <v>0</v>
      </c>
      <c r="I1907" s="34" t="n">
        <f aca="false">+IF(E1907=0,0,E1907*0.03)</f>
        <v>0</v>
      </c>
    </row>
    <row r="1908" customFormat="false" ht="15.75" hidden="false" customHeight="true" outlineLevel="0" collapsed="false">
      <c r="A1908" s="30" t="n">
        <v>45323</v>
      </c>
      <c r="B1908" s="31" t="s">
        <v>11</v>
      </c>
      <c r="C1908" s="32"/>
      <c r="D1908" s="32"/>
      <c r="E1908" s="19" t="n">
        <f aca="false">+IF(C1908="EQUIPO",F1908,0)</f>
        <v>0</v>
      </c>
      <c r="F1908" s="33" t="n">
        <v>0</v>
      </c>
      <c r="G1908" s="62"/>
      <c r="H1908" s="35" t="n">
        <v>0</v>
      </c>
      <c r="I1908" s="34" t="n">
        <f aca="false">+IF(E1908=0,0,E1908*0.03)</f>
        <v>0</v>
      </c>
    </row>
    <row r="1909" customFormat="false" ht="15.75" hidden="false" customHeight="true" outlineLevel="0" collapsed="false">
      <c r="A1909" s="30" t="n">
        <v>45323</v>
      </c>
      <c r="B1909" s="31" t="s">
        <v>11</v>
      </c>
      <c r="C1909" s="32"/>
      <c r="D1909" s="32"/>
      <c r="E1909" s="19" t="n">
        <f aca="false">+IF(C1909="EQUIPO",F1909,0)</f>
        <v>0</v>
      </c>
      <c r="F1909" s="33" t="n">
        <v>0</v>
      </c>
      <c r="G1909" s="62"/>
      <c r="H1909" s="35" t="n">
        <v>0</v>
      </c>
      <c r="I1909" s="34" t="n">
        <f aca="false">+IF(E1909=0,0,E1909*0.03)</f>
        <v>0</v>
      </c>
    </row>
    <row r="1910" customFormat="false" ht="15.75" hidden="false" customHeight="true" outlineLevel="0" collapsed="false">
      <c r="A1910" s="30" t="n">
        <v>45323</v>
      </c>
      <c r="B1910" s="31" t="s">
        <v>11</v>
      </c>
      <c r="C1910" s="32"/>
      <c r="D1910" s="32"/>
      <c r="E1910" s="19" t="n">
        <f aca="false">+IF(C1910="EQUIPO",F1910,0)</f>
        <v>0</v>
      </c>
      <c r="F1910" s="33" t="n">
        <v>0</v>
      </c>
      <c r="G1910" s="62"/>
      <c r="H1910" s="35" t="n">
        <v>0</v>
      </c>
      <c r="I1910" s="34" t="n">
        <f aca="false">+IF(E1910=0,0,E1910*0.03)</f>
        <v>0</v>
      </c>
    </row>
    <row r="1911" customFormat="false" ht="15.75" hidden="false" customHeight="true" outlineLevel="0" collapsed="false">
      <c r="A1911" s="30" t="n">
        <v>45323</v>
      </c>
      <c r="B1911" s="31" t="s">
        <v>11</v>
      </c>
      <c r="C1911" s="32"/>
      <c r="D1911" s="32"/>
      <c r="E1911" s="19" t="n">
        <f aca="false">+IF(C1911="EQUIPO",F1911,0)</f>
        <v>0</v>
      </c>
      <c r="F1911" s="33" t="n">
        <v>0</v>
      </c>
      <c r="G1911" s="62"/>
      <c r="H1911" s="35" t="n">
        <v>0</v>
      </c>
      <c r="I1911" s="34" t="n">
        <f aca="false">+IF(E1911=0,0,E1911*0.03)</f>
        <v>0</v>
      </c>
    </row>
    <row r="1912" customFormat="false" ht="15.75" hidden="false" customHeight="true" outlineLevel="0" collapsed="false">
      <c r="A1912" s="30" t="n">
        <v>45323</v>
      </c>
      <c r="B1912" s="31" t="s">
        <v>11</v>
      </c>
      <c r="C1912" s="32"/>
      <c r="D1912" s="32"/>
      <c r="E1912" s="19" t="n">
        <f aca="false">+IF(C1912="EQUIPO",F1912,0)</f>
        <v>0</v>
      </c>
      <c r="F1912" s="33" t="n">
        <v>0</v>
      </c>
      <c r="G1912" s="62"/>
      <c r="H1912" s="35" t="n">
        <v>0</v>
      </c>
      <c r="I1912" s="34" t="n">
        <f aca="false">+IF(E1912=0,0,E1912*0.03)</f>
        <v>0</v>
      </c>
    </row>
    <row r="1913" customFormat="false" ht="15.75" hidden="false" customHeight="true" outlineLevel="0" collapsed="false">
      <c r="A1913" s="30" t="n">
        <v>45323</v>
      </c>
      <c r="B1913" s="31" t="s">
        <v>11</v>
      </c>
      <c r="C1913" s="32"/>
      <c r="D1913" s="32"/>
      <c r="E1913" s="19" t="n">
        <f aca="false">+IF(C1913="EQUIPO",F1913,0)</f>
        <v>0</v>
      </c>
      <c r="F1913" s="33" t="n">
        <v>0</v>
      </c>
      <c r="G1913" s="62"/>
      <c r="H1913" s="35" t="n">
        <v>0</v>
      </c>
      <c r="I1913" s="34" t="n">
        <f aca="false">+IF(E1913=0,0,E1913*0.03)</f>
        <v>0</v>
      </c>
    </row>
    <row r="1914" customFormat="false" ht="15.75" hidden="false" customHeight="true" outlineLevel="0" collapsed="false">
      <c r="A1914" s="30" t="n">
        <v>45323</v>
      </c>
      <c r="B1914" s="31" t="s">
        <v>11</v>
      </c>
      <c r="C1914" s="32"/>
      <c r="D1914" s="32"/>
      <c r="E1914" s="19" t="n">
        <f aca="false">+IF(C1914="EQUIPO",F1914,0)</f>
        <v>0</v>
      </c>
      <c r="F1914" s="33" t="n">
        <v>0</v>
      </c>
      <c r="G1914" s="62"/>
      <c r="H1914" s="35" t="n">
        <v>0</v>
      </c>
      <c r="I1914" s="34" t="n">
        <f aca="false">+IF(E1914=0,0,E1914*0.03)</f>
        <v>0</v>
      </c>
    </row>
    <row r="1915" customFormat="false" ht="15.75" hidden="false" customHeight="true" outlineLevel="0" collapsed="false">
      <c r="A1915" s="30" t="n">
        <v>45323</v>
      </c>
      <c r="B1915" s="31" t="s">
        <v>11</v>
      </c>
      <c r="C1915" s="32"/>
      <c r="D1915" s="32"/>
      <c r="E1915" s="19" t="n">
        <f aca="false">+IF(C1915="EQUIPO",F1915,0)</f>
        <v>0</v>
      </c>
      <c r="F1915" s="33" t="n">
        <v>0</v>
      </c>
      <c r="G1915" s="62"/>
      <c r="H1915" s="35" t="n">
        <v>0</v>
      </c>
      <c r="I1915" s="34" t="n">
        <f aca="false">+IF(E1915=0,0,E1915*0.03)</f>
        <v>0</v>
      </c>
    </row>
    <row r="1916" customFormat="false" ht="15.75" hidden="false" customHeight="true" outlineLevel="0" collapsed="false">
      <c r="A1916" s="30" t="n">
        <v>45323</v>
      </c>
      <c r="B1916" s="31" t="s">
        <v>11</v>
      </c>
      <c r="C1916" s="32"/>
      <c r="D1916" s="32"/>
      <c r="E1916" s="19" t="n">
        <f aca="false">+IF(C1916="EQUIPO",F1916,0)</f>
        <v>0</v>
      </c>
      <c r="F1916" s="33" t="n">
        <v>0</v>
      </c>
      <c r="G1916" s="62"/>
      <c r="H1916" s="35" t="n">
        <v>0</v>
      </c>
      <c r="I1916" s="34" t="n">
        <f aca="false">+IF(E1916=0,0,E1916*0.03)</f>
        <v>0</v>
      </c>
    </row>
    <row r="1917" customFormat="false" ht="15.75" hidden="false" customHeight="true" outlineLevel="0" collapsed="false">
      <c r="A1917" s="30" t="n">
        <v>45323</v>
      </c>
      <c r="B1917" s="31" t="s">
        <v>11</v>
      </c>
      <c r="C1917" s="32"/>
      <c r="D1917" s="32"/>
      <c r="E1917" s="19" t="n">
        <f aca="false">+IF(C1917="EQUIPO",F1917,0)</f>
        <v>0</v>
      </c>
      <c r="F1917" s="33" t="n">
        <v>0</v>
      </c>
      <c r="G1917" s="62"/>
      <c r="H1917" s="35" t="n">
        <v>0</v>
      </c>
      <c r="I1917" s="34" t="n">
        <f aca="false">+IF(E1917=0,0,E1917*0.03)</f>
        <v>0</v>
      </c>
    </row>
    <row r="1918" customFormat="false" ht="15.75" hidden="false" customHeight="true" outlineLevel="0" collapsed="false">
      <c r="A1918" s="30" t="n">
        <v>45323</v>
      </c>
      <c r="B1918" s="31" t="s">
        <v>11</v>
      </c>
      <c r="C1918" s="32"/>
      <c r="D1918" s="32"/>
      <c r="E1918" s="19" t="n">
        <f aca="false">+IF(C1918="EQUIPO",F1918,0)</f>
        <v>0</v>
      </c>
      <c r="F1918" s="33" t="n">
        <v>0</v>
      </c>
      <c r="G1918" s="62"/>
      <c r="H1918" s="35" t="n">
        <v>0</v>
      </c>
      <c r="I1918" s="34" t="n">
        <f aca="false">+IF(E1918=0,0,E1918*0.03)</f>
        <v>0</v>
      </c>
    </row>
    <row r="1919" customFormat="false" ht="15.75" hidden="false" customHeight="true" outlineLevel="0" collapsed="false">
      <c r="A1919" s="30" t="n">
        <v>45323</v>
      </c>
      <c r="B1919" s="31" t="s">
        <v>11</v>
      </c>
      <c r="C1919" s="32"/>
      <c r="D1919" s="32"/>
      <c r="E1919" s="19" t="n">
        <f aca="false">+IF(C1919="EQUIPO",F1919,0)</f>
        <v>0</v>
      </c>
      <c r="F1919" s="33" t="n">
        <v>0</v>
      </c>
      <c r="G1919" s="62"/>
      <c r="H1919" s="35" t="n">
        <v>0</v>
      </c>
      <c r="I1919" s="34" t="n">
        <f aca="false">+IF(E1919=0,0,E1919*0.03)</f>
        <v>0</v>
      </c>
    </row>
    <row r="1920" customFormat="false" ht="15.75" hidden="false" customHeight="true" outlineLevel="0" collapsed="false">
      <c r="A1920" s="30" t="n">
        <v>45323</v>
      </c>
      <c r="B1920" s="31" t="s">
        <v>11</v>
      </c>
      <c r="C1920" s="32"/>
      <c r="D1920" s="32"/>
      <c r="E1920" s="19" t="n">
        <f aca="false">+IF(C1920="EQUIPO",F1920,0)</f>
        <v>0</v>
      </c>
      <c r="F1920" s="33" t="n">
        <v>0</v>
      </c>
      <c r="G1920" s="62"/>
      <c r="H1920" s="35" t="n">
        <v>0</v>
      </c>
      <c r="I1920" s="34" t="n">
        <f aca="false">+IF(E1920=0,0,E1920*0.03)</f>
        <v>0</v>
      </c>
    </row>
    <row r="1921" customFormat="false" ht="15.75" hidden="false" customHeight="true" outlineLevel="0" collapsed="false">
      <c r="A1921" s="30" t="n">
        <v>45323</v>
      </c>
      <c r="B1921" s="31" t="s">
        <v>11</v>
      </c>
      <c r="C1921" s="32"/>
      <c r="D1921" s="32"/>
      <c r="E1921" s="19" t="n">
        <f aca="false">+IF(C1921="EQUIPO",F1921,0)</f>
        <v>0</v>
      </c>
      <c r="F1921" s="33" t="n">
        <v>0</v>
      </c>
      <c r="G1921" s="62"/>
      <c r="H1921" s="35" t="n">
        <v>0</v>
      </c>
      <c r="I1921" s="34" t="n">
        <f aca="false">+IF(E1921=0,0,E1921*0.03)</f>
        <v>0</v>
      </c>
    </row>
    <row r="1922" customFormat="false" ht="15.75" hidden="false" customHeight="true" outlineLevel="0" collapsed="false">
      <c r="A1922" s="30" t="n">
        <v>45323</v>
      </c>
      <c r="B1922" s="31" t="s">
        <v>11</v>
      </c>
      <c r="C1922" s="32"/>
      <c r="D1922" s="32"/>
      <c r="E1922" s="19" t="n">
        <f aca="false">+IF(C1922="EQUIPO",F1922,0)</f>
        <v>0</v>
      </c>
      <c r="F1922" s="33" t="n">
        <v>0</v>
      </c>
      <c r="G1922" s="62"/>
      <c r="H1922" s="35" t="n">
        <v>0</v>
      </c>
      <c r="I1922" s="34" t="n">
        <f aca="false">+IF(E1922=0,0,E1922*0.03)</f>
        <v>0</v>
      </c>
    </row>
    <row r="1923" customFormat="false" ht="15.75" hidden="false" customHeight="true" outlineLevel="0" collapsed="false">
      <c r="A1923" s="30" t="n">
        <v>45323</v>
      </c>
      <c r="B1923" s="31" t="s">
        <v>11</v>
      </c>
      <c r="C1923" s="32"/>
      <c r="D1923" s="32"/>
      <c r="E1923" s="19" t="n">
        <f aca="false">+IF(C1923="EQUIPO",F1923,0)</f>
        <v>0</v>
      </c>
      <c r="F1923" s="33" t="n">
        <v>0</v>
      </c>
      <c r="G1923" s="62"/>
      <c r="H1923" s="35" t="n">
        <v>0</v>
      </c>
      <c r="I1923" s="34" t="n">
        <f aca="false">+IF(E1923=0,0,E1923*0.03)</f>
        <v>0</v>
      </c>
    </row>
    <row r="1924" customFormat="false" ht="15.75" hidden="false" customHeight="true" outlineLevel="0" collapsed="false">
      <c r="A1924" s="30" t="n">
        <v>45323</v>
      </c>
      <c r="B1924" s="31" t="s">
        <v>11</v>
      </c>
      <c r="C1924" s="32"/>
      <c r="D1924" s="32"/>
      <c r="E1924" s="19" t="n">
        <f aca="false">+IF(C1924="EQUIPO",F1924,0)</f>
        <v>0</v>
      </c>
      <c r="F1924" s="33" t="n">
        <v>0</v>
      </c>
      <c r="G1924" s="62"/>
      <c r="H1924" s="35" t="n">
        <v>0</v>
      </c>
      <c r="I1924" s="34" t="n">
        <f aca="false">+IF(E1924=0,0,E1924*0.03)</f>
        <v>0</v>
      </c>
    </row>
    <row r="1925" customFormat="false" ht="15.75" hidden="false" customHeight="true" outlineLevel="0" collapsed="false">
      <c r="A1925" s="30" t="n">
        <v>45323</v>
      </c>
      <c r="B1925" s="31" t="s">
        <v>11</v>
      </c>
      <c r="C1925" s="32"/>
      <c r="D1925" s="32"/>
      <c r="E1925" s="19" t="n">
        <f aca="false">+IF(C1925="EQUIPO",F1925,0)</f>
        <v>0</v>
      </c>
      <c r="F1925" s="33" t="n">
        <v>0</v>
      </c>
      <c r="G1925" s="62"/>
      <c r="H1925" s="35" t="n">
        <v>0</v>
      </c>
      <c r="I1925" s="34" t="n">
        <f aca="false">+IF(E1925=0,0,E1925*0.03)</f>
        <v>0</v>
      </c>
    </row>
    <row r="1926" customFormat="false" ht="15.75" hidden="false" customHeight="true" outlineLevel="0" collapsed="false">
      <c r="A1926" s="30" t="n">
        <v>45323</v>
      </c>
      <c r="B1926" s="31" t="s">
        <v>11</v>
      </c>
      <c r="C1926" s="32"/>
      <c r="D1926" s="32"/>
      <c r="E1926" s="19" t="n">
        <f aca="false">+IF(C1926="EQUIPO",F1926,0)</f>
        <v>0</v>
      </c>
      <c r="F1926" s="33" t="n">
        <v>0</v>
      </c>
      <c r="G1926" s="62"/>
      <c r="H1926" s="35" t="n">
        <v>0</v>
      </c>
      <c r="I1926" s="34" t="n">
        <f aca="false">+IF(E1926=0,0,E1926*0.03)</f>
        <v>0</v>
      </c>
    </row>
    <row r="1927" customFormat="false" ht="15.75" hidden="false" customHeight="true" outlineLevel="0" collapsed="false">
      <c r="A1927" s="30" t="n">
        <v>45323</v>
      </c>
      <c r="B1927" s="31" t="s">
        <v>11</v>
      </c>
      <c r="C1927" s="32"/>
      <c r="D1927" s="32"/>
      <c r="E1927" s="19" t="n">
        <f aca="false">+IF(C1927="EQUIPO",F1927,0)</f>
        <v>0</v>
      </c>
      <c r="F1927" s="33" t="n">
        <v>0</v>
      </c>
      <c r="G1927" s="62"/>
      <c r="H1927" s="35" t="n">
        <v>0</v>
      </c>
      <c r="I1927" s="34" t="n">
        <f aca="false">+IF(E1927=0,0,E1927*0.03)</f>
        <v>0</v>
      </c>
    </row>
    <row r="1928" customFormat="false" ht="15.75" hidden="false" customHeight="true" outlineLevel="0" collapsed="false">
      <c r="A1928" s="30" t="n">
        <v>45323</v>
      </c>
      <c r="B1928" s="31" t="s">
        <v>11</v>
      </c>
      <c r="C1928" s="32"/>
      <c r="D1928" s="32"/>
      <c r="E1928" s="19" t="n">
        <f aca="false">+IF(C1928="EQUIPO",F1928,0)</f>
        <v>0</v>
      </c>
      <c r="F1928" s="33" t="n">
        <v>0</v>
      </c>
      <c r="G1928" s="62"/>
      <c r="H1928" s="35" t="n">
        <v>0</v>
      </c>
      <c r="I1928" s="34" t="n">
        <f aca="false">+IF(E1928=0,0,E1928*0.03)</f>
        <v>0</v>
      </c>
    </row>
    <row r="1929" customFormat="false" ht="15.75" hidden="false" customHeight="true" outlineLevel="0" collapsed="false">
      <c r="A1929" s="30" t="n">
        <v>45323</v>
      </c>
      <c r="B1929" s="31" t="s">
        <v>11</v>
      </c>
      <c r="C1929" s="32"/>
      <c r="D1929" s="32"/>
      <c r="E1929" s="19" t="n">
        <f aca="false">+IF(C1929="EQUIPO",F1929,0)</f>
        <v>0</v>
      </c>
      <c r="F1929" s="33" t="n">
        <v>0</v>
      </c>
      <c r="G1929" s="62"/>
      <c r="H1929" s="35" t="n">
        <v>0</v>
      </c>
      <c r="I1929" s="34" t="n">
        <f aca="false">+IF(E1929=0,0,E1929*0.03)</f>
        <v>0</v>
      </c>
    </row>
    <row r="1930" customFormat="false" ht="15.75" hidden="false" customHeight="true" outlineLevel="0" collapsed="false">
      <c r="A1930" s="30" t="n">
        <v>45323</v>
      </c>
      <c r="B1930" s="31" t="s">
        <v>11</v>
      </c>
      <c r="C1930" s="32"/>
      <c r="D1930" s="32"/>
      <c r="E1930" s="19" t="n">
        <f aca="false">+IF(C1930="EQUIPO",F1930,0)</f>
        <v>0</v>
      </c>
      <c r="F1930" s="33" t="n">
        <v>0</v>
      </c>
      <c r="G1930" s="62"/>
      <c r="H1930" s="35" t="n">
        <v>0</v>
      </c>
      <c r="I1930" s="34" t="n">
        <f aca="false">+IF(E1930=0,0,E1930*0.03)</f>
        <v>0</v>
      </c>
    </row>
    <row r="1931" customFormat="false" ht="15.75" hidden="false" customHeight="true" outlineLevel="0" collapsed="false">
      <c r="A1931" s="30" t="n">
        <v>45323</v>
      </c>
      <c r="B1931" s="31" t="s">
        <v>11</v>
      </c>
      <c r="C1931" s="32"/>
      <c r="D1931" s="32"/>
      <c r="E1931" s="19" t="n">
        <f aca="false">+IF(C1931="EQUIPO",F1931,0)</f>
        <v>0</v>
      </c>
      <c r="F1931" s="33" t="n">
        <v>0</v>
      </c>
      <c r="G1931" s="62"/>
      <c r="H1931" s="35" t="n">
        <v>0</v>
      </c>
      <c r="I1931" s="34" t="n">
        <f aca="false">+IF(E1931=0,0,E1931*0.03)</f>
        <v>0</v>
      </c>
    </row>
    <row r="1932" customFormat="false" ht="15.75" hidden="false" customHeight="true" outlineLevel="0" collapsed="false">
      <c r="A1932" s="30" t="n">
        <v>45323</v>
      </c>
      <c r="B1932" s="31" t="s">
        <v>11</v>
      </c>
      <c r="C1932" s="32"/>
      <c r="D1932" s="32"/>
      <c r="E1932" s="19" t="n">
        <f aca="false">+IF(C1932="EQUIPO",F1932,0)</f>
        <v>0</v>
      </c>
      <c r="F1932" s="33" t="n">
        <v>0</v>
      </c>
      <c r="G1932" s="62"/>
      <c r="H1932" s="35" t="n">
        <v>0</v>
      </c>
      <c r="I1932" s="34" t="n">
        <f aca="false">+IF(E1932=0,0,E1932*0.03)</f>
        <v>0</v>
      </c>
    </row>
    <row r="1933" customFormat="false" ht="15.75" hidden="false" customHeight="true" outlineLevel="0" collapsed="false">
      <c r="A1933" s="30" t="n">
        <v>45323</v>
      </c>
      <c r="B1933" s="31" t="s">
        <v>11</v>
      </c>
      <c r="C1933" s="32"/>
      <c r="D1933" s="32"/>
      <c r="E1933" s="19" t="n">
        <f aca="false">+IF(C1933="EQUIPO",F1933,0)</f>
        <v>0</v>
      </c>
      <c r="F1933" s="33" t="n">
        <v>0</v>
      </c>
      <c r="G1933" s="62"/>
      <c r="H1933" s="35" t="n">
        <v>0</v>
      </c>
      <c r="I1933" s="34" t="n">
        <f aca="false">+IF(E1933=0,0,E1933*0.03)</f>
        <v>0</v>
      </c>
    </row>
    <row r="1934" customFormat="false" ht="15.75" hidden="false" customHeight="true" outlineLevel="0" collapsed="false">
      <c r="A1934" s="30" t="n">
        <v>45323</v>
      </c>
      <c r="B1934" s="31" t="s">
        <v>11</v>
      </c>
      <c r="C1934" s="32"/>
      <c r="D1934" s="32"/>
      <c r="E1934" s="19" t="n">
        <f aca="false">+IF(C1934="EQUIPO",F1934,0)</f>
        <v>0</v>
      </c>
      <c r="F1934" s="33" t="n">
        <v>0</v>
      </c>
      <c r="G1934" s="62"/>
      <c r="H1934" s="35" t="n">
        <v>0</v>
      </c>
      <c r="I1934" s="34" t="n">
        <f aca="false">+IF(E1934=0,0,E1934*0.03)</f>
        <v>0</v>
      </c>
    </row>
    <row r="1935" customFormat="false" ht="15.75" hidden="false" customHeight="true" outlineLevel="0" collapsed="false">
      <c r="A1935" s="30" t="n">
        <v>45323</v>
      </c>
      <c r="B1935" s="31" t="s">
        <v>11</v>
      </c>
      <c r="C1935" s="32"/>
      <c r="D1935" s="32"/>
      <c r="E1935" s="19" t="n">
        <f aca="false">+IF(C1935="EQUIPO",F1935,0)</f>
        <v>0</v>
      </c>
      <c r="F1935" s="33" t="n">
        <v>0</v>
      </c>
      <c r="G1935" s="62"/>
      <c r="H1935" s="35" t="n">
        <v>0</v>
      </c>
      <c r="I1935" s="34" t="n">
        <f aca="false">+IF(E1935=0,0,E1935*0.03)</f>
        <v>0</v>
      </c>
    </row>
    <row r="1936" customFormat="false" ht="15.75" hidden="false" customHeight="true" outlineLevel="0" collapsed="false">
      <c r="A1936" s="30" t="n">
        <v>45323</v>
      </c>
      <c r="B1936" s="31" t="s">
        <v>11</v>
      </c>
      <c r="C1936" s="32"/>
      <c r="D1936" s="32"/>
      <c r="E1936" s="19" t="n">
        <f aca="false">+IF(C1936="EQUIPO",F1936,0)</f>
        <v>0</v>
      </c>
      <c r="F1936" s="33" t="n">
        <v>0</v>
      </c>
      <c r="G1936" s="62"/>
      <c r="H1936" s="35" t="n">
        <v>0</v>
      </c>
      <c r="I1936" s="34" t="n">
        <f aca="false">+IF(E1936=0,0,E1936*0.03)</f>
        <v>0</v>
      </c>
    </row>
    <row r="1937" customFormat="false" ht="15.75" hidden="false" customHeight="true" outlineLevel="0" collapsed="false">
      <c r="A1937" s="30" t="n">
        <v>45323</v>
      </c>
      <c r="B1937" s="31" t="s">
        <v>11</v>
      </c>
      <c r="C1937" s="32"/>
      <c r="D1937" s="32"/>
      <c r="E1937" s="19" t="n">
        <f aca="false">+IF(C1937="EQUIPO",F1937,0)</f>
        <v>0</v>
      </c>
      <c r="F1937" s="33" t="n">
        <v>0</v>
      </c>
      <c r="G1937" s="62"/>
      <c r="H1937" s="35" t="n">
        <v>0</v>
      </c>
      <c r="I1937" s="34" t="n">
        <f aca="false">+IF(E1937=0,0,E1937*0.03)</f>
        <v>0</v>
      </c>
    </row>
    <row r="1938" customFormat="false" ht="15.75" hidden="false" customHeight="true" outlineLevel="0" collapsed="false">
      <c r="A1938" s="30" t="n">
        <v>45323</v>
      </c>
      <c r="B1938" s="31" t="s">
        <v>11</v>
      </c>
      <c r="C1938" s="32"/>
      <c r="D1938" s="32"/>
      <c r="E1938" s="19" t="n">
        <f aca="false">+IF(C1938="EQUIPO",F1938,0)</f>
        <v>0</v>
      </c>
      <c r="F1938" s="33" t="n">
        <v>0</v>
      </c>
      <c r="G1938" s="62"/>
      <c r="H1938" s="35" t="n">
        <v>0</v>
      </c>
      <c r="I1938" s="34" t="n">
        <f aca="false">+IF(E1938=0,0,E1938*0.03)</f>
        <v>0</v>
      </c>
    </row>
    <row r="1939" customFormat="false" ht="15.75" hidden="false" customHeight="true" outlineLevel="0" collapsed="false">
      <c r="A1939" s="30" t="n">
        <v>45323</v>
      </c>
      <c r="B1939" s="31" t="s">
        <v>11</v>
      </c>
      <c r="C1939" s="32"/>
      <c r="D1939" s="32"/>
      <c r="E1939" s="19" t="n">
        <f aca="false">+IF(C1939="EQUIPO",F1939,0)</f>
        <v>0</v>
      </c>
      <c r="F1939" s="33" t="n">
        <v>0</v>
      </c>
      <c r="G1939" s="62"/>
      <c r="H1939" s="35" t="n">
        <v>0</v>
      </c>
      <c r="I1939" s="34" t="n">
        <f aca="false">+IF(E1939=0,0,E1939*0.03)</f>
        <v>0</v>
      </c>
    </row>
    <row r="1940" customFormat="false" ht="15.75" hidden="false" customHeight="true" outlineLevel="0" collapsed="false">
      <c r="A1940" s="30" t="n">
        <v>45323</v>
      </c>
      <c r="B1940" s="31" t="s">
        <v>11</v>
      </c>
      <c r="C1940" s="32"/>
      <c r="D1940" s="32"/>
      <c r="E1940" s="19" t="n">
        <f aca="false">+IF(C1940="EQUIPO",F1940,0)</f>
        <v>0</v>
      </c>
      <c r="F1940" s="33" t="n">
        <v>0</v>
      </c>
      <c r="G1940" s="62"/>
      <c r="H1940" s="35" t="n">
        <v>0</v>
      </c>
      <c r="I1940" s="34" t="n">
        <f aca="false">+IF(E1940=0,0,E1940*0.03)</f>
        <v>0</v>
      </c>
    </row>
    <row r="1941" customFormat="false" ht="15.75" hidden="false" customHeight="true" outlineLevel="0" collapsed="false">
      <c r="A1941" s="30" t="n">
        <v>45323</v>
      </c>
      <c r="B1941" s="31" t="s">
        <v>11</v>
      </c>
      <c r="C1941" s="32"/>
      <c r="D1941" s="32"/>
      <c r="E1941" s="19" t="n">
        <f aca="false">+IF(C1941="EQUIPO",F1941,0)</f>
        <v>0</v>
      </c>
      <c r="F1941" s="33" t="n">
        <v>0</v>
      </c>
      <c r="G1941" s="62"/>
      <c r="H1941" s="35" t="n">
        <v>0</v>
      </c>
      <c r="I1941" s="34" t="n">
        <f aca="false">+IF(E1941=0,0,E1941*0.03)</f>
        <v>0</v>
      </c>
    </row>
    <row r="1942" customFormat="false" ht="15.75" hidden="false" customHeight="true" outlineLevel="0" collapsed="false">
      <c r="A1942" s="30" t="n">
        <v>45323</v>
      </c>
      <c r="B1942" s="31" t="s">
        <v>11</v>
      </c>
      <c r="C1942" s="32"/>
      <c r="D1942" s="32"/>
      <c r="E1942" s="19" t="n">
        <f aca="false">+IF(C1942="EQUIPO",F1942,0)</f>
        <v>0</v>
      </c>
      <c r="F1942" s="33" t="n">
        <v>0</v>
      </c>
      <c r="G1942" s="62"/>
      <c r="H1942" s="35" t="n">
        <v>0</v>
      </c>
      <c r="I1942" s="34" t="n">
        <f aca="false">+IF(E1942=0,0,E1942*0.03)</f>
        <v>0</v>
      </c>
    </row>
    <row r="1943" customFormat="false" ht="15.75" hidden="false" customHeight="true" outlineLevel="0" collapsed="false">
      <c r="A1943" s="30" t="n">
        <v>45323</v>
      </c>
      <c r="B1943" s="31" t="s">
        <v>11</v>
      </c>
      <c r="C1943" s="32"/>
      <c r="D1943" s="32"/>
      <c r="E1943" s="19" t="n">
        <f aca="false">+IF(C1943="EQUIPO",F1943,0)</f>
        <v>0</v>
      </c>
      <c r="F1943" s="33" t="n">
        <v>0</v>
      </c>
      <c r="G1943" s="62"/>
      <c r="H1943" s="35" t="n">
        <v>0</v>
      </c>
      <c r="I1943" s="34" t="n">
        <f aca="false">+IF(E1943=0,0,E1943*0.03)</f>
        <v>0</v>
      </c>
    </row>
    <row r="1944" customFormat="false" ht="15.75" hidden="false" customHeight="true" outlineLevel="0" collapsed="false">
      <c r="A1944" s="30" t="n">
        <v>45323</v>
      </c>
      <c r="B1944" s="31" t="s">
        <v>11</v>
      </c>
      <c r="C1944" s="32"/>
      <c r="D1944" s="32"/>
      <c r="E1944" s="19" t="n">
        <f aca="false">+IF(C1944="EQUIPO",F1944,0)</f>
        <v>0</v>
      </c>
      <c r="F1944" s="33" t="n">
        <v>0</v>
      </c>
      <c r="G1944" s="62"/>
      <c r="H1944" s="35" t="n">
        <v>0</v>
      </c>
      <c r="I1944" s="34" t="n">
        <f aca="false">+IF(E1944=0,0,E1944*0.03)</f>
        <v>0</v>
      </c>
    </row>
    <row r="1945" customFormat="false" ht="15.75" hidden="false" customHeight="true" outlineLevel="0" collapsed="false">
      <c r="A1945" s="30" t="n">
        <v>45323</v>
      </c>
      <c r="B1945" s="31" t="s">
        <v>11</v>
      </c>
      <c r="C1945" s="32"/>
      <c r="D1945" s="32"/>
      <c r="E1945" s="19" t="n">
        <f aca="false">+IF(C1945="EQUIPO",F1945,0)</f>
        <v>0</v>
      </c>
      <c r="F1945" s="33" t="n">
        <v>0</v>
      </c>
      <c r="G1945" s="62"/>
      <c r="H1945" s="35" t="n">
        <v>0</v>
      </c>
      <c r="I1945" s="34" t="n">
        <f aca="false">+IF(E1945=0,0,E1945*0.03)</f>
        <v>0</v>
      </c>
    </row>
    <row r="1946" customFormat="false" ht="15.75" hidden="false" customHeight="true" outlineLevel="0" collapsed="false">
      <c r="A1946" s="30" t="n">
        <v>45323</v>
      </c>
      <c r="B1946" s="31" t="s">
        <v>11</v>
      </c>
      <c r="C1946" s="32"/>
      <c r="D1946" s="32"/>
      <c r="E1946" s="19" t="n">
        <f aca="false">+IF(C1946="EQUIPO",F1946,0)</f>
        <v>0</v>
      </c>
      <c r="F1946" s="33" t="n">
        <v>0</v>
      </c>
      <c r="G1946" s="62"/>
      <c r="H1946" s="35" t="n">
        <v>0</v>
      </c>
      <c r="I1946" s="34" t="n">
        <f aca="false">+IF(E1946=0,0,E1946*0.03)</f>
        <v>0</v>
      </c>
    </row>
    <row r="1947" customFormat="false" ht="15.75" hidden="false" customHeight="true" outlineLevel="0" collapsed="false">
      <c r="A1947" s="30" t="n">
        <v>45323</v>
      </c>
      <c r="B1947" s="31" t="s">
        <v>11</v>
      </c>
      <c r="C1947" s="32"/>
      <c r="D1947" s="32"/>
      <c r="E1947" s="19" t="n">
        <f aca="false">+IF(C1947="EQUIPO",F1947,0)</f>
        <v>0</v>
      </c>
      <c r="F1947" s="33" t="n">
        <v>0</v>
      </c>
      <c r="G1947" s="62"/>
      <c r="H1947" s="35" t="n">
        <v>0</v>
      </c>
      <c r="I1947" s="34" t="n">
        <f aca="false">+IF(E1947=0,0,E1947*0.03)</f>
        <v>0</v>
      </c>
    </row>
    <row r="1948" customFormat="false" ht="15.75" hidden="false" customHeight="true" outlineLevel="0" collapsed="false">
      <c r="A1948" s="30" t="n">
        <v>45323</v>
      </c>
      <c r="B1948" s="31" t="s">
        <v>11</v>
      </c>
      <c r="C1948" s="32"/>
      <c r="D1948" s="32"/>
      <c r="E1948" s="19" t="n">
        <f aca="false">+IF(C1948="EQUIPO",F1948,0)</f>
        <v>0</v>
      </c>
      <c r="F1948" s="33" t="n">
        <v>0</v>
      </c>
      <c r="G1948" s="62"/>
      <c r="H1948" s="35" t="n">
        <v>0</v>
      </c>
      <c r="I1948" s="34" t="n">
        <f aca="false">+IF(E1948=0,0,E1948*0.03)</f>
        <v>0</v>
      </c>
    </row>
    <row r="1949" customFormat="false" ht="15.75" hidden="false" customHeight="true" outlineLevel="0" collapsed="false">
      <c r="A1949" s="30" t="n">
        <v>45323</v>
      </c>
      <c r="B1949" s="31" t="s">
        <v>11</v>
      </c>
      <c r="C1949" s="32"/>
      <c r="D1949" s="32"/>
      <c r="E1949" s="19" t="n">
        <f aca="false">+IF(C1949="EQUIPO",F1949,0)</f>
        <v>0</v>
      </c>
      <c r="F1949" s="33" t="n">
        <v>0</v>
      </c>
      <c r="G1949" s="62"/>
      <c r="H1949" s="35" t="n">
        <v>0</v>
      </c>
      <c r="I1949" s="34" t="n">
        <f aca="false">+IF(E1949=0,0,E1949*0.03)</f>
        <v>0</v>
      </c>
    </row>
    <row r="1950" customFormat="false" ht="15.75" hidden="false" customHeight="true" outlineLevel="0" collapsed="false">
      <c r="A1950" s="30" t="n">
        <v>45323</v>
      </c>
      <c r="B1950" s="31" t="s">
        <v>11</v>
      </c>
      <c r="C1950" s="32"/>
      <c r="D1950" s="32"/>
      <c r="E1950" s="19" t="n">
        <f aca="false">+IF(C1950="EQUIPO",F1950,0)</f>
        <v>0</v>
      </c>
      <c r="F1950" s="33" t="n">
        <v>0</v>
      </c>
      <c r="G1950" s="62"/>
      <c r="H1950" s="35" t="n">
        <v>0</v>
      </c>
      <c r="I1950" s="34" t="n">
        <f aca="false">+IF(E1950=0,0,E1950*0.03)</f>
        <v>0</v>
      </c>
    </row>
    <row r="1951" customFormat="false" ht="15.75" hidden="false" customHeight="true" outlineLevel="0" collapsed="false">
      <c r="A1951" s="30" t="n">
        <v>45323</v>
      </c>
      <c r="B1951" s="31" t="s">
        <v>11</v>
      </c>
      <c r="C1951" s="32"/>
      <c r="D1951" s="32"/>
      <c r="E1951" s="19" t="n">
        <f aca="false">+IF(C1951="EQUIPO",F1951,0)</f>
        <v>0</v>
      </c>
      <c r="F1951" s="33" t="n">
        <v>0</v>
      </c>
      <c r="G1951" s="62"/>
      <c r="H1951" s="35" t="n">
        <v>0</v>
      </c>
      <c r="I1951" s="34" t="n">
        <f aca="false">+IF(E1951=0,0,E1951*0.03)</f>
        <v>0</v>
      </c>
    </row>
    <row r="1952" customFormat="false" ht="15.75" hidden="false" customHeight="true" outlineLevel="0" collapsed="false">
      <c r="A1952" s="30" t="n">
        <v>45323</v>
      </c>
      <c r="B1952" s="31" t="s">
        <v>11</v>
      </c>
      <c r="C1952" s="32"/>
      <c r="D1952" s="32"/>
      <c r="E1952" s="19" t="n">
        <f aca="false">+IF(C1952="EQUIPO",F1952,0)</f>
        <v>0</v>
      </c>
      <c r="F1952" s="33" t="n">
        <v>0</v>
      </c>
      <c r="G1952" s="62"/>
      <c r="H1952" s="35" t="n">
        <v>0</v>
      </c>
      <c r="I1952" s="34" t="n">
        <f aca="false">+IF(E1952=0,0,E1952*0.03)</f>
        <v>0</v>
      </c>
    </row>
    <row r="1953" customFormat="false" ht="15.75" hidden="false" customHeight="true" outlineLevel="0" collapsed="false">
      <c r="A1953" s="30" t="n">
        <v>45323</v>
      </c>
      <c r="B1953" s="31" t="s">
        <v>11</v>
      </c>
      <c r="C1953" s="32"/>
      <c r="D1953" s="32"/>
      <c r="E1953" s="19" t="n">
        <f aca="false">+IF(C1953="EQUIPO",F1953,0)</f>
        <v>0</v>
      </c>
      <c r="F1953" s="33" t="n">
        <v>0</v>
      </c>
      <c r="G1953" s="62"/>
      <c r="H1953" s="35" t="n">
        <v>0</v>
      </c>
      <c r="I1953" s="34" t="n">
        <f aca="false">+IF(E1953=0,0,E1953*0.03)</f>
        <v>0</v>
      </c>
    </row>
    <row r="1954" customFormat="false" ht="15.75" hidden="false" customHeight="true" outlineLevel="0" collapsed="false">
      <c r="A1954" s="30" t="n">
        <v>45323</v>
      </c>
      <c r="B1954" s="31" t="s">
        <v>11</v>
      </c>
      <c r="C1954" s="32"/>
      <c r="D1954" s="32"/>
      <c r="E1954" s="19" t="n">
        <f aca="false">+IF(C1954="EQUIPO",F1954,0)</f>
        <v>0</v>
      </c>
      <c r="F1954" s="33" t="n">
        <v>0</v>
      </c>
      <c r="G1954" s="62"/>
      <c r="H1954" s="35" t="n">
        <v>0</v>
      </c>
      <c r="I1954" s="34" t="n">
        <f aca="false">+IF(E1954=0,0,E1954*0.03)</f>
        <v>0</v>
      </c>
    </row>
    <row r="1955" customFormat="false" ht="15.75" hidden="false" customHeight="true" outlineLevel="0" collapsed="false">
      <c r="A1955" s="30" t="n">
        <v>45323</v>
      </c>
      <c r="B1955" s="31" t="s">
        <v>11</v>
      </c>
      <c r="C1955" s="32"/>
      <c r="D1955" s="32"/>
      <c r="E1955" s="19" t="n">
        <f aca="false">+IF(C1955="EQUIPO",F1955,0)</f>
        <v>0</v>
      </c>
      <c r="F1955" s="33" t="n">
        <v>0</v>
      </c>
      <c r="G1955" s="62"/>
      <c r="H1955" s="35" t="n">
        <v>0</v>
      </c>
      <c r="I1955" s="34" t="n">
        <f aca="false">+IF(E1955=0,0,E1955*0.03)</f>
        <v>0</v>
      </c>
    </row>
    <row r="1956" customFormat="false" ht="15.75" hidden="false" customHeight="true" outlineLevel="0" collapsed="false">
      <c r="A1956" s="30" t="n">
        <v>45323</v>
      </c>
      <c r="B1956" s="31" t="s">
        <v>11</v>
      </c>
      <c r="C1956" s="32"/>
      <c r="D1956" s="32"/>
      <c r="E1956" s="19" t="n">
        <f aca="false">+IF(C1956="EQUIPO",F1956,0)</f>
        <v>0</v>
      </c>
      <c r="F1956" s="33" t="n">
        <v>0</v>
      </c>
      <c r="G1956" s="62"/>
      <c r="H1956" s="35" t="n">
        <v>0</v>
      </c>
      <c r="I1956" s="34" t="n">
        <f aca="false">+IF(E1956=0,0,E1956*0.03)</f>
        <v>0</v>
      </c>
    </row>
    <row r="1957" customFormat="false" ht="15.75" hidden="false" customHeight="true" outlineLevel="0" collapsed="false">
      <c r="A1957" s="30" t="n">
        <v>45323</v>
      </c>
      <c r="B1957" s="31" t="s">
        <v>11</v>
      </c>
      <c r="C1957" s="32"/>
      <c r="D1957" s="32"/>
      <c r="E1957" s="19" t="n">
        <f aca="false">+IF(C1957="EQUIPO",F1957,0)</f>
        <v>0</v>
      </c>
      <c r="F1957" s="33" t="n">
        <v>0</v>
      </c>
      <c r="G1957" s="62"/>
      <c r="H1957" s="35" t="n">
        <v>0</v>
      </c>
      <c r="I1957" s="34" t="n">
        <f aca="false">+IF(E1957=0,0,E1957*0.03)</f>
        <v>0</v>
      </c>
    </row>
    <row r="1958" customFormat="false" ht="15.75" hidden="false" customHeight="true" outlineLevel="0" collapsed="false">
      <c r="A1958" s="30" t="n">
        <v>45323</v>
      </c>
      <c r="B1958" s="31" t="s">
        <v>11</v>
      </c>
      <c r="C1958" s="32"/>
      <c r="D1958" s="32"/>
      <c r="E1958" s="19" t="n">
        <f aca="false">+IF(C1958="EQUIPO",F1958,0)</f>
        <v>0</v>
      </c>
      <c r="F1958" s="33" t="n">
        <v>0</v>
      </c>
      <c r="G1958" s="62"/>
      <c r="H1958" s="35" t="n">
        <v>0</v>
      </c>
      <c r="I1958" s="34" t="n">
        <f aca="false">+IF(E1958=0,0,E1958*0.03)</f>
        <v>0</v>
      </c>
    </row>
    <row r="1959" customFormat="false" ht="15.75" hidden="false" customHeight="true" outlineLevel="0" collapsed="false">
      <c r="A1959" s="30" t="n">
        <v>45323</v>
      </c>
      <c r="B1959" s="31" t="s">
        <v>11</v>
      </c>
      <c r="C1959" s="32"/>
      <c r="D1959" s="32"/>
      <c r="E1959" s="19" t="n">
        <f aca="false">+IF(C1959="EQUIPO",F1959,0)</f>
        <v>0</v>
      </c>
      <c r="F1959" s="33" t="n">
        <v>0</v>
      </c>
      <c r="G1959" s="62"/>
      <c r="H1959" s="35" t="n">
        <v>0</v>
      </c>
      <c r="I1959" s="34" t="n">
        <f aca="false">+IF(E1959=0,0,E1959*0.03)</f>
        <v>0</v>
      </c>
    </row>
    <row r="1960" customFormat="false" ht="15.75" hidden="false" customHeight="true" outlineLevel="0" collapsed="false">
      <c r="A1960" s="30" t="n">
        <v>45323</v>
      </c>
      <c r="B1960" s="31" t="s">
        <v>11</v>
      </c>
      <c r="C1960" s="32"/>
      <c r="D1960" s="32"/>
      <c r="E1960" s="19" t="n">
        <f aca="false">+IF(C1960="EQUIPO",F1960,0)</f>
        <v>0</v>
      </c>
      <c r="F1960" s="33" t="n">
        <v>0</v>
      </c>
      <c r="G1960" s="62"/>
      <c r="H1960" s="35" t="n">
        <v>0</v>
      </c>
      <c r="I1960" s="34" t="n">
        <f aca="false">+IF(E1960=0,0,E1960*0.03)</f>
        <v>0</v>
      </c>
    </row>
    <row r="1961" customFormat="false" ht="15.75" hidden="false" customHeight="true" outlineLevel="0" collapsed="false">
      <c r="A1961" s="30" t="n">
        <v>45323</v>
      </c>
      <c r="B1961" s="31" t="s">
        <v>11</v>
      </c>
      <c r="C1961" s="32"/>
      <c r="D1961" s="32"/>
      <c r="E1961" s="19" t="n">
        <f aca="false">+IF(C1961="EQUIPO",F1961,0)</f>
        <v>0</v>
      </c>
      <c r="F1961" s="33" t="n">
        <v>0</v>
      </c>
      <c r="G1961" s="62"/>
      <c r="H1961" s="35" t="n">
        <v>0</v>
      </c>
      <c r="I1961" s="34" t="n">
        <f aca="false">+IF(E1961=0,0,E1961*0.03)</f>
        <v>0</v>
      </c>
    </row>
    <row r="1962" customFormat="false" ht="15.75" hidden="false" customHeight="true" outlineLevel="0" collapsed="false">
      <c r="A1962" s="30" t="n">
        <v>45323</v>
      </c>
      <c r="B1962" s="31" t="s">
        <v>11</v>
      </c>
      <c r="C1962" s="32"/>
      <c r="D1962" s="32"/>
      <c r="E1962" s="19" t="n">
        <f aca="false">+IF(C1962="EQUIPO",F1962,0)</f>
        <v>0</v>
      </c>
      <c r="F1962" s="33" t="n">
        <v>0</v>
      </c>
      <c r="G1962" s="62"/>
      <c r="H1962" s="35" t="n">
        <v>0</v>
      </c>
      <c r="I1962" s="34" t="n">
        <f aca="false">+IF(E1962=0,0,E1962*0.03)</f>
        <v>0</v>
      </c>
    </row>
    <row r="1963" customFormat="false" ht="15.75" hidden="false" customHeight="true" outlineLevel="0" collapsed="false">
      <c r="A1963" s="30" t="n">
        <v>45323</v>
      </c>
      <c r="B1963" s="31" t="s">
        <v>11</v>
      </c>
      <c r="C1963" s="32"/>
      <c r="D1963" s="32"/>
      <c r="E1963" s="19" t="n">
        <f aca="false">+IF(C1963="EQUIPO",F1963,0)</f>
        <v>0</v>
      </c>
      <c r="F1963" s="33" t="n">
        <v>0</v>
      </c>
      <c r="G1963" s="62"/>
      <c r="H1963" s="35" t="n">
        <v>0</v>
      </c>
      <c r="I1963" s="34" t="n">
        <f aca="false">+IF(E1963=0,0,E1963*0.03)</f>
        <v>0</v>
      </c>
    </row>
    <row r="1964" customFormat="false" ht="15.75" hidden="false" customHeight="true" outlineLevel="0" collapsed="false">
      <c r="A1964" s="30" t="n">
        <v>45323</v>
      </c>
      <c r="B1964" s="31" t="s">
        <v>11</v>
      </c>
      <c r="C1964" s="32"/>
      <c r="D1964" s="32"/>
      <c r="E1964" s="19" t="n">
        <f aca="false">+IF(C1964="EQUIPO",F1964,0)</f>
        <v>0</v>
      </c>
      <c r="F1964" s="33" t="n">
        <v>0</v>
      </c>
      <c r="G1964" s="62"/>
      <c r="H1964" s="35" t="n">
        <v>0</v>
      </c>
      <c r="I1964" s="34" t="n">
        <f aca="false">+IF(E1964=0,0,E1964*0.03)</f>
        <v>0</v>
      </c>
    </row>
    <row r="1965" customFormat="false" ht="15.75" hidden="false" customHeight="true" outlineLevel="0" collapsed="false">
      <c r="A1965" s="30" t="n">
        <v>45323</v>
      </c>
      <c r="B1965" s="31" t="s">
        <v>11</v>
      </c>
      <c r="C1965" s="32"/>
      <c r="D1965" s="32"/>
      <c r="E1965" s="19" t="n">
        <f aca="false">+IF(C1965="EQUIPO",F1965,0)</f>
        <v>0</v>
      </c>
      <c r="F1965" s="33" t="n">
        <v>0</v>
      </c>
      <c r="G1965" s="62"/>
      <c r="H1965" s="35" t="n">
        <v>0</v>
      </c>
      <c r="I1965" s="34" t="n">
        <f aca="false">+IF(E1965=0,0,E1965*0.03)</f>
        <v>0</v>
      </c>
    </row>
    <row r="1966" customFormat="false" ht="15.75" hidden="false" customHeight="true" outlineLevel="0" collapsed="false">
      <c r="A1966" s="30" t="n">
        <v>45323</v>
      </c>
      <c r="B1966" s="31" t="s">
        <v>11</v>
      </c>
      <c r="C1966" s="32"/>
      <c r="D1966" s="32"/>
      <c r="E1966" s="19" t="n">
        <f aca="false">+IF(C1966="EQUIPO",F1966,0)</f>
        <v>0</v>
      </c>
      <c r="F1966" s="33" t="n">
        <v>0</v>
      </c>
      <c r="G1966" s="62"/>
      <c r="H1966" s="35" t="n">
        <v>0</v>
      </c>
      <c r="I1966" s="34" t="n">
        <f aca="false">+IF(E1966=0,0,E1966*0.03)</f>
        <v>0</v>
      </c>
    </row>
    <row r="1967" customFormat="false" ht="15.75" hidden="false" customHeight="true" outlineLevel="0" collapsed="false">
      <c r="A1967" s="30" t="n">
        <v>45323</v>
      </c>
      <c r="B1967" s="31" t="s">
        <v>11</v>
      </c>
      <c r="C1967" s="32"/>
      <c r="D1967" s="32"/>
      <c r="E1967" s="19" t="n">
        <f aca="false">+IF(C1967="EQUIPO",F1967,0)</f>
        <v>0</v>
      </c>
      <c r="F1967" s="33" t="n">
        <v>0</v>
      </c>
      <c r="G1967" s="62"/>
      <c r="H1967" s="35" t="n">
        <v>0</v>
      </c>
      <c r="I1967" s="34" t="n">
        <f aca="false">+IF(E1967=0,0,E1967*0.03)</f>
        <v>0</v>
      </c>
    </row>
    <row r="1968" customFormat="false" ht="15.75" hidden="false" customHeight="true" outlineLevel="0" collapsed="false">
      <c r="A1968" s="30" t="n">
        <v>45323</v>
      </c>
      <c r="B1968" s="31" t="s">
        <v>11</v>
      </c>
      <c r="C1968" s="32"/>
      <c r="D1968" s="32"/>
      <c r="E1968" s="19" t="n">
        <f aca="false">+IF(C1968="EQUIPO",F1968,0)</f>
        <v>0</v>
      </c>
      <c r="F1968" s="33" t="n">
        <v>0</v>
      </c>
      <c r="G1968" s="62"/>
      <c r="H1968" s="35" t="n">
        <v>0</v>
      </c>
      <c r="I1968" s="34" t="n">
        <f aca="false">+IF(E1968=0,0,E1968*0.03)</f>
        <v>0</v>
      </c>
    </row>
    <row r="1969" customFormat="false" ht="15.75" hidden="false" customHeight="true" outlineLevel="0" collapsed="false">
      <c r="A1969" s="30" t="n">
        <v>45323</v>
      </c>
      <c r="B1969" s="31" t="s">
        <v>11</v>
      </c>
      <c r="C1969" s="32"/>
      <c r="D1969" s="32"/>
      <c r="E1969" s="19" t="n">
        <f aca="false">+IF(C1969="EQUIPO",F1969,0)</f>
        <v>0</v>
      </c>
      <c r="F1969" s="33" t="n">
        <v>0</v>
      </c>
      <c r="G1969" s="62"/>
      <c r="H1969" s="35" t="n">
        <v>0</v>
      </c>
      <c r="I1969" s="34" t="n">
        <f aca="false">+IF(E1969=0,0,E1969*0.03)</f>
        <v>0</v>
      </c>
    </row>
    <row r="1970" customFormat="false" ht="15.75" hidden="false" customHeight="true" outlineLevel="0" collapsed="false">
      <c r="A1970" s="30" t="n">
        <v>45323</v>
      </c>
      <c r="B1970" s="31" t="s">
        <v>11</v>
      </c>
      <c r="C1970" s="32"/>
      <c r="D1970" s="32"/>
      <c r="E1970" s="19" t="n">
        <f aca="false">+IF(C1970="EQUIPO",F1970,0)</f>
        <v>0</v>
      </c>
      <c r="F1970" s="33" t="n">
        <v>0</v>
      </c>
      <c r="G1970" s="62"/>
      <c r="H1970" s="35" t="n">
        <v>0</v>
      </c>
      <c r="I1970" s="34" t="n">
        <f aca="false">+IF(E1970=0,0,E1970*0.03)</f>
        <v>0</v>
      </c>
    </row>
    <row r="1971" customFormat="false" ht="15.75" hidden="false" customHeight="true" outlineLevel="0" collapsed="false">
      <c r="A1971" s="30" t="n">
        <v>45323</v>
      </c>
      <c r="B1971" s="31" t="s">
        <v>11</v>
      </c>
      <c r="C1971" s="32"/>
      <c r="D1971" s="32"/>
      <c r="E1971" s="19" t="n">
        <f aca="false">+IF(C1971="EQUIPO",F1971,0)</f>
        <v>0</v>
      </c>
      <c r="F1971" s="33" t="n">
        <v>0</v>
      </c>
      <c r="G1971" s="62"/>
      <c r="H1971" s="35" t="n">
        <v>0</v>
      </c>
      <c r="I1971" s="34" t="n">
        <f aca="false">+IF(E1971=0,0,E1971*0.03)</f>
        <v>0</v>
      </c>
    </row>
    <row r="1972" customFormat="false" ht="15.75" hidden="false" customHeight="true" outlineLevel="0" collapsed="false">
      <c r="A1972" s="30" t="n">
        <v>45323</v>
      </c>
      <c r="B1972" s="31" t="s">
        <v>11</v>
      </c>
      <c r="C1972" s="32"/>
      <c r="D1972" s="32"/>
      <c r="E1972" s="19" t="n">
        <f aca="false">+IF(C1972="EQUIPO",F1972,0)</f>
        <v>0</v>
      </c>
      <c r="F1972" s="33" t="n">
        <v>0</v>
      </c>
      <c r="G1972" s="62"/>
      <c r="H1972" s="35" t="n">
        <v>0</v>
      </c>
      <c r="I1972" s="34" t="n">
        <f aca="false">+IF(E1972=0,0,E1972*0.03)</f>
        <v>0</v>
      </c>
    </row>
    <row r="1973" customFormat="false" ht="15.75" hidden="false" customHeight="true" outlineLevel="0" collapsed="false">
      <c r="A1973" s="30" t="n">
        <v>45323</v>
      </c>
      <c r="B1973" s="31" t="s">
        <v>11</v>
      </c>
      <c r="C1973" s="32"/>
      <c r="D1973" s="32"/>
      <c r="E1973" s="19" t="n">
        <f aca="false">+IF(C1973="EQUIPO",F1973,0)</f>
        <v>0</v>
      </c>
      <c r="F1973" s="33" t="n">
        <v>0</v>
      </c>
      <c r="G1973" s="62"/>
      <c r="H1973" s="35" t="n">
        <v>0</v>
      </c>
      <c r="I1973" s="34" t="n">
        <f aca="false">+IF(E1973=0,0,E1973*0.03)</f>
        <v>0</v>
      </c>
    </row>
    <row r="1974" customFormat="false" ht="15.75" hidden="false" customHeight="true" outlineLevel="0" collapsed="false">
      <c r="A1974" s="30" t="n">
        <v>45323</v>
      </c>
      <c r="B1974" s="31" t="s">
        <v>11</v>
      </c>
      <c r="C1974" s="32"/>
      <c r="D1974" s="32"/>
      <c r="E1974" s="19" t="n">
        <f aca="false">+IF(C1974="EQUIPO",F1974,0)</f>
        <v>0</v>
      </c>
      <c r="F1974" s="33" t="n">
        <v>0</v>
      </c>
      <c r="G1974" s="62"/>
      <c r="H1974" s="35" t="n">
        <v>0</v>
      </c>
      <c r="I1974" s="34" t="n">
        <f aca="false">+IF(E1974=0,0,E1974*0.03)</f>
        <v>0</v>
      </c>
    </row>
    <row r="1975" customFormat="false" ht="15.75" hidden="false" customHeight="true" outlineLevel="0" collapsed="false">
      <c r="A1975" s="30" t="n">
        <v>45323</v>
      </c>
      <c r="B1975" s="31" t="s">
        <v>11</v>
      </c>
      <c r="C1975" s="32"/>
      <c r="D1975" s="32"/>
      <c r="E1975" s="19" t="n">
        <f aca="false">+IF(C1975="EQUIPO",F1975,0)</f>
        <v>0</v>
      </c>
      <c r="F1975" s="33" t="n">
        <v>0</v>
      </c>
      <c r="G1975" s="62"/>
      <c r="H1975" s="35" t="n">
        <v>0</v>
      </c>
      <c r="I1975" s="34" t="n">
        <f aca="false">+IF(E1975=0,0,E1975*0.03)</f>
        <v>0</v>
      </c>
    </row>
    <row r="1976" customFormat="false" ht="15.75" hidden="false" customHeight="true" outlineLevel="0" collapsed="false">
      <c r="A1976" s="30" t="n">
        <v>45323</v>
      </c>
      <c r="B1976" s="31" t="s">
        <v>11</v>
      </c>
      <c r="C1976" s="32"/>
      <c r="D1976" s="32"/>
      <c r="E1976" s="19" t="n">
        <f aca="false">+IF(C1976="EQUIPO",F1976,0)</f>
        <v>0</v>
      </c>
      <c r="F1976" s="33" t="n">
        <v>0</v>
      </c>
      <c r="G1976" s="62"/>
      <c r="H1976" s="35" t="n">
        <v>0</v>
      </c>
      <c r="I1976" s="34" t="n">
        <f aca="false">+IF(E1976=0,0,E1976*0.03)</f>
        <v>0</v>
      </c>
    </row>
    <row r="1977" customFormat="false" ht="15.75" hidden="false" customHeight="true" outlineLevel="0" collapsed="false">
      <c r="A1977" s="30" t="n">
        <v>45323</v>
      </c>
      <c r="B1977" s="31" t="s">
        <v>11</v>
      </c>
      <c r="C1977" s="32"/>
      <c r="D1977" s="32"/>
      <c r="E1977" s="19" t="n">
        <f aca="false">+IF(C1977="EQUIPO",F1977,0)</f>
        <v>0</v>
      </c>
      <c r="F1977" s="33" t="n">
        <v>0</v>
      </c>
      <c r="G1977" s="62"/>
      <c r="H1977" s="35" t="n">
        <v>0</v>
      </c>
      <c r="I1977" s="34" t="n">
        <f aca="false">+IF(E1977=0,0,E1977*0.03)</f>
        <v>0</v>
      </c>
    </row>
    <row r="1978" customFormat="false" ht="15.75" hidden="false" customHeight="true" outlineLevel="0" collapsed="false">
      <c r="A1978" s="30" t="n">
        <v>45323</v>
      </c>
      <c r="B1978" s="31" t="s">
        <v>11</v>
      </c>
      <c r="C1978" s="32"/>
      <c r="D1978" s="32"/>
      <c r="E1978" s="19" t="n">
        <f aca="false">+IF(C1978="EQUIPO",F1978,0)</f>
        <v>0</v>
      </c>
      <c r="F1978" s="33" t="n">
        <v>0</v>
      </c>
      <c r="G1978" s="62"/>
      <c r="H1978" s="35" t="n">
        <v>0</v>
      </c>
      <c r="I1978" s="34" t="n">
        <f aca="false">+IF(E1978=0,0,E1978*0.03)</f>
        <v>0</v>
      </c>
    </row>
    <row r="1979" customFormat="false" ht="15.75" hidden="false" customHeight="true" outlineLevel="0" collapsed="false">
      <c r="A1979" s="30" t="n">
        <v>45323</v>
      </c>
      <c r="B1979" s="31" t="s">
        <v>11</v>
      </c>
      <c r="C1979" s="32"/>
      <c r="D1979" s="32"/>
      <c r="E1979" s="19" t="n">
        <f aca="false">+IF(C1979="EQUIPO",F1979,0)</f>
        <v>0</v>
      </c>
      <c r="F1979" s="33" t="n">
        <v>0</v>
      </c>
      <c r="G1979" s="62"/>
      <c r="H1979" s="35" t="n">
        <v>0</v>
      </c>
      <c r="I1979" s="34" t="n">
        <f aca="false">+IF(E1979=0,0,E1979*0.03)</f>
        <v>0</v>
      </c>
    </row>
    <row r="1980" customFormat="false" ht="15.75" hidden="false" customHeight="true" outlineLevel="0" collapsed="false">
      <c r="A1980" s="30" t="n">
        <v>45323</v>
      </c>
      <c r="B1980" s="31" t="s">
        <v>11</v>
      </c>
      <c r="C1980" s="32"/>
      <c r="D1980" s="32"/>
      <c r="E1980" s="19" t="n">
        <f aca="false">+IF(C1980="EQUIPO",F1980,0)</f>
        <v>0</v>
      </c>
      <c r="F1980" s="33" t="n">
        <v>0</v>
      </c>
      <c r="G1980" s="62"/>
      <c r="H1980" s="35" t="n">
        <v>0</v>
      </c>
      <c r="I1980" s="34" t="n">
        <f aca="false">+IF(E1980=0,0,E1980*0.03)</f>
        <v>0</v>
      </c>
    </row>
    <row r="1981" customFormat="false" ht="15.75" hidden="false" customHeight="true" outlineLevel="0" collapsed="false">
      <c r="A1981" s="30" t="n">
        <v>45323</v>
      </c>
      <c r="B1981" s="31" t="s">
        <v>11</v>
      </c>
      <c r="C1981" s="32"/>
      <c r="D1981" s="32"/>
      <c r="E1981" s="19" t="n">
        <f aca="false">+IF(C1981="EQUIPO",F1981,0)</f>
        <v>0</v>
      </c>
      <c r="F1981" s="33" t="n">
        <v>0</v>
      </c>
      <c r="G1981" s="62"/>
      <c r="H1981" s="35" t="n">
        <v>0</v>
      </c>
      <c r="I1981" s="34" t="n">
        <f aca="false">+IF(E1981=0,0,E1981*0.03)</f>
        <v>0</v>
      </c>
    </row>
    <row r="1982" customFormat="false" ht="15.75" hidden="false" customHeight="true" outlineLevel="0" collapsed="false">
      <c r="B1982" s="31"/>
      <c r="C1982" s="32"/>
      <c r="D1982" s="32" t="s">
        <v>26</v>
      </c>
      <c r="E1982" s="19" t="n">
        <f aca="false">SUM(E7:E1981)</f>
        <v>4355000</v>
      </c>
      <c r="F1982" s="19" t="n">
        <f aca="false">SUM(F7:F1981)</f>
        <v>4355000</v>
      </c>
      <c r="G1982" s="19"/>
      <c r="H1982" s="37" t="n">
        <f aca="false">SUM(H7:H1981)</f>
        <v>0</v>
      </c>
      <c r="I1982" s="38" t="n">
        <f aca="false">SUM(I7:I1981)</f>
        <v>130650</v>
      </c>
    </row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>
      <c r="P1988" s="36"/>
    </row>
    <row r="1989" customFormat="false" ht="15.75" hidden="false" customHeight="true" outlineLevel="0" collapsed="false"/>
    <row r="1990" customFormat="false" ht="15.75" hidden="false" customHeight="true" outlineLevel="0" collapsed="false">
      <c r="O1990" s="36"/>
      <c r="P1990" s="36"/>
    </row>
  </sheetData>
  <mergeCells count="4">
    <mergeCell ref="A1:A5"/>
    <mergeCell ref="H1:I1"/>
    <mergeCell ref="H2:I2"/>
    <mergeCell ref="C5:I5"/>
  </mergeCells>
  <dataValidations count="2">
    <dataValidation allowBlank="true" errorStyle="stop" operator="between" showDropDown="false" showErrorMessage="true" showInputMessage="false" sqref="G7:G1981" type="list">
      <formula1>$G$2:$G$4</formula1>
      <formula2>0</formula2>
    </dataValidation>
    <dataValidation allowBlank="true" errorStyle="stop" operator="between" showDropDown="false" showErrorMessage="true" showInputMessage="false" sqref="B7:B1982" type="list">
      <formula1>$B$1:$B$4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9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7" topLeftCell="A33" activePane="bottomLeft" state="frozen"/>
      <selection pane="topLeft" activeCell="B1" activeCellId="0" sqref="B1"/>
      <selection pane="bottomLeft" activeCell="F8" activeCellId="0" sqref="F8"/>
    </sheetView>
  </sheetViews>
  <sheetFormatPr defaultColWidth="14.4296875" defaultRowHeight="15" zeroHeight="false" outlineLevelRow="0" outlineLevelCol="0"/>
  <cols>
    <col collapsed="false" customWidth="true" hidden="false" outlineLevel="0" max="2" min="2" style="0" width="19.86"/>
    <col collapsed="false" customWidth="true" hidden="false" outlineLevel="0" max="3" min="3" style="0" width="17.14"/>
    <col collapsed="false" customWidth="true" hidden="false" outlineLevel="0" max="4" min="4" style="0" width="44.57"/>
    <col collapsed="false" customWidth="true" hidden="false" outlineLevel="0" max="5" min="5" style="0" width="15.15"/>
    <col collapsed="false" customWidth="true" hidden="false" outlineLevel="0" max="7" min="6" style="0" width="18.43"/>
    <col collapsed="false" customWidth="true" hidden="true" outlineLevel="0" max="8" min="8" style="0" width="13.86"/>
    <col collapsed="false" customWidth="true" hidden="true" outlineLevel="0" max="9" min="9" style="0" width="21"/>
    <col collapsed="false" customWidth="true" hidden="false" outlineLevel="0" max="14" min="10" style="0" width="10.7"/>
    <col collapsed="false" customWidth="true" hidden="false" outlineLevel="0" max="15" min="15" style="0" width="13.57"/>
    <col collapsed="false" customWidth="true" hidden="false" outlineLevel="0" max="16" min="16" style="0" width="14.7"/>
    <col collapsed="false" customWidth="true" hidden="false" outlineLevel="0" max="25" min="17" style="0" width="10.7"/>
  </cols>
  <sheetData>
    <row r="1" customFormat="false" ht="29.25" hidden="false" customHeight="true" outlineLevel="0" collapsed="false">
      <c r="A1" s="1" t="s">
        <v>27</v>
      </c>
      <c r="B1" s="67" t="s">
        <v>78</v>
      </c>
      <c r="C1" s="40" t="s">
        <v>2</v>
      </c>
      <c r="D1" s="41" t="s">
        <v>3</v>
      </c>
      <c r="E1" s="42"/>
      <c r="F1" s="43" t="s">
        <v>4</v>
      </c>
      <c r="G1" s="68" t="s">
        <v>28</v>
      </c>
      <c r="H1" s="69" t="s">
        <v>29</v>
      </c>
      <c r="I1" s="69"/>
    </row>
    <row r="2" customFormat="false" ht="14.25" hidden="false" customHeight="true" outlineLevel="0" collapsed="false">
      <c r="A2" s="1"/>
      <c r="B2" s="70" t="s">
        <v>79</v>
      </c>
      <c r="C2" s="9" t="n">
        <f aca="false">+E1982</f>
        <v>154200</v>
      </c>
      <c r="D2" s="10" t="n">
        <f aca="false">+F1982</f>
        <v>5140000</v>
      </c>
      <c r="E2" s="11"/>
      <c r="F2" s="47" t="n">
        <f aca="false">+D2-(C2+E2)</f>
        <v>4985800</v>
      </c>
      <c r="G2" s="71" t="s">
        <v>30</v>
      </c>
      <c r="H2" s="72" t="n">
        <v>0</v>
      </c>
      <c r="I2" s="72"/>
      <c r="Y2" s="14"/>
    </row>
    <row r="3" customFormat="false" ht="47.25" hidden="false" customHeight="true" outlineLevel="0" collapsed="false">
      <c r="A3" s="1"/>
      <c r="B3" s="46" t="s">
        <v>7</v>
      </c>
      <c r="C3" s="15" t="s">
        <v>8</v>
      </c>
      <c r="D3" s="16" t="s">
        <v>9</v>
      </c>
      <c r="E3" s="73" t="s">
        <v>80</v>
      </c>
      <c r="F3" s="50" t="s">
        <v>81</v>
      </c>
      <c r="G3" s="74" t="s">
        <v>31</v>
      </c>
      <c r="H3" s="75" t="n">
        <v>0.75</v>
      </c>
      <c r="I3" s="53" t="n">
        <v>0.25</v>
      </c>
      <c r="Y3" s="14"/>
    </row>
    <row r="4" customFormat="false" ht="14.25" hidden="false" customHeight="true" outlineLevel="0" collapsed="false">
      <c r="A4" s="1"/>
      <c r="B4" s="54" t="s">
        <v>11</v>
      </c>
      <c r="C4" s="55" t="n">
        <f aca="false">+C2/4</f>
        <v>38550</v>
      </c>
      <c r="D4" s="76" t="n">
        <f aca="false">+C4</f>
        <v>38550</v>
      </c>
      <c r="E4" s="77" t="n">
        <f aca="false">+C4</f>
        <v>38550</v>
      </c>
      <c r="F4" s="58" t="n">
        <f aca="false">+C4</f>
        <v>38550</v>
      </c>
      <c r="G4" s="78" t="s">
        <v>32</v>
      </c>
      <c r="H4" s="79" t="n">
        <f aca="false">+C2*H3</f>
        <v>115650</v>
      </c>
      <c r="I4" s="80" t="n">
        <f aca="false">+C2*I3</f>
        <v>38550</v>
      </c>
    </row>
    <row r="5" customFormat="false" ht="14.25" hidden="false" customHeight="true" outlineLevel="0" collapsed="false">
      <c r="A5" s="1"/>
      <c r="B5" s="23" t="s">
        <v>12</v>
      </c>
      <c r="C5" s="24" t="n">
        <f aca="false">H1982</f>
        <v>0</v>
      </c>
      <c r="D5" s="24"/>
      <c r="E5" s="24"/>
      <c r="F5" s="24"/>
      <c r="G5" s="24"/>
      <c r="H5" s="24"/>
      <c r="I5" s="24"/>
    </row>
    <row r="6" customFormat="false" ht="14.25" hidden="false" customHeight="true" outlineLevel="0" collapsed="false">
      <c r="A6" s="25" t="s">
        <v>13</v>
      </c>
      <c r="B6" s="25" t="s">
        <v>14</v>
      </c>
      <c r="C6" s="25" t="s">
        <v>82</v>
      </c>
      <c r="D6" s="26" t="s">
        <v>16</v>
      </c>
      <c r="E6" s="26" t="s">
        <v>17</v>
      </c>
      <c r="F6" s="27" t="s">
        <v>83</v>
      </c>
      <c r="G6" s="27" t="s">
        <v>28</v>
      </c>
      <c r="H6" s="28" t="s">
        <v>19</v>
      </c>
      <c r="I6" s="29" t="s">
        <v>20</v>
      </c>
      <c r="O6" s="19"/>
    </row>
    <row r="7" customFormat="false" ht="16.4" hidden="false" customHeight="false" outlineLevel="0" collapsed="false">
      <c r="A7" s="30" t="n">
        <v>45323</v>
      </c>
      <c r="B7" s="31" t="s">
        <v>7</v>
      </c>
      <c r="C7" s="32" t="s">
        <v>15</v>
      </c>
      <c r="D7" s="32"/>
      <c r="E7" s="19" t="n">
        <f aca="false">+F7*0.03</f>
        <v>0</v>
      </c>
      <c r="F7" s="33"/>
      <c r="G7" s="62" t="s">
        <v>30</v>
      </c>
      <c r="H7" s="34" t="n">
        <v>0</v>
      </c>
      <c r="I7" s="34" t="n">
        <f aca="false">+IF(E7=0,0,E7*0.03)</f>
        <v>0</v>
      </c>
      <c r="O7" s="19"/>
    </row>
    <row r="8" customFormat="false" ht="14.25" hidden="false" customHeight="true" outlineLevel="0" collapsed="false">
      <c r="A8" s="30" t="n">
        <v>45383</v>
      </c>
      <c r="B8" s="31" t="s">
        <v>7</v>
      </c>
      <c r="C8" s="32" t="s">
        <v>15</v>
      </c>
      <c r="D8" s="32" t="s">
        <v>84</v>
      </c>
      <c r="E8" s="19" t="n">
        <f aca="false">+F8*0.03</f>
        <v>16500</v>
      </c>
      <c r="F8" s="33" t="n">
        <v>550000</v>
      </c>
      <c r="G8" s="62" t="s">
        <v>32</v>
      </c>
      <c r="H8" s="34" t="n">
        <v>0</v>
      </c>
      <c r="I8" s="34" t="n">
        <f aca="false">+IF(E8=0,0,E8*0.03)</f>
        <v>495</v>
      </c>
    </row>
    <row r="9" customFormat="false" ht="14.25" hidden="false" customHeight="true" outlineLevel="0" collapsed="false">
      <c r="A9" s="65" t="n">
        <v>45390</v>
      </c>
      <c r="B9" s="31" t="s">
        <v>7</v>
      </c>
      <c r="C9" s="32" t="s">
        <v>15</v>
      </c>
      <c r="D9" s="32" t="s">
        <v>85</v>
      </c>
      <c r="E9" s="19" t="n">
        <f aca="false">+F9*0.03</f>
        <v>3300</v>
      </c>
      <c r="F9" s="33" t="n">
        <v>110000</v>
      </c>
      <c r="G9" s="62" t="s">
        <v>30</v>
      </c>
      <c r="H9" s="34" t="n">
        <v>0</v>
      </c>
      <c r="I9" s="34" t="n">
        <f aca="false">+IF(E9=0,0,E9*0.03)</f>
        <v>99</v>
      </c>
    </row>
    <row r="10" customFormat="false" ht="14.25" hidden="false" customHeight="true" outlineLevel="0" collapsed="false">
      <c r="A10" s="65" t="n">
        <v>45390</v>
      </c>
      <c r="B10" s="31" t="s">
        <v>7</v>
      </c>
      <c r="C10" s="32" t="s">
        <v>15</v>
      </c>
      <c r="D10" s="32" t="s">
        <v>86</v>
      </c>
      <c r="E10" s="19" t="n">
        <f aca="false">+F10*0.03</f>
        <v>5100</v>
      </c>
      <c r="F10" s="33" t="n">
        <v>170000</v>
      </c>
      <c r="G10" s="62" t="s">
        <v>31</v>
      </c>
      <c r="H10" s="34" t="n">
        <v>0</v>
      </c>
      <c r="I10" s="34" t="n">
        <f aca="false">+IF(E10=0,0,E10*0.03)</f>
        <v>153</v>
      </c>
    </row>
    <row r="11" customFormat="false" ht="14.25" hidden="false" customHeight="true" outlineLevel="0" collapsed="false">
      <c r="A11" s="30" t="n">
        <v>45390</v>
      </c>
      <c r="B11" s="31" t="s">
        <v>7</v>
      </c>
      <c r="C11" s="32" t="s">
        <v>15</v>
      </c>
      <c r="D11" s="32" t="s">
        <v>87</v>
      </c>
      <c r="E11" s="19" t="n">
        <f aca="false">+F11*0.03</f>
        <v>2400</v>
      </c>
      <c r="F11" s="33" t="n">
        <v>80000</v>
      </c>
      <c r="G11" s="62" t="s">
        <v>30</v>
      </c>
      <c r="H11" s="35" t="n">
        <v>0</v>
      </c>
      <c r="I11" s="34" t="n">
        <f aca="false">+IF(E11=0,0,E11*0.03)</f>
        <v>72</v>
      </c>
      <c r="O11" s="36"/>
    </row>
    <row r="12" customFormat="false" ht="14.25" hidden="false" customHeight="true" outlineLevel="0" collapsed="false">
      <c r="A12" s="65" t="n">
        <v>45390</v>
      </c>
      <c r="B12" s="31" t="s">
        <v>7</v>
      </c>
      <c r="C12" s="32" t="s">
        <v>15</v>
      </c>
      <c r="D12" s="32" t="s">
        <v>88</v>
      </c>
      <c r="E12" s="19" t="n">
        <f aca="false">+F12*0.03</f>
        <v>3000</v>
      </c>
      <c r="F12" s="33" t="n">
        <v>100000</v>
      </c>
      <c r="G12" s="62" t="s">
        <v>30</v>
      </c>
      <c r="H12" s="35" t="n">
        <v>0</v>
      </c>
      <c r="I12" s="34" t="n">
        <f aca="false">+IF(E12=0,0,E12*0.03)</f>
        <v>90</v>
      </c>
    </row>
    <row r="13" customFormat="false" ht="14.25" hidden="false" customHeight="true" outlineLevel="0" collapsed="false">
      <c r="A13" s="65" t="n">
        <v>45394</v>
      </c>
      <c r="B13" s="31" t="s">
        <v>7</v>
      </c>
      <c r="C13" s="32" t="s">
        <v>15</v>
      </c>
      <c r="D13" s="32" t="s">
        <v>89</v>
      </c>
      <c r="E13" s="19" t="n">
        <f aca="false">+F13*0.03</f>
        <v>1650</v>
      </c>
      <c r="F13" s="33" t="n">
        <v>55000</v>
      </c>
      <c r="G13" s="62" t="s">
        <v>31</v>
      </c>
      <c r="H13" s="35" t="n">
        <v>0</v>
      </c>
      <c r="I13" s="34" t="n">
        <f aca="false">+IF(E13=0,0,E13*0.03)</f>
        <v>49.5</v>
      </c>
    </row>
    <row r="14" customFormat="false" ht="14.25" hidden="false" customHeight="true" outlineLevel="0" collapsed="false">
      <c r="A14" s="30" t="n">
        <v>45394</v>
      </c>
      <c r="B14" s="31" t="s">
        <v>7</v>
      </c>
      <c r="C14" s="32" t="s">
        <v>15</v>
      </c>
      <c r="D14" s="32" t="s">
        <v>90</v>
      </c>
      <c r="E14" s="19" t="n">
        <f aca="false">+F14*0.03</f>
        <v>1500</v>
      </c>
      <c r="F14" s="33" t="n">
        <v>50000</v>
      </c>
      <c r="G14" s="62" t="s">
        <v>31</v>
      </c>
      <c r="H14" s="35" t="n">
        <v>0</v>
      </c>
      <c r="I14" s="34" t="n">
        <f aca="false">+IF(E14=0,0,E14*0.03)</f>
        <v>45</v>
      </c>
    </row>
    <row r="15" customFormat="false" ht="14.25" hidden="false" customHeight="true" outlineLevel="0" collapsed="false">
      <c r="A15" s="65" t="n">
        <v>45400</v>
      </c>
      <c r="B15" s="31" t="s">
        <v>7</v>
      </c>
      <c r="C15" s="32" t="s">
        <v>15</v>
      </c>
      <c r="D15" s="32" t="s">
        <v>91</v>
      </c>
      <c r="E15" s="19" t="n">
        <f aca="false">+F15*0.03</f>
        <v>3900</v>
      </c>
      <c r="F15" s="33" t="n">
        <v>130000</v>
      </c>
      <c r="G15" s="62" t="s">
        <v>30</v>
      </c>
      <c r="H15" s="35" t="n">
        <v>0</v>
      </c>
      <c r="I15" s="34" t="n">
        <f aca="false">+IF(E15=0,0,E15*0.03)</f>
        <v>117</v>
      </c>
    </row>
    <row r="16" customFormat="false" ht="14.25" hidden="false" customHeight="true" outlineLevel="0" collapsed="false">
      <c r="A16" s="65" t="n">
        <v>45400</v>
      </c>
      <c r="B16" s="31" t="s">
        <v>7</v>
      </c>
      <c r="C16" s="32" t="s">
        <v>15</v>
      </c>
      <c r="D16" s="32" t="s">
        <v>92</v>
      </c>
      <c r="E16" s="19" t="n">
        <f aca="false">+F16*0.03</f>
        <v>450</v>
      </c>
      <c r="F16" s="33" t="n">
        <v>15000</v>
      </c>
      <c r="G16" s="62" t="s">
        <v>30</v>
      </c>
      <c r="H16" s="35" t="n">
        <v>0</v>
      </c>
      <c r="I16" s="34" t="n">
        <f aca="false">+IF(E16=0,0,E16*0.03)</f>
        <v>13.5</v>
      </c>
    </row>
    <row r="17" customFormat="false" ht="14.25" hidden="false" customHeight="true" outlineLevel="0" collapsed="false">
      <c r="A17" s="30" t="n">
        <v>45400</v>
      </c>
      <c r="B17" s="31" t="s">
        <v>7</v>
      </c>
      <c r="C17" s="32" t="s">
        <v>15</v>
      </c>
      <c r="D17" s="32" t="s">
        <v>93</v>
      </c>
      <c r="E17" s="19" t="n">
        <f aca="false">+F17*0.03</f>
        <v>1350</v>
      </c>
      <c r="F17" s="33" t="n">
        <v>45000</v>
      </c>
      <c r="G17" s="62" t="s">
        <v>31</v>
      </c>
      <c r="H17" s="35" t="n">
        <v>0</v>
      </c>
      <c r="I17" s="34" t="n">
        <f aca="false">+IF(E17=0,0,E17*0.03)</f>
        <v>40.5</v>
      </c>
    </row>
    <row r="18" customFormat="false" ht="14.25" hidden="false" customHeight="true" outlineLevel="0" collapsed="false">
      <c r="A18" s="30" t="n">
        <v>45404</v>
      </c>
      <c r="B18" s="31" t="s">
        <v>7</v>
      </c>
      <c r="C18" s="32" t="s">
        <v>15</v>
      </c>
      <c r="D18" s="32" t="s">
        <v>94</v>
      </c>
      <c r="E18" s="19" t="n">
        <f aca="false">+F18*0.03</f>
        <v>750</v>
      </c>
      <c r="F18" s="33" t="n">
        <v>25000</v>
      </c>
      <c r="G18" s="62" t="s">
        <v>30</v>
      </c>
      <c r="H18" s="35" t="n">
        <v>0</v>
      </c>
      <c r="I18" s="34" t="n">
        <f aca="false">+IF(E18=0,0,E18*0.03)</f>
        <v>22.5</v>
      </c>
    </row>
    <row r="19" customFormat="false" ht="14.25" hidden="false" customHeight="true" outlineLevel="0" collapsed="false">
      <c r="A19" s="30" t="n">
        <v>45404</v>
      </c>
      <c r="B19" s="31" t="s">
        <v>7</v>
      </c>
      <c r="C19" s="32" t="s">
        <v>15</v>
      </c>
      <c r="D19" s="32" t="s">
        <v>95</v>
      </c>
      <c r="E19" s="19" t="n">
        <f aca="false">+F19*0.03</f>
        <v>450</v>
      </c>
      <c r="F19" s="33" t="n">
        <v>15000</v>
      </c>
      <c r="G19" s="62" t="s">
        <v>30</v>
      </c>
      <c r="H19" s="35" t="n">
        <v>0</v>
      </c>
      <c r="I19" s="34" t="n">
        <f aca="false">+IF(E19=0,0,E19*0.03)</f>
        <v>13.5</v>
      </c>
    </row>
    <row r="20" customFormat="false" ht="14.25" hidden="false" customHeight="true" outlineLevel="0" collapsed="false">
      <c r="A20" s="30" t="n">
        <v>45405</v>
      </c>
      <c r="B20" s="31" t="s">
        <v>7</v>
      </c>
      <c r="C20" s="32" t="s">
        <v>15</v>
      </c>
      <c r="D20" s="32" t="s">
        <v>96</v>
      </c>
      <c r="E20" s="19" t="n">
        <f aca="false">+F20*0.03</f>
        <v>2100</v>
      </c>
      <c r="F20" s="33" t="n">
        <v>70000</v>
      </c>
      <c r="G20" s="62" t="s">
        <v>30</v>
      </c>
      <c r="H20" s="35" t="n">
        <v>0</v>
      </c>
      <c r="I20" s="34" t="n">
        <f aca="false">+IF(E20=0,0,E20*0.03)</f>
        <v>63</v>
      </c>
    </row>
    <row r="21" customFormat="false" ht="14.25" hidden="false" customHeight="true" outlineLevel="0" collapsed="false">
      <c r="A21" s="30" t="n">
        <v>45405</v>
      </c>
      <c r="B21" s="31" t="s">
        <v>7</v>
      </c>
      <c r="C21" s="32" t="s">
        <v>15</v>
      </c>
      <c r="D21" s="32" t="s">
        <v>97</v>
      </c>
      <c r="E21" s="19" t="n">
        <f aca="false">+F21*0.03</f>
        <v>2400</v>
      </c>
      <c r="F21" s="33" t="n">
        <v>80000</v>
      </c>
      <c r="G21" s="62" t="s">
        <v>31</v>
      </c>
      <c r="H21" s="35" t="n">
        <v>0</v>
      </c>
      <c r="I21" s="34" t="n">
        <f aca="false">+IF(E21=0,0,E21*0.03)</f>
        <v>72</v>
      </c>
    </row>
    <row r="22" customFormat="false" ht="15.75" hidden="false" customHeight="true" outlineLevel="0" collapsed="false">
      <c r="A22" s="30" t="n">
        <v>45405</v>
      </c>
      <c r="B22" s="31" t="s">
        <v>7</v>
      </c>
      <c r="C22" s="32" t="s">
        <v>15</v>
      </c>
      <c r="D22" s="32" t="s">
        <v>98</v>
      </c>
      <c r="E22" s="19" t="n">
        <f aca="false">+F22*0.03</f>
        <v>3000</v>
      </c>
      <c r="F22" s="33" t="n">
        <v>100000</v>
      </c>
      <c r="G22" s="62" t="s">
        <v>31</v>
      </c>
      <c r="H22" s="35" t="n">
        <v>0</v>
      </c>
      <c r="I22" s="34" t="n">
        <f aca="false">+IF(E22=0,0,E22*0.03)</f>
        <v>90</v>
      </c>
    </row>
    <row r="23" customFormat="false" ht="15.75" hidden="false" customHeight="true" outlineLevel="0" collapsed="false">
      <c r="A23" s="30" t="n">
        <v>45405</v>
      </c>
      <c r="B23" s="31" t="s">
        <v>7</v>
      </c>
      <c r="C23" s="32" t="s">
        <v>15</v>
      </c>
      <c r="D23" s="32" t="s">
        <v>99</v>
      </c>
      <c r="E23" s="19" t="n">
        <f aca="false">+F23*0.03</f>
        <v>2550</v>
      </c>
      <c r="F23" s="33" t="n">
        <v>85000</v>
      </c>
      <c r="G23" s="62" t="s">
        <v>31</v>
      </c>
      <c r="H23" s="35" t="n">
        <v>0</v>
      </c>
      <c r="I23" s="34" t="n">
        <f aca="false">+IF(E23=0,0,E23*0.03)</f>
        <v>76.5</v>
      </c>
    </row>
    <row r="24" customFormat="false" ht="15.75" hidden="false" customHeight="true" outlineLevel="0" collapsed="false">
      <c r="A24" s="65" t="n">
        <v>45406</v>
      </c>
      <c r="B24" s="31" t="s">
        <v>7</v>
      </c>
      <c r="C24" s="32" t="s">
        <v>15</v>
      </c>
      <c r="D24" s="32" t="s">
        <v>100</v>
      </c>
      <c r="E24" s="19" t="n">
        <f aca="false">+F24*0.03</f>
        <v>1350</v>
      </c>
      <c r="F24" s="33" t="n">
        <v>45000</v>
      </c>
      <c r="G24" s="62" t="s">
        <v>31</v>
      </c>
      <c r="H24" s="35" t="n">
        <v>0</v>
      </c>
      <c r="I24" s="34" t="n">
        <f aca="false">+IF(E24=0,0,E24*0.03)</f>
        <v>40.5</v>
      </c>
    </row>
    <row r="25" customFormat="false" ht="15.75" hidden="false" customHeight="true" outlineLevel="0" collapsed="false">
      <c r="A25" s="65" t="n">
        <v>45406</v>
      </c>
      <c r="B25" s="31" t="s">
        <v>7</v>
      </c>
      <c r="C25" s="32" t="s">
        <v>15</v>
      </c>
      <c r="D25" s="32" t="s">
        <v>101</v>
      </c>
      <c r="E25" s="19" t="n">
        <f aca="false">+F25*0.03</f>
        <v>8700</v>
      </c>
      <c r="F25" s="33" t="n">
        <v>290000</v>
      </c>
      <c r="G25" s="62" t="s">
        <v>30</v>
      </c>
      <c r="H25" s="35" t="n">
        <v>0</v>
      </c>
      <c r="I25" s="34" t="n">
        <f aca="false">+IF(E25=0,0,E25*0.03)</f>
        <v>261</v>
      </c>
    </row>
    <row r="26" customFormat="false" ht="15.75" hidden="false" customHeight="true" outlineLevel="0" collapsed="false">
      <c r="A26" s="30" t="n">
        <v>45407</v>
      </c>
      <c r="B26" s="31" t="s">
        <v>7</v>
      </c>
      <c r="C26" s="32" t="s">
        <v>15</v>
      </c>
      <c r="D26" s="32" t="s">
        <v>102</v>
      </c>
      <c r="E26" s="19" t="n">
        <f aca="false">+F26*0.03</f>
        <v>2400</v>
      </c>
      <c r="F26" s="33" t="n">
        <v>80000</v>
      </c>
      <c r="G26" s="62" t="s">
        <v>31</v>
      </c>
      <c r="H26" s="35" t="n">
        <v>0</v>
      </c>
      <c r="I26" s="34" t="n">
        <f aca="false">+IF(E26=0,0,E26*0.03)</f>
        <v>72</v>
      </c>
    </row>
    <row r="27" customFormat="false" ht="15.75" hidden="false" customHeight="true" outlineLevel="0" collapsed="false">
      <c r="A27" s="65" t="n">
        <v>45407</v>
      </c>
      <c r="B27" s="31" t="s">
        <v>7</v>
      </c>
      <c r="C27" s="32" t="s">
        <v>15</v>
      </c>
      <c r="D27" s="32" t="s">
        <v>103</v>
      </c>
      <c r="E27" s="19" t="n">
        <f aca="false">+F27*0.03</f>
        <v>24000</v>
      </c>
      <c r="F27" s="33" t="n">
        <v>800000</v>
      </c>
      <c r="G27" s="62" t="s">
        <v>32</v>
      </c>
      <c r="H27" s="35" t="n">
        <v>0</v>
      </c>
      <c r="I27" s="34" t="n">
        <f aca="false">+IF(E27=0,0,E27*0.03)</f>
        <v>720</v>
      </c>
    </row>
    <row r="28" customFormat="false" ht="15.75" hidden="false" customHeight="true" outlineLevel="0" collapsed="false">
      <c r="A28" s="65" t="n">
        <v>45407</v>
      </c>
      <c r="B28" s="31" t="s">
        <v>7</v>
      </c>
      <c r="C28" s="32" t="s">
        <v>15</v>
      </c>
      <c r="D28" s="32" t="s">
        <v>104</v>
      </c>
      <c r="E28" s="19" t="n">
        <f aca="false">+F28*0.03</f>
        <v>600</v>
      </c>
      <c r="F28" s="33" t="n">
        <v>20000</v>
      </c>
      <c r="G28" s="62" t="s">
        <v>30</v>
      </c>
      <c r="H28" s="35" t="n">
        <v>0</v>
      </c>
      <c r="I28" s="34" t="n">
        <f aca="false">+IF(E28=0,0,E28*0.03)</f>
        <v>18</v>
      </c>
    </row>
    <row r="29" customFormat="false" ht="15.75" hidden="false" customHeight="true" outlineLevel="0" collapsed="false">
      <c r="A29" s="30" t="n">
        <v>45407</v>
      </c>
      <c r="B29" s="31" t="s">
        <v>7</v>
      </c>
      <c r="C29" s="32" t="s">
        <v>15</v>
      </c>
      <c r="D29" s="32" t="s">
        <v>105</v>
      </c>
      <c r="E29" s="19" t="n">
        <f aca="false">+F29*0.03</f>
        <v>6900</v>
      </c>
      <c r="F29" s="33" t="n">
        <v>230000</v>
      </c>
      <c r="G29" s="62" t="s">
        <v>30</v>
      </c>
      <c r="H29" s="35" t="n">
        <v>0</v>
      </c>
      <c r="I29" s="34" t="n">
        <f aca="false">+IF(E29=0,0,E29*0.03)</f>
        <v>207</v>
      </c>
    </row>
    <row r="30" customFormat="false" ht="15.75" hidden="false" customHeight="true" outlineLevel="0" collapsed="false">
      <c r="A30" s="65" t="n">
        <v>45408</v>
      </c>
      <c r="B30" s="31" t="s">
        <v>7</v>
      </c>
      <c r="C30" s="32" t="s">
        <v>15</v>
      </c>
      <c r="D30" s="81" t="s">
        <v>106</v>
      </c>
      <c r="E30" s="19" t="n">
        <f aca="false">+F30*0.03</f>
        <v>2400</v>
      </c>
      <c r="F30" s="33" t="n">
        <v>80000</v>
      </c>
      <c r="G30" s="62" t="s">
        <v>31</v>
      </c>
      <c r="H30" s="35" t="n">
        <v>0</v>
      </c>
      <c r="I30" s="34" t="n">
        <f aca="false">+IF(E30=0,0,E30*0.03)</f>
        <v>72</v>
      </c>
    </row>
    <row r="31" customFormat="false" ht="15.75" hidden="false" customHeight="true" outlineLevel="0" collapsed="false">
      <c r="A31" s="65" t="n">
        <v>45408</v>
      </c>
      <c r="B31" s="31" t="s">
        <v>7</v>
      </c>
      <c r="C31" s="32" t="s">
        <v>15</v>
      </c>
      <c r="D31" s="32" t="s">
        <v>107</v>
      </c>
      <c r="E31" s="19" t="n">
        <f aca="false">+F31*0.03</f>
        <v>6300</v>
      </c>
      <c r="F31" s="33" t="n">
        <v>210000</v>
      </c>
      <c r="G31" s="62" t="s">
        <v>31</v>
      </c>
      <c r="H31" s="35" t="n">
        <v>0</v>
      </c>
      <c r="I31" s="34" t="n">
        <f aca="false">+IF(E31=0,0,E31*0.03)</f>
        <v>189</v>
      </c>
    </row>
    <row r="32" customFormat="false" ht="15.75" hidden="false" customHeight="true" outlineLevel="0" collapsed="false">
      <c r="A32" s="30" t="n">
        <v>45409</v>
      </c>
      <c r="B32" s="31" t="s">
        <v>7</v>
      </c>
      <c r="C32" s="32" t="s">
        <v>15</v>
      </c>
      <c r="D32" s="81" t="s">
        <v>108</v>
      </c>
      <c r="E32" s="19" t="n">
        <f aca="false">+F32*0.03</f>
        <v>2400</v>
      </c>
      <c r="F32" s="33" t="n">
        <v>80000</v>
      </c>
      <c r="G32" s="62" t="s">
        <v>30</v>
      </c>
      <c r="H32" s="35" t="n">
        <v>0</v>
      </c>
      <c r="I32" s="34" t="n">
        <f aca="false">+IF(E32=0,0,E32*0.03)</f>
        <v>72</v>
      </c>
    </row>
    <row r="33" customFormat="false" ht="15.75" hidden="false" customHeight="true" outlineLevel="0" collapsed="false">
      <c r="A33" s="65" t="n">
        <v>45409</v>
      </c>
      <c r="B33" s="31" t="s">
        <v>7</v>
      </c>
      <c r="C33" s="32" t="s">
        <v>15</v>
      </c>
      <c r="D33" s="32" t="s">
        <v>109</v>
      </c>
      <c r="E33" s="19" t="n">
        <f aca="false">+F33*0.03</f>
        <v>2400</v>
      </c>
      <c r="F33" s="33" t="n">
        <v>80000</v>
      </c>
      <c r="G33" s="62" t="s">
        <v>31</v>
      </c>
      <c r="H33" s="35" t="n">
        <v>0</v>
      </c>
      <c r="I33" s="34" t="n">
        <f aca="false">+IF(E33=0,0,E33*0.03)</f>
        <v>72</v>
      </c>
    </row>
    <row r="34" customFormat="false" ht="15.75" hidden="false" customHeight="true" outlineLevel="0" collapsed="false">
      <c r="A34" s="65" t="n">
        <v>45411</v>
      </c>
      <c r="B34" s="31" t="s">
        <v>7</v>
      </c>
      <c r="C34" s="32" t="s">
        <v>15</v>
      </c>
      <c r="D34" s="32" t="s">
        <v>110</v>
      </c>
      <c r="E34" s="19" t="n">
        <f aca="false">+F34*0.03</f>
        <v>1950</v>
      </c>
      <c r="F34" s="33" t="n">
        <v>65000</v>
      </c>
      <c r="G34" s="62" t="s">
        <v>31</v>
      </c>
      <c r="H34" s="35" t="n">
        <v>0</v>
      </c>
      <c r="I34" s="34" t="n">
        <f aca="false">+IF(E34=0,0,E34*0.03)</f>
        <v>58.5</v>
      </c>
    </row>
    <row r="35" customFormat="false" ht="15.75" hidden="false" customHeight="true" outlineLevel="0" collapsed="false">
      <c r="A35" s="30" t="n">
        <v>45412</v>
      </c>
      <c r="B35" s="31" t="s">
        <v>7</v>
      </c>
      <c r="C35" s="32" t="s">
        <v>15</v>
      </c>
      <c r="D35" s="32" t="s">
        <v>111</v>
      </c>
      <c r="E35" s="19" t="n">
        <f aca="false">+F35*0.03</f>
        <v>44400</v>
      </c>
      <c r="F35" s="33" t="n">
        <v>1480000</v>
      </c>
      <c r="G35" s="62" t="s">
        <v>30</v>
      </c>
      <c r="H35" s="35" t="n">
        <v>0</v>
      </c>
      <c r="I35" s="34" t="n">
        <f aca="false">+IF(E35=0,0,E35*0.03)</f>
        <v>1332</v>
      </c>
    </row>
    <row r="36" customFormat="false" ht="15.75" hidden="false" customHeight="true" outlineLevel="0" collapsed="false">
      <c r="A36" s="65" t="n">
        <v>45411</v>
      </c>
      <c r="B36" s="31" t="s">
        <v>7</v>
      </c>
      <c r="C36" s="32" t="s">
        <v>15</v>
      </c>
      <c r="D36" s="32"/>
      <c r="E36" s="19" t="n">
        <f aca="false">+F36*0.03</f>
        <v>0</v>
      </c>
      <c r="F36" s="33" t="n">
        <v>0</v>
      </c>
      <c r="G36" s="62"/>
      <c r="H36" s="35" t="n">
        <v>0</v>
      </c>
      <c r="I36" s="34" t="n">
        <f aca="false">+IF(E36=0,0,E36*0.03)</f>
        <v>0</v>
      </c>
    </row>
    <row r="37" customFormat="false" ht="15.75" hidden="false" customHeight="true" outlineLevel="0" collapsed="false">
      <c r="A37" s="65" t="n">
        <v>45412</v>
      </c>
      <c r="B37" s="31" t="s">
        <v>7</v>
      </c>
      <c r="C37" s="32" t="s">
        <v>15</v>
      </c>
      <c r="D37" s="32"/>
      <c r="E37" s="19" t="n">
        <f aca="false">+F37*0.03</f>
        <v>0</v>
      </c>
      <c r="F37" s="33" t="n">
        <v>0</v>
      </c>
      <c r="G37" s="62"/>
      <c r="H37" s="35" t="n">
        <v>0</v>
      </c>
      <c r="I37" s="34" t="n">
        <f aca="false">+IF(E37=0,0,E37*0.03)</f>
        <v>0</v>
      </c>
    </row>
    <row r="38" customFormat="false" ht="15.75" hidden="false" customHeight="true" outlineLevel="0" collapsed="false">
      <c r="A38" s="30" t="n">
        <v>45413</v>
      </c>
      <c r="B38" s="31" t="s">
        <v>7</v>
      </c>
      <c r="C38" s="32" t="s">
        <v>15</v>
      </c>
      <c r="D38" s="32"/>
      <c r="E38" s="19" t="n">
        <f aca="false">+F38*0.03</f>
        <v>0</v>
      </c>
      <c r="F38" s="33" t="n">
        <v>0</v>
      </c>
      <c r="G38" s="62"/>
      <c r="H38" s="35" t="n">
        <v>0</v>
      </c>
      <c r="I38" s="34" t="n">
        <f aca="false">+IF(E38=0,0,E38*0.03)</f>
        <v>0</v>
      </c>
    </row>
    <row r="39" customFormat="false" ht="15.75" hidden="false" customHeight="true" outlineLevel="0" collapsed="false">
      <c r="A39" s="65" t="n">
        <v>45414</v>
      </c>
      <c r="B39" s="31" t="s">
        <v>7</v>
      </c>
      <c r="C39" s="32" t="s">
        <v>15</v>
      </c>
      <c r="D39" s="32"/>
      <c r="E39" s="19" t="n">
        <f aca="false">+F39*0.03</f>
        <v>0</v>
      </c>
      <c r="F39" s="33" t="n">
        <v>0</v>
      </c>
      <c r="G39" s="62"/>
      <c r="H39" s="35" t="n">
        <v>0</v>
      </c>
      <c r="I39" s="34" t="n">
        <f aca="false">+IF(E39=0,0,E39*0.03)</f>
        <v>0</v>
      </c>
    </row>
    <row r="40" customFormat="false" ht="15.75" hidden="false" customHeight="true" outlineLevel="0" collapsed="false">
      <c r="A40" s="65" t="n">
        <v>45415</v>
      </c>
      <c r="B40" s="31" t="s">
        <v>7</v>
      </c>
      <c r="C40" s="32" t="s">
        <v>15</v>
      </c>
      <c r="D40" s="32"/>
      <c r="E40" s="19" t="n">
        <f aca="false">+F40*0.03</f>
        <v>0</v>
      </c>
      <c r="F40" s="33" t="n">
        <v>0</v>
      </c>
      <c r="G40" s="62"/>
      <c r="H40" s="35" t="n">
        <v>0</v>
      </c>
      <c r="I40" s="34" t="n">
        <f aca="false">+IF(E40=0,0,E40*0.03)</f>
        <v>0</v>
      </c>
    </row>
    <row r="41" customFormat="false" ht="15.75" hidden="false" customHeight="true" outlineLevel="0" collapsed="false">
      <c r="A41" s="30" t="n">
        <v>45416</v>
      </c>
      <c r="B41" s="31" t="s">
        <v>7</v>
      </c>
      <c r="C41" s="32" t="s">
        <v>15</v>
      </c>
      <c r="D41" s="32"/>
      <c r="E41" s="19" t="n">
        <f aca="false">+F41*0.03</f>
        <v>0</v>
      </c>
      <c r="F41" s="33" t="n">
        <v>0</v>
      </c>
      <c r="G41" s="62"/>
      <c r="H41" s="35" t="n">
        <v>0</v>
      </c>
      <c r="I41" s="34" t="n">
        <f aca="false">+IF(E41=0,0,E41*0.03)</f>
        <v>0</v>
      </c>
    </row>
    <row r="42" customFormat="false" ht="15.75" hidden="false" customHeight="true" outlineLevel="0" collapsed="false">
      <c r="A42" s="65" t="n">
        <v>45417</v>
      </c>
      <c r="B42" s="31" t="s">
        <v>7</v>
      </c>
      <c r="C42" s="32"/>
      <c r="D42" s="32"/>
      <c r="E42" s="19" t="n">
        <f aca="false">+F42*0.03</f>
        <v>0</v>
      </c>
      <c r="F42" s="33" t="n">
        <v>0</v>
      </c>
      <c r="G42" s="62"/>
      <c r="H42" s="35" t="n">
        <v>0</v>
      </c>
      <c r="I42" s="34" t="n">
        <f aca="false">+IF(E42=0,0,E42*0.03)</f>
        <v>0</v>
      </c>
    </row>
    <row r="43" customFormat="false" ht="15.75" hidden="false" customHeight="true" outlineLevel="0" collapsed="false">
      <c r="A43" s="65" t="n">
        <v>45418</v>
      </c>
      <c r="B43" s="31" t="s">
        <v>7</v>
      </c>
      <c r="C43" s="32"/>
      <c r="D43" s="32"/>
      <c r="E43" s="19" t="n">
        <f aca="false">+F43*0.03</f>
        <v>0</v>
      </c>
      <c r="F43" s="33" t="n">
        <v>0</v>
      </c>
      <c r="G43" s="62"/>
      <c r="H43" s="35" t="n">
        <v>0</v>
      </c>
      <c r="I43" s="34" t="n">
        <f aca="false">+IF(E43=0,0,E43*0.03)</f>
        <v>0</v>
      </c>
    </row>
    <row r="44" customFormat="false" ht="15.75" hidden="false" customHeight="true" outlineLevel="0" collapsed="false">
      <c r="A44" s="30" t="n">
        <v>45419</v>
      </c>
      <c r="B44" s="31" t="s">
        <v>7</v>
      </c>
      <c r="C44" s="32"/>
      <c r="D44" s="32"/>
      <c r="E44" s="19" t="n">
        <f aca="false">+F44*0.03</f>
        <v>0</v>
      </c>
      <c r="F44" s="33" t="n">
        <v>0</v>
      </c>
      <c r="G44" s="62"/>
      <c r="H44" s="35" t="n">
        <v>0</v>
      </c>
      <c r="I44" s="34" t="n">
        <f aca="false">+IF(E44=0,0,E44*0.03)</f>
        <v>0</v>
      </c>
    </row>
    <row r="45" customFormat="false" ht="15.75" hidden="false" customHeight="true" outlineLevel="0" collapsed="false">
      <c r="A45" s="65" t="n">
        <v>45420</v>
      </c>
      <c r="B45" s="31" t="s">
        <v>7</v>
      </c>
      <c r="C45" s="32"/>
      <c r="D45" s="32"/>
      <c r="E45" s="19" t="n">
        <f aca="false">+F45*0.03</f>
        <v>0</v>
      </c>
      <c r="F45" s="33" t="n">
        <v>0</v>
      </c>
      <c r="G45" s="62"/>
      <c r="H45" s="35" t="n">
        <v>0</v>
      </c>
      <c r="I45" s="34" t="n">
        <f aca="false">+IF(E45=0,0,E45*0.03)</f>
        <v>0</v>
      </c>
    </row>
    <row r="46" customFormat="false" ht="15.75" hidden="false" customHeight="true" outlineLevel="0" collapsed="false">
      <c r="A46" s="65" t="n">
        <v>45421</v>
      </c>
      <c r="B46" s="31" t="s">
        <v>7</v>
      </c>
      <c r="C46" s="32"/>
      <c r="D46" s="32"/>
      <c r="E46" s="19" t="n">
        <f aca="false">+F46*0.03</f>
        <v>0</v>
      </c>
      <c r="F46" s="33" t="n">
        <v>0</v>
      </c>
      <c r="G46" s="62"/>
      <c r="H46" s="35" t="n">
        <v>0</v>
      </c>
      <c r="I46" s="34" t="n">
        <f aca="false">+IF(E46=0,0,E46*0.03)</f>
        <v>0</v>
      </c>
    </row>
    <row r="47" customFormat="false" ht="15.75" hidden="false" customHeight="true" outlineLevel="0" collapsed="false">
      <c r="A47" s="30" t="n">
        <v>45422</v>
      </c>
      <c r="B47" s="31" t="s">
        <v>7</v>
      </c>
      <c r="C47" s="32"/>
      <c r="D47" s="32"/>
      <c r="E47" s="19" t="n">
        <f aca="false">+F47*0.03</f>
        <v>0</v>
      </c>
      <c r="F47" s="33" t="n">
        <v>0</v>
      </c>
      <c r="G47" s="62"/>
      <c r="H47" s="35" t="n">
        <v>0</v>
      </c>
      <c r="I47" s="34" t="n">
        <f aca="false">+IF(E47=0,0,E47*0.03)</f>
        <v>0</v>
      </c>
    </row>
    <row r="48" customFormat="false" ht="15.75" hidden="false" customHeight="true" outlineLevel="0" collapsed="false">
      <c r="A48" s="65" t="n">
        <v>45423</v>
      </c>
      <c r="B48" s="31" t="s">
        <v>7</v>
      </c>
      <c r="C48" s="32"/>
      <c r="D48" s="32"/>
      <c r="E48" s="19" t="n">
        <f aca="false">+F48*0.03</f>
        <v>0</v>
      </c>
      <c r="F48" s="33" t="n">
        <v>0</v>
      </c>
      <c r="G48" s="62"/>
      <c r="H48" s="35" t="n">
        <v>0</v>
      </c>
      <c r="I48" s="34" t="n">
        <f aca="false">+IF(E48=0,0,E48*0.03)</f>
        <v>0</v>
      </c>
    </row>
    <row r="49" customFormat="false" ht="15.75" hidden="false" customHeight="true" outlineLevel="0" collapsed="false">
      <c r="A49" s="65" t="n">
        <v>45424</v>
      </c>
      <c r="B49" s="31" t="s">
        <v>7</v>
      </c>
      <c r="C49" s="32"/>
      <c r="D49" s="32"/>
      <c r="E49" s="19" t="n">
        <f aca="false">+F49*0.03</f>
        <v>0</v>
      </c>
      <c r="F49" s="33" t="n">
        <v>0</v>
      </c>
      <c r="G49" s="62"/>
      <c r="H49" s="35" t="n">
        <v>0</v>
      </c>
      <c r="I49" s="34" t="n">
        <f aca="false">+IF(E49=0,0,E49*0.03)</f>
        <v>0</v>
      </c>
    </row>
    <row r="50" customFormat="false" ht="15.75" hidden="false" customHeight="true" outlineLevel="0" collapsed="false">
      <c r="A50" s="30" t="n">
        <v>45425</v>
      </c>
      <c r="B50" s="31" t="s">
        <v>7</v>
      </c>
      <c r="C50" s="32"/>
      <c r="D50" s="32"/>
      <c r="E50" s="19" t="n">
        <f aca="false">+F50*0.03</f>
        <v>0</v>
      </c>
      <c r="F50" s="33" t="n">
        <v>0</v>
      </c>
      <c r="G50" s="62"/>
      <c r="H50" s="35" t="n">
        <v>0</v>
      </c>
      <c r="I50" s="34" t="n">
        <f aca="false">+IF(E50=0,0,E50*0.03)</f>
        <v>0</v>
      </c>
    </row>
    <row r="51" customFormat="false" ht="15.75" hidden="false" customHeight="true" outlineLevel="0" collapsed="false">
      <c r="A51" s="65" t="n">
        <v>45426</v>
      </c>
      <c r="B51" s="31" t="s">
        <v>7</v>
      </c>
      <c r="C51" s="32"/>
      <c r="D51" s="32"/>
      <c r="E51" s="19" t="n">
        <f aca="false">+F51*0.03</f>
        <v>0</v>
      </c>
      <c r="F51" s="33" t="n">
        <v>0</v>
      </c>
      <c r="G51" s="62"/>
      <c r="H51" s="35" t="n">
        <v>0</v>
      </c>
      <c r="I51" s="34" t="n">
        <f aca="false">+IF(E51=0,0,E51*0.03)</f>
        <v>0</v>
      </c>
    </row>
    <row r="52" customFormat="false" ht="15.75" hidden="false" customHeight="true" outlineLevel="0" collapsed="false">
      <c r="A52" s="65" t="n">
        <v>45352</v>
      </c>
      <c r="B52" s="31" t="s">
        <v>7</v>
      </c>
      <c r="C52" s="32"/>
      <c r="D52" s="32"/>
      <c r="E52" s="19" t="n">
        <f aca="false">+F52*0.03</f>
        <v>0</v>
      </c>
      <c r="F52" s="33" t="n">
        <v>0</v>
      </c>
      <c r="G52" s="62"/>
      <c r="H52" s="35" t="n">
        <v>0</v>
      </c>
      <c r="I52" s="34" t="n">
        <f aca="false">+IF(E52=0,0,E52*0.03)</f>
        <v>0</v>
      </c>
    </row>
    <row r="53" customFormat="false" ht="15.75" hidden="false" customHeight="true" outlineLevel="0" collapsed="false">
      <c r="A53" s="65" t="n">
        <v>45352</v>
      </c>
      <c r="B53" s="31" t="s">
        <v>7</v>
      </c>
      <c r="C53" s="32"/>
      <c r="D53" s="32"/>
      <c r="E53" s="19" t="n">
        <f aca="false">+F53*0.03</f>
        <v>0</v>
      </c>
      <c r="F53" s="33" t="n">
        <v>0</v>
      </c>
      <c r="G53" s="62"/>
      <c r="H53" s="35" t="n">
        <v>0</v>
      </c>
      <c r="I53" s="34" t="n">
        <f aca="false">+IF(E53=0,0,E53*0.03)</f>
        <v>0</v>
      </c>
    </row>
    <row r="54" customFormat="false" ht="15.75" hidden="false" customHeight="true" outlineLevel="0" collapsed="false">
      <c r="A54" s="65" t="n">
        <v>45352</v>
      </c>
      <c r="B54" s="31" t="s">
        <v>7</v>
      </c>
      <c r="C54" s="32"/>
      <c r="D54" s="32"/>
      <c r="E54" s="19" t="n">
        <f aca="false">+F54*0.03</f>
        <v>0</v>
      </c>
      <c r="F54" s="33" t="n">
        <v>0</v>
      </c>
      <c r="G54" s="62"/>
      <c r="H54" s="35" t="n">
        <v>0</v>
      </c>
      <c r="I54" s="34" t="n">
        <f aca="false">+IF(E54=0,0,E54*0.03)</f>
        <v>0</v>
      </c>
    </row>
    <row r="55" customFormat="false" ht="15.75" hidden="false" customHeight="true" outlineLevel="0" collapsed="false">
      <c r="A55" s="65" t="n">
        <v>45352</v>
      </c>
      <c r="B55" s="31" t="s">
        <v>7</v>
      </c>
      <c r="C55" s="32"/>
      <c r="D55" s="32"/>
      <c r="E55" s="19" t="n">
        <f aca="false">+F55*0.03</f>
        <v>0</v>
      </c>
      <c r="F55" s="33" t="n">
        <v>0</v>
      </c>
      <c r="G55" s="62"/>
      <c r="H55" s="35" t="n">
        <v>0</v>
      </c>
      <c r="I55" s="34" t="n">
        <f aca="false">+IF(E55=0,0,E55*0.03)</f>
        <v>0</v>
      </c>
    </row>
    <row r="56" customFormat="false" ht="15.75" hidden="false" customHeight="true" outlineLevel="0" collapsed="false">
      <c r="A56" s="65" t="n">
        <v>45352</v>
      </c>
      <c r="B56" s="31" t="s">
        <v>7</v>
      </c>
      <c r="C56" s="32"/>
      <c r="D56" s="32"/>
      <c r="E56" s="19" t="n">
        <f aca="false">+F56*0.03</f>
        <v>0</v>
      </c>
      <c r="F56" s="33" t="n">
        <v>0</v>
      </c>
      <c r="G56" s="62"/>
      <c r="H56" s="35" t="n">
        <v>0</v>
      </c>
      <c r="I56" s="34" t="n">
        <f aca="false">+IF(E56=0,0,E56*0.03)</f>
        <v>0</v>
      </c>
    </row>
    <row r="57" customFormat="false" ht="15.75" hidden="false" customHeight="true" outlineLevel="0" collapsed="false">
      <c r="A57" s="65" t="n">
        <v>45352</v>
      </c>
      <c r="B57" s="31" t="s">
        <v>7</v>
      </c>
      <c r="C57" s="32"/>
      <c r="D57" s="32"/>
      <c r="E57" s="19" t="n">
        <f aca="false">+F57*0.03</f>
        <v>0</v>
      </c>
      <c r="F57" s="33" t="n">
        <v>0</v>
      </c>
      <c r="G57" s="62"/>
      <c r="H57" s="35" t="n">
        <v>0</v>
      </c>
      <c r="I57" s="34" t="n">
        <f aca="false">+IF(E57=0,0,E57*0.03)</f>
        <v>0</v>
      </c>
    </row>
    <row r="58" customFormat="false" ht="15.75" hidden="false" customHeight="true" outlineLevel="0" collapsed="false">
      <c r="A58" s="65" t="n">
        <v>45352</v>
      </c>
      <c r="B58" s="31" t="s">
        <v>7</v>
      </c>
      <c r="C58" s="32"/>
      <c r="D58" s="32"/>
      <c r="E58" s="19" t="n">
        <f aca="false">+F58*0.03</f>
        <v>0</v>
      </c>
      <c r="F58" s="33" t="n">
        <v>0</v>
      </c>
      <c r="G58" s="62"/>
      <c r="H58" s="35" t="n">
        <v>0</v>
      </c>
      <c r="I58" s="34" t="n">
        <f aca="false">+IF(E58=0,0,E58*0.03)</f>
        <v>0</v>
      </c>
    </row>
    <row r="59" customFormat="false" ht="15.75" hidden="false" customHeight="true" outlineLevel="0" collapsed="false">
      <c r="A59" s="65" t="n">
        <v>45352</v>
      </c>
      <c r="B59" s="31" t="s">
        <v>7</v>
      </c>
      <c r="C59" s="32"/>
      <c r="D59" s="32"/>
      <c r="E59" s="19" t="n">
        <f aca="false">+F59*0.03</f>
        <v>0</v>
      </c>
      <c r="F59" s="33" t="n">
        <v>0</v>
      </c>
      <c r="G59" s="62"/>
      <c r="H59" s="35" t="n">
        <v>0</v>
      </c>
      <c r="I59" s="34" t="n">
        <f aca="false">+IF(E59=0,0,E59*0.03)</f>
        <v>0</v>
      </c>
    </row>
    <row r="60" customFormat="false" ht="15.75" hidden="false" customHeight="true" outlineLevel="0" collapsed="false">
      <c r="A60" s="65" t="n">
        <v>45352</v>
      </c>
      <c r="B60" s="31" t="s">
        <v>7</v>
      </c>
      <c r="C60" s="32"/>
      <c r="D60" s="32"/>
      <c r="E60" s="19" t="n">
        <f aca="false">+F60*0.03</f>
        <v>0</v>
      </c>
      <c r="F60" s="33" t="n">
        <v>0</v>
      </c>
      <c r="G60" s="62"/>
      <c r="H60" s="35" t="n">
        <v>0</v>
      </c>
      <c r="I60" s="34" t="n">
        <f aca="false">+IF(E60=0,0,E60*0.03)</f>
        <v>0</v>
      </c>
    </row>
    <row r="61" customFormat="false" ht="15.75" hidden="false" customHeight="true" outlineLevel="0" collapsed="false">
      <c r="A61" s="65" t="n">
        <v>45352</v>
      </c>
      <c r="B61" s="31" t="s">
        <v>7</v>
      </c>
      <c r="C61" s="32"/>
      <c r="D61" s="32"/>
      <c r="E61" s="19" t="n">
        <f aca="false">+F61*0.03</f>
        <v>0</v>
      </c>
      <c r="F61" s="33" t="n">
        <v>0</v>
      </c>
      <c r="G61" s="62"/>
      <c r="H61" s="35" t="n">
        <v>0</v>
      </c>
      <c r="I61" s="34" t="n">
        <f aca="false">+IF(E61=0,0,E61*0.03)</f>
        <v>0</v>
      </c>
    </row>
    <row r="62" customFormat="false" ht="15.75" hidden="false" customHeight="true" outlineLevel="0" collapsed="false">
      <c r="A62" s="65" t="n">
        <v>45352</v>
      </c>
      <c r="B62" s="31" t="s">
        <v>7</v>
      </c>
      <c r="C62" s="32"/>
      <c r="D62" s="32"/>
      <c r="E62" s="19" t="n">
        <f aca="false">+F62*0.03</f>
        <v>0</v>
      </c>
      <c r="F62" s="33" t="n">
        <v>0</v>
      </c>
      <c r="G62" s="62"/>
      <c r="H62" s="35" t="n">
        <v>0</v>
      </c>
      <c r="I62" s="34" t="n">
        <f aca="false">+IF(E62=0,0,E62*0.03)</f>
        <v>0</v>
      </c>
    </row>
    <row r="63" customFormat="false" ht="15.75" hidden="false" customHeight="true" outlineLevel="0" collapsed="false">
      <c r="A63" s="65" t="n">
        <v>45352</v>
      </c>
      <c r="B63" s="31" t="s">
        <v>7</v>
      </c>
      <c r="C63" s="32"/>
      <c r="D63" s="32"/>
      <c r="E63" s="19" t="n">
        <f aca="false">+F63*0.03</f>
        <v>0</v>
      </c>
      <c r="F63" s="33" t="n">
        <v>0</v>
      </c>
      <c r="G63" s="62"/>
      <c r="H63" s="35" t="n">
        <v>0</v>
      </c>
      <c r="I63" s="34" t="n">
        <f aca="false">+IF(E63=0,0,E63*0.03)</f>
        <v>0</v>
      </c>
    </row>
    <row r="64" customFormat="false" ht="15.75" hidden="false" customHeight="true" outlineLevel="0" collapsed="false">
      <c r="A64" s="65" t="n">
        <v>45352</v>
      </c>
      <c r="B64" s="31" t="s">
        <v>7</v>
      </c>
      <c r="C64" s="32"/>
      <c r="D64" s="32"/>
      <c r="E64" s="19" t="n">
        <f aca="false">+F64*0.03</f>
        <v>0</v>
      </c>
      <c r="F64" s="33" t="n">
        <v>0</v>
      </c>
      <c r="G64" s="62"/>
      <c r="H64" s="35" t="n">
        <v>0</v>
      </c>
      <c r="I64" s="34" t="n">
        <f aca="false">+IF(E64=0,0,E64*0.03)</f>
        <v>0</v>
      </c>
    </row>
    <row r="65" customFormat="false" ht="15.75" hidden="false" customHeight="true" outlineLevel="0" collapsed="false">
      <c r="A65" s="65" t="n">
        <v>45352</v>
      </c>
      <c r="B65" s="31" t="s">
        <v>7</v>
      </c>
      <c r="C65" s="32"/>
      <c r="D65" s="32"/>
      <c r="E65" s="19" t="n">
        <f aca="false">+F65*0.03</f>
        <v>0</v>
      </c>
      <c r="F65" s="33" t="n">
        <v>0</v>
      </c>
      <c r="G65" s="62"/>
      <c r="H65" s="35" t="n">
        <v>0</v>
      </c>
      <c r="I65" s="34" t="n">
        <f aca="false">+IF(E65=0,0,E65*0.03)</f>
        <v>0</v>
      </c>
    </row>
    <row r="66" customFormat="false" ht="15.75" hidden="false" customHeight="true" outlineLevel="0" collapsed="false">
      <c r="A66" s="65" t="n">
        <v>45352</v>
      </c>
      <c r="B66" s="31" t="s">
        <v>7</v>
      </c>
      <c r="C66" s="32"/>
      <c r="D66" s="32"/>
      <c r="E66" s="19" t="n">
        <f aca="false">+F66*0.03</f>
        <v>0</v>
      </c>
      <c r="F66" s="33" t="n">
        <v>0</v>
      </c>
      <c r="G66" s="62"/>
      <c r="H66" s="35" t="n">
        <v>0</v>
      </c>
      <c r="I66" s="34" t="n">
        <f aca="false">+IF(E66=0,0,E66*0.03)</f>
        <v>0</v>
      </c>
    </row>
    <row r="67" customFormat="false" ht="15.75" hidden="false" customHeight="true" outlineLevel="0" collapsed="false">
      <c r="A67" s="65" t="n">
        <v>45352</v>
      </c>
      <c r="B67" s="31" t="s">
        <v>7</v>
      </c>
      <c r="C67" s="32"/>
      <c r="D67" s="32"/>
      <c r="E67" s="19" t="n">
        <f aca="false">+F67*0.03</f>
        <v>0</v>
      </c>
      <c r="F67" s="33" t="n">
        <v>0</v>
      </c>
      <c r="G67" s="62"/>
      <c r="H67" s="35" t="n">
        <v>0</v>
      </c>
      <c r="I67" s="34" t="n">
        <f aca="false">+IF(E67=0,0,E67*0.03)</f>
        <v>0</v>
      </c>
    </row>
    <row r="68" customFormat="false" ht="15.75" hidden="false" customHeight="true" outlineLevel="0" collapsed="false">
      <c r="A68" s="65" t="n">
        <v>45352</v>
      </c>
      <c r="B68" s="31" t="s">
        <v>7</v>
      </c>
      <c r="C68" s="32"/>
      <c r="D68" s="32"/>
      <c r="E68" s="19" t="n">
        <f aca="false">+F68*0.03</f>
        <v>0</v>
      </c>
      <c r="F68" s="33" t="n">
        <v>0</v>
      </c>
      <c r="G68" s="62"/>
      <c r="H68" s="35" t="n">
        <v>0</v>
      </c>
      <c r="I68" s="34" t="n">
        <f aca="false">+IF(E68=0,0,E68*0.03)</f>
        <v>0</v>
      </c>
    </row>
    <row r="69" customFormat="false" ht="15.75" hidden="false" customHeight="true" outlineLevel="0" collapsed="false">
      <c r="A69" s="65" t="n">
        <v>45352</v>
      </c>
      <c r="B69" s="31" t="s">
        <v>7</v>
      </c>
      <c r="C69" s="32"/>
      <c r="D69" s="32"/>
      <c r="E69" s="19" t="n">
        <f aca="false">+F69*0.03</f>
        <v>0</v>
      </c>
      <c r="F69" s="33" t="n">
        <v>0</v>
      </c>
      <c r="G69" s="62"/>
      <c r="H69" s="35" t="n">
        <v>0</v>
      </c>
      <c r="I69" s="34" t="n">
        <f aca="false">+IF(E69=0,0,E69*0.03)</f>
        <v>0</v>
      </c>
    </row>
    <row r="70" customFormat="false" ht="15.75" hidden="false" customHeight="true" outlineLevel="0" collapsed="false">
      <c r="A70" s="65" t="n">
        <v>45352</v>
      </c>
      <c r="B70" s="31" t="s">
        <v>7</v>
      </c>
      <c r="C70" s="32"/>
      <c r="D70" s="32"/>
      <c r="E70" s="19" t="n">
        <f aca="false">+F70*0.03</f>
        <v>0</v>
      </c>
      <c r="F70" s="33" t="n">
        <v>0</v>
      </c>
      <c r="G70" s="62"/>
      <c r="H70" s="35" t="n">
        <v>0</v>
      </c>
      <c r="I70" s="34" t="n">
        <f aca="false">+IF(E70=0,0,E70*0.03)</f>
        <v>0</v>
      </c>
    </row>
    <row r="71" customFormat="false" ht="15.75" hidden="false" customHeight="true" outlineLevel="0" collapsed="false">
      <c r="A71" s="65" t="n">
        <v>45352</v>
      </c>
      <c r="B71" s="31" t="s">
        <v>7</v>
      </c>
      <c r="C71" s="32"/>
      <c r="D71" s="32"/>
      <c r="E71" s="19" t="n">
        <f aca="false">+F71*0.03</f>
        <v>0</v>
      </c>
      <c r="F71" s="33" t="n">
        <v>0</v>
      </c>
      <c r="G71" s="62"/>
      <c r="H71" s="35" t="n">
        <v>0</v>
      </c>
      <c r="I71" s="34" t="n">
        <f aca="false">+IF(E71=0,0,E71*0.03)</f>
        <v>0</v>
      </c>
    </row>
    <row r="72" customFormat="false" ht="15.75" hidden="false" customHeight="true" outlineLevel="0" collapsed="false">
      <c r="A72" s="65" t="n">
        <v>45352</v>
      </c>
      <c r="B72" s="31" t="s">
        <v>7</v>
      </c>
      <c r="C72" s="32"/>
      <c r="D72" s="32"/>
      <c r="E72" s="19" t="n">
        <f aca="false">+F72*0.03</f>
        <v>0</v>
      </c>
      <c r="F72" s="33" t="n">
        <v>0</v>
      </c>
      <c r="G72" s="62"/>
      <c r="H72" s="35" t="n">
        <v>0</v>
      </c>
      <c r="I72" s="34" t="n">
        <f aca="false">+IF(E72=0,0,E72*0.03)</f>
        <v>0</v>
      </c>
    </row>
    <row r="73" customFormat="false" ht="15.75" hidden="false" customHeight="true" outlineLevel="0" collapsed="false">
      <c r="A73" s="65" t="n">
        <v>45352</v>
      </c>
      <c r="B73" s="31" t="s">
        <v>7</v>
      </c>
      <c r="C73" s="32"/>
      <c r="D73" s="32"/>
      <c r="E73" s="19" t="n">
        <f aca="false">+F73*0.03</f>
        <v>0</v>
      </c>
      <c r="F73" s="33" t="n">
        <v>0</v>
      </c>
      <c r="G73" s="62"/>
      <c r="H73" s="35" t="n">
        <v>0</v>
      </c>
      <c r="I73" s="34" t="n">
        <f aca="false">+IF(E73=0,0,E73*0.03)</f>
        <v>0</v>
      </c>
    </row>
    <row r="74" customFormat="false" ht="15.75" hidden="false" customHeight="true" outlineLevel="0" collapsed="false">
      <c r="A74" s="65" t="n">
        <v>45352</v>
      </c>
      <c r="B74" s="31" t="s">
        <v>7</v>
      </c>
      <c r="C74" s="32"/>
      <c r="D74" s="32"/>
      <c r="E74" s="19" t="n">
        <f aca="false">+F74*0.03</f>
        <v>0</v>
      </c>
      <c r="F74" s="33" t="n">
        <v>0</v>
      </c>
      <c r="G74" s="62"/>
      <c r="H74" s="35" t="n">
        <v>0</v>
      </c>
      <c r="I74" s="34" t="n">
        <f aca="false">+IF(E74=0,0,E74*0.03)</f>
        <v>0</v>
      </c>
    </row>
    <row r="75" customFormat="false" ht="15.75" hidden="false" customHeight="true" outlineLevel="0" collapsed="false">
      <c r="A75" s="65" t="n">
        <v>45352</v>
      </c>
      <c r="B75" s="31" t="s">
        <v>7</v>
      </c>
      <c r="C75" s="32"/>
      <c r="D75" s="32"/>
      <c r="E75" s="19" t="n">
        <f aca="false">+F75*0.03</f>
        <v>0</v>
      </c>
      <c r="F75" s="33" t="n">
        <v>0</v>
      </c>
      <c r="G75" s="62"/>
      <c r="H75" s="35" t="n">
        <v>0</v>
      </c>
      <c r="I75" s="34" t="n">
        <f aca="false">+IF(E75=0,0,E75*0.03)</f>
        <v>0</v>
      </c>
    </row>
    <row r="76" customFormat="false" ht="15.75" hidden="false" customHeight="true" outlineLevel="0" collapsed="false">
      <c r="A76" s="65" t="n">
        <v>45352</v>
      </c>
      <c r="B76" s="31" t="s">
        <v>7</v>
      </c>
      <c r="C76" s="32"/>
      <c r="D76" s="32"/>
      <c r="E76" s="19" t="n">
        <f aca="false">+F76*0.03</f>
        <v>0</v>
      </c>
      <c r="F76" s="33" t="n">
        <v>0</v>
      </c>
      <c r="G76" s="62"/>
      <c r="H76" s="35" t="n">
        <v>0</v>
      </c>
      <c r="I76" s="34" t="n">
        <f aca="false">+IF(E76=0,0,E76*0.03)</f>
        <v>0</v>
      </c>
    </row>
    <row r="77" customFormat="false" ht="15.75" hidden="false" customHeight="true" outlineLevel="0" collapsed="false">
      <c r="A77" s="65" t="n">
        <v>45352</v>
      </c>
      <c r="B77" s="31" t="s">
        <v>7</v>
      </c>
      <c r="C77" s="32"/>
      <c r="D77" s="32"/>
      <c r="E77" s="19" t="n">
        <f aca="false">+F77*0.03</f>
        <v>0</v>
      </c>
      <c r="F77" s="33" t="n">
        <v>0</v>
      </c>
      <c r="G77" s="62"/>
      <c r="H77" s="35" t="n">
        <v>0</v>
      </c>
      <c r="I77" s="34" t="n">
        <f aca="false">+IF(E77=0,0,E77*0.03)</f>
        <v>0</v>
      </c>
    </row>
    <row r="78" customFormat="false" ht="15.75" hidden="false" customHeight="true" outlineLevel="0" collapsed="false">
      <c r="A78" s="65" t="n">
        <v>45352</v>
      </c>
      <c r="B78" s="31" t="s">
        <v>7</v>
      </c>
      <c r="C78" s="32"/>
      <c r="D78" s="32"/>
      <c r="E78" s="19" t="n">
        <f aca="false">+F78*0.03</f>
        <v>0</v>
      </c>
      <c r="F78" s="33" t="n">
        <v>0</v>
      </c>
      <c r="G78" s="62"/>
      <c r="H78" s="35" t="n">
        <v>0</v>
      </c>
      <c r="I78" s="34" t="n">
        <f aca="false">+IF(E78=0,0,E78*0.03)</f>
        <v>0</v>
      </c>
    </row>
    <row r="79" customFormat="false" ht="15.75" hidden="false" customHeight="true" outlineLevel="0" collapsed="false">
      <c r="A79" s="65" t="n">
        <v>45352</v>
      </c>
      <c r="B79" s="31" t="s">
        <v>7</v>
      </c>
      <c r="C79" s="32"/>
      <c r="D79" s="32"/>
      <c r="E79" s="19" t="n">
        <f aca="false">+F79*0.03</f>
        <v>0</v>
      </c>
      <c r="F79" s="33" t="n">
        <v>0</v>
      </c>
      <c r="G79" s="62"/>
      <c r="H79" s="35" t="n">
        <v>0</v>
      </c>
      <c r="I79" s="34" t="n">
        <f aca="false">+IF(E79=0,0,E79*0.03)</f>
        <v>0</v>
      </c>
    </row>
    <row r="80" customFormat="false" ht="15.75" hidden="false" customHeight="true" outlineLevel="0" collapsed="false">
      <c r="A80" s="65" t="n">
        <v>45352</v>
      </c>
      <c r="B80" s="31" t="s">
        <v>7</v>
      </c>
      <c r="C80" s="32"/>
      <c r="D80" s="32"/>
      <c r="E80" s="19" t="n">
        <f aca="false">+F80*0.03</f>
        <v>0</v>
      </c>
      <c r="F80" s="33" t="n">
        <v>0</v>
      </c>
      <c r="G80" s="62"/>
      <c r="H80" s="35" t="n">
        <v>0</v>
      </c>
      <c r="I80" s="34" t="n">
        <f aca="false">+IF(E80=0,0,E80*0.03)</f>
        <v>0</v>
      </c>
    </row>
    <row r="81" customFormat="false" ht="15.75" hidden="false" customHeight="true" outlineLevel="0" collapsed="false">
      <c r="A81" s="65" t="n">
        <v>45352</v>
      </c>
      <c r="B81" s="31" t="s">
        <v>7</v>
      </c>
      <c r="C81" s="32"/>
      <c r="D81" s="32"/>
      <c r="E81" s="19" t="n">
        <f aca="false">+F81*0.03</f>
        <v>0</v>
      </c>
      <c r="F81" s="33" t="n">
        <v>0</v>
      </c>
      <c r="G81" s="62"/>
      <c r="H81" s="35" t="n">
        <v>0</v>
      </c>
      <c r="I81" s="34" t="n">
        <f aca="false">+IF(E81=0,0,E81*0.03)</f>
        <v>0</v>
      </c>
    </row>
    <row r="82" customFormat="false" ht="15.75" hidden="false" customHeight="true" outlineLevel="0" collapsed="false">
      <c r="A82" s="65" t="n">
        <v>45352</v>
      </c>
      <c r="B82" s="31" t="s">
        <v>7</v>
      </c>
      <c r="C82" s="32"/>
      <c r="D82" s="32"/>
      <c r="E82" s="19" t="n">
        <f aca="false">+F82*0.03</f>
        <v>0</v>
      </c>
      <c r="F82" s="33" t="n">
        <v>0</v>
      </c>
      <c r="G82" s="62"/>
      <c r="H82" s="35" t="n">
        <v>0</v>
      </c>
      <c r="I82" s="34" t="n">
        <f aca="false">+IF(E82=0,0,E82*0.03)</f>
        <v>0</v>
      </c>
    </row>
    <row r="83" customFormat="false" ht="15.75" hidden="false" customHeight="true" outlineLevel="0" collapsed="false">
      <c r="A83" s="65" t="n">
        <v>45352</v>
      </c>
      <c r="B83" s="31" t="s">
        <v>7</v>
      </c>
      <c r="C83" s="32"/>
      <c r="D83" s="32"/>
      <c r="E83" s="19" t="n">
        <f aca="false">+F83*0.03</f>
        <v>0</v>
      </c>
      <c r="F83" s="33" t="n">
        <v>0</v>
      </c>
      <c r="G83" s="62"/>
      <c r="H83" s="35" t="n">
        <v>0</v>
      </c>
      <c r="I83" s="34" t="n">
        <f aca="false">+IF(E83=0,0,E83*0.03)</f>
        <v>0</v>
      </c>
    </row>
    <row r="84" customFormat="false" ht="15.75" hidden="false" customHeight="true" outlineLevel="0" collapsed="false">
      <c r="A84" s="65" t="n">
        <v>45352</v>
      </c>
      <c r="B84" s="31" t="s">
        <v>7</v>
      </c>
      <c r="C84" s="32"/>
      <c r="D84" s="32"/>
      <c r="E84" s="19" t="n">
        <f aca="false">+F84*0.03</f>
        <v>0</v>
      </c>
      <c r="F84" s="33" t="n">
        <v>0</v>
      </c>
      <c r="G84" s="62"/>
      <c r="H84" s="35" t="n">
        <v>0</v>
      </c>
      <c r="I84" s="34" t="n">
        <f aca="false">+IF(E84=0,0,E84*0.03)</f>
        <v>0</v>
      </c>
    </row>
    <row r="85" customFormat="false" ht="15.75" hidden="false" customHeight="true" outlineLevel="0" collapsed="false">
      <c r="A85" s="65" t="n">
        <v>45352</v>
      </c>
      <c r="B85" s="31" t="s">
        <v>7</v>
      </c>
      <c r="C85" s="32"/>
      <c r="D85" s="32"/>
      <c r="E85" s="19" t="n">
        <f aca="false">+F85*0.03</f>
        <v>0</v>
      </c>
      <c r="F85" s="33" t="n">
        <v>0</v>
      </c>
      <c r="G85" s="62"/>
      <c r="H85" s="35" t="n">
        <v>0</v>
      </c>
      <c r="I85" s="34" t="n">
        <f aca="false">+IF(E85=0,0,E85*0.03)</f>
        <v>0</v>
      </c>
    </row>
    <row r="86" customFormat="false" ht="15.75" hidden="false" customHeight="true" outlineLevel="0" collapsed="false">
      <c r="A86" s="65" t="n">
        <v>45352</v>
      </c>
      <c r="B86" s="31" t="s">
        <v>7</v>
      </c>
      <c r="C86" s="32"/>
      <c r="D86" s="32"/>
      <c r="E86" s="19" t="n">
        <f aca="false">+F86*0.03</f>
        <v>0</v>
      </c>
      <c r="F86" s="33" t="n">
        <v>0</v>
      </c>
      <c r="G86" s="62"/>
      <c r="H86" s="35" t="n">
        <v>0</v>
      </c>
      <c r="I86" s="34" t="n">
        <f aca="false">+IF(E86=0,0,E86*0.03)</f>
        <v>0</v>
      </c>
    </row>
    <row r="87" customFormat="false" ht="15.75" hidden="false" customHeight="true" outlineLevel="0" collapsed="false">
      <c r="A87" s="65" t="n">
        <v>45352</v>
      </c>
      <c r="B87" s="31" t="s">
        <v>7</v>
      </c>
      <c r="C87" s="32"/>
      <c r="D87" s="32"/>
      <c r="E87" s="19" t="n">
        <f aca="false">+F87*0.03</f>
        <v>0</v>
      </c>
      <c r="F87" s="33" t="n">
        <v>0</v>
      </c>
      <c r="G87" s="62"/>
      <c r="H87" s="35" t="n">
        <v>0</v>
      </c>
      <c r="I87" s="34" t="n">
        <f aca="false">+IF(E87=0,0,E87*0.03)</f>
        <v>0</v>
      </c>
    </row>
    <row r="88" customFormat="false" ht="15.75" hidden="false" customHeight="true" outlineLevel="0" collapsed="false">
      <c r="A88" s="65" t="n">
        <v>45352</v>
      </c>
      <c r="B88" s="31" t="s">
        <v>7</v>
      </c>
      <c r="C88" s="32"/>
      <c r="D88" s="32"/>
      <c r="E88" s="19" t="n">
        <f aca="false">+F88*0.03</f>
        <v>0</v>
      </c>
      <c r="F88" s="33" t="n">
        <v>0</v>
      </c>
      <c r="G88" s="62"/>
      <c r="H88" s="35" t="n">
        <v>0</v>
      </c>
      <c r="I88" s="34" t="n">
        <f aca="false">+IF(E88=0,0,E88*0.03)</f>
        <v>0</v>
      </c>
    </row>
    <row r="89" customFormat="false" ht="15.75" hidden="false" customHeight="true" outlineLevel="0" collapsed="false">
      <c r="A89" s="65" t="n">
        <v>45352</v>
      </c>
      <c r="B89" s="31" t="s">
        <v>7</v>
      </c>
      <c r="C89" s="32"/>
      <c r="D89" s="32"/>
      <c r="E89" s="19" t="n">
        <f aca="false">+F89*0.03</f>
        <v>0</v>
      </c>
      <c r="F89" s="33" t="n">
        <v>0</v>
      </c>
      <c r="G89" s="62"/>
      <c r="H89" s="35" t="n">
        <v>0</v>
      </c>
      <c r="I89" s="34" t="n">
        <f aca="false">+IF(E89=0,0,E89*0.03)</f>
        <v>0</v>
      </c>
    </row>
    <row r="90" customFormat="false" ht="15.75" hidden="false" customHeight="true" outlineLevel="0" collapsed="false">
      <c r="A90" s="65" t="n">
        <v>45352</v>
      </c>
      <c r="B90" s="31" t="s">
        <v>7</v>
      </c>
      <c r="C90" s="32"/>
      <c r="D90" s="32"/>
      <c r="E90" s="19" t="n">
        <f aca="false">+F90*0.03</f>
        <v>0</v>
      </c>
      <c r="F90" s="33" t="n">
        <v>0</v>
      </c>
      <c r="G90" s="62"/>
      <c r="H90" s="35" t="n">
        <v>0</v>
      </c>
      <c r="I90" s="34" t="n">
        <f aca="false">+IF(E90=0,0,E90*0.03)</f>
        <v>0</v>
      </c>
    </row>
    <row r="91" customFormat="false" ht="15.75" hidden="false" customHeight="true" outlineLevel="0" collapsed="false">
      <c r="A91" s="65" t="n">
        <v>45352</v>
      </c>
      <c r="B91" s="31" t="s">
        <v>7</v>
      </c>
      <c r="C91" s="32"/>
      <c r="D91" s="32"/>
      <c r="E91" s="19" t="n">
        <f aca="false">+F91*0.03</f>
        <v>0</v>
      </c>
      <c r="F91" s="33" t="n">
        <v>0</v>
      </c>
      <c r="G91" s="62"/>
      <c r="H91" s="35" t="n">
        <v>0</v>
      </c>
      <c r="I91" s="34" t="n">
        <f aca="false">+IF(E91=0,0,E91*0.03)</f>
        <v>0</v>
      </c>
    </row>
    <row r="92" customFormat="false" ht="15.75" hidden="false" customHeight="true" outlineLevel="0" collapsed="false">
      <c r="A92" s="65" t="n">
        <v>45352</v>
      </c>
      <c r="B92" s="31" t="s">
        <v>7</v>
      </c>
      <c r="C92" s="32"/>
      <c r="D92" s="32"/>
      <c r="E92" s="19" t="n">
        <f aca="false">+F92*0.03</f>
        <v>0</v>
      </c>
      <c r="F92" s="33" t="n">
        <v>0</v>
      </c>
      <c r="G92" s="62"/>
      <c r="H92" s="35" t="n">
        <v>0</v>
      </c>
      <c r="I92" s="34" t="n">
        <f aca="false">+IF(E92=0,0,E92*0.03)</f>
        <v>0</v>
      </c>
    </row>
    <row r="93" customFormat="false" ht="15.75" hidden="false" customHeight="true" outlineLevel="0" collapsed="false">
      <c r="A93" s="65" t="n">
        <v>45352</v>
      </c>
      <c r="B93" s="31" t="s">
        <v>7</v>
      </c>
      <c r="C93" s="32"/>
      <c r="D93" s="32"/>
      <c r="E93" s="19" t="n">
        <f aca="false">+F93*0.03</f>
        <v>0</v>
      </c>
      <c r="F93" s="33" t="n">
        <v>0</v>
      </c>
      <c r="G93" s="62"/>
      <c r="H93" s="35" t="n">
        <v>0</v>
      </c>
      <c r="I93" s="34" t="n">
        <f aca="false">+IF(E93=0,0,E93*0.03)</f>
        <v>0</v>
      </c>
    </row>
    <row r="94" customFormat="false" ht="15.75" hidden="false" customHeight="true" outlineLevel="0" collapsed="false">
      <c r="A94" s="65" t="n">
        <v>45352</v>
      </c>
      <c r="B94" s="31" t="s">
        <v>7</v>
      </c>
      <c r="C94" s="32"/>
      <c r="D94" s="32"/>
      <c r="E94" s="19" t="n">
        <f aca="false">+F94*0.03</f>
        <v>0</v>
      </c>
      <c r="F94" s="33" t="n">
        <v>0</v>
      </c>
      <c r="G94" s="62"/>
      <c r="H94" s="35" t="n">
        <v>0</v>
      </c>
      <c r="I94" s="34" t="n">
        <f aca="false">+IF(E94=0,0,E94*0.03)</f>
        <v>0</v>
      </c>
    </row>
    <row r="95" customFormat="false" ht="15.75" hidden="false" customHeight="true" outlineLevel="0" collapsed="false">
      <c r="A95" s="65" t="n">
        <v>45352</v>
      </c>
      <c r="B95" s="31" t="s">
        <v>7</v>
      </c>
      <c r="C95" s="32"/>
      <c r="D95" s="32"/>
      <c r="E95" s="19" t="n">
        <f aca="false">+F95*0.03</f>
        <v>0</v>
      </c>
      <c r="F95" s="33" t="n">
        <v>0</v>
      </c>
      <c r="G95" s="62"/>
      <c r="H95" s="35" t="n">
        <v>0</v>
      </c>
      <c r="I95" s="34" t="n">
        <f aca="false">+IF(E95=0,0,E95*0.03)</f>
        <v>0</v>
      </c>
    </row>
    <row r="96" customFormat="false" ht="15.75" hidden="false" customHeight="true" outlineLevel="0" collapsed="false">
      <c r="A96" s="65" t="n">
        <v>45352</v>
      </c>
      <c r="B96" s="31" t="s">
        <v>7</v>
      </c>
      <c r="C96" s="32"/>
      <c r="D96" s="32"/>
      <c r="E96" s="19" t="n">
        <f aca="false">+F96*0.03</f>
        <v>0</v>
      </c>
      <c r="F96" s="33" t="n">
        <v>0</v>
      </c>
      <c r="G96" s="62"/>
      <c r="H96" s="35" t="n">
        <v>0</v>
      </c>
      <c r="I96" s="34" t="n">
        <f aca="false">+IF(E96=0,0,E96*0.03)</f>
        <v>0</v>
      </c>
    </row>
    <row r="97" customFormat="false" ht="15.75" hidden="false" customHeight="true" outlineLevel="0" collapsed="false">
      <c r="A97" s="65" t="n">
        <v>45352</v>
      </c>
      <c r="B97" s="31" t="s">
        <v>7</v>
      </c>
      <c r="C97" s="32"/>
      <c r="D97" s="32"/>
      <c r="E97" s="19" t="n">
        <f aca="false">+F97*0.03</f>
        <v>0</v>
      </c>
      <c r="F97" s="33" t="n">
        <v>0</v>
      </c>
      <c r="G97" s="62"/>
      <c r="H97" s="35" t="n">
        <v>0</v>
      </c>
      <c r="I97" s="34" t="n">
        <f aca="false">+IF(E97=0,0,E97*0.03)</f>
        <v>0</v>
      </c>
    </row>
    <row r="98" customFormat="false" ht="15.75" hidden="false" customHeight="true" outlineLevel="0" collapsed="false">
      <c r="A98" s="65" t="n">
        <v>45352</v>
      </c>
      <c r="B98" s="31" t="s">
        <v>7</v>
      </c>
      <c r="C98" s="32"/>
      <c r="D98" s="32"/>
      <c r="E98" s="19" t="n">
        <f aca="false">+F98*0.03</f>
        <v>0</v>
      </c>
      <c r="F98" s="33" t="n">
        <v>0</v>
      </c>
      <c r="G98" s="62"/>
      <c r="H98" s="35" t="n">
        <v>0</v>
      </c>
      <c r="I98" s="34" t="n">
        <f aca="false">+IF(E98=0,0,E98*0.03)</f>
        <v>0</v>
      </c>
    </row>
    <row r="99" customFormat="false" ht="15.75" hidden="false" customHeight="true" outlineLevel="0" collapsed="false">
      <c r="A99" s="65" t="n">
        <v>45352</v>
      </c>
      <c r="B99" s="31" t="s">
        <v>7</v>
      </c>
      <c r="C99" s="32"/>
      <c r="D99" s="32"/>
      <c r="E99" s="19" t="n">
        <f aca="false">+F99*0.03</f>
        <v>0</v>
      </c>
      <c r="F99" s="33" t="n">
        <v>0</v>
      </c>
      <c r="G99" s="62"/>
      <c r="H99" s="35" t="n">
        <v>0</v>
      </c>
      <c r="I99" s="34" t="n">
        <f aca="false">+IF(E99=0,0,E99*0.03)</f>
        <v>0</v>
      </c>
    </row>
    <row r="100" customFormat="false" ht="15.75" hidden="false" customHeight="true" outlineLevel="0" collapsed="false">
      <c r="A100" s="65" t="n">
        <v>45352</v>
      </c>
      <c r="B100" s="31" t="s">
        <v>7</v>
      </c>
      <c r="C100" s="32"/>
      <c r="D100" s="32"/>
      <c r="E100" s="19" t="n">
        <f aca="false">+F100*0.03</f>
        <v>0</v>
      </c>
      <c r="F100" s="33" t="n">
        <v>0</v>
      </c>
      <c r="G100" s="62"/>
      <c r="H100" s="35" t="n">
        <v>0</v>
      </c>
      <c r="I100" s="34" t="n">
        <f aca="false">+IF(E100=0,0,E100*0.03)</f>
        <v>0</v>
      </c>
    </row>
    <row r="101" customFormat="false" ht="15.75" hidden="false" customHeight="true" outlineLevel="0" collapsed="false">
      <c r="A101" s="65" t="n">
        <v>45352</v>
      </c>
      <c r="B101" s="31" t="s">
        <v>7</v>
      </c>
      <c r="C101" s="32"/>
      <c r="D101" s="32"/>
      <c r="E101" s="19" t="n">
        <f aca="false">+F101*0.03</f>
        <v>0</v>
      </c>
      <c r="F101" s="33" t="n">
        <v>0</v>
      </c>
      <c r="G101" s="62"/>
      <c r="H101" s="35" t="n">
        <v>0</v>
      </c>
      <c r="I101" s="34" t="n">
        <f aca="false">+IF(E101=0,0,E101*0.03)</f>
        <v>0</v>
      </c>
    </row>
    <row r="102" customFormat="false" ht="15.75" hidden="false" customHeight="true" outlineLevel="0" collapsed="false">
      <c r="A102" s="65" t="n">
        <v>45352</v>
      </c>
      <c r="B102" s="31" t="s">
        <v>7</v>
      </c>
      <c r="C102" s="32"/>
      <c r="D102" s="32"/>
      <c r="E102" s="19" t="n">
        <f aca="false">+F102*0.03</f>
        <v>0</v>
      </c>
      <c r="F102" s="33" t="n">
        <v>0</v>
      </c>
      <c r="G102" s="62"/>
      <c r="H102" s="35" t="n">
        <v>0</v>
      </c>
      <c r="I102" s="34" t="n">
        <f aca="false">+IF(E102=0,0,E102*0.03)</f>
        <v>0</v>
      </c>
    </row>
    <row r="103" customFormat="false" ht="15.75" hidden="false" customHeight="true" outlineLevel="0" collapsed="false">
      <c r="A103" s="65" t="n">
        <v>45352</v>
      </c>
      <c r="B103" s="31" t="s">
        <v>7</v>
      </c>
      <c r="C103" s="32"/>
      <c r="D103" s="32"/>
      <c r="E103" s="19" t="n">
        <f aca="false">+F103*0.03</f>
        <v>0</v>
      </c>
      <c r="F103" s="33" t="n">
        <v>0</v>
      </c>
      <c r="G103" s="62"/>
      <c r="H103" s="35" t="n">
        <v>0</v>
      </c>
      <c r="I103" s="34" t="n">
        <f aca="false">+IF(E103=0,0,E103*0.03)</f>
        <v>0</v>
      </c>
    </row>
    <row r="104" customFormat="false" ht="15.75" hidden="false" customHeight="true" outlineLevel="0" collapsed="false">
      <c r="A104" s="65" t="n">
        <v>45352</v>
      </c>
      <c r="B104" s="31" t="s">
        <v>7</v>
      </c>
      <c r="C104" s="32"/>
      <c r="D104" s="32"/>
      <c r="E104" s="19" t="n">
        <f aca="false">+F104*0.03</f>
        <v>0</v>
      </c>
      <c r="F104" s="33" t="n">
        <v>0</v>
      </c>
      <c r="G104" s="62"/>
      <c r="H104" s="35" t="n">
        <v>0</v>
      </c>
      <c r="I104" s="34" t="n">
        <f aca="false">+IF(E104=0,0,E104*0.03)</f>
        <v>0</v>
      </c>
    </row>
    <row r="105" customFormat="false" ht="15.75" hidden="false" customHeight="true" outlineLevel="0" collapsed="false">
      <c r="A105" s="65" t="n">
        <v>45352</v>
      </c>
      <c r="B105" s="31" t="s">
        <v>7</v>
      </c>
      <c r="C105" s="32"/>
      <c r="D105" s="32"/>
      <c r="E105" s="19" t="n">
        <f aca="false">+F105*0.03</f>
        <v>0</v>
      </c>
      <c r="F105" s="33" t="n">
        <v>0</v>
      </c>
      <c r="G105" s="62"/>
      <c r="H105" s="35" t="n">
        <v>0</v>
      </c>
      <c r="I105" s="34" t="n">
        <f aca="false">+IF(E105=0,0,E105*0.03)</f>
        <v>0</v>
      </c>
    </row>
    <row r="106" customFormat="false" ht="15.75" hidden="false" customHeight="true" outlineLevel="0" collapsed="false">
      <c r="A106" s="65" t="n">
        <v>45352</v>
      </c>
      <c r="B106" s="31" t="s">
        <v>7</v>
      </c>
      <c r="C106" s="32"/>
      <c r="D106" s="32"/>
      <c r="E106" s="19" t="n">
        <f aca="false">+F106*0.03</f>
        <v>0</v>
      </c>
      <c r="F106" s="33" t="n">
        <v>0</v>
      </c>
      <c r="G106" s="62"/>
      <c r="H106" s="35" t="n">
        <v>0</v>
      </c>
      <c r="I106" s="34" t="n">
        <f aca="false">+IF(E106=0,0,E106*0.03)</f>
        <v>0</v>
      </c>
    </row>
    <row r="107" customFormat="false" ht="15.75" hidden="false" customHeight="true" outlineLevel="0" collapsed="false">
      <c r="A107" s="65" t="n">
        <v>45352</v>
      </c>
      <c r="B107" s="31" t="s">
        <v>7</v>
      </c>
      <c r="C107" s="32"/>
      <c r="D107" s="32"/>
      <c r="E107" s="19" t="n">
        <f aca="false">+F107*0.03</f>
        <v>0</v>
      </c>
      <c r="F107" s="33" t="n">
        <v>0</v>
      </c>
      <c r="G107" s="62"/>
      <c r="H107" s="35" t="n">
        <v>0</v>
      </c>
      <c r="I107" s="34" t="n">
        <f aca="false">+IF(E107=0,0,E107*0.03)</f>
        <v>0</v>
      </c>
    </row>
    <row r="108" customFormat="false" ht="15.75" hidden="false" customHeight="true" outlineLevel="0" collapsed="false">
      <c r="A108" s="65" t="n">
        <v>45352</v>
      </c>
      <c r="B108" s="31" t="s">
        <v>7</v>
      </c>
      <c r="C108" s="32"/>
      <c r="D108" s="32"/>
      <c r="E108" s="19" t="n">
        <f aca="false">+F108*0.03</f>
        <v>0</v>
      </c>
      <c r="F108" s="33" t="n">
        <v>0</v>
      </c>
      <c r="G108" s="62"/>
      <c r="H108" s="35" t="n">
        <v>0</v>
      </c>
      <c r="I108" s="34" t="n">
        <f aca="false">+IF(E108=0,0,E108*0.03)</f>
        <v>0</v>
      </c>
    </row>
    <row r="109" customFormat="false" ht="15.75" hidden="false" customHeight="true" outlineLevel="0" collapsed="false">
      <c r="A109" s="65" t="n">
        <v>45352</v>
      </c>
      <c r="B109" s="31" t="s">
        <v>7</v>
      </c>
      <c r="C109" s="32"/>
      <c r="D109" s="32"/>
      <c r="E109" s="19" t="n">
        <f aca="false">+F109*0.03</f>
        <v>0</v>
      </c>
      <c r="F109" s="33" t="n">
        <v>0</v>
      </c>
      <c r="G109" s="62"/>
      <c r="H109" s="35" t="n">
        <v>0</v>
      </c>
      <c r="I109" s="34" t="n">
        <f aca="false">+IF(E109=0,0,E109*0.03)</f>
        <v>0</v>
      </c>
    </row>
    <row r="110" customFormat="false" ht="15.75" hidden="false" customHeight="true" outlineLevel="0" collapsed="false">
      <c r="A110" s="65" t="n">
        <v>45352</v>
      </c>
      <c r="B110" s="31" t="s">
        <v>7</v>
      </c>
      <c r="C110" s="32"/>
      <c r="D110" s="32"/>
      <c r="E110" s="19" t="n">
        <f aca="false">+F110*0.03</f>
        <v>0</v>
      </c>
      <c r="F110" s="33" t="n">
        <v>0</v>
      </c>
      <c r="G110" s="62"/>
      <c r="H110" s="35" t="n">
        <v>0</v>
      </c>
      <c r="I110" s="34" t="n">
        <f aca="false">+IF(E110=0,0,E110*0.03)</f>
        <v>0</v>
      </c>
    </row>
    <row r="111" customFormat="false" ht="15.75" hidden="false" customHeight="true" outlineLevel="0" collapsed="false">
      <c r="A111" s="65" t="n">
        <v>45352</v>
      </c>
      <c r="B111" s="31" t="s">
        <v>7</v>
      </c>
      <c r="C111" s="32"/>
      <c r="D111" s="32"/>
      <c r="E111" s="19" t="n">
        <f aca="false">+F111*0.03</f>
        <v>0</v>
      </c>
      <c r="F111" s="33" t="n">
        <v>0</v>
      </c>
      <c r="G111" s="62"/>
      <c r="H111" s="35" t="n">
        <v>0</v>
      </c>
      <c r="I111" s="34" t="n">
        <f aca="false">+IF(E111=0,0,E111*0.03)</f>
        <v>0</v>
      </c>
    </row>
    <row r="112" customFormat="false" ht="15.75" hidden="false" customHeight="true" outlineLevel="0" collapsed="false">
      <c r="A112" s="65" t="n">
        <v>45352</v>
      </c>
      <c r="B112" s="31" t="s">
        <v>7</v>
      </c>
      <c r="C112" s="32"/>
      <c r="D112" s="32"/>
      <c r="E112" s="19" t="n">
        <f aca="false">+F112*0.03</f>
        <v>0</v>
      </c>
      <c r="F112" s="33" t="n">
        <v>0</v>
      </c>
      <c r="G112" s="62"/>
      <c r="H112" s="35" t="n">
        <v>0</v>
      </c>
      <c r="I112" s="34" t="n">
        <f aca="false">+IF(E112=0,0,E112*0.03)</f>
        <v>0</v>
      </c>
    </row>
    <row r="113" customFormat="false" ht="15.75" hidden="false" customHeight="true" outlineLevel="0" collapsed="false">
      <c r="A113" s="65" t="n">
        <v>45352</v>
      </c>
      <c r="B113" s="31" t="s">
        <v>7</v>
      </c>
      <c r="C113" s="32"/>
      <c r="D113" s="32"/>
      <c r="E113" s="19" t="n">
        <f aca="false">+F113*0.03</f>
        <v>0</v>
      </c>
      <c r="F113" s="33" t="n">
        <v>0</v>
      </c>
      <c r="G113" s="62"/>
      <c r="H113" s="35" t="n">
        <v>0</v>
      </c>
      <c r="I113" s="34" t="n">
        <f aca="false">+IF(E113=0,0,E113*0.03)</f>
        <v>0</v>
      </c>
    </row>
    <row r="114" customFormat="false" ht="15.75" hidden="false" customHeight="true" outlineLevel="0" collapsed="false">
      <c r="A114" s="65" t="n">
        <v>45352</v>
      </c>
      <c r="B114" s="31" t="s">
        <v>7</v>
      </c>
      <c r="C114" s="32"/>
      <c r="D114" s="32"/>
      <c r="E114" s="19" t="n">
        <f aca="false">+F114*0.03</f>
        <v>0</v>
      </c>
      <c r="F114" s="33" t="n">
        <v>0</v>
      </c>
      <c r="G114" s="62"/>
      <c r="H114" s="35" t="n">
        <v>0</v>
      </c>
      <c r="I114" s="34" t="n">
        <f aca="false">+IF(E114=0,0,E114*0.03)</f>
        <v>0</v>
      </c>
    </row>
    <row r="115" customFormat="false" ht="15.75" hidden="false" customHeight="true" outlineLevel="0" collapsed="false">
      <c r="A115" s="65" t="n">
        <v>45352</v>
      </c>
      <c r="B115" s="31" t="s">
        <v>7</v>
      </c>
      <c r="C115" s="32"/>
      <c r="D115" s="32"/>
      <c r="E115" s="19" t="n">
        <f aca="false">+F115*0.03</f>
        <v>0</v>
      </c>
      <c r="F115" s="33" t="n">
        <v>0</v>
      </c>
      <c r="G115" s="62"/>
      <c r="H115" s="35" t="n">
        <v>0</v>
      </c>
      <c r="I115" s="34" t="n">
        <f aca="false">+IF(E115=0,0,E115*0.03)</f>
        <v>0</v>
      </c>
    </row>
    <row r="116" customFormat="false" ht="15.75" hidden="false" customHeight="true" outlineLevel="0" collapsed="false">
      <c r="A116" s="65" t="n">
        <v>45352</v>
      </c>
      <c r="B116" s="31" t="s">
        <v>7</v>
      </c>
      <c r="C116" s="32"/>
      <c r="D116" s="32"/>
      <c r="E116" s="19" t="n">
        <f aca="false">+F116*0.03</f>
        <v>0</v>
      </c>
      <c r="F116" s="33" t="n">
        <v>0</v>
      </c>
      <c r="G116" s="62"/>
      <c r="H116" s="35" t="n">
        <v>0</v>
      </c>
      <c r="I116" s="34" t="n">
        <f aca="false">+IF(E116=0,0,E116*0.03)</f>
        <v>0</v>
      </c>
    </row>
    <row r="117" customFormat="false" ht="15.75" hidden="false" customHeight="true" outlineLevel="0" collapsed="false">
      <c r="A117" s="65" t="n">
        <v>45352</v>
      </c>
      <c r="B117" s="31" t="s">
        <v>7</v>
      </c>
      <c r="C117" s="32"/>
      <c r="D117" s="32"/>
      <c r="E117" s="19" t="n">
        <f aca="false">+F117*0.03</f>
        <v>0</v>
      </c>
      <c r="F117" s="33" t="n">
        <v>0</v>
      </c>
      <c r="G117" s="62"/>
      <c r="H117" s="35" t="n">
        <v>0</v>
      </c>
      <c r="I117" s="34" t="n">
        <f aca="false">+IF(E117=0,0,E117*0.03)</f>
        <v>0</v>
      </c>
    </row>
    <row r="118" customFormat="false" ht="15.75" hidden="false" customHeight="true" outlineLevel="0" collapsed="false">
      <c r="A118" s="65" t="n">
        <v>45352</v>
      </c>
      <c r="B118" s="31" t="s">
        <v>7</v>
      </c>
      <c r="C118" s="32"/>
      <c r="D118" s="32"/>
      <c r="E118" s="19" t="n">
        <f aca="false">+F118*0.03</f>
        <v>0</v>
      </c>
      <c r="F118" s="33" t="n">
        <v>0</v>
      </c>
      <c r="G118" s="62"/>
      <c r="H118" s="35" t="n">
        <v>0</v>
      </c>
      <c r="I118" s="34" t="n">
        <f aca="false">+IF(E118=0,0,E118*0.03)</f>
        <v>0</v>
      </c>
    </row>
    <row r="119" customFormat="false" ht="15.75" hidden="false" customHeight="true" outlineLevel="0" collapsed="false">
      <c r="A119" s="65" t="n">
        <v>45352</v>
      </c>
      <c r="B119" s="31" t="s">
        <v>7</v>
      </c>
      <c r="C119" s="32"/>
      <c r="D119" s="32"/>
      <c r="E119" s="19" t="n">
        <f aca="false">+F119*0.03</f>
        <v>0</v>
      </c>
      <c r="F119" s="33" t="n">
        <v>0</v>
      </c>
      <c r="G119" s="62"/>
      <c r="H119" s="35" t="n">
        <v>0</v>
      </c>
      <c r="I119" s="34" t="n">
        <f aca="false">+IF(E119=0,0,E119*0.03)</f>
        <v>0</v>
      </c>
    </row>
    <row r="120" customFormat="false" ht="15.75" hidden="false" customHeight="true" outlineLevel="0" collapsed="false">
      <c r="A120" s="65" t="n">
        <v>45352</v>
      </c>
      <c r="B120" s="31" t="s">
        <v>7</v>
      </c>
      <c r="C120" s="32"/>
      <c r="D120" s="32"/>
      <c r="E120" s="19" t="n">
        <f aca="false">+F120*0.03</f>
        <v>0</v>
      </c>
      <c r="F120" s="33" t="n">
        <v>0</v>
      </c>
      <c r="G120" s="62"/>
      <c r="H120" s="35" t="n">
        <v>0</v>
      </c>
      <c r="I120" s="34" t="n">
        <f aca="false">+IF(E120=0,0,E120*0.03)</f>
        <v>0</v>
      </c>
    </row>
    <row r="121" customFormat="false" ht="15.75" hidden="false" customHeight="true" outlineLevel="0" collapsed="false">
      <c r="A121" s="65" t="n">
        <v>45352</v>
      </c>
      <c r="B121" s="31" t="s">
        <v>7</v>
      </c>
      <c r="C121" s="32"/>
      <c r="D121" s="32"/>
      <c r="E121" s="19" t="n">
        <f aca="false">+F121*0.03</f>
        <v>0</v>
      </c>
      <c r="F121" s="33" t="n">
        <v>0</v>
      </c>
      <c r="G121" s="62"/>
      <c r="H121" s="35" t="n">
        <v>0</v>
      </c>
      <c r="I121" s="34" t="n">
        <f aca="false">+IF(E121=0,0,E121*0.03)</f>
        <v>0</v>
      </c>
    </row>
    <row r="122" customFormat="false" ht="15.75" hidden="false" customHeight="true" outlineLevel="0" collapsed="false">
      <c r="A122" s="65" t="n">
        <v>45352</v>
      </c>
      <c r="B122" s="31" t="s">
        <v>7</v>
      </c>
      <c r="C122" s="32"/>
      <c r="D122" s="32"/>
      <c r="E122" s="19" t="n">
        <f aca="false">+F122*0.03</f>
        <v>0</v>
      </c>
      <c r="F122" s="33" t="n">
        <v>0</v>
      </c>
      <c r="G122" s="62"/>
      <c r="H122" s="35" t="n">
        <v>0</v>
      </c>
      <c r="I122" s="34" t="n">
        <f aca="false">+IF(E122=0,0,E122*0.03)</f>
        <v>0</v>
      </c>
    </row>
    <row r="123" customFormat="false" ht="15.75" hidden="false" customHeight="true" outlineLevel="0" collapsed="false">
      <c r="A123" s="65" t="n">
        <v>45352</v>
      </c>
      <c r="B123" s="31" t="s">
        <v>7</v>
      </c>
      <c r="C123" s="32"/>
      <c r="D123" s="32"/>
      <c r="E123" s="19" t="n">
        <f aca="false">+F123*0.03</f>
        <v>0</v>
      </c>
      <c r="F123" s="33" t="n">
        <v>0</v>
      </c>
      <c r="G123" s="62"/>
      <c r="H123" s="35" t="n">
        <v>0</v>
      </c>
      <c r="I123" s="34" t="n">
        <f aca="false">+IF(E123=0,0,E123*0.03)</f>
        <v>0</v>
      </c>
    </row>
    <row r="124" customFormat="false" ht="15.75" hidden="false" customHeight="true" outlineLevel="0" collapsed="false">
      <c r="A124" s="65" t="n">
        <v>45352</v>
      </c>
      <c r="B124" s="31" t="s">
        <v>7</v>
      </c>
      <c r="C124" s="32"/>
      <c r="D124" s="32"/>
      <c r="E124" s="19" t="n">
        <f aca="false">+F124*0.03</f>
        <v>0</v>
      </c>
      <c r="F124" s="33" t="n">
        <v>0</v>
      </c>
      <c r="G124" s="62"/>
      <c r="H124" s="35" t="n">
        <v>0</v>
      </c>
      <c r="I124" s="34" t="n">
        <f aca="false">+IF(E124=0,0,E124*0.03)</f>
        <v>0</v>
      </c>
    </row>
    <row r="125" customFormat="false" ht="15.75" hidden="false" customHeight="true" outlineLevel="0" collapsed="false">
      <c r="A125" s="65" t="n">
        <v>45352</v>
      </c>
      <c r="B125" s="31" t="s">
        <v>7</v>
      </c>
      <c r="C125" s="32"/>
      <c r="D125" s="32"/>
      <c r="E125" s="19" t="n">
        <f aca="false">+F125*0.03</f>
        <v>0</v>
      </c>
      <c r="F125" s="33" t="n">
        <v>0</v>
      </c>
      <c r="G125" s="62"/>
      <c r="H125" s="35" t="n">
        <v>0</v>
      </c>
      <c r="I125" s="34" t="n">
        <f aca="false">+IF(E125=0,0,E125*0.03)</f>
        <v>0</v>
      </c>
    </row>
    <row r="126" customFormat="false" ht="15.75" hidden="false" customHeight="true" outlineLevel="0" collapsed="false">
      <c r="A126" s="65" t="n">
        <v>45352</v>
      </c>
      <c r="B126" s="31" t="s">
        <v>7</v>
      </c>
      <c r="C126" s="32"/>
      <c r="D126" s="32"/>
      <c r="E126" s="19" t="n">
        <f aca="false">+F126*0.03</f>
        <v>0</v>
      </c>
      <c r="F126" s="33" t="n">
        <v>0</v>
      </c>
      <c r="G126" s="62"/>
      <c r="H126" s="35" t="n">
        <v>0</v>
      </c>
      <c r="I126" s="34" t="n">
        <f aca="false">+IF(E126=0,0,E126*0.03)</f>
        <v>0</v>
      </c>
    </row>
    <row r="127" customFormat="false" ht="15.75" hidden="false" customHeight="true" outlineLevel="0" collapsed="false">
      <c r="A127" s="65" t="n">
        <v>45352</v>
      </c>
      <c r="B127" s="31" t="s">
        <v>7</v>
      </c>
      <c r="C127" s="32"/>
      <c r="D127" s="32"/>
      <c r="E127" s="19" t="n">
        <f aca="false">+F127*0.03</f>
        <v>0</v>
      </c>
      <c r="F127" s="33" t="n">
        <v>0</v>
      </c>
      <c r="G127" s="62"/>
      <c r="H127" s="35" t="n">
        <v>0</v>
      </c>
      <c r="I127" s="34" t="n">
        <f aca="false">+IF(E127=0,0,E127*0.03)</f>
        <v>0</v>
      </c>
    </row>
    <row r="128" customFormat="false" ht="15.75" hidden="false" customHeight="true" outlineLevel="0" collapsed="false">
      <c r="A128" s="65" t="n">
        <v>45352</v>
      </c>
      <c r="B128" s="31" t="s">
        <v>7</v>
      </c>
      <c r="C128" s="32"/>
      <c r="D128" s="32"/>
      <c r="E128" s="19" t="n">
        <f aca="false">+F128*0.03</f>
        <v>0</v>
      </c>
      <c r="F128" s="33" t="n">
        <v>0</v>
      </c>
      <c r="G128" s="62"/>
      <c r="H128" s="35" t="n">
        <v>0</v>
      </c>
      <c r="I128" s="34" t="n">
        <f aca="false">+IF(E128=0,0,E128*0.03)</f>
        <v>0</v>
      </c>
    </row>
    <row r="129" customFormat="false" ht="15.75" hidden="false" customHeight="true" outlineLevel="0" collapsed="false">
      <c r="A129" s="65" t="n">
        <v>45352</v>
      </c>
      <c r="B129" s="31" t="s">
        <v>7</v>
      </c>
      <c r="C129" s="32"/>
      <c r="D129" s="32"/>
      <c r="E129" s="19" t="n">
        <f aca="false">+F129*0.03</f>
        <v>0</v>
      </c>
      <c r="F129" s="33" t="n">
        <v>0</v>
      </c>
      <c r="G129" s="62"/>
      <c r="H129" s="35" t="n">
        <v>0</v>
      </c>
      <c r="I129" s="34" t="n">
        <f aca="false">+IF(E129=0,0,E129*0.03)</f>
        <v>0</v>
      </c>
    </row>
    <row r="130" customFormat="false" ht="15.75" hidden="false" customHeight="true" outlineLevel="0" collapsed="false">
      <c r="A130" s="65" t="n">
        <v>45352</v>
      </c>
      <c r="B130" s="31" t="s">
        <v>7</v>
      </c>
      <c r="C130" s="32"/>
      <c r="D130" s="32"/>
      <c r="E130" s="19" t="n">
        <f aca="false">+F130*0.03</f>
        <v>0</v>
      </c>
      <c r="F130" s="33" t="n">
        <v>0</v>
      </c>
      <c r="G130" s="62"/>
      <c r="H130" s="35" t="n">
        <v>0</v>
      </c>
      <c r="I130" s="34" t="n">
        <f aca="false">+IF(E130=0,0,E130*0.03)</f>
        <v>0</v>
      </c>
    </row>
    <row r="131" customFormat="false" ht="15.75" hidden="false" customHeight="true" outlineLevel="0" collapsed="false">
      <c r="A131" s="65" t="n">
        <v>45352</v>
      </c>
      <c r="B131" s="31" t="s">
        <v>7</v>
      </c>
      <c r="C131" s="32"/>
      <c r="D131" s="32"/>
      <c r="E131" s="19" t="n">
        <f aca="false">+F131*0.03</f>
        <v>0</v>
      </c>
      <c r="F131" s="33" t="n">
        <v>0</v>
      </c>
      <c r="G131" s="62"/>
      <c r="H131" s="35" t="n">
        <v>0</v>
      </c>
      <c r="I131" s="34" t="n">
        <f aca="false">+IF(E131=0,0,E131*0.03)</f>
        <v>0</v>
      </c>
    </row>
    <row r="132" customFormat="false" ht="15.75" hidden="false" customHeight="true" outlineLevel="0" collapsed="false">
      <c r="A132" s="65" t="n">
        <v>45352</v>
      </c>
      <c r="B132" s="31" t="s">
        <v>7</v>
      </c>
      <c r="C132" s="32"/>
      <c r="D132" s="32"/>
      <c r="E132" s="19" t="n">
        <f aca="false">+F132*0.03</f>
        <v>0</v>
      </c>
      <c r="F132" s="33" t="n">
        <v>0</v>
      </c>
      <c r="G132" s="62"/>
      <c r="H132" s="35" t="n">
        <v>0</v>
      </c>
      <c r="I132" s="34" t="n">
        <f aca="false">+IF(E132=0,0,E132*0.03)</f>
        <v>0</v>
      </c>
    </row>
    <row r="133" customFormat="false" ht="15.75" hidden="false" customHeight="true" outlineLevel="0" collapsed="false">
      <c r="A133" s="65" t="n">
        <v>45352</v>
      </c>
      <c r="B133" s="31" t="s">
        <v>7</v>
      </c>
      <c r="C133" s="32"/>
      <c r="D133" s="32"/>
      <c r="E133" s="19" t="n">
        <f aca="false">+F133*0.03</f>
        <v>0</v>
      </c>
      <c r="F133" s="33" t="n">
        <v>0</v>
      </c>
      <c r="G133" s="62"/>
      <c r="H133" s="35" t="n">
        <v>0</v>
      </c>
      <c r="I133" s="34" t="n">
        <f aca="false">+IF(E133=0,0,E133*0.03)</f>
        <v>0</v>
      </c>
    </row>
    <row r="134" customFormat="false" ht="15.75" hidden="false" customHeight="true" outlineLevel="0" collapsed="false">
      <c r="A134" s="65" t="n">
        <v>45352</v>
      </c>
      <c r="B134" s="31" t="s">
        <v>7</v>
      </c>
      <c r="C134" s="32"/>
      <c r="D134" s="32"/>
      <c r="E134" s="19" t="n">
        <f aca="false">+F134*0.03</f>
        <v>0</v>
      </c>
      <c r="F134" s="33" t="n">
        <v>0</v>
      </c>
      <c r="G134" s="62"/>
      <c r="H134" s="35" t="n">
        <v>0</v>
      </c>
      <c r="I134" s="34" t="n">
        <f aca="false">+IF(E134=0,0,E134*0.03)</f>
        <v>0</v>
      </c>
    </row>
    <row r="135" customFormat="false" ht="15.75" hidden="false" customHeight="true" outlineLevel="0" collapsed="false">
      <c r="A135" s="65" t="n">
        <v>45352</v>
      </c>
      <c r="B135" s="31" t="s">
        <v>7</v>
      </c>
      <c r="C135" s="32"/>
      <c r="D135" s="32"/>
      <c r="E135" s="19" t="n">
        <f aca="false">+F135*0.03</f>
        <v>0</v>
      </c>
      <c r="F135" s="33" t="n">
        <v>0</v>
      </c>
      <c r="G135" s="62"/>
      <c r="H135" s="35" t="n">
        <v>0</v>
      </c>
      <c r="I135" s="34" t="n">
        <f aca="false">+IF(E135=0,0,E135*0.03)</f>
        <v>0</v>
      </c>
    </row>
    <row r="136" customFormat="false" ht="15.75" hidden="false" customHeight="true" outlineLevel="0" collapsed="false">
      <c r="A136" s="65" t="n">
        <v>45352</v>
      </c>
      <c r="B136" s="31" t="s">
        <v>7</v>
      </c>
      <c r="C136" s="32"/>
      <c r="D136" s="32"/>
      <c r="E136" s="19" t="n">
        <f aca="false">+F136*0.03</f>
        <v>0</v>
      </c>
      <c r="F136" s="33" t="n">
        <v>0</v>
      </c>
      <c r="G136" s="62"/>
      <c r="H136" s="35" t="n">
        <v>0</v>
      </c>
      <c r="I136" s="34" t="n">
        <f aca="false">+IF(E136=0,0,E136*0.03)</f>
        <v>0</v>
      </c>
    </row>
    <row r="137" customFormat="false" ht="15.75" hidden="false" customHeight="true" outlineLevel="0" collapsed="false">
      <c r="A137" s="65" t="n">
        <v>45352</v>
      </c>
      <c r="B137" s="31" t="s">
        <v>7</v>
      </c>
      <c r="C137" s="32"/>
      <c r="D137" s="32"/>
      <c r="E137" s="19" t="n">
        <f aca="false">+F137*0.03</f>
        <v>0</v>
      </c>
      <c r="F137" s="33" t="n">
        <v>0</v>
      </c>
      <c r="G137" s="62"/>
      <c r="H137" s="35" t="n">
        <v>0</v>
      </c>
      <c r="I137" s="34" t="n">
        <f aca="false">+IF(E137=0,0,E137*0.03)</f>
        <v>0</v>
      </c>
    </row>
    <row r="138" customFormat="false" ht="15.75" hidden="false" customHeight="true" outlineLevel="0" collapsed="false">
      <c r="A138" s="65" t="n">
        <v>45352</v>
      </c>
      <c r="B138" s="31" t="s">
        <v>7</v>
      </c>
      <c r="C138" s="32"/>
      <c r="D138" s="32"/>
      <c r="E138" s="19" t="n">
        <f aca="false">+F138*0.03</f>
        <v>0</v>
      </c>
      <c r="F138" s="33" t="n">
        <v>0</v>
      </c>
      <c r="G138" s="62"/>
      <c r="H138" s="35" t="n">
        <v>0</v>
      </c>
      <c r="I138" s="34" t="n">
        <f aca="false">+IF(E138=0,0,E138*0.03)</f>
        <v>0</v>
      </c>
    </row>
    <row r="139" customFormat="false" ht="15.75" hidden="false" customHeight="true" outlineLevel="0" collapsed="false">
      <c r="A139" s="65" t="n">
        <v>45352</v>
      </c>
      <c r="B139" s="31" t="s">
        <v>7</v>
      </c>
      <c r="C139" s="32"/>
      <c r="D139" s="32"/>
      <c r="E139" s="19" t="n">
        <f aca="false">+F139*0.03</f>
        <v>0</v>
      </c>
      <c r="F139" s="33" t="n">
        <v>0</v>
      </c>
      <c r="G139" s="62"/>
      <c r="H139" s="35" t="n">
        <v>0</v>
      </c>
      <c r="I139" s="34" t="n">
        <f aca="false">+IF(E139=0,0,E139*0.03)</f>
        <v>0</v>
      </c>
    </row>
    <row r="140" customFormat="false" ht="15.75" hidden="false" customHeight="true" outlineLevel="0" collapsed="false">
      <c r="A140" s="65" t="n">
        <v>45352</v>
      </c>
      <c r="B140" s="31" t="s">
        <v>7</v>
      </c>
      <c r="C140" s="32"/>
      <c r="D140" s="32"/>
      <c r="E140" s="19" t="n">
        <f aca="false">+F140*0.03</f>
        <v>0</v>
      </c>
      <c r="F140" s="33" t="n">
        <v>0</v>
      </c>
      <c r="G140" s="62"/>
      <c r="H140" s="35" t="n">
        <v>0</v>
      </c>
      <c r="I140" s="34" t="n">
        <f aca="false">+IF(E140=0,0,E140*0.03)</f>
        <v>0</v>
      </c>
    </row>
    <row r="141" customFormat="false" ht="15.75" hidden="false" customHeight="true" outlineLevel="0" collapsed="false">
      <c r="A141" s="65" t="n">
        <v>45352</v>
      </c>
      <c r="B141" s="31" t="s">
        <v>7</v>
      </c>
      <c r="C141" s="32"/>
      <c r="D141" s="32"/>
      <c r="E141" s="19" t="n">
        <f aca="false">+F141*0.03</f>
        <v>0</v>
      </c>
      <c r="F141" s="33" t="n">
        <v>0</v>
      </c>
      <c r="G141" s="62"/>
      <c r="H141" s="35" t="n">
        <v>0</v>
      </c>
      <c r="I141" s="34" t="n">
        <f aca="false">+IF(E141=0,0,E141*0.03)</f>
        <v>0</v>
      </c>
    </row>
    <row r="142" customFormat="false" ht="15.75" hidden="false" customHeight="true" outlineLevel="0" collapsed="false">
      <c r="A142" s="65" t="n">
        <v>45352</v>
      </c>
      <c r="B142" s="31" t="s">
        <v>7</v>
      </c>
      <c r="C142" s="32"/>
      <c r="D142" s="32"/>
      <c r="E142" s="19" t="n">
        <f aca="false">+F142*0.03</f>
        <v>0</v>
      </c>
      <c r="F142" s="33" t="n">
        <v>0</v>
      </c>
      <c r="G142" s="62"/>
      <c r="H142" s="35" t="n">
        <v>0</v>
      </c>
      <c r="I142" s="34" t="n">
        <f aca="false">+IF(E142=0,0,E142*0.03)</f>
        <v>0</v>
      </c>
    </row>
    <row r="143" customFormat="false" ht="15.75" hidden="false" customHeight="true" outlineLevel="0" collapsed="false">
      <c r="A143" s="65" t="n">
        <v>45352</v>
      </c>
      <c r="B143" s="31" t="s">
        <v>7</v>
      </c>
      <c r="C143" s="32"/>
      <c r="D143" s="32"/>
      <c r="E143" s="19" t="n">
        <f aca="false">+F143*0.03</f>
        <v>0</v>
      </c>
      <c r="F143" s="33" t="n">
        <v>0</v>
      </c>
      <c r="G143" s="62"/>
      <c r="H143" s="35" t="n">
        <v>0</v>
      </c>
      <c r="I143" s="34" t="n">
        <f aca="false">+IF(E143=0,0,E143*0.03)</f>
        <v>0</v>
      </c>
    </row>
    <row r="144" customFormat="false" ht="15.75" hidden="false" customHeight="true" outlineLevel="0" collapsed="false">
      <c r="A144" s="65" t="n">
        <v>45352</v>
      </c>
      <c r="B144" s="31" t="s">
        <v>7</v>
      </c>
      <c r="C144" s="32"/>
      <c r="D144" s="32"/>
      <c r="E144" s="19" t="n">
        <f aca="false">+F144*0.03</f>
        <v>0</v>
      </c>
      <c r="F144" s="33" t="n">
        <v>0</v>
      </c>
      <c r="G144" s="62"/>
      <c r="H144" s="35" t="n">
        <v>0</v>
      </c>
      <c r="I144" s="34" t="n">
        <f aca="false">+IF(E144=0,0,E144*0.03)</f>
        <v>0</v>
      </c>
    </row>
    <row r="145" customFormat="false" ht="15.75" hidden="false" customHeight="true" outlineLevel="0" collapsed="false">
      <c r="A145" s="65" t="n">
        <v>45352</v>
      </c>
      <c r="B145" s="31" t="s">
        <v>7</v>
      </c>
      <c r="C145" s="32"/>
      <c r="D145" s="32"/>
      <c r="E145" s="19" t="n">
        <f aca="false">+F145*0.03</f>
        <v>0</v>
      </c>
      <c r="F145" s="33" t="n">
        <v>0</v>
      </c>
      <c r="G145" s="62"/>
      <c r="H145" s="35" t="n">
        <v>0</v>
      </c>
      <c r="I145" s="34" t="n">
        <f aca="false">+IF(E145=0,0,E145*0.03)</f>
        <v>0</v>
      </c>
    </row>
    <row r="146" customFormat="false" ht="15.75" hidden="false" customHeight="true" outlineLevel="0" collapsed="false">
      <c r="A146" s="65" t="n">
        <v>45352</v>
      </c>
      <c r="B146" s="31" t="s">
        <v>7</v>
      </c>
      <c r="C146" s="32"/>
      <c r="D146" s="32"/>
      <c r="E146" s="19" t="n">
        <f aca="false">+F146*0.03</f>
        <v>0</v>
      </c>
      <c r="F146" s="33" t="n">
        <v>0</v>
      </c>
      <c r="G146" s="62"/>
      <c r="H146" s="35" t="n">
        <v>0</v>
      </c>
      <c r="I146" s="34" t="n">
        <f aca="false">+IF(E146=0,0,E146*0.03)</f>
        <v>0</v>
      </c>
    </row>
    <row r="147" customFormat="false" ht="15.75" hidden="false" customHeight="true" outlineLevel="0" collapsed="false">
      <c r="A147" s="65" t="n">
        <v>45352</v>
      </c>
      <c r="B147" s="31" t="s">
        <v>7</v>
      </c>
      <c r="C147" s="32"/>
      <c r="D147" s="32"/>
      <c r="E147" s="19" t="n">
        <f aca="false">+F147*0.03</f>
        <v>0</v>
      </c>
      <c r="F147" s="33" t="n">
        <v>0</v>
      </c>
      <c r="G147" s="62"/>
      <c r="H147" s="35" t="n">
        <v>0</v>
      </c>
      <c r="I147" s="34" t="n">
        <f aca="false">+IF(E147=0,0,E147*0.03)</f>
        <v>0</v>
      </c>
    </row>
    <row r="148" customFormat="false" ht="15.75" hidden="false" customHeight="true" outlineLevel="0" collapsed="false">
      <c r="A148" s="65" t="n">
        <v>45352</v>
      </c>
      <c r="B148" s="31" t="s">
        <v>7</v>
      </c>
      <c r="C148" s="32"/>
      <c r="D148" s="32"/>
      <c r="E148" s="19" t="n">
        <f aca="false">+F148*0.03</f>
        <v>0</v>
      </c>
      <c r="F148" s="33" t="n">
        <v>0</v>
      </c>
      <c r="G148" s="62"/>
      <c r="H148" s="35" t="n">
        <v>0</v>
      </c>
      <c r="I148" s="34" t="n">
        <f aca="false">+IF(E148=0,0,E148*0.03)</f>
        <v>0</v>
      </c>
    </row>
    <row r="149" customFormat="false" ht="15.75" hidden="false" customHeight="true" outlineLevel="0" collapsed="false">
      <c r="A149" s="65" t="n">
        <v>45352</v>
      </c>
      <c r="B149" s="31" t="s">
        <v>7</v>
      </c>
      <c r="C149" s="32"/>
      <c r="D149" s="32"/>
      <c r="E149" s="19" t="n">
        <f aca="false">+F149*0.03</f>
        <v>0</v>
      </c>
      <c r="F149" s="33" t="n">
        <v>0</v>
      </c>
      <c r="G149" s="62"/>
      <c r="H149" s="35" t="n">
        <v>0</v>
      </c>
      <c r="I149" s="34" t="n">
        <f aca="false">+IF(E149=0,0,E149*0.03)</f>
        <v>0</v>
      </c>
    </row>
    <row r="150" customFormat="false" ht="15.75" hidden="false" customHeight="true" outlineLevel="0" collapsed="false">
      <c r="A150" s="65" t="n">
        <v>45352</v>
      </c>
      <c r="B150" s="31" t="s">
        <v>7</v>
      </c>
      <c r="C150" s="32"/>
      <c r="D150" s="32"/>
      <c r="E150" s="19" t="n">
        <f aca="false">+F150*0.03</f>
        <v>0</v>
      </c>
      <c r="F150" s="33" t="n">
        <v>0</v>
      </c>
      <c r="G150" s="62"/>
      <c r="H150" s="35" t="n">
        <v>0</v>
      </c>
      <c r="I150" s="34" t="n">
        <f aca="false">+IF(E150=0,0,E150*0.03)</f>
        <v>0</v>
      </c>
    </row>
    <row r="151" customFormat="false" ht="15.75" hidden="false" customHeight="true" outlineLevel="0" collapsed="false">
      <c r="A151" s="65" t="n">
        <v>45352</v>
      </c>
      <c r="B151" s="31" t="s">
        <v>7</v>
      </c>
      <c r="C151" s="32"/>
      <c r="D151" s="32"/>
      <c r="E151" s="19" t="n">
        <f aca="false">+F151*0.03</f>
        <v>0</v>
      </c>
      <c r="F151" s="33" t="n">
        <v>0</v>
      </c>
      <c r="G151" s="62"/>
      <c r="H151" s="35" t="n">
        <v>0</v>
      </c>
      <c r="I151" s="34" t="n">
        <f aca="false">+IF(E151=0,0,E151*0.03)</f>
        <v>0</v>
      </c>
    </row>
    <row r="152" customFormat="false" ht="15.75" hidden="false" customHeight="true" outlineLevel="0" collapsed="false">
      <c r="A152" s="65" t="n">
        <v>45352</v>
      </c>
      <c r="B152" s="31" t="s">
        <v>7</v>
      </c>
      <c r="C152" s="32"/>
      <c r="D152" s="32"/>
      <c r="E152" s="19" t="n">
        <f aca="false">+F152*0.03</f>
        <v>0</v>
      </c>
      <c r="F152" s="33" t="n">
        <v>0</v>
      </c>
      <c r="G152" s="62"/>
      <c r="H152" s="35" t="n">
        <v>0</v>
      </c>
      <c r="I152" s="34" t="n">
        <f aca="false">+IF(E152=0,0,E152*0.03)</f>
        <v>0</v>
      </c>
    </row>
    <row r="153" customFormat="false" ht="15.75" hidden="false" customHeight="true" outlineLevel="0" collapsed="false">
      <c r="A153" s="65" t="n">
        <v>45352</v>
      </c>
      <c r="B153" s="31" t="s">
        <v>7</v>
      </c>
      <c r="C153" s="32"/>
      <c r="D153" s="32"/>
      <c r="E153" s="19" t="n">
        <f aca="false">+F153*0.03</f>
        <v>0</v>
      </c>
      <c r="F153" s="33" t="n">
        <v>0</v>
      </c>
      <c r="G153" s="62"/>
      <c r="H153" s="35" t="n">
        <v>0</v>
      </c>
      <c r="I153" s="34" t="n">
        <f aca="false">+IF(E153=0,0,E153*0.03)</f>
        <v>0</v>
      </c>
    </row>
    <row r="154" customFormat="false" ht="15.75" hidden="false" customHeight="true" outlineLevel="0" collapsed="false">
      <c r="A154" s="65" t="n">
        <v>45352</v>
      </c>
      <c r="B154" s="31" t="s">
        <v>7</v>
      </c>
      <c r="C154" s="32"/>
      <c r="D154" s="32"/>
      <c r="E154" s="19" t="n">
        <f aca="false">+F154*0.03</f>
        <v>0</v>
      </c>
      <c r="F154" s="33" t="n">
        <v>0</v>
      </c>
      <c r="G154" s="62"/>
      <c r="H154" s="35" t="n">
        <v>0</v>
      </c>
      <c r="I154" s="34" t="n">
        <f aca="false">+IF(E154=0,0,E154*0.03)</f>
        <v>0</v>
      </c>
    </row>
    <row r="155" customFormat="false" ht="15.75" hidden="false" customHeight="true" outlineLevel="0" collapsed="false">
      <c r="A155" s="65" t="n">
        <v>45352</v>
      </c>
      <c r="B155" s="31" t="s">
        <v>7</v>
      </c>
      <c r="C155" s="32"/>
      <c r="D155" s="32"/>
      <c r="E155" s="19" t="n">
        <f aca="false">+F155*0.03</f>
        <v>0</v>
      </c>
      <c r="F155" s="33" t="n">
        <v>0</v>
      </c>
      <c r="G155" s="62"/>
      <c r="H155" s="35" t="n">
        <v>0</v>
      </c>
      <c r="I155" s="34" t="n">
        <f aca="false">+IF(E155=0,0,E155*0.03)</f>
        <v>0</v>
      </c>
    </row>
    <row r="156" customFormat="false" ht="15.75" hidden="false" customHeight="true" outlineLevel="0" collapsed="false">
      <c r="A156" s="65" t="n">
        <v>45352</v>
      </c>
      <c r="B156" s="31" t="s">
        <v>7</v>
      </c>
      <c r="C156" s="32"/>
      <c r="D156" s="32"/>
      <c r="E156" s="19" t="n">
        <f aca="false">+F156*0.03</f>
        <v>0</v>
      </c>
      <c r="F156" s="33" t="n">
        <v>0</v>
      </c>
      <c r="G156" s="62"/>
      <c r="H156" s="35" t="n">
        <v>0</v>
      </c>
      <c r="I156" s="34" t="n">
        <f aca="false">+IF(E156=0,0,E156*0.03)</f>
        <v>0</v>
      </c>
    </row>
    <row r="157" customFormat="false" ht="15.75" hidden="false" customHeight="true" outlineLevel="0" collapsed="false">
      <c r="A157" s="65" t="n">
        <v>45352</v>
      </c>
      <c r="B157" s="31" t="s">
        <v>7</v>
      </c>
      <c r="C157" s="32"/>
      <c r="D157" s="32"/>
      <c r="E157" s="19" t="n">
        <f aca="false">+F157*0.03</f>
        <v>0</v>
      </c>
      <c r="F157" s="33" t="n">
        <v>0</v>
      </c>
      <c r="G157" s="62"/>
      <c r="H157" s="35" t="n">
        <v>0</v>
      </c>
      <c r="I157" s="34" t="n">
        <f aca="false">+IF(E157=0,0,E157*0.03)</f>
        <v>0</v>
      </c>
    </row>
    <row r="158" customFormat="false" ht="15.75" hidden="false" customHeight="true" outlineLevel="0" collapsed="false">
      <c r="A158" s="65" t="n">
        <v>45352</v>
      </c>
      <c r="B158" s="31" t="s">
        <v>7</v>
      </c>
      <c r="C158" s="32"/>
      <c r="D158" s="32"/>
      <c r="E158" s="19" t="n">
        <f aca="false">+F158*0.03</f>
        <v>0</v>
      </c>
      <c r="F158" s="33" t="n">
        <v>0</v>
      </c>
      <c r="G158" s="62"/>
      <c r="H158" s="35" t="n">
        <v>0</v>
      </c>
      <c r="I158" s="34" t="n">
        <f aca="false">+IF(E158=0,0,E158*0.03)</f>
        <v>0</v>
      </c>
    </row>
    <row r="159" customFormat="false" ht="15.75" hidden="false" customHeight="true" outlineLevel="0" collapsed="false">
      <c r="A159" s="65" t="n">
        <v>45352</v>
      </c>
      <c r="B159" s="31" t="s">
        <v>7</v>
      </c>
      <c r="C159" s="32"/>
      <c r="D159" s="32"/>
      <c r="E159" s="19" t="n">
        <f aca="false">+F159*0.03</f>
        <v>0</v>
      </c>
      <c r="F159" s="33" t="n">
        <v>0</v>
      </c>
      <c r="G159" s="62"/>
      <c r="H159" s="35" t="n">
        <v>0</v>
      </c>
      <c r="I159" s="34" t="n">
        <f aca="false">+IF(E159=0,0,E159*0.03)</f>
        <v>0</v>
      </c>
    </row>
    <row r="160" customFormat="false" ht="15.75" hidden="false" customHeight="true" outlineLevel="0" collapsed="false">
      <c r="A160" s="65" t="n">
        <v>45352</v>
      </c>
      <c r="B160" s="31" t="s">
        <v>7</v>
      </c>
      <c r="C160" s="32"/>
      <c r="D160" s="32"/>
      <c r="E160" s="19" t="n">
        <f aca="false">+F160*0.03</f>
        <v>0</v>
      </c>
      <c r="F160" s="33" t="n">
        <v>0</v>
      </c>
      <c r="G160" s="62"/>
      <c r="H160" s="35" t="n">
        <v>0</v>
      </c>
      <c r="I160" s="34" t="n">
        <f aca="false">+IF(E160=0,0,E160*0.03)</f>
        <v>0</v>
      </c>
    </row>
    <row r="161" customFormat="false" ht="15.75" hidden="false" customHeight="true" outlineLevel="0" collapsed="false">
      <c r="A161" s="65" t="n">
        <v>45352</v>
      </c>
      <c r="B161" s="31" t="s">
        <v>7</v>
      </c>
      <c r="C161" s="32"/>
      <c r="D161" s="32"/>
      <c r="E161" s="19" t="n">
        <f aca="false">+F161*0.03</f>
        <v>0</v>
      </c>
      <c r="F161" s="33" t="n">
        <v>0</v>
      </c>
      <c r="G161" s="62"/>
      <c r="H161" s="35" t="n">
        <v>0</v>
      </c>
      <c r="I161" s="34" t="n">
        <f aca="false">+IF(E161=0,0,E161*0.03)</f>
        <v>0</v>
      </c>
    </row>
    <row r="162" customFormat="false" ht="15.75" hidden="false" customHeight="true" outlineLevel="0" collapsed="false">
      <c r="A162" s="65" t="n">
        <v>45352</v>
      </c>
      <c r="B162" s="31" t="s">
        <v>7</v>
      </c>
      <c r="C162" s="32"/>
      <c r="D162" s="32"/>
      <c r="E162" s="19" t="n">
        <f aca="false">+F162*0.03</f>
        <v>0</v>
      </c>
      <c r="F162" s="33" t="n">
        <v>0</v>
      </c>
      <c r="G162" s="62"/>
      <c r="H162" s="35" t="n">
        <v>0</v>
      </c>
      <c r="I162" s="34" t="n">
        <f aca="false">+IF(E162=0,0,E162*0.03)</f>
        <v>0</v>
      </c>
    </row>
    <row r="163" customFormat="false" ht="15.75" hidden="false" customHeight="true" outlineLevel="0" collapsed="false">
      <c r="A163" s="65" t="n">
        <v>45352</v>
      </c>
      <c r="B163" s="31" t="s">
        <v>7</v>
      </c>
      <c r="C163" s="32"/>
      <c r="D163" s="32"/>
      <c r="E163" s="19" t="n">
        <f aca="false">+F163*0.03</f>
        <v>0</v>
      </c>
      <c r="F163" s="33" t="n">
        <v>0</v>
      </c>
      <c r="G163" s="62"/>
      <c r="H163" s="35" t="n">
        <v>0</v>
      </c>
      <c r="I163" s="34" t="n">
        <f aca="false">+IF(E163=0,0,E163*0.03)</f>
        <v>0</v>
      </c>
    </row>
    <row r="164" customFormat="false" ht="15.75" hidden="false" customHeight="true" outlineLevel="0" collapsed="false">
      <c r="A164" s="65" t="n">
        <v>45352</v>
      </c>
      <c r="B164" s="31" t="s">
        <v>7</v>
      </c>
      <c r="C164" s="32"/>
      <c r="D164" s="32"/>
      <c r="E164" s="19" t="n">
        <f aca="false">+F164*0.03</f>
        <v>0</v>
      </c>
      <c r="F164" s="33" t="n">
        <v>0</v>
      </c>
      <c r="G164" s="62"/>
      <c r="H164" s="35" t="n">
        <v>0</v>
      </c>
      <c r="I164" s="34" t="n">
        <f aca="false">+IF(E164=0,0,E164*0.03)</f>
        <v>0</v>
      </c>
    </row>
    <row r="165" customFormat="false" ht="15.75" hidden="false" customHeight="true" outlineLevel="0" collapsed="false">
      <c r="A165" s="65" t="n">
        <v>45352</v>
      </c>
      <c r="B165" s="31" t="s">
        <v>7</v>
      </c>
      <c r="C165" s="32"/>
      <c r="D165" s="32"/>
      <c r="E165" s="19" t="n">
        <f aca="false">+F165*0.03</f>
        <v>0</v>
      </c>
      <c r="F165" s="33" t="n">
        <v>0</v>
      </c>
      <c r="G165" s="62"/>
      <c r="H165" s="35" t="n">
        <v>0</v>
      </c>
      <c r="I165" s="34" t="n">
        <f aca="false">+IF(E165=0,0,E165*0.03)</f>
        <v>0</v>
      </c>
    </row>
    <row r="166" customFormat="false" ht="15.75" hidden="false" customHeight="true" outlineLevel="0" collapsed="false">
      <c r="A166" s="65" t="n">
        <v>45352</v>
      </c>
      <c r="B166" s="31" t="s">
        <v>7</v>
      </c>
      <c r="C166" s="32"/>
      <c r="D166" s="32"/>
      <c r="E166" s="19" t="n">
        <f aca="false">+F166*0.03</f>
        <v>0</v>
      </c>
      <c r="F166" s="33" t="n">
        <v>0</v>
      </c>
      <c r="G166" s="62"/>
      <c r="H166" s="35" t="n">
        <v>0</v>
      </c>
      <c r="I166" s="34" t="n">
        <f aca="false">+IF(E166=0,0,E166*0.03)</f>
        <v>0</v>
      </c>
    </row>
    <row r="167" customFormat="false" ht="15.75" hidden="false" customHeight="true" outlineLevel="0" collapsed="false">
      <c r="A167" s="65" t="n">
        <v>45352</v>
      </c>
      <c r="B167" s="31" t="s">
        <v>7</v>
      </c>
      <c r="C167" s="32"/>
      <c r="D167" s="32"/>
      <c r="E167" s="19" t="n">
        <f aca="false">+F167*0.03</f>
        <v>0</v>
      </c>
      <c r="F167" s="33" t="n">
        <v>0</v>
      </c>
      <c r="G167" s="62"/>
      <c r="H167" s="35" t="n">
        <v>0</v>
      </c>
      <c r="I167" s="34" t="n">
        <f aca="false">+IF(E167=0,0,E167*0.03)</f>
        <v>0</v>
      </c>
    </row>
    <row r="168" customFormat="false" ht="15.75" hidden="false" customHeight="true" outlineLevel="0" collapsed="false">
      <c r="A168" s="65" t="n">
        <v>45352</v>
      </c>
      <c r="B168" s="31" t="s">
        <v>7</v>
      </c>
      <c r="C168" s="32"/>
      <c r="D168" s="32"/>
      <c r="E168" s="19" t="n">
        <f aca="false">+F168*0.03</f>
        <v>0</v>
      </c>
      <c r="F168" s="33" t="n">
        <v>0</v>
      </c>
      <c r="G168" s="62"/>
      <c r="H168" s="35" t="n">
        <v>0</v>
      </c>
      <c r="I168" s="34" t="n">
        <f aca="false">+IF(E168=0,0,E168*0.03)</f>
        <v>0</v>
      </c>
    </row>
    <row r="169" customFormat="false" ht="15.75" hidden="false" customHeight="true" outlineLevel="0" collapsed="false">
      <c r="A169" s="65" t="n">
        <v>45352</v>
      </c>
      <c r="B169" s="31" t="s">
        <v>7</v>
      </c>
      <c r="C169" s="32"/>
      <c r="D169" s="32"/>
      <c r="E169" s="19" t="n">
        <f aca="false">+F169*0.03</f>
        <v>0</v>
      </c>
      <c r="F169" s="33" t="n">
        <v>0</v>
      </c>
      <c r="G169" s="62"/>
      <c r="H169" s="35" t="n">
        <v>0</v>
      </c>
      <c r="I169" s="34" t="n">
        <f aca="false">+IF(E169=0,0,E169*0.03)</f>
        <v>0</v>
      </c>
    </row>
    <row r="170" customFormat="false" ht="15.75" hidden="false" customHeight="true" outlineLevel="0" collapsed="false">
      <c r="A170" s="65" t="n">
        <v>45352</v>
      </c>
      <c r="B170" s="31" t="s">
        <v>7</v>
      </c>
      <c r="C170" s="32"/>
      <c r="D170" s="32"/>
      <c r="E170" s="19" t="n">
        <f aca="false">+F170*0.03</f>
        <v>0</v>
      </c>
      <c r="F170" s="33" t="n">
        <v>0</v>
      </c>
      <c r="G170" s="62"/>
      <c r="H170" s="35" t="n">
        <v>0</v>
      </c>
      <c r="I170" s="34" t="n">
        <f aca="false">+IF(E170=0,0,E170*0.03)</f>
        <v>0</v>
      </c>
    </row>
    <row r="171" customFormat="false" ht="15.75" hidden="false" customHeight="true" outlineLevel="0" collapsed="false">
      <c r="A171" s="65" t="n">
        <v>45352</v>
      </c>
      <c r="B171" s="31" t="s">
        <v>7</v>
      </c>
      <c r="C171" s="32"/>
      <c r="D171" s="32"/>
      <c r="E171" s="19" t="n">
        <f aca="false">+F171*0.03</f>
        <v>0</v>
      </c>
      <c r="F171" s="33" t="n">
        <v>0</v>
      </c>
      <c r="G171" s="62"/>
      <c r="H171" s="35" t="n">
        <v>0</v>
      </c>
      <c r="I171" s="34" t="n">
        <f aca="false">+IF(E171=0,0,E171*0.03)</f>
        <v>0</v>
      </c>
    </row>
    <row r="172" customFormat="false" ht="15.75" hidden="false" customHeight="true" outlineLevel="0" collapsed="false">
      <c r="A172" s="65" t="n">
        <v>45352</v>
      </c>
      <c r="B172" s="31" t="s">
        <v>7</v>
      </c>
      <c r="C172" s="32"/>
      <c r="D172" s="32"/>
      <c r="E172" s="19" t="n">
        <f aca="false">+F172*0.03</f>
        <v>0</v>
      </c>
      <c r="F172" s="33" t="n">
        <v>0</v>
      </c>
      <c r="G172" s="62"/>
      <c r="H172" s="35" t="n">
        <v>0</v>
      </c>
      <c r="I172" s="34" t="n">
        <f aca="false">+IF(E172=0,0,E172*0.03)</f>
        <v>0</v>
      </c>
    </row>
    <row r="173" customFormat="false" ht="15.75" hidden="false" customHeight="true" outlineLevel="0" collapsed="false">
      <c r="A173" s="65" t="n">
        <v>45352</v>
      </c>
      <c r="B173" s="31" t="s">
        <v>7</v>
      </c>
      <c r="C173" s="32"/>
      <c r="D173" s="32"/>
      <c r="E173" s="19" t="n">
        <f aca="false">+F173*0.03</f>
        <v>0</v>
      </c>
      <c r="F173" s="33" t="n">
        <v>0</v>
      </c>
      <c r="G173" s="62"/>
      <c r="H173" s="35" t="n">
        <v>0</v>
      </c>
      <c r="I173" s="34" t="n">
        <f aca="false">+IF(E173=0,0,E173*0.03)</f>
        <v>0</v>
      </c>
    </row>
    <row r="174" customFormat="false" ht="15.75" hidden="false" customHeight="true" outlineLevel="0" collapsed="false">
      <c r="A174" s="65" t="n">
        <v>45352</v>
      </c>
      <c r="B174" s="31" t="s">
        <v>7</v>
      </c>
      <c r="C174" s="32"/>
      <c r="D174" s="32"/>
      <c r="E174" s="19" t="n">
        <f aca="false">+F174*0.03</f>
        <v>0</v>
      </c>
      <c r="F174" s="33" t="n">
        <v>0</v>
      </c>
      <c r="G174" s="62"/>
      <c r="H174" s="35" t="n">
        <v>0</v>
      </c>
      <c r="I174" s="34" t="n">
        <f aca="false">+IF(E174=0,0,E174*0.03)</f>
        <v>0</v>
      </c>
    </row>
    <row r="175" customFormat="false" ht="15.75" hidden="false" customHeight="true" outlineLevel="0" collapsed="false">
      <c r="A175" s="65" t="n">
        <v>45352</v>
      </c>
      <c r="B175" s="31" t="s">
        <v>7</v>
      </c>
      <c r="C175" s="32"/>
      <c r="D175" s="32"/>
      <c r="E175" s="19" t="n">
        <f aca="false">+F175*0.03</f>
        <v>0</v>
      </c>
      <c r="F175" s="33" t="n">
        <v>0</v>
      </c>
      <c r="G175" s="62"/>
      <c r="H175" s="35" t="n">
        <v>0</v>
      </c>
      <c r="I175" s="34" t="n">
        <f aca="false">+IF(E175=0,0,E175*0.03)</f>
        <v>0</v>
      </c>
    </row>
    <row r="176" customFormat="false" ht="15.75" hidden="false" customHeight="true" outlineLevel="0" collapsed="false">
      <c r="A176" s="65" t="n">
        <v>45352</v>
      </c>
      <c r="B176" s="31" t="s">
        <v>7</v>
      </c>
      <c r="C176" s="32"/>
      <c r="D176" s="32"/>
      <c r="E176" s="19" t="n">
        <f aca="false">+F176*0.03</f>
        <v>0</v>
      </c>
      <c r="F176" s="33" t="n">
        <v>0</v>
      </c>
      <c r="G176" s="62"/>
      <c r="H176" s="35" t="n">
        <v>0</v>
      </c>
      <c r="I176" s="34" t="n">
        <f aca="false">+IF(E176=0,0,E176*0.03)</f>
        <v>0</v>
      </c>
    </row>
    <row r="177" customFormat="false" ht="15.75" hidden="false" customHeight="true" outlineLevel="0" collapsed="false">
      <c r="A177" s="65" t="n">
        <v>45352</v>
      </c>
      <c r="B177" s="31" t="s">
        <v>7</v>
      </c>
      <c r="C177" s="32"/>
      <c r="D177" s="32"/>
      <c r="E177" s="19" t="n">
        <f aca="false">+F177*0.03</f>
        <v>0</v>
      </c>
      <c r="F177" s="33" t="n">
        <v>0</v>
      </c>
      <c r="G177" s="62"/>
      <c r="H177" s="35" t="n">
        <v>0</v>
      </c>
      <c r="I177" s="34" t="n">
        <f aca="false">+IF(E177=0,0,E177*0.03)</f>
        <v>0</v>
      </c>
    </row>
    <row r="178" customFormat="false" ht="15.75" hidden="false" customHeight="true" outlineLevel="0" collapsed="false">
      <c r="A178" s="65" t="n">
        <v>45352</v>
      </c>
      <c r="B178" s="31" t="s">
        <v>7</v>
      </c>
      <c r="C178" s="32"/>
      <c r="D178" s="32"/>
      <c r="E178" s="19" t="n">
        <f aca="false">+F178*0.03</f>
        <v>0</v>
      </c>
      <c r="F178" s="33" t="n">
        <v>0</v>
      </c>
      <c r="G178" s="62"/>
      <c r="H178" s="35" t="n">
        <v>0</v>
      </c>
      <c r="I178" s="34" t="n">
        <f aca="false">+IF(E178=0,0,E178*0.03)</f>
        <v>0</v>
      </c>
    </row>
    <row r="179" customFormat="false" ht="15.75" hidden="false" customHeight="true" outlineLevel="0" collapsed="false">
      <c r="A179" s="65" t="n">
        <v>45352</v>
      </c>
      <c r="B179" s="31" t="s">
        <v>7</v>
      </c>
      <c r="C179" s="32"/>
      <c r="D179" s="32"/>
      <c r="E179" s="19" t="n">
        <f aca="false">+F179*0.03</f>
        <v>0</v>
      </c>
      <c r="F179" s="33" t="n">
        <v>0</v>
      </c>
      <c r="G179" s="62"/>
      <c r="H179" s="35" t="n">
        <v>0</v>
      </c>
      <c r="I179" s="34" t="n">
        <f aca="false">+IF(E179=0,0,E179*0.03)</f>
        <v>0</v>
      </c>
    </row>
    <row r="180" customFormat="false" ht="15.75" hidden="false" customHeight="true" outlineLevel="0" collapsed="false">
      <c r="A180" s="65" t="n">
        <v>45352</v>
      </c>
      <c r="B180" s="31" t="s">
        <v>7</v>
      </c>
      <c r="C180" s="32"/>
      <c r="D180" s="32"/>
      <c r="E180" s="19" t="n">
        <f aca="false">+F180*0.03</f>
        <v>0</v>
      </c>
      <c r="F180" s="33" t="n">
        <v>0</v>
      </c>
      <c r="G180" s="62"/>
      <c r="H180" s="35" t="n">
        <v>0</v>
      </c>
      <c r="I180" s="34" t="n">
        <f aca="false">+IF(E180=0,0,E180*0.03)</f>
        <v>0</v>
      </c>
    </row>
    <row r="181" customFormat="false" ht="15.75" hidden="false" customHeight="true" outlineLevel="0" collapsed="false">
      <c r="A181" s="65" t="n">
        <v>45352</v>
      </c>
      <c r="B181" s="31" t="s">
        <v>7</v>
      </c>
      <c r="C181" s="32"/>
      <c r="D181" s="32"/>
      <c r="E181" s="19" t="n">
        <f aca="false">+F181*0.03</f>
        <v>0</v>
      </c>
      <c r="F181" s="33" t="n">
        <v>0</v>
      </c>
      <c r="G181" s="62"/>
      <c r="H181" s="35" t="n">
        <v>0</v>
      </c>
      <c r="I181" s="34" t="n">
        <f aca="false">+IF(E181=0,0,E181*0.03)</f>
        <v>0</v>
      </c>
    </row>
    <row r="182" customFormat="false" ht="15.75" hidden="false" customHeight="true" outlineLevel="0" collapsed="false">
      <c r="A182" s="65" t="n">
        <v>45352</v>
      </c>
      <c r="B182" s="31" t="s">
        <v>7</v>
      </c>
      <c r="C182" s="32"/>
      <c r="D182" s="32"/>
      <c r="E182" s="19" t="n">
        <f aca="false">+F182*0.03</f>
        <v>0</v>
      </c>
      <c r="F182" s="33" t="n">
        <v>0</v>
      </c>
      <c r="G182" s="62"/>
      <c r="H182" s="35" t="n">
        <v>0</v>
      </c>
      <c r="I182" s="34" t="n">
        <f aca="false">+IF(E182=0,0,E182*0.03)</f>
        <v>0</v>
      </c>
    </row>
    <row r="183" customFormat="false" ht="15.75" hidden="false" customHeight="true" outlineLevel="0" collapsed="false">
      <c r="A183" s="65" t="n">
        <v>45352</v>
      </c>
      <c r="B183" s="31" t="s">
        <v>7</v>
      </c>
      <c r="C183" s="32"/>
      <c r="D183" s="32"/>
      <c r="E183" s="19" t="n">
        <f aca="false">+F183*0.03</f>
        <v>0</v>
      </c>
      <c r="F183" s="33" t="n">
        <v>0</v>
      </c>
      <c r="G183" s="62"/>
      <c r="H183" s="35" t="n">
        <v>0</v>
      </c>
      <c r="I183" s="34" t="n">
        <f aca="false">+IF(E183=0,0,E183*0.03)</f>
        <v>0</v>
      </c>
    </row>
    <row r="184" customFormat="false" ht="15.75" hidden="false" customHeight="true" outlineLevel="0" collapsed="false">
      <c r="A184" s="65" t="n">
        <v>45352</v>
      </c>
      <c r="B184" s="31" t="s">
        <v>7</v>
      </c>
      <c r="C184" s="32"/>
      <c r="D184" s="32"/>
      <c r="E184" s="19" t="n">
        <f aca="false">+F184*0.03</f>
        <v>0</v>
      </c>
      <c r="F184" s="33" t="n">
        <v>0</v>
      </c>
      <c r="G184" s="62"/>
      <c r="H184" s="35" t="n">
        <v>0</v>
      </c>
      <c r="I184" s="34" t="n">
        <f aca="false">+IF(E184=0,0,E184*0.03)</f>
        <v>0</v>
      </c>
    </row>
    <row r="185" customFormat="false" ht="15.75" hidden="false" customHeight="true" outlineLevel="0" collapsed="false">
      <c r="A185" s="65" t="n">
        <v>45352</v>
      </c>
      <c r="B185" s="31" t="s">
        <v>7</v>
      </c>
      <c r="C185" s="32"/>
      <c r="D185" s="32"/>
      <c r="E185" s="19" t="n">
        <f aca="false">+F185*0.03</f>
        <v>0</v>
      </c>
      <c r="F185" s="33" t="n">
        <v>0</v>
      </c>
      <c r="G185" s="62"/>
      <c r="H185" s="35" t="n">
        <v>0</v>
      </c>
      <c r="I185" s="34" t="n">
        <f aca="false">+IF(E185=0,0,E185*0.03)</f>
        <v>0</v>
      </c>
    </row>
    <row r="186" customFormat="false" ht="15.75" hidden="false" customHeight="true" outlineLevel="0" collapsed="false">
      <c r="A186" s="65" t="n">
        <v>45352</v>
      </c>
      <c r="B186" s="31" t="s">
        <v>7</v>
      </c>
      <c r="C186" s="32"/>
      <c r="D186" s="32"/>
      <c r="E186" s="19" t="n">
        <f aca="false">+F186*0.03</f>
        <v>0</v>
      </c>
      <c r="F186" s="33" t="n">
        <v>0</v>
      </c>
      <c r="G186" s="62"/>
      <c r="H186" s="35" t="n">
        <v>0</v>
      </c>
      <c r="I186" s="34" t="n">
        <f aca="false">+IF(E186=0,0,E186*0.03)</f>
        <v>0</v>
      </c>
    </row>
    <row r="187" customFormat="false" ht="15.75" hidden="false" customHeight="true" outlineLevel="0" collapsed="false">
      <c r="A187" s="65" t="n">
        <v>45352</v>
      </c>
      <c r="B187" s="31" t="s">
        <v>7</v>
      </c>
      <c r="C187" s="32"/>
      <c r="D187" s="32"/>
      <c r="E187" s="19" t="n">
        <f aca="false">+F187*0.03</f>
        <v>0</v>
      </c>
      <c r="F187" s="33" t="n">
        <v>0</v>
      </c>
      <c r="G187" s="62"/>
      <c r="H187" s="35" t="n">
        <v>0</v>
      </c>
      <c r="I187" s="34" t="n">
        <f aca="false">+IF(E187=0,0,E187*0.03)</f>
        <v>0</v>
      </c>
    </row>
    <row r="188" customFormat="false" ht="15.75" hidden="false" customHeight="true" outlineLevel="0" collapsed="false">
      <c r="A188" s="65" t="n">
        <v>45352</v>
      </c>
      <c r="B188" s="31" t="s">
        <v>7</v>
      </c>
      <c r="C188" s="32"/>
      <c r="D188" s="32"/>
      <c r="E188" s="19" t="n">
        <f aca="false">+F188*0.03</f>
        <v>0</v>
      </c>
      <c r="F188" s="33" t="n">
        <v>0</v>
      </c>
      <c r="G188" s="62"/>
      <c r="H188" s="35" t="n">
        <v>0</v>
      </c>
      <c r="I188" s="34" t="n">
        <f aca="false">+IF(E188=0,0,E188*0.03)</f>
        <v>0</v>
      </c>
    </row>
    <row r="189" customFormat="false" ht="15.75" hidden="false" customHeight="true" outlineLevel="0" collapsed="false">
      <c r="A189" s="65" t="n">
        <v>45352</v>
      </c>
      <c r="B189" s="31" t="s">
        <v>7</v>
      </c>
      <c r="C189" s="32"/>
      <c r="D189" s="32"/>
      <c r="E189" s="19" t="n">
        <f aca="false">+F189*0.03</f>
        <v>0</v>
      </c>
      <c r="F189" s="33" t="n">
        <v>0</v>
      </c>
      <c r="G189" s="62"/>
      <c r="H189" s="35" t="n">
        <v>0</v>
      </c>
      <c r="I189" s="34" t="n">
        <f aca="false">+IF(E189=0,0,E189*0.03)</f>
        <v>0</v>
      </c>
    </row>
    <row r="190" customFormat="false" ht="15.75" hidden="false" customHeight="true" outlineLevel="0" collapsed="false">
      <c r="A190" s="65" t="n">
        <v>45352</v>
      </c>
      <c r="B190" s="31" t="s">
        <v>7</v>
      </c>
      <c r="C190" s="32"/>
      <c r="D190" s="32"/>
      <c r="E190" s="19" t="n">
        <f aca="false">+F190*0.03</f>
        <v>0</v>
      </c>
      <c r="F190" s="33" t="n">
        <v>0</v>
      </c>
      <c r="G190" s="62"/>
      <c r="H190" s="35" t="n">
        <v>0</v>
      </c>
      <c r="I190" s="34" t="n">
        <f aca="false">+IF(E190=0,0,E190*0.03)</f>
        <v>0</v>
      </c>
    </row>
    <row r="191" customFormat="false" ht="15.75" hidden="false" customHeight="true" outlineLevel="0" collapsed="false">
      <c r="A191" s="65" t="n">
        <v>45352</v>
      </c>
      <c r="B191" s="31" t="s">
        <v>7</v>
      </c>
      <c r="C191" s="32"/>
      <c r="D191" s="32"/>
      <c r="E191" s="19" t="n">
        <f aca="false">+F191*0.03</f>
        <v>0</v>
      </c>
      <c r="F191" s="33" t="n">
        <v>0</v>
      </c>
      <c r="G191" s="62"/>
      <c r="H191" s="35" t="n">
        <v>0</v>
      </c>
      <c r="I191" s="34" t="n">
        <f aca="false">+IF(E191=0,0,E191*0.03)</f>
        <v>0</v>
      </c>
    </row>
    <row r="192" customFormat="false" ht="15.75" hidden="false" customHeight="true" outlineLevel="0" collapsed="false">
      <c r="A192" s="65" t="n">
        <v>45352</v>
      </c>
      <c r="B192" s="31" t="s">
        <v>7</v>
      </c>
      <c r="C192" s="32"/>
      <c r="D192" s="32"/>
      <c r="E192" s="19" t="n">
        <f aca="false">+F192*0.03</f>
        <v>0</v>
      </c>
      <c r="F192" s="33" t="n">
        <v>0</v>
      </c>
      <c r="G192" s="62"/>
      <c r="H192" s="35" t="n">
        <v>0</v>
      </c>
      <c r="I192" s="34" t="n">
        <f aca="false">+IF(E192=0,0,E192*0.03)</f>
        <v>0</v>
      </c>
    </row>
    <row r="193" customFormat="false" ht="15.75" hidden="false" customHeight="true" outlineLevel="0" collapsed="false">
      <c r="A193" s="65" t="n">
        <v>45352</v>
      </c>
      <c r="B193" s="31" t="s">
        <v>7</v>
      </c>
      <c r="C193" s="32"/>
      <c r="D193" s="32"/>
      <c r="E193" s="19" t="n">
        <f aca="false">+F193*0.03</f>
        <v>0</v>
      </c>
      <c r="F193" s="33" t="n">
        <v>0</v>
      </c>
      <c r="G193" s="62"/>
      <c r="H193" s="35" t="n">
        <v>0</v>
      </c>
      <c r="I193" s="34" t="n">
        <f aca="false">+IF(E193=0,0,E193*0.03)</f>
        <v>0</v>
      </c>
    </row>
    <row r="194" customFormat="false" ht="15.75" hidden="false" customHeight="true" outlineLevel="0" collapsed="false">
      <c r="A194" s="65" t="n">
        <v>45352</v>
      </c>
      <c r="B194" s="31" t="s">
        <v>7</v>
      </c>
      <c r="C194" s="32"/>
      <c r="D194" s="32"/>
      <c r="E194" s="19" t="n">
        <f aca="false">+F194*0.03</f>
        <v>0</v>
      </c>
      <c r="F194" s="33" t="n">
        <v>0</v>
      </c>
      <c r="G194" s="62"/>
      <c r="H194" s="35" t="n">
        <v>0</v>
      </c>
      <c r="I194" s="34" t="n">
        <f aca="false">+IF(E194=0,0,E194*0.03)</f>
        <v>0</v>
      </c>
    </row>
    <row r="195" customFormat="false" ht="15.75" hidden="false" customHeight="true" outlineLevel="0" collapsed="false">
      <c r="A195" s="65" t="n">
        <v>45352</v>
      </c>
      <c r="B195" s="31" t="s">
        <v>7</v>
      </c>
      <c r="C195" s="32"/>
      <c r="D195" s="32"/>
      <c r="E195" s="19" t="n">
        <f aca="false">+F195*0.03</f>
        <v>0</v>
      </c>
      <c r="F195" s="33" t="n">
        <v>0</v>
      </c>
      <c r="G195" s="62"/>
      <c r="H195" s="35" t="n">
        <v>0</v>
      </c>
      <c r="I195" s="34" t="n">
        <f aca="false">+IF(E195=0,0,E195*0.03)</f>
        <v>0</v>
      </c>
    </row>
    <row r="196" customFormat="false" ht="15.75" hidden="false" customHeight="true" outlineLevel="0" collapsed="false">
      <c r="A196" s="65" t="n">
        <v>45352</v>
      </c>
      <c r="B196" s="31" t="s">
        <v>7</v>
      </c>
      <c r="C196" s="32"/>
      <c r="D196" s="32"/>
      <c r="E196" s="19" t="n">
        <f aca="false">+F196*0.03</f>
        <v>0</v>
      </c>
      <c r="F196" s="33" t="n">
        <v>0</v>
      </c>
      <c r="G196" s="62"/>
      <c r="H196" s="35" t="n">
        <v>0</v>
      </c>
      <c r="I196" s="34" t="n">
        <f aca="false">+IF(E196=0,0,E196*0.03)</f>
        <v>0</v>
      </c>
    </row>
    <row r="197" customFormat="false" ht="15.75" hidden="false" customHeight="true" outlineLevel="0" collapsed="false">
      <c r="A197" s="65" t="n">
        <v>45352</v>
      </c>
      <c r="B197" s="31" t="s">
        <v>7</v>
      </c>
      <c r="C197" s="32"/>
      <c r="D197" s="32"/>
      <c r="E197" s="19" t="n">
        <f aca="false">+F197*0.03</f>
        <v>0</v>
      </c>
      <c r="F197" s="33" t="n">
        <v>0</v>
      </c>
      <c r="G197" s="62"/>
      <c r="H197" s="35" t="n">
        <v>0</v>
      </c>
      <c r="I197" s="34" t="n">
        <f aca="false">+IF(E197=0,0,E197*0.03)</f>
        <v>0</v>
      </c>
    </row>
    <row r="198" customFormat="false" ht="15.75" hidden="false" customHeight="true" outlineLevel="0" collapsed="false">
      <c r="A198" s="65" t="n">
        <v>45352</v>
      </c>
      <c r="B198" s="31" t="s">
        <v>7</v>
      </c>
      <c r="C198" s="32"/>
      <c r="D198" s="32"/>
      <c r="E198" s="19" t="n">
        <f aca="false">+F198*0.03</f>
        <v>0</v>
      </c>
      <c r="F198" s="33" t="n">
        <v>0</v>
      </c>
      <c r="G198" s="62"/>
      <c r="H198" s="35" t="n">
        <v>0</v>
      </c>
      <c r="I198" s="34" t="n">
        <f aca="false">+IF(E198=0,0,E198*0.03)</f>
        <v>0</v>
      </c>
    </row>
    <row r="199" customFormat="false" ht="15.75" hidden="false" customHeight="true" outlineLevel="0" collapsed="false">
      <c r="A199" s="65" t="n">
        <v>45352</v>
      </c>
      <c r="B199" s="31" t="s">
        <v>7</v>
      </c>
      <c r="C199" s="32"/>
      <c r="D199" s="32"/>
      <c r="E199" s="19" t="n">
        <f aca="false">+F199*0.03</f>
        <v>0</v>
      </c>
      <c r="F199" s="33" t="n">
        <v>0</v>
      </c>
      <c r="G199" s="62"/>
      <c r="H199" s="35" t="n">
        <v>0</v>
      </c>
      <c r="I199" s="34" t="n">
        <f aca="false">+IF(E199=0,0,E199*0.03)</f>
        <v>0</v>
      </c>
    </row>
    <row r="200" customFormat="false" ht="15.75" hidden="false" customHeight="true" outlineLevel="0" collapsed="false">
      <c r="A200" s="65" t="n">
        <v>45352</v>
      </c>
      <c r="B200" s="31" t="s">
        <v>7</v>
      </c>
      <c r="C200" s="32"/>
      <c r="D200" s="32"/>
      <c r="E200" s="19" t="n">
        <f aca="false">+F200*0.03</f>
        <v>0</v>
      </c>
      <c r="F200" s="33" t="n">
        <v>0</v>
      </c>
      <c r="G200" s="62"/>
      <c r="H200" s="35" t="n">
        <v>0</v>
      </c>
      <c r="I200" s="34" t="n">
        <f aca="false">+IF(E200=0,0,E200*0.03)</f>
        <v>0</v>
      </c>
    </row>
    <row r="201" customFormat="false" ht="15.75" hidden="false" customHeight="true" outlineLevel="0" collapsed="false">
      <c r="A201" s="65" t="n">
        <v>45352</v>
      </c>
      <c r="B201" s="31" t="s">
        <v>7</v>
      </c>
      <c r="C201" s="32"/>
      <c r="D201" s="32"/>
      <c r="E201" s="19" t="n">
        <f aca="false">+F201*0.03</f>
        <v>0</v>
      </c>
      <c r="F201" s="33" t="n">
        <v>0</v>
      </c>
      <c r="G201" s="62"/>
      <c r="H201" s="35" t="n">
        <v>0</v>
      </c>
      <c r="I201" s="34" t="n">
        <f aca="false">+IF(E201=0,0,E201*0.03)</f>
        <v>0</v>
      </c>
    </row>
    <row r="202" customFormat="false" ht="15.75" hidden="false" customHeight="true" outlineLevel="0" collapsed="false">
      <c r="A202" s="65" t="n">
        <v>45352</v>
      </c>
      <c r="B202" s="31" t="s">
        <v>7</v>
      </c>
      <c r="C202" s="32"/>
      <c r="D202" s="32"/>
      <c r="E202" s="19" t="n">
        <f aca="false">+F202*0.03</f>
        <v>0</v>
      </c>
      <c r="F202" s="33" t="n">
        <v>0</v>
      </c>
      <c r="G202" s="62"/>
      <c r="H202" s="35" t="n">
        <v>0</v>
      </c>
      <c r="I202" s="34" t="n">
        <f aca="false">+IF(E202=0,0,E202*0.03)</f>
        <v>0</v>
      </c>
    </row>
    <row r="203" customFormat="false" ht="15.75" hidden="false" customHeight="true" outlineLevel="0" collapsed="false">
      <c r="A203" s="65" t="n">
        <v>45352</v>
      </c>
      <c r="B203" s="31" t="s">
        <v>7</v>
      </c>
      <c r="C203" s="32"/>
      <c r="D203" s="32"/>
      <c r="E203" s="19" t="n">
        <f aca="false">+F203*0.03</f>
        <v>0</v>
      </c>
      <c r="F203" s="33" t="n">
        <v>0</v>
      </c>
      <c r="G203" s="62"/>
      <c r="H203" s="35" t="n">
        <v>0</v>
      </c>
      <c r="I203" s="34" t="n">
        <f aca="false">+IF(E203=0,0,E203*0.03)</f>
        <v>0</v>
      </c>
    </row>
    <row r="204" customFormat="false" ht="15.75" hidden="false" customHeight="true" outlineLevel="0" collapsed="false">
      <c r="A204" s="65" t="n">
        <v>45352</v>
      </c>
      <c r="B204" s="31" t="s">
        <v>7</v>
      </c>
      <c r="C204" s="32"/>
      <c r="D204" s="32"/>
      <c r="E204" s="19" t="n">
        <f aca="false">+F204*0.03</f>
        <v>0</v>
      </c>
      <c r="F204" s="33" t="n">
        <v>0</v>
      </c>
      <c r="G204" s="62"/>
      <c r="H204" s="35" t="n">
        <v>0</v>
      </c>
      <c r="I204" s="34" t="n">
        <f aca="false">+IF(E204=0,0,E204*0.03)</f>
        <v>0</v>
      </c>
    </row>
    <row r="205" customFormat="false" ht="15.75" hidden="false" customHeight="true" outlineLevel="0" collapsed="false">
      <c r="A205" s="65" t="n">
        <v>45352</v>
      </c>
      <c r="B205" s="31" t="s">
        <v>7</v>
      </c>
      <c r="C205" s="32"/>
      <c r="D205" s="32"/>
      <c r="E205" s="19" t="n">
        <f aca="false">+F205*0.03</f>
        <v>0</v>
      </c>
      <c r="F205" s="33" t="n">
        <v>0</v>
      </c>
      <c r="G205" s="62"/>
      <c r="H205" s="35" t="n">
        <v>0</v>
      </c>
      <c r="I205" s="34" t="n">
        <f aca="false">+IF(E205=0,0,E205*0.03)</f>
        <v>0</v>
      </c>
    </row>
    <row r="206" customFormat="false" ht="15.75" hidden="false" customHeight="true" outlineLevel="0" collapsed="false">
      <c r="A206" s="65" t="n">
        <v>45352</v>
      </c>
      <c r="B206" s="31" t="s">
        <v>7</v>
      </c>
      <c r="C206" s="32"/>
      <c r="D206" s="32"/>
      <c r="E206" s="19" t="n">
        <f aca="false">+F206*0.03</f>
        <v>0</v>
      </c>
      <c r="F206" s="33" t="n">
        <v>0</v>
      </c>
      <c r="G206" s="62"/>
      <c r="H206" s="35" t="n">
        <v>0</v>
      </c>
      <c r="I206" s="34" t="n">
        <f aca="false">+IF(E206=0,0,E206*0.03)</f>
        <v>0</v>
      </c>
    </row>
    <row r="207" customFormat="false" ht="15.75" hidden="false" customHeight="true" outlineLevel="0" collapsed="false">
      <c r="A207" s="65" t="n">
        <v>45352</v>
      </c>
      <c r="B207" s="31" t="s">
        <v>7</v>
      </c>
      <c r="C207" s="32"/>
      <c r="D207" s="32"/>
      <c r="E207" s="19" t="n">
        <f aca="false">+F207*0.03</f>
        <v>0</v>
      </c>
      <c r="F207" s="33" t="n">
        <v>0</v>
      </c>
      <c r="G207" s="62"/>
      <c r="H207" s="35" t="n">
        <v>0</v>
      </c>
      <c r="I207" s="34" t="n">
        <f aca="false">+IF(E207=0,0,E207*0.03)</f>
        <v>0</v>
      </c>
    </row>
    <row r="208" customFormat="false" ht="15.75" hidden="false" customHeight="true" outlineLevel="0" collapsed="false">
      <c r="A208" s="65" t="n">
        <v>45352</v>
      </c>
      <c r="B208" s="31" t="s">
        <v>7</v>
      </c>
      <c r="C208" s="32"/>
      <c r="D208" s="32"/>
      <c r="E208" s="19" t="n">
        <f aca="false">+F208*0.03</f>
        <v>0</v>
      </c>
      <c r="F208" s="33" t="n">
        <v>0</v>
      </c>
      <c r="G208" s="62"/>
      <c r="H208" s="35" t="n">
        <v>0</v>
      </c>
      <c r="I208" s="34" t="n">
        <f aca="false">+IF(E208=0,0,E208*0.03)</f>
        <v>0</v>
      </c>
    </row>
    <row r="209" customFormat="false" ht="15.75" hidden="false" customHeight="true" outlineLevel="0" collapsed="false">
      <c r="A209" s="65" t="n">
        <v>45352</v>
      </c>
      <c r="B209" s="31" t="s">
        <v>7</v>
      </c>
      <c r="C209" s="32"/>
      <c r="D209" s="32"/>
      <c r="E209" s="19" t="n">
        <f aca="false">+F209*0.03</f>
        <v>0</v>
      </c>
      <c r="F209" s="33" t="n">
        <v>0</v>
      </c>
      <c r="G209" s="62"/>
      <c r="H209" s="35" t="n">
        <v>0</v>
      </c>
      <c r="I209" s="34" t="n">
        <f aca="false">+IF(E209=0,0,E209*0.03)</f>
        <v>0</v>
      </c>
    </row>
    <row r="210" customFormat="false" ht="15.75" hidden="false" customHeight="true" outlineLevel="0" collapsed="false">
      <c r="A210" s="65" t="n">
        <v>45352</v>
      </c>
      <c r="B210" s="31" t="s">
        <v>7</v>
      </c>
      <c r="C210" s="32"/>
      <c r="D210" s="32"/>
      <c r="E210" s="19" t="n">
        <f aca="false">+F210*0.03</f>
        <v>0</v>
      </c>
      <c r="F210" s="33" t="n">
        <v>0</v>
      </c>
      <c r="G210" s="62"/>
      <c r="H210" s="35" t="n">
        <v>0</v>
      </c>
      <c r="I210" s="34" t="n">
        <f aca="false">+IF(E210=0,0,E210*0.03)</f>
        <v>0</v>
      </c>
    </row>
    <row r="211" customFormat="false" ht="15.75" hidden="false" customHeight="true" outlineLevel="0" collapsed="false">
      <c r="A211" s="65" t="n">
        <v>45352</v>
      </c>
      <c r="B211" s="31" t="s">
        <v>7</v>
      </c>
      <c r="C211" s="32"/>
      <c r="D211" s="32"/>
      <c r="E211" s="19" t="n">
        <f aca="false">+F211*0.03</f>
        <v>0</v>
      </c>
      <c r="F211" s="33" t="n">
        <v>0</v>
      </c>
      <c r="G211" s="62"/>
      <c r="H211" s="35" t="n">
        <v>0</v>
      </c>
      <c r="I211" s="34" t="n">
        <f aca="false">+IF(E211=0,0,E211*0.03)</f>
        <v>0</v>
      </c>
    </row>
    <row r="212" customFormat="false" ht="15.75" hidden="false" customHeight="true" outlineLevel="0" collapsed="false">
      <c r="A212" s="65" t="n">
        <v>45352</v>
      </c>
      <c r="B212" s="31" t="s">
        <v>7</v>
      </c>
      <c r="C212" s="32"/>
      <c r="D212" s="32"/>
      <c r="E212" s="19" t="n">
        <f aca="false">+F212*0.03</f>
        <v>0</v>
      </c>
      <c r="F212" s="33" t="n">
        <v>0</v>
      </c>
      <c r="G212" s="62"/>
      <c r="H212" s="35" t="n">
        <v>0</v>
      </c>
      <c r="I212" s="34" t="n">
        <f aca="false">+IF(E212=0,0,E212*0.03)</f>
        <v>0</v>
      </c>
    </row>
    <row r="213" customFormat="false" ht="15.75" hidden="false" customHeight="true" outlineLevel="0" collapsed="false">
      <c r="A213" s="65" t="n">
        <v>45352</v>
      </c>
      <c r="B213" s="31" t="s">
        <v>7</v>
      </c>
      <c r="C213" s="32"/>
      <c r="D213" s="32"/>
      <c r="E213" s="19" t="n">
        <f aca="false">+F213*0.03</f>
        <v>0</v>
      </c>
      <c r="F213" s="33" t="n">
        <v>0</v>
      </c>
      <c r="G213" s="62"/>
      <c r="H213" s="35" t="n">
        <v>0</v>
      </c>
      <c r="I213" s="34" t="n">
        <f aca="false">+IF(E213=0,0,E213*0.03)</f>
        <v>0</v>
      </c>
    </row>
    <row r="214" customFormat="false" ht="15.75" hidden="false" customHeight="true" outlineLevel="0" collapsed="false">
      <c r="A214" s="65" t="n">
        <v>45352</v>
      </c>
      <c r="B214" s="31" t="s">
        <v>7</v>
      </c>
      <c r="C214" s="32"/>
      <c r="D214" s="32"/>
      <c r="E214" s="19" t="n">
        <f aca="false">+F214*0.03</f>
        <v>0</v>
      </c>
      <c r="F214" s="33" t="n">
        <v>0</v>
      </c>
      <c r="G214" s="62"/>
      <c r="H214" s="35" t="n">
        <v>0</v>
      </c>
      <c r="I214" s="34" t="n">
        <f aca="false">+IF(E214=0,0,E214*0.03)</f>
        <v>0</v>
      </c>
    </row>
    <row r="215" customFormat="false" ht="15.75" hidden="false" customHeight="true" outlineLevel="0" collapsed="false">
      <c r="A215" s="65" t="n">
        <v>45352</v>
      </c>
      <c r="B215" s="31" t="s">
        <v>7</v>
      </c>
      <c r="C215" s="32"/>
      <c r="D215" s="32"/>
      <c r="E215" s="19" t="n">
        <f aca="false">+F215*0.03</f>
        <v>0</v>
      </c>
      <c r="F215" s="33" t="n">
        <v>0</v>
      </c>
      <c r="G215" s="62"/>
      <c r="H215" s="35" t="n">
        <v>0</v>
      </c>
      <c r="I215" s="34" t="n">
        <f aca="false">+IF(E215=0,0,E215*0.03)</f>
        <v>0</v>
      </c>
    </row>
    <row r="216" customFormat="false" ht="15.75" hidden="false" customHeight="true" outlineLevel="0" collapsed="false">
      <c r="A216" s="65" t="n">
        <v>45352</v>
      </c>
      <c r="B216" s="31" t="s">
        <v>7</v>
      </c>
      <c r="C216" s="32"/>
      <c r="D216" s="32"/>
      <c r="E216" s="19" t="n">
        <f aca="false">+F216*0.03</f>
        <v>0</v>
      </c>
      <c r="F216" s="33" t="n">
        <v>0</v>
      </c>
      <c r="G216" s="62"/>
      <c r="H216" s="35" t="n">
        <v>0</v>
      </c>
      <c r="I216" s="34" t="n">
        <f aca="false">+IF(E216=0,0,E216*0.03)</f>
        <v>0</v>
      </c>
    </row>
    <row r="217" customFormat="false" ht="15.75" hidden="false" customHeight="true" outlineLevel="0" collapsed="false">
      <c r="A217" s="65" t="n">
        <v>45352</v>
      </c>
      <c r="B217" s="31" t="s">
        <v>7</v>
      </c>
      <c r="C217" s="32"/>
      <c r="D217" s="32"/>
      <c r="E217" s="19" t="n">
        <f aca="false">+F217*0.03</f>
        <v>0</v>
      </c>
      <c r="F217" s="33" t="n">
        <v>0</v>
      </c>
      <c r="G217" s="62"/>
      <c r="H217" s="35" t="n">
        <v>0</v>
      </c>
      <c r="I217" s="34" t="n">
        <f aca="false">+IF(E217=0,0,E217*0.03)</f>
        <v>0</v>
      </c>
    </row>
    <row r="218" customFormat="false" ht="15.75" hidden="false" customHeight="true" outlineLevel="0" collapsed="false">
      <c r="A218" s="65" t="n">
        <v>45352</v>
      </c>
      <c r="B218" s="31" t="s">
        <v>7</v>
      </c>
      <c r="C218" s="32"/>
      <c r="D218" s="32"/>
      <c r="E218" s="19" t="n">
        <f aca="false">+F218*0.03</f>
        <v>0</v>
      </c>
      <c r="F218" s="33" t="n">
        <v>0</v>
      </c>
      <c r="G218" s="62"/>
      <c r="H218" s="35" t="n">
        <v>0</v>
      </c>
      <c r="I218" s="34" t="n">
        <f aca="false">+IF(E218=0,0,E218*0.03)</f>
        <v>0</v>
      </c>
    </row>
    <row r="219" customFormat="false" ht="15.75" hidden="false" customHeight="true" outlineLevel="0" collapsed="false">
      <c r="A219" s="65" t="n">
        <v>45352</v>
      </c>
      <c r="B219" s="31" t="s">
        <v>7</v>
      </c>
      <c r="C219" s="32"/>
      <c r="D219" s="32"/>
      <c r="E219" s="19" t="n">
        <f aca="false">+F219*0.03</f>
        <v>0</v>
      </c>
      <c r="F219" s="33" t="n">
        <v>0</v>
      </c>
      <c r="G219" s="62"/>
      <c r="H219" s="35" t="n">
        <v>0</v>
      </c>
      <c r="I219" s="34" t="n">
        <f aca="false">+IF(E219=0,0,E219*0.03)</f>
        <v>0</v>
      </c>
    </row>
    <row r="220" customFormat="false" ht="15.75" hidden="false" customHeight="true" outlineLevel="0" collapsed="false">
      <c r="A220" s="65" t="n">
        <v>45352</v>
      </c>
      <c r="B220" s="31" t="s">
        <v>7</v>
      </c>
      <c r="C220" s="32"/>
      <c r="D220" s="32"/>
      <c r="E220" s="19" t="n">
        <f aca="false">+F220*0.03</f>
        <v>0</v>
      </c>
      <c r="F220" s="33" t="n">
        <v>0</v>
      </c>
      <c r="G220" s="62"/>
      <c r="H220" s="35" t="n">
        <v>0</v>
      </c>
      <c r="I220" s="34" t="n">
        <f aca="false">+IF(E220=0,0,E220*0.03)</f>
        <v>0</v>
      </c>
    </row>
    <row r="221" customFormat="false" ht="15.75" hidden="false" customHeight="true" outlineLevel="0" collapsed="false">
      <c r="A221" s="65" t="n">
        <v>45352</v>
      </c>
      <c r="B221" s="31" t="s">
        <v>7</v>
      </c>
      <c r="C221" s="32"/>
      <c r="D221" s="32"/>
      <c r="E221" s="19" t="n">
        <f aca="false">+F221*0.03</f>
        <v>0</v>
      </c>
      <c r="F221" s="33" t="n">
        <v>0</v>
      </c>
      <c r="G221" s="62"/>
      <c r="H221" s="35" t="n">
        <v>0</v>
      </c>
      <c r="I221" s="34" t="n">
        <f aca="false">+IF(E221=0,0,E221*0.03)</f>
        <v>0</v>
      </c>
    </row>
    <row r="222" customFormat="false" ht="15.75" hidden="false" customHeight="true" outlineLevel="0" collapsed="false">
      <c r="A222" s="65" t="n">
        <v>45352</v>
      </c>
      <c r="B222" s="31" t="s">
        <v>7</v>
      </c>
      <c r="C222" s="32"/>
      <c r="D222" s="32"/>
      <c r="E222" s="19" t="n">
        <f aca="false">+F222*0.03</f>
        <v>0</v>
      </c>
      <c r="F222" s="33" t="n">
        <v>0</v>
      </c>
      <c r="G222" s="62"/>
      <c r="H222" s="35" t="n">
        <v>0</v>
      </c>
      <c r="I222" s="34" t="n">
        <f aca="false">+IF(E222=0,0,E222*0.03)</f>
        <v>0</v>
      </c>
    </row>
    <row r="223" customFormat="false" ht="15.75" hidden="false" customHeight="true" outlineLevel="0" collapsed="false">
      <c r="A223" s="65" t="n">
        <v>45352</v>
      </c>
      <c r="B223" s="31" t="s">
        <v>7</v>
      </c>
      <c r="C223" s="32"/>
      <c r="D223" s="32"/>
      <c r="E223" s="19" t="n">
        <f aca="false">+F223*0.03</f>
        <v>0</v>
      </c>
      <c r="F223" s="33" t="n">
        <v>0</v>
      </c>
      <c r="G223" s="62"/>
      <c r="H223" s="35" t="n">
        <v>0</v>
      </c>
      <c r="I223" s="34" t="n">
        <f aca="false">+IF(E223=0,0,E223*0.03)</f>
        <v>0</v>
      </c>
    </row>
    <row r="224" customFormat="false" ht="15.75" hidden="false" customHeight="true" outlineLevel="0" collapsed="false">
      <c r="A224" s="65" t="n">
        <v>45352</v>
      </c>
      <c r="B224" s="31" t="s">
        <v>7</v>
      </c>
      <c r="C224" s="32"/>
      <c r="D224" s="32"/>
      <c r="E224" s="19" t="n">
        <f aca="false">+F224*0.03</f>
        <v>0</v>
      </c>
      <c r="F224" s="33" t="n">
        <v>0</v>
      </c>
      <c r="G224" s="62"/>
      <c r="H224" s="35" t="n">
        <v>0</v>
      </c>
      <c r="I224" s="34" t="n">
        <f aca="false">+IF(E224=0,0,E224*0.03)</f>
        <v>0</v>
      </c>
    </row>
    <row r="225" customFormat="false" ht="15.75" hidden="false" customHeight="true" outlineLevel="0" collapsed="false">
      <c r="A225" s="65" t="n">
        <v>45352</v>
      </c>
      <c r="B225" s="31" t="s">
        <v>7</v>
      </c>
      <c r="C225" s="32"/>
      <c r="D225" s="32"/>
      <c r="E225" s="19" t="n">
        <f aca="false">+F225*0.03</f>
        <v>0</v>
      </c>
      <c r="F225" s="33" t="n">
        <v>0</v>
      </c>
      <c r="G225" s="62"/>
      <c r="H225" s="35" t="n">
        <v>0</v>
      </c>
      <c r="I225" s="34" t="n">
        <f aca="false">+IF(E225=0,0,E225*0.03)</f>
        <v>0</v>
      </c>
    </row>
    <row r="226" customFormat="false" ht="15.75" hidden="false" customHeight="true" outlineLevel="0" collapsed="false">
      <c r="A226" s="65" t="n">
        <v>45352</v>
      </c>
      <c r="B226" s="31" t="s">
        <v>7</v>
      </c>
      <c r="C226" s="32"/>
      <c r="D226" s="32"/>
      <c r="E226" s="19" t="n">
        <f aca="false">+F226*0.03</f>
        <v>0</v>
      </c>
      <c r="F226" s="33" t="n">
        <v>0</v>
      </c>
      <c r="G226" s="62"/>
      <c r="H226" s="35" t="n">
        <v>0</v>
      </c>
      <c r="I226" s="34" t="n">
        <f aca="false">+IF(E226=0,0,E226*0.03)</f>
        <v>0</v>
      </c>
    </row>
    <row r="227" customFormat="false" ht="15.75" hidden="false" customHeight="true" outlineLevel="0" collapsed="false">
      <c r="A227" s="65" t="n">
        <v>45352</v>
      </c>
      <c r="B227" s="31" t="s">
        <v>7</v>
      </c>
      <c r="C227" s="32"/>
      <c r="D227" s="32"/>
      <c r="E227" s="19" t="n">
        <f aca="false">+F227*0.03</f>
        <v>0</v>
      </c>
      <c r="F227" s="33" t="n">
        <v>0</v>
      </c>
      <c r="G227" s="62"/>
      <c r="H227" s="35" t="n">
        <v>0</v>
      </c>
      <c r="I227" s="34" t="n">
        <f aca="false">+IF(E227=0,0,E227*0.03)</f>
        <v>0</v>
      </c>
    </row>
    <row r="228" customFormat="false" ht="15.75" hidden="false" customHeight="true" outlineLevel="0" collapsed="false">
      <c r="A228" s="65" t="n">
        <v>45352</v>
      </c>
      <c r="B228" s="31" t="s">
        <v>7</v>
      </c>
      <c r="C228" s="32"/>
      <c r="D228" s="32"/>
      <c r="E228" s="19" t="n">
        <f aca="false">+F228*0.03</f>
        <v>0</v>
      </c>
      <c r="F228" s="33" t="n">
        <v>0</v>
      </c>
      <c r="G228" s="62"/>
      <c r="H228" s="35" t="n">
        <v>0</v>
      </c>
      <c r="I228" s="34" t="n">
        <f aca="false">+IF(E228=0,0,E228*0.03)</f>
        <v>0</v>
      </c>
    </row>
    <row r="229" customFormat="false" ht="15.75" hidden="false" customHeight="true" outlineLevel="0" collapsed="false">
      <c r="A229" s="65" t="n">
        <v>45352</v>
      </c>
      <c r="B229" s="31" t="s">
        <v>7</v>
      </c>
      <c r="C229" s="32"/>
      <c r="D229" s="32"/>
      <c r="E229" s="19" t="n">
        <f aca="false">+F229*0.03</f>
        <v>0</v>
      </c>
      <c r="F229" s="33" t="n">
        <v>0</v>
      </c>
      <c r="G229" s="62"/>
      <c r="H229" s="35" t="n">
        <v>0</v>
      </c>
      <c r="I229" s="34" t="n">
        <f aca="false">+IF(E229=0,0,E229*0.03)</f>
        <v>0</v>
      </c>
    </row>
    <row r="230" customFormat="false" ht="15.75" hidden="false" customHeight="true" outlineLevel="0" collapsed="false">
      <c r="A230" s="65" t="n">
        <v>45352</v>
      </c>
      <c r="B230" s="31" t="s">
        <v>7</v>
      </c>
      <c r="C230" s="32"/>
      <c r="D230" s="32"/>
      <c r="E230" s="19" t="n">
        <f aca="false">+F230*0.03</f>
        <v>0</v>
      </c>
      <c r="F230" s="33" t="n">
        <v>0</v>
      </c>
      <c r="G230" s="62"/>
      <c r="H230" s="35" t="n">
        <v>0</v>
      </c>
      <c r="I230" s="34" t="n">
        <f aca="false">+IF(E230=0,0,E230*0.03)</f>
        <v>0</v>
      </c>
    </row>
    <row r="231" customFormat="false" ht="15.75" hidden="false" customHeight="true" outlineLevel="0" collapsed="false">
      <c r="A231" s="65" t="n">
        <v>45352</v>
      </c>
      <c r="B231" s="31" t="s">
        <v>7</v>
      </c>
      <c r="C231" s="32"/>
      <c r="D231" s="32"/>
      <c r="E231" s="19" t="n">
        <f aca="false">+F231*0.03</f>
        <v>0</v>
      </c>
      <c r="F231" s="33" t="n">
        <v>0</v>
      </c>
      <c r="G231" s="62"/>
      <c r="H231" s="35" t="n">
        <v>0</v>
      </c>
      <c r="I231" s="34" t="n">
        <f aca="false">+IF(E231=0,0,E231*0.03)</f>
        <v>0</v>
      </c>
    </row>
    <row r="232" customFormat="false" ht="15.75" hidden="false" customHeight="true" outlineLevel="0" collapsed="false">
      <c r="A232" s="65" t="n">
        <v>45352</v>
      </c>
      <c r="B232" s="31" t="s">
        <v>7</v>
      </c>
      <c r="C232" s="32"/>
      <c r="D232" s="32"/>
      <c r="E232" s="19" t="n">
        <f aca="false">+F232*0.03</f>
        <v>0</v>
      </c>
      <c r="F232" s="33" t="n">
        <v>0</v>
      </c>
      <c r="G232" s="62"/>
      <c r="H232" s="35" t="n">
        <v>0</v>
      </c>
      <c r="I232" s="34" t="n">
        <f aca="false">+IF(E232=0,0,E232*0.03)</f>
        <v>0</v>
      </c>
    </row>
    <row r="233" customFormat="false" ht="15.75" hidden="false" customHeight="true" outlineLevel="0" collapsed="false">
      <c r="A233" s="65" t="n">
        <v>45352</v>
      </c>
      <c r="B233" s="31" t="s">
        <v>7</v>
      </c>
      <c r="C233" s="32"/>
      <c r="D233" s="32"/>
      <c r="E233" s="19" t="n">
        <f aca="false">+F233*0.03</f>
        <v>0</v>
      </c>
      <c r="F233" s="33" t="n">
        <v>0</v>
      </c>
      <c r="G233" s="62"/>
      <c r="H233" s="35" t="n">
        <v>0</v>
      </c>
      <c r="I233" s="34" t="n">
        <f aca="false">+IF(E233=0,0,E233*0.03)</f>
        <v>0</v>
      </c>
    </row>
    <row r="234" customFormat="false" ht="15.75" hidden="false" customHeight="true" outlineLevel="0" collapsed="false">
      <c r="A234" s="65" t="n">
        <v>45352</v>
      </c>
      <c r="B234" s="31" t="s">
        <v>7</v>
      </c>
      <c r="C234" s="32"/>
      <c r="D234" s="32"/>
      <c r="E234" s="19" t="n">
        <f aca="false">+F234*0.03</f>
        <v>0</v>
      </c>
      <c r="F234" s="33" t="n">
        <v>0</v>
      </c>
      <c r="G234" s="62"/>
      <c r="H234" s="35" t="n">
        <v>0</v>
      </c>
      <c r="I234" s="34" t="n">
        <f aca="false">+IF(E234=0,0,E234*0.03)</f>
        <v>0</v>
      </c>
    </row>
    <row r="235" customFormat="false" ht="15.75" hidden="false" customHeight="true" outlineLevel="0" collapsed="false">
      <c r="A235" s="65" t="n">
        <v>45352</v>
      </c>
      <c r="B235" s="31" t="s">
        <v>7</v>
      </c>
      <c r="C235" s="32"/>
      <c r="D235" s="32"/>
      <c r="E235" s="19" t="n">
        <f aca="false">+F235*0.03</f>
        <v>0</v>
      </c>
      <c r="F235" s="33" t="n">
        <v>0</v>
      </c>
      <c r="G235" s="62"/>
      <c r="H235" s="35" t="n">
        <v>0</v>
      </c>
      <c r="I235" s="34" t="n">
        <f aca="false">+IF(E235=0,0,E235*0.03)</f>
        <v>0</v>
      </c>
    </row>
    <row r="236" customFormat="false" ht="15.75" hidden="false" customHeight="true" outlineLevel="0" collapsed="false">
      <c r="A236" s="65" t="n">
        <v>45352</v>
      </c>
      <c r="B236" s="31" t="s">
        <v>7</v>
      </c>
      <c r="C236" s="32"/>
      <c r="D236" s="32"/>
      <c r="E236" s="19" t="n">
        <f aca="false">+F236*0.03</f>
        <v>0</v>
      </c>
      <c r="F236" s="33" t="n">
        <v>0</v>
      </c>
      <c r="G236" s="62"/>
      <c r="H236" s="35" t="n">
        <v>0</v>
      </c>
      <c r="I236" s="34" t="n">
        <f aca="false">+IF(E236=0,0,E236*0.03)</f>
        <v>0</v>
      </c>
    </row>
    <row r="237" customFormat="false" ht="15.75" hidden="false" customHeight="true" outlineLevel="0" collapsed="false">
      <c r="A237" s="65" t="n">
        <v>45352</v>
      </c>
      <c r="B237" s="31" t="s">
        <v>7</v>
      </c>
      <c r="C237" s="32"/>
      <c r="D237" s="32"/>
      <c r="E237" s="19" t="n">
        <f aca="false">+F237*0.03</f>
        <v>0</v>
      </c>
      <c r="F237" s="33" t="n">
        <v>0</v>
      </c>
      <c r="G237" s="62"/>
      <c r="H237" s="35" t="n">
        <v>0</v>
      </c>
      <c r="I237" s="34" t="n">
        <f aca="false">+IF(E237=0,0,E237*0.03)</f>
        <v>0</v>
      </c>
    </row>
    <row r="238" customFormat="false" ht="15.75" hidden="false" customHeight="true" outlineLevel="0" collapsed="false">
      <c r="A238" s="65" t="n">
        <v>45352</v>
      </c>
      <c r="B238" s="31" t="s">
        <v>7</v>
      </c>
      <c r="C238" s="32"/>
      <c r="D238" s="32"/>
      <c r="E238" s="19" t="n">
        <f aca="false">+F238*0.03</f>
        <v>0</v>
      </c>
      <c r="F238" s="33" t="n">
        <v>0</v>
      </c>
      <c r="G238" s="62"/>
      <c r="H238" s="35" t="n">
        <v>0</v>
      </c>
      <c r="I238" s="34" t="n">
        <f aca="false">+IF(E238=0,0,E238*0.03)</f>
        <v>0</v>
      </c>
    </row>
    <row r="239" customFormat="false" ht="15.75" hidden="false" customHeight="true" outlineLevel="0" collapsed="false">
      <c r="A239" s="65" t="n">
        <v>45352</v>
      </c>
      <c r="B239" s="31" t="s">
        <v>7</v>
      </c>
      <c r="C239" s="32"/>
      <c r="D239" s="32"/>
      <c r="E239" s="19" t="n">
        <f aca="false">+F239*0.03</f>
        <v>0</v>
      </c>
      <c r="F239" s="33" t="n">
        <v>0</v>
      </c>
      <c r="G239" s="62"/>
      <c r="H239" s="35" t="n">
        <v>0</v>
      </c>
      <c r="I239" s="34" t="n">
        <f aca="false">+IF(E239=0,0,E239*0.03)</f>
        <v>0</v>
      </c>
    </row>
    <row r="240" customFormat="false" ht="15.75" hidden="false" customHeight="true" outlineLevel="0" collapsed="false">
      <c r="A240" s="65" t="n">
        <v>45352</v>
      </c>
      <c r="B240" s="31" t="s">
        <v>7</v>
      </c>
      <c r="C240" s="32"/>
      <c r="D240" s="32"/>
      <c r="E240" s="19" t="n">
        <f aca="false">+F240*0.03</f>
        <v>0</v>
      </c>
      <c r="F240" s="33" t="n">
        <v>0</v>
      </c>
      <c r="G240" s="62"/>
      <c r="H240" s="35" t="n">
        <v>0</v>
      </c>
      <c r="I240" s="34" t="n">
        <f aca="false">+IF(E240=0,0,E240*0.03)</f>
        <v>0</v>
      </c>
    </row>
    <row r="241" customFormat="false" ht="15.75" hidden="false" customHeight="true" outlineLevel="0" collapsed="false">
      <c r="A241" s="65" t="n">
        <v>45352</v>
      </c>
      <c r="B241" s="31" t="s">
        <v>7</v>
      </c>
      <c r="C241" s="32"/>
      <c r="D241" s="32"/>
      <c r="E241" s="19" t="n">
        <f aca="false">+F241*0.03</f>
        <v>0</v>
      </c>
      <c r="F241" s="33" t="n">
        <v>0</v>
      </c>
      <c r="G241" s="62"/>
      <c r="H241" s="35" t="n">
        <v>0</v>
      </c>
      <c r="I241" s="34" t="n">
        <f aca="false">+IF(E241=0,0,E241*0.03)</f>
        <v>0</v>
      </c>
    </row>
    <row r="242" customFormat="false" ht="15.75" hidden="false" customHeight="true" outlineLevel="0" collapsed="false">
      <c r="A242" s="65" t="n">
        <v>45352</v>
      </c>
      <c r="B242" s="31" t="s">
        <v>7</v>
      </c>
      <c r="C242" s="32"/>
      <c r="D242" s="32"/>
      <c r="E242" s="19" t="n">
        <f aca="false">+F242*0.03</f>
        <v>0</v>
      </c>
      <c r="F242" s="33" t="n">
        <v>0</v>
      </c>
      <c r="G242" s="62"/>
      <c r="H242" s="35" t="n">
        <v>0</v>
      </c>
      <c r="I242" s="34" t="n">
        <f aca="false">+IF(E242=0,0,E242*0.03)</f>
        <v>0</v>
      </c>
    </row>
    <row r="243" customFormat="false" ht="15.75" hidden="false" customHeight="true" outlineLevel="0" collapsed="false">
      <c r="A243" s="65" t="n">
        <v>45352</v>
      </c>
      <c r="B243" s="31" t="s">
        <v>7</v>
      </c>
      <c r="C243" s="32"/>
      <c r="D243" s="32"/>
      <c r="E243" s="19" t="n">
        <f aca="false">+F243*0.03</f>
        <v>0</v>
      </c>
      <c r="F243" s="33" t="n">
        <v>0</v>
      </c>
      <c r="G243" s="62"/>
      <c r="H243" s="35" t="n">
        <v>0</v>
      </c>
      <c r="I243" s="34" t="n">
        <f aca="false">+IF(E243=0,0,E243*0.03)</f>
        <v>0</v>
      </c>
    </row>
    <row r="244" customFormat="false" ht="15.75" hidden="false" customHeight="true" outlineLevel="0" collapsed="false">
      <c r="A244" s="65" t="n">
        <v>45352</v>
      </c>
      <c r="B244" s="31" t="s">
        <v>7</v>
      </c>
      <c r="C244" s="32"/>
      <c r="D244" s="32"/>
      <c r="E244" s="19" t="n">
        <f aca="false">+F244*0.03</f>
        <v>0</v>
      </c>
      <c r="F244" s="33" t="n">
        <v>0</v>
      </c>
      <c r="G244" s="62"/>
      <c r="H244" s="35" t="n">
        <v>0</v>
      </c>
      <c r="I244" s="34" t="n">
        <f aca="false">+IF(E244=0,0,E244*0.03)</f>
        <v>0</v>
      </c>
    </row>
    <row r="245" customFormat="false" ht="15.75" hidden="false" customHeight="true" outlineLevel="0" collapsed="false">
      <c r="A245" s="65" t="n">
        <v>45352</v>
      </c>
      <c r="B245" s="31" t="s">
        <v>7</v>
      </c>
      <c r="C245" s="32"/>
      <c r="D245" s="32"/>
      <c r="E245" s="19" t="n">
        <f aca="false">+F245*0.03</f>
        <v>0</v>
      </c>
      <c r="F245" s="33" t="n">
        <v>0</v>
      </c>
      <c r="G245" s="62"/>
      <c r="H245" s="35" t="n">
        <v>0</v>
      </c>
      <c r="I245" s="34" t="n">
        <f aca="false">+IF(E245=0,0,E245*0.03)</f>
        <v>0</v>
      </c>
    </row>
    <row r="246" customFormat="false" ht="15.75" hidden="false" customHeight="true" outlineLevel="0" collapsed="false">
      <c r="A246" s="65" t="n">
        <v>45352</v>
      </c>
      <c r="B246" s="31" t="s">
        <v>7</v>
      </c>
      <c r="C246" s="32"/>
      <c r="D246" s="32"/>
      <c r="E246" s="19" t="n">
        <f aca="false">+F246*0.03</f>
        <v>0</v>
      </c>
      <c r="F246" s="33" t="n">
        <v>0</v>
      </c>
      <c r="G246" s="62"/>
      <c r="H246" s="35" t="n">
        <v>0</v>
      </c>
      <c r="I246" s="34" t="n">
        <f aca="false">+IF(E246=0,0,E246*0.03)</f>
        <v>0</v>
      </c>
    </row>
    <row r="247" customFormat="false" ht="15.75" hidden="false" customHeight="true" outlineLevel="0" collapsed="false">
      <c r="A247" s="65" t="n">
        <v>45352</v>
      </c>
      <c r="B247" s="31" t="s">
        <v>7</v>
      </c>
      <c r="C247" s="32"/>
      <c r="D247" s="32"/>
      <c r="E247" s="19" t="n">
        <f aca="false">+F247*0.03</f>
        <v>0</v>
      </c>
      <c r="F247" s="33" t="n">
        <v>0</v>
      </c>
      <c r="G247" s="62"/>
      <c r="H247" s="35" t="n">
        <v>0</v>
      </c>
      <c r="I247" s="34" t="n">
        <f aca="false">+IF(E247=0,0,E247*0.03)</f>
        <v>0</v>
      </c>
    </row>
    <row r="248" customFormat="false" ht="15.75" hidden="false" customHeight="true" outlineLevel="0" collapsed="false">
      <c r="A248" s="65" t="n">
        <v>45352</v>
      </c>
      <c r="B248" s="31" t="s">
        <v>7</v>
      </c>
      <c r="C248" s="32"/>
      <c r="D248" s="32"/>
      <c r="E248" s="19" t="n">
        <f aca="false">+F248*0.03</f>
        <v>0</v>
      </c>
      <c r="F248" s="33" t="n">
        <v>0</v>
      </c>
      <c r="G248" s="62"/>
      <c r="H248" s="35" t="n">
        <v>0</v>
      </c>
      <c r="I248" s="34" t="n">
        <f aca="false">+IF(E248=0,0,E248*0.03)</f>
        <v>0</v>
      </c>
    </row>
    <row r="249" customFormat="false" ht="15.75" hidden="false" customHeight="true" outlineLevel="0" collapsed="false">
      <c r="A249" s="65" t="n">
        <v>45352</v>
      </c>
      <c r="B249" s="31" t="s">
        <v>7</v>
      </c>
      <c r="C249" s="32"/>
      <c r="D249" s="32"/>
      <c r="E249" s="19" t="n">
        <f aca="false">+F249*0.03</f>
        <v>0</v>
      </c>
      <c r="F249" s="33" t="n">
        <v>0</v>
      </c>
      <c r="G249" s="62"/>
      <c r="H249" s="35" t="n">
        <v>0</v>
      </c>
      <c r="I249" s="34" t="n">
        <f aca="false">+IF(E249=0,0,E249*0.03)</f>
        <v>0</v>
      </c>
    </row>
    <row r="250" customFormat="false" ht="15.75" hidden="false" customHeight="true" outlineLevel="0" collapsed="false">
      <c r="A250" s="65" t="n">
        <v>45352</v>
      </c>
      <c r="B250" s="31" t="s">
        <v>7</v>
      </c>
      <c r="C250" s="32"/>
      <c r="D250" s="32"/>
      <c r="E250" s="19" t="n">
        <f aca="false">+F250*0.03</f>
        <v>0</v>
      </c>
      <c r="F250" s="33" t="n">
        <v>0</v>
      </c>
      <c r="G250" s="62"/>
      <c r="H250" s="35" t="n">
        <v>0</v>
      </c>
      <c r="I250" s="34" t="n">
        <f aca="false">+IF(E250=0,0,E250*0.03)</f>
        <v>0</v>
      </c>
    </row>
    <row r="251" customFormat="false" ht="15.75" hidden="false" customHeight="true" outlineLevel="0" collapsed="false">
      <c r="A251" s="65" t="n">
        <v>45352</v>
      </c>
      <c r="B251" s="31" t="s">
        <v>7</v>
      </c>
      <c r="C251" s="32"/>
      <c r="D251" s="32"/>
      <c r="E251" s="19" t="n">
        <f aca="false">+F251*0.03</f>
        <v>0</v>
      </c>
      <c r="F251" s="33" t="n">
        <v>0</v>
      </c>
      <c r="G251" s="62"/>
      <c r="H251" s="35" t="n">
        <v>0</v>
      </c>
      <c r="I251" s="34" t="n">
        <f aca="false">+IF(E251=0,0,E251*0.03)</f>
        <v>0</v>
      </c>
    </row>
    <row r="252" customFormat="false" ht="15.75" hidden="false" customHeight="true" outlineLevel="0" collapsed="false">
      <c r="A252" s="65" t="n">
        <v>45352</v>
      </c>
      <c r="B252" s="31" t="s">
        <v>7</v>
      </c>
      <c r="C252" s="32"/>
      <c r="D252" s="32"/>
      <c r="E252" s="19" t="n">
        <f aca="false">+F252*0.03</f>
        <v>0</v>
      </c>
      <c r="F252" s="33" t="n">
        <v>0</v>
      </c>
      <c r="G252" s="62"/>
      <c r="H252" s="35" t="n">
        <v>0</v>
      </c>
      <c r="I252" s="34" t="n">
        <f aca="false">+IF(E252=0,0,E252*0.03)</f>
        <v>0</v>
      </c>
    </row>
    <row r="253" customFormat="false" ht="15.75" hidden="false" customHeight="true" outlineLevel="0" collapsed="false">
      <c r="A253" s="65" t="n">
        <v>45352</v>
      </c>
      <c r="B253" s="31" t="s">
        <v>7</v>
      </c>
      <c r="C253" s="32"/>
      <c r="D253" s="32"/>
      <c r="E253" s="19" t="n">
        <f aca="false">+F253*0.03</f>
        <v>0</v>
      </c>
      <c r="F253" s="33" t="n">
        <v>0</v>
      </c>
      <c r="G253" s="62"/>
      <c r="H253" s="35" t="n">
        <v>0</v>
      </c>
      <c r="I253" s="34" t="n">
        <f aca="false">+IF(E253=0,0,E253*0.03)</f>
        <v>0</v>
      </c>
    </row>
    <row r="254" customFormat="false" ht="15.75" hidden="false" customHeight="true" outlineLevel="0" collapsed="false">
      <c r="A254" s="65" t="n">
        <v>45352</v>
      </c>
      <c r="B254" s="31" t="s">
        <v>7</v>
      </c>
      <c r="C254" s="32"/>
      <c r="D254" s="32"/>
      <c r="E254" s="19" t="n">
        <f aca="false">+F254*0.03</f>
        <v>0</v>
      </c>
      <c r="F254" s="33" t="n">
        <v>0</v>
      </c>
      <c r="G254" s="62"/>
      <c r="H254" s="35" t="n">
        <v>0</v>
      </c>
      <c r="I254" s="34" t="n">
        <f aca="false">+IF(E254=0,0,E254*0.03)</f>
        <v>0</v>
      </c>
    </row>
    <row r="255" customFormat="false" ht="15.75" hidden="false" customHeight="true" outlineLevel="0" collapsed="false">
      <c r="A255" s="65" t="n">
        <v>45352</v>
      </c>
      <c r="B255" s="31" t="s">
        <v>7</v>
      </c>
      <c r="C255" s="32"/>
      <c r="D255" s="32"/>
      <c r="E255" s="19" t="n">
        <f aca="false">+F255*0.03</f>
        <v>0</v>
      </c>
      <c r="F255" s="33" t="n">
        <v>0</v>
      </c>
      <c r="G255" s="62"/>
      <c r="H255" s="35" t="n">
        <v>0</v>
      </c>
      <c r="I255" s="34" t="n">
        <f aca="false">+IF(E255=0,0,E255*0.03)</f>
        <v>0</v>
      </c>
    </row>
    <row r="256" customFormat="false" ht="15.75" hidden="false" customHeight="true" outlineLevel="0" collapsed="false">
      <c r="A256" s="65" t="n">
        <v>45352</v>
      </c>
      <c r="B256" s="31" t="s">
        <v>7</v>
      </c>
      <c r="C256" s="32"/>
      <c r="D256" s="32"/>
      <c r="E256" s="19" t="n">
        <f aca="false">+F256*0.03</f>
        <v>0</v>
      </c>
      <c r="F256" s="33" t="n">
        <v>0</v>
      </c>
      <c r="G256" s="62"/>
      <c r="H256" s="35" t="n">
        <v>0</v>
      </c>
      <c r="I256" s="34" t="n">
        <f aca="false">+IF(E256=0,0,E256*0.03)</f>
        <v>0</v>
      </c>
    </row>
    <row r="257" customFormat="false" ht="15.75" hidden="false" customHeight="true" outlineLevel="0" collapsed="false">
      <c r="A257" s="65" t="n">
        <v>45352</v>
      </c>
      <c r="B257" s="31" t="s">
        <v>7</v>
      </c>
      <c r="C257" s="32"/>
      <c r="D257" s="32"/>
      <c r="E257" s="19" t="n">
        <f aca="false">+F257*0.03</f>
        <v>0</v>
      </c>
      <c r="F257" s="33" t="n">
        <v>0</v>
      </c>
      <c r="G257" s="62"/>
      <c r="H257" s="35" t="n">
        <v>0</v>
      </c>
      <c r="I257" s="34" t="n">
        <f aca="false">+IF(E257=0,0,E257*0.03)</f>
        <v>0</v>
      </c>
    </row>
    <row r="258" customFormat="false" ht="15.75" hidden="false" customHeight="true" outlineLevel="0" collapsed="false">
      <c r="A258" s="65" t="n">
        <v>45352</v>
      </c>
      <c r="B258" s="31" t="s">
        <v>7</v>
      </c>
      <c r="C258" s="32"/>
      <c r="D258" s="32"/>
      <c r="E258" s="19" t="n">
        <f aca="false">+F258*0.03</f>
        <v>0</v>
      </c>
      <c r="F258" s="33" t="n">
        <v>0</v>
      </c>
      <c r="G258" s="62"/>
      <c r="H258" s="35" t="n">
        <v>0</v>
      </c>
      <c r="I258" s="34" t="n">
        <f aca="false">+IF(E258=0,0,E258*0.03)</f>
        <v>0</v>
      </c>
    </row>
    <row r="259" customFormat="false" ht="15.75" hidden="false" customHeight="true" outlineLevel="0" collapsed="false">
      <c r="A259" s="65" t="n">
        <v>45352</v>
      </c>
      <c r="B259" s="31" t="s">
        <v>7</v>
      </c>
      <c r="C259" s="32"/>
      <c r="D259" s="32"/>
      <c r="E259" s="19" t="n">
        <f aca="false">+F259*0.03</f>
        <v>0</v>
      </c>
      <c r="F259" s="33" t="n">
        <v>0</v>
      </c>
      <c r="G259" s="62"/>
      <c r="H259" s="35" t="n">
        <v>0</v>
      </c>
      <c r="I259" s="34" t="n">
        <f aca="false">+IF(E259=0,0,E259*0.03)</f>
        <v>0</v>
      </c>
    </row>
    <row r="260" customFormat="false" ht="15.75" hidden="false" customHeight="true" outlineLevel="0" collapsed="false">
      <c r="A260" s="65" t="n">
        <v>45352</v>
      </c>
      <c r="B260" s="31" t="s">
        <v>7</v>
      </c>
      <c r="C260" s="32"/>
      <c r="D260" s="32"/>
      <c r="E260" s="19" t="n">
        <f aca="false">+F260*0.03</f>
        <v>0</v>
      </c>
      <c r="F260" s="33" t="n">
        <v>0</v>
      </c>
      <c r="G260" s="62"/>
      <c r="H260" s="35" t="n">
        <v>0</v>
      </c>
      <c r="I260" s="34" t="n">
        <f aca="false">+IF(E260=0,0,E260*0.03)</f>
        <v>0</v>
      </c>
    </row>
    <row r="261" customFormat="false" ht="15.75" hidden="false" customHeight="true" outlineLevel="0" collapsed="false">
      <c r="A261" s="65" t="n">
        <v>45352</v>
      </c>
      <c r="B261" s="31" t="s">
        <v>7</v>
      </c>
      <c r="C261" s="32"/>
      <c r="D261" s="32"/>
      <c r="E261" s="19" t="n">
        <f aca="false">+F261*0.03</f>
        <v>0</v>
      </c>
      <c r="F261" s="33" t="n">
        <v>0</v>
      </c>
      <c r="G261" s="62"/>
      <c r="H261" s="35" t="n">
        <v>0</v>
      </c>
      <c r="I261" s="34" t="n">
        <f aca="false">+IF(E261=0,0,E261*0.03)</f>
        <v>0</v>
      </c>
    </row>
    <row r="262" customFormat="false" ht="15.75" hidden="false" customHeight="true" outlineLevel="0" collapsed="false">
      <c r="A262" s="65" t="n">
        <v>45352</v>
      </c>
      <c r="B262" s="31" t="s">
        <v>7</v>
      </c>
      <c r="C262" s="32"/>
      <c r="D262" s="32"/>
      <c r="E262" s="19" t="n">
        <f aca="false">+F262*0.03</f>
        <v>0</v>
      </c>
      <c r="F262" s="33" t="n">
        <v>0</v>
      </c>
      <c r="G262" s="62"/>
      <c r="H262" s="35" t="n">
        <v>0</v>
      </c>
      <c r="I262" s="34" t="n">
        <f aca="false">+IF(E262=0,0,E262*0.03)</f>
        <v>0</v>
      </c>
    </row>
    <row r="263" customFormat="false" ht="15.75" hidden="false" customHeight="true" outlineLevel="0" collapsed="false">
      <c r="A263" s="65" t="n">
        <v>45352</v>
      </c>
      <c r="B263" s="31" t="s">
        <v>7</v>
      </c>
      <c r="C263" s="32"/>
      <c r="D263" s="32"/>
      <c r="E263" s="19" t="n">
        <f aca="false">+F263*0.03</f>
        <v>0</v>
      </c>
      <c r="F263" s="33" t="n">
        <v>0</v>
      </c>
      <c r="G263" s="62"/>
      <c r="H263" s="35" t="n">
        <v>0</v>
      </c>
      <c r="I263" s="34" t="n">
        <f aca="false">+IF(E263=0,0,E263*0.03)</f>
        <v>0</v>
      </c>
    </row>
    <row r="264" customFormat="false" ht="15.75" hidden="false" customHeight="true" outlineLevel="0" collapsed="false">
      <c r="A264" s="65" t="n">
        <v>45352</v>
      </c>
      <c r="B264" s="31" t="s">
        <v>7</v>
      </c>
      <c r="C264" s="32"/>
      <c r="D264" s="32"/>
      <c r="E264" s="19" t="n">
        <f aca="false">+F264*0.03</f>
        <v>0</v>
      </c>
      <c r="F264" s="33" t="n">
        <v>0</v>
      </c>
      <c r="G264" s="62"/>
      <c r="H264" s="35" t="n">
        <v>0</v>
      </c>
      <c r="I264" s="34" t="n">
        <f aca="false">+IF(E264=0,0,E264*0.03)</f>
        <v>0</v>
      </c>
    </row>
    <row r="265" customFormat="false" ht="15.75" hidden="false" customHeight="true" outlineLevel="0" collapsed="false">
      <c r="A265" s="65" t="n">
        <v>45352</v>
      </c>
      <c r="B265" s="31" t="s">
        <v>7</v>
      </c>
      <c r="C265" s="32"/>
      <c r="D265" s="32"/>
      <c r="E265" s="19" t="n">
        <f aca="false">+F265*0.03</f>
        <v>0</v>
      </c>
      <c r="F265" s="33" t="n">
        <v>0</v>
      </c>
      <c r="G265" s="62"/>
      <c r="H265" s="35" t="n">
        <v>0</v>
      </c>
      <c r="I265" s="34" t="n">
        <f aca="false">+IF(E265=0,0,E265*0.03)</f>
        <v>0</v>
      </c>
    </row>
    <row r="266" customFormat="false" ht="15.75" hidden="false" customHeight="true" outlineLevel="0" collapsed="false">
      <c r="A266" s="65" t="n">
        <v>45352</v>
      </c>
      <c r="B266" s="31" t="s">
        <v>7</v>
      </c>
      <c r="C266" s="32"/>
      <c r="D266" s="32"/>
      <c r="E266" s="19" t="n">
        <f aca="false">+F266*0.03</f>
        <v>0</v>
      </c>
      <c r="F266" s="33" t="n">
        <v>0</v>
      </c>
      <c r="G266" s="62"/>
      <c r="H266" s="35" t="n">
        <v>0</v>
      </c>
      <c r="I266" s="34" t="n">
        <f aca="false">+IF(E266=0,0,E266*0.03)</f>
        <v>0</v>
      </c>
    </row>
    <row r="267" customFormat="false" ht="15.75" hidden="false" customHeight="true" outlineLevel="0" collapsed="false">
      <c r="A267" s="65" t="n">
        <v>45352</v>
      </c>
      <c r="B267" s="31" t="s">
        <v>7</v>
      </c>
      <c r="C267" s="32"/>
      <c r="D267" s="32"/>
      <c r="E267" s="19" t="n">
        <f aca="false">+F267*0.03</f>
        <v>0</v>
      </c>
      <c r="F267" s="33" t="n">
        <v>0</v>
      </c>
      <c r="G267" s="62"/>
      <c r="H267" s="35" t="n">
        <v>0</v>
      </c>
      <c r="I267" s="34" t="n">
        <f aca="false">+IF(E267=0,0,E267*0.03)</f>
        <v>0</v>
      </c>
    </row>
    <row r="268" customFormat="false" ht="15.75" hidden="false" customHeight="true" outlineLevel="0" collapsed="false">
      <c r="A268" s="65" t="n">
        <v>45352</v>
      </c>
      <c r="B268" s="31" t="s">
        <v>7</v>
      </c>
      <c r="C268" s="32"/>
      <c r="D268" s="32"/>
      <c r="E268" s="19" t="n">
        <f aca="false">+F268*0.03</f>
        <v>0</v>
      </c>
      <c r="F268" s="33" t="n">
        <v>0</v>
      </c>
      <c r="G268" s="62"/>
      <c r="H268" s="35" t="n">
        <v>0</v>
      </c>
      <c r="I268" s="34" t="n">
        <f aca="false">+IF(E268=0,0,E268*0.03)</f>
        <v>0</v>
      </c>
    </row>
    <row r="269" customFormat="false" ht="15.75" hidden="false" customHeight="true" outlineLevel="0" collapsed="false">
      <c r="A269" s="65" t="n">
        <v>45352</v>
      </c>
      <c r="B269" s="31" t="s">
        <v>7</v>
      </c>
      <c r="C269" s="32"/>
      <c r="D269" s="32"/>
      <c r="E269" s="19" t="n">
        <f aca="false">+F269*0.03</f>
        <v>0</v>
      </c>
      <c r="F269" s="33" t="n">
        <v>0</v>
      </c>
      <c r="G269" s="62"/>
      <c r="H269" s="35" t="n">
        <v>0</v>
      </c>
      <c r="I269" s="34" t="n">
        <f aca="false">+IF(E269=0,0,E269*0.03)</f>
        <v>0</v>
      </c>
    </row>
    <row r="270" customFormat="false" ht="15.75" hidden="false" customHeight="true" outlineLevel="0" collapsed="false">
      <c r="A270" s="65" t="n">
        <v>45352</v>
      </c>
      <c r="B270" s="31" t="s">
        <v>7</v>
      </c>
      <c r="C270" s="32"/>
      <c r="D270" s="32"/>
      <c r="E270" s="19" t="n">
        <f aca="false">+F270*0.03</f>
        <v>0</v>
      </c>
      <c r="F270" s="33" t="n">
        <v>0</v>
      </c>
      <c r="G270" s="62"/>
      <c r="H270" s="35" t="n">
        <v>0</v>
      </c>
      <c r="I270" s="34" t="n">
        <f aca="false">+IF(E270=0,0,E270*0.03)</f>
        <v>0</v>
      </c>
    </row>
    <row r="271" customFormat="false" ht="15.75" hidden="false" customHeight="true" outlineLevel="0" collapsed="false">
      <c r="A271" s="65" t="n">
        <v>45352</v>
      </c>
      <c r="B271" s="31" t="s">
        <v>7</v>
      </c>
      <c r="C271" s="32"/>
      <c r="D271" s="32"/>
      <c r="E271" s="19" t="n">
        <f aca="false">+F271*0.03</f>
        <v>0</v>
      </c>
      <c r="F271" s="33" t="n">
        <v>0</v>
      </c>
      <c r="G271" s="62"/>
      <c r="H271" s="35" t="n">
        <v>0</v>
      </c>
      <c r="I271" s="34" t="n">
        <f aca="false">+IF(E271=0,0,E271*0.03)</f>
        <v>0</v>
      </c>
    </row>
    <row r="272" customFormat="false" ht="15.75" hidden="false" customHeight="true" outlineLevel="0" collapsed="false">
      <c r="A272" s="65" t="n">
        <v>45352</v>
      </c>
      <c r="B272" s="31" t="s">
        <v>7</v>
      </c>
      <c r="C272" s="32"/>
      <c r="D272" s="32"/>
      <c r="E272" s="19" t="n">
        <f aca="false">+F272*0.03</f>
        <v>0</v>
      </c>
      <c r="F272" s="33" t="n">
        <v>0</v>
      </c>
      <c r="G272" s="62"/>
      <c r="H272" s="35" t="n">
        <v>0</v>
      </c>
      <c r="I272" s="34" t="n">
        <f aca="false">+IF(E272=0,0,E272*0.03)</f>
        <v>0</v>
      </c>
    </row>
    <row r="273" customFormat="false" ht="15.75" hidden="false" customHeight="true" outlineLevel="0" collapsed="false">
      <c r="A273" s="65" t="n">
        <v>45352</v>
      </c>
      <c r="B273" s="31" t="s">
        <v>7</v>
      </c>
      <c r="C273" s="32"/>
      <c r="D273" s="32"/>
      <c r="E273" s="19" t="n">
        <f aca="false">+F273*0.03</f>
        <v>0</v>
      </c>
      <c r="F273" s="33" t="n">
        <v>0</v>
      </c>
      <c r="G273" s="62"/>
      <c r="H273" s="35" t="n">
        <v>0</v>
      </c>
      <c r="I273" s="34" t="n">
        <f aca="false">+IF(E273=0,0,E273*0.03)</f>
        <v>0</v>
      </c>
    </row>
    <row r="274" customFormat="false" ht="15.75" hidden="false" customHeight="true" outlineLevel="0" collapsed="false">
      <c r="A274" s="65" t="n">
        <v>45352</v>
      </c>
      <c r="B274" s="31" t="s">
        <v>7</v>
      </c>
      <c r="C274" s="32"/>
      <c r="D274" s="32"/>
      <c r="E274" s="19" t="n">
        <f aca="false">+F274*0.03</f>
        <v>0</v>
      </c>
      <c r="F274" s="33" t="n">
        <v>0</v>
      </c>
      <c r="G274" s="62"/>
      <c r="H274" s="35" t="n">
        <v>0</v>
      </c>
      <c r="I274" s="34" t="n">
        <f aca="false">+IF(E274=0,0,E274*0.03)</f>
        <v>0</v>
      </c>
    </row>
    <row r="275" customFormat="false" ht="15.75" hidden="false" customHeight="true" outlineLevel="0" collapsed="false">
      <c r="A275" s="65" t="n">
        <v>45352</v>
      </c>
      <c r="B275" s="31" t="s">
        <v>7</v>
      </c>
      <c r="C275" s="32"/>
      <c r="D275" s="32"/>
      <c r="E275" s="19" t="n">
        <f aca="false">+F275*0.03</f>
        <v>0</v>
      </c>
      <c r="F275" s="33" t="n">
        <v>0</v>
      </c>
      <c r="G275" s="62"/>
      <c r="H275" s="35" t="n">
        <v>0</v>
      </c>
      <c r="I275" s="34" t="n">
        <f aca="false">+IF(E275=0,0,E275*0.03)</f>
        <v>0</v>
      </c>
    </row>
    <row r="276" customFormat="false" ht="15.75" hidden="false" customHeight="true" outlineLevel="0" collapsed="false">
      <c r="A276" s="65" t="n">
        <v>45352</v>
      </c>
      <c r="B276" s="31" t="s">
        <v>7</v>
      </c>
      <c r="C276" s="32"/>
      <c r="D276" s="32"/>
      <c r="E276" s="19" t="n">
        <f aca="false">+F276*0.03</f>
        <v>0</v>
      </c>
      <c r="F276" s="33" t="n">
        <v>0</v>
      </c>
      <c r="G276" s="62"/>
      <c r="H276" s="35" t="n">
        <v>0</v>
      </c>
      <c r="I276" s="34" t="n">
        <f aca="false">+IF(E276=0,0,E276*0.03)</f>
        <v>0</v>
      </c>
    </row>
    <row r="277" customFormat="false" ht="15.75" hidden="false" customHeight="true" outlineLevel="0" collapsed="false">
      <c r="A277" s="65" t="n">
        <v>45352</v>
      </c>
      <c r="B277" s="31" t="s">
        <v>7</v>
      </c>
      <c r="C277" s="32"/>
      <c r="D277" s="32"/>
      <c r="E277" s="19" t="n">
        <f aca="false">+F277*0.03</f>
        <v>0</v>
      </c>
      <c r="F277" s="33" t="n">
        <v>0</v>
      </c>
      <c r="G277" s="62"/>
      <c r="H277" s="35" t="n">
        <v>0</v>
      </c>
      <c r="I277" s="34" t="n">
        <f aca="false">+IF(E277=0,0,E277*0.03)</f>
        <v>0</v>
      </c>
    </row>
    <row r="278" customFormat="false" ht="15.75" hidden="false" customHeight="true" outlineLevel="0" collapsed="false">
      <c r="A278" s="65" t="n">
        <v>45352</v>
      </c>
      <c r="B278" s="31" t="s">
        <v>7</v>
      </c>
      <c r="C278" s="32"/>
      <c r="D278" s="32"/>
      <c r="E278" s="19" t="n">
        <f aca="false">+F278*0.03</f>
        <v>0</v>
      </c>
      <c r="F278" s="33" t="n">
        <v>0</v>
      </c>
      <c r="G278" s="62"/>
      <c r="H278" s="35" t="n">
        <v>0</v>
      </c>
      <c r="I278" s="34" t="n">
        <f aca="false">+IF(E278=0,0,E278*0.03)</f>
        <v>0</v>
      </c>
    </row>
    <row r="279" customFormat="false" ht="15.75" hidden="false" customHeight="true" outlineLevel="0" collapsed="false">
      <c r="A279" s="65" t="n">
        <v>45352</v>
      </c>
      <c r="B279" s="31" t="s">
        <v>7</v>
      </c>
      <c r="C279" s="32"/>
      <c r="D279" s="32"/>
      <c r="E279" s="19" t="n">
        <f aca="false">+F279*0.03</f>
        <v>0</v>
      </c>
      <c r="F279" s="33" t="n">
        <v>0</v>
      </c>
      <c r="G279" s="62"/>
      <c r="H279" s="35" t="n">
        <v>0</v>
      </c>
      <c r="I279" s="34" t="n">
        <f aca="false">+IF(E279=0,0,E279*0.03)</f>
        <v>0</v>
      </c>
    </row>
    <row r="280" customFormat="false" ht="15.75" hidden="false" customHeight="true" outlineLevel="0" collapsed="false">
      <c r="A280" s="65" t="n">
        <v>45352</v>
      </c>
      <c r="B280" s="31" t="s">
        <v>7</v>
      </c>
      <c r="C280" s="32"/>
      <c r="D280" s="32"/>
      <c r="E280" s="19" t="n">
        <f aca="false">+F280*0.03</f>
        <v>0</v>
      </c>
      <c r="F280" s="33" t="n">
        <v>0</v>
      </c>
      <c r="G280" s="62"/>
      <c r="H280" s="35" t="n">
        <v>0</v>
      </c>
      <c r="I280" s="34" t="n">
        <f aca="false">+IF(E280=0,0,E280*0.03)</f>
        <v>0</v>
      </c>
    </row>
    <row r="281" customFormat="false" ht="15.75" hidden="false" customHeight="true" outlineLevel="0" collapsed="false">
      <c r="A281" s="65" t="n">
        <v>45352</v>
      </c>
      <c r="B281" s="31" t="s">
        <v>7</v>
      </c>
      <c r="C281" s="32"/>
      <c r="D281" s="32"/>
      <c r="E281" s="19" t="n">
        <f aca="false">+F281*0.03</f>
        <v>0</v>
      </c>
      <c r="F281" s="33" t="n">
        <v>0</v>
      </c>
      <c r="G281" s="62"/>
      <c r="H281" s="35" t="n">
        <v>0</v>
      </c>
      <c r="I281" s="34" t="n">
        <f aca="false">+IF(E281=0,0,E281*0.03)</f>
        <v>0</v>
      </c>
    </row>
    <row r="282" customFormat="false" ht="15.75" hidden="false" customHeight="true" outlineLevel="0" collapsed="false">
      <c r="A282" s="65" t="n">
        <v>45352</v>
      </c>
      <c r="B282" s="31" t="s">
        <v>7</v>
      </c>
      <c r="C282" s="32"/>
      <c r="D282" s="32"/>
      <c r="E282" s="19" t="n">
        <f aca="false">+F282*0.03</f>
        <v>0</v>
      </c>
      <c r="F282" s="33" t="n">
        <v>0</v>
      </c>
      <c r="G282" s="62"/>
      <c r="H282" s="35" t="n">
        <v>0</v>
      </c>
      <c r="I282" s="34" t="n">
        <f aca="false">+IF(E282=0,0,E282*0.03)</f>
        <v>0</v>
      </c>
    </row>
    <row r="283" customFormat="false" ht="15.75" hidden="false" customHeight="true" outlineLevel="0" collapsed="false">
      <c r="A283" s="65" t="n">
        <v>45352</v>
      </c>
      <c r="B283" s="31" t="s">
        <v>7</v>
      </c>
      <c r="C283" s="32"/>
      <c r="D283" s="32"/>
      <c r="E283" s="19" t="n">
        <f aca="false">+F283*0.03</f>
        <v>0</v>
      </c>
      <c r="F283" s="33" t="n">
        <v>0</v>
      </c>
      <c r="G283" s="62"/>
      <c r="H283" s="35" t="n">
        <v>0</v>
      </c>
      <c r="I283" s="34" t="n">
        <f aca="false">+IF(E283=0,0,E283*0.03)</f>
        <v>0</v>
      </c>
    </row>
    <row r="284" customFormat="false" ht="15.75" hidden="false" customHeight="true" outlineLevel="0" collapsed="false">
      <c r="A284" s="65" t="n">
        <v>45352</v>
      </c>
      <c r="B284" s="31" t="s">
        <v>7</v>
      </c>
      <c r="C284" s="32"/>
      <c r="D284" s="32"/>
      <c r="E284" s="19" t="n">
        <f aca="false">+F284*0.03</f>
        <v>0</v>
      </c>
      <c r="F284" s="33" t="n">
        <v>0</v>
      </c>
      <c r="G284" s="62"/>
      <c r="H284" s="35" t="n">
        <v>0</v>
      </c>
      <c r="I284" s="34" t="n">
        <f aca="false">+IF(E284=0,0,E284*0.03)</f>
        <v>0</v>
      </c>
    </row>
    <row r="285" customFormat="false" ht="15.75" hidden="false" customHeight="true" outlineLevel="0" collapsed="false">
      <c r="A285" s="65" t="n">
        <v>45352</v>
      </c>
      <c r="B285" s="31" t="s">
        <v>7</v>
      </c>
      <c r="C285" s="32"/>
      <c r="D285" s="32"/>
      <c r="E285" s="19" t="n">
        <f aca="false">+F285*0.03</f>
        <v>0</v>
      </c>
      <c r="F285" s="33" t="n">
        <v>0</v>
      </c>
      <c r="G285" s="62"/>
      <c r="H285" s="35" t="n">
        <v>0</v>
      </c>
      <c r="I285" s="34" t="n">
        <f aca="false">+IF(E285=0,0,E285*0.03)</f>
        <v>0</v>
      </c>
    </row>
    <row r="286" customFormat="false" ht="15.75" hidden="false" customHeight="true" outlineLevel="0" collapsed="false">
      <c r="A286" s="65" t="n">
        <v>45352</v>
      </c>
      <c r="B286" s="31" t="s">
        <v>7</v>
      </c>
      <c r="C286" s="32"/>
      <c r="D286" s="32"/>
      <c r="E286" s="19" t="n">
        <f aca="false">+F286*0.03</f>
        <v>0</v>
      </c>
      <c r="F286" s="33" t="n">
        <v>0</v>
      </c>
      <c r="G286" s="62"/>
      <c r="H286" s="35" t="n">
        <v>0</v>
      </c>
      <c r="I286" s="34" t="n">
        <f aca="false">+IF(E286=0,0,E286*0.03)</f>
        <v>0</v>
      </c>
    </row>
    <row r="287" customFormat="false" ht="15.75" hidden="false" customHeight="true" outlineLevel="0" collapsed="false">
      <c r="A287" s="65" t="n">
        <v>45352</v>
      </c>
      <c r="B287" s="31" t="s">
        <v>7</v>
      </c>
      <c r="C287" s="32"/>
      <c r="D287" s="32"/>
      <c r="E287" s="19" t="n">
        <f aca="false">+F287*0.03</f>
        <v>0</v>
      </c>
      <c r="F287" s="33" t="n">
        <v>0</v>
      </c>
      <c r="G287" s="62"/>
      <c r="H287" s="35" t="n">
        <v>0</v>
      </c>
      <c r="I287" s="34" t="n">
        <f aca="false">+IF(E287=0,0,E287*0.03)</f>
        <v>0</v>
      </c>
    </row>
    <row r="288" customFormat="false" ht="15.75" hidden="false" customHeight="true" outlineLevel="0" collapsed="false">
      <c r="A288" s="65" t="n">
        <v>45352</v>
      </c>
      <c r="B288" s="31" t="s">
        <v>7</v>
      </c>
      <c r="C288" s="32"/>
      <c r="D288" s="32"/>
      <c r="E288" s="19" t="n">
        <f aca="false">+F288*0.03</f>
        <v>0</v>
      </c>
      <c r="F288" s="33" t="n">
        <v>0</v>
      </c>
      <c r="G288" s="62"/>
      <c r="H288" s="35" t="n">
        <v>0</v>
      </c>
      <c r="I288" s="34" t="n">
        <f aca="false">+IF(E288=0,0,E288*0.03)</f>
        <v>0</v>
      </c>
    </row>
    <row r="289" customFormat="false" ht="15.75" hidden="false" customHeight="true" outlineLevel="0" collapsed="false">
      <c r="A289" s="65" t="n">
        <v>45352</v>
      </c>
      <c r="B289" s="31" t="s">
        <v>7</v>
      </c>
      <c r="C289" s="32"/>
      <c r="D289" s="32"/>
      <c r="E289" s="19" t="n">
        <f aca="false">+F289*0.03</f>
        <v>0</v>
      </c>
      <c r="F289" s="33" t="n">
        <v>0</v>
      </c>
      <c r="G289" s="62"/>
      <c r="H289" s="35" t="n">
        <v>0</v>
      </c>
      <c r="I289" s="34" t="n">
        <f aca="false">+IF(E289=0,0,E289*0.03)</f>
        <v>0</v>
      </c>
    </row>
    <row r="290" customFormat="false" ht="15.75" hidden="false" customHeight="true" outlineLevel="0" collapsed="false">
      <c r="A290" s="65" t="n">
        <v>45352</v>
      </c>
      <c r="B290" s="31" t="s">
        <v>7</v>
      </c>
      <c r="C290" s="32"/>
      <c r="D290" s="32"/>
      <c r="E290" s="19" t="n">
        <f aca="false">+F290*0.03</f>
        <v>0</v>
      </c>
      <c r="F290" s="33" t="n">
        <v>0</v>
      </c>
      <c r="G290" s="62"/>
      <c r="H290" s="35" t="n">
        <v>0</v>
      </c>
      <c r="I290" s="34" t="n">
        <f aca="false">+IF(E290=0,0,E290*0.03)</f>
        <v>0</v>
      </c>
    </row>
    <row r="291" customFormat="false" ht="15.75" hidden="false" customHeight="true" outlineLevel="0" collapsed="false">
      <c r="A291" s="65" t="n">
        <v>45352</v>
      </c>
      <c r="B291" s="31" t="s">
        <v>7</v>
      </c>
      <c r="C291" s="32"/>
      <c r="D291" s="32"/>
      <c r="E291" s="19" t="n">
        <f aca="false">+F291*0.03</f>
        <v>0</v>
      </c>
      <c r="F291" s="33" t="n">
        <v>0</v>
      </c>
      <c r="G291" s="62"/>
      <c r="H291" s="35" t="n">
        <v>0</v>
      </c>
      <c r="I291" s="34" t="n">
        <f aca="false">+IF(E291=0,0,E291*0.03)</f>
        <v>0</v>
      </c>
    </row>
    <row r="292" customFormat="false" ht="15.75" hidden="false" customHeight="true" outlineLevel="0" collapsed="false">
      <c r="A292" s="65" t="n">
        <v>45352</v>
      </c>
      <c r="B292" s="31" t="s">
        <v>7</v>
      </c>
      <c r="C292" s="32"/>
      <c r="D292" s="32"/>
      <c r="E292" s="19" t="n">
        <f aca="false">+F292*0.03</f>
        <v>0</v>
      </c>
      <c r="F292" s="33" t="n">
        <v>0</v>
      </c>
      <c r="G292" s="62"/>
      <c r="H292" s="35" t="n">
        <v>0</v>
      </c>
      <c r="I292" s="34" t="n">
        <f aca="false">+IF(E292=0,0,E292*0.03)</f>
        <v>0</v>
      </c>
    </row>
    <row r="293" customFormat="false" ht="15.75" hidden="false" customHeight="true" outlineLevel="0" collapsed="false">
      <c r="A293" s="65" t="n">
        <v>45352</v>
      </c>
      <c r="B293" s="31" t="s">
        <v>7</v>
      </c>
      <c r="C293" s="32"/>
      <c r="D293" s="32"/>
      <c r="E293" s="19" t="n">
        <f aca="false">+F293*0.03</f>
        <v>0</v>
      </c>
      <c r="F293" s="33" t="n">
        <v>0</v>
      </c>
      <c r="G293" s="62"/>
      <c r="H293" s="35" t="n">
        <v>0</v>
      </c>
      <c r="I293" s="34" t="n">
        <f aca="false">+IF(E293=0,0,E293*0.03)</f>
        <v>0</v>
      </c>
    </row>
    <row r="294" customFormat="false" ht="15.75" hidden="false" customHeight="true" outlineLevel="0" collapsed="false">
      <c r="A294" s="65" t="n">
        <v>45352</v>
      </c>
      <c r="B294" s="31" t="s">
        <v>7</v>
      </c>
      <c r="C294" s="32"/>
      <c r="D294" s="32"/>
      <c r="E294" s="19" t="n">
        <f aca="false">+F294*0.03</f>
        <v>0</v>
      </c>
      <c r="F294" s="33" t="n">
        <v>0</v>
      </c>
      <c r="G294" s="62"/>
      <c r="H294" s="35" t="n">
        <v>0</v>
      </c>
      <c r="I294" s="34" t="n">
        <f aca="false">+IF(E294=0,0,E294*0.03)</f>
        <v>0</v>
      </c>
    </row>
    <row r="295" customFormat="false" ht="15.75" hidden="false" customHeight="true" outlineLevel="0" collapsed="false">
      <c r="A295" s="65" t="n">
        <v>45352</v>
      </c>
      <c r="B295" s="31" t="s">
        <v>7</v>
      </c>
      <c r="C295" s="32"/>
      <c r="D295" s="32"/>
      <c r="E295" s="19" t="n">
        <f aca="false">+F295*0.03</f>
        <v>0</v>
      </c>
      <c r="F295" s="33" t="n">
        <v>0</v>
      </c>
      <c r="G295" s="62"/>
      <c r="H295" s="35" t="n">
        <v>0</v>
      </c>
      <c r="I295" s="34" t="n">
        <f aca="false">+IF(E295=0,0,E295*0.03)</f>
        <v>0</v>
      </c>
    </row>
    <row r="296" customFormat="false" ht="15.75" hidden="false" customHeight="true" outlineLevel="0" collapsed="false">
      <c r="A296" s="65" t="n">
        <v>45352</v>
      </c>
      <c r="B296" s="31" t="s">
        <v>7</v>
      </c>
      <c r="C296" s="32"/>
      <c r="D296" s="32"/>
      <c r="E296" s="19" t="n">
        <f aca="false">+F296*0.03</f>
        <v>0</v>
      </c>
      <c r="F296" s="33" t="n">
        <v>0</v>
      </c>
      <c r="G296" s="62"/>
      <c r="H296" s="35" t="n">
        <v>0</v>
      </c>
      <c r="I296" s="34" t="n">
        <f aca="false">+IF(E296=0,0,E296*0.03)</f>
        <v>0</v>
      </c>
    </row>
    <row r="297" customFormat="false" ht="15.75" hidden="false" customHeight="true" outlineLevel="0" collapsed="false">
      <c r="A297" s="65" t="n">
        <v>45352</v>
      </c>
      <c r="B297" s="31" t="s">
        <v>7</v>
      </c>
      <c r="C297" s="32"/>
      <c r="D297" s="32"/>
      <c r="E297" s="19" t="n">
        <f aca="false">+F297*0.03</f>
        <v>0</v>
      </c>
      <c r="F297" s="33" t="n">
        <v>0</v>
      </c>
      <c r="G297" s="62"/>
      <c r="H297" s="35" t="n">
        <v>0</v>
      </c>
      <c r="I297" s="34" t="n">
        <f aca="false">+IF(E297=0,0,E297*0.03)</f>
        <v>0</v>
      </c>
    </row>
    <row r="298" customFormat="false" ht="15.75" hidden="false" customHeight="true" outlineLevel="0" collapsed="false">
      <c r="A298" s="65" t="n">
        <v>45352</v>
      </c>
      <c r="B298" s="31" t="s">
        <v>7</v>
      </c>
      <c r="C298" s="32"/>
      <c r="D298" s="32"/>
      <c r="E298" s="19" t="n">
        <f aca="false">+F298*0.03</f>
        <v>0</v>
      </c>
      <c r="F298" s="33" t="n">
        <v>0</v>
      </c>
      <c r="G298" s="62"/>
      <c r="H298" s="35" t="n">
        <v>0</v>
      </c>
      <c r="I298" s="34" t="n">
        <f aca="false">+IF(E298=0,0,E298*0.03)</f>
        <v>0</v>
      </c>
    </row>
    <row r="299" customFormat="false" ht="15.75" hidden="false" customHeight="true" outlineLevel="0" collapsed="false">
      <c r="A299" s="65" t="n">
        <v>45352</v>
      </c>
      <c r="B299" s="31" t="s">
        <v>7</v>
      </c>
      <c r="C299" s="32"/>
      <c r="D299" s="32"/>
      <c r="E299" s="19" t="n">
        <f aca="false">+F299*0.03</f>
        <v>0</v>
      </c>
      <c r="F299" s="33" t="n">
        <v>0</v>
      </c>
      <c r="G299" s="62"/>
      <c r="H299" s="35" t="n">
        <v>0</v>
      </c>
      <c r="I299" s="34" t="n">
        <f aca="false">+IF(E299=0,0,E299*0.03)</f>
        <v>0</v>
      </c>
    </row>
    <row r="300" customFormat="false" ht="15.75" hidden="false" customHeight="true" outlineLevel="0" collapsed="false">
      <c r="A300" s="65" t="n">
        <v>45352</v>
      </c>
      <c r="B300" s="31" t="s">
        <v>7</v>
      </c>
      <c r="C300" s="32"/>
      <c r="D300" s="32"/>
      <c r="E300" s="19" t="n">
        <f aca="false">+F300*0.03</f>
        <v>0</v>
      </c>
      <c r="F300" s="33" t="n">
        <v>0</v>
      </c>
      <c r="G300" s="62"/>
      <c r="H300" s="35" t="n">
        <v>0</v>
      </c>
      <c r="I300" s="34" t="n">
        <f aca="false">+IF(E300=0,0,E300*0.03)</f>
        <v>0</v>
      </c>
    </row>
    <row r="301" customFormat="false" ht="15.75" hidden="false" customHeight="true" outlineLevel="0" collapsed="false">
      <c r="A301" s="65" t="n">
        <v>45352</v>
      </c>
      <c r="B301" s="31" t="s">
        <v>7</v>
      </c>
      <c r="C301" s="32"/>
      <c r="D301" s="32"/>
      <c r="E301" s="19" t="n">
        <f aca="false">+F301*0.03</f>
        <v>0</v>
      </c>
      <c r="F301" s="33" t="n">
        <v>0</v>
      </c>
      <c r="G301" s="62"/>
      <c r="H301" s="35" t="n">
        <v>0</v>
      </c>
      <c r="I301" s="34" t="n">
        <f aca="false">+IF(E301=0,0,E301*0.03)</f>
        <v>0</v>
      </c>
    </row>
    <row r="302" customFormat="false" ht="15.75" hidden="false" customHeight="true" outlineLevel="0" collapsed="false">
      <c r="A302" s="65" t="n">
        <v>45352</v>
      </c>
      <c r="B302" s="31" t="s">
        <v>7</v>
      </c>
      <c r="C302" s="32"/>
      <c r="D302" s="32"/>
      <c r="E302" s="19" t="n">
        <f aca="false">+F302*0.03</f>
        <v>0</v>
      </c>
      <c r="F302" s="33" t="n">
        <v>0</v>
      </c>
      <c r="G302" s="62"/>
      <c r="H302" s="35" t="n">
        <v>0</v>
      </c>
      <c r="I302" s="34" t="n">
        <f aca="false">+IF(E302=0,0,E302*0.03)</f>
        <v>0</v>
      </c>
    </row>
    <row r="303" customFormat="false" ht="15.75" hidden="false" customHeight="true" outlineLevel="0" collapsed="false">
      <c r="A303" s="65" t="n">
        <v>45352</v>
      </c>
      <c r="B303" s="31" t="s">
        <v>7</v>
      </c>
      <c r="C303" s="32"/>
      <c r="D303" s="32"/>
      <c r="E303" s="19" t="n">
        <f aca="false">+F303*0.03</f>
        <v>0</v>
      </c>
      <c r="F303" s="33" t="n">
        <v>0</v>
      </c>
      <c r="G303" s="62"/>
      <c r="H303" s="35" t="n">
        <v>0</v>
      </c>
      <c r="I303" s="34" t="n">
        <f aca="false">+IF(E303=0,0,E303*0.03)</f>
        <v>0</v>
      </c>
    </row>
    <row r="304" customFormat="false" ht="15.75" hidden="false" customHeight="true" outlineLevel="0" collapsed="false">
      <c r="A304" s="65" t="n">
        <v>45352</v>
      </c>
      <c r="B304" s="31" t="s">
        <v>7</v>
      </c>
      <c r="C304" s="32"/>
      <c r="D304" s="32"/>
      <c r="E304" s="19" t="n">
        <f aca="false">+F304*0.03</f>
        <v>0</v>
      </c>
      <c r="F304" s="33" t="n">
        <v>0</v>
      </c>
      <c r="G304" s="62"/>
      <c r="H304" s="35" t="n">
        <v>0</v>
      </c>
      <c r="I304" s="34" t="n">
        <f aca="false">+IF(E304=0,0,E304*0.03)</f>
        <v>0</v>
      </c>
    </row>
    <row r="305" customFormat="false" ht="15.75" hidden="false" customHeight="true" outlineLevel="0" collapsed="false">
      <c r="A305" s="65" t="n">
        <v>45352</v>
      </c>
      <c r="B305" s="31" t="s">
        <v>7</v>
      </c>
      <c r="C305" s="32"/>
      <c r="D305" s="32"/>
      <c r="E305" s="19" t="n">
        <f aca="false">+F305*0.03</f>
        <v>0</v>
      </c>
      <c r="F305" s="33" t="n">
        <v>0</v>
      </c>
      <c r="G305" s="62"/>
      <c r="H305" s="35" t="n">
        <v>0</v>
      </c>
      <c r="I305" s="34" t="n">
        <f aca="false">+IF(E305=0,0,E305*0.03)</f>
        <v>0</v>
      </c>
    </row>
    <row r="306" customFormat="false" ht="15.75" hidden="false" customHeight="true" outlineLevel="0" collapsed="false">
      <c r="A306" s="65" t="n">
        <v>45352</v>
      </c>
      <c r="B306" s="31" t="s">
        <v>7</v>
      </c>
      <c r="C306" s="32"/>
      <c r="D306" s="32"/>
      <c r="E306" s="19" t="n">
        <f aca="false">+F306*0.03</f>
        <v>0</v>
      </c>
      <c r="F306" s="33" t="n">
        <v>0</v>
      </c>
      <c r="G306" s="62"/>
      <c r="H306" s="35" t="n">
        <v>0</v>
      </c>
      <c r="I306" s="34" t="n">
        <f aca="false">+IF(E306=0,0,E306*0.03)</f>
        <v>0</v>
      </c>
    </row>
    <row r="307" customFormat="false" ht="15.75" hidden="false" customHeight="true" outlineLevel="0" collapsed="false">
      <c r="A307" s="65" t="n">
        <v>45352</v>
      </c>
      <c r="B307" s="31" t="s">
        <v>7</v>
      </c>
      <c r="C307" s="32"/>
      <c r="D307" s="32"/>
      <c r="E307" s="19" t="n">
        <f aca="false">+F307*0.03</f>
        <v>0</v>
      </c>
      <c r="F307" s="33" t="n">
        <v>0</v>
      </c>
      <c r="G307" s="62"/>
      <c r="H307" s="35" t="n">
        <v>0</v>
      </c>
      <c r="I307" s="34" t="n">
        <f aca="false">+IF(E307=0,0,E307*0.03)</f>
        <v>0</v>
      </c>
    </row>
    <row r="308" customFormat="false" ht="15.75" hidden="false" customHeight="true" outlineLevel="0" collapsed="false">
      <c r="A308" s="65" t="n">
        <v>45352</v>
      </c>
      <c r="B308" s="31" t="s">
        <v>7</v>
      </c>
      <c r="C308" s="32"/>
      <c r="D308" s="32"/>
      <c r="E308" s="19" t="n">
        <f aca="false">+F308*0.03</f>
        <v>0</v>
      </c>
      <c r="F308" s="33" t="n">
        <v>0</v>
      </c>
      <c r="G308" s="62"/>
      <c r="H308" s="35" t="n">
        <v>0</v>
      </c>
      <c r="I308" s="34" t="n">
        <f aca="false">+IF(E308=0,0,E308*0.03)</f>
        <v>0</v>
      </c>
    </row>
    <row r="309" customFormat="false" ht="15.75" hidden="false" customHeight="true" outlineLevel="0" collapsed="false">
      <c r="A309" s="65" t="n">
        <v>45352</v>
      </c>
      <c r="B309" s="31" t="s">
        <v>7</v>
      </c>
      <c r="C309" s="32"/>
      <c r="D309" s="32"/>
      <c r="E309" s="19" t="n">
        <f aca="false">+F309*0.03</f>
        <v>0</v>
      </c>
      <c r="F309" s="33" t="n">
        <v>0</v>
      </c>
      <c r="G309" s="62"/>
      <c r="H309" s="35" t="n">
        <v>0</v>
      </c>
      <c r="I309" s="34" t="n">
        <f aca="false">+IF(E309=0,0,E309*0.03)</f>
        <v>0</v>
      </c>
    </row>
    <row r="310" customFormat="false" ht="15.75" hidden="false" customHeight="true" outlineLevel="0" collapsed="false">
      <c r="A310" s="65" t="n">
        <v>45352</v>
      </c>
      <c r="B310" s="31" t="s">
        <v>7</v>
      </c>
      <c r="C310" s="32"/>
      <c r="D310" s="32"/>
      <c r="E310" s="19" t="n">
        <f aca="false">+F310*0.03</f>
        <v>0</v>
      </c>
      <c r="F310" s="33" t="n">
        <v>0</v>
      </c>
      <c r="G310" s="62"/>
      <c r="H310" s="35" t="n">
        <v>0</v>
      </c>
      <c r="I310" s="34" t="n">
        <f aca="false">+IF(E310=0,0,E310*0.03)</f>
        <v>0</v>
      </c>
    </row>
    <row r="311" customFormat="false" ht="15.75" hidden="false" customHeight="true" outlineLevel="0" collapsed="false">
      <c r="A311" s="65" t="n">
        <v>45352</v>
      </c>
      <c r="B311" s="31" t="s">
        <v>7</v>
      </c>
      <c r="C311" s="32"/>
      <c r="D311" s="32"/>
      <c r="E311" s="19" t="n">
        <f aca="false">+F311*0.03</f>
        <v>0</v>
      </c>
      <c r="F311" s="33" t="n">
        <v>0</v>
      </c>
      <c r="G311" s="62"/>
      <c r="H311" s="35" t="n">
        <v>0</v>
      </c>
      <c r="I311" s="34" t="n">
        <f aca="false">+IF(E311=0,0,E311*0.03)</f>
        <v>0</v>
      </c>
    </row>
    <row r="312" customFormat="false" ht="15.75" hidden="false" customHeight="true" outlineLevel="0" collapsed="false">
      <c r="A312" s="65" t="n">
        <v>45352</v>
      </c>
      <c r="B312" s="31" t="s">
        <v>7</v>
      </c>
      <c r="C312" s="32"/>
      <c r="D312" s="32"/>
      <c r="E312" s="19" t="n">
        <f aca="false">+F312*0.03</f>
        <v>0</v>
      </c>
      <c r="F312" s="33" t="n">
        <v>0</v>
      </c>
      <c r="G312" s="62"/>
      <c r="H312" s="35" t="n">
        <v>0</v>
      </c>
      <c r="I312" s="34" t="n">
        <f aca="false">+IF(E312=0,0,E312*0.03)</f>
        <v>0</v>
      </c>
    </row>
    <row r="313" customFormat="false" ht="15.75" hidden="false" customHeight="true" outlineLevel="0" collapsed="false">
      <c r="A313" s="65" t="n">
        <v>45352</v>
      </c>
      <c r="B313" s="31" t="s">
        <v>7</v>
      </c>
      <c r="C313" s="32"/>
      <c r="D313" s="32"/>
      <c r="E313" s="19" t="n">
        <f aca="false">+F313*0.03</f>
        <v>0</v>
      </c>
      <c r="F313" s="33" t="n">
        <v>0</v>
      </c>
      <c r="G313" s="62"/>
      <c r="H313" s="35" t="n">
        <v>0</v>
      </c>
      <c r="I313" s="34" t="n">
        <f aca="false">+IF(E313=0,0,E313*0.03)</f>
        <v>0</v>
      </c>
    </row>
    <row r="314" customFormat="false" ht="15.75" hidden="false" customHeight="true" outlineLevel="0" collapsed="false">
      <c r="A314" s="65" t="n">
        <v>45352</v>
      </c>
      <c r="B314" s="31" t="s">
        <v>7</v>
      </c>
      <c r="C314" s="32"/>
      <c r="D314" s="32"/>
      <c r="E314" s="19" t="n">
        <f aca="false">+F314*0.03</f>
        <v>0</v>
      </c>
      <c r="F314" s="33" t="n">
        <v>0</v>
      </c>
      <c r="G314" s="62"/>
      <c r="H314" s="35" t="n">
        <v>0</v>
      </c>
      <c r="I314" s="34" t="n">
        <f aca="false">+IF(E314=0,0,E314*0.03)</f>
        <v>0</v>
      </c>
    </row>
    <row r="315" customFormat="false" ht="15.75" hidden="false" customHeight="true" outlineLevel="0" collapsed="false">
      <c r="A315" s="65" t="n">
        <v>45352</v>
      </c>
      <c r="B315" s="31" t="s">
        <v>7</v>
      </c>
      <c r="C315" s="32"/>
      <c r="D315" s="32"/>
      <c r="E315" s="19" t="n">
        <f aca="false">+F315*0.03</f>
        <v>0</v>
      </c>
      <c r="F315" s="33" t="n">
        <v>0</v>
      </c>
      <c r="G315" s="62"/>
      <c r="H315" s="35" t="n">
        <v>0</v>
      </c>
      <c r="I315" s="34" t="n">
        <f aca="false">+IF(E315=0,0,E315*0.03)</f>
        <v>0</v>
      </c>
    </row>
    <row r="316" customFormat="false" ht="15.75" hidden="false" customHeight="true" outlineLevel="0" collapsed="false">
      <c r="A316" s="65" t="n">
        <v>45352</v>
      </c>
      <c r="B316" s="31" t="s">
        <v>7</v>
      </c>
      <c r="C316" s="32"/>
      <c r="D316" s="32"/>
      <c r="E316" s="19" t="n">
        <f aca="false">+F316*0.03</f>
        <v>0</v>
      </c>
      <c r="F316" s="33" t="n">
        <v>0</v>
      </c>
      <c r="G316" s="62"/>
      <c r="H316" s="35" t="n">
        <v>0</v>
      </c>
      <c r="I316" s="34" t="n">
        <f aca="false">+IF(E316=0,0,E316*0.03)</f>
        <v>0</v>
      </c>
    </row>
    <row r="317" customFormat="false" ht="15.75" hidden="false" customHeight="true" outlineLevel="0" collapsed="false">
      <c r="A317" s="65" t="n">
        <v>45352</v>
      </c>
      <c r="B317" s="31" t="s">
        <v>7</v>
      </c>
      <c r="C317" s="32"/>
      <c r="D317" s="32"/>
      <c r="E317" s="19" t="n">
        <f aca="false">+F317*0.03</f>
        <v>0</v>
      </c>
      <c r="F317" s="33" t="n">
        <v>0</v>
      </c>
      <c r="G317" s="62"/>
      <c r="H317" s="35" t="n">
        <v>0</v>
      </c>
      <c r="I317" s="34" t="n">
        <f aca="false">+IF(E317=0,0,E317*0.03)</f>
        <v>0</v>
      </c>
    </row>
    <row r="318" customFormat="false" ht="15.75" hidden="false" customHeight="true" outlineLevel="0" collapsed="false">
      <c r="A318" s="65" t="n">
        <v>45352</v>
      </c>
      <c r="B318" s="31" t="s">
        <v>7</v>
      </c>
      <c r="C318" s="32"/>
      <c r="D318" s="32"/>
      <c r="E318" s="19" t="n">
        <f aca="false">+F318*0.03</f>
        <v>0</v>
      </c>
      <c r="F318" s="33" t="n">
        <v>0</v>
      </c>
      <c r="G318" s="62"/>
      <c r="H318" s="35" t="n">
        <v>0</v>
      </c>
      <c r="I318" s="34" t="n">
        <f aca="false">+IF(E318=0,0,E318*0.03)</f>
        <v>0</v>
      </c>
    </row>
    <row r="319" customFormat="false" ht="15.75" hidden="false" customHeight="true" outlineLevel="0" collapsed="false">
      <c r="A319" s="65" t="n">
        <v>45352</v>
      </c>
      <c r="B319" s="31" t="s">
        <v>7</v>
      </c>
      <c r="C319" s="32"/>
      <c r="D319" s="32"/>
      <c r="E319" s="19" t="n">
        <f aca="false">+F319*0.03</f>
        <v>0</v>
      </c>
      <c r="F319" s="33" t="n">
        <v>0</v>
      </c>
      <c r="G319" s="62"/>
      <c r="H319" s="35" t="n">
        <v>0</v>
      </c>
      <c r="I319" s="34" t="n">
        <f aca="false">+IF(E319=0,0,E319*0.03)</f>
        <v>0</v>
      </c>
    </row>
    <row r="320" customFormat="false" ht="15.75" hidden="false" customHeight="true" outlineLevel="0" collapsed="false">
      <c r="A320" s="65" t="n">
        <v>45352</v>
      </c>
      <c r="B320" s="31" t="s">
        <v>7</v>
      </c>
      <c r="C320" s="32"/>
      <c r="D320" s="32"/>
      <c r="E320" s="19" t="n">
        <f aca="false">+F320*0.03</f>
        <v>0</v>
      </c>
      <c r="F320" s="33" t="n">
        <v>0</v>
      </c>
      <c r="G320" s="62"/>
      <c r="H320" s="35" t="n">
        <v>0</v>
      </c>
      <c r="I320" s="34" t="n">
        <f aca="false">+IF(E320=0,0,E320*0.03)</f>
        <v>0</v>
      </c>
    </row>
    <row r="321" customFormat="false" ht="15.75" hidden="false" customHeight="true" outlineLevel="0" collapsed="false">
      <c r="A321" s="65" t="n">
        <v>45352</v>
      </c>
      <c r="B321" s="31" t="s">
        <v>7</v>
      </c>
      <c r="C321" s="32"/>
      <c r="D321" s="32"/>
      <c r="E321" s="19" t="n">
        <f aca="false">+F321*0.03</f>
        <v>0</v>
      </c>
      <c r="F321" s="33" t="n">
        <v>0</v>
      </c>
      <c r="G321" s="62"/>
      <c r="H321" s="35" t="n">
        <v>0</v>
      </c>
      <c r="I321" s="34" t="n">
        <f aca="false">+IF(E321=0,0,E321*0.03)</f>
        <v>0</v>
      </c>
    </row>
    <row r="322" customFormat="false" ht="15.75" hidden="false" customHeight="true" outlineLevel="0" collapsed="false">
      <c r="A322" s="65" t="n">
        <v>45352</v>
      </c>
      <c r="B322" s="31" t="s">
        <v>7</v>
      </c>
      <c r="C322" s="32"/>
      <c r="D322" s="32"/>
      <c r="E322" s="19" t="n">
        <f aca="false">+F322*0.03</f>
        <v>0</v>
      </c>
      <c r="F322" s="33" t="n">
        <v>0</v>
      </c>
      <c r="G322" s="62"/>
      <c r="H322" s="35" t="n">
        <v>0</v>
      </c>
      <c r="I322" s="34" t="n">
        <f aca="false">+IF(E322=0,0,E322*0.03)</f>
        <v>0</v>
      </c>
    </row>
    <row r="323" customFormat="false" ht="15.75" hidden="false" customHeight="true" outlineLevel="0" collapsed="false">
      <c r="A323" s="65" t="n">
        <v>45352</v>
      </c>
      <c r="B323" s="31" t="s">
        <v>7</v>
      </c>
      <c r="C323" s="32"/>
      <c r="D323" s="32"/>
      <c r="E323" s="19" t="n">
        <f aca="false">+F323*0.03</f>
        <v>0</v>
      </c>
      <c r="F323" s="33" t="n">
        <v>0</v>
      </c>
      <c r="G323" s="62"/>
      <c r="H323" s="35" t="n">
        <v>0</v>
      </c>
      <c r="I323" s="34" t="n">
        <f aca="false">+IF(E323=0,0,E323*0.03)</f>
        <v>0</v>
      </c>
    </row>
    <row r="324" customFormat="false" ht="15.75" hidden="false" customHeight="true" outlineLevel="0" collapsed="false">
      <c r="A324" s="65" t="n">
        <v>45352</v>
      </c>
      <c r="B324" s="31" t="s">
        <v>7</v>
      </c>
      <c r="C324" s="32"/>
      <c r="D324" s="32"/>
      <c r="E324" s="19" t="n">
        <f aca="false">+F324*0.03</f>
        <v>0</v>
      </c>
      <c r="F324" s="33" t="n">
        <v>0</v>
      </c>
      <c r="G324" s="62"/>
      <c r="H324" s="35" t="n">
        <v>0</v>
      </c>
      <c r="I324" s="34" t="n">
        <f aca="false">+IF(E324=0,0,E324*0.03)</f>
        <v>0</v>
      </c>
    </row>
    <row r="325" customFormat="false" ht="15.75" hidden="false" customHeight="true" outlineLevel="0" collapsed="false">
      <c r="A325" s="65" t="n">
        <v>45352</v>
      </c>
      <c r="B325" s="31" t="s">
        <v>7</v>
      </c>
      <c r="C325" s="32"/>
      <c r="D325" s="32"/>
      <c r="E325" s="19" t="n">
        <f aca="false">+F325*0.03</f>
        <v>0</v>
      </c>
      <c r="F325" s="33" t="n">
        <v>0</v>
      </c>
      <c r="G325" s="62"/>
      <c r="H325" s="35" t="n">
        <v>0</v>
      </c>
      <c r="I325" s="34" t="n">
        <f aca="false">+IF(E325=0,0,E325*0.03)</f>
        <v>0</v>
      </c>
    </row>
    <row r="326" customFormat="false" ht="15.75" hidden="false" customHeight="true" outlineLevel="0" collapsed="false">
      <c r="A326" s="65" t="n">
        <v>45352</v>
      </c>
      <c r="B326" s="31" t="s">
        <v>7</v>
      </c>
      <c r="C326" s="32"/>
      <c r="D326" s="32"/>
      <c r="E326" s="19" t="n">
        <f aca="false">+F326*0.03</f>
        <v>0</v>
      </c>
      <c r="F326" s="33" t="n">
        <v>0</v>
      </c>
      <c r="G326" s="62"/>
      <c r="H326" s="35" t="n">
        <v>0</v>
      </c>
      <c r="I326" s="34" t="n">
        <f aca="false">+IF(E326=0,0,E326*0.03)</f>
        <v>0</v>
      </c>
    </row>
    <row r="327" customFormat="false" ht="15.75" hidden="false" customHeight="true" outlineLevel="0" collapsed="false">
      <c r="A327" s="65" t="n">
        <v>45352</v>
      </c>
      <c r="B327" s="31" t="s">
        <v>7</v>
      </c>
      <c r="C327" s="32"/>
      <c r="D327" s="32"/>
      <c r="E327" s="19" t="n">
        <f aca="false">+F327*0.03</f>
        <v>0</v>
      </c>
      <c r="F327" s="33" t="n">
        <v>0</v>
      </c>
      <c r="G327" s="62"/>
      <c r="H327" s="35" t="n">
        <v>0</v>
      </c>
      <c r="I327" s="34" t="n">
        <f aca="false">+IF(E327=0,0,E327*0.03)</f>
        <v>0</v>
      </c>
    </row>
    <row r="328" customFormat="false" ht="15.75" hidden="false" customHeight="true" outlineLevel="0" collapsed="false">
      <c r="A328" s="65" t="n">
        <v>45352</v>
      </c>
      <c r="B328" s="31" t="s">
        <v>7</v>
      </c>
      <c r="C328" s="32"/>
      <c r="D328" s="32"/>
      <c r="E328" s="19" t="n">
        <f aca="false">+F328*0.03</f>
        <v>0</v>
      </c>
      <c r="F328" s="33" t="n">
        <v>0</v>
      </c>
      <c r="G328" s="62"/>
      <c r="H328" s="35" t="n">
        <v>0</v>
      </c>
      <c r="I328" s="34" t="n">
        <f aca="false">+IF(E328=0,0,E328*0.03)</f>
        <v>0</v>
      </c>
    </row>
    <row r="329" customFormat="false" ht="15.75" hidden="false" customHeight="true" outlineLevel="0" collapsed="false">
      <c r="A329" s="65" t="n">
        <v>45352</v>
      </c>
      <c r="B329" s="31" t="s">
        <v>7</v>
      </c>
      <c r="C329" s="32"/>
      <c r="D329" s="32"/>
      <c r="E329" s="19" t="n">
        <f aca="false">+F329*0.03</f>
        <v>0</v>
      </c>
      <c r="F329" s="33" t="n">
        <v>0</v>
      </c>
      <c r="G329" s="62"/>
      <c r="H329" s="35" t="n">
        <v>0</v>
      </c>
      <c r="I329" s="34" t="n">
        <f aca="false">+IF(E329=0,0,E329*0.03)</f>
        <v>0</v>
      </c>
    </row>
    <row r="330" customFormat="false" ht="15.75" hidden="false" customHeight="true" outlineLevel="0" collapsed="false">
      <c r="A330" s="65" t="n">
        <v>45352</v>
      </c>
      <c r="B330" s="31" t="s">
        <v>7</v>
      </c>
      <c r="C330" s="32"/>
      <c r="D330" s="32"/>
      <c r="E330" s="19" t="n">
        <f aca="false">+F330*0.03</f>
        <v>0</v>
      </c>
      <c r="F330" s="33" t="n">
        <v>0</v>
      </c>
      <c r="G330" s="62"/>
      <c r="H330" s="35" t="n">
        <v>0</v>
      </c>
      <c r="I330" s="34" t="n">
        <f aca="false">+IF(E330=0,0,E330*0.03)</f>
        <v>0</v>
      </c>
    </row>
    <row r="331" customFormat="false" ht="15.75" hidden="false" customHeight="true" outlineLevel="0" collapsed="false">
      <c r="A331" s="65" t="n">
        <v>45352</v>
      </c>
      <c r="B331" s="31" t="s">
        <v>7</v>
      </c>
      <c r="C331" s="32"/>
      <c r="D331" s="32"/>
      <c r="E331" s="19" t="n">
        <f aca="false">+F331*0.03</f>
        <v>0</v>
      </c>
      <c r="F331" s="33" t="n">
        <v>0</v>
      </c>
      <c r="G331" s="62"/>
      <c r="H331" s="35" t="n">
        <v>0</v>
      </c>
      <c r="I331" s="34" t="n">
        <f aca="false">+IF(E331=0,0,E331*0.03)</f>
        <v>0</v>
      </c>
    </row>
    <row r="332" customFormat="false" ht="15.75" hidden="false" customHeight="true" outlineLevel="0" collapsed="false">
      <c r="A332" s="65" t="n">
        <v>45352</v>
      </c>
      <c r="B332" s="31" t="s">
        <v>7</v>
      </c>
      <c r="C332" s="32"/>
      <c r="D332" s="32"/>
      <c r="E332" s="19" t="n">
        <f aca="false">+F332*0.03</f>
        <v>0</v>
      </c>
      <c r="F332" s="33" t="n">
        <v>0</v>
      </c>
      <c r="G332" s="62"/>
      <c r="H332" s="35" t="n">
        <v>0</v>
      </c>
      <c r="I332" s="34" t="n">
        <f aca="false">+IF(E332=0,0,E332*0.03)</f>
        <v>0</v>
      </c>
    </row>
    <row r="333" customFormat="false" ht="15.75" hidden="false" customHeight="true" outlineLevel="0" collapsed="false">
      <c r="A333" s="65" t="n">
        <v>45352</v>
      </c>
      <c r="B333" s="31" t="s">
        <v>7</v>
      </c>
      <c r="C333" s="32"/>
      <c r="D333" s="32"/>
      <c r="E333" s="19" t="n">
        <f aca="false">+F333*0.03</f>
        <v>0</v>
      </c>
      <c r="F333" s="33" t="n">
        <v>0</v>
      </c>
      <c r="G333" s="62"/>
      <c r="H333" s="35" t="n">
        <v>0</v>
      </c>
      <c r="I333" s="34" t="n">
        <f aca="false">+IF(E333=0,0,E333*0.03)</f>
        <v>0</v>
      </c>
    </row>
    <row r="334" customFormat="false" ht="15.75" hidden="false" customHeight="true" outlineLevel="0" collapsed="false">
      <c r="A334" s="65" t="n">
        <v>45352</v>
      </c>
      <c r="B334" s="31" t="s">
        <v>7</v>
      </c>
      <c r="C334" s="32"/>
      <c r="D334" s="32"/>
      <c r="E334" s="19" t="n">
        <f aca="false">+F334*0.03</f>
        <v>0</v>
      </c>
      <c r="F334" s="33" t="n">
        <v>0</v>
      </c>
      <c r="G334" s="62"/>
      <c r="H334" s="35" t="n">
        <v>0</v>
      </c>
      <c r="I334" s="34" t="n">
        <f aca="false">+IF(E334=0,0,E334*0.03)</f>
        <v>0</v>
      </c>
    </row>
    <row r="335" customFormat="false" ht="15.75" hidden="false" customHeight="true" outlineLevel="0" collapsed="false">
      <c r="A335" s="65" t="n">
        <v>45352</v>
      </c>
      <c r="B335" s="31" t="s">
        <v>7</v>
      </c>
      <c r="C335" s="32"/>
      <c r="D335" s="32"/>
      <c r="E335" s="19" t="n">
        <f aca="false">+F335*0.03</f>
        <v>0</v>
      </c>
      <c r="F335" s="33" t="n">
        <v>0</v>
      </c>
      <c r="G335" s="62"/>
      <c r="H335" s="35" t="n">
        <v>0</v>
      </c>
      <c r="I335" s="34" t="n">
        <f aca="false">+IF(E335=0,0,E335*0.03)</f>
        <v>0</v>
      </c>
    </row>
    <row r="336" customFormat="false" ht="15.75" hidden="false" customHeight="true" outlineLevel="0" collapsed="false">
      <c r="A336" s="65" t="n">
        <v>45352</v>
      </c>
      <c r="B336" s="31" t="s">
        <v>7</v>
      </c>
      <c r="C336" s="32"/>
      <c r="D336" s="32"/>
      <c r="E336" s="19" t="n">
        <f aca="false">+F336*0.03</f>
        <v>0</v>
      </c>
      <c r="F336" s="33" t="n">
        <v>0</v>
      </c>
      <c r="G336" s="62"/>
      <c r="H336" s="35" t="n">
        <v>0</v>
      </c>
      <c r="I336" s="34" t="n">
        <f aca="false">+IF(E336=0,0,E336*0.03)</f>
        <v>0</v>
      </c>
    </row>
    <row r="337" customFormat="false" ht="15.75" hidden="false" customHeight="true" outlineLevel="0" collapsed="false">
      <c r="A337" s="65" t="n">
        <v>45352</v>
      </c>
      <c r="B337" s="31" t="s">
        <v>7</v>
      </c>
      <c r="C337" s="32"/>
      <c r="D337" s="32"/>
      <c r="E337" s="19" t="n">
        <f aca="false">+F337*0.03</f>
        <v>0</v>
      </c>
      <c r="F337" s="33" t="n">
        <v>0</v>
      </c>
      <c r="G337" s="62"/>
      <c r="H337" s="35" t="n">
        <v>0</v>
      </c>
      <c r="I337" s="34" t="n">
        <f aca="false">+IF(E337=0,0,E337*0.03)</f>
        <v>0</v>
      </c>
    </row>
    <row r="338" customFormat="false" ht="15.75" hidden="false" customHeight="true" outlineLevel="0" collapsed="false">
      <c r="A338" s="65" t="n">
        <v>45352</v>
      </c>
      <c r="B338" s="31" t="s">
        <v>7</v>
      </c>
      <c r="C338" s="32"/>
      <c r="D338" s="32"/>
      <c r="E338" s="19" t="n">
        <f aca="false">+F338*0.03</f>
        <v>0</v>
      </c>
      <c r="F338" s="33" t="n">
        <v>0</v>
      </c>
      <c r="G338" s="62"/>
      <c r="H338" s="35" t="n">
        <v>0</v>
      </c>
      <c r="I338" s="34" t="n">
        <f aca="false">+IF(E338=0,0,E338*0.03)</f>
        <v>0</v>
      </c>
    </row>
    <row r="339" customFormat="false" ht="15.75" hidden="false" customHeight="true" outlineLevel="0" collapsed="false">
      <c r="A339" s="65" t="n">
        <v>45352</v>
      </c>
      <c r="B339" s="31" t="s">
        <v>7</v>
      </c>
      <c r="C339" s="32"/>
      <c r="D339" s="32"/>
      <c r="E339" s="19" t="n">
        <f aca="false">+F339*0.03</f>
        <v>0</v>
      </c>
      <c r="F339" s="33" t="n">
        <v>0</v>
      </c>
      <c r="G339" s="62"/>
      <c r="H339" s="35" t="n">
        <v>0</v>
      </c>
      <c r="I339" s="34" t="n">
        <f aca="false">+IF(E339=0,0,E339*0.03)</f>
        <v>0</v>
      </c>
    </row>
    <row r="340" customFormat="false" ht="15.75" hidden="false" customHeight="true" outlineLevel="0" collapsed="false">
      <c r="A340" s="65" t="n">
        <v>45352</v>
      </c>
      <c r="B340" s="31" t="s">
        <v>7</v>
      </c>
      <c r="C340" s="32"/>
      <c r="D340" s="32"/>
      <c r="E340" s="19" t="n">
        <f aca="false">+F340*0.03</f>
        <v>0</v>
      </c>
      <c r="F340" s="33" t="n">
        <v>0</v>
      </c>
      <c r="G340" s="62"/>
      <c r="H340" s="35" t="n">
        <v>0</v>
      </c>
      <c r="I340" s="34" t="n">
        <f aca="false">+IF(E340=0,0,E340*0.03)</f>
        <v>0</v>
      </c>
    </row>
    <row r="341" customFormat="false" ht="15.75" hidden="false" customHeight="true" outlineLevel="0" collapsed="false">
      <c r="A341" s="65" t="n">
        <v>45352</v>
      </c>
      <c r="B341" s="31" t="s">
        <v>7</v>
      </c>
      <c r="C341" s="32"/>
      <c r="D341" s="32"/>
      <c r="E341" s="19" t="n">
        <f aca="false">+F341*0.03</f>
        <v>0</v>
      </c>
      <c r="F341" s="33" t="n">
        <v>0</v>
      </c>
      <c r="G341" s="62"/>
      <c r="H341" s="35" t="n">
        <v>0</v>
      </c>
      <c r="I341" s="34" t="n">
        <f aca="false">+IF(E341=0,0,E341*0.03)</f>
        <v>0</v>
      </c>
    </row>
    <row r="342" customFormat="false" ht="15.75" hidden="false" customHeight="true" outlineLevel="0" collapsed="false">
      <c r="A342" s="65" t="n">
        <v>45352</v>
      </c>
      <c r="B342" s="31" t="s">
        <v>7</v>
      </c>
      <c r="C342" s="32"/>
      <c r="D342" s="32"/>
      <c r="E342" s="19" t="n">
        <f aca="false">+F342*0.03</f>
        <v>0</v>
      </c>
      <c r="F342" s="33" t="n">
        <v>0</v>
      </c>
      <c r="G342" s="62"/>
      <c r="H342" s="35" t="n">
        <v>0</v>
      </c>
      <c r="I342" s="34" t="n">
        <f aca="false">+IF(E342=0,0,E342*0.03)</f>
        <v>0</v>
      </c>
    </row>
    <row r="343" customFormat="false" ht="15.75" hidden="false" customHeight="true" outlineLevel="0" collapsed="false">
      <c r="A343" s="65" t="n">
        <v>45352</v>
      </c>
      <c r="B343" s="31" t="s">
        <v>7</v>
      </c>
      <c r="C343" s="32"/>
      <c r="D343" s="32"/>
      <c r="E343" s="19" t="n">
        <f aca="false">+F343*0.03</f>
        <v>0</v>
      </c>
      <c r="F343" s="33" t="n">
        <v>0</v>
      </c>
      <c r="G343" s="62"/>
      <c r="H343" s="35" t="n">
        <v>0</v>
      </c>
      <c r="I343" s="34" t="n">
        <f aca="false">+IF(E343=0,0,E343*0.03)</f>
        <v>0</v>
      </c>
    </row>
    <row r="344" customFormat="false" ht="15.75" hidden="false" customHeight="true" outlineLevel="0" collapsed="false">
      <c r="A344" s="65" t="n">
        <v>45352</v>
      </c>
      <c r="B344" s="31" t="s">
        <v>7</v>
      </c>
      <c r="C344" s="32"/>
      <c r="D344" s="32"/>
      <c r="E344" s="19" t="n">
        <f aca="false">+F344*0.03</f>
        <v>0</v>
      </c>
      <c r="F344" s="33" t="n">
        <v>0</v>
      </c>
      <c r="G344" s="62"/>
      <c r="H344" s="35" t="n">
        <v>0</v>
      </c>
      <c r="I344" s="34" t="n">
        <f aca="false">+IF(E344=0,0,E344*0.03)</f>
        <v>0</v>
      </c>
    </row>
    <row r="345" customFormat="false" ht="15.75" hidden="false" customHeight="true" outlineLevel="0" collapsed="false">
      <c r="A345" s="65" t="n">
        <v>45352</v>
      </c>
      <c r="B345" s="31" t="s">
        <v>7</v>
      </c>
      <c r="C345" s="32"/>
      <c r="D345" s="32"/>
      <c r="E345" s="19" t="n">
        <f aca="false">+F345*0.03</f>
        <v>0</v>
      </c>
      <c r="F345" s="33" t="n">
        <v>0</v>
      </c>
      <c r="G345" s="62"/>
      <c r="H345" s="35" t="n">
        <v>0</v>
      </c>
      <c r="I345" s="34" t="n">
        <f aca="false">+IF(E345=0,0,E345*0.03)</f>
        <v>0</v>
      </c>
    </row>
    <row r="346" customFormat="false" ht="15.75" hidden="false" customHeight="true" outlineLevel="0" collapsed="false">
      <c r="A346" s="65" t="n">
        <v>45352</v>
      </c>
      <c r="B346" s="31" t="s">
        <v>7</v>
      </c>
      <c r="C346" s="32"/>
      <c r="D346" s="32"/>
      <c r="E346" s="19" t="n">
        <f aca="false">+F346*0.03</f>
        <v>0</v>
      </c>
      <c r="F346" s="33" t="n">
        <v>0</v>
      </c>
      <c r="G346" s="62"/>
      <c r="H346" s="35" t="n">
        <v>0</v>
      </c>
      <c r="I346" s="34" t="n">
        <f aca="false">+IF(E346=0,0,E346*0.03)</f>
        <v>0</v>
      </c>
    </row>
    <row r="347" customFormat="false" ht="15.75" hidden="false" customHeight="true" outlineLevel="0" collapsed="false">
      <c r="A347" s="65" t="n">
        <v>45352</v>
      </c>
      <c r="B347" s="31" t="s">
        <v>7</v>
      </c>
      <c r="C347" s="32"/>
      <c r="D347" s="32"/>
      <c r="E347" s="19" t="n">
        <f aca="false">+F347*0.03</f>
        <v>0</v>
      </c>
      <c r="F347" s="33" t="n">
        <v>0</v>
      </c>
      <c r="G347" s="62"/>
      <c r="H347" s="35" t="n">
        <v>0</v>
      </c>
      <c r="I347" s="34" t="n">
        <f aca="false">+IF(E347=0,0,E347*0.03)</f>
        <v>0</v>
      </c>
    </row>
    <row r="348" customFormat="false" ht="15.75" hidden="false" customHeight="true" outlineLevel="0" collapsed="false">
      <c r="A348" s="65" t="n">
        <v>45352</v>
      </c>
      <c r="B348" s="31" t="s">
        <v>7</v>
      </c>
      <c r="C348" s="32"/>
      <c r="D348" s="32"/>
      <c r="E348" s="19" t="n">
        <f aca="false">+F348*0.03</f>
        <v>0</v>
      </c>
      <c r="F348" s="33" t="n">
        <v>0</v>
      </c>
      <c r="G348" s="62"/>
      <c r="H348" s="35" t="n">
        <v>0</v>
      </c>
      <c r="I348" s="34" t="n">
        <f aca="false">+IF(E348=0,0,E348*0.03)</f>
        <v>0</v>
      </c>
    </row>
    <row r="349" customFormat="false" ht="15.75" hidden="false" customHeight="true" outlineLevel="0" collapsed="false">
      <c r="A349" s="65" t="n">
        <v>45352</v>
      </c>
      <c r="B349" s="31" t="s">
        <v>7</v>
      </c>
      <c r="C349" s="32"/>
      <c r="D349" s="32"/>
      <c r="E349" s="19" t="n">
        <f aca="false">+F349*0.03</f>
        <v>0</v>
      </c>
      <c r="F349" s="33" t="n">
        <v>0</v>
      </c>
      <c r="G349" s="62"/>
      <c r="H349" s="35" t="n">
        <v>0</v>
      </c>
      <c r="I349" s="34" t="n">
        <f aca="false">+IF(E349=0,0,E349*0.03)</f>
        <v>0</v>
      </c>
    </row>
    <row r="350" customFormat="false" ht="15.75" hidden="false" customHeight="true" outlineLevel="0" collapsed="false">
      <c r="A350" s="65" t="n">
        <v>45352</v>
      </c>
      <c r="B350" s="31" t="s">
        <v>7</v>
      </c>
      <c r="C350" s="32"/>
      <c r="D350" s="32"/>
      <c r="E350" s="19" t="n">
        <f aca="false">+F350*0.03</f>
        <v>0</v>
      </c>
      <c r="F350" s="33" t="n">
        <v>0</v>
      </c>
      <c r="G350" s="62"/>
      <c r="H350" s="35" t="n">
        <v>0</v>
      </c>
      <c r="I350" s="34" t="n">
        <f aca="false">+IF(E350=0,0,E350*0.03)</f>
        <v>0</v>
      </c>
    </row>
    <row r="351" customFormat="false" ht="15.75" hidden="false" customHeight="true" outlineLevel="0" collapsed="false">
      <c r="A351" s="65" t="n">
        <v>45352</v>
      </c>
      <c r="B351" s="31" t="s">
        <v>7</v>
      </c>
      <c r="C351" s="32"/>
      <c r="D351" s="32"/>
      <c r="E351" s="19" t="n">
        <f aca="false">+F351*0.03</f>
        <v>0</v>
      </c>
      <c r="F351" s="33" t="n">
        <v>0</v>
      </c>
      <c r="G351" s="62"/>
      <c r="H351" s="35" t="n">
        <v>0</v>
      </c>
      <c r="I351" s="34" t="n">
        <f aca="false">+IF(E351=0,0,E351*0.03)</f>
        <v>0</v>
      </c>
    </row>
    <row r="352" customFormat="false" ht="15.75" hidden="false" customHeight="true" outlineLevel="0" collapsed="false">
      <c r="A352" s="65" t="n">
        <v>45352</v>
      </c>
      <c r="B352" s="31" t="s">
        <v>7</v>
      </c>
      <c r="C352" s="32"/>
      <c r="D352" s="32"/>
      <c r="E352" s="19" t="n">
        <f aca="false">+F352*0.03</f>
        <v>0</v>
      </c>
      <c r="F352" s="33" t="n">
        <v>0</v>
      </c>
      <c r="G352" s="62"/>
      <c r="H352" s="35" t="n">
        <v>0</v>
      </c>
      <c r="I352" s="34" t="n">
        <f aca="false">+IF(E352=0,0,E352*0.03)</f>
        <v>0</v>
      </c>
    </row>
    <row r="353" customFormat="false" ht="15.75" hidden="false" customHeight="true" outlineLevel="0" collapsed="false">
      <c r="A353" s="65" t="n">
        <v>45352</v>
      </c>
      <c r="B353" s="31" t="s">
        <v>7</v>
      </c>
      <c r="C353" s="32"/>
      <c r="D353" s="32"/>
      <c r="E353" s="19" t="n">
        <f aca="false">+F353*0.03</f>
        <v>0</v>
      </c>
      <c r="F353" s="33" t="n">
        <v>0</v>
      </c>
      <c r="G353" s="62"/>
      <c r="H353" s="35" t="n">
        <v>0</v>
      </c>
      <c r="I353" s="34" t="n">
        <f aca="false">+IF(E353=0,0,E353*0.03)</f>
        <v>0</v>
      </c>
    </row>
    <row r="354" customFormat="false" ht="15.75" hidden="false" customHeight="true" outlineLevel="0" collapsed="false">
      <c r="A354" s="65" t="n">
        <v>45352</v>
      </c>
      <c r="B354" s="31" t="s">
        <v>7</v>
      </c>
      <c r="C354" s="32"/>
      <c r="D354" s="32"/>
      <c r="E354" s="19" t="n">
        <f aca="false">+F354*0.03</f>
        <v>0</v>
      </c>
      <c r="F354" s="33" t="n">
        <v>0</v>
      </c>
      <c r="G354" s="62"/>
      <c r="H354" s="35" t="n">
        <v>0</v>
      </c>
      <c r="I354" s="34" t="n">
        <f aca="false">+IF(E354=0,0,E354*0.03)</f>
        <v>0</v>
      </c>
    </row>
    <row r="355" customFormat="false" ht="15.75" hidden="false" customHeight="true" outlineLevel="0" collapsed="false">
      <c r="A355" s="65" t="n">
        <v>45352</v>
      </c>
      <c r="B355" s="31" t="s">
        <v>7</v>
      </c>
      <c r="C355" s="32"/>
      <c r="D355" s="32"/>
      <c r="E355" s="19" t="n">
        <f aca="false">+F355*0.03</f>
        <v>0</v>
      </c>
      <c r="F355" s="33" t="n">
        <v>0</v>
      </c>
      <c r="G355" s="62"/>
      <c r="H355" s="35" t="n">
        <v>0</v>
      </c>
      <c r="I355" s="34" t="n">
        <f aca="false">+IF(E355=0,0,E355*0.03)</f>
        <v>0</v>
      </c>
    </row>
    <row r="356" customFormat="false" ht="15.75" hidden="false" customHeight="true" outlineLevel="0" collapsed="false">
      <c r="A356" s="65" t="n">
        <v>45352</v>
      </c>
      <c r="B356" s="31" t="s">
        <v>7</v>
      </c>
      <c r="C356" s="32"/>
      <c r="D356" s="32"/>
      <c r="E356" s="19" t="n">
        <f aca="false">+F356*0.03</f>
        <v>0</v>
      </c>
      <c r="F356" s="33" t="n">
        <v>0</v>
      </c>
      <c r="G356" s="62"/>
      <c r="H356" s="35" t="n">
        <v>0</v>
      </c>
      <c r="I356" s="34" t="n">
        <f aca="false">+IF(E356=0,0,E356*0.03)</f>
        <v>0</v>
      </c>
    </row>
    <row r="357" customFormat="false" ht="15.75" hidden="false" customHeight="true" outlineLevel="0" collapsed="false">
      <c r="A357" s="65" t="n">
        <v>45352</v>
      </c>
      <c r="B357" s="31" t="s">
        <v>7</v>
      </c>
      <c r="C357" s="32"/>
      <c r="D357" s="32"/>
      <c r="E357" s="19" t="n">
        <f aca="false">+F357*0.03</f>
        <v>0</v>
      </c>
      <c r="F357" s="33" t="n">
        <v>0</v>
      </c>
      <c r="G357" s="62"/>
      <c r="H357" s="35" t="n">
        <v>0</v>
      </c>
      <c r="I357" s="34" t="n">
        <f aca="false">+IF(E357=0,0,E357*0.03)</f>
        <v>0</v>
      </c>
    </row>
    <row r="358" customFormat="false" ht="15.75" hidden="false" customHeight="true" outlineLevel="0" collapsed="false">
      <c r="A358" s="65" t="n">
        <v>45352</v>
      </c>
      <c r="B358" s="31" t="s">
        <v>7</v>
      </c>
      <c r="C358" s="32"/>
      <c r="D358" s="32"/>
      <c r="E358" s="19" t="n">
        <f aca="false">+F358*0.03</f>
        <v>0</v>
      </c>
      <c r="F358" s="33" t="n">
        <v>0</v>
      </c>
      <c r="G358" s="62"/>
      <c r="H358" s="35" t="n">
        <v>0</v>
      </c>
      <c r="I358" s="34" t="n">
        <f aca="false">+IF(E358=0,0,E358*0.03)</f>
        <v>0</v>
      </c>
    </row>
    <row r="359" customFormat="false" ht="15.75" hidden="false" customHeight="true" outlineLevel="0" collapsed="false">
      <c r="A359" s="65" t="n">
        <v>45352</v>
      </c>
      <c r="B359" s="31" t="s">
        <v>7</v>
      </c>
      <c r="C359" s="32"/>
      <c r="D359" s="32"/>
      <c r="E359" s="19" t="n">
        <f aca="false">+F359*0.03</f>
        <v>0</v>
      </c>
      <c r="F359" s="33" t="n">
        <v>0</v>
      </c>
      <c r="G359" s="62"/>
      <c r="H359" s="35" t="n">
        <v>0</v>
      </c>
      <c r="I359" s="34" t="n">
        <f aca="false">+IF(E359=0,0,E359*0.03)</f>
        <v>0</v>
      </c>
    </row>
    <row r="360" customFormat="false" ht="15.75" hidden="false" customHeight="true" outlineLevel="0" collapsed="false">
      <c r="A360" s="65" t="n">
        <v>45352</v>
      </c>
      <c r="B360" s="31" t="s">
        <v>7</v>
      </c>
      <c r="C360" s="32"/>
      <c r="D360" s="32"/>
      <c r="E360" s="19" t="n">
        <f aca="false">+F360*0.03</f>
        <v>0</v>
      </c>
      <c r="F360" s="33" t="n">
        <v>0</v>
      </c>
      <c r="G360" s="62"/>
      <c r="H360" s="35" t="n">
        <v>0</v>
      </c>
      <c r="I360" s="34" t="n">
        <f aca="false">+IF(E360=0,0,E360*0.03)</f>
        <v>0</v>
      </c>
    </row>
    <row r="361" customFormat="false" ht="15.75" hidden="false" customHeight="true" outlineLevel="0" collapsed="false">
      <c r="A361" s="65" t="n">
        <v>45352</v>
      </c>
      <c r="B361" s="31" t="s">
        <v>7</v>
      </c>
      <c r="C361" s="32"/>
      <c r="D361" s="32"/>
      <c r="E361" s="19" t="n">
        <f aca="false">+F361*0.03</f>
        <v>0</v>
      </c>
      <c r="F361" s="33" t="n">
        <v>0</v>
      </c>
      <c r="G361" s="62"/>
      <c r="H361" s="35" t="n">
        <v>0</v>
      </c>
      <c r="I361" s="34" t="n">
        <f aca="false">+IF(E361=0,0,E361*0.03)</f>
        <v>0</v>
      </c>
    </row>
    <row r="362" customFormat="false" ht="15.75" hidden="false" customHeight="true" outlineLevel="0" collapsed="false">
      <c r="A362" s="65" t="n">
        <v>45352</v>
      </c>
      <c r="B362" s="31" t="s">
        <v>7</v>
      </c>
      <c r="C362" s="32"/>
      <c r="D362" s="32"/>
      <c r="E362" s="19" t="n">
        <f aca="false">+F362*0.03</f>
        <v>0</v>
      </c>
      <c r="F362" s="33" t="n">
        <v>0</v>
      </c>
      <c r="G362" s="62"/>
      <c r="H362" s="35" t="n">
        <v>0</v>
      </c>
      <c r="I362" s="34" t="n">
        <f aca="false">+IF(E362=0,0,E362*0.03)</f>
        <v>0</v>
      </c>
    </row>
    <row r="363" customFormat="false" ht="15.75" hidden="false" customHeight="true" outlineLevel="0" collapsed="false">
      <c r="A363" s="65" t="n">
        <v>45352</v>
      </c>
      <c r="B363" s="31" t="s">
        <v>7</v>
      </c>
      <c r="C363" s="32"/>
      <c r="D363" s="32"/>
      <c r="E363" s="19" t="n">
        <f aca="false">+F363*0.03</f>
        <v>0</v>
      </c>
      <c r="F363" s="33" t="n">
        <v>0</v>
      </c>
      <c r="G363" s="62"/>
      <c r="H363" s="35" t="n">
        <v>0</v>
      </c>
      <c r="I363" s="34" t="n">
        <f aca="false">+IF(E363=0,0,E363*0.03)</f>
        <v>0</v>
      </c>
    </row>
    <row r="364" customFormat="false" ht="15.75" hidden="false" customHeight="true" outlineLevel="0" collapsed="false">
      <c r="A364" s="65" t="n">
        <v>45352</v>
      </c>
      <c r="B364" s="31" t="s">
        <v>7</v>
      </c>
      <c r="C364" s="32"/>
      <c r="D364" s="32"/>
      <c r="E364" s="19" t="n">
        <f aca="false">+F364*0.03</f>
        <v>0</v>
      </c>
      <c r="F364" s="33" t="n">
        <v>0</v>
      </c>
      <c r="G364" s="62"/>
      <c r="H364" s="35" t="n">
        <v>0</v>
      </c>
      <c r="I364" s="34" t="n">
        <f aca="false">+IF(E364=0,0,E364*0.03)</f>
        <v>0</v>
      </c>
    </row>
    <row r="365" customFormat="false" ht="15.75" hidden="false" customHeight="true" outlineLevel="0" collapsed="false">
      <c r="A365" s="65" t="n">
        <v>45352</v>
      </c>
      <c r="B365" s="31" t="s">
        <v>7</v>
      </c>
      <c r="C365" s="32"/>
      <c r="D365" s="32"/>
      <c r="E365" s="19" t="n">
        <f aca="false">+F365*0.03</f>
        <v>0</v>
      </c>
      <c r="F365" s="33" t="n">
        <v>0</v>
      </c>
      <c r="G365" s="62"/>
      <c r="H365" s="35" t="n">
        <v>0</v>
      </c>
      <c r="I365" s="34" t="n">
        <f aca="false">+IF(E365=0,0,E365*0.03)</f>
        <v>0</v>
      </c>
    </row>
    <row r="366" customFormat="false" ht="15.75" hidden="false" customHeight="true" outlineLevel="0" collapsed="false">
      <c r="A366" s="65" t="n">
        <v>45352</v>
      </c>
      <c r="B366" s="31" t="s">
        <v>7</v>
      </c>
      <c r="C366" s="32"/>
      <c r="D366" s="32"/>
      <c r="E366" s="19" t="n">
        <f aca="false">+F366*0.03</f>
        <v>0</v>
      </c>
      <c r="F366" s="33" t="n">
        <v>0</v>
      </c>
      <c r="G366" s="62"/>
      <c r="H366" s="35" t="n">
        <v>0</v>
      </c>
      <c r="I366" s="34" t="n">
        <f aca="false">+IF(E366=0,0,E366*0.03)</f>
        <v>0</v>
      </c>
    </row>
    <row r="367" customFormat="false" ht="15.75" hidden="false" customHeight="true" outlineLevel="0" collapsed="false">
      <c r="A367" s="65" t="n">
        <v>45352</v>
      </c>
      <c r="B367" s="31" t="s">
        <v>7</v>
      </c>
      <c r="C367" s="32"/>
      <c r="D367" s="32"/>
      <c r="E367" s="19" t="n">
        <f aca="false">+F367*0.03</f>
        <v>0</v>
      </c>
      <c r="F367" s="33" t="n">
        <v>0</v>
      </c>
      <c r="G367" s="62"/>
      <c r="H367" s="35" t="n">
        <v>0</v>
      </c>
      <c r="I367" s="34" t="n">
        <f aca="false">+IF(E367=0,0,E367*0.03)</f>
        <v>0</v>
      </c>
    </row>
    <row r="368" customFormat="false" ht="15.75" hidden="false" customHeight="true" outlineLevel="0" collapsed="false">
      <c r="A368" s="65" t="n">
        <v>45352</v>
      </c>
      <c r="B368" s="31" t="s">
        <v>7</v>
      </c>
      <c r="C368" s="32"/>
      <c r="D368" s="32"/>
      <c r="E368" s="19" t="n">
        <f aca="false">+F368*0.03</f>
        <v>0</v>
      </c>
      <c r="F368" s="33" t="n">
        <v>0</v>
      </c>
      <c r="G368" s="62"/>
      <c r="H368" s="35" t="n">
        <v>0</v>
      </c>
      <c r="I368" s="34" t="n">
        <f aca="false">+IF(E368=0,0,E368*0.03)</f>
        <v>0</v>
      </c>
    </row>
    <row r="369" customFormat="false" ht="15.75" hidden="false" customHeight="true" outlineLevel="0" collapsed="false">
      <c r="A369" s="65" t="n">
        <v>45352</v>
      </c>
      <c r="B369" s="31" t="s">
        <v>7</v>
      </c>
      <c r="C369" s="32"/>
      <c r="D369" s="32"/>
      <c r="E369" s="19" t="n">
        <f aca="false">+F369*0.03</f>
        <v>0</v>
      </c>
      <c r="F369" s="33" t="n">
        <v>0</v>
      </c>
      <c r="G369" s="62"/>
      <c r="H369" s="35" t="n">
        <v>0</v>
      </c>
      <c r="I369" s="34" t="n">
        <f aca="false">+IF(E369=0,0,E369*0.03)</f>
        <v>0</v>
      </c>
    </row>
    <row r="370" customFormat="false" ht="15.75" hidden="false" customHeight="true" outlineLevel="0" collapsed="false">
      <c r="A370" s="65" t="n">
        <v>45352</v>
      </c>
      <c r="B370" s="31" t="s">
        <v>7</v>
      </c>
      <c r="C370" s="32"/>
      <c r="D370" s="32"/>
      <c r="E370" s="19" t="n">
        <f aca="false">+F370*0.03</f>
        <v>0</v>
      </c>
      <c r="F370" s="33" t="n">
        <v>0</v>
      </c>
      <c r="G370" s="62"/>
      <c r="H370" s="35" t="n">
        <v>0</v>
      </c>
      <c r="I370" s="34" t="n">
        <f aca="false">+IF(E370=0,0,E370*0.03)</f>
        <v>0</v>
      </c>
    </row>
    <row r="371" customFormat="false" ht="15.75" hidden="false" customHeight="true" outlineLevel="0" collapsed="false">
      <c r="A371" s="65" t="n">
        <v>45352</v>
      </c>
      <c r="B371" s="31" t="s">
        <v>7</v>
      </c>
      <c r="C371" s="32"/>
      <c r="D371" s="32"/>
      <c r="E371" s="19" t="n">
        <f aca="false">+F371*0.03</f>
        <v>0</v>
      </c>
      <c r="F371" s="33" t="n">
        <v>0</v>
      </c>
      <c r="G371" s="62"/>
      <c r="H371" s="35" t="n">
        <v>0</v>
      </c>
      <c r="I371" s="34" t="n">
        <f aca="false">+IF(E371=0,0,E371*0.03)</f>
        <v>0</v>
      </c>
    </row>
    <row r="372" customFormat="false" ht="15.75" hidden="false" customHeight="true" outlineLevel="0" collapsed="false">
      <c r="A372" s="65" t="n">
        <v>45352</v>
      </c>
      <c r="B372" s="31" t="s">
        <v>7</v>
      </c>
      <c r="C372" s="32"/>
      <c r="D372" s="32"/>
      <c r="E372" s="19" t="n">
        <f aca="false">+F372*0.03</f>
        <v>0</v>
      </c>
      <c r="F372" s="33" t="n">
        <v>0</v>
      </c>
      <c r="G372" s="62"/>
      <c r="H372" s="35" t="n">
        <v>0</v>
      </c>
      <c r="I372" s="34" t="n">
        <f aca="false">+IF(E372=0,0,E372*0.03)</f>
        <v>0</v>
      </c>
    </row>
    <row r="373" customFormat="false" ht="15.75" hidden="false" customHeight="true" outlineLevel="0" collapsed="false">
      <c r="A373" s="65" t="n">
        <v>45352</v>
      </c>
      <c r="B373" s="31" t="s">
        <v>7</v>
      </c>
      <c r="C373" s="32"/>
      <c r="D373" s="32"/>
      <c r="E373" s="19" t="n">
        <f aca="false">+F373*0.03</f>
        <v>0</v>
      </c>
      <c r="F373" s="33" t="n">
        <v>0</v>
      </c>
      <c r="G373" s="62"/>
      <c r="H373" s="35" t="n">
        <v>0</v>
      </c>
      <c r="I373" s="34" t="n">
        <f aca="false">+IF(E373=0,0,E373*0.03)</f>
        <v>0</v>
      </c>
    </row>
    <row r="374" customFormat="false" ht="15.75" hidden="false" customHeight="true" outlineLevel="0" collapsed="false">
      <c r="A374" s="65" t="n">
        <v>45352</v>
      </c>
      <c r="B374" s="31" t="s">
        <v>7</v>
      </c>
      <c r="C374" s="32"/>
      <c r="D374" s="32"/>
      <c r="E374" s="19" t="n">
        <f aca="false">+F374*0.03</f>
        <v>0</v>
      </c>
      <c r="F374" s="33" t="n">
        <v>0</v>
      </c>
      <c r="G374" s="62"/>
      <c r="H374" s="35" t="n">
        <v>0</v>
      </c>
      <c r="I374" s="34" t="n">
        <f aca="false">+IF(E374=0,0,E374*0.03)</f>
        <v>0</v>
      </c>
    </row>
    <row r="375" customFormat="false" ht="15.75" hidden="false" customHeight="true" outlineLevel="0" collapsed="false">
      <c r="A375" s="65" t="n">
        <v>45352</v>
      </c>
      <c r="B375" s="31" t="s">
        <v>7</v>
      </c>
      <c r="C375" s="32"/>
      <c r="D375" s="32"/>
      <c r="E375" s="19" t="n">
        <f aca="false">+F375*0.03</f>
        <v>0</v>
      </c>
      <c r="F375" s="33" t="n">
        <v>0</v>
      </c>
      <c r="G375" s="62"/>
      <c r="H375" s="35" t="n">
        <v>0</v>
      </c>
      <c r="I375" s="34" t="n">
        <f aca="false">+IF(E375=0,0,E375*0.03)</f>
        <v>0</v>
      </c>
    </row>
    <row r="376" customFormat="false" ht="15.75" hidden="false" customHeight="true" outlineLevel="0" collapsed="false">
      <c r="A376" s="65" t="n">
        <v>45352</v>
      </c>
      <c r="B376" s="31" t="s">
        <v>7</v>
      </c>
      <c r="C376" s="32"/>
      <c r="D376" s="32"/>
      <c r="E376" s="19" t="n">
        <f aca="false">+F376*0.03</f>
        <v>0</v>
      </c>
      <c r="F376" s="33" t="n">
        <v>0</v>
      </c>
      <c r="G376" s="62"/>
      <c r="H376" s="35" t="n">
        <v>0</v>
      </c>
      <c r="I376" s="34" t="n">
        <f aca="false">+IF(E376=0,0,E376*0.03)</f>
        <v>0</v>
      </c>
    </row>
    <row r="377" customFormat="false" ht="15.75" hidden="false" customHeight="true" outlineLevel="0" collapsed="false">
      <c r="A377" s="65" t="n">
        <v>45352</v>
      </c>
      <c r="B377" s="31" t="s">
        <v>7</v>
      </c>
      <c r="C377" s="32"/>
      <c r="D377" s="32"/>
      <c r="E377" s="19" t="n">
        <f aca="false">+F377*0.03</f>
        <v>0</v>
      </c>
      <c r="F377" s="33" t="n">
        <v>0</v>
      </c>
      <c r="G377" s="62"/>
      <c r="H377" s="35" t="n">
        <v>0</v>
      </c>
      <c r="I377" s="34" t="n">
        <f aca="false">+IF(E377=0,0,E377*0.03)</f>
        <v>0</v>
      </c>
    </row>
    <row r="378" customFormat="false" ht="15.75" hidden="false" customHeight="true" outlineLevel="0" collapsed="false">
      <c r="A378" s="65" t="n">
        <v>45352</v>
      </c>
      <c r="B378" s="31" t="s">
        <v>7</v>
      </c>
      <c r="C378" s="32"/>
      <c r="D378" s="32"/>
      <c r="E378" s="19" t="n">
        <f aca="false">+F378*0.03</f>
        <v>0</v>
      </c>
      <c r="F378" s="33" t="n">
        <v>0</v>
      </c>
      <c r="G378" s="62"/>
      <c r="H378" s="35" t="n">
        <v>0</v>
      </c>
      <c r="I378" s="34" t="n">
        <f aca="false">+IF(E378=0,0,E378*0.03)</f>
        <v>0</v>
      </c>
    </row>
    <row r="379" customFormat="false" ht="15.75" hidden="false" customHeight="true" outlineLevel="0" collapsed="false">
      <c r="A379" s="65" t="n">
        <v>45352</v>
      </c>
      <c r="B379" s="31" t="s">
        <v>7</v>
      </c>
      <c r="C379" s="32"/>
      <c r="D379" s="32"/>
      <c r="E379" s="19" t="n">
        <f aca="false">+F379*0.03</f>
        <v>0</v>
      </c>
      <c r="F379" s="33" t="n">
        <v>0</v>
      </c>
      <c r="G379" s="62"/>
      <c r="H379" s="35" t="n">
        <v>0</v>
      </c>
      <c r="I379" s="34" t="n">
        <f aca="false">+IF(E379=0,0,E379*0.03)</f>
        <v>0</v>
      </c>
    </row>
    <row r="380" customFormat="false" ht="15.75" hidden="false" customHeight="true" outlineLevel="0" collapsed="false">
      <c r="A380" s="65" t="n">
        <v>45352</v>
      </c>
      <c r="B380" s="31" t="s">
        <v>7</v>
      </c>
      <c r="C380" s="32"/>
      <c r="D380" s="32"/>
      <c r="E380" s="19" t="n">
        <f aca="false">+F380*0.03</f>
        <v>0</v>
      </c>
      <c r="F380" s="33" t="n">
        <v>0</v>
      </c>
      <c r="G380" s="62"/>
      <c r="H380" s="35" t="n">
        <v>0</v>
      </c>
      <c r="I380" s="34" t="n">
        <f aca="false">+IF(E380=0,0,E380*0.03)</f>
        <v>0</v>
      </c>
    </row>
    <row r="381" customFormat="false" ht="15.75" hidden="false" customHeight="true" outlineLevel="0" collapsed="false">
      <c r="A381" s="65" t="n">
        <v>45352</v>
      </c>
      <c r="B381" s="31" t="s">
        <v>7</v>
      </c>
      <c r="C381" s="32"/>
      <c r="D381" s="32"/>
      <c r="E381" s="19" t="n">
        <f aca="false">+F381*0.03</f>
        <v>0</v>
      </c>
      <c r="F381" s="33" t="n">
        <v>0</v>
      </c>
      <c r="G381" s="62"/>
      <c r="H381" s="35" t="n">
        <v>0</v>
      </c>
      <c r="I381" s="34" t="n">
        <f aca="false">+IF(E381=0,0,E381*0.03)</f>
        <v>0</v>
      </c>
    </row>
    <row r="382" customFormat="false" ht="15.75" hidden="false" customHeight="true" outlineLevel="0" collapsed="false">
      <c r="A382" s="65" t="n">
        <v>45352</v>
      </c>
      <c r="B382" s="31" t="s">
        <v>7</v>
      </c>
      <c r="C382" s="32"/>
      <c r="D382" s="32"/>
      <c r="E382" s="19" t="n">
        <f aca="false">+F382*0.03</f>
        <v>0</v>
      </c>
      <c r="F382" s="33" t="n">
        <v>0</v>
      </c>
      <c r="G382" s="62"/>
      <c r="H382" s="35" t="n">
        <v>0</v>
      </c>
      <c r="I382" s="34" t="n">
        <f aca="false">+IF(E382=0,0,E382*0.03)</f>
        <v>0</v>
      </c>
    </row>
    <row r="383" customFormat="false" ht="15.75" hidden="false" customHeight="true" outlineLevel="0" collapsed="false">
      <c r="A383" s="65" t="n">
        <v>45352</v>
      </c>
      <c r="B383" s="31" t="s">
        <v>7</v>
      </c>
      <c r="C383" s="32"/>
      <c r="D383" s="32"/>
      <c r="E383" s="19" t="n">
        <f aca="false">+F383*0.03</f>
        <v>0</v>
      </c>
      <c r="F383" s="33" t="n">
        <v>0</v>
      </c>
      <c r="G383" s="62"/>
      <c r="H383" s="35" t="n">
        <v>0</v>
      </c>
      <c r="I383" s="34" t="n">
        <f aca="false">+IF(E383=0,0,E383*0.03)</f>
        <v>0</v>
      </c>
    </row>
    <row r="384" customFormat="false" ht="15.75" hidden="false" customHeight="true" outlineLevel="0" collapsed="false">
      <c r="A384" s="65" t="n">
        <v>45352</v>
      </c>
      <c r="B384" s="31" t="s">
        <v>7</v>
      </c>
      <c r="C384" s="32"/>
      <c r="D384" s="32"/>
      <c r="E384" s="19" t="n">
        <f aca="false">+F384*0.03</f>
        <v>0</v>
      </c>
      <c r="F384" s="33" t="n">
        <v>0</v>
      </c>
      <c r="G384" s="62"/>
      <c r="H384" s="35" t="n">
        <v>0</v>
      </c>
      <c r="I384" s="34" t="n">
        <f aca="false">+IF(E384=0,0,E384*0.03)</f>
        <v>0</v>
      </c>
    </row>
    <row r="385" customFormat="false" ht="15.75" hidden="false" customHeight="true" outlineLevel="0" collapsed="false">
      <c r="A385" s="65" t="n">
        <v>45352</v>
      </c>
      <c r="B385" s="31" t="s">
        <v>7</v>
      </c>
      <c r="C385" s="32"/>
      <c r="D385" s="32"/>
      <c r="E385" s="19" t="n">
        <f aca="false">+F385*0.03</f>
        <v>0</v>
      </c>
      <c r="F385" s="33" t="n">
        <v>0</v>
      </c>
      <c r="G385" s="62"/>
      <c r="H385" s="35" t="n">
        <v>0</v>
      </c>
      <c r="I385" s="34" t="n">
        <f aca="false">+IF(E385=0,0,E385*0.03)</f>
        <v>0</v>
      </c>
    </row>
    <row r="386" customFormat="false" ht="15.75" hidden="false" customHeight="true" outlineLevel="0" collapsed="false">
      <c r="A386" s="65" t="n">
        <v>45352</v>
      </c>
      <c r="B386" s="31" t="s">
        <v>7</v>
      </c>
      <c r="C386" s="32"/>
      <c r="D386" s="32"/>
      <c r="E386" s="19" t="n">
        <f aca="false">+F386*0.03</f>
        <v>0</v>
      </c>
      <c r="F386" s="33" t="n">
        <v>0</v>
      </c>
      <c r="G386" s="62"/>
      <c r="H386" s="35" t="n">
        <v>0</v>
      </c>
      <c r="I386" s="34" t="n">
        <f aca="false">+IF(E386=0,0,E386*0.03)</f>
        <v>0</v>
      </c>
    </row>
    <row r="387" customFormat="false" ht="15.75" hidden="false" customHeight="true" outlineLevel="0" collapsed="false">
      <c r="A387" s="65" t="n">
        <v>45352</v>
      </c>
      <c r="B387" s="31" t="s">
        <v>7</v>
      </c>
      <c r="C387" s="32"/>
      <c r="D387" s="32"/>
      <c r="E387" s="19" t="n">
        <f aca="false">+F387*0.03</f>
        <v>0</v>
      </c>
      <c r="F387" s="33" t="n">
        <v>0</v>
      </c>
      <c r="G387" s="62"/>
      <c r="H387" s="35" t="n">
        <v>0</v>
      </c>
      <c r="I387" s="34" t="n">
        <f aca="false">+IF(E387=0,0,E387*0.03)</f>
        <v>0</v>
      </c>
    </row>
    <row r="388" customFormat="false" ht="15.75" hidden="false" customHeight="true" outlineLevel="0" collapsed="false">
      <c r="A388" s="65" t="n">
        <v>45352</v>
      </c>
      <c r="B388" s="31" t="s">
        <v>7</v>
      </c>
      <c r="C388" s="32"/>
      <c r="D388" s="32"/>
      <c r="E388" s="19" t="n">
        <f aca="false">+F388*0.03</f>
        <v>0</v>
      </c>
      <c r="F388" s="33" t="n">
        <v>0</v>
      </c>
      <c r="G388" s="62"/>
      <c r="H388" s="35" t="n">
        <v>0</v>
      </c>
      <c r="I388" s="34" t="n">
        <f aca="false">+IF(E388=0,0,E388*0.03)</f>
        <v>0</v>
      </c>
    </row>
    <row r="389" customFormat="false" ht="15.75" hidden="false" customHeight="true" outlineLevel="0" collapsed="false">
      <c r="A389" s="65" t="n">
        <v>45352</v>
      </c>
      <c r="B389" s="31" t="s">
        <v>7</v>
      </c>
      <c r="C389" s="32"/>
      <c r="D389" s="32"/>
      <c r="E389" s="19" t="n">
        <f aca="false">+F389*0.03</f>
        <v>0</v>
      </c>
      <c r="F389" s="33" t="n">
        <v>0</v>
      </c>
      <c r="G389" s="62"/>
      <c r="H389" s="35" t="n">
        <v>0</v>
      </c>
      <c r="I389" s="34" t="n">
        <f aca="false">+IF(E389=0,0,E389*0.03)</f>
        <v>0</v>
      </c>
    </row>
    <row r="390" customFormat="false" ht="15.75" hidden="false" customHeight="true" outlineLevel="0" collapsed="false">
      <c r="A390" s="65" t="n">
        <v>45352</v>
      </c>
      <c r="B390" s="31" t="s">
        <v>7</v>
      </c>
      <c r="C390" s="32"/>
      <c r="D390" s="32"/>
      <c r="E390" s="19" t="n">
        <f aca="false">+F390*0.03</f>
        <v>0</v>
      </c>
      <c r="F390" s="33" t="n">
        <v>0</v>
      </c>
      <c r="G390" s="62"/>
      <c r="H390" s="35" t="n">
        <v>0</v>
      </c>
      <c r="I390" s="34" t="n">
        <f aca="false">+IF(E390=0,0,E390*0.03)</f>
        <v>0</v>
      </c>
    </row>
    <row r="391" customFormat="false" ht="15.75" hidden="false" customHeight="true" outlineLevel="0" collapsed="false">
      <c r="A391" s="65" t="n">
        <v>45352</v>
      </c>
      <c r="B391" s="31" t="s">
        <v>7</v>
      </c>
      <c r="C391" s="32"/>
      <c r="D391" s="32"/>
      <c r="E391" s="19" t="n">
        <f aca="false">+F391*0.03</f>
        <v>0</v>
      </c>
      <c r="F391" s="33" t="n">
        <v>0</v>
      </c>
      <c r="G391" s="62"/>
      <c r="H391" s="35" t="n">
        <v>0</v>
      </c>
      <c r="I391" s="34" t="n">
        <f aca="false">+IF(E391=0,0,E391*0.03)</f>
        <v>0</v>
      </c>
    </row>
    <row r="392" customFormat="false" ht="15.75" hidden="false" customHeight="true" outlineLevel="0" collapsed="false">
      <c r="A392" s="65" t="n">
        <v>45352</v>
      </c>
      <c r="B392" s="31" t="s">
        <v>7</v>
      </c>
      <c r="C392" s="32"/>
      <c r="D392" s="32"/>
      <c r="E392" s="19" t="n">
        <f aca="false">+F392*0.03</f>
        <v>0</v>
      </c>
      <c r="F392" s="33" t="n">
        <v>0</v>
      </c>
      <c r="G392" s="62"/>
      <c r="H392" s="35" t="n">
        <v>0</v>
      </c>
      <c r="I392" s="34" t="n">
        <f aca="false">+IF(E392=0,0,E392*0.03)</f>
        <v>0</v>
      </c>
    </row>
    <row r="393" customFormat="false" ht="15.75" hidden="false" customHeight="true" outlineLevel="0" collapsed="false">
      <c r="A393" s="65" t="n">
        <v>45352</v>
      </c>
      <c r="B393" s="31" t="s">
        <v>7</v>
      </c>
      <c r="C393" s="32"/>
      <c r="D393" s="32"/>
      <c r="E393" s="19" t="n">
        <f aca="false">+F393*0.03</f>
        <v>0</v>
      </c>
      <c r="F393" s="33" t="n">
        <v>0</v>
      </c>
      <c r="G393" s="62"/>
      <c r="H393" s="35" t="n">
        <v>0</v>
      </c>
      <c r="I393" s="34" t="n">
        <f aca="false">+IF(E393=0,0,E393*0.03)</f>
        <v>0</v>
      </c>
    </row>
    <row r="394" customFormat="false" ht="15.75" hidden="false" customHeight="true" outlineLevel="0" collapsed="false">
      <c r="A394" s="65" t="n">
        <v>45352</v>
      </c>
      <c r="B394" s="31" t="s">
        <v>7</v>
      </c>
      <c r="C394" s="32"/>
      <c r="D394" s="32"/>
      <c r="E394" s="19" t="n">
        <f aca="false">+F394*0.03</f>
        <v>0</v>
      </c>
      <c r="F394" s="33" t="n">
        <v>0</v>
      </c>
      <c r="G394" s="62"/>
      <c r="H394" s="35" t="n">
        <v>0</v>
      </c>
      <c r="I394" s="34" t="n">
        <f aca="false">+IF(E394=0,0,E394*0.03)</f>
        <v>0</v>
      </c>
    </row>
    <row r="395" customFormat="false" ht="15.75" hidden="false" customHeight="true" outlineLevel="0" collapsed="false">
      <c r="A395" s="65" t="n">
        <v>45352</v>
      </c>
      <c r="B395" s="31" t="s">
        <v>7</v>
      </c>
      <c r="C395" s="32"/>
      <c r="D395" s="32"/>
      <c r="E395" s="19" t="n">
        <f aca="false">+F395*0.03</f>
        <v>0</v>
      </c>
      <c r="F395" s="33" t="n">
        <v>0</v>
      </c>
      <c r="G395" s="62"/>
      <c r="H395" s="35" t="n">
        <v>0</v>
      </c>
      <c r="I395" s="34" t="n">
        <f aca="false">+IF(E395=0,0,E395*0.03)</f>
        <v>0</v>
      </c>
    </row>
    <row r="396" customFormat="false" ht="15.75" hidden="false" customHeight="true" outlineLevel="0" collapsed="false">
      <c r="A396" s="65" t="n">
        <v>45352</v>
      </c>
      <c r="B396" s="31" t="s">
        <v>7</v>
      </c>
      <c r="C396" s="32"/>
      <c r="D396" s="32"/>
      <c r="E396" s="19" t="n">
        <f aca="false">+F396*0.03</f>
        <v>0</v>
      </c>
      <c r="F396" s="33" t="n">
        <v>0</v>
      </c>
      <c r="G396" s="62"/>
      <c r="H396" s="35" t="n">
        <v>0</v>
      </c>
      <c r="I396" s="34" t="n">
        <f aca="false">+IF(E396=0,0,E396*0.03)</f>
        <v>0</v>
      </c>
    </row>
    <row r="397" customFormat="false" ht="15.75" hidden="false" customHeight="true" outlineLevel="0" collapsed="false">
      <c r="A397" s="65" t="n">
        <v>45352</v>
      </c>
      <c r="B397" s="31" t="s">
        <v>7</v>
      </c>
      <c r="C397" s="32"/>
      <c r="D397" s="32"/>
      <c r="E397" s="19" t="n">
        <f aca="false">+F397*0.03</f>
        <v>0</v>
      </c>
      <c r="F397" s="33" t="n">
        <v>0</v>
      </c>
      <c r="G397" s="62"/>
      <c r="H397" s="35" t="n">
        <v>0</v>
      </c>
      <c r="I397" s="34" t="n">
        <f aca="false">+IF(E397=0,0,E397*0.03)</f>
        <v>0</v>
      </c>
    </row>
    <row r="398" customFormat="false" ht="15.75" hidden="false" customHeight="true" outlineLevel="0" collapsed="false">
      <c r="A398" s="65" t="n">
        <v>45352</v>
      </c>
      <c r="B398" s="31" t="s">
        <v>7</v>
      </c>
      <c r="C398" s="32"/>
      <c r="D398" s="32"/>
      <c r="E398" s="19" t="n">
        <f aca="false">+F398*0.03</f>
        <v>0</v>
      </c>
      <c r="F398" s="33" t="n">
        <v>0</v>
      </c>
      <c r="G398" s="62"/>
      <c r="H398" s="35" t="n">
        <v>0</v>
      </c>
      <c r="I398" s="34" t="n">
        <f aca="false">+IF(E398=0,0,E398*0.03)</f>
        <v>0</v>
      </c>
    </row>
    <row r="399" customFormat="false" ht="15.75" hidden="false" customHeight="true" outlineLevel="0" collapsed="false">
      <c r="A399" s="65" t="n">
        <v>45352</v>
      </c>
      <c r="B399" s="31" t="s">
        <v>7</v>
      </c>
      <c r="C399" s="32"/>
      <c r="D399" s="32"/>
      <c r="E399" s="19" t="n">
        <f aca="false">+F399*0.03</f>
        <v>0</v>
      </c>
      <c r="F399" s="33" t="n">
        <v>0</v>
      </c>
      <c r="G399" s="62"/>
      <c r="H399" s="35" t="n">
        <v>0</v>
      </c>
      <c r="I399" s="34" t="n">
        <f aca="false">+IF(E399=0,0,E399*0.03)</f>
        <v>0</v>
      </c>
    </row>
    <row r="400" customFormat="false" ht="15.75" hidden="false" customHeight="true" outlineLevel="0" collapsed="false">
      <c r="A400" s="65" t="n">
        <v>45352</v>
      </c>
      <c r="B400" s="31" t="s">
        <v>7</v>
      </c>
      <c r="C400" s="32"/>
      <c r="D400" s="32"/>
      <c r="E400" s="19" t="n">
        <f aca="false">+F400*0.03</f>
        <v>0</v>
      </c>
      <c r="F400" s="33" t="n">
        <v>0</v>
      </c>
      <c r="G400" s="62"/>
      <c r="H400" s="35" t="n">
        <v>0</v>
      </c>
      <c r="I400" s="34" t="n">
        <f aca="false">+IF(E400=0,0,E400*0.03)</f>
        <v>0</v>
      </c>
    </row>
    <row r="401" customFormat="false" ht="15.75" hidden="false" customHeight="true" outlineLevel="0" collapsed="false">
      <c r="A401" s="65" t="n">
        <v>45352</v>
      </c>
      <c r="B401" s="31" t="s">
        <v>7</v>
      </c>
      <c r="C401" s="32"/>
      <c r="D401" s="32"/>
      <c r="E401" s="19" t="n">
        <f aca="false">+F401*0.03</f>
        <v>0</v>
      </c>
      <c r="F401" s="33" t="n">
        <v>0</v>
      </c>
      <c r="G401" s="62"/>
      <c r="H401" s="35" t="n">
        <v>0</v>
      </c>
      <c r="I401" s="34" t="n">
        <f aca="false">+IF(E401=0,0,E401*0.03)</f>
        <v>0</v>
      </c>
    </row>
    <row r="402" customFormat="false" ht="15.75" hidden="false" customHeight="true" outlineLevel="0" collapsed="false">
      <c r="A402" s="65" t="n">
        <v>45352</v>
      </c>
      <c r="B402" s="31" t="s">
        <v>7</v>
      </c>
      <c r="C402" s="32"/>
      <c r="D402" s="32"/>
      <c r="E402" s="19" t="n">
        <f aca="false">+F402*0.03</f>
        <v>0</v>
      </c>
      <c r="F402" s="33" t="n">
        <v>0</v>
      </c>
      <c r="G402" s="62"/>
      <c r="H402" s="35" t="n">
        <v>0</v>
      </c>
      <c r="I402" s="34" t="n">
        <f aca="false">+IF(E402=0,0,E402*0.03)</f>
        <v>0</v>
      </c>
    </row>
    <row r="403" customFormat="false" ht="15.75" hidden="false" customHeight="true" outlineLevel="0" collapsed="false">
      <c r="A403" s="65" t="n">
        <v>45352</v>
      </c>
      <c r="B403" s="31" t="s">
        <v>7</v>
      </c>
      <c r="C403" s="32"/>
      <c r="D403" s="32"/>
      <c r="E403" s="19" t="n">
        <f aca="false">+F403*0.03</f>
        <v>0</v>
      </c>
      <c r="F403" s="33" t="n">
        <v>0</v>
      </c>
      <c r="G403" s="62"/>
      <c r="H403" s="35" t="n">
        <v>0</v>
      </c>
      <c r="I403" s="34" t="n">
        <f aca="false">+IF(E403=0,0,E403*0.03)</f>
        <v>0</v>
      </c>
    </row>
    <row r="404" customFormat="false" ht="15.75" hidden="false" customHeight="true" outlineLevel="0" collapsed="false">
      <c r="A404" s="65" t="n">
        <v>45352</v>
      </c>
      <c r="B404" s="31" t="s">
        <v>7</v>
      </c>
      <c r="C404" s="32"/>
      <c r="D404" s="32"/>
      <c r="E404" s="19" t="n">
        <f aca="false">+F404*0.03</f>
        <v>0</v>
      </c>
      <c r="F404" s="33" t="n">
        <v>0</v>
      </c>
      <c r="G404" s="62"/>
      <c r="H404" s="35" t="n">
        <v>0</v>
      </c>
      <c r="I404" s="34" t="n">
        <f aca="false">+IF(E404=0,0,E404*0.03)</f>
        <v>0</v>
      </c>
    </row>
    <row r="405" customFormat="false" ht="15.75" hidden="false" customHeight="true" outlineLevel="0" collapsed="false">
      <c r="A405" s="65" t="n">
        <v>45352</v>
      </c>
      <c r="B405" s="31" t="s">
        <v>7</v>
      </c>
      <c r="C405" s="32"/>
      <c r="D405" s="32"/>
      <c r="E405" s="19" t="n">
        <f aca="false">+F405*0.03</f>
        <v>0</v>
      </c>
      <c r="F405" s="33" t="n">
        <v>0</v>
      </c>
      <c r="G405" s="62"/>
      <c r="H405" s="35" t="n">
        <v>0</v>
      </c>
      <c r="I405" s="34" t="n">
        <f aca="false">+IF(E405=0,0,E405*0.03)</f>
        <v>0</v>
      </c>
    </row>
    <row r="406" customFormat="false" ht="15.75" hidden="false" customHeight="true" outlineLevel="0" collapsed="false">
      <c r="A406" s="65" t="n">
        <v>45352</v>
      </c>
      <c r="B406" s="31" t="s">
        <v>7</v>
      </c>
      <c r="C406" s="32"/>
      <c r="D406" s="32"/>
      <c r="E406" s="19" t="n">
        <f aca="false">+F406*0.03</f>
        <v>0</v>
      </c>
      <c r="F406" s="33" t="n">
        <v>0</v>
      </c>
      <c r="G406" s="62"/>
      <c r="H406" s="35" t="n">
        <v>0</v>
      </c>
      <c r="I406" s="34" t="n">
        <f aca="false">+IF(E406=0,0,E406*0.03)</f>
        <v>0</v>
      </c>
    </row>
    <row r="407" customFormat="false" ht="15.75" hidden="false" customHeight="true" outlineLevel="0" collapsed="false">
      <c r="A407" s="65" t="n">
        <v>45352</v>
      </c>
      <c r="B407" s="31" t="s">
        <v>7</v>
      </c>
      <c r="C407" s="32"/>
      <c r="D407" s="32"/>
      <c r="E407" s="19" t="n">
        <f aca="false">+F407*0.03</f>
        <v>0</v>
      </c>
      <c r="F407" s="33" t="n">
        <v>0</v>
      </c>
      <c r="G407" s="62"/>
      <c r="H407" s="35" t="n">
        <v>0</v>
      </c>
      <c r="I407" s="34" t="n">
        <f aca="false">+IF(E407=0,0,E407*0.03)</f>
        <v>0</v>
      </c>
    </row>
    <row r="408" customFormat="false" ht="15.75" hidden="false" customHeight="true" outlineLevel="0" collapsed="false">
      <c r="A408" s="65" t="n">
        <v>45352</v>
      </c>
      <c r="B408" s="31" t="s">
        <v>7</v>
      </c>
      <c r="C408" s="32"/>
      <c r="D408" s="32"/>
      <c r="E408" s="19" t="n">
        <f aca="false">+F408*0.03</f>
        <v>0</v>
      </c>
      <c r="F408" s="33" t="n">
        <v>0</v>
      </c>
      <c r="G408" s="62"/>
      <c r="H408" s="35" t="n">
        <v>0</v>
      </c>
      <c r="I408" s="34" t="n">
        <f aca="false">+IF(E408=0,0,E408*0.03)</f>
        <v>0</v>
      </c>
    </row>
    <row r="409" customFormat="false" ht="15.75" hidden="false" customHeight="true" outlineLevel="0" collapsed="false">
      <c r="A409" s="65" t="n">
        <v>45352</v>
      </c>
      <c r="B409" s="31" t="s">
        <v>7</v>
      </c>
      <c r="C409" s="32"/>
      <c r="D409" s="32"/>
      <c r="E409" s="19" t="n">
        <f aca="false">+F409*0.03</f>
        <v>0</v>
      </c>
      <c r="F409" s="33" t="n">
        <v>0</v>
      </c>
      <c r="G409" s="62"/>
      <c r="H409" s="35" t="n">
        <v>0</v>
      </c>
      <c r="I409" s="34" t="n">
        <f aca="false">+IF(E409=0,0,E409*0.03)</f>
        <v>0</v>
      </c>
    </row>
    <row r="410" customFormat="false" ht="15.75" hidden="false" customHeight="true" outlineLevel="0" collapsed="false">
      <c r="A410" s="65" t="n">
        <v>45352</v>
      </c>
      <c r="B410" s="31" t="s">
        <v>7</v>
      </c>
      <c r="C410" s="32"/>
      <c r="D410" s="32"/>
      <c r="E410" s="19" t="n">
        <f aca="false">+F410*0.03</f>
        <v>0</v>
      </c>
      <c r="F410" s="33" t="n">
        <v>0</v>
      </c>
      <c r="G410" s="62"/>
      <c r="H410" s="35" t="n">
        <v>0</v>
      </c>
      <c r="I410" s="34" t="n">
        <f aca="false">+IF(E410=0,0,E410*0.03)</f>
        <v>0</v>
      </c>
    </row>
    <row r="411" customFormat="false" ht="15.75" hidden="false" customHeight="true" outlineLevel="0" collapsed="false">
      <c r="A411" s="65" t="n">
        <v>45352</v>
      </c>
      <c r="B411" s="31" t="s">
        <v>7</v>
      </c>
      <c r="C411" s="32"/>
      <c r="D411" s="32"/>
      <c r="E411" s="19" t="n">
        <f aca="false">+F411*0.03</f>
        <v>0</v>
      </c>
      <c r="F411" s="33" t="n">
        <v>0</v>
      </c>
      <c r="G411" s="62"/>
      <c r="H411" s="35" t="n">
        <v>0</v>
      </c>
      <c r="I411" s="34" t="n">
        <f aca="false">+IF(E411=0,0,E411*0.03)</f>
        <v>0</v>
      </c>
    </row>
    <row r="412" customFormat="false" ht="15.75" hidden="false" customHeight="true" outlineLevel="0" collapsed="false">
      <c r="A412" s="65" t="n">
        <v>45352</v>
      </c>
      <c r="B412" s="31" t="s">
        <v>7</v>
      </c>
      <c r="C412" s="32"/>
      <c r="D412" s="32"/>
      <c r="E412" s="19" t="n">
        <f aca="false">+F412*0.03</f>
        <v>0</v>
      </c>
      <c r="F412" s="33" t="n">
        <v>0</v>
      </c>
      <c r="G412" s="62"/>
      <c r="H412" s="35" t="n">
        <v>0</v>
      </c>
      <c r="I412" s="34" t="n">
        <f aca="false">+IF(E412=0,0,E412*0.03)</f>
        <v>0</v>
      </c>
    </row>
    <row r="413" customFormat="false" ht="15.75" hidden="false" customHeight="true" outlineLevel="0" collapsed="false">
      <c r="A413" s="65" t="n">
        <v>45352</v>
      </c>
      <c r="B413" s="31" t="s">
        <v>7</v>
      </c>
      <c r="C413" s="32"/>
      <c r="D413" s="32"/>
      <c r="E413" s="19" t="n">
        <f aca="false">+F413*0.03</f>
        <v>0</v>
      </c>
      <c r="F413" s="33" t="n">
        <v>0</v>
      </c>
      <c r="G413" s="62"/>
      <c r="H413" s="35" t="n">
        <v>0</v>
      </c>
      <c r="I413" s="34" t="n">
        <f aca="false">+IF(E413=0,0,E413*0.03)</f>
        <v>0</v>
      </c>
    </row>
    <row r="414" customFormat="false" ht="15.75" hidden="false" customHeight="true" outlineLevel="0" collapsed="false">
      <c r="A414" s="65" t="n">
        <v>45352</v>
      </c>
      <c r="B414" s="31" t="s">
        <v>7</v>
      </c>
      <c r="C414" s="32"/>
      <c r="D414" s="32"/>
      <c r="E414" s="19" t="n">
        <f aca="false">+F414*0.03</f>
        <v>0</v>
      </c>
      <c r="F414" s="33" t="n">
        <v>0</v>
      </c>
      <c r="G414" s="62"/>
      <c r="H414" s="35" t="n">
        <v>0</v>
      </c>
      <c r="I414" s="34" t="n">
        <f aca="false">+IF(E414=0,0,E414*0.03)</f>
        <v>0</v>
      </c>
    </row>
    <row r="415" customFormat="false" ht="15.75" hidden="false" customHeight="true" outlineLevel="0" collapsed="false">
      <c r="A415" s="65" t="n">
        <v>45352</v>
      </c>
      <c r="B415" s="31" t="s">
        <v>7</v>
      </c>
      <c r="C415" s="32"/>
      <c r="D415" s="32"/>
      <c r="E415" s="19" t="n">
        <f aca="false">+F415*0.03</f>
        <v>0</v>
      </c>
      <c r="F415" s="33" t="n">
        <v>0</v>
      </c>
      <c r="G415" s="62"/>
      <c r="H415" s="35" t="n">
        <v>0</v>
      </c>
      <c r="I415" s="34" t="n">
        <f aca="false">+IF(E415=0,0,E415*0.03)</f>
        <v>0</v>
      </c>
    </row>
    <row r="416" customFormat="false" ht="15.75" hidden="false" customHeight="true" outlineLevel="0" collapsed="false">
      <c r="A416" s="65" t="n">
        <v>45352</v>
      </c>
      <c r="B416" s="31" t="s">
        <v>7</v>
      </c>
      <c r="C416" s="32"/>
      <c r="D416" s="32"/>
      <c r="E416" s="19" t="n">
        <f aca="false">+F416*0.03</f>
        <v>0</v>
      </c>
      <c r="F416" s="33" t="n">
        <v>0</v>
      </c>
      <c r="G416" s="62"/>
      <c r="H416" s="35" t="n">
        <v>0</v>
      </c>
      <c r="I416" s="34" t="n">
        <f aca="false">+IF(E416=0,0,E416*0.03)</f>
        <v>0</v>
      </c>
    </row>
    <row r="417" customFormat="false" ht="15.75" hidden="false" customHeight="true" outlineLevel="0" collapsed="false">
      <c r="A417" s="65" t="n">
        <v>45352</v>
      </c>
      <c r="B417" s="31" t="s">
        <v>7</v>
      </c>
      <c r="C417" s="32"/>
      <c r="D417" s="32"/>
      <c r="E417" s="19" t="n">
        <f aca="false">+F417*0.03</f>
        <v>0</v>
      </c>
      <c r="F417" s="33" t="n">
        <v>0</v>
      </c>
      <c r="G417" s="62"/>
      <c r="H417" s="35" t="n">
        <v>0</v>
      </c>
      <c r="I417" s="34" t="n">
        <f aca="false">+IF(E417=0,0,E417*0.03)</f>
        <v>0</v>
      </c>
    </row>
    <row r="418" customFormat="false" ht="15.75" hidden="false" customHeight="true" outlineLevel="0" collapsed="false">
      <c r="A418" s="65" t="n">
        <v>45352</v>
      </c>
      <c r="B418" s="31" t="s">
        <v>7</v>
      </c>
      <c r="C418" s="32"/>
      <c r="D418" s="32"/>
      <c r="E418" s="19" t="n">
        <f aca="false">+F418*0.03</f>
        <v>0</v>
      </c>
      <c r="F418" s="33" t="n">
        <v>0</v>
      </c>
      <c r="G418" s="62"/>
      <c r="H418" s="35" t="n">
        <v>0</v>
      </c>
      <c r="I418" s="34" t="n">
        <f aca="false">+IF(E418=0,0,E418*0.03)</f>
        <v>0</v>
      </c>
    </row>
    <row r="419" customFormat="false" ht="15.75" hidden="false" customHeight="true" outlineLevel="0" collapsed="false">
      <c r="A419" s="65" t="n">
        <v>45352</v>
      </c>
      <c r="B419" s="31" t="s">
        <v>7</v>
      </c>
      <c r="C419" s="32"/>
      <c r="D419" s="32"/>
      <c r="E419" s="19" t="n">
        <f aca="false">+F419*0.03</f>
        <v>0</v>
      </c>
      <c r="F419" s="33" t="n">
        <v>0</v>
      </c>
      <c r="G419" s="62"/>
      <c r="H419" s="35" t="n">
        <v>0</v>
      </c>
      <c r="I419" s="34" t="n">
        <f aca="false">+IF(E419=0,0,E419*0.03)</f>
        <v>0</v>
      </c>
    </row>
    <row r="420" customFormat="false" ht="15.75" hidden="false" customHeight="true" outlineLevel="0" collapsed="false">
      <c r="A420" s="65" t="n">
        <v>45352</v>
      </c>
      <c r="B420" s="31" t="s">
        <v>7</v>
      </c>
      <c r="C420" s="32"/>
      <c r="D420" s="32"/>
      <c r="E420" s="19" t="n">
        <f aca="false">+F420*0.03</f>
        <v>0</v>
      </c>
      <c r="F420" s="33" t="n">
        <v>0</v>
      </c>
      <c r="G420" s="62"/>
      <c r="H420" s="35" t="n">
        <v>0</v>
      </c>
      <c r="I420" s="34" t="n">
        <f aca="false">+IF(E420=0,0,E420*0.03)</f>
        <v>0</v>
      </c>
    </row>
    <row r="421" customFormat="false" ht="15.75" hidden="false" customHeight="true" outlineLevel="0" collapsed="false">
      <c r="A421" s="65" t="n">
        <v>45352</v>
      </c>
      <c r="B421" s="31" t="s">
        <v>7</v>
      </c>
      <c r="C421" s="32"/>
      <c r="D421" s="32"/>
      <c r="E421" s="19" t="n">
        <f aca="false">+F421*0.03</f>
        <v>0</v>
      </c>
      <c r="F421" s="33" t="n">
        <v>0</v>
      </c>
      <c r="G421" s="62"/>
      <c r="H421" s="35" t="n">
        <v>0</v>
      </c>
      <c r="I421" s="34" t="n">
        <f aca="false">+IF(E421=0,0,E421*0.03)</f>
        <v>0</v>
      </c>
    </row>
    <row r="422" customFormat="false" ht="15.75" hidden="false" customHeight="true" outlineLevel="0" collapsed="false">
      <c r="A422" s="65" t="n">
        <v>45352</v>
      </c>
      <c r="B422" s="31" t="s">
        <v>7</v>
      </c>
      <c r="C422" s="32"/>
      <c r="D422" s="32"/>
      <c r="E422" s="19" t="n">
        <f aca="false">+F422*0.03</f>
        <v>0</v>
      </c>
      <c r="F422" s="33" t="n">
        <v>0</v>
      </c>
      <c r="G422" s="62"/>
      <c r="H422" s="35" t="n">
        <v>0</v>
      </c>
      <c r="I422" s="34" t="n">
        <f aca="false">+IF(E422=0,0,E422*0.03)</f>
        <v>0</v>
      </c>
    </row>
    <row r="423" customFormat="false" ht="15.75" hidden="false" customHeight="true" outlineLevel="0" collapsed="false">
      <c r="A423" s="65" t="n">
        <v>45352</v>
      </c>
      <c r="B423" s="31" t="s">
        <v>7</v>
      </c>
      <c r="C423" s="32"/>
      <c r="D423" s="32"/>
      <c r="E423" s="19" t="n">
        <f aca="false">+F423*0.03</f>
        <v>0</v>
      </c>
      <c r="F423" s="33" t="n">
        <v>0</v>
      </c>
      <c r="G423" s="62"/>
      <c r="H423" s="35" t="n">
        <v>0</v>
      </c>
      <c r="I423" s="34" t="n">
        <f aca="false">+IF(E423=0,0,E423*0.03)</f>
        <v>0</v>
      </c>
    </row>
    <row r="424" customFormat="false" ht="15.75" hidden="false" customHeight="true" outlineLevel="0" collapsed="false">
      <c r="A424" s="65" t="n">
        <v>45352</v>
      </c>
      <c r="B424" s="31" t="s">
        <v>7</v>
      </c>
      <c r="C424" s="32"/>
      <c r="D424" s="32"/>
      <c r="E424" s="19" t="n">
        <f aca="false">+F424*0.03</f>
        <v>0</v>
      </c>
      <c r="F424" s="33" t="n">
        <v>0</v>
      </c>
      <c r="G424" s="62"/>
      <c r="H424" s="35" t="n">
        <v>0</v>
      </c>
      <c r="I424" s="34" t="n">
        <f aca="false">+IF(E424=0,0,E424*0.03)</f>
        <v>0</v>
      </c>
    </row>
    <row r="425" customFormat="false" ht="15.75" hidden="false" customHeight="true" outlineLevel="0" collapsed="false">
      <c r="A425" s="65" t="n">
        <v>45352</v>
      </c>
      <c r="B425" s="31" t="s">
        <v>7</v>
      </c>
      <c r="C425" s="32"/>
      <c r="D425" s="32"/>
      <c r="E425" s="19" t="n">
        <f aca="false">+F425*0.03</f>
        <v>0</v>
      </c>
      <c r="F425" s="33" t="n">
        <v>0</v>
      </c>
      <c r="G425" s="62"/>
      <c r="H425" s="35" t="n">
        <v>0</v>
      </c>
      <c r="I425" s="34" t="n">
        <f aca="false">+IF(E425=0,0,E425*0.03)</f>
        <v>0</v>
      </c>
    </row>
    <row r="426" customFormat="false" ht="15.75" hidden="false" customHeight="true" outlineLevel="0" collapsed="false">
      <c r="A426" s="65" t="n">
        <v>45352</v>
      </c>
      <c r="B426" s="31" t="s">
        <v>7</v>
      </c>
      <c r="C426" s="32"/>
      <c r="D426" s="32"/>
      <c r="E426" s="19" t="n">
        <f aca="false">+F426*0.03</f>
        <v>0</v>
      </c>
      <c r="F426" s="33" t="n">
        <v>0</v>
      </c>
      <c r="G426" s="62"/>
      <c r="H426" s="35" t="n">
        <v>0</v>
      </c>
      <c r="I426" s="34" t="n">
        <f aca="false">+IF(E426=0,0,E426*0.03)</f>
        <v>0</v>
      </c>
    </row>
    <row r="427" customFormat="false" ht="15.75" hidden="false" customHeight="true" outlineLevel="0" collapsed="false">
      <c r="A427" s="65" t="n">
        <v>45352</v>
      </c>
      <c r="B427" s="31" t="s">
        <v>7</v>
      </c>
      <c r="C427" s="32"/>
      <c r="D427" s="32"/>
      <c r="E427" s="19" t="n">
        <f aca="false">+F427*0.03</f>
        <v>0</v>
      </c>
      <c r="F427" s="33" t="n">
        <v>0</v>
      </c>
      <c r="G427" s="62"/>
      <c r="H427" s="35" t="n">
        <v>0</v>
      </c>
      <c r="I427" s="34" t="n">
        <f aca="false">+IF(E427=0,0,E427*0.03)</f>
        <v>0</v>
      </c>
    </row>
    <row r="428" customFormat="false" ht="15.75" hidden="false" customHeight="true" outlineLevel="0" collapsed="false">
      <c r="A428" s="65" t="n">
        <v>45352</v>
      </c>
      <c r="B428" s="31" t="s">
        <v>7</v>
      </c>
      <c r="C428" s="32"/>
      <c r="D428" s="32"/>
      <c r="E428" s="19" t="n">
        <f aca="false">+F428*0.03</f>
        <v>0</v>
      </c>
      <c r="F428" s="33" t="n">
        <v>0</v>
      </c>
      <c r="G428" s="62"/>
      <c r="H428" s="35" t="n">
        <v>0</v>
      </c>
      <c r="I428" s="34" t="n">
        <f aca="false">+IF(E428=0,0,E428*0.03)</f>
        <v>0</v>
      </c>
    </row>
    <row r="429" customFormat="false" ht="15.75" hidden="false" customHeight="true" outlineLevel="0" collapsed="false">
      <c r="A429" s="65" t="n">
        <v>45352</v>
      </c>
      <c r="B429" s="31" t="s">
        <v>7</v>
      </c>
      <c r="C429" s="32"/>
      <c r="D429" s="32"/>
      <c r="E429" s="19" t="n">
        <f aca="false">+F429*0.03</f>
        <v>0</v>
      </c>
      <c r="F429" s="33" t="n">
        <v>0</v>
      </c>
      <c r="G429" s="62"/>
      <c r="H429" s="35" t="n">
        <v>0</v>
      </c>
      <c r="I429" s="34" t="n">
        <f aca="false">+IF(E429=0,0,E429*0.03)</f>
        <v>0</v>
      </c>
    </row>
    <row r="430" customFormat="false" ht="15.75" hidden="false" customHeight="true" outlineLevel="0" collapsed="false">
      <c r="A430" s="65" t="n">
        <v>45352</v>
      </c>
      <c r="B430" s="31" t="s">
        <v>7</v>
      </c>
      <c r="C430" s="32"/>
      <c r="D430" s="32"/>
      <c r="E430" s="19" t="n">
        <f aca="false">+F430*0.03</f>
        <v>0</v>
      </c>
      <c r="F430" s="33" t="n">
        <v>0</v>
      </c>
      <c r="G430" s="62"/>
      <c r="H430" s="35" t="n">
        <v>0</v>
      </c>
      <c r="I430" s="34" t="n">
        <f aca="false">+IF(E430=0,0,E430*0.03)</f>
        <v>0</v>
      </c>
    </row>
    <row r="431" customFormat="false" ht="15.75" hidden="false" customHeight="true" outlineLevel="0" collapsed="false">
      <c r="A431" s="65" t="n">
        <v>45352</v>
      </c>
      <c r="B431" s="31" t="s">
        <v>7</v>
      </c>
      <c r="C431" s="32"/>
      <c r="D431" s="32"/>
      <c r="E431" s="19" t="n">
        <f aca="false">+F431*0.03</f>
        <v>0</v>
      </c>
      <c r="F431" s="33" t="n">
        <v>0</v>
      </c>
      <c r="G431" s="62"/>
      <c r="H431" s="35" t="n">
        <v>0</v>
      </c>
      <c r="I431" s="34" t="n">
        <f aca="false">+IF(E431=0,0,E431*0.03)</f>
        <v>0</v>
      </c>
    </row>
    <row r="432" customFormat="false" ht="15.75" hidden="false" customHeight="true" outlineLevel="0" collapsed="false">
      <c r="A432" s="65" t="n">
        <v>45352</v>
      </c>
      <c r="B432" s="31" t="s">
        <v>7</v>
      </c>
      <c r="C432" s="32"/>
      <c r="D432" s="32"/>
      <c r="E432" s="19" t="n">
        <f aca="false">+F432*0.03</f>
        <v>0</v>
      </c>
      <c r="F432" s="33" t="n">
        <v>0</v>
      </c>
      <c r="G432" s="62"/>
      <c r="H432" s="35" t="n">
        <v>0</v>
      </c>
      <c r="I432" s="34" t="n">
        <f aca="false">+IF(E432=0,0,E432*0.03)</f>
        <v>0</v>
      </c>
    </row>
    <row r="433" customFormat="false" ht="15.75" hidden="false" customHeight="true" outlineLevel="0" collapsed="false">
      <c r="A433" s="65" t="n">
        <v>45352</v>
      </c>
      <c r="B433" s="31" t="s">
        <v>7</v>
      </c>
      <c r="C433" s="32"/>
      <c r="D433" s="32"/>
      <c r="E433" s="19" t="n">
        <f aca="false">+F433*0.03</f>
        <v>0</v>
      </c>
      <c r="F433" s="33" t="n">
        <v>0</v>
      </c>
      <c r="G433" s="62"/>
      <c r="H433" s="35" t="n">
        <v>0</v>
      </c>
      <c r="I433" s="34" t="n">
        <f aca="false">+IF(E433=0,0,E433*0.03)</f>
        <v>0</v>
      </c>
    </row>
    <row r="434" customFormat="false" ht="15.75" hidden="false" customHeight="true" outlineLevel="0" collapsed="false">
      <c r="A434" s="65" t="n">
        <v>45352</v>
      </c>
      <c r="B434" s="31" t="s">
        <v>7</v>
      </c>
      <c r="C434" s="32"/>
      <c r="D434" s="32"/>
      <c r="E434" s="19" t="n">
        <f aca="false">+F434*0.03</f>
        <v>0</v>
      </c>
      <c r="F434" s="33" t="n">
        <v>0</v>
      </c>
      <c r="G434" s="62"/>
      <c r="H434" s="35" t="n">
        <v>0</v>
      </c>
      <c r="I434" s="34" t="n">
        <f aca="false">+IF(E434=0,0,E434*0.03)</f>
        <v>0</v>
      </c>
    </row>
    <row r="435" customFormat="false" ht="15.75" hidden="false" customHeight="true" outlineLevel="0" collapsed="false">
      <c r="A435" s="65" t="n">
        <v>45352</v>
      </c>
      <c r="B435" s="31" t="s">
        <v>7</v>
      </c>
      <c r="C435" s="32"/>
      <c r="D435" s="32"/>
      <c r="E435" s="19" t="n">
        <f aca="false">+F435*0.03</f>
        <v>0</v>
      </c>
      <c r="F435" s="33" t="n">
        <v>0</v>
      </c>
      <c r="G435" s="62"/>
      <c r="H435" s="35" t="n">
        <v>0</v>
      </c>
      <c r="I435" s="34" t="n">
        <f aca="false">+IF(E435=0,0,E435*0.03)</f>
        <v>0</v>
      </c>
    </row>
    <row r="436" customFormat="false" ht="15.75" hidden="false" customHeight="true" outlineLevel="0" collapsed="false">
      <c r="A436" s="65" t="n">
        <v>45352</v>
      </c>
      <c r="B436" s="31" t="s">
        <v>7</v>
      </c>
      <c r="C436" s="32"/>
      <c r="D436" s="32"/>
      <c r="E436" s="19" t="n">
        <f aca="false">+F436*0.03</f>
        <v>0</v>
      </c>
      <c r="F436" s="33" t="n">
        <v>0</v>
      </c>
      <c r="G436" s="62"/>
      <c r="H436" s="35" t="n">
        <v>0</v>
      </c>
      <c r="I436" s="34" t="n">
        <f aca="false">+IF(E436=0,0,E436*0.03)</f>
        <v>0</v>
      </c>
    </row>
    <row r="437" customFormat="false" ht="15.75" hidden="false" customHeight="true" outlineLevel="0" collapsed="false">
      <c r="A437" s="65" t="n">
        <v>45352</v>
      </c>
      <c r="B437" s="31" t="s">
        <v>7</v>
      </c>
      <c r="C437" s="32"/>
      <c r="D437" s="32"/>
      <c r="E437" s="19" t="n">
        <f aca="false">+F437*0.03</f>
        <v>0</v>
      </c>
      <c r="F437" s="33" t="n">
        <v>0</v>
      </c>
      <c r="G437" s="62"/>
      <c r="H437" s="35" t="n">
        <v>0</v>
      </c>
      <c r="I437" s="34" t="n">
        <f aca="false">+IF(E437=0,0,E437*0.03)</f>
        <v>0</v>
      </c>
    </row>
    <row r="438" customFormat="false" ht="15.75" hidden="false" customHeight="true" outlineLevel="0" collapsed="false">
      <c r="A438" s="65" t="n">
        <v>45352</v>
      </c>
      <c r="B438" s="31" t="s">
        <v>7</v>
      </c>
      <c r="C438" s="32"/>
      <c r="D438" s="32"/>
      <c r="E438" s="19" t="n">
        <f aca="false">+F438*0.03</f>
        <v>0</v>
      </c>
      <c r="F438" s="33" t="n">
        <v>0</v>
      </c>
      <c r="G438" s="62"/>
      <c r="H438" s="35" t="n">
        <v>0</v>
      </c>
      <c r="I438" s="34" t="n">
        <f aca="false">+IF(E438=0,0,E438*0.03)</f>
        <v>0</v>
      </c>
    </row>
    <row r="439" customFormat="false" ht="15.75" hidden="false" customHeight="true" outlineLevel="0" collapsed="false">
      <c r="A439" s="65" t="n">
        <v>45352</v>
      </c>
      <c r="B439" s="31" t="s">
        <v>7</v>
      </c>
      <c r="C439" s="32"/>
      <c r="D439" s="32"/>
      <c r="E439" s="19" t="n">
        <f aca="false">+F439*0.03</f>
        <v>0</v>
      </c>
      <c r="F439" s="33" t="n">
        <v>0</v>
      </c>
      <c r="G439" s="62"/>
      <c r="H439" s="35" t="n">
        <v>0</v>
      </c>
      <c r="I439" s="34" t="n">
        <f aca="false">+IF(E439=0,0,E439*0.03)</f>
        <v>0</v>
      </c>
    </row>
    <row r="440" customFormat="false" ht="15.75" hidden="false" customHeight="true" outlineLevel="0" collapsed="false">
      <c r="A440" s="65" t="n">
        <v>45352</v>
      </c>
      <c r="B440" s="31" t="s">
        <v>7</v>
      </c>
      <c r="C440" s="32"/>
      <c r="D440" s="32"/>
      <c r="E440" s="19" t="n">
        <f aca="false">+F440*0.03</f>
        <v>0</v>
      </c>
      <c r="F440" s="33" t="n">
        <v>0</v>
      </c>
      <c r="G440" s="62"/>
      <c r="H440" s="35" t="n">
        <v>0</v>
      </c>
      <c r="I440" s="34" t="n">
        <f aca="false">+IF(E440=0,0,E440*0.03)</f>
        <v>0</v>
      </c>
    </row>
    <row r="441" customFormat="false" ht="15.75" hidden="false" customHeight="true" outlineLevel="0" collapsed="false">
      <c r="A441" s="65" t="n">
        <v>45352</v>
      </c>
      <c r="B441" s="31" t="s">
        <v>7</v>
      </c>
      <c r="C441" s="32"/>
      <c r="D441" s="32"/>
      <c r="E441" s="19" t="n">
        <f aca="false">+F441*0.03</f>
        <v>0</v>
      </c>
      <c r="F441" s="33" t="n">
        <v>0</v>
      </c>
      <c r="G441" s="62"/>
      <c r="H441" s="35" t="n">
        <v>0</v>
      </c>
      <c r="I441" s="34" t="n">
        <f aca="false">+IF(E441=0,0,E441*0.03)</f>
        <v>0</v>
      </c>
    </row>
    <row r="442" customFormat="false" ht="15.75" hidden="false" customHeight="true" outlineLevel="0" collapsed="false">
      <c r="A442" s="65" t="n">
        <v>45352</v>
      </c>
      <c r="B442" s="31" t="s">
        <v>7</v>
      </c>
      <c r="C442" s="32"/>
      <c r="D442" s="32"/>
      <c r="E442" s="19" t="n">
        <f aca="false">+F442*0.03</f>
        <v>0</v>
      </c>
      <c r="F442" s="33" t="n">
        <v>0</v>
      </c>
      <c r="G442" s="62"/>
      <c r="H442" s="35" t="n">
        <v>0</v>
      </c>
      <c r="I442" s="34" t="n">
        <f aca="false">+IF(E442=0,0,E442*0.03)</f>
        <v>0</v>
      </c>
    </row>
    <row r="443" customFormat="false" ht="15.75" hidden="false" customHeight="true" outlineLevel="0" collapsed="false">
      <c r="A443" s="65" t="n">
        <v>45352</v>
      </c>
      <c r="B443" s="31" t="s">
        <v>7</v>
      </c>
      <c r="C443" s="32"/>
      <c r="D443" s="32"/>
      <c r="E443" s="19" t="n">
        <f aca="false">+F443*0.03</f>
        <v>0</v>
      </c>
      <c r="F443" s="33" t="n">
        <v>0</v>
      </c>
      <c r="G443" s="62"/>
      <c r="H443" s="35" t="n">
        <v>0</v>
      </c>
      <c r="I443" s="34" t="n">
        <f aca="false">+IF(E443=0,0,E443*0.03)</f>
        <v>0</v>
      </c>
    </row>
    <row r="444" customFormat="false" ht="15.75" hidden="false" customHeight="true" outlineLevel="0" collapsed="false">
      <c r="A444" s="65" t="n">
        <v>45352</v>
      </c>
      <c r="B444" s="31" t="s">
        <v>7</v>
      </c>
      <c r="C444" s="32"/>
      <c r="D444" s="32"/>
      <c r="E444" s="19" t="n">
        <f aca="false">+F444*0.03</f>
        <v>0</v>
      </c>
      <c r="F444" s="33" t="n">
        <v>0</v>
      </c>
      <c r="G444" s="62"/>
      <c r="H444" s="35" t="n">
        <v>0</v>
      </c>
      <c r="I444" s="34" t="n">
        <f aca="false">+IF(E444=0,0,E444*0.03)</f>
        <v>0</v>
      </c>
    </row>
    <row r="445" customFormat="false" ht="15.75" hidden="false" customHeight="true" outlineLevel="0" collapsed="false">
      <c r="A445" s="65" t="n">
        <v>45352</v>
      </c>
      <c r="B445" s="31" t="s">
        <v>7</v>
      </c>
      <c r="C445" s="32"/>
      <c r="D445" s="32"/>
      <c r="E445" s="19" t="n">
        <f aca="false">+F445*0.03</f>
        <v>0</v>
      </c>
      <c r="F445" s="33" t="n">
        <v>0</v>
      </c>
      <c r="G445" s="62"/>
      <c r="H445" s="35" t="n">
        <v>0</v>
      </c>
      <c r="I445" s="34" t="n">
        <f aca="false">+IF(E445=0,0,E445*0.03)</f>
        <v>0</v>
      </c>
    </row>
    <row r="446" customFormat="false" ht="15.75" hidden="false" customHeight="true" outlineLevel="0" collapsed="false">
      <c r="A446" s="65" t="n">
        <v>45352</v>
      </c>
      <c r="B446" s="31" t="s">
        <v>7</v>
      </c>
      <c r="C446" s="32"/>
      <c r="D446" s="32"/>
      <c r="E446" s="19" t="n">
        <f aca="false">+F446*0.03</f>
        <v>0</v>
      </c>
      <c r="F446" s="33" t="n">
        <v>0</v>
      </c>
      <c r="G446" s="62"/>
      <c r="H446" s="35" t="n">
        <v>0</v>
      </c>
      <c r="I446" s="34" t="n">
        <f aca="false">+IF(E446=0,0,E446*0.03)</f>
        <v>0</v>
      </c>
    </row>
    <row r="447" customFormat="false" ht="15.75" hidden="false" customHeight="true" outlineLevel="0" collapsed="false">
      <c r="A447" s="65" t="n">
        <v>45352</v>
      </c>
      <c r="B447" s="31" t="s">
        <v>7</v>
      </c>
      <c r="C447" s="32"/>
      <c r="D447" s="32"/>
      <c r="E447" s="19" t="n">
        <f aca="false">+F447*0.03</f>
        <v>0</v>
      </c>
      <c r="F447" s="33" t="n">
        <v>0</v>
      </c>
      <c r="G447" s="62"/>
      <c r="H447" s="35" t="n">
        <v>0</v>
      </c>
      <c r="I447" s="34" t="n">
        <f aca="false">+IF(E447=0,0,E447*0.03)</f>
        <v>0</v>
      </c>
    </row>
    <row r="448" customFormat="false" ht="15.75" hidden="false" customHeight="true" outlineLevel="0" collapsed="false">
      <c r="A448" s="65" t="n">
        <v>45352</v>
      </c>
      <c r="B448" s="31" t="s">
        <v>7</v>
      </c>
      <c r="C448" s="32"/>
      <c r="D448" s="32"/>
      <c r="E448" s="19" t="n">
        <f aca="false">+F448*0.03</f>
        <v>0</v>
      </c>
      <c r="F448" s="33" t="n">
        <v>0</v>
      </c>
      <c r="G448" s="62"/>
      <c r="H448" s="35" t="n">
        <v>0</v>
      </c>
      <c r="I448" s="34" t="n">
        <f aca="false">+IF(E448=0,0,E448*0.03)</f>
        <v>0</v>
      </c>
    </row>
    <row r="449" customFormat="false" ht="15.75" hidden="false" customHeight="true" outlineLevel="0" collapsed="false">
      <c r="A449" s="65" t="n">
        <v>45352</v>
      </c>
      <c r="B449" s="31" t="s">
        <v>7</v>
      </c>
      <c r="C449" s="32"/>
      <c r="D449" s="32"/>
      <c r="E449" s="19" t="n">
        <f aca="false">+F449*0.03</f>
        <v>0</v>
      </c>
      <c r="F449" s="33" t="n">
        <v>0</v>
      </c>
      <c r="G449" s="62"/>
      <c r="H449" s="35" t="n">
        <v>0</v>
      </c>
      <c r="I449" s="34" t="n">
        <f aca="false">+IF(E449=0,0,E449*0.03)</f>
        <v>0</v>
      </c>
    </row>
    <row r="450" customFormat="false" ht="15.75" hidden="false" customHeight="true" outlineLevel="0" collapsed="false">
      <c r="A450" s="65" t="n">
        <v>45352</v>
      </c>
      <c r="B450" s="31" t="s">
        <v>7</v>
      </c>
      <c r="C450" s="32"/>
      <c r="D450" s="32"/>
      <c r="E450" s="19" t="n">
        <f aca="false">+F450*0.03</f>
        <v>0</v>
      </c>
      <c r="F450" s="33" t="n">
        <v>0</v>
      </c>
      <c r="G450" s="62"/>
      <c r="H450" s="35" t="n">
        <v>0</v>
      </c>
      <c r="I450" s="34" t="n">
        <f aca="false">+IF(E450=0,0,E450*0.03)</f>
        <v>0</v>
      </c>
    </row>
    <row r="451" customFormat="false" ht="15.75" hidden="false" customHeight="true" outlineLevel="0" collapsed="false">
      <c r="A451" s="65" t="n">
        <v>45352</v>
      </c>
      <c r="B451" s="31" t="s">
        <v>7</v>
      </c>
      <c r="C451" s="32"/>
      <c r="D451" s="32"/>
      <c r="E451" s="19" t="n">
        <f aca="false">+F451*0.03</f>
        <v>0</v>
      </c>
      <c r="F451" s="33" t="n">
        <v>0</v>
      </c>
      <c r="G451" s="62"/>
      <c r="H451" s="35" t="n">
        <v>0</v>
      </c>
      <c r="I451" s="34" t="n">
        <f aca="false">+IF(E451=0,0,E451*0.03)</f>
        <v>0</v>
      </c>
    </row>
    <row r="452" customFormat="false" ht="15.75" hidden="false" customHeight="true" outlineLevel="0" collapsed="false">
      <c r="A452" s="65" t="n">
        <v>45352</v>
      </c>
      <c r="B452" s="31" t="s">
        <v>7</v>
      </c>
      <c r="C452" s="32"/>
      <c r="D452" s="32"/>
      <c r="E452" s="19" t="n">
        <f aca="false">+F452*0.03</f>
        <v>0</v>
      </c>
      <c r="F452" s="33" t="n">
        <v>0</v>
      </c>
      <c r="G452" s="62"/>
      <c r="H452" s="35" t="n">
        <v>0</v>
      </c>
      <c r="I452" s="34" t="n">
        <f aca="false">+IF(E452=0,0,E452*0.03)</f>
        <v>0</v>
      </c>
    </row>
    <row r="453" customFormat="false" ht="15.75" hidden="false" customHeight="true" outlineLevel="0" collapsed="false">
      <c r="A453" s="65" t="n">
        <v>45352</v>
      </c>
      <c r="B453" s="31" t="s">
        <v>7</v>
      </c>
      <c r="C453" s="32"/>
      <c r="D453" s="32"/>
      <c r="E453" s="19" t="n">
        <f aca="false">+F453*0.03</f>
        <v>0</v>
      </c>
      <c r="F453" s="33" t="n">
        <v>0</v>
      </c>
      <c r="G453" s="62"/>
      <c r="H453" s="35" t="n">
        <v>0</v>
      </c>
      <c r="I453" s="34" t="n">
        <f aca="false">+IF(E453=0,0,E453*0.03)</f>
        <v>0</v>
      </c>
    </row>
    <row r="454" customFormat="false" ht="15.75" hidden="false" customHeight="true" outlineLevel="0" collapsed="false">
      <c r="A454" s="65" t="n">
        <v>45352</v>
      </c>
      <c r="B454" s="31" t="s">
        <v>7</v>
      </c>
      <c r="C454" s="32"/>
      <c r="D454" s="32"/>
      <c r="E454" s="19" t="n">
        <f aca="false">+F454*0.03</f>
        <v>0</v>
      </c>
      <c r="F454" s="33" t="n">
        <v>0</v>
      </c>
      <c r="G454" s="62"/>
      <c r="H454" s="35" t="n">
        <v>0</v>
      </c>
      <c r="I454" s="34" t="n">
        <f aca="false">+IF(E454=0,0,E454*0.03)</f>
        <v>0</v>
      </c>
    </row>
    <row r="455" customFormat="false" ht="15.75" hidden="false" customHeight="true" outlineLevel="0" collapsed="false">
      <c r="A455" s="65" t="n">
        <v>45352</v>
      </c>
      <c r="B455" s="31" t="s">
        <v>7</v>
      </c>
      <c r="C455" s="32"/>
      <c r="D455" s="32"/>
      <c r="E455" s="19" t="n">
        <f aca="false">+F455*0.03</f>
        <v>0</v>
      </c>
      <c r="F455" s="33" t="n">
        <v>0</v>
      </c>
      <c r="G455" s="62"/>
      <c r="H455" s="35" t="n">
        <v>0</v>
      </c>
      <c r="I455" s="34" t="n">
        <f aca="false">+IF(E455=0,0,E455*0.03)</f>
        <v>0</v>
      </c>
    </row>
    <row r="456" customFormat="false" ht="15.75" hidden="false" customHeight="true" outlineLevel="0" collapsed="false">
      <c r="A456" s="65" t="n">
        <v>45352</v>
      </c>
      <c r="B456" s="31" t="s">
        <v>7</v>
      </c>
      <c r="C456" s="32"/>
      <c r="D456" s="32"/>
      <c r="E456" s="19" t="n">
        <f aca="false">+F456*0.03</f>
        <v>0</v>
      </c>
      <c r="F456" s="33" t="n">
        <v>0</v>
      </c>
      <c r="G456" s="62"/>
      <c r="H456" s="35" t="n">
        <v>0</v>
      </c>
      <c r="I456" s="34" t="n">
        <f aca="false">+IF(E456=0,0,E456*0.03)</f>
        <v>0</v>
      </c>
    </row>
    <row r="457" customFormat="false" ht="15.75" hidden="false" customHeight="true" outlineLevel="0" collapsed="false">
      <c r="A457" s="65" t="n">
        <v>45352</v>
      </c>
      <c r="B457" s="31" t="s">
        <v>7</v>
      </c>
      <c r="C457" s="32"/>
      <c r="D457" s="32"/>
      <c r="E457" s="19" t="n">
        <f aca="false">+F457*0.03</f>
        <v>0</v>
      </c>
      <c r="F457" s="33" t="n">
        <v>0</v>
      </c>
      <c r="G457" s="62"/>
      <c r="H457" s="35" t="n">
        <v>0</v>
      </c>
      <c r="I457" s="34" t="n">
        <f aca="false">+IF(E457=0,0,E457*0.03)</f>
        <v>0</v>
      </c>
    </row>
    <row r="458" customFormat="false" ht="15.75" hidden="false" customHeight="true" outlineLevel="0" collapsed="false">
      <c r="A458" s="65" t="n">
        <v>45352</v>
      </c>
      <c r="B458" s="31" t="s">
        <v>7</v>
      </c>
      <c r="C458" s="32"/>
      <c r="D458" s="32"/>
      <c r="E458" s="19" t="n">
        <f aca="false">+F458*0.03</f>
        <v>0</v>
      </c>
      <c r="F458" s="33" t="n">
        <v>0</v>
      </c>
      <c r="G458" s="62"/>
      <c r="H458" s="35" t="n">
        <v>0</v>
      </c>
      <c r="I458" s="34" t="n">
        <f aca="false">+IF(E458=0,0,E458*0.03)</f>
        <v>0</v>
      </c>
    </row>
    <row r="459" customFormat="false" ht="15.75" hidden="false" customHeight="true" outlineLevel="0" collapsed="false">
      <c r="A459" s="65" t="n">
        <v>45352</v>
      </c>
      <c r="B459" s="31" t="s">
        <v>7</v>
      </c>
      <c r="C459" s="32"/>
      <c r="D459" s="32"/>
      <c r="E459" s="19" t="n">
        <f aca="false">+F459*0.03</f>
        <v>0</v>
      </c>
      <c r="F459" s="33" t="n">
        <v>0</v>
      </c>
      <c r="G459" s="62"/>
      <c r="H459" s="35" t="n">
        <v>0</v>
      </c>
      <c r="I459" s="34" t="n">
        <f aca="false">+IF(E459=0,0,E459*0.03)</f>
        <v>0</v>
      </c>
    </row>
    <row r="460" customFormat="false" ht="15.75" hidden="false" customHeight="true" outlineLevel="0" collapsed="false">
      <c r="A460" s="65" t="n">
        <v>45352</v>
      </c>
      <c r="B460" s="31" t="s">
        <v>7</v>
      </c>
      <c r="C460" s="32"/>
      <c r="D460" s="32"/>
      <c r="E460" s="19" t="n">
        <f aca="false">+F460*0.03</f>
        <v>0</v>
      </c>
      <c r="F460" s="33" t="n">
        <v>0</v>
      </c>
      <c r="G460" s="62"/>
      <c r="H460" s="35" t="n">
        <v>0</v>
      </c>
      <c r="I460" s="34" t="n">
        <f aca="false">+IF(E460=0,0,E460*0.03)</f>
        <v>0</v>
      </c>
    </row>
    <row r="461" customFormat="false" ht="15.75" hidden="false" customHeight="true" outlineLevel="0" collapsed="false">
      <c r="A461" s="65" t="n">
        <v>45352</v>
      </c>
      <c r="B461" s="31" t="s">
        <v>7</v>
      </c>
      <c r="C461" s="32"/>
      <c r="D461" s="32"/>
      <c r="E461" s="19" t="n">
        <f aca="false">+F461*0.03</f>
        <v>0</v>
      </c>
      <c r="F461" s="33" t="n">
        <v>0</v>
      </c>
      <c r="G461" s="62"/>
      <c r="H461" s="35" t="n">
        <v>0</v>
      </c>
      <c r="I461" s="34" t="n">
        <f aca="false">+IF(E461=0,0,E461*0.03)</f>
        <v>0</v>
      </c>
    </row>
    <row r="462" customFormat="false" ht="15.75" hidden="false" customHeight="true" outlineLevel="0" collapsed="false">
      <c r="A462" s="65" t="n">
        <v>45352</v>
      </c>
      <c r="B462" s="31" t="s">
        <v>7</v>
      </c>
      <c r="C462" s="32"/>
      <c r="D462" s="32"/>
      <c r="E462" s="19" t="n">
        <f aca="false">+F462*0.03</f>
        <v>0</v>
      </c>
      <c r="F462" s="33" t="n">
        <v>0</v>
      </c>
      <c r="G462" s="62"/>
      <c r="H462" s="35" t="n">
        <v>0</v>
      </c>
      <c r="I462" s="34" t="n">
        <f aca="false">+IF(E462=0,0,E462*0.03)</f>
        <v>0</v>
      </c>
    </row>
    <row r="463" customFormat="false" ht="15.75" hidden="false" customHeight="true" outlineLevel="0" collapsed="false">
      <c r="A463" s="65" t="n">
        <v>45352</v>
      </c>
      <c r="B463" s="31" t="s">
        <v>7</v>
      </c>
      <c r="C463" s="32"/>
      <c r="D463" s="32"/>
      <c r="E463" s="19" t="n">
        <f aca="false">+F463*0.03</f>
        <v>0</v>
      </c>
      <c r="F463" s="33" t="n">
        <v>0</v>
      </c>
      <c r="G463" s="62"/>
      <c r="H463" s="35" t="n">
        <v>0</v>
      </c>
      <c r="I463" s="34" t="n">
        <f aca="false">+IF(E463=0,0,E463*0.03)</f>
        <v>0</v>
      </c>
    </row>
    <row r="464" customFormat="false" ht="15.75" hidden="false" customHeight="true" outlineLevel="0" collapsed="false">
      <c r="A464" s="65" t="n">
        <v>45352</v>
      </c>
      <c r="B464" s="31" t="s">
        <v>7</v>
      </c>
      <c r="C464" s="32"/>
      <c r="D464" s="32"/>
      <c r="E464" s="19" t="n">
        <f aca="false">+F464*0.03</f>
        <v>0</v>
      </c>
      <c r="F464" s="33" t="n">
        <v>0</v>
      </c>
      <c r="G464" s="62"/>
      <c r="H464" s="35" t="n">
        <v>0</v>
      </c>
      <c r="I464" s="34" t="n">
        <f aca="false">+IF(E464=0,0,E464*0.03)</f>
        <v>0</v>
      </c>
    </row>
    <row r="465" customFormat="false" ht="15.75" hidden="false" customHeight="true" outlineLevel="0" collapsed="false">
      <c r="A465" s="65" t="n">
        <v>45352</v>
      </c>
      <c r="B465" s="31" t="s">
        <v>7</v>
      </c>
      <c r="C465" s="32"/>
      <c r="D465" s="32"/>
      <c r="E465" s="19" t="n">
        <f aca="false">+F465*0.03</f>
        <v>0</v>
      </c>
      <c r="F465" s="33" t="n">
        <v>0</v>
      </c>
      <c r="G465" s="62"/>
      <c r="H465" s="35" t="n">
        <v>0</v>
      </c>
      <c r="I465" s="34" t="n">
        <f aca="false">+IF(E465=0,0,E465*0.03)</f>
        <v>0</v>
      </c>
    </row>
    <row r="466" customFormat="false" ht="15.75" hidden="false" customHeight="true" outlineLevel="0" collapsed="false">
      <c r="A466" s="65" t="n">
        <v>45352</v>
      </c>
      <c r="B466" s="31" t="s">
        <v>7</v>
      </c>
      <c r="C466" s="32"/>
      <c r="D466" s="32"/>
      <c r="E466" s="19" t="n">
        <f aca="false">+F466*0.03</f>
        <v>0</v>
      </c>
      <c r="F466" s="33" t="n">
        <v>0</v>
      </c>
      <c r="G466" s="62"/>
      <c r="H466" s="35" t="n">
        <v>0</v>
      </c>
      <c r="I466" s="34" t="n">
        <f aca="false">+IF(E466=0,0,E466*0.03)</f>
        <v>0</v>
      </c>
    </row>
    <row r="467" customFormat="false" ht="15.75" hidden="false" customHeight="true" outlineLevel="0" collapsed="false">
      <c r="A467" s="65" t="n">
        <v>45352</v>
      </c>
      <c r="B467" s="31" t="s">
        <v>7</v>
      </c>
      <c r="C467" s="32"/>
      <c r="D467" s="32"/>
      <c r="E467" s="19" t="n">
        <f aca="false">+F467*0.03</f>
        <v>0</v>
      </c>
      <c r="F467" s="33" t="n">
        <v>0</v>
      </c>
      <c r="G467" s="62"/>
      <c r="H467" s="35" t="n">
        <v>0</v>
      </c>
      <c r="I467" s="34" t="n">
        <f aca="false">+IF(E467=0,0,E467*0.03)</f>
        <v>0</v>
      </c>
    </row>
    <row r="468" customFormat="false" ht="15.75" hidden="false" customHeight="true" outlineLevel="0" collapsed="false">
      <c r="A468" s="65" t="n">
        <v>45352</v>
      </c>
      <c r="B468" s="31" t="s">
        <v>7</v>
      </c>
      <c r="C468" s="32"/>
      <c r="D468" s="32"/>
      <c r="E468" s="19" t="n">
        <f aca="false">+F468*0.03</f>
        <v>0</v>
      </c>
      <c r="F468" s="33" t="n">
        <v>0</v>
      </c>
      <c r="G468" s="62"/>
      <c r="H468" s="35" t="n">
        <v>0</v>
      </c>
      <c r="I468" s="34" t="n">
        <f aca="false">+IF(E468=0,0,E468*0.03)</f>
        <v>0</v>
      </c>
    </row>
    <row r="469" customFormat="false" ht="15.75" hidden="false" customHeight="true" outlineLevel="0" collapsed="false">
      <c r="A469" s="65" t="n">
        <v>45352</v>
      </c>
      <c r="B469" s="31" t="s">
        <v>7</v>
      </c>
      <c r="C469" s="32"/>
      <c r="D469" s="32"/>
      <c r="E469" s="19" t="n">
        <f aca="false">+F469*0.03</f>
        <v>0</v>
      </c>
      <c r="F469" s="33" t="n">
        <v>0</v>
      </c>
      <c r="G469" s="62"/>
      <c r="H469" s="35" t="n">
        <v>0</v>
      </c>
      <c r="I469" s="34" t="n">
        <f aca="false">+IF(E469=0,0,E469*0.03)</f>
        <v>0</v>
      </c>
    </row>
    <row r="470" customFormat="false" ht="15.75" hidden="false" customHeight="true" outlineLevel="0" collapsed="false">
      <c r="A470" s="65" t="n">
        <v>45352</v>
      </c>
      <c r="B470" s="31" t="s">
        <v>7</v>
      </c>
      <c r="C470" s="32"/>
      <c r="D470" s="32"/>
      <c r="E470" s="19" t="n">
        <f aca="false">+F470*0.03</f>
        <v>0</v>
      </c>
      <c r="F470" s="33" t="n">
        <v>0</v>
      </c>
      <c r="G470" s="62"/>
      <c r="H470" s="35" t="n">
        <v>0</v>
      </c>
      <c r="I470" s="34" t="n">
        <f aca="false">+IF(E470=0,0,E470*0.03)</f>
        <v>0</v>
      </c>
    </row>
    <row r="471" customFormat="false" ht="15.75" hidden="false" customHeight="true" outlineLevel="0" collapsed="false">
      <c r="A471" s="65" t="n">
        <v>45352</v>
      </c>
      <c r="B471" s="31" t="s">
        <v>7</v>
      </c>
      <c r="C471" s="32"/>
      <c r="D471" s="32"/>
      <c r="E471" s="19" t="n">
        <f aca="false">+F471*0.03</f>
        <v>0</v>
      </c>
      <c r="F471" s="33" t="n">
        <v>0</v>
      </c>
      <c r="G471" s="62"/>
      <c r="H471" s="35" t="n">
        <v>0</v>
      </c>
      <c r="I471" s="34" t="n">
        <f aca="false">+IF(E471=0,0,E471*0.03)</f>
        <v>0</v>
      </c>
    </row>
    <row r="472" customFormat="false" ht="15.75" hidden="false" customHeight="true" outlineLevel="0" collapsed="false">
      <c r="A472" s="65" t="n">
        <v>45352</v>
      </c>
      <c r="B472" s="31" t="s">
        <v>7</v>
      </c>
      <c r="C472" s="32"/>
      <c r="D472" s="32"/>
      <c r="E472" s="19" t="n">
        <f aca="false">+F472*0.03</f>
        <v>0</v>
      </c>
      <c r="F472" s="33" t="n">
        <v>0</v>
      </c>
      <c r="G472" s="62"/>
      <c r="H472" s="35" t="n">
        <v>0</v>
      </c>
      <c r="I472" s="34" t="n">
        <f aca="false">+IF(E472=0,0,E472*0.03)</f>
        <v>0</v>
      </c>
    </row>
    <row r="473" customFormat="false" ht="15.75" hidden="false" customHeight="true" outlineLevel="0" collapsed="false">
      <c r="A473" s="65" t="n">
        <v>45352</v>
      </c>
      <c r="B473" s="31" t="s">
        <v>7</v>
      </c>
      <c r="C473" s="32"/>
      <c r="D473" s="32"/>
      <c r="E473" s="19" t="n">
        <f aca="false">+F473*0.03</f>
        <v>0</v>
      </c>
      <c r="F473" s="33" t="n">
        <v>0</v>
      </c>
      <c r="G473" s="62"/>
      <c r="H473" s="35" t="n">
        <v>0</v>
      </c>
      <c r="I473" s="34" t="n">
        <f aca="false">+IF(E473=0,0,E473*0.03)</f>
        <v>0</v>
      </c>
    </row>
    <row r="474" customFormat="false" ht="15.75" hidden="false" customHeight="true" outlineLevel="0" collapsed="false">
      <c r="A474" s="65" t="n">
        <v>45352</v>
      </c>
      <c r="B474" s="31" t="s">
        <v>7</v>
      </c>
      <c r="C474" s="32"/>
      <c r="D474" s="32"/>
      <c r="E474" s="19" t="n">
        <f aca="false">+F474*0.03</f>
        <v>0</v>
      </c>
      <c r="F474" s="33" t="n">
        <v>0</v>
      </c>
      <c r="G474" s="62"/>
      <c r="H474" s="35" t="n">
        <v>0</v>
      </c>
      <c r="I474" s="34" t="n">
        <f aca="false">+IF(E474=0,0,E474*0.03)</f>
        <v>0</v>
      </c>
    </row>
    <row r="475" customFormat="false" ht="15.75" hidden="false" customHeight="true" outlineLevel="0" collapsed="false">
      <c r="A475" s="65" t="n">
        <v>45352</v>
      </c>
      <c r="B475" s="31" t="s">
        <v>7</v>
      </c>
      <c r="C475" s="32"/>
      <c r="D475" s="32"/>
      <c r="E475" s="19" t="n">
        <f aca="false">+F475*0.03</f>
        <v>0</v>
      </c>
      <c r="F475" s="33" t="n">
        <v>0</v>
      </c>
      <c r="G475" s="62"/>
      <c r="H475" s="35" t="n">
        <v>0</v>
      </c>
      <c r="I475" s="34" t="n">
        <f aca="false">+IF(E475=0,0,E475*0.03)</f>
        <v>0</v>
      </c>
    </row>
    <row r="476" customFormat="false" ht="15.75" hidden="false" customHeight="true" outlineLevel="0" collapsed="false">
      <c r="A476" s="65" t="n">
        <v>45352</v>
      </c>
      <c r="B476" s="31" t="s">
        <v>7</v>
      </c>
      <c r="C476" s="32"/>
      <c r="D476" s="32"/>
      <c r="E476" s="19" t="n">
        <f aca="false">+F476*0.03</f>
        <v>0</v>
      </c>
      <c r="F476" s="33" t="n">
        <v>0</v>
      </c>
      <c r="G476" s="62"/>
      <c r="H476" s="35" t="n">
        <v>0</v>
      </c>
      <c r="I476" s="34" t="n">
        <f aca="false">+IF(E476=0,0,E476*0.03)</f>
        <v>0</v>
      </c>
    </row>
    <row r="477" customFormat="false" ht="15.75" hidden="false" customHeight="true" outlineLevel="0" collapsed="false">
      <c r="A477" s="65" t="n">
        <v>45352</v>
      </c>
      <c r="B477" s="31" t="s">
        <v>7</v>
      </c>
      <c r="C477" s="32"/>
      <c r="D477" s="32"/>
      <c r="E477" s="19" t="n">
        <f aca="false">+F477*0.03</f>
        <v>0</v>
      </c>
      <c r="F477" s="33" t="n">
        <v>0</v>
      </c>
      <c r="G477" s="62"/>
      <c r="H477" s="35" t="n">
        <v>0</v>
      </c>
      <c r="I477" s="34" t="n">
        <f aca="false">+IF(E477=0,0,E477*0.03)</f>
        <v>0</v>
      </c>
    </row>
    <row r="478" customFormat="false" ht="15.75" hidden="false" customHeight="true" outlineLevel="0" collapsed="false">
      <c r="A478" s="65" t="n">
        <v>45352</v>
      </c>
      <c r="B478" s="31" t="s">
        <v>7</v>
      </c>
      <c r="C478" s="32"/>
      <c r="D478" s="32"/>
      <c r="E478" s="19" t="n">
        <f aca="false">+F478*0.03</f>
        <v>0</v>
      </c>
      <c r="F478" s="33" t="n">
        <v>0</v>
      </c>
      <c r="G478" s="62"/>
      <c r="H478" s="35" t="n">
        <v>0</v>
      </c>
      <c r="I478" s="34" t="n">
        <f aca="false">+IF(E478=0,0,E478*0.03)</f>
        <v>0</v>
      </c>
    </row>
    <row r="479" customFormat="false" ht="15.75" hidden="false" customHeight="true" outlineLevel="0" collapsed="false">
      <c r="A479" s="65" t="n">
        <v>45352</v>
      </c>
      <c r="B479" s="31" t="s">
        <v>7</v>
      </c>
      <c r="C479" s="32"/>
      <c r="D479" s="32"/>
      <c r="E479" s="19" t="n">
        <f aca="false">+F479*0.03</f>
        <v>0</v>
      </c>
      <c r="F479" s="33" t="n">
        <v>0</v>
      </c>
      <c r="G479" s="62"/>
      <c r="H479" s="35" t="n">
        <v>0</v>
      </c>
      <c r="I479" s="34" t="n">
        <f aca="false">+IF(E479=0,0,E479*0.03)</f>
        <v>0</v>
      </c>
    </row>
    <row r="480" customFormat="false" ht="15.75" hidden="false" customHeight="true" outlineLevel="0" collapsed="false">
      <c r="A480" s="65" t="n">
        <v>45352</v>
      </c>
      <c r="B480" s="31" t="s">
        <v>7</v>
      </c>
      <c r="C480" s="32"/>
      <c r="D480" s="32"/>
      <c r="E480" s="19" t="n">
        <f aca="false">+F480*0.03</f>
        <v>0</v>
      </c>
      <c r="F480" s="33" t="n">
        <v>0</v>
      </c>
      <c r="G480" s="62"/>
      <c r="H480" s="35" t="n">
        <v>0</v>
      </c>
      <c r="I480" s="34" t="n">
        <f aca="false">+IF(E480=0,0,E480*0.03)</f>
        <v>0</v>
      </c>
    </row>
    <row r="481" customFormat="false" ht="15.75" hidden="false" customHeight="true" outlineLevel="0" collapsed="false">
      <c r="A481" s="65" t="n">
        <v>45352</v>
      </c>
      <c r="B481" s="31" t="s">
        <v>7</v>
      </c>
      <c r="C481" s="32"/>
      <c r="D481" s="32"/>
      <c r="E481" s="19" t="n">
        <f aca="false">+F481*0.03</f>
        <v>0</v>
      </c>
      <c r="F481" s="33" t="n">
        <v>0</v>
      </c>
      <c r="G481" s="62"/>
      <c r="H481" s="35" t="n">
        <v>0</v>
      </c>
      <c r="I481" s="34" t="n">
        <f aca="false">+IF(E481=0,0,E481*0.03)</f>
        <v>0</v>
      </c>
    </row>
    <row r="482" customFormat="false" ht="15.75" hidden="false" customHeight="true" outlineLevel="0" collapsed="false">
      <c r="A482" s="65" t="n">
        <v>45352</v>
      </c>
      <c r="B482" s="31" t="s">
        <v>7</v>
      </c>
      <c r="C482" s="32"/>
      <c r="D482" s="32"/>
      <c r="E482" s="19" t="n">
        <f aca="false">+F482*0.03</f>
        <v>0</v>
      </c>
      <c r="F482" s="33" t="n">
        <v>0</v>
      </c>
      <c r="G482" s="62"/>
      <c r="H482" s="35" t="n">
        <v>0</v>
      </c>
      <c r="I482" s="34" t="n">
        <f aca="false">+IF(E482=0,0,E482*0.03)</f>
        <v>0</v>
      </c>
    </row>
    <row r="483" customFormat="false" ht="15.75" hidden="false" customHeight="true" outlineLevel="0" collapsed="false">
      <c r="A483" s="65" t="n">
        <v>45352</v>
      </c>
      <c r="B483" s="31" t="s">
        <v>7</v>
      </c>
      <c r="C483" s="32"/>
      <c r="D483" s="32"/>
      <c r="E483" s="19" t="n">
        <f aca="false">+F483*0.03</f>
        <v>0</v>
      </c>
      <c r="F483" s="33" t="n">
        <v>0</v>
      </c>
      <c r="G483" s="62"/>
      <c r="H483" s="35" t="n">
        <v>0</v>
      </c>
      <c r="I483" s="34" t="n">
        <f aca="false">+IF(E483=0,0,E483*0.03)</f>
        <v>0</v>
      </c>
    </row>
    <row r="484" customFormat="false" ht="15.75" hidden="false" customHeight="true" outlineLevel="0" collapsed="false">
      <c r="A484" s="65" t="n">
        <v>45352</v>
      </c>
      <c r="B484" s="31" t="s">
        <v>7</v>
      </c>
      <c r="C484" s="32"/>
      <c r="D484" s="32"/>
      <c r="E484" s="19" t="n">
        <f aca="false">+F484*0.03</f>
        <v>0</v>
      </c>
      <c r="F484" s="33" t="n">
        <v>0</v>
      </c>
      <c r="G484" s="62"/>
      <c r="H484" s="35" t="n">
        <v>0</v>
      </c>
      <c r="I484" s="34" t="n">
        <f aca="false">+IF(E484=0,0,E484*0.03)</f>
        <v>0</v>
      </c>
    </row>
    <row r="485" customFormat="false" ht="15.75" hidden="false" customHeight="true" outlineLevel="0" collapsed="false">
      <c r="A485" s="65" t="n">
        <v>45352</v>
      </c>
      <c r="B485" s="31" t="s">
        <v>7</v>
      </c>
      <c r="C485" s="32"/>
      <c r="D485" s="32"/>
      <c r="E485" s="19" t="n">
        <f aca="false">+F485*0.03</f>
        <v>0</v>
      </c>
      <c r="F485" s="33" t="n">
        <v>0</v>
      </c>
      <c r="G485" s="62"/>
      <c r="H485" s="35" t="n">
        <v>0</v>
      </c>
      <c r="I485" s="34" t="n">
        <f aca="false">+IF(E485=0,0,E485*0.03)</f>
        <v>0</v>
      </c>
    </row>
    <row r="486" customFormat="false" ht="15.75" hidden="false" customHeight="true" outlineLevel="0" collapsed="false">
      <c r="A486" s="65" t="n">
        <v>45352</v>
      </c>
      <c r="B486" s="31" t="s">
        <v>7</v>
      </c>
      <c r="C486" s="32"/>
      <c r="D486" s="32"/>
      <c r="E486" s="19" t="n">
        <f aca="false">+F486*0.03</f>
        <v>0</v>
      </c>
      <c r="F486" s="33" t="n">
        <v>0</v>
      </c>
      <c r="G486" s="62"/>
      <c r="H486" s="35" t="n">
        <v>0</v>
      </c>
      <c r="I486" s="34" t="n">
        <f aca="false">+IF(E486=0,0,E486*0.03)</f>
        <v>0</v>
      </c>
    </row>
    <row r="487" customFormat="false" ht="15.75" hidden="false" customHeight="true" outlineLevel="0" collapsed="false">
      <c r="A487" s="65" t="n">
        <v>45352</v>
      </c>
      <c r="B487" s="31" t="s">
        <v>7</v>
      </c>
      <c r="C487" s="32"/>
      <c r="D487" s="32"/>
      <c r="E487" s="19" t="n">
        <f aca="false">+F487*0.03</f>
        <v>0</v>
      </c>
      <c r="F487" s="33" t="n">
        <v>0</v>
      </c>
      <c r="G487" s="62"/>
      <c r="H487" s="35" t="n">
        <v>0</v>
      </c>
      <c r="I487" s="34" t="n">
        <f aca="false">+IF(E487=0,0,E487*0.03)</f>
        <v>0</v>
      </c>
    </row>
    <row r="488" customFormat="false" ht="15.75" hidden="false" customHeight="true" outlineLevel="0" collapsed="false">
      <c r="A488" s="65" t="n">
        <v>45352</v>
      </c>
      <c r="B488" s="31" t="s">
        <v>7</v>
      </c>
      <c r="C488" s="32"/>
      <c r="D488" s="32"/>
      <c r="E488" s="19" t="n">
        <f aca="false">+F488*0.03</f>
        <v>0</v>
      </c>
      <c r="F488" s="33" t="n">
        <v>0</v>
      </c>
      <c r="G488" s="62"/>
      <c r="H488" s="35" t="n">
        <v>0</v>
      </c>
      <c r="I488" s="34" t="n">
        <f aca="false">+IF(E488=0,0,E488*0.03)</f>
        <v>0</v>
      </c>
    </row>
    <row r="489" customFormat="false" ht="15.75" hidden="false" customHeight="true" outlineLevel="0" collapsed="false">
      <c r="A489" s="65" t="n">
        <v>45352</v>
      </c>
      <c r="B489" s="31" t="s">
        <v>7</v>
      </c>
      <c r="C489" s="32"/>
      <c r="D489" s="32"/>
      <c r="E489" s="19" t="n">
        <f aca="false">+F489*0.03</f>
        <v>0</v>
      </c>
      <c r="F489" s="33" t="n">
        <v>0</v>
      </c>
      <c r="G489" s="62"/>
      <c r="H489" s="35" t="n">
        <v>0</v>
      </c>
      <c r="I489" s="34" t="n">
        <f aca="false">+IF(E489=0,0,E489*0.03)</f>
        <v>0</v>
      </c>
    </row>
    <row r="490" customFormat="false" ht="15.75" hidden="false" customHeight="true" outlineLevel="0" collapsed="false">
      <c r="A490" s="65" t="n">
        <v>45352</v>
      </c>
      <c r="B490" s="31" t="s">
        <v>7</v>
      </c>
      <c r="C490" s="32"/>
      <c r="D490" s="32"/>
      <c r="E490" s="19" t="n">
        <f aca="false">+F490*0.03</f>
        <v>0</v>
      </c>
      <c r="F490" s="33" t="n">
        <v>0</v>
      </c>
      <c r="G490" s="62"/>
      <c r="H490" s="35" t="n">
        <v>0</v>
      </c>
      <c r="I490" s="34" t="n">
        <f aca="false">+IF(E490=0,0,E490*0.03)</f>
        <v>0</v>
      </c>
    </row>
    <row r="491" customFormat="false" ht="15.75" hidden="false" customHeight="true" outlineLevel="0" collapsed="false">
      <c r="A491" s="65" t="n">
        <v>45352</v>
      </c>
      <c r="B491" s="31" t="s">
        <v>7</v>
      </c>
      <c r="C491" s="32"/>
      <c r="D491" s="32"/>
      <c r="E491" s="19" t="n">
        <f aca="false">+F491*0.03</f>
        <v>0</v>
      </c>
      <c r="F491" s="33" t="n">
        <v>0</v>
      </c>
      <c r="G491" s="62"/>
      <c r="H491" s="35" t="n">
        <v>0</v>
      </c>
      <c r="I491" s="34" t="n">
        <f aca="false">+IF(E491=0,0,E491*0.03)</f>
        <v>0</v>
      </c>
    </row>
    <row r="492" customFormat="false" ht="15.75" hidden="false" customHeight="true" outlineLevel="0" collapsed="false">
      <c r="A492" s="65" t="n">
        <v>45352</v>
      </c>
      <c r="B492" s="31" t="s">
        <v>7</v>
      </c>
      <c r="C492" s="32"/>
      <c r="D492" s="32"/>
      <c r="E492" s="19" t="n">
        <f aca="false">+F492*0.03</f>
        <v>0</v>
      </c>
      <c r="F492" s="33" t="n">
        <v>0</v>
      </c>
      <c r="G492" s="62"/>
      <c r="H492" s="35" t="n">
        <v>0</v>
      </c>
      <c r="I492" s="34" t="n">
        <f aca="false">+IF(E492=0,0,E492*0.03)</f>
        <v>0</v>
      </c>
    </row>
    <row r="493" customFormat="false" ht="15.75" hidden="false" customHeight="true" outlineLevel="0" collapsed="false">
      <c r="A493" s="65" t="n">
        <v>45352</v>
      </c>
      <c r="B493" s="31" t="s">
        <v>7</v>
      </c>
      <c r="C493" s="32"/>
      <c r="D493" s="32"/>
      <c r="E493" s="19" t="n">
        <f aca="false">+F493*0.03</f>
        <v>0</v>
      </c>
      <c r="F493" s="33" t="n">
        <v>0</v>
      </c>
      <c r="G493" s="62"/>
      <c r="H493" s="35" t="n">
        <v>0</v>
      </c>
      <c r="I493" s="34" t="n">
        <f aca="false">+IF(E493=0,0,E493*0.03)</f>
        <v>0</v>
      </c>
    </row>
    <row r="494" customFormat="false" ht="15.75" hidden="false" customHeight="true" outlineLevel="0" collapsed="false">
      <c r="A494" s="65" t="n">
        <v>45352</v>
      </c>
      <c r="B494" s="31" t="s">
        <v>7</v>
      </c>
      <c r="C494" s="32"/>
      <c r="D494" s="32"/>
      <c r="E494" s="19" t="n">
        <f aca="false">+F494*0.03</f>
        <v>0</v>
      </c>
      <c r="F494" s="33" t="n">
        <v>0</v>
      </c>
      <c r="G494" s="62"/>
      <c r="H494" s="35" t="n">
        <v>0</v>
      </c>
      <c r="I494" s="34" t="n">
        <f aca="false">+IF(E494=0,0,E494*0.03)</f>
        <v>0</v>
      </c>
    </row>
    <row r="495" customFormat="false" ht="15.75" hidden="false" customHeight="true" outlineLevel="0" collapsed="false">
      <c r="A495" s="65" t="n">
        <v>45352</v>
      </c>
      <c r="B495" s="31" t="s">
        <v>7</v>
      </c>
      <c r="C495" s="32"/>
      <c r="D495" s="32"/>
      <c r="E495" s="19" t="n">
        <f aca="false">+F495*0.03</f>
        <v>0</v>
      </c>
      <c r="F495" s="33" t="n">
        <v>0</v>
      </c>
      <c r="G495" s="62"/>
      <c r="H495" s="35" t="n">
        <v>0</v>
      </c>
      <c r="I495" s="34" t="n">
        <f aca="false">+IF(E495=0,0,E495*0.03)</f>
        <v>0</v>
      </c>
    </row>
    <row r="496" customFormat="false" ht="15.75" hidden="false" customHeight="true" outlineLevel="0" collapsed="false">
      <c r="A496" s="65" t="n">
        <v>45352</v>
      </c>
      <c r="B496" s="31" t="s">
        <v>7</v>
      </c>
      <c r="C496" s="32"/>
      <c r="D496" s="32"/>
      <c r="E496" s="19" t="n">
        <f aca="false">+F496*0.03</f>
        <v>0</v>
      </c>
      <c r="F496" s="33" t="n">
        <v>0</v>
      </c>
      <c r="G496" s="62"/>
      <c r="H496" s="35" t="n">
        <v>0</v>
      </c>
      <c r="I496" s="34" t="n">
        <f aca="false">+IF(E496=0,0,E496*0.03)</f>
        <v>0</v>
      </c>
    </row>
    <row r="497" customFormat="false" ht="15.75" hidden="false" customHeight="true" outlineLevel="0" collapsed="false">
      <c r="A497" s="65" t="n">
        <v>45352</v>
      </c>
      <c r="B497" s="31" t="s">
        <v>7</v>
      </c>
      <c r="C497" s="32"/>
      <c r="D497" s="32"/>
      <c r="E497" s="19" t="n">
        <f aca="false">+F497*0.03</f>
        <v>0</v>
      </c>
      <c r="F497" s="33" t="n">
        <v>0</v>
      </c>
      <c r="G497" s="62"/>
      <c r="H497" s="35" t="n">
        <v>0</v>
      </c>
      <c r="I497" s="34" t="n">
        <f aca="false">+IF(E497=0,0,E497*0.03)</f>
        <v>0</v>
      </c>
    </row>
    <row r="498" customFormat="false" ht="15.75" hidden="false" customHeight="true" outlineLevel="0" collapsed="false">
      <c r="A498" s="65" t="n">
        <v>45352</v>
      </c>
      <c r="B498" s="31" t="s">
        <v>7</v>
      </c>
      <c r="C498" s="32"/>
      <c r="D498" s="32"/>
      <c r="E498" s="19" t="n">
        <f aca="false">+F498*0.03</f>
        <v>0</v>
      </c>
      <c r="F498" s="33" t="n">
        <v>0</v>
      </c>
      <c r="G498" s="62"/>
      <c r="H498" s="35" t="n">
        <v>0</v>
      </c>
      <c r="I498" s="34" t="n">
        <f aca="false">+IF(E498=0,0,E498*0.03)</f>
        <v>0</v>
      </c>
    </row>
    <row r="499" customFormat="false" ht="15.75" hidden="false" customHeight="true" outlineLevel="0" collapsed="false">
      <c r="A499" s="65" t="n">
        <v>45352</v>
      </c>
      <c r="B499" s="31" t="s">
        <v>7</v>
      </c>
      <c r="C499" s="32"/>
      <c r="D499" s="32"/>
      <c r="E499" s="19" t="n">
        <f aca="false">+F499*0.03</f>
        <v>0</v>
      </c>
      <c r="F499" s="33" t="n">
        <v>0</v>
      </c>
      <c r="G499" s="62"/>
      <c r="H499" s="35" t="n">
        <v>0</v>
      </c>
      <c r="I499" s="34" t="n">
        <f aca="false">+IF(E499=0,0,E499*0.03)</f>
        <v>0</v>
      </c>
    </row>
    <row r="500" customFormat="false" ht="15.75" hidden="false" customHeight="true" outlineLevel="0" collapsed="false">
      <c r="A500" s="65" t="n">
        <v>45352</v>
      </c>
      <c r="B500" s="31" t="s">
        <v>7</v>
      </c>
      <c r="C500" s="32"/>
      <c r="D500" s="32"/>
      <c r="E500" s="19" t="n">
        <f aca="false">+F500*0.03</f>
        <v>0</v>
      </c>
      <c r="F500" s="33" t="n">
        <v>0</v>
      </c>
      <c r="G500" s="62"/>
      <c r="H500" s="35" t="n">
        <v>0</v>
      </c>
      <c r="I500" s="34" t="n">
        <f aca="false">+IF(E500=0,0,E500*0.03)</f>
        <v>0</v>
      </c>
    </row>
    <row r="501" customFormat="false" ht="15.75" hidden="false" customHeight="true" outlineLevel="0" collapsed="false">
      <c r="A501" s="65" t="n">
        <v>45352</v>
      </c>
      <c r="B501" s="31" t="s">
        <v>7</v>
      </c>
      <c r="C501" s="32"/>
      <c r="D501" s="32"/>
      <c r="E501" s="19" t="n">
        <f aca="false">+F501*0.03</f>
        <v>0</v>
      </c>
      <c r="F501" s="33" t="n">
        <v>0</v>
      </c>
      <c r="G501" s="62"/>
      <c r="H501" s="35" t="n">
        <v>0</v>
      </c>
      <c r="I501" s="34" t="n">
        <f aca="false">+IF(E501=0,0,E501*0.03)</f>
        <v>0</v>
      </c>
    </row>
    <row r="502" customFormat="false" ht="15.75" hidden="false" customHeight="true" outlineLevel="0" collapsed="false">
      <c r="A502" s="65" t="n">
        <v>45352</v>
      </c>
      <c r="B502" s="31" t="s">
        <v>7</v>
      </c>
      <c r="C502" s="32"/>
      <c r="D502" s="32"/>
      <c r="E502" s="19" t="n">
        <f aca="false">+F502*0.03</f>
        <v>0</v>
      </c>
      <c r="F502" s="33" t="n">
        <v>0</v>
      </c>
      <c r="G502" s="62"/>
      <c r="H502" s="35" t="n">
        <v>0</v>
      </c>
      <c r="I502" s="34" t="n">
        <f aca="false">+IF(E502=0,0,E502*0.03)</f>
        <v>0</v>
      </c>
    </row>
    <row r="503" customFormat="false" ht="15.75" hidden="false" customHeight="true" outlineLevel="0" collapsed="false">
      <c r="A503" s="65" t="n">
        <v>45352</v>
      </c>
      <c r="B503" s="31" t="s">
        <v>7</v>
      </c>
      <c r="C503" s="32"/>
      <c r="D503" s="32"/>
      <c r="E503" s="19" t="n">
        <f aca="false">+F503*0.03</f>
        <v>0</v>
      </c>
      <c r="F503" s="33" t="n">
        <v>0</v>
      </c>
      <c r="G503" s="62"/>
      <c r="H503" s="35" t="n">
        <v>0</v>
      </c>
      <c r="I503" s="34" t="n">
        <f aca="false">+IF(E503=0,0,E503*0.03)</f>
        <v>0</v>
      </c>
    </row>
    <row r="504" customFormat="false" ht="15.75" hidden="false" customHeight="true" outlineLevel="0" collapsed="false">
      <c r="A504" s="65" t="n">
        <v>45352</v>
      </c>
      <c r="B504" s="31" t="s">
        <v>7</v>
      </c>
      <c r="C504" s="32"/>
      <c r="D504" s="32"/>
      <c r="E504" s="19" t="n">
        <f aca="false">+F504*0.03</f>
        <v>0</v>
      </c>
      <c r="F504" s="33" t="n">
        <v>0</v>
      </c>
      <c r="G504" s="62"/>
      <c r="H504" s="35" t="n">
        <v>0</v>
      </c>
      <c r="I504" s="34" t="n">
        <f aca="false">+IF(E504=0,0,E504*0.03)</f>
        <v>0</v>
      </c>
    </row>
    <row r="505" customFormat="false" ht="15.75" hidden="false" customHeight="true" outlineLevel="0" collapsed="false">
      <c r="A505" s="65" t="n">
        <v>45352</v>
      </c>
      <c r="B505" s="31" t="s">
        <v>7</v>
      </c>
      <c r="C505" s="32"/>
      <c r="D505" s="32"/>
      <c r="E505" s="19" t="n">
        <f aca="false">+F505*0.03</f>
        <v>0</v>
      </c>
      <c r="F505" s="33" t="n">
        <v>0</v>
      </c>
      <c r="G505" s="62"/>
      <c r="H505" s="35" t="n">
        <v>0</v>
      </c>
      <c r="I505" s="34" t="n">
        <f aca="false">+IF(E505=0,0,E505*0.03)</f>
        <v>0</v>
      </c>
    </row>
    <row r="506" customFormat="false" ht="15.75" hidden="false" customHeight="true" outlineLevel="0" collapsed="false">
      <c r="A506" s="65" t="n">
        <v>45352</v>
      </c>
      <c r="B506" s="31" t="s">
        <v>7</v>
      </c>
      <c r="C506" s="32"/>
      <c r="D506" s="32"/>
      <c r="E506" s="19" t="n">
        <f aca="false">+F506*0.03</f>
        <v>0</v>
      </c>
      <c r="F506" s="33" t="n">
        <v>0</v>
      </c>
      <c r="G506" s="62"/>
      <c r="H506" s="35" t="n">
        <v>0</v>
      </c>
      <c r="I506" s="34" t="n">
        <f aca="false">+IF(E506=0,0,E506*0.03)</f>
        <v>0</v>
      </c>
    </row>
    <row r="507" customFormat="false" ht="15.75" hidden="false" customHeight="true" outlineLevel="0" collapsed="false">
      <c r="A507" s="65" t="n">
        <v>45352</v>
      </c>
      <c r="B507" s="31" t="s">
        <v>7</v>
      </c>
      <c r="C507" s="32"/>
      <c r="D507" s="32"/>
      <c r="E507" s="19" t="n">
        <f aca="false">+F507*0.03</f>
        <v>0</v>
      </c>
      <c r="F507" s="33" t="n">
        <v>0</v>
      </c>
      <c r="G507" s="62"/>
      <c r="H507" s="35" t="n">
        <v>0</v>
      </c>
      <c r="I507" s="34" t="n">
        <f aca="false">+IF(E507=0,0,E507*0.03)</f>
        <v>0</v>
      </c>
    </row>
    <row r="508" customFormat="false" ht="15.75" hidden="false" customHeight="true" outlineLevel="0" collapsed="false">
      <c r="A508" s="65" t="n">
        <v>45352</v>
      </c>
      <c r="B508" s="31" t="s">
        <v>7</v>
      </c>
      <c r="C508" s="32"/>
      <c r="D508" s="32"/>
      <c r="E508" s="19" t="n">
        <f aca="false">+F508*0.03</f>
        <v>0</v>
      </c>
      <c r="F508" s="33" t="n">
        <v>0</v>
      </c>
      <c r="G508" s="62"/>
      <c r="H508" s="35" t="n">
        <v>0</v>
      </c>
      <c r="I508" s="34" t="n">
        <f aca="false">+IF(E508=0,0,E508*0.03)</f>
        <v>0</v>
      </c>
    </row>
    <row r="509" customFormat="false" ht="15.75" hidden="false" customHeight="true" outlineLevel="0" collapsed="false">
      <c r="A509" s="65" t="n">
        <v>45352</v>
      </c>
      <c r="B509" s="31" t="s">
        <v>7</v>
      </c>
      <c r="C509" s="32"/>
      <c r="D509" s="32"/>
      <c r="E509" s="19" t="n">
        <f aca="false">+F509*0.03</f>
        <v>0</v>
      </c>
      <c r="F509" s="33" t="n">
        <v>0</v>
      </c>
      <c r="G509" s="62"/>
      <c r="H509" s="35" t="n">
        <v>0</v>
      </c>
      <c r="I509" s="34" t="n">
        <f aca="false">+IF(E509=0,0,E509*0.03)</f>
        <v>0</v>
      </c>
    </row>
    <row r="510" customFormat="false" ht="15.75" hidden="false" customHeight="true" outlineLevel="0" collapsed="false">
      <c r="A510" s="65" t="n">
        <v>45352</v>
      </c>
      <c r="B510" s="31" t="s">
        <v>7</v>
      </c>
      <c r="C510" s="32"/>
      <c r="D510" s="32"/>
      <c r="E510" s="19" t="n">
        <f aca="false">+F510*0.03</f>
        <v>0</v>
      </c>
      <c r="F510" s="33" t="n">
        <v>0</v>
      </c>
      <c r="G510" s="62"/>
      <c r="H510" s="35" t="n">
        <v>0</v>
      </c>
      <c r="I510" s="34" t="n">
        <f aca="false">+IF(E510=0,0,E510*0.03)</f>
        <v>0</v>
      </c>
    </row>
    <row r="511" customFormat="false" ht="15.75" hidden="false" customHeight="true" outlineLevel="0" collapsed="false">
      <c r="A511" s="65" t="n">
        <v>45352</v>
      </c>
      <c r="B511" s="31" t="s">
        <v>7</v>
      </c>
      <c r="C511" s="32"/>
      <c r="D511" s="32"/>
      <c r="E511" s="19" t="n">
        <f aca="false">+F511*0.03</f>
        <v>0</v>
      </c>
      <c r="F511" s="33" t="n">
        <v>0</v>
      </c>
      <c r="G511" s="62"/>
      <c r="H511" s="35" t="n">
        <v>0</v>
      </c>
      <c r="I511" s="34" t="n">
        <f aca="false">+IF(E511=0,0,E511*0.03)</f>
        <v>0</v>
      </c>
    </row>
    <row r="512" customFormat="false" ht="15.75" hidden="false" customHeight="true" outlineLevel="0" collapsed="false">
      <c r="A512" s="65" t="n">
        <v>45352</v>
      </c>
      <c r="B512" s="31" t="s">
        <v>7</v>
      </c>
      <c r="C512" s="32"/>
      <c r="D512" s="32"/>
      <c r="E512" s="19" t="n">
        <f aca="false">+F512*0.03</f>
        <v>0</v>
      </c>
      <c r="F512" s="33" t="n">
        <v>0</v>
      </c>
      <c r="G512" s="62"/>
      <c r="H512" s="35" t="n">
        <v>0</v>
      </c>
      <c r="I512" s="34" t="n">
        <f aca="false">+IF(E512=0,0,E512*0.03)</f>
        <v>0</v>
      </c>
    </row>
    <row r="513" customFormat="false" ht="15.75" hidden="false" customHeight="true" outlineLevel="0" collapsed="false">
      <c r="A513" s="65" t="n">
        <v>45352</v>
      </c>
      <c r="B513" s="31" t="s">
        <v>7</v>
      </c>
      <c r="C513" s="32"/>
      <c r="D513" s="32"/>
      <c r="E513" s="19" t="n">
        <f aca="false">+F513*0.03</f>
        <v>0</v>
      </c>
      <c r="F513" s="33" t="n">
        <v>0</v>
      </c>
      <c r="G513" s="62"/>
      <c r="H513" s="35" t="n">
        <v>0</v>
      </c>
      <c r="I513" s="34" t="n">
        <f aca="false">+IF(E513=0,0,E513*0.03)</f>
        <v>0</v>
      </c>
    </row>
    <row r="514" customFormat="false" ht="15.75" hidden="false" customHeight="true" outlineLevel="0" collapsed="false">
      <c r="A514" s="65" t="n">
        <v>45352</v>
      </c>
      <c r="B514" s="31" t="s">
        <v>7</v>
      </c>
      <c r="C514" s="32"/>
      <c r="D514" s="32"/>
      <c r="E514" s="19" t="n">
        <f aca="false">+F514*0.03</f>
        <v>0</v>
      </c>
      <c r="F514" s="33" t="n">
        <v>0</v>
      </c>
      <c r="G514" s="62"/>
      <c r="H514" s="35" t="n">
        <v>0</v>
      </c>
      <c r="I514" s="34" t="n">
        <f aca="false">+IF(E514=0,0,E514*0.03)</f>
        <v>0</v>
      </c>
    </row>
    <row r="515" customFormat="false" ht="15.75" hidden="false" customHeight="true" outlineLevel="0" collapsed="false">
      <c r="A515" s="65" t="n">
        <v>45352</v>
      </c>
      <c r="B515" s="31" t="s">
        <v>7</v>
      </c>
      <c r="C515" s="32"/>
      <c r="D515" s="32"/>
      <c r="E515" s="19" t="n">
        <f aca="false">+F515*0.03</f>
        <v>0</v>
      </c>
      <c r="F515" s="33" t="n">
        <v>0</v>
      </c>
      <c r="G515" s="62"/>
      <c r="H515" s="35" t="n">
        <v>0</v>
      </c>
      <c r="I515" s="34" t="n">
        <f aca="false">+IF(E515=0,0,E515*0.03)</f>
        <v>0</v>
      </c>
    </row>
    <row r="516" customFormat="false" ht="15.75" hidden="false" customHeight="true" outlineLevel="0" collapsed="false">
      <c r="A516" s="65" t="n">
        <v>45352</v>
      </c>
      <c r="B516" s="31" t="s">
        <v>7</v>
      </c>
      <c r="C516" s="32"/>
      <c r="D516" s="32"/>
      <c r="E516" s="19" t="n">
        <f aca="false">+F516*0.03</f>
        <v>0</v>
      </c>
      <c r="F516" s="33" t="n">
        <v>0</v>
      </c>
      <c r="G516" s="62"/>
      <c r="H516" s="35" t="n">
        <v>0</v>
      </c>
      <c r="I516" s="34" t="n">
        <f aca="false">+IF(E516=0,0,E516*0.03)</f>
        <v>0</v>
      </c>
    </row>
    <row r="517" customFormat="false" ht="15.75" hidden="false" customHeight="true" outlineLevel="0" collapsed="false">
      <c r="A517" s="65" t="n">
        <v>45352</v>
      </c>
      <c r="B517" s="31" t="s">
        <v>7</v>
      </c>
      <c r="C517" s="32"/>
      <c r="D517" s="32"/>
      <c r="E517" s="19" t="n">
        <f aca="false">+F517*0.03</f>
        <v>0</v>
      </c>
      <c r="F517" s="33" t="n">
        <v>0</v>
      </c>
      <c r="G517" s="62"/>
      <c r="H517" s="35" t="n">
        <v>0</v>
      </c>
      <c r="I517" s="34" t="n">
        <f aca="false">+IF(E517=0,0,E517*0.03)</f>
        <v>0</v>
      </c>
    </row>
    <row r="518" customFormat="false" ht="15.75" hidden="false" customHeight="true" outlineLevel="0" collapsed="false">
      <c r="A518" s="65" t="n">
        <v>45352</v>
      </c>
      <c r="B518" s="31" t="s">
        <v>7</v>
      </c>
      <c r="C518" s="32"/>
      <c r="D518" s="32"/>
      <c r="E518" s="19" t="n">
        <f aca="false">+F518*0.03</f>
        <v>0</v>
      </c>
      <c r="F518" s="33" t="n">
        <v>0</v>
      </c>
      <c r="G518" s="62"/>
      <c r="H518" s="35" t="n">
        <v>0</v>
      </c>
      <c r="I518" s="34" t="n">
        <f aca="false">+IF(E518=0,0,E518*0.03)</f>
        <v>0</v>
      </c>
    </row>
    <row r="519" customFormat="false" ht="15.75" hidden="false" customHeight="true" outlineLevel="0" collapsed="false">
      <c r="A519" s="65" t="n">
        <v>45352</v>
      </c>
      <c r="B519" s="31" t="s">
        <v>7</v>
      </c>
      <c r="C519" s="32"/>
      <c r="D519" s="32"/>
      <c r="E519" s="19" t="n">
        <f aca="false">+F519*0.03</f>
        <v>0</v>
      </c>
      <c r="F519" s="33" t="n">
        <v>0</v>
      </c>
      <c r="G519" s="62"/>
      <c r="H519" s="35" t="n">
        <v>0</v>
      </c>
      <c r="I519" s="34" t="n">
        <f aca="false">+IF(E519=0,0,E519*0.03)</f>
        <v>0</v>
      </c>
    </row>
    <row r="520" customFormat="false" ht="15.75" hidden="false" customHeight="true" outlineLevel="0" collapsed="false">
      <c r="A520" s="65" t="n">
        <v>45352</v>
      </c>
      <c r="B520" s="31" t="s">
        <v>7</v>
      </c>
      <c r="C520" s="32"/>
      <c r="D520" s="32"/>
      <c r="E520" s="19" t="n">
        <f aca="false">+F520*0.03</f>
        <v>0</v>
      </c>
      <c r="F520" s="33" t="n">
        <v>0</v>
      </c>
      <c r="G520" s="62"/>
      <c r="H520" s="35" t="n">
        <v>0</v>
      </c>
      <c r="I520" s="34" t="n">
        <f aca="false">+IF(E520=0,0,E520*0.03)</f>
        <v>0</v>
      </c>
    </row>
    <row r="521" customFormat="false" ht="15.75" hidden="false" customHeight="true" outlineLevel="0" collapsed="false">
      <c r="A521" s="65" t="n">
        <v>45352</v>
      </c>
      <c r="B521" s="31" t="s">
        <v>7</v>
      </c>
      <c r="C521" s="32"/>
      <c r="D521" s="32"/>
      <c r="E521" s="19" t="n">
        <f aca="false">+F521*0.03</f>
        <v>0</v>
      </c>
      <c r="F521" s="33" t="n">
        <v>0</v>
      </c>
      <c r="G521" s="62"/>
      <c r="H521" s="35" t="n">
        <v>0</v>
      </c>
      <c r="I521" s="34" t="n">
        <f aca="false">+IF(E521=0,0,E521*0.03)</f>
        <v>0</v>
      </c>
    </row>
    <row r="522" customFormat="false" ht="15.75" hidden="false" customHeight="true" outlineLevel="0" collapsed="false">
      <c r="A522" s="65" t="n">
        <v>45352</v>
      </c>
      <c r="B522" s="31" t="s">
        <v>7</v>
      </c>
      <c r="C522" s="32"/>
      <c r="D522" s="32"/>
      <c r="E522" s="19" t="n">
        <f aca="false">+F522*0.03</f>
        <v>0</v>
      </c>
      <c r="F522" s="33" t="n">
        <v>0</v>
      </c>
      <c r="G522" s="62"/>
      <c r="H522" s="35" t="n">
        <v>0</v>
      </c>
      <c r="I522" s="34" t="n">
        <f aca="false">+IF(E522=0,0,E522*0.03)</f>
        <v>0</v>
      </c>
    </row>
    <row r="523" customFormat="false" ht="15.75" hidden="false" customHeight="true" outlineLevel="0" collapsed="false">
      <c r="A523" s="65" t="n">
        <v>45352</v>
      </c>
      <c r="B523" s="31" t="s">
        <v>7</v>
      </c>
      <c r="C523" s="32"/>
      <c r="D523" s="32"/>
      <c r="E523" s="19" t="n">
        <f aca="false">+F523*0.03</f>
        <v>0</v>
      </c>
      <c r="F523" s="33" t="n">
        <v>0</v>
      </c>
      <c r="G523" s="62"/>
      <c r="H523" s="35" t="n">
        <v>0</v>
      </c>
      <c r="I523" s="34" t="n">
        <f aca="false">+IF(E523=0,0,E523*0.03)</f>
        <v>0</v>
      </c>
    </row>
    <row r="524" customFormat="false" ht="15.75" hidden="false" customHeight="true" outlineLevel="0" collapsed="false">
      <c r="A524" s="65" t="n">
        <v>45352</v>
      </c>
      <c r="B524" s="31" t="s">
        <v>7</v>
      </c>
      <c r="C524" s="32"/>
      <c r="D524" s="32"/>
      <c r="E524" s="19" t="n">
        <f aca="false">+F524*0.03</f>
        <v>0</v>
      </c>
      <c r="F524" s="33" t="n">
        <v>0</v>
      </c>
      <c r="G524" s="62"/>
      <c r="H524" s="35" t="n">
        <v>0</v>
      </c>
      <c r="I524" s="34" t="n">
        <f aca="false">+IF(E524=0,0,E524*0.03)</f>
        <v>0</v>
      </c>
    </row>
    <row r="525" customFormat="false" ht="15.75" hidden="false" customHeight="true" outlineLevel="0" collapsed="false">
      <c r="A525" s="65" t="n">
        <v>45352</v>
      </c>
      <c r="B525" s="31" t="s">
        <v>7</v>
      </c>
      <c r="C525" s="32"/>
      <c r="D525" s="32"/>
      <c r="E525" s="19" t="n">
        <f aca="false">+F525*0.03</f>
        <v>0</v>
      </c>
      <c r="F525" s="33" t="n">
        <v>0</v>
      </c>
      <c r="G525" s="62"/>
      <c r="H525" s="35" t="n">
        <v>0</v>
      </c>
      <c r="I525" s="34" t="n">
        <f aca="false">+IF(E525=0,0,E525*0.03)</f>
        <v>0</v>
      </c>
    </row>
    <row r="526" customFormat="false" ht="15.75" hidden="false" customHeight="true" outlineLevel="0" collapsed="false">
      <c r="A526" s="65" t="n">
        <v>45352</v>
      </c>
      <c r="B526" s="31" t="s">
        <v>7</v>
      </c>
      <c r="C526" s="32"/>
      <c r="D526" s="32"/>
      <c r="E526" s="19" t="n">
        <f aca="false">+F526*0.03</f>
        <v>0</v>
      </c>
      <c r="F526" s="33" t="n">
        <v>0</v>
      </c>
      <c r="G526" s="62"/>
      <c r="H526" s="35" t="n">
        <v>0</v>
      </c>
      <c r="I526" s="34" t="n">
        <f aca="false">+IF(E526=0,0,E526*0.03)</f>
        <v>0</v>
      </c>
    </row>
    <row r="527" customFormat="false" ht="15.75" hidden="false" customHeight="true" outlineLevel="0" collapsed="false">
      <c r="A527" s="65" t="n">
        <v>45352</v>
      </c>
      <c r="B527" s="31" t="s">
        <v>7</v>
      </c>
      <c r="C527" s="32"/>
      <c r="D527" s="32"/>
      <c r="E527" s="19" t="n">
        <f aca="false">+F527*0.03</f>
        <v>0</v>
      </c>
      <c r="F527" s="33" t="n">
        <v>0</v>
      </c>
      <c r="G527" s="62"/>
      <c r="H527" s="35" t="n">
        <v>0</v>
      </c>
      <c r="I527" s="34" t="n">
        <f aca="false">+IF(E527=0,0,E527*0.03)</f>
        <v>0</v>
      </c>
    </row>
    <row r="528" customFormat="false" ht="15.75" hidden="false" customHeight="true" outlineLevel="0" collapsed="false">
      <c r="A528" s="65" t="n">
        <v>45352</v>
      </c>
      <c r="B528" s="31" t="s">
        <v>7</v>
      </c>
      <c r="C528" s="32"/>
      <c r="D528" s="32"/>
      <c r="E528" s="19" t="n">
        <f aca="false">+F528*0.03</f>
        <v>0</v>
      </c>
      <c r="F528" s="33" t="n">
        <v>0</v>
      </c>
      <c r="G528" s="62"/>
      <c r="H528" s="35" t="n">
        <v>0</v>
      </c>
      <c r="I528" s="34" t="n">
        <f aca="false">+IF(E528=0,0,E528*0.03)</f>
        <v>0</v>
      </c>
    </row>
    <row r="529" customFormat="false" ht="15.75" hidden="false" customHeight="true" outlineLevel="0" collapsed="false">
      <c r="A529" s="65" t="n">
        <v>45352</v>
      </c>
      <c r="B529" s="31" t="s">
        <v>7</v>
      </c>
      <c r="C529" s="32"/>
      <c r="D529" s="32"/>
      <c r="E529" s="19" t="n">
        <f aca="false">+F529*0.03</f>
        <v>0</v>
      </c>
      <c r="F529" s="33" t="n">
        <v>0</v>
      </c>
      <c r="G529" s="62"/>
      <c r="H529" s="35" t="n">
        <v>0</v>
      </c>
      <c r="I529" s="34" t="n">
        <f aca="false">+IF(E529=0,0,E529*0.03)</f>
        <v>0</v>
      </c>
    </row>
    <row r="530" customFormat="false" ht="15.75" hidden="false" customHeight="true" outlineLevel="0" collapsed="false">
      <c r="A530" s="65" t="n">
        <v>45352</v>
      </c>
      <c r="B530" s="31" t="s">
        <v>7</v>
      </c>
      <c r="C530" s="32"/>
      <c r="D530" s="32"/>
      <c r="E530" s="19" t="n">
        <f aca="false">+F530*0.03</f>
        <v>0</v>
      </c>
      <c r="F530" s="33" t="n">
        <v>0</v>
      </c>
      <c r="G530" s="62"/>
      <c r="H530" s="35" t="n">
        <v>0</v>
      </c>
      <c r="I530" s="34" t="n">
        <f aca="false">+IF(E530=0,0,E530*0.03)</f>
        <v>0</v>
      </c>
    </row>
    <row r="531" customFormat="false" ht="15.75" hidden="false" customHeight="true" outlineLevel="0" collapsed="false">
      <c r="A531" s="65" t="n">
        <v>45352</v>
      </c>
      <c r="B531" s="31" t="s">
        <v>7</v>
      </c>
      <c r="C531" s="32"/>
      <c r="D531" s="32"/>
      <c r="E531" s="19" t="n">
        <f aca="false">+F531*0.03</f>
        <v>0</v>
      </c>
      <c r="F531" s="33" t="n">
        <v>0</v>
      </c>
      <c r="G531" s="62"/>
      <c r="H531" s="35" t="n">
        <v>0</v>
      </c>
      <c r="I531" s="34" t="n">
        <f aca="false">+IF(E531=0,0,E531*0.03)</f>
        <v>0</v>
      </c>
    </row>
    <row r="532" customFormat="false" ht="15.75" hidden="false" customHeight="true" outlineLevel="0" collapsed="false">
      <c r="A532" s="65" t="n">
        <v>45352</v>
      </c>
      <c r="B532" s="31" t="s">
        <v>7</v>
      </c>
      <c r="C532" s="32"/>
      <c r="D532" s="32"/>
      <c r="E532" s="19" t="n">
        <f aca="false">+F532*0.03</f>
        <v>0</v>
      </c>
      <c r="F532" s="33" t="n">
        <v>0</v>
      </c>
      <c r="G532" s="62"/>
      <c r="H532" s="35" t="n">
        <v>0</v>
      </c>
      <c r="I532" s="34" t="n">
        <f aca="false">+IF(E532=0,0,E532*0.03)</f>
        <v>0</v>
      </c>
    </row>
    <row r="533" customFormat="false" ht="15.75" hidden="false" customHeight="true" outlineLevel="0" collapsed="false">
      <c r="A533" s="65" t="n">
        <v>45352</v>
      </c>
      <c r="B533" s="31" t="s">
        <v>7</v>
      </c>
      <c r="C533" s="32"/>
      <c r="D533" s="32"/>
      <c r="E533" s="19" t="n">
        <f aca="false">+F533*0.03</f>
        <v>0</v>
      </c>
      <c r="F533" s="33" t="n">
        <v>0</v>
      </c>
      <c r="G533" s="62"/>
      <c r="H533" s="35" t="n">
        <v>0</v>
      </c>
      <c r="I533" s="34" t="n">
        <f aca="false">+IF(E533=0,0,E533*0.03)</f>
        <v>0</v>
      </c>
    </row>
    <row r="534" customFormat="false" ht="15.75" hidden="false" customHeight="true" outlineLevel="0" collapsed="false">
      <c r="A534" s="65" t="n">
        <v>45352</v>
      </c>
      <c r="B534" s="31" t="s">
        <v>7</v>
      </c>
      <c r="C534" s="32"/>
      <c r="D534" s="32"/>
      <c r="E534" s="19" t="n">
        <f aca="false">+F534*0.03</f>
        <v>0</v>
      </c>
      <c r="F534" s="33" t="n">
        <v>0</v>
      </c>
      <c r="G534" s="62"/>
      <c r="H534" s="35" t="n">
        <v>0</v>
      </c>
      <c r="I534" s="34" t="n">
        <f aca="false">+IF(E534=0,0,E534*0.03)</f>
        <v>0</v>
      </c>
    </row>
    <row r="535" customFormat="false" ht="15.75" hidden="false" customHeight="true" outlineLevel="0" collapsed="false">
      <c r="A535" s="65" t="n">
        <v>45352</v>
      </c>
      <c r="B535" s="31" t="s">
        <v>7</v>
      </c>
      <c r="C535" s="32"/>
      <c r="D535" s="32"/>
      <c r="E535" s="19" t="n">
        <f aca="false">+F535*0.03</f>
        <v>0</v>
      </c>
      <c r="F535" s="33" t="n">
        <v>0</v>
      </c>
      <c r="G535" s="62"/>
      <c r="H535" s="35" t="n">
        <v>0</v>
      </c>
      <c r="I535" s="34" t="n">
        <f aca="false">+IF(E535=0,0,E535*0.03)</f>
        <v>0</v>
      </c>
    </row>
    <row r="536" customFormat="false" ht="15.75" hidden="false" customHeight="true" outlineLevel="0" collapsed="false">
      <c r="A536" s="65" t="n">
        <v>45352</v>
      </c>
      <c r="B536" s="31" t="s">
        <v>7</v>
      </c>
      <c r="C536" s="32"/>
      <c r="D536" s="32"/>
      <c r="E536" s="19" t="n">
        <f aca="false">+F536*0.03</f>
        <v>0</v>
      </c>
      <c r="F536" s="33" t="n">
        <v>0</v>
      </c>
      <c r="G536" s="62"/>
      <c r="H536" s="35" t="n">
        <v>0</v>
      </c>
      <c r="I536" s="34" t="n">
        <f aca="false">+IF(E536=0,0,E536*0.03)</f>
        <v>0</v>
      </c>
    </row>
    <row r="537" customFormat="false" ht="15.75" hidden="false" customHeight="true" outlineLevel="0" collapsed="false">
      <c r="A537" s="65" t="n">
        <v>45352</v>
      </c>
      <c r="B537" s="31" t="s">
        <v>7</v>
      </c>
      <c r="C537" s="32"/>
      <c r="D537" s="32"/>
      <c r="E537" s="19" t="n">
        <f aca="false">+F537*0.03</f>
        <v>0</v>
      </c>
      <c r="F537" s="33" t="n">
        <v>0</v>
      </c>
      <c r="G537" s="62"/>
      <c r="H537" s="35" t="n">
        <v>0</v>
      </c>
      <c r="I537" s="34" t="n">
        <f aca="false">+IF(E537=0,0,E537*0.03)</f>
        <v>0</v>
      </c>
    </row>
    <row r="538" customFormat="false" ht="15.75" hidden="false" customHeight="true" outlineLevel="0" collapsed="false">
      <c r="A538" s="65" t="n">
        <v>45352</v>
      </c>
      <c r="B538" s="31" t="s">
        <v>7</v>
      </c>
      <c r="C538" s="32"/>
      <c r="D538" s="32"/>
      <c r="E538" s="19" t="n">
        <f aca="false">+F538*0.03</f>
        <v>0</v>
      </c>
      <c r="F538" s="33" t="n">
        <v>0</v>
      </c>
      <c r="G538" s="62"/>
      <c r="H538" s="35" t="n">
        <v>0</v>
      </c>
      <c r="I538" s="34" t="n">
        <f aca="false">+IF(E538=0,0,E538*0.03)</f>
        <v>0</v>
      </c>
    </row>
    <row r="539" customFormat="false" ht="15.75" hidden="false" customHeight="true" outlineLevel="0" collapsed="false">
      <c r="A539" s="65" t="n">
        <v>45352</v>
      </c>
      <c r="B539" s="31" t="s">
        <v>7</v>
      </c>
      <c r="C539" s="32"/>
      <c r="D539" s="32"/>
      <c r="E539" s="19" t="n">
        <f aca="false">+F539*0.03</f>
        <v>0</v>
      </c>
      <c r="F539" s="33" t="n">
        <v>0</v>
      </c>
      <c r="G539" s="62"/>
      <c r="H539" s="35" t="n">
        <v>0</v>
      </c>
      <c r="I539" s="34" t="n">
        <f aca="false">+IF(E539=0,0,E539*0.03)</f>
        <v>0</v>
      </c>
    </row>
    <row r="540" customFormat="false" ht="15.75" hidden="false" customHeight="true" outlineLevel="0" collapsed="false">
      <c r="A540" s="65" t="n">
        <v>45352</v>
      </c>
      <c r="B540" s="31" t="s">
        <v>7</v>
      </c>
      <c r="C540" s="32"/>
      <c r="D540" s="32"/>
      <c r="E540" s="19" t="n">
        <f aca="false">+F540*0.03</f>
        <v>0</v>
      </c>
      <c r="F540" s="33" t="n">
        <v>0</v>
      </c>
      <c r="G540" s="62"/>
      <c r="H540" s="35" t="n">
        <v>0</v>
      </c>
      <c r="I540" s="34" t="n">
        <f aca="false">+IF(E540=0,0,E540*0.03)</f>
        <v>0</v>
      </c>
    </row>
    <row r="541" customFormat="false" ht="15.75" hidden="false" customHeight="true" outlineLevel="0" collapsed="false">
      <c r="A541" s="65" t="n">
        <v>45352</v>
      </c>
      <c r="B541" s="31" t="s">
        <v>7</v>
      </c>
      <c r="C541" s="32"/>
      <c r="D541" s="32"/>
      <c r="E541" s="19" t="n">
        <f aca="false">+F541*0.03</f>
        <v>0</v>
      </c>
      <c r="F541" s="33" t="n">
        <v>0</v>
      </c>
      <c r="G541" s="62"/>
      <c r="H541" s="35" t="n">
        <v>0</v>
      </c>
      <c r="I541" s="34" t="n">
        <f aca="false">+IF(E541=0,0,E541*0.03)</f>
        <v>0</v>
      </c>
    </row>
    <row r="542" customFormat="false" ht="15.75" hidden="false" customHeight="true" outlineLevel="0" collapsed="false">
      <c r="A542" s="65" t="n">
        <v>45352</v>
      </c>
      <c r="B542" s="31" t="s">
        <v>7</v>
      </c>
      <c r="C542" s="32"/>
      <c r="D542" s="32"/>
      <c r="E542" s="19" t="n">
        <f aca="false">+F542*0.03</f>
        <v>0</v>
      </c>
      <c r="F542" s="33" t="n">
        <v>0</v>
      </c>
      <c r="G542" s="62"/>
      <c r="H542" s="35" t="n">
        <v>0</v>
      </c>
      <c r="I542" s="34" t="n">
        <f aca="false">+IF(E542=0,0,E542*0.03)</f>
        <v>0</v>
      </c>
    </row>
    <row r="543" customFormat="false" ht="15.75" hidden="false" customHeight="true" outlineLevel="0" collapsed="false">
      <c r="A543" s="65" t="n">
        <v>45352</v>
      </c>
      <c r="B543" s="31" t="s">
        <v>7</v>
      </c>
      <c r="C543" s="32"/>
      <c r="D543" s="32"/>
      <c r="E543" s="19" t="n">
        <f aca="false">+F543*0.03</f>
        <v>0</v>
      </c>
      <c r="F543" s="33" t="n">
        <v>0</v>
      </c>
      <c r="G543" s="62"/>
      <c r="H543" s="35" t="n">
        <v>0</v>
      </c>
      <c r="I543" s="34" t="n">
        <f aca="false">+IF(E543=0,0,E543*0.03)</f>
        <v>0</v>
      </c>
    </row>
    <row r="544" customFormat="false" ht="15.75" hidden="false" customHeight="true" outlineLevel="0" collapsed="false">
      <c r="A544" s="65" t="n">
        <v>45352</v>
      </c>
      <c r="B544" s="31" t="s">
        <v>7</v>
      </c>
      <c r="C544" s="32"/>
      <c r="D544" s="32"/>
      <c r="E544" s="19" t="n">
        <f aca="false">+F544*0.03</f>
        <v>0</v>
      </c>
      <c r="F544" s="33" t="n">
        <v>0</v>
      </c>
      <c r="G544" s="62"/>
      <c r="H544" s="35" t="n">
        <v>0</v>
      </c>
      <c r="I544" s="34" t="n">
        <f aca="false">+IF(E544=0,0,E544*0.03)</f>
        <v>0</v>
      </c>
    </row>
    <row r="545" customFormat="false" ht="15.75" hidden="false" customHeight="true" outlineLevel="0" collapsed="false">
      <c r="A545" s="65" t="n">
        <v>45352</v>
      </c>
      <c r="B545" s="31" t="s">
        <v>7</v>
      </c>
      <c r="C545" s="32"/>
      <c r="D545" s="32"/>
      <c r="E545" s="19" t="n">
        <f aca="false">+F545*0.03</f>
        <v>0</v>
      </c>
      <c r="F545" s="33" t="n">
        <v>0</v>
      </c>
      <c r="G545" s="62"/>
      <c r="H545" s="35" t="n">
        <v>0</v>
      </c>
      <c r="I545" s="34" t="n">
        <f aca="false">+IF(E545=0,0,E545*0.03)</f>
        <v>0</v>
      </c>
    </row>
    <row r="546" customFormat="false" ht="15.75" hidden="false" customHeight="true" outlineLevel="0" collapsed="false">
      <c r="A546" s="65" t="n">
        <v>45352</v>
      </c>
      <c r="B546" s="31" t="s">
        <v>7</v>
      </c>
      <c r="C546" s="32"/>
      <c r="D546" s="32"/>
      <c r="E546" s="19" t="n">
        <f aca="false">+F546*0.03</f>
        <v>0</v>
      </c>
      <c r="F546" s="33" t="n">
        <v>0</v>
      </c>
      <c r="G546" s="62"/>
      <c r="H546" s="35" t="n">
        <v>0</v>
      </c>
      <c r="I546" s="34" t="n">
        <f aca="false">+IF(E546=0,0,E546*0.03)</f>
        <v>0</v>
      </c>
    </row>
    <row r="547" customFormat="false" ht="15.75" hidden="false" customHeight="true" outlineLevel="0" collapsed="false">
      <c r="A547" s="65" t="n">
        <v>45352</v>
      </c>
      <c r="B547" s="31" t="s">
        <v>7</v>
      </c>
      <c r="C547" s="32"/>
      <c r="D547" s="32"/>
      <c r="E547" s="19" t="n">
        <f aca="false">+F547*0.03</f>
        <v>0</v>
      </c>
      <c r="F547" s="33" t="n">
        <v>0</v>
      </c>
      <c r="G547" s="62"/>
      <c r="H547" s="35" t="n">
        <v>0</v>
      </c>
      <c r="I547" s="34" t="n">
        <f aca="false">+IF(E547=0,0,E547*0.03)</f>
        <v>0</v>
      </c>
    </row>
    <row r="548" customFormat="false" ht="15.75" hidden="false" customHeight="true" outlineLevel="0" collapsed="false">
      <c r="A548" s="65" t="n">
        <v>45352</v>
      </c>
      <c r="B548" s="31" t="s">
        <v>7</v>
      </c>
      <c r="C548" s="32"/>
      <c r="D548" s="32"/>
      <c r="E548" s="19" t="n">
        <f aca="false">+F548*0.03</f>
        <v>0</v>
      </c>
      <c r="F548" s="33" t="n">
        <v>0</v>
      </c>
      <c r="G548" s="62"/>
      <c r="H548" s="35" t="n">
        <v>0</v>
      </c>
      <c r="I548" s="34" t="n">
        <f aca="false">+IF(E548=0,0,E548*0.03)</f>
        <v>0</v>
      </c>
    </row>
    <row r="549" customFormat="false" ht="15.75" hidden="false" customHeight="true" outlineLevel="0" collapsed="false">
      <c r="A549" s="65" t="n">
        <v>45352</v>
      </c>
      <c r="B549" s="31" t="s">
        <v>7</v>
      </c>
      <c r="C549" s="32"/>
      <c r="D549" s="32"/>
      <c r="E549" s="19" t="n">
        <f aca="false">+F549*0.03</f>
        <v>0</v>
      </c>
      <c r="F549" s="33" t="n">
        <v>0</v>
      </c>
      <c r="G549" s="62"/>
      <c r="H549" s="35" t="n">
        <v>0</v>
      </c>
      <c r="I549" s="34" t="n">
        <f aca="false">+IF(E549=0,0,E549*0.03)</f>
        <v>0</v>
      </c>
    </row>
    <row r="550" customFormat="false" ht="15.75" hidden="false" customHeight="true" outlineLevel="0" collapsed="false">
      <c r="A550" s="65" t="n">
        <v>45352</v>
      </c>
      <c r="B550" s="31" t="s">
        <v>7</v>
      </c>
      <c r="C550" s="32"/>
      <c r="D550" s="32"/>
      <c r="E550" s="19" t="n">
        <f aca="false">+F550*0.03</f>
        <v>0</v>
      </c>
      <c r="F550" s="33" t="n">
        <v>0</v>
      </c>
      <c r="G550" s="62"/>
      <c r="H550" s="35" t="n">
        <v>0</v>
      </c>
      <c r="I550" s="34" t="n">
        <f aca="false">+IF(E550=0,0,E550*0.03)</f>
        <v>0</v>
      </c>
    </row>
    <row r="551" customFormat="false" ht="15.75" hidden="false" customHeight="true" outlineLevel="0" collapsed="false">
      <c r="A551" s="65" t="n">
        <v>45352</v>
      </c>
      <c r="B551" s="31" t="s">
        <v>7</v>
      </c>
      <c r="C551" s="32"/>
      <c r="D551" s="32"/>
      <c r="E551" s="19" t="n">
        <f aca="false">+F551*0.03</f>
        <v>0</v>
      </c>
      <c r="F551" s="33" t="n">
        <v>0</v>
      </c>
      <c r="G551" s="62"/>
      <c r="H551" s="35" t="n">
        <v>0</v>
      </c>
      <c r="I551" s="34" t="n">
        <f aca="false">+IF(E551=0,0,E551*0.03)</f>
        <v>0</v>
      </c>
    </row>
    <row r="552" customFormat="false" ht="15.75" hidden="false" customHeight="true" outlineLevel="0" collapsed="false">
      <c r="A552" s="65" t="n">
        <v>45352</v>
      </c>
      <c r="B552" s="31" t="s">
        <v>7</v>
      </c>
      <c r="C552" s="32"/>
      <c r="D552" s="32"/>
      <c r="E552" s="19" t="n">
        <f aca="false">+F552*0.03</f>
        <v>0</v>
      </c>
      <c r="F552" s="33" t="n">
        <v>0</v>
      </c>
      <c r="G552" s="62"/>
      <c r="H552" s="35" t="n">
        <v>0</v>
      </c>
      <c r="I552" s="34" t="n">
        <f aca="false">+IF(E552=0,0,E552*0.03)</f>
        <v>0</v>
      </c>
    </row>
    <row r="553" customFormat="false" ht="15.75" hidden="false" customHeight="true" outlineLevel="0" collapsed="false">
      <c r="A553" s="65" t="n">
        <v>45352</v>
      </c>
      <c r="B553" s="31" t="s">
        <v>7</v>
      </c>
      <c r="C553" s="32"/>
      <c r="D553" s="32"/>
      <c r="E553" s="19" t="n">
        <f aca="false">+F553*0.03</f>
        <v>0</v>
      </c>
      <c r="F553" s="33" t="n">
        <v>0</v>
      </c>
      <c r="G553" s="62"/>
      <c r="H553" s="35" t="n">
        <v>0</v>
      </c>
      <c r="I553" s="34" t="n">
        <f aca="false">+IF(E553=0,0,E553*0.03)</f>
        <v>0</v>
      </c>
    </row>
    <row r="554" customFormat="false" ht="15.75" hidden="false" customHeight="true" outlineLevel="0" collapsed="false">
      <c r="A554" s="65" t="n">
        <v>45352</v>
      </c>
      <c r="B554" s="31" t="s">
        <v>7</v>
      </c>
      <c r="C554" s="32"/>
      <c r="D554" s="32"/>
      <c r="E554" s="19" t="n">
        <f aca="false">+F554*0.03</f>
        <v>0</v>
      </c>
      <c r="F554" s="33" t="n">
        <v>0</v>
      </c>
      <c r="G554" s="62"/>
      <c r="H554" s="35" t="n">
        <v>0</v>
      </c>
      <c r="I554" s="34" t="n">
        <f aca="false">+IF(E554=0,0,E554*0.03)</f>
        <v>0</v>
      </c>
    </row>
    <row r="555" customFormat="false" ht="15.75" hidden="false" customHeight="true" outlineLevel="0" collapsed="false">
      <c r="A555" s="65" t="n">
        <v>45352</v>
      </c>
      <c r="B555" s="31" t="s">
        <v>7</v>
      </c>
      <c r="C555" s="32"/>
      <c r="D555" s="32"/>
      <c r="E555" s="19" t="n">
        <f aca="false">+F555*0.03</f>
        <v>0</v>
      </c>
      <c r="F555" s="33" t="n">
        <v>0</v>
      </c>
      <c r="G555" s="62"/>
      <c r="H555" s="35" t="n">
        <v>0</v>
      </c>
      <c r="I555" s="34" t="n">
        <f aca="false">+IF(E555=0,0,E555*0.03)</f>
        <v>0</v>
      </c>
    </row>
    <row r="556" customFormat="false" ht="15.75" hidden="false" customHeight="true" outlineLevel="0" collapsed="false">
      <c r="A556" s="65" t="n">
        <v>45352</v>
      </c>
      <c r="B556" s="31" t="s">
        <v>7</v>
      </c>
      <c r="C556" s="32"/>
      <c r="D556" s="32"/>
      <c r="E556" s="19" t="n">
        <f aca="false">+F556*0.03</f>
        <v>0</v>
      </c>
      <c r="F556" s="33" t="n">
        <v>0</v>
      </c>
      <c r="G556" s="62"/>
      <c r="H556" s="35" t="n">
        <v>0</v>
      </c>
      <c r="I556" s="34" t="n">
        <f aca="false">+IF(E556=0,0,E556*0.03)</f>
        <v>0</v>
      </c>
    </row>
    <row r="557" customFormat="false" ht="15.75" hidden="false" customHeight="true" outlineLevel="0" collapsed="false">
      <c r="A557" s="65" t="n">
        <v>45352</v>
      </c>
      <c r="B557" s="31" t="s">
        <v>7</v>
      </c>
      <c r="C557" s="32"/>
      <c r="D557" s="32"/>
      <c r="E557" s="19" t="n">
        <f aca="false">+F557*0.03</f>
        <v>0</v>
      </c>
      <c r="F557" s="33" t="n">
        <v>0</v>
      </c>
      <c r="G557" s="62"/>
      <c r="H557" s="35" t="n">
        <v>0</v>
      </c>
      <c r="I557" s="34" t="n">
        <f aca="false">+IF(E557=0,0,E557*0.03)</f>
        <v>0</v>
      </c>
    </row>
    <row r="558" customFormat="false" ht="15.75" hidden="false" customHeight="true" outlineLevel="0" collapsed="false">
      <c r="A558" s="65" t="n">
        <v>45352</v>
      </c>
      <c r="B558" s="31" t="s">
        <v>7</v>
      </c>
      <c r="C558" s="32"/>
      <c r="D558" s="32"/>
      <c r="E558" s="19" t="n">
        <f aca="false">+F558*0.03</f>
        <v>0</v>
      </c>
      <c r="F558" s="33" t="n">
        <v>0</v>
      </c>
      <c r="G558" s="62"/>
      <c r="H558" s="35" t="n">
        <v>0</v>
      </c>
      <c r="I558" s="34" t="n">
        <f aca="false">+IF(E558=0,0,E558*0.03)</f>
        <v>0</v>
      </c>
    </row>
    <row r="559" customFormat="false" ht="15.75" hidden="false" customHeight="true" outlineLevel="0" collapsed="false">
      <c r="A559" s="65" t="n">
        <v>45352</v>
      </c>
      <c r="B559" s="31" t="s">
        <v>7</v>
      </c>
      <c r="C559" s="32"/>
      <c r="D559" s="32"/>
      <c r="E559" s="19" t="n">
        <f aca="false">+F559*0.03</f>
        <v>0</v>
      </c>
      <c r="F559" s="33" t="n">
        <v>0</v>
      </c>
      <c r="G559" s="62"/>
      <c r="H559" s="35" t="n">
        <v>0</v>
      </c>
      <c r="I559" s="34" t="n">
        <f aca="false">+IF(E559=0,0,E559*0.03)</f>
        <v>0</v>
      </c>
    </row>
    <row r="560" customFormat="false" ht="15.75" hidden="false" customHeight="true" outlineLevel="0" collapsed="false">
      <c r="A560" s="65" t="n">
        <v>45352</v>
      </c>
      <c r="B560" s="31" t="s">
        <v>7</v>
      </c>
      <c r="C560" s="32"/>
      <c r="D560" s="32"/>
      <c r="E560" s="19" t="n">
        <f aca="false">+F560*0.03</f>
        <v>0</v>
      </c>
      <c r="F560" s="33" t="n">
        <v>0</v>
      </c>
      <c r="G560" s="62"/>
      <c r="H560" s="35" t="n">
        <v>0</v>
      </c>
      <c r="I560" s="34" t="n">
        <f aca="false">+IF(E560=0,0,E560*0.03)</f>
        <v>0</v>
      </c>
    </row>
    <row r="561" customFormat="false" ht="15.75" hidden="false" customHeight="true" outlineLevel="0" collapsed="false">
      <c r="A561" s="65" t="n">
        <v>45352</v>
      </c>
      <c r="B561" s="31" t="s">
        <v>7</v>
      </c>
      <c r="C561" s="32"/>
      <c r="D561" s="32"/>
      <c r="E561" s="19" t="n">
        <f aca="false">+F561*0.03</f>
        <v>0</v>
      </c>
      <c r="F561" s="33" t="n">
        <v>0</v>
      </c>
      <c r="G561" s="62"/>
      <c r="H561" s="35" t="n">
        <v>0</v>
      </c>
      <c r="I561" s="34" t="n">
        <f aca="false">+IF(E561=0,0,E561*0.03)</f>
        <v>0</v>
      </c>
    </row>
    <row r="562" customFormat="false" ht="15.75" hidden="false" customHeight="true" outlineLevel="0" collapsed="false">
      <c r="A562" s="65" t="n">
        <v>45352</v>
      </c>
      <c r="B562" s="31" t="s">
        <v>7</v>
      </c>
      <c r="C562" s="32"/>
      <c r="D562" s="32"/>
      <c r="E562" s="19" t="n">
        <f aca="false">+F562*0.03</f>
        <v>0</v>
      </c>
      <c r="F562" s="33" t="n">
        <v>0</v>
      </c>
      <c r="G562" s="62"/>
      <c r="H562" s="35" t="n">
        <v>0</v>
      </c>
      <c r="I562" s="34" t="n">
        <f aca="false">+IF(E562=0,0,E562*0.03)</f>
        <v>0</v>
      </c>
    </row>
    <row r="563" customFormat="false" ht="15.75" hidden="false" customHeight="true" outlineLevel="0" collapsed="false">
      <c r="A563" s="65" t="n">
        <v>45352</v>
      </c>
      <c r="B563" s="31" t="s">
        <v>7</v>
      </c>
      <c r="C563" s="32"/>
      <c r="D563" s="32"/>
      <c r="E563" s="19" t="n">
        <f aca="false">+F563*0.03</f>
        <v>0</v>
      </c>
      <c r="F563" s="33" t="n">
        <v>0</v>
      </c>
      <c r="G563" s="62"/>
      <c r="H563" s="35" t="n">
        <v>0</v>
      </c>
      <c r="I563" s="34" t="n">
        <f aca="false">+IF(E563=0,0,E563*0.03)</f>
        <v>0</v>
      </c>
    </row>
    <row r="564" customFormat="false" ht="15.75" hidden="false" customHeight="true" outlineLevel="0" collapsed="false">
      <c r="A564" s="65" t="n">
        <v>45352</v>
      </c>
      <c r="B564" s="31" t="s">
        <v>7</v>
      </c>
      <c r="C564" s="32"/>
      <c r="D564" s="32"/>
      <c r="E564" s="19" t="n">
        <f aca="false">+F564*0.03</f>
        <v>0</v>
      </c>
      <c r="F564" s="33" t="n">
        <v>0</v>
      </c>
      <c r="G564" s="62"/>
      <c r="H564" s="35" t="n">
        <v>0</v>
      </c>
      <c r="I564" s="34" t="n">
        <f aca="false">+IF(E564=0,0,E564*0.03)</f>
        <v>0</v>
      </c>
    </row>
    <row r="565" customFormat="false" ht="15.75" hidden="false" customHeight="true" outlineLevel="0" collapsed="false">
      <c r="A565" s="65" t="n">
        <v>45352</v>
      </c>
      <c r="B565" s="31" t="s">
        <v>7</v>
      </c>
      <c r="C565" s="32"/>
      <c r="D565" s="32"/>
      <c r="E565" s="19" t="n">
        <f aca="false">+F565*0.03</f>
        <v>0</v>
      </c>
      <c r="F565" s="33" t="n">
        <v>0</v>
      </c>
      <c r="G565" s="62"/>
      <c r="H565" s="35" t="n">
        <v>0</v>
      </c>
      <c r="I565" s="34" t="n">
        <f aca="false">+IF(E565=0,0,E565*0.03)</f>
        <v>0</v>
      </c>
    </row>
    <row r="566" customFormat="false" ht="15.75" hidden="false" customHeight="true" outlineLevel="0" collapsed="false">
      <c r="A566" s="65" t="n">
        <v>45352</v>
      </c>
      <c r="B566" s="31" t="s">
        <v>7</v>
      </c>
      <c r="C566" s="32"/>
      <c r="D566" s="32"/>
      <c r="E566" s="19" t="n">
        <f aca="false">+F566*0.03</f>
        <v>0</v>
      </c>
      <c r="F566" s="33" t="n">
        <v>0</v>
      </c>
      <c r="G566" s="62"/>
      <c r="H566" s="35" t="n">
        <v>0</v>
      </c>
      <c r="I566" s="34" t="n">
        <f aca="false">+IF(E566=0,0,E566*0.03)</f>
        <v>0</v>
      </c>
    </row>
    <row r="567" customFormat="false" ht="15.75" hidden="false" customHeight="true" outlineLevel="0" collapsed="false">
      <c r="A567" s="65" t="n">
        <v>45352</v>
      </c>
      <c r="B567" s="31" t="s">
        <v>7</v>
      </c>
      <c r="C567" s="32"/>
      <c r="D567" s="32"/>
      <c r="E567" s="19" t="n">
        <f aca="false">+F567*0.03</f>
        <v>0</v>
      </c>
      <c r="F567" s="33" t="n">
        <v>0</v>
      </c>
      <c r="G567" s="62"/>
      <c r="H567" s="35" t="n">
        <v>0</v>
      </c>
      <c r="I567" s="34" t="n">
        <f aca="false">+IF(E567=0,0,E567*0.03)</f>
        <v>0</v>
      </c>
    </row>
    <row r="568" customFormat="false" ht="15.75" hidden="false" customHeight="true" outlineLevel="0" collapsed="false">
      <c r="A568" s="65" t="n">
        <v>45352</v>
      </c>
      <c r="B568" s="31" t="s">
        <v>7</v>
      </c>
      <c r="C568" s="32"/>
      <c r="D568" s="32"/>
      <c r="E568" s="19" t="n">
        <f aca="false">+F568*0.03</f>
        <v>0</v>
      </c>
      <c r="F568" s="33" t="n">
        <v>0</v>
      </c>
      <c r="G568" s="62"/>
      <c r="H568" s="35" t="n">
        <v>0</v>
      </c>
      <c r="I568" s="34" t="n">
        <f aca="false">+IF(E568=0,0,E568*0.03)</f>
        <v>0</v>
      </c>
    </row>
    <row r="569" customFormat="false" ht="15.75" hidden="false" customHeight="true" outlineLevel="0" collapsed="false">
      <c r="A569" s="65" t="n">
        <v>45352</v>
      </c>
      <c r="B569" s="31" t="s">
        <v>7</v>
      </c>
      <c r="C569" s="32"/>
      <c r="D569" s="32"/>
      <c r="E569" s="19" t="n">
        <f aca="false">+F569*0.03</f>
        <v>0</v>
      </c>
      <c r="F569" s="33" t="n">
        <v>0</v>
      </c>
      <c r="G569" s="62"/>
      <c r="H569" s="35" t="n">
        <v>0</v>
      </c>
      <c r="I569" s="34" t="n">
        <f aca="false">+IF(E569=0,0,E569*0.03)</f>
        <v>0</v>
      </c>
    </row>
    <row r="570" customFormat="false" ht="15.75" hidden="false" customHeight="true" outlineLevel="0" collapsed="false">
      <c r="A570" s="65" t="n">
        <v>45352</v>
      </c>
      <c r="B570" s="31" t="s">
        <v>7</v>
      </c>
      <c r="C570" s="32"/>
      <c r="D570" s="32"/>
      <c r="E570" s="19" t="n">
        <f aca="false">+F570*0.03</f>
        <v>0</v>
      </c>
      <c r="F570" s="33" t="n">
        <v>0</v>
      </c>
      <c r="G570" s="62"/>
      <c r="H570" s="35" t="n">
        <v>0</v>
      </c>
      <c r="I570" s="34" t="n">
        <f aca="false">+IF(E570=0,0,E570*0.03)</f>
        <v>0</v>
      </c>
    </row>
    <row r="571" customFormat="false" ht="15.75" hidden="false" customHeight="true" outlineLevel="0" collapsed="false">
      <c r="A571" s="65" t="n">
        <v>45352</v>
      </c>
      <c r="B571" s="31" t="s">
        <v>7</v>
      </c>
      <c r="C571" s="32"/>
      <c r="D571" s="32"/>
      <c r="E571" s="19" t="n">
        <f aca="false">+F571*0.03</f>
        <v>0</v>
      </c>
      <c r="F571" s="33" t="n">
        <v>0</v>
      </c>
      <c r="G571" s="62"/>
      <c r="H571" s="35" t="n">
        <v>0</v>
      </c>
      <c r="I571" s="34" t="n">
        <f aca="false">+IF(E571=0,0,E571*0.03)</f>
        <v>0</v>
      </c>
    </row>
    <row r="572" customFormat="false" ht="15.75" hidden="false" customHeight="true" outlineLevel="0" collapsed="false">
      <c r="A572" s="65" t="n">
        <v>45352</v>
      </c>
      <c r="B572" s="31" t="s">
        <v>7</v>
      </c>
      <c r="C572" s="32"/>
      <c r="D572" s="32"/>
      <c r="E572" s="19" t="n">
        <f aca="false">+F572*0.03</f>
        <v>0</v>
      </c>
      <c r="F572" s="33" t="n">
        <v>0</v>
      </c>
      <c r="G572" s="62"/>
      <c r="H572" s="35" t="n">
        <v>0</v>
      </c>
      <c r="I572" s="34" t="n">
        <f aca="false">+IF(E572=0,0,E572*0.03)</f>
        <v>0</v>
      </c>
    </row>
    <row r="573" customFormat="false" ht="15.75" hidden="false" customHeight="true" outlineLevel="0" collapsed="false">
      <c r="A573" s="65" t="n">
        <v>45352</v>
      </c>
      <c r="B573" s="31" t="s">
        <v>7</v>
      </c>
      <c r="C573" s="32"/>
      <c r="D573" s="32"/>
      <c r="E573" s="19" t="n">
        <f aca="false">+F573*0.03</f>
        <v>0</v>
      </c>
      <c r="F573" s="33" t="n">
        <v>0</v>
      </c>
      <c r="G573" s="62"/>
      <c r="H573" s="35" t="n">
        <v>0</v>
      </c>
      <c r="I573" s="34" t="n">
        <f aca="false">+IF(E573=0,0,E573*0.03)</f>
        <v>0</v>
      </c>
    </row>
    <row r="574" customFormat="false" ht="15.75" hidden="false" customHeight="true" outlineLevel="0" collapsed="false">
      <c r="A574" s="65" t="n">
        <v>45352</v>
      </c>
      <c r="B574" s="31" t="s">
        <v>7</v>
      </c>
      <c r="C574" s="32"/>
      <c r="D574" s="32"/>
      <c r="E574" s="19" t="n">
        <f aca="false">+F574*0.03</f>
        <v>0</v>
      </c>
      <c r="F574" s="33" t="n">
        <v>0</v>
      </c>
      <c r="G574" s="62"/>
      <c r="H574" s="35" t="n">
        <v>0</v>
      </c>
      <c r="I574" s="34" t="n">
        <f aca="false">+IF(E574=0,0,E574*0.03)</f>
        <v>0</v>
      </c>
    </row>
    <row r="575" customFormat="false" ht="15.75" hidden="false" customHeight="true" outlineLevel="0" collapsed="false">
      <c r="A575" s="65" t="n">
        <v>45352</v>
      </c>
      <c r="B575" s="31" t="s">
        <v>7</v>
      </c>
      <c r="C575" s="32"/>
      <c r="D575" s="32"/>
      <c r="E575" s="19" t="n">
        <f aca="false">+F575*0.03</f>
        <v>0</v>
      </c>
      <c r="F575" s="33" t="n">
        <v>0</v>
      </c>
      <c r="G575" s="62"/>
      <c r="H575" s="35" t="n">
        <v>0</v>
      </c>
      <c r="I575" s="34" t="n">
        <f aca="false">+IF(E575=0,0,E575*0.03)</f>
        <v>0</v>
      </c>
    </row>
    <row r="576" customFormat="false" ht="15.75" hidden="false" customHeight="true" outlineLevel="0" collapsed="false">
      <c r="A576" s="65" t="n">
        <v>45352</v>
      </c>
      <c r="B576" s="31" t="s">
        <v>7</v>
      </c>
      <c r="C576" s="32"/>
      <c r="D576" s="32"/>
      <c r="E576" s="19" t="n">
        <f aca="false">+F576*0.03</f>
        <v>0</v>
      </c>
      <c r="F576" s="33" t="n">
        <v>0</v>
      </c>
      <c r="G576" s="62"/>
      <c r="H576" s="35" t="n">
        <v>0</v>
      </c>
      <c r="I576" s="34" t="n">
        <f aca="false">+IF(E576=0,0,E576*0.03)</f>
        <v>0</v>
      </c>
    </row>
    <row r="577" customFormat="false" ht="15.75" hidden="false" customHeight="true" outlineLevel="0" collapsed="false">
      <c r="A577" s="65" t="n">
        <v>45352</v>
      </c>
      <c r="B577" s="31" t="s">
        <v>7</v>
      </c>
      <c r="C577" s="32"/>
      <c r="D577" s="32"/>
      <c r="E577" s="19" t="n">
        <f aca="false">+F577*0.03</f>
        <v>0</v>
      </c>
      <c r="F577" s="33" t="n">
        <v>0</v>
      </c>
      <c r="G577" s="62"/>
      <c r="H577" s="35" t="n">
        <v>0</v>
      </c>
      <c r="I577" s="34" t="n">
        <f aca="false">+IF(E577=0,0,E577*0.03)</f>
        <v>0</v>
      </c>
    </row>
    <row r="578" customFormat="false" ht="15.75" hidden="false" customHeight="true" outlineLevel="0" collapsed="false">
      <c r="A578" s="65" t="n">
        <v>45352</v>
      </c>
      <c r="B578" s="31" t="s">
        <v>7</v>
      </c>
      <c r="C578" s="32"/>
      <c r="D578" s="32"/>
      <c r="E578" s="19" t="n">
        <f aca="false">+F578*0.03</f>
        <v>0</v>
      </c>
      <c r="F578" s="33" t="n">
        <v>0</v>
      </c>
      <c r="G578" s="62"/>
      <c r="H578" s="35" t="n">
        <v>0</v>
      </c>
      <c r="I578" s="34" t="n">
        <f aca="false">+IF(E578=0,0,E578*0.03)</f>
        <v>0</v>
      </c>
    </row>
    <row r="579" customFormat="false" ht="15.75" hidden="false" customHeight="true" outlineLevel="0" collapsed="false">
      <c r="A579" s="65" t="n">
        <v>45352</v>
      </c>
      <c r="B579" s="31" t="s">
        <v>7</v>
      </c>
      <c r="C579" s="32"/>
      <c r="D579" s="32"/>
      <c r="E579" s="19" t="n">
        <f aca="false">+F579*0.03</f>
        <v>0</v>
      </c>
      <c r="F579" s="33" t="n">
        <v>0</v>
      </c>
      <c r="G579" s="62"/>
      <c r="H579" s="35" t="n">
        <v>0</v>
      </c>
      <c r="I579" s="34" t="n">
        <f aca="false">+IF(E579=0,0,E579*0.03)</f>
        <v>0</v>
      </c>
    </row>
    <row r="580" customFormat="false" ht="15.75" hidden="false" customHeight="true" outlineLevel="0" collapsed="false">
      <c r="A580" s="65" t="n">
        <v>45352</v>
      </c>
      <c r="B580" s="31" t="s">
        <v>7</v>
      </c>
      <c r="C580" s="32"/>
      <c r="D580" s="32"/>
      <c r="E580" s="19" t="n">
        <f aca="false">+F580*0.03</f>
        <v>0</v>
      </c>
      <c r="F580" s="33" t="n">
        <v>0</v>
      </c>
      <c r="G580" s="62"/>
      <c r="H580" s="35" t="n">
        <v>0</v>
      </c>
      <c r="I580" s="34" t="n">
        <f aca="false">+IF(E580=0,0,E580*0.03)</f>
        <v>0</v>
      </c>
    </row>
    <row r="581" customFormat="false" ht="15.75" hidden="false" customHeight="true" outlineLevel="0" collapsed="false">
      <c r="A581" s="65" t="n">
        <v>45352</v>
      </c>
      <c r="B581" s="31" t="s">
        <v>7</v>
      </c>
      <c r="C581" s="32"/>
      <c r="D581" s="32"/>
      <c r="E581" s="19" t="n">
        <f aca="false">+F581*0.03</f>
        <v>0</v>
      </c>
      <c r="F581" s="33" t="n">
        <v>0</v>
      </c>
      <c r="G581" s="62"/>
      <c r="H581" s="35" t="n">
        <v>0</v>
      </c>
      <c r="I581" s="34" t="n">
        <f aca="false">+IF(E581=0,0,E581*0.03)</f>
        <v>0</v>
      </c>
    </row>
    <row r="582" customFormat="false" ht="15.75" hidden="false" customHeight="true" outlineLevel="0" collapsed="false">
      <c r="A582" s="65" t="n">
        <v>45352</v>
      </c>
      <c r="B582" s="31" t="s">
        <v>7</v>
      </c>
      <c r="C582" s="32"/>
      <c r="D582" s="32"/>
      <c r="E582" s="19" t="n">
        <f aca="false">+F582*0.03</f>
        <v>0</v>
      </c>
      <c r="F582" s="33" t="n">
        <v>0</v>
      </c>
      <c r="G582" s="62"/>
      <c r="H582" s="35" t="n">
        <v>0</v>
      </c>
      <c r="I582" s="34" t="n">
        <f aca="false">+IF(E582=0,0,E582*0.03)</f>
        <v>0</v>
      </c>
    </row>
    <row r="583" customFormat="false" ht="15.75" hidden="false" customHeight="true" outlineLevel="0" collapsed="false">
      <c r="A583" s="65" t="n">
        <v>45352</v>
      </c>
      <c r="B583" s="31" t="s">
        <v>7</v>
      </c>
      <c r="C583" s="32"/>
      <c r="D583" s="32"/>
      <c r="E583" s="19" t="n">
        <f aca="false">+F583*0.03</f>
        <v>0</v>
      </c>
      <c r="F583" s="33" t="n">
        <v>0</v>
      </c>
      <c r="G583" s="62"/>
      <c r="H583" s="35" t="n">
        <v>0</v>
      </c>
      <c r="I583" s="34" t="n">
        <f aca="false">+IF(E583=0,0,E583*0.03)</f>
        <v>0</v>
      </c>
    </row>
    <row r="584" customFormat="false" ht="15.75" hidden="false" customHeight="true" outlineLevel="0" collapsed="false">
      <c r="A584" s="65" t="n">
        <v>45352</v>
      </c>
      <c r="B584" s="31" t="s">
        <v>7</v>
      </c>
      <c r="C584" s="32"/>
      <c r="D584" s="32"/>
      <c r="E584" s="19" t="n">
        <f aca="false">+F584*0.03</f>
        <v>0</v>
      </c>
      <c r="F584" s="33" t="n">
        <v>0</v>
      </c>
      <c r="G584" s="62"/>
      <c r="H584" s="35" t="n">
        <v>0</v>
      </c>
      <c r="I584" s="34" t="n">
        <f aca="false">+IF(E584=0,0,E584*0.03)</f>
        <v>0</v>
      </c>
    </row>
    <row r="585" customFormat="false" ht="15.75" hidden="false" customHeight="true" outlineLevel="0" collapsed="false">
      <c r="A585" s="65" t="n">
        <v>45352</v>
      </c>
      <c r="B585" s="31" t="s">
        <v>7</v>
      </c>
      <c r="C585" s="32"/>
      <c r="D585" s="32"/>
      <c r="E585" s="19" t="n">
        <f aca="false">+F585*0.03</f>
        <v>0</v>
      </c>
      <c r="F585" s="33" t="n">
        <v>0</v>
      </c>
      <c r="G585" s="62"/>
      <c r="H585" s="35" t="n">
        <v>0</v>
      </c>
      <c r="I585" s="34" t="n">
        <f aca="false">+IF(E585=0,0,E585*0.03)</f>
        <v>0</v>
      </c>
    </row>
    <row r="586" customFormat="false" ht="15.75" hidden="false" customHeight="true" outlineLevel="0" collapsed="false">
      <c r="A586" s="65" t="n">
        <v>45352</v>
      </c>
      <c r="B586" s="31" t="s">
        <v>7</v>
      </c>
      <c r="C586" s="32"/>
      <c r="D586" s="32"/>
      <c r="E586" s="19" t="n">
        <f aca="false">+F586*0.03</f>
        <v>0</v>
      </c>
      <c r="F586" s="33" t="n">
        <v>0</v>
      </c>
      <c r="G586" s="62"/>
      <c r="H586" s="35" t="n">
        <v>0</v>
      </c>
      <c r="I586" s="34" t="n">
        <f aca="false">+IF(E586=0,0,E586*0.03)</f>
        <v>0</v>
      </c>
    </row>
    <row r="587" customFormat="false" ht="15.75" hidden="false" customHeight="true" outlineLevel="0" collapsed="false">
      <c r="A587" s="65" t="n">
        <v>45352</v>
      </c>
      <c r="B587" s="31" t="s">
        <v>7</v>
      </c>
      <c r="C587" s="32"/>
      <c r="D587" s="32"/>
      <c r="E587" s="19" t="n">
        <f aca="false">+F587*0.03</f>
        <v>0</v>
      </c>
      <c r="F587" s="33" t="n">
        <v>0</v>
      </c>
      <c r="G587" s="62"/>
      <c r="H587" s="35" t="n">
        <v>0</v>
      </c>
      <c r="I587" s="34" t="n">
        <f aca="false">+IF(E587=0,0,E587*0.03)</f>
        <v>0</v>
      </c>
    </row>
    <row r="588" customFormat="false" ht="15.75" hidden="false" customHeight="true" outlineLevel="0" collapsed="false">
      <c r="A588" s="65" t="n">
        <v>45352</v>
      </c>
      <c r="B588" s="31" t="s">
        <v>7</v>
      </c>
      <c r="C588" s="32"/>
      <c r="D588" s="32"/>
      <c r="E588" s="19" t="n">
        <f aca="false">+F588*0.03</f>
        <v>0</v>
      </c>
      <c r="F588" s="33" t="n">
        <v>0</v>
      </c>
      <c r="G588" s="62"/>
      <c r="H588" s="35" t="n">
        <v>0</v>
      </c>
      <c r="I588" s="34" t="n">
        <f aca="false">+IF(E588=0,0,E588*0.03)</f>
        <v>0</v>
      </c>
    </row>
    <row r="589" customFormat="false" ht="15.75" hidden="false" customHeight="true" outlineLevel="0" collapsed="false">
      <c r="A589" s="65" t="n">
        <v>45352</v>
      </c>
      <c r="B589" s="31" t="s">
        <v>7</v>
      </c>
      <c r="C589" s="32"/>
      <c r="D589" s="32"/>
      <c r="E589" s="19" t="n">
        <f aca="false">+F589*0.03</f>
        <v>0</v>
      </c>
      <c r="F589" s="33" t="n">
        <v>0</v>
      </c>
      <c r="G589" s="62"/>
      <c r="H589" s="35" t="n">
        <v>0</v>
      </c>
      <c r="I589" s="34" t="n">
        <f aca="false">+IF(E589=0,0,E589*0.03)</f>
        <v>0</v>
      </c>
    </row>
    <row r="590" customFormat="false" ht="15.75" hidden="false" customHeight="true" outlineLevel="0" collapsed="false">
      <c r="A590" s="65" t="n">
        <v>45352</v>
      </c>
      <c r="B590" s="31" t="s">
        <v>7</v>
      </c>
      <c r="C590" s="32"/>
      <c r="D590" s="32"/>
      <c r="E590" s="19" t="n">
        <f aca="false">+F590*0.03</f>
        <v>0</v>
      </c>
      <c r="F590" s="33" t="n">
        <v>0</v>
      </c>
      <c r="G590" s="62"/>
      <c r="H590" s="35" t="n">
        <v>0</v>
      </c>
      <c r="I590" s="34" t="n">
        <f aca="false">+IF(E590=0,0,E590*0.03)</f>
        <v>0</v>
      </c>
    </row>
    <row r="591" customFormat="false" ht="15.75" hidden="false" customHeight="true" outlineLevel="0" collapsed="false">
      <c r="A591" s="65" t="n">
        <v>45352</v>
      </c>
      <c r="B591" s="31" t="s">
        <v>7</v>
      </c>
      <c r="C591" s="32"/>
      <c r="D591" s="32"/>
      <c r="E591" s="19" t="n">
        <f aca="false">+F591*0.03</f>
        <v>0</v>
      </c>
      <c r="F591" s="33" t="n">
        <v>0</v>
      </c>
      <c r="G591" s="62"/>
      <c r="H591" s="35" t="n">
        <v>0</v>
      </c>
      <c r="I591" s="34" t="n">
        <f aca="false">+IF(E591=0,0,E591*0.03)</f>
        <v>0</v>
      </c>
    </row>
    <row r="592" customFormat="false" ht="15.75" hidden="false" customHeight="true" outlineLevel="0" collapsed="false">
      <c r="A592" s="65" t="n">
        <v>45352</v>
      </c>
      <c r="B592" s="31" t="s">
        <v>7</v>
      </c>
      <c r="C592" s="32"/>
      <c r="D592" s="32"/>
      <c r="E592" s="19" t="n">
        <f aca="false">+F592*0.03</f>
        <v>0</v>
      </c>
      <c r="F592" s="33" t="n">
        <v>0</v>
      </c>
      <c r="G592" s="62"/>
      <c r="H592" s="35" t="n">
        <v>0</v>
      </c>
      <c r="I592" s="34" t="n">
        <f aca="false">+IF(E592=0,0,E592*0.03)</f>
        <v>0</v>
      </c>
    </row>
    <row r="593" customFormat="false" ht="15.75" hidden="false" customHeight="true" outlineLevel="0" collapsed="false">
      <c r="A593" s="65" t="n">
        <v>45352</v>
      </c>
      <c r="B593" s="31" t="s">
        <v>7</v>
      </c>
      <c r="C593" s="32"/>
      <c r="D593" s="32"/>
      <c r="E593" s="19" t="n">
        <f aca="false">+F593*0.03</f>
        <v>0</v>
      </c>
      <c r="F593" s="33" t="n">
        <v>0</v>
      </c>
      <c r="G593" s="62"/>
      <c r="H593" s="35" t="n">
        <v>0</v>
      </c>
      <c r="I593" s="34" t="n">
        <f aca="false">+IF(E593=0,0,E593*0.03)</f>
        <v>0</v>
      </c>
    </row>
    <row r="594" customFormat="false" ht="15.75" hidden="false" customHeight="true" outlineLevel="0" collapsed="false">
      <c r="A594" s="65" t="n">
        <v>45352</v>
      </c>
      <c r="B594" s="31" t="s">
        <v>7</v>
      </c>
      <c r="C594" s="32"/>
      <c r="D594" s="32"/>
      <c r="E594" s="19" t="n">
        <f aca="false">+F594*0.03</f>
        <v>0</v>
      </c>
      <c r="F594" s="33" t="n">
        <v>0</v>
      </c>
      <c r="G594" s="62"/>
      <c r="H594" s="35" t="n">
        <v>0</v>
      </c>
      <c r="I594" s="34" t="n">
        <f aca="false">+IF(E594=0,0,E594*0.03)</f>
        <v>0</v>
      </c>
    </row>
    <row r="595" customFormat="false" ht="15.75" hidden="false" customHeight="true" outlineLevel="0" collapsed="false">
      <c r="A595" s="65" t="n">
        <v>45352</v>
      </c>
      <c r="B595" s="31" t="s">
        <v>7</v>
      </c>
      <c r="C595" s="32"/>
      <c r="D595" s="32"/>
      <c r="E595" s="19" t="n">
        <f aca="false">+F595*0.03</f>
        <v>0</v>
      </c>
      <c r="F595" s="33" t="n">
        <v>0</v>
      </c>
      <c r="G595" s="62"/>
      <c r="H595" s="35" t="n">
        <v>0</v>
      </c>
      <c r="I595" s="34" t="n">
        <f aca="false">+IF(E595=0,0,E595*0.03)</f>
        <v>0</v>
      </c>
    </row>
    <row r="596" customFormat="false" ht="15.75" hidden="false" customHeight="true" outlineLevel="0" collapsed="false">
      <c r="A596" s="65" t="n">
        <v>45352</v>
      </c>
      <c r="B596" s="31" t="s">
        <v>7</v>
      </c>
      <c r="C596" s="32"/>
      <c r="D596" s="32"/>
      <c r="E596" s="19" t="n">
        <f aca="false">+F596*0.03</f>
        <v>0</v>
      </c>
      <c r="F596" s="33" t="n">
        <v>0</v>
      </c>
      <c r="G596" s="62"/>
      <c r="H596" s="35" t="n">
        <v>0</v>
      </c>
      <c r="I596" s="34" t="n">
        <f aca="false">+IF(E596=0,0,E596*0.03)</f>
        <v>0</v>
      </c>
    </row>
    <row r="597" customFormat="false" ht="15.75" hidden="false" customHeight="true" outlineLevel="0" collapsed="false">
      <c r="A597" s="65" t="n">
        <v>45352</v>
      </c>
      <c r="B597" s="31" t="s">
        <v>7</v>
      </c>
      <c r="C597" s="32"/>
      <c r="D597" s="32"/>
      <c r="E597" s="19" t="n">
        <f aca="false">+F597*0.03</f>
        <v>0</v>
      </c>
      <c r="F597" s="33" t="n">
        <v>0</v>
      </c>
      <c r="G597" s="62"/>
      <c r="H597" s="35" t="n">
        <v>0</v>
      </c>
      <c r="I597" s="34" t="n">
        <f aca="false">+IF(E597=0,0,E597*0.03)</f>
        <v>0</v>
      </c>
    </row>
    <row r="598" customFormat="false" ht="15.75" hidden="false" customHeight="true" outlineLevel="0" collapsed="false">
      <c r="A598" s="65" t="n">
        <v>45352</v>
      </c>
      <c r="B598" s="31" t="s">
        <v>7</v>
      </c>
      <c r="C598" s="32"/>
      <c r="D598" s="32"/>
      <c r="E598" s="19" t="n">
        <f aca="false">+F598*0.03</f>
        <v>0</v>
      </c>
      <c r="F598" s="33" t="n">
        <v>0</v>
      </c>
      <c r="G598" s="62"/>
      <c r="H598" s="35" t="n">
        <v>0</v>
      </c>
      <c r="I598" s="34" t="n">
        <f aca="false">+IF(E598=0,0,E598*0.03)</f>
        <v>0</v>
      </c>
    </row>
    <row r="599" customFormat="false" ht="15.75" hidden="false" customHeight="true" outlineLevel="0" collapsed="false">
      <c r="A599" s="65" t="n">
        <v>45352</v>
      </c>
      <c r="B599" s="31" t="s">
        <v>7</v>
      </c>
      <c r="C599" s="32"/>
      <c r="D599" s="32"/>
      <c r="E599" s="19" t="n">
        <f aca="false">+F599*0.03</f>
        <v>0</v>
      </c>
      <c r="F599" s="33" t="n">
        <v>0</v>
      </c>
      <c r="G599" s="62"/>
      <c r="H599" s="35" t="n">
        <v>0</v>
      </c>
      <c r="I599" s="34" t="n">
        <f aca="false">+IF(E599=0,0,E599*0.03)</f>
        <v>0</v>
      </c>
    </row>
    <row r="600" customFormat="false" ht="15.75" hidden="false" customHeight="true" outlineLevel="0" collapsed="false">
      <c r="A600" s="65" t="n">
        <v>45352</v>
      </c>
      <c r="B600" s="31" t="s">
        <v>7</v>
      </c>
      <c r="C600" s="32"/>
      <c r="D600" s="32"/>
      <c r="E600" s="19" t="n">
        <f aca="false">+F600*0.03</f>
        <v>0</v>
      </c>
      <c r="F600" s="33" t="n">
        <v>0</v>
      </c>
      <c r="G600" s="62"/>
      <c r="H600" s="35" t="n">
        <v>0</v>
      </c>
      <c r="I600" s="34" t="n">
        <f aca="false">+IF(E600=0,0,E600*0.03)</f>
        <v>0</v>
      </c>
    </row>
    <row r="601" customFormat="false" ht="15.75" hidden="false" customHeight="true" outlineLevel="0" collapsed="false">
      <c r="A601" s="65" t="n">
        <v>45352</v>
      </c>
      <c r="B601" s="31" t="s">
        <v>7</v>
      </c>
      <c r="C601" s="32"/>
      <c r="D601" s="32"/>
      <c r="E601" s="19" t="n">
        <f aca="false">+F601*0.03</f>
        <v>0</v>
      </c>
      <c r="F601" s="33" t="n">
        <v>0</v>
      </c>
      <c r="G601" s="62"/>
      <c r="H601" s="35" t="n">
        <v>0</v>
      </c>
      <c r="I601" s="34" t="n">
        <f aca="false">+IF(E601=0,0,E601*0.03)</f>
        <v>0</v>
      </c>
    </row>
    <row r="602" customFormat="false" ht="15.75" hidden="false" customHeight="true" outlineLevel="0" collapsed="false">
      <c r="A602" s="65" t="n">
        <v>45352</v>
      </c>
      <c r="B602" s="31" t="s">
        <v>7</v>
      </c>
      <c r="C602" s="32"/>
      <c r="D602" s="32"/>
      <c r="E602" s="19" t="n">
        <f aca="false">+F602*0.03</f>
        <v>0</v>
      </c>
      <c r="F602" s="33" t="n">
        <v>0</v>
      </c>
      <c r="G602" s="62"/>
      <c r="H602" s="35" t="n">
        <v>0</v>
      </c>
      <c r="I602" s="34" t="n">
        <f aca="false">+IF(E602=0,0,E602*0.03)</f>
        <v>0</v>
      </c>
    </row>
    <row r="603" customFormat="false" ht="15.75" hidden="false" customHeight="true" outlineLevel="0" collapsed="false">
      <c r="A603" s="65" t="n">
        <v>45352</v>
      </c>
      <c r="B603" s="31" t="s">
        <v>7</v>
      </c>
      <c r="C603" s="32"/>
      <c r="D603" s="32"/>
      <c r="E603" s="19" t="n">
        <f aca="false">+F603*0.03</f>
        <v>0</v>
      </c>
      <c r="F603" s="33" t="n">
        <v>0</v>
      </c>
      <c r="G603" s="62"/>
      <c r="H603" s="35" t="n">
        <v>0</v>
      </c>
      <c r="I603" s="34" t="n">
        <f aca="false">+IF(E603=0,0,E603*0.03)</f>
        <v>0</v>
      </c>
    </row>
    <row r="604" customFormat="false" ht="15.75" hidden="false" customHeight="true" outlineLevel="0" collapsed="false">
      <c r="A604" s="65" t="n">
        <v>45352</v>
      </c>
      <c r="B604" s="31" t="s">
        <v>7</v>
      </c>
      <c r="C604" s="32"/>
      <c r="D604" s="32"/>
      <c r="E604" s="19" t="n">
        <f aca="false">+F604*0.03</f>
        <v>0</v>
      </c>
      <c r="F604" s="33" t="n">
        <v>0</v>
      </c>
      <c r="G604" s="62"/>
      <c r="H604" s="35" t="n">
        <v>0</v>
      </c>
      <c r="I604" s="34" t="n">
        <f aca="false">+IF(E604=0,0,E604*0.03)</f>
        <v>0</v>
      </c>
    </row>
    <row r="605" customFormat="false" ht="15.75" hidden="false" customHeight="true" outlineLevel="0" collapsed="false">
      <c r="A605" s="65" t="n">
        <v>45352</v>
      </c>
      <c r="B605" s="31" t="s">
        <v>7</v>
      </c>
      <c r="C605" s="32"/>
      <c r="D605" s="32"/>
      <c r="E605" s="19" t="n">
        <f aca="false">+F605*0.03</f>
        <v>0</v>
      </c>
      <c r="F605" s="33" t="n">
        <v>0</v>
      </c>
      <c r="G605" s="62"/>
      <c r="H605" s="35" t="n">
        <v>0</v>
      </c>
      <c r="I605" s="34" t="n">
        <f aca="false">+IF(E605=0,0,E605*0.03)</f>
        <v>0</v>
      </c>
    </row>
    <row r="606" customFormat="false" ht="15.75" hidden="false" customHeight="true" outlineLevel="0" collapsed="false">
      <c r="A606" s="65" t="n">
        <v>45352</v>
      </c>
      <c r="B606" s="31" t="s">
        <v>7</v>
      </c>
      <c r="C606" s="32"/>
      <c r="D606" s="32"/>
      <c r="E606" s="19" t="n">
        <f aca="false">+F606*0.03</f>
        <v>0</v>
      </c>
      <c r="F606" s="33" t="n">
        <v>0</v>
      </c>
      <c r="G606" s="62"/>
      <c r="H606" s="35" t="n">
        <v>0</v>
      </c>
      <c r="I606" s="34" t="n">
        <f aca="false">+IF(E606=0,0,E606*0.03)</f>
        <v>0</v>
      </c>
    </row>
    <row r="607" customFormat="false" ht="15.75" hidden="false" customHeight="true" outlineLevel="0" collapsed="false">
      <c r="A607" s="65" t="n">
        <v>45352</v>
      </c>
      <c r="B607" s="31" t="s">
        <v>7</v>
      </c>
      <c r="C607" s="32"/>
      <c r="D607" s="32"/>
      <c r="E607" s="19" t="n">
        <f aca="false">+F607*0.03</f>
        <v>0</v>
      </c>
      <c r="F607" s="33" t="n">
        <v>0</v>
      </c>
      <c r="G607" s="62"/>
      <c r="H607" s="35" t="n">
        <v>0</v>
      </c>
      <c r="I607" s="34" t="n">
        <f aca="false">+IF(E607=0,0,E607*0.03)</f>
        <v>0</v>
      </c>
    </row>
    <row r="608" customFormat="false" ht="15.75" hidden="false" customHeight="true" outlineLevel="0" collapsed="false">
      <c r="A608" s="65" t="n">
        <v>45352</v>
      </c>
      <c r="B608" s="31" t="s">
        <v>7</v>
      </c>
      <c r="C608" s="32"/>
      <c r="D608" s="32"/>
      <c r="E608" s="19" t="n">
        <f aca="false">+F608*0.03</f>
        <v>0</v>
      </c>
      <c r="F608" s="33" t="n">
        <v>0</v>
      </c>
      <c r="G608" s="62"/>
      <c r="H608" s="35" t="n">
        <v>0</v>
      </c>
      <c r="I608" s="34" t="n">
        <f aca="false">+IF(E608=0,0,E608*0.03)</f>
        <v>0</v>
      </c>
    </row>
    <row r="609" customFormat="false" ht="15.75" hidden="false" customHeight="true" outlineLevel="0" collapsed="false">
      <c r="A609" s="65" t="n">
        <v>45352</v>
      </c>
      <c r="B609" s="31" t="s">
        <v>7</v>
      </c>
      <c r="C609" s="32"/>
      <c r="D609" s="32"/>
      <c r="E609" s="19" t="n">
        <f aca="false">+F609*0.03</f>
        <v>0</v>
      </c>
      <c r="F609" s="33" t="n">
        <v>0</v>
      </c>
      <c r="G609" s="62"/>
      <c r="H609" s="35" t="n">
        <v>0</v>
      </c>
      <c r="I609" s="34" t="n">
        <f aca="false">+IF(E609=0,0,E609*0.03)</f>
        <v>0</v>
      </c>
    </row>
    <row r="610" customFormat="false" ht="15.75" hidden="false" customHeight="true" outlineLevel="0" collapsed="false">
      <c r="A610" s="65" t="n">
        <v>45352</v>
      </c>
      <c r="B610" s="31" t="s">
        <v>7</v>
      </c>
      <c r="C610" s="32"/>
      <c r="D610" s="32"/>
      <c r="E610" s="19" t="n">
        <f aca="false">+F610*0.03</f>
        <v>0</v>
      </c>
      <c r="F610" s="33" t="n">
        <v>0</v>
      </c>
      <c r="G610" s="62"/>
      <c r="H610" s="35" t="n">
        <v>0</v>
      </c>
      <c r="I610" s="34" t="n">
        <f aca="false">+IF(E610=0,0,E610*0.03)</f>
        <v>0</v>
      </c>
    </row>
    <row r="611" customFormat="false" ht="15.75" hidden="false" customHeight="true" outlineLevel="0" collapsed="false">
      <c r="A611" s="65" t="n">
        <v>45352</v>
      </c>
      <c r="B611" s="31" t="s">
        <v>7</v>
      </c>
      <c r="C611" s="32"/>
      <c r="D611" s="32"/>
      <c r="E611" s="19" t="n">
        <f aca="false">+F611*0.03</f>
        <v>0</v>
      </c>
      <c r="F611" s="33" t="n">
        <v>0</v>
      </c>
      <c r="G611" s="62"/>
      <c r="H611" s="35" t="n">
        <v>0</v>
      </c>
      <c r="I611" s="34" t="n">
        <f aca="false">+IF(E611=0,0,E611*0.03)</f>
        <v>0</v>
      </c>
    </row>
    <row r="612" customFormat="false" ht="15.75" hidden="false" customHeight="true" outlineLevel="0" collapsed="false">
      <c r="A612" s="65" t="n">
        <v>45352</v>
      </c>
      <c r="B612" s="31" t="s">
        <v>7</v>
      </c>
      <c r="C612" s="32"/>
      <c r="D612" s="32"/>
      <c r="E612" s="19" t="n">
        <f aca="false">+F612*0.03</f>
        <v>0</v>
      </c>
      <c r="F612" s="33" t="n">
        <v>0</v>
      </c>
      <c r="G612" s="62"/>
      <c r="H612" s="35" t="n">
        <v>0</v>
      </c>
      <c r="I612" s="34" t="n">
        <f aca="false">+IF(E612=0,0,E612*0.03)</f>
        <v>0</v>
      </c>
    </row>
    <row r="613" customFormat="false" ht="15.75" hidden="false" customHeight="true" outlineLevel="0" collapsed="false">
      <c r="A613" s="65" t="n">
        <v>45352</v>
      </c>
      <c r="B613" s="31" t="s">
        <v>7</v>
      </c>
      <c r="C613" s="32"/>
      <c r="D613" s="32"/>
      <c r="E613" s="19" t="n">
        <f aca="false">+F613*0.03</f>
        <v>0</v>
      </c>
      <c r="F613" s="33" t="n">
        <v>0</v>
      </c>
      <c r="G613" s="62"/>
      <c r="H613" s="35" t="n">
        <v>0</v>
      </c>
      <c r="I613" s="34" t="n">
        <f aca="false">+IF(E613=0,0,E613*0.03)</f>
        <v>0</v>
      </c>
    </row>
    <row r="614" customFormat="false" ht="15.75" hidden="false" customHeight="true" outlineLevel="0" collapsed="false">
      <c r="A614" s="65" t="n">
        <v>45352</v>
      </c>
      <c r="B614" s="31" t="s">
        <v>7</v>
      </c>
      <c r="C614" s="32"/>
      <c r="D614" s="32"/>
      <c r="E614" s="19" t="n">
        <f aca="false">+F614*0.03</f>
        <v>0</v>
      </c>
      <c r="F614" s="33" t="n">
        <v>0</v>
      </c>
      <c r="G614" s="62"/>
      <c r="H614" s="35" t="n">
        <v>0</v>
      </c>
      <c r="I614" s="34" t="n">
        <f aca="false">+IF(E614=0,0,E614*0.03)</f>
        <v>0</v>
      </c>
    </row>
    <row r="615" customFormat="false" ht="15.75" hidden="false" customHeight="true" outlineLevel="0" collapsed="false">
      <c r="A615" s="65" t="n">
        <v>45352</v>
      </c>
      <c r="B615" s="31" t="s">
        <v>7</v>
      </c>
      <c r="C615" s="32"/>
      <c r="D615" s="32"/>
      <c r="E615" s="19" t="n">
        <f aca="false">+F615*0.03</f>
        <v>0</v>
      </c>
      <c r="F615" s="33" t="n">
        <v>0</v>
      </c>
      <c r="G615" s="62"/>
      <c r="H615" s="35" t="n">
        <v>0</v>
      </c>
      <c r="I615" s="34" t="n">
        <f aca="false">+IF(E615=0,0,E615*0.03)</f>
        <v>0</v>
      </c>
    </row>
    <row r="616" customFormat="false" ht="15.75" hidden="false" customHeight="true" outlineLevel="0" collapsed="false">
      <c r="A616" s="65" t="n">
        <v>45352</v>
      </c>
      <c r="B616" s="31" t="s">
        <v>7</v>
      </c>
      <c r="C616" s="32"/>
      <c r="D616" s="32"/>
      <c r="E616" s="19" t="n">
        <f aca="false">+F616*0.03</f>
        <v>0</v>
      </c>
      <c r="F616" s="33" t="n">
        <v>0</v>
      </c>
      <c r="G616" s="62"/>
      <c r="H616" s="35" t="n">
        <v>0</v>
      </c>
      <c r="I616" s="34" t="n">
        <f aca="false">+IF(E616=0,0,E616*0.03)</f>
        <v>0</v>
      </c>
    </row>
    <row r="617" customFormat="false" ht="15.75" hidden="false" customHeight="true" outlineLevel="0" collapsed="false">
      <c r="A617" s="65" t="n">
        <v>45352</v>
      </c>
      <c r="B617" s="31" t="s">
        <v>7</v>
      </c>
      <c r="C617" s="32"/>
      <c r="D617" s="32"/>
      <c r="E617" s="19" t="n">
        <f aca="false">+F617*0.03</f>
        <v>0</v>
      </c>
      <c r="F617" s="33" t="n">
        <v>0</v>
      </c>
      <c r="G617" s="62"/>
      <c r="H617" s="35" t="n">
        <v>0</v>
      </c>
      <c r="I617" s="34" t="n">
        <f aca="false">+IF(E617=0,0,E617*0.03)</f>
        <v>0</v>
      </c>
    </row>
    <row r="618" customFormat="false" ht="15.75" hidden="false" customHeight="true" outlineLevel="0" collapsed="false">
      <c r="A618" s="65" t="n">
        <v>45352</v>
      </c>
      <c r="B618" s="31" t="s">
        <v>7</v>
      </c>
      <c r="C618" s="32"/>
      <c r="D618" s="32"/>
      <c r="E618" s="19" t="n">
        <f aca="false">+F618*0.03</f>
        <v>0</v>
      </c>
      <c r="F618" s="33" t="n">
        <v>0</v>
      </c>
      <c r="G618" s="62"/>
      <c r="H618" s="35" t="n">
        <v>0</v>
      </c>
      <c r="I618" s="34" t="n">
        <f aca="false">+IF(E618=0,0,E618*0.03)</f>
        <v>0</v>
      </c>
    </row>
    <row r="619" customFormat="false" ht="15.75" hidden="false" customHeight="true" outlineLevel="0" collapsed="false">
      <c r="A619" s="65" t="n">
        <v>45352</v>
      </c>
      <c r="B619" s="31" t="s">
        <v>7</v>
      </c>
      <c r="C619" s="32"/>
      <c r="D619" s="32"/>
      <c r="E619" s="19" t="n">
        <f aca="false">+F619*0.03</f>
        <v>0</v>
      </c>
      <c r="F619" s="33" t="n">
        <v>0</v>
      </c>
      <c r="G619" s="62"/>
      <c r="H619" s="35" t="n">
        <v>0</v>
      </c>
      <c r="I619" s="34" t="n">
        <f aca="false">+IF(E619=0,0,E619*0.03)</f>
        <v>0</v>
      </c>
    </row>
    <row r="620" customFormat="false" ht="15.75" hidden="false" customHeight="true" outlineLevel="0" collapsed="false">
      <c r="A620" s="65" t="n">
        <v>45352</v>
      </c>
      <c r="B620" s="31" t="s">
        <v>7</v>
      </c>
      <c r="C620" s="32"/>
      <c r="D620" s="32"/>
      <c r="E620" s="19" t="n">
        <f aca="false">+F620*0.03</f>
        <v>0</v>
      </c>
      <c r="F620" s="33" t="n">
        <v>0</v>
      </c>
      <c r="G620" s="62"/>
      <c r="H620" s="35" t="n">
        <v>0</v>
      </c>
      <c r="I620" s="34" t="n">
        <f aca="false">+IF(E620=0,0,E620*0.03)</f>
        <v>0</v>
      </c>
    </row>
    <row r="621" customFormat="false" ht="15.75" hidden="false" customHeight="true" outlineLevel="0" collapsed="false">
      <c r="A621" s="65" t="n">
        <v>45352</v>
      </c>
      <c r="B621" s="31" t="s">
        <v>7</v>
      </c>
      <c r="C621" s="32"/>
      <c r="D621" s="32"/>
      <c r="E621" s="19" t="n">
        <f aca="false">+F621*0.03</f>
        <v>0</v>
      </c>
      <c r="F621" s="33" t="n">
        <v>0</v>
      </c>
      <c r="G621" s="62"/>
      <c r="H621" s="35" t="n">
        <v>0</v>
      </c>
      <c r="I621" s="34" t="n">
        <f aca="false">+IF(E621=0,0,E621*0.03)</f>
        <v>0</v>
      </c>
    </row>
    <row r="622" customFormat="false" ht="15.75" hidden="false" customHeight="true" outlineLevel="0" collapsed="false">
      <c r="A622" s="65" t="n">
        <v>45352</v>
      </c>
      <c r="B622" s="31" t="s">
        <v>7</v>
      </c>
      <c r="C622" s="32"/>
      <c r="D622" s="32"/>
      <c r="E622" s="19" t="n">
        <f aca="false">+F622*0.03</f>
        <v>0</v>
      </c>
      <c r="F622" s="33" t="n">
        <v>0</v>
      </c>
      <c r="G622" s="62"/>
      <c r="H622" s="35" t="n">
        <v>0</v>
      </c>
      <c r="I622" s="34" t="n">
        <f aca="false">+IF(E622=0,0,E622*0.03)</f>
        <v>0</v>
      </c>
    </row>
    <row r="623" customFormat="false" ht="15.75" hidden="false" customHeight="true" outlineLevel="0" collapsed="false">
      <c r="A623" s="65" t="n">
        <v>45352</v>
      </c>
      <c r="B623" s="31" t="s">
        <v>7</v>
      </c>
      <c r="C623" s="32"/>
      <c r="D623" s="32"/>
      <c r="E623" s="19" t="n">
        <f aca="false">+F623*0.03</f>
        <v>0</v>
      </c>
      <c r="F623" s="33" t="n">
        <v>0</v>
      </c>
      <c r="G623" s="62"/>
      <c r="H623" s="35" t="n">
        <v>0</v>
      </c>
      <c r="I623" s="34" t="n">
        <f aca="false">+IF(E623=0,0,E623*0.03)</f>
        <v>0</v>
      </c>
    </row>
    <row r="624" customFormat="false" ht="15.75" hidden="false" customHeight="true" outlineLevel="0" collapsed="false">
      <c r="A624" s="65" t="n">
        <v>45352</v>
      </c>
      <c r="B624" s="31" t="s">
        <v>7</v>
      </c>
      <c r="C624" s="32"/>
      <c r="D624" s="32"/>
      <c r="E624" s="19" t="n">
        <f aca="false">+F624*0.03</f>
        <v>0</v>
      </c>
      <c r="F624" s="33" t="n">
        <v>0</v>
      </c>
      <c r="G624" s="62"/>
      <c r="H624" s="35" t="n">
        <v>0</v>
      </c>
      <c r="I624" s="34" t="n">
        <f aca="false">+IF(E624=0,0,E624*0.03)</f>
        <v>0</v>
      </c>
    </row>
    <row r="625" customFormat="false" ht="15.75" hidden="false" customHeight="true" outlineLevel="0" collapsed="false">
      <c r="A625" s="65" t="n">
        <v>45352</v>
      </c>
      <c r="B625" s="31" t="s">
        <v>7</v>
      </c>
      <c r="C625" s="32"/>
      <c r="D625" s="32"/>
      <c r="E625" s="19" t="n">
        <f aca="false">+F625*0.03</f>
        <v>0</v>
      </c>
      <c r="F625" s="33" t="n">
        <v>0</v>
      </c>
      <c r="G625" s="62"/>
      <c r="H625" s="35" t="n">
        <v>0</v>
      </c>
      <c r="I625" s="34" t="n">
        <f aca="false">+IF(E625=0,0,E625*0.03)</f>
        <v>0</v>
      </c>
    </row>
    <row r="626" customFormat="false" ht="15.75" hidden="false" customHeight="true" outlineLevel="0" collapsed="false">
      <c r="A626" s="65" t="n">
        <v>45352</v>
      </c>
      <c r="B626" s="31" t="s">
        <v>7</v>
      </c>
      <c r="C626" s="32"/>
      <c r="D626" s="32"/>
      <c r="E626" s="19" t="n">
        <f aca="false">+F626*0.03</f>
        <v>0</v>
      </c>
      <c r="F626" s="33" t="n">
        <v>0</v>
      </c>
      <c r="G626" s="62"/>
      <c r="H626" s="35" t="n">
        <v>0</v>
      </c>
      <c r="I626" s="34" t="n">
        <f aca="false">+IF(E626=0,0,E626*0.03)</f>
        <v>0</v>
      </c>
    </row>
    <row r="627" customFormat="false" ht="15.75" hidden="false" customHeight="true" outlineLevel="0" collapsed="false">
      <c r="A627" s="65" t="n">
        <v>45352</v>
      </c>
      <c r="B627" s="31" t="s">
        <v>7</v>
      </c>
      <c r="C627" s="32"/>
      <c r="D627" s="32"/>
      <c r="E627" s="19" t="n">
        <f aca="false">+F627*0.03</f>
        <v>0</v>
      </c>
      <c r="F627" s="33" t="n">
        <v>0</v>
      </c>
      <c r="G627" s="62"/>
      <c r="H627" s="35" t="n">
        <v>0</v>
      </c>
      <c r="I627" s="34" t="n">
        <f aca="false">+IF(E627=0,0,E627*0.03)</f>
        <v>0</v>
      </c>
    </row>
    <row r="628" customFormat="false" ht="15.75" hidden="false" customHeight="true" outlineLevel="0" collapsed="false">
      <c r="A628" s="65" t="n">
        <v>45352</v>
      </c>
      <c r="B628" s="31" t="s">
        <v>7</v>
      </c>
      <c r="C628" s="32"/>
      <c r="D628" s="32"/>
      <c r="E628" s="19" t="n">
        <f aca="false">+F628*0.03</f>
        <v>0</v>
      </c>
      <c r="F628" s="33" t="n">
        <v>0</v>
      </c>
      <c r="G628" s="62"/>
      <c r="H628" s="35" t="n">
        <v>0</v>
      </c>
      <c r="I628" s="34" t="n">
        <f aca="false">+IF(E628=0,0,E628*0.03)</f>
        <v>0</v>
      </c>
    </row>
    <row r="629" customFormat="false" ht="15.75" hidden="false" customHeight="true" outlineLevel="0" collapsed="false">
      <c r="A629" s="65" t="n">
        <v>45352</v>
      </c>
      <c r="B629" s="31" t="s">
        <v>7</v>
      </c>
      <c r="C629" s="32"/>
      <c r="D629" s="32"/>
      <c r="E629" s="19" t="n">
        <f aca="false">+F629*0.03</f>
        <v>0</v>
      </c>
      <c r="F629" s="33" t="n">
        <v>0</v>
      </c>
      <c r="G629" s="62"/>
      <c r="H629" s="35" t="n">
        <v>0</v>
      </c>
      <c r="I629" s="34" t="n">
        <f aca="false">+IF(E629=0,0,E629*0.03)</f>
        <v>0</v>
      </c>
    </row>
    <row r="630" customFormat="false" ht="15.75" hidden="false" customHeight="true" outlineLevel="0" collapsed="false">
      <c r="A630" s="65" t="n">
        <v>45352</v>
      </c>
      <c r="B630" s="31" t="s">
        <v>7</v>
      </c>
      <c r="C630" s="32"/>
      <c r="D630" s="32"/>
      <c r="E630" s="19" t="n">
        <f aca="false">+F630*0.03</f>
        <v>0</v>
      </c>
      <c r="F630" s="33" t="n">
        <v>0</v>
      </c>
      <c r="G630" s="62"/>
      <c r="H630" s="35" t="n">
        <v>0</v>
      </c>
      <c r="I630" s="34" t="n">
        <f aca="false">+IF(E630=0,0,E630*0.03)</f>
        <v>0</v>
      </c>
    </row>
    <row r="631" customFormat="false" ht="15.75" hidden="false" customHeight="true" outlineLevel="0" collapsed="false">
      <c r="A631" s="65" t="n">
        <v>45352</v>
      </c>
      <c r="B631" s="31" t="s">
        <v>7</v>
      </c>
      <c r="C631" s="32"/>
      <c r="D631" s="32"/>
      <c r="E631" s="19" t="n">
        <f aca="false">+F631*0.03</f>
        <v>0</v>
      </c>
      <c r="F631" s="33" t="n">
        <v>0</v>
      </c>
      <c r="G631" s="62"/>
      <c r="H631" s="35" t="n">
        <v>0</v>
      </c>
      <c r="I631" s="34" t="n">
        <f aca="false">+IF(E631=0,0,E631*0.03)</f>
        <v>0</v>
      </c>
    </row>
    <row r="632" customFormat="false" ht="15.75" hidden="false" customHeight="true" outlineLevel="0" collapsed="false">
      <c r="A632" s="65" t="n">
        <v>45352</v>
      </c>
      <c r="B632" s="31" t="s">
        <v>7</v>
      </c>
      <c r="C632" s="32"/>
      <c r="D632" s="32"/>
      <c r="E632" s="19" t="n">
        <f aca="false">+F632*0.03</f>
        <v>0</v>
      </c>
      <c r="F632" s="33" t="n">
        <v>0</v>
      </c>
      <c r="G632" s="62"/>
      <c r="H632" s="35" t="n">
        <v>0</v>
      </c>
      <c r="I632" s="34" t="n">
        <f aca="false">+IF(E632=0,0,E632*0.03)</f>
        <v>0</v>
      </c>
    </row>
    <row r="633" customFormat="false" ht="15.75" hidden="false" customHeight="true" outlineLevel="0" collapsed="false">
      <c r="A633" s="65" t="n">
        <v>45352</v>
      </c>
      <c r="B633" s="31" t="s">
        <v>7</v>
      </c>
      <c r="C633" s="32"/>
      <c r="D633" s="32"/>
      <c r="E633" s="19" t="n">
        <f aca="false">+F633*0.03</f>
        <v>0</v>
      </c>
      <c r="F633" s="33" t="n">
        <v>0</v>
      </c>
      <c r="G633" s="62"/>
      <c r="H633" s="35" t="n">
        <v>0</v>
      </c>
      <c r="I633" s="34" t="n">
        <f aca="false">+IF(E633=0,0,E633*0.03)</f>
        <v>0</v>
      </c>
    </row>
    <row r="634" customFormat="false" ht="15.75" hidden="false" customHeight="true" outlineLevel="0" collapsed="false">
      <c r="A634" s="65" t="n">
        <v>45352</v>
      </c>
      <c r="B634" s="31" t="s">
        <v>7</v>
      </c>
      <c r="C634" s="32"/>
      <c r="D634" s="32"/>
      <c r="E634" s="19" t="n">
        <f aca="false">+F634*0.03</f>
        <v>0</v>
      </c>
      <c r="F634" s="33" t="n">
        <v>0</v>
      </c>
      <c r="G634" s="62"/>
      <c r="H634" s="35" t="n">
        <v>0</v>
      </c>
      <c r="I634" s="34" t="n">
        <f aca="false">+IF(E634=0,0,E634*0.03)</f>
        <v>0</v>
      </c>
    </row>
    <row r="635" customFormat="false" ht="15.75" hidden="false" customHeight="true" outlineLevel="0" collapsed="false">
      <c r="A635" s="65" t="n">
        <v>45352</v>
      </c>
      <c r="B635" s="31" t="s">
        <v>7</v>
      </c>
      <c r="C635" s="32"/>
      <c r="D635" s="32"/>
      <c r="E635" s="19" t="n">
        <f aca="false">+F635*0.03</f>
        <v>0</v>
      </c>
      <c r="F635" s="33" t="n">
        <v>0</v>
      </c>
      <c r="G635" s="62"/>
      <c r="H635" s="35" t="n">
        <v>0</v>
      </c>
      <c r="I635" s="34" t="n">
        <f aca="false">+IF(E635=0,0,E635*0.03)</f>
        <v>0</v>
      </c>
    </row>
    <row r="636" customFormat="false" ht="15.75" hidden="false" customHeight="true" outlineLevel="0" collapsed="false">
      <c r="A636" s="65" t="n">
        <v>45352</v>
      </c>
      <c r="B636" s="31" t="s">
        <v>7</v>
      </c>
      <c r="C636" s="32"/>
      <c r="D636" s="32"/>
      <c r="E636" s="19" t="n">
        <f aca="false">+F636*0.03</f>
        <v>0</v>
      </c>
      <c r="F636" s="33" t="n">
        <v>0</v>
      </c>
      <c r="G636" s="62"/>
      <c r="H636" s="35" t="n">
        <v>0</v>
      </c>
      <c r="I636" s="34" t="n">
        <f aca="false">+IF(E636=0,0,E636*0.03)</f>
        <v>0</v>
      </c>
    </row>
    <row r="637" customFormat="false" ht="15.75" hidden="false" customHeight="true" outlineLevel="0" collapsed="false">
      <c r="A637" s="65" t="n">
        <v>45352</v>
      </c>
      <c r="B637" s="31" t="s">
        <v>7</v>
      </c>
      <c r="C637" s="32"/>
      <c r="D637" s="32"/>
      <c r="E637" s="19" t="n">
        <f aca="false">+F637*0.03</f>
        <v>0</v>
      </c>
      <c r="F637" s="33" t="n">
        <v>0</v>
      </c>
      <c r="G637" s="62"/>
      <c r="H637" s="35" t="n">
        <v>0</v>
      </c>
      <c r="I637" s="34" t="n">
        <f aca="false">+IF(E637=0,0,E637*0.03)</f>
        <v>0</v>
      </c>
    </row>
    <row r="638" customFormat="false" ht="15.75" hidden="false" customHeight="true" outlineLevel="0" collapsed="false">
      <c r="A638" s="65" t="n">
        <v>45352</v>
      </c>
      <c r="B638" s="31" t="s">
        <v>7</v>
      </c>
      <c r="C638" s="32"/>
      <c r="D638" s="32"/>
      <c r="E638" s="19" t="n">
        <f aca="false">+F638*0.03</f>
        <v>0</v>
      </c>
      <c r="F638" s="33" t="n">
        <v>0</v>
      </c>
      <c r="G638" s="62"/>
      <c r="H638" s="35" t="n">
        <v>0</v>
      </c>
      <c r="I638" s="34" t="n">
        <f aca="false">+IF(E638=0,0,E638*0.03)</f>
        <v>0</v>
      </c>
    </row>
    <row r="639" customFormat="false" ht="15.75" hidden="false" customHeight="true" outlineLevel="0" collapsed="false">
      <c r="A639" s="65" t="n">
        <v>45352</v>
      </c>
      <c r="B639" s="31" t="s">
        <v>7</v>
      </c>
      <c r="C639" s="32"/>
      <c r="D639" s="32"/>
      <c r="E639" s="19" t="n">
        <f aca="false">+F639*0.03</f>
        <v>0</v>
      </c>
      <c r="F639" s="33" t="n">
        <v>0</v>
      </c>
      <c r="G639" s="62"/>
      <c r="H639" s="35" t="n">
        <v>0</v>
      </c>
      <c r="I639" s="34" t="n">
        <f aca="false">+IF(E639=0,0,E639*0.03)</f>
        <v>0</v>
      </c>
    </row>
    <row r="640" customFormat="false" ht="15.75" hidden="false" customHeight="true" outlineLevel="0" collapsed="false">
      <c r="A640" s="65" t="n">
        <v>45352</v>
      </c>
      <c r="B640" s="31" t="s">
        <v>7</v>
      </c>
      <c r="C640" s="32"/>
      <c r="D640" s="32"/>
      <c r="E640" s="19" t="n">
        <f aca="false">+F640*0.03</f>
        <v>0</v>
      </c>
      <c r="F640" s="33" t="n">
        <v>0</v>
      </c>
      <c r="G640" s="62"/>
      <c r="H640" s="35" t="n">
        <v>0</v>
      </c>
      <c r="I640" s="34" t="n">
        <f aca="false">+IF(E640=0,0,E640*0.03)</f>
        <v>0</v>
      </c>
    </row>
    <row r="641" customFormat="false" ht="15.75" hidden="false" customHeight="true" outlineLevel="0" collapsed="false">
      <c r="A641" s="65" t="n">
        <v>45352</v>
      </c>
      <c r="B641" s="31" t="s">
        <v>7</v>
      </c>
      <c r="C641" s="32"/>
      <c r="D641" s="32"/>
      <c r="E641" s="19" t="n">
        <f aca="false">+F641*0.03</f>
        <v>0</v>
      </c>
      <c r="F641" s="33" t="n">
        <v>0</v>
      </c>
      <c r="G641" s="62"/>
      <c r="H641" s="35" t="n">
        <v>0</v>
      </c>
      <c r="I641" s="34" t="n">
        <f aca="false">+IF(E641=0,0,E641*0.03)</f>
        <v>0</v>
      </c>
    </row>
    <row r="642" customFormat="false" ht="15.75" hidden="false" customHeight="true" outlineLevel="0" collapsed="false">
      <c r="A642" s="65" t="n">
        <v>45352</v>
      </c>
      <c r="B642" s="31" t="s">
        <v>7</v>
      </c>
      <c r="C642" s="32"/>
      <c r="D642" s="32"/>
      <c r="E642" s="19" t="n">
        <f aca="false">+F642*0.03</f>
        <v>0</v>
      </c>
      <c r="F642" s="33" t="n">
        <v>0</v>
      </c>
      <c r="G642" s="62"/>
      <c r="H642" s="35" t="n">
        <v>0</v>
      </c>
      <c r="I642" s="34" t="n">
        <f aca="false">+IF(E642=0,0,E642*0.03)</f>
        <v>0</v>
      </c>
    </row>
    <row r="643" customFormat="false" ht="15.75" hidden="false" customHeight="true" outlineLevel="0" collapsed="false">
      <c r="A643" s="65" t="n">
        <v>45352</v>
      </c>
      <c r="B643" s="31" t="s">
        <v>7</v>
      </c>
      <c r="C643" s="32"/>
      <c r="D643" s="32"/>
      <c r="E643" s="19" t="n">
        <f aca="false">+F643*0.03</f>
        <v>0</v>
      </c>
      <c r="F643" s="33" t="n">
        <v>0</v>
      </c>
      <c r="G643" s="62"/>
      <c r="H643" s="35" t="n">
        <v>0</v>
      </c>
      <c r="I643" s="34" t="n">
        <f aca="false">+IF(E643=0,0,E643*0.03)</f>
        <v>0</v>
      </c>
    </row>
    <row r="644" customFormat="false" ht="15.75" hidden="false" customHeight="true" outlineLevel="0" collapsed="false">
      <c r="A644" s="65" t="n">
        <v>45352</v>
      </c>
      <c r="B644" s="31" t="s">
        <v>7</v>
      </c>
      <c r="C644" s="32"/>
      <c r="D644" s="32"/>
      <c r="E644" s="19" t="n">
        <f aca="false">+F644*0.03</f>
        <v>0</v>
      </c>
      <c r="F644" s="33" t="n">
        <v>0</v>
      </c>
      <c r="G644" s="62"/>
      <c r="H644" s="35" t="n">
        <v>0</v>
      </c>
      <c r="I644" s="34" t="n">
        <f aca="false">+IF(E644=0,0,E644*0.03)</f>
        <v>0</v>
      </c>
    </row>
    <row r="645" customFormat="false" ht="15.75" hidden="false" customHeight="true" outlineLevel="0" collapsed="false">
      <c r="A645" s="65" t="n">
        <v>45352</v>
      </c>
      <c r="B645" s="31" t="s">
        <v>7</v>
      </c>
      <c r="C645" s="32"/>
      <c r="D645" s="32"/>
      <c r="E645" s="19" t="n">
        <f aca="false">+F645*0.03</f>
        <v>0</v>
      </c>
      <c r="F645" s="33" t="n">
        <v>0</v>
      </c>
      <c r="G645" s="62"/>
      <c r="H645" s="35" t="n">
        <v>0</v>
      </c>
      <c r="I645" s="34" t="n">
        <f aca="false">+IF(E645=0,0,E645*0.03)</f>
        <v>0</v>
      </c>
    </row>
    <row r="646" customFormat="false" ht="15.75" hidden="false" customHeight="true" outlineLevel="0" collapsed="false">
      <c r="A646" s="65" t="n">
        <v>45352</v>
      </c>
      <c r="B646" s="31" t="s">
        <v>7</v>
      </c>
      <c r="C646" s="32"/>
      <c r="D646" s="32"/>
      <c r="E646" s="19" t="n">
        <f aca="false">+F646*0.03</f>
        <v>0</v>
      </c>
      <c r="F646" s="33" t="n">
        <v>0</v>
      </c>
      <c r="G646" s="62"/>
      <c r="H646" s="35" t="n">
        <v>0</v>
      </c>
      <c r="I646" s="34" t="n">
        <f aca="false">+IF(E646=0,0,E646*0.03)</f>
        <v>0</v>
      </c>
    </row>
    <row r="647" customFormat="false" ht="15.75" hidden="false" customHeight="true" outlineLevel="0" collapsed="false">
      <c r="A647" s="65" t="n">
        <v>45352</v>
      </c>
      <c r="B647" s="31" t="s">
        <v>7</v>
      </c>
      <c r="C647" s="32"/>
      <c r="D647" s="32"/>
      <c r="E647" s="19" t="n">
        <f aca="false">+F647*0.03</f>
        <v>0</v>
      </c>
      <c r="F647" s="33" t="n">
        <v>0</v>
      </c>
      <c r="G647" s="62"/>
      <c r="H647" s="35" t="n">
        <v>0</v>
      </c>
      <c r="I647" s="34" t="n">
        <f aca="false">+IF(E647=0,0,E647*0.03)</f>
        <v>0</v>
      </c>
    </row>
    <row r="648" customFormat="false" ht="15.75" hidden="false" customHeight="true" outlineLevel="0" collapsed="false">
      <c r="A648" s="65" t="n">
        <v>45352</v>
      </c>
      <c r="B648" s="31" t="s">
        <v>7</v>
      </c>
      <c r="C648" s="32"/>
      <c r="D648" s="32"/>
      <c r="E648" s="19" t="n">
        <f aca="false">+F648*0.03</f>
        <v>0</v>
      </c>
      <c r="F648" s="33" t="n">
        <v>0</v>
      </c>
      <c r="G648" s="62"/>
      <c r="H648" s="35" t="n">
        <v>0</v>
      </c>
      <c r="I648" s="34" t="n">
        <f aca="false">+IF(E648=0,0,E648*0.03)</f>
        <v>0</v>
      </c>
    </row>
    <row r="649" customFormat="false" ht="15.75" hidden="false" customHeight="true" outlineLevel="0" collapsed="false">
      <c r="A649" s="65" t="n">
        <v>45352</v>
      </c>
      <c r="B649" s="31" t="s">
        <v>7</v>
      </c>
      <c r="C649" s="32"/>
      <c r="D649" s="32"/>
      <c r="E649" s="19" t="n">
        <f aca="false">+F649*0.03</f>
        <v>0</v>
      </c>
      <c r="F649" s="33" t="n">
        <v>0</v>
      </c>
      <c r="G649" s="62"/>
      <c r="H649" s="35" t="n">
        <v>0</v>
      </c>
      <c r="I649" s="34" t="n">
        <f aca="false">+IF(E649=0,0,E649*0.03)</f>
        <v>0</v>
      </c>
    </row>
    <row r="650" customFormat="false" ht="15.75" hidden="false" customHeight="true" outlineLevel="0" collapsed="false">
      <c r="A650" s="65" t="n">
        <v>45352</v>
      </c>
      <c r="B650" s="31" t="s">
        <v>7</v>
      </c>
      <c r="C650" s="32"/>
      <c r="D650" s="32"/>
      <c r="E650" s="19" t="n">
        <f aca="false">+F650*0.03</f>
        <v>0</v>
      </c>
      <c r="F650" s="33" t="n">
        <v>0</v>
      </c>
      <c r="G650" s="62"/>
      <c r="H650" s="35" t="n">
        <v>0</v>
      </c>
      <c r="I650" s="34" t="n">
        <f aca="false">+IF(E650=0,0,E650*0.03)</f>
        <v>0</v>
      </c>
    </row>
    <row r="651" customFormat="false" ht="15.75" hidden="false" customHeight="true" outlineLevel="0" collapsed="false">
      <c r="A651" s="65" t="n">
        <v>45352</v>
      </c>
      <c r="B651" s="31" t="s">
        <v>7</v>
      </c>
      <c r="C651" s="32"/>
      <c r="D651" s="32"/>
      <c r="E651" s="19" t="n">
        <f aca="false">+F651*0.03</f>
        <v>0</v>
      </c>
      <c r="F651" s="33" t="n">
        <v>0</v>
      </c>
      <c r="G651" s="62"/>
      <c r="H651" s="35" t="n">
        <v>0</v>
      </c>
      <c r="I651" s="34" t="n">
        <f aca="false">+IF(E651=0,0,E651*0.03)</f>
        <v>0</v>
      </c>
    </row>
    <row r="652" customFormat="false" ht="15.75" hidden="false" customHeight="true" outlineLevel="0" collapsed="false">
      <c r="A652" s="65" t="n">
        <v>45352</v>
      </c>
      <c r="B652" s="31" t="s">
        <v>7</v>
      </c>
      <c r="C652" s="32"/>
      <c r="D652" s="32"/>
      <c r="E652" s="19" t="n">
        <f aca="false">+F652*0.03</f>
        <v>0</v>
      </c>
      <c r="F652" s="33" t="n">
        <v>0</v>
      </c>
      <c r="G652" s="62"/>
      <c r="H652" s="35" t="n">
        <v>0</v>
      </c>
      <c r="I652" s="34" t="n">
        <f aca="false">+IF(E652=0,0,E652*0.03)</f>
        <v>0</v>
      </c>
    </row>
    <row r="653" customFormat="false" ht="15.75" hidden="false" customHeight="true" outlineLevel="0" collapsed="false">
      <c r="A653" s="65" t="n">
        <v>45352</v>
      </c>
      <c r="B653" s="31" t="s">
        <v>7</v>
      </c>
      <c r="C653" s="32"/>
      <c r="D653" s="32"/>
      <c r="E653" s="19" t="n">
        <f aca="false">+F653*0.03</f>
        <v>0</v>
      </c>
      <c r="F653" s="33" t="n">
        <v>0</v>
      </c>
      <c r="G653" s="62"/>
      <c r="H653" s="35" t="n">
        <v>0</v>
      </c>
      <c r="I653" s="34" t="n">
        <f aca="false">+IF(E653=0,0,E653*0.03)</f>
        <v>0</v>
      </c>
    </row>
    <row r="654" customFormat="false" ht="15.75" hidden="false" customHeight="true" outlineLevel="0" collapsed="false">
      <c r="A654" s="65" t="n">
        <v>45352</v>
      </c>
      <c r="B654" s="31" t="s">
        <v>7</v>
      </c>
      <c r="C654" s="32"/>
      <c r="D654" s="32"/>
      <c r="E654" s="19" t="n">
        <f aca="false">+F654*0.03</f>
        <v>0</v>
      </c>
      <c r="F654" s="33" t="n">
        <v>0</v>
      </c>
      <c r="G654" s="62"/>
      <c r="H654" s="35" t="n">
        <v>0</v>
      </c>
      <c r="I654" s="34" t="n">
        <f aca="false">+IF(E654=0,0,E654*0.03)</f>
        <v>0</v>
      </c>
    </row>
    <row r="655" customFormat="false" ht="15.75" hidden="false" customHeight="true" outlineLevel="0" collapsed="false">
      <c r="A655" s="65" t="n">
        <v>45352</v>
      </c>
      <c r="B655" s="31" t="s">
        <v>7</v>
      </c>
      <c r="C655" s="32"/>
      <c r="D655" s="32"/>
      <c r="E655" s="19" t="n">
        <f aca="false">+F655*0.03</f>
        <v>0</v>
      </c>
      <c r="F655" s="33" t="n">
        <v>0</v>
      </c>
      <c r="G655" s="62"/>
      <c r="H655" s="35" t="n">
        <v>0</v>
      </c>
      <c r="I655" s="34" t="n">
        <f aca="false">+IF(E655=0,0,E655*0.03)</f>
        <v>0</v>
      </c>
    </row>
    <row r="656" customFormat="false" ht="15.75" hidden="false" customHeight="true" outlineLevel="0" collapsed="false">
      <c r="A656" s="65" t="n">
        <v>45352</v>
      </c>
      <c r="B656" s="31" t="s">
        <v>7</v>
      </c>
      <c r="C656" s="32"/>
      <c r="D656" s="32"/>
      <c r="E656" s="19" t="n">
        <f aca="false">+F656*0.03</f>
        <v>0</v>
      </c>
      <c r="F656" s="33" t="n">
        <v>0</v>
      </c>
      <c r="G656" s="62"/>
      <c r="H656" s="35" t="n">
        <v>0</v>
      </c>
      <c r="I656" s="34" t="n">
        <f aca="false">+IF(E656=0,0,E656*0.03)</f>
        <v>0</v>
      </c>
    </row>
    <row r="657" customFormat="false" ht="15.75" hidden="false" customHeight="true" outlineLevel="0" collapsed="false">
      <c r="A657" s="65" t="n">
        <v>45352</v>
      </c>
      <c r="B657" s="31" t="s">
        <v>7</v>
      </c>
      <c r="C657" s="32"/>
      <c r="D657" s="32"/>
      <c r="E657" s="19" t="n">
        <f aca="false">+F657*0.03</f>
        <v>0</v>
      </c>
      <c r="F657" s="33" t="n">
        <v>0</v>
      </c>
      <c r="G657" s="62"/>
      <c r="H657" s="35" t="n">
        <v>0</v>
      </c>
      <c r="I657" s="34" t="n">
        <f aca="false">+IF(E657=0,0,E657*0.03)</f>
        <v>0</v>
      </c>
    </row>
    <row r="658" customFormat="false" ht="15.75" hidden="false" customHeight="true" outlineLevel="0" collapsed="false">
      <c r="A658" s="65" t="n">
        <v>45352</v>
      </c>
      <c r="B658" s="31" t="s">
        <v>7</v>
      </c>
      <c r="C658" s="32"/>
      <c r="D658" s="32"/>
      <c r="E658" s="19" t="n">
        <f aca="false">+F658*0.03</f>
        <v>0</v>
      </c>
      <c r="F658" s="33" t="n">
        <v>0</v>
      </c>
      <c r="G658" s="62"/>
      <c r="H658" s="35" t="n">
        <v>0</v>
      </c>
      <c r="I658" s="34" t="n">
        <f aca="false">+IF(E658=0,0,E658*0.03)</f>
        <v>0</v>
      </c>
    </row>
    <row r="659" customFormat="false" ht="15.75" hidden="false" customHeight="true" outlineLevel="0" collapsed="false">
      <c r="A659" s="65" t="n">
        <v>45352</v>
      </c>
      <c r="B659" s="31" t="s">
        <v>7</v>
      </c>
      <c r="C659" s="32"/>
      <c r="D659" s="32"/>
      <c r="E659" s="19" t="n">
        <f aca="false">+F659*0.03</f>
        <v>0</v>
      </c>
      <c r="F659" s="33" t="n">
        <v>0</v>
      </c>
      <c r="G659" s="62"/>
      <c r="H659" s="35" t="n">
        <v>0</v>
      </c>
      <c r="I659" s="34" t="n">
        <f aca="false">+IF(E659=0,0,E659*0.03)</f>
        <v>0</v>
      </c>
    </row>
    <row r="660" customFormat="false" ht="15.75" hidden="false" customHeight="true" outlineLevel="0" collapsed="false">
      <c r="A660" s="65" t="n">
        <v>45352</v>
      </c>
      <c r="B660" s="31" t="s">
        <v>7</v>
      </c>
      <c r="C660" s="32"/>
      <c r="D660" s="32"/>
      <c r="E660" s="19" t="n">
        <f aca="false">+F660*0.03</f>
        <v>0</v>
      </c>
      <c r="F660" s="33" t="n">
        <v>0</v>
      </c>
      <c r="G660" s="62"/>
      <c r="H660" s="35" t="n">
        <v>0</v>
      </c>
      <c r="I660" s="34" t="n">
        <f aca="false">+IF(E660=0,0,E660*0.03)</f>
        <v>0</v>
      </c>
    </row>
    <row r="661" customFormat="false" ht="15.75" hidden="false" customHeight="true" outlineLevel="0" collapsed="false">
      <c r="A661" s="65" t="n">
        <v>45352</v>
      </c>
      <c r="B661" s="31" t="s">
        <v>7</v>
      </c>
      <c r="C661" s="32"/>
      <c r="D661" s="32"/>
      <c r="E661" s="19" t="n">
        <f aca="false">+F661*0.03</f>
        <v>0</v>
      </c>
      <c r="F661" s="33" t="n">
        <v>0</v>
      </c>
      <c r="G661" s="62"/>
      <c r="H661" s="35" t="n">
        <v>0</v>
      </c>
      <c r="I661" s="34" t="n">
        <f aca="false">+IF(E661=0,0,E661*0.03)</f>
        <v>0</v>
      </c>
    </row>
    <row r="662" customFormat="false" ht="15.75" hidden="false" customHeight="true" outlineLevel="0" collapsed="false">
      <c r="A662" s="65" t="n">
        <v>45352</v>
      </c>
      <c r="B662" s="31" t="s">
        <v>7</v>
      </c>
      <c r="C662" s="32"/>
      <c r="D662" s="32"/>
      <c r="E662" s="19" t="n">
        <f aca="false">+F662*0.03</f>
        <v>0</v>
      </c>
      <c r="F662" s="33" t="n">
        <v>0</v>
      </c>
      <c r="G662" s="62"/>
      <c r="H662" s="35" t="n">
        <v>0</v>
      </c>
      <c r="I662" s="34" t="n">
        <f aca="false">+IF(E662=0,0,E662*0.03)</f>
        <v>0</v>
      </c>
    </row>
    <row r="663" customFormat="false" ht="15.75" hidden="false" customHeight="true" outlineLevel="0" collapsed="false">
      <c r="A663" s="65" t="n">
        <v>45352</v>
      </c>
      <c r="B663" s="31" t="s">
        <v>7</v>
      </c>
      <c r="C663" s="32"/>
      <c r="D663" s="32"/>
      <c r="E663" s="19" t="n">
        <f aca="false">+F663*0.03</f>
        <v>0</v>
      </c>
      <c r="F663" s="33" t="n">
        <v>0</v>
      </c>
      <c r="G663" s="62"/>
      <c r="H663" s="35" t="n">
        <v>0</v>
      </c>
      <c r="I663" s="34" t="n">
        <f aca="false">+IF(E663=0,0,E663*0.03)</f>
        <v>0</v>
      </c>
    </row>
    <row r="664" customFormat="false" ht="15.75" hidden="false" customHeight="true" outlineLevel="0" collapsed="false">
      <c r="A664" s="65" t="n">
        <v>45352</v>
      </c>
      <c r="B664" s="31" t="s">
        <v>7</v>
      </c>
      <c r="C664" s="32"/>
      <c r="D664" s="32"/>
      <c r="E664" s="19" t="n">
        <f aca="false">+F664*0.03</f>
        <v>0</v>
      </c>
      <c r="F664" s="33" t="n">
        <v>0</v>
      </c>
      <c r="G664" s="62"/>
      <c r="H664" s="35" t="n">
        <v>0</v>
      </c>
      <c r="I664" s="34" t="n">
        <f aca="false">+IF(E664=0,0,E664*0.03)</f>
        <v>0</v>
      </c>
    </row>
    <row r="665" customFormat="false" ht="15.75" hidden="false" customHeight="true" outlineLevel="0" collapsed="false">
      <c r="A665" s="65" t="n">
        <v>45352</v>
      </c>
      <c r="B665" s="31" t="s">
        <v>7</v>
      </c>
      <c r="C665" s="32"/>
      <c r="D665" s="32"/>
      <c r="E665" s="19" t="n">
        <f aca="false">+F665*0.03</f>
        <v>0</v>
      </c>
      <c r="F665" s="33" t="n">
        <v>0</v>
      </c>
      <c r="G665" s="62"/>
      <c r="H665" s="35" t="n">
        <v>0</v>
      </c>
      <c r="I665" s="34" t="n">
        <f aca="false">+IF(E665=0,0,E665*0.03)</f>
        <v>0</v>
      </c>
    </row>
    <row r="666" customFormat="false" ht="15.75" hidden="false" customHeight="true" outlineLevel="0" collapsed="false">
      <c r="A666" s="65" t="n">
        <v>45352</v>
      </c>
      <c r="B666" s="31" t="s">
        <v>7</v>
      </c>
      <c r="C666" s="32"/>
      <c r="D666" s="32"/>
      <c r="E666" s="19" t="n">
        <f aca="false">+F666*0.03</f>
        <v>0</v>
      </c>
      <c r="F666" s="33" t="n">
        <v>0</v>
      </c>
      <c r="G666" s="62"/>
      <c r="H666" s="35" t="n">
        <v>0</v>
      </c>
      <c r="I666" s="34" t="n">
        <f aca="false">+IF(E666=0,0,E666*0.03)</f>
        <v>0</v>
      </c>
    </row>
    <row r="667" customFormat="false" ht="15.75" hidden="false" customHeight="true" outlineLevel="0" collapsed="false">
      <c r="A667" s="65" t="n">
        <v>45352</v>
      </c>
      <c r="B667" s="31" t="s">
        <v>7</v>
      </c>
      <c r="C667" s="32"/>
      <c r="D667" s="32"/>
      <c r="E667" s="19" t="n">
        <f aca="false">+F667*0.03</f>
        <v>0</v>
      </c>
      <c r="F667" s="33" t="n">
        <v>0</v>
      </c>
      <c r="G667" s="62"/>
      <c r="H667" s="35" t="n">
        <v>0</v>
      </c>
      <c r="I667" s="34" t="n">
        <f aca="false">+IF(E667=0,0,E667*0.03)</f>
        <v>0</v>
      </c>
    </row>
    <row r="668" customFormat="false" ht="15.75" hidden="false" customHeight="true" outlineLevel="0" collapsed="false">
      <c r="A668" s="65" t="n">
        <v>45352</v>
      </c>
      <c r="B668" s="31" t="s">
        <v>7</v>
      </c>
      <c r="C668" s="32"/>
      <c r="D668" s="32"/>
      <c r="E668" s="19" t="n">
        <f aca="false">+F668*0.03</f>
        <v>0</v>
      </c>
      <c r="F668" s="33" t="n">
        <v>0</v>
      </c>
      <c r="G668" s="62"/>
      <c r="H668" s="35" t="n">
        <v>0</v>
      </c>
      <c r="I668" s="34" t="n">
        <f aca="false">+IF(E668=0,0,E668*0.03)</f>
        <v>0</v>
      </c>
    </row>
    <row r="669" customFormat="false" ht="15.75" hidden="false" customHeight="true" outlineLevel="0" collapsed="false">
      <c r="A669" s="65" t="n">
        <v>45352</v>
      </c>
      <c r="B669" s="31" t="s">
        <v>7</v>
      </c>
      <c r="C669" s="32"/>
      <c r="D669" s="32"/>
      <c r="E669" s="19" t="n">
        <f aca="false">+F669*0.03</f>
        <v>0</v>
      </c>
      <c r="F669" s="33" t="n">
        <v>0</v>
      </c>
      <c r="G669" s="62"/>
      <c r="H669" s="35" t="n">
        <v>0</v>
      </c>
      <c r="I669" s="34" t="n">
        <f aca="false">+IF(E669=0,0,E669*0.03)</f>
        <v>0</v>
      </c>
    </row>
    <row r="670" customFormat="false" ht="15.75" hidden="false" customHeight="true" outlineLevel="0" collapsed="false">
      <c r="A670" s="65" t="n">
        <v>45352</v>
      </c>
      <c r="B670" s="31" t="s">
        <v>7</v>
      </c>
      <c r="C670" s="32"/>
      <c r="D670" s="32"/>
      <c r="E670" s="19" t="n">
        <f aca="false">+F670*0.03</f>
        <v>0</v>
      </c>
      <c r="F670" s="33" t="n">
        <v>0</v>
      </c>
      <c r="G670" s="62"/>
      <c r="H670" s="35" t="n">
        <v>0</v>
      </c>
      <c r="I670" s="34" t="n">
        <f aca="false">+IF(E670=0,0,E670*0.03)</f>
        <v>0</v>
      </c>
    </row>
    <row r="671" customFormat="false" ht="15.75" hidden="false" customHeight="true" outlineLevel="0" collapsed="false">
      <c r="A671" s="65" t="n">
        <v>45352</v>
      </c>
      <c r="B671" s="31" t="s">
        <v>7</v>
      </c>
      <c r="C671" s="32"/>
      <c r="D671" s="32"/>
      <c r="E671" s="19" t="n">
        <f aca="false">+F671*0.03</f>
        <v>0</v>
      </c>
      <c r="F671" s="33" t="n">
        <v>0</v>
      </c>
      <c r="G671" s="62"/>
      <c r="H671" s="35" t="n">
        <v>0</v>
      </c>
      <c r="I671" s="34" t="n">
        <f aca="false">+IF(E671=0,0,E671*0.03)</f>
        <v>0</v>
      </c>
    </row>
    <row r="672" customFormat="false" ht="15.75" hidden="false" customHeight="true" outlineLevel="0" collapsed="false">
      <c r="A672" s="65" t="n">
        <v>45352</v>
      </c>
      <c r="B672" s="31" t="s">
        <v>7</v>
      </c>
      <c r="C672" s="32"/>
      <c r="D672" s="32"/>
      <c r="E672" s="19" t="n">
        <f aca="false">+F672*0.03</f>
        <v>0</v>
      </c>
      <c r="F672" s="33" t="n">
        <v>0</v>
      </c>
      <c r="G672" s="62"/>
      <c r="H672" s="35" t="n">
        <v>0</v>
      </c>
      <c r="I672" s="34" t="n">
        <f aca="false">+IF(E672=0,0,E672*0.03)</f>
        <v>0</v>
      </c>
    </row>
    <row r="673" customFormat="false" ht="15.75" hidden="false" customHeight="true" outlineLevel="0" collapsed="false">
      <c r="A673" s="65" t="n">
        <v>45352</v>
      </c>
      <c r="B673" s="31" t="s">
        <v>7</v>
      </c>
      <c r="C673" s="32"/>
      <c r="D673" s="32"/>
      <c r="E673" s="19" t="n">
        <f aca="false">+F673*0.03</f>
        <v>0</v>
      </c>
      <c r="F673" s="33" t="n">
        <v>0</v>
      </c>
      <c r="G673" s="62"/>
      <c r="H673" s="35" t="n">
        <v>0</v>
      </c>
      <c r="I673" s="34" t="n">
        <f aca="false">+IF(E673=0,0,E673*0.03)</f>
        <v>0</v>
      </c>
    </row>
    <row r="674" customFormat="false" ht="15.75" hidden="false" customHeight="true" outlineLevel="0" collapsed="false">
      <c r="A674" s="65" t="n">
        <v>45352</v>
      </c>
      <c r="B674" s="31" t="s">
        <v>7</v>
      </c>
      <c r="C674" s="32"/>
      <c r="D674" s="32"/>
      <c r="E674" s="19" t="n">
        <f aca="false">+F674*0.03</f>
        <v>0</v>
      </c>
      <c r="F674" s="33" t="n">
        <v>0</v>
      </c>
      <c r="G674" s="62"/>
      <c r="H674" s="35" t="n">
        <v>0</v>
      </c>
      <c r="I674" s="34" t="n">
        <f aca="false">+IF(E674=0,0,E674*0.03)</f>
        <v>0</v>
      </c>
    </row>
    <row r="675" customFormat="false" ht="15.75" hidden="false" customHeight="true" outlineLevel="0" collapsed="false">
      <c r="A675" s="65" t="n">
        <v>45352</v>
      </c>
      <c r="B675" s="31" t="s">
        <v>7</v>
      </c>
      <c r="C675" s="32"/>
      <c r="D675" s="32"/>
      <c r="E675" s="19" t="n">
        <f aca="false">+F675*0.03</f>
        <v>0</v>
      </c>
      <c r="F675" s="33" t="n">
        <v>0</v>
      </c>
      <c r="G675" s="62"/>
      <c r="H675" s="35" t="n">
        <v>0</v>
      </c>
      <c r="I675" s="34" t="n">
        <f aca="false">+IF(E675=0,0,E675*0.03)</f>
        <v>0</v>
      </c>
    </row>
    <row r="676" customFormat="false" ht="15.75" hidden="false" customHeight="true" outlineLevel="0" collapsed="false">
      <c r="A676" s="65" t="n">
        <v>45352</v>
      </c>
      <c r="B676" s="31" t="s">
        <v>7</v>
      </c>
      <c r="C676" s="32"/>
      <c r="D676" s="32"/>
      <c r="E676" s="19" t="n">
        <f aca="false">+F676*0.03</f>
        <v>0</v>
      </c>
      <c r="F676" s="33" t="n">
        <v>0</v>
      </c>
      <c r="G676" s="62"/>
      <c r="H676" s="35" t="n">
        <v>0</v>
      </c>
      <c r="I676" s="34" t="n">
        <f aca="false">+IF(E676=0,0,E676*0.03)</f>
        <v>0</v>
      </c>
    </row>
    <row r="677" customFormat="false" ht="15.75" hidden="false" customHeight="true" outlineLevel="0" collapsed="false">
      <c r="A677" s="65" t="n">
        <v>45352</v>
      </c>
      <c r="B677" s="31" t="s">
        <v>7</v>
      </c>
      <c r="C677" s="32"/>
      <c r="D677" s="32"/>
      <c r="E677" s="19" t="n">
        <f aca="false">+F677*0.03</f>
        <v>0</v>
      </c>
      <c r="F677" s="33" t="n">
        <v>0</v>
      </c>
      <c r="G677" s="62"/>
      <c r="H677" s="35" t="n">
        <v>0</v>
      </c>
      <c r="I677" s="34" t="n">
        <f aca="false">+IF(E677=0,0,E677*0.03)</f>
        <v>0</v>
      </c>
    </row>
    <row r="678" customFormat="false" ht="15.75" hidden="false" customHeight="true" outlineLevel="0" collapsed="false">
      <c r="A678" s="65" t="n">
        <v>45352</v>
      </c>
      <c r="B678" s="31" t="s">
        <v>7</v>
      </c>
      <c r="C678" s="32"/>
      <c r="D678" s="32"/>
      <c r="E678" s="19" t="n">
        <f aca="false">+F678*0.03</f>
        <v>0</v>
      </c>
      <c r="F678" s="33" t="n">
        <v>0</v>
      </c>
      <c r="G678" s="62"/>
      <c r="H678" s="35" t="n">
        <v>0</v>
      </c>
      <c r="I678" s="34" t="n">
        <f aca="false">+IF(E678=0,0,E678*0.03)</f>
        <v>0</v>
      </c>
    </row>
    <row r="679" customFormat="false" ht="15.75" hidden="false" customHeight="true" outlineLevel="0" collapsed="false">
      <c r="A679" s="65" t="n">
        <v>45352</v>
      </c>
      <c r="B679" s="31" t="s">
        <v>7</v>
      </c>
      <c r="C679" s="32"/>
      <c r="D679" s="32"/>
      <c r="E679" s="19" t="n">
        <f aca="false">+F679*0.03</f>
        <v>0</v>
      </c>
      <c r="F679" s="33" t="n">
        <v>0</v>
      </c>
      <c r="G679" s="62"/>
      <c r="H679" s="35" t="n">
        <v>0</v>
      </c>
      <c r="I679" s="34" t="n">
        <f aca="false">+IF(E679=0,0,E679*0.03)</f>
        <v>0</v>
      </c>
    </row>
    <row r="680" customFormat="false" ht="15.75" hidden="false" customHeight="true" outlineLevel="0" collapsed="false">
      <c r="A680" s="65" t="n">
        <v>45352</v>
      </c>
      <c r="B680" s="31" t="s">
        <v>7</v>
      </c>
      <c r="C680" s="32"/>
      <c r="D680" s="32"/>
      <c r="E680" s="19" t="n">
        <f aca="false">+F680*0.03</f>
        <v>0</v>
      </c>
      <c r="F680" s="33" t="n">
        <v>0</v>
      </c>
      <c r="G680" s="62"/>
      <c r="H680" s="35" t="n">
        <v>0</v>
      </c>
      <c r="I680" s="34" t="n">
        <f aca="false">+IF(E680=0,0,E680*0.03)</f>
        <v>0</v>
      </c>
    </row>
    <row r="681" customFormat="false" ht="15.75" hidden="false" customHeight="true" outlineLevel="0" collapsed="false">
      <c r="A681" s="65" t="n">
        <v>45352</v>
      </c>
      <c r="B681" s="31" t="s">
        <v>7</v>
      </c>
      <c r="C681" s="32"/>
      <c r="D681" s="32"/>
      <c r="E681" s="19" t="n">
        <f aca="false">+F681*0.03</f>
        <v>0</v>
      </c>
      <c r="F681" s="33" t="n">
        <v>0</v>
      </c>
      <c r="G681" s="62"/>
      <c r="H681" s="35" t="n">
        <v>0</v>
      </c>
      <c r="I681" s="34" t="n">
        <f aca="false">+IF(E681=0,0,E681*0.03)</f>
        <v>0</v>
      </c>
    </row>
    <row r="682" customFormat="false" ht="15.75" hidden="false" customHeight="true" outlineLevel="0" collapsed="false">
      <c r="A682" s="65" t="n">
        <v>45352</v>
      </c>
      <c r="B682" s="31" t="s">
        <v>7</v>
      </c>
      <c r="C682" s="32"/>
      <c r="D682" s="32"/>
      <c r="E682" s="19" t="n">
        <f aca="false">+F682*0.03</f>
        <v>0</v>
      </c>
      <c r="F682" s="33" t="n">
        <v>0</v>
      </c>
      <c r="G682" s="62"/>
      <c r="H682" s="35" t="n">
        <v>0</v>
      </c>
      <c r="I682" s="34" t="n">
        <f aca="false">+IF(E682=0,0,E682*0.03)</f>
        <v>0</v>
      </c>
    </row>
    <row r="683" customFormat="false" ht="15.75" hidden="false" customHeight="true" outlineLevel="0" collapsed="false">
      <c r="A683" s="65" t="n">
        <v>45352</v>
      </c>
      <c r="B683" s="31" t="s">
        <v>7</v>
      </c>
      <c r="C683" s="32"/>
      <c r="D683" s="32"/>
      <c r="E683" s="19" t="n">
        <f aca="false">+F683*0.03</f>
        <v>0</v>
      </c>
      <c r="F683" s="33" t="n">
        <v>0</v>
      </c>
      <c r="G683" s="62"/>
      <c r="H683" s="35" t="n">
        <v>0</v>
      </c>
      <c r="I683" s="34" t="n">
        <f aca="false">+IF(E683=0,0,E683*0.03)</f>
        <v>0</v>
      </c>
    </row>
    <row r="684" customFormat="false" ht="15.75" hidden="false" customHeight="true" outlineLevel="0" collapsed="false">
      <c r="A684" s="65" t="n">
        <v>45352</v>
      </c>
      <c r="B684" s="31" t="s">
        <v>7</v>
      </c>
      <c r="C684" s="32"/>
      <c r="D684" s="32"/>
      <c r="E684" s="19" t="n">
        <f aca="false">+F684*0.03</f>
        <v>0</v>
      </c>
      <c r="F684" s="33" t="n">
        <v>0</v>
      </c>
      <c r="G684" s="62"/>
      <c r="H684" s="35" t="n">
        <v>0</v>
      </c>
      <c r="I684" s="34" t="n">
        <f aca="false">+IF(E684=0,0,E684*0.03)</f>
        <v>0</v>
      </c>
    </row>
    <row r="685" customFormat="false" ht="15.75" hidden="false" customHeight="true" outlineLevel="0" collapsed="false">
      <c r="A685" s="65" t="n">
        <v>45352</v>
      </c>
      <c r="B685" s="31" t="s">
        <v>7</v>
      </c>
      <c r="C685" s="32"/>
      <c r="D685" s="32"/>
      <c r="E685" s="19" t="n">
        <f aca="false">+F685*0.03</f>
        <v>0</v>
      </c>
      <c r="F685" s="33" t="n">
        <v>0</v>
      </c>
      <c r="G685" s="62"/>
      <c r="H685" s="35" t="n">
        <v>0</v>
      </c>
      <c r="I685" s="34" t="n">
        <f aca="false">+IF(E685=0,0,E685*0.03)</f>
        <v>0</v>
      </c>
    </row>
    <row r="686" customFormat="false" ht="15.75" hidden="false" customHeight="true" outlineLevel="0" collapsed="false">
      <c r="A686" s="65" t="n">
        <v>45352</v>
      </c>
      <c r="B686" s="31" t="s">
        <v>7</v>
      </c>
      <c r="C686" s="32"/>
      <c r="D686" s="32"/>
      <c r="E686" s="19" t="n">
        <f aca="false">+F686*0.03</f>
        <v>0</v>
      </c>
      <c r="F686" s="33" t="n">
        <v>0</v>
      </c>
      <c r="G686" s="62"/>
      <c r="H686" s="35" t="n">
        <v>0</v>
      </c>
      <c r="I686" s="34" t="n">
        <f aca="false">+IF(E686=0,0,E686*0.03)</f>
        <v>0</v>
      </c>
    </row>
    <row r="687" customFormat="false" ht="15.75" hidden="false" customHeight="true" outlineLevel="0" collapsed="false">
      <c r="A687" s="65" t="n">
        <v>45352</v>
      </c>
      <c r="B687" s="31" t="s">
        <v>7</v>
      </c>
      <c r="C687" s="32"/>
      <c r="D687" s="32"/>
      <c r="E687" s="19" t="n">
        <f aca="false">+F687*0.03</f>
        <v>0</v>
      </c>
      <c r="F687" s="33" t="n">
        <v>0</v>
      </c>
      <c r="G687" s="62"/>
      <c r="H687" s="35" t="n">
        <v>0</v>
      </c>
      <c r="I687" s="34" t="n">
        <f aca="false">+IF(E687=0,0,E687*0.03)</f>
        <v>0</v>
      </c>
    </row>
    <row r="688" customFormat="false" ht="15.75" hidden="false" customHeight="true" outlineLevel="0" collapsed="false">
      <c r="A688" s="65" t="n">
        <v>45352</v>
      </c>
      <c r="B688" s="31" t="s">
        <v>7</v>
      </c>
      <c r="C688" s="32"/>
      <c r="D688" s="32"/>
      <c r="E688" s="19" t="n">
        <f aca="false">+F688*0.03</f>
        <v>0</v>
      </c>
      <c r="F688" s="33" t="n">
        <v>0</v>
      </c>
      <c r="G688" s="62"/>
      <c r="H688" s="35" t="n">
        <v>0</v>
      </c>
      <c r="I688" s="34" t="n">
        <f aca="false">+IF(E688=0,0,E688*0.03)</f>
        <v>0</v>
      </c>
    </row>
    <row r="689" customFormat="false" ht="15.75" hidden="false" customHeight="true" outlineLevel="0" collapsed="false">
      <c r="A689" s="65" t="n">
        <v>45352</v>
      </c>
      <c r="B689" s="31" t="s">
        <v>7</v>
      </c>
      <c r="C689" s="32"/>
      <c r="D689" s="32"/>
      <c r="E689" s="19" t="n">
        <f aca="false">+F689*0.03</f>
        <v>0</v>
      </c>
      <c r="F689" s="33" t="n">
        <v>0</v>
      </c>
      <c r="G689" s="62"/>
      <c r="H689" s="35" t="n">
        <v>0</v>
      </c>
      <c r="I689" s="34" t="n">
        <f aca="false">+IF(E689=0,0,E689*0.03)</f>
        <v>0</v>
      </c>
    </row>
    <row r="690" customFormat="false" ht="15.75" hidden="false" customHeight="true" outlineLevel="0" collapsed="false">
      <c r="A690" s="65" t="n">
        <v>45352</v>
      </c>
      <c r="B690" s="31" t="s">
        <v>7</v>
      </c>
      <c r="C690" s="32"/>
      <c r="D690" s="32"/>
      <c r="E690" s="19" t="n">
        <f aca="false">+F690*0.03</f>
        <v>0</v>
      </c>
      <c r="F690" s="33" t="n">
        <v>0</v>
      </c>
      <c r="G690" s="62"/>
      <c r="H690" s="35" t="n">
        <v>0</v>
      </c>
      <c r="I690" s="34" t="n">
        <f aca="false">+IF(E690=0,0,E690*0.03)</f>
        <v>0</v>
      </c>
    </row>
    <row r="691" customFormat="false" ht="15.75" hidden="false" customHeight="true" outlineLevel="0" collapsed="false">
      <c r="A691" s="65" t="n">
        <v>45352</v>
      </c>
      <c r="B691" s="31" t="s">
        <v>7</v>
      </c>
      <c r="C691" s="32"/>
      <c r="D691" s="32"/>
      <c r="E691" s="19" t="n">
        <f aca="false">+F691*0.03</f>
        <v>0</v>
      </c>
      <c r="F691" s="33" t="n">
        <v>0</v>
      </c>
      <c r="G691" s="62"/>
      <c r="H691" s="35" t="n">
        <v>0</v>
      </c>
      <c r="I691" s="34" t="n">
        <f aca="false">+IF(E691=0,0,E691*0.03)</f>
        <v>0</v>
      </c>
    </row>
    <row r="692" customFormat="false" ht="15.75" hidden="false" customHeight="true" outlineLevel="0" collapsed="false">
      <c r="A692" s="65" t="n">
        <v>45352</v>
      </c>
      <c r="B692" s="31" t="s">
        <v>7</v>
      </c>
      <c r="C692" s="32"/>
      <c r="D692" s="32"/>
      <c r="E692" s="19" t="n">
        <f aca="false">+F692*0.03</f>
        <v>0</v>
      </c>
      <c r="F692" s="33" t="n">
        <v>0</v>
      </c>
      <c r="G692" s="62"/>
      <c r="H692" s="35" t="n">
        <v>0</v>
      </c>
      <c r="I692" s="34" t="n">
        <f aca="false">+IF(E692=0,0,E692*0.03)</f>
        <v>0</v>
      </c>
    </row>
    <row r="693" customFormat="false" ht="15.75" hidden="false" customHeight="true" outlineLevel="0" collapsed="false">
      <c r="A693" s="65" t="n">
        <v>45352</v>
      </c>
      <c r="B693" s="31" t="s">
        <v>7</v>
      </c>
      <c r="C693" s="32"/>
      <c r="D693" s="32"/>
      <c r="E693" s="19" t="n">
        <f aca="false">+F693*0.03</f>
        <v>0</v>
      </c>
      <c r="F693" s="33" t="n">
        <v>0</v>
      </c>
      <c r="G693" s="62"/>
      <c r="H693" s="35" t="n">
        <v>0</v>
      </c>
      <c r="I693" s="34" t="n">
        <f aca="false">+IF(E693=0,0,E693*0.03)</f>
        <v>0</v>
      </c>
    </row>
    <row r="694" customFormat="false" ht="15.75" hidden="false" customHeight="true" outlineLevel="0" collapsed="false">
      <c r="A694" s="65" t="n">
        <v>45352</v>
      </c>
      <c r="B694" s="31" t="s">
        <v>7</v>
      </c>
      <c r="C694" s="32"/>
      <c r="D694" s="32"/>
      <c r="E694" s="19" t="n">
        <f aca="false">+F694*0.03</f>
        <v>0</v>
      </c>
      <c r="F694" s="33" t="n">
        <v>0</v>
      </c>
      <c r="G694" s="62"/>
      <c r="H694" s="35" t="n">
        <v>0</v>
      </c>
      <c r="I694" s="34" t="n">
        <f aca="false">+IF(E694=0,0,E694*0.03)</f>
        <v>0</v>
      </c>
    </row>
    <row r="695" customFormat="false" ht="15.75" hidden="false" customHeight="true" outlineLevel="0" collapsed="false">
      <c r="A695" s="65" t="n">
        <v>45352</v>
      </c>
      <c r="B695" s="31" t="s">
        <v>7</v>
      </c>
      <c r="C695" s="32"/>
      <c r="D695" s="32"/>
      <c r="E695" s="19" t="n">
        <f aca="false">+F695*0.03</f>
        <v>0</v>
      </c>
      <c r="F695" s="33" t="n">
        <v>0</v>
      </c>
      <c r="G695" s="62"/>
      <c r="H695" s="35" t="n">
        <v>0</v>
      </c>
      <c r="I695" s="34" t="n">
        <f aca="false">+IF(E695=0,0,E695*0.03)</f>
        <v>0</v>
      </c>
    </row>
    <row r="696" customFormat="false" ht="15.75" hidden="false" customHeight="true" outlineLevel="0" collapsed="false">
      <c r="A696" s="65" t="n">
        <v>45352</v>
      </c>
      <c r="B696" s="31" t="s">
        <v>7</v>
      </c>
      <c r="C696" s="32"/>
      <c r="D696" s="32"/>
      <c r="E696" s="19" t="n">
        <f aca="false">+F696*0.03</f>
        <v>0</v>
      </c>
      <c r="F696" s="33" t="n">
        <v>0</v>
      </c>
      <c r="G696" s="62"/>
      <c r="H696" s="35" t="n">
        <v>0</v>
      </c>
      <c r="I696" s="34" t="n">
        <f aca="false">+IF(E696=0,0,E696*0.03)</f>
        <v>0</v>
      </c>
    </row>
    <row r="697" customFormat="false" ht="15.75" hidden="false" customHeight="true" outlineLevel="0" collapsed="false">
      <c r="A697" s="65" t="n">
        <v>45352</v>
      </c>
      <c r="B697" s="31" t="s">
        <v>7</v>
      </c>
      <c r="C697" s="32"/>
      <c r="D697" s="32"/>
      <c r="E697" s="19" t="n">
        <f aca="false">+F697*0.03</f>
        <v>0</v>
      </c>
      <c r="F697" s="33" t="n">
        <v>0</v>
      </c>
      <c r="G697" s="62"/>
      <c r="H697" s="35" t="n">
        <v>0</v>
      </c>
      <c r="I697" s="34" t="n">
        <f aca="false">+IF(E697=0,0,E697*0.03)</f>
        <v>0</v>
      </c>
    </row>
    <row r="698" customFormat="false" ht="15.75" hidden="false" customHeight="true" outlineLevel="0" collapsed="false">
      <c r="A698" s="65" t="n">
        <v>45352</v>
      </c>
      <c r="B698" s="31" t="s">
        <v>7</v>
      </c>
      <c r="C698" s="32"/>
      <c r="D698" s="32"/>
      <c r="E698" s="19" t="n">
        <f aca="false">+F698*0.03</f>
        <v>0</v>
      </c>
      <c r="F698" s="33" t="n">
        <v>0</v>
      </c>
      <c r="G698" s="62"/>
      <c r="H698" s="35" t="n">
        <v>0</v>
      </c>
      <c r="I698" s="34" t="n">
        <f aca="false">+IF(E698=0,0,E698*0.03)</f>
        <v>0</v>
      </c>
    </row>
    <row r="699" customFormat="false" ht="15.75" hidden="false" customHeight="true" outlineLevel="0" collapsed="false">
      <c r="A699" s="65" t="n">
        <v>45352</v>
      </c>
      <c r="B699" s="31" t="s">
        <v>7</v>
      </c>
      <c r="C699" s="32"/>
      <c r="D699" s="32"/>
      <c r="E699" s="19" t="n">
        <f aca="false">+F699*0.03</f>
        <v>0</v>
      </c>
      <c r="F699" s="33" t="n">
        <v>0</v>
      </c>
      <c r="G699" s="62"/>
      <c r="H699" s="35" t="n">
        <v>0</v>
      </c>
      <c r="I699" s="34" t="n">
        <f aca="false">+IF(E699=0,0,E699*0.03)</f>
        <v>0</v>
      </c>
    </row>
    <row r="700" customFormat="false" ht="15.75" hidden="false" customHeight="true" outlineLevel="0" collapsed="false">
      <c r="A700" s="65" t="n">
        <v>45352</v>
      </c>
      <c r="B700" s="31" t="s">
        <v>7</v>
      </c>
      <c r="C700" s="32"/>
      <c r="D700" s="32"/>
      <c r="E700" s="19" t="n">
        <f aca="false">+F700*0.03</f>
        <v>0</v>
      </c>
      <c r="F700" s="33" t="n">
        <v>0</v>
      </c>
      <c r="G700" s="62"/>
      <c r="H700" s="35" t="n">
        <v>0</v>
      </c>
      <c r="I700" s="34" t="n">
        <f aca="false">+IF(E700=0,0,E700*0.03)</f>
        <v>0</v>
      </c>
    </row>
    <row r="701" customFormat="false" ht="15.75" hidden="false" customHeight="true" outlineLevel="0" collapsed="false">
      <c r="A701" s="65" t="n">
        <v>45352</v>
      </c>
      <c r="B701" s="31" t="s">
        <v>7</v>
      </c>
      <c r="C701" s="32"/>
      <c r="D701" s="32"/>
      <c r="E701" s="19" t="n">
        <f aca="false">+F701*0.03</f>
        <v>0</v>
      </c>
      <c r="F701" s="33" t="n">
        <v>0</v>
      </c>
      <c r="G701" s="62"/>
      <c r="H701" s="35" t="n">
        <v>0</v>
      </c>
      <c r="I701" s="34" t="n">
        <f aca="false">+IF(E701=0,0,E701*0.03)</f>
        <v>0</v>
      </c>
    </row>
    <row r="702" customFormat="false" ht="15.75" hidden="false" customHeight="true" outlineLevel="0" collapsed="false">
      <c r="A702" s="65" t="n">
        <v>45352</v>
      </c>
      <c r="B702" s="31" t="s">
        <v>7</v>
      </c>
      <c r="C702" s="32"/>
      <c r="D702" s="32"/>
      <c r="E702" s="19" t="n">
        <f aca="false">+F702*0.03</f>
        <v>0</v>
      </c>
      <c r="F702" s="33" t="n">
        <v>0</v>
      </c>
      <c r="G702" s="62"/>
      <c r="H702" s="35" t="n">
        <v>0</v>
      </c>
      <c r="I702" s="34" t="n">
        <f aca="false">+IF(E702=0,0,E702*0.03)</f>
        <v>0</v>
      </c>
    </row>
    <row r="703" customFormat="false" ht="15.75" hidden="false" customHeight="true" outlineLevel="0" collapsed="false">
      <c r="A703" s="65" t="n">
        <v>45352</v>
      </c>
      <c r="B703" s="31" t="s">
        <v>7</v>
      </c>
      <c r="C703" s="32"/>
      <c r="D703" s="32"/>
      <c r="E703" s="19" t="n">
        <f aca="false">+F703*0.03</f>
        <v>0</v>
      </c>
      <c r="F703" s="33" t="n">
        <v>0</v>
      </c>
      <c r="G703" s="62"/>
      <c r="H703" s="35" t="n">
        <v>0</v>
      </c>
      <c r="I703" s="34" t="n">
        <f aca="false">+IF(E703=0,0,E703*0.03)</f>
        <v>0</v>
      </c>
    </row>
    <row r="704" customFormat="false" ht="15.75" hidden="false" customHeight="true" outlineLevel="0" collapsed="false">
      <c r="A704" s="65" t="n">
        <v>45352</v>
      </c>
      <c r="B704" s="31" t="s">
        <v>7</v>
      </c>
      <c r="C704" s="32"/>
      <c r="D704" s="32"/>
      <c r="E704" s="19" t="n">
        <f aca="false">+F704*0.03</f>
        <v>0</v>
      </c>
      <c r="F704" s="33" t="n">
        <v>0</v>
      </c>
      <c r="G704" s="62"/>
      <c r="H704" s="35" t="n">
        <v>0</v>
      </c>
      <c r="I704" s="34" t="n">
        <f aca="false">+IF(E704=0,0,E704*0.03)</f>
        <v>0</v>
      </c>
    </row>
    <row r="705" customFormat="false" ht="15.75" hidden="false" customHeight="true" outlineLevel="0" collapsed="false">
      <c r="A705" s="65" t="n">
        <v>45352</v>
      </c>
      <c r="B705" s="31" t="s">
        <v>7</v>
      </c>
      <c r="C705" s="32"/>
      <c r="D705" s="32"/>
      <c r="E705" s="19" t="n">
        <f aca="false">+F705*0.03</f>
        <v>0</v>
      </c>
      <c r="F705" s="33" t="n">
        <v>0</v>
      </c>
      <c r="G705" s="62"/>
      <c r="H705" s="35" t="n">
        <v>0</v>
      </c>
      <c r="I705" s="34" t="n">
        <f aca="false">+IF(E705=0,0,E705*0.03)</f>
        <v>0</v>
      </c>
    </row>
    <row r="706" customFormat="false" ht="15.75" hidden="false" customHeight="true" outlineLevel="0" collapsed="false">
      <c r="A706" s="65" t="n">
        <v>45352</v>
      </c>
      <c r="B706" s="31" t="s">
        <v>7</v>
      </c>
      <c r="C706" s="32"/>
      <c r="D706" s="32"/>
      <c r="E706" s="19" t="n">
        <f aca="false">+F706*0.03</f>
        <v>0</v>
      </c>
      <c r="F706" s="33" t="n">
        <v>0</v>
      </c>
      <c r="G706" s="62"/>
      <c r="H706" s="35" t="n">
        <v>0</v>
      </c>
      <c r="I706" s="34" t="n">
        <f aca="false">+IF(E706=0,0,E706*0.03)</f>
        <v>0</v>
      </c>
    </row>
    <row r="707" customFormat="false" ht="15.75" hidden="false" customHeight="true" outlineLevel="0" collapsed="false">
      <c r="A707" s="65" t="n">
        <v>45352</v>
      </c>
      <c r="B707" s="31" t="s">
        <v>7</v>
      </c>
      <c r="C707" s="32"/>
      <c r="D707" s="32"/>
      <c r="E707" s="19" t="n">
        <f aca="false">+F707*0.03</f>
        <v>0</v>
      </c>
      <c r="F707" s="33" t="n">
        <v>0</v>
      </c>
      <c r="G707" s="62"/>
      <c r="H707" s="35" t="n">
        <v>0</v>
      </c>
      <c r="I707" s="34" t="n">
        <f aca="false">+IF(E707=0,0,E707*0.03)</f>
        <v>0</v>
      </c>
    </row>
    <row r="708" customFormat="false" ht="15.75" hidden="false" customHeight="true" outlineLevel="0" collapsed="false">
      <c r="A708" s="65" t="n">
        <v>45352</v>
      </c>
      <c r="B708" s="31" t="s">
        <v>7</v>
      </c>
      <c r="C708" s="32"/>
      <c r="D708" s="32"/>
      <c r="E708" s="19" t="n">
        <f aca="false">+F708*0.03</f>
        <v>0</v>
      </c>
      <c r="F708" s="33" t="n">
        <v>0</v>
      </c>
      <c r="G708" s="62"/>
      <c r="H708" s="35" t="n">
        <v>0</v>
      </c>
      <c r="I708" s="34" t="n">
        <f aca="false">+IF(E708=0,0,E708*0.03)</f>
        <v>0</v>
      </c>
    </row>
    <row r="709" customFormat="false" ht="15.75" hidden="false" customHeight="true" outlineLevel="0" collapsed="false">
      <c r="A709" s="65" t="n">
        <v>45352</v>
      </c>
      <c r="B709" s="31" t="s">
        <v>7</v>
      </c>
      <c r="C709" s="32"/>
      <c r="D709" s="32"/>
      <c r="E709" s="19" t="n">
        <f aca="false">+F709*0.03</f>
        <v>0</v>
      </c>
      <c r="F709" s="33" t="n">
        <v>0</v>
      </c>
      <c r="G709" s="62"/>
      <c r="H709" s="35" t="n">
        <v>0</v>
      </c>
      <c r="I709" s="34" t="n">
        <f aca="false">+IF(E709=0,0,E709*0.03)</f>
        <v>0</v>
      </c>
    </row>
    <row r="710" customFormat="false" ht="15.75" hidden="false" customHeight="true" outlineLevel="0" collapsed="false">
      <c r="A710" s="65" t="n">
        <v>45352</v>
      </c>
      <c r="B710" s="31" t="s">
        <v>7</v>
      </c>
      <c r="C710" s="32"/>
      <c r="D710" s="32"/>
      <c r="E710" s="19" t="n">
        <f aca="false">+F710*0.03</f>
        <v>0</v>
      </c>
      <c r="F710" s="33" t="n">
        <v>0</v>
      </c>
      <c r="G710" s="62"/>
      <c r="H710" s="35" t="n">
        <v>0</v>
      </c>
      <c r="I710" s="34" t="n">
        <f aca="false">+IF(E710=0,0,E710*0.03)</f>
        <v>0</v>
      </c>
    </row>
    <row r="711" customFormat="false" ht="15.75" hidden="false" customHeight="true" outlineLevel="0" collapsed="false">
      <c r="A711" s="65" t="n">
        <v>45352</v>
      </c>
      <c r="B711" s="31" t="s">
        <v>7</v>
      </c>
      <c r="C711" s="32"/>
      <c r="D711" s="32"/>
      <c r="E711" s="19" t="n">
        <f aca="false">+F711*0.03</f>
        <v>0</v>
      </c>
      <c r="F711" s="33" t="n">
        <v>0</v>
      </c>
      <c r="G711" s="62"/>
      <c r="H711" s="35" t="n">
        <v>0</v>
      </c>
      <c r="I711" s="34" t="n">
        <f aca="false">+IF(E711=0,0,E711*0.03)</f>
        <v>0</v>
      </c>
    </row>
    <row r="712" customFormat="false" ht="15.75" hidden="false" customHeight="true" outlineLevel="0" collapsed="false">
      <c r="A712" s="65" t="n">
        <v>45352</v>
      </c>
      <c r="B712" s="31" t="s">
        <v>7</v>
      </c>
      <c r="C712" s="32"/>
      <c r="D712" s="32"/>
      <c r="E712" s="19" t="n">
        <f aca="false">+F712*0.03</f>
        <v>0</v>
      </c>
      <c r="F712" s="33" t="n">
        <v>0</v>
      </c>
      <c r="G712" s="62"/>
      <c r="H712" s="35" t="n">
        <v>0</v>
      </c>
      <c r="I712" s="34" t="n">
        <f aca="false">+IF(E712=0,0,E712*0.03)</f>
        <v>0</v>
      </c>
    </row>
    <row r="713" customFormat="false" ht="15.75" hidden="false" customHeight="true" outlineLevel="0" collapsed="false">
      <c r="A713" s="65" t="n">
        <v>45352</v>
      </c>
      <c r="B713" s="31" t="s">
        <v>7</v>
      </c>
      <c r="C713" s="32"/>
      <c r="D713" s="32"/>
      <c r="E713" s="19" t="n">
        <f aca="false">+F713*0.03</f>
        <v>0</v>
      </c>
      <c r="F713" s="33" t="n">
        <v>0</v>
      </c>
      <c r="G713" s="62"/>
      <c r="H713" s="35" t="n">
        <v>0</v>
      </c>
      <c r="I713" s="34" t="n">
        <f aca="false">+IF(E713=0,0,E713*0.03)</f>
        <v>0</v>
      </c>
    </row>
    <row r="714" customFormat="false" ht="15.75" hidden="false" customHeight="true" outlineLevel="0" collapsed="false">
      <c r="A714" s="65" t="n">
        <v>45352</v>
      </c>
      <c r="B714" s="31" t="s">
        <v>7</v>
      </c>
      <c r="C714" s="32"/>
      <c r="D714" s="32"/>
      <c r="E714" s="19" t="n">
        <f aca="false">+F714*0.03</f>
        <v>0</v>
      </c>
      <c r="F714" s="33" t="n">
        <v>0</v>
      </c>
      <c r="G714" s="62"/>
      <c r="H714" s="35" t="n">
        <v>0</v>
      </c>
      <c r="I714" s="34" t="n">
        <f aca="false">+IF(E714=0,0,E714*0.03)</f>
        <v>0</v>
      </c>
    </row>
    <row r="715" customFormat="false" ht="15.75" hidden="false" customHeight="true" outlineLevel="0" collapsed="false">
      <c r="A715" s="65" t="n">
        <v>45352</v>
      </c>
      <c r="B715" s="31" t="s">
        <v>7</v>
      </c>
      <c r="C715" s="32"/>
      <c r="D715" s="32"/>
      <c r="E715" s="19" t="n">
        <f aca="false">+F715*0.03</f>
        <v>0</v>
      </c>
      <c r="F715" s="33" t="n">
        <v>0</v>
      </c>
      <c r="G715" s="62"/>
      <c r="H715" s="35" t="n">
        <v>0</v>
      </c>
      <c r="I715" s="34" t="n">
        <f aca="false">+IF(E715=0,0,E715*0.03)</f>
        <v>0</v>
      </c>
    </row>
    <row r="716" customFormat="false" ht="15.75" hidden="false" customHeight="true" outlineLevel="0" collapsed="false">
      <c r="A716" s="65" t="n">
        <v>45352</v>
      </c>
      <c r="B716" s="31" t="s">
        <v>7</v>
      </c>
      <c r="C716" s="32"/>
      <c r="D716" s="32"/>
      <c r="E716" s="19" t="n">
        <f aca="false">+F716*0.03</f>
        <v>0</v>
      </c>
      <c r="F716" s="33" t="n">
        <v>0</v>
      </c>
      <c r="G716" s="62"/>
      <c r="H716" s="35" t="n">
        <v>0</v>
      </c>
      <c r="I716" s="34" t="n">
        <f aca="false">+IF(E716=0,0,E716*0.03)</f>
        <v>0</v>
      </c>
    </row>
    <row r="717" customFormat="false" ht="15.75" hidden="false" customHeight="true" outlineLevel="0" collapsed="false">
      <c r="A717" s="65" t="n">
        <v>45352</v>
      </c>
      <c r="B717" s="31" t="s">
        <v>7</v>
      </c>
      <c r="C717" s="32"/>
      <c r="D717" s="32"/>
      <c r="E717" s="19" t="n">
        <f aca="false">+F717*0.03</f>
        <v>0</v>
      </c>
      <c r="F717" s="33" t="n">
        <v>0</v>
      </c>
      <c r="G717" s="62"/>
      <c r="H717" s="35" t="n">
        <v>0</v>
      </c>
      <c r="I717" s="34" t="n">
        <f aca="false">+IF(E717=0,0,E717*0.03)</f>
        <v>0</v>
      </c>
    </row>
    <row r="718" customFormat="false" ht="15.75" hidden="false" customHeight="true" outlineLevel="0" collapsed="false">
      <c r="A718" s="65" t="n">
        <v>45352</v>
      </c>
      <c r="B718" s="31" t="s">
        <v>7</v>
      </c>
      <c r="C718" s="32"/>
      <c r="D718" s="32"/>
      <c r="E718" s="19" t="n">
        <f aca="false">+F718*0.03</f>
        <v>0</v>
      </c>
      <c r="F718" s="33" t="n">
        <v>0</v>
      </c>
      <c r="G718" s="62"/>
      <c r="H718" s="35" t="n">
        <v>0</v>
      </c>
      <c r="I718" s="34" t="n">
        <f aca="false">+IF(E718=0,0,E718*0.03)</f>
        <v>0</v>
      </c>
    </row>
    <row r="719" customFormat="false" ht="15.75" hidden="false" customHeight="true" outlineLevel="0" collapsed="false">
      <c r="A719" s="65" t="n">
        <v>45352</v>
      </c>
      <c r="B719" s="31" t="s">
        <v>7</v>
      </c>
      <c r="C719" s="32"/>
      <c r="D719" s="32"/>
      <c r="E719" s="19" t="n">
        <f aca="false">+F719*0.03</f>
        <v>0</v>
      </c>
      <c r="F719" s="33" t="n">
        <v>0</v>
      </c>
      <c r="G719" s="62"/>
      <c r="H719" s="35" t="n">
        <v>0</v>
      </c>
      <c r="I719" s="34" t="n">
        <f aca="false">+IF(E719=0,0,E719*0.03)</f>
        <v>0</v>
      </c>
    </row>
    <row r="720" customFormat="false" ht="15.75" hidden="false" customHeight="true" outlineLevel="0" collapsed="false">
      <c r="A720" s="65" t="n">
        <v>45352</v>
      </c>
      <c r="B720" s="31" t="s">
        <v>7</v>
      </c>
      <c r="C720" s="32"/>
      <c r="D720" s="32"/>
      <c r="E720" s="19" t="n">
        <f aca="false">+F720*0.03</f>
        <v>0</v>
      </c>
      <c r="F720" s="33" t="n">
        <v>0</v>
      </c>
      <c r="G720" s="62"/>
      <c r="H720" s="35" t="n">
        <v>0</v>
      </c>
      <c r="I720" s="34" t="n">
        <f aca="false">+IF(E720=0,0,E720*0.03)</f>
        <v>0</v>
      </c>
    </row>
    <row r="721" customFormat="false" ht="15.75" hidden="false" customHeight="true" outlineLevel="0" collapsed="false">
      <c r="A721" s="65" t="n">
        <v>45352</v>
      </c>
      <c r="B721" s="31" t="s">
        <v>7</v>
      </c>
      <c r="C721" s="32"/>
      <c r="D721" s="32"/>
      <c r="E721" s="19" t="n">
        <f aca="false">+F721*0.03</f>
        <v>0</v>
      </c>
      <c r="F721" s="33" t="n">
        <v>0</v>
      </c>
      <c r="G721" s="62"/>
      <c r="H721" s="35" t="n">
        <v>0</v>
      </c>
      <c r="I721" s="34" t="n">
        <f aca="false">+IF(E721=0,0,E721*0.03)</f>
        <v>0</v>
      </c>
    </row>
    <row r="722" customFormat="false" ht="15.75" hidden="false" customHeight="true" outlineLevel="0" collapsed="false">
      <c r="A722" s="65" t="n">
        <v>45352</v>
      </c>
      <c r="B722" s="31" t="s">
        <v>7</v>
      </c>
      <c r="C722" s="32"/>
      <c r="D722" s="32"/>
      <c r="E722" s="19" t="n">
        <f aca="false">+F722*0.03</f>
        <v>0</v>
      </c>
      <c r="F722" s="33" t="n">
        <v>0</v>
      </c>
      <c r="G722" s="62"/>
      <c r="H722" s="35" t="n">
        <v>0</v>
      </c>
      <c r="I722" s="34" t="n">
        <f aca="false">+IF(E722=0,0,E722*0.03)</f>
        <v>0</v>
      </c>
    </row>
    <row r="723" customFormat="false" ht="15.75" hidden="false" customHeight="true" outlineLevel="0" collapsed="false">
      <c r="A723" s="65" t="n">
        <v>45352</v>
      </c>
      <c r="B723" s="31" t="s">
        <v>7</v>
      </c>
      <c r="C723" s="32"/>
      <c r="D723" s="32"/>
      <c r="E723" s="19" t="n">
        <f aca="false">+F723*0.03</f>
        <v>0</v>
      </c>
      <c r="F723" s="33" t="n">
        <v>0</v>
      </c>
      <c r="G723" s="62"/>
      <c r="H723" s="35" t="n">
        <v>0</v>
      </c>
      <c r="I723" s="34" t="n">
        <f aca="false">+IF(E723=0,0,E723*0.03)</f>
        <v>0</v>
      </c>
    </row>
    <row r="724" customFormat="false" ht="15.75" hidden="false" customHeight="true" outlineLevel="0" collapsed="false">
      <c r="A724" s="65" t="n">
        <v>45352</v>
      </c>
      <c r="B724" s="31" t="s">
        <v>7</v>
      </c>
      <c r="C724" s="32"/>
      <c r="D724" s="32"/>
      <c r="E724" s="19" t="n">
        <f aca="false">+F724*0.03</f>
        <v>0</v>
      </c>
      <c r="F724" s="33" t="n">
        <v>0</v>
      </c>
      <c r="G724" s="62"/>
      <c r="H724" s="35" t="n">
        <v>0</v>
      </c>
      <c r="I724" s="34" t="n">
        <f aca="false">+IF(E724=0,0,E724*0.03)</f>
        <v>0</v>
      </c>
    </row>
    <row r="725" customFormat="false" ht="15.75" hidden="false" customHeight="true" outlineLevel="0" collapsed="false">
      <c r="A725" s="65" t="n">
        <v>45352</v>
      </c>
      <c r="B725" s="31" t="s">
        <v>7</v>
      </c>
      <c r="C725" s="32"/>
      <c r="D725" s="32"/>
      <c r="E725" s="19" t="n">
        <f aca="false">+F725*0.03</f>
        <v>0</v>
      </c>
      <c r="F725" s="33" t="n">
        <v>0</v>
      </c>
      <c r="G725" s="62"/>
      <c r="H725" s="35" t="n">
        <v>0</v>
      </c>
      <c r="I725" s="34" t="n">
        <f aca="false">+IF(E725=0,0,E725*0.03)</f>
        <v>0</v>
      </c>
    </row>
    <row r="726" customFormat="false" ht="15.75" hidden="false" customHeight="true" outlineLevel="0" collapsed="false">
      <c r="A726" s="65" t="n">
        <v>45352</v>
      </c>
      <c r="B726" s="31" t="s">
        <v>7</v>
      </c>
      <c r="C726" s="32"/>
      <c r="D726" s="32"/>
      <c r="E726" s="19" t="n">
        <f aca="false">+F726*0.03</f>
        <v>0</v>
      </c>
      <c r="F726" s="33" t="n">
        <v>0</v>
      </c>
      <c r="G726" s="62"/>
      <c r="H726" s="35" t="n">
        <v>0</v>
      </c>
      <c r="I726" s="34" t="n">
        <f aca="false">+IF(E726=0,0,E726*0.03)</f>
        <v>0</v>
      </c>
    </row>
    <row r="727" customFormat="false" ht="15.75" hidden="false" customHeight="true" outlineLevel="0" collapsed="false">
      <c r="A727" s="65" t="n">
        <v>45352</v>
      </c>
      <c r="B727" s="31" t="s">
        <v>7</v>
      </c>
      <c r="C727" s="32"/>
      <c r="D727" s="32"/>
      <c r="E727" s="19" t="n">
        <f aca="false">+F727*0.03</f>
        <v>0</v>
      </c>
      <c r="F727" s="33" t="n">
        <v>0</v>
      </c>
      <c r="G727" s="62"/>
      <c r="H727" s="35" t="n">
        <v>0</v>
      </c>
      <c r="I727" s="34" t="n">
        <f aca="false">+IF(E727=0,0,E727*0.03)</f>
        <v>0</v>
      </c>
    </row>
    <row r="728" customFormat="false" ht="15.75" hidden="false" customHeight="true" outlineLevel="0" collapsed="false">
      <c r="A728" s="65" t="n">
        <v>45352</v>
      </c>
      <c r="B728" s="31" t="s">
        <v>7</v>
      </c>
      <c r="C728" s="32"/>
      <c r="D728" s="32"/>
      <c r="E728" s="19" t="n">
        <f aca="false">+F728*0.03</f>
        <v>0</v>
      </c>
      <c r="F728" s="33" t="n">
        <v>0</v>
      </c>
      <c r="G728" s="62"/>
      <c r="H728" s="35" t="n">
        <v>0</v>
      </c>
      <c r="I728" s="34" t="n">
        <f aca="false">+IF(E728=0,0,E728*0.03)</f>
        <v>0</v>
      </c>
    </row>
    <row r="729" customFormat="false" ht="15.75" hidden="false" customHeight="true" outlineLevel="0" collapsed="false">
      <c r="A729" s="65" t="n">
        <v>45352</v>
      </c>
      <c r="B729" s="31" t="s">
        <v>7</v>
      </c>
      <c r="C729" s="32"/>
      <c r="D729" s="32"/>
      <c r="E729" s="19" t="n">
        <f aca="false">+F729*0.03</f>
        <v>0</v>
      </c>
      <c r="F729" s="33" t="n">
        <v>0</v>
      </c>
      <c r="G729" s="62"/>
      <c r="H729" s="35" t="n">
        <v>0</v>
      </c>
      <c r="I729" s="34" t="n">
        <f aca="false">+IF(E729=0,0,E729*0.03)</f>
        <v>0</v>
      </c>
    </row>
    <row r="730" customFormat="false" ht="15.75" hidden="false" customHeight="true" outlineLevel="0" collapsed="false">
      <c r="A730" s="65" t="n">
        <v>45352</v>
      </c>
      <c r="B730" s="31" t="s">
        <v>7</v>
      </c>
      <c r="C730" s="32"/>
      <c r="D730" s="32"/>
      <c r="E730" s="19" t="n">
        <f aca="false">+F730*0.03</f>
        <v>0</v>
      </c>
      <c r="F730" s="33" t="n">
        <v>0</v>
      </c>
      <c r="G730" s="62"/>
      <c r="H730" s="35" t="n">
        <v>0</v>
      </c>
      <c r="I730" s="34" t="n">
        <f aca="false">+IF(E730=0,0,E730*0.03)</f>
        <v>0</v>
      </c>
    </row>
    <row r="731" customFormat="false" ht="15.75" hidden="false" customHeight="true" outlineLevel="0" collapsed="false">
      <c r="A731" s="65" t="n">
        <v>45352</v>
      </c>
      <c r="B731" s="31" t="s">
        <v>7</v>
      </c>
      <c r="C731" s="32"/>
      <c r="D731" s="32"/>
      <c r="E731" s="19" t="n">
        <f aca="false">+F731*0.03</f>
        <v>0</v>
      </c>
      <c r="F731" s="33" t="n">
        <v>0</v>
      </c>
      <c r="G731" s="62"/>
      <c r="H731" s="35" t="n">
        <v>0</v>
      </c>
      <c r="I731" s="34" t="n">
        <f aca="false">+IF(E731=0,0,E731*0.03)</f>
        <v>0</v>
      </c>
    </row>
    <row r="732" customFormat="false" ht="15.75" hidden="false" customHeight="true" outlineLevel="0" collapsed="false">
      <c r="A732" s="65" t="n">
        <v>45352</v>
      </c>
      <c r="B732" s="31" t="s">
        <v>7</v>
      </c>
      <c r="C732" s="32"/>
      <c r="D732" s="32"/>
      <c r="E732" s="19" t="n">
        <f aca="false">+F732*0.03</f>
        <v>0</v>
      </c>
      <c r="F732" s="33" t="n">
        <v>0</v>
      </c>
      <c r="G732" s="62"/>
      <c r="H732" s="35" t="n">
        <v>0</v>
      </c>
      <c r="I732" s="34" t="n">
        <f aca="false">+IF(E732=0,0,E732*0.03)</f>
        <v>0</v>
      </c>
    </row>
    <row r="733" customFormat="false" ht="15.75" hidden="false" customHeight="true" outlineLevel="0" collapsed="false">
      <c r="A733" s="65" t="n">
        <v>45352</v>
      </c>
      <c r="B733" s="31" t="s">
        <v>7</v>
      </c>
      <c r="C733" s="32"/>
      <c r="D733" s="32"/>
      <c r="E733" s="19" t="n">
        <f aca="false">+F733*0.03</f>
        <v>0</v>
      </c>
      <c r="F733" s="33" t="n">
        <v>0</v>
      </c>
      <c r="G733" s="62"/>
      <c r="H733" s="35" t="n">
        <v>0</v>
      </c>
      <c r="I733" s="34" t="n">
        <f aca="false">+IF(E733=0,0,E733*0.03)</f>
        <v>0</v>
      </c>
    </row>
    <row r="734" customFormat="false" ht="15.75" hidden="false" customHeight="true" outlineLevel="0" collapsed="false">
      <c r="A734" s="65" t="n">
        <v>45352</v>
      </c>
      <c r="B734" s="31" t="s">
        <v>7</v>
      </c>
      <c r="C734" s="32"/>
      <c r="D734" s="32"/>
      <c r="E734" s="19" t="n">
        <f aca="false">+F734*0.03</f>
        <v>0</v>
      </c>
      <c r="F734" s="33" t="n">
        <v>0</v>
      </c>
      <c r="G734" s="62"/>
      <c r="H734" s="35" t="n">
        <v>0</v>
      </c>
      <c r="I734" s="34" t="n">
        <f aca="false">+IF(E734=0,0,E734*0.03)</f>
        <v>0</v>
      </c>
    </row>
    <row r="735" customFormat="false" ht="15.75" hidden="false" customHeight="true" outlineLevel="0" collapsed="false">
      <c r="A735" s="65" t="n">
        <v>45352</v>
      </c>
      <c r="B735" s="31" t="s">
        <v>7</v>
      </c>
      <c r="C735" s="32"/>
      <c r="D735" s="32"/>
      <c r="E735" s="19" t="n">
        <f aca="false">+F735*0.03</f>
        <v>0</v>
      </c>
      <c r="F735" s="33" t="n">
        <v>0</v>
      </c>
      <c r="G735" s="62"/>
      <c r="H735" s="35" t="n">
        <v>0</v>
      </c>
      <c r="I735" s="34" t="n">
        <f aca="false">+IF(E735=0,0,E735*0.03)</f>
        <v>0</v>
      </c>
    </row>
    <row r="736" customFormat="false" ht="15.75" hidden="false" customHeight="true" outlineLevel="0" collapsed="false">
      <c r="A736" s="65" t="n">
        <v>45352</v>
      </c>
      <c r="B736" s="31" t="s">
        <v>7</v>
      </c>
      <c r="C736" s="32"/>
      <c r="D736" s="32"/>
      <c r="E736" s="19" t="n">
        <f aca="false">+F736*0.03</f>
        <v>0</v>
      </c>
      <c r="F736" s="33" t="n">
        <v>0</v>
      </c>
      <c r="G736" s="62"/>
      <c r="H736" s="35" t="n">
        <v>0</v>
      </c>
      <c r="I736" s="34" t="n">
        <f aca="false">+IF(E736=0,0,E736*0.03)</f>
        <v>0</v>
      </c>
    </row>
    <row r="737" customFormat="false" ht="15.75" hidden="false" customHeight="true" outlineLevel="0" collapsed="false">
      <c r="A737" s="65" t="n">
        <v>45352</v>
      </c>
      <c r="B737" s="31" t="s">
        <v>7</v>
      </c>
      <c r="C737" s="32"/>
      <c r="D737" s="32"/>
      <c r="E737" s="19" t="n">
        <f aca="false">+F737*0.03</f>
        <v>0</v>
      </c>
      <c r="F737" s="33" t="n">
        <v>0</v>
      </c>
      <c r="G737" s="62"/>
      <c r="H737" s="35" t="n">
        <v>0</v>
      </c>
      <c r="I737" s="34" t="n">
        <f aca="false">+IF(E737=0,0,E737*0.03)</f>
        <v>0</v>
      </c>
    </row>
    <row r="738" customFormat="false" ht="15.75" hidden="false" customHeight="true" outlineLevel="0" collapsed="false">
      <c r="A738" s="65" t="n">
        <v>45352</v>
      </c>
      <c r="B738" s="31" t="s">
        <v>7</v>
      </c>
      <c r="C738" s="32"/>
      <c r="D738" s="32"/>
      <c r="E738" s="19" t="n">
        <f aca="false">+F738*0.03</f>
        <v>0</v>
      </c>
      <c r="F738" s="33" t="n">
        <v>0</v>
      </c>
      <c r="G738" s="62"/>
      <c r="H738" s="35" t="n">
        <v>0</v>
      </c>
      <c r="I738" s="34" t="n">
        <f aca="false">+IF(E738=0,0,E738*0.03)</f>
        <v>0</v>
      </c>
    </row>
    <row r="739" customFormat="false" ht="15.75" hidden="false" customHeight="true" outlineLevel="0" collapsed="false">
      <c r="A739" s="65" t="n">
        <v>45352</v>
      </c>
      <c r="B739" s="31" t="s">
        <v>7</v>
      </c>
      <c r="C739" s="32"/>
      <c r="D739" s="32"/>
      <c r="E739" s="19" t="n">
        <f aca="false">+F739*0.03</f>
        <v>0</v>
      </c>
      <c r="F739" s="33" t="n">
        <v>0</v>
      </c>
      <c r="G739" s="62"/>
      <c r="H739" s="35" t="n">
        <v>0</v>
      </c>
      <c r="I739" s="34" t="n">
        <f aca="false">+IF(E739=0,0,E739*0.03)</f>
        <v>0</v>
      </c>
    </row>
    <row r="740" customFormat="false" ht="15.75" hidden="false" customHeight="true" outlineLevel="0" collapsed="false">
      <c r="A740" s="65" t="n">
        <v>45352</v>
      </c>
      <c r="B740" s="31" t="s">
        <v>7</v>
      </c>
      <c r="C740" s="32"/>
      <c r="D740" s="32"/>
      <c r="E740" s="19" t="n">
        <f aca="false">+F740*0.03</f>
        <v>0</v>
      </c>
      <c r="F740" s="33" t="n">
        <v>0</v>
      </c>
      <c r="G740" s="62"/>
      <c r="H740" s="35" t="n">
        <v>0</v>
      </c>
      <c r="I740" s="34" t="n">
        <f aca="false">+IF(E740=0,0,E740*0.03)</f>
        <v>0</v>
      </c>
    </row>
    <row r="741" customFormat="false" ht="15.75" hidden="false" customHeight="true" outlineLevel="0" collapsed="false">
      <c r="A741" s="65" t="n">
        <v>45352</v>
      </c>
      <c r="B741" s="31" t="s">
        <v>7</v>
      </c>
      <c r="C741" s="32"/>
      <c r="D741" s="32"/>
      <c r="E741" s="19" t="n">
        <f aca="false">+F741*0.03</f>
        <v>0</v>
      </c>
      <c r="F741" s="33" t="n">
        <v>0</v>
      </c>
      <c r="G741" s="62"/>
      <c r="H741" s="35" t="n">
        <v>0</v>
      </c>
      <c r="I741" s="34" t="n">
        <f aca="false">+IF(E741=0,0,E741*0.03)</f>
        <v>0</v>
      </c>
    </row>
    <row r="742" customFormat="false" ht="15.75" hidden="false" customHeight="true" outlineLevel="0" collapsed="false">
      <c r="A742" s="65" t="n">
        <v>45352</v>
      </c>
      <c r="B742" s="31" t="s">
        <v>7</v>
      </c>
      <c r="C742" s="32"/>
      <c r="D742" s="32"/>
      <c r="E742" s="19" t="n">
        <f aca="false">+F742*0.03</f>
        <v>0</v>
      </c>
      <c r="F742" s="33" t="n">
        <v>0</v>
      </c>
      <c r="G742" s="62"/>
      <c r="H742" s="35" t="n">
        <v>0</v>
      </c>
      <c r="I742" s="34" t="n">
        <f aca="false">+IF(E742=0,0,E742*0.03)</f>
        <v>0</v>
      </c>
    </row>
    <row r="743" customFormat="false" ht="15.75" hidden="false" customHeight="true" outlineLevel="0" collapsed="false">
      <c r="A743" s="65" t="n">
        <v>45352</v>
      </c>
      <c r="B743" s="31" t="s">
        <v>7</v>
      </c>
      <c r="C743" s="32"/>
      <c r="D743" s="32"/>
      <c r="E743" s="19" t="n">
        <f aca="false">+F743*0.03</f>
        <v>0</v>
      </c>
      <c r="F743" s="33" t="n">
        <v>0</v>
      </c>
      <c r="G743" s="62"/>
      <c r="H743" s="35" t="n">
        <v>0</v>
      </c>
      <c r="I743" s="34" t="n">
        <f aca="false">+IF(E743=0,0,E743*0.03)</f>
        <v>0</v>
      </c>
    </row>
    <row r="744" customFormat="false" ht="15.75" hidden="false" customHeight="true" outlineLevel="0" collapsed="false">
      <c r="A744" s="65" t="n">
        <v>45352</v>
      </c>
      <c r="B744" s="31" t="s">
        <v>7</v>
      </c>
      <c r="C744" s="32"/>
      <c r="D744" s="32"/>
      <c r="E744" s="19" t="n">
        <f aca="false">+F744*0.03</f>
        <v>0</v>
      </c>
      <c r="F744" s="33" t="n">
        <v>0</v>
      </c>
      <c r="G744" s="62"/>
      <c r="H744" s="35" t="n">
        <v>0</v>
      </c>
      <c r="I744" s="34" t="n">
        <f aca="false">+IF(E744=0,0,E744*0.03)</f>
        <v>0</v>
      </c>
    </row>
    <row r="745" customFormat="false" ht="15.75" hidden="false" customHeight="true" outlineLevel="0" collapsed="false">
      <c r="A745" s="65" t="n">
        <v>45352</v>
      </c>
      <c r="B745" s="31" t="s">
        <v>7</v>
      </c>
      <c r="C745" s="32"/>
      <c r="D745" s="32"/>
      <c r="E745" s="19" t="n">
        <f aca="false">+F745*0.03</f>
        <v>0</v>
      </c>
      <c r="F745" s="33" t="n">
        <v>0</v>
      </c>
      <c r="G745" s="62"/>
      <c r="H745" s="35" t="n">
        <v>0</v>
      </c>
      <c r="I745" s="34" t="n">
        <f aca="false">+IF(E745=0,0,E745*0.03)</f>
        <v>0</v>
      </c>
    </row>
    <row r="746" customFormat="false" ht="15.75" hidden="false" customHeight="true" outlineLevel="0" collapsed="false">
      <c r="A746" s="65" t="n">
        <v>45352</v>
      </c>
      <c r="B746" s="31" t="s">
        <v>7</v>
      </c>
      <c r="C746" s="32"/>
      <c r="D746" s="32"/>
      <c r="E746" s="19" t="n">
        <f aca="false">+F746*0.03</f>
        <v>0</v>
      </c>
      <c r="F746" s="33" t="n">
        <v>0</v>
      </c>
      <c r="G746" s="62"/>
      <c r="H746" s="35" t="n">
        <v>0</v>
      </c>
      <c r="I746" s="34" t="n">
        <f aca="false">+IF(E746=0,0,E746*0.03)</f>
        <v>0</v>
      </c>
    </row>
    <row r="747" customFormat="false" ht="15.75" hidden="false" customHeight="true" outlineLevel="0" collapsed="false">
      <c r="A747" s="65" t="n">
        <v>45352</v>
      </c>
      <c r="B747" s="31" t="s">
        <v>7</v>
      </c>
      <c r="C747" s="32"/>
      <c r="D747" s="32"/>
      <c r="E747" s="19" t="n">
        <f aca="false">+F747*0.03</f>
        <v>0</v>
      </c>
      <c r="F747" s="33" t="n">
        <v>0</v>
      </c>
      <c r="G747" s="62"/>
      <c r="H747" s="35" t="n">
        <v>0</v>
      </c>
      <c r="I747" s="34" t="n">
        <f aca="false">+IF(E747=0,0,E747*0.03)</f>
        <v>0</v>
      </c>
    </row>
    <row r="748" customFormat="false" ht="15.75" hidden="false" customHeight="true" outlineLevel="0" collapsed="false">
      <c r="A748" s="65" t="n">
        <v>45352</v>
      </c>
      <c r="B748" s="31" t="s">
        <v>7</v>
      </c>
      <c r="C748" s="32"/>
      <c r="D748" s="32"/>
      <c r="E748" s="19" t="n">
        <f aca="false">+F748*0.03</f>
        <v>0</v>
      </c>
      <c r="F748" s="33" t="n">
        <v>0</v>
      </c>
      <c r="G748" s="62"/>
      <c r="H748" s="35" t="n">
        <v>0</v>
      </c>
      <c r="I748" s="34" t="n">
        <f aca="false">+IF(E748=0,0,E748*0.03)</f>
        <v>0</v>
      </c>
    </row>
    <row r="749" customFormat="false" ht="15.75" hidden="false" customHeight="true" outlineLevel="0" collapsed="false">
      <c r="A749" s="65" t="n">
        <v>45352</v>
      </c>
      <c r="B749" s="31" t="s">
        <v>7</v>
      </c>
      <c r="C749" s="32"/>
      <c r="D749" s="32"/>
      <c r="E749" s="19" t="n">
        <f aca="false">+F749*0.03</f>
        <v>0</v>
      </c>
      <c r="F749" s="33" t="n">
        <v>0</v>
      </c>
      <c r="G749" s="62"/>
      <c r="H749" s="35" t="n">
        <v>0</v>
      </c>
      <c r="I749" s="34" t="n">
        <f aca="false">+IF(E749=0,0,E749*0.03)</f>
        <v>0</v>
      </c>
    </row>
    <row r="750" customFormat="false" ht="15.75" hidden="false" customHeight="true" outlineLevel="0" collapsed="false">
      <c r="A750" s="65" t="n">
        <v>45352</v>
      </c>
      <c r="B750" s="31" t="s">
        <v>7</v>
      </c>
      <c r="C750" s="32"/>
      <c r="D750" s="32"/>
      <c r="E750" s="19" t="n">
        <f aca="false">+F750*0.03</f>
        <v>0</v>
      </c>
      <c r="F750" s="33" t="n">
        <v>0</v>
      </c>
      <c r="G750" s="62"/>
      <c r="H750" s="35" t="n">
        <v>0</v>
      </c>
      <c r="I750" s="34" t="n">
        <f aca="false">+IF(E750=0,0,E750*0.03)</f>
        <v>0</v>
      </c>
    </row>
    <row r="751" customFormat="false" ht="15.75" hidden="false" customHeight="true" outlineLevel="0" collapsed="false">
      <c r="A751" s="65" t="n">
        <v>45352</v>
      </c>
      <c r="B751" s="31" t="s">
        <v>7</v>
      </c>
      <c r="C751" s="32"/>
      <c r="D751" s="32"/>
      <c r="E751" s="19" t="n">
        <f aca="false">+F751*0.03</f>
        <v>0</v>
      </c>
      <c r="F751" s="33" t="n">
        <v>0</v>
      </c>
      <c r="G751" s="62"/>
      <c r="H751" s="35" t="n">
        <v>0</v>
      </c>
      <c r="I751" s="34" t="n">
        <f aca="false">+IF(E751=0,0,E751*0.03)</f>
        <v>0</v>
      </c>
    </row>
    <row r="752" customFormat="false" ht="15.75" hidden="false" customHeight="true" outlineLevel="0" collapsed="false">
      <c r="A752" s="65" t="n">
        <v>45352</v>
      </c>
      <c r="B752" s="31" t="s">
        <v>7</v>
      </c>
      <c r="C752" s="32"/>
      <c r="D752" s="32"/>
      <c r="E752" s="19" t="n">
        <f aca="false">+F752*0.03</f>
        <v>0</v>
      </c>
      <c r="F752" s="33" t="n">
        <v>0</v>
      </c>
      <c r="G752" s="62"/>
      <c r="H752" s="35" t="n">
        <v>0</v>
      </c>
      <c r="I752" s="34" t="n">
        <f aca="false">+IF(E752=0,0,E752*0.03)</f>
        <v>0</v>
      </c>
    </row>
    <row r="753" customFormat="false" ht="15.75" hidden="false" customHeight="true" outlineLevel="0" collapsed="false">
      <c r="A753" s="65" t="n">
        <v>45352</v>
      </c>
      <c r="B753" s="31" t="s">
        <v>7</v>
      </c>
      <c r="C753" s="32"/>
      <c r="D753" s="32"/>
      <c r="E753" s="19" t="n">
        <f aca="false">+F753*0.03</f>
        <v>0</v>
      </c>
      <c r="F753" s="33" t="n">
        <v>0</v>
      </c>
      <c r="G753" s="62"/>
      <c r="H753" s="35" t="n">
        <v>0</v>
      </c>
      <c r="I753" s="34" t="n">
        <f aca="false">+IF(E753=0,0,E753*0.03)</f>
        <v>0</v>
      </c>
    </row>
    <row r="754" customFormat="false" ht="15.75" hidden="false" customHeight="true" outlineLevel="0" collapsed="false">
      <c r="A754" s="65" t="n">
        <v>45352</v>
      </c>
      <c r="B754" s="31" t="s">
        <v>7</v>
      </c>
      <c r="C754" s="32"/>
      <c r="D754" s="32"/>
      <c r="E754" s="19" t="n">
        <f aca="false">+F754*0.03</f>
        <v>0</v>
      </c>
      <c r="F754" s="33" t="n">
        <v>0</v>
      </c>
      <c r="G754" s="62"/>
      <c r="H754" s="35" t="n">
        <v>0</v>
      </c>
      <c r="I754" s="34" t="n">
        <f aca="false">+IF(E754=0,0,E754*0.03)</f>
        <v>0</v>
      </c>
    </row>
    <row r="755" customFormat="false" ht="15.75" hidden="false" customHeight="true" outlineLevel="0" collapsed="false">
      <c r="A755" s="65" t="n">
        <v>45352</v>
      </c>
      <c r="B755" s="31" t="s">
        <v>7</v>
      </c>
      <c r="C755" s="32"/>
      <c r="D755" s="32"/>
      <c r="E755" s="19" t="n">
        <f aca="false">+F755*0.03</f>
        <v>0</v>
      </c>
      <c r="F755" s="33" t="n">
        <v>0</v>
      </c>
      <c r="G755" s="62"/>
      <c r="H755" s="35" t="n">
        <v>0</v>
      </c>
      <c r="I755" s="34" t="n">
        <f aca="false">+IF(E755=0,0,E755*0.03)</f>
        <v>0</v>
      </c>
    </row>
    <row r="756" customFormat="false" ht="15.75" hidden="false" customHeight="true" outlineLevel="0" collapsed="false">
      <c r="A756" s="65" t="n">
        <v>45352</v>
      </c>
      <c r="B756" s="31" t="s">
        <v>7</v>
      </c>
      <c r="C756" s="32"/>
      <c r="D756" s="32"/>
      <c r="E756" s="19" t="n">
        <f aca="false">+F756*0.03</f>
        <v>0</v>
      </c>
      <c r="F756" s="33" t="n">
        <v>0</v>
      </c>
      <c r="G756" s="62"/>
      <c r="H756" s="35" t="n">
        <v>0</v>
      </c>
      <c r="I756" s="34" t="n">
        <f aca="false">+IF(E756=0,0,E756*0.03)</f>
        <v>0</v>
      </c>
    </row>
    <row r="757" customFormat="false" ht="15.75" hidden="false" customHeight="true" outlineLevel="0" collapsed="false">
      <c r="A757" s="65" t="n">
        <v>45352</v>
      </c>
      <c r="B757" s="31" t="s">
        <v>7</v>
      </c>
      <c r="C757" s="32"/>
      <c r="D757" s="32"/>
      <c r="E757" s="19" t="n">
        <f aca="false">+F757*0.03</f>
        <v>0</v>
      </c>
      <c r="F757" s="33" t="n">
        <v>0</v>
      </c>
      <c r="G757" s="62"/>
      <c r="H757" s="35" t="n">
        <v>0</v>
      </c>
      <c r="I757" s="34" t="n">
        <f aca="false">+IF(E757=0,0,E757*0.03)</f>
        <v>0</v>
      </c>
    </row>
    <row r="758" customFormat="false" ht="15.75" hidden="false" customHeight="true" outlineLevel="0" collapsed="false">
      <c r="A758" s="65" t="n">
        <v>45352</v>
      </c>
      <c r="B758" s="31" t="s">
        <v>7</v>
      </c>
      <c r="C758" s="32"/>
      <c r="D758" s="32"/>
      <c r="E758" s="19" t="n">
        <f aca="false">+F758*0.03</f>
        <v>0</v>
      </c>
      <c r="F758" s="33" t="n">
        <v>0</v>
      </c>
      <c r="G758" s="62"/>
      <c r="H758" s="35" t="n">
        <v>0</v>
      </c>
      <c r="I758" s="34" t="n">
        <f aca="false">+IF(E758=0,0,E758*0.03)</f>
        <v>0</v>
      </c>
    </row>
    <row r="759" customFormat="false" ht="15.75" hidden="false" customHeight="true" outlineLevel="0" collapsed="false">
      <c r="A759" s="65" t="n">
        <v>45352</v>
      </c>
      <c r="B759" s="31" t="s">
        <v>7</v>
      </c>
      <c r="C759" s="32"/>
      <c r="D759" s="32"/>
      <c r="E759" s="19" t="n">
        <f aca="false">+F759*0.03</f>
        <v>0</v>
      </c>
      <c r="F759" s="33" t="n">
        <v>0</v>
      </c>
      <c r="G759" s="62"/>
      <c r="H759" s="35" t="n">
        <v>0</v>
      </c>
      <c r="I759" s="34" t="n">
        <f aca="false">+IF(E759=0,0,E759*0.03)</f>
        <v>0</v>
      </c>
    </row>
    <row r="760" customFormat="false" ht="15.75" hidden="false" customHeight="true" outlineLevel="0" collapsed="false">
      <c r="A760" s="65" t="n">
        <v>45352</v>
      </c>
      <c r="B760" s="31" t="s">
        <v>7</v>
      </c>
      <c r="C760" s="32"/>
      <c r="D760" s="32"/>
      <c r="E760" s="19" t="n">
        <f aca="false">+F760*0.03</f>
        <v>0</v>
      </c>
      <c r="F760" s="33" t="n">
        <v>0</v>
      </c>
      <c r="G760" s="62"/>
      <c r="H760" s="35" t="n">
        <v>0</v>
      </c>
      <c r="I760" s="34" t="n">
        <f aca="false">+IF(E760=0,0,E760*0.03)</f>
        <v>0</v>
      </c>
    </row>
    <row r="761" customFormat="false" ht="15.75" hidden="false" customHeight="true" outlineLevel="0" collapsed="false">
      <c r="A761" s="65" t="n">
        <v>45352</v>
      </c>
      <c r="B761" s="31" t="s">
        <v>7</v>
      </c>
      <c r="C761" s="32"/>
      <c r="D761" s="32"/>
      <c r="E761" s="19" t="n">
        <f aca="false">+F761*0.03</f>
        <v>0</v>
      </c>
      <c r="F761" s="33" t="n">
        <v>0</v>
      </c>
      <c r="G761" s="62"/>
      <c r="H761" s="35" t="n">
        <v>0</v>
      </c>
      <c r="I761" s="34" t="n">
        <f aca="false">+IF(E761=0,0,E761*0.03)</f>
        <v>0</v>
      </c>
    </row>
    <row r="762" customFormat="false" ht="15.75" hidden="false" customHeight="true" outlineLevel="0" collapsed="false">
      <c r="A762" s="65" t="n">
        <v>45352</v>
      </c>
      <c r="B762" s="31" t="s">
        <v>7</v>
      </c>
      <c r="C762" s="32"/>
      <c r="D762" s="32"/>
      <c r="E762" s="19" t="n">
        <f aca="false">+F762*0.03</f>
        <v>0</v>
      </c>
      <c r="F762" s="33" t="n">
        <v>0</v>
      </c>
      <c r="G762" s="62"/>
      <c r="H762" s="35" t="n">
        <v>0</v>
      </c>
      <c r="I762" s="34" t="n">
        <f aca="false">+IF(E762=0,0,E762*0.03)</f>
        <v>0</v>
      </c>
    </row>
    <row r="763" customFormat="false" ht="15.75" hidden="false" customHeight="true" outlineLevel="0" collapsed="false">
      <c r="A763" s="65" t="n">
        <v>45352</v>
      </c>
      <c r="B763" s="31" t="s">
        <v>7</v>
      </c>
      <c r="C763" s="32"/>
      <c r="D763" s="32"/>
      <c r="E763" s="19" t="n">
        <f aca="false">+F763*0.03</f>
        <v>0</v>
      </c>
      <c r="F763" s="33" t="n">
        <v>0</v>
      </c>
      <c r="G763" s="62"/>
      <c r="H763" s="35" t="n">
        <v>0</v>
      </c>
      <c r="I763" s="34" t="n">
        <f aca="false">+IF(E763=0,0,E763*0.03)</f>
        <v>0</v>
      </c>
    </row>
    <row r="764" customFormat="false" ht="15.75" hidden="false" customHeight="true" outlineLevel="0" collapsed="false">
      <c r="A764" s="65" t="n">
        <v>45352</v>
      </c>
      <c r="B764" s="31" t="s">
        <v>7</v>
      </c>
      <c r="C764" s="32"/>
      <c r="D764" s="32"/>
      <c r="E764" s="19" t="n">
        <f aca="false">+F764*0.03</f>
        <v>0</v>
      </c>
      <c r="F764" s="33" t="n">
        <v>0</v>
      </c>
      <c r="G764" s="62"/>
      <c r="H764" s="35" t="n">
        <v>0</v>
      </c>
      <c r="I764" s="34" t="n">
        <f aca="false">+IF(E764=0,0,E764*0.03)</f>
        <v>0</v>
      </c>
    </row>
    <row r="765" customFormat="false" ht="15.75" hidden="false" customHeight="true" outlineLevel="0" collapsed="false">
      <c r="A765" s="65" t="n">
        <v>45352</v>
      </c>
      <c r="B765" s="31" t="s">
        <v>7</v>
      </c>
      <c r="C765" s="32"/>
      <c r="D765" s="32"/>
      <c r="E765" s="19" t="n">
        <f aca="false">+F765*0.03</f>
        <v>0</v>
      </c>
      <c r="F765" s="33" t="n">
        <v>0</v>
      </c>
      <c r="G765" s="62"/>
      <c r="H765" s="35" t="n">
        <v>0</v>
      </c>
      <c r="I765" s="34" t="n">
        <f aca="false">+IF(E765=0,0,E765*0.03)</f>
        <v>0</v>
      </c>
    </row>
    <row r="766" customFormat="false" ht="15.75" hidden="false" customHeight="true" outlineLevel="0" collapsed="false">
      <c r="A766" s="65" t="n">
        <v>45352</v>
      </c>
      <c r="B766" s="31" t="s">
        <v>7</v>
      </c>
      <c r="C766" s="32"/>
      <c r="D766" s="32"/>
      <c r="E766" s="19" t="n">
        <f aca="false">+F766*0.03</f>
        <v>0</v>
      </c>
      <c r="F766" s="33" t="n">
        <v>0</v>
      </c>
      <c r="G766" s="62"/>
      <c r="H766" s="35" t="n">
        <v>0</v>
      </c>
      <c r="I766" s="34" t="n">
        <f aca="false">+IF(E766=0,0,E766*0.03)</f>
        <v>0</v>
      </c>
    </row>
    <row r="767" customFormat="false" ht="15.75" hidden="false" customHeight="true" outlineLevel="0" collapsed="false">
      <c r="A767" s="65" t="n">
        <v>45352</v>
      </c>
      <c r="B767" s="31" t="s">
        <v>7</v>
      </c>
      <c r="C767" s="32"/>
      <c r="D767" s="32"/>
      <c r="E767" s="19" t="n">
        <f aca="false">+F767*0.03</f>
        <v>0</v>
      </c>
      <c r="F767" s="33" t="n">
        <v>0</v>
      </c>
      <c r="G767" s="62"/>
      <c r="H767" s="35" t="n">
        <v>0</v>
      </c>
      <c r="I767" s="34" t="n">
        <f aca="false">+IF(E767=0,0,E767*0.03)</f>
        <v>0</v>
      </c>
    </row>
    <row r="768" customFormat="false" ht="15.75" hidden="false" customHeight="true" outlineLevel="0" collapsed="false">
      <c r="A768" s="65" t="n">
        <v>45352</v>
      </c>
      <c r="B768" s="31" t="s">
        <v>7</v>
      </c>
      <c r="C768" s="32"/>
      <c r="D768" s="32"/>
      <c r="E768" s="19" t="n">
        <f aca="false">+F768*0.03</f>
        <v>0</v>
      </c>
      <c r="F768" s="33" t="n">
        <v>0</v>
      </c>
      <c r="G768" s="62"/>
      <c r="H768" s="35" t="n">
        <v>0</v>
      </c>
      <c r="I768" s="34" t="n">
        <f aca="false">+IF(E768=0,0,E768*0.03)</f>
        <v>0</v>
      </c>
    </row>
    <row r="769" customFormat="false" ht="15.75" hidden="false" customHeight="true" outlineLevel="0" collapsed="false">
      <c r="A769" s="65" t="n">
        <v>45352</v>
      </c>
      <c r="B769" s="31" t="s">
        <v>7</v>
      </c>
      <c r="C769" s="32"/>
      <c r="D769" s="32"/>
      <c r="E769" s="19" t="n">
        <f aca="false">+F769*0.03</f>
        <v>0</v>
      </c>
      <c r="F769" s="33" t="n">
        <v>0</v>
      </c>
      <c r="G769" s="62"/>
      <c r="H769" s="35" t="n">
        <v>0</v>
      </c>
      <c r="I769" s="34" t="n">
        <f aca="false">+IF(E769=0,0,E769*0.03)</f>
        <v>0</v>
      </c>
    </row>
    <row r="770" customFormat="false" ht="15.75" hidden="false" customHeight="true" outlineLevel="0" collapsed="false">
      <c r="A770" s="65" t="n">
        <v>45352</v>
      </c>
      <c r="B770" s="31" t="s">
        <v>7</v>
      </c>
      <c r="C770" s="32"/>
      <c r="D770" s="32"/>
      <c r="E770" s="19" t="n">
        <f aca="false">+F770*0.03</f>
        <v>0</v>
      </c>
      <c r="F770" s="33" t="n">
        <v>0</v>
      </c>
      <c r="G770" s="62"/>
      <c r="H770" s="35" t="n">
        <v>0</v>
      </c>
      <c r="I770" s="34" t="n">
        <f aca="false">+IF(E770=0,0,E770*0.03)</f>
        <v>0</v>
      </c>
    </row>
    <row r="771" customFormat="false" ht="15.75" hidden="false" customHeight="true" outlineLevel="0" collapsed="false">
      <c r="A771" s="65" t="n">
        <v>45352</v>
      </c>
      <c r="B771" s="31" t="s">
        <v>7</v>
      </c>
      <c r="C771" s="32"/>
      <c r="D771" s="32"/>
      <c r="E771" s="19" t="n">
        <f aca="false">+F771*0.03</f>
        <v>0</v>
      </c>
      <c r="F771" s="33" t="n">
        <v>0</v>
      </c>
      <c r="G771" s="62"/>
      <c r="H771" s="35" t="n">
        <v>0</v>
      </c>
      <c r="I771" s="34" t="n">
        <f aca="false">+IF(E771=0,0,E771*0.03)</f>
        <v>0</v>
      </c>
    </row>
    <row r="772" customFormat="false" ht="15.75" hidden="false" customHeight="true" outlineLevel="0" collapsed="false">
      <c r="A772" s="65" t="n">
        <v>45352</v>
      </c>
      <c r="B772" s="31" t="s">
        <v>7</v>
      </c>
      <c r="C772" s="32"/>
      <c r="D772" s="32"/>
      <c r="E772" s="19" t="n">
        <f aca="false">+F772*0.03</f>
        <v>0</v>
      </c>
      <c r="F772" s="33" t="n">
        <v>0</v>
      </c>
      <c r="G772" s="62"/>
      <c r="H772" s="35" t="n">
        <v>0</v>
      </c>
      <c r="I772" s="34" t="n">
        <f aca="false">+IF(E772=0,0,E772*0.03)</f>
        <v>0</v>
      </c>
    </row>
    <row r="773" customFormat="false" ht="15.75" hidden="false" customHeight="true" outlineLevel="0" collapsed="false">
      <c r="A773" s="65" t="n">
        <v>45352</v>
      </c>
      <c r="B773" s="31" t="s">
        <v>7</v>
      </c>
      <c r="C773" s="32"/>
      <c r="D773" s="32"/>
      <c r="E773" s="19" t="n">
        <f aca="false">+F773*0.03</f>
        <v>0</v>
      </c>
      <c r="F773" s="33" t="n">
        <v>0</v>
      </c>
      <c r="G773" s="62"/>
      <c r="H773" s="35" t="n">
        <v>0</v>
      </c>
      <c r="I773" s="34" t="n">
        <f aca="false">+IF(E773=0,0,E773*0.03)</f>
        <v>0</v>
      </c>
    </row>
    <row r="774" customFormat="false" ht="15.75" hidden="false" customHeight="true" outlineLevel="0" collapsed="false">
      <c r="A774" s="65" t="n">
        <v>45352</v>
      </c>
      <c r="B774" s="31" t="s">
        <v>7</v>
      </c>
      <c r="C774" s="32"/>
      <c r="D774" s="32"/>
      <c r="E774" s="19" t="n">
        <f aca="false">+F774*0.03</f>
        <v>0</v>
      </c>
      <c r="F774" s="33" t="n">
        <v>0</v>
      </c>
      <c r="G774" s="62"/>
      <c r="H774" s="35" t="n">
        <v>0</v>
      </c>
      <c r="I774" s="34" t="n">
        <f aca="false">+IF(E774=0,0,E774*0.03)</f>
        <v>0</v>
      </c>
    </row>
    <row r="775" customFormat="false" ht="15.75" hidden="false" customHeight="true" outlineLevel="0" collapsed="false">
      <c r="A775" s="65" t="n">
        <v>45352</v>
      </c>
      <c r="B775" s="31" t="s">
        <v>7</v>
      </c>
      <c r="C775" s="32"/>
      <c r="D775" s="32"/>
      <c r="E775" s="19" t="n">
        <f aca="false">+F775*0.03</f>
        <v>0</v>
      </c>
      <c r="F775" s="33" t="n">
        <v>0</v>
      </c>
      <c r="G775" s="62"/>
      <c r="H775" s="35" t="n">
        <v>0</v>
      </c>
      <c r="I775" s="34" t="n">
        <f aca="false">+IF(E775=0,0,E775*0.03)</f>
        <v>0</v>
      </c>
    </row>
    <row r="776" customFormat="false" ht="15.75" hidden="false" customHeight="true" outlineLevel="0" collapsed="false">
      <c r="A776" s="65" t="n">
        <v>45352</v>
      </c>
      <c r="B776" s="31" t="s">
        <v>7</v>
      </c>
      <c r="C776" s="32"/>
      <c r="D776" s="32"/>
      <c r="E776" s="19" t="n">
        <f aca="false">+F776*0.03</f>
        <v>0</v>
      </c>
      <c r="F776" s="33" t="n">
        <v>0</v>
      </c>
      <c r="G776" s="62"/>
      <c r="H776" s="35" t="n">
        <v>0</v>
      </c>
      <c r="I776" s="34" t="n">
        <f aca="false">+IF(E776=0,0,E776*0.03)</f>
        <v>0</v>
      </c>
    </row>
    <row r="777" customFormat="false" ht="15.75" hidden="false" customHeight="true" outlineLevel="0" collapsed="false">
      <c r="A777" s="65" t="n">
        <v>45352</v>
      </c>
      <c r="B777" s="31" t="s">
        <v>7</v>
      </c>
      <c r="C777" s="32"/>
      <c r="D777" s="32"/>
      <c r="E777" s="19" t="n">
        <f aca="false">+F777*0.03</f>
        <v>0</v>
      </c>
      <c r="F777" s="33" t="n">
        <v>0</v>
      </c>
      <c r="G777" s="62"/>
      <c r="H777" s="35" t="n">
        <v>0</v>
      </c>
      <c r="I777" s="34" t="n">
        <f aca="false">+IF(E777=0,0,E777*0.03)</f>
        <v>0</v>
      </c>
    </row>
    <row r="778" customFormat="false" ht="15.75" hidden="false" customHeight="true" outlineLevel="0" collapsed="false">
      <c r="A778" s="65" t="n">
        <v>45352</v>
      </c>
      <c r="B778" s="31" t="s">
        <v>7</v>
      </c>
      <c r="C778" s="32"/>
      <c r="D778" s="32"/>
      <c r="E778" s="19" t="n">
        <f aca="false">+F778*0.03</f>
        <v>0</v>
      </c>
      <c r="F778" s="33" t="n">
        <v>0</v>
      </c>
      <c r="G778" s="62"/>
      <c r="H778" s="35" t="n">
        <v>0</v>
      </c>
      <c r="I778" s="34" t="n">
        <f aca="false">+IF(E778=0,0,E778*0.03)</f>
        <v>0</v>
      </c>
    </row>
    <row r="779" customFormat="false" ht="15.75" hidden="false" customHeight="true" outlineLevel="0" collapsed="false">
      <c r="A779" s="65" t="n">
        <v>45352</v>
      </c>
      <c r="B779" s="31" t="s">
        <v>7</v>
      </c>
      <c r="C779" s="32"/>
      <c r="D779" s="32"/>
      <c r="E779" s="19" t="n">
        <f aca="false">+F779*0.03</f>
        <v>0</v>
      </c>
      <c r="F779" s="33" t="n">
        <v>0</v>
      </c>
      <c r="G779" s="62"/>
      <c r="H779" s="35" t="n">
        <v>0</v>
      </c>
      <c r="I779" s="34" t="n">
        <f aca="false">+IF(E779=0,0,E779*0.03)</f>
        <v>0</v>
      </c>
    </row>
    <row r="780" customFormat="false" ht="15.75" hidden="false" customHeight="true" outlineLevel="0" collapsed="false">
      <c r="A780" s="65" t="n">
        <v>45352</v>
      </c>
      <c r="B780" s="31" t="s">
        <v>7</v>
      </c>
      <c r="C780" s="32"/>
      <c r="D780" s="32"/>
      <c r="E780" s="19" t="n">
        <f aca="false">+F780*0.03</f>
        <v>0</v>
      </c>
      <c r="F780" s="33" t="n">
        <v>0</v>
      </c>
      <c r="G780" s="62"/>
      <c r="H780" s="35" t="n">
        <v>0</v>
      </c>
      <c r="I780" s="34" t="n">
        <f aca="false">+IF(E780=0,0,E780*0.03)</f>
        <v>0</v>
      </c>
    </row>
    <row r="781" customFormat="false" ht="15.75" hidden="false" customHeight="true" outlineLevel="0" collapsed="false">
      <c r="A781" s="65" t="n">
        <v>45352</v>
      </c>
      <c r="B781" s="31" t="s">
        <v>7</v>
      </c>
      <c r="C781" s="32"/>
      <c r="D781" s="32"/>
      <c r="E781" s="19" t="n">
        <f aca="false">+F781*0.03</f>
        <v>0</v>
      </c>
      <c r="F781" s="33" t="n">
        <v>0</v>
      </c>
      <c r="G781" s="62"/>
      <c r="H781" s="35" t="n">
        <v>0</v>
      </c>
      <c r="I781" s="34" t="n">
        <f aca="false">+IF(E781=0,0,E781*0.03)</f>
        <v>0</v>
      </c>
    </row>
    <row r="782" customFormat="false" ht="15.75" hidden="false" customHeight="true" outlineLevel="0" collapsed="false">
      <c r="A782" s="65" t="n">
        <v>45352</v>
      </c>
      <c r="B782" s="31" t="s">
        <v>7</v>
      </c>
      <c r="C782" s="32"/>
      <c r="D782" s="32"/>
      <c r="E782" s="19" t="n">
        <f aca="false">+F782*0.03</f>
        <v>0</v>
      </c>
      <c r="F782" s="33" t="n">
        <v>0</v>
      </c>
      <c r="G782" s="62"/>
      <c r="H782" s="35" t="n">
        <v>0</v>
      </c>
      <c r="I782" s="34" t="n">
        <f aca="false">+IF(E782=0,0,E782*0.03)</f>
        <v>0</v>
      </c>
    </row>
    <row r="783" customFormat="false" ht="15.75" hidden="false" customHeight="true" outlineLevel="0" collapsed="false">
      <c r="A783" s="65" t="n">
        <v>45352</v>
      </c>
      <c r="B783" s="31" t="s">
        <v>7</v>
      </c>
      <c r="C783" s="32"/>
      <c r="D783" s="32"/>
      <c r="E783" s="19" t="n">
        <f aca="false">+F783*0.03</f>
        <v>0</v>
      </c>
      <c r="F783" s="33" t="n">
        <v>0</v>
      </c>
      <c r="G783" s="62"/>
      <c r="H783" s="35" t="n">
        <v>0</v>
      </c>
      <c r="I783" s="34" t="n">
        <f aca="false">+IF(E783=0,0,E783*0.03)</f>
        <v>0</v>
      </c>
    </row>
    <row r="784" customFormat="false" ht="15.75" hidden="false" customHeight="true" outlineLevel="0" collapsed="false">
      <c r="A784" s="65" t="n">
        <v>45352</v>
      </c>
      <c r="B784" s="31" t="s">
        <v>7</v>
      </c>
      <c r="C784" s="32"/>
      <c r="D784" s="32"/>
      <c r="E784" s="19" t="n">
        <f aca="false">+F784*0.03</f>
        <v>0</v>
      </c>
      <c r="F784" s="33" t="n">
        <v>0</v>
      </c>
      <c r="G784" s="62"/>
      <c r="H784" s="35" t="n">
        <v>0</v>
      </c>
      <c r="I784" s="34" t="n">
        <f aca="false">+IF(E784=0,0,E784*0.03)</f>
        <v>0</v>
      </c>
    </row>
    <row r="785" customFormat="false" ht="15.75" hidden="false" customHeight="true" outlineLevel="0" collapsed="false">
      <c r="A785" s="65" t="n">
        <v>45352</v>
      </c>
      <c r="B785" s="31" t="s">
        <v>7</v>
      </c>
      <c r="C785" s="32"/>
      <c r="D785" s="32"/>
      <c r="E785" s="19" t="n">
        <f aca="false">+F785*0.03</f>
        <v>0</v>
      </c>
      <c r="F785" s="33" t="n">
        <v>0</v>
      </c>
      <c r="G785" s="62"/>
      <c r="H785" s="35" t="n">
        <v>0</v>
      </c>
      <c r="I785" s="34" t="n">
        <f aca="false">+IF(E785=0,0,E785*0.03)</f>
        <v>0</v>
      </c>
    </row>
    <row r="786" customFormat="false" ht="15.75" hidden="false" customHeight="true" outlineLevel="0" collapsed="false">
      <c r="A786" s="65" t="n">
        <v>45352</v>
      </c>
      <c r="B786" s="31" t="s">
        <v>7</v>
      </c>
      <c r="C786" s="32"/>
      <c r="D786" s="32"/>
      <c r="E786" s="19" t="n">
        <f aca="false">+F786*0.03</f>
        <v>0</v>
      </c>
      <c r="F786" s="33" t="n">
        <v>0</v>
      </c>
      <c r="G786" s="62"/>
      <c r="H786" s="35" t="n">
        <v>0</v>
      </c>
      <c r="I786" s="34" t="n">
        <f aca="false">+IF(E786=0,0,E786*0.03)</f>
        <v>0</v>
      </c>
    </row>
    <row r="787" customFormat="false" ht="15.75" hidden="false" customHeight="true" outlineLevel="0" collapsed="false">
      <c r="A787" s="65" t="n">
        <v>45352</v>
      </c>
      <c r="B787" s="31" t="s">
        <v>7</v>
      </c>
      <c r="C787" s="32"/>
      <c r="D787" s="32"/>
      <c r="E787" s="19" t="n">
        <f aca="false">+F787*0.03</f>
        <v>0</v>
      </c>
      <c r="F787" s="33" t="n">
        <v>0</v>
      </c>
      <c r="G787" s="62"/>
      <c r="H787" s="35" t="n">
        <v>0</v>
      </c>
      <c r="I787" s="34" t="n">
        <f aca="false">+IF(E787=0,0,E787*0.03)</f>
        <v>0</v>
      </c>
    </row>
    <row r="788" customFormat="false" ht="15.75" hidden="false" customHeight="true" outlineLevel="0" collapsed="false">
      <c r="A788" s="30" t="n">
        <v>45323</v>
      </c>
      <c r="B788" s="31" t="s">
        <v>7</v>
      </c>
      <c r="C788" s="32"/>
      <c r="D788" s="32"/>
      <c r="E788" s="19" t="n">
        <f aca="false">+F788*0.03</f>
        <v>0</v>
      </c>
      <c r="F788" s="33" t="n">
        <v>0</v>
      </c>
      <c r="G788" s="62"/>
      <c r="H788" s="35" t="n">
        <v>0</v>
      </c>
      <c r="I788" s="34" t="n">
        <f aca="false">+IF(E788=0,0,E788*0.03)</f>
        <v>0</v>
      </c>
    </row>
    <row r="789" customFormat="false" ht="15.75" hidden="false" customHeight="true" outlineLevel="0" collapsed="false">
      <c r="A789" s="30" t="n">
        <v>45323</v>
      </c>
      <c r="B789" s="31" t="s">
        <v>7</v>
      </c>
      <c r="C789" s="32"/>
      <c r="D789" s="32"/>
      <c r="E789" s="19" t="n">
        <f aca="false">+F789*0.03</f>
        <v>0</v>
      </c>
      <c r="F789" s="33" t="n">
        <v>0</v>
      </c>
      <c r="G789" s="62"/>
      <c r="H789" s="35" t="n">
        <v>0</v>
      </c>
      <c r="I789" s="34" t="n">
        <f aca="false">+IF(E789=0,0,E789*0.03)</f>
        <v>0</v>
      </c>
    </row>
    <row r="790" customFormat="false" ht="15.75" hidden="false" customHeight="true" outlineLevel="0" collapsed="false">
      <c r="A790" s="30" t="n">
        <v>45323</v>
      </c>
      <c r="B790" s="31" t="s">
        <v>7</v>
      </c>
      <c r="C790" s="32"/>
      <c r="D790" s="32"/>
      <c r="E790" s="19" t="n">
        <f aca="false">+F790*0.03</f>
        <v>0</v>
      </c>
      <c r="F790" s="33" t="n">
        <v>0</v>
      </c>
      <c r="G790" s="62"/>
      <c r="H790" s="35" t="n">
        <v>0</v>
      </c>
      <c r="I790" s="34" t="n">
        <f aca="false">+IF(E790=0,0,E790*0.03)</f>
        <v>0</v>
      </c>
    </row>
    <row r="791" customFormat="false" ht="15.75" hidden="false" customHeight="true" outlineLevel="0" collapsed="false">
      <c r="A791" s="30" t="n">
        <v>45323</v>
      </c>
      <c r="B791" s="31" t="s">
        <v>7</v>
      </c>
      <c r="C791" s="32"/>
      <c r="D791" s="32"/>
      <c r="E791" s="19" t="n">
        <f aca="false">+F791*0.03</f>
        <v>0</v>
      </c>
      <c r="F791" s="33" t="n">
        <v>0</v>
      </c>
      <c r="G791" s="62"/>
      <c r="H791" s="35" t="n">
        <v>0</v>
      </c>
      <c r="I791" s="34" t="n">
        <f aca="false">+IF(E791=0,0,E791*0.03)</f>
        <v>0</v>
      </c>
    </row>
    <row r="792" customFormat="false" ht="15.75" hidden="false" customHeight="true" outlineLevel="0" collapsed="false">
      <c r="A792" s="30" t="n">
        <v>45323</v>
      </c>
      <c r="B792" s="31" t="s">
        <v>7</v>
      </c>
      <c r="C792" s="32"/>
      <c r="D792" s="32"/>
      <c r="E792" s="19" t="n">
        <f aca="false">+F792*0.03</f>
        <v>0</v>
      </c>
      <c r="F792" s="33" t="n">
        <v>0</v>
      </c>
      <c r="G792" s="62"/>
      <c r="H792" s="35" t="n">
        <v>0</v>
      </c>
      <c r="I792" s="34" t="n">
        <f aca="false">+IF(E792=0,0,E792*0.03)</f>
        <v>0</v>
      </c>
    </row>
    <row r="793" customFormat="false" ht="15.75" hidden="false" customHeight="true" outlineLevel="0" collapsed="false">
      <c r="A793" s="30" t="n">
        <v>45323</v>
      </c>
      <c r="B793" s="31" t="s">
        <v>7</v>
      </c>
      <c r="C793" s="32"/>
      <c r="D793" s="32"/>
      <c r="E793" s="19" t="n">
        <f aca="false">+F793*0.03</f>
        <v>0</v>
      </c>
      <c r="F793" s="33" t="n">
        <v>0</v>
      </c>
      <c r="G793" s="62"/>
      <c r="H793" s="35" t="n">
        <v>0</v>
      </c>
      <c r="I793" s="34" t="n">
        <f aca="false">+IF(E793=0,0,E793*0.03)</f>
        <v>0</v>
      </c>
    </row>
    <row r="794" customFormat="false" ht="15.75" hidden="false" customHeight="true" outlineLevel="0" collapsed="false">
      <c r="A794" s="30" t="n">
        <v>45323</v>
      </c>
      <c r="B794" s="31" t="s">
        <v>7</v>
      </c>
      <c r="C794" s="32"/>
      <c r="D794" s="32"/>
      <c r="E794" s="19" t="n">
        <f aca="false">+F794*0.03</f>
        <v>0</v>
      </c>
      <c r="F794" s="33" t="n">
        <v>0</v>
      </c>
      <c r="G794" s="62"/>
      <c r="H794" s="35" t="n">
        <v>0</v>
      </c>
      <c r="I794" s="34" t="n">
        <f aca="false">+IF(E794=0,0,E794*0.03)</f>
        <v>0</v>
      </c>
    </row>
    <row r="795" customFormat="false" ht="15.75" hidden="false" customHeight="true" outlineLevel="0" collapsed="false">
      <c r="A795" s="30" t="n">
        <v>45323</v>
      </c>
      <c r="B795" s="31" t="s">
        <v>7</v>
      </c>
      <c r="C795" s="32"/>
      <c r="D795" s="32"/>
      <c r="E795" s="19" t="n">
        <f aca="false">+F795*0.03</f>
        <v>0</v>
      </c>
      <c r="F795" s="33" t="n">
        <v>0</v>
      </c>
      <c r="G795" s="62"/>
      <c r="H795" s="35" t="n">
        <v>0</v>
      </c>
      <c r="I795" s="34" t="n">
        <f aca="false">+IF(E795=0,0,E795*0.03)</f>
        <v>0</v>
      </c>
    </row>
    <row r="796" customFormat="false" ht="15.75" hidden="false" customHeight="true" outlineLevel="0" collapsed="false">
      <c r="A796" s="30" t="n">
        <v>45323</v>
      </c>
      <c r="B796" s="31" t="s">
        <v>7</v>
      </c>
      <c r="C796" s="32"/>
      <c r="D796" s="32"/>
      <c r="E796" s="19" t="n">
        <f aca="false">+F796*0.03</f>
        <v>0</v>
      </c>
      <c r="F796" s="33" t="n">
        <v>0</v>
      </c>
      <c r="G796" s="62"/>
      <c r="H796" s="35" t="n">
        <v>0</v>
      </c>
      <c r="I796" s="34" t="n">
        <f aca="false">+IF(E796=0,0,E796*0.03)</f>
        <v>0</v>
      </c>
    </row>
    <row r="797" customFormat="false" ht="15.75" hidden="false" customHeight="true" outlineLevel="0" collapsed="false">
      <c r="A797" s="30" t="n">
        <v>45323</v>
      </c>
      <c r="B797" s="31" t="s">
        <v>7</v>
      </c>
      <c r="C797" s="32"/>
      <c r="D797" s="32"/>
      <c r="E797" s="19" t="n">
        <f aca="false">+F797*0.03</f>
        <v>0</v>
      </c>
      <c r="F797" s="33" t="n">
        <v>0</v>
      </c>
      <c r="G797" s="62"/>
      <c r="H797" s="35" t="n">
        <v>0</v>
      </c>
      <c r="I797" s="34" t="n">
        <f aca="false">+IF(E797=0,0,E797*0.03)</f>
        <v>0</v>
      </c>
    </row>
    <row r="798" customFormat="false" ht="15.75" hidden="false" customHeight="true" outlineLevel="0" collapsed="false">
      <c r="A798" s="30" t="n">
        <v>45323</v>
      </c>
      <c r="B798" s="31" t="s">
        <v>7</v>
      </c>
      <c r="C798" s="32"/>
      <c r="D798" s="32"/>
      <c r="E798" s="19" t="n">
        <f aca="false">+F798*0.03</f>
        <v>0</v>
      </c>
      <c r="F798" s="33" t="n">
        <v>0</v>
      </c>
      <c r="G798" s="62"/>
      <c r="H798" s="35" t="n">
        <v>0</v>
      </c>
      <c r="I798" s="34" t="n">
        <f aca="false">+IF(E798=0,0,E798*0.03)</f>
        <v>0</v>
      </c>
    </row>
    <row r="799" customFormat="false" ht="15.75" hidden="false" customHeight="true" outlineLevel="0" collapsed="false">
      <c r="A799" s="30" t="n">
        <v>45323</v>
      </c>
      <c r="B799" s="31" t="s">
        <v>7</v>
      </c>
      <c r="C799" s="32"/>
      <c r="D799" s="32"/>
      <c r="E799" s="19" t="n">
        <f aca="false">+F799*0.03</f>
        <v>0</v>
      </c>
      <c r="F799" s="33" t="n">
        <v>0</v>
      </c>
      <c r="G799" s="62"/>
      <c r="H799" s="35" t="n">
        <v>0</v>
      </c>
      <c r="I799" s="34" t="n">
        <f aca="false">+IF(E799=0,0,E799*0.03)</f>
        <v>0</v>
      </c>
    </row>
    <row r="800" customFormat="false" ht="15.75" hidden="false" customHeight="true" outlineLevel="0" collapsed="false">
      <c r="A800" s="30" t="n">
        <v>45323</v>
      </c>
      <c r="B800" s="31" t="s">
        <v>7</v>
      </c>
      <c r="C800" s="32"/>
      <c r="D800" s="32"/>
      <c r="E800" s="19" t="n">
        <f aca="false">+F800*0.03</f>
        <v>0</v>
      </c>
      <c r="F800" s="33" t="n">
        <v>0</v>
      </c>
      <c r="G800" s="62"/>
      <c r="H800" s="35" t="n">
        <v>0</v>
      </c>
      <c r="I800" s="34" t="n">
        <f aca="false">+IF(E800=0,0,E800*0.03)</f>
        <v>0</v>
      </c>
    </row>
    <row r="801" customFormat="false" ht="15.75" hidden="false" customHeight="true" outlineLevel="0" collapsed="false">
      <c r="A801" s="30" t="n">
        <v>45323</v>
      </c>
      <c r="B801" s="31" t="s">
        <v>7</v>
      </c>
      <c r="C801" s="32"/>
      <c r="D801" s="32"/>
      <c r="E801" s="19" t="n">
        <f aca="false">+F801*0.03</f>
        <v>0</v>
      </c>
      <c r="F801" s="33" t="n">
        <v>0</v>
      </c>
      <c r="G801" s="62"/>
      <c r="H801" s="35" t="n">
        <v>0</v>
      </c>
      <c r="I801" s="34" t="n">
        <f aca="false">+IF(E801=0,0,E801*0.03)</f>
        <v>0</v>
      </c>
    </row>
    <row r="802" customFormat="false" ht="15.75" hidden="false" customHeight="true" outlineLevel="0" collapsed="false">
      <c r="A802" s="30" t="n">
        <v>45323</v>
      </c>
      <c r="B802" s="31" t="s">
        <v>7</v>
      </c>
      <c r="C802" s="32"/>
      <c r="D802" s="32"/>
      <c r="E802" s="19" t="n">
        <f aca="false">+F802*0.03</f>
        <v>0</v>
      </c>
      <c r="F802" s="33" t="n">
        <v>0</v>
      </c>
      <c r="G802" s="62"/>
      <c r="H802" s="35" t="n">
        <v>0</v>
      </c>
      <c r="I802" s="34" t="n">
        <f aca="false">+IF(E802=0,0,E802*0.03)</f>
        <v>0</v>
      </c>
    </row>
    <row r="803" customFormat="false" ht="15.75" hidden="false" customHeight="true" outlineLevel="0" collapsed="false">
      <c r="A803" s="30" t="n">
        <v>45323</v>
      </c>
      <c r="B803" s="31" t="s">
        <v>7</v>
      </c>
      <c r="C803" s="32"/>
      <c r="D803" s="32"/>
      <c r="E803" s="19" t="n">
        <f aca="false">+F803*0.03</f>
        <v>0</v>
      </c>
      <c r="F803" s="33" t="n">
        <v>0</v>
      </c>
      <c r="G803" s="62"/>
      <c r="H803" s="35" t="n">
        <v>0</v>
      </c>
      <c r="I803" s="34" t="n">
        <f aca="false">+IF(E803=0,0,E803*0.03)</f>
        <v>0</v>
      </c>
    </row>
    <row r="804" customFormat="false" ht="15.75" hidden="false" customHeight="true" outlineLevel="0" collapsed="false">
      <c r="A804" s="30" t="n">
        <v>45323</v>
      </c>
      <c r="B804" s="31" t="s">
        <v>7</v>
      </c>
      <c r="C804" s="32"/>
      <c r="D804" s="32"/>
      <c r="E804" s="19" t="n">
        <f aca="false">+F804*0.03</f>
        <v>0</v>
      </c>
      <c r="F804" s="33" t="n">
        <v>0</v>
      </c>
      <c r="G804" s="62"/>
      <c r="H804" s="35" t="n">
        <v>0</v>
      </c>
      <c r="I804" s="34" t="n">
        <f aca="false">+IF(E804=0,0,E804*0.03)</f>
        <v>0</v>
      </c>
    </row>
    <row r="805" customFormat="false" ht="15.75" hidden="false" customHeight="true" outlineLevel="0" collapsed="false">
      <c r="A805" s="30" t="n">
        <v>45323</v>
      </c>
      <c r="B805" s="31" t="s">
        <v>7</v>
      </c>
      <c r="C805" s="32"/>
      <c r="D805" s="32"/>
      <c r="E805" s="19" t="n">
        <f aca="false">+F805*0.03</f>
        <v>0</v>
      </c>
      <c r="F805" s="33" t="n">
        <v>0</v>
      </c>
      <c r="G805" s="62"/>
      <c r="H805" s="35" t="n">
        <v>0</v>
      </c>
      <c r="I805" s="34" t="n">
        <f aca="false">+IF(E805=0,0,E805*0.03)</f>
        <v>0</v>
      </c>
    </row>
    <row r="806" customFormat="false" ht="15.75" hidden="false" customHeight="true" outlineLevel="0" collapsed="false">
      <c r="A806" s="30" t="n">
        <v>45323</v>
      </c>
      <c r="B806" s="31" t="s">
        <v>7</v>
      </c>
      <c r="C806" s="32"/>
      <c r="D806" s="32"/>
      <c r="E806" s="19" t="n">
        <f aca="false">+F806*0.03</f>
        <v>0</v>
      </c>
      <c r="F806" s="33" t="n">
        <v>0</v>
      </c>
      <c r="G806" s="62"/>
      <c r="H806" s="35" t="n">
        <v>0</v>
      </c>
      <c r="I806" s="34" t="n">
        <f aca="false">+IF(E806=0,0,E806*0.03)</f>
        <v>0</v>
      </c>
    </row>
    <row r="807" customFormat="false" ht="15.75" hidden="false" customHeight="true" outlineLevel="0" collapsed="false">
      <c r="A807" s="30" t="n">
        <v>45323</v>
      </c>
      <c r="B807" s="31" t="s">
        <v>7</v>
      </c>
      <c r="C807" s="32"/>
      <c r="D807" s="32"/>
      <c r="E807" s="19" t="n">
        <f aca="false">+F807*0.03</f>
        <v>0</v>
      </c>
      <c r="F807" s="33" t="n">
        <v>0</v>
      </c>
      <c r="G807" s="62"/>
      <c r="H807" s="35" t="n">
        <v>0</v>
      </c>
      <c r="I807" s="34" t="n">
        <f aca="false">+IF(E807=0,0,E807*0.03)</f>
        <v>0</v>
      </c>
    </row>
    <row r="808" customFormat="false" ht="15.75" hidden="false" customHeight="true" outlineLevel="0" collapsed="false">
      <c r="A808" s="30" t="n">
        <v>45323</v>
      </c>
      <c r="B808" s="31" t="s">
        <v>7</v>
      </c>
      <c r="C808" s="32"/>
      <c r="D808" s="32"/>
      <c r="E808" s="19" t="n">
        <f aca="false">+F808*0.03</f>
        <v>0</v>
      </c>
      <c r="F808" s="33" t="n">
        <v>0</v>
      </c>
      <c r="G808" s="62"/>
      <c r="H808" s="35" t="n">
        <v>0</v>
      </c>
      <c r="I808" s="34" t="n">
        <f aca="false">+IF(E808=0,0,E808*0.03)</f>
        <v>0</v>
      </c>
    </row>
    <row r="809" customFormat="false" ht="15.75" hidden="false" customHeight="true" outlineLevel="0" collapsed="false">
      <c r="A809" s="30" t="n">
        <v>45323</v>
      </c>
      <c r="B809" s="31" t="s">
        <v>7</v>
      </c>
      <c r="C809" s="32"/>
      <c r="D809" s="32"/>
      <c r="E809" s="19" t="n">
        <f aca="false">+F809*0.03</f>
        <v>0</v>
      </c>
      <c r="F809" s="33" t="n">
        <v>0</v>
      </c>
      <c r="G809" s="62"/>
      <c r="H809" s="35" t="n">
        <v>0</v>
      </c>
      <c r="I809" s="34" t="n">
        <f aca="false">+IF(E809=0,0,E809*0.03)</f>
        <v>0</v>
      </c>
    </row>
    <row r="810" customFormat="false" ht="15.75" hidden="false" customHeight="true" outlineLevel="0" collapsed="false">
      <c r="A810" s="30" t="n">
        <v>45323</v>
      </c>
      <c r="B810" s="31" t="s">
        <v>7</v>
      </c>
      <c r="C810" s="32"/>
      <c r="D810" s="32"/>
      <c r="E810" s="19" t="n">
        <f aca="false">+F810*0.03</f>
        <v>0</v>
      </c>
      <c r="F810" s="33" t="n">
        <v>0</v>
      </c>
      <c r="G810" s="62"/>
      <c r="H810" s="35" t="n">
        <v>0</v>
      </c>
      <c r="I810" s="34" t="n">
        <f aca="false">+IF(E810=0,0,E810*0.03)</f>
        <v>0</v>
      </c>
    </row>
    <row r="811" customFormat="false" ht="15.75" hidden="false" customHeight="true" outlineLevel="0" collapsed="false">
      <c r="A811" s="30" t="n">
        <v>45323</v>
      </c>
      <c r="B811" s="31" t="s">
        <v>7</v>
      </c>
      <c r="C811" s="32"/>
      <c r="D811" s="32"/>
      <c r="E811" s="19" t="n">
        <f aca="false">+F811*0.03</f>
        <v>0</v>
      </c>
      <c r="F811" s="33" t="n">
        <v>0</v>
      </c>
      <c r="G811" s="62"/>
      <c r="H811" s="35" t="n">
        <v>0</v>
      </c>
      <c r="I811" s="34" t="n">
        <f aca="false">+IF(E811=0,0,E811*0.03)</f>
        <v>0</v>
      </c>
    </row>
    <row r="812" customFormat="false" ht="15.75" hidden="false" customHeight="true" outlineLevel="0" collapsed="false">
      <c r="A812" s="30" t="n">
        <v>45323</v>
      </c>
      <c r="B812" s="31" t="s">
        <v>7</v>
      </c>
      <c r="C812" s="32"/>
      <c r="D812" s="32"/>
      <c r="E812" s="19" t="n">
        <f aca="false">+F812*0.03</f>
        <v>0</v>
      </c>
      <c r="F812" s="33" t="n">
        <v>0</v>
      </c>
      <c r="G812" s="62"/>
      <c r="H812" s="35" t="n">
        <v>0</v>
      </c>
      <c r="I812" s="34" t="n">
        <f aca="false">+IF(E812=0,0,E812*0.03)</f>
        <v>0</v>
      </c>
    </row>
    <row r="813" customFormat="false" ht="15.75" hidden="false" customHeight="true" outlineLevel="0" collapsed="false">
      <c r="A813" s="30" t="n">
        <v>45323</v>
      </c>
      <c r="B813" s="31" t="s">
        <v>7</v>
      </c>
      <c r="C813" s="32"/>
      <c r="D813" s="32"/>
      <c r="E813" s="19" t="n">
        <f aca="false">+F813*0.03</f>
        <v>0</v>
      </c>
      <c r="F813" s="33" t="n">
        <v>0</v>
      </c>
      <c r="G813" s="62"/>
      <c r="H813" s="35" t="n">
        <v>0</v>
      </c>
      <c r="I813" s="34" t="n">
        <f aca="false">+IF(E813=0,0,E813*0.03)</f>
        <v>0</v>
      </c>
    </row>
    <row r="814" customFormat="false" ht="15.75" hidden="false" customHeight="true" outlineLevel="0" collapsed="false">
      <c r="A814" s="30" t="n">
        <v>45323</v>
      </c>
      <c r="B814" s="31" t="s">
        <v>7</v>
      </c>
      <c r="C814" s="32"/>
      <c r="D814" s="32"/>
      <c r="E814" s="19" t="n">
        <f aca="false">+F814*0.03</f>
        <v>0</v>
      </c>
      <c r="F814" s="33" t="n">
        <v>0</v>
      </c>
      <c r="G814" s="62"/>
      <c r="H814" s="35" t="n">
        <v>0</v>
      </c>
      <c r="I814" s="34" t="n">
        <f aca="false">+IF(E814=0,0,E814*0.03)</f>
        <v>0</v>
      </c>
    </row>
    <row r="815" customFormat="false" ht="15.75" hidden="false" customHeight="true" outlineLevel="0" collapsed="false">
      <c r="A815" s="30" t="n">
        <v>45323</v>
      </c>
      <c r="B815" s="31" t="s">
        <v>7</v>
      </c>
      <c r="C815" s="32"/>
      <c r="D815" s="32"/>
      <c r="E815" s="19" t="n">
        <f aca="false">+F815*0.03</f>
        <v>0</v>
      </c>
      <c r="F815" s="33" t="n">
        <v>0</v>
      </c>
      <c r="G815" s="62"/>
      <c r="H815" s="35" t="n">
        <v>0</v>
      </c>
      <c r="I815" s="34" t="n">
        <f aca="false">+IF(E815=0,0,E815*0.03)</f>
        <v>0</v>
      </c>
    </row>
    <row r="816" customFormat="false" ht="15.75" hidden="false" customHeight="true" outlineLevel="0" collapsed="false">
      <c r="A816" s="30" t="n">
        <v>45323</v>
      </c>
      <c r="B816" s="31" t="s">
        <v>7</v>
      </c>
      <c r="C816" s="32"/>
      <c r="D816" s="32"/>
      <c r="E816" s="19" t="n">
        <f aca="false">+F816*0.03</f>
        <v>0</v>
      </c>
      <c r="F816" s="33" t="n">
        <v>0</v>
      </c>
      <c r="G816" s="62"/>
      <c r="H816" s="35" t="n">
        <v>0</v>
      </c>
      <c r="I816" s="34" t="n">
        <f aca="false">+IF(E816=0,0,E816*0.03)</f>
        <v>0</v>
      </c>
    </row>
    <row r="817" customFormat="false" ht="15.75" hidden="false" customHeight="true" outlineLevel="0" collapsed="false">
      <c r="A817" s="30" t="n">
        <v>45323</v>
      </c>
      <c r="B817" s="31" t="s">
        <v>7</v>
      </c>
      <c r="C817" s="32"/>
      <c r="D817" s="32"/>
      <c r="E817" s="19" t="n">
        <f aca="false">+F817*0.03</f>
        <v>0</v>
      </c>
      <c r="F817" s="33" t="n">
        <v>0</v>
      </c>
      <c r="G817" s="62"/>
      <c r="H817" s="35" t="n">
        <v>0</v>
      </c>
      <c r="I817" s="34" t="n">
        <f aca="false">+IF(E817=0,0,E817*0.03)</f>
        <v>0</v>
      </c>
    </row>
    <row r="818" customFormat="false" ht="15.75" hidden="false" customHeight="true" outlineLevel="0" collapsed="false">
      <c r="A818" s="30" t="n">
        <v>45323</v>
      </c>
      <c r="B818" s="31" t="s">
        <v>7</v>
      </c>
      <c r="C818" s="32"/>
      <c r="D818" s="32"/>
      <c r="E818" s="19" t="n">
        <f aca="false">+F818*0.03</f>
        <v>0</v>
      </c>
      <c r="F818" s="33" t="n">
        <v>0</v>
      </c>
      <c r="G818" s="62"/>
      <c r="H818" s="35" t="n">
        <v>0</v>
      </c>
      <c r="I818" s="34" t="n">
        <f aca="false">+IF(E818=0,0,E818*0.03)</f>
        <v>0</v>
      </c>
    </row>
    <row r="819" customFormat="false" ht="15.75" hidden="false" customHeight="true" outlineLevel="0" collapsed="false">
      <c r="A819" s="30" t="n">
        <v>45323</v>
      </c>
      <c r="B819" s="31" t="s">
        <v>7</v>
      </c>
      <c r="C819" s="32"/>
      <c r="D819" s="32"/>
      <c r="E819" s="19" t="n">
        <f aca="false">+F819*0.03</f>
        <v>0</v>
      </c>
      <c r="F819" s="33" t="n">
        <v>0</v>
      </c>
      <c r="G819" s="62"/>
      <c r="H819" s="35" t="n">
        <v>0</v>
      </c>
      <c r="I819" s="34" t="n">
        <f aca="false">+IF(E819=0,0,E819*0.03)</f>
        <v>0</v>
      </c>
    </row>
    <row r="820" customFormat="false" ht="15.75" hidden="false" customHeight="true" outlineLevel="0" collapsed="false">
      <c r="A820" s="30" t="n">
        <v>45323</v>
      </c>
      <c r="B820" s="31" t="s">
        <v>7</v>
      </c>
      <c r="C820" s="32"/>
      <c r="D820" s="32"/>
      <c r="E820" s="19" t="n">
        <f aca="false">+F820*0.03</f>
        <v>0</v>
      </c>
      <c r="F820" s="33" t="n">
        <v>0</v>
      </c>
      <c r="G820" s="62"/>
      <c r="H820" s="35" t="n">
        <v>0</v>
      </c>
      <c r="I820" s="34" t="n">
        <f aca="false">+IF(E820=0,0,E820*0.03)</f>
        <v>0</v>
      </c>
    </row>
    <row r="821" customFormat="false" ht="15.75" hidden="false" customHeight="true" outlineLevel="0" collapsed="false">
      <c r="A821" s="30" t="n">
        <v>45323</v>
      </c>
      <c r="B821" s="31" t="s">
        <v>7</v>
      </c>
      <c r="C821" s="32"/>
      <c r="D821" s="32"/>
      <c r="E821" s="19" t="n">
        <f aca="false">+F821*0.03</f>
        <v>0</v>
      </c>
      <c r="F821" s="33" t="n">
        <v>0</v>
      </c>
      <c r="G821" s="62"/>
      <c r="H821" s="35" t="n">
        <v>0</v>
      </c>
      <c r="I821" s="34" t="n">
        <f aca="false">+IF(E821=0,0,E821*0.03)</f>
        <v>0</v>
      </c>
    </row>
    <row r="822" customFormat="false" ht="15.75" hidden="false" customHeight="true" outlineLevel="0" collapsed="false">
      <c r="A822" s="30" t="n">
        <v>45323</v>
      </c>
      <c r="B822" s="31" t="s">
        <v>7</v>
      </c>
      <c r="C822" s="32"/>
      <c r="D822" s="32"/>
      <c r="E822" s="19" t="n">
        <f aca="false">+F822*0.03</f>
        <v>0</v>
      </c>
      <c r="F822" s="33" t="n">
        <v>0</v>
      </c>
      <c r="G822" s="62"/>
      <c r="H822" s="35" t="n">
        <v>0</v>
      </c>
      <c r="I822" s="34" t="n">
        <f aca="false">+IF(E822=0,0,E822*0.03)</f>
        <v>0</v>
      </c>
    </row>
    <row r="823" customFormat="false" ht="15.75" hidden="false" customHeight="true" outlineLevel="0" collapsed="false">
      <c r="A823" s="30" t="n">
        <v>45323</v>
      </c>
      <c r="B823" s="31" t="s">
        <v>7</v>
      </c>
      <c r="C823" s="32"/>
      <c r="D823" s="32"/>
      <c r="E823" s="19" t="n">
        <f aca="false">+F823*0.03</f>
        <v>0</v>
      </c>
      <c r="F823" s="33" t="n">
        <v>0</v>
      </c>
      <c r="G823" s="62"/>
      <c r="H823" s="35" t="n">
        <v>0</v>
      </c>
      <c r="I823" s="34" t="n">
        <f aca="false">+IF(E823=0,0,E823*0.03)</f>
        <v>0</v>
      </c>
    </row>
    <row r="824" customFormat="false" ht="15.75" hidden="false" customHeight="true" outlineLevel="0" collapsed="false">
      <c r="A824" s="30" t="n">
        <v>45323</v>
      </c>
      <c r="B824" s="31" t="s">
        <v>7</v>
      </c>
      <c r="C824" s="32"/>
      <c r="D824" s="32"/>
      <c r="E824" s="19" t="n">
        <f aca="false">+F824*0.03</f>
        <v>0</v>
      </c>
      <c r="F824" s="33" t="n">
        <v>0</v>
      </c>
      <c r="G824" s="62"/>
      <c r="H824" s="35" t="n">
        <v>0</v>
      </c>
      <c r="I824" s="34" t="n">
        <f aca="false">+IF(E824=0,0,E824*0.03)</f>
        <v>0</v>
      </c>
    </row>
    <row r="825" customFormat="false" ht="15.75" hidden="false" customHeight="true" outlineLevel="0" collapsed="false">
      <c r="A825" s="30" t="n">
        <v>45323</v>
      </c>
      <c r="B825" s="31" t="s">
        <v>7</v>
      </c>
      <c r="C825" s="32"/>
      <c r="D825" s="32"/>
      <c r="E825" s="19" t="n">
        <f aca="false">+F825*0.03</f>
        <v>0</v>
      </c>
      <c r="F825" s="33" t="n">
        <v>0</v>
      </c>
      <c r="G825" s="62"/>
      <c r="H825" s="35" t="n">
        <v>0</v>
      </c>
      <c r="I825" s="34" t="n">
        <f aca="false">+IF(E825=0,0,E825*0.03)</f>
        <v>0</v>
      </c>
    </row>
    <row r="826" customFormat="false" ht="15.75" hidden="false" customHeight="true" outlineLevel="0" collapsed="false">
      <c r="A826" s="30" t="n">
        <v>45323</v>
      </c>
      <c r="B826" s="31" t="s">
        <v>7</v>
      </c>
      <c r="C826" s="32"/>
      <c r="D826" s="32"/>
      <c r="E826" s="19" t="n">
        <f aca="false">+F826*0.03</f>
        <v>0</v>
      </c>
      <c r="F826" s="33" t="n">
        <v>0</v>
      </c>
      <c r="G826" s="62"/>
      <c r="H826" s="35" t="n">
        <v>0</v>
      </c>
      <c r="I826" s="34" t="n">
        <f aca="false">+IF(E826=0,0,E826*0.03)</f>
        <v>0</v>
      </c>
    </row>
    <row r="827" customFormat="false" ht="15.75" hidden="false" customHeight="true" outlineLevel="0" collapsed="false">
      <c r="A827" s="30" t="n">
        <v>45323</v>
      </c>
      <c r="B827" s="31" t="s">
        <v>7</v>
      </c>
      <c r="C827" s="32"/>
      <c r="D827" s="32"/>
      <c r="E827" s="19" t="n">
        <f aca="false">+F827*0.03</f>
        <v>0</v>
      </c>
      <c r="F827" s="33" t="n">
        <v>0</v>
      </c>
      <c r="G827" s="62"/>
      <c r="H827" s="35" t="n">
        <v>0</v>
      </c>
      <c r="I827" s="34" t="n">
        <f aca="false">+IF(E827=0,0,E827*0.03)</f>
        <v>0</v>
      </c>
    </row>
    <row r="828" customFormat="false" ht="15.75" hidden="false" customHeight="true" outlineLevel="0" collapsed="false">
      <c r="A828" s="30" t="n">
        <v>45323</v>
      </c>
      <c r="B828" s="31" t="s">
        <v>7</v>
      </c>
      <c r="C828" s="32"/>
      <c r="D828" s="32"/>
      <c r="E828" s="19" t="n">
        <f aca="false">+F828*0.03</f>
        <v>0</v>
      </c>
      <c r="F828" s="33" t="n">
        <v>0</v>
      </c>
      <c r="G828" s="62"/>
      <c r="H828" s="35" t="n">
        <v>0</v>
      </c>
      <c r="I828" s="34" t="n">
        <f aca="false">+IF(E828=0,0,E828*0.03)</f>
        <v>0</v>
      </c>
    </row>
    <row r="829" customFormat="false" ht="15.75" hidden="false" customHeight="true" outlineLevel="0" collapsed="false">
      <c r="A829" s="30" t="n">
        <v>45323</v>
      </c>
      <c r="B829" s="31" t="s">
        <v>7</v>
      </c>
      <c r="C829" s="32"/>
      <c r="D829" s="32"/>
      <c r="E829" s="19" t="n">
        <f aca="false">+F829*0.03</f>
        <v>0</v>
      </c>
      <c r="F829" s="33" t="n">
        <v>0</v>
      </c>
      <c r="G829" s="62"/>
      <c r="H829" s="35" t="n">
        <v>0</v>
      </c>
      <c r="I829" s="34" t="n">
        <f aca="false">+IF(E829=0,0,E829*0.03)</f>
        <v>0</v>
      </c>
    </row>
    <row r="830" customFormat="false" ht="15.75" hidden="false" customHeight="true" outlineLevel="0" collapsed="false">
      <c r="A830" s="30" t="n">
        <v>45323</v>
      </c>
      <c r="B830" s="31" t="s">
        <v>7</v>
      </c>
      <c r="C830" s="32"/>
      <c r="D830" s="32"/>
      <c r="E830" s="19" t="n">
        <f aca="false">+F830*0.03</f>
        <v>0</v>
      </c>
      <c r="F830" s="33" t="n">
        <v>0</v>
      </c>
      <c r="G830" s="62"/>
      <c r="H830" s="35" t="n">
        <v>0</v>
      </c>
      <c r="I830" s="34" t="n">
        <f aca="false">+IF(E830=0,0,E830*0.03)</f>
        <v>0</v>
      </c>
    </row>
    <row r="831" customFormat="false" ht="15.75" hidden="false" customHeight="true" outlineLevel="0" collapsed="false">
      <c r="A831" s="30" t="n">
        <v>45323</v>
      </c>
      <c r="B831" s="31" t="s">
        <v>7</v>
      </c>
      <c r="C831" s="32"/>
      <c r="D831" s="32"/>
      <c r="E831" s="19" t="n">
        <f aca="false">+F831*0.03</f>
        <v>0</v>
      </c>
      <c r="F831" s="33" t="n">
        <v>0</v>
      </c>
      <c r="G831" s="62"/>
      <c r="H831" s="35" t="n">
        <v>0</v>
      </c>
      <c r="I831" s="34" t="n">
        <f aca="false">+IF(E831=0,0,E831*0.03)</f>
        <v>0</v>
      </c>
    </row>
    <row r="832" customFormat="false" ht="15.75" hidden="false" customHeight="true" outlineLevel="0" collapsed="false">
      <c r="A832" s="30" t="n">
        <v>45323</v>
      </c>
      <c r="B832" s="31" t="s">
        <v>7</v>
      </c>
      <c r="C832" s="32"/>
      <c r="D832" s="32"/>
      <c r="E832" s="19" t="n">
        <f aca="false">+F832*0.03</f>
        <v>0</v>
      </c>
      <c r="F832" s="33" t="n">
        <v>0</v>
      </c>
      <c r="G832" s="62"/>
      <c r="H832" s="35" t="n">
        <v>0</v>
      </c>
      <c r="I832" s="34" t="n">
        <f aca="false">+IF(E832=0,0,E832*0.03)</f>
        <v>0</v>
      </c>
    </row>
    <row r="833" customFormat="false" ht="15.75" hidden="false" customHeight="true" outlineLevel="0" collapsed="false">
      <c r="A833" s="30" t="n">
        <v>45323</v>
      </c>
      <c r="B833" s="31" t="s">
        <v>7</v>
      </c>
      <c r="C833" s="32"/>
      <c r="D833" s="32"/>
      <c r="E833" s="19" t="n">
        <f aca="false">+F833*0.03</f>
        <v>0</v>
      </c>
      <c r="F833" s="33" t="n">
        <v>0</v>
      </c>
      <c r="G833" s="62"/>
      <c r="H833" s="35" t="n">
        <v>0</v>
      </c>
      <c r="I833" s="34" t="n">
        <f aca="false">+IF(E833=0,0,E833*0.03)</f>
        <v>0</v>
      </c>
    </row>
    <row r="834" customFormat="false" ht="15.75" hidden="false" customHeight="true" outlineLevel="0" collapsed="false">
      <c r="A834" s="30" t="n">
        <v>45323</v>
      </c>
      <c r="B834" s="31" t="s">
        <v>7</v>
      </c>
      <c r="C834" s="32"/>
      <c r="D834" s="32"/>
      <c r="E834" s="19" t="n">
        <f aca="false">+F834*0.03</f>
        <v>0</v>
      </c>
      <c r="F834" s="33" t="n">
        <v>0</v>
      </c>
      <c r="G834" s="62"/>
      <c r="H834" s="35" t="n">
        <v>0</v>
      </c>
      <c r="I834" s="34" t="n">
        <f aca="false">+IF(E834=0,0,E834*0.03)</f>
        <v>0</v>
      </c>
    </row>
    <row r="835" customFormat="false" ht="15.75" hidden="false" customHeight="true" outlineLevel="0" collapsed="false">
      <c r="A835" s="30" t="n">
        <v>45323</v>
      </c>
      <c r="B835" s="31" t="s">
        <v>7</v>
      </c>
      <c r="C835" s="32"/>
      <c r="D835" s="32"/>
      <c r="E835" s="19" t="n">
        <f aca="false">+F835*0.03</f>
        <v>0</v>
      </c>
      <c r="F835" s="33" t="n">
        <v>0</v>
      </c>
      <c r="G835" s="62"/>
      <c r="H835" s="35" t="n">
        <v>0</v>
      </c>
      <c r="I835" s="34" t="n">
        <f aca="false">+IF(E835=0,0,E835*0.03)</f>
        <v>0</v>
      </c>
    </row>
    <row r="836" customFormat="false" ht="15.75" hidden="false" customHeight="true" outlineLevel="0" collapsed="false">
      <c r="A836" s="30" t="n">
        <v>45323</v>
      </c>
      <c r="B836" s="31" t="s">
        <v>7</v>
      </c>
      <c r="C836" s="32"/>
      <c r="D836" s="32"/>
      <c r="E836" s="19" t="n">
        <f aca="false">+F836*0.03</f>
        <v>0</v>
      </c>
      <c r="F836" s="33" t="n">
        <v>0</v>
      </c>
      <c r="G836" s="62"/>
      <c r="H836" s="35" t="n">
        <v>0</v>
      </c>
      <c r="I836" s="34" t="n">
        <f aca="false">+IF(E836=0,0,E836*0.03)</f>
        <v>0</v>
      </c>
    </row>
    <row r="837" customFormat="false" ht="15.75" hidden="false" customHeight="true" outlineLevel="0" collapsed="false">
      <c r="A837" s="30" t="n">
        <v>45323</v>
      </c>
      <c r="B837" s="31" t="s">
        <v>7</v>
      </c>
      <c r="C837" s="32"/>
      <c r="D837" s="32"/>
      <c r="E837" s="19" t="n">
        <f aca="false">+F837*0.03</f>
        <v>0</v>
      </c>
      <c r="F837" s="33" t="n">
        <v>0</v>
      </c>
      <c r="G837" s="62"/>
      <c r="H837" s="35" t="n">
        <v>0</v>
      </c>
      <c r="I837" s="34" t="n">
        <f aca="false">+IF(E837=0,0,E837*0.03)</f>
        <v>0</v>
      </c>
    </row>
    <row r="838" customFormat="false" ht="15.75" hidden="false" customHeight="true" outlineLevel="0" collapsed="false">
      <c r="A838" s="30" t="n">
        <v>45323</v>
      </c>
      <c r="B838" s="31" t="s">
        <v>7</v>
      </c>
      <c r="C838" s="32"/>
      <c r="D838" s="32"/>
      <c r="E838" s="19" t="n">
        <f aca="false">+F838*0.03</f>
        <v>0</v>
      </c>
      <c r="F838" s="33" t="n">
        <v>0</v>
      </c>
      <c r="G838" s="62"/>
      <c r="H838" s="35" t="n">
        <v>0</v>
      </c>
      <c r="I838" s="34" t="n">
        <f aca="false">+IF(E838=0,0,E838*0.03)</f>
        <v>0</v>
      </c>
    </row>
    <row r="839" customFormat="false" ht="15.75" hidden="false" customHeight="true" outlineLevel="0" collapsed="false">
      <c r="A839" s="30" t="n">
        <v>45323</v>
      </c>
      <c r="B839" s="31" t="s">
        <v>7</v>
      </c>
      <c r="C839" s="32"/>
      <c r="D839" s="32"/>
      <c r="E839" s="19" t="n">
        <f aca="false">+F839*0.03</f>
        <v>0</v>
      </c>
      <c r="F839" s="33" t="n">
        <v>0</v>
      </c>
      <c r="G839" s="62"/>
      <c r="H839" s="35" t="n">
        <v>0</v>
      </c>
      <c r="I839" s="34" t="n">
        <f aca="false">+IF(E839=0,0,E839*0.03)</f>
        <v>0</v>
      </c>
    </row>
    <row r="840" customFormat="false" ht="15.75" hidden="false" customHeight="true" outlineLevel="0" collapsed="false">
      <c r="A840" s="30" t="n">
        <v>45323</v>
      </c>
      <c r="B840" s="31" t="s">
        <v>7</v>
      </c>
      <c r="C840" s="32"/>
      <c r="D840" s="32"/>
      <c r="E840" s="19" t="n">
        <f aca="false">+F840*0.03</f>
        <v>0</v>
      </c>
      <c r="F840" s="33" t="n">
        <v>0</v>
      </c>
      <c r="G840" s="62"/>
      <c r="H840" s="35" t="n">
        <v>0</v>
      </c>
      <c r="I840" s="34" t="n">
        <f aca="false">+IF(E840=0,0,E840*0.03)</f>
        <v>0</v>
      </c>
    </row>
    <row r="841" customFormat="false" ht="15.75" hidden="false" customHeight="true" outlineLevel="0" collapsed="false">
      <c r="A841" s="30" t="n">
        <v>45323</v>
      </c>
      <c r="B841" s="31" t="s">
        <v>7</v>
      </c>
      <c r="C841" s="32"/>
      <c r="D841" s="32"/>
      <c r="E841" s="19" t="n">
        <f aca="false">+F841*0.03</f>
        <v>0</v>
      </c>
      <c r="F841" s="33" t="n">
        <v>0</v>
      </c>
      <c r="G841" s="62"/>
      <c r="H841" s="35" t="n">
        <v>0</v>
      </c>
      <c r="I841" s="34" t="n">
        <f aca="false">+IF(E841=0,0,E841*0.03)</f>
        <v>0</v>
      </c>
    </row>
    <row r="842" customFormat="false" ht="15.75" hidden="false" customHeight="true" outlineLevel="0" collapsed="false">
      <c r="A842" s="30" t="n">
        <v>45323</v>
      </c>
      <c r="B842" s="31" t="s">
        <v>7</v>
      </c>
      <c r="C842" s="32"/>
      <c r="D842" s="32"/>
      <c r="E842" s="19" t="n">
        <f aca="false">+F842*0.03</f>
        <v>0</v>
      </c>
      <c r="F842" s="33" t="n">
        <v>0</v>
      </c>
      <c r="G842" s="62"/>
      <c r="H842" s="35" t="n">
        <v>0</v>
      </c>
      <c r="I842" s="34" t="n">
        <f aca="false">+IF(E842=0,0,E842*0.03)</f>
        <v>0</v>
      </c>
    </row>
    <row r="843" customFormat="false" ht="15.75" hidden="false" customHeight="true" outlineLevel="0" collapsed="false">
      <c r="A843" s="30" t="n">
        <v>45323</v>
      </c>
      <c r="B843" s="31" t="s">
        <v>7</v>
      </c>
      <c r="C843" s="32"/>
      <c r="D843" s="32"/>
      <c r="E843" s="19" t="n">
        <f aca="false">+F843*0.03</f>
        <v>0</v>
      </c>
      <c r="F843" s="33" t="n">
        <v>0</v>
      </c>
      <c r="G843" s="62"/>
      <c r="H843" s="35" t="n">
        <v>0</v>
      </c>
      <c r="I843" s="34" t="n">
        <f aca="false">+IF(E843=0,0,E843*0.03)</f>
        <v>0</v>
      </c>
    </row>
    <row r="844" customFormat="false" ht="15.75" hidden="false" customHeight="true" outlineLevel="0" collapsed="false">
      <c r="A844" s="30" t="n">
        <v>45323</v>
      </c>
      <c r="B844" s="31" t="s">
        <v>7</v>
      </c>
      <c r="C844" s="32"/>
      <c r="D844" s="32"/>
      <c r="E844" s="19" t="n">
        <f aca="false">+F844*0.03</f>
        <v>0</v>
      </c>
      <c r="F844" s="33" t="n">
        <v>0</v>
      </c>
      <c r="G844" s="62"/>
      <c r="H844" s="35" t="n">
        <v>0</v>
      </c>
      <c r="I844" s="34" t="n">
        <f aca="false">+IF(E844=0,0,E844*0.03)</f>
        <v>0</v>
      </c>
    </row>
    <row r="845" customFormat="false" ht="15.75" hidden="false" customHeight="true" outlineLevel="0" collapsed="false">
      <c r="A845" s="30" t="n">
        <v>45323</v>
      </c>
      <c r="B845" s="31" t="s">
        <v>7</v>
      </c>
      <c r="C845" s="32"/>
      <c r="D845" s="32"/>
      <c r="E845" s="19" t="n">
        <f aca="false">+F845*0.03</f>
        <v>0</v>
      </c>
      <c r="F845" s="33" t="n">
        <v>0</v>
      </c>
      <c r="G845" s="62"/>
      <c r="H845" s="35" t="n">
        <v>0</v>
      </c>
      <c r="I845" s="34" t="n">
        <f aca="false">+IF(E845=0,0,E845*0.03)</f>
        <v>0</v>
      </c>
    </row>
    <row r="846" customFormat="false" ht="15.75" hidden="false" customHeight="true" outlineLevel="0" collapsed="false">
      <c r="A846" s="30" t="n">
        <v>45323</v>
      </c>
      <c r="B846" s="31" t="s">
        <v>7</v>
      </c>
      <c r="C846" s="32"/>
      <c r="D846" s="32"/>
      <c r="E846" s="19" t="n">
        <f aca="false">+F846*0.03</f>
        <v>0</v>
      </c>
      <c r="F846" s="33" t="n">
        <v>0</v>
      </c>
      <c r="G846" s="62"/>
      <c r="H846" s="35" t="n">
        <v>0</v>
      </c>
      <c r="I846" s="34" t="n">
        <f aca="false">+IF(E846=0,0,E846*0.03)</f>
        <v>0</v>
      </c>
    </row>
    <row r="847" customFormat="false" ht="15.75" hidden="false" customHeight="true" outlineLevel="0" collapsed="false">
      <c r="A847" s="30" t="n">
        <v>45323</v>
      </c>
      <c r="B847" s="31" t="s">
        <v>7</v>
      </c>
      <c r="C847" s="32"/>
      <c r="D847" s="32"/>
      <c r="E847" s="19" t="n">
        <f aca="false">+F847*0.03</f>
        <v>0</v>
      </c>
      <c r="F847" s="33" t="n">
        <v>0</v>
      </c>
      <c r="G847" s="62"/>
      <c r="H847" s="35" t="n">
        <v>0</v>
      </c>
      <c r="I847" s="34" t="n">
        <f aca="false">+IF(E847=0,0,E847*0.03)</f>
        <v>0</v>
      </c>
    </row>
    <row r="848" customFormat="false" ht="15.75" hidden="false" customHeight="true" outlineLevel="0" collapsed="false">
      <c r="A848" s="30" t="n">
        <v>45323</v>
      </c>
      <c r="B848" s="31" t="s">
        <v>7</v>
      </c>
      <c r="C848" s="32"/>
      <c r="D848" s="32"/>
      <c r="E848" s="19" t="n">
        <f aca="false">+F848*0.03</f>
        <v>0</v>
      </c>
      <c r="F848" s="33" t="n">
        <v>0</v>
      </c>
      <c r="G848" s="62"/>
      <c r="H848" s="35" t="n">
        <v>0</v>
      </c>
      <c r="I848" s="34" t="n">
        <f aca="false">+IF(E848=0,0,E848*0.03)</f>
        <v>0</v>
      </c>
    </row>
    <row r="849" customFormat="false" ht="15.75" hidden="false" customHeight="true" outlineLevel="0" collapsed="false">
      <c r="A849" s="30" t="n">
        <v>45323</v>
      </c>
      <c r="B849" s="31" t="s">
        <v>7</v>
      </c>
      <c r="C849" s="32"/>
      <c r="D849" s="32"/>
      <c r="E849" s="19" t="n">
        <f aca="false">+F849*0.03</f>
        <v>0</v>
      </c>
      <c r="F849" s="33" t="n">
        <v>0</v>
      </c>
      <c r="G849" s="62"/>
      <c r="H849" s="35" t="n">
        <v>0</v>
      </c>
      <c r="I849" s="34" t="n">
        <f aca="false">+IF(E849=0,0,E849*0.03)</f>
        <v>0</v>
      </c>
    </row>
    <row r="850" customFormat="false" ht="15.75" hidden="false" customHeight="true" outlineLevel="0" collapsed="false">
      <c r="A850" s="30" t="n">
        <v>45323</v>
      </c>
      <c r="B850" s="31" t="s">
        <v>7</v>
      </c>
      <c r="C850" s="32"/>
      <c r="D850" s="32"/>
      <c r="E850" s="19" t="n">
        <f aca="false">+F850*0.03</f>
        <v>0</v>
      </c>
      <c r="F850" s="33" t="n">
        <v>0</v>
      </c>
      <c r="G850" s="62"/>
      <c r="H850" s="35" t="n">
        <v>0</v>
      </c>
      <c r="I850" s="34" t="n">
        <f aca="false">+IF(E850=0,0,E850*0.03)</f>
        <v>0</v>
      </c>
    </row>
    <row r="851" customFormat="false" ht="15.75" hidden="false" customHeight="true" outlineLevel="0" collapsed="false">
      <c r="A851" s="30" t="n">
        <v>45323</v>
      </c>
      <c r="B851" s="31" t="s">
        <v>7</v>
      </c>
      <c r="C851" s="32"/>
      <c r="D851" s="32"/>
      <c r="E851" s="19" t="n">
        <f aca="false">+F851*0.03</f>
        <v>0</v>
      </c>
      <c r="F851" s="33" t="n">
        <v>0</v>
      </c>
      <c r="G851" s="62"/>
      <c r="H851" s="35" t="n">
        <v>0</v>
      </c>
      <c r="I851" s="34" t="n">
        <f aca="false">+IF(E851=0,0,E851*0.03)</f>
        <v>0</v>
      </c>
    </row>
    <row r="852" customFormat="false" ht="15.75" hidden="false" customHeight="true" outlineLevel="0" collapsed="false">
      <c r="A852" s="30" t="n">
        <v>45323</v>
      </c>
      <c r="B852" s="31" t="s">
        <v>7</v>
      </c>
      <c r="C852" s="32"/>
      <c r="D852" s="32"/>
      <c r="E852" s="19" t="n">
        <f aca="false">+F852*0.03</f>
        <v>0</v>
      </c>
      <c r="F852" s="33" t="n">
        <v>0</v>
      </c>
      <c r="G852" s="62"/>
      <c r="H852" s="35" t="n">
        <v>0</v>
      </c>
      <c r="I852" s="34" t="n">
        <f aca="false">+IF(E852=0,0,E852*0.03)</f>
        <v>0</v>
      </c>
    </row>
    <row r="853" customFormat="false" ht="15.75" hidden="false" customHeight="true" outlineLevel="0" collapsed="false">
      <c r="A853" s="30" t="n">
        <v>45323</v>
      </c>
      <c r="B853" s="31" t="s">
        <v>7</v>
      </c>
      <c r="C853" s="32"/>
      <c r="D853" s="32"/>
      <c r="E853" s="19" t="n">
        <f aca="false">+F853*0.03</f>
        <v>0</v>
      </c>
      <c r="F853" s="33" t="n">
        <v>0</v>
      </c>
      <c r="G853" s="62"/>
      <c r="H853" s="35" t="n">
        <v>0</v>
      </c>
      <c r="I853" s="34" t="n">
        <f aca="false">+IF(E853=0,0,E853*0.03)</f>
        <v>0</v>
      </c>
    </row>
    <row r="854" customFormat="false" ht="15.75" hidden="false" customHeight="true" outlineLevel="0" collapsed="false">
      <c r="A854" s="30" t="n">
        <v>45323</v>
      </c>
      <c r="B854" s="31" t="s">
        <v>7</v>
      </c>
      <c r="C854" s="32"/>
      <c r="D854" s="32"/>
      <c r="E854" s="19" t="n">
        <f aca="false">+F854*0.03</f>
        <v>0</v>
      </c>
      <c r="F854" s="33" t="n">
        <v>0</v>
      </c>
      <c r="G854" s="62"/>
      <c r="H854" s="35" t="n">
        <v>0</v>
      </c>
      <c r="I854" s="34" t="n">
        <f aca="false">+IF(E854=0,0,E854*0.03)</f>
        <v>0</v>
      </c>
    </row>
    <row r="855" customFormat="false" ht="15.75" hidden="false" customHeight="true" outlineLevel="0" collapsed="false">
      <c r="A855" s="30" t="n">
        <v>45323</v>
      </c>
      <c r="B855" s="31" t="s">
        <v>7</v>
      </c>
      <c r="C855" s="32"/>
      <c r="D855" s="32"/>
      <c r="E855" s="19" t="n">
        <f aca="false">+F855*0.03</f>
        <v>0</v>
      </c>
      <c r="F855" s="33" t="n">
        <v>0</v>
      </c>
      <c r="G855" s="62"/>
      <c r="H855" s="35" t="n">
        <v>0</v>
      </c>
      <c r="I855" s="34" t="n">
        <f aca="false">+IF(E855=0,0,E855*0.03)</f>
        <v>0</v>
      </c>
    </row>
    <row r="856" customFormat="false" ht="15.75" hidden="false" customHeight="true" outlineLevel="0" collapsed="false">
      <c r="A856" s="30" t="n">
        <v>45323</v>
      </c>
      <c r="B856" s="31" t="s">
        <v>7</v>
      </c>
      <c r="C856" s="32"/>
      <c r="D856" s="32"/>
      <c r="E856" s="19" t="n">
        <f aca="false">+F856*0.03</f>
        <v>0</v>
      </c>
      <c r="F856" s="33" t="n">
        <v>0</v>
      </c>
      <c r="G856" s="62"/>
      <c r="H856" s="35" t="n">
        <v>0</v>
      </c>
      <c r="I856" s="34" t="n">
        <f aca="false">+IF(E856=0,0,E856*0.03)</f>
        <v>0</v>
      </c>
    </row>
    <row r="857" customFormat="false" ht="15.75" hidden="false" customHeight="true" outlineLevel="0" collapsed="false">
      <c r="A857" s="30" t="n">
        <v>45323</v>
      </c>
      <c r="B857" s="31" t="s">
        <v>7</v>
      </c>
      <c r="C857" s="32"/>
      <c r="D857" s="32"/>
      <c r="E857" s="19" t="n">
        <f aca="false">+F857*0.03</f>
        <v>0</v>
      </c>
      <c r="F857" s="33" t="n">
        <v>0</v>
      </c>
      <c r="G857" s="62"/>
      <c r="H857" s="35" t="n">
        <v>0</v>
      </c>
      <c r="I857" s="34" t="n">
        <f aca="false">+IF(E857=0,0,E857*0.03)</f>
        <v>0</v>
      </c>
    </row>
    <row r="858" customFormat="false" ht="15.75" hidden="false" customHeight="true" outlineLevel="0" collapsed="false">
      <c r="A858" s="30" t="n">
        <v>45323</v>
      </c>
      <c r="B858" s="31" t="s">
        <v>7</v>
      </c>
      <c r="C858" s="32"/>
      <c r="D858" s="32"/>
      <c r="E858" s="19" t="n">
        <f aca="false">+F858*0.03</f>
        <v>0</v>
      </c>
      <c r="F858" s="33" t="n">
        <v>0</v>
      </c>
      <c r="G858" s="62"/>
      <c r="H858" s="35" t="n">
        <v>0</v>
      </c>
      <c r="I858" s="34" t="n">
        <f aca="false">+IF(E858=0,0,E858*0.03)</f>
        <v>0</v>
      </c>
    </row>
    <row r="859" customFormat="false" ht="15.75" hidden="false" customHeight="true" outlineLevel="0" collapsed="false">
      <c r="A859" s="30" t="n">
        <v>45323</v>
      </c>
      <c r="B859" s="31" t="s">
        <v>7</v>
      </c>
      <c r="C859" s="32"/>
      <c r="D859" s="32"/>
      <c r="E859" s="19" t="n">
        <f aca="false">+F859*0.03</f>
        <v>0</v>
      </c>
      <c r="F859" s="33" t="n">
        <v>0</v>
      </c>
      <c r="G859" s="62"/>
      <c r="H859" s="35" t="n">
        <v>0</v>
      </c>
      <c r="I859" s="34" t="n">
        <f aca="false">+IF(E859=0,0,E859*0.03)</f>
        <v>0</v>
      </c>
    </row>
    <row r="860" customFormat="false" ht="15.75" hidden="false" customHeight="true" outlineLevel="0" collapsed="false">
      <c r="A860" s="30" t="n">
        <v>45323</v>
      </c>
      <c r="B860" s="31" t="s">
        <v>7</v>
      </c>
      <c r="C860" s="32"/>
      <c r="D860" s="32"/>
      <c r="E860" s="19" t="n">
        <f aca="false">+F860*0.03</f>
        <v>0</v>
      </c>
      <c r="F860" s="33" t="n">
        <v>0</v>
      </c>
      <c r="G860" s="62"/>
      <c r="H860" s="35" t="n">
        <v>0</v>
      </c>
      <c r="I860" s="34" t="n">
        <f aca="false">+IF(E860=0,0,E860*0.03)</f>
        <v>0</v>
      </c>
    </row>
    <row r="861" customFormat="false" ht="15.75" hidden="false" customHeight="true" outlineLevel="0" collapsed="false">
      <c r="A861" s="30" t="n">
        <v>45323</v>
      </c>
      <c r="B861" s="31" t="s">
        <v>7</v>
      </c>
      <c r="C861" s="32"/>
      <c r="D861" s="32"/>
      <c r="E861" s="19" t="n">
        <f aca="false">+F861*0.03</f>
        <v>0</v>
      </c>
      <c r="F861" s="33" t="n">
        <v>0</v>
      </c>
      <c r="G861" s="62"/>
      <c r="H861" s="35" t="n">
        <v>0</v>
      </c>
      <c r="I861" s="34" t="n">
        <f aca="false">+IF(E861=0,0,E861*0.03)</f>
        <v>0</v>
      </c>
    </row>
    <row r="862" customFormat="false" ht="15.75" hidden="false" customHeight="true" outlineLevel="0" collapsed="false">
      <c r="A862" s="30" t="n">
        <v>45323</v>
      </c>
      <c r="B862" s="31" t="s">
        <v>7</v>
      </c>
      <c r="C862" s="32"/>
      <c r="D862" s="32"/>
      <c r="E862" s="19" t="n">
        <f aca="false">+F862*0.03</f>
        <v>0</v>
      </c>
      <c r="F862" s="33" t="n">
        <v>0</v>
      </c>
      <c r="G862" s="62"/>
      <c r="H862" s="35" t="n">
        <v>0</v>
      </c>
      <c r="I862" s="34" t="n">
        <f aca="false">+IF(E862=0,0,E862*0.03)</f>
        <v>0</v>
      </c>
    </row>
    <row r="863" customFormat="false" ht="15.75" hidden="false" customHeight="true" outlineLevel="0" collapsed="false">
      <c r="A863" s="30" t="n">
        <v>45323</v>
      </c>
      <c r="B863" s="31" t="s">
        <v>7</v>
      </c>
      <c r="C863" s="32"/>
      <c r="D863" s="32"/>
      <c r="E863" s="19" t="n">
        <f aca="false">+F863*0.03</f>
        <v>0</v>
      </c>
      <c r="F863" s="33" t="n">
        <v>0</v>
      </c>
      <c r="G863" s="62"/>
      <c r="H863" s="35" t="n">
        <v>0</v>
      </c>
      <c r="I863" s="34" t="n">
        <f aca="false">+IF(E863=0,0,E863*0.03)</f>
        <v>0</v>
      </c>
    </row>
    <row r="864" customFormat="false" ht="15.75" hidden="false" customHeight="true" outlineLevel="0" collapsed="false">
      <c r="A864" s="30" t="n">
        <v>45323</v>
      </c>
      <c r="B864" s="31" t="s">
        <v>7</v>
      </c>
      <c r="C864" s="32"/>
      <c r="D864" s="32"/>
      <c r="E864" s="19" t="n">
        <f aca="false">+F864*0.03</f>
        <v>0</v>
      </c>
      <c r="F864" s="33" t="n">
        <v>0</v>
      </c>
      <c r="G864" s="62"/>
      <c r="H864" s="35" t="n">
        <v>0</v>
      </c>
      <c r="I864" s="34" t="n">
        <f aca="false">+IF(E864=0,0,E864*0.03)</f>
        <v>0</v>
      </c>
    </row>
    <row r="865" customFormat="false" ht="15.75" hidden="false" customHeight="true" outlineLevel="0" collapsed="false">
      <c r="A865" s="30" t="n">
        <v>45323</v>
      </c>
      <c r="B865" s="31" t="s">
        <v>7</v>
      </c>
      <c r="C865" s="32"/>
      <c r="D865" s="32"/>
      <c r="E865" s="19" t="n">
        <f aca="false">+F865*0.03</f>
        <v>0</v>
      </c>
      <c r="F865" s="33" t="n">
        <v>0</v>
      </c>
      <c r="G865" s="62"/>
      <c r="H865" s="35" t="n">
        <v>0</v>
      </c>
      <c r="I865" s="34" t="n">
        <f aca="false">+IF(E865=0,0,E865*0.03)</f>
        <v>0</v>
      </c>
    </row>
    <row r="866" customFormat="false" ht="15.75" hidden="false" customHeight="true" outlineLevel="0" collapsed="false">
      <c r="A866" s="30" t="n">
        <v>45323</v>
      </c>
      <c r="B866" s="31" t="s">
        <v>7</v>
      </c>
      <c r="C866" s="32"/>
      <c r="D866" s="32"/>
      <c r="E866" s="19" t="n">
        <f aca="false">+F866*0.03</f>
        <v>0</v>
      </c>
      <c r="F866" s="33" t="n">
        <v>0</v>
      </c>
      <c r="G866" s="62"/>
      <c r="H866" s="35" t="n">
        <v>0</v>
      </c>
      <c r="I866" s="34" t="n">
        <f aca="false">+IF(E866=0,0,E866*0.03)</f>
        <v>0</v>
      </c>
    </row>
    <row r="867" customFormat="false" ht="15.75" hidden="false" customHeight="true" outlineLevel="0" collapsed="false">
      <c r="A867" s="30" t="n">
        <v>45323</v>
      </c>
      <c r="B867" s="31" t="s">
        <v>7</v>
      </c>
      <c r="C867" s="32"/>
      <c r="D867" s="32"/>
      <c r="E867" s="19" t="n">
        <f aca="false">+F867*0.03</f>
        <v>0</v>
      </c>
      <c r="F867" s="33" t="n">
        <v>0</v>
      </c>
      <c r="G867" s="62"/>
      <c r="H867" s="35" t="n">
        <v>0</v>
      </c>
      <c r="I867" s="34" t="n">
        <f aca="false">+IF(E867=0,0,E867*0.03)</f>
        <v>0</v>
      </c>
    </row>
    <row r="868" customFormat="false" ht="15.75" hidden="false" customHeight="true" outlineLevel="0" collapsed="false">
      <c r="A868" s="30" t="n">
        <v>45323</v>
      </c>
      <c r="B868" s="31" t="s">
        <v>7</v>
      </c>
      <c r="C868" s="32"/>
      <c r="D868" s="32"/>
      <c r="E868" s="19" t="n">
        <f aca="false">+F868*0.03</f>
        <v>0</v>
      </c>
      <c r="F868" s="33" t="n">
        <v>0</v>
      </c>
      <c r="G868" s="62"/>
      <c r="H868" s="35" t="n">
        <v>0</v>
      </c>
      <c r="I868" s="34" t="n">
        <f aca="false">+IF(E868=0,0,E868*0.03)</f>
        <v>0</v>
      </c>
    </row>
    <row r="869" customFormat="false" ht="15.75" hidden="false" customHeight="true" outlineLevel="0" collapsed="false">
      <c r="A869" s="30" t="n">
        <v>45323</v>
      </c>
      <c r="B869" s="31" t="s">
        <v>7</v>
      </c>
      <c r="C869" s="32"/>
      <c r="D869" s="32"/>
      <c r="E869" s="19" t="n">
        <f aca="false">+F869*0.03</f>
        <v>0</v>
      </c>
      <c r="F869" s="33" t="n">
        <v>0</v>
      </c>
      <c r="G869" s="62"/>
      <c r="H869" s="35" t="n">
        <v>0</v>
      </c>
      <c r="I869" s="34" t="n">
        <f aca="false">+IF(E869=0,0,E869*0.03)</f>
        <v>0</v>
      </c>
    </row>
    <row r="870" customFormat="false" ht="15.75" hidden="false" customHeight="true" outlineLevel="0" collapsed="false">
      <c r="A870" s="30" t="n">
        <v>45323</v>
      </c>
      <c r="B870" s="31" t="s">
        <v>7</v>
      </c>
      <c r="C870" s="32"/>
      <c r="D870" s="32"/>
      <c r="E870" s="19" t="n">
        <f aca="false">+F870*0.03</f>
        <v>0</v>
      </c>
      <c r="F870" s="33" t="n">
        <v>0</v>
      </c>
      <c r="G870" s="62"/>
      <c r="H870" s="35" t="n">
        <v>0</v>
      </c>
      <c r="I870" s="34" t="n">
        <f aca="false">+IF(E870=0,0,E870*0.03)</f>
        <v>0</v>
      </c>
    </row>
    <row r="871" customFormat="false" ht="15.75" hidden="false" customHeight="true" outlineLevel="0" collapsed="false">
      <c r="A871" s="30" t="n">
        <v>45323</v>
      </c>
      <c r="B871" s="31" t="s">
        <v>7</v>
      </c>
      <c r="C871" s="32"/>
      <c r="D871" s="32"/>
      <c r="E871" s="19" t="n">
        <f aca="false">+F871*0.03</f>
        <v>0</v>
      </c>
      <c r="F871" s="33" t="n">
        <v>0</v>
      </c>
      <c r="G871" s="62"/>
      <c r="H871" s="35" t="n">
        <v>0</v>
      </c>
      <c r="I871" s="34" t="n">
        <f aca="false">+IF(E871=0,0,E871*0.03)</f>
        <v>0</v>
      </c>
    </row>
    <row r="872" customFormat="false" ht="15.75" hidden="false" customHeight="true" outlineLevel="0" collapsed="false">
      <c r="A872" s="30" t="n">
        <v>45323</v>
      </c>
      <c r="B872" s="31" t="s">
        <v>7</v>
      </c>
      <c r="C872" s="32"/>
      <c r="D872" s="32"/>
      <c r="E872" s="19" t="n">
        <f aca="false">+F872*0.03</f>
        <v>0</v>
      </c>
      <c r="F872" s="33" t="n">
        <v>0</v>
      </c>
      <c r="G872" s="62"/>
      <c r="H872" s="35" t="n">
        <v>0</v>
      </c>
      <c r="I872" s="34" t="n">
        <f aca="false">+IF(E872=0,0,E872*0.03)</f>
        <v>0</v>
      </c>
    </row>
    <row r="873" customFormat="false" ht="15.75" hidden="false" customHeight="true" outlineLevel="0" collapsed="false">
      <c r="A873" s="30" t="n">
        <v>45323</v>
      </c>
      <c r="B873" s="31" t="s">
        <v>7</v>
      </c>
      <c r="C873" s="32"/>
      <c r="D873" s="32"/>
      <c r="E873" s="19" t="n">
        <f aca="false">+F873*0.03</f>
        <v>0</v>
      </c>
      <c r="F873" s="33" t="n">
        <v>0</v>
      </c>
      <c r="G873" s="62"/>
      <c r="H873" s="35" t="n">
        <v>0</v>
      </c>
      <c r="I873" s="34" t="n">
        <f aca="false">+IF(E873=0,0,E873*0.03)</f>
        <v>0</v>
      </c>
    </row>
    <row r="874" customFormat="false" ht="15.75" hidden="false" customHeight="true" outlineLevel="0" collapsed="false">
      <c r="A874" s="30" t="n">
        <v>45323</v>
      </c>
      <c r="B874" s="31" t="s">
        <v>7</v>
      </c>
      <c r="C874" s="32"/>
      <c r="D874" s="32"/>
      <c r="E874" s="19" t="n">
        <f aca="false">+F874*0.03</f>
        <v>0</v>
      </c>
      <c r="F874" s="33" t="n">
        <v>0</v>
      </c>
      <c r="G874" s="62"/>
      <c r="H874" s="35" t="n">
        <v>0</v>
      </c>
      <c r="I874" s="34" t="n">
        <f aca="false">+IF(E874=0,0,E874*0.03)</f>
        <v>0</v>
      </c>
    </row>
    <row r="875" customFormat="false" ht="15.75" hidden="false" customHeight="true" outlineLevel="0" collapsed="false">
      <c r="A875" s="30" t="n">
        <v>45323</v>
      </c>
      <c r="B875" s="31" t="s">
        <v>7</v>
      </c>
      <c r="C875" s="32"/>
      <c r="D875" s="32"/>
      <c r="E875" s="19" t="n">
        <f aca="false">+F875*0.03</f>
        <v>0</v>
      </c>
      <c r="F875" s="33" t="n">
        <v>0</v>
      </c>
      <c r="G875" s="62"/>
      <c r="H875" s="35" t="n">
        <v>0</v>
      </c>
      <c r="I875" s="34" t="n">
        <f aca="false">+IF(E875=0,0,E875*0.03)</f>
        <v>0</v>
      </c>
    </row>
    <row r="876" customFormat="false" ht="15.75" hidden="false" customHeight="true" outlineLevel="0" collapsed="false">
      <c r="A876" s="30" t="n">
        <v>45323</v>
      </c>
      <c r="B876" s="31" t="s">
        <v>7</v>
      </c>
      <c r="C876" s="32"/>
      <c r="D876" s="32"/>
      <c r="E876" s="19" t="n">
        <f aca="false">+F876*0.03</f>
        <v>0</v>
      </c>
      <c r="F876" s="33" t="n">
        <v>0</v>
      </c>
      <c r="G876" s="62"/>
      <c r="H876" s="35" t="n">
        <v>0</v>
      </c>
      <c r="I876" s="34" t="n">
        <f aca="false">+IF(E876=0,0,E876*0.03)</f>
        <v>0</v>
      </c>
    </row>
    <row r="877" customFormat="false" ht="15.75" hidden="false" customHeight="true" outlineLevel="0" collapsed="false">
      <c r="A877" s="30" t="n">
        <v>45323</v>
      </c>
      <c r="B877" s="31" t="s">
        <v>7</v>
      </c>
      <c r="C877" s="32"/>
      <c r="D877" s="32"/>
      <c r="E877" s="19" t="n">
        <f aca="false">+F877*0.03</f>
        <v>0</v>
      </c>
      <c r="F877" s="33" t="n">
        <v>0</v>
      </c>
      <c r="G877" s="62"/>
      <c r="H877" s="35" t="n">
        <v>0</v>
      </c>
      <c r="I877" s="34" t="n">
        <f aca="false">+IF(E877=0,0,E877*0.03)</f>
        <v>0</v>
      </c>
    </row>
    <row r="878" customFormat="false" ht="15.75" hidden="false" customHeight="true" outlineLevel="0" collapsed="false">
      <c r="A878" s="30" t="n">
        <v>45323</v>
      </c>
      <c r="B878" s="31" t="s">
        <v>7</v>
      </c>
      <c r="C878" s="32"/>
      <c r="D878" s="32"/>
      <c r="E878" s="19" t="n">
        <f aca="false">+F878*0.03</f>
        <v>0</v>
      </c>
      <c r="F878" s="33" t="n">
        <v>0</v>
      </c>
      <c r="G878" s="62"/>
      <c r="H878" s="35" t="n">
        <v>0</v>
      </c>
      <c r="I878" s="34" t="n">
        <f aca="false">+IF(E878=0,0,E878*0.03)</f>
        <v>0</v>
      </c>
    </row>
    <row r="879" customFormat="false" ht="15.75" hidden="false" customHeight="true" outlineLevel="0" collapsed="false">
      <c r="A879" s="30" t="n">
        <v>45323</v>
      </c>
      <c r="B879" s="31" t="s">
        <v>7</v>
      </c>
      <c r="C879" s="32"/>
      <c r="D879" s="32"/>
      <c r="E879" s="19" t="n">
        <f aca="false">+F879*0.03</f>
        <v>0</v>
      </c>
      <c r="F879" s="33" t="n">
        <v>0</v>
      </c>
      <c r="G879" s="62"/>
      <c r="H879" s="35" t="n">
        <v>0</v>
      </c>
      <c r="I879" s="34" t="n">
        <f aca="false">+IF(E879=0,0,E879*0.03)</f>
        <v>0</v>
      </c>
    </row>
    <row r="880" customFormat="false" ht="15.75" hidden="false" customHeight="true" outlineLevel="0" collapsed="false">
      <c r="A880" s="30" t="n">
        <v>45323</v>
      </c>
      <c r="B880" s="31" t="s">
        <v>7</v>
      </c>
      <c r="C880" s="32"/>
      <c r="D880" s="32"/>
      <c r="E880" s="19" t="n">
        <f aca="false">+F880*0.03</f>
        <v>0</v>
      </c>
      <c r="F880" s="33" t="n">
        <v>0</v>
      </c>
      <c r="G880" s="62"/>
      <c r="H880" s="35" t="n">
        <v>0</v>
      </c>
      <c r="I880" s="34" t="n">
        <f aca="false">+IF(E880=0,0,E880*0.03)</f>
        <v>0</v>
      </c>
    </row>
    <row r="881" customFormat="false" ht="15.75" hidden="false" customHeight="true" outlineLevel="0" collapsed="false">
      <c r="A881" s="30" t="n">
        <v>45323</v>
      </c>
      <c r="B881" s="31" t="s">
        <v>7</v>
      </c>
      <c r="C881" s="32"/>
      <c r="D881" s="32"/>
      <c r="E881" s="19" t="n">
        <f aca="false">+F881*0.03</f>
        <v>0</v>
      </c>
      <c r="F881" s="33" t="n">
        <v>0</v>
      </c>
      <c r="G881" s="62"/>
      <c r="H881" s="35" t="n">
        <v>0</v>
      </c>
      <c r="I881" s="34" t="n">
        <f aca="false">+IF(E881=0,0,E881*0.03)</f>
        <v>0</v>
      </c>
    </row>
    <row r="882" customFormat="false" ht="15.75" hidden="false" customHeight="true" outlineLevel="0" collapsed="false">
      <c r="A882" s="30" t="n">
        <v>45323</v>
      </c>
      <c r="B882" s="31" t="s">
        <v>7</v>
      </c>
      <c r="C882" s="32"/>
      <c r="D882" s="32"/>
      <c r="E882" s="19" t="n">
        <f aca="false">+F882*0.03</f>
        <v>0</v>
      </c>
      <c r="F882" s="33" t="n">
        <v>0</v>
      </c>
      <c r="G882" s="62"/>
      <c r="H882" s="35" t="n">
        <v>0</v>
      </c>
      <c r="I882" s="34" t="n">
        <f aca="false">+IF(E882=0,0,E882*0.03)</f>
        <v>0</v>
      </c>
    </row>
    <row r="883" customFormat="false" ht="15.75" hidden="false" customHeight="true" outlineLevel="0" collapsed="false">
      <c r="A883" s="30" t="n">
        <v>45323</v>
      </c>
      <c r="B883" s="31" t="s">
        <v>7</v>
      </c>
      <c r="C883" s="32"/>
      <c r="D883" s="32"/>
      <c r="E883" s="19" t="n">
        <f aca="false">+F883*0.03</f>
        <v>0</v>
      </c>
      <c r="F883" s="33" t="n">
        <v>0</v>
      </c>
      <c r="G883" s="62"/>
      <c r="H883" s="35" t="n">
        <v>0</v>
      </c>
      <c r="I883" s="34" t="n">
        <f aca="false">+IF(E883=0,0,E883*0.03)</f>
        <v>0</v>
      </c>
    </row>
    <row r="884" customFormat="false" ht="15.75" hidden="false" customHeight="true" outlineLevel="0" collapsed="false">
      <c r="A884" s="30" t="n">
        <v>45323</v>
      </c>
      <c r="B884" s="31" t="s">
        <v>7</v>
      </c>
      <c r="C884" s="32"/>
      <c r="D884" s="32"/>
      <c r="E884" s="19" t="n">
        <f aca="false">+F884*0.03</f>
        <v>0</v>
      </c>
      <c r="F884" s="33" t="n">
        <v>0</v>
      </c>
      <c r="G884" s="62"/>
      <c r="H884" s="35" t="n">
        <v>0</v>
      </c>
      <c r="I884" s="34" t="n">
        <f aca="false">+IF(E884=0,0,E884*0.03)</f>
        <v>0</v>
      </c>
    </row>
    <row r="885" customFormat="false" ht="15.75" hidden="false" customHeight="true" outlineLevel="0" collapsed="false">
      <c r="A885" s="30" t="n">
        <v>45323</v>
      </c>
      <c r="B885" s="31" t="s">
        <v>7</v>
      </c>
      <c r="C885" s="32"/>
      <c r="D885" s="32"/>
      <c r="E885" s="19" t="n">
        <f aca="false">+F885*0.03</f>
        <v>0</v>
      </c>
      <c r="F885" s="33" t="n">
        <v>0</v>
      </c>
      <c r="G885" s="62"/>
      <c r="H885" s="35" t="n">
        <v>0</v>
      </c>
      <c r="I885" s="34" t="n">
        <f aca="false">+IF(E885=0,0,E885*0.03)</f>
        <v>0</v>
      </c>
    </row>
    <row r="886" customFormat="false" ht="15.75" hidden="false" customHeight="true" outlineLevel="0" collapsed="false">
      <c r="A886" s="30" t="n">
        <v>45323</v>
      </c>
      <c r="B886" s="31" t="s">
        <v>7</v>
      </c>
      <c r="C886" s="32"/>
      <c r="D886" s="32"/>
      <c r="E886" s="19" t="n">
        <f aca="false">+F886*0.03</f>
        <v>0</v>
      </c>
      <c r="F886" s="33" t="n">
        <v>0</v>
      </c>
      <c r="G886" s="62"/>
      <c r="H886" s="35" t="n">
        <v>0</v>
      </c>
      <c r="I886" s="34" t="n">
        <f aca="false">+IF(E886=0,0,E886*0.03)</f>
        <v>0</v>
      </c>
    </row>
    <row r="887" customFormat="false" ht="15.75" hidden="false" customHeight="true" outlineLevel="0" collapsed="false">
      <c r="A887" s="30" t="n">
        <v>45323</v>
      </c>
      <c r="B887" s="31" t="s">
        <v>7</v>
      </c>
      <c r="C887" s="32"/>
      <c r="D887" s="32"/>
      <c r="E887" s="19" t="n">
        <f aca="false">+F887*0.03</f>
        <v>0</v>
      </c>
      <c r="F887" s="33" t="n">
        <v>0</v>
      </c>
      <c r="G887" s="62"/>
      <c r="H887" s="35" t="n">
        <v>0</v>
      </c>
      <c r="I887" s="34" t="n">
        <f aca="false">+IF(E887=0,0,E887*0.03)</f>
        <v>0</v>
      </c>
    </row>
    <row r="888" customFormat="false" ht="15.75" hidden="false" customHeight="true" outlineLevel="0" collapsed="false">
      <c r="A888" s="30" t="n">
        <v>45323</v>
      </c>
      <c r="B888" s="31" t="s">
        <v>7</v>
      </c>
      <c r="C888" s="32"/>
      <c r="D888" s="32"/>
      <c r="E888" s="19" t="n">
        <f aca="false">+F888*0.03</f>
        <v>0</v>
      </c>
      <c r="F888" s="33" t="n">
        <v>0</v>
      </c>
      <c r="G888" s="62"/>
      <c r="H888" s="35" t="n">
        <v>0</v>
      </c>
      <c r="I888" s="34" t="n">
        <f aca="false">+IF(E888=0,0,E888*0.03)</f>
        <v>0</v>
      </c>
    </row>
    <row r="889" customFormat="false" ht="15.75" hidden="false" customHeight="true" outlineLevel="0" collapsed="false">
      <c r="A889" s="30" t="n">
        <v>45323</v>
      </c>
      <c r="B889" s="31" t="s">
        <v>7</v>
      </c>
      <c r="C889" s="32"/>
      <c r="D889" s="32"/>
      <c r="E889" s="19" t="n">
        <f aca="false">+F889*0.03</f>
        <v>0</v>
      </c>
      <c r="F889" s="33" t="n">
        <v>0</v>
      </c>
      <c r="G889" s="62"/>
      <c r="H889" s="35" t="n">
        <v>0</v>
      </c>
      <c r="I889" s="34" t="n">
        <f aca="false">+IF(E889=0,0,E889*0.03)</f>
        <v>0</v>
      </c>
    </row>
    <row r="890" customFormat="false" ht="15.75" hidden="false" customHeight="true" outlineLevel="0" collapsed="false">
      <c r="A890" s="30" t="n">
        <v>45323</v>
      </c>
      <c r="B890" s="31" t="s">
        <v>7</v>
      </c>
      <c r="C890" s="32"/>
      <c r="D890" s="32"/>
      <c r="E890" s="19" t="n">
        <f aca="false">+F890*0.03</f>
        <v>0</v>
      </c>
      <c r="F890" s="33" t="n">
        <v>0</v>
      </c>
      <c r="G890" s="62"/>
      <c r="H890" s="35" t="n">
        <v>0</v>
      </c>
      <c r="I890" s="34" t="n">
        <f aca="false">+IF(E890=0,0,E890*0.03)</f>
        <v>0</v>
      </c>
    </row>
    <row r="891" customFormat="false" ht="15.75" hidden="false" customHeight="true" outlineLevel="0" collapsed="false">
      <c r="A891" s="30" t="n">
        <v>45323</v>
      </c>
      <c r="B891" s="31" t="s">
        <v>7</v>
      </c>
      <c r="C891" s="32"/>
      <c r="D891" s="32"/>
      <c r="E891" s="19" t="n">
        <f aca="false">+F891*0.03</f>
        <v>0</v>
      </c>
      <c r="F891" s="33" t="n">
        <v>0</v>
      </c>
      <c r="G891" s="62"/>
      <c r="H891" s="35" t="n">
        <v>0</v>
      </c>
      <c r="I891" s="34" t="n">
        <f aca="false">+IF(E891=0,0,E891*0.03)</f>
        <v>0</v>
      </c>
    </row>
    <row r="892" customFormat="false" ht="15.75" hidden="false" customHeight="true" outlineLevel="0" collapsed="false">
      <c r="A892" s="30" t="n">
        <v>45323</v>
      </c>
      <c r="B892" s="31" t="s">
        <v>7</v>
      </c>
      <c r="C892" s="32"/>
      <c r="D892" s="32"/>
      <c r="E892" s="19" t="n">
        <f aca="false">+F892*0.03</f>
        <v>0</v>
      </c>
      <c r="F892" s="33" t="n">
        <v>0</v>
      </c>
      <c r="G892" s="62"/>
      <c r="H892" s="35" t="n">
        <v>0</v>
      </c>
      <c r="I892" s="34" t="n">
        <f aca="false">+IF(E892=0,0,E892*0.03)</f>
        <v>0</v>
      </c>
    </row>
    <row r="893" customFormat="false" ht="15.75" hidden="false" customHeight="true" outlineLevel="0" collapsed="false">
      <c r="A893" s="30" t="n">
        <v>45323</v>
      </c>
      <c r="B893" s="31" t="s">
        <v>7</v>
      </c>
      <c r="C893" s="32"/>
      <c r="D893" s="32"/>
      <c r="E893" s="19" t="n">
        <f aca="false">+F893*0.03</f>
        <v>0</v>
      </c>
      <c r="F893" s="33" t="n">
        <v>0</v>
      </c>
      <c r="G893" s="62"/>
      <c r="H893" s="35" t="n">
        <v>0</v>
      </c>
      <c r="I893" s="34" t="n">
        <f aca="false">+IF(E893=0,0,E893*0.03)</f>
        <v>0</v>
      </c>
    </row>
    <row r="894" customFormat="false" ht="15.75" hidden="false" customHeight="true" outlineLevel="0" collapsed="false">
      <c r="A894" s="30" t="n">
        <v>45323</v>
      </c>
      <c r="B894" s="31" t="s">
        <v>7</v>
      </c>
      <c r="C894" s="32"/>
      <c r="D894" s="32"/>
      <c r="E894" s="19" t="n">
        <f aca="false">+F894*0.03</f>
        <v>0</v>
      </c>
      <c r="F894" s="33" t="n">
        <v>0</v>
      </c>
      <c r="G894" s="62"/>
      <c r="H894" s="35" t="n">
        <v>0</v>
      </c>
      <c r="I894" s="34" t="n">
        <f aca="false">+IF(E894=0,0,E894*0.03)</f>
        <v>0</v>
      </c>
    </row>
    <row r="895" customFormat="false" ht="15.75" hidden="false" customHeight="true" outlineLevel="0" collapsed="false">
      <c r="A895" s="30" t="n">
        <v>45323</v>
      </c>
      <c r="B895" s="31" t="s">
        <v>7</v>
      </c>
      <c r="C895" s="32"/>
      <c r="D895" s="32"/>
      <c r="E895" s="19" t="n">
        <f aca="false">+F895*0.03</f>
        <v>0</v>
      </c>
      <c r="F895" s="33" t="n">
        <v>0</v>
      </c>
      <c r="G895" s="62"/>
      <c r="H895" s="35" t="n">
        <v>0</v>
      </c>
      <c r="I895" s="34" t="n">
        <f aca="false">+IF(E895=0,0,E895*0.03)</f>
        <v>0</v>
      </c>
    </row>
    <row r="896" customFormat="false" ht="15.75" hidden="false" customHeight="true" outlineLevel="0" collapsed="false">
      <c r="A896" s="30" t="n">
        <v>45323</v>
      </c>
      <c r="B896" s="31" t="s">
        <v>7</v>
      </c>
      <c r="C896" s="32"/>
      <c r="D896" s="32"/>
      <c r="E896" s="19" t="n">
        <f aca="false">+F896*0.03</f>
        <v>0</v>
      </c>
      <c r="F896" s="33" t="n">
        <v>0</v>
      </c>
      <c r="G896" s="62"/>
      <c r="H896" s="35" t="n">
        <v>0</v>
      </c>
      <c r="I896" s="34" t="n">
        <f aca="false">+IF(E896=0,0,E896*0.03)</f>
        <v>0</v>
      </c>
    </row>
    <row r="897" customFormat="false" ht="15.75" hidden="false" customHeight="true" outlineLevel="0" collapsed="false">
      <c r="A897" s="30" t="n">
        <v>45323</v>
      </c>
      <c r="B897" s="31" t="s">
        <v>7</v>
      </c>
      <c r="C897" s="32"/>
      <c r="D897" s="32"/>
      <c r="E897" s="19" t="n">
        <f aca="false">+F897*0.03</f>
        <v>0</v>
      </c>
      <c r="F897" s="33" t="n">
        <v>0</v>
      </c>
      <c r="G897" s="62"/>
      <c r="H897" s="35" t="n">
        <v>0</v>
      </c>
      <c r="I897" s="34" t="n">
        <f aca="false">+IF(E897=0,0,E897*0.03)</f>
        <v>0</v>
      </c>
    </row>
    <row r="898" customFormat="false" ht="15.75" hidden="false" customHeight="true" outlineLevel="0" collapsed="false">
      <c r="A898" s="30" t="n">
        <v>45323</v>
      </c>
      <c r="B898" s="31" t="s">
        <v>7</v>
      </c>
      <c r="C898" s="32"/>
      <c r="D898" s="32"/>
      <c r="E898" s="19" t="n">
        <f aca="false">+F898*0.03</f>
        <v>0</v>
      </c>
      <c r="F898" s="33" t="n">
        <v>0</v>
      </c>
      <c r="G898" s="62"/>
      <c r="H898" s="35" t="n">
        <v>0</v>
      </c>
      <c r="I898" s="34" t="n">
        <f aca="false">+IF(E898=0,0,E898*0.03)</f>
        <v>0</v>
      </c>
    </row>
    <row r="899" customFormat="false" ht="15.75" hidden="false" customHeight="true" outlineLevel="0" collapsed="false">
      <c r="A899" s="30" t="n">
        <v>45323</v>
      </c>
      <c r="B899" s="31" t="s">
        <v>7</v>
      </c>
      <c r="C899" s="32"/>
      <c r="D899" s="32"/>
      <c r="E899" s="19" t="n">
        <f aca="false">+F899*0.03</f>
        <v>0</v>
      </c>
      <c r="F899" s="33" t="n">
        <v>0</v>
      </c>
      <c r="G899" s="62"/>
      <c r="H899" s="35" t="n">
        <v>0</v>
      </c>
      <c r="I899" s="34" t="n">
        <f aca="false">+IF(E899=0,0,E899*0.03)</f>
        <v>0</v>
      </c>
    </row>
    <row r="900" customFormat="false" ht="15.75" hidden="false" customHeight="true" outlineLevel="0" collapsed="false">
      <c r="A900" s="30" t="n">
        <v>45323</v>
      </c>
      <c r="B900" s="31" t="s">
        <v>7</v>
      </c>
      <c r="C900" s="32"/>
      <c r="D900" s="32"/>
      <c r="E900" s="19" t="n">
        <f aca="false">+F900*0.03</f>
        <v>0</v>
      </c>
      <c r="F900" s="33" t="n">
        <v>0</v>
      </c>
      <c r="G900" s="62"/>
      <c r="H900" s="35" t="n">
        <v>0</v>
      </c>
      <c r="I900" s="34" t="n">
        <f aca="false">+IF(E900=0,0,E900*0.03)</f>
        <v>0</v>
      </c>
    </row>
    <row r="901" customFormat="false" ht="15.75" hidden="false" customHeight="true" outlineLevel="0" collapsed="false">
      <c r="A901" s="30" t="n">
        <v>45323</v>
      </c>
      <c r="B901" s="31" t="s">
        <v>7</v>
      </c>
      <c r="C901" s="32"/>
      <c r="D901" s="32"/>
      <c r="E901" s="19" t="n">
        <f aca="false">+F901*0.03</f>
        <v>0</v>
      </c>
      <c r="F901" s="33" t="n">
        <v>0</v>
      </c>
      <c r="G901" s="62"/>
      <c r="H901" s="35" t="n">
        <v>0</v>
      </c>
      <c r="I901" s="34" t="n">
        <f aca="false">+IF(E901=0,0,E901*0.03)</f>
        <v>0</v>
      </c>
    </row>
    <row r="902" customFormat="false" ht="15.75" hidden="false" customHeight="true" outlineLevel="0" collapsed="false">
      <c r="A902" s="30" t="n">
        <v>45323</v>
      </c>
      <c r="B902" s="31" t="s">
        <v>7</v>
      </c>
      <c r="C902" s="32"/>
      <c r="D902" s="32"/>
      <c r="E902" s="19" t="n">
        <f aca="false">+F902*0.03</f>
        <v>0</v>
      </c>
      <c r="F902" s="33" t="n">
        <v>0</v>
      </c>
      <c r="G902" s="62"/>
      <c r="H902" s="35" t="n">
        <v>0</v>
      </c>
      <c r="I902" s="34" t="n">
        <f aca="false">+IF(E902=0,0,E902*0.03)</f>
        <v>0</v>
      </c>
    </row>
    <row r="903" customFormat="false" ht="15.75" hidden="false" customHeight="true" outlineLevel="0" collapsed="false">
      <c r="A903" s="30" t="n">
        <v>45323</v>
      </c>
      <c r="B903" s="31" t="s">
        <v>7</v>
      </c>
      <c r="C903" s="32"/>
      <c r="D903" s="32"/>
      <c r="E903" s="19" t="n">
        <f aca="false">+F903*0.03</f>
        <v>0</v>
      </c>
      <c r="F903" s="33" t="n">
        <v>0</v>
      </c>
      <c r="G903" s="62"/>
      <c r="H903" s="35" t="n">
        <v>0</v>
      </c>
      <c r="I903" s="34" t="n">
        <f aca="false">+IF(E903=0,0,E903*0.03)</f>
        <v>0</v>
      </c>
    </row>
    <row r="904" customFormat="false" ht="15.75" hidden="false" customHeight="true" outlineLevel="0" collapsed="false">
      <c r="A904" s="30" t="n">
        <v>45323</v>
      </c>
      <c r="B904" s="31" t="s">
        <v>7</v>
      </c>
      <c r="C904" s="32"/>
      <c r="D904" s="32"/>
      <c r="E904" s="19" t="n">
        <f aca="false">+F904*0.03</f>
        <v>0</v>
      </c>
      <c r="F904" s="33" t="n">
        <v>0</v>
      </c>
      <c r="G904" s="62"/>
      <c r="H904" s="35" t="n">
        <v>0</v>
      </c>
      <c r="I904" s="34" t="n">
        <f aca="false">+IF(E904=0,0,E904*0.03)</f>
        <v>0</v>
      </c>
    </row>
    <row r="905" customFormat="false" ht="15.75" hidden="false" customHeight="true" outlineLevel="0" collapsed="false">
      <c r="A905" s="30" t="n">
        <v>45323</v>
      </c>
      <c r="B905" s="31" t="s">
        <v>7</v>
      </c>
      <c r="C905" s="32"/>
      <c r="D905" s="32"/>
      <c r="E905" s="19" t="n">
        <f aca="false">+F905*0.03</f>
        <v>0</v>
      </c>
      <c r="F905" s="33" t="n">
        <v>0</v>
      </c>
      <c r="G905" s="62"/>
      <c r="H905" s="35" t="n">
        <v>0</v>
      </c>
      <c r="I905" s="34" t="n">
        <f aca="false">+IF(E905=0,0,E905*0.03)</f>
        <v>0</v>
      </c>
    </row>
    <row r="906" customFormat="false" ht="15.75" hidden="false" customHeight="true" outlineLevel="0" collapsed="false">
      <c r="A906" s="30" t="n">
        <v>45323</v>
      </c>
      <c r="B906" s="31" t="s">
        <v>7</v>
      </c>
      <c r="C906" s="32"/>
      <c r="D906" s="32"/>
      <c r="E906" s="19" t="n">
        <f aca="false">+F906*0.03</f>
        <v>0</v>
      </c>
      <c r="F906" s="33" t="n">
        <v>0</v>
      </c>
      <c r="G906" s="62"/>
      <c r="H906" s="35" t="n">
        <v>0</v>
      </c>
      <c r="I906" s="34" t="n">
        <f aca="false">+IF(E906=0,0,E906*0.03)</f>
        <v>0</v>
      </c>
    </row>
    <row r="907" customFormat="false" ht="15.75" hidden="false" customHeight="true" outlineLevel="0" collapsed="false">
      <c r="A907" s="30" t="n">
        <v>45323</v>
      </c>
      <c r="B907" s="31" t="s">
        <v>7</v>
      </c>
      <c r="C907" s="32"/>
      <c r="D907" s="32"/>
      <c r="E907" s="19" t="n">
        <f aca="false">+F907*0.03</f>
        <v>0</v>
      </c>
      <c r="F907" s="33" t="n">
        <v>0</v>
      </c>
      <c r="G907" s="62"/>
      <c r="H907" s="35" t="n">
        <v>0</v>
      </c>
      <c r="I907" s="34" t="n">
        <f aca="false">+IF(E907=0,0,E907*0.03)</f>
        <v>0</v>
      </c>
    </row>
    <row r="908" customFormat="false" ht="15.75" hidden="false" customHeight="true" outlineLevel="0" collapsed="false">
      <c r="A908" s="30" t="n">
        <v>45323</v>
      </c>
      <c r="B908" s="31" t="s">
        <v>7</v>
      </c>
      <c r="C908" s="32"/>
      <c r="D908" s="32"/>
      <c r="E908" s="19" t="n">
        <f aca="false">+F908*0.03</f>
        <v>0</v>
      </c>
      <c r="F908" s="33" t="n">
        <v>0</v>
      </c>
      <c r="G908" s="62"/>
      <c r="H908" s="35" t="n">
        <v>0</v>
      </c>
      <c r="I908" s="34" t="n">
        <f aca="false">+IF(E908=0,0,E908*0.03)</f>
        <v>0</v>
      </c>
    </row>
    <row r="909" customFormat="false" ht="15.75" hidden="false" customHeight="true" outlineLevel="0" collapsed="false">
      <c r="A909" s="30" t="n">
        <v>45323</v>
      </c>
      <c r="B909" s="31" t="s">
        <v>7</v>
      </c>
      <c r="C909" s="32"/>
      <c r="D909" s="32"/>
      <c r="E909" s="19" t="n">
        <f aca="false">+F909*0.03</f>
        <v>0</v>
      </c>
      <c r="F909" s="33" t="n">
        <v>0</v>
      </c>
      <c r="G909" s="62"/>
      <c r="H909" s="35" t="n">
        <v>0</v>
      </c>
      <c r="I909" s="34" t="n">
        <f aca="false">+IF(E909=0,0,E909*0.03)</f>
        <v>0</v>
      </c>
    </row>
    <row r="910" customFormat="false" ht="15.75" hidden="false" customHeight="true" outlineLevel="0" collapsed="false">
      <c r="A910" s="30" t="n">
        <v>45323</v>
      </c>
      <c r="B910" s="31" t="s">
        <v>7</v>
      </c>
      <c r="C910" s="32"/>
      <c r="D910" s="32"/>
      <c r="E910" s="19" t="n">
        <f aca="false">+F910*0.03</f>
        <v>0</v>
      </c>
      <c r="F910" s="33" t="n">
        <v>0</v>
      </c>
      <c r="G910" s="62"/>
      <c r="H910" s="35" t="n">
        <v>0</v>
      </c>
      <c r="I910" s="34" t="n">
        <f aca="false">+IF(E910=0,0,E910*0.03)</f>
        <v>0</v>
      </c>
    </row>
    <row r="911" customFormat="false" ht="15.75" hidden="false" customHeight="true" outlineLevel="0" collapsed="false">
      <c r="A911" s="30" t="n">
        <v>45323</v>
      </c>
      <c r="B911" s="31" t="s">
        <v>7</v>
      </c>
      <c r="C911" s="32"/>
      <c r="D911" s="32"/>
      <c r="E911" s="19" t="n">
        <f aca="false">+F911*0.03</f>
        <v>0</v>
      </c>
      <c r="F911" s="33" t="n">
        <v>0</v>
      </c>
      <c r="G911" s="62"/>
      <c r="H911" s="35" t="n">
        <v>0</v>
      </c>
      <c r="I911" s="34" t="n">
        <f aca="false">+IF(E911=0,0,E911*0.03)</f>
        <v>0</v>
      </c>
    </row>
    <row r="912" customFormat="false" ht="15.75" hidden="false" customHeight="true" outlineLevel="0" collapsed="false">
      <c r="A912" s="30" t="n">
        <v>45323</v>
      </c>
      <c r="B912" s="31" t="s">
        <v>7</v>
      </c>
      <c r="C912" s="32"/>
      <c r="D912" s="32"/>
      <c r="E912" s="19" t="n">
        <f aca="false">+F912*0.03</f>
        <v>0</v>
      </c>
      <c r="F912" s="33" t="n">
        <v>0</v>
      </c>
      <c r="G912" s="62"/>
      <c r="H912" s="35" t="n">
        <v>0</v>
      </c>
      <c r="I912" s="34" t="n">
        <f aca="false">+IF(E912=0,0,E912*0.03)</f>
        <v>0</v>
      </c>
    </row>
    <row r="913" customFormat="false" ht="15.75" hidden="false" customHeight="true" outlineLevel="0" collapsed="false">
      <c r="A913" s="30" t="n">
        <v>45323</v>
      </c>
      <c r="B913" s="31" t="s">
        <v>7</v>
      </c>
      <c r="C913" s="32"/>
      <c r="D913" s="32"/>
      <c r="E913" s="19" t="n">
        <f aca="false">+F913*0.03</f>
        <v>0</v>
      </c>
      <c r="F913" s="33" t="n">
        <v>0</v>
      </c>
      <c r="G913" s="62"/>
      <c r="H913" s="35" t="n">
        <v>0</v>
      </c>
      <c r="I913" s="34" t="n">
        <f aca="false">+IF(E913=0,0,E913*0.03)</f>
        <v>0</v>
      </c>
    </row>
    <row r="914" customFormat="false" ht="15.75" hidden="false" customHeight="true" outlineLevel="0" collapsed="false">
      <c r="A914" s="30" t="n">
        <v>45323</v>
      </c>
      <c r="B914" s="31" t="s">
        <v>7</v>
      </c>
      <c r="C914" s="32"/>
      <c r="D914" s="32"/>
      <c r="E914" s="19" t="n">
        <f aca="false">+F914*0.03</f>
        <v>0</v>
      </c>
      <c r="F914" s="33" t="n">
        <v>0</v>
      </c>
      <c r="G914" s="62"/>
      <c r="H914" s="35" t="n">
        <v>0</v>
      </c>
      <c r="I914" s="34" t="n">
        <f aca="false">+IF(E914=0,0,E914*0.03)</f>
        <v>0</v>
      </c>
    </row>
    <row r="915" customFormat="false" ht="15.75" hidden="false" customHeight="true" outlineLevel="0" collapsed="false">
      <c r="A915" s="30" t="n">
        <v>45323</v>
      </c>
      <c r="B915" s="31" t="s">
        <v>7</v>
      </c>
      <c r="C915" s="32"/>
      <c r="D915" s="32"/>
      <c r="E915" s="19" t="n">
        <f aca="false">+F915*0.03</f>
        <v>0</v>
      </c>
      <c r="F915" s="33" t="n">
        <v>0</v>
      </c>
      <c r="G915" s="62"/>
      <c r="H915" s="35" t="n">
        <v>0</v>
      </c>
      <c r="I915" s="34" t="n">
        <f aca="false">+IF(E915=0,0,E915*0.03)</f>
        <v>0</v>
      </c>
    </row>
    <row r="916" customFormat="false" ht="15.75" hidden="false" customHeight="true" outlineLevel="0" collapsed="false">
      <c r="A916" s="30" t="n">
        <v>45323</v>
      </c>
      <c r="B916" s="31" t="s">
        <v>7</v>
      </c>
      <c r="C916" s="32"/>
      <c r="D916" s="32"/>
      <c r="E916" s="19" t="n">
        <f aca="false">+F916*0.03</f>
        <v>0</v>
      </c>
      <c r="F916" s="33" t="n">
        <v>0</v>
      </c>
      <c r="G916" s="62"/>
      <c r="H916" s="35" t="n">
        <v>0</v>
      </c>
      <c r="I916" s="34" t="n">
        <f aca="false">+IF(E916=0,0,E916*0.03)</f>
        <v>0</v>
      </c>
    </row>
    <row r="917" customFormat="false" ht="15.75" hidden="false" customHeight="true" outlineLevel="0" collapsed="false">
      <c r="A917" s="30" t="n">
        <v>45323</v>
      </c>
      <c r="B917" s="31" t="s">
        <v>7</v>
      </c>
      <c r="C917" s="32"/>
      <c r="D917" s="32"/>
      <c r="E917" s="19" t="n">
        <f aca="false">+F917*0.03</f>
        <v>0</v>
      </c>
      <c r="F917" s="33" t="n">
        <v>0</v>
      </c>
      <c r="G917" s="62"/>
      <c r="H917" s="35" t="n">
        <v>0</v>
      </c>
      <c r="I917" s="34" t="n">
        <f aca="false">+IF(E917=0,0,E917*0.03)</f>
        <v>0</v>
      </c>
    </row>
    <row r="918" customFormat="false" ht="15.75" hidden="false" customHeight="true" outlineLevel="0" collapsed="false">
      <c r="A918" s="30" t="n">
        <v>45323</v>
      </c>
      <c r="B918" s="31" t="s">
        <v>7</v>
      </c>
      <c r="C918" s="32"/>
      <c r="D918" s="32"/>
      <c r="E918" s="19" t="n">
        <f aca="false">+F918*0.03</f>
        <v>0</v>
      </c>
      <c r="F918" s="33" t="n">
        <v>0</v>
      </c>
      <c r="G918" s="62"/>
      <c r="H918" s="35" t="n">
        <v>0</v>
      </c>
      <c r="I918" s="34" t="n">
        <f aca="false">+IF(E918=0,0,E918*0.03)</f>
        <v>0</v>
      </c>
    </row>
    <row r="919" customFormat="false" ht="15.75" hidden="false" customHeight="true" outlineLevel="0" collapsed="false">
      <c r="A919" s="30" t="n">
        <v>45323</v>
      </c>
      <c r="B919" s="31" t="s">
        <v>7</v>
      </c>
      <c r="C919" s="32"/>
      <c r="D919" s="32"/>
      <c r="E919" s="19" t="n">
        <f aca="false">+F919*0.03</f>
        <v>0</v>
      </c>
      <c r="F919" s="33" t="n">
        <v>0</v>
      </c>
      <c r="G919" s="62"/>
      <c r="H919" s="35" t="n">
        <v>0</v>
      </c>
      <c r="I919" s="34" t="n">
        <f aca="false">+IF(E919=0,0,E919*0.03)</f>
        <v>0</v>
      </c>
    </row>
    <row r="920" customFormat="false" ht="15.75" hidden="false" customHeight="true" outlineLevel="0" collapsed="false">
      <c r="A920" s="30" t="n">
        <v>45323</v>
      </c>
      <c r="B920" s="31" t="s">
        <v>7</v>
      </c>
      <c r="C920" s="32"/>
      <c r="D920" s="32"/>
      <c r="E920" s="19" t="n">
        <f aca="false">+F920*0.03</f>
        <v>0</v>
      </c>
      <c r="F920" s="33" t="n">
        <v>0</v>
      </c>
      <c r="G920" s="62"/>
      <c r="H920" s="35" t="n">
        <v>0</v>
      </c>
      <c r="I920" s="34" t="n">
        <f aca="false">+IF(E920=0,0,E920*0.03)</f>
        <v>0</v>
      </c>
    </row>
    <row r="921" customFormat="false" ht="15.75" hidden="false" customHeight="true" outlineLevel="0" collapsed="false">
      <c r="A921" s="30" t="n">
        <v>45323</v>
      </c>
      <c r="B921" s="31" t="s">
        <v>7</v>
      </c>
      <c r="C921" s="32"/>
      <c r="D921" s="32"/>
      <c r="E921" s="19" t="n">
        <f aca="false">+F921*0.03</f>
        <v>0</v>
      </c>
      <c r="F921" s="33" t="n">
        <v>0</v>
      </c>
      <c r="G921" s="62"/>
      <c r="H921" s="35" t="n">
        <v>0</v>
      </c>
      <c r="I921" s="34" t="n">
        <f aca="false">+IF(E921=0,0,E921*0.03)</f>
        <v>0</v>
      </c>
    </row>
    <row r="922" customFormat="false" ht="15.75" hidden="false" customHeight="true" outlineLevel="0" collapsed="false">
      <c r="A922" s="30" t="n">
        <v>45323</v>
      </c>
      <c r="B922" s="31" t="s">
        <v>7</v>
      </c>
      <c r="C922" s="32"/>
      <c r="D922" s="32"/>
      <c r="E922" s="19" t="n">
        <f aca="false">+F922*0.03</f>
        <v>0</v>
      </c>
      <c r="F922" s="33" t="n">
        <v>0</v>
      </c>
      <c r="G922" s="62"/>
      <c r="H922" s="35" t="n">
        <v>0</v>
      </c>
      <c r="I922" s="34" t="n">
        <f aca="false">+IF(E922=0,0,E922*0.03)</f>
        <v>0</v>
      </c>
    </row>
    <row r="923" customFormat="false" ht="15.75" hidden="false" customHeight="true" outlineLevel="0" collapsed="false">
      <c r="A923" s="30" t="n">
        <v>45323</v>
      </c>
      <c r="B923" s="31" t="s">
        <v>7</v>
      </c>
      <c r="C923" s="32"/>
      <c r="D923" s="32"/>
      <c r="E923" s="19" t="n">
        <f aca="false">+F923*0.03</f>
        <v>0</v>
      </c>
      <c r="F923" s="33" t="n">
        <v>0</v>
      </c>
      <c r="G923" s="62"/>
      <c r="H923" s="35" t="n">
        <v>0</v>
      </c>
      <c r="I923" s="34" t="n">
        <f aca="false">+IF(E923=0,0,E923*0.03)</f>
        <v>0</v>
      </c>
    </row>
    <row r="924" customFormat="false" ht="15.75" hidden="false" customHeight="true" outlineLevel="0" collapsed="false">
      <c r="A924" s="30" t="n">
        <v>45323</v>
      </c>
      <c r="B924" s="31" t="s">
        <v>7</v>
      </c>
      <c r="C924" s="32"/>
      <c r="D924" s="32"/>
      <c r="E924" s="19" t="n">
        <f aca="false">+F924*0.03</f>
        <v>0</v>
      </c>
      <c r="F924" s="33" t="n">
        <v>0</v>
      </c>
      <c r="G924" s="62"/>
      <c r="H924" s="35" t="n">
        <v>0</v>
      </c>
      <c r="I924" s="34" t="n">
        <f aca="false">+IF(E924=0,0,E924*0.03)</f>
        <v>0</v>
      </c>
    </row>
    <row r="925" customFormat="false" ht="15.75" hidden="false" customHeight="true" outlineLevel="0" collapsed="false">
      <c r="A925" s="30" t="n">
        <v>45323</v>
      </c>
      <c r="B925" s="31" t="s">
        <v>7</v>
      </c>
      <c r="C925" s="32"/>
      <c r="D925" s="32"/>
      <c r="E925" s="19" t="n">
        <f aca="false">+F925*0.03</f>
        <v>0</v>
      </c>
      <c r="F925" s="33" t="n">
        <v>0</v>
      </c>
      <c r="G925" s="62"/>
      <c r="H925" s="35" t="n">
        <v>0</v>
      </c>
      <c r="I925" s="34" t="n">
        <f aca="false">+IF(E925=0,0,E925*0.03)</f>
        <v>0</v>
      </c>
    </row>
    <row r="926" customFormat="false" ht="15.75" hidden="false" customHeight="true" outlineLevel="0" collapsed="false">
      <c r="A926" s="30" t="n">
        <v>45323</v>
      </c>
      <c r="B926" s="31" t="s">
        <v>7</v>
      </c>
      <c r="C926" s="32"/>
      <c r="D926" s="32"/>
      <c r="E926" s="19" t="n">
        <f aca="false">+F926*0.03</f>
        <v>0</v>
      </c>
      <c r="F926" s="33" t="n">
        <v>0</v>
      </c>
      <c r="G926" s="62"/>
      <c r="H926" s="35" t="n">
        <v>0</v>
      </c>
      <c r="I926" s="34" t="n">
        <f aca="false">+IF(E926=0,0,E926*0.03)</f>
        <v>0</v>
      </c>
    </row>
    <row r="927" customFormat="false" ht="15.75" hidden="false" customHeight="true" outlineLevel="0" collapsed="false">
      <c r="A927" s="30" t="n">
        <v>45323</v>
      </c>
      <c r="B927" s="31" t="s">
        <v>7</v>
      </c>
      <c r="C927" s="32"/>
      <c r="D927" s="32"/>
      <c r="E927" s="19" t="n">
        <f aca="false">+F927*0.03</f>
        <v>0</v>
      </c>
      <c r="F927" s="33" t="n">
        <v>0</v>
      </c>
      <c r="G927" s="62"/>
      <c r="H927" s="35" t="n">
        <v>0</v>
      </c>
      <c r="I927" s="34" t="n">
        <f aca="false">+IF(E927=0,0,E927*0.03)</f>
        <v>0</v>
      </c>
    </row>
    <row r="928" customFormat="false" ht="15.75" hidden="false" customHeight="true" outlineLevel="0" collapsed="false">
      <c r="A928" s="30" t="n">
        <v>45323</v>
      </c>
      <c r="B928" s="31" t="s">
        <v>7</v>
      </c>
      <c r="C928" s="32"/>
      <c r="D928" s="32"/>
      <c r="E928" s="19" t="n">
        <f aca="false">+F928*0.03</f>
        <v>0</v>
      </c>
      <c r="F928" s="33" t="n">
        <v>0</v>
      </c>
      <c r="G928" s="62"/>
      <c r="H928" s="35" t="n">
        <v>0</v>
      </c>
      <c r="I928" s="34" t="n">
        <f aca="false">+IF(E928=0,0,E928*0.03)</f>
        <v>0</v>
      </c>
    </row>
    <row r="929" customFormat="false" ht="15.75" hidden="false" customHeight="true" outlineLevel="0" collapsed="false">
      <c r="A929" s="30" t="n">
        <v>45323</v>
      </c>
      <c r="B929" s="31" t="s">
        <v>7</v>
      </c>
      <c r="C929" s="32"/>
      <c r="D929" s="32"/>
      <c r="E929" s="19" t="n">
        <f aca="false">+F929*0.03</f>
        <v>0</v>
      </c>
      <c r="F929" s="33" t="n">
        <v>0</v>
      </c>
      <c r="G929" s="62"/>
      <c r="H929" s="35" t="n">
        <v>0</v>
      </c>
      <c r="I929" s="34" t="n">
        <f aca="false">+IF(E929=0,0,E929*0.03)</f>
        <v>0</v>
      </c>
    </row>
    <row r="930" customFormat="false" ht="15.75" hidden="false" customHeight="true" outlineLevel="0" collapsed="false">
      <c r="A930" s="30" t="n">
        <v>45323</v>
      </c>
      <c r="B930" s="31" t="s">
        <v>7</v>
      </c>
      <c r="C930" s="32"/>
      <c r="D930" s="32"/>
      <c r="E930" s="19" t="n">
        <f aca="false">+F930*0.03</f>
        <v>0</v>
      </c>
      <c r="F930" s="33" t="n">
        <v>0</v>
      </c>
      <c r="G930" s="62"/>
      <c r="H930" s="35" t="n">
        <v>0</v>
      </c>
      <c r="I930" s="34" t="n">
        <f aca="false">+IF(E930=0,0,E930*0.03)</f>
        <v>0</v>
      </c>
    </row>
    <row r="931" customFormat="false" ht="15.75" hidden="false" customHeight="true" outlineLevel="0" collapsed="false">
      <c r="A931" s="30" t="n">
        <v>45323</v>
      </c>
      <c r="B931" s="31" t="s">
        <v>7</v>
      </c>
      <c r="C931" s="32"/>
      <c r="D931" s="32"/>
      <c r="E931" s="19" t="n">
        <f aca="false">+F931*0.03</f>
        <v>0</v>
      </c>
      <c r="F931" s="33" t="n">
        <v>0</v>
      </c>
      <c r="G931" s="62"/>
      <c r="H931" s="35" t="n">
        <v>0</v>
      </c>
      <c r="I931" s="34" t="n">
        <f aca="false">+IF(E931=0,0,E931*0.03)</f>
        <v>0</v>
      </c>
    </row>
    <row r="932" customFormat="false" ht="15.75" hidden="false" customHeight="true" outlineLevel="0" collapsed="false">
      <c r="A932" s="30" t="n">
        <v>45323</v>
      </c>
      <c r="B932" s="31" t="s">
        <v>7</v>
      </c>
      <c r="C932" s="32"/>
      <c r="D932" s="32"/>
      <c r="E932" s="19" t="n">
        <f aca="false">+F932*0.03</f>
        <v>0</v>
      </c>
      <c r="F932" s="33" t="n">
        <v>0</v>
      </c>
      <c r="G932" s="62"/>
      <c r="H932" s="35" t="n">
        <v>0</v>
      </c>
      <c r="I932" s="34" t="n">
        <f aca="false">+IF(E932=0,0,E932*0.03)</f>
        <v>0</v>
      </c>
    </row>
    <row r="933" customFormat="false" ht="15.75" hidden="false" customHeight="true" outlineLevel="0" collapsed="false">
      <c r="A933" s="30" t="n">
        <v>45323</v>
      </c>
      <c r="B933" s="31" t="s">
        <v>7</v>
      </c>
      <c r="C933" s="32"/>
      <c r="D933" s="32"/>
      <c r="E933" s="19" t="n">
        <f aca="false">+F933*0.03</f>
        <v>0</v>
      </c>
      <c r="F933" s="33" t="n">
        <v>0</v>
      </c>
      <c r="G933" s="62"/>
      <c r="H933" s="35" t="n">
        <v>0</v>
      </c>
      <c r="I933" s="34" t="n">
        <f aca="false">+IF(E933=0,0,E933*0.03)</f>
        <v>0</v>
      </c>
    </row>
    <row r="934" customFormat="false" ht="15.75" hidden="false" customHeight="true" outlineLevel="0" collapsed="false">
      <c r="A934" s="30" t="n">
        <v>45323</v>
      </c>
      <c r="B934" s="31" t="s">
        <v>7</v>
      </c>
      <c r="C934" s="32"/>
      <c r="D934" s="32"/>
      <c r="E934" s="19" t="n">
        <f aca="false">+F934*0.03</f>
        <v>0</v>
      </c>
      <c r="F934" s="33" t="n">
        <v>0</v>
      </c>
      <c r="G934" s="62"/>
      <c r="H934" s="35" t="n">
        <v>0</v>
      </c>
      <c r="I934" s="34" t="n">
        <f aca="false">+IF(E934=0,0,E934*0.03)</f>
        <v>0</v>
      </c>
    </row>
    <row r="935" customFormat="false" ht="15.75" hidden="false" customHeight="true" outlineLevel="0" collapsed="false">
      <c r="A935" s="30" t="n">
        <v>45323</v>
      </c>
      <c r="B935" s="31" t="s">
        <v>7</v>
      </c>
      <c r="C935" s="32"/>
      <c r="D935" s="32"/>
      <c r="E935" s="19" t="n">
        <f aca="false">+F935*0.03</f>
        <v>0</v>
      </c>
      <c r="F935" s="33" t="n">
        <v>0</v>
      </c>
      <c r="G935" s="62"/>
      <c r="H935" s="35" t="n">
        <v>0</v>
      </c>
      <c r="I935" s="34" t="n">
        <f aca="false">+IF(E935=0,0,E935*0.03)</f>
        <v>0</v>
      </c>
    </row>
    <row r="936" customFormat="false" ht="15.75" hidden="false" customHeight="true" outlineLevel="0" collapsed="false">
      <c r="A936" s="30" t="n">
        <v>45323</v>
      </c>
      <c r="B936" s="31" t="s">
        <v>7</v>
      </c>
      <c r="C936" s="32"/>
      <c r="D936" s="32"/>
      <c r="E936" s="19" t="n">
        <f aca="false">+F936*0.03</f>
        <v>0</v>
      </c>
      <c r="F936" s="33" t="n">
        <v>0</v>
      </c>
      <c r="G936" s="62"/>
      <c r="H936" s="35" t="n">
        <v>0</v>
      </c>
      <c r="I936" s="34" t="n">
        <f aca="false">+IF(E936=0,0,E936*0.03)</f>
        <v>0</v>
      </c>
    </row>
    <row r="937" customFormat="false" ht="15.75" hidden="false" customHeight="true" outlineLevel="0" collapsed="false">
      <c r="A937" s="30" t="n">
        <v>45323</v>
      </c>
      <c r="B937" s="31" t="s">
        <v>7</v>
      </c>
      <c r="C937" s="32"/>
      <c r="D937" s="32"/>
      <c r="E937" s="19" t="n">
        <f aca="false">+F937*0.03</f>
        <v>0</v>
      </c>
      <c r="F937" s="33" t="n">
        <v>0</v>
      </c>
      <c r="G937" s="62"/>
      <c r="H937" s="35" t="n">
        <v>0</v>
      </c>
      <c r="I937" s="34" t="n">
        <f aca="false">+IF(E937=0,0,E937*0.03)</f>
        <v>0</v>
      </c>
    </row>
    <row r="938" customFormat="false" ht="15.75" hidden="false" customHeight="true" outlineLevel="0" collapsed="false">
      <c r="A938" s="30" t="n">
        <v>45323</v>
      </c>
      <c r="B938" s="31" t="s">
        <v>7</v>
      </c>
      <c r="C938" s="32"/>
      <c r="D938" s="32"/>
      <c r="E938" s="19" t="n">
        <f aca="false">+F938*0.03</f>
        <v>0</v>
      </c>
      <c r="F938" s="33" t="n">
        <v>0</v>
      </c>
      <c r="G938" s="62"/>
      <c r="H938" s="35" t="n">
        <v>0</v>
      </c>
      <c r="I938" s="34" t="n">
        <f aca="false">+IF(E938=0,0,E938*0.03)</f>
        <v>0</v>
      </c>
    </row>
    <row r="939" customFormat="false" ht="15.75" hidden="false" customHeight="true" outlineLevel="0" collapsed="false">
      <c r="A939" s="30" t="n">
        <v>45323</v>
      </c>
      <c r="B939" s="31" t="s">
        <v>7</v>
      </c>
      <c r="C939" s="32"/>
      <c r="D939" s="32"/>
      <c r="E939" s="19" t="n">
        <f aca="false">+F939*0.03</f>
        <v>0</v>
      </c>
      <c r="F939" s="33" t="n">
        <v>0</v>
      </c>
      <c r="G939" s="62"/>
      <c r="H939" s="35" t="n">
        <v>0</v>
      </c>
      <c r="I939" s="34" t="n">
        <f aca="false">+IF(E939=0,0,E939*0.03)</f>
        <v>0</v>
      </c>
    </row>
    <row r="940" customFormat="false" ht="15.75" hidden="false" customHeight="true" outlineLevel="0" collapsed="false">
      <c r="A940" s="30" t="n">
        <v>45323</v>
      </c>
      <c r="B940" s="31" t="s">
        <v>7</v>
      </c>
      <c r="C940" s="32"/>
      <c r="D940" s="32"/>
      <c r="E940" s="19" t="n">
        <f aca="false">+F940*0.03</f>
        <v>0</v>
      </c>
      <c r="F940" s="33" t="n">
        <v>0</v>
      </c>
      <c r="G940" s="62"/>
      <c r="H940" s="35" t="n">
        <v>0</v>
      </c>
      <c r="I940" s="34" t="n">
        <f aca="false">+IF(E940=0,0,E940*0.03)</f>
        <v>0</v>
      </c>
    </row>
    <row r="941" customFormat="false" ht="15.75" hidden="false" customHeight="true" outlineLevel="0" collapsed="false">
      <c r="A941" s="30" t="n">
        <v>45323</v>
      </c>
      <c r="B941" s="31" t="s">
        <v>7</v>
      </c>
      <c r="C941" s="32"/>
      <c r="D941" s="32"/>
      <c r="E941" s="19" t="n">
        <f aca="false">+F941*0.03</f>
        <v>0</v>
      </c>
      <c r="F941" s="33" t="n">
        <v>0</v>
      </c>
      <c r="G941" s="62"/>
      <c r="H941" s="35" t="n">
        <v>0</v>
      </c>
      <c r="I941" s="34" t="n">
        <f aca="false">+IF(E941=0,0,E941*0.03)</f>
        <v>0</v>
      </c>
    </row>
    <row r="942" customFormat="false" ht="15.75" hidden="false" customHeight="true" outlineLevel="0" collapsed="false">
      <c r="A942" s="30" t="n">
        <v>45323</v>
      </c>
      <c r="B942" s="31" t="s">
        <v>7</v>
      </c>
      <c r="C942" s="32"/>
      <c r="D942" s="32"/>
      <c r="E942" s="19" t="n">
        <f aca="false">+F942*0.03</f>
        <v>0</v>
      </c>
      <c r="F942" s="33" t="n">
        <v>0</v>
      </c>
      <c r="G942" s="62"/>
      <c r="H942" s="35" t="n">
        <v>0</v>
      </c>
      <c r="I942" s="34" t="n">
        <f aca="false">+IF(E942=0,0,E942*0.03)</f>
        <v>0</v>
      </c>
    </row>
    <row r="943" customFormat="false" ht="15.75" hidden="false" customHeight="true" outlineLevel="0" collapsed="false">
      <c r="A943" s="30" t="n">
        <v>45323</v>
      </c>
      <c r="B943" s="31" t="s">
        <v>7</v>
      </c>
      <c r="C943" s="32"/>
      <c r="D943" s="32"/>
      <c r="E943" s="19" t="n">
        <f aca="false">+F943*0.03</f>
        <v>0</v>
      </c>
      <c r="F943" s="33" t="n">
        <v>0</v>
      </c>
      <c r="G943" s="62"/>
      <c r="H943" s="35" t="n">
        <v>0</v>
      </c>
      <c r="I943" s="34" t="n">
        <f aca="false">+IF(E943=0,0,E943*0.03)</f>
        <v>0</v>
      </c>
    </row>
    <row r="944" customFormat="false" ht="15.75" hidden="false" customHeight="true" outlineLevel="0" collapsed="false">
      <c r="A944" s="30" t="n">
        <v>45323</v>
      </c>
      <c r="B944" s="31" t="s">
        <v>7</v>
      </c>
      <c r="C944" s="32"/>
      <c r="D944" s="32"/>
      <c r="E944" s="19" t="n">
        <f aca="false">+F944*0.03</f>
        <v>0</v>
      </c>
      <c r="F944" s="33" t="n">
        <v>0</v>
      </c>
      <c r="G944" s="62"/>
      <c r="H944" s="35" t="n">
        <v>0</v>
      </c>
      <c r="I944" s="34" t="n">
        <f aca="false">+IF(E944=0,0,E944*0.03)</f>
        <v>0</v>
      </c>
    </row>
    <row r="945" customFormat="false" ht="15.75" hidden="false" customHeight="true" outlineLevel="0" collapsed="false">
      <c r="A945" s="30" t="n">
        <v>45323</v>
      </c>
      <c r="B945" s="31" t="s">
        <v>7</v>
      </c>
      <c r="C945" s="32"/>
      <c r="D945" s="32"/>
      <c r="E945" s="19" t="n">
        <f aca="false">+F945*0.03</f>
        <v>0</v>
      </c>
      <c r="F945" s="33" t="n">
        <v>0</v>
      </c>
      <c r="G945" s="62"/>
      <c r="H945" s="35" t="n">
        <v>0</v>
      </c>
      <c r="I945" s="34" t="n">
        <f aca="false">+IF(E945=0,0,E945*0.03)</f>
        <v>0</v>
      </c>
    </row>
    <row r="946" customFormat="false" ht="15.75" hidden="false" customHeight="true" outlineLevel="0" collapsed="false">
      <c r="A946" s="30" t="n">
        <v>45323</v>
      </c>
      <c r="B946" s="31" t="s">
        <v>7</v>
      </c>
      <c r="C946" s="32"/>
      <c r="D946" s="32"/>
      <c r="E946" s="19" t="n">
        <f aca="false">+F946*0.03</f>
        <v>0</v>
      </c>
      <c r="F946" s="33" t="n">
        <v>0</v>
      </c>
      <c r="G946" s="62"/>
      <c r="H946" s="35" t="n">
        <v>0</v>
      </c>
      <c r="I946" s="34" t="n">
        <f aca="false">+IF(E946=0,0,E946*0.03)</f>
        <v>0</v>
      </c>
    </row>
    <row r="947" customFormat="false" ht="15.75" hidden="false" customHeight="true" outlineLevel="0" collapsed="false">
      <c r="A947" s="30" t="n">
        <v>45323</v>
      </c>
      <c r="B947" s="31" t="s">
        <v>7</v>
      </c>
      <c r="C947" s="32"/>
      <c r="D947" s="32"/>
      <c r="E947" s="19" t="n">
        <f aca="false">+F947*0.03</f>
        <v>0</v>
      </c>
      <c r="F947" s="33" t="n">
        <v>0</v>
      </c>
      <c r="G947" s="62"/>
      <c r="H947" s="35" t="n">
        <v>0</v>
      </c>
      <c r="I947" s="34" t="n">
        <f aca="false">+IF(E947=0,0,E947*0.03)</f>
        <v>0</v>
      </c>
    </row>
    <row r="948" customFormat="false" ht="15.75" hidden="false" customHeight="true" outlineLevel="0" collapsed="false">
      <c r="A948" s="30" t="n">
        <v>45323</v>
      </c>
      <c r="B948" s="31" t="s">
        <v>7</v>
      </c>
      <c r="C948" s="32"/>
      <c r="D948" s="32"/>
      <c r="E948" s="19" t="n">
        <f aca="false">+F948*0.03</f>
        <v>0</v>
      </c>
      <c r="F948" s="33" t="n">
        <v>0</v>
      </c>
      <c r="G948" s="62"/>
      <c r="H948" s="35" t="n">
        <v>0</v>
      </c>
      <c r="I948" s="34" t="n">
        <f aca="false">+IF(E948=0,0,E948*0.03)</f>
        <v>0</v>
      </c>
    </row>
    <row r="949" customFormat="false" ht="15.75" hidden="false" customHeight="true" outlineLevel="0" collapsed="false">
      <c r="A949" s="30" t="n">
        <v>45323</v>
      </c>
      <c r="B949" s="31" t="s">
        <v>7</v>
      </c>
      <c r="C949" s="32"/>
      <c r="D949" s="32"/>
      <c r="E949" s="19" t="n">
        <f aca="false">+F949*0.03</f>
        <v>0</v>
      </c>
      <c r="F949" s="33" t="n">
        <v>0</v>
      </c>
      <c r="G949" s="62"/>
      <c r="H949" s="35" t="n">
        <v>0</v>
      </c>
      <c r="I949" s="34" t="n">
        <f aca="false">+IF(E949=0,0,E949*0.03)</f>
        <v>0</v>
      </c>
    </row>
    <row r="950" customFormat="false" ht="15.75" hidden="false" customHeight="true" outlineLevel="0" collapsed="false">
      <c r="A950" s="30" t="n">
        <v>45323</v>
      </c>
      <c r="B950" s="31" t="s">
        <v>7</v>
      </c>
      <c r="C950" s="32"/>
      <c r="D950" s="32"/>
      <c r="E950" s="19" t="n">
        <f aca="false">+F950*0.03</f>
        <v>0</v>
      </c>
      <c r="F950" s="33" t="n">
        <v>0</v>
      </c>
      <c r="G950" s="62"/>
      <c r="H950" s="35" t="n">
        <v>0</v>
      </c>
      <c r="I950" s="34" t="n">
        <f aca="false">+IF(E950=0,0,E950*0.03)</f>
        <v>0</v>
      </c>
    </row>
    <row r="951" customFormat="false" ht="15.75" hidden="false" customHeight="true" outlineLevel="0" collapsed="false">
      <c r="A951" s="30" t="n">
        <v>45323</v>
      </c>
      <c r="B951" s="31" t="s">
        <v>7</v>
      </c>
      <c r="C951" s="32"/>
      <c r="D951" s="32"/>
      <c r="E951" s="19" t="n">
        <f aca="false">+F951*0.03</f>
        <v>0</v>
      </c>
      <c r="F951" s="33" t="n">
        <v>0</v>
      </c>
      <c r="G951" s="62"/>
      <c r="H951" s="35" t="n">
        <v>0</v>
      </c>
      <c r="I951" s="34" t="n">
        <f aca="false">+IF(E951=0,0,E951*0.03)</f>
        <v>0</v>
      </c>
    </row>
    <row r="952" customFormat="false" ht="15.75" hidden="false" customHeight="true" outlineLevel="0" collapsed="false">
      <c r="A952" s="30" t="n">
        <v>45323</v>
      </c>
      <c r="B952" s="31" t="s">
        <v>7</v>
      </c>
      <c r="C952" s="32"/>
      <c r="D952" s="32"/>
      <c r="E952" s="19" t="n">
        <f aca="false">+F952*0.03</f>
        <v>0</v>
      </c>
      <c r="F952" s="33" t="n">
        <v>0</v>
      </c>
      <c r="G952" s="62"/>
      <c r="H952" s="35" t="n">
        <v>0</v>
      </c>
      <c r="I952" s="34" t="n">
        <f aca="false">+IF(E952=0,0,E952*0.03)</f>
        <v>0</v>
      </c>
    </row>
    <row r="953" customFormat="false" ht="15.75" hidden="false" customHeight="true" outlineLevel="0" collapsed="false">
      <c r="A953" s="30" t="n">
        <v>45323</v>
      </c>
      <c r="B953" s="31" t="s">
        <v>7</v>
      </c>
      <c r="C953" s="32"/>
      <c r="D953" s="32"/>
      <c r="E953" s="19" t="n">
        <f aca="false">+F953*0.03</f>
        <v>0</v>
      </c>
      <c r="F953" s="33" t="n">
        <v>0</v>
      </c>
      <c r="G953" s="62"/>
      <c r="H953" s="35" t="n">
        <v>0</v>
      </c>
      <c r="I953" s="34" t="n">
        <f aca="false">+IF(E953=0,0,E953*0.03)</f>
        <v>0</v>
      </c>
    </row>
    <row r="954" customFormat="false" ht="15.75" hidden="false" customHeight="true" outlineLevel="0" collapsed="false">
      <c r="A954" s="30" t="n">
        <v>45323</v>
      </c>
      <c r="B954" s="31" t="s">
        <v>7</v>
      </c>
      <c r="C954" s="32"/>
      <c r="D954" s="32"/>
      <c r="E954" s="19" t="n">
        <f aca="false">+F954*0.03</f>
        <v>0</v>
      </c>
      <c r="F954" s="33" t="n">
        <v>0</v>
      </c>
      <c r="G954" s="62"/>
      <c r="H954" s="35" t="n">
        <v>0</v>
      </c>
      <c r="I954" s="34" t="n">
        <f aca="false">+IF(E954=0,0,E954*0.03)</f>
        <v>0</v>
      </c>
    </row>
    <row r="955" customFormat="false" ht="15.75" hidden="false" customHeight="true" outlineLevel="0" collapsed="false">
      <c r="A955" s="30" t="n">
        <v>45323</v>
      </c>
      <c r="B955" s="31" t="s">
        <v>7</v>
      </c>
      <c r="C955" s="32"/>
      <c r="D955" s="32"/>
      <c r="E955" s="19" t="n">
        <f aca="false">+F955*0.03</f>
        <v>0</v>
      </c>
      <c r="F955" s="33" t="n">
        <v>0</v>
      </c>
      <c r="G955" s="62"/>
      <c r="H955" s="35" t="n">
        <v>0</v>
      </c>
      <c r="I955" s="34" t="n">
        <f aca="false">+IF(E955=0,0,E955*0.03)</f>
        <v>0</v>
      </c>
    </row>
    <row r="956" customFormat="false" ht="15.75" hidden="false" customHeight="true" outlineLevel="0" collapsed="false">
      <c r="A956" s="30" t="n">
        <v>45323</v>
      </c>
      <c r="B956" s="31" t="s">
        <v>7</v>
      </c>
      <c r="C956" s="32"/>
      <c r="D956" s="32"/>
      <c r="E956" s="19" t="n">
        <f aca="false">+F956*0.03</f>
        <v>0</v>
      </c>
      <c r="F956" s="33" t="n">
        <v>0</v>
      </c>
      <c r="G956" s="62"/>
      <c r="H956" s="35" t="n">
        <v>0</v>
      </c>
      <c r="I956" s="34" t="n">
        <f aca="false">+IF(E956=0,0,E956*0.03)</f>
        <v>0</v>
      </c>
    </row>
    <row r="957" customFormat="false" ht="15.75" hidden="false" customHeight="true" outlineLevel="0" collapsed="false">
      <c r="A957" s="30" t="n">
        <v>45323</v>
      </c>
      <c r="B957" s="31" t="s">
        <v>7</v>
      </c>
      <c r="C957" s="32"/>
      <c r="D957" s="32"/>
      <c r="E957" s="19" t="n">
        <f aca="false">+F957*0.03</f>
        <v>0</v>
      </c>
      <c r="F957" s="33" t="n">
        <v>0</v>
      </c>
      <c r="G957" s="62"/>
      <c r="H957" s="35" t="n">
        <v>0</v>
      </c>
      <c r="I957" s="34" t="n">
        <f aca="false">+IF(E957=0,0,E957*0.03)</f>
        <v>0</v>
      </c>
    </row>
    <row r="958" customFormat="false" ht="15.75" hidden="false" customHeight="true" outlineLevel="0" collapsed="false">
      <c r="A958" s="30" t="n">
        <v>45323</v>
      </c>
      <c r="B958" s="31" t="s">
        <v>7</v>
      </c>
      <c r="C958" s="32"/>
      <c r="D958" s="32"/>
      <c r="E958" s="19" t="n">
        <f aca="false">+F958*0.03</f>
        <v>0</v>
      </c>
      <c r="F958" s="33" t="n">
        <v>0</v>
      </c>
      <c r="G958" s="62"/>
      <c r="H958" s="35" t="n">
        <v>0</v>
      </c>
      <c r="I958" s="34" t="n">
        <f aca="false">+IF(E958=0,0,E958*0.03)</f>
        <v>0</v>
      </c>
    </row>
    <row r="959" customFormat="false" ht="15.75" hidden="false" customHeight="true" outlineLevel="0" collapsed="false">
      <c r="A959" s="30" t="n">
        <v>45323</v>
      </c>
      <c r="B959" s="31" t="s">
        <v>7</v>
      </c>
      <c r="C959" s="32"/>
      <c r="D959" s="32"/>
      <c r="E959" s="19" t="n">
        <f aca="false">+F959*0.03</f>
        <v>0</v>
      </c>
      <c r="F959" s="33" t="n">
        <v>0</v>
      </c>
      <c r="G959" s="62"/>
      <c r="H959" s="35" t="n">
        <v>0</v>
      </c>
      <c r="I959" s="34" t="n">
        <f aca="false">+IF(E959=0,0,E959*0.03)</f>
        <v>0</v>
      </c>
    </row>
    <row r="960" customFormat="false" ht="15.75" hidden="false" customHeight="true" outlineLevel="0" collapsed="false">
      <c r="A960" s="30" t="n">
        <v>45323</v>
      </c>
      <c r="B960" s="31" t="s">
        <v>7</v>
      </c>
      <c r="C960" s="32"/>
      <c r="D960" s="32"/>
      <c r="E960" s="19" t="n">
        <f aca="false">+F960*0.03</f>
        <v>0</v>
      </c>
      <c r="F960" s="33" t="n">
        <v>0</v>
      </c>
      <c r="G960" s="62"/>
      <c r="H960" s="35" t="n">
        <v>0</v>
      </c>
      <c r="I960" s="34" t="n">
        <f aca="false">+IF(E960=0,0,E960*0.03)</f>
        <v>0</v>
      </c>
    </row>
    <row r="961" customFormat="false" ht="15.75" hidden="false" customHeight="true" outlineLevel="0" collapsed="false">
      <c r="A961" s="30" t="n">
        <v>45323</v>
      </c>
      <c r="B961" s="31" t="s">
        <v>7</v>
      </c>
      <c r="C961" s="32"/>
      <c r="D961" s="32"/>
      <c r="E961" s="19" t="n">
        <f aca="false">+F961*0.03</f>
        <v>0</v>
      </c>
      <c r="F961" s="33" t="n">
        <v>0</v>
      </c>
      <c r="G961" s="62"/>
      <c r="H961" s="35" t="n">
        <v>0</v>
      </c>
      <c r="I961" s="34" t="n">
        <f aca="false">+IF(E961=0,0,E961*0.03)</f>
        <v>0</v>
      </c>
    </row>
    <row r="962" customFormat="false" ht="15.75" hidden="false" customHeight="true" outlineLevel="0" collapsed="false">
      <c r="A962" s="30" t="n">
        <v>45323</v>
      </c>
      <c r="B962" s="31" t="s">
        <v>7</v>
      </c>
      <c r="C962" s="32"/>
      <c r="D962" s="32"/>
      <c r="E962" s="19" t="n">
        <f aca="false">+F962*0.03</f>
        <v>0</v>
      </c>
      <c r="F962" s="33" t="n">
        <v>0</v>
      </c>
      <c r="G962" s="62"/>
      <c r="H962" s="35" t="n">
        <v>0</v>
      </c>
      <c r="I962" s="34" t="n">
        <f aca="false">+IF(E962=0,0,E962*0.03)</f>
        <v>0</v>
      </c>
    </row>
    <row r="963" customFormat="false" ht="15.75" hidden="false" customHeight="true" outlineLevel="0" collapsed="false">
      <c r="A963" s="30" t="n">
        <v>45323</v>
      </c>
      <c r="B963" s="31" t="s">
        <v>7</v>
      </c>
      <c r="C963" s="32"/>
      <c r="D963" s="32"/>
      <c r="E963" s="19" t="n">
        <f aca="false">+F963*0.03</f>
        <v>0</v>
      </c>
      <c r="F963" s="33" t="n">
        <v>0</v>
      </c>
      <c r="G963" s="62"/>
      <c r="H963" s="35" t="n">
        <v>0</v>
      </c>
      <c r="I963" s="34" t="n">
        <f aca="false">+IF(E963=0,0,E963*0.03)</f>
        <v>0</v>
      </c>
    </row>
    <row r="964" customFormat="false" ht="15.75" hidden="false" customHeight="true" outlineLevel="0" collapsed="false">
      <c r="A964" s="30" t="n">
        <v>45323</v>
      </c>
      <c r="B964" s="31" t="s">
        <v>7</v>
      </c>
      <c r="C964" s="32"/>
      <c r="D964" s="32"/>
      <c r="E964" s="19" t="n">
        <f aca="false">+F964*0.03</f>
        <v>0</v>
      </c>
      <c r="F964" s="33" t="n">
        <v>0</v>
      </c>
      <c r="G964" s="62"/>
      <c r="H964" s="35" t="n">
        <v>0</v>
      </c>
      <c r="I964" s="34" t="n">
        <f aca="false">+IF(E964=0,0,E964*0.03)</f>
        <v>0</v>
      </c>
    </row>
    <row r="965" customFormat="false" ht="15.75" hidden="false" customHeight="true" outlineLevel="0" collapsed="false">
      <c r="A965" s="30" t="n">
        <v>45323</v>
      </c>
      <c r="B965" s="31" t="s">
        <v>7</v>
      </c>
      <c r="C965" s="32"/>
      <c r="D965" s="32"/>
      <c r="E965" s="19" t="n">
        <f aca="false">+F965*0.03</f>
        <v>0</v>
      </c>
      <c r="F965" s="33" t="n">
        <v>0</v>
      </c>
      <c r="G965" s="62"/>
      <c r="H965" s="35" t="n">
        <v>0</v>
      </c>
      <c r="I965" s="34" t="n">
        <f aca="false">+IF(E965=0,0,E965*0.03)</f>
        <v>0</v>
      </c>
    </row>
    <row r="966" customFormat="false" ht="15.75" hidden="false" customHeight="true" outlineLevel="0" collapsed="false">
      <c r="A966" s="30" t="n">
        <v>45323</v>
      </c>
      <c r="B966" s="31" t="s">
        <v>7</v>
      </c>
      <c r="C966" s="32"/>
      <c r="D966" s="32"/>
      <c r="E966" s="19" t="n">
        <f aca="false">+F966*0.03</f>
        <v>0</v>
      </c>
      <c r="F966" s="33" t="n">
        <v>0</v>
      </c>
      <c r="G966" s="62"/>
      <c r="H966" s="35" t="n">
        <v>0</v>
      </c>
      <c r="I966" s="34" t="n">
        <f aca="false">+IF(E966=0,0,E966*0.03)</f>
        <v>0</v>
      </c>
    </row>
    <row r="967" customFormat="false" ht="15.75" hidden="false" customHeight="true" outlineLevel="0" collapsed="false">
      <c r="A967" s="30" t="n">
        <v>45323</v>
      </c>
      <c r="B967" s="31" t="s">
        <v>7</v>
      </c>
      <c r="C967" s="32"/>
      <c r="D967" s="32"/>
      <c r="E967" s="19" t="n">
        <f aca="false">+F967*0.03</f>
        <v>0</v>
      </c>
      <c r="F967" s="33" t="n">
        <v>0</v>
      </c>
      <c r="G967" s="62"/>
      <c r="H967" s="35" t="n">
        <v>0</v>
      </c>
      <c r="I967" s="34" t="n">
        <f aca="false">+IF(E967=0,0,E967*0.03)</f>
        <v>0</v>
      </c>
    </row>
    <row r="968" customFormat="false" ht="15.75" hidden="false" customHeight="true" outlineLevel="0" collapsed="false">
      <c r="A968" s="30" t="n">
        <v>45323</v>
      </c>
      <c r="B968" s="31" t="s">
        <v>7</v>
      </c>
      <c r="C968" s="32"/>
      <c r="D968" s="32"/>
      <c r="E968" s="19" t="n">
        <f aca="false">+F968*0.03</f>
        <v>0</v>
      </c>
      <c r="F968" s="33" t="n">
        <v>0</v>
      </c>
      <c r="G968" s="62"/>
      <c r="H968" s="35" t="n">
        <v>0</v>
      </c>
      <c r="I968" s="34" t="n">
        <f aca="false">+IF(E968=0,0,E968*0.03)</f>
        <v>0</v>
      </c>
    </row>
    <row r="969" customFormat="false" ht="15.75" hidden="false" customHeight="true" outlineLevel="0" collapsed="false">
      <c r="A969" s="30" t="n">
        <v>45323</v>
      </c>
      <c r="B969" s="31" t="s">
        <v>7</v>
      </c>
      <c r="C969" s="32"/>
      <c r="D969" s="32"/>
      <c r="E969" s="19" t="n">
        <f aca="false">+F969*0.03</f>
        <v>0</v>
      </c>
      <c r="F969" s="33" t="n">
        <v>0</v>
      </c>
      <c r="G969" s="62"/>
      <c r="H969" s="35" t="n">
        <v>0</v>
      </c>
      <c r="I969" s="34" t="n">
        <f aca="false">+IF(E969=0,0,E969*0.03)</f>
        <v>0</v>
      </c>
    </row>
    <row r="970" customFormat="false" ht="15.75" hidden="false" customHeight="true" outlineLevel="0" collapsed="false">
      <c r="A970" s="30" t="n">
        <v>45323</v>
      </c>
      <c r="B970" s="31" t="s">
        <v>7</v>
      </c>
      <c r="C970" s="32"/>
      <c r="D970" s="32"/>
      <c r="E970" s="19" t="n">
        <f aca="false">+F970*0.03</f>
        <v>0</v>
      </c>
      <c r="F970" s="33" t="n">
        <v>0</v>
      </c>
      <c r="G970" s="62"/>
      <c r="H970" s="35" t="n">
        <v>0</v>
      </c>
      <c r="I970" s="34" t="n">
        <f aca="false">+IF(E970=0,0,E970*0.03)</f>
        <v>0</v>
      </c>
    </row>
    <row r="971" customFormat="false" ht="15.75" hidden="false" customHeight="true" outlineLevel="0" collapsed="false">
      <c r="A971" s="30" t="n">
        <v>45323</v>
      </c>
      <c r="B971" s="31" t="s">
        <v>7</v>
      </c>
      <c r="C971" s="32"/>
      <c r="D971" s="32"/>
      <c r="E971" s="19" t="n">
        <f aca="false">+F971*0.03</f>
        <v>0</v>
      </c>
      <c r="F971" s="33" t="n">
        <v>0</v>
      </c>
      <c r="G971" s="62"/>
      <c r="H971" s="35" t="n">
        <v>0</v>
      </c>
      <c r="I971" s="34" t="n">
        <f aca="false">+IF(E971=0,0,E971*0.03)</f>
        <v>0</v>
      </c>
    </row>
    <row r="972" customFormat="false" ht="15.75" hidden="false" customHeight="true" outlineLevel="0" collapsed="false">
      <c r="A972" s="30" t="n">
        <v>45323</v>
      </c>
      <c r="B972" s="31" t="s">
        <v>7</v>
      </c>
      <c r="C972" s="32"/>
      <c r="D972" s="32"/>
      <c r="E972" s="19" t="n">
        <f aca="false">+F972*0.03</f>
        <v>0</v>
      </c>
      <c r="F972" s="33" t="n">
        <v>0</v>
      </c>
      <c r="G972" s="62"/>
      <c r="H972" s="35" t="n">
        <v>0</v>
      </c>
      <c r="I972" s="34" t="n">
        <f aca="false">+IF(E972=0,0,E972*0.03)</f>
        <v>0</v>
      </c>
    </row>
    <row r="973" customFormat="false" ht="15.75" hidden="false" customHeight="true" outlineLevel="0" collapsed="false">
      <c r="A973" s="30" t="n">
        <v>45323</v>
      </c>
      <c r="B973" s="31" t="s">
        <v>7</v>
      </c>
      <c r="C973" s="32"/>
      <c r="D973" s="32"/>
      <c r="E973" s="19" t="n">
        <f aca="false">+F973*0.03</f>
        <v>0</v>
      </c>
      <c r="F973" s="33" t="n">
        <v>0</v>
      </c>
      <c r="G973" s="62"/>
      <c r="H973" s="35" t="n">
        <v>0</v>
      </c>
      <c r="I973" s="34" t="n">
        <f aca="false">+IF(E973=0,0,E973*0.03)</f>
        <v>0</v>
      </c>
    </row>
    <row r="974" customFormat="false" ht="15.75" hidden="false" customHeight="true" outlineLevel="0" collapsed="false">
      <c r="A974" s="30" t="n">
        <v>45323</v>
      </c>
      <c r="B974" s="31" t="s">
        <v>7</v>
      </c>
      <c r="C974" s="32"/>
      <c r="D974" s="32"/>
      <c r="E974" s="19" t="n">
        <f aca="false">+F974*0.03</f>
        <v>0</v>
      </c>
      <c r="F974" s="33" t="n">
        <v>0</v>
      </c>
      <c r="G974" s="62"/>
      <c r="H974" s="35" t="n">
        <v>0</v>
      </c>
      <c r="I974" s="34" t="n">
        <f aca="false">+IF(E974=0,0,E974*0.03)</f>
        <v>0</v>
      </c>
    </row>
    <row r="975" customFormat="false" ht="15.75" hidden="false" customHeight="true" outlineLevel="0" collapsed="false">
      <c r="A975" s="30" t="n">
        <v>45323</v>
      </c>
      <c r="B975" s="31" t="s">
        <v>7</v>
      </c>
      <c r="C975" s="32"/>
      <c r="D975" s="32"/>
      <c r="E975" s="19" t="n">
        <f aca="false">+F975*0.03</f>
        <v>0</v>
      </c>
      <c r="F975" s="33" t="n">
        <v>0</v>
      </c>
      <c r="G975" s="62"/>
      <c r="H975" s="35" t="n">
        <v>0</v>
      </c>
      <c r="I975" s="34" t="n">
        <f aca="false">+IF(E975=0,0,E975*0.03)</f>
        <v>0</v>
      </c>
    </row>
    <row r="976" customFormat="false" ht="15.75" hidden="false" customHeight="true" outlineLevel="0" collapsed="false">
      <c r="A976" s="30" t="n">
        <v>45323</v>
      </c>
      <c r="B976" s="31" t="s">
        <v>7</v>
      </c>
      <c r="C976" s="32"/>
      <c r="D976" s="32"/>
      <c r="E976" s="19" t="n">
        <f aca="false">+F976*0.03</f>
        <v>0</v>
      </c>
      <c r="F976" s="33" t="n">
        <v>0</v>
      </c>
      <c r="G976" s="62"/>
      <c r="H976" s="35" t="n">
        <v>0</v>
      </c>
      <c r="I976" s="34" t="n">
        <f aca="false">+IF(E976=0,0,E976*0.03)</f>
        <v>0</v>
      </c>
    </row>
    <row r="977" customFormat="false" ht="15.75" hidden="false" customHeight="true" outlineLevel="0" collapsed="false">
      <c r="A977" s="30" t="n">
        <v>45323</v>
      </c>
      <c r="B977" s="31" t="s">
        <v>7</v>
      </c>
      <c r="C977" s="32"/>
      <c r="D977" s="32"/>
      <c r="E977" s="19" t="n">
        <f aca="false">+F977*0.03</f>
        <v>0</v>
      </c>
      <c r="F977" s="33" t="n">
        <v>0</v>
      </c>
      <c r="G977" s="62"/>
      <c r="H977" s="35" t="n">
        <v>0</v>
      </c>
      <c r="I977" s="34" t="n">
        <f aca="false">+IF(E977=0,0,E977*0.03)</f>
        <v>0</v>
      </c>
    </row>
    <row r="978" customFormat="false" ht="15.75" hidden="false" customHeight="true" outlineLevel="0" collapsed="false">
      <c r="A978" s="30" t="n">
        <v>45323</v>
      </c>
      <c r="B978" s="31" t="s">
        <v>7</v>
      </c>
      <c r="C978" s="32"/>
      <c r="D978" s="32"/>
      <c r="E978" s="19" t="n">
        <f aca="false">+F978*0.03</f>
        <v>0</v>
      </c>
      <c r="F978" s="33" t="n">
        <v>0</v>
      </c>
      <c r="G978" s="62"/>
      <c r="H978" s="35" t="n">
        <v>0</v>
      </c>
      <c r="I978" s="34" t="n">
        <f aca="false">+IF(E978=0,0,E978*0.03)</f>
        <v>0</v>
      </c>
    </row>
    <row r="979" customFormat="false" ht="15.75" hidden="false" customHeight="true" outlineLevel="0" collapsed="false">
      <c r="A979" s="30" t="n">
        <v>45323</v>
      </c>
      <c r="B979" s="31" t="s">
        <v>7</v>
      </c>
      <c r="C979" s="32"/>
      <c r="D979" s="32"/>
      <c r="E979" s="19" t="n">
        <f aca="false">+F979*0.03</f>
        <v>0</v>
      </c>
      <c r="F979" s="33" t="n">
        <v>0</v>
      </c>
      <c r="G979" s="62"/>
      <c r="H979" s="35" t="n">
        <v>0</v>
      </c>
      <c r="I979" s="34" t="n">
        <f aca="false">+IF(E979=0,0,E979*0.03)</f>
        <v>0</v>
      </c>
    </row>
    <row r="980" customFormat="false" ht="15.75" hidden="false" customHeight="true" outlineLevel="0" collapsed="false">
      <c r="A980" s="30" t="n">
        <v>45323</v>
      </c>
      <c r="B980" s="31" t="s">
        <v>7</v>
      </c>
      <c r="C980" s="32"/>
      <c r="D980" s="32"/>
      <c r="E980" s="19" t="n">
        <f aca="false">+F980*0.03</f>
        <v>0</v>
      </c>
      <c r="F980" s="33" t="n">
        <v>0</v>
      </c>
      <c r="G980" s="62"/>
      <c r="H980" s="35" t="n">
        <v>0</v>
      </c>
      <c r="I980" s="34" t="n">
        <f aca="false">+IF(E980=0,0,E980*0.03)</f>
        <v>0</v>
      </c>
    </row>
    <row r="981" customFormat="false" ht="15.75" hidden="false" customHeight="true" outlineLevel="0" collapsed="false">
      <c r="A981" s="30" t="n">
        <v>45323</v>
      </c>
      <c r="B981" s="31" t="s">
        <v>7</v>
      </c>
      <c r="C981" s="32"/>
      <c r="D981" s="32"/>
      <c r="E981" s="19" t="n">
        <f aca="false">+F981*0.03</f>
        <v>0</v>
      </c>
      <c r="F981" s="33" t="n">
        <v>0</v>
      </c>
      <c r="G981" s="62"/>
      <c r="H981" s="35" t="n">
        <v>0</v>
      </c>
      <c r="I981" s="34" t="n">
        <f aca="false">+IF(E981=0,0,E981*0.03)</f>
        <v>0</v>
      </c>
    </row>
    <row r="982" customFormat="false" ht="15.75" hidden="false" customHeight="true" outlineLevel="0" collapsed="false">
      <c r="A982" s="30" t="n">
        <v>45323</v>
      </c>
      <c r="B982" s="31" t="s">
        <v>7</v>
      </c>
      <c r="C982" s="32"/>
      <c r="D982" s="32"/>
      <c r="E982" s="19" t="n">
        <f aca="false">+F982*0.03</f>
        <v>0</v>
      </c>
      <c r="F982" s="33" t="n">
        <v>0</v>
      </c>
      <c r="G982" s="62"/>
      <c r="H982" s="35" t="n">
        <v>0</v>
      </c>
      <c r="I982" s="34" t="n">
        <f aca="false">+IF(E982=0,0,E982*0.03)</f>
        <v>0</v>
      </c>
    </row>
    <row r="983" customFormat="false" ht="15.75" hidden="false" customHeight="true" outlineLevel="0" collapsed="false">
      <c r="A983" s="30" t="n">
        <v>45323</v>
      </c>
      <c r="B983" s="31" t="s">
        <v>7</v>
      </c>
      <c r="C983" s="32"/>
      <c r="D983" s="32"/>
      <c r="E983" s="19" t="n">
        <f aca="false">+F983*0.03</f>
        <v>0</v>
      </c>
      <c r="F983" s="33" t="n">
        <v>0</v>
      </c>
      <c r="G983" s="62"/>
      <c r="H983" s="35" t="n">
        <v>0</v>
      </c>
      <c r="I983" s="34" t="n">
        <f aca="false">+IF(E983=0,0,E983*0.03)</f>
        <v>0</v>
      </c>
    </row>
    <row r="984" customFormat="false" ht="15.75" hidden="false" customHeight="true" outlineLevel="0" collapsed="false">
      <c r="A984" s="30" t="n">
        <v>45323</v>
      </c>
      <c r="B984" s="31" t="s">
        <v>7</v>
      </c>
      <c r="C984" s="32"/>
      <c r="D984" s="32"/>
      <c r="E984" s="19" t="n">
        <f aca="false">+F984*0.03</f>
        <v>0</v>
      </c>
      <c r="F984" s="33" t="n">
        <v>0</v>
      </c>
      <c r="G984" s="62"/>
      <c r="H984" s="35" t="n">
        <v>0</v>
      </c>
      <c r="I984" s="34" t="n">
        <f aca="false">+IF(E984=0,0,E984*0.03)</f>
        <v>0</v>
      </c>
    </row>
    <row r="985" customFormat="false" ht="15.75" hidden="false" customHeight="true" outlineLevel="0" collapsed="false">
      <c r="A985" s="30" t="n">
        <v>45323</v>
      </c>
      <c r="B985" s="31" t="s">
        <v>7</v>
      </c>
      <c r="C985" s="32"/>
      <c r="D985" s="32"/>
      <c r="E985" s="19" t="n">
        <f aca="false">+F985*0.03</f>
        <v>0</v>
      </c>
      <c r="F985" s="33" t="n">
        <v>0</v>
      </c>
      <c r="G985" s="62"/>
      <c r="H985" s="35" t="n">
        <v>0</v>
      </c>
      <c r="I985" s="34" t="n">
        <f aca="false">+IF(E985=0,0,E985*0.03)</f>
        <v>0</v>
      </c>
    </row>
    <row r="986" customFormat="false" ht="15.75" hidden="false" customHeight="true" outlineLevel="0" collapsed="false">
      <c r="A986" s="30" t="n">
        <v>45323</v>
      </c>
      <c r="B986" s="31" t="s">
        <v>7</v>
      </c>
      <c r="C986" s="32"/>
      <c r="D986" s="32"/>
      <c r="E986" s="19" t="n">
        <f aca="false">+F986*0.03</f>
        <v>0</v>
      </c>
      <c r="F986" s="33" t="n">
        <v>0</v>
      </c>
      <c r="G986" s="62"/>
      <c r="H986" s="35" t="n">
        <v>0</v>
      </c>
      <c r="I986" s="34" t="n">
        <f aca="false">+IF(E986=0,0,E986*0.03)</f>
        <v>0</v>
      </c>
    </row>
    <row r="987" customFormat="false" ht="15.75" hidden="false" customHeight="true" outlineLevel="0" collapsed="false">
      <c r="A987" s="30" t="n">
        <v>45323</v>
      </c>
      <c r="B987" s="31" t="s">
        <v>7</v>
      </c>
      <c r="C987" s="32"/>
      <c r="D987" s="32"/>
      <c r="E987" s="19" t="n">
        <f aca="false">+F987*0.03</f>
        <v>0</v>
      </c>
      <c r="F987" s="33" t="n">
        <v>0</v>
      </c>
      <c r="G987" s="62"/>
      <c r="H987" s="35" t="n">
        <v>0</v>
      </c>
      <c r="I987" s="34" t="n">
        <f aca="false">+IF(E987=0,0,E987*0.03)</f>
        <v>0</v>
      </c>
    </row>
    <row r="988" customFormat="false" ht="15.75" hidden="false" customHeight="true" outlineLevel="0" collapsed="false">
      <c r="A988" s="30" t="n">
        <v>45323</v>
      </c>
      <c r="B988" s="31" t="s">
        <v>7</v>
      </c>
      <c r="C988" s="32"/>
      <c r="D988" s="32"/>
      <c r="E988" s="19" t="n">
        <f aca="false">+F988*0.03</f>
        <v>0</v>
      </c>
      <c r="F988" s="33" t="n">
        <v>0</v>
      </c>
      <c r="G988" s="62"/>
      <c r="H988" s="35" t="n">
        <v>0</v>
      </c>
      <c r="I988" s="34" t="n">
        <f aca="false">+IF(E988=0,0,E988*0.03)</f>
        <v>0</v>
      </c>
    </row>
    <row r="989" customFormat="false" ht="15.75" hidden="false" customHeight="true" outlineLevel="0" collapsed="false">
      <c r="A989" s="30" t="n">
        <v>45323</v>
      </c>
      <c r="B989" s="31" t="s">
        <v>7</v>
      </c>
      <c r="C989" s="32"/>
      <c r="D989" s="32"/>
      <c r="E989" s="19" t="n">
        <f aca="false">+F989*0.03</f>
        <v>0</v>
      </c>
      <c r="F989" s="33" t="n">
        <v>0</v>
      </c>
      <c r="G989" s="62"/>
      <c r="H989" s="35" t="n">
        <v>0</v>
      </c>
      <c r="I989" s="34" t="n">
        <f aca="false">+IF(E989=0,0,E989*0.03)</f>
        <v>0</v>
      </c>
    </row>
    <row r="990" customFormat="false" ht="15.75" hidden="false" customHeight="true" outlineLevel="0" collapsed="false">
      <c r="A990" s="30" t="n">
        <v>45323</v>
      </c>
      <c r="B990" s="31" t="s">
        <v>7</v>
      </c>
      <c r="C990" s="32"/>
      <c r="D990" s="32"/>
      <c r="E990" s="19" t="n">
        <f aca="false">+F990*0.03</f>
        <v>0</v>
      </c>
      <c r="F990" s="33" t="n">
        <v>0</v>
      </c>
      <c r="G990" s="62"/>
      <c r="H990" s="35" t="n">
        <v>0</v>
      </c>
      <c r="I990" s="34" t="n">
        <f aca="false">+IF(E990=0,0,E990*0.03)</f>
        <v>0</v>
      </c>
    </row>
    <row r="991" customFormat="false" ht="15.75" hidden="false" customHeight="true" outlineLevel="0" collapsed="false">
      <c r="A991" s="30" t="n">
        <v>45323</v>
      </c>
      <c r="B991" s="31" t="s">
        <v>7</v>
      </c>
      <c r="C991" s="32"/>
      <c r="D991" s="32"/>
      <c r="E991" s="19" t="n">
        <f aca="false">+F991*0.03</f>
        <v>0</v>
      </c>
      <c r="F991" s="33" t="n">
        <v>0</v>
      </c>
      <c r="G991" s="62"/>
      <c r="H991" s="35" t="n">
        <v>0</v>
      </c>
      <c r="I991" s="34" t="n">
        <f aca="false">+IF(E991=0,0,E991*0.03)</f>
        <v>0</v>
      </c>
    </row>
    <row r="992" customFormat="false" ht="15.75" hidden="false" customHeight="true" outlineLevel="0" collapsed="false">
      <c r="A992" s="30" t="n">
        <v>45323</v>
      </c>
      <c r="B992" s="31" t="s">
        <v>7</v>
      </c>
      <c r="C992" s="32"/>
      <c r="D992" s="32"/>
      <c r="E992" s="19" t="n">
        <f aca="false">+F992*0.03</f>
        <v>0</v>
      </c>
      <c r="F992" s="33" t="n">
        <v>0</v>
      </c>
      <c r="G992" s="62"/>
      <c r="H992" s="35" t="n">
        <v>0</v>
      </c>
      <c r="I992" s="34" t="n">
        <f aca="false">+IF(E992=0,0,E992*0.03)</f>
        <v>0</v>
      </c>
    </row>
    <row r="993" customFormat="false" ht="15.75" hidden="false" customHeight="true" outlineLevel="0" collapsed="false">
      <c r="A993" s="30" t="n">
        <v>45323</v>
      </c>
      <c r="B993" s="31" t="s">
        <v>7</v>
      </c>
      <c r="C993" s="32"/>
      <c r="D993" s="32"/>
      <c r="E993" s="19" t="n">
        <f aca="false">+F993*0.03</f>
        <v>0</v>
      </c>
      <c r="F993" s="33" t="n">
        <v>0</v>
      </c>
      <c r="G993" s="62"/>
      <c r="H993" s="35" t="n">
        <v>0</v>
      </c>
      <c r="I993" s="34" t="n">
        <f aca="false">+IF(E993=0,0,E993*0.03)</f>
        <v>0</v>
      </c>
    </row>
    <row r="994" customFormat="false" ht="15.75" hidden="false" customHeight="true" outlineLevel="0" collapsed="false">
      <c r="A994" s="30" t="n">
        <v>45323</v>
      </c>
      <c r="B994" s="31" t="s">
        <v>7</v>
      </c>
      <c r="C994" s="32"/>
      <c r="D994" s="32"/>
      <c r="E994" s="19" t="n">
        <f aca="false">+F994*0.03</f>
        <v>0</v>
      </c>
      <c r="F994" s="33" t="n">
        <v>0</v>
      </c>
      <c r="G994" s="62"/>
      <c r="H994" s="35" t="n">
        <v>0</v>
      </c>
      <c r="I994" s="34" t="n">
        <f aca="false">+IF(E994=0,0,E994*0.03)</f>
        <v>0</v>
      </c>
    </row>
    <row r="995" customFormat="false" ht="15.75" hidden="false" customHeight="true" outlineLevel="0" collapsed="false">
      <c r="A995" s="30" t="n">
        <v>45323</v>
      </c>
      <c r="B995" s="31" t="s">
        <v>7</v>
      </c>
      <c r="C995" s="32"/>
      <c r="D995" s="32"/>
      <c r="E995" s="19" t="n">
        <f aca="false">+F995*0.03</f>
        <v>0</v>
      </c>
      <c r="F995" s="33" t="n">
        <v>0</v>
      </c>
      <c r="G995" s="62"/>
      <c r="H995" s="35" t="n">
        <v>0</v>
      </c>
      <c r="I995" s="34" t="n">
        <f aca="false">+IF(E995=0,0,E995*0.03)</f>
        <v>0</v>
      </c>
    </row>
    <row r="996" customFormat="false" ht="15.75" hidden="false" customHeight="true" outlineLevel="0" collapsed="false">
      <c r="A996" s="30" t="n">
        <v>45323</v>
      </c>
      <c r="B996" s="31" t="s">
        <v>7</v>
      </c>
      <c r="C996" s="32"/>
      <c r="D996" s="32"/>
      <c r="E996" s="19" t="n">
        <f aca="false">+F996*0.03</f>
        <v>0</v>
      </c>
      <c r="F996" s="33" t="n">
        <v>0</v>
      </c>
      <c r="G996" s="62"/>
      <c r="H996" s="35" t="n">
        <v>0</v>
      </c>
      <c r="I996" s="34" t="n">
        <f aca="false">+IF(E996=0,0,E996*0.03)</f>
        <v>0</v>
      </c>
    </row>
    <row r="997" customFormat="false" ht="15.75" hidden="false" customHeight="true" outlineLevel="0" collapsed="false">
      <c r="A997" s="30" t="n">
        <v>45323</v>
      </c>
      <c r="B997" s="31" t="s">
        <v>7</v>
      </c>
      <c r="C997" s="32"/>
      <c r="D997" s="32"/>
      <c r="E997" s="19" t="n">
        <f aca="false">+F997*0.03</f>
        <v>0</v>
      </c>
      <c r="F997" s="33" t="n">
        <v>0</v>
      </c>
      <c r="G997" s="62"/>
      <c r="H997" s="35" t="n">
        <v>0</v>
      </c>
      <c r="I997" s="34" t="n">
        <f aca="false">+IF(E997=0,0,E997*0.03)</f>
        <v>0</v>
      </c>
    </row>
    <row r="998" customFormat="false" ht="15.75" hidden="false" customHeight="true" outlineLevel="0" collapsed="false">
      <c r="A998" s="30" t="n">
        <v>45323</v>
      </c>
      <c r="B998" s="31" t="s">
        <v>7</v>
      </c>
      <c r="C998" s="32"/>
      <c r="D998" s="32"/>
      <c r="E998" s="19" t="n">
        <f aca="false">+F998*0.03</f>
        <v>0</v>
      </c>
      <c r="F998" s="33" t="n">
        <v>0</v>
      </c>
      <c r="G998" s="62"/>
      <c r="H998" s="35" t="n">
        <v>0</v>
      </c>
      <c r="I998" s="34" t="n">
        <f aca="false">+IF(E998=0,0,E998*0.03)</f>
        <v>0</v>
      </c>
    </row>
    <row r="999" customFormat="false" ht="15.75" hidden="false" customHeight="true" outlineLevel="0" collapsed="false">
      <c r="A999" s="30" t="n">
        <v>45323</v>
      </c>
      <c r="B999" s="31" t="s">
        <v>7</v>
      </c>
      <c r="C999" s="32"/>
      <c r="D999" s="32"/>
      <c r="E999" s="19" t="n">
        <f aca="false">+F999*0.03</f>
        <v>0</v>
      </c>
      <c r="F999" s="33" t="n">
        <v>0</v>
      </c>
      <c r="G999" s="62"/>
      <c r="H999" s="35" t="n">
        <v>0</v>
      </c>
      <c r="I999" s="34" t="n">
        <f aca="false">+IF(E999=0,0,E999*0.03)</f>
        <v>0</v>
      </c>
    </row>
    <row r="1000" customFormat="false" ht="15.75" hidden="false" customHeight="true" outlineLevel="0" collapsed="false">
      <c r="A1000" s="30" t="n">
        <v>45323</v>
      </c>
      <c r="B1000" s="31" t="s">
        <v>7</v>
      </c>
      <c r="C1000" s="32"/>
      <c r="D1000" s="32"/>
      <c r="E1000" s="19" t="n">
        <f aca="false">+F1000*0.03</f>
        <v>0</v>
      </c>
      <c r="F1000" s="33" t="n">
        <v>0</v>
      </c>
      <c r="G1000" s="62"/>
      <c r="H1000" s="35" t="n">
        <v>0</v>
      </c>
      <c r="I1000" s="34" t="n">
        <f aca="false">+IF(E1000=0,0,E1000*0.03)</f>
        <v>0</v>
      </c>
    </row>
    <row r="1001" customFormat="false" ht="15.75" hidden="false" customHeight="true" outlineLevel="0" collapsed="false">
      <c r="A1001" s="30" t="n">
        <v>45323</v>
      </c>
      <c r="B1001" s="31" t="s">
        <v>7</v>
      </c>
      <c r="C1001" s="32"/>
      <c r="D1001" s="32"/>
      <c r="E1001" s="19" t="n">
        <f aca="false">+F1001*0.03</f>
        <v>0</v>
      </c>
      <c r="F1001" s="33" t="n">
        <v>0</v>
      </c>
      <c r="G1001" s="62"/>
      <c r="H1001" s="35" t="n">
        <v>0</v>
      </c>
      <c r="I1001" s="34" t="n">
        <f aca="false">+IF(E1001=0,0,E1001*0.03)</f>
        <v>0</v>
      </c>
    </row>
    <row r="1002" customFormat="false" ht="15.75" hidden="false" customHeight="true" outlineLevel="0" collapsed="false">
      <c r="A1002" s="30" t="n">
        <v>45323</v>
      </c>
      <c r="B1002" s="31" t="s">
        <v>7</v>
      </c>
      <c r="C1002" s="32"/>
      <c r="D1002" s="32"/>
      <c r="E1002" s="19" t="n">
        <f aca="false">+F1002*0.03</f>
        <v>0</v>
      </c>
      <c r="F1002" s="33" t="n">
        <v>0</v>
      </c>
      <c r="G1002" s="62"/>
      <c r="H1002" s="35" t="n">
        <v>0</v>
      </c>
      <c r="I1002" s="34" t="n">
        <f aca="false">+IF(E1002=0,0,E1002*0.03)</f>
        <v>0</v>
      </c>
    </row>
    <row r="1003" customFormat="false" ht="15.75" hidden="false" customHeight="true" outlineLevel="0" collapsed="false">
      <c r="A1003" s="30" t="n">
        <v>45323</v>
      </c>
      <c r="B1003" s="31" t="s">
        <v>7</v>
      </c>
      <c r="C1003" s="32"/>
      <c r="D1003" s="32"/>
      <c r="E1003" s="19" t="n">
        <f aca="false">+F1003*0.03</f>
        <v>0</v>
      </c>
      <c r="F1003" s="33" t="n">
        <v>0</v>
      </c>
      <c r="G1003" s="62"/>
      <c r="H1003" s="35" t="n">
        <v>0</v>
      </c>
      <c r="I1003" s="34" t="n">
        <f aca="false">+IF(E1003=0,0,E1003*0.03)</f>
        <v>0</v>
      </c>
    </row>
    <row r="1004" customFormat="false" ht="15.75" hidden="false" customHeight="true" outlineLevel="0" collapsed="false">
      <c r="A1004" s="30" t="n">
        <v>45323</v>
      </c>
      <c r="B1004" s="31" t="s">
        <v>7</v>
      </c>
      <c r="C1004" s="32"/>
      <c r="D1004" s="32"/>
      <c r="E1004" s="19" t="n">
        <f aca="false">+F1004*0.03</f>
        <v>0</v>
      </c>
      <c r="F1004" s="33" t="n">
        <v>0</v>
      </c>
      <c r="G1004" s="62"/>
      <c r="H1004" s="35" t="n">
        <v>0</v>
      </c>
      <c r="I1004" s="34" t="n">
        <f aca="false">+IF(E1004=0,0,E1004*0.03)</f>
        <v>0</v>
      </c>
    </row>
    <row r="1005" customFormat="false" ht="15.75" hidden="false" customHeight="true" outlineLevel="0" collapsed="false">
      <c r="A1005" s="30" t="n">
        <v>45323</v>
      </c>
      <c r="B1005" s="31" t="s">
        <v>7</v>
      </c>
      <c r="C1005" s="32"/>
      <c r="D1005" s="32"/>
      <c r="E1005" s="19" t="n">
        <f aca="false">+F1005*0.03</f>
        <v>0</v>
      </c>
      <c r="F1005" s="33" t="n">
        <v>0</v>
      </c>
      <c r="G1005" s="62"/>
      <c r="H1005" s="35" t="n">
        <v>0</v>
      </c>
      <c r="I1005" s="34" t="n">
        <f aca="false">+IF(E1005=0,0,E1005*0.03)</f>
        <v>0</v>
      </c>
    </row>
    <row r="1006" customFormat="false" ht="15.75" hidden="false" customHeight="true" outlineLevel="0" collapsed="false">
      <c r="A1006" s="30" t="n">
        <v>45323</v>
      </c>
      <c r="B1006" s="31" t="s">
        <v>7</v>
      </c>
      <c r="C1006" s="32"/>
      <c r="D1006" s="32"/>
      <c r="E1006" s="19" t="n">
        <f aca="false">+F1006*0.03</f>
        <v>0</v>
      </c>
      <c r="F1006" s="33" t="n">
        <v>0</v>
      </c>
      <c r="G1006" s="62"/>
      <c r="H1006" s="35" t="n">
        <v>0</v>
      </c>
      <c r="I1006" s="34" t="n">
        <f aca="false">+IF(E1006=0,0,E1006*0.03)</f>
        <v>0</v>
      </c>
    </row>
    <row r="1007" customFormat="false" ht="15.75" hidden="false" customHeight="true" outlineLevel="0" collapsed="false">
      <c r="A1007" s="30" t="n">
        <v>45323</v>
      </c>
      <c r="B1007" s="31" t="s">
        <v>7</v>
      </c>
      <c r="C1007" s="32"/>
      <c r="D1007" s="32"/>
      <c r="E1007" s="19" t="n">
        <f aca="false">+F1007*0.03</f>
        <v>0</v>
      </c>
      <c r="F1007" s="33" t="n">
        <v>0</v>
      </c>
      <c r="G1007" s="62"/>
      <c r="H1007" s="35" t="n">
        <v>0</v>
      </c>
      <c r="I1007" s="34" t="n">
        <f aca="false">+IF(E1007=0,0,E1007*0.03)</f>
        <v>0</v>
      </c>
    </row>
    <row r="1008" customFormat="false" ht="15.75" hidden="false" customHeight="true" outlineLevel="0" collapsed="false">
      <c r="A1008" s="30" t="n">
        <v>45323</v>
      </c>
      <c r="B1008" s="31" t="s">
        <v>7</v>
      </c>
      <c r="C1008" s="32"/>
      <c r="D1008" s="32"/>
      <c r="E1008" s="19" t="n">
        <f aca="false">+F1008*0.03</f>
        <v>0</v>
      </c>
      <c r="F1008" s="33" t="n">
        <v>0</v>
      </c>
      <c r="G1008" s="62"/>
      <c r="H1008" s="35" t="n">
        <v>0</v>
      </c>
      <c r="I1008" s="34" t="n">
        <f aca="false">+IF(E1008=0,0,E1008*0.03)</f>
        <v>0</v>
      </c>
    </row>
    <row r="1009" customFormat="false" ht="15.75" hidden="false" customHeight="true" outlineLevel="0" collapsed="false">
      <c r="A1009" s="30" t="n">
        <v>45323</v>
      </c>
      <c r="B1009" s="31" t="s">
        <v>7</v>
      </c>
      <c r="C1009" s="32"/>
      <c r="D1009" s="32"/>
      <c r="E1009" s="19" t="n">
        <f aca="false">+F1009*0.03</f>
        <v>0</v>
      </c>
      <c r="F1009" s="33" t="n">
        <v>0</v>
      </c>
      <c r="G1009" s="62"/>
      <c r="H1009" s="35" t="n">
        <v>0</v>
      </c>
      <c r="I1009" s="34" t="n">
        <f aca="false">+IF(E1009=0,0,E1009*0.03)</f>
        <v>0</v>
      </c>
    </row>
    <row r="1010" customFormat="false" ht="15.75" hidden="false" customHeight="true" outlineLevel="0" collapsed="false">
      <c r="A1010" s="30" t="n">
        <v>45323</v>
      </c>
      <c r="B1010" s="31" t="s">
        <v>7</v>
      </c>
      <c r="C1010" s="32"/>
      <c r="D1010" s="32"/>
      <c r="E1010" s="19" t="n">
        <f aca="false">+F1010*0.03</f>
        <v>0</v>
      </c>
      <c r="F1010" s="33" t="n">
        <v>0</v>
      </c>
      <c r="G1010" s="62"/>
      <c r="H1010" s="35" t="n">
        <v>0</v>
      </c>
      <c r="I1010" s="34" t="n">
        <f aca="false">+IF(E1010=0,0,E1010*0.03)</f>
        <v>0</v>
      </c>
    </row>
    <row r="1011" customFormat="false" ht="15.75" hidden="false" customHeight="true" outlineLevel="0" collapsed="false">
      <c r="A1011" s="30" t="n">
        <v>45323</v>
      </c>
      <c r="B1011" s="31" t="s">
        <v>7</v>
      </c>
      <c r="C1011" s="32"/>
      <c r="D1011" s="32"/>
      <c r="E1011" s="19" t="n">
        <f aca="false">+F1011*0.03</f>
        <v>0</v>
      </c>
      <c r="F1011" s="33" t="n">
        <v>0</v>
      </c>
      <c r="G1011" s="62"/>
      <c r="H1011" s="35" t="n">
        <v>0</v>
      </c>
      <c r="I1011" s="34" t="n">
        <f aca="false">+IF(E1011=0,0,E1011*0.03)</f>
        <v>0</v>
      </c>
    </row>
    <row r="1012" customFormat="false" ht="15.75" hidden="false" customHeight="true" outlineLevel="0" collapsed="false">
      <c r="A1012" s="30" t="n">
        <v>45323</v>
      </c>
      <c r="B1012" s="31" t="s">
        <v>7</v>
      </c>
      <c r="C1012" s="32"/>
      <c r="D1012" s="32"/>
      <c r="E1012" s="19" t="n">
        <f aca="false">+F1012*0.03</f>
        <v>0</v>
      </c>
      <c r="F1012" s="33" t="n">
        <v>0</v>
      </c>
      <c r="G1012" s="62"/>
      <c r="H1012" s="35" t="n">
        <v>0</v>
      </c>
      <c r="I1012" s="34" t="n">
        <f aca="false">+IF(E1012=0,0,E1012*0.03)</f>
        <v>0</v>
      </c>
    </row>
    <row r="1013" customFormat="false" ht="15.75" hidden="false" customHeight="true" outlineLevel="0" collapsed="false">
      <c r="A1013" s="30" t="n">
        <v>45323</v>
      </c>
      <c r="B1013" s="31" t="s">
        <v>7</v>
      </c>
      <c r="C1013" s="32"/>
      <c r="D1013" s="32"/>
      <c r="E1013" s="19" t="n">
        <f aca="false">+F1013*0.03</f>
        <v>0</v>
      </c>
      <c r="F1013" s="33" t="n">
        <v>0</v>
      </c>
      <c r="G1013" s="62"/>
      <c r="H1013" s="35" t="n">
        <v>0</v>
      </c>
      <c r="I1013" s="34" t="n">
        <f aca="false">+IF(E1013=0,0,E1013*0.03)</f>
        <v>0</v>
      </c>
    </row>
    <row r="1014" customFormat="false" ht="15.75" hidden="false" customHeight="true" outlineLevel="0" collapsed="false">
      <c r="A1014" s="30" t="n">
        <v>45323</v>
      </c>
      <c r="B1014" s="31" t="s">
        <v>7</v>
      </c>
      <c r="C1014" s="32"/>
      <c r="D1014" s="32"/>
      <c r="E1014" s="19" t="n">
        <f aca="false">+F1014*0.03</f>
        <v>0</v>
      </c>
      <c r="F1014" s="33" t="n">
        <v>0</v>
      </c>
      <c r="G1014" s="62"/>
      <c r="H1014" s="35" t="n">
        <v>0</v>
      </c>
      <c r="I1014" s="34" t="n">
        <f aca="false">+IF(E1014=0,0,E1014*0.03)</f>
        <v>0</v>
      </c>
    </row>
    <row r="1015" customFormat="false" ht="15.75" hidden="false" customHeight="true" outlineLevel="0" collapsed="false">
      <c r="A1015" s="30" t="n">
        <v>45323</v>
      </c>
      <c r="B1015" s="31" t="s">
        <v>7</v>
      </c>
      <c r="C1015" s="32"/>
      <c r="D1015" s="32"/>
      <c r="E1015" s="19" t="n">
        <f aca="false">+F1015*0.03</f>
        <v>0</v>
      </c>
      <c r="F1015" s="33" t="n">
        <v>0</v>
      </c>
      <c r="G1015" s="62"/>
      <c r="H1015" s="35" t="n">
        <v>0</v>
      </c>
      <c r="I1015" s="34" t="n">
        <f aca="false">+IF(E1015=0,0,E1015*0.03)</f>
        <v>0</v>
      </c>
    </row>
    <row r="1016" customFormat="false" ht="15.75" hidden="false" customHeight="true" outlineLevel="0" collapsed="false">
      <c r="A1016" s="30" t="n">
        <v>45323</v>
      </c>
      <c r="B1016" s="31" t="s">
        <v>7</v>
      </c>
      <c r="C1016" s="32"/>
      <c r="D1016" s="32"/>
      <c r="E1016" s="19" t="n">
        <f aca="false">+F1016*0.03</f>
        <v>0</v>
      </c>
      <c r="F1016" s="33" t="n">
        <v>0</v>
      </c>
      <c r="G1016" s="62"/>
      <c r="H1016" s="35" t="n">
        <v>0</v>
      </c>
      <c r="I1016" s="34" t="n">
        <f aca="false">+IF(E1016=0,0,E1016*0.03)</f>
        <v>0</v>
      </c>
    </row>
    <row r="1017" customFormat="false" ht="15.75" hidden="false" customHeight="true" outlineLevel="0" collapsed="false">
      <c r="A1017" s="30" t="n">
        <v>45323</v>
      </c>
      <c r="B1017" s="31" t="s">
        <v>7</v>
      </c>
      <c r="C1017" s="32"/>
      <c r="D1017" s="32"/>
      <c r="E1017" s="19" t="n">
        <f aca="false">+F1017*0.03</f>
        <v>0</v>
      </c>
      <c r="F1017" s="33" t="n">
        <v>0</v>
      </c>
      <c r="G1017" s="62"/>
      <c r="H1017" s="35" t="n">
        <v>0</v>
      </c>
      <c r="I1017" s="34" t="n">
        <f aca="false">+IF(E1017=0,0,E1017*0.03)</f>
        <v>0</v>
      </c>
    </row>
    <row r="1018" customFormat="false" ht="15.75" hidden="false" customHeight="true" outlineLevel="0" collapsed="false">
      <c r="A1018" s="30" t="n">
        <v>45323</v>
      </c>
      <c r="B1018" s="31" t="s">
        <v>7</v>
      </c>
      <c r="C1018" s="32"/>
      <c r="D1018" s="32"/>
      <c r="E1018" s="19" t="n">
        <f aca="false">+F1018*0.03</f>
        <v>0</v>
      </c>
      <c r="F1018" s="33" t="n">
        <v>0</v>
      </c>
      <c r="G1018" s="62"/>
      <c r="H1018" s="35" t="n">
        <v>0</v>
      </c>
      <c r="I1018" s="34" t="n">
        <f aca="false">+IF(E1018=0,0,E1018*0.03)</f>
        <v>0</v>
      </c>
    </row>
    <row r="1019" customFormat="false" ht="15.75" hidden="false" customHeight="true" outlineLevel="0" collapsed="false">
      <c r="A1019" s="30" t="n">
        <v>45323</v>
      </c>
      <c r="B1019" s="31" t="s">
        <v>7</v>
      </c>
      <c r="C1019" s="32"/>
      <c r="D1019" s="32"/>
      <c r="E1019" s="19" t="n">
        <f aca="false">+F1019*0.03</f>
        <v>0</v>
      </c>
      <c r="F1019" s="33" t="n">
        <v>0</v>
      </c>
      <c r="G1019" s="62"/>
      <c r="H1019" s="35" t="n">
        <v>0</v>
      </c>
      <c r="I1019" s="34" t="n">
        <f aca="false">+IF(E1019=0,0,E1019*0.03)</f>
        <v>0</v>
      </c>
    </row>
    <row r="1020" customFormat="false" ht="15.75" hidden="false" customHeight="true" outlineLevel="0" collapsed="false">
      <c r="A1020" s="30" t="n">
        <v>45323</v>
      </c>
      <c r="B1020" s="31" t="s">
        <v>7</v>
      </c>
      <c r="C1020" s="32"/>
      <c r="D1020" s="32"/>
      <c r="E1020" s="19" t="n">
        <f aca="false">+F1020*0.03</f>
        <v>0</v>
      </c>
      <c r="F1020" s="33" t="n">
        <v>0</v>
      </c>
      <c r="G1020" s="62"/>
      <c r="H1020" s="35" t="n">
        <v>0</v>
      </c>
      <c r="I1020" s="34" t="n">
        <f aca="false">+IF(E1020=0,0,E1020*0.03)</f>
        <v>0</v>
      </c>
    </row>
    <row r="1021" customFormat="false" ht="15.75" hidden="false" customHeight="true" outlineLevel="0" collapsed="false">
      <c r="A1021" s="30" t="n">
        <v>45323</v>
      </c>
      <c r="B1021" s="31" t="s">
        <v>7</v>
      </c>
      <c r="C1021" s="32"/>
      <c r="D1021" s="32"/>
      <c r="E1021" s="19" t="n">
        <f aca="false">+F1021*0.03</f>
        <v>0</v>
      </c>
      <c r="F1021" s="33" t="n">
        <v>0</v>
      </c>
      <c r="G1021" s="62"/>
      <c r="H1021" s="35" t="n">
        <v>0</v>
      </c>
      <c r="I1021" s="34" t="n">
        <f aca="false">+IF(E1021=0,0,E1021*0.03)</f>
        <v>0</v>
      </c>
    </row>
    <row r="1022" customFormat="false" ht="15.75" hidden="false" customHeight="true" outlineLevel="0" collapsed="false">
      <c r="A1022" s="30" t="n">
        <v>45323</v>
      </c>
      <c r="B1022" s="31" t="s">
        <v>7</v>
      </c>
      <c r="C1022" s="32"/>
      <c r="D1022" s="32"/>
      <c r="E1022" s="19" t="n">
        <f aca="false">+F1022*0.03</f>
        <v>0</v>
      </c>
      <c r="F1022" s="33" t="n">
        <v>0</v>
      </c>
      <c r="G1022" s="62"/>
      <c r="H1022" s="35" t="n">
        <v>0</v>
      </c>
      <c r="I1022" s="34" t="n">
        <f aca="false">+IF(E1022=0,0,E1022*0.03)</f>
        <v>0</v>
      </c>
    </row>
    <row r="1023" customFormat="false" ht="15.75" hidden="false" customHeight="true" outlineLevel="0" collapsed="false">
      <c r="A1023" s="30" t="n">
        <v>45323</v>
      </c>
      <c r="B1023" s="31" t="s">
        <v>7</v>
      </c>
      <c r="C1023" s="32"/>
      <c r="D1023" s="32"/>
      <c r="E1023" s="19" t="n">
        <f aca="false">+F1023*0.03</f>
        <v>0</v>
      </c>
      <c r="F1023" s="33" t="n">
        <v>0</v>
      </c>
      <c r="G1023" s="62"/>
      <c r="H1023" s="35" t="n">
        <v>0</v>
      </c>
      <c r="I1023" s="34" t="n">
        <f aca="false">+IF(E1023=0,0,E1023*0.03)</f>
        <v>0</v>
      </c>
    </row>
    <row r="1024" customFormat="false" ht="15.75" hidden="false" customHeight="true" outlineLevel="0" collapsed="false">
      <c r="A1024" s="30" t="n">
        <v>45323</v>
      </c>
      <c r="B1024" s="31" t="s">
        <v>7</v>
      </c>
      <c r="C1024" s="32"/>
      <c r="D1024" s="32"/>
      <c r="E1024" s="19" t="n">
        <f aca="false">+F1024*0.03</f>
        <v>0</v>
      </c>
      <c r="F1024" s="33" t="n">
        <v>0</v>
      </c>
      <c r="G1024" s="62"/>
      <c r="H1024" s="35" t="n">
        <v>0</v>
      </c>
      <c r="I1024" s="34" t="n">
        <f aca="false">+IF(E1024=0,0,E1024*0.03)</f>
        <v>0</v>
      </c>
    </row>
    <row r="1025" customFormat="false" ht="15.75" hidden="false" customHeight="true" outlineLevel="0" collapsed="false">
      <c r="A1025" s="30" t="n">
        <v>45323</v>
      </c>
      <c r="B1025" s="31" t="s">
        <v>7</v>
      </c>
      <c r="C1025" s="32"/>
      <c r="D1025" s="32"/>
      <c r="E1025" s="19" t="n">
        <f aca="false">+F1025*0.03</f>
        <v>0</v>
      </c>
      <c r="F1025" s="33" t="n">
        <v>0</v>
      </c>
      <c r="G1025" s="62"/>
      <c r="H1025" s="35" t="n">
        <v>0</v>
      </c>
      <c r="I1025" s="34" t="n">
        <f aca="false">+IF(E1025=0,0,E1025*0.03)</f>
        <v>0</v>
      </c>
    </row>
    <row r="1026" customFormat="false" ht="15.75" hidden="false" customHeight="true" outlineLevel="0" collapsed="false">
      <c r="A1026" s="30" t="n">
        <v>45323</v>
      </c>
      <c r="B1026" s="31" t="s">
        <v>7</v>
      </c>
      <c r="C1026" s="32"/>
      <c r="D1026" s="32"/>
      <c r="E1026" s="19" t="n">
        <f aca="false">+F1026*0.03</f>
        <v>0</v>
      </c>
      <c r="F1026" s="33" t="n">
        <v>0</v>
      </c>
      <c r="G1026" s="62"/>
      <c r="H1026" s="35" t="n">
        <v>0</v>
      </c>
      <c r="I1026" s="34" t="n">
        <f aca="false">+IF(E1026=0,0,E1026*0.03)</f>
        <v>0</v>
      </c>
    </row>
    <row r="1027" customFormat="false" ht="15.75" hidden="false" customHeight="true" outlineLevel="0" collapsed="false">
      <c r="A1027" s="30" t="n">
        <v>45323</v>
      </c>
      <c r="B1027" s="31" t="s">
        <v>7</v>
      </c>
      <c r="C1027" s="32"/>
      <c r="D1027" s="32"/>
      <c r="E1027" s="19" t="n">
        <f aca="false">+F1027*0.03</f>
        <v>0</v>
      </c>
      <c r="F1027" s="33" t="n">
        <v>0</v>
      </c>
      <c r="G1027" s="62"/>
      <c r="H1027" s="35" t="n">
        <v>0</v>
      </c>
      <c r="I1027" s="34" t="n">
        <f aca="false">+IF(E1027=0,0,E1027*0.03)</f>
        <v>0</v>
      </c>
    </row>
    <row r="1028" customFormat="false" ht="15.75" hidden="false" customHeight="true" outlineLevel="0" collapsed="false">
      <c r="A1028" s="30" t="n">
        <v>45323</v>
      </c>
      <c r="B1028" s="31" t="s">
        <v>7</v>
      </c>
      <c r="C1028" s="32"/>
      <c r="D1028" s="32"/>
      <c r="E1028" s="19" t="n">
        <f aca="false">+F1028*0.03</f>
        <v>0</v>
      </c>
      <c r="F1028" s="33" t="n">
        <v>0</v>
      </c>
      <c r="G1028" s="62"/>
      <c r="H1028" s="35" t="n">
        <v>0</v>
      </c>
      <c r="I1028" s="34" t="n">
        <f aca="false">+IF(E1028=0,0,E1028*0.03)</f>
        <v>0</v>
      </c>
    </row>
    <row r="1029" customFormat="false" ht="15.75" hidden="false" customHeight="true" outlineLevel="0" collapsed="false">
      <c r="A1029" s="30" t="n">
        <v>45323</v>
      </c>
      <c r="B1029" s="31" t="s">
        <v>7</v>
      </c>
      <c r="C1029" s="32"/>
      <c r="D1029" s="32"/>
      <c r="E1029" s="19" t="n">
        <f aca="false">+F1029*0.03</f>
        <v>0</v>
      </c>
      <c r="F1029" s="33" t="n">
        <v>0</v>
      </c>
      <c r="G1029" s="62"/>
      <c r="H1029" s="35" t="n">
        <v>0</v>
      </c>
      <c r="I1029" s="34" t="n">
        <f aca="false">+IF(E1029=0,0,E1029*0.03)</f>
        <v>0</v>
      </c>
    </row>
    <row r="1030" customFormat="false" ht="15.75" hidden="false" customHeight="true" outlineLevel="0" collapsed="false">
      <c r="A1030" s="30" t="n">
        <v>45323</v>
      </c>
      <c r="B1030" s="31" t="s">
        <v>7</v>
      </c>
      <c r="C1030" s="32"/>
      <c r="D1030" s="32"/>
      <c r="E1030" s="19" t="n">
        <f aca="false">+F1030*0.03</f>
        <v>0</v>
      </c>
      <c r="F1030" s="33" t="n">
        <v>0</v>
      </c>
      <c r="G1030" s="62"/>
      <c r="H1030" s="35" t="n">
        <v>0</v>
      </c>
      <c r="I1030" s="34" t="n">
        <f aca="false">+IF(E1030=0,0,E1030*0.03)</f>
        <v>0</v>
      </c>
    </row>
    <row r="1031" customFormat="false" ht="15.75" hidden="false" customHeight="true" outlineLevel="0" collapsed="false">
      <c r="A1031" s="30" t="n">
        <v>45323</v>
      </c>
      <c r="B1031" s="31" t="s">
        <v>7</v>
      </c>
      <c r="C1031" s="32"/>
      <c r="D1031" s="32"/>
      <c r="E1031" s="19" t="n">
        <f aca="false">+F1031*0.03</f>
        <v>0</v>
      </c>
      <c r="F1031" s="33" t="n">
        <v>0</v>
      </c>
      <c r="G1031" s="62"/>
      <c r="H1031" s="35" t="n">
        <v>0</v>
      </c>
      <c r="I1031" s="34" t="n">
        <f aca="false">+IF(E1031=0,0,E1031*0.03)</f>
        <v>0</v>
      </c>
    </row>
    <row r="1032" customFormat="false" ht="15.75" hidden="false" customHeight="true" outlineLevel="0" collapsed="false">
      <c r="A1032" s="30" t="n">
        <v>45323</v>
      </c>
      <c r="B1032" s="31" t="s">
        <v>7</v>
      </c>
      <c r="C1032" s="32"/>
      <c r="D1032" s="32"/>
      <c r="E1032" s="19" t="n">
        <f aca="false">+F1032*0.03</f>
        <v>0</v>
      </c>
      <c r="F1032" s="33" t="n">
        <v>0</v>
      </c>
      <c r="G1032" s="62"/>
      <c r="H1032" s="35" t="n">
        <v>0</v>
      </c>
      <c r="I1032" s="34" t="n">
        <f aca="false">+IF(E1032=0,0,E1032*0.03)</f>
        <v>0</v>
      </c>
    </row>
    <row r="1033" customFormat="false" ht="15.75" hidden="false" customHeight="true" outlineLevel="0" collapsed="false">
      <c r="A1033" s="30" t="n">
        <v>45323</v>
      </c>
      <c r="B1033" s="31" t="s">
        <v>7</v>
      </c>
      <c r="C1033" s="32"/>
      <c r="D1033" s="32"/>
      <c r="E1033" s="19" t="n">
        <f aca="false">+F1033*0.03</f>
        <v>0</v>
      </c>
      <c r="F1033" s="33" t="n">
        <v>0</v>
      </c>
      <c r="G1033" s="62"/>
      <c r="H1033" s="35" t="n">
        <v>0</v>
      </c>
      <c r="I1033" s="34" t="n">
        <f aca="false">+IF(E1033=0,0,E1033*0.03)</f>
        <v>0</v>
      </c>
    </row>
    <row r="1034" customFormat="false" ht="15.75" hidden="false" customHeight="true" outlineLevel="0" collapsed="false">
      <c r="A1034" s="30" t="n">
        <v>45323</v>
      </c>
      <c r="B1034" s="31" t="s">
        <v>7</v>
      </c>
      <c r="C1034" s="32"/>
      <c r="D1034" s="32"/>
      <c r="E1034" s="19" t="n">
        <f aca="false">+F1034*0.03</f>
        <v>0</v>
      </c>
      <c r="F1034" s="33" t="n">
        <v>0</v>
      </c>
      <c r="G1034" s="62"/>
      <c r="H1034" s="35" t="n">
        <v>0</v>
      </c>
      <c r="I1034" s="34" t="n">
        <f aca="false">+IF(E1034=0,0,E1034*0.03)</f>
        <v>0</v>
      </c>
    </row>
    <row r="1035" customFormat="false" ht="15.75" hidden="false" customHeight="true" outlineLevel="0" collapsed="false">
      <c r="A1035" s="30" t="n">
        <v>45323</v>
      </c>
      <c r="B1035" s="31" t="s">
        <v>7</v>
      </c>
      <c r="C1035" s="32"/>
      <c r="D1035" s="32"/>
      <c r="E1035" s="19" t="n">
        <f aca="false">+F1035*0.03</f>
        <v>0</v>
      </c>
      <c r="F1035" s="33" t="n">
        <v>0</v>
      </c>
      <c r="G1035" s="62"/>
      <c r="H1035" s="35" t="n">
        <v>0</v>
      </c>
      <c r="I1035" s="34" t="n">
        <f aca="false">+IF(E1035=0,0,E1035*0.03)</f>
        <v>0</v>
      </c>
    </row>
    <row r="1036" customFormat="false" ht="15.75" hidden="false" customHeight="true" outlineLevel="0" collapsed="false">
      <c r="A1036" s="30" t="n">
        <v>45323</v>
      </c>
      <c r="B1036" s="31" t="s">
        <v>7</v>
      </c>
      <c r="C1036" s="32"/>
      <c r="D1036" s="32"/>
      <c r="E1036" s="19" t="n">
        <f aca="false">+F1036*0.03</f>
        <v>0</v>
      </c>
      <c r="F1036" s="33" t="n">
        <v>0</v>
      </c>
      <c r="G1036" s="62"/>
      <c r="H1036" s="35" t="n">
        <v>0</v>
      </c>
      <c r="I1036" s="34" t="n">
        <f aca="false">+IF(E1036=0,0,E1036*0.03)</f>
        <v>0</v>
      </c>
    </row>
    <row r="1037" customFormat="false" ht="15.75" hidden="false" customHeight="true" outlineLevel="0" collapsed="false">
      <c r="A1037" s="30" t="n">
        <v>45323</v>
      </c>
      <c r="B1037" s="31" t="s">
        <v>7</v>
      </c>
      <c r="C1037" s="32"/>
      <c r="D1037" s="32"/>
      <c r="E1037" s="19" t="n">
        <f aca="false">+F1037*0.03</f>
        <v>0</v>
      </c>
      <c r="F1037" s="33" t="n">
        <v>0</v>
      </c>
      <c r="G1037" s="62"/>
      <c r="H1037" s="35" t="n">
        <v>0</v>
      </c>
      <c r="I1037" s="34" t="n">
        <f aca="false">+IF(E1037=0,0,E1037*0.03)</f>
        <v>0</v>
      </c>
    </row>
    <row r="1038" customFormat="false" ht="15.75" hidden="false" customHeight="true" outlineLevel="0" collapsed="false">
      <c r="A1038" s="30" t="n">
        <v>45323</v>
      </c>
      <c r="B1038" s="31" t="s">
        <v>7</v>
      </c>
      <c r="C1038" s="32"/>
      <c r="D1038" s="32"/>
      <c r="E1038" s="19" t="n">
        <f aca="false">+F1038*0.03</f>
        <v>0</v>
      </c>
      <c r="F1038" s="33" t="n">
        <v>0</v>
      </c>
      <c r="G1038" s="62"/>
      <c r="H1038" s="35" t="n">
        <v>0</v>
      </c>
      <c r="I1038" s="34" t="n">
        <f aca="false">+IF(E1038=0,0,E1038*0.03)</f>
        <v>0</v>
      </c>
    </row>
    <row r="1039" customFormat="false" ht="15.75" hidden="false" customHeight="true" outlineLevel="0" collapsed="false">
      <c r="A1039" s="30" t="n">
        <v>45323</v>
      </c>
      <c r="B1039" s="31" t="s">
        <v>7</v>
      </c>
      <c r="C1039" s="32"/>
      <c r="D1039" s="32"/>
      <c r="E1039" s="19" t="n">
        <f aca="false">+F1039*0.03</f>
        <v>0</v>
      </c>
      <c r="F1039" s="33" t="n">
        <v>0</v>
      </c>
      <c r="G1039" s="62"/>
      <c r="H1039" s="35" t="n">
        <v>0</v>
      </c>
      <c r="I1039" s="34" t="n">
        <f aca="false">+IF(E1039=0,0,E1039*0.03)</f>
        <v>0</v>
      </c>
    </row>
    <row r="1040" customFormat="false" ht="15.75" hidden="false" customHeight="true" outlineLevel="0" collapsed="false">
      <c r="A1040" s="30" t="n">
        <v>45323</v>
      </c>
      <c r="B1040" s="31" t="s">
        <v>7</v>
      </c>
      <c r="C1040" s="32"/>
      <c r="D1040" s="32"/>
      <c r="E1040" s="19" t="n">
        <f aca="false">+F1040*0.03</f>
        <v>0</v>
      </c>
      <c r="F1040" s="33" t="n">
        <v>0</v>
      </c>
      <c r="G1040" s="62"/>
      <c r="H1040" s="35" t="n">
        <v>0</v>
      </c>
      <c r="I1040" s="34" t="n">
        <f aca="false">+IF(E1040=0,0,E1040*0.03)</f>
        <v>0</v>
      </c>
    </row>
    <row r="1041" customFormat="false" ht="15.75" hidden="false" customHeight="true" outlineLevel="0" collapsed="false">
      <c r="A1041" s="30" t="n">
        <v>45323</v>
      </c>
      <c r="B1041" s="31" t="s">
        <v>7</v>
      </c>
      <c r="C1041" s="32"/>
      <c r="D1041" s="32"/>
      <c r="E1041" s="19" t="n">
        <f aca="false">+F1041*0.03</f>
        <v>0</v>
      </c>
      <c r="F1041" s="33" t="n">
        <v>0</v>
      </c>
      <c r="G1041" s="62"/>
      <c r="H1041" s="35" t="n">
        <v>0</v>
      </c>
      <c r="I1041" s="34" t="n">
        <f aca="false">+IF(E1041=0,0,E1041*0.03)</f>
        <v>0</v>
      </c>
    </row>
    <row r="1042" customFormat="false" ht="15.75" hidden="false" customHeight="true" outlineLevel="0" collapsed="false">
      <c r="A1042" s="30" t="n">
        <v>45323</v>
      </c>
      <c r="B1042" s="31" t="s">
        <v>7</v>
      </c>
      <c r="C1042" s="32"/>
      <c r="D1042" s="32"/>
      <c r="E1042" s="19" t="n">
        <f aca="false">+F1042*0.03</f>
        <v>0</v>
      </c>
      <c r="F1042" s="33" t="n">
        <v>0</v>
      </c>
      <c r="G1042" s="62"/>
      <c r="H1042" s="35" t="n">
        <v>0</v>
      </c>
      <c r="I1042" s="34" t="n">
        <f aca="false">+IF(E1042=0,0,E1042*0.03)</f>
        <v>0</v>
      </c>
    </row>
    <row r="1043" customFormat="false" ht="15.75" hidden="false" customHeight="true" outlineLevel="0" collapsed="false">
      <c r="A1043" s="30" t="n">
        <v>45323</v>
      </c>
      <c r="B1043" s="31" t="s">
        <v>7</v>
      </c>
      <c r="C1043" s="32"/>
      <c r="D1043" s="32"/>
      <c r="E1043" s="19" t="n">
        <f aca="false">+F1043*0.03</f>
        <v>0</v>
      </c>
      <c r="F1043" s="33" t="n">
        <v>0</v>
      </c>
      <c r="G1043" s="62"/>
      <c r="H1043" s="35" t="n">
        <v>0</v>
      </c>
      <c r="I1043" s="34" t="n">
        <f aca="false">+IF(E1043=0,0,E1043*0.03)</f>
        <v>0</v>
      </c>
    </row>
    <row r="1044" customFormat="false" ht="15.75" hidden="false" customHeight="true" outlineLevel="0" collapsed="false">
      <c r="A1044" s="30" t="n">
        <v>45323</v>
      </c>
      <c r="B1044" s="31" t="s">
        <v>7</v>
      </c>
      <c r="C1044" s="32"/>
      <c r="D1044" s="32"/>
      <c r="E1044" s="19" t="n">
        <f aca="false">+F1044*0.03</f>
        <v>0</v>
      </c>
      <c r="F1044" s="33" t="n">
        <v>0</v>
      </c>
      <c r="G1044" s="62"/>
      <c r="H1044" s="35" t="n">
        <v>0</v>
      </c>
      <c r="I1044" s="34" t="n">
        <f aca="false">+IF(E1044=0,0,E1044*0.03)</f>
        <v>0</v>
      </c>
    </row>
    <row r="1045" customFormat="false" ht="15.75" hidden="false" customHeight="true" outlineLevel="0" collapsed="false">
      <c r="A1045" s="30" t="n">
        <v>45323</v>
      </c>
      <c r="B1045" s="31" t="s">
        <v>7</v>
      </c>
      <c r="C1045" s="32"/>
      <c r="D1045" s="32"/>
      <c r="E1045" s="19" t="n">
        <f aca="false">+F1045*0.03</f>
        <v>0</v>
      </c>
      <c r="F1045" s="33" t="n">
        <v>0</v>
      </c>
      <c r="G1045" s="62"/>
      <c r="H1045" s="35" t="n">
        <v>0</v>
      </c>
      <c r="I1045" s="34" t="n">
        <f aca="false">+IF(E1045=0,0,E1045*0.03)</f>
        <v>0</v>
      </c>
    </row>
    <row r="1046" customFormat="false" ht="15.75" hidden="false" customHeight="true" outlineLevel="0" collapsed="false">
      <c r="A1046" s="30" t="n">
        <v>45323</v>
      </c>
      <c r="B1046" s="31" t="s">
        <v>7</v>
      </c>
      <c r="C1046" s="32"/>
      <c r="D1046" s="32"/>
      <c r="E1046" s="19" t="n">
        <f aca="false">+F1046*0.03</f>
        <v>0</v>
      </c>
      <c r="F1046" s="33" t="n">
        <v>0</v>
      </c>
      <c r="G1046" s="62"/>
      <c r="H1046" s="35" t="n">
        <v>0</v>
      </c>
      <c r="I1046" s="34" t="n">
        <f aca="false">+IF(E1046=0,0,E1046*0.03)</f>
        <v>0</v>
      </c>
    </row>
    <row r="1047" customFormat="false" ht="15.75" hidden="false" customHeight="true" outlineLevel="0" collapsed="false">
      <c r="A1047" s="30" t="n">
        <v>45323</v>
      </c>
      <c r="B1047" s="31" t="s">
        <v>7</v>
      </c>
      <c r="C1047" s="32"/>
      <c r="D1047" s="32"/>
      <c r="E1047" s="19" t="n">
        <f aca="false">+F1047*0.03</f>
        <v>0</v>
      </c>
      <c r="F1047" s="33" t="n">
        <v>0</v>
      </c>
      <c r="G1047" s="62"/>
      <c r="H1047" s="35" t="n">
        <v>0</v>
      </c>
      <c r="I1047" s="34" t="n">
        <f aca="false">+IF(E1047=0,0,E1047*0.03)</f>
        <v>0</v>
      </c>
    </row>
    <row r="1048" customFormat="false" ht="15.75" hidden="false" customHeight="true" outlineLevel="0" collapsed="false">
      <c r="A1048" s="30" t="n">
        <v>45323</v>
      </c>
      <c r="B1048" s="31" t="s">
        <v>7</v>
      </c>
      <c r="C1048" s="32"/>
      <c r="D1048" s="32"/>
      <c r="E1048" s="19" t="n">
        <f aca="false">+F1048*0.03</f>
        <v>0</v>
      </c>
      <c r="F1048" s="33" t="n">
        <v>0</v>
      </c>
      <c r="G1048" s="62"/>
      <c r="H1048" s="35" t="n">
        <v>0</v>
      </c>
      <c r="I1048" s="34" t="n">
        <f aca="false">+IF(E1048=0,0,E1048*0.03)</f>
        <v>0</v>
      </c>
    </row>
    <row r="1049" customFormat="false" ht="15.75" hidden="false" customHeight="true" outlineLevel="0" collapsed="false">
      <c r="A1049" s="30" t="n">
        <v>45323</v>
      </c>
      <c r="B1049" s="31" t="s">
        <v>7</v>
      </c>
      <c r="C1049" s="32"/>
      <c r="D1049" s="32"/>
      <c r="E1049" s="19" t="n">
        <f aca="false">+F1049*0.03</f>
        <v>0</v>
      </c>
      <c r="F1049" s="33" t="n">
        <v>0</v>
      </c>
      <c r="G1049" s="62"/>
      <c r="H1049" s="35" t="n">
        <v>0</v>
      </c>
      <c r="I1049" s="34" t="n">
        <f aca="false">+IF(E1049=0,0,E1049*0.03)</f>
        <v>0</v>
      </c>
    </row>
    <row r="1050" customFormat="false" ht="15.75" hidden="false" customHeight="true" outlineLevel="0" collapsed="false">
      <c r="A1050" s="30" t="n">
        <v>45323</v>
      </c>
      <c r="B1050" s="31" t="s">
        <v>7</v>
      </c>
      <c r="C1050" s="32"/>
      <c r="D1050" s="32"/>
      <c r="E1050" s="19" t="n">
        <f aca="false">+F1050*0.03</f>
        <v>0</v>
      </c>
      <c r="F1050" s="33" t="n">
        <v>0</v>
      </c>
      <c r="G1050" s="62"/>
      <c r="H1050" s="35" t="n">
        <v>0</v>
      </c>
      <c r="I1050" s="34" t="n">
        <f aca="false">+IF(E1050=0,0,E1050*0.03)</f>
        <v>0</v>
      </c>
    </row>
    <row r="1051" customFormat="false" ht="15.75" hidden="false" customHeight="true" outlineLevel="0" collapsed="false">
      <c r="A1051" s="30" t="n">
        <v>45323</v>
      </c>
      <c r="B1051" s="31" t="s">
        <v>7</v>
      </c>
      <c r="C1051" s="32"/>
      <c r="D1051" s="32"/>
      <c r="E1051" s="19" t="n">
        <f aca="false">+F1051*0.03</f>
        <v>0</v>
      </c>
      <c r="F1051" s="33" t="n">
        <v>0</v>
      </c>
      <c r="G1051" s="62"/>
      <c r="H1051" s="35" t="n">
        <v>0</v>
      </c>
      <c r="I1051" s="34" t="n">
        <f aca="false">+IF(E1051=0,0,E1051*0.03)</f>
        <v>0</v>
      </c>
    </row>
    <row r="1052" customFormat="false" ht="15.75" hidden="false" customHeight="true" outlineLevel="0" collapsed="false">
      <c r="A1052" s="30" t="n">
        <v>45323</v>
      </c>
      <c r="B1052" s="31" t="s">
        <v>7</v>
      </c>
      <c r="C1052" s="32"/>
      <c r="D1052" s="32"/>
      <c r="E1052" s="19" t="n">
        <f aca="false">+F1052*0.03</f>
        <v>0</v>
      </c>
      <c r="F1052" s="33" t="n">
        <v>0</v>
      </c>
      <c r="G1052" s="62"/>
      <c r="H1052" s="35" t="n">
        <v>0</v>
      </c>
      <c r="I1052" s="34" t="n">
        <f aca="false">+IF(E1052=0,0,E1052*0.03)</f>
        <v>0</v>
      </c>
    </row>
    <row r="1053" customFormat="false" ht="15.75" hidden="false" customHeight="true" outlineLevel="0" collapsed="false">
      <c r="A1053" s="30" t="n">
        <v>45323</v>
      </c>
      <c r="B1053" s="31" t="s">
        <v>7</v>
      </c>
      <c r="C1053" s="32"/>
      <c r="D1053" s="32"/>
      <c r="E1053" s="19" t="n">
        <f aca="false">+F1053*0.03</f>
        <v>0</v>
      </c>
      <c r="F1053" s="33" t="n">
        <v>0</v>
      </c>
      <c r="G1053" s="62"/>
      <c r="H1053" s="35" t="n">
        <v>0</v>
      </c>
      <c r="I1053" s="34" t="n">
        <f aca="false">+IF(E1053=0,0,E1053*0.03)</f>
        <v>0</v>
      </c>
    </row>
    <row r="1054" customFormat="false" ht="15.75" hidden="false" customHeight="true" outlineLevel="0" collapsed="false">
      <c r="A1054" s="30" t="n">
        <v>45323</v>
      </c>
      <c r="B1054" s="31" t="s">
        <v>7</v>
      </c>
      <c r="C1054" s="32"/>
      <c r="D1054" s="32"/>
      <c r="E1054" s="19" t="n">
        <f aca="false">+F1054*0.03</f>
        <v>0</v>
      </c>
      <c r="F1054" s="33" t="n">
        <v>0</v>
      </c>
      <c r="G1054" s="62"/>
      <c r="H1054" s="35" t="n">
        <v>0</v>
      </c>
      <c r="I1054" s="34" t="n">
        <f aca="false">+IF(E1054=0,0,E1054*0.03)</f>
        <v>0</v>
      </c>
    </row>
    <row r="1055" customFormat="false" ht="15.75" hidden="false" customHeight="true" outlineLevel="0" collapsed="false">
      <c r="A1055" s="30" t="n">
        <v>45323</v>
      </c>
      <c r="B1055" s="31" t="s">
        <v>7</v>
      </c>
      <c r="C1055" s="32"/>
      <c r="D1055" s="32"/>
      <c r="E1055" s="19" t="n">
        <f aca="false">+F1055*0.03</f>
        <v>0</v>
      </c>
      <c r="F1055" s="33" t="n">
        <v>0</v>
      </c>
      <c r="G1055" s="62"/>
      <c r="H1055" s="35" t="n">
        <v>0</v>
      </c>
      <c r="I1055" s="34" t="n">
        <f aca="false">+IF(E1055=0,0,E1055*0.03)</f>
        <v>0</v>
      </c>
    </row>
    <row r="1056" customFormat="false" ht="15.75" hidden="false" customHeight="true" outlineLevel="0" collapsed="false">
      <c r="A1056" s="30" t="n">
        <v>45323</v>
      </c>
      <c r="B1056" s="31" t="s">
        <v>7</v>
      </c>
      <c r="C1056" s="32"/>
      <c r="D1056" s="32"/>
      <c r="E1056" s="19" t="n">
        <f aca="false">+F1056*0.03</f>
        <v>0</v>
      </c>
      <c r="F1056" s="33" t="n">
        <v>0</v>
      </c>
      <c r="G1056" s="62"/>
      <c r="H1056" s="35" t="n">
        <v>0</v>
      </c>
      <c r="I1056" s="34" t="n">
        <f aca="false">+IF(E1056=0,0,E1056*0.03)</f>
        <v>0</v>
      </c>
    </row>
    <row r="1057" customFormat="false" ht="15.75" hidden="false" customHeight="true" outlineLevel="0" collapsed="false">
      <c r="A1057" s="30" t="n">
        <v>45323</v>
      </c>
      <c r="B1057" s="31" t="s">
        <v>7</v>
      </c>
      <c r="C1057" s="32"/>
      <c r="D1057" s="32"/>
      <c r="E1057" s="19" t="n">
        <f aca="false">+F1057*0.03</f>
        <v>0</v>
      </c>
      <c r="F1057" s="33" t="n">
        <v>0</v>
      </c>
      <c r="G1057" s="62"/>
      <c r="H1057" s="35" t="n">
        <v>0</v>
      </c>
      <c r="I1057" s="34" t="n">
        <f aca="false">+IF(E1057=0,0,E1057*0.03)</f>
        <v>0</v>
      </c>
    </row>
    <row r="1058" customFormat="false" ht="15.75" hidden="false" customHeight="true" outlineLevel="0" collapsed="false">
      <c r="A1058" s="30" t="n">
        <v>45323</v>
      </c>
      <c r="B1058" s="31" t="s">
        <v>7</v>
      </c>
      <c r="C1058" s="32"/>
      <c r="D1058" s="32"/>
      <c r="E1058" s="19" t="n">
        <f aca="false">+F1058*0.03</f>
        <v>0</v>
      </c>
      <c r="F1058" s="33" t="n">
        <v>0</v>
      </c>
      <c r="G1058" s="62"/>
      <c r="H1058" s="35" t="n">
        <v>0</v>
      </c>
      <c r="I1058" s="34" t="n">
        <f aca="false">+IF(E1058=0,0,E1058*0.03)</f>
        <v>0</v>
      </c>
    </row>
    <row r="1059" customFormat="false" ht="15.75" hidden="false" customHeight="true" outlineLevel="0" collapsed="false">
      <c r="A1059" s="30" t="n">
        <v>45323</v>
      </c>
      <c r="B1059" s="31" t="s">
        <v>7</v>
      </c>
      <c r="C1059" s="32"/>
      <c r="D1059" s="32"/>
      <c r="E1059" s="19" t="n">
        <f aca="false">+F1059*0.03</f>
        <v>0</v>
      </c>
      <c r="F1059" s="33" t="n">
        <v>0</v>
      </c>
      <c r="G1059" s="62"/>
      <c r="H1059" s="35" t="n">
        <v>0</v>
      </c>
      <c r="I1059" s="34" t="n">
        <f aca="false">+IF(E1059=0,0,E1059*0.03)</f>
        <v>0</v>
      </c>
    </row>
    <row r="1060" customFormat="false" ht="15.75" hidden="false" customHeight="true" outlineLevel="0" collapsed="false">
      <c r="A1060" s="30" t="n">
        <v>45323</v>
      </c>
      <c r="B1060" s="31" t="s">
        <v>7</v>
      </c>
      <c r="C1060" s="32"/>
      <c r="D1060" s="32"/>
      <c r="E1060" s="19" t="n">
        <f aca="false">+F1060*0.03</f>
        <v>0</v>
      </c>
      <c r="F1060" s="33" t="n">
        <v>0</v>
      </c>
      <c r="G1060" s="62"/>
      <c r="H1060" s="35" t="n">
        <v>0</v>
      </c>
      <c r="I1060" s="34" t="n">
        <f aca="false">+IF(E1060=0,0,E1060*0.03)</f>
        <v>0</v>
      </c>
    </row>
    <row r="1061" customFormat="false" ht="15.75" hidden="false" customHeight="true" outlineLevel="0" collapsed="false">
      <c r="A1061" s="30" t="n">
        <v>45323</v>
      </c>
      <c r="B1061" s="31" t="s">
        <v>7</v>
      </c>
      <c r="C1061" s="32"/>
      <c r="D1061" s="32"/>
      <c r="E1061" s="19" t="n">
        <f aca="false">+F1061*0.03</f>
        <v>0</v>
      </c>
      <c r="F1061" s="33" t="n">
        <v>0</v>
      </c>
      <c r="G1061" s="62"/>
      <c r="H1061" s="35" t="n">
        <v>0</v>
      </c>
      <c r="I1061" s="34" t="n">
        <f aca="false">+IF(E1061=0,0,E1061*0.03)</f>
        <v>0</v>
      </c>
    </row>
    <row r="1062" customFormat="false" ht="15.75" hidden="false" customHeight="true" outlineLevel="0" collapsed="false">
      <c r="A1062" s="30" t="n">
        <v>45323</v>
      </c>
      <c r="B1062" s="31" t="s">
        <v>7</v>
      </c>
      <c r="C1062" s="32"/>
      <c r="D1062" s="32"/>
      <c r="E1062" s="19" t="n">
        <f aca="false">+F1062*0.03</f>
        <v>0</v>
      </c>
      <c r="F1062" s="33" t="n">
        <v>0</v>
      </c>
      <c r="G1062" s="62"/>
      <c r="H1062" s="35" t="n">
        <v>0</v>
      </c>
      <c r="I1062" s="34" t="n">
        <f aca="false">+IF(E1062=0,0,E1062*0.03)</f>
        <v>0</v>
      </c>
    </row>
    <row r="1063" customFormat="false" ht="15.75" hidden="false" customHeight="true" outlineLevel="0" collapsed="false">
      <c r="A1063" s="30" t="n">
        <v>45323</v>
      </c>
      <c r="B1063" s="31" t="s">
        <v>7</v>
      </c>
      <c r="C1063" s="32"/>
      <c r="D1063" s="32"/>
      <c r="E1063" s="19" t="n">
        <f aca="false">+F1063*0.03</f>
        <v>0</v>
      </c>
      <c r="F1063" s="33" t="n">
        <v>0</v>
      </c>
      <c r="G1063" s="62"/>
      <c r="H1063" s="35" t="n">
        <v>0</v>
      </c>
      <c r="I1063" s="34" t="n">
        <f aca="false">+IF(E1063=0,0,E1063*0.03)</f>
        <v>0</v>
      </c>
    </row>
    <row r="1064" customFormat="false" ht="15.75" hidden="false" customHeight="true" outlineLevel="0" collapsed="false">
      <c r="A1064" s="30" t="n">
        <v>45323</v>
      </c>
      <c r="B1064" s="31" t="s">
        <v>7</v>
      </c>
      <c r="C1064" s="32"/>
      <c r="D1064" s="32"/>
      <c r="E1064" s="19" t="n">
        <f aca="false">+F1064*0.03</f>
        <v>0</v>
      </c>
      <c r="F1064" s="33" t="n">
        <v>0</v>
      </c>
      <c r="G1064" s="62"/>
      <c r="H1064" s="35" t="n">
        <v>0</v>
      </c>
      <c r="I1064" s="34" t="n">
        <f aca="false">+IF(E1064=0,0,E1064*0.03)</f>
        <v>0</v>
      </c>
    </row>
    <row r="1065" customFormat="false" ht="15.75" hidden="false" customHeight="true" outlineLevel="0" collapsed="false">
      <c r="A1065" s="30" t="n">
        <v>45323</v>
      </c>
      <c r="B1065" s="31" t="s">
        <v>7</v>
      </c>
      <c r="C1065" s="32"/>
      <c r="D1065" s="32"/>
      <c r="E1065" s="19" t="n">
        <f aca="false">+F1065*0.03</f>
        <v>0</v>
      </c>
      <c r="F1065" s="33" t="n">
        <v>0</v>
      </c>
      <c r="G1065" s="62"/>
      <c r="H1065" s="35" t="n">
        <v>0</v>
      </c>
      <c r="I1065" s="34" t="n">
        <f aca="false">+IF(E1065=0,0,E1065*0.03)</f>
        <v>0</v>
      </c>
    </row>
    <row r="1066" customFormat="false" ht="15.75" hidden="false" customHeight="true" outlineLevel="0" collapsed="false">
      <c r="A1066" s="30" t="n">
        <v>45323</v>
      </c>
      <c r="B1066" s="31" t="s">
        <v>7</v>
      </c>
      <c r="C1066" s="32"/>
      <c r="D1066" s="32"/>
      <c r="E1066" s="19" t="n">
        <f aca="false">+F1066*0.03</f>
        <v>0</v>
      </c>
      <c r="F1066" s="33" t="n">
        <v>0</v>
      </c>
      <c r="G1066" s="62"/>
      <c r="H1066" s="35" t="n">
        <v>0</v>
      </c>
      <c r="I1066" s="34" t="n">
        <f aca="false">+IF(E1066=0,0,E1066*0.03)</f>
        <v>0</v>
      </c>
    </row>
    <row r="1067" customFormat="false" ht="15.75" hidden="false" customHeight="true" outlineLevel="0" collapsed="false">
      <c r="A1067" s="30" t="n">
        <v>45323</v>
      </c>
      <c r="B1067" s="31" t="s">
        <v>7</v>
      </c>
      <c r="C1067" s="32"/>
      <c r="D1067" s="32"/>
      <c r="E1067" s="19" t="n">
        <f aca="false">+F1067*0.03</f>
        <v>0</v>
      </c>
      <c r="F1067" s="33" t="n">
        <v>0</v>
      </c>
      <c r="G1067" s="62"/>
      <c r="H1067" s="35" t="n">
        <v>0</v>
      </c>
      <c r="I1067" s="34" t="n">
        <f aca="false">+IF(E1067=0,0,E1067*0.03)</f>
        <v>0</v>
      </c>
    </row>
    <row r="1068" customFormat="false" ht="15.75" hidden="false" customHeight="true" outlineLevel="0" collapsed="false">
      <c r="A1068" s="30" t="n">
        <v>45323</v>
      </c>
      <c r="B1068" s="31" t="s">
        <v>7</v>
      </c>
      <c r="C1068" s="32"/>
      <c r="D1068" s="32"/>
      <c r="E1068" s="19" t="n">
        <f aca="false">+F1068*0.03</f>
        <v>0</v>
      </c>
      <c r="F1068" s="33" t="n">
        <v>0</v>
      </c>
      <c r="G1068" s="62"/>
      <c r="H1068" s="35" t="n">
        <v>0</v>
      </c>
      <c r="I1068" s="34" t="n">
        <f aca="false">+IF(E1068=0,0,E1068*0.03)</f>
        <v>0</v>
      </c>
    </row>
    <row r="1069" customFormat="false" ht="15.75" hidden="false" customHeight="true" outlineLevel="0" collapsed="false">
      <c r="A1069" s="30" t="n">
        <v>45323</v>
      </c>
      <c r="B1069" s="31" t="s">
        <v>7</v>
      </c>
      <c r="C1069" s="32"/>
      <c r="D1069" s="32"/>
      <c r="E1069" s="19" t="n">
        <f aca="false">+F1069*0.03</f>
        <v>0</v>
      </c>
      <c r="F1069" s="33" t="n">
        <v>0</v>
      </c>
      <c r="G1069" s="62"/>
      <c r="H1069" s="35" t="n">
        <v>0</v>
      </c>
      <c r="I1069" s="34" t="n">
        <f aca="false">+IF(E1069=0,0,E1069*0.03)</f>
        <v>0</v>
      </c>
    </row>
    <row r="1070" customFormat="false" ht="15.75" hidden="false" customHeight="true" outlineLevel="0" collapsed="false">
      <c r="A1070" s="30" t="n">
        <v>45323</v>
      </c>
      <c r="B1070" s="31" t="s">
        <v>7</v>
      </c>
      <c r="C1070" s="32"/>
      <c r="D1070" s="32"/>
      <c r="E1070" s="19" t="n">
        <f aca="false">+F1070*0.03</f>
        <v>0</v>
      </c>
      <c r="F1070" s="33" t="n">
        <v>0</v>
      </c>
      <c r="G1070" s="62"/>
      <c r="H1070" s="35" t="n">
        <v>0</v>
      </c>
      <c r="I1070" s="34" t="n">
        <f aca="false">+IF(E1070=0,0,E1070*0.03)</f>
        <v>0</v>
      </c>
    </row>
    <row r="1071" customFormat="false" ht="15.75" hidden="false" customHeight="true" outlineLevel="0" collapsed="false">
      <c r="A1071" s="30" t="n">
        <v>45323</v>
      </c>
      <c r="B1071" s="31" t="s">
        <v>7</v>
      </c>
      <c r="C1071" s="32"/>
      <c r="D1071" s="32"/>
      <c r="E1071" s="19" t="n">
        <f aca="false">+F1071*0.03</f>
        <v>0</v>
      </c>
      <c r="F1071" s="33" t="n">
        <v>0</v>
      </c>
      <c r="G1071" s="62"/>
      <c r="H1071" s="35" t="n">
        <v>0</v>
      </c>
      <c r="I1071" s="34" t="n">
        <f aca="false">+IF(E1071=0,0,E1071*0.03)</f>
        <v>0</v>
      </c>
    </row>
    <row r="1072" customFormat="false" ht="15.75" hidden="false" customHeight="true" outlineLevel="0" collapsed="false">
      <c r="A1072" s="30" t="n">
        <v>45323</v>
      </c>
      <c r="B1072" s="31" t="s">
        <v>7</v>
      </c>
      <c r="C1072" s="32"/>
      <c r="D1072" s="32"/>
      <c r="E1072" s="19" t="n">
        <f aca="false">+F1072*0.03</f>
        <v>0</v>
      </c>
      <c r="F1072" s="33" t="n">
        <v>0</v>
      </c>
      <c r="G1072" s="62"/>
      <c r="H1072" s="35" t="n">
        <v>0</v>
      </c>
      <c r="I1072" s="34" t="n">
        <f aca="false">+IF(E1072=0,0,E1072*0.03)</f>
        <v>0</v>
      </c>
    </row>
    <row r="1073" customFormat="false" ht="15.75" hidden="false" customHeight="true" outlineLevel="0" collapsed="false">
      <c r="A1073" s="30" t="n">
        <v>45323</v>
      </c>
      <c r="B1073" s="31" t="s">
        <v>7</v>
      </c>
      <c r="C1073" s="32"/>
      <c r="D1073" s="32"/>
      <c r="E1073" s="19" t="n">
        <f aca="false">+F1073*0.03</f>
        <v>0</v>
      </c>
      <c r="F1073" s="33" t="n">
        <v>0</v>
      </c>
      <c r="G1073" s="62"/>
      <c r="H1073" s="35" t="n">
        <v>0</v>
      </c>
      <c r="I1073" s="34" t="n">
        <f aca="false">+IF(E1073=0,0,E1073*0.03)</f>
        <v>0</v>
      </c>
    </row>
    <row r="1074" customFormat="false" ht="15.75" hidden="false" customHeight="true" outlineLevel="0" collapsed="false">
      <c r="A1074" s="30" t="n">
        <v>45323</v>
      </c>
      <c r="B1074" s="31" t="s">
        <v>7</v>
      </c>
      <c r="C1074" s="32"/>
      <c r="D1074" s="32"/>
      <c r="E1074" s="19" t="n">
        <f aca="false">+F1074*0.03</f>
        <v>0</v>
      </c>
      <c r="F1074" s="33" t="n">
        <v>0</v>
      </c>
      <c r="G1074" s="62"/>
      <c r="H1074" s="35" t="n">
        <v>0</v>
      </c>
      <c r="I1074" s="34" t="n">
        <f aca="false">+IF(E1074=0,0,E1074*0.03)</f>
        <v>0</v>
      </c>
    </row>
    <row r="1075" customFormat="false" ht="15.75" hidden="false" customHeight="true" outlineLevel="0" collapsed="false">
      <c r="A1075" s="30" t="n">
        <v>45323</v>
      </c>
      <c r="B1075" s="31" t="s">
        <v>7</v>
      </c>
      <c r="C1075" s="32"/>
      <c r="D1075" s="32"/>
      <c r="E1075" s="19" t="n">
        <f aca="false">+F1075*0.03</f>
        <v>0</v>
      </c>
      <c r="F1075" s="33" t="n">
        <v>0</v>
      </c>
      <c r="G1075" s="62"/>
      <c r="H1075" s="35" t="n">
        <v>0</v>
      </c>
      <c r="I1075" s="34" t="n">
        <f aca="false">+IF(E1075=0,0,E1075*0.03)</f>
        <v>0</v>
      </c>
    </row>
    <row r="1076" customFormat="false" ht="15.75" hidden="false" customHeight="true" outlineLevel="0" collapsed="false">
      <c r="A1076" s="30" t="n">
        <v>45323</v>
      </c>
      <c r="B1076" s="31" t="s">
        <v>7</v>
      </c>
      <c r="C1076" s="32"/>
      <c r="D1076" s="32"/>
      <c r="E1076" s="19" t="n">
        <f aca="false">+F1076*0.03</f>
        <v>0</v>
      </c>
      <c r="F1076" s="33" t="n">
        <v>0</v>
      </c>
      <c r="G1076" s="62"/>
      <c r="H1076" s="35" t="n">
        <v>0</v>
      </c>
      <c r="I1076" s="34" t="n">
        <f aca="false">+IF(E1076=0,0,E1076*0.03)</f>
        <v>0</v>
      </c>
    </row>
    <row r="1077" customFormat="false" ht="15.75" hidden="false" customHeight="true" outlineLevel="0" collapsed="false">
      <c r="A1077" s="30" t="n">
        <v>45323</v>
      </c>
      <c r="B1077" s="31" t="s">
        <v>7</v>
      </c>
      <c r="C1077" s="32"/>
      <c r="D1077" s="32"/>
      <c r="E1077" s="19" t="n">
        <f aca="false">+F1077*0.03</f>
        <v>0</v>
      </c>
      <c r="F1077" s="33" t="n">
        <v>0</v>
      </c>
      <c r="G1077" s="62"/>
      <c r="H1077" s="35" t="n">
        <v>0</v>
      </c>
      <c r="I1077" s="34" t="n">
        <f aca="false">+IF(E1077=0,0,E1077*0.03)</f>
        <v>0</v>
      </c>
    </row>
    <row r="1078" customFormat="false" ht="15.75" hidden="false" customHeight="true" outlineLevel="0" collapsed="false">
      <c r="A1078" s="30" t="n">
        <v>45323</v>
      </c>
      <c r="B1078" s="31" t="s">
        <v>7</v>
      </c>
      <c r="C1078" s="32"/>
      <c r="D1078" s="32"/>
      <c r="E1078" s="19" t="n">
        <f aca="false">+F1078*0.03</f>
        <v>0</v>
      </c>
      <c r="F1078" s="33" t="n">
        <v>0</v>
      </c>
      <c r="G1078" s="62"/>
      <c r="H1078" s="35" t="n">
        <v>0</v>
      </c>
      <c r="I1078" s="34" t="n">
        <f aca="false">+IF(E1078=0,0,E1078*0.03)</f>
        <v>0</v>
      </c>
    </row>
    <row r="1079" customFormat="false" ht="15.75" hidden="false" customHeight="true" outlineLevel="0" collapsed="false">
      <c r="A1079" s="30" t="n">
        <v>45323</v>
      </c>
      <c r="B1079" s="31" t="s">
        <v>7</v>
      </c>
      <c r="C1079" s="32"/>
      <c r="D1079" s="32"/>
      <c r="E1079" s="19" t="n">
        <f aca="false">+F1079*0.03</f>
        <v>0</v>
      </c>
      <c r="F1079" s="33" t="n">
        <v>0</v>
      </c>
      <c r="G1079" s="62"/>
      <c r="H1079" s="35" t="n">
        <v>0</v>
      </c>
      <c r="I1079" s="34" t="n">
        <f aca="false">+IF(E1079=0,0,E1079*0.03)</f>
        <v>0</v>
      </c>
    </row>
    <row r="1080" customFormat="false" ht="15.75" hidden="false" customHeight="true" outlineLevel="0" collapsed="false">
      <c r="A1080" s="30" t="n">
        <v>45323</v>
      </c>
      <c r="B1080" s="31" t="s">
        <v>7</v>
      </c>
      <c r="C1080" s="32"/>
      <c r="D1080" s="32"/>
      <c r="E1080" s="19" t="n">
        <f aca="false">+F1080*0.03</f>
        <v>0</v>
      </c>
      <c r="F1080" s="33" t="n">
        <v>0</v>
      </c>
      <c r="G1080" s="62"/>
      <c r="H1080" s="35" t="n">
        <v>0</v>
      </c>
      <c r="I1080" s="34" t="n">
        <f aca="false">+IF(E1080=0,0,E1080*0.03)</f>
        <v>0</v>
      </c>
    </row>
    <row r="1081" customFormat="false" ht="15.75" hidden="false" customHeight="true" outlineLevel="0" collapsed="false">
      <c r="A1081" s="30" t="n">
        <v>45323</v>
      </c>
      <c r="B1081" s="31" t="s">
        <v>7</v>
      </c>
      <c r="C1081" s="32"/>
      <c r="D1081" s="32"/>
      <c r="E1081" s="19" t="n">
        <f aca="false">+F1081*0.03</f>
        <v>0</v>
      </c>
      <c r="F1081" s="33" t="n">
        <v>0</v>
      </c>
      <c r="G1081" s="62"/>
      <c r="H1081" s="35" t="n">
        <v>0</v>
      </c>
      <c r="I1081" s="34" t="n">
        <f aca="false">+IF(E1081=0,0,E1081*0.03)</f>
        <v>0</v>
      </c>
    </row>
    <row r="1082" customFormat="false" ht="15.75" hidden="false" customHeight="true" outlineLevel="0" collapsed="false">
      <c r="A1082" s="30" t="n">
        <v>45323</v>
      </c>
      <c r="B1082" s="31" t="s">
        <v>7</v>
      </c>
      <c r="C1082" s="32"/>
      <c r="D1082" s="32"/>
      <c r="E1082" s="19" t="n">
        <f aca="false">+F1082*0.03</f>
        <v>0</v>
      </c>
      <c r="F1082" s="33" t="n">
        <v>0</v>
      </c>
      <c r="G1082" s="62"/>
      <c r="H1082" s="35" t="n">
        <v>0</v>
      </c>
      <c r="I1082" s="34" t="n">
        <f aca="false">+IF(E1082=0,0,E1082*0.03)</f>
        <v>0</v>
      </c>
    </row>
    <row r="1083" customFormat="false" ht="15.75" hidden="false" customHeight="true" outlineLevel="0" collapsed="false">
      <c r="A1083" s="30" t="n">
        <v>45323</v>
      </c>
      <c r="B1083" s="31" t="s">
        <v>7</v>
      </c>
      <c r="C1083" s="32"/>
      <c r="D1083" s="32"/>
      <c r="E1083" s="19" t="n">
        <f aca="false">+F1083*0.03</f>
        <v>0</v>
      </c>
      <c r="F1083" s="33" t="n">
        <v>0</v>
      </c>
      <c r="G1083" s="62"/>
      <c r="H1083" s="35" t="n">
        <v>0</v>
      </c>
      <c r="I1083" s="34" t="n">
        <f aca="false">+IF(E1083=0,0,E1083*0.03)</f>
        <v>0</v>
      </c>
    </row>
    <row r="1084" customFormat="false" ht="15.75" hidden="false" customHeight="true" outlineLevel="0" collapsed="false">
      <c r="A1084" s="30" t="n">
        <v>45323</v>
      </c>
      <c r="B1084" s="31" t="s">
        <v>7</v>
      </c>
      <c r="C1084" s="32"/>
      <c r="D1084" s="32"/>
      <c r="E1084" s="19" t="n">
        <f aca="false">+F1084*0.03</f>
        <v>0</v>
      </c>
      <c r="F1084" s="33" t="n">
        <v>0</v>
      </c>
      <c r="G1084" s="62"/>
      <c r="H1084" s="35" t="n">
        <v>0</v>
      </c>
      <c r="I1084" s="34" t="n">
        <f aca="false">+IF(E1084=0,0,E1084*0.03)</f>
        <v>0</v>
      </c>
    </row>
    <row r="1085" customFormat="false" ht="15.75" hidden="false" customHeight="true" outlineLevel="0" collapsed="false">
      <c r="A1085" s="30" t="n">
        <v>45323</v>
      </c>
      <c r="B1085" s="31" t="s">
        <v>7</v>
      </c>
      <c r="C1085" s="32"/>
      <c r="D1085" s="32"/>
      <c r="E1085" s="19" t="n">
        <f aca="false">+F1085*0.03</f>
        <v>0</v>
      </c>
      <c r="F1085" s="33" t="n">
        <v>0</v>
      </c>
      <c r="G1085" s="62"/>
      <c r="H1085" s="35" t="n">
        <v>0</v>
      </c>
      <c r="I1085" s="34" t="n">
        <f aca="false">+IF(E1085=0,0,E1085*0.03)</f>
        <v>0</v>
      </c>
    </row>
    <row r="1086" customFormat="false" ht="15.75" hidden="false" customHeight="true" outlineLevel="0" collapsed="false">
      <c r="A1086" s="30" t="n">
        <v>45323</v>
      </c>
      <c r="B1086" s="31" t="s">
        <v>7</v>
      </c>
      <c r="C1086" s="32"/>
      <c r="D1086" s="32"/>
      <c r="E1086" s="19" t="n">
        <f aca="false">+F1086*0.03</f>
        <v>0</v>
      </c>
      <c r="F1086" s="33" t="n">
        <v>0</v>
      </c>
      <c r="G1086" s="62"/>
      <c r="H1086" s="35" t="n">
        <v>0</v>
      </c>
      <c r="I1086" s="34" t="n">
        <f aca="false">+IF(E1086=0,0,E1086*0.03)</f>
        <v>0</v>
      </c>
    </row>
    <row r="1087" customFormat="false" ht="15.75" hidden="false" customHeight="true" outlineLevel="0" collapsed="false">
      <c r="A1087" s="30" t="n">
        <v>45323</v>
      </c>
      <c r="B1087" s="31" t="s">
        <v>7</v>
      </c>
      <c r="C1087" s="32"/>
      <c r="D1087" s="32"/>
      <c r="E1087" s="19" t="n">
        <f aca="false">+F1087*0.03</f>
        <v>0</v>
      </c>
      <c r="F1087" s="33" t="n">
        <v>0</v>
      </c>
      <c r="G1087" s="62"/>
      <c r="H1087" s="35" t="n">
        <v>0</v>
      </c>
      <c r="I1087" s="34" t="n">
        <f aca="false">+IF(E1087=0,0,E1087*0.03)</f>
        <v>0</v>
      </c>
    </row>
    <row r="1088" customFormat="false" ht="15.75" hidden="false" customHeight="true" outlineLevel="0" collapsed="false">
      <c r="A1088" s="30" t="n">
        <v>45323</v>
      </c>
      <c r="B1088" s="31" t="s">
        <v>7</v>
      </c>
      <c r="C1088" s="32"/>
      <c r="D1088" s="32"/>
      <c r="E1088" s="19" t="n">
        <f aca="false">+F1088*0.03</f>
        <v>0</v>
      </c>
      <c r="F1088" s="33" t="n">
        <v>0</v>
      </c>
      <c r="G1088" s="62"/>
      <c r="H1088" s="35" t="n">
        <v>0</v>
      </c>
      <c r="I1088" s="34" t="n">
        <f aca="false">+IF(E1088=0,0,E1088*0.03)</f>
        <v>0</v>
      </c>
    </row>
    <row r="1089" customFormat="false" ht="15.75" hidden="false" customHeight="true" outlineLevel="0" collapsed="false">
      <c r="A1089" s="30" t="n">
        <v>45323</v>
      </c>
      <c r="B1089" s="31" t="s">
        <v>7</v>
      </c>
      <c r="C1089" s="32"/>
      <c r="D1089" s="32"/>
      <c r="E1089" s="19" t="n">
        <f aca="false">+F1089*0.03</f>
        <v>0</v>
      </c>
      <c r="F1089" s="33" t="n">
        <v>0</v>
      </c>
      <c r="G1089" s="62"/>
      <c r="H1089" s="35" t="n">
        <v>0</v>
      </c>
      <c r="I1089" s="34" t="n">
        <f aca="false">+IF(E1089=0,0,E1089*0.03)</f>
        <v>0</v>
      </c>
    </row>
    <row r="1090" customFormat="false" ht="15.75" hidden="false" customHeight="true" outlineLevel="0" collapsed="false">
      <c r="A1090" s="30" t="n">
        <v>45323</v>
      </c>
      <c r="B1090" s="31" t="s">
        <v>7</v>
      </c>
      <c r="C1090" s="32"/>
      <c r="D1090" s="32"/>
      <c r="E1090" s="19" t="n">
        <f aca="false">+F1090*0.03</f>
        <v>0</v>
      </c>
      <c r="F1090" s="33" t="n">
        <v>0</v>
      </c>
      <c r="G1090" s="62"/>
      <c r="H1090" s="35" t="n">
        <v>0</v>
      </c>
      <c r="I1090" s="34" t="n">
        <f aca="false">+IF(E1090=0,0,E1090*0.03)</f>
        <v>0</v>
      </c>
    </row>
    <row r="1091" customFormat="false" ht="15.75" hidden="false" customHeight="true" outlineLevel="0" collapsed="false">
      <c r="A1091" s="30" t="n">
        <v>45323</v>
      </c>
      <c r="B1091" s="31" t="s">
        <v>7</v>
      </c>
      <c r="C1091" s="32"/>
      <c r="D1091" s="32"/>
      <c r="E1091" s="19" t="n">
        <f aca="false">+F1091*0.03</f>
        <v>0</v>
      </c>
      <c r="F1091" s="33" t="n">
        <v>0</v>
      </c>
      <c r="G1091" s="62"/>
      <c r="H1091" s="35" t="n">
        <v>0</v>
      </c>
      <c r="I1091" s="34" t="n">
        <f aca="false">+IF(E1091=0,0,E1091*0.03)</f>
        <v>0</v>
      </c>
    </row>
    <row r="1092" customFormat="false" ht="15.75" hidden="false" customHeight="true" outlineLevel="0" collapsed="false">
      <c r="A1092" s="30" t="n">
        <v>45323</v>
      </c>
      <c r="B1092" s="31" t="s">
        <v>7</v>
      </c>
      <c r="C1092" s="32"/>
      <c r="D1092" s="32"/>
      <c r="E1092" s="19" t="n">
        <f aca="false">+F1092*0.03</f>
        <v>0</v>
      </c>
      <c r="F1092" s="33" t="n">
        <v>0</v>
      </c>
      <c r="G1092" s="62"/>
      <c r="H1092" s="35" t="n">
        <v>0</v>
      </c>
      <c r="I1092" s="34" t="n">
        <f aca="false">+IF(E1092=0,0,E1092*0.03)</f>
        <v>0</v>
      </c>
    </row>
    <row r="1093" customFormat="false" ht="15.75" hidden="false" customHeight="true" outlineLevel="0" collapsed="false">
      <c r="A1093" s="30" t="n">
        <v>45323</v>
      </c>
      <c r="B1093" s="31" t="s">
        <v>7</v>
      </c>
      <c r="C1093" s="32"/>
      <c r="D1093" s="32"/>
      <c r="E1093" s="19" t="n">
        <f aca="false">+F1093*0.03</f>
        <v>0</v>
      </c>
      <c r="F1093" s="33" t="n">
        <v>0</v>
      </c>
      <c r="G1093" s="62"/>
      <c r="H1093" s="35" t="n">
        <v>0</v>
      </c>
      <c r="I1093" s="34" t="n">
        <f aca="false">+IF(E1093=0,0,E1093*0.03)</f>
        <v>0</v>
      </c>
    </row>
    <row r="1094" customFormat="false" ht="15.75" hidden="false" customHeight="true" outlineLevel="0" collapsed="false">
      <c r="A1094" s="30" t="n">
        <v>45323</v>
      </c>
      <c r="B1094" s="31" t="s">
        <v>7</v>
      </c>
      <c r="C1094" s="32"/>
      <c r="D1094" s="32"/>
      <c r="E1094" s="19" t="n">
        <f aca="false">+F1094*0.03</f>
        <v>0</v>
      </c>
      <c r="F1094" s="33" t="n">
        <v>0</v>
      </c>
      <c r="G1094" s="62"/>
      <c r="H1094" s="35" t="n">
        <v>0</v>
      </c>
      <c r="I1094" s="34" t="n">
        <f aca="false">+IF(E1094=0,0,E1094*0.03)</f>
        <v>0</v>
      </c>
    </row>
    <row r="1095" customFormat="false" ht="15.75" hidden="false" customHeight="true" outlineLevel="0" collapsed="false">
      <c r="A1095" s="30" t="n">
        <v>45323</v>
      </c>
      <c r="B1095" s="31" t="s">
        <v>7</v>
      </c>
      <c r="C1095" s="32"/>
      <c r="D1095" s="32"/>
      <c r="E1095" s="19" t="n">
        <f aca="false">+F1095*0.03</f>
        <v>0</v>
      </c>
      <c r="F1095" s="33" t="n">
        <v>0</v>
      </c>
      <c r="G1095" s="62"/>
      <c r="H1095" s="35" t="n">
        <v>0</v>
      </c>
      <c r="I1095" s="34" t="n">
        <f aca="false">+IF(E1095=0,0,E1095*0.03)</f>
        <v>0</v>
      </c>
    </row>
    <row r="1096" customFormat="false" ht="15.75" hidden="false" customHeight="true" outlineLevel="0" collapsed="false">
      <c r="A1096" s="30" t="n">
        <v>45323</v>
      </c>
      <c r="B1096" s="31" t="s">
        <v>7</v>
      </c>
      <c r="C1096" s="32"/>
      <c r="D1096" s="32"/>
      <c r="E1096" s="19" t="n">
        <f aca="false">+F1096*0.03</f>
        <v>0</v>
      </c>
      <c r="F1096" s="33" t="n">
        <v>0</v>
      </c>
      <c r="G1096" s="62"/>
      <c r="H1096" s="35" t="n">
        <v>0</v>
      </c>
      <c r="I1096" s="34" t="n">
        <f aca="false">+IF(E1096=0,0,E1096*0.03)</f>
        <v>0</v>
      </c>
    </row>
    <row r="1097" customFormat="false" ht="15.75" hidden="false" customHeight="true" outlineLevel="0" collapsed="false">
      <c r="A1097" s="30" t="n">
        <v>45323</v>
      </c>
      <c r="B1097" s="31" t="s">
        <v>7</v>
      </c>
      <c r="C1097" s="32"/>
      <c r="D1097" s="32"/>
      <c r="E1097" s="19" t="n">
        <f aca="false">+F1097*0.03</f>
        <v>0</v>
      </c>
      <c r="F1097" s="33" t="n">
        <v>0</v>
      </c>
      <c r="G1097" s="62"/>
      <c r="H1097" s="35" t="n">
        <v>0</v>
      </c>
      <c r="I1097" s="34" t="n">
        <f aca="false">+IF(E1097=0,0,E1097*0.03)</f>
        <v>0</v>
      </c>
    </row>
    <row r="1098" customFormat="false" ht="15.75" hidden="false" customHeight="true" outlineLevel="0" collapsed="false">
      <c r="A1098" s="30" t="n">
        <v>45323</v>
      </c>
      <c r="B1098" s="31" t="s">
        <v>7</v>
      </c>
      <c r="C1098" s="32"/>
      <c r="D1098" s="32"/>
      <c r="E1098" s="19" t="n">
        <f aca="false">+F1098*0.03</f>
        <v>0</v>
      </c>
      <c r="F1098" s="33" t="n">
        <v>0</v>
      </c>
      <c r="G1098" s="62"/>
      <c r="H1098" s="35" t="n">
        <v>0</v>
      </c>
      <c r="I1098" s="34" t="n">
        <f aca="false">+IF(E1098=0,0,E1098*0.03)</f>
        <v>0</v>
      </c>
    </row>
    <row r="1099" customFormat="false" ht="15.75" hidden="false" customHeight="true" outlineLevel="0" collapsed="false">
      <c r="A1099" s="30" t="n">
        <v>45323</v>
      </c>
      <c r="B1099" s="31" t="s">
        <v>7</v>
      </c>
      <c r="C1099" s="32"/>
      <c r="D1099" s="32"/>
      <c r="E1099" s="19" t="n">
        <f aca="false">+F1099*0.03</f>
        <v>0</v>
      </c>
      <c r="F1099" s="33" t="n">
        <v>0</v>
      </c>
      <c r="G1099" s="62"/>
      <c r="H1099" s="35" t="n">
        <v>0</v>
      </c>
      <c r="I1099" s="34" t="n">
        <f aca="false">+IF(E1099=0,0,E1099*0.03)</f>
        <v>0</v>
      </c>
    </row>
    <row r="1100" customFormat="false" ht="15.75" hidden="false" customHeight="true" outlineLevel="0" collapsed="false">
      <c r="A1100" s="30" t="n">
        <v>45323</v>
      </c>
      <c r="B1100" s="31" t="s">
        <v>7</v>
      </c>
      <c r="C1100" s="32"/>
      <c r="D1100" s="32"/>
      <c r="E1100" s="19" t="n">
        <f aca="false">+F1100*0.03</f>
        <v>0</v>
      </c>
      <c r="F1100" s="33" t="n">
        <v>0</v>
      </c>
      <c r="G1100" s="62"/>
      <c r="H1100" s="35" t="n">
        <v>0</v>
      </c>
      <c r="I1100" s="34" t="n">
        <f aca="false">+IF(E1100=0,0,E1100*0.03)</f>
        <v>0</v>
      </c>
    </row>
    <row r="1101" customFormat="false" ht="15.75" hidden="false" customHeight="true" outlineLevel="0" collapsed="false">
      <c r="A1101" s="30" t="n">
        <v>45323</v>
      </c>
      <c r="B1101" s="31" t="s">
        <v>7</v>
      </c>
      <c r="C1101" s="32"/>
      <c r="D1101" s="32"/>
      <c r="E1101" s="19" t="n">
        <f aca="false">+F1101*0.03</f>
        <v>0</v>
      </c>
      <c r="F1101" s="33" t="n">
        <v>0</v>
      </c>
      <c r="G1101" s="62"/>
      <c r="H1101" s="35" t="n">
        <v>0</v>
      </c>
      <c r="I1101" s="34" t="n">
        <f aca="false">+IF(E1101=0,0,E1101*0.03)</f>
        <v>0</v>
      </c>
    </row>
    <row r="1102" customFormat="false" ht="15.75" hidden="false" customHeight="true" outlineLevel="0" collapsed="false">
      <c r="A1102" s="30" t="n">
        <v>45323</v>
      </c>
      <c r="B1102" s="31" t="s">
        <v>7</v>
      </c>
      <c r="C1102" s="32"/>
      <c r="D1102" s="32"/>
      <c r="E1102" s="19" t="n">
        <f aca="false">+F1102*0.03</f>
        <v>0</v>
      </c>
      <c r="F1102" s="33" t="n">
        <v>0</v>
      </c>
      <c r="G1102" s="62"/>
      <c r="H1102" s="35" t="n">
        <v>0</v>
      </c>
      <c r="I1102" s="34" t="n">
        <f aca="false">+IF(E1102=0,0,E1102*0.03)</f>
        <v>0</v>
      </c>
    </row>
    <row r="1103" customFormat="false" ht="15.75" hidden="false" customHeight="true" outlineLevel="0" collapsed="false">
      <c r="A1103" s="30" t="n">
        <v>45323</v>
      </c>
      <c r="B1103" s="31" t="s">
        <v>7</v>
      </c>
      <c r="C1103" s="32"/>
      <c r="D1103" s="32"/>
      <c r="E1103" s="19" t="n">
        <f aca="false">+F1103*0.03</f>
        <v>0</v>
      </c>
      <c r="F1103" s="33" t="n">
        <v>0</v>
      </c>
      <c r="G1103" s="62"/>
      <c r="H1103" s="35" t="n">
        <v>0</v>
      </c>
      <c r="I1103" s="34" t="n">
        <f aca="false">+IF(E1103=0,0,E1103*0.03)</f>
        <v>0</v>
      </c>
    </row>
    <row r="1104" customFormat="false" ht="15.75" hidden="false" customHeight="true" outlineLevel="0" collapsed="false">
      <c r="A1104" s="30" t="n">
        <v>45323</v>
      </c>
      <c r="B1104" s="31" t="s">
        <v>7</v>
      </c>
      <c r="C1104" s="32"/>
      <c r="D1104" s="32"/>
      <c r="E1104" s="19" t="n">
        <f aca="false">+F1104*0.03</f>
        <v>0</v>
      </c>
      <c r="F1104" s="33" t="n">
        <v>0</v>
      </c>
      <c r="G1104" s="62"/>
      <c r="H1104" s="35" t="n">
        <v>0</v>
      </c>
      <c r="I1104" s="34" t="n">
        <f aca="false">+IF(E1104=0,0,E1104*0.03)</f>
        <v>0</v>
      </c>
    </row>
    <row r="1105" customFormat="false" ht="15.75" hidden="false" customHeight="true" outlineLevel="0" collapsed="false">
      <c r="A1105" s="30" t="n">
        <v>45323</v>
      </c>
      <c r="B1105" s="31" t="s">
        <v>7</v>
      </c>
      <c r="C1105" s="32"/>
      <c r="D1105" s="32"/>
      <c r="E1105" s="19" t="n">
        <f aca="false">+F1105*0.03</f>
        <v>0</v>
      </c>
      <c r="F1105" s="33" t="n">
        <v>0</v>
      </c>
      <c r="G1105" s="62"/>
      <c r="H1105" s="35" t="n">
        <v>0</v>
      </c>
      <c r="I1105" s="34" t="n">
        <f aca="false">+IF(E1105=0,0,E1105*0.03)</f>
        <v>0</v>
      </c>
    </row>
    <row r="1106" customFormat="false" ht="15.75" hidden="false" customHeight="true" outlineLevel="0" collapsed="false">
      <c r="A1106" s="30" t="n">
        <v>45323</v>
      </c>
      <c r="B1106" s="31" t="s">
        <v>7</v>
      </c>
      <c r="C1106" s="32"/>
      <c r="D1106" s="32"/>
      <c r="E1106" s="19" t="n">
        <f aca="false">+F1106*0.03</f>
        <v>0</v>
      </c>
      <c r="F1106" s="33" t="n">
        <v>0</v>
      </c>
      <c r="G1106" s="62"/>
      <c r="H1106" s="35" t="n">
        <v>0</v>
      </c>
      <c r="I1106" s="34" t="n">
        <f aca="false">+IF(E1106=0,0,E1106*0.03)</f>
        <v>0</v>
      </c>
    </row>
    <row r="1107" customFormat="false" ht="15.75" hidden="false" customHeight="true" outlineLevel="0" collapsed="false">
      <c r="A1107" s="30" t="n">
        <v>45323</v>
      </c>
      <c r="B1107" s="31" t="s">
        <v>7</v>
      </c>
      <c r="C1107" s="32"/>
      <c r="D1107" s="32"/>
      <c r="E1107" s="19" t="n">
        <f aca="false">+F1107*0.03</f>
        <v>0</v>
      </c>
      <c r="F1107" s="33" t="n">
        <v>0</v>
      </c>
      <c r="G1107" s="62"/>
      <c r="H1107" s="35" t="n">
        <v>0</v>
      </c>
      <c r="I1107" s="34" t="n">
        <f aca="false">+IF(E1107=0,0,E1107*0.03)</f>
        <v>0</v>
      </c>
    </row>
    <row r="1108" customFormat="false" ht="15.75" hidden="false" customHeight="true" outlineLevel="0" collapsed="false">
      <c r="A1108" s="30" t="n">
        <v>45323</v>
      </c>
      <c r="B1108" s="31" t="s">
        <v>7</v>
      </c>
      <c r="C1108" s="32"/>
      <c r="D1108" s="32"/>
      <c r="E1108" s="19" t="n">
        <f aca="false">+F1108*0.03</f>
        <v>0</v>
      </c>
      <c r="F1108" s="33" t="n">
        <v>0</v>
      </c>
      <c r="G1108" s="62"/>
      <c r="H1108" s="35" t="n">
        <v>0</v>
      </c>
      <c r="I1108" s="34" t="n">
        <f aca="false">+IF(E1108=0,0,E1108*0.03)</f>
        <v>0</v>
      </c>
    </row>
    <row r="1109" customFormat="false" ht="15.75" hidden="false" customHeight="true" outlineLevel="0" collapsed="false">
      <c r="A1109" s="30" t="n">
        <v>45323</v>
      </c>
      <c r="B1109" s="31" t="s">
        <v>7</v>
      </c>
      <c r="C1109" s="32"/>
      <c r="D1109" s="32"/>
      <c r="E1109" s="19" t="n">
        <f aca="false">+F1109*0.03</f>
        <v>0</v>
      </c>
      <c r="F1109" s="33" t="n">
        <v>0</v>
      </c>
      <c r="G1109" s="62"/>
      <c r="H1109" s="35" t="n">
        <v>0</v>
      </c>
      <c r="I1109" s="34" t="n">
        <f aca="false">+IF(E1109=0,0,E1109*0.03)</f>
        <v>0</v>
      </c>
    </row>
    <row r="1110" customFormat="false" ht="15.75" hidden="false" customHeight="true" outlineLevel="0" collapsed="false">
      <c r="A1110" s="30" t="n">
        <v>45323</v>
      </c>
      <c r="B1110" s="31" t="s">
        <v>7</v>
      </c>
      <c r="C1110" s="32"/>
      <c r="D1110" s="32"/>
      <c r="E1110" s="19" t="n">
        <f aca="false">+F1110*0.03</f>
        <v>0</v>
      </c>
      <c r="F1110" s="33" t="n">
        <v>0</v>
      </c>
      <c r="G1110" s="62"/>
      <c r="H1110" s="35" t="n">
        <v>0</v>
      </c>
      <c r="I1110" s="34" t="n">
        <f aca="false">+IF(E1110=0,0,E1110*0.03)</f>
        <v>0</v>
      </c>
    </row>
    <row r="1111" customFormat="false" ht="15.75" hidden="false" customHeight="true" outlineLevel="0" collapsed="false">
      <c r="A1111" s="30" t="n">
        <v>45323</v>
      </c>
      <c r="B1111" s="31" t="s">
        <v>7</v>
      </c>
      <c r="C1111" s="32"/>
      <c r="D1111" s="32"/>
      <c r="E1111" s="19" t="n">
        <f aca="false">+F1111*0.03</f>
        <v>0</v>
      </c>
      <c r="F1111" s="33" t="n">
        <v>0</v>
      </c>
      <c r="G1111" s="62"/>
      <c r="H1111" s="35" t="n">
        <v>0</v>
      </c>
      <c r="I1111" s="34" t="n">
        <f aca="false">+IF(E1111=0,0,E1111*0.03)</f>
        <v>0</v>
      </c>
    </row>
    <row r="1112" customFormat="false" ht="15.75" hidden="false" customHeight="true" outlineLevel="0" collapsed="false">
      <c r="A1112" s="30" t="n">
        <v>45323</v>
      </c>
      <c r="B1112" s="31" t="s">
        <v>7</v>
      </c>
      <c r="C1112" s="32"/>
      <c r="D1112" s="32"/>
      <c r="E1112" s="19" t="n">
        <f aca="false">+F1112*0.03</f>
        <v>0</v>
      </c>
      <c r="F1112" s="33" t="n">
        <v>0</v>
      </c>
      <c r="G1112" s="62"/>
      <c r="H1112" s="35" t="n">
        <v>0</v>
      </c>
      <c r="I1112" s="34" t="n">
        <f aca="false">+IF(E1112=0,0,E1112*0.03)</f>
        <v>0</v>
      </c>
    </row>
    <row r="1113" customFormat="false" ht="15.75" hidden="false" customHeight="true" outlineLevel="0" collapsed="false">
      <c r="A1113" s="30" t="n">
        <v>45323</v>
      </c>
      <c r="B1113" s="31" t="s">
        <v>7</v>
      </c>
      <c r="C1113" s="32"/>
      <c r="D1113" s="32"/>
      <c r="E1113" s="19" t="n">
        <f aca="false">+F1113*0.03</f>
        <v>0</v>
      </c>
      <c r="F1113" s="33" t="n">
        <v>0</v>
      </c>
      <c r="G1113" s="62"/>
      <c r="H1113" s="35" t="n">
        <v>0</v>
      </c>
      <c r="I1113" s="34" t="n">
        <f aca="false">+IF(E1113=0,0,E1113*0.03)</f>
        <v>0</v>
      </c>
    </row>
    <row r="1114" customFormat="false" ht="15.75" hidden="false" customHeight="true" outlineLevel="0" collapsed="false">
      <c r="A1114" s="30" t="n">
        <v>45323</v>
      </c>
      <c r="B1114" s="31" t="s">
        <v>7</v>
      </c>
      <c r="C1114" s="32"/>
      <c r="D1114" s="32"/>
      <c r="E1114" s="19" t="n">
        <f aca="false">+F1114*0.03</f>
        <v>0</v>
      </c>
      <c r="F1114" s="33" t="n">
        <v>0</v>
      </c>
      <c r="G1114" s="62"/>
      <c r="H1114" s="35" t="n">
        <v>0</v>
      </c>
      <c r="I1114" s="34" t="n">
        <f aca="false">+IF(E1114=0,0,E1114*0.03)</f>
        <v>0</v>
      </c>
    </row>
    <row r="1115" customFormat="false" ht="15.75" hidden="false" customHeight="true" outlineLevel="0" collapsed="false">
      <c r="A1115" s="30" t="n">
        <v>45323</v>
      </c>
      <c r="B1115" s="31" t="s">
        <v>7</v>
      </c>
      <c r="C1115" s="32"/>
      <c r="D1115" s="32"/>
      <c r="E1115" s="19" t="n">
        <f aca="false">+F1115*0.03</f>
        <v>0</v>
      </c>
      <c r="F1115" s="33" t="n">
        <v>0</v>
      </c>
      <c r="G1115" s="62"/>
      <c r="H1115" s="35" t="n">
        <v>0</v>
      </c>
      <c r="I1115" s="34" t="n">
        <f aca="false">+IF(E1115=0,0,E1115*0.03)</f>
        <v>0</v>
      </c>
    </row>
    <row r="1116" customFormat="false" ht="15.75" hidden="false" customHeight="true" outlineLevel="0" collapsed="false">
      <c r="A1116" s="30" t="n">
        <v>45323</v>
      </c>
      <c r="B1116" s="31" t="s">
        <v>7</v>
      </c>
      <c r="C1116" s="32"/>
      <c r="D1116" s="32"/>
      <c r="E1116" s="19" t="n">
        <f aca="false">+F1116*0.03</f>
        <v>0</v>
      </c>
      <c r="F1116" s="33" t="n">
        <v>0</v>
      </c>
      <c r="G1116" s="62"/>
      <c r="H1116" s="35" t="n">
        <v>0</v>
      </c>
      <c r="I1116" s="34" t="n">
        <f aca="false">+IF(E1116=0,0,E1116*0.03)</f>
        <v>0</v>
      </c>
    </row>
    <row r="1117" customFormat="false" ht="15.75" hidden="false" customHeight="true" outlineLevel="0" collapsed="false">
      <c r="A1117" s="30" t="n">
        <v>45323</v>
      </c>
      <c r="B1117" s="31" t="s">
        <v>7</v>
      </c>
      <c r="C1117" s="32"/>
      <c r="D1117" s="32"/>
      <c r="E1117" s="19" t="n">
        <f aca="false">+F1117*0.03</f>
        <v>0</v>
      </c>
      <c r="F1117" s="33" t="n">
        <v>0</v>
      </c>
      <c r="G1117" s="62"/>
      <c r="H1117" s="35" t="n">
        <v>0</v>
      </c>
      <c r="I1117" s="34" t="n">
        <f aca="false">+IF(E1117=0,0,E1117*0.03)</f>
        <v>0</v>
      </c>
    </row>
    <row r="1118" customFormat="false" ht="15.75" hidden="false" customHeight="true" outlineLevel="0" collapsed="false">
      <c r="A1118" s="30" t="n">
        <v>45323</v>
      </c>
      <c r="B1118" s="31" t="s">
        <v>7</v>
      </c>
      <c r="C1118" s="32"/>
      <c r="D1118" s="32"/>
      <c r="E1118" s="19" t="n">
        <f aca="false">+F1118*0.03</f>
        <v>0</v>
      </c>
      <c r="F1118" s="33" t="n">
        <v>0</v>
      </c>
      <c r="G1118" s="62"/>
      <c r="H1118" s="35" t="n">
        <v>0</v>
      </c>
      <c r="I1118" s="34" t="n">
        <f aca="false">+IF(E1118=0,0,E1118*0.03)</f>
        <v>0</v>
      </c>
    </row>
    <row r="1119" customFormat="false" ht="15.75" hidden="false" customHeight="true" outlineLevel="0" collapsed="false">
      <c r="A1119" s="30" t="n">
        <v>45323</v>
      </c>
      <c r="B1119" s="31" t="s">
        <v>7</v>
      </c>
      <c r="C1119" s="32"/>
      <c r="D1119" s="32"/>
      <c r="E1119" s="19" t="n">
        <f aca="false">+F1119*0.03</f>
        <v>0</v>
      </c>
      <c r="F1119" s="33" t="n">
        <v>0</v>
      </c>
      <c r="G1119" s="62"/>
      <c r="H1119" s="35" t="n">
        <v>0</v>
      </c>
      <c r="I1119" s="34" t="n">
        <f aca="false">+IF(E1119=0,0,E1119*0.03)</f>
        <v>0</v>
      </c>
    </row>
    <row r="1120" customFormat="false" ht="15.75" hidden="false" customHeight="true" outlineLevel="0" collapsed="false">
      <c r="A1120" s="30" t="n">
        <v>45323</v>
      </c>
      <c r="B1120" s="31" t="s">
        <v>7</v>
      </c>
      <c r="C1120" s="32"/>
      <c r="D1120" s="32"/>
      <c r="E1120" s="19" t="n">
        <f aca="false">+F1120*0.03</f>
        <v>0</v>
      </c>
      <c r="F1120" s="33" t="n">
        <v>0</v>
      </c>
      <c r="G1120" s="62"/>
      <c r="H1120" s="35" t="n">
        <v>0</v>
      </c>
      <c r="I1120" s="34" t="n">
        <f aca="false">+IF(E1120=0,0,E1120*0.03)</f>
        <v>0</v>
      </c>
    </row>
    <row r="1121" customFormat="false" ht="15.75" hidden="false" customHeight="true" outlineLevel="0" collapsed="false">
      <c r="A1121" s="30" t="n">
        <v>45323</v>
      </c>
      <c r="B1121" s="31" t="s">
        <v>7</v>
      </c>
      <c r="C1121" s="32"/>
      <c r="D1121" s="32"/>
      <c r="E1121" s="19" t="n">
        <f aca="false">+F1121*0.03</f>
        <v>0</v>
      </c>
      <c r="F1121" s="33" t="n">
        <v>0</v>
      </c>
      <c r="G1121" s="62"/>
      <c r="H1121" s="35" t="n">
        <v>0</v>
      </c>
      <c r="I1121" s="34" t="n">
        <f aca="false">+IF(E1121=0,0,E1121*0.03)</f>
        <v>0</v>
      </c>
    </row>
    <row r="1122" customFormat="false" ht="15.75" hidden="false" customHeight="true" outlineLevel="0" collapsed="false">
      <c r="A1122" s="30" t="n">
        <v>45323</v>
      </c>
      <c r="B1122" s="31" t="s">
        <v>7</v>
      </c>
      <c r="C1122" s="32"/>
      <c r="D1122" s="32"/>
      <c r="E1122" s="19" t="n">
        <f aca="false">+F1122*0.03</f>
        <v>0</v>
      </c>
      <c r="F1122" s="33" t="n">
        <v>0</v>
      </c>
      <c r="G1122" s="62"/>
      <c r="H1122" s="35" t="n">
        <v>0</v>
      </c>
      <c r="I1122" s="34" t="n">
        <f aca="false">+IF(E1122=0,0,E1122*0.03)</f>
        <v>0</v>
      </c>
    </row>
    <row r="1123" customFormat="false" ht="15.75" hidden="false" customHeight="true" outlineLevel="0" collapsed="false">
      <c r="A1123" s="30" t="n">
        <v>45323</v>
      </c>
      <c r="B1123" s="31" t="s">
        <v>7</v>
      </c>
      <c r="C1123" s="32"/>
      <c r="D1123" s="32"/>
      <c r="E1123" s="19" t="n">
        <f aca="false">+F1123*0.03</f>
        <v>0</v>
      </c>
      <c r="F1123" s="33" t="n">
        <v>0</v>
      </c>
      <c r="G1123" s="62"/>
      <c r="H1123" s="35" t="n">
        <v>0</v>
      </c>
      <c r="I1123" s="34" t="n">
        <f aca="false">+IF(E1123=0,0,E1123*0.03)</f>
        <v>0</v>
      </c>
    </row>
    <row r="1124" customFormat="false" ht="15.75" hidden="false" customHeight="true" outlineLevel="0" collapsed="false">
      <c r="A1124" s="30" t="n">
        <v>45323</v>
      </c>
      <c r="B1124" s="31" t="s">
        <v>7</v>
      </c>
      <c r="C1124" s="32"/>
      <c r="D1124" s="32"/>
      <c r="E1124" s="19" t="n">
        <f aca="false">+F1124*0.03</f>
        <v>0</v>
      </c>
      <c r="F1124" s="33" t="n">
        <v>0</v>
      </c>
      <c r="G1124" s="62"/>
      <c r="H1124" s="35" t="n">
        <v>0</v>
      </c>
      <c r="I1124" s="34" t="n">
        <f aca="false">+IF(E1124=0,0,E1124*0.03)</f>
        <v>0</v>
      </c>
    </row>
    <row r="1125" customFormat="false" ht="15.75" hidden="false" customHeight="true" outlineLevel="0" collapsed="false">
      <c r="A1125" s="30" t="n">
        <v>45323</v>
      </c>
      <c r="B1125" s="31" t="s">
        <v>7</v>
      </c>
      <c r="C1125" s="32"/>
      <c r="D1125" s="32"/>
      <c r="E1125" s="19" t="n">
        <f aca="false">+F1125*0.03</f>
        <v>0</v>
      </c>
      <c r="F1125" s="33" t="n">
        <v>0</v>
      </c>
      <c r="G1125" s="62"/>
      <c r="H1125" s="35" t="n">
        <v>0</v>
      </c>
      <c r="I1125" s="34" t="n">
        <f aca="false">+IF(E1125=0,0,E1125*0.03)</f>
        <v>0</v>
      </c>
    </row>
    <row r="1126" customFormat="false" ht="15.75" hidden="false" customHeight="true" outlineLevel="0" collapsed="false">
      <c r="A1126" s="30" t="n">
        <v>45323</v>
      </c>
      <c r="B1126" s="31" t="s">
        <v>7</v>
      </c>
      <c r="C1126" s="32"/>
      <c r="D1126" s="32"/>
      <c r="E1126" s="19" t="n">
        <f aca="false">+F1126*0.03</f>
        <v>0</v>
      </c>
      <c r="F1126" s="33" t="n">
        <v>0</v>
      </c>
      <c r="G1126" s="62"/>
      <c r="H1126" s="35" t="n">
        <v>0</v>
      </c>
      <c r="I1126" s="34" t="n">
        <f aca="false">+IF(E1126=0,0,E1126*0.03)</f>
        <v>0</v>
      </c>
    </row>
    <row r="1127" customFormat="false" ht="15.75" hidden="false" customHeight="true" outlineLevel="0" collapsed="false">
      <c r="A1127" s="30" t="n">
        <v>45323</v>
      </c>
      <c r="B1127" s="31" t="s">
        <v>7</v>
      </c>
      <c r="C1127" s="32"/>
      <c r="D1127" s="32"/>
      <c r="E1127" s="19" t="n">
        <f aca="false">+F1127*0.03</f>
        <v>0</v>
      </c>
      <c r="F1127" s="33" t="n">
        <v>0</v>
      </c>
      <c r="G1127" s="62"/>
      <c r="H1127" s="35" t="n">
        <v>0</v>
      </c>
      <c r="I1127" s="34" t="n">
        <f aca="false">+IF(E1127=0,0,E1127*0.03)</f>
        <v>0</v>
      </c>
    </row>
    <row r="1128" customFormat="false" ht="15.75" hidden="false" customHeight="true" outlineLevel="0" collapsed="false">
      <c r="A1128" s="30" t="n">
        <v>45323</v>
      </c>
      <c r="B1128" s="31" t="s">
        <v>7</v>
      </c>
      <c r="C1128" s="32"/>
      <c r="D1128" s="32"/>
      <c r="E1128" s="19" t="n">
        <f aca="false">+F1128*0.03</f>
        <v>0</v>
      </c>
      <c r="F1128" s="33" t="n">
        <v>0</v>
      </c>
      <c r="G1128" s="62"/>
      <c r="H1128" s="35" t="n">
        <v>0</v>
      </c>
      <c r="I1128" s="34" t="n">
        <f aca="false">+IF(E1128=0,0,E1128*0.03)</f>
        <v>0</v>
      </c>
    </row>
    <row r="1129" customFormat="false" ht="15.75" hidden="false" customHeight="true" outlineLevel="0" collapsed="false">
      <c r="A1129" s="30" t="n">
        <v>45323</v>
      </c>
      <c r="B1129" s="31" t="s">
        <v>7</v>
      </c>
      <c r="C1129" s="32"/>
      <c r="D1129" s="32"/>
      <c r="E1129" s="19" t="n">
        <f aca="false">+F1129*0.03</f>
        <v>0</v>
      </c>
      <c r="F1129" s="33" t="n">
        <v>0</v>
      </c>
      <c r="G1129" s="62"/>
      <c r="H1129" s="35" t="n">
        <v>0</v>
      </c>
      <c r="I1129" s="34" t="n">
        <f aca="false">+IF(E1129=0,0,E1129*0.03)</f>
        <v>0</v>
      </c>
    </row>
    <row r="1130" customFormat="false" ht="15.75" hidden="false" customHeight="true" outlineLevel="0" collapsed="false">
      <c r="A1130" s="30" t="n">
        <v>45323</v>
      </c>
      <c r="B1130" s="31" t="s">
        <v>7</v>
      </c>
      <c r="C1130" s="32"/>
      <c r="D1130" s="32"/>
      <c r="E1130" s="19" t="n">
        <f aca="false">+F1130*0.03</f>
        <v>0</v>
      </c>
      <c r="F1130" s="33" t="n">
        <v>0</v>
      </c>
      <c r="G1130" s="62"/>
      <c r="H1130" s="35" t="n">
        <v>0</v>
      </c>
      <c r="I1130" s="34" t="n">
        <f aca="false">+IF(E1130=0,0,E1130*0.03)</f>
        <v>0</v>
      </c>
    </row>
    <row r="1131" customFormat="false" ht="15.75" hidden="false" customHeight="true" outlineLevel="0" collapsed="false">
      <c r="A1131" s="30" t="n">
        <v>45323</v>
      </c>
      <c r="B1131" s="31" t="s">
        <v>7</v>
      </c>
      <c r="C1131" s="32"/>
      <c r="D1131" s="32"/>
      <c r="E1131" s="19" t="n">
        <f aca="false">+F1131*0.03</f>
        <v>0</v>
      </c>
      <c r="F1131" s="33" t="n">
        <v>0</v>
      </c>
      <c r="G1131" s="62"/>
      <c r="H1131" s="35" t="n">
        <v>0</v>
      </c>
      <c r="I1131" s="34" t="n">
        <f aca="false">+IF(E1131=0,0,E1131*0.03)</f>
        <v>0</v>
      </c>
    </row>
    <row r="1132" customFormat="false" ht="15.75" hidden="false" customHeight="true" outlineLevel="0" collapsed="false">
      <c r="A1132" s="30" t="n">
        <v>45323</v>
      </c>
      <c r="B1132" s="31" t="s">
        <v>7</v>
      </c>
      <c r="C1132" s="32"/>
      <c r="D1132" s="32"/>
      <c r="E1132" s="19" t="n">
        <f aca="false">+F1132*0.03</f>
        <v>0</v>
      </c>
      <c r="F1132" s="33" t="n">
        <v>0</v>
      </c>
      <c r="G1132" s="62"/>
      <c r="H1132" s="35" t="n">
        <v>0</v>
      </c>
      <c r="I1132" s="34" t="n">
        <f aca="false">+IF(E1132=0,0,E1132*0.03)</f>
        <v>0</v>
      </c>
    </row>
    <row r="1133" customFormat="false" ht="15.75" hidden="false" customHeight="true" outlineLevel="0" collapsed="false">
      <c r="A1133" s="30" t="n">
        <v>45323</v>
      </c>
      <c r="B1133" s="31" t="s">
        <v>7</v>
      </c>
      <c r="C1133" s="32"/>
      <c r="D1133" s="32"/>
      <c r="E1133" s="19" t="n">
        <f aca="false">+F1133*0.03</f>
        <v>0</v>
      </c>
      <c r="F1133" s="33" t="n">
        <v>0</v>
      </c>
      <c r="G1133" s="62"/>
      <c r="H1133" s="35" t="n">
        <v>0</v>
      </c>
      <c r="I1133" s="34" t="n">
        <f aca="false">+IF(E1133=0,0,E1133*0.03)</f>
        <v>0</v>
      </c>
    </row>
    <row r="1134" customFormat="false" ht="15.75" hidden="false" customHeight="true" outlineLevel="0" collapsed="false">
      <c r="A1134" s="30" t="n">
        <v>45323</v>
      </c>
      <c r="B1134" s="31" t="s">
        <v>7</v>
      </c>
      <c r="C1134" s="32"/>
      <c r="D1134" s="32"/>
      <c r="E1134" s="19" t="n">
        <f aca="false">+F1134*0.03</f>
        <v>0</v>
      </c>
      <c r="F1134" s="33" t="n">
        <v>0</v>
      </c>
      <c r="G1134" s="62"/>
      <c r="H1134" s="35" t="n">
        <v>0</v>
      </c>
      <c r="I1134" s="34" t="n">
        <f aca="false">+IF(E1134=0,0,E1134*0.03)</f>
        <v>0</v>
      </c>
    </row>
    <row r="1135" customFormat="false" ht="15.75" hidden="false" customHeight="true" outlineLevel="0" collapsed="false">
      <c r="A1135" s="30" t="n">
        <v>45323</v>
      </c>
      <c r="B1135" s="31" t="s">
        <v>7</v>
      </c>
      <c r="C1135" s="32"/>
      <c r="D1135" s="32"/>
      <c r="E1135" s="19" t="n">
        <f aca="false">+F1135*0.03</f>
        <v>0</v>
      </c>
      <c r="F1135" s="33" t="n">
        <v>0</v>
      </c>
      <c r="G1135" s="62"/>
      <c r="H1135" s="35" t="n">
        <v>0</v>
      </c>
      <c r="I1135" s="34" t="n">
        <f aca="false">+IF(E1135=0,0,E1135*0.03)</f>
        <v>0</v>
      </c>
    </row>
    <row r="1136" customFormat="false" ht="15.75" hidden="false" customHeight="true" outlineLevel="0" collapsed="false">
      <c r="A1136" s="30" t="n">
        <v>45323</v>
      </c>
      <c r="B1136" s="31" t="s">
        <v>7</v>
      </c>
      <c r="C1136" s="32"/>
      <c r="D1136" s="32"/>
      <c r="E1136" s="19" t="n">
        <f aca="false">+F1136*0.03</f>
        <v>0</v>
      </c>
      <c r="F1136" s="33" t="n">
        <v>0</v>
      </c>
      <c r="G1136" s="62"/>
      <c r="H1136" s="35" t="n">
        <v>0</v>
      </c>
      <c r="I1136" s="34" t="n">
        <f aca="false">+IF(E1136=0,0,E1136*0.03)</f>
        <v>0</v>
      </c>
    </row>
    <row r="1137" customFormat="false" ht="15.75" hidden="false" customHeight="true" outlineLevel="0" collapsed="false">
      <c r="A1137" s="30" t="n">
        <v>45323</v>
      </c>
      <c r="B1137" s="31" t="s">
        <v>7</v>
      </c>
      <c r="C1137" s="32"/>
      <c r="D1137" s="32"/>
      <c r="E1137" s="19" t="n">
        <f aca="false">+F1137*0.03</f>
        <v>0</v>
      </c>
      <c r="F1137" s="33" t="n">
        <v>0</v>
      </c>
      <c r="G1137" s="62"/>
      <c r="H1137" s="35" t="n">
        <v>0</v>
      </c>
      <c r="I1137" s="34" t="n">
        <f aca="false">+IF(E1137=0,0,E1137*0.03)</f>
        <v>0</v>
      </c>
    </row>
    <row r="1138" customFormat="false" ht="15.75" hidden="false" customHeight="true" outlineLevel="0" collapsed="false">
      <c r="A1138" s="30" t="n">
        <v>45323</v>
      </c>
      <c r="B1138" s="31" t="s">
        <v>7</v>
      </c>
      <c r="C1138" s="32"/>
      <c r="D1138" s="32"/>
      <c r="E1138" s="19" t="n">
        <f aca="false">+F1138*0.03</f>
        <v>0</v>
      </c>
      <c r="F1138" s="33" t="n">
        <v>0</v>
      </c>
      <c r="G1138" s="62"/>
      <c r="H1138" s="35" t="n">
        <v>0</v>
      </c>
      <c r="I1138" s="34" t="n">
        <f aca="false">+IF(E1138=0,0,E1138*0.03)</f>
        <v>0</v>
      </c>
    </row>
    <row r="1139" customFormat="false" ht="15.75" hidden="false" customHeight="true" outlineLevel="0" collapsed="false">
      <c r="A1139" s="30" t="n">
        <v>45323</v>
      </c>
      <c r="B1139" s="31" t="s">
        <v>7</v>
      </c>
      <c r="C1139" s="32"/>
      <c r="D1139" s="32"/>
      <c r="E1139" s="19" t="n">
        <f aca="false">+F1139*0.03</f>
        <v>0</v>
      </c>
      <c r="F1139" s="33" t="n">
        <v>0</v>
      </c>
      <c r="G1139" s="62"/>
      <c r="H1139" s="35" t="n">
        <v>0</v>
      </c>
      <c r="I1139" s="34" t="n">
        <f aca="false">+IF(E1139=0,0,E1139*0.03)</f>
        <v>0</v>
      </c>
    </row>
    <row r="1140" customFormat="false" ht="15.75" hidden="false" customHeight="true" outlineLevel="0" collapsed="false">
      <c r="A1140" s="30" t="n">
        <v>45323</v>
      </c>
      <c r="B1140" s="31" t="s">
        <v>7</v>
      </c>
      <c r="C1140" s="32"/>
      <c r="D1140" s="32"/>
      <c r="E1140" s="19" t="n">
        <f aca="false">+F1140*0.03</f>
        <v>0</v>
      </c>
      <c r="F1140" s="33" t="n">
        <v>0</v>
      </c>
      <c r="G1140" s="62"/>
      <c r="H1140" s="35" t="n">
        <v>0</v>
      </c>
      <c r="I1140" s="34" t="n">
        <f aca="false">+IF(E1140=0,0,E1140*0.03)</f>
        <v>0</v>
      </c>
    </row>
    <row r="1141" customFormat="false" ht="15.75" hidden="false" customHeight="true" outlineLevel="0" collapsed="false">
      <c r="A1141" s="30" t="n">
        <v>45323</v>
      </c>
      <c r="B1141" s="31" t="s">
        <v>7</v>
      </c>
      <c r="C1141" s="32"/>
      <c r="D1141" s="32"/>
      <c r="E1141" s="19" t="n">
        <f aca="false">+F1141*0.03</f>
        <v>0</v>
      </c>
      <c r="F1141" s="33" t="n">
        <v>0</v>
      </c>
      <c r="G1141" s="62"/>
      <c r="H1141" s="35" t="n">
        <v>0</v>
      </c>
      <c r="I1141" s="34" t="n">
        <f aca="false">+IF(E1141=0,0,E1141*0.03)</f>
        <v>0</v>
      </c>
    </row>
    <row r="1142" customFormat="false" ht="15.75" hidden="false" customHeight="true" outlineLevel="0" collapsed="false">
      <c r="A1142" s="30" t="n">
        <v>45323</v>
      </c>
      <c r="B1142" s="31" t="s">
        <v>7</v>
      </c>
      <c r="C1142" s="32"/>
      <c r="D1142" s="32"/>
      <c r="E1142" s="19" t="n">
        <f aca="false">+F1142*0.03</f>
        <v>0</v>
      </c>
      <c r="F1142" s="33" t="n">
        <v>0</v>
      </c>
      <c r="G1142" s="62"/>
      <c r="H1142" s="35" t="n">
        <v>0</v>
      </c>
      <c r="I1142" s="34" t="n">
        <f aca="false">+IF(E1142=0,0,E1142*0.03)</f>
        <v>0</v>
      </c>
    </row>
    <row r="1143" customFormat="false" ht="15.75" hidden="false" customHeight="true" outlineLevel="0" collapsed="false">
      <c r="A1143" s="30" t="n">
        <v>45323</v>
      </c>
      <c r="B1143" s="31" t="s">
        <v>7</v>
      </c>
      <c r="C1143" s="32"/>
      <c r="D1143" s="32"/>
      <c r="E1143" s="19" t="n">
        <f aca="false">+F1143*0.03</f>
        <v>0</v>
      </c>
      <c r="F1143" s="33" t="n">
        <v>0</v>
      </c>
      <c r="G1143" s="62"/>
      <c r="H1143" s="35" t="n">
        <v>0</v>
      </c>
      <c r="I1143" s="34" t="n">
        <f aca="false">+IF(E1143=0,0,E1143*0.03)</f>
        <v>0</v>
      </c>
    </row>
    <row r="1144" customFormat="false" ht="15.75" hidden="false" customHeight="true" outlineLevel="0" collapsed="false">
      <c r="A1144" s="30" t="n">
        <v>45323</v>
      </c>
      <c r="B1144" s="31" t="s">
        <v>7</v>
      </c>
      <c r="C1144" s="32"/>
      <c r="D1144" s="32"/>
      <c r="E1144" s="19" t="n">
        <f aca="false">+F1144*0.03</f>
        <v>0</v>
      </c>
      <c r="F1144" s="33" t="n">
        <v>0</v>
      </c>
      <c r="G1144" s="62"/>
      <c r="H1144" s="35" t="n">
        <v>0</v>
      </c>
      <c r="I1144" s="34" t="n">
        <f aca="false">+IF(E1144=0,0,E1144*0.03)</f>
        <v>0</v>
      </c>
    </row>
    <row r="1145" customFormat="false" ht="15.75" hidden="false" customHeight="true" outlineLevel="0" collapsed="false">
      <c r="A1145" s="30" t="n">
        <v>45323</v>
      </c>
      <c r="B1145" s="31" t="s">
        <v>7</v>
      </c>
      <c r="C1145" s="32"/>
      <c r="D1145" s="32"/>
      <c r="E1145" s="19" t="n">
        <f aca="false">+F1145*0.03</f>
        <v>0</v>
      </c>
      <c r="F1145" s="33" t="n">
        <v>0</v>
      </c>
      <c r="G1145" s="62"/>
      <c r="H1145" s="35" t="n">
        <v>0</v>
      </c>
      <c r="I1145" s="34" t="n">
        <f aca="false">+IF(E1145=0,0,E1145*0.03)</f>
        <v>0</v>
      </c>
    </row>
    <row r="1146" customFormat="false" ht="15.75" hidden="false" customHeight="true" outlineLevel="0" collapsed="false">
      <c r="A1146" s="30" t="n">
        <v>45323</v>
      </c>
      <c r="B1146" s="31" t="s">
        <v>7</v>
      </c>
      <c r="C1146" s="32"/>
      <c r="D1146" s="32"/>
      <c r="E1146" s="19" t="n">
        <f aca="false">+F1146*0.03</f>
        <v>0</v>
      </c>
      <c r="F1146" s="33" t="n">
        <v>0</v>
      </c>
      <c r="G1146" s="62"/>
      <c r="H1146" s="35" t="n">
        <v>0</v>
      </c>
      <c r="I1146" s="34" t="n">
        <f aca="false">+IF(E1146=0,0,E1146*0.03)</f>
        <v>0</v>
      </c>
    </row>
    <row r="1147" customFormat="false" ht="15.75" hidden="false" customHeight="true" outlineLevel="0" collapsed="false">
      <c r="A1147" s="30" t="n">
        <v>45323</v>
      </c>
      <c r="B1147" s="31" t="s">
        <v>7</v>
      </c>
      <c r="C1147" s="32"/>
      <c r="D1147" s="32"/>
      <c r="E1147" s="19" t="n">
        <f aca="false">+F1147*0.03</f>
        <v>0</v>
      </c>
      <c r="F1147" s="33" t="n">
        <v>0</v>
      </c>
      <c r="G1147" s="62"/>
      <c r="H1147" s="35" t="n">
        <v>0</v>
      </c>
      <c r="I1147" s="34" t="n">
        <f aca="false">+IF(E1147=0,0,E1147*0.03)</f>
        <v>0</v>
      </c>
    </row>
    <row r="1148" customFormat="false" ht="15.75" hidden="false" customHeight="true" outlineLevel="0" collapsed="false">
      <c r="A1148" s="30" t="n">
        <v>45323</v>
      </c>
      <c r="B1148" s="31" t="s">
        <v>7</v>
      </c>
      <c r="C1148" s="32"/>
      <c r="D1148" s="32"/>
      <c r="E1148" s="19" t="n">
        <f aca="false">+F1148*0.03</f>
        <v>0</v>
      </c>
      <c r="F1148" s="33" t="n">
        <v>0</v>
      </c>
      <c r="G1148" s="62"/>
      <c r="H1148" s="35" t="n">
        <v>0</v>
      </c>
      <c r="I1148" s="34" t="n">
        <f aca="false">+IF(E1148=0,0,E1148*0.03)</f>
        <v>0</v>
      </c>
    </row>
    <row r="1149" customFormat="false" ht="15.75" hidden="false" customHeight="true" outlineLevel="0" collapsed="false">
      <c r="A1149" s="30" t="n">
        <v>45323</v>
      </c>
      <c r="B1149" s="31" t="s">
        <v>7</v>
      </c>
      <c r="C1149" s="32"/>
      <c r="D1149" s="32"/>
      <c r="E1149" s="19" t="n">
        <f aca="false">+F1149*0.03</f>
        <v>0</v>
      </c>
      <c r="F1149" s="33" t="n">
        <v>0</v>
      </c>
      <c r="G1149" s="62"/>
      <c r="H1149" s="35" t="n">
        <v>0</v>
      </c>
      <c r="I1149" s="34" t="n">
        <f aca="false">+IF(E1149=0,0,E1149*0.03)</f>
        <v>0</v>
      </c>
    </row>
    <row r="1150" customFormat="false" ht="15.75" hidden="false" customHeight="true" outlineLevel="0" collapsed="false">
      <c r="A1150" s="30" t="n">
        <v>45323</v>
      </c>
      <c r="B1150" s="31" t="s">
        <v>7</v>
      </c>
      <c r="C1150" s="32"/>
      <c r="D1150" s="32"/>
      <c r="E1150" s="19" t="n">
        <f aca="false">+F1150*0.03</f>
        <v>0</v>
      </c>
      <c r="F1150" s="33" t="n">
        <v>0</v>
      </c>
      <c r="G1150" s="62"/>
      <c r="H1150" s="35" t="n">
        <v>0</v>
      </c>
      <c r="I1150" s="34" t="n">
        <f aca="false">+IF(E1150=0,0,E1150*0.03)</f>
        <v>0</v>
      </c>
    </row>
    <row r="1151" customFormat="false" ht="15.75" hidden="false" customHeight="true" outlineLevel="0" collapsed="false">
      <c r="A1151" s="30" t="n">
        <v>45323</v>
      </c>
      <c r="B1151" s="31" t="s">
        <v>7</v>
      </c>
      <c r="C1151" s="32"/>
      <c r="D1151" s="32"/>
      <c r="E1151" s="19" t="n">
        <f aca="false">+F1151*0.03</f>
        <v>0</v>
      </c>
      <c r="F1151" s="33" t="n">
        <v>0</v>
      </c>
      <c r="G1151" s="62"/>
      <c r="H1151" s="35" t="n">
        <v>0</v>
      </c>
      <c r="I1151" s="34" t="n">
        <f aca="false">+IF(E1151=0,0,E1151*0.03)</f>
        <v>0</v>
      </c>
    </row>
    <row r="1152" customFormat="false" ht="15.75" hidden="false" customHeight="true" outlineLevel="0" collapsed="false">
      <c r="A1152" s="30" t="n">
        <v>45323</v>
      </c>
      <c r="B1152" s="31" t="s">
        <v>7</v>
      </c>
      <c r="C1152" s="32"/>
      <c r="D1152" s="32"/>
      <c r="E1152" s="19" t="n">
        <f aca="false">+F1152*0.03</f>
        <v>0</v>
      </c>
      <c r="F1152" s="33" t="n">
        <v>0</v>
      </c>
      <c r="G1152" s="62"/>
      <c r="H1152" s="35" t="n">
        <v>0</v>
      </c>
      <c r="I1152" s="34" t="n">
        <f aca="false">+IF(E1152=0,0,E1152*0.03)</f>
        <v>0</v>
      </c>
    </row>
    <row r="1153" customFormat="false" ht="15.75" hidden="false" customHeight="true" outlineLevel="0" collapsed="false">
      <c r="A1153" s="30" t="n">
        <v>45323</v>
      </c>
      <c r="B1153" s="31" t="s">
        <v>7</v>
      </c>
      <c r="C1153" s="32"/>
      <c r="D1153" s="32"/>
      <c r="E1153" s="19" t="n">
        <f aca="false">+F1153*0.03</f>
        <v>0</v>
      </c>
      <c r="F1153" s="33" t="n">
        <v>0</v>
      </c>
      <c r="G1153" s="62"/>
      <c r="H1153" s="35" t="n">
        <v>0</v>
      </c>
      <c r="I1153" s="34" t="n">
        <f aca="false">+IF(E1153=0,0,E1153*0.03)</f>
        <v>0</v>
      </c>
    </row>
    <row r="1154" customFormat="false" ht="15.75" hidden="false" customHeight="true" outlineLevel="0" collapsed="false">
      <c r="A1154" s="30" t="n">
        <v>45323</v>
      </c>
      <c r="B1154" s="31" t="s">
        <v>7</v>
      </c>
      <c r="C1154" s="32"/>
      <c r="D1154" s="32"/>
      <c r="E1154" s="19" t="n">
        <f aca="false">+F1154*0.03</f>
        <v>0</v>
      </c>
      <c r="F1154" s="33" t="n">
        <v>0</v>
      </c>
      <c r="G1154" s="62"/>
      <c r="H1154" s="35" t="n">
        <v>0</v>
      </c>
      <c r="I1154" s="34" t="n">
        <f aca="false">+IF(E1154=0,0,E1154*0.03)</f>
        <v>0</v>
      </c>
    </row>
    <row r="1155" customFormat="false" ht="15.75" hidden="false" customHeight="true" outlineLevel="0" collapsed="false">
      <c r="A1155" s="30" t="n">
        <v>45323</v>
      </c>
      <c r="B1155" s="31" t="s">
        <v>7</v>
      </c>
      <c r="C1155" s="32"/>
      <c r="D1155" s="32"/>
      <c r="E1155" s="19" t="n">
        <f aca="false">+F1155*0.03</f>
        <v>0</v>
      </c>
      <c r="F1155" s="33" t="n">
        <v>0</v>
      </c>
      <c r="G1155" s="62"/>
      <c r="H1155" s="35" t="n">
        <v>0</v>
      </c>
      <c r="I1155" s="34" t="n">
        <f aca="false">+IF(E1155=0,0,E1155*0.03)</f>
        <v>0</v>
      </c>
    </row>
    <row r="1156" customFormat="false" ht="15.75" hidden="false" customHeight="true" outlineLevel="0" collapsed="false">
      <c r="A1156" s="30" t="n">
        <v>45323</v>
      </c>
      <c r="B1156" s="31" t="s">
        <v>7</v>
      </c>
      <c r="C1156" s="32"/>
      <c r="D1156" s="32"/>
      <c r="E1156" s="19" t="n">
        <f aca="false">+F1156*0.03</f>
        <v>0</v>
      </c>
      <c r="F1156" s="33" t="n">
        <v>0</v>
      </c>
      <c r="G1156" s="62"/>
      <c r="H1156" s="35" t="n">
        <v>0</v>
      </c>
      <c r="I1156" s="34" t="n">
        <f aca="false">+IF(E1156=0,0,E1156*0.03)</f>
        <v>0</v>
      </c>
    </row>
    <row r="1157" customFormat="false" ht="15.75" hidden="false" customHeight="true" outlineLevel="0" collapsed="false">
      <c r="A1157" s="30" t="n">
        <v>45323</v>
      </c>
      <c r="B1157" s="31" t="s">
        <v>7</v>
      </c>
      <c r="C1157" s="32"/>
      <c r="D1157" s="32"/>
      <c r="E1157" s="19" t="n">
        <f aca="false">+F1157*0.03</f>
        <v>0</v>
      </c>
      <c r="F1157" s="33" t="n">
        <v>0</v>
      </c>
      <c r="G1157" s="62"/>
      <c r="H1157" s="35" t="n">
        <v>0</v>
      </c>
      <c r="I1157" s="34" t="n">
        <f aca="false">+IF(E1157=0,0,E1157*0.03)</f>
        <v>0</v>
      </c>
    </row>
    <row r="1158" customFormat="false" ht="15.75" hidden="false" customHeight="true" outlineLevel="0" collapsed="false">
      <c r="A1158" s="30" t="n">
        <v>45323</v>
      </c>
      <c r="B1158" s="31" t="s">
        <v>7</v>
      </c>
      <c r="C1158" s="32"/>
      <c r="D1158" s="32"/>
      <c r="E1158" s="19" t="n">
        <f aca="false">+F1158*0.03</f>
        <v>0</v>
      </c>
      <c r="F1158" s="33" t="n">
        <v>0</v>
      </c>
      <c r="G1158" s="62"/>
      <c r="H1158" s="35" t="n">
        <v>0</v>
      </c>
      <c r="I1158" s="34" t="n">
        <f aca="false">+IF(E1158=0,0,E1158*0.03)</f>
        <v>0</v>
      </c>
    </row>
    <row r="1159" customFormat="false" ht="15.75" hidden="false" customHeight="true" outlineLevel="0" collapsed="false">
      <c r="A1159" s="30" t="n">
        <v>45323</v>
      </c>
      <c r="B1159" s="31" t="s">
        <v>7</v>
      </c>
      <c r="C1159" s="32"/>
      <c r="D1159" s="32"/>
      <c r="E1159" s="19" t="n">
        <f aca="false">+F1159*0.03</f>
        <v>0</v>
      </c>
      <c r="F1159" s="33" t="n">
        <v>0</v>
      </c>
      <c r="G1159" s="62"/>
      <c r="H1159" s="35" t="n">
        <v>0</v>
      </c>
      <c r="I1159" s="34" t="n">
        <f aca="false">+IF(E1159=0,0,E1159*0.03)</f>
        <v>0</v>
      </c>
    </row>
    <row r="1160" customFormat="false" ht="15.75" hidden="false" customHeight="true" outlineLevel="0" collapsed="false">
      <c r="A1160" s="30" t="n">
        <v>45323</v>
      </c>
      <c r="B1160" s="31" t="s">
        <v>7</v>
      </c>
      <c r="C1160" s="32"/>
      <c r="D1160" s="32"/>
      <c r="E1160" s="19" t="n">
        <f aca="false">+F1160*0.03</f>
        <v>0</v>
      </c>
      <c r="F1160" s="33" t="n">
        <v>0</v>
      </c>
      <c r="G1160" s="62"/>
      <c r="H1160" s="35" t="n">
        <v>0</v>
      </c>
      <c r="I1160" s="34" t="n">
        <f aca="false">+IF(E1160=0,0,E1160*0.03)</f>
        <v>0</v>
      </c>
    </row>
    <row r="1161" customFormat="false" ht="15.75" hidden="false" customHeight="true" outlineLevel="0" collapsed="false">
      <c r="A1161" s="30" t="n">
        <v>45323</v>
      </c>
      <c r="B1161" s="31" t="s">
        <v>7</v>
      </c>
      <c r="C1161" s="32"/>
      <c r="D1161" s="32"/>
      <c r="E1161" s="19" t="n">
        <f aca="false">+F1161*0.03</f>
        <v>0</v>
      </c>
      <c r="F1161" s="33" t="n">
        <v>0</v>
      </c>
      <c r="G1161" s="62"/>
      <c r="H1161" s="35" t="n">
        <v>0</v>
      </c>
      <c r="I1161" s="34" t="n">
        <f aca="false">+IF(E1161=0,0,E1161*0.03)</f>
        <v>0</v>
      </c>
    </row>
    <row r="1162" customFormat="false" ht="15.75" hidden="false" customHeight="true" outlineLevel="0" collapsed="false">
      <c r="A1162" s="30" t="n">
        <v>45323</v>
      </c>
      <c r="B1162" s="31" t="s">
        <v>7</v>
      </c>
      <c r="C1162" s="32"/>
      <c r="D1162" s="32"/>
      <c r="E1162" s="19" t="n">
        <f aca="false">+F1162*0.03</f>
        <v>0</v>
      </c>
      <c r="F1162" s="33" t="n">
        <v>0</v>
      </c>
      <c r="G1162" s="62"/>
      <c r="H1162" s="35" t="n">
        <v>0</v>
      </c>
      <c r="I1162" s="34" t="n">
        <f aca="false">+IF(E1162=0,0,E1162*0.03)</f>
        <v>0</v>
      </c>
    </row>
    <row r="1163" customFormat="false" ht="15.75" hidden="false" customHeight="true" outlineLevel="0" collapsed="false">
      <c r="A1163" s="30" t="n">
        <v>45323</v>
      </c>
      <c r="B1163" s="31" t="s">
        <v>7</v>
      </c>
      <c r="C1163" s="32"/>
      <c r="D1163" s="32"/>
      <c r="E1163" s="19" t="n">
        <f aca="false">+F1163*0.03</f>
        <v>0</v>
      </c>
      <c r="F1163" s="33" t="n">
        <v>0</v>
      </c>
      <c r="G1163" s="62"/>
      <c r="H1163" s="35" t="n">
        <v>0</v>
      </c>
      <c r="I1163" s="34" t="n">
        <f aca="false">+IF(E1163=0,0,E1163*0.03)</f>
        <v>0</v>
      </c>
    </row>
    <row r="1164" customFormat="false" ht="15.75" hidden="false" customHeight="true" outlineLevel="0" collapsed="false">
      <c r="A1164" s="30" t="n">
        <v>45323</v>
      </c>
      <c r="B1164" s="31" t="s">
        <v>7</v>
      </c>
      <c r="C1164" s="32"/>
      <c r="D1164" s="32"/>
      <c r="E1164" s="19" t="n">
        <f aca="false">+F1164*0.03</f>
        <v>0</v>
      </c>
      <c r="F1164" s="33" t="n">
        <v>0</v>
      </c>
      <c r="G1164" s="62"/>
      <c r="H1164" s="35" t="n">
        <v>0</v>
      </c>
      <c r="I1164" s="34" t="n">
        <f aca="false">+IF(E1164=0,0,E1164*0.03)</f>
        <v>0</v>
      </c>
    </row>
    <row r="1165" customFormat="false" ht="15.75" hidden="false" customHeight="true" outlineLevel="0" collapsed="false">
      <c r="A1165" s="30" t="n">
        <v>45323</v>
      </c>
      <c r="B1165" s="31" t="s">
        <v>7</v>
      </c>
      <c r="C1165" s="32"/>
      <c r="D1165" s="32"/>
      <c r="E1165" s="19" t="n">
        <f aca="false">+F1165*0.03</f>
        <v>0</v>
      </c>
      <c r="F1165" s="33" t="n">
        <v>0</v>
      </c>
      <c r="G1165" s="62"/>
      <c r="H1165" s="35" t="n">
        <v>0</v>
      </c>
      <c r="I1165" s="34" t="n">
        <f aca="false">+IF(E1165=0,0,E1165*0.03)</f>
        <v>0</v>
      </c>
    </row>
    <row r="1166" customFormat="false" ht="15.75" hidden="false" customHeight="true" outlineLevel="0" collapsed="false">
      <c r="A1166" s="30" t="n">
        <v>45323</v>
      </c>
      <c r="B1166" s="31" t="s">
        <v>7</v>
      </c>
      <c r="C1166" s="32"/>
      <c r="D1166" s="32"/>
      <c r="E1166" s="19" t="n">
        <f aca="false">+F1166*0.03</f>
        <v>0</v>
      </c>
      <c r="F1166" s="33" t="n">
        <v>0</v>
      </c>
      <c r="G1166" s="62"/>
      <c r="H1166" s="35" t="n">
        <v>0</v>
      </c>
      <c r="I1166" s="34" t="n">
        <f aca="false">+IF(E1166=0,0,E1166*0.03)</f>
        <v>0</v>
      </c>
    </row>
    <row r="1167" customFormat="false" ht="15.75" hidden="false" customHeight="true" outlineLevel="0" collapsed="false">
      <c r="A1167" s="30" t="n">
        <v>45323</v>
      </c>
      <c r="B1167" s="31" t="s">
        <v>7</v>
      </c>
      <c r="C1167" s="32"/>
      <c r="D1167" s="32"/>
      <c r="E1167" s="19" t="n">
        <f aca="false">+F1167*0.03</f>
        <v>0</v>
      </c>
      <c r="F1167" s="33" t="n">
        <v>0</v>
      </c>
      <c r="G1167" s="62"/>
      <c r="H1167" s="35" t="n">
        <v>0</v>
      </c>
      <c r="I1167" s="34" t="n">
        <f aca="false">+IF(E1167=0,0,E1167*0.03)</f>
        <v>0</v>
      </c>
    </row>
    <row r="1168" customFormat="false" ht="15.75" hidden="false" customHeight="true" outlineLevel="0" collapsed="false">
      <c r="A1168" s="30" t="n">
        <v>45323</v>
      </c>
      <c r="B1168" s="31" t="s">
        <v>7</v>
      </c>
      <c r="C1168" s="32"/>
      <c r="D1168" s="32"/>
      <c r="E1168" s="19" t="n">
        <f aca="false">+F1168*0.03</f>
        <v>0</v>
      </c>
      <c r="F1168" s="33" t="n">
        <v>0</v>
      </c>
      <c r="G1168" s="62"/>
      <c r="H1168" s="35" t="n">
        <v>0</v>
      </c>
      <c r="I1168" s="34" t="n">
        <f aca="false">+IF(E1168=0,0,E1168*0.03)</f>
        <v>0</v>
      </c>
    </row>
    <row r="1169" customFormat="false" ht="15.75" hidden="false" customHeight="true" outlineLevel="0" collapsed="false">
      <c r="A1169" s="30" t="n">
        <v>45323</v>
      </c>
      <c r="B1169" s="31" t="s">
        <v>7</v>
      </c>
      <c r="C1169" s="32"/>
      <c r="D1169" s="32"/>
      <c r="E1169" s="19" t="n">
        <f aca="false">+F1169*0.03</f>
        <v>0</v>
      </c>
      <c r="F1169" s="33" t="n">
        <v>0</v>
      </c>
      <c r="G1169" s="62"/>
      <c r="H1169" s="35" t="n">
        <v>0</v>
      </c>
      <c r="I1169" s="34" t="n">
        <f aca="false">+IF(E1169=0,0,E1169*0.03)</f>
        <v>0</v>
      </c>
    </row>
    <row r="1170" customFormat="false" ht="15.75" hidden="false" customHeight="true" outlineLevel="0" collapsed="false">
      <c r="A1170" s="30" t="n">
        <v>45323</v>
      </c>
      <c r="B1170" s="31" t="s">
        <v>7</v>
      </c>
      <c r="C1170" s="32"/>
      <c r="D1170" s="32"/>
      <c r="E1170" s="19" t="n">
        <f aca="false">+F1170*0.03</f>
        <v>0</v>
      </c>
      <c r="F1170" s="33" t="n">
        <v>0</v>
      </c>
      <c r="G1170" s="62"/>
      <c r="H1170" s="35" t="n">
        <v>0</v>
      </c>
      <c r="I1170" s="34" t="n">
        <f aca="false">+IF(E1170=0,0,E1170*0.03)</f>
        <v>0</v>
      </c>
    </row>
    <row r="1171" customFormat="false" ht="15.75" hidden="false" customHeight="true" outlineLevel="0" collapsed="false">
      <c r="A1171" s="30" t="n">
        <v>45323</v>
      </c>
      <c r="B1171" s="31" t="s">
        <v>7</v>
      </c>
      <c r="C1171" s="32"/>
      <c r="D1171" s="32"/>
      <c r="E1171" s="19" t="n">
        <f aca="false">+F1171*0.03</f>
        <v>0</v>
      </c>
      <c r="F1171" s="33" t="n">
        <v>0</v>
      </c>
      <c r="G1171" s="62"/>
      <c r="H1171" s="35" t="n">
        <v>0</v>
      </c>
      <c r="I1171" s="34" t="n">
        <f aca="false">+IF(E1171=0,0,E1171*0.03)</f>
        <v>0</v>
      </c>
    </row>
    <row r="1172" customFormat="false" ht="15.75" hidden="false" customHeight="true" outlineLevel="0" collapsed="false">
      <c r="A1172" s="30" t="n">
        <v>45323</v>
      </c>
      <c r="B1172" s="31" t="s">
        <v>7</v>
      </c>
      <c r="C1172" s="32"/>
      <c r="D1172" s="32"/>
      <c r="E1172" s="19" t="n">
        <f aca="false">+F1172*0.03</f>
        <v>0</v>
      </c>
      <c r="F1172" s="33" t="n">
        <v>0</v>
      </c>
      <c r="G1172" s="62"/>
      <c r="H1172" s="35" t="n">
        <v>0</v>
      </c>
      <c r="I1172" s="34" t="n">
        <f aca="false">+IF(E1172=0,0,E1172*0.03)</f>
        <v>0</v>
      </c>
    </row>
    <row r="1173" customFormat="false" ht="15.75" hidden="false" customHeight="true" outlineLevel="0" collapsed="false">
      <c r="A1173" s="30" t="n">
        <v>45323</v>
      </c>
      <c r="B1173" s="31" t="s">
        <v>7</v>
      </c>
      <c r="C1173" s="32"/>
      <c r="D1173" s="32"/>
      <c r="E1173" s="19" t="n">
        <f aca="false">+F1173*0.03</f>
        <v>0</v>
      </c>
      <c r="F1173" s="33" t="n">
        <v>0</v>
      </c>
      <c r="G1173" s="62"/>
      <c r="H1173" s="35" t="n">
        <v>0</v>
      </c>
      <c r="I1173" s="34" t="n">
        <f aca="false">+IF(E1173=0,0,E1173*0.03)</f>
        <v>0</v>
      </c>
    </row>
    <row r="1174" customFormat="false" ht="15.75" hidden="false" customHeight="true" outlineLevel="0" collapsed="false">
      <c r="A1174" s="30" t="n">
        <v>45323</v>
      </c>
      <c r="B1174" s="31" t="s">
        <v>7</v>
      </c>
      <c r="C1174" s="32"/>
      <c r="D1174" s="32"/>
      <c r="E1174" s="19" t="n">
        <f aca="false">+F1174*0.03</f>
        <v>0</v>
      </c>
      <c r="F1174" s="33" t="n">
        <v>0</v>
      </c>
      <c r="G1174" s="62"/>
      <c r="H1174" s="35" t="n">
        <v>0</v>
      </c>
      <c r="I1174" s="34" t="n">
        <f aca="false">+IF(E1174=0,0,E1174*0.03)</f>
        <v>0</v>
      </c>
    </row>
    <row r="1175" customFormat="false" ht="15.75" hidden="false" customHeight="true" outlineLevel="0" collapsed="false">
      <c r="A1175" s="30" t="n">
        <v>45323</v>
      </c>
      <c r="B1175" s="31" t="s">
        <v>7</v>
      </c>
      <c r="C1175" s="32"/>
      <c r="D1175" s="32"/>
      <c r="E1175" s="19" t="n">
        <f aca="false">+F1175*0.03</f>
        <v>0</v>
      </c>
      <c r="F1175" s="33" t="n">
        <v>0</v>
      </c>
      <c r="G1175" s="62"/>
      <c r="H1175" s="35" t="n">
        <v>0</v>
      </c>
      <c r="I1175" s="34" t="n">
        <f aca="false">+IF(E1175=0,0,E1175*0.03)</f>
        <v>0</v>
      </c>
    </row>
    <row r="1176" customFormat="false" ht="15.75" hidden="false" customHeight="true" outlineLevel="0" collapsed="false">
      <c r="A1176" s="30" t="n">
        <v>45323</v>
      </c>
      <c r="B1176" s="31" t="s">
        <v>7</v>
      </c>
      <c r="C1176" s="32"/>
      <c r="D1176" s="32"/>
      <c r="E1176" s="19" t="n">
        <f aca="false">+F1176*0.03</f>
        <v>0</v>
      </c>
      <c r="F1176" s="33" t="n">
        <v>0</v>
      </c>
      <c r="G1176" s="62"/>
      <c r="H1176" s="35" t="n">
        <v>0</v>
      </c>
      <c r="I1176" s="34" t="n">
        <f aca="false">+IF(E1176=0,0,E1176*0.03)</f>
        <v>0</v>
      </c>
    </row>
    <row r="1177" customFormat="false" ht="15.75" hidden="false" customHeight="true" outlineLevel="0" collapsed="false">
      <c r="A1177" s="30" t="n">
        <v>45323</v>
      </c>
      <c r="B1177" s="31" t="s">
        <v>7</v>
      </c>
      <c r="C1177" s="32"/>
      <c r="D1177" s="32"/>
      <c r="E1177" s="19" t="n">
        <f aca="false">+F1177*0.03</f>
        <v>0</v>
      </c>
      <c r="F1177" s="33" t="n">
        <v>0</v>
      </c>
      <c r="G1177" s="62"/>
      <c r="H1177" s="35" t="n">
        <v>0</v>
      </c>
      <c r="I1177" s="34" t="n">
        <f aca="false">+IF(E1177=0,0,E1177*0.03)</f>
        <v>0</v>
      </c>
    </row>
    <row r="1178" customFormat="false" ht="15.75" hidden="false" customHeight="true" outlineLevel="0" collapsed="false">
      <c r="A1178" s="30" t="n">
        <v>45323</v>
      </c>
      <c r="B1178" s="31" t="s">
        <v>7</v>
      </c>
      <c r="C1178" s="32"/>
      <c r="D1178" s="32"/>
      <c r="E1178" s="19" t="n">
        <f aca="false">+F1178*0.03</f>
        <v>0</v>
      </c>
      <c r="F1178" s="33" t="n">
        <v>0</v>
      </c>
      <c r="G1178" s="62"/>
      <c r="H1178" s="35" t="n">
        <v>0</v>
      </c>
      <c r="I1178" s="34" t="n">
        <f aca="false">+IF(E1178=0,0,E1178*0.03)</f>
        <v>0</v>
      </c>
    </row>
    <row r="1179" customFormat="false" ht="15.75" hidden="false" customHeight="true" outlineLevel="0" collapsed="false">
      <c r="A1179" s="30" t="n">
        <v>45323</v>
      </c>
      <c r="B1179" s="31" t="s">
        <v>7</v>
      </c>
      <c r="C1179" s="32"/>
      <c r="D1179" s="32"/>
      <c r="E1179" s="19" t="n">
        <f aca="false">+F1179*0.03</f>
        <v>0</v>
      </c>
      <c r="F1179" s="33" t="n">
        <v>0</v>
      </c>
      <c r="G1179" s="62"/>
      <c r="H1179" s="35" t="n">
        <v>0</v>
      </c>
      <c r="I1179" s="34" t="n">
        <f aca="false">+IF(E1179=0,0,E1179*0.03)</f>
        <v>0</v>
      </c>
    </row>
    <row r="1180" customFormat="false" ht="15.75" hidden="false" customHeight="true" outlineLevel="0" collapsed="false">
      <c r="A1180" s="30" t="n">
        <v>45323</v>
      </c>
      <c r="B1180" s="31" t="s">
        <v>7</v>
      </c>
      <c r="C1180" s="32"/>
      <c r="D1180" s="32"/>
      <c r="E1180" s="19" t="n">
        <f aca="false">+F1180*0.03</f>
        <v>0</v>
      </c>
      <c r="F1180" s="33" t="n">
        <v>0</v>
      </c>
      <c r="G1180" s="62"/>
      <c r="H1180" s="35" t="n">
        <v>0</v>
      </c>
      <c r="I1180" s="34" t="n">
        <f aca="false">+IF(E1180=0,0,E1180*0.03)</f>
        <v>0</v>
      </c>
    </row>
    <row r="1181" customFormat="false" ht="15.75" hidden="false" customHeight="true" outlineLevel="0" collapsed="false">
      <c r="A1181" s="30" t="n">
        <v>45323</v>
      </c>
      <c r="B1181" s="31" t="s">
        <v>7</v>
      </c>
      <c r="C1181" s="32"/>
      <c r="D1181" s="32"/>
      <c r="E1181" s="19" t="n">
        <f aca="false">+F1181*0.03</f>
        <v>0</v>
      </c>
      <c r="F1181" s="33" t="n">
        <v>0</v>
      </c>
      <c r="G1181" s="62"/>
      <c r="H1181" s="35" t="n">
        <v>0</v>
      </c>
      <c r="I1181" s="34" t="n">
        <f aca="false">+IF(E1181=0,0,E1181*0.03)</f>
        <v>0</v>
      </c>
    </row>
    <row r="1182" customFormat="false" ht="15.75" hidden="false" customHeight="true" outlineLevel="0" collapsed="false">
      <c r="A1182" s="30" t="n">
        <v>45323</v>
      </c>
      <c r="B1182" s="31" t="s">
        <v>7</v>
      </c>
      <c r="C1182" s="32"/>
      <c r="D1182" s="32"/>
      <c r="E1182" s="19" t="n">
        <f aca="false">+F1182*0.03</f>
        <v>0</v>
      </c>
      <c r="F1182" s="33" t="n">
        <v>0</v>
      </c>
      <c r="G1182" s="62"/>
      <c r="H1182" s="35" t="n">
        <v>0</v>
      </c>
      <c r="I1182" s="34" t="n">
        <f aca="false">+IF(E1182=0,0,E1182*0.03)</f>
        <v>0</v>
      </c>
    </row>
    <row r="1183" customFormat="false" ht="15.75" hidden="false" customHeight="true" outlineLevel="0" collapsed="false">
      <c r="A1183" s="30" t="n">
        <v>45323</v>
      </c>
      <c r="B1183" s="31" t="s">
        <v>7</v>
      </c>
      <c r="C1183" s="32"/>
      <c r="D1183" s="32"/>
      <c r="E1183" s="19" t="n">
        <f aca="false">+F1183*0.03</f>
        <v>0</v>
      </c>
      <c r="F1183" s="33" t="n">
        <v>0</v>
      </c>
      <c r="G1183" s="62"/>
      <c r="H1183" s="35" t="n">
        <v>0</v>
      </c>
      <c r="I1183" s="34" t="n">
        <f aca="false">+IF(E1183=0,0,E1183*0.03)</f>
        <v>0</v>
      </c>
    </row>
    <row r="1184" customFormat="false" ht="15.75" hidden="false" customHeight="true" outlineLevel="0" collapsed="false">
      <c r="A1184" s="30" t="n">
        <v>45323</v>
      </c>
      <c r="B1184" s="31" t="s">
        <v>7</v>
      </c>
      <c r="C1184" s="32"/>
      <c r="D1184" s="32"/>
      <c r="E1184" s="19" t="n">
        <f aca="false">+F1184*0.03</f>
        <v>0</v>
      </c>
      <c r="F1184" s="33" t="n">
        <v>0</v>
      </c>
      <c r="G1184" s="62"/>
      <c r="H1184" s="35" t="n">
        <v>0</v>
      </c>
      <c r="I1184" s="34" t="n">
        <f aca="false">+IF(E1184=0,0,E1184*0.03)</f>
        <v>0</v>
      </c>
    </row>
    <row r="1185" customFormat="false" ht="15.75" hidden="false" customHeight="true" outlineLevel="0" collapsed="false">
      <c r="A1185" s="30" t="n">
        <v>45323</v>
      </c>
      <c r="B1185" s="31" t="s">
        <v>7</v>
      </c>
      <c r="C1185" s="32"/>
      <c r="D1185" s="32"/>
      <c r="E1185" s="19" t="n">
        <f aca="false">+F1185*0.03</f>
        <v>0</v>
      </c>
      <c r="F1185" s="33" t="n">
        <v>0</v>
      </c>
      <c r="G1185" s="62"/>
      <c r="H1185" s="35" t="n">
        <v>0</v>
      </c>
      <c r="I1185" s="34" t="n">
        <f aca="false">+IF(E1185=0,0,E1185*0.03)</f>
        <v>0</v>
      </c>
    </row>
    <row r="1186" customFormat="false" ht="15.75" hidden="false" customHeight="true" outlineLevel="0" collapsed="false">
      <c r="A1186" s="30" t="n">
        <v>45323</v>
      </c>
      <c r="B1186" s="31" t="s">
        <v>7</v>
      </c>
      <c r="C1186" s="32"/>
      <c r="D1186" s="32"/>
      <c r="E1186" s="19" t="n">
        <f aca="false">+F1186*0.03</f>
        <v>0</v>
      </c>
      <c r="F1186" s="33" t="n">
        <v>0</v>
      </c>
      <c r="G1186" s="62"/>
      <c r="H1186" s="35" t="n">
        <v>0</v>
      </c>
      <c r="I1186" s="34" t="n">
        <f aca="false">+IF(E1186=0,0,E1186*0.03)</f>
        <v>0</v>
      </c>
    </row>
    <row r="1187" customFormat="false" ht="15.75" hidden="false" customHeight="true" outlineLevel="0" collapsed="false">
      <c r="A1187" s="30" t="n">
        <v>45323</v>
      </c>
      <c r="B1187" s="31" t="s">
        <v>7</v>
      </c>
      <c r="C1187" s="32"/>
      <c r="D1187" s="32"/>
      <c r="E1187" s="19" t="n">
        <f aca="false">+F1187*0.03</f>
        <v>0</v>
      </c>
      <c r="F1187" s="33" t="n">
        <v>0</v>
      </c>
      <c r="G1187" s="62"/>
      <c r="H1187" s="35" t="n">
        <v>0</v>
      </c>
      <c r="I1187" s="34" t="n">
        <f aca="false">+IF(E1187=0,0,E1187*0.03)</f>
        <v>0</v>
      </c>
    </row>
    <row r="1188" customFormat="false" ht="15.75" hidden="false" customHeight="true" outlineLevel="0" collapsed="false">
      <c r="A1188" s="30" t="n">
        <v>45323</v>
      </c>
      <c r="B1188" s="31" t="s">
        <v>7</v>
      </c>
      <c r="C1188" s="32"/>
      <c r="D1188" s="32"/>
      <c r="E1188" s="19" t="n">
        <f aca="false">+F1188*0.03</f>
        <v>0</v>
      </c>
      <c r="F1188" s="33" t="n">
        <v>0</v>
      </c>
      <c r="G1188" s="62"/>
      <c r="H1188" s="35" t="n">
        <v>0</v>
      </c>
      <c r="I1188" s="34" t="n">
        <f aca="false">+IF(E1188=0,0,E1188*0.03)</f>
        <v>0</v>
      </c>
    </row>
    <row r="1189" customFormat="false" ht="15.75" hidden="false" customHeight="true" outlineLevel="0" collapsed="false">
      <c r="A1189" s="30" t="n">
        <v>45323</v>
      </c>
      <c r="B1189" s="31" t="s">
        <v>7</v>
      </c>
      <c r="C1189" s="32"/>
      <c r="D1189" s="32"/>
      <c r="E1189" s="19" t="n">
        <f aca="false">+F1189*0.03</f>
        <v>0</v>
      </c>
      <c r="F1189" s="33" t="n">
        <v>0</v>
      </c>
      <c r="G1189" s="62"/>
      <c r="H1189" s="35" t="n">
        <v>0</v>
      </c>
      <c r="I1189" s="34" t="n">
        <f aca="false">+IF(E1189=0,0,E1189*0.03)</f>
        <v>0</v>
      </c>
    </row>
    <row r="1190" customFormat="false" ht="15.75" hidden="false" customHeight="true" outlineLevel="0" collapsed="false">
      <c r="A1190" s="30" t="n">
        <v>45323</v>
      </c>
      <c r="B1190" s="31" t="s">
        <v>7</v>
      </c>
      <c r="C1190" s="32"/>
      <c r="D1190" s="32"/>
      <c r="E1190" s="19" t="n">
        <f aca="false">+F1190*0.03</f>
        <v>0</v>
      </c>
      <c r="F1190" s="33" t="n">
        <v>0</v>
      </c>
      <c r="G1190" s="62"/>
      <c r="H1190" s="35" t="n">
        <v>0</v>
      </c>
      <c r="I1190" s="34" t="n">
        <f aca="false">+IF(E1190=0,0,E1190*0.03)</f>
        <v>0</v>
      </c>
    </row>
    <row r="1191" customFormat="false" ht="15.75" hidden="false" customHeight="true" outlineLevel="0" collapsed="false">
      <c r="A1191" s="30" t="n">
        <v>45323</v>
      </c>
      <c r="B1191" s="31" t="s">
        <v>7</v>
      </c>
      <c r="C1191" s="32"/>
      <c r="D1191" s="32"/>
      <c r="E1191" s="19" t="n">
        <f aca="false">+F1191*0.03</f>
        <v>0</v>
      </c>
      <c r="F1191" s="33" t="n">
        <v>0</v>
      </c>
      <c r="G1191" s="62"/>
      <c r="H1191" s="35" t="n">
        <v>0</v>
      </c>
      <c r="I1191" s="34" t="n">
        <f aca="false">+IF(E1191=0,0,E1191*0.03)</f>
        <v>0</v>
      </c>
    </row>
    <row r="1192" customFormat="false" ht="15.75" hidden="false" customHeight="true" outlineLevel="0" collapsed="false">
      <c r="A1192" s="30" t="n">
        <v>45323</v>
      </c>
      <c r="B1192" s="31" t="s">
        <v>7</v>
      </c>
      <c r="C1192" s="32"/>
      <c r="D1192" s="32"/>
      <c r="E1192" s="19" t="n">
        <f aca="false">+F1192*0.03</f>
        <v>0</v>
      </c>
      <c r="F1192" s="33" t="n">
        <v>0</v>
      </c>
      <c r="G1192" s="62"/>
      <c r="H1192" s="35" t="n">
        <v>0</v>
      </c>
      <c r="I1192" s="34" t="n">
        <f aca="false">+IF(E1192=0,0,E1192*0.03)</f>
        <v>0</v>
      </c>
    </row>
    <row r="1193" customFormat="false" ht="15.75" hidden="false" customHeight="true" outlineLevel="0" collapsed="false">
      <c r="A1193" s="30" t="n">
        <v>45323</v>
      </c>
      <c r="B1193" s="31" t="s">
        <v>7</v>
      </c>
      <c r="C1193" s="32"/>
      <c r="D1193" s="32"/>
      <c r="E1193" s="19" t="n">
        <f aca="false">+F1193*0.03</f>
        <v>0</v>
      </c>
      <c r="F1193" s="33" t="n">
        <v>0</v>
      </c>
      <c r="G1193" s="62"/>
      <c r="H1193" s="35" t="n">
        <v>0</v>
      </c>
      <c r="I1193" s="34" t="n">
        <f aca="false">+IF(E1193=0,0,E1193*0.03)</f>
        <v>0</v>
      </c>
    </row>
    <row r="1194" customFormat="false" ht="15.75" hidden="false" customHeight="true" outlineLevel="0" collapsed="false">
      <c r="A1194" s="30" t="n">
        <v>45323</v>
      </c>
      <c r="B1194" s="31" t="s">
        <v>7</v>
      </c>
      <c r="C1194" s="32"/>
      <c r="D1194" s="32"/>
      <c r="E1194" s="19" t="n">
        <f aca="false">+F1194*0.03</f>
        <v>0</v>
      </c>
      <c r="F1194" s="33" t="n">
        <v>0</v>
      </c>
      <c r="G1194" s="62"/>
      <c r="H1194" s="35" t="n">
        <v>0</v>
      </c>
      <c r="I1194" s="34" t="n">
        <f aca="false">+IF(E1194=0,0,E1194*0.03)</f>
        <v>0</v>
      </c>
    </row>
    <row r="1195" customFormat="false" ht="15.75" hidden="false" customHeight="true" outlineLevel="0" collapsed="false">
      <c r="A1195" s="30" t="n">
        <v>45323</v>
      </c>
      <c r="B1195" s="31" t="s">
        <v>7</v>
      </c>
      <c r="C1195" s="32"/>
      <c r="D1195" s="32"/>
      <c r="E1195" s="19" t="n">
        <f aca="false">+F1195*0.03</f>
        <v>0</v>
      </c>
      <c r="F1195" s="33" t="n">
        <v>0</v>
      </c>
      <c r="G1195" s="62"/>
      <c r="H1195" s="35" t="n">
        <v>0</v>
      </c>
      <c r="I1195" s="34" t="n">
        <f aca="false">+IF(E1195=0,0,E1195*0.03)</f>
        <v>0</v>
      </c>
    </row>
    <row r="1196" customFormat="false" ht="15.75" hidden="false" customHeight="true" outlineLevel="0" collapsed="false">
      <c r="A1196" s="30" t="n">
        <v>45323</v>
      </c>
      <c r="B1196" s="31" t="s">
        <v>7</v>
      </c>
      <c r="C1196" s="32"/>
      <c r="D1196" s="32"/>
      <c r="E1196" s="19" t="n">
        <f aca="false">+F1196*0.03</f>
        <v>0</v>
      </c>
      <c r="F1196" s="33" t="n">
        <v>0</v>
      </c>
      <c r="G1196" s="62"/>
      <c r="H1196" s="35" t="n">
        <v>0</v>
      </c>
      <c r="I1196" s="34" t="n">
        <f aca="false">+IF(E1196=0,0,E1196*0.03)</f>
        <v>0</v>
      </c>
    </row>
    <row r="1197" customFormat="false" ht="15.75" hidden="false" customHeight="true" outlineLevel="0" collapsed="false">
      <c r="A1197" s="30" t="n">
        <v>45323</v>
      </c>
      <c r="B1197" s="31" t="s">
        <v>7</v>
      </c>
      <c r="C1197" s="32"/>
      <c r="D1197" s="32"/>
      <c r="E1197" s="19" t="n">
        <f aca="false">+F1197*0.03</f>
        <v>0</v>
      </c>
      <c r="F1197" s="33" t="n">
        <v>0</v>
      </c>
      <c r="G1197" s="62"/>
      <c r="H1197" s="35" t="n">
        <v>0</v>
      </c>
      <c r="I1197" s="34" t="n">
        <f aca="false">+IF(E1197=0,0,E1197*0.03)</f>
        <v>0</v>
      </c>
    </row>
    <row r="1198" customFormat="false" ht="15.75" hidden="false" customHeight="true" outlineLevel="0" collapsed="false">
      <c r="A1198" s="30" t="n">
        <v>45323</v>
      </c>
      <c r="B1198" s="31" t="s">
        <v>7</v>
      </c>
      <c r="C1198" s="32"/>
      <c r="D1198" s="32"/>
      <c r="E1198" s="19" t="n">
        <f aca="false">+F1198*0.03</f>
        <v>0</v>
      </c>
      <c r="F1198" s="33" t="n">
        <v>0</v>
      </c>
      <c r="G1198" s="62"/>
      <c r="H1198" s="35" t="n">
        <v>0</v>
      </c>
      <c r="I1198" s="34" t="n">
        <f aca="false">+IF(E1198=0,0,E1198*0.03)</f>
        <v>0</v>
      </c>
    </row>
    <row r="1199" customFormat="false" ht="15.75" hidden="false" customHeight="true" outlineLevel="0" collapsed="false">
      <c r="A1199" s="30" t="n">
        <v>45323</v>
      </c>
      <c r="B1199" s="31" t="s">
        <v>7</v>
      </c>
      <c r="C1199" s="32"/>
      <c r="D1199" s="32"/>
      <c r="E1199" s="19" t="n">
        <f aca="false">+F1199*0.03</f>
        <v>0</v>
      </c>
      <c r="F1199" s="33" t="n">
        <v>0</v>
      </c>
      <c r="G1199" s="62"/>
      <c r="H1199" s="35" t="n">
        <v>0</v>
      </c>
      <c r="I1199" s="34" t="n">
        <f aca="false">+IF(E1199=0,0,E1199*0.03)</f>
        <v>0</v>
      </c>
    </row>
    <row r="1200" customFormat="false" ht="15.75" hidden="false" customHeight="true" outlineLevel="0" collapsed="false">
      <c r="A1200" s="30" t="n">
        <v>45323</v>
      </c>
      <c r="B1200" s="31" t="s">
        <v>7</v>
      </c>
      <c r="C1200" s="32"/>
      <c r="D1200" s="32"/>
      <c r="E1200" s="19" t="n">
        <f aca="false">+F1200*0.03</f>
        <v>0</v>
      </c>
      <c r="F1200" s="33" t="n">
        <v>0</v>
      </c>
      <c r="G1200" s="62"/>
      <c r="H1200" s="35" t="n">
        <v>0</v>
      </c>
      <c r="I1200" s="34" t="n">
        <f aca="false">+IF(E1200=0,0,E1200*0.03)</f>
        <v>0</v>
      </c>
    </row>
    <row r="1201" customFormat="false" ht="15.75" hidden="false" customHeight="true" outlineLevel="0" collapsed="false">
      <c r="A1201" s="30" t="n">
        <v>45323</v>
      </c>
      <c r="B1201" s="31" t="s">
        <v>7</v>
      </c>
      <c r="C1201" s="32"/>
      <c r="D1201" s="32"/>
      <c r="E1201" s="19" t="n">
        <f aca="false">+F1201*0.03</f>
        <v>0</v>
      </c>
      <c r="F1201" s="33" t="n">
        <v>0</v>
      </c>
      <c r="G1201" s="62"/>
      <c r="H1201" s="35" t="n">
        <v>0</v>
      </c>
      <c r="I1201" s="34" t="n">
        <f aca="false">+IF(E1201=0,0,E1201*0.03)</f>
        <v>0</v>
      </c>
    </row>
    <row r="1202" customFormat="false" ht="15.75" hidden="false" customHeight="true" outlineLevel="0" collapsed="false">
      <c r="A1202" s="30" t="n">
        <v>45323</v>
      </c>
      <c r="B1202" s="31" t="s">
        <v>7</v>
      </c>
      <c r="C1202" s="32"/>
      <c r="D1202" s="32"/>
      <c r="E1202" s="19" t="n">
        <f aca="false">+F1202*0.03</f>
        <v>0</v>
      </c>
      <c r="F1202" s="33" t="n">
        <v>0</v>
      </c>
      <c r="G1202" s="62"/>
      <c r="H1202" s="35" t="n">
        <v>0</v>
      </c>
      <c r="I1202" s="34" t="n">
        <f aca="false">+IF(E1202=0,0,E1202*0.03)</f>
        <v>0</v>
      </c>
    </row>
    <row r="1203" customFormat="false" ht="15.75" hidden="false" customHeight="true" outlineLevel="0" collapsed="false">
      <c r="A1203" s="30" t="n">
        <v>45323</v>
      </c>
      <c r="B1203" s="31" t="s">
        <v>7</v>
      </c>
      <c r="C1203" s="32"/>
      <c r="D1203" s="32"/>
      <c r="E1203" s="19" t="n">
        <f aca="false">+F1203*0.03</f>
        <v>0</v>
      </c>
      <c r="F1203" s="33" t="n">
        <v>0</v>
      </c>
      <c r="G1203" s="62"/>
      <c r="H1203" s="35" t="n">
        <v>0</v>
      </c>
      <c r="I1203" s="34" t="n">
        <f aca="false">+IF(E1203=0,0,E1203*0.03)</f>
        <v>0</v>
      </c>
    </row>
    <row r="1204" customFormat="false" ht="15.75" hidden="false" customHeight="true" outlineLevel="0" collapsed="false">
      <c r="A1204" s="30" t="n">
        <v>45323</v>
      </c>
      <c r="B1204" s="31" t="s">
        <v>7</v>
      </c>
      <c r="C1204" s="32"/>
      <c r="D1204" s="32"/>
      <c r="E1204" s="19" t="n">
        <f aca="false">+F1204*0.03</f>
        <v>0</v>
      </c>
      <c r="F1204" s="33" t="n">
        <v>0</v>
      </c>
      <c r="G1204" s="62"/>
      <c r="H1204" s="35" t="n">
        <v>0</v>
      </c>
      <c r="I1204" s="34" t="n">
        <f aca="false">+IF(E1204=0,0,E1204*0.03)</f>
        <v>0</v>
      </c>
    </row>
    <row r="1205" customFormat="false" ht="15.75" hidden="false" customHeight="true" outlineLevel="0" collapsed="false">
      <c r="A1205" s="30" t="n">
        <v>45323</v>
      </c>
      <c r="B1205" s="31" t="s">
        <v>7</v>
      </c>
      <c r="C1205" s="32"/>
      <c r="D1205" s="32"/>
      <c r="E1205" s="19" t="n">
        <f aca="false">+F1205*0.03</f>
        <v>0</v>
      </c>
      <c r="F1205" s="33" t="n">
        <v>0</v>
      </c>
      <c r="G1205" s="62"/>
      <c r="H1205" s="35" t="n">
        <v>0</v>
      </c>
      <c r="I1205" s="34" t="n">
        <f aca="false">+IF(E1205=0,0,E1205*0.03)</f>
        <v>0</v>
      </c>
    </row>
    <row r="1206" customFormat="false" ht="15.75" hidden="false" customHeight="true" outlineLevel="0" collapsed="false">
      <c r="A1206" s="30" t="n">
        <v>45323</v>
      </c>
      <c r="B1206" s="31" t="s">
        <v>7</v>
      </c>
      <c r="C1206" s="32"/>
      <c r="D1206" s="32"/>
      <c r="E1206" s="19" t="n">
        <f aca="false">+F1206*0.03</f>
        <v>0</v>
      </c>
      <c r="F1206" s="33" t="n">
        <v>0</v>
      </c>
      <c r="G1206" s="62"/>
      <c r="H1206" s="35" t="n">
        <v>0</v>
      </c>
      <c r="I1206" s="34" t="n">
        <f aca="false">+IF(E1206=0,0,E1206*0.03)</f>
        <v>0</v>
      </c>
    </row>
    <row r="1207" customFormat="false" ht="15.75" hidden="false" customHeight="true" outlineLevel="0" collapsed="false">
      <c r="A1207" s="30" t="n">
        <v>45323</v>
      </c>
      <c r="B1207" s="31" t="s">
        <v>7</v>
      </c>
      <c r="C1207" s="32"/>
      <c r="D1207" s="32"/>
      <c r="E1207" s="19" t="n">
        <f aca="false">+F1207*0.03</f>
        <v>0</v>
      </c>
      <c r="F1207" s="33" t="n">
        <v>0</v>
      </c>
      <c r="G1207" s="62"/>
      <c r="H1207" s="35" t="n">
        <v>0</v>
      </c>
      <c r="I1207" s="34" t="n">
        <f aca="false">+IF(E1207=0,0,E1207*0.03)</f>
        <v>0</v>
      </c>
    </row>
    <row r="1208" customFormat="false" ht="15.75" hidden="false" customHeight="true" outlineLevel="0" collapsed="false">
      <c r="A1208" s="30" t="n">
        <v>45323</v>
      </c>
      <c r="B1208" s="31" t="s">
        <v>7</v>
      </c>
      <c r="C1208" s="32"/>
      <c r="D1208" s="32"/>
      <c r="E1208" s="19" t="n">
        <f aca="false">+F1208*0.03</f>
        <v>0</v>
      </c>
      <c r="F1208" s="33" t="n">
        <v>0</v>
      </c>
      <c r="G1208" s="62"/>
      <c r="H1208" s="35" t="n">
        <v>0</v>
      </c>
      <c r="I1208" s="34" t="n">
        <f aca="false">+IF(E1208=0,0,E1208*0.03)</f>
        <v>0</v>
      </c>
    </row>
    <row r="1209" customFormat="false" ht="15.75" hidden="false" customHeight="true" outlineLevel="0" collapsed="false">
      <c r="A1209" s="30" t="n">
        <v>45323</v>
      </c>
      <c r="B1209" s="31" t="s">
        <v>7</v>
      </c>
      <c r="C1209" s="32"/>
      <c r="D1209" s="32"/>
      <c r="E1209" s="19" t="n">
        <f aca="false">+F1209*0.03</f>
        <v>0</v>
      </c>
      <c r="F1209" s="33" t="n">
        <v>0</v>
      </c>
      <c r="G1209" s="62"/>
      <c r="H1209" s="35" t="n">
        <v>0</v>
      </c>
      <c r="I1209" s="34" t="n">
        <f aca="false">+IF(E1209=0,0,E1209*0.03)</f>
        <v>0</v>
      </c>
    </row>
    <row r="1210" customFormat="false" ht="15.75" hidden="false" customHeight="true" outlineLevel="0" collapsed="false">
      <c r="A1210" s="30" t="n">
        <v>45323</v>
      </c>
      <c r="B1210" s="31" t="s">
        <v>7</v>
      </c>
      <c r="C1210" s="32"/>
      <c r="D1210" s="32"/>
      <c r="E1210" s="19" t="n">
        <f aca="false">+F1210*0.03</f>
        <v>0</v>
      </c>
      <c r="F1210" s="33" t="n">
        <v>0</v>
      </c>
      <c r="G1210" s="62"/>
      <c r="H1210" s="35" t="n">
        <v>0</v>
      </c>
      <c r="I1210" s="34" t="n">
        <f aca="false">+IF(E1210=0,0,E1210*0.03)</f>
        <v>0</v>
      </c>
    </row>
    <row r="1211" customFormat="false" ht="15.75" hidden="false" customHeight="true" outlineLevel="0" collapsed="false">
      <c r="A1211" s="30" t="n">
        <v>45323</v>
      </c>
      <c r="B1211" s="31" t="s">
        <v>7</v>
      </c>
      <c r="C1211" s="32"/>
      <c r="D1211" s="32"/>
      <c r="E1211" s="19" t="n">
        <f aca="false">+F1211*0.03</f>
        <v>0</v>
      </c>
      <c r="F1211" s="33" t="n">
        <v>0</v>
      </c>
      <c r="G1211" s="62"/>
      <c r="H1211" s="35" t="n">
        <v>0</v>
      </c>
      <c r="I1211" s="34" t="n">
        <f aca="false">+IF(E1211=0,0,E1211*0.03)</f>
        <v>0</v>
      </c>
    </row>
    <row r="1212" customFormat="false" ht="15.75" hidden="false" customHeight="true" outlineLevel="0" collapsed="false">
      <c r="A1212" s="30" t="n">
        <v>45323</v>
      </c>
      <c r="B1212" s="31" t="s">
        <v>7</v>
      </c>
      <c r="C1212" s="32"/>
      <c r="D1212" s="32"/>
      <c r="E1212" s="19" t="n">
        <f aca="false">+F1212*0.03</f>
        <v>0</v>
      </c>
      <c r="F1212" s="33" t="n">
        <v>0</v>
      </c>
      <c r="G1212" s="62"/>
      <c r="H1212" s="35" t="n">
        <v>0</v>
      </c>
      <c r="I1212" s="34" t="n">
        <f aca="false">+IF(E1212=0,0,E1212*0.03)</f>
        <v>0</v>
      </c>
    </row>
    <row r="1213" customFormat="false" ht="15.75" hidden="false" customHeight="true" outlineLevel="0" collapsed="false">
      <c r="A1213" s="30" t="n">
        <v>45323</v>
      </c>
      <c r="B1213" s="31" t="s">
        <v>7</v>
      </c>
      <c r="C1213" s="32"/>
      <c r="D1213" s="32"/>
      <c r="E1213" s="19" t="n">
        <f aca="false">+F1213*0.03</f>
        <v>0</v>
      </c>
      <c r="F1213" s="33" t="n">
        <v>0</v>
      </c>
      <c r="G1213" s="62"/>
      <c r="H1213" s="35" t="n">
        <v>0</v>
      </c>
      <c r="I1213" s="34" t="n">
        <f aca="false">+IF(E1213=0,0,E1213*0.03)</f>
        <v>0</v>
      </c>
    </row>
    <row r="1214" customFormat="false" ht="15.75" hidden="false" customHeight="true" outlineLevel="0" collapsed="false">
      <c r="A1214" s="30" t="n">
        <v>45323</v>
      </c>
      <c r="B1214" s="31" t="s">
        <v>7</v>
      </c>
      <c r="C1214" s="32"/>
      <c r="D1214" s="32"/>
      <c r="E1214" s="19" t="n">
        <f aca="false">+F1214*0.03</f>
        <v>0</v>
      </c>
      <c r="F1214" s="33" t="n">
        <v>0</v>
      </c>
      <c r="G1214" s="62"/>
      <c r="H1214" s="35" t="n">
        <v>0</v>
      </c>
      <c r="I1214" s="34" t="n">
        <f aca="false">+IF(E1214=0,0,E1214*0.03)</f>
        <v>0</v>
      </c>
    </row>
    <row r="1215" customFormat="false" ht="15.75" hidden="false" customHeight="true" outlineLevel="0" collapsed="false">
      <c r="A1215" s="30" t="n">
        <v>45323</v>
      </c>
      <c r="B1215" s="31" t="s">
        <v>7</v>
      </c>
      <c r="C1215" s="32"/>
      <c r="D1215" s="32"/>
      <c r="E1215" s="19" t="n">
        <f aca="false">+F1215*0.03</f>
        <v>0</v>
      </c>
      <c r="F1215" s="33" t="n">
        <v>0</v>
      </c>
      <c r="G1215" s="62"/>
      <c r="H1215" s="35" t="n">
        <v>0</v>
      </c>
      <c r="I1215" s="34" t="n">
        <f aca="false">+IF(E1215=0,0,E1215*0.03)</f>
        <v>0</v>
      </c>
    </row>
    <row r="1216" customFormat="false" ht="15.75" hidden="false" customHeight="true" outlineLevel="0" collapsed="false">
      <c r="A1216" s="30" t="n">
        <v>45323</v>
      </c>
      <c r="B1216" s="31" t="s">
        <v>7</v>
      </c>
      <c r="C1216" s="32"/>
      <c r="D1216" s="32"/>
      <c r="E1216" s="19" t="n">
        <f aca="false">+F1216*0.03</f>
        <v>0</v>
      </c>
      <c r="F1216" s="33" t="n">
        <v>0</v>
      </c>
      <c r="G1216" s="62"/>
      <c r="H1216" s="35" t="n">
        <v>0</v>
      </c>
      <c r="I1216" s="34" t="n">
        <f aca="false">+IF(E1216=0,0,E1216*0.03)</f>
        <v>0</v>
      </c>
    </row>
    <row r="1217" customFormat="false" ht="15.75" hidden="false" customHeight="true" outlineLevel="0" collapsed="false">
      <c r="A1217" s="30" t="n">
        <v>45323</v>
      </c>
      <c r="B1217" s="31" t="s">
        <v>7</v>
      </c>
      <c r="C1217" s="32"/>
      <c r="D1217" s="32"/>
      <c r="E1217" s="19" t="n">
        <f aca="false">+F1217*0.03</f>
        <v>0</v>
      </c>
      <c r="F1217" s="33" t="n">
        <v>0</v>
      </c>
      <c r="G1217" s="62"/>
      <c r="H1217" s="35" t="n">
        <v>0</v>
      </c>
      <c r="I1217" s="34" t="n">
        <f aca="false">+IF(E1217=0,0,E1217*0.03)</f>
        <v>0</v>
      </c>
    </row>
    <row r="1218" customFormat="false" ht="15.75" hidden="false" customHeight="true" outlineLevel="0" collapsed="false">
      <c r="A1218" s="30" t="n">
        <v>45323</v>
      </c>
      <c r="B1218" s="31" t="s">
        <v>7</v>
      </c>
      <c r="C1218" s="32"/>
      <c r="D1218" s="32"/>
      <c r="E1218" s="19" t="n">
        <f aca="false">+F1218*0.03</f>
        <v>0</v>
      </c>
      <c r="F1218" s="33" t="n">
        <v>0</v>
      </c>
      <c r="G1218" s="62"/>
      <c r="H1218" s="35" t="n">
        <v>0</v>
      </c>
      <c r="I1218" s="34" t="n">
        <f aca="false">+IF(E1218=0,0,E1218*0.03)</f>
        <v>0</v>
      </c>
    </row>
    <row r="1219" customFormat="false" ht="15.75" hidden="false" customHeight="true" outlineLevel="0" collapsed="false">
      <c r="A1219" s="30" t="n">
        <v>45323</v>
      </c>
      <c r="B1219" s="31" t="s">
        <v>7</v>
      </c>
      <c r="C1219" s="32"/>
      <c r="D1219" s="32"/>
      <c r="E1219" s="19" t="n">
        <f aca="false">+F1219*0.03</f>
        <v>0</v>
      </c>
      <c r="F1219" s="33" t="n">
        <v>0</v>
      </c>
      <c r="G1219" s="62"/>
      <c r="H1219" s="35" t="n">
        <v>0</v>
      </c>
      <c r="I1219" s="34" t="n">
        <f aca="false">+IF(E1219=0,0,E1219*0.03)</f>
        <v>0</v>
      </c>
    </row>
    <row r="1220" customFormat="false" ht="15.75" hidden="false" customHeight="true" outlineLevel="0" collapsed="false">
      <c r="A1220" s="30" t="n">
        <v>45323</v>
      </c>
      <c r="B1220" s="31" t="s">
        <v>7</v>
      </c>
      <c r="C1220" s="32"/>
      <c r="D1220" s="32"/>
      <c r="E1220" s="19" t="n">
        <f aca="false">+F1220*0.03</f>
        <v>0</v>
      </c>
      <c r="F1220" s="33" t="n">
        <v>0</v>
      </c>
      <c r="G1220" s="62"/>
      <c r="H1220" s="35" t="n">
        <v>0</v>
      </c>
      <c r="I1220" s="34" t="n">
        <f aca="false">+IF(E1220=0,0,E1220*0.03)</f>
        <v>0</v>
      </c>
    </row>
    <row r="1221" customFormat="false" ht="15.75" hidden="false" customHeight="true" outlineLevel="0" collapsed="false">
      <c r="A1221" s="30" t="n">
        <v>45323</v>
      </c>
      <c r="B1221" s="31" t="s">
        <v>7</v>
      </c>
      <c r="C1221" s="32"/>
      <c r="D1221" s="32"/>
      <c r="E1221" s="19" t="n">
        <f aca="false">+F1221*0.03</f>
        <v>0</v>
      </c>
      <c r="F1221" s="33" t="n">
        <v>0</v>
      </c>
      <c r="G1221" s="62"/>
      <c r="H1221" s="35" t="n">
        <v>0</v>
      </c>
      <c r="I1221" s="34" t="n">
        <f aca="false">+IF(E1221=0,0,E1221*0.03)</f>
        <v>0</v>
      </c>
    </row>
    <row r="1222" customFormat="false" ht="15.75" hidden="false" customHeight="true" outlineLevel="0" collapsed="false">
      <c r="A1222" s="30" t="n">
        <v>45323</v>
      </c>
      <c r="B1222" s="31" t="s">
        <v>7</v>
      </c>
      <c r="C1222" s="32"/>
      <c r="D1222" s="32"/>
      <c r="E1222" s="19" t="n">
        <f aca="false">+F1222*0.03</f>
        <v>0</v>
      </c>
      <c r="F1222" s="33" t="n">
        <v>0</v>
      </c>
      <c r="G1222" s="62"/>
      <c r="H1222" s="35" t="n">
        <v>0</v>
      </c>
      <c r="I1222" s="34" t="n">
        <f aca="false">+IF(E1222=0,0,E1222*0.03)</f>
        <v>0</v>
      </c>
    </row>
    <row r="1223" customFormat="false" ht="15.75" hidden="false" customHeight="true" outlineLevel="0" collapsed="false">
      <c r="A1223" s="30" t="n">
        <v>45323</v>
      </c>
      <c r="B1223" s="31" t="s">
        <v>7</v>
      </c>
      <c r="C1223" s="32"/>
      <c r="D1223" s="32"/>
      <c r="E1223" s="19" t="n">
        <f aca="false">+F1223*0.03</f>
        <v>0</v>
      </c>
      <c r="F1223" s="33" t="n">
        <v>0</v>
      </c>
      <c r="G1223" s="62"/>
      <c r="H1223" s="35" t="n">
        <v>0</v>
      </c>
      <c r="I1223" s="34" t="n">
        <f aca="false">+IF(E1223=0,0,E1223*0.03)</f>
        <v>0</v>
      </c>
    </row>
    <row r="1224" customFormat="false" ht="15.75" hidden="false" customHeight="true" outlineLevel="0" collapsed="false">
      <c r="A1224" s="30" t="n">
        <v>45323</v>
      </c>
      <c r="B1224" s="31" t="s">
        <v>7</v>
      </c>
      <c r="C1224" s="32"/>
      <c r="D1224" s="32"/>
      <c r="E1224" s="19" t="n">
        <f aca="false">+F1224*0.03</f>
        <v>0</v>
      </c>
      <c r="F1224" s="33" t="n">
        <v>0</v>
      </c>
      <c r="G1224" s="62"/>
      <c r="H1224" s="35" t="n">
        <v>0</v>
      </c>
      <c r="I1224" s="34" t="n">
        <f aca="false">+IF(E1224=0,0,E1224*0.03)</f>
        <v>0</v>
      </c>
    </row>
    <row r="1225" customFormat="false" ht="15.75" hidden="false" customHeight="true" outlineLevel="0" collapsed="false">
      <c r="A1225" s="30" t="n">
        <v>45323</v>
      </c>
      <c r="B1225" s="31" t="s">
        <v>7</v>
      </c>
      <c r="C1225" s="32"/>
      <c r="D1225" s="32"/>
      <c r="E1225" s="19" t="n">
        <f aca="false">+F1225*0.03</f>
        <v>0</v>
      </c>
      <c r="F1225" s="33" t="n">
        <v>0</v>
      </c>
      <c r="G1225" s="62"/>
      <c r="H1225" s="35" t="n">
        <v>0</v>
      </c>
      <c r="I1225" s="34" t="n">
        <f aca="false">+IF(E1225=0,0,E1225*0.03)</f>
        <v>0</v>
      </c>
    </row>
    <row r="1226" customFormat="false" ht="15.75" hidden="false" customHeight="true" outlineLevel="0" collapsed="false">
      <c r="A1226" s="30" t="n">
        <v>45323</v>
      </c>
      <c r="B1226" s="31" t="s">
        <v>7</v>
      </c>
      <c r="C1226" s="32"/>
      <c r="D1226" s="32"/>
      <c r="E1226" s="19" t="n">
        <f aca="false">+F1226*0.03</f>
        <v>0</v>
      </c>
      <c r="F1226" s="33" t="n">
        <v>0</v>
      </c>
      <c r="G1226" s="62"/>
      <c r="H1226" s="35" t="n">
        <v>0</v>
      </c>
      <c r="I1226" s="34" t="n">
        <f aca="false">+IF(E1226=0,0,E1226*0.03)</f>
        <v>0</v>
      </c>
    </row>
    <row r="1227" customFormat="false" ht="15.75" hidden="false" customHeight="true" outlineLevel="0" collapsed="false">
      <c r="A1227" s="30" t="n">
        <v>45323</v>
      </c>
      <c r="B1227" s="31" t="s">
        <v>7</v>
      </c>
      <c r="C1227" s="32"/>
      <c r="D1227" s="32"/>
      <c r="E1227" s="19" t="n">
        <f aca="false">+F1227*0.03</f>
        <v>0</v>
      </c>
      <c r="F1227" s="33" t="n">
        <v>0</v>
      </c>
      <c r="G1227" s="62"/>
      <c r="H1227" s="35" t="n">
        <v>0</v>
      </c>
      <c r="I1227" s="34" t="n">
        <f aca="false">+IF(E1227=0,0,E1227*0.03)</f>
        <v>0</v>
      </c>
    </row>
    <row r="1228" customFormat="false" ht="15.75" hidden="false" customHeight="true" outlineLevel="0" collapsed="false">
      <c r="A1228" s="30" t="n">
        <v>45323</v>
      </c>
      <c r="B1228" s="31" t="s">
        <v>7</v>
      </c>
      <c r="C1228" s="32"/>
      <c r="D1228" s="32"/>
      <c r="E1228" s="19" t="n">
        <f aca="false">+F1228*0.03</f>
        <v>0</v>
      </c>
      <c r="F1228" s="33" t="n">
        <v>0</v>
      </c>
      <c r="G1228" s="62"/>
      <c r="H1228" s="35" t="n">
        <v>0</v>
      </c>
      <c r="I1228" s="34" t="n">
        <f aca="false">+IF(E1228=0,0,E1228*0.03)</f>
        <v>0</v>
      </c>
    </row>
    <row r="1229" customFormat="false" ht="15.75" hidden="false" customHeight="true" outlineLevel="0" collapsed="false">
      <c r="A1229" s="30" t="n">
        <v>45323</v>
      </c>
      <c r="B1229" s="31" t="s">
        <v>7</v>
      </c>
      <c r="C1229" s="32"/>
      <c r="D1229" s="32"/>
      <c r="E1229" s="19" t="n">
        <f aca="false">+F1229*0.03</f>
        <v>0</v>
      </c>
      <c r="F1229" s="33" t="n">
        <v>0</v>
      </c>
      <c r="G1229" s="62"/>
      <c r="H1229" s="35" t="n">
        <v>0</v>
      </c>
      <c r="I1229" s="34" t="n">
        <f aca="false">+IF(E1229=0,0,E1229*0.03)</f>
        <v>0</v>
      </c>
    </row>
    <row r="1230" customFormat="false" ht="15.75" hidden="false" customHeight="true" outlineLevel="0" collapsed="false">
      <c r="A1230" s="30" t="n">
        <v>45323</v>
      </c>
      <c r="B1230" s="31" t="s">
        <v>7</v>
      </c>
      <c r="C1230" s="32"/>
      <c r="D1230" s="32"/>
      <c r="E1230" s="19" t="n">
        <f aca="false">+F1230*0.03</f>
        <v>0</v>
      </c>
      <c r="F1230" s="33" t="n">
        <v>0</v>
      </c>
      <c r="G1230" s="62"/>
      <c r="H1230" s="35" t="n">
        <v>0</v>
      </c>
      <c r="I1230" s="34" t="n">
        <f aca="false">+IF(E1230=0,0,E1230*0.03)</f>
        <v>0</v>
      </c>
    </row>
    <row r="1231" customFormat="false" ht="15.75" hidden="false" customHeight="true" outlineLevel="0" collapsed="false">
      <c r="A1231" s="30" t="n">
        <v>45323</v>
      </c>
      <c r="B1231" s="31" t="s">
        <v>7</v>
      </c>
      <c r="C1231" s="32"/>
      <c r="D1231" s="32"/>
      <c r="E1231" s="19" t="n">
        <f aca="false">+F1231*0.03</f>
        <v>0</v>
      </c>
      <c r="F1231" s="33" t="n">
        <v>0</v>
      </c>
      <c r="G1231" s="62"/>
      <c r="H1231" s="35" t="n">
        <v>0</v>
      </c>
      <c r="I1231" s="34" t="n">
        <f aca="false">+IF(E1231=0,0,E1231*0.03)</f>
        <v>0</v>
      </c>
    </row>
    <row r="1232" customFormat="false" ht="15.75" hidden="false" customHeight="true" outlineLevel="0" collapsed="false">
      <c r="A1232" s="30" t="n">
        <v>45323</v>
      </c>
      <c r="B1232" s="31" t="s">
        <v>7</v>
      </c>
      <c r="C1232" s="32"/>
      <c r="D1232" s="32"/>
      <c r="E1232" s="19" t="n">
        <f aca="false">+F1232*0.03</f>
        <v>0</v>
      </c>
      <c r="F1232" s="33" t="n">
        <v>0</v>
      </c>
      <c r="G1232" s="62"/>
      <c r="H1232" s="35" t="n">
        <v>0</v>
      </c>
      <c r="I1232" s="34" t="n">
        <f aca="false">+IF(E1232=0,0,E1232*0.03)</f>
        <v>0</v>
      </c>
    </row>
    <row r="1233" customFormat="false" ht="15.75" hidden="false" customHeight="true" outlineLevel="0" collapsed="false">
      <c r="A1233" s="30" t="n">
        <v>45323</v>
      </c>
      <c r="B1233" s="31" t="s">
        <v>7</v>
      </c>
      <c r="C1233" s="32"/>
      <c r="D1233" s="32"/>
      <c r="E1233" s="19" t="n">
        <f aca="false">+F1233*0.03</f>
        <v>0</v>
      </c>
      <c r="F1233" s="33" t="n">
        <v>0</v>
      </c>
      <c r="G1233" s="62"/>
      <c r="H1233" s="35" t="n">
        <v>0</v>
      </c>
      <c r="I1233" s="34" t="n">
        <f aca="false">+IF(E1233=0,0,E1233*0.03)</f>
        <v>0</v>
      </c>
    </row>
    <row r="1234" customFormat="false" ht="15.75" hidden="false" customHeight="true" outlineLevel="0" collapsed="false">
      <c r="A1234" s="30" t="n">
        <v>45323</v>
      </c>
      <c r="B1234" s="31" t="s">
        <v>7</v>
      </c>
      <c r="C1234" s="32"/>
      <c r="D1234" s="32"/>
      <c r="E1234" s="19" t="n">
        <f aca="false">+F1234*0.03</f>
        <v>0</v>
      </c>
      <c r="F1234" s="33" t="n">
        <v>0</v>
      </c>
      <c r="G1234" s="62"/>
      <c r="H1234" s="35" t="n">
        <v>0</v>
      </c>
      <c r="I1234" s="34" t="n">
        <f aca="false">+IF(E1234=0,0,E1234*0.03)</f>
        <v>0</v>
      </c>
    </row>
    <row r="1235" customFormat="false" ht="15.75" hidden="false" customHeight="true" outlineLevel="0" collapsed="false">
      <c r="A1235" s="30" t="n">
        <v>45323</v>
      </c>
      <c r="B1235" s="31" t="s">
        <v>7</v>
      </c>
      <c r="C1235" s="32"/>
      <c r="D1235" s="32"/>
      <c r="E1235" s="19" t="n">
        <f aca="false">+F1235*0.03</f>
        <v>0</v>
      </c>
      <c r="F1235" s="33" t="n">
        <v>0</v>
      </c>
      <c r="G1235" s="62"/>
      <c r="H1235" s="35" t="n">
        <v>0</v>
      </c>
      <c r="I1235" s="34" t="n">
        <f aca="false">+IF(E1235=0,0,E1235*0.03)</f>
        <v>0</v>
      </c>
    </row>
    <row r="1236" customFormat="false" ht="15.75" hidden="false" customHeight="true" outlineLevel="0" collapsed="false">
      <c r="A1236" s="30" t="n">
        <v>45323</v>
      </c>
      <c r="B1236" s="31" t="s">
        <v>7</v>
      </c>
      <c r="C1236" s="32"/>
      <c r="D1236" s="32"/>
      <c r="E1236" s="19" t="n">
        <f aca="false">+F1236*0.03</f>
        <v>0</v>
      </c>
      <c r="F1236" s="33" t="n">
        <v>0</v>
      </c>
      <c r="G1236" s="62"/>
      <c r="H1236" s="35" t="n">
        <v>0</v>
      </c>
      <c r="I1236" s="34" t="n">
        <f aca="false">+IF(E1236=0,0,E1236*0.03)</f>
        <v>0</v>
      </c>
    </row>
    <row r="1237" customFormat="false" ht="15.75" hidden="false" customHeight="true" outlineLevel="0" collapsed="false">
      <c r="A1237" s="30" t="n">
        <v>45323</v>
      </c>
      <c r="B1237" s="31" t="s">
        <v>7</v>
      </c>
      <c r="C1237" s="32"/>
      <c r="D1237" s="32"/>
      <c r="E1237" s="19" t="n">
        <f aca="false">+F1237*0.03</f>
        <v>0</v>
      </c>
      <c r="F1237" s="33" t="n">
        <v>0</v>
      </c>
      <c r="G1237" s="62"/>
      <c r="H1237" s="35" t="n">
        <v>0</v>
      </c>
      <c r="I1237" s="34" t="n">
        <f aca="false">+IF(E1237=0,0,E1237*0.03)</f>
        <v>0</v>
      </c>
    </row>
    <row r="1238" customFormat="false" ht="15.75" hidden="false" customHeight="true" outlineLevel="0" collapsed="false">
      <c r="A1238" s="30" t="n">
        <v>45323</v>
      </c>
      <c r="B1238" s="31" t="s">
        <v>7</v>
      </c>
      <c r="C1238" s="32"/>
      <c r="D1238" s="32"/>
      <c r="E1238" s="19" t="n">
        <f aca="false">+F1238*0.03</f>
        <v>0</v>
      </c>
      <c r="F1238" s="33" t="n">
        <v>0</v>
      </c>
      <c r="G1238" s="62"/>
      <c r="H1238" s="35" t="n">
        <v>0</v>
      </c>
      <c r="I1238" s="34" t="n">
        <f aca="false">+IF(E1238=0,0,E1238*0.03)</f>
        <v>0</v>
      </c>
    </row>
    <row r="1239" customFormat="false" ht="15.75" hidden="false" customHeight="true" outlineLevel="0" collapsed="false">
      <c r="A1239" s="30" t="n">
        <v>45323</v>
      </c>
      <c r="B1239" s="31" t="s">
        <v>7</v>
      </c>
      <c r="C1239" s="32"/>
      <c r="D1239" s="32"/>
      <c r="E1239" s="19" t="n">
        <f aca="false">+F1239*0.03</f>
        <v>0</v>
      </c>
      <c r="F1239" s="33" t="n">
        <v>0</v>
      </c>
      <c r="G1239" s="62"/>
      <c r="H1239" s="35" t="n">
        <v>0</v>
      </c>
      <c r="I1239" s="34" t="n">
        <f aca="false">+IF(E1239=0,0,E1239*0.03)</f>
        <v>0</v>
      </c>
    </row>
    <row r="1240" customFormat="false" ht="15.75" hidden="false" customHeight="true" outlineLevel="0" collapsed="false">
      <c r="A1240" s="30" t="n">
        <v>45323</v>
      </c>
      <c r="B1240" s="31" t="s">
        <v>7</v>
      </c>
      <c r="C1240" s="32"/>
      <c r="D1240" s="32"/>
      <c r="E1240" s="19" t="n">
        <f aca="false">+F1240*0.03</f>
        <v>0</v>
      </c>
      <c r="F1240" s="33" t="n">
        <v>0</v>
      </c>
      <c r="G1240" s="62"/>
      <c r="H1240" s="35" t="n">
        <v>0</v>
      </c>
      <c r="I1240" s="34" t="n">
        <f aca="false">+IF(E1240=0,0,E1240*0.03)</f>
        <v>0</v>
      </c>
    </row>
    <row r="1241" customFormat="false" ht="15.75" hidden="false" customHeight="true" outlineLevel="0" collapsed="false">
      <c r="A1241" s="30" t="n">
        <v>45323</v>
      </c>
      <c r="B1241" s="31" t="s">
        <v>7</v>
      </c>
      <c r="C1241" s="32"/>
      <c r="D1241" s="32"/>
      <c r="E1241" s="19" t="n">
        <f aca="false">+F1241*0.03</f>
        <v>0</v>
      </c>
      <c r="F1241" s="33" t="n">
        <v>0</v>
      </c>
      <c r="G1241" s="62"/>
      <c r="H1241" s="35" t="n">
        <v>0</v>
      </c>
      <c r="I1241" s="34" t="n">
        <f aca="false">+IF(E1241=0,0,E1241*0.03)</f>
        <v>0</v>
      </c>
    </row>
    <row r="1242" customFormat="false" ht="15.75" hidden="false" customHeight="true" outlineLevel="0" collapsed="false">
      <c r="A1242" s="30" t="n">
        <v>45323</v>
      </c>
      <c r="B1242" s="31" t="s">
        <v>7</v>
      </c>
      <c r="C1242" s="32"/>
      <c r="D1242" s="32"/>
      <c r="E1242" s="19" t="n">
        <f aca="false">+F1242*0.03</f>
        <v>0</v>
      </c>
      <c r="F1242" s="33" t="n">
        <v>0</v>
      </c>
      <c r="G1242" s="62"/>
      <c r="H1242" s="35" t="n">
        <v>0</v>
      </c>
      <c r="I1242" s="34" t="n">
        <f aca="false">+IF(E1242=0,0,E1242*0.03)</f>
        <v>0</v>
      </c>
    </row>
    <row r="1243" customFormat="false" ht="15.75" hidden="false" customHeight="true" outlineLevel="0" collapsed="false">
      <c r="A1243" s="30" t="n">
        <v>45323</v>
      </c>
      <c r="B1243" s="31" t="s">
        <v>7</v>
      </c>
      <c r="C1243" s="32"/>
      <c r="D1243" s="32"/>
      <c r="E1243" s="19" t="n">
        <f aca="false">+F1243*0.03</f>
        <v>0</v>
      </c>
      <c r="F1243" s="33" t="n">
        <v>0</v>
      </c>
      <c r="G1243" s="62"/>
      <c r="H1243" s="35" t="n">
        <v>0</v>
      </c>
      <c r="I1243" s="34" t="n">
        <f aca="false">+IF(E1243=0,0,E1243*0.03)</f>
        <v>0</v>
      </c>
    </row>
    <row r="1244" customFormat="false" ht="15.75" hidden="false" customHeight="true" outlineLevel="0" collapsed="false">
      <c r="A1244" s="30" t="n">
        <v>45323</v>
      </c>
      <c r="B1244" s="31" t="s">
        <v>7</v>
      </c>
      <c r="C1244" s="32"/>
      <c r="D1244" s="32"/>
      <c r="E1244" s="19" t="n">
        <f aca="false">+F1244*0.03</f>
        <v>0</v>
      </c>
      <c r="F1244" s="33" t="n">
        <v>0</v>
      </c>
      <c r="G1244" s="62"/>
      <c r="H1244" s="35" t="n">
        <v>0</v>
      </c>
      <c r="I1244" s="34" t="n">
        <f aca="false">+IF(E1244=0,0,E1244*0.03)</f>
        <v>0</v>
      </c>
    </row>
    <row r="1245" customFormat="false" ht="15.75" hidden="false" customHeight="true" outlineLevel="0" collapsed="false">
      <c r="A1245" s="30" t="n">
        <v>45323</v>
      </c>
      <c r="B1245" s="31" t="s">
        <v>7</v>
      </c>
      <c r="C1245" s="32"/>
      <c r="D1245" s="32"/>
      <c r="E1245" s="19" t="n">
        <f aca="false">+F1245*0.03</f>
        <v>0</v>
      </c>
      <c r="F1245" s="33" t="n">
        <v>0</v>
      </c>
      <c r="G1245" s="62"/>
      <c r="H1245" s="35" t="n">
        <v>0</v>
      </c>
      <c r="I1245" s="34" t="n">
        <f aca="false">+IF(E1245=0,0,E1245*0.03)</f>
        <v>0</v>
      </c>
    </row>
    <row r="1246" customFormat="false" ht="15.75" hidden="false" customHeight="true" outlineLevel="0" collapsed="false">
      <c r="A1246" s="30" t="n">
        <v>45323</v>
      </c>
      <c r="B1246" s="31" t="s">
        <v>7</v>
      </c>
      <c r="C1246" s="32"/>
      <c r="D1246" s="32"/>
      <c r="E1246" s="19" t="n">
        <f aca="false">+F1246*0.03</f>
        <v>0</v>
      </c>
      <c r="F1246" s="33" t="n">
        <v>0</v>
      </c>
      <c r="G1246" s="62"/>
      <c r="H1246" s="35" t="n">
        <v>0</v>
      </c>
      <c r="I1246" s="34" t="n">
        <f aca="false">+IF(E1246=0,0,E1246*0.03)</f>
        <v>0</v>
      </c>
    </row>
    <row r="1247" customFormat="false" ht="15.75" hidden="false" customHeight="true" outlineLevel="0" collapsed="false">
      <c r="A1247" s="30" t="n">
        <v>45323</v>
      </c>
      <c r="B1247" s="31" t="s">
        <v>7</v>
      </c>
      <c r="C1247" s="32"/>
      <c r="D1247" s="32"/>
      <c r="E1247" s="19" t="n">
        <f aca="false">+F1247*0.03</f>
        <v>0</v>
      </c>
      <c r="F1247" s="33" t="n">
        <v>0</v>
      </c>
      <c r="G1247" s="62"/>
      <c r="H1247" s="35" t="n">
        <v>0</v>
      </c>
      <c r="I1247" s="34" t="n">
        <f aca="false">+IF(E1247=0,0,E1247*0.03)</f>
        <v>0</v>
      </c>
    </row>
    <row r="1248" customFormat="false" ht="15.75" hidden="false" customHeight="true" outlineLevel="0" collapsed="false">
      <c r="A1248" s="30" t="n">
        <v>45323</v>
      </c>
      <c r="B1248" s="31" t="s">
        <v>7</v>
      </c>
      <c r="C1248" s="32"/>
      <c r="D1248" s="32"/>
      <c r="E1248" s="19" t="n">
        <f aca="false">+F1248*0.03</f>
        <v>0</v>
      </c>
      <c r="F1248" s="33" t="n">
        <v>0</v>
      </c>
      <c r="G1248" s="62"/>
      <c r="H1248" s="35" t="n">
        <v>0</v>
      </c>
      <c r="I1248" s="34" t="n">
        <f aca="false">+IF(E1248=0,0,E1248*0.03)</f>
        <v>0</v>
      </c>
    </row>
    <row r="1249" customFormat="false" ht="15.75" hidden="false" customHeight="true" outlineLevel="0" collapsed="false">
      <c r="A1249" s="30" t="n">
        <v>45323</v>
      </c>
      <c r="B1249" s="31" t="s">
        <v>7</v>
      </c>
      <c r="C1249" s="32"/>
      <c r="D1249" s="32"/>
      <c r="E1249" s="19" t="n">
        <f aca="false">+F1249*0.03</f>
        <v>0</v>
      </c>
      <c r="F1249" s="33" t="n">
        <v>0</v>
      </c>
      <c r="G1249" s="62"/>
      <c r="H1249" s="35" t="n">
        <v>0</v>
      </c>
      <c r="I1249" s="34" t="n">
        <f aca="false">+IF(E1249=0,0,E1249*0.03)</f>
        <v>0</v>
      </c>
    </row>
    <row r="1250" customFormat="false" ht="15.75" hidden="false" customHeight="true" outlineLevel="0" collapsed="false">
      <c r="A1250" s="30" t="n">
        <v>45323</v>
      </c>
      <c r="B1250" s="31" t="s">
        <v>7</v>
      </c>
      <c r="C1250" s="32"/>
      <c r="D1250" s="32"/>
      <c r="E1250" s="19" t="n">
        <f aca="false">+F1250*0.03</f>
        <v>0</v>
      </c>
      <c r="F1250" s="33" t="n">
        <v>0</v>
      </c>
      <c r="G1250" s="62"/>
      <c r="H1250" s="35" t="n">
        <v>0</v>
      </c>
      <c r="I1250" s="34" t="n">
        <f aca="false">+IF(E1250=0,0,E1250*0.03)</f>
        <v>0</v>
      </c>
    </row>
    <row r="1251" customFormat="false" ht="15.75" hidden="false" customHeight="true" outlineLevel="0" collapsed="false">
      <c r="A1251" s="30" t="n">
        <v>45323</v>
      </c>
      <c r="B1251" s="31" t="s">
        <v>7</v>
      </c>
      <c r="C1251" s="32"/>
      <c r="D1251" s="32"/>
      <c r="E1251" s="19" t="n">
        <f aca="false">+F1251*0.03</f>
        <v>0</v>
      </c>
      <c r="F1251" s="33" t="n">
        <v>0</v>
      </c>
      <c r="G1251" s="62"/>
      <c r="H1251" s="35" t="n">
        <v>0</v>
      </c>
      <c r="I1251" s="34" t="n">
        <f aca="false">+IF(E1251=0,0,E1251*0.03)</f>
        <v>0</v>
      </c>
    </row>
    <row r="1252" customFormat="false" ht="15.75" hidden="false" customHeight="true" outlineLevel="0" collapsed="false">
      <c r="A1252" s="30" t="n">
        <v>45323</v>
      </c>
      <c r="B1252" s="31" t="s">
        <v>7</v>
      </c>
      <c r="C1252" s="32"/>
      <c r="D1252" s="32"/>
      <c r="E1252" s="19" t="n">
        <f aca="false">+F1252*0.03</f>
        <v>0</v>
      </c>
      <c r="F1252" s="33" t="n">
        <v>0</v>
      </c>
      <c r="G1252" s="62"/>
      <c r="H1252" s="35" t="n">
        <v>0</v>
      </c>
      <c r="I1252" s="34" t="n">
        <f aca="false">+IF(E1252=0,0,E1252*0.03)</f>
        <v>0</v>
      </c>
    </row>
    <row r="1253" customFormat="false" ht="15.75" hidden="false" customHeight="true" outlineLevel="0" collapsed="false">
      <c r="A1253" s="30" t="n">
        <v>45323</v>
      </c>
      <c r="B1253" s="31" t="s">
        <v>7</v>
      </c>
      <c r="C1253" s="32"/>
      <c r="D1253" s="32"/>
      <c r="E1253" s="19" t="n">
        <f aca="false">+F1253*0.03</f>
        <v>0</v>
      </c>
      <c r="F1253" s="33" t="n">
        <v>0</v>
      </c>
      <c r="G1253" s="62"/>
      <c r="H1253" s="35" t="n">
        <v>0</v>
      </c>
      <c r="I1253" s="34" t="n">
        <f aca="false">+IF(E1253=0,0,E1253*0.03)</f>
        <v>0</v>
      </c>
    </row>
    <row r="1254" customFormat="false" ht="15.75" hidden="false" customHeight="true" outlineLevel="0" collapsed="false">
      <c r="A1254" s="30" t="n">
        <v>45323</v>
      </c>
      <c r="B1254" s="31" t="s">
        <v>7</v>
      </c>
      <c r="C1254" s="32"/>
      <c r="D1254" s="32"/>
      <c r="E1254" s="19" t="n">
        <f aca="false">+F1254*0.03</f>
        <v>0</v>
      </c>
      <c r="F1254" s="33" t="n">
        <v>0</v>
      </c>
      <c r="G1254" s="62"/>
      <c r="H1254" s="35" t="n">
        <v>0</v>
      </c>
      <c r="I1254" s="34" t="n">
        <f aca="false">+IF(E1254=0,0,E1254*0.03)</f>
        <v>0</v>
      </c>
    </row>
    <row r="1255" customFormat="false" ht="15.75" hidden="false" customHeight="true" outlineLevel="0" collapsed="false">
      <c r="A1255" s="30" t="n">
        <v>45323</v>
      </c>
      <c r="B1255" s="31" t="s">
        <v>7</v>
      </c>
      <c r="C1255" s="32"/>
      <c r="D1255" s="32"/>
      <c r="E1255" s="19" t="n">
        <f aca="false">+F1255*0.03</f>
        <v>0</v>
      </c>
      <c r="F1255" s="33" t="n">
        <v>0</v>
      </c>
      <c r="G1255" s="62"/>
      <c r="H1255" s="35" t="n">
        <v>0</v>
      </c>
      <c r="I1255" s="34" t="n">
        <f aca="false">+IF(E1255=0,0,E1255*0.03)</f>
        <v>0</v>
      </c>
    </row>
    <row r="1256" customFormat="false" ht="15.75" hidden="false" customHeight="true" outlineLevel="0" collapsed="false">
      <c r="A1256" s="30" t="n">
        <v>45323</v>
      </c>
      <c r="B1256" s="31" t="s">
        <v>7</v>
      </c>
      <c r="C1256" s="32"/>
      <c r="D1256" s="32"/>
      <c r="E1256" s="19" t="n">
        <f aca="false">+F1256*0.03</f>
        <v>0</v>
      </c>
      <c r="F1256" s="33" t="n">
        <v>0</v>
      </c>
      <c r="G1256" s="62"/>
      <c r="H1256" s="35" t="n">
        <v>0</v>
      </c>
      <c r="I1256" s="34" t="n">
        <f aca="false">+IF(E1256=0,0,E1256*0.03)</f>
        <v>0</v>
      </c>
    </row>
    <row r="1257" customFormat="false" ht="15.75" hidden="false" customHeight="true" outlineLevel="0" collapsed="false">
      <c r="A1257" s="30" t="n">
        <v>45323</v>
      </c>
      <c r="B1257" s="31" t="s">
        <v>7</v>
      </c>
      <c r="C1257" s="32"/>
      <c r="D1257" s="32"/>
      <c r="E1257" s="19" t="n">
        <f aca="false">+F1257*0.03</f>
        <v>0</v>
      </c>
      <c r="F1257" s="33" t="n">
        <v>0</v>
      </c>
      <c r="G1257" s="62"/>
      <c r="H1257" s="35" t="n">
        <v>0</v>
      </c>
      <c r="I1257" s="34" t="n">
        <f aca="false">+IF(E1257=0,0,E1257*0.03)</f>
        <v>0</v>
      </c>
    </row>
    <row r="1258" customFormat="false" ht="15.75" hidden="false" customHeight="true" outlineLevel="0" collapsed="false">
      <c r="A1258" s="30" t="n">
        <v>45323</v>
      </c>
      <c r="B1258" s="31" t="s">
        <v>7</v>
      </c>
      <c r="C1258" s="32"/>
      <c r="D1258" s="32"/>
      <c r="E1258" s="19" t="n">
        <f aca="false">+F1258*0.03</f>
        <v>0</v>
      </c>
      <c r="F1258" s="33" t="n">
        <v>0</v>
      </c>
      <c r="G1258" s="62"/>
      <c r="H1258" s="35" t="n">
        <v>0</v>
      </c>
      <c r="I1258" s="34" t="n">
        <f aca="false">+IF(E1258=0,0,E1258*0.03)</f>
        <v>0</v>
      </c>
    </row>
    <row r="1259" customFormat="false" ht="15.75" hidden="false" customHeight="true" outlineLevel="0" collapsed="false">
      <c r="A1259" s="30" t="n">
        <v>45323</v>
      </c>
      <c r="B1259" s="31" t="s">
        <v>7</v>
      </c>
      <c r="C1259" s="32"/>
      <c r="D1259" s="32"/>
      <c r="E1259" s="19" t="n">
        <f aca="false">+F1259*0.03</f>
        <v>0</v>
      </c>
      <c r="F1259" s="33" t="n">
        <v>0</v>
      </c>
      <c r="G1259" s="62"/>
      <c r="H1259" s="35" t="n">
        <v>0</v>
      </c>
      <c r="I1259" s="34" t="n">
        <f aca="false">+IF(E1259=0,0,E1259*0.03)</f>
        <v>0</v>
      </c>
    </row>
    <row r="1260" customFormat="false" ht="15.75" hidden="false" customHeight="true" outlineLevel="0" collapsed="false">
      <c r="A1260" s="30" t="n">
        <v>45323</v>
      </c>
      <c r="B1260" s="31" t="s">
        <v>7</v>
      </c>
      <c r="C1260" s="32"/>
      <c r="D1260" s="32"/>
      <c r="E1260" s="19" t="n">
        <f aca="false">+F1260*0.03</f>
        <v>0</v>
      </c>
      <c r="F1260" s="33" t="n">
        <v>0</v>
      </c>
      <c r="G1260" s="62"/>
      <c r="H1260" s="35" t="n">
        <v>0</v>
      </c>
      <c r="I1260" s="34" t="n">
        <f aca="false">+IF(E1260=0,0,E1260*0.03)</f>
        <v>0</v>
      </c>
    </row>
    <row r="1261" customFormat="false" ht="15.75" hidden="false" customHeight="true" outlineLevel="0" collapsed="false">
      <c r="A1261" s="30" t="n">
        <v>45323</v>
      </c>
      <c r="B1261" s="31" t="s">
        <v>7</v>
      </c>
      <c r="C1261" s="32"/>
      <c r="D1261" s="32"/>
      <c r="E1261" s="19" t="n">
        <f aca="false">+F1261*0.03</f>
        <v>0</v>
      </c>
      <c r="F1261" s="33" t="n">
        <v>0</v>
      </c>
      <c r="G1261" s="62"/>
      <c r="H1261" s="35" t="n">
        <v>0</v>
      </c>
      <c r="I1261" s="34" t="n">
        <f aca="false">+IF(E1261=0,0,E1261*0.03)</f>
        <v>0</v>
      </c>
    </row>
    <row r="1262" customFormat="false" ht="15.75" hidden="false" customHeight="true" outlineLevel="0" collapsed="false">
      <c r="A1262" s="30" t="n">
        <v>45323</v>
      </c>
      <c r="B1262" s="31" t="s">
        <v>7</v>
      </c>
      <c r="C1262" s="32"/>
      <c r="D1262" s="32"/>
      <c r="E1262" s="19" t="n">
        <f aca="false">+F1262*0.03</f>
        <v>0</v>
      </c>
      <c r="F1262" s="33" t="n">
        <v>0</v>
      </c>
      <c r="G1262" s="62"/>
      <c r="H1262" s="35" t="n">
        <v>0</v>
      </c>
      <c r="I1262" s="34" t="n">
        <f aca="false">+IF(E1262=0,0,E1262*0.03)</f>
        <v>0</v>
      </c>
    </row>
    <row r="1263" customFormat="false" ht="15.75" hidden="false" customHeight="true" outlineLevel="0" collapsed="false">
      <c r="A1263" s="30" t="n">
        <v>45323</v>
      </c>
      <c r="B1263" s="31" t="s">
        <v>7</v>
      </c>
      <c r="C1263" s="32"/>
      <c r="D1263" s="32"/>
      <c r="E1263" s="19" t="n">
        <f aca="false">+F1263*0.03</f>
        <v>0</v>
      </c>
      <c r="F1263" s="33" t="n">
        <v>0</v>
      </c>
      <c r="G1263" s="62"/>
      <c r="H1263" s="35" t="n">
        <v>0</v>
      </c>
      <c r="I1263" s="34" t="n">
        <f aca="false">+IF(E1263=0,0,E1263*0.03)</f>
        <v>0</v>
      </c>
    </row>
    <row r="1264" customFormat="false" ht="15.75" hidden="false" customHeight="true" outlineLevel="0" collapsed="false">
      <c r="A1264" s="30" t="n">
        <v>45323</v>
      </c>
      <c r="B1264" s="31" t="s">
        <v>7</v>
      </c>
      <c r="C1264" s="32"/>
      <c r="D1264" s="32"/>
      <c r="E1264" s="19" t="n">
        <f aca="false">+F1264*0.03</f>
        <v>0</v>
      </c>
      <c r="F1264" s="33" t="n">
        <v>0</v>
      </c>
      <c r="G1264" s="62"/>
      <c r="H1264" s="35" t="n">
        <v>0</v>
      </c>
      <c r="I1264" s="34" t="n">
        <f aca="false">+IF(E1264=0,0,E1264*0.03)</f>
        <v>0</v>
      </c>
    </row>
    <row r="1265" customFormat="false" ht="15.75" hidden="false" customHeight="true" outlineLevel="0" collapsed="false">
      <c r="A1265" s="30" t="n">
        <v>45323</v>
      </c>
      <c r="B1265" s="31" t="s">
        <v>7</v>
      </c>
      <c r="C1265" s="32"/>
      <c r="D1265" s="32"/>
      <c r="E1265" s="19" t="n">
        <f aca="false">+F1265*0.03</f>
        <v>0</v>
      </c>
      <c r="F1265" s="33" t="n">
        <v>0</v>
      </c>
      <c r="G1265" s="62"/>
      <c r="H1265" s="35" t="n">
        <v>0</v>
      </c>
      <c r="I1265" s="34" t="n">
        <f aca="false">+IF(E1265=0,0,E1265*0.03)</f>
        <v>0</v>
      </c>
    </row>
    <row r="1266" customFormat="false" ht="15.75" hidden="false" customHeight="true" outlineLevel="0" collapsed="false">
      <c r="A1266" s="30" t="n">
        <v>45323</v>
      </c>
      <c r="B1266" s="31" t="s">
        <v>7</v>
      </c>
      <c r="C1266" s="32"/>
      <c r="D1266" s="32"/>
      <c r="E1266" s="19" t="n">
        <f aca="false">+F1266*0.03</f>
        <v>0</v>
      </c>
      <c r="F1266" s="33" t="n">
        <v>0</v>
      </c>
      <c r="G1266" s="62"/>
      <c r="H1266" s="35" t="n">
        <v>0</v>
      </c>
      <c r="I1266" s="34" t="n">
        <f aca="false">+IF(E1266=0,0,E1266*0.03)</f>
        <v>0</v>
      </c>
    </row>
    <row r="1267" customFormat="false" ht="15.75" hidden="false" customHeight="true" outlineLevel="0" collapsed="false">
      <c r="A1267" s="30" t="n">
        <v>45323</v>
      </c>
      <c r="B1267" s="31" t="s">
        <v>7</v>
      </c>
      <c r="C1267" s="32"/>
      <c r="D1267" s="32"/>
      <c r="E1267" s="19" t="n">
        <f aca="false">+F1267*0.03</f>
        <v>0</v>
      </c>
      <c r="F1267" s="33" t="n">
        <v>0</v>
      </c>
      <c r="G1267" s="62"/>
      <c r="H1267" s="35" t="n">
        <v>0</v>
      </c>
      <c r="I1267" s="34" t="n">
        <f aca="false">+IF(E1267=0,0,E1267*0.03)</f>
        <v>0</v>
      </c>
    </row>
    <row r="1268" customFormat="false" ht="15.75" hidden="false" customHeight="true" outlineLevel="0" collapsed="false">
      <c r="A1268" s="30" t="n">
        <v>45323</v>
      </c>
      <c r="B1268" s="31" t="s">
        <v>7</v>
      </c>
      <c r="C1268" s="32"/>
      <c r="D1268" s="32"/>
      <c r="E1268" s="19" t="n">
        <f aca="false">+F1268*0.03</f>
        <v>0</v>
      </c>
      <c r="F1268" s="33" t="n">
        <v>0</v>
      </c>
      <c r="G1268" s="62"/>
      <c r="H1268" s="35" t="n">
        <v>0</v>
      </c>
      <c r="I1268" s="34" t="n">
        <f aca="false">+IF(E1268=0,0,E1268*0.03)</f>
        <v>0</v>
      </c>
    </row>
    <row r="1269" customFormat="false" ht="15.75" hidden="false" customHeight="true" outlineLevel="0" collapsed="false">
      <c r="A1269" s="30" t="n">
        <v>45323</v>
      </c>
      <c r="B1269" s="31" t="s">
        <v>7</v>
      </c>
      <c r="C1269" s="32"/>
      <c r="D1269" s="32"/>
      <c r="E1269" s="19" t="n">
        <f aca="false">+F1269*0.03</f>
        <v>0</v>
      </c>
      <c r="F1269" s="33" t="n">
        <v>0</v>
      </c>
      <c r="G1269" s="62"/>
      <c r="H1269" s="35" t="n">
        <v>0</v>
      </c>
      <c r="I1269" s="34" t="n">
        <f aca="false">+IF(E1269=0,0,E1269*0.03)</f>
        <v>0</v>
      </c>
    </row>
    <row r="1270" customFormat="false" ht="15.75" hidden="false" customHeight="true" outlineLevel="0" collapsed="false">
      <c r="A1270" s="30" t="n">
        <v>45323</v>
      </c>
      <c r="B1270" s="31" t="s">
        <v>7</v>
      </c>
      <c r="C1270" s="32"/>
      <c r="D1270" s="32"/>
      <c r="E1270" s="19" t="n">
        <f aca="false">+F1270*0.03</f>
        <v>0</v>
      </c>
      <c r="F1270" s="33" t="n">
        <v>0</v>
      </c>
      <c r="G1270" s="62"/>
      <c r="H1270" s="35" t="n">
        <v>0</v>
      </c>
      <c r="I1270" s="34" t="n">
        <f aca="false">+IF(E1270=0,0,E1270*0.03)</f>
        <v>0</v>
      </c>
    </row>
    <row r="1271" customFormat="false" ht="15.75" hidden="false" customHeight="true" outlineLevel="0" collapsed="false">
      <c r="A1271" s="30" t="n">
        <v>45323</v>
      </c>
      <c r="B1271" s="31" t="s">
        <v>7</v>
      </c>
      <c r="C1271" s="32"/>
      <c r="D1271" s="32"/>
      <c r="E1271" s="19" t="n">
        <f aca="false">+F1271*0.03</f>
        <v>0</v>
      </c>
      <c r="F1271" s="33" t="n">
        <v>0</v>
      </c>
      <c r="G1271" s="62"/>
      <c r="H1271" s="35" t="n">
        <v>0</v>
      </c>
      <c r="I1271" s="34" t="n">
        <f aca="false">+IF(E1271=0,0,E1271*0.03)</f>
        <v>0</v>
      </c>
    </row>
    <row r="1272" customFormat="false" ht="15.75" hidden="false" customHeight="true" outlineLevel="0" collapsed="false">
      <c r="A1272" s="30" t="n">
        <v>45323</v>
      </c>
      <c r="B1272" s="31" t="s">
        <v>7</v>
      </c>
      <c r="C1272" s="32"/>
      <c r="D1272" s="32"/>
      <c r="E1272" s="19" t="n">
        <f aca="false">+F1272*0.03</f>
        <v>0</v>
      </c>
      <c r="F1272" s="33" t="n">
        <v>0</v>
      </c>
      <c r="G1272" s="62"/>
      <c r="H1272" s="35" t="n">
        <v>0</v>
      </c>
      <c r="I1272" s="34" t="n">
        <f aca="false">+IF(E1272=0,0,E1272*0.03)</f>
        <v>0</v>
      </c>
    </row>
    <row r="1273" customFormat="false" ht="15.75" hidden="false" customHeight="true" outlineLevel="0" collapsed="false">
      <c r="A1273" s="30" t="n">
        <v>45323</v>
      </c>
      <c r="B1273" s="31" t="s">
        <v>7</v>
      </c>
      <c r="C1273" s="32"/>
      <c r="D1273" s="32"/>
      <c r="E1273" s="19" t="n">
        <f aca="false">+F1273*0.03</f>
        <v>0</v>
      </c>
      <c r="F1273" s="33" t="n">
        <v>0</v>
      </c>
      <c r="G1273" s="62"/>
      <c r="H1273" s="35" t="n">
        <v>0</v>
      </c>
      <c r="I1273" s="34" t="n">
        <f aca="false">+IF(E1273=0,0,E1273*0.03)</f>
        <v>0</v>
      </c>
    </row>
    <row r="1274" customFormat="false" ht="15.75" hidden="false" customHeight="true" outlineLevel="0" collapsed="false">
      <c r="A1274" s="30" t="n">
        <v>45323</v>
      </c>
      <c r="B1274" s="31" t="s">
        <v>7</v>
      </c>
      <c r="C1274" s="32"/>
      <c r="D1274" s="32"/>
      <c r="E1274" s="19" t="n">
        <f aca="false">+F1274*0.03</f>
        <v>0</v>
      </c>
      <c r="F1274" s="33" t="n">
        <v>0</v>
      </c>
      <c r="G1274" s="62"/>
      <c r="H1274" s="35" t="n">
        <v>0</v>
      </c>
      <c r="I1274" s="34" t="n">
        <f aca="false">+IF(E1274=0,0,E1274*0.03)</f>
        <v>0</v>
      </c>
    </row>
    <row r="1275" customFormat="false" ht="15.75" hidden="false" customHeight="true" outlineLevel="0" collapsed="false">
      <c r="A1275" s="30" t="n">
        <v>45323</v>
      </c>
      <c r="B1275" s="31" t="s">
        <v>7</v>
      </c>
      <c r="C1275" s="32"/>
      <c r="D1275" s="32"/>
      <c r="E1275" s="19" t="n">
        <f aca="false">+F1275*0.03</f>
        <v>0</v>
      </c>
      <c r="F1275" s="33" t="n">
        <v>0</v>
      </c>
      <c r="G1275" s="62"/>
      <c r="H1275" s="35" t="n">
        <v>0</v>
      </c>
      <c r="I1275" s="34" t="n">
        <f aca="false">+IF(E1275=0,0,E1275*0.03)</f>
        <v>0</v>
      </c>
    </row>
    <row r="1276" customFormat="false" ht="15.75" hidden="false" customHeight="true" outlineLevel="0" collapsed="false">
      <c r="A1276" s="30" t="n">
        <v>45323</v>
      </c>
      <c r="B1276" s="31" t="s">
        <v>7</v>
      </c>
      <c r="C1276" s="32"/>
      <c r="D1276" s="32"/>
      <c r="E1276" s="19" t="n">
        <f aca="false">+F1276*0.03</f>
        <v>0</v>
      </c>
      <c r="F1276" s="33" t="n">
        <v>0</v>
      </c>
      <c r="G1276" s="62"/>
      <c r="H1276" s="35" t="n">
        <v>0</v>
      </c>
      <c r="I1276" s="34" t="n">
        <f aca="false">+IF(E1276=0,0,E1276*0.03)</f>
        <v>0</v>
      </c>
    </row>
    <row r="1277" customFormat="false" ht="15.75" hidden="false" customHeight="true" outlineLevel="0" collapsed="false">
      <c r="A1277" s="30" t="n">
        <v>45323</v>
      </c>
      <c r="B1277" s="31" t="s">
        <v>7</v>
      </c>
      <c r="C1277" s="32"/>
      <c r="D1277" s="32"/>
      <c r="E1277" s="19" t="n">
        <f aca="false">+F1277*0.03</f>
        <v>0</v>
      </c>
      <c r="F1277" s="33" t="n">
        <v>0</v>
      </c>
      <c r="G1277" s="62"/>
      <c r="H1277" s="35" t="n">
        <v>0</v>
      </c>
      <c r="I1277" s="34" t="n">
        <f aca="false">+IF(E1277=0,0,E1277*0.03)</f>
        <v>0</v>
      </c>
    </row>
    <row r="1278" customFormat="false" ht="15.75" hidden="false" customHeight="true" outlineLevel="0" collapsed="false">
      <c r="A1278" s="30" t="n">
        <v>45323</v>
      </c>
      <c r="B1278" s="31" t="s">
        <v>7</v>
      </c>
      <c r="C1278" s="32"/>
      <c r="D1278" s="32"/>
      <c r="E1278" s="19" t="n">
        <f aca="false">+F1278*0.03</f>
        <v>0</v>
      </c>
      <c r="F1278" s="33" t="n">
        <v>0</v>
      </c>
      <c r="G1278" s="62"/>
      <c r="H1278" s="35" t="n">
        <v>0</v>
      </c>
      <c r="I1278" s="34" t="n">
        <f aca="false">+IF(E1278=0,0,E1278*0.03)</f>
        <v>0</v>
      </c>
    </row>
    <row r="1279" customFormat="false" ht="15.75" hidden="false" customHeight="true" outlineLevel="0" collapsed="false">
      <c r="A1279" s="30" t="n">
        <v>45323</v>
      </c>
      <c r="B1279" s="31" t="s">
        <v>7</v>
      </c>
      <c r="C1279" s="32"/>
      <c r="D1279" s="32"/>
      <c r="E1279" s="19" t="n">
        <f aca="false">+F1279*0.03</f>
        <v>0</v>
      </c>
      <c r="F1279" s="33" t="n">
        <v>0</v>
      </c>
      <c r="G1279" s="62"/>
      <c r="H1279" s="35" t="n">
        <v>0</v>
      </c>
      <c r="I1279" s="34" t="n">
        <f aca="false">+IF(E1279=0,0,E1279*0.03)</f>
        <v>0</v>
      </c>
    </row>
    <row r="1280" customFormat="false" ht="15.75" hidden="false" customHeight="true" outlineLevel="0" collapsed="false">
      <c r="A1280" s="30" t="n">
        <v>45323</v>
      </c>
      <c r="B1280" s="31" t="s">
        <v>7</v>
      </c>
      <c r="C1280" s="32"/>
      <c r="D1280" s="32"/>
      <c r="E1280" s="19" t="n">
        <f aca="false">+F1280*0.03</f>
        <v>0</v>
      </c>
      <c r="F1280" s="33" t="n">
        <v>0</v>
      </c>
      <c r="G1280" s="62"/>
      <c r="H1280" s="35" t="n">
        <v>0</v>
      </c>
      <c r="I1280" s="34" t="n">
        <f aca="false">+IF(E1280=0,0,E1280*0.03)</f>
        <v>0</v>
      </c>
    </row>
    <row r="1281" customFormat="false" ht="15.75" hidden="false" customHeight="true" outlineLevel="0" collapsed="false">
      <c r="A1281" s="30" t="n">
        <v>45323</v>
      </c>
      <c r="B1281" s="31" t="s">
        <v>7</v>
      </c>
      <c r="C1281" s="32"/>
      <c r="D1281" s="32"/>
      <c r="E1281" s="19" t="n">
        <f aca="false">+F1281*0.03</f>
        <v>0</v>
      </c>
      <c r="F1281" s="33" t="n">
        <v>0</v>
      </c>
      <c r="G1281" s="62"/>
      <c r="H1281" s="35" t="n">
        <v>0</v>
      </c>
      <c r="I1281" s="34" t="n">
        <f aca="false">+IF(E1281=0,0,E1281*0.03)</f>
        <v>0</v>
      </c>
    </row>
    <row r="1282" customFormat="false" ht="15.75" hidden="false" customHeight="true" outlineLevel="0" collapsed="false">
      <c r="A1282" s="30" t="n">
        <v>45323</v>
      </c>
      <c r="B1282" s="31" t="s">
        <v>7</v>
      </c>
      <c r="C1282" s="32"/>
      <c r="D1282" s="32"/>
      <c r="E1282" s="19" t="n">
        <f aca="false">+F1282*0.03</f>
        <v>0</v>
      </c>
      <c r="F1282" s="33" t="n">
        <v>0</v>
      </c>
      <c r="G1282" s="62"/>
      <c r="H1282" s="35" t="n">
        <v>0</v>
      </c>
      <c r="I1282" s="34" t="n">
        <f aca="false">+IF(E1282=0,0,E1282*0.03)</f>
        <v>0</v>
      </c>
    </row>
    <row r="1283" customFormat="false" ht="15.75" hidden="false" customHeight="true" outlineLevel="0" collapsed="false">
      <c r="A1283" s="30" t="n">
        <v>45323</v>
      </c>
      <c r="B1283" s="31" t="s">
        <v>7</v>
      </c>
      <c r="C1283" s="32"/>
      <c r="D1283" s="32"/>
      <c r="E1283" s="19" t="n">
        <f aca="false">+F1283*0.03</f>
        <v>0</v>
      </c>
      <c r="F1283" s="33" t="n">
        <v>0</v>
      </c>
      <c r="G1283" s="62"/>
      <c r="H1283" s="35" t="n">
        <v>0</v>
      </c>
      <c r="I1283" s="34" t="n">
        <f aca="false">+IF(E1283=0,0,E1283*0.03)</f>
        <v>0</v>
      </c>
    </row>
    <row r="1284" customFormat="false" ht="15.75" hidden="false" customHeight="true" outlineLevel="0" collapsed="false">
      <c r="A1284" s="30" t="n">
        <v>45323</v>
      </c>
      <c r="B1284" s="31" t="s">
        <v>7</v>
      </c>
      <c r="C1284" s="32"/>
      <c r="D1284" s="32"/>
      <c r="E1284" s="19" t="n">
        <f aca="false">+F1284*0.03</f>
        <v>0</v>
      </c>
      <c r="F1284" s="33" t="n">
        <v>0</v>
      </c>
      <c r="G1284" s="62"/>
      <c r="H1284" s="35" t="n">
        <v>0</v>
      </c>
      <c r="I1284" s="34" t="n">
        <f aca="false">+IF(E1284=0,0,E1284*0.03)</f>
        <v>0</v>
      </c>
    </row>
    <row r="1285" customFormat="false" ht="15.75" hidden="false" customHeight="true" outlineLevel="0" collapsed="false">
      <c r="A1285" s="30" t="n">
        <v>45323</v>
      </c>
      <c r="B1285" s="31" t="s">
        <v>7</v>
      </c>
      <c r="C1285" s="32"/>
      <c r="D1285" s="32"/>
      <c r="E1285" s="19" t="n">
        <f aca="false">+F1285*0.03</f>
        <v>0</v>
      </c>
      <c r="F1285" s="33" t="n">
        <v>0</v>
      </c>
      <c r="G1285" s="62"/>
      <c r="H1285" s="35" t="n">
        <v>0</v>
      </c>
      <c r="I1285" s="34" t="n">
        <f aca="false">+IF(E1285=0,0,E1285*0.03)</f>
        <v>0</v>
      </c>
    </row>
    <row r="1286" customFormat="false" ht="15.75" hidden="false" customHeight="true" outlineLevel="0" collapsed="false">
      <c r="A1286" s="30" t="n">
        <v>45323</v>
      </c>
      <c r="B1286" s="31" t="s">
        <v>7</v>
      </c>
      <c r="C1286" s="32"/>
      <c r="D1286" s="32"/>
      <c r="E1286" s="19" t="n">
        <f aca="false">+F1286*0.03</f>
        <v>0</v>
      </c>
      <c r="F1286" s="33" t="n">
        <v>0</v>
      </c>
      <c r="G1286" s="62"/>
      <c r="H1286" s="35" t="n">
        <v>0</v>
      </c>
      <c r="I1286" s="34" t="n">
        <f aca="false">+IF(E1286=0,0,E1286*0.03)</f>
        <v>0</v>
      </c>
    </row>
    <row r="1287" customFormat="false" ht="15.75" hidden="false" customHeight="true" outlineLevel="0" collapsed="false">
      <c r="A1287" s="30" t="n">
        <v>45323</v>
      </c>
      <c r="B1287" s="31" t="s">
        <v>7</v>
      </c>
      <c r="C1287" s="32"/>
      <c r="D1287" s="32"/>
      <c r="E1287" s="19" t="n">
        <f aca="false">+F1287*0.03</f>
        <v>0</v>
      </c>
      <c r="F1287" s="33" t="n">
        <v>0</v>
      </c>
      <c r="G1287" s="62"/>
      <c r="H1287" s="35" t="n">
        <v>0</v>
      </c>
      <c r="I1287" s="34" t="n">
        <f aca="false">+IF(E1287=0,0,E1287*0.03)</f>
        <v>0</v>
      </c>
    </row>
    <row r="1288" customFormat="false" ht="15.75" hidden="false" customHeight="true" outlineLevel="0" collapsed="false">
      <c r="A1288" s="30" t="n">
        <v>45323</v>
      </c>
      <c r="B1288" s="31" t="s">
        <v>7</v>
      </c>
      <c r="C1288" s="32"/>
      <c r="D1288" s="32"/>
      <c r="E1288" s="19" t="n">
        <f aca="false">+F1288*0.03</f>
        <v>0</v>
      </c>
      <c r="F1288" s="33" t="n">
        <v>0</v>
      </c>
      <c r="G1288" s="62"/>
      <c r="H1288" s="35" t="n">
        <v>0</v>
      </c>
      <c r="I1288" s="34" t="n">
        <f aca="false">+IF(E1288=0,0,E1288*0.03)</f>
        <v>0</v>
      </c>
    </row>
    <row r="1289" customFormat="false" ht="15.75" hidden="false" customHeight="true" outlineLevel="0" collapsed="false">
      <c r="A1289" s="30" t="n">
        <v>45323</v>
      </c>
      <c r="B1289" s="31" t="s">
        <v>7</v>
      </c>
      <c r="C1289" s="32"/>
      <c r="D1289" s="32"/>
      <c r="E1289" s="19" t="n">
        <f aca="false">+F1289*0.03</f>
        <v>0</v>
      </c>
      <c r="F1289" s="33" t="n">
        <v>0</v>
      </c>
      <c r="G1289" s="62"/>
      <c r="H1289" s="35" t="n">
        <v>0</v>
      </c>
      <c r="I1289" s="34" t="n">
        <f aca="false">+IF(E1289=0,0,E1289*0.03)</f>
        <v>0</v>
      </c>
    </row>
    <row r="1290" customFormat="false" ht="15.75" hidden="false" customHeight="true" outlineLevel="0" collapsed="false">
      <c r="A1290" s="30" t="n">
        <v>45323</v>
      </c>
      <c r="B1290" s="31" t="s">
        <v>7</v>
      </c>
      <c r="C1290" s="32"/>
      <c r="D1290" s="32"/>
      <c r="E1290" s="19" t="n">
        <f aca="false">+F1290*0.03</f>
        <v>0</v>
      </c>
      <c r="F1290" s="33" t="n">
        <v>0</v>
      </c>
      <c r="G1290" s="62"/>
      <c r="H1290" s="35" t="n">
        <v>0</v>
      </c>
      <c r="I1290" s="34" t="n">
        <f aca="false">+IF(E1290=0,0,E1290*0.03)</f>
        <v>0</v>
      </c>
    </row>
    <row r="1291" customFormat="false" ht="15.75" hidden="false" customHeight="true" outlineLevel="0" collapsed="false">
      <c r="A1291" s="30" t="n">
        <v>45323</v>
      </c>
      <c r="B1291" s="31" t="s">
        <v>7</v>
      </c>
      <c r="C1291" s="32"/>
      <c r="D1291" s="32"/>
      <c r="E1291" s="19" t="n">
        <f aca="false">+F1291*0.03</f>
        <v>0</v>
      </c>
      <c r="F1291" s="33" t="n">
        <v>0</v>
      </c>
      <c r="G1291" s="62"/>
      <c r="H1291" s="35" t="n">
        <v>0</v>
      </c>
      <c r="I1291" s="34" t="n">
        <f aca="false">+IF(E1291=0,0,E1291*0.03)</f>
        <v>0</v>
      </c>
    </row>
    <row r="1292" customFormat="false" ht="15.75" hidden="false" customHeight="true" outlineLevel="0" collapsed="false">
      <c r="A1292" s="30" t="n">
        <v>45323</v>
      </c>
      <c r="B1292" s="31" t="s">
        <v>7</v>
      </c>
      <c r="C1292" s="32"/>
      <c r="D1292" s="32"/>
      <c r="E1292" s="19" t="n">
        <f aca="false">+F1292*0.03</f>
        <v>0</v>
      </c>
      <c r="F1292" s="33" t="n">
        <v>0</v>
      </c>
      <c r="G1292" s="62"/>
      <c r="H1292" s="35" t="n">
        <v>0</v>
      </c>
      <c r="I1292" s="34" t="n">
        <f aca="false">+IF(E1292=0,0,E1292*0.03)</f>
        <v>0</v>
      </c>
    </row>
    <row r="1293" customFormat="false" ht="15.75" hidden="false" customHeight="true" outlineLevel="0" collapsed="false">
      <c r="A1293" s="30" t="n">
        <v>45323</v>
      </c>
      <c r="B1293" s="31" t="s">
        <v>7</v>
      </c>
      <c r="C1293" s="32"/>
      <c r="D1293" s="32"/>
      <c r="E1293" s="19" t="n">
        <f aca="false">+F1293*0.03</f>
        <v>0</v>
      </c>
      <c r="F1293" s="33" t="n">
        <v>0</v>
      </c>
      <c r="G1293" s="62"/>
      <c r="H1293" s="35" t="n">
        <v>0</v>
      </c>
      <c r="I1293" s="34" t="n">
        <f aca="false">+IF(E1293=0,0,E1293*0.03)</f>
        <v>0</v>
      </c>
    </row>
    <row r="1294" customFormat="false" ht="15.75" hidden="false" customHeight="true" outlineLevel="0" collapsed="false">
      <c r="A1294" s="30" t="n">
        <v>45323</v>
      </c>
      <c r="B1294" s="31" t="s">
        <v>7</v>
      </c>
      <c r="C1294" s="32"/>
      <c r="D1294" s="32"/>
      <c r="E1294" s="19" t="n">
        <f aca="false">+F1294*0.03</f>
        <v>0</v>
      </c>
      <c r="F1294" s="33" t="n">
        <v>0</v>
      </c>
      <c r="G1294" s="62"/>
      <c r="H1294" s="35" t="n">
        <v>0</v>
      </c>
      <c r="I1294" s="34" t="n">
        <f aca="false">+IF(E1294=0,0,E1294*0.03)</f>
        <v>0</v>
      </c>
    </row>
    <row r="1295" customFormat="false" ht="15.75" hidden="false" customHeight="true" outlineLevel="0" collapsed="false">
      <c r="A1295" s="30" t="n">
        <v>45323</v>
      </c>
      <c r="B1295" s="31" t="s">
        <v>7</v>
      </c>
      <c r="C1295" s="32"/>
      <c r="D1295" s="32"/>
      <c r="E1295" s="19" t="n">
        <f aca="false">+F1295*0.03</f>
        <v>0</v>
      </c>
      <c r="F1295" s="33" t="n">
        <v>0</v>
      </c>
      <c r="G1295" s="62"/>
      <c r="H1295" s="35" t="n">
        <v>0</v>
      </c>
      <c r="I1295" s="34" t="n">
        <f aca="false">+IF(E1295=0,0,E1295*0.03)</f>
        <v>0</v>
      </c>
    </row>
    <row r="1296" customFormat="false" ht="15.75" hidden="false" customHeight="true" outlineLevel="0" collapsed="false">
      <c r="A1296" s="30" t="n">
        <v>45323</v>
      </c>
      <c r="B1296" s="31" t="s">
        <v>7</v>
      </c>
      <c r="C1296" s="32"/>
      <c r="D1296" s="32"/>
      <c r="E1296" s="19" t="n">
        <f aca="false">+F1296*0.03</f>
        <v>0</v>
      </c>
      <c r="F1296" s="33" t="n">
        <v>0</v>
      </c>
      <c r="G1296" s="62"/>
      <c r="H1296" s="35" t="n">
        <v>0</v>
      </c>
      <c r="I1296" s="34" t="n">
        <f aca="false">+IF(E1296=0,0,E1296*0.03)</f>
        <v>0</v>
      </c>
    </row>
    <row r="1297" customFormat="false" ht="15.75" hidden="false" customHeight="true" outlineLevel="0" collapsed="false">
      <c r="A1297" s="30" t="n">
        <v>45323</v>
      </c>
      <c r="B1297" s="31" t="s">
        <v>7</v>
      </c>
      <c r="C1297" s="32"/>
      <c r="D1297" s="32"/>
      <c r="E1297" s="19" t="n">
        <f aca="false">+F1297*0.03</f>
        <v>0</v>
      </c>
      <c r="F1297" s="33" t="n">
        <v>0</v>
      </c>
      <c r="G1297" s="62"/>
      <c r="H1297" s="35" t="n">
        <v>0</v>
      </c>
      <c r="I1297" s="34" t="n">
        <f aca="false">+IF(E1297=0,0,E1297*0.03)</f>
        <v>0</v>
      </c>
    </row>
    <row r="1298" customFormat="false" ht="15.75" hidden="false" customHeight="true" outlineLevel="0" collapsed="false">
      <c r="A1298" s="30" t="n">
        <v>45323</v>
      </c>
      <c r="B1298" s="31" t="s">
        <v>7</v>
      </c>
      <c r="C1298" s="32"/>
      <c r="D1298" s="32"/>
      <c r="E1298" s="19" t="n">
        <f aca="false">+F1298*0.03</f>
        <v>0</v>
      </c>
      <c r="F1298" s="33" t="n">
        <v>0</v>
      </c>
      <c r="G1298" s="62"/>
      <c r="H1298" s="35" t="n">
        <v>0</v>
      </c>
      <c r="I1298" s="34" t="n">
        <f aca="false">+IF(E1298=0,0,E1298*0.03)</f>
        <v>0</v>
      </c>
    </row>
    <row r="1299" customFormat="false" ht="15.75" hidden="false" customHeight="true" outlineLevel="0" collapsed="false">
      <c r="A1299" s="30" t="n">
        <v>45323</v>
      </c>
      <c r="B1299" s="31" t="s">
        <v>7</v>
      </c>
      <c r="C1299" s="32"/>
      <c r="D1299" s="32"/>
      <c r="E1299" s="19" t="n">
        <f aca="false">+F1299*0.03</f>
        <v>0</v>
      </c>
      <c r="F1299" s="33" t="n">
        <v>0</v>
      </c>
      <c r="G1299" s="62"/>
      <c r="H1299" s="35" t="n">
        <v>0</v>
      </c>
      <c r="I1299" s="34" t="n">
        <f aca="false">+IF(E1299=0,0,E1299*0.03)</f>
        <v>0</v>
      </c>
    </row>
    <row r="1300" customFormat="false" ht="15.75" hidden="false" customHeight="true" outlineLevel="0" collapsed="false">
      <c r="A1300" s="30" t="n">
        <v>45323</v>
      </c>
      <c r="B1300" s="31" t="s">
        <v>7</v>
      </c>
      <c r="C1300" s="32"/>
      <c r="D1300" s="32"/>
      <c r="E1300" s="19" t="n">
        <f aca="false">+F1300*0.03</f>
        <v>0</v>
      </c>
      <c r="F1300" s="33" t="n">
        <v>0</v>
      </c>
      <c r="G1300" s="62"/>
      <c r="H1300" s="35" t="n">
        <v>0</v>
      </c>
      <c r="I1300" s="34" t="n">
        <f aca="false">+IF(E1300=0,0,E1300*0.03)</f>
        <v>0</v>
      </c>
    </row>
    <row r="1301" customFormat="false" ht="15.75" hidden="false" customHeight="true" outlineLevel="0" collapsed="false">
      <c r="A1301" s="30" t="n">
        <v>45323</v>
      </c>
      <c r="B1301" s="31" t="s">
        <v>7</v>
      </c>
      <c r="C1301" s="32"/>
      <c r="D1301" s="32"/>
      <c r="E1301" s="19" t="n">
        <f aca="false">+F1301*0.03</f>
        <v>0</v>
      </c>
      <c r="F1301" s="33" t="n">
        <v>0</v>
      </c>
      <c r="G1301" s="62"/>
      <c r="H1301" s="35" t="n">
        <v>0</v>
      </c>
      <c r="I1301" s="34" t="n">
        <f aca="false">+IF(E1301=0,0,E1301*0.03)</f>
        <v>0</v>
      </c>
    </row>
    <row r="1302" customFormat="false" ht="15.75" hidden="false" customHeight="true" outlineLevel="0" collapsed="false">
      <c r="A1302" s="30" t="n">
        <v>45323</v>
      </c>
      <c r="B1302" s="31" t="s">
        <v>7</v>
      </c>
      <c r="C1302" s="32"/>
      <c r="D1302" s="32"/>
      <c r="E1302" s="19" t="n">
        <f aca="false">+F1302*0.03</f>
        <v>0</v>
      </c>
      <c r="F1302" s="33" t="n">
        <v>0</v>
      </c>
      <c r="G1302" s="62"/>
      <c r="H1302" s="35" t="n">
        <v>0</v>
      </c>
      <c r="I1302" s="34" t="n">
        <f aca="false">+IF(E1302=0,0,E1302*0.03)</f>
        <v>0</v>
      </c>
    </row>
    <row r="1303" customFormat="false" ht="15.75" hidden="false" customHeight="true" outlineLevel="0" collapsed="false">
      <c r="A1303" s="30" t="n">
        <v>45323</v>
      </c>
      <c r="B1303" s="31" t="s">
        <v>7</v>
      </c>
      <c r="C1303" s="32"/>
      <c r="D1303" s="32"/>
      <c r="E1303" s="19" t="n">
        <f aca="false">+F1303*0.03</f>
        <v>0</v>
      </c>
      <c r="F1303" s="33" t="n">
        <v>0</v>
      </c>
      <c r="G1303" s="62"/>
      <c r="H1303" s="35" t="n">
        <v>0</v>
      </c>
      <c r="I1303" s="34" t="n">
        <f aca="false">+IF(E1303=0,0,E1303*0.03)</f>
        <v>0</v>
      </c>
    </row>
    <row r="1304" customFormat="false" ht="15.75" hidden="false" customHeight="true" outlineLevel="0" collapsed="false">
      <c r="A1304" s="30" t="n">
        <v>45323</v>
      </c>
      <c r="B1304" s="31" t="s">
        <v>7</v>
      </c>
      <c r="C1304" s="32"/>
      <c r="D1304" s="32"/>
      <c r="E1304" s="19" t="n">
        <f aca="false">+F1304*0.03</f>
        <v>0</v>
      </c>
      <c r="F1304" s="33" t="n">
        <v>0</v>
      </c>
      <c r="G1304" s="62"/>
      <c r="H1304" s="35" t="n">
        <v>0</v>
      </c>
      <c r="I1304" s="34" t="n">
        <f aca="false">+IF(E1304=0,0,E1304*0.03)</f>
        <v>0</v>
      </c>
    </row>
    <row r="1305" customFormat="false" ht="15.75" hidden="false" customHeight="true" outlineLevel="0" collapsed="false">
      <c r="A1305" s="30" t="n">
        <v>45323</v>
      </c>
      <c r="B1305" s="31" t="s">
        <v>7</v>
      </c>
      <c r="C1305" s="32"/>
      <c r="D1305" s="32"/>
      <c r="E1305" s="19" t="n">
        <f aca="false">+F1305*0.03</f>
        <v>0</v>
      </c>
      <c r="F1305" s="33" t="n">
        <v>0</v>
      </c>
      <c r="G1305" s="62"/>
      <c r="H1305" s="35" t="n">
        <v>0</v>
      </c>
      <c r="I1305" s="34" t="n">
        <f aca="false">+IF(E1305=0,0,E1305*0.03)</f>
        <v>0</v>
      </c>
    </row>
    <row r="1306" customFormat="false" ht="15.75" hidden="false" customHeight="true" outlineLevel="0" collapsed="false">
      <c r="A1306" s="30" t="n">
        <v>45323</v>
      </c>
      <c r="B1306" s="31" t="s">
        <v>7</v>
      </c>
      <c r="C1306" s="32"/>
      <c r="D1306" s="32"/>
      <c r="E1306" s="19" t="n">
        <f aca="false">+F1306*0.03</f>
        <v>0</v>
      </c>
      <c r="F1306" s="33" t="n">
        <v>0</v>
      </c>
      <c r="G1306" s="62"/>
      <c r="H1306" s="35" t="n">
        <v>0</v>
      </c>
      <c r="I1306" s="34" t="n">
        <f aca="false">+IF(E1306=0,0,E1306*0.03)</f>
        <v>0</v>
      </c>
    </row>
    <row r="1307" customFormat="false" ht="15.75" hidden="false" customHeight="true" outlineLevel="0" collapsed="false">
      <c r="A1307" s="30" t="n">
        <v>45323</v>
      </c>
      <c r="B1307" s="31" t="s">
        <v>7</v>
      </c>
      <c r="C1307" s="32"/>
      <c r="D1307" s="32"/>
      <c r="E1307" s="19" t="n">
        <f aca="false">+F1307*0.03</f>
        <v>0</v>
      </c>
      <c r="F1307" s="33" t="n">
        <v>0</v>
      </c>
      <c r="G1307" s="62"/>
      <c r="H1307" s="35" t="n">
        <v>0</v>
      </c>
      <c r="I1307" s="34" t="n">
        <f aca="false">+IF(E1307=0,0,E1307*0.03)</f>
        <v>0</v>
      </c>
    </row>
    <row r="1308" customFormat="false" ht="15.75" hidden="false" customHeight="true" outlineLevel="0" collapsed="false">
      <c r="A1308" s="30" t="n">
        <v>45323</v>
      </c>
      <c r="B1308" s="31" t="s">
        <v>7</v>
      </c>
      <c r="C1308" s="32"/>
      <c r="D1308" s="32"/>
      <c r="E1308" s="19" t="n">
        <f aca="false">+F1308*0.03</f>
        <v>0</v>
      </c>
      <c r="F1308" s="33" t="n">
        <v>0</v>
      </c>
      <c r="G1308" s="62"/>
      <c r="H1308" s="35" t="n">
        <v>0</v>
      </c>
      <c r="I1308" s="34" t="n">
        <f aca="false">+IF(E1308=0,0,E1308*0.03)</f>
        <v>0</v>
      </c>
    </row>
    <row r="1309" customFormat="false" ht="15.75" hidden="false" customHeight="true" outlineLevel="0" collapsed="false">
      <c r="A1309" s="30" t="n">
        <v>45323</v>
      </c>
      <c r="B1309" s="31" t="s">
        <v>7</v>
      </c>
      <c r="C1309" s="32"/>
      <c r="D1309" s="32"/>
      <c r="E1309" s="19" t="n">
        <f aca="false">+F1309*0.03</f>
        <v>0</v>
      </c>
      <c r="F1309" s="33" t="n">
        <v>0</v>
      </c>
      <c r="G1309" s="62"/>
      <c r="H1309" s="35" t="n">
        <v>0</v>
      </c>
      <c r="I1309" s="34" t="n">
        <f aca="false">+IF(E1309=0,0,E1309*0.03)</f>
        <v>0</v>
      </c>
    </row>
    <row r="1310" customFormat="false" ht="15.75" hidden="false" customHeight="true" outlineLevel="0" collapsed="false">
      <c r="A1310" s="30" t="n">
        <v>45323</v>
      </c>
      <c r="B1310" s="31" t="s">
        <v>7</v>
      </c>
      <c r="C1310" s="32"/>
      <c r="D1310" s="32"/>
      <c r="E1310" s="19" t="n">
        <f aca="false">+F1310*0.03</f>
        <v>0</v>
      </c>
      <c r="F1310" s="33" t="n">
        <v>0</v>
      </c>
      <c r="G1310" s="62"/>
      <c r="H1310" s="35" t="n">
        <v>0</v>
      </c>
      <c r="I1310" s="34" t="n">
        <f aca="false">+IF(E1310=0,0,E1310*0.03)</f>
        <v>0</v>
      </c>
    </row>
    <row r="1311" customFormat="false" ht="15.75" hidden="false" customHeight="true" outlineLevel="0" collapsed="false">
      <c r="A1311" s="30" t="n">
        <v>45323</v>
      </c>
      <c r="B1311" s="31" t="s">
        <v>7</v>
      </c>
      <c r="C1311" s="32"/>
      <c r="D1311" s="32"/>
      <c r="E1311" s="19" t="n">
        <f aca="false">+F1311*0.03</f>
        <v>0</v>
      </c>
      <c r="F1311" s="33" t="n">
        <v>0</v>
      </c>
      <c r="G1311" s="62"/>
      <c r="H1311" s="35" t="n">
        <v>0</v>
      </c>
      <c r="I1311" s="34" t="n">
        <f aca="false">+IF(E1311=0,0,E1311*0.03)</f>
        <v>0</v>
      </c>
    </row>
    <row r="1312" customFormat="false" ht="15.75" hidden="false" customHeight="true" outlineLevel="0" collapsed="false">
      <c r="A1312" s="30" t="n">
        <v>45323</v>
      </c>
      <c r="B1312" s="31" t="s">
        <v>7</v>
      </c>
      <c r="C1312" s="32"/>
      <c r="D1312" s="32"/>
      <c r="E1312" s="19" t="n">
        <f aca="false">+F1312*0.03</f>
        <v>0</v>
      </c>
      <c r="F1312" s="33" t="n">
        <v>0</v>
      </c>
      <c r="G1312" s="62"/>
      <c r="H1312" s="35" t="n">
        <v>0</v>
      </c>
      <c r="I1312" s="34" t="n">
        <f aca="false">+IF(E1312=0,0,E1312*0.03)</f>
        <v>0</v>
      </c>
    </row>
    <row r="1313" customFormat="false" ht="15.75" hidden="false" customHeight="true" outlineLevel="0" collapsed="false">
      <c r="A1313" s="30" t="n">
        <v>45323</v>
      </c>
      <c r="B1313" s="31" t="s">
        <v>7</v>
      </c>
      <c r="C1313" s="32"/>
      <c r="D1313" s="32"/>
      <c r="E1313" s="19" t="n">
        <f aca="false">+F1313*0.03</f>
        <v>0</v>
      </c>
      <c r="F1313" s="33" t="n">
        <v>0</v>
      </c>
      <c r="G1313" s="62"/>
      <c r="H1313" s="35" t="n">
        <v>0</v>
      </c>
      <c r="I1313" s="34" t="n">
        <f aca="false">+IF(E1313=0,0,E1313*0.03)</f>
        <v>0</v>
      </c>
    </row>
    <row r="1314" customFormat="false" ht="15.75" hidden="false" customHeight="true" outlineLevel="0" collapsed="false">
      <c r="A1314" s="30" t="n">
        <v>45323</v>
      </c>
      <c r="B1314" s="31" t="s">
        <v>7</v>
      </c>
      <c r="C1314" s="32"/>
      <c r="D1314" s="32"/>
      <c r="E1314" s="19" t="n">
        <f aca="false">+F1314*0.03</f>
        <v>0</v>
      </c>
      <c r="F1314" s="33" t="n">
        <v>0</v>
      </c>
      <c r="G1314" s="62"/>
      <c r="H1314" s="35" t="n">
        <v>0</v>
      </c>
      <c r="I1314" s="34" t="n">
        <f aca="false">+IF(E1314=0,0,E1314*0.03)</f>
        <v>0</v>
      </c>
    </row>
    <row r="1315" customFormat="false" ht="15.75" hidden="false" customHeight="true" outlineLevel="0" collapsed="false">
      <c r="A1315" s="30" t="n">
        <v>45323</v>
      </c>
      <c r="B1315" s="31" t="s">
        <v>7</v>
      </c>
      <c r="C1315" s="32"/>
      <c r="D1315" s="32"/>
      <c r="E1315" s="19" t="n">
        <f aca="false">+F1315*0.03</f>
        <v>0</v>
      </c>
      <c r="F1315" s="33" t="n">
        <v>0</v>
      </c>
      <c r="G1315" s="62"/>
      <c r="H1315" s="35" t="n">
        <v>0</v>
      </c>
      <c r="I1315" s="34" t="n">
        <f aca="false">+IF(E1315=0,0,E1315*0.03)</f>
        <v>0</v>
      </c>
    </row>
    <row r="1316" customFormat="false" ht="15.75" hidden="false" customHeight="true" outlineLevel="0" collapsed="false">
      <c r="A1316" s="30" t="n">
        <v>45323</v>
      </c>
      <c r="B1316" s="31" t="s">
        <v>7</v>
      </c>
      <c r="C1316" s="32"/>
      <c r="D1316" s="32"/>
      <c r="E1316" s="19" t="n">
        <f aca="false">+F1316*0.03</f>
        <v>0</v>
      </c>
      <c r="F1316" s="33" t="n">
        <v>0</v>
      </c>
      <c r="G1316" s="62"/>
      <c r="H1316" s="35" t="n">
        <v>0</v>
      </c>
      <c r="I1316" s="34" t="n">
        <f aca="false">+IF(E1316=0,0,E1316*0.03)</f>
        <v>0</v>
      </c>
    </row>
    <row r="1317" customFormat="false" ht="15.75" hidden="false" customHeight="true" outlineLevel="0" collapsed="false">
      <c r="A1317" s="30" t="n">
        <v>45323</v>
      </c>
      <c r="B1317" s="31" t="s">
        <v>7</v>
      </c>
      <c r="C1317" s="32"/>
      <c r="D1317" s="32"/>
      <c r="E1317" s="19" t="n">
        <f aca="false">+F1317*0.03</f>
        <v>0</v>
      </c>
      <c r="F1317" s="33" t="n">
        <v>0</v>
      </c>
      <c r="G1317" s="62"/>
      <c r="H1317" s="35" t="n">
        <v>0</v>
      </c>
      <c r="I1317" s="34" t="n">
        <f aca="false">+IF(E1317=0,0,E1317*0.03)</f>
        <v>0</v>
      </c>
    </row>
    <row r="1318" customFormat="false" ht="15.75" hidden="false" customHeight="true" outlineLevel="0" collapsed="false">
      <c r="A1318" s="30" t="n">
        <v>45323</v>
      </c>
      <c r="B1318" s="31" t="s">
        <v>7</v>
      </c>
      <c r="C1318" s="32"/>
      <c r="D1318" s="32"/>
      <c r="E1318" s="19" t="n">
        <f aca="false">+F1318*0.03</f>
        <v>0</v>
      </c>
      <c r="F1318" s="33" t="n">
        <v>0</v>
      </c>
      <c r="G1318" s="62"/>
      <c r="H1318" s="35" t="n">
        <v>0</v>
      </c>
      <c r="I1318" s="34" t="n">
        <f aca="false">+IF(E1318=0,0,E1318*0.03)</f>
        <v>0</v>
      </c>
    </row>
    <row r="1319" customFormat="false" ht="15.75" hidden="false" customHeight="true" outlineLevel="0" collapsed="false">
      <c r="A1319" s="30" t="n">
        <v>45323</v>
      </c>
      <c r="B1319" s="31" t="s">
        <v>7</v>
      </c>
      <c r="C1319" s="32"/>
      <c r="D1319" s="32"/>
      <c r="E1319" s="19" t="n">
        <f aca="false">+F1319*0.03</f>
        <v>0</v>
      </c>
      <c r="F1319" s="33" t="n">
        <v>0</v>
      </c>
      <c r="G1319" s="62"/>
      <c r="H1319" s="35" t="n">
        <v>0</v>
      </c>
      <c r="I1319" s="34" t="n">
        <f aca="false">+IF(E1319=0,0,E1319*0.03)</f>
        <v>0</v>
      </c>
    </row>
    <row r="1320" customFormat="false" ht="15.75" hidden="false" customHeight="true" outlineLevel="0" collapsed="false">
      <c r="A1320" s="30" t="n">
        <v>45323</v>
      </c>
      <c r="B1320" s="31" t="s">
        <v>7</v>
      </c>
      <c r="C1320" s="32"/>
      <c r="D1320" s="32"/>
      <c r="E1320" s="19" t="n">
        <f aca="false">+F1320*0.03</f>
        <v>0</v>
      </c>
      <c r="F1320" s="33" t="n">
        <v>0</v>
      </c>
      <c r="G1320" s="62"/>
      <c r="H1320" s="35" t="n">
        <v>0</v>
      </c>
      <c r="I1320" s="34" t="n">
        <f aca="false">+IF(E1320=0,0,E1320*0.03)</f>
        <v>0</v>
      </c>
    </row>
    <row r="1321" customFormat="false" ht="15.75" hidden="false" customHeight="true" outlineLevel="0" collapsed="false">
      <c r="A1321" s="30" t="n">
        <v>45323</v>
      </c>
      <c r="B1321" s="31" t="s">
        <v>7</v>
      </c>
      <c r="C1321" s="32"/>
      <c r="D1321" s="32"/>
      <c r="E1321" s="19" t="n">
        <f aca="false">+F1321*0.03</f>
        <v>0</v>
      </c>
      <c r="F1321" s="33" t="n">
        <v>0</v>
      </c>
      <c r="G1321" s="62"/>
      <c r="H1321" s="35" t="n">
        <v>0</v>
      </c>
      <c r="I1321" s="34" t="n">
        <f aca="false">+IF(E1321=0,0,E1321*0.03)</f>
        <v>0</v>
      </c>
    </row>
    <row r="1322" customFormat="false" ht="15.75" hidden="false" customHeight="true" outlineLevel="0" collapsed="false">
      <c r="A1322" s="30" t="n">
        <v>45323</v>
      </c>
      <c r="B1322" s="31" t="s">
        <v>7</v>
      </c>
      <c r="C1322" s="32"/>
      <c r="D1322" s="32"/>
      <c r="E1322" s="19" t="n">
        <f aca="false">+F1322*0.03</f>
        <v>0</v>
      </c>
      <c r="F1322" s="33" t="n">
        <v>0</v>
      </c>
      <c r="G1322" s="62"/>
      <c r="H1322" s="35" t="n">
        <v>0</v>
      </c>
      <c r="I1322" s="34" t="n">
        <f aca="false">+IF(E1322=0,0,E1322*0.03)</f>
        <v>0</v>
      </c>
    </row>
    <row r="1323" customFormat="false" ht="15.75" hidden="false" customHeight="true" outlineLevel="0" collapsed="false">
      <c r="A1323" s="30" t="n">
        <v>45323</v>
      </c>
      <c r="B1323" s="31" t="s">
        <v>7</v>
      </c>
      <c r="C1323" s="32"/>
      <c r="D1323" s="32"/>
      <c r="E1323" s="19" t="n">
        <f aca="false">+F1323*0.03</f>
        <v>0</v>
      </c>
      <c r="F1323" s="33" t="n">
        <v>0</v>
      </c>
      <c r="G1323" s="62"/>
      <c r="H1323" s="35" t="n">
        <v>0</v>
      </c>
      <c r="I1323" s="34" t="n">
        <f aca="false">+IF(E1323=0,0,E1323*0.03)</f>
        <v>0</v>
      </c>
    </row>
    <row r="1324" customFormat="false" ht="15.75" hidden="false" customHeight="true" outlineLevel="0" collapsed="false">
      <c r="A1324" s="30" t="n">
        <v>45323</v>
      </c>
      <c r="B1324" s="31" t="s">
        <v>7</v>
      </c>
      <c r="C1324" s="32"/>
      <c r="D1324" s="32"/>
      <c r="E1324" s="19" t="n">
        <f aca="false">+F1324*0.03</f>
        <v>0</v>
      </c>
      <c r="F1324" s="33" t="n">
        <v>0</v>
      </c>
      <c r="G1324" s="62"/>
      <c r="H1324" s="35" t="n">
        <v>0</v>
      </c>
      <c r="I1324" s="34" t="n">
        <f aca="false">+IF(E1324=0,0,E1324*0.03)</f>
        <v>0</v>
      </c>
    </row>
    <row r="1325" customFormat="false" ht="15.75" hidden="false" customHeight="true" outlineLevel="0" collapsed="false">
      <c r="A1325" s="30" t="n">
        <v>45323</v>
      </c>
      <c r="B1325" s="31" t="s">
        <v>7</v>
      </c>
      <c r="C1325" s="32"/>
      <c r="D1325" s="32"/>
      <c r="E1325" s="19" t="n">
        <f aca="false">+F1325*0.03</f>
        <v>0</v>
      </c>
      <c r="F1325" s="33" t="n">
        <v>0</v>
      </c>
      <c r="G1325" s="62"/>
      <c r="H1325" s="35" t="n">
        <v>0</v>
      </c>
      <c r="I1325" s="34" t="n">
        <f aca="false">+IF(E1325=0,0,E1325*0.03)</f>
        <v>0</v>
      </c>
    </row>
    <row r="1326" customFormat="false" ht="15.75" hidden="false" customHeight="true" outlineLevel="0" collapsed="false">
      <c r="A1326" s="30" t="n">
        <v>45323</v>
      </c>
      <c r="B1326" s="31" t="s">
        <v>7</v>
      </c>
      <c r="C1326" s="32"/>
      <c r="D1326" s="32"/>
      <c r="E1326" s="19" t="n">
        <f aca="false">+F1326*0.03</f>
        <v>0</v>
      </c>
      <c r="F1326" s="33" t="n">
        <v>0</v>
      </c>
      <c r="G1326" s="62"/>
      <c r="H1326" s="35" t="n">
        <v>0</v>
      </c>
      <c r="I1326" s="34" t="n">
        <f aca="false">+IF(E1326=0,0,E1326*0.03)</f>
        <v>0</v>
      </c>
    </row>
    <row r="1327" customFormat="false" ht="15.75" hidden="false" customHeight="true" outlineLevel="0" collapsed="false">
      <c r="A1327" s="30" t="n">
        <v>45323</v>
      </c>
      <c r="B1327" s="31" t="s">
        <v>7</v>
      </c>
      <c r="C1327" s="32"/>
      <c r="D1327" s="32"/>
      <c r="E1327" s="19" t="n">
        <f aca="false">+F1327*0.03</f>
        <v>0</v>
      </c>
      <c r="F1327" s="33" t="n">
        <v>0</v>
      </c>
      <c r="G1327" s="62"/>
      <c r="H1327" s="35" t="n">
        <v>0</v>
      </c>
      <c r="I1327" s="34" t="n">
        <f aca="false">+IF(E1327=0,0,E1327*0.03)</f>
        <v>0</v>
      </c>
    </row>
    <row r="1328" customFormat="false" ht="15.75" hidden="false" customHeight="true" outlineLevel="0" collapsed="false">
      <c r="A1328" s="30" t="n">
        <v>45323</v>
      </c>
      <c r="B1328" s="31" t="s">
        <v>7</v>
      </c>
      <c r="C1328" s="32"/>
      <c r="D1328" s="32"/>
      <c r="E1328" s="19" t="n">
        <f aca="false">+F1328*0.03</f>
        <v>0</v>
      </c>
      <c r="F1328" s="33" t="n">
        <v>0</v>
      </c>
      <c r="G1328" s="62"/>
      <c r="H1328" s="35" t="n">
        <v>0</v>
      </c>
      <c r="I1328" s="34" t="n">
        <f aca="false">+IF(E1328=0,0,E1328*0.03)</f>
        <v>0</v>
      </c>
    </row>
    <row r="1329" customFormat="false" ht="15.75" hidden="false" customHeight="true" outlineLevel="0" collapsed="false">
      <c r="A1329" s="30" t="n">
        <v>45323</v>
      </c>
      <c r="B1329" s="31" t="s">
        <v>7</v>
      </c>
      <c r="C1329" s="32"/>
      <c r="D1329" s="32"/>
      <c r="E1329" s="19" t="n">
        <f aca="false">+F1329*0.03</f>
        <v>0</v>
      </c>
      <c r="F1329" s="33" t="n">
        <v>0</v>
      </c>
      <c r="G1329" s="62"/>
      <c r="H1329" s="35" t="n">
        <v>0</v>
      </c>
      <c r="I1329" s="34" t="n">
        <f aca="false">+IF(E1329=0,0,E1329*0.03)</f>
        <v>0</v>
      </c>
    </row>
    <row r="1330" customFormat="false" ht="15.75" hidden="false" customHeight="true" outlineLevel="0" collapsed="false">
      <c r="A1330" s="30" t="n">
        <v>45323</v>
      </c>
      <c r="B1330" s="31" t="s">
        <v>7</v>
      </c>
      <c r="C1330" s="32"/>
      <c r="D1330" s="32"/>
      <c r="E1330" s="19" t="n">
        <f aca="false">+F1330*0.03</f>
        <v>0</v>
      </c>
      <c r="F1330" s="33" t="n">
        <v>0</v>
      </c>
      <c r="G1330" s="62"/>
      <c r="H1330" s="35" t="n">
        <v>0</v>
      </c>
      <c r="I1330" s="34" t="n">
        <f aca="false">+IF(E1330=0,0,E1330*0.03)</f>
        <v>0</v>
      </c>
    </row>
    <row r="1331" customFormat="false" ht="15.75" hidden="false" customHeight="true" outlineLevel="0" collapsed="false">
      <c r="A1331" s="30" t="n">
        <v>45323</v>
      </c>
      <c r="B1331" s="31" t="s">
        <v>7</v>
      </c>
      <c r="C1331" s="32"/>
      <c r="D1331" s="32"/>
      <c r="E1331" s="19" t="n">
        <f aca="false">+F1331*0.03</f>
        <v>0</v>
      </c>
      <c r="F1331" s="33" t="n">
        <v>0</v>
      </c>
      <c r="G1331" s="62"/>
      <c r="H1331" s="35" t="n">
        <v>0</v>
      </c>
      <c r="I1331" s="34" t="n">
        <f aca="false">+IF(E1331=0,0,E1331*0.03)</f>
        <v>0</v>
      </c>
    </row>
    <row r="1332" customFormat="false" ht="15.75" hidden="false" customHeight="true" outlineLevel="0" collapsed="false">
      <c r="A1332" s="30" t="n">
        <v>45323</v>
      </c>
      <c r="B1332" s="31" t="s">
        <v>7</v>
      </c>
      <c r="C1332" s="32"/>
      <c r="D1332" s="32"/>
      <c r="E1332" s="19" t="n">
        <f aca="false">+F1332*0.03</f>
        <v>0</v>
      </c>
      <c r="F1332" s="33" t="n">
        <v>0</v>
      </c>
      <c r="G1332" s="62"/>
      <c r="H1332" s="35" t="n">
        <v>0</v>
      </c>
      <c r="I1332" s="34" t="n">
        <f aca="false">+IF(E1332=0,0,E1332*0.03)</f>
        <v>0</v>
      </c>
    </row>
    <row r="1333" customFormat="false" ht="15.75" hidden="false" customHeight="true" outlineLevel="0" collapsed="false">
      <c r="A1333" s="30" t="n">
        <v>45323</v>
      </c>
      <c r="B1333" s="31" t="s">
        <v>7</v>
      </c>
      <c r="C1333" s="32"/>
      <c r="D1333" s="32"/>
      <c r="E1333" s="19" t="n">
        <f aca="false">+F1333*0.03</f>
        <v>0</v>
      </c>
      <c r="F1333" s="33" t="n">
        <v>0</v>
      </c>
      <c r="G1333" s="62"/>
      <c r="H1333" s="35" t="n">
        <v>0</v>
      </c>
      <c r="I1333" s="34" t="n">
        <f aca="false">+IF(E1333=0,0,E1333*0.03)</f>
        <v>0</v>
      </c>
    </row>
    <row r="1334" customFormat="false" ht="15.75" hidden="false" customHeight="true" outlineLevel="0" collapsed="false">
      <c r="A1334" s="30" t="n">
        <v>45323</v>
      </c>
      <c r="B1334" s="31" t="s">
        <v>7</v>
      </c>
      <c r="C1334" s="32"/>
      <c r="D1334" s="32"/>
      <c r="E1334" s="19" t="n">
        <f aca="false">+F1334*0.03</f>
        <v>0</v>
      </c>
      <c r="F1334" s="33" t="n">
        <v>0</v>
      </c>
      <c r="G1334" s="62"/>
      <c r="H1334" s="35" t="n">
        <v>0</v>
      </c>
      <c r="I1334" s="34" t="n">
        <f aca="false">+IF(E1334=0,0,E1334*0.03)</f>
        <v>0</v>
      </c>
    </row>
    <row r="1335" customFormat="false" ht="15.75" hidden="false" customHeight="true" outlineLevel="0" collapsed="false">
      <c r="A1335" s="30" t="n">
        <v>45323</v>
      </c>
      <c r="B1335" s="31" t="s">
        <v>7</v>
      </c>
      <c r="C1335" s="32"/>
      <c r="D1335" s="32"/>
      <c r="E1335" s="19" t="n">
        <f aca="false">+F1335*0.03</f>
        <v>0</v>
      </c>
      <c r="F1335" s="33" t="n">
        <v>0</v>
      </c>
      <c r="G1335" s="62"/>
      <c r="H1335" s="35" t="n">
        <v>0</v>
      </c>
      <c r="I1335" s="34" t="n">
        <f aca="false">+IF(E1335=0,0,E1335*0.03)</f>
        <v>0</v>
      </c>
    </row>
    <row r="1336" customFormat="false" ht="15.75" hidden="false" customHeight="true" outlineLevel="0" collapsed="false">
      <c r="A1336" s="30" t="n">
        <v>45323</v>
      </c>
      <c r="B1336" s="31" t="s">
        <v>7</v>
      </c>
      <c r="C1336" s="32"/>
      <c r="D1336" s="32"/>
      <c r="E1336" s="19" t="n">
        <f aca="false">+F1336*0.03</f>
        <v>0</v>
      </c>
      <c r="F1336" s="33" t="n">
        <v>0</v>
      </c>
      <c r="G1336" s="62"/>
      <c r="H1336" s="35" t="n">
        <v>0</v>
      </c>
      <c r="I1336" s="34" t="n">
        <f aca="false">+IF(E1336=0,0,E1336*0.03)</f>
        <v>0</v>
      </c>
    </row>
    <row r="1337" customFormat="false" ht="15.75" hidden="false" customHeight="true" outlineLevel="0" collapsed="false">
      <c r="A1337" s="30" t="n">
        <v>45323</v>
      </c>
      <c r="B1337" s="31" t="s">
        <v>7</v>
      </c>
      <c r="C1337" s="32"/>
      <c r="D1337" s="32"/>
      <c r="E1337" s="19" t="n">
        <f aca="false">+F1337*0.03</f>
        <v>0</v>
      </c>
      <c r="F1337" s="33" t="n">
        <v>0</v>
      </c>
      <c r="G1337" s="62"/>
      <c r="H1337" s="35" t="n">
        <v>0</v>
      </c>
      <c r="I1337" s="34" t="n">
        <f aca="false">+IF(E1337=0,0,E1337*0.03)</f>
        <v>0</v>
      </c>
    </row>
    <row r="1338" customFormat="false" ht="15.75" hidden="false" customHeight="true" outlineLevel="0" collapsed="false">
      <c r="A1338" s="30" t="n">
        <v>45323</v>
      </c>
      <c r="B1338" s="31" t="s">
        <v>7</v>
      </c>
      <c r="C1338" s="32"/>
      <c r="D1338" s="32"/>
      <c r="E1338" s="19" t="n">
        <f aca="false">+F1338*0.03</f>
        <v>0</v>
      </c>
      <c r="F1338" s="33" t="n">
        <v>0</v>
      </c>
      <c r="G1338" s="62"/>
      <c r="H1338" s="35" t="n">
        <v>0</v>
      </c>
      <c r="I1338" s="34" t="n">
        <f aca="false">+IF(E1338=0,0,E1338*0.03)</f>
        <v>0</v>
      </c>
    </row>
    <row r="1339" customFormat="false" ht="15.75" hidden="false" customHeight="true" outlineLevel="0" collapsed="false">
      <c r="A1339" s="30" t="n">
        <v>45323</v>
      </c>
      <c r="B1339" s="31" t="s">
        <v>7</v>
      </c>
      <c r="C1339" s="32"/>
      <c r="D1339" s="32"/>
      <c r="E1339" s="19" t="n">
        <f aca="false">+F1339*0.03</f>
        <v>0</v>
      </c>
      <c r="F1339" s="33" t="n">
        <v>0</v>
      </c>
      <c r="G1339" s="62"/>
      <c r="H1339" s="35" t="n">
        <v>0</v>
      </c>
      <c r="I1339" s="34" t="n">
        <f aca="false">+IF(E1339=0,0,E1339*0.03)</f>
        <v>0</v>
      </c>
    </row>
    <row r="1340" customFormat="false" ht="15.75" hidden="false" customHeight="true" outlineLevel="0" collapsed="false">
      <c r="A1340" s="30" t="n">
        <v>45323</v>
      </c>
      <c r="B1340" s="31" t="s">
        <v>7</v>
      </c>
      <c r="C1340" s="32"/>
      <c r="D1340" s="32"/>
      <c r="E1340" s="19" t="n">
        <f aca="false">+F1340*0.03</f>
        <v>0</v>
      </c>
      <c r="F1340" s="33" t="n">
        <v>0</v>
      </c>
      <c r="G1340" s="62"/>
      <c r="H1340" s="35" t="n">
        <v>0</v>
      </c>
      <c r="I1340" s="34" t="n">
        <f aca="false">+IF(E1340=0,0,E1340*0.03)</f>
        <v>0</v>
      </c>
    </row>
    <row r="1341" customFormat="false" ht="15.75" hidden="false" customHeight="true" outlineLevel="0" collapsed="false">
      <c r="A1341" s="30" t="n">
        <v>45323</v>
      </c>
      <c r="B1341" s="31" t="s">
        <v>7</v>
      </c>
      <c r="C1341" s="32"/>
      <c r="D1341" s="32"/>
      <c r="E1341" s="19" t="n">
        <f aca="false">+F1341*0.03</f>
        <v>0</v>
      </c>
      <c r="F1341" s="33" t="n">
        <v>0</v>
      </c>
      <c r="G1341" s="62"/>
      <c r="H1341" s="35" t="n">
        <v>0</v>
      </c>
      <c r="I1341" s="34" t="n">
        <f aca="false">+IF(E1341=0,0,E1341*0.03)</f>
        <v>0</v>
      </c>
    </row>
    <row r="1342" customFormat="false" ht="15.75" hidden="false" customHeight="true" outlineLevel="0" collapsed="false">
      <c r="A1342" s="30" t="n">
        <v>45323</v>
      </c>
      <c r="B1342" s="31" t="s">
        <v>7</v>
      </c>
      <c r="C1342" s="32"/>
      <c r="D1342" s="32"/>
      <c r="E1342" s="19" t="n">
        <f aca="false">+F1342*0.03</f>
        <v>0</v>
      </c>
      <c r="F1342" s="33" t="n">
        <v>0</v>
      </c>
      <c r="G1342" s="62"/>
      <c r="H1342" s="35" t="n">
        <v>0</v>
      </c>
      <c r="I1342" s="34" t="n">
        <f aca="false">+IF(E1342=0,0,E1342*0.03)</f>
        <v>0</v>
      </c>
    </row>
    <row r="1343" customFormat="false" ht="15.75" hidden="false" customHeight="true" outlineLevel="0" collapsed="false">
      <c r="A1343" s="30" t="n">
        <v>45323</v>
      </c>
      <c r="B1343" s="31" t="s">
        <v>7</v>
      </c>
      <c r="C1343" s="32"/>
      <c r="D1343" s="32"/>
      <c r="E1343" s="19" t="n">
        <f aca="false">+F1343*0.03</f>
        <v>0</v>
      </c>
      <c r="F1343" s="33" t="n">
        <v>0</v>
      </c>
      <c r="G1343" s="62"/>
      <c r="H1343" s="35" t="n">
        <v>0</v>
      </c>
      <c r="I1343" s="34" t="n">
        <f aca="false">+IF(E1343=0,0,E1343*0.03)</f>
        <v>0</v>
      </c>
    </row>
    <row r="1344" customFormat="false" ht="15.75" hidden="false" customHeight="true" outlineLevel="0" collapsed="false">
      <c r="A1344" s="30" t="n">
        <v>45323</v>
      </c>
      <c r="B1344" s="31" t="s">
        <v>7</v>
      </c>
      <c r="C1344" s="32"/>
      <c r="D1344" s="32"/>
      <c r="E1344" s="19" t="n">
        <f aca="false">+F1344*0.03</f>
        <v>0</v>
      </c>
      <c r="F1344" s="33" t="n">
        <v>0</v>
      </c>
      <c r="G1344" s="62"/>
      <c r="H1344" s="35" t="n">
        <v>0</v>
      </c>
      <c r="I1344" s="34" t="n">
        <f aca="false">+IF(E1344=0,0,E1344*0.03)</f>
        <v>0</v>
      </c>
    </row>
    <row r="1345" customFormat="false" ht="15.75" hidden="false" customHeight="true" outlineLevel="0" collapsed="false">
      <c r="A1345" s="30" t="n">
        <v>45323</v>
      </c>
      <c r="B1345" s="31" t="s">
        <v>7</v>
      </c>
      <c r="C1345" s="32"/>
      <c r="D1345" s="32"/>
      <c r="E1345" s="19" t="n">
        <f aca="false">+F1345*0.03</f>
        <v>0</v>
      </c>
      <c r="F1345" s="33" t="n">
        <v>0</v>
      </c>
      <c r="G1345" s="62"/>
      <c r="H1345" s="35" t="n">
        <v>0</v>
      </c>
      <c r="I1345" s="34" t="n">
        <f aca="false">+IF(E1345=0,0,E1345*0.03)</f>
        <v>0</v>
      </c>
    </row>
    <row r="1346" customFormat="false" ht="15.75" hidden="false" customHeight="true" outlineLevel="0" collapsed="false">
      <c r="A1346" s="30" t="n">
        <v>45323</v>
      </c>
      <c r="B1346" s="31" t="s">
        <v>7</v>
      </c>
      <c r="C1346" s="32"/>
      <c r="D1346" s="32"/>
      <c r="E1346" s="19" t="n">
        <f aca="false">+F1346*0.03</f>
        <v>0</v>
      </c>
      <c r="F1346" s="33" t="n">
        <v>0</v>
      </c>
      <c r="G1346" s="62"/>
      <c r="H1346" s="35" t="n">
        <v>0</v>
      </c>
      <c r="I1346" s="34" t="n">
        <f aca="false">+IF(E1346=0,0,E1346*0.03)</f>
        <v>0</v>
      </c>
    </row>
    <row r="1347" customFormat="false" ht="15.75" hidden="false" customHeight="true" outlineLevel="0" collapsed="false">
      <c r="A1347" s="30" t="n">
        <v>45323</v>
      </c>
      <c r="B1347" s="31" t="s">
        <v>7</v>
      </c>
      <c r="C1347" s="32"/>
      <c r="D1347" s="32"/>
      <c r="E1347" s="19" t="n">
        <f aca="false">+F1347*0.03</f>
        <v>0</v>
      </c>
      <c r="F1347" s="33" t="n">
        <v>0</v>
      </c>
      <c r="G1347" s="62"/>
      <c r="H1347" s="35" t="n">
        <v>0</v>
      </c>
      <c r="I1347" s="34" t="n">
        <f aca="false">+IF(E1347=0,0,E1347*0.03)</f>
        <v>0</v>
      </c>
    </row>
    <row r="1348" customFormat="false" ht="15.75" hidden="false" customHeight="true" outlineLevel="0" collapsed="false">
      <c r="A1348" s="30" t="n">
        <v>45323</v>
      </c>
      <c r="B1348" s="31" t="s">
        <v>7</v>
      </c>
      <c r="C1348" s="32"/>
      <c r="D1348" s="32"/>
      <c r="E1348" s="19" t="n">
        <f aca="false">+F1348*0.03</f>
        <v>0</v>
      </c>
      <c r="F1348" s="33" t="n">
        <v>0</v>
      </c>
      <c r="G1348" s="62"/>
      <c r="H1348" s="35" t="n">
        <v>0</v>
      </c>
      <c r="I1348" s="34" t="n">
        <f aca="false">+IF(E1348=0,0,E1348*0.03)</f>
        <v>0</v>
      </c>
    </row>
    <row r="1349" customFormat="false" ht="15.75" hidden="false" customHeight="true" outlineLevel="0" collapsed="false">
      <c r="A1349" s="30" t="n">
        <v>45323</v>
      </c>
      <c r="B1349" s="31" t="s">
        <v>7</v>
      </c>
      <c r="C1349" s="32"/>
      <c r="D1349" s="32"/>
      <c r="E1349" s="19" t="n">
        <f aca="false">+F1349*0.03</f>
        <v>0</v>
      </c>
      <c r="F1349" s="33" t="n">
        <v>0</v>
      </c>
      <c r="G1349" s="62"/>
      <c r="H1349" s="35" t="n">
        <v>0</v>
      </c>
      <c r="I1349" s="34" t="n">
        <f aca="false">+IF(E1349=0,0,E1349*0.03)</f>
        <v>0</v>
      </c>
    </row>
    <row r="1350" customFormat="false" ht="15.75" hidden="false" customHeight="true" outlineLevel="0" collapsed="false">
      <c r="A1350" s="30" t="n">
        <v>45323</v>
      </c>
      <c r="B1350" s="31" t="s">
        <v>7</v>
      </c>
      <c r="C1350" s="32"/>
      <c r="D1350" s="32"/>
      <c r="E1350" s="19" t="n">
        <f aca="false">+F1350*0.03</f>
        <v>0</v>
      </c>
      <c r="F1350" s="33" t="n">
        <v>0</v>
      </c>
      <c r="G1350" s="62"/>
      <c r="H1350" s="35" t="n">
        <v>0</v>
      </c>
      <c r="I1350" s="34" t="n">
        <f aca="false">+IF(E1350=0,0,E1350*0.03)</f>
        <v>0</v>
      </c>
    </row>
    <row r="1351" customFormat="false" ht="15.75" hidden="false" customHeight="true" outlineLevel="0" collapsed="false">
      <c r="A1351" s="30" t="n">
        <v>45323</v>
      </c>
      <c r="B1351" s="31" t="s">
        <v>7</v>
      </c>
      <c r="C1351" s="32"/>
      <c r="D1351" s="32"/>
      <c r="E1351" s="19" t="n">
        <f aca="false">+F1351*0.03</f>
        <v>0</v>
      </c>
      <c r="F1351" s="33" t="n">
        <v>0</v>
      </c>
      <c r="G1351" s="62"/>
      <c r="H1351" s="35" t="n">
        <v>0</v>
      </c>
      <c r="I1351" s="34" t="n">
        <f aca="false">+IF(E1351=0,0,E1351*0.03)</f>
        <v>0</v>
      </c>
    </row>
    <row r="1352" customFormat="false" ht="15.75" hidden="false" customHeight="true" outlineLevel="0" collapsed="false">
      <c r="A1352" s="30" t="n">
        <v>45323</v>
      </c>
      <c r="B1352" s="31" t="s">
        <v>7</v>
      </c>
      <c r="C1352" s="32"/>
      <c r="D1352" s="32"/>
      <c r="E1352" s="19" t="n">
        <f aca="false">+F1352*0.03</f>
        <v>0</v>
      </c>
      <c r="F1352" s="33" t="n">
        <v>0</v>
      </c>
      <c r="G1352" s="62"/>
      <c r="H1352" s="35" t="n">
        <v>0</v>
      </c>
      <c r="I1352" s="34" t="n">
        <f aca="false">+IF(E1352=0,0,E1352*0.03)</f>
        <v>0</v>
      </c>
    </row>
    <row r="1353" customFormat="false" ht="15.75" hidden="false" customHeight="true" outlineLevel="0" collapsed="false">
      <c r="A1353" s="30" t="n">
        <v>45323</v>
      </c>
      <c r="B1353" s="31" t="s">
        <v>7</v>
      </c>
      <c r="C1353" s="32"/>
      <c r="D1353" s="32"/>
      <c r="E1353" s="19" t="n">
        <f aca="false">+F1353*0.03</f>
        <v>0</v>
      </c>
      <c r="F1353" s="33" t="n">
        <v>0</v>
      </c>
      <c r="G1353" s="62"/>
      <c r="H1353" s="35" t="n">
        <v>0</v>
      </c>
      <c r="I1353" s="34" t="n">
        <f aca="false">+IF(E1353=0,0,E1353*0.03)</f>
        <v>0</v>
      </c>
    </row>
    <row r="1354" customFormat="false" ht="15.75" hidden="false" customHeight="true" outlineLevel="0" collapsed="false">
      <c r="A1354" s="30" t="n">
        <v>45323</v>
      </c>
      <c r="B1354" s="31" t="s">
        <v>7</v>
      </c>
      <c r="C1354" s="32"/>
      <c r="D1354" s="32"/>
      <c r="E1354" s="19" t="n">
        <f aca="false">+F1354*0.03</f>
        <v>0</v>
      </c>
      <c r="F1354" s="33" t="n">
        <v>0</v>
      </c>
      <c r="G1354" s="62"/>
      <c r="H1354" s="35" t="n">
        <v>0</v>
      </c>
      <c r="I1354" s="34" t="n">
        <f aca="false">+IF(E1354=0,0,E1354*0.03)</f>
        <v>0</v>
      </c>
    </row>
    <row r="1355" customFormat="false" ht="15.75" hidden="false" customHeight="true" outlineLevel="0" collapsed="false">
      <c r="A1355" s="30" t="n">
        <v>45323</v>
      </c>
      <c r="B1355" s="31" t="s">
        <v>7</v>
      </c>
      <c r="C1355" s="32"/>
      <c r="D1355" s="32"/>
      <c r="E1355" s="19" t="n">
        <f aca="false">+F1355*0.03</f>
        <v>0</v>
      </c>
      <c r="F1355" s="33" t="n">
        <v>0</v>
      </c>
      <c r="G1355" s="62"/>
      <c r="H1355" s="35" t="n">
        <v>0</v>
      </c>
      <c r="I1355" s="34" t="n">
        <f aca="false">+IF(E1355=0,0,E1355*0.03)</f>
        <v>0</v>
      </c>
    </row>
    <row r="1356" customFormat="false" ht="15.75" hidden="false" customHeight="true" outlineLevel="0" collapsed="false">
      <c r="A1356" s="30" t="n">
        <v>45323</v>
      </c>
      <c r="B1356" s="31" t="s">
        <v>7</v>
      </c>
      <c r="C1356" s="32"/>
      <c r="D1356" s="32"/>
      <c r="E1356" s="19" t="n">
        <f aca="false">+F1356*0.03</f>
        <v>0</v>
      </c>
      <c r="F1356" s="33" t="n">
        <v>0</v>
      </c>
      <c r="G1356" s="62"/>
      <c r="H1356" s="35" t="n">
        <v>0</v>
      </c>
      <c r="I1356" s="34" t="n">
        <f aca="false">+IF(E1356=0,0,E1356*0.03)</f>
        <v>0</v>
      </c>
    </row>
    <row r="1357" customFormat="false" ht="15.75" hidden="false" customHeight="true" outlineLevel="0" collapsed="false">
      <c r="A1357" s="30" t="n">
        <v>45323</v>
      </c>
      <c r="B1357" s="31" t="s">
        <v>7</v>
      </c>
      <c r="C1357" s="32"/>
      <c r="D1357" s="32"/>
      <c r="E1357" s="19" t="n">
        <f aca="false">+F1357*0.03</f>
        <v>0</v>
      </c>
      <c r="F1357" s="33" t="n">
        <v>0</v>
      </c>
      <c r="G1357" s="62"/>
      <c r="H1357" s="35" t="n">
        <v>0</v>
      </c>
      <c r="I1357" s="34" t="n">
        <f aca="false">+IF(E1357=0,0,E1357*0.03)</f>
        <v>0</v>
      </c>
    </row>
    <row r="1358" customFormat="false" ht="15.75" hidden="false" customHeight="true" outlineLevel="0" collapsed="false">
      <c r="A1358" s="30" t="n">
        <v>45323</v>
      </c>
      <c r="B1358" s="31" t="s">
        <v>7</v>
      </c>
      <c r="C1358" s="32"/>
      <c r="D1358" s="32"/>
      <c r="E1358" s="19" t="n">
        <f aca="false">+F1358*0.03</f>
        <v>0</v>
      </c>
      <c r="F1358" s="33" t="n">
        <v>0</v>
      </c>
      <c r="G1358" s="62"/>
      <c r="H1358" s="35" t="n">
        <v>0</v>
      </c>
      <c r="I1358" s="34" t="n">
        <f aca="false">+IF(E1358=0,0,E1358*0.03)</f>
        <v>0</v>
      </c>
    </row>
    <row r="1359" customFormat="false" ht="15.75" hidden="false" customHeight="true" outlineLevel="0" collapsed="false">
      <c r="A1359" s="30" t="n">
        <v>45323</v>
      </c>
      <c r="B1359" s="31" t="s">
        <v>7</v>
      </c>
      <c r="C1359" s="32"/>
      <c r="D1359" s="32"/>
      <c r="E1359" s="19" t="n">
        <f aca="false">+F1359*0.03</f>
        <v>0</v>
      </c>
      <c r="F1359" s="33" t="n">
        <v>0</v>
      </c>
      <c r="G1359" s="62"/>
      <c r="H1359" s="35" t="n">
        <v>0</v>
      </c>
      <c r="I1359" s="34" t="n">
        <f aca="false">+IF(E1359=0,0,E1359*0.03)</f>
        <v>0</v>
      </c>
    </row>
    <row r="1360" customFormat="false" ht="15.75" hidden="false" customHeight="true" outlineLevel="0" collapsed="false">
      <c r="A1360" s="30" t="n">
        <v>45323</v>
      </c>
      <c r="B1360" s="31" t="s">
        <v>7</v>
      </c>
      <c r="C1360" s="32"/>
      <c r="D1360" s="32"/>
      <c r="E1360" s="19" t="n">
        <f aca="false">+F1360*0.03</f>
        <v>0</v>
      </c>
      <c r="F1360" s="33" t="n">
        <v>0</v>
      </c>
      <c r="G1360" s="62"/>
      <c r="H1360" s="35" t="n">
        <v>0</v>
      </c>
      <c r="I1360" s="34" t="n">
        <f aca="false">+IF(E1360=0,0,E1360*0.03)</f>
        <v>0</v>
      </c>
    </row>
    <row r="1361" customFormat="false" ht="15.75" hidden="false" customHeight="true" outlineLevel="0" collapsed="false">
      <c r="A1361" s="30" t="n">
        <v>45323</v>
      </c>
      <c r="B1361" s="31" t="s">
        <v>7</v>
      </c>
      <c r="C1361" s="32"/>
      <c r="D1361" s="32"/>
      <c r="E1361" s="19" t="n">
        <f aca="false">+F1361*0.03</f>
        <v>0</v>
      </c>
      <c r="F1361" s="33" t="n">
        <v>0</v>
      </c>
      <c r="G1361" s="62"/>
      <c r="H1361" s="35" t="n">
        <v>0</v>
      </c>
      <c r="I1361" s="34" t="n">
        <f aca="false">+IF(E1361=0,0,E1361*0.03)</f>
        <v>0</v>
      </c>
    </row>
    <row r="1362" customFormat="false" ht="15.75" hidden="false" customHeight="true" outlineLevel="0" collapsed="false">
      <c r="A1362" s="30" t="n">
        <v>45323</v>
      </c>
      <c r="B1362" s="31" t="s">
        <v>7</v>
      </c>
      <c r="C1362" s="32"/>
      <c r="D1362" s="32"/>
      <c r="E1362" s="19" t="n">
        <f aca="false">+F1362*0.03</f>
        <v>0</v>
      </c>
      <c r="F1362" s="33" t="n">
        <v>0</v>
      </c>
      <c r="G1362" s="62"/>
      <c r="H1362" s="35" t="n">
        <v>0</v>
      </c>
      <c r="I1362" s="34" t="n">
        <f aca="false">+IF(E1362=0,0,E1362*0.03)</f>
        <v>0</v>
      </c>
    </row>
    <row r="1363" customFormat="false" ht="15.75" hidden="false" customHeight="true" outlineLevel="0" collapsed="false">
      <c r="A1363" s="30" t="n">
        <v>45323</v>
      </c>
      <c r="B1363" s="31" t="s">
        <v>7</v>
      </c>
      <c r="C1363" s="32"/>
      <c r="D1363" s="32"/>
      <c r="E1363" s="19" t="n">
        <f aca="false">+F1363*0.03</f>
        <v>0</v>
      </c>
      <c r="F1363" s="33" t="n">
        <v>0</v>
      </c>
      <c r="G1363" s="62"/>
      <c r="H1363" s="35" t="n">
        <v>0</v>
      </c>
      <c r="I1363" s="34" t="n">
        <f aca="false">+IF(E1363=0,0,E1363*0.03)</f>
        <v>0</v>
      </c>
    </row>
    <row r="1364" customFormat="false" ht="15.75" hidden="false" customHeight="true" outlineLevel="0" collapsed="false">
      <c r="A1364" s="30" t="n">
        <v>45323</v>
      </c>
      <c r="B1364" s="31" t="s">
        <v>7</v>
      </c>
      <c r="C1364" s="32"/>
      <c r="D1364" s="32"/>
      <c r="E1364" s="19" t="n">
        <f aca="false">+F1364*0.03</f>
        <v>0</v>
      </c>
      <c r="F1364" s="33" t="n">
        <v>0</v>
      </c>
      <c r="G1364" s="62"/>
      <c r="H1364" s="35" t="n">
        <v>0</v>
      </c>
      <c r="I1364" s="34" t="n">
        <f aca="false">+IF(E1364=0,0,E1364*0.03)</f>
        <v>0</v>
      </c>
    </row>
    <row r="1365" customFormat="false" ht="15.75" hidden="false" customHeight="true" outlineLevel="0" collapsed="false">
      <c r="A1365" s="30" t="n">
        <v>45323</v>
      </c>
      <c r="B1365" s="31" t="s">
        <v>7</v>
      </c>
      <c r="C1365" s="32"/>
      <c r="D1365" s="32"/>
      <c r="E1365" s="19" t="n">
        <f aca="false">+F1365*0.03</f>
        <v>0</v>
      </c>
      <c r="F1365" s="33" t="n">
        <v>0</v>
      </c>
      <c r="G1365" s="62"/>
      <c r="H1365" s="35" t="n">
        <v>0</v>
      </c>
      <c r="I1365" s="34" t="n">
        <f aca="false">+IF(E1365=0,0,E1365*0.03)</f>
        <v>0</v>
      </c>
    </row>
    <row r="1366" customFormat="false" ht="15.75" hidden="false" customHeight="true" outlineLevel="0" collapsed="false">
      <c r="A1366" s="30" t="n">
        <v>45323</v>
      </c>
      <c r="B1366" s="31" t="s">
        <v>7</v>
      </c>
      <c r="C1366" s="32"/>
      <c r="D1366" s="32"/>
      <c r="E1366" s="19" t="n">
        <f aca="false">+F1366*0.03</f>
        <v>0</v>
      </c>
      <c r="F1366" s="33" t="n">
        <v>0</v>
      </c>
      <c r="G1366" s="62"/>
      <c r="H1366" s="35" t="n">
        <v>0</v>
      </c>
      <c r="I1366" s="34" t="n">
        <f aca="false">+IF(E1366=0,0,E1366*0.03)</f>
        <v>0</v>
      </c>
    </row>
    <row r="1367" customFormat="false" ht="15.75" hidden="false" customHeight="true" outlineLevel="0" collapsed="false">
      <c r="A1367" s="30" t="n">
        <v>45323</v>
      </c>
      <c r="B1367" s="31" t="s">
        <v>7</v>
      </c>
      <c r="C1367" s="32"/>
      <c r="D1367" s="32"/>
      <c r="E1367" s="19" t="n">
        <f aca="false">+F1367*0.03</f>
        <v>0</v>
      </c>
      <c r="F1367" s="33" t="n">
        <v>0</v>
      </c>
      <c r="G1367" s="62"/>
      <c r="H1367" s="35" t="n">
        <v>0</v>
      </c>
      <c r="I1367" s="34" t="n">
        <f aca="false">+IF(E1367=0,0,E1367*0.03)</f>
        <v>0</v>
      </c>
    </row>
    <row r="1368" customFormat="false" ht="15.75" hidden="false" customHeight="true" outlineLevel="0" collapsed="false">
      <c r="A1368" s="30" t="n">
        <v>45323</v>
      </c>
      <c r="B1368" s="31" t="s">
        <v>7</v>
      </c>
      <c r="C1368" s="32"/>
      <c r="D1368" s="32"/>
      <c r="E1368" s="19" t="n">
        <f aca="false">+F1368*0.03</f>
        <v>0</v>
      </c>
      <c r="F1368" s="33" t="n">
        <v>0</v>
      </c>
      <c r="G1368" s="62"/>
      <c r="H1368" s="35" t="n">
        <v>0</v>
      </c>
      <c r="I1368" s="34" t="n">
        <f aca="false">+IF(E1368=0,0,E1368*0.03)</f>
        <v>0</v>
      </c>
    </row>
    <row r="1369" customFormat="false" ht="15.75" hidden="false" customHeight="true" outlineLevel="0" collapsed="false">
      <c r="A1369" s="30" t="n">
        <v>45323</v>
      </c>
      <c r="B1369" s="31" t="s">
        <v>7</v>
      </c>
      <c r="C1369" s="32"/>
      <c r="D1369" s="32"/>
      <c r="E1369" s="19" t="n">
        <f aca="false">+F1369*0.03</f>
        <v>0</v>
      </c>
      <c r="F1369" s="33" t="n">
        <v>0</v>
      </c>
      <c r="G1369" s="62"/>
      <c r="H1369" s="35" t="n">
        <v>0</v>
      </c>
      <c r="I1369" s="34" t="n">
        <f aca="false">+IF(E1369=0,0,E1369*0.03)</f>
        <v>0</v>
      </c>
    </row>
    <row r="1370" customFormat="false" ht="15.75" hidden="false" customHeight="true" outlineLevel="0" collapsed="false">
      <c r="A1370" s="30" t="n">
        <v>45323</v>
      </c>
      <c r="B1370" s="31" t="s">
        <v>7</v>
      </c>
      <c r="C1370" s="32"/>
      <c r="D1370" s="32"/>
      <c r="E1370" s="19" t="n">
        <f aca="false">+F1370*0.03</f>
        <v>0</v>
      </c>
      <c r="F1370" s="33" t="n">
        <v>0</v>
      </c>
      <c r="G1370" s="62"/>
      <c r="H1370" s="35" t="n">
        <v>0</v>
      </c>
      <c r="I1370" s="34" t="n">
        <f aca="false">+IF(E1370=0,0,E1370*0.03)</f>
        <v>0</v>
      </c>
    </row>
    <row r="1371" customFormat="false" ht="15.75" hidden="false" customHeight="true" outlineLevel="0" collapsed="false">
      <c r="A1371" s="30" t="n">
        <v>45323</v>
      </c>
      <c r="B1371" s="31" t="s">
        <v>7</v>
      </c>
      <c r="C1371" s="32"/>
      <c r="D1371" s="32"/>
      <c r="E1371" s="19" t="n">
        <f aca="false">+F1371*0.03</f>
        <v>0</v>
      </c>
      <c r="F1371" s="33" t="n">
        <v>0</v>
      </c>
      <c r="G1371" s="62"/>
      <c r="H1371" s="35" t="n">
        <v>0</v>
      </c>
      <c r="I1371" s="34" t="n">
        <f aca="false">+IF(E1371=0,0,E1371*0.03)</f>
        <v>0</v>
      </c>
    </row>
    <row r="1372" customFormat="false" ht="15.75" hidden="false" customHeight="true" outlineLevel="0" collapsed="false">
      <c r="A1372" s="30" t="n">
        <v>45323</v>
      </c>
      <c r="B1372" s="31" t="s">
        <v>7</v>
      </c>
      <c r="C1372" s="32"/>
      <c r="D1372" s="32"/>
      <c r="E1372" s="19" t="n">
        <f aca="false">+F1372*0.03</f>
        <v>0</v>
      </c>
      <c r="F1372" s="33" t="n">
        <v>0</v>
      </c>
      <c r="G1372" s="62"/>
      <c r="H1372" s="35" t="n">
        <v>0</v>
      </c>
      <c r="I1372" s="34" t="n">
        <f aca="false">+IF(E1372=0,0,E1372*0.03)</f>
        <v>0</v>
      </c>
    </row>
    <row r="1373" customFormat="false" ht="15.75" hidden="false" customHeight="true" outlineLevel="0" collapsed="false">
      <c r="A1373" s="30" t="n">
        <v>45323</v>
      </c>
      <c r="B1373" s="31" t="s">
        <v>7</v>
      </c>
      <c r="C1373" s="32"/>
      <c r="D1373" s="32"/>
      <c r="E1373" s="19" t="n">
        <f aca="false">+F1373*0.03</f>
        <v>0</v>
      </c>
      <c r="F1373" s="33" t="n">
        <v>0</v>
      </c>
      <c r="G1373" s="62"/>
      <c r="H1373" s="35" t="n">
        <v>0</v>
      </c>
      <c r="I1373" s="34" t="n">
        <f aca="false">+IF(E1373=0,0,E1373*0.03)</f>
        <v>0</v>
      </c>
    </row>
    <row r="1374" customFormat="false" ht="15.75" hidden="false" customHeight="true" outlineLevel="0" collapsed="false">
      <c r="A1374" s="30" t="n">
        <v>45323</v>
      </c>
      <c r="B1374" s="31" t="s">
        <v>7</v>
      </c>
      <c r="C1374" s="32"/>
      <c r="D1374" s="32"/>
      <c r="E1374" s="19" t="n">
        <f aca="false">+F1374*0.03</f>
        <v>0</v>
      </c>
      <c r="F1374" s="33" t="n">
        <v>0</v>
      </c>
      <c r="G1374" s="62"/>
      <c r="H1374" s="35" t="n">
        <v>0</v>
      </c>
      <c r="I1374" s="34" t="n">
        <f aca="false">+IF(E1374=0,0,E1374*0.03)</f>
        <v>0</v>
      </c>
    </row>
    <row r="1375" customFormat="false" ht="15.75" hidden="false" customHeight="true" outlineLevel="0" collapsed="false">
      <c r="A1375" s="30" t="n">
        <v>45323</v>
      </c>
      <c r="B1375" s="31" t="s">
        <v>7</v>
      </c>
      <c r="C1375" s="32"/>
      <c r="D1375" s="32"/>
      <c r="E1375" s="19" t="n">
        <f aca="false">+F1375*0.03</f>
        <v>0</v>
      </c>
      <c r="F1375" s="33" t="n">
        <v>0</v>
      </c>
      <c r="G1375" s="62"/>
      <c r="H1375" s="35" t="n">
        <v>0</v>
      </c>
      <c r="I1375" s="34" t="n">
        <f aca="false">+IF(E1375=0,0,E1375*0.03)</f>
        <v>0</v>
      </c>
    </row>
    <row r="1376" customFormat="false" ht="15.75" hidden="false" customHeight="true" outlineLevel="0" collapsed="false">
      <c r="A1376" s="30" t="n">
        <v>45323</v>
      </c>
      <c r="B1376" s="31" t="s">
        <v>7</v>
      </c>
      <c r="C1376" s="32"/>
      <c r="D1376" s="32"/>
      <c r="E1376" s="19" t="n">
        <f aca="false">+F1376*0.03</f>
        <v>0</v>
      </c>
      <c r="F1376" s="33" t="n">
        <v>0</v>
      </c>
      <c r="G1376" s="62"/>
      <c r="H1376" s="35" t="n">
        <v>0</v>
      </c>
      <c r="I1376" s="34" t="n">
        <f aca="false">+IF(E1376=0,0,E1376*0.03)</f>
        <v>0</v>
      </c>
    </row>
    <row r="1377" customFormat="false" ht="15.75" hidden="false" customHeight="true" outlineLevel="0" collapsed="false">
      <c r="A1377" s="30" t="n">
        <v>45323</v>
      </c>
      <c r="B1377" s="31" t="s">
        <v>7</v>
      </c>
      <c r="C1377" s="32"/>
      <c r="D1377" s="32"/>
      <c r="E1377" s="19" t="n">
        <f aca="false">+F1377*0.03</f>
        <v>0</v>
      </c>
      <c r="F1377" s="33" t="n">
        <v>0</v>
      </c>
      <c r="G1377" s="62"/>
      <c r="H1377" s="35" t="n">
        <v>0</v>
      </c>
      <c r="I1377" s="34" t="n">
        <f aca="false">+IF(E1377=0,0,E1377*0.03)</f>
        <v>0</v>
      </c>
    </row>
    <row r="1378" customFormat="false" ht="15.75" hidden="false" customHeight="true" outlineLevel="0" collapsed="false">
      <c r="A1378" s="30" t="n">
        <v>45323</v>
      </c>
      <c r="B1378" s="31" t="s">
        <v>7</v>
      </c>
      <c r="C1378" s="32"/>
      <c r="D1378" s="32"/>
      <c r="E1378" s="19" t="n">
        <f aca="false">+F1378*0.03</f>
        <v>0</v>
      </c>
      <c r="F1378" s="33" t="n">
        <v>0</v>
      </c>
      <c r="G1378" s="62"/>
      <c r="H1378" s="35" t="n">
        <v>0</v>
      </c>
      <c r="I1378" s="34" t="n">
        <f aca="false">+IF(E1378=0,0,E1378*0.03)</f>
        <v>0</v>
      </c>
    </row>
    <row r="1379" customFormat="false" ht="15.75" hidden="false" customHeight="true" outlineLevel="0" collapsed="false">
      <c r="A1379" s="30" t="n">
        <v>45323</v>
      </c>
      <c r="B1379" s="31" t="s">
        <v>7</v>
      </c>
      <c r="C1379" s="32"/>
      <c r="D1379" s="32"/>
      <c r="E1379" s="19" t="n">
        <f aca="false">+F1379*0.03</f>
        <v>0</v>
      </c>
      <c r="F1379" s="33" t="n">
        <v>0</v>
      </c>
      <c r="G1379" s="62"/>
      <c r="H1379" s="35" t="n">
        <v>0</v>
      </c>
      <c r="I1379" s="34" t="n">
        <f aca="false">+IF(E1379=0,0,E1379*0.03)</f>
        <v>0</v>
      </c>
    </row>
    <row r="1380" customFormat="false" ht="15.75" hidden="false" customHeight="true" outlineLevel="0" collapsed="false">
      <c r="A1380" s="30" t="n">
        <v>45323</v>
      </c>
      <c r="B1380" s="31" t="s">
        <v>7</v>
      </c>
      <c r="C1380" s="32"/>
      <c r="D1380" s="32"/>
      <c r="E1380" s="19" t="n">
        <f aca="false">+F1380*0.03</f>
        <v>0</v>
      </c>
      <c r="F1380" s="33" t="n">
        <v>0</v>
      </c>
      <c r="G1380" s="62"/>
      <c r="H1380" s="35" t="n">
        <v>0</v>
      </c>
      <c r="I1380" s="34" t="n">
        <f aca="false">+IF(E1380=0,0,E1380*0.03)</f>
        <v>0</v>
      </c>
    </row>
    <row r="1381" customFormat="false" ht="15.75" hidden="false" customHeight="true" outlineLevel="0" collapsed="false">
      <c r="A1381" s="30" t="n">
        <v>45323</v>
      </c>
      <c r="B1381" s="31" t="s">
        <v>7</v>
      </c>
      <c r="C1381" s="32"/>
      <c r="D1381" s="32"/>
      <c r="E1381" s="19" t="n">
        <f aca="false">+F1381*0.03</f>
        <v>0</v>
      </c>
      <c r="F1381" s="33" t="n">
        <v>0</v>
      </c>
      <c r="G1381" s="62"/>
      <c r="H1381" s="35" t="n">
        <v>0</v>
      </c>
      <c r="I1381" s="34" t="n">
        <f aca="false">+IF(E1381=0,0,E1381*0.03)</f>
        <v>0</v>
      </c>
    </row>
    <row r="1382" customFormat="false" ht="15.75" hidden="false" customHeight="true" outlineLevel="0" collapsed="false">
      <c r="A1382" s="30" t="n">
        <v>45323</v>
      </c>
      <c r="B1382" s="31" t="s">
        <v>7</v>
      </c>
      <c r="C1382" s="32"/>
      <c r="D1382" s="32"/>
      <c r="E1382" s="19" t="n">
        <f aca="false">+F1382*0.03</f>
        <v>0</v>
      </c>
      <c r="F1382" s="33" t="n">
        <v>0</v>
      </c>
      <c r="G1382" s="62"/>
      <c r="H1382" s="35" t="n">
        <v>0</v>
      </c>
      <c r="I1382" s="34" t="n">
        <f aca="false">+IF(E1382=0,0,E1382*0.03)</f>
        <v>0</v>
      </c>
    </row>
    <row r="1383" customFormat="false" ht="15.75" hidden="false" customHeight="true" outlineLevel="0" collapsed="false">
      <c r="A1383" s="30" t="n">
        <v>45323</v>
      </c>
      <c r="B1383" s="31" t="s">
        <v>7</v>
      </c>
      <c r="C1383" s="32"/>
      <c r="D1383" s="32"/>
      <c r="E1383" s="19" t="n">
        <f aca="false">+F1383*0.03</f>
        <v>0</v>
      </c>
      <c r="F1383" s="33" t="n">
        <v>0</v>
      </c>
      <c r="G1383" s="62"/>
      <c r="H1383" s="35" t="n">
        <v>0</v>
      </c>
      <c r="I1383" s="34" t="n">
        <f aca="false">+IF(E1383=0,0,E1383*0.03)</f>
        <v>0</v>
      </c>
    </row>
    <row r="1384" customFormat="false" ht="15.75" hidden="false" customHeight="true" outlineLevel="0" collapsed="false">
      <c r="A1384" s="30" t="n">
        <v>45323</v>
      </c>
      <c r="B1384" s="31" t="s">
        <v>7</v>
      </c>
      <c r="C1384" s="32"/>
      <c r="D1384" s="32"/>
      <c r="E1384" s="19" t="n">
        <f aca="false">+F1384*0.03</f>
        <v>0</v>
      </c>
      <c r="F1384" s="33" t="n">
        <v>0</v>
      </c>
      <c r="G1384" s="62"/>
      <c r="H1384" s="35" t="n">
        <v>0</v>
      </c>
      <c r="I1384" s="34" t="n">
        <f aca="false">+IF(E1384=0,0,E1384*0.03)</f>
        <v>0</v>
      </c>
    </row>
    <row r="1385" customFormat="false" ht="15.75" hidden="false" customHeight="true" outlineLevel="0" collapsed="false">
      <c r="A1385" s="30" t="n">
        <v>45323</v>
      </c>
      <c r="B1385" s="31" t="s">
        <v>7</v>
      </c>
      <c r="C1385" s="32"/>
      <c r="D1385" s="32"/>
      <c r="E1385" s="19" t="n">
        <f aca="false">+F1385*0.03</f>
        <v>0</v>
      </c>
      <c r="F1385" s="33" t="n">
        <v>0</v>
      </c>
      <c r="G1385" s="62"/>
      <c r="H1385" s="35" t="n">
        <v>0</v>
      </c>
      <c r="I1385" s="34" t="n">
        <f aca="false">+IF(E1385=0,0,E1385*0.03)</f>
        <v>0</v>
      </c>
    </row>
    <row r="1386" customFormat="false" ht="15.75" hidden="false" customHeight="true" outlineLevel="0" collapsed="false">
      <c r="A1386" s="30" t="n">
        <v>45323</v>
      </c>
      <c r="B1386" s="31" t="s">
        <v>7</v>
      </c>
      <c r="C1386" s="32"/>
      <c r="D1386" s="32"/>
      <c r="E1386" s="19" t="n">
        <f aca="false">+F1386*0.03</f>
        <v>0</v>
      </c>
      <c r="F1386" s="33" t="n">
        <v>0</v>
      </c>
      <c r="G1386" s="62"/>
      <c r="H1386" s="35" t="n">
        <v>0</v>
      </c>
      <c r="I1386" s="34" t="n">
        <f aca="false">+IF(E1386=0,0,E1386*0.03)</f>
        <v>0</v>
      </c>
    </row>
    <row r="1387" customFormat="false" ht="15.75" hidden="false" customHeight="true" outlineLevel="0" collapsed="false">
      <c r="A1387" s="30" t="n">
        <v>45323</v>
      </c>
      <c r="B1387" s="31" t="s">
        <v>7</v>
      </c>
      <c r="C1387" s="32"/>
      <c r="D1387" s="32"/>
      <c r="E1387" s="19" t="n">
        <f aca="false">+F1387*0.03</f>
        <v>0</v>
      </c>
      <c r="F1387" s="33" t="n">
        <v>0</v>
      </c>
      <c r="G1387" s="62"/>
      <c r="H1387" s="35" t="n">
        <v>0</v>
      </c>
      <c r="I1387" s="34" t="n">
        <f aca="false">+IF(E1387=0,0,E1387*0.03)</f>
        <v>0</v>
      </c>
    </row>
    <row r="1388" customFormat="false" ht="15.75" hidden="false" customHeight="true" outlineLevel="0" collapsed="false">
      <c r="A1388" s="30" t="n">
        <v>45323</v>
      </c>
      <c r="B1388" s="31" t="s">
        <v>7</v>
      </c>
      <c r="C1388" s="32"/>
      <c r="D1388" s="32"/>
      <c r="E1388" s="19" t="n">
        <f aca="false">+F1388*0.03</f>
        <v>0</v>
      </c>
      <c r="F1388" s="33" t="n">
        <v>0</v>
      </c>
      <c r="G1388" s="62"/>
      <c r="H1388" s="35" t="n">
        <v>0</v>
      </c>
      <c r="I1388" s="34" t="n">
        <f aca="false">+IF(E1388=0,0,E1388*0.03)</f>
        <v>0</v>
      </c>
    </row>
    <row r="1389" customFormat="false" ht="15.75" hidden="false" customHeight="true" outlineLevel="0" collapsed="false">
      <c r="A1389" s="30" t="n">
        <v>45323</v>
      </c>
      <c r="B1389" s="31" t="s">
        <v>7</v>
      </c>
      <c r="C1389" s="32"/>
      <c r="D1389" s="32"/>
      <c r="E1389" s="19" t="n">
        <f aca="false">+F1389*0.03</f>
        <v>0</v>
      </c>
      <c r="F1389" s="33" t="n">
        <v>0</v>
      </c>
      <c r="G1389" s="62"/>
      <c r="H1389" s="35" t="n">
        <v>0</v>
      </c>
      <c r="I1389" s="34" t="n">
        <f aca="false">+IF(E1389=0,0,E1389*0.03)</f>
        <v>0</v>
      </c>
    </row>
    <row r="1390" customFormat="false" ht="15.75" hidden="false" customHeight="true" outlineLevel="0" collapsed="false">
      <c r="A1390" s="30" t="n">
        <v>45323</v>
      </c>
      <c r="B1390" s="31" t="s">
        <v>7</v>
      </c>
      <c r="C1390" s="32"/>
      <c r="D1390" s="32"/>
      <c r="E1390" s="19" t="n">
        <f aca="false">+F1390*0.03</f>
        <v>0</v>
      </c>
      <c r="F1390" s="33" t="n">
        <v>0</v>
      </c>
      <c r="G1390" s="62"/>
      <c r="H1390" s="35" t="n">
        <v>0</v>
      </c>
      <c r="I1390" s="34" t="n">
        <f aca="false">+IF(E1390=0,0,E1390*0.03)</f>
        <v>0</v>
      </c>
    </row>
    <row r="1391" customFormat="false" ht="15.75" hidden="false" customHeight="true" outlineLevel="0" collapsed="false">
      <c r="A1391" s="30" t="n">
        <v>45323</v>
      </c>
      <c r="B1391" s="31" t="s">
        <v>7</v>
      </c>
      <c r="C1391" s="32"/>
      <c r="D1391" s="32"/>
      <c r="E1391" s="19" t="n">
        <f aca="false">+F1391*0.03</f>
        <v>0</v>
      </c>
      <c r="F1391" s="33" t="n">
        <v>0</v>
      </c>
      <c r="G1391" s="62"/>
      <c r="H1391" s="35" t="n">
        <v>0</v>
      </c>
      <c r="I1391" s="34" t="n">
        <f aca="false">+IF(E1391=0,0,E1391*0.03)</f>
        <v>0</v>
      </c>
    </row>
    <row r="1392" customFormat="false" ht="15.75" hidden="false" customHeight="true" outlineLevel="0" collapsed="false">
      <c r="A1392" s="30" t="n">
        <v>45323</v>
      </c>
      <c r="B1392" s="31" t="s">
        <v>7</v>
      </c>
      <c r="C1392" s="32"/>
      <c r="D1392" s="32"/>
      <c r="E1392" s="19" t="n">
        <f aca="false">+F1392*0.03</f>
        <v>0</v>
      </c>
      <c r="F1392" s="33" t="n">
        <v>0</v>
      </c>
      <c r="G1392" s="62"/>
      <c r="H1392" s="35" t="n">
        <v>0</v>
      </c>
      <c r="I1392" s="34" t="n">
        <f aca="false">+IF(E1392=0,0,E1392*0.03)</f>
        <v>0</v>
      </c>
    </row>
    <row r="1393" customFormat="false" ht="15.75" hidden="false" customHeight="true" outlineLevel="0" collapsed="false">
      <c r="A1393" s="30" t="n">
        <v>45323</v>
      </c>
      <c r="B1393" s="31" t="s">
        <v>7</v>
      </c>
      <c r="C1393" s="32"/>
      <c r="D1393" s="32"/>
      <c r="E1393" s="19" t="n">
        <f aca="false">+F1393*0.03</f>
        <v>0</v>
      </c>
      <c r="F1393" s="33" t="n">
        <v>0</v>
      </c>
      <c r="G1393" s="62"/>
      <c r="H1393" s="35" t="n">
        <v>0</v>
      </c>
      <c r="I1393" s="34" t="n">
        <f aca="false">+IF(E1393=0,0,E1393*0.03)</f>
        <v>0</v>
      </c>
    </row>
    <row r="1394" customFormat="false" ht="15.75" hidden="false" customHeight="true" outlineLevel="0" collapsed="false">
      <c r="A1394" s="30" t="n">
        <v>45323</v>
      </c>
      <c r="B1394" s="31" t="s">
        <v>7</v>
      </c>
      <c r="C1394" s="32"/>
      <c r="D1394" s="32"/>
      <c r="E1394" s="19" t="n">
        <f aca="false">+F1394*0.03</f>
        <v>0</v>
      </c>
      <c r="F1394" s="33" t="n">
        <v>0</v>
      </c>
      <c r="G1394" s="62"/>
      <c r="H1394" s="35" t="n">
        <v>0</v>
      </c>
      <c r="I1394" s="34" t="n">
        <f aca="false">+IF(E1394=0,0,E1394*0.03)</f>
        <v>0</v>
      </c>
    </row>
    <row r="1395" customFormat="false" ht="15.75" hidden="false" customHeight="true" outlineLevel="0" collapsed="false">
      <c r="A1395" s="30" t="n">
        <v>45323</v>
      </c>
      <c r="B1395" s="31" t="s">
        <v>7</v>
      </c>
      <c r="C1395" s="32"/>
      <c r="D1395" s="32"/>
      <c r="E1395" s="19" t="n">
        <f aca="false">+F1395*0.03</f>
        <v>0</v>
      </c>
      <c r="F1395" s="33" t="n">
        <v>0</v>
      </c>
      <c r="G1395" s="62"/>
      <c r="H1395" s="35" t="n">
        <v>0</v>
      </c>
      <c r="I1395" s="34" t="n">
        <f aca="false">+IF(E1395=0,0,E1395*0.03)</f>
        <v>0</v>
      </c>
    </row>
    <row r="1396" customFormat="false" ht="15.75" hidden="false" customHeight="true" outlineLevel="0" collapsed="false">
      <c r="A1396" s="30" t="n">
        <v>45323</v>
      </c>
      <c r="B1396" s="31" t="s">
        <v>7</v>
      </c>
      <c r="C1396" s="32"/>
      <c r="D1396" s="32"/>
      <c r="E1396" s="19" t="n">
        <f aca="false">+F1396*0.03</f>
        <v>0</v>
      </c>
      <c r="F1396" s="33" t="n">
        <v>0</v>
      </c>
      <c r="G1396" s="62"/>
      <c r="H1396" s="35" t="n">
        <v>0</v>
      </c>
      <c r="I1396" s="34" t="n">
        <f aca="false">+IF(E1396=0,0,E1396*0.03)</f>
        <v>0</v>
      </c>
    </row>
    <row r="1397" customFormat="false" ht="15.75" hidden="false" customHeight="true" outlineLevel="0" collapsed="false">
      <c r="A1397" s="30" t="n">
        <v>45323</v>
      </c>
      <c r="B1397" s="31" t="s">
        <v>7</v>
      </c>
      <c r="C1397" s="32"/>
      <c r="D1397" s="32"/>
      <c r="E1397" s="19" t="n">
        <f aca="false">+F1397*0.03</f>
        <v>0</v>
      </c>
      <c r="F1397" s="33" t="n">
        <v>0</v>
      </c>
      <c r="G1397" s="62"/>
      <c r="H1397" s="35" t="n">
        <v>0</v>
      </c>
      <c r="I1397" s="34" t="n">
        <f aca="false">+IF(E1397=0,0,E1397*0.03)</f>
        <v>0</v>
      </c>
    </row>
    <row r="1398" customFormat="false" ht="15.75" hidden="false" customHeight="true" outlineLevel="0" collapsed="false">
      <c r="A1398" s="30" t="n">
        <v>45323</v>
      </c>
      <c r="B1398" s="31" t="s">
        <v>7</v>
      </c>
      <c r="C1398" s="32"/>
      <c r="D1398" s="32"/>
      <c r="E1398" s="19" t="n">
        <f aca="false">+F1398*0.03</f>
        <v>0</v>
      </c>
      <c r="F1398" s="33" t="n">
        <v>0</v>
      </c>
      <c r="G1398" s="62"/>
      <c r="H1398" s="35" t="n">
        <v>0</v>
      </c>
      <c r="I1398" s="34" t="n">
        <f aca="false">+IF(E1398=0,0,E1398*0.03)</f>
        <v>0</v>
      </c>
    </row>
    <row r="1399" customFormat="false" ht="15.75" hidden="false" customHeight="true" outlineLevel="0" collapsed="false">
      <c r="A1399" s="30" t="n">
        <v>45323</v>
      </c>
      <c r="B1399" s="31" t="s">
        <v>7</v>
      </c>
      <c r="C1399" s="32"/>
      <c r="D1399" s="32"/>
      <c r="E1399" s="19" t="n">
        <f aca="false">+F1399*0.03</f>
        <v>0</v>
      </c>
      <c r="F1399" s="33" t="n">
        <v>0</v>
      </c>
      <c r="G1399" s="62"/>
      <c r="H1399" s="35" t="n">
        <v>0</v>
      </c>
      <c r="I1399" s="34" t="n">
        <f aca="false">+IF(E1399=0,0,E1399*0.03)</f>
        <v>0</v>
      </c>
    </row>
    <row r="1400" customFormat="false" ht="15.75" hidden="false" customHeight="true" outlineLevel="0" collapsed="false">
      <c r="A1400" s="30" t="n">
        <v>45323</v>
      </c>
      <c r="B1400" s="31" t="s">
        <v>7</v>
      </c>
      <c r="C1400" s="32"/>
      <c r="D1400" s="32"/>
      <c r="E1400" s="19" t="n">
        <f aca="false">+F1400*0.03</f>
        <v>0</v>
      </c>
      <c r="F1400" s="33" t="n">
        <v>0</v>
      </c>
      <c r="G1400" s="62"/>
      <c r="H1400" s="35" t="n">
        <v>0</v>
      </c>
      <c r="I1400" s="34" t="n">
        <f aca="false">+IF(E1400=0,0,E1400*0.03)</f>
        <v>0</v>
      </c>
    </row>
    <row r="1401" customFormat="false" ht="15.75" hidden="false" customHeight="true" outlineLevel="0" collapsed="false">
      <c r="A1401" s="30" t="n">
        <v>45323</v>
      </c>
      <c r="B1401" s="31" t="s">
        <v>7</v>
      </c>
      <c r="C1401" s="32"/>
      <c r="D1401" s="32"/>
      <c r="E1401" s="19" t="n">
        <f aca="false">+F1401*0.03</f>
        <v>0</v>
      </c>
      <c r="F1401" s="33" t="n">
        <v>0</v>
      </c>
      <c r="G1401" s="62"/>
      <c r="H1401" s="35" t="n">
        <v>0</v>
      </c>
      <c r="I1401" s="34" t="n">
        <f aca="false">+IF(E1401=0,0,E1401*0.03)</f>
        <v>0</v>
      </c>
    </row>
    <row r="1402" customFormat="false" ht="15.75" hidden="false" customHeight="true" outlineLevel="0" collapsed="false">
      <c r="A1402" s="30" t="n">
        <v>45323</v>
      </c>
      <c r="B1402" s="31" t="s">
        <v>7</v>
      </c>
      <c r="C1402" s="32"/>
      <c r="D1402" s="32"/>
      <c r="E1402" s="19" t="n">
        <f aca="false">+F1402*0.03</f>
        <v>0</v>
      </c>
      <c r="F1402" s="33" t="n">
        <v>0</v>
      </c>
      <c r="G1402" s="62"/>
      <c r="H1402" s="35" t="n">
        <v>0</v>
      </c>
      <c r="I1402" s="34" t="n">
        <f aca="false">+IF(E1402=0,0,E1402*0.03)</f>
        <v>0</v>
      </c>
    </row>
    <row r="1403" customFormat="false" ht="15.75" hidden="false" customHeight="true" outlineLevel="0" collapsed="false">
      <c r="A1403" s="30" t="n">
        <v>45323</v>
      </c>
      <c r="B1403" s="31" t="s">
        <v>7</v>
      </c>
      <c r="C1403" s="32"/>
      <c r="D1403" s="32"/>
      <c r="E1403" s="19" t="n">
        <f aca="false">+F1403*0.03</f>
        <v>0</v>
      </c>
      <c r="F1403" s="33" t="n">
        <v>0</v>
      </c>
      <c r="G1403" s="62"/>
      <c r="H1403" s="35" t="n">
        <v>0</v>
      </c>
      <c r="I1403" s="34" t="n">
        <f aca="false">+IF(E1403=0,0,E1403*0.03)</f>
        <v>0</v>
      </c>
    </row>
    <row r="1404" customFormat="false" ht="15.75" hidden="false" customHeight="true" outlineLevel="0" collapsed="false">
      <c r="A1404" s="30" t="n">
        <v>45323</v>
      </c>
      <c r="B1404" s="31" t="s">
        <v>7</v>
      </c>
      <c r="C1404" s="32"/>
      <c r="D1404" s="32"/>
      <c r="E1404" s="19" t="n">
        <f aca="false">+F1404*0.03</f>
        <v>0</v>
      </c>
      <c r="F1404" s="33" t="n">
        <v>0</v>
      </c>
      <c r="G1404" s="62"/>
      <c r="H1404" s="35" t="n">
        <v>0</v>
      </c>
      <c r="I1404" s="34" t="n">
        <f aca="false">+IF(E1404=0,0,E1404*0.03)</f>
        <v>0</v>
      </c>
    </row>
    <row r="1405" customFormat="false" ht="15.75" hidden="false" customHeight="true" outlineLevel="0" collapsed="false">
      <c r="A1405" s="30" t="n">
        <v>45323</v>
      </c>
      <c r="B1405" s="31" t="s">
        <v>7</v>
      </c>
      <c r="C1405" s="32"/>
      <c r="D1405" s="32"/>
      <c r="E1405" s="19" t="n">
        <f aca="false">+F1405*0.03</f>
        <v>0</v>
      </c>
      <c r="F1405" s="33" t="n">
        <v>0</v>
      </c>
      <c r="G1405" s="62"/>
      <c r="H1405" s="35" t="n">
        <v>0</v>
      </c>
      <c r="I1405" s="34" t="n">
        <f aca="false">+IF(E1405=0,0,E1405*0.03)</f>
        <v>0</v>
      </c>
    </row>
    <row r="1406" customFormat="false" ht="15.75" hidden="false" customHeight="true" outlineLevel="0" collapsed="false">
      <c r="A1406" s="30" t="n">
        <v>45323</v>
      </c>
      <c r="B1406" s="31" t="s">
        <v>7</v>
      </c>
      <c r="C1406" s="32"/>
      <c r="D1406" s="32"/>
      <c r="E1406" s="19" t="n">
        <f aca="false">+F1406*0.03</f>
        <v>0</v>
      </c>
      <c r="F1406" s="33" t="n">
        <v>0</v>
      </c>
      <c r="G1406" s="62"/>
      <c r="H1406" s="35" t="n">
        <v>0</v>
      </c>
      <c r="I1406" s="34" t="n">
        <f aca="false">+IF(E1406=0,0,E1406*0.03)</f>
        <v>0</v>
      </c>
    </row>
    <row r="1407" customFormat="false" ht="15.75" hidden="false" customHeight="true" outlineLevel="0" collapsed="false">
      <c r="A1407" s="30" t="n">
        <v>45323</v>
      </c>
      <c r="B1407" s="31" t="s">
        <v>7</v>
      </c>
      <c r="C1407" s="32"/>
      <c r="D1407" s="32"/>
      <c r="E1407" s="19" t="n">
        <f aca="false">+F1407*0.03</f>
        <v>0</v>
      </c>
      <c r="F1407" s="33" t="n">
        <v>0</v>
      </c>
      <c r="G1407" s="62"/>
      <c r="H1407" s="35" t="n">
        <v>0</v>
      </c>
      <c r="I1407" s="34" t="n">
        <f aca="false">+IF(E1407=0,0,E1407*0.03)</f>
        <v>0</v>
      </c>
    </row>
    <row r="1408" customFormat="false" ht="15.75" hidden="false" customHeight="true" outlineLevel="0" collapsed="false">
      <c r="A1408" s="30" t="n">
        <v>45323</v>
      </c>
      <c r="B1408" s="31" t="s">
        <v>7</v>
      </c>
      <c r="C1408" s="32"/>
      <c r="D1408" s="32"/>
      <c r="E1408" s="19" t="n">
        <f aca="false">+F1408*0.03</f>
        <v>0</v>
      </c>
      <c r="F1408" s="33" t="n">
        <v>0</v>
      </c>
      <c r="G1408" s="62"/>
      <c r="H1408" s="35" t="n">
        <v>0</v>
      </c>
      <c r="I1408" s="34" t="n">
        <f aca="false">+IF(E1408=0,0,E1408*0.03)</f>
        <v>0</v>
      </c>
    </row>
    <row r="1409" customFormat="false" ht="15.75" hidden="false" customHeight="true" outlineLevel="0" collapsed="false">
      <c r="A1409" s="30" t="n">
        <v>45323</v>
      </c>
      <c r="B1409" s="31" t="s">
        <v>7</v>
      </c>
      <c r="C1409" s="32"/>
      <c r="D1409" s="32"/>
      <c r="E1409" s="19" t="n">
        <f aca="false">+F1409*0.03</f>
        <v>0</v>
      </c>
      <c r="F1409" s="33" t="n">
        <v>0</v>
      </c>
      <c r="G1409" s="62"/>
      <c r="H1409" s="35" t="n">
        <v>0</v>
      </c>
      <c r="I1409" s="34" t="n">
        <f aca="false">+IF(E1409=0,0,E1409*0.03)</f>
        <v>0</v>
      </c>
    </row>
    <row r="1410" customFormat="false" ht="15.75" hidden="false" customHeight="true" outlineLevel="0" collapsed="false">
      <c r="A1410" s="30" t="n">
        <v>45323</v>
      </c>
      <c r="B1410" s="31" t="s">
        <v>7</v>
      </c>
      <c r="C1410" s="32"/>
      <c r="D1410" s="32"/>
      <c r="E1410" s="19" t="n">
        <f aca="false">+F1410*0.03</f>
        <v>0</v>
      </c>
      <c r="F1410" s="33" t="n">
        <v>0</v>
      </c>
      <c r="G1410" s="62"/>
      <c r="H1410" s="35" t="n">
        <v>0</v>
      </c>
      <c r="I1410" s="34" t="n">
        <f aca="false">+IF(E1410=0,0,E1410*0.03)</f>
        <v>0</v>
      </c>
    </row>
    <row r="1411" customFormat="false" ht="15.75" hidden="false" customHeight="true" outlineLevel="0" collapsed="false">
      <c r="A1411" s="30" t="n">
        <v>45323</v>
      </c>
      <c r="B1411" s="31" t="s">
        <v>7</v>
      </c>
      <c r="C1411" s="32"/>
      <c r="D1411" s="32"/>
      <c r="E1411" s="19" t="n">
        <f aca="false">+F1411*0.03</f>
        <v>0</v>
      </c>
      <c r="F1411" s="33" t="n">
        <v>0</v>
      </c>
      <c r="G1411" s="62"/>
      <c r="H1411" s="35" t="n">
        <v>0</v>
      </c>
      <c r="I1411" s="34" t="n">
        <f aca="false">+IF(E1411=0,0,E1411*0.03)</f>
        <v>0</v>
      </c>
    </row>
    <row r="1412" customFormat="false" ht="15.75" hidden="false" customHeight="true" outlineLevel="0" collapsed="false">
      <c r="A1412" s="30" t="n">
        <v>45323</v>
      </c>
      <c r="B1412" s="31" t="s">
        <v>7</v>
      </c>
      <c r="C1412" s="32"/>
      <c r="D1412" s="32"/>
      <c r="E1412" s="19" t="n">
        <f aca="false">+F1412*0.03</f>
        <v>0</v>
      </c>
      <c r="F1412" s="33" t="n">
        <v>0</v>
      </c>
      <c r="G1412" s="62"/>
      <c r="H1412" s="35" t="n">
        <v>0</v>
      </c>
      <c r="I1412" s="34" t="n">
        <f aca="false">+IF(E1412=0,0,E1412*0.03)</f>
        <v>0</v>
      </c>
    </row>
    <row r="1413" customFormat="false" ht="15.75" hidden="false" customHeight="true" outlineLevel="0" collapsed="false">
      <c r="A1413" s="30" t="n">
        <v>45323</v>
      </c>
      <c r="B1413" s="31" t="s">
        <v>7</v>
      </c>
      <c r="C1413" s="32"/>
      <c r="D1413" s="32"/>
      <c r="E1413" s="19" t="n">
        <f aca="false">+F1413*0.03</f>
        <v>0</v>
      </c>
      <c r="F1413" s="33" t="n">
        <v>0</v>
      </c>
      <c r="G1413" s="62"/>
      <c r="H1413" s="35" t="n">
        <v>0</v>
      </c>
      <c r="I1413" s="34" t="n">
        <f aca="false">+IF(E1413=0,0,E1413*0.03)</f>
        <v>0</v>
      </c>
    </row>
    <row r="1414" customFormat="false" ht="15.75" hidden="false" customHeight="true" outlineLevel="0" collapsed="false">
      <c r="A1414" s="30" t="n">
        <v>45323</v>
      </c>
      <c r="B1414" s="31" t="s">
        <v>7</v>
      </c>
      <c r="C1414" s="32"/>
      <c r="D1414" s="32"/>
      <c r="E1414" s="19" t="n">
        <f aca="false">+F1414*0.03</f>
        <v>0</v>
      </c>
      <c r="F1414" s="33" t="n">
        <v>0</v>
      </c>
      <c r="G1414" s="62"/>
      <c r="H1414" s="35" t="n">
        <v>0</v>
      </c>
      <c r="I1414" s="34" t="n">
        <f aca="false">+IF(E1414=0,0,E1414*0.03)</f>
        <v>0</v>
      </c>
    </row>
    <row r="1415" customFormat="false" ht="15.75" hidden="false" customHeight="true" outlineLevel="0" collapsed="false">
      <c r="A1415" s="30" t="n">
        <v>45323</v>
      </c>
      <c r="B1415" s="31" t="s">
        <v>7</v>
      </c>
      <c r="C1415" s="32"/>
      <c r="D1415" s="32"/>
      <c r="E1415" s="19" t="n">
        <f aca="false">+F1415*0.03</f>
        <v>0</v>
      </c>
      <c r="F1415" s="33" t="n">
        <v>0</v>
      </c>
      <c r="G1415" s="62"/>
      <c r="H1415" s="35" t="n">
        <v>0</v>
      </c>
      <c r="I1415" s="34" t="n">
        <f aca="false">+IF(E1415=0,0,E1415*0.03)</f>
        <v>0</v>
      </c>
    </row>
    <row r="1416" customFormat="false" ht="15.75" hidden="false" customHeight="true" outlineLevel="0" collapsed="false">
      <c r="A1416" s="30" t="n">
        <v>45323</v>
      </c>
      <c r="B1416" s="31" t="s">
        <v>7</v>
      </c>
      <c r="C1416" s="32"/>
      <c r="D1416" s="32"/>
      <c r="E1416" s="19" t="n">
        <f aca="false">+F1416*0.03</f>
        <v>0</v>
      </c>
      <c r="F1416" s="33" t="n">
        <v>0</v>
      </c>
      <c r="G1416" s="62"/>
      <c r="H1416" s="35" t="n">
        <v>0</v>
      </c>
      <c r="I1416" s="34" t="n">
        <f aca="false">+IF(E1416=0,0,E1416*0.03)</f>
        <v>0</v>
      </c>
    </row>
    <row r="1417" customFormat="false" ht="15.75" hidden="false" customHeight="true" outlineLevel="0" collapsed="false">
      <c r="A1417" s="30" t="n">
        <v>45323</v>
      </c>
      <c r="B1417" s="31" t="s">
        <v>7</v>
      </c>
      <c r="C1417" s="32"/>
      <c r="D1417" s="32"/>
      <c r="E1417" s="19" t="n">
        <f aca="false">+F1417*0.03</f>
        <v>0</v>
      </c>
      <c r="F1417" s="33" t="n">
        <v>0</v>
      </c>
      <c r="G1417" s="62"/>
      <c r="H1417" s="35" t="n">
        <v>0</v>
      </c>
      <c r="I1417" s="34" t="n">
        <f aca="false">+IF(E1417=0,0,E1417*0.03)</f>
        <v>0</v>
      </c>
    </row>
    <row r="1418" customFormat="false" ht="15.75" hidden="false" customHeight="true" outlineLevel="0" collapsed="false">
      <c r="A1418" s="30" t="n">
        <v>45323</v>
      </c>
      <c r="B1418" s="31" t="s">
        <v>7</v>
      </c>
      <c r="C1418" s="32"/>
      <c r="D1418" s="32"/>
      <c r="E1418" s="19" t="n">
        <f aca="false">+F1418*0.03</f>
        <v>0</v>
      </c>
      <c r="F1418" s="33" t="n">
        <v>0</v>
      </c>
      <c r="G1418" s="62"/>
      <c r="H1418" s="35" t="n">
        <v>0</v>
      </c>
      <c r="I1418" s="34" t="n">
        <f aca="false">+IF(E1418=0,0,E1418*0.03)</f>
        <v>0</v>
      </c>
    </row>
    <row r="1419" customFormat="false" ht="15.75" hidden="false" customHeight="true" outlineLevel="0" collapsed="false">
      <c r="A1419" s="30" t="n">
        <v>45323</v>
      </c>
      <c r="B1419" s="31" t="s">
        <v>7</v>
      </c>
      <c r="C1419" s="32"/>
      <c r="D1419" s="32"/>
      <c r="E1419" s="19" t="n">
        <f aca="false">+F1419*0.03</f>
        <v>0</v>
      </c>
      <c r="F1419" s="33" t="n">
        <v>0</v>
      </c>
      <c r="G1419" s="62"/>
      <c r="H1419" s="35" t="n">
        <v>0</v>
      </c>
      <c r="I1419" s="34" t="n">
        <f aca="false">+IF(E1419=0,0,E1419*0.03)</f>
        <v>0</v>
      </c>
    </row>
    <row r="1420" customFormat="false" ht="15.75" hidden="false" customHeight="true" outlineLevel="0" collapsed="false">
      <c r="A1420" s="30" t="n">
        <v>45323</v>
      </c>
      <c r="B1420" s="31" t="s">
        <v>7</v>
      </c>
      <c r="C1420" s="32"/>
      <c r="D1420" s="32"/>
      <c r="E1420" s="19" t="n">
        <f aca="false">+F1420*0.03</f>
        <v>0</v>
      </c>
      <c r="F1420" s="33" t="n">
        <v>0</v>
      </c>
      <c r="G1420" s="62"/>
      <c r="H1420" s="35" t="n">
        <v>0</v>
      </c>
      <c r="I1420" s="34" t="n">
        <f aca="false">+IF(E1420=0,0,E1420*0.03)</f>
        <v>0</v>
      </c>
    </row>
    <row r="1421" customFormat="false" ht="15.75" hidden="false" customHeight="true" outlineLevel="0" collapsed="false">
      <c r="A1421" s="30" t="n">
        <v>45323</v>
      </c>
      <c r="B1421" s="31" t="s">
        <v>7</v>
      </c>
      <c r="C1421" s="32"/>
      <c r="D1421" s="32"/>
      <c r="E1421" s="19" t="n">
        <f aca="false">+F1421*0.03</f>
        <v>0</v>
      </c>
      <c r="F1421" s="33" t="n">
        <v>0</v>
      </c>
      <c r="G1421" s="62"/>
      <c r="H1421" s="35" t="n">
        <v>0</v>
      </c>
      <c r="I1421" s="34" t="n">
        <f aca="false">+IF(E1421=0,0,E1421*0.03)</f>
        <v>0</v>
      </c>
    </row>
    <row r="1422" customFormat="false" ht="15.75" hidden="false" customHeight="true" outlineLevel="0" collapsed="false">
      <c r="A1422" s="30" t="n">
        <v>45323</v>
      </c>
      <c r="B1422" s="31" t="s">
        <v>7</v>
      </c>
      <c r="C1422" s="32"/>
      <c r="D1422" s="32"/>
      <c r="E1422" s="19" t="n">
        <f aca="false">+F1422*0.03</f>
        <v>0</v>
      </c>
      <c r="F1422" s="33" t="n">
        <v>0</v>
      </c>
      <c r="G1422" s="62"/>
      <c r="H1422" s="35" t="n">
        <v>0</v>
      </c>
      <c r="I1422" s="34" t="n">
        <f aca="false">+IF(E1422=0,0,E1422*0.03)</f>
        <v>0</v>
      </c>
    </row>
    <row r="1423" customFormat="false" ht="15.75" hidden="false" customHeight="true" outlineLevel="0" collapsed="false">
      <c r="A1423" s="30" t="n">
        <v>45323</v>
      </c>
      <c r="B1423" s="31" t="s">
        <v>7</v>
      </c>
      <c r="C1423" s="32"/>
      <c r="D1423" s="32"/>
      <c r="E1423" s="19" t="n">
        <f aca="false">+F1423*0.03</f>
        <v>0</v>
      </c>
      <c r="F1423" s="33" t="n">
        <v>0</v>
      </c>
      <c r="G1423" s="62"/>
      <c r="H1423" s="35" t="n">
        <v>0</v>
      </c>
      <c r="I1423" s="34" t="n">
        <f aca="false">+IF(E1423=0,0,E1423*0.03)</f>
        <v>0</v>
      </c>
    </row>
    <row r="1424" customFormat="false" ht="15.75" hidden="false" customHeight="true" outlineLevel="0" collapsed="false">
      <c r="A1424" s="30" t="n">
        <v>45323</v>
      </c>
      <c r="B1424" s="31" t="s">
        <v>7</v>
      </c>
      <c r="C1424" s="32"/>
      <c r="D1424" s="32"/>
      <c r="E1424" s="19" t="n">
        <f aca="false">+F1424*0.03</f>
        <v>0</v>
      </c>
      <c r="F1424" s="33" t="n">
        <v>0</v>
      </c>
      <c r="G1424" s="62"/>
      <c r="H1424" s="35" t="n">
        <v>0</v>
      </c>
      <c r="I1424" s="34" t="n">
        <f aca="false">+IF(E1424=0,0,E1424*0.03)</f>
        <v>0</v>
      </c>
    </row>
    <row r="1425" customFormat="false" ht="15.75" hidden="false" customHeight="true" outlineLevel="0" collapsed="false">
      <c r="A1425" s="30" t="n">
        <v>45323</v>
      </c>
      <c r="B1425" s="31" t="s">
        <v>7</v>
      </c>
      <c r="C1425" s="32"/>
      <c r="D1425" s="32"/>
      <c r="E1425" s="19" t="n">
        <f aca="false">+F1425*0.03</f>
        <v>0</v>
      </c>
      <c r="F1425" s="33" t="n">
        <v>0</v>
      </c>
      <c r="G1425" s="62"/>
      <c r="H1425" s="35" t="n">
        <v>0</v>
      </c>
      <c r="I1425" s="34" t="n">
        <f aca="false">+IF(E1425=0,0,E1425*0.03)</f>
        <v>0</v>
      </c>
    </row>
    <row r="1426" customFormat="false" ht="15.75" hidden="false" customHeight="true" outlineLevel="0" collapsed="false">
      <c r="A1426" s="30" t="n">
        <v>45323</v>
      </c>
      <c r="B1426" s="31" t="s">
        <v>7</v>
      </c>
      <c r="C1426" s="32"/>
      <c r="D1426" s="32"/>
      <c r="E1426" s="19" t="n">
        <f aca="false">+F1426*0.03</f>
        <v>0</v>
      </c>
      <c r="F1426" s="33" t="n">
        <v>0</v>
      </c>
      <c r="G1426" s="62"/>
      <c r="H1426" s="35" t="n">
        <v>0</v>
      </c>
      <c r="I1426" s="34" t="n">
        <f aca="false">+IF(E1426=0,0,E1426*0.03)</f>
        <v>0</v>
      </c>
    </row>
    <row r="1427" customFormat="false" ht="15.75" hidden="false" customHeight="true" outlineLevel="0" collapsed="false">
      <c r="A1427" s="30" t="n">
        <v>45323</v>
      </c>
      <c r="B1427" s="31" t="s">
        <v>7</v>
      </c>
      <c r="C1427" s="32"/>
      <c r="D1427" s="32"/>
      <c r="E1427" s="19" t="n">
        <f aca="false">+F1427*0.03</f>
        <v>0</v>
      </c>
      <c r="F1427" s="33" t="n">
        <v>0</v>
      </c>
      <c r="G1427" s="62"/>
      <c r="H1427" s="35" t="n">
        <v>0</v>
      </c>
      <c r="I1427" s="34" t="n">
        <f aca="false">+IF(E1427=0,0,E1427*0.03)</f>
        <v>0</v>
      </c>
    </row>
    <row r="1428" customFormat="false" ht="15.75" hidden="false" customHeight="true" outlineLevel="0" collapsed="false">
      <c r="A1428" s="30" t="n">
        <v>45323</v>
      </c>
      <c r="B1428" s="31" t="s">
        <v>7</v>
      </c>
      <c r="C1428" s="32"/>
      <c r="D1428" s="32"/>
      <c r="E1428" s="19" t="n">
        <f aca="false">+F1428*0.03</f>
        <v>0</v>
      </c>
      <c r="F1428" s="33" t="n">
        <v>0</v>
      </c>
      <c r="G1428" s="62"/>
      <c r="H1428" s="35" t="n">
        <v>0</v>
      </c>
      <c r="I1428" s="34" t="n">
        <f aca="false">+IF(E1428=0,0,E1428*0.03)</f>
        <v>0</v>
      </c>
    </row>
    <row r="1429" customFormat="false" ht="15.75" hidden="false" customHeight="true" outlineLevel="0" collapsed="false">
      <c r="A1429" s="30" t="n">
        <v>45323</v>
      </c>
      <c r="B1429" s="31" t="s">
        <v>7</v>
      </c>
      <c r="C1429" s="32"/>
      <c r="D1429" s="32"/>
      <c r="E1429" s="19" t="n">
        <f aca="false">+F1429*0.03</f>
        <v>0</v>
      </c>
      <c r="F1429" s="33" t="n">
        <v>0</v>
      </c>
      <c r="G1429" s="62"/>
      <c r="H1429" s="35" t="n">
        <v>0</v>
      </c>
      <c r="I1429" s="34" t="n">
        <f aca="false">+IF(E1429=0,0,E1429*0.03)</f>
        <v>0</v>
      </c>
    </row>
    <row r="1430" customFormat="false" ht="15.75" hidden="false" customHeight="true" outlineLevel="0" collapsed="false">
      <c r="A1430" s="30" t="n">
        <v>45323</v>
      </c>
      <c r="B1430" s="31" t="s">
        <v>7</v>
      </c>
      <c r="C1430" s="32"/>
      <c r="D1430" s="32"/>
      <c r="E1430" s="19" t="n">
        <f aca="false">+F1430*0.03</f>
        <v>0</v>
      </c>
      <c r="F1430" s="33" t="n">
        <v>0</v>
      </c>
      <c r="G1430" s="62"/>
      <c r="H1430" s="35" t="n">
        <v>0</v>
      </c>
      <c r="I1430" s="34" t="n">
        <f aca="false">+IF(E1430=0,0,E1430*0.03)</f>
        <v>0</v>
      </c>
    </row>
    <row r="1431" customFormat="false" ht="15.75" hidden="false" customHeight="true" outlineLevel="0" collapsed="false">
      <c r="A1431" s="30" t="n">
        <v>45323</v>
      </c>
      <c r="B1431" s="31" t="s">
        <v>7</v>
      </c>
      <c r="C1431" s="32"/>
      <c r="D1431" s="32"/>
      <c r="E1431" s="19" t="n">
        <f aca="false">+F1431*0.03</f>
        <v>0</v>
      </c>
      <c r="F1431" s="33" t="n">
        <v>0</v>
      </c>
      <c r="G1431" s="62"/>
      <c r="H1431" s="35" t="n">
        <v>0</v>
      </c>
      <c r="I1431" s="34" t="n">
        <f aca="false">+IF(E1431=0,0,E1431*0.03)</f>
        <v>0</v>
      </c>
    </row>
    <row r="1432" customFormat="false" ht="15.75" hidden="false" customHeight="true" outlineLevel="0" collapsed="false">
      <c r="A1432" s="30" t="n">
        <v>45323</v>
      </c>
      <c r="B1432" s="31" t="s">
        <v>7</v>
      </c>
      <c r="C1432" s="32"/>
      <c r="D1432" s="32"/>
      <c r="E1432" s="19" t="n">
        <f aca="false">+F1432*0.03</f>
        <v>0</v>
      </c>
      <c r="F1432" s="33" t="n">
        <v>0</v>
      </c>
      <c r="G1432" s="62"/>
      <c r="H1432" s="35" t="n">
        <v>0</v>
      </c>
      <c r="I1432" s="34" t="n">
        <f aca="false">+IF(E1432=0,0,E1432*0.03)</f>
        <v>0</v>
      </c>
    </row>
    <row r="1433" customFormat="false" ht="15.75" hidden="false" customHeight="true" outlineLevel="0" collapsed="false">
      <c r="A1433" s="30" t="n">
        <v>45323</v>
      </c>
      <c r="B1433" s="31" t="s">
        <v>7</v>
      </c>
      <c r="C1433" s="32"/>
      <c r="D1433" s="32"/>
      <c r="E1433" s="19" t="n">
        <f aca="false">+F1433*0.03</f>
        <v>0</v>
      </c>
      <c r="F1433" s="33" t="n">
        <v>0</v>
      </c>
      <c r="G1433" s="62"/>
      <c r="H1433" s="35" t="n">
        <v>0</v>
      </c>
      <c r="I1433" s="34" t="n">
        <f aca="false">+IF(E1433=0,0,E1433*0.03)</f>
        <v>0</v>
      </c>
    </row>
    <row r="1434" customFormat="false" ht="15.75" hidden="false" customHeight="true" outlineLevel="0" collapsed="false">
      <c r="A1434" s="30" t="n">
        <v>45323</v>
      </c>
      <c r="B1434" s="31" t="s">
        <v>7</v>
      </c>
      <c r="C1434" s="32"/>
      <c r="D1434" s="32"/>
      <c r="E1434" s="19" t="n">
        <f aca="false">+F1434*0.03</f>
        <v>0</v>
      </c>
      <c r="F1434" s="33" t="n">
        <v>0</v>
      </c>
      <c r="G1434" s="62"/>
      <c r="H1434" s="35" t="n">
        <v>0</v>
      </c>
      <c r="I1434" s="34" t="n">
        <f aca="false">+IF(E1434=0,0,E1434*0.03)</f>
        <v>0</v>
      </c>
    </row>
    <row r="1435" customFormat="false" ht="15.75" hidden="false" customHeight="true" outlineLevel="0" collapsed="false">
      <c r="A1435" s="30" t="n">
        <v>45323</v>
      </c>
      <c r="B1435" s="31" t="s">
        <v>7</v>
      </c>
      <c r="C1435" s="32"/>
      <c r="D1435" s="32"/>
      <c r="E1435" s="19" t="n">
        <f aca="false">+F1435*0.03</f>
        <v>0</v>
      </c>
      <c r="F1435" s="33" t="n">
        <v>0</v>
      </c>
      <c r="G1435" s="62"/>
      <c r="H1435" s="35" t="n">
        <v>0</v>
      </c>
      <c r="I1435" s="34" t="n">
        <f aca="false">+IF(E1435=0,0,E1435*0.03)</f>
        <v>0</v>
      </c>
    </row>
    <row r="1436" customFormat="false" ht="15.75" hidden="false" customHeight="true" outlineLevel="0" collapsed="false">
      <c r="A1436" s="30" t="n">
        <v>45323</v>
      </c>
      <c r="B1436" s="31" t="s">
        <v>7</v>
      </c>
      <c r="C1436" s="32"/>
      <c r="D1436" s="32"/>
      <c r="E1436" s="19" t="n">
        <f aca="false">+F1436*0.03</f>
        <v>0</v>
      </c>
      <c r="F1436" s="33" t="n">
        <v>0</v>
      </c>
      <c r="G1436" s="62"/>
      <c r="H1436" s="35" t="n">
        <v>0</v>
      </c>
      <c r="I1436" s="34" t="n">
        <f aca="false">+IF(E1436=0,0,E1436*0.03)</f>
        <v>0</v>
      </c>
    </row>
    <row r="1437" customFormat="false" ht="15.75" hidden="false" customHeight="true" outlineLevel="0" collapsed="false">
      <c r="A1437" s="30" t="n">
        <v>45323</v>
      </c>
      <c r="B1437" s="31" t="s">
        <v>7</v>
      </c>
      <c r="C1437" s="32"/>
      <c r="D1437" s="32"/>
      <c r="E1437" s="19" t="n">
        <f aca="false">+F1437*0.03</f>
        <v>0</v>
      </c>
      <c r="F1437" s="33" t="n">
        <v>0</v>
      </c>
      <c r="G1437" s="62"/>
      <c r="H1437" s="35" t="n">
        <v>0</v>
      </c>
      <c r="I1437" s="34" t="n">
        <f aca="false">+IF(E1437=0,0,E1437*0.03)</f>
        <v>0</v>
      </c>
    </row>
    <row r="1438" customFormat="false" ht="15.75" hidden="false" customHeight="true" outlineLevel="0" collapsed="false">
      <c r="A1438" s="30" t="n">
        <v>45323</v>
      </c>
      <c r="B1438" s="31" t="s">
        <v>7</v>
      </c>
      <c r="C1438" s="32"/>
      <c r="D1438" s="32"/>
      <c r="E1438" s="19" t="n">
        <f aca="false">+F1438*0.03</f>
        <v>0</v>
      </c>
      <c r="F1438" s="33" t="n">
        <v>0</v>
      </c>
      <c r="G1438" s="62"/>
      <c r="H1438" s="35" t="n">
        <v>0</v>
      </c>
      <c r="I1438" s="34" t="n">
        <f aca="false">+IF(E1438=0,0,E1438*0.03)</f>
        <v>0</v>
      </c>
    </row>
    <row r="1439" customFormat="false" ht="15.75" hidden="false" customHeight="true" outlineLevel="0" collapsed="false">
      <c r="A1439" s="30" t="n">
        <v>45323</v>
      </c>
      <c r="B1439" s="31" t="s">
        <v>7</v>
      </c>
      <c r="C1439" s="32"/>
      <c r="D1439" s="32"/>
      <c r="E1439" s="19" t="n">
        <f aca="false">+F1439*0.03</f>
        <v>0</v>
      </c>
      <c r="F1439" s="33" t="n">
        <v>0</v>
      </c>
      <c r="G1439" s="62"/>
      <c r="H1439" s="35" t="n">
        <v>0</v>
      </c>
      <c r="I1439" s="34" t="n">
        <f aca="false">+IF(E1439=0,0,E1439*0.03)</f>
        <v>0</v>
      </c>
    </row>
    <row r="1440" customFormat="false" ht="15.75" hidden="false" customHeight="true" outlineLevel="0" collapsed="false">
      <c r="A1440" s="30" t="n">
        <v>45323</v>
      </c>
      <c r="B1440" s="31" t="s">
        <v>7</v>
      </c>
      <c r="C1440" s="32"/>
      <c r="D1440" s="32"/>
      <c r="E1440" s="19" t="n">
        <f aca="false">+F1440*0.03</f>
        <v>0</v>
      </c>
      <c r="F1440" s="33" t="n">
        <v>0</v>
      </c>
      <c r="G1440" s="62"/>
      <c r="H1440" s="35" t="n">
        <v>0</v>
      </c>
      <c r="I1440" s="34" t="n">
        <f aca="false">+IF(E1440=0,0,E1440*0.03)</f>
        <v>0</v>
      </c>
    </row>
    <row r="1441" customFormat="false" ht="15.75" hidden="false" customHeight="true" outlineLevel="0" collapsed="false">
      <c r="A1441" s="30" t="n">
        <v>45323</v>
      </c>
      <c r="B1441" s="31" t="s">
        <v>7</v>
      </c>
      <c r="C1441" s="32"/>
      <c r="D1441" s="32"/>
      <c r="E1441" s="19" t="n">
        <f aca="false">+F1441*0.03</f>
        <v>0</v>
      </c>
      <c r="F1441" s="33" t="n">
        <v>0</v>
      </c>
      <c r="G1441" s="62"/>
      <c r="H1441" s="35" t="n">
        <v>0</v>
      </c>
      <c r="I1441" s="34" t="n">
        <f aca="false">+IF(E1441=0,0,E1441*0.03)</f>
        <v>0</v>
      </c>
    </row>
    <row r="1442" customFormat="false" ht="15.75" hidden="false" customHeight="true" outlineLevel="0" collapsed="false">
      <c r="A1442" s="30" t="n">
        <v>45323</v>
      </c>
      <c r="B1442" s="31" t="s">
        <v>7</v>
      </c>
      <c r="C1442" s="32"/>
      <c r="D1442" s="32"/>
      <c r="E1442" s="19" t="n">
        <f aca="false">+F1442*0.03</f>
        <v>0</v>
      </c>
      <c r="F1442" s="33" t="n">
        <v>0</v>
      </c>
      <c r="G1442" s="62"/>
      <c r="H1442" s="35" t="n">
        <v>0</v>
      </c>
      <c r="I1442" s="34" t="n">
        <f aca="false">+IF(E1442=0,0,E1442*0.03)</f>
        <v>0</v>
      </c>
    </row>
    <row r="1443" customFormat="false" ht="15.75" hidden="false" customHeight="true" outlineLevel="0" collapsed="false">
      <c r="A1443" s="30" t="n">
        <v>45323</v>
      </c>
      <c r="B1443" s="31" t="s">
        <v>7</v>
      </c>
      <c r="C1443" s="32"/>
      <c r="D1443" s="32"/>
      <c r="E1443" s="19" t="n">
        <f aca="false">+F1443*0.03</f>
        <v>0</v>
      </c>
      <c r="F1443" s="33" t="n">
        <v>0</v>
      </c>
      <c r="G1443" s="62"/>
      <c r="H1443" s="35" t="n">
        <v>0</v>
      </c>
      <c r="I1443" s="34" t="n">
        <f aca="false">+IF(E1443=0,0,E1443*0.03)</f>
        <v>0</v>
      </c>
    </row>
    <row r="1444" customFormat="false" ht="15.75" hidden="false" customHeight="true" outlineLevel="0" collapsed="false">
      <c r="A1444" s="30" t="n">
        <v>45323</v>
      </c>
      <c r="B1444" s="31" t="s">
        <v>7</v>
      </c>
      <c r="C1444" s="32"/>
      <c r="D1444" s="32"/>
      <c r="E1444" s="19" t="n">
        <f aca="false">+F1444*0.03</f>
        <v>0</v>
      </c>
      <c r="F1444" s="33" t="n">
        <v>0</v>
      </c>
      <c r="G1444" s="62"/>
      <c r="H1444" s="35" t="n">
        <v>0</v>
      </c>
      <c r="I1444" s="34" t="n">
        <f aca="false">+IF(E1444=0,0,E1444*0.03)</f>
        <v>0</v>
      </c>
    </row>
    <row r="1445" customFormat="false" ht="15.75" hidden="false" customHeight="true" outlineLevel="0" collapsed="false">
      <c r="A1445" s="30" t="n">
        <v>45323</v>
      </c>
      <c r="B1445" s="31" t="s">
        <v>7</v>
      </c>
      <c r="C1445" s="32"/>
      <c r="D1445" s="32"/>
      <c r="E1445" s="19" t="n">
        <f aca="false">+F1445*0.03</f>
        <v>0</v>
      </c>
      <c r="F1445" s="33" t="n">
        <v>0</v>
      </c>
      <c r="G1445" s="62"/>
      <c r="H1445" s="35" t="n">
        <v>0</v>
      </c>
      <c r="I1445" s="34" t="n">
        <f aca="false">+IF(E1445=0,0,E1445*0.03)</f>
        <v>0</v>
      </c>
    </row>
    <row r="1446" customFormat="false" ht="15.75" hidden="false" customHeight="true" outlineLevel="0" collapsed="false">
      <c r="A1446" s="30" t="n">
        <v>45323</v>
      </c>
      <c r="B1446" s="31" t="s">
        <v>7</v>
      </c>
      <c r="C1446" s="32"/>
      <c r="D1446" s="32"/>
      <c r="E1446" s="19" t="n">
        <f aca="false">+F1446*0.03</f>
        <v>0</v>
      </c>
      <c r="F1446" s="33" t="n">
        <v>0</v>
      </c>
      <c r="G1446" s="62"/>
      <c r="H1446" s="35" t="n">
        <v>0</v>
      </c>
      <c r="I1446" s="34" t="n">
        <f aca="false">+IF(E1446=0,0,E1446*0.03)</f>
        <v>0</v>
      </c>
    </row>
    <row r="1447" customFormat="false" ht="15.75" hidden="false" customHeight="true" outlineLevel="0" collapsed="false">
      <c r="A1447" s="30" t="n">
        <v>45323</v>
      </c>
      <c r="B1447" s="31" t="s">
        <v>7</v>
      </c>
      <c r="C1447" s="32"/>
      <c r="D1447" s="32"/>
      <c r="E1447" s="19" t="n">
        <f aca="false">+F1447*0.03</f>
        <v>0</v>
      </c>
      <c r="F1447" s="33" t="n">
        <v>0</v>
      </c>
      <c r="G1447" s="62"/>
      <c r="H1447" s="35" t="n">
        <v>0</v>
      </c>
      <c r="I1447" s="34" t="n">
        <f aca="false">+IF(E1447=0,0,E1447*0.03)</f>
        <v>0</v>
      </c>
    </row>
    <row r="1448" customFormat="false" ht="15.75" hidden="false" customHeight="true" outlineLevel="0" collapsed="false">
      <c r="A1448" s="30" t="n">
        <v>45323</v>
      </c>
      <c r="B1448" s="31" t="s">
        <v>7</v>
      </c>
      <c r="C1448" s="32"/>
      <c r="D1448" s="32"/>
      <c r="E1448" s="19" t="n">
        <f aca="false">+F1448*0.03</f>
        <v>0</v>
      </c>
      <c r="F1448" s="33" t="n">
        <v>0</v>
      </c>
      <c r="G1448" s="62"/>
      <c r="H1448" s="35" t="n">
        <v>0</v>
      </c>
      <c r="I1448" s="34" t="n">
        <f aca="false">+IF(E1448=0,0,E1448*0.03)</f>
        <v>0</v>
      </c>
    </row>
    <row r="1449" customFormat="false" ht="15.75" hidden="false" customHeight="true" outlineLevel="0" collapsed="false">
      <c r="A1449" s="30" t="n">
        <v>45323</v>
      </c>
      <c r="B1449" s="31" t="s">
        <v>7</v>
      </c>
      <c r="C1449" s="32"/>
      <c r="D1449" s="32"/>
      <c r="E1449" s="19" t="n">
        <f aca="false">+F1449*0.03</f>
        <v>0</v>
      </c>
      <c r="F1449" s="33" t="n">
        <v>0</v>
      </c>
      <c r="G1449" s="62"/>
      <c r="H1449" s="35" t="n">
        <v>0</v>
      </c>
      <c r="I1449" s="34" t="n">
        <f aca="false">+IF(E1449=0,0,E1449*0.03)</f>
        <v>0</v>
      </c>
    </row>
    <row r="1450" customFormat="false" ht="15.75" hidden="false" customHeight="true" outlineLevel="0" collapsed="false">
      <c r="A1450" s="30" t="n">
        <v>45323</v>
      </c>
      <c r="B1450" s="31" t="s">
        <v>7</v>
      </c>
      <c r="C1450" s="32"/>
      <c r="D1450" s="32"/>
      <c r="E1450" s="19" t="n">
        <f aca="false">+F1450*0.03</f>
        <v>0</v>
      </c>
      <c r="F1450" s="33" t="n">
        <v>0</v>
      </c>
      <c r="G1450" s="62"/>
      <c r="H1450" s="35" t="n">
        <v>0</v>
      </c>
      <c r="I1450" s="34" t="n">
        <f aca="false">+IF(E1450=0,0,E1450*0.03)</f>
        <v>0</v>
      </c>
    </row>
    <row r="1451" customFormat="false" ht="15.75" hidden="false" customHeight="true" outlineLevel="0" collapsed="false">
      <c r="A1451" s="30" t="n">
        <v>45323</v>
      </c>
      <c r="B1451" s="31" t="s">
        <v>7</v>
      </c>
      <c r="C1451" s="32"/>
      <c r="D1451" s="32"/>
      <c r="E1451" s="19" t="n">
        <f aca="false">+F1451*0.03</f>
        <v>0</v>
      </c>
      <c r="F1451" s="33" t="n">
        <v>0</v>
      </c>
      <c r="G1451" s="62"/>
      <c r="H1451" s="35" t="n">
        <v>0</v>
      </c>
      <c r="I1451" s="34" t="n">
        <f aca="false">+IF(E1451=0,0,E1451*0.03)</f>
        <v>0</v>
      </c>
    </row>
    <row r="1452" customFormat="false" ht="15.75" hidden="false" customHeight="true" outlineLevel="0" collapsed="false">
      <c r="A1452" s="30" t="n">
        <v>45323</v>
      </c>
      <c r="B1452" s="31" t="s">
        <v>7</v>
      </c>
      <c r="C1452" s="32"/>
      <c r="D1452" s="32"/>
      <c r="E1452" s="19" t="n">
        <f aca="false">+F1452*0.03</f>
        <v>0</v>
      </c>
      <c r="F1452" s="33" t="n">
        <v>0</v>
      </c>
      <c r="G1452" s="62"/>
      <c r="H1452" s="35" t="n">
        <v>0</v>
      </c>
      <c r="I1452" s="34" t="n">
        <f aca="false">+IF(E1452=0,0,E1452*0.03)</f>
        <v>0</v>
      </c>
    </row>
    <row r="1453" customFormat="false" ht="15.75" hidden="false" customHeight="true" outlineLevel="0" collapsed="false">
      <c r="A1453" s="30" t="n">
        <v>45323</v>
      </c>
      <c r="B1453" s="31" t="s">
        <v>7</v>
      </c>
      <c r="C1453" s="32"/>
      <c r="D1453" s="32"/>
      <c r="E1453" s="19" t="n">
        <f aca="false">+F1453*0.03</f>
        <v>0</v>
      </c>
      <c r="F1453" s="33" t="n">
        <v>0</v>
      </c>
      <c r="G1453" s="62"/>
      <c r="H1453" s="35" t="n">
        <v>0</v>
      </c>
      <c r="I1453" s="34" t="n">
        <f aca="false">+IF(E1453=0,0,E1453*0.03)</f>
        <v>0</v>
      </c>
    </row>
    <row r="1454" customFormat="false" ht="15.75" hidden="false" customHeight="true" outlineLevel="0" collapsed="false">
      <c r="A1454" s="30" t="n">
        <v>45323</v>
      </c>
      <c r="B1454" s="31" t="s">
        <v>7</v>
      </c>
      <c r="C1454" s="32"/>
      <c r="D1454" s="32"/>
      <c r="E1454" s="19" t="n">
        <f aca="false">+F1454*0.03</f>
        <v>0</v>
      </c>
      <c r="F1454" s="33" t="n">
        <v>0</v>
      </c>
      <c r="G1454" s="62"/>
      <c r="H1454" s="35" t="n">
        <v>0</v>
      </c>
      <c r="I1454" s="34" t="n">
        <f aca="false">+IF(E1454=0,0,E1454*0.03)</f>
        <v>0</v>
      </c>
    </row>
    <row r="1455" customFormat="false" ht="15.75" hidden="false" customHeight="true" outlineLevel="0" collapsed="false">
      <c r="A1455" s="30" t="n">
        <v>45323</v>
      </c>
      <c r="B1455" s="31" t="s">
        <v>7</v>
      </c>
      <c r="C1455" s="32"/>
      <c r="D1455" s="32"/>
      <c r="E1455" s="19" t="n">
        <f aca="false">+F1455*0.03</f>
        <v>0</v>
      </c>
      <c r="F1455" s="33" t="n">
        <v>0</v>
      </c>
      <c r="G1455" s="62"/>
      <c r="H1455" s="35" t="n">
        <v>0</v>
      </c>
      <c r="I1455" s="34" t="n">
        <f aca="false">+IF(E1455=0,0,E1455*0.03)</f>
        <v>0</v>
      </c>
    </row>
    <row r="1456" customFormat="false" ht="15.75" hidden="false" customHeight="true" outlineLevel="0" collapsed="false">
      <c r="A1456" s="30" t="n">
        <v>45323</v>
      </c>
      <c r="B1456" s="31" t="s">
        <v>7</v>
      </c>
      <c r="C1456" s="32"/>
      <c r="D1456" s="32"/>
      <c r="E1456" s="19" t="n">
        <f aca="false">+F1456*0.03</f>
        <v>0</v>
      </c>
      <c r="F1456" s="33" t="n">
        <v>0</v>
      </c>
      <c r="G1456" s="62"/>
      <c r="H1456" s="35" t="n">
        <v>0</v>
      </c>
      <c r="I1456" s="34" t="n">
        <f aca="false">+IF(E1456=0,0,E1456*0.03)</f>
        <v>0</v>
      </c>
    </row>
    <row r="1457" customFormat="false" ht="15.75" hidden="false" customHeight="true" outlineLevel="0" collapsed="false">
      <c r="A1457" s="30" t="n">
        <v>45323</v>
      </c>
      <c r="B1457" s="31" t="s">
        <v>7</v>
      </c>
      <c r="C1457" s="32"/>
      <c r="D1457" s="32"/>
      <c r="E1457" s="19" t="n">
        <f aca="false">+F1457*0.03</f>
        <v>0</v>
      </c>
      <c r="F1457" s="33" t="n">
        <v>0</v>
      </c>
      <c r="G1457" s="62"/>
      <c r="H1457" s="35" t="n">
        <v>0</v>
      </c>
      <c r="I1457" s="34" t="n">
        <f aca="false">+IF(E1457=0,0,E1457*0.03)</f>
        <v>0</v>
      </c>
    </row>
    <row r="1458" customFormat="false" ht="15.75" hidden="false" customHeight="true" outlineLevel="0" collapsed="false">
      <c r="A1458" s="30" t="n">
        <v>45323</v>
      </c>
      <c r="B1458" s="31" t="s">
        <v>7</v>
      </c>
      <c r="C1458" s="32"/>
      <c r="D1458" s="32"/>
      <c r="E1458" s="19" t="n">
        <f aca="false">+F1458*0.03</f>
        <v>0</v>
      </c>
      <c r="F1458" s="33" t="n">
        <v>0</v>
      </c>
      <c r="G1458" s="62"/>
      <c r="H1458" s="35" t="n">
        <v>0</v>
      </c>
      <c r="I1458" s="34" t="n">
        <f aca="false">+IF(E1458=0,0,E1458*0.03)</f>
        <v>0</v>
      </c>
    </row>
    <row r="1459" customFormat="false" ht="15.75" hidden="false" customHeight="true" outlineLevel="0" collapsed="false">
      <c r="A1459" s="30" t="n">
        <v>45323</v>
      </c>
      <c r="B1459" s="31" t="s">
        <v>7</v>
      </c>
      <c r="C1459" s="32"/>
      <c r="D1459" s="32"/>
      <c r="E1459" s="19" t="n">
        <f aca="false">+F1459*0.03</f>
        <v>0</v>
      </c>
      <c r="F1459" s="33" t="n">
        <v>0</v>
      </c>
      <c r="G1459" s="62"/>
      <c r="H1459" s="35" t="n">
        <v>0</v>
      </c>
      <c r="I1459" s="34" t="n">
        <f aca="false">+IF(E1459=0,0,E1459*0.03)</f>
        <v>0</v>
      </c>
    </row>
    <row r="1460" customFormat="false" ht="15.75" hidden="false" customHeight="true" outlineLevel="0" collapsed="false">
      <c r="A1460" s="30" t="n">
        <v>45323</v>
      </c>
      <c r="B1460" s="31" t="s">
        <v>7</v>
      </c>
      <c r="C1460" s="32"/>
      <c r="D1460" s="32"/>
      <c r="E1460" s="19" t="n">
        <f aca="false">+F1460*0.03</f>
        <v>0</v>
      </c>
      <c r="F1460" s="33" t="n">
        <v>0</v>
      </c>
      <c r="G1460" s="62"/>
      <c r="H1460" s="35" t="n">
        <v>0</v>
      </c>
      <c r="I1460" s="34" t="n">
        <f aca="false">+IF(E1460=0,0,E1460*0.03)</f>
        <v>0</v>
      </c>
    </row>
    <row r="1461" customFormat="false" ht="15.75" hidden="false" customHeight="true" outlineLevel="0" collapsed="false">
      <c r="A1461" s="30" t="n">
        <v>45323</v>
      </c>
      <c r="B1461" s="31" t="s">
        <v>7</v>
      </c>
      <c r="C1461" s="32"/>
      <c r="D1461" s="32"/>
      <c r="E1461" s="19" t="n">
        <f aca="false">+F1461*0.03</f>
        <v>0</v>
      </c>
      <c r="F1461" s="33" t="n">
        <v>0</v>
      </c>
      <c r="G1461" s="62"/>
      <c r="H1461" s="35" t="n">
        <v>0</v>
      </c>
      <c r="I1461" s="34" t="n">
        <f aca="false">+IF(E1461=0,0,E1461*0.03)</f>
        <v>0</v>
      </c>
    </row>
    <row r="1462" customFormat="false" ht="15.75" hidden="false" customHeight="true" outlineLevel="0" collapsed="false">
      <c r="A1462" s="30" t="n">
        <v>45323</v>
      </c>
      <c r="B1462" s="31" t="s">
        <v>7</v>
      </c>
      <c r="C1462" s="32"/>
      <c r="D1462" s="32"/>
      <c r="E1462" s="19" t="n">
        <f aca="false">+F1462*0.03</f>
        <v>0</v>
      </c>
      <c r="F1462" s="33" t="n">
        <v>0</v>
      </c>
      <c r="G1462" s="62"/>
      <c r="H1462" s="35" t="n">
        <v>0</v>
      </c>
      <c r="I1462" s="34" t="n">
        <f aca="false">+IF(E1462=0,0,E1462*0.03)</f>
        <v>0</v>
      </c>
    </row>
    <row r="1463" customFormat="false" ht="15.75" hidden="false" customHeight="true" outlineLevel="0" collapsed="false">
      <c r="A1463" s="30" t="n">
        <v>45323</v>
      </c>
      <c r="B1463" s="31" t="s">
        <v>7</v>
      </c>
      <c r="C1463" s="32"/>
      <c r="D1463" s="32"/>
      <c r="E1463" s="19" t="n">
        <f aca="false">+F1463*0.03</f>
        <v>0</v>
      </c>
      <c r="F1463" s="33" t="n">
        <v>0</v>
      </c>
      <c r="G1463" s="62"/>
      <c r="H1463" s="35" t="n">
        <v>0</v>
      </c>
      <c r="I1463" s="34" t="n">
        <f aca="false">+IF(E1463=0,0,E1463*0.03)</f>
        <v>0</v>
      </c>
    </row>
    <row r="1464" customFormat="false" ht="15.75" hidden="false" customHeight="true" outlineLevel="0" collapsed="false">
      <c r="A1464" s="30" t="n">
        <v>45323</v>
      </c>
      <c r="B1464" s="31" t="s">
        <v>7</v>
      </c>
      <c r="C1464" s="32"/>
      <c r="D1464" s="32"/>
      <c r="E1464" s="19" t="n">
        <f aca="false">+F1464*0.03</f>
        <v>0</v>
      </c>
      <c r="F1464" s="33" t="n">
        <v>0</v>
      </c>
      <c r="G1464" s="62"/>
      <c r="H1464" s="35" t="n">
        <v>0</v>
      </c>
      <c r="I1464" s="34" t="n">
        <f aca="false">+IF(E1464=0,0,E1464*0.03)</f>
        <v>0</v>
      </c>
    </row>
    <row r="1465" customFormat="false" ht="15.75" hidden="false" customHeight="true" outlineLevel="0" collapsed="false">
      <c r="A1465" s="30" t="n">
        <v>45323</v>
      </c>
      <c r="B1465" s="31" t="s">
        <v>7</v>
      </c>
      <c r="C1465" s="32"/>
      <c r="D1465" s="32"/>
      <c r="E1465" s="19" t="n">
        <f aca="false">+F1465*0.03</f>
        <v>0</v>
      </c>
      <c r="F1465" s="33" t="n">
        <v>0</v>
      </c>
      <c r="G1465" s="62"/>
      <c r="H1465" s="35" t="n">
        <v>0</v>
      </c>
      <c r="I1465" s="34" t="n">
        <f aca="false">+IF(E1465=0,0,E1465*0.03)</f>
        <v>0</v>
      </c>
    </row>
    <row r="1466" customFormat="false" ht="15.75" hidden="false" customHeight="true" outlineLevel="0" collapsed="false">
      <c r="A1466" s="30" t="n">
        <v>45323</v>
      </c>
      <c r="B1466" s="31" t="s">
        <v>7</v>
      </c>
      <c r="C1466" s="32"/>
      <c r="D1466" s="32"/>
      <c r="E1466" s="19" t="n">
        <f aca="false">+F1466*0.03</f>
        <v>0</v>
      </c>
      <c r="F1466" s="33" t="n">
        <v>0</v>
      </c>
      <c r="G1466" s="62"/>
      <c r="H1466" s="35" t="n">
        <v>0</v>
      </c>
      <c r="I1466" s="34" t="n">
        <f aca="false">+IF(E1466=0,0,E1466*0.03)</f>
        <v>0</v>
      </c>
    </row>
    <row r="1467" customFormat="false" ht="15.75" hidden="false" customHeight="true" outlineLevel="0" collapsed="false">
      <c r="A1467" s="30" t="n">
        <v>45323</v>
      </c>
      <c r="B1467" s="31" t="s">
        <v>7</v>
      </c>
      <c r="C1467" s="32"/>
      <c r="D1467" s="32"/>
      <c r="E1467" s="19" t="n">
        <f aca="false">+F1467*0.03</f>
        <v>0</v>
      </c>
      <c r="F1467" s="33" t="n">
        <v>0</v>
      </c>
      <c r="G1467" s="62"/>
      <c r="H1467" s="35" t="n">
        <v>0</v>
      </c>
      <c r="I1467" s="34" t="n">
        <f aca="false">+IF(E1467=0,0,E1467*0.03)</f>
        <v>0</v>
      </c>
    </row>
    <row r="1468" customFormat="false" ht="15.75" hidden="false" customHeight="true" outlineLevel="0" collapsed="false">
      <c r="A1468" s="30" t="n">
        <v>45323</v>
      </c>
      <c r="B1468" s="31" t="s">
        <v>7</v>
      </c>
      <c r="C1468" s="32"/>
      <c r="D1468" s="32"/>
      <c r="E1468" s="19" t="n">
        <f aca="false">+F1468*0.03</f>
        <v>0</v>
      </c>
      <c r="F1468" s="33" t="n">
        <v>0</v>
      </c>
      <c r="G1468" s="62"/>
      <c r="H1468" s="35" t="n">
        <v>0</v>
      </c>
      <c r="I1468" s="34" t="n">
        <f aca="false">+IF(E1468=0,0,E1468*0.03)</f>
        <v>0</v>
      </c>
    </row>
    <row r="1469" customFormat="false" ht="15.75" hidden="false" customHeight="true" outlineLevel="0" collapsed="false">
      <c r="A1469" s="30" t="n">
        <v>45323</v>
      </c>
      <c r="B1469" s="31" t="s">
        <v>7</v>
      </c>
      <c r="C1469" s="32"/>
      <c r="D1469" s="32"/>
      <c r="E1469" s="19" t="n">
        <f aca="false">+F1469*0.03</f>
        <v>0</v>
      </c>
      <c r="F1469" s="33" t="n">
        <v>0</v>
      </c>
      <c r="G1469" s="62"/>
      <c r="H1469" s="35" t="n">
        <v>0</v>
      </c>
      <c r="I1469" s="34" t="n">
        <f aca="false">+IF(E1469=0,0,E1469*0.03)</f>
        <v>0</v>
      </c>
    </row>
    <row r="1470" customFormat="false" ht="15.75" hidden="false" customHeight="true" outlineLevel="0" collapsed="false">
      <c r="A1470" s="30" t="n">
        <v>45323</v>
      </c>
      <c r="B1470" s="31" t="s">
        <v>7</v>
      </c>
      <c r="C1470" s="32"/>
      <c r="D1470" s="32"/>
      <c r="E1470" s="19" t="n">
        <f aca="false">+F1470*0.03</f>
        <v>0</v>
      </c>
      <c r="F1470" s="33" t="n">
        <v>0</v>
      </c>
      <c r="G1470" s="62"/>
      <c r="H1470" s="35" t="n">
        <v>0</v>
      </c>
      <c r="I1470" s="34" t="n">
        <f aca="false">+IF(E1470=0,0,E1470*0.03)</f>
        <v>0</v>
      </c>
    </row>
    <row r="1471" customFormat="false" ht="15.75" hidden="false" customHeight="true" outlineLevel="0" collapsed="false">
      <c r="A1471" s="30" t="n">
        <v>45323</v>
      </c>
      <c r="B1471" s="31" t="s">
        <v>7</v>
      </c>
      <c r="C1471" s="32"/>
      <c r="D1471" s="32"/>
      <c r="E1471" s="19" t="n">
        <f aca="false">+F1471*0.03</f>
        <v>0</v>
      </c>
      <c r="F1471" s="33" t="n">
        <v>0</v>
      </c>
      <c r="G1471" s="62"/>
      <c r="H1471" s="35" t="n">
        <v>0</v>
      </c>
      <c r="I1471" s="34" t="n">
        <f aca="false">+IF(E1471=0,0,E1471*0.03)</f>
        <v>0</v>
      </c>
    </row>
    <row r="1472" customFormat="false" ht="15.75" hidden="false" customHeight="true" outlineLevel="0" collapsed="false">
      <c r="A1472" s="30" t="n">
        <v>45323</v>
      </c>
      <c r="B1472" s="31" t="s">
        <v>7</v>
      </c>
      <c r="C1472" s="32"/>
      <c r="D1472" s="32"/>
      <c r="E1472" s="19" t="n">
        <f aca="false">+F1472*0.03</f>
        <v>0</v>
      </c>
      <c r="F1472" s="33" t="n">
        <v>0</v>
      </c>
      <c r="G1472" s="62"/>
      <c r="H1472" s="35" t="n">
        <v>0</v>
      </c>
      <c r="I1472" s="34" t="n">
        <f aca="false">+IF(E1472=0,0,E1472*0.03)</f>
        <v>0</v>
      </c>
    </row>
    <row r="1473" customFormat="false" ht="15.75" hidden="false" customHeight="true" outlineLevel="0" collapsed="false">
      <c r="A1473" s="30" t="n">
        <v>45323</v>
      </c>
      <c r="B1473" s="31" t="s">
        <v>7</v>
      </c>
      <c r="C1473" s="32"/>
      <c r="D1473" s="32"/>
      <c r="E1473" s="19" t="n">
        <f aca="false">+F1473*0.03</f>
        <v>0</v>
      </c>
      <c r="F1473" s="33" t="n">
        <v>0</v>
      </c>
      <c r="G1473" s="62"/>
      <c r="H1473" s="35" t="n">
        <v>0</v>
      </c>
      <c r="I1473" s="34" t="n">
        <f aca="false">+IF(E1473=0,0,E1473*0.03)</f>
        <v>0</v>
      </c>
    </row>
    <row r="1474" customFormat="false" ht="15.75" hidden="false" customHeight="true" outlineLevel="0" collapsed="false">
      <c r="A1474" s="30" t="n">
        <v>45323</v>
      </c>
      <c r="B1474" s="31" t="s">
        <v>7</v>
      </c>
      <c r="C1474" s="32"/>
      <c r="D1474" s="32"/>
      <c r="E1474" s="19" t="n">
        <f aca="false">+F1474*0.03</f>
        <v>0</v>
      </c>
      <c r="F1474" s="33" t="n">
        <v>0</v>
      </c>
      <c r="G1474" s="62"/>
      <c r="H1474" s="35" t="n">
        <v>0</v>
      </c>
      <c r="I1474" s="34" t="n">
        <f aca="false">+IF(E1474=0,0,E1474*0.03)</f>
        <v>0</v>
      </c>
    </row>
    <row r="1475" customFormat="false" ht="15.75" hidden="false" customHeight="true" outlineLevel="0" collapsed="false">
      <c r="A1475" s="30" t="n">
        <v>45323</v>
      </c>
      <c r="B1475" s="31" t="s">
        <v>7</v>
      </c>
      <c r="C1475" s="32"/>
      <c r="D1475" s="32"/>
      <c r="E1475" s="19" t="n">
        <f aca="false">+F1475*0.03</f>
        <v>0</v>
      </c>
      <c r="F1475" s="33" t="n">
        <v>0</v>
      </c>
      <c r="G1475" s="62"/>
      <c r="H1475" s="35" t="n">
        <v>0</v>
      </c>
      <c r="I1475" s="34" t="n">
        <f aca="false">+IF(E1475=0,0,E1475*0.03)</f>
        <v>0</v>
      </c>
    </row>
    <row r="1476" customFormat="false" ht="15.75" hidden="false" customHeight="true" outlineLevel="0" collapsed="false">
      <c r="A1476" s="30" t="n">
        <v>45323</v>
      </c>
      <c r="B1476" s="31" t="s">
        <v>7</v>
      </c>
      <c r="C1476" s="32"/>
      <c r="D1476" s="32"/>
      <c r="E1476" s="19" t="n">
        <f aca="false">+F1476*0.03</f>
        <v>0</v>
      </c>
      <c r="F1476" s="33" t="n">
        <v>0</v>
      </c>
      <c r="G1476" s="62"/>
      <c r="H1476" s="35" t="n">
        <v>0</v>
      </c>
      <c r="I1476" s="34" t="n">
        <f aca="false">+IF(E1476=0,0,E1476*0.03)</f>
        <v>0</v>
      </c>
    </row>
    <row r="1477" customFormat="false" ht="15.75" hidden="false" customHeight="true" outlineLevel="0" collapsed="false">
      <c r="A1477" s="30" t="n">
        <v>45323</v>
      </c>
      <c r="B1477" s="31" t="s">
        <v>7</v>
      </c>
      <c r="C1477" s="32"/>
      <c r="D1477" s="32"/>
      <c r="E1477" s="19" t="n">
        <f aca="false">+F1477*0.03</f>
        <v>0</v>
      </c>
      <c r="F1477" s="33" t="n">
        <v>0</v>
      </c>
      <c r="G1477" s="62"/>
      <c r="H1477" s="35" t="n">
        <v>0</v>
      </c>
      <c r="I1477" s="34" t="n">
        <f aca="false">+IF(E1477=0,0,E1477*0.03)</f>
        <v>0</v>
      </c>
    </row>
    <row r="1478" customFormat="false" ht="15.75" hidden="false" customHeight="true" outlineLevel="0" collapsed="false">
      <c r="A1478" s="30" t="n">
        <v>45323</v>
      </c>
      <c r="B1478" s="31" t="s">
        <v>7</v>
      </c>
      <c r="C1478" s="32"/>
      <c r="D1478" s="32"/>
      <c r="E1478" s="19" t="n">
        <f aca="false">+F1478*0.03</f>
        <v>0</v>
      </c>
      <c r="F1478" s="33" t="n">
        <v>0</v>
      </c>
      <c r="G1478" s="62"/>
      <c r="H1478" s="35" t="n">
        <v>0</v>
      </c>
      <c r="I1478" s="34" t="n">
        <f aca="false">+IF(E1478=0,0,E1478*0.03)</f>
        <v>0</v>
      </c>
    </row>
    <row r="1479" customFormat="false" ht="15.75" hidden="false" customHeight="true" outlineLevel="0" collapsed="false">
      <c r="A1479" s="30" t="n">
        <v>45323</v>
      </c>
      <c r="B1479" s="31" t="s">
        <v>7</v>
      </c>
      <c r="C1479" s="32"/>
      <c r="D1479" s="32"/>
      <c r="E1479" s="19" t="n">
        <f aca="false">+F1479*0.03</f>
        <v>0</v>
      </c>
      <c r="F1479" s="33" t="n">
        <v>0</v>
      </c>
      <c r="G1479" s="62"/>
      <c r="H1479" s="35" t="n">
        <v>0</v>
      </c>
      <c r="I1479" s="34" t="n">
        <f aca="false">+IF(E1479=0,0,E1479*0.03)</f>
        <v>0</v>
      </c>
    </row>
    <row r="1480" customFormat="false" ht="15.75" hidden="false" customHeight="true" outlineLevel="0" collapsed="false">
      <c r="A1480" s="30" t="n">
        <v>45323</v>
      </c>
      <c r="B1480" s="31" t="s">
        <v>7</v>
      </c>
      <c r="C1480" s="32"/>
      <c r="D1480" s="32"/>
      <c r="E1480" s="19" t="n">
        <f aca="false">+F1480*0.03</f>
        <v>0</v>
      </c>
      <c r="F1480" s="33" t="n">
        <v>0</v>
      </c>
      <c r="G1480" s="62"/>
      <c r="H1480" s="35" t="n">
        <v>0</v>
      </c>
      <c r="I1480" s="34" t="n">
        <f aca="false">+IF(E1480=0,0,E1480*0.03)</f>
        <v>0</v>
      </c>
    </row>
    <row r="1481" customFormat="false" ht="15.75" hidden="false" customHeight="true" outlineLevel="0" collapsed="false">
      <c r="A1481" s="30" t="n">
        <v>45323</v>
      </c>
      <c r="B1481" s="31" t="s">
        <v>7</v>
      </c>
      <c r="C1481" s="32"/>
      <c r="D1481" s="32"/>
      <c r="E1481" s="19" t="n">
        <f aca="false">+F1481*0.03</f>
        <v>0</v>
      </c>
      <c r="F1481" s="33" t="n">
        <v>0</v>
      </c>
      <c r="G1481" s="62"/>
      <c r="H1481" s="35" t="n">
        <v>0</v>
      </c>
      <c r="I1481" s="34" t="n">
        <f aca="false">+IF(E1481=0,0,E1481*0.03)</f>
        <v>0</v>
      </c>
    </row>
    <row r="1482" customFormat="false" ht="15.75" hidden="false" customHeight="true" outlineLevel="0" collapsed="false">
      <c r="A1482" s="30" t="n">
        <v>45323</v>
      </c>
      <c r="B1482" s="31" t="s">
        <v>7</v>
      </c>
      <c r="C1482" s="32"/>
      <c r="D1482" s="32"/>
      <c r="E1482" s="19" t="n">
        <f aca="false">+F1482*0.03</f>
        <v>0</v>
      </c>
      <c r="F1482" s="33" t="n">
        <v>0</v>
      </c>
      <c r="G1482" s="62"/>
      <c r="H1482" s="35" t="n">
        <v>0</v>
      </c>
      <c r="I1482" s="34" t="n">
        <f aca="false">+IF(E1482=0,0,E1482*0.03)</f>
        <v>0</v>
      </c>
    </row>
    <row r="1483" customFormat="false" ht="15.75" hidden="false" customHeight="true" outlineLevel="0" collapsed="false">
      <c r="A1483" s="30" t="n">
        <v>45323</v>
      </c>
      <c r="B1483" s="31" t="s">
        <v>7</v>
      </c>
      <c r="C1483" s="32"/>
      <c r="D1483" s="32"/>
      <c r="E1483" s="19" t="n">
        <f aca="false">+F1483*0.03</f>
        <v>0</v>
      </c>
      <c r="F1483" s="33" t="n">
        <v>0</v>
      </c>
      <c r="G1483" s="62"/>
      <c r="H1483" s="35" t="n">
        <v>0</v>
      </c>
      <c r="I1483" s="34" t="n">
        <f aca="false">+IF(E1483=0,0,E1483*0.03)</f>
        <v>0</v>
      </c>
    </row>
    <row r="1484" customFormat="false" ht="15.75" hidden="false" customHeight="true" outlineLevel="0" collapsed="false">
      <c r="A1484" s="30" t="n">
        <v>45323</v>
      </c>
      <c r="B1484" s="31" t="s">
        <v>7</v>
      </c>
      <c r="C1484" s="32"/>
      <c r="D1484" s="32"/>
      <c r="E1484" s="19" t="n">
        <f aca="false">+F1484*0.03</f>
        <v>0</v>
      </c>
      <c r="F1484" s="33" t="n">
        <v>0</v>
      </c>
      <c r="G1484" s="62"/>
      <c r="H1484" s="35" t="n">
        <v>0</v>
      </c>
      <c r="I1484" s="34" t="n">
        <f aca="false">+IF(E1484=0,0,E1484*0.03)</f>
        <v>0</v>
      </c>
    </row>
    <row r="1485" customFormat="false" ht="15.75" hidden="false" customHeight="true" outlineLevel="0" collapsed="false">
      <c r="A1485" s="30" t="n">
        <v>45323</v>
      </c>
      <c r="B1485" s="31" t="s">
        <v>7</v>
      </c>
      <c r="C1485" s="32"/>
      <c r="D1485" s="32"/>
      <c r="E1485" s="19" t="n">
        <f aca="false">+F1485*0.03</f>
        <v>0</v>
      </c>
      <c r="F1485" s="33" t="n">
        <v>0</v>
      </c>
      <c r="G1485" s="62"/>
      <c r="H1485" s="35" t="n">
        <v>0</v>
      </c>
      <c r="I1485" s="34" t="n">
        <f aca="false">+IF(E1485=0,0,E1485*0.03)</f>
        <v>0</v>
      </c>
    </row>
    <row r="1486" customFormat="false" ht="15.75" hidden="false" customHeight="true" outlineLevel="0" collapsed="false">
      <c r="A1486" s="30" t="n">
        <v>45323</v>
      </c>
      <c r="B1486" s="31" t="s">
        <v>7</v>
      </c>
      <c r="C1486" s="32"/>
      <c r="D1486" s="32"/>
      <c r="E1486" s="19" t="n">
        <f aca="false">+F1486*0.03</f>
        <v>0</v>
      </c>
      <c r="F1486" s="33" t="n">
        <v>0</v>
      </c>
      <c r="G1486" s="62"/>
      <c r="H1486" s="35" t="n">
        <v>0</v>
      </c>
      <c r="I1486" s="34" t="n">
        <f aca="false">+IF(E1486=0,0,E1486*0.03)</f>
        <v>0</v>
      </c>
    </row>
    <row r="1487" customFormat="false" ht="15.75" hidden="false" customHeight="true" outlineLevel="0" collapsed="false">
      <c r="A1487" s="30" t="n">
        <v>45323</v>
      </c>
      <c r="B1487" s="31" t="s">
        <v>7</v>
      </c>
      <c r="C1487" s="32"/>
      <c r="D1487" s="32"/>
      <c r="E1487" s="19" t="n">
        <f aca="false">+F1487*0.03</f>
        <v>0</v>
      </c>
      <c r="F1487" s="33" t="n">
        <v>0</v>
      </c>
      <c r="G1487" s="62"/>
      <c r="H1487" s="35" t="n">
        <v>0</v>
      </c>
      <c r="I1487" s="34" t="n">
        <f aca="false">+IF(E1487=0,0,E1487*0.03)</f>
        <v>0</v>
      </c>
    </row>
    <row r="1488" customFormat="false" ht="15.75" hidden="false" customHeight="true" outlineLevel="0" collapsed="false">
      <c r="A1488" s="30" t="n">
        <v>45323</v>
      </c>
      <c r="B1488" s="31" t="s">
        <v>7</v>
      </c>
      <c r="C1488" s="32"/>
      <c r="D1488" s="32"/>
      <c r="E1488" s="19" t="n">
        <f aca="false">+F1488*0.03</f>
        <v>0</v>
      </c>
      <c r="F1488" s="33" t="n">
        <v>0</v>
      </c>
      <c r="G1488" s="62"/>
      <c r="H1488" s="35" t="n">
        <v>0</v>
      </c>
      <c r="I1488" s="34" t="n">
        <f aca="false">+IF(E1488=0,0,E1488*0.03)</f>
        <v>0</v>
      </c>
    </row>
    <row r="1489" customFormat="false" ht="15.75" hidden="false" customHeight="true" outlineLevel="0" collapsed="false">
      <c r="A1489" s="30" t="n">
        <v>45323</v>
      </c>
      <c r="B1489" s="31" t="s">
        <v>7</v>
      </c>
      <c r="C1489" s="32"/>
      <c r="D1489" s="32"/>
      <c r="E1489" s="19" t="n">
        <f aca="false">+F1489*0.03</f>
        <v>0</v>
      </c>
      <c r="F1489" s="33" t="n">
        <v>0</v>
      </c>
      <c r="G1489" s="62"/>
      <c r="H1489" s="35" t="n">
        <v>0</v>
      </c>
      <c r="I1489" s="34" t="n">
        <f aca="false">+IF(E1489=0,0,E1489*0.03)</f>
        <v>0</v>
      </c>
    </row>
    <row r="1490" customFormat="false" ht="15.75" hidden="false" customHeight="true" outlineLevel="0" collapsed="false">
      <c r="A1490" s="30" t="n">
        <v>45323</v>
      </c>
      <c r="B1490" s="31" t="s">
        <v>7</v>
      </c>
      <c r="C1490" s="32"/>
      <c r="D1490" s="32"/>
      <c r="E1490" s="19" t="n">
        <f aca="false">+F1490*0.03</f>
        <v>0</v>
      </c>
      <c r="F1490" s="33" t="n">
        <v>0</v>
      </c>
      <c r="G1490" s="62"/>
      <c r="H1490" s="35" t="n">
        <v>0</v>
      </c>
      <c r="I1490" s="34" t="n">
        <f aca="false">+IF(E1490=0,0,E1490*0.03)</f>
        <v>0</v>
      </c>
    </row>
    <row r="1491" customFormat="false" ht="15.75" hidden="false" customHeight="true" outlineLevel="0" collapsed="false">
      <c r="A1491" s="30" t="n">
        <v>45323</v>
      </c>
      <c r="B1491" s="31" t="s">
        <v>7</v>
      </c>
      <c r="C1491" s="32"/>
      <c r="D1491" s="32"/>
      <c r="E1491" s="19" t="n">
        <f aca="false">+F1491*0.03</f>
        <v>0</v>
      </c>
      <c r="F1491" s="33" t="n">
        <v>0</v>
      </c>
      <c r="G1491" s="62"/>
      <c r="H1491" s="35" t="n">
        <v>0</v>
      </c>
      <c r="I1491" s="34" t="n">
        <f aca="false">+IF(E1491=0,0,E1491*0.03)</f>
        <v>0</v>
      </c>
    </row>
    <row r="1492" customFormat="false" ht="15.75" hidden="false" customHeight="true" outlineLevel="0" collapsed="false">
      <c r="A1492" s="30" t="n">
        <v>45323</v>
      </c>
      <c r="B1492" s="31" t="s">
        <v>7</v>
      </c>
      <c r="C1492" s="32"/>
      <c r="D1492" s="32"/>
      <c r="E1492" s="19" t="n">
        <f aca="false">+F1492*0.03</f>
        <v>0</v>
      </c>
      <c r="F1492" s="33" t="n">
        <v>0</v>
      </c>
      <c r="G1492" s="62"/>
      <c r="H1492" s="35" t="n">
        <v>0</v>
      </c>
      <c r="I1492" s="34" t="n">
        <f aca="false">+IF(E1492=0,0,E1492*0.03)</f>
        <v>0</v>
      </c>
    </row>
    <row r="1493" customFormat="false" ht="15.75" hidden="false" customHeight="true" outlineLevel="0" collapsed="false">
      <c r="A1493" s="30" t="n">
        <v>45323</v>
      </c>
      <c r="B1493" s="31" t="s">
        <v>7</v>
      </c>
      <c r="C1493" s="32"/>
      <c r="D1493" s="32"/>
      <c r="E1493" s="19" t="n">
        <f aca="false">+F1493*0.03</f>
        <v>0</v>
      </c>
      <c r="F1493" s="33" t="n">
        <v>0</v>
      </c>
      <c r="G1493" s="62"/>
      <c r="H1493" s="35" t="n">
        <v>0</v>
      </c>
      <c r="I1493" s="34" t="n">
        <f aca="false">+IF(E1493=0,0,E1493*0.03)</f>
        <v>0</v>
      </c>
    </row>
    <row r="1494" customFormat="false" ht="15.75" hidden="false" customHeight="true" outlineLevel="0" collapsed="false">
      <c r="A1494" s="30" t="n">
        <v>45323</v>
      </c>
      <c r="B1494" s="31" t="s">
        <v>7</v>
      </c>
      <c r="C1494" s="32"/>
      <c r="D1494" s="32"/>
      <c r="E1494" s="19" t="n">
        <f aca="false">+F1494*0.03</f>
        <v>0</v>
      </c>
      <c r="F1494" s="33" t="n">
        <v>0</v>
      </c>
      <c r="G1494" s="62"/>
      <c r="H1494" s="35" t="n">
        <v>0</v>
      </c>
      <c r="I1494" s="34" t="n">
        <f aca="false">+IF(E1494=0,0,E1494*0.03)</f>
        <v>0</v>
      </c>
    </row>
    <row r="1495" customFormat="false" ht="15.75" hidden="false" customHeight="true" outlineLevel="0" collapsed="false">
      <c r="A1495" s="30" t="n">
        <v>45323</v>
      </c>
      <c r="B1495" s="31" t="s">
        <v>7</v>
      </c>
      <c r="C1495" s="32"/>
      <c r="D1495" s="32"/>
      <c r="E1495" s="19" t="n">
        <f aca="false">+F1495*0.03</f>
        <v>0</v>
      </c>
      <c r="F1495" s="33" t="n">
        <v>0</v>
      </c>
      <c r="G1495" s="62"/>
      <c r="H1495" s="35" t="n">
        <v>0</v>
      </c>
      <c r="I1495" s="34" t="n">
        <f aca="false">+IF(E1495=0,0,E1495*0.03)</f>
        <v>0</v>
      </c>
    </row>
    <row r="1496" customFormat="false" ht="15.75" hidden="false" customHeight="true" outlineLevel="0" collapsed="false">
      <c r="A1496" s="30" t="n">
        <v>45323</v>
      </c>
      <c r="B1496" s="31" t="s">
        <v>7</v>
      </c>
      <c r="C1496" s="32"/>
      <c r="D1496" s="32"/>
      <c r="E1496" s="19" t="n">
        <f aca="false">+F1496*0.03</f>
        <v>0</v>
      </c>
      <c r="F1496" s="33" t="n">
        <v>0</v>
      </c>
      <c r="G1496" s="62"/>
      <c r="H1496" s="35" t="n">
        <v>0</v>
      </c>
      <c r="I1496" s="34" t="n">
        <f aca="false">+IF(E1496=0,0,E1496*0.03)</f>
        <v>0</v>
      </c>
    </row>
    <row r="1497" customFormat="false" ht="15.75" hidden="false" customHeight="true" outlineLevel="0" collapsed="false">
      <c r="A1497" s="30" t="n">
        <v>45323</v>
      </c>
      <c r="B1497" s="31" t="s">
        <v>7</v>
      </c>
      <c r="C1497" s="32"/>
      <c r="D1497" s="32"/>
      <c r="E1497" s="19" t="n">
        <f aca="false">+F1497*0.03</f>
        <v>0</v>
      </c>
      <c r="F1497" s="33" t="n">
        <v>0</v>
      </c>
      <c r="G1497" s="62"/>
      <c r="H1497" s="35" t="n">
        <v>0</v>
      </c>
      <c r="I1497" s="34" t="n">
        <f aca="false">+IF(E1497=0,0,E1497*0.03)</f>
        <v>0</v>
      </c>
    </row>
    <row r="1498" customFormat="false" ht="15.75" hidden="false" customHeight="true" outlineLevel="0" collapsed="false">
      <c r="A1498" s="30" t="n">
        <v>45323</v>
      </c>
      <c r="B1498" s="31" t="s">
        <v>7</v>
      </c>
      <c r="C1498" s="32"/>
      <c r="D1498" s="32"/>
      <c r="E1498" s="19" t="n">
        <f aca="false">+F1498*0.03</f>
        <v>0</v>
      </c>
      <c r="F1498" s="33" t="n">
        <v>0</v>
      </c>
      <c r="G1498" s="62"/>
      <c r="H1498" s="35" t="n">
        <v>0</v>
      </c>
      <c r="I1498" s="34" t="n">
        <f aca="false">+IF(E1498=0,0,E1498*0.03)</f>
        <v>0</v>
      </c>
    </row>
    <row r="1499" customFormat="false" ht="15.75" hidden="false" customHeight="true" outlineLevel="0" collapsed="false">
      <c r="A1499" s="30" t="n">
        <v>45323</v>
      </c>
      <c r="B1499" s="31" t="s">
        <v>7</v>
      </c>
      <c r="C1499" s="32"/>
      <c r="D1499" s="32"/>
      <c r="E1499" s="19" t="n">
        <f aca="false">+F1499*0.03</f>
        <v>0</v>
      </c>
      <c r="F1499" s="33" t="n">
        <v>0</v>
      </c>
      <c r="G1499" s="62"/>
      <c r="H1499" s="35" t="n">
        <v>0</v>
      </c>
      <c r="I1499" s="34" t="n">
        <f aca="false">+IF(E1499=0,0,E1499*0.03)</f>
        <v>0</v>
      </c>
    </row>
    <row r="1500" customFormat="false" ht="15.75" hidden="false" customHeight="true" outlineLevel="0" collapsed="false">
      <c r="A1500" s="30" t="n">
        <v>45323</v>
      </c>
      <c r="B1500" s="31" t="s">
        <v>7</v>
      </c>
      <c r="C1500" s="32"/>
      <c r="D1500" s="32"/>
      <c r="E1500" s="19" t="n">
        <f aca="false">+F1500*0.03</f>
        <v>0</v>
      </c>
      <c r="F1500" s="33" t="n">
        <v>0</v>
      </c>
      <c r="G1500" s="62"/>
      <c r="H1500" s="35" t="n">
        <v>0</v>
      </c>
      <c r="I1500" s="34" t="n">
        <f aca="false">+IF(E1500=0,0,E1500*0.03)</f>
        <v>0</v>
      </c>
    </row>
    <row r="1501" customFormat="false" ht="15.75" hidden="false" customHeight="true" outlineLevel="0" collapsed="false">
      <c r="A1501" s="30" t="n">
        <v>45323</v>
      </c>
      <c r="B1501" s="31" t="s">
        <v>7</v>
      </c>
      <c r="C1501" s="32"/>
      <c r="D1501" s="32"/>
      <c r="E1501" s="19" t="n">
        <f aca="false">+F1501*0.03</f>
        <v>0</v>
      </c>
      <c r="F1501" s="33" t="n">
        <v>0</v>
      </c>
      <c r="G1501" s="62"/>
      <c r="H1501" s="35" t="n">
        <v>0</v>
      </c>
      <c r="I1501" s="34" t="n">
        <f aca="false">+IF(E1501=0,0,E1501*0.03)</f>
        <v>0</v>
      </c>
    </row>
    <row r="1502" customFormat="false" ht="15.75" hidden="false" customHeight="true" outlineLevel="0" collapsed="false">
      <c r="A1502" s="30" t="n">
        <v>45323</v>
      </c>
      <c r="B1502" s="31" t="s">
        <v>7</v>
      </c>
      <c r="C1502" s="32"/>
      <c r="D1502" s="32"/>
      <c r="E1502" s="19" t="n">
        <f aca="false">+F1502*0.03</f>
        <v>0</v>
      </c>
      <c r="F1502" s="33" t="n">
        <v>0</v>
      </c>
      <c r="G1502" s="62"/>
      <c r="H1502" s="35" t="n">
        <v>0</v>
      </c>
      <c r="I1502" s="34" t="n">
        <f aca="false">+IF(E1502=0,0,E1502*0.03)</f>
        <v>0</v>
      </c>
    </row>
    <row r="1503" customFormat="false" ht="15.75" hidden="false" customHeight="true" outlineLevel="0" collapsed="false">
      <c r="A1503" s="30" t="n">
        <v>45323</v>
      </c>
      <c r="B1503" s="31" t="s">
        <v>7</v>
      </c>
      <c r="C1503" s="32"/>
      <c r="D1503" s="32"/>
      <c r="E1503" s="19" t="n">
        <f aca="false">+F1503*0.03</f>
        <v>0</v>
      </c>
      <c r="F1503" s="33" t="n">
        <v>0</v>
      </c>
      <c r="G1503" s="62"/>
      <c r="H1503" s="35" t="n">
        <v>0</v>
      </c>
      <c r="I1503" s="34" t="n">
        <f aca="false">+IF(E1503=0,0,E1503*0.03)</f>
        <v>0</v>
      </c>
    </row>
    <row r="1504" customFormat="false" ht="15.75" hidden="false" customHeight="true" outlineLevel="0" collapsed="false">
      <c r="A1504" s="30" t="n">
        <v>45323</v>
      </c>
      <c r="B1504" s="31" t="s">
        <v>7</v>
      </c>
      <c r="C1504" s="32"/>
      <c r="D1504" s="32"/>
      <c r="E1504" s="19" t="n">
        <f aca="false">+F1504*0.03</f>
        <v>0</v>
      </c>
      <c r="F1504" s="33" t="n">
        <v>0</v>
      </c>
      <c r="G1504" s="62"/>
      <c r="H1504" s="35" t="n">
        <v>0</v>
      </c>
      <c r="I1504" s="34" t="n">
        <f aca="false">+IF(E1504=0,0,E1504*0.03)</f>
        <v>0</v>
      </c>
    </row>
    <row r="1505" customFormat="false" ht="15.75" hidden="false" customHeight="true" outlineLevel="0" collapsed="false">
      <c r="A1505" s="30" t="n">
        <v>45323</v>
      </c>
      <c r="B1505" s="31" t="s">
        <v>7</v>
      </c>
      <c r="C1505" s="32"/>
      <c r="D1505" s="32"/>
      <c r="E1505" s="19" t="n">
        <f aca="false">+F1505*0.03</f>
        <v>0</v>
      </c>
      <c r="F1505" s="33" t="n">
        <v>0</v>
      </c>
      <c r="G1505" s="62"/>
      <c r="H1505" s="35" t="n">
        <v>0</v>
      </c>
      <c r="I1505" s="34" t="n">
        <f aca="false">+IF(E1505=0,0,E1505*0.03)</f>
        <v>0</v>
      </c>
    </row>
    <row r="1506" customFormat="false" ht="15.75" hidden="false" customHeight="true" outlineLevel="0" collapsed="false">
      <c r="A1506" s="30" t="n">
        <v>45323</v>
      </c>
      <c r="B1506" s="31" t="s">
        <v>7</v>
      </c>
      <c r="C1506" s="32"/>
      <c r="D1506" s="32"/>
      <c r="E1506" s="19" t="n">
        <f aca="false">+F1506*0.03</f>
        <v>0</v>
      </c>
      <c r="F1506" s="33" t="n">
        <v>0</v>
      </c>
      <c r="G1506" s="62"/>
      <c r="H1506" s="35" t="n">
        <v>0</v>
      </c>
      <c r="I1506" s="34" t="n">
        <f aca="false">+IF(E1506=0,0,E1506*0.03)</f>
        <v>0</v>
      </c>
    </row>
    <row r="1507" customFormat="false" ht="15.75" hidden="false" customHeight="true" outlineLevel="0" collapsed="false">
      <c r="A1507" s="30" t="n">
        <v>45323</v>
      </c>
      <c r="B1507" s="31" t="s">
        <v>7</v>
      </c>
      <c r="C1507" s="32"/>
      <c r="D1507" s="32"/>
      <c r="E1507" s="19" t="n">
        <f aca="false">+F1507*0.03</f>
        <v>0</v>
      </c>
      <c r="F1507" s="33" t="n">
        <v>0</v>
      </c>
      <c r="G1507" s="62"/>
      <c r="H1507" s="35" t="n">
        <v>0</v>
      </c>
      <c r="I1507" s="34" t="n">
        <f aca="false">+IF(E1507=0,0,E1507*0.03)</f>
        <v>0</v>
      </c>
    </row>
    <row r="1508" customFormat="false" ht="15.75" hidden="false" customHeight="true" outlineLevel="0" collapsed="false">
      <c r="A1508" s="30" t="n">
        <v>45323</v>
      </c>
      <c r="B1508" s="31" t="s">
        <v>7</v>
      </c>
      <c r="C1508" s="32"/>
      <c r="D1508" s="32"/>
      <c r="E1508" s="19" t="n">
        <f aca="false">+F1508*0.03</f>
        <v>0</v>
      </c>
      <c r="F1508" s="33" t="n">
        <v>0</v>
      </c>
      <c r="G1508" s="62"/>
      <c r="H1508" s="35" t="n">
        <v>0</v>
      </c>
      <c r="I1508" s="34" t="n">
        <f aca="false">+IF(E1508=0,0,E1508*0.03)</f>
        <v>0</v>
      </c>
    </row>
    <row r="1509" customFormat="false" ht="15.75" hidden="false" customHeight="true" outlineLevel="0" collapsed="false">
      <c r="A1509" s="30" t="n">
        <v>45323</v>
      </c>
      <c r="B1509" s="31" t="s">
        <v>7</v>
      </c>
      <c r="C1509" s="32"/>
      <c r="D1509" s="32"/>
      <c r="E1509" s="19" t="n">
        <f aca="false">+F1509*0.03</f>
        <v>0</v>
      </c>
      <c r="F1509" s="33" t="n">
        <v>0</v>
      </c>
      <c r="G1509" s="62"/>
      <c r="H1509" s="35" t="n">
        <v>0</v>
      </c>
      <c r="I1509" s="34" t="n">
        <f aca="false">+IF(E1509=0,0,E1509*0.03)</f>
        <v>0</v>
      </c>
    </row>
    <row r="1510" customFormat="false" ht="15.75" hidden="false" customHeight="true" outlineLevel="0" collapsed="false">
      <c r="A1510" s="30" t="n">
        <v>45323</v>
      </c>
      <c r="B1510" s="31" t="s">
        <v>7</v>
      </c>
      <c r="C1510" s="32"/>
      <c r="D1510" s="32"/>
      <c r="E1510" s="19" t="n">
        <f aca="false">+F1510*0.03</f>
        <v>0</v>
      </c>
      <c r="F1510" s="33" t="n">
        <v>0</v>
      </c>
      <c r="G1510" s="62"/>
      <c r="H1510" s="35" t="n">
        <v>0</v>
      </c>
      <c r="I1510" s="34" t="n">
        <f aca="false">+IF(E1510=0,0,E1510*0.03)</f>
        <v>0</v>
      </c>
    </row>
    <row r="1511" customFormat="false" ht="15.75" hidden="false" customHeight="true" outlineLevel="0" collapsed="false">
      <c r="A1511" s="30" t="n">
        <v>45323</v>
      </c>
      <c r="B1511" s="31" t="s">
        <v>7</v>
      </c>
      <c r="C1511" s="32"/>
      <c r="D1511" s="32"/>
      <c r="E1511" s="19" t="n">
        <f aca="false">+F1511*0.03</f>
        <v>0</v>
      </c>
      <c r="F1511" s="33" t="n">
        <v>0</v>
      </c>
      <c r="G1511" s="62"/>
      <c r="H1511" s="35" t="n">
        <v>0</v>
      </c>
      <c r="I1511" s="34" t="n">
        <f aca="false">+IF(E1511=0,0,E1511*0.03)</f>
        <v>0</v>
      </c>
    </row>
    <row r="1512" customFormat="false" ht="15.75" hidden="false" customHeight="true" outlineLevel="0" collapsed="false">
      <c r="A1512" s="30" t="n">
        <v>45323</v>
      </c>
      <c r="B1512" s="31" t="s">
        <v>7</v>
      </c>
      <c r="C1512" s="32"/>
      <c r="D1512" s="32"/>
      <c r="E1512" s="19" t="n">
        <f aca="false">+F1512*0.03</f>
        <v>0</v>
      </c>
      <c r="F1512" s="33" t="n">
        <v>0</v>
      </c>
      <c r="G1512" s="62"/>
      <c r="H1512" s="35" t="n">
        <v>0</v>
      </c>
      <c r="I1512" s="34" t="n">
        <f aca="false">+IF(E1512=0,0,E1512*0.03)</f>
        <v>0</v>
      </c>
    </row>
    <row r="1513" customFormat="false" ht="15.75" hidden="false" customHeight="true" outlineLevel="0" collapsed="false">
      <c r="A1513" s="30" t="n">
        <v>45323</v>
      </c>
      <c r="B1513" s="31" t="s">
        <v>7</v>
      </c>
      <c r="C1513" s="32"/>
      <c r="D1513" s="32"/>
      <c r="E1513" s="19" t="n">
        <f aca="false">+F1513*0.03</f>
        <v>0</v>
      </c>
      <c r="F1513" s="33" t="n">
        <v>0</v>
      </c>
      <c r="G1513" s="62"/>
      <c r="H1513" s="35" t="n">
        <v>0</v>
      </c>
      <c r="I1513" s="34" t="n">
        <f aca="false">+IF(E1513=0,0,E1513*0.03)</f>
        <v>0</v>
      </c>
    </row>
    <row r="1514" customFormat="false" ht="15.75" hidden="false" customHeight="true" outlineLevel="0" collapsed="false">
      <c r="A1514" s="30" t="n">
        <v>45323</v>
      </c>
      <c r="B1514" s="31" t="s">
        <v>7</v>
      </c>
      <c r="C1514" s="32"/>
      <c r="D1514" s="32"/>
      <c r="E1514" s="19" t="n">
        <f aca="false">+F1514*0.03</f>
        <v>0</v>
      </c>
      <c r="F1514" s="33" t="n">
        <v>0</v>
      </c>
      <c r="G1514" s="62"/>
      <c r="H1514" s="35" t="n">
        <v>0</v>
      </c>
      <c r="I1514" s="34" t="n">
        <f aca="false">+IF(E1514=0,0,E1514*0.03)</f>
        <v>0</v>
      </c>
    </row>
    <row r="1515" customFormat="false" ht="15.75" hidden="false" customHeight="true" outlineLevel="0" collapsed="false">
      <c r="A1515" s="30" t="n">
        <v>45323</v>
      </c>
      <c r="B1515" s="31" t="s">
        <v>7</v>
      </c>
      <c r="C1515" s="32"/>
      <c r="D1515" s="32"/>
      <c r="E1515" s="19" t="n">
        <f aca="false">+F1515*0.03</f>
        <v>0</v>
      </c>
      <c r="F1515" s="33" t="n">
        <v>0</v>
      </c>
      <c r="G1515" s="62"/>
      <c r="H1515" s="35" t="n">
        <v>0</v>
      </c>
      <c r="I1515" s="34" t="n">
        <f aca="false">+IF(E1515=0,0,E1515*0.03)</f>
        <v>0</v>
      </c>
    </row>
    <row r="1516" customFormat="false" ht="15.75" hidden="false" customHeight="true" outlineLevel="0" collapsed="false">
      <c r="A1516" s="30" t="n">
        <v>45323</v>
      </c>
      <c r="B1516" s="31" t="s">
        <v>7</v>
      </c>
      <c r="C1516" s="32"/>
      <c r="D1516" s="32"/>
      <c r="E1516" s="19" t="n">
        <f aca="false">+F1516*0.03</f>
        <v>0</v>
      </c>
      <c r="F1516" s="33" t="n">
        <v>0</v>
      </c>
      <c r="G1516" s="62"/>
      <c r="H1516" s="35" t="n">
        <v>0</v>
      </c>
      <c r="I1516" s="34" t="n">
        <f aca="false">+IF(E1516=0,0,E1516*0.03)</f>
        <v>0</v>
      </c>
    </row>
    <row r="1517" customFormat="false" ht="15.75" hidden="false" customHeight="true" outlineLevel="0" collapsed="false">
      <c r="A1517" s="30" t="n">
        <v>45323</v>
      </c>
      <c r="B1517" s="31" t="s">
        <v>7</v>
      </c>
      <c r="C1517" s="32"/>
      <c r="D1517" s="32"/>
      <c r="E1517" s="19" t="n">
        <f aca="false">+F1517*0.03</f>
        <v>0</v>
      </c>
      <c r="F1517" s="33" t="n">
        <v>0</v>
      </c>
      <c r="G1517" s="62"/>
      <c r="H1517" s="35" t="n">
        <v>0</v>
      </c>
      <c r="I1517" s="34" t="n">
        <f aca="false">+IF(E1517=0,0,E1517*0.03)</f>
        <v>0</v>
      </c>
    </row>
    <row r="1518" customFormat="false" ht="15.75" hidden="false" customHeight="true" outlineLevel="0" collapsed="false">
      <c r="A1518" s="30" t="n">
        <v>45323</v>
      </c>
      <c r="B1518" s="31" t="s">
        <v>7</v>
      </c>
      <c r="C1518" s="32"/>
      <c r="D1518" s="32"/>
      <c r="E1518" s="19" t="n">
        <f aca="false">+F1518*0.03</f>
        <v>0</v>
      </c>
      <c r="F1518" s="33" t="n">
        <v>0</v>
      </c>
      <c r="G1518" s="62"/>
      <c r="H1518" s="35" t="n">
        <v>0</v>
      </c>
      <c r="I1518" s="34" t="n">
        <f aca="false">+IF(E1518=0,0,E1518*0.03)</f>
        <v>0</v>
      </c>
    </row>
    <row r="1519" customFormat="false" ht="15.75" hidden="false" customHeight="true" outlineLevel="0" collapsed="false">
      <c r="A1519" s="30" t="n">
        <v>45323</v>
      </c>
      <c r="B1519" s="31" t="s">
        <v>7</v>
      </c>
      <c r="C1519" s="32"/>
      <c r="D1519" s="32"/>
      <c r="E1519" s="19" t="n">
        <f aca="false">+F1519*0.03</f>
        <v>0</v>
      </c>
      <c r="F1519" s="33" t="n">
        <v>0</v>
      </c>
      <c r="G1519" s="62"/>
      <c r="H1519" s="35" t="n">
        <v>0</v>
      </c>
      <c r="I1519" s="34" t="n">
        <f aca="false">+IF(E1519=0,0,E1519*0.03)</f>
        <v>0</v>
      </c>
    </row>
    <row r="1520" customFormat="false" ht="15.75" hidden="false" customHeight="true" outlineLevel="0" collapsed="false">
      <c r="A1520" s="30" t="n">
        <v>45323</v>
      </c>
      <c r="B1520" s="31" t="s">
        <v>7</v>
      </c>
      <c r="C1520" s="32"/>
      <c r="D1520" s="32"/>
      <c r="E1520" s="19" t="n">
        <f aca="false">+F1520*0.03</f>
        <v>0</v>
      </c>
      <c r="F1520" s="33" t="n">
        <v>0</v>
      </c>
      <c r="G1520" s="62"/>
      <c r="H1520" s="35" t="n">
        <v>0</v>
      </c>
      <c r="I1520" s="34" t="n">
        <f aca="false">+IF(E1520=0,0,E1520*0.03)</f>
        <v>0</v>
      </c>
    </row>
    <row r="1521" customFormat="false" ht="15.75" hidden="false" customHeight="true" outlineLevel="0" collapsed="false">
      <c r="A1521" s="30" t="n">
        <v>45323</v>
      </c>
      <c r="B1521" s="31" t="s">
        <v>7</v>
      </c>
      <c r="C1521" s="32"/>
      <c r="D1521" s="32"/>
      <c r="E1521" s="19" t="n">
        <f aca="false">+F1521*0.03</f>
        <v>0</v>
      </c>
      <c r="F1521" s="33" t="n">
        <v>0</v>
      </c>
      <c r="G1521" s="62"/>
      <c r="H1521" s="35" t="n">
        <v>0</v>
      </c>
      <c r="I1521" s="34" t="n">
        <f aca="false">+IF(E1521=0,0,E1521*0.03)</f>
        <v>0</v>
      </c>
    </row>
    <row r="1522" customFormat="false" ht="15.75" hidden="false" customHeight="true" outlineLevel="0" collapsed="false">
      <c r="A1522" s="30" t="n">
        <v>45323</v>
      </c>
      <c r="B1522" s="31" t="s">
        <v>7</v>
      </c>
      <c r="C1522" s="32"/>
      <c r="D1522" s="32"/>
      <c r="E1522" s="19" t="n">
        <f aca="false">+F1522*0.03</f>
        <v>0</v>
      </c>
      <c r="F1522" s="33" t="n">
        <v>0</v>
      </c>
      <c r="G1522" s="62"/>
      <c r="H1522" s="35" t="n">
        <v>0</v>
      </c>
      <c r="I1522" s="34" t="n">
        <f aca="false">+IF(E1522=0,0,E1522*0.03)</f>
        <v>0</v>
      </c>
    </row>
    <row r="1523" customFormat="false" ht="15.75" hidden="false" customHeight="true" outlineLevel="0" collapsed="false">
      <c r="A1523" s="30" t="n">
        <v>45323</v>
      </c>
      <c r="B1523" s="31" t="s">
        <v>7</v>
      </c>
      <c r="C1523" s="32"/>
      <c r="D1523" s="32"/>
      <c r="E1523" s="19" t="n">
        <f aca="false">+F1523*0.03</f>
        <v>0</v>
      </c>
      <c r="F1523" s="33" t="n">
        <v>0</v>
      </c>
      <c r="G1523" s="62"/>
      <c r="H1523" s="35" t="n">
        <v>0</v>
      </c>
      <c r="I1523" s="34" t="n">
        <f aca="false">+IF(E1523=0,0,E1523*0.03)</f>
        <v>0</v>
      </c>
    </row>
    <row r="1524" customFormat="false" ht="15.75" hidden="false" customHeight="true" outlineLevel="0" collapsed="false">
      <c r="A1524" s="30" t="n">
        <v>45323</v>
      </c>
      <c r="B1524" s="31" t="s">
        <v>7</v>
      </c>
      <c r="C1524" s="32"/>
      <c r="D1524" s="32"/>
      <c r="E1524" s="19" t="n">
        <f aca="false">+F1524*0.03</f>
        <v>0</v>
      </c>
      <c r="F1524" s="33" t="n">
        <v>0</v>
      </c>
      <c r="G1524" s="62"/>
      <c r="H1524" s="35" t="n">
        <v>0</v>
      </c>
      <c r="I1524" s="34" t="n">
        <f aca="false">+IF(E1524=0,0,E1524*0.03)</f>
        <v>0</v>
      </c>
    </row>
    <row r="1525" customFormat="false" ht="15.75" hidden="false" customHeight="true" outlineLevel="0" collapsed="false">
      <c r="A1525" s="30" t="n">
        <v>45323</v>
      </c>
      <c r="B1525" s="31" t="s">
        <v>7</v>
      </c>
      <c r="C1525" s="32"/>
      <c r="D1525" s="32"/>
      <c r="E1525" s="19" t="n">
        <f aca="false">+F1525*0.03</f>
        <v>0</v>
      </c>
      <c r="F1525" s="33" t="n">
        <v>0</v>
      </c>
      <c r="G1525" s="62"/>
      <c r="H1525" s="35" t="n">
        <v>0</v>
      </c>
      <c r="I1525" s="34" t="n">
        <f aca="false">+IF(E1525=0,0,E1525*0.03)</f>
        <v>0</v>
      </c>
    </row>
    <row r="1526" customFormat="false" ht="15.75" hidden="false" customHeight="true" outlineLevel="0" collapsed="false">
      <c r="A1526" s="30" t="n">
        <v>45323</v>
      </c>
      <c r="B1526" s="31" t="s">
        <v>7</v>
      </c>
      <c r="C1526" s="32"/>
      <c r="D1526" s="32"/>
      <c r="E1526" s="19" t="n">
        <f aca="false">+F1526*0.03</f>
        <v>0</v>
      </c>
      <c r="F1526" s="33" t="n">
        <v>0</v>
      </c>
      <c r="G1526" s="62"/>
      <c r="H1526" s="35" t="n">
        <v>0</v>
      </c>
      <c r="I1526" s="34" t="n">
        <f aca="false">+IF(E1526=0,0,E1526*0.03)</f>
        <v>0</v>
      </c>
    </row>
    <row r="1527" customFormat="false" ht="15.75" hidden="false" customHeight="true" outlineLevel="0" collapsed="false">
      <c r="A1527" s="30" t="n">
        <v>45323</v>
      </c>
      <c r="B1527" s="31" t="s">
        <v>7</v>
      </c>
      <c r="C1527" s="32"/>
      <c r="D1527" s="32"/>
      <c r="E1527" s="19" t="n">
        <f aca="false">+F1527*0.03</f>
        <v>0</v>
      </c>
      <c r="F1527" s="33" t="n">
        <v>0</v>
      </c>
      <c r="G1527" s="62"/>
      <c r="H1527" s="35" t="n">
        <v>0</v>
      </c>
      <c r="I1527" s="34" t="n">
        <f aca="false">+IF(E1527=0,0,E1527*0.03)</f>
        <v>0</v>
      </c>
    </row>
    <row r="1528" customFormat="false" ht="15.75" hidden="false" customHeight="true" outlineLevel="0" collapsed="false">
      <c r="A1528" s="30" t="n">
        <v>45323</v>
      </c>
      <c r="B1528" s="31" t="s">
        <v>7</v>
      </c>
      <c r="C1528" s="32"/>
      <c r="D1528" s="32"/>
      <c r="E1528" s="19" t="n">
        <f aca="false">+F1528*0.03</f>
        <v>0</v>
      </c>
      <c r="F1528" s="33" t="n">
        <v>0</v>
      </c>
      <c r="G1528" s="62"/>
      <c r="H1528" s="35" t="n">
        <v>0</v>
      </c>
      <c r="I1528" s="34" t="n">
        <f aca="false">+IF(E1528=0,0,E1528*0.03)</f>
        <v>0</v>
      </c>
    </row>
    <row r="1529" customFormat="false" ht="15.75" hidden="false" customHeight="true" outlineLevel="0" collapsed="false">
      <c r="A1529" s="30" t="n">
        <v>45323</v>
      </c>
      <c r="B1529" s="31" t="s">
        <v>7</v>
      </c>
      <c r="C1529" s="32"/>
      <c r="D1529" s="32"/>
      <c r="E1529" s="19" t="n">
        <f aca="false">+F1529*0.03</f>
        <v>0</v>
      </c>
      <c r="F1529" s="33" t="n">
        <v>0</v>
      </c>
      <c r="G1529" s="62"/>
      <c r="H1529" s="35" t="n">
        <v>0</v>
      </c>
      <c r="I1529" s="34" t="n">
        <f aca="false">+IF(E1529=0,0,E1529*0.03)</f>
        <v>0</v>
      </c>
    </row>
    <row r="1530" customFormat="false" ht="15.75" hidden="false" customHeight="true" outlineLevel="0" collapsed="false">
      <c r="A1530" s="30" t="n">
        <v>45323</v>
      </c>
      <c r="B1530" s="31" t="s">
        <v>7</v>
      </c>
      <c r="C1530" s="32"/>
      <c r="D1530" s="32"/>
      <c r="E1530" s="19" t="n">
        <f aca="false">+F1530*0.03</f>
        <v>0</v>
      </c>
      <c r="F1530" s="33" t="n">
        <v>0</v>
      </c>
      <c r="G1530" s="62"/>
      <c r="H1530" s="35" t="n">
        <v>0</v>
      </c>
      <c r="I1530" s="34" t="n">
        <f aca="false">+IF(E1530=0,0,E1530*0.03)</f>
        <v>0</v>
      </c>
    </row>
    <row r="1531" customFormat="false" ht="15.75" hidden="false" customHeight="true" outlineLevel="0" collapsed="false">
      <c r="A1531" s="30" t="n">
        <v>45323</v>
      </c>
      <c r="B1531" s="31" t="s">
        <v>7</v>
      </c>
      <c r="C1531" s="32"/>
      <c r="D1531" s="32"/>
      <c r="E1531" s="19" t="n">
        <f aca="false">+F1531*0.03</f>
        <v>0</v>
      </c>
      <c r="F1531" s="33" t="n">
        <v>0</v>
      </c>
      <c r="G1531" s="62"/>
      <c r="H1531" s="35" t="n">
        <v>0</v>
      </c>
      <c r="I1531" s="34" t="n">
        <f aca="false">+IF(E1531=0,0,E1531*0.03)</f>
        <v>0</v>
      </c>
    </row>
    <row r="1532" customFormat="false" ht="15.75" hidden="false" customHeight="true" outlineLevel="0" collapsed="false">
      <c r="A1532" s="30" t="n">
        <v>45323</v>
      </c>
      <c r="B1532" s="31" t="s">
        <v>7</v>
      </c>
      <c r="C1532" s="32"/>
      <c r="D1532" s="32"/>
      <c r="E1532" s="19" t="n">
        <f aca="false">+F1532*0.03</f>
        <v>0</v>
      </c>
      <c r="F1532" s="33" t="n">
        <v>0</v>
      </c>
      <c r="G1532" s="62"/>
      <c r="H1532" s="35" t="n">
        <v>0</v>
      </c>
      <c r="I1532" s="34" t="n">
        <f aca="false">+IF(E1532=0,0,E1532*0.03)</f>
        <v>0</v>
      </c>
    </row>
    <row r="1533" customFormat="false" ht="15.75" hidden="false" customHeight="true" outlineLevel="0" collapsed="false">
      <c r="A1533" s="30" t="n">
        <v>45323</v>
      </c>
      <c r="B1533" s="31" t="s">
        <v>7</v>
      </c>
      <c r="C1533" s="32"/>
      <c r="D1533" s="32"/>
      <c r="E1533" s="19" t="n">
        <f aca="false">+F1533*0.03</f>
        <v>0</v>
      </c>
      <c r="F1533" s="33" t="n">
        <v>0</v>
      </c>
      <c r="G1533" s="62"/>
      <c r="H1533" s="35" t="n">
        <v>0</v>
      </c>
      <c r="I1533" s="34" t="n">
        <f aca="false">+IF(E1533=0,0,E1533*0.03)</f>
        <v>0</v>
      </c>
    </row>
    <row r="1534" customFormat="false" ht="15.75" hidden="false" customHeight="true" outlineLevel="0" collapsed="false">
      <c r="A1534" s="30" t="n">
        <v>45323</v>
      </c>
      <c r="B1534" s="31" t="s">
        <v>7</v>
      </c>
      <c r="C1534" s="32"/>
      <c r="D1534" s="32"/>
      <c r="E1534" s="19" t="n">
        <f aca="false">+F1534*0.03</f>
        <v>0</v>
      </c>
      <c r="F1534" s="33" t="n">
        <v>0</v>
      </c>
      <c r="G1534" s="62"/>
      <c r="H1534" s="35" t="n">
        <v>0</v>
      </c>
      <c r="I1534" s="34" t="n">
        <f aca="false">+IF(E1534=0,0,E1534*0.03)</f>
        <v>0</v>
      </c>
    </row>
    <row r="1535" customFormat="false" ht="15.75" hidden="false" customHeight="true" outlineLevel="0" collapsed="false">
      <c r="A1535" s="30" t="n">
        <v>45323</v>
      </c>
      <c r="B1535" s="31" t="s">
        <v>7</v>
      </c>
      <c r="C1535" s="32"/>
      <c r="D1535" s="32"/>
      <c r="E1535" s="19" t="n">
        <f aca="false">+F1535*0.03</f>
        <v>0</v>
      </c>
      <c r="F1535" s="33" t="n">
        <v>0</v>
      </c>
      <c r="G1535" s="62"/>
      <c r="H1535" s="35" t="n">
        <v>0</v>
      </c>
      <c r="I1535" s="34" t="n">
        <f aca="false">+IF(E1535=0,0,E1535*0.03)</f>
        <v>0</v>
      </c>
    </row>
    <row r="1536" customFormat="false" ht="15.75" hidden="false" customHeight="true" outlineLevel="0" collapsed="false">
      <c r="A1536" s="30" t="n">
        <v>45323</v>
      </c>
      <c r="B1536" s="31" t="s">
        <v>7</v>
      </c>
      <c r="C1536" s="32"/>
      <c r="D1536" s="32"/>
      <c r="E1536" s="19" t="n">
        <f aca="false">+F1536*0.03</f>
        <v>0</v>
      </c>
      <c r="F1536" s="33" t="n">
        <v>0</v>
      </c>
      <c r="G1536" s="62"/>
      <c r="H1536" s="35" t="n">
        <v>0</v>
      </c>
      <c r="I1536" s="34" t="n">
        <f aca="false">+IF(E1536=0,0,E1536*0.03)</f>
        <v>0</v>
      </c>
    </row>
    <row r="1537" customFormat="false" ht="15.75" hidden="false" customHeight="true" outlineLevel="0" collapsed="false">
      <c r="A1537" s="30" t="n">
        <v>45323</v>
      </c>
      <c r="B1537" s="31" t="s">
        <v>7</v>
      </c>
      <c r="C1537" s="32"/>
      <c r="D1537" s="32"/>
      <c r="E1537" s="19" t="n">
        <f aca="false">+F1537*0.03</f>
        <v>0</v>
      </c>
      <c r="F1537" s="33" t="n">
        <v>0</v>
      </c>
      <c r="G1537" s="62"/>
      <c r="H1537" s="35" t="n">
        <v>0</v>
      </c>
      <c r="I1537" s="34" t="n">
        <f aca="false">+IF(E1537=0,0,E1537*0.03)</f>
        <v>0</v>
      </c>
    </row>
    <row r="1538" customFormat="false" ht="15.75" hidden="false" customHeight="true" outlineLevel="0" collapsed="false">
      <c r="A1538" s="30" t="n">
        <v>45323</v>
      </c>
      <c r="B1538" s="31" t="s">
        <v>7</v>
      </c>
      <c r="C1538" s="32"/>
      <c r="D1538" s="32"/>
      <c r="E1538" s="19" t="n">
        <f aca="false">+F1538*0.03</f>
        <v>0</v>
      </c>
      <c r="F1538" s="33" t="n">
        <v>0</v>
      </c>
      <c r="G1538" s="62"/>
      <c r="H1538" s="35" t="n">
        <v>0</v>
      </c>
      <c r="I1538" s="34" t="n">
        <f aca="false">+IF(E1538=0,0,E1538*0.03)</f>
        <v>0</v>
      </c>
    </row>
    <row r="1539" customFormat="false" ht="15.75" hidden="false" customHeight="true" outlineLevel="0" collapsed="false">
      <c r="A1539" s="30" t="n">
        <v>45323</v>
      </c>
      <c r="B1539" s="31" t="s">
        <v>7</v>
      </c>
      <c r="C1539" s="32"/>
      <c r="D1539" s="32"/>
      <c r="E1539" s="19" t="n">
        <f aca="false">+F1539*0.03</f>
        <v>0</v>
      </c>
      <c r="F1539" s="33" t="n">
        <v>0</v>
      </c>
      <c r="G1539" s="62"/>
      <c r="H1539" s="35" t="n">
        <v>0</v>
      </c>
      <c r="I1539" s="34" t="n">
        <f aca="false">+IF(E1539=0,0,E1539*0.03)</f>
        <v>0</v>
      </c>
    </row>
    <row r="1540" customFormat="false" ht="15.75" hidden="false" customHeight="true" outlineLevel="0" collapsed="false">
      <c r="A1540" s="30" t="n">
        <v>45323</v>
      </c>
      <c r="B1540" s="31" t="s">
        <v>7</v>
      </c>
      <c r="C1540" s="32"/>
      <c r="D1540" s="32"/>
      <c r="E1540" s="19" t="n">
        <f aca="false">+F1540*0.03</f>
        <v>0</v>
      </c>
      <c r="F1540" s="33" t="n">
        <v>0</v>
      </c>
      <c r="G1540" s="62"/>
      <c r="H1540" s="35" t="n">
        <v>0</v>
      </c>
      <c r="I1540" s="34" t="n">
        <f aca="false">+IF(E1540=0,0,E1540*0.03)</f>
        <v>0</v>
      </c>
    </row>
    <row r="1541" customFormat="false" ht="15.75" hidden="false" customHeight="true" outlineLevel="0" collapsed="false">
      <c r="A1541" s="30" t="n">
        <v>45323</v>
      </c>
      <c r="B1541" s="31" t="s">
        <v>7</v>
      </c>
      <c r="C1541" s="32"/>
      <c r="D1541" s="32"/>
      <c r="E1541" s="19" t="n">
        <f aca="false">+F1541*0.03</f>
        <v>0</v>
      </c>
      <c r="F1541" s="33" t="n">
        <v>0</v>
      </c>
      <c r="G1541" s="62"/>
      <c r="H1541" s="35" t="n">
        <v>0</v>
      </c>
      <c r="I1541" s="34" t="n">
        <f aca="false">+IF(E1541=0,0,E1541*0.03)</f>
        <v>0</v>
      </c>
    </row>
    <row r="1542" customFormat="false" ht="15.75" hidden="false" customHeight="true" outlineLevel="0" collapsed="false">
      <c r="A1542" s="30" t="n">
        <v>45323</v>
      </c>
      <c r="B1542" s="31" t="s">
        <v>7</v>
      </c>
      <c r="C1542" s="32"/>
      <c r="D1542" s="32"/>
      <c r="E1542" s="19" t="n">
        <f aca="false">+F1542*0.03</f>
        <v>0</v>
      </c>
      <c r="F1542" s="33" t="n">
        <v>0</v>
      </c>
      <c r="G1542" s="62"/>
      <c r="H1542" s="35" t="n">
        <v>0</v>
      </c>
      <c r="I1542" s="34" t="n">
        <f aca="false">+IF(E1542=0,0,E1542*0.03)</f>
        <v>0</v>
      </c>
    </row>
    <row r="1543" customFormat="false" ht="15.75" hidden="false" customHeight="true" outlineLevel="0" collapsed="false">
      <c r="A1543" s="30" t="n">
        <v>45323</v>
      </c>
      <c r="B1543" s="31" t="s">
        <v>7</v>
      </c>
      <c r="C1543" s="32"/>
      <c r="D1543" s="32"/>
      <c r="E1543" s="19" t="n">
        <f aca="false">+F1543*0.03</f>
        <v>0</v>
      </c>
      <c r="F1543" s="33" t="n">
        <v>0</v>
      </c>
      <c r="G1543" s="62"/>
      <c r="H1543" s="35" t="n">
        <v>0</v>
      </c>
      <c r="I1543" s="34" t="n">
        <f aca="false">+IF(E1543=0,0,E1543*0.03)</f>
        <v>0</v>
      </c>
    </row>
    <row r="1544" customFormat="false" ht="15.75" hidden="false" customHeight="true" outlineLevel="0" collapsed="false">
      <c r="A1544" s="30" t="n">
        <v>45323</v>
      </c>
      <c r="B1544" s="31" t="s">
        <v>7</v>
      </c>
      <c r="C1544" s="32"/>
      <c r="D1544" s="32"/>
      <c r="E1544" s="19" t="n">
        <f aca="false">+F1544*0.03</f>
        <v>0</v>
      </c>
      <c r="F1544" s="33" t="n">
        <v>0</v>
      </c>
      <c r="G1544" s="62"/>
      <c r="H1544" s="35" t="n">
        <v>0</v>
      </c>
      <c r="I1544" s="34" t="n">
        <f aca="false">+IF(E1544=0,0,E1544*0.03)</f>
        <v>0</v>
      </c>
    </row>
    <row r="1545" customFormat="false" ht="15.75" hidden="false" customHeight="true" outlineLevel="0" collapsed="false">
      <c r="A1545" s="30" t="n">
        <v>45323</v>
      </c>
      <c r="B1545" s="31" t="s">
        <v>7</v>
      </c>
      <c r="C1545" s="32"/>
      <c r="D1545" s="32"/>
      <c r="E1545" s="19" t="n">
        <f aca="false">+F1545*0.03</f>
        <v>0</v>
      </c>
      <c r="F1545" s="33" t="n">
        <v>0</v>
      </c>
      <c r="G1545" s="62"/>
      <c r="H1545" s="35" t="n">
        <v>0</v>
      </c>
      <c r="I1545" s="34" t="n">
        <f aca="false">+IF(E1545=0,0,E1545*0.03)</f>
        <v>0</v>
      </c>
    </row>
    <row r="1546" customFormat="false" ht="15.75" hidden="false" customHeight="true" outlineLevel="0" collapsed="false">
      <c r="A1546" s="30" t="n">
        <v>45323</v>
      </c>
      <c r="B1546" s="31" t="s">
        <v>7</v>
      </c>
      <c r="C1546" s="32"/>
      <c r="D1546" s="32"/>
      <c r="E1546" s="19" t="n">
        <f aca="false">+F1546*0.03</f>
        <v>0</v>
      </c>
      <c r="F1546" s="33" t="n">
        <v>0</v>
      </c>
      <c r="G1546" s="62"/>
      <c r="H1546" s="35" t="n">
        <v>0</v>
      </c>
      <c r="I1546" s="34" t="n">
        <f aca="false">+IF(E1546=0,0,E1546*0.03)</f>
        <v>0</v>
      </c>
    </row>
    <row r="1547" customFormat="false" ht="15.75" hidden="false" customHeight="true" outlineLevel="0" collapsed="false">
      <c r="A1547" s="30" t="n">
        <v>45323</v>
      </c>
      <c r="B1547" s="31" t="s">
        <v>7</v>
      </c>
      <c r="C1547" s="32"/>
      <c r="D1547" s="32"/>
      <c r="E1547" s="19" t="n">
        <f aca="false">+F1547*0.03</f>
        <v>0</v>
      </c>
      <c r="F1547" s="33" t="n">
        <v>0</v>
      </c>
      <c r="G1547" s="62"/>
      <c r="H1547" s="35" t="n">
        <v>0</v>
      </c>
      <c r="I1547" s="34" t="n">
        <f aca="false">+IF(E1547=0,0,E1547*0.03)</f>
        <v>0</v>
      </c>
    </row>
    <row r="1548" customFormat="false" ht="15.75" hidden="false" customHeight="true" outlineLevel="0" collapsed="false">
      <c r="A1548" s="30" t="n">
        <v>45323</v>
      </c>
      <c r="B1548" s="31" t="s">
        <v>7</v>
      </c>
      <c r="C1548" s="32"/>
      <c r="D1548" s="32"/>
      <c r="E1548" s="19" t="n">
        <f aca="false">+F1548*0.03</f>
        <v>0</v>
      </c>
      <c r="F1548" s="33" t="n">
        <v>0</v>
      </c>
      <c r="G1548" s="62"/>
      <c r="H1548" s="35" t="n">
        <v>0</v>
      </c>
      <c r="I1548" s="34" t="n">
        <f aca="false">+IF(E1548=0,0,E1548*0.03)</f>
        <v>0</v>
      </c>
    </row>
    <row r="1549" customFormat="false" ht="15.75" hidden="false" customHeight="true" outlineLevel="0" collapsed="false">
      <c r="A1549" s="30" t="n">
        <v>45323</v>
      </c>
      <c r="B1549" s="31" t="s">
        <v>7</v>
      </c>
      <c r="C1549" s="32"/>
      <c r="D1549" s="32"/>
      <c r="E1549" s="19" t="n">
        <f aca="false">+F1549*0.03</f>
        <v>0</v>
      </c>
      <c r="F1549" s="33" t="n">
        <v>0</v>
      </c>
      <c r="G1549" s="62"/>
      <c r="H1549" s="35" t="n">
        <v>0</v>
      </c>
      <c r="I1549" s="34" t="n">
        <f aca="false">+IF(E1549=0,0,E1549*0.03)</f>
        <v>0</v>
      </c>
    </row>
    <row r="1550" customFormat="false" ht="15.75" hidden="false" customHeight="true" outlineLevel="0" collapsed="false">
      <c r="A1550" s="30" t="n">
        <v>45323</v>
      </c>
      <c r="B1550" s="31" t="s">
        <v>7</v>
      </c>
      <c r="C1550" s="32"/>
      <c r="D1550" s="32"/>
      <c r="E1550" s="19" t="n">
        <f aca="false">+F1550*0.03</f>
        <v>0</v>
      </c>
      <c r="F1550" s="33" t="n">
        <v>0</v>
      </c>
      <c r="G1550" s="62"/>
      <c r="H1550" s="35" t="n">
        <v>0</v>
      </c>
      <c r="I1550" s="34" t="n">
        <f aca="false">+IF(E1550=0,0,E1550*0.03)</f>
        <v>0</v>
      </c>
    </row>
    <row r="1551" customFormat="false" ht="15.75" hidden="false" customHeight="true" outlineLevel="0" collapsed="false">
      <c r="A1551" s="30" t="n">
        <v>45323</v>
      </c>
      <c r="B1551" s="31" t="s">
        <v>7</v>
      </c>
      <c r="C1551" s="32"/>
      <c r="D1551" s="32"/>
      <c r="E1551" s="19" t="n">
        <f aca="false">+F1551*0.03</f>
        <v>0</v>
      </c>
      <c r="F1551" s="33" t="n">
        <v>0</v>
      </c>
      <c r="G1551" s="62"/>
      <c r="H1551" s="35" t="n">
        <v>0</v>
      </c>
      <c r="I1551" s="34" t="n">
        <f aca="false">+IF(E1551=0,0,E1551*0.03)</f>
        <v>0</v>
      </c>
    </row>
    <row r="1552" customFormat="false" ht="15.75" hidden="false" customHeight="true" outlineLevel="0" collapsed="false">
      <c r="A1552" s="30" t="n">
        <v>45323</v>
      </c>
      <c r="B1552" s="31" t="s">
        <v>7</v>
      </c>
      <c r="C1552" s="32"/>
      <c r="D1552" s="32"/>
      <c r="E1552" s="19" t="n">
        <f aca="false">+F1552*0.03</f>
        <v>0</v>
      </c>
      <c r="F1552" s="33" t="n">
        <v>0</v>
      </c>
      <c r="G1552" s="62"/>
      <c r="H1552" s="35" t="n">
        <v>0</v>
      </c>
      <c r="I1552" s="34" t="n">
        <f aca="false">+IF(E1552=0,0,E1552*0.03)</f>
        <v>0</v>
      </c>
    </row>
    <row r="1553" customFormat="false" ht="15.75" hidden="false" customHeight="true" outlineLevel="0" collapsed="false">
      <c r="A1553" s="30" t="n">
        <v>45323</v>
      </c>
      <c r="B1553" s="31" t="s">
        <v>7</v>
      </c>
      <c r="C1553" s="32"/>
      <c r="D1553" s="32"/>
      <c r="E1553" s="19" t="n">
        <f aca="false">+F1553*0.03</f>
        <v>0</v>
      </c>
      <c r="F1553" s="33" t="n">
        <v>0</v>
      </c>
      <c r="G1553" s="62"/>
      <c r="H1553" s="35" t="n">
        <v>0</v>
      </c>
      <c r="I1553" s="34" t="n">
        <f aca="false">+IF(E1553=0,0,E1553*0.03)</f>
        <v>0</v>
      </c>
    </row>
    <row r="1554" customFormat="false" ht="15.75" hidden="false" customHeight="true" outlineLevel="0" collapsed="false">
      <c r="A1554" s="30" t="n">
        <v>45323</v>
      </c>
      <c r="B1554" s="31" t="s">
        <v>7</v>
      </c>
      <c r="C1554" s="32"/>
      <c r="D1554" s="32"/>
      <c r="E1554" s="19" t="n">
        <f aca="false">+F1554*0.03</f>
        <v>0</v>
      </c>
      <c r="F1554" s="33" t="n">
        <v>0</v>
      </c>
      <c r="G1554" s="62"/>
      <c r="H1554" s="35" t="n">
        <v>0</v>
      </c>
      <c r="I1554" s="34" t="n">
        <f aca="false">+IF(E1554=0,0,E1554*0.03)</f>
        <v>0</v>
      </c>
    </row>
    <row r="1555" customFormat="false" ht="15.75" hidden="false" customHeight="true" outlineLevel="0" collapsed="false">
      <c r="A1555" s="30" t="n">
        <v>45323</v>
      </c>
      <c r="B1555" s="31" t="s">
        <v>7</v>
      </c>
      <c r="C1555" s="32"/>
      <c r="D1555" s="32"/>
      <c r="E1555" s="19" t="n">
        <f aca="false">+F1555*0.03</f>
        <v>0</v>
      </c>
      <c r="F1555" s="33" t="n">
        <v>0</v>
      </c>
      <c r="G1555" s="62"/>
      <c r="H1555" s="35" t="n">
        <v>0</v>
      </c>
      <c r="I1555" s="34" t="n">
        <f aca="false">+IF(E1555=0,0,E1555*0.03)</f>
        <v>0</v>
      </c>
    </row>
    <row r="1556" customFormat="false" ht="15.75" hidden="false" customHeight="true" outlineLevel="0" collapsed="false">
      <c r="A1556" s="30" t="n">
        <v>45323</v>
      </c>
      <c r="B1556" s="31" t="s">
        <v>7</v>
      </c>
      <c r="C1556" s="32"/>
      <c r="D1556" s="32"/>
      <c r="E1556" s="19" t="n">
        <f aca="false">+F1556*0.03</f>
        <v>0</v>
      </c>
      <c r="F1556" s="33" t="n">
        <v>0</v>
      </c>
      <c r="G1556" s="62"/>
      <c r="H1556" s="35" t="n">
        <v>0</v>
      </c>
      <c r="I1556" s="34" t="n">
        <f aca="false">+IF(E1556=0,0,E1556*0.03)</f>
        <v>0</v>
      </c>
    </row>
    <row r="1557" customFormat="false" ht="15.75" hidden="false" customHeight="true" outlineLevel="0" collapsed="false">
      <c r="A1557" s="30" t="n">
        <v>45323</v>
      </c>
      <c r="B1557" s="31" t="s">
        <v>7</v>
      </c>
      <c r="C1557" s="32"/>
      <c r="D1557" s="32"/>
      <c r="E1557" s="19" t="n">
        <f aca="false">+F1557*0.03</f>
        <v>0</v>
      </c>
      <c r="F1557" s="33" t="n">
        <v>0</v>
      </c>
      <c r="G1557" s="62"/>
      <c r="H1557" s="35" t="n">
        <v>0</v>
      </c>
      <c r="I1557" s="34" t="n">
        <f aca="false">+IF(E1557=0,0,E1557*0.03)</f>
        <v>0</v>
      </c>
    </row>
    <row r="1558" customFormat="false" ht="15.75" hidden="false" customHeight="true" outlineLevel="0" collapsed="false">
      <c r="A1558" s="30" t="n">
        <v>45323</v>
      </c>
      <c r="B1558" s="31" t="s">
        <v>7</v>
      </c>
      <c r="C1558" s="32"/>
      <c r="D1558" s="32"/>
      <c r="E1558" s="19" t="n">
        <f aca="false">+F1558*0.03</f>
        <v>0</v>
      </c>
      <c r="F1558" s="33" t="n">
        <v>0</v>
      </c>
      <c r="G1558" s="62"/>
      <c r="H1558" s="35" t="n">
        <v>0</v>
      </c>
      <c r="I1558" s="34" t="n">
        <f aca="false">+IF(E1558=0,0,E1558*0.03)</f>
        <v>0</v>
      </c>
    </row>
    <row r="1559" customFormat="false" ht="15.75" hidden="false" customHeight="true" outlineLevel="0" collapsed="false">
      <c r="A1559" s="30" t="n">
        <v>45323</v>
      </c>
      <c r="B1559" s="31" t="s">
        <v>7</v>
      </c>
      <c r="C1559" s="32"/>
      <c r="D1559" s="32"/>
      <c r="E1559" s="19" t="n">
        <f aca="false">+F1559*0.03</f>
        <v>0</v>
      </c>
      <c r="F1559" s="33" t="n">
        <v>0</v>
      </c>
      <c r="G1559" s="62"/>
      <c r="H1559" s="35" t="n">
        <v>0</v>
      </c>
      <c r="I1559" s="34" t="n">
        <f aca="false">+IF(E1559=0,0,E1559*0.03)</f>
        <v>0</v>
      </c>
    </row>
    <row r="1560" customFormat="false" ht="15.75" hidden="false" customHeight="true" outlineLevel="0" collapsed="false">
      <c r="A1560" s="30" t="n">
        <v>45323</v>
      </c>
      <c r="B1560" s="31" t="s">
        <v>7</v>
      </c>
      <c r="C1560" s="32"/>
      <c r="D1560" s="32"/>
      <c r="E1560" s="19" t="n">
        <f aca="false">+F1560*0.03</f>
        <v>0</v>
      </c>
      <c r="F1560" s="33" t="n">
        <v>0</v>
      </c>
      <c r="G1560" s="62"/>
      <c r="H1560" s="35" t="n">
        <v>0</v>
      </c>
      <c r="I1560" s="34" t="n">
        <f aca="false">+IF(E1560=0,0,E1560*0.03)</f>
        <v>0</v>
      </c>
    </row>
    <row r="1561" customFormat="false" ht="15.75" hidden="false" customHeight="true" outlineLevel="0" collapsed="false">
      <c r="A1561" s="30" t="n">
        <v>45323</v>
      </c>
      <c r="B1561" s="31" t="s">
        <v>7</v>
      </c>
      <c r="C1561" s="32"/>
      <c r="D1561" s="32"/>
      <c r="E1561" s="19" t="n">
        <f aca="false">+F1561*0.03</f>
        <v>0</v>
      </c>
      <c r="F1561" s="33" t="n">
        <v>0</v>
      </c>
      <c r="G1561" s="62"/>
      <c r="H1561" s="35" t="n">
        <v>0</v>
      </c>
      <c r="I1561" s="34" t="n">
        <f aca="false">+IF(E1561=0,0,E1561*0.03)</f>
        <v>0</v>
      </c>
    </row>
    <row r="1562" customFormat="false" ht="15.75" hidden="false" customHeight="true" outlineLevel="0" collapsed="false">
      <c r="A1562" s="30" t="n">
        <v>45323</v>
      </c>
      <c r="B1562" s="31" t="s">
        <v>7</v>
      </c>
      <c r="C1562" s="32"/>
      <c r="D1562" s="32"/>
      <c r="E1562" s="19" t="n">
        <f aca="false">+F1562*0.03</f>
        <v>0</v>
      </c>
      <c r="F1562" s="33" t="n">
        <v>0</v>
      </c>
      <c r="G1562" s="62"/>
      <c r="H1562" s="35" t="n">
        <v>0</v>
      </c>
      <c r="I1562" s="34" t="n">
        <f aca="false">+IF(E1562=0,0,E1562*0.03)</f>
        <v>0</v>
      </c>
    </row>
    <row r="1563" customFormat="false" ht="15.75" hidden="false" customHeight="true" outlineLevel="0" collapsed="false">
      <c r="A1563" s="30" t="n">
        <v>45323</v>
      </c>
      <c r="B1563" s="31" t="s">
        <v>7</v>
      </c>
      <c r="C1563" s="32"/>
      <c r="D1563" s="32"/>
      <c r="E1563" s="19" t="n">
        <f aca="false">+F1563*0.03</f>
        <v>0</v>
      </c>
      <c r="F1563" s="33" t="n">
        <v>0</v>
      </c>
      <c r="G1563" s="62"/>
      <c r="H1563" s="35" t="n">
        <v>0</v>
      </c>
      <c r="I1563" s="34" t="n">
        <f aca="false">+IF(E1563=0,0,E1563*0.03)</f>
        <v>0</v>
      </c>
    </row>
    <row r="1564" customFormat="false" ht="15.75" hidden="false" customHeight="true" outlineLevel="0" collapsed="false">
      <c r="A1564" s="30" t="n">
        <v>45323</v>
      </c>
      <c r="B1564" s="31" t="s">
        <v>7</v>
      </c>
      <c r="C1564" s="32"/>
      <c r="D1564" s="32"/>
      <c r="E1564" s="19" t="n">
        <f aca="false">+F1564*0.03</f>
        <v>0</v>
      </c>
      <c r="F1564" s="33" t="n">
        <v>0</v>
      </c>
      <c r="G1564" s="62"/>
      <c r="H1564" s="35" t="n">
        <v>0</v>
      </c>
      <c r="I1564" s="34" t="n">
        <f aca="false">+IF(E1564=0,0,E1564*0.03)</f>
        <v>0</v>
      </c>
    </row>
    <row r="1565" customFormat="false" ht="15.75" hidden="false" customHeight="true" outlineLevel="0" collapsed="false">
      <c r="A1565" s="30" t="n">
        <v>45323</v>
      </c>
      <c r="B1565" s="31" t="s">
        <v>7</v>
      </c>
      <c r="C1565" s="32"/>
      <c r="D1565" s="32"/>
      <c r="E1565" s="19" t="n">
        <f aca="false">+F1565*0.03</f>
        <v>0</v>
      </c>
      <c r="F1565" s="33" t="n">
        <v>0</v>
      </c>
      <c r="G1565" s="62"/>
      <c r="H1565" s="35" t="n">
        <v>0</v>
      </c>
      <c r="I1565" s="34" t="n">
        <f aca="false">+IF(E1565=0,0,E1565*0.03)</f>
        <v>0</v>
      </c>
    </row>
    <row r="1566" customFormat="false" ht="15.75" hidden="false" customHeight="true" outlineLevel="0" collapsed="false">
      <c r="A1566" s="30" t="n">
        <v>45323</v>
      </c>
      <c r="B1566" s="31" t="s">
        <v>7</v>
      </c>
      <c r="C1566" s="32"/>
      <c r="D1566" s="32"/>
      <c r="E1566" s="19" t="n">
        <f aca="false">+F1566*0.03</f>
        <v>0</v>
      </c>
      <c r="F1566" s="33" t="n">
        <v>0</v>
      </c>
      <c r="G1566" s="62"/>
      <c r="H1566" s="35" t="n">
        <v>0</v>
      </c>
      <c r="I1566" s="34" t="n">
        <f aca="false">+IF(E1566=0,0,E1566*0.03)</f>
        <v>0</v>
      </c>
    </row>
    <row r="1567" customFormat="false" ht="15.75" hidden="false" customHeight="true" outlineLevel="0" collapsed="false">
      <c r="A1567" s="30" t="n">
        <v>45323</v>
      </c>
      <c r="B1567" s="31" t="s">
        <v>7</v>
      </c>
      <c r="C1567" s="32"/>
      <c r="D1567" s="32"/>
      <c r="E1567" s="19" t="n">
        <f aca="false">+F1567*0.03</f>
        <v>0</v>
      </c>
      <c r="F1567" s="33" t="n">
        <v>0</v>
      </c>
      <c r="G1567" s="62"/>
      <c r="H1567" s="35" t="n">
        <v>0</v>
      </c>
      <c r="I1567" s="34" t="n">
        <f aca="false">+IF(E1567=0,0,E1567*0.03)</f>
        <v>0</v>
      </c>
    </row>
    <row r="1568" customFormat="false" ht="15.75" hidden="false" customHeight="true" outlineLevel="0" collapsed="false">
      <c r="A1568" s="30" t="n">
        <v>45323</v>
      </c>
      <c r="B1568" s="31" t="s">
        <v>7</v>
      </c>
      <c r="C1568" s="32"/>
      <c r="D1568" s="32"/>
      <c r="E1568" s="19" t="n">
        <f aca="false">+F1568*0.03</f>
        <v>0</v>
      </c>
      <c r="F1568" s="33" t="n">
        <v>0</v>
      </c>
      <c r="G1568" s="62"/>
      <c r="H1568" s="35" t="n">
        <v>0</v>
      </c>
      <c r="I1568" s="34" t="n">
        <f aca="false">+IF(E1568=0,0,E1568*0.03)</f>
        <v>0</v>
      </c>
    </row>
    <row r="1569" customFormat="false" ht="15.75" hidden="false" customHeight="true" outlineLevel="0" collapsed="false">
      <c r="A1569" s="30" t="n">
        <v>45323</v>
      </c>
      <c r="B1569" s="31" t="s">
        <v>7</v>
      </c>
      <c r="C1569" s="32"/>
      <c r="D1569" s="32"/>
      <c r="E1569" s="19" t="n">
        <f aca="false">+F1569*0.03</f>
        <v>0</v>
      </c>
      <c r="F1569" s="33" t="n">
        <v>0</v>
      </c>
      <c r="G1569" s="62"/>
      <c r="H1569" s="35" t="n">
        <v>0</v>
      </c>
      <c r="I1569" s="34" t="n">
        <f aca="false">+IF(E1569=0,0,E1569*0.03)</f>
        <v>0</v>
      </c>
    </row>
    <row r="1570" customFormat="false" ht="15.75" hidden="false" customHeight="true" outlineLevel="0" collapsed="false">
      <c r="A1570" s="30" t="n">
        <v>45323</v>
      </c>
      <c r="B1570" s="31" t="s">
        <v>7</v>
      </c>
      <c r="C1570" s="32"/>
      <c r="D1570" s="32"/>
      <c r="E1570" s="19" t="n">
        <f aca="false">+F1570*0.03</f>
        <v>0</v>
      </c>
      <c r="F1570" s="33" t="n">
        <v>0</v>
      </c>
      <c r="G1570" s="62"/>
      <c r="H1570" s="35" t="n">
        <v>0</v>
      </c>
      <c r="I1570" s="34" t="n">
        <f aca="false">+IF(E1570=0,0,E1570*0.03)</f>
        <v>0</v>
      </c>
    </row>
    <row r="1571" customFormat="false" ht="15.75" hidden="false" customHeight="true" outlineLevel="0" collapsed="false">
      <c r="A1571" s="30" t="n">
        <v>45323</v>
      </c>
      <c r="B1571" s="31" t="s">
        <v>7</v>
      </c>
      <c r="C1571" s="32"/>
      <c r="D1571" s="32"/>
      <c r="E1571" s="19" t="n">
        <f aca="false">+F1571*0.03</f>
        <v>0</v>
      </c>
      <c r="F1571" s="33" t="n">
        <v>0</v>
      </c>
      <c r="G1571" s="62"/>
      <c r="H1571" s="35" t="n">
        <v>0</v>
      </c>
      <c r="I1571" s="34" t="n">
        <f aca="false">+IF(E1571=0,0,E1571*0.03)</f>
        <v>0</v>
      </c>
    </row>
    <row r="1572" customFormat="false" ht="15.75" hidden="false" customHeight="true" outlineLevel="0" collapsed="false">
      <c r="A1572" s="30" t="n">
        <v>45323</v>
      </c>
      <c r="B1572" s="31" t="s">
        <v>7</v>
      </c>
      <c r="C1572" s="32"/>
      <c r="D1572" s="32"/>
      <c r="E1572" s="19" t="n">
        <f aca="false">+F1572*0.03</f>
        <v>0</v>
      </c>
      <c r="F1572" s="33" t="n">
        <v>0</v>
      </c>
      <c r="G1572" s="62"/>
      <c r="H1572" s="35" t="n">
        <v>0</v>
      </c>
      <c r="I1572" s="34" t="n">
        <f aca="false">+IF(E1572=0,0,E1572*0.03)</f>
        <v>0</v>
      </c>
    </row>
    <row r="1573" customFormat="false" ht="15.75" hidden="false" customHeight="true" outlineLevel="0" collapsed="false">
      <c r="A1573" s="30" t="n">
        <v>45323</v>
      </c>
      <c r="B1573" s="31" t="s">
        <v>7</v>
      </c>
      <c r="C1573" s="32"/>
      <c r="D1573" s="32"/>
      <c r="E1573" s="19" t="n">
        <f aca="false">+F1573*0.03</f>
        <v>0</v>
      </c>
      <c r="F1573" s="33" t="n">
        <v>0</v>
      </c>
      <c r="G1573" s="62"/>
      <c r="H1573" s="35" t="n">
        <v>0</v>
      </c>
      <c r="I1573" s="34" t="n">
        <f aca="false">+IF(E1573=0,0,E1573*0.03)</f>
        <v>0</v>
      </c>
    </row>
    <row r="1574" customFormat="false" ht="15.75" hidden="false" customHeight="true" outlineLevel="0" collapsed="false">
      <c r="A1574" s="30" t="n">
        <v>45323</v>
      </c>
      <c r="B1574" s="31" t="s">
        <v>7</v>
      </c>
      <c r="C1574" s="32"/>
      <c r="D1574" s="32"/>
      <c r="E1574" s="19" t="n">
        <f aca="false">+F1574*0.03</f>
        <v>0</v>
      </c>
      <c r="F1574" s="33" t="n">
        <v>0</v>
      </c>
      <c r="G1574" s="62"/>
      <c r="H1574" s="35" t="n">
        <v>0</v>
      </c>
      <c r="I1574" s="34" t="n">
        <f aca="false">+IF(E1574=0,0,E1574*0.03)</f>
        <v>0</v>
      </c>
    </row>
    <row r="1575" customFormat="false" ht="15.75" hidden="false" customHeight="true" outlineLevel="0" collapsed="false">
      <c r="A1575" s="30" t="n">
        <v>45323</v>
      </c>
      <c r="B1575" s="31" t="s">
        <v>7</v>
      </c>
      <c r="C1575" s="32"/>
      <c r="D1575" s="32"/>
      <c r="E1575" s="19" t="n">
        <f aca="false">+F1575*0.03</f>
        <v>0</v>
      </c>
      <c r="F1575" s="33" t="n">
        <v>0</v>
      </c>
      <c r="G1575" s="62"/>
      <c r="H1575" s="35" t="n">
        <v>0</v>
      </c>
      <c r="I1575" s="34" t="n">
        <f aca="false">+IF(E1575=0,0,E1575*0.03)</f>
        <v>0</v>
      </c>
    </row>
    <row r="1576" customFormat="false" ht="15.75" hidden="false" customHeight="true" outlineLevel="0" collapsed="false">
      <c r="A1576" s="30" t="n">
        <v>45323</v>
      </c>
      <c r="B1576" s="31" t="s">
        <v>7</v>
      </c>
      <c r="C1576" s="32"/>
      <c r="D1576" s="32"/>
      <c r="E1576" s="19" t="n">
        <f aca="false">+F1576*0.03</f>
        <v>0</v>
      </c>
      <c r="F1576" s="33" t="n">
        <v>0</v>
      </c>
      <c r="G1576" s="62"/>
      <c r="H1576" s="35" t="n">
        <v>0</v>
      </c>
      <c r="I1576" s="34" t="n">
        <f aca="false">+IF(E1576=0,0,E1576*0.03)</f>
        <v>0</v>
      </c>
    </row>
    <row r="1577" customFormat="false" ht="15.75" hidden="false" customHeight="true" outlineLevel="0" collapsed="false">
      <c r="A1577" s="30" t="n">
        <v>45323</v>
      </c>
      <c r="B1577" s="31" t="s">
        <v>7</v>
      </c>
      <c r="C1577" s="32"/>
      <c r="D1577" s="32"/>
      <c r="E1577" s="19" t="n">
        <f aca="false">+F1577*0.03</f>
        <v>0</v>
      </c>
      <c r="F1577" s="33" t="n">
        <v>0</v>
      </c>
      <c r="G1577" s="62"/>
      <c r="H1577" s="35" t="n">
        <v>0</v>
      </c>
      <c r="I1577" s="34" t="n">
        <f aca="false">+IF(E1577=0,0,E1577*0.03)</f>
        <v>0</v>
      </c>
    </row>
    <row r="1578" customFormat="false" ht="15.75" hidden="false" customHeight="true" outlineLevel="0" collapsed="false">
      <c r="A1578" s="30" t="n">
        <v>45323</v>
      </c>
      <c r="B1578" s="31" t="s">
        <v>7</v>
      </c>
      <c r="C1578" s="32"/>
      <c r="D1578" s="32"/>
      <c r="E1578" s="19" t="n">
        <f aca="false">+F1578*0.03</f>
        <v>0</v>
      </c>
      <c r="F1578" s="33" t="n">
        <v>0</v>
      </c>
      <c r="G1578" s="62"/>
      <c r="H1578" s="35" t="n">
        <v>0</v>
      </c>
      <c r="I1578" s="34" t="n">
        <f aca="false">+IF(E1578=0,0,E1578*0.03)</f>
        <v>0</v>
      </c>
    </row>
    <row r="1579" customFormat="false" ht="15.75" hidden="false" customHeight="true" outlineLevel="0" collapsed="false">
      <c r="A1579" s="30" t="n">
        <v>45323</v>
      </c>
      <c r="B1579" s="31" t="s">
        <v>7</v>
      </c>
      <c r="C1579" s="32"/>
      <c r="D1579" s="32"/>
      <c r="E1579" s="19" t="n">
        <f aca="false">+F1579*0.03</f>
        <v>0</v>
      </c>
      <c r="F1579" s="33" t="n">
        <v>0</v>
      </c>
      <c r="G1579" s="62"/>
      <c r="H1579" s="35" t="n">
        <v>0</v>
      </c>
      <c r="I1579" s="34" t="n">
        <f aca="false">+IF(E1579=0,0,E1579*0.03)</f>
        <v>0</v>
      </c>
    </row>
    <row r="1580" customFormat="false" ht="15.75" hidden="false" customHeight="true" outlineLevel="0" collapsed="false">
      <c r="A1580" s="30" t="n">
        <v>45323</v>
      </c>
      <c r="B1580" s="31" t="s">
        <v>7</v>
      </c>
      <c r="C1580" s="32"/>
      <c r="D1580" s="32"/>
      <c r="E1580" s="19" t="n">
        <f aca="false">+F1580*0.03</f>
        <v>0</v>
      </c>
      <c r="F1580" s="33" t="n">
        <v>0</v>
      </c>
      <c r="G1580" s="62"/>
      <c r="H1580" s="35" t="n">
        <v>0</v>
      </c>
      <c r="I1580" s="34" t="n">
        <f aca="false">+IF(E1580=0,0,E1580*0.03)</f>
        <v>0</v>
      </c>
    </row>
    <row r="1581" customFormat="false" ht="15.75" hidden="false" customHeight="true" outlineLevel="0" collapsed="false">
      <c r="A1581" s="30" t="n">
        <v>45323</v>
      </c>
      <c r="B1581" s="31" t="s">
        <v>7</v>
      </c>
      <c r="C1581" s="32"/>
      <c r="D1581" s="32"/>
      <c r="E1581" s="19" t="n">
        <f aca="false">+F1581*0.03</f>
        <v>0</v>
      </c>
      <c r="F1581" s="33" t="n">
        <v>0</v>
      </c>
      <c r="G1581" s="62"/>
      <c r="H1581" s="35" t="n">
        <v>0</v>
      </c>
      <c r="I1581" s="34" t="n">
        <f aca="false">+IF(E1581=0,0,E1581*0.03)</f>
        <v>0</v>
      </c>
    </row>
    <row r="1582" customFormat="false" ht="15.75" hidden="false" customHeight="true" outlineLevel="0" collapsed="false">
      <c r="A1582" s="30" t="n">
        <v>45323</v>
      </c>
      <c r="B1582" s="31" t="s">
        <v>7</v>
      </c>
      <c r="C1582" s="32"/>
      <c r="D1582" s="32"/>
      <c r="E1582" s="19" t="n">
        <f aca="false">+F1582*0.03</f>
        <v>0</v>
      </c>
      <c r="F1582" s="33" t="n">
        <v>0</v>
      </c>
      <c r="G1582" s="62"/>
      <c r="H1582" s="35" t="n">
        <v>0</v>
      </c>
      <c r="I1582" s="34" t="n">
        <f aca="false">+IF(E1582=0,0,E1582*0.03)</f>
        <v>0</v>
      </c>
    </row>
    <row r="1583" customFormat="false" ht="15.75" hidden="false" customHeight="true" outlineLevel="0" collapsed="false">
      <c r="A1583" s="30" t="n">
        <v>45323</v>
      </c>
      <c r="B1583" s="31" t="s">
        <v>7</v>
      </c>
      <c r="C1583" s="32"/>
      <c r="D1583" s="32"/>
      <c r="E1583" s="19" t="n">
        <f aca="false">+F1583*0.03</f>
        <v>0</v>
      </c>
      <c r="F1583" s="33" t="n">
        <v>0</v>
      </c>
      <c r="G1583" s="62"/>
      <c r="H1583" s="35" t="n">
        <v>0</v>
      </c>
      <c r="I1583" s="34" t="n">
        <f aca="false">+IF(E1583=0,0,E1583*0.03)</f>
        <v>0</v>
      </c>
    </row>
    <row r="1584" customFormat="false" ht="15.75" hidden="false" customHeight="true" outlineLevel="0" collapsed="false">
      <c r="A1584" s="30" t="n">
        <v>45323</v>
      </c>
      <c r="B1584" s="31" t="s">
        <v>7</v>
      </c>
      <c r="C1584" s="32"/>
      <c r="D1584" s="32"/>
      <c r="E1584" s="19" t="n">
        <f aca="false">+F1584*0.03</f>
        <v>0</v>
      </c>
      <c r="F1584" s="33" t="n">
        <v>0</v>
      </c>
      <c r="G1584" s="62"/>
      <c r="H1584" s="35" t="n">
        <v>0</v>
      </c>
      <c r="I1584" s="34" t="n">
        <f aca="false">+IF(E1584=0,0,E1584*0.03)</f>
        <v>0</v>
      </c>
    </row>
    <row r="1585" customFormat="false" ht="15.75" hidden="false" customHeight="true" outlineLevel="0" collapsed="false">
      <c r="A1585" s="30" t="n">
        <v>45323</v>
      </c>
      <c r="B1585" s="31" t="s">
        <v>7</v>
      </c>
      <c r="C1585" s="32"/>
      <c r="D1585" s="32"/>
      <c r="E1585" s="19" t="n">
        <f aca="false">+F1585*0.03</f>
        <v>0</v>
      </c>
      <c r="F1585" s="33" t="n">
        <v>0</v>
      </c>
      <c r="G1585" s="62"/>
      <c r="H1585" s="35" t="n">
        <v>0</v>
      </c>
      <c r="I1585" s="34" t="n">
        <f aca="false">+IF(E1585=0,0,E1585*0.03)</f>
        <v>0</v>
      </c>
    </row>
    <row r="1586" customFormat="false" ht="15.75" hidden="false" customHeight="true" outlineLevel="0" collapsed="false">
      <c r="A1586" s="30" t="n">
        <v>45323</v>
      </c>
      <c r="B1586" s="31" t="s">
        <v>7</v>
      </c>
      <c r="C1586" s="32"/>
      <c r="D1586" s="32"/>
      <c r="E1586" s="19" t="n">
        <f aca="false">+F1586*0.03</f>
        <v>0</v>
      </c>
      <c r="F1586" s="33" t="n">
        <v>0</v>
      </c>
      <c r="G1586" s="62"/>
      <c r="H1586" s="35" t="n">
        <v>0</v>
      </c>
      <c r="I1586" s="34" t="n">
        <f aca="false">+IF(E1586=0,0,E1586*0.03)</f>
        <v>0</v>
      </c>
    </row>
    <row r="1587" customFormat="false" ht="15.75" hidden="false" customHeight="true" outlineLevel="0" collapsed="false">
      <c r="A1587" s="30" t="n">
        <v>45323</v>
      </c>
      <c r="B1587" s="31" t="s">
        <v>7</v>
      </c>
      <c r="C1587" s="32"/>
      <c r="D1587" s="32"/>
      <c r="E1587" s="19" t="n">
        <f aca="false">+F1587*0.03</f>
        <v>0</v>
      </c>
      <c r="F1587" s="33" t="n">
        <v>0</v>
      </c>
      <c r="G1587" s="62"/>
      <c r="H1587" s="35" t="n">
        <v>0</v>
      </c>
      <c r="I1587" s="34" t="n">
        <f aca="false">+IF(E1587=0,0,E1587*0.03)</f>
        <v>0</v>
      </c>
    </row>
    <row r="1588" customFormat="false" ht="15.75" hidden="false" customHeight="true" outlineLevel="0" collapsed="false">
      <c r="A1588" s="30" t="n">
        <v>45323</v>
      </c>
      <c r="B1588" s="31" t="s">
        <v>7</v>
      </c>
      <c r="C1588" s="32"/>
      <c r="D1588" s="32"/>
      <c r="E1588" s="19" t="n">
        <f aca="false">+F1588*0.03</f>
        <v>0</v>
      </c>
      <c r="F1588" s="33" t="n">
        <v>0</v>
      </c>
      <c r="G1588" s="62"/>
      <c r="H1588" s="35" t="n">
        <v>0</v>
      </c>
      <c r="I1588" s="34" t="n">
        <f aca="false">+IF(E1588=0,0,E1588*0.03)</f>
        <v>0</v>
      </c>
    </row>
    <row r="1589" customFormat="false" ht="15.75" hidden="false" customHeight="true" outlineLevel="0" collapsed="false">
      <c r="A1589" s="30" t="n">
        <v>45323</v>
      </c>
      <c r="B1589" s="31" t="s">
        <v>7</v>
      </c>
      <c r="C1589" s="32"/>
      <c r="D1589" s="32"/>
      <c r="E1589" s="19" t="n">
        <f aca="false">+F1589*0.03</f>
        <v>0</v>
      </c>
      <c r="F1589" s="33" t="n">
        <v>0</v>
      </c>
      <c r="G1589" s="62"/>
      <c r="H1589" s="35" t="n">
        <v>0</v>
      </c>
      <c r="I1589" s="34" t="n">
        <f aca="false">+IF(E1589=0,0,E1589*0.03)</f>
        <v>0</v>
      </c>
    </row>
    <row r="1590" customFormat="false" ht="15.75" hidden="false" customHeight="true" outlineLevel="0" collapsed="false">
      <c r="A1590" s="30" t="n">
        <v>45323</v>
      </c>
      <c r="B1590" s="31" t="s">
        <v>7</v>
      </c>
      <c r="C1590" s="32"/>
      <c r="D1590" s="32"/>
      <c r="E1590" s="19" t="n">
        <f aca="false">+F1590*0.03</f>
        <v>0</v>
      </c>
      <c r="F1590" s="33" t="n">
        <v>0</v>
      </c>
      <c r="G1590" s="62"/>
      <c r="H1590" s="35" t="n">
        <v>0</v>
      </c>
      <c r="I1590" s="34" t="n">
        <f aca="false">+IF(E1590=0,0,E1590*0.03)</f>
        <v>0</v>
      </c>
    </row>
    <row r="1591" customFormat="false" ht="15.75" hidden="false" customHeight="true" outlineLevel="0" collapsed="false">
      <c r="A1591" s="30" t="n">
        <v>45323</v>
      </c>
      <c r="B1591" s="31" t="s">
        <v>7</v>
      </c>
      <c r="C1591" s="32"/>
      <c r="D1591" s="32"/>
      <c r="E1591" s="19" t="n">
        <f aca="false">+F1591*0.03</f>
        <v>0</v>
      </c>
      <c r="F1591" s="33" t="n">
        <v>0</v>
      </c>
      <c r="G1591" s="62"/>
      <c r="H1591" s="35" t="n">
        <v>0</v>
      </c>
      <c r="I1591" s="34" t="n">
        <f aca="false">+IF(E1591=0,0,E1591*0.03)</f>
        <v>0</v>
      </c>
    </row>
    <row r="1592" customFormat="false" ht="15.75" hidden="false" customHeight="true" outlineLevel="0" collapsed="false">
      <c r="A1592" s="30" t="n">
        <v>45323</v>
      </c>
      <c r="B1592" s="31" t="s">
        <v>7</v>
      </c>
      <c r="C1592" s="32"/>
      <c r="D1592" s="32"/>
      <c r="E1592" s="19" t="n">
        <f aca="false">+F1592*0.03</f>
        <v>0</v>
      </c>
      <c r="F1592" s="33" t="n">
        <v>0</v>
      </c>
      <c r="G1592" s="62"/>
      <c r="H1592" s="35" t="n">
        <v>0</v>
      </c>
      <c r="I1592" s="34" t="n">
        <f aca="false">+IF(E1592=0,0,E1592*0.03)</f>
        <v>0</v>
      </c>
    </row>
    <row r="1593" customFormat="false" ht="15.75" hidden="false" customHeight="true" outlineLevel="0" collapsed="false">
      <c r="A1593" s="30" t="n">
        <v>45323</v>
      </c>
      <c r="B1593" s="31" t="s">
        <v>7</v>
      </c>
      <c r="C1593" s="32"/>
      <c r="D1593" s="32"/>
      <c r="E1593" s="19" t="n">
        <f aca="false">+F1593*0.03</f>
        <v>0</v>
      </c>
      <c r="F1593" s="33" t="n">
        <v>0</v>
      </c>
      <c r="G1593" s="62"/>
      <c r="H1593" s="35" t="n">
        <v>0</v>
      </c>
      <c r="I1593" s="34" t="n">
        <f aca="false">+IF(E1593=0,0,E1593*0.03)</f>
        <v>0</v>
      </c>
    </row>
    <row r="1594" customFormat="false" ht="15.75" hidden="false" customHeight="true" outlineLevel="0" collapsed="false">
      <c r="A1594" s="30" t="n">
        <v>45323</v>
      </c>
      <c r="B1594" s="31" t="s">
        <v>7</v>
      </c>
      <c r="C1594" s="32"/>
      <c r="D1594" s="32"/>
      <c r="E1594" s="19" t="n">
        <f aca="false">+F1594*0.03</f>
        <v>0</v>
      </c>
      <c r="F1594" s="33" t="n">
        <v>0</v>
      </c>
      <c r="G1594" s="62"/>
      <c r="H1594" s="35" t="n">
        <v>0</v>
      </c>
      <c r="I1594" s="34" t="n">
        <f aca="false">+IF(E1594=0,0,E1594*0.03)</f>
        <v>0</v>
      </c>
    </row>
    <row r="1595" customFormat="false" ht="15.75" hidden="false" customHeight="true" outlineLevel="0" collapsed="false">
      <c r="A1595" s="30" t="n">
        <v>45323</v>
      </c>
      <c r="B1595" s="31" t="s">
        <v>7</v>
      </c>
      <c r="C1595" s="32"/>
      <c r="D1595" s="32"/>
      <c r="E1595" s="19" t="n">
        <f aca="false">+F1595*0.03</f>
        <v>0</v>
      </c>
      <c r="F1595" s="33" t="n">
        <v>0</v>
      </c>
      <c r="G1595" s="62"/>
      <c r="H1595" s="35" t="n">
        <v>0</v>
      </c>
      <c r="I1595" s="34" t="n">
        <f aca="false">+IF(E1595=0,0,E1595*0.03)</f>
        <v>0</v>
      </c>
    </row>
    <row r="1596" customFormat="false" ht="15.75" hidden="false" customHeight="true" outlineLevel="0" collapsed="false">
      <c r="A1596" s="30" t="n">
        <v>45323</v>
      </c>
      <c r="B1596" s="31" t="s">
        <v>7</v>
      </c>
      <c r="C1596" s="32"/>
      <c r="D1596" s="32"/>
      <c r="E1596" s="19" t="n">
        <f aca="false">+F1596*0.03</f>
        <v>0</v>
      </c>
      <c r="F1596" s="33" t="n">
        <v>0</v>
      </c>
      <c r="G1596" s="62"/>
      <c r="H1596" s="35" t="n">
        <v>0</v>
      </c>
      <c r="I1596" s="34" t="n">
        <f aca="false">+IF(E1596=0,0,E1596*0.03)</f>
        <v>0</v>
      </c>
    </row>
    <row r="1597" customFormat="false" ht="15.75" hidden="false" customHeight="true" outlineLevel="0" collapsed="false">
      <c r="A1597" s="30" t="n">
        <v>45323</v>
      </c>
      <c r="B1597" s="31" t="s">
        <v>7</v>
      </c>
      <c r="C1597" s="32"/>
      <c r="D1597" s="32"/>
      <c r="E1597" s="19" t="n">
        <f aca="false">+F1597*0.03</f>
        <v>0</v>
      </c>
      <c r="F1597" s="33" t="n">
        <v>0</v>
      </c>
      <c r="G1597" s="62"/>
      <c r="H1597" s="35" t="n">
        <v>0</v>
      </c>
      <c r="I1597" s="34" t="n">
        <f aca="false">+IF(E1597=0,0,E1597*0.03)</f>
        <v>0</v>
      </c>
    </row>
    <row r="1598" customFormat="false" ht="15.75" hidden="false" customHeight="true" outlineLevel="0" collapsed="false">
      <c r="A1598" s="30" t="n">
        <v>45323</v>
      </c>
      <c r="B1598" s="31" t="s">
        <v>7</v>
      </c>
      <c r="C1598" s="32"/>
      <c r="D1598" s="32"/>
      <c r="E1598" s="19" t="n">
        <f aca="false">+F1598*0.03</f>
        <v>0</v>
      </c>
      <c r="F1598" s="33" t="n">
        <v>0</v>
      </c>
      <c r="G1598" s="62"/>
      <c r="H1598" s="35" t="n">
        <v>0</v>
      </c>
      <c r="I1598" s="34" t="n">
        <f aca="false">+IF(E1598=0,0,E1598*0.03)</f>
        <v>0</v>
      </c>
    </row>
    <row r="1599" customFormat="false" ht="15.75" hidden="false" customHeight="true" outlineLevel="0" collapsed="false">
      <c r="A1599" s="30" t="n">
        <v>45323</v>
      </c>
      <c r="B1599" s="31" t="s">
        <v>7</v>
      </c>
      <c r="C1599" s="32"/>
      <c r="D1599" s="32"/>
      <c r="E1599" s="19" t="n">
        <f aca="false">+F1599*0.03</f>
        <v>0</v>
      </c>
      <c r="F1599" s="33" t="n">
        <v>0</v>
      </c>
      <c r="G1599" s="62"/>
      <c r="H1599" s="35" t="n">
        <v>0</v>
      </c>
      <c r="I1599" s="34" t="n">
        <f aca="false">+IF(E1599=0,0,E1599*0.03)</f>
        <v>0</v>
      </c>
    </row>
    <row r="1600" customFormat="false" ht="15.75" hidden="false" customHeight="true" outlineLevel="0" collapsed="false">
      <c r="A1600" s="30" t="n">
        <v>45323</v>
      </c>
      <c r="B1600" s="31" t="s">
        <v>7</v>
      </c>
      <c r="C1600" s="32"/>
      <c r="D1600" s="32"/>
      <c r="E1600" s="19" t="n">
        <f aca="false">+F1600*0.03</f>
        <v>0</v>
      </c>
      <c r="F1600" s="33" t="n">
        <v>0</v>
      </c>
      <c r="G1600" s="62"/>
      <c r="H1600" s="35" t="n">
        <v>0</v>
      </c>
      <c r="I1600" s="34" t="n">
        <f aca="false">+IF(E1600=0,0,E1600*0.03)</f>
        <v>0</v>
      </c>
    </row>
    <row r="1601" customFormat="false" ht="15.75" hidden="false" customHeight="true" outlineLevel="0" collapsed="false">
      <c r="A1601" s="30" t="n">
        <v>45323</v>
      </c>
      <c r="B1601" s="31" t="s">
        <v>7</v>
      </c>
      <c r="C1601" s="32"/>
      <c r="D1601" s="32"/>
      <c r="E1601" s="19" t="n">
        <f aca="false">+F1601*0.03</f>
        <v>0</v>
      </c>
      <c r="F1601" s="33" t="n">
        <v>0</v>
      </c>
      <c r="G1601" s="62"/>
      <c r="H1601" s="35" t="n">
        <v>0</v>
      </c>
      <c r="I1601" s="34" t="n">
        <f aca="false">+IF(E1601=0,0,E1601*0.03)</f>
        <v>0</v>
      </c>
    </row>
    <row r="1602" customFormat="false" ht="15.75" hidden="false" customHeight="true" outlineLevel="0" collapsed="false">
      <c r="A1602" s="30" t="n">
        <v>45323</v>
      </c>
      <c r="B1602" s="31" t="s">
        <v>7</v>
      </c>
      <c r="C1602" s="32"/>
      <c r="D1602" s="32"/>
      <c r="E1602" s="19" t="n">
        <f aca="false">+F1602*0.03</f>
        <v>0</v>
      </c>
      <c r="F1602" s="33" t="n">
        <v>0</v>
      </c>
      <c r="G1602" s="62"/>
      <c r="H1602" s="35" t="n">
        <v>0</v>
      </c>
      <c r="I1602" s="34" t="n">
        <f aca="false">+IF(E1602=0,0,E1602*0.03)</f>
        <v>0</v>
      </c>
    </row>
    <row r="1603" customFormat="false" ht="15.75" hidden="false" customHeight="true" outlineLevel="0" collapsed="false">
      <c r="A1603" s="30" t="n">
        <v>45323</v>
      </c>
      <c r="B1603" s="31" t="s">
        <v>7</v>
      </c>
      <c r="C1603" s="32"/>
      <c r="D1603" s="32"/>
      <c r="E1603" s="19" t="n">
        <f aca="false">+F1603*0.03</f>
        <v>0</v>
      </c>
      <c r="F1603" s="33" t="n">
        <v>0</v>
      </c>
      <c r="G1603" s="62"/>
      <c r="H1603" s="35" t="n">
        <v>0</v>
      </c>
      <c r="I1603" s="34" t="n">
        <f aca="false">+IF(E1603=0,0,E1603*0.03)</f>
        <v>0</v>
      </c>
    </row>
    <row r="1604" customFormat="false" ht="15.75" hidden="false" customHeight="true" outlineLevel="0" collapsed="false">
      <c r="A1604" s="30" t="n">
        <v>45323</v>
      </c>
      <c r="B1604" s="31" t="s">
        <v>7</v>
      </c>
      <c r="C1604" s="32"/>
      <c r="D1604" s="32"/>
      <c r="E1604" s="19" t="n">
        <f aca="false">+F1604*0.03</f>
        <v>0</v>
      </c>
      <c r="F1604" s="33" t="n">
        <v>0</v>
      </c>
      <c r="G1604" s="62"/>
      <c r="H1604" s="35" t="n">
        <v>0</v>
      </c>
      <c r="I1604" s="34" t="n">
        <f aca="false">+IF(E1604=0,0,E1604*0.03)</f>
        <v>0</v>
      </c>
    </row>
    <row r="1605" customFormat="false" ht="15.75" hidden="false" customHeight="true" outlineLevel="0" collapsed="false">
      <c r="A1605" s="30" t="n">
        <v>45323</v>
      </c>
      <c r="B1605" s="31" t="s">
        <v>7</v>
      </c>
      <c r="C1605" s="32"/>
      <c r="D1605" s="32"/>
      <c r="E1605" s="19" t="n">
        <f aca="false">+F1605*0.03</f>
        <v>0</v>
      </c>
      <c r="F1605" s="33" t="n">
        <v>0</v>
      </c>
      <c r="G1605" s="62"/>
      <c r="H1605" s="35" t="n">
        <v>0</v>
      </c>
      <c r="I1605" s="34" t="n">
        <f aca="false">+IF(E1605=0,0,E1605*0.03)</f>
        <v>0</v>
      </c>
    </row>
    <row r="1606" customFormat="false" ht="15.75" hidden="false" customHeight="true" outlineLevel="0" collapsed="false">
      <c r="A1606" s="30" t="n">
        <v>45323</v>
      </c>
      <c r="B1606" s="31" t="s">
        <v>7</v>
      </c>
      <c r="C1606" s="32"/>
      <c r="D1606" s="32"/>
      <c r="E1606" s="19" t="n">
        <f aca="false">+F1606*0.03</f>
        <v>0</v>
      </c>
      <c r="F1606" s="33" t="n">
        <v>0</v>
      </c>
      <c r="G1606" s="62"/>
      <c r="H1606" s="35" t="n">
        <v>0</v>
      </c>
      <c r="I1606" s="34" t="n">
        <f aca="false">+IF(E1606=0,0,E1606*0.03)</f>
        <v>0</v>
      </c>
    </row>
    <row r="1607" customFormat="false" ht="15.75" hidden="false" customHeight="true" outlineLevel="0" collapsed="false">
      <c r="A1607" s="30" t="n">
        <v>45323</v>
      </c>
      <c r="B1607" s="31" t="s">
        <v>7</v>
      </c>
      <c r="C1607" s="32"/>
      <c r="D1607" s="32"/>
      <c r="E1607" s="19" t="n">
        <f aca="false">+F1607*0.03</f>
        <v>0</v>
      </c>
      <c r="F1607" s="33" t="n">
        <v>0</v>
      </c>
      <c r="G1607" s="62"/>
      <c r="H1607" s="35" t="n">
        <v>0</v>
      </c>
      <c r="I1607" s="34" t="n">
        <f aca="false">+IF(E1607=0,0,E1607*0.03)</f>
        <v>0</v>
      </c>
    </row>
    <row r="1608" customFormat="false" ht="15.75" hidden="false" customHeight="true" outlineLevel="0" collapsed="false">
      <c r="A1608" s="30" t="n">
        <v>45323</v>
      </c>
      <c r="B1608" s="31" t="s">
        <v>7</v>
      </c>
      <c r="C1608" s="32"/>
      <c r="D1608" s="32"/>
      <c r="E1608" s="19" t="n">
        <f aca="false">+F1608*0.03</f>
        <v>0</v>
      </c>
      <c r="F1608" s="33" t="n">
        <v>0</v>
      </c>
      <c r="G1608" s="62"/>
      <c r="H1608" s="35" t="n">
        <v>0</v>
      </c>
      <c r="I1608" s="34" t="n">
        <f aca="false">+IF(E1608=0,0,E1608*0.03)</f>
        <v>0</v>
      </c>
    </row>
    <row r="1609" customFormat="false" ht="15.75" hidden="false" customHeight="true" outlineLevel="0" collapsed="false">
      <c r="A1609" s="30" t="n">
        <v>45323</v>
      </c>
      <c r="B1609" s="31" t="s">
        <v>7</v>
      </c>
      <c r="C1609" s="32"/>
      <c r="D1609" s="32"/>
      <c r="E1609" s="19" t="n">
        <f aca="false">+F1609*0.03</f>
        <v>0</v>
      </c>
      <c r="F1609" s="33" t="n">
        <v>0</v>
      </c>
      <c r="G1609" s="62"/>
      <c r="H1609" s="35" t="n">
        <v>0</v>
      </c>
      <c r="I1609" s="34" t="n">
        <f aca="false">+IF(E1609=0,0,E1609*0.03)</f>
        <v>0</v>
      </c>
    </row>
    <row r="1610" customFormat="false" ht="15.75" hidden="false" customHeight="true" outlineLevel="0" collapsed="false">
      <c r="A1610" s="30" t="n">
        <v>45323</v>
      </c>
      <c r="B1610" s="31" t="s">
        <v>7</v>
      </c>
      <c r="C1610" s="32"/>
      <c r="D1610" s="32"/>
      <c r="E1610" s="19" t="n">
        <f aca="false">+F1610*0.03</f>
        <v>0</v>
      </c>
      <c r="F1610" s="33" t="n">
        <v>0</v>
      </c>
      <c r="G1610" s="62"/>
      <c r="H1610" s="35" t="n">
        <v>0</v>
      </c>
      <c r="I1610" s="34" t="n">
        <f aca="false">+IF(E1610=0,0,E1610*0.03)</f>
        <v>0</v>
      </c>
    </row>
    <row r="1611" customFormat="false" ht="15.75" hidden="false" customHeight="true" outlineLevel="0" collapsed="false">
      <c r="A1611" s="30" t="n">
        <v>45323</v>
      </c>
      <c r="B1611" s="31" t="s">
        <v>7</v>
      </c>
      <c r="C1611" s="32"/>
      <c r="D1611" s="32"/>
      <c r="E1611" s="19" t="n">
        <f aca="false">+F1611*0.03</f>
        <v>0</v>
      </c>
      <c r="F1611" s="33" t="n">
        <v>0</v>
      </c>
      <c r="G1611" s="62"/>
      <c r="H1611" s="35" t="n">
        <v>0</v>
      </c>
      <c r="I1611" s="34" t="n">
        <f aca="false">+IF(E1611=0,0,E1611*0.03)</f>
        <v>0</v>
      </c>
    </row>
    <row r="1612" customFormat="false" ht="15.75" hidden="false" customHeight="true" outlineLevel="0" collapsed="false">
      <c r="A1612" s="30" t="n">
        <v>45323</v>
      </c>
      <c r="B1612" s="31" t="s">
        <v>7</v>
      </c>
      <c r="C1612" s="32"/>
      <c r="D1612" s="32"/>
      <c r="E1612" s="19" t="n">
        <f aca="false">+F1612*0.03</f>
        <v>0</v>
      </c>
      <c r="F1612" s="33" t="n">
        <v>0</v>
      </c>
      <c r="G1612" s="62"/>
      <c r="H1612" s="35" t="n">
        <v>0</v>
      </c>
      <c r="I1612" s="34" t="n">
        <f aca="false">+IF(E1612=0,0,E1612*0.03)</f>
        <v>0</v>
      </c>
    </row>
    <row r="1613" customFormat="false" ht="15.75" hidden="false" customHeight="true" outlineLevel="0" collapsed="false">
      <c r="A1613" s="30" t="n">
        <v>45323</v>
      </c>
      <c r="B1613" s="31" t="s">
        <v>7</v>
      </c>
      <c r="C1613" s="32"/>
      <c r="D1613" s="32"/>
      <c r="E1613" s="19" t="n">
        <f aca="false">+F1613*0.03</f>
        <v>0</v>
      </c>
      <c r="F1613" s="33" t="n">
        <v>0</v>
      </c>
      <c r="G1613" s="62"/>
      <c r="H1613" s="35" t="n">
        <v>0</v>
      </c>
      <c r="I1613" s="34" t="n">
        <f aca="false">+IF(E1613=0,0,E1613*0.03)</f>
        <v>0</v>
      </c>
    </row>
    <row r="1614" customFormat="false" ht="15.75" hidden="false" customHeight="true" outlineLevel="0" collapsed="false">
      <c r="A1614" s="30" t="n">
        <v>45323</v>
      </c>
      <c r="B1614" s="31" t="s">
        <v>7</v>
      </c>
      <c r="C1614" s="32"/>
      <c r="D1614" s="32"/>
      <c r="E1614" s="19" t="n">
        <f aca="false">+F1614*0.03</f>
        <v>0</v>
      </c>
      <c r="F1614" s="33" t="n">
        <v>0</v>
      </c>
      <c r="G1614" s="62"/>
      <c r="H1614" s="35" t="n">
        <v>0</v>
      </c>
      <c r="I1614" s="34" t="n">
        <f aca="false">+IF(E1614=0,0,E1614*0.03)</f>
        <v>0</v>
      </c>
    </row>
    <row r="1615" customFormat="false" ht="15.75" hidden="false" customHeight="true" outlineLevel="0" collapsed="false">
      <c r="A1615" s="30" t="n">
        <v>45323</v>
      </c>
      <c r="B1615" s="31" t="s">
        <v>7</v>
      </c>
      <c r="C1615" s="32"/>
      <c r="D1615" s="32"/>
      <c r="E1615" s="19" t="n">
        <f aca="false">+F1615*0.03</f>
        <v>0</v>
      </c>
      <c r="F1615" s="33" t="n">
        <v>0</v>
      </c>
      <c r="G1615" s="62"/>
      <c r="H1615" s="35" t="n">
        <v>0</v>
      </c>
      <c r="I1615" s="34" t="n">
        <f aca="false">+IF(E1615=0,0,E1615*0.03)</f>
        <v>0</v>
      </c>
    </row>
    <row r="1616" customFormat="false" ht="15.75" hidden="false" customHeight="true" outlineLevel="0" collapsed="false">
      <c r="A1616" s="30" t="n">
        <v>45323</v>
      </c>
      <c r="B1616" s="31" t="s">
        <v>7</v>
      </c>
      <c r="C1616" s="32"/>
      <c r="D1616" s="32"/>
      <c r="E1616" s="19" t="n">
        <f aca="false">+F1616*0.03</f>
        <v>0</v>
      </c>
      <c r="F1616" s="33" t="n">
        <v>0</v>
      </c>
      <c r="G1616" s="62"/>
      <c r="H1616" s="35" t="n">
        <v>0</v>
      </c>
      <c r="I1616" s="34" t="n">
        <f aca="false">+IF(E1616=0,0,E1616*0.03)</f>
        <v>0</v>
      </c>
    </row>
    <row r="1617" customFormat="false" ht="15.75" hidden="false" customHeight="true" outlineLevel="0" collapsed="false">
      <c r="A1617" s="30" t="n">
        <v>45323</v>
      </c>
      <c r="B1617" s="31" t="s">
        <v>7</v>
      </c>
      <c r="C1617" s="32"/>
      <c r="D1617" s="32"/>
      <c r="E1617" s="19" t="n">
        <f aca="false">+F1617*0.03</f>
        <v>0</v>
      </c>
      <c r="F1617" s="33" t="n">
        <v>0</v>
      </c>
      <c r="G1617" s="62"/>
      <c r="H1617" s="35" t="n">
        <v>0</v>
      </c>
      <c r="I1617" s="34" t="n">
        <f aca="false">+IF(E1617=0,0,E1617*0.03)</f>
        <v>0</v>
      </c>
    </row>
    <row r="1618" customFormat="false" ht="15.75" hidden="false" customHeight="true" outlineLevel="0" collapsed="false">
      <c r="A1618" s="30" t="n">
        <v>45323</v>
      </c>
      <c r="B1618" s="31" t="s">
        <v>7</v>
      </c>
      <c r="C1618" s="32"/>
      <c r="D1618" s="32"/>
      <c r="E1618" s="19" t="n">
        <f aca="false">+F1618*0.03</f>
        <v>0</v>
      </c>
      <c r="F1618" s="33" t="n">
        <v>0</v>
      </c>
      <c r="G1618" s="62"/>
      <c r="H1618" s="35" t="n">
        <v>0</v>
      </c>
      <c r="I1618" s="34" t="n">
        <f aca="false">+IF(E1618=0,0,E1618*0.03)</f>
        <v>0</v>
      </c>
    </row>
    <row r="1619" customFormat="false" ht="15.75" hidden="false" customHeight="true" outlineLevel="0" collapsed="false">
      <c r="A1619" s="30" t="n">
        <v>45323</v>
      </c>
      <c r="B1619" s="31" t="s">
        <v>7</v>
      </c>
      <c r="C1619" s="32"/>
      <c r="D1619" s="32"/>
      <c r="E1619" s="19" t="n">
        <f aca="false">+F1619*0.03</f>
        <v>0</v>
      </c>
      <c r="F1619" s="33" t="n">
        <v>0</v>
      </c>
      <c r="G1619" s="62"/>
      <c r="H1619" s="35" t="n">
        <v>0</v>
      </c>
      <c r="I1619" s="34" t="n">
        <f aca="false">+IF(E1619=0,0,E1619*0.03)</f>
        <v>0</v>
      </c>
    </row>
    <row r="1620" customFormat="false" ht="15.75" hidden="false" customHeight="true" outlineLevel="0" collapsed="false">
      <c r="A1620" s="30" t="n">
        <v>45323</v>
      </c>
      <c r="B1620" s="31" t="s">
        <v>7</v>
      </c>
      <c r="C1620" s="32"/>
      <c r="D1620" s="32"/>
      <c r="E1620" s="19" t="n">
        <f aca="false">+F1620*0.03</f>
        <v>0</v>
      </c>
      <c r="F1620" s="33" t="n">
        <v>0</v>
      </c>
      <c r="G1620" s="62"/>
      <c r="H1620" s="35" t="n">
        <v>0</v>
      </c>
      <c r="I1620" s="34" t="n">
        <f aca="false">+IF(E1620=0,0,E1620*0.03)</f>
        <v>0</v>
      </c>
    </row>
    <row r="1621" customFormat="false" ht="15.75" hidden="false" customHeight="true" outlineLevel="0" collapsed="false">
      <c r="A1621" s="30" t="n">
        <v>45323</v>
      </c>
      <c r="B1621" s="31" t="s">
        <v>7</v>
      </c>
      <c r="C1621" s="32"/>
      <c r="D1621" s="32"/>
      <c r="E1621" s="19" t="n">
        <f aca="false">+F1621*0.03</f>
        <v>0</v>
      </c>
      <c r="F1621" s="33" t="n">
        <v>0</v>
      </c>
      <c r="G1621" s="62"/>
      <c r="H1621" s="35" t="n">
        <v>0</v>
      </c>
      <c r="I1621" s="34" t="n">
        <f aca="false">+IF(E1621=0,0,E1621*0.03)</f>
        <v>0</v>
      </c>
    </row>
    <row r="1622" customFormat="false" ht="15.75" hidden="false" customHeight="true" outlineLevel="0" collapsed="false">
      <c r="A1622" s="30" t="n">
        <v>45323</v>
      </c>
      <c r="B1622" s="31" t="s">
        <v>7</v>
      </c>
      <c r="C1622" s="32"/>
      <c r="D1622" s="32"/>
      <c r="E1622" s="19" t="n">
        <f aca="false">+F1622*0.03</f>
        <v>0</v>
      </c>
      <c r="F1622" s="33" t="n">
        <v>0</v>
      </c>
      <c r="G1622" s="62"/>
      <c r="H1622" s="35" t="n">
        <v>0</v>
      </c>
      <c r="I1622" s="34" t="n">
        <f aca="false">+IF(E1622=0,0,E1622*0.03)</f>
        <v>0</v>
      </c>
    </row>
    <row r="1623" customFormat="false" ht="15.75" hidden="false" customHeight="true" outlineLevel="0" collapsed="false">
      <c r="A1623" s="30" t="n">
        <v>45323</v>
      </c>
      <c r="B1623" s="31" t="s">
        <v>7</v>
      </c>
      <c r="C1623" s="32"/>
      <c r="D1623" s="32"/>
      <c r="E1623" s="19" t="n">
        <f aca="false">+F1623*0.03</f>
        <v>0</v>
      </c>
      <c r="F1623" s="33" t="n">
        <v>0</v>
      </c>
      <c r="G1623" s="62"/>
      <c r="H1623" s="35" t="n">
        <v>0</v>
      </c>
      <c r="I1623" s="34" t="n">
        <f aca="false">+IF(E1623=0,0,E1623*0.03)</f>
        <v>0</v>
      </c>
    </row>
    <row r="1624" customFormat="false" ht="15.75" hidden="false" customHeight="true" outlineLevel="0" collapsed="false">
      <c r="A1624" s="30" t="n">
        <v>45323</v>
      </c>
      <c r="B1624" s="31" t="s">
        <v>7</v>
      </c>
      <c r="C1624" s="32"/>
      <c r="D1624" s="32"/>
      <c r="E1624" s="19" t="n">
        <f aca="false">+F1624*0.03</f>
        <v>0</v>
      </c>
      <c r="F1624" s="33" t="n">
        <v>0</v>
      </c>
      <c r="G1624" s="62"/>
      <c r="H1624" s="35" t="n">
        <v>0</v>
      </c>
      <c r="I1624" s="34" t="n">
        <f aca="false">+IF(E1624=0,0,E1624*0.03)</f>
        <v>0</v>
      </c>
    </row>
    <row r="1625" customFormat="false" ht="15.75" hidden="false" customHeight="true" outlineLevel="0" collapsed="false">
      <c r="A1625" s="30" t="n">
        <v>45323</v>
      </c>
      <c r="B1625" s="31" t="s">
        <v>7</v>
      </c>
      <c r="C1625" s="32"/>
      <c r="D1625" s="32"/>
      <c r="E1625" s="19" t="n">
        <f aca="false">+F1625*0.03</f>
        <v>0</v>
      </c>
      <c r="F1625" s="33" t="n">
        <v>0</v>
      </c>
      <c r="G1625" s="62"/>
      <c r="H1625" s="35" t="n">
        <v>0</v>
      </c>
      <c r="I1625" s="34" t="n">
        <f aca="false">+IF(E1625=0,0,E1625*0.03)</f>
        <v>0</v>
      </c>
    </row>
    <row r="1626" customFormat="false" ht="15.75" hidden="false" customHeight="true" outlineLevel="0" collapsed="false">
      <c r="A1626" s="30" t="n">
        <v>45323</v>
      </c>
      <c r="B1626" s="31" t="s">
        <v>7</v>
      </c>
      <c r="C1626" s="32"/>
      <c r="D1626" s="32"/>
      <c r="E1626" s="19" t="n">
        <f aca="false">+F1626*0.03</f>
        <v>0</v>
      </c>
      <c r="F1626" s="33" t="n">
        <v>0</v>
      </c>
      <c r="G1626" s="62"/>
      <c r="H1626" s="35" t="n">
        <v>0</v>
      </c>
      <c r="I1626" s="34" t="n">
        <f aca="false">+IF(E1626=0,0,E1626*0.03)</f>
        <v>0</v>
      </c>
    </row>
    <row r="1627" customFormat="false" ht="15.75" hidden="false" customHeight="true" outlineLevel="0" collapsed="false">
      <c r="A1627" s="30" t="n">
        <v>45323</v>
      </c>
      <c r="B1627" s="31" t="s">
        <v>7</v>
      </c>
      <c r="C1627" s="32"/>
      <c r="D1627" s="32"/>
      <c r="E1627" s="19" t="n">
        <f aca="false">+F1627*0.03</f>
        <v>0</v>
      </c>
      <c r="F1627" s="33" t="n">
        <v>0</v>
      </c>
      <c r="G1627" s="62"/>
      <c r="H1627" s="35" t="n">
        <v>0</v>
      </c>
      <c r="I1627" s="34" t="n">
        <f aca="false">+IF(E1627=0,0,E1627*0.03)</f>
        <v>0</v>
      </c>
    </row>
    <row r="1628" customFormat="false" ht="15.75" hidden="false" customHeight="true" outlineLevel="0" collapsed="false">
      <c r="A1628" s="30" t="n">
        <v>45323</v>
      </c>
      <c r="B1628" s="31" t="s">
        <v>7</v>
      </c>
      <c r="C1628" s="32"/>
      <c r="D1628" s="32"/>
      <c r="E1628" s="19" t="n">
        <f aca="false">+F1628*0.03</f>
        <v>0</v>
      </c>
      <c r="F1628" s="33" t="n">
        <v>0</v>
      </c>
      <c r="G1628" s="62"/>
      <c r="H1628" s="35" t="n">
        <v>0</v>
      </c>
      <c r="I1628" s="34" t="n">
        <f aca="false">+IF(E1628=0,0,E1628*0.03)</f>
        <v>0</v>
      </c>
    </row>
    <row r="1629" customFormat="false" ht="15.75" hidden="false" customHeight="true" outlineLevel="0" collapsed="false">
      <c r="A1629" s="30" t="n">
        <v>45323</v>
      </c>
      <c r="B1629" s="31" t="s">
        <v>7</v>
      </c>
      <c r="C1629" s="32"/>
      <c r="D1629" s="32"/>
      <c r="E1629" s="19" t="n">
        <f aca="false">+F1629*0.03</f>
        <v>0</v>
      </c>
      <c r="F1629" s="33" t="n">
        <v>0</v>
      </c>
      <c r="G1629" s="62"/>
      <c r="H1629" s="35" t="n">
        <v>0</v>
      </c>
      <c r="I1629" s="34" t="n">
        <f aca="false">+IF(E1629=0,0,E1629*0.03)</f>
        <v>0</v>
      </c>
    </row>
    <row r="1630" customFormat="false" ht="15.75" hidden="false" customHeight="true" outlineLevel="0" collapsed="false">
      <c r="A1630" s="30" t="n">
        <v>45323</v>
      </c>
      <c r="B1630" s="31" t="s">
        <v>7</v>
      </c>
      <c r="C1630" s="32"/>
      <c r="D1630" s="32"/>
      <c r="E1630" s="19" t="n">
        <f aca="false">+F1630*0.03</f>
        <v>0</v>
      </c>
      <c r="F1630" s="33" t="n">
        <v>0</v>
      </c>
      <c r="G1630" s="62"/>
      <c r="H1630" s="35" t="n">
        <v>0</v>
      </c>
      <c r="I1630" s="34" t="n">
        <f aca="false">+IF(E1630=0,0,E1630*0.03)</f>
        <v>0</v>
      </c>
    </row>
    <row r="1631" customFormat="false" ht="15.75" hidden="false" customHeight="true" outlineLevel="0" collapsed="false">
      <c r="A1631" s="30" t="n">
        <v>45323</v>
      </c>
      <c r="B1631" s="31" t="s">
        <v>7</v>
      </c>
      <c r="C1631" s="32"/>
      <c r="D1631" s="32"/>
      <c r="E1631" s="19" t="n">
        <f aca="false">+F1631*0.03</f>
        <v>0</v>
      </c>
      <c r="F1631" s="33" t="n">
        <v>0</v>
      </c>
      <c r="G1631" s="62"/>
      <c r="H1631" s="35" t="n">
        <v>0</v>
      </c>
      <c r="I1631" s="34" t="n">
        <f aca="false">+IF(E1631=0,0,E1631*0.03)</f>
        <v>0</v>
      </c>
    </row>
    <row r="1632" customFormat="false" ht="15.75" hidden="false" customHeight="true" outlineLevel="0" collapsed="false">
      <c r="A1632" s="30" t="n">
        <v>45323</v>
      </c>
      <c r="B1632" s="31" t="s">
        <v>7</v>
      </c>
      <c r="C1632" s="32"/>
      <c r="D1632" s="32"/>
      <c r="E1632" s="19" t="n">
        <f aca="false">+F1632*0.03</f>
        <v>0</v>
      </c>
      <c r="F1632" s="33" t="n">
        <v>0</v>
      </c>
      <c r="G1632" s="62"/>
      <c r="H1632" s="35" t="n">
        <v>0</v>
      </c>
      <c r="I1632" s="34" t="n">
        <f aca="false">+IF(E1632=0,0,E1632*0.03)</f>
        <v>0</v>
      </c>
    </row>
    <row r="1633" customFormat="false" ht="15.75" hidden="false" customHeight="true" outlineLevel="0" collapsed="false">
      <c r="A1633" s="30" t="n">
        <v>45323</v>
      </c>
      <c r="B1633" s="31" t="s">
        <v>7</v>
      </c>
      <c r="C1633" s="32"/>
      <c r="D1633" s="32"/>
      <c r="E1633" s="19" t="n">
        <f aca="false">+F1633*0.03</f>
        <v>0</v>
      </c>
      <c r="F1633" s="33" t="n">
        <v>0</v>
      </c>
      <c r="G1633" s="62"/>
      <c r="H1633" s="35" t="n">
        <v>0</v>
      </c>
      <c r="I1633" s="34" t="n">
        <f aca="false">+IF(E1633=0,0,E1633*0.03)</f>
        <v>0</v>
      </c>
    </row>
    <row r="1634" customFormat="false" ht="15.75" hidden="false" customHeight="true" outlineLevel="0" collapsed="false">
      <c r="A1634" s="30" t="n">
        <v>45323</v>
      </c>
      <c r="B1634" s="31" t="s">
        <v>7</v>
      </c>
      <c r="C1634" s="32"/>
      <c r="D1634" s="32"/>
      <c r="E1634" s="19" t="n">
        <f aca="false">+F1634*0.03</f>
        <v>0</v>
      </c>
      <c r="F1634" s="33" t="n">
        <v>0</v>
      </c>
      <c r="G1634" s="62"/>
      <c r="H1634" s="35" t="n">
        <v>0</v>
      </c>
      <c r="I1634" s="34" t="n">
        <f aca="false">+IF(E1634=0,0,E1634*0.03)</f>
        <v>0</v>
      </c>
    </row>
    <row r="1635" customFormat="false" ht="15.75" hidden="false" customHeight="true" outlineLevel="0" collapsed="false">
      <c r="A1635" s="30" t="n">
        <v>45323</v>
      </c>
      <c r="B1635" s="31" t="s">
        <v>7</v>
      </c>
      <c r="C1635" s="32"/>
      <c r="D1635" s="32"/>
      <c r="E1635" s="19" t="n">
        <f aca="false">+F1635*0.03</f>
        <v>0</v>
      </c>
      <c r="F1635" s="33" t="n">
        <v>0</v>
      </c>
      <c r="G1635" s="62"/>
      <c r="H1635" s="35" t="n">
        <v>0</v>
      </c>
      <c r="I1635" s="34" t="n">
        <f aca="false">+IF(E1635=0,0,E1635*0.03)</f>
        <v>0</v>
      </c>
    </row>
    <row r="1636" customFormat="false" ht="15.75" hidden="false" customHeight="true" outlineLevel="0" collapsed="false">
      <c r="A1636" s="30" t="n">
        <v>45323</v>
      </c>
      <c r="B1636" s="31" t="s">
        <v>7</v>
      </c>
      <c r="C1636" s="32"/>
      <c r="D1636" s="32"/>
      <c r="E1636" s="19" t="n">
        <f aca="false">+F1636*0.03</f>
        <v>0</v>
      </c>
      <c r="F1636" s="33" t="n">
        <v>0</v>
      </c>
      <c r="G1636" s="62"/>
      <c r="H1636" s="35" t="n">
        <v>0</v>
      </c>
      <c r="I1636" s="34" t="n">
        <f aca="false">+IF(E1636=0,0,E1636*0.03)</f>
        <v>0</v>
      </c>
    </row>
    <row r="1637" customFormat="false" ht="15.75" hidden="false" customHeight="true" outlineLevel="0" collapsed="false">
      <c r="A1637" s="30" t="n">
        <v>45323</v>
      </c>
      <c r="B1637" s="31" t="s">
        <v>7</v>
      </c>
      <c r="C1637" s="32"/>
      <c r="D1637" s="32"/>
      <c r="E1637" s="19" t="n">
        <f aca="false">+F1637*0.03</f>
        <v>0</v>
      </c>
      <c r="F1637" s="33" t="n">
        <v>0</v>
      </c>
      <c r="G1637" s="62"/>
      <c r="H1637" s="35" t="n">
        <v>0</v>
      </c>
      <c r="I1637" s="34" t="n">
        <f aca="false">+IF(E1637=0,0,E1637*0.03)</f>
        <v>0</v>
      </c>
    </row>
    <row r="1638" customFormat="false" ht="15.75" hidden="false" customHeight="true" outlineLevel="0" collapsed="false">
      <c r="A1638" s="30" t="n">
        <v>45323</v>
      </c>
      <c r="B1638" s="31" t="s">
        <v>7</v>
      </c>
      <c r="C1638" s="32"/>
      <c r="D1638" s="32"/>
      <c r="E1638" s="19" t="n">
        <f aca="false">+F1638*0.03</f>
        <v>0</v>
      </c>
      <c r="F1638" s="33" t="n">
        <v>0</v>
      </c>
      <c r="G1638" s="62"/>
      <c r="H1638" s="35" t="n">
        <v>0</v>
      </c>
      <c r="I1638" s="34" t="n">
        <f aca="false">+IF(E1638=0,0,E1638*0.03)</f>
        <v>0</v>
      </c>
    </row>
    <row r="1639" customFormat="false" ht="15.75" hidden="false" customHeight="true" outlineLevel="0" collapsed="false">
      <c r="A1639" s="30" t="n">
        <v>45323</v>
      </c>
      <c r="B1639" s="31" t="s">
        <v>7</v>
      </c>
      <c r="C1639" s="32"/>
      <c r="D1639" s="32"/>
      <c r="E1639" s="19" t="n">
        <f aca="false">+F1639*0.03</f>
        <v>0</v>
      </c>
      <c r="F1639" s="33" t="n">
        <v>0</v>
      </c>
      <c r="G1639" s="62"/>
      <c r="H1639" s="35" t="n">
        <v>0</v>
      </c>
      <c r="I1639" s="34" t="n">
        <f aca="false">+IF(E1639=0,0,E1639*0.03)</f>
        <v>0</v>
      </c>
    </row>
    <row r="1640" customFormat="false" ht="15.75" hidden="false" customHeight="true" outlineLevel="0" collapsed="false">
      <c r="A1640" s="30" t="n">
        <v>45323</v>
      </c>
      <c r="B1640" s="31" t="s">
        <v>7</v>
      </c>
      <c r="C1640" s="32"/>
      <c r="D1640" s="32"/>
      <c r="E1640" s="19" t="n">
        <f aca="false">+F1640*0.03</f>
        <v>0</v>
      </c>
      <c r="F1640" s="33" t="n">
        <v>0</v>
      </c>
      <c r="G1640" s="62"/>
      <c r="H1640" s="35" t="n">
        <v>0</v>
      </c>
      <c r="I1640" s="34" t="n">
        <f aca="false">+IF(E1640=0,0,E1640*0.03)</f>
        <v>0</v>
      </c>
    </row>
    <row r="1641" customFormat="false" ht="15.75" hidden="false" customHeight="true" outlineLevel="0" collapsed="false">
      <c r="A1641" s="30" t="n">
        <v>45323</v>
      </c>
      <c r="B1641" s="31" t="s">
        <v>7</v>
      </c>
      <c r="C1641" s="32"/>
      <c r="D1641" s="32"/>
      <c r="E1641" s="19" t="n">
        <f aca="false">+F1641*0.03</f>
        <v>0</v>
      </c>
      <c r="F1641" s="33" t="n">
        <v>0</v>
      </c>
      <c r="G1641" s="62"/>
      <c r="H1641" s="35" t="n">
        <v>0</v>
      </c>
      <c r="I1641" s="34" t="n">
        <f aca="false">+IF(E1641=0,0,E1641*0.03)</f>
        <v>0</v>
      </c>
    </row>
    <row r="1642" customFormat="false" ht="15.75" hidden="false" customHeight="true" outlineLevel="0" collapsed="false">
      <c r="A1642" s="30" t="n">
        <v>45323</v>
      </c>
      <c r="B1642" s="31" t="s">
        <v>7</v>
      </c>
      <c r="C1642" s="32"/>
      <c r="D1642" s="32"/>
      <c r="E1642" s="19" t="n">
        <f aca="false">+F1642*0.03</f>
        <v>0</v>
      </c>
      <c r="F1642" s="33" t="n">
        <v>0</v>
      </c>
      <c r="G1642" s="62"/>
      <c r="H1642" s="35" t="n">
        <v>0</v>
      </c>
      <c r="I1642" s="34" t="n">
        <f aca="false">+IF(E1642=0,0,E1642*0.03)</f>
        <v>0</v>
      </c>
    </row>
    <row r="1643" customFormat="false" ht="15.75" hidden="false" customHeight="true" outlineLevel="0" collapsed="false">
      <c r="A1643" s="30" t="n">
        <v>45323</v>
      </c>
      <c r="B1643" s="31" t="s">
        <v>7</v>
      </c>
      <c r="C1643" s="32"/>
      <c r="D1643" s="32"/>
      <c r="E1643" s="19" t="n">
        <f aca="false">+F1643*0.03</f>
        <v>0</v>
      </c>
      <c r="F1643" s="33" t="n">
        <v>0</v>
      </c>
      <c r="G1643" s="62"/>
      <c r="H1643" s="35" t="n">
        <v>0</v>
      </c>
      <c r="I1643" s="34" t="n">
        <f aca="false">+IF(E1643=0,0,E1643*0.03)</f>
        <v>0</v>
      </c>
    </row>
    <row r="1644" customFormat="false" ht="15.75" hidden="false" customHeight="true" outlineLevel="0" collapsed="false">
      <c r="A1644" s="30" t="n">
        <v>45323</v>
      </c>
      <c r="B1644" s="31" t="s">
        <v>7</v>
      </c>
      <c r="C1644" s="32"/>
      <c r="D1644" s="32"/>
      <c r="E1644" s="19" t="n">
        <f aca="false">+F1644*0.03</f>
        <v>0</v>
      </c>
      <c r="F1644" s="33" t="n">
        <v>0</v>
      </c>
      <c r="G1644" s="62"/>
      <c r="H1644" s="35" t="n">
        <v>0</v>
      </c>
      <c r="I1644" s="34" t="n">
        <f aca="false">+IF(E1644=0,0,E1644*0.03)</f>
        <v>0</v>
      </c>
    </row>
    <row r="1645" customFormat="false" ht="15.75" hidden="false" customHeight="true" outlineLevel="0" collapsed="false">
      <c r="A1645" s="30" t="n">
        <v>45323</v>
      </c>
      <c r="B1645" s="31" t="s">
        <v>7</v>
      </c>
      <c r="C1645" s="32"/>
      <c r="D1645" s="32"/>
      <c r="E1645" s="19" t="n">
        <f aca="false">+F1645*0.03</f>
        <v>0</v>
      </c>
      <c r="F1645" s="33" t="n">
        <v>0</v>
      </c>
      <c r="G1645" s="62"/>
      <c r="H1645" s="35" t="n">
        <v>0</v>
      </c>
      <c r="I1645" s="34" t="n">
        <f aca="false">+IF(E1645=0,0,E1645*0.03)</f>
        <v>0</v>
      </c>
    </row>
    <row r="1646" customFormat="false" ht="15.75" hidden="false" customHeight="true" outlineLevel="0" collapsed="false">
      <c r="A1646" s="30" t="n">
        <v>45323</v>
      </c>
      <c r="B1646" s="31" t="s">
        <v>7</v>
      </c>
      <c r="C1646" s="32"/>
      <c r="D1646" s="32"/>
      <c r="E1646" s="19" t="n">
        <f aca="false">+F1646*0.03</f>
        <v>0</v>
      </c>
      <c r="F1646" s="33" t="n">
        <v>0</v>
      </c>
      <c r="G1646" s="62"/>
      <c r="H1646" s="35" t="n">
        <v>0</v>
      </c>
      <c r="I1646" s="34" t="n">
        <f aca="false">+IF(E1646=0,0,E1646*0.03)</f>
        <v>0</v>
      </c>
    </row>
    <row r="1647" customFormat="false" ht="15.75" hidden="false" customHeight="true" outlineLevel="0" collapsed="false">
      <c r="A1647" s="30" t="n">
        <v>45323</v>
      </c>
      <c r="B1647" s="31" t="s">
        <v>7</v>
      </c>
      <c r="C1647" s="32"/>
      <c r="D1647" s="32"/>
      <c r="E1647" s="19" t="n">
        <f aca="false">+F1647*0.03</f>
        <v>0</v>
      </c>
      <c r="F1647" s="33" t="n">
        <v>0</v>
      </c>
      <c r="G1647" s="62"/>
      <c r="H1647" s="35" t="n">
        <v>0</v>
      </c>
      <c r="I1647" s="34" t="n">
        <f aca="false">+IF(E1647=0,0,E1647*0.03)</f>
        <v>0</v>
      </c>
    </row>
    <row r="1648" customFormat="false" ht="15.75" hidden="false" customHeight="true" outlineLevel="0" collapsed="false">
      <c r="A1648" s="30" t="n">
        <v>45323</v>
      </c>
      <c r="B1648" s="31" t="s">
        <v>7</v>
      </c>
      <c r="C1648" s="32"/>
      <c r="D1648" s="32"/>
      <c r="E1648" s="19" t="n">
        <f aca="false">+F1648*0.03</f>
        <v>0</v>
      </c>
      <c r="F1648" s="33" t="n">
        <v>0</v>
      </c>
      <c r="G1648" s="62"/>
      <c r="H1648" s="35" t="n">
        <v>0</v>
      </c>
      <c r="I1648" s="34" t="n">
        <f aca="false">+IF(E1648=0,0,E1648*0.03)</f>
        <v>0</v>
      </c>
    </row>
    <row r="1649" customFormat="false" ht="15.75" hidden="false" customHeight="true" outlineLevel="0" collapsed="false">
      <c r="A1649" s="30" t="n">
        <v>45323</v>
      </c>
      <c r="B1649" s="31" t="s">
        <v>7</v>
      </c>
      <c r="C1649" s="32"/>
      <c r="D1649" s="32"/>
      <c r="E1649" s="19" t="n">
        <f aca="false">+F1649*0.03</f>
        <v>0</v>
      </c>
      <c r="F1649" s="33" t="n">
        <v>0</v>
      </c>
      <c r="G1649" s="62"/>
      <c r="H1649" s="35" t="n">
        <v>0</v>
      </c>
      <c r="I1649" s="34" t="n">
        <f aca="false">+IF(E1649=0,0,E1649*0.03)</f>
        <v>0</v>
      </c>
    </row>
    <row r="1650" customFormat="false" ht="15.75" hidden="false" customHeight="true" outlineLevel="0" collapsed="false">
      <c r="A1650" s="30" t="n">
        <v>45323</v>
      </c>
      <c r="B1650" s="31" t="s">
        <v>7</v>
      </c>
      <c r="C1650" s="32"/>
      <c r="D1650" s="32"/>
      <c r="E1650" s="19" t="n">
        <f aca="false">+F1650*0.03</f>
        <v>0</v>
      </c>
      <c r="F1650" s="33" t="n">
        <v>0</v>
      </c>
      <c r="G1650" s="62"/>
      <c r="H1650" s="35" t="n">
        <v>0</v>
      </c>
      <c r="I1650" s="34" t="n">
        <f aca="false">+IF(E1650=0,0,E1650*0.03)</f>
        <v>0</v>
      </c>
    </row>
    <row r="1651" customFormat="false" ht="15.75" hidden="false" customHeight="true" outlineLevel="0" collapsed="false">
      <c r="A1651" s="30" t="n">
        <v>45323</v>
      </c>
      <c r="B1651" s="31" t="s">
        <v>7</v>
      </c>
      <c r="C1651" s="32"/>
      <c r="D1651" s="32"/>
      <c r="E1651" s="19" t="n">
        <f aca="false">+F1651*0.03</f>
        <v>0</v>
      </c>
      <c r="F1651" s="33" t="n">
        <v>0</v>
      </c>
      <c r="G1651" s="62"/>
      <c r="H1651" s="35" t="n">
        <v>0</v>
      </c>
      <c r="I1651" s="34" t="n">
        <f aca="false">+IF(E1651=0,0,E1651*0.03)</f>
        <v>0</v>
      </c>
    </row>
    <row r="1652" customFormat="false" ht="15.75" hidden="false" customHeight="true" outlineLevel="0" collapsed="false">
      <c r="A1652" s="30" t="n">
        <v>45323</v>
      </c>
      <c r="B1652" s="31" t="s">
        <v>7</v>
      </c>
      <c r="C1652" s="32"/>
      <c r="D1652" s="32"/>
      <c r="E1652" s="19" t="n">
        <f aca="false">+F1652*0.03</f>
        <v>0</v>
      </c>
      <c r="F1652" s="33" t="n">
        <v>0</v>
      </c>
      <c r="G1652" s="62"/>
      <c r="H1652" s="35" t="n">
        <v>0</v>
      </c>
      <c r="I1652" s="34" t="n">
        <f aca="false">+IF(E1652=0,0,E1652*0.03)</f>
        <v>0</v>
      </c>
    </row>
    <row r="1653" customFormat="false" ht="15.75" hidden="false" customHeight="true" outlineLevel="0" collapsed="false">
      <c r="A1653" s="30" t="n">
        <v>45323</v>
      </c>
      <c r="B1653" s="31" t="s">
        <v>7</v>
      </c>
      <c r="C1653" s="32"/>
      <c r="D1653" s="32"/>
      <c r="E1653" s="19" t="n">
        <f aca="false">+F1653*0.03</f>
        <v>0</v>
      </c>
      <c r="F1653" s="33" t="n">
        <v>0</v>
      </c>
      <c r="G1653" s="62"/>
      <c r="H1653" s="35" t="n">
        <v>0</v>
      </c>
      <c r="I1653" s="34" t="n">
        <f aca="false">+IF(E1653=0,0,E1653*0.03)</f>
        <v>0</v>
      </c>
    </row>
    <row r="1654" customFormat="false" ht="15.75" hidden="false" customHeight="true" outlineLevel="0" collapsed="false">
      <c r="A1654" s="30" t="n">
        <v>45323</v>
      </c>
      <c r="B1654" s="31" t="s">
        <v>7</v>
      </c>
      <c r="C1654" s="32"/>
      <c r="D1654" s="32"/>
      <c r="E1654" s="19" t="n">
        <f aca="false">+F1654*0.03</f>
        <v>0</v>
      </c>
      <c r="F1654" s="33" t="n">
        <v>0</v>
      </c>
      <c r="G1654" s="62"/>
      <c r="H1654" s="35" t="n">
        <v>0</v>
      </c>
      <c r="I1654" s="34" t="n">
        <f aca="false">+IF(E1654=0,0,E1654*0.03)</f>
        <v>0</v>
      </c>
    </row>
    <row r="1655" customFormat="false" ht="15.75" hidden="false" customHeight="true" outlineLevel="0" collapsed="false">
      <c r="A1655" s="30" t="n">
        <v>45323</v>
      </c>
      <c r="B1655" s="31" t="s">
        <v>7</v>
      </c>
      <c r="C1655" s="32"/>
      <c r="D1655" s="32"/>
      <c r="E1655" s="19" t="n">
        <f aca="false">+F1655*0.03</f>
        <v>0</v>
      </c>
      <c r="F1655" s="33" t="n">
        <v>0</v>
      </c>
      <c r="G1655" s="62"/>
      <c r="H1655" s="35" t="n">
        <v>0</v>
      </c>
      <c r="I1655" s="34" t="n">
        <f aca="false">+IF(E1655=0,0,E1655*0.03)</f>
        <v>0</v>
      </c>
    </row>
    <row r="1656" customFormat="false" ht="15.75" hidden="false" customHeight="true" outlineLevel="0" collapsed="false">
      <c r="A1656" s="30" t="n">
        <v>45323</v>
      </c>
      <c r="B1656" s="31" t="s">
        <v>7</v>
      </c>
      <c r="C1656" s="32"/>
      <c r="D1656" s="32"/>
      <c r="E1656" s="19" t="n">
        <f aca="false">+F1656*0.03</f>
        <v>0</v>
      </c>
      <c r="F1656" s="33" t="n">
        <v>0</v>
      </c>
      <c r="G1656" s="62"/>
      <c r="H1656" s="35" t="n">
        <v>0</v>
      </c>
      <c r="I1656" s="34" t="n">
        <f aca="false">+IF(E1656=0,0,E1656*0.03)</f>
        <v>0</v>
      </c>
    </row>
    <row r="1657" customFormat="false" ht="15.75" hidden="false" customHeight="true" outlineLevel="0" collapsed="false">
      <c r="A1657" s="30" t="n">
        <v>45323</v>
      </c>
      <c r="B1657" s="31" t="s">
        <v>7</v>
      </c>
      <c r="C1657" s="32"/>
      <c r="D1657" s="32"/>
      <c r="E1657" s="19" t="n">
        <f aca="false">+F1657*0.03</f>
        <v>0</v>
      </c>
      <c r="F1657" s="33" t="n">
        <v>0</v>
      </c>
      <c r="G1657" s="62"/>
      <c r="H1657" s="35" t="n">
        <v>0</v>
      </c>
      <c r="I1657" s="34" t="n">
        <f aca="false">+IF(E1657=0,0,E1657*0.03)</f>
        <v>0</v>
      </c>
    </row>
    <row r="1658" customFormat="false" ht="15.75" hidden="false" customHeight="true" outlineLevel="0" collapsed="false">
      <c r="A1658" s="30" t="n">
        <v>45323</v>
      </c>
      <c r="B1658" s="31" t="s">
        <v>7</v>
      </c>
      <c r="C1658" s="32"/>
      <c r="D1658" s="32"/>
      <c r="E1658" s="19" t="n">
        <f aca="false">+F1658*0.03</f>
        <v>0</v>
      </c>
      <c r="F1658" s="33" t="n">
        <v>0</v>
      </c>
      <c r="G1658" s="62"/>
      <c r="H1658" s="35" t="n">
        <v>0</v>
      </c>
      <c r="I1658" s="34" t="n">
        <f aca="false">+IF(E1658=0,0,E1658*0.03)</f>
        <v>0</v>
      </c>
    </row>
    <row r="1659" customFormat="false" ht="15.75" hidden="false" customHeight="true" outlineLevel="0" collapsed="false">
      <c r="A1659" s="30" t="n">
        <v>45323</v>
      </c>
      <c r="B1659" s="31" t="s">
        <v>7</v>
      </c>
      <c r="C1659" s="32"/>
      <c r="D1659" s="32"/>
      <c r="E1659" s="19" t="n">
        <f aca="false">+F1659*0.03</f>
        <v>0</v>
      </c>
      <c r="F1659" s="33" t="n">
        <v>0</v>
      </c>
      <c r="G1659" s="62"/>
      <c r="H1659" s="35" t="n">
        <v>0</v>
      </c>
      <c r="I1659" s="34" t="n">
        <f aca="false">+IF(E1659=0,0,E1659*0.03)</f>
        <v>0</v>
      </c>
    </row>
    <row r="1660" customFormat="false" ht="15.75" hidden="false" customHeight="true" outlineLevel="0" collapsed="false">
      <c r="A1660" s="30" t="n">
        <v>45323</v>
      </c>
      <c r="B1660" s="31" t="s">
        <v>7</v>
      </c>
      <c r="C1660" s="32"/>
      <c r="D1660" s="32"/>
      <c r="E1660" s="19" t="n">
        <f aca="false">+F1660*0.03</f>
        <v>0</v>
      </c>
      <c r="F1660" s="33" t="n">
        <v>0</v>
      </c>
      <c r="G1660" s="62"/>
      <c r="H1660" s="35" t="n">
        <v>0</v>
      </c>
      <c r="I1660" s="34" t="n">
        <f aca="false">+IF(E1660=0,0,E1660*0.03)</f>
        <v>0</v>
      </c>
    </row>
    <row r="1661" customFormat="false" ht="15.75" hidden="false" customHeight="true" outlineLevel="0" collapsed="false">
      <c r="A1661" s="30" t="n">
        <v>45323</v>
      </c>
      <c r="B1661" s="31" t="s">
        <v>7</v>
      </c>
      <c r="C1661" s="32"/>
      <c r="D1661" s="32"/>
      <c r="E1661" s="19" t="n">
        <f aca="false">+F1661*0.03</f>
        <v>0</v>
      </c>
      <c r="F1661" s="33" t="n">
        <v>0</v>
      </c>
      <c r="G1661" s="62"/>
      <c r="H1661" s="35" t="n">
        <v>0</v>
      </c>
      <c r="I1661" s="34" t="n">
        <f aca="false">+IF(E1661=0,0,E1661*0.03)</f>
        <v>0</v>
      </c>
    </row>
    <row r="1662" customFormat="false" ht="15.75" hidden="false" customHeight="true" outlineLevel="0" collapsed="false">
      <c r="A1662" s="30" t="n">
        <v>45323</v>
      </c>
      <c r="B1662" s="31" t="s">
        <v>7</v>
      </c>
      <c r="C1662" s="32"/>
      <c r="D1662" s="32"/>
      <c r="E1662" s="19" t="n">
        <f aca="false">+F1662*0.03</f>
        <v>0</v>
      </c>
      <c r="F1662" s="33" t="n">
        <v>0</v>
      </c>
      <c r="G1662" s="62"/>
      <c r="H1662" s="35" t="n">
        <v>0</v>
      </c>
      <c r="I1662" s="34" t="n">
        <f aca="false">+IF(E1662=0,0,E1662*0.03)</f>
        <v>0</v>
      </c>
    </row>
    <row r="1663" customFormat="false" ht="15.75" hidden="false" customHeight="true" outlineLevel="0" collapsed="false">
      <c r="A1663" s="30" t="n">
        <v>45323</v>
      </c>
      <c r="B1663" s="31" t="s">
        <v>7</v>
      </c>
      <c r="C1663" s="32"/>
      <c r="D1663" s="32"/>
      <c r="E1663" s="19" t="n">
        <f aca="false">+F1663*0.03</f>
        <v>0</v>
      </c>
      <c r="F1663" s="33" t="n">
        <v>0</v>
      </c>
      <c r="G1663" s="62"/>
      <c r="H1663" s="35" t="n">
        <v>0</v>
      </c>
      <c r="I1663" s="34" t="n">
        <f aca="false">+IF(E1663=0,0,E1663*0.03)</f>
        <v>0</v>
      </c>
    </row>
    <row r="1664" customFormat="false" ht="15.75" hidden="false" customHeight="true" outlineLevel="0" collapsed="false">
      <c r="A1664" s="30" t="n">
        <v>45323</v>
      </c>
      <c r="B1664" s="31" t="s">
        <v>7</v>
      </c>
      <c r="C1664" s="32"/>
      <c r="D1664" s="32"/>
      <c r="E1664" s="19" t="n">
        <f aca="false">+F1664*0.03</f>
        <v>0</v>
      </c>
      <c r="F1664" s="33" t="n">
        <v>0</v>
      </c>
      <c r="G1664" s="62"/>
      <c r="H1664" s="35" t="n">
        <v>0</v>
      </c>
      <c r="I1664" s="34" t="n">
        <f aca="false">+IF(E1664=0,0,E1664*0.03)</f>
        <v>0</v>
      </c>
    </row>
    <row r="1665" customFormat="false" ht="15.75" hidden="false" customHeight="true" outlineLevel="0" collapsed="false">
      <c r="A1665" s="30" t="n">
        <v>45323</v>
      </c>
      <c r="B1665" s="31" t="s">
        <v>7</v>
      </c>
      <c r="C1665" s="32"/>
      <c r="D1665" s="32"/>
      <c r="E1665" s="19" t="n">
        <f aca="false">+F1665*0.03</f>
        <v>0</v>
      </c>
      <c r="F1665" s="33" t="n">
        <v>0</v>
      </c>
      <c r="G1665" s="62"/>
      <c r="H1665" s="35" t="n">
        <v>0</v>
      </c>
      <c r="I1665" s="34" t="n">
        <f aca="false">+IF(E1665=0,0,E1665*0.03)</f>
        <v>0</v>
      </c>
    </row>
    <row r="1666" customFormat="false" ht="15.75" hidden="false" customHeight="true" outlineLevel="0" collapsed="false">
      <c r="A1666" s="30" t="n">
        <v>45323</v>
      </c>
      <c r="B1666" s="31" t="s">
        <v>7</v>
      </c>
      <c r="C1666" s="32"/>
      <c r="D1666" s="32"/>
      <c r="E1666" s="19" t="n">
        <f aca="false">+F1666*0.03</f>
        <v>0</v>
      </c>
      <c r="F1666" s="33" t="n">
        <v>0</v>
      </c>
      <c r="G1666" s="62"/>
      <c r="H1666" s="35" t="n">
        <v>0</v>
      </c>
      <c r="I1666" s="34" t="n">
        <f aca="false">+IF(E1666=0,0,E1666*0.03)</f>
        <v>0</v>
      </c>
    </row>
    <row r="1667" customFormat="false" ht="15.75" hidden="false" customHeight="true" outlineLevel="0" collapsed="false">
      <c r="A1667" s="30" t="n">
        <v>45323</v>
      </c>
      <c r="B1667" s="31" t="s">
        <v>7</v>
      </c>
      <c r="C1667" s="32"/>
      <c r="D1667" s="32"/>
      <c r="E1667" s="19" t="n">
        <f aca="false">+F1667*0.03</f>
        <v>0</v>
      </c>
      <c r="F1667" s="33" t="n">
        <v>0</v>
      </c>
      <c r="G1667" s="62"/>
      <c r="H1667" s="35" t="n">
        <v>0</v>
      </c>
      <c r="I1667" s="34" t="n">
        <f aca="false">+IF(E1667=0,0,E1667*0.03)</f>
        <v>0</v>
      </c>
    </row>
    <row r="1668" customFormat="false" ht="15.75" hidden="false" customHeight="true" outlineLevel="0" collapsed="false">
      <c r="A1668" s="30" t="n">
        <v>45323</v>
      </c>
      <c r="B1668" s="31" t="s">
        <v>7</v>
      </c>
      <c r="C1668" s="32"/>
      <c r="D1668" s="32"/>
      <c r="E1668" s="19" t="n">
        <f aca="false">+F1668*0.03</f>
        <v>0</v>
      </c>
      <c r="F1668" s="33" t="n">
        <v>0</v>
      </c>
      <c r="G1668" s="62"/>
      <c r="H1668" s="35" t="n">
        <v>0</v>
      </c>
      <c r="I1668" s="34" t="n">
        <f aca="false">+IF(E1668=0,0,E1668*0.03)</f>
        <v>0</v>
      </c>
    </row>
    <row r="1669" customFormat="false" ht="15.75" hidden="false" customHeight="true" outlineLevel="0" collapsed="false">
      <c r="A1669" s="30" t="n">
        <v>45323</v>
      </c>
      <c r="B1669" s="31" t="s">
        <v>7</v>
      </c>
      <c r="C1669" s="32"/>
      <c r="D1669" s="32"/>
      <c r="E1669" s="19" t="n">
        <f aca="false">+F1669*0.03</f>
        <v>0</v>
      </c>
      <c r="F1669" s="33" t="n">
        <v>0</v>
      </c>
      <c r="G1669" s="62"/>
      <c r="H1669" s="35" t="n">
        <v>0</v>
      </c>
      <c r="I1669" s="34" t="n">
        <f aca="false">+IF(E1669=0,0,E1669*0.03)</f>
        <v>0</v>
      </c>
    </row>
    <row r="1670" customFormat="false" ht="15.75" hidden="false" customHeight="true" outlineLevel="0" collapsed="false">
      <c r="A1670" s="30" t="n">
        <v>45323</v>
      </c>
      <c r="B1670" s="31" t="s">
        <v>7</v>
      </c>
      <c r="C1670" s="32"/>
      <c r="D1670" s="32"/>
      <c r="E1670" s="19" t="n">
        <f aca="false">+F1670*0.03</f>
        <v>0</v>
      </c>
      <c r="F1670" s="33" t="n">
        <v>0</v>
      </c>
      <c r="G1670" s="62"/>
      <c r="H1670" s="35" t="n">
        <v>0</v>
      </c>
      <c r="I1670" s="34" t="n">
        <f aca="false">+IF(E1670=0,0,E1670*0.03)</f>
        <v>0</v>
      </c>
    </row>
    <row r="1671" customFormat="false" ht="15.75" hidden="false" customHeight="true" outlineLevel="0" collapsed="false">
      <c r="A1671" s="30" t="n">
        <v>45323</v>
      </c>
      <c r="B1671" s="31" t="s">
        <v>7</v>
      </c>
      <c r="C1671" s="32"/>
      <c r="D1671" s="32"/>
      <c r="E1671" s="19" t="n">
        <f aca="false">+F1671*0.03</f>
        <v>0</v>
      </c>
      <c r="F1671" s="33" t="n">
        <v>0</v>
      </c>
      <c r="G1671" s="62"/>
      <c r="H1671" s="35" t="n">
        <v>0</v>
      </c>
      <c r="I1671" s="34" t="n">
        <f aca="false">+IF(E1671=0,0,E1671*0.03)</f>
        <v>0</v>
      </c>
    </row>
    <row r="1672" customFormat="false" ht="15.75" hidden="false" customHeight="true" outlineLevel="0" collapsed="false">
      <c r="A1672" s="30" t="n">
        <v>45323</v>
      </c>
      <c r="B1672" s="31" t="s">
        <v>7</v>
      </c>
      <c r="C1672" s="32"/>
      <c r="D1672" s="32"/>
      <c r="E1672" s="19" t="n">
        <f aca="false">+F1672*0.03</f>
        <v>0</v>
      </c>
      <c r="F1672" s="33" t="n">
        <v>0</v>
      </c>
      <c r="G1672" s="62"/>
      <c r="H1672" s="35" t="n">
        <v>0</v>
      </c>
      <c r="I1672" s="34" t="n">
        <f aca="false">+IF(E1672=0,0,E1672*0.03)</f>
        <v>0</v>
      </c>
    </row>
    <row r="1673" customFormat="false" ht="15.75" hidden="false" customHeight="true" outlineLevel="0" collapsed="false">
      <c r="A1673" s="30" t="n">
        <v>45323</v>
      </c>
      <c r="B1673" s="31" t="s">
        <v>7</v>
      </c>
      <c r="C1673" s="32"/>
      <c r="D1673" s="32"/>
      <c r="E1673" s="19" t="n">
        <f aca="false">+F1673*0.03</f>
        <v>0</v>
      </c>
      <c r="F1673" s="33" t="n">
        <v>0</v>
      </c>
      <c r="G1673" s="62"/>
      <c r="H1673" s="35" t="n">
        <v>0</v>
      </c>
      <c r="I1673" s="34" t="n">
        <f aca="false">+IF(E1673=0,0,E1673*0.03)</f>
        <v>0</v>
      </c>
    </row>
    <row r="1674" customFormat="false" ht="15.75" hidden="false" customHeight="true" outlineLevel="0" collapsed="false">
      <c r="A1674" s="30" t="n">
        <v>45323</v>
      </c>
      <c r="B1674" s="31" t="s">
        <v>7</v>
      </c>
      <c r="C1674" s="32"/>
      <c r="D1674" s="32"/>
      <c r="E1674" s="19" t="n">
        <f aca="false">+F1674*0.03</f>
        <v>0</v>
      </c>
      <c r="F1674" s="33" t="n">
        <v>0</v>
      </c>
      <c r="G1674" s="62"/>
      <c r="H1674" s="35" t="n">
        <v>0</v>
      </c>
      <c r="I1674" s="34" t="n">
        <f aca="false">+IF(E1674=0,0,E1674*0.03)</f>
        <v>0</v>
      </c>
    </row>
    <row r="1675" customFormat="false" ht="15.75" hidden="false" customHeight="true" outlineLevel="0" collapsed="false">
      <c r="A1675" s="30" t="n">
        <v>45323</v>
      </c>
      <c r="B1675" s="31" t="s">
        <v>7</v>
      </c>
      <c r="C1675" s="32"/>
      <c r="D1675" s="32"/>
      <c r="E1675" s="19" t="n">
        <f aca="false">+F1675*0.03</f>
        <v>0</v>
      </c>
      <c r="F1675" s="33" t="n">
        <v>0</v>
      </c>
      <c r="G1675" s="62"/>
      <c r="H1675" s="35" t="n">
        <v>0</v>
      </c>
      <c r="I1675" s="34" t="n">
        <f aca="false">+IF(E1675=0,0,E1675*0.03)</f>
        <v>0</v>
      </c>
    </row>
    <row r="1676" customFormat="false" ht="15.75" hidden="false" customHeight="true" outlineLevel="0" collapsed="false">
      <c r="A1676" s="30" t="n">
        <v>45323</v>
      </c>
      <c r="B1676" s="31" t="s">
        <v>7</v>
      </c>
      <c r="C1676" s="32"/>
      <c r="D1676" s="32"/>
      <c r="E1676" s="19" t="n">
        <f aca="false">+F1676*0.03</f>
        <v>0</v>
      </c>
      <c r="F1676" s="33" t="n">
        <v>0</v>
      </c>
      <c r="G1676" s="62"/>
      <c r="H1676" s="35" t="n">
        <v>0</v>
      </c>
      <c r="I1676" s="34" t="n">
        <f aca="false">+IF(E1676=0,0,E1676*0.03)</f>
        <v>0</v>
      </c>
    </row>
    <row r="1677" customFormat="false" ht="15.75" hidden="false" customHeight="true" outlineLevel="0" collapsed="false">
      <c r="A1677" s="30" t="n">
        <v>45323</v>
      </c>
      <c r="B1677" s="31" t="s">
        <v>7</v>
      </c>
      <c r="C1677" s="32"/>
      <c r="D1677" s="32"/>
      <c r="E1677" s="19" t="n">
        <f aca="false">+F1677*0.03</f>
        <v>0</v>
      </c>
      <c r="F1677" s="33" t="n">
        <v>0</v>
      </c>
      <c r="G1677" s="62"/>
      <c r="H1677" s="35" t="n">
        <v>0</v>
      </c>
      <c r="I1677" s="34" t="n">
        <f aca="false">+IF(E1677=0,0,E1677*0.03)</f>
        <v>0</v>
      </c>
    </row>
    <row r="1678" customFormat="false" ht="15.75" hidden="false" customHeight="true" outlineLevel="0" collapsed="false">
      <c r="A1678" s="30" t="n">
        <v>45323</v>
      </c>
      <c r="B1678" s="31" t="s">
        <v>7</v>
      </c>
      <c r="C1678" s="32"/>
      <c r="D1678" s="32"/>
      <c r="E1678" s="19" t="n">
        <f aca="false">+F1678*0.03</f>
        <v>0</v>
      </c>
      <c r="F1678" s="33" t="n">
        <v>0</v>
      </c>
      <c r="G1678" s="62"/>
      <c r="H1678" s="35" t="n">
        <v>0</v>
      </c>
      <c r="I1678" s="34" t="n">
        <f aca="false">+IF(E1678=0,0,E1678*0.03)</f>
        <v>0</v>
      </c>
    </row>
    <row r="1679" customFormat="false" ht="15.75" hidden="false" customHeight="true" outlineLevel="0" collapsed="false">
      <c r="A1679" s="30" t="n">
        <v>45323</v>
      </c>
      <c r="B1679" s="31" t="s">
        <v>7</v>
      </c>
      <c r="C1679" s="32"/>
      <c r="D1679" s="32"/>
      <c r="E1679" s="19" t="n">
        <f aca="false">+F1679*0.03</f>
        <v>0</v>
      </c>
      <c r="F1679" s="33" t="n">
        <v>0</v>
      </c>
      <c r="G1679" s="62"/>
      <c r="H1679" s="35" t="n">
        <v>0</v>
      </c>
      <c r="I1679" s="34" t="n">
        <f aca="false">+IF(E1679=0,0,E1679*0.03)</f>
        <v>0</v>
      </c>
    </row>
    <row r="1680" customFormat="false" ht="15.75" hidden="false" customHeight="true" outlineLevel="0" collapsed="false">
      <c r="A1680" s="30" t="n">
        <v>45323</v>
      </c>
      <c r="B1680" s="31" t="s">
        <v>7</v>
      </c>
      <c r="C1680" s="32"/>
      <c r="D1680" s="32"/>
      <c r="E1680" s="19" t="n">
        <f aca="false">+F1680*0.03</f>
        <v>0</v>
      </c>
      <c r="F1680" s="33" t="n">
        <v>0</v>
      </c>
      <c r="G1680" s="62"/>
      <c r="H1680" s="35" t="n">
        <v>0</v>
      </c>
      <c r="I1680" s="34" t="n">
        <f aca="false">+IF(E1680=0,0,E1680*0.03)</f>
        <v>0</v>
      </c>
    </row>
    <row r="1681" customFormat="false" ht="15.75" hidden="false" customHeight="true" outlineLevel="0" collapsed="false">
      <c r="A1681" s="30" t="n">
        <v>45323</v>
      </c>
      <c r="B1681" s="31" t="s">
        <v>7</v>
      </c>
      <c r="C1681" s="32"/>
      <c r="D1681" s="32"/>
      <c r="E1681" s="19" t="n">
        <f aca="false">+F1681*0.03</f>
        <v>0</v>
      </c>
      <c r="F1681" s="33" t="n">
        <v>0</v>
      </c>
      <c r="G1681" s="62"/>
      <c r="H1681" s="35" t="n">
        <v>0</v>
      </c>
      <c r="I1681" s="34" t="n">
        <f aca="false">+IF(E1681=0,0,E1681*0.03)</f>
        <v>0</v>
      </c>
    </row>
    <row r="1682" customFormat="false" ht="15.75" hidden="false" customHeight="true" outlineLevel="0" collapsed="false">
      <c r="A1682" s="30" t="n">
        <v>45323</v>
      </c>
      <c r="B1682" s="31" t="s">
        <v>7</v>
      </c>
      <c r="C1682" s="32"/>
      <c r="D1682" s="32"/>
      <c r="E1682" s="19" t="n">
        <f aca="false">+F1682*0.03</f>
        <v>0</v>
      </c>
      <c r="F1682" s="33" t="n">
        <v>0</v>
      </c>
      <c r="G1682" s="62"/>
      <c r="H1682" s="35" t="n">
        <v>0</v>
      </c>
      <c r="I1682" s="34" t="n">
        <f aca="false">+IF(E1682=0,0,E1682*0.03)</f>
        <v>0</v>
      </c>
    </row>
    <row r="1683" customFormat="false" ht="15.75" hidden="false" customHeight="true" outlineLevel="0" collapsed="false">
      <c r="A1683" s="30" t="n">
        <v>45323</v>
      </c>
      <c r="B1683" s="31" t="s">
        <v>7</v>
      </c>
      <c r="C1683" s="32"/>
      <c r="D1683" s="32"/>
      <c r="E1683" s="19" t="n">
        <f aca="false">+F1683*0.03</f>
        <v>0</v>
      </c>
      <c r="F1683" s="33" t="n">
        <v>0</v>
      </c>
      <c r="G1683" s="62"/>
      <c r="H1683" s="35" t="n">
        <v>0</v>
      </c>
      <c r="I1683" s="34" t="n">
        <f aca="false">+IF(E1683=0,0,E1683*0.03)</f>
        <v>0</v>
      </c>
    </row>
    <row r="1684" customFormat="false" ht="15.75" hidden="false" customHeight="true" outlineLevel="0" collapsed="false">
      <c r="A1684" s="30" t="n">
        <v>45323</v>
      </c>
      <c r="B1684" s="31" t="s">
        <v>7</v>
      </c>
      <c r="C1684" s="32"/>
      <c r="D1684" s="32"/>
      <c r="E1684" s="19" t="n">
        <f aca="false">+F1684*0.03</f>
        <v>0</v>
      </c>
      <c r="F1684" s="33" t="n">
        <v>0</v>
      </c>
      <c r="G1684" s="62"/>
      <c r="H1684" s="35" t="n">
        <v>0</v>
      </c>
      <c r="I1684" s="34" t="n">
        <f aca="false">+IF(E1684=0,0,E1684*0.03)</f>
        <v>0</v>
      </c>
    </row>
    <row r="1685" customFormat="false" ht="15.75" hidden="false" customHeight="true" outlineLevel="0" collapsed="false">
      <c r="A1685" s="30" t="n">
        <v>45323</v>
      </c>
      <c r="B1685" s="31" t="s">
        <v>7</v>
      </c>
      <c r="C1685" s="32"/>
      <c r="D1685" s="32"/>
      <c r="E1685" s="19" t="n">
        <f aca="false">+F1685*0.03</f>
        <v>0</v>
      </c>
      <c r="F1685" s="33" t="n">
        <v>0</v>
      </c>
      <c r="G1685" s="62"/>
      <c r="H1685" s="35" t="n">
        <v>0</v>
      </c>
      <c r="I1685" s="34" t="n">
        <f aca="false">+IF(E1685=0,0,E1685*0.03)</f>
        <v>0</v>
      </c>
    </row>
    <row r="1686" customFormat="false" ht="15.75" hidden="false" customHeight="true" outlineLevel="0" collapsed="false">
      <c r="A1686" s="30" t="n">
        <v>45323</v>
      </c>
      <c r="B1686" s="31" t="s">
        <v>7</v>
      </c>
      <c r="C1686" s="32"/>
      <c r="D1686" s="32"/>
      <c r="E1686" s="19" t="n">
        <f aca="false">+F1686*0.03</f>
        <v>0</v>
      </c>
      <c r="F1686" s="33" t="n">
        <v>0</v>
      </c>
      <c r="G1686" s="62"/>
      <c r="H1686" s="35" t="n">
        <v>0</v>
      </c>
      <c r="I1686" s="34" t="n">
        <f aca="false">+IF(E1686=0,0,E1686*0.03)</f>
        <v>0</v>
      </c>
    </row>
    <row r="1687" customFormat="false" ht="15.75" hidden="false" customHeight="true" outlineLevel="0" collapsed="false">
      <c r="A1687" s="30" t="n">
        <v>45323</v>
      </c>
      <c r="B1687" s="31" t="s">
        <v>7</v>
      </c>
      <c r="C1687" s="32"/>
      <c r="D1687" s="32"/>
      <c r="E1687" s="19" t="n">
        <f aca="false">+F1687*0.03</f>
        <v>0</v>
      </c>
      <c r="F1687" s="33" t="n">
        <v>0</v>
      </c>
      <c r="G1687" s="62"/>
      <c r="H1687" s="35" t="n">
        <v>0</v>
      </c>
      <c r="I1687" s="34" t="n">
        <f aca="false">+IF(E1687=0,0,E1687*0.03)</f>
        <v>0</v>
      </c>
    </row>
    <row r="1688" customFormat="false" ht="15.75" hidden="false" customHeight="true" outlineLevel="0" collapsed="false">
      <c r="A1688" s="30" t="n">
        <v>45323</v>
      </c>
      <c r="B1688" s="31" t="s">
        <v>7</v>
      </c>
      <c r="C1688" s="32"/>
      <c r="D1688" s="32"/>
      <c r="E1688" s="19" t="n">
        <f aca="false">+F1688*0.03</f>
        <v>0</v>
      </c>
      <c r="F1688" s="33" t="n">
        <v>0</v>
      </c>
      <c r="G1688" s="62"/>
      <c r="H1688" s="35" t="n">
        <v>0</v>
      </c>
      <c r="I1688" s="34" t="n">
        <f aca="false">+IF(E1688=0,0,E1688*0.03)</f>
        <v>0</v>
      </c>
    </row>
    <row r="1689" customFormat="false" ht="15.75" hidden="false" customHeight="true" outlineLevel="0" collapsed="false">
      <c r="A1689" s="30" t="n">
        <v>45323</v>
      </c>
      <c r="B1689" s="31" t="s">
        <v>7</v>
      </c>
      <c r="C1689" s="32"/>
      <c r="D1689" s="32"/>
      <c r="E1689" s="19" t="n">
        <f aca="false">+F1689*0.03</f>
        <v>0</v>
      </c>
      <c r="F1689" s="33" t="n">
        <v>0</v>
      </c>
      <c r="G1689" s="62"/>
      <c r="H1689" s="35" t="n">
        <v>0</v>
      </c>
      <c r="I1689" s="34" t="n">
        <f aca="false">+IF(E1689=0,0,E1689*0.03)</f>
        <v>0</v>
      </c>
    </row>
    <row r="1690" customFormat="false" ht="15.75" hidden="false" customHeight="true" outlineLevel="0" collapsed="false">
      <c r="A1690" s="30" t="n">
        <v>45323</v>
      </c>
      <c r="B1690" s="31" t="s">
        <v>7</v>
      </c>
      <c r="C1690" s="32"/>
      <c r="D1690" s="32"/>
      <c r="E1690" s="19" t="n">
        <f aca="false">+F1690*0.03</f>
        <v>0</v>
      </c>
      <c r="F1690" s="33" t="n">
        <v>0</v>
      </c>
      <c r="G1690" s="62"/>
      <c r="H1690" s="35" t="n">
        <v>0</v>
      </c>
      <c r="I1690" s="34" t="n">
        <f aca="false">+IF(E1690=0,0,E1690*0.03)</f>
        <v>0</v>
      </c>
    </row>
    <row r="1691" customFormat="false" ht="15.75" hidden="false" customHeight="true" outlineLevel="0" collapsed="false">
      <c r="A1691" s="30" t="n">
        <v>45323</v>
      </c>
      <c r="B1691" s="31" t="s">
        <v>7</v>
      </c>
      <c r="C1691" s="32"/>
      <c r="D1691" s="32"/>
      <c r="E1691" s="19" t="n">
        <f aca="false">+F1691*0.03</f>
        <v>0</v>
      </c>
      <c r="F1691" s="33" t="n">
        <v>0</v>
      </c>
      <c r="G1691" s="62"/>
      <c r="H1691" s="35" t="n">
        <v>0</v>
      </c>
      <c r="I1691" s="34" t="n">
        <f aca="false">+IF(E1691=0,0,E1691*0.03)</f>
        <v>0</v>
      </c>
    </row>
    <row r="1692" customFormat="false" ht="15.75" hidden="false" customHeight="true" outlineLevel="0" collapsed="false">
      <c r="A1692" s="30" t="n">
        <v>45323</v>
      </c>
      <c r="B1692" s="31" t="s">
        <v>7</v>
      </c>
      <c r="C1692" s="32"/>
      <c r="D1692" s="32"/>
      <c r="E1692" s="19" t="n">
        <f aca="false">+F1692*0.03</f>
        <v>0</v>
      </c>
      <c r="F1692" s="33" t="n">
        <v>0</v>
      </c>
      <c r="G1692" s="62"/>
      <c r="H1692" s="35" t="n">
        <v>0</v>
      </c>
      <c r="I1692" s="34" t="n">
        <f aca="false">+IF(E1692=0,0,E1692*0.03)</f>
        <v>0</v>
      </c>
    </row>
    <row r="1693" customFormat="false" ht="15.75" hidden="false" customHeight="true" outlineLevel="0" collapsed="false">
      <c r="A1693" s="30" t="n">
        <v>45323</v>
      </c>
      <c r="B1693" s="31" t="s">
        <v>7</v>
      </c>
      <c r="C1693" s="32"/>
      <c r="D1693" s="32"/>
      <c r="E1693" s="19" t="n">
        <f aca="false">+F1693*0.03</f>
        <v>0</v>
      </c>
      <c r="F1693" s="33" t="n">
        <v>0</v>
      </c>
      <c r="G1693" s="62"/>
      <c r="H1693" s="35" t="n">
        <v>0</v>
      </c>
      <c r="I1693" s="34" t="n">
        <f aca="false">+IF(E1693=0,0,E1693*0.03)</f>
        <v>0</v>
      </c>
    </row>
    <row r="1694" customFormat="false" ht="15.75" hidden="false" customHeight="true" outlineLevel="0" collapsed="false">
      <c r="A1694" s="30" t="n">
        <v>45323</v>
      </c>
      <c r="B1694" s="31" t="s">
        <v>7</v>
      </c>
      <c r="C1694" s="32"/>
      <c r="D1694" s="32"/>
      <c r="E1694" s="19" t="n">
        <f aca="false">+F1694*0.03</f>
        <v>0</v>
      </c>
      <c r="F1694" s="33" t="n">
        <v>0</v>
      </c>
      <c r="G1694" s="62"/>
      <c r="H1694" s="35" t="n">
        <v>0</v>
      </c>
      <c r="I1694" s="34" t="n">
        <f aca="false">+IF(E1694=0,0,E1694*0.03)</f>
        <v>0</v>
      </c>
    </row>
    <row r="1695" customFormat="false" ht="15.75" hidden="false" customHeight="true" outlineLevel="0" collapsed="false">
      <c r="A1695" s="30" t="n">
        <v>45323</v>
      </c>
      <c r="B1695" s="31" t="s">
        <v>7</v>
      </c>
      <c r="C1695" s="32"/>
      <c r="D1695" s="32"/>
      <c r="E1695" s="19" t="n">
        <f aca="false">+F1695*0.03</f>
        <v>0</v>
      </c>
      <c r="F1695" s="33" t="n">
        <v>0</v>
      </c>
      <c r="G1695" s="62"/>
      <c r="H1695" s="35" t="n">
        <v>0</v>
      </c>
      <c r="I1695" s="34" t="n">
        <f aca="false">+IF(E1695=0,0,E1695*0.03)</f>
        <v>0</v>
      </c>
    </row>
    <row r="1696" customFormat="false" ht="15.75" hidden="false" customHeight="true" outlineLevel="0" collapsed="false">
      <c r="A1696" s="30" t="n">
        <v>45323</v>
      </c>
      <c r="B1696" s="31" t="s">
        <v>7</v>
      </c>
      <c r="C1696" s="32"/>
      <c r="D1696" s="32"/>
      <c r="E1696" s="19" t="n">
        <f aca="false">+F1696*0.03</f>
        <v>0</v>
      </c>
      <c r="F1696" s="33" t="n">
        <v>0</v>
      </c>
      <c r="G1696" s="62"/>
      <c r="H1696" s="35" t="n">
        <v>0</v>
      </c>
      <c r="I1696" s="34" t="n">
        <f aca="false">+IF(E1696=0,0,E1696*0.03)</f>
        <v>0</v>
      </c>
    </row>
    <row r="1697" customFormat="false" ht="15.75" hidden="false" customHeight="true" outlineLevel="0" collapsed="false">
      <c r="A1697" s="30" t="n">
        <v>45323</v>
      </c>
      <c r="B1697" s="31" t="s">
        <v>7</v>
      </c>
      <c r="C1697" s="32"/>
      <c r="D1697" s="32"/>
      <c r="E1697" s="19" t="n">
        <f aca="false">+F1697*0.03</f>
        <v>0</v>
      </c>
      <c r="F1697" s="33" t="n">
        <v>0</v>
      </c>
      <c r="G1697" s="62"/>
      <c r="H1697" s="35" t="n">
        <v>0</v>
      </c>
      <c r="I1697" s="34" t="n">
        <f aca="false">+IF(E1697=0,0,E1697*0.03)</f>
        <v>0</v>
      </c>
    </row>
    <row r="1698" customFormat="false" ht="15.75" hidden="false" customHeight="true" outlineLevel="0" collapsed="false">
      <c r="A1698" s="30" t="n">
        <v>45323</v>
      </c>
      <c r="B1698" s="31" t="s">
        <v>7</v>
      </c>
      <c r="C1698" s="32"/>
      <c r="D1698" s="32"/>
      <c r="E1698" s="19" t="n">
        <f aca="false">+F1698*0.03</f>
        <v>0</v>
      </c>
      <c r="F1698" s="33" t="n">
        <v>0</v>
      </c>
      <c r="G1698" s="62"/>
      <c r="H1698" s="35" t="n">
        <v>0</v>
      </c>
      <c r="I1698" s="34" t="n">
        <f aca="false">+IF(E1698=0,0,E1698*0.03)</f>
        <v>0</v>
      </c>
    </row>
    <row r="1699" customFormat="false" ht="15.75" hidden="false" customHeight="true" outlineLevel="0" collapsed="false">
      <c r="A1699" s="30" t="n">
        <v>45323</v>
      </c>
      <c r="B1699" s="31" t="s">
        <v>7</v>
      </c>
      <c r="C1699" s="32"/>
      <c r="D1699" s="32"/>
      <c r="E1699" s="19" t="n">
        <f aca="false">+F1699*0.03</f>
        <v>0</v>
      </c>
      <c r="F1699" s="33" t="n">
        <v>0</v>
      </c>
      <c r="G1699" s="62"/>
      <c r="H1699" s="35" t="n">
        <v>0</v>
      </c>
      <c r="I1699" s="34" t="n">
        <f aca="false">+IF(E1699=0,0,E1699*0.03)</f>
        <v>0</v>
      </c>
    </row>
    <row r="1700" customFormat="false" ht="15.75" hidden="false" customHeight="true" outlineLevel="0" collapsed="false">
      <c r="A1700" s="30" t="n">
        <v>45323</v>
      </c>
      <c r="B1700" s="31" t="s">
        <v>7</v>
      </c>
      <c r="C1700" s="32"/>
      <c r="D1700" s="32"/>
      <c r="E1700" s="19" t="n">
        <f aca="false">+F1700*0.03</f>
        <v>0</v>
      </c>
      <c r="F1700" s="33" t="n">
        <v>0</v>
      </c>
      <c r="G1700" s="62"/>
      <c r="H1700" s="35" t="n">
        <v>0</v>
      </c>
      <c r="I1700" s="34" t="n">
        <f aca="false">+IF(E1700=0,0,E1700*0.03)</f>
        <v>0</v>
      </c>
    </row>
    <row r="1701" customFormat="false" ht="15.75" hidden="false" customHeight="true" outlineLevel="0" collapsed="false">
      <c r="A1701" s="30" t="n">
        <v>45323</v>
      </c>
      <c r="B1701" s="31" t="s">
        <v>7</v>
      </c>
      <c r="C1701" s="32"/>
      <c r="D1701" s="32"/>
      <c r="E1701" s="19" t="n">
        <f aca="false">+F1701*0.03</f>
        <v>0</v>
      </c>
      <c r="F1701" s="33" t="n">
        <v>0</v>
      </c>
      <c r="G1701" s="62"/>
      <c r="H1701" s="35" t="n">
        <v>0</v>
      </c>
      <c r="I1701" s="34" t="n">
        <f aca="false">+IF(E1701=0,0,E1701*0.03)</f>
        <v>0</v>
      </c>
    </row>
    <row r="1702" customFormat="false" ht="15.75" hidden="false" customHeight="true" outlineLevel="0" collapsed="false">
      <c r="A1702" s="30" t="n">
        <v>45323</v>
      </c>
      <c r="B1702" s="31" t="s">
        <v>7</v>
      </c>
      <c r="C1702" s="32"/>
      <c r="D1702" s="32"/>
      <c r="E1702" s="19" t="n">
        <f aca="false">+F1702*0.03</f>
        <v>0</v>
      </c>
      <c r="F1702" s="33" t="n">
        <v>0</v>
      </c>
      <c r="G1702" s="62"/>
      <c r="H1702" s="35" t="n">
        <v>0</v>
      </c>
      <c r="I1702" s="34" t="n">
        <f aca="false">+IF(E1702=0,0,E1702*0.03)</f>
        <v>0</v>
      </c>
    </row>
    <row r="1703" customFormat="false" ht="15.75" hidden="false" customHeight="true" outlineLevel="0" collapsed="false">
      <c r="A1703" s="30" t="n">
        <v>45323</v>
      </c>
      <c r="B1703" s="31" t="s">
        <v>7</v>
      </c>
      <c r="C1703" s="32"/>
      <c r="D1703" s="32"/>
      <c r="E1703" s="19" t="n">
        <f aca="false">+F1703*0.03</f>
        <v>0</v>
      </c>
      <c r="F1703" s="33" t="n">
        <v>0</v>
      </c>
      <c r="G1703" s="62"/>
      <c r="H1703" s="35" t="n">
        <v>0</v>
      </c>
      <c r="I1703" s="34" t="n">
        <f aca="false">+IF(E1703=0,0,E1703*0.03)</f>
        <v>0</v>
      </c>
    </row>
    <row r="1704" customFormat="false" ht="15.75" hidden="false" customHeight="true" outlineLevel="0" collapsed="false">
      <c r="A1704" s="30" t="n">
        <v>45323</v>
      </c>
      <c r="B1704" s="31" t="s">
        <v>7</v>
      </c>
      <c r="C1704" s="32"/>
      <c r="D1704" s="32"/>
      <c r="E1704" s="19" t="n">
        <f aca="false">+F1704*0.03</f>
        <v>0</v>
      </c>
      <c r="F1704" s="33" t="n">
        <v>0</v>
      </c>
      <c r="G1704" s="62"/>
      <c r="H1704" s="35" t="n">
        <v>0</v>
      </c>
      <c r="I1704" s="34" t="n">
        <f aca="false">+IF(E1704=0,0,E1704*0.03)</f>
        <v>0</v>
      </c>
    </row>
    <row r="1705" customFormat="false" ht="15.75" hidden="false" customHeight="true" outlineLevel="0" collapsed="false">
      <c r="A1705" s="30" t="n">
        <v>45323</v>
      </c>
      <c r="B1705" s="31" t="s">
        <v>7</v>
      </c>
      <c r="C1705" s="32"/>
      <c r="D1705" s="32"/>
      <c r="E1705" s="19" t="n">
        <f aca="false">+F1705*0.03</f>
        <v>0</v>
      </c>
      <c r="F1705" s="33" t="n">
        <v>0</v>
      </c>
      <c r="G1705" s="62"/>
      <c r="H1705" s="35" t="n">
        <v>0</v>
      </c>
      <c r="I1705" s="34" t="n">
        <f aca="false">+IF(E1705=0,0,E1705*0.03)</f>
        <v>0</v>
      </c>
    </row>
    <row r="1706" customFormat="false" ht="15.75" hidden="false" customHeight="true" outlineLevel="0" collapsed="false">
      <c r="A1706" s="30" t="n">
        <v>45323</v>
      </c>
      <c r="B1706" s="31" t="s">
        <v>7</v>
      </c>
      <c r="C1706" s="32"/>
      <c r="D1706" s="32"/>
      <c r="E1706" s="19" t="n">
        <f aca="false">+F1706*0.03</f>
        <v>0</v>
      </c>
      <c r="F1706" s="33" t="n">
        <v>0</v>
      </c>
      <c r="G1706" s="62"/>
      <c r="H1706" s="35" t="n">
        <v>0</v>
      </c>
      <c r="I1706" s="34" t="n">
        <f aca="false">+IF(E1706=0,0,E1706*0.03)</f>
        <v>0</v>
      </c>
    </row>
    <row r="1707" customFormat="false" ht="15.75" hidden="false" customHeight="true" outlineLevel="0" collapsed="false">
      <c r="A1707" s="30" t="n">
        <v>45323</v>
      </c>
      <c r="B1707" s="31" t="s">
        <v>7</v>
      </c>
      <c r="C1707" s="32"/>
      <c r="D1707" s="32"/>
      <c r="E1707" s="19" t="n">
        <f aca="false">+F1707*0.03</f>
        <v>0</v>
      </c>
      <c r="F1707" s="33" t="n">
        <v>0</v>
      </c>
      <c r="G1707" s="62"/>
      <c r="H1707" s="35" t="n">
        <v>0</v>
      </c>
      <c r="I1707" s="34" t="n">
        <f aca="false">+IF(E1707=0,0,E1707*0.03)</f>
        <v>0</v>
      </c>
    </row>
    <row r="1708" customFormat="false" ht="15.75" hidden="false" customHeight="true" outlineLevel="0" collapsed="false">
      <c r="A1708" s="30" t="n">
        <v>45323</v>
      </c>
      <c r="B1708" s="31" t="s">
        <v>7</v>
      </c>
      <c r="C1708" s="32"/>
      <c r="D1708" s="32"/>
      <c r="E1708" s="19" t="n">
        <f aca="false">+F1708*0.03</f>
        <v>0</v>
      </c>
      <c r="F1708" s="33" t="n">
        <v>0</v>
      </c>
      <c r="G1708" s="62"/>
      <c r="H1708" s="35" t="n">
        <v>0</v>
      </c>
      <c r="I1708" s="34" t="n">
        <f aca="false">+IF(E1708=0,0,E1708*0.03)</f>
        <v>0</v>
      </c>
    </row>
    <row r="1709" customFormat="false" ht="15.75" hidden="false" customHeight="true" outlineLevel="0" collapsed="false">
      <c r="A1709" s="30" t="n">
        <v>45323</v>
      </c>
      <c r="B1709" s="31" t="s">
        <v>7</v>
      </c>
      <c r="C1709" s="32"/>
      <c r="D1709" s="32"/>
      <c r="E1709" s="19" t="n">
        <f aca="false">+F1709*0.03</f>
        <v>0</v>
      </c>
      <c r="F1709" s="33" t="n">
        <v>0</v>
      </c>
      <c r="G1709" s="62"/>
      <c r="H1709" s="35" t="n">
        <v>0</v>
      </c>
      <c r="I1709" s="34" t="n">
        <f aca="false">+IF(E1709=0,0,E1709*0.03)</f>
        <v>0</v>
      </c>
    </row>
    <row r="1710" customFormat="false" ht="15.75" hidden="false" customHeight="true" outlineLevel="0" collapsed="false">
      <c r="A1710" s="30" t="n">
        <v>45323</v>
      </c>
      <c r="B1710" s="31" t="s">
        <v>7</v>
      </c>
      <c r="C1710" s="32"/>
      <c r="D1710" s="32"/>
      <c r="E1710" s="19" t="n">
        <f aca="false">+F1710*0.03</f>
        <v>0</v>
      </c>
      <c r="F1710" s="33" t="n">
        <v>0</v>
      </c>
      <c r="G1710" s="62"/>
      <c r="H1710" s="35" t="n">
        <v>0</v>
      </c>
      <c r="I1710" s="34" t="n">
        <f aca="false">+IF(E1710=0,0,E1710*0.03)</f>
        <v>0</v>
      </c>
    </row>
    <row r="1711" customFormat="false" ht="15.75" hidden="false" customHeight="true" outlineLevel="0" collapsed="false">
      <c r="A1711" s="30" t="n">
        <v>45323</v>
      </c>
      <c r="B1711" s="31" t="s">
        <v>7</v>
      </c>
      <c r="C1711" s="32"/>
      <c r="D1711" s="32"/>
      <c r="E1711" s="19" t="n">
        <f aca="false">+F1711*0.03</f>
        <v>0</v>
      </c>
      <c r="F1711" s="33" t="n">
        <v>0</v>
      </c>
      <c r="G1711" s="62"/>
      <c r="H1711" s="35" t="n">
        <v>0</v>
      </c>
      <c r="I1711" s="34" t="n">
        <f aca="false">+IF(E1711=0,0,E1711*0.03)</f>
        <v>0</v>
      </c>
    </row>
    <row r="1712" customFormat="false" ht="15.75" hidden="false" customHeight="true" outlineLevel="0" collapsed="false">
      <c r="A1712" s="30" t="n">
        <v>45323</v>
      </c>
      <c r="B1712" s="31" t="s">
        <v>7</v>
      </c>
      <c r="C1712" s="32"/>
      <c r="D1712" s="32"/>
      <c r="E1712" s="19" t="n">
        <f aca="false">+F1712*0.03</f>
        <v>0</v>
      </c>
      <c r="F1712" s="33" t="n">
        <v>0</v>
      </c>
      <c r="G1712" s="62"/>
      <c r="H1712" s="35" t="n">
        <v>0</v>
      </c>
      <c r="I1712" s="34" t="n">
        <f aca="false">+IF(E1712=0,0,E1712*0.03)</f>
        <v>0</v>
      </c>
    </row>
    <row r="1713" customFormat="false" ht="15.75" hidden="false" customHeight="true" outlineLevel="0" collapsed="false">
      <c r="A1713" s="30" t="n">
        <v>45323</v>
      </c>
      <c r="B1713" s="31" t="s">
        <v>7</v>
      </c>
      <c r="C1713" s="32"/>
      <c r="D1713" s="32"/>
      <c r="E1713" s="19" t="n">
        <f aca="false">+F1713*0.03</f>
        <v>0</v>
      </c>
      <c r="F1713" s="33" t="n">
        <v>0</v>
      </c>
      <c r="G1713" s="62"/>
      <c r="H1713" s="35" t="n">
        <v>0</v>
      </c>
      <c r="I1713" s="34" t="n">
        <f aca="false">+IF(E1713=0,0,E1713*0.03)</f>
        <v>0</v>
      </c>
    </row>
    <row r="1714" customFormat="false" ht="15.75" hidden="false" customHeight="true" outlineLevel="0" collapsed="false">
      <c r="A1714" s="30" t="n">
        <v>45323</v>
      </c>
      <c r="B1714" s="31" t="s">
        <v>7</v>
      </c>
      <c r="C1714" s="32"/>
      <c r="D1714" s="32"/>
      <c r="E1714" s="19" t="n">
        <f aca="false">+F1714*0.03</f>
        <v>0</v>
      </c>
      <c r="F1714" s="33" t="n">
        <v>0</v>
      </c>
      <c r="G1714" s="62"/>
      <c r="H1714" s="35" t="n">
        <v>0</v>
      </c>
      <c r="I1714" s="34" t="n">
        <f aca="false">+IF(E1714=0,0,E1714*0.03)</f>
        <v>0</v>
      </c>
    </row>
    <row r="1715" customFormat="false" ht="15.75" hidden="false" customHeight="true" outlineLevel="0" collapsed="false">
      <c r="A1715" s="30" t="n">
        <v>45323</v>
      </c>
      <c r="B1715" s="31" t="s">
        <v>7</v>
      </c>
      <c r="C1715" s="32"/>
      <c r="D1715" s="32"/>
      <c r="E1715" s="19" t="n">
        <f aca="false">+F1715*0.03</f>
        <v>0</v>
      </c>
      <c r="F1715" s="33" t="n">
        <v>0</v>
      </c>
      <c r="G1715" s="62"/>
      <c r="H1715" s="35" t="n">
        <v>0</v>
      </c>
      <c r="I1715" s="34" t="n">
        <f aca="false">+IF(E1715=0,0,E1715*0.03)</f>
        <v>0</v>
      </c>
    </row>
    <row r="1716" customFormat="false" ht="15.75" hidden="false" customHeight="true" outlineLevel="0" collapsed="false">
      <c r="A1716" s="30" t="n">
        <v>45323</v>
      </c>
      <c r="B1716" s="31" t="s">
        <v>7</v>
      </c>
      <c r="C1716" s="32"/>
      <c r="D1716" s="32"/>
      <c r="E1716" s="19" t="n">
        <f aca="false">+F1716*0.03</f>
        <v>0</v>
      </c>
      <c r="F1716" s="33" t="n">
        <v>0</v>
      </c>
      <c r="G1716" s="62"/>
      <c r="H1716" s="35" t="n">
        <v>0</v>
      </c>
      <c r="I1716" s="34" t="n">
        <f aca="false">+IF(E1716=0,0,E1716*0.03)</f>
        <v>0</v>
      </c>
    </row>
    <row r="1717" customFormat="false" ht="15.75" hidden="false" customHeight="true" outlineLevel="0" collapsed="false">
      <c r="A1717" s="30" t="n">
        <v>45323</v>
      </c>
      <c r="B1717" s="31" t="s">
        <v>7</v>
      </c>
      <c r="C1717" s="32"/>
      <c r="D1717" s="32"/>
      <c r="E1717" s="19" t="n">
        <f aca="false">+F1717*0.03</f>
        <v>0</v>
      </c>
      <c r="F1717" s="33" t="n">
        <v>0</v>
      </c>
      <c r="G1717" s="62"/>
      <c r="H1717" s="35" t="n">
        <v>0</v>
      </c>
      <c r="I1717" s="34" t="n">
        <f aca="false">+IF(E1717=0,0,E1717*0.03)</f>
        <v>0</v>
      </c>
    </row>
    <row r="1718" customFormat="false" ht="15.75" hidden="false" customHeight="true" outlineLevel="0" collapsed="false">
      <c r="A1718" s="30" t="n">
        <v>45323</v>
      </c>
      <c r="B1718" s="31" t="s">
        <v>7</v>
      </c>
      <c r="C1718" s="32"/>
      <c r="D1718" s="32"/>
      <c r="E1718" s="19" t="n">
        <f aca="false">+F1718*0.03</f>
        <v>0</v>
      </c>
      <c r="F1718" s="33" t="n">
        <v>0</v>
      </c>
      <c r="G1718" s="62"/>
      <c r="H1718" s="35" t="n">
        <v>0</v>
      </c>
      <c r="I1718" s="34" t="n">
        <f aca="false">+IF(E1718=0,0,E1718*0.03)</f>
        <v>0</v>
      </c>
    </row>
    <row r="1719" customFormat="false" ht="15.75" hidden="false" customHeight="true" outlineLevel="0" collapsed="false">
      <c r="A1719" s="30" t="n">
        <v>45323</v>
      </c>
      <c r="B1719" s="31" t="s">
        <v>7</v>
      </c>
      <c r="C1719" s="32"/>
      <c r="D1719" s="32"/>
      <c r="E1719" s="19" t="n">
        <f aca="false">+F1719*0.03</f>
        <v>0</v>
      </c>
      <c r="F1719" s="33" t="n">
        <v>0</v>
      </c>
      <c r="G1719" s="62"/>
      <c r="H1719" s="35" t="n">
        <v>0</v>
      </c>
      <c r="I1719" s="34" t="n">
        <f aca="false">+IF(E1719=0,0,E1719*0.03)</f>
        <v>0</v>
      </c>
    </row>
    <row r="1720" customFormat="false" ht="15.75" hidden="false" customHeight="true" outlineLevel="0" collapsed="false">
      <c r="A1720" s="30" t="n">
        <v>45323</v>
      </c>
      <c r="B1720" s="31" t="s">
        <v>7</v>
      </c>
      <c r="C1720" s="32"/>
      <c r="D1720" s="32"/>
      <c r="E1720" s="19" t="n">
        <f aca="false">+F1720*0.03</f>
        <v>0</v>
      </c>
      <c r="F1720" s="33" t="n">
        <v>0</v>
      </c>
      <c r="G1720" s="62"/>
      <c r="H1720" s="35" t="n">
        <v>0</v>
      </c>
      <c r="I1720" s="34" t="n">
        <f aca="false">+IF(E1720=0,0,E1720*0.03)</f>
        <v>0</v>
      </c>
    </row>
    <row r="1721" customFormat="false" ht="15.75" hidden="false" customHeight="true" outlineLevel="0" collapsed="false">
      <c r="A1721" s="30" t="n">
        <v>45323</v>
      </c>
      <c r="B1721" s="31" t="s">
        <v>7</v>
      </c>
      <c r="C1721" s="32"/>
      <c r="D1721" s="32"/>
      <c r="E1721" s="19" t="n">
        <f aca="false">+F1721*0.03</f>
        <v>0</v>
      </c>
      <c r="F1721" s="33" t="n">
        <v>0</v>
      </c>
      <c r="G1721" s="62"/>
      <c r="H1721" s="35" t="n">
        <v>0</v>
      </c>
      <c r="I1721" s="34" t="n">
        <f aca="false">+IF(E1721=0,0,E1721*0.03)</f>
        <v>0</v>
      </c>
    </row>
    <row r="1722" customFormat="false" ht="15.75" hidden="false" customHeight="true" outlineLevel="0" collapsed="false">
      <c r="A1722" s="30" t="n">
        <v>45323</v>
      </c>
      <c r="B1722" s="31" t="s">
        <v>7</v>
      </c>
      <c r="C1722" s="32"/>
      <c r="D1722" s="32"/>
      <c r="E1722" s="19" t="n">
        <f aca="false">+F1722*0.03</f>
        <v>0</v>
      </c>
      <c r="F1722" s="33" t="n">
        <v>0</v>
      </c>
      <c r="G1722" s="62"/>
      <c r="H1722" s="35" t="n">
        <v>0</v>
      </c>
      <c r="I1722" s="34" t="n">
        <f aca="false">+IF(E1722=0,0,E1722*0.03)</f>
        <v>0</v>
      </c>
    </row>
    <row r="1723" customFormat="false" ht="15.75" hidden="false" customHeight="true" outlineLevel="0" collapsed="false">
      <c r="A1723" s="30" t="n">
        <v>45323</v>
      </c>
      <c r="B1723" s="31" t="s">
        <v>7</v>
      </c>
      <c r="C1723" s="32"/>
      <c r="D1723" s="32"/>
      <c r="E1723" s="19" t="n">
        <f aca="false">+F1723*0.03</f>
        <v>0</v>
      </c>
      <c r="F1723" s="33" t="n">
        <v>0</v>
      </c>
      <c r="G1723" s="62"/>
      <c r="H1723" s="35" t="n">
        <v>0</v>
      </c>
      <c r="I1723" s="34" t="n">
        <f aca="false">+IF(E1723=0,0,E1723*0.03)</f>
        <v>0</v>
      </c>
    </row>
    <row r="1724" customFormat="false" ht="15.75" hidden="false" customHeight="true" outlineLevel="0" collapsed="false">
      <c r="A1724" s="30" t="n">
        <v>45323</v>
      </c>
      <c r="B1724" s="31" t="s">
        <v>7</v>
      </c>
      <c r="C1724" s="32"/>
      <c r="D1724" s="32"/>
      <c r="E1724" s="19" t="n">
        <f aca="false">+F1724*0.03</f>
        <v>0</v>
      </c>
      <c r="F1724" s="33" t="n">
        <v>0</v>
      </c>
      <c r="G1724" s="62"/>
      <c r="H1724" s="35" t="n">
        <v>0</v>
      </c>
      <c r="I1724" s="34" t="n">
        <f aca="false">+IF(E1724=0,0,E1724*0.03)</f>
        <v>0</v>
      </c>
    </row>
    <row r="1725" customFormat="false" ht="15.75" hidden="false" customHeight="true" outlineLevel="0" collapsed="false">
      <c r="A1725" s="30" t="n">
        <v>45323</v>
      </c>
      <c r="B1725" s="31" t="s">
        <v>7</v>
      </c>
      <c r="C1725" s="32"/>
      <c r="D1725" s="32"/>
      <c r="E1725" s="19" t="n">
        <f aca="false">+F1725*0.03</f>
        <v>0</v>
      </c>
      <c r="F1725" s="33" t="n">
        <v>0</v>
      </c>
      <c r="G1725" s="62"/>
      <c r="H1725" s="35" t="n">
        <v>0</v>
      </c>
      <c r="I1725" s="34" t="n">
        <f aca="false">+IF(E1725=0,0,E1725*0.03)</f>
        <v>0</v>
      </c>
    </row>
    <row r="1726" customFormat="false" ht="15.75" hidden="false" customHeight="true" outlineLevel="0" collapsed="false">
      <c r="A1726" s="30" t="n">
        <v>45323</v>
      </c>
      <c r="B1726" s="31" t="s">
        <v>7</v>
      </c>
      <c r="C1726" s="32"/>
      <c r="D1726" s="32"/>
      <c r="E1726" s="19" t="n">
        <f aca="false">+F1726*0.03</f>
        <v>0</v>
      </c>
      <c r="F1726" s="33" t="n">
        <v>0</v>
      </c>
      <c r="G1726" s="62"/>
      <c r="H1726" s="35" t="n">
        <v>0</v>
      </c>
      <c r="I1726" s="34" t="n">
        <f aca="false">+IF(E1726=0,0,E1726*0.03)</f>
        <v>0</v>
      </c>
    </row>
    <row r="1727" customFormat="false" ht="15.75" hidden="false" customHeight="true" outlineLevel="0" collapsed="false">
      <c r="A1727" s="30" t="n">
        <v>45323</v>
      </c>
      <c r="B1727" s="31" t="s">
        <v>7</v>
      </c>
      <c r="C1727" s="32"/>
      <c r="D1727" s="32"/>
      <c r="E1727" s="19" t="n">
        <f aca="false">+F1727*0.03</f>
        <v>0</v>
      </c>
      <c r="F1727" s="33" t="n">
        <v>0</v>
      </c>
      <c r="G1727" s="62"/>
      <c r="H1727" s="35" t="n">
        <v>0</v>
      </c>
      <c r="I1727" s="34" t="n">
        <f aca="false">+IF(E1727=0,0,E1727*0.03)</f>
        <v>0</v>
      </c>
    </row>
    <row r="1728" customFormat="false" ht="15.75" hidden="false" customHeight="true" outlineLevel="0" collapsed="false">
      <c r="A1728" s="30" t="n">
        <v>45323</v>
      </c>
      <c r="B1728" s="31" t="s">
        <v>7</v>
      </c>
      <c r="C1728" s="32"/>
      <c r="D1728" s="32"/>
      <c r="E1728" s="19" t="n">
        <f aca="false">+F1728*0.03</f>
        <v>0</v>
      </c>
      <c r="F1728" s="33" t="n">
        <v>0</v>
      </c>
      <c r="G1728" s="62"/>
      <c r="H1728" s="35" t="n">
        <v>0</v>
      </c>
      <c r="I1728" s="34" t="n">
        <f aca="false">+IF(E1728=0,0,E1728*0.03)</f>
        <v>0</v>
      </c>
    </row>
    <row r="1729" customFormat="false" ht="15.75" hidden="false" customHeight="true" outlineLevel="0" collapsed="false">
      <c r="A1729" s="30" t="n">
        <v>45323</v>
      </c>
      <c r="B1729" s="31" t="s">
        <v>7</v>
      </c>
      <c r="C1729" s="32"/>
      <c r="D1729" s="32"/>
      <c r="E1729" s="19" t="n">
        <f aca="false">+F1729*0.03</f>
        <v>0</v>
      </c>
      <c r="F1729" s="33" t="n">
        <v>0</v>
      </c>
      <c r="G1729" s="62"/>
      <c r="H1729" s="35" t="n">
        <v>0</v>
      </c>
      <c r="I1729" s="34" t="n">
        <f aca="false">+IF(E1729=0,0,E1729*0.03)</f>
        <v>0</v>
      </c>
    </row>
    <row r="1730" customFormat="false" ht="15.75" hidden="false" customHeight="true" outlineLevel="0" collapsed="false">
      <c r="A1730" s="30" t="n">
        <v>45323</v>
      </c>
      <c r="B1730" s="31" t="s">
        <v>7</v>
      </c>
      <c r="C1730" s="32"/>
      <c r="D1730" s="32"/>
      <c r="E1730" s="19" t="n">
        <f aca="false">+F1730*0.03</f>
        <v>0</v>
      </c>
      <c r="F1730" s="33" t="n">
        <v>0</v>
      </c>
      <c r="G1730" s="62"/>
      <c r="H1730" s="35" t="n">
        <v>0</v>
      </c>
      <c r="I1730" s="34" t="n">
        <f aca="false">+IF(E1730=0,0,E1730*0.03)</f>
        <v>0</v>
      </c>
    </row>
    <row r="1731" customFormat="false" ht="15.75" hidden="false" customHeight="true" outlineLevel="0" collapsed="false">
      <c r="A1731" s="30" t="n">
        <v>45323</v>
      </c>
      <c r="B1731" s="31" t="s">
        <v>7</v>
      </c>
      <c r="C1731" s="32"/>
      <c r="D1731" s="32"/>
      <c r="E1731" s="19" t="n">
        <f aca="false">+F1731*0.03</f>
        <v>0</v>
      </c>
      <c r="F1731" s="33" t="n">
        <v>0</v>
      </c>
      <c r="G1731" s="62"/>
      <c r="H1731" s="35" t="n">
        <v>0</v>
      </c>
      <c r="I1731" s="34" t="n">
        <f aca="false">+IF(E1731=0,0,E1731*0.03)</f>
        <v>0</v>
      </c>
    </row>
    <row r="1732" customFormat="false" ht="15.75" hidden="false" customHeight="true" outlineLevel="0" collapsed="false">
      <c r="A1732" s="30" t="n">
        <v>45323</v>
      </c>
      <c r="B1732" s="31" t="s">
        <v>7</v>
      </c>
      <c r="C1732" s="32"/>
      <c r="D1732" s="32"/>
      <c r="E1732" s="19" t="n">
        <f aca="false">+F1732*0.03</f>
        <v>0</v>
      </c>
      <c r="F1732" s="33" t="n">
        <v>0</v>
      </c>
      <c r="G1732" s="62"/>
      <c r="H1732" s="35" t="n">
        <v>0</v>
      </c>
      <c r="I1732" s="34" t="n">
        <f aca="false">+IF(E1732=0,0,E1732*0.03)</f>
        <v>0</v>
      </c>
    </row>
    <row r="1733" customFormat="false" ht="15.75" hidden="false" customHeight="true" outlineLevel="0" collapsed="false">
      <c r="A1733" s="30" t="n">
        <v>45323</v>
      </c>
      <c r="B1733" s="31" t="s">
        <v>7</v>
      </c>
      <c r="C1733" s="32"/>
      <c r="D1733" s="32"/>
      <c r="E1733" s="19" t="n">
        <f aca="false">+F1733*0.03</f>
        <v>0</v>
      </c>
      <c r="F1733" s="33" t="n">
        <v>0</v>
      </c>
      <c r="G1733" s="62"/>
      <c r="H1733" s="35" t="n">
        <v>0</v>
      </c>
      <c r="I1733" s="34" t="n">
        <f aca="false">+IF(E1733=0,0,E1733*0.03)</f>
        <v>0</v>
      </c>
    </row>
    <row r="1734" customFormat="false" ht="15.75" hidden="false" customHeight="true" outlineLevel="0" collapsed="false">
      <c r="A1734" s="30" t="n">
        <v>45323</v>
      </c>
      <c r="B1734" s="31" t="s">
        <v>7</v>
      </c>
      <c r="C1734" s="32"/>
      <c r="D1734" s="32"/>
      <c r="E1734" s="19" t="n">
        <f aca="false">+F1734*0.03</f>
        <v>0</v>
      </c>
      <c r="F1734" s="33" t="n">
        <v>0</v>
      </c>
      <c r="G1734" s="62"/>
      <c r="H1734" s="35" t="n">
        <v>0</v>
      </c>
      <c r="I1734" s="34" t="n">
        <f aca="false">+IF(E1734=0,0,E1734*0.03)</f>
        <v>0</v>
      </c>
    </row>
    <row r="1735" customFormat="false" ht="15.75" hidden="false" customHeight="true" outlineLevel="0" collapsed="false">
      <c r="A1735" s="30" t="n">
        <v>45323</v>
      </c>
      <c r="B1735" s="31" t="s">
        <v>7</v>
      </c>
      <c r="C1735" s="32"/>
      <c r="D1735" s="32"/>
      <c r="E1735" s="19" t="n">
        <f aca="false">+F1735*0.03</f>
        <v>0</v>
      </c>
      <c r="F1735" s="33" t="n">
        <v>0</v>
      </c>
      <c r="G1735" s="62"/>
      <c r="H1735" s="35" t="n">
        <v>0</v>
      </c>
      <c r="I1735" s="34" t="n">
        <f aca="false">+IF(E1735=0,0,E1735*0.03)</f>
        <v>0</v>
      </c>
    </row>
    <row r="1736" customFormat="false" ht="15.75" hidden="false" customHeight="true" outlineLevel="0" collapsed="false">
      <c r="A1736" s="30" t="n">
        <v>45323</v>
      </c>
      <c r="B1736" s="31" t="s">
        <v>7</v>
      </c>
      <c r="C1736" s="32"/>
      <c r="D1736" s="32"/>
      <c r="E1736" s="19" t="n">
        <f aca="false">+F1736*0.03</f>
        <v>0</v>
      </c>
      <c r="F1736" s="33" t="n">
        <v>0</v>
      </c>
      <c r="G1736" s="62"/>
      <c r="H1736" s="35" t="n">
        <v>0</v>
      </c>
      <c r="I1736" s="34" t="n">
        <f aca="false">+IF(E1736=0,0,E1736*0.03)</f>
        <v>0</v>
      </c>
    </row>
    <row r="1737" customFormat="false" ht="15.75" hidden="false" customHeight="true" outlineLevel="0" collapsed="false">
      <c r="A1737" s="30" t="n">
        <v>45323</v>
      </c>
      <c r="B1737" s="31" t="s">
        <v>7</v>
      </c>
      <c r="C1737" s="32"/>
      <c r="D1737" s="32"/>
      <c r="E1737" s="19" t="n">
        <f aca="false">+F1737*0.03</f>
        <v>0</v>
      </c>
      <c r="F1737" s="33" t="n">
        <v>0</v>
      </c>
      <c r="G1737" s="62"/>
      <c r="H1737" s="35" t="n">
        <v>0</v>
      </c>
      <c r="I1737" s="34" t="n">
        <f aca="false">+IF(E1737=0,0,E1737*0.03)</f>
        <v>0</v>
      </c>
    </row>
    <row r="1738" customFormat="false" ht="15.75" hidden="false" customHeight="true" outlineLevel="0" collapsed="false">
      <c r="A1738" s="30" t="n">
        <v>45323</v>
      </c>
      <c r="B1738" s="31" t="s">
        <v>7</v>
      </c>
      <c r="C1738" s="32"/>
      <c r="D1738" s="32"/>
      <c r="E1738" s="19" t="n">
        <f aca="false">+F1738*0.03</f>
        <v>0</v>
      </c>
      <c r="F1738" s="33" t="n">
        <v>0</v>
      </c>
      <c r="G1738" s="62"/>
      <c r="H1738" s="35" t="n">
        <v>0</v>
      </c>
      <c r="I1738" s="34" t="n">
        <f aca="false">+IF(E1738=0,0,E1738*0.03)</f>
        <v>0</v>
      </c>
    </row>
    <row r="1739" customFormat="false" ht="15.75" hidden="false" customHeight="true" outlineLevel="0" collapsed="false">
      <c r="A1739" s="30" t="n">
        <v>45323</v>
      </c>
      <c r="B1739" s="31" t="s">
        <v>7</v>
      </c>
      <c r="C1739" s="32"/>
      <c r="D1739" s="32"/>
      <c r="E1739" s="19" t="n">
        <f aca="false">+F1739*0.03</f>
        <v>0</v>
      </c>
      <c r="F1739" s="33" t="n">
        <v>0</v>
      </c>
      <c r="G1739" s="62"/>
      <c r="H1739" s="35" t="n">
        <v>0</v>
      </c>
      <c r="I1739" s="34" t="n">
        <f aca="false">+IF(E1739=0,0,E1739*0.03)</f>
        <v>0</v>
      </c>
    </row>
    <row r="1740" customFormat="false" ht="15.75" hidden="false" customHeight="true" outlineLevel="0" collapsed="false">
      <c r="A1740" s="30" t="n">
        <v>45323</v>
      </c>
      <c r="B1740" s="31" t="s">
        <v>7</v>
      </c>
      <c r="C1740" s="32"/>
      <c r="D1740" s="32"/>
      <c r="E1740" s="19" t="n">
        <f aca="false">+F1740*0.03</f>
        <v>0</v>
      </c>
      <c r="F1740" s="33" t="n">
        <v>0</v>
      </c>
      <c r="G1740" s="62"/>
      <c r="H1740" s="35" t="n">
        <v>0</v>
      </c>
      <c r="I1740" s="34" t="n">
        <f aca="false">+IF(E1740=0,0,E1740*0.03)</f>
        <v>0</v>
      </c>
    </row>
    <row r="1741" customFormat="false" ht="15.75" hidden="false" customHeight="true" outlineLevel="0" collapsed="false">
      <c r="A1741" s="30" t="n">
        <v>45323</v>
      </c>
      <c r="B1741" s="31" t="s">
        <v>7</v>
      </c>
      <c r="C1741" s="32"/>
      <c r="D1741" s="32"/>
      <c r="E1741" s="19" t="n">
        <f aca="false">+F1741*0.03</f>
        <v>0</v>
      </c>
      <c r="F1741" s="33" t="n">
        <v>0</v>
      </c>
      <c r="G1741" s="62"/>
      <c r="H1741" s="35" t="n">
        <v>0</v>
      </c>
      <c r="I1741" s="34" t="n">
        <f aca="false">+IF(E1741=0,0,E1741*0.03)</f>
        <v>0</v>
      </c>
    </row>
    <row r="1742" customFormat="false" ht="15.75" hidden="false" customHeight="true" outlineLevel="0" collapsed="false">
      <c r="A1742" s="30" t="n">
        <v>45323</v>
      </c>
      <c r="B1742" s="31" t="s">
        <v>7</v>
      </c>
      <c r="C1742" s="32"/>
      <c r="D1742" s="32"/>
      <c r="E1742" s="19" t="n">
        <f aca="false">+F1742*0.03</f>
        <v>0</v>
      </c>
      <c r="F1742" s="33" t="n">
        <v>0</v>
      </c>
      <c r="G1742" s="62"/>
      <c r="H1742" s="35" t="n">
        <v>0</v>
      </c>
      <c r="I1742" s="34" t="n">
        <f aca="false">+IF(E1742=0,0,E1742*0.03)</f>
        <v>0</v>
      </c>
    </row>
    <row r="1743" customFormat="false" ht="15.75" hidden="false" customHeight="true" outlineLevel="0" collapsed="false">
      <c r="A1743" s="30" t="n">
        <v>45323</v>
      </c>
      <c r="B1743" s="31" t="s">
        <v>7</v>
      </c>
      <c r="C1743" s="32"/>
      <c r="D1743" s="32"/>
      <c r="E1743" s="19" t="n">
        <f aca="false">+F1743*0.03</f>
        <v>0</v>
      </c>
      <c r="F1743" s="33" t="n">
        <v>0</v>
      </c>
      <c r="G1743" s="62"/>
      <c r="H1743" s="35" t="n">
        <v>0</v>
      </c>
      <c r="I1743" s="34" t="n">
        <f aca="false">+IF(E1743=0,0,E1743*0.03)</f>
        <v>0</v>
      </c>
    </row>
    <row r="1744" customFormat="false" ht="15.75" hidden="false" customHeight="true" outlineLevel="0" collapsed="false">
      <c r="A1744" s="30" t="n">
        <v>45323</v>
      </c>
      <c r="B1744" s="31" t="s">
        <v>7</v>
      </c>
      <c r="C1744" s="32"/>
      <c r="D1744" s="32"/>
      <c r="E1744" s="19" t="n">
        <f aca="false">+F1744*0.03</f>
        <v>0</v>
      </c>
      <c r="F1744" s="33" t="n">
        <v>0</v>
      </c>
      <c r="G1744" s="62"/>
      <c r="H1744" s="35" t="n">
        <v>0</v>
      </c>
      <c r="I1744" s="34" t="n">
        <f aca="false">+IF(E1744=0,0,E1744*0.03)</f>
        <v>0</v>
      </c>
    </row>
    <row r="1745" customFormat="false" ht="15.75" hidden="false" customHeight="true" outlineLevel="0" collapsed="false">
      <c r="A1745" s="30" t="n">
        <v>45323</v>
      </c>
      <c r="B1745" s="31" t="s">
        <v>7</v>
      </c>
      <c r="C1745" s="32"/>
      <c r="D1745" s="32"/>
      <c r="E1745" s="19" t="n">
        <f aca="false">+F1745*0.03</f>
        <v>0</v>
      </c>
      <c r="F1745" s="33" t="n">
        <v>0</v>
      </c>
      <c r="G1745" s="62"/>
      <c r="H1745" s="35" t="n">
        <v>0</v>
      </c>
      <c r="I1745" s="34" t="n">
        <f aca="false">+IF(E1745=0,0,E1745*0.03)</f>
        <v>0</v>
      </c>
    </row>
    <row r="1746" customFormat="false" ht="15.75" hidden="false" customHeight="true" outlineLevel="0" collapsed="false">
      <c r="A1746" s="30" t="n">
        <v>45323</v>
      </c>
      <c r="B1746" s="31" t="s">
        <v>7</v>
      </c>
      <c r="C1746" s="32"/>
      <c r="D1746" s="32"/>
      <c r="E1746" s="19" t="n">
        <f aca="false">+F1746*0.03</f>
        <v>0</v>
      </c>
      <c r="F1746" s="33" t="n">
        <v>0</v>
      </c>
      <c r="G1746" s="62"/>
      <c r="H1746" s="35" t="n">
        <v>0</v>
      </c>
      <c r="I1746" s="34" t="n">
        <f aca="false">+IF(E1746=0,0,E1746*0.03)</f>
        <v>0</v>
      </c>
    </row>
    <row r="1747" customFormat="false" ht="15.75" hidden="false" customHeight="true" outlineLevel="0" collapsed="false">
      <c r="A1747" s="30" t="n">
        <v>45323</v>
      </c>
      <c r="B1747" s="31" t="s">
        <v>7</v>
      </c>
      <c r="C1747" s="32"/>
      <c r="D1747" s="32"/>
      <c r="E1747" s="19" t="n">
        <f aca="false">+F1747*0.03</f>
        <v>0</v>
      </c>
      <c r="F1747" s="33" t="n">
        <v>0</v>
      </c>
      <c r="G1747" s="62"/>
      <c r="H1747" s="35" t="n">
        <v>0</v>
      </c>
      <c r="I1747" s="34" t="n">
        <f aca="false">+IF(E1747=0,0,E1747*0.03)</f>
        <v>0</v>
      </c>
    </row>
    <row r="1748" customFormat="false" ht="15.75" hidden="false" customHeight="true" outlineLevel="0" collapsed="false">
      <c r="A1748" s="30" t="n">
        <v>45323</v>
      </c>
      <c r="B1748" s="31" t="s">
        <v>7</v>
      </c>
      <c r="C1748" s="32"/>
      <c r="D1748" s="32"/>
      <c r="E1748" s="19" t="n">
        <f aca="false">+F1748*0.03</f>
        <v>0</v>
      </c>
      <c r="F1748" s="33" t="n">
        <v>0</v>
      </c>
      <c r="G1748" s="62"/>
      <c r="H1748" s="35" t="n">
        <v>0</v>
      </c>
      <c r="I1748" s="34" t="n">
        <f aca="false">+IF(E1748=0,0,E1748*0.03)</f>
        <v>0</v>
      </c>
    </row>
    <row r="1749" customFormat="false" ht="15.75" hidden="false" customHeight="true" outlineLevel="0" collapsed="false">
      <c r="A1749" s="30" t="n">
        <v>45323</v>
      </c>
      <c r="B1749" s="31" t="s">
        <v>7</v>
      </c>
      <c r="C1749" s="32"/>
      <c r="D1749" s="32"/>
      <c r="E1749" s="19" t="n">
        <f aca="false">+F1749*0.03</f>
        <v>0</v>
      </c>
      <c r="F1749" s="33" t="n">
        <v>0</v>
      </c>
      <c r="G1749" s="62"/>
      <c r="H1749" s="35" t="n">
        <v>0</v>
      </c>
      <c r="I1749" s="34" t="n">
        <f aca="false">+IF(E1749=0,0,E1749*0.03)</f>
        <v>0</v>
      </c>
    </row>
    <row r="1750" customFormat="false" ht="15.75" hidden="false" customHeight="true" outlineLevel="0" collapsed="false">
      <c r="A1750" s="30" t="n">
        <v>45323</v>
      </c>
      <c r="B1750" s="31" t="s">
        <v>7</v>
      </c>
      <c r="C1750" s="32"/>
      <c r="D1750" s="32"/>
      <c r="E1750" s="19" t="n">
        <f aca="false">+F1750*0.03</f>
        <v>0</v>
      </c>
      <c r="F1750" s="33" t="n">
        <v>0</v>
      </c>
      <c r="G1750" s="62"/>
      <c r="H1750" s="35" t="n">
        <v>0</v>
      </c>
      <c r="I1750" s="34" t="n">
        <f aca="false">+IF(E1750=0,0,E1750*0.03)</f>
        <v>0</v>
      </c>
    </row>
    <row r="1751" customFormat="false" ht="15.75" hidden="false" customHeight="true" outlineLevel="0" collapsed="false">
      <c r="A1751" s="30" t="n">
        <v>45323</v>
      </c>
      <c r="B1751" s="31" t="s">
        <v>7</v>
      </c>
      <c r="C1751" s="32"/>
      <c r="D1751" s="32"/>
      <c r="E1751" s="19" t="n">
        <f aca="false">+F1751*0.03</f>
        <v>0</v>
      </c>
      <c r="F1751" s="33" t="n">
        <v>0</v>
      </c>
      <c r="G1751" s="62"/>
      <c r="H1751" s="35" t="n">
        <v>0</v>
      </c>
      <c r="I1751" s="34" t="n">
        <f aca="false">+IF(E1751=0,0,E1751*0.03)</f>
        <v>0</v>
      </c>
    </row>
    <row r="1752" customFormat="false" ht="15.75" hidden="false" customHeight="true" outlineLevel="0" collapsed="false">
      <c r="A1752" s="30" t="n">
        <v>45323</v>
      </c>
      <c r="B1752" s="31" t="s">
        <v>7</v>
      </c>
      <c r="C1752" s="32"/>
      <c r="D1752" s="32"/>
      <c r="E1752" s="19" t="n">
        <f aca="false">+F1752*0.03</f>
        <v>0</v>
      </c>
      <c r="F1752" s="33" t="n">
        <v>0</v>
      </c>
      <c r="G1752" s="62"/>
      <c r="H1752" s="35" t="n">
        <v>0</v>
      </c>
      <c r="I1752" s="34" t="n">
        <f aca="false">+IF(E1752=0,0,E1752*0.03)</f>
        <v>0</v>
      </c>
    </row>
    <row r="1753" customFormat="false" ht="15.75" hidden="false" customHeight="true" outlineLevel="0" collapsed="false">
      <c r="A1753" s="30" t="n">
        <v>45323</v>
      </c>
      <c r="B1753" s="31" t="s">
        <v>7</v>
      </c>
      <c r="C1753" s="32"/>
      <c r="D1753" s="32"/>
      <c r="E1753" s="19" t="n">
        <f aca="false">+F1753*0.03</f>
        <v>0</v>
      </c>
      <c r="F1753" s="33" t="n">
        <v>0</v>
      </c>
      <c r="G1753" s="62"/>
      <c r="H1753" s="35" t="n">
        <v>0</v>
      </c>
      <c r="I1753" s="34" t="n">
        <f aca="false">+IF(E1753=0,0,E1753*0.03)</f>
        <v>0</v>
      </c>
    </row>
    <row r="1754" customFormat="false" ht="15.75" hidden="false" customHeight="true" outlineLevel="0" collapsed="false">
      <c r="A1754" s="30" t="n">
        <v>45323</v>
      </c>
      <c r="B1754" s="31" t="s">
        <v>7</v>
      </c>
      <c r="C1754" s="32"/>
      <c r="D1754" s="32"/>
      <c r="E1754" s="19" t="n">
        <f aca="false">+F1754*0.03</f>
        <v>0</v>
      </c>
      <c r="F1754" s="33" t="n">
        <v>0</v>
      </c>
      <c r="G1754" s="62"/>
      <c r="H1754" s="35" t="n">
        <v>0</v>
      </c>
      <c r="I1754" s="34" t="n">
        <f aca="false">+IF(E1754=0,0,E1754*0.03)</f>
        <v>0</v>
      </c>
    </row>
    <row r="1755" customFormat="false" ht="15.75" hidden="false" customHeight="true" outlineLevel="0" collapsed="false">
      <c r="A1755" s="30" t="n">
        <v>45323</v>
      </c>
      <c r="B1755" s="31" t="s">
        <v>7</v>
      </c>
      <c r="C1755" s="32"/>
      <c r="D1755" s="32"/>
      <c r="E1755" s="19" t="n">
        <f aca="false">+F1755*0.03</f>
        <v>0</v>
      </c>
      <c r="F1755" s="33" t="n">
        <v>0</v>
      </c>
      <c r="G1755" s="62"/>
      <c r="H1755" s="35" t="n">
        <v>0</v>
      </c>
      <c r="I1755" s="34" t="n">
        <f aca="false">+IF(E1755=0,0,E1755*0.03)</f>
        <v>0</v>
      </c>
    </row>
    <row r="1756" customFormat="false" ht="15.75" hidden="false" customHeight="true" outlineLevel="0" collapsed="false">
      <c r="A1756" s="30" t="n">
        <v>45323</v>
      </c>
      <c r="B1756" s="31" t="s">
        <v>7</v>
      </c>
      <c r="C1756" s="32"/>
      <c r="D1756" s="32"/>
      <c r="E1756" s="19" t="n">
        <f aca="false">+F1756*0.03</f>
        <v>0</v>
      </c>
      <c r="F1756" s="33" t="n">
        <v>0</v>
      </c>
      <c r="G1756" s="62"/>
      <c r="H1756" s="35" t="n">
        <v>0</v>
      </c>
      <c r="I1756" s="34" t="n">
        <f aca="false">+IF(E1756=0,0,E1756*0.03)</f>
        <v>0</v>
      </c>
    </row>
    <row r="1757" customFormat="false" ht="15.75" hidden="false" customHeight="true" outlineLevel="0" collapsed="false">
      <c r="A1757" s="30" t="n">
        <v>45323</v>
      </c>
      <c r="B1757" s="31" t="s">
        <v>7</v>
      </c>
      <c r="C1757" s="32"/>
      <c r="D1757" s="32"/>
      <c r="E1757" s="19" t="n">
        <f aca="false">+F1757*0.03</f>
        <v>0</v>
      </c>
      <c r="F1757" s="33" t="n">
        <v>0</v>
      </c>
      <c r="G1757" s="62"/>
      <c r="H1757" s="35" t="n">
        <v>0</v>
      </c>
      <c r="I1757" s="34" t="n">
        <f aca="false">+IF(E1757=0,0,E1757*0.03)</f>
        <v>0</v>
      </c>
    </row>
    <row r="1758" customFormat="false" ht="15.75" hidden="false" customHeight="true" outlineLevel="0" collapsed="false">
      <c r="A1758" s="30" t="n">
        <v>45323</v>
      </c>
      <c r="B1758" s="31" t="s">
        <v>7</v>
      </c>
      <c r="C1758" s="32"/>
      <c r="D1758" s="32"/>
      <c r="E1758" s="19" t="n">
        <f aca="false">+F1758*0.03</f>
        <v>0</v>
      </c>
      <c r="F1758" s="33" t="n">
        <v>0</v>
      </c>
      <c r="G1758" s="62"/>
      <c r="H1758" s="35" t="n">
        <v>0</v>
      </c>
      <c r="I1758" s="34" t="n">
        <f aca="false">+IF(E1758=0,0,E1758*0.03)</f>
        <v>0</v>
      </c>
    </row>
    <row r="1759" customFormat="false" ht="15.75" hidden="false" customHeight="true" outlineLevel="0" collapsed="false">
      <c r="A1759" s="30" t="n">
        <v>45323</v>
      </c>
      <c r="B1759" s="31" t="s">
        <v>7</v>
      </c>
      <c r="C1759" s="32"/>
      <c r="D1759" s="32"/>
      <c r="E1759" s="19" t="n">
        <f aca="false">+F1759*0.03</f>
        <v>0</v>
      </c>
      <c r="F1759" s="33" t="n">
        <v>0</v>
      </c>
      <c r="G1759" s="62"/>
      <c r="H1759" s="35" t="n">
        <v>0</v>
      </c>
      <c r="I1759" s="34" t="n">
        <f aca="false">+IF(E1759=0,0,E1759*0.03)</f>
        <v>0</v>
      </c>
    </row>
    <row r="1760" customFormat="false" ht="15.75" hidden="false" customHeight="true" outlineLevel="0" collapsed="false">
      <c r="A1760" s="30" t="n">
        <v>45323</v>
      </c>
      <c r="B1760" s="31" t="s">
        <v>7</v>
      </c>
      <c r="C1760" s="32"/>
      <c r="D1760" s="32"/>
      <c r="E1760" s="19" t="n">
        <f aca="false">+F1760*0.03</f>
        <v>0</v>
      </c>
      <c r="F1760" s="33" t="n">
        <v>0</v>
      </c>
      <c r="G1760" s="62"/>
      <c r="H1760" s="35" t="n">
        <v>0</v>
      </c>
      <c r="I1760" s="34" t="n">
        <f aca="false">+IF(E1760=0,0,E1760*0.03)</f>
        <v>0</v>
      </c>
    </row>
    <row r="1761" customFormat="false" ht="15.75" hidden="false" customHeight="true" outlineLevel="0" collapsed="false">
      <c r="A1761" s="30" t="n">
        <v>45323</v>
      </c>
      <c r="B1761" s="31" t="s">
        <v>7</v>
      </c>
      <c r="C1761" s="32"/>
      <c r="D1761" s="32"/>
      <c r="E1761" s="19" t="n">
        <f aca="false">+F1761*0.03</f>
        <v>0</v>
      </c>
      <c r="F1761" s="33" t="n">
        <v>0</v>
      </c>
      <c r="G1761" s="62"/>
      <c r="H1761" s="35" t="n">
        <v>0</v>
      </c>
      <c r="I1761" s="34" t="n">
        <f aca="false">+IF(E1761=0,0,E1761*0.03)</f>
        <v>0</v>
      </c>
    </row>
    <row r="1762" customFormat="false" ht="15.75" hidden="false" customHeight="true" outlineLevel="0" collapsed="false">
      <c r="A1762" s="30" t="n">
        <v>45323</v>
      </c>
      <c r="B1762" s="31" t="s">
        <v>7</v>
      </c>
      <c r="C1762" s="32"/>
      <c r="D1762" s="32"/>
      <c r="E1762" s="19" t="n">
        <f aca="false">+F1762*0.03</f>
        <v>0</v>
      </c>
      <c r="F1762" s="33" t="n">
        <v>0</v>
      </c>
      <c r="G1762" s="62"/>
      <c r="H1762" s="35" t="n">
        <v>0</v>
      </c>
      <c r="I1762" s="34" t="n">
        <f aca="false">+IF(E1762=0,0,E1762*0.03)</f>
        <v>0</v>
      </c>
    </row>
    <row r="1763" customFormat="false" ht="15.75" hidden="false" customHeight="true" outlineLevel="0" collapsed="false">
      <c r="A1763" s="30" t="n">
        <v>45323</v>
      </c>
      <c r="B1763" s="31" t="s">
        <v>7</v>
      </c>
      <c r="C1763" s="32"/>
      <c r="D1763" s="32"/>
      <c r="E1763" s="19" t="n">
        <f aca="false">+F1763*0.03</f>
        <v>0</v>
      </c>
      <c r="F1763" s="33" t="n">
        <v>0</v>
      </c>
      <c r="G1763" s="62"/>
      <c r="H1763" s="35" t="n">
        <v>0</v>
      </c>
      <c r="I1763" s="34" t="n">
        <f aca="false">+IF(E1763=0,0,E1763*0.03)</f>
        <v>0</v>
      </c>
    </row>
    <row r="1764" customFormat="false" ht="15.75" hidden="false" customHeight="true" outlineLevel="0" collapsed="false">
      <c r="A1764" s="30" t="n">
        <v>45323</v>
      </c>
      <c r="B1764" s="31" t="s">
        <v>7</v>
      </c>
      <c r="C1764" s="32"/>
      <c r="D1764" s="32"/>
      <c r="E1764" s="19" t="n">
        <f aca="false">+F1764*0.03</f>
        <v>0</v>
      </c>
      <c r="F1764" s="33" t="n">
        <v>0</v>
      </c>
      <c r="G1764" s="62"/>
      <c r="H1764" s="35" t="n">
        <v>0</v>
      </c>
      <c r="I1764" s="34" t="n">
        <f aca="false">+IF(E1764=0,0,E1764*0.03)</f>
        <v>0</v>
      </c>
    </row>
    <row r="1765" customFormat="false" ht="15.75" hidden="false" customHeight="true" outlineLevel="0" collapsed="false">
      <c r="A1765" s="30" t="n">
        <v>45323</v>
      </c>
      <c r="B1765" s="31" t="s">
        <v>7</v>
      </c>
      <c r="C1765" s="32"/>
      <c r="D1765" s="32"/>
      <c r="E1765" s="19" t="n">
        <f aca="false">+F1765*0.03</f>
        <v>0</v>
      </c>
      <c r="F1765" s="33" t="n">
        <v>0</v>
      </c>
      <c r="G1765" s="62"/>
      <c r="H1765" s="35" t="n">
        <v>0</v>
      </c>
      <c r="I1765" s="34" t="n">
        <f aca="false">+IF(E1765=0,0,E1765*0.03)</f>
        <v>0</v>
      </c>
    </row>
    <row r="1766" customFormat="false" ht="15.75" hidden="false" customHeight="true" outlineLevel="0" collapsed="false">
      <c r="A1766" s="30" t="n">
        <v>45323</v>
      </c>
      <c r="B1766" s="31" t="s">
        <v>7</v>
      </c>
      <c r="C1766" s="32"/>
      <c r="D1766" s="32"/>
      <c r="E1766" s="19" t="n">
        <f aca="false">+F1766*0.03</f>
        <v>0</v>
      </c>
      <c r="F1766" s="33" t="n">
        <v>0</v>
      </c>
      <c r="G1766" s="62"/>
      <c r="H1766" s="35" t="n">
        <v>0</v>
      </c>
      <c r="I1766" s="34" t="n">
        <f aca="false">+IF(E1766=0,0,E1766*0.03)</f>
        <v>0</v>
      </c>
    </row>
    <row r="1767" customFormat="false" ht="15.75" hidden="false" customHeight="true" outlineLevel="0" collapsed="false">
      <c r="A1767" s="30" t="n">
        <v>45323</v>
      </c>
      <c r="B1767" s="31" t="s">
        <v>7</v>
      </c>
      <c r="C1767" s="32"/>
      <c r="D1767" s="32"/>
      <c r="E1767" s="19" t="n">
        <f aca="false">+F1767*0.03</f>
        <v>0</v>
      </c>
      <c r="F1767" s="33" t="n">
        <v>0</v>
      </c>
      <c r="G1767" s="62"/>
      <c r="H1767" s="35" t="n">
        <v>0</v>
      </c>
      <c r="I1767" s="34" t="n">
        <f aca="false">+IF(E1767=0,0,E1767*0.03)</f>
        <v>0</v>
      </c>
    </row>
    <row r="1768" customFormat="false" ht="15.75" hidden="false" customHeight="true" outlineLevel="0" collapsed="false">
      <c r="A1768" s="30" t="n">
        <v>45323</v>
      </c>
      <c r="B1768" s="31" t="s">
        <v>7</v>
      </c>
      <c r="C1768" s="32"/>
      <c r="D1768" s="32"/>
      <c r="E1768" s="19" t="n">
        <f aca="false">+F1768*0.03</f>
        <v>0</v>
      </c>
      <c r="F1768" s="33" t="n">
        <v>0</v>
      </c>
      <c r="G1768" s="62"/>
      <c r="H1768" s="35" t="n">
        <v>0</v>
      </c>
      <c r="I1768" s="34" t="n">
        <f aca="false">+IF(E1768=0,0,E1768*0.03)</f>
        <v>0</v>
      </c>
    </row>
    <row r="1769" customFormat="false" ht="15.75" hidden="false" customHeight="true" outlineLevel="0" collapsed="false">
      <c r="A1769" s="30" t="n">
        <v>45323</v>
      </c>
      <c r="B1769" s="31" t="s">
        <v>7</v>
      </c>
      <c r="C1769" s="32"/>
      <c r="D1769" s="32"/>
      <c r="E1769" s="19" t="n">
        <f aca="false">+F1769*0.03</f>
        <v>0</v>
      </c>
      <c r="F1769" s="33" t="n">
        <v>0</v>
      </c>
      <c r="G1769" s="62"/>
      <c r="H1769" s="35" t="n">
        <v>0</v>
      </c>
      <c r="I1769" s="34" t="n">
        <f aca="false">+IF(E1769=0,0,E1769*0.03)</f>
        <v>0</v>
      </c>
    </row>
    <row r="1770" customFormat="false" ht="15.75" hidden="false" customHeight="true" outlineLevel="0" collapsed="false">
      <c r="A1770" s="30" t="n">
        <v>45323</v>
      </c>
      <c r="B1770" s="31" t="s">
        <v>7</v>
      </c>
      <c r="C1770" s="32"/>
      <c r="D1770" s="32"/>
      <c r="E1770" s="19" t="n">
        <f aca="false">+F1770*0.03</f>
        <v>0</v>
      </c>
      <c r="F1770" s="33" t="n">
        <v>0</v>
      </c>
      <c r="G1770" s="62"/>
      <c r="H1770" s="35" t="n">
        <v>0</v>
      </c>
      <c r="I1770" s="34" t="n">
        <f aca="false">+IF(E1770=0,0,E1770*0.03)</f>
        <v>0</v>
      </c>
    </row>
    <row r="1771" customFormat="false" ht="15.75" hidden="false" customHeight="true" outlineLevel="0" collapsed="false">
      <c r="A1771" s="30" t="n">
        <v>45323</v>
      </c>
      <c r="B1771" s="31" t="s">
        <v>7</v>
      </c>
      <c r="C1771" s="32"/>
      <c r="D1771" s="32"/>
      <c r="E1771" s="19" t="n">
        <f aca="false">+F1771*0.03</f>
        <v>0</v>
      </c>
      <c r="F1771" s="33" t="n">
        <v>0</v>
      </c>
      <c r="G1771" s="62"/>
      <c r="H1771" s="35" t="n">
        <v>0</v>
      </c>
      <c r="I1771" s="34" t="n">
        <f aca="false">+IF(E1771=0,0,E1771*0.03)</f>
        <v>0</v>
      </c>
    </row>
    <row r="1772" customFormat="false" ht="15.75" hidden="false" customHeight="true" outlineLevel="0" collapsed="false">
      <c r="A1772" s="30" t="n">
        <v>45323</v>
      </c>
      <c r="B1772" s="31" t="s">
        <v>7</v>
      </c>
      <c r="C1772" s="32"/>
      <c r="D1772" s="32"/>
      <c r="E1772" s="19" t="n">
        <f aca="false">+F1772*0.03</f>
        <v>0</v>
      </c>
      <c r="F1772" s="33" t="n">
        <v>0</v>
      </c>
      <c r="G1772" s="62"/>
      <c r="H1772" s="35" t="n">
        <v>0</v>
      </c>
      <c r="I1772" s="34" t="n">
        <f aca="false">+IF(E1772=0,0,E1772*0.03)</f>
        <v>0</v>
      </c>
    </row>
    <row r="1773" customFormat="false" ht="15.75" hidden="false" customHeight="true" outlineLevel="0" collapsed="false">
      <c r="A1773" s="30" t="n">
        <v>45323</v>
      </c>
      <c r="B1773" s="31" t="s">
        <v>7</v>
      </c>
      <c r="C1773" s="32"/>
      <c r="D1773" s="32"/>
      <c r="E1773" s="19" t="n">
        <f aca="false">+F1773*0.03</f>
        <v>0</v>
      </c>
      <c r="F1773" s="33" t="n">
        <v>0</v>
      </c>
      <c r="G1773" s="62"/>
      <c r="H1773" s="35" t="n">
        <v>0</v>
      </c>
      <c r="I1773" s="34" t="n">
        <f aca="false">+IF(E1773=0,0,E1773*0.03)</f>
        <v>0</v>
      </c>
    </row>
    <row r="1774" customFormat="false" ht="15.75" hidden="false" customHeight="true" outlineLevel="0" collapsed="false">
      <c r="A1774" s="30" t="n">
        <v>45323</v>
      </c>
      <c r="B1774" s="31" t="s">
        <v>7</v>
      </c>
      <c r="C1774" s="32"/>
      <c r="D1774" s="32"/>
      <c r="E1774" s="19" t="n">
        <f aca="false">+F1774*0.03</f>
        <v>0</v>
      </c>
      <c r="F1774" s="33" t="n">
        <v>0</v>
      </c>
      <c r="G1774" s="62"/>
      <c r="H1774" s="35" t="n">
        <v>0</v>
      </c>
      <c r="I1774" s="34" t="n">
        <f aca="false">+IF(E1774=0,0,E1774*0.03)</f>
        <v>0</v>
      </c>
    </row>
    <row r="1775" customFormat="false" ht="15.75" hidden="false" customHeight="true" outlineLevel="0" collapsed="false">
      <c r="A1775" s="30" t="n">
        <v>45323</v>
      </c>
      <c r="B1775" s="31" t="s">
        <v>7</v>
      </c>
      <c r="C1775" s="32"/>
      <c r="D1775" s="32"/>
      <c r="E1775" s="19" t="n">
        <f aca="false">+F1775*0.03</f>
        <v>0</v>
      </c>
      <c r="F1775" s="33" t="n">
        <v>0</v>
      </c>
      <c r="G1775" s="62"/>
      <c r="H1775" s="35" t="n">
        <v>0</v>
      </c>
      <c r="I1775" s="34" t="n">
        <f aca="false">+IF(E1775=0,0,E1775*0.03)</f>
        <v>0</v>
      </c>
    </row>
    <row r="1776" customFormat="false" ht="15.75" hidden="false" customHeight="true" outlineLevel="0" collapsed="false">
      <c r="A1776" s="30" t="n">
        <v>45323</v>
      </c>
      <c r="B1776" s="31" t="s">
        <v>7</v>
      </c>
      <c r="C1776" s="32"/>
      <c r="D1776" s="32"/>
      <c r="E1776" s="19" t="n">
        <f aca="false">+F1776*0.03</f>
        <v>0</v>
      </c>
      <c r="F1776" s="33" t="n">
        <v>0</v>
      </c>
      <c r="G1776" s="62"/>
      <c r="H1776" s="35" t="n">
        <v>0</v>
      </c>
      <c r="I1776" s="34" t="n">
        <f aca="false">+IF(E1776=0,0,E1776*0.03)</f>
        <v>0</v>
      </c>
    </row>
    <row r="1777" customFormat="false" ht="15.75" hidden="false" customHeight="true" outlineLevel="0" collapsed="false">
      <c r="A1777" s="30" t="n">
        <v>45323</v>
      </c>
      <c r="B1777" s="31" t="s">
        <v>7</v>
      </c>
      <c r="C1777" s="32"/>
      <c r="D1777" s="32"/>
      <c r="E1777" s="19" t="n">
        <f aca="false">+F1777*0.03</f>
        <v>0</v>
      </c>
      <c r="F1777" s="33" t="n">
        <v>0</v>
      </c>
      <c r="G1777" s="62"/>
      <c r="H1777" s="35" t="n">
        <v>0</v>
      </c>
      <c r="I1777" s="34" t="n">
        <f aca="false">+IF(E1777=0,0,E1777*0.03)</f>
        <v>0</v>
      </c>
    </row>
    <row r="1778" customFormat="false" ht="15.75" hidden="false" customHeight="true" outlineLevel="0" collapsed="false">
      <c r="A1778" s="30" t="n">
        <v>45323</v>
      </c>
      <c r="B1778" s="31" t="s">
        <v>7</v>
      </c>
      <c r="C1778" s="32"/>
      <c r="D1778" s="32"/>
      <c r="E1778" s="19" t="n">
        <f aca="false">+F1778*0.03</f>
        <v>0</v>
      </c>
      <c r="F1778" s="33" t="n">
        <v>0</v>
      </c>
      <c r="G1778" s="62"/>
      <c r="H1778" s="35" t="n">
        <v>0</v>
      </c>
      <c r="I1778" s="34" t="n">
        <f aca="false">+IF(E1778=0,0,E1778*0.03)</f>
        <v>0</v>
      </c>
    </row>
    <row r="1779" customFormat="false" ht="15.75" hidden="false" customHeight="true" outlineLevel="0" collapsed="false">
      <c r="A1779" s="30" t="n">
        <v>45323</v>
      </c>
      <c r="B1779" s="31" t="s">
        <v>7</v>
      </c>
      <c r="C1779" s="32"/>
      <c r="D1779" s="32"/>
      <c r="E1779" s="19" t="n">
        <f aca="false">+F1779*0.03</f>
        <v>0</v>
      </c>
      <c r="F1779" s="33" t="n">
        <v>0</v>
      </c>
      <c r="G1779" s="62"/>
      <c r="H1779" s="35" t="n">
        <v>0</v>
      </c>
      <c r="I1779" s="34" t="n">
        <f aca="false">+IF(E1779=0,0,E1779*0.03)</f>
        <v>0</v>
      </c>
    </row>
    <row r="1780" customFormat="false" ht="15.75" hidden="false" customHeight="true" outlineLevel="0" collapsed="false">
      <c r="A1780" s="30" t="n">
        <v>45323</v>
      </c>
      <c r="B1780" s="31" t="s">
        <v>7</v>
      </c>
      <c r="C1780" s="32"/>
      <c r="D1780" s="32"/>
      <c r="E1780" s="19" t="n">
        <f aca="false">+F1780*0.03</f>
        <v>0</v>
      </c>
      <c r="F1780" s="33" t="n">
        <v>0</v>
      </c>
      <c r="G1780" s="62"/>
      <c r="H1780" s="35" t="n">
        <v>0</v>
      </c>
      <c r="I1780" s="34" t="n">
        <f aca="false">+IF(E1780=0,0,E1780*0.03)</f>
        <v>0</v>
      </c>
    </row>
    <row r="1781" customFormat="false" ht="15.75" hidden="false" customHeight="true" outlineLevel="0" collapsed="false">
      <c r="A1781" s="30" t="n">
        <v>45323</v>
      </c>
      <c r="B1781" s="31" t="s">
        <v>7</v>
      </c>
      <c r="C1781" s="32"/>
      <c r="D1781" s="32"/>
      <c r="E1781" s="19" t="n">
        <f aca="false">+F1781*0.03</f>
        <v>0</v>
      </c>
      <c r="F1781" s="33" t="n">
        <v>0</v>
      </c>
      <c r="G1781" s="62"/>
      <c r="H1781" s="35" t="n">
        <v>0</v>
      </c>
      <c r="I1781" s="34" t="n">
        <f aca="false">+IF(E1781=0,0,E1781*0.03)</f>
        <v>0</v>
      </c>
    </row>
    <row r="1782" customFormat="false" ht="15.75" hidden="false" customHeight="true" outlineLevel="0" collapsed="false">
      <c r="A1782" s="30" t="n">
        <v>45323</v>
      </c>
      <c r="B1782" s="31" t="s">
        <v>7</v>
      </c>
      <c r="C1782" s="32"/>
      <c r="D1782" s="32"/>
      <c r="E1782" s="19" t="n">
        <f aca="false">+F1782*0.03</f>
        <v>0</v>
      </c>
      <c r="F1782" s="33" t="n">
        <v>0</v>
      </c>
      <c r="G1782" s="62"/>
      <c r="H1782" s="35" t="n">
        <v>0</v>
      </c>
      <c r="I1782" s="34" t="n">
        <f aca="false">+IF(E1782=0,0,E1782*0.03)</f>
        <v>0</v>
      </c>
    </row>
    <row r="1783" customFormat="false" ht="15.75" hidden="false" customHeight="true" outlineLevel="0" collapsed="false">
      <c r="A1783" s="30" t="n">
        <v>45323</v>
      </c>
      <c r="B1783" s="31" t="s">
        <v>7</v>
      </c>
      <c r="C1783" s="32"/>
      <c r="D1783" s="32"/>
      <c r="E1783" s="19" t="n">
        <f aca="false">+F1783*0.03</f>
        <v>0</v>
      </c>
      <c r="F1783" s="33" t="n">
        <v>0</v>
      </c>
      <c r="G1783" s="62"/>
      <c r="H1783" s="35" t="n">
        <v>0</v>
      </c>
      <c r="I1783" s="34" t="n">
        <f aca="false">+IF(E1783=0,0,E1783*0.03)</f>
        <v>0</v>
      </c>
    </row>
    <row r="1784" customFormat="false" ht="15.75" hidden="false" customHeight="true" outlineLevel="0" collapsed="false">
      <c r="A1784" s="30" t="n">
        <v>45323</v>
      </c>
      <c r="B1784" s="31" t="s">
        <v>7</v>
      </c>
      <c r="C1784" s="32"/>
      <c r="D1784" s="32"/>
      <c r="E1784" s="19" t="n">
        <f aca="false">+F1784*0.03</f>
        <v>0</v>
      </c>
      <c r="F1784" s="33" t="n">
        <v>0</v>
      </c>
      <c r="G1784" s="62"/>
      <c r="H1784" s="35" t="n">
        <v>0</v>
      </c>
      <c r="I1784" s="34" t="n">
        <f aca="false">+IF(E1784=0,0,E1784*0.03)</f>
        <v>0</v>
      </c>
    </row>
    <row r="1785" customFormat="false" ht="15.75" hidden="false" customHeight="true" outlineLevel="0" collapsed="false">
      <c r="A1785" s="30" t="n">
        <v>45323</v>
      </c>
      <c r="B1785" s="31" t="s">
        <v>7</v>
      </c>
      <c r="C1785" s="32"/>
      <c r="D1785" s="32"/>
      <c r="E1785" s="19" t="n">
        <f aca="false">+F1785*0.03</f>
        <v>0</v>
      </c>
      <c r="F1785" s="33" t="n">
        <v>0</v>
      </c>
      <c r="G1785" s="62"/>
      <c r="H1785" s="35" t="n">
        <v>0</v>
      </c>
      <c r="I1785" s="34" t="n">
        <f aca="false">+IF(E1785=0,0,E1785*0.03)</f>
        <v>0</v>
      </c>
    </row>
    <row r="1786" customFormat="false" ht="15.75" hidden="false" customHeight="true" outlineLevel="0" collapsed="false">
      <c r="A1786" s="30" t="n">
        <v>45323</v>
      </c>
      <c r="B1786" s="31" t="s">
        <v>7</v>
      </c>
      <c r="C1786" s="32"/>
      <c r="D1786" s="32"/>
      <c r="E1786" s="19" t="n">
        <f aca="false">+F1786*0.03</f>
        <v>0</v>
      </c>
      <c r="F1786" s="33" t="n">
        <v>0</v>
      </c>
      <c r="G1786" s="62"/>
      <c r="H1786" s="35" t="n">
        <v>0</v>
      </c>
      <c r="I1786" s="34" t="n">
        <f aca="false">+IF(E1786=0,0,E1786*0.03)</f>
        <v>0</v>
      </c>
    </row>
    <row r="1787" customFormat="false" ht="15.75" hidden="false" customHeight="true" outlineLevel="0" collapsed="false">
      <c r="A1787" s="30" t="n">
        <v>45323</v>
      </c>
      <c r="B1787" s="31" t="s">
        <v>7</v>
      </c>
      <c r="C1787" s="32"/>
      <c r="D1787" s="32"/>
      <c r="E1787" s="19" t="n">
        <f aca="false">+F1787*0.03</f>
        <v>0</v>
      </c>
      <c r="F1787" s="33" t="n">
        <v>0</v>
      </c>
      <c r="G1787" s="62"/>
      <c r="H1787" s="35" t="n">
        <v>0</v>
      </c>
      <c r="I1787" s="34" t="n">
        <f aca="false">+IF(E1787=0,0,E1787*0.03)</f>
        <v>0</v>
      </c>
    </row>
    <row r="1788" customFormat="false" ht="15.75" hidden="false" customHeight="true" outlineLevel="0" collapsed="false">
      <c r="A1788" s="30" t="n">
        <v>45323</v>
      </c>
      <c r="B1788" s="31" t="s">
        <v>7</v>
      </c>
      <c r="C1788" s="32"/>
      <c r="D1788" s="32"/>
      <c r="E1788" s="19" t="n">
        <f aca="false">+F1788*0.03</f>
        <v>0</v>
      </c>
      <c r="F1788" s="33" t="n">
        <v>0</v>
      </c>
      <c r="G1788" s="62"/>
      <c r="H1788" s="35" t="n">
        <v>0</v>
      </c>
      <c r="I1788" s="34" t="n">
        <f aca="false">+IF(E1788=0,0,E1788*0.03)</f>
        <v>0</v>
      </c>
    </row>
    <row r="1789" customFormat="false" ht="15.75" hidden="false" customHeight="true" outlineLevel="0" collapsed="false">
      <c r="A1789" s="30" t="n">
        <v>45323</v>
      </c>
      <c r="B1789" s="31" t="s">
        <v>7</v>
      </c>
      <c r="C1789" s="32"/>
      <c r="D1789" s="32"/>
      <c r="E1789" s="19" t="n">
        <f aca="false">+F1789*0.03</f>
        <v>0</v>
      </c>
      <c r="F1789" s="33" t="n">
        <v>0</v>
      </c>
      <c r="G1789" s="62"/>
      <c r="H1789" s="35" t="n">
        <v>0</v>
      </c>
      <c r="I1789" s="34" t="n">
        <f aca="false">+IF(E1789=0,0,E1789*0.03)</f>
        <v>0</v>
      </c>
    </row>
    <row r="1790" customFormat="false" ht="15.75" hidden="false" customHeight="true" outlineLevel="0" collapsed="false">
      <c r="A1790" s="30" t="n">
        <v>45323</v>
      </c>
      <c r="B1790" s="31" t="s">
        <v>7</v>
      </c>
      <c r="C1790" s="32"/>
      <c r="D1790" s="32"/>
      <c r="E1790" s="19" t="n">
        <f aca="false">+F1790*0.03</f>
        <v>0</v>
      </c>
      <c r="F1790" s="33" t="n">
        <v>0</v>
      </c>
      <c r="G1790" s="62"/>
      <c r="H1790" s="35" t="n">
        <v>0</v>
      </c>
      <c r="I1790" s="34" t="n">
        <f aca="false">+IF(E1790=0,0,E1790*0.03)</f>
        <v>0</v>
      </c>
    </row>
    <row r="1791" customFormat="false" ht="15.75" hidden="false" customHeight="true" outlineLevel="0" collapsed="false">
      <c r="A1791" s="30" t="n">
        <v>45323</v>
      </c>
      <c r="B1791" s="31" t="s">
        <v>7</v>
      </c>
      <c r="C1791" s="32"/>
      <c r="D1791" s="32"/>
      <c r="E1791" s="19" t="n">
        <f aca="false">+F1791*0.03</f>
        <v>0</v>
      </c>
      <c r="F1791" s="33" t="n">
        <v>0</v>
      </c>
      <c r="G1791" s="62"/>
      <c r="H1791" s="35" t="n">
        <v>0</v>
      </c>
      <c r="I1791" s="34" t="n">
        <f aca="false">+IF(E1791=0,0,E1791*0.03)</f>
        <v>0</v>
      </c>
    </row>
    <row r="1792" customFormat="false" ht="15.75" hidden="false" customHeight="true" outlineLevel="0" collapsed="false">
      <c r="A1792" s="30" t="n">
        <v>45323</v>
      </c>
      <c r="B1792" s="31" t="s">
        <v>7</v>
      </c>
      <c r="C1792" s="32"/>
      <c r="D1792" s="32"/>
      <c r="E1792" s="19" t="n">
        <f aca="false">+F1792*0.03</f>
        <v>0</v>
      </c>
      <c r="F1792" s="33" t="n">
        <v>0</v>
      </c>
      <c r="G1792" s="62"/>
      <c r="H1792" s="35" t="n">
        <v>0</v>
      </c>
      <c r="I1792" s="34" t="n">
        <f aca="false">+IF(E1792=0,0,E1792*0.03)</f>
        <v>0</v>
      </c>
    </row>
    <row r="1793" customFormat="false" ht="15.75" hidden="false" customHeight="true" outlineLevel="0" collapsed="false">
      <c r="A1793" s="30" t="n">
        <v>45323</v>
      </c>
      <c r="B1793" s="31" t="s">
        <v>7</v>
      </c>
      <c r="C1793" s="32"/>
      <c r="D1793" s="32"/>
      <c r="E1793" s="19" t="n">
        <f aca="false">+F1793*0.03</f>
        <v>0</v>
      </c>
      <c r="F1793" s="33" t="n">
        <v>0</v>
      </c>
      <c r="G1793" s="62"/>
      <c r="H1793" s="35" t="n">
        <v>0</v>
      </c>
      <c r="I1793" s="34" t="n">
        <f aca="false">+IF(E1793=0,0,E1793*0.03)</f>
        <v>0</v>
      </c>
    </row>
    <row r="1794" customFormat="false" ht="15.75" hidden="false" customHeight="true" outlineLevel="0" collapsed="false">
      <c r="A1794" s="30" t="n">
        <v>45323</v>
      </c>
      <c r="B1794" s="31" t="s">
        <v>7</v>
      </c>
      <c r="C1794" s="32"/>
      <c r="D1794" s="32"/>
      <c r="E1794" s="19" t="n">
        <f aca="false">+F1794*0.03</f>
        <v>0</v>
      </c>
      <c r="F1794" s="33" t="n">
        <v>0</v>
      </c>
      <c r="G1794" s="62"/>
      <c r="H1794" s="35" t="n">
        <v>0</v>
      </c>
      <c r="I1794" s="34" t="n">
        <f aca="false">+IF(E1794=0,0,E1794*0.03)</f>
        <v>0</v>
      </c>
    </row>
    <row r="1795" customFormat="false" ht="15.75" hidden="false" customHeight="true" outlineLevel="0" collapsed="false">
      <c r="A1795" s="30" t="n">
        <v>45323</v>
      </c>
      <c r="B1795" s="31" t="s">
        <v>7</v>
      </c>
      <c r="C1795" s="32"/>
      <c r="D1795" s="32"/>
      <c r="E1795" s="19" t="n">
        <f aca="false">+F1795*0.03</f>
        <v>0</v>
      </c>
      <c r="F1795" s="33" t="n">
        <v>0</v>
      </c>
      <c r="G1795" s="62"/>
      <c r="H1795" s="35" t="n">
        <v>0</v>
      </c>
      <c r="I1795" s="34" t="n">
        <f aca="false">+IF(E1795=0,0,E1795*0.03)</f>
        <v>0</v>
      </c>
    </row>
    <row r="1796" customFormat="false" ht="15.75" hidden="false" customHeight="true" outlineLevel="0" collapsed="false">
      <c r="A1796" s="30" t="n">
        <v>45323</v>
      </c>
      <c r="B1796" s="31" t="s">
        <v>7</v>
      </c>
      <c r="C1796" s="32"/>
      <c r="D1796" s="32"/>
      <c r="E1796" s="19" t="n">
        <f aca="false">+F1796*0.03</f>
        <v>0</v>
      </c>
      <c r="F1796" s="33" t="n">
        <v>0</v>
      </c>
      <c r="G1796" s="62"/>
      <c r="H1796" s="35" t="n">
        <v>0</v>
      </c>
      <c r="I1796" s="34" t="n">
        <f aca="false">+IF(E1796=0,0,E1796*0.03)</f>
        <v>0</v>
      </c>
    </row>
    <row r="1797" customFormat="false" ht="15.75" hidden="false" customHeight="true" outlineLevel="0" collapsed="false">
      <c r="A1797" s="30" t="n">
        <v>45323</v>
      </c>
      <c r="B1797" s="31" t="s">
        <v>7</v>
      </c>
      <c r="C1797" s="32"/>
      <c r="D1797" s="32"/>
      <c r="E1797" s="19" t="n">
        <f aca="false">+F1797*0.03</f>
        <v>0</v>
      </c>
      <c r="F1797" s="33" t="n">
        <v>0</v>
      </c>
      <c r="G1797" s="62"/>
      <c r="H1797" s="35" t="n">
        <v>0</v>
      </c>
      <c r="I1797" s="34" t="n">
        <f aca="false">+IF(E1797=0,0,E1797*0.03)</f>
        <v>0</v>
      </c>
    </row>
    <row r="1798" customFormat="false" ht="15.75" hidden="false" customHeight="true" outlineLevel="0" collapsed="false">
      <c r="A1798" s="30" t="n">
        <v>45323</v>
      </c>
      <c r="B1798" s="31" t="s">
        <v>7</v>
      </c>
      <c r="C1798" s="32"/>
      <c r="D1798" s="32"/>
      <c r="E1798" s="19" t="n">
        <f aca="false">+F1798*0.03</f>
        <v>0</v>
      </c>
      <c r="F1798" s="33" t="n">
        <v>0</v>
      </c>
      <c r="G1798" s="62"/>
      <c r="H1798" s="35" t="n">
        <v>0</v>
      </c>
      <c r="I1798" s="34" t="n">
        <f aca="false">+IF(E1798=0,0,E1798*0.03)</f>
        <v>0</v>
      </c>
    </row>
    <row r="1799" customFormat="false" ht="15.75" hidden="false" customHeight="true" outlineLevel="0" collapsed="false">
      <c r="A1799" s="30" t="n">
        <v>45323</v>
      </c>
      <c r="B1799" s="31" t="s">
        <v>7</v>
      </c>
      <c r="C1799" s="32"/>
      <c r="D1799" s="32"/>
      <c r="E1799" s="19" t="n">
        <f aca="false">+F1799*0.03</f>
        <v>0</v>
      </c>
      <c r="F1799" s="33" t="n">
        <v>0</v>
      </c>
      <c r="G1799" s="62"/>
      <c r="H1799" s="35" t="n">
        <v>0</v>
      </c>
      <c r="I1799" s="34" t="n">
        <f aca="false">+IF(E1799=0,0,E1799*0.03)</f>
        <v>0</v>
      </c>
    </row>
    <row r="1800" customFormat="false" ht="15.75" hidden="false" customHeight="true" outlineLevel="0" collapsed="false">
      <c r="A1800" s="30" t="n">
        <v>45323</v>
      </c>
      <c r="B1800" s="31" t="s">
        <v>7</v>
      </c>
      <c r="C1800" s="32"/>
      <c r="D1800" s="32"/>
      <c r="E1800" s="19" t="n">
        <f aca="false">+F1800*0.03</f>
        <v>0</v>
      </c>
      <c r="F1800" s="33" t="n">
        <v>0</v>
      </c>
      <c r="G1800" s="62"/>
      <c r="H1800" s="35" t="n">
        <v>0</v>
      </c>
      <c r="I1800" s="34" t="n">
        <f aca="false">+IF(E1800=0,0,E1800*0.03)</f>
        <v>0</v>
      </c>
    </row>
    <row r="1801" customFormat="false" ht="15.75" hidden="false" customHeight="true" outlineLevel="0" collapsed="false">
      <c r="A1801" s="30" t="n">
        <v>45323</v>
      </c>
      <c r="B1801" s="31" t="s">
        <v>7</v>
      </c>
      <c r="C1801" s="32"/>
      <c r="D1801" s="32"/>
      <c r="E1801" s="19" t="n">
        <f aca="false">+F1801*0.03</f>
        <v>0</v>
      </c>
      <c r="F1801" s="33" t="n">
        <v>0</v>
      </c>
      <c r="G1801" s="62"/>
      <c r="H1801" s="35" t="n">
        <v>0</v>
      </c>
      <c r="I1801" s="34" t="n">
        <f aca="false">+IF(E1801=0,0,E1801*0.03)</f>
        <v>0</v>
      </c>
    </row>
    <row r="1802" customFormat="false" ht="15.75" hidden="false" customHeight="true" outlineLevel="0" collapsed="false">
      <c r="A1802" s="30" t="n">
        <v>45323</v>
      </c>
      <c r="B1802" s="31" t="s">
        <v>7</v>
      </c>
      <c r="C1802" s="32"/>
      <c r="D1802" s="32"/>
      <c r="E1802" s="19" t="n">
        <f aca="false">+F1802*0.03</f>
        <v>0</v>
      </c>
      <c r="F1802" s="33" t="n">
        <v>0</v>
      </c>
      <c r="G1802" s="62"/>
      <c r="H1802" s="35" t="n">
        <v>0</v>
      </c>
      <c r="I1802" s="34" t="n">
        <f aca="false">+IF(E1802=0,0,E1802*0.03)</f>
        <v>0</v>
      </c>
    </row>
    <row r="1803" customFormat="false" ht="15.75" hidden="false" customHeight="true" outlineLevel="0" collapsed="false">
      <c r="A1803" s="30" t="n">
        <v>45323</v>
      </c>
      <c r="B1803" s="31" t="s">
        <v>7</v>
      </c>
      <c r="C1803" s="32"/>
      <c r="D1803" s="32"/>
      <c r="E1803" s="19" t="n">
        <f aca="false">+F1803*0.03</f>
        <v>0</v>
      </c>
      <c r="F1803" s="33" t="n">
        <v>0</v>
      </c>
      <c r="G1803" s="62"/>
      <c r="H1803" s="35" t="n">
        <v>0</v>
      </c>
      <c r="I1803" s="34" t="n">
        <f aca="false">+IF(E1803=0,0,E1803*0.03)</f>
        <v>0</v>
      </c>
    </row>
    <row r="1804" customFormat="false" ht="15.75" hidden="false" customHeight="true" outlineLevel="0" collapsed="false">
      <c r="A1804" s="30" t="n">
        <v>45323</v>
      </c>
      <c r="B1804" s="31" t="s">
        <v>7</v>
      </c>
      <c r="C1804" s="32"/>
      <c r="D1804" s="32"/>
      <c r="E1804" s="19" t="n">
        <f aca="false">+F1804*0.03</f>
        <v>0</v>
      </c>
      <c r="F1804" s="33" t="n">
        <v>0</v>
      </c>
      <c r="G1804" s="62"/>
      <c r="H1804" s="35" t="n">
        <v>0</v>
      </c>
      <c r="I1804" s="34" t="n">
        <f aca="false">+IF(E1804=0,0,E1804*0.03)</f>
        <v>0</v>
      </c>
    </row>
    <row r="1805" customFormat="false" ht="15.75" hidden="false" customHeight="true" outlineLevel="0" collapsed="false">
      <c r="A1805" s="30" t="n">
        <v>45323</v>
      </c>
      <c r="B1805" s="31" t="s">
        <v>7</v>
      </c>
      <c r="C1805" s="32"/>
      <c r="D1805" s="32"/>
      <c r="E1805" s="19" t="n">
        <f aca="false">+F1805*0.03</f>
        <v>0</v>
      </c>
      <c r="F1805" s="33" t="n">
        <v>0</v>
      </c>
      <c r="G1805" s="62"/>
      <c r="H1805" s="35" t="n">
        <v>0</v>
      </c>
      <c r="I1805" s="34" t="n">
        <f aca="false">+IF(E1805=0,0,E1805*0.03)</f>
        <v>0</v>
      </c>
    </row>
    <row r="1806" customFormat="false" ht="15.75" hidden="false" customHeight="true" outlineLevel="0" collapsed="false">
      <c r="A1806" s="30" t="n">
        <v>45323</v>
      </c>
      <c r="B1806" s="31" t="s">
        <v>7</v>
      </c>
      <c r="C1806" s="32"/>
      <c r="D1806" s="32"/>
      <c r="E1806" s="19" t="n">
        <f aca="false">+F1806*0.03</f>
        <v>0</v>
      </c>
      <c r="F1806" s="33" t="n">
        <v>0</v>
      </c>
      <c r="G1806" s="62"/>
      <c r="H1806" s="35" t="n">
        <v>0</v>
      </c>
      <c r="I1806" s="34" t="n">
        <f aca="false">+IF(E1806=0,0,E1806*0.03)</f>
        <v>0</v>
      </c>
    </row>
    <row r="1807" customFormat="false" ht="15.75" hidden="false" customHeight="true" outlineLevel="0" collapsed="false">
      <c r="A1807" s="30" t="n">
        <v>45323</v>
      </c>
      <c r="B1807" s="31" t="s">
        <v>7</v>
      </c>
      <c r="C1807" s="32"/>
      <c r="D1807" s="32"/>
      <c r="E1807" s="19" t="n">
        <f aca="false">+F1807*0.03</f>
        <v>0</v>
      </c>
      <c r="F1807" s="33" t="n">
        <v>0</v>
      </c>
      <c r="G1807" s="62"/>
      <c r="H1807" s="35" t="n">
        <v>0</v>
      </c>
      <c r="I1807" s="34" t="n">
        <f aca="false">+IF(E1807=0,0,E1807*0.03)</f>
        <v>0</v>
      </c>
    </row>
    <row r="1808" customFormat="false" ht="15.75" hidden="false" customHeight="true" outlineLevel="0" collapsed="false">
      <c r="A1808" s="30" t="n">
        <v>45323</v>
      </c>
      <c r="B1808" s="31" t="s">
        <v>7</v>
      </c>
      <c r="C1808" s="32"/>
      <c r="D1808" s="32"/>
      <c r="E1808" s="19" t="n">
        <f aca="false">+F1808*0.03</f>
        <v>0</v>
      </c>
      <c r="F1808" s="33" t="n">
        <v>0</v>
      </c>
      <c r="G1808" s="62"/>
      <c r="H1808" s="35" t="n">
        <v>0</v>
      </c>
      <c r="I1808" s="34" t="n">
        <f aca="false">+IF(E1808=0,0,E1808*0.03)</f>
        <v>0</v>
      </c>
    </row>
    <row r="1809" customFormat="false" ht="15.75" hidden="false" customHeight="true" outlineLevel="0" collapsed="false">
      <c r="A1809" s="30" t="n">
        <v>45323</v>
      </c>
      <c r="B1809" s="31" t="s">
        <v>7</v>
      </c>
      <c r="C1809" s="32"/>
      <c r="D1809" s="32"/>
      <c r="E1809" s="19" t="n">
        <f aca="false">+F1809*0.03</f>
        <v>0</v>
      </c>
      <c r="F1809" s="33" t="n">
        <v>0</v>
      </c>
      <c r="G1809" s="62"/>
      <c r="H1809" s="35" t="n">
        <v>0</v>
      </c>
      <c r="I1809" s="34" t="n">
        <f aca="false">+IF(E1809=0,0,E1809*0.03)</f>
        <v>0</v>
      </c>
    </row>
    <row r="1810" customFormat="false" ht="15.75" hidden="false" customHeight="true" outlineLevel="0" collapsed="false">
      <c r="A1810" s="30" t="n">
        <v>45323</v>
      </c>
      <c r="B1810" s="31" t="s">
        <v>7</v>
      </c>
      <c r="C1810" s="32"/>
      <c r="D1810" s="32"/>
      <c r="E1810" s="19" t="n">
        <f aca="false">+F1810*0.03</f>
        <v>0</v>
      </c>
      <c r="F1810" s="33" t="n">
        <v>0</v>
      </c>
      <c r="G1810" s="62"/>
      <c r="H1810" s="35" t="n">
        <v>0</v>
      </c>
      <c r="I1810" s="34" t="n">
        <f aca="false">+IF(E1810=0,0,E1810*0.03)</f>
        <v>0</v>
      </c>
    </row>
    <row r="1811" customFormat="false" ht="15.75" hidden="false" customHeight="true" outlineLevel="0" collapsed="false">
      <c r="A1811" s="30" t="n">
        <v>45323</v>
      </c>
      <c r="B1811" s="31" t="s">
        <v>7</v>
      </c>
      <c r="C1811" s="32"/>
      <c r="D1811" s="32"/>
      <c r="E1811" s="19" t="n">
        <f aca="false">+F1811*0.03</f>
        <v>0</v>
      </c>
      <c r="F1811" s="33" t="n">
        <v>0</v>
      </c>
      <c r="G1811" s="62"/>
      <c r="H1811" s="35" t="n">
        <v>0</v>
      </c>
      <c r="I1811" s="34" t="n">
        <f aca="false">+IF(E1811=0,0,E1811*0.03)</f>
        <v>0</v>
      </c>
    </row>
    <row r="1812" customFormat="false" ht="15.75" hidden="false" customHeight="true" outlineLevel="0" collapsed="false">
      <c r="A1812" s="30" t="n">
        <v>45323</v>
      </c>
      <c r="B1812" s="31" t="s">
        <v>7</v>
      </c>
      <c r="C1812" s="32"/>
      <c r="D1812" s="32"/>
      <c r="E1812" s="19" t="n">
        <f aca="false">+F1812*0.03</f>
        <v>0</v>
      </c>
      <c r="F1812" s="33" t="n">
        <v>0</v>
      </c>
      <c r="G1812" s="62"/>
      <c r="H1812" s="35" t="n">
        <v>0</v>
      </c>
      <c r="I1812" s="34" t="n">
        <f aca="false">+IF(E1812=0,0,E1812*0.03)</f>
        <v>0</v>
      </c>
    </row>
    <row r="1813" customFormat="false" ht="15.75" hidden="false" customHeight="true" outlineLevel="0" collapsed="false">
      <c r="A1813" s="30" t="n">
        <v>45323</v>
      </c>
      <c r="B1813" s="31" t="s">
        <v>7</v>
      </c>
      <c r="C1813" s="32"/>
      <c r="D1813" s="32"/>
      <c r="E1813" s="19" t="n">
        <f aca="false">+F1813*0.03</f>
        <v>0</v>
      </c>
      <c r="F1813" s="33" t="n">
        <v>0</v>
      </c>
      <c r="G1813" s="62"/>
      <c r="H1813" s="35" t="n">
        <v>0</v>
      </c>
      <c r="I1813" s="34" t="n">
        <f aca="false">+IF(E1813=0,0,E1813*0.03)</f>
        <v>0</v>
      </c>
    </row>
    <row r="1814" customFormat="false" ht="15.75" hidden="false" customHeight="true" outlineLevel="0" collapsed="false">
      <c r="A1814" s="30" t="n">
        <v>45323</v>
      </c>
      <c r="B1814" s="31" t="s">
        <v>7</v>
      </c>
      <c r="C1814" s="32"/>
      <c r="D1814" s="32"/>
      <c r="E1814" s="19" t="n">
        <f aca="false">+F1814*0.03</f>
        <v>0</v>
      </c>
      <c r="F1814" s="33" t="n">
        <v>0</v>
      </c>
      <c r="G1814" s="62"/>
      <c r="H1814" s="35" t="n">
        <v>0</v>
      </c>
      <c r="I1814" s="34" t="n">
        <f aca="false">+IF(E1814=0,0,E1814*0.03)</f>
        <v>0</v>
      </c>
    </row>
    <row r="1815" customFormat="false" ht="15.75" hidden="false" customHeight="true" outlineLevel="0" collapsed="false">
      <c r="A1815" s="30" t="n">
        <v>45323</v>
      </c>
      <c r="B1815" s="31" t="s">
        <v>7</v>
      </c>
      <c r="C1815" s="32"/>
      <c r="D1815" s="32"/>
      <c r="E1815" s="19" t="n">
        <f aca="false">+F1815*0.03</f>
        <v>0</v>
      </c>
      <c r="F1815" s="33" t="n">
        <v>0</v>
      </c>
      <c r="G1815" s="62"/>
      <c r="H1815" s="35" t="n">
        <v>0</v>
      </c>
      <c r="I1815" s="34" t="n">
        <f aca="false">+IF(E1815=0,0,E1815*0.03)</f>
        <v>0</v>
      </c>
    </row>
    <row r="1816" customFormat="false" ht="15.75" hidden="false" customHeight="true" outlineLevel="0" collapsed="false">
      <c r="A1816" s="30" t="n">
        <v>45323</v>
      </c>
      <c r="B1816" s="31" t="s">
        <v>7</v>
      </c>
      <c r="C1816" s="32"/>
      <c r="D1816" s="32"/>
      <c r="E1816" s="19" t="n">
        <f aca="false">+F1816*0.03</f>
        <v>0</v>
      </c>
      <c r="F1816" s="33" t="n">
        <v>0</v>
      </c>
      <c r="G1816" s="62"/>
      <c r="H1816" s="35" t="n">
        <v>0</v>
      </c>
      <c r="I1816" s="34" t="n">
        <f aca="false">+IF(E1816=0,0,E1816*0.03)</f>
        <v>0</v>
      </c>
    </row>
    <row r="1817" customFormat="false" ht="15.75" hidden="false" customHeight="true" outlineLevel="0" collapsed="false">
      <c r="A1817" s="30" t="n">
        <v>45323</v>
      </c>
      <c r="B1817" s="31" t="s">
        <v>7</v>
      </c>
      <c r="C1817" s="32"/>
      <c r="D1817" s="32"/>
      <c r="E1817" s="19" t="n">
        <f aca="false">+F1817*0.03</f>
        <v>0</v>
      </c>
      <c r="F1817" s="33" t="n">
        <v>0</v>
      </c>
      <c r="G1817" s="62"/>
      <c r="H1817" s="35" t="n">
        <v>0</v>
      </c>
      <c r="I1817" s="34" t="n">
        <f aca="false">+IF(E1817=0,0,E1817*0.03)</f>
        <v>0</v>
      </c>
    </row>
    <row r="1818" customFormat="false" ht="15.75" hidden="false" customHeight="true" outlineLevel="0" collapsed="false">
      <c r="A1818" s="30" t="n">
        <v>45323</v>
      </c>
      <c r="B1818" s="31" t="s">
        <v>7</v>
      </c>
      <c r="C1818" s="32"/>
      <c r="D1818" s="32"/>
      <c r="E1818" s="19" t="n">
        <f aca="false">+F1818*0.03</f>
        <v>0</v>
      </c>
      <c r="F1818" s="33" t="n">
        <v>0</v>
      </c>
      <c r="G1818" s="62"/>
      <c r="H1818" s="35" t="n">
        <v>0</v>
      </c>
      <c r="I1818" s="34" t="n">
        <f aca="false">+IF(E1818=0,0,E1818*0.03)</f>
        <v>0</v>
      </c>
    </row>
    <row r="1819" customFormat="false" ht="15.75" hidden="false" customHeight="true" outlineLevel="0" collapsed="false">
      <c r="A1819" s="30" t="n">
        <v>45323</v>
      </c>
      <c r="B1819" s="31" t="s">
        <v>7</v>
      </c>
      <c r="C1819" s="32"/>
      <c r="D1819" s="32"/>
      <c r="E1819" s="19" t="n">
        <f aca="false">+F1819*0.03</f>
        <v>0</v>
      </c>
      <c r="F1819" s="33" t="n">
        <v>0</v>
      </c>
      <c r="G1819" s="62"/>
      <c r="H1819" s="35" t="n">
        <v>0</v>
      </c>
      <c r="I1819" s="34" t="n">
        <f aca="false">+IF(E1819=0,0,E1819*0.03)</f>
        <v>0</v>
      </c>
    </row>
    <row r="1820" customFormat="false" ht="15.75" hidden="false" customHeight="true" outlineLevel="0" collapsed="false">
      <c r="A1820" s="30" t="n">
        <v>45323</v>
      </c>
      <c r="B1820" s="31" t="s">
        <v>7</v>
      </c>
      <c r="C1820" s="32"/>
      <c r="D1820" s="32"/>
      <c r="E1820" s="19" t="n">
        <f aca="false">+F1820*0.03</f>
        <v>0</v>
      </c>
      <c r="F1820" s="33" t="n">
        <v>0</v>
      </c>
      <c r="G1820" s="62"/>
      <c r="H1820" s="35" t="n">
        <v>0</v>
      </c>
      <c r="I1820" s="34" t="n">
        <f aca="false">+IF(E1820=0,0,E1820*0.03)</f>
        <v>0</v>
      </c>
    </row>
    <row r="1821" customFormat="false" ht="15.75" hidden="false" customHeight="true" outlineLevel="0" collapsed="false">
      <c r="A1821" s="30" t="n">
        <v>45323</v>
      </c>
      <c r="B1821" s="31" t="s">
        <v>7</v>
      </c>
      <c r="C1821" s="32"/>
      <c r="D1821" s="32"/>
      <c r="E1821" s="19" t="n">
        <f aca="false">+F1821*0.03</f>
        <v>0</v>
      </c>
      <c r="F1821" s="33" t="n">
        <v>0</v>
      </c>
      <c r="G1821" s="62"/>
      <c r="H1821" s="35" t="n">
        <v>0</v>
      </c>
      <c r="I1821" s="34" t="n">
        <f aca="false">+IF(E1821=0,0,E1821*0.03)</f>
        <v>0</v>
      </c>
    </row>
    <row r="1822" customFormat="false" ht="15.75" hidden="false" customHeight="true" outlineLevel="0" collapsed="false">
      <c r="A1822" s="30" t="n">
        <v>45323</v>
      </c>
      <c r="B1822" s="31" t="s">
        <v>7</v>
      </c>
      <c r="C1822" s="32"/>
      <c r="D1822" s="32"/>
      <c r="E1822" s="19" t="n">
        <f aca="false">+F1822*0.03</f>
        <v>0</v>
      </c>
      <c r="F1822" s="33" t="n">
        <v>0</v>
      </c>
      <c r="G1822" s="62"/>
      <c r="H1822" s="35" t="n">
        <v>0</v>
      </c>
      <c r="I1822" s="34" t="n">
        <f aca="false">+IF(E1822=0,0,E1822*0.03)</f>
        <v>0</v>
      </c>
    </row>
    <row r="1823" customFormat="false" ht="15.75" hidden="false" customHeight="true" outlineLevel="0" collapsed="false">
      <c r="A1823" s="30" t="n">
        <v>45323</v>
      </c>
      <c r="B1823" s="31" t="s">
        <v>7</v>
      </c>
      <c r="C1823" s="32"/>
      <c r="D1823" s="32"/>
      <c r="E1823" s="19" t="n">
        <f aca="false">+F1823*0.03</f>
        <v>0</v>
      </c>
      <c r="F1823" s="33" t="n">
        <v>0</v>
      </c>
      <c r="G1823" s="62"/>
      <c r="H1823" s="35" t="n">
        <v>0</v>
      </c>
      <c r="I1823" s="34" t="n">
        <f aca="false">+IF(E1823=0,0,E1823*0.03)</f>
        <v>0</v>
      </c>
    </row>
    <row r="1824" customFormat="false" ht="15.75" hidden="false" customHeight="true" outlineLevel="0" collapsed="false">
      <c r="A1824" s="30" t="n">
        <v>45323</v>
      </c>
      <c r="B1824" s="31" t="s">
        <v>7</v>
      </c>
      <c r="C1824" s="32"/>
      <c r="D1824" s="32"/>
      <c r="E1824" s="19" t="n">
        <f aca="false">+F1824*0.03</f>
        <v>0</v>
      </c>
      <c r="F1824" s="33" t="n">
        <v>0</v>
      </c>
      <c r="G1824" s="62"/>
      <c r="H1824" s="35" t="n">
        <v>0</v>
      </c>
      <c r="I1824" s="34" t="n">
        <f aca="false">+IF(E1824=0,0,E1824*0.03)</f>
        <v>0</v>
      </c>
    </row>
    <row r="1825" customFormat="false" ht="15.75" hidden="false" customHeight="true" outlineLevel="0" collapsed="false">
      <c r="A1825" s="30" t="n">
        <v>45323</v>
      </c>
      <c r="B1825" s="31" t="s">
        <v>7</v>
      </c>
      <c r="C1825" s="32"/>
      <c r="D1825" s="32"/>
      <c r="E1825" s="19" t="n">
        <f aca="false">+F1825*0.03</f>
        <v>0</v>
      </c>
      <c r="F1825" s="33" t="n">
        <v>0</v>
      </c>
      <c r="G1825" s="62"/>
      <c r="H1825" s="35" t="n">
        <v>0</v>
      </c>
      <c r="I1825" s="34" t="n">
        <f aca="false">+IF(E1825=0,0,E1825*0.03)</f>
        <v>0</v>
      </c>
    </row>
    <row r="1826" customFormat="false" ht="15.75" hidden="false" customHeight="true" outlineLevel="0" collapsed="false">
      <c r="A1826" s="30" t="n">
        <v>45323</v>
      </c>
      <c r="B1826" s="31" t="s">
        <v>7</v>
      </c>
      <c r="C1826" s="32"/>
      <c r="D1826" s="32"/>
      <c r="E1826" s="19" t="n">
        <f aca="false">+F1826*0.03</f>
        <v>0</v>
      </c>
      <c r="F1826" s="33" t="n">
        <v>0</v>
      </c>
      <c r="G1826" s="62"/>
      <c r="H1826" s="35" t="n">
        <v>0</v>
      </c>
      <c r="I1826" s="34" t="n">
        <f aca="false">+IF(E1826=0,0,E1826*0.03)</f>
        <v>0</v>
      </c>
    </row>
    <row r="1827" customFormat="false" ht="15.75" hidden="false" customHeight="true" outlineLevel="0" collapsed="false">
      <c r="A1827" s="30" t="n">
        <v>45323</v>
      </c>
      <c r="B1827" s="31" t="s">
        <v>7</v>
      </c>
      <c r="C1827" s="32"/>
      <c r="D1827" s="32"/>
      <c r="E1827" s="19" t="n">
        <f aca="false">+F1827*0.03</f>
        <v>0</v>
      </c>
      <c r="F1827" s="33" t="n">
        <v>0</v>
      </c>
      <c r="G1827" s="62"/>
      <c r="H1827" s="35" t="n">
        <v>0</v>
      </c>
      <c r="I1827" s="34" t="n">
        <f aca="false">+IF(E1827=0,0,E1827*0.03)</f>
        <v>0</v>
      </c>
    </row>
    <row r="1828" customFormat="false" ht="15.75" hidden="false" customHeight="true" outlineLevel="0" collapsed="false">
      <c r="A1828" s="30" t="n">
        <v>45323</v>
      </c>
      <c r="B1828" s="31" t="s">
        <v>7</v>
      </c>
      <c r="C1828" s="32"/>
      <c r="D1828" s="32"/>
      <c r="E1828" s="19" t="n">
        <f aca="false">+F1828*0.03</f>
        <v>0</v>
      </c>
      <c r="F1828" s="33" t="n">
        <v>0</v>
      </c>
      <c r="G1828" s="62"/>
      <c r="H1828" s="35" t="n">
        <v>0</v>
      </c>
      <c r="I1828" s="34" t="n">
        <f aca="false">+IF(E1828=0,0,E1828*0.03)</f>
        <v>0</v>
      </c>
    </row>
    <row r="1829" customFormat="false" ht="15.75" hidden="false" customHeight="true" outlineLevel="0" collapsed="false">
      <c r="A1829" s="30" t="n">
        <v>45323</v>
      </c>
      <c r="B1829" s="31" t="s">
        <v>7</v>
      </c>
      <c r="C1829" s="32"/>
      <c r="D1829" s="32"/>
      <c r="E1829" s="19" t="n">
        <f aca="false">+F1829*0.03</f>
        <v>0</v>
      </c>
      <c r="F1829" s="33" t="n">
        <v>0</v>
      </c>
      <c r="G1829" s="62"/>
      <c r="H1829" s="35" t="n">
        <v>0</v>
      </c>
      <c r="I1829" s="34" t="n">
        <f aca="false">+IF(E1829=0,0,E1829*0.03)</f>
        <v>0</v>
      </c>
    </row>
    <row r="1830" customFormat="false" ht="15.75" hidden="false" customHeight="true" outlineLevel="0" collapsed="false">
      <c r="A1830" s="30" t="n">
        <v>45323</v>
      </c>
      <c r="B1830" s="31" t="s">
        <v>7</v>
      </c>
      <c r="C1830" s="32"/>
      <c r="D1830" s="32"/>
      <c r="E1830" s="19" t="n">
        <f aca="false">+F1830*0.03</f>
        <v>0</v>
      </c>
      <c r="F1830" s="33" t="n">
        <v>0</v>
      </c>
      <c r="G1830" s="62"/>
      <c r="H1830" s="35" t="n">
        <v>0</v>
      </c>
      <c r="I1830" s="34" t="n">
        <f aca="false">+IF(E1830=0,0,E1830*0.03)</f>
        <v>0</v>
      </c>
    </row>
    <row r="1831" customFormat="false" ht="15.75" hidden="false" customHeight="true" outlineLevel="0" collapsed="false">
      <c r="A1831" s="30" t="n">
        <v>45323</v>
      </c>
      <c r="B1831" s="31" t="s">
        <v>7</v>
      </c>
      <c r="C1831" s="32"/>
      <c r="D1831" s="32"/>
      <c r="E1831" s="19" t="n">
        <f aca="false">+F1831*0.03</f>
        <v>0</v>
      </c>
      <c r="F1831" s="33" t="n">
        <v>0</v>
      </c>
      <c r="G1831" s="62"/>
      <c r="H1831" s="35" t="n">
        <v>0</v>
      </c>
      <c r="I1831" s="34" t="n">
        <f aca="false">+IF(E1831=0,0,E1831*0.03)</f>
        <v>0</v>
      </c>
    </row>
    <row r="1832" customFormat="false" ht="15.75" hidden="false" customHeight="true" outlineLevel="0" collapsed="false">
      <c r="A1832" s="30" t="n">
        <v>45323</v>
      </c>
      <c r="B1832" s="31" t="s">
        <v>7</v>
      </c>
      <c r="C1832" s="32"/>
      <c r="D1832" s="32"/>
      <c r="E1832" s="19" t="n">
        <f aca="false">+F1832*0.03</f>
        <v>0</v>
      </c>
      <c r="F1832" s="33" t="n">
        <v>0</v>
      </c>
      <c r="G1832" s="62"/>
      <c r="H1832" s="35" t="n">
        <v>0</v>
      </c>
      <c r="I1832" s="34" t="n">
        <f aca="false">+IF(E1832=0,0,E1832*0.03)</f>
        <v>0</v>
      </c>
    </row>
    <row r="1833" customFormat="false" ht="15.75" hidden="false" customHeight="true" outlineLevel="0" collapsed="false">
      <c r="A1833" s="30" t="n">
        <v>45323</v>
      </c>
      <c r="B1833" s="31" t="s">
        <v>7</v>
      </c>
      <c r="C1833" s="32"/>
      <c r="D1833" s="32"/>
      <c r="E1833" s="19" t="n">
        <f aca="false">+F1833*0.03</f>
        <v>0</v>
      </c>
      <c r="F1833" s="33" t="n">
        <v>0</v>
      </c>
      <c r="G1833" s="62"/>
      <c r="H1833" s="35" t="n">
        <v>0</v>
      </c>
      <c r="I1833" s="34" t="n">
        <f aca="false">+IF(E1833=0,0,E1833*0.03)</f>
        <v>0</v>
      </c>
    </row>
    <row r="1834" customFormat="false" ht="15.75" hidden="false" customHeight="true" outlineLevel="0" collapsed="false">
      <c r="A1834" s="30" t="n">
        <v>45323</v>
      </c>
      <c r="B1834" s="31" t="s">
        <v>7</v>
      </c>
      <c r="C1834" s="32"/>
      <c r="D1834" s="32"/>
      <c r="E1834" s="19" t="n">
        <f aca="false">+F1834*0.03</f>
        <v>0</v>
      </c>
      <c r="F1834" s="33" t="n">
        <v>0</v>
      </c>
      <c r="G1834" s="62"/>
      <c r="H1834" s="35" t="n">
        <v>0</v>
      </c>
      <c r="I1834" s="34" t="n">
        <f aca="false">+IF(E1834=0,0,E1834*0.03)</f>
        <v>0</v>
      </c>
    </row>
    <row r="1835" customFormat="false" ht="15.75" hidden="false" customHeight="true" outlineLevel="0" collapsed="false">
      <c r="A1835" s="30" t="n">
        <v>45323</v>
      </c>
      <c r="B1835" s="31" t="s">
        <v>7</v>
      </c>
      <c r="C1835" s="32"/>
      <c r="D1835" s="32"/>
      <c r="E1835" s="19" t="n">
        <f aca="false">+F1835*0.03</f>
        <v>0</v>
      </c>
      <c r="F1835" s="33" t="n">
        <v>0</v>
      </c>
      <c r="G1835" s="62"/>
      <c r="H1835" s="35" t="n">
        <v>0</v>
      </c>
      <c r="I1835" s="34" t="n">
        <f aca="false">+IF(E1835=0,0,E1835*0.03)</f>
        <v>0</v>
      </c>
    </row>
    <row r="1836" customFormat="false" ht="15.75" hidden="false" customHeight="true" outlineLevel="0" collapsed="false">
      <c r="A1836" s="30" t="n">
        <v>45323</v>
      </c>
      <c r="B1836" s="31" t="s">
        <v>7</v>
      </c>
      <c r="C1836" s="32"/>
      <c r="D1836" s="32"/>
      <c r="E1836" s="19" t="n">
        <f aca="false">+F1836*0.03</f>
        <v>0</v>
      </c>
      <c r="F1836" s="33" t="n">
        <v>0</v>
      </c>
      <c r="G1836" s="62"/>
      <c r="H1836" s="35" t="n">
        <v>0</v>
      </c>
      <c r="I1836" s="34" t="n">
        <f aca="false">+IF(E1836=0,0,E1836*0.03)</f>
        <v>0</v>
      </c>
    </row>
    <row r="1837" customFormat="false" ht="15.75" hidden="false" customHeight="true" outlineLevel="0" collapsed="false">
      <c r="A1837" s="30" t="n">
        <v>45323</v>
      </c>
      <c r="B1837" s="31" t="s">
        <v>7</v>
      </c>
      <c r="C1837" s="32"/>
      <c r="D1837" s="32"/>
      <c r="E1837" s="19" t="n">
        <f aca="false">+F1837*0.03</f>
        <v>0</v>
      </c>
      <c r="F1837" s="33" t="n">
        <v>0</v>
      </c>
      <c r="G1837" s="62"/>
      <c r="H1837" s="35" t="n">
        <v>0</v>
      </c>
      <c r="I1837" s="34" t="n">
        <f aca="false">+IF(E1837=0,0,E1837*0.03)</f>
        <v>0</v>
      </c>
    </row>
    <row r="1838" customFormat="false" ht="15.75" hidden="false" customHeight="true" outlineLevel="0" collapsed="false">
      <c r="A1838" s="30" t="n">
        <v>45323</v>
      </c>
      <c r="B1838" s="31" t="s">
        <v>7</v>
      </c>
      <c r="C1838" s="32"/>
      <c r="D1838" s="32"/>
      <c r="E1838" s="19" t="n">
        <f aca="false">+F1838*0.03</f>
        <v>0</v>
      </c>
      <c r="F1838" s="33" t="n">
        <v>0</v>
      </c>
      <c r="G1838" s="62"/>
      <c r="H1838" s="35" t="n">
        <v>0</v>
      </c>
      <c r="I1838" s="34" t="n">
        <f aca="false">+IF(E1838=0,0,E1838*0.03)</f>
        <v>0</v>
      </c>
    </row>
    <row r="1839" customFormat="false" ht="15.75" hidden="false" customHeight="true" outlineLevel="0" collapsed="false">
      <c r="A1839" s="30" t="n">
        <v>45323</v>
      </c>
      <c r="B1839" s="31" t="s">
        <v>7</v>
      </c>
      <c r="C1839" s="32"/>
      <c r="D1839" s="32"/>
      <c r="E1839" s="19" t="n">
        <f aca="false">+F1839*0.03</f>
        <v>0</v>
      </c>
      <c r="F1839" s="33" t="n">
        <v>0</v>
      </c>
      <c r="G1839" s="62"/>
      <c r="H1839" s="35" t="n">
        <v>0</v>
      </c>
      <c r="I1839" s="34" t="n">
        <f aca="false">+IF(E1839=0,0,E1839*0.03)</f>
        <v>0</v>
      </c>
    </row>
    <row r="1840" customFormat="false" ht="15.75" hidden="false" customHeight="true" outlineLevel="0" collapsed="false">
      <c r="A1840" s="30" t="n">
        <v>45323</v>
      </c>
      <c r="B1840" s="31" t="s">
        <v>7</v>
      </c>
      <c r="C1840" s="32"/>
      <c r="D1840" s="32"/>
      <c r="E1840" s="19" t="n">
        <f aca="false">+F1840*0.03</f>
        <v>0</v>
      </c>
      <c r="F1840" s="33" t="n">
        <v>0</v>
      </c>
      <c r="G1840" s="62"/>
      <c r="H1840" s="35" t="n">
        <v>0</v>
      </c>
      <c r="I1840" s="34" t="n">
        <f aca="false">+IF(E1840=0,0,E1840*0.03)</f>
        <v>0</v>
      </c>
    </row>
    <row r="1841" customFormat="false" ht="15.75" hidden="false" customHeight="true" outlineLevel="0" collapsed="false">
      <c r="A1841" s="30" t="n">
        <v>45323</v>
      </c>
      <c r="B1841" s="31" t="s">
        <v>7</v>
      </c>
      <c r="C1841" s="32"/>
      <c r="D1841" s="32"/>
      <c r="E1841" s="19" t="n">
        <f aca="false">+F1841*0.03</f>
        <v>0</v>
      </c>
      <c r="F1841" s="33" t="n">
        <v>0</v>
      </c>
      <c r="G1841" s="62"/>
      <c r="H1841" s="35" t="n">
        <v>0</v>
      </c>
      <c r="I1841" s="34" t="n">
        <f aca="false">+IF(E1841=0,0,E1841*0.03)</f>
        <v>0</v>
      </c>
    </row>
    <row r="1842" customFormat="false" ht="15.75" hidden="false" customHeight="true" outlineLevel="0" collapsed="false">
      <c r="A1842" s="30" t="n">
        <v>45323</v>
      </c>
      <c r="B1842" s="31" t="s">
        <v>7</v>
      </c>
      <c r="C1842" s="32"/>
      <c r="D1842" s="32"/>
      <c r="E1842" s="19" t="n">
        <f aca="false">+F1842*0.03</f>
        <v>0</v>
      </c>
      <c r="F1842" s="33" t="n">
        <v>0</v>
      </c>
      <c r="G1842" s="62"/>
      <c r="H1842" s="35" t="n">
        <v>0</v>
      </c>
      <c r="I1842" s="34" t="n">
        <f aca="false">+IF(E1842=0,0,E1842*0.03)</f>
        <v>0</v>
      </c>
    </row>
    <row r="1843" customFormat="false" ht="15.75" hidden="false" customHeight="true" outlineLevel="0" collapsed="false">
      <c r="A1843" s="30" t="n">
        <v>45323</v>
      </c>
      <c r="B1843" s="31" t="s">
        <v>7</v>
      </c>
      <c r="C1843" s="32"/>
      <c r="D1843" s="32"/>
      <c r="E1843" s="19" t="n">
        <f aca="false">+F1843*0.03</f>
        <v>0</v>
      </c>
      <c r="F1843" s="33" t="n">
        <v>0</v>
      </c>
      <c r="G1843" s="62"/>
      <c r="H1843" s="35" t="n">
        <v>0</v>
      </c>
      <c r="I1843" s="34" t="n">
        <f aca="false">+IF(E1843=0,0,E1843*0.03)</f>
        <v>0</v>
      </c>
    </row>
    <row r="1844" customFormat="false" ht="15.75" hidden="false" customHeight="true" outlineLevel="0" collapsed="false">
      <c r="A1844" s="30" t="n">
        <v>45323</v>
      </c>
      <c r="B1844" s="31" t="s">
        <v>7</v>
      </c>
      <c r="C1844" s="32"/>
      <c r="D1844" s="32"/>
      <c r="E1844" s="19" t="n">
        <f aca="false">+F1844*0.03</f>
        <v>0</v>
      </c>
      <c r="F1844" s="33" t="n">
        <v>0</v>
      </c>
      <c r="G1844" s="62"/>
      <c r="H1844" s="35" t="n">
        <v>0</v>
      </c>
      <c r="I1844" s="34" t="n">
        <f aca="false">+IF(E1844=0,0,E1844*0.03)</f>
        <v>0</v>
      </c>
    </row>
    <row r="1845" customFormat="false" ht="15.75" hidden="false" customHeight="true" outlineLevel="0" collapsed="false">
      <c r="A1845" s="30" t="n">
        <v>45323</v>
      </c>
      <c r="B1845" s="31" t="s">
        <v>7</v>
      </c>
      <c r="C1845" s="32"/>
      <c r="D1845" s="32"/>
      <c r="E1845" s="19" t="n">
        <f aca="false">+F1845*0.03</f>
        <v>0</v>
      </c>
      <c r="F1845" s="33" t="n">
        <v>0</v>
      </c>
      <c r="G1845" s="62"/>
      <c r="H1845" s="35" t="n">
        <v>0</v>
      </c>
      <c r="I1845" s="34" t="n">
        <f aca="false">+IF(E1845=0,0,E1845*0.03)</f>
        <v>0</v>
      </c>
    </row>
    <row r="1846" customFormat="false" ht="15.75" hidden="false" customHeight="true" outlineLevel="0" collapsed="false">
      <c r="A1846" s="30" t="n">
        <v>45323</v>
      </c>
      <c r="B1846" s="31" t="s">
        <v>7</v>
      </c>
      <c r="C1846" s="32"/>
      <c r="D1846" s="32"/>
      <c r="E1846" s="19" t="n">
        <f aca="false">+F1846*0.03</f>
        <v>0</v>
      </c>
      <c r="F1846" s="33" t="n">
        <v>0</v>
      </c>
      <c r="G1846" s="62"/>
      <c r="H1846" s="35" t="n">
        <v>0</v>
      </c>
      <c r="I1846" s="34" t="n">
        <f aca="false">+IF(E1846=0,0,E1846*0.03)</f>
        <v>0</v>
      </c>
    </row>
    <row r="1847" customFormat="false" ht="15.75" hidden="false" customHeight="true" outlineLevel="0" collapsed="false">
      <c r="A1847" s="30" t="n">
        <v>45323</v>
      </c>
      <c r="B1847" s="31" t="s">
        <v>7</v>
      </c>
      <c r="C1847" s="32"/>
      <c r="D1847" s="32"/>
      <c r="E1847" s="19" t="n">
        <f aca="false">+F1847*0.03</f>
        <v>0</v>
      </c>
      <c r="F1847" s="33" t="n">
        <v>0</v>
      </c>
      <c r="G1847" s="62"/>
      <c r="H1847" s="35" t="n">
        <v>0</v>
      </c>
      <c r="I1847" s="34" t="n">
        <f aca="false">+IF(E1847=0,0,E1847*0.03)</f>
        <v>0</v>
      </c>
    </row>
    <row r="1848" customFormat="false" ht="15.75" hidden="false" customHeight="true" outlineLevel="0" collapsed="false">
      <c r="A1848" s="30" t="n">
        <v>45323</v>
      </c>
      <c r="B1848" s="31" t="s">
        <v>7</v>
      </c>
      <c r="C1848" s="32"/>
      <c r="D1848" s="32"/>
      <c r="E1848" s="19" t="n">
        <f aca="false">+F1848*0.03</f>
        <v>0</v>
      </c>
      <c r="F1848" s="33" t="n">
        <v>0</v>
      </c>
      <c r="G1848" s="62"/>
      <c r="H1848" s="35" t="n">
        <v>0</v>
      </c>
      <c r="I1848" s="34" t="n">
        <f aca="false">+IF(E1848=0,0,E1848*0.03)</f>
        <v>0</v>
      </c>
    </row>
    <row r="1849" customFormat="false" ht="15.75" hidden="false" customHeight="true" outlineLevel="0" collapsed="false">
      <c r="A1849" s="30" t="n">
        <v>45323</v>
      </c>
      <c r="B1849" s="31" t="s">
        <v>7</v>
      </c>
      <c r="C1849" s="32"/>
      <c r="D1849" s="32"/>
      <c r="E1849" s="19" t="n">
        <f aca="false">+F1849*0.03</f>
        <v>0</v>
      </c>
      <c r="F1849" s="33" t="n">
        <v>0</v>
      </c>
      <c r="G1849" s="62"/>
      <c r="H1849" s="35" t="n">
        <v>0</v>
      </c>
      <c r="I1849" s="34" t="n">
        <f aca="false">+IF(E1849=0,0,E1849*0.03)</f>
        <v>0</v>
      </c>
    </row>
    <row r="1850" customFormat="false" ht="15.75" hidden="false" customHeight="true" outlineLevel="0" collapsed="false">
      <c r="A1850" s="30" t="n">
        <v>45323</v>
      </c>
      <c r="B1850" s="31" t="s">
        <v>7</v>
      </c>
      <c r="C1850" s="32"/>
      <c r="D1850" s="32"/>
      <c r="E1850" s="19" t="n">
        <f aca="false">+F1850*0.03</f>
        <v>0</v>
      </c>
      <c r="F1850" s="33" t="n">
        <v>0</v>
      </c>
      <c r="G1850" s="62"/>
      <c r="H1850" s="35" t="n">
        <v>0</v>
      </c>
      <c r="I1850" s="34" t="n">
        <f aca="false">+IF(E1850=0,0,E1850*0.03)</f>
        <v>0</v>
      </c>
    </row>
    <row r="1851" customFormat="false" ht="15.75" hidden="false" customHeight="true" outlineLevel="0" collapsed="false">
      <c r="A1851" s="30" t="n">
        <v>45323</v>
      </c>
      <c r="B1851" s="31" t="s">
        <v>7</v>
      </c>
      <c r="C1851" s="32"/>
      <c r="D1851" s="32"/>
      <c r="E1851" s="19" t="n">
        <f aca="false">+F1851*0.03</f>
        <v>0</v>
      </c>
      <c r="F1851" s="33" t="n">
        <v>0</v>
      </c>
      <c r="G1851" s="62"/>
      <c r="H1851" s="35" t="n">
        <v>0</v>
      </c>
      <c r="I1851" s="34" t="n">
        <f aca="false">+IF(E1851=0,0,E1851*0.03)</f>
        <v>0</v>
      </c>
    </row>
    <row r="1852" customFormat="false" ht="15.75" hidden="false" customHeight="true" outlineLevel="0" collapsed="false">
      <c r="A1852" s="30" t="n">
        <v>45323</v>
      </c>
      <c r="B1852" s="31" t="s">
        <v>7</v>
      </c>
      <c r="C1852" s="32"/>
      <c r="D1852" s="32"/>
      <c r="E1852" s="19" t="n">
        <f aca="false">+F1852*0.03</f>
        <v>0</v>
      </c>
      <c r="F1852" s="33" t="n">
        <v>0</v>
      </c>
      <c r="G1852" s="62"/>
      <c r="H1852" s="35" t="n">
        <v>0</v>
      </c>
      <c r="I1852" s="34" t="n">
        <f aca="false">+IF(E1852=0,0,E1852*0.03)</f>
        <v>0</v>
      </c>
    </row>
    <row r="1853" customFormat="false" ht="15.75" hidden="false" customHeight="true" outlineLevel="0" collapsed="false">
      <c r="A1853" s="30" t="n">
        <v>45323</v>
      </c>
      <c r="B1853" s="31" t="s">
        <v>7</v>
      </c>
      <c r="C1853" s="32"/>
      <c r="D1853" s="32"/>
      <c r="E1853" s="19" t="n">
        <f aca="false">+F1853*0.03</f>
        <v>0</v>
      </c>
      <c r="F1853" s="33" t="n">
        <v>0</v>
      </c>
      <c r="G1853" s="62"/>
      <c r="H1853" s="35" t="n">
        <v>0</v>
      </c>
      <c r="I1853" s="34" t="n">
        <f aca="false">+IF(E1853=0,0,E1853*0.03)</f>
        <v>0</v>
      </c>
    </row>
    <row r="1854" customFormat="false" ht="15.75" hidden="false" customHeight="true" outlineLevel="0" collapsed="false">
      <c r="A1854" s="30" t="n">
        <v>45323</v>
      </c>
      <c r="B1854" s="31" t="s">
        <v>7</v>
      </c>
      <c r="C1854" s="32"/>
      <c r="D1854" s="32"/>
      <c r="E1854" s="19" t="n">
        <f aca="false">+F1854*0.03</f>
        <v>0</v>
      </c>
      <c r="F1854" s="33" t="n">
        <v>0</v>
      </c>
      <c r="G1854" s="62"/>
      <c r="H1854" s="35" t="n">
        <v>0</v>
      </c>
      <c r="I1854" s="34" t="n">
        <f aca="false">+IF(E1854=0,0,E1854*0.03)</f>
        <v>0</v>
      </c>
    </row>
    <row r="1855" customFormat="false" ht="15.75" hidden="false" customHeight="true" outlineLevel="0" collapsed="false">
      <c r="A1855" s="30" t="n">
        <v>45323</v>
      </c>
      <c r="B1855" s="31" t="s">
        <v>7</v>
      </c>
      <c r="C1855" s="32"/>
      <c r="D1855" s="32"/>
      <c r="E1855" s="19" t="n">
        <f aca="false">+F1855*0.03</f>
        <v>0</v>
      </c>
      <c r="F1855" s="33" t="n">
        <v>0</v>
      </c>
      <c r="G1855" s="62"/>
      <c r="H1855" s="35" t="n">
        <v>0</v>
      </c>
      <c r="I1855" s="34" t="n">
        <f aca="false">+IF(E1855=0,0,E1855*0.03)</f>
        <v>0</v>
      </c>
    </row>
    <row r="1856" customFormat="false" ht="15.75" hidden="false" customHeight="true" outlineLevel="0" collapsed="false">
      <c r="A1856" s="30" t="n">
        <v>45323</v>
      </c>
      <c r="B1856" s="31" t="s">
        <v>7</v>
      </c>
      <c r="C1856" s="32"/>
      <c r="D1856" s="32"/>
      <c r="E1856" s="19" t="n">
        <f aca="false">+F1856*0.03</f>
        <v>0</v>
      </c>
      <c r="F1856" s="33" t="n">
        <v>0</v>
      </c>
      <c r="G1856" s="62"/>
      <c r="H1856" s="35" t="n">
        <v>0</v>
      </c>
      <c r="I1856" s="34" t="n">
        <f aca="false">+IF(E1856=0,0,E1856*0.03)</f>
        <v>0</v>
      </c>
    </row>
    <row r="1857" customFormat="false" ht="15.75" hidden="false" customHeight="true" outlineLevel="0" collapsed="false">
      <c r="A1857" s="30" t="n">
        <v>45323</v>
      </c>
      <c r="B1857" s="31" t="s">
        <v>7</v>
      </c>
      <c r="C1857" s="32"/>
      <c r="D1857" s="32"/>
      <c r="E1857" s="19" t="n">
        <f aca="false">+F1857*0.03</f>
        <v>0</v>
      </c>
      <c r="F1857" s="33" t="n">
        <v>0</v>
      </c>
      <c r="G1857" s="62"/>
      <c r="H1857" s="35" t="n">
        <v>0</v>
      </c>
      <c r="I1857" s="34" t="n">
        <f aca="false">+IF(E1857=0,0,E1857*0.03)</f>
        <v>0</v>
      </c>
    </row>
    <row r="1858" customFormat="false" ht="15.75" hidden="false" customHeight="true" outlineLevel="0" collapsed="false">
      <c r="A1858" s="30" t="n">
        <v>45323</v>
      </c>
      <c r="B1858" s="31" t="s">
        <v>7</v>
      </c>
      <c r="C1858" s="32"/>
      <c r="D1858" s="32"/>
      <c r="E1858" s="19" t="n">
        <f aca="false">+F1858*0.03</f>
        <v>0</v>
      </c>
      <c r="F1858" s="33" t="n">
        <v>0</v>
      </c>
      <c r="G1858" s="62"/>
      <c r="H1858" s="35" t="n">
        <v>0</v>
      </c>
      <c r="I1858" s="34" t="n">
        <f aca="false">+IF(E1858=0,0,E1858*0.03)</f>
        <v>0</v>
      </c>
    </row>
    <row r="1859" customFormat="false" ht="15.75" hidden="false" customHeight="true" outlineLevel="0" collapsed="false">
      <c r="A1859" s="30" t="n">
        <v>45323</v>
      </c>
      <c r="B1859" s="31" t="s">
        <v>7</v>
      </c>
      <c r="C1859" s="32"/>
      <c r="D1859" s="32"/>
      <c r="E1859" s="19" t="n">
        <f aca="false">+F1859*0.03</f>
        <v>0</v>
      </c>
      <c r="F1859" s="33" t="n">
        <v>0</v>
      </c>
      <c r="G1859" s="62"/>
      <c r="H1859" s="35" t="n">
        <v>0</v>
      </c>
      <c r="I1859" s="34" t="n">
        <f aca="false">+IF(E1859=0,0,E1859*0.03)</f>
        <v>0</v>
      </c>
    </row>
    <row r="1860" customFormat="false" ht="15.75" hidden="false" customHeight="true" outlineLevel="0" collapsed="false">
      <c r="A1860" s="30" t="n">
        <v>45323</v>
      </c>
      <c r="B1860" s="31" t="s">
        <v>7</v>
      </c>
      <c r="C1860" s="32"/>
      <c r="D1860" s="32"/>
      <c r="E1860" s="19" t="n">
        <f aca="false">+F1860*0.03</f>
        <v>0</v>
      </c>
      <c r="F1860" s="33" t="n">
        <v>0</v>
      </c>
      <c r="G1860" s="62"/>
      <c r="H1860" s="35" t="n">
        <v>0</v>
      </c>
      <c r="I1860" s="34" t="n">
        <f aca="false">+IF(E1860=0,0,E1860*0.03)</f>
        <v>0</v>
      </c>
    </row>
    <row r="1861" customFormat="false" ht="15.75" hidden="false" customHeight="true" outlineLevel="0" collapsed="false">
      <c r="A1861" s="30" t="n">
        <v>45323</v>
      </c>
      <c r="B1861" s="31" t="s">
        <v>7</v>
      </c>
      <c r="C1861" s="32"/>
      <c r="D1861" s="32"/>
      <c r="E1861" s="19" t="n">
        <f aca="false">+F1861*0.03</f>
        <v>0</v>
      </c>
      <c r="F1861" s="33" t="n">
        <v>0</v>
      </c>
      <c r="G1861" s="62"/>
      <c r="H1861" s="35" t="n">
        <v>0</v>
      </c>
      <c r="I1861" s="34" t="n">
        <f aca="false">+IF(E1861=0,0,E1861*0.03)</f>
        <v>0</v>
      </c>
    </row>
    <row r="1862" customFormat="false" ht="15.75" hidden="false" customHeight="true" outlineLevel="0" collapsed="false">
      <c r="A1862" s="30" t="n">
        <v>45323</v>
      </c>
      <c r="B1862" s="31" t="s">
        <v>7</v>
      </c>
      <c r="C1862" s="32"/>
      <c r="D1862" s="32"/>
      <c r="E1862" s="19" t="n">
        <f aca="false">+F1862*0.03</f>
        <v>0</v>
      </c>
      <c r="F1862" s="33" t="n">
        <v>0</v>
      </c>
      <c r="G1862" s="62"/>
      <c r="H1862" s="35" t="n">
        <v>0</v>
      </c>
      <c r="I1862" s="34" t="n">
        <f aca="false">+IF(E1862=0,0,E1862*0.03)</f>
        <v>0</v>
      </c>
    </row>
    <row r="1863" customFormat="false" ht="15.75" hidden="false" customHeight="true" outlineLevel="0" collapsed="false">
      <c r="A1863" s="30" t="n">
        <v>45323</v>
      </c>
      <c r="B1863" s="31" t="s">
        <v>7</v>
      </c>
      <c r="C1863" s="32"/>
      <c r="D1863" s="32"/>
      <c r="E1863" s="19" t="n">
        <f aca="false">+F1863*0.03</f>
        <v>0</v>
      </c>
      <c r="F1863" s="33" t="n">
        <v>0</v>
      </c>
      <c r="G1863" s="62"/>
      <c r="H1863" s="35" t="n">
        <v>0</v>
      </c>
      <c r="I1863" s="34" t="n">
        <f aca="false">+IF(E1863=0,0,E1863*0.03)</f>
        <v>0</v>
      </c>
    </row>
    <row r="1864" customFormat="false" ht="15.75" hidden="false" customHeight="true" outlineLevel="0" collapsed="false">
      <c r="A1864" s="30" t="n">
        <v>45323</v>
      </c>
      <c r="B1864" s="31" t="s">
        <v>7</v>
      </c>
      <c r="C1864" s="32"/>
      <c r="D1864" s="32"/>
      <c r="E1864" s="19" t="n">
        <f aca="false">+F1864*0.03</f>
        <v>0</v>
      </c>
      <c r="F1864" s="33" t="n">
        <v>0</v>
      </c>
      <c r="G1864" s="62"/>
      <c r="H1864" s="35" t="n">
        <v>0</v>
      </c>
      <c r="I1864" s="34" t="n">
        <f aca="false">+IF(E1864=0,0,E1864*0.03)</f>
        <v>0</v>
      </c>
    </row>
    <row r="1865" customFormat="false" ht="15.75" hidden="false" customHeight="true" outlineLevel="0" collapsed="false">
      <c r="A1865" s="30" t="n">
        <v>45323</v>
      </c>
      <c r="B1865" s="31" t="s">
        <v>7</v>
      </c>
      <c r="C1865" s="32"/>
      <c r="D1865" s="32"/>
      <c r="E1865" s="19" t="n">
        <f aca="false">+F1865*0.03</f>
        <v>0</v>
      </c>
      <c r="F1865" s="33" t="n">
        <v>0</v>
      </c>
      <c r="G1865" s="62"/>
      <c r="H1865" s="35" t="n">
        <v>0</v>
      </c>
      <c r="I1865" s="34" t="n">
        <f aca="false">+IF(E1865=0,0,E1865*0.03)</f>
        <v>0</v>
      </c>
    </row>
    <row r="1866" customFormat="false" ht="15.75" hidden="false" customHeight="true" outlineLevel="0" collapsed="false">
      <c r="A1866" s="30" t="n">
        <v>45323</v>
      </c>
      <c r="B1866" s="31" t="s">
        <v>7</v>
      </c>
      <c r="C1866" s="32"/>
      <c r="D1866" s="32"/>
      <c r="E1866" s="19" t="n">
        <f aca="false">+F1866*0.03</f>
        <v>0</v>
      </c>
      <c r="F1866" s="33" t="n">
        <v>0</v>
      </c>
      <c r="G1866" s="62"/>
      <c r="H1866" s="35" t="n">
        <v>0</v>
      </c>
      <c r="I1866" s="34" t="n">
        <f aca="false">+IF(E1866=0,0,E1866*0.03)</f>
        <v>0</v>
      </c>
    </row>
    <row r="1867" customFormat="false" ht="15.75" hidden="false" customHeight="true" outlineLevel="0" collapsed="false">
      <c r="A1867" s="30" t="n">
        <v>45323</v>
      </c>
      <c r="B1867" s="31" t="s">
        <v>7</v>
      </c>
      <c r="C1867" s="32"/>
      <c r="D1867" s="32"/>
      <c r="E1867" s="19" t="n">
        <f aca="false">+F1867*0.03</f>
        <v>0</v>
      </c>
      <c r="F1867" s="33" t="n">
        <v>0</v>
      </c>
      <c r="G1867" s="62"/>
      <c r="H1867" s="35" t="n">
        <v>0</v>
      </c>
      <c r="I1867" s="34" t="n">
        <f aca="false">+IF(E1867=0,0,E1867*0.03)</f>
        <v>0</v>
      </c>
    </row>
    <row r="1868" customFormat="false" ht="15.75" hidden="false" customHeight="true" outlineLevel="0" collapsed="false">
      <c r="A1868" s="30" t="n">
        <v>45323</v>
      </c>
      <c r="B1868" s="31" t="s">
        <v>7</v>
      </c>
      <c r="C1868" s="32"/>
      <c r="D1868" s="32"/>
      <c r="E1868" s="19" t="n">
        <f aca="false">+F1868*0.03</f>
        <v>0</v>
      </c>
      <c r="F1868" s="33" t="n">
        <v>0</v>
      </c>
      <c r="G1868" s="62"/>
      <c r="H1868" s="35" t="n">
        <v>0</v>
      </c>
      <c r="I1868" s="34" t="n">
        <f aca="false">+IF(E1868=0,0,E1868*0.03)</f>
        <v>0</v>
      </c>
    </row>
    <row r="1869" customFormat="false" ht="15.75" hidden="false" customHeight="true" outlineLevel="0" collapsed="false">
      <c r="A1869" s="30" t="n">
        <v>45323</v>
      </c>
      <c r="B1869" s="31" t="s">
        <v>7</v>
      </c>
      <c r="C1869" s="32"/>
      <c r="D1869" s="32"/>
      <c r="E1869" s="19" t="n">
        <f aca="false">+F1869*0.03</f>
        <v>0</v>
      </c>
      <c r="F1869" s="33" t="n">
        <v>0</v>
      </c>
      <c r="G1869" s="62"/>
      <c r="H1869" s="35" t="n">
        <v>0</v>
      </c>
      <c r="I1869" s="34" t="n">
        <f aca="false">+IF(E1869=0,0,E1869*0.03)</f>
        <v>0</v>
      </c>
    </row>
    <row r="1870" customFormat="false" ht="15.75" hidden="false" customHeight="true" outlineLevel="0" collapsed="false">
      <c r="A1870" s="30" t="n">
        <v>45323</v>
      </c>
      <c r="B1870" s="31" t="s">
        <v>7</v>
      </c>
      <c r="C1870" s="32"/>
      <c r="D1870" s="32"/>
      <c r="E1870" s="19" t="n">
        <f aca="false">+F1870*0.03</f>
        <v>0</v>
      </c>
      <c r="F1870" s="33" t="n">
        <v>0</v>
      </c>
      <c r="G1870" s="62"/>
      <c r="H1870" s="35" t="n">
        <v>0</v>
      </c>
      <c r="I1870" s="34" t="n">
        <f aca="false">+IF(E1870=0,0,E1870*0.03)</f>
        <v>0</v>
      </c>
    </row>
    <row r="1871" customFormat="false" ht="15.75" hidden="false" customHeight="true" outlineLevel="0" collapsed="false">
      <c r="A1871" s="30" t="n">
        <v>45323</v>
      </c>
      <c r="B1871" s="31" t="s">
        <v>7</v>
      </c>
      <c r="C1871" s="32"/>
      <c r="D1871" s="32"/>
      <c r="E1871" s="19" t="n">
        <f aca="false">+F1871*0.03</f>
        <v>0</v>
      </c>
      <c r="F1871" s="33" t="n">
        <v>0</v>
      </c>
      <c r="G1871" s="62"/>
      <c r="H1871" s="35" t="n">
        <v>0</v>
      </c>
      <c r="I1871" s="34" t="n">
        <f aca="false">+IF(E1871=0,0,E1871*0.03)</f>
        <v>0</v>
      </c>
    </row>
    <row r="1872" customFormat="false" ht="15.75" hidden="false" customHeight="true" outlineLevel="0" collapsed="false">
      <c r="A1872" s="30" t="n">
        <v>45323</v>
      </c>
      <c r="B1872" s="31" t="s">
        <v>7</v>
      </c>
      <c r="C1872" s="32"/>
      <c r="D1872" s="32"/>
      <c r="E1872" s="19" t="n">
        <f aca="false">+F1872*0.03</f>
        <v>0</v>
      </c>
      <c r="F1872" s="33" t="n">
        <v>0</v>
      </c>
      <c r="G1872" s="62"/>
      <c r="H1872" s="35" t="n">
        <v>0</v>
      </c>
      <c r="I1872" s="34" t="n">
        <f aca="false">+IF(E1872=0,0,E1872*0.03)</f>
        <v>0</v>
      </c>
    </row>
    <row r="1873" customFormat="false" ht="15.75" hidden="false" customHeight="true" outlineLevel="0" collapsed="false">
      <c r="A1873" s="30" t="n">
        <v>45323</v>
      </c>
      <c r="B1873" s="31" t="s">
        <v>7</v>
      </c>
      <c r="C1873" s="32"/>
      <c r="D1873" s="32"/>
      <c r="E1873" s="19" t="n">
        <f aca="false">+F1873*0.03</f>
        <v>0</v>
      </c>
      <c r="F1873" s="33" t="n">
        <v>0</v>
      </c>
      <c r="G1873" s="62"/>
      <c r="H1873" s="35" t="n">
        <v>0</v>
      </c>
      <c r="I1873" s="34" t="n">
        <f aca="false">+IF(E1873=0,0,E1873*0.03)</f>
        <v>0</v>
      </c>
    </row>
    <row r="1874" customFormat="false" ht="15.75" hidden="false" customHeight="true" outlineLevel="0" collapsed="false">
      <c r="A1874" s="30" t="n">
        <v>45323</v>
      </c>
      <c r="B1874" s="31" t="s">
        <v>7</v>
      </c>
      <c r="C1874" s="32"/>
      <c r="D1874" s="32"/>
      <c r="E1874" s="19" t="n">
        <f aca="false">+F1874*0.03</f>
        <v>0</v>
      </c>
      <c r="F1874" s="33" t="n">
        <v>0</v>
      </c>
      <c r="G1874" s="62"/>
      <c r="H1874" s="35" t="n">
        <v>0</v>
      </c>
      <c r="I1874" s="34" t="n">
        <f aca="false">+IF(E1874=0,0,E1874*0.03)</f>
        <v>0</v>
      </c>
    </row>
    <row r="1875" customFormat="false" ht="15.75" hidden="false" customHeight="true" outlineLevel="0" collapsed="false">
      <c r="A1875" s="30" t="n">
        <v>45323</v>
      </c>
      <c r="B1875" s="31" t="s">
        <v>7</v>
      </c>
      <c r="C1875" s="32"/>
      <c r="D1875" s="32"/>
      <c r="E1875" s="19" t="n">
        <f aca="false">+F1875*0.03</f>
        <v>0</v>
      </c>
      <c r="F1875" s="33" t="n">
        <v>0</v>
      </c>
      <c r="G1875" s="62"/>
      <c r="H1875" s="35" t="n">
        <v>0</v>
      </c>
      <c r="I1875" s="34" t="n">
        <f aca="false">+IF(E1875=0,0,E1875*0.03)</f>
        <v>0</v>
      </c>
    </row>
    <row r="1876" customFormat="false" ht="15.75" hidden="false" customHeight="true" outlineLevel="0" collapsed="false">
      <c r="A1876" s="30" t="n">
        <v>45323</v>
      </c>
      <c r="B1876" s="31" t="s">
        <v>7</v>
      </c>
      <c r="C1876" s="32"/>
      <c r="D1876" s="32"/>
      <c r="E1876" s="19" t="n">
        <f aca="false">+F1876*0.03</f>
        <v>0</v>
      </c>
      <c r="F1876" s="33" t="n">
        <v>0</v>
      </c>
      <c r="G1876" s="62"/>
      <c r="H1876" s="35" t="n">
        <v>0</v>
      </c>
      <c r="I1876" s="34" t="n">
        <f aca="false">+IF(E1876=0,0,E1876*0.03)</f>
        <v>0</v>
      </c>
    </row>
    <row r="1877" customFormat="false" ht="15.75" hidden="false" customHeight="true" outlineLevel="0" collapsed="false">
      <c r="A1877" s="30" t="n">
        <v>45323</v>
      </c>
      <c r="B1877" s="31" t="s">
        <v>7</v>
      </c>
      <c r="C1877" s="32"/>
      <c r="D1877" s="32"/>
      <c r="E1877" s="19" t="n">
        <f aca="false">+F1877*0.03</f>
        <v>0</v>
      </c>
      <c r="F1877" s="33" t="n">
        <v>0</v>
      </c>
      <c r="G1877" s="62"/>
      <c r="H1877" s="35" t="n">
        <v>0</v>
      </c>
      <c r="I1877" s="34" t="n">
        <f aca="false">+IF(E1877=0,0,E1877*0.03)</f>
        <v>0</v>
      </c>
    </row>
    <row r="1878" customFormat="false" ht="15.75" hidden="false" customHeight="true" outlineLevel="0" collapsed="false">
      <c r="A1878" s="30" t="n">
        <v>45323</v>
      </c>
      <c r="B1878" s="31" t="s">
        <v>7</v>
      </c>
      <c r="C1878" s="32"/>
      <c r="D1878" s="32"/>
      <c r="E1878" s="19" t="n">
        <f aca="false">+F1878*0.03</f>
        <v>0</v>
      </c>
      <c r="F1878" s="33" t="n">
        <v>0</v>
      </c>
      <c r="G1878" s="62"/>
      <c r="H1878" s="35" t="n">
        <v>0</v>
      </c>
      <c r="I1878" s="34" t="n">
        <f aca="false">+IF(E1878=0,0,E1878*0.03)</f>
        <v>0</v>
      </c>
    </row>
    <row r="1879" customFormat="false" ht="15.75" hidden="false" customHeight="true" outlineLevel="0" collapsed="false">
      <c r="A1879" s="30" t="n">
        <v>45323</v>
      </c>
      <c r="B1879" s="31" t="s">
        <v>7</v>
      </c>
      <c r="C1879" s="32"/>
      <c r="D1879" s="32"/>
      <c r="E1879" s="19" t="n">
        <f aca="false">+F1879*0.03</f>
        <v>0</v>
      </c>
      <c r="F1879" s="33" t="n">
        <v>0</v>
      </c>
      <c r="G1879" s="62"/>
      <c r="H1879" s="35" t="n">
        <v>0</v>
      </c>
      <c r="I1879" s="34" t="n">
        <f aca="false">+IF(E1879=0,0,E1879*0.03)</f>
        <v>0</v>
      </c>
    </row>
    <row r="1880" customFormat="false" ht="15.75" hidden="false" customHeight="true" outlineLevel="0" collapsed="false">
      <c r="A1880" s="30" t="n">
        <v>45323</v>
      </c>
      <c r="B1880" s="31" t="s">
        <v>7</v>
      </c>
      <c r="C1880" s="32"/>
      <c r="D1880" s="32"/>
      <c r="E1880" s="19" t="n">
        <f aca="false">+F1880*0.03</f>
        <v>0</v>
      </c>
      <c r="F1880" s="33" t="n">
        <v>0</v>
      </c>
      <c r="G1880" s="62"/>
      <c r="H1880" s="35" t="n">
        <v>0</v>
      </c>
      <c r="I1880" s="34" t="n">
        <f aca="false">+IF(E1880=0,0,E1880*0.03)</f>
        <v>0</v>
      </c>
    </row>
    <row r="1881" customFormat="false" ht="15.75" hidden="false" customHeight="true" outlineLevel="0" collapsed="false">
      <c r="A1881" s="30" t="n">
        <v>45323</v>
      </c>
      <c r="B1881" s="31" t="s">
        <v>7</v>
      </c>
      <c r="C1881" s="32"/>
      <c r="D1881" s="32"/>
      <c r="E1881" s="19" t="n">
        <f aca="false">+F1881*0.03</f>
        <v>0</v>
      </c>
      <c r="F1881" s="33" t="n">
        <v>0</v>
      </c>
      <c r="G1881" s="62"/>
      <c r="H1881" s="35" t="n">
        <v>0</v>
      </c>
      <c r="I1881" s="34" t="n">
        <f aca="false">+IF(E1881=0,0,E1881*0.03)</f>
        <v>0</v>
      </c>
    </row>
    <row r="1882" customFormat="false" ht="15.75" hidden="false" customHeight="true" outlineLevel="0" collapsed="false">
      <c r="A1882" s="30" t="n">
        <v>45323</v>
      </c>
      <c r="B1882" s="31" t="s">
        <v>7</v>
      </c>
      <c r="C1882" s="32"/>
      <c r="D1882" s="32"/>
      <c r="E1882" s="19" t="n">
        <f aca="false">+F1882*0.03</f>
        <v>0</v>
      </c>
      <c r="F1882" s="33" t="n">
        <v>0</v>
      </c>
      <c r="G1882" s="62"/>
      <c r="H1882" s="35" t="n">
        <v>0</v>
      </c>
      <c r="I1882" s="34" t="n">
        <f aca="false">+IF(E1882=0,0,E1882*0.03)</f>
        <v>0</v>
      </c>
    </row>
    <row r="1883" customFormat="false" ht="15.75" hidden="false" customHeight="true" outlineLevel="0" collapsed="false">
      <c r="A1883" s="30" t="n">
        <v>45323</v>
      </c>
      <c r="B1883" s="31" t="s">
        <v>7</v>
      </c>
      <c r="C1883" s="32"/>
      <c r="D1883" s="32"/>
      <c r="E1883" s="19" t="n">
        <f aca="false">+F1883*0.03</f>
        <v>0</v>
      </c>
      <c r="F1883" s="33" t="n">
        <v>0</v>
      </c>
      <c r="G1883" s="62"/>
      <c r="H1883" s="35" t="n">
        <v>0</v>
      </c>
      <c r="I1883" s="34" t="n">
        <f aca="false">+IF(E1883=0,0,E1883*0.03)</f>
        <v>0</v>
      </c>
    </row>
    <row r="1884" customFormat="false" ht="15.75" hidden="false" customHeight="true" outlineLevel="0" collapsed="false">
      <c r="A1884" s="30" t="n">
        <v>45323</v>
      </c>
      <c r="B1884" s="31" t="s">
        <v>7</v>
      </c>
      <c r="C1884" s="32"/>
      <c r="D1884" s="32"/>
      <c r="E1884" s="19" t="n">
        <f aca="false">+F1884*0.03</f>
        <v>0</v>
      </c>
      <c r="F1884" s="33" t="n">
        <v>0</v>
      </c>
      <c r="G1884" s="62"/>
      <c r="H1884" s="35" t="n">
        <v>0</v>
      </c>
      <c r="I1884" s="34" t="n">
        <f aca="false">+IF(E1884=0,0,E1884*0.03)</f>
        <v>0</v>
      </c>
    </row>
    <row r="1885" customFormat="false" ht="15.75" hidden="false" customHeight="true" outlineLevel="0" collapsed="false">
      <c r="A1885" s="30" t="n">
        <v>45323</v>
      </c>
      <c r="B1885" s="31" t="s">
        <v>7</v>
      </c>
      <c r="C1885" s="32"/>
      <c r="D1885" s="32"/>
      <c r="E1885" s="19" t="n">
        <f aca="false">+F1885*0.03</f>
        <v>0</v>
      </c>
      <c r="F1885" s="33" t="n">
        <v>0</v>
      </c>
      <c r="G1885" s="62"/>
      <c r="H1885" s="35" t="n">
        <v>0</v>
      </c>
      <c r="I1885" s="34" t="n">
        <f aca="false">+IF(E1885=0,0,E1885*0.03)</f>
        <v>0</v>
      </c>
    </row>
    <row r="1886" customFormat="false" ht="15.75" hidden="false" customHeight="true" outlineLevel="0" collapsed="false">
      <c r="A1886" s="30" t="n">
        <v>45323</v>
      </c>
      <c r="B1886" s="31" t="s">
        <v>7</v>
      </c>
      <c r="C1886" s="32"/>
      <c r="D1886" s="32"/>
      <c r="E1886" s="19" t="n">
        <f aca="false">+F1886*0.03</f>
        <v>0</v>
      </c>
      <c r="F1886" s="33" t="n">
        <v>0</v>
      </c>
      <c r="G1886" s="62"/>
      <c r="H1886" s="35" t="n">
        <v>0</v>
      </c>
      <c r="I1886" s="34" t="n">
        <f aca="false">+IF(E1886=0,0,E1886*0.03)</f>
        <v>0</v>
      </c>
    </row>
    <row r="1887" customFormat="false" ht="15.75" hidden="false" customHeight="true" outlineLevel="0" collapsed="false">
      <c r="A1887" s="30" t="n">
        <v>45323</v>
      </c>
      <c r="B1887" s="31" t="s">
        <v>7</v>
      </c>
      <c r="C1887" s="32"/>
      <c r="D1887" s="32"/>
      <c r="E1887" s="19" t="n">
        <f aca="false">+F1887*0.03</f>
        <v>0</v>
      </c>
      <c r="F1887" s="33" t="n">
        <v>0</v>
      </c>
      <c r="G1887" s="62"/>
      <c r="H1887" s="35" t="n">
        <v>0</v>
      </c>
      <c r="I1887" s="34" t="n">
        <f aca="false">+IF(E1887=0,0,E1887*0.03)</f>
        <v>0</v>
      </c>
    </row>
    <row r="1888" customFormat="false" ht="15.75" hidden="false" customHeight="true" outlineLevel="0" collapsed="false">
      <c r="A1888" s="30" t="n">
        <v>45323</v>
      </c>
      <c r="B1888" s="31" t="s">
        <v>7</v>
      </c>
      <c r="C1888" s="32"/>
      <c r="D1888" s="32"/>
      <c r="E1888" s="19" t="n">
        <f aca="false">+F1888*0.03</f>
        <v>0</v>
      </c>
      <c r="F1888" s="33" t="n">
        <v>0</v>
      </c>
      <c r="G1888" s="62"/>
      <c r="H1888" s="35" t="n">
        <v>0</v>
      </c>
      <c r="I1888" s="34" t="n">
        <f aca="false">+IF(E1888=0,0,E1888*0.03)</f>
        <v>0</v>
      </c>
    </row>
    <row r="1889" customFormat="false" ht="15.75" hidden="false" customHeight="true" outlineLevel="0" collapsed="false">
      <c r="A1889" s="30" t="n">
        <v>45323</v>
      </c>
      <c r="B1889" s="31" t="s">
        <v>7</v>
      </c>
      <c r="C1889" s="32"/>
      <c r="D1889" s="32"/>
      <c r="E1889" s="19" t="n">
        <f aca="false">+F1889*0.03</f>
        <v>0</v>
      </c>
      <c r="F1889" s="33" t="n">
        <v>0</v>
      </c>
      <c r="G1889" s="62"/>
      <c r="H1889" s="35" t="n">
        <v>0</v>
      </c>
      <c r="I1889" s="34" t="n">
        <f aca="false">+IF(E1889=0,0,E1889*0.03)</f>
        <v>0</v>
      </c>
    </row>
    <row r="1890" customFormat="false" ht="15.75" hidden="false" customHeight="true" outlineLevel="0" collapsed="false">
      <c r="A1890" s="30" t="n">
        <v>45323</v>
      </c>
      <c r="B1890" s="31" t="s">
        <v>7</v>
      </c>
      <c r="C1890" s="32"/>
      <c r="D1890" s="32"/>
      <c r="E1890" s="19" t="n">
        <f aca="false">+F1890*0.03</f>
        <v>0</v>
      </c>
      <c r="F1890" s="33" t="n">
        <v>0</v>
      </c>
      <c r="G1890" s="62"/>
      <c r="H1890" s="35" t="n">
        <v>0</v>
      </c>
      <c r="I1890" s="34" t="n">
        <f aca="false">+IF(E1890=0,0,E1890*0.03)</f>
        <v>0</v>
      </c>
    </row>
    <row r="1891" customFormat="false" ht="15.75" hidden="false" customHeight="true" outlineLevel="0" collapsed="false">
      <c r="A1891" s="30" t="n">
        <v>45323</v>
      </c>
      <c r="B1891" s="31" t="s">
        <v>7</v>
      </c>
      <c r="C1891" s="32"/>
      <c r="D1891" s="32"/>
      <c r="E1891" s="19" t="n">
        <f aca="false">+F1891*0.03</f>
        <v>0</v>
      </c>
      <c r="F1891" s="33" t="n">
        <v>0</v>
      </c>
      <c r="G1891" s="62"/>
      <c r="H1891" s="35" t="n">
        <v>0</v>
      </c>
      <c r="I1891" s="34" t="n">
        <f aca="false">+IF(E1891=0,0,E1891*0.03)</f>
        <v>0</v>
      </c>
    </row>
    <row r="1892" customFormat="false" ht="15.75" hidden="false" customHeight="true" outlineLevel="0" collapsed="false">
      <c r="A1892" s="30" t="n">
        <v>45323</v>
      </c>
      <c r="B1892" s="31" t="s">
        <v>7</v>
      </c>
      <c r="C1892" s="32"/>
      <c r="D1892" s="32"/>
      <c r="E1892" s="19" t="n">
        <f aca="false">+F1892*0.03</f>
        <v>0</v>
      </c>
      <c r="F1892" s="33" t="n">
        <v>0</v>
      </c>
      <c r="G1892" s="62"/>
      <c r="H1892" s="35" t="n">
        <v>0</v>
      </c>
      <c r="I1892" s="34" t="n">
        <f aca="false">+IF(E1892=0,0,E1892*0.03)</f>
        <v>0</v>
      </c>
    </row>
    <row r="1893" customFormat="false" ht="15.75" hidden="false" customHeight="true" outlineLevel="0" collapsed="false">
      <c r="A1893" s="30" t="n">
        <v>45323</v>
      </c>
      <c r="B1893" s="31" t="s">
        <v>7</v>
      </c>
      <c r="C1893" s="32"/>
      <c r="D1893" s="32"/>
      <c r="E1893" s="19" t="n">
        <f aca="false">+F1893*0.03</f>
        <v>0</v>
      </c>
      <c r="F1893" s="33" t="n">
        <v>0</v>
      </c>
      <c r="G1893" s="62"/>
      <c r="H1893" s="35" t="n">
        <v>0</v>
      </c>
      <c r="I1893" s="34" t="n">
        <f aca="false">+IF(E1893=0,0,E1893*0.03)</f>
        <v>0</v>
      </c>
    </row>
    <row r="1894" customFormat="false" ht="15.75" hidden="false" customHeight="true" outlineLevel="0" collapsed="false">
      <c r="A1894" s="30" t="n">
        <v>45323</v>
      </c>
      <c r="B1894" s="31" t="s">
        <v>7</v>
      </c>
      <c r="C1894" s="32"/>
      <c r="D1894" s="32"/>
      <c r="E1894" s="19" t="n">
        <f aca="false">+F1894*0.03</f>
        <v>0</v>
      </c>
      <c r="F1894" s="33" t="n">
        <v>0</v>
      </c>
      <c r="G1894" s="62"/>
      <c r="H1894" s="35" t="n">
        <v>0</v>
      </c>
      <c r="I1894" s="34" t="n">
        <f aca="false">+IF(E1894=0,0,E1894*0.03)</f>
        <v>0</v>
      </c>
    </row>
    <row r="1895" customFormat="false" ht="15.75" hidden="false" customHeight="true" outlineLevel="0" collapsed="false">
      <c r="A1895" s="30" t="n">
        <v>45323</v>
      </c>
      <c r="B1895" s="31" t="s">
        <v>7</v>
      </c>
      <c r="C1895" s="32"/>
      <c r="D1895" s="32"/>
      <c r="E1895" s="19" t="n">
        <f aca="false">+F1895*0.03</f>
        <v>0</v>
      </c>
      <c r="F1895" s="33" t="n">
        <v>0</v>
      </c>
      <c r="G1895" s="62"/>
      <c r="H1895" s="35" t="n">
        <v>0</v>
      </c>
      <c r="I1895" s="34" t="n">
        <f aca="false">+IF(E1895=0,0,E1895*0.03)</f>
        <v>0</v>
      </c>
    </row>
    <row r="1896" customFormat="false" ht="15.75" hidden="false" customHeight="true" outlineLevel="0" collapsed="false">
      <c r="A1896" s="30" t="n">
        <v>45323</v>
      </c>
      <c r="B1896" s="31" t="s">
        <v>7</v>
      </c>
      <c r="C1896" s="32"/>
      <c r="D1896" s="32"/>
      <c r="E1896" s="19" t="n">
        <f aca="false">+F1896*0.03</f>
        <v>0</v>
      </c>
      <c r="F1896" s="33" t="n">
        <v>0</v>
      </c>
      <c r="G1896" s="62"/>
      <c r="H1896" s="35" t="n">
        <v>0</v>
      </c>
      <c r="I1896" s="34" t="n">
        <f aca="false">+IF(E1896=0,0,E1896*0.03)</f>
        <v>0</v>
      </c>
    </row>
    <row r="1897" customFormat="false" ht="15.75" hidden="false" customHeight="true" outlineLevel="0" collapsed="false">
      <c r="A1897" s="30" t="n">
        <v>45323</v>
      </c>
      <c r="B1897" s="31" t="s">
        <v>7</v>
      </c>
      <c r="C1897" s="32"/>
      <c r="D1897" s="32"/>
      <c r="E1897" s="19" t="n">
        <f aca="false">+F1897*0.03</f>
        <v>0</v>
      </c>
      <c r="F1897" s="33" t="n">
        <v>0</v>
      </c>
      <c r="G1897" s="62"/>
      <c r="H1897" s="35" t="n">
        <v>0</v>
      </c>
      <c r="I1897" s="34" t="n">
        <f aca="false">+IF(E1897=0,0,E1897*0.03)</f>
        <v>0</v>
      </c>
    </row>
    <row r="1898" customFormat="false" ht="15.75" hidden="false" customHeight="true" outlineLevel="0" collapsed="false">
      <c r="A1898" s="30" t="n">
        <v>45323</v>
      </c>
      <c r="B1898" s="31" t="s">
        <v>7</v>
      </c>
      <c r="C1898" s="32"/>
      <c r="D1898" s="32"/>
      <c r="E1898" s="19" t="n">
        <f aca="false">+F1898*0.03</f>
        <v>0</v>
      </c>
      <c r="F1898" s="33" t="n">
        <v>0</v>
      </c>
      <c r="G1898" s="62"/>
      <c r="H1898" s="35" t="n">
        <v>0</v>
      </c>
      <c r="I1898" s="34" t="n">
        <f aca="false">+IF(E1898=0,0,E1898*0.03)</f>
        <v>0</v>
      </c>
    </row>
    <row r="1899" customFormat="false" ht="15.75" hidden="false" customHeight="true" outlineLevel="0" collapsed="false">
      <c r="A1899" s="30" t="n">
        <v>45323</v>
      </c>
      <c r="B1899" s="31" t="s">
        <v>7</v>
      </c>
      <c r="C1899" s="32"/>
      <c r="D1899" s="32"/>
      <c r="E1899" s="19" t="n">
        <f aca="false">+F1899*0.03</f>
        <v>0</v>
      </c>
      <c r="F1899" s="33" t="n">
        <v>0</v>
      </c>
      <c r="G1899" s="62"/>
      <c r="H1899" s="35" t="n">
        <v>0</v>
      </c>
      <c r="I1899" s="34" t="n">
        <f aca="false">+IF(E1899=0,0,E1899*0.03)</f>
        <v>0</v>
      </c>
    </row>
    <row r="1900" customFormat="false" ht="15.75" hidden="false" customHeight="true" outlineLevel="0" collapsed="false">
      <c r="A1900" s="30" t="n">
        <v>45323</v>
      </c>
      <c r="B1900" s="31" t="s">
        <v>7</v>
      </c>
      <c r="C1900" s="32"/>
      <c r="D1900" s="32"/>
      <c r="E1900" s="19" t="n">
        <f aca="false">+F1900*0.03</f>
        <v>0</v>
      </c>
      <c r="F1900" s="33" t="n">
        <v>0</v>
      </c>
      <c r="G1900" s="62"/>
      <c r="H1900" s="35" t="n">
        <v>0</v>
      </c>
      <c r="I1900" s="34" t="n">
        <f aca="false">+IF(E1900=0,0,E1900*0.03)</f>
        <v>0</v>
      </c>
    </row>
    <row r="1901" customFormat="false" ht="15.75" hidden="false" customHeight="true" outlineLevel="0" collapsed="false">
      <c r="A1901" s="30" t="n">
        <v>45323</v>
      </c>
      <c r="B1901" s="31" t="s">
        <v>7</v>
      </c>
      <c r="C1901" s="32"/>
      <c r="D1901" s="32"/>
      <c r="E1901" s="19" t="n">
        <f aca="false">+F1901*0.03</f>
        <v>0</v>
      </c>
      <c r="F1901" s="33" t="n">
        <v>0</v>
      </c>
      <c r="G1901" s="62"/>
      <c r="H1901" s="35" t="n">
        <v>0</v>
      </c>
      <c r="I1901" s="34" t="n">
        <f aca="false">+IF(E1901=0,0,E1901*0.03)</f>
        <v>0</v>
      </c>
    </row>
    <row r="1902" customFormat="false" ht="15.75" hidden="false" customHeight="true" outlineLevel="0" collapsed="false">
      <c r="A1902" s="30" t="n">
        <v>45323</v>
      </c>
      <c r="B1902" s="31" t="s">
        <v>7</v>
      </c>
      <c r="C1902" s="32"/>
      <c r="D1902" s="32"/>
      <c r="E1902" s="19" t="n">
        <f aca="false">+F1902*0.03</f>
        <v>0</v>
      </c>
      <c r="F1902" s="33" t="n">
        <v>0</v>
      </c>
      <c r="G1902" s="62"/>
      <c r="H1902" s="35" t="n">
        <v>0</v>
      </c>
      <c r="I1902" s="34" t="n">
        <f aca="false">+IF(E1902=0,0,E1902*0.03)</f>
        <v>0</v>
      </c>
    </row>
    <row r="1903" customFormat="false" ht="15.75" hidden="false" customHeight="true" outlineLevel="0" collapsed="false">
      <c r="A1903" s="30" t="n">
        <v>45323</v>
      </c>
      <c r="B1903" s="31" t="s">
        <v>7</v>
      </c>
      <c r="C1903" s="32"/>
      <c r="D1903" s="32"/>
      <c r="E1903" s="19" t="n">
        <f aca="false">+F1903*0.03</f>
        <v>0</v>
      </c>
      <c r="F1903" s="33" t="n">
        <v>0</v>
      </c>
      <c r="G1903" s="62"/>
      <c r="H1903" s="35" t="n">
        <v>0</v>
      </c>
      <c r="I1903" s="34" t="n">
        <f aca="false">+IF(E1903=0,0,E1903*0.03)</f>
        <v>0</v>
      </c>
    </row>
    <row r="1904" customFormat="false" ht="15.75" hidden="false" customHeight="true" outlineLevel="0" collapsed="false">
      <c r="A1904" s="30" t="n">
        <v>45323</v>
      </c>
      <c r="B1904" s="31" t="s">
        <v>7</v>
      </c>
      <c r="C1904" s="32"/>
      <c r="D1904" s="32"/>
      <c r="E1904" s="19" t="n">
        <f aca="false">+F1904*0.03</f>
        <v>0</v>
      </c>
      <c r="F1904" s="33" t="n">
        <v>0</v>
      </c>
      <c r="G1904" s="62"/>
      <c r="H1904" s="35" t="n">
        <v>0</v>
      </c>
      <c r="I1904" s="34" t="n">
        <f aca="false">+IF(E1904=0,0,E1904*0.03)</f>
        <v>0</v>
      </c>
    </row>
    <row r="1905" customFormat="false" ht="15.75" hidden="false" customHeight="true" outlineLevel="0" collapsed="false">
      <c r="A1905" s="30" t="n">
        <v>45323</v>
      </c>
      <c r="B1905" s="31" t="s">
        <v>7</v>
      </c>
      <c r="C1905" s="32"/>
      <c r="D1905" s="32"/>
      <c r="E1905" s="19" t="n">
        <f aca="false">+F1905*0.03</f>
        <v>0</v>
      </c>
      <c r="F1905" s="33" t="n">
        <v>0</v>
      </c>
      <c r="G1905" s="62"/>
      <c r="H1905" s="35" t="n">
        <v>0</v>
      </c>
      <c r="I1905" s="34" t="n">
        <f aca="false">+IF(E1905=0,0,E1905*0.03)</f>
        <v>0</v>
      </c>
    </row>
    <row r="1906" customFormat="false" ht="15.75" hidden="false" customHeight="true" outlineLevel="0" collapsed="false">
      <c r="A1906" s="30" t="n">
        <v>45323</v>
      </c>
      <c r="B1906" s="31" t="s">
        <v>7</v>
      </c>
      <c r="C1906" s="32"/>
      <c r="D1906" s="32"/>
      <c r="E1906" s="19" t="n">
        <f aca="false">+F1906*0.03</f>
        <v>0</v>
      </c>
      <c r="F1906" s="33" t="n">
        <v>0</v>
      </c>
      <c r="G1906" s="62"/>
      <c r="H1906" s="35" t="n">
        <v>0</v>
      </c>
      <c r="I1906" s="34" t="n">
        <f aca="false">+IF(E1906=0,0,E1906*0.03)</f>
        <v>0</v>
      </c>
    </row>
    <row r="1907" customFormat="false" ht="15.75" hidden="false" customHeight="true" outlineLevel="0" collapsed="false">
      <c r="A1907" s="30" t="n">
        <v>45323</v>
      </c>
      <c r="B1907" s="31" t="s">
        <v>7</v>
      </c>
      <c r="C1907" s="32"/>
      <c r="D1907" s="32"/>
      <c r="E1907" s="19" t="n">
        <f aca="false">+F1907*0.03</f>
        <v>0</v>
      </c>
      <c r="F1907" s="33" t="n">
        <v>0</v>
      </c>
      <c r="G1907" s="62"/>
      <c r="H1907" s="35" t="n">
        <v>0</v>
      </c>
      <c r="I1907" s="34" t="n">
        <f aca="false">+IF(E1907=0,0,E1907*0.03)</f>
        <v>0</v>
      </c>
    </row>
    <row r="1908" customFormat="false" ht="15.75" hidden="false" customHeight="true" outlineLevel="0" collapsed="false">
      <c r="A1908" s="30" t="n">
        <v>45323</v>
      </c>
      <c r="B1908" s="31" t="s">
        <v>7</v>
      </c>
      <c r="C1908" s="32"/>
      <c r="D1908" s="32"/>
      <c r="E1908" s="19" t="n">
        <f aca="false">+F1908*0.03</f>
        <v>0</v>
      </c>
      <c r="F1908" s="33" t="n">
        <v>0</v>
      </c>
      <c r="G1908" s="62"/>
      <c r="H1908" s="35" t="n">
        <v>0</v>
      </c>
      <c r="I1908" s="34" t="n">
        <f aca="false">+IF(E1908=0,0,E1908*0.03)</f>
        <v>0</v>
      </c>
    </row>
    <row r="1909" customFormat="false" ht="15.75" hidden="false" customHeight="true" outlineLevel="0" collapsed="false">
      <c r="A1909" s="30" t="n">
        <v>45323</v>
      </c>
      <c r="B1909" s="31" t="s">
        <v>7</v>
      </c>
      <c r="C1909" s="32"/>
      <c r="D1909" s="32"/>
      <c r="E1909" s="19" t="n">
        <f aca="false">+F1909*0.03</f>
        <v>0</v>
      </c>
      <c r="F1909" s="33" t="n">
        <v>0</v>
      </c>
      <c r="G1909" s="62"/>
      <c r="H1909" s="35" t="n">
        <v>0</v>
      </c>
      <c r="I1909" s="34" t="n">
        <f aca="false">+IF(E1909=0,0,E1909*0.03)</f>
        <v>0</v>
      </c>
    </row>
    <row r="1910" customFormat="false" ht="15.75" hidden="false" customHeight="true" outlineLevel="0" collapsed="false">
      <c r="A1910" s="30" t="n">
        <v>45323</v>
      </c>
      <c r="B1910" s="31" t="s">
        <v>7</v>
      </c>
      <c r="C1910" s="32"/>
      <c r="D1910" s="32"/>
      <c r="E1910" s="19" t="n">
        <f aca="false">+F1910*0.03</f>
        <v>0</v>
      </c>
      <c r="F1910" s="33" t="n">
        <v>0</v>
      </c>
      <c r="G1910" s="62"/>
      <c r="H1910" s="35" t="n">
        <v>0</v>
      </c>
      <c r="I1910" s="34" t="n">
        <f aca="false">+IF(E1910=0,0,E1910*0.03)</f>
        <v>0</v>
      </c>
    </row>
    <row r="1911" customFormat="false" ht="15.75" hidden="false" customHeight="true" outlineLevel="0" collapsed="false">
      <c r="A1911" s="30" t="n">
        <v>45323</v>
      </c>
      <c r="B1911" s="31" t="s">
        <v>7</v>
      </c>
      <c r="C1911" s="32"/>
      <c r="D1911" s="32"/>
      <c r="E1911" s="19" t="n">
        <f aca="false">+F1911*0.03</f>
        <v>0</v>
      </c>
      <c r="F1911" s="33" t="n">
        <v>0</v>
      </c>
      <c r="G1911" s="62"/>
      <c r="H1911" s="35" t="n">
        <v>0</v>
      </c>
      <c r="I1911" s="34" t="n">
        <f aca="false">+IF(E1911=0,0,E1911*0.03)</f>
        <v>0</v>
      </c>
    </row>
    <row r="1912" customFormat="false" ht="15.75" hidden="false" customHeight="true" outlineLevel="0" collapsed="false">
      <c r="A1912" s="30" t="n">
        <v>45323</v>
      </c>
      <c r="B1912" s="31" t="s">
        <v>7</v>
      </c>
      <c r="C1912" s="32"/>
      <c r="D1912" s="32"/>
      <c r="E1912" s="19" t="n">
        <f aca="false">+F1912*0.03</f>
        <v>0</v>
      </c>
      <c r="F1912" s="33" t="n">
        <v>0</v>
      </c>
      <c r="G1912" s="62"/>
      <c r="H1912" s="35" t="n">
        <v>0</v>
      </c>
      <c r="I1912" s="34" t="n">
        <f aca="false">+IF(E1912=0,0,E1912*0.03)</f>
        <v>0</v>
      </c>
    </row>
    <row r="1913" customFormat="false" ht="15.75" hidden="false" customHeight="true" outlineLevel="0" collapsed="false">
      <c r="A1913" s="30" t="n">
        <v>45323</v>
      </c>
      <c r="B1913" s="31" t="s">
        <v>7</v>
      </c>
      <c r="C1913" s="32"/>
      <c r="D1913" s="32"/>
      <c r="E1913" s="19" t="n">
        <f aca="false">+F1913*0.03</f>
        <v>0</v>
      </c>
      <c r="F1913" s="33" t="n">
        <v>0</v>
      </c>
      <c r="G1913" s="62"/>
      <c r="H1913" s="35" t="n">
        <v>0</v>
      </c>
      <c r="I1913" s="34" t="n">
        <f aca="false">+IF(E1913=0,0,E1913*0.03)</f>
        <v>0</v>
      </c>
    </row>
    <row r="1914" customFormat="false" ht="15.75" hidden="false" customHeight="true" outlineLevel="0" collapsed="false">
      <c r="A1914" s="30" t="n">
        <v>45323</v>
      </c>
      <c r="B1914" s="31" t="s">
        <v>7</v>
      </c>
      <c r="C1914" s="32"/>
      <c r="D1914" s="32"/>
      <c r="E1914" s="19" t="n">
        <f aca="false">+F1914*0.03</f>
        <v>0</v>
      </c>
      <c r="F1914" s="33" t="n">
        <v>0</v>
      </c>
      <c r="G1914" s="62"/>
      <c r="H1914" s="35" t="n">
        <v>0</v>
      </c>
      <c r="I1914" s="34" t="n">
        <f aca="false">+IF(E1914=0,0,E1914*0.03)</f>
        <v>0</v>
      </c>
    </row>
    <row r="1915" customFormat="false" ht="15.75" hidden="false" customHeight="true" outlineLevel="0" collapsed="false">
      <c r="A1915" s="30" t="n">
        <v>45323</v>
      </c>
      <c r="B1915" s="31" t="s">
        <v>7</v>
      </c>
      <c r="C1915" s="32"/>
      <c r="D1915" s="32"/>
      <c r="E1915" s="19" t="n">
        <f aca="false">+F1915*0.03</f>
        <v>0</v>
      </c>
      <c r="F1915" s="33" t="n">
        <v>0</v>
      </c>
      <c r="G1915" s="62"/>
      <c r="H1915" s="35" t="n">
        <v>0</v>
      </c>
      <c r="I1915" s="34" t="n">
        <f aca="false">+IF(E1915=0,0,E1915*0.03)</f>
        <v>0</v>
      </c>
    </row>
    <row r="1916" customFormat="false" ht="15.75" hidden="false" customHeight="true" outlineLevel="0" collapsed="false">
      <c r="A1916" s="30" t="n">
        <v>45323</v>
      </c>
      <c r="B1916" s="31" t="s">
        <v>7</v>
      </c>
      <c r="C1916" s="32"/>
      <c r="D1916" s="32"/>
      <c r="E1916" s="19" t="n">
        <f aca="false">+F1916*0.03</f>
        <v>0</v>
      </c>
      <c r="F1916" s="33" t="n">
        <v>0</v>
      </c>
      <c r="G1916" s="62"/>
      <c r="H1916" s="35" t="n">
        <v>0</v>
      </c>
      <c r="I1916" s="34" t="n">
        <f aca="false">+IF(E1916=0,0,E1916*0.03)</f>
        <v>0</v>
      </c>
    </row>
    <row r="1917" customFormat="false" ht="15.75" hidden="false" customHeight="true" outlineLevel="0" collapsed="false">
      <c r="A1917" s="30" t="n">
        <v>45323</v>
      </c>
      <c r="B1917" s="31" t="s">
        <v>7</v>
      </c>
      <c r="C1917" s="32"/>
      <c r="D1917" s="32"/>
      <c r="E1917" s="19" t="n">
        <f aca="false">+F1917*0.03</f>
        <v>0</v>
      </c>
      <c r="F1917" s="33" t="n">
        <v>0</v>
      </c>
      <c r="G1917" s="62"/>
      <c r="H1917" s="35" t="n">
        <v>0</v>
      </c>
      <c r="I1917" s="34" t="n">
        <f aca="false">+IF(E1917=0,0,E1917*0.03)</f>
        <v>0</v>
      </c>
    </row>
    <row r="1918" customFormat="false" ht="15.75" hidden="false" customHeight="true" outlineLevel="0" collapsed="false">
      <c r="A1918" s="30" t="n">
        <v>45323</v>
      </c>
      <c r="B1918" s="31" t="s">
        <v>7</v>
      </c>
      <c r="C1918" s="32"/>
      <c r="D1918" s="32"/>
      <c r="E1918" s="19" t="n">
        <f aca="false">+F1918*0.03</f>
        <v>0</v>
      </c>
      <c r="F1918" s="33" t="n">
        <v>0</v>
      </c>
      <c r="G1918" s="62"/>
      <c r="H1918" s="35" t="n">
        <v>0</v>
      </c>
      <c r="I1918" s="34" t="n">
        <f aca="false">+IF(E1918=0,0,E1918*0.03)</f>
        <v>0</v>
      </c>
    </row>
    <row r="1919" customFormat="false" ht="15.75" hidden="false" customHeight="true" outlineLevel="0" collapsed="false">
      <c r="A1919" s="30" t="n">
        <v>45323</v>
      </c>
      <c r="B1919" s="31" t="s">
        <v>7</v>
      </c>
      <c r="C1919" s="32"/>
      <c r="D1919" s="32"/>
      <c r="E1919" s="19" t="n">
        <f aca="false">+F1919*0.03</f>
        <v>0</v>
      </c>
      <c r="F1919" s="33" t="n">
        <v>0</v>
      </c>
      <c r="G1919" s="62"/>
      <c r="H1919" s="35" t="n">
        <v>0</v>
      </c>
      <c r="I1919" s="34" t="n">
        <f aca="false">+IF(E1919=0,0,E1919*0.03)</f>
        <v>0</v>
      </c>
    </row>
    <row r="1920" customFormat="false" ht="15.75" hidden="false" customHeight="true" outlineLevel="0" collapsed="false">
      <c r="A1920" s="30" t="n">
        <v>45323</v>
      </c>
      <c r="B1920" s="31" t="s">
        <v>7</v>
      </c>
      <c r="C1920" s="32"/>
      <c r="D1920" s="32"/>
      <c r="E1920" s="19" t="n">
        <f aca="false">+F1920*0.03</f>
        <v>0</v>
      </c>
      <c r="F1920" s="33" t="n">
        <v>0</v>
      </c>
      <c r="G1920" s="62"/>
      <c r="H1920" s="35" t="n">
        <v>0</v>
      </c>
      <c r="I1920" s="34" t="n">
        <f aca="false">+IF(E1920=0,0,E1920*0.03)</f>
        <v>0</v>
      </c>
    </row>
    <row r="1921" customFormat="false" ht="15.75" hidden="false" customHeight="true" outlineLevel="0" collapsed="false">
      <c r="A1921" s="30" t="n">
        <v>45323</v>
      </c>
      <c r="B1921" s="31" t="s">
        <v>7</v>
      </c>
      <c r="C1921" s="32"/>
      <c r="D1921" s="32"/>
      <c r="E1921" s="19" t="n">
        <f aca="false">+F1921*0.03</f>
        <v>0</v>
      </c>
      <c r="F1921" s="33" t="n">
        <v>0</v>
      </c>
      <c r="G1921" s="62"/>
      <c r="H1921" s="35" t="n">
        <v>0</v>
      </c>
      <c r="I1921" s="34" t="n">
        <f aca="false">+IF(E1921=0,0,E1921*0.03)</f>
        <v>0</v>
      </c>
    </row>
    <row r="1922" customFormat="false" ht="15.75" hidden="false" customHeight="true" outlineLevel="0" collapsed="false">
      <c r="A1922" s="30" t="n">
        <v>45323</v>
      </c>
      <c r="B1922" s="31" t="s">
        <v>7</v>
      </c>
      <c r="C1922" s="32"/>
      <c r="D1922" s="32"/>
      <c r="E1922" s="19" t="n">
        <f aca="false">+F1922*0.03</f>
        <v>0</v>
      </c>
      <c r="F1922" s="33" t="n">
        <v>0</v>
      </c>
      <c r="G1922" s="62"/>
      <c r="H1922" s="35" t="n">
        <v>0</v>
      </c>
      <c r="I1922" s="34" t="n">
        <f aca="false">+IF(E1922=0,0,E1922*0.03)</f>
        <v>0</v>
      </c>
    </row>
    <row r="1923" customFormat="false" ht="15.75" hidden="false" customHeight="true" outlineLevel="0" collapsed="false">
      <c r="A1923" s="30" t="n">
        <v>45323</v>
      </c>
      <c r="B1923" s="31" t="s">
        <v>7</v>
      </c>
      <c r="C1923" s="32"/>
      <c r="D1923" s="32"/>
      <c r="E1923" s="19" t="n">
        <f aca="false">+F1923*0.03</f>
        <v>0</v>
      </c>
      <c r="F1923" s="33" t="n">
        <v>0</v>
      </c>
      <c r="G1923" s="62"/>
      <c r="H1923" s="35" t="n">
        <v>0</v>
      </c>
      <c r="I1923" s="34" t="n">
        <f aca="false">+IF(E1923=0,0,E1923*0.03)</f>
        <v>0</v>
      </c>
    </row>
    <row r="1924" customFormat="false" ht="15.75" hidden="false" customHeight="true" outlineLevel="0" collapsed="false">
      <c r="A1924" s="30" t="n">
        <v>45323</v>
      </c>
      <c r="B1924" s="31" t="s">
        <v>7</v>
      </c>
      <c r="C1924" s="32"/>
      <c r="D1924" s="32"/>
      <c r="E1924" s="19" t="n">
        <f aca="false">+F1924*0.03</f>
        <v>0</v>
      </c>
      <c r="F1924" s="33" t="n">
        <v>0</v>
      </c>
      <c r="G1924" s="62"/>
      <c r="H1924" s="35" t="n">
        <v>0</v>
      </c>
      <c r="I1924" s="34" t="n">
        <f aca="false">+IF(E1924=0,0,E1924*0.03)</f>
        <v>0</v>
      </c>
    </row>
    <row r="1925" customFormat="false" ht="15.75" hidden="false" customHeight="true" outlineLevel="0" collapsed="false">
      <c r="A1925" s="30" t="n">
        <v>45323</v>
      </c>
      <c r="B1925" s="31" t="s">
        <v>7</v>
      </c>
      <c r="C1925" s="32"/>
      <c r="D1925" s="32"/>
      <c r="E1925" s="19" t="n">
        <f aca="false">+F1925*0.03</f>
        <v>0</v>
      </c>
      <c r="F1925" s="33" t="n">
        <v>0</v>
      </c>
      <c r="G1925" s="62"/>
      <c r="H1925" s="35" t="n">
        <v>0</v>
      </c>
      <c r="I1925" s="34" t="n">
        <f aca="false">+IF(E1925=0,0,E1925*0.03)</f>
        <v>0</v>
      </c>
    </row>
    <row r="1926" customFormat="false" ht="15.75" hidden="false" customHeight="true" outlineLevel="0" collapsed="false">
      <c r="A1926" s="30" t="n">
        <v>45323</v>
      </c>
      <c r="B1926" s="31" t="s">
        <v>7</v>
      </c>
      <c r="C1926" s="32"/>
      <c r="D1926" s="32"/>
      <c r="E1926" s="19" t="n">
        <f aca="false">+F1926*0.03</f>
        <v>0</v>
      </c>
      <c r="F1926" s="33" t="n">
        <v>0</v>
      </c>
      <c r="G1926" s="62"/>
      <c r="H1926" s="35" t="n">
        <v>0</v>
      </c>
      <c r="I1926" s="34" t="n">
        <f aca="false">+IF(E1926=0,0,E1926*0.03)</f>
        <v>0</v>
      </c>
    </row>
    <row r="1927" customFormat="false" ht="15.75" hidden="false" customHeight="true" outlineLevel="0" collapsed="false">
      <c r="A1927" s="30" t="n">
        <v>45323</v>
      </c>
      <c r="B1927" s="31" t="s">
        <v>7</v>
      </c>
      <c r="C1927" s="32"/>
      <c r="D1927" s="32"/>
      <c r="E1927" s="19" t="n">
        <f aca="false">+F1927*0.03</f>
        <v>0</v>
      </c>
      <c r="F1927" s="33" t="n">
        <v>0</v>
      </c>
      <c r="G1927" s="62"/>
      <c r="H1927" s="35" t="n">
        <v>0</v>
      </c>
      <c r="I1927" s="34" t="n">
        <f aca="false">+IF(E1927=0,0,E1927*0.03)</f>
        <v>0</v>
      </c>
    </row>
    <row r="1928" customFormat="false" ht="15.75" hidden="false" customHeight="true" outlineLevel="0" collapsed="false">
      <c r="A1928" s="30" t="n">
        <v>45323</v>
      </c>
      <c r="B1928" s="31" t="s">
        <v>7</v>
      </c>
      <c r="C1928" s="32"/>
      <c r="D1928" s="32"/>
      <c r="E1928" s="19" t="n">
        <f aca="false">+F1928*0.03</f>
        <v>0</v>
      </c>
      <c r="F1928" s="33" t="n">
        <v>0</v>
      </c>
      <c r="G1928" s="62"/>
      <c r="H1928" s="35" t="n">
        <v>0</v>
      </c>
      <c r="I1928" s="34" t="n">
        <f aca="false">+IF(E1928=0,0,E1928*0.03)</f>
        <v>0</v>
      </c>
    </row>
    <row r="1929" customFormat="false" ht="15.75" hidden="false" customHeight="true" outlineLevel="0" collapsed="false">
      <c r="A1929" s="30" t="n">
        <v>45323</v>
      </c>
      <c r="B1929" s="31" t="s">
        <v>7</v>
      </c>
      <c r="C1929" s="32"/>
      <c r="D1929" s="32"/>
      <c r="E1929" s="19" t="n">
        <f aca="false">+F1929*0.03</f>
        <v>0</v>
      </c>
      <c r="F1929" s="33" t="n">
        <v>0</v>
      </c>
      <c r="G1929" s="62"/>
      <c r="H1929" s="35" t="n">
        <v>0</v>
      </c>
      <c r="I1929" s="34" t="n">
        <f aca="false">+IF(E1929=0,0,E1929*0.03)</f>
        <v>0</v>
      </c>
    </row>
    <row r="1930" customFormat="false" ht="15.75" hidden="false" customHeight="true" outlineLevel="0" collapsed="false">
      <c r="A1930" s="30" t="n">
        <v>45323</v>
      </c>
      <c r="B1930" s="31" t="s">
        <v>7</v>
      </c>
      <c r="C1930" s="32"/>
      <c r="D1930" s="32"/>
      <c r="E1930" s="19" t="n">
        <f aca="false">+F1930*0.03</f>
        <v>0</v>
      </c>
      <c r="F1930" s="33" t="n">
        <v>0</v>
      </c>
      <c r="G1930" s="62"/>
      <c r="H1930" s="35" t="n">
        <v>0</v>
      </c>
      <c r="I1930" s="34" t="n">
        <f aca="false">+IF(E1930=0,0,E1930*0.03)</f>
        <v>0</v>
      </c>
    </row>
    <row r="1931" customFormat="false" ht="15.75" hidden="false" customHeight="true" outlineLevel="0" collapsed="false">
      <c r="A1931" s="30" t="n">
        <v>45323</v>
      </c>
      <c r="B1931" s="31" t="s">
        <v>7</v>
      </c>
      <c r="C1931" s="32"/>
      <c r="D1931" s="32"/>
      <c r="E1931" s="19" t="n">
        <f aca="false">+F1931*0.03</f>
        <v>0</v>
      </c>
      <c r="F1931" s="33" t="n">
        <v>0</v>
      </c>
      <c r="G1931" s="62"/>
      <c r="H1931" s="35" t="n">
        <v>0</v>
      </c>
      <c r="I1931" s="34" t="n">
        <f aca="false">+IF(E1931=0,0,E1931*0.03)</f>
        <v>0</v>
      </c>
    </row>
    <row r="1932" customFormat="false" ht="15.75" hidden="false" customHeight="true" outlineLevel="0" collapsed="false">
      <c r="A1932" s="30" t="n">
        <v>45323</v>
      </c>
      <c r="B1932" s="31" t="s">
        <v>7</v>
      </c>
      <c r="C1932" s="32"/>
      <c r="D1932" s="32"/>
      <c r="E1932" s="19" t="n">
        <f aca="false">+F1932*0.03</f>
        <v>0</v>
      </c>
      <c r="F1932" s="33" t="n">
        <v>0</v>
      </c>
      <c r="G1932" s="62"/>
      <c r="H1932" s="35" t="n">
        <v>0</v>
      </c>
      <c r="I1932" s="34" t="n">
        <f aca="false">+IF(E1932=0,0,E1932*0.03)</f>
        <v>0</v>
      </c>
    </row>
    <row r="1933" customFormat="false" ht="15.75" hidden="false" customHeight="true" outlineLevel="0" collapsed="false">
      <c r="A1933" s="30" t="n">
        <v>45323</v>
      </c>
      <c r="B1933" s="31" t="s">
        <v>7</v>
      </c>
      <c r="C1933" s="32"/>
      <c r="D1933" s="32"/>
      <c r="E1933" s="19" t="n">
        <f aca="false">+F1933*0.03</f>
        <v>0</v>
      </c>
      <c r="F1933" s="33" t="n">
        <v>0</v>
      </c>
      <c r="G1933" s="62"/>
      <c r="H1933" s="35" t="n">
        <v>0</v>
      </c>
      <c r="I1933" s="34" t="n">
        <f aca="false">+IF(E1933=0,0,E1933*0.03)</f>
        <v>0</v>
      </c>
    </row>
    <row r="1934" customFormat="false" ht="15.75" hidden="false" customHeight="true" outlineLevel="0" collapsed="false">
      <c r="A1934" s="30" t="n">
        <v>45323</v>
      </c>
      <c r="B1934" s="31" t="s">
        <v>7</v>
      </c>
      <c r="C1934" s="32"/>
      <c r="D1934" s="32"/>
      <c r="E1934" s="19" t="n">
        <f aca="false">+F1934*0.03</f>
        <v>0</v>
      </c>
      <c r="F1934" s="33" t="n">
        <v>0</v>
      </c>
      <c r="G1934" s="62"/>
      <c r="H1934" s="35" t="n">
        <v>0</v>
      </c>
      <c r="I1934" s="34" t="n">
        <f aca="false">+IF(E1934=0,0,E1934*0.03)</f>
        <v>0</v>
      </c>
    </row>
    <row r="1935" customFormat="false" ht="15.75" hidden="false" customHeight="true" outlineLevel="0" collapsed="false">
      <c r="A1935" s="30" t="n">
        <v>45323</v>
      </c>
      <c r="B1935" s="31" t="s">
        <v>7</v>
      </c>
      <c r="C1935" s="32"/>
      <c r="D1935" s="32"/>
      <c r="E1935" s="19" t="n">
        <f aca="false">+F1935*0.03</f>
        <v>0</v>
      </c>
      <c r="F1935" s="33" t="n">
        <v>0</v>
      </c>
      <c r="G1935" s="62"/>
      <c r="H1935" s="35" t="n">
        <v>0</v>
      </c>
      <c r="I1935" s="34" t="n">
        <f aca="false">+IF(E1935=0,0,E1935*0.03)</f>
        <v>0</v>
      </c>
    </row>
    <row r="1936" customFormat="false" ht="15.75" hidden="false" customHeight="true" outlineLevel="0" collapsed="false">
      <c r="A1936" s="30" t="n">
        <v>45323</v>
      </c>
      <c r="B1936" s="31" t="s">
        <v>7</v>
      </c>
      <c r="C1936" s="32"/>
      <c r="D1936" s="32"/>
      <c r="E1936" s="19" t="n">
        <f aca="false">+F1936*0.03</f>
        <v>0</v>
      </c>
      <c r="F1936" s="33" t="n">
        <v>0</v>
      </c>
      <c r="G1936" s="62"/>
      <c r="H1936" s="35" t="n">
        <v>0</v>
      </c>
      <c r="I1936" s="34" t="n">
        <f aca="false">+IF(E1936=0,0,E1936*0.03)</f>
        <v>0</v>
      </c>
    </row>
    <row r="1937" customFormat="false" ht="15.75" hidden="false" customHeight="true" outlineLevel="0" collapsed="false">
      <c r="A1937" s="30" t="n">
        <v>45323</v>
      </c>
      <c r="B1937" s="31" t="s">
        <v>7</v>
      </c>
      <c r="C1937" s="32"/>
      <c r="D1937" s="32"/>
      <c r="E1937" s="19" t="n">
        <f aca="false">+F1937*0.03</f>
        <v>0</v>
      </c>
      <c r="F1937" s="33" t="n">
        <v>0</v>
      </c>
      <c r="G1937" s="62"/>
      <c r="H1937" s="35" t="n">
        <v>0</v>
      </c>
      <c r="I1937" s="34" t="n">
        <f aca="false">+IF(E1937=0,0,E1937*0.03)</f>
        <v>0</v>
      </c>
    </row>
    <row r="1938" customFormat="false" ht="15.75" hidden="false" customHeight="true" outlineLevel="0" collapsed="false">
      <c r="A1938" s="30" t="n">
        <v>45323</v>
      </c>
      <c r="B1938" s="31" t="s">
        <v>7</v>
      </c>
      <c r="C1938" s="32"/>
      <c r="D1938" s="32"/>
      <c r="E1938" s="19" t="n">
        <f aca="false">+F1938*0.03</f>
        <v>0</v>
      </c>
      <c r="F1938" s="33" t="n">
        <v>0</v>
      </c>
      <c r="G1938" s="62"/>
      <c r="H1938" s="35" t="n">
        <v>0</v>
      </c>
      <c r="I1938" s="34" t="n">
        <f aca="false">+IF(E1938=0,0,E1938*0.03)</f>
        <v>0</v>
      </c>
    </row>
    <row r="1939" customFormat="false" ht="15.75" hidden="false" customHeight="true" outlineLevel="0" collapsed="false">
      <c r="A1939" s="30" t="n">
        <v>45323</v>
      </c>
      <c r="B1939" s="31" t="s">
        <v>7</v>
      </c>
      <c r="C1939" s="32"/>
      <c r="D1939" s="32"/>
      <c r="E1939" s="19" t="n">
        <f aca="false">+F1939*0.03</f>
        <v>0</v>
      </c>
      <c r="F1939" s="33" t="n">
        <v>0</v>
      </c>
      <c r="G1939" s="62"/>
      <c r="H1939" s="35" t="n">
        <v>0</v>
      </c>
      <c r="I1939" s="34" t="n">
        <f aca="false">+IF(E1939=0,0,E1939*0.03)</f>
        <v>0</v>
      </c>
    </row>
    <row r="1940" customFormat="false" ht="15.75" hidden="false" customHeight="true" outlineLevel="0" collapsed="false">
      <c r="A1940" s="30" t="n">
        <v>45323</v>
      </c>
      <c r="B1940" s="31" t="s">
        <v>7</v>
      </c>
      <c r="C1940" s="32"/>
      <c r="D1940" s="32"/>
      <c r="E1940" s="19" t="n">
        <f aca="false">+F1940*0.03</f>
        <v>0</v>
      </c>
      <c r="F1940" s="33" t="n">
        <v>0</v>
      </c>
      <c r="G1940" s="62"/>
      <c r="H1940" s="35" t="n">
        <v>0</v>
      </c>
      <c r="I1940" s="34" t="n">
        <f aca="false">+IF(E1940=0,0,E1940*0.03)</f>
        <v>0</v>
      </c>
    </row>
    <row r="1941" customFormat="false" ht="15.75" hidden="false" customHeight="true" outlineLevel="0" collapsed="false">
      <c r="A1941" s="30" t="n">
        <v>45323</v>
      </c>
      <c r="B1941" s="31" t="s">
        <v>7</v>
      </c>
      <c r="C1941" s="32"/>
      <c r="D1941" s="32"/>
      <c r="E1941" s="19" t="n">
        <f aca="false">+F1941*0.03</f>
        <v>0</v>
      </c>
      <c r="F1941" s="33" t="n">
        <v>0</v>
      </c>
      <c r="G1941" s="62"/>
      <c r="H1941" s="35" t="n">
        <v>0</v>
      </c>
      <c r="I1941" s="34" t="n">
        <f aca="false">+IF(E1941=0,0,E1941*0.03)</f>
        <v>0</v>
      </c>
    </row>
    <row r="1942" customFormat="false" ht="15.75" hidden="false" customHeight="true" outlineLevel="0" collapsed="false">
      <c r="A1942" s="30" t="n">
        <v>45323</v>
      </c>
      <c r="B1942" s="31" t="s">
        <v>7</v>
      </c>
      <c r="C1942" s="32"/>
      <c r="D1942" s="32"/>
      <c r="E1942" s="19" t="n">
        <f aca="false">+F1942*0.03</f>
        <v>0</v>
      </c>
      <c r="F1942" s="33" t="n">
        <v>0</v>
      </c>
      <c r="G1942" s="62"/>
      <c r="H1942" s="35" t="n">
        <v>0</v>
      </c>
      <c r="I1942" s="34" t="n">
        <f aca="false">+IF(E1942=0,0,E1942*0.03)</f>
        <v>0</v>
      </c>
    </row>
    <row r="1943" customFormat="false" ht="15.75" hidden="false" customHeight="true" outlineLevel="0" collapsed="false">
      <c r="A1943" s="30" t="n">
        <v>45323</v>
      </c>
      <c r="B1943" s="31" t="s">
        <v>7</v>
      </c>
      <c r="C1943" s="32"/>
      <c r="D1943" s="32"/>
      <c r="E1943" s="19" t="n">
        <f aca="false">+F1943*0.03</f>
        <v>0</v>
      </c>
      <c r="F1943" s="33" t="n">
        <v>0</v>
      </c>
      <c r="G1943" s="62"/>
      <c r="H1943" s="35" t="n">
        <v>0</v>
      </c>
      <c r="I1943" s="34" t="n">
        <f aca="false">+IF(E1943=0,0,E1943*0.03)</f>
        <v>0</v>
      </c>
    </row>
    <row r="1944" customFormat="false" ht="15.75" hidden="false" customHeight="true" outlineLevel="0" collapsed="false">
      <c r="A1944" s="30" t="n">
        <v>45323</v>
      </c>
      <c r="B1944" s="31" t="s">
        <v>7</v>
      </c>
      <c r="C1944" s="32"/>
      <c r="D1944" s="32"/>
      <c r="E1944" s="19" t="n">
        <f aca="false">+F1944*0.03</f>
        <v>0</v>
      </c>
      <c r="F1944" s="33" t="n">
        <v>0</v>
      </c>
      <c r="G1944" s="62"/>
      <c r="H1944" s="35" t="n">
        <v>0</v>
      </c>
      <c r="I1944" s="34" t="n">
        <f aca="false">+IF(E1944=0,0,E1944*0.03)</f>
        <v>0</v>
      </c>
    </row>
    <row r="1945" customFormat="false" ht="15.75" hidden="false" customHeight="true" outlineLevel="0" collapsed="false">
      <c r="A1945" s="30" t="n">
        <v>45323</v>
      </c>
      <c r="B1945" s="31" t="s">
        <v>7</v>
      </c>
      <c r="C1945" s="32"/>
      <c r="D1945" s="32"/>
      <c r="E1945" s="19" t="n">
        <f aca="false">+F1945*0.03</f>
        <v>0</v>
      </c>
      <c r="F1945" s="33" t="n">
        <v>0</v>
      </c>
      <c r="G1945" s="62"/>
      <c r="H1945" s="35" t="n">
        <v>0</v>
      </c>
      <c r="I1945" s="34" t="n">
        <f aca="false">+IF(E1945=0,0,E1945*0.03)</f>
        <v>0</v>
      </c>
    </row>
    <row r="1946" customFormat="false" ht="15.75" hidden="false" customHeight="true" outlineLevel="0" collapsed="false">
      <c r="A1946" s="30" t="n">
        <v>45323</v>
      </c>
      <c r="B1946" s="31" t="s">
        <v>7</v>
      </c>
      <c r="C1946" s="32"/>
      <c r="D1946" s="32"/>
      <c r="E1946" s="19" t="n">
        <f aca="false">+F1946*0.03</f>
        <v>0</v>
      </c>
      <c r="F1946" s="33" t="n">
        <v>0</v>
      </c>
      <c r="G1946" s="62"/>
      <c r="H1946" s="35" t="n">
        <v>0</v>
      </c>
      <c r="I1946" s="34" t="n">
        <f aca="false">+IF(E1946=0,0,E1946*0.03)</f>
        <v>0</v>
      </c>
    </row>
    <row r="1947" customFormat="false" ht="15.75" hidden="false" customHeight="true" outlineLevel="0" collapsed="false">
      <c r="A1947" s="30" t="n">
        <v>45323</v>
      </c>
      <c r="B1947" s="31" t="s">
        <v>7</v>
      </c>
      <c r="C1947" s="32"/>
      <c r="D1947" s="32"/>
      <c r="E1947" s="19" t="n">
        <f aca="false">+F1947*0.03</f>
        <v>0</v>
      </c>
      <c r="F1947" s="33" t="n">
        <v>0</v>
      </c>
      <c r="G1947" s="62"/>
      <c r="H1947" s="35" t="n">
        <v>0</v>
      </c>
      <c r="I1947" s="34" t="n">
        <f aca="false">+IF(E1947=0,0,E1947*0.03)</f>
        <v>0</v>
      </c>
    </row>
    <row r="1948" customFormat="false" ht="15.75" hidden="false" customHeight="true" outlineLevel="0" collapsed="false">
      <c r="A1948" s="30" t="n">
        <v>45323</v>
      </c>
      <c r="B1948" s="31" t="s">
        <v>7</v>
      </c>
      <c r="C1948" s="32"/>
      <c r="D1948" s="32"/>
      <c r="E1948" s="19" t="n">
        <f aca="false">+F1948*0.03</f>
        <v>0</v>
      </c>
      <c r="F1948" s="33" t="n">
        <v>0</v>
      </c>
      <c r="G1948" s="62"/>
      <c r="H1948" s="35" t="n">
        <v>0</v>
      </c>
      <c r="I1948" s="34" t="n">
        <f aca="false">+IF(E1948=0,0,E1948*0.03)</f>
        <v>0</v>
      </c>
    </row>
    <row r="1949" customFormat="false" ht="15.75" hidden="false" customHeight="true" outlineLevel="0" collapsed="false">
      <c r="A1949" s="30" t="n">
        <v>45323</v>
      </c>
      <c r="B1949" s="31" t="s">
        <v>7</v>
      </c>
      <c r="C1949" s="32"/>
      <c r="D1949" s="32"/>
      <c r="E1949" s="19" t="n">
        <f aca="false">+F1949*0.03</f>
        <v>0</v>
      </c>
      <c r="F1949" s="33" t="n">
        <v>0</v>
      </c>
      <c r="G1949" s="62"/>
      <c r="H1949" s="35" t="n">
        <v>0</v>
      </c>
      <c r="I1949" s="34" t="n">
        <f aca="false">+IF(E1949=0,0,E1949*0.03)</f>
        <v>0</v>
      </c>
    </row>
    <row r="1950" customFormat="false" ht="15.75" hidden="false" customHeight="true" outlineLevel="0" collapsed="false">
      <c r="A1950" s="30" t="n">
        <v>45323</v>
      </c>
      <c r="B1950" s="31" t="s">
        <v>7</v>
      </c>
      <c r="C1950" s="32"/>
      <c r="D1950" s="32"/>
      <c r="E1950" s="19" t="n">
        <f aca="false">+F1950*0.03</f>
        <v>0</v>
      </c>
      <c r="F1950" s="33" t="n">
        <v>0</v>
      </c>
      <c r="G1950" s="62"/>
      <c r="H1950" s="35" t="n">
        <v>0</v>
      </c>
      <c r="I1950" s="34" t="n">
        <f aca="false">+IF(E1950=0,0,E1950*0.03)</f>
        <v>0</v>
      </c>
    </row>
    <row r="1951" customFormat="false" ht="15.75" hidden="false" customHeight="true" outlineLevel="0" collapsed="false">
      <c r="A1951" s="30" t="n">
        <v>45323</v>
      </c>
      <c r="B1951" s="31" t="s">
        <v>7</v>
      </c>
      <c r="C1951" s="32"/>
      <c r="D1951" s="32"/>
      <c r="E1951" s="19" t="n">
        <f aca="false">+F1951*0.03</f>
        <v>0</v>
      </c>
      <c r="F1951" s="33" t="n">
        <v>0</v>
      </c>
      <c r="G1951" s="62"/>
      <c r="H1951" s="35" t="n">
        <v>0</v>
      </c>
      <c r="I1951" s="34" t="n">
        <f aca="false">+IF(E1951=0,0,E1951*0.03)</f>
        <v>0</v>
      </c>
    </row>
    <row r="1952" customFormat="false" ht="15.75" hidden="false" customHeight="true" outlineLevel="0" collapsed="false">
      <c r="A1952" s="30" t="n">
        <v>45323</v>
      </c>
      <c r="B1952" s="31" t="s">
        <v>7</v>
      </c>
      <c r="C1952" s="32"/>
      <c r="D1952" s="32"/>
      <c r="E1952" s="19" t="n">
        <f aca="false">+F1952*0.03</f>
        <v>0</v>
      </c>
      <c r="F1952" s="33" t="n">
        <v>0</v>
      </c>
      <c r="G1952" s="62"/>
      <c r="H1952" s="35" t="n">
        <v>0</v>
      </c>
      <c r="I1952" s="34" t="n">
        <f aca="false">+IF(E1952=0,0,E1952*0.03)</f>
        <v>0</v>
      </c>
    </row>
    <row r="1953" customFormat="false" ht="15.75" hidden="false" customHeight="true" outlineLevel="0" collapsed="false">
      <c r="A1953" s="30" t="n">
        <v>45323</v>
      </c>
      <c r="B1953" s="31" t="s">
        <v>7</v>
      </c>
      <c r="C1953" s="32"/>
      <c r="D1953" s="32"/>
      <c r="E1953" s="19" t="n">
        <f aca="false">+F1953*0.03</f>
        <v>0</v>
      </c>
      <c r="F1953" s="33" t="n">
        <v>0</v>
      </c>
      <c r="G1953" s="62"/>
      <c r="H1953" s="35" t="n">
        <v>0</v>
      </c>
      <c r="I1953" s="34" t="n">
        <f aca="false">+IF(E1953=0,0,E1953*0.03)</f>
        <v>0</v>
      </c>
    </row>
    <row r="1954" customFormat="false" ht="15.75" hidden="false" customHeight="true" outlineLevel="0" collapsed="false">
      <c r="A1954" s="30" t="n">
        <v>45323</v>
      </c>
      <c r="B1954" s="31" t="s">
        <v>7</v>
      </c>
      <c r="C1954" s="32"/>
      <c r="D1954" s="32"/>
      <c r="E1954" s="19" t="n">
        <f aca="false">+F1954*0.03</f>
        <v>0</v>
      </c>
      <c r="F1954" s="33" t="n">
        <v>0</v>
      </c>
      <c r="G1954" s="62"/>
      <c r="H1954" s="35" t="n">
        <v>0</v>
      </c>
      <c r="I1954" s="34" t="n">
        <f aca="false">+IF(E1954=0,0,E1954*0.03)</f>
        <v>0</v>
      </c>
    </row>
    <row r="1955" customFormat="false" ht="15.75" hidden="false" customHeight="true" outlineLevel="0" collapsed="false">
      <c r="A1955" s="30" t="n">
        <v>45323</v>
      </c>
      <c r="B1955" s="31" t="s">
        <v>7</v>
      </c>
      <c r="C1955" s="32"/>
      <c r="D1955" s="32"/>
      <c r="E1955" s="19" t="n">
        <f aca="false">+F1955*0.03</f>
        <v>0</v>
      </c>
      <c r="F1955" s="33" t="n">
        <v>0</v>
      </c>
      <c r="G1955" s="62"/>
      <c r="H1955" s="35" t="n">
        <v>0</v>
      </c>
      <c r="I1955" s="34" t="n">
        <f aca="false">+IF(E1955=0,0,E1955*0.03)</f>
        <v>0</v>
      </c>
    </row>
    <row r="1956" customFormat="false" ht="15.75" hidden="false" customHeight="true" outlineLevel="0" collapsed="false">
      <c r="A1956" s="30" t="n">
        <v>45323</v>
      </c>
      <c r="B1956" s="31" t="s">
        <v>7</v>
      </c>
      <c r="C1956" s="32"/>
      <c r="D1956" s="32"/>
      <c r="E1956" s="19" t="n">
        <f aca="false">+F1956*0.03</f>
        <v>0</v>
      </c>
      <c r="F1956" s="33" t="n">
        <v>0</v>
      </c>
      <c r="G1956" s="62"/>
      <c r="H1956" s="35" t="n">
        <v>0</v>
      </c>
      <c r="I1956" s="34" t="n">
        <f aca="false">+IF(E1956=0,0,E1956*0.03)</f>
        <v>0</v>
      </c>
    </row>
    <row r="1957" customFormat="false" ht="15.75" hidden="false" customHeight="true" outlineLevel="0" collapsed="false">
      <c r="A1957" s="30" t="n">
        <v>45323</v>
      </c>
      <c r="B1957" s="31" t="s">
        <v>7</v>
      </c>
      <c r="C1957" s="32"/>
      <c r="D1957" s="32"/>
      <c r="E1957" s="19" t="n">
        <f aca="false">+F1957*0.03</f>
        <v>0</v>
      </c>
      <c r="F1957" s="33" t="n">
        <v>0</v>
      </c>
      <c r="G1957" s="62"/>
      <c r="H1957" s="35" t="n">
        <v>0</v>
      </c>
      <c r="I1957" s="34" t="n">
        <f aca="false">+IF(E1957=0,0,E1957*0.03)</f>
        <v>0</v>
      </c>
    </row>
    <row r="1958" customFormat="false" ht="15.75" hidden="false" customHeight="true" outlineLevel="0" collapsed="false">
      <c r="A1958" s="30" t="n">
        <v>45323</v>
      </c>
      <c r="B1958" s="31" t="s">
        <v>7</v>
      </c>
      <c r="C1958" s="32"/>
      <c r="D1958" s="32"/>
      <c r="E1958" s="19" t="n">
        <f aca="false">+F1958*0.03</f>
        <v>0</v>
      </c>
      <c r="F1958" s="33" t="n">
        <v>0</v>
      </c>
      <c r="G1958" s="62"/>
      <c r="H1958" s="35" t="n">
        <v>0</v>
      </c>
      <c r="I1958" s="34" t="n">
        <f aca="false">+IF(E1958=0,0,E1958*0.03)</f>
        <v>0</v>
      </c>
    </row>
    <row r="1959" customFormat="false" ht="15.75" hidden="false" customHeight="true" outlineLevel="0" collapsed="false">
      <c r="A1959" s="30" t="n">
        <v>45323</v>
      </c>
      <c r="B1959" s="31" t="s">
        <v>7</v>
      </c>
      <c r="C1959" s="32"/>
      <c r="D1959" s="32"/>
      <c r="E1959" s="19" t="n">
        <f aca="false">+F1959*0.03</f>
        <v>0</v>
      </c>
      <c r="F1959" s="33" t="n">
        <v>0</v>
      </c>
      <c r="G1959" s="62"/>
      <c r="H1959" s="35" t="n">
        <v>0</v>
      </c>
      <c r="I1959" s="34" t="n">
        <f aca="false">+IF(E1959=0,0,E1959*0.03)</f>
        <v>0</v>
      </c>
    </row>
    <row r="1960" customFormat="false" ht="15.75" hidden="false" customHeight="true" outlineLevel="0" collapsed="false">
      <c r="A1960" s="30" t="n">
        <v>45323</v>
      </c>
      <c r="B1960" s="31" t="s">
        <v>7</v>
      </c>
      <c r="C1960" s="32"/>
      <c r="D1960" s="32"/>
      <c r="E1960" s="19" t="n">
        <f aca="false">+F1960*0.03</f>
        <v>0</v>
      </c>
      <c r="F1960" s="33" t="n">
        <v>0</v>
      </c>
      <c r="G1960" s="62"/>
      <c r="H1960" s="35" t="n">
        <v>0</v>
      </c>
      <c r="I1960" s="34" t="n">
        <f aca="false">+IF(E1960=0,0,E1960*0.03)</f>
        <v>0</v>
      </c>
    </row>
    <row r="1961" customFormat="false" ht="15.75" hidden="false" customHeight="true" outlineLevel="0" collapsed="false">
      <c r="A1961" s="30" t="n">
        <v>45323</v>
      </c>
      <c r="B1961" s="31" t="s">
        <v>7</v>
      </c>
      <c r="C1961" s="32"/>
      <c r="D1961" s="32"/>
      <c r="E1961" s="19" t="n">
        <f aca="false">+F1961*0.03</f>
        <v>0</v>
      </c>
      <c r="F1961" s="33" t="n">
        <v>0</v>
      </c>
      <c r="G1961" s="62"/>
      <c r="H1961" s="35" t="n">
        <v>0</v>
      </c>
      <c r="I1961" s="34" t="n">
        <f aca="false">+IF(E1961=0,0,E1961*0.03)</f>
        <v>0</v>
      </c>
    </row>
    <row r="1962" customFormat="false" ht="15.75" hidden="false" customHeight="true" outlineLevel="0" collapsed="false">
      <c r="A1962" s="30" t="n">
        <v>45323</v>
      </c>
      <c r="B1962" s="31" t="s">
        <v>7</v>
      </c>
      <c r="C1962" s="32"/>
      <c r="D1962" s="32"/>
      <c r="E1962" s="19" t="n">
        <f aca="false">+F1962*0.03</f>
        <v>0</v>
      </c>
      <c r="F1962" s="33" t="n">
        <v>0</v>
      </c>
      <c r="G1962" s="62"/>
      <c r="H1962" s="35" t="n">
        <v>0</v>
      </c>
      <c r="I1962" s="34" t="n">
        <f aca="false">+IF(E1962=0,0,E1962*0.03)</f>
        <v>0</v>
      </c>
    </row>
    <row r="1963" customFormat="false" ht="15.75" hidden="false" customHeight="true" outlineLevel="0" collapsed="false">
      <c r="A1963" s="30" t="n">
        <v>45323</v>
      </c>
      <c r="B1963" s="31" t="s">
        <v>7</v>
      </c>
      <c r="C1963" s="32"/>
      <c r="D1963" s="32"/>
      <c r="E1963" s="19" t="n">
        <f aca="false">+F1963*0.03</f>
        <v>0</v>
      </c>
      <c r="F1963" s="33" t="n">
        <v>0</v>
      </c>
      <c r="G1963" s="62"/>
      <c r="H1963" s="35" t="n">
        <v>0</v>
      </c>
      <c r="I1963" s="34" t="n">
        <f aca="false">+IF(E1963=0,0,E1963*0.03)</f>
        <v>0</v>
      </c>
    </row>
    <row r="1964" customFormat="false" ht="15.75" hidden="false" customHeight="true" outlineLevel="0" collapsed="false">
      <c r="A1964" s="30" t="n">
        <v>45323</v>
      </c>
      <c r="B1964" s="31" t="s">
        <v>7</v>
      </c>
      <c r="C1964" s="32"/>
      <c r="D1964" s="32"/>
      <c r="E1964" s="19" t="n">
        <f aca="false">+F1964*0.03</f>
        <v>0</v>
      </c>
      <c r="F1964" s="33" t="n">
        <v>0</v>
      </c>
      <c r="G1964" s="62"/>
      <c r="H1964" s="35" t="n">
        <v>0</v>
      </c>
      <c r="I1964" s="34" t="n">
        <f aca="false">+IF(E1964=0,0,E1964*0.03)</f>
        <v>0</v>
      </c>
    </row>
    <row r="1965" customFormat="false" ht="15.75" hidden="false" customHeight="true" outlineLevel="0" collapsed="false">
      <c r="A1965" s="30" t="n">
        <v>45323</v>
      </c>
      <c r="B1965" s="31" t="s">
        <v>7</v>
      </c>
      <c r="C1965" s="32"/>
      <c r="D1965" s="32"/>
      <c r="E1965" s="19" t="n">
        <f aca="false">+F1965*0.03</f>
        <v>0</v>
      </c>
      <c r="F1965" s="33" t="n">
        <v>0</v>
      </c>
      <c r="G1965" s="62"/>
      <c r="H1965" s="35" t="n">
        <v>0</v>
      </c>
      <c r="I1965" s="34" t="n">
        <f aca="false">+IF(E1965=0,0,E1965*0.03)</f>
        <v>0</v>
      </c>
    </row>
    <row r="1966" customFormat="false" ht="15.75" hidden="false" customHeight="true" outlineLevel="0" collapsed="false">
      <c r="A1966" s="30" t="n">
        <v>45323</v>
      </c>
      <c r="B1966" s="31" t="s">
        <v>7</v>
      </c>
      <c r="C1966" s="32"/>
      <c r="D1966" s="32"/>
      <c r="E1966" s="19" t="n">
        <f aca="false">+F1966*0.03</f>
        <v>0</v>
      </c>
      <c r="F1966" s="33" t="n">
        <v>0</v>
      </c>
      <c r="G1966" s="62"/>
      <c r="H1966" s="35" t="n">
        <v>0</v>
      </c>
      <c r="I1966" s="34" t="n">
        <f aca="false">+IF(E1966=0,0,E1966*0.03)</f>
        <v>0</v>
      </c>
    </row>
    <row r="1967" customFormat="false" ht="15.75" hidden="false" customHeight="true" outlineLevel="0" collapsed="false">
      <c r="A1967" s="30" t="n">
        <v>45323</v>
      </c>
      <c r="B1967" s="31" t="s">
        <v>7</v>
      </c>
      <c r="C1967" s="32"/>
      <c r="D1967" s="32"/>
      <c r="E1967" s="19" t="n">
        <f aca="false">+F1967*0.03</f>
        <v>0</v>
      </c>
      <c r="F1967" s="33" t="n">
        <v>0</v>
      </c>
      <c r="G1967" s="62"/>
      <c r="H1967" s="35" t="n">
        <v>0</v>
      </c>
      <c r="I1967" s="34" t="n">
        <f aca="false">+IF(E1967=0,0,E1967*0.03)</f>
        <v>0</v>
      </c>
    </row>
    <row r="1968" customFormat="false" ht="15.75" hidden="false" customHeight="true" outlineLevel="0" collapsed="false">
      <c r="A1968" s="30" t="n">
        <v>45323</v>
      </c>
      <c r="B1968" s="31" t="s">
        <v>7</v>
      </c>
      <c r="C1968" s="32"/>
      <c r="D1968" s="32"/>
      <c r="E1968" s="19" t="n">
        <f aca="false">+F1968*0.03</f>
        <v>0</v>
      </c>
      <c r="F1968" s="33" t="n">
        <v>0</v>
      </c>
      <c r="G1968" s="62"/>
      <c r="H1968" s="35" t="n">
        <v>0</v>
      </c>
      <c r="I1968" s="34" t="n">
        <f aca="false">+IF(E1968=0,0,E1968*0.03)</f>
        <v>0</v>
      </c>
    </row>
    <row r="1969" customFormat="false" ht="15.75" hidden="false" customHeight="true" outlineLevel="0" collapsed="false">
      <c r="A1969" s="30" t="n">
        <v>45323</v>
      </c>
      <c r="B1969" s="31" t="s">
        <v>7</v>
      </c>
      <c r="C1969" s="32"/>
      <c r="D1969" s="32"/>
      <c r="E1969" s="19" t="n">
        <f aca="false">+F1969*0.03</f>
        <v>0</v>
      </c>
      <c r="F1969" s="33" t="n">
        <v>0</v>
      </c>
      <c r="G1969" s="62"/>
      <c r="H1969" s="35" t="n">
        <v>0</v>
      </c>
      <c r="I1969" s="34" t="n">
        <f aca="false">+IF(E1969=0,0,E1969*0.03)</f>
        <v>0</v>
      </c>
    </row>
    <row r="1970" customFormat="false" ht="15.75" hidden="false" customHeight="true" outlineLevel="0" collapsed="false">
      <c r="A1970" s="30" t="n">
        <v>45323</v>
      </c>
      <c r="B1970" s="31" t="s">
        <v>7</v>
      </c>
      <c r="C1970" s="32"/>
      <c r="D1970" s="32"/>
      <c r="E1970" s="19" t="n">
        <f aca="false">+F1970*0.03</f>
        <v>0</v>
      </c>
      <c r="F1970" s="33" t="n">
        <v>0</v>
      </c>
      <c r="G1970" s="62"/>
      <c r="H1970" s="35" t="n">
        <v>0</v>
      </c>
      <c r="I1970" s="34" t="n">
        <f aca="false">+IF(E1970=0,0,E1970*0.03)</f>
        <v>0</v>
      </c>
    </row>
    <row r="1971" customFormat="false" ht="15.75" hidden="false" customHeight="true" outlineLevel="0" collapsed="false">
      <c r="A1971" s="30" t="n">
        <v>45323</v>
      </c>
      <c r="B1971" s="31" t="s">
        <v>7</v>
      </c>
      <c r="C1971" s="32"/>
      <c r="D1971" s="32"/>
      <c r="E1971" s="19" t="n">
        <f aca="false">+F1971*0.03</f>
        <v>0</v>
      </c>
      <c r="F1971" s="33" t="n">
        <v>0</v>
      </c>
      <c r="G1971" s="62"/>
      <c r="H1971" s="35" t="n">
        <v>0</v>
      </c>
      <c r="I1971" s="34" t="n">
        <f aca="false">+IF(E1971=0,0,E1971*0.03)</f>
        <v>0</v>
      </c>
    </row>
    <row r="1972" customFormat="false" ht="15.75" hidden="false" customHeight="true" outlineLevel="0" collapsed="false">
      <c r="A1972" s="30" t="n">
        <v>45323</v>
      </c>
      <c r="B1972" s="31" t="s">
        <v>7</v>
      </c>
      <c r="C1972" s="32"/>
      <c r="D1972" s="32"/>
      <c r="E1972" s="19" t="n">
        <f aca="false">+F1972*0.03</f>
        <v>0</v>
      </c>
      <c r="F1972" s="33" t="n">
        <v>0</v>
      </c>
      <c r="G1972" s="62"/>
      <c r="H1972" s="35" t="n">
        <v>0</v>
      </c>
      <c r="I1972" s="34" t="n">
        <f aca="false">+IF(E1972=0,0,E1972*0.03)</f>
        <v>0</v>
      </c>
    </row>
    <row r="1973" customFormat="false" ht="15.75" hidden="false" customHeight="true" outlineLevel="0" collapsed="false">
      <c r="A1973" s="30" t="n">
        <v>45323</v>
      </c>
      <c r="B1973" s="31" t="s">
        <v>7</v>
      </c>
      <c r="C1973" s="32"/>
      <c r="D1973" s="32"/>
      <c r="E1973" s="19" t="n">
        <f aca="false">+F1973*0.03</f>
        <v>0</v>
      </c>
      <c r="F1973" s="33" t="n">
        <v>0</v>
      </c>
      <c r="G1973" s="62"/>
      <c r="H1973" s="35" t="n">
        <v>0</v>
      </c>
      <c r="I1973" s="34" t="n">
        <f aca="false">+IF(E1973=0,0,E1973*0.03)</f>
        <v>0</v>
      </c>
    </row>
    <row r="1974" customFormat="false" ht="15.75" hidden="false" customHeight="true" outlineLevel="0" collapsed="false">
      <c r="A1974" s="30" t="n">
        <v>45323</v>
      </c>
      <c r="B1974" s="31" t="s">
        <v>7</v>
      </c>
      <c r="C1974" s="32"/>
      <c r="D1974" s="32"/>
      <c r="E1974" s="19" t="n">
        <f aca="false">+F1974*0.03</f>
        <v>0</v>
      </c>
      <c r="F1974" s="33" t="n">
        <v>0</v>
      </c>
      <c r="G1974" s="62"/>
      <c r="H1974" s="35" t="n">
        <v>0</v>
      </c>
      <c r="I1974" s="34" t="n">
        <f aca="false">+IF(E1974=0,0,E1974*0.03)</f>
        <v>0</v>
      </c>
    </row>
    <row r="1975" customFormat="false" ht="15.75" hidden="false" customHeight="true" outlineLevel="0" collapsed="false">
      <c r="A1975" s="30" t="n">
        <v>45323</v>
      </c>
      <c r="B1975" s="31" t="s">
        <v>7</v>
      </c>
      <c r="C1975" s="32"/>
      <c r="D1975" s="32"/>
      <c r="E1975" s="19" t="n">
        <f aca="false">+F1975*0.03</f>
        <v>0</v>
      </c>
      <c r="F1975" s="33" t="n">
        <v>0</v>
      </c>
      <c r="G1975" s="62"/>
      <c r="H1975" s="35" t="n">
        <v>0</v>
      </c>
      <c r="I1975" s="34" t="n">
        <f aca="false">+IF(E1975=0,0,E1975*0.03)</f>
        <v>0</v>
      </c>
    </row>
    <row r="1976" customFormat="false" ht="15.75" hidden="false" customHeight="true" outlineLevel="0" collapsed="false">
      <c r="A1976" s="30" t="n">
        <v>45323</v>
      </c>
      <c r="B1976" s="31" t="s">
        <v>7</v>
      </c>
      <c r="C1976" s="32"/>
      <c r="D1976" s="32"/>
      <c r="E1976" s="19" t="n">
        <f aca="false">+F1976*0.03</f>
        <v>0</v>
      </c>
      <c r="F1976" s="33" t="n">
        <v>0</v>
      </c>
      <c r="G1976" s="62"/>
      <c r="H1976" s="35" t="n">
        <v>0</v>
      </c>
      <c r="I1976" s="34" t="n">
        <f aca="false">+IF(E1976=0,0,E1976*0.03)</f>
        <v>0</v>
      </c>
    </row>
    <row r="1977" customFormat="false" ht="15.75" hidden="false" customHeight="true" outlineLevel="0" collapsed="false">
      <c r="A1977" s="30" t="n">
        <v>45323</v>
      </c>
      <c r="B1977" s="31" t="s">
        <v>7</v>
      </c>
      <c r="C1977" s="32"/>
      <c r="D1977" s="32"/>
      <c r="E1977" s="19" t="n">
        <f aca="false">+F1977*0.03</f>
        <v>0</v>
      </c>
      <c r="F1977" s="33" t="n">
        <v>0</v>
      </c>
      <c r="G1977" s="62"/>
      <c r="H1977" s="35" t="n">
        <v>0</v>
      </c>
      <c r="I1977" s="34" t="n">
        <f aca="false">+IF(E1977=0,0,E1977*0.03)</f>
        <v>0</v>
      </c>
    </row>
    <row r="1978" customFormat="false" ht="15.75" hidden="false" customHeight="true" outlineLevel="0" collapsed="false">
      <c r="A1978" s="30" t="n">
        <v>45323</v>
      </c>
      <c r="B1978" s="31" t="s">
        <v>7</v>
      </c>
      <c r="C1978" s="32"/>
      <c r="D1978" s="32"/>
      <c r="E1978" s="19" t="n">
        <f aca="false">+F1978*0.03</f>
        <v>0</v>
      </c>
      <c r="F1978" s="33" t="n">
        <v>0</v>
      </c>
      <c r="G1978" s="62"/>
      <c r="H1978" s="35" t="n">
        <v>0</v>
      </c>
      <c r="I1978" s="34" t="n">
        <f aca="false">+IF(E1978=0,0,E1978*0.03)</f>
        <v>0</v>
      </c>
    </row>
    <row r="1979" customFormat="false" ht="15.75" hidden="false" customHeight="true" outlineLevel="0" collapsed="false">
      <c r="A1979" s="30" t="n">
        <v>45323</v>
      </c>
      <c r="B1979" s="31" t="s">
        <v>7</v>
      </c>
      <c r="C1979" s="32"/>
      <c r="D1979" s="32"/>
      <c r="E1979" s="19" t="n">
        <f aca="false">+F1979*0.03</f>
        <v>0</v>
      </c>
      <c r="F1979" s="33" t="n">
        <v>0</v>
      </c>
      <c r="G1979" s="62"/>
      <c r="H1979" s="35" t="n">
        <v>0</v>
      </c>
      <c r="I1979" s="34" t="n">
        <f aca="false">+IF(E1979=0,0,E1979*0.03)</f>
        <v>0</v>
      </c>
    </row>
    <row r="1980" customFormat="false" ht="15.75" hidden="false" customHeight="true" outlineLevel="0" collapsed="false">
      <c r="A1980" s="30" t="n">
        <v>45323</v>
      </c>
      <c r="B1980" s="31" t="s">
        <v>7</v>
      </c>
      <c r="C1980" s="32"/>
      <c r="D1980" s="32"/>
      <c r="E1980" s="19" t="n">
        <f aca="false">+F1980*0.03</f>
        <v>0</v>
      </c>
      <c r="F1980" s="33" t="n">
        <v>0</v>
      </c>
      <c r="G1980" s="62"/>
      <c r="H1980" s="35" t="n">
        <v>0</v>
      </c>
      <c r="I1980" s="34" t="n">
        <f aca="false">+IF(E1980=0,0,E1980*0.03)</f>
        <v>0</v>
      </c>
    </row>
    <row r="1981" customFormat="false" ht="15.75" hidden="false" customHeight="true" outlineLevel="0" collapsed="false">
      <c r="A1981" s="30" t="n">
        <v>45323</v>
      </c>
      <c r="B1981" s="31" t="s">
        <v>7</v>
      </c>
      <c r="C1981" s="32"/>
      <c r="D1981" s="32"/>
      <c r="E1981" s="19" t="n">
        <f aca="false">+F1981*0.03</f>
        <v>0</v>
      </c>
      <c r="F1981" s="33" t="n">
        <v>0</v>
      </c>
      <c r="G1981" s="62"/>
      <c r="H1981" s="35" t="n">
        <v>0</v>
      </c>
      <c r="I1981" s="34" t="n">
        <f aca="false">+IF(E1981=0,0,E1981*0.03)</f>
        <v>0</v>
      </c>
    </row>
    <row r="1982" customFormat="false" ht="15.75" hidden="false" customHeight="true" outlineLevel="0" collapsed="false">
      <c r="B1982" s="31"/>
      <c r="C1982" s="32"/>
      <c r="D1982" s="32" t="s">
        <v>26</v>
      </c>
      <c r="E1982" s="19" t="n">
        <f aca="false">SUM(E7:E1981)</f>
        <v>154200</v>
      </c>
      <c r="F1982" s="19" t="n">
        <f aca="false">SUM(F7:F1981)</f>
        <v>5140000</v>
      </c>
      <c r="G1982" s="19"/>
      <c r="H1982" s="37" t="n">
        <f aca="false">SUM(H7:H1981)</f>
        <v>0</v>
      </c>
      <c r="I1982" s="38" t="n">
        <f aca="false">SUM(I7:I1981)</f>
        <v>4626</v>
      </c>
    </row>
    <row r="1983" customFormat="false" ht="15.75" hidden="false" customHeight="true" outlineLevel="0" collapsed="false">
      <c r="D1983" s="31"/>
    </row>
    <row r="1984" customFormat="false" ht="15.75" hidden="false" customHeight="true" outlineLevel="0" collapsed="false">
      <c r="D1984" s="31"/>
    </row>
    <row r="1985" customFormat="false" ht="15.75" hidden="false" customHeight="true" outlineLevel="0" collapsed="false">
      <c r="D1985" s="31"/>
    </row>
    <row r="1986" customFormat="false" ht="15.75" hidden="false" customHeight="true" outlineLevel="0" collapsed="false">
      <c r="D1986" s="31"/>
    </row>
    <row r="1987" customFormat="false" ht="15.75" hidden="false" customHeight="true" outlineLevel="0" collapsed="false">
      <c r="D1987" s="31"/>
    </row>
    <row r="1988" customFormat="false" ht="15.75" hidden="false" customHeight="true" outlineLevel="0" collapsed="false">
      <c r="D1988" s="31"/>
      <c r="P1988" s="36"/>
    </row>
    <row r="1989" customFormat="false" ht="15.75" hidden="false" customHeight="true" outlineLevel="0" collapsed="false">
      <c r="D1989" s="31"/>
    </row>
    <row r="1990" customFormat="false" ht="15.75" hidden="false" customHeight="true" outlineLevel="0" collapsed="false">
      <c r="D1990" s="31"/>
      <c r="O1990" s="36"/>
      <c r="P1990" s="36"/>
    </row>
  </sheetData>
  <mergeCells count="4">
    <mergeCell ref="A1:A5"/>
    <mergeCell ref="H1:I1"/>
    <mergeCell ref="H2:I2"/>
    <mergeCell ref="C5:I5"/>
  </mergeCells>
  <dataValidations count="2">
    <dataValidation allowBlank="true" errorStyle="stop" operator="between" showDropDown="false" showErrorMessage="true" showInputMessage="false" sqref="G7:G1981" type="list">
      <formula1>$G$2:$G$4</formula1>
      <formula2>0</formula2>
    </dataValidation>
    <dataValidation allowBlank="true" errorStyle="stop" operator="between" showDropDown="false" showErrorMessage="true" showInputMessage="false" sqref="B7:B1982" type="list">
      <formula1>$B$1:$B$4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4.4296875" defaultRowHeight="15" zeroHeight="false" outlineLevelRow="0" outlineLevelCol="0"/>
  <cols>
    <col collapsed="false" customWidth="true" hidden="false" outlineLevel="0" max="2" min="2" style="0" width="19.86"/>
    <col collapsed="false" customWidth="true" hidden="false" outlineLevel="0" max="3" min="3" style="0" width="17.14"/>
    <col collapsed="false" customWidth="true" hidden="false" outlineLevel="0" max="4" min="4" style="0" width="17.57"/>
    <col collapsed="false" customWidth="true" hidden="false" outlineLevel="0" max="5" min="5" style="0" width="15.15"/>
    <col collapsed="false" customWidth="true" hidden="false" outlineLevel="0" max="7" min="6" style="0" width="18.43"/>
    <col collapsed="false" customWidth="true" hidden="true" outlineLevel="0" max="8" min="8" style="0" width="13.86"/>
    <col collapsed="false" customWidth="true" hidden="true" outlineLevel="0" max="9" min="9" style="0" width="21"/>
    <col collapsed="false" customWidth="true" hidden="false" outlineLevel="0" max="14" min="10" style="0" width="10.7"/>
    <col collapsed="false" customWidth="true" hidden="false" outlineLevel="0" max="15" min="15" style="0" width="13.57"/>
    <col collapsed="false" customWidth="true" hidden="false" outlineLevel="0" max="16" min="16" style="0" width="14.7"/>
    <col collapsed="false" customWidth="true" hidden="false" outlineLevel="0" max="25" min="17" style="0" width="10.7"/>
  </cols>
  <sheetData>
    <row r="1" customFormat="false" ht="29.25" hidden="false" customHeight="true" outlineLevel="0" collapsed="false">
      <c r="A1" s="1" t="s">
        <v>112</v>
      </c>
      <c r="B1" s="67" t="s">
        <v>78</v>
      </c>
      <c r="C1" s="40" t="s">
        <v>2</v>
      </c>
      <c r="D1" s="41" t="s">
        <v>3</v>
      </c>
      <c r="E1" s="42"/>
      <c r="F1" s="43" t="s">
        <v>4</v>
      </c>
      <c r="G1" s="44" t="s">
        <v>28</v>
      </c>
      <c r="H1" s="45" t="s">
        <v>29</v>
      </c>
      <c r="I1" s="45"/>
    </row>
    <row r="2" customFormat="false" ht="14.25" hidden="false" customHeight="true" outlineLevel="0" collapsed="false">
      <c r="A2" s="1"/>
      <c r="B2" s="70" t="s">
        <v>79</v>
      </c>
      <c r="C2" s="9" t="n">
        <f aca="false">+E1982</f>
        <v>150660</v>
      </c>
      <c r="D2" s="10" t="n">
        <f aca="false">+F1982</f>
        <v>5022000</v>
      </c>
      <c r="E2" s="11"/>
      <c r="F2" s="47" t="n">
        <f aca="false">+D2-(C2+E2)</f>
        <v>4871340</v>
      </c>
      <c r="G2" s="48" t="s">
        <v>30</v>
      </c>
      <c r="H2" s="49" t="n">
        <v>0</v>
      </c>
      <c r="I2" s="49"/>
      <c r="Y2" s="14"/>
    </row>
    <row r="3" customFormat="false" ht="47.25" hidden="false" customHeight="true" outlineLevel="0" collapsed="false">
      <c r="A3" s="1"/>
      <c r="B3" s="46" t="s">
        <v>7</v>
      </c>
      <c r="C3" s="15" t="s">
        <v>8</v>
      </c>
      <c r="D3" s="16" t="s">
        <v>9</v>
      </c>
      <c r="E3" s="73" t="s">
        <v>80</v>
      </c>
      <c r="F3" s="50" t="s">
        <v>81</v>
      </c>
      <c r="G3" s="51" t="s">
        <v>31</v>
      </c>
      <c r="H3" s="52" t="n">
        <v>0</v>
      </c>
      <c r="I3" s="53" t="n">
        <v>0</v>
      </c>
      <c r="Y3" s="14"/>
    </row>
    <row r="4" customFormat="false" ht="14.25" hidden="false" customHeight="true" outlineLevel="0" collapsed="false">
      <c r="A4" s="1"/>
      <c r="B4" s="54" t="s">
        <v>11</v>
      </c>
      <c r="C4" s="55" t="n">
        <f aca="false">+C2/4</f>
        <v>37665</v>
      </c>
      <c r="D4" s="76" t="n">
        <f aca="false">+C4</f>
        <v>37665</v>
      </c>
      <c r="E4" s="77" t="n">
        <f aca="false">+C4</f>
        <v>37665</v>
      </c>
      <c r="F4" s="58" t="n">
        <f aca="false">+C4</f>
        <v>37665</v>
      </c>
      <c r="G4" s="59" t="s">
        <v>32</v>
      </c>
      <c r="H4" s="60" t="n">
        <f aca="false">+C2*H3</f>
        <v>0</v>
      </c>
      <c r="I4" s="80" t="n">
        <v>0</v>
      </c>
    </row>
    <row r="5" customFormat="false" ht="14.25" hidden="false" customHeight="true" outlineLevel="0" collapsed="false">
      <c r="A5" s="1"/>
      <c r="B5" s="23" t="s">
        <v>12</v>
      </c>
      <c r="C5" s="24" t="n">
        <f aca="false">H1982</f>
        <v>0</v>
      </c>
      <c r="D5" s="24"/>
      <c r="E5" s="24"/>
      <c r="F5" s="24"/>
      <c r="G5" s="24"/>
      <c r="H5" s="24"/>
      <c r="I5" s="24"/>
    </row>
    <row r="6" customFormat="false" ht="14.25" hidden="false" customHeight="true" outlineLevel="0" collapsed="false">
      <c r="A6" s="25" t="s">
        <v>13</v>
      </c>
      <c r="B6" s="25" t="s">
        <v>14</v>
      </c>
      <c r="C6" s="25" t="s">
        <v>113</v>
      </c>
      <c r="D6" s="26" t="s">
        <v>16</v>
      </c>
      <c r="E6" s="26" t="s">
        <v>17</v>
      </c>
      <c r="F6" s="27" t="s">
        <v>83</v>
      </c>
      <c r="G6" s="27" t="s">
        <v>28</v>
      </c>
      <c r="H6" s="28" t="s">
        <v>19</v>
      </c>
      <c r="I6" s="29" t="s">
        <v>20</v>
      </c>
      <c r="O6" s="19"/>
    </row>
    <row r="7" customFormat="false" ht="14.25" hidden="false" customHeight="true" outlineLevel="0" collapsed="false">
      <c r="A7" s="30" t="n">
        <v>45413</v>
      </c>
      <c r="B7" s="31" t="s">
        <v>78</v>
      </c>
      <c r="C7" s="82"/>
      <c r="D7" s="32"/>
      <c r="E7" s="19" t="n">
        <f aca="false">+F7*0.03</f>
        <v>0</v>
      </c>
      <c r="F7" s="33"/>
      <c r="G7" s="62" t="s">
        <v>30</v>
      </c>
      <c r="H7" s="34" t="n">
        <v>0</v>
      </c>
      <c r="I7" s="34" t="n">
        <f aca="false">+IF(E7=0,0,E7*0.03)</f>
        <v>0</v>
      </c>
      <c r="O7" s="19"/>
    </row>
    <row r="8" customFormat="false" ht="14.25" hidden="false" customHeight="true" outlineLevel="0" collapsed="false">
      <c r="A8" s="30" t="n">
        <v>45414</v>
      </c>
      <c r="B8" s="31" t="s">
        <v>11</v>
      </c>
      <c r="C8" s="82" t="n">
        <v>93</v>
      </c>
      <c r="D8" s="32" t="s">
        <v>114</v>
      </c>
      <c r="E8" s="19" t="n">
        <f aca="false">+F8*0.03</f>
        <v>2550</v>
      </c>
      <c r="F8" s="33" t="n">
        <v>85000</v>
      </c>
      <c r="G8" s="62" t="s">
        <v>32</v>
      </c>
      <c r="H8" s="34" t="n">
        <v>0</v>
      </c>
      <c r="I8" s="34" t="n">
        <f aca="false">+IF(E8=0,0,E8*0.03)</f>
        <v>76.5</v>
      </c>
    </row>
    <row r="9" customFormat="false" ht="14.25" hidden="false" customHeight="true" outlineLevel="0" collapsed="false">
      <c r="A9" s="30" t="n">
        <v>45414</v>
      </c>
      <c r="B9" s="31" t="s">
        <v>78</v>
      </c>
      <c r="C9" s="82" t="s">
        <v>115</v>
      </c>
      <c r="D9" s="32" t="s">
        <v>116</v>
      </c>
      <c r="E9" s="19" t="n">
        <f aca="false">+F9*0.03</f>
        <v>1350</v>
      </c>
      <c r="F9" s="33" t="n">
        <v>45000</v>
      </c>
      <c r="G9" s="62" t="s">
        <v>31</v>
      </c>
      <c r="H9" s="34" t="n">
        <v>0</v>
      </c>
      <c r="I9" s="34" t="n">
        <f aca="false">+IF(E9=0,0,E9*0.03)</f>
        <v>40.5</v>
      </c>
    </row>
    <row r="10" customFormat="false" ht="14.25" hidden="false" customHeight="true" outlineLevel="0" collapsed="false">
      <c r="A10" s="30" t="n">
        <v>45414</v>
      </c>
      <c r="B10" s="31" t="s">
        <v>78</v>
      </c>
      <c r="C10" s="82" t="s">
        <v>115</v>
      </c>
      <c r="D10" s="32" t="s">
        <v>117</v>
      </c>
      <c r="E10" s="19" t="n">
        <f aca="false">+F10*0.03</f>
        <v>1650</v>
      </c>
      <c r="F10" s="33" t="n">
        <v>55000</v>
      </c>
      <c r="G10" s="62" t="s">
        <v>31</v>
      </c>
      <c r="H10" s="34" t="n">
        <v>0</v>
      </c>
      <c r="I10" s="34" t="n">
        <f aca="false">+IF(E10=0,0,E10*0.03)</f>
        <v>49.5</v>
      </c>
    </row>
    <row r="11" customFormat="false" ht="14.25" hidden="false" customHeight="true" outlineLevel="0" collapsed="false">
      <c r="A11" s="30" t="n">
        <v>45415</v>
      </c>
      <c r="B11" s="31" t="s">
        <v>7</v>
      </c>
      <c r="C11" s="82" t="n">
        <v>94</v>
      </c>
      <c r="D11" s="32" t="s">
        <v>118</v>
      </c>
      <c r="E11" s="19" t="n">
        <f aca="false">+F11*0.03</f>
        <v>5100</v>
      </c>
      <c r="F11" s="33" t="n">
        <v>170000</v>
      </c>
      <c r="G11" s="62" t="s">
        <v>31</v>
      </c>
      <c r="H11" s="35" t="n">
        <v>0</v>
      </c>
      <c r="I11" s="34" t="n">
        <f aca="false">+IF(E11=0,0,E11*0.03)</f>
        <v>153</v>
      </c>
      <c r="O11" s="36"/>
    </row>
    <row r="12" customFormat="false" ht="14.25" hidden="false" customHeight="true" outlineLevel="0" collapsed="false">
      <c r="A12" s="30" t="n">
        <v>45416</v>
      </c>
      <c r="B12" s="31" t="s">
        <v>78</v>
      </c>
      <c r="C12" s="82" t="n">
        <v>98</v>
      </c>
      <c r="D12" s="32" t="s">
        <v>119</v>
      </c>
      <c r="E12" s="19" t="n">
        <f aca="false">+F12*0.03</f>
        <v>3600</v>
      </c>
      <c r="F12" s="33" t="n">
        <v>120000</v>
      </c>
      <c r="G12" s="62" t="s">
        <v>31</v>
      </c>
      <c r="H12" s="35" t="n">
        <v>0</v>
      </c>
      <c r="I12" s="34" t="n">
        <f aca="false">+IF(E12=0,0,E12*0.03)</f>
        <v>108</v>
      </c>
    </row>
    <row r="13" customFormat="false" ht="14.25" hidden="false" customHeight="true" outlineLevel="0" collapsed="false">
      <c r="A13" s="30" t="n">
        <v>45416</v>
      </c>
      <c r="B13" s="31" t="s">
        <v>7</v>
      </c>
      <c r="C13" s="82" t="s">
        <v>115</v>
      </c>
      <c r="D13" s="32" t="s">
        <v>120</v>
      </c>
      <c r="E13" s="19" t="n">
        <f aca="false">+F13*0.03</f>
        <v>1500</v>
      </c>
      <c r="F13" s="33" t="n">
        <v>50000</v>
      </c>
      <c r="G13" s="62" t="s">
        <v>31</v>
      </c>
      <c r="H13" s="35" t="n">
        <v>0</v>
      </c>
      <c r="I13" s="34" t="n">
        <f aca="false">+IF(E13=0,0,E13*0.03)</f>
        <v>45</v>
      </c>
    </row>
    <row r="14" customFormat="false" ht="14.25" hidden="false" customHeight="true" outlineLevel="0" collapsed="false">
      <c r="A14" s="30" t="n">
        <v>45416</v>
      </c>
      <c r="B14" s="31" t="s">
        <v>7</v>
      </c>
      <c r="C14" s="82" t="s">
        <v>115</v>
      </c>
      <c r="D14" s="32" t="s">
        <v>121</v>
      </c>
      <c r="E14" s="19" t="n">
        <f aca="false">+F14*0.03</f>
        <v>1350</v>
      </c>
      <c r="F14" s="33" t="n">
        <v>45000</v>
      </c>
      <c r="G14" s="62" t="s">
        <v>31</v>
      </c>
      <c r="H14" s="35" t="n">
        <v>0</v>
      </c>
      <c r="I14" s="34" t="n">
        <f aca="false">+IF(E14=0,0,E14*0.03)</f>
        <v>40.5</v>
      </c>
    </row>
    <row r="15" customFormat="false" ht="14.25" hidden="false" customHeight="true" outlineLevel="0" collapsed="false">
      <c r="A15" s="30" t="n">
        <v>45416</v>
      </c>
      <c r="B15" s="31" t="s">
        <v>78</v>
      </c>
      <c r="C15" s="82" t="n">
        <v>97</v>
      </c>
      <c r="D15" s="32" t="s">
        <v>122</v>
      </c>
      <c r="E15" s="19" t="n">
        <f aca="false">+F15*0.03</f>
        <v>1350</v>
      </c>
      <c r="F15" s="33" t="n">
        <v>45000</v>
      </c>
      <c r="G15" s="62" t="s">
        <v>31</v>
      </c>
      <c r="H15" s="35" t="n">
        <v>0</v>
      </c>
      <c r="I15" s="34" t="n">
        <f aca="false">+IF(E15=0,0,E15*0.03)</f>
        <v>40.5</v>
      </c>
    </row>
    <row r="16" customFormat="false" ht="14.25" hidden="false" customHeight="true" outlineLevel="0" collapsed="false">
      <c r="A16" s="30" t="n">
        <v>45418</v>
      </c>
      <c r="B16" s="31" t="s">
        <v>7</v>
      </c>
      <c r="C16" s="82" t="n">
        <v>99</v>
      </c>
      <c r="D16" s="32" t="s">
        <v>123</v>
      </c>
      <c r="E16" s="19" t="n">
        <f aca="false">+F16*0.03</f>
        <v>2550</v>
      </c>
      <c r="F16" s="33" t="n">
        <v>85000</v>
      </c>
      <c r="G16" s="62" t="s">
        <v>30</v>
      </c>
      <c r="H16" s="35" t="n">
        <v>0</v>
      </c>
      <c r="I16" s="34" t="n">
        <f aca="false">+IF(E16=0,0,E16*0.03)</f>
        <v>76.5</v>
      </c>
    </row>
    <row r="17" customFormat="false" ht="14.25" hidden="false" customHeight="true" outlineLevel="0" collapsed="false">
      <c r="A17" s="30" t="n">
        <v>45421</v>
      </c>
      <c r="B17" s="31" t="s">
        <v>7</v>
      </c>
      <c r="C17" s="82" t="n">
        <v>100</v>
      </c>
      <c r="D17" s="32" t="s">
        <v>124</v>
      </c>
      <c r="E17" s="19" t="n">
        <f aca="false">+F17*0.03</f>
        <v>30000</v>
      </c>
      <c r="F17" s="33" t="n">
        <v>1000000</v>
      </c>
      <c r="G17" s="62" t="s">
        <v>32</v>
      </c>
      <c r="H17" s="35" t="n">
        <v>0</v>
      </c>
      <c r="I17" s="34" t="n">
        <f aca="false">+IF(E17=0,0,E17*0.03)</f>
        <v>900</v>
      </c>
    </row>
    <row r="18" customFormat="false" ht="14.25" hidden="false" customHeight="true" outlineLevel="0" collapsed="false">
      <c r="A18" s="30" t="n">
        <v>45421</v>
      </c>
      <c r="B18" s="31" t="s">
        <v>7</v>
      </c>
      <c r="C18" s="82" t="s">
        <v>115</v>
      </c>
      <c r="D18" s="32" t="s">
        <v>125</v>
      </c>
      <c r="E18" s="19" t="n">
        <f aca="false">+F18*0.03</f>
        <v>16200</v>
      </c>
      <c r="F18" s="33" t="n">
        <v>540000</v>
      </c>
      <c r="G18" s="62" t="s">
        <v>32</v>
      </c>
      <c r="H18" s="35" t="n">
        <v>0</v>
      </c>
      <c r="I18" s="34" t="n">
        <f aca="false">+IF(E18=0,0,E18*0.03)</f>
        <v>486</v>
      </c>
    </row>
    <row r="19" customFormat="false" ht="14.25" hidden="false" customHeight="true" outlineLevel="0" collapsed="false">
      <c r="A19" s="30" t="n">
        <v>45423</v>
      </c>
      <c r="B19" s="31" t="s">
        <v>7</v>
      </c>
      <c r="C19" s="82" t="n">
        <v>32</v>
      </c>
      <c r="D19" s="32" t="s">
        <v>126</v>
      </c>
      <c r="E19" s="19" t="n">
        <f aca="false">+F19*0.03</f>
        <v>750</v>
      </c>
      <c r="F19" s="33" t="n">
        <v>25000</v>
      </c>
      <c r="G19" s="62" t="s">
        <v>30</v>
      </c>
      <c r="H19" s="35" t="n">
        <v>0</v>
      </c>
      <c r="I19" s="34" t="n">
        <f aca="false">+IF(E19=0,0,E19*0.03)</f>
        <v>22.5</v>
      </c>
    </row>
    <row r="20" customFormat="false" ht="14.25" hidden="false" customHeight="true" outlineLevel="0" collapsed="false">
      <c r="A20" s="30" t="n">
        <v>45425</v>
      </c>
      <c r="B20" s="31" t="s">
        <v>7</v>
      </c>
      <c r="C20" s="82" t="s">
        <v>115</v>
      </c>
      <c r="D20" s="32" t="s">
        <v>127</v>
      </c>
      <c r="E20" s="19" t="n">
        <f aca="false">+F20*0.03</f>
        <v>3600</v>
      </c>
      <c r="F20" s="33" t="n">
        <v>120000</v>
      </c>
      <c r="G20" s="62" t="s">
        <v>32</v>
      </c>
      <c r="H20" s="35" t="n">
        <v>0</v>
      </c>
      <c r="I20" s="34" t="n">
        <f aca="false">+IF(E20=0,0,E20*0.03)</f>
        <v>108</v>
      </c>
    </row>
    <row r="21" customFormat="false" ht="14.25" hidden="false" customHeight="true" outlineLevel="0" collapsed="false">
      <c r="A21" s="30" t="n">
        <v>45425</v>
      </c>
      <c r="B21" s="31" t="s">
        <v>7</v>
      </c>
      <c r="C21" s="82" t="n">
        <v>33</v>
      </c>
      <c r="D21" s="83" t="s">
        <v>128</v>
      </c>
      <c r="E21" s="19" t="n">
        <f aca="false">+F21*0.03</f>
        <v>0</v>
      </c>
      <c r="F21" s="33" t="n">
        <v>0</v>
      </c>
      <c r="G21" s="62" t="s">
        <v>30</v>
      </c>
      <c r="H21" s="35" t="n">
        <v>0</v>
      </c>
      <c r="I21" s="34" t="n">
        <f aca="false">+IF(E21=0,0,E21*0.03)</f>
        <v>0</v>
      </c>
    </row>
    <row r="22" customFormat="false" ht="15.75" hidden="false" customHeight="true" outlineLevel="0" collapsed="false">
      <c r="A22" s="30" t="n">
        <v>45426</v>
      </c>
      <c r="B22" s="31" t="s">
        <v>7</v>
      </c>
      <c r="C22" s="82" t="s">
        <v>115</v>
      </c>
      <c r="D22" s="32" t="s">
        <v>129</v>
      </c>
      <c r="E22" s="19" t="n">
        <f aca="false">+F22*0.03</f>
        <v>3900</v>
      </c>
      <c r="F22" s="33" t="n">
        <v>130000</v>
      </c>
      <c r="G22" s="62" t="s">
        <v>30</v>
      </c>
      <c r="H22" s="35" t="n">
        <v>0</v>
      </c>
      <c r="I22" s="34" t="n">
        <f aca="false">+IF(E22=0,0,E22*0.03)</f>
        <v>117</v>
      </c>
    </row>
    <row r="23" customFormat="false" ht="15.75" hidden="false" customHeight="true" outlineLevel="0" collapsed="false">
      <c r="A23" s="30" t="n">
        <v>45427</v>
      </c>
      <c r="B23" s="31" t="s">
        <v>78</v>
      </c>
      <c r="C23" s="82" t="n">
        <v>40</v>
      </c>
      <c r="D23" s="32" t="s">
        <v>130</v>
      </c>
      <c r="E23" s="19" t="n">
        <f aca="false">+F23*0.03</f>
        <v>2550</v>
      </c>
      <c r="F23" s="33" t="n">
        <v>85000</v>
      </c>
      <c r="G23" s="62" t="s">
        <v>31</v>
      </c>
      <c r="H23" s="35" t="n">
        <v>0</v>
      </c>
      <c r="I23" s="34" t="n">
        <f aca="false">+IF(E23=0,0,E23*0.03)</f>
        <v>76.5</v>
      </c>
    </row>
    <row r="24" customFormat="false" ht="15.75" hidden="false" customHeight="true" outlineLevel="0" collapsed="false">
      <c r="A24" s="30" t="n">
        <v>45427</v>
      </c>
      <c r="B24" s="31" t="s">
        <v>7</v>
      </c>
      <c r="C24" s="82" t="s">
        <v>115</v>
      </c>
      <c r="D24" s="32" t="s">
        <v>131</v>
      </c>
      <c r="E24" s="19" t="n">
        <f aca="false">+F24*0.03</f>
        <v>360</v>
      </c>
      <c r="F24" s="33" t="n">
        <v>12000</v>
      </c>
      <c r="G24" s="62" t="s">
        <v>30</v>
      </c>
      <c r="H24" s="35" t="n">
        <v>0</v>
      </c>
      <c r="I24" s="34" t="n">
        <f aca="false">+IF(E24=0,0,E24*0.03)</f>
        <v>10.8</v>
      </c>
    </row>
    <row r="25" customFormat="false" ht="15.75" hidden="false" customHeight="true" outlineLevel="0" collapsed="false">
      <c r="A25" s="30" t="n">
        <v>45427</v>
      </c>
      <c r="B25" s="31" t="s">
        <v>7</v>
      </c>
      <c r="C25" s="82" t="n">
        <v>37</v>
      </c>
      <c r="D25" s="32" t="s">
        <v>132</v>
      </c>
      <c r="E25" s="19" t="n">
        <f aca="false">+F25*0.03</f>
        <v>1350</v>
      </c>
      <c r="F25" s="33" t="n">
        <v>45000</v>
      </c>
      <c r="G25" s="62" t="s">
        <v>30</v>
      </c>
      <c r="H25" s="35" t="n">
        <v>0</v>
      </c>
      <c r="I25" s="34" t="n">
        <f aca="false">+IF(E25=0,0,E25*0.03)</f>
        <v>40.5</v>
      </c>
    </row>
    <row r="26" customFormat="false" ht="15.75" hidden="false" customHeight="true" outlineLevel="0" collapsed="false">
      <c r="A26" s="30" t="n">
        <v>45427</v>
      </c>
      <c r="B26" s="31" t="s">
        <v>7</v>
      </c>
      <c r="C26" s="82" t="n">
        <v>38</v>
      </c>
      <c r="D26" s="32" t="s">
        <v>133</v>
      </c>
      <c r="E26" s="19" t="n">
        <f aca="false">+F26*0.03</f>
        <v>450</v>
      </c>
      <c r="F26" s="33" t="n">
        <v>15000</v>
      </c>
      <c r="G26" s="62" t="s">
        <v>30</v>
      </c>
      <c r="H26" s="35" t="n">
        <v>0</v>
      </c>
      <c r="I26" s="34" t="n">
        <f aca="false">+IF(E26=0,0,E26*0.03)</f>
        <v>13.5</v>
      </c>
    </row>
    <row r="27" customFormat="false" ht="15.75" hidden="false" customHeight="true" outlineLevel="0" collapsed="false">
      <c r="A27" s="30" t="n">
        <v>45429</v>
      </c>
      <c r="B27" s="31" t="s">
        <v>7</v>
      </c>
      <c r="C27" s="82" t="n">
        <v>41</v>
      </c>
      <c r="D27" s="32" t="s">
        <v>134</v>
      </c>
      <c r="E27" s="19" t="n">
        <f aca="false">+F27*0.03</f>
        <v>15000</v>
      </c>
      <c r="F27" s="33" t="n">
        <v>500000</v>
      </c>
      <c r="G27" s="62" t="s">
        <v>32</v>
      </c>
      <c r="H27" s="35" t="n">
        <v>0</v>
      </c>
      <c r="I27" s="34" t="n">
        <f aca="false">+IF(E27=0,0,E27*0.03)</f>
        <v>450</v>
      </c>
    </row>
    <row r="28" customFormat="false" ht="15.75" hidden="false" customHeight="true" outlineLevel="0" collapsed="false">
      <c r="A28" s="30" t="n">
        <v>45429</v>
      </c>
      <c r="B28" s="31" t="s">
        <v>7</v>
      </c>
      <c r="C28" s="82" t="n">
        <v>42</v>
      </c>
      <c r="D28" s="32" t="s">
        <v>135</v>
      </c>
      <c r="E28" s="19" t="n">
        <f aca="false">+F28*0.03</f>
        <v>6000</v>
      </c>
      <c r="F28" s="33" t="n">
        <v>200000</v>
      </c>
      <c r="G28" s="62" t="s">
        <v>30</v>
      </c>
      <c r="H28" s="35" t="n">
        <v>0</v>
      </c>
      <c r="I28" s="34" t="n">
        <f aca="false">+IF(E28=0,0,E28*0.03)</f>
        <v>180</v>
      </c>
    </row>
    <row r="29" customFormat="false" ht="15.75" hidden="false" customHeight="true" outlineLevel="0" collapsed="false">
      <c r="A29" s="30" t="n">
        <v>45430</v>
      </c>
      <c r="B29" s="31" t="s">
        <v>7</v>
      </c>
      <c r="C29" s="82" t="n">
        <v>44</v>
      </c>
      <c r="D29" s="32" t="s">
        <v>136</v>
      </c>
      <c r="E29" s="19" t="n">
        <f aca="false">+F29*0.03</f>
        <v>4200</v>
      </c>
      <c r="F29" s="33" t="n">
        <v>140000</v>
      </c>
      <c r="G29" s="62" t="s">
        <v>31</v>
      </c>
      <c r="H29" s="35" t="n">
        <v>0</v>
      </c>
      <c r="I29" s="34" t="n">
        <f aca="false">+IF(E29=0,0,E29*0.03)</f>
        <v>126</v>
      </c>
    </row>
    <row r="30" customFormat="false" ht="15.75" hidden="false" customHeight="true" outlineLevel="0" collapsed="false">
      <c r="A30" s="30" t="n">
        <v>45432</v>
      </c>
      <c r="B30" s="31" t="s">
        <v>7</v>
      </c>
      <c r="C30" s="82" t="n">
        <v>46</v>
      </c>
      <c r="D30" s="81" t="s">
        <v>137</v>
      </c>
      <c r="E30" s="19" t="n">
        <f aca="false">+F30*0.03</f>
        <v>5700</v>
      </c>
      <c r="F30" s="33" t="n">
        <v>190000</v>
      </c>
      <c r="G30" s="62" t="s">
        <v>30</v>
      </c>
      <c r="H30" s="35" t="n">
        <v>0</v>
      </c>
      <c r="I30" s="34" t="n">
        <f aca="false">+IF(E30=0,0,E30*0.03)</f>
        <v>171</v>
      </c>
    </row>
    <row r="31" customFormat="false" ht="15.75" hidden="false" customHeight="true" outlineLevel="0" collapsed="false">
      <c r="A31" s="30" t="n">
        <v>45434</v>
      </c>
      <c r="B31" s="31" t="s">
        <v>7</v>
      </c>
      <c r="C31" s="82" t="n">
        <v>0</v>
      </c>
      <c r="D31" s="32" t="s">
        <v>138</v>
      </c>
      <c r="E31" s="19" t="n">
        <f aca="false">+F31*0.03</f>
        <v>2700</v>
      </c>
      <c r="F31" s="33" t="n">
        <v>90000</v>
      </c>
      <c r="G31" s="62" t="s">
        <v>31</v>
      </c>
      <c r="H31" s="35" t="n">
        <v>0</v>
      </c>
      <c r="I31" s="34" t="n">
        <f aca="false">+IF(E31=0,0,E31*0.03)</f>
        <v>81</v>
      </c>
    </row>
    <row r="32" customFormat="false" ht="15.75" hidden="false" customHeight="true" outlineLevel="0" collapsed="false">
      <c r="A32" s="30" t="n">
        <v>45434</v>
      </c>
      <c r="B32" s="31" t="s">
        <v>7</v>
      </c>
      <c r="C32" s="82" t="n">
        <v>0</v>
      </c>
      <c r="D32" s="81" t="s">
        <v>139</v>
      </c>
      <c r="E32" s="19" t="n">
        <f aca="false">+F32*0.03</f>
        <v>750</v>
      </c>
      <c r="F32" s="33" t="n">
        <v>25000</v>
      </c>
      <c r="G32" s="62" t="s">
        <v>31</v>
      </c>
      <c r="H32" s="35" t="n">
        <v>0</v>
      </c>
      <c r="I32" s="34" t="n">
        <f aca="false">+IF(E32=0,0,E32*0.03)</f>
        <v>22.5</v>
      </c>
    </row>
    <row r="33" customFormat="false" ht="15.75" hidden="false" customHeight="true" outlineLevel="0" collapsed="false">
      <c r="A33" s="30" t="n">
        <v>45435</v>
      </c>
      <c r="B33" s="31" t="s">
        <v>7</v>
      </c>
      <c r="C33" s="82" t="n">
        <v>47</v>
      </c>
      <c r="D33" s="32" t="s">
        <v>140</v>
      </c>
      <c r="E33" s="19" t="n">
        <f aca="false">+F33*0.03</f>
        <v>2400</v>
      </c>
      <c r="F33" s="33" t="n">
        <v>80000</v>
      </c>
      <c r="G33" s="62" t="s">
        <v>31</v>
      </c>
      <c r="H33" s="35" t="n">
        <v>0</v>
      </c>
      <c r="I33" s="34" t="n">
        <f aca="false">+IF(E33=0,0,E33*0.03)</f>
        <v>72</v>
      </c>
    </row>
    <row r="34" customFormat="false" ht="15.75" hidden="false" customHeight="true" outlineLevel="0" collapsed="false">
      <c r="A34" s="30" t="n">
        <v>45435</v>
      </c>
      <c r="B34" s="31" t="s">
        <v>7</v>
      </c>
      <c r="C34" s="82" t="s">
        <v>115</v>
      </c>
      <c r="D34" s="32" t="s">
        <v>141</v>
      </c>
      <c r="E34" s="19" t="n">
        <f aca="false">+F34*0.03</f>
        <v>21000</v>
      </c>
      <c r="F34" s="33" t="n">
        <v>700000</v>
      </c>
      <c r="G34" s="62" t="s">
        <v>30</v>
      </c>
      <c r="H34" s="35" t="n">
        <v>0</v>
      </c>
      <c r="I34" s="34" t="n">
        <f aca="false">+IF(E34=0,0,E34*0.03)</f>
        <v>630</v>
      </c>
    </row>
    <row r="35" customFormat="false" ht="15.75" hidden="false" customHeight="true" outlineLevel="0" collapsed="false">
      <c r="A35" s="30" t="n">
        <v>45436</v>
      </c>
      <c r="B35" s="31" t="s">
        <v>7</v>
      </c>
      <c r="C35" s="82" t="n">
        <v>48</v>
      </c>
      <c r="D35" s="32" t="s">
        <v>142</v>
      </c>
      <c r="E35" s="19" t="n">
        <f aca="false">+F35*0.03</f>
        <v>1050</v>
      </c>
      <c r="F35" s="33" t="n">
        <v>35000</v>
      </c>
      <c r="G35" s="62" t="s">
        <v>30</v>
      </c>
      <c r="H35" s="35" t="n">
        <v>0</v>
      </c>
      <c r="I35" s="34" t="n">
        <f aca="false">+IF(E35=0,0,E35*0.03)</f>
        <v>31.5</v>
      </c>
    </row>
    <row r="36" customFormat="false" ht="15.75" hidden="false" customHeight="true" outlineLevel="0" collapsed="false">
      <c r="A36" s="30" t="n">
        <v>45412</v>
      </c>
      <c r="B36" s="31" t="s">
        <v>7</v>
      </c>
      <c r="C36" s="82" t="s">
        <v>143</v>
      </c>
      <c r="D36" s="32" t="s">
        <v>144</v>
      </c>
      <c r="E36" s="19" t="n">
        <f aca="false">+F36*0.03</f>
        <v>0</v>
      </c>
      <c r="F36" s="33" t="n">
        <v>0</v>
      </c>
      <c r="G36" s="62" t="s">
        <v>31</v>
      </c>
      <c r="H36" s="35" t="n">
        <v>0</v>
      </c>
      <c r="I36" s="34" t="n">
        <f aca="false">+IF(E36=0,0,E36*0.03)</f>
        <v>0</v>
      </c>
    </row>
    <row r="37" customFormat="false" ht="15.75" hidden="false" customHeight="true" outlineLevel="0" collapsed="false">
      <c r="A37" s="30" t="n">
        <v>45413</v>
      </c>
      <c r="B37" s="31" t="s">
        <v>78</v>
      </c>
      <c r="C37" s="82" t="n">
        <v>50</v>
      </c>
      <c r="D37" s="32" t="s">
        <v>145</v>
      </c>
      <c r="E37" s="19" t="n">
        <f aca="false">+F37*0.03</f>
        <v>1950</v>
      </c>
      <c r="F37" s="33" t="n">
        <v>65000</v>
      </c>
      <c r="G37" s="62" t="s">
        <v>31</v>
      </c>
      <c r="H37" s="35" t="n">
        <v>0</v>
      </c>
      <c r="I37" s="34" t="n">
        <f aca="false">+IF(E37=0,0,E37*0.03)</f>
        <v>58.5</v>
      </c>
    </row>
    <row r="38" customFormat="false" ht="15.75" hidden="false" customHeight="true" outlineLevel="0" collapsed="false">
      <c r="A38" s="30" t="n">
        <v>45414</v>
      </c>
      <c r="B38" s="31" t="s">
        <v>7</v>
      </c>
      <c r="C38" s="82" t="s">
        <v>146</v>
      </c>
      <c r="D38" s="32" t="s">
        <v>147</v>
      </c>
      <c r="E38" s="19" t="n">
        <f aca="false">+F38*0.03</f>
        <v>1350</v>
      </c>
      <c r="F38" s="33" t="n">
        <v>45000</v>
      </c>
      <c r="G38" s="62" t="s">
        <v>30</v>
      </c>
      <c r="H38" s="35" t="n">
        <v>0</v>
      </c>
      <c r="I38" s="34" t="n">
        <f aca="false">+IF(E38=0,0,E38*0.03)</f>
        <v>40.5</v>
      </c>
    </row>
    <row r="39" customFormat="false" ht="15.75" hidden="false" customHeight="true" outlineLevel="0" collapsed="false">
      <c r="A39" s="30" t="n">
        <v>45415</v>
      </c>
      <c r="B39" s="31" t="s">
        <v>11</v>
      </c>
      <c r="C39" s="82" t="n">
        <v>22</v>
      </c>
      <c r="D39" s="32" t="s">
        <v>148</v>
      </c>
      <c r="E39" s="19" t="n">
        <f aca="false">+F39*0.03</f>
        <v>3900</v>
      </c>
      <c r="F39" s="33" t="n">
        <v>130000</v>
      </c>
      <c r="G39" s="62" t="s">
        <v>30</v>
      </c>
      <c r="H39" s="35" t="n">
        <v>0</v>
      </c>
      <c r="I39" s="34" t="n">
        <f aca="false">+IF(E39=0,0,E39*0.03)</f>
        <v>117</v>
      </c>
    </row>
    <row r="40" customFormat="false" ht="15.75" hidden="false" customHeight="true" outlineLevel="0" collapsed="false">
      <c r="A40" s="30" t="n">
        <v>45416</v>
      </c>
      <c r="B40" s="31" t="s">
        <v>78</v>
      </c>
      <c r="C40" s="82" t="n">
        <v>43</v>
      </c>
      <c r="D40" s="32" t="s">
        <v>149</v>
      </c>
      <c r="E40" s="19" t="n">
        <f aca="false">+F40*0.03</f>
        <v>3750</v>
      </c>
      <c r="F40" s="33" t="n">
        <v>125000</v>
      </c>
      <c r="G40" s="62" t="s">
        <v>31</v>
      </c>
      <c r="H40" s="35" t="n">
        <v>0</v>
      </c>
      <c r="I40" s="34" t="n">
        <f aca="false">+IF(E40=0,0,E40*0.03)</f>
        <v>112.5</v>
      </c>
    </row>
    <row r="41" customFormat="false" ht="15.75" hidden="false" customHeight="true" outlineLevel="0" collapsed="false">
      <c r="A41" s="30" t="n">
        <v>45417</v>
      </c>
      <c r="B41" s="31" t="s">
        <v>78</v>
      </c>
      <c r="C41" s="82" t="s">
        <v>150</v>
      </c>
      <c r="D41" s="32" t="s">
        <v>151</v>
      </c>
      <c r="E41" s="19" t="n">
        <f aca="false">+F41*0.03</f>
        <v>750</v>
      </c>
      <c r="F41" s="33" t="n">
        <v>25000</v>
      </c>
      <c r="G41" s="62" t="s">
        <v>31</v>
      </c>
      <c r="H41" s="35" t="n">
        <v>0</v>
      </c>
      <c r="I41" s="34" t="n">
        <f aca="false">+IF(E41=0,0,E41*0.03)</f>
        <v>22.5</v>
      </c>
    </row>
    <row r="42" customFormat="false" ht="15.75" hidden="false" customHeight="true" outlineLevel="0" collapsed="false">
      <c r="A42" s="30" t="n">
        <v>45418</v>
      </c>
      <c r="B42" s="31" t="s">
        <v>7</v>
      </c>
      <c r="C42" s="32"/>
      <c r="D42" s="32"/>
      <c r="E42" s="19" t="n">
        <f aca="false">+F42*0.03</f>
        <v>0</v>
      </c>
      <c r="F42" s="33" t="n">
        <v>0</v>
      </c>
      <c r="G42" s="62"/>
      <c r="H42" s="35" t="n">
        <v>0</v>
      </c>
      <c r="I42" s="34" t="n">
        <f aca="false">+IF(E42=0,0,E42*0.03)</f>
        <v>0</v>
      </c>
    </row>
    <row r="43" customFormat="false" ht="15.75" hidden="false" customHeight="true" outlineLevel="0" collapsed="false">
      <c r="A43" s="30" t="n">
        <v>45419</v>
      </c>
      <c r="B43" s="31" t="s">
        <v>7</v>
      </c>
      <c r="C43" s="32"/>
      <c r="D43" s="32"/>
      <c r="E43" s="19" t="n">
        <f aca="false">+F43*0.03</f>
        <v>0</v>
      </c>
      <c r="F43" s="33" t="n">
        <v>0</v>
      </c>
      <c r="G43" s="62"/>
      <c r="H43" s="35" t="n">
        <v>0</v>
      </c>
      <c r="I43" s="34" t="n">
        <f aca="false">+IF(E43=0,0,E43*0.03)</f>
        <v>0</v>
      </c>
    </row>
    <row r="44" customFormat="false" ht="15.75" hidden="false" customHeight="true" outlineLevel="0" collapsed="false">
      <c r="A44" s="30" t="n">
        <v>45420</v>
      </c>
      <c r="B44" s="31" t="s">
        <v>7</v>
      </c>
      <c r="C44" s="32"/>
      <c r="D44" s="32"/>
      <c r="E44" s="19" t="n">
        <f aca="false">+F44*0.03</f>
        <v>0</v>
      </c>
      <c r="F44" s="33" t="n">
        <v>0</v>
      </c>
      <c r="G44" s="62"/>
      <c r="H44" s="35" t="n">
        <v>0</v>
      </c>
      <c r="I44" s="34" t="n">
        <f aca="false">+IF(E44=0,0,E44*0.03)</f>
        <v>0</v>
      </c>
    </row>
    <row r="45" customFormat="false" ht="15.75" hidden="false" customHeight="true" outlineLevel="0" collapsed="false">
      <c r="A45" s="30" t="n">
        <v>45421</v>
      </c>
      <c r="B45" s="31" t="s">
        <v>7</v>
      </c>
      <c r="C45" s="32"/>
      <c r="D45" s="32"/>
      <c r="E45" s="19" t="n">
        <f aca="false">+F45*0.03</f>
        <v>0</v>
      </c>
      <c r="F45" s="33" t="n">
        <v>0</v>
      </c>
      <c r="G45" s="62"/>
      <c r="H45" s="35" t="n">
        <v>0</v>
      </c>
      <c r="I45" s="34" t="n">
        <f aca="false">+IF(E45=0,0,E45*0.03)</f>
        <v>0</v>
      </c>
    </row>
    <row r="46" customFormat="false" ht="15.75" hidden="false" customHeight="true" outlineLevel="0" collapsed="false">
      <c r="A46" s="30" t="n">
        <v>45422</v>
      </c>
      <c r="B46" s="31" t="s">
        <v>7</v>
      </c>
      <c r="C46" s="32"/>
      <c r="D46" s="32"/>
      <c r="E46" s="19" t="n">
        <f aca="false">+F46*0.03</f>
        <v>0</v>
      </c>
      <c r="F46" s="33" t="n">
        <v>0</v>
      </c>
      <c r="G46" s="62"/>
      <c r="H46" s="35" t="n">
        <v>0</v>
      </c>
      <c r="I46" s="34" t="n">
        <f aca="false">+IF(E46=0,0,E46*0.03)</f>
        <v>0</v>
      </c>
    </row>
    <row r="47" customFormat="false" ht="15.75" hidden="false" customHeight="true" outlineLevel="0" collapsed="false">
      <c r="A47" s="30" t="n">
        <v>45423</v>
      </c>
      <c r="B47" s="31" t="s">
        <v>7</v>
      </c>
      <c r="C47" s="32"/>
      <c r="D47" s="32"/>
      <c r="E47" s="19" t="n">
        <f aca="false">+F47*0.03</f>
        <v>0</v>
      </c>
      <c r="F47" s="33" t="n">
        <v>0</v>
      </c>
      <c r="G47" s="62"/>
      <c r="H47" s="35" t="n">
        <v>0</v>
      </c>
      <c r="I47" s="34" t="n">
        <f aca="false">+IF(E47=0,0,E47*0.03)</f>
        <v>0</v>
      </c>
    </row>
    <row r="48" customFormat="false" ht="15.75" hidden="false" customHeight="true" outlineLevel="0" collapsed="false">
      <c r="A48" s="30" t="n">
        <v>45424</v>
      </c>
      <c r="B48" s="31" t="s">
        <v>7</v>
      </c>
      <c r="C48" s="32"/>
      <c r="D48" s="32"/>
      <c r="E48" s="19" t="n">
        <f aca="false">+F48*0.03</f>
        <v>0</v>
      </c>
      <c r="F48" s="33" t="n">
        <v>0</v>
      </c>
      <c r="G48" s="62"/>
      <c r="H48" s="35" t="n">
        <v>0</v>
      </c>
      <c r="I48" s="34" t="n">
        <f aca="false">+IF(E48=0,0,E48*0.03)</f>
        <v>0</v>
      </c>
    </row>
    <row r="49" customFormat="false" ht="15.75" hidden="false" customHeight="true" outlineLevel="0" collapsed="false">
      <c r="A49" s="30" t="n">
        <v>45425</v>
      </c>
      <c r="B49" s="31" t="s">
        <v>7</v>
      </c>
      <c r="C49" s="32"/>
      <c r="D49" s="32"/>
      <c r="E49" s="19" t="n">
        <f aca="false">+F49*0.03</f>
        <v>0</v>
      </c>
      <c r="F49" s="33" t="n">
        <v>0</v>
      </c>
      <c r="G49" s="62"/>
      <c r="H49" s="35" t="n">
        <v>0</v>
      </c>
      <c r="I49" s="34" t="n">
        <f aca="false">+IF(E49=0,0,E49*0.03)</f>
        <v>0</v>
      </c>
    </row>
    <row r="50" customFormat="false" ht="15.75" hidden="false" customHeight="true" outlineLevel="0" collapsed="false">
      <c r="A50" s="30" t="n">
        <v>45426</v>
      </c>
      <c r="B50" s="31" t="s">
        <v>7</v>
      </c>
      <c r="C50" s="32"/>
      <c r="D50" s="32"/>
      <c r="E50" s="19" t="n">
        <f aca="false">+F50*0.03</f>
        <v>0</v>
      </c>
      <c r="F50" s="33" t="n">
        <v>0</v>
      </c>
      <c r="G50" s="62"/>
      <c r="H50" s="35" t="n">
        <v>0</v>
      </c>
      <c r="I50" s="34" t="n">
        <f aca="false">+IF(E50=0,0,E50*0.03)</f>
        <v>0</v>
      </c>
    </row>
    <row r="51" customFormat="false" ht="15.75" hidden="false" customHeight="true" outlineLevel="0" collapsed="false">
      <c r="A51" s="30" t="n">
        <v>45427</v>
      </c>
      <c r="B51" s="31" t="s">
        <v>7</v>
      </c>
      <c r="C51" s="32"/>
      <c r="D51" s="32"/>
      <c r="E51" s="19" t="n">
        <f aca="false">+F51*0.03</f>
        <v>0</v>
      </c>
      <c r="F51" s="33" t="n">
        <v>0</v>
      </c>
      <c r="G51" s="62"/>
      <c r="H51" s="35" t="n">
        <v>0</v>
      </c>
      <c r="I51" s="34" t="n">
        <f aca="false">+IF(E51=0,0,E51*0.03)</f>
        <v>0</v>
      </c>
    </row>
    <row r="52" customFormat="false" ht="15.75" hidden="false" customHeight="true" outlineLevel="0" collapsed="false">
      <c r="A52" s="30" t="n">
        <v>45428</v>
      </c>
      <c r="B52" s="31" t="s">
        <v>7</v>
      </c>
      <c r="C52" s="32"/>
      <c r="D52" s="32"/>
      <c r="E52" s="19" t="n">
        <f aca="false">+F52*0.03</f>
        <v>0</v>
      </c>
      <c r="F52" s="33" t="n">
        <v>0</v>
      </c>
      <c r="G52" s="62"/>
      <c r="H52" s="35" t="n">
        <v>0</v>
      </c>
      <c r="I52" s="34" t="n">
        <f aca="false">+IF(E52=0,0,E52*0.03)</f>
        <v>0</v>
      </c>
    </row>
    <row r="53" customFormat="false" ht="15.75" hidden="false" customHeight="true" outlineLevel="0" collapsed="false">
      <c r="A53" s="30" t="n">
        <v>45429</v>
      </c>
      <c r="B53" s="31" t="s">
        <v>7</v>
      </c>
      <c r="C53" s="32"/>
      <c r="D53" s="32"/>
      <c r="E53" s="19" t="n">
        <f aca="false">+F53*0.03</f>
        <v>0</v>
      </c>
      <c r="F53" s="33" t="n">
        <v>0</v>
      </c>
      <c r="G53" s="62"/>
      <c r="H53" s="35" t="n">
        <v>0</v>
      </c>
      <c r="I53" s="34" t="n">
        <f aca="false">+IF(E53=0,0,E53*0.03)</f>
        <v>0</v>
      </c>
    </row>
    <row r="54" customFormat="false" ht="15.75" hidden="false" customHeight="true" outlineLevel="0" collapsed="false">
      <c r="A54" s="30" t="n">
        <v>45430</v>
      </c>
      <c r="B54" s="31" t="s">
        <v>7</v>
      </c>
      <c r="C54" s="32"/>
      <c r="D54" s="32"/>
      <c r="E54" s="19" t="n">
        <f aca="false">+F54*0.03</f>
        <v>0</v>
      </c>
      <c r="F54" s="33" t="n">
        <v>0</v>
      </c>
      <c r="G54" s="62"/>
      <c r="H54" s="35" t="n">
        <v>0</v>
      </c>
      <c r="I54" s="34" t="n">
        <f aca="false">+IF(E54=0,0,E54*0.03)</f>
        <v>0</v>
      </c>
    </row>
    <row r="55" customFormat="false" ht="15.75" hidden="false" customHeight="true" outlineLevel="0" collapsed="false">
      <c r="A55" s="30" t="n">
        <v>45431</v>
      </c>
      <c r="B55" s="31" t="s">
        <v>7</v>
      </c>
      <c r="C55" s="32"/>
      <c r="D55" s="32"/>
      <c r="E55" s="19" t="n">
        <f aca="false">+F55*0.03</f>
        <v>0</v>
      </c>
      <c r="F55" s="33" t="n">
        <v>0</v>
      </c>
      <c r="G55" s="62"/>
      <c r="H55" s="35" t="n">
        <v>0</v>
      </c>
      <c r="I55" s="34" t="n">
        <f aca="false">+IF(E55=0,0,E55*0.03)</f>
        <v>0</v>
      </c>
    </row>
    <row r="56" customFormat="false" ht="15.75" hidden="false" customHeight="true" outlineLevel="0" collapsed="false">
      <c r="A56" s="30" t="n">
        <v>45432</v>
      </c>
      <c r="B56" s="31" t="s">
        <v>7</v>
      </c>
      <c r="C56" s="32"/>
      <c r="D56" s="32"/>
      <c r="E56" s="19" t="n">
        <f aca="false">+F56*0.03</f>
        <v>0</v>
      </c>
      <c r="F56" s="33" t="n">
        <v>0</v>
      </c>
      <c r="G56" s="62"/>
      <c r="H56" s="35" t="n">
        <v>0</v>
      </c>
      <c r="I56" s="34" t="n">
        <f aca="false">+IF(E56=0,0,E56*0.03)</f>
        <v>0</v>
      </c>
    </row>
    <row r="57" customFormat="false" ht="15.75" hidden="false" customHeight="true" outlineLevel="0" collapsed="false">
      <c r="A57" s="30" t="n">
        <v>45433</v>
      </c>
      <c r="B57" s="31" t="s">
        <v>7</v>
      </c>
      <c r="C57" s="32"/>
      <c r="D57" s="32"/>
      <c r="E57" s="19" t="n">
        <f aca="false">+F57*0.03</f>
        <v>0</v>
      </c>
      <c r="F57" s="33" t="n">
        <v>0</v>
      </c>
      <c r="G57" s="62"/>
      <c r="H57" s="35" t="n">
        <v>0</v>
      </c>
      <c r="I57" s="34" t="n">
        <f aca="false">+IF(E57=0,0,E57*0.03)</f>
        <v>0</v>
      </c>
    </row>
    <row r="58" customFormat="false" ht="15.75" hidden="false" customHeight="true" outlineLevel="0" collapsed="false">
      <c r="A58" s="30" t="n">
        <v>45434</v>
      </c>
      <c r="B58" s="31" t="s">
        <v>7</v>
      </c>
      <c r="C58" s="32"/>
      <c r="D58" s="32"/>
      <c r="E58" s="19" t="n">
        <f aca="false">+F58*0.03</f>
        <v>0</v>
      </c>
      <c r="F58" s="33" t="n">
        <v>0</v>
      </c>
      <c r="G58" s="62"/>
      <c r="H58" s="35" t="n">
        <v>0</v>
      </c>
      <c r="I58" s="34" t="n">
        <f aca="false">+IF(E58=0,0,E58*0.03)</f>
        <v>0</v>
      </c>
    </row>
    <row r="59" customFormat="false" ht="15.75" hidden="false" customHeight="true" outlineLevel="0" collapsed="false">
      <c r="A59" s="30" t="n">
        <v>45435</v>
      </c>
      <c r="B59" s="31" t="s">
        <v>7</v>
      </c>
      <c r="C59" s="32"/>
      <c r="D59" s="32"/>
      <c r="E59" s="19" t="n">
        <f aca="false">+F59*0.03</f>
        <v>0</v>
      </c>
      <c r="F59" s="33" t="n">
        <v>0</v>
      </c>
      <c r="G59" s="62"/>
      <c r="H59" s="35" t="n">
        <v>0</v>
      </c>
      <c r="I59" s="34" t="n">
        <f aca="false">+IF(E59=0,0,E59*0.03)</f>
        <v>0</v>
      </c>
    </row>
    <row r="60" customFormat="false" ht="15.75" hidden="false" customHeight="true" outlineLevel="0" collapsed="false">
      <c r="A60" s="30" t="n">
        <v>45436</v>
      </c>
      <c r="B60" s="31" t="s">
        <v>7</v>
      </c>
      <c r="C60" s="32"/>
      <c r="D60" s="32"/>
      <c r="E60" s="19" t="n">
        <f aca="false">+F60*0.03</f>
        <v>0</v>
      </c>
      <c r="F60" s="33" t="n">
        <v>0</v>
      </c>
      <c r="G60" s="62"/>
      <c r="H60" s="35" t="n">
        <v>0</v>
      </c>
      <c r="I60" s="34" t="n">
        <f aca="false">+IF(E60=0,0,E60*0.03)</f>
        <v>0</v>
      </c>
    </row>
    <row r="61" customFormat="false" ht="15.75" hidden="false" customHeight="true" outlineLevel="0" collapsed="false">
      <c r="A61" s="30" t="n">
        <v>45437</v>
      </c>
      <c r="B61" s="31" t="s">
        <v>7</v>
      </c>
      <c r="C61" s="32"/>
      <c r="D61" s="32"/>
      <c r="E61" s="19" t="n">
        <f aca="false">+F61*0.03</f>
        <v>0</v>
      </c>
      <c r="F61" s="33" t="n">
        <v>0</v>
      </c>
      <c r="G61" s="62"/>
      <c r="H61" s="35" t="n">
        <v>0</v>
      </c>
      <c r="I61" s="34" t="n">
        <f aca="false">+IF(E61=0,0,E61*0.03)</f>
        <v>0</v>
      </c>
    </row>
    <row r="62" customFormat="false" ht="15.75" hidden="false" customHeight="true" outlineLevel="0" collapsed="false">
      <c r="A62" s="30" t="n">
        <v>45438</v>
      </c>
      <c r="B62" s="31" t="s">
        <v>7</v>
      </c>
      <c r="C62" s="32"/>
      <c r="D62" s="32"/>
      <c r="E62" s="19" t="n">
        <f aca="false">+F62*0.03</f>
        <v>0</v>
      </c>
      <c r="F62" s="33" t="n">
        <v>0</v>
      </c>
      <c r="G62" s="62"/>
      <c r="H62" s="35" t="n">
        <v>0</v>
      </c>
      <c r="I62" s="34" t="n">
        <f aca="false">+IF(E62=0,0,E62*0.03)</f>
        <v>0</v>
      </c>
    </row>
    <row r="63" customFormat="false" ht="15.75" hidden="false" customHeight="true" outlineLevel="0" collapsed="false">
      <c r="A63" s="30" t="n">
        <v>45439</v>
      </c>
      <c r="B63" s="31" t="s">
        <v>7</v>
      </c>
      <c r="C63" s="32"/>
      <c r="D63" s="32"/>
      <c r="E63" s="19" t="n">
        <f aca="false">+F63*0.03</f>
        <v>0</v>
      </c>
      <c r="F63" s="33" t="n">
        <v>0</v>
      </c>
      <c r="G63" s="62"/>
      <c r="H63" s="35" t="n">
        <v>0</v>
      </c>
      <c r="I63" s="34" t="n">
        <f aca="false">+IF(E63=0,0,E63*0.03)</f>
        <v>0</v>
      </c>
    </row>
    <row r="64" customFormat="false" ht="15.75" hidden="false" customHeight="true" outlineLevel="0" collapsed="false">
      <c r="A64" s="30" t="n">
        <v>45440</v>
      </c>
      <c r="B64" s="31" t="s">
        <v>7</v>
      </c>
      <c r="C64" s="32"/>
      <c r="D64" s="32"/>
      <c r="E64" s="19" t="n">
        <f aca="false">+F64*0.03</f>
        <v>0</v>
      </c>
      <c r="F64" s="33" t="n">
        <v>0</v>
      </c>
      <c r="G64" s="62"/>
      <c r="H64" s="35" t="n">
        <v>0</v>
      </c>
      <c r="I64" s="34" t="n">
        <f aca="false">+IF(E64=0,0,E64*0.03)</f>
        <v>0</v>
      </c>
    </row>
    <row r="65" customFormat="false" ht="15.75" hidden="false" customHeight="true" outlineLevel="0" collapsed="false">
      <c r="A65" s="30" t="n">
        <v>45441</v>
      </c>
      <c r="B65" s="31" t="s">
        <v>7</v>
      </c>
      <c r="C65" s="32"/>
      <c r="D65" s="32"/>
      <c r="E65" s="19" t="n">
        <f aca="false">+F65*0.03</f>
        <v>0</v>
      </c>
      <c r="F65" s="33" t="n">
        <v>0</v>
      </c>
      <c r="G65" s="62"/>
      <c r="H65" s="35" t="n">
        <v>0</v>
      </c>
      <c r="I65" s="34" t="n">
        <f aca="false">+IF(E65=0,0,E65*0.03)</f>
        <v>0</v>
      </c>
    </row>
    <row r="66" customFormat="false" ht="15.75" hidden="false" customHeight="true" outlineLevel="0" collapsed="false">
      <c r="A66" s="30" t="n">
        <v>45442</v>
      </c>
      <c r="B66" s="31" t="s">
        <v>7</v>
      </c>
      <c r="C66" s="32"/>
      <c r="D66" s="32"/>
      <c r="E66" s="19" t="n">
        <f aca="false">+F66*0.03</f>
        <v>0</v>
      </c>
      <c r="F66" s="33" t="n">
        <v>0</v>
      </c>
      <c r="G66" s="62"/>
      <c r="H66" s="35" t="n">
        <v>0</v>
      </c>
      <c r="I66" s="34" t="n">
        <f aca="false">+IF(E66=0,0,E66*0.03)</f>
        <v>0</v>
      </c>
    </row>
    <row r="67" customFormat="false" ht="15.75" hidden="false" customHeight="true" outlineLevel="0" collapsed="false">
      <c r="A67" s="30" t="n">
        <v>45443</v>
      </c>
      <c r="B67" s="31" t="s">
        <v>7</v>
      </c>
      <c r="C67" s="32"/>
      <c r="D67" s="32"/>
      <c r="E67" s="19" t="n">
        <f aca="false">+F67*0.03</f>
        <v>0</v>
      </c>
      <c r="F67" s="33" t="n">
        <v>0</v>
      </c>
      <c r="G67" s="62"/>
      <c r="H67" s="35" t="n">
        <v>0</v>
      </c>
      <c r="I67" s="34" t="n">
        <f aca="false">+IF(E67=0,0,E67*0.03)</f>
        <v>0</v>
      </c>
    </row>
    <row r="68" customFormat="false" ht="15.75" hidden="false" customHeight="true" outlineLevel="0" collapsed="false">
      <c r="A68" s="30" t="n">
        <v>45444</v>
      </c>
      <c r="B68" s="31" t="s">
        <v>7</v>
      </c>
      <c r="C68" s="32"/>
      <c r="D68" s="32"/>
      <c r="E68" s="19" t="n">
        <f aca="false">+F68*0.03</f>
        <v>0</v>
      </c>
      <c r="F68" s="33" t="n">
        <v>0</v>
      </c>
      <c r="G68" s="62"/>
      <c r="H68" s="35" t="n">
        <v>0</v>
      </c>
      <c r="I68" s="34" t="n">
        <f aca="false">+IF(E68=0,0,E68*0.03)</f>
        <v>0</v>
      </c>
    </row>
    <row r="69" customFormat="false" ht="15.75" hidden="false" customHeight="true" outlineLevel="0" collapsed="false">
      <c r="A69" s="30" t="n">
        <v>45445</v>
      </c>
      <c r="B69" s="31" t="s">
        <v>7</v>
      </c>
      <c r="C69" s="32"/>
      <c r="D69" s="32"/>
      <c r="E69" s="19" t="n">
        <f aca="false">+F69*0.03</f>
        <v>0</v>
      </c>
      <c r="F69" s="33" t="n">
        <v>0</v>
      </c>
      <c r="G69" s="62"/>
      <c r="H69" s="35" t="n">
        <v>0</v>
      </c>
      <c r="I69" s="34" t="n">
        <f aca="false">+IF(E69=0,0,E69*0.03)</f>
        <v>0</v>
      </c>
    </row>
    <row r="70" customFormat="false" ht="15.75" hidden="false" customHeight="true" outlineLevel="0" collapsed="false">
      <c r="A70" s="30" t="n">
        <v>45446</v>
      </c>
      <c r="B70" s="31" t="s">
        <v>7</v>
      </c>
      <c r="C70" s="32"/>
      <c r="D70" s="32"/>
      <c r="E70" s="19" t="n">
        <f aca="false">+F70*0.03</f>
        <v>0</v>
      </c>
      <c r="F70" s="33" t="n">
        <v>0</v>
      </c>
      <c r="G70" s="62"/>
      <c r="H70" s="35" t="n">
        <v>0</v>
      </c>
      <c r="I70" s="34" t="n">
        <f aca="false">+IF(E70=0,0,E70*0.03)</f>
        <v>0</v>
      </c>
    </row>
    <row r="71" customFormat="false" ht="15.75" hidden="false" customHeight="true" outlineLevel="0" collapsed="false">
      <c r="A71" s="30" t="n">
        <v>45447</v>
      </c>
      <c r="B71" s="31" t="s">
        <v>7</v>
      </c>
      <c r="C71" s="32"/>
      <c r="D71" s="32"/>
      <c r="E71" s="19" t="n">
        <f aca="false">+F71*0.03</f>
        <v>0</v>
      </c>
      <c r="F71" s="33" t="n">
        <v>0</v>
      </c>
      <c r="G71" s="62"/>
      <c r="H71" s="35" t="n">
        <v>0</v>
      </c>
      <c r="I71" s="34" t="n">
        <f aca="false">+IF(E71=0,0,E71*0.03)</f>
        <v>0</v>
      </c>
    </row>
    <row r="72" customFormat="false" ht="15.75" hidden="false" customHeight="true" outlineLevel="0" collapsed="false">
      <c r="A72" s="30" t="n">
        <v>45448</v>
      </c>
      <c r="B72" s="31" t="s">
        <v>7</v>
      </c>
      <c r="C72" s="32"/>
      <c r="D72" s="32"/>
      <c r="E72" s="19" t="n">
        <f aca="false">+F72*0.03</f>
        <v>0</v>
      </c>
      <c r="F72" s="33" t="n">
        <v>0</v>
      </c>
      <c r="G72" s="62"/>
      <c r="H72" s="35" t="n">
        <v>0</v>
      </c>
      <c r="I72" s="34" t="n">
        <f aca="false">+IF(E72=0,0,E72*0.03)</f>
        <v>0</v>
      </c>
    </row>
    <row r="73" customFormat="false" ht="15.75" hidden="false" customHeight="true" outlineLevel="0" collapsed="false">
      <c r="A73" s="30" t="n">
        <v>45449</v>
      </c>
      <c r="B73" s="31" t="s">
        <v>7</v>
      </c>
      <c r="C73" s="32"/>
      <c r="D73" s="32"/>
      <c r="E73" s="19" t="n">
        <f aca="false">+F73*0.03</f>
        <v>0</v>
      </c>
      <c r="F73" s="33" t="n">
        <v>0</v>
      </c>
      <c r="G73" s="62"/>
      <c r="H73" s="35" t="n">
        <v>0</v>
      </c>
      <c r="I73" s="34" t="n">
        <f aca="false">+IF(E73=0,0,E73*0.03)</f>
        <v>0</v>
      </c>
    </row>
    <row r="74" customFormat="false" ht="15.75" hidden="false" customHeight="true" outlineLevel="0" collapsed="false">
      <c r="A74" s="30" t="n">
        <v>45450</v>
      </c>
      <c r="B74" s="31" t="s">
        <v>7</v>
      </c>
      <c r="C74" s="32"/>
      <c r="D74" s="32"/>
      <c r="E74" s="19" t="n">
        <f aca="false">+F74*0.03</f>
        <v>0</v>
      </c>
      <c r="F74" s="33" t="n">
        <v>0</v>
      </c>
      <c r="G74" s="62"/>
      <c r="H74" s="35" t="n">
        <v>0</v>
      </c>
      <c r="I74" s="34" t="n">
        <f aca="false">+IF(E74=0,0,E74*0.03)</f>
        <v>0</v>
      </c>
    </row>
    <row r="75" customFormat="false" ht="15.75" hidden="false" customHeight="true" outlineLevel="0" collapsed="false">
      <c r="A75" s="30" t="n">
        <v>45451</v>
      </c>
      <c r="B75" s="31" t="s">
        <v>7</v>
      </c>
      <c r="C75" s="32"/>
      <c r="D75" s="32"/>
      <c r="E75" s="19" t="n">
        <f aca="false">+F75*0.03</f>
        <v>0</v>
      </c>
      <c r="F75" s="33" t="n">
        <v>0</v>
      </c>
      <c r="G75" s="62"/>
      <c r="H75" s="35" t="n">
        <v>0</v>
      </c>
      <c r="I75" s="34" t="n">
        <f aca="false">+IF(E75=0,0,E75*0.03)</f>
        <v>0</v>
      </c>
    </row>
    <row r="76" customFormat="false" ht="15.75" hidden="false" customHeight="true" outlineLevel="0" collapsed="false">
      <c r="A76" s="30" t="n">
        <v>45452</v>
      </c>
      <c r="B76" s="31" t="s">
        <v>7</v>
      </c>
      <c r="C76" s="32"/>
      <c r="D76" s="32"/>
      <c r="E76" s="19" t="n">
        <f aca="false">+F76*0.03</f>
        <v>0</v>
      </c>
      <c r="F76" s="33" t="n">
        <v>0</v>
      </c>
      <c r="G76" s="62"/>
      <c r="H76" s="35" t="n">
        <v>0</v>
      </c>
      <c r="I76" s="34" t="n">
        <f aca="false">+IF(E76=0,0,E76*0.03)</f>
        <v>0</v>
      </c>
    </row>
    <row r="77" customFormat="false" ht="15.75" hidden="false" customHeight="true" outlineLevel="0" collapsed="false">
      <c r="A77" s="30" t="n">
        <v>45453</v>
      </c>
      <c r="B77" s="31" t="s">
        <v>7</v>
      </c>
      <c r="C77" s="32"/>
      <c r="D77" s="32"/>
      <c r="E77" s="19" t="n">
        <f aca="false">+F77*0.03</f>
        <v>0</v>
      </c>
      <c r="F77" s="33" t="n">
        <v>0</v>
      </c>
      <c r="G77" s="62"/>
      <c r="H77" s="35" t="n">
        <v>0</v>
      </c>
      <c r="I77" s="34" t="n">
        <f aca="false">+IF(E77=0,0,E77*0.03)</f>
        <v>0</v>
      </c>
    </row>
    <row r="78" customFormat="false" ht="15.75" hidden="false" customHeight="true" outlineLevel="0" collapsed="false">
      <c r="A78" s="30" t="n">
        <v>45454</v>
      </c>
      <c r="B78" s="31" t="s">
        <v>7</v>
      </c>
      <c r="C78" s="32"/>
      <c r="D78" s="32"/>
      <c r="E78" s="19" t="n">
        <f aca="false">+F78*0.03</f>
        <v>0</v>
      </c>
      <c r="F78" s="33" t="n">
        <v>0</v>
      </c>
      <c r="G78" s="62"/>
      <c r="H78" s="35" t="n">
        <v>0</v>
      </c>
      <c r="I78" s="34" t="n">
        <f aca="false">+IF(E78=0,0,E78*0.03)</f>
        <v>0</v>
      </c>
    </row>
    <row r="79" customFormat="false" ht="15.75" hidden="false" customHeight="true" outlineLevel="0" collapsed="false">
      <c r="A79" s="30" t="n">
        <v>45455</v>
      </c>
      <c r="B79" s="31" t="s">
        <v>7</v>
      </c>
      <c r="C79" s="32"/>
      <c r="D79" s="32"/>
      <c r="E79" s="19" t="n">
        <f aca="false">+F79*0.03</f>
        <v>0</v>
      </c>
      <c r="F79" s="33" t="n">
        <v>0</v>
      </c>
      <c r="G79" s="62"/>
      <c r="H79" s="35" t="n">
        <v>0</v>
      </c>
      <c r="I79" s="34" t="n">
        <f aca="false">+IF(E79=0,0,E79*0.03)</f>
        <v>0</v>
      </c>
    </row>
    <row r="80" customFormat="false" ht="15.75" hidden="false" customHeight="true" outlineLevel="0" collapsed="false">
      <c r="A80" s="30" t="n">
        <v>45456</v>
      </c>
      <c r="B80" s="31" t="s">
        <v>7</v>
      </c>
      <c r="C80" s="32"/>
      <c r="D80" s="32"/>
      <c r="E80" s="19" t="n">
        <f aca="false">+F80*0.03</f>
        <v>0</v>
      </c>
      <c r="F80" s="33" t="n">
        <v>0</v>
      </c>
      <c r="G80" s="62"/>
      <c r="H80" s="35" t="n">
        <v>0</v>
      </c>
      <c r="I80" s="34" t="n">
        <f aca="false">+IF(E80=0,0,E80*0.03)</f>
        <v>0</v>
      </c>
    </row>
    <row r="81" customFormat="false" ht="15.75" hidden="false" customHeight="true" outlineLevel="0" collapsed="false">
      <c r="A81" s="30" t="n">
        <v>45457</v>
      </c>
      <c r="B81" s="31" t="s">
        <v>7</v>
      </c>
      <c r="C81" s="32"/>
      <c r="D81" s="32"/>
      <c r="E81" s="19" t="n">
        <f aca="false">+F81*0.03</f>
        <v>0</v>
      </c>
      <c r="F81" s="33" t="n">
        <v>0</v>
      </c>
      <c r="G81" s="62"/>
      <c r="H81" s="35" t="n">
        <v>0</v>
      </c>
      <c r="I81" s="34" t="n">
        <f aca="false">+IF(E81=0,0,E81*0.03)</f>
        <v>0</v>
      </c>
    </row>
    <row r="82" customFormat="false" ht="15.75" hidden="false" customHeight="true" outlineLevel="0" collapsed="false">
      <c r="A82" s="30" t="n">
        <v>45458</v>
      </c>
      <c r="B82" s="31" t="s">
        <v>7</v>
      </c>
      <c r="C82" s="32"/>
      <c r="D82" s="32"/>
      <c r="E82" s="19" t="n">
        <f aca="false">+F82*0.03</f>
        <v>0</v>
      </c>
      <c r="F82" s="33" t="n">
        <v>0</v>
      </c>
      <c r="G82" s="62"/>
      <c r="H82" s="35" t="n">
        <v>0</v>
      </c>
      <c r="I82" s="34" t="n">
        <f aca="false">+IF(E82=0,0,E82*0.03)</f>
        <v>0</v>
      </c>
    </row>
    <row r="83" customFormat="false" ht="15.75" hidden="false" customHeight="true" outlineLevel="0" collapsed="false">
      <c r="A83" s="30" t="n">
        <v>45459</v>
      </c>
      <c r="B83" s="31" t="s">
        <v>7</v>
      </c>
      <c r="C83" s="32"/>
      <c r="D83" s="32"/>
      <c r="E83" s="19" t="n">
        <f aca="false">+F83*0.03</f>
        <v>0</v>
      </c>
      <c r="F83" s="33" t="n">
        <v>0</v>
      </c>
      <c r="G83" s="62"/>
      <c r="H83" s="35" t="n">
        <v>0</v>
      </c>
      <c r="I83" s="34" t="n">
        <f aca="false">+IF(E83=0,0,E83*0.03)</f>
        <v>0</v>
      </c>
    </row>
    <row r="84" customFormat="false" ht="15.75" hidden="false" customHeight="true" outlineLevel="0" collapsed="false">
      <c r="A84" s="30" t="n">
        <v>45460</v>
      </c>
      <c r="B84" s="31" t="s">
        <v>7</v>
      </c>
      <c r="C84" s="32"/>
      <c r="D84" s="32"/>
      <c r="E84" s="19" t="n">
        <f aca="false">+F84*0.03</f>
        <v>0</v>
      </c>
      <c r="F84" s="33" t="n">
        <v>0</v>
      </c>
      <c r="G84" s="62"/>
      <c r="H84" s="35" t="n">
        <v>0</v>
      </c>
      <c r="I84" s="34" t="n">
        <f aca="false">+IF(E84=0,0,E84*0.03)</f>
        <v>0</v>
      </c>
    </row>
    <row r="85" customFormat="false" ht="15.75" hidden="false" customHeight="true" outlineLevel="0" collapsed="false">
      <c r="A85" s="30" t="n">
        <v>45461</v>
      </c>
      <c r="B85" s="31" t="s">
        <v>7</v>
      </c>
      <c r="C85" s="32"/>
      <c r="D85" s="32"/>
      <c r="E85" s="19" t="n">
        <f aca="false">+F85*0.03</f>
        <v>0</v>
      </c>
      <c r="F85" s="33" t="n">
        <v>0</v>
      </c>
      <c r="G85" s="62"/>
      <c r="H85" s="35" t="n">
        <v>0</v>
      </c>
      <c r="I85" s="34" t="n">
        <f aca="false">+IF(E85=0,0,E85*0.03)</f>
        <v>0</v>
      </c>
    </row>
    <row r="86" customFormat="false" ht="15.75" hidden="false" customHeight="true" outlineLevel="0" collapsed="false">
      <c r="A86" s="30" t="n">
        <v>45462</v>
      </c>
      <c r="B86" s="31" t="s">
        <v>7</v>
      </c>
      <c r="C86" s="32"/>
      <c r="D86" s="32"/>
      <c r="E86" s="19" t="n">
        <f aca="false">+F86*0.03</f>
        <v>0</v>
      </c>
      <c r="F86" s="33" t="n">
        <v>0</v>
      </c>
      <c r="G86" s="62"/>
      <c r="H86" s="35" t="n">
        <v>0</v>
      </c>
      <c r="I86" s="34" t="n">
        <f aca="false">+IF(E86=0,0,E86*0.03)</f>
        <v>0</v>
      </c>
    </row>
    <row r="87" customFormat="false" ht="15.75" hidden="false" customHeight="true" outlineLevel="0" collapsed="false">
      <c r="A87" s="30" t="n">
        <v>45463</v>
      </c>
      <c r="B87" s="31" t="s">
        <v>7</v>
      </c>
      <c r="C87" s="32"/>
      <c r="D87" s="32"/>
      <c r="E87" s="19" t="n">
        <f aca="false">+F87*0.03</f>
        <v>0</v>
      </c>
      <c r="F87" s="33" t="n">
        <v>0</v>
      </c>
      <c r="G87" s="62"/>
      <c r="H87" s="35" t="n">
        <v>0</v>
      </c>
      <c r="I87" s="34" t="n">
        <f aca="false">+IF(E87=0,0,E87*0.03)</f>
        <v>0</v>
      </c>
    </row>
    <row r="88" customFormat="false" ht="15.75" hidden="false" customHeight="true" outlineLevel="0" collapsed="false">
      <c r="A88" s="30" t="n">
        <v>45464</v>
      </c>
      <c r="B88" s="31" t="s">
        <v>7</v>
      </c>
      <c r="C88" s="32"/>
      <c r="D88" s="32"/>
      <c r="E88" s="19" t="n">
        <f aca="false">+F88*0.03</f>
        <v>0</v>
      </c>
      <c r="F88" s="33" t="n">
        <v>0</v>
      </c>
      <c r="G88" s="62"/>
      <c r="H88" s="35" t="n">
        <v>0</v>
      </c>
      <c r="I88" s="34" t="n">
        <f aca="false">+IF(E88=0,0,E88*0.03)</f>
        <v>0</v>
      </c>
    </row>
    <row r="89" customFormat="false" ht="15.75" hidden="false" customHeight="true" outlineLevel="0" collapsed="false">
      <c r="A89" s="30" t="n">
        <v>45465</v>
      </c>
      <c r="B89" s="31" t="s">
        <v>7</v>
      </c>
      <c r="C89" s="32"/>
      <c r="D89" s="32"/>
      <c r="E89" s="19" t="n">
        <f aca="false">+F89*0.03</f>
        <v>0</v>
      </c>
      <c r="F89" s="33" t="n">
        <v>0</v>
      </c>
      <c r="G89" s="62"/>
      <c r="H89" s="35" t="n">
        <v>0</v>
      </c>
      <c r="I89" s="34" t="n">
        <f aca="false">+IF(E89=0,0,E89*0.03)</f>
        <v>0</v>
      </c>
    </row>
    <row r="90" customFormat="false" ht="15.75" hidden="false" customHeight="true" outlineLevel="0" collapsed="false">
      <c r="A90" s="30" t="n">
        <v>45466</v>
      </c>
      <c r="B90" s="31" t="s">
        <v>7</v>
      </c>
      <c r="C90" s="32"/>
      <c r="D90" s="32"/>
      <c r="E90" s="19" t="n">
        <f aca="false">+F90*0.03</f>
        <v>0</v>
      </c>
      <c r="F90" s="33" t="n">
        <v>0</v>
      </c>
      <c r="G90" s="62"/>
      <c r="H90" s="35" t="n">
        <v>0</v>
      </c>
      <c r="I90" s="34" t="n">
        <f aca="false">+IF(E90=0,0,E90*0.03)</f>
        <v>0</v>
      </c>
    </row>
    <row r="91" customFormat="false" ht="15.75" hidden="false" customHeight="true" outlineLevel="0" collapsed="false">
      <c r="A91" s="30" t="n">
        <v>45467</v>
      </c>
      <c r="B91" s="31" t="s">
        <v>7</v>
      </c>
      <c r="C91" s="32"/>
      <c r="D91" s="32"/>
      <c r="E91" s="19" t="n">
        <f aca="false">+F91*0.03</f>
        <v>0</v>
      </c>
      <c r="F91" s="33" t="n">
        <v>0</v>
      </c>
      <c r="G91" s="62"/>
      <c r="H91" s="35" t="n">
        <v>0</v>
      </c>
      <c r="I91" s="34" t="n">
        <f aca="false">+IF(E91=0,0,E91*0.03)</f>
        <v>0</v>
      </c>
    </row>
    <row r="92" customFormat="false" ht="15.75" hidden="false" customHeight="true" outlineLevel="0" collapsed="false">
      <c r="A92" s="30" t="n">
        <v>45468</v>
      </c>
      <c r="B92" s="31" t="s">
        <v>7</v>
      </c>
      <c r="C92" s="32"/>
      <c r="D92" s="32"/>
      <c r="E92" s="19" t="n">
        <f aca="false">+F92*0.03</f>
        <v>0</v>
      </c>
      <c r="F92" s="33" t="n">
        <v>0</v>
      </c>
      <c r="G92" s="62"/>
      <c r="H92" s="35" t="n">
        <v>0</v>
      </c>
      <c r="I92" s="34" t="n">
        <f aca="false">+IF(E92=0,0,E92*0.03)</f>
        <v>0</v>
      </c>
    </row>
    <row r="93" customFormat="false" ht="15.75" hidden="false" customHeight="true" outlineLevel="0" collapsed="false">
      <c r="A93" s="30" t="n">
        <v>45469</v>
      </c>
      <c r="B93" s="31" t="s">
        <v>7</v>
      </c>
      <c r="C93" s="32"/>
      <c r="D93" s="32"/>
      <c r="E93" s="19" t="n">
        <f aca="false">+F93*0.03</f>
        <v>0</v>
      </c>
      <c r="F93" s="33" t="n">
        <v>0</v>
      </c>
      <c r="G93" s="62"/>
      <c r="H93" s="35" t="n">
        <v>0</v>
      </c>
      <c r="I93" s="34" t="n">
        <f aca="false">+IF(E93=0,0,E93*0.03)</f>
        <v>0</v>
      </c>
    </row>
    <row r="94" customFormat="false" ht="15.75" hidden="false" customHeight="true" outlineLevel="0" collapsed="false">
      <c r="A94" s="30" t="n">
        <v>45470</v>
      </c>
      <c r="B94" s="31" t="s">
        <v>7</v>
      </c>
      <c r="C94" s="32"/>
      <c r="D94" s="32"/>
      <c r="E94" s="19" t="n">
        <f aca="false">+F94*0.03</f>
        <v>0</v>
      </c>
      <c r="F94" s="33" t="n">
        <v>0</v>
      </c>
      <c r="G94" s="62"/>
      <c r="H94" s="35" t="n">
        <v>0</v>
      </c>
      <c r="I94" s="34" t="n">
        <f aca="false">+IF(E94=0,0,E94*0.03)</f>
        <v>0</v>
      </c>
    </row>
    <row r="95" customFormat="false" ht="15.75" hidden="false" customHeight="true" outlineLevel="0" collapsed="false">
      <c r="A95" s="30" t="n">
        <v>45471</v>
      </c>
      <c r="B95" s="31" t="s">
        <v>7</v>
      </c>
      <c r="C95" s="32"/>
      <c r="D95" s="32"/>
      <c r="E95" s="19" t="n">
        <f aca="false">+F95*0.03</f>
        <v>0</v>
      </c>
      <c r="F95" s="33" t="n">
        <v>0</v>
      </c>
      <c r="G95" s="62"/>
      <c r="H95" s="35" t="n">
        <v>0</v>
      </c>
      <c r="I95" s="34" t="n">
        <f aca="false">+IF(E95=0,0,E95*0.03)</f>
        <v>0</v>
      </c>
    </row>
    <row r="96" customFormat="false" ht="15.75" hidden="false" customHeight="true" outlineLevel="0" collapsed="false">
      <c r="A96" s="30" t="n">
        <v>45472</v>
      </c>
      <c r="B96" s="31" t="s">
        <v>7</v>
      </c>
      <c r="C96" s="32"/>
      <c r="D96" s="32"/>
      <c r="E96" s="19" t="n">
        <f aca="false">+F96*0.03</f>
        <v>0</v>
      </c>
      <c r="F96" s="33" t="n">
        <v>0</v>
      </c>
      <c r="G96" s="62"/>
      <c r="H96" s="35" t="n">
        <v>0</v>
      </c>
      <c r="I96" s="34" t="n">
        <f aca="false">+IF(E96=0,0,E96*0.03)</f>
        <v>0</v>
      </c>
    </row>
    <row r="97" customFormat="false" ht="15.75" hidden="false" customHeight="true" outlineLevel="0" collapsed="false">
      <c r="A97" s="30" t="n">
        <v>45473</v>
      </c>
      <c r="B97" s="31" t="s">
        <v>7</v>
      </c>
      <c r="C97" s="32"/>
      <c r="D97" s="32"/>
      <c r="E97" s="19" t="n">
        <f aca="false">+F97*0.03</f>
        <v>0</v>
      </c>
      <c r="F97" s="33" t="n">
        <v>0</v>
      </c>
      <c r="G97" s="62"/>
      <c r="H97" s="35" t="n">
        <v>0</v>
      </c>
      <c r="I97" s="34" t="n">
        <f aca="false">+IF(E97=0,0,E97*0.03)</f>
        <v>0</v>
      </c>
    </row>
    <row r="98" customFormat="false" ht="15.75" hidden="false" customHeight="true" outlineLevel="0" collapsed="false">
      <c r="A98" s="30" t="n">
        <v>45474</v>
      </c>
      <c r="B98" s="31" t="s">
        <v>7</v>
      </c>
      <c r="C98" s="32"/>
      <c r="D98" s="32"/>
      <c r="E98" s="19" t="n">
        <f aca="false">+F98*0.03</f>
        <v>0</v>
      </c>
      <c r="F98" s="33" t="n">
        <v>0</v>
      </c>
      <c r="G98" s="62"/>
      <c r="H98" s="35" t="n">
        <v>0</v>
      </c>
      <c r="I98" s="34" t="n">
        <f aca="false">+IF(E98=0,0,E98*0.03)</f>
        <v>0</v>
      </c>
    </row>
    <row r="99" customFormat="false" ht="15.75" hidden="false" customHeight="true" outlineLevel="0" collapsed="false">
      <c r="A99" s="30" t="n">
        <v>45475</v>
      </c>
      <c r="B99" s="31" t="s">
        <v>7</v>
      </c>
      <c r="C99" s="32"/>
      <c r="D99" s="32"/>
      <c r="E99" s="19" t="n">
        <f aca="false">+F99*0.03</f>
        <v>0</v>
      </c>
      <c r="F99" s="33" t="n">
        <v>0</v>
      </c>
      <c r="G99" s="62"/>
      <c r="H99" s="35" t="n">
        <v>0</v>
      </c>
      <c r="I99" s="34" t="n">
        <f aca="false">+IF(E99=0,0,E99*0.03)</f>
        <v>0</v>
      </c>
    </row>
    <row r="100" customFormat="false" ht="15.75" hidden="false" customHeight="true" outlineLevel="0" collapsed="false">
      <c r="A100" s="30" t="n">
        <v>45476</v>
      </c>
      <c r="B100" s="31" t="s">
        <v>7</v>
      </c>
      <c r="C100" s="32"/>
      <c r="D100" s="32"/>
      <c r="E100" s="19" t="n">
        <f aca="false">+F100*0.03</f>
        <v>0</v>
      </c>
      <c r="F100" s="33" t="n">
        <v>0</v>
      </c>
      <c r="G100" s="62"/>
      <c r="H100" s="35" t="n">
        <v>0</v>
      </c>
      <c r="I100" s="34" t="n">
        <f aca="false">+IF(E100=0,0,E100*0.03)</f>
        <v>0</v>
      </c>
    </row>
    <row r="101" customFormat="false" ht="15.75" hidden="false" customHeight="true" outlineLevel="0" collapsed="false">
      <c r="A101" s="30" t="n">
        <v>45477</v>
      </c>
      <c r="B101" s="31" t="s">
        <v>7</v>
      </c>
      <c r="C101" s="32"/>
      <c r="D101" s="32"/>
      <c r="E101" s="19" t="n">
        <f aca="false">+F101*0.03</f>
        <v>0</v>
      </c>
      <c r="F101" s="33" t="n">
        <v>0</v>
      </c>
      <c r="G101" s="62"/>
      <c r="H101" s="35" t="n">
        <v>0</v>
      </c>
      <c r="I101" s="34" t="n">
        <f aca="false">+IF(E101=0,0,E101*0.03)</f>
        <v>0</v>
      </c>
    </row>
    <row r="102" customFormat="false" ht="15.75" hidden="false" customHeight="true" outlineLevel="0" collapsed="false">
      <c r="A102" s="30" t="n">
        <v>45478</v>
      </c>
      <c r="B102" s="31" t="s">
        <v>7</v>
      </c>
      <c r="C102" s="32"/>
      <c r="D102" s="32"/>
      <c r="E102" s="19" t="n">
        <f aca="false">+F102*0.03</f>
        <v>0</v>
      </c>
      <c r="F102" s="33" t="n">
        <v>0</v>
      </c>
      <c r="G102" s="62"/>
      <c r="H102" s="35" t="n">
        <v>0</v>
      </c>
      <c r="I102" s="34" t="n">
        <f aca="false">+IF(E102=0,0,E102*0.03)</f>
        <v>0</v>
      </c>
    </row>
    <row r="103" customFormat="false" ht="15.75" hidden="false" customHeight="true" outlineLevel="0" collapsed="false">
      <c r="A103" s="30" t="n">
        <v>45479</v>
      </c>
      <c r="B103" s="31" t="s">
        <v>7</v>
      </c>
      <c r="C103" s="32"/>
      <c r="D103" s="32"/>
      <c r="E103" s="19" t="n">
        <f aca="false">+F103*0.03</f>
        <v>0</v>
      </c>
      <c r="F103" s="33" t="n">
        <v>0</v>
      </c>
      <c r="G103" s="62"/>
      <c r="H103" s="35" t="n">
        <v>0</v>
      </c>
      <c r="I103" s="34" t="n">
        <f aca="false">+IF(E103=0,0,E103*0.03)</f>
        <v>0</v>
      </c>
    </row>
    <row r="104" customFormat="false" ht="15.75" hidden="false" customHeight="true" outlineLevel="0" collapsed="false">
      <c r="A104" s="30" t="n">
        <v>45480</v>
      </c>
      <c r="B104" s="31" t="s">
        <v>7</v>
      </c>
      <c r="C104" s="32"/>
      <c r="D104" s="32"/>
      <c r="E104" s="19" t="n">
        <f aca="false">+F104*0.03</f>
        <v>0</v>
      </c>
      <c r="F104" s="33" t="n">
        <v>0</v>
      </c>
      <c r="G104" s="62"/>
      <c r="H104" s="35" t="n">
        <v>0</v>
      </c>
      <c r="I104" s="34" t="n">
        <f aca="false">+IF(E104=0,0,E104*0.03)</f>
        <v>0</v>
      </c>
    </row>
    <row r="105" customFormat="false" ht="15.75" hidden="false" customHeight="true" outlineLevel="0" collapsed="false">
      <c r="A105" s="30" t="n">
        <v>45481</v>
      </c>
      <c r="B105" s="31" t="s">
        <v>7</v>
      </c>
      <c r="C105" s="32"/>
      <c r="D105" s="32"/>
      <c r="E105" s="19" t="n">
        <f aca="false">+F105*0.03</f>
        <v>0</v>
      </c>
      <c r="F105" s="33" t="n">
        <v>0</v>
      </c>
      <c r="G105" s="62"/>
      <c r="H105" s="35" t="n">
        <v>0</v>
      </c>
      <c r="I105" s="34" t="n">
        <f aca="false">+IF(E105=0,0,E105*0.03)</f>
        <v>0</v>
      </c>
    </row>
    <row r="106" customFormat="false" ht="15.75" hidden="false" customHeight="true" outlineLevel="0" collapsed="false">
      <c r="A106" s="30" t="n">
        <v>45482</v>
      </c>
      <c r="B106" s="31" t="s">
        <v>7</v>
      </c>
      <c r="C106" s="32"/>
      <c r="D106" s="32"/>
      <c r="E106" s="19" t="n">
        <f aca="false">+F106*0.03</f>
        <v>0</v>
      </c>
      <c r="F106" s="33" t="n">
        <v>0</v>
      </c>
      <c r="G106" s="62"/>
      <c r="H106" s="35" t="n">
        <v>0</v>
      </c>
      <c r="I106" s="34" t="n">
        <f aca="false">+IF(E106=0,0,E106*0.03)</f>
        <v>0</v>
      </c>
    </row>
    <row r="107" customFormat="false" ht="15.75" hidden="false" customHeight="true" outlineLevel="0" collapsed="false">
      <c r="A107" s="30" t="n">
        <v>45483</v>
      </c>
      <c r="B107" s="31" t="s">
        <v>7</v>
      </c>
      <c r="C107" s="32"/>
      <c r="D107" s="32"/>
      <c r="E107" s="19" t="n">
        <f aca="false">+F107*0.03</f>
        <v>0</v>
      </c>
      <c r="F107" s="33" t="n">
        <v>0</v>
      </c>
      <c r="G107" s="62"/>
      <c r="H107" s="35" t="n">
        <v>0</v>
      </c>
      <c r="I107" s="34" t="n">
        <f aca="false">+IF(E107=0,0,E107*0.03)</f>
        <v>0</v>
      </c>
    </row>
    <row r="108" customFormat="false" ht="15.75" hidden="false" customHeight="true" outlineLevel="0" collapsed="false">
      <c r="A108" s="30" t="n">
        <v>45484</v>
      </c>
      <c r="B108" s="31" t="s">
        <v>7</v>
      </c>
      <c r="C108" s="32"/>
      <c r="D108" s="32"/>
      <c r="E108" s="19" t="n">
        <f aca="false">+F108*0.03</f>
        <v>0</v>
      </c>
      <c r="F108" s="33" t="n">
        <v>0</v>
      </c>
      <c r="G108" s="62"/>
      <c r="H108" s="35" t="n">
        <v>0</v>
      </c>
      <c r="I108" s="34" t="n">
        <f aca="false">+IF(E108=0,0,E108*0.03)</f>
        <v>0</v>
      </c>
    </row>
    <row r="109" customFormat="false" ht="15.75" hidden="false" customHeight="true" outlineLevel="0" collapsed="false">
      <c r="A109" s="30" t="n">
        <v>45485</v>
      </c>
      <c r="B109" s="31" t="s">
        <v>7</v>
      </c>
      <c r="C109" s="32"/>
      <c r="D109" s="32"/>
      <c r="E109" s="19" t="n">
        <f aca="false">+F109*0.03</f>
        <v>0</v>
      </c>
      <c r="F109" s="33" t="n">
        <v>0</v>
      </c>
      <c r="G109" s="62"/>
      <c r="H109" s="35" t="n">
        <v>0</v>
      </c>
      <c r="I109" s="34" t="n">
        <f aca="false">+IF(E109=0,0,E109*0.03)</f>
        <v>0</v>
      </c>
    </row>
    <row r="110" customFormat="false" ht="15.75" hidden="false" customHeight="true" outlineLevel="0" collapsed="false">
      <c r="A110" s="30" t="n">
        <v>45486</v>
      </c>
      <c r="B110" s="31" t="s">
        <v>7</v>
      </c>
      <c r="C110" s="32"/>
      <c r="D110" s="32"/>
      <c r="E110" s="19" t="n">
        <f aca="false">+F110*0.03</f>
        <v>0</v>
      </c>
      <c r="F110" s="33" t="n">
        <v>0</v>
      </c>
      <c r="G110" s="62"/>
      <c r="H110" s="35" t="n">
        <v>0</v>
      </c>
      <c r="I110" s="34" t="n">
        <f aca="false">+IF(E110=0,0,E110*0.03)</f>
        <v>0</v>
      </c>
    </row>
    <row r="111" customFormat="false" ht="15.75" hidden="false" customHeight="true" outlineLevel="0" collapsed="false">
      <c r="A111" s="30" t="n">
        <v>45487</v>
      </c>
      <c r="B111" s="31" t="s">
        <v>7</v>
      </c>
      <c r="C111" s="32"/>
      <c r="D111" s="32"/>
      <c r="E111" s="19" t="n">
        <f aca="false">+F111*0.03</f>
        <v>0</v>
      </c>
      <c r="F111" s="33" t="n">
        <v>0</v>
      </c>
      <c r="G111" s="62"/>
      <c r="H111" s="35" t="n">
        <v>0</v>
      </c>
      <c r="I111" s="34" t="n">
        <f aca="false">+IF(E111=0,0,E111*0.03)</f>
        <v>0</v>
      </c>
    </row>
    <row r="112" customFormat="false" ht="15.75" hidden="false" customHeight="true" outlineLevel="0" collapsed="false">
      <c r="A112" s="30" t="n">
        <v>45488</v>
      </c>
      <c r="B112" s="31" t="s">
        <v>7</v>
      </c>
      <c r="C112" s="32"/>
      <c r="D112" s="32"/>
      <c r="E112" s="19" t="n">
        <f aca="false">+F112*0.03</f>
        <v>0</v>
      </c>
      <c r="F112" s="33" t="n">
        <v>0</v>
      </c>
      <c r="G112" s="62"/>
      <c r="H112" s="35" t="n">
        <v>0</v>
      </c>
      <c r="I112" s="34" t="n">
        <f aca="false">+IF(E112=0,0,E112*0.03)</f>
        <v>0</v>
      </c>
    </row>
    <row r="113" customFormat="false" ht="15.75" hidden="false" customHeight="true" outlineLevel="0" collapsed="false">
      <c r="A113" s="30" t="n">
        <v>45489</v>
      </c>
      <c r="B113" s="31" t="s">
        <v>7</v>
      </c>
      <c r="C113" s="32"/>
      <c r="D113" s="32"/>
      <c r="E113" s="19" t="n">
        <f aca="false">+F113*0.03</f>
        <v>0</v>
      </c>
      <c r="F113" s="33" t="n">
        <v>0</v>
      </c>
      <c r="G113" s="62"/>
      <c r="H113" s="35" t="n">
        <v>0</v>
      </c>
      <c r="I113" s="34" t="n">
        <f aca="false">+IF(E113=0,0,E113*0.03)</f>
        <v>0</v>
      </c>
    </row>
    <row r="114" customFormat="false" ht="15.75" hidden="false" customHeight="true" outlineLevel="0" collapsed="false">
      <c r="A114" s="30" t="n">
        <v>45490</v>
      </c>
      <c r="B114" s="31" t="s">
        <v>7</v>
      </c>
      <c r="C114" s="32"/>
      <c r="D114" s="32"/>
      <c r="E114" s="19" t="n">
        <f aca="false">+F114*0.03</f>
        <v>0</v>
      </c>
      <c r="F114" s="33" t="n">
        <v>0</v>
      </c>
      <c r="G114" s="62"/>
      <c r="H114" s="35" t="n">
        <v>0</v>
      </c>
      <c r="I114" s="34" t="n">
        <f aca="false">+IF(E114=0,0,E114*0.03)</f>
        <v>0</v>
      </c>
    </row>
    <row r="115" customFormat="false" ht="15.75" hidden="false" customHeight="true" outlineLevel="0" collapsed="false">
      <c r="A115" s="30" t="n">
        <v>45491</v>
      </c>
      <c r="B115" s="31" t="s">
        <v>7</v>
      </c>
      <c r="C115" s="32"/>
      <c r="D115" s="32"/>
      <c r="E115" s="19" t="n">
        <f aca="false">+F115*0.03</f>
        <v>0</v>
      </c>
      <c r="F115" s="33" t="n">
        <v>0</v>
      </c>
      <c r="G115" s="62"/>
      <c r="H115" s="35" t="n">
        <v>0</v>
      </c>
      <c r="I115" s="34" t="n">
        <f aca="false">+IF(E115=0,0,E115*0.03)</f>
        <v>0</v>
      </c>
    </row>
    <row r="116" customFormat="false" ht="15.75" hidden="false" customHeight="true" outlineLevel="0" collapsed="false">
      <c r="A116" s="30" t="n">
        <v>45492</v>
      </c>
      <c r="B116" s="31" t="s">
        <v>7</v>
      </c>
      <c r="C116" s="32"/>
      <c r="D116" s="32"/>
      <c r="E116" s="19" t="n">
        <f aca="false">+F116*0.03</f>
        <v>0</v>
      </c>
      <c r="F116" s="33" t="n">
        <v>0</v>
      </c>
      <c r="G116" s="62"/>
      <c r="H116" s="35" t="n">
        <v>0</v>
      </c>
      <c r="I116" s="34" t="n">
        <f aca="false">+IF(E116=0,0,E116*0.03)</f>
        <v>0</v>
      </c>
    </row>
    <row r="117" customFormat="false" ht="15.75" hidden="false" customHeight="true" outlineLevel="0" collapsed="false">
      <c r="A117" s="30" t="n">
        <v>45493</v>
      </c>
      <c r="B117" s="31" t="s">
        <v>7</v>
      </c>
      <c r="C117" s="32"/>
      <c r="D117" s="32"/>
      <c r="E117" s="19" t="n">
        <f aca="false">+F117*0.03</f>
        <v>0</v>
      </c>
      <c r="F117" s="33" t="n">
        <v>0</v>
      </c>
      <c r="G117" s="62"/>
      <c r="H117" s="35" t="n">
        <v>0</v>
      </c>
      <c r="I117" s="34" t="n">
        <f aca="false">+IF(E117=0,0,E117*0.03)</f>
        <v>0</v>
      </c>
    </row>
    <row r="118" customFormat="false" ht="15.75" hidden="false" customHeight="true" outlineLevel="0" collapsed="false">
      <c r="A118" s="30" t="n">
        <v>45494</v>
      </c>
      <c r="B118" s="31" t="s">
        <v>7</v>
      </c>
      <c r="C118" s="32"/>
      <c r="D118" s="32"/>
      <c r="E118" s="19" t="n">
        <f aca="false">+F118*0.03</f>
        <v>0</v>
      </c>
      <c r="F118" s="33" t="n">
        <v>0</v>
      </c>
      <c r="G118" s="62"/>
      <c r="H118" s="35" t="n">
        <v>0</v>
      </c>
      <c r="I118" s="34" t="n">
        <f aca="false">+IF(E118=0,0,E118*0.03)</f>
        <v>0</v>
      </c>
    </row>
    <row r="119" customFormat="false" ht="15.75" hidden="false" customHeight="true" outlineLevel="0" collapsed="false">
      <c r="A119" s="30" t="n">
        <v>45495</v>
      </c>
      <c r="B119" s="31" t="s">
        <v>7</v>
      </c>
      <c r="C119" s="32"/>
      <c r="D119" s="32"/>
      <c r="E119" s="19" t="n">
        <f aca="false">+F119*0.03</f>
        <v>0</v>
      </c>
      <c r="F119" s="33" t="n">
        <v>0</v>
      </c>
      <c r="G119" s="62"/>
      <c r="H119" s="35" t="n">
        <v>0</v>
      </c>
      <c r="I119" s="34" t="n">
        <f aca="false">+IF(E119=0,0,E119*0.03)</f>
        <v>0</v>
      </c>
    </row>
    <row r="120" customFormat="false" ht="15.75" hidden="false" customHeight="true" outlineLevel="0" collapsed="false">
      <c r="A120" s="30" t="n">
        <v>45496</v>
      </c>
      <c r="B120" s="31" t="s">
        <v>7</v>
      </c>
      <c r="C120" s="32"/>
      <c r="D120" s="32"/>
      <c r="E120" s="19" t="n">
        <f aca="false">+F120*0.03</f>
        <v>0</v>
      </c>
      <c r="F120" s="33" t="n">
        <v>0</v>
      </c>
      <c r="G120" s="62"/>
      <c r="H120" s="35" t="n">
        <v>0</v>
      </c>
      <c r="I120" s="34" t="n">
        <f aca="false">+IF(E120=0,0,E120*0.03)</f>
        <v>0</v>
      </c>
    </row>
    <row r="121" customFormat="false" ht="15.75" hidden="false" customHeight="true" outlineLevel="0" collapsed="false">
      <c r="A121" s="30" t="n">
        <v>45497</v>
      </c>
      <c r="B121" s="31" t="s">
        <v>7</v>
      </c>
      <c r="C121" s="32"/>
      <c r="D121" s="32"/>
      <c r="E121" s="19" t="n">
        <f aca="false">+F121*0.03</f>
        <v>0</v>
      </c>
      <c r="F121" s="33" t="n">
        <v>0</v>
      </c>
      <c r="G121" s="62"/>
      <c r="H121" s="35" t="n">
        <v>0</v>
      </c>
      <c r="I121" s="34" t="n">
        <f aca="false">+IF(E121=0,0,E121*0.03)</f>
        <v>0</v>
      </c>
    </row>
    <row r="122" customFormat="false" ht="15.75" hidden="false" customHeight="true" outlineLevel="0" collapsed="false">
      <c r="A122" s="30" t="n">
        <v>45498</v>
      </c>
      <c r="B122" s="31" t="s">
        <v>7</v>
      </c>
      <c r="C122" s="32"/>
      <c r="D122" s="32"/>
      <c r="E122" s="19" t="n">
        <f aca="false">+F122*0.03</f>
        <v>0</v>
      </c>
      <c r="F122" s="33" t="n">
        <v>0</v>
      </c>
      <c r="G122" s="62"/>
      <c r="H122" s="35" t="n">
        <v>0</v>
      </c>
      <c r="I122" s="34" t="n">
        <f aca="false">+IF(E122=0,0,E122*0.03)</f>
        <v>0</v>
      </c>
    </row>
    <row r="123" customFormat="false" ht="15.75" hidden="false" customHeight="true" outlineLevel="0" collapsed="false">
      <c r="A123" s="30" t="n">
        <v>45499</v>
      </c>
      <c r="B123" s="31" t="s">
        <v>7</v>
      </c>
      <c r="C123" s="32"/>
      <c r="D123" s="32"/>
      <c r="E123" s="19" t="n">
        <f aca="false">+F123*0.03</f>
        <v>0</v>
      </c>
      <c r="F123" s="33" t="n">
        <v>0</v>
      </c>
      <c r="G123" s="62"/>
      <c r="H123" s="35" t="n">
        <v>0</v>
      </c>
      <c r="I123" s="34" t="n">
        <f aca="false">+IF(E123=0,0,E123*0.03)</f>
        <v>0</v>
      </c>
    </row>
    <row r="124" customFormat="false" ht="15.75" hidden="false" customHeight="true" outlineLevel="0" collapsed="false">
      <c r="A124" s="30" t="n">
        <v>45500</v>
      </c>
      <c r="B124" s="31" t="s">
        <v>7</v>
      </c>
      <c r="C124" s="32"/>
      <c r="D124" s="32"/>
      <c r="E124" s="19" t="n">
        <f aca="false">+F124*0.03</f>
        <v>0</v>
      </c>
      <c r="F124" s="33" t="n">
        <v>0</v>
      </c>
      <c r="G124" s="62"/>
      <c r="H124" s="35" t="n">
        <v>0</v>
      </c>
      <c r="I124" s="34" t="n">
        <f aca="false">+IF(E124=0,0,E124*0.03)</f>
        <v>0</v>
      </c>
    </row>
    <row r="125" customFormat="false" ht="15.75" hidden="false" customHeight="true" outlineLevel="0" collapsed="false">
      <c r="A125" s="30" t="n">
        <v>45501</v>
      </c>
      <c r="B125" s="31" t="s">
        <v>7</v>
      </c>
      <c r="C125" s="32"/>
      <c r="D125" s="32"/>
      <c r="E125" s="19" t="n">
        <f aca="false">+F125*0.03</f>
        <v>0</v>
      </c>
      <c r="F125" s="33" t="n">
        <v>0</v>
      </c>
      <c r="G125" s="62"/>
      <c r="H125" s="35" t="n">
        <v>0</v>
      </c>
      <c r="I125" s="34" t="n">
        <f aca="false">+IF(E125=0,0,E125*0.03)</f>
        <v>0</v>
      </c>
    </row>
    <row r="126" customFormat="false" ht="15.75" hidden="false" customHeight="true" outlineLevel="0" collapsed="false">
      <c r="A126" s="30" t="n">
        <v>45502</v>
      </c>
      <c r="B126" s="31" t="s">
        <v>7</v>
      </c>
      <c r="C126" s="32"/>
      <c r="D126" s="32"/>
      <c r="E126" s="19" t="n">
        <f aca="false">+F126*0.03</f>
        <v>0</v>
      </c>
      <c r="F126" s="33" t="n">
        <v>0</v>
      </c>
      <c r="G126" s="62"/>
      <c r="H126" s="35" t="n">
        <v>0</v>
      </c>
      <c r="I126" s="34" t="n">
        <f aca="false">+IF(E126=0,0,E126*0.03)</f>
        <v>0</v>
      </c>
    </row>
    <row r="127" customFormat="false" ht="15.75" hidden="false" customHeight="true" outlineLevel="0" collapsed="false">
      <c r="A127" s="30" t="n">
        <v>45503</v>
      </c>
      <c r="B127" s="31" t="s">
        <v>7</v>
      </c>
      <c r="C127" s="32"/>
      <c r="D127" s="32"/>
      <c r="E127" s="19" t="n">
        <f aca="false">+F127*0.03</f>
        <v>0</v>
      </c>
      <c r="F127" s="33" t="n">
        <v>0</v>
      </c>
      <c r="G127" s="62"/>
      <c r="H127" s="35" t="n">
        <v>0</v>
      </c>
      <c r="I127" s="34" t="n">
        <f aca="false">+IF(E127=0,0,E127*0.03)</f>
        <v>0</v>
      </c>
    </row>
    <row r="128" customFormat="false" ht="15.75" hidden="false" customHeight="true" outlineLevel="0" collapsed="false">
      <c r="A128" s="30" t="n">
        <v>45504</v>
      </c>
      <c r="B128" s="31" t="s">
        <v>7</v>
      </c>
      <c r="C128" s="32"/>
      <c r="D128" s="32"/>
      <c r="E128" s="19" t="n">
        <f aca="false">+F128*0.03</f>
        <v>0</v>
      </c>
      <c r="F128" s="33" t="n">
        <v>0</v>
      </c>
      <c r="G128" s="62"/>
      <c r="H128" s="35" t="n">
        <v>0</v>
      </c>
      <c r="I128" s="34" t="n">
        <f aca="false">+IF(E128=0,0,E128*0.03)</f>
        <v>0</v>
      </c>
    </row>
    <row r="129" customFormat="false" ht="15.75" hidden="false" customHeight="true" outlineLevel="0" collapsed="false">
      <c r="A129" s="30" t="n">
        <v>45505</v>
      </c>
      <c r="B129" s="31" t="s">
        <v>7</v>
      </c>
      <c r="C129" s="32"/>
      <c r="D129" s="32"/>
      <c r="E129" s="19" t="n">
        <f aca="false">+F129*0.03</f>
        <v>0</v>
      </c>
      <c r="F129" s="33" t="n">
        <v>0</v>
      </c>
      <c r="G129" s="62"/>
      <c r="H129" s="35" t="n">
        <v>0</v>
      </c>
      <c r="I129" s="34" t="n">
        <f aca="false">+IF(E129=0,0,E129*0.03)</f>
        <v>0</v>
      </c>
    </row>
    <row r="130" customFormat="false" ht="15.75" hidden="false" customHeight="true" outlineLevel="0" collapsed="false">
      <c r="A130" s="30" t="n">
        <v>45506</v>
      </c>
      <c r="B130" s="31" t="s">
        <v>7</v>
      </c>
      <c r="C130" s="32"/>
      <c r="D130" s="32"/>
      <c r="E130" s="19" t="n">
        <f aca="false">+F130*0.03</f>
        <v>0</v>
      </c>
      <c r="F130" s="33" t="n">
        <v>0</v>
      </c>
      <c r="G130" s="62"/>
      <c r="H130" s="35" t="n">
        <v>0</v>
      </c>
      <c r="I130" s="34" t="n">
        <f aca="false">+IF(E130=0,0,E130*0.03)</f>
        <v>0</v>
      </c>
    </row>
    <row r="131" customFormat="false" ht="15.75" hidden="false" customHeight="true" outlineLevel="0" collapsed="false">
      <c r="A131" s="30" t="n">
        <v>45507</v>
      </c>
      <c r="B131" s="31" t="s">
        <v>7</v>
      </c>
      <c r="C131" s="32"/>
      <c r="D131" s="32"/>
      <c r="E131" s="19" t="n">
        <f aca="false">+F131*0.03</f>
        <v>0</v>
      </c>
      <c r="F131" s="33" t="n">
        <v>0</v>
      </c>
      <c r="G131" s="62"/>
      <c r="H131" s="35" t="n">
        <v>0</v>
      </c>
      <c r="I131" s="34" t="n">
        <f aca="false">+IF(E131=0,0,E131*0.03)</f>
        <v>0</v>
      </c>
    </row>
    <row r="132" customFormat="false" ht="15.75" hidden="false" customHeight="true" outlineLevel="0" collapsed="false">
      <c r="A132" s="30" t="n">
        <v>45508</v>
      </c>
      <c r="B132" s="31" t="s">
        <v>7</v>
      </c>
      <c r="C132" s="32"/>
      <c r="D132" s="32"/>
      <c r="E132" s="19" t="n">
        <f aca="false">+F132*0.03</f>
        <v>0</v>
      </c>
      <c r="F132" s="33" t="n">
        <v>0</v>
      </c>
      <c r="G132" s="62"/>
      <c r="H132" s="35" t="n">
        <v>0</v>
      </c>
      <c r="I132" s="34" t="n">
        <f aca="false">+IF(E132=0,0,E132*0.03)</f>
        <v>0</v>
      </c>
    </row>
    <row r="133" customFormat="false" ht="15.75" hidden="false" customHeight="true" outlineLevel="0" collapsed="false">
      <c r="A133" s="30" t="n">
        <v>45509</v>
      </c>
      <c r="B133" s="31" t="s">
        <v>7</v>
      </c>
      <c r="C133" s="32"/>
      <c r="D133" s="32"/>
      <c r="E133" s="19" t="n">
        <f aca="false">+F133*0.03</f>
        <v>0</v>
      </c>
      <c r="F133" s="33" t="n">
        <v>0</v>
      </c>
      <c r="G133" s="62"/>
      <c r="H133" s="35" t="n">
        <v>0</v>
      </c>
      <c r="I133" s="34" t="n">
        <f aca="false">+IF(E133=0,0,E133*0.03)</f>
        <v>0</v>
      </c>
    </row>
    <row r="134" customFormat="false" ht="15.75" hidden="false" customHeight="true" outlineLevel="0" collapsed="false">
      <c r="A134" s="30" t="n">
        <v>45510</v>
      </c>
      <c r="B134" s="31" t="s">
        <v>7</v>
      </c>
      <c r="C134" s="32"/>
      <c r="D134" s="32"/>
      <c r="E134" s="19" t="n">
        <f aca="false">+F134*0.03</f>
        <v>0</v>
      </c>
      <c r="F134" s="33" t="n">
        <v>0</v>
      </c>
      <c r="G134" s="62"/>
      <c r="H134" s="35" t="n">
        <v>0</v>
      </c>
      <c r="I134" s="34" t="n">
        <f aca="false">+IF(E134=0,0,E134*0.03)</f>
        <v>0</v>
      </c>
    </row>
    <row r="135" customFormat="false" ht="15.75" hidden="false" customHeight="true" outlineLevel="0" collapsed="false">
      <c r="A135" s="30" t="n">
        <v>45511</v>
      </c>
      <c r="B135" s="31" t="s">
        <v>7</v>
      </c>
      <c r="C135" s="32"/>
      <c r="D135" s="32"/>
      <c r="E135" s="19" t="n">
        <f aca="false">+F135*0.03</f>
        <v>0</v>
      </c>
      <c r="F135" s="33" t="n">
        <v>0</v>
      </c>
      <c r="G135" s="62"/>
      <c r="H135" s="35" t="n">
        <v>0</v>
      </c>
      <c r="I135" s="34" t="n">
        <f aca="false">+IF(E135=0,0,E135*0.03)</f>
        <v>0</v>
      </c>
    </row>
    <row r="136" customFormat="false" ht="15.75" hidden="false" customHeight="true" outlineLevel="0" collapsed="false">
      <c r="A136" s="30" t="n">
        <v>45512</v>
      </c>
      <c r="B136" s="31" t="s">
        <v>7</v>
      </c>
      <c r="C136" s="32"/>
      <c r="D136" s="32"/>
      <c r="E136" s="19" t="n">
        <f aca="false">+F136*0.03</f>
        <v>0</v>
      </c>
      <c r="F136" s="33" t="n">
        <v>0</v>
      </c>
      <c r="G136" s="62"/>
      <c r="H136" s="35" t="n">
        <v>0</v>
      </c>
      <c r="I136" s="34" t="n">
        <f aca="false">+IF(E136=0,0,E136*0.03)</f>
        <v>0</v>
      </c>
    </row>
    <row r="137" customFormat="false" ht="15.75" hidden="false" customHeight="true" outlineLevel="0" collapsed="false">
      <c r="A137" s="30" t="n">
        <v>45513</v>
      </c>
      <c r="B137" s="31" t="s">
        <v>7</v>
      </c>
      <c r="C137" s="32"/>
      <c r="D137" s="32"/>
      <c r="E137" s="19" t="n">
        <f aca="false">+F137*0.03</f>
        <v>0</v>
      </c>
      <c r="F137" s="33" t="n">
        <v>0</v>
      </c>
      <c r="G137" s="62"/>
      <c r="H137" s="35" t="n">
        <v>0</v>
      </c>
      <c r="I137" s="34" t="n">
        <f aca="false">+IF(E137=0,0,E137*0.03)</f>
        <v>0</v>
      </c>
    </row>
    <row r="138" customFormat="false" ht="15.75" hidden="false" customHeight="true" outlineLevel="0" collapsed="false">
      <c r="A138" s="30" t="n">
        <v>45514</v>
      </c>
      <c r="B138" s="31" t="s">
        <v>7</v>
      </c>
      <c r="C138" s="32"/>
      <c r="D138" s="32"/>
      <c r="E138" s="19" t="n">
        <f aca="false">+F138*0.03</f>
        <v>0</v>
      </c>
      <c r="F138" s="33" t="n">
        <v>0</v>
      </c>
      <c r="G138" s="62"/>
      <c r="H138" s="35" t="n">
        <v>0</v>
      </c>
      <c r="I138" s="34" t="n">
        <f aca="false">+IF(E138=0,0,E138*0.03)</f>
        <v>0</v>
      </c>
    </row>
    <row r="139" customFormat="false" ht="15.75" hidden="false" customHeight="true" outlineLevel="0" collapsed="false">
      <c r="A139" s="30" t="n">
        <v>45515</v>
      </c>
      <c r="B139" s="31" t="s">
        <v>7</v>
      </c>
      <c r="C139" s="32"/>
      <c r="D139" s="32"/>
      <c r="E139" s="19" t="n">
        <f aca="false">+F139*0.03</f>
        <v>0</v>
      </c>
      <c r="F139" s="33" t="n">
        <v>0</v>
      </c>
      <c r="G139" s="62"/>
      <c r="H139" s="35" t="n">
        <v>0</v>
      </c>
      <c r="I139" s="34" t="n">
        <f aca="false">+IF(E139=0,0,E139*0.03)</f>
        <v>0</v>
      </c>
    </row>
    <row r="140" customFormat="false" ht="15.75" hidden="false" customHeight="true" outlineLevel="0" collapsed="false">
      <c r="A140" s="30" t="n">
        <v>45516</v>
      </c>
      <c r="B140" s="31" t="s">
        <v>7</v>
      </c>
      <c r="C140" s="32"/>
      <c r="D140" s="32"/>
      <c r="E140" s="19" t="n">
        <f aca="false">+F140*0.03</f>
        <v>0</v>
      </c>
      <c r="F140" s="33" t="n">
        <v>0</v>
      </c>
      <c r="G140" s="62"/>
      <c r="H140" s="35" t="n">
        <v>0</v>
      </c>
      <c r="I140" s="34" t="n">
        <f aca="false">+IF(E140=0,0,E140*0.03)</f>
        <v>0</v>
      </c>
    </row>
    <row r="141" customFormat="false" ht="15.75" hidden="false" customHeight="true" outlineLevel="0" collapsed="false">
      <c r="A141" s="30" t="n">
        <v>45517</v>
      </c>
      <c r="B141" s="31" t="s">
        <v>7</v>
      </c>
      <c r="C141" s="32"/>
      <c r="D141" s="32"/>
      <c r="E141" s="19" t="n">
        <f aca="false">+F141*0.03</f>
        <v>0</v>
      </c>
      <c r="F141" s="33" t="n">
        <v>0</v>
      </c>
      <c r="G141" s="62"/>
      <c r="H141" s="35" t="n">
        <v>0</v>
      </c>
      <c r="I141" s="34" t="n">
        <f aca="false">+IF(E141=0,0,E141*0.03)</f>
        <v>0</v>
      </c>
    </row>
    <row r="142" customFormat="false" ht="15.75" hidden="false" customHeight="true" outlineLevel="0" collapsed="false">
      <c r="A142" s="30" t="n">
        <v>45518</v>
      </c>
      <c r="B142" s="31" t="s">
        <v>7</v>
      </c>
      <c r="C142" s="32"/>
      <c r="D142" s="32"/>
      <c r="E142" s="19" t="n">
        <f aca="false">+F142*0.03</f>
        <v>0</v>
      </c>
      <c r="F142" s="33" t="n">
        <v>0</v>
      </c>
      <c r="G142" s="62"/>
      <c r="H142" s="35" t="n">
        <v>0</v>
      </c>
      <c r="I142" s="34" t="n">
        <f aca="false">+IF(E142=0,0,E142*0.03)</f>
        <v>0</v>
      </c>
    </row>
    <row r="143" customFormat="false" ht="15.75" hidden="false" customHeight="true" outlineLevel="0" collapsed="false">
      <c r="A143" s="30" t="n">
        <v>45519</v>
      </c>
      <c r="B143" s="31" t="s">
        <v>7</v>
      </c>
      <c r="C143" s="32"/>
      <c r="D143" s="32"/>
      <c r="E143" s="19" t="n">
        <f aca="false">+F143*0.03</f>
        <v>0</v>
      </c>
      <c r="F143" s="33" t="n">
        <v>0</v>
      </c>
      <c r="G143" s="62"/>
      <c r="H143" s="35" t="n">
        <v>0</v>
      </c>
      <c r="I143" s="34" t="n">
        <f aca="false">+IF(E143=0,0,E143*0.03)</f>
        <v>0</v>
      </c>
    </row>
    <row r="144" customFormat="false" ht="15.75" hidden="false" customHeight="true" outlineLevel="0" collapsed="false">
      <c r="A144" s="30" t="n">
        <v>45520</v>
      </c>
      <c r="B144" s="31" t="s">
        <v>7</v>
      </c>
      <c r="C144" s="32"/>
      <c r="D144" s="32"/>
      <c r="E144" s="19" t="n">
        <f aca="false">+F144*0.03</f>
        <v>0</v>
      </c>
      <c r="F144" s="33" t="n">
        <v>0</v>
      </c>
      <c r="G144" s="62"/>
      <c r="H144" s="35" t="n">
        <v>0</v>
      </c>
      <c r="I144" s="34" t="n">
        <f aca="false">+IF(E144=0,0,E144*0.03)</f>
        <v>0</v>
      </c>
    </row>
    <row r="145" customFormat="false" ht="15.75" hidden="false" customHeight="true" outlineLevel="0" collapsed="false">
      <c r="A145" s="30" t="n">
        <v>45521</v>
      </c>
      <c r="B145" s="31" t="s">
        <v>7</v>
      </c>
      <c r="C145" s="32"/>
      <c r="D145" s="32"/>
      <c r="E145" s="19" t="n">
        <f aca="false">+F145*0.03</f>
        <v>0</v>
      </c>
      <c r="F145" s="33" t="n">
        <v>0</v>
      </c>
      <c r="G145" s="62"/>
      <c r="H145" s="35" t="n">
        <v>0</v>
      </c>
      <c r="I145" s="34" t="n">
        <f aca="false">+IF(E145=0,0,E145*0.03)</f>
        <v>0</v>
      </c>
    </row>
    <row r="146" customFormat="false" ht="15.75" hidden="false" customHeight="true" outlineLevel="0" collapsed="false">
      <c r="A146" s="30" t="n">
        <v>45522</v>
      </c>
      <c r="B146" s="31" t="s">
        <v>7</v>
      </c>
      <c r="C146" s="32"/>
      <c r="D146" s="32"/>
      <c r="E146" s="19" t="n">
        <f aca="false">+F146*0.03</f>
        <v>0</v>
      </c>
      <c r="F146" s="33" t="n">
        <v>0</v>
      </c>
      <c r="G146" s="62"/>
      <c r="H146" s="35" t="n">
        <v>0</v>
      </c>
      <c r="I146" s="34" t="n">
        <f aca="false">+IF(E146=0,0,E146*0.03)</f>
        <v>0</v>
      </c>
    </row>
    <row r="147" customFormat="false" ht="15.75" hidden="false" customHeight="true" outlineLevel="0" collapsed="false">
      <c r="A147" s="30" t="n">
        <v>45523</v>
      </c>
      <c r="B147" s="31" t="s">
        <v>7</v>
      </c>
      <c r="C147" s="32"/>
      <c r="D147" s="32"/>
      <c r="E147" s="19" t="n">
        <f aca="false">+F147*0.03</f>
        <v>0</v>
      </c>
      <c r="F147" s="33" t="n">
        <v>0</v>
      </c>
      <c r="G147" s="62"/>
      <c r="H147" s="35" t="n">
        <v>0</v>
      </c>
      <c r="I147" s="34" t="n">
        <f aca="false">+IF(E147=0,0,E147*0.03)</f>
        <v>0</v>
      </c>
    </row>
    <row r="148" customFormat="false" ht="15.75" hidden="false" customHeight="true" outlineLevel="0" collapsed="false">
      <c r="A148" s="30" t="n">
        <v>45524</v>
      </c>
      <c r="B148" s="31" t="s">
        <v>7</v>
      </c>
      <c r="C148" s="32"/>
      <c r="D148" s="32"/>
      <c r="E148" s="19" t="n">
        <f aca="false">+F148*0.03</f>
        <v>0</v>
      </c>
      <c r="F148" s="33" t="n">
        <v>0</v>
      </c>
      <c r="G148" s="62"/>
      <c r="H148" s="35" t="n">
        <v>0</v>
      </c>
      <c r="I148" s="34" t="n">
        <f aca="false">+IF(E148=0,0,E148*0.03)</f>
        <v>0</v>
      </c>
    </row>
    <row r="149" customFormat="false" ht="15.75" hidden="false" customHeight="true" outlineLevel="0" collapsed="false">
      <c r="A149" s="30" t="n">
        <v>45525</v>
      </c>
      <c r="B149" s="31" t="s">
        <v>7</v>
      </c>
      <c r="C149" s="32"/>
      <c r="D149" s="32"/>
      <c r="E149" s="19" t="n">
        <f aca="false">+F149*0.03</f>
        <v>0</v>
      </c>
      <c r="F149" s="33" t="n">
        <v>0</v>
      </c>
      <c r="G149" s="62"/>
      <c r="H149" s="35" t="n">
        <v>0</v>
      </c>
      <c r="I149" s="34" t="n">
        <f aca="false">+IF(E149=0,0,E149*0.03)</f>
        <v>0</v>
      </c>
    </row>
    <row r="150" customFormat="false" ht="15.75" hidden="false" customHeight="true" outlineLevel="0" collapsed="false">
      <c r="A150" s="30" t="n">
        <v>45526</v>
      </c>
      <c r="B150" s="31" t="s">
        <v>7</v>
      </c>
      <c r="C150" s="32"/>
      <c r="D150" s="32"/>
      <c r="E150" s="19" t="n">
        <f aca="false">+F150*0.03</f>
        <v>0</v>
      </c>
      <c r="F150" s="33" t="n">
        <v>0</v>
      </c>
      <c r="G150" s="62"/>
      <c r="H150" s="35" t="n">
        <v>0</v>
      </c>
      <c r="I150" s="34" t="n">
        <f aca="false">+IF(E150=0,0,E150*0.03)</f>
        <v>0</v>
      </c>
    </row>
    <row r="151" customFormat="false" ht="15.75" hidden="false" customHeight="true" outlineLevel="0" collapsed="false">
      <c r="A151" s="30" t="n">
        <v>45527</v>
      </c>
      <c r="B151" s="31" t="s">
        <v>7</v>
      </c>
      <c r="C151" s="32"/>
      <c r="D151" s="32"/>
      <c r="E151" s="19" t="n">
        <f aca="false">+F151*0.03</f>
        <v>0</v>
      </c>
      <c r="F151" s="33" t="n">
        <v>0</v>
      </c>
      <c r="G151" s="62"/>
      <c r="H151" s="35" t="n">
        <v>0</v>
      </c>
      <c r="I151" s="34" t="n">
        <f aca="false">+IF(E151=0,0,E151*0.03)</f>
        <v>0</v>
      </c>
    </row>
    <row r="152" customFormat="false" ht="15.75" hidden="false" customHeight="true" outlineLevel="0" collapsed="false">
      <c r="A152" s="30" t="n">
        <v>45528</v>
      </c>
      <c r="B152" s="31" t="s">
        <v>7</v>
      </c>
      <c r="C152" s="32"/>
      <c r="D152" s="32"/>
      <c r="E152" s="19" t="n">
        <f aca="false">+F152*0.03</f>
        <v>0</v>
      </c>
      <c r="F152" s="33" t="n">
        <v>0</v>
      </c>
      <c r="G152" s="62"/>
      <c r="H152" s="35" t="n">
        <v>0</v>
      </c>
      <c r="I152" s="34" t="n">
        <f aca="false">+IF(E152=0,0,E152*0.03)</f>
        <v>0</v>
      </c>
    </row>
    <row r="153" customFormat="false" ht="15.75" hidden="false" customHeight="true" outlineLevel="0" collapsed="false">
      <c r="A153" s="30" t="n">
        <v>45529</v>
      </c>
      <c r="B153" s="31" t="s">
        <v>7</v>
      </c>
      <c r="C153" s="32"/>
      <c r="D153" s="32"/>
      <c r="E153" s="19" t="n">
        <f aca="false">+F153*0.03</f>
        <v>0</v>
      </c>
      <c r="F153" s="33" t="n">
        <v>0</v>
      </c>
      <c r="G153" s="62"/>
      <c r="H153" s="35" t="n">
        <v>0</v>
      </c>
      <c r="I153" s="34" t="n">
        <f aca="false">+IF(E153=0,0,E153*0.03)</f>
        <v>0</v>
      </c>
    </row>
    <row r="154" customFormat="false" ht="15.75" hidden="false" customHeight="true" outlineLevel="0" collapsed="false">
      <c r="A154" s="30" t="n">
        <v>45530</v>
      </c>
      <c r="B154" s="31" t="s">
        <v>7</v>
      </c>
      <c r="C154" s="32"/>
      <c r="D154" s="32"/>
      <c r="E154" s="19" t="n">
        <f aca="false">+F154*0.03</f>
        <v>0</v>
      </c>
      <c r="F154" s="33" t="n">
        <v>0</v>
      </c>
      <c r="G154" s="62"/>
      <c r="H154" s="35" t="n">
        <v>0</v>
      </c>
      <c r="I154" s="34" t="n">
        <f aca="false">+IF(E154=0,0,E154*0.03)</f>
        <v>0</v>
      </c>
    </row>
    <row r="155" customFormat="false" ht="15.75" hidden="false" customHeight="true" outlineLevel="0" collapsed="false">
      <c r="A155" s="30" t="n">
        <v>45531</v>
      </c>
      <c r="B155" s="31" t="s">
        <v>7</v>
      </c>
      <c r="C155" s="32"/>
      <c r="D155" s="32"/>
      <c r="E155" s="19" t="n">
        <f aca="false">+F155*0.03</f>
        <v>0</v>
      </c>
      <c r="F155" s="33" t="n">
        <v>0</v>
      </c>
      <c r="G155" s="62"/>
      <c r="H155" s="35" t="n">
        <v>0</v>
      </c>
      <c r="I155" s="34" t="n">
        <f aca="false">+IF(E155=0,0,E155*0.03)</f>
        <v>0</v>
      </c>
    </row>
    <row r="156" customFormat="false" ht="15.75" hidden="false" customHeight="true" outlineLevel="0" collapsed="false">
      <c r="A156" s="30" t="n">
        <v>45532</v>
      </c>
      <c r="B156" s="31" t="s">
        <v>7</v>
      </c>
      <c r="C156" s="32"/>
      <c r="D156" s="32"/>
      <c r="E156" s="19" t="n">
        <f aca="false">+F156*0.03</f>
        <v>0</v>
      </c>
      <c r="F156" s="33" t="n">
        <v>0</v>
      </c>
      <c r="G156" s="62"/>
      <c r="H156" s="35" t="n">
        <v>0</v>
      </c>
      <c r="I156" s="34" t="n">
        <f aca="false">+IF(E156=0,0,E156*0.03)</f>
        <v>0</v>
      </c>
    </row>
    <row r="157" customFormat="false" ht="15.75" hidden="false" customHeight="true" outlineLevel="0" collapsed="false">
      <c r="A157" s="30" t="n">
        <v>45533</v>
      </c>
      <c r="B157" s="31" t="s">
        <v>7</v>
      </c>
      <c r="C157" s="32"/>
      <c r="D157" s="32"/>
      <c r="E157" s="19" t="n">
        <f aca="false">+F157*0.03</f>
        <v>0</v>
      </c>
      <c r="F157" s="33" t="n">
        <v>0</v>
      </c>
      <c r="G157" s="62"/>
      <c r="H157" s="35" t="n">
        <v>0</v>
      </c>
      <c r="I157" s="34" t="n">
        <f aca="false">+IF(E157=0,0,E157*0.03)</f>
        <v>0</v>
      </c>
    </row>
    <row r="158" customFormat="false" ht="15.75" hidden="false" customHeight="true" outlineLevel="0" collapsed="false">
      <c r="A158" s="30" t="n">
        <v>45534</v>
      </c>
      <c r="B158" s="31" t="s">
        <v>7</v>
      </c>
      <c r="C158" s="32"/>
      <c r="D158" s="32"/>
      <c r="E158" s="19" t="n">
        <f aca="false">+F158*0.03</f>
        <v>0</v>
      </c>
      <c r="F158" s="33" t="n">
        <v>0</v>
      </c>
      <c r="G158" s="62"/>
      <c r="H158" s="35" t="n">
        <v>0</v>
      </c>
      <c r="I158" s="34" t="n">
        <f aca="false">+IF(E158=0,0,E158*0.03)</f>
        <v>0</v>
      </c>
    </row>
    <row r="159" customFormat="false" ht="15.75" hidden="false" customHeight="true" outlineLevel="0" collapsed="false">
      <c r="A159" s="30" t="n">
        <v>45535</v>
      </c>
      <c r="B159" s="31" t="s">
        <v>7</v>
      </c>
      <c r="C159" s="32"/>
      <c r="D159" s="32"/>
      <c r="E159" s="19" t="n">
        <f aca="false">+F159*0.03</f>
        <v>0</v>
      </c>
      <c r="F159" s="33" t="n">
        <v>0</v>
      </c>
      <c r="G159" s="62"/>
      <c r="H159" s="35" t="n">
        <v>0</v>
      </c>
      <c r="I159" s="34" t="n">
        <f aca="false">+IF(E159=0,0,E159*0.03)</f>
        <v>0</v>
      </c>
    </row>
    <row r="160" customFormat="false" ht="15.75" hidden="false" customHeight="true" outlineLevel="0" collapsed="false">
      <c r="A160" s="30" t="n">
        <v>45536</v>
      </c>
      <c r="B160" s="31" t="s">
        <v>7</v>
      </c>
      <c r="C160" s="32"/>
      <c r="D160" s="32"/>
      <c r="E160" s="19" t="n">
        <f aca="false">+F160*0.03</f>
        <v>0</v>
      </c>
      <c r="F160" s="33" t="n">
        <v>0</v>
      </c>
      <c r="G160" s="62"/>
      <c r="H160" s="35" t="n">
        <v>0</v>
      </c>
      <c r="I160" s="34" t="n">
        <f aca="false">+IF(E160=0,0,E160*0.03)</f>
        <v>0</v>
      </c>
    </row>
    <row r="161" customFormat="false" ht="15.75" hidden="false" customHeight="true" outlineLevel="0" collapsed="false">
      <c r="A161" s="30" t="n">
        <v>45537</v>
      </c>
      <c r="B161" s="31" t="s">
        <v>7</v>
      </c>
      <c r="C161" s="32"/>
      <c r="D161" s="32"/>
      <c r="E161" s="19" t="n">
        <f aca="false">+F161*0.03</f>
        <v>0</v>
      </c>
      <c r="F161" s="33" t="n">
        <v>0</v>
      </c>
      <c r="G161" s="62"/>
      <c r="H161" s="35" t="n">
        <v>0</v>
      </c>
      <c r="I161" s="34" t="n">
        <f aca="false">+IF(E161=0,0,E161*0.03)</f>
        <v>0</v>
      </c>
    </row>
    <row r="162" customFormat="false" ht="15.75" hidden="false" customHeight="true" outlineLevel="0" collapsed="false">
      <c r="A162" s="30" t="n">
        <v>45538</v>
      </c>
      <c r="B162" s="31" t="s">
        <v>7</v>
      </c>
      <c r="C162" s="32"/>
      <c r="D162" s="32"/>
      <c r="E162" s="19" t="n">
        <f aca="false">+F162*0.03</f>
        <v>0</v>
      </c>
      <c r="F162" s="33" t="n">
        <v>0</v>
      </c>
      <c r="G162" s="62"/>
      <c r="H162" s="35" t="n">
        <v>0</v>
      </c>
      <c r="I162" s="34" t="n">
        <f aca="false">+IF(E162=0,0,E162*0.03)</f>
        <v>0</v>
      </c>
    </row>
    <row r="163" customFormat="false" ht="15.75" hidden="false" customHeight="true" outlineLevel="0" collapsed="false">
      <c r="A163" s="30" t="n">
        <v>45539</v>
      </c>
      <c r="B163" s="31" t="s">
        <v>7</v>
      </c>
      <c r="C163" s="32"/>
      <c r="D163" s="32"/>
      <c r="E163" s="19" t="n">
        <f aca="false">+F163*0.03</f>
        <v>0</v>
      </c>
      <c r="F163" s="33" t="n">
        <v>0</v>
      </c>
      <c r="G163" s="62"/>
      <c r="H163" s="35" t="n">
        <v>0</v>
      </c>
      <c r="I163" s="34" t="n">
        <f aca="false">+IF(E163=0,0,E163*0.03)</f>
        <v>0</v>
      </c>
    </row>
    <row r="164" customFormat="false" ht="15.75" hidden="false" customHeight="true" outlineLevel="0" collapsed="false">
      <c r="A164" s="30" t="n">
        <v>45540</v>
      </c>
      <c r="B164" s="31" t="s">
        <v>7</v>
      </c>
      <c r="C164" s="32"/>
      <c r="D164" s="32"/>
      <c r="E164" s="19" t="n">
        <f aca="false">+F164*0.03</f>
        <v>0</v>
      </c>
      <c r="F164" s="33" t="n">
        <v>0</v>
      </c>
      <c r="G164" s="62"/>
      <c r="H164" s="35" t="n">
        <v>0</v>
      </c>
      <c r="I164" s="34" t="n">
        <f aca="false">+IF(E164=0,0,E164*0.03)</f>
        <v>0</v>
      </c>
    </row>
    <row r="165" customFormat="false" ht="15.75" hidden="false" customHeight="true" outlineLevel="0" collapsed="false">
      <c r="A165" s="30" t="n">
        <v>45541</v>
      </c>
      <c r="B165" s="31" t="s">
        <v>7</v>
      </c>
      <c r="C165" s="32"/>
      <c r="D165" s="32"/>
      <c r="E165" s="19" t="n">
        <f aca="false">+F165*0.03</f>
        <v>0</v>
      </c>
      <c r="F165" s="33" t="n">
        <v>0</v>
      </c>
      <c r="G165" s="62"/>
      <c r="H165" s="35" t="n">
        <v>0</v>
      </c>
      <c r="I165" s="34" t="n">
        <f aca="false">+IF(E165=0,0,E165*0.03)</f>
        <v>0</v>
      </c>
    </row>
    <row r="166" customFormat="false" ht="15.75" hidden="false" customHeight="true" outlineLevel="0" collapsed="false">
      <c r="A166" s="30" t="n">
        <v>45542</v>
      </c>
      <c r="B166" s="31" t="s">
        <v>7</v>
      </c>
      <c r="C166" s="32"/>
      <c r="D166" s="32"/>
      <c r="E166" s="19" t="n">
        <f aca="false">+F166*0.03</f>
        <v>0</v>
      </c>
      <c r="F166" s="33" t="n">
        <v>0</v>
      </c>
      <c r="G166" s="62"/>
      <c r="H166" s="35" t="n">
        <v>0</v>
      </c>
      <c r="I166" s="34" t="n">
        <f aca="false">+IF(E166=0,0,E166*0.03)</f>
        <v>0</v>
      </c>
    </row>
    <row r="167" customFormat="false" ht="15.75" hidden="false" customHeight="true" outlineLevel="0" collapsed="false">
      <c r="A167" s="30" t="n">
        <v>45543</v>
      </c>
      <c r="B167" s="31" t="s">
        <v>7</v>
      </c>
      <c r="C167" s="32"/>
      <c r="D167" s="32"/>
      <c r="E167" s="19" t="n">
        <f aca="false">+F167*0.03</f>
        <v>0</v>
      </c>
      <c r="F167" s="33" t="n">
        <v>0</v>
      </c>
      <c r="G167" s="62"/>
      <c r="H167" s="35" t="n">
        <v>0</v>
      </c>
      <c r="I167" s="34" t="n">
        <f aca="false">+IF(E167=0,0,E167*0.03)</f>
        <v>0</v>
      </c>
    </row>
    <row r="168" customFormat="false" ht="15.75" hidden="false" customHeight="true" outlineLevel="0" collapsed="false">
      <c r="A168" s="30" t="n">
        <v>45544</v>
      </c>
      <c r="B168" s="31" t="s">
        <v>7</v>
      </c>
      <c r="C168" s="32"/>
      <c r="D168" s="32"/>
      <c r="E168" s="19" t="n">
        <f aca="false">+F168*0.03</f>
        <v>0</v>
      </c>
      <c r="F168" s="33" t="n">
        <v>0</v>
      </c>
      <c r="G168" s="62"/>
      <c r="H168" s="35" t="n">
        <v>0</v>
      </c>
      <c r="I168" s="34" t="n">
        <f aca="false">+IF(E168=0,0,E168*0.03)</f>
        <v>0</v>
      </c>
    </row>
    <row r="169" customFormat="false" ht="15.75" hidden="false" customHeight="true" outlineLevel="0" collapsed="false">
      <c r="A169" s="30" t="n">
        <v>45545</v>
      </c>
      <c r="B169" s="31" t="s">
        <v>7</v>
      </c>
      <c r="C169" s="32"/>
      <c r="D169" s="32"/>
      <c r="E169" s="19" t="n">
        <f aca="false">+F169*0.03</f>
        <v>0</v>
      </c>
      <c r="F169" s="33" t="n">
        <v>0</v>
      </c>
      <c r="G169" s="62"/>
      <c r="H169" s="35" t="n">
        <v>0</v>
      </c>
      <c r="I169" s="34" t="n">
        <f aca="false">+IF(E169=0,0,E169*0.03)</f>
        <v>0</v>
      </c>
    </row>
    <row r="170" customFormat="false" ht="15.75" hidden="false" customHeight="true" outlineLevel="0" collapsed="false">
      <c r="A170" s="30" t="n">
        <v>45546</v>
      </c>
      <c r="B170" s="31" t="s">
        <v>7</v>
      </c>
      <c r="C170" s="32"/>
      <c r="D170" s="32"/>
      <c r="E170" s="19" t="n">
        <f aca="false">+F170*0.03</f>
        <v>0</v>
      </c>
      <c r="F170" s="33" t="n">
        <v>0</v>
      </c>
      <c r="G170" s="62"/>
      <c r="H170" s="35" t="n">
        <v>0</v>
      </c>
      <c r="I170" s="34" t="n">
        <f aca="false">+IF(E170=0,0,E170*0.03)</f>
        <v>0</v>
      </c>
    </row>
    <row r="171" customFormat="false" ht="15.75" hidden="false" customHeight="true" outlineLevel="0" collapsed="false">
      <c r="A171" s="30" t="n">
        <v>45547</v>
      </c>
      <c r="B171" s="31" t="s">
        <v>7</v>
      </c>
      <c r="C171" s="32"/>
      <c r="D171" s="32"/>
      <c r="E171" s="19" t="n">
        <f aca="false">+F171*0.03</f>
        <v>0</v>
      </c>
      <c r="F171" s="33" t="n">
        <v>0</v>
      </c>
      <c r="G171" s="62"/>
      <c r="H171" s="35" t="n">
        <v>0</v>
      </c>
      <c r="I171" s="34" t="n">
        <f aca="false">+IF(E171=0,0,E171*0.03)</f>
        <v>0</v>
      </c>
    </row>
    <row r="172" customFormat="false" ht="15.75" hidden="false" customHeight="true" outlineLevel="0" collapsed="false">
      <c r="A172" s="30" t="n">
        <v>45548</v>
      </c>
      <c r="B172" s="31" t="s">
        <v>7</v>
      </c>
      <c r="C172" s="32"/>
      <c r="D172" s="32"/>
      <c r="E172" s="19" t="n">
        <f aca="false">+F172*0.03</f>
        <v>0</v>
      </c>
      <c r="F172" s="33" t="n">
        <v>0</v>
      </c>
      <c r="G172" s="62"/>
      <c r="H172" s="35" t="n">
        <v>0</v>
      </c>
      <c r="I172" s="34" t="n">
        <f aca="false">+IF(E172=0,0,E172*0.03)</f>
        <v>0</v>
      </c>
    </row>
    <row r="173" customFormat="false" ht="15.75" hidden="false" customHeight="true" outlineLevel="0" collapsed="false">
      <c r="A173" s="30" t="n">
        <v>45549</v>
      </c>
      <c r="B173" s="31" t="s">
        <v>7</v>
      </c>
      <c r="C173" s="32"/>
      <c r="D173" s="32"/>
      <c r="E173" s="19" t="n">
        <f aca="false">+F173*0.03</f>
        <v>0</v>
      </c>
      <c r="F173" s="33" t="n">
        <v>0</v>
      </c>
      <c r="G173" s="62"/>
      <c r="H173" s="35" t="n">
        <v>0</v>
      </c>
      <c r="I173" s="34" t="n">
        <f aca="false">+IF(E173=0,0,E173*0.03)</f>
        <v>0</v>
      </c>
    </row>
    <row r="174" customFormat="false" ht="15.75" hidden="false" customHeight="true" outlineLevel="0" collapsed="false">
      <c r="A174" s="30" t="n">
        <v>45550</v>
      </c>
      <c r="B174" s="31" t="s">
        <v>7</v>
      </c>
      <c r="C174" s="32"/>
      <c r="D174" s="32"/>
      <c r="E174" s="19" t="n">
        <f aca="false">+F174*0.03</f>
        <v>0</v>
      </c>
      <c r="F174" s="33" t="n">
        <v>0</v>
      </c>
      <c r="G174" s="62"/>
      <c r="H174" s="35" t="n">
        <v>0</v>
      </c>
      <c r="I174" s="34" t="n">
        <f aca="false">+IF(E174=0,0,E174*0.03)</f>
        <v>0</v>
      </c>
    </row>
    <row r="175" customFormat="false" ht="15.75" hidden="false" customHeight="true" outlineLevel="0" collapsed="false">
      <c r="A175" s="30" t="n">
        <v>45551</v>
      </c>
      <c r="B175" s="31" t="s">
        <v>7</v>
      </c>
      <c r="C175" s="32"/>
      <c r="D175" s="32"/>
      <c r="E175" s="19" t="n">
        <f aca="false">+F175*0.03</f>
        <v>0</v>
      </c>
      <c r="F175" s="33" t="n">
        <v>0</v>
      </c>
      <c r="G175" s="62"/>
      <c r="H175" s="35" t="n">
        <v>0</v>
      </c>
      <c r="I175" s="34" t="n">
        <f aca="false">+IF(E175=0,0,E175*0.03)</f>
        <v>0</v>
      </c>
    </row>
    <row r="176" customFormat="false" ht="15.75" hidden="false" customHeight="true" outlineLevel="0" collapsed="false">
      <c r="A176" s="30" t="n">
        <v>45552</v>
      </c>
      <c r="B176" s="31" t="s">
        <v>7</v>
      </c>
      <c r="C176" s="32"/>
      <c r="D176" s="32"/>
      <c r="E176" s="19" t="n">
        <f aca="false">+F176*0.03</f>
        <v>0</v>
      </c>
      <c r="F176" s="33" t="n">
        <v>0</v>
      </c>
      <c r="G176" s="62"/>
      <c r="H176" s="35" t="n">
        <v>0</v>
      </c>
      <c r="I176" s="34" t="n">
        <f aca="false">+IF(E176=0,0,E176*0.03)</f>
        <v>0</v>
      </c>
    </row>
    <row r="177" customFormat="false" ht="15.75" hidden="false" customHeight="true" outlineLevel="0" collapsed="false">
      <c r="A177" s="30" t="n">
        <v>45553</v>
      </c>
      <c r="B177" s="31" t="s">
        <v>7</v>
      </c>
      <c r="C177" s="32"/>
      <c r="D177" s="32"/>
      <c r="E177" s="19" t="n">
        <f aca="false">+F177*0.03</f>
        <v>0</v>
      </c>
      <c r="F177" s="33" t="n">
        <v>0</v>
      </c>
      <c r="G177" s="62"/>
      <c r="H177" s="35" t="n">
        <v>0</v>
      </c>
      <c r="I177" s="34" t="n">
        <f aca="false">+IF(E177=0,0,E177*0.03)</f>
        <v>0</v>
      </c>
    </row>
    <row r="178" customFormat="false" ht="15.75" hidden="false" customHeight="true" outlineLevel="0" collapsed="false">
      <c r="A178" s="30" t="n">
        <v>45554</v>
      </c>
      <c r="B178" s="31" t="s">
        <v>7</v>
      </c>
      <c r="C178" s="32"/>
      <c r="D178" s="32"/>
      <c r="E178" s="19" t="n">
        <f aca="false">+F178*0.03</f>
        <v>0</v>
      </c>
      <c r="F178" s="33" t="n">
        <v>0</v>
      </c>
      <c r="G178" s="62"/>
      <c r="H178" s="35" t="n">
        <v>0</v>
      </c>
      <c r="I178" s="34" t="n">
        <f aca="false">+IF(E178=0,0,E178*0.03)</f>
        <v>0</v>
      </c>
    </row>
    <row r="179" customFormat="false" ht="15.75" hidden="false" customHeight="true" outlineLevel="0" collapsed="false">
      <c r="A179" s="30" t="n">
        <v>45555</v>
      </c>
      <c r="B179" s="31" t="s">
        <v>7</v>
      </c>
      <c r="C179" s="32"/>
      <c r="D179" s="32"/>
      <c r="E179" s="19" t="n">
        <f aca="false">+F179*0.03</f>
        <v>0</v>
      </c>
      <c r="F179" s="33" t="n">
        <v>0</v>
      </c>
      <c r="G179" s="62"/>
      <c r="H179" s="35" t="n">
        <v>0</v>
      </c>
      <c r="I179" s="34" t="n">
        <f aca="false">+IF(E179=0,0,E179*0.03)</f>
        <v>0</v>
      </c>
    </row>
    <row r="180" customFormat="false" ht="15.75" hidden="false" customHeight="true" outlineLevel="0" collapsed="false">
      <c r="A180" s="30" t="n">
        <v>45556</v>
      </c>
      <c r="B180" s="31" t="s">
        <v>7</v>
      </c>
      <c r="C180" s="32"/>
      <c r="D180" s="32"/>
      <c r="E180" s="19" t="n">
        <f aca="false">+F180*0.03</f>
        <v>0</v>
      </c>
      <c r="F180" s="33" t="n">
        <v>0</v>
      </c>
      <c r="G180" s="62"/>
      <c r="H180" s="35" t="n">
        <v>0</v>
      </c>
      <c r="I180" s="34" t="n">
        <f aca="false">+IF(E180=0,0,E180*0.03)</f>
        <v>0</v>
      </c>
    </row>
    <row r="181" customFormat="false" ht="15.75" hidden="false" customHeight="true" outlineLevel="0" collapsed="false">
      <c r="A181" s="30" t="n">
        <v>45557</v>
      </c>
      <c r="B181" s="31" t="s">
        <v>7</v>
      </c>
      <c r="C181" s="32"/>
      <c r="D181" s="32"/>
      <c r="E181" s="19" t="n">
        <f aca="false">+F181*0.03</f>
        <v>0</v>
      </c>
      <c r="F181" s="33" t="n">
        <v>0</v>
      </c>
      <c r="G181" s="62"/>
      <c r="H181" s="35" t="n">
        <v>0</v>
      </c>
      <c r="I181" s="34" t="n">
        <f aca="false">+IF(E181=0,0,E181*0.03)</f>
        <v>0</v>
      </c>
    </row>
    <row r="182" customFormat="false" ht="15.75" hidden="false" customHeight="true" outlineLevel="0" collapsed="false">
      <c r="A182" s="30" t="n">
        <v>45558</v>
      </c>
      <c r="B182" s="31" t="s">
        <v>7</v>
      </c>
      <c r="C182" s="32"/>
      <c r="D182" s="32"/>
      <c r="E182" s="19" t="n">
        <f aca="false">+F182*0.03</f>
        <v>0</v>
      </c>
      <c r="F182" s="33" t="n">
        <v>0</v>
      </c>
      <c r="G182" s="62"/>
      <c r="H182" s="35" t="n">
        <v>0</v>
      </c>
      <c r="I182" s="34" t="n">
        <f aca="false">+IF(E182=0,0,E182*0.03)</f>
        <v>0</v>
      </c>
    </row>
    <row r="183" customFormat="false" ht="15.75" hidden="false" customHeight="true" outlineLevel="0" collapsed="false">
      <c r="A183" s="30" t="n">
        <v>45559</v>
      </c>
      <c r="B183" s="31" t="s">
        <v>7</v>
      </c>
      <c r="C183" s="32"/>
      <c r="D183" s="32"/>
      <c r="E183" s="19" t="n">
        <f aca="false">+F183*0.03</f>
        <v>0</v>
      </c>
      <c r="F183" s="33" t="n">
        <v>0</v>
      </c>
      <c r="G183" s="62"/>
      <c r="H183" s="35" t="n">
        <v>0</v>
      </c>
      <c r="I183" s="34" t="n">
        <f aca="false">+IF(E183=0,0,E183*0.03)</f>
        <v>0</v>
      </c>
    </row>
    <row r="184" customFormat="false" ht="15.75" hidden="false" customHeight="true" outlineLevel="0" collapsed="false">
      <c r="A184" s="30" t="n">
        <v>45560</v>
      </c>
      <c r="B184" s="31" t="s">
        <v>7</v>
      </c>
      <c r="C184" s="32"/>
      <c r="D184" s="32"/>
      <c r="E184" s="19" t="n">
        <f aca="false">+F184*0.03</f>
        <v>0</v>
      </c>
      <c r="F184" s="33" t="n">
        <v>0</v>
      </c>
      <c r="G184" s="62"/>
      <c r="H184" s="35" t="n">
        <v>0</v>
      </c>
      <c r="I184" s="34" t="n">
        <f aca="false">+IF(E184=0,0,E184*0.03)</f>
        <v>0</v>
      </c>
    </row>
    <row r="185" customFormat="false" ht="15.75" hidden="false" customHeight="true" outlineLevel="0" collapsed="false">
      <c r="A185" s="30" t="n">
        <v>45561</v>
      </c>
      <c r="B185" s="31" t="s">
        <v>7</v>
      </c>
      <c r="C185" s="32"/>
      <c r="D185" s="32"/>
      <c r="E185" s="19" t="n">
        <f aca="false">+F185*0.03</f>
        <v>0</v>
      </c>
      <c r="F185" s="33" t="n">
        <v>0</v>
      </c>
      <c r="G185" s="62"/>
      <c r="H185" s="35" t="n">
        <v>0</v>
      </c>
      <c r="I185" s="34" t="n">
        <f aca="false">+IF(E185=0,0,E185*0.03)</f>
        <v>0</v>
      </c>
    </row>
    <row r="186" customFormat="false" ht="15.75" hidden="false" customHeight="true" outlineLevel="0" collapsed="false">
      <c r="A186" s="30" t="n">
        <v>45562</v>
      </c>
      <c r="B186" s="31" t="s">
        <v>7</v>
      </c>
      <c r="C186" s="32"/>
      <c r="D186" s="32"/>
      <c r="E186" s="19" t="n">
        <f aca="false">+F186*0.03</f>
        <v>0</v>
      </c>
      <c r="F186" s="33" t="n">
        <v>0</v>
      </c>
      <c r="G186" s="62"/>
      <c r="H186" s="35" t="n">
        <v>0</v>
      </c>
      <c r="I186" s="34" t="n">
        <f aca="false">+IF(E186=0,0,E186*0.03)</f>
        <v>0</v>
      </c>
    </row>
    <row r="187" customFormat="false" ht="15.75" hidden="false" customHeight="true" outlineLevel="0" collapsed="false">
      <c r="A187" s="30" t="n">
        <v>45563</v>
      </c>
      <c r="B187" s="31" t="s">
        <v>7</v>
      </c>
      <c r="C187" s="32"/>
      <c r="D187" s="32"/>
      <c r="E187" s="19" t="n">
        <f aca="false">+F187*0.03</f>
        <v>0</v>
      </c>
      <c r="F187" s="33" t="n">
        <v>0</v>
      </c>
      <c r="G187" s="62"/>
      <c r="H187" s="35" t="n">
        <v>0</v>
      </c>
      <c r="I187" s="34" t="n">
        <f aca="false">+IF(E187=0,0,E187*0.03)</f>
        <v>0</v>
      </c>
    </row>
    <row r="188" customFormat="false" ht="15.75" hidden="false" customHeight="true" outlineLevel="0" collapsed="false">
      <c r="A188" s="30" t="n">
        <v>45564</v>
      </c>
      <c r="B188" s="31" t="s">
        <v>7</v>
      </c>
      <c r="C188" s="32"/>
      <c r="D188" s="32"/>
      <c r="E188" s="19" t="n">
        <f aca="false">+F188*0.03</f>
        <v>0</v>
      </c>
      <c r="F188" s="33" t="n">
        <v>0</v>
      </c>
      <c r="G188" s="62"/>
      <c r="H188" s="35" t="n">
        <v>0</v>
      </c>
      <c r="I188" s="34" t="n">
        <f aca="false">+IF(E188=0,0,E188*0.03)</f>
        <v>0</v>
      </c>
    </row>
    <row r="189" customFormat="false" ht="15.75" hidden="false" customHeight="true" outlineLevel="0" collapsed="false">
      <c r="A189" s="30" t="n">
        <v>45565</v>
      </c>
      <c r="B189" s="31" t="s">
        <v>7</v>
      </c>
      <c r="C189" s="32"/>
      <c r="D189" s="32"/>
      <c r="E189" s="19" t="n">
        <f aca="false">+F189*0.03</f>
        <v>0</v>
      </c>
      <c r="F189" s="33" t="n">
        <v>0</v>
      </c>
      <c r="G189" s="62"/>
      <c r="H189" s="35" t="n">
        <v>0</v>
      </c>
      <c r="I189" s="34" t="n">
        <f aca="false">+IF(E189=0,0,E189*0.03)</f>
        <v>0</v>
      </c>
    </row>
    <row r="190" customFormat="false" ht="15.75" hidden="false" customHeight="true" outlineLevel="0" collapsed="false">
      <c r="A190" s="30" t="n">
        <v>45566</v>
      </c>
      <c r="B190" s="31" t="s">
        <v>7</v>
      </c>
      <c r="C190" s="32"/>
      <c r="D190" s="32"/>
      <c r="E190" s="19" t="n">
        <f aca="false">+F190*0.03</f>
        <v>0</v>
      </c>
      <c r="F190" s="33" t="n">
        <v>0</v>
      </c>
      <c r="G190" s="62"/>
      <c r="H190" s="35" t="n">
        <v>0</v>
      </c>
      <c r="I190" s="34" t="n">
        <f aca="false">+IF(E190=0,0,E190*0.03)</f>
        <v>0</v>
      </c>
    </row>
    <row r="191" customFormat="false" ht="15.75" hidden="false" customHeight="true" outlineLevel="0" collapsed="false">
      <c r="A191" s="30" t="n">
        <v>45567</v>
      </c>
      <c r="B191" s="31" t="s">
        <v>7</v>
      </c>
      <c r="C191" s="32"/>
      <c r="D191" s="32"/>
      <c r="E191" s="19" t="n">
        <f aca="false">+F191*0.03</f>
        <v>0</v>
      </c>
      <c r="F191" s="33" t="n">
        <v>0</v>
      </c>
      <c r="G191" s="62"/>
      <c r="H191" s="35" t="n">
        <v>0</v>
      </c>
      <c r="I191" s="34" t="n">
        <f aca="false">+IF(E191=0,0,E191*0.03)</f>
        <v>0</v>
      </c>
    </row>
    <row r="192" customFormat="false" ht="15.75" hidden="false" customHeight="true" outlineLevel="0" collapsed="false">
      <c r="A192" s="30" t="n">
        <v>45568</v>
      </c>
      <c r="B192" s="31" t="s">
        <v>7</v>
      </c>
      <c r="C192" s="32"/>
      <c r="D192" s="32"/>
      <c r="E192" s="19" t="n">
        <f aca="false">+F192*0.03</f>
        <v>0</v>
      </c>
      <c r="F192" s="33" t="n">
        <v>0</v>
      </c>
      <c r="G192" s="62"/>
      <c r="H192" s="35" t="n">
        <v>0</v>
      </c>
      <c r="I192" s="34" t="n">
        <f aca="false">+IF(E192=0,0,E192*0.03)</f>
        <v>0</v>
      </c>
    </row>
    <row r="193" customFormat="false" ht="15.75" hidden="false" customHeight="true" outlineLevel="0" collapsed="false">
      <c r="A193" s="30" t="n">
        <v>45569</v>
      </c>
      <c r="B193" s="31" t="s">
        <v>7</v>
      </c>
      <c r="C193" s="32"/>
      <c r="D193" s="32"/>
      <c r="E193" s="19" t="n">
        <f aca="false">+F193*0.03</f>
        <v>0</v>
      </c>
      <c r="F193" s="33" t="n">
        <v>0</v>
      </c>
      <c r="G193" s="62"/>
      <c r="H193" s="35" t="n">
        <v>0</v>
      </c>
      <c r="I193" s="34" t="n">
        <f aca="false">+IF(E193=0,0,E193*0.03)</f>
        <v>0</v>
      </c>
    </row>
    <row r="194" customFormat="false" ht="15.75" hidden="false" customHeight="true" outlineLevel="0" collapsed="false">
      <c r="A194" s="30" t="n">
        <v>45570</v>
      </c>
      <c r="B194" s="31" t="s">
        <v>7</v>
      </c>
      <c r="C194" s="32"/>
      <c r="D194" s="32"/>
      <c r="E194" s="19" t="n">
        <f aca="false">+F194*0.03</f>
        <v>0</v>
      </c>
      <c r="F194" s="33" t="n">
        <v>0</v>
      </c>
      <c r="G194" s="62"/>
      <c r="H194" s="35" t="n">
        <v>0</v>
      </c>
      <c r="I194" s="34" t="n">
        <f aca="false">+IF(E194=0,0,E194*0.03)</f>
        <v>0</v>
      </c>
    </row>
    <row r="195" customFormat="false" ht="15.75" hidden="false" customHeight="true" outlineLevel="0" collapsed="false">
      <c r="A195" s="30" t="n">
        <v>45571</v>
      </c>
      <c r="B195" s="31" t="s">
        <v>7</v>
      </c>
      <c r="C195" s="32"/>
      <c r="D195" s="32"/>
      <c r="E195" s="19" t="n">
        <f aca="false">+F195*0.03</f>
        <v>0</v>
      </c>
      <c r="F195" s="33" t="n">
        <v>0</v>
      </c>
      <c r="G195" s="62"/>
      <c r="H195" s="35" t="n">
        <v>0</v>
      </c>
      <c r="I195" s="34" t="n">
        <f aca="false">+IF(E195=0,0,E195*0.03)</f>
        <v>0</v>
      </c>
    </row>
    <row r="196" customFormat="false" ht="15.75" hidden="false" customHeight="true" outlineLevel="0" collapsed="false">
      <c r="A196" s="30" t="n">
        <v>45572</v>
      </c>
      <c r="B196" s="31" t="s">
        <v>7</v>
      </c>
      <c r="C196" s="32"/>
      <c r="D196" s="32"/>
      <c r="E196" s="19" t="n">
        <f aca="false">+F196*0.03</f>
        <v>0</v>
      </c>
      <c r="F196" s="33" t="n">
        <v>0</v>
      </c>
      <c r="G196" s="62"/>
      <c r="H196" s="35" t="n">
        <v>0</v>
      </c>
      <c r="I196" s="34" t="n">
        <f aca="false">+IF(E196=0,0,E196*0.03)</f>
        <v>0</v>
      </c>
    </row>
    <row r="197" customFormat="false" ht="15.75" hidden="false" customHeight="true" outlineLevel="0" collapsed="false">
      <c r="A197" s="30" t="n">
        <v>45573</v>
      </c>
      <c r="B197" s="31" t="s">
        <v>7</v>
      </c>
      <c r="C197" s="32"/>
      <c r="D197" s="32"/>
      <c r="E197" s="19" t="n">
        <f aca="false">+F197*0.03</f>
        <v>0</v>
      </c>
      <c r="F197" s="33" t="n">
        <v>0</v>
      </c>
      <c r="G197" s="62"/>
      <c r="H197" s="35" t="n">
        <v>0</v>
      </c>
      <c r="I197" s="34" t="n">
        <f aca="false">+IF(E197=0,0,E197*0.03)</f>
        <v>0</v>
      </c>
    </row>
    <row r="198" customFormat="false" ht="15.75" hidden="false" customHeight="true" outlineLevel="0" collapsed="false">
      <c r="A198" s="30" t="n">
        <v>45574</v>
      </c>
      <c r="B198" s="31" t="s">
        <v>7</v>
      </c>
      <c r="C198" s="32"/>
      <c r="D198" s="32"/>
      <c r="E198" s="19" t="n">
        <f aca="false">+F198*0.03</f>
        <v>0</v>
      </c>
      <c r="F198" s="33" t="n">
        <v>0</v>
      </c>
      <c r="G198" s="62"/>
      <c r="H198" s="35" t="n">
        <v>0</v>
      </c>
      <c r="I198" s="34" t="n">
        <f aca="false">+IF(E198=0,0,E198*0.03)</f>
        <v>0</v>
      </c>
    </row>
    <row r="199" customFormat="false" ht="15.75" hidden="false" customHeight="true" outlineLevel="0" collapsed="false">
      <c r="A199" s="30" t="n">
        <v>45575</v>
      </c>
      <c r="B199" s="31" t="s">
        <v>7</v>
      </c>
      <c r="C199" s="32"/>
      <c r="D199" s="32"/>
      <c r="E199" s="19" t="n">
        <f aca="false">+F199*0.03</f>
        <v>0</v>
      </c>
      <c r="F199" s="33" t="n">
        <v>0</v>
      </c>
      <c r="G199" s="62"/>
      <c r="H199" s="35" t="n">
        <v>0</v>
      </c>
      <c r="I199" s="34" t="n">
        <f aca="false">+IF(E199=0,0,E199*0.03)</f>
        <v>0</v>
      </c>
    </row>
    <row r="200" customFormat="false" ht="15.75" hidden="false" customHeight="true" outlineLevel="0" collapsed="false">
      <c r="A200" s="30" t="n">
        <v>45576</v>
      </c>
      <c r="B200" s="31" t="s">
        <v>7</v>
      </c>
      <c r="C200" s="32"/>
      <c r="D200" s="32"/>
      <c r="E200" s="19" t="n">
        <f aca="false">+F200*0.03</f>
        <v>0</v>
      </c>
      <c r="F200" s="33" t="n">
        <v>0</v>
      </c>
      <c r="G200" s="62"/>
      <c r="H200" s="35" t="n">
        <v>0</v>
      </c>
      <c r="I200" s="34" t="n">
        <f aca="false">+IF(E200=0,0,E200*0.03)</f>
        <v>0</v>
      </c>
    </row>
    <row r="201" customFormat="false" ht="15.75" hidden="false" customHeight="true" outlineLevel="0" collapsed="false">
      <c r="A201" s="30" t="n">
        <v>45577</v>
      </c>
      <c r="B201" s="31" t="s">
        <v>7</v>
      </c>
      <c r="C201" s="32"/>
      <c r="D201" s="32"/>
      <c r="E201" s="19" t="n">
        <f aca="false">+F201*0.03</f>
        <v>0</v>
      </c>
      <c r="F201" s="33" t="n">
        <v>0</v>
      </c>
      <c r="G201" s="62"/>
      <c r="H201" s="35" t="n">
        <v>0</v>
      </c>
      <c r="I201" s="34" t="n">
        <f aca="false">+IF(E201=0,0,E201*0.03)</f>
        <v>0</v>
      </c>
    </row>
    <row r="202" customFormat="false" ht="15.75" hidden="false" customHeight="true" outlineLevel="0" collapsed="false">
      <c r="A202" s="30" t="n">
        <v>45578</v>
      </c>
      <c r="B202" s="31" t="s">
        <v>7</v>
      </c>
      <c r="C202" s="32"/>
      <c r="D202" s="32"/>
      <c r="E202" s="19" t="n">
        <f aca="false">+F202*0.03</f>
        <v>0</v>
      </c>
      <c r="F202" s="33" t="n">
        <v>0</v>
      </c>
      <c r="G202" s="62"/>
      <c r="H202" s="35" t="n">
        <v>0</v>
      </c>
      <c r="I202" s="34" t="n">
        <f aca="false">+IF(E202=0,0,E202*0.03)</f>
        <v>0</v>
      </c>
    </row>
    <row r="203" customFormat="false" ht="15.75" hidden="false" customHeight="true" outlineLevel="0" collapsed="false">
      <c r="A203" s="30" t="n">
        <v>45579</v>
      </c>
      <c r="B203" s="31" t="s">
        <v>7</v>
      </c>
      <c r="C203" s="32"/>
      <c r="D203" s="32"/>
      <c r="E203" s="19" t="n">
        <f aca="false">+F203*0.03</f>
        <v>0</v>
      </c>
      <c r="F203" s="33" t="n">
        <v>0</v>
      </c>
      <c r="G203" s="62"/>
      <c r="H203" s="35" t="n">
        <v>0</v>
      </c>
      <c r="I203" s="34" t="n">
        <f aca="false">+IF(E203=0,0,E203*0.03)</f>
        <v>0</v>
      </c>
    </row>
    <row r="204" customFormat="false" ht="15.75" hidden="false" customHeight="true" outlineLevel="0" collapsed="false">
      <c r="A204" s="30" t="n">
        <v>45580</v>
      </c>
      <c r="B204" s="31" t="s">
        <v>7</v>
      </c>
      <c r="C204" s="32"/>
      <c r="D204" s="32"/>
      <c r="E204" s="19" t="n">
        <f aca="false">+F204*0.03</f>
        <v>0</v>
      </c>
      <c r="F204" s="33" t="n">
        <v>0</v>
      </c>
      <c r="G204" s="62"/>
      <c r="H204" s="35" t="n">
        <v>0</v>
      </c>
      <c r="I204" s="34" t="n">
        <f aca="false">+IF(E204=0,0,E204*0.03)</f>
        <v>0</v>
      </c>
    </row>
    <row r="205" customFormat="false" ht="15.75" hidden="false" customHeight="true" outlineLevel="0" collapsed="false">
      <c r="A205" s="30" t="n">
        <v>45581</v>
      </c>
      <c r="B205" s="31" t="s">
        <v>7</v>
      </c>
      <c r="C205" s="32"/>
      <c r="D205" s="32"/>
      <c r="E205" s="19" t="n">
        <f aca="false">+F205*0.03</f>
        <v>0</v>
      </c>
      <c r="F205" s="33" t="n">
        <v>0</v>
      </c>
      <c r="G205" s="62"/>
      <c r="H205" s="35" t="n">
        <v>0</v>
      </c>
      <c r="I205" s="34" t="n">
        <f aca="false">+IF(E205=0,0,E205*0.03)</f>
        <v>0</v>
      </c>
    </row>
    <row r="206" customFormat="false" ht="15.75" hidden="false" customHeight="true" outlineLevel="0" collapsed="false">
      <c r="A206" s="30" t="n">
        <v>45582</v>
      </c>
      <c r="B206" s="31" t="s">
        <v>7</v>
      </c>
      <c r="C206" s="32"/>
      <c r="D206" s="32"/>
      <c r="E206" s="19" t="n">
        <f aca="false">+F206*0.03</f>
        <v>0</v>
      </c>
      <c r="F206" s="33" t="n">
        <v>0</v>
      </c>
      <c r="G206" s="62"/>
      <c r="H206" s="35" t="n">
        <v>0</v>
      </c>
      <c r="I206" s="34" t="n">
        <f aca="false">+IF(E206=0,0,E206*0.03)</f>
        <v>0</v>
      </c>
    </row>
    <row r="207" customFormat="false" ht="15.75" hidden="false" customHeight="true" outlineLevel="0" collapsed="false">
      <c r="A207" s="30" t="n">
        <v>45583</v>
      </c>
      <c r="B207" s="31" t="s">
        <v>7</v>
      </c>
      <c r="C207" s="32"/>
      <c r="D207" s="32"/>
      <c r="E207" s="19" t="n">
        <f aca="false">+F207*0.03</f>
        <v>0</v>
      </c>
      <c r="F207" s="33" t="n">
        <v>0</v>
      </c>
      <c r="G207" s="62"/>
      <c r="H207" s="35" t="n">
        <v>0</v>
      </c>
      <c r="I207" s="34" t="n">
        <f aca="false">+IF(E207=0,0,E207*0.03)</f>
        <v>0</v>
      </c>
    </row>
    <row r="208" customFormat="false" ht="15.75" hidden="false" customHeight="true" outlineLevel="0" collapsed="false">
      <c r="A208" s="30" t="n">
        <v>45584</v>
      </c>
      <c r="B208" s="31" t="s">
        <v>7</v>
      </c>
      <c r="C208" s="32"/>
      <c r="D208" s="32"/>
      <c r="E208" s="19" t="n">
        <f aca="false">+F208*0.03</f>
        <v>0</v>
      </c>
      <c r="F208" s="33" t="n">
        <v>0</v>
      </c>
      <c r="G208" s="62"/>
      <c r="H208" s="35" t="n">
        <v>0</v>
      </c>
      <c r="I208" s="34" t="n">
        <f aca="false">+IF(E208=0,0,E208*0.03)</f>
        <v>0</v>
      </c>
    </row>
    <row r="209" customFormat="false" ht="15.75" hidden="false" customHeight="true" outlineLevel="0" collapsed="false">
      <c r="A209" s="30" t="n">
        <v>45585</v>
      </c>
      <c r="B209" s="31" t="s">
        <v>7</v>
      </c>
      <c r="C209" s="32"/>
      <c r="D209" s="32"/>
      <c r="E209" s="19" t="n">
        <f aca="false">+F209*0.03</f>
        <v>0</v>
      </c>
      <c r="F209" s="33" t="n">
        <v>0</v>
      </c>
      <c r="G209" s="62"/>
      <c r="H209" s="35" t="n">
        <v>0</v>
      </c>
      <c r="I209" s="34" t="n">
        <f aca="false">+IF(E209=0,0,E209*0.03)</f>
        <v>0</v>
      </c>
    </row>
    <row r="210" customFormat="false" ht="15.75" hidden="false" customHeight="true" outlineLevel="0" collapsed="false">
      <c r="A210" s="30" t="n">
        <v>45586</v>
      </c>
      <c r="B210" s="31" t="s">
        <v>7</v>
      </c>
      <c r="C210" s="32"/>
      <c r="D210" s="32"/>
      <c r="E210" s="19" t="n">
        <f aca="false">+F210*0.03</f>
        <v>0</v>
      </c>
      <c r="F210" s="33" t="n">
        <v>0</v>
      </c>
      <c r="G210" s="62"/>
      <c r="H210" s="35" t="n">
        <v>0</v>
      </c>
      <c r="I210" s="34" t="n">
        <f aca="false">+IF(E210=0,0,E210*0.03)</f>
        <v>0</v>
      </c>
    </row>
    <row r="211" customFormat="false" ht="15.75" hidden="false" customHeight="true" outlineLevel="0" collapsed="false">
      <c r="A211" s="30" t="n">
        <v>45587</v>
      </c>
      <c r="B211" s="31" t="s">
        <v>7</v>
      </c>
      <c r="C211" s="32"/>
      <c r="D211" s="32"/>
      <c r="E211" s="19" t="n">
        <f aca="false">+F211*0.03</f>
        <v>0</v>
      </c>
      <c r="F211" s="33" t="n">
        <v>0</v>
      </c>
      <c r="G211" s="62"/>
      <c r="H211" s="35" t="n">
        <v>0</v>
      </c>
      <c r="I211" s="34" t="n">
        <f aca="false">+IF(E211=0,0,E211*0.03)</f>
        <v>0</v>
      </c>
    </row>
    <row r="212" customFormat="false" ht="15.75" hidden="false" customHeight="true" outlineLevel="0" collapsed="false">
      <c r="A212" s="30" t="n">
        <v>45588</v>
      </c>
      <c r="B212" s="31" t="s">
        <v>7</v>
      </c>
      <c r="C212" s="32"/>
      <c r="D212" s="32"/>
      <c r="E212" s="19" t="n">
        <f aca="false">+F212*0.03</f>
        <v>0</v>
      </c>
      <c r="F212" s="33" t="n">
        <v>0</v>
      </c>
      <c r="G212" s="62"/>
      <c r="H212" s="35" t="n">
        <v>0</v>
      </c>
      <c r="I212" s="34" t="n">
        <f aca="false">+IF(E212=0,0,E212*0.03)</f>
        <v>0</v>
      </c>
    </row>
    <row r="213" customFormat="false" ht="15.75" hidden="false" customHeight="true" outlineLevel="0" collapsed="false">
      <c r="A213" s="30" t="n">
        <v>45589</v>
      </c>
      <c r="B213" s="31" t="s">
        <v>7</v>
      </c>
      <c r="C213" s="32"/>
      <c r="D213" s="32"/>
      <c r="E213" s="19" t="n">
        <f aca="false">+F213*0.03</f>
        <v>0</v>
      </c>
      <c r="F213" s="33" t="n">
        <v>0</v>
      </c>
      <c r="G213" s="62"/>
      <c r="H213" s="35" t="n">
        <v>0</v>
      </c>
      <c r="I213" s="34" t="n">
        <f aca="false">+IF(E213=0,0,E213*0.03)</f>
        <v>0</v>
      </c>
    </row>
    <row r="214" customFormat="false" ht="15.75" hidden="false" customHeight="true" outlineLevel="0" collapsed="false">
      <c r="A214" s="30" t="n">
        <v>45590</v>
      </c>
      <c r="B214" s="31" t="s">
        <v>7</v>
      </c>
      <c r="C214" s="32"/>
      <c r="D214" s="32"/>
      <c r="E214" s="19" t="n">
        <f aca="false">+F214*0.03</f>
        <v>0</v>
      </c>
      <c r="F214" s="33" t="n">
        <v>0</v>
      </c>
      <c r="G214" s="62"/>
      <c r="H214" s="35" t="n">
        <v>0</v>
      </c>
      <c r="I214" s="34" t="n">
        <f aca="false">+IF(E214=0,0,E214*0.03)</f>
        <v>0</v>
      </c>
    </row>
    <row r="215" customFormat="false" ht="15.75" hidden="false" customHeight="true" outlineLevel="0" collapsed="false">
      <c r="A215" s="30" t="n">
        <v>45591</v>
      </c>
      <c r="B215" s="31" t="s">
        <v>7</v>
      </c>
      <c r="C215" s="32"/>
      <c r="D215" s="32"/>
      <c r="E215" s="19" t="n">
        <f aca="false">+F215*0.03</f>
        <v>0</v>
      </c>
      <c r="F215" s="33" t="n">
        <v>0</v>
      </c>
      <c r="G215" s="62"/>
      <c r="H215" s="35" t="n">
        <v>0</v>
      </c>
      <c r="I215" s="34" t="n">
        <f aca="false">+IF(E215=0,0,E215*0.03)</f>
        <v>0</v>
      </c>
    </row>
    <row r="216" customFormat="false" ht="15.75" hidden="false" customHeight="true" outlineLevel="0" collapsed="false">
      <c r="A216" s="30" t="n">
        <v>45592</v>
      </c>
      <c r="B216" s="31" t="s">
        <v>7</v>
      </c>
      <c r="C216" s="32"/>
      <c r="D216" s="32"/>
      <c r="E216" s="19" t="n">
        <f aca="false">+F216*0.03</f>
        <v>0</v>
      </c>
      <c r="F216" s="33" t="n">
        <v>0</v>
      </c>
      <c r="G216" s="62"/>
      <c r="H216" s="35" t="n">
        <v>0</v>
      </c>
      <c r="I216" s="34" t="n">
        <f aca="false">+IF(E216=0,0,E216*0.03)</f>
        <v>0</v>
      </c>
    </row>
    <row r="217" customFormat="false" ht="15.75" hidden="false" customHeight="true" outlineLevel="0" collapsed="false">
      <c r="A217" s="30" t="n">
        <v>45593</v>
      </c>
      <c r="B217" s="31" t="s">
        <v>7</v>
      </c>
      <c r="C217" s="32"/>
      <c r="D217" s="32"/>
      <c r="E217" s="19" t="n">
        <f aca="false">+F217*0.03</f>
        <v>0</v>
      </c>
      <c r="F217" s="33" t="n">
        <v>0</v>
      </c>
      <c r="G217" s="62"/>
      <c r="H217" s="35" t="n">
        <v>0</v>
      </c>
      <c r="I217" s="34" t="n">
        <f aca="false">+IF(E217=0,0,E217*0.03)</f>
        <v>0</v>
      </c>
    </row>
    <row r="218" customFormat="false" ht="15.75" hidden="false" customHeight="true" outlineLevel="0" collapsed="false">
      <c r="A218" s="30" t="n">
        <v>45594</v>
      </c>
      <c r="B218" s="31" t="s">
        <v>7</v>
      </c>
      <c r="C218" s="32"/>
      <c r="D218" s="32"/>
      <c r="E218" s="19" t="n">
        <f aca="false">+F218*0.03</f>
        <v>0</v>
      </c>
      <c r="F218" s="33" t="n">
        <v>0</v>
      </c>
      <c r="G218" s="62"/>
      <c r="H218" s="35" t="n">
        <v>0</v>
      </c>
      <c r="I218" s="34" t="n">
        <f aca="false">+IF(E218=0,0,E218*0.03)</f>
        <v>0</v>
      </c>
    </row>
    <row r="219" customFormat="false" ht="15.75" hidden="false" customHeight="true" outlineLevel="0" collapsed="false">
      <c r="A219" s="30" t="n">
        <v>45595</v>
      </c>
      <c r="B219" s="31" t="s">
        <v>7</v>
      </c>
      <c r="C219" s="32"/>
      <c r="D219" s="32"/>
      <c r="E219" s="19" t="n">
        <f aca="false">+F219*0.03</f>
        <v>0</v>
      </c>
      <c r="F219" s="33" t="n">
        <v>0</v>
      </c>
      <c r="G219" s="62"/>
      <c r="H219" s="35" t="n">
        <v>0</v>
      </c>
      <c r="I219" s="34" t="n">
        <f aca="false">+IF(E219=0,0,E219*0.03)</f>
        <v>0</v>
      </c>
    </row>
    <row r="220" customFormat="false" ht="15.75" hidden="false" customHeight="true" outlineLevel="0" collapsed="false">
      <c r="A220" s="30" t="n">
        <v>45596</v>
      </c>
      <c r="B220" s="31" t="s">
        <v>7</v>
      </c>
      <c r="C220" s="32"/>
      <c r="D220" s="32"/>
      <c r="E220" s="19" t="n">
        <f aca="false">+F220*0.03</f>
        <v>0</v>
      </c>
      <c r="F220" s="33" t="n">
        <v>0</v>
      </c>
      <c r="G220" s="62"/>
      <c r="H220" s="35" t="n">
        <v>0</v>
      </c>
      <c r="I220" s="34" t="n">
        <f aca="false">+IF(E220=0,0,E220*0.03)</f>
        <v>0</v>
      </c>
    </row>
    <row r="221" customFormat="false" ht="15.75" hidden="false" customHeight="true" outlineLevel="0" collapsed="false">
      <c r="A221" s="30" t="n">
        <v>45597</v>
      </c>
      <c r="B221" s="31" t="s">
        <v>7</v>
      </c>
      <c r="C221" s="32"/>
      <c r="D221" s="32"/>
      <c r="E221" s="19" t="n">
        <f aca="false">+F221*0.03</f>
        <v>0</v>
      </c>
      <c r="F221" s="33" t="n">
        <v>0</v>
      </c>
      <c r="G221" s="62"/>
      <c r="H221" s="35" t="n">
        <v>0</v>
      </c>
      <c r="I221" s="34" t="n">
        <f aca="false">+IF(E221=0,0,E221*0.03)</f>
        <v>0</v>
      </c>
    </row>
    <row r="222" customFormat="false" ht="15.75" hidden="false" customHeight="true" outlineLevel="0" collapsed="false">
      <c r="A222" s="30" t="n">
        <v>45598</v>
      </c>
      <c r="B222" s="31" t="s">
        <v>7</v>
      </c>
      <c r="C222" s="32"/>
      <c r="D222" s="32"/>
      <c r="E222" s="19" t="n">
        <f aca="false">+F222*0.03</f>
        <v>0</v>
      </c>
      <c r="F222" s="33" t="n">
        <v>0</v>
      </c>
      <c r="G222" s="62"/>
      <c r="H222" s="35" t="n">
        <v>0</v>
      </c>
      <c r="I222" s="34" t="n">
        <f aca="false">+IF(E222=0,0,E222*0.03)</f>
        <v>0</v>
      </c>
    </row>
    <row r="223" customFormat="false" ht="15.75" hidden="false" customHeight="true" outlineLevel="0" collapsed="false">
      <c r="A223" s="30" t="n">
        <v>45599</v>
      </c>
      <c r="B223" s="31" t="s">
        <v>7</v>
      </c>
      <c r="C223" s="32"/>
      <c r="D223" s="32"/>
      <c r="E223" s="19" t="n">
        <f aca="false">+F223*0.03</f>
        <v>0</v>
      </c>
      <c r="F223" s="33" t="n">
        <v>0</v>
      </c>
      <c r="G223" s="62"/>
      <c r="H223" s="35" t="n">
        <v>0</v>
      </c>
      <c r="I223" s="34" t="n">
        <f aca="false">+IF(E223=0,0,E223*0.03)</f>
        <v>0</v>
      </c>
    </row>
    <row r="224" customFormat="false" ht="15.75" hidden="false" customHeight="true" outlineLevel="0" collapsed="false">
      <c r="A224" s="30" t="n">
        <v>45600</v>
      </c>
      <c r="B224" s="31" t="s">
        <v>7</v>
      </c>
      <c r="C224" s="32"/>
      <c r="D224" s="32"/>
      <c r="E224" s="19" t="n">
        <f aca="false">+F224*0.03</f>
        <v>0</v>
      </c>
      <c r="F224" s="33" t="n">
        <v>0</v>
      </c>
      <c r="G224" s="62"/>
      <c r="H224" s="35" t="n">
        <v>0</v>
      </c>
      <c r="I224" s="34" t="n">
        <f aca="false">+IF(E224=0,0,E224*0.03)</f>
        <v>0</v>
      </c>
    </row>
    <row r="225" customFormat="false" ht="15.75" hidden="false" customHeight="true" outlineLevel="0" collapsed="false">
      <c r="A225" s="30" t="n">
        <v>45601</v>
      </c>
      <c r="B225" s="31" t="s">
        <v>7</v>
      </c>
      <c r="C225" s="32"/>
      <c r="D225" s="32"/>
      <c r="E225" s="19" t="n">
        <f aca="false">+F225*0.03</f>
        <v>0</v>
      </c>
      <c r="F225" s="33" t="n">
        <v>0</v>
      </c>
      <c r="G225" s="62"/>
      <c r="H225" s="35" t="n">
        <v>0</v>
      </c>
      <c r="I225" s="34" t="n">
        <f aca="false">+IF(E225=0,0,E225*0.03)</f>
        <v>0</v>
      </c>
    </row>
    <row r="226" customFormat="false" ht="15.75" hidden="false" customHeight="true" outlineLevel="0" collapsed="false">
      <c r="A226" s="30" t="n">
        <v>45602</v>
      </c>
      <c r="B226" s="31" t="s">
        <v>7</v>
      </c>
      <c r="C226" s="32"/>
      <c r="D226" s="32"/>
      <c r="E226" s="19" t="n">
        <f aca="false">+F226*0.03</f>
        <v>0</v>
      </c>
      <c r="F226" s="33" t="n">
        <v>0</v>
      </c>
      <c r="G226" s="62"/>
      <c r="H226" s="35" t="n">
        <v>0</v>
      </c>
      <c r="I226" s="34" t="n">
        <f aca="false">+IF(E226=0,0,E226*0.03)</f>
        <v>0</v>
      </c>
    </row>
    <row r="227" customFormat="false" ht="15.75" hidden="false" customHeight="true" outlineLevel="0" collapsed="false">
      <c r="A227" s="30" t="n">
        <v>45603</v>
      </c>
      <c r="B227" s="31" t="s">
        <v>7</v>
      </c>
      <c r="C227" s="32"/>
      <c r="D227" s="32"/>
      <c r="E227" s="19" t="n">
        <f aca="false">+F227*0.03</f>
        <v>0</v>
      </c>
      <c r="F227" s="33" t="n">
        <v>0</v>
      </c>
      <c r="G227" s="62"/>
      <c r="H227" s="35" t="n">
        <v>0</v>
      </c>
      <c r="I227" s="34" t="n">
        <f aca="false">+IF(E227=0,0,E227*0.03)</f>
        <v>0</v>
      </c>
    </row>
    <row r="228" customFormat="false" ht="15.75" hidden="false" customHeight="true" outlineLevel="0" collapsed="false">
      <c r="A228" s="30" t="n">
        <v>45604</v>
      </c>
      <c r="B228" s="31" t="s">
        <v>7</v>
      </c>
      <c r="C228" s="32"/>
      <c r="D228" s="32"/>
      <c r="E228" s="19" t="n">
        <f aca="false">+F228*0.03</f>
        <v>0</v>
      </c>
      <c r="F228" s="33" t="n">
        <v>0</v>
      </c>
      <c r="G228" s="62"/>
      <c r="H228" s="35" t="n">
        <v>0</v>
      </c>
      <c r="I228" s="34" t="n">
        <f aca="false">+IF(E228=0,0,E228*0.03)</f>
        <v>0</v>
      </c>
    </row>
    <row r="229" customFormat="false" ht="15.75" hidden="false" customHeight="true" outlineLevel="0" collapsed="false">
      <c r="A229" s="30" t="n">
        <v>45605</v>
      </c>
      <c r="B229" s="31" t="s">
        <v>7</v>
      </c>
      <c r="C229" s="32"/>
      <c r="D229" s="32"/>
      <c r="E229" s="19" t="n">
        <f aca="false">+F229*0.03</f>
        <v>0</v>
      </c>
      <c r="F229" s="33" t="n">
        <v>0</v>
      </c>
      <c r="G229" s="62"/>
      <c r="H229" s="35" t="n">
        <v>0</v>
      </c>
      <c r="I229" s="34" t="n">
        <f aca="false">+IF(E229=0,0,E229*0.03)</f>
        <v>0</v>
      </c>
    </row>
    <row r="230" customFormat="false" ht="15.75" hidden="false" customHeight="true" outlineLevel="0" collapsed="false">
      <c r="A230" s="30" t="n">
        <v>45606</v>
      </c>
      <c r="B230" s="31" t="s">
        <v>7</v>
      </c>
      <c r="C230" s="32"/>
      <c r="D230" s="32"/>
      <c r="E230" s="19" t="n">
        <f aca="false">+F230*0.03</f>
        <v>0</v>
      </c>
      <c r="F230" s="33" t="n">
        <v>0</v>
      </c>
      <c r="G230" s="62"/>
      <c r="H230" s="35" t="n">
        <v>0</v>
      </c>
      <c r="I230" s="34" t="n">
        <f aca="false">+IF(E230=0,0,E230*0.03)</f>
        <v>0</v>
      </c>
    </row>
    <row r="231" customFormat="false" ht="15.75" hidden="false" customHeight="true" outlineLevel="0" collapsed="false">
      <c r="A231" s="30" t="n">
        <v>45607</v>
      </c>
      <c r="B231" s="31" t="s">
        <v>7</v>
      </c>
      <c r="C231" s="32"/>
      <c r="D231" s="32"/>
      <c r="E231" s="19" t="n">
        <f aca="false">+F231*0.03</f>
        <v>0</v>
      </c>
      <c r="F231" s="33" t="n">
        <v>0</v>
      </c>
      <c r="G231" s="62"/>
      <c r="H231" s="35" t="n">
        <v>0</v>
      </c>
      <c r="I231" s="34" t="n">
        <f aca="false">+IF(E231=0,0,E231*0.03)</f>
        <v>0</v>
      </c>
    </row>
    <row r="232" customFormat="false" ht="15.75" hidden="false" customHeight="true" outlineLevel="0" collapsed="false">
      <c r="A232" s="30" t="n">
        <v>45608</v>
      </c>
      <c r="B232" s="31" t="s">
        <v>7</v>
      </c>
      <c r="C232" s="32"/>
      <c r="D232" s="32"/>
      <c r="E232" s="19" t="n">
        <f aca="false">+F232*0.03</f>
        <v>0</v>
      </c>
      <c r="F232" s="33" t="n">
        <v>0</v>
      </c>
      <c r="G232" s="62"/>
      <c r="H232" s="35" t="n">
        <v>0</v>
      </c>
      <c r="I232" s="34" t="n">
        <f aca="false">+IF(E232=0,0,E232*0.03)</f>
        <v>0</v>
      </c>
    </row>
    <row r="233" customFormat="false" ht="15.75" hidden="false" customHeight="true" outlineLevel="0" collapsed="false">
      <c r="A233" s="30" t="n">
        <v>45609</v>
      </c>
      <c r="B233" s="31" t="s">
        <v>7</v>
      </c>
      <c r="C233" s="32"/>
      <c r="D233" s="32"/>
      <c r="E233" s="19" t="n">
        <f aca="false">+F233*0.03</f>
        <v>0</v>
      </c>
      <c r="F233" s="33" t="n">
        <v>0</v>
      </c>
      <c r="G233" s="62"/>
      <c r="H233" s="35" t="n">
        <v>0</v>
      </c>
      <c r="I233" s="34" t="n">
        <f aca="false">+IF(E233=0,0,E233*0.03)</f>
        <v>0</v>
      </c>
    </row>
    <row r="234" customFormat="false" ht="15.75" hidden="false" customHeight="true" outlineLevel="0" collapsed="false">
      <c r="A234" s="30" t="n">
        <v>45610</v>
      </c>
      <c r="B234" s="31" t="s">
        <v>7</v>
      </c>
      <c r="C234" s="32"/>
      <c r="D234" s="32"/>
      <c r="E234" s="19" t="n">
        <f aca="false">+F234*0.03</f>
        <v>0</v>
      </c>
      <c r="F234" s="33" t="n">
        <v>0</v>
      </c>
      <c r="G234" s="62"/>
      <c r="H234" s="35" t="n">
        <v>0</v>
      </c>
      <c r="I234" s="34" t="n">
        <f aca="false">+IF(E234=0,0,E234*0.03)</f>
        <v>0</v>
      </c>
    </row>
    <row r="235" customFormat="false" ht="15.75" hidden="false" customHeight="true" outlineLevel="0" collapsed="false">
      <c r="A235" s="30" t="n">
        <v>45611</v>
      </c>
      <c r="B235" s="31" t="s">
        <v>7</v>
      </c>
      <c r="C235" s="32"/>
      <c r="D235" s="32"/>
      <c r="E235" s="19" t="n">
        <f aca="false">+F235*0.03</f>
        <v>0</v>
      </c>
      <c r="F235" s="33" t="n">
        <v>0</v>
      </c>
      <c r="G235" s="62"/>
      <c r="H235" s="35" t="n">
        <v>0</v>
      </c>
      <c r="I235" s="34" t="n">
        <f aca="false">+IF(E235=0,0,E235*0.03)</f>
        <v>0</v>
      </c>
    </row>
    <row r="236" customFormat="false" ht="15.75" hidden="false" customHeight="true" outlineLevel="0" collapsed="false">
      <c r="A236" s="30" t="n">
        <v>45612</v>
      </c>
      <c r="B236" s="31" t="s">
        <v>7</v>
      </c>
      <c r="C236" s="32"/>
      <c r="D236" s="32"/>
      <c r="E236" s="19" t="n">
        <f aca="false">+F236*0.03</f>
        <v>0</v>
      </c>
      <c r="F236" s="33" t="n">
        <v>0</v>
      </c>
      <c r="G236" s="62"/>
      <c r="H236" s="35" t="n">
        <v>0</v>
      </c>
      <c r="I236" s="34" t="n">
        <f aca="false">+IF(E236=0,0,E236*0.03)</f>
        <v>0</v>
      </c>
    </row>
    <row r="237" customFormat="false" ht="15.75" hidden="false" customHeight="true" outlineLevel="0" collapsed="false">
      <c r="A237" s="30" t="n">
        <v>45613</v>
      </c>
      <c r="B237" s="31" t="s">
        <v>7</v>
      </c>
      <c r="C237" s="32"/>
      <c r="D237" s="32"/>
      <c r="E237" s="19" t="n">
        <f aca="false">+F237*0.03</f>
        <v>0</v>
      </c>
      <c r="F237" s="33" t="n">
        <v>0</v>
      </c>
      <c r="G237" s="62"/>
      <c r="H237" s="35" t="n">
        <v>0</v>
      </c>
      <c r="I237" s="34" t="n">
        <f aca="false">+IF(E237=0,0,E237*0.03)</f>
        <v>0</v>
      </c>
    </row>
    <row r="238" customFormat="false" ht="15.75" hidden="false" customHeight="true" outlineLevel="0" collapsed="false">
      <c r="A238" s="30" t="n">
        <v>45614</v>
      </c>
      <c r="B238" s="31" t="s">
        <v>7</v>
      </c>
      <c r="C238" s="32"/>
      <c r="D238" s="32"/>
      <c r="E238" s="19" t="n">
        <f aca="false">+F238*0.03</f>
        <v>0</v>
      </c>
      <c r="F238" s="33" t="n">
        <v>0</v>
      </c>
      <c r="G238" s="62"/>
      <c r="H238" s="35" t="n">
        <v>0</v>
      </c>
      <c r="I238" s="34" t="n">
        <f aca="false">+IF(E238=0,0,E238*0.03)</f>
        <v>0</v>
      </c>
    </row>
    <row r="239" customFormat="false" ht="15.75" hidden="false" customHeight="true" outlineLevel="0" collapsed="false">
      <c r="A239" s="30" t="n">
        <v>45615</v>
      </c>
      <c r="B239" s="31" t="s">
        <v>7</v>
      </c>
      <c r="C239" s="32"/>
      <c r="D239" s="32"/>
      <c r="E239" s="19" t="n">
        <f aca="false">+F239*0.03</f>
        <v>0</v>
      </c>
      <c r="F239" s="33" t="n">
        <v>0</v>
      </c>
      <c r="G239" s="62"/>
      <c r="H239" s="35" t="n">
        <v>0</v>
      </c>
      <c r="I239" s="34" t="n">
        <f aca="false">+IF(E239=0,0,E239*0.03)</f>
        <v>0</v>
      </c>
    </row>
    <row r="240" customFormat="false" ht="15.75" hidden="false" customHeight="true" outlineLevel="0" collapsed="false">
      <c r="A240" s="30" t="n">
        <v>45616</v>
      </c>
      <c r="B240" s="31" t="s">
        <v>7</v>
      </c>
      <c r="C240" s="32"/>
      <c r="D240" s="32"/>
      <c r="E240" s="19" t="n">
        <f aca="false">+F240*0.03</f>
        <v>0</v>
      </c>
      <c r="F240" s="33" t="n">
        <v>0</v>
      </c>
      <c r="G240" s="62"/>
      <c r="H240" s="35" t="n">
        <v>0</v>
      </c>
      <c r="I240" s="34" t="n">
        <f aca="false">+IF(E240=0,0,E240*0.03)</f>
        <v>0</v>
      </c>
    </row>
    <row r="241" customFormat="false" ht="15.75" hidden="false" customHeight="true" outlineLevel="0" collapsed="false">
      <c r="A241" s="30" t="n">
        <v>45617</v>
      </c>
      <c r="B241" s="31" t="s">
        <v>7</v>
      </c>
      <c r="C241" s="32"/>
      <c r="D241" s="32"/>
      <c r="E241" s="19" t="n">
        <f aca="false">+F241*0.03</f>
        <v>0</v>
      </c>
      <c r="F241" s="33" t="n">
        <v>0</v>
      </c>
      <c r="G241" s="62"/>
      <c r="H241" s="35" t="n">
        <v>0</v>
      </c>
      <c r="I241" s="34" t="n">
        <f aca="false">+IF(E241=0,0,E241*0.03)</f>
        <v>0</v>
      </c>
    </row>
    <row r="242" customFormat="false" ht="15.75" hidden="false" customHeight="true" outlineLevel="0" collapsed="false">
      <c r="A242" s="30" t="n">
        <v>45618</v>
      </c>
      <c r="B242" s="31" t="s">
        <v>7</v>
      </c>
      <c r="C242" s="32"/>
      <c r="D242" s="32"/>
      <c r="E242" s="19" t="n">
        <f aca="false">+F242*0.03</f>
        <v>0</v>
      </c>
      <c r="F242" s="33" t="n">
        <v>0</v>
      </c>
      <c r="G242" s="62"/>
      <c r="H242" s="35" t="n">
        <v>0</v>
      </c>
      <c r="I242" s="34" t="n">
        <f aca="false">+IF(E242=0,0,E242*0.03)</f>
        <v>0</v>
      </c>
    </row>
    <row r="243" customFormat="false" ht="15.75" hidden="false" customHeight="true" outlineLevel="0" collapsed="false">
      <c r="A243" s="30" t="n">
        <v>45619</v>
      </c>
      <c r="B243" s="31" t="s">
        <v>7</v>
      </c>
      <c r="C243" s="32"/>
      <c r="D243" s="32"/>
      <c r="E243" s="19" t="n">
        <f aca="false">+F243*0.03</f>
        <v>0</v>
      </c>
      <c r="F243" s="33" t="n">
        <v>0</v>
      </c>
      <c r="G243" s="62"/>
      <c r="H243" s="35" t="n">
        <v>0</v>
      </c>
      <c r="I243" s="34" t="n">
        <f aca="false">+IF(E243=0,0,E243*0.03)</f>
        <v>0</v>
      </c>
    </row>
    <row r="244" customFormat="false" ht="15.75" hidden="false" customHeight="true" outlineLevel="0" collapsed="false">
      <c r="A244" s="30" t="n">
        <v>45620</v>
      </c>
      <c r="B244" s="31" t="s">
        <v>7</v>
      </c>
      <c r="C244" s="32"/>
      <c r="D244" s="32"/>
      <c r="E244" s="19" t="n">
        <f aca="false">+F244*0.03</f>
        <v>0</v>
      </c>
      <c r="F244" s="33" t="n">
        <v>0</v>
      </c>
      <c r="G244" s="62"/>
      <c r="H244" s="35" t="n">
        <v>0</v>
      </c>
      <c r="I244" s="34" t="n">
        <f aca="false">+IF(E244=0,0,E244*0.03)</f>
        <v>0</v>
      </c>
    </row>
    <row r="245" customFormat="false" ht="15.75" hidden="false" customHeight="true" outlineLevel="0" collapsed="false">
      <c r="A245" s="30" t="n">
        <v>45621</v>
      </c>
      <c r="B245" s="31" t="s">
        <v>7</v>
      </c>
      <c r="C245" s="32"/>
      <c r="D245" s="32"/>
      <c r="E245" s="19" t="n">
        <f aca="false">+F245*0.03</f>
        <v>0</v>
      </c>
      <c r="F245" s="33" t="n">
        <v>0</v>
      </c>
      <c r="G245" s="62"/>
      <c r="H245" s="35" t="n">
        <v>0</v>
      </c>
      <c r="I245" s="34" t="n">
        <f aca="false">+IF(E245=0,0,E245*0.03)</f>
        <v>0</v>
      </c>
    </row>
    <row r="246" customFormat="false" ht="15.75" hidden="false" customHeight="true" outlineLevel="0" collapsed="false">
      <c r="A246" s="30" t="n">
        <v>45622</v>
      </c>
      <c r="B246" s="31" t="s">
        <v>7</v>
      </c>
      <c r="C246" s="32"/>
      <c r="D246" s="32"/>
      <c r="E246" s="19" t="n">
        <f aca="false">+F246*0.03</f>
        <v>0</v>
      </c>
      <c r="F246" s="33" t="n">
        <v>0</v>
      </c>
      <c r="G246" s="62"/>
      <c r="H246" s="35" t="n">
        <v>0</v>
      </c>
      <c r="I246" s="34" t="n">
        <f aca="false">+IF(E246=0,0,E246*0.03)</f>
        <v>0</v>
      </c>
    </row>
    <row r="247" customFormat="false" ht="15.75" hidden="false" customHeight="true" outlineLevel="0" collapsed="false">
      <c r="A247" s="30" t="n">
        <v>45623</v>
      </c>
      <c r="B247" s="31" t="s">
        <v>7</v>
      </c>
      <c r="C247" s="32"/>
      <c r="D247" s="32"/>
      <c r="E247" s="19" t="n">
        <f aca="false">+F247*0.03</f>
        <v>0</v>
      </c>
      <c r="F247" s="33" t="n">
        <v>0</v>
      </c>
      <c r="G247" s="62"/>
      <c r="H247" s="35" t="n">
        <v>0</v>
      </c>
      <c r="I247" s="34" t="n">
        <f aca="false">+IF(E247=0,0,E247*0.03)</f>
        <v>0</v>
      </c>
    </row>
    <row r="248" customFormat="false" ht="15.75" hidden="false" customHeight="true" outlineLevel="0" collapsed="false">
      <c r="A248" s="30" t="n">
        <v>45624</v>
      </c>
      <c r="B248" s="31" t="s">
        <v>7</v>
      </c>
      <c r="C248" s="32"/>
      <c r="D248" s="32"/>
      <c r="E248" s="19" t="n">
        <f aca="false">+F248*0.03</f>
        <v>0</v>
      </c>
      <c r="F248" s="33" t="n">
        <v>0</v>
      </c>
      <c r="G248" s="62"/>
      <c r="H248" s="35" t="n">
        <v>0</v>
      </c>
      <c r="I248" s="34" t="n">
        <f aca="false">+IF(E248=0,0,E248*0.03)</f>
        <v>0</v>
      </c>
    </row>
    <row r="249" customFormat="false" ht="15.75" hidden="false" customHeight="true" outlineLevel="0" collapsed="false">
      <c r="A249" s="30" t="n">
        <v>45625</v>
      </c>
      <c r="B249" s="31" t="s">
        <v>7</v>
      </c>
      <c r="C249" s="32"/>
      <c r="D249" s="32"/>
      <c r="E249" s="19" t="n">
        <f aca="false">+F249*0.03</f>
        <v>0</v>
      </c>
      <c r="F249" s="33" t="n">
        <v>0</v>
      </c>
      <c r="G249" s="62"/>
      <c r="H249" s="35" t="n">
        <v>0</v>
      </c>
      <c r="I249" s="34" t="n">
        <f aca="false">+IF(E249=0,0,E249*0.03)</f>
        <v>0</v>
      </c>
    </row>
    <row r="250" customFormat="false" ht="15.75" hidden="false" customHeight="true" outlineLevel="0" collapsed="false">
      <c r="A250" s="30" t="n">
        <v>45626</v>
      </c>
      <c r="B250" s="31" t="s">
        <v>7</v>
      </c>
      <c r="C250" s="32"/>
      <c r="D250" s="32"/>
      <c r="E250" s="19" t="n">
        <f aca="false">+F250*0.03</f>
        <v>0</v>
      </c>
      <c r="F250" s="33" t="n">
        <v>0</v>
      </c>
      <c r="G250" s="62"/>
      <c r="H250" s="35" t="n">
        <v>0</v>
      </c>
      <c r="I250" s="34" t="n">
        <f aca="false">+IF(E250=0,0,E250*0.03)</f>
        <v>0</v>
      </c>
    </row>
    <row r="251" customFormat="false" ht="15.75" hidden="false" customHeight="true" outlineLevel="0" collapsed="false">
      <c r="A251" s="30" t="n">
        <v>45627</v>
      </c>
      <c r="B251" s="31" t="s">
        <v>7</v>
      </c>
      <c r="C251" s="32"/>
      <c r="D251" s="32"/>
      <c r="E251" s="19" t="n">
        <f aca="false">+F251*0.03</f>
        <v>0</v>
      </c>
      <c r="F251" s="33" t="n">
        <v>0</v>
      </c>
      <c r="G251" s="62"/>
      <c r="H251" s="35" t="n">
        <v>0</v>
      </c>
      <c r="I251" s="34" t="n">
        <f aca="false">+IF(E251=0,0,E251*0.03)</f>
        <v>0</v>
      </c>
    </row>
    <row r="252" customFormat="false" ht="15.75" hidden="false" customHeight="true" outlineLevel="0" collapsed="false">
      <c r="A252" s="30" t="n">
        <v>45628</v>
      </c>
      <c r="B252" s="31" t="s">
        <v>7</v>
      </c>
      <c r="C252" s="32"/>
      <c r="D252" s="32"/>
      <c r="E252" s="19" t="n">
        <f aca="false">+F252*0.03</f>
        <v>0</v>
      </c>
      <c r="F252" s="33" t="n">
        <v>0</v>
      </c>
      <c r="G252" s="62"/>
      <c r="H252" s="35" t="n">
        <v>0</v>
      </c>
      <c r="I252" s="34" t="n">
        <f aca="false">+IF(E252=0,0,E252*0.03)</f>
        <v>0</v>
      </c>
    </row>
    <row r="253" customFormat="false" ht="15.75" hidden="false" customHeight="true" outlineLevel="0" collapsed="false">
      <c r="A253" s="30" t="n">
        <v>45629</v>
      </c>
      <c r="B253" s="31" t="s">
        <v>7</v>
      </c>
      <c r="C253" s="32"/>
      <c r="D253" s="32"/>
      <c r="E253" s="19" t="n">
        <f aca="false">+F253*0.03</f>
        <v>0</v>
      </c>
      <c r="F253" s="33" t="n">
        <v>0</v>
      </c>
      <c r="G253" s="62"/>
      <c r="H253" s="35" t="n">
        <v>0</v>
      </c>
      <c r="I253" s="34" t="n">
        <f aca="false">+IF(E253=0,0,E253*0.03)</f>
        <v>0</v>
      </c>
    </row>
    <row r="254" customFormat="false" ht="15.75" hidden="false" customHeight="true" outlineLevel="0" collapsed="false">
      <c r="A254" s="30" t="n">
        <v>45630</v>
      </c>
      <c r="B254" s="31" t="s">
        <v>7</v>
      </c>
      <c r="C254" s="32"/>
      <c r="D254" s="32"/>
      <c r="E254" s="19" t="n">
        <f aca="false">+F254*0.03</f>
        <v>0</v>
      </c>
      <c r="F254" s="33" t="n">
        <v>0</v>
      </c>
      <c r="G254" s="62"/>
      <c r="H254" s="35" t="n">
        <v>0</v>
      </c>
      <c r="I254" s="34" t="n">
        <f aca="false">+IF(E254=0,0,E254*0.03)</f>
        <v>0</v>
      </c>
    </row>
    <row r="255" customFormat="false" ht="15.75" hidden="false" customHeight="true" outlineLevel="0" collapsed="false">
      <c r="A255" s="30" t="n">
        <v>45631</v>
      </c>
      <c r="B255" s="31" t="s">
        <v>7</v>
      </c>
      <c r="C255" s="32"/>
      <c r="D255" s="32"/>
      <c r="E255" s="19" t="n">
        <f aca="false">+F255*0.03</f>
        <v>0</v>
      </c>
      <c r="F255" s="33" t="n">
        <v>0</v>
      </c>
      <c r="G255" s="62"/>
      <c r="H255" s="35" t="n">
        <v>0</v>
      </c>
      <c r="I255" s="34" t="n">
        <f aca="false">+IF(E255=0,0,E255*0.03)</f>
        <v>0</v>
      </c>
    </row>
    <row r="256" customFormat="false" ht="15.75" hidden="false" customHeight="true" outlineLevel="0" collapsed="false">
      <c r="A256" s="30" t="n">
        <v>45632</v>
      </c>
      <c r="B256" s="31" t="s">
        <v>7</v>
      </c>
      <c r="C256" s="32"/>
      <c r="D256" s="32"/>
      <c r="E256" s="19" t="n">
        <f aca="false">+F256*0.03</f>
        <v>0</v>
      </c>
      <c r="F256" s="33" t="n">
        <v>0</v>
      </c>
      <c r="G256" s="62"/>
      <c r="H256" s="35" t="n">
        <v>0</v>
      </c>
      <c r="I256" s="34" t="n">
        <f aca="false">+IF(E256=0,0,E256*0.03)</f>
        <v>0</v>
      </c>
    </row>
    <row r="257" customFormat="false" ht="15.75" hidden="false" customHeight="true" outlineLevel="0" collapsed="false">
      <c r="A257" s="30" t="n">
        <v>45633</v>
      </c>
      <c r="B257" s="31" t="s">
        <v>7</v>
      </c>
      <c r="C257" s="32"/>
      <c r="D257" s="32"/>
      <c r="E257" s="19" t="n">
        <f aca="false">+F257*0.03</f>
        <v>0</v>
      </c>
      <c r="F257" s="33" t="n">
        <v>0</v>
      </c>
      <c r="G257" s="62"/>
      <c r="H257" s="35" t="n">
        <v>0</v>
      </c>
      <c r="I257" s="34" t="n">
        <f aca="false">+IF(E257=0,0,E257*0.03)</f>
        <v>0</v>
      </c>
    </row>
    <row r="258" customFormat="false" ht="15.75" hidden="false" customHeight="true" outlineLevel="0" collapsed="false">
      <c r="A258" s="30" t="n">
        <v>45634</v>
      </c>
      <c r="B258" s="31" t="s">
        <v>7</v>
      </c>
      <c r="C258" s="32"/>
      <c r="D258" s="32"/>
      <c r="E258" s="19" t="n">
        <f aca="false">+F258*0.03</f>
        <v>0</v>
      </c>
      <c r="F258" s="33" t="n">
        <v>0</v>
      </c>
      <c r="G258" s="62"/>
      <c r="H258" s="35" t="n">
        <v>0</v>
      </c>
      <c r="I258" s="34" t="n">
        <f aca="false">+IF(E258=0,0,E258*0.03)</f>
        <v>0</v>
      </c>
    </row>
    <row r="259" customFormat="false" ht="15.75" hidden="false" customHeight="true" outlineLevel="0" collapsed="false">
      <c r="A259" s="30" t="n">
        <v>45635</v>
      </c>
      <c r="B259" s="31" t="s">
        <v>7</v>
      </c>
      <c r="C259" s="32"/>
      <c r="D259" s="32"/>
      <c r="E259" s="19" t="n">
        <f aca="false">+F259*0.03</f>
        <v>0</v>
      </c>
      <c r="F259" s="33" t="n">
        <v>0</v>
      </c>
      <c r="G259" s="62"/>
      <c r="H259" s="35" t="n">
        <v>0</v>
      </c>
      <c r="I259" s="34" t="n">
        <f aca="false">+IF(E259=0,0,E259*0.03)</f>
        <v>0</v>
      </c>
    </row>
    <row r="260" customFormat="false" ht="15.75" hidden="false" customHeight="true" outlineLevel="0" collapsed="false">
      <c r="A260" s="30" t="n">
        <v>45636</v>
      </c>
      <c r="B260" s="31" t="s">
        <v>7</v>
      </c>
      <c r="C260" s="32"/>
      <c r="D260" s="32"/>
      <c r="E260" s="19" t="n">
        <f aca="false">+F260*0.03</f>
        <v>0</v>
      </c>
      <c r="F260" s="33" t="n">
        <v>0</v>
      </c>
      <c r="G260" s="62"/>
      <c r="H260" s="35" t="n">
        <v>0</v>
      </c>
      <c r="I260" s="34" t="n">
        <f aca="false">+IF(E260=0,0,E260*0.03)</f>
        <v>0</v>
      </c>
    </row>
    <row r="261" customFormat="false" ht="15.75" hidden="false" customHeight="true" outlineLevel="0" collapsed="false">
      <c r="A261" s="30" t="n">
        <v>45637</v>
      </c>
      <c r="B261" s="31" t="s">
        <v>7</v>
      </c>
      <c r="C261" s="32"/>
      <c r="D261" s="32"/>
      <c r="E261" s="19" t="n">
        <f aca="false">+F261*0.03</f>
        <v>0</v>
      </c>
      <c r="F261" s="33" t="n">
        <v>0</v>
      </c>
      <c r="G261" s="62"/>
      <c r="H261" s="35" t="n">
        <v>0</v>
      </c>
      <c r="I261" s="34" t="n">
        <f aca="false">+IF(E261=0,0,E261*0.03)</f>
        <v>0</v>
      </c>
    </row>
    <row r="262" customFormat="false" ht="15.75" hidden="false" customHeight="true" outlineLevel="0" collapsed="false">
      <c r="A262" s="30" t="n">
        <v>45638</v>
      </c>
      <c r="B262" s="31" t="s">
        <v>7</v>
      </c>
      <c r="C262" s="32"/>
      <c r="D262" s="32"/>
      <c r="E262" s="19" t="n">
        <f aca="false">+F262*0.03</f>
        <v>0</v>
      </c>
      <c r="F262" s="33" t="n">
        <v>0</v>
      </c>
      <c r="G262" s="62"/>
      <c r="H262" s="35" t="n">
        <v>0</v>
      </c>
      <c r="I262" s="34" t="n">
        <f aca="false">+IF(E262=0,0,E262*0.03)</f>
        <v>0</v>
      </c>
    </row>
    <row r="263" customFormat="false" ht="15.75" hidden="false" customHeight="true" outlineLevel="0" collapsed="false">
      <c r="A263" s="30" t="n">
        <v>45639</v>
      </c>
      <c r="B263" s="31" t="s">
        <v>7</v>
      </c>
      <c r="C263" s="32"/>
      <c r="D263" s="32"/>
      <c r="E263" s="19" t="n">
        <f aca="false">+F263*0.03</f>
        <v>0</v>
      </c>
      <c r="F263" s="33" t="n">
        <v>0</v>
      </c>
      <c r="G263" s="62"/>
      <c r="H263" s="35" t="n">
        <v>0</v>
      </c>
      <c r="I263" s="34" t="n">
        <f aca="false">+IF(E263=0,0,E263*0.03)</f>
        <v>0</v>
      </c>
    </row>
    <row r="264" customFormat="false" ht="15.75" hidden="false" customHeight="true" outlineLevel="0" collapsed="false">
      <c r="A264" s="30" t="n">
        <v>45640</v>
      </c>
      <c r="B264" s="31" t="s">
        <v>7</v>
      </c>
      <c r="C264" s="32"/>
      <c r="D264" s="32"/>
      <c r="E264" s="19" t="n">
        <f aca="false">+F264*0.03</f>
        <v>0</v>
      </c>
      <c r="F264" s="33" t="n">
        <v>0</v>
      </c>
      <c r="G264" s="62"/>
      <c r="H264" s="35" t="n">
        <v>0</v>
      </c>
      <c r="I264" s="34" t="n">
        <f aca="false">+IF(E264=0,0,E264*0.03)</f>
        <v>0</v>
      </c>
    </row>
    <row r="265" customFormat="false" ht="15.75" hidden="false" customHeight="true" outlineLevel="0" collapsed="false">
      <c r="A265" s="30" t="n">
        <v>45641</v>
      </c>
      <c r="B265" s="31" t="s">
        <v>7</v>
      </c>
      <c r="C265" s="32"/>
      <c r="D265" s="32"/>
      <c r="E265" s="19" t="n">
        <f aca="false">+F265*0.03</f>
        <v>0</v>
      </c>
      <c r="F265" s="33" t="n">
        <v>0</v>
      </c>
      <c r="G265" s="62"/>
      <c r="H265" s="35" t="n">
        <v>0</v>
      </c>
      <c r="I265" s="34" t="n">
        <f aca="false">+IF(E265=0,0,E265*0.03)</f>
        <v>0</v>
      </c>
    </row>
    <row r="266" customFormat="false" ht="15.75" hidden="false" customHeight="true" outlineLevel="0" collapsed="false">
      <c r="A266" s="30" t="n">
        <v>45642</v>
      </c>
      <c r="B266" s="31" t="s">
        <v>7</v>
      </c>
      <c r="C266" s="32"/>
      <c r="D266" s="32"/>
      <c r="E266" s="19" t="n">
        <f aca="false">+F266*0.03</f>
        <v>0</v>
      </c>
      <c r="F266" s="33" t="n">
        <v>0</v>
      </c>
      <c r="G266" s="62"/>
      <c r="H266" s="35" t="n">
        <v>0</v>
      </c>
      <c r="I266" s="34" t="n">
        <f aca="false">+IF(E266=0,0,E266*0.03)</f>
        <v>0</v>
      </c>
    </row>
    <row r="267" customFormat="false" ht="15.75" hidden="false" customHeight="true" outlineLevel="0" collapsed="false">
      <c r="A267" s="30" t="n">
        <v>45643</v>
      </c>
      <c r="B267" s="31" t="s">
        <v>7</v>
      </c>
      <c r="C267" s="32"/>
      <c r="D267" s="32"/>
      <c r="E267" s="19" t="n">
        <f aca="false">+F267*0.03</f>
        <v>0</v>
      </c>
      <c r="F267" s="33" t="n">
        <v>0</v>
      </c>
      <c r="G267" s="62"/>
      <c r="H267" s="35" t="n">
        <v>0</v>
      </c>
      <c r="I267" s="34" t="n">
        <f aca="false">+IF(E267=0,0,E267*0.03)</f>
        <v>0</v>
      </c>
    </row>
    <row r="268" customFormat="false" ht="15.75" hidden="false" customHeight="true" outlineLevel="0" collapsed="false">
      <c r="A268" s="30" t="n">
        <v>45644</v>
      </c>
      <c r="B268" s="31" t="s">
        <v>7</v>
      </c>
      <c r="C268" s="32"/>
      <c r="D268" s="32"/>
      <c r="E268" s="19" t="n">
        <f aca="false">+F268*0.03</f>
        <v>0</v>
      </c>
      <c r="F268" s="33" t="n">
        <v>0</v>
      </c>
      <c r="G268" s="62"/>
      <c r="H268" s="35" t="n">
        <v>0</v>
      </c>
      <c r="I268" s="34" t="n">
        <f aca="false">+IF(E268=0,0,E268*0.03)</f>
        <v>0</v>
      </c>
    </row>
    <row r="269" customFormat="false" ht="15.75" hidden="false" customHeight="true" outlineLevel="0" collapsed="false">
      <c r="A269" s="30" t="n">
        <v>45645</v>
      </c>
      <c r="B269" s="31" t="s">
        <v>7</v>
      </c>
      <c r="C269" s="32"/>
      <c r="D269" s="32"/>
      <c r="E269" s="19" t="n">
        <f aca="false">+F269*0.03</f>
        <v>0</v>
      </c>
      <c r="F269" s="33" t="n">
        <v>0</v>
      </c>
      <c r="G269" s="62"/>
      <c r="H269" s="35" t="n">
        <v>0</v>
      </c>
      <c r="I269" s="34" t="n">
        <f aca="false">+IF(E269=0,0,E269*0.03)</f>
        <v>0</v>
      </c>
    </row>
    <row r="270" customFormat="false" ht="15.75" hidden="false" customHeight="true" outlineLevel="0" collapsed="false">
      <c r="A270" s="30" t="n">
        <v>45646</v>
      </c>
      <c r="B270" s="31" t="s">
        <v>7</v>
      </c>
      <c r="C270" s="32"/>
      <c r="D270" s="32"/>
      <c r="E270" s="19" t="n">
        <f aca="false">+F270*0.03</f>
        <v>0</v>
      </c>
      <c r="F270" s="33" t="n">
        <v>0</v>
      </c>
      <c r="G270" s="62"/>
      <c r="H270" s="35" t="n">
        <v>0</v>
      </c>
      <c r="I270" s="34" t="n">
        <f aca="false">+IF(E270=0,0,E270*0.03)</f>
        <v>0</v>
      </c>
    </row>
    <row r="271" customFormat="false" ht="15.75" hidden="false" customHeight="true" outlineLevel="0" collapsed="false">
      <c r="A271" s="30" t="n">
        <v>45647</v>
      </c>
      <c r="B271" s="31" t="s">
        <v>7</v>
      </c>
      <c r="C271" s="32"/>
      <c r="D271" s="32"/>
      <c r="E271" s="19" t="n">
        <f aca="false">+F271*0.03</f>
        <v>0</v>
      </c>
      <c r="F271" s="33" t="n">
        <v>0</v>
      </c>
      <c r="G271" s="62"/>
      <c r="H271" s="35" t="n">
        <v>0</v>
      </c>
      <c r="I271" s="34" t="n">
        <f aca="false">+IF(E271=0,0,E271*0.03)</f>
        <v>0</v>
      </c>
    </row>
    <row r="272" customFormat="false" ht="15.75" hidden="false" customHeight="true" outlineLevel="0" collapsed="false">
      <c r="A272" s="30" t="n">
        <v>45648</v>
      </c>
      <c r="B272" s="31" t="s">
        <v>7</v>
      </c>
      <c r="C272" s="32"/>
      <c r="D272" s="32"/>
      <c r="E272" s="19" t="n">
        <f aca="false">+F272*0.03</f>
        <v>0</v>
      </c>
      <c r="F272" s="33" t="n">
        <v>0</v>
      </c>
      <c r="G272" s="62"/>
      <c r="H272" s="35" t="n">
        <v>0</v>
      </c>
      <c r="I272" s="34" t="n">
        <f aca="false">+IF(E272=0,0,E272*0.03)</f>
        <v>0</v>
      </c>
    </row>
    <row r="273" customFormat="false" ht="15.75" hidden="false" customHeight="true" outlineLevel="0" collapsed="false">
      <c r="A273" s="30" t="n">
        <v>45649</v>
      </c>
      <c r="B273" s="31" t="s">
        <v>7</v>
      </c>
      <c r="C273" s="32"/>
      <c r="D273" s="32"/>
      <c r="E273" s="19" t="n">
        <f aca="false">+F273*0.03</f>
        <v>0</v>
      </c>
      <c r="F273" s="33" t="n">
        <v>0</v>
      </c>
      <c r="G273" s="62"/>
      <c r="H273" s="35" t="n">
        <v>0</v>
      </c>
      <c r="I273" s="34" t="n">
        <f aca="false">+IF(E273=0,0,E273*0.03)</f>
        <v>0</v>
      </c>
    </row>
    <row r="274" customFormat="false" ht="15.75" hidden="false" customHeight="true" outlineLevel="0" collapsed="false">
      <c r="A274" s="30" t="n">
        <v>45650</v>
      </c>
      <c r="B274" s="31" t="s">
        <v>7</v>
      </c>
      <c r="C274" s="32"/>
      <c r="D274" s="32"/>
      <c r="E274" s="19" t="n">
        <f aca="false">+F274*0.03</f>
        <v>0</v>
      </c>
      <c r="F274" s="33" t="n">
        <v>0</v>
      </c>
      <c r="G274" s="62"/>
      <c r="H274" s="35" t="n">
        <v>0</v>
      </c>
      <c r="I274" s="34" t="n">
        <f aca="false">+IF(E274=0,0,E274*0.03)</f>
        <v>0</v>
      </c>
    </row>
    <row r="275" customFormat="false" ht="15.75" hidden="false" customHeight="true" outlineLevel="0" collapsed="false">
      <c r="A275" s="30" t="n">
        <v>45651</v>
      </c>
      <c r="B275" s="31" t="s">
        <v>7</v>
      </c>
      <c r="C275" s="32"/>
      <c r="D275" s="32"/>
      <c r="E275" s="19" t="n">
        <f aca="false">+F275*0.03</f>
        <v>0</v>
      </c>
      <c r="F275" s="33" t="n">
        <v>0</v>
      </c>
      <c r="G275" s="62"/>
      <c r="H275" s="35" t="n">
        <v>0</v>
      </c>
      <c r="I275" s="34" t="n">
        <f aca="false">+IF(E275=0,0,E275*0.03)</f>
        <v>0</v>
      </c>
    </row>
    <row r="276" customFormat="false" ht="15.75" hidden="false" customHeight="true" outlineLevel="0" collapsed="false">
      <c r="A276" s="30" t="n">
        <v>45652</v>
      </c>
      <c r="B276" s="31" t="s">
        <v>7</v>
      </c>
      <c r="C276" s="32"/>
      <c r="D276" s="32"/>
      <c r="E276" s="19" t="n">
        <f aca="false">+F276*0.03</f>
        <v>0</v>
      </c>
      <c r="F276" s="33" t="n">
        <v>0</v>
      </c>
      <c r="G276" s="62"/>
      <c r="H276" s="35" t="n">
        <v>0</v>
      </c>
      <c r="I276" s="34" t="n">
        <f aca="false">+IF(E276=0,0,E276*0.03)</f>
        <v>0</v>
      </c>
    </row>
    <row r="277" customFormat="false" ht="15.75" hidden="false" customHeight="true" outlineLevel="0" collapsed="false">
      <c r="A277" s="30" t="n">
        <v>45653</v>
      </c>
      <c r="B277" s="31" t="s">
        <v>7</v>
      </c>
      <c r="C277" s="32"/>
      <c r="D277" s="32"/>
      <c r="E277" s="19" t="n">
        <f aca="false">+F277*0.03</f>
        <v>0</v>
      </c>
      <c r="F277" s="33" t="n">
        <v>0</v>
      </c>
      <c r="G277" s="62"/>
      <c r="H277" s="35" t="n">
        <v>0</v>
      </c>
      <c r="I277" s="34" t="n">
        <f aca="false">+IF(E277=0,0,E277*0.03)</f>
        <v>0</v>
      </c>
    </row>
    <row r="278" customFormat="false" ht="15.75" hidden="false" customHeight="true" outlineLevel="0" collapsed="false">
      <c r="A278" s="30" t="n">
        <v>45654</v>
      </c>
      <c r="B278" s="31" t="s">
        <v>7</v>
      </c>
      <c r="C278" s="32"/>
      <c r="D278" s="32"/>
      <c r="E278" s="19" t="n">
        <f aca="false">+F278*0.03</f>
        <v>0</v>
      </c>
      <c r="F278" s="33" t="n">
        <v>0</v>
      </c>
      <c r="G278" s="62"/>
      <c r="H278" s="35" t="n">
        <v>0</v>
      </c>
      <c r="I278" s="34" t="n">
        <f aca="false">+IF(E278=0,0,E278*0.03)</f>
        <v>0</v>
      </c>
    </row>
    <row r="279" customFormat="false" ht="15.75" hidden="false" customHeight="true" outlineLevel="0" collapsed="false">
      <c r="A279" s="30" t="n">
        <v>45655</v>
      </c>
      <c r="B279" s="31" t="s">
        <v>7</v>
      </c>
      <c r="C279" s="32"/>
      <c r="D279" s="32"/>
      <c r="E279" s="19" t="n">
        <f aca="false">+F279*0.03</f>
        <v>0</v>
      </c>
      <c r="F279" s="33" t="n">
        <v>0</v>
      </c>
      <c r="G279" s="62"/>
      <c r="H279" s="35" t="n">
        <v>0</v>
      </c>
      <c r="I279" s="34" t="n">
        <f aca="false">+IF(E279=0,0,E279*0.03)</f>
        <v>0</v>
      </c>
    </row>
    <row r="280" customFormat="false" ht="15.75" hidden="false" customHeight="true" outlineLevel="0" collapsed="false">
      <c r="A280" s="30" t="n">
        <v>45656</v>
      </c>
      <c r="B280" s="31" t="s">
        <v>7</v>
      </c>
      <c r="C280" s="32"/>
      <c r="D280" s="32"/>
      <c r="E280" s="19" t="n">
        <f aca="false">+F280*0.03</f>
        <v>0</v>
      </c>
      <c r="F280" s="33" t="n">
        <v>0</v>
      </c>
      <c r="G280" s="62"/>
      <c r="H280" s="35" t="n">
        <v>0</v>
      </c>
      <c r="I280" s="34" t="n">
        <f aca="false">+IF(E280=0,0,E280*0.03)</f>
        <v>0</v>
      </c>
    </row>
    <row r="281" customFormat="false" ht="15.75" hidden="false" customHeight="true" outlineLevel="0" collapsed="false">
      <c r="A281" s="30" t="n">
        <v>45657</v>
      </c>
      <c r="B281" s="31" t="s">
        <v>7</v>
      </c>
      <c r="C281" s="32"/>
      <c r="D281" s="32"/>
      <c r="E281" s="19" t="n">
        <f aca="false">+F281*0.03</f>
        <v>0</v>
      </c>
      <c r="F281" s="33" t="n">
        <v>0</v>
      </c>
      <c r="G281" s="62"/>
      <c r="H281" s="35" t="n">
        <v>0</v>
      </c>
      <c r="I281" s="34" t="n">
        <f aca="false">+IF(E281=0,0,E281*0.03)</f>
        <v>0</v>
      </c>
    </row>
    <row r="282" customFormat="false" ht="15.75" hidden="false" customHeight="true" outlineLevel="0" collapsed="false">
      <c r="A282" s="30" t="n">
        <v>45658</v>
      </c>
      <c r="B282" s="31" t="s">
        <v>7</v>
      </c>
      <c r="C282" s="32"/>
      <c r="D282" s="32"/>
      <c r="E282" s="19" t="n">
        <f aca="false">+F282*0.03</f>
        <v>0</v>
      </c>
      <c r="F282" s="33" t="n">
        <v>0</v>
      </c>
      <c r="G282" s="62"/>
      <c r="H282" s="35" t="n">
        <v>0</v>
      </c>
      <c r="I282" s="34" t="n">
        <f aca="false">+IF(E282=0,0,E282*0.03)</f>
        <v>0</v>
      </c>
    </row>
    <row r="283" customFormat="false" ht="15.75" hidden="false" customHeight="true" outlineLevel="0" collapsed="false">
      <c r="A283" s="30" t="n">
        <v>45659</v>
      </c>
      <c r="B283" s="31" t="s">
        <v>7</v>
      </c>
      <c r="C283" s="32"/>
      <c r="D283" s="32"/>
      <c r="E283" s="19" t="n">
        <f aca="false">+F283*0.03</f>
        <v>0</v>
      </c>
      <c r="F283" s="33" t="n">
        <v>0</v>
      </c>
      <c r="G283" s="62"/>
      <c r="H283" s="35" t="n">
        <v>0</v>
      </c>
      <c r="I283" s="34" t="n">
        <f aca="false">+IF(E283=0,0,E283*0.03)</f>
        <v>0</v>
      </c>
    </row>
    <row r="284" customFormat="false" ht="15.75" hidden="false" customHeight="true" outlineLevel="0" collapsed="false">
      <c r="A284" s="30" t="n">
        <v>45660</v>
      </c>
      <c r="B284" s="31" t="s">
        <v>7</v>
      </c>
      <c r="C284" s="32"/>
      <c r="D284" s="32"/>
      <c r="E284" s="19" t="n">
        <f aca="false">+F284*0.03</f>
        <v>0</v>
      </c>
      <c r="F284" s="33" t="n">
        <v>0</v>
      </c>
      <c r="G284" s="62"/>
      <c r="H284" s="35" t="n">
        <v>0</v>
      </c>
      <c r="I284" s="34" t="n">
        <f aca="false">+IF(E284=0,0,E284*0.03)</f>
        <v>0</v>
      </c>
    </row>
    <row r="285" customFormat="false" ht="15.75" hidden="false" customHeight="true" outlineLevel="0" collapsed="false">
      <c r="A285" s="30" t="n">
        <v>45661</v>
      </c>
      <c r="B285" s="31" t="s">
        <v>7</v>
      </c>
      <c r="C285" s="32"/>
      <c r="D285" s="32"/>
      <c r="E285" s="19" t="n">
        <f aca="false">+F285*0.03</f>
        <v>0</v>
      </c>
      <c r="F285" s="33" t="n">
        <v>0</v>
      </c>
      <c r="G285" s="62"/>
      <c r="H285" s="35" t="n">
        <v>0</v>
      </c>
      <c r="I285" s="34" t="n">
        <f aca="false">+IF(E285=0,0,E285*0.03)</f>
        <v>0</v>
      </c>
    </row>
    <row r="286" customFormat="false" ht="15.75" hidden="false" customHeight="true" outlineLevel="0" collapsed="false">
      <c r="A286" s="30" t="n">
        <v>45662</v>
      </c>
      <c r="B286" s="31" t="s">
        <v>7</v>
      </c>
      <c r="C286" s="32"/>
      <c r="D286" s="32"/>
      <c r="E286" s="19" t="n">
        <f aca="false">+F286*0.03</f>
        <v>0</v>
      </c>
      <c r="F286" s="33" t="n">
        <v>0</v>
      </c>
      <c r="G286" s="62"/>
      <c r="H286" s="35" t="n">
        <v>0</v>
      </c>
      <c r="I286" s="34" t="n">
        <f aca="false">+IF(E286=0,0,E286*0.03)</f>
        <v>0</v>
      </c>
    </row>
    <row r="287" customFormat="false" ht="15.75" hidden="false" customHeight="true" outlineLevel="0" collapsed="false">
      <c r="A287" s="30" t="n">
        <v>45663</v>
      </c>
      <c r="B287" s="31" t="s">
        <v>7</v>
      </c>
      <c r="C287" s="32"/>
      <c r="D287" s="32"/>
      <c r="E287" s="19" t="n">
        <f aca="false">+F287*0.03</f>
        <v>0</v>
      </c>
      <c r="F287" s="33" t="n">
        <v>0</v>
      </c>
      <c r="G287" s="62"/>
      <c r="H287" s="35" t="n">
        <v>0</v>
      </c>
      <c r="I287" s="34" t="n">
        <f aca="false">+IF(E287=0,0,E287*0.03)</f>
        <v>0</v>
      </c>
    </row>
    <row r="288" customFormat="false" ht="15.75" hidden="false" customHeight="true" outlineLevel="0" collapsed="false">
      <c r="A288" s="30" t="n">
        <v>45664</v>
      </c>
      <c r="B288" s="31" t="s">
        <v>7</v>
      </c>
      <c r="C288" s="32"/>
      <c r="D288" s="32"/>
      <c r="E288" s="19" t="n">
        <f aca="false">+F288*0.03</f>
        <v>0</v>
      </c>
      <c r="F288" s="33" t="n">
        <v>0</v>
      </c>
      <c r="G288" s="62"/>
      <c r="H288" s="35" t="n">
        <v>0</v>
      </c>
      <c r="I288" s="34" t="n">
        <f aca="false">+IF(E288=0,0,E288*0.03)</f>
        <v>0</v>
      </c>
    </row>
    <row r="289" customFormat="false" ht="15.75" hidden="false" customHeight="true" outlineLevel="0" collapsed="false">
      <c r="A289" s="30" t="n">
        <v>45665</v>
      </c>
      <c r="B289" s="31" t="s">
        <v>7</v>
      </c>
      <c r="C289" s="32"/>
      <c r="D289" s="32"/>
      <c r="E289" s="19" t="n">
        <f aca="false">+F289*0.03</f>
        <v>0</v>
      </c>
      <c r="F289" s="33" t="n">
        <v>0</v>
      </c>
      <c r="G289" s="62"/>
      <c r="H289" s="35" t="n">
        <v>0</v>
      </c>
      <c r="I289" s="34" t="n">
        <f aca="false">+IF(E289=0,0,E289*0.03)</f>
        <v>0</v>
      </c>
    </row>
    <row r="290" customFormat="false" ht="15.75" hidden="false" customHeight="true" outlineLevel="0" collapsed="false">
      <c r="A290" s="30" t="n">
        <v>45666</v>
      </c>
      <c r="B290" s="31" t="s">
        <v>7</v>
      </c>
      <c r="C290" s="32"/>
      <c r="D290" s="32"/>
      <c r="E290" s="19" t="n">
        <f aca="false">+F290*0.03</f>
        <v>0</v>
      </c>
      <c r="F290" s="33" t="n">
        <v>0</v>
      </c>
      <c r="G290" s="62"/>
      <c r="H290" s="35" t="n">
        <v>0</v>
      </c>
      <c r="I290" s="34" t="n">
        <f aca="false">+IF(E290=0,0,E290*0.03)</f>
        <v>0</v>
      </c>
    </row>
    <row r="291" customFormat="false" ht="15.75" hidden="false" customHeight="true" outlineLevel="0" collapsed="false">
      <c r="A291" s="30" t="n">
        <v>45667</v>
      </c>
      <c r="B291" s="31" t="s">
        <v>7</v>
      </c>
      <c r="C291" s="32"/>
      <c r="D291" s="32"/>
      <c r="E291" s="19" t="n">
        <f aca="false">+F291*0.03</f>
        <v>0</v>
      </c>
      <c r="F291" s="33" t="n">
        <v>0</v>
      </c>
      <c r="G291" s="62"/>
      <c r="H291" s="35" t="n">
        <v>0</v>
      </c>
      <c r="I291" s="34" t="n">
        <f aca="false">+IF(E291=0,0,E291*0.03)</f>
        <v>0</v>
      </c>
    </row>
    <row r="292" customFormat="false" ht="15.75" hidden="false" customHeight="true" outlineLevel="0" collapsed="false">
      <c r="A292" s="30" t="n">
        <v>45668</v>
      </c>
      <c r="B292" s="31" t="s">
        <v>7</v>
      </c>
      <c r="C292" s="32"/>
      <c r="D292" s="32"/>
      <c r="E292" s="19" t="n">
        <f aca="false">+F292*0.03</f>
        <v>0</v>
      </c>
      <c r="F292" s="33" t="n">
        <v>0</v>
      </c>
      <c r="G292" s="62"/>
      <c r="H292" s="35" t="n">
        <v>0</v>
      </c>
      <c r="I292" s="34" t="n">
        <f aca="false">+IF(E292=0,0,E292*0.03)</f>
        <v>0</v>
      </c>
    </row>
    <row r="293" customFormat="false" ht="15.75" hidden="false" customHeight="true" outlineLevel="0" collapsed="false">
      <c r="A293" s="30" t="n">
        <v>45669</v>
      </c>
      <c r="B293" s="31" t="s">
        <v>7</v>
      </c>
      <c r="C293" s="32"/>
      <c r="D293" s="32"/>
      <c r="E293" s="19" t="n">
        <f aca="false">+F293*0.03</f>
        <v>0</v>
      </c>
      <c r="F293" s="33" t="n">
        <v>0</v>
      </c>
      <c r="G293" s="62"/>
      <c r="H293" s="35" t="n">
        <v>0</v>
      </c>
      <c r="I293" s="34" t="n">
        <f aca="false">+IF(E293=0,0,E293*0.03)</f>
        <v>0</v>
      </c>
    </row>
    <row r="294" customFormat="false" ht="15.75" hidden="false" customHeight="true" outlineLevel="0" collapsed="false">
      <c r="A294" s="30" t="n">
        <v>45670</v>
      </c>
      <c r="B294" s="31" t="s">
        <v>7</v>
      </c>
      <c r="C294" s="32"/>
      <c r="D294" s="32"/>
      <c r="E294" s="19" t="n">
        <f aca="false">+F294*0.03</f>
        <v>0</v>
      </c>
      <c r="F294" s="33" t="n">
        <v>0</v>
      </c>
      <c r="G294" s="62"/>
      <c r="H294" s="35" t="n">
        <v>0</v>
      </c>
      <c r="I294" s="34" t="n">
        <f aca="false">+IF(E294=0,0,E294*0.03)</f>
        <v>0</v>
      </c>
    </row>
    <row r="295" customFormat="false" ht="15.75" hidden="false" customHeight="true" outlineLevel="0" collapsed="false">
      <c r="A295" s="30" t="n">
        <v>45671</v>
      </c>
      <c r="B295" s="31" t="s">
        <v>7</v>
      </c>
      <c r="C295" s="32"/>
      <c r="D295" s="32"/>
      <c r="E295" s="19" t="n">
        <f aca="false">+F295*0.03</f>
        <v>0</v>
      </c>
      <c r="F295" s="33" t="n">
        <v>0</v>
      </c>
      <c r="G295" s="62"/>
      <c r="H295" s="35" t="n">
        <v>0</v>
      </c>
      <c r="I295" s="34" t="n">
        <f aca="false">+IF(E295=0,0,E295*0.03)</f>
        <v>0</v>
      </c>
    </row>
    <row r="296" customFormat="false" ht="15.75" hidden="false" customHeight="true" outlineLevel="0" collapsed="false">
      <c r="A296" s="30" t="n">
        <v>45672</v>
      </c>
      <c r="B296" s="31" t="s">
        <v>7</v>
      </c>
      <c r="C296" s="32"/>
      <c r="D296" s="32"/>
      <c r="E296" s="19" t="n">
        <f aca="false">+F296*0.03</f>
        <v>0</v>
      </c>
      <c r="F296" s="33" t="n">
        <v>0</v>
      </c>
      <c r="G296" s="62"/>
      <c r="H296" s="35" t="n">
        <v>0</v>
      </c>
      <c r="I296" s="34" t="n">
        <f aca="false">+IF(E296=0,0,E296*0.03)</f>
        <v>0</v>
      </c>
    </row>
    <row r="297" customFormat="false" ht="15.75" hidden="false" customHeight="true" outlineLevel="0" collapsed="false">
      <c r="A297" s="30" t="n">
        <v>45673</v>
      </c>
      <c r="B297" s="31" t="s">
        <v>7</v>
      </c>
      <c r="C297" s="32"/>
      <c r="D297" s="32"/>
      <c r="E297" s="19" t="n">
        <f aca="false">+F297*0.03</f>
        <v>0</v>
      </c>
      <c r="F297" s="33" t="n">
        <v>0</v>
      </c>
      <c r="G297" s="62"/>
      <c r="H297" s="35" t="n">
        <v>0</v>
      </c>
      <c r="I297" s="34" t="n">
        <f aca="false">+IF(E297=0,0,E297*0.03)</f>
        <v>0</v>
      </c>
    </row>
    <row r="298" customFormat="false" ht="15.75" hidden="false" customHeight="true" outlineLevel="0" collapsed="false">
      <c r="A298" s="30" t="n">
        <v>45674</v>
      </c>
      <c r="B298" s="31" t="s">
        <v>7</v>
      </c>
      <c r="C298" s="32"/>
      <c r="D298" s="32"/>
      <c r="E298" s="19" t="n">
        <f aca="false">+F298*0.03</f>
        <v>0</v>
      </c>
      <c r="F298" s="33" t="n">
        <v>0</v>
      </c>
      <c r="G298" s="62"/>
      <c r="H298" s="35" t="n">
        <v>0</v>
      </c>
      <c r="I298" s="34" t="n">
        <f aca="false">+IF(E298=0,0,E298*0.03)</f>
        <v>0</v>
      </c>
    </row>
    <row r="299" customFormat="false" ht="15.75" hidden="false" customHeight="true" outlineLevel="0" collapsed="false">
      <c r="A299" s="30" t="n">
        <v>45675</v>
      </c>
      <c r="B299" s="31" t="s">
        <v>7</v>
      </c>
      <c r="C299" s="32"/>
      <c r="D299" s="32"/>
      <c r="E299" s="19" t="n">
        <f aca="false">+F299*0.03</f>
        <v>0</v>
      </c>
      <c r="F299" s="33" t="n">
        <v>0</v>
      </c>
      <c r="G299" s="62"/>
      <c r="H299" s="35" t="n">
        <v>0</v>
      </c>
      <c r="I299" s="34" t="n">
        <f aca="false">+IF(E299=0,0,E299*0.03)</f>
        <v>0</v>
      </c>
    </row>
    <row r="300" customFormat="false" ht="15.75" hidden="false" customHeight="true" outlineLevel="0" collapsed="false">
      <c r="A300" s="30" t="n">
        <v>45676</v>
      </c>
      <c r="B300" s="31" t="s">
        <v>7</v>
      </c>
      <c r="C300" s="32"/>
      <c r="D300" s="32"/>
      <c r="E300" s="19" t="n">
        <f aca="false">+F300*0.03</f>
        <v>0</v>
      </c>
      <c r="F300" s="33" t="n">
        <v>0</v>
      </c>
      <c r="G300" s="62"/>
      <c r="H300" s="35" t="n">
        <v>0</v>
      </c>
      <c r="I300" s="34" t="n">
        <f aca="false">+IF(E300=0,0,E300*0.03)</f>
        <v>0</v>
      </c>
    </row>
    <row r="301" customFormat="false" ht="15.75" hidden="false" customHeight="true" outlineLevel="0" collapsed="false">
      <c r="A301" s="30" t="n">
        <v>45677</v>
      </c>
      <c r="B301" s="31" t="s">
        <v>7</v>
      </c>
      <c r="C301" s="32"/>
      <c r="D301" s="32"/>
      <c r="E301" s="19" t="n">
        <f aca="false">+F301*0.03</f>
        <v>0</v>
      </c>
      <c r="F301" s="33" t="n">
        <v>0</v>
      </c>
      <c r="G301" s="62"/>
      <c r="H301" s="35" t="n">
        <v>0</v>
      </c>
      <c r="I301" s="34" t="n">
        <f aca="false">+IF(E301=0,0,E301*0.03)</f>
        <v>0</v>
      </c>
    </row>
    <row r="302" customFormat="false" ht="15.75" hidden="false" customHeight="true" outlineLevel="0" collapsed="false">
      <c r="A302" s="30" t="n">
        <v>45678</v>
      </c>
      <c r="B302" s="31" t="s">
        <v>7</v>
      </c>
      <c r="C302" s="32"/>
      <c r="D302" s="32"/>
      <c r="E302" s="19" t="n">
        <f aca="false">+F302*0.03</f>
        <v>0</v>
      </c>
      <c r="F302" s="33" t="n">
        <v>0</v>
      </c>
      <c r="G302" s="62"/>
      <c r="H302" s="35" t="n">
        <v>0</v>
      </c>
      <c r="I302" s="34" t="n">
        <f aca="false">+IF(E302=0,0,E302*0.03)</f>
        <v>0</v>
      </c>
    </row>
    <row r="303" customFormat="false" ht="15.75" hidden="false" customHeight="true" outlineLevel="0" collapsed="false">
      <c r="A303" s="30" t="n">
        <v>45679</v>
      </c>
      <c r="B303" s="31" t="s">
        <v>7</v>
      </c>
      <c r="C303" s="32"/>
      <c r="D303" s="32"/>
      <c r="E303" s="19" t="n">
        <f aca="false">+F303*0.03</f>
        <v>0</v>
      </c>
      <c r="F303" s="33" t="n">
        <v>0</v>
      </c>
      <c r="G303" s="62"/>
      <c r="H303" s="35" t="n">
        <v>0</v>
      </c>
      <c r="I303" s="34" t="n">
        <f aca="false">+IF(E303=0,0,E303*0.03)</f>
        <v>0</v>
      </c>
    </row>
    <row r="304" customFormat="false" ht="15.75" hidden="false" customHeight="true" outlineLevel="0" collapsed="false">
      <c r="A304" s="30" t="n">
        <v>45680</v>
      </c>
      <c r="B304" s="31" t="s">
        <v>7</v>
      </c>
      <c r="C304" s="32"/>
      <c r="D304" s="32"/>
      <c r="E304" s="19" t="n">
        <f aca="false">+F304*0.03</f>
        <v>0</v>
      </c>
      <c r="F304" s="33" t="n">
        <v>0</v>
      </c>
      <c r="G304" s="62"/>
      <c r="H304" s="35" t="n">
        <v>0</v>
      </c>
      <c r="I304" s="34" t="n">
        <f aca="false">+IF(E304=0,0,E304*0.03)</f>
        <v>0</v>
      </c>
    </row>
    <row r="305" customFormat="false" ht="15.75" hidden="false" customHeight="true" outlineLevel="0" collapsed="false">
      <c r="A305" s="30" t="n">
        <v>45681</v>
      </c>
      <c r="B305" s="31" t="s">
        <v>7</v>
      </c>
      <c r="C305" s="32"/>
      <c r="D305" s="32"/>
      <c r="E305" s="19" t="n">
        <f aca="false">+F305*0.03</f>
        <v>0</v>
      </c>
      <c r="F305" s="33" t="n">
        <v>0</v>
      </c>
      <c r="G305" s="62"/>
      <c r="H305" s="35" t="n">
        <v>0</v>
      </c>
      <c r="I305" s="34" t="n">
        <f aca="false">+IF(E305=0,0,E305*0.03)</f>
        <v>0</v>
      </c>
    </row>
    <row r="306" customFormat="false" ht="15.75" hidden="false" customHeight="true" outlineLevel="0" collapsed="false">
      <c r="A306" s="30" t="n">
        <v>45682</v>
      </c>
      <c r="B306" s="31" t="s">
        <v>7</v>
      </c>
      <c r="C306" s="32"/>
      <c r="D306" s="32"/>
      <c r="E306" s="19" t="n">
        <f aca="false">+F306*0.03</f>
        <v>0</v>
      </c>
      <c r="F306" s="33" t="n">
        <v>0</v>
      </c>
      <c r="G306" s="62"/>
      <c r="H306" s="35" t="n">
        <v>0</v>
      </c>
      <c r="I306" s="34" t="n">
        <f aca="false">+IF(E306=0,0,E306*0.03)</f>
        <v>0</v>
      </c>
    </row>
    <row r="307" customFormat="false" ht="15.75" hidden="false" customHeight="true" outlineLevel="0" collapsed="false">
      <c r="A307" s="30" t="n">
        <v>45683</v>
      </c>
      <c r="B307" s="31" t="s">
        <v>7</v>
      </c>
      <c r="C307" s="32"/>
      <c r="D307" s="32"/>
      <c r="E307" s="19" t="n">
        <f aca="false">+F307*0.03</f>
        <v>0</v>
      </c>
      <c r="F307" s="33" t="n">
        <v>0</v>
      </c>
      <c r="G307" s="62"/>
      <c r="H307" s="35" t="n">
        <v>0</v>
      </c>
      <c r="I307" s="34" t="n">
        <f aca="false">+IF(E307=0,0,E307*0.03)</f>
        <v>0</v>
      </c>
    </row>
    <row r="308" customFormat="false" ht="15.75" hidden="false" customHeight="true" outlineLevel="0" collapsed="false">
      <c r="A308" s="30" t="n">
        <v>45684</v>
      </c>
      <c r="B308" s="31" t="s">
        <v>7</v>
      </c>
      <c r="C308" s="32"/>
      <c r="D308" s="32"/>
      <c r="E308" s="19" t="n">
        <f aca="false">+F308*0.03</f>
        <v>0</v>
      </c>
      <c r="F308" s="33" t="n">
        <v>0</v>
      </c>
      <c r="G308" s="62"/>
      <c r="H308" s="35" t="n">
        <v>0</v>
      </c>
      <c r="I308" s="34" t="n">
        <f aca="false">+IF(E308=0,0,E308*0.03)</f>
        <v>0</v>
      </c>
    </row>
    <row r="309" customFormat="false" ht="15.75" hidden="false" customHeight="true" outlineLevel="0" collapsed="false">
      <c r="A309" s="30" t="n">
        <v>45685</v>
      </c>
      <c r="B309" s="31" t="s">
        <v>7</v>
      </c>
      <c r="C309" s="32"/>
      <c r="D309" s="32"/>
      <c r="E309" s="19" t="n">
        <f aca="false">+F309*0.03</f>
        <v>0</v>
      </c>
      <c r="F309" s="33" t="n">
        <v>0</v>
      </c>
      <c r="G309" s="62"/>
      <c r="H309" s="35" t="n">
        <v>0</v>
      </c>
      <c r="I309" s="34" t="n">
        <f aca="false">+IF(E309=0,0,E309*0.03)</f>
        <v>0</v>
      </c>
    </row>
    <row r="310" customFormat="false" ht="15.75" hidden="false" customHeight="true" outlineLevel="0" collapsed="false">
      <c r="A310" s="30" t="n">
        <v>45686</v>
      </c>
      <c r="B310" s="31" t="s">
        <v>7</v>
      </c>
      <c r="C310" s="32"/>
      <c r="D310" s="32"/>
      <c r="E310" s="19" t="n">
        <f aca="false">+F310*0.03</f>
        <v>0</v>
      </c>
      <c r="F310" s="33" t="n">
        <v>0</v>
      </c>
      <c r="G310" s="62"/>
      <c r="H310" s="35" t="n">
        <v>0</v>
      </c>
      <c r="I310" s="34" t="n">
        <f aca="false">+IF(E310=0,0,E310*0.03)</f>
        <v>0</v>
      </c>
    </row>
    <row r="311" customFormat="false" ht="15.75" hidden="false" customHeight="true" outlineLevel="0" collapsed="false">
      <c r="A311" s="30" t="n">
        <v>45687</v>
      </c>
      <c r="B311" s="31" t="s">
        <v>7</v>
      </c>
      <c r="C311" s="32"/>
      <c r="D311" s="32"/>
      <c r="E311" s="19" t="n">
        <f aca="false">+F311*0.03</f>
        <v>0</v>
      </c>
      <c r="F311" s="33" t="n">
        <v>0</v>
      </c>
      <c r="G311" s="62"/>
      <c r="H311" s="35" t="n">
        <v>0</v>
      </c>
      <c r="I311" s="34" t="n">
        <f aca="false">+IF(E311=0,0,E311*0.03)</f>
        <v>0</v>
      </c>
    </row>
    <row r="312" customFormat="false" ht="15.75" hidden="false" customHeight="true" outlineLevel="0" collapsed="false">
      <c r="A312" s="30" t="n">
        <v>45688</v>
      </c>
      <c r="B312" s="31" t="s">
        <v>7</v>
      </c>
      <c r="C312" s="32"/>
      <c r="D312" s="32"/>
      <c r="E312" s="19" t="n">
        <f aca="false">+F312*0.03</f>
        <v>0</v>
      </c>
      <c r="F312" s="33" t="n">
        <v>0</v>
      </c>
      <c r="G312" s="62"/>
      <c r="H312" s="35" t="n">
        <v>0</v>
      </c>
      <c r="I312" s="34" t="n">
        <f aca="false">+IF(E312=0,0,E312*0.03)</f>
        <v>0</v>
      </c>
    </row>
    <row r="313" customFormat="false" ht="15.75" hidden="false" customHeight="true" outlineLevel="0" collapsed="false">
      <c r="A313" s="30" t="n">
        <v>45689</v>
      </c>
      <c r="B313" s="31" t="s">
        <v>7</v>
      </c>
      <c r="C313" s="32"/>
      <c r="D313" s="32"/>
      <c r="E313" s="19" t="n">
        <f aca="false">+F313*0.03</f>
        <v>0</v>
      </c>
      <c r="F313" s="33" t="n">
        <v>0</v>
      </c>
      <c r="G313" s="62"/>
      <c r="H313" s="35" t="n">
        <v>0</v>
      </c>
      <c r="I313" s="34" t="n">
        <f aca="false">+IF(E313=0,0,E313*0.03)</f>
        <v>0</v>
      </c>
    </row>
    <row r="314" customFormat="false" ht="15.75" hidden="false" customHeight="true" outlineLevel="0" collapsed="false">
      <c r="A314" s="30" t="n">
        <v>45690</v>
      </c>
      <c r="B314" s="31" t="s">
        <v>7</v>
      </c>
      <c r="C314" s="32"/>
      <c r="D314" s="32"/>
      <c r="E314" s="19" t="n">
        <f aca="false">+F314*0.03</f>
        <v>0</v>
      </c>
      <c r="F314" s="33" t="n">
        <v>0</v>
      </c>
      <c r="G314" s="62"/>
      <c r="H314" s="35" t="n">
        <v>0</v>
      </c>
      <c r="I314" s="34" t="n">
        <f aca="false">+IF(E314=0,0,E314*0.03)</f>
        <v>0</v>
      </c>
    </row>
    <row r="315" customFormat="false" ht="15.75" hidden="false" customHeight="true" outlineLevel="0" collapsed="false">
      <c r="A315" s="30" t="n">
        <v>45691</v>
      </c>
      <c r="B315" s="31" t="s">
        <v>7</v>
      </c>
      <c r="C315" s="32"/>
      <c r="D315" s="32"/>
      <c r="E315" s="19" t="n">
        <f aca="false">+F315*0.03</f>
        <v>0</v>
      </c>
      <c r="F315" s="33" t="n">
        <v>0</v>
      </c>
      <c r="G315" s="62"/>
      <c r="H315" s="35" t="n">
        <v>0</v>
      </c>
      <c r="I315" s="34" t="n">
        <f aca="false">+IF(E315=0,0,E315*0.03)</f>
        <v>0</v>
      </c>
    </row>
    <row r="316" customFormat="false" ht="15.75" hidden="false" customHeight="true" outlineLevel="0" collapsed="false">
      <c r="A316" s="30" t="n">
        <v>45692</v>
      </c>
      <c r="B316" s="31" t="s">
        <v>7</v>
      </c>
      <c r="C316" s="32"/>
      <c r="D316" s="32"/>
      <c r="E316" s="19" t="n">
        <f aca="false">+F316*0.03</f>
        <v>0</v>
      </c>
      <c r="F316" s="33" t="n">
        <v>0</v>
      </c>
      <c r="G316" s="62"/>
      <c r="H316" s="35" t="n">
        <v>0</v>
      </c>
      <c r="I316" s="34" t="n">
        <f aca="false">+IF(E316=0,0,E316*0.03)</f>
        <v>0</v>
      </c>
    </row>
    <row r="317" customFormat="false" ht="15.75" hidden="false" customHeight="true" outlineLevel="0" collapsed="false">
      <c r="A317" s="30" t="n">
        <v>45693</v>
      </c>
      <c r="B317" s="31" t="s">
        <v>7</v>
      </c>
      <c r="C317" s="32"/>
      <c r="D317" s="32"/>
      <c r="E317" s="19" t="n">
        <f aca="false">+F317*0.03</f>
        <v>0</v>
      </c>
      <c r="F317" s="33" t="n">
        <v>0</v>
      </c>
      <c r="G317" s="62"/>
      <c r="H317" s="35" t="n">
        <v>0</v>
      </c>
      <c r="I317" s="34" t="n">
        <f aca="false">+IF(E317=0,0,E317*0.03)</f>
        <v>0</v>
      </c>
    </row>
    <row r="318" customFormat="false" ht="15.75" hidden="false" customHeight="true" outlineLevel="0" collapsed="false">
      <c r="A318" s="30" t="n">
        <v>45694</v>
      </c>
      <c r="B318" s="31" t="s">
        <v>7</v>
      </c>
      <c r="C318" s="32"/>
      <c r="D318" s="32"/>
      <c r="E318" s="19" t="n">
        <f aca="false">+F318*0.03</f>
        <v>0</v>
      </c>
      <c r="F318" s="33" t="n">
        <v>0</v>
      </c>
      <c r="G318" s="62"/>
      <c r="H318" s="35" t="n">
        <v>0</v>
      </c>
      <c r="I318" s="34" t="n">
        <f aca="false">+IF(E318=0,0,E318*0.03)</f>
        <v>0</v>
      </c>
    </row>
    <row r="319" customFormat="false" ht="15.75" hidden="false" customHeight="true" outlineLevel="0" collapsed="false">
      <c r="A319" s="30" t="n">
        <v>45695</v>
      </c>
      <c r="B319" s="31" t="s">
        <v>7</v>
      </c>
      <c r="C319" s="32"/>
      <c r="D319" s="32"/>
      <c r="E319" s="19" t="n">
        <f aca="false">+F319*0.03</f>
        <v>0</v>
      </c>
      <c r="F319" s="33" t="n">
        <v>0</v>
      </c>
      <c r="G319" s="62"/>
      <c r="H319" s="35" t="n">
        <v>0</v>
      </c>
      <c r="I319" s="34" t="n">
        <f aca="false">+IF(E319=0,0,E319*0.03)</f>
        <v>0</v>
      </c>
    </row>
    <row r="320" customFormat="false" ht="15.75" hidden="false" customHeight="true" outlineLevel="0" collapsed="false">
      <c r="A320" s="30" t="n">
        <v>45696</v>
      </c>
      <c r="B320" s="31" t="s">
        <v>7</v>
      </c>
      <c r="C320" s="32"/>
      <c r="D320" s="32"/>
      <c r="E320" s="19" t="n">
        <f aca="false">+F320*0.03</f>
        <v>0</v>
      </c>
      <c r="F320" s="33" t="n">
        <v>0</v>
      </c>
      <c r="G320" s="62"/>
      <c r="H320" s="35" t="n">
        <v>0</v>
      </c>
      <c r="I320" s="34" t="n">
        <f aca="false">+IF(E320=0,0,E320*0.03)</f>
        <v>0</v>
      </c>
    </row>
    <row r="321" customFormat="false" ht="15.75" hidden="false" customHeight="true" outlineLevel="0" collapsed="false">
      <c r="A321" s="30" t="n">
        <v>45697</v>
      </c>
      <c r="B321" s="31" t="s">
        <v>7</v>
      </c>
      <c r="C321" s="32"/>
      <c r="D321" s="32"/>
      <c r="E321" s="19" t="n">
        <f aca="false">+F321*0.03</f>
        <v>0</v>
      </c>
      <c r="F321" s="33" t="n">
        <v>0</v>
      </c>
      <c r="G321" s="62"/>
      <c r="H321" s="35" t="n">
        <v>0</v>
      </c>
      <c r="I321" s="34" t="n">
        <f aca="false">+IF(E321=0,0,E321*0.03)</f>
        <v>0</v>
      </c>
    </row>
    <row r="322" customFormat="false" ht="15.75" hidden="false" customHeight="true" outlineLevel="0" collapsed="false">
      <c r="A322" s="30" t="n">
        <v>45698</v>
      </c>
      <c r="B322" s="31" t="s">
        <v>7</v>
      </c>
      <c r="C322" s="32"/>
      <c r="D322" s="32"/>
      <c r="E322" s="19" t="n">
        <f aca="false">+F322*0.03</f>
        <v>0</v>
      </c>
      <c r="F322" s="33" t="n">
        <v>0</v>
      </c>
      <c r="G322" s="62"/>
      <c r="H322" s="35" t="n">
        <v>0</v>
      </c>
      <c r="I322" s="34" t="n">
        <f aca="false">+IF(E322=0,0,E322*0.03)</f>
        <v>0</v>
      </c>
    </row>
    <row r="323" customFormat="false" ht="15.75" hidden="false" customHeight="true" outlineLevel="0" collapsed="false">
      <c r="A323" s="30" t="n">
        <v>45699</v>
      </c>
      <c r="B323" s="31" t="s">
        <v>7</v>
      </c>
      <c r="C323" s="32"/>
      <c r="D323" s="32"/>
      <c r="E323" s="19" t="n">
        <f aca="false">+F323*0.03</f>
        <v>0</v>
      </c>
      <c r="F323" s="33" t="n">
        <v>0</v>
      </c>
      <c r="G323" s="62"/>
      <c r="H323" s="35" t="n">
        <v>0</v>
      </c>
      <c r="I323" s="34" t="n">
        <f aca="false">+IF(E323=0,0,E323*0.03)</f>
        <v>0</v>
      </c>
    </row>
    <row r="324" customFormat="false" ht="15.75" hidden="false" customHeight="true" outlineLevel="0" collapsed="false">
      <c r="A324" s="30" t="n">
        <v>45700</v>
      </c>
      <c r="B324" s="31" t="s">
        <v>7</v>
      </c>
      <c r="C324" s="32"/>
      <c r="D324" s="32"/>
      <c r="E324" s="19" t="n">
        <f aca="false">+F324*0.03</f>
        <v>0</v>
      </c>
      <c r="F324" s="33" t="n">
        <v>0</v>
      </c>
      <c r="G324" s="62"/>
      <c r="H324" s="35" t="n">
        <v>0</v>
      </c>
      <c r="I324" s="34" t="n">
        <f aca="false">+IF(E324=0,0,E324*0.03)</f>
        <v>0</v>
      </c>
    </row>
    <row r="325" customFormat="false" ht="15.75" hidden="false" customHeight="true" outlineLevel="0" collapsed="false">
      <c r="A325" s="30" t="n">
        <v>45701</v>
      </c>
      <c r="B325" s="31" t="s">
        <v>7</v>
      </c>
      <c r="C325" s="32"/>
      <c r="D325" s="32"/>
      <c r="E325" s="19" t="n">
        <f aca="false">+F325*0.03</f>
        <v>0</v>
      </c>
      <c r="F325" s="33" t="n">
        <v>0</v>
      </c>
      <c r="G325" s="62"/>
      <c r="H325" s="35" t="n">
        <v>0</v>
      </c>
      <c r="I325" s="34" t="n">
        <f aca="false">+IF(E325=0,0,E325*0.03)</f>
        <v>0</v>
      </c>
    </row>
    <row r="326" customFormat="false" ht="15.75" hidden="false" customHeight="true" outlineLevel="0" collapsed="false">
      <c r="A326" s="30" t="n">
        <v>45702</v>
      </c>
      <c r="B326" s="31" t="s">
        <v>7</v>
      </c>
      <c r="C326" s="32"/>
      <c r="D326" s="32"/>
      <c r="E326" s="19" t="n">
        <f aca="false">+F326*0.03</f>
        <v>0</v>
      </c>
      <c r="F326" s="33" t="n">
        <v>0</v>
      </c>
      <c r="G326" s="62"/>
      <c r="H326" s="35" t="n">
        <v>0</v>
      </c>
      <c r="I326" s="34" t="n">
        <f aca="false">+IF(E326=0,0,E326*0.03)</f>
        <v>0</v>
      </c>
    </row>
    <row r="327" customFormat="false" ht="15.75" hidden="false" customHeight="true" outlineLevel="0" collapsed="false">
      <c r="A327" s="30" t="n">
        <v>45703</v>
      </c>
      <c r="B327" s="31" t="s">
        <v>7</v>
      </c>
      <c r="C327" s="32"/>
      <c r="D327" s="32"/>
      <c r="E327" s="19" t="n">
        <f aca="false">+F327*0.03</f>
        <v>0</v>
      </c>
      <c r="F327" s="33" t="n">
        <v>0</v>
      </c>
      <c r="G327" s="62"/>
      <c r="H327" s="35" t="n">
        <v>0</v>
      </c>
      <c r="I327" s="34" t="n">
        <f aca="false">+IF(E327=0,0,E327*0.03)</f>
        <v>0</v>
      </c>
    </row>
    <row r="328" customFormat="false" ht="15.75" hidden="false" customHeight="true" outlineLevel="0" collapsed="false">
      <c r="A328" s="30" t="n">
        <v>45704</v>
      </c>
      <c r="B328" s="31" t="s">
        <v>7</v>
      </c>
      <c r="C328" s="32"/>
      <c r="D328" s="32"/>
      <c r="E328" s="19" t="n">
        <f aca="false">+F328*0.03</f>
        <v>0</v>
      </c>
      <c r="F328" s="33" t="n">
        <v>0</v>
      </c>
      <c r="G328" s="62"/>
      <c r="H328" s="35" t="n">
        <v>0</v>
      </c>
      <c r="I328" s="34" t="n">
        <f aca="false">+IF(E328=0,0,E328*0.03)</f>
        <v>0</v>
      </c>
    </row>
    <row r="329" customFormat="false" ht="15.75" hidden="false" customHeight="true" outlineLevel="0" collapsed="false">
      <c r="A329" s="30" t="n">
        <v>45705</v>
      </c>
      <c r="B329" s="31" t="s">
        <v>7</v>
      </c>
      <c r="C329" s="32"/>
      <c r="D329" s="32"/>
      <c r="E329" s="19" t="n">
        <f aca="false">+F329*0.03</f>
        <v>0</v>
      </c>
      <c r="F329" s="33" t="n">
        <v>0</v>
      </c>
      <c r="G329" s="62"/>
      <c r="H329" s="35" t="n">
        <v>0</v>
      </c>
      <c r="I329" s="34" t="n">
        <f aca="false">+IF(E329=0,0,E329*0.03)</f>
        <v>0</v>
      </c>
    </row>
    <row r="330" customFormat="false" ht="15.75" hidden="false" customHeight="true" outlineLevel="0" collapsed="false">
      <c r="A330" s="30" t="n">
        <v>45706</v>
      </c>
      <c r="B330" s="31" t="s">
        <v>7</v>
      </c>
      <c r="C330" s="32"/>
      <c r="D330" s="32"/>
      <c r="E330" s="19" t="n">
        <f aca="false">+F330*0.03</f>
        <v>0</v>
      </c>
      <c r="F330" s="33" t="n">
        <v>0</v>
      </c>
      <c r="G330" s="62"/>
      <c r="H330" s="35" t="n">
        <v>0</v>
      </c>
      <c r="I330" s="34" t="n">
        <f aca="false">+IF(E330=0,0,E330*0.03)</f>
        <v>0</v>
      </c>
    </row>
    <row r="331" customFormat="false" ht="15.75" hidden="false" customHeight="true" outlineLevel="0" collapsed="false">
      <c r="A331" s="30" t="n">
        <v>45707</v>
      </c>
      <c r="B331" s="31" t="s">
        <v>7</v>
      </c>
      <c r="C331" s="32"/>
      <c r="D331" s="32"/>
      <c r="E331" s="19" t="n">
        <f aca="false">+F331*0.03</f>
        <v>0</v>
      </c>
      <c r="F331" s="33" t="n">
        <v>0</v>
      </c>
      <c r="G331" s="62"/>
      <c r="H331" s="35" t="n">
        <v>0</v>
      </c>
      <c r="I331" s="34" t="n">
        <f aca="false">+IF(E331=0,0,E331*0.03)</f>
        <v>0</v>
      </c>
    </row>
    <row r="332" customFormat="false" ht="15.75" hidden="false" customHeight="true" outlineLevel="0" collapsed="false">
      <c r="A332" s="30" t="n">
        <v>45708</v>
      </c>
      <c r="B332" s="31" t="s">
        <v>7</v>
      </c>
      <c r="C332" s="32"/>
      <c r="D332" s="32"/>
      <c r="E332" s="19" t="n">
        <f aca="false">+F332*0.03</f>
        <v>0</v>
      </c>
      <c r="F332" s="33" t="n">
        <v>0</v>
      </c>
      <c r="G332" s="62"/>
      <c r="H332" s="35" t="n">
        <v>0</v>
      </c>
      <c r="I332" s="34" t="n">
        <f aca="false">+IF(E332=0,0,E332*0.03)</f>
        <v>0</v>
      </c>
    </row>
    <row r="333" customFormat="false" ht="15.75" hidden="false" customHeight="true" outlineLevel="0" collapsed="false">
      <c r="A333" s="30" t="n">
        <v>45709</v>
      </c>
      <c r="B333" s="31" t="s">
        <v>7</v>
      </c>
      <c r="C333" s="32"/>
      <c r="D333" s="32"/>
      <c r="E333" s="19" t="n">
        <f aca="false">+F333*0.03</f>
        <v>0</v>
      </c>
      <c r="F333" s="33" t="n">
        <v>0</v>
      </c>
      <c r="G333" s="62"/>
      <c r="H333" s="35" t="n">
        <v>0</v>
      </c>
      <c r="I333" s="34" t="n">
        <f aca="false">+IF(E333=0,0,E333*0.03)</f>
        <v>0</v>
      </c>
    </row>
    <row r="334" customFormat="false" ht="15.75" hidden="false" customHeight="true" outlineLevel="0" collapsed="false">
      <c r="A334" s="30" t="n">
        <v>45710</v>
      </c>
      <c r="B334" s="31" t="s">
        <v>7</v>
      </c>
      <c r="C334" s="32"/>
      <c r="D334" s="32"/>
      <c r="E334" s="19" t="n">
        <f aca="false">+F334*0.03</f>
        <v>0</v>
      </c>
      <c r="F334" s="33" t="n">
        <v>0</v>
      </c>
      <c r="G334" s="62"/>
      <c r="H334" s="35" t="n">
        <v>0</v>
      </c>
      <c r="I334" s="34" t="n">
        <f aca="false">+IF(E334=0,0,E334*0.03)</f>
        <v>0</v>
      </c>
    </row>
    <row r="335" customFormat="false" ht="15.75" hidden="false" customHeight="true" outlineLevel="0" collapsed="false">
      <c r="A335" s="30" t="n">
        <v>45711</v>
      </c>
      <c r="B335" s="31" t="s">
        <v>7</v>
      </c>
      <c r="C335" s="32"/>
      <c r="D335" s="32"/>
      <c r="E335" s="19" t="n">
        <f aca="false">+F335*0.03</f>
        <v>0</v>
      </c>
      <c r="F335" s="33" t="n">
        <v>0</v>
      </c>
      <c r="G335" s="62"/>
      <c r="H335" s="35" t="n">
        <v>0</v>
      </c>
      <c r="I335" s="34" t="n">
        <f aca="false">+IF(E335=0,0,E335*0.03)</f>
        <v>0</v>
      </c>
    </row>
    <row r="336" customFormat="false" ht="15.75" hidden="false" customHeight="true" outlineLevel="0" collapsed="false">
      <c r="A336" s="30" t="n">
        <v>45712</v>
      </c>
      <c r="B336" s="31" t="s">
        <v>7</v>
      </c>
      <c r="C336" s="32"/>
      <c r="D336" s="32"/>
      <c r="E336" s="19" t="n">
        <f aca="false">+F336*0.03</f>
        <v>0</v>
      </c>
      <c r="F336" s="33" t="n">
        <v>0</v>
      </c>
      <c r="G336" s="62"/>
      <c r="H336" s="35" t="n">
        <v>0</v>
      </c>
      <c r="I336" s="34" t="n">
        <f aca="false">+IF(E336=0,0,E336*0.03)</f>
        <v>0</v>
      </c>
    </row>
    <row r="337" customFormat="false" ht="15.75" hidden="false" customHeight="true" outlineLevel="0" collapsed="false">
      <c r="A337" s="30" t="n">
        <v>45713</v>
      </c>
      <c r="B337" s="31" t="s">
        <v>7</v>
      </c>
      <c r="C337" s="32"/>
      <c r="D337" s="32"/>
      <c r="E337" s="19" t="n">
        <f aca="false">+F337*0.03</f>
        <v>0</v>
      </c>
      <c r="F337" s="33" t="n">
        <v>0</v>
      </c>
      <c r="G337" s="62"/>
      <c r="H337" s="35" t="n">
        <v>0</v>
      </c>
      <c r="I337" s="34" t="n">
        <f aca="false">+IF(E337=0,0,E337*0.03)</f>
        <v>0</v>
      </c>
    </row>
    <row r="338" customFormat="false" ht="15.75" hidden="false" customHeight="true" outlineLevel="0" collapsed="false">
      <c r="A338" s="30" t="n">
        <v>45714</v>
      </c>
      <c r="B338" s="31" t="s">
        <v>7</v>
      </c>
      <c r="C338" s="32"/>
      <c r="D338" s="32"/>
      <c r="E338" s="19" t="n">
        <f aca="false">+F338*0.03</f>
        <v>0</v>
      </c>
      <c r="F338" s="33" t="n">
        <v>0</v>
      </c>
      <c r="G338" s="62"/>
      <c r="H338" s="35" t="n">
        <v>0</v>
      </c>
      <c r="I338" s="34" t="n">
        <f aca="false">+IF(E338=0,0,E338*0.03)</f>
        <v>0</v>
      </c>
    </row>
    <row r="339" customFormat="false" ht="15.75" hidden="false" customHeight="true" outlineLevel="0" collapsed="false">
      <c r="A339" s="30" t="n">
        <v>45715</v>
      </c>
      <c r="B339" s="31" t="s">
        <v>7</v>
      </c>
      <c r="C339" s="32"/>
      <c r="D339" s="32"/>
      <c r="E339" s="19" t="n">
        <f aca="false">+F339*0.03</f>
        <v>0</v>
      </c>
      <c r="F339" s="33" t="n">
        <v>0</v>
      </c>
      <c r="G339" s="62"/>
      <c r="H339" s="35" t="n">
        <v>0</v>
      </c>
      <c r="I339" s="34" t="n">
        <f aca="false">+IF(E339=0,0,E339*0.03)</f>
        <v>0</v>
      </c>
    </row>
    <row r="340" customFormat="false" ht="15.75" hidden="false" customHeight="true" outlineLevel="0" collapsed="false">
      <c r="A340" s="30" t="n">
        <v>45716</v>
      </c>
      <c r="B340" s="31" t="s">
        <v>7</v>
      </c>
      <c r="C340" s="32"/>
      <c r="D340" s="32"/>
      <c r="E340" s="19" t="n">
        <f aca="false">+F340*0.03</f>
        <v>0</v>
      </c>
      <c r="F340" s="33" t="n">
        <v>0</v>
      </c>
      <c r="G340" s="62"/>
      <c r="H340" s="35" t="n">
        <v>0</v>
      </c>
      <c r="I340" s="34" t="n">
        <f aca="false">+IF(E340=0,0,E340*0.03)</f>
        <v>0</v>
      </c>
    </row>
    <row r="341" customFormat="false" ht="15.75" hidden="false" customHeight="true" outlineLevel="0" collapsed="false">
      <c r="A341" s="30" t="n">
        <v>45717</v>
      </c>
      <c r="B341" s="31" t="s">
        <v>7</v>
      </c>
      <c r="C341" s="32"/>
      <c r="D341" s="32"/>
      <c r="E341" s="19" t="n">
        <f aca="false">+F341*0.03</f>
        <v>0</v>
      </c>
      <c r="F341" s="33" t="n">
        <v>0</v>
      </c>
      <c r="G341" s="62"/>
      <c r="H341" s="35" t="n">
        <v>0</v>
      </c>
      <c r="I341" s="34" t="n">
        <f aca="false">+IF(E341=0,0,E341*0.03)</f>
        <v>0</v>
      </c>
    </row>
    <row r="342" customFormat="false" ht="15.75" hidden="false" customHeight="true" outlineLevel="0" collapsed="false">
      <c r="A342" s="30" t="n">
        <v>45718</v>
      </c>
      <c r="B342" s="31" t="s">
        <v>7</v>
      </c>
      <c r="C342" s="32"/>
      <c r="D342" s="32"/>
      <c r="E342" s="19" t="n">
        <f aca="false">+F342*0.03</f>
        <v>0</v>
      </c>
      <c r="F342" s="33" t="n">
        <v>0</v>
      </c>
      <c r="G342" s="62"/>
      <c r="H342" s="35" t="n">
        <v>0</v>
      </c>
      <c r="I342" s="34" t="n">
        <f aca="false">+IF(E342=0,0,E342*0.03)</f>
        <v>0</v>
      </c>
    </row>
    <row r="343" customFormat="false" ht="15.75" hidden="false" customHeight="true" outlineLevel="0" collapsed="false">
      <c r="A343" s="30" t="n">
        <v>45719</v>
      </c>
      <c r="B343" s="31" t="s">
        <v>7</v>
      </c>
      <c r="C343" s="32"/>
      <c r="D343" s="32"/>
      <c r="E343" s="19" t="n">
        <f aca="false">+F343*0.03</f>
        <v>0</v>
      </c>
      <c r="F343" s="33" t="n">
        <v>0</v>
      </c>
      <c r="G343" s="62"/>
      <c r="H343" s="35" t="n">
        <v>0</v>
      </c>
      <c r="I343" s="34" t="n">
        <f aca="false">+IF(E343=0,0,E343*0.03)</f>
        <v>0</v>
      </c>
    </row>
    <row r="344" customFormat="false" ht="15.75" hidden="false" customHeight="true" outlineLevel="0" collapsed="false">
      <c r="A344" s="30" t="n">
        <v>45720</v>
      </c>
      <c r="B344" s="31" t="s">
        <v>7</v>
      </c>
      <c r="C344" s="32"/>
      <c r="D344" s="32"/>
      <c r="E344" s="19" t="n">
        <f aca="false">+F344*0.03</f>
        <v>0</v>
      </c>
      <c r="F344" s="33" t="n">
        <v>0</v>
      </c>
      <c r="G344" s="62"/>
      <c r="H344" s="35" t="n">
        <v>0</v>
      </c>
      <c r="I344" s="34" t="n">
        <f aca="false">+IF(E344=0,0,E344*0.03)</f>
        <v>0</v>
      </c>
    </row>
    <row r="345" customFormat="false" ht="15.75" hidden="false" customHeight="true" outlineLevel="0" collapsed="false">
      <c r="A345" s="30" t="n">
        <v>45721</v>
      </c>
      <c r="B345" s="31" t="s">
        <v>7</v>
      </c>
      <c r="C345" s="32"/>
      <c r="D345" s="32"/>
      <c r="E345" s="19" t="n">
        <f aca="false">+F345*0.03</f>
        <v>0</v>
      </c>
      <c r="F345" s="33" t="n">
        <v>0</v>
      </c>
      <c r="G345" s="62"/>
      <c r="H345" s="35" t="n">
        <v>0</v>
      </c>
      <c r="I345" s="34" t="n">
        <f aca="false">+IF(E345=0,0,E345*0.03)</f>
        <v>0</v>
      </c>
    </row>
    <row r="346" customFormat="false" ht="15.75" hidden="false" customHeight="true" outlineLevel="0" collapsed="false">
      <c r="A346" s="30" t="n">
        <v>45722</v>
      </c>
      <c r="B346" s="31" t="s">
        <v>7</v>
      </c>
      <c r="C346" s="32"/>
      <c r="D346" s="32"/>
      <c r="E346" s="19" t="n">
        <f aca="false">+F346*0.03</f>
        <v>0</v>
      </c>
      <c r="F346" s="33" t="n">
        <v>0</v>
      </c>
      <c r="G346" s="62"/>
      <c r="H346" s="35" t="n">
        <v>0</v>
      </c>
      <c r="I346" s="34" t="n">
        <f aca="false">+IF(E346=0,0,E346*0.03)</f>
        <v>0</v>
      </c>
    </row>
    <row r="347" customFormat="false" ht="15.75" hidden="false" customHeight="true" outlineLevel="0" collapsed="false">
      <c r="A347" s="30" t="n">
        <v>45723</v>
      </c>
      <c r="B347" s="31" t="s">
        <v>7</v>
      </c>
      <c r="C347" s="32"/>
      <c r="D347" s="32"/>
      <c r="E347" s="19" t="n">
        <f aca="false">+F347*0.03</f>
        <v>0</v>
      </c>
      <c r="F347" s="33" t="n">
        <v>0</v>
      </c>
      <c r="G347" s="62"/>
      <c r="H347" s="35" t="n">
        <v>0</v>
      </c>
      <c r="I347" s="34" t="n">
        <f aca="false">+IF(E347=0,0,E347*0.03)</f>
        <v>0</v>
      </c>
    </row>
    <row r="348" customFormat="false" ht="15.75" hidden="false" customHeight="true" outlineLevel="0" collapsed="false">
      <c r="A348" s="30" t="n">
        <v>45724</v>
      </c>
      <c r="B348" s="31" t="s">
        <v>7</v>
      </c>
      <c r="C348" s="32"/>
      <c r="D348" s="32"/>
      <c r="E348" s="19" t="n">
        <f aca="false">+F348*0.03</f>
        <v>0</v>
      </c>
      <c r="F348" s="33" t="n">
        <v>0</v>
      </c>
      <c r="G348" s="62"/>
      <c r="H348" s="35" t="n">
        <v>0</v>
      </c>
      <c r="I348" s="34" t="n">
        <f aca="false">+IF(E348=0,0,E348*0.03)</f>
        <v>0</v>
      </c>
    </row>
    <row r="349" customFormat="false" ht="15.75" hidden="false" customHeight="true" outlineLevel="0" collapsed="false">
      <c r="A349" s="30" t="n">
        <v>45725</v>
      </c>
      <c r="B349" s="31" t="s">
        <v>7</v>
      </c>
      <c r="C349" s="32"/>
      <c r="D349" s="32"/>
      <c r="E349" s="19" t="n">
        <f aca="false">+F349*0.03</f>
        <v>0</v>
      </c>
      <c r="F349" s="33" t="n">
        <v>0</v>
      </c>
      <c r="G349" s="62"/>
      <c r="H349" s="35" t="n">
        <v>0</v>
      </c>
      <c r="I349" s="34" t="n">
        <f aca="false">+IF(E349=0,0,E349*0.03)</f>
        <v>0</v>
      </c>
    </row>
    <row r="350" customFormat="false" ht="15.75" hidden="false" customHeight="true" outlineLevel="0" collapsed="false">
      <c r="A350" s="30" t="n">
        <v>45726</v>
      </c>
      <c r="B350" s="31" t="s">
        <v>7</v>
      </c>
      <c r="C350" s="32"/>
      <c r="D350" s="32"/>
      <c r="E350" s="19" t="n">
        <f aca="false">+F350*0.03</f>
        <v>0</v>
      </c>
      <c r="F350" s="33" t="n">
        <v>0</v>
      </c>
      <c r="G350" s="62"/>
      <c r="H350" s="35" t="n">
        <v>0</v>
      </c>
      <c r="I350" s="34" t="n">
        <f aca="false">+IF(E350=0,0,E350*0.03)</f>
        <v>0</v>
      </c>
    </row>
    <row r="351" customFormat="false" ht="15.75" hidden="false" customHeight="true" outlineLevel="0" collapsed="false">
      <c r="A351" s="30" t="n">
        <v>45727</v>
      </c>
      <c r="B351" s="31" t="s">
        <v>7</v>
      </c>
      <c r="C351" s="32"/>
      <c r="D351" s="32"/>
      <c r="E351" s="19" t="n">
        <f aca="false">+F351*0.03</f>
        <v>0</v>
      </c>
      <c r="F351" s="33" t="n">
        <v>0</v>
      </c>
      <c r="G351" s="62"/>
      <c r="H351" s="35" t="n">
        <v>0</v>
      </c>
      <c r="I351" s="34" t="n">
        <f aca="false">+IF(E351=0,0,E351*0.03)</f>
        <v>0</v>
      </c>
    </row>
    <row r="352" customFormat="false" ht="15.75" hidden="false" customHeight="true" outlineLevel="0" collapsed="false">
      <c r="A352" s="30" t="n">
        <v>45728</v>
      </c>
      <c r="B352" s="31" t="s">
        <v>7</v>
      </c>
      <c r="C352" s="32"/>
      <c r="D352" s="32"/>
      <c r="E352" s="19" t="n">
        <f aca="false">+F352*0.03</f>
        <v>0</v>
      </c>
      <c r="F352" s="33" t="n">
        <v>0</v>
      </c>
      <c r="G352" s="62"/>
      <c r="H352" s="35" t="n">
        <v>0</v>
      </c>
      <c r="I352" s="34" t="n">
        <f aca="false">+IF(E352=0,0,E352*0.03)</f>
        <v>0</v>
      </c>
    </row>
    <row r="353" customFormat="false" ht="15.75" hidden="false" customHeight="true" outlineLevel="0" collapsed="false">
      <c r="A353" s="30" t="n">
        <v>45729</v>
      </c>
      <c r="B353" s="31" t="s">
        <v>7</v>
      </c>
      <c r="C353" s="32"/>
      <c r="D353" s="32"/>
      <c r="E353" s="19" t="n">
        <f aca="false">+F353*0.03</f>
        <v>0</v>
      </c>
      <c r="F353" s="33" t="n">
        <v>0</v>
      </c>
      <c r="G353" s="62"/>
      <c r="H353" s="35" t="n">
        <v>0</v>
      </c>
      <c r="I353" s="34" t="n">
        <f aca="false">+IF(E353=0,0,E353*0.03)</f>
        <v>0</v>
      </c>
    </row>
    <row r="354" customFormat="false" ht="15.75" hidden="false" customHeight="true" outlineLevel="0" collapsed="false">
      <c r="A354" s="30" t="n">
        <v>45730</v>
      </c>
      <c r="B354" s="31" t="s">
        <v>7</v>
      </c>
      <c r="C354" s="32"/>
      <c r="D354" s="32"/>
      <c r="E354" s="19" t="n">
        <f aca="false">+F354*0.03</f>
        <v>0</v>
      </c>
      <c r="F354" s="33" t="n">
        <v>0</v>
      </c>
      <c r="G354" s="62"/>
      <c r="H354" s="35" t="n">
        <v>0</v>
      </c>
      <c r="I354" s="34" t="n">
        <f aca="false">+IF(E354=0,0,E354*0.03)</f>
        <v>0</v>
      </c>
    </row>
    <row r="355" customFormat="false" ht="15.75" hidden="false" customHeight="true" outlineLevel="0" collapsed="false">
      <c r="A355" s="30" t="n">
        <v>45731</v>
      </c>
      <c r="B355" s="31" t="s">
        <v>7</v>
      </c>
      <c r="C355" s="32"/>
      <c r="D355" s="32"/>
      <c r="E355" s="19" t="n">
        <f aca="false">+F355*0.03</f>
        <v>0</v>
      </c>
      <c r="F355" s="33" t="n">
        <v>0</v>
      </c>
      <c r="G355" s="62"/>
      <c r="H355" s="35" t="n">
        <v>0</v>
      </c>
      <c r="I355" s="34" t="n">
        <f aca="false">+IF(E355=0,0,E355*0.03)</f>
        <v>0</v>
      </c>
    </row>
    <row r="356" customFormat="false" ht="15.75" hidden="false" customHeight="true" outlineLevel="0" collapsed="false">
      <c r="A356" s="30" t="n">
        <v>45732</v>
      </c>
      <c r="B356" s="31" t="s">
        <v>7</v>
      </c>
      <c r="C356" s="32"/>
      <c r="D356" s="32"/>
      <c r="E356" s="19" t="n">
        <f aca="false">+F356*0.03</f>
        <v>0</v>
      </c>
      <c r="F356" s="33" t="n">
        <v>0</v>
      </c>
      <c r="G356" s="62"/>
      <c r="H356" s="35" t="n">
        <v>0</v>
      </c>
      <c r="I356" s="34" t="n">
        <f aca="false">+IF(E356=0,0,E356*0.03)</f>
        <v>0</v>
      </c>
    </row>
    <row r="357" customFormat="false" ht="15.75" hidden="false" customHeight="true" outlineLevel="0" collapsed="false">
      <c r="A357" s="30" t="n">
        <v>45733</v>
      </c>
      <c r="B357" s="31" t="s">
        <v>7</v>
      </c>
      <c r="C357" s="32"/>
      <c r="D357" s="32"/>
      <c r="E357" s="19" t="n">
        <f aca="false">+F357*0.03</f>
        <v>0</v>
      </c>
      <c r="F357" s="33" t="n">
        <v>0</v>
      </c>
      <c r="G357" s="62"/>
      <c r="H357" s="35" t="n">
        <v>0</v>
      </c>
      <c r="I357" s="34" t="n">
        <f aca="false">+IF(E357=0,0,E357*0.03)</f>
        <v>0</v>
      </c>
    </row>
    <row r="358" customFormat="false" ht="15.75" hidden="false" customHeight="true" outlineLevel="0" collapsed="false">
      <c r="A358" s="30" t="n">
        <v>45734</v>
      </c>
      <c r="B358" s="31" t="s">
        <v>7</v>
      </c>
      <c r="C358" s="32"/>
      <c r="D358" s="32"/>
      <c r="E358" s="19" t="n">
        <f aca="false">+F358*0.03</f>
        <v>0</v>
      </c>
      <c r="F358" s="33" t="n">
        <v>0</v>
      </c>
      <c r="G358" s="62"/>
      <c r="H358" s="35" t="n">
        <v>0</v>
      </c>
      <c r="I358" s="34" t="n">
        <f aca="false">+IF(E358=0,0,E358*0.03)</f>
        <v>0</v>
      </c>
    </row>
    <row r="359" customFormat="false" ht="15.75" hidden="false" customHeight="true" outlineLevel="0" collapsed="false">
      <c r="A359" s="30" t="n">
        <v>45735</v>
      </c>
      <c r="B359" s="31" t="s">
        <v>7</v>
      </c>
      <c r="C359" s="32"/>
      <c r="D359" s="32"/>
      <c r="E359" s="19" t="n">
        <f aca="false">+F359*0.03</f>
        <v>0</v>
      </c>
      <c r="F359" s="33" t="n">
        <v>0</v>
      </c>
      <c r="G359" s="62"/>
      <c r="H359" s="35" t="n">
        <v>0</v>
      </c>
      <c r="I359" s="34" t="n">
        <f aca="false">+IF(E359=0,0,E359*0.03)</f>
        <v>0</v>
      </c>
    </row>
    <row r="360" customFormat="false" ht="15.75" hidden="false" customHeight="true" outlineLevel="0" collapsed="false">
      <c r="A360" s="30" t="n">
        <v>45736</v>
      </c>
      <c r="B360" s="31" t="s">
        <v>7</v>
      </c>
      <c r="C360" s="32"/>
      <c r="D360" s="32"/>
      <c r="E360" s="19" t="n">
        <f aca="false">+F360*0.03</f>
        <v>0</v>
      </c>
      <c r="F360" s="33" t="n">
        <v>0</v>
      </c>
      <c r="G360" s="62"/>
      <c r="H360" s="35" t="n">
        <v>0</v>
      </c>
      <c r="I360" s="34" t="n">
        <f aca="false">+IF(E360=0,0,E360*0.03)</f>
        <v>0</v>
      </c>
    </row>
    <row r="361" customFormat="false" ht="15.75" hidden="false" customHeight="true" outlineLevel="0" collapsed="false">
      <c r="A361" s="30" t="n">
        <v>45737</v>
      </c>
      <c r="B361" s="31" t="s">
        <v>7</v>
      </c>
      <c r="C361" s="32"/>
      <c r="D361" s="32"/>
      <c r="E361" s="19" t="n">
        <f aca="false">+F361*0.03</f>
        <v>0</v>
      </c>
      <c r="F361" s="33" t="n">
        <v>0</v>
      </c>
      <c r="G361" s="62"/>
      <c r="H361" s="35" t="n">
        <v>0</v>
      </c>
      <c r="I361" s="34" t="n">
        <f aca="false">+IF(E361=0,0,E361*0.03)</f>
        <v>0</v>
      </c>
    </row>
    <row r="362" customFormat="false" ht="15.75" hidden="false" customHeight="true" outlineLevel="0" collapsed="false">
      <c r="A362" s="30" t="n">
        <v>45738</v>
      </c>
      <c r="B362" s="31" t="s">
        <v>7</v>
      </c>
      <c r="C362" s="32"/>
      <c r="D362" s="32"/>
      <c r="E362" s="19" t="n">
        <f aca="false">+F362*0.03</f>
        <v>0</v>
      </c>
      <c r="F362" s="33" t="n">
        <v>0</v>
      </c>
      <c r="G362" s="62"/>
      <c r="H362" s="35" t="n">
        <v>0</v>
      </c>
      <c r="I362" s="34" t="n">
        <f aca="false">+IF(E362=0,0,E362*0.03)</f>
        <v>0</v>
      </c>
    </row>
    <row r="363" customFormat="false" ht="15.75" hidden="false" customHeight="true" outlineLevel="0" collapsed="false">
      <c r="A363" s="30" t="n">
        <v>45739</v>
      </c>
      <c r="B363" s="31" t="s">
        <v>7</v>
      </c>
      <c r="C363" s="32"/>
      <c r="D363" s="32"/>
      <c r="E363" s="19" t="n">
        <f aca="false">+F363*0.03</f>
        <v>0</v>
      </c>
      <c r="F363" s="33" t="n">
        <v>0</v>
      </c>
      <c r="G363" s="62"/>
      <c r="H363" s="35" t="n">
        <v>0</v>
      </c>
      <c r="I363" s="34" t="n">
        <f aca="false">+IF(E363=0,0,E363*0.03)</f>
        <v>0</v>
      </c>
    </row>
    <row r="364" customFormat="false" ht="15.75" hidden="false" customHeight="true" outlineLevel="0" collapsed="false">
      <c r="A364" s="30" t="n">
        <v>45740</v>
      </c>
      <c r="B364" s="31" t="s">
        <v>7</v>
      </c>
      <c r="C364" s="32"/>
      <c r="D364" s="32"/>
      <c r="E364" s="19" t="n">
        <f aca="false">+F364*0.03</f>
        <v>0</v>
      </c>
      <c r="F364" s="33" t="n">
        <v>0</v>
      </c>
      <c r="G364" s="62"/>
      <c r="H364" s="35" t="n">
        <v>0</v>
      </c>
      <c r="I364" s="34" t="n">
        <f aca="false">+IF(E364=0,0,E364*0.03)</f>
        <v>0</v>
      </c>
    </row>
    <row r="365" customFormat="false" ht="15.75" hidden="false" customHeight="true" outlineLevel="0" collapsed="false">
      <c r="A365" s="30" t="n">
        <v>45741</v>
      </c>
      <c r="B365" s="31" t="s">
        <v>7</v>
      </c>
      <c r="C365" s="32"/>
      <c r="D365" s="32"/>
      <c r="E365" s="19" t="n">
        <f aca="false">+F365*0.03</f>
        <v>0</v>
      </c>
      <c r="F365" s="33" t="n">
        <v>0</v>
      </c>
      <c r="G365" s="62"/>
      <c r="H365" s="35" t="n">
        <v>0</v>
      </c>
      <c r="I365" s="34" t="n">
        <f aca="false">+IF(E365=0,0,E365*0.03)</f>
        <v>0</v>
      </c>
    </row>
    <row r="366" customFormat="false" ht="15.75" hidden="false" customHeight="true" outlineLevel="0" collapsed="false">
      <c r="A366" s="30" t="n">
        <v>45742</v>
      </c>
      <c r="B366" s="31" t="s">
        <v>7</v>
      </c>
      <c r="C366" s="32"/>
      <c r="D366" s="32"/>
      <c r="E366" s="19" t="n">
        <f aca="false">+F366*0.03</f>
        <v>0</v>
      </c>
      <c r="F366" s="33" t="n">
        <v>0</v>
      </c>
      <c r="G366" s="62"/>
      <c r="H366" s="35" t="n">
        <v>0</v>
      </c>
      <c r="I366" s="34" t="n">
        <f aca="false">+IF(E366=0,0,E366*0.03)</f>
        <v>0</v>
      </c>
    </row>
    <row r="367" customFormat="false" ht="15.75" hidden="false" customHeight="true" outlineLevel="0" collapsed="false">
      <c r="A367" s="30" t="n">
        <v>45743</v>
      </c>
      <c r="B367" s="31" t="s">
        <v>7</v>
      </c>
      <c r="C367" s="32"/>
      <c r="D367" s="32"/>
      <c r="E367" s="19" t="n">
        <f aca="false">+F367*0.03</f>
        <v>0</v>
      </c>
      <c r="F367" s="33" t="n">
        <v>0</v>
      </c>
      <c r="G367" s="62"/>
      <c r="H367" s="35" t="n">
        <v>0</v>
      </c>
      <c r="I367" s="34" t="n">
        <f aca="false">+IF(E367=0,0,E367*0.03)</f>
        <v>0</v>
      </c>
    </row>
    <row r="368" customFormat="false" ht="15.75" hidden="false" customHeight="true" outlineLevel="0" collapsed="false">
      <c r="A368" s="30" t="n">
        <v>45744</v>
      </c>
      <c r="B368" s="31" t="s">
        <v>7</v>
      </c>
      <c r="C368" s="32"/>
      <c r="D368" s="32"/>
      <c r="E368" s="19" t="n">
        <f aca="false">+F368*0.03</f>
        <v>0</v>
      </c>
      <c r="F368" s="33" t="n">
        <v>0</v>
      </c>
      <c r="G368" s="62"/>
      <c r="H368" s="35" t="n">
        <v>0</v>
      </c>
      <c r="I368" s="34" t="n">
        <f aca="false">+IF(E368=0,0,E368*0.03)</f>
        <v>0</v>
      </c>
    </row>
    <row r="369" customFormat="false" ht="15.75" hidden="false" customHeight="true" outlineLevel="0" collapsed="false">
      <c r="A369" s="30" t="n">
        <v>45745</v>
      </c>
      <c r="B369" s="31" t="s">
        <v>7</v>
      </c>
      <c r="C369" s="32"/>
      <c r="D369" s="32"/>
      <c r="E369" s="19" t="n">
        <f aca="false">+F369*0.03</f>
        <v>0</v>
      </c>
      <c r="F369" s="33" t="n">
        <v>0</v>
      </c>
      <c r="G369" s="62"/>
      <c r="H369" s="35" t="n">
        <v>0</v>
      </c>
      <c r="I369" s="34" t="n">
        <f aca="false">+IF(E369=0,0,E369*0.03)</f>
        <v>0</v>
      </c>
    </row>
    <row r="370" customFormat="false" ht="15.75" hidden="false" customHeight="true" outlineLevel="0" collapsed="false">
      <c r="A370" s="30" t="n">
        <v>45746</v>
      </c>
      <c r="B370" s="31" t="s">
        <v>7</v>
      </c>
      <c r="C370" s="32"/>
      <c r="D370" s="32"/>
      <c r="E370" s="19" t="n">
        <f aca="false">+F370*0.03</f>
        <v>0</v>
      </c>
      <c r="F370" s="33" t="n">
        <v>0</v>
      </c>
      <c r="G370" s="62"/>
      <c r="H370" s="35" t="n">
        <v>0</v>
      </c>
      <c r="I370" s="34" t="n">
        <f aca="false">+IF(E370=0,0,E370*0.03)</f>
        <v>0</v>
      </c>
    </row>
    <row r="371" customFormat="false" ht="15.75" hidden="false" customHeight="true" outlineLevel="0" collapsed="false">
      <c r="A371" s="30" t="n">
        <v>45747</v>
      </c>
      <c r="B371" s="31" t="s">
        <v>7</v>
      </c>
      <c r="C371" s="32"/>
      <c r="D371" s="32"/>
      <c r="E371" s="19" t="n">
        <f aca="false">+F371*0.03</f>
        <v>0</v>
      </c>
      <c r="F371" s="33" t="n">
        <v>0</v>
      </c>
      <c r="G371" s="62"/>
      <c r="H371" s="35" t="n">
        <v>0</v>
      </c>
      <c r="I371" s="34" t="n">
        <f aca="false">+IF(E371=0,0,E371*0.03)</f>
        <v>0</v>
      </c>
    </row>
    <row r="372" customFormat="false" ht="15.75" hidden="false" customHeight="true" outlineLevel="0" collapsed="false">
      <c r="A372" s="30" t="n">
        <v>45748</v>
      </c>
      <c r="B372" s="31" t="s">
        <v>7</v>
      </c>
      <c r="C372" s="32"/>
      <c r="D372" s="32"/>
      <c r="E372" s="19" t="n">
        <f aca="false">+F372*0.03</f>
        <v>0</v>
      </c>
      <c r="F372" s="33" t="n">
        <v>0</v>
      </c>
      <c r="G372" s="62"/>
      <c r="H372" s="35" t="n">
        <v>0</v>
      </c>
      <c r="I372" s="34" t="n">
        <f aca="false">+IF(E372=0,0,E372*0.03)</f>
        <v>0</v>
      </c>
    </row>
    <row r="373" customFormat="false" ht="15.75" hidden="false" customHeight="true" outlineLevel="0" collapsed="false">
      <c r="A373" s="30" t="n">
        <v>45749</v>
      </c>
      <c r="B373" s="31" t="s">
        <v>7</v>
      </c>
      <c r="C373" s="32"/>
      <c r="D373" s="32"/>
      <c r="E373" s="19" t="n">
        <f aca="false">+F373*0.03</f>
        <v>0</v>
      </c>
      <c r="F373" s="33" t="n">
        <v>0</v>
      </c>
      <c r="G373" s="62"/>
      <c r="H373" s="35" t="n">
        <v>0</v>
      </c>
      <c r="I373" s="34" t="n">
        <f aca="false">+IF(E373=0,0,E373*0.03)</f>
        <v>0</v>
      </c>
    </row>
    <row r="374" customFormat="false" ht="15.75" hidden="false" customHeight="true" outlineLevel="0" collapsed="false">
      <c r="A374" s="30" t="n">
        <v>45750</v>
      </c>
      <c r="B374" s="31" t="s">
        <v>7</v>
      </c>
      <c r="C374" s="32"/>
      <c r="D374" s="32"/>
      <c r="E374" s="19" t="n">
        <f aca="false">+F374*0.03</f>
        <v>0</v>
      </c>
      <c r="F374" s="33" t="n">
        <v>0</v>
      </c>
      <c r="G374" s="62"/>
      <c r="H374" s="35" t="n">
        <v>0</v>
      </c>
      <c r="I374" s="34" t="n">
        <f aca="false">+IF(E374=0,0,E374*0.03)</f>
        <v>0</v>
      </c>
    </row>
    <row r="375" customFormat="false" ht="15.75" hidden="false" customHeight="true" outlineLevel="0" collapsed="false">
      <c r="A375" s="30" t="n">
        <v>45751</v>
      </c>
      <c r="B375" s="31" t="s">
        <v>7</v>
      </c>
      <c r="C375" s="32"/>
      <c r="D375" s="32"/>
      <c r="E375" s="19" t="n">
        <f aca="false">+F375*0.03</f>
        <v>0</v>
      </c>
      <c r="F375" s="33" t="n">
        <v>0</v>
      </c>
      <c r="G375" s="62"/>
      <c r="H375" s="35" t="n">
        <v>0</v>
      </c>
      <c r="I375" s="34" t="n">
        <f aca="false">+IF(E375=0,0,E375*0.03)</f>
        <v>0</v>
      </c>
    </row>
    <row r="376" customFormat="false" ht="15.75" hidden="false" customHeight="true" outlineLevel="0" collapsed="false">
      <c r="A376" s="30" t="n">
        <v>45752</v>
      </c>
      <c r="B376" s="31" t="s">
        <v>7</v>
      </c>
      <c r="C376" s="32"/>
      <c r="D376" s="32"/>
      <c r="E376" s="19" t="n">
        <f aca="false">+F376*0.03</f>
        <v>0</v>
      </c>
      <c r="F376" s="33" t="n">
        <v>0</v>
      </c>
      <c r="G376" s="62"/>
      <c r="H376" s="35" t="n">
        <v>0</v>
      </c>
      <c r="I376" s="34" t="n">
        <f aca="false">+IF(E376=0,0,E376*0.03)</f>
        <v>0</v>
      </c>
    </row>
    <row r="377" customFormat="false" ht="15.75" hidden="false" customHeight="true" outlineLevel="0" collapsed="false">
      <c r="A377" s="30" t="n">
        <v>45753</v>
      </c>
      <c r="B377" s="31" t="s">
        <v>7</v>
      </c>
      <c r="C377" s="32"/>
      <c r="D377" s="32"/>
      <c r="E377" s="19" t="n">
        <f aca="false">+F377*0.03</f>
        <v>0</v>
      </c>
      <c r="F377" s="33" t="n">
        <v>0</v>
      </c>
      <c r="G377" s="62"/>
      <c r="H377" s="35" t="n">
        <v>0</v>
      </c>
      <c r="I377" s="34" t="n">
        <f aca="false">+IF(E377=0,0,E377*0.03)</f>
        <v>0</v>
      </c>
    </row>
    <row r="378" customFormat="false" ht="15.75" hidden="false" customHeight="true" outlineLevel="0" collapsed="false">
      <c r="A378" s="30" t="n">
        <v>45754</v>
      </c>
      <c r="B378" s="31" t="s">
        <v>7</v>
      </c>
      <c r="C378" s="32"/>
      <c r="D378" s="32"/>
      <c r="E378" s="19" t="n">
        <f aca="false">+F378*0.03</f>
        <v>0</v>
      </c>
      <c r="F378" s="33" t="n">
        <v>0</v>
      </c>
      <c r="G378" s="62"/>
      <c r="H378" s="35" t="n">
        <v>0</v>
      </c>
      <c r="I378" s="34" t="n">
        <f aca="false">+IF(E378=0,0,E378*0.03)</f>
        <v>0</v>
      </c>
    </row>
    <row r="379" customFormat="false" ht="15.75" hidden="false" customHeight="true" outlineLevel="0" collapsed="false">
      <c r="A379" s="30" t="n">
        <v>45755</v>
      </c>
      <c r="B379" s="31" t="s">
        <v>7</v>
      </c>
      <c r="C379" s="32"/>
      <c r="D379" s="32"/>
      <c r="E379" s="19" t="n">
        <f aca="false">+F379*0.03</f>
        <v>0</v>
      </c>
      <c r="F379" s="33" t="n">
        <v>0</v>
      </c>
      <c r="G379" s="62"/>
      <c r="H379" s="35" t="n">
        <v>0</v>
      </c>
      <c r="I379" s="34" t="n">
        <f aca="false">+IF(E379=0,0,E379*0.03)</f>
        <v>0</v>
      </c>
    </row>
    <row r="380" customFormat="false" ht="15.75" hidden="false" customHeight="true" outlineLevel="0" collapsed="false">
      <c r="A380" s="30" t="n">
        <v>45756</v>
      </c>
      <c r="B380" s="31" t="s">
        <v>7</v>
      </c>
      <c r="C380" s="32"/>
      <c r="D380" s="32"/>
      <c r="E380" s="19" t="n">
        <f aca="false">+F380*0.03</f>
        <v>0</v>
      </c>
      <c r="F380" s="33" t="n">
        <v>0</v>
      </c>
      <c r="G380" s="62"/>
      <c r="H380" s="35" t="n">
        <v>0</v>
      </c>
      <c r="I380" s="34" t="n">
        <f aca="false">+IF(E380=0,0,E380*0.03)</f>
        <v>0</v>
      </c>
    </row>
    <row r="381" customFormat="false" ht="15.75" hidden="false" customHeight="true" outlineLevel="0" collapsed="false">
      <c r="A381" s="30" t="n">
        <v>45757</v>
      </c>
      <c r="B381" s="31" t="s">
        <v>7</v>
      </c>
      <c r="C381" s="32"/>
      <c r="D381" s="32"/>
      <c r="E381" s="19" t="n">
        <f aca="false">+F381*0.03</f>
        <v>0</v>
      </c>
      <c r="F381" s="33" t="n">
        <v>0</v>
      </c>
      <c r="G381" s="62"/>
      <c r="H381" s="35" t="n">
        <v>0</v>
      </c>
      <c r="I381" s="34" t="n">
        <f aca="false">+IF(E381=0,0,E381*0.03)</f>
        <v>0</v>
      </c>
    </row>
    <row r="382" customFormat="false" ht="15.75" hidden="false" customHeight="true" outlineLevel="0" collapsed="false">
      <c r="A382" s="30" t="n">
        <v>45758</v>
      </c>
      <c r="B382" s="31" t="s">
        <v>7</v>
      </c>
      <c r="C382" s="32"/>
      <c r="D382" s="32"/>
      <c r="E382" s="19" t="n">
        <f aca="false">+F382*0.03</f>
        <v>0</v>
      </c>
      <c r="F382" s="33" t="n">
        <v>0</v>
      </c>
      <c r="G382" s="62"/>
      <c r="H382" s="35" t="n">
        <v>0</v>
      </c>
      <c r="I382" s="34" t="n">
        <f aca="false">+IF(E382=0,0,E382*0.03)</f>
        <v>0</v>
      </c>
    </row>
    <row r="383" customFormat="false" ht="15.75" hidden="false" customHeight="true" outlineLevel="0" collapsed="false">
      <c r="A383" s="30" t="n">
        <v>45759</v>
      </c>
      <c r="B383" s="31" t="s">
        <v>7</v>
      </c>
      <c r="C383" s="32"/>
      <c r="D383" s="32"/>
      <c r="E383" s="19" t="n">
        <f aca="false">+F383*0.03</f>
        <v>0</v>
      </c>
      <c r="F383" s="33" t="n">
        <v>0</v>
      </c>
      <c r="G383" s="62"/>
      <c r="H383" s="35" t="n">
        <v>0</v>
      </c>
      <c r="I383" s="34" t="n">
        <f aca="false">+IF(E383=0,0,E383*0.03)</f>
        <v>0</v>
      </c>
    </row>
    <row r="384" customFormat="false" ht="15.75" hidden="false" customHeight="true" outlineLevel="0" collapsed="false">
      <c r="A384" s="30" t="n">
        <v>45760</v>
      </c>
      <c r="B384" s="31" t="s">
        <v>7</v>
      </c>
      <c r="C384" s="32"/>
      <c r="D384" s="32"/>
      <c r="E384" s="19" t="n">
        <f aca="false">+F384*0.03</f>
        <v>0</v>
      </c>
      <c r="F384" s="33" t="n">
        <v>0</v>
      </c>
      <c r="G384" s="62"/>
      <c r="H384" s="35" t="n">
        <v>0</v>
      </c>
      <c r="I384" s="34" t="n">
        <f aca="false">+IF(E384=0,0,E384*0.03)</f>
        <v>0</v>
      </c>
    </row>
    <row r="385" customFormat="false" ht="15.75" hidden="false" customHeight="true" outlineLevel="0" collapsed="false">
      <c r="A385" s="30" t="n">
        <v>45761</v>
      </c>
      <c r="B385" s="31" t="s">
        <v>7</v>
      </c>
      <c r="C385" s="32"/>
      <c r="D385" s="32"/>
      <c r="E385" s="19" t="n">
        <f aca="false">+F385*0.03</f>
        <v>0</v>
      </c>
      <c r="F385" s="33" t="n">
        <v>0</v>
      </c>
      <c r="G385" s="62"/>
      <c r="H385" s="35" t="n">
        <v>0</v>
      </c>
      <c r="I385" s="34" t="n">
        <f aca="false">+IF(E385=0,0,E385*0.03)</f>
        <v>0</v>
      </c>
    </row>
    <row r="386" customFormat="false" ht="15.75" hidden="false" customHeight="true" outlineLevel="0" collapsed="false">
      <c r="A386" s="30" t="n">
        <v>45762</v>
      </c>
      <c r="B386" s="31" t="s">
        <v>7</v>
      </c>
      <c r="C386" s="32"/>
      <c r="D386" s="32"/>
      <c r="E386" s="19" t="n">
        <f aca="false">+F386*0.03</f>
        <v>0</v>
      </c>
      <c r="F386" s="33" t="n">
        <v>0</v>
      </c>
      <c r="G386" s="62"/>
      <c r="H386" s="35" t="n">
        <v>0</v>
      </c>
      <c r="I386" s="34" t="n">
        <f aca="false">+IF(E386=0,0,E386*0.03)</f>
        <v>0</v>
      </c>
    </row>
    <row r="387" customFormat="false" ht="15.75" hidden="false" customHeight="true" outlineLevel="0" collapsed="false">
      <c r="A387" s="30" t="n">
        <v>45763</v>
      </c>
      <c r="B387" s="31" t="s">
        <v>7</v>
      </c>
      <c r="C387" s="32"/>
      <c r="D387" s="32"/>
      <c r="E387" s="19" t="n">
        <f aca="false">+F387*0.03</f>
        <v>0</v>
      </c>
      <c r="F387" s="33" t="n">
        <v>0</v>
      </c>
      <c r="G387" s="62"/>
      <c r="H387" s="35" t="n">
        <v>0</v>
      </c>
      <c r="I387" s="34" t="n">
        <f aca="false">+IF(E387=0,0,E387*0.03)</f>
        <v>0</v>
      </c>
    </row>
    <row r="388" customFormat="false" ht="15.75" hidden="false" customHeight="true" outlineLevel="0" collapsed="false">
      <c r="A388" s="30" t="n">
        <v>45764</v>
      </c>
      <c r="B388" s="31" t="s">
        <v>7</v>
      </c>
      <c r="C388" s="32"/>
      <c r="D388" s="32"/>
      <c r="E388" s="19" t="n">
        <f aca="false">+F388*0.03</f>
        <v>0</v>
      </c>
      <c r="F388" s="33" t="n">
        <v>0</v>
      </c>
      <c r="G388" s="62"/>
      <c r="H388" s="35" t="n">
        <v>0</v>
      </c>
      <c r="I388" s="34" t="n">
        <f aca="false">+IF(E388=0,0,E388*0.03)</f>
        <v>0</v>
      </c>
    </row>
    <row r="389" customFormat="false" ht="15.75" hidden="false" customHeight="true" outlineLevel="0" collapsed="false">
      <c r="A389" s="30" t="n">
        <v>45765</v>
      </c>
      <c r="B389" s="31" t="s">
        <v>7</v>
      </c>
      <c r="C389" s="32"/>
      <c r="D389" s="32"/>
      <c r="E389" s="19" t="n">
        <f aca="false">+F389*0.03</f>
        <v>0</v>
      </c>
      <c r="F389" s="33" t="n">
        <v>0</v>
      </c>
      <c r="G389" s="62"/>
      <c r="H389" s="35" t="n">
        <v>0</v>
      </c>
      <c r="I389" s="34" t="n">
        <f aca="false">+IF(E389=0,0,E389*0.03)</f>
        <v>0</v>
      </c>
    </row>
    <row r="390" customFormat="false" ht="15.75" hidden="false" customHeight="true" outlineLevel="0" collapsed="false">
      <c r="A390" s="30" t="n">
        <v>45766</v>
      </c>
      <c r="B390" s="31" t="s">
        <v>7</v>
      </c>
      <c r="C390" s="32"/>
      <c r="D390" s="32"/>
      <c r="E390" s="19" t="n">
        <f aca="false">+F390*0.03</f>
        <v>0</v>
      </c>
      <c r="F390" s="33" t="n">
        <v>0</v>
      </c>
      <c r="G390" s="62"/>
      <c r="H390" s="35" t="n">
        <v>0</v>
      </c>
      <c r="I390" s="34" t="n">
        <f aca="false">+IF(E390=0,0,E390*0.03)</f>
        <v>0</v>
      </c>
    </row>
    <row r="391" customFormat="false" ht="15.75" hidden="false" customHeight="true" outlineLevel="0" collapsed="false">
      <c r="A391" s="30" t="n">
        <v>45767</v>
      </c>
      <c r="B391" s="31" t="s">
        <v>7</v>
      </c>
      <c r="C391" s="32"/>
      <c r="D391" s="32"/>
      <c r="E391" s="19" t="n">
        <f aca="false">+F391*0.03</f>
        <v>0</v>
      </c>
      <c r="F391" s="33" t="n">
        <v>0</v>
      </c>
      <c r="G391" s="62"/>
      <c r="H391" s="35" t="n">
        <v>0</v>
      </c>
      <c r="I391" s="34" t="n">
        <f aca="false">+IF(E391=0,0,E391*0.03)</f>
        <v>0</v>
      </c>
    </row>
    <row r="392" customFormat="false" ht="15.75" hidden="false" customHeight="true" outlineLevel="0" collapsed="false">
      <c r="A392" s="30" t="n">
        <v>45768</v>
      </c>
      <c r="B392" s="31" t="s">
        <v>7</v>
      </c>
      <c r="C392" s="32"/>
      <c r="D392" s="32"/>
      <c r="E392" s="19" t="n">
        <f aca="false">+F392*0.03</f>
        <v>0</v>
      </c>
      <c r="F392" s="33" t="n">
        <v>0</v>
      </c>
      <c r="G392" s="62"/>
      <c r="H392" s="35" t="n">
        <v>0</v>
      </c>
      <c r="I392" s="34" t="n">
        <f aca="false">+IF(E392=0,0,E392*0.03)</f>
        <v>0</v>
      </c>
    </row>
    <row r="393" customFormat="false" ht="15.75" hidden="false" customHeight="true" outlineLevel="0" collapsed="false">
      <c r="A393" s="30" t="n">
        <v>45769</v>
      </c>
      <c r="B393" s="31" t="s">
        <v>7</v>
      </c>
      <c r="C393" s="32"/>
      <c r="D393" s="32"/>
      <c r="E393" s="19" t="n">
        <f aca="false">+F393*0.03</f>
        <v>0</v>
      </c>
      <c r="F393" s="33" t="n">
        <v>0</v>
      </c>
      <c r="G393" s="62"/>
      <c r="H393" s="35" t="n">
        <v>0</v>
      </c>
      <c r="I393" s="34" t="n">
        <f aca="false">+IF(E393=0,0,E393*0.03)</f>
        <v>0</v>
      </c>
    </row>
    <row r="394" customFormat="false" ht="15.75" hidden="false" customHeight="true" outlineLevel="0" collapsed="false">
      <c r="A394" s="30" t="n">
        <v>45770</v>
      </c>
      <c r="B394" s="31" t="s">
        <v>7</v>
      </c>
      <c r="C394" s="32"/>
      <c r="D394" s="32"/>
      <c r="E394" s="19" t="n">
        <f aca="false">+F394*0.03</f>
        <v>0</v>
      </c>
      <c r="F394" s="33" t="n">
        <v>0</v>
      </c>
      <c r="G394" s="62"/>
      <c r="H394" s="35" t="n">
        <v>0</v>
      </c>
      <c r="I394" s="34" t="n">
        <f aca="false">+IF(E394=0,0,E394*0.03)</f>
        <v>0</v>
      </c>
    </row>
    <row r="395" customFormat="false" ht="15.75" hidden="false" customHeight="true" outlineLevel="0" collapsed="false">
      <c r="A395" s="30" t="n">
        <v>45771</v>
      </c>
      <c r="B395" s="31" t="s">
        <v>7</v>
      </c>
      <c r="C395" s="32"/>
      <c r="D395" s="32"/>
      <c r="E395" s="19" t="n">
        <f aca="false">+F395*0.03</f>
        <v>0</v>
      </c>
      <c r="F395" s="33" t="n">
        <v>0</v>
      </c>
      <c r="G395" s="62"/>
      <c r="H395" s="35" t="n">
        <v>0</v>
      </c>
      <c r="I395" s="34" t="n">
        <f aca="false">+IF(E395=0,0,E395*0.03)</f>
        <v>0</v>
      </c>
    </row>
    <row r="396" customFormat="false" ht="15.75" hidden="false" customHeight="true" outlineLevel="0" collapsed="false">
      <c r="A396" s="30" t="n">
        <v>45772</v>
      </c>
      <c r="B396" s="31" t="s">
        <v>7</v>
      </c>
      <c r="C396" s="32"/>
      <c r="D396" s="32"/>
      <c r="E396" s="19" t="n">
        <f aca="false">+F396*0.03</f>
        <v>0</v>
      </c>
      <c r="F396" s="33" t="n">
        <v>0</v>
      </c>
      <c r="G396" s="62"/>
      <c r="H396" s="35" t="n">
        <v>0</v>
      </c>
      <c r="I396" s="34" t="n">
        <f aca="false">+IF(E396=0,0,E396*0.03)</f>
        <v>0</v>
      </c>
    </row>
    <row r="397" customFormat="false" ht="15.75" hidden="false" customHeight="true" outlineLevel="0" collapsed="false">
      <c r="A397" s="30" t="n">
        <v>45773</v>
      </c>
      <c r="B397" s="31" t="s">
        <v>7</v>
      </c>
      <c r="C397" s="32"/>
      <c r="D397" s="32"/>
      <c r="E397" s="19" t="n">
        <f aca="false">+F397*0.03</f>
        <v>0</v>
      </c>
      <c r="F397" s="33" t="n">
        <v>0</v>
      </c>
      <c r="G397" s="62"/>
      <c r="H397" s="35" t="n">
        <v>0</v>
      </c>
      <c r="I397" s="34" t="n">
        <f aca="false">+IF(E397=0,0,E397*0.03)</f>
        <v>0</v>
      </c>
    </row>
    <row r="398" customFormat="false" ht="15.75" hidden="false" customHeight="true" outlineLevel="0" collapsed="false">
      <c r="A398" s="30" t="n">
        <v>45774</v>
      </c>
      <c r="B398" s="31" t="s">
        <v>7</v>
      </c>
      <c r="C398" s="32"/>
      <c r="D398" s="32"/>
      <c r="E398" s="19" t="n">
        <f aca="false">+F398*0.03</f>
        <v>0</v>
      </c>
      <c r="F398" s="33" t="n">
        <v>0</v>
      </c>
      <c r="G398" s="62"/>
      <c r="H398" s="35" t="n">
        <v>0</v>
      </c>
      <c r="I398" s="34" t="n">
        <f aca="false">+IF(E398=0,0,E398*0.03)</f>
        <v>0</v>
      </c>
    </row>
    <row r="399" customFormat="false" ht="15.75" hidden="false" customHeight="true" outlineLevel="0" collapsed="false">
      <c r="A399" s="30" t="n">
        <v>45775</v>
      </c>
      <c r="B399" s="31" t="s">
        <v>7</v>
      </c>
      <c r="C399" s="32"/>
      <c r="D399" s="32"/>
      <c r="E399" s="19" t="n">
        <f aca="false">+F399*0.03</f>
        <v>0</v>
      </c>
      <c r="F399" s="33" t="n">
        <v>0</v>
      </c>
      <c r="G399" s="62"/>
      <c r="H399" s="35" t="n">
        <v>0</v>
      </c>
      <c r="I399" s="34" t="n">
        <f aca="false">+IF(E399=0,0,E399*0.03)</f>
        <v>0</v>
      </c>
    </row>
    <row r="400" customFormat="false" ht="15.75" hidden="false" customHeight="true" outlineLevel="0" collapsed="false">
      <c r="A400" s="30" t="n">
        <v>45776</v>
      </c>
      <c r="B400" s="31" t="s">
        <v>7</v>
      </c>
      <c r="C400" s="32"/>
      <c r="D400" s="32"/>
      <c r="E400" s="19" t="n">
        <f aca="false">+F400*0.03</f>
        <v>0</v>
      </c>
      <c r="F400" s="33" t="n">
        <v>0</v>
      </c>
      <c r="G400" s="62"/>
      <c r="H400" s="35" t="n">
        <v>0</v>
      </c>
      <c r="I400" s="34" t="n">
        <f aca="false">+IF(E400=0,0,E400*0.03)</f>
        <v>0</v>
      </c>
    </row>
    <row r="401" customFormat="false" ht="15.75" hidden="false" customHeight="true" outlineLevel="0" collapsed="false">
      <c r="A401" s="30" t="n">
        <v>45777</v>
      </c>
      <c r="B401" s="31" t="s">
        <v>7</v>
      </c>
      <c r="C401" s="32"/>
      <c r="D401" s="32"/>
      <c r="E401" s="19" t="n">
        <f aca="false">+F401*0.03</f>
        <v>0</v>
      </c>
      <c r="F401" s="33" t="n">
        <v>0</v>
      </c>
      <c r="G401" s="62"/>
      <c r="H401" s="35" t="n">
        <v>0</v>
      </c>
      <c r="I401" s="34" t="n">
        <f aca="false">+IF(E401=0,0,E401*0.03)</f>
        <v>0</v>
      </c>
    </row>
    <row r="402" customFormat="false" ht="15.75" hidden="false" customHeight="true" outlineLevel="0" collapsed="false">
      <c r="A402" s="30" t="n">
        <v>45778</v>
      </c>
      <c r="B402" s="31" t="s">
        <v>7</v>
      </c>
      <c r="C402" s="32"/>
      <c r="D402" s="32"/>
      <c r="E402" s="19" t="n">
        <f aca="false">+F402*0.03</f>
        <v>0</v>
      </c>
      <c r="F402" s="33" t="n">
        <v>0</v>
      </c>
      <c r="G402" s="62"/>
      <c r="H402" s="35" t="n">
        <v>0</v>
      </c>
      <c r="I402" s="34" t="n">
        <f aca="false">+IF(E402=0,0,E402*0.03)</f>
        <v>0</v>
      </c>
    </row>
    <row r="403" customFormat="false" ht="15.75" hidden="false" customHeight="true" outlineLevel="0" collapsed="false">
      <c r="A403" s="30" t="n">
        <v>45779</v>
      </c>
      <c r="B403" s="31" t="s">
        <v>7</v>
      </c>
      <c r="C403" s="32"/>
      <c r="D403" s="32"/>
      <c r="E403" s="19" t="n">
        <f aca="false">+F403*0.03</f>
        <v>0</v>
      </c>
      <c r="F403" s="33" t="n">
        <v>0</v>
      </c>
      <c r="G403" s="62"/>
      <c r="H403" s="35" t="n">
        <v>0</v>
      </c>
      <c r="I403" s="34" t="n">
        <f aca="false">+IF(E403=0,0,E403*0.03)</f>
        <v>0</v>
      </c>
    </row>
    <row r="404" customFormat="false" ht="15.75" hidden="false" customHeight="true" outlineLevel="0" collapsed="false">
      <c r="A404" s="30" t="n">
        <v>45780</v>
      </c>
      <c r="B404" s="31" t="s">
        <v>7</v>
      </c>
      <c r="C404" s="32"/>
      <c r="D404" s="32"/>
      <c r="E404" s="19" t="n">
        <f aca="false">+F404*0.03</f>
        <v>0</v>
      </c>
      <c r="F404" s="33" t="n">
        <v>0</v>
      </c>
      <c r="G404" s="62"/>
      <c r="H404" s="35" t="n">
        <v>0</v>
      </c>
      <c r="I404" s="34" t="n">
        <f aca="false">+IF(E404=0,0,E404*0.03)</f>
        <v>0</v>
      </c>
    </row>
    <row r="405" customFormat="false" ht="15.75" hidden="false" customHeight="true" outlineLevel="0" collapsed="false">
      <c r="A405" s="30" t="n">
        <v>45781</v>
      </c>
      <c r="B405" s="31" t="s">
        <v>7</v>
      </c>
      <c r="C405" s="32"/>
      <c r="D405" s="32"/>
      <c r="E405" s="19" t="n">
        <f aca="false">+F405*0.03</f>
        <v>0</v>
      </c>
      <c r="F405" s="33" t="n">
        <v>0</v>
      </c>
      <c r="G405" s="62"/>
      <c r="H405" s="35" t="n">
        <v>0</v>
      </c>
      <c r="I405" s="34" t="n">
        <f aca="false">+IF(E405=0,0,E405*0.03)</f>
        <v>0</v>
      </c>
    </row>
    <row r="406" customFormat="false" ht="15.75" hidden="false" customHeight="true" outlineLevel="0" collapsed="false">
      <c r="A406" s="30" t="n">
        <v>45782</v>
      </c>
      <c r="B406" s="31" t="s">
        <v>7</v>
      </c>
      <c r="C406" s="32"/>
      <c r="D406" s="32"/>
      <c r="E406" s="19" t="n">
        <f aca="false">+F406*0.03</f>
        <v>0</v>
      </c>
      <c r="F406" s="33" t="n">
        <v>0</v>
      </c>
      <c r="G406" s="62"/>
      <c r="H406" s="35" t="n">
        <v>0</v>
      </c>
      <c r="I406" s="34" t="n">
        <f aca="false">+IF(E406=0,0,E406*0.03)</f>
        <v>0</v>
      </c>
    </row>
    <row r="407" customFormat="false" ht="15.75" hidden="false" customHeight="true" outlineLevel="0" collapsed="false">
      <c r="A407" s="30" t="n">
        <v>45783</v>
      </c>
      <c r="B407" s="31" t="s">
        <v>7</v>
      </c>
      <c r="C407" s="32"/>
      <c r="D407" s="32"/>
      <c r="E407" s="19" t="n">
        <f aca="false">+F407*0.03</f>
        <v>0</v>
      </c>
      <c r="F407" s="33" t="n">
        <v>0</v>
      </c>
      <c r="G407" s="62"/>
      <c r="H407" s="35" t="n">
        <v>0</v>
      </c>
      <c r="I407" s="34" t="n">
        <f aca="false">+IF(E407=0,0,E407*0.03)</f>
        <v>0</v>
      </c>
    </row>
    <row r="408" customFormat="false" ht="15.75" hidden="false" customHeight="true" outlineLevel="0" collapsed="false">
      <c r="A408" s="30" t="n">
        <v>45784</v>
      </c>
      <c r="B408" s="31" t="s">
        <v>7</v>
      </c>
      <c r="C408" s="32"/>
      <c r="D408" s="32"/>
      <c r="E408" s="19" t="n">
        <f aca="false">+F408*0.03</f>
        <v>0</v>
      </c>
      <c r="F408" s="33" t="n">
        <v>0</v>
      </c>
      <c r="G408" s="62"/>
      <c r="H408" s="35" t="n">
        <v>0</v>
      </c>
      <c r="I408" s="34" t="n">
        <f aca="false">+IF(E408=0,0,E408*0.03)</f>
        <v>0</v>
      </c>
    </row>
    <row r="409" customFormat="false" ht="15.75" hidden="false" customHeight="true" outlineLevel="0" collapsed="false">
      <c r="A409" s="30" t="n">
        <v>45785</v>
      </c>
      <c r="B409" s="31" t="s">
        <v>7</v>
      </c>
      <c r="C409" s="32"/>
      <c r="D409" s="32"/>
      <c r="E409" s="19" t="n">
        <f aca="false">+F409*0.03</f>
        <v>0</v>
      </c>
      <c r="F409" s="33" t="n">
        <v>0</v>
      </c>
      <c r="G409" s="62"/>
      <c r="H409" s="35" t="n">
        <v>0</v>
      </c>
      <c r="I409" s="34" t="n">
        <f aca="false">+IF(E409=0,0,E409*0.03)</f>
        <v>0</v>
      </c>
    </row>
    <row r="410" customFormat="false" ht="15.75" hidden="false" customHeight="true" outlineLevel="0" collapsed="false">
      <c r="A410" s="30" t="n">
        <v>45786</v>
      </c>
      <c r="B410" s="31" t="s">
        <v>7</v>
      </c>
      <c r="C410" s="32"/>
      <c r="D410" s="32"/>
      <c r="E410" s="19" t="n">
        <f aca="false">+F410*0.03</f>
        <v>0</v>
      </c>
      <c r="F410" s="33" t="n">
        <v>0</v>
      </c>
      <c r="G410" s="62"/>
      <c r="H410" s="35" t="n">
        <v>0</v>
      </c>
      <c r="I410" s="34" t="n">
        <f aca="false">+IF(E410=0,0,E410*0.03)</f>
        <v>0</v>
      </c>
    </row>
    <row r="411" customFormat="false" ht="15.75" hidden="false" customHeight="true" outlineLevel="0" collapsed="false">
      <c r="A411" s="30" t="n">
        <v>45787</v>
      </c>
      <c r="B411" s="31" t="s">
        <v>7</v>
      </c>
      <c r="C411" s="32"/>
      <c r="D411" s="32"/>
      <c r="E411" s="19" t="n">
        <f aca="false">+F411*0.03</f>
        <v>0</v>
      </c>
      <c r="F411" s="33" t="n">
        <v>0</v>
      </c>
      <c r="G411" s="62"/>
      <c r="H411" s="35" t="n">
        <v>0</v>
      </c>
      <c r="I411" s="34" t="n">
        <f aca="false">+IF(E411=0,0,E411*0.03)</f>
        <v>0</v>
      </c>
    </row>
    <row r="412" customFormat="false" ht="15.75" hidden="false" customHeight="true" outlineLevel="0" collapsed="false">
      <c r="A412" s="30" t="n">
        <v>45788</v>
      </c>
      <c r="B412" s="31" t="s">
        <v>7</v>
      </c>
      <c r="C412" s="32"/>
      <c r="D412" s="32"/>
      <c r="E412" s="19" t="n">
        <f aca="false">+F412*0.03</f>
        <v>0</v>
      </c>
      <c r="F412" s="33" t="n">
        <v>0</v>
      </c>
      <c r="G412" s="62"/>
      <c r="H412" s="35" t="n">
        <v>0</v>
      </c>
      <c r="I412" s="34" t="n">
        <f aca="false">+IF(E412=0,0,E412*0.03)</f>
        <v>0</v>
      </c>
    </row>
    <row r="413" customFormat="false" ht="15.75" hidden="false" customHeight="true" outlineLevel="0" collapsed="false">
      <c r="A413" s="30" t="n">
        <v>45789</v>
      </c>
      <c r="B413" s="31" t="s">
        <v>7</v>
      </c>
      <c r="C413" s="32"/>
      <c r="D413" s="32"/>
      <c r="E413" s="19" t="n">
        <f aca="false">+F413*0.03</f>
        <v>0</v>
      </c>
      <c r="F413" s="33" t="n">
        <v>0</v>
      </c>
      <c r="G413" s="62"/>
      <c r="H413" s="35" t="n">
        <v>0</v>
      </c>
      <c r="I413" s="34" t="n">
        <f aca="false">+IF(E413=0,0,E413*0.03)</f>
        <v>0</v>
      </c>
    </row>
    <row r="414" customFormat="false" ht="15.75" hidden="false" customHeight="true" outlineLevel="0" collapsed="false">
      <c r="A414" s="30" t="n">
        <v>45790</v>
      </c>
      <c r="B414" s="31" t="s">
        <v>7</v>
      </c>
      <c r="C414" s="32"/>
      <c r="D414" s="32"/>
      <c r="E414" s="19" t="n">
        <f aca="false">+F414*0.03</f>
        <v>0</v>
      </c>
      <c r="F414" s="33" t="n">
        <v>0</v>
      </c>
      <c r="G414" s="62"/>
      <c r="H414" s="35" t="n">
        <v>0</v>
      </c>
      <c r="I414" s="34" t="n">
        <f aca="false">+IF(E414=0,0,E414*0.03)</f>
        <v>0</v>
      </c>
    </row>
    <row r="415" customFormat="false" ht="15.75" hidden="false" customHeight="true" outlineLevel="0" collapsed="false">
      <c r="A415" s="30" t="n">
        <v>45791</v>
      </c>
      <c r="B415" s="31" t="s">
        <v>7</v>
      </c>
      <c r="C415" s="32"/>
      <c r="D415" s="32"/>
      <c r="E415" s="19" t="n">
        <f aca="false">+F415*0.03</f>
        <v>0</v>
      </c>
      <c r="F415" s="33" t="n">
        <v>0</v>
      </c>
      <c r="G415" s="62"/>
      <c r="H415" s="35" t="n">
        <v>0</v>
      </c>
      <c r="I415" s="34" t="n">
        <f aca="false">+IF(E415=0,0,E415*0.03)</f>
        <v>0</v>
      </c>
    </row>
    <row r="416" customFormat="false" ht="15.75" hidden="false" customHeight="true" outlineLevel="0" collapsed="false">
      <c r="A416" s="30" t="n">
        <v>45792</v>
      </c>
      <c r="B416" s="31" t="s">
        <v>7</v>
      </c>
      <c r="C416" s="32"/>
      <c r="D416" s="32"/>
      <c r="E416" s="19" t="n">
        <f aca="false">+F416*0.03</f>
        <v>0</v>
      </c>
      <c r="F416" s="33" t="n">
        <v>0</v>
      </c>
      <c r="G416" s="62"/>
      <c r="H416" s="35" t="n">
        <v>0</v>
      </c>
      <c r="I416" s="34" t="n">
        <f aca="false">+IF(E416=0,0,E416*0.03)</f>
        <v>0</v>
      </c>
    </row>
    <row r="417" customFormat="false" ht="15.75" hidden="false" customHeight="true" outlineLevel="0" collapsed="false">
      <c r="A417" s="30" t="n">
        <v>45793</v>
      </c>
      <c r="B417" s="31" t="s">
        <v>7</v>
      </c>
      <c r="C417" s="32"/>
      <c r="D417" s="32"/>
      <c r="E417" s="19" t="n">
        <f aca="false">+F417*0.03</f>
        <v>0</v>
      </c>
      <c r="F417" s="33" t="n">
        <v>0</v>
      </c>
      <c r="G417" s="62"/>
      <c r="H417" s="35" t="n">
        <v>0</v>
      </c>
      <c r="I417" s="34" t="n">
        <f aca="false">+IF(E417=0,0,E417*0.03)</f>
        <v>0</v>
      </c>
    </row>
    <row r="418" customFormat="false" ht="15.75" hidden="false" customHeight="true" outlineLevel="0" collapsed="false">
      <c r="A418" s="30" t="n">
        <v>45794</v>
      </c>
      <c r="B418" s="31" t="s">
        <v>7</v>
      </c>
      <c r="C418" s="32"/>
      <c r="D418" s="32"/>
      <c r="E418" s="19" t="n">
        <f aca="false">+F418*0.03</f>
        <v>0</v>
      </c>
      <c r="F418" s="33" t="n">
        <v>0</v>
      </c>
      <c r="G418" s="62"/>
      <c r="H418" s="35" t="n">
        <v>0</v>
      </c>
      <c r="I418" s="34" t="n">
        <f aca="false">+IF(E418=0,0,E418*0.03)</f>
        <v>0</v>
      </c>
    </row>
    <row r="419" customFormat="false" ht="15.75" hidden="false" customHeight="true" outlineLevel="0" collapsed="false">
      <c r="A419" s="30" t="n">
        <v>45795</v>
      </c>
      <c r="B419" s="31" t="s">
        <v>7</v>
      </c>
      <c r="C419" s="32"/>
      <c r="D419" s="32"/>
      <c r="E419" s="19" t="n">
        <f aca="false">+F419*0.03</f>
        <v>0</v>
      </c>
      <c r="F419" s="33" t="n">
        <v>0</v>
      </c>
      <c r="G419" s="62"/>
      <c r="H419" s="35" t="n">
        <v>0</v>
      </c>
      <c r="I419" s="34" t="n">
        <f aca="false">+IF(E419=0,0,E419*0.03)</f>
        <v>0</v>
      </c>
    </row>
    <row r="420" customFormat="false" ht="15.75" hidden="false" customHeight="true" outlineLevel="0" collapsed="false">
      <c r="A420" s="30" t="n">
        <v>45796</v>
      </c>
      <c r="B420" s="31" t="s">
        <v>7</v>
      </c>
      <c r="C420" s="32"/>
      <c r="D420" s="32"/>
      <c r="E420" s="19" t="n">
        <f aca="false">+F420*0.03</f>
        <v>0</v>
      </c>
      <c r="F420" s="33" t="n">
        <v>0</v>
      </c>
      <c r="G420" s="62"/>
      <c r="H420" s="35" t="n">
        <v>0</v>
      </c>
      <c r="I420" s="34" t="n">
        <f aca="false">+IF(E420=0,0,E420*0.03)</f>
        <v>0</v>
      </c>
    </row>
    <row r="421" customFormat="false" ht="15.75" hidden="false" customHeight="true" outlineLevel="0" collapsed="false">
      <c r="A421" s="30" t="n">
        <v>45797</v>
      </c>
      <c r="B421" s="31" t="s">
        <v>7</v>
      </c>
      <c r="C421" s="32"/>
      <c r="D421" s="32"/>
      <c r="E421" s="19" t="n">
        <f aca="false">+F421*0.03</f>
        <v>0</v>
      </c>
      <c r="F421" s="33" t="n">
        <v>0</v>
      </c>
      <c r="G421" s="62"/>
      <c r="H421" s="35" t="n">
        <v>0</v>
      </c>
      <c r="I421" s="34" t="n">
        <f aca="false">+IF(E421=0,0,E421*0.03)</f>
        <v>0</v>
      </c>
    </row>
    <row r="422" customFormat="false" ht="15.75" hidden="false" customHeight="true" outlineLevel="0" collapsed="false">
      <c r="A422" s="30" t="n">
        <v>45798</v>
      </c>
      <c r="B422" s="31" t="s">
        <v>7</v>
      </c>
      <c r="C422" s="32"/>
      <c r="D422" s="32"/>
      <c r="E422" s="19" t="n">
        <f aca="false">+F422*0.03</f>
        <v>0</v>
      </c>
      <c r="F422" s="33" t="n">
        <v>0</v>
      </c>
      <c r="G422" s="62"/>
      <c r="H422" s="35" t="n">
        <v>0</v>
      </c>
      <c r="I422" s="34" t="n">
        <f aca="false">+IF(E422=0,0,E422*0.03)</f>
        <v>0</v>
      </c>
    </row>
    <row r="423" customFormat="false" ht="15.75" hidden="false" customHeight="true" outlineLevel="0" collapsed="false">
      <c r="A423" s="30" t="n">
        <v>45799</v>
      </c>
      <c r="B423" s="31" t="s">
        <v>7</v>
      </c>
      <c r="C423" s="32"/>
      <c r="D423" s="32"/>
      <c r="E423" s="19" t="n">
        <f aca="false">+F423*0.03</f>
        <v>0</v>
      </c>
      <c r="F423" s="33" t="n">
        <v>0</v>
      </c>
      <c r="G423" s="62"/>
      <c r="H423" s="35" t="n">
        <v>0</v>
      </c>
      <c r="I423" s="34" t="n">
        <f aca="false">+IF(E423=0,0,E423*0.03)</f>
        <v>0</v>
      </c>
    </row>
    <row r="424" customFormat="false" ht="15.75" hidden="false" customHeight="true" outlineLevel="0" collapsed="false">
      <c r="A424" s="30" t="n">
        <v>45800</v>
      </c>
      <c r="B424" s="31" t="s">
        <v>7</v>
      </c>
      <c r="C424" s="32"/>
      <c r="D424" s="32"/>
      <c r="E424" s="19" t="n">
        <f aca="false">+F424*0.03</f>
        <v>0</v>
      </c>
      <c r="F424" s="33" t="n">
        <v>0</v>
      </c>
      <c r="G424" s="62"/>
      <c r="H424" s="35" t="n">
        <v>0</v>
      </c>
      <c r="I424" s="34" t="n">
        <f aca="false">+IF(E424=0,0,E424*0.03)</f>
        <v>0</v>
      </c>
    </row>
    <row r="425" customFormat="false" ht="15.75" hidden="false" customHeight="true" outlineLevel="0" collapsed="false">
      <c r="A425" s="30" t="n">
        <v>45801</v>
      </c>
      <c r="B425" s="31" t="s">
        <v>7</v>
      </c>
      <c r="C425" s="32"/>
      <c r="D425" s="32"/>
      <c r="E425" s="19" t="n">
        <f aca="false">+F425*0.03</f>
        <v>0</v>
      </c>
      <c r="F425" s="33" t="n">
        <v>0</v>
      </c>
      <c r="G425" s="62"/>
      <c r="H425" s="35" t="n">
        <v>0</v>
      </c>
      <c r="I425" s="34" t="n">
        <f aca="false">+IF(E425=0,0,E425*0.03)</f>
        <v>0</v>
      </c>
    </row>
    <row r="426" customFormat="false" ht="15.75" hidden="false" customHeight="true" outlineLevel="0" collapsed="false">
      <c r="A426" s="30" t="n">
        <v>45802</v>
      </c>
      <c r="B426" s="31" t="s">
        <v>7</v>
      </c>
      <c r="C426" s="32"/>
      <c r="D426" s="32"/>
      <c r="E426" s="19" t="n">
        <f aca="false">+F426*0.03</f>
        <v>0</v>
      </c>
      <c r="F426" s="33" t="n">
        <v>0</v>
      </c>
      <c r="G426" s="62"/>
      <c r="H426" s="35" t="n">
        <v>0</v>
      </c>
      <c r="I426" s="34" t="n">
        <f aca="false">+IF(E426=0,0,E426*0.03)</f>
        <v>0</v>
      </c>
    </row>
    <row r="427" customFormat="false" ht="15.75" hidden="false" customHeight="true" outlineLevel="0" collapsed="false">
      <c r="A427" s="30" t="n">
        <v>45803</v>
      </c>
      <c r="B427" s="31" t="s">
        <v>7</v>
      </c>
      <c r="C427" s="32"/>
      <c r="D427" s="32"/>
      <c r="E427" s="19" t="n">
        <f aca="false">+F427*0.03</f>
        <v>0</v>
      </c>
      <c r="F427" s="33" t="n">
        <v>0</v>
      </c>
      <c r="G427" s="62"/>
      <c r="H427" s="35" t="n">
        <v>0</v>
      </c>
      <c r="I427" s="34" t="n">
        <f aca="false">+IF(E427=0,0,E427*0.03)</f>
        <v>0</v>
      </c>
    </row>
    <row r="428" customFormat="false" ht="15.75" hidden="false" customHeight="true" outlineLevel="0" collapsed="false">
      <c r="A428" s="30" t="n">
        <v>45804</v>
      </c>
      <c r="B428" s="31" t="s">
        <v>7</v>
      </c>
      <c r="C428" s="32"/>
      <c r="D428" s="32"/>
      <c r="E428" s="19" t="n">
        <f aca="false">+F428*0.03</f>
        <v>0</v>
      </c>
      <c r="F428" s="33" t="n">
        <v>0</v>
      </c>
      <c r="G428" s="62"/>
      <c r="H428" s="35" t="n">
        <v>0</v>
      </c>
      <c r="I428" s="34" t="n">
        <f aca="false">+IF(E428=0,0,E428*0.03)</f>
        <v>0</v>
      </c>
    </row>
    <row r="429" customFormat="false" ht="15.75" hidden="false" customHeight="true" outlineLevel="0" collapsed="false">
      <c r="A429" s="30" t="n">
        <v>45805</v>
      </c>
      <c r="B429" s="31" t="s">
        <v>7</v>
      </c>
      <c r="C429" s="32"/>
      <c r="D429" s="32"/>
      <c r="E429" s="19" t="n">
        <f aca="false">+F429*0.03</f>
        <v>0</v>
      </c>
      <c r="F429" s="33" t="n">
        <v>0</v>
      </c>
      <c r="G429" s="62"/>
      <c r="H429" s="35" t="n">
        <v>0</v>
      </c>
      <c r="I429" s="34" t="n">
        <f aca="false">+IF(E429=0,0,E429*0.03)</f>
        <v>0</v>
      </c>
    </row>
    <row r="430" customFormat="false" ht="15.75" hidden="false" customHeight="true" outlineLevel="0" collapsed="false">
      <c r="A430" s="30" t="n">
        <v>45806</v>
      </c>
      <c r="B430" s="31" t="s">
        <v>7</v>
      </c>
      <c r="C430" s="32"/>
      <c r="D430" s="32"/>
      <c r="E430" s="19" t="n">
        <f aca="false">+F430*0.03</f>
        <v>0</v>
      </c>
      <c r="F430" s="33" t="n">
        <v>0</v>
      </c>
      <c r="G430" s="62"/>
      <c r="H430" s="35" t="n">
        <v>0</v>
      </c>
      <c r="I430" s="34" t="n">
        <f aca="false">+IF(E430=0,0,E430*0.03)</f>
        <v>0</v>
      </c>
    </row>
    <row r="431" customFormat="false" ht="15.75" hidden="false" customHeight="true" outlineLevel="0" collapsed="false">
      <c r="A431" s="30" t="n">
        <v>45807</v>
      </c>
      <c r="B431" s="31" t="s">
        <v>7</v>
      </c>
      <c r="C431" s="32"/>
      <c r="D431" s="32"/>
      <c r="E431" s="19" t="n">
        <f aca="false">+F431*0.03</f>
        <v>0</v>
      </c>
      <c r="F431" s="33" t="n">
        <v>0</v>
      </c>
      <c r="G431" s="62"/>
      <c r="H431" s="35" t="n">
        <v>0</v>
      </c>
      <c r="I431" s="34" t="n">
        <f aca="false">+IF(E431=0,0,E431*0.03)</f>
        <v>0</v>
      </c>
    </row>
    <row r="432" customFormat="false" ht="15.75" hidden="false" customHeight="true" outlineLevel="0" collapsed="false">
      <c r="A432" s="30" t="n">
        <v>45808</v>
      </c>
      <c r="B432" s="31" t="s">
        <v>7</v>
      </c>
      <c r="C432" s="32"/>
      <c r="D432" s="32"/>
      <c r="E432" s="19" t="n">
        <f aca="false">+F432*0.03</f>
        <v>0</v>
      </c>
      <c r="F432" s="33" t="n">
        <v>0</v>
      </c>
      <c r="G432" s="62"/>
      <c r="H432" s="35" t="n">
        <v>0</v>
      </c>
      <c r="I432" s="34" t="n">
        <f aca="false">+IF(E432=0,0,E432*0.03)</f>
        <v>0</v>
      </c>
    </row>
    <row r="433" customFormat="false" ht="15.75" hidden="false" customHeight="true" outlineLevel="0" collapsed="false">
      <c r="A433" s="30" t="n">
        <v>45809</v>
      </c>
      <c r="B433" s="31" t="s">
        <v>7</v>
      </c>
      <c r="C433" s="32"/>
      <c r="D433" s="32"/>
      <c r="E433" s="19" t="n">
        <f aca="false">+F433*0.03</f>
        <v>0</v>
      </c>
      <c r="F433" s="33" t="n">
        <v>0</v>
      </c>
      <c r="G433" s="62"/>
      <c r="H433" s="35" t="n">
        <v>0</v>
      </c>
      <c r="I433" s="34" t="n">
        <f aca="false">+IF(E433=0,0,E433*0.03)</f>
        <v>0</v>
      </c>
    </row>
    <row r="434" customFormat="false" ht="15.75" hidden="false" customHeight="true" outlineLevel="0" collapsed="false">
      <c r="A434" s="30" t="n">
        <v>45810</v>
      </c>
      <c r="B434" s="31" t="s">
        <v>7</v>
      </c>
      <c r="C434" s="32"/>
      <c r="D434" s="32"/>
      <c r="E434" s="19" t="n">
        <f aca="false">+F434*0.03</f>
        <v>0</v>
      </c>
      <c r="F434" s="33" t="n">
        <v>0</v>
      </c>
      <c r="G434" s="62"/>
      <c r="H434" s="35" t="n">
        <v>0</v>
      </c>
      <c r="I434" s="34" t="n">
        <f aca="false">+IF(E434=0,0,E434*0.03)</f>
        <v>0</v>
      </c>
    </row>
    <row r="435" customFormat="false" ht="15.75" hidden="false" customHeight="true" outlineLevel="0" collapsed="false">
      <c r="A435" s="30" t="n">
        <v>45811</v>
      </c>
      <c r="B435" s="31" t="s">
        <v>7</v>
      </c>
      <c r="C435" s="32"/>
      <c r="D435" s="32"/>
      <c r="E435" s="19" t="n">
        <f aca="false">+F435*0.03</f>
        <v>0</v>
      </c>
      <c r="F435" s="33" t="n">
        <v>0</v>
      </c>
      <c r="G435" s="62"/>
      <c r="H435" s="35" t="n">
        <v>0</v>
      </c>
      <c r="I435" s="34" t="n">
        <f aca="false">+IF(E435=0,0,E435*0.03)</f>
        <v>0</v>
      </c>
    </row>
    <row r="436" customFormat="false" ht="15.75" hidden="false" customHeight="true" outlineLevel="0" collapsed="false">
      <c r="A436" s="30" t="n">
        <v>45812</v>
      </c>
      <c r="B436" s="31" t="s">
        <v>7</v>
      </c>
      <c r="C436" s="32"/>
      <c r="D436" s="32"/>
      <c r="E436" s="19" t="n">
        <f aca="false">+F436*0.03</f>
        <v>0</v>
      </c>
      <c r="F436" s="33" t="n">
        <v>0</v>
      </c>
      <c r="G436" s="62"/>
      <c r="H436" s="35" t="n">
        <v>0</v>
      </c>
      <c r="I436" s="34" t="n">
        <f aca="false">+IF(E436=0,0,E436*0.03)</f>
        <v>0</v>
      </c>
    </row>
    <row r="437" customFormat="false" ht="15.75" hidden="false" customHeight="true" outlineLevel="0" collapsed="false">
      <c r="A437" s="30" t="n">
        <v>45813</v>
      </c>
      <c r="B437" s="31" t="s">
        <v>7</v>
      </c>
      <c r="C437" s="32"/>
      <c r="D437" s="32"/>
      <c r="E437" s="19" t="n">
        <f aca="false">+F437*0.03</f>
        <v>0</v>
      </c>
      <c r="F437" s="33" t="n">
        <v>0</v>
      </c>
      <c r="G437" s="62"/>
      <c r="H437" s="35" t="n">
        <v>0</v>
      </c>
      <c r="I437" s="34" t="n">
        <f aca="false">+IF(E437=0,0,E437*0.03)</f>
        <v>0</v>
      </c>
    </row>
    <row r="438" customFormat="false" ht="15.75" hidden="false" customHeight="true" outlineLevel="0" collapsed="false">
      <c r="A438" s="30" t="n">
        <v>45814</v>
      </c>
      <c r="B438" s="31" t="s">
        <v>7</v>
      </c>
      <c r="C438" s="32"/>
      <c r="D438" s="32"/>
      <c r="E438" s="19" t="n">
        <f aca="false">+F438*0.03</f>
        <v>0</v>
      </c>
      <c r="F438" s="33" t="n">
        <v>0</v>
      </c>
      <c r="G438" s="62"/>
      <c r="H438" s="35" t="n">
        <v>0</v>
      </c>
      <c r="I438" s="34" t="n">
        <f aca="false">+IF(E438=0,0,E438*0.03)</f>
        <v>0</v>
      </c>
    </row>
    <row r="439" customFormat="false" ht="15.75" hidden="false" customHeight="true" outlineLevel="0" collapsed="false">
      <c r="A439" s="30" t="n">
        <v>45815</v>
      </c>
      <c r="B439" s="31" t="s">
        <v>7</v>
      </c>
      <c r="C439" s="32"/>
      <c r="D439" s="32"/>
      <c r="E439" s="19" t="n">
        <f aca="false">+F439*0.03</f>
        <v>0</v>
      </c>
      <c r="F439" s="33" t="n">
        <v>0</v>
      </c>
      <c r="G439" s="62"/>
      <c r="H439" s="35" t="n">
        <v>0</v>
      </c>
      <c r="I439" s="34" t="n">
        <f aca="false">+IF(E439=0,0,E439*0.03)</f>
        <v>0</v>
      </c>
    </row>
    <row r="440" customFormat="false" ht="15.75" hidden="false" customHeight="true" outlineLevel="0" collapsed="false">
      <c r="A440" s="30" t="n">
        <v>45816</v>
      </c>
      <c r="B440" s="31" t="s">
        <v>7</v>
      </c>
      <c r="C440" s="32"/>
      <c r="D440" s="32"/>
      <c r="E440" s="19" t="n">
        <f aca="false">+F440*0.03</f>
        <v>0</v>
      </c>
      <c r="F440" s="33" t="n">
        <v>0</v>
      </c>
      <c r="G440" s="62"/>
      <c r="H440" s="35" t="n">
        <v>0</v>
      </c>
      <c r="I440" s="34" t="n">
        <f aca="false">+IF(E440=0,0,E440*0.03)</f>
        <v>0</v>
      </c>
    </row>
    <row r="441" customFormat="false" ht="15.75" hidden="false" customHeight="true" outlineLevel="0" collapsed="false">
      <c r="A441" s="30" t="n">
        <v>45817</v>
      </c>
      <c r="B441" s="31" t="s">
        <v>7</v>
      </c>
      <c r="C441" s="32"/>
      <c r="D441" s="32"/>
      <c r="E441" s="19" t="n">
        <f aca="false">+F441*0.03</f>
        <v>0</v>
      </c>
      <c r="F441" s="33" t="n">
        <v>0</v>
      </c>
      <c r="G441" s="62"/>
      <c r="H441" s="35" t="n">
        <v>0</v>
      </c>
      <c r="I441" s="34" t="n">
        <f aca="false">+IF(E441=0,0,E441*0.03)</f>
        <v>0</v>
      </c>
    </row>
    <row r="442" customFormat="false" ht="15.75" hidden="false" customHeight="true" outlineLevel="0" collapsed="false">
      <c r="A442" s="30" t="n">
        <v>45818</v>
      </c>
      <c r="B442" s="31" t="s">
        <v>7</v>
      </c>
      <c r="C442" s="32"/>
      <c r="D442" s="32"/>
      <c r="E442" s="19" t="n">
        <f aca="false">+F442*0.03</f>
        <v>0</v>
      </c>
      <c r="F442" s="33" t="n">
        <v>0</v>
      </c>
      <c r="G442" s="62"/>
      <c r="H442" s="35" t="n">
        <v>0</v>
      </c>
      <c r="I442" s="34" t="n">
        <f aca="false">+IF(E442=0,0,E442*0.03)</f>
        <v>0</v>
      </c>
    </row>
    <row r="443" customFormat="false" ht="15.75" hidden="false" customHeight="true" outlineLevel="0" collapsed="false">
      <c r="A443" s="30" t="n">
        <v>45819</v>
      </c>
      <c r="B443" s="31" t="s">
        <v>7</v>
      </c>
      <c r="C443" s="32"/>
      <c r="D443" s="32"/>
      <c r="E443" s="19" t="n">
        <f aca="false">+F443*0.03</f>
        <v>0</v>
      </c>
      <c r="F443" s="33" t="n">
        <v>0</v>
      </c>
      <c r="G443" s="62"/>
      <c r="H443" s="35" t="n">
        <v>0</v>
      </c>
      <c r="I443" s="34" t="n">
        <f aca="false">+IF(E443=0,0,E443*0.03)</f>
        <v>0</v>
      </c>
    </row>
    <row r="444" customFormat="false" ht="15.75" hidden="false" customHeight="true" outlineLevel="0" collapsed="false">
      <c r="A444" s="30" t="n">
        <v>45820</v>
      </c>
      <c r="B444" s="31" t="s">
        <v>7</v>
      </c>
      <c r="C444" s="32"/>
      <c r="D444" s="32"/>
      <c r="E444" s="19" t="n">
        <f aca="false">+F444*0.03</f>
        <v>0</v>
      </c>
      <c r="F444" s="33" t="n">
        <v>0</v>
      </c>
      <c r="G444" s="62"/>
      <c r="H444" s="35" t="n">
        <v>0</v>
      </c>
      <c r="I444" s="34" t="n">
        <f aca="false">+IF(E444=0,0,E444*0.03)</f>
        <v>0</v>
      </c>
    </row>
    <row r="445" customFormat="false" ht="15.75" hidden="false" customHeight="true" outlineLevel="0" collapsed="false">
      <c r="A445" s="30" t="n">
        <v>45821</v>
      </c>
      <c r="B445" s="31" t="s">
        <v>7</v>
      </c>
      <c r="C445" s="32"/>
      <c r="D445" s="32"/>
      <c r="E445" s="19" t="n">
        <f aca="false">+F445*0.03</f>
        <v>0</v>
      </c>
      <c r="F445" s="33" t="n">
        <v>0</v>
      </c>
      <c r="G445" s="62"/>
      <c r="H445" s="35" t="n">
        <v>0</v>
      </c>
      <c r="I445" s="34" t="n">
        <f aca="false">+IF(E445=0,0,E445*0.03)</f>
        <v>0</v>
      </c>
    </row>
    <row r="446" customFormat="false" ht="15.75" hidden="false" customHeight="true" outlineLevel="0" collapsed="false">
      <c r="A446" s="30" t="n">
        <v>45822</v>
      </c>
      <c r="B446" s="31" t="s">
        <v>7</v>
      </c>
      <c r="C446" s="32"/>
      <c r="D446" s="32"/>
      <c r="E446" s="19" t="n">
        <f aca="false">+F446*0.03</f>
        <v>0</v>
      </c>
      <c r="F446" s="33" t="n">
        <v>0</v>
      </c>
      <c r="G446" s="62"/>
      <c r="H446" s="35" t="n">
        <v>0</v>
      </c>
      <c r="I446" s="34" t="n">
        <f aca="false">+IF(E446=0,0,E446*0.03)</f>
        <v>0</v>
      </c>
    </row>
    <row r="447" customFormat="false" ht="15.75" hidden="false" customHeight="true" outlineLevel="0" collapsed="false">
      <c r="A447" s="30" t="n">
        <v>45823</v>
      </c>
      <c r="B447" s="31" t="s">
        <v>7</v>
      </c>
      <c r="C447" s="32"/>
      <c r="D447" s="32"/>
      <c r="E447" s="19" t="n">
        <f aca="false">+F447*0.03</f>
        <v>0</v>
      </c>
      <c r="F447" s="33" t="n">
        <v>0</v>
      </c>
      <c r="G447" s="62"/>
      <c r="H447" s="35" t="n">
        <v>0</v>
      </c>
      <c r="I447" s="34" t="n">
        <f aca="false">+IF(E447=0,0,E447*0.03)</f>
        <v>0</v>
      </c>
    </row>
    <row r="448" customFormat="false" ht="15.75" hidden="false" customHeight="true" outlineLevel="0" collapsed="false">
      <c r="A448" s="30" t="n">
        <v>45824</v>
      </c>
      <c r="B448" s="31" t="s">
        <v>7</v>
      </c>
      <c r="C448" s="32"/>
      <c r="D448" s="32"/>
      <c r="E448" s="19" t="n">
        <f aca="false">+F448*0.03</f>
        <v>0</v>
      </c>
      <c r="F448" s="33" t="n">
        <v>0</v>
      </c>
      <c r="G448" s="62"/>
      <c r="H448" s="35" t="n">
        <v>0</v>
      </c>
      <c r="I448" s="34" t="n">
        <f aca="false">+IF(E448=0,0,E448*0.03)</f>
        <v>0</v>
      </c>
    </row>
    <row r="449" customFormat="false" ht="15.75" hidden="false" customHeight="true" outlineLevel="0" collapsed="false">
      <c r="A449" s="30" t="n">
        <v>45825</v>
      </c>
      <c r="B449" s="31" t="s">
        <v>7</v>
      </c>
      <c r="C449" s="32"/>
      <c r="D449" s="32"/>
      <c r="E449" s="19" t="n">
        <f aca="false">+F449*0.03</f>
        <v>0</v>
      </c>
      <c r="F449" s="33" t="n">
        <v>0</v>
      </c>
      <c r="G449" s="62"/>
      <c r="H449" s="35" t="n">
        <v>0</v>
      </c>
      <c r="I449" s="34" t="n">
        <f aca="false">+IF(E449=0,0,E449*0.03)</f>
        <v>0</v>
      </c>
    </row>
    <row r="450" customFormat="false" ht="15.75" hidden="false" customHeight="true" outlineLevel="0" collapsed="false">
      <c r="A450" s="30" t="n">
        <v>45826</v>
      </c>
      <c r="B450" s="31" t="s">
        <v>7</v>
      </c>
      <c r="C450" s="32"/>
      <c r="D450" s="32"/>
      <c r="E450" s="19" t="n">
        <f aca="false">+F450*0.03</f>
        <v>0</v>
      </c>
      <c r="F450" s="33" t="n">
        <v>0</v>
      </c>
      <c r="G450" s="62"/>
      <c r="H450" s="35" t="n">
        <v>0</v>
      </c>
      <c r="I450" s="34" t="n">
        <f aca="false">+IF(E450=0,0,E450*0.03)</f>
        <v>0</v>
      </c>
    </row>
    <row r="451" customFormat="false" ht="15.75" hidden="false" customHeight="true" outlineLevel="0" collapsed="false">
      <c r="A451" s="30" t="n">
        <v>45827</v>
      </c>
      <c r="B451" s="31" t="s">
        <v>7</v>
      </c>
      <c r="C451" s="32"/>
      <c r="D451" s="32"/>
      <c r="E451" s="19" t="n">
        <f aca="false">+F451*0.03</f>
        <v>0</v>
      </c>
      <c r="F451" s="33" t="n">
        <v>0</v>
      </c>
      <c r="G451" s="62"/>
      <c r="H451" s="35" t="n">
        <v>0</v>
      </c>
      <c r="I451" s="34" t="n">
        <f aca="false">+IF(E451=0,0,E451*0.03)</f>
        <v>0</v>
      </c>
    </row>
    <row r="452" customFormat="false" ht="15.75" hidden="false" customHeight="true" outlineLevel="0" collapsed="false">
      <c r="A452" s="30" t="n">
        <v>45828</v>
      </c>
      <c r="B452" s="31" t="s">
        <v>7</v>
      </c>
      <c r="C452" s="32"/>
      <c r="D452" s="32"/>
      <c r="E452" s="19" t="n">
        <f aca="false">+F452*0.03</f>
        <v>0</v>
      </c>
      <c r="F452" s="33" t="n">
        <v>0</v>
      </c>
      <c r="G452" s="62"/>
      <c r="H452" s="35" t="n">
        <v>0</v>
      </c>
      <c r="I452" s="34" t="n">
        <f aca="false">+IF(E452=0,0,E452*0.03)</f>
        <v>0</v>
      </c>
    </row>
    <row r="453" customFormat="false" ht="15.75" hidden="false" customHeight="true" outlineLevel="0" collapsed="false">
      <c r="A453" s="30" t="n">
        <v>45829</v>
      </c>
      <c r="B453" s="31" t="s">
        <v>7</v>
      </c>
      <c r="C453" s="32"/>
      <c r="D453" s="32"/>
      <c r="E453" s="19" t="n">
        <f aca="false">+F453*0.03</f>
        <v>0</v>
      </c>
      <c r="F453" s="33" t="n">
        <v>0</v>
      </c>
      <c r="G453" s="62"/>
      <c r="H453" s="35" t="n">
        <v>0</v>
      </c>
      <c r="I453" s="34" t="n">
        <f aca="false">+IF(E453=0,0,E453*0.03)</f>
        <v>0</v>
      </c>
    </row>
    <row r="454" customFormat="false" ht="15.75" hidden="false" customHeight="true" outlineLevel="0" collapsed="false">
      <c r="A454" s="30" t="n">
        <v>45830</v>
      </c>
      <c r="B454" s="31" t="s">
        <v>7</v>
      </c>
      <c r="C454" s="32"/>
      <c r="D454" s="32"/>
      <c r="E454" s="19" t="n">
        <f aca="false">+F454*0.03</f>
        <v>0</v>
      </c>
      <c r="F454" s="33" t="n">
        <v>0</v>
      </c>
      <c r="G454" s="62"/>
      <c r="H454" s="35" t="n">
        <v>0</v>
      </c>
      <c r="I454" s="34" t="n">
        <f aca="false">+IF(E454=0,0,E454*0.03)</f>
        <v>0</v>
      </c>
    </row>
    <row r="455" customFormat="false" ht="15.75" hidden="false" customHeight="true" outlineLevel="0" collapsed="false">
      <c r="A455" s="30" t="n">
        <v>45831</v>
      </c>
      <c r="B455" s="31" t="s">
        <v>7</v>
      </c>
      <c r="C455" s="32"/>
      <c r="D455" s="32"/>
      <c r="E455" s="19" t="n">
        <f aca="false">+F455*0.03</f>
        <v>0</v>
      </c>
      <c r="F455" s="33" t="n">
        <v>0</v>
      </c>
      <c r="G455" s="62"/>
      <c r="H455" s="35" t="n">
        <v>0</v>
      </c>
      <c r="I455" s="34" t="n">
        <f aca="false">+IF(E455=0,0,E455*0.03)</f>
        <v>0</v>
      </c>
    </row>
    <row r="456" customFormat="false" ht="15.75" hidden="false" customHeight="true" outlineLevel="0" collapsed="false">
      <c r="A456" s="30" t="n">
        <v>45832</v>
      </c>
      <c r="B456" s="31" t="s">
        <v>7</v>
      </c>
      <c r="C456" s="32"/>
      <c r="D456" s="32"/>
      <c r="E456" s="19" t="n">
        <f aca="false">+F456*0.03</f>
        <v>0</v>
      </c>
      <c r="F456" s="33" t="n">
        <v>0</v>
      </c>
      <c r="G456" s="62"/>
      <c r="H456" s="35" t="n">
        <v>0</v>
      </c>
      <c r="I456" s="34" t="n">
        <f aca="false">+IF(E456=0,0,E456*0.03)</f>
        <v>0</v>
      </c>
    </row>
    <row r="457" customFormat="false" ht="15.75" hidden="false" customHeight="true" outlineLevel="0" collapsed="false">
      <c r="A457" s="30" t="n">
        <v>45833</v>
      </c>
      <c r="B457" s="31" t="s">
        <v>7</v>
      </c>
      <c r="C457" s="32"/>
      <c r="D457" s="32"/>
      <c r="E457" s="19" t="n">
        <f aca="false">+F457*0.03</f>
        <v>0</v>
      </c>
      <c r="F457" s="33" t="n">
        <v>0</v>
      </c>
      <c r="G457" s="62"/>
      <c r="H457" s="35" t="n">
        <v>0</v>
      </c>
      <c r="I457" s="34" t="n">
        <f aca="false">+IF(E457=0,0,E457*0.03)</f>
        <v>0</v>
      </c>
    </row>
    <row r="458" customFormat="false" ht="15.75" hidden="false" customHeight="true" outlineLevel="0" collapsed="false">
      <c r="A458" s="30" t="n">
        <v>45834</v>
      </c>
      <c r="B458" s="31" t="s">
        <v>7</v>
      </c>
      <c r="C458" s="32"/>
      <c r="D458" s="32"/>
      <c r="E458" s="19" t="n">
        <f aca="false">+F458*0.03</f>
        <v>0</v>
      </c>
      <c r="F458" s="33" t="n">
        <v>0</v>
      </c>
      <c r="G458" s="62"/>
      <c r="H458" s="35" t="n">
        <v>0</v>
      </c>
      <c r="I458" s="34" t="n">
        <f aca="false">+IF(E458=0,0,E458*0.03)</f>
        <v>0</v>
      </c>
    </row>
    <row r="459" customFormat="false" ht="15.75" hidden="false" customHeight="true" outlineLevel="0" collapsed="false">
      <c r="A459" s="30" t="n">
        <v>45835</v>
      </c>
      <c r="B459" s="31" t="s">
        <v>7</v>
      </c>
      <c r="C459" s="32"/>
      <c r="D459" s="32"/>
      <c r="E459" s="19" t="n">
        <f aca="false">+F459*0.03</f>
        <v>0</v>
      </c>
      <c r="F459" s="33" t="n">
        <v>0</v>
      </c>
      <c r="G459" s="62"/>
      <c r="H459" s="35" t="n">
        <v>0</v>
      </c>
      <c r="I459" s="34" t="n">
        <f aca="false">+IF(E459=0,0,E459*0.03)</f>
        <v>0</v>
      </c>
    </row>
    <row r="460" customFormat="false" ht="15.75" hidden="false" customHeight="true" outlineLevel="0" collapsed="false">
      <c r="A460" s="30" t="n">
        <v>45836</v>
      </c>
      <c r="B460" s="31" t="s">
        <v>7</v>
      </c>
      <c r="C460" s="32"/>
      <c r="D460" s="32"/>
      <c r="E460" s="19" t="n">
        <f aca="false">+F460*0.03</f>
        <v>0</v>
      </c>
      <c r="F460" s="33" t="n">
        <v>0</v>
      </c>
      <c r="G460" s="62"/>
      <c r="H460" s="35" t="n">
        <v>0</v>
      </c>
      <c r="I460" s="34" t="n">
        <f aca="false">+IF(E460=0,0,E460*0.03)</f>
        <v>0</v>
      </c>
    </row>
    <row r="461" customFormat="false" ht="15.75" hidden="false" customHeight="true" outlineLevel="0" collapsed="false">
      <c r="A461" s="30" t="n">
        <v>45837</v>
      </c>
      <c r="B461" s="31" t="s">
        <v>7</v>
      </c>
      <c r="C461" s="32"/>
      <c r="D461" s="32"/>
      <c r="E461" s="19" t="n">
        <f aca="false">+F461*0.03</f>
        <v>0</v>
      </c>
      <c r="F461" s="33" t="n">
        <v>0</v>
      </c>
      <c r="G461" s="62"/>
      <c r="H461" s="35" t="n">
        <v>0</v>
      </c>
      <c r="I461" s="34" t="n">
        <f aca="false">+IF(E461=0,0,E461*0.03)</f>
        <v>0</v>
      </c>
    </row>
    <row r="462" customFormat="false" ht="15.75" hidden="false" customHeight="true" outlineLevel="0" collapsed="false">
      <c r="A462" s="30" t="n">
        <v>45838</v>
      </c>
      <c r="B462" s="31" t="s">
        <v>7</v>
      </c>
      <c r="C462" s="32"/>
      <c r="D462" s="32"/>
      <c r="E462" s="19" t="n">
        <f aca="false">+F462*0.03</f>
        <v>0</v>
      </c>
      <c r="F462" s="33" t="n">
        <v>0</v>
      </c>
      <c r="G462" s="62"/>
      <c r="H462" s="35" t="n">
        <v>0</v>
      </c>
      <c r="I462" s="34" t="n">
        <f aca="false">+IF(E462=0,0,E462*0.03)</f>
        <v>0</v>
      </c>
    </row>
    <row r="463" customFormat="false" ht="15.75" hidden="false" customHeight="true" outlineLevel="0" collapsed="false">
      <c r="A463" s="30" t="n">
        <v>45839</v>
      </c>
      <c r="B463" s="31" t="s">
        <v>7</v>
      </c>
      <c r="C463" s="32"/>
      <c r="D463" s="32"/>
      <c r="E463" s="19" t="n">
        <f aca="false">+F463*0.03</f>
        <v>0</v>
      </c>
      <c r="F463" s="33" t="n">
        <v>0</v>
      </c>
      <c r="G463" s="62"/>
      <c r="H463" s="35" t="n">
        <v>0</v>
      </c>
      <c r="I463" s="34" t="n">
        <f aca="false">+IF(E463=0,0,E463*0.03)</f>
        <v>0</v>
      </c>
    </row>
    <row r="464" customFormat="false" ht="15.75" hidden="false" customHeight="true" outlineLevel="0" collapsed="false">
      <c r="A464" s="30" t="n">
        <v>45840</v>
      </c>
      <c r="B464" s="31" t="s">
        <v>7</v>
      </c>
      <c r="C464" s="32"/>
      <c r="D464" s="32"/>
      <c r="E464" s="19" t="n">
        <f aca="false">+F464*0.03</f>
        <v>0</v>
      </c>
      <c r="F464" s="33" t="n">
        <v>0</v>
      </c>
      <c r="G464" s="62"/>
      <c r="H464" s="35" t="n">
        <v>0</v>
      </c>
      <c r="I464" s="34" t="n">
        <f aca="false">+IF(E464=0,0,E464*0.03)</f>
        <v>0</v>
      </c>
    </row>
    <row r="465" customFormat="false" ht="15.75" hidden="false" customHeight="true" outlineLevel="0" collapsed="false">
      <c r="A465" s="30" t="n">
        <v>45841</v>
      </c>
      <c r="B465" s="31" t="s">
        <v>7</v>
      </c>
      <c r="C465" s="32"/>
      <c r="D465" s="32"/>
      <c r="E465" s="19" t="n">
        <f aca="false">+F465*0.03</f>
        <v>0</v>
      </c>
      <c r="F465" s="33" t="n">
        <v>0</v>
      </c>
      <c r="G465" s="62"/>
      <c r="H465" s="35" t="n">
        <v>0</v>
      </c>
      <c r="I465" s="34" t="n">
        <f aca="false">+IF(E465=0,0,E465*0.03)</f>
        <v>0</v>
      </c>
    </row>
    <row r="466" customFormat="false" ht="15.75" hidden="false" customHeight="true" outlineLevel="0" collapsed="false">
      <c r="A466" s="30" t="n">
        <v>45842</v>
      </c>
      <c r="B466" s="31" t="s">
        <v>7</v>
      </c>
      <c r="C466" s="32"/>
      <c r="D466" s="32"/>
      <c r="E466" s="19" t="n">
        <f aca="false">+F466*0.03</f>
        <v>0</v>
      </c>
      <c r="F466" s="33" t="n">
        <v>0</v>
      </c>
      <c r="G466" s="62"/>
      <c r="H466" s="35" t="n">
        <v>0</v>
      </c>
      <c r="I466" s="34" t="n">
        <f aca="false">+IF(E466=0,0,E466*0.03)</f>
        <v>0</v>
      </c>
    </row>
    <row r="467" customFormat="false" ht="15.75" hidden="false" customHeight="true" outlineLevel="0" collapsed="false">
      <c r="A467" s="30" t="n">
        <v>45843</v>
      </c>
      <c r="B467" s="31" t="s">
        <v>7</v>
      </c>
      <c r="C467" s="32"/>
      <c r="D467" s="32"/>
      <c r="E467" s="19" t="n">
        <f aca="false">+F467*0.03</f>
        <v>0</v>
      </c>
      <c r="F467" s="33" t="n">
        <v>0</v>
      </c>
      <c r="G467" s="62"/>
      <c r="H467" s="35" t="n">
        <v>0</v>
      </c>
      <c r="I467" s="34" t="n">
        <f aca="false">+IF(E467=0,0,E467*0.03)</f>
        <v>0</v>
      </c>
    </row>
    <row r="468" customFormat="false" ht="15.75" hidden="false" customHeight="true" outlineLevel="0" collapsed="false">
      <c r="A468" s="30" t="n">
        <v>45844</v>
      </c>
      <c r="B468" s="31" t="s">
        <v>7</v>
      </c>
      <c r="C468" s="32"/>
      <c r="D468" s="32"/>
      <c r="E468" s="19" t="n">
        <f aca="false">+F468*0.03</f>
        <v>0</v>
      </c>
      <c r="F468" s="33" t="n">
        <v>0</v>
      </c>
      <c r="G468" s="62"/>
      <c r="H468" s="35" t="n">
        <v>0</v>
      </c>
      <c r="I468" s="34" t="n">
        <f aca="false">+IF(E468=0,0,E468*0.03)</f>
        <v>0</v>
      </c>
    </row>
    <row r="469" customFormat="false" ht="15.75" hidden="false" customHeight="true" outlineLevel="0" collapsed="false">
      <c r="A469" s="30" t="n">
        <v>45845</v>
      </c>
      <c r="B469" s="31" t="s">
        <v>7</v>
      </c>
      <c r="C469" s="32"/>
      <c r="D469" s="32"/>
      <c r="E469" s="19" t="n">
        <f aca="false">+F469*0.03</f>
        <v>0</v>
      </c>
      <c r="F469" s="33" t="n">
        <v>0</v>
      </c>
      <c r="G469" s="62"/>
      <c r="H469" s="35" t="n">
        <v>0</v>
      </c>
      <c r="I469" s="34" t="n">
        <f aca="false">+IF(E469=0,0,E469*0.03)</f>
        <v>0</v>
      </c>
    </row>
    <row r="470" customFormat="false" ht="15.75" hidden="false" customHeight="true" outlineLevel="0" collapsed="false">
      <c r="A470" s="30" t="n">
        <v>45846</v>
      </c>
      <c r="B470" s="31" t="s">
        <v>7</v>
      </c>
      <c r="C470" s="32"/>
      <c r="D470" s="32"/>
      <c r="E470" s="19" t="n">
        <f aca="false">+F470*0.03</f>
        <v>0</v>
      </c>
      <c r="F470" s="33" t="n">
        <v>0</v>
      </c>
      <c r="G470" s="62"/>
      <c r="H470" s="35" t="n">
        <v>0</v>
      </c>
      <c r="I470" s="34" t="n">
        <f aca="false">+IF(E470=0,0,E470*0.03)</f>
        <v>0</v>
      </c>
    </row>
    <row r="471" customFormat="false" ht="15.75" hidden="false" customHeight="true" outlineLevel="0" collapsed="false">
      <c r="A471" s="30" t="n">
        <v>45847</v>
      </c>
      <c r="B471" s="31" t="s">
        <v>7</v>
      </c>
      <c r="C471" s="32"/>
      <c r="D471" s="32"/>
      <c r="E471" s="19" t="n">
        <f aca="false">+F471*0.03</f>
        <v>0</v>
      </c>
      <c r="F471" s="33" t="n">
        <v>0</v>
      </c>
      <c r="G471" s="62"/>
      <c r="H471" s="35" t="n">
        <v>0</v>
      </c>
      <c r="I471" s="34" t="n">
        <f aca="false">+IF(E471=0,0,E471*0.03)</f>
        <v>0</v>
      </c>
    </row>
    <row r="472" customFormat="false" ht="15.75" hidden="false" customHeight="true" outlineLevel="0" collapsed="false">
      <c r="A472" s="30" t="n">
        <v>45848</v>
      </c>
      <c r="B472" s="31" t="s">
        <v>7</v>
      </c>
      <c r="C472" s="32"/>
      <c r="D472" s="32"/>
      <c r="E472" s="19" t="n">
        <f aca="false">+F472*0.03</f>
        <v>0</v>
      </c>
      <c r="F472" s="33" t="n">
        <v>0</v>
      </c>
      <c r="G472" s="62"/>
      <c r="H472" s="35" t="n">
        <v>0</v>
      </c>
      <c r="I472" s="34" t="n">
        <f aca="false">+IF(E472=0,0,E472*0.03)</f>
        <v>0</v>
      </c>
    </row>
    <row r="473" customFormat="false" ht="15.75" hidden="false" customHeight="true" outlineLevel="0" collapsed="false">
      <c r="A473" s="30" t="n">
        <v>45849</v>
      </c>
      <c r="B473" s="31" t="s">
        <v>7</v>
      </c>
      <c r="C473" s="32"/>
      <c r="D473" s="32"/>
      <c r="E473" s="19" t="n">
        <f aca="false">+F473*0.03</f>
        <v>0</v>
      </c>
      <c r="F473" s="33" t="n">
        <v>0</v>
      </c>
      <c r="G473" s="62"/>
      <c r="H473" s="35" t="n">
        <v>0</v>
      </c>
      <c r="I473" s="34" t="n">
        <f aca="false">+IF(E473=0,0,E473*0.03)</f>
        <v>0</v>
      </c>
    </row>
    <row r="474" customFormat="false" ht="15.75" hidden="false" customHeight="true" outlineLevel="0" collapsed="false">
      <c r="A474" s="30" t="n">
        <v>45850</v>
      </c>
      <c r="B474" s="31" t="s">
        <v>7</v>
      </c>
      <c r="C474" s="32"/>
      <c r="D474" s="32"/>
      <c r="E474" s="19" t="n">
        <f aca="false">+F474*0.03</f>
        <v>0</v>
      </c>
      <c r="F474" s="33" t="n">
        <v>0</v>
      </c>
      <c r="G474" s="62"/>
      <c r="H474" s="35" t="n">
        <v>0</v>
      </c>
      <c r="I474" s="34" t="n">
        <f aca="false">+IF(E474=0,0,E474*0.03)</f>
        <v>0</v>
      </c>
    </row>
    <row r="475" customFormat="false" ht="15.75" hidden="false" customHeight="true" outlineLevel="0" collapsed="false">
      <c r="A475" s="30" t="n">
        <v>45851</v>
      </c>
      <c r="B475" s="31" t="s">
        <v>7</v>
      </c>
      <c r="C475" s="32"/>
      <c r="D475" s="32"/>
      <c r="E475" s="19" t="n">
        <f aca="false">+F475*0.03</f>
        <v>0</v>
      </c>
      <c r="F475" s="33" t="n">
        <v>0</v>
      </c>
      <c r="G475" s="62"/>
      <c r="H475" s="35" t="n">
        <v>0</v>
      </c>
      <c r="I475" s="34" t="n">
        <f aca="false">+IF(E475=0,0,E475*0.03)</f>
        <v>0</v>
      </c>
    </row>
    <row r="476" customFormat="false" ht="15.75" hidden="false" customHeight="true" outlineLevel="0" collapsed="false">
      <c r="A476" s="30" t="n">
        <v>45852</v>
      </c>
      <c r="B476" s="31" t="s">
        <v>7</v>
      </c>
      <c r="C476" s="32"/>
      <c r="D476" s="32"/>
      <c r="E476" s="19" t="n">
        <f aca="false">+F476*0.03</f>
        <v>0</v>
      </c>
      <c r="F476" s="33" t="n">
        <v>0</v>
      </c>
      <c r="G476" s="62"/>
      <c r="H476" s="35" t="n">
        <v>0</v>
      </c>
      <c r="I476" s="34" t="n">
        <f aca="false">+IF(E476=0,0,E476*0.03)</f>
        <v>0</v>
      </c>
    </row>
    <row r="477" customFormat="false" ht="15.75" hidden="false" customHeight="true" outlineLevel="0" collapsed="false">
      <c r="A477" s="30" t="n">
        <v>45853</v>
      </c>
      <c r="B477" s="31" t="s">
        <v>7</v>
      </c>
      <c r="C477" s="32"/>
      <c r="D477" s="32"/>
      <c r="E477" s="19" t="n">
        <f aca="false">+F477*0.03</f>
        <v>0</v>
      </c>
      <c r="F477" s="33" t="n">
        <v>0</v>
      </c>
      <c r="G477" s="62"/>
      <c r="H477" s="35" t="n">
        <v>0</v>
      </c>
      <c r="I477" s="34" t="n">
        <f aca="false">+IF(E477=0,0,E477*0.03)</f>
        <v>0</v>
      </c>
    </row>
    <row r="478" customFormat="false" ht="15.75" hidden="false" customHeight="true" outlineLevel="0" collapsed="false">
      <c r="A478" s="30" t="n">
        <v>45854</v>
      </c>
      <c r="B478" s="31" t="s">
        <v>7</v>
      </c>
      <c r="C478" s="32"/>
      <c r="D478" s="32"/>
      <c r="E478" s="19" t="n">
        <f aca="false">+F478*0.03</f>
        <v>0</v>
      </c>
      <c r="F478" s="33" t="n">
        <v>0</v>
      </c>
      <c r="G478" s="62"/>
      <c r="H478" s="35" t="n">
        <v>0</v>
      </c>
      <c r="I478" s="34" t="n">
        <f aca="false">+IF(E478=0,0,E478*0.03)</f>
        <v>0</v>
      </c>
    </row>
    <row r="479" customFormat="false" ht="15.75" hidden="false" customHeight="true" outlineLevel="0" collapsed="false">
      <c r="A479" s="30" t="n">
        <v>45855</v>
      </c>
      <c r="B479" s="31" t="s">
        <v>7</v>
      </c>
      <c r="C479" s="32"/>
      <c r="D479" s="32"/>
      <c r="E479" s="19" t="n">
        <f aca="false">+F479*0.03</f>
        <v>0</v>
      </c>
      <c r="F479" s="33" t="n">
        <v>0</v>
      </c>
      <c r="G479" s="62"/>
      <c r="H479" s="35" t="n">
        <v>0</v>
      </c>
      <c r="I479" s="34" t="n">
        <f aca="false">+IF(E479=0,0,E479*0.03)</f>
        <v>0</v>
      </c>
    </row>
    <row r="480" customFormat="false" ht="15.75" hidden="false" customHeight="true" outlineLevel="0" collapsed="false">
      <c r="A480" s="30" t="n">
        <v>45856</v>
      </c>
      <c r="B480" s="31" t="s">
        <v>7</v>
      </c>
      <c r="C480" s="32"/>
      <c r="D480" s="32"/>
      <c r="E480" s="19" t="n">
        <f aca="false">+F480*0.03</f>
        <v>0</v>
      </c>
      <c r="F480" s="33" t="n">
        <v>0</v>
      </c>
      <c r="G480" s="62"/>
      <c r="H480" s="35" t="n">
        <v>0</v>
      </c>
      <c r="I480" s="34" t="n">
        <f aca="false">+IF(E480=0,0,E480*0.03)</f>
        <v>0</v>
      </c>
    </row>
    <row r="481" customFormat="false" ht="15.75" hidden="false" customHeight="true" outlineLevel="0" collapsed="false">
      <c r="A481" s="30" t="n">
        <v>45857</v>
      </c>
      <c r="B481" s="31" t="s">
        <v>7</v>
      </c>
      <c r="C481" s="32"/>
      <c r="D481" s="32"/>
      <c r="E481" s="19" t="n">
        <f aca="false">+F481*0.03</f>
        <v>0</v>
      </c>
      <c r="F481" s="33" t="n">
        <v>0</v>
      </c>
      <c r="G481" s="62"/>
      <c r="H481" s="35" t="n">
        <v>0</v>
      </c>
      <c r="I481" s="34" t="n">
        <f aca="false">+IF(E481=0,0,E481*0.03)</f>
        <v>0</v>
      </c>
    </row>
    <row r="482" customFormat="false" ht="15.75" hidden="false" customHeight="true" outlineLevel="0" collapsed="false">
      <c r="A482" s="30" t="n">
        <v>45858</v>
      </c>
      <c r="B482" s="31" t="s">
        <v>7</v>
      </c>
      <c r="C482" s="32"/>
      <c r="D482" s="32"/>
      <c r="E482" s="19" t="n">
        <f aca="false">+F482*0.03</f>
        <v>0</v>
      </c>
      <c r="F482" s="33" t="n">
        <v>0</v>
      </c>
      <c r="G482" s="62"/>
      <c r="H482" s="35" t="n">
        <v>0</v>
      </c>
      <c r="I482" s="34" t="n">
        <f aca="false">+IF(E482=0,0,E482*0.03)</f>
        <v>0</v>
      </c>
    </row>
    <row r="483" customFormat="false" ht="15.75" hidden="false" customHeight="true" outlineLevel="0" collapsed="false">
      <c r="A483" s="30" t="n">
        <v>45859</v>
      </c>
      <c r="B483" s="31" t="s">
        <v>7</v>
      </c>
      <c r="C483" s="32"/>
      <c r="D483" s="32"/>
      <c r="E483" s="19" t="n">
        <f aca="false">+F483*0.03</f>
        <v>0</v>
      </c>
      <c r="F483" s="33" t="n">
        <v>0</v>
      </c>
      <c r="G483" s="62"/>
      <c r="H483" s="35" t="n">
        <v>0</v>
      </c>
      <c r="I483" s="34" t="n">
        <f aca="false">+IF(E483=0,0,E483*0.03)</f>
        <v>0</v>
      </c>
    </row>
    <row r="484" customFormat="false" ht="15.75" hidden="false" customHeight="true" outlineLevel="0" collapsed="false">
      <c r="A484" s="30" t="n">
        <v>45860</v>
      </c>
      <c r="B484" s="31" t="s">
        <v>7</v>
      </c>
      <c r="C484" s="32"/>
      <c r="D484" s="32"/>
      <c r="E484" s="19" t="n">
        <f aca="false">+F484*0.03</f>
        <v>0</v>
      </c>
      <c r="F484" s="33" t="n">
        <v>0</v>
      </c>
      <c r="G484" s="62"/>
      <c r="H484" s="35" t="n">
        <v>0</v>
      </c>
      <c r="I484" s="34" t="n">
        <f aca="false">+IF(E484=0,0,E484*0.03)</f>
        <v>0</v>
      </c>
    </row>
    <row r="485" customFormat="false" ht="15.75" hidden="false" customHeight="true" outlineLevel="0" collapsed="false">
      <c r="A485" s="30" t="n">
        <v>45861</v>
      </c>
      <c r="B485" s="31" t="s">
        <v>7</v>
      </c>
      <c r="C485" s="32"/>
      <c r="D485" s="32"/>
      <c r="E485" s="19" t="n">
        <f aca="false">+F485*0.03</f>
        <v>0</v>
      </c>
      <c r="F485" s="33" t="n">
        <v>0</v>
      </c>
      <c r="G485" s="62"/>
      <c r="H485" s="35" t="n">
        <v>0</v>
      </c>
      <c r="I485" s="34" t="n">
        <f aca="false">+IF(E485=0,0,E485*0.03)</f>
        <v>0</v>
      </c>
    </row>
    <row r="486" customFormat="false" ht="15.75" hidden="false" customHeight="true" outlineLevel="0" collapsed="false">
      <c r="A486" s="30" t="n">
        <v>45862</v>
      </c>
      <c r="B486" s="31" t="s">
        <v>7</v>
      </c>
      <c r="C486" s="32"/>
      <c r="D486" s="32"/>
      <c r="E486" s="19" t="n">
        <f aca="false">+F486*0.03</f>
        <v>0</v>
      </c>
      <c r="F486" s="33" t="n">
        <v>0</v>
      </c>
      <c r="G486" s="62"/>
      <c r="H486" s="35" t="n">
        <v>0</v>
      </c>
      <c r="I486" s="34" t="n">
        <f aca="false">+IF(E486=0,0,E486*0.03)</f>
        <v>0</v>
      </c>
    </row>
    <row r="487" customFormat="false" ht="15.75" hidden="false" customHeight="true" outlineLevel="0" collapsed="false">
      <c r="A487" s="30" t="n">
        <v>45863</v>
      </c>
      <c r="B487" s="31" t="s">
        <v>7</v>
      </c>
      <c r="C487" s="32"/>
      <c r="D487" s="32"/>
      <c r="E487" s="19" t="n">
        <f aca="false">+F487*0.03</f>
        <v>0</v>
      </c>
      <c r="F487" s="33" t="n">
        <v>0</v>
      </c>
      <c r="G487" s="62"/>
      <c r="H487" s="35" t="n">
        <v>0</v>
      </c>
      <c r="I487" s="34" t="n">
        <f aca="false">+IF(E487=0,0,E487*0.03)</f>
        <v>0</v>
      </c>
    </row>
    <row r="488" customFormat="false" ht="15.75" hidden="false" customHeight="true" outlineLevel="0" collapsed="false">
      <c r="A488" s="30" t="n">
        <v>45864</v>
      </c>
      <c r="B488" s="31" t="s">
        <v>7</v>
      </c>
      <c r="C488" s="32"/>
      <c r="D488" s="32"/>
      <c r="E488" s="19" t="n">
        <f aca="false">+F488*0.03</f>
        <v>0</v>
      </c>
      <c r="F488" s="33" t="n">
        <v>0</v>
      </c>
      <c r="G488" s="62"/>
      <c r="H488" s="35" t="n">
        <v>0</v>
      </c>
      <c r="I488" s="34" t="n">
        <f aca="false">+IF(E488=0,0,E488*0.03)</f>
        <v>0</v>
      </c>
    </row>
    <row r="489" customFormat="false" ht="15.75" hidden="false" customHeight="true" outlineLevel="0" collapsed="false">
      <c r="A489" s="30" t="n">
        <v>45865</v>
      </c>
      <c r="B489" s="31" t="s">
        <v>7</v>
      </c>
      <c r="C489" s="32"/>
      <c r="D489" s="32"/>
      <c r="E489" s="19" t="n">
        <f aca="false">+F489*0.03</f>
        <v>0</v>
      </c>
      <c r="F489" s="33" t="n">
        <v>0</v>
      </c>
      <c r="G489" s="62"/>
      <c r="H489" s="35" t="n">
        <v>0</v>
      </c>
      <c r="I489" s="34" t="n">
        <f aca="false">+IF(E489=0,0,E489*0.03)</f>
        <v>0</v>
      </c>
    </row>
    <row r="490" customFormat="false" ht="15.75" hidden="false" customHeight="true" outlineLevel="0" collapsed="false">
      <c r="A490" s="30" t="n">
        <v>45866</v>
      </c>
      <c r="B490" s="31" t="s">
        <v>7</v>
      </c>
      <c r="C490" s="32"/>
      <c r="D490" s="32"/>
      <c r="E490" s="19" t="n">
        <f aca="false">+F490*0.03</f>
        <v>0</v>
      </c>
      <c r="F490" s="33" t="n">
        <v>0</v>
      </c>
      <c r="G490" s="62"/>
      <c r="H490" s="35" t="n">
        <v>0</v>
      </c>
      <c r="I490" s="34" t="n">
        <f aca="false">+IF(E490=0,0,E490*0.03)</f>
        <v>0</v>
      </c>
    </row>
    <row r="491" customFormat="false" ht="15.75" hidden="false" customHeight="true" outlineLevel="0" collapsed="false">
      <c r="A491" s="30" t="n">
        <v>45867</v>
      </c>
      <c r="B491" s="31" t="s">
        <v>7</v>
      </c>
      <c r="C491" s="32"/>
      <c r="D491" s="32"/>
      <c r="E491" s="19" t="n">
        <f aca="false">+F491*0.03</f>
        <v>0</v>
      </c>
      <c r="F491" s="33" t="n">
        <v>0</v>
      </c>
      <c r="G491" s="62"/>
      <c r="H491" s="35" t="n">
        <v>0</v>
      </c>
      <c r="I491" s="34" t="n">
        <f aca="false">+IF(E491=0,0,E491*0.03)</f>
        <v>0</v>
      </c>
    </row>
    <row r="492" customFormat="false" ht="15.75" hidden="false" customHeight="true" outlineLevel="0" collapsed="false">
      <c r="A492" s="30" t="n">
        <v>45868</v>
      </c>
      <c r="B492" s="31" t="s">
        <v>7</v>
      </c>
      <c r="C492" s="32"/>
      <c r="D492" s="32"/>
      <c r="E492" s="19" t="n">
        <f aca="false">+F492*0.03</f>
        <v>0</v>
      </c>
      <c r="F492" s="33" t="n">
        <v>0</v>
      </c>
      <c r="G492" s="62"/>
      <c r="H492" s="35" t="n">
        <v>0</v>
      </c>
      <c r="I492" s="34" t="n">
        <f aca="false">+IF(E492=0,0,E492*0.03)</f>
        <v>0</v>
      </c>
    </row>
    <row r="493" customFormat="false" ht="15.75" hidden="false" customHeight="true" outlineLevel="0" collapsed="false">
      <c r="A493" s="30" t="n">
        <v>45869</v>
      </c>
      <c r="B493" s="31" t="s">
        <v>7</v>
      </c>
      <c r="C493" s="32"/>
      <c r="D493" s="32"/>
      <c r="E493" s="19" t="n">
        <f aca="false">+F493*0.03</f>
        <v>0</v>
      </c>
      <c r="F493" s="33" t="n">
        <v>0</v>
      </c>
      <c r="G493" s="62"/>
      <c r="H493" s="35" t="n">
        <v>0</v>
      </c>
      <c r="I493" s="34" t="n">
        <f aca="false">+IF(E493=0,0,E493*0.03)</f>
        <v>0</v>
      </c>
    </row>
    <row r="494" customFormat="false" ht="15.75" hidden="false" customHeight="true" outlineLevel="0" collapsed="false">
      <c r="A494" s="30" t="n">
        <v>45870</v>
      </c>
      <c r="B494" s="31" t="s">
        <v>7</v>
      </c>
      <c r="C494" s="32"/>
      <c r="D494" s="32"/>
      <c r="E494" s="19" t="n">
        <f aca="false">+F494*0.03</f>
        <v>0</v>
      </c>
      <c r="F494" s="33" t="n">
        <v>0</v>
      </c>
      <c r="G494" s="62"/>
      <c r="H494" s="35" t="n">
        <v>0</v>
      </c>
      <c r="I494" s="34" t="n">
        <f aca="false">+IF(E494=0,0,E494*0.03)</f>
        <v>0</v>
      </c>
    </row>
    <row r="495" customFormat="false" ht="15.75" hidden="false" customHeight="true" outlineLevel="0" collapsed="false">
      <c r="A495" s="30" t="n">
        <v>45871</v>
      </c>
      <c r="B495" s="31" t="s">
        <v>7</v>
      </c>
      <c r="C495" s="32"/>
      <c r="D495" s="32"/>
      <c r="E495" s="19" t="n">
        <f aca="false">+F495*0.03</f>
        <v>0</v>
      </c>
      <c r="F495" s="33" t="n">
        <v>0</v>
      </c>
      <c r="G495" s="62"/>
      <c r="H495" s="35" t="n">
        <v>0</v>
      </c>
      <c r="I495" s="34" t="n">
        <f aca="false">+IF(E495=0,0,E495*0.03)</f>
        <v>0</v>
      </c>
    </row>
    <row r="496" customFormat="false" ht="15.75" hidden="false" customHeight="true" outlineLevel="0" collapsed="false">
      <c r="A496" s="30" t="n">
        <v>45872</v>
      </c>
      <c r="B496" s="31" t="s">
        <v>7</v>
      </c>
      <c r="C496" s="32"/>
      <c r="D496" s="32"/>
      <c r="E496" s="19" t="n">
        <f aca="false">+F496*0.03</f>
        <v>0</v>
      </c>
      <c r="F496" s="33" t="n">
        <v>0</v>
      </c>
      <c r="G496" s="62"/>
      <c r="H496" s="35" t="n">
        <v>0</v>
      </c>
      <c r="I496" s="34" t="n">
        <f aca="false">+IF(E496=0,0,E496*0.03)</f>
        <v>0</v>
      </c>
    </row>
    <row r="497" customFormat="false" ht="15.75" hidden="false" customHeight="true" outlineLevel="0" collapsed="false">
      <c r="A497" s="30" t="n">
        <v>45873</v>
      </c>
      <c r="B497" s="31" t="s">
        <v>7</v>
      </c>
      <c r="C497" s="32"/>
      <c r="D497" s="32"/>
      <c r="E497" s="19" t="n">
        <f aca="false">+F497*0.03</f>
        <v>0</v>
      </c>
      <c r="F497" s="33" t="n">
        <v>0</v>
      </c>
      <c r="G497" s="62"/>
      <c r="H497" s="35" t="n">
        <v>0</v>
      </c>
      <c r="I497" s="34" t="n">
        <f aca="false">+IF(E497=0,0,E497*0.03)</f>
        <v>0</v>
      </c>
    </row>
    <row r="498" customFormat="false" ht="15.75" hidden="false" customHeight="true" outlineLevel="0" collapsed="false">
      <c r="A498" s="30" t="n">
        <v>45874</v>
      </c>
      <c r="B498" s="31" t="s">
        <v>7</v>
      </c>
      <c r="C498" s="32"/>
      <c r="D498" s="32"/>
      <c r="E498" s="19" t="n">
        <f aca="false">+F498*0.03</f>
        <v>0</v>
      </c>
      <c r="F498" s="33" t="n">
        <v>0</v>
      </c>
      <c r="G498" s="62"/>
      <c r="H498" s="35" t="n">
        <v>0</v>
      </c>
      <c r="I498" s="34" t="n">
        <f aca="false">+IF(E498=0,0,E498*0.03)</f>
        <v>0</v>
      </c>
    </row>
    <row r="499" customFormat="false" ht="15.75" hidden="false" customHeight="true" outlineLevel="0" collapsed="false">
      <c r="A499" s="30" t="n">
        <v>45875</v>
      </c>
      <c r="B499" s="31" t="s">
        <v>7</v>
      </c>
      <c r="C499" s="32"/>
      <c r="D499" s="32"/>
      <c r="E499" s="19" t="n">
        <f aca="false">+F499*0.03</f>
        <v>0</v>
      </c>
      <c r="F499" s="33" t="n">
        <v>0</v>
      </c>
      <c r="G499" s="62"/>
      <c r="H499" s="35" t="n">
        <v>0</v>
      </c>
      <c r="I499" s="34" t="n">
        <f aca="false">+IF(E499=0,0,E499*0.03)</f>
        <v>0</v>
      </c>
    </row>
    <row r="500" customFormat="false" ht="15.75" hidden="false" customHeight="true" outlineLevel="0" collapsed="false">
      <c r="A500" s="30" t="n">
        <v>45876</v>
      </c>
      <c r="B500" s="31" t="s">
        <v>7</v>
      </c>
      <c r="C500" s="32"/>
      <c r="D500" s="32"/>
      <c r="E500" s="19" t="n">
        <f aca="false">+F500*0.03</f>
        <v>0</v>
      </c>
      <c r="F500" s="33" t="n">
        <v>0</v>
      </c>
      <c r="G500" s="62"/>
      <c r="H500" s="35" t="n">
        <v>0</v>
      </c>
      <c r="I500" s="34" t="n">
        <f aca="false">+IF(E500=0,0,E500*0.03)</f>
        <v>0</v>
      </c>
    </row>
    <row r="501" customFormat="false" ht="15.75" hidden="false" customHeight="true" outlineLevel="0" collapsed="false">
      <c r="A501" s="30" t="n">
        <v>45877</v>
      </c>
      <c r="B501" s="31" t="s">
        <v>7</v>
      </c>
      <c r="C501" s="32"/>
      <c r="D501" s="32"/>
      <c r="E501" s="19" t="n">
        <f aca="false">+F501*0.03</f>
        <v>0</v>
      </c>
      <c r="F501" s="33" t="n">
        <v>0</v>
      </c>
      <c r="G501" s="62"/>
      <c r="H501" s="35" t="n">
        <v>0</v>
      </c>
      <c r="I501" s="34" t="n">
        <f aca="false">+IF(E501=0,0,E501*0.03)</f>
        <v>0</v>
      </c>
    </row>
    <row r="502" customFormat="false" ht="15.75" hidden="false" customHeight="true" outlineLevel="0" collapsed="false">
      <c r="A502" s="30" t="n">
        <v>45878</v>
      </c>
      <c r="B502" s="31" t="s">
        <v>7</v>
      </c>
      <c r="C502" s="32"/>
      <c r="D502" s="32"/>
      <c r="E502" s="19" t="n">
        <f aca="false">+F502*0.03</f>
        <v>0</v>
      </c>
      <c r="F502" s="33" t="n">
        <v>0</v>
      </c>
      <c r="G502" s="62"/>
      <c r="H502" s="35" t="n">
        <v>0</v>
      </c>
      <c r="I502" s="34" t="n">
        <f aca="false">+IF(E502=0,0,E502*0.03)</f>
        <v>0</v>
      </c>
    </row>
    <row r="503" customFormat="false" ht="15.75" hidden="false" customHeight="true" outlineLevel="0" collapsed="false">
      <c r="A503" s="30" t="n">
        <v>45879</v>
      </c>
      <c r="B503" s="31" t="s">
        <v>7</v>
      </c>
      <c r="C503" s="32"/>
      <c r="D503" s="32"/>
      <c r="E503" s="19" t="n">
        <f aca="false">+F503*0.03</f>
        <v>0</v>
      </c>
      <c r="F503" s="33" t="n">
        <v>0</v>
      </c>
      <c r="G503" s="62"/>
      <c r="H503" s="35" t="n">
        <v>0</v>
      </c>
      <c r="I503" s="34" t="n">
        <f aca="false">+IF(E503=0,0,E503*0.03)</f>
        <v>0</v>
      </c>
    </row>
    <row r="504" customFormat="false" ht="15.75" hidden="false" customHeight="true" outlineLevel="0" collapsed="false">
      <c r="A504" s="30" t="n">
        <v>45880</v>
      </c>
      <c r="B504" s="31" t="s">
        <v>7</v>
      </c>
      <c r="C504" s="32"/>
      <c r="D504" s="32"/>
      <c r="E504" s="19" t="n">
        <f aca="false">+F504*0.03</f>
        <v>0</v>
      </c>
      <c r="F504" s="33" t="n">
        <v>0</v>
      </c>
      <c r="G504" s="62"/>
      <c r="H504" s="35" t="n">
        <v>0</v>
      </c>
      <c r="I504" s="34" t="n">
        <f aca="false">+IF(E504=0,0,E504*0.03)</f>
        <v>0</v>
      </c>
    </row>
    <row r="505" customFormat="false" ht="15.75" hidden="false" customHeight="true" outlineLevel="0" collapsed="false">
      <c r="A505" s="30" t="n">
        <v>45881</v>
      </c>
      <c r="B505" s="31" t="s">
        <v>7</v>
      </c>
      <c r="C505" s="32"/>
      <c r="D505" s="32"/>
      <c r="E505" s="19" t="n">
        <f aca="false">+F505*0.03</f>
        <v>0</v>
      </c>
      <c r="F505" s="33" t="n">
        <v>0</v>
      </c>
      <c r="G505" s="62"/>
      <c r="H505" s="35" t="n">
        <v>0</v>
      </c>
      <c r="I505" s="34" t="n">
        <f aca="false">+IF(E505=0,0,E505*0.03)</f>
        <v>0</v>
      </c>
    </row>
    <row r="506" customFormat="false" ht="15.75" hidden="false" customHeight="true" outlineLevel="0" collapsed="false">
      <c r="A506" s="30" t="n">
        <v>45882</v>
      </c>
      <c r="B506" s="31" t="s">
        <v>7</v>
      </c>
      <c r="C506" s="32"/>
      <c r="D506" s="32"/>
      <c r="E506" s="19" t="n">
        <f aca="false">+F506*0.03</f>
        <v>0</v>
      </c>
      <c r="F506" s="33" t="n">
        <v>0</v>
      </c>
      <c r="G506" s="62"/>
      <c r="H506" s="35" t="n">
        <v>0</v>
      </c>
      <c r="I506" s="34" t="n">
        <f aca="false">+IF(E506=0,0,E506*0.03)</f>
        <v>0</v>
      </c>
    </row>
    <row r="507" customFormat="false" ht="15.75" hidden="false" customHeight="true" outlineLevel="0" collapsed="false">
      <c r="A507" s="30" t="n">
        <v>45883</v>
      </c>
      <c r="B507" s="31" t="s">
        <v>7</v>
      </c>
      <c r="C507" s="32"/>
      <c r="D507" s="32"/>
      <c r="E507" s="19" t="n">
        <f aca="false">+F507*0.03</f>
        <v>0</v>
      </c>
      <c r="F507" s="33" t="n">
        <v>0</v>
      </c>
      <c r="G507" s="62"/>
      <c r="H507" s="35" t="n">
        <v>0</v>
      </c>
      <c r="I507" s="34" t="n">
        <f aca="false">+IF(E507=0,0,E507*0.03)</f>
        <v>0</v>
      </c>
    </row>
    <row r="508" customFormat="false" ht="15.75" hidden="false" customHeight="true" outlineLevel="0" collapsed="false">
      <c r="A508" s="30" t="n">
        <v>45884</v>
      </c>
      <c r="B508" s="31" t="s">
        <v>7</v>
      </c>
      <c r="C508" s="32"/>
      <c r="D508" s="32"/>
      <c r="E508" s="19" t="n">
        <f aca="false">+F508*0.03</f>
        <v>0</v>
      </c>
      <c r="F508" s="33" t="n">
        <v>0</v>
      </c>
      <c r="G508" s="62"/>
      <c r="H508" s="35" t="n">
        <v>0</v>
      </c>
      <c r="I508" s="34" t="n">
        <f aca="false">+IF(E508=0,0,E508*0.03)</f>
        <v>0</v>
      </c>
    </row>
    <row r="509" customFormat="false" ht="15.75" hidden="false" customHeight="true" outlineLevel="0" collapsed="false">
      <c r="A509" s="30" t="n">
        <v>45885</v>
      </c>
      <c r="B509" s="31" t="s">
        <v>7</v>
      </c>
      <c r="C509" s="32"/>
      <c r="D509" s="32"/>
      <c r="E509" s="19" t="n">
        <f aca="false">+F509*0.03</f>
        <v>0</v>
      </c>
      <c r="F509" s="33" t="n">
        <v>0</v>
      </c>
      <c r="G509" s="62"/>
      <c r="H509" s="35" t="n">
        <v>0</v>
      </c>
      <c r="I509" s="34" t="n">
        <f aca="false">+IF(E509=0,0,E509*0.03)</f>
        <v>0</v>
      </c>
    </row>
    <row r="510" customFormat="false" ht="15.75" hidden="false" customHeight="true" outlineLevel="0" collapsed="false">
      <c r="A510" s="30" t="n">
        <v>45886</v>
      </c>
      <c r="B510" s="31" t="s">
        <v>7</v>
      </c>
      <c r="C510" s="32"/>
      <c r="D510" s="32"/>
      <c r="E510" s="19" t="n">
        <f aca="false">+F510*0.03</f>
        <v>0</v>
      </c>
      <c r="F510" s="33" t="n">
        <v>0</v>
      </c>
      <c r="G510" s="62"/>
      <c r="H510" s="35" t="n">
        <v>0</v>
      </c>
      <c r="I510" s="34" t="n">
        <f aca="false">+IF(E510=0,0,E510*0.03)</f>
        <v>0</v>
      </c>
    </row>
    <row r="511" customFormat="false" ht="15.75" hidden="false" customHeight="true" outlineLevel="0" collapsed="false">
      <c r="A511" s="30" t="n">
        <v>45887</v>
      </c>
      <c r="B511" s="31" t="s">
        <v>7</v>
      </c>
      <c r="C511" s="32"/>
      <c r="D511" s="32"/>
      <c r="E511" s="19" t="n">
        <f aca="false">+F511*0.03</f>
        <v>0</v>
      </c>
      <c r="F511" s="33" t="n">
        <v>0</v>
      </c>
      <c r="G511" s="62"/>
      <c r="H511" s="35" t="n">
        <v>0</v>
      </c>
      <c r="I511" s="34" t="n">
        <f aca="false">+IF(E511=0,0,E511*0.03)</f>
        <v>0</v>
      </c>
    </row>
    <row r="512" customFormat="false" ht="15.75" hidden="false" customHeight="true" outlineLevel="0" collapsed="false">
      <c r="A512" s="30" t="n">
        <v>45888</v>
      </c>
      <c r="B512" s="31" t="s">
        <v>7</v>
      </c>
      <c r="C512" s="32"/>
      <c r="D512" s="32"/>
      <c r="E512" s="19" t="n">
        <f aca="false">+F512*0.03</f>
        <v>0</v>
      </c>
      <c r="F512" s="33" t="n">
        <v>0</v>
      </c>
      <c r="G512" s="62"/>
      <c r="H512" s="35" t="n">
        <v>0</v>
      </c>
      <c r="I512" s="34" t="n">
        <f aca="false">+IF(E512=0,0,E512*0.03)</f>
        <v>0</v>
      </c>
    </row>
    <row r="513" customFormat="false" ht="15.75" hidden="false" customHeight="true" outlineLevel="0" collapsed="false">
      <c r="A513" s="30" t="n">
        <v>45889</v>
      </c>
      <c r="B513" s="31" t="s">
        <v>7</v>
      </c>
      <c r="C513" s="32"/>
      <c r="D513" s="32"/>
      <c r="E513" s="19" t="n">
        <f aca="false">+F513*0.03</f>
        <v>0</v>
      </c>
      <c r="F513" s="33" t="n">
        <v>0</v>
      </c>
      <c r="G513" s="62"/>
      <c r="H513" s="35" t="n">
        <v>0</v>
      </c>
      <c r="I513" s="34" t="n">
        <f aca="false">+IF(E513=0,0,E513*0.03)</f>
        <v>0</v>
      </c>
    </row>
    <row r="514" customFormat="false" ht="15.75" hidden="false" customHeight="true" outlineLevel="0" collapsed="false">
      <c r="A514" s="30" t="n">
        <v>45890</v>
      </c>
      <c r="B514" s="31" t="s">
        <v>7</v>
      </c>
      <c r="C514" s="32"/>
      <c r="D514" s="32"/>
      <c r="E514" s="19" t="n">
        <f aca="false">+F514*0.03</f>
        <v>0</v>
      </c>
      <c r="F514" s="33" t="n">
        <v>0</v>
      </c>
      <c r="G514" s="62"/>
      <c r="H514" s="35" t="n">
        <v>0</v>
      </c>
      <c r="I514" s="34" t="n">
        <f aca="false">+IF(E514=0,0,E514*0.03)</f>
        <v>0</v>
      </c>
    </row>
    <row r="515" customFormat="false" ht="15.75" hidden="false" customHeight="true" outlineLevel="0" collapsed="false">
      <c r="A515" s="30" t="n">
        <v>45891</v>
      </c>
      <c r="B515" s="31" t="s">
        <v>7</v>
      </c>
      <c r="C515" s="32"/>
      <c r="D515" s="32"/>
      <c r="E515" s="19" t="n">
        <f aca="false">+F515*0.03</f>
        <v>0</v>
      </c>
      <c r="F515" s="33" t="n">
        <v>0</v>
      </c>
      <c r="G515" s="62"/>
      <c r="H515" s="35" t="n">
        <v>0</v>
      </c>
      <c r="I515" s="34" t="n">
        <f aca="false">+IF(E515=0,0,E515*0.03)</f>
        <v>0</v>
      </c>
    </row>
    <row r="516" customFormat="false" ht="15.75" hidden="false" customHeight="true" outlineLevel="0" collapsed="false">
      <c r="A516" s="30" t="n">
        <v>45892</v>
      </c>
      <c r="B516" s="31" t="s">
        <v>7</v>
      </c>
      <c r="C516" s="32"/>
      <c r="D516" s="32"/>
      <c r="E516" s="19" t="n">
        <f aca="false">+F516*0.03</f>
        <v>0</v>
      </c>
      <c r="F516" s="33" t="n">
        <v>0</v>
      </c>
      <c r="G516" s="62"/>
      <c r="H516" s="35" t="n">
        <v>0</v>
      </c>
      <c r="I516" s="34" t="n">
        <f aca="false">+IF(E516=0,0,E516*0.03)</f>
        <v>0</v>
      </c>
    </row>
    <row r="517" customFormat="false" ht="15.75" hidden="false" customHeight="true" outlineLevel="0" collapsed="false">
      <c r="A517" s="30" t="n">
        <v>45893</v>
      </c>
      <c r="B517" s="31" t="s">
        <v>7</v>
      </c>
      <c r="C517" s="32"/>
      <c r="D517" s="32"/>
      <c r="E517" s="19" t="n">
        <f aca="false">+F517*0.03</f>
        <v>0</v>
      </c>
      <c r="F517" s="33" t="n">
        <v>0</v>
      </c>
      <c r="G517" s="62"/>
      <c r="H517" s="35" t="n">
        <v>0</v>
      </c>
      <c r="I517" s="34" t="n">
        <f aca="false">+IF(E517=0,0,E517*0.03)</f>
        <v>0</v>
      </c>
    </row>
    <row r="518" customFormat="false" ht="15.75" hidden="false" customHeight="true" outlineLevel="0" collapsed="false">
      <c r="A518" s="30" t="n">
        <v>45894</v>
      </c>
      <c r="B518" s="31" t="s">
        <v>7</v>
      </c>
      <c r="C518" s="32"/>
      <c r="D518" s="32"/>
      <c r="E518" s="19" t="n">
        <f aca="false">+F518*0.03</f>
        <v>0</v>
      </c>
      <c r="F518" s="33" t="n">
        <v>0</v>
      </c>
      <c r="G518" s="62"/>
      <c r="H518" s="35" t="n">
        <v>0</v>
      </c>
      <c r="I518" s="34" t="n">
        <f aca="false">+IF(E518=0,0,E518*0.03)</f>
        <v>0</v>
      </c>
    </row>
    <row r="519" customFormat="false" ht="15.75" hidden="false" customHeight="true" outlineLevel="0" collapsed="false">
      <c r="A519" s="30" t="n">
        <v>45895</v>
      </c>
      <c r="B519" s="31" t="s">
        <v>7</v>
      </c>
      <c r="C519" s="32"/>
      <c r="D519" s="32"/>
      <c r="E519" s="19" t="n">
        <f aca="false">+F519*0.03</f>
        <v>0</v>
      </c>
      <c r="F519" s="33" t="n">
        <v>0</v>
      </c>
      <c r="G519" s="62"/>
      <c r="H519" s="35" t="n">
        <v>0</v>
      </c>
      <c r="I519" s="34" t="n">
        <f aca="false">+IF(E519=0,0,E519*0.03)</f>
        <v>0</v>
      </c>
    </row>
    <row r="520" customFormat="false" ht="15.75" hidden="false" customHeight="true" outlineLevel="0" collapsed="false">
      <c r="A520" s="30" t="n">
        <v>45896</v>
      </c>
      <c r="B520" s="31" t="s">
        <v>7</v>
      </c>
      <c r="C520" s="32"/>
      <c r="D520" s="32"/>
      <c r="E520" s="19" t="n">
        <f aca="false">+F520*0.03</f>
        <v>0</v>
      </c>
      <c r="F520" s="33" t="n">
        <v>0</v>
      </c>
      <c r="G520" s="62"/>
      <c r="H520" s="35" t="n">
        <v>0</v>
      </c>
      <c r="I520" s="34" t="n">
        <f aca="false">+IF(E520=0,0,E520*0.03)</f>
        <v>0</v>
      </c>
    </row>
    <row r="521" customFormat="false" ht="15.75" hidden="false" customHeight="true" outlineLevel="0" collapsed="false">
      <c r="A521" s="30" t="n">
        <v>45897</v>
      </c>
      <c r="B521" s="31" t="s">
        <v>7</v>
      </c>
      <c r="C521" s="32"/>
      <c r="D521" s="32"/>
      <c r="E521" s="19" t="n">
        <f aca="false">+F521*0.03</f>
        <v>0</v>
      </c>
      <c r="F521" s="33" t="n">
        <v>0</v>
      </c>
      <c r="G521" s="62"/>
      <c r="H521" s="35" t="n">
        <v>0</v>
      </c>
      <c r="I521" s="34" t="n">
        <f aca="false">+IF(E521=0,0,E521*0.03)</f>
        <v>0</v>
      </c>
    </row>
    <row r="522" customFormat="false" ht="15.75" hidden="false" customHeight="true" outlineLevel="0" collapsed="false">
      <c r="A522" s="30" t="n">
        <v>45898</v>
      </c>
      <c r="B522" s="31" t="s">
        <v>7</v>
      </c>
      <c r="C522" s="32"/>
      <c r="D522" s="32"/>
      <c r="E522" s="19" t="n">
        <f aca="false">+F522*0.03</f>
        <v>0</v>
      </c>
      <c r="F522" s="33" t="n">
        <v>0</v>
      </c>
      <c r="G522" s="62"/>
      <c r="H522" s="35" t="n">
        <v>0</v>
      </c>
      <c r="I522" s="34" t="n">
        <f aca="false">+IF(E522=0,0,E522*0.03)</f>
        <v>0</v>
      </c>
    </row>
    <row r="523" customFormat="false" ht="15.75" hidden="false" customHeight="true" outlineLevel="0" collapsed="false">
      <c r="A523" s="30" t="n">
        <v>45899</v>
      </c>
      <c r="B523" s="31" t="s">
        <v>7</v>
      </c>
      <c r="C523" s="32"/>
      <c r="D523" s="32"/>
      <c r="E523" s="19" t="n">
        <f aca="false">+F523*0.03</f>
        <v>0</v>
      </c>
      <c r="F523" s="33" t="n">
        <v>0</v>
      </c>
      <c r="G523" s="62"/>
      <c r="H523" s="35" t="n">
        <v>0</v>
      </c>
      <c r="I523" s="34" t="n">
        <f aca="false">+IF(E523=0,0,E523*0.03)</f>
        <v>0</v>
      </c>
    </row>
    <row r="524" customFormat="false" ht="15.75" hidden="false" customHeight="true" outlineLevel="0" collapsed="false">
      <c r="A524" s="30" t="n">
        <v>45900</v>
      </c>
      <c r="B524" s="31" t="s">
        <v>7</v>
      </c>
      <c r="C524" s="32"/>
      <c r="D524" s="32"/>
      <c r="E524" s="19" t="n">
        <f aca="false">+F524*0.03</f>
        <v>0</v>
      </c>
      <c r="F524" s="33" t="n">
        <v>0</v>
      </c>
      <c r="G524" s="62"/>
      <c r="H524" s="35" t="n">
        <v>0</v>
      </c>
      <c r="I524" s="34" t="n">
        <f aca="false">+IF(E524=0,0,E524*0.03)</f>
        <v>0</v>
      </c>
    </row>
    <row r="525" customFormat="false" ht="15.75" hidden="false" customHeight="true" outlineLevel="0" collapsed="false">
      <c r="A525" s="30" t="n">
        <v>45901</v>
      </c>
      <c r="B525" s="31" t="s">
        <v>7</v>
      </c>
      <c r="C525" s="32"/>
      <c r="D525" s="32"/>
      <c r="E525" s="19" t="n">
        <f aca="false">+F525*0.03</f>
        <v>0</v>
      </c>
      <c r="F525" s="33" t="n">
        <v>0</v>
      </c>
      <c r="G525" s="62"/>
      <c r="H525" s="35" t="n">
        <v>0</v>
      </c>
      <c r="I525" s="34" t="n">
        <f aca="false">+IF(E525=0,0,E525*0.03)</f>
        <v>0</v>
      </c>
    </row>
    <row r="526" customFormat="false" ht="15.75" hidden="false" customHeight="true" outlineLevel="0" collapsed="false">
      <c r="A526" s="30" t="n">
        <v>45902</v>
      </c>
      <c r="B526" s="31" t="s">
        <v>7</v>
      </c>
      <c r="C526" s="32"/>
      <c r="D526" s="32"/>
      <c r="E526" s="19" t="n">
        <f aca="false">+F526*0.03</f>
        <v>0</v>
      </c>
      <c r="F526" s="33" t="n">
        <v>0</v>
      </c>
      <c r="G526" s="62"/>
      <c r="H526" s="35" t="n">
        <v>0</v>
      </c>
      <c r="I526" s="34" t="n">
        <f aca="false">+IF(E526=0,0,E526*0.03)</f>
        <v>0</v>
      </c>
    </row>
    <row r="527" customFormat="false" ht="15.75" hidden="false" customHeight="true" outlineLevel="0" collapsed="false">
      <c r="A527" s="30" t="n">
        <v>45903</v>
      </c>
      <c r="B527" s="31" t="s">
        <v>7</v>
      </c>
      <c r="C527" s="32"/>
      <c r="D527" s="32"/>
      <c r="E527" s="19" t="n">
        <f aca="false">+F527*0.03</f>
        <v>0</v>
      </c>
      <c r="F527" s="33" t="n">
        <v>0</v>
      </c>
      <c r="G527" s="62"/>
      <c r="H527" s="35" t="n">
        <v>0</v>
      </c>
      <c r="I527" s="34" t="n">
        <f aca="false">+IF(E527=0,0,E527*0.03)</f>
        <v>0</v>
      </c>
    </row>
    <row r="528" customFormat="false" ht="15.75" hidden="false" customHeight="true" outlineLevel="0" collapsed="false">
      <c r="A528" s="30" t="n">
        <v>45904</v>
      </c>
      <c r="B528" s="31" t="s">
        <v>7</v>
      </c>
      <c r="C528" s="32"/>
      <c r="D528" s="32"/>
      <c r="E528" s="19" t="n">
        <f aca="false">+F528*0.03</f>
        <v>0</v>
      </c>
      <c r="F528" s="33" t="n">
        <v>0</v>
      </c>
      <c r="G528" s="62"/>
      <c r="H528" s="35" t="n">
        <v>0</v>
      </c>
      <c r="I528" s="34" t="n">
        <f aca="false">+IF(E528=0,0,E528*0.03)</f>
        <v>0</v>
      </c>
    </row>
    <row r="529" customFormat="false" ht="15.75" hidden="false" customHeight="true" outlineLevel="0" collapsed="false">
      <c r="A529" s="30" t="n">
        <v>45905</v>
      </c>
      <c r="B529" s="31" t="s">
        <v>7</v>
      </c>
      <c r="C529" s="32"/>
      <c r="D529" s="32"/>
      <c r="E529" s="19" t="n">
        <f aca="false">+F529*0.03</f>
        <v>0</v>
      </c>
      <c r="F529" s="33" t="n">
        <v>0</v>
      </c>
      <c r="G529" s="62"/>
      <c r="H529" s="35" t="n">
        <v>0</v>
      </c>
      <c r="I529" s="34" t="n">
        <f aca="false">+IF(E529=0,0,E529*0.03)</f>
        <v>0</v>
      </c>
    </row>
    <row r="530" customFormat="false" ht="15.75" hidden="false" customHeight="true" outlineLevel="0" collapsed="false">
      <c r="A530" s="30" t="n">
        <v>45906</v>
      </c>
      <c r="B530" s="31" t="s">
        <v>7</v>
      </c>
      <c r="C530" s="32"/>
      <c r="D530" s="32"/>
      <c r="E530" s="19" t="n">
        <f aca="false">+F530*0.03</f>
        <v>0</v>
      </c>
      <c r="F530" s="33" t="n">
        <v>0</v>
      </c>
      <c r="G530" s="62"/>
      <c r="H530" s="35" t="n">
        <v>0</v>
      </c>
      <c r="I530" s="34" t="n">
        <f aca="false">+IF(E530=0,0,E530*0.03)</f>
        <v>0</v>
      </c>
    </row>
    <row r="531" customFormat="false" ht="15.75" hidden="false" customHeight="true" outlineLevel="0" collapsed="false">
      <c r="A531" s="30" t="n">
        <v>45907</v>
      </c>
      <c r="B531" s="31" t="s">
        <v>7</v>
      </c>
      <c r="C531" s="32"/>
      <c r="D531" s="32"/>
      <c r="E531" s="19" t="n">
        <f aca="false">+F531*0.03</f>
        <v>0</v>
      </c>
      <c r="F531" s="33" t="n">
        <v>0</v>
      </c>
      <c r="G531" s="62"/>
      <c r="H531" s="35" t="n">
        <v>0</v>
      </c>
      <c r="I531" s="34" t="n">
        <f aca="false">+IF(E531=0,0,E531*0.03)</f>
        <v>0</v>
      </c>
    </row>
    <row r="532" customFormat="false" ht="15.75" hidden="false" customHeight="true" outlineLevel="0" collapsed="false">
      <c r="A532" s="30" t="n">
        <v>45908</v>
      </c>
      <c r="B532" s="31" t="s">
        <v>7</v>
      </c>
      <c r="C532" s="32"/>
      <c r="D532" s="32"/>
      <c r="E532" s="19" t="n">
        <f aca="false">+F532*0.03</f>
        <v>0</v>
      </c>
      <c r="F532" s="33" t="n">
        <v>0</v>
      </c>
      <c r="G532" s="62"/>
      <c r="H532" s="35" t="n">
        <v>0</v>
      </c>
      <c r="I532" s="34" t="n">
        <f aca="false">+IF(E532=0,0,E532*0.03)</f>
        <v>0</v>
      </c>
    </row>
    <row r="533" customFormat="false" ht="15.75" hidden="false" customHeight="true" outlineLevel="0" collapsed="false">
      <c r="A533" s="30" t="n">
        <v>45909</v>
      </c>
      <c r="B533" s="31" t="s">
        <v>7</v>
      </c>
      <c r="C533" s="32"/>
      <c r="D533" s="32"/>
      <c r="E533" s="19" t="n">
        <f aca="false">+F533*0.03</f>
        <v>0</v>
      </c>
      <c r="F533" s="33" t="n">
        <v>0</v>
      </c>
      <c r="G533" s="62"/>
      <c r="H533" s="35" t="n">
        <v>0</v>
      </c>
      <c r="I533" s="34" t="n">
        <f aca="false">+IF(E533=0,0,E533*0.03)</f>
        <v>0</v>
      </c>
    </row>
    <row r="534" customFormat="false" ht="15.75" hidden="false" customHeight="true" outlineLevel="0" collapsed="false">
      <c r="A534" s="30" t="n">
        <v>45910</v>
      </c>
      <c r="B534" s="31" t="s">
        <v>7</v>
      </c>
      <c r="C534" s="32"/>
      <c r="D534" s="32"/>
      <c r="E534" s="19" t="n">
        <f aca="false">+F534*0.03</f>
        <v>0</v>
      </c>
      <c r="F534" s="33" t="n">
        <v>0</v>
      </c>
      <c r="G534" s="62"/>
      <c r="H534" s="35" t="n">
        <v>0</v>
      </c>
      <c r="I534" s="34" t="n">
        <f aca="false">+IF(E534=0,0,E534*0.03)</f>
        <v>0</v>
      </c>
    </row>
    <row r="535" customFormat="false" ht="15.75" hidden="false" customHeight="true" outlineLevel="0" collapsed="false">
      <c r="A535" s="30" t="n">
        <v>45911</v>
      </c>
      <c r="B535" s="31" t="s">
        <v>7</v>
      </c>
      <c r="C535" s="32"/>
      <c r="D535" s="32"/>
      <c r="E535" s="19" t="n">
        <f aca="false">+F535*0.03</f>
        <v>0</v>
      </c>
      <c r="F535" s="33" t="n">
        <v>0</v>
      </c>
      <c r="G535" s="62"/>
      <c r="H535" s="35" t="n">
        <v>0</v>
      </c>
      <c r="I535" s="34" t="n">
        <f aca="false">+IF(E535=0,0,E535*0.03)</f>
        <v>0</v>
      </c>
    </row>
    <row r="536" customFormat="false" ht="15.75" hidden="false" customHeight="true" outlineLevel="0" collapsed="false">
      <c r="A536" s="30" t="n">
        <v>45912</v>
      </c>
      <c r="B536" s="31" t="s">
        <v>7</v>
      </c>
      <c r="C536" s="32"/>
      <c r="D536" s="32"/>
      <c r="E536" s="19" t="n">
        <f aca="false">+F536*0.03</f>
        <v>0</v>
      </c>
      <c r="F536" s="33" t="n">
        <v>0</v>
      </c>
      <c r="G536" s="62"/>
      <c r="H536" s="35" t="n">
        <v>0</v>
      </c>
      <c r="I536" s="34" t="n">
        <f aca="false">+IF(E536=0,0,E536*0.03)</f>
        <v>0</v>
      </c>
    </row>
    <row r="537" customFormat="false" ht="15.75" hidden="false" customHeight="true" outlineLevel="0" collapsed="false">
      <c r="A537" s="30" t="n">
        <v>45913</v>
      </c>
      <c r="B537" s="31" t="s">
        <v>7</v>
      </c>
      <c r="C537" s="32"/>
      <c r="D537" s="32"/>
      <c r="E537" s="19" t="n">
        <f aca="false">+F537*0.03</f>
        <v>0</v>
      </c>
      <c r="F537" s="33" t="n">
        <v>0</v>
      </c>
      <c r="G537" s="62"/>
      <c r="H537" s="35" t="n">
        <v>0</v>
      </c>
      <c r="I537" s="34" t="n">
        <f aca="false">+IF(E537=0,0,E537*0.03)</f>
        <v>0</v>
      </c>
    </row>
    <row r="538" customFormat="false" ht="15.75" hidden="false" customHeight="true" outlineLevel="0" collapsed="false">
      <c r="A538" s="30" t="n">
        <v>45914</v>
      </c>
      <c r="B538" s="31" t="s">
        <v>7</v>
      </c>
      <c r="C538" s="32"/>
      <c r="D538" s="32"/>
      <c r="E538" s="19" t="n">
        <f aca="false">+F538*0.03</f>
        <v>0</v>
      </c>
      <c r="F538" s="33" t="n">
        <v>0</v>
      </c>
      <c r="G538" s="62"/>
      <c r="H538" s="35" t="n">
        <v>0</v>
      </c>
      <c r="I538" s="34" t="n">
        <f aca="false">+IF(E538=0,0,E538*0.03)</f>
        <v>0</v>
      </c>
    </row>
    <row r="539" customFormat="false" ht="15.75" hidden="false" customHeight="true" outlineLevel="0" collapsed="false">
      <c r="A539" s="30" t="n">
        <v>45915</v>
      </c>
      <c r="B539" s="31" t="s">
        <v>7</v>
      </c>
      <c r="C539" s="32"/>
      <c r="D539" s="32"/>
      <c r="E539" s="19" t="n">
        <f aca="false">+F539*0.03</f>
        <v>0</v>
      </c>
      <c r="F539" s="33" t="n">
        <v>0</v>
      </c>
      <c r="G539" s="62"/>
      <c r="H539" s="35" t="n">
        <v>0</v>
      </c>
      <c r="I539" s="34" t="n">
        <f aca="false">+IF(E539=0,0,E539*0.03)</f>
        <v>0</v>
      </c>
    </row>
    <row r="540" customFormat="false" ht="15.75" hidden="false" customHeight="true" outlineLevel="0" collapsed="false">
      <c r="A540" s="30" t="n">
        <v>45916</v>
      </c>
      <c r="B540" s="31" t="s">
        <v>7</v>
      </c>
      <c r="C540" s="32"/>
      <c r="D540" s="32"/>
      <c r="E540" s="19" t="n">
        <f aca="false">+F540*0.03</f>
        <v>0</v>
      </c>
      <c r="F540" s="33" t="n">
        <v>0</v>
      </c>
      <c r="G540" s="62"/>
      <c r="H540" s="35" t="n">
        <v>0</v>
      </c>
      <c r="I540" s="34" t="n">
        <f aca="false">+IF(E540=0,0,E540*0.03)</f>
        <v>0</v>
      </c>
    </row>
    <row r="541" customFormat="false" ht="15.75" hidden="false" customHeight="true" outlineLevel="0" collapsed="false">
      <c r="A541" s="30" t="n">
        <v>45917</v>
      </c>
      <c r="B541" s="31" t="s">
        <v>7</v>
      </c>
      <c r="C541" s="32"/>
      <c r="D541" s="32"/>
      <c r="E541" s="19" t="n">
        <f aca="false">+F541*0.03</f>
        <v>0</v>
      </c>
      <c r="F541" s="33" t="n">
        <v>0</v>
      </c>
      <c r="G541" s="62"/>
      <c r="H541" s="35" t="n">
        <v>0</v>
      </c>
      <c r="I541" s="34" t="n">
        <f aca="false">+IF(E541=0,0,E541*0.03)</f>
        <v>0</v>
      </c>
    </row>
    <row r="542" customFormat="false" ht="15.75" hidden="false" customHeight="true" outlineLevel="0" collapsed="false">
      <c r="A542" s="30" t="n">
        <v>45918</v>
      </c>
      <c r="B542" s="31" t="s">
        <v>7</v>
      </c>
      <c r="C542" s="32"/>
      <c r="D542" s="32"/>
      <c r="E542" s="19" t="n">
        <f aca="false">+F542*0.03</f>
        <v>0</v>
      </c>
      <c r="F542" s="33" t="n">
        <v>0</v>
      </c>
      <c r="G542" s="62"/>
      <c r="H542" s="35" t="n">
        <v>0</v>
      </c>
      <c r="I542" s="34" t="n">
        <f aca="false">+IF(E542=0,0,E542*0.03)</f>
        <v>0</v>
      </c>
    </row>
    <row r="543" customFormat="false" ht="15.75" hidden="false" customHeight="true" outlineLevel="0" collapsed="false">
      <c r="A543" s="30" t="n">
        <v>45919</v>
      </c>
      <c r="B543" s="31" t="s">
        <v>7</v>
      </c>
      <c r="C543" s="32"/>
      <c r="D543" s="32"/>
      <c r="E543" s="19" t="n">
        <f aca="false">+F543*0.03</f>
        <v>0</v>
      </c>
      <c r="F543" s="33" t="n">
        <v>0</v>
      </c>
      <c r="G543" s="62"/>
      <c r="H543" s="35" t="n">
        <v>0</v>
      </c>
      <c r="I543" s="34" t="n">
        <f aca="false">+IF(E543=0,0,E543*0.03)</f>
        <v>0</v>
      </c>
    </row>
    <row r="544" customFormat="false" ht="15.75" hidden="false" customHeight="true" outlineLevel="0" collapsed="false">
      <c r="A544" s="30" t="n">
        <v>45920</v>
      </c>
      <c r="B544" s="31" t="s">
        <v>7</v>
      </c>
      <c r="C544" s="32"/>
      <c r="D544" s="32"/>
      <c r="E544" s="19" t="n">
        <f aca="false">+F544*0.03</f>
        <v>0</v>
      </c>
      <c r="F544" s="33" t="n">
        <v>0</v>
      </c>
      <c r="G544" s="62"/>
      <c r="H544" s="35" t="n">
        <v>0</v>
      </c>
      <c r="I544" s="34" t="n">
        <f aca="false">+IF(E544=0,0,E544*0.03)</f>
        <v>0</v>
      </c>
    </row>
    <row r="545" customFormat="false" ht="15.75" hidden="false" customHeight="true" outlineLevel="0" collapsed="false">
      <c r="A545" s="30" t="n">
        <v>45921</v>
      </c>
      <c r="B545" s="31" t="s">
        <v>7</v>
      </c>
      <c r="C545" s="32"/>
      <c r="D545" s="32"/>
      <c r="E545" s="19" t="n">
        <f aca="false">+F545*0.03</f>
        <v>0</v>
      </c>
      <c r="F545" s="33" t="n">
        <v>0</v>
      </c>
      <c r="G545" s="62"/>
      <c r="H545" s="35" t="n">
        <v>0</v>
      </c>
      <c r="I545" s="34" t="n">
        <f aca="false">+IF(E545=0,0,E545*0.03)</f>
        <v>0</v>
      </c>
    </row>
    <row r="546" customFormat="false" ht="15.75" hidden="false" customHeight="true" outlineLevel="0" collapsed="false">
      <c r="A546" s="30" t="n">
        <v>45922</v>
      </c>
      <c r="B546" s="31" t="s">
        <v>7</v>
      </c>
      <c r="C546" s="32"/>
      <c r="D546" s="32"/>
      <c r="E546" s="19" t="n">
        <f aca="false">+F546*0.03</f>
        <v>0</v>
      </c>
      <c r="F546" s="33" t="n">
        <v>0</v>
      </c>
      <c r="G546" s="62"/>
      <c r="H546" s="35" t="n">
        <v>0</v>
      </c>
      <c r="I546" s="34" t="n">
        <f aca="false">+IF(E546=0,0,E546*0.03)</f>
        <v>0</v>
      </c>
    </row>
    <row r="547" customFormat="false" ht="15.75" hidden="false" customHeight="true" outlineLevel="0" collapsed="false">
      <c r="A547" s="30" t="n">
        <v>45923</v>
      </c>
      <c r="B547" s="31" t="s">
        <v>7</v>
      </c>
      <c r="C547" s="32"/>
      <c r="D547" s="32"/>
      <c r="E547" s="19" t="n">
        <f aca="false">+F547*0.03</f>
        <v>0</v>
      </c>
      <c r="F547" s="33" t="n">
        <v>0</v>
      </c>
      <c r="G547" s="62"/>
      <c r="H547" s="35" t="n">
        <v>0</v>
      </c>
      <c r="I547" s="34" t="n">
        <f aca="false">+IF(E547=0,0,E547*0.03)</f>
        <v>0</v>
      </c>
    </row>
    <row r="548" customFormat="false" ht="15.75" hidden="false" customHeight="true" outlineLevel="0" collapsed="false">
      <c r="A548" s="30" t="n">
        <v>45924</v>
      </c>
      <c r="B548" s="31" t="s">
        <v>7</v>
      </c>
      <c r="C548" s="32"/>
      <c r="D548" s="32"/>
      <c r="E548" s="19" t="n">
        <f aca="false">+F548*0.03</f>
        <v>0</v>
      </c>
      <c r="F548" s="33" t="n">
        <v>0</v>
      </c>
      <c r="G548" s="62"/>
      <c r="H548" s="35" t="n">
        <v>0</v>
      </c>
      <c r="I548" s="34" t="n">
        <f aca="false">+IF(E548=0,0,E548*0.03)</f>
        <v>0</v>
      </c>
    </row>
    <row r="549" customFormat="false" ht="15.75" hidden="false" customHeight="true" outlineLevel="0" collapsed="false">
      <c r="A549" s="30" t="n">
        <v>45925</v>
      </c>
      <c r="B549" s="31" t="s">
        <v>7</v>
      </c>
      <c r="C549" s="32"/>
      <c r="D549" s="32"/>
      <c r="E549" s="19" t="n">
        <f aca="false">+F549*0.03</f>
        <v>0</v>
      </c>
      <c r="F549" s="33" t="n">
        <v>0</v>
      </c>
      <c r="G549" s="62"/>
      <c r="H549" s="35" t="n">
        <v>0</v>
      </c>
      <c r="I549" s="34" t="n">
        <f aca="false">+IF(E549=0,0,E549*0.03)</f>
        <v>0</v>
      </c>
    </row>
    <row r="550" customFormat="false" ht="15.75" hidden="false" customHeight="true" outlineLevel="0" collapsed="false">
      <c r="A550" s="30" t="n">
        <v>45926</v>
      </c>
      <c r="B550" s="31" t="s">
        <v>7</v>
      </c>
      <c r="C550" s="32"/>
      <c r="D550" s="32"/>
      <c r="E550" s="19" t="n">
        <f aca="false">+F550*0.03</f>
        <v>0</v>
      </c>
      <c r="F550" s="33" t="n">
        <v>0</v>
      </c>
      <c r="G550" s="62"/>
      <c r="H550" s="35" t="n">
        <v>0</v>
      </c>
      <c r="I550" s="34" t="n">
        <f aca="false">+IF(E550=0,0,E550*0.03)</f>
        <v>0</v>
      </c>
    </row>
    <row r="551" customFormat="false" ht="15.75" hidden="false" customHeight="true" outlineLevel="0" collapsed="false">
      <c r="A551" s="30" t="n">
        <v>45927</v>
      </c>
      <c r="B551" s="31" t="s">
        <v>7</v>
      </c>
      <c r="C551" s="32"/>
      <c r="D551" s="32"/>
      <c r="E551" s="19" t="n">
        <f aca="false">+F551*0.03</f>
        <v>0</v>
      </c>
      <c r="F551" s="33" t="n">
        <v>0</v>
      </c>
      <c r="G551" s="62"/>
      <c r="H551" s="35" t="n">
        <v>0</v>
      </c>
      <c r="I551" s="34" t="n">
        <f aca="false">+IF(E551=0,0,E551*0.03)</f>
        <v>0</v>
      </c>
    </row>
    <row r="552" customFormat="false" ht="15.75" hidden="false" customHeight="true" outlineLevel="0" collapsed="false">
      <c r="A552" s="30" t="n">
        <v>45928</v>
      </c>
      <c r="B552" s="31" t="s">
        <v>7</v>
      </c>
      <c r="C552" s="32"/>
      <c r="D552" s="32"/>
      <c r="E552" s="19" t="n">
        <f aca="false">+F552*0.03</f>
        <v>0</v>
      </c>
      <c r="F552" s="33" t="n">
        <v>0</v>
      </c>
      <c r="G552" s="62"/>
      <c r="H552" s="35" t="n">
        <v>0</v>
      </c>
      <c r="I552" s="34" t="n">
        <f aca="false">+IF(E552=0,0,E552*0.03)</f>
        <v>0</v>
      </c>
    </row>
    <row r="553" customFormat="false" ht="15.75" hidden="false" customHeight="true" outlineLevel="0" collapsed="false">
      <c r="A553" s="30" t="n">
        <v>45929</v>
      </c>
      <c r="B553" s="31" t="s">
        <v>7</v>
      </c>
      <c r="C553" s="32"/>
      <c r="D553" s="32"/>
      <c r="E553" s="19" t="n">
        <f aca="false">+F553*0.03</f>
        <v>0</v>
      </c>
      <c r="F553" s="33" t="n">
        <v>0</v>
      </c>
      <c r="G553" s="62"/>
      <c r="H553" s="35" t="n">
        <v>0</v>
      </c>
      <c r="I553" s="34" t="n">
        <f aca="false">+IF(E553=0,0,E553*0.03)</f>
        <v>0</v>
      </c>
    </row>
    <row r="554" customFormat="false" ht="15.75" hidden="false" customHeight="true" outlineLevel="0" collapsed="false">
      <c r="A554" s="30" t="n">
        <v>45930</v>
      </c>
      <c r="B554" s="31" t="s">
        <v>7</v>
      </c>
      <c r="C554" s="32"/>
      <c r="D554" s="32"/>
      <c r="E554" s="19" t="n">
        <f aca="false">+F554*0.03</f>
        <v>0</v>
      </c>
      <c r="F554" s="33" t="n">
        <v>0</v>
      </c>
      <c r="G554" s="62"/>
      <c r="H554" s="35" t="n">
        <v>0</v>
      </c>
      <c r="I554" s="34" t="n">
        <f aca="false">+IF(E554=0,0,E554*0.03)</f>
        <v>0</v>
      </c>
    </row>
    <row r="555" customFormat="false" ht="15.75" hidden="false" customHeight="true" outlineLevel="0" collapsed="false">
      <c r="A555" s="30" t="n">
        <v>45931</v>
      </c>
      <c r="B555" s="31" t="s">
        <v>7</v>
      </c>
      <c r="C555" s="32"/>
      <c r="D555" s="32"/>
      <c r="E555" s="19" t="n">
        <f aca="false">+F555*0.03</f>
        <v>0</v>
      </c>
      <c r="F555" s="33" t="n">
        <v>0</v>
      </c>
      <c r="G555" s="62"/>
      <c r="H555" s="35" t="n">
        <v>0</v>
      </c>
      <c r="I555" s="34" t="n">
        <f aca="false">+IF(E555=0,0,E555*0.03)</f>
        <v>0</v>
      </c>
    </row>
    <row r="556" customFormat="false" ht="15.75" hidden="false" customHeight="true" outlineLevel="0" collapsed="false">
      <c r="A556" s="30" t="n">
        <v>45932</v>
      </c>
      <c r="B556" s="31" t="s">
        <v>7</v>
      </c>
      <c r="C556" s="32"/>
      <c r="D556" s="32"/>
      <c r="E556" s="19" t="n">
        <f aca="false">+F556*0.03</f>
        <v>0</v>
      </c>
      <c r="F556" s="33" t="n">
        <v>0</v>
      </c>
      <c r="G556" s="62"/>
      <c r="H556" s="35" t="n">
        <v>0</v>
      </c>
      <c r="I556" s="34" t="n">
        <f aca="false">+IF(E556=0,0,E556*0.03)</f>
        <v>0</v>
      </c>
    </row>
    <row r="557" customFormat="false" ht="15.75" hidden="false" customHeight="true" outlineLevel="0" collapsed="false">
      <c r="A557" s="30" t="n">
        <v>45933</v>
      </c>
      <c r="B557" s="31" t="s">
        <v>7</v>
      </c>
      <c r="C557" s="32"/>
      <c r="D557" s="32"/>
      <c r="E557" s="19" t="n">
        <f aca="false">+F557*0.03</f>
        <v>0</v>
      </c>
      <c r="F557" s="33" t="n">
        <v>0</v>
      </c>
      <c r="G557" s="62"/>
      <c r="H557" s="35" t="n">
        <v>0</v>
      </c>
      <c r="I557" s="34" t="n">
        <f aca="false">+IF(E557=0,0,E557*0.03)</f>
        <v>0</v>
      </c>
    </row>
    <row r="558" customFormat="false" ht="15.75" hidden="false" customHeight="true" outlineLevel="0" collapsed="false">
      <c r="A558" s="30" t="n">
        <v>45934</v>
      </c>
      <c r="B558" s="31" t="s">
        <v>7</v>
      </c>
      <c r="C558" s="32"/>
      <c r="D558" s="32"/>
      <c r="E558" s="19" t="n">
        <f aca="false">+F558*0.03</f>
        <v>0</v>
      </c>
      <c r="F558" s="33" t="n">
        <v>0</v>
      </c>
      <c r="G558" s="62"/>
      <c r="H558" s="35" t="n">
        <v>0</v>
      </c>
      <c r="I558" s="34" t="n">
        <f aca="false">+IF(E558=0,0,E558*0.03)</f>
        <v>0</v>
      </c>
    </row>
    <row r="559" customFormat="false" ht="15.75" hidden="false" customHeight="true" outlineLevel="0" collapsed="false">
      <c r="A559" s="30" t="n">
        <v>45935</v>
      </c>
      <c r="B559" s="31" t="s">
        <v>7</v>
      </c>
      <c r="C559" s="32"/>
      <c r="D559" s="32"/>
      <c r="E559" s="19" t="n">
        <f aca="false">+F559*0.03</f>
        <v>0</v>
      </c>
      <c r="F559" s="33" t="n">
        <v>0</v>
      </c>
      <c r="G559" s="62"/>
      <c r="H559" s="35" t="n">
        <v>0</v>
      </c>
      <c r="I559" s="34" t="n">
        <f aca="false">+IF(E559=0,0,E559*0.03)</f>
        <v>0</v>
      </c>
    </row>
    <row r="560" customFormat="false" ht="15.75" hidden="false" customHeight="true" outlineLevel="0" collapsed="false">
      <c r="A560" s="30" t="n">
        <v>45936</v>
      </c>
      <c r="B560" s="31" t="s">
        <v>7</v>
      </c>
      <c r="C560" s="32"/>
      <c r="D560" s="32"/>
      <c r="E560" s="19" t="n">
        <f aca="false">+F560*0.03</f>
        <v>0</v>
      </c>
      <c r="F560" s="33" t="n">
        <v>0</v>
      </c>
      <c r="G560" s="62"/>
      <c r="H560" s="35" t="n">
        <v>0</v>
      </c>
      <c r="I560" s="34" t="n">
        <f aca="false">+IF(E560=0,0,E560*0.03)</f>
        <v>0</v>
      </c>
    </row>
    <row r="561" customFormat="false" ht="15.75" hidden="false" customHeight="true" outlineLevel="0" collapsed="false">
      <c r="A561" s="30" t="n">
        <v>45937</v>
      </c>
      <c r="B561" s="31" t="s">
        <v>7</v>
      </c>
      <c r="C561" s="32"/>
      <c r="D561" s="32"/>
      <c r="E561" s="19" t="n">
        <f aca="false">+F561*0.03</f>
        <v>0</v>
      </c>
      <c r="F561" s="33" t="n">
        <v>0</v>
      </c>
      <c r="G561" s="62"/>
      <c r="H561" s="35" t="n">
        <v>0</v>
      </c>
      <c r="I561" s="34" t="n">
        <f aca="false">+IF(E561=0,0,E561*0.03)</f>
        <v>0</v>
      </c>
    </row>
    <row r="562" customFormat="false" ht="15.75" hidden="false" customHeight="true" outlineLevel="0" collapsed="false">
      <c r="A562" s="30" t="n">
        <v>45938</v>
      </c>
      <c r="B562" s="31" t="s">
        <v>7</v>
      </c>
      <c r="C562" s="32"/>
      <c r="D562" s="32"/>
      <c r="E562" s="19" t="n">
        <f aca="false">+F562*0.03</f>
        <v>0</v>
      </c>
      <c r="F562" s="33" t="n">
        <v>0</v>
      </c>
      <c r="G562" s="62"/>
      <c r="H562" s="35" t="n">
        <v>0</v>
      </c>
      <c r="I562" s="34" t="n">
        <f aca="false">+IF(E562=0,0,E562*0.03)</f>
        <v>0</v>
      </c>
    </row>
    <row r="563" customFormat="false" ht="15.75" hidden="false" customHeight="true" outlineLevel="0" collapsed="false">
      <c r="A563" s="30" t="n">
        <v>45939</v>
      </c>
      <c r="B563" s="31" t="s">
        <v>7</v>
      </c>
      <c r="C563" s="32"/>
      <c r="D563" s="32"/>
      <c r="E563" s="19" t="n">
        <f aca="false">+F563*0.03</f>
        <v>0</v>
      </c>
      <c r="F563" s="33" t="n">
        <v>0</v>
      </c>
      <c r="G563" s="62"/>
      <c r="H563" s="35" t="n">
        <v>0</v>
      </c>
      <c r="I563" s="34" t="n">
        <f aca="false">+IF(E563=0,0,E563*0.03)</f>
        <v>0</v>
      </c>
    </row>
    <row r="564" customFormat="false" ht="15.75" hidden="false" customHeight="true" outlineLevel="0" collapsed="false">
      <c r="A564" s="30" t="n">
        <v>45940</v>
      </c>
      <c r="B564" s="31" t="s">
        <v>7</v>
      </c>
      <c r="C564" s="32"/>
      <c r="D564" s="32"/>
      <c r="E564" s="19" t="n">
        <f aca="false">+F564*0.03</f>
        <v>0</v>
      </c>
      <c r="F564" s="33" t="n">
        <v>0</v>
      </c>
      <c r="G564" s="62"/>
      <c r="H564" s="35" t="n">
        <v>0</v>
      </c>
      <c r="I564" s="34" t="n">
        <f aca="false">+IF(E564=0,0,E564*0.03)</f>
        <v>0</v>
      </c>
    </row>
    <row r="565" customFormat="false" ht="15.75" hidden="false" customHeight="true" outlineLevel="0" collapsed="false">
      <c r="A565" s="30" t="n">
        <v>45941</v>
      </c>
      <c r="B565" s="31" t="s">
        <v>7</v>
      </c>
      <c r="C565" s="32"/>
      <c r="D565" s="32"/>
      <c r="E565" s="19" t="n">
        <f aca="false">+F565*0.03</f>
        <v>0</v>
      </c>
      <c r="F565" s="33" t="n">
        <v>0</v>
      </c>
      <c r="G565" s="62"/>
      <c r="H565" s="35" t="n">
        <v>0</v>
      </c>
      <c r="I565" s="34" t="n">
        <f aca="false">+IF(E565=0,0,E565*0.03)</f>
        <v>0</v>
      </c>
    </row>
    <row r="566" customFormat="false" ht="15.75" hidden="false" customHeight="true" outlineLevel="0" collapsed="false">
      <c r="A566" s="30" t="n">
        <v>45942</v>
      </c>
      <c r="B566" s="31" t="s">
        <v>7</v>
      </c>
      <c r="C566" s="32"/>
      <c r="D566" s="32"/>
      <c r="E566" s="19" t="n">
        <f aca="false">+F566*0.03</f>
        <v>0</v>
      </c>
      <c r="F566" s="33" t="n">
        <v>0</v>
      </c>
      <c r="G566" s="62"/>
      <c r="H566" s="35" t="n">
        <v>0</v>
      </c>
      <c r="I566" s="34" t="n">
        <f aca="false">+IF(E566=0,0,E566*0.03)</f>
        <v>0</v>
      </c>
    </row>
    <row r="567" customFormat="false" ht="15.75" hidden="false" customHeight="true" outlineLevel="0" collapsed="false">
      <c r="A567" s="30" t="n">
        <v>45943</v>
      </c>
      <c r="B567" s="31" t="s">
        <v>7</v>
      </c>
      <c r="C567" s="32"/>
      <c r="D567" s="32"/>
      <c r="E567" s="19" t="n">
        <f aca="false">+F567*0.03</f>
        <v>0</v>
      </c>
      <c r="F567" s="33" t="n">
        <v>0</v>
      </c>
      <c r="G567" s="62"/>
      <c r="H567" s="35" t="n">
        <v>0</v>
      </c>
      <c r="I567" s="34" t="n">
        <f aca="false">+IF(E567=0,0,E567*0.03)</f>
        <v>0</v>
      </c>
    </row>
    <row r="568" customFormat="false" ht="15.75" hidden="false" customHeight="true" outlineLevel="0" collapsed="false">
      <c r="A568" s="30" t="n">
        <v>45944</v>
      </c>
      <c r="B568" s="31" t="s">
        <v>7</v>
      </c>
      <c r="C568" s="32"/>
      <c r="D568" s="32"/>
      <c r="E568" s="19" t="n">
        <f aca="false">+F568*0.03</f>
        <v>0</v>
      </c>
      <c r="F568" s="33" t="n">
        <v>0</v>
      </c>
      <c r="G568" s="62"/>
      <c r="H568" s="35" t="n">
        <v>0</v>
      </c>
      <c r="I568" s="34" t="n">
        <f aca="false">+IF(E568=0,0,E568*0.03)</f>
        <v>0</v>
      </c>
    </row>
    <row r="569" customFormat="false" ht="15.75" hidden="false" customHeight="true" outlineLevel="0" collapsed="false">
      <c r="A569" s="30" t="n">
        <v>45945</v>
      </c>
      <c r="B569" s="31" t="s">
        <v>7</v>
      </c>
      <c r="C569" s="32"/>
      <c r="D569" s="32"/>
      <c r="E569" s="19" t="n">
        <f aca="false">+F569*0.03</f>
        <v>0</v>
      </c>
      <c r="F569" s="33" t="n">
        <v>0</v>
      </c>
      <c r="G569" s="62"/>
      <c r="H569" s="35" t="n">
        <v>0</v>
      </c>
      <c r="I569" s="34" t="n">
        <f aca="false">+IF(E569=0,0,E569*0.03)</f>
        <v>0</v>
      </c>
    </row>
    <row r="570" customFormat="false" ht="15.75" hidden="false" customHeight="true" outlineLevel="0" collapsed="false">
      <c r="A570" s="30" t="n">
        <v>45946</v>
      </c>
      <c r="B570" s="31" t="s">
        <v>7</v>
      </c>
      <c r="C570" s="32"/>
      <c r="D570" s="32"/>
      <c r="E570" s="19" t="n">
        <f aca="false">+F570*0.03</f>
        <v>0</v>
      </c>
      <c r="F570" s="33" t="n">
        <v>0</v>
      </c>
      <c r="G570" s="62"/>
      <c r="H570" s="35" t="n">
        <v>0</v>
      </c>
      <c r="I570" s="34" t="n">
        <f aca="false">+IF(E570=0,0,E570*0.03)</f>
        <v>0</v>
      </c>
    </row>
    <row r="571" customFormat="false" ht="15.75" hidden="false" customHeight="true" outlineLevel="0" collapsed="false">
      <c r="A571" s="30" t="n">
        <v>45947</v>
      </c>
      <c r="B571" s="31" t="s">
        <v>7</v>
      </c>
      <c r="C571" s="32"/>
      <c r="D571" s="32"/>
      <c r="E571" s="19" t="n">
        <f aca="false">+F571*0.03</f>
        <v>0</v>
      </c>
      <c r="F571" s="33" t="n">
        <v>0</v>
      </c>
      <c r="G571" s="62"/>
      <c r="H571" s="35" t="n">
        <v>0</v>
      </c>
      <c r="I571" s="34" t="n">
        <f aca="false">+IF(E571=0,0,E571*0.03)</f>
        <v>0</v>
      </c>
    </row>
    <row r="572" customFormat="false" ht="15.75" hidden="false" customHeight="true" outlineLevel="0" collapsed="false">
      <c r="A572" s="30" t="n">
        <v>45948</v>
      </c>
      <c r="B572" s="31" t="s">
        <v>7</v>
      </c>
      <c r="C572" s="32"/>
      <c r="D572" s="32"/>
      <c r="E572" s="19" t="n">
        <f aca="false">+F572*0.03</f>
        <v>0</v>
      </c>
      <c r="F572" s="33" t="n">
        <v>0</v>
      </c>
      <c r="G572" s="62"/>
      <c r="H572" s="35" t="n">
        <v>0</v>
      </c>
      <c r="I572" s="34" t="n">
        <f aca="false">+IF(E572=0,0,E572*0.03)</f>
        <v>0</v>
      </c>
    </row>
    <row r="573" customFormat="false" ht="15.75" hidden="false" customHeight="true" outlineLevel="0" collapsed="false">
      <c r="A573" s="30" t="n">
        <v>45949</v>
      </c>
      <c r="B573" s="31" t="s">
        <v>7</v>
      </c>
      <c r="C573" s="32"/>
      <c r="D573" s="32"/>
      <c r="E573" s="19" t="n">
        <f aca="false">+F573*0.03</f>
        <v>0</v>
      </c>
      <c r="F573" s="33" t="n">
        <v>0</v>
      </c>
      <c r="G573" s="62"/>
      <c r="H573" s="35" t="n">
        <v>0</v>
      </c>
      <c r="I573" s="34" t="n">
        <f aca="false">+IF(E573=0,0,E573*0.03)</f>
        <v>0</v>
      </c>
    </row>
    <row r="574" customFormat="false" ht="15.75" hidden="false" customHeight="true" outlineLevel="0" collapsed="false">
      <c r="A574" s="30" t="n">
        <v>45950</v>
      </c>
      <c r="B574" s="31" t="s">
        <v>7</v>
      </c>
      <c r="C574" s="32"/>
      <c r="D574" s="32"/>
      <c r="E574" s="19" t="n">
        <f aca="false">+F574*0.03</f>
        <v>0</v>
      </c>
      <c r="F574" s="33" t="n">
        <v>0</v>
      </c>
      <c r="G574" s="62"/>
      <c r="H574" s="35" t="n">
        <v>0</v>
      </c>
      <c r="I574" s="34" t="n">
        <f aca="false">+IF(E574=0,0,E574*0.03)</f>
        <v>0</v>
      </c>
    </row>
    <row r="575" customFormat="false" ht="15.75" hidden="false" customHeight="true" outlineLevel="0" collapsed="false">
      <c r="A575" s="30" t="n">
        <v>45951</v>
      </c>
      <c r="B575" s="31" t="s">
        <v>7</v>
      </c>
      <c r="C575" s="32"/>
      <c r="D575" s="32"/>
      <c r="E575" s="19" t="n">
        <f aca="false">+F575*0.03</f>
        <v>0</v>
      </c>
      <c r="F575" s="33" t="n">
        <v>0</v>
      </c>
      <c r="G575" s="62"/>
      <c r="H575" s="35" t="n">
        <v>0</v>
      </c>
      <c r="I575" s="34" t="n">
        <f aca="false">+IF(E575=0,0,E575*0.03)</f>
        <v>0</v>
      </c>
    </row>
    <row r="576" customFormat="false" ht="15.75" hidden="false" customHeight="true" outlineLevel="0" collapsed="false">
      <c r="A576" s="30" t="n">
        <v>45952</v>
      </c>
      <c r="B576" s="31" t="s">
        <v>7</v>
      </c>
      <c r="C576" s="32"/>
      <c r="D576" s="32"/>
      <c r="E576" s="19" t="n">
        <f aca="false">+F576*0.03</f>
        <v>0</v>
      </c>
      <c r="F576" s="33" t="n">
        <v>0</v>
      </c>
      <c r="G576" s="62"/>
      <c r="H576" s="35" t="n">
        <v>0</v>
      </c>
      <c r="I576" s="34" t="n">
        <f aca="false">+IF(E576=0,0,E576*0.03)</f>
        <v>0</v>
      </c>
    </row>
    <row r="577" customFormat="false" ht="15.75" hidden="false" customHeight="true" outlineLevel="0" collapsed="false">
      <c r="A577" s="30" t="n">
        <v>45953</v>
      </c>
      <c r="B577" s="31" t="s">
        <v>7</v>
      </c>
      <c r="C577" s="32"/>
      <c r="D577" s="32"/>
      <c r="E577" s="19" t="n">
        <f aca="false">+F577*0.03</f>
        <v>0</v>
      </c>
      <c r="F577" s="33" t="n">
        <v>0</v>
      </c>
      <c r="G577" s="62"/>
      <c r="H577" s="35" t="n">
        <v>0</v>
      </c>
      <c r="I577" s="34" t="n">
        <f aca="false">+IF(E577=0,0,E577*0.03)</f>
        <v>0</v>
      </c>
    </row>
    <row r="578" customFormat="false" ht="15.75" hidden="false" customHeight="true" outlineLevel="0" collapsed="false">
      <c r="A578" s="30" t="n">
        <v>45954</v>
      </c>
      <c r="B578" s="31" t="s">
        <v>7</v>
      </c>
      <c r="C578" s="32"/>
      <c r="D578" s="32"/>
      <c r="E578" s="19" t="n">
        <f aca="false">+F578*0.03</f>
        <v>0</v>
      </c>
      <c r="F578" s="33" t="n">
        <v>0</v>
      </c>
      <c r="G578" s="62"/>
      <c r="H578" s="35" t="n">
        <v>0</v>
      </c>
      <c r="I578" s="34" t="n">
        <f aca="false">+IF(E578=0,0,E578*0.03)</f>
        <v>0</v>
      </c>
    </row>
    <row r="579" customFormat="false" ht="15.75" hidden="false" customHeight="true" outlineLevel="0" collapsed="false">
      <c r="A579" s="30" t="n">
        <v>45955</v>
      </c>
      <c r="B579" s="31" t="s">
        <v>7</v>
      </c>
      <c r="C579" s="32"/>
      <c r="D579" s="32"/>
      <c r="E579" s="19" t="n">
        <f aca="false">+F579*0.03</f>
        <v>0</v>
      </c>
      <c r="F579" s="33" t="n">
        <v>0</v>
      </c>
      <c r="G579" s="62"/>
      <c r="H579" s="35" t="n">
        <v>0</v>
      </c>
      <c r="I579" s="34" t="n">
        <f aca="false">+IF(E579=0,0,E579*0.03)</f>
        <v>0</v>
      </c>
    </row>
    <row r="580" customFormat="false" ht="15.75" hidden="false" customHeight="true" outlineLevel="0" collapsed="false">
      <c r="A580" s="30" t="n">
        <v>45956</v>
      </c>
      <c r="B580" s="31" t="s">
        <v>7</v>
      </c>
      <c r="C580" s="32"/>
      <c r="D580" s="32"/>
      <c r="E580" s="19" t="n">
        <f aca="false">+F580*0.03</f>
        <v>0</v>
      </c>
      <c r="F580" s="33" t="n">
        <v>0</v>
      </c>
      <c r="G580" s="62"/>
      <c r="H580" s="35" t="n">
        <v>0</v>
      </c>
      <c r="I580" s="34" t="n">
        <f aca="false">+IF(E580=0,0,E580*0.03)</f>
        <v>0</v>
      </c>
    </row>
    <row r="581" customFormat="false" ht="15.75" hidden="false" customHeight="true" outlineLevel="0" collapsed="false">
      <c r="A581" s="30" t="n">
        <v>45957</v>
      </c>
      <c r="B581" s="31" t="s">
        <v>7</v>
      </c>
      <c r="C581" s="32"/>
      <c r="D581" s="32"/>
      <c r="E581" s="19" t="n">
        <f aca="false">+F581*0.03</f>
        <v>0</v>
      </c>
      <c r="F581" s="33" t="n">
        <v>0</v>
      </c>
      <c r="G581" s="62"/>
      <c r="H581" s="35" t="n">
        <v>0</v>
      </c>
      <c r="I581" s="34" t="n">
        <f aca="false">+IF(E581=0,0,E581*0.03)</f>
        <v>0</v>
      </c>
    </row>
    <row r="582" customFormat="false" ht="15.75" hidden="false" customHeight="true" outlineLevel="0" collapsed="false">
      <c r="A582" s="30" t="n">
        <v>45958</v>
      </c>
      <c r="B582" s="31" t="s">
        <v>7</v>
      </c>
      <c r="C582" s="32"/>
      <c r="D582" s="32"/>
      <c r="E582" s="19" t="n">
        <f aca="false">+F582*0.03</f>
        <v>0</v>
      </c>
      <c r="F582" s="33" t="n">
        <v>0</v>
      </c>
      <c r="G582" s="62"/>
      <c r="H582" s="35" t="n">
        <v>0</v>
      </c>
      <c r="I582" s="34" t="n">
        <f aca="false">+IF(E582=0,0,E582*0.03)</f>
        <v>0</v>
      </c>
    </row>
    <row r="583" customFormat="false" ht="15.75" hidden="false" customHeight="true" outlineLevel="0" collapsed="false">
      <c r="A583" s="30" t="n">
        <v>45959</v>
      </c>
      <c r="B583" s="31" t="s">
        <v>7</v>
      </c>
      <c r="C583" s="32"/>
      <c r="D583" s="32"/>
      <c r="E583" s="19" t="n">
        <f aca="false">+F583*0.03</f>
        <v>0</v>
      </c>
      <c r="F583" s="33" t="n">
        <v>0</v>
      </c>
      <c r="G583" s="62"/>
      <c r="H583" s="35" t="n">
        <v>0</v>
      </c>
      <c r="I583" s="34" t="n">
        <f aca="false">+IF(E583=0,0,E583*0.03)</f>
        <v>0</v>
      </c>
    </row>
    <row r="584" customFormat="false" ht="15.75" hidden="false" customHeight="true" outlineLevel="0" collapsed="false">
      <c r="A584" s="30" t="n">
        <v>45960</v>
      </c>
      <c r="B584" s="31" t="s">
        <v>7</v>
      </c>
      <c r="C584" s="32"/>
      <c r="D584" s="32"/>
      <c r="E584" s="19" t="n">
        <f aca="false">+F584*0.03</f>
        <v>0</v>
      </c>
      <c r="F584" s="33" t="n">
        <v>0</v>
      </c>
      <c r="G584" s="62"/>
      <c r="H584" s="35" t="n">
        <v>0</v>
      </c>
      <c r="I584" s="34" t="n">
        <f aca="false">+IF(E584=0,0,E584*0.03)</f>
        <v>0</v>
      </c>
    </row>
    <row r="585" customFormat="false" ht="15.75" hidden="false" customHeight="true" outlineLevel="0" collapsed="false">
      <c r="A585" s="30" t="n">
        <v>45961</v>
      </c>
      <c r="B585" s="31" t="s">
        <v>7</v>
      </c>
      <c r="C585" s="32"/>
      <c r="D585" s="32"/>
      <c r="E585" s="19" t="n">
        <f aca="false">+F585*0.03</f>
        <v>0</v>
      </c>
      <c r="F585" s="33" t="n">
        <v>0</v>
      </c>
      <c r="G585" s="62"/>
      <c r="H585" s="35" t="n">
        <v>0</v>
      </c>
      <c r="I585" s="34" t="n">
        <f aca="false">+IF(E585=0,0,E585*0.03)</f>
        <v>0</v>
      </c>
    </row>
    <row r="586" customFormat="false" ht="15.75" hidden="false" customHeight="true" outlineLevel="0" collapsed="false">
      <c r="A586" s="30" t="n">
        <v>45962</v>
      </c>
      <c r="B586" s="31" t="s">
        <v>7</v>
      </c>
      <c r="C586" s="32"/>
      <c r="D586" s="32"/>
      <c r="E586" s="19" t="n">
        <f aca="false">+F586*0.03</f>
        <v>0</v>
      </c>
      <c r="F586" s="33" t="n">
        <v>0</v>
      </c>
      <c r="G586" s="62"/>
      <c r="H586" s="35" t="n">
        <v>0</v>
      </c>
      <c r="I586" s="34" t="n">
        <f aca="false">+IF(E586=0,0,E586*0.03)</f>
        <v>0</v>
      </c>
    </row>
    <row r="587" customFormat="false" ht="15.75" hidden="false" customHeight="true" outlineLevel="0" collapsed="false">
      <c r="A587" s="30" t="n">
        <v>45963</v>
      </c>
      <c r="B587" s="31" t="s">
        <v>7</v>
      </c>
      <c r="C587" s="32"/>
      <c r="D587" s="32"/>
      <c r="E587" s="19" t="n">
        <f aca="false">+F587*0.03</f>
        <v>0</v>
      </c>
      <c r="F587" s="33" t="n">
        <v>0</v>
      </c>
      <c r="G587" s="62"/>
      <c r="H587" s="35" t="n">
        <v>0</v>
      </c>
      <c r="I587" s="34" t="n">
        <f aca="false">+IF(E587=0,0,E587*0.03)</f>
        <v>0</v>
      </c>
    </row>
    <row r="588" customFormat="false" ht="15.75" hidden="false" customHeight="true" outlineLevel="0" collapsed="false">
      <c r="A588" s="30" t="n">
        <v>45964</v>
      </c>
      <c r="B588" s="31" t="s">
        <v>7</v>
      </c>
      <c r="C588" s="32"/>
      <c r="D588" s="32"/>
      <c r="E588" s="19" t="n">
        <f aca="false">+F588*0.03</f>
        <v>0</v>
      </c>
      <c r="F588" s="33" t="n">
        <v>0</v>
      </c>
      <c r="G588" s="62"/>
      <c r="H588" s="35" t="n">
        <v>0</v>
      </c>
      <c r="I588" s="34" t="n">
        <f aca="false">+IF(E588=0,0,E588*0.03)</f>
        <v>0</v>
      </c>
    </row>
    <row r="589" customFormat="false" ht="15.75" hidden="false" customHeight="true" outlineLevel="0" collapsed="false">
      <c r="A589" s="30" t="n">
        <v>45965</v>
      </c>
      <c r="B589" s="31" t="s">
        <v>7</v>
      </c>
      <c r="C589" s="32"/>
      <c r="D589" s="32"/>
      <c r="E589" s="19" t="n">
        <f aca="false">+F589*0.03</f>
        <v>0</v>
      </c>
      <c r="F589" s="33" t="n">
        <v>0</v>
      </c>
      <c r="G589" s="62"/>
      <c r="H589" s="35" t="n">
        <v>0</v>
      </c>
      <c r="I589" s="34" t="n">
        <f aca="false">+IF(E589=0,0,E589*0.03)</f>
        <v>0</v>
      </c>
    </row>
    <row r="590" customFormat="false" ht="15.75" hidden="false" customHeight="true" outlineLevel="0" collapsed="false">
      <c r="A590" s="30" t="n">
        <v>45966</v>
      </c>
      <c r="B590" s="31" t="s">
        <v>7</v>
      </c>
      <c r="C590" s="32"/>
      <c r="D590" s="32"/>
      <c r="E590" s="19" t="n">
        <f aca="false">+F590*0.03</f>
        <v>0</v>
      </c>
      <c r="F590" s="33" t="n">
        <v>0</v>
      </c>
      <c r="G590" s="62"/>
      <c r="H590" s="35" t="n">
        <v>0</v>
      </c>
      <c r="I590" s="34" t="n">
        <f aca="false">+IF(E590=0,0,E590*0.03)</f>
        <v>0</v>
      </c>
    </row>
    <row r="591" customFormat="false" ht="15.75" hidden="false" customHeight="true" outlineLevel="0" collapsed="false">
      <c r="A591" s="30" t="n">
        <v>45967</v>
      </c>
      <c r="B591" s="31" t="s">
        <v>7</v>
      </c>
      <c r="C591" s="32"/>
      <c r="D591" s="32"/>
      <c r="E591" s="19" t="n">
        <f aca="false">+F591*0.03</f>
        <v>0</v>
      </c>
      <c r="F591" s="33" t="n">
        <v>0</v>
      </c>
      <c r="G591" s="62"/>
      <c r="H591" s="35" t="n">
        <v>0</v>
      </c>
      <c r="I591" s="34" t="n">
        <f aca="false">+IF(E591=0,0,E591*0.03)</f>
        <v>0</v>
      </c>
    </row>
    <row r="592" customFormat="false" ht="15.75" hidden="false" customHeight="true" outlineLevel="0" collapsed="false">
      <c r="A592" s="30" t="n">
        <v>45968</v>
      </c>
      <c r="B592" s="31" t="s">
        <v>7</v>
      </c>
      <c r="C592" s="32"/>
      <c r="D592" s="32"/>
      <c r="E592" s="19" t="n">
        <f aca="false">+F592*0.03</f>
        <v>0</v>
      </c>
      <c r="F592" s="33" t="n">
        <v>0</v>
      </c>
      <c r="G592" s="62"/>
      <c r="H592" s="35" t="n">
        <v>0</v>
      </c>
      <c r="I592" s="34" t="n">
        <f aca="false">+IF(E592=0,0,E592*0.03)</f>
        <v>0</v>
      </c>
    </row>
    <row r="593" customFormat="false" ht="15.75" hidden="false" customHeight="true" outlineLevel="0" collapsed="false">
      <c r="A593" s="30" t="n">
        <v>45969</v>
      </c>
      <c r="B593" s="31" t="s">
        <v>7</v>
      </c>
      <c r="C593" s="32"/>
      <c r="D593" s="32"/>
      <c r="E593" s="19" t="n">
        <f aca="false">+F593*0.03</f>
        <v>0</v>
      </c>
      <c r="F593" s="33" t="n">
        <v>0</v>
      </c>
      <c r="G593" s="62"/>
      <c r="H593" s="35" t="n">
        <v>0</v>
      </c>
      <c r="I593" s="34" t="n">
        <f aca="false">+IF(E593=0,0,E593*0.03)</f>
        <v>0</v>
      </c>
    </row>
    <row r="594" customFormat="false" ht="15.75" hidden="false" customHeight="true" outlineLevel="0" collapsed="false">
      <c r="A594" s="30" t="n">
        <v>45970</v>
      </c>
      <c r="B594" s="31" t="s">
        <v>7</v>
      </c>
      <c r="C594" s="32"/>
      <c r="D594" s="32"/>
      <c r="E594" s="19" t="n">
        <f aca="false">+F594*0.03</f>
        <v>0</v>
      </c>
      <c r="F594" s="33" t="n">
        <v>0</v>
      </c>
      <c r="G594" s="62"/>
      <c r="H594" s="35" t="n">
        <v>0</v>
      </c>
      <c r="I594" s="34" t="n">
        <f aca="false">+IF(E594=0,0,E594*0.03)</f>
        <v>0</v>
      </c>
    </row>
    <row r="595" customFormat="false" ht="15.75" hidden="false" customHeight="true" outlineLevel="0" collapsed="false">
      <c r="A595" s="30" t="n">
        <v>45971</v>
      </c>
      <c r="B595" s="31" t="s">
        <v>7</v>
      </c>
      <c r="C595" s="32"/>
      <c r="D595" s="32"/>
      <c r="E595" s="19" t="n">
        <f aca="false">+F595*0.03</f>
        <v>0</v>
      </c>
      <c r="F595" s="33" t="n">
        <v>0</v>
      </c>
      <c r="G595" s="62"/>
      <c r="H595" s="35" t="n">
        <v>0</v>
      </c>
      <c r="I595" s="34" t="n">
        <f aca="false">+IF(E595=0,0,E595*0.03)</f>
        <v>0</v>
      </c>
    </row>
    <row r="596" customFormat="false" ht="15.75" hidden="false" customHeight="true" outlineLevel="0" collapsed="false">
      <c r="A596" s="30" t="n">
        <v>45972</v>
      </c>
      <c r="B596" s="31" t="s">
        <v>7</v>
      </c>
      <c r="C596" s="32"/>
      <c r="D596" s="32"/>
      <c r="E596" s="19" t="n">
        <f aca="false">+F596*0.03</f>
        <v>0</v>
      </c>
      <c r="F596" s="33" t="n">
        <v>0</v>
      </c>
      <c r="G596" s="62"/>
      <c r="H596" s="35" t="n">
        <v>0</v>
      </c>
      <c r="I596" s="34" t="n">
        <f aca="false">+IF(E596=0,0,E596*0.03)</f>
        <v>0</v>
      </c>
    </row>
    <row r="597" customFormat="false" ht="15.75" hidden="false" customHeight="true" outlineLevel="0" collapsed="false">
      <c r="A597" s="30" t="n">
        <v>45973</v>
      </c>
      <c r="B597" s="31" t="s">
        <v>7</v>
      </c>
      <c r="C597" s="32"/>
      <c r="D597" s="32"/>
      <c r="E597" s="19" t="n">
        <f aca="false">+F597*0.03</f>
        <v>0</v>
      </c>
      <c r="F597" s="33" t="n">
        <v>0</v>
      </c>
      <c r="G597" s="62"/>
      <c r="H597" s="35" t="n">
        <v>0</v>
      </c>
      <c r="I597" s="34" t="n">
        <f aca="false">+IF(E597=0,0,E597*0.03)</f>
        <v>0</v>
      </c>
    </row>
    <row r="598" customFormat="false" ht="15.75" hidden="false" customHeight="true" outlineLevel="0" collapsed="false">
      <c r="A598" s="30" t="n">
        <v>45974</v>
      </c>
      <c r="B598" s="31" t="s">
        <v>7</v>
      </c>
      <c r="C598" s="32"/>
      <c r="D598" s="32"/>
      <c r="E598" s="19" t="n">
        <f aca="false">+F598*0.03</f>
        <v>0</v>
      </c>
      <c r="F598" s="33" t="n">
        <v>0</v>
      </c>
      <c r="G598" s="62"/>
      <c r="H598" s="35" t="n">
        <v>0</v>
      </c>
      <c r="I598" s="34" t="n">
        <f aca="false">+IF(E598=0,0,E598*0.03)</f>
        <v>0</v>
      </c>
    </row>
    <row r="599" customFormat="false" ht="15.75" hidden="false" customHeight="true" outlineLevel="0" collapsed="false">
      <c r="A599" s="30" t="n">
        <v>45975</v>
      </c>
      <c r="B599" s="31" t="s">
        <v>7</v>
      </c>
      <c r="C599" s="32"/>
      <c r="D599" s="32"/>
      <c r="E599" s="19" t="n">
        <f aca="false">+F599*0.03</f>
        <v>0</v>
      </c>
      <c r="F599" s="33" t="n">
        <v>0</v>
      </c>
      <c r="G599" s="62"/>
      <c r="H599" s="35" t="n">
        <v>0</v>
      </c>
      <c r="I599" s="34" t="n">
        <f aca="false">+IF(E599=0,0,E599*0.03)</f>
        <v>0</v>
      </c>
    </row>
    <row r="600" customFormat="false" ht="15.75" hidden="false" customHeight="true" outlineLevel="0" collapsed="false">
      <c r="A600" s="30" t="n">
        <v>45976</v>
      </c>
      <c r="B600" s="31" t="s">
        <v>7</v>
      </c>
      <c r="C600" s="32"/>
      <c r="D600" s="32"/>
      <c r="E600" s="19" t="n">
        <f aca="false">+F600*0.03</f>
        <v>0</v>
      </c>
      <c r="F600" s="33" t="n">
        <v>0</v>
      </c>
      <c r="G600" s="62"/>
      <c r="H600" s="35" t="n">
        <v>0</v>
      </c>
      <c r="I600" s="34" t="n">
        <f aca="false">+IF(E600=0,0,E600*0.03)</f>
        <v>0</v>
      </c>
    </row>
    <row r="601" customFormat="false" ht="15.75" hidden="false" customHeight="true" outlineLevel="0" collapsed="false">
      <c r="A601" s="30" t="n">
        <v>45977</v>
      </c>
      <c r="B601" s="31" t="s">
        <v>7</v>
      </c>
      <c r="C601" s="32"/>
      <c r="D601" s="32"/>
      <c r="E601" s="19" t="n">
        <f aca="false">+F601*0.03</f>
        <v>0</v>
      </c>
      <c r="F601" s="33" t="n">
        <v>0</v>
      </c>
      <c r="G601" s="62"/>
      <c r="H601" s="35" t="n">
        <v>0</v>
      </c>
      <c r="I601" s="34" t="n">
        <f aca="false">+IF(E601=0,0,E601*0.03)</f>
        <v>0</v>
      </c>
    </row>
    <row r="602" customFormat="false" ht="15.75" hidden="false" customHeight="true" outlineLevel="0" collapsed="false">
      <c r="A602" s="30" t="n">
        <v>45978</v>
      </c>
      <c r="B602" s="31" t="s">
        <v>7</v>
      </c>
      <c r="C602" s="32"/>
      <c r="D602" s="32"/>
      <c r="E602" s="19" t="n">
        <f aca="false">+F602*0.03</f>
        <v>0</v>
      </c>
      <c r="F602" s="33" t="n">
        <v>0</v>
      </c>
      <c r="G602" s="62"/>
      <c r="H602" s="35" t="n">
        <v>0</v>
      </c>
      <c r="I602" s="34" t="n">
        <f aca="false">+IF(E602=0,0,E602*0.03)</f>
        <v>0</v>
      </c>
    </row>
    <row r="603" customFormat="false" ht="15.75" hidden="false" customHeight="true" outlineLevel="0" collapsed="false">
      <c r="A603" s="30" t="n">
        <v>45979</v>
      </c>
      <c r="B603" s="31" t="s">
        <v>7</v>
      </c>
      <c r="C603" s="32"/>
      <c r="D603" s="32"/>
      <c r="E603" s="19" t="n">
        <f aca="false">+F603*0.03</f>
        <v>0</v>
      </c>
      <c r="F603" s="33" t="n">
        <v>0</v>
      </c>
      <c r="G603" s="62"/>
      <c r="H603" s="35" t="n">
        <v>0</v>
      </c>
      <c r="I603" s="34" t="n">
        <f aca="false">+IF(E603=0,0,E603*0.03)</f>
        <v>0</v>
      </c>
    </row>
    <row r="604" customFormat="false" ht="15.75" hidden="false" customHeight="true" outlineLevel="0" collapsed="false">
      <c r="A604" s="30" t="n">
        <v>45980</v>
      </c>
      <c r="B604" s="31" t="s">
        <v>7</v>
      </c>
      <c r="C604" s="32"/>
      <c r="D604" s="32"/>
      <c r="E604" s="19" t="n">
        <f aca="false">+F604*0.03</f>
        <v>0</v>
      </c>
      <c r="F604" s="33" t="n">
        <v>0</v>
      </c>
      <c r="G604" s="62"/>
      <c r="H604" s="35" t="n">
        <v>0</v>
      </c>
      <c r="I604" s="34" t="n">
        <f aca="false">+IF(E604=0,0,E604*0.03)</f>
        <v>0</v>
      </c>
    </row>
    <row r="605" customFormat="false" ht="15.75" hidden="false" customHeight="true" outlineLevel="0" collapsed="false">
      <c r="A605" s="30" t="n">
        <v>45981</v>
      </c>
      <c r="B605" s="31" t="s">
        <v>7</v>
      </c>
      <c r="C605" s="32"/>
      <c r="D605" s="32"/>
      <c r="E605" s="19" t="n">
        <f aca="false">+F605*0.03</f>
        <v>0</v>
      </c>
      <c r="F605" s="33" t="n">
        <v>0</v>
      </c>
      <c r="G605" s="62"/>
      <c r="H605" s="35" t="n">
        <v>0</v>
      </c>
      <c r="I605" s="34" t="n">
        <f aca="false">+IF(E605=0,0,E605*0.03)</f>
        <v>0</v>
      </c>
    </row>
    <row r="606" customFormat="false" ht="15.75" hidden="false" customHeight="true" outlineLevel="0" collapsed="false">
      <c r="A606" s="30" t="n">
        <v>45982</v>
      </c>
      <c r="B606" s="31" t="s">
        <v>7</v>
      </c>
      <c r="C606" s="32"/>
      <c r="D606" s="32"/>
      <c r="E606" s="19" t="n">
        <f aca="false">+F606*0.03</f>
        <v>0</v>
      </c>
      <c r="F606" s="33" t="n">
        <v>0</v>
      </c>
      <c r="G606" s="62"/>
      <c r="H606" s="35" t="n">
        <v>0</v>
      </c>
      <c r="I606" s="34" t="n">
        <f aca="false">+IF(E606=0,0,E606*0.03)</f>
        <v>0</v>
      </c>
    </row>
    <row r="607" customFormat="false" ht="15.75" hidden="false" customHeight="true" outlineLevel="0" collapsed="false">
      <c r="A607" s="30" t="n">
        <v>45983</v>
      </c>
      <c r="B607" s="31" t="s">
        <v>7</v>
      </c>
      <c r="C607" s="32"/>
      <c r="D607" s="32"/>
      <c r="E607" s="19" t="n">
        <f aca="false">+F607*0.03</f>
        <v>0</v>
      </c>
      <c r="F607" s="33" t="n">
        <v>0</v>
      </c>
      <c r="G607" s="62"/>
      <c r="H607" s="35" t="n">
        <v>0</v>
      </c>
      <c r="I607" s="34" t="n">
        <f aca="false">+IF(E607=0,0,E607*0.03)</f>
        <v>0</v>
      </c>
    </row>
    <row r="608" customFormat="false" ht="15.75" hidden="false" customHeight="true" outlineLevel="0" collapsed="false">
      <c r="A608" s="30" t="n">
        <v>45984</v>
      </c>
      <c r="B608" s="31" t="s">
        <v>7</v>
      </c>
      <c r="C608" s="32"/>
      <c r="D608" s="32"/>
      <c r="E608" s="19" t="n">
        <f aca="false">+F608*0.03</f>
        <v>0</v>
      </c>
      <c r="F608" s="33" t="n">
        <v>0</v>
      </c>
      <c r="G608" s="62"/>
      <c r="H608" s="35" t="n">
        <v>0</v>
      </c>
      <c r="I608" s="34" t="n">
        <f aca="false">+IF(E608=0,0,E608*0.03)</f>
        <v>0</v>
      </c>
    </row>
    <row r="609" customFormat="false" ht="15.75" hidden="false" customHeight="true" outlineLevel="0" collapsed="false">
      <c r="A609" s="30" t="n">
        <v>45985</v>
      </c>
      <c r="B609" s="31" t="s">
        <v>7</v>
      </c>
      <c r="C609" s="32"/>
      <c r="D609" s="32"/>
      <c r="E609" s="19" t="n">
        <f aca="false">+F609*0.03</f>
        <v>0</v>
      </c>
      <c r="F609" s="33" t="n">
        <v>0</v>
      </c>
      <c r="G609" s="62"/>
      <c r="H609" s="35" t="n">
        <v>0</v>
      </c>
      <c r="I609" s="34" t="n">
        <f aca="false">+IF(E609=0,0,E609*0.03)</f>
        <v>0</v>
      </c>
    </row>
    <row r="610" customFormat="false" ht="15.75" hidden="false" customHeight="true" outlineLevel="0" collapsed="false">
      <c r="A610" s="30" t="n">
        <v>45986</v>
      </c>
      <c r="B610" s="31" t="s">
        <v>7</v>
      </c>
      <c r="C610" s="32"/>
      <c r="D610" s="32"/>
      <c r="E610" s="19" t="n">
        <f aca="false">+F610*0.03</f>
        <v>0</v>
      </c>
      <c r="F610" s="33" t="n">
        <v>0</v>
      </c>
      <c r="G610" s="62"/>
      <c r="H610" s="35" t="n">
        <v>0</v>
      </c>
      <c r="I610" s="34" t="n">
        <f aca="false">+IF(E610=0,0,E610*0.03)</f>
        <v>0</v>
      </c>
    </row>
    <row r="611" customFormat="false" ht="15.75" hidden="false" customHeight="true" outlineLevel="0" collapsed="false">
      <c r="A611" s="30" t="n">
        <v>45987</v>
      </c>
      <c r="B611" s="31" t="s">
        <v>7</v>
      </c>
      <c r="C611" s="32"/>
      <c r="D611" s="32"/>
      <c r="E611" s="19" t="n">
        <f aca="false">+F611*0.03</f>
        <v>0</v>
      </c>
      <c r="F611" s="33" t="n">
        <v>0</v>
      </c>
      <c r="G611" s="62"/>
      <c r="H611" s="35" t="n">
        <v>0</v>
      </c>
      <c r="I611" s="34" t="n">
        <f aca="false">+IF(E611=0,0,E611*0.03)</f>
        <v>0</v>
      </c>
    </row>
    <row r="612" customFormat="false" ht="15.75" hidden="false" customHeight="true" outlineLevel="0" collapsed="false">
      <c r="A612" s="30" t="n">
        <v>45988</v>
      </c>
      <c r="B612" s="31" t="s">
        <v>7</v>
      </c>
      <c r="C612" s="32"/>
      <c r="D612" s="32"/>
      <c r="E612" s="19" t="n">
        <f aca="false">+F612*0.03</f>
        <v>0</v>
      </c>
      <c r="F612" s="33" t="n">
        <v>0</v>
      </c>
      <c r="G612" s="62"/>
      <c r="H612" s="35" t="n">
        <v>0</v>
      </c>
      <c r="I612" s="34" t="n">
        <f aca="false">+IF(E612=0,0,E612*0.03)</f>
        <v>0</v>
      </c>
    </row>
    <row r="613" customFormat="false" ht="15.75" hidden="false" customHeight="true" outlineLevel="0" collapsed="false">
      <c r="A613" s="30" t="n">
        <v>45989</v>
      </c>
      <c r="B613" s="31" t="s">
        <v>7</v>
      </c>
      <c r="C613" s="32"/>
      <c r="D613" s="32"/>
      <c r="E613" s="19" t="n">
        <f aca="false">+F613*0.03</f>
        <v>0</v>
      </c>
      <c r="F613" s="33" t="n">
        <v>0</v>
      </c>
      <c r="G613" s="62"/>
      <c r="H613" s="35" t="n">
        <v>0</v>
      </c>
      <c r="I613" s="34" t="n">
        <f aca="false">+IF(E613=0,0,E613*0.03)</f>
        <v>0</v>
      </c>
    </row>
    <row r="614" customFormat="false" ht="15.75" hidden="false" customHeight="true" outlineLevel="0" collapsed="false">
      <c r="A614" s="30" t="n">
        <v>45990</v>
      </c>
      <c r="B614" s="31" t="s">
        <v>7</v>
      </c>
      <c r="C614" s="32"/>
      <c r="D614" s="32"/>
      <c r="E614" s="19" t="n">
        <f aca="false">+F614*0.03</f>
        <v>0</v>
      </c>
      <c r="F614" s="33" t="n">
        <v>0</v>
      </c>
      <c r="G614" s="62"/>
      <c r="H614" s="35" t="n">
        <v>0</v>
      </c>
      <c r="I614" s="34" t="n">
        <f aca="false">+IF(E614=0,0,E614*0.03)</f>
        <v>0</v>
      </c>
    </row>
    <row r="615" customFormat="false" ht="15.75" hidden="false" customHeight="true" outlineLevel="0" collapsed="false">
      <c r="A615" s="30" t="n">
        <v>45991</v>
      </c>
      <c r="B615" s="31" t="s">
        <v>7</v>
      </c>
      <c r="C615" s="32"/>
      <c r="D615" s="32"/>
      <c r="E615" s="19" t="n">
        <f aca="false">+F615*0.03</f>
        <v>0</v>
      </c>
      <c r="F615" s="33" t="n">
        <v>0</v>
      </c>
      <c r="G615" s="62"/>
      <c r="H615" s="35" t="n">
        <v>0</v>
      </c>
      <c r="I615" s="34" t="n">
        <f aca="false">+IF(E615=0,0,E615*0.03)</f>
        <v>0</v>
      </c>
    </row>
    <row r="616" customFormat="false" ht="15.75" hidden="false" customHeight="true" outlineLevel="0" collapsed="false">
      <c r="A616" s="30" t="n">
        <v>45992</v>
      </c>
      <c r="B616" s="31" t="s">
        <v>7</v>
      </c>
      <c r="C616" s="32"/>
      <c r="D616" s="32"/>
      <c r="E616" s="19" t="n">
        <f aca="false">+F616*0.03</f>
        <v>0</v>
      </c>
      <c r="F616" s="33" t="n">
        <v>0</v>
      </c>
      <c r="G616" s="62"/>
      <c r="H616" s="35" t="n">
        <v>0</v>
      </c>
      <c r="I616" s="34" t="n">
        <f aca="false">+IF(E616=0,0,E616*0.03)</f>
        <v>0</v>
      </c>
    </row>
    <row r="617" customFormat="false" ht="15.75" hidden="false" customHeight="true" outlineLevel="0" collapsed="false">
      <c r="A617" s="30" t="n">
        <v>45993</v>
      </c>
      <c r="B617" s="31" t="s">
        <v>7</v>
      </c>
      <c r="C617" s="32"/>
      <c r="D617" s="32"/>
      <c r="E617" s="19" t="n">
        <f aca="false">+F617*0.03</f>
        <v>0</v>
      </c>
      <c r="F617" s="33" t="n">
        <v>0</v>
      </c>
      <c r="G617" s="62"/>
      <c r="H617" s="35" t="n">
        <v>0</v>
      </c>
      <c r="I617" s="34" t="n">
        <f aca="false">+IF(E617=0,0,E617*0.03)</f>
        <v>0</v>
      </c>
    </row>
    <row r="618" customFormat="false" ht="15.75" hidden="false" customHeight="true" outlineLevel="0" collapsed="false">
      <c r="A618" s="30" t="n">
        <v>45994</v>
      </c>
      <c r="B618" s="31" t="s">
        <v>7</v>
      </c>
      <c r="C618" s="32"/>
      <c r="D618" s="32"/>
      <c r="E618" s="19" t="n">
        <f aca="false">+F618*0.03</f>
        <v>0</v>
      </c>
      <c r="F618" s="33" t="n">
        <v>0</v>
      </c>
      <c r="G618" s="62"/>
      <c r="H618" s="35" t="n">
        <v>0</v>
      </c>
      <c r="I618" s="34" t="n">
        <f aca="false">+IF(E618=0,0,E618*0.03)</f>
        <v>0</v>
      </c>
    </row>
    <row r="619" customFormat="false" ht="15.75" hidden="false" customHeight="true" outlineLevel="0" collapsed="false">
      <c r="A619" s="30" t="n">
        <v>45995</v>
      </c>
      <c r="B619" s="31" t="s">
        <v>7</v>
      </c>
      <c r="C619" s="32"/>
      <c r="D619" s="32"/>
      <c r="E619" s="19" t="n">
        <f aca="false">+F619*0.03</f>
        <v>0</v>
      </c>
      <c r="F619" s="33" t="n">
        <v>0</v>
      </c>
      <c r="G619" s="62"/>
      <c r="H619" s="35" t="n">
        <v>0</v>
      </c>
      <c r="I619" s="34" t="n">
        <f aca="false">+IF(E619=0,0,E619*0.03)</f>
        <v>0</v>
      </c>
    </row>
    <row r="620" customFormat="false" ht="15.75" hidden="false" customHeight="true" outlineLevel="0" collapsed="false">
      <c r="A620" s="30" t="n">
        <v>45996</v>
      </c>
      <c r="B620" s="31" t="s">
        <v>7</v>
      </c>
      <c r="C620" s="32"/>
      <c r="D620" s="32"/>
      <c r="E620" s="19" t="n">
        <f aca="false">+F620*0.03</f>
        <v>0</v>
      </c>
      <c r="F620" s="33" t="n">
        <v>0</v>
      </c>
      <c r="G620" s="62"/>
      <c r="H620" s="35" t="n">
        <v>0</v>
      </c>
      <c r="I620" s="34" t="n">
        <f aca="false">+IF(E620=0,0,E620*0.03)</f>
        <v>0</v>
      </c>
    </row>
    <row r="621" customFormat="false" ht="15.75" hidden="false" customHeight="true" outlineLevel="0" collapsed="false">
      <c r="A621" s="30" t="n">
        <v>45997</v>
      </c>
      <c r="B621" s="31" t="s">
        <v>7</v>
      </c>
      <c r="C621" s="32"/>
      <c r="D621" s="32"/>
      <c r="E621" s="19" t="n">
        <f aca="false">+F621*0.03</f>
        <v>0</v>
      </c>
      <c r="F621" s="33" t="n">
        <v>0</v>
      </c>
      <c r="G621" s="62"/>
      <c r="H621" s="35" t="n">
        <v>0</v>
      </c>
      <c r="I621" s="34" t="n">
        <f aca="false">+IF(E621=0,0,E621*0.03)</f>
        <v>0</v>
      </c>
    </row>
    <row r="622" customFormat="false" ht="15.75" hidden="false" customHeight="true" outlineLevel="0" collapsed="false">
      <c r="A622" s="30" t="n">
        <v>45998</v>
      </c>
      <c r="B622" s="31" t="s">
        <v>7</v>
      </c>
      <c r="C622" s="32"/>
      <c r="D622" s="32"/>
      <c r="E622" s="19" t="n">
        <f aca="false">+F622*0.03</f>
        <v>0</v>
      </c>
      <c r="F622" s="33" t="n">
        <v>0</v>
      </c>
      <c r="G622" s="62"/>
      <c r="H622" s="35" t="n">
        <v>0</v>
      </c>
      <c r="I622" s="34" t="n">
        <f aca="false">+IF(E622=0,0,E622*0.03)</f>
        <v>0</v>
      </c>
    </row>
    <row r="623" customFormat="false" ht="15.75" hidden="false" customHeight="true" outlineLevel="0" collapsed="false">
      <c r="A623" s="30" t="n">
        <v>45999</v>
      </c>
      <c r="B623" s="31" t="s">
        <v>7</v>
      </c>
      <c r="C623" s="32"/>
      <c r="D623" s="32"/>
      <c r="E623" s="19" t="n">
        <f aca="false">+F623*0.03</f>
        <v>0</v>
      </c>
      <c r="F623" s="33" t="n">
        <v>0</v>
      </c>
      <c r="G623" s="62"/>
      <c r="H623" s="35" t="n">
        <v>0</v>
      </c>
      <c r="I623" s="34" t="n">
        <f aca="false">+IF(E623=0,0,E623*0.03)</f>
        <v>0</v>
      </c>
    </row>
    <row r="624" customFormat="false" ht="15.75" hidden="false" customHeight="true" outlineLevel="0" collapsed="false">
      <c r="A624" s="30" t="n">
        <v>46000</v>
      </c>
      <c r="B624" s="31" t="s">
        <v>7</v>
      </c>
      <c r="C624" s="32"/>
      <c r="D624" s="32"/>
      <c r="E624" s="19" t="n">
        <f aca="false">+F624*0.03</f>
        <v>0</v>
      </c>
      <c r="F624" s="33" t="n">
        <v>0</v>
      </c>
      <c r="G624" s="62"/>
      <c r="H624" s="35" t="n">
        <v>0</v>
      </c>
      <c r="I624" s="34" t="n">
        <f aca="false">+IF(E624=0,0,E624*0.03)</f>
        <v>0</v>
      </c>
    </row>
    <row r="625" customFormat="false" ht="15.75" hidden="false" customHeight="true" outlineLevel="0" collapsed="false">
      <c r="A625" s="30" t="n">
        <v>46001</v>
      </c>
      <c r="B625" s="31" t="s">
        <v>7</v>
      </c>
      <c r="C625" s="32"/>
      <c r="D625" s="32"/>
      <c r="E625" s="19" t="n">
        <f aca="false">+F625*0.03</f>
        <v>0</v>
      </c>
      <c r="F625" s="33" t="n">
        <v>0</v>
      </c>
      <c r="G625" s="62"/>
      <c r="H625" s="35" t="n">
        <v>0</v>
      </c>
      <c r="I625" s="34" t="n">
        <f aca="false">+IF(E625=0,0,E625*0.03)</f>
        <v>0</v>
      </c>
    </row>
    <row r="626" customFormat="false" ht="15.75" hidden="false" customHeight="true" outlineLevel="0" collapsed="false">
      <c r="A626" s="30" t="n">
        <v>46002</v>
      </c>
      <c r="B626" s="31" t="s">
        <v>7</v>
      </c>
      <c r="C626" s="32"/>
      <c r="D626" s="32"/>
      <c r="E626" s="19" t="n">
        <f aca="false">+F626*0.03</f>
        <v>0</v>
      </c>
      <c r="F626" s="33" t="n">
        <v>0</v>
      </c>
      <c r="G626" s="62"/>
      <c r="H626" s="35" t="n">
        <v>0</v>
      </c>
      <c r="I626" s="34" t="n">
        <f aca="false">+IF(E626=0,0,E626*0.03)</f>
        <v>0</v>
      </c>
    </row>
    <row r="627" customFormat="false" ht="15.75" hidden="false" customHeight="true" outlineLevel="0" collapsed="false">
      <c r="A627" s="30" t="n">
        <v>46003</v>
      </c>
      <c r="B627" s="31" t="s">
        <v>7</v>
      </c>
      <c r="C627" s="32"/>
      <c r="D627" s="32"/>
      <c r="E627" s="19" t="n">
        <f aca="false">+F627*0.03</f>
        <v>0</v>
      </c>
      <c r="F627" s="33" t="n">
        <v>0</v>
      </c>
      <c r="G627" s="62"/>
      <c r="H627" s="35" t="n">
        <v>0</v>
      </c>
      <c r="I627" s="34" t="n">
        <f aca="false">+IF(E627=0,0,E627*0.03)</f>
        <v>0</v>
      </c>
    </row>
    <row r="628" customFormat="false" ht="15.75" hidden="false" customHeight="true" outlineLevel="0" collapsed="false">
      <c r="A628" s="30" t="n">
        <v>46004</v>
      </c>
      <c r="B628" s="31" t="s">
        <v>7</v>
      </c>
      <c r="C628" s="32"/>
      <c r="D628" s="32"/>
      <c r="E628" s="19" t="n">
        <f aca="false">+F628*0.03</f>
        <v>0</v>
      </c>
      <c r="F628" s="33" t="n">
        <v>0</v>
      </c>
      <c r="G628" s="62"/>
      <c r="H628" s="35" t="n">
        <v>0</v>
      </c>
      <c r="I628" s="34" t="n">
        <f aca="false">+IF(E628=0,0,E628*0.03)</f>
        <v>0</v>
      </c>
    </row>
    <row r="629" customFormat="false" ht="15.75" hidden="false" customHeight="true" outlineLevel="0" collapsed="false">
      <c r="A629" s="30" t="n">
        <v>46005</v>
      </c>
      <c r="B629" s="31" t="s">
        <v>7</v>
      </c>
      <c r="C629" s="32"/>
      <c r="D629" s="32"/>
      <c r="E629" s="19" t="n">
        <f aca="false">+F629*0.03</f>
        <v>0</v>
      </c>
      <c r="F629" s="33" t="n">
        <v>0</v>
      </c>
      <c r="G629" s="62"/>
      <c r="H629" s="35" t="n">
        <v>0</v>
      </c>
      <c r="I629" s="34" t="n">
        <f aca="false">+IF(E629=0,0,E629*0.03)</f>
        <v>0</v>
      </c>
    </row>
    <row r="630" customFormat="false" ht="15.75" hidden="false" customHeight="true" outlineLevel="0" collapsed="false">
      <c r="A630" s="30" t="n">
        <v>46006</v>
      </c>
      <c r="B630" s="31" t="s">
        <v>7</v>
      </c>
      <c r="C630" s="32"/>
      <c r="D630" s="32"/>
      <c r="E630" s="19" t="n">
        <f aca="false">+F630*0.03</f>
        <v>0</v>
      </c>
      <c r="F630" s="33" t="n">
        <v>0</v>
      </c>
      <c r="G630" s="62"/>
      <c r="H630" s="35" t="n">
        <v>0</v>
      </c>
      <c r="I630" s="34" t="n">
        <f aca="false">+IF(E630=0,0,E630*0.03)</f>
        <v>0</v>
      </c>
    </row>
    <row r="631" customFormat="false" ht="15.75" hidden="false" customHeight="true" outlineLevel="0" collapsed="false">
      <c r="A631" s="30" t="n">
        <v>46007</v>
      </c>
      <c r="B631" s="31" t="s">
        <v>7</v>
      </c>
      <c r="C631" s="32"/>
      <c r="D631" s="32"/>
      <c r="E631" s="19" t="n">
        <f aca="false">+F631*0.03</f>
        <v>0</v>
      </c>
      <c r="F631" s="33" t="n">
        <v>0</v>
      </c>
      <c r="G631" s="62"/>
      <c r="H631" s="35" t="n">
        <v>0</v>
      </c>
      <c r="I631" s="34" t="n">
        <f aca="false">+IF(E631=0,0,E631*0.03)</f>
        <v>0</v>
      </c>
    </row>
    <row r="632" customFormat="false" ht="15.75" hidden="false" customHeight="true" outlineLevel="0" collapsed="false">
      <c r="A632" s="30" t="n">
        <v>46008</v>
      </c>
      <c r="B632" s="31" t="s">
        <v>7</v>
      </c>
      <c r="C632" s="32"/>
      <c r="D632" s="32"/>
      <c r="E632" s="19" t="n">
        <f aca="false">+F632*0.03</f>
        <v>0</v>
      </c>
      <c r="F632" s="33" t="n">
        <v>0</v>
      </c>
      <c r="G632" s="62"/>
      <c r="H632" s="35" t="n">
        <v>0</v>
      </c>
      <c r="I632" s="34" t="n">
        <f aca="false">+IF(E632=0,0,E632*0.03)</f>
        <v>0</v>
      </c>
    </row>
    <row r="633" customFormat="false" ht="15.75" hidden="false" customHeight="true" outlineLevel="0" collapsed="false">
      <c r="A633" s="30" t="n">
        <v>46009</v>
      </c>
      <c r="B633" s="31" t="s">
        <v>7</v>
      </c>
      <c r="C633" s="32"/>
      <c r="D633" s="32"/>
      <c r="E633" s="19" t="n">
        <f aca="false">+F633*0.03</f>
        <v>0</v>
      </c>
      <c r="F633" s="33" t="n">
        <v>0</v>
      </c>
      <c r="G633" s="62"/>
      <c r="H633" s="35" t="n">
        <v>0</v>
      </c>
      <c r="I633" s="34" t="n">
        <f aca="false">+IF(E633=0,0,E633*0.03)</f>
        <v>0</v>
      </c>
    </row>
    <row r="634" customFormat="false" ht="15.75" hidden="false" customHeight="true" outlineLevel="0" collapsed="false">
      <c r="A634" s="30" t="n">
        <v>46010</v>
      </c>
      <c r="B634" s="31" t="s">
        <v>7</v>
      </c>
      <c r="C634" s="32"/>
      <c r="D634" s="32"/>
      <c r="E634" s="19" t="n">
        <f aca="false">+F634*0.03</f>
        <v>0</v>
      </c>
      <c r="F634" s="33" t="n">
        <v>0</v>
      </c>
      <c r="G634" s="62"/>
      <c r="H634" s="35" t="n">
        <v>0</v>
      </c>
      <c r="I634" s="34" t="n">
        <f aca="false">+IF(E634=0,0,E634*0.03)</f>
        <v>0</v>
      </c>
    </row>
    <row r="635" customFormat="false" ht="15.75" hidden="false" customHeight="true" outlineLevel="0" collapsed="false">
      <c r="A635" s="30" t="n">
        <v>46011</v>
      </c>
      <c r="B635" s="31" t="s">
        <v>7</v>
      </c>
      <c r="C635" s="32"/>
      <c r="D635" s="32"/>
      <c r="E635" s="19" t="n">
        <f aca="false">+F635*0.03</f>
        <v>0</v>
      </c>
      <c r="F635" s="33" t="n">
        <v>0</v>
      </c>
      <c r="G635" s="62"/>
      <c r="H635" s="35" t="n">
        <v>0</v>
      </c>
      <c r="I635" s="34" t="n">
        <f aca="false">+IF(E635=0,0,E635*0.03)</f>
        <v>0</v>
      </c>
    </row>
    <row r="636" customFormat="false" ht="15.75" hidden="false" customHeight="true" outlineLevel="0" collapsed="false">
      <c r="A636" s="30" t="n">
        <v>46012</v>
      </c>
      <c r="B636" s="31" t="s">
        <v>7</v>
      </c>
      <c r="C636" s="32"/>
      <c r="D636" s="32"/>
      <c r="E636" s="19" t="n">
        <f aca="false">+F636*0.03</f>
        <v>0</v>
      </c>
      <c r="F636" s="33" t="n">
        <v>0</v>
      </c>
      <c r="G636" s="62"/>
      <c r="H636" s="35" t="n">
        <v>0</v>
      </c>
      <c r="I636" s="34" t="n">
        <f aca="false">+IF(E636=0,0,E636*0.03)</f>
        <v>0</v>
      </c>
    </row>
    <row r="637" customFormat="false" ht="15.75" hidden="false" customHeight="true" outlineLevel="0" collapsed="false">
      <c r="A637" s="30" t="n">
        <v>46013</v>
      </c>
      <c r="B637" s="31" t="s">
        <v>7</v>
      </c>
      <c r="C637" s="32"/>
      <c r="D637" s="32"/>
      <c r="E637" s="19" t="n">
        <f aca="false">+F637*0.03</f>
        <v>0</v>
      </c>
      <c r="F637" s="33" t="n">
        <v>0</v>
      </c>
      <c r="G637" s="62"/>
      <c r="H637" s="35" t="n">
        <v>0</v>
      </c>
      <c r="I637" s="34" t="n">
        <f aca="false">+IF(E637=0,0,E637*0.03)</f>
        <v>0</v>
      </c>
    </row>
    <row r="638" customFormat="false" ht="15.75" hidden="false" customHeight="true" outlineLevel="0" collapsed="false">
      <c r="A638" s="30" t="n">
        <v>46014</v>
      </c>
      <c r="B638" s="31" t="s">
        <v>7</v>
      </c>
      <c r="C638" s="32"/>
      <c r="D638" s="32"/>
      <c r="E638" s="19" t="n">
        <f aca="false">+F638*0.03</f>
        <v>0</v>
      </c>
      <c r="F638" s="33" t="n">
        <v>0</v>
      </c>
      <c r="G638" s="62"/>
      <c r="H638" s="35" t="n">
        <v>0</v>
      </c>
      <c r="I638" s="34" t="n">
        <f aca="false">+IF(E638=0,0,E638*0.03)</f>
        <v>0</v>
      </c>
    </row>
    <row r="639" customFormat="false" ht="15.75" hidden="false" customHeight="true" outlineLevel="0" collapsed="false">
      <c r="A639" s="30" t="n">
        <v>46015</v>
      </c>
      <c r="B639" s="31" t="s">
        <v>7</v>
      </c>
      <c r="C639" s="32"/>
      <c r="D639" s="32"/>
      <c r="E639" s="19" t="n">
        <f aca="false">+F639*0.03</f>
        <v>0</v>
      </c>
      <c r="F639" s="33" t="n">
        <v>0</v>
      </c>
      <c r="G639" s="62"/>
      <c r="H639" s="35" t="n">
        <v>0</v>
      </c>
      <c r="I639" s="34" t="n">
        <f aca="false">+IF(E639=0,0,E639*0.03)</f>
        <v>0</v>
      </c>
    </row>
    <row r="640" customFormat="false" ht="15.75" hidden="false" customHeight="true" outlineLevel="0" collapsed="false">
      <c r="A640" s="30" t="n">
        <v>46016</v>
      </c>
      <c r="B640" s="31" t="s">
        <v>7</v>
      </c>
      <c r="C640" s="32"/>
      <c r="D640" s="32"/>
      <c r="E640" s="19" t="n">
        <f aca="false">+F640*0.03</f>
        <v>0</v>
      </c>
      <c r="F640" s="33" t="n">
        <v>0</v>
      </c>
      <c r="G640" s="62"/>
      <c r="H640" s="35" t="n">
        <v>0</v>
      </c>
      <c r="I640" s="34" t="n">
        <f aca="false">+IF(E640=0,0,E640*0.03)</f>
        <v>0</v>
      </c>
    </row>
    <row r="641" customFormat="false" ht="15.75" hidden="false" customHeight="true" outlineLevel="0" collapsed="false">
      <c r="A641" s="30" t="n">
        <v>46017</v>
      </c>
      <c r="B641" s="31" t="s">
        <v>7</v>
      </c>
      <c r="C641" s="32"/>
      <c r="D641" s="32"/>
      <c r="E641" s="19" t="n">
        <f aca="false">+F641*0.03</f>
        <v>0</v>
      </c>
      <c r="F641" s="33" t="n">
        <v>0</v>
      </c>
      <c r="G641" s="62"/>
      <c r="H641" s="35" t="n">
        <v>0</v>
      </c>
      <c r="I641" s="34" t="n">
        <f aca="false">+IF(E641=0,0,E641*0.03)</f>
        <v>0</v>
      </c>
    </row>
    <row r="642" customFormat="false" ht="15.75" hidden="false" customHeight="true" outlineLevel="0" collapsed="false">
      <c r="A642" s="30" t="n">
        <v>46018</v>
      </c>
      <c r="B642" s="31" t="s">
        <v>7</v>
      </c>
      <c r="C642" s="32"/>
      <c r="D642" s="32"/>
      <c r="E642" s="19" t="n">
        <f aca="false">+F642*0.03</f>
        <v>0</v>
      </c>
      <c r="F642" s="33" t="n">
        <v>0</v>
      </c>
      <c r="G642" s="62"/>
      <c r="H642" s="35" t="n">
        <v>0</v>
      </c>
      <c r="I642" s="34" t="n">
        <f aca="false">+IF(E642=0,0,E642*0.03)</f>
        <v>0</v>
      </c>
    </row>
    <row r="643" customFormat="false" ht="15.75" hidden="false" customHeight="true" outlineLevel="0" collapsed="false">
      <c r="A643" s="30" t="n">
        <v>46019</v>
      </c>
      <c r="B643" s="31" t="s">
        <v>7</v>
      </c>
      <c r="C643" s="32"/>
      <c r="D643" s="32"/>
      <c r="E643" s="19" t="n">
        <f aca="false">+F643*0.03</f>
        <v>0</v>
      </c>
      <c r="F643" s="33" t="n">
        <v>0</v>
      </c>
      <c r="G643" s="62"/>
      <c r="H643" s="35" t="n">
        <v>0</v>
      </c>
      <c r="I643" s="34" t="n">
        <f aca="false">+IF(E643=0,0,E643*0.03)</f>
        <v>0</v>
      </c>
    </row>
    <row r="644" customFormat="false" ht="15.75" hidden="false" customHeight="true" outlineLevel="0" collapsed="false">
      <c r="A644" s="30" t="n">
        <v>46020</v>
      </c>
      <c r="B644" s="31" t="s">
        <v>7</v>
      </c>
      <c r="C644" s="32"/>
      <c r="D644" s="32"/>
      <c r="E644" s="19" t="n">
        <f aca="false">+F644*0.03</f>
        <v>0</v>
      </c>
      <c r="F644" s="33" t="n">
        <v>0</v>
      </c>
      <c r="G644" s="62"/>
      <c r="H644" s="35" t="n">
        <v>0</v>
      </c>
      <c r="I644" s="34" t="n">
        <f aca="false">+IF(E644=0,0,E644*0.03)</f>
        <v>0</v>
      </c>
    </row>
    <row r="645" customFormat="false" ht="15.75" hidden="false" customHeight="true" outlineLevel="0" collapsed="false">
      <c r="A645" s="30" t="n">
        <v>46021</v>
      </c>
      <c r="B645" s="31" t="s">
        <v>7</v>
      </c>
      <c r="C645" s="32"/>
      <c r="D645" s="32"/>
      <c r="E645" s="19" t="n">
        <f aca="false">+F645*0.03</f>
        <v>0</v>
      </c>
      <c r="F645" s="33" t="n">
        <v>0</v>
      </c>
      <c r="G645" s="62"/>
      <c r="H645" s="35" t="n">
        <v>0</v>
      </c>
      <c r="I645" s="34" t="n">
        <f aca="false">+IF(E645=0,0,E645*0.03)</f>
        <v>0</v>
      </c>
    </row>
    <row r="646" customFormat="false" ht="15.75" hidden="false" customHeight="true" outlineLevel="0" collapsed="false">
      <c r="A646" s="30" t="n">
        <v>46022</v>
      </c>
      <c r="B646" s="31" t="s">
        <v>7</v>
      </c>
      <c r="C646" s="32"/>
      <c r="D646" s="32"/>
      <c r="E646" s="19" t="n">
        <f aca="false">+F646*0.03</f>
        <v>0</v>
      </c>
      <c r="F646" s="33" t="n">
        <v>0</v>
      </c>
      <c r="G646" s="62"/>
      <c r="H646" s="35" t="n">
        <v>0</v>
      </c>
      <c r="I646" s="34" t="n">
        <f aca="false">+IF(E646=0,0,E646*0.03)</f>
        <v>0</v>
      </c>
    </row>
    <row r="647" customFormat="false" ht="15.75" hidden="false" customHeight="true" outlineLevel="0" collapsed="false">
      <c r="A647" s="30" t="n">
        <v>46023</v>
      </c>
      <c r="B647" s="31" t="s">
        <v>7</v>
      </c>
      <c r="C647" s="32"/>
      <c r="D647" s="32"/>
      <c r="E647" s="19" t="n">
        <f aca="false">+F647*0.03</f>
        <v>0</v>
      </c>
      <c r="F647" s="33" t="n">
        <v>0</v>
      </c>
      <c r="G647" s="62"/>
      <c r="H647" s="35" t="n">
        <v>0</v>
      </c>
      <c r="I647" s="34" t="n">
        <f aca="false">+IF(E647=0,0,E647*0.03)</f>
        <v>0</v>
      </c>
    </row>
    <row r="648" customFormat="false" ht="15.75" hidden="false" customHeight="true" outlineLevel="0" collapsed="false">
      <c r="A648" s="30" t="n">
        <v>46024</v>
      </c>
      <c r="B648" s="31" t="s">
        <v>7</v>
      </c>
      <c r="C648" s="32"/>
      <c r="D648" s="32"/>
      <c r="E648" s="19" t="n">
        <f aca="false">+F648*0.03</f>
        <v>0</v>
      </c>
      <c r="F648" s="33" t="n">
        <v>0</v>
      </c>
      <c r="G648" s="62"/>
      <c r="H648" s="35" t="n">
        <v>0</v>
      </c>
      <c r="I648" s="34" t="n">
        <f aca="false">+IF(E648=0,0,E648*0.03)</f>
        <v>0</v>
      </c>
    </row>
    <row r="649" customFormat="false" ht="15.75" hidden="false" customHeight="true" outlineLevel="0" collapsed="false">
      <c r="A649" s="30" t="n">
        <v>46025</v>
      </c>
      <c r="B649" s="31" t="s">
        <v>7</v>
      </c>
      <c r="C649" s="32"/>
      <c r="D649" s="32"/>
      <c r="E649" s="19" t="n">
        <f aca="false">+F649*0.03</f>
        <v>0</v>
      </c>
      <c r="F649" s="33" t="n">
        <v>0</v>
      </c>
      <c r="G649" s="62"/>
      <c r="H649" s="35" t="n">
        <v>0</v>
      </c>
      <c r="I649" s="34" t="n">
        <f aca="false">+IF(E649=0,0,E649*0.03)</f>
        <v>0</v>
      </c>
    </row>
    <row r="650" customFormat="false" ht="15.75" hidden="false" customHeight="true" outlineLevel="0" collapsed="false">
      <c r="A650" s="30" t="n">
        <v>46026</v>
      </c>
      <c r="B650" s="31" t="s">
        <v>7</v>
      </c>
      <c r="C650" s="32"/>
      <c r="D650" s="32"/>
      <c r="E650" s="19" t="n">
        <f aca="false">+F650*0.03</f>
        <v>0</v>
      </c>
      <c r="F650" s="33" t="n">
        <v>0</v>
      </c>
      <c r="G650" s="62"/>
      <c r="H650" s="35" t="n">
        <v>0</v>
      </c>
      <c r="I650" s="34" t="n">
        <f aca="false">+IF(E650=0,0,E650*0.03)</f>
        <v>0</v>
      </c>
    </row>
    <row r="651" customFormat="false" ht="15.75" hidden="false" customHeight="true" outlineLevel="0" collapsed="false">
      <c r="A651" s="30" t="n">
        <v>46027</v>
      </c>
      <c r="B651" s="31" t="s">
        <v>7</v>
      </c>
      <c r="C651" s="32"/>
      <c r="D651" s="32"/>
      <c r="E651" s="19" t="n">
        <f aca="false">+F651*0.03</f>
        <v>0</v>
      </c>
      <c r="F651" s="33" t="n">
        <v>0</v>
      </c>
      <c r="G651" s="62"/>
      <c r="H651" s="35" t="n">
        <v>0</v>
      </c>
      <c r="I651" s="34" t="n">
        <f aca="false">+IF(E651=0,0,E651*0.03)</f>
        <v>0</v>
      </c>
    </row>
    <row r="652" customFormat="false" ht="15.75" hidden="false" customHeight="true" outlineLevel="0" collapsed="false">
      <c r="A652" s="30" t="n">
        <v>46028</v>
      </c>
      <c r="B652" s="31" t="s">
        <v>7</v>
      </c>
      <c r="C652" s="32"/>
      <c r="D652" s="32"/>
      <c r="E652" s="19" t="n">
        <f aca="false">+F652*0.03</f>
        <v>0</v>
      </c>
      <c r="F652" s="33" t="n">
        <v>0</v>
      </c>
      <c r="G652" s="62"/>
      <c r="H652" s="35" t="n">
        <v>0</v>
      </c>
      <c r="I652" s="34" t="n">
        <f aca="false">+IF(E652=0,0,E652*0.03)</f>
        <v>0</v>
      </c>
    </row>
    <row r="653" customFormat="false" ht="15.75" hidden="false" customHeight="true" outlineLevel="0" collapsed="false">
      <c r="A653" s="30" t="n">
        <v>46029</v>
      </c>
      <c r="B653" s="31" t="s">
        <v>7</v>
      </c>
      <c r="C653" s="32"/>
      <c r="D653" s="32"/>
      <c r="E653" s="19" t="n">
        <f aca="false">+F653*0.03</f>
        <v>0</v>
      </c>
      <c r="F653" s="33" t="n">
        <v>0</v>
      </c>
      <c r="G653" s="62"/>
      <c r="H653" s="35" t="n">
        <v>0</v>
      </c>
      <c r="I653" s="34" t="n">
        <f aca="false">+IF(E653=0,0,E653*0.03)</f>
        <v>0</v>
      </c>
    </row>
    <row r="654" customFormat="false" ht="15.75" hidden="false" customHeight="true" outlineLevel="0" collapsed="false">
      <c r="A654" s="30" t="n">
        <v>46030</v>
      </c>
      <c r="B654" s="31" t="s">
        <v>7</v>
      </c>
      <c r="C654" s="32"/>
      <c r="D654" s="32"/>
      <c r="E654" s="19" t="n">
        <f aca="false">+F654*0.03</f>
        <v>0</v>
      </c>
      <c r="F654" s="33" t="n">
        <v>0</v>
      </c>
      <c r="G654" s="62"/>
      <c r="H654" s="35" t="n">
        <v>0</v>
      </c>
      <c r="I654" s="34" t="n">
        <f aca="false">+IF(E654=0,0,E654*0.03)</f>
        <v>0</v>
      </c>
    </row>
    <row r="655" customFormat="false" ht="15.75" hidden="false" customHeight="true" outlineLevel="0" collapsed="false">
      <c r="A655" s="30" t="n">
        <v>46031</v>
      </c>
      <c r="B655" s="31" t="s">
        <v>7</v>
      </c>
      <c r="C655" s="32"/>
      <c r="D655" s="32"/>
      <c r="E655" s="19" t="n">
        <f aca="false">+F655*0.03</f>
        <v>0</v>
      </c>
      <c r="F655" s="33" t="n">
        <v>0</v>
      </c>
      <c r="G655" s="62"/>
      <c r="H655" s="35" t="n">
        <v>0</v>
      </c>
      <c r="I655" s="34" t="n">
        <f aca="false">+IF(E655=0,0,E655*0.03)</f>
        <v>0</v>
      </c>
    </row>
    <row r="656" customFormat="false" ht="15.75" hidden="false" customHeight="true" outlineLevel="0" collapsed="false">
      <c r="A656" s="30" t="n">
        <v>46032</v>
      </c>
      <c r="B656" s="31" t="s">
        <v>7</v>
      </c>
      <c r="C656" s="32"/>
      <c r="D656" s="32"/>
      <c r="E656" s="19" t="n">
        <f aca="false">+F656*0.03</f>
        <v>0</v>
      </c>
      <c r="F656" s="33" t="n">
        <v>0</v>
      </c>
      <c r="G656" s="62"/>
      <c r="H656" s="35" t="n">
        <v>0</v>
      </c>
      <c r="I656" s="34" t="n">
        <f aca="false">+IF(E656=0,0,E656*0.03)</f>
        <v>0</v>
      </c>
    </row>
    <row r="657" customFormat="false" ht="15.75" hidden="false" customHeight="true" outlineLevel="0" collapsed="false">
      <c r="A657" s="30" t="n">
        <v>46033</v>
      </c>
      <c r="B657" s="31" t="s">
        <v>7</v>
      </c>
      <c r="C657" s="32"/>
      <c r="D657" s="32"/>
      <c r="E657" s="19" t="n">
        <f aca="false">+F657*0.03</f>
        <v>0</v>
      </c>
      <c r="F657" s="33" t="n">
        <v>0</v>
      </c>
      <c r="G657" s="62"/>
      <c r="H657" s="35" t="n">
        <v>0</v>
      </c>
      <c r="I657" s="34" t="n">
        <f aca="false">+IF(E657=0,0,E657*0.03)</f>
        <v>0</v>
      </c>
    </row>
    <row r="658" customFormat="false" ht="15.75" hidden="false" customHeight="true" outlineLevel="0" collapsed="false">
      <c r="A658" s="30" t="n">
        <v>46034</v>
      </c>
      <c r="B658" s="31" t="s">
        <v>7</v>
      </c>
      <c r="C658" s="32"/>
      <c r="D658" s="32"/>
      <c r="E658" s="19" t="n">
        <f aca="false">+F658*0.03</f>
        <v>0</v>
      </c>
      <c r="F658" s="33" t="n">
        <v>0</v>
      </c>
      <c r="G658" s="62"/>
      <c r="H658" s="35" t="n">
        <v>0</v>
      </c>
      <c r="I658" s="34" t="n">
        <f aca="false">+IF(E658=0,0,E658*0.03)</f>
        <v>0</v>
      </c>
    </row>
    <row r="659" customFormat="false" ht="15.75" hidden="false" customHeight="true" outlineLevel="0" collapsed="false">
      <c r="A659" s="30" t="n">
        <v>46035</v>
      </c>
      <c r="B659" s="31" t="s">
        <v>7</v>
      </c>
      <c r="C659" s="32"/>
      <c r="D659" s="32"/>
      <c r="E659" s="19" t="n">
        <f aca="false">+F659*0.03</f>
        <v>0</v>
      </c>
      <c r="F659" s="33" t="n">
        <v>0</v>
      </c>
      <c r="G659" s="62"/>
      <c r="H659" s="35" t="n">
        <v>0</v>
      </c>
      <c r="I659" s="34" t="n">
        <f aca="false">+IF(E659=0,0,E659*0.03)</f>
        <v>0</v>
      </c>
    </row>
    <row r="660" customFormat="false" ht="15.75" hidden="false" customHeight="true" outlineLevel="0" collapsed="false">
      <c r="A660" s="30" t="n">
        <v>46036</v>
      </c>
      <c r="B660" s="31" t="s">
        <v>7</v>
      </c>
      <c r="C660" s="32"/>
      <c r="D660" s="32"/>
      <c r="E660" s="19" t="n">
        <f aca="false">+F660*0.03</f>
        <v>0</v>
      </c>
      <c r="F660" s="33" t="n">
        <v>0</v>
      </c>
      <c r="G660" s="62"/>
      <c r="H660" s="35" t="n">
        <v>0</v>
      </c>
      <c r="I660" s="34" t="n">
        <f aca="false">+IF(E660=0,0,E660*0.03)</f>
        <v>0</v>
      </c>
    </row>
    <row r="661" customFormat="false" ht="15.75" hidden="false" customHeight="true" outlineLevel="0" collapsed="false">
      <c r="A661" s="30" t="n">
        <v>46037</v>
      </c>
      <c r="B661" s="31" t="s">
        <v>7</v>
      </c>
      <c r="C661" s="32"/>
      <c r="D661" s="32"/>
      <c r="E661" s="19" t="n">
        <f aca="false">+F661*0.03</f>
        <v>0</v>
      </c>
      <c r="F661" s="33" t="n">
        <v>0</v>
      </c>
      <c r="G661" s="62"/>
      <c r="H661" s="35" t="n">
        <v>0</v>
      </c>
      <c r="I661" s="34" t="n">
        <f aca="false">+IF(E661=0,0,E661*0.03)</f>
        <v>0</v>
      </c>
    </row>
    <row r="662" customFormat="false" ht="15.75" hidden="false" customHeight="true" outlineLevel="0" collapsed="false">
      <c r="A662" s="30" t="n">
        <v>46038</v>
      </c>
      <c r="B662" s="31" t="s">
        <v>7</v>
      </c>
      <c r="C662" s="32"/>
      <c r="D662" s="32"/>
      <c r="E662" s="19" t="n">
        <f aca="false">+F662*0.03</f>
        <v>0</v>
      </c>
      <c r="F662" s="33" t="n">
        <v>0</v>
      </c>
      <c r="G662" s="62"/>
      <c r="H662" s="35" t="n">
        <v>0</v>
      </c>
      <c r="I662" s="34" t="n">
        <f aca="false">+IF(E662=0,0,E662*0.03)</f>
        <v>0</v>
      </c>
    </row>
    <row r="663" customFormat="false" ht="15.75" hidden="false" customHeight="true" outlineLevel="0" collapsed="false">
      <c r="A663" s="30" t="n">
        <v>46039</v>
      </c>
      <c r="B663" s="31" t="s">
        <v>7</v>
      </c>
      <c r="C663" s="32"/>
      <c r="D663" s="32"/>
      <c r="E663" s="19" t="n">
        <f aca="false">+F663*0.03</f>
        <v>0</v>
      </c>
      <c r="F663" s="33" t="n">
        <v>0</v>
      </c>
      <c r="G663" s="62"/>
      <c r="H663" s="35" t="n">
        <v>0</v>
      </c>
      <c r="I663" s="34" t="n">
        <f aca="false">+IF(E663=0,0,E663*0.03)</f>
        <v>0</v>
      </c>
    </row>
    <row r="664" customFormat="false" ht="15.75" hidden="false" customHeight="true" outlineLevel="0" collapsed="false">
      <c r="A664" s="30" t="n">
        <v>46040</v>
      </c>
      <c r="B664" s="31" t="s">
        <v>7</v>
      </c>
      <c r="C664" s="32"/>
      <c r="D664" s="32"/>
      <c r="E664" s="19" t="n">
        <f aca="false">+F664*0.03</f>
        <v>0</v>
      </c>
      <c r="F664" s="33" t="n">
        <v>0</v>
      </c>
      <c r="G664" s="62"/>
      <c r="H664" s="35" t="n">
        <v>0</v>
      </c>
      <c r="I664" s="34" t="n">
        <f aca="false">+IF(E664=0,0,E664*0.03)</f>
        <v>0</v>
      </c>
    </row>
    <row r="665" customFormat="false" ht="15.75" hidden="false" customHeight="true" outlineLevel="0" collapsed="false">
      <c r="A665" s="30" t="n">
        <v>46041</v>
      </c>
      <c r="B665" s="31" t="s">
        <v>7</v>
      </c>
      <c r="C665" s="32"/>
      <c r="D665" s="32"/>
      <c r="E665" s="19" t="n">
        <f aca="false">+F665*0.03</f>
        <v>0</v>
      </c>
      <c r="F665" s="33" t="n">
        <v>0</v>
      </c>
      <c r="G665" s="62"/>
      <c r="H665" s="35" t="n">
        <v>0</v>
      </c>
      <c r="I665" s="34" t="n">
        <f aca="false">+IF(E665=0,0,E665*0.03)</f>
        <v>0</v>
      </c>
    </row>
    <row r="666" customFormat="false" ht="15.75" hidden="false" customHeight="true" outlineLevel="0" collapsed="false">
      <c r="A666" s="30" t="n">
        <v>46042</v>
      </c>
      <c r="B666" s="31" t="s">
        <v>7</v>
      </c>
      <c r="C666" s="32"/>
      <c r="D666" s="32"/>
      <c r="E666" s="19" t="n">
        <f aca="false">+F666*0.03</f>
        <v>0</v>
      </c>
      <c r="F666" s="33" t="n">
        <v>0</v>
      </c>
      <c r="G666" s="62"/>
      <c r="H666" s="35" t="n">
        <v>0</v>
      </c>
      <c r="I666" s="34" t="n">
        <f aca="false">+IF(E666=0,0,E666*0.03)</f>
        <v>0</v>
      </c>
    </row>
    <row r="667" customFormat="false" ht="15.75" hidden="false" customHeight="true" outlineLevel="0" collapsed="false">
      <c r="A667" s="30" t="n">
        <v>46043</v>
      </c>
      <c r="B667" s="31" t="s">
        <v>7</v>
      </c>
      <c r="C667" s="32"/>
      <c r="D667" s="32"/>
      <c r="E667" s="19" t="n">
        <f aca="false">+F667*0.03</f>
        <v>0</v>
      </c>
      <c r="F667" s="33" t="n">
        <v>0</v>
      </c>
      <c r="G667" s="62"/>
      <c r="H667" s="35" t="n">
        <v>0</v>
      </c>
      <c r="I667" s="34" t="n">
        <f aca="false">+IF(E667=0,0,E667*0.03)</f>
        <v>0</v>
      </c>
    </row>
    <row r="668" customFormat="false" ht="15.75" hidden="false" customHeight="true" outlineLevel="0" collapsed="false">
      <c r="A668" s="30" t="n">
        <v>46044</v>
      </c>
      <c r="B668" s="31" t="s">
        <v>7</v>
      </c>
      <c r="C668" s="32"/>
      <c r="D668" s="32"/>
      <c r="E668" s="19" t="n">
        <f aca="false">+F668*0.03</f>
        <v>0</v>
      </c>
      <c r="F668" s="33" t="n">
        <v>0</v>
      </c>
      <c r="G668" s="62"/>
      <c r="H668" s="35" t="n">
        <v>0</v>
      </c>
      <c r="I668" s="34" t="n">
        <f aca="false">+IF(E668=0,0,E668*0.03)</f>
        <v>0</v>
      </c>
    </row>
    <row r="669" customFormat="false" ht="15.75" hidden="false" customHeight="true" outlineLevel="0" collapsed="false">
      <c r="A669" s="30" t="n">
        <v>46045</v>
      </c>
      <c r="B669" s="31" t="s">
        <v>7</v>
      </c>
      <c r="C669" s="32"/>
      <c r="D669" s="32"/>
      <c r="E669" s="19" t="n">
        <f aca="false">+F669*0.03</f>
        <v>0</v>
      </c>
      <c r="F669" s="33" t="n">
        <v>0</v>
      </c>
      <c r="G669" s="62"/>
      <c r="H669" s="35" t="n">
        <v>0</v>
      </c>
      <c r="I669" s="34" t="n">
        <f aca="false">+IF(E669=0,0,E669*0.03)</f>
        <v>0</v>
      </c>
    </row>
    <row r="670" customFormat="false" ht="15.75" hidden="false" customHeight="true" outlineLevel="0" collapsed="false">
      <c r="A670" s="30" t="n">
        <v>46046</v>
      </c>
      <c r="B670" s="31" t="s">
        <v>7</v>
      </c>
      <c r="C670" s="32"/>
      <c r="D670" s="32"/>
      <c r="E670" s="19" t="n">
        <f aca="false">+F670*0.03</f>
        <v>0</v>
      </c>
      <c r="F670" s="33" t="n">
        <v>0</v>
      </c>
      <c r="G670" s="62"/>
      <c r="H670" s="35" t="n">
        <v>0</v>
      </c>
      <c r="I670" s="34" t="n">
        <f aca="false">+IF(E670=0,0,E670*0.03)</f>
        <v>0</v>
      </c>
    </row>
    <row r="671" customFormat="false" ht="15.75" hidden="false" customHeight="true" outlineLevel="0" collapsed="false">
      <c r="A671" s="30" t="n">
        <v>46047</v>
      </c>
      <c r="B671" s="31" t="s">
        <v>7</v>
      </c>
      <c r="C671" s="32"/>
      <c r="D671" s="32"/>
      <c r="E671" s="19" t="n">
        <f aca="false">+F671*0.03</f>
        <v>0</v>
      </c>
      <c r="F671" s="33" t="n">
        <v>0</v>
      </c>
      <c r="G671" s="62"/>
      <c r="H671" s="35" t="n">
        <v>0</v>
      </c>
      <c r="I671" s="34" t="n">
        <f aca="false">+IF(E671=0,0,E671*0.03)</f>
        <v>0</v>
      </c>
    </row>
    <row r="672" customFormat="false" ht="15.75" hidden="false" customHeight="true" outlineLevel="0" collapsed="false">
      <c r="A672" s="30" t="n">
        <v>46048</v>
      </c>
      <c r="B672" s="31" t="s">
        <v>7</v>
      </c>
      <c r="C672" s="32"/>
      <c r="D672" s="32"/>
      <c r="E672" s="19" t="n">
        <f aca="false">+F672*0.03</f>
        <v>0</v>
      </c>
      <c r="F672" s="33" t="n">
        <v>0</v>
      </c>
      <c r="G672" s="62"/>
      <c r="H672" s="35" t="n">
        <v>0</v>
      </c>
      <c r="I672" s="34" t="n">
        <f aca="false">+IF(E672=0,0,E672*0.03)</f>
        <v>0</v>
      </c>
    </row>
    <row r="673" customFormat="false" ht="15.75" hidden="false" customHeight="true" outlineLevel="0" collapsed="false">
      <c r="A673" s="30" t="n">
        <v>46049</v>
      </c>
      <c r="B673" s="31" t="s">
        <v>7</v>
      </c>
      <c r="C673" s="32"/>
      <c r="D673" s="32"/>
      <c r="E673" s="19" t="n">
        <f aca="false">+F673*0.03</f>
        <v>0</v>
      </c>
      <c r="F673" s="33" t="n">
        <v>0</v>
      </c>
      <c r="G673" s="62"/>
      <c r="H673" s="35" t="n">
        <v>0</v>
      </c>
      <c r="I673" s="34" t="n">
        <f aca="false">+IF(E673=0,0,E673*0.03)</f>
        <v>0</v>
      </c>
    </row>
    <row r="674" customFormat="false" ht="15.75" hidden="false" customHeight="true" outlineLevel="0" collapsed="false">
      <c r="A674" s="30" t="n">
        <v>46050</v>
      </c>
      <c r="B674" s="31" t="s">
        <v>7</v>
      </c>
      <c r="C674" s="32"/>
      <c r="D674" s="32"/>
      <c r="E674" s="19" t="n">
        <f aca="false">+F674*0.03</f>
        <v>0</v>
      </c>
      <c r="F674" s="33" t="n">
        <v>0</v>
      </c>
      <c r="G674" s="62"/>
      <c r="H674" s="35" t="n">
        <v>0</v>
      </c>
      <c r="I674" s="34" t="n">
        <f aca="false">+IF(E674=0,0,E674*0.03)</f>
        <v>0</v>
      </c>
    </row>
    <row r="675" customFormat="false" ht="15.75" hidden="false" customHeight="true" outlineLevel="0" collapsed="false">
      <c r="A675" s="30" t="n">
        <v>46051</v>
      </c>
      <c r="B675" s="31" t="s">
        <v>7</v>
      </c>
      <c r="C675" s="32"/>
      <c r="D675" s="32"/>
      <c r="E675" s="19" t="n">
        <f aca="false">+F675*0.03</f>
        <v>0</v>
      </c>
      <c r="F675" s="33" t="n">
        <v>0</v>
      </c>
      <c r="G675" s="62"/>
      <c r="H675" s="35" t="n">
        <v>0</v>
      </c>
      <c r="I675" s="34" t="n">
        <f aca="false">+IF(E675=0,0,E675*0.03)</f>
        <v>0</v>
      </c>
    </row>
    <row r="676" customFormat="false" ht="15.75" hidden="false" customHeight="true" outlineLevel="0" collapsed="false">
      <c r="A676" s="30" t="n">
        <v>46052</v>
      </c>
      <c r="B676" s="31" t="s">
        <v>7</v>
      </c>
      <c r="C676" s="32"/>
      <c r="D676" s="32"/>
      <c r="E676" s="19" t="n">
        <f aca="false">+F676*0.03</f>
        <v>0</v>
      </c>
      <c r="F676" s="33" t="n">
        <v>0</v>
      </c>
      <c r="G676" s="62"/>
      <c r="H676" s="35" t="n">
        <v>0</v>
      </c>
      <c r="I676" s="34" t="n">
        <f aca="false">+IF(E676=0,0,E676*0.03)</f>
        <v>0</v>
      </c>
    </row>
    <row r="677" customFormat="false" ht="15.75" hidden="false" customHeight="true" outlineLevel="0" collapsed="false">
      <c r="A677" s="30" t="n">
        <v>46053</v>
      </c>
      <c r="B677" s="31" t="s">
        <v>7</v>
      </c>
      <c r="C677" s="32"/>
      <c r="D677" s="32"/>
      <c r="E677" s="19" t="n">
        <f aca="false">+F677*0.03</f>
        <v>0</v>
      </c>
      <c r="F677" s="33" t="n">
        <v>0</v>
      </c>
      <c r="G677" s="62"/>
      <c r="H677" s="35" t="n">
        <v>0</v>
      </c>
      <c r="I677" s="34" t="n">
        <f aca="false">+IF(E677=0,0,E677*0.03)</f>
        <v>0</v>
      </c>
    </row>
    <row r="678" customFormat="false" ht="15.75" hidden="false" customHeight="true" outlineLevel="0" collapsed="false">
      <c r="A678" s="30" t="n">
        <v>46054</v>
      </c>
      <c r="B678" s="31" t="s">
        <v>7</v>
      </c>
      <c r="C678" s="32"/>
      <c r="D678" s="32"/>
      <c r="E678" s="19" t="n">
        <f aca="false">+F678*0.03</f>
        <v>0</v>
      </c>
      <c r="F678" s="33" t="n">
        <v>0</v>
      </c>
      <c r="G678" s="62"/>
      <c r="H678" s="35" t="n">
        <v>0</v>
      </c>
      <c r="I678" s="34" t="n">
        <f aca="false">+IF(E678=0,0,E678*0.03)</f>
        <v>0</v>
      </c>
    </row>
    <row r="679" customFormat="false" ht="15.75" hidden="false" customHeight="true" outlineLevel="0" collapsed="false">
      <c r="A679" s="30" t="n">
        <v>46055</v>
      </c>
      <c r="B679" s="31" t="s">
        <v>7</v>
      </c>
      <c r="C679" s="32"/>
      <c r="D679" s="32"/>
      <c r="E679" s="19" t="n">
        <f aca="false">+F679*0.03</f>
        <v>0</v>
      </c>
      <c r="F679" s="33" t="n">
        <v>0</v>
      </c>
      <c r="G679" s="62"/>
      <c r="H679" s="35" t="n">
        <v>0</v>
      </c>
      <c r="I679" s="34" t="n">
        <f aca="false">+IF(E679=0,0,E679*0.03)</f>
        <v>0</v>
      </c>
    </row>
    <row r="680" customFormat="false" ht="15.75" hidden="false" customHeight="true" outlineLevel="0" collapsed="false">
      <c r="A680" s="30" t="n">
        <v>46056</v>
      </c>
      <c r="B680" s="31" t="s">
        <v>7</v>
      </c>
      <c r="C680" s="32"/>
      <c r="D680" s="32"/>
      <c r="E680" s="19" t="n">
        <f aca="false">+F680*0.03</f>
        <v>0</v>
      </c>
      <c r="F680" s="33" t="n">
        <v>0</v>
      </c>
      <c r="G680" s="62"/>
      <c r="H680" s="35" t="n">
        <v>0</v>
      </c>
      <c r="I680" s="34" t="n">
        <f aca="false">+IF(E680=0,0,E680*0.03)</f>
        <v>0</v>
      </c>
    </row>
    <row r="681" customFormat="false" ht="15.75" hidden="false" customHeight="true" outlineLevel="0" collapsed="false">
      <c r="A681" s="30" t="n">
        <v>46057</v>
      </c>
      <c r="B681" s="31" t="s">
        <v>7</v>
      </c>
      <c r="C681" s="32"/>
      <c r="D681" s="32"/>
      <c r="E681" s="19" t="n">
        <f aca="false">+F681*0.03</f>
        <v>0</v>
      </c>
      <c r="F681" s="33" t="n">
        <v>0</v>
      </c>
      <c r="G681" s="62"/>
      <c r="H681" s="35" t="n">
        <v>0</v>
      </c>
      <c r="I681" s="34" t="n">
        <f aca="false">+IF(E681=0,0,E681*0.03)</f>
        <v>0</v>
      </c>
    </row>
    <row r="682" customFormat="false" ht="15.75" hidden="false" customHeight="true" outlineLevel="0" collapsed="false">
      <c r="A682" s="30" t="n">
        <v>46058</v>
      </c>
      <c r="B682" s="31" t="s">
        <v>7</v>
      </c>
      <c r="C682" s="32"/>
      <c r="D682" s="32"/>
      <c r="E682" s="19" t="n">
        <f aca="false">+F682*0.03</f>
        <v>0</v>
      </c>
      <c r="F682" s="33" t="n">
        <v>0</v>
      </c>
      <c r="G682" s="62"/>
      <c r="H682" s="35" t="n">
        <v>0</v>
      </c>
      <c r="I682" s="34" t="n">
        <f aca="false">+IF(E682=0,0,E682*0.03)</f>
        <v>0</v>
      </c>
    </row>
    <row r="683" customFormat="false" ht="15.75" hidden="false" customHeight="true" outlineLevel="0" collapsed="false">
      <c r="A683" s="30" t="n">
        <v>46059</v>
      </c>
      <c r="B683" s="31" t="s">
        <v>7</v>
      </c>
      <c r="C683" s="32"/>
      <c r="D683" s="32"/>
      <c r="E683" s="19" t="n">
        <f aca="false">+F683*0.03</f>
        <v>0</v>
      </c>
      <c r="F683" s="33" t="n">
        <v>0</v>
      </c>
      <c r="G683" s="62"/>
      <c r="H683" s="35" t="n">
        <v>0</v>
      </c>
      <c r="I683" s="34" t="n">
        <f aca="false">+IF(E683=0,0,E683*0.03)</f>
        <v>0</v>
      </c>
    </row>
    <row r="684" customFormat="false" ht="15.75" hidden="false" customHeight="true" outlineLevel="0" collapsed="false">
      <c r="A684" s="30" t="n">
        <v>46060</v>
      </c>
      <c r="B684" s="31" t="s">
        <v>7</v>
      </c>
      <c r="C684" s="32"/>
      <c r="D684" s="32"/>
      <c r="E684" s="19" t="n">
        <f aca="false">+F684*0.03</f>
        <v>0</v>
      </c>
      <c r="F684" s="33" t="n">
        <v>0</v>
      </c>
      <c r="G684" s="62"/>
      <c r="H684" s="35" t="n">
        <v>0</v>
      </c>
      <c r="I684" s="34" t="n">
        <f aca="false">+IF(E684=0,0,E684*0.03)</f>
        <v>0</v>
      </c>
    </row>
    <row r="685" customFormat="false" ht="15.75" hidden="false" customHeight="true" outlineLevel="0" collapsed="false">
      <c r="A685" s="30" t="n">
        <v>46061</v>
      </c>
      <c r="B685" s="31" t="s">
        <v>7</v>
      </c>
      <c r="C685" s="32"/>
      <c r="D685" s="32"/>
      <c r="E685" s="19" t="n">
        <f aca="false">+F685*0.03</f>
        <v>0</v>
      </c>
      <c r="F685" s="33" t="n">
        <v>0</v>
      </c>
      <c r="G685" s="62"/>
      <c r="H685" s="35" t="n">
        <v>0</v>
      </c>
      <c r="I685" s="34" t="n">
        <f aca="false">+IF(E685=0,0,E685*0.03)</f>
        <v>0</v>
      </c>
    </row>
    <row r="686" customFormat="false" ht="15.75" hidden="false" customHeight="true" outlineLevel="0" collapsed="false">
      <c r="A686" s="30" t="n">
        <v>46062</v>
      </c>
      <c r="B686" s="31" t="s">
        <v>7</v>
      </c>
      <c r="C686" s="32"/>
      <c r="D686" s="32"/>
      <c r="E686" s="19" t="n">
        <f aca="false">+F686*0.03</f>
        <v>0</v>
      </c>
      <c r="F686" s="33" t="n">
        <v>0</v>
      </c>
      <c r="G686" s="62"/>
      <c r="H686" s="35" t="n">
        <v>0</v>
      </c>
      <c r="I686" s="34" t="n">
        <f aca="false">+IF(E686=0,0,E686*0.03)</f>
        <v>0</v>
      </c>
    </row>
    <row r="687" customFormat="false" ht="15.75" hidden="false" customHeight="true" outlineLevel="0" collapsed="false">
      <c r="A687" s="30" t="n">
        <v>46063</v>
      </c>
      <c r="B687" s="31" t="s">
        <v>7</v>
      </c>
      <c r="C687" s="32"/>
      <c r="D687" s="32"/>
      <c r="E687" s="19" t="n">
        <f aca="false">+F687*0.03</f>
        <v>0</v>
      </c>
      <c r="F687" s="33" t="n">
        <v>0</v>
      </c>
      <c r="G687" s="62"/>
      <c r="H687" s="35" t="n">
        <v>0</v>
      </c>
      <c r="I687" s="34" t="n">
        <f aca="false">+IF(E687=0,0,E687*0.03)</f>
        <v>0</v>
      </c>
    </row>
    <row r="688" customFormat="false" ht="15.75" hidden="false" customHeight="true" outlineLevel="0" collapsed="false">
      <c r="A688" s="30" t="n">
        <v>46064</v>
      </c>
      <c r="B688" s="31" t="s">
        <v>7</v>
      </c>
      <c r="C688" s="32"/>
      <c r="D688" s="32"/>
      <c r="E688" s="19" t="n">
        <f aca="false">+F688*0.03</f>
        <v>0</v>
      </c>
      <c r="F688" s="33" t="n">
        <v>0</v>
      </c>
      <c r="G688" s="62"/>
      <c r="H688" s="35" t="n">
        <v>0</v>
      </c>
      <c r="I688" s="34" t="n">
        <f aca="false">+IF(E688=0,0,E688*0.03)</f>
        <v>0</v>
      </c>
    </row>
    <row r="689" customFormat="false" ht="15.75" hidden="false" customHeight="true" outlineLevel="0" collapsed="false">
      <c r="A689" s="30" t="n">
        <v>46065</v>
      </c>
      <c r="B689" s="31" t="s">
        <v>7</v>
      </c>
      <c r="C689" s="32"/>
      <c r="D689" s="32"/>
      <c r="E689" s="19" t="n">
        <f aca="false">+F689*0.03</f>
        <v>0</v>
      </c>
      <c r="F689" s="33" t="n">
        <v>0</v>
      </c>
      <c r="G689" s="62"/>
      <c r="H689" s="35" t="n">
        <v>0</v>
      </c>
      <c r="I689" s="34" t="n">
        <f aca="false">+IF(E689=0,0,E689*0.03)</f>
        <v>0</v>
      </c>
    </row>
    <row r="690" customFormat="false" ht="15.75" hidden="false" customHeight="true" outlineLevel="0" collapsed="false">
      <c r="A690" s="30" t="n">
        <v>46066</v>
      </c>
      <c r="B690" s="31" t="s">
        <v>7</v>
      </c>
      <c r="C690" s="32"/>
      <c r="D690" s="32"/>
      <c r="E690" s="19" t="n">
        <f aca="false">+F690*0.03</f>
        <v>0</v>
      </c>
      <c r="F690" s="33" t="n">
        <v>0</v>
      </c>
      <c r="G690" s="62"/>
      <c r="H690" s="35" t="n">
        <v>0</v>
      </c>
      <c r="I690" s="34" t="n">
        <f aca="false">+IF(E690=0,0,E690*0.03)</f>
        <v>0</v>
      </c>
    </row>
    <row r="691" customFormat="false" ht="15.75" hidden="false" customHeight="true" outlineLevel="0" collapsed="false">
      <c r="A691" s="30" t="n">
        <v>46067</v>
      </c>
      <c r="B691" s="31" t="s">
        <v>7</v>
      </c>
      <c r="C691" s="32"/>
      <c r="D691" s="32"/>
      <c r="E691" s="19" t="n">
        <f aca="false">+F691*0.03</f>
        <v>0</v>
      </c>
      <c r="F691" s="33" t="n">
        <v>0</v>
      </c>
      <c r="G691" s="62"/>
      <c r="H691" s="35" t="n">
        <v>0</v>
      </c>
      <c r="I691" s="34" t="n">
        <f aca="false">+IF(E691=0,0,E691*0.03)</f>
        <v>0</v>
      </c>
    </row>
    <row r="692" customFormat="false" ht="15.75" hidden="false" customHeight="true" outlineLevel="0" collapsed="false">
      <c r="A692" s="30" t="n">
        <v>46068</v>
      </c>
      <c r="B692" s="31" t="s">
        <v>7</v>
      </c>
      <c r="C692" s="32"/>
      <c r="D692" s="32"/>
      <c r="E692" s="19" t="n">
        <f aca="false">+F692*0.03</f>
        <v>0</v>
      </c>
      <c r="F692" s="33" t="n">
        <v>0</v>
      </c>
      <c r="G692" s="62"/>
      <c r="H692" s="35" t="n">
        <v>0</v>
      </c>
      <c r="I692" s="34" t="n">
        <f aca="false">+IF(E692=0,0,E692*0.03)</f>
        <v>0</v>
      </c>
    </row>
    <row r="693" customFormat="false" ht="15.75" hidden="false" customHeight="true" outlineLevel="0" collapsed="false">
      <c r="A693" s="30" t="n">
        <v>46069</v>
      </c>
      <c r="B693" s="31" t="s">
        <v>7</v>
      </c>
      <c r="C693" s="32"/>
      <c r="D693" s="32"/>
      <c r="E693" s="19" t="n">
        <f aca="false">+F693*0.03</f>
        <v>0</v>
      </c>
      <c r="F693" s="33" t="n">
        <v>0</v>
      </c>
      <c r="G693" s="62"/>
      <c r="H693" s="35" t="n">
        <v>0</v>
      </c>
      <c r="I693" s="34" t="n">
        <f aca="false">+IF(E693=0,0,E693*0.03)</f>
        <v>0</v>
      </c>
    </row>
    <row r="694" customFormat="false" ht="15.75" hidden="false" customHeight="true" outlineLevel="0" collapsed="false">
      <c r="A694" s="30" t="n">
        <v>46070</v>
      </c>
      <c r="B694" s="31" t="s">
        <v>7</v>
      </c>
      <c r="C694" s="32"/>
      <c r="D694" s="32"/>
      <c r="E694" s="19" t="n">
        <f aca="false">+F694*0.03</f>
        <v>0</v>
      </c>
      <c r="F694" s="33" t="n">
        <v>0</v>
      </c>
      <c r="G694" s="62"/>
      <c r="H694" s="35" t="n">
        <v>0</v>
      </c>
      <c r="I694" s="34" t="n">
        <f aca="false">+IF(E694=0,0,E694*0.03)</f>
        <v>0</v>
      </c>
    </row>
    <row r="695" customFormat="false" ht="15.75" hidden="false" customHeight="true" outlineLevel="0" collapsed="false">
      <c r="A695" s="30" t="n">
        <v>46071</v>
      </c>
      <c r="B695" s="31" t="s">
        <v>7</v>
      </c>
      <c r="C695" s="32"/>
      <c r="D695" s="32"/>
      <c r="E695" s="19" t="n">
        <f aca="false">+F695*0.03</f>
        <v>0</v>
      </c>
      <c r="F695" s="33" t="n">
        <v>0</v>
      </c>
      <c r="G695" s="62"/>
      <c r="H695" s="35" t="n">
        <v>0</v>
      </c>
      <c r="I695" s="34" t="n">
        <f aca="false">+IF(E695=0,0,E695*0.03)</f>
        <v>0</v>
      </c>
    </row>
    <row r="696" customFormat="false" ht="15.75" hidden="false" customHeight="true" outlineLevel="0" collapsed="false">
      <c r="A696" s="30" t="n">
        <v>46072</v>
      </c>
      <c r="B696" s="31" t="s">
        <v>7</v>
      </c>
      <c r="C696" s="32"/>
      <c r="D696" s="32"/>
      <c r="E696" s="19" t="n">
        <f aca="false">+F696*0.03</f>
        <v>0</v>
      </c>
      <c r="F696" s="33" t="n">
        <v>0</v>
      </c>
      <c r="G696" s="62"/>
      <c r="H696" s="35" t="n">
        <v>0</v>
      </c>
      <c r="I696" s="34" t="n">
        <f aca="false">+IF(E696=0,0,E696*0.03)</f>
        <v>0</v>
      </c>
    </row>
    <row r="697" customFormat="false" ht="15.75" hidden="false" customHeight="true" outlineLevel="0" collapsed="false">
      <c r="A697" s="30" t="n">
        <v>46073</v>
      </c>
      <c r="B697" s="31" t="s">
        <v>7</v>
      </c>
      <c r="C697" s="32"/>
      <c r="D697" s="32"/>
      <c r="E697" s="19" t="n">
        <f aca="false">+F697*0.03</f>
        <v>0</v>
      </c>
      <c r="F697" s="33" t="n">
        <v>0</v>
      </c>
      <c r="G697" s="62"/>
      <c r="H697" s="35" t="n">
        <v>0</v>
      </c>
      <c r="I697" s="34" t="n">
        <f aca="false">+IF(E697=0,0,E697*0.03)</f>
        <v>0</v>
      </c>
    </row>
    <row r="698" customFormat="false" ht="15.75" hidden="false" customHeight="true" outlineLevel="0" collapsed="false">
      <c r="A698" s="30" t="n">
        <v>46074</v>
      </c>
      <c r="B698" s="31" t="s">
        <v>7</v>
      </c>
      <c r="C698" s="32"/>
      <c r="D698" s="32"/>
      <c r="E698" s="19" t="n">
        <f aca="false">+F698*0.03</f>
        <v>0</v>
      </c>
      <c r="F698" s="33" t="n">
        <v>0</v>
      </c>
      <c r="G698" s="62"/>
      <c r="H698" s="35" t="n">
        <v>0</v>
      </c>
      <c r="I698" s="34" t="n">
        <f aca="false">+IF(E698=0,0,E698*0.03)</f>
        <v>0</v>
      </c>
    </row>
    <row r="699" customFormat="false" ht="15.75" hidden="false" customHeight="true" outlineLevel="0" collapsed="false">
      <c r="A699" s="30" t="n">
        <v>46075</v>
      </c>
      <c r="B699" s="31" t="s">
        <v>7</v>
      </c>
      <c r="C699" s="32"/>
      <c r="D699" s="32"/>
      <c r="E699" s="19" t="n">
        <f aca="false">+F699*0.03</f>
        <v>0</v>
      </c>
      <c r="F699" s="33" t="n">
        <v>0</v>
      </c>
      <c r="G699" s="62"/>
      <c r="H699" s="35" t="n">
        <v>0</v>
      </c>
      <c r="I699" s="34" t="n">
        <f aca="false">+IF(E699=0,0,E699*0.03)</f>
        <v>0</v>
      </c>
    </row>
    <row r="700" customFormat="false" ht="15.75" hidden="false" customHeight="true" outlineLevel="0" collapsed="false">
      <c r="A700" s="30" t="n">
        <v>46076</v>
      </c>
      <c r="B700" s="31" t="s">
        <v>7</v>
      </c>
      <c r="C700" s="32"/>
      <c r="D700" s="32"/>
      <c r="E700" s="19" t="n">
        <f aca="false">+F700*0.03</f>
        <v>0</v>
      </c>
      <c r="F700" s="33" t="n">
        <v>0</v>
      </c>
      <c r="G700" s="62"/>
      <c r="H700" s="35" t="n">
        <v>0</v>
      </c>
      <c r="I700" s="34" t="n">
        <f aca="false">+IF(E700=0,0,E700*0.03)</f>
        <v>0</v>
      </c>
    </row>
    <row r="701" customFormat="false" ht="15.75" hidden="false" customHeight="true" outlineLevel="0" collapsed="false">
      <c r="A701" s="30" t="n">
        <v>46077</v>
      </c>
      <c r="B701" s="31" t="s">
        <v>7</v>
      </c>
      <c r="C701" s="32"/>
      <c r="D701" s="32"/>
      <c r="E701" s="19" t="n">
        <f aca="false">+F701*0.03</f>
        <v>0</v>
      </c>
      <c r="F701" s="33" t="n">
        <v>0</v>
      </c>
      <c r="G701" s="62"/>
      <c r="H701" s="35" t="n">
        <v>0</v>
      </c>
      <c r="I701" s="34" t="n">
        <f aca="false">+IF(E701=0,0,E701*0.03)</f>
        <v>0</v>
      </c>
    </row>
    <row r="702" customFormat="false" ht="15.75" hidden="false" customHeight="true" outlineLevel="0" collapsed="false">
      <c r="A702" s="30" t="n">
        <v>46078</v>
      </c>
      <c r="B702" s="31" t="s">
        <v>7</v>
      </c>
      <c r="C702" s="32"/>
      <c r="D702" s="32"/>
      <c r="E702" s="19" t="n">
        <f aca="false">+F702*0.03</f>
        <v>0</v>
      </c>
      <c r="F702" s="33" t="n">
        <v>0</v>
      </c>
      <c r="G702" s="62"/>
      <c r="H702" s="35" t="n">
        <v>0</v>
      </c>
      <c r="I702" s="34" t="n">
        <f aca="false">+IF(E702=0,0,E702*0.03)</f>
        <v>0</v>
      </c>
    </row>
    <row r="703" customFormat="false" ht="15.75" hidden="false" customHeight="true" outlineLevel="0" collapsed="false">
      <c r="A703" s="30" t="n">
        <v>46079</v>
      </c>
      <c r="B703" s="31" t="s">
        <v>7</v>
      </c>
      <c r="C703" s="32"/>
      <c r="D703" s="32"/>
      <c r="E703" s="19" t="n">
        <f aca="false">+F703*0.03</f>
        <v>0</v>
      </c>
      <c r="F703" s="33" t="n">
        <v>0</v>
      </c>
      <c r="G703" s="62"/>
      <c r="H703" s="35" t="n">
        <v>0</v>
      </c>
      <c r="I703" s="34" t="n">
        <f aca="false">+IF(E703=0,0,E703*0.03)</f>
        <v>0</v>
      </c>
    </row>
    <row r="704" customFormat="false" ht="15.75" hidden="false" customHeight="true" outlineLevel="0" collapsed="false">
      <c r="A704" s="30" t="n">
        <v>46080</v>
      </c>
      <c r="B704" s="31" t="s">
        <v>7</v>
      </c>
      <c r="C704" s="32"/>
      <c r="D704" s="32"/>
      <c r="E704" s="19" t="n">
        <f aca="false">+F704*0.03</f>
        <v>0</v>
      </c>
      <c r="F704" s="33" t="n">
        <v>0</v>
      </c>
      <c r="G704" s="62"/>
      <c r="H704" s="35" t="n">
        <v>0</v>
      </c>
      <c r="I704" s="34" t="n">
        <f aca="false">+IF(E704=0,0,E704*0.03)</f>
        <v>0</v>
      </c>
    </row>
    <row r="705" customFormat="false" ht="15.75" hidden="false" customHeight="true" outlineLevel="0" collapsed="false">
      <c r="A705" s="30" t="n">
        <v>46081</v>
      </c>
      <c r="B705" s="31" t="s">
        <v>7</v>
      </c>
      <c r="C705" s="32"/>
      <c r="D705" s="32"/>
      <c r="E705" s="19" t="n">
        <f aca="false">+F705*0.03</f>
        <v>0</v>
      </c>
      <c r="F705" s="33" t="n">
        <v>0</v>
      </c>
      <c r="G705" s="62"/>
      <c r="H705" s="35" t="n">
        <v>0</v>
      </c>
      <c r="I705" s="34" t="n">
        <f aca="false">+IF(E705=0,0,E705*0.03)</f>
        <v>0</v>
      </c>
    </row>
    <row r="706" customFormat="false" ht="15.75" hidden="false" customHeight="true" outlineLevel="0" collapsed="false">
      <c r="A706" s="30" t="n">
        <v>46082</v>
      </c>
      <c r="B706" s="31" t="s">
        <v>7</v>
      </c>
      <c r="C706" s="32"/>
      <c r="D706" s="32"/>
      <c r="E706" s="19" t="n">
        <f aca="false">+F706*0.03</f>
        <v>0</v>
      </c>
      <c r="F706" s="33" t="n">
        <v>0</v>
      </c>
      <c r="G706" s="62"/>
      <c r="H706" s="35" t="n">
        <v>0</v>
      </c>
      <c r="I706" s="34" t="n">
        <f aca="false">+IF(E706=0,0,E706*0.03)</f>
        <v>0</v>
      </c>
    </row>
    <row r="707" customFormat="false" ht="15.75" hidden="false" customHeight="true" outlineLevel="0" collapsed="false">
      <c r="A707" s="30" t="n">
        <v>46083</v>
      </c>
      <c r="B707" s="31" t="s">
        <v>7</v>
      </c>
      <c r="C707" s="32"/>
      <c r="D707" s="32"/>
      <c r="E707" s="19" t="n">
        <f aca="false">+F707*0.03</f>
        <v>0</v>
      </c>
      <c r="F707" s="33" t="n">
        <v>0</v>
      </c>
      <c r="G707" s="62"/>
      <c r="H707" s="35" t="n">
        <v>0</v>
      </c>
      <c r="I707" s="34" t="n">
        <f aca="false">+IF(E707=0,0,E707*0.03)</f>
        <v>0</v>
      </c>
    </row>
    <row r="708" customFormat="false" ht="15.75" hidden="false" customHeight="true" outlineLevel="0" collapsed="false">
      <c r="A708" s="30" t="n">
        <v>46084</v>
      </c>
      <c r="B708" s="31" t="s">
        <v>7</v>
      </c>
      <c r="C708" s="32"/>
      <c r="D708" s="32"/>
      <c r="E708" s="19" t="n">
        <f aca="false">+F708*0.03</f>
        <v>0</v>
      </c>
      <c r="F708" s="33" t="n">
        <v>0</v>
      </c>
      <c r="G708" s="62"/>
      <c r="H708" s="35" t="n">
        <v>0</v>
      </c>
      <c r="I708" s="34" t="n">
        <f aca="false">+IF(E708=0,0,E708*0.03)</f>
        <v>0</v>
      </c>
    </row>
    <row r="709" customFormat="false" ht="15.75" hidden="false" customHeight="true" outlineLevel="0" collapsed="false">
      <c r="A709" s="30" t="n">
        <v>46085</v>
      </c>
      <c r="B709" s="31" t="s">
        <v>7</v>
      </c>
      <c r="C709" s="32"/>
      <c r="D709" s="32"/>
      <c r="E709" s="19" t="n">
        <f aca="false">+F709*0.03</f>
        <v>0</v>
      </c>
      <c r="F709" s="33" t="n">
        <v>0</v>
      </c>
      <c r="G709" s="62"/>
      <c r="H709" s="35" t="n">
        <v>0</v>
      </c>
      <c r="I709" s="34" t="n">
        <f aca="false">+IF(E709=0,0,E709*0.03)</f>
        <v>0</v>
      </c>
    </row>
    <row r="710" customFormat="false" ht="15.75" hidden="false" customHeight="true" outlineLevel="0" collapsed="false">
      <c r="A710" s="30" t="n">
        <v>46086</v>
      </c>
      <c r="B710" s="31" t="s">
        <v>7</v>
      </c>
      <c r="C710" s="32"/>
      <c r="D710" s="32"/>
      <c r="E710" s="19" t="n">
        <f aca="false">+F710*0.03</f>
        <v>0</v>
      </c>
      <c r="F710" s="33" t="n">
        <v>0</v>
      </c>
      <c r="G710" s="62"/>
      <c r="H710" s="35" t="n">
        <v>0</v>
      </c>
      <c r="I710" s="34" t="n">
        <f aca="false">+IF(E710=0,0,E710*0.03)</f>
        <v>0</v>
      </c>
    </row>
    <row r="711" customFormat="false" ht="15.75" hidden="false" customHeight="true" outlineLevel="0" collapsed="false">
      <c r="A711" s="30" t="n">
        <v>46087</v>
      </c>
      <c r="B711" s="31" t="s">
        <v>7</v>
      </c>
      <c r="C711" s="32"/>
      <c r="D711" s="32"/>
      <c r="E711" s="19" t="n">
        <f aca="false">+F711*0.03</f>
        <v>0</v>
      </c>
      <c r="F711" s="33" t="n">
        <v>0</v>
      </c>
      <c r="G711" s="62"/>
      <c r="H711" s="35" t="n">
        <v>0</v>
      </c>
      <c r="I711" s="34" t="n">
        <f aca="false">+IF(E711=0,0,E711*0.03)</f>
        <v>0</v>
      </c>
    </row>
    <row r="712" customFormat="false" ht="15.75" hidden="false" customHeight="true" outlineLevel="0" collapsed="false">
      <c r="A712" s="30" t="n">
        <v>46088</v>
      </c>
      <c r="B712" s="31" t="s">
        <v>7</v>
      </c>
      <c r="C712" s="32"/>
      <c r="D712" s="32"/>
      <c r="E712" s="19" t="n">
        <f aca="false">+F712*0.03</f>
        <v>0</v>
      </c>
      <c r="F712" s="33" t="n">
        <v>0</v>
      </c>
      <c r="G712" s="62"/>
      <c r="H712" s="35" t="n">
        <v>0</v>
      </c>
      <c r="I712" s="34" t="n">
        <f aca="false">+IF(E712=0,0,E712*0.03)</f>
        <v>0</v>
      </c>
    </row>
    <row r="713" customFormat="false" ht="15.75" hidden="false" customHeight="true" outlineLevel="0" collapsed="false">
      <c r="A713" s="30" t="n">
        <v>46089</v>
      </c>
      <c r="B713" s="31" t="s">
        <v>7</v>
      </c>
      <c r="C713" s="32"/>
      <c r="D713" s="32"/>
      <c r="E713" s="19" t="n">
        <f aca="false">+F713*0.03</f>
        <v>0</v>
      </c>
      <c r="F713" s="33" t="n">
        <v>0</v>
      </c>
      <c r="G713" s="62"/>
      <c r="H713" s="35" t="n">
        <v>0</v>
      </c>
      <c r="I713" s="34" t="n">
        <f aca="false">+IF(E713=0,0,E713*0.03)</f>
        <v>0</v>
      </c>
    </row>
    <row r="714" customFormat="false" ht="15.75" hidden="false" customHeight="true" outlineLevel="0" collapsed="false">
      <c r="A714" s="30" t="n">
        <v>46090</v>
      </c>
      <c r="B714" s="31" t="s">
        <v>7</v>
      </c>
      <c r="C714" s="32"/>
      <c r="D714" s="32"/>
      <c r="E714" s="19" t="n">
        <f aca="false">+F714*0.03</f>
        <v>0</v>
      </c>
      <c r="F714" s="33" t="n">
        <v>0</v>
      </c>
      <c r="G714" s="62"/>
      <c r="H714" s="35" t="n">
        <v>0</v>
      </c>
      <c r="I714" s="34" t="n">
        <f aca="false">+IF(E714=0,0,E714*0.03)</f>
        <v>0</v>
      </c>
    </row>
    <row r="715" customFormat="false" ht="15.75" hidden="false" customHeight="true" outlineLevel="0" collapsed="false">
      <c r="A715" s="30" t="n">
        <v>46091</v>
      </c>
      <c r="B715" s="31" t="s">
        <v>7</v>
      </c>
      <c r="C715" s="32"/>
      <c r="D715" s="32"/>
      <c r="E715" s="19" t="n">
        <f aca="false">+F715*0.03</f>
        <v>0</v>
      </c>
      <c r="F715" s="33" t="n">
        <v>0</v>
      </c>
      <c r="G715" s="62"/>
      <c r="H715" s="35" t="n">
        <v>0</v>
      </c>
      <c r="I715" s="34" t="n">
        <f aca="false">+IF(E715=0,0,E715*0.03)</f>
        <v>0</v>
      </c>
    </row>
    <row r="716" customFormat="false" ht="15.75" hidden="false" customHeight="true" outlineLevel="0" collapsed="false">
      <c r="A716" s="30" t="n">
        <v>46092</v>
      </c>
      <c r="B716" s="31" t="s">
        <v>7</v>
      </c>
      <c r="C716" s="32"/>
      <c r="D716" s="32"/>
      <c r="E716" s="19" t="n">
        <f aca="false">+F716*0.03</f>
        <v>0</v>
      </c>
      <c r="F716" s="33" t="n">
        <v>0</v>
      </c>
      <c r="G716" s="62"/>
      <c r="H716" s="35" t="n">
        <v>0</v>
      </c>
      <c r="I716" s="34" t="n">
        <f aca="false">+IF(E716=0,0,E716*0.03)</f>
        <v>0</v>
      </c>
    </row>
    <row r="717" customFormat="false" ht="15.75" hidden="false" customHeight="true" outlineLevel="0" collapsed="false">
      <c r="A717" s="30" t="n">
        <v>46093</v>
      </c>
      <c r="B717" s="31" t="s">
        <v>7</v>
      </c>
      <c r="C717" s="32"/>
      <c r="D717" s="32"/>
      <c r="E717" s="19" t="n">
        <f aca="false">+F717*0.03</f>
        <v>0</v>
      </c>
      <c r="F717" s="33" t="n">
        <v>0</v>
      </c>
      <c r="G717" s="62"/>
      <c r="H717" s="35" t="n">
        <v>0</v>
      </c>
      <c r="I717" s="34" t="n">
        <f aca="false">+IF(E717=0,0,E717*0.03)</f>
        <v>0</v>
      </c>
    </row>
    <row r="718" customFormat="false" ht="15.75" hidden="false" customHeight="true" outlineLevel="0" collapsed="false">
      <c r="A718" s="30" t="n">
        <v>46094</v>
      </c>
      <c r="B718" s="31" t="s">
        <v>7</v>
      </c>
      <c r="C718" s="32"/>
      <c r="D718" s="32"/>
      <c r="E718" s="19" t="n">
        <f aca="false">+F718*0.03</f>
        <v>0</v>
      </c>
      <c r="F718" s="33" t="n">
        <v>0</v>
      </c>
      <c r="G718" s="62"/>
      <c r="H718" s="35" t="n">
        <v>0</v>
      </c>
      <c r="I718" s="34" t="n">
        <f aca="false">+IF(E718=0,0,E718*0.03)</f>
        <v>0</v>
      </c>
    </row>
    <row r="719" customFormat="false" ht="15.75" hidden="false" customHeight="true" outlineLevel="0" collapsed="false">
      <c r="A719" s="30" t="n">
        <v>46095</v>
      </c>
      <c r="B719" s="31" t="s">
        <v>7</v>
      </c>
      <c r="C719" s="32"/>
      <c r="D719" s="32"/>
      <c r="E719" s="19" t="n">
        <f aca="false">+F719*0.03</f>
        <v>0</v>
      </c>
      <c r="F719" s="33" t="n">
        <v>0</v>
      </c>
      <c r="G719" s="62"/>
      <c r="H719" s="35" t="n">
        <v>0</v>
      </c>
      <c r="I719" s="34" t="n">
        <f aca="false">+IF(E719=0,0,E719*0.03)</f>
        <v>0</v>
      </c>
    </row>
    <row r="720" customFormat="false" ht="15.75" hidden="false" customHeight="true" outlineLevel="0" collapsed="false">
      <c r="A720" s="30" t="n">
        <v>46096</v>
      </c>
      <c r="B720" s="31" t="s">
        <v>7</v>
      </c>
      <c r="C720" s="32"/>
      <c r="D720" s="32"/>
      <c r="E720" s="19" t="n">
        <f aca="false">+F720*0.03</f>
        <v>0</v>
      </c>
      <c r="F720" s="33" t="n">
        <v>0</v>
      </c>
      <c r="G720" s="62"/>
      <c r="H720" s="35" t="n">
        <v>0</v>
      </c>
      <c r="I720" s="34" t="n">
        <f aca="false">+IF(E720=0,0,E720*0.03)</f>
        <v>0</v>
      </c>
    </row>
    <row r="721" customFormat="false" ht="15.75" hidden="false" customHeight="true" outlineLevel="0" collapsed="false">
      <c r="A721" s="30" t="n">
        <v>46097</v>
      </c>
      <c r="B721" s="31" t="s">
        <v>7</v>
      </c>
      <c r="C721" s="32"/>
      <c r="D721" s="32"/>
      <c r="E721" s="19" t="n">
        <f aca="false">+F721*0.03</f>
        <v>0</v>
      </c>
      <c r="F721" s="33" t="n">
        <v>0</v>
      </c>
      <c r="G721" s="62"/>
      <c r="H721" s="35" t="n">
        <v>0</v>
      </c>
      <c r="I721" s="34" t="n">
        <f aca="false">+IF(E721=0,0,E721*0.03)</f>
        <v>0</v>
      </c>
    </row>
    <row r="722" customFormat="false" ht="15.75" hidden="false" customHeight="true" outlineLevel="0" collapsed="false">
      <c r="A722" s="30" t="n">
        <v>46098</v>
      </c>
      <c r="B722" s="31" t="s">
        <v>7</v>
      </c>
      <c r="C722" s="32"/>
      <c r="D722" s="32"/>
      <c r="E722" s="19" t="n">
        <f aca="false">+F722*0.03</f>
        <v>0</v>
      </c>
      <c r="F722" s="33" t="n">
        <v>0</v>
      </c>
      <c r="G722" s="62"/>
      <c r="H722" s="35" t="n">
        <v>0</v>
      </c>
      <c r="I722" s="34" t="n">
        <f aca="false">+IF(E722=0,0,E722*0.03)</f>
        <v>0</v>
      </c>
    </row>
    <row r="723" customFormat="false" ht="15.75" hidden="false" customHeight="true" outlineLevel="0" collapsed="false">
      <c r="A723" s="30" t="n">
        <v>46099</v>
      </c>
      <c r="B723" s="31" t="s">
        <v>7</v>
      </c>
      <c r="C723" s="32"/>
      <c r="D723" s="32"/>
      <c r="E723" s="19" t="n">
        <f aca="false">+F723*0.03</f>
        <v>0</v>
      </c>
      <c r="F723" s="33" t="n">
        <v>0</v>
      </c>
      <c r="G723" s="62"/>
      <c r="H723" s="35" t="n">
        <v>0</v>
      </c>
      <c r="I723" s="34" t="n">
        <f aca="false">+IF(E723=0,0,E723*0.03)</f>
        <v>0</v>
      </c>
    </row>
    <row r="724" customFormat="false" ht="15.75" hidden="false" customHeight="true" outlineLevel="0" collapsed="false">
      <c r="A724" s="30" t="n">
        <v>46100</v>
      </c>
      <c r="B724" s="31" t="s">
        <v>7</v>
      </c>
      <c r="C724" s="32"/>
      <c r="D724" s="32"/>
      <c r="E724" s="19" t="n">
        <f aca="false">+F724*0.03</f>
        <v>0</v>
      </c>
      <c r="F724" s="33" t="n">
        <v>0</v>
      </c>
      <c r="G724" s="62"/>
      <c r="H724" s="35" t="n">
        <v>0</v>
      </c>
      <c r="I724" s="34" t="n">
        <f aca="false">+IF(E724=0,0,E724*0.03)</f>
        <v>0</v>
      </c>
    </row>
    <row r="725" customFormat="false" ht="15.75" hidden="false" customHeight="true" outlineLevel="0" collapsed="false">
      <c r="A725" s="30" t="n">
        <v>46101</v>
      </c>
      <c r="B725" s="31" t="s">
        <v>7</v>
      </c>
      <c r="C725" s="32"/>
      <c r="D725" s="32"/>
      <c r="E725" s="19" t="n">
        <f aca="false">+F725*0.03</f>
        <v>0</v>
      </c>
      <c r="F725" s="33" t="n">
        <v>0</v>
      </c>
      <c r="G725" s="62"/>
      <c r="H725" s="35" t="n">
        <v>0</v>
      </c>
      <c r="I725" s="34" t="n">
        <f aca="false">+IF(E725=0,0,E725*0.03)</f>
        <v>0</v>
      </c>
    </row>
    <row r="726" customFormat="false" ht="15.75" hidden="false" customHeight="true" outlineLevel="0" collapsed="false">
      <c r="A726" s="30" t="n">
        <v>46102</v>
      </c>
      <c r="B726" s="31" t="s">
        <v>7</v>
      </c>
      <c r="C726" s="32"/>
      <c r="D726" s="32"/>
      <c r="E726" s="19" t="n">
        <f aca="false">+F726*0.03</f>
        <v>0</v>
      </c>
      <c r="F726" s="33" t="n">
        <v>0</v>
      </c>
      <c r="G726" s="62"/>
      <c r="H726" s="35" t="n">
        <v>0</v>
      </c>
      <c r="I726" s="34" t="n">
        <f aca="false">+IF(E726=0,0,E726*0.03)</f>
        <v>0</v>
      </c>
    </row>
    <row r="727" customFormat="false" ht="15.75" hidden="false" customHeight="true" outlineLevel="0" collapsed="false">
      <c r="A727" s="30" t="n">
        <v>46103</v>
      </c>
      <c r="B727" s="31" t="s">
        <v>7</v>
      </c>
      <c r="C727" s="32"/>
      <c r="D727" s="32"/>
      <c r="E727" s="19" t="n">
        <f aca="false">+F727*0.03</f>
        <v>0</v>
      </c>
      <c r="F727" s="33" t="n">
        <v>0</v>
      </c>
      <c r="G727" s="62"/>
      <c r="H727" s="35" t="n">
        <v>0</v>
      </c>
      <c r="I727" s="34" t="n">
        <f aca="false">+IF(E727=0,0,E727*0.03)</f>
        <v>0</v>
      </c>
    </row>
    <row r="728" customFormat="false" ht="15.75" hidden="false" customHeight="true" outlineLevel="0" collapsed="false">
      <c r="A728" s="30" t="n">
        <v>46104</v>
      </c>
      <c r="B728" s="31" t="s">
        <v>7</v>
      </c>
      <c r="C728" s="32"/>
      <c r="D728" s="32"/>
      <c r="E728" s="19" t="n">
        <f aca="false">+F728*0.03</f>
        <v>0</v>
      </c>
      <c r="F728" s="33" t="n">
        <v>0</v>
      </c>
      <c r="G728" s="62"/>
      <c r="H728" s="35" t="n">
        <v>0</v>
      </c>
      <c r="I728" s="34" t="n">
        <f aca="false">+IF(E728=0,0,E728*0.03)</f>
        <v>0</v>
      </c>
    </row>
    <row r="729" customFormat="false" ht="15.75" hidden="false" customHeight="true" outlineLevel="0" collapsed="false">
      <c r="A729" s="30" t="n">
        <v>46105</v>
      </c>
      <c r="B729" s="31" t="s">
        <v>7</v>
      </c>
      <c r="C729" s="32"/>
      <c r="D729" s="32"/>
      <c r="E729" s="19" t="n">
        <f aca="false">+F729*0.03</f>
        <v>0</v>
      </c>
      <c r="F729" s="33" t="n">
        <v>0</v>
      </c>
      <c r="G729" s="62"/>
      <c r="H729" s="35" t="n">
        <v>0</v>
      </c>
      <c r="I729" s="34" t="n">
        <f aca="false">+IF(E729=0,0,E729*0.03)</f>
        <v>0</v>
      </c>
    </row>
    <row r="730" customFormat="false" ht="15.75" hidden="false" customHeight="true" outlineLevel="0" collapsed="false">
      <c r="A730" s="30" t="n">
        <v>46106</v>
      </c>
      <c r="B730" s="31" t="s">
        <v>7</v>
      </c>
      <c r="C730" s="32"/>
      <c r="D730" s="32"/>
      <c r="E730" s="19" t="n">
        <f aca="false">+F730*0.03</f>
        <v>0</v>
      </c>
      <c r="F730" s="33" t="n">
        <v>0</v>
      </c>
      <c r="G730" s="62"/>
      <c r="H730" s="35" t="n">
        <v>0</v>
      </c>
      <c r="I730" s="34" t="n">
        <f aca="false">+IF(E730=0,0,E730*0.03)</f>
        <v>0</v>
      </c>
    </row>
    <row r="731" customFormat="false" ht="15.75" hidden="false" customHeight="true" outlineLevel="0" collapsed="false">
      <c r="A731" s="30" t="n">
        <v>46107</v>
      </c>
      <c r="B731" s="31" t="s">
        <v>7</v>
      </c>
      <c r="C731" s="32"/>
      <c r="D731" s="32"/>
      <c r="E731" s="19" t="n">
        <f aca="false">+F731*0.03</f>
        <v>0</v>
      </c>
      <c r="F731" s="33" t="n">
        <v>0</v>
      </c>
      <c r="G731" s="62"/>
      <c r="H731" s="35" t="n">
        <v>0</v>
      </c>
      <c r="I731" s="34" t="n">
        <f aca="false">+IF(E731=0,0,E731*0.03)</f>
        <v>0</v>
      </c>
    </row>
    <row r="732" customFormat="false" ht="15.75" hidden="false" customHeight="true" outlineLevel="0" collapsed="false">
      <c r="A732" s="30" t="n">
        <v>46108</v>
      </c>
      <c r="B732" s="31" t="s">
        <v>7</v>
      </c>
      <c r="C732" s="32"/>
      <c r="D732" s="32"/>
      <c r="E732" s="19" t="n">
        <f aca="false">+F732*0.03</f>
        <v>0</v>
      </c>
      <c r="F732" s="33" t="n">
        <v>0</v>
      </c>
      <c r="G732" s="62"/>
      <c r="H732" s="35" t="n">
        <v>0</v>
      </c>
      <c r="I732" s="34" t="n">
        <f aca="false">+IF(E732=0,0,E732*0.03)</f>
        <v>0</v>
      </c>
    </row>
    <row r="733" customFormat="false" ht="15.75" hidden="false" customHeight="true" outlineLevel="0" collapsed="false">
      <c r="A733" s="30" t="n">
        <v>46109</v>
      </c>
      <c r="B733" s="31" t="s">
        <v>7</v>
      </c>
      <c r="C733" s="32"/>
      <c r="D733" s="32"/>
      <c r="E733" s="19" t="n">
        <f aca="false">+F733*0.03</f>
        <v>0</v>
      </c>
      <c r="F733" s="33" t="n">
        <v>0</v>
      </c>
      <c r="G733" s="62"/>
      <c r="H733" s="35" t="n">
        <v>0</v>
      </c>
      <c r="I733" s="34" t="n">
        <f aca="false">+IF(E733=0,0,E733*0.03)</f>
        <v>0</v>
      </c>
    </row>
    <row r="734" customFormat="false" ht="15.75" hidden="false" customHeight="true" outlineLevel="0" collapsed="false">
      <c r="A734" s="30" t="n">
        <v>46110</v>
      </c>
      <c r="B734" s="31" t="s">
        <v>7</v>
      </c>
      <c r="C734" s="32"/>
      <c r="D734" s="32"/>
      <c r="E734" s="19" t="n">
        <f aca="false">+F734*0.03</f>
        <v>0</v>
      </c>
      <c r="F734" s="33" t="n">
        <v>0</v>
      </c>
      <c r="G734" s="62"/>
      <c r="H734" s="35" t="n">
        <v>0</v>
      </c>
      <c r="I734" s="34" t="n">
        <f aca="false">+IF(E734=0,0,E734*0.03)</f>
        <v>0</v>
      </c>
    </row>
    <row r="735" customFormat="false" ht="15.75" hidden="false" customHeight="true" outlineLevel="0" collapsed="false">
      <c r="A735" s="30" t="n">
        <v>46111</v>
      </c>
      <c r="B735" s="31" t="s">
        <v>7</v>
      </c>
      <c r="C735" s="32"/>
      <c r="D735" s="32"/>
      <c r="E735" s="19" t="n">
        <f aca="false">+F735*0.03</f>
        <v>0</v>
      </c>
      <c r="F735" s="33" t="n">
        <v>0</v>
      </c>
      <c r="G735" s="62"/>
      <c r="H735" s="35" t="n">
        <v>0</v>
      </c>
      <c r="I735" s="34" t="n">
        <f aca="false">+IF(E735=0,0,E735*0.03)</f>
        <v>0</v>
      </c>
    </row>
    <row r="736" customFormat="false" ht="15.75" hidden="false" customHeight="true" outlineLevel="0" collapsed="false">
      <c r="A736" s="30" t="n">
        <v>46112</v>
      </c>
      <c r="B736" s="31" t="s">
        <v>7</v>
      </c>
      <c r="C736" s="32"/>
      <c r="D736" s="32"/>
      <c r="E736" s="19" t="n">
        <f aca="false">+F736*0.03</f>
        <v>0</v>
      </c>
      <c r="F736" s="33" t="n">
        <v>0</v>
      </c>
      <c r="G736" s="62"/>
      <c r="H736" s="35" t="n">
        <v>0</v>
      </c>
      <c r="I736" s="34" t="n">
        <f aca="false">+IF(E736=0,0,E736*0.03)</f>
        <v>0</v>
      </c>
    </row>
    <row r="737" customFormat="false" ht="15.75" hidden="false" customHeight="true" outlineLevel="0" collapsed="false">
      <c r="A737" s="30" t="n">
        <v>46113</v>
      </c>
      <c r="B737" s="31" t="s">
        <v>7</v>
      </c>
      <c r="C737" s="32"/>
      <c r="D737" s="32"/>
      <c r="E737" s="19" t="n">
        <f aca="false">+F737*0.03</f>
        <v>0</v>
      </c>
      <c r="F737" s="33" t="n">
        <v>0</v>
      </c>
      <c r="G737" s="62"/>
      <c r="H737" s="35" t="n">
        <v>0</v>
      </c>
      <c r="I737" s="34" t="n">
        <f aca="false">+IF(E737=0,0,E737*0.03)</f>
        <v>0</v>
      </c>
    </row>
    <row r="738" customFormat="false" ht="15.75" hidden="false" customHeight="true" outlineLevel="0" collapsed="false">
      <c r="A738" s="30" t="n">
        <v>46114</v>
      </c>
      <c r="B738" s="31" t="s">
        <v>7</v>
      </c>
      <c r="C738" s="32"/>
      <c r="D738" s="32"/>
      <c r="E738" s="19" t="n">
        <f aca="false">+F738*0.03</f>
        <v>0</v>
      </c>
      <c r="F738" s="33" t="n">
        <v>0</v>
      </c>
      <c r="G738" s="62"/>
      <c r="H738" s="35" t="n">
        <v>0</v>
      </c>
      <c r="I738" s="34" t="n">
        <f aca="false">+IF(E738=0,0,E738*0.03)</f>
        <v>0</v>
      </c>
    </row>
    <row r="739" customFormat="false" ht="15.75" hidden="false" customHeight="true" outlineLevel="0" collapsed="false">
      <c r="A739" s="30" t="n">
        <v>46115</v>
      </c>
      <c r="B739" s="31" t="s">
        <v>7</v>
      </c>
      <c r="C739" s="32"/>
      <c r="D739" s="32"/>
      <c r="E739" s="19" t="n">
        <f aca="false">+F739*0.03</f>
        <v>0</v>
      </c>
      <c r="F739" s="33" t="n">
        <v>0</v>
      </c>
      <c r="G739" s="62"/>
      <c r="H739" s="35" t="n">
        <v>0</v>
      </c>
      <c r="I739" s="34" t="n">
        <f aca="false">+IF(E739=0,0,E739*0.03)</f>
        <v>0</v>
      </c>
    </row>
    <row r="740" customFormat="false" ht="15.75" hidden="false" customHeight="true" outlineLevel="0" collapsed="false">
      <c r="A740" s="30" t="n">
        <v>46116</v>
      </c>
      <c r="B740" s="31" t="s">
        <v>7</v>
      </c>
      <c r="C740" s="32"/>
      <c r="D740" s="32"/>
      <c r="E740" s="19" t="n">
        <f aca="false">+F740*0.03</f>
        <v>0</v>
      </c>
      <c r="F740" s="33" t="n">
        <v>0</v>
      </c>
      <c r="G740" s="62"/>
      <c r="H740" s="35" t="n">
        <v>0</v>
      </c>
      <c r="I740" s="34" t="n">
        <f aca="false">+IF(E740=0,0,E740*0.03)</f>
        <v>0</v>
      </c>
    </row>
    <row r="741" customFormat="false" ht="15.75" hidden="false" customHeight="true" outlineLevel="0" collapsed="false">
      <c r="A741" s="30" t="n">
        <v>46117</v>
      </c>
      <c r="B741" s="31" t="s">
        <v>7</v>
      </c>
      <c r="C741" s="32"/>
      <c r="D741" s="32"/>
      <c r="E741" s="19" t="n">
        <f aca="false">+F741*0.03</f>
        <v>0</v>
      </c>
      <c r="F741" s="33" t="n">
        <v>0</v>
      </c>
      <c r="G741" s="62"/>
      <c r="H741" s="35" t="n">
        <v>0</v>
      </c>
      <c r="I741" s="34" t="n">
        <f aca="false">+IF(E741=0,0,E741*0.03)</f>
        <v>0</v>
      </c>
    </row>
    <row r="742" customFormat="false" ht="15.75" hidden="false" customHeight="true" outlineLevel="0" collapsed="false">
      <c r="A742" s="30" t="n">
        <v>46118</v>
      </c>
      <c r="B742" s="31" t="s">
        <v>7</v>
      </c>
      <c r="C742" s="32"/>
      <c r="D742" s="32"/>
      <c r="E742" s="19" t="n">
        <f aca="false">+F742*0.03</f>
        <v>0</v>
      </c>
      <c r="F742" s="33" t="n">
        <v>0</v>
      </c>
      <c r="G742" s="62"/>
      <c r="H742" s="35" t="n">
        <v>0</v>
      </c>
      <c r="I742" s="34" t="n">
        <f aca="false">+IF(E742=0,0,E742*0.03)</f>
        <v>0</v>
      </c>
    </row>
    <row r="743" customFormat="false" ht="15.75" hidden="false" customHeight="true" outlineLevel="0" collapsed="false">
      <c r="A743" s="30" t="n">
        <v>46119</v>
      </c>
      <c r="B743" s="31" t="s">
        <v>7</v>
      </c>
      <c r="C743" s="32"/>
      <c r="D743" s="32"/>
      <c r="E743" s="19" t="n">
        <f aca="false">+F743*0.03</f>
        <v>0</v>
      </c>
      <c r="F743" s="33" t="n">
        <v>0</v>
      </c>
      <c r="G743" s="62"/>
      <c r="H743" s="35" t="n">
        <v>0</v>
      </c>
      <c r="I743" s="34" t="n">
        <f aca="false">+IF(E743=0,0,E743*0.03)</f>
        <v>0</v>
      </c>
    </row>
    <row r="744" customFormat="false" ht="15.75" hidden="false" customHeight="true" outlineLevel="0" collapsed="false">
      <c r="A744" s="30" t="n">
        <v>46120</v>
      </c>
      <c r="B744" s="31" t="s">
        <v>7</v>
      </c>
      <c r="C744" s="32"/>
      <c r="D744" s="32"/>
      <c r="E744" s="19" t="n">
        <f aca="false">+F744*0.03</f>
        <v>0</v>
      </c>
      <c r="F744" s="33" t="n">
        <v>0</v>
      </c>
      <c r="G744" s="62"/>
      <c r="H744" s="35" t="n">
        <v>0</v>
      </c>
      <c r="I744" s="34" t="n">
        <f aca="false">+IF(E744=0,0,E744*0.03)</f>
        <v>0</v>
      </c>
    </row>
    <row r="745" customFormat="false" ht="15.75" hidden="false" customHeight="true" outlineLevel="0" collapsed="false">
      <c r="A745" s="30" t="n">
        <v>46121</v>
      </c>
      <c r="B745" s="31" t="s">
        <v>7</v>
      </c>
      <c r="C745" s="32"/>
      <c r="D745" s="32"/>
      <c r="E745" s="19" t="n">
        <f aca="false">+F745*0.03</f>
        <v>0</v>
      </c>
      <c r="F745" s="33" t="n">
        <v>0</v>
      </c>
      <c r="G745" s="62"/>
      <c r="H745" s="35" t="n">
        <v>0</v>
      </c>
      <c r="I745" s="34" t="n">
        <f aca="false">+IF(E745=0,0,E745*0.03)</f>
        <v>0</v>
      </c>
    </row>
    <row r="746" customFormat="false" ht="15.75" hidden="false" customHeight="true" outlineLevel="0" collapsed="false">
      <c r="A746" s="30" t="n">
        <v>46122</v>
      </c>
      <c r="B746" s="31" t="s">
        <v>7</v>
      </c>
      <c r="C746" s="32"/>
      <c r="D746" s="32"/>
      <c r="E746" s="19" t="n">
        <f aca="false">+F746*0.03</f>
        <v>0</v>
      </c>
      <c r="F746" s="33" t="n">
        <v>0</v>
      </c>
      <c r="G746" s="62"/>
      <c r="H746" s="35" t="n">
        <v>0</v>
      </c>
      <c r="I746" s="34" t="n">
        <f aca="false">+IF(E746=0,0,E746*0.03)</f>
        <v>0</v>
      </c>
    </row>
    <row r="747" customFormat="false" ht="15.75" hidden="false" customHeight="true" outlineLevel="0" collapsed="false">
      <c r="A747" s="30" t="n">
        <v>46123</v>
      </c>
      <c r="B747" s="31" t="s">
        <v>7</v>
      </c>
      <c r="C747" s="32"/>
      <c r="D747" s="32"/>
      <c r="E747" s="19" t="n">
        <f aca="false">+F747*0.03</f>
        <v>0</v>
      </c>
      <c r="F747" s="33" t="n">
        <v>0</v>
      </c>
      <c r="G747" s="62"/>
      <c r="H747" s="35" t="n">
        <v>0</v>
      </c>
      <c r="I747" s="34" t="n">
        <f aca="false">+IF(E747=0,0,E747*0.03)</f>
        <v>0</v>
      </c>
    </row>
    <row r="748" customFormat="false" ht="15.75" hidden="false" customHeight="true" outlineLevel="0" collapsed="false">
      <c r="A748" s="30" t="n">
        <v>46124</v>
      </c>
      <c r="B748" s="31" t="s">
        <v>7</v>
      </c>
      <c r="C748" s="32"/>
      <c r="D748" s="32"/>
      <c r="E748" s="19" t="n">
        <f aca="false">+F748*0.03</f>
        <v>0</v>
      </c>
      <c r="F748" s="33" t="n">
        <v>0</v>
      </c>
      <c r="G748" s="62"/>
      <c r="H748" s="35" t="n">
        <v>0</v>
      </c>
      <c r="I748" s="34" t="n">
        <f aca="false">+IF(E748=0,0,E748*0.03)</f>
        <v>0</v>
      </c>
    </row>
    <row r="749" customFormat="false" ht="15.75" hidden="false" customHeight="true" outlineLevel="0" collapsed="false">
      <c r="A749" s="30" t="n">
        <v>46125</v>
      </c>
      <c r="B749" s="31" t="s">
        <v>7</v>
      </c>
      <c r="C749" s="32"/>
      <c r="D749" s="32"/>
      <c r="E749" s="19" t="n">
        <f aca="false">+F749*0.03</f>
        <v>0</v>
      </c>
      <c r="F749" s="33" t="n">
        <v>0</v>
      </c>
      <c r="G749" s="62"/>
      <c r="H749" s="35" t="n">
        <v>0</v>
      </c>
      <c r="I749" s="34" t="n">
        <f aca="false">+IF(E749=0,0,E749*0.03)</f>
        <v>0</v>
      </c>
    </row>
    <row r="750" customFormat="false" ht="15.75" hidden="false" customHeight="true" outlineLevel="0" collapsed="false">
      <c r="A750" s="30" t="n">
        <v>46126</v>
      </c>
      <c r="B750" s="31" t="s">
        <v>7</v>
      </c>
      <c r="C750" s="32"/>
      <c r="D750" s="32"/>
      <c r="E750" s="19" t="n">
        <f aca="false">+F750*0.03</f>
        <v>0</v>
      </c>
      <c r="F750" s="33" t="n">
        <v>0</v>
      </c>
      <c r="G750" s="62"/>
      <c r="H750" s="35" t="n">
        <v>0</v>
      </c>
      <c r="I750" s="34" t="n">
        <f aca="false">+IF(E750=0,0,E750*0.03)</f>
        <v>0</v>
      </c>
    </row>
    <row r="751" customFormat="false" ht="15.75" hidden="false" customHeight="true" outlineLevel="0" collapsed="false">
      <c r="A751" s="30" t="n">
        <v>46127</v>
      </c>
      <c r="B751" s="31" t="s">
        <v>7</v>
      </c>
      <c r="C751" s="32"/>
      <c r="D751" s="32"/>
      <c r="E751" s="19" t="n">
        <f aca="false">+F751*0.03</f>
        <v>0</v>
      </c>
      <c r="F751" s="33" t="n">
        <v>0</v>
      </c>
      <c r="G751" s="62"/>
      <c r="H751" s="35" t="n">
        <v>0</v>
      </c>
      <c r="I751" s="34" t="n">
        <f aca="false">+IF(E751=0,0,E751*0.03)</f>
        <v>0</v>
      </c>
    </row>
    <row r="752" customFormat="false" ht="15.75" hidden="false" customHeight="true" outlineLevel="0" collapsed="false">
      <c r="A752" s="30" t="n">
        <v>46128</v>
      </c>
      <c r="B752" s="31" t="s">
        <v>7</v>
      </c>
      <c r="C752" s="32"/>
      <c r="D752" s="32"/>
      <c r="E752" s="19" t="n">
        <f aca="false">+F752*0.03</f>
        <v>0</v>
      </c>
      <c r="F752" s="33" t="n">
        <v>0</v>
      </c>
      <c r="G752" s="62"/>
      <c r="H752" s="35" t="n">
        <v>0</v>
      </c>
      <c r="I752" s="34" t="n">
        <f aca="false">+IF(E752=0,0,E752*0.03)</f>
        <v>0</v>
      </c>
    </row>
    <row r="753" customFormat="false" ht="15.75" hidden="false" customHeight="true" outlineLevel="0" collapsed="false">
      <c r="A753" s="30" t="n">
        <v>46129</v>
      </c>
      <c r="B753" s="31" t="s">
        <v>7</v>
      </c>
      <c r="C753" s="32"/>
      <c r="D753" s="32"/>
      <c r="E753" s="19" t="n">
        <f aca="false">+F753*0.03</f>
        <v>0</v>
      </c>
      <c r="F753" s="33" t="n">
        <v>0</v>
      </c>
      <c r="G753" s="62"/>
      <c r="H753" s="35" t="n">
        <v>0</v>
      </c>
      <c r="I753" s="34" t="n">
        <f aca="false">+IF(E753=0,0,E753*0.03)</f>
        <v>0</v>
      </c>
    </row>
    <row r="754" customFormat="false" ht="15.75" hidden="false" customHeight="true" outlineLevel="0" collapsed="false">
      <c r="A754" s="30" t="n">
        <v>46130</v>
      </c>
      <c r="B754" s="31" t="s">
        <v>7</v>
      </c>
      <c r="C754" s="32"/>
      <c r="D754" s="32"/>
      <c r="E754" s="19" t="n">
        <f aca="false">+F754*0.03</f>
        <v>0</v>
      </c>
      <c r="F754" s="33" t="n">
        <v>0</v>
      </c>
      <c r="G754" s="62"/>
      <c r="H754" s="35" t="n">
        <v>0</v>
      </c>
      <c r="I754" s="34" t="n">
        <f aca="false">+IF(E754=0,0,E754*0.03)</f>
        <v>0</v>
      </c>
    </row>
    <row r="755" customFormat="false" ht="15.75" hidden="false" customHeight="true" outlineLevel="0" collapsed="false">
      <c r="A755" s="30" t="n">
        <v>46131</v>
      </c>
      <c r="B755" s="31" t="s">
        <v>7</v>
      </c>
      <c r="C755" s="32"/>
      <c r="D755" s="32"/>
      <c r="E755" s="19" t="n">
        <f aca="false">+F755*0.03</f>
        <v>0</v>
      </c>
      <c r="F755" s="33" t="n">
        <v>0</v>
      </c>
      <c r="G755" s="62"/>
      <c r="H755" s="35" t="n">
        <v>0</v>
      </c>
      <c r="I755" s="34" t="n">
        <f aca="false">+IF(E755=0,0,E755*0.03)</f>
        <v>0</v>
      </c>
    </row>
    <row r="756" customFormat="false" ht="15.75" hidden="false" customHeight="true" outlineLevel="0" collapsed="false">
      <c r="A756" s="30" t="n">
        <v>46132</v>
      </c>
      <c r="B756" s="31" t="s">
        <v>7</v>
      </c>
      <c r="C756" s="32"/>
      <c r="D756" s="32"/>
      <c r="E756" s="19" t="n">
        <f aca="false">+F756*0.03</f>
        <v>0</v>
      </c>
      <c r="F756" s="33" t="n">
        <v>0</v>
      </c>
      <c r="G756" s="62"/>
      <c r="H756" s="35" t="n">
        <v>0</v>
      </c>
      <c r="I756" s="34" t="n">
        <f aca="false">+IF(E756=0,0,E756*0.03)</f>
        <v>0</v>
      </c>
    </row>
    <row r="757" customFormat="false" ht="15.75" hidden="false" customHeight="true" outlineLevel="0" collapsed="false">
      <c r="A757" s="30" t="n">
        <v>46133</v>
      </c>
      <c r="B757" s="31" t="s">
        <v>7</v>
      </c>
      <c r="C757" s="32"/>
      <c r="D757" s="32"/>
      <c r="E757" s="19" t="n">
        <f aca="false">+F757*0.03</f>
        <v>0</v>
      </c>
      <c r="F757" s="33" t="n">
        <v>0</v>
      </c>
      <c r="G757" s="62"/>
      <c r="H757" s="35" t="n">
        <v>0</v>
      </c>
      <c r="I757" s="34" t="n">
        <f aca="false">+IF(E757=0,0,E757*0.03)</f>
        <v>0</v>
      </c>
    </row>
    <row r="758" customFormat="false" ht="15.75" hidden="false" customHeight="true" outlineLevel="0" collapsed="false">
      <c r="A758" s="30" t="n">
        <v>46134</v>
      </c>
      <c r="B758" s="31" t="s">
        <v>7</v>
      </c>
      <c r="C758" s="32"/>
      <c r="D758" s="32"/>
      <c r="E758" s="19" t="n">
        <f aca="false">+F758*0.03</f>
        <v>0</v>
      </c>
      <c r="F758" s="33" t="n">
        <v>0</v>
      </c>
      <c r="G758" s="62"/>
      <c r="H758" s="35" t="n">
        <v>0</v>
      </c>
      <c r="I758" s="34" t="n">
        <f aca="false">+IF(E758=0,0,E758*0.03)</f>
        <v>0</v>
      </c>
    </row>
    <row r="759" customFormat="false" ht="15.75" hidden="false" customHeight="true" outlineLevel="0" collapsed="false">
      <c r="A759" s="30" t="n">
        <v>46135</v>
      </c>
      <c r="B759" s="31" t="s">
        <v>7</v>
      </c>
      <c r="C759" s="32"/>
      <c r="D759" s="32"/>
      <c r="E759" s="19" t="n">
        <f aca="false">+F759*0.03</f>
        <v>0</v>
      </c>
      <c r="F759" s="33" t="n">
        <v>0</v>
      </c>
      <c r="G759" s="62"/>
      <c r="H759" s="35" t="n">
        <v>0</v>
      </c>
      <c r="I759" s="34" t="n">
        <f aca="false">+IF(E759=0,0,E759*0.03)</f>
        <v>0</v>
      </c>
    </row>
    <row r="760" customFormat="false" ht="15.75" hidden="false" customHeight="true" outlineLevel="0" collapsed="false">
      <c r="A760" s="30" t="n">
        <v>46136</v>
      </c>
      <c r="B760" s="31" t="s">
        <v>7</v>
      </c>
      <c r="C760" s="32"/>
      <c r="D760" s="32"/>
      <c r="E760" s="19" t="n">
        <f aca="false">+F760*0.03</f>
        <v>0</v>
      </c>
      <c r="F760" s="33" t="n">
        <v>0</v>
      </c>
      <c r="G760" s="62"/>
      <c r="H760" s="35" t="n">
        <v>0</v>
      </c>
      <c r="I760" s="34" t="n">
        <f aca="false">+IF(E760=0,0,E760*0.03)</f>
        <v>0</v>
      </c>
    </row>
    <row r="761" customFormat="false" ht="15.75" hidden="false" customHeight="true" outlineLevel="0" collapsed="false">
      <c r="A761" s="30" t="n">
        <v>46137</v>
      </c>
      <c r="B761" s="31" t="s">
        <v>7</v>
      </c>
      <c r="C761" s="32"/>
      <c r="D761" s="32"/>
      <c r="E761" s="19" t="n">
        <f aca="false">+F761*0.03</f>
        <v>0</v>
      </c>
      <c r="F761" s="33" t="n">
        <v>0</v>
      </c>
      <c r="G761" s="62"/>
      <c r="H761" s="35" t="n">
        <v>0</v>
      </c>
      <c r="I761" s="34" t="n">
        <f aca="false">+IF(E761=0,0,E761*0.03)</f>
        <v>0</v>
      </c>
    </row>
    <row r="762" customFormat="false" ht="15.75" hidden="false" customHeight="true" outlineLevel="0" collapsed="false">
      <c r="A762" s="30" t="n">
        <v>46138</v>
      </c>
      <c r="B762" s="31" t="s">
        <v>7</v>
      </c>
      <c r="C762" s="32"/>
      <c r="D762" s="32"/>
      <c r="E762" s="19" t="n">
        <f aca="false">+F762*0.03</f>
        <v>0</v>
      </c>
      <c r="F762" s="33" t="n">
        <v>0</v>
      </c>
      <c r="G762" s="62"/>
      <c r="H762" s="35" t="n">
        <v>0</v>
      </c>
      <c r="I762" s="34" t="n">
        <f aca="false">+IF(E762=0,0,E762*0.03)</f>
        <v>0</v>
      </c>
    </row>
    <row r="763" customFormat="false" ht="15.75" hidden="false" customHeight="true" outlineLevel="0" collapsed="false">
      <c r="A763" s="30" t="n">
        <v>46139</v>
      </c>
      <c r="B763" s="31" t="s">
        <v>7</v>
      </c>
      <c r="C763" s="32"/>
      <c r="D763" s="32"/>
      <c r="E763" s="19" t="n">
        <f aca="false">+F763*0.03</f>
        <v>0</v>
      </c>
      <c r="F763" s="33" t="n">
        <v>0</v>
      </c>
      <c r="G763" s="62"/>
      <c r="H763" s="35" t="n">
        <v>0</v>
      </c>
      <c r="I763" s="34" t="n">
        <f aca="false">+IF(E763=0,0,E763*0.03)</f>
        <v>0</v>
      </c>
    </row>
    <row r="764" customFormat="false" ht="15.75" hidden="false" customHeight="true" outlineLevel="0" collapsed="false">
      <c r="A764" s="30" t="n">
        <v>46140</v>
      </c>
      <c r="B764" s="31" t="s">
        <v>7</v>
      </c>
      <c r="C764" s="32"/>
      <c r="D764" s="32"/>
      <c r="E764" s="19" t="n">
        <f aca="false">+F764*0.03</f>
        <v>0</v>
      </c>
      <c r="F764" s="33" t="n">
        <v>0</v>
      </c>
      <c r="G764" s="62"/>
      <c r="H764" s="35" t="n">
        <v>0</v>
      </c>
      <c r="I764" s="34" t="n">
        <f aca="false">+IF(E764=0,0,E764*0.03)</f>
        <v>0</v>
      </c>
    </row>
    <row r="765" customFormat="false" ht="15.75" hidden="false" customHeight="true" outlineLevel="0" collapsed="false">
      <c r="A765" s="30" t="n">
        <v>46141</v>
      </c>
      <c r="B765" s="31" t="s">
        <v>7</v>
      </c>
      <c r="C765" s="32"/>
      <c r="D765" s="32"/>
      <c r="E765" s="19" t="n">
        <f aca="false">+F765*0.03</f>
        <v>0</v>
      </c>
      <c r="F765" s="33" t="n">
        <v>0</v>
      </c>
      <c r="G765" s="62"/>
      <c r="H765" s="35" t="n">
        <v>0</v>
      </c>
      <c r="I765" s="34" t="n">
        <f aca="false">+IF(E765=0,0,E765*0.03)</f>
        <v>0</v>
      </c>
    </row>
    <row r="766" customFormat="false" ht="15.75" hidden="false" customHeight="true" outlineLevel="0" collapsed="false">
      <c r="A766" s="30" t="n">
        <v>46142</v>
      </c>
      <c r="B766" s="31" t="s">
        <v>7</v>
      </c>
      <c r="C766" s="32"/>
      <c r="D766" s="32"/>
      <c r="E766" s="19" t="n">
        <f aca="false">+F766*0.03</f>
        <v>0</v>
      </c>
      <c r="F766" s="33" t="n">
        <v>0</v>
      </c>
      <c r="G766" s="62"/>
      <c r="H766" s="35" t="n">
        <v>0</v>
      </c>
      <c r="I766" s="34" t="n">
        <f aca="false">+IF(E766=0,0,E766*0.03)</f>
        <v>0</v>
      </c>
    </row>
    <row r="767" customFormat="false" ht="15.75" hidden="false" customHeight="true" outlineLevel="0" collapsed="false">
      <c r="A767" s="30" t="n">
        <v>46143</v>
      </c>
      <c r="B767" s="31" t="s">
        <v>7</v>
      </c>
      <c r="C767" s="32"/>
      <c r="D767" s="32"/>
      <c r="E767" s="19" t="n">
        <f aca="false">+F767*0.03</f>
        <v>0</v>
      </c>
      <c r="F767" s="33" t="n">
        <v>0</v>
      </c>
      <c r="G767" s="62"/>
      <c r="H767" s="35" t="n">
        <v>0</v>
      </c>
      <c r="I767" s="34" t="n">
        <f aca="false">+IF(E767=0,0,E767*0.03)</f>
        <v>0</v>
      </c>
    </row>
    <row r="768" customFormat="false" ht="15.75" hidden="false" customHeight="true" outlineLevel="0" collapsed="false">
      <c r="A768" s="30" t="n">
        <v>46144</v>
      </c>
      <c r="B768" s="31" t="s">
        <v>7</v>
      </c>
      <c r="C768" s="32"/>
      <c r="D768" s="32"/>
      <c r="E768" s="19" t="n">
        <f aca="false">+F768*0.03</f>
        <v>0</v>
      </c>
      <c r="F768" s="33" t="n">
        <v>0</v>
      </c>
      <c r="G768" s="62"/>
      <c r="H768" s="35" t="n">
        <v>0</v>
      </c>
      <c r="I768" s="34" t="n">
        <f aca="false">+IF(E768=0,0,E768*0.03)</f>
        <v>0</v>
      </c>
    </row>
    <row r="769" customFormat="false" ht="15.75" hidden="false" customHeight="true" outlineLevel="0" collapsed="false">
      <c r="A769" s="30" t="n">
        <v>46145</v>
      </c>
      <c r="B769" s="31" t="s">
        <v>7</v>
      </c>
      <c r="C769" s="32"/>
      <c r="D769" s="32"/>
      <c r="E769" s="19" t="n">
        <f aca="false">+F769*0.03</f>
        <v>0</v>
      </c>
      <c r="F769" s="33" t="n">
        <v>0</v>
      </c>
      <c r="G769" s="62"/>
      <c r="H769" s="35" t="n">
        <v>0</v>
      </c>
      <c r="I769" s="34" t="n">
        <f aca="false">+IF(E769=0,0,E769*0.03)</f>
        <v>0</v>
      </c>
    </row>
    <row r="770" customFormat="false" ht="15.75" hidden="false" customHeight="true" outlineLevel="0" collapsed="false">
      <c r="A770" s="30" t="n">
        <v>46146</v>
      </c>
      <c r="B770" s="31" t="s">
        <v>7</v>
      </c>
      <c r="C770" s="32"/>
      <c r="D770" s="32"/>
      <c r="E770" s="19" t="n">
        <f aca="false">+F770*0.03</f>
        <v>0</v>
      </c>
      <c r="F770" s="33" t="n">
        <v>0</v>
      </c>
      <c r="G770" s="62"/>
      <c r="H770" s="35" t="n">
        <v>0</v>
      </c>
      <c r="I770" s="34" t="n">
        <f aca="false">+IF(E770=0,0,E770*0.03)</f>
        <v>0</v>
      </c>
    </row>
    <row r="771" customFormat="false" ht="15.75" hidden="false" customHeight="true" outlineLevel="0" collapsed="false">
      <c r="A771" s="30" t="n">
        <v>46147</v>
      </c>
      <c r="B771" s="31" t="s">
        <v>7</v>
      </c>
      <c r="C771" s="32"/>
      <c r="D771" s="32"/>
      <c r="E771" s="19" t="n">
        <f aca="false">+F771*0.03</f>
        <v>0</v>
      </c>
      <c r="F771" s="33" t="n">
        <v>0</v>
      </c>
      <c r="G771" s="62"/>
      <c r="H771" s="35" t="n">
        <v>0</v>
      </c>
      <c r="I771" s="34" t="n">
        <f aca="false">+IF(E771=0,0,E771*0.03)</f>
        <v>0</v>
      </c>
    </row>
    <row r="772" customFormat="false" ht="15.75" hidden="false" customHeight="true" outlineLevel="0" collapsed="false">
      <c r="A772" s="30" t="n">
        <v>46148</v>
      </c>
      <c r="B772" s="31" t="s">
        <v>7</v>
      </c>
      <c r="C772" s="32"/>
      <c r="D772" s="32"/>
      <c r="E772" s="19" t="n">
        <f aca="false">+F772*0.03</f>
        <v>0</v>
      </c>
      <c r="F772" s="33" t="n">
        <v>0</v>
      </c>
      <c r="G772" s="62"/>
      <c r="H772" s="35" t="n">
        <v>0</v>
      </c>
      <c r="I772" s="34" t="n">
        <f aca="false">+IF(E772=0,0,E772*0.03)</f>
        <v>0</v>
      </c>
    </row>
    <row r="773" customFormat="false" ht="15.75" hidden="false" customHeight="true" outlineLevel="0" collapsed="false">
      <c r="A773" s="30" t="n">
        <v>46149</v>
      </c>
      <c r="B773" s="31" t="s">
        <v>7</v>
      </c>
      <c r="C773" s="32"/>
      <c r="D773" s="32"/>
      <c r="E773" s="19" t="n">
        <f aca="false">+F773*0.03</f>
        <v>0</v>
      </c>
      <c r="F773" s="33" t="n">
        <v>0</v>
      </c>
      <c r="G773" s="62"/>
      <c r="H773" s="35" t="n">
        <v>0</v>
      </c>
      <c r="I773" s="34" t="n">
        <f aca="false">+IF(E773=0,0,E773*0.03)</f>
        <v>0</v>
      </c>
    </row>
    <row r="774" customFormat="false" ht="15.75" hidden="false" customHeight="true" outlineLevel="0" collapsed="false">
      <c r="A774" s="30" t="n">
        <v>46150</v>
      </c>
      <c r="B774" s="31" t="s">
        <v>7</v>
      </c>
      <c r="C774" s="32"/>
      <c r="D774" s="32"/>
      <c r="E774" s="19" t="n">
        <f aca="false">+F774*0.03</f>
        <v>0</v>
      </c>
      <c r="F774" s="33" t="n">
        <v>0</v>
      </c>
      <c r="G774" s="62"/>
      <c r="H774" s="35" t="n">
        <v>0</v>
      </c>
      <c r="I774" s="34" t="n">
        <f aca="false">+IF(E774=0,0,E774*0.03)</f>
        <v>0</v>
      </c>
    </row>
    <row r="775" customFormat="false" ht="15.75" hidden="false" customHeight="true" outlineLevel="0" collapsed="false">
      <c r="A775" s="30" t="n">
        <v>46151</v>
      </c>
      <c r="B775" s="31" t="s">
        <v>7</v>
      </c>
      <c r="C775" s="32"/>
      <c r="D775" s="32"/>
      <c r="E775" s="19" t="n">
        <f aca="false">+F775*0.03</f>
        <v>0</v>
      </c>
      <c r="F775" s="33" t="n">
        <v>0</v>
      </c>
      <c r="G775" s="62"/>
      <c r="H775" s="35" t="n">
        <v>0</v>
      </c>
      <c r="I775" s="34" t="n">
        <f aca="false">+IF(E775=0,0,E775*0.03)</f>
        <v>0</v>
      </c>
    </row>
    <row r="776" customFormat="false" ht="15.75" hidden="false" customHeight="true" outlineLevel="0" collapsed="false">
      <c r="A776" s="30" t="n">
        <v>46152</v>
      </c>
      <c r="B776" s="31" t="s">
        <v>7</v>
      </c>
      <c r="C776" s="32"/>
      <c r="D776" s="32"/>
      <c r="E776" s="19" t="n">
        <f aca="false">+F776*0.03</f>
        <v>0</v>
      </c>
      <c r="F776" s="33" t="n">
        <v>0</v>
      </c>
      <c r="G776" s="62"/>
      <c r="H776" s="35" t="n">
        <v>0</v>
      </c>
      <c r="I776" s="34" t="n">
        <f aca="false">+IF(E776=0,0,E776*0.03)</f>
        <v>0</v>
      </c>
    </row>
    <row r="777" customFormat="false" ht="15.75" hidden="false" customHeight="true" outlineLevel="0" collapsed="false">
      <c r="A777" s="30" t="n">
        <v>46153</v>
      </c>
      <c r="B777" s="31" t="s">
        <v>7</v>
      </c>
      <c r="C777" s="32"/>
      <c r="D777" s="32"/>
      <c r="E777" s="19" t="n">
        <f aca="false">+F777*0.03</f>
        <v>0</v>
      </c>
      <c r="F777" s="33" t="n">
        <v>0</v>
      </c>
      <c r="G777" s="62"/>
      <c r="H777" s="35" t="n">
        <v>0</v>
      </c>
      <c r="I777" s="34" t="n">
        <f aca="false">+IF(E777=0,0,E777*0.03)</f>
        <v>0</v>
      </c>
    </row>
    <row r="778" customFormat="false" ht="15.75" hidden="false" customHeight="true" outlineLevel="0" collapsed="false">
      <c r="A778" s="30" t="n">
        <v>46154</v>
      </c>
      <c r="B778" s="31" t="s">
        <v>7</v>
      </c>
      <c r="C778" s="32"/>
      <c r="D778" s="32"/>
      <c r="E778" s="19" t="n">
        <f aca="false">+F778*0.03</f>
        <v>0</v>
      </c>
      <c r="F778" s="33" t="n">
        <v>0</v>
      </c>
      <c r="G778" s="62"/>
      <c r="H778" s="35" t="n">
        <v>0</v>
      </c>
      <c r="I778" s="34" t="n">
        <f aca="false">+IF(E778=0,0,E778*0.03)</f>
        <v>0</v>
      </c>
    </row>
    <row r="779" customFormat="false" ht="15.75" hidden="false" customHeight="true" outlineLevel="0" collapsed="false">
      <c r="A779" s="30" t="n">
        <v>46155</v>
      </c>
      <c r="B779" s="31" t="s">
        <v>7</v>
      </c>
      <c r="C779" s="32"/>
      <c r="D779" s="32"/>
      <c r="E779" s="19" t="n">
        <f aca="false">+F779*0.03</f>
        <v>0</v>
      </c>
      <c r="F779" s="33" t="n">
        <v>0</v>
      </c>
      <c r="G779" s="62"/>
      <c r="H779" s="35" t="n">
        <v>0</v>
      </c>
      <c r="I779" s="34" t="n">
        <f aca="false">+IF(E779=0,0,E779*0.03)</f>
        <v>0</v>
      </c>
    </row>
    <row r="780" customFormat="false" ht="15.75" hidden="false" customHeight="true" outlineLevel="0" collapsed="false">
      <c r="A780" s="30" t="n">
        <v>46156</v>
      </c>
      <c r="B780" s="31" t="s">
        <v>7</v>
      </c>
      <c r="C780" s="32"/>
      <c r="D780" s="32"/>
      <c r="E780" s="19" t="n">
        <f aca="false">+F780*0.03</f>
        <v>0</v>
      </c>
      <c r="F780" s="33" t="n">
        <v>0</v>
      </c>
      <c r="G780" s="62"/>
      <c r="H780" s="35" t="n">
        <v>0</v>
      </c>
      <c r="I780" s="34" t="n">
        <f aca="false">+IF(E780=0,0,E780*0.03)</f>
        <v>0</v>
      </c>
    </row>
    <row r="781" customFormat="false" ht="15.75" hidden="false" customHeight="true" outlineLevel="0" collapsed="false">
      <c r="A781" s="30" t="n">
        <v>46157</v>
      </c>
      <c r="B781" s="31" t="s">
        <v>7</v>
      </c>
      <c r="C781" s="32"/>
      <c r="D781" s="32"/>
      <c r="E781" s="19" t="n">
        <f aca="false">+F781*0.03</f>
        <v>0</v>
      </c>
      <c r="F781" s="33" t="n">
        <v>0</v>
      </c>
      <c r="G781" s="62"/>
      <c r="H781" s="35" t="n">
        <v>0</v>
      </c>
      <c r="I781" s="34" t="n">
        <f aca="false">+IF(E781=0,0,E781*0.03)</f>
        <v>0</v>
      </c>
    </row>
    <row r="782" customFormat="false" ht="15.75" hidden="false" customHeight="true" outlineLevel="0" collapsed="false">
      <c r="A782" s="30" t="n">
        <v>46158</v>
      </c>
      <c r="B782" s="31" t="s">
        <v>7</v>
      </c>
      <c r="C782" s="32"/>
      <c r="D782" s="32"/>
      <c r="E782" s="19" t="n">
        <f aca="false">+F782*0.03</f>
        <v>0</v>
      </c>
      <c r="F782" s="33" t="n">
        <v>0</v>
      </c>
      <c r="G782" s="62"/>
      <c r="H782" s="35" t="n">
        <v>0</v>
      </c>
      <c r="I782" s="34" t="n">
        <f aca="false">+IF(E782=0,0,E782*0.03)</f>
        <v>0</v>
      </c>
    </row>
    <row r="783" customFormat="false" ht="15.75" hidden="false" customHeight="true" outlineLevel="0" collapsed="false">
      <c r="A783" s="30" t="n">
        <v>46159</v>
      </c>
      <c r="B783" s="31" t="s">
        <v>7</v>
      </c>
      <c r="C783" s="32"/>
      <c r="D783" s="32"/>
      <c r="E783" s="19" t="n">
        <f aca="false">+F783*0.03</f>
        <v>0</v>
      </c>
      <c r="F783" s="33" t="n">
        <v>0</v>
      </c>
      <c r="G783" s="62"/>
      <c r="H783" s="35" t="n">
        <v>0</v>
      </c>
      <c r="I783" s="34" t="n">
        <f aca="false">+IF(E783=0,0,E783*0.03)</f>
        <v>0</v>
      </c>
    </row>
    <row r="784" customFormat="false" ht="15.75" hidden="false" customHeight="true" outlineLevel="0" collapsed="false">
      <c r="A784" s="30" t="n">
        <v>46160</v>
      </c>
      <c r="B784" s="31" t="s">
        <v>7</v>
      </c>
      <c r="C784" s="32"/>
      <c r="D784" s="32"/>
      <c r="E784" s="19" t="n">
        <f aca="false">+F784*0.03</f>
        <v>0</v>
      </c>
      <c r="F784" s="33" t="n">
        <v>0</v>
      </c>
      <c r="G784" s="62"/>
      <c r="H784" s="35" t="n">
        <v>0</v>
      </c>
      <c r="I784" s="34" t="n">
        <f aca="false">+IF(E784=0,0,E784*0.03)</f>
        <v>0</v>
      </c>
    </row>
    <row r="785" customFormat="false" ht="15.75" hidden="false" customHeight="true" outlineLevel="0" collapsed="false">
      <c r="A785" s="30" t="n">
        <v>46161</v>
      </c>
      <c r="B785" s="31" t="s">
        <v>7</v>
      </c>
      <c r="C785" s="32"/>
      <c r="D785" s="32"/>
      <c r="E785" s="19" t="n">
        <f aca="false">+F785*0.03</f>
        <v>0</v>
      </c>
      <c r="F785" s="33" t="n">
        <v>0</v>
      </c>
      <c r="G785" s="62"/>
      <c r="H785" s="35" t="n">
        <v>0</v>
      </c>
      <c r="I785" s="34" t="n">
        <f aca="false">+IF(E785=0,0,E785*0.03)</f>
        <v>0</v>
      </c>
    </row>
    <row r="786" customFormat="false" ht="15.75" hidden="false" customHeight="true" outlineLevel="0" collapsed="false">
      <c r="A786" s="30" t="n">
        <v>46162</v>
      </c>
      <c r="B786" s="31" t="s">
        <v>7</v>
      </c>
      <c r="C786" s="32"/>
      <c r="D786" s="32"/>
      <c r="E786" s="19" t="n">
        <f aca="false">+F786*0.03</f>
        <v>0</v>
      </c>
      <c r="F786" s="33" t="n">
        <v>0</v>
      </c>
      <c r="G786" s="62"/>
      <c r="H786" s="35" t="n">
        <v>0</v>
      </c>
      <c r="I786" s="34" t="n">
        <f aca="false">+IF(E786=0,0,E786*0.03)</f>
        <v>0</v>
      </c>
    </row>
    <row r="787" customFormat="false" ht="15.75" hidden="false" customHeight="true" outlineLevel="0" collapsed="false">
      <c r="A787" s="30" t="n">
        <v>46163</v>
      </c>
      <c r="B787" s="31" t="s">
        <v>7</v>
      </c>
      <c r="C787" s="32"/>
      <c r="D787" s="32"/>
      <c r="E787" s="19" t="n">
        <f aca="false">+F787*0.03</f>
        <v>0</v>
      </c>
      <c r="F787" s="33" t="n">
        <v>0</v>
      </c>
      <c r="G787" s="62"/>
      <c r="H787" s="35" t="n">
        <v>0</v>
      </c>
      <c r="I787" s="34" t="n">
        <f aca="false">+IF(E787=0,0,E787*0.03)</f>
        <v>0</v>
      </c>
    </row>
    <row r="788" customFormat="false" ht="15.75" hidden="false" customHeight="true" outlineLevel="0" collapsed="false">
      <c r="A788" s="30" t="n">
        <v>46164</v>
      </c>
      <c r="B788" s="31" t="s">
        <v>7</v>
      </c>
      <c r="C788" s="32"/>
      <c r="D788" s="32"/>
      <c r="E788" s="19" t="n">
        <f aca="false">+F788*0.03</f>
        <v>0</v>
      </c>
      <c r="F788" s="33" t="n">
        <v>0</v>
      </c>
      <c r="G788" s="62"/>
      <c r="H788" s="35" t="n">
        <v>0</v>
      </c>
      <c r="I788" s="34" t="n">
        <f aca="false">+IF(E788=0,0,E788*0.03)</f>
        <v>0</v>
      </c>
    </row>
    <row r="789" customFormat="false" ht="15.75" hidden="false" customHeight="true" outlineLevel="0" collapsed="false">
      <c r="A789" s="30" t="n">
        <v>46165</v>
      </c>
      <c r="B789" s="31" t="s">
        <v>7</v>
      </c>
      <c r="C789" s="32"/>
      <c r="D789" s="32"/>
      <c r="E789" s="19" t="n">
        <f aca="false">+F789*0.03</f>
        <v>0</v>
      </c>
      <c r="F789" s="33" t="n">
        <v>0</v>
      </c>
      <c r="G789" s="62"/>
      <c r="H789" s="35" t="n">
        <v>0</v>
      </c>
      <c r="I789" s="34" t="n">
        <f aca="false">+IF(E789=0,0,E789*0.03)</f>
        <v>0</v>
      </c>
    </row>
    <row r="790" customFormat="false" ht="15.75" hidden="false" customHeight="true" outlineLevel="0" collapsed="false">
      <c r="A790" s="30" t="n">
        <v>46166</v>
      </c>
      <c r="B790" s="31" t="s">
        <v>7</v>
      </c>
      <c r="C790" s="32"/>
      <c r="D790" s="32"/>
      <c r="E790" s="19" t="n">
        <f aca="false">+F790*0.03</f>
        <v>0</v>
      </c>
      <c r="F790" s="33" t="n">
        <v>0</v>
      </c>
      <c r="G790" s="62"/>
      <c r="H790" s="35" t="n">
        <v>0</v>
      </c>
      <c r="I790" s="34" t="n">
        <f aca="false">+IF(E790=0,0,E790*0.03)</f>
        <v>0</v>
      </c>
    </row>
    <row r="791" customFormat="false" ht="15.75" hidden="false" customHeight="true" outlineLevel="0" collapsed="false">
      <c r="A791" s="30" t="n">
        <v>46167</v>
      </c>
      <c r="B791" s="31" t="s">
        <v>7</v>
      </c>
      <c r="C791" s="32"/>
      <c r="D791" s="32"/>
      <c r="E791" s="19" t="n">
        <f aca="false">+F791*0.03</f>
        <v>0</v>
      </c>
      <c r="F791" s="33" t="n">
        <v>0</v>
      </c>
      <c r="G791" s="62"/>
      <c r="H791" s="35" t="n">
        <v>0</v>
      </c>
      <c r="I791" s="34" t="n">
        <f aca="false">+IF(E791=0,0,E791*0.03)</f>
        <v>0</v>
      </c>
    </row>
    <row r="792" customFormat="false" ht="15.75" hidden="false" customHeight="true" outlineLevel="0" collapsed="false">
      <c r="A792" s="30" t="n">
        <v>46168</v>
      </c>
      <c r="B792" s="31" t="s">
        <v>7</v>
      </c>
      <c r="C792" s="32"/>
      <c r="D792" s="32"/>
      <c r="E792" s="19" t="n">
        <f aca="false">+F792*0.03</f>
        <v>0</v>
      </c>
      <c r="F792" s="33" t="n">
        <v>0</v>
      </c>
      <c r="G792" s="62"/>
      <c r="H792" s="35" t="n">
        <v>0</v>
      </c>
      <c r="I792" s="34" t="n">
        <f aca="false">+IF(E792=0,0,E792*0.03)</f>
        <v>0</v>
      </c>
    </row>
    <row r="793" customFormat="false" ht="15.75" hidden="false" customHeight="true" outlineLevel="0" collapsed="false">
      <c r="A793" s="30" t="n">
        <v>46169</v>
      </c>
      <c r="B793" s="31" t="s">
        <v>7</v>
      </c>
      <c r="C793" s="32"/>
      <c r="D793" s="32"/>
      <c r="E793" s="19" t="n">
        <f aca="false">+F793*0.03</f>
        <v>0</v>
      </c>
      <c r="F793" s="33" t="n">
        <v>0</v>
      </c>
      <c r="G793" s="62"/>
      <c r="H793" s="35" t="n">
        <v>0</v>
      </c>
      <c r="I793" s="34" t="n">
        <f aca="false">+IF(E793=0,0,E793*0.03)</f>
        <v>0</v>
      </c>
    </row>
    <row r="794" customFormat="false" ht="15.75" hidden="false" customHeight="true" outlineLevel="0" collapsed="false">
      <c r="A794" s="30" t="n">
        <v>46170</v>
      </c>
      <c r="B794" s="31" t="s">
        <v>7</v>
      </c>
      <c r="C794" s="32"/>
      <c r="D794" s="32"/>
      <c r="E794" s="19" t="n">
        <f aca="false">+F794*0.03</f>
        <v>0</v>
      </c>
      <c r="F794" s="33" t="n">
        <v>0</v>
      </c>
      <c r="G794" s="62"/>
      <c r="H794" s="35" t="n">
        <v>0</v>
      </c>
      <c r="I794" s="34" t="n">
        <f aca="false">+IF(E794=0,0,E794*0.03)</f>
        <v>0</v>
      </c>
    </row>
    <row r="795" customFormat="false" ht="15.75" hidden="false" customHeight="true" outlineLevel="0" collapsed="false">
      <c r="A795" s="30" t="n">
        <v>46171</v>
      </c>
      <c r="B795" s="31" t="s">
        <v>7</v>
      </c>
      <c r="C795" s="32"/>
      <c r="D795" s="32"/>
      <c r="E795" s="19" t="n">
        <f aca="false">+F795*0.03</f>
        <v>0</v>
      </c>
      <c r="F795" s="33" t="n">
        <v>0</v>
      </c>
      <c r="G795" s="62"/>
      <c r="H795" s="35" t="n">
        <v>0</v>
      </c>
      <c r="I795" s="34" t="n">
        <f aca="false">+IF(E795=0,0,E795*0.03)</f>
        <v>0</v>
      </c>
    </row>
    <row r="796" customFormat="false" ht="15.75" hidden="false" customHeight="true" outlineLevel="0" collapsed="false">
      <c r="A796" s="30" t="n">
        <v>46172</v>
      </c>
      <c r="B796" s="31" t="s">
        <v>7</v>
      </c>
      <c r="C796" s="32"/>
      <c r="D796" s="32"/>
      <c r="E796" s="19" t="n">
        <f aca="false">+F796*0.03</f>
        <v>0</v>
      </c>
      <c r="F796" s="33" t="n">
        <v>0</v>
      </c>
      <c r="G796" s="62"/>
      <c r="H796" s="35" t="n">
        <v>0</v>
      </c>
      <c r="I796" s="34" t="n">
        <f aca="false">+IF(E796=0,0,E796*0.03)</f>
        <v>0</v>
      </c>
    </row>
    <row r="797" customFormat="false" ht="15.75" hidden="false" customHeight="true" outlineLevel="0" collapsed="false">
      <c r="A797" s="30" t="n">
        <v>46173</v>
      </c>
      <c r="B797" s="31" t="s">
        <v>7</v>
      </c>
      <c r="C797" s="32"/>
      <c r="D797" s="32"/>
      <c r="E797" s="19" t="n">
        <f aca="false">+F797*0.03</f>
        <v>0</v>
      </c>
      <c r="F797" s="33" t="n">
        <v>0</v>
      </c>
      <c r="G797" s="62"/>
      <c r="H797" s="35" t="n">
        <v>0</v>
      </c>
      <c r="I797" s="34" t="n">
        <f aca="false">+IF(E797=0,0,E797*0.03)</f>
        <v>0</v>
      </c>
    </row>
    <row r="798" customFormat="false" ht="15.75" hidden="false" customHeight="true" outlineLevel="0" collapsed="false">
      <c r="A798" s="30" t="n">
        <v>46174</v>
      </c>
      <c r="B798" s="31" t="s">
        <v>7</v>
      </c>
      <c r="C798" s="32"/>
      <c r="D798" s="32"/>
      <c r="E798" s="19" t="n">
        <f aca="false">+F798*0.03</f>
        <v>0</v>
      </c>
      <c r="F798" s="33" t="n">
        <v>0</v>
      </c>
      <c r="G798" s="62"/>
      <c r="H798" s="35" t="n">
        <v>0</v>
      </c>
      <c r="I798" s="34" t="n">
        <f aca="false">+IF(E798=0,0,E798*0.03)</f>
        <v>0</v>
      </c>
    </row>
    <row r="799" customFormat="false" ht="15.75" hidden="false" customHeight="true" outlineLevel="0" collapsed="false">
      <c r="A799" s="30" t="n">
        <v>46175</v>
      </c>
      <c r="B799" s="31" t="s">
        <v>7</v>
      </c>
      <c r="C799" s="32"/>
      <c r="D799" s="32"/>
      <c r="E799" s="19" t="n">
        <f aca="false">+F799*0.03</f>
        <v>0</v>
      </c>
      <c r="F799" s="33" t="n">
        <v>0</v>
      </c>
      <c r="G799" s="62"/>
      <c r="H799" s="35" t="n">
        <v>0</v>
      </c>
      <c r="I799" s="34" t="n">
        <f aca="false">+IF(E799=0,0,E799*0.03)</f>
        <v>0</v>
      </c>
    </row>
    <row r="800" customFormat="false" ht="15.75" hidden="false" customHeight="true" outlineLevel="0" collapsed="false">
      <c r="A800" s="30" t="n">
        <v>46176</v>
      </c>
      <c r="B800" s="31" t="s">
        <v>7</v>
      </c>
      <c r="C800" s="32"/>
      <c r="D800" s="32"/>
      <c r="E800" s="19" t="n">
        <f aca="false">+F800*0.03</f>
        <v>0</v>
      </c>
      <c r="F800" s="33" t="n">
        <v>0</v>
      </c>
      <c r="G800" s="62"/>
      <c r="H800" s="35" t="n">
        <v>0</v>
      </c>
      <c r="I800" s="34" t="n">
        <f aca="false">+IF(E800=0,0,E800*0.03)</f>
        <v>0</v>
      </c>
    </row>
    <row r="801" customFormat="false" ht="15.75" hidden="false" customHeight="true" outlineLevel="0" collapsed="false">
      <c r="A801" s="30" t="n">
        <v>46177</v>
      </c>
      <c r="B801" s="31" t="s">
        <v>7</v>
      </c>
      <c r="C801" s="32"/>
      <c r="D801" s="32"/>
      <c r="E801" s="19" t="n">
        <f aca="false">+F801*0.03</f>
        <v>0</v>
      </c>
      <c r="F801" s="33" t="n">
        <v>0</v>
      </c>
      <c r="G801" s="62"/>
      <c r="H801" s="35" t="n">
        <v>0</v>
      </c>
      <c r="I801" s="34" t="n">
        <f aca="false">+IF(E801=0,0,E801*0.03)</f>
        <v>0</v>
      </c>
    </row>
    <row r="802" customFormat="false" ht="15.75" hidden="false" customHeight="true" outlineLevel="0" collapsed="false">
      <c r="A802" s="30" t="n">
        <v>46178</v>
      </c>
      <c r="B802" s="31" t="s">
        <v>7</v>
      </c>
      <c r="C802" s="32"/>
      <c r="D802" s="32"/>
      <c r="E802" s="19" t="n">
        <f aca="false">+F802*0.03</f>
        <v>0</v>
      </c>
      <c r="F802" s="33" t="n">
        <v>0</v>
      </c>
      <c r="G802" s="62"/>
      <c r="H802" s="35" t="n">
        <v>0</v>
      </c>
      <c r="I802" s="34" t="n">
        <f aca="false">+IF(E802=0,0,E802*0.03)</f>
        <v>0</v>
      </c>
    </row>
    <row r="803" customFormat="false" ht="15.75" hidden="false" customHeight="true" outlineLevel="0" collapsed="false">
      <c r="A803" s="30" t="n">
        <v>46179</v>
      </c>
      <c r="B803" s="31" t="s">
        <v>7</v>
      </c>
      <c r="C803" s="32"/>
      <c r="D803" s="32"/>
      <c r="E803" s="19" t="n">
        <f aca="false">+F803*0.03</f>
        <v>0</v>
      </c>
      <c r="F803" s="33" t="n">
        <v>0</v>
      </c>
      <c r="G803" s="62"/>
      <c r="H803" s="35" t="n">
        <v>0</v>
      </c>
      <c r="I803" s="34" t="n">
        <f aca="false">+IF(E803=0,0,E803*0.03)</f>
        <v>0</v>
      </c>
    </row>
    <row r="804" customFormat="false" ht="15.75" hidden="false" customHeight="true" outlineLevel="0" collapsed="false">
      <c r="A804" s="30" t="n">
        <v>46180</v>
      </c>
      <c r="B804" s="31" t="s">
        <v>7</v>
      </c>
      <c r="C804" s="32"/>
      <c r="D804" s="32"/>
      <c r="E804" s="19" t="n">
        <f aca="false">+F804*0.03</f>
        <v>0</v>
      </c>
      <c r="F804" s="33" t="n">
        <v>0</v>
      </c>
      <c r="G804" s="62"/>
      <c r="H804" s="35" t="n">
        <v>0</v>
      </c>
      <c r="I804" s="34" t="n">
        <f aca="false">+IF(E804=0,0,E804*0.03)</f>
        <v>0</v>
      </c>
    </row>
    <row r="805" customFormat="false" ht="15.75" hidden="false" customHeight="true" outlineLevel="0" collapsed="false">
      <c r="A805" s="30" t="n">
        <v>46181</v>
      </c>
      <c r="B805" s="31" t="s">
        <v>7</v>
      </c>
      <c r="C805" s="32"/>
      <c r="D805" s="32"/>
      <c r="E805" s="19" t="n">
        <f aca="false">+F805*0.03</f>
        <v>0</v>
      </c>
      <c r="F805" s="33" t="n">
        <v>0</v>
      </c>
      <c r="G805" s="62"/>
      <c r="H805" s="35" t="n">
        <v>0</v>
      </c>
      <c r="I805" s="34" t="n">
        <f aca="false">+IF(E805=0,0,E805*0.03)</f>
        <v>0</v>
      </c>
    </row>
    <row r="806" customFormat="false" ht="15.75" hidden="false" customHeight="true" outlineLevel="0" collapsed="false">
      <c r="A806" s="30" t="n">
        <v>46182</v>
      </c>
      <c r="B806" s="31" t="s">
        <v>7</v>
      </c>
      <c r="C806" s="32"/>
      <c r="D806" s="32"/>
      <c r="E806" s="19" t="n">
        <f aca="false">+F806*0.03</f>
        <v>0</v>
      </c>
      <c r="F806" s="33" t="n">
        <v>0</v>
      </c>
      <c r="G806" s="62"/>
      <c r="H806" s="35" t="n">
        <v>0</v>
      </c>
      <c r="I806" s="34" t="n">
        <f aca="false">+IF(E806=0,0,E806*0.03)</f>
        <v>0</v>
      </c>
    </row>
    <row r="807" customFormat="false" ht="15.75" hidden="false" customHeight="true" outlineLevel="0" collapsed="false">
      <c r="A807" s="30" t="n">
        <v>46183</v>
      </c>
      <c r="B807" s="31" t="s">
        <v>7</v>
      </c>
      <c r="C807" s="32"/>
      <c r="D807" s="32"/>
      <c r="E807" s="19" t="n">
        <f aca="false">+F807*0.03</f>
        <v>0</v>
      </c>
      <c r="F807" s="33" t="n">
        <v>0</v>
      </c>
      <c r="G807" s="62"/>
      <c r="H807" s="35" t="n">
        <v>0</v>
      </c>
      <c r="I807" s="34" t="n">
        <f aca="false">+IF(E807=0,0,E807*0.03)</f>
        <v>0</v>
      </c>
    </row>
    <row r="808" customFormat="false" ht="15.75" hidden="false" customHeight="true" outlineLevel="0" collapsed="false">
      <c r="A808" s="30" t="n">
        <v>46184</v>
      </c>
      <c r="B808" s="31" t="s">
        <v>7</v>
      </c>
      <c r="C808" s="32"/>
      <c r="D808" s="32"/>
      <c r="E808" s="19" t="n">
        <f aca="false">+F808*0.03</f>
        <v>0</v>
      </c>
      <c r="F808" s="33" t="n">
        <v>0</v>
      </c>
      <c r="G808" s="62"/>
      <c r="H808" s="35" t="n">
        <v>0</v>
      </c>
      <c r="I808" s="34" t="n">
        <f aca="false">+IF(E808=0,0,E808*0.03)</f>
        <v>0</v>
      </c>
    </row>
    <row r="809" customFormat="false" ht="15.75" hidden="false" customHeight="true" outlineLevel="0" collapsed="false">
      <c r="A809" s="30" t="n">
        <v>46185</v>
      </c>
      <c r="B809" s="31" t="s">
        <v>7</v>
      </c>
      <c r="C809" s="32"/>
      <c r="D809" s="32"/>
      <c r="E809" s="19" t="n">
        <f aca="false">+F809*0.03</f>
        <v>0</v>
      </c>
      <c r="F809" s="33" t="n">
        <v>0</v>
      </c>
      <c r="G809" s="62"/>
      <c r="H809" s="35" t="n">
        <v>0</v>
      </c>
      <c r="I809" s="34" t="n">
        <f aca="false">+IF(E809=0,0,E809*0.03)</f>
        <v>0</v>
      </c>
    </row>
    <row r="810" customFormat="false" ht="15.75" hidden="false" customHeight="true" outlineLevel="0" collapsed="false">
      <c r="A810" s="30" t="n">
        <v>46186</v>
      </c>
      <c r="B810" s="31" t="s">
        <v>7</v>
      </c>
      <c r="C810" s="32"/>
      <c r="D810" s="32"/>
      <c r="E810" s="19" t="n">
        <f aca="false">+F810*0.03</f>
        <v>0</v>
      </c>
      <c r="F810" s="33" t="n">
        <v>0</v>
      </c>
      <c r="G810" s="62"/>
      <c r="H810" s="35" t="n">
        <v>0</v>
      </c>
      <c r="I810" s="34" t="n">
        <f aca="false">+IF(E810=0,0,E810*0.03)</f>
        <v>0</v>
      </c>
    </row>
    <row r="811" customFormat="false" ht="15.75" hidden="false" customHeight="true" outlineLevel="0" collapsed="false">
      <c r="A811" s="30" t="n">
        <v>46187</v>
      </c>
      <c r="B811" s="31" t="s">
        <v>7</v>
      </c>
      <c r="C811" s="32"/>
      <c r="D811" s="32"/>
      <c r="E811" s="19" t="n">
        <f aca="false">+F811*0.03</f>
        <v>0</v>
      </c>
      <c r="F811" s="33" t="n">
        <v>0</v>
      </c>
      <c r="G811" s="62"/>
      <c r="H811" s="35" t="n">
        <v>0</v>
      </c>
      <c r="I811" s="34" t="n">
        <f aca="false">+IF(E811=0,0,E811*0.03)</f>
        <v>0</v>
      </c>
    </row>
    <row r="812" customFormat="false" ht="15.75" hidden="false" customHeight="true" outlineLevel="0" collapsed="false">
      <c r="A812" s="30" t="n">
        <v>46188</v>
      </c>
      <c r="B812" s="31" t="s">
        <v>7</v>
      </c>
      <c r="C812" s="32"/>
      <c r="D812" s="32"/>
      <c r="E812" s="19" t="n">
        <f aca="false">+F812*0.03</f>
        <v>0</v>
      </c>
      <c r="F812" s="33" t="n">
        <v>0</v>
      </c>
      <c r="G812" s="62"/>
      <c r="H812" s="35" t="n">
        <v>0</v>
      </c>
      <c r="I812" s="34" t="n">
        <f aca="false">+IF(E812=0,0,E812*0.03)</f>
        <v>0</v>
      </c>
    </row>
    <row r="813" customFormat="false" ht="15.75" hidden="false" customHeight="true" outlineLevel="0" collapsed="false">
      <c r="A813" s="30" t="n">
        <v>46189</v>
      </c>
      <c r="B813" s="31" t="s">
        <v>7</v>
      </c>
      <c r="C813" s="32"/>
      <c r="D813" s="32"/>
      <c r="E813" s="19" t="n">
        <f aca="false">+F813*0.03</f>
        <v>0</v>
      </c>
      <c r="F813" s="33" t="n">
        <v>0</v>
      </c>
      <c r="G813" s="62"/>
      <c r="H813" s="35" t="n">
        <v>0</v>
      </c>
      <c r="I813" s="34" t="n">
        <f aca="false">+IF(E813=0,0,E813*0.03)</f>
        <v>0</v>
      </c>
    </row>
    <row r="814" customFormat="false" ht="15.75" hidden="false" customHeight="true" outlineLevel="0" collapsed="false">
      <c r="A814" s="30" t="n">
        <v>46190</v>
      </c>
      <c r="B814" s="31" t="s">
        <v>7</v>
      </c>
      <c r="C814" s="32"/>
      <c r="D814" s="32"/>
      <c r="E814" s="19" t="n">
        <f aca="false">+F814*0.03</f>
        <v>0</v>
      </c>
      <c r="F814" s="33" t="n">
        <v>0</v>
      </c>
      <c r="G814" s="62"/>
      <c r="H814" s="35" t="n">
        <v>0</v>
      </c>
      <c r="I814" s="34" t="n">
        <f aca="false">+IF(E814=0,0,E814*0.03)</f>
        <v>0</v>
      </c>
    </row>
    <row r="815" customFormat="false" ht="15.75" hidden="false" customHeight="true" outlineLevel="0" collapsed="false">
      <c r="A815" s="30" t="n">
        <v>46191</v>
      </c>
      <c r="B815" s="31" t="s">
        <v>7</v>
      </c>
      <c r="C815" s="32"/>
      <c r="D815" s="32"/>
      <c r="E815" s="19" t="n">
        <f aca="false">+F815*0.03</f>
        <v>0</v>
      </c>
      <c r="F815" s="33" t="n">
        <v>0</v>
      </c>
      <c r="G815" s="62"/>
      <c r="H815" s="35" t="n">
        <v>0</v>
      </c>
      <c r="I815" s="34" t="n">
        <f aca="false">+IF(E815=0,0,E815*0.03)</f>
        <v>0</v>
      </c>
    </row>
    <row r="816" customFormat="false" ht="15.75" hidden="false" customHeight="true" outlineLevel="0" collapsed="false">
      <c r="A816" s="30" t="n">
        <v>46192</v>
      </c>
      <c r="B816" s="31" t="s">
        <v>7</v>
      </c>
      <c r="C816" s="32"/>
      <c r="D816" s="32"/>
      <c r="E816" s="19" t="n">
        <f aca="false">+F816*0.03</f>
        <v>0</v>
      </c>
      <c r="F816" s="33" t="n">
        <v>0</v>
      </c>
      <c r="G816" s="62"/>
      <c r="H816" s="35" t="n">
        <v>0</v>
      </c>
      <c r="I816" s="34" t="n">
        <f aca="false">+IF(E816=0,0,E816*0.03)</f>
        <v>0</v>
      </c>
    </row>
    <row r="817" customFormat="false" ht="15.75" hidden="false" customHeight="true" outlineLevel="0" collapsed="false">
      <c r="A817" s="30" t="n">
        <v>46193</v>
      </c>
      <c r="B817" s="31" t="s">
        <v>7</v>
      </c>
      <c r="C817" s="32"/>
      <c r="D817" s="32"/>
      <c r="E817" s="19" t="n">
        <f aca="false">+F817*0.03</f>
        <v>0</v>
      </c>
      <c r="F817" s="33" t="n">
        <v>0</v>
      </c>
      <c r="G817" s="62"/>
      <c r="H817" s="35" t="n">
        <v>0</v>
      </c>
      <c r="I817" s="34" t="n">
        <f aca="false">+IF(E817=0,0,E817*0.03)</f>
        <v>0</v>
      </c>
    </row>
    <row r="818" customFormat="false" ht="15.75" hidden="false" customHeight="true" outlineLevel="0" collapsed="false">
      <c r="A818" s="30" t="n">
        <v>46194</v>
      </c>
      <c r="B818" s="31" t="s">
        <v>7</v>
      </c>
      <c r="C818" s="32"/>
      <c r="D818" s="32"/>
      <c r="E818" s="19" t="n">
        <f aca="false">+F818*0.03</f>
        <v>0</v>
      </c>
      <c r="F818" s="33" t="n">
        <v>0</v>
      </c>
      <c r="G818" s="62"/>
      <c r="H818" s="35" t="n">
        <v>0</v>
      </c>
      <c r="I818" s="34" t="n">
        <f aca="false">+IF(E818=0,0,E818*0.03)</f>
        <v>0</v>
      </c>
    </row>
    <row r="819" customFormat="false" ht="15.75" hidden="false" customHeight="true" outlineLevel="0" collapsed="false">
      <c r="A819" s="30" t="n">
        <v>46195</v>
      </c>
      <c r="B819" s="31" t="s">
        <v>7</v>
      </c>
      <c r="C819" s="32"/>
      <c r="D819" s="32"/>
      <c r="E819" s="19" t="n">
        <f aca="false">+F819*0.03</f>
        <v>0</v>
      </c>
      <c r="F819" s="33" t="n">
        <v>0</v>
      </c>
      <c r="G819" s="62"/>
      <c r="H819" s="35" t="n">
        <v>0</v>
      </c>
      <c r="I819" s="34" t="n">
        <f aca="false">+IF(E819=0,0,E819*0.03)</f>
        <v>0</v>
      </c>
    </row>
    <row r="820" customFormat="false" ht="15.75" hidden="false" customHeight="true" outlineLevel="0" collapsed="false">
      <c r="A820" s="30" t="n">
        <v>46196</v>
      </c>
      <c r="B820" s="31" t="s">
        <v>7</v>
      </c>
      <c r="C820" s="32"/>
      <c r="D820" s="32"/>
      <c r="E820" s="19" t="n">
        <f aca="false">+F820*0.03</f>
        <v>0</v>
      </c>
      <c r="F820" s="33" t="n">
        <v>0</v>
      </c>
      <c r="G820" s="62"/>
      <c r="H820" s="35" t="n">
        <v>0</v>
      </c>
      <c r="I820" s="34" t="n">
        <f aca="false">+IF(E820=0,0,E820*0.03)</f>
        <v>0</v>
      </c>
    </row>
    <row r="821" customFormat="false" ht="15.75" hidden="false" customHeight="true" outlineLevel="0" collapsed="false">
      <c r="A821" s="30" t="n">
        <v>46197</v>
      </c>
      <c r="B821" s="31" t="s">
        <v>7</v>
      </c>
      <c r="C821" s="32"/>
      <c r="D821" s="32"/>
      <c r="E821" s="19" t="n">
        <f aca="false">+F821*0.03</f>
        <v>0</v>
      </c>
      <c r="F821" s="33" t="n">
        <v>0</v>
      </c>
      <c r="G821" s="62"/>
      <c r="H821" s="35" t="n">
        <v>0</v>
      </c>
      <c r="I821" s="34" t="n">
        <f aca="false">+IF(E821=0,0,E821*0.03)</f>
        <v>0</v>
      </c>
    </row>
    <row r="822" customFormat="false" ht="15.75" hidden="false" customHeight="true" outlineLevel="0" collapsed="false">
      <c r="A822" s="30" t="n">
        <v>46198</v>
      </c>
      <c r="B822" s="31" t="s">
        <v>7</v>
      </c>
      <c r="C822" s="32"/>
      <c r="D822" s="32"/>
      <c r="E822" s="19" t="n">
        <f aca="false">+F822*0.03</f>
        <v>0</v>
      </c>
      <c r="F822" s="33" t="n">
        <v>0</v>
      </c>
      <c r="G822" s="62"/>
      <c r="H822" s="35" t="n">
        <v>0</v>
      </c>
      <c r="I822" s="34" t="n">
        <f aca="false">+IF(E822=0,0,E822*0.03)</f>
        <v>0</v>
      </c>
    </row>
    <row r="823" customFormat="false" ht="15.75" hidden="false" customHeight="true" outlineLevel="0" collapsed="false">
      <c r="A823" s="30" t="n">
        <v>46199</v>
      </c>
      <c r="B823" s="31" t="s">
        <v>7</v>
      </c>
      <c r="C823" s="32"/>
      <c r="D823" s="32"/>
      <c r="E823" s="19" t="n">
        <f aca="false">+F823*0.03</f>
        <v>0</v>
      </c>
      <c r="F823" s="33" t="n">
        <v>0</v>
      </c>
      <c r="G823" s="62"/>
      <c r="H823" s="35" t="n">
        <v>0</v>
      </c>
      <c r="I823" s="34" t="n">
        <f aca="false">+IF(E823=0,0,E823*0.03)</f>
        <v>0</v>
      </c>
    </row>
    <row r="824" customFormat="false" ht="15.75" hidden="false" customHeight="true" outlineLevel="0" collapsed="false">
      <c r="A824" s="30" t="n">
        <v>46200</v>
      </c>
      <c r="B824" s="31" t="s">
        <v>7</v>
      </c>
      <c r="C824" s="32"/>
      <c r="D824" s="32"/>
      <c r="E824" s="19" t="n">
        <f aca="false">+F824*0.03</f>
        <v>0</v>
      </c>
      <c r="F824" s="33" t="n">
        <v>0</v>
      </c>
      <c r="G824" s="62"/>
      <c r="H824" s="35" t="n">
        <v>0</v>
      </c>
      <c r="I824" s="34" t="n">
        <f aca="false">+IF(E824=0,0,E824*0.03)</f>
        <v>0</v>
      </c>
    </row>
    <row r="825" customFormat="false" ht="15.75" hidden="false" customHeight="true" outlineLevel="0" collapsed="false">
      <c r="A825" s="30" t="n">
        <v>46201</v>
      </c>
      <c r="B825" s="31" t="s">
        <v>7</v>
      </c>
      <c r="C825" s="32"/>
      <c r="D825" s="32"/>
      <c r="E825" s="19" t="n">
        <f aca="false">+F825*0.03</f>
        <v>0</v>
      </c>
      <c r="F825" s="33" t="n">
        <v>0</v>
      </c>
      <c r="G825" s="62"/>
      <c r="H825" s="35" t="n">
        <v>0</v>
      </c>
      <c r="I825" s="34" t="n">
        <f aca="false">+IF(E825=0,0,E825*0.03)</f>
        <v>0</v>
      </c>
    </row>
    <row r="826" customFormat="false" ht="15.75" hidden="false" customHeight="true" outlineLevel="0" collapsed="false">
      <c r="A826" s="30" t="n">
        <v>46202</v>
      </c>
      <c r="B826" s="31" t="s">
        <v>7</v>
      </c>
      <c r="C826" s="32"/>
      <c r="D826" s="32"/>
      <c r="E826" s="19" t="n">
        <f aca="false">+F826*0.03</f>
        <v>0</v>
      </c>
      <c r="F826" s="33" t="n">
        <v>0</v>
      </c>
      <c r="G826" s="62"/>
      <c r="H826" s="35" t="n">
        <v>0</v>
      </c>
      <c r="I826" s="34" t="n">
        <f aca="false">+IF(E826=0,0,E826*0.03)</f>
        <v>0</v>
      </c>
    </row>
    <row r="827" customFormat="false" ht="15.75" hidden="false" customHeight="true" outlineLevel="0" collapsed="false">
      <c r="A827" s="30" t="n">
        <v>46203</v>
      </c>
      <c r="B827" s="31" t="s">
        <v>7</v>
      </c>
      <c r="C827" s="32"/>
      <c r="D827" s="32"/>
      <c r="E827" s="19" t="n">
        <f aca="false">+F827*0.03</f>
        <v>0</v>
      </c>
      <c r="F827" s="33" t="n">
        <v>0</v>
      </c>
      <c r="G827" s="62"/>
      <c r="H827" s="35" t="n">
        <v>0</v>
      </c>
      <c r="I827" s="34" t="n">
        <f aca="false">+IF(E827=0,0,E827*0.03)</f>
        <v>0</v>
      </c>
    </row>
    <row r="828" customFormat="false" ht="15.75" hidden="false" customHeight="true" outlineLevel="0" collapsed="false">
      <c r="A828" s="30" t="n">
        <v>46204</v>
      </c>
      <c r="B828" s="31" t="s">
        <v>7</v>
      </c>
      <c r="C828" s="32"/>
      <c r="D828" s="32"/>
      <c r="E828" s="19" t="n">
        <f aca="false">+F828*0.03</f>
        <v>0</v>
      </c>
      <c r="F828" s="33" t="n">
        <v>0</v>
      </c>
      <c r="G828" s="62"/>
      <c r="H828" s="35" t="n">
        <v>0</v>
      </c>
      <c r="I828" s="34" t="n">
        <f aca="false">+IF(E828=0,0,E828*0.03)</f>
        <v>0</v>
      </c>
    </row>
    <row r="829" customFormat="false" ht="15.75" hidden="false" customHeight="true" outlineLevel="0" collapsed="false">
      <c r="A829" s="30" t="n">
        <v>46205</v>
      </c>
      <c r="B829" s="31" t="s">
        <v>7</v>
      </c>
      <c r="C829" s="32"/>
      <c r="D829" s="32"/>
      <c r="E829" s="19" t="n">
        <f aca="false">+F829*0.03</f>
        <v>0</v>
      </c>
      <c r="F829" s="33" t="n">
        <v>0</v>
      </c>
      <c r="G829" s="62"/>
      <c r="H829" s="35" t="n">
        <v>0</v>
      </c>
      <c r="I829" s="34" t="n">
        <f aca="false">+IF(E829=0,0,E829*0.03)</f>
        <v>0</v>
      </c>
    </row>
    <row r="830" customFormat="false" ht="15.75" hidden="false" customHeight="true" outlineLevel="0" collapsed="false">
      <c r="A830" s="30" t="n">
        <v>46206</v>
      </c>
      <c r="B830" s="31" t="s">
        <v>7</v>
      </c>
      <c r="C830" s="32"/>
      <c r="D830" s="32"/>
      <c r="E830" s="19" t="n">
        <f aca="false">+F830*0.03</f>
        <v>0</v>
      </c>
      <c r="F830" s="33" t="n">
        <v>0</v>
      </c>
      <c r="G830" s="62"/>
      <c r="H830" s="35" t="n">
        <v>0</v>
      </c>
      <c r="I830" s="34" t="n">
        <f aca="false">+IF(E830=0,0,E830*0.03)</f>
        <v>0</v>
      </c>
    </row>
    <row r="831" customFormat="false" ht="15.75" hidden="false" customHeight="true" outlineLevel="0" collapsed="false">
      <c r="A831" s="30" t="n">
        <v>46207</v>
      </c>
      <c r="B831" s="31" t="s">
        <v>7</v>
      </c>
      <c r="C831" s="32"/>
      <c r="D831" s="32"/>
      <c r="E831" s="19" t="n">
        <f aca="false">+F831*0.03</f>
        <v>0</v>
      </c>
      <c r="F831" s="33" t="n">
        <v>0</v>
      </c>
      <c r="G831" s="62"/>
      <c r="H831" s="35" t="n">
        <v>0</v>
      </c>
      <c r="I831" s="34" t="n">
        <f aca="false">+IF(E831=0,0,E831*0.03)</f>
        <v>0</v>
      </c>
    </row>
    <row r="832" customFormat="false" ht="15.75" hidden="false" customHeight="true" outlineLevel="0" collapsed="false">
      <c r="A832" s="30" t="n">
        <v>46208</v>
      </c>
      <c r="B832" s="31" t="s">
        <v>7</v>
      </c>
      <c r="C832" s="32"/>
      <c r="D832" s="32"/>
      <c r="E832" s="19" t="n">
        <f aca="false">+F832*0.03</f>
        <v>0</v>
      </c>
      <c r="F832" s="33" t="n">
        <v>0</v>
      </c>
      <c r="G832" s="62"/>
      <c r="H832" s="35" t="n">
        <v>0</v>
      </c>
      <c r="I832" s="34" t="n">
        <f aca="false">+IF(E832=0,0,E832*0.03)</f>
        <v>0</v>
      </c>
    </row>
    <row r="833" customFormat="false" ht="15.75" hidden="false" customHeight="true" outlineLevel="0" collapsed="false">
      <c r="A833" s="30" t="n">
        <v>46209</v>
      </c>
      <c r="B833" s="31" t="s">
        <v>7</v>
      </c>
      <c r="C833" s="32"/>
      <c r="D833" s="32"/>
      <c r="E833" s="19" t="n">
        <f aca="false">+F833*0.03</f>
        <v>0</v>
      </c>
      <c r="F833" s="33" t="n">
        <v>0</v>
      </c>
      <c r="G833" s="62"/>
      <c r="H833" s="35" t="n">
        <v>0</v>
      </c>
      <c r="I833" s="34" t="n">
        <f aca="false">+IF(E833=0,0,E833*0.03)</f>
        <v>0</v>
      </c>
    </row>
    <row r="834" customFormat="false" ht="15.75" hidden="false" customHeight="true" outlineLevel="0" collapsed="false">
      <c r="A834" s="30" t="n">
        <v>46210</v>
      </c>
      <c r="B834" s="31" t="s">
        <v>7</v>
      </c>
      <c r="C834" s="32"/>
      <c r="D834" s="32"/>
      <c r="E834" s="19" t="n">
        <f aca="false">+F834*0.03</f>
        <v>0</v>
      </c>
      <c r="F834" s="33" t="n">
        <v>0</v>
      </c>
      <c r="G834" s="62"/>
      <c r="H834" s="35" t="n">
        <v>0</v>
      </c>
      <c r="I834" s="34" t="n">
        <f aca="false">+IF(E834=0,0,E834*0.03)</f>
        <v>0</v>
      </c>
    </row>
    <row r="835" customFormat="false" ht="15.75" hidden="false" customHeight="true" outlineLevel="0" collapsed="false">
      <c r="A835" s="30" t="n">
        <v>46211</v>
      </c>
      <c r="B835" s="31" t="s">
        <v>7</v>
      </c>
      <c r="C835" s="32"/>
      <c r="D835" s="32"/>
      <c r="E835" s="19" t="n">
        <f aca="false">+F835*0.03</f>
        <v>0</v>
      </c>
      <c r="F835" s="33" t="n">
        <v>0</v>
      </c>
      <c r="G835" s="62"/>
      <c r="H835" s="35" t="n">
        <v>0</v>
      </c>
      <c r="I835" s="34" t="n">
        <f aca="false">+IF(E835=0,0,E835*0.03)</f>
        <v>0</v>
      </c>
    </row>
    <row r="836" customFormat="false" ht="15.75" hidden="false" customHeight="true" outlineLevel="0" collapsed="false">
      <c r="A836" s="30" t="n">
        <v>46212</v>
      </c>
      <c r="B836" s="31" t="s">
        <v>7</v>
      </c>
      <c r="C836" s="32"/>
      <c r="D836" s="32"/>
      <c r="E836" s="19" t="n">
        <f aca="false">+F836*0.03</f>
        <v>0</v>
      </c>
      <c r="F836" s="33" t="n">
        <v>0</v>
      </c>
      <c r="G836" s="62"/>
      <c r="H836" s="35" t="n">
        <v>0</v>
      </c>
      <c r="I836" s="34" t="n">
        <f aca="false">+IF(E836=0,0,E836*0.03)</f>
        <v>0</v>
      </c>
    </row>
    <row r="837" customFormat="false" ht="15.75" hidden="false" customHeight="true" outlineLevel="0" collapsed="false">
      <c r="A837" s="30" t="n">
        <v>46213</v>
      </c>
      <c r="B837" s="31" t="s">
        <v>7</v>
      </c>
      <c r="C837" s="32"/>
      <c r="D837" s="32"/>
      <c r="E837" s="19" t="n">
        <f aca="false">+F837*0.03</f>
        <v>0</v>
      </c>
      <c r="F837" s="33" t="n">
        <v>0</v>
      </c>
      <c r="G837" s="62"/>
      <c r="H837" s="35" t="n">
        <v>0</v>
      </c>
      <c r="I837" s="34" t="n">
        <f aca="false">+IF(E837=0,0,E837*0.03)</f>
        <v>0</v>
      </c>
    </row>
    <row r="838" customFormat="false" ht="15.75" hidden="false" customHeight="true" outlineLevel="0" collapsed="false">
      <c r="A838" s="30" t="n">
        <v>46214</v>
      </c>
      <c r="B838" s="31" t="s">
        <v>7</v>
      </c>
      <c r="C838" s="32"/>
      <c r="D838" s="32"/>
      <c r="E838" s="19" t="n">
        <f aca="false">+F838*0.03</f>
        <v>0</v>
      </c>
      <c r="F838" s="33" t="n">
        <v>0</v>
      </c>
      <c r="G838" s="62"/>
      <c r="H838" s="35" t="n">
        <v>0</v>
      </c>
      <c r="I838" s="34" t="n">
        <f aca="false">+IF(E838=0,0,E838*0.03)</f>
        <v>0</v>
      </c>
    </row>
    <row r="839" customFormat="false" ht="15.75" hidden="false" customHeight="true" outlineLevel="0" collapsed="false">
      <c r="A839" s="30" t="n">
        <v>46215</v>
      </c>
      <c r="B839" s="31" t="s">
        <v>7</v>
      </c>
      <c r="C839" s="32"/>
      <c r="D839" s="32"/>
      <c r="E839" s="19" t="n">
        <f aca="false">+F839*0.03</f>
        <v>0</v>
      </c>
      <c r="F839" s="33" t="n">
        <v>0</v>
      </c>
      <c r="G839" s="62"/>
      <c r="H839" s="35" t="n">
        <v>0</v>
      </c>
      <c r="I839" s="34" t="n">
        <f aca="false">+IF(E839=0,0,E839*0.03)</f>
        <v>0</v>
      </c>
    </row>
    <row r="840" customFormat="false" ht="15.75" hidden="false" customHeight="true" outlineLevel="0" collapsed="false">
      <c r="A840" s="30" t="n">
        <v>46216</v>
      </c>
      <c r="B840" s="31" t="s">
        <v>7</v>
      </c>
      <c r="C840" s="32"/>
      <c r="D840" s="32"/>
      <c r="E840" s="19" t="n">
        <f aca="false">+F840*0.03</f>
        <v>0</v>
      </c>
      <c r="F840" s="33" t="n">
        <v>0</v>
      </c>
      <c r="G840" s="62"/>
      <c r="H840" s="35" t="n">
        <v>0</v>
      </c>
      <c r="I840" s="34" t="n">
        <f aca="false">+IF(E840=0,0,E840*0.03)</f>
        <v>0</v>
      </c>
    </row>
    <row r="841" customFormat="false" ht="15.75" hidden="false" customHeight="true" outlineLevel="0" collapsed="false">
      <c r="A841" s="30" t="n">
        <v>46217</v>
      </c>
      <c r="B841" s="31" t="s">
        <v>7</v>
      </c>
      <c r="C841" s="32"/>
      <c r="D841" s="32"/>
      <c r="E841" s="19" t="n">
        <f aca="false">+F841*0.03</f>
        <v>0</v>
      </c>
      <c r="F841" s="33" t="n">
        <v>0</v>
      </c>
      <c r="G841" s="62"/>
      <c r="H841" s="35" t="n">
        <v>0</v>
      </c>
      <c r="I841" s="34" t="n">
        <f aca="false">+IF(E841=0,0,E841*0.03)</f>
        <v>0</v>
      </c>
    </row>
    <row r="842" customFormat="false" ht="15.75" hidden="false" customHeight="true" outlineLevel="0" collapsed="false">
      <c r="A842" s="30" t="n">
        <v>46218</v>
      </c>
      <c r="B842" s="31" t="s">
        <v>7</v>
      </c>
      <c r="C842" s="32"/>
      <c r="D842" s="32"/>
      <c r="E842" s="19" t="n">
        <f aca="false">+F842*0.03</f>
        <v>0</v>
      </c>
      <c r="F842" s="33" t="n">
        <v>0</v>
      </c>
      <c r="G842" s="62"/>
      <c r="H842" s="35" t="n">
        <v>0</v>
      </c>
      <c r="I842" s="34" t="n">
        <f aca="false">+IF(E842=0,0,E842*0.03)</f>
        <v>0</v>
      </c>
    </row>
    <row r="843" customFormat="false" ht="15.75" hidden="false" customHeight="true" outlineLevel="0" collapsed="false">
      <c r="A843" s="30" t="n">
        <v>46219</v>
      </c>
      <c r="B843" s="31" t="s">
        <v>7</v>
      </c>
      <c r="C843" s="32"/>
      <c r="D843" s="32"/>
      <c r="E843" s="19" t="n">
        <f aca="false">+F843*0.03</f>
        <v>0</v>
      </c>
      <c r="F843" s="33" t="n">
        <v>0</v>
      </c>
      <c r="G843" s="62"/>
      <c r="H843" s="35" t="n">
        <v>0</v>
      </c>
      <c r="I843" s="34" t="n">
        <f aca="false">+IF(E843=0,0,E843*0.03)</f>
        <v>0</v>
      </c>
    </row>
    <row r="844" customFormat="false" ht="15.75" hidden="false" customHeight="true" outlineLevel="0" collapsed="false">
      <c r="A844" s="30" t="n">
        <v>46220</v>
      </c>
      <c r="B844" s="31" t="s">
        <v>7</v>
      </c>
      <c r="C844" s="32"/>
      <c r="D844" s="32"/>
      <c r="E844" s="19" t="n">
        <f aca="false">+F844*0.03</f>
        <v>0</v>
      </c>
      <c r="F844" s="33" t="n">
        <v>0</v>
      </c>
      <c r="G844" s="62"/>
      <c r="H844" s="35" t="n">
        <v>0</v>
      </c>
      <c r="I844" s="34" t="n">
        <f aca="false">+IF(E844=0,0,E844*0.03)</f>
        <v>0</v>
      </c>
    </row>
    <row r="845" customFormat="false" ht="15.75" hidden="false" customHeight="true" outlineLevel="0" collapsed="false">
      <c r="A845" s="30" t="n">
        <v>46221</v>
      </c>
      <c r="B845" s="31" t="s">
        <v>7</v>
      </c>
      <c r="C845" s="32"/>
      <c r="D845" s="32"/>
      <c r="E845" s="19" t="n">
        <f aca="false">+F845*0.03</f>
        <v>0</v>
      </c>
      <c r="F845" s="33" t="n">
        <v>0</v>
      </c>
      <c r="G845" s="62"/>
      <c r="H845" s="35" t="n">
        <v>0</v>
      </c>
      <c r="I845" s="34" t="n">
        <f aca="false">+IF(E845=0,0,E845*0.03)</f>
        <v>0</v>
      </c>
    </row>
    <row r="846" customFormat="false" ht="15.75" hidden="false" customHeight="true" outlineLevel="0" collapsed="false">
      <c r="A846" s="30" t="n">
        <v>46222</v>
      </c>
      <c r="B846" s="31" t="s">
        <v>7</v>
      </c>
      <c r="C846" s="32"/>
      <c r="D846" s="32"/>
      <c r="E846" s="19" t="n">
        <f aca="false">+F846*0.03</f>
        <v>0</v>
      </c>
      <c r="F846" s="33" t="n">
        <v>0</v>
      </c>
      <c r="G846" s="62"/>
      <c r="H846" s="35" t="n">
        <v>0</v>
      </c>
      <c r="I846" s="34" t="n">
        <f aca="false">+IF(E846=0,0,E846*0.03)</f>
        <v>0</v>
      </c>
    </row>
    <row r="847" customFormat="false" ht="15.75" hidden="false" customHeight="true" outlineLevel="0" collapsed="false">
      <c r="A847" s="30" t="n">
        <v>46223</v>
      </c>
      <c r="B847" s="31" t="s">
        <v>7</v>
      </c>
      <c r="C847" s="32"/>
      <c r="D847" s="32"/>
      <c r="E847" s="19" t="n">
        <f aca="false">+F847*0.03</f>
        <v>0</v>
      </c>
      <c r="F847" s="33" t="n">
        <v>0</v>
      </c>
      <c r="G847" s="62"/>
      <c r="H847" s="35" t="n">
        <v>0</v>
      </c>
      <c r="I847" s="34" t="n">
        <f aca="false">+IF(E847=0,0,E847*0.03)</f>
        <v>0</v>
      </c>
    </row>
    <row r="848" customFormat="false" ht="15.75" hidden="false" customHeight="true" outlineLevel="0" collapsed="false">
      <c r="A848" s="30" t="n">
        <v>46224</v>
      </c>
      <c r="B848" s="31" t="s">
        <v>7</v>
      </c>
      <c r="C848" s="32"/>
      <c r="D848" s="32"/>
      <c r="E848" s="19" t="n">
        <f aca="false">+F848*0.03</f>
        <v>0</v>
      </c>
      <c r="F848" s="33" t="n">
        <v>0</v>
      </c>
      <c r="G848" s="62"/>
      <c r="H848" s="35" t="n">
        <v>0</v>
      </c>
      <c r="I848" s="34" t="n">
        <f aca="false">+IF(E848=0,0,E848*0.03)</f>
        <v>0</v>
      </c>
    </row>
    <row r="849" customFormat="false" ht="15.75" hidden="false" customHeight="true" outlineLevel="0" collapsed="false">
      <c r="A849" s="30" t="n">
        <v>46225</v>
      </c>
      <c r="B849" s="31" t="s">
        <v>7</v>
      </c>
      <c r="C849" s="32"/>
      <c r="D849" s="32"/>
      <c r="E849" s="19" t="n">
        <f aca="false">+F849*0.03</f>
        <v>0</v>
      </c>
      <c r="F849" s="33" t="n">
        <v>0</v>
      </c>
      <c r="G849" s="62"/>
      <c r="H849" s="35" t="n">
        <v>0</v>
      </c>
      <c r="I849" s="34" t="n">
        <f aca="false">+IF(E849=0,0,E849*0.03)</f>
        <v>0</v>
      </c>
    </row>
    <row r="850" customFormat="false" ht="15.75" hidden="false" customHeight="true" outlineLevel="0" collapsed="false">
      <c r="A850" s="30" t="n">
        <v>46226</v>
      </c>
      <c r="B850" s="31" t="s">
        <v>7</v>
      </c>
      <c r="C850" s="32"/>
      <c r="D850" s="32"/>
      <c r="E850" s="19" t="n">
        <f aca="false">+F850*0.03</f>
        <v>0</v>
      </c>
      <c r="F850" s="33" t="n">
        <v>0</v>
      </c>
      <c r="G850" s="62"/>
      <c r="H850" s="35" t="n">
        <v>0</v>
      </c>
      <c r="I850" s="34" t="n">
        <f aca="false">+IF(E850=0,0,E850*0.03)</f>
        <v>0</v>
      </c>
    </row>
    <row r="851" customFormat="false" ht="15.75" hidden="false" customHeight="true" outlineLevel="0" collapsed="false">
      <c r="A851" s="30" t="n">
        <v>46227</v>
      </c>
      <c r="B851" s="31" t="s">
        <v>7</v>
      </c>
      <c r="C851" s="32"/>
      <c r="D851" s="32"/>
      <c r="E851" s="19" t="n">
        <f aca="false">+F851*0.03</f>
        <v>0</v>
      </c>
      <c r="F851" s="33" t="n">
        <v>0</v>
      </c>
      <c r="G851" s="62"/>
      <c r="H851" s="35" t="n">
        <v>0</v>
      </c>
      <c r="I851" s="34" t="n">
        <f aca="false">+IF(E851=0,0,E851*0.03)</f>
        <v>0</v>
      </c>
    </row>
    <row r="852" customFormat="false" ht="15.75" hidden="false" customHeight="true" outlineLevel="0" collapsed="false">
      <c r="A852" s="30" t="n">
        <v>46228</v>
      </c>
      <c r="B852" s="31" t="s">
        <v>7</v>
      </c>
      <c r="C852" s="32"/>
      <c r="D852" s="32"/>
      <c r="E852" s="19" t="n">
        <f aca="false">+F852*0.03</f>
        <v>0</v>
      </c>
      <c r="F852" s="33" t="n">
        <v>0</v>
      </c>
      <c r="G852" s="62"/>
      <c r="H852" s="35" t="n">
        <v>0</v>
      </c>
      <c r="I852" s="34" t="n">
        <f aca="false">+IF(E852=0,0,E852*0.03)</f>
        <v>0</v>
      </c>
    </row>
    <row r="853" customFormat="false" ht="15.75" hidden="false" customHeight="true" outlineLevel="0" collapsed="false">
      <c r="A853" s="30" t="n">
        <v>46229</v>
      </c>
      <c r="B853" s="31" t="s">
        <v>7</v>
      </c>
      <c r="C853" s="32"/>
      <c r="D853" s="32"/>
      <c r="E853" s="19" t="n">
        <f aca="false">+F853*0.03</f>
        <v>0</v>
      </c>
      <c r="F853" s="33" t="n">
        <v>0</v>
      </c>
      <c r="G853" s="62"/>
      <c r="H853" s="35" t="n">
        <v>0</v>
      </c>
      <c r="I853" s="34" t="n">
        <f aca="false">+IF(E853=0,0,E853*0.03)</f>
        <v>0</v>
      </c>
    </row>
    <row r="854" customFormat="false" ht="15.75" hidden="false" customHeight="true" outlineLevel="0" collapsed="false">
      <c r="A854" s="30" t="n">
        <v>46230</v>
      </c>
      <c r="B854" s="31" t="s">
        <v>7</v>
      </c>
      <c r="C854" s="32"/>
      <c r="D854" s="32"/>
      <c r="E854" s="19" t="n">
        <f aca="false">+F854*0.03</f>
        <v>0</v>
      </c>
      <c r="F854" s="33" t="n">
        <v>0</v>
      </c>
      <c r="G854" s="62"/>
      <c r="H854" s="35" t="n">
        <v>0</v>
      </c>
      <c r="I854" s="34" t="n">
        <f aca="false">+IF(E854=0,0,E854*0.03)</f>
        <v>0</v>
      </c>
    </row>
    <row r="855" customFormat="false" ht="15.75" hidden="false" customHeight="true" outlineLevel="0" collapsed="false">
      <c r="A855" s="30" t="n">
        <v>46231</v>
      </c>
      <c r="B855" s="31" t="s">
        <v>7</v>
      </c>
      <c r="C855" s="32"/>
      <c r="D855" s="32"/>
      <c r="E855" s="19" t="n">
        <f aca="false">+F855*0.03</f>
        <v>0</v>
      </c>
      <c r="F855" s="33" t="n">
        <v>0</v>
      </c>
      <c r="G855" s="62"/>
      <c r="H855" s="35" t="n">
        <v>0</v>
      </c>
      <c r="I855" s="34" t="n">
        <f aca="false">+IF(E855=0,0,E855*0.03)</f>
        <v>0</v>
      </c>
    </row>
    <row r="856" customFormat="false" ht="15.75" hidden="false" customHeight="true" outlineLevel="0" collapsed="false">
      <c r="A856" s="30" t="n">
        <v>46232</v>
      </c>
      <c r="B856" s="31" t="s">
        <v>7</v>
      </c>
      <c r="C856" s="32"/>
      <c r="D856" s="32"/>
      <c r="E856" s="19" t="n">
        <f aca="false">+F856*0.03</f>
        <v>0</v>
      </c>
      <c r="F856" s="33" t="n">
        <v>0</v>
      </c>
      <c r="G856" s="62"/>
      <c r="H856" s="35" t="n">
        <v>0</v>
      </c>
      <c r="I856" s="34" t="n">
        <f aca="false">+IF(E856=0,0,E856*0.03)</f>
        <v>0</v>
      </c>
    </row>
    <row r="857" customFormat="false" ht="15.75" hidden="false" customHeight="true" outlineLevel="0" collapsed="false">
      <c r="A857" s="30" t="n">
        <v>46233</v>
      </c>
      <c r="B857" s="31" t="s">
        <v>7</v>
      </c>
      <c r="C857" s="32"/>
      <c r="D857" s="32"/>
      <c r="E857" s="19" t="n">
        <f aca="false">+F857*0.03</f>
        <v>0</v>
      </c>
      <c r="F857" s="33" t="n">
        <v>0</v>
      </c>
      <c r="G857" s="62"/>
      <c r="H857" s="35" t="n">
        <v>0</v>
      </c>
      <c r="I857" s="34" t="n">
        <f aca="false">+IF(E857=0,0,E857*0.03)</f>
        <v>0</v>
      </c>
    </row>
    <row r="858" customFormat="false" ht="15.75" hidden="false" customHeight="true" outlineLevel="0" collapsed="false">
      <c r="A858" s="30" t="n">
        <v>46234</v>
      </c>
      <c r="B858" s="31" t="s">
        <v>7</v>
      </c>
      <c r="C858" s="32"/>
      <c r="D858" s="32"/>
      <c r="E858" s="19" t="n">
        <f aca="false">+F858*0.03</f>
        <v>0</v>
      </c>
      <c r="F858" s="33" t="n">
        <v>0</v>
      </c>
      <c r="G858" s="62"/>
      <c r="H858" s="35" t="n">
        <v>0</v>
      </c>
      <c r="I858" s="34" t="n">
        <f aca="false">+IF(E858=0,0,E858*0.03)</f>
        <v>0</v>
      </c>
    </row>
    <row r="859" customFormat="false" ht="15.75" hidden="false" customHeight="true" outlineLevel="0" collapsed="false">
      <c r="A859" s="30" t="n">
        <v>46235</v>
      </c>
      <c r="B859" s="31" t="s">
        <v>7</v>
      </c>
      <c r="C859" s="32"/>
      <c r="D859" s="32"/>
      <c r="E859" s="19" t="n">
        <f aca="false">+F859*0.03</f>
        <v>0</v>
      </c>
      <c r="F859" s="33" t="n">
        <v>0</v>
      </c>
      <c r="G859" s="62"/>
      <c r="H859" s="35" t="n">
        <v>0</v>
      </c>
      <c r="I859" s="34" t="n">
        <f aca="false">+IF(E859=0,0,E859*0.03)</f>
        <v>0</v>
      </c>
    </row>
    <row r="860" customFormat="false" ht="15.75" hidden="false" customHeight="true" outlineLevel="0" collapsed="false">
      <c r="A860" s="30" t="n">
        <v>46236</v>
      </c>
      <c r="B860" s="31" t="s">
        <v>7</v>
      </c>
      <c r="C860" s="32"/>
      <c r="D860" s="32"/>
      <c r="E860" s="19" t="n">
        <f aca="false">+F860*0.03</f>
        <v>0</v>
      </c>
      <c r="F860" s="33" t="n">
        <v>0</v>
      </c>
      <c r="G860" s="62"/>
      <c r="H860" s="35" t="n">
        <v>0</v>
      </c>
      <c r="I860" s="34" t="n">
        <f aca="false">+IF(E860=0,0,E860*0.03)</f>
        <v>0</v>
      </c>
    </row>
    <row r="861" customFormat="false" ht="15.75" hidden="false" customHeight="true" outlineLevel="0" collapsed="false">
      <c r="A861" s="30" t="n">
        <v>46237</v>
      </c>
      <c r="B861" s="31" t="s">
        <v>7</v>
      </c>
      <c r="C861" s="32"/>
      <c r="D861" s="32"/>
      <c r="E861" s="19" t="n">
        <f aca="false">+F861*0.03</f>
        <v>0</v>
      </c>
      <c r="F861" s="33" t="n">
        <v>0</v>
      </c>
      <c r="G861" s="62"/>
      <c r="H861" s="35" t="n">
        <v>0</v>
      </c>
      <c r="I861" s="34" t="n">
        <f aca="false">+IF(E861=0,0,E861*0.03)</f>
        <v>0</v>
      </c>
    </row>
    <row r="862" customFormat="false" ht="15.75" hidden="false" customHeight="true" outlineLevel="0" collapsed="false">
      <c r="A862" s="30" t="n">
        <v>46238</v>
      </c>
      <c r="B862" s="31" t="s">
        <v>7</v>
      </c>
      <c r="C862" s="32"/>
      <c r="D862" s="32"/>
      <c r="E862" s="19" t="n">
        <f aca="false">+F862*0.03</f>
        <v>0</v>
      </c>
      <c r="F862" s="33" t="n">
        <v>0</v>
      </c>
      <c r="G862" s="62"/>
      <c r="H862" s="35" t="n">
        <v>0</v>
      </c>
      <c r="I862" s="34" t="n">
        <f aca="false">+IF(E862=0,0,E862*0.03)</f>
        <v>0</v>
      </c>
    </row>
    <row r="863" customFormat="false" ht="15.75" hidden="false" customHeight="true" outlineLevel="0" collapsed="false">
      <c r="A863" s="30" t="n">
        <v>46239</v>
      </c>
      <c r="B863" s="31" t="s">
        <v>7</v>
      </c>
      <c r="C863" s="32"/>
      <c r="D863" s="32"/>
      <c r="E863" s="19" t="n">
        <f aca="false">+F863*0.03</f>
        <v>0</v>
      </c>
      <c r="F863" s="33" t="n">
        <v>0</v>
      </c>
      <c r="G863" s="62"/>
      <c r="H863" s="35" t="n">
        <v>0</v>
      </c>
      <c r="I863" s="34" t="n">
        <f aca="false">+IF(E863=0,0,E863*0.03)</f>
        <v>0</v>
      </c>
    </row>
    <row r="864" customFormat="false" ht="15.75" hidden="false" customHeight="true" outlineLevel="0" collapsed="false">
      <c r="A864" s="30" t="n">
        <v>46240</v>
      </c>
      <c r="B864" s="31" t="s">
        <v>7</v>
      </c>
      <c r="C864" s="32"/>
      <c r="D864" s="32"/>
      <c r="E864" s="19" t="n">
        <f aca="false">+F864*0.03</f>
        <v>0</v>
      </c>
      <c r="F864" s="33" t="n">
        <v>0</v>
      </c>
      <c r="G864" s="62"/>
      <c r="H864" s="35" t="n">
        <v>0</v>
      </c>
      <c r="I864" s="34" t="n">
        <f aca="false">+IF(E864=0,0,E864*0.03)</f>
        <v>0</v>
      </c>
    </row>
    <row r="865" customFormat="false" ht="15.75" hidden="false" customHeight="true" outlineLevel="0" collapsed="false">
      <c r="A865" s="30" t="n">
        <v>46241</v>
      </c>
      <c r="B865" s="31" t="s">
        <v>7</v>
      </c>
      <c r="C865" s="32"/>
      <c r="D865" s="32"/>
      <c r="E865" s="19" t="n">
        <f aca="false">+F865*0.03</f>
        <v>0</v>
      </c>
      <c r="F865" s="33" t="n">
        <v>0</v>
      </c>
      <c r="G865" s="62"/>
      <c r="H865" s="35" t="n">
        <v>0</v>
      </c>
      <c r="I865" s="34" t="n">
        <f aca="false">+IF(E865=0,0,E865*0.03)</f>
        <v>0</v>
      </c>
    </row>
    <row r="866" customFormat="false" ht="15.75" hidden="false" customHeight="true" outlineLevel="0" collapsed="false">
      <c r="A866" s="30" t="n">
        <v>46242</v>
      </c>
      <c r="B866" s="31" t="s">
        <v>7</v>
      </c>
      <c r="C866" s="32"/>
      <c r="D866" s="32"/>
      <c r="E866" s="19" t="n">
        <f aca="false">+F866*0.03</f>
        <v>0</v>
      </c>
      <c r="F866" s="33" t="n">
        <v>0</v>
      </c>
      <c r="G866" s="62"/>
      <c r="H866" s="35" t="n">
        <v>0</v>
      </c>
      <c r="I866" s="34" t="n">
        <f aca="false">+IF(E866=0,0,E866*0.03)</f>
        <v>0</v>
      </c>
    </row>
    <row r="867" customFormat="false" ht="15.75" hidden="false" customHeight="true" outlineLevel="0" collapsed="false">
      <c r="A867" s="30" t="n">
        <v>46243</v>
      </c>
      <c r="B867" s="31" t="s">
        <v>7</v>
      </c>
      <c r="C867" s="32"/>
      <c r="D867" s="32"/>
      <c r="E867" s="19" t="n">
        <f aca="false">+F867*0.03</f>
        <v>0</v>
      </c>
      <c r="F867" s="33" t="n">
        <v>0</v>
      </c>
      <c r="G867" s="62"/>
      <c r="H867" s="35" t="n">
        <v>0</v>
      </c>
      <c r="I867" s="34" t="n">
        <f aca="false">+IF(E867=0,0,E867*0.03)</f>
        <v>0</v>
      </c>
    </row>
    <row r="868" customFormat="false" ht="15.75" hidden="false" customHeight="true" outlineLevel="0" collapsed="false">
      <c r="A868" s="30" t="n">
        <v>46244</v>
      </c>
      <c r="B868" s="31" t="s">
        <v>7</v>
      </c>
      <c r="C868" s="32"/>
      <c r="D868" s="32"/>
      <c r="E868" s="19" t="n">
        <f aca="false">+F868*0.03</f>
        <v>0</v>
      </c>
      <c r="F868" s="33" t="n">
        <v>0</v>
      </c>
      <c r="G868" s="62"/>
      <c r="H868" s="35" t="n">
        <v>0</v>
      </c>
      <c r="I868" s="34" t="n">
        <f aca="false">+IF(E868=0,0,E868*0.03)</f>
        <v>0</v>
      </c>
    </row>
    <row r="869" customFormat="false" ht="15.75" hidden="false" customHeight="true" outlineLevel="0" collapsed="false">
      <c r="A869" s="30" t="n">
        <v>46245</v>
      </c>
      <c r="B869" s="31" t="s">
        <v>7</v>
      </c>
      <c r="C869" s="32"/>
      <c r="D869" s="32"/>
      <c r="E869" s="19" t="n">
        <f aca="false">+F869*0.03</f>
        <v>0</v>
      </c>
      <c r="F869" s="33" t="n">
        <v>0</v>
      </c>
      <c r="G869" s="62"/>
      <c r="H869" s="35" t="n">
        <v>0</v>
      </c>
      <c r="I869" s="34" t="n">
        <f aca="false">+IF(E869=0,0,E869*0.03)</f>
        <v>0</v>
      </c>
    </row>
    <row r="870" customFormat="false" ht="15.75" hidden="false" customHeight="true" outlineLevel="0" collapsed="false">
      <c r="A870" s="30" t="n">
        <v>46246</v>
      </c>
      <c r="B870" s="31" t="s">
        <v>7</v>
      </c>
      <c r="C870" s="32"/>
      <c r="D870" s="32"/>
      <c r="E870" s="19" t="n">
        <f aca="false">+F870*0.03</f>
        <v>0</v>
      </c>
      <c r="F870" s="33" t="n">
        <v>0</v>
      </c>
      <c r="G870" s="62"/>
      <c r="H870" s="35" t="n">
        <v>0</v>
      </c>
      <c r="I870" s="34" t="n">
        <f aca="false">+IF(E870=0,0,E870*0.03)</f>
        <v>0</v>
      </c>
    </row>
    <row r="871" customFormat="false" ht="15.75" hidden="false" customHeight="true" outlineLevel="0" collapsed="false">
      <c r="A871" s="30" t="n">
        <v>46247</v>
      </c>
      <c r="B871" s="31" t="s">
        <v>7</v>
      </c>
      <c r="C871" s="32"/>
      <c r="D871" s="32"/>
      <c r="E871" s="19" t="n">
        <f aca="false">+F871*0.03</f>
        <v>0</v>
      </c>
      <c r="F871" s="33" t="n">
        <v>0</v>
      </c>
      <c r="G871" s="62"/>
      <c r="H871" s="35" t="n">
        <v>0</v>
      </c>
      <c r="I871" s="34" t="n">
        <f aca="false">+IF(E871=0,0,E871*0.03)</f>
        <v>0</v>
      </c>
    </row>
    <row r="872" customFormat="false" ht="15.75" hidden="false" customHeight="true" outlineLevel="0" collapsed="false">
      <c r="A872" s="30" t="n">
        <v>46248</v>
      </c>
      <c r="B872" s="31" t="s">
        <v>7</v>
      </c>
      <c r="C872" s="32"/>
      <c r="D872" s="32"/>
      <c r="E872" s="19" t="n">
        <f aca="false">+F872*0.03</f>
        <v>0</v>
      </c>
      <c r="F872" s="33" t="n">
        <v>0</v>
      </c>
      <c r="G872" s="62"/>
      <c r="H872" s="35" t="n">
        <v>0</v>
      </c>
      <c r="I872" s="34" t="n">
        <f aca="false">+IF(E872=0,0,E872*0.03)</f>
        <v>0</v>
      </c>
    </row>
    <row r="873" customFormat="false" ht="15.75" hidden="false" customHeight="true" outlineLevel="0" collapsed="false">
      <c r="A873" s="30" t="n">
        <v>46249</v>
      </c>
      <c r="B873" s="31" t="s">
        <v>7</v>
      </c>
      <c r="C873" s="32"/>
      <c r="D873" s="32"/>
      <c r="E873" s="19" t="n">
        <f aca="false">+F873*0.03</f>
        <v>0</v>
      </c>
      <c r="F873" s="33" t="n">
        <v>0</v>
      </c>
      <c r="G873" s="62"/>
      <c r="H873" s="35" t="n">
        <v>0</v>
      </c>
      <c r="I873" s="34" t="n">
        <f aca="false">+IF(E873=0,0,E873*0.03)</f>
        <v>0</v>
      </c>
    </row>
    <row r="874" customFormat="false" ht="15.75" hidden="false" customHeight="true" outlineLevel="0" collapsed="false">
      <c r="A874" s="30" t="n">
        <v>46250</v>
      </c>
      <c r="B874" s="31" t="s">
        <v>7</v>
      </c>
      <c r="C874" s="32"/>
      <c r="D874" s="32"/>
      <c r="E874" s="19" t="n">
        <f aca="false">+F874*0.03</f>
        <v>0</v>
      </c>
      <c r="F874" s="33" t="n">
        <v>0</v>
      </c>
      <c r="G874" s="62"/>
      <c r="H874" s="35" t="n">
        <v>0</v>
      </c>
      <c r="I874" s="34" t="n">
        <f aca="false">+IF(E874=0,0,E874*0.03)</f>
        <v>0</v>
      </c>
    </row>
    <row r="875" customFormat="false" ht="15.75" hidden="false" customHeight="true" outlineLevel="0" collapsed="false">
      <c r="A875" s="30" t="n">
        <v>46251</v>
      </c>
      <c r="B875" s="31" t="s">
        <v>7</v>
      </c>
      <c r="C875" s="32"/>
      <c r="D875" s="32"/>
      <c r="E875" s="19" t="n">
        <f aca="false">+F875*0.03</f>
        <v>0</v>
      </c>
      <c r="F875" s="33" t="n">
        <v>0</v>
      </c>
      <c r="G875" s="62"/>
      <c r="H875" s="35" t="n">
        <v>0</v>
      </c>
      <c r="I875" s="34" t="n">
        <f aca="false">+IF(E875=0,0,E875*0.03)</f>
        <v>0</v>
      </c>
    </row>
    <row r="876" customFormat="false" ht="15.75" hidden="false" customHeight="true" outlineLevel="0" collapsed="false">
      <c r="A876" s="30" t="n">
        <v>46252</v>
      </c>
      <c r="B876" s="31" t="s">
        <v>7</v>
      </c>
      <c r="C876" s="32"/>
      <c r="D876" s="32"/>
      <c r="E876" s="19" t="n">
        <f aca="false">+F876*0.03</f>
        <v>0</v>
      </c>
      <c r="F876" s="33" t="n">
        <v>0</v>
      </c>
      <c r="G876" s="62"/>
      <c r="H876" s="35" t="n">
        <v>0</v>
      </c>
      <c r="I876" s="34" t="n">
        <f aca="false">+IF(E876=0,0,E876*0.03)</f>
        <v>0</v>
      </c>
    </row>
    <row r="877" customFormat="false" ht="15.75" hidden="false" customHeight="true" outlineLevel="0" collapsed="false">
      <c r="A877" s="30" t="n">
        <v>46253</v>
      </c>
      <c r="B877" s="31" t="s">
        <v>7</v>
      </c>
      <c r="C877" s="32"/>
      <c r="D877" s="32"/>
      <c r="E877" s="19" t="n">
        <f aca="false">+F877*0.03</f>
        <v>0</v>
      </c>
      <c r="F877" s="33" t="n">
        <v>0</v>
      </c>
      <c r="G877" s="62"/>
      <c r="H877" s="35" t="n">
        <v>0</v>
      </c>
      <c r="I877" s="34" t="n">
        <f aca="false">+IF(E877=0,0,E877*0.03)</f>
        <v>0</v>
      </c>
    </row>
    <row r="878" customFormat="false" ht="15.75" hidden="false" customHeight="true" outlineLevel="0" collapsed="false">
      <c r="A878" s="30" t="n">
        <v>46254</v>
      </c>
      <c r="B878" s="31" t="s">
        <v>7</v>
      </c>
      <c r="C878" s="32"/>
      <c r="D878" s="32"/>
      <c r="E878" s="19" t="n">
        <f aca="false">+F878*0.03</f>
        <v>0</v>
      </c>
      <c r="F878" s="33" t="n">
        <v>0</v>
      </c>
      <c r="G878" s="62"/>
      <c r="H878" s="35" t="n">
        <v>0</v>
      </c>
      <c r="I878" s="34" t="n">
        <f aca="false">+IF(E878=0,0,E878*0.03)</f>
        <v>0</v>
      </c>
    </row>
    <row r="879" customFormat="false" ht="15.75" hidden="false" customHeight="true" outlineLevel="0" collapsed="false">
      <c r="A879" s="30" t="n">
        <v>46255</v>
      </c>
      <c r="B879" s="31" t="s">
        <v>7</v>
      </c>
      <c r="C879" s="32"/>
      <c r="D879" s="32"/>
      <c r="E879" s="19" t="n">
        <f aca="false">+F879*0.03</f>
        <v>0</v>
      </c>
      <c r="F879" s="33" t="n">
        <v>0</v>
      </c>
      <c r="G879" s="62"/>
      <c r="H879" s="35" t="n">
        <v>0</v>
      </c>
      <c r="I879" s="34" t="n">
        <f aca="false">+IF(E879=0,0,E879*0.03)</f>
        <v>0</v>
      </c>
    </row>
    <row r="880" customFormat="false" ht="15.75" hidden="false" customHeight="true" outlineLevel="0" collapsed="false">
      <c r="A880" s="30" t="n">
        <v>46256</v>
      </c>
      <c r="B880" s="31" t="s">
        <v>7</v>
      </c>
      <c r="C880" s="32"/>
      <c r="D880" s="32"/>
      <c r="E880" s="19" t="n">
        <f aca="false">+F880*0.03</f>
        <v>0</v>
      </c>
      <c r="F880" s="33" t="n">
        <v>0</v>
      </c>
      <c r="G880" s="62"/>
      <c r="H880" s="35" t="n">
        <v>0</v>
      </c>
      <c r="I880" s="34" t="n">
        <f aca="false">+IF(E880=0,0,E880*0.03)</f>
        <v>0</v>
      </c>
    </row>
    <row r="881" customFormat="false" ht="15.75" hidden="false" customHeight="true" outlineLevel="0" collapsed="false">
      <c r="A881" s="30" t="n">
        <v>46257</v>
      </c>
      <c r="B881" s="31" t="s">
        <v>7</v>
      </c>
      <c r="C881" s="32"/>
      <c r="D881" s="32"/>
      <c r="E881" s="19" t="n">
        <f aca="false">+F881*0.03</f>
        <v>0</v>
      </c>
      <c r="F881" s="33" t="n">
        <v>0</v>
      </c>
      <c r="G881" s="62"/>
      <c r="H881" s="35" t="n">
        <v>0</v>
      </c>
      <c r="I881" s="34" t="n">
        <f aca="false">+IF(E881=0,0,E881*0.03)</f>
        <v>0</v>
      </c>
    </row>
    <row r="882" customFormat="false" ht="15.75" hidden="false" customHeight="true" outlineLevel="0" collapsed="false">
      <c r="A882" s="30" t="n">
        <v>46258</v>
      </c>
      <c r="B882" s="31" t="s">
        <v>7</v>
      </c>
      <c r="C882" s="32"/>
      <c r="D882" s="32"/>
      <c r="E882" s="19" t="n">
        <f aca="false">+F882*0.03</f>
        <v>0</v>
      </c>
      <c r="F882" s="33" t="n">
        <v>0</v>
      </c>
      <c r="G882" s="62"/>
      <c r="H882" s="35" t="n">
        <v>0</v>
      </c>
      <c r="I882" s="34" t="n">
        <f aca="false">+IF(E882=0,0,E882*0.03)</f>
        <v>0</v>
      </c>
    </row>
    <row r="883" customFormat="false" ht="15.75" hidden="false" customHeight="true" outlineLevel="0" collapsed="false">
      <c r="A883" s="30" t="n">
        <v>46259</v>
      </c>
      <c r="B883" s="31" t="s">
        <v>7</v>
      </c>
      <c r="C883" s="32"/>
      <c r="D883" s="32"/>
      <c r="E883" s="19" t="n">
        <f aca="false">+F883*0.03</f>
        <v>0</v>
      </c>
      <c r="F883" s="33" t="n">
        <v>0</v>
      </c>
      <c r="G883" s="62"/>
      <c r="H883" s="35" t="n">
        <v>0</v>
      </c>
      <c r="I883" s="34" t="n">
        <f aca="false">+IF(E883=0,0,E883*0.03)</f>
        <v>0</v>
      </c>
    </row>
    <row r="884" customFormat="false" ht="15.75" hidden="false" customHeight="true" outlineLevel="0" collapsed="false">
      <c r="A884" s="30" t="n">
        <v>46260</v>
      </c>
      <c r="B884" s="31" t="s">
        <v>7</v>
      </c>
      <c r="C884" s="32"/>
      <c r="D884" s="32"/>
      <c r="E884" s="19" t="n">
        <f aca="false">+F884*0.03</f>
        <v>0</v>
      </c>
      <c r="F884" s="33" t="n">
        <v>0</v>
      </c>
      <c r="G884" s="62"/>
      <c r="H884" s="35" t="n">
        <v>0</v>
      </c>
      <c r="I884" s="34" t="n">
        <f aca="false">+IF(E884=0,0,E884*0.03)</f>
        <v>0</v>
      </c>
    </row>
    <row r="885" customFormat="false" ht="15.75" hidden="false" customHeight="true" outlineLevel="0" collapsed="false">
      <c r="A885" s="30" t="n">
        <v>46261</v>
      </c>
      <c r="B885" s="31" t="s">
        <v>7</v>
      </c>
      <c r="C885" s="32"/>
      <c r="D885" s="32"/>
      <c r="E885" s="19" t="n">
        <f aca="false">+F885*0.03</f>
        <v>0</v>
      </c>
      <c r="F885" s="33" t="n">
        <v>0</v>
      </c>
      <c r="G885" s="62"/>
      <c r="H885" s="35" t="n">
        <v>0</v>
      </c>
      <c r="I885" s="34" t="n">
        <f aca="false">+IF(E885=0,0,E885*0.03)</f>
        <v>0</v>
      </c>
    </row>
    <row r="886" customFormat="false" ht="15.75" hidden="false" customHeight="true" outlineLevel="0" collapsed="false">
      <c r="A886" s="30" t="n">
        <v>46262</v>
      </c>
      <c r="B886" s="31" t="s">
        <v>7</v>
      </c>
      <c r="C886" s="32"/>
      <c r="D886" s="32"/>
      <c r="E886" s="19" t="n">
        <f aca="false">+F886*0.03</f>
        <v>0</v>
      </c>
      <c r="F886" s="33" t="n">
        <v>0</v>
      </c>
      <c r="G886" s="62"/>
      <c r="H886" s="35" t="n">
        <v>0</v>
      </c>
      <c r="I886" s="34" t="n">
        <f aca="false">+IF(E886=0,0,E886*0.03)</f>
        <v>0</v>
      </c>
    </row>
    <row r="887" customFormat="false" ht="15.75" hidden="false" customHeight="true" outlineLevel="0" collapsed="false">
      <c r="A887" s="30" t="n">
        <v>46263</v>
      </c>
      <c r="B887" s="31" t="s">
        <v>7</v>
      </c>
      <c r="C887" s="32"/>
      <c r="D887" s="32"/>
      <c r="E887" s="19" t="n">
        <f aca="false">+F887*0.03</f>
        <v>0</v>
      </c>
      <c r="F887" s="33" t="n">
        <v>0</v>
      </c>
      <c r="G887" s="62"/>
      <c r="H887" s="35" t="n">
        <v>0</v>
      </c>
      <c r="I887" s="34" t="n">
        <f aca="false">+IF(E887=0,0,E887*0.03)</f>
        <v>0</v>
      </c>
    </row>
    <row r="888" customFormat="false" ht="15.75" hidden="false" customHeight="true" outlineLevel="0" collapsed="false">
      <c r="A888" s="30" t="n">
        <v>46264</v>
      </c>
      <c r="B888" s="31" t="s">
        <v>7</v>
      </c>
      <c r="C888" s="32"/>
      <c r="D888" s="32"/>
      <c r="E888" s="19" t="n">
        <f aca="false">+F888*0.03</f>
        <v>0</v>
      </c>
      <c r="F888" s="33" t="n">
        <v>0</v>
      </c>
      <c r="G888" s="62"/>
      <c r="H888" s="35" t="n">
        <v>0</v>
      </c>
      <c r="I888" s="34" t="n">
        <f aca="false">+IF(E888=0,0,E888*0.03)</f>
        <v>0</v>
      </c>
    </row>
    <row r="889" customFormat="false" ht="15.75" hidden="false" customHeight="true" outlineLevel="0" collapsed="false">
      <c r="A889" s="30" t="n">
        <v>46265</v>
      </c>
      <c r="B889" s="31" t="s">
        <v>7</v>
      </c>
      <c r="C889" s="32"/>
      <c r="D889" s="32"/>
      <c r="E889" s="19" t="n">
        <f aca="false">+F889*0.03</f>
        <v>0</v>
      </c>
      <c r="F889" s="33" t="n">
        <v>0</v>
      </c>
      <c r="G889" s="62"/>
      <c r="H889" s="35" t="n">
        <v>0</v>
      </c>
      <c r="I889" s="34" t="n">
        <f aca="false">+IF(E889=0,0,E889*0.03)</f>
        <v>0</v>
      </c>
    </row>
    <row r="890" customFormat="false" ht="15.75" hidden="false" customHeight="true" outlineLevel="0" collapsed="false">
      <c r="A890" s="30" t="n">
        <v>46266</v>
      </c>
      <c r="B890" s="31" t="s">
        <v>7</v>
      </c>
      <c r="C890" s="32"/>
      <c r="D890" s="32"/>
      <c r="E890" s="19" t="n">
        <f aca="false">+F890*0.03</f>
        <v>0</v>
      </c>
      <c r="F890" s="33" t="n">
        <v>0</v>
      </c>
      <c r="G890" s="62"/>
      <c r="H890" s="35" t="n">
        <v>0</v>
      </c>
      <c r="I890" s="34" t="n">
        <f aca="false">+IF(E890=0,0,E890*0.03)</f>
        <v>0</v>
      </c>
    </row>
    <row r="891" customFormat="false" ht="15.75" hidden="false" customHeight="true" outlineLevel="0" collapsed="false">
      <c r="A891" s="30" t="n">
        <v>46267</v>
      </c>
      <c r="B891" s="31" t="s">
        <v>7</v>
      </c>
      <c r="C891" s="32"/>
      <c r="D891" s="32"/>
      <c r="E891" s="19" t="n">
        <f aca="false">+F891*0.03</f>
        <v>0</v>
      </c>
      <c r="F891" s="33" t="n">
        <v>0</v>
      </c>
      <c r="G891" s="62"/>
      <c r="H891" s="35" t="n">
        <v>0</v>
      </c>
      <c r="I891" s="34" t="n">
        <f aca="false">+IF(E891=0,0,E891*0.03)</f>
        <v>0</v>
      </c>
    </row>
    <row r="892" customFormat="false" ht="15.75" hidden="false" customHeight="true" outlineLevel="0" collapsed="false">
      <c r="A892" s="30" t="n">
        <v>46268</v>
      </c>
      <c r="B892" s="31" t="s">
        <v>7</v>
      </c>
      <c r="C892" s="32"/>
      <c r="D892" s="32"/>
      <c r="E892" s="19" t="n">
        <f aca="false">+F892*0.03</f>
        <v>0</v>
      </c>
      <c r="F892" s="33" t="n">
        <v>0</v>
      </c>
      <c r="G892" s="62"/>
      <c r="H892" s="35" t="n">
        <v>0</v>
      </c>
      <c r="I892" s="34" t="n">
        <f aca="false">+IF(E892=0,0,E892*0.03)</f>
        <v>0</v>
      </c>
    </row>
    <row r="893" customFormat="false" ht="15.75" hidden="false" customHeight="true" outlineLevel="0" collapsed="false">
      <c r="A893" s="30" t="n">
        <v>46269</v>
      </c>
      <c r="B893" s="31" t="s">
        <v>7</v>
      </c>
      <c r="C893" s="32"/>
      <c r="D893" s="32"/>
      <c r="E893" s="19" t="n">
        <f aca="false">+F893*0.03</f>
        <v>0</v>
      </c>
      <c r="F893" s="33" t="n">
        <v>0</v>
      </c>
      <c r="G893" s="62"/>
      <c r="H893" s="35" t="n">
        <v>0</v>
      </c>
      <c r="I893" s="34" t="n">
        <f aca="false">+IF(E893=0,0,E893*0.03)</f>
        <v>0</v>
      </c>
    </row>
    <row r="894" customFormat="false" ht="15.75" hidden="false" customHeight="true" outlineLevel="0" collapsed="false">
      <c r="A894" s="30" t="n">
        <v>46270</v>
      </c>
      <c r="B894" s="31" t="s">
        <v>7</v>
      </c>
      <c r="C894" s="32"/>
      <c r="D894" s="32"/>
      <c r="E894" s="19" t="n">
        <f aca="false">+F894*0.03</f>
        <v>0</v>
      </c>
      <c r="F894" s="33" t="n">
        <v>0</v>
      </c>
      <c r="G894" s="62"/>
      <c r="H894" s="35" t="n">
        <v>0</v>
      </c>
      <c r="I894" s="34" t="n">
        <f aca="false">+IF(E894=0,0,E894*0.03)</f>
        <v>0</v>
      </c>
    </row>
    <row r="895" customFormat="false" ht="15.75" hidden="false" customHeight="true" outlineLevel="0" collapsed="false">
      <c r="A895" s="30" t="n">
        <v>46271</v>
      </c>
      <c r="B895" s="31" t="s">
        <v>7</v>
      </c>
      <c r="C895" s="32"/>
      <c r="D895" s="32"/>
      <c r="E895" s="19" t="n">
        <f aca="false">+F895*0.03</f>
        <v>0</v>
      </c>
      <c r="F895" s="33" t="n">
        <v>0</v>
      </c>
      <c r="G895" s="62"/>
      <c r="H895" s="35" t="n">
        <v>0</v>
      </c>
      <c r="I895" s="34" t="n">
        <f aca="false">+IF(E895=0,0,E895*0.03)</f>
        <v>0</v>
      </c>
    </row>
    <row r="896" customFormat="false" ht="15.75" hidden="false" customHeight="true" outlineLevel="0" collapsed="false">
      <c r="A896" s="30" t="n">
        <v>46272</v>
      </c>
      <c r="B896" s="31" t="s">
        <v>7</v>
      </c>
      <c r="C896" s="32"/>
      <c r="D896" s="32"/>
      <c r="E896" s="19" t="n">
        <f aca="false">+F896*0.03</f>
        <v>0</v>
      </c>
      <c r="F896" s="33" t="n">
        <v>0</v>
      </c>
      <c r="G896" s="62"/>
      <c r="H896" s="35" t="n">
        <v>0</v>
      </c>
      <c r="I896" s="34" t="n">
        <f aca="false">+IF(E896=0,0,E896*0.03)</f>
        <v>0</v>
      </c>
    </row>
    <row r="897" customFormat="false" ht="15.75" hidden="false" customHeight="true" outlineLevel="0" collapsed="false">
      <c r="A897" s="30" t="n">
        <v>46273</v>
      </c>
      <c r="B897" s="31" t="s">
        <v>7</v>
      </c>
      <c r="C897" s="32"/>
      <c r="D897" s="32"/>
      <c r="E897" s="19" t="n">
        <f aca="false">+F897*0.03</f>
        <v>0</v>
      </c>
      <c r="F897" s="33" t="n">
        <v>0</v>
      </c>
      <c r="G897" s="62"/>
      <c r="H897" s="35" t="n">
        <v>0</v>
      </c>
      <c r="I897" s="34" t="n">
        <f aca="false">+IF(E897=0,0,E897*0.03)</f>
        <v>0</v>
      </c>
    </row>
    <row r="898" customFormat="false" ht="15.75" hidden="false" customHeight="true" outlineLevel="0" collapsed="false">
      <c r="A898" s="30" t="n">
        <v>46274</v>
      </c>
      <c r="B898" s="31" t="s">
        <v>7</v>
      </c>
      <c r="C898" s="32"/>
      <c r="D898" s="32"/>
      <c r="E898" s="19" t="n">
        <f aca="false">+F898*0.03</f>
        <v>0</v>
      </c>
      <c r="F898" s="33" t="n">
        <v>0</v>
      </c>
      <c r="G898" s="62"/>
      <c r="H898" s="35" t="n">
        <v>0</v>
      </c>
      <c r="I898" s="34" t="n">
        <f aca="false">+IF(E898=0,0,E898*0.03)</f>
        <v>0</v>
      </c>
    </row>
    <row r="899" customFormat="false" ht="15.75" hidden="false" customHeight="true" outlineLevel="0" collapsed="false">
      <c r="A899" s="30" t="n">
        <v>46275</v>
      </c>
      <c r="B899" s="31" t="s">
        <v>7</v>
      </c>
      <c r="C899" s="32"/>
      <c r="D899" s="32"/>
      <c r="E899" s="19" t="n">
        <f aca="false">+F899*0.03</f>
        <v>0</v>
      </c>
      <c r="F899" s="33" t="n">
        <v>0</v>
      </c>
      <c r="G899" s="62"/>
      <c r="H899" s="35" t="n">
        <v>0</v>
      </c>
      <c r="I899" s="34" t="n">
        <f aca="false">+IF(E899=0,0,E899*0.03)</f>
        <v>0</v>
      </c>
    </row>
    <row r="900" customFormat="false" ht="15.75" hidden="false" customHeight="true" outlineLevel="0" collapsed="false">
      <c r="A900" s="30" t="n">
        <v>46276</v>
      </c>
      <c r="B900" s="31" t="s">
        <v>7</v>
      </c>
      <c r="C900" s="32"/>
      <c r="D900" s="32"/>
      <c r="E900" s="19" t="n">
        <f aca="false">+F900*0.03</f>
        <v>0</v>
      </c>
      <c r="F900" s="33" t="n">
        <v>0</v>
      </c>
      <c r="G900" s="62"/>
      <c r="H900" s="35" t="n">
        <v>0</v>
      </c>
      <c r="I900" s="34" t="n">
        <f aca="false">+IF(E900=0,0,E900*0.03)</f>
        <v>0</v>
      </c>
    </row>
    <row r="901" customFormat="false" ht="15.75" hidden="false" customHeight="true" outlineLevel="0" collapsed="false">
      <c r="A901" s="30" t="n">
        <v>46277</v>
      </c>
      <c r="B901" s="31" t="s">
        <v>7</v>
      </c>
      <c r="C901" s="32"/>
      <c r="D901" s="32"/>
      <c r="E901" s="19" t="n">
        <f aca="false">+F901*0.03</f>
        <v>0</v>
      </c>
      <c r="F901" s="33" t="n">
        <v>0</v>
      </c>
      <c r="G901" s="62"/>
      <c r="H901" s="35" t="n">
        <v>0</v>
      </c>
      <c r="I901" s="34" t="n">
        <f aca="false">+IF(E901=0,0,E901*0.03)</f>
        <v>0</v>
      </c>
    </row>
    <row r="902" customFormat="false" ht="15.75" hidden="false" customHeight="true" outlineLevel="0" collapsed="false">
      <c r="A902" s="30" t="n">
        <v>46278</v>
      </c>
      <c r="B902" s="31" t="s">
        <v>7</v>
      </c>
      <c r="C902" s="32"/>
      <c r="D902" s="32"/>
      <c r="E902" s="19" t="n">
        <f aca="false">+F902*0.03</f>
        <v>0</v>
      </c>
      <c r="F902" s="33" t="n">
        <v>0</v>
      </c>
      <c r="G902" s="62"/>
      <c r="H902" s="35" t="n">
        <v>0</v>
      </c>
      <c r="I902" s="34" t="n">
        <f aca="false">+IF(E902=0,0,E902*0.03)</f>
        <v>0</v>
      </c>
    </row>
    <row r="903" customFormat="false" ht="15.75" hidden="false" customHeight="true" outlineLevel="0" collapsed="false">
      <c r="A903" s="30" t="n">
        <v>46279</v>
      </c>
      <c r="B903" s="31" t="s">
        <v>7</v>
      </c>
      <c r="C903" s="32"/>
      <c r="D903" s="32"/>
      <c r="E903" s="19" t="n">
        <f aca="false">+F903*0.03</f>
        <v>0</v>
      </c>
      <c r="F903" s="33" t="n">
        <v>0</v>
      </c>
      <c r="G903" s="62"/>
      <c r="H903" s="35" t="n">
        <v>0</v>
      </c>
      <c r="I903" s="34" t="n">
        <f aca="false">+IF(E903=0,0,E903*0.03)</f>
        <v>0</v>
      </c>
    </row>
    <row r="904" customFormat="false" ht="15.75" hidden="false" customHeight="true" outlineLevel="0" collapsed="false">
      <c r="A904" s="30" t="n">
        <v>46280</v>
      </c>
      <c r="B904" s="31" t="s">
        <v>7</v>
      </c>
      <c r="C904" s="32"/>
      <c r="D904" s="32"/>
      <c r="E904" s="19" t="n">
        <f aca="false">+F904*0.03</f>
        <v>0</v>
      </c>
      <c r="F904" s="33" t="n">
        <v>0</v>
      </c>
      <c r="G904" s="62"/>
      <c r="H904" s="35" t="n">
        <v>0</v>
      </c>
      <c r="I904" s="34" t="n">
        <f aca="false">+IF(E904=0,0,E904*0.03)</f>
        <v>0</v>
      </c>
    </row>
    <row r="905" customFormat="false" ht="15.75" hidden="false" customHeight="true" outlineLevel="0" collapsed="false">
      <c r="A905" s="30" t="n">
        <v>46281</v>
      </c>
      <c r="B905" s="31" t="s">
        <v>7</v>
      </c>
      <c r="C905" s="32"/>
      <c r="D905" s="32"/>
      <c r="E905" s="19" t="n">
        <f aca="false">+F905*0.03</f>
        <v>0</v>
      </c>
      <c r="F905" s="33" t="n">
        <v>0</v>
      </c>
      <c r="G905" s="62"/>
      <c r="H905" s="35" t="n">
        <v>0</v>
      </c>
      <c r="I905" s="34" t="n">
        <f aca="false">+IF(E905=0,0,E905*0.03)</f>
        <v>0</v>
      </c>
    </row>
    <row r="906" customFormat="false" ht="15.75" hidden="false" customHeight="true" outlineLevel="0" collapsed="false">
      <c r="A906" s="30" t="n">
        <v>46282</v>
      </c>
      <c r="B906" s="31" t="s">
        <v>7</v>
      </c>
      <c r="C906" s="32"/>
      <c r="D906" s="32"/>
      <c r="E906" s="19" t="n">
        <f aca="false">+F906*0.03</f>
        <v>0</v>
      </c>
      <c r="F906" s="33" t="n">
        <v>0</v>
      </c>
      <c r="G906" s="62"/>
      <c r="H906" s="35" t="n">
        <v>0</v>
      </c>
      <c r="I906" s="34" t="n">
        <f aca="false">+IF(E906=0,0,E906*0.03)</f>
        <v>0</v>
      </c>
    </row>
    <row r="907" customFormat="false" ht="15.75" hidden="false" customHeight="true" outlineLevel="0" collapsed="false">
      <c r="A907" s="30" t="n">
        <v>46283</v>
      </c>
      <c r="B907" s="31" t="s">
        <v>7</v>
      </c>
      <c r="C907" s="32"/>
      <c r="D907" s="32"/>
      <c r="E907" s="19" t="n">
        <f aca="false">+F907*0.03</f>
        <v>0</v>
      </c>
      <c r="F907" s="33" t="n">
        <v>0</v>
      </c>
      <c r="G907" s="62"/>
      <c r="H907" s="35" t="n">
        <v>0</v>
      </c>
      <c r="I907" s="34" t="n">
        <f aca="false">+IF(E907=0,0,E907*0.03)</f>
        <v>0</v>
      </c>
    </row>
    <row r="908" customFormat="false" ht="15.75" hidden="false" customHeight="true" outlineLevel="0" collapsed="false">
      <c r="A908" s="30" t="n">
        <v>46284</v>
      </c>
      <c r="B908" s="31" t="s">
        <v>7</v>
      </c>
      <c r="C908" s="32"/>
      <c r="D908" s="32"/>
      <c r="E908" s="19" t="n">
        <f aca="false">+F908*0.03</f>
        <v>0</v>
      </c>
      <c r="F908" s="33" t="n">
        <v>0</v>
      </c>
      <c r="G908" s="62"/>
      <c r="H908" s="35" t="n">
        <v>0</v>
      </c>
      <c r="I908" s="34" t="n">
        <f aca="false">+IF(E908=0,0,E908*0.03)</f>
        <v>0</v>
      </c>
    </row>
    <row r="909" customFormat="false" ht="15.75" hidden="false" customHeight="true" outlineLevel="0" collapsed="false">
      <c r="A909" s="30" t="n">
        <v>46285</v>
      </c>
      <c r="B909" s="31" t="s">
        <v>7</v>
      </c>
      <c r="C909" s="32"/>
      <c r="D909" s="32"/>
      <c r="E909" s="19" t="n">
        <f aca="false">+F909*0.03</f>
        <v>0</v>
      </c>
      <c r="F909" s="33" t="n">
        <v>0</v>
      </c>
      <c r="G909" s="62"/>
      <c r="H909" s="35" t="n">
        <v>0</v>
      </c>
      <c r="I909" s="34" t="n">
        <f aca="false">+IF(E909=0,0,E909*0.03)</f>
        <v>0</v>
      </c>
    </row>
    <row r="910" customFormat="false" ht="15.75" hidden="false" customHeight="true" outlineLevel="0" collapsed="false">
      <c r="A910" s="30" t="n">
        <v>46286</v>
      </c>
      <c r="B910" s="31" t="s">
        <v>7</v>
      </c>
      <c r="C910" s="32"/>
      <c r="D910" s="32"/>
      <c r="E910" s="19" t="n">
        <f aca="false">+F910*0.03</f>
        <v>0</v>
      </c>
      <c r="F910" s="33" t="n">
        <v>0</v>
      </c>
      <c r="G910" s="62"/>
      <c r="H910" s="35" t="n">
        <v>0</v>
      </c>
      <c r="I910" s="34" t="n">
        <f aca="false">+IF(E910=0,0,E910*0.03)</f>
        <v>0</v>
      </c>
    </row>
    <row r="911" customFormat="false" ht="15.75" hidden="false" customHeight="true" outlineLevel="0" collapsed="false">
      <c r="A911" s="30" t="n">
        <v>46287</v>
      </c>
      <c r="B911" s="31" t="s">
        <v>7</v>
      </c>
      <c r="C911" s="32"/>
      <c r="D911" s="32"/>
      <c r="E911" s="19" t="n">
        <f aca="false">+F911*0.03</f>
        <v>0</v>
      </c>
      <c r="F911" s="33" t="n">
        <v>0</v>
      </c>
      <c r="G911" s="62"/>
      <c r="H911" s="35" t="n">
        <v>0</v>
      </c>
      <c r="I911" s="34" t="n">
        <f aca="false">+IF(E911=0,0,E911*0.03)</f>
        <v>0</v>
      </c>
    </row>
    <row r="912" customFormat="false" ht="15.75" hidden="false" customHeight="true" outlineLevel="0" collapsed="false">
      <c r="A912" s="30" t="n">
        <v>46288</v>
      </c>
      <c r="B912" s="31" t="s">
        <v>7</v>
      </c>
      <c r="C912" s="32"/>
      <c r="D912" s="32"/>
      <c r="E912" s="19" t="n">
        <f aca="false">+F912*0.03</f>
        <v>0</v>
      </c>
      <c r="F912" s="33" t="n">
        <v>0</v>
      </c>
      <c r="G912" s="62"/>
      <c r="H912" s="35" t="n">
        <v>0</v>
      </c>
      <c r="I912" s="34" t="n">
        <f aca="false">+IF(E912=0,0,E912*0.03)</f>
        <v>0</v>
      </c>
    </row>
    <row r="913" customFormat="false" ht="15.75" hidden="false" customHeight="true" outlineLevel="0" collapsed="false">
      <c r="A913" s="30" t="n">
        <v>46289</v>
      </c>
      <c r="B913" s="31" t="s">
        <v>7</v>
      </c>
      <c r="C913" s="32"/>
      <c r="D913" s="32"/>
      <c r="E913" s="19" t="n">
        <f aca="false">+F913*0.03</f>
        <v>0</v>
      </c>
      <c r="F913" s="33" t="n">
        <v>0</v>
      </c>
      <c r="G913" s="62"/>
      <c r="H913" s="35" t="n">
        <v>0</v>
      </c>
      <c r="I913" s="34" t="n">
        <f aca="false">+IF(E913=0,0,E913*0.03)</f>
        <v>0</v>
      </c>
    </row>
    <row r="914" customFormat="false" ht="15.75" hidden="false" customHeight="true" outlineLevel="0" collapsed="false">
      <c r="A914" s="30" t="n">
        <v>46290</v>
      </c>
      <c r="B914" s="31" t="s">
        <v>7</v>
      </c>
      <c r="C914" s="32"/>
      <c r="D914" s="32"/>
      <c r="E914" s="19" t="n">
        <f aca="false">+F914*0.03</f>
        <v>0</v>
      </c>
      <c r="F914" s="33" t="n">
        <v>0</v>
      </c>
      <c r="G914" s="62"/>
      <c r="H914" s="35" t="n">
        <v>0</v>
      </c>
      <c r="I914" s="34" t="n">
        <f aca="false">+IF(E914=0,0,E914*0.03)</f>
        <v>0</v>
      </c>
    </row>
    <row r="915" customFormat="false" ht="15.75" hidden="false" customHeight="true" outlineLevel="0" collapsed="false">
      <c r="A915" s="30" t="n">
        <v>46291</v>
      </c>
      <c r="B915" s="31" t="s">
        <v>7</v>
      </c>
      <c r="C915" s="32"/>
      <c r="D915" s="32"/>
      <c r="E915" s="19" t="n">
        <f aca="false">+F915*0.03</f>
        <v>0</v>
      </c>
      <c r="F915" s="33" t="n">
        <v>0</v>
      </c>
      <c r="G915" s="62"/>
      <c r="H915" s="35" t="n">
        <v>0</v>
      </c>
      <c r="I915" s="34" t="n">
        <f aca="false">+IF(E915=0,0,E915*0.03)</f>
        <v>0</v>
      </c>
    </row>
    <row r="916" customFormat="false" ht="15.75" hidden="false" customHeight="true" outlineLevel="0" collapsed="false">
      <c r="A916" s="30" t="n">
        <v>46292</v>
      </c>
      <c r="B916" s="31" t="s">
        <v>7</v>
      </c>
      <c r="C916" s="32"/>
      <c r="D916" s="32"/>
      <c r="E916" s="19" t="n">
        <f aca="false">+F916*0.03</f>
        <v>0</v>
      </c>
      <c r="F916" s="33" t="n">
        <v>0</v>
      </c>
      <c r="G916" s="62"/>
      <c r="H916" s="35" t="n">
        <v>0</v>
      </c>
      <c r="I916" s="34" t="n">
        <f aca="false">+IF(E916=0,0,E916*0.03)</f>
        <v>0</v>
      </c>
    </row>
    <row r="917" customFormat="false" ht="15.75" hidden="false" customHeight="true" outlineLevel="0" collapsed="false">
      <c r="A917" s="30" t="n">
        <v>46293</v>
      </c>
      <c r="B917" s="31" t="s">
        <v>7</v>
      </c>
      <c r="C917" s="32"/>
      <c r="D917" s="32"/>
      <c r="E917" s="19" t="n">
        <f aca="false">+F917*0.03</f>
        <v>0</v>
      </c>
      <c r="F917" s="33" t="n">
        <v>0</v>
      </c>
      <c r="G917" s="62"/>
      <c r="H917" s="35" t="n">
        <v>0</v>
      </c>
      <c r="I917" s="34" t="n">
        <f aca="false">+IF(E917=0,0,E917*0.03)</f>
        <v>0</v>
      </c>
    </row>
    <row r="918" customFormat="false" ht="15.75" hidden="false" customHeight="true" outlineLevel="0" collapsed="false">
      <c r="A918" s="30" t="n">
        <v>46294</v>
      </c>
      <c r="B918" s="31" t="s">
        <v>7</v>
      </c>
      <c r="C918" s="32"/>
      <c r="D918" s="32"/>
      <c r="E918" s="19" t="n">
        <f aca="false">+F918*0.03</f>
        <v>0</v>
      </c>
      <c r="F918" s="33" t="n">
        <v>0</v>
      </c>
      <c r="G918" s="62"/>
      <c r="H918" s="35" t="n">
        <v>0</v>
      </c>
      <c r="I918" s="34" t="n">
        <f aca="false">+IF(E918=0,0,E918*0.03)</f>
        <v>0</v>
      </c>
    </row>
    <row r="919" customFormat="false" ht="15.75" hidden="false" customHeight="true" outlineLevel="0" collapsed="false">
      <c r="A919" s="30" t="n">
        <v>46295</v>
      </c>
      <c r="B919" s="31" t="s">
        <v>7</v>
      </c>
      <c r="C919" s="32"/>
      <c r="D919" s="32"/>
      <c r="E919" s="19" t="n">
        <f aca="false">+F919*0.03</f>
        <v>0</v>
      </c>
      <c r="F919" s="33" t="n">
        <v>0</v>
      </c>
      <c r="G919" s="62"/>
      <c r="H919" s="35" t="n">
        <v>0</v>
      </c>
      <c r="I919" s="34" t="n">
        <f aca="false">+IF(E919=0,0,E919*0.03)</f>
        <v>0</v>
      </c>
    </row>
    <row r="920" customFormat="false" ht="15.75" hidden="false" customHeight="true" outlineLevel="0" collapsed="false">
      <c r="A920" s="30" t="n">
        <v>46296</v>
      </c>
      <c r="B920" s="31" t="s">
        <v>7</v>
      </c>
      <c r="C920" s="32"/>
      <c r="D920" s="32"/>
      <c r="E920" s="19" t="n">
        <f aca="false">+F920*0.03</f>
        <v>0</v>
      </c>
      <c r="F920" s="33" t="n">
        <v>0</v>
      </c>
      <c r="G920" s="62"/>
      <c r="H920" s="35" t="n">
        <v>0</v>
      </c>
      <c r="I920" s="34" t="n">
        <f aca="false">+IF(E920=0,0,E920*0.03)</f>
        <v>0</v>
      </c>
    </row>
    <row r="921" customFormat="false" ht="15.75" hidden="false" customHeight="true" outlineLevel="0" collapsed="false">
      <c r="A921" s="30" t="n">
        <v>46297</v>
      </c>
      <c r="B921" s="31" t="s">
        <v>7</v>
      </c>
      <c r="C921" s="32"/>
      <c r="D921" s="32"/>
      <c r="E921" s="19" t="n">
        <f aca="false">+F921*0.03</f>
        <v>0</v>
      </c>
      <c r="F921" s="33" t="n">
        <v>0</v>
      </c>
      <c r="G921" s="62"/>
      <c r="H921" s="35" t="n">
        <v>0</v>
      </c>
      <c r="I921" s="34" t="n">
        <f aca="false">+IF(E921=0,0,E921*0.03)</f>
        <v>0</v>
      </c>
    </row>
    <row r="922" customFormat="false" ht="15.75" hidden="false" customHeight="true" outlineLevel="0" collapsed="false">
      <c r="A922" s="30" t="n">
        <v>46298</v>
      </c>
      <c r="B922" s="31" t="s">
        <v>7</v>
      </c>
      <c r="C922" s="32"/>
      <c r="D922" s="32"/>
      <c r="E922" s="19" t="n">
        <f aca="false">+F922*0.03</f>
        <v>0</v>
      </c>
      <c r="F922" s="33" t="n">
        <v>0</v>
      </c>
      <c r="G922" s="62"/>
      <c r="H922" s="35" t="n">
        <v>0</v>
      </c>
      <c r="I922" s="34" t="n">
        <f aca="false">+IF(E922=0,0,E922*0.03)</f>
        <v>0</v>
      </c>
    </row>
    <row r="923" customFormat="false" ht="15.75" hidden="false" customHeight="true" outlineLevel="0" collapsed="false">
      <c r="A923" s="30" t="n">
        <v>46299</v>
      </c>
      <c r="B923" s="31" t="s">
        <v>7</v>
      </c>
      <c r="C923" s="32"/>
      <c r="D923" s="32"/>
      <c r="E923" s="19" t="n">
        <f aca="false">+F923*0.03</f>
        <v>0</v>
      </c>
      <c r="F923" s="33" t="n">
        <v>0</v>
      </c>
      <c r="G923" s="62"/>
      <c r="H923" s="35" t="n">
        <v>0</v>
      </c>
      <c r="I923" s="34" t="n">
        <f aca="false">+IF(E923=0,0,E923*0.03)</f>
        <v>0</v>
      </c>
    </row>
    <row r="924" customFormat="false" ht="15.75" hidden="false" customHeight="true" outlineLevel="0" collapsed="false">
      <c r="A924" s="30" t="n">
        <v>46300</v>
      </c>
      <c r="B924" s="31" t="s">
        <v>7</v>
      </c>
      <c r="C924" s="32"/>
      <c r="D924" s="32"/>
      <c r="E924" s="19" t="n">
        <f aca="false">+F924*0.03</f>
        <v>0</v>
      </c>
      <c r="F924" s="33" t="n">
        <v>0</v>
      </c>
      <c r="G924" s="62"/>
      <c r="H924" s="35" t="n">
        <v>0</v>
      </c>
      <c r="I924" s="34" t="n">
        <f aca="false">+IF(E924=0,0,E924*0.03)</f>
        <v>0</v>
      </c>
    </row>
    <row r="925" customFormat="false" ht="15.75" hidden="false" customHeight="true" outlineLevel="0" collapsed="false">
      <c r="A925" s="30" t="n">
        <v>46301</v>
      </c>
      <c r="B925" s="31" t="s">
        <v>7</v>
      </c>
      <c r="C925" s="32"/>
      <c r="D925" s="32"/>
      <c r="E925" s="19" t="n">
        <f aca="false">+F925*0.03</f>
        <v>0</v>
      </c>
      <c r="F925" s="33" t="n">
        <v>0</v>
      </c>
      <c r="G925" s="62"/>
      <c r="H925" s="35" t="n">
        <v>0</v>
      </c>
      <c r="I925" s="34" t="n">
        <f aca="false">+IF(E925=0,0,E925*0.03)</f>
        <v>0</v>
      </c>
    </row>
    <row r="926" customFormat="false" ht="15.75" hidden="false" customHeight="true" outlineLevel="0" collapsed="false">
      <c r="A926" s="30" t="n">
        <v>46302</v>
      </c>
      <c r="B926" s="31" t="s">
        <v>7</v>
      </c>
      <c r="C926" s="32"/>
      <c r="D926" s="32"/>
      <c r="E926" s="19" t="n">
        <f aca="false">+F926*0.03</f>
        <v>0</v>
      </c>
      <c r="F926" s="33" t="n">
        <v>0</v>
      </c>
      <c r="G926" s="62"/>
      <c r="H926" s="35" t="n">
        <v>0</v>
      </c>
      <c r="I926" s="34" t="n">
        <f aca="false">+IF(E926=0,0,E926*0.03)</f>
        <v>0</v>
      </c>
    </row>
    <row r="927" customFormat="false" ht="15.75" hidden="false" customHeight="true" outlineLevel="0" collapsed="false">
      <c r="A927" s="30" t="n">
        <v>46303</v>
      </c>
      <c r="B927" s="31" t="s">
        <v>7</v>
      </c>
      <c r="C927" s="32"/>
      <c r="D927" s="32"/>
      <c r="E927" s="19" t="n">
        <f aca="false">+F927*0.03</f>
        <v>0</v>
      </c>
      <c r="F927" s="33" t="n">
        <v>0</v>
      </c>
      <c r="G927" s="62"/>
      <c r="H927" s="35" t="n">
        <v>0</v>
      </c>
      <c r="I927" s="34" t="n">
        <f aca="false">+IF(E927=0,0,E927*0.03)</f>
        <v>0</v>
      </c>
    </row>
    <row r="928" customFormat="false" ht="15.75" hidden="false" customHeight="true" outlineLevel="0" collapsed="false">
      <c r="A928" s="30" t="n">
        <v>46304</v>
      </c>
      <c r="B928" s="31" t="s">
        <v>7</v>
      </c>
      <c r="C928" s="32"/>
      <c r="D928" s="32"/>
      <c r="E928" s="19" t="n">
        <f aca="false">+F928*0.03</f>
        <v>0</v>
      </c>
      <c r="F928" s="33" t="n">
        <v>0</v>
      </c>
      <c r="G928" s="62"/>
      <c r="H928" s="35" t="n">
        <v>0</v>
      </c>
      <c r="I928" s="34" t="n">
        <f aca="false">+IF(E928=0,0,E928*0.03)</f>
        <v>0</v>
      </c>
    </row>
    <row r="929" customFormat="false" ht="15.75" hidden="false" customHeight="true" outlineLevel="0" collapsed="false">
      <c r="A929" s="30" t="n">
        <v>46305</v>
      </c>
      <c r="B929" s="31" t="s">
        <v>7</v>
      </c>
      <c r="C929" s="32"/>
      <c r="D929" s="32"/>
      <c r="E929" s="19" t="n">
        <f aca="false">+F929*0.03</f>
        <v>0</v>
      </c>
      <c r="F929" s="33" t="n">
        <v>0</v>
      </c>
      <c r="G929" s="62"/>
      <c r="H929" s="35" t="n">
        <v>0</v>
      </c>
      <c r="I929" s="34" t="n">
        <f aca="false">+IF(E929=0,0,E929*0.03)</f>
        <v>0</v>
      </c>
    </row>
    <row r="930" customFormat="false" ht="15.75" hidden="false" customHeight="true" outlineLevel="0" collapsed="false">
      <c r="A930" s="30" t="n">
        <v>46306</v>
      </c>
      <c r="B930" s="31" t="s">
        <v>7</v>
      </c>
      <c r="C930" s="32"/>
      <c r="D930" s="32"/>
      <c r="E930" s="19" t="n">
        <f aca="false">+F930*0.03</f>
        <v>0</v>
      </c>
      <c r="F930" s="33" t="n">
        <v>0</v>
      </c>
      <c r="G930" s="62"/>
      <c r="H930" s="35" t="n">
        <v>0</v>
      </c>
      <c r="I930" s="34" t="n">
        <f aca="false">+IF(E930=0,0,E930*0.03)</f>
        <v>0</v>
      </c>
    </row>
    <row r="931" customFormat="false" ht="15.75" hidden="false" customHeight="true" outlineLevel="0" collapsed="false">
      <c r="A931" s="30" t="n">
        <v>46307</v>
      </c>
      <c r="B931" s="31" t="s">
        <v>7</v>
      </c>
      <c r="C931" s="32"/>
      <c r="D931" s="32"/>
      <c r="E931" s="19" t="n">
        <f aca="false">+F931*0.03</f>
        <v>0</v>
      </c>
      <c r="F931" s="33" t="n">
        <v>0</v>
      </c>
      <c r="G931" s="62"/>
      <c r="H931" s="35" t="n">
        <v>0</v>
      </c>
      <c r="I931" s="34" t="n">
        <f aca="false">+IF(E931=0,0,E931*0.03)</f>
        <v>0</v>
      </c>
    </row>
    <row r="932" customFormat="false" ht="15.75" hidden="false" customHeight="true" outlineLevel="0" collapsed="false">
      <c r="A932" s="30" t="n">
        <v>46308</v>
      </c>
      <c r="B932" s="31" t="s">
        <v>7</v>
      </c>
      <c r="C932" s="32"/>
      <c r="D932" s="32"/>
      <c r="E932" s="19" t="n">
        <f aca="false">+F932*0.03</f>
        <v>0</v>
      </c>
      <c r="F932" s="33" t="n">
        <v>0</v>
      </c>
      <c r="G932" s="62"/>
      <c r="H932" s="35" t="n">
        <v>0</v>
      </c>
      <c r="I932" s="34" t="n">
        <f aca="false">+IF(E932=0,0,E932*0.03)</f>
        <v>0</v>
      </c>
    </row>
    <row r="933" customFormat="false" ht="15.75" hidden="false" customHeight="true" outlineLevel="0" collapsed="false">
      <c r="A933" s="30" t="n">
        <v>46309</v>
      </c>
      <c r="B933" s="31" t="s">
        <v>7</v>
      </c>
      <c r="C933" s="32"/>
      <c r="D933" s="32"/>
      <c r="E933" s="19" t="n">
        <f aca="false">+F933*0.03</f>
        <v>0</v>
      </c>
      <c r="F933" s="33" t="n">
        <v>0</v>
      </c>
      <c r="G933" s="62"/>
      <c r="H933" s="35" t="n">
        <v>0</v>
      </c>
      <c r="I933" s="34" t="n">
        <f aca="false">+IF(E933=0,0,E933*0.03)</f>
        <v>0</v>
      </c>
    </row>
    <row r="934" customFormat="false" ht="15.75" hidden="false" customHeight="true" outlineLevel="0" collapsed="false">
      <c r="A934" s="30" t="n">
        <v>46310</v>
      </c>
      <c r="B934" s="31" t="s">
        <v>7</v>
      </c>
      <c r="C934" s="32"/>
      <c r="D934" s="32"/>
      <c r="E934" s="19" t="n">
        <f aca="false">+F934*0.03</f>
        <v>0</v>
      </c>
      <c r="F934" s="33" t="n">
        <v>0</v>
      </c>
      <c r="G934" s="62"/>
      <c r="H934" s="35" t="n">
        <v>0</v>
      </c>
      <c r="I934" s="34" t="n">
        <f aca="false">+IF(E934=0,0,E934*0.03)</f>
        <v>0</v>
      </c>
    </row>
    <row r="935" customFormat="false" ht="15.75" hidden="false" customHeight="true" outlineLevel="0" collapsed="false">
      <c r="A935" s="30" t="n">
        <v>46311</v>
      </c>
      <c r="B935" s="31" t="s">
        <v>7</v>
      </c>
      <c r="C935" s="32"/>
      <c r="D935" s="32"/>
      <c r="E935" s="19" t="n">
        <f aca="false">+F935*0.03</f>
        <v>0</v>
      </c>
      <c r="F935" s="33" t="n">
        <v>0</v>
      </c>
      <c r="G935" s="62"/>
      <c r="H935" s="35" t="n">
        <v>0</v>
      </c>
      <c r="I935" s="34" t="n">
        <f aca="false">+IF(E935=0,0,E935*0.03)</f>
        <v>0</v>
      </c>
    </row>
    <row r="936" customFormat="false" ht="15.75" hidden="false" customHeight="true" outlineLevel="0" collapsed="false">
      <c r="A936" s="30" t="n">
        <v>46312</v>
      </c>
      <c r="B936" s="31" t="s">
        <v>7</v>
      </c>
      <c r="C936" s="32"/>
      <c r="D936" s="32"/>
      <c r="E936" s="19" t="n">
        <f aca="false">+F936*0.03</f>
        <v>0</v>
      </c>
      <c r="F936" s="33" t="n">
        <v>0</v>
      </c>
      <c r="G936" s="62"/>
      <c r="H936" s="35" t="n">
        <v>0</v>
      </c>
      <c r="I936" s="34" t="n">
        <f aca="false">+IF(E936=0,0,E936*0.03)</f>
        <v>0</v>
      </c>
    </row>
    <row r="937" customFormat="false" ht="15.75" hidden="false" customHeight="true" outlineLevel="0" collapsed="false">
      <c r="A937" s="30" t="n">
        <v>46313</v>
      </c>
      <c r="B937" s="31" t="s">
        <v>7</v>
      </c>
      <c r="C937" s="32"/>
      <c r="D937" s="32"/>
      <c r="E937" s="19" t="n">
        <f aca="false">+F937*0.03</f>
        <v>0</v>
      </c>
      <c r="F937" s="33" t="n">
        <v>0</v>
      </c>
      <c r="G937" s="62"/>
      <c r="H937" s="35" t="n">
        <v>0</v>
      </c>
      <c r="I937" s="34" t="n">
        <f aca="false">+IF(E937=0,0,E937*0.03)</f>
        <v>0</v>
      </c>
    </row>
    <row r="938" customFormat="false" ht="15.75" hidden="false" customHeight="true" outlineLevel="0" collapsed="false">
      <c r="A938" s="30" t="n">
        <v>46314</v>
      </c>
      <c r="B938" s="31" t="s">
        <v>7</v>
      </c>
      <c r="C938" s="32"/>
      <c r="D938" s="32"/>
      <c r="E938" s="19" t="n">
        <f aca="false">+F938*0.03</f>
        <v>0</v>
      </c>
      <c r="F938" s="33" t="n">
        <v>0</v>
      </c>
      <c r="G938" s="62"/>
      <c r="H938" s="35" t="n">
        <v>0</v>
      </c>
      <c r="I938" s="34" t="n">
        <f aca="false">+IF(E938=0,0,E938*0.03)</f>
        <v>0</v>
      </c>
    </row>
    <row r="939" customFormat="false" ht="15.75" hidden="false" customHeight="true" outlineLevel="0" collapsed="false">
      <c r="A939" s="30" t="n">
        <v>46315</v>
      </c>
      <c r="B939" s="31" t="s">
        <v>7</v>
      </c>
      <c r="C939" s="32"/>
      <c r="D939" s="32"/>
      <c r="E939" s="19" t="n">
        <f aca="false">+F939*0.03</f>
        <v>0</v>
      </c>
      <c r="F939" s="33" t="n">
        <v>0</v>
      </c>
      <c r="G939" s="62"/>
      <c r="H939" s="35" t="n">
        <v>0</v>
      </c>
      <c r="I939" s="34" t="n">
        <f aca="false">+IF(E939=0,0,E939*0.03)</f>
        <v>0</v>
      </c>
    </row>
    <row r="940" customFormat="false" ht="15.75" hidden="false" customHeight="true" outlineLevel="0" collapsed="false">
      <c r="A940" s="30" t="n">
        <v>46316</v>
      </c>
      <c r="B940" s="31" t="s">
        <v>7</v>
      </c>
      <c r="C940" s="32"/>
      <c r="D940" s="32"/>
      <c r="E940" s="19" t="n">
        <f aca="false">+F940*0.03</f>
        <v>0</v>
      </c>
      <c r="F940" s="33" t="n">
        <v>0</v>
      </c>
      <c r="G940" s="62"/>
      <c r="H940" s="35" t="n">
        <v>0</v>
      </c>
      <c r="I940" s="34" t="n">
        <f aca="false">+IF(E940=0,0,E940*0.03)</f>
        <v>0</v>
      </c>
    </row>
    <row r="941" customFormat="false" ht="15.75" hidden="false" customHeight="true" outlineLevel="0" collapsed="false">
      <c r="A941" s="30" t="n">
        <v>46317</v>
      </c>
      <c r="B941" s="31" t="s">
        <v>7</v>
      </c>
      <c r="C941" s="32"/>
      <c r="D941" s="32"/>
      <c r="E941" s="19" t="n">
        <f aca="false">+F941*0.03</f>
        <v>0</v>
      </c>
      <c r="F941" s="33" t="n">
        <v>0</v>
      </c>
      <c r="G941" s="62"/>
      <c r="H941" s="35" t="n">
        <v>0</v>
      </c>
      <c r="I941" s="34" t="n">
        <f aca="false">+IF(E941=0,0,E941*0.03)</f>
        <v>0</v>
      </c>
    </row>
    <row r="942" customFormat="false" ht="15.75" hidden="false" customHeight="true" outlineLevel="0" collapsed="false">
      <c r="A942" s="30" t="n">
        <v>46318</v>
      </c>
      <c r="B942" s="31" t="s">
        <v>7</v>
      </c>
      <c r="C942" s="32"/>
      <c r="D942" s="32"/>
      <c r="E942" s="19" t="n">
        <f aca="false">+F942*0.03</f>
        <v>0</v>
      </c>
      <c r="F942" s="33" t="n">
        <v>0</v>
      </c>
      <c r="G942" s="62"/>
      <c r="H942" s="35" t="n">
        <v>0</v>
      </c>
      <c r="I942" s="34" t="n">
        <f aca="false">+IF(E942=0,0,E942*0.03)</f>
        <v>0</v>
      </c>
    </row>
    <row r="943" customFormat="false" ht="15.75" hidden="false" customHeight="true" outlineLevel="0" collapsed="false">
      <c r="A943" s="30" t="n">
        <v>46319</v>
      </c>
      <c r="B943" s="31" t="s">
        <v>7</v>
      </c>
      <c r="C943" s="32"/>
      <c r="D943" s="32"/>
      <c r="E943" s="19" t="n">
        <f aca="false">+F943*0.03</f>
        <v>0</v>
      </c>
      <c r="F943" s="33" t="n">
        <v>0</v>
      </c>
      <c r="G943" s="62"/>
      <c r="H943" s="35" t="n">
        <v>0</v>
      </c>
      <c r="I943" s="34" t="n">
        <f aca="false">+IF(E943=0,0,E943*0.03)</f>
        <v>0</v>
      </c>
    </row>
    <row r="944" customFormat="false" ht="15.75" hidden="false" customHeight="true" outlineLevel="0" collapsed="false">
      <c r="A944" s="30" t="n">
        <v>46320</v>
      </c>
      <c r="B944" s="31" t="s">
        <v>7</v>
      </c>
      <c r="C944" s="32"/>
      <c r="D944" s="32"/>
      <c r="E944" s="19" t="n">
        <f aca="false">+F944*0.03</f>
        <v>0</v>
      </c>
      <c r="F944" s="33" t="n">
        <v>0</v>
      </c>
      <c r="G944" s="62"/>
      <c r="H944" s="35" t="n">
        <v>0</v>
      </c>
      <c r="I944" s="34" t="n">
        <f aca="false">+IF(E944=0,0,E944*0.03)</f>
        <v>0</v>
      </c>
    </row>
    <row r="945" customFormat="false" ht="15.75" hidden="false" customHeight="true" outlineLevel="0" collapsed="false">
      <c r="A945" s="30" t="n">
        <v>46321</v>
      </c>
      <c r="B945" s="31" t="s">
        <v>7</v>
      </c>
      <c r="C945" s="32"/>
      <c r="D945" s="32"/>
      <c r="E945" s="19" t="n">
        <f aca="false">+F945*0.03</f>
        <v>0</v>
      </c>
      <c r="F945" s="33" t="n">
        <v>0</v>
      </c>
      <c r="G945" s="62"/>
      <c r="H945" s="35" t="n">
        <v>0</v>
      </c>
      <c r="I945" s="34" t="n">
        <f aca="false">+IF(E945=0,0,E945*0.03)</f>
        <v>0</v>
      </c>
    </row>
    <row r="946" customFormat="false" ht="15.75" hidden="false" customHeight="true" outlineLevel="0" collapsed="false">
      <c r="A946" s="30" t="n">
        <v>46322</v>
      </c>
      <c r="B946" s="31" t="s">
        <v>7</v>
      </c>
      <c r="C946" s="32"/>
      <c r="D946" s="32"/>
      <c r="E946" s="19" t="n">
        <f aca="false">+F946*0.03</f>
        <v>0</v>
      </c>
      <c r="F946" s="33" t="n">
        <v>0</v>
      </c>
      <c r="G946" s="62"/>
      <c r="H946" s="35" t="n">
        <v>0</v>
      </c>
      <c r="I946" s="34" t="n">
        <f aca="false">+IF(E946=0,0,E946*0.03)</f>
        <v>0</v>
      </c>
    </row>
    <row r="947" customFormat="false" ht="15.75" hidden="false" customHeight="true" outlineLevel="0" collapsed="false">
      <c r="A947" s="30" t="n">
        <v>46323</v>
      </c>
      <c r="B947" s="31" t="s">
        <v>7</v>
      </c>
      <c r="C947" s="32"/>
      <c r="D947" s="32"/>
      <c r="E947" s="19" t="n">
        <f aca="false">+F947*0.03</f>
        <v>0</v>
      </c>
      <c r="F947" s="33" t="n">
        <v>0</v>
      </c>
      <c r="G947" s="62"/>
      <c r="H947" s="35" t="n">
        <v>0</v>
      </c>
      <c r="I947" s="34" t="n">
        <f aca="false">+IF(E947=0,0,E947*0.03)</f>
        <v>0</v>
      </c>
    </row>
    <row r="948" customFormat="false" ht="15.75" hidden="false" customHeight="true" outlineLevel="0" collapsed="false">
      <c r="A948" s="30" t="n">
        <v>46324</v>
      </c>
      <c r="B948" s="31" t="s">
        <v>7</v>
      </c>
      <c r="C948" s="32"/>
      <c r="D948" s="32"/>
      <c r="E948" s="19" t="n">
        <f aca="false">+F948*0.03</f>
        <v>0</v>
      </c>
      <c r="F948" s="33" t="n">
        <v>0</v>
      </c>
      <c r="G948" s="62"/>
      <c r="H948" s="35" t="n">
        <v>0</v>
      </c>
      <c r="I948" s="34" t="n">
        <f aca="false">+IF(E948=0,0,E948*0.03)</f>
        <v>0</v>
      </c>
    </row>
    <row r="949" customFormat="false" ht="15.75" hidden="false" customHeight="true" outlineLevel="0" collapsed="false">
      <c r="A949" s="30" t="n">
        <v>46325</v>
      </c>
      <c r="B949" s="31" t="s">
        <v>7</v>
      </c>
      <c r="C949" s="32"/>
      <c r="D949" s="32"/>
      <c r="E949" s="19" t="n">
        <f aca="false">+F949*0.03</f>
        <v>0</v>
      </c>
      <c r="F949" s="33" t="n">
        <v>0</v>
      </c>
      <c r="G949" s="62"/>
      <c r="H949" s="35" t="n">
        <v>0</v>
      </c>
      <c r="I949" s="34" t="n">
        <f aca="false">+IF(E949=0,0,E949*0.03)</f>
        <v>0</v>
      </c>
    </row>
    <row r="950" customFormat="false" ht="15.75" hidden="false" customHeight="true" outlineLevel="0" collapsed="false">
      <c r="A950" s="30" t="n">
        <v>46326</v>
      </c>
      <c r="B950" s="31" t="s">
        <v>7</v>
      </c>
      <c r="C950" s="32"/>
      <c r="D950" s="32"/>
      <c r="E950" s="19" t="n">
        <f aca="false">+F950*0.03</f>
        <v>0</v>
      </c>
      <c r="F950" s="33" t="n">
        <v>0</v>
      </c>
      <c r="G950" s="62"/>
      <c r="H950" s="35" t="n">
        <v>0</v>
      </c>
      <c r="I950" s="34" t="n">
        <f aca="false">+IF(E950=0,0,E950*0.03)</f>
        <v>0</v>
      </c>
    </row>
    <row r="951" customFormat="false" ht="15.75" hidden="false" customHeight="true" outlineLevel="0" collapsed="false">
      <c r="A951" s="30" t="n">
        <v>46327</v>
      </c>
      <c r="B951" s="31" t="s">
        <v>7</v>
      </c>
      <c r="C951" s="32"/>
      <c r="D951" s="32"/>
      <c r="E951" s="19" t="n">
        <f aca="false">+F951*0.03</f>
        <v>0</v>
      </c>
      <c r="F951" s="33" t="n">
        <v>0</v>
      </c>
      <c r="G951" s="62"/>
      <c r="H951" s="35" t="n">
        <v>0</v>
      </c>
      <c r="I951" s="34" t="n">
        <f aca="false">+IF(E951=0,0,E951*0.03)</f>
        <v>0</v>
      </c>
    </row>
    <row r="952" customFormat="false" ht="15.75" hidden="false" customHeight="true" outlineLevel="0" collapsed="false">
      <c r="A952" s="30" t="n">
        <v>46328</v>
      </c>
      <c r="B952" s="31" t="s">
        <v>7</v>
      </c>
      <c r="C952" s="32"/>
      <c r="D952" s="32"/>
      <c r="E952" s="19" t="n">
        <f aca="false">+F952*0.03</f>
        <v>0</v>
      </c>
      <c r="F952" s="33" t="n">
        <v>0</v>
      </c>
      <c r="G952" s="62"/>
      <c r="H952" s="35" t="n">
        <v>0</v>
      </c>
      <c r="I952" s="34" t="n">
        <f aca="false">+IF(E952=0,0,E952*0.03)</f>
        <v>0</v>
      </c>
    </row>
    <row r="953" customFormat="false" ht="15.75" hidden="false" customHeight="true" outlineLevel="0" collapsed="false">
      <c r="A953" s="30" t="n">
        <v>46329</v>
      </c>
      <c r="B953" s="31" t="s">
        <v>7</v>
      </c>
      <c r="C953" s="32"/>
      <c r="D953" s="32"/>
      <c r="E953" s="19" t="n">
        <f aca="false">+F953*0.03</f>
        <v>0</v>
      </c>
      <c r="F953" s="33" t="n">
        <v>0</v>
      </c>
      <c r="G953" s="62"/>
      <c r="H953" s="35" t="n">
        <v>0</v>
      </c>
      <c r="I953" s="34" t="n">
        <f aca="false">+IF(E953=0,0,E953*0.03)</f>
        <v>0</v>
      </c>
    </row>
    <row r="954" customFormat="false" ht="15.75" hidden="false" customHeight="true" outlineLevel="0" collapsed="false">
      <c r="A954" s="30" t="n">
        <v>46330</v>
      </c>
      <c r="B954" s="31" t="s">
        <v>7</v>
      </c>
      <c r="C954" s="32"/>
      <c r="D954" s="32"/>
      <c r="E954" s="19" t="n">
        <f aca="false">+F954*0.03</f>
        <v>0</v>
      </c>
      <c r="F954" s="33" t="n">
        <v>0</v>
      </c>
      <c r="G954" s="62"/>
      <c r="H954" s="35" t="n">
        <v>0</v>
      </c>
      <c r="I954" s="34" t="n">
        <f aca="false">+IF(E954=0,0,E954*0.03)</f>
        <v>0</v>
      </c>
    </row>
    <row r="955" customFormat="false" ht="15.75" hidden="false" customHeight="true" outlineLevel="0" collapsed="false">
      <c r="A955" s="30" t="n">
        <v>46331</v>
      </c>
      <c r="B955" s="31" t="s">
        <v>7</v>
      </c>
      <c r="C955" s="32"/>
      <c r="D955" s="32"/>
      <c r="E955" s="19" t="n">
        <f aca="false">+F955*0.03</f>
        <v>0</v>
      </c>
      <c r="F955" s="33" t="n">
        <v>0</v>
      </c>
      <c r="G955" s="62"/>
      <c r="H955" s="35" t="n">
        <v>0</v>
      </c>
      <c r="I955" s="34" t="n">
        <f aca="false">+IF(E955=0,0,E955*0.03)</f>
        <v>0</v>
      </c>
    </row>
    <row r="956" customFormat="false" ht="15.75" hidden="false" customHeight="true" outlineLevel="0" collapsed="false">
      <c r="A956" s="30" t="n">
        <v>46332</v>
      </c>
      <c r="B956" s="31" t="s">
        <v>7</v>
      </c>
      <c r="C956" s="32"/>
      <c r="D956" s="32"/>
      <c r="E956" s="19" t="n">
        <f aca="false">+F956*0.03</f>
        <v>0</v>
      </c>
      <c r="F956" s="33" t="n">
        <v>0</v>
      </c>
      <c r="G956" s="62"/>
      <c r="H956" s="35" t="n">
        <v>0</v>
      </c>
      <c r="I956" s="34" t="n">
        <f aca="false">+IF(E956=0,0,E956*0.03)</f>
        <v>0</v>
      </c>
    </row>
    <row r="957" customFormat="false" ht="15.75" hidden="false" customHeight="true" outlineLevel="0" collapsed="false">
      <c r="A957" s="30" t="n">
        <v>46333</v>
      </c>
      <c r="B957" s="31" t="s">
        <v>7</v>
      </c>
      <c r="C957" s="32"/>
      <c r="D957" s="32"/>
      <c r="E957" s="19" t="n">
        <f aca="false">+F957*0.03</f>
        <v>0</v>
      </c>
      <c r="F957" s="33" t="n">
        <v>0</v>
      </c>
      <c r="G957" s="62"/>
      <c r="H957" s="35" t="n">
        <v>0</v>
      </c>
      <c r="I957" s="34" t="n">
        <f aca="false">+IF(E957=0,0,E957*0.03)</f>
        <v>0</v>
      </c>
    </row>
    <row r="958" customFormat="false" ht="15.75" hidden="false" customHeight="true" outlineLevel="0" collapsed="false">
      <c r="A958" s="30" t="n">
        <v>46334</v>
      </c>
      <c r="B958" s="31" t="s">
        <v>7</v>
      </c>
      <c r="C958" s="32"/>
      <c r="D958" s="32"/>
      <c r="E958" s="19" t="n">
        <f aca="false">+F958*0.03</f>
        <v>0</v>
      </c>
      <c r="F958" s="33" t="n">
        <v>0</v>
      </c>
      <c r="G958" s="62"/>
      <c r="H958" s="35" t="n">
        <v>0</v>
      </c>
      <c r="I958" s="34" t="n">
        <f aca="false">+IF(E958=0,0,E958*0.03)</f>
        <v>0</v>
      </c>
    </row>
    <row r="959" customFormat="false" ht="15.75" hidden="false" customHeight="true" outlineLevel="0" collapsed="false">
      <c r="A959" s="30" t="n">
        <v>46335</v>
      </c>
      <c r="B959" s="31" t="s">
        <v>7</v>
      </c>
      <c r="C959" s="32"/>
      <c r="D959" s="32"/>
      <c r="E959" s="19" t="n">
        <f aca="false">+F959*0.03</f>
        <v>0</v>
      </c>
      <c r="F959" s="33" t="n">
        <v>0</v>
      </c>
      <c r="G959" s="62"/>
      <c r="H959" s="35" t="n">
        <v>0</v>
      </c>
      <c r="I959" s="34" t="n">
        <f aca="false">+IF(E959=0,0,E959*0.03)</f>
        <v>0</v>
      </c>
    </row>
    <row r="960" customFormat="false" ht="15.75" hidden="false" customHeight="true" outlineLevel="0" collapsed="false">
      <c r="A960" s="30" t="n">
        <v>46336</v>
      </c>
      <c r="B960" s="31" t="s">
        <v>7</v>
      </c>
      <c r="C960" s="32"/>
      <c r="D960" s="32"/>
      <c r="E960" s="19" t="n">
        <f aca="false">+F960*0.03</f>
        <v>0</v>
      </c>
      <c r="F960" s="33" t="n">
        <v>0</v>
      </c>
      <c r="G960" s="62"/>
      <c r="H960" s="35" t="n">
        <v>0</v>
      </c>
      <c r="I960" s="34" t="n">
        <f aca="false">+IF(E960=0,0,E960*0.03)</f>
        <v>0</v>
      </c>
    </row>
    <row r="961" customFormat="false" ht="15.75" hidden="false" customHeight="true" outlineLevel="0" collapsed="false">
      <c r="A961" s="30" t="n">
        <v>46337</v>
      </c>
      <c r="B961" s="31" t="s">
        <v>7</v>
      </c>
      <c r="C961" s="32"/>
      <c r="D961" s="32"/>
      <c r="E961" s="19" t="n">
        <f aca="false">+F961*0.03</f>
        <v>0</v>
      </c>
      <c r="F961" s="33" t="n">
        <v>0</v>
      </c>
      <c r="G961" s="62"/>
      <c r="H961" s="35" t="n">
        <v>0</v>
      </c>
      <c r="I961" s="34" t="n">
        <f aca="false">+IF(E961=0,0,E961*0.03)</f>
        <v>0</v>
      </c>
    </row>
    <row r="962" customFormat="false" ht="15.75" hidden="false" customHeight="true" outlineLevel="0" collapsed="false">
      <c r="A962" s="30" t="n">
        <v>46338</v>
      </c>
      <c r="B962" s="31" t="s">
        <v>7</v>
      </c>
      <c r="C962" s="32"/>
      <c r="D962" s="32"/>
      <c r="E962" s="19" t="n">
        <f aca="false">+F962*0.03</f>
        <v>0</v>
      </c>
      <c r="F962" s="33" t="n">
        <v>0</v>
      </c>
      <c r="G962" s="62"/>
      <c r="H962" s="35" t="n">
        <v>0</v>
      </c>
      <c r="I962" s="34" t="n">
        <f aca="false">+IF(E962=0,0,E962*0.03)</f>
        <v>0</v>
      </c>
    </row>
    <row r="963" customFormat="false" ht="15.75" hidden="false" customHeight="true" outlineLevel="0" collapsed="false">
      <c r="A963" s="30" t="n">
        <v>46339</v>
      </c>
      <c r="B963" s="31" t="s">
        <v>7</v>
      </c>
      <c r="C963" s="32"/>
      <c r="D963" s="32"/>
      <c r="E963" s="19" t="n">
        <f aca="false">+F963*0.03</f>
        <v>0</v>
      </c>
      <c r="F963" s="33" t="n">
        <v>0</v>
      </c>
      <c r="G963" s="62"/>
      <c r="H963" s="35" t="n">
        <v>0</v>
      </c>
      <c r="I963" s="34" t="n">
        <f aca="false">+IF(E963=0,0,E963*0.03)</f>
        <v>0</v>
      </c>
    </row>
    <row r="964" customFormat="false" ht="15.75" hidden="false" customHeight="true" outlineLevel="0" collapsed="false">
      <c r="A964" s="30" t="n">
        <v>46340</v>
      </c>
      <c r="B964" s="31" t="s">
        <v>7</v>
      </c>
      <c r="C964" s="32"/>
      <c r="D964" s="32"/>
      <c r="E964" s="19" t="n">
        <f aca="false">+F964*0.03</f>
        <v>0</v>
      </c>
      <c r="F964" s="33" t="n">
        <v>0</v>
      </c>
      <c r="G964" s="62"/>
      <c r="H964" s="35" t="n">
        <v>0</v>
      </c>
      <c r="I964" s="34" t="n">
        <f aca="false">+IF(E964=0,0,E964*0.03)</f>
        <v>0</v>
      </c>
    </row>
    <row r="965" customFormat="false" ht="15.75" hidden="false" customHeight="true" outlineLevel="0" collapsed="false">
      <c r="A965" s="30" t="n">
        <v>46341</v>
      </c>
      <c r="B965" s="31" t="s">
        <v>7</v>
      </c>
      <c r="C965" s="32"/>
      <c r="D965" s="32"/>
      <c r="E965" s="19" t="n">
        <f aca="false">+F965*0.03</f>
        <v>0</v>
      </c>
      <c r="F965" s="33" t="n">
        <v>0</v>
      </c>
      <c r="G965" s="62"/>
      <c r="H965" s="35" t="n">
        <v>0</v>
      </c>
      <c r="I965" s="34" t="n">
        <f aca="false">+IF(E965=0,0,E965*0.03)</f>
        <v>0</v>
      </c>
    </row>
    <row r="966" customFormat="false" ht="15.75" hidden="false" customHeight="true" outlineLevel="0" collapsed="false">
      <c r="A966" s="30" t="n">
        <v>46342</v>
      </c>
      <c r="B966" s="31" t="s">
        <v>7</v>
      </c>
      <c r="C966" s="32"/>
      <c r="D966" s="32"/>
      <c r="E966" s="19" t="n">
        <f aca="false">+F966*0.03</f>
        <v>0</v>
      </c>
      <c r="F966" s="33" t="n">
        <v>0</v>
      </c>
      <c r="G966" s="62"/>
      <c r="H966" s="35" t="n">
        <v>0</v>
      </c>
      <c r="I966" s="34" t="n">
        <f aca="false">+IF(E966=0,0,E966*0.03)</f>
        <v>0</v>
      </c>
    </row>
    <row r="967" customFormat="false" ht="15.75" hidden="false" customHeight="true" outlineLevel="0" collapsed="false">
      <c r="A967" s="30" t="n">
        <v>46343</v>
      </c>
      <c r="B967" s="31" t="s">
        <v>7</v>
      </c>
      <c r="C967" s="32"/>
      <c r="D967" s="32"/>
      <c r="E967" s="19" t="n">
        <f aca="false">+F967*0.03</f>
        <v>0</v>
      </c>
      <c r="F967" s="33" t="n">
        <v>0</v>
      </c>
      <c r="G967" s="62"/>
      <c r="H967" s="35" t="n">
        <v>0</v>
      </c>
      <c r="I967" s="34" t="n">
        <f aca="false">+IF(E967=0,0,E967*0.03)</f>
        <v>0</v>
      </c>
    </row>
    <row r="968" customFormat="false" ht="15.75" hidden="false" customHeight="true" outlineLevel="0" collapsed="false">
      <c r="A968" s="30" t="n">
        <v>46344</v>
      </c>
      <c r="B968" s="31" t="s">
        <v>7</v>
      </c>
      <c r="C968" s="32"/>
      <c r="D968" s="32"/>
      <c r="E968" s="19" t="n">
        <f aca="false">+F968*0.03</f>
        <v>0</v>
      </c>
      <c r="F968" s="33" t="n">
        <v>0</v>
      </c>
      <c r="G968" s="62"/>
      <c r="H968" s="35" t="n">
        <v>0</v>
      </c>
      <c r="I968" s="34" t="n">
        <f aca="false">+IF(E968=0,0,E968*0.03)</f>
        <v>0</v>
      </c>
    </row>
    <row r="969" customFormat="false" ht="15.75" hidden="false" customHeight="true" outlineLevel="0" collapsed="false">
      <c r="A969" s="30" t="n">
        <v>46345</v>
      </c>
      <c r="B969" s="31" t="s">
        <v>7</v>
      </c>
      <c r="C969" s="32"/>
      <c r="D969" s="32"/>
      <c r="E969" s="19" t="n">
        <f aca="false">+F969*0.03</f>
        <v>0</v>
      </c>
      <c r="F969" s="33" t="n">
        <v>0</v>
      </c>
      <c r="G969" s="62"/>
      <c r="H969" s="35" t="n">
        <v>0</v>
      </c>
      <c r="I969" s="34" t="n">
        <f aca="false">+IF(E969=0,0,E969*0.03)</f>
        <v>0</v>
      </c>
    </row>
    <row r="970" customFormat="false" ht="15.75" hidden="false" customHeight="true" outlineLevel="0" collapsed="false">
      <c r="A970" s="30" t="n">
        <v>46346</v>
      </c>
      <c r="B970" s="31" t="s">
        <v>7</v>
      </c>
      <c r="C970" s="32"/>
      <c r="D970" s="32"/>
      <c r="E970" s="19" t="n">
        <f aca="false">+F970*0.03</f>
        <v>0</v>
      </c>
      <c r="F970" s="33" t="n">
        <v>0</v>
      </c>
      <c r="G970" s="62"/>
      <c r="H970" s="35" t="n">
        <v>0</v>
      </c>
      <c r="I970" s="34" t="n">
        <f aca="false">+IF(E970=0,0,E970*0.03)</f>
        <v>0</v>
      </c>
    </row>
    <row r="971" customFormat="false" ht="15.75" hidden="false" customHeight="true" outlineLevel="0" collapsed="false">
      <c r="A971" s="30" t="n">
        <v>46347</v>
      </c>
      <c r="B971" s="31" t="s">
        <v>7</v>
      </c>
      <c r="C971" s="32"/>
      <c r="D971" s="32"/>
      <c r="E971" s="19" t="n">
        <f aca="false">+F971*0.03</f>
        <v>0</v>
      </c>
      <c r="F971" s="33" t="n">
        <v>0</v>
      </c>
      <c r="G971" s="62"/>
      <c r="H971" s="35" t="n">
        <v>0</v>
      </c>
      <c r="I971" s="34" t="n">
        <f aca="false">+IF(E971=0,0,E971*0.03)</f>
        <v>0</v>
      </c>
    </row>
    <row r="972" customFormat="false" ht="15.75" hidden="false" customHeight="true" outlineLevel="0" collapsed="false">
      <c r="A972" s="30" t="n">
        <v>46348</v>
      </c>
      <c r="B972" s="31" t="s">
        <v>7</v>
      </c>
      <c r="C972" s="32"/>
      <c r="D972" s="32"/>
      <c r="E972" s="19" t="n">
        <f aca="false">+F972*0.03</f>
        <v>0</v>
      </c>
      <c r="F972" s="33" t="n">
        <v>0</v>
      </c>
      <c r="G972" s="62"/>
      <c r="H972" s="35" t="n">
        <v>0</v>
      </c>
      <c r="I972" s="34" t="n">
        <f aca="false">+IF(E972=0,0,E972*0.03)</f>
        <v>0</v>
      </c>
    </row>
    <row r="973" customFormat="false" ht="15.75" hidden="false" customHeight="true" outlineLevel="0" collapsed="false">
      <c r="A973" s="30" t="n">
        <v>46349</v>
      </c>
      <c r="B973" s="31" t="s">
        <v>7</v>
      </c>
      <c r="C973" s="32"/>
      <c r="D973" s="32"/>
      <c r="E973" s="19" t="n">
        <f aca="false">+F973*0.03</f>
        <v>0</v>
      </c>
      <c r="F973" s="33" t="n">
        <v>0</v>
      </c>
      <c r="G973" s="62"/>
      <c r="H973" s="35" t="n">
        <v>0</v>
      </c>
      <c r="I973" s="34" t="n">
        <f aca="false">+IF(E973=0,0,E973*0.03)</f>
        <v>0</v>
      </c>
    </row>
    <row r="974" customFormat="false" ht="15.75" hidden="false" customHeight="true" outlineLevel="0" collapsed="false">
      <c r="A974" s="30" t="n">
        <v>46350</v>
      </c>
      <c r="B974" s="31" t="s">
        <v>7</v>
      </c>
      <c r="C974" s="32"/>
      <c r="D974" s="32"/>
      <c r="E974" s="19" t="n">
        <f aca="false">+F974*0.03</f>
        <v>0</v>
      </c>
      <c r="F974" s="33" t="n">
        <v>0</v>
      </c>
      <c r="G974" s="62"/>
      <c r="H974" s="35" t="n">
        <v>0</v>
      </c>
      <c r="I974" s="34" t="n">
        <f aca="false">+IF(E974=0,0,E974*0.03)</f>
        <v>0</v>
      </c>
    </row>
    <row r="975" customFormat="false" ht="15.75" hidden="false" customHeight="true" outlineLevel="0" collapsed="false">
      <c r="A975" s="30" t="n">
        <v>46351</v>
      </c>
      <c r="B975" s="31" t="s">
        <v>7</v>
      </c>
      <c r="C975" s="32"/>
      <c r="D975" s="32"/>
      <c r="E975" s="19" t="n">
        <f aca="false">+F975*0.03</f>
        <v>0</v>
      </c>
      <c r="F975" s="33" t="n">
        <v>0</v>
      </c>
      <c r="G975" s="62"/>
      <c r="H975" s="35" t="n">
        <v>0</v>
      </c>
      <c r="I975" s="34" t="n">
        <f aca="false">+IF(E975=0,0,E975*0.03)</f>
        <v>0</v>
      </c>
    </row>
    <row r="976" customFormat="false" ht="15.75" hidden="false" customHeight="true" outlineLevel="0" collapsed="false">
      <c r="A976" s="30" t="n">
        <v>46352</v>
      </c>
      <c r="B976" s="31" t="s">
        <v>7</v>
      </c>
      <c r="C976" s="32"/>
      <c r="D976" s="32"/>
      <c r="E976" s="19" t="n">
        <f aca="false">+F976*0.03</f>
        <v>0</v>
      </c>
      <c r="F976" s="33" t="n">
        <v>0</v>
      </c>
      <c r="G976" s="62"/>
      <c r="H976" s="35" t="n">
        <v>0</v>
      </c>
      <c r="I976" s="34" t="n">
        <f aca="false">+IF(E976=0,0,E976*0.03)</f>
        <v>0</v>
      </c>
    </row>
    <row r="977" customFormat="false" ht="15.75" hidden="false" customHeight="true" outlineLevel="0" collapsed="false">
      <c r="A977" s="30" t="n">
        <v>46353</v>
      </c>
      <c r="B977" s="31" t="s">
        <v>7</v>
      </c>
      <c r="C977" s="32"/>
      <c r="D977" s="32"/>
      <c r="E977" s="19" t="n">
        <f aca="false">+F977*0.03</f>
        <v>0</v>
      </c>
      <c r="F977" s="33" t="n">
        <v>0</v>
      </c>
      <c r="G977" s="62"/>
      <c r="H977" s="35" t="n">
        <v>0</v>
      </c>
      <c r="I977" s="34" t="n">
        <f aca="false">+IF(E977=0,0,E977*0.03)</f>
        <v>0</v>
      </c>
    </row>
    <row r="978" customFormat="false" ht="15.75" hidden="false" customHeight="true" outlineLevel="0" collapsed="false">
      <c r="A978" s="30" t="n">
        <v>46354</v>
      </c>
      <c r="B978" s="31" t="s">
        <v>7</v>
      </c>
      <c r="C978" s="32"/>
      <c r="D978" s="32"/>
      <c r="E978" s="19" t="n">
        <f aca="false">+F978*0.03</f>
        <v>0</v>
      </c>
      <c r="F978" s="33" t="n">
        <v>0</v>
      </c>
      <c r="G978" s="62"/>
      <c r="H978" s="35" t="n">
        <v>0</v>
      </c>
      <c r="I978" s="34" t="n">
        <f aca="false">+IF(E978=0,0,E978*0.03)</f>
        <v>0</v>
      </c>
    </row>
    <row r="979" customFormat="false" ht="15.75" hidden="false" customHeight="true" outlineLevel="0" collapsed="false">
      <c r="A979" s="30" t="n">
        <v>46355</v>
      </c>
      <c r="B979" s="31" t="s">
        <v>7</v>
      </c>
      <c r="C979" s="32"/>
      <c r="D979" s="32"/>
      <c r="E979" s="19" t="n">
        <f aca="false">+F979*0.03</f>
        <v>0</v>
      </c>
      <c r="F979" s="33" t="n">
        <v>0</v>
      </c>
      <c r="G979" s="62"/>
      <c r="H979" s="35" t="n">
        <v>0</v>
      </c>
      <c r="I979" s="34" t="n">
        <f aca="false">+IF(E979=0,0,E979*0.03)</f>
        <v>0</v>
      </c>
    </row>
    <row r="980" customFormat="false" ht="15.75" hidden="false" customHeight="true" outlineLevel="0" collapsed="false">
      <c r="A980" s="30" t="n">
        <v>46356</v>
      </c>
      <c r="B980" s="31" t="s">
        <v>7</v>
      </c>
      <c r="C980" s="32"/>
      <c r="D980" s="32"/>
      <c r="E980" s="19" t="n">
        <f aca="false">+F980*0.03</f>
        <v>0</v>
      </c>
      <c r="F980" s="33" t="n">
        <v>0</v>
      </c>
      <c r="G980" s="62"/>
      <c r="H980" s="35" t="n">
        <v>0</v>
      </c>
      <c r="I980" s="34" t="n">
        <f aca="false">+IF(E980=0,0,E980*0.03)</f>
        <v>0</v>
      </c>
    </row>
    <row r="981" customFormat="false" ht="15.75" hidden="false" customHeight="true" outlineLevel="0" collapsed="false">
      <c r="A981" s="30" t="n">
        <v>46357</v>
      </c>
      <c r="B981" s="31" t="s">
        <v>7</v>
      </c>
      <c r="C981" s="32"/>
      <c r="D981" s="32"/>
      <c r="E981" s="19" t="n">
        <f aca="false">+F981*0.03</f>
        <v>0</v>
      </c>
      <c r="F981" s="33" t="n">
        <v>0</v>
      </c>
      <c r="G981" s="62"/>
      <c r="H981" s="35" t="n">
        <v>0</v>
      </c>
      <c r="I981" s="34" t="n">
        <f aca="false">+IF(E981=0,0,E981*0.03)</f>
        <v>0</v>
      </c>
    </row>
    <row r="982" customFormat="false" ht="15.75" hidden="false" customHeight="true" outlineLevel="0" collapsed="false">
      <c r="A982" s="30" t="n">
        <v>46358</v>
      </c>
      <c r="B982" s="31" t="s">
        <v>7</v>
      </c>
      <c r="C982" s="32"/>
      <c r="D982" s="32"/>
      <c r="E982" s="19" t="n">
        <f aca="false">+F982*0.03</f>
        <v>0</v>
      </c>
      <c r="F982" s="33" t="n">
        <v>0</v>
      </c>
      <c r="G982" s="62"/>
      <c r="H982" s="35" t="n">
        <v>0</v>
      </c>
      <c r="I982" s="34" t="n">
        <f aca="false">+IF(E982=0,0,E982*0.03)</f>
        <v>0</v>
      </c>
    </row>
    <row r="983" customFormat="false" ht="15.75" hidden="false" customHeight="true" outlineLevel="0" collapsed="false">
      <c r="A983" s="30" t="n">
        <v>46359</v>
      </c>
      <c r="B983" s="31" t="s">
        <v>7</v>
      </c>
      <c r="C983" s="32"/>
      <c r="D983" s="32"/>
      <c r="E983" s="19" t="n">
        <f aca="false">+F983*0.03</f>
        <v>0</v>
      </c>
      <c r="F983" s="33" t="n">
        <v>0</v>
      </c>
      <c r="G983" s="62"/>
      <c r="H983" s="35" t="n">
        <v>0</v>
      </c>
      <c r="I983" s="34" t="n">
        <f aca="false">+IF(E983=0,0,E983*0.03)</f>
        <v>0</v>
      </c>
    </row>
    <row r="984" customFormat="false" ht="15.75" hidden="false" customHeight="true" outlineLevel="0" collapsed="false">
      <c r="A984" s="30" t="n">
        <v>46360</v>
      </c>
      <c r="B984" s="31" t="s">
        <v>7</v>
      </c>
      <c r="C984" s="32"/>
      <c r="D984" s="32"/>
      <c r="E984" s="19" t="n">
        <f aca="false">+F984*0.03</f>
        <v>0</v>
      </c>
      <c r="F984" s="33" t="n">
        <v>0</v>
      </c>
      <c r="G984" s="62"/>
      <c r="H984" s="35" t="n">
        <v>0</v>
      </c>
      <c r="I984" s="34" t="n">
        <f aca="false">+IF(E984=0,0,E984*0.03)</f>
        <v>0</v>
      </c>
    </row>
    <row r="985" customFormat="false" ht="15.75" hidden="false" customHeight="true" outlineLevel="0" collapsed="false">
      <c r="A985" s="30" t="n">
        <v>46361</v>
      </c>
      <c r="B985" s="31" t="s">
        <v>7</v>
      </c>
      <c r="C985" s="32"/>
      <c r="D985" s="32"/>
      <c r="E985" s="19" t="n">
        <f aca="false">+F985*0.03</f>
        <v>0</v>
      </c>
      <c r="F985" s="33" t="n">
        <v>0</v>
      </c>
      <c r="G985" s="62"/>
      <c r="H985" s="35" t="n">
        <v>0</v>
      </c>
      <c r="I985" s="34" t="n">
        <f aca="false">+IF(E985=0,0,E985*0.03)</f>
        <v>0</v>
      </c>
    </row>
    <row r="986" customFormat="false" ht="15.75" hidden="false" customHeight="true" outlineLevel="0" collapsed="false">
      <c r="A986" s="30" t="n">
        <v>45323</v>
      </c>
      <c r="B986" s="31" t="s">
        <v>7</v>
      </c>
      <c r="C986" s="32"/>
      <c r="D986" s="32"/>
      <c r="E986" s="19" t="n">
        <f aca="false">+F986*0.03</f>
        <v>0</v>
      </c>
      <c r="F986" s="33" t="n">
        <v>0</v>
      </c>
      <c r="G986" s="62"/>
      <c r="H986" s="35" t="n">
        <v>0</v>
      </c>
      <c r="I986" s="34" t="n">
        <f aca="false">+IF(E986=0,0,E986*0.03)</f>
        <v>0</v>
      </c>
    </row>
    <row r="987" customFormat="false" ht="15.75" hidden="false" customHeight="true" outlineLevel="0" collapsed="false">
      <c r="A987" s="30" t="n">
        <v>45323</v>
      </c>
      <c r="B987" s="31" t="s">
        <v>7</v>
      </c>
      <c r="C987" s="32"/>
      <c r="D987" s="32"/>
      <c r="E987" s="19" t="n">
        <f aca="false">+F987*0.03</f>
        <v>0</v>
      </c>
      <c r="F987" s="33" t="n">
        <v>0</v>
      </c>
      <c r="G987" s="62"/>
      <c r="H987" s="35" t="n">
        <v>0</v>
      </c>
      <c r="I987" s="34" t="n">
        <f aca="false">+IF(E987=0,0,E987*0.03)</f>
        <v>0</v>
      </c>
    </row>
    <row r="988" customFormat="false" ht="15.75" hidden="false" customHeight="true" outlineLevel="0" collapsed="false">
      <c r="A988" s="30" t="n">
        <v>45323</v>
      </c>
      <c r="B988" s="31" t="s">
        <v>7</v>
      </c>
      <c r="C988" s="32"/>
      <c r="D988" s="32"/>
      <c r="E988" s="19" t="n">
        <f aca="false">+F988*0.03</f>
        <v>0</v>
      </c>
      <c r="F988" s="33" t="n">
        <v>0</v>
      </c>
      <c r="G988" s="62"/>
      <c r="H988" s="35" t="n">
        <v>0</v>
      </c>
      <c r="I988" s="34" t="n">
        <f aca="false">+IF(E988=0,0,E988*0.03)</f>
        <v>0</v>
      </c>
    </row>
    <row r="989" customFormat="false" ht="15.75" hidden="false" customHeight="true" outlineLevel="0" collapsed="false">
      <c r="A989" s="30" t="n">
        <v>45323</v>
      </c>
      <c r="B989" s="31" t="s">
        <v>7</v>
      </c>
      <c r="C989" s="32"/>
      <c r="D989" s="32"/>
      <c r="E989" s="19" t="n">
        <f aca="false">+F989*0.03</f>
        <v>0</v>
      </c>
      <c r="F989" s="33" t="n">
        <v>0</v>
      </c>
      <c r="G989" s="62"/>
      <c r="H989" s="35" t="n">
        <v>0</v>
      </c>
      <c r="I989" s="34" t="n">
        <f aca="false">+IF(E989=0,0,E989*0.03)</f>
        <v>0</v>
      </c>
    </row>
    <row r="990" customFormat="false" ht="15.75" hidden="false" customHeight="true" outlineLevel="0" collapsed="false">
      <c r="A990" s="30" t="n">
        <v>45323</v>
      </c>
      <c r="B990" s="31" t="s">
        <v>7</v>
      </c>
      <c r="C990" s="32"/>
      <c r="D990" s="32"/>
      <c r="E990" s="19" t="n">
        <f aca="false">+F990*0.03</f>
        <v>0</v>
      </c>
      <c r="F990" s="33" t="n">
        <v>0</v>
      </c>
      <c r="G990" s="62"/>
      <c r="H990" s="35" t="n">
        <v>0</v>
      </c>
      <c r="I990" s="34" t="n">
        <f aca="false">+IF(E990=0,0,E990*0.03)</f>
        <v>0</v>
      </c>
    </row>
    <row r="991" customFormat="false" ht="15.75" hidden="false" customHeight="true" outlineLevel="0" collapsed="false">
      <c r="A991" s="30" t="n">
        <v>45323</v>
      </c>
      <c r="B991" s="31" t="s">
        <v>7</v>
      </c>
      <c r="C991" s="32"/>
      <c r="D991" s="32"/>
      <c r="E991" s="19" t="n">
        <f aca="false">+F991*0.03</f>
        <v>0</v>
      </c>
      <c r="F991" s="33" t="n">
        <v>0</v>
      </c>
      <c r="G991" s="62"/>
      <c r="H991" s="35" t="n">
        <v>0</v>
      </c>
      <c r="I991" s="34" t="n">
        <f aca="false">+IF(E991=0,0,E991*0.03)</f>
        <v>0</v>
      </c>
    </row>
    <row r="992" customFormat="false" ht="15.75" hidden="false" customHeight="true" outlineLevel="0" collapsed="false">
      <c r="A992" s="30" t="n">
        <v>45323</v>
      </c>
      <c r="B992" s="31" t="s">
        <v>7</v>
      </c>
      <c r="C992" s="32"/>
      <c r="D992" s="32"/>
      <c r="E992" s="19" t="n">
        <f aca="false">+F992*0.03</f>
        <v>0</v>
      </c>
      <c r="F992" s="33" t="n">
        <v>0</v>
      </c>
      <c r="G992" s="62"/>
      <c r="H992" s="35" t="n">
        <v>0</v>
      </c>
      <c r="I992" s="34" t="n">
        <f aca="false">+IF(E992=0,0,E992*0.03)</f>
        <v>0</v>
      </c>
    </row>
    <row r="993" customFormat="false" ht="15.75" hidden="false" customHeight="true" outlineLevel="0" collapsed="false">
      <c r="A993" s="30" t="n">
        <v>45323</v>
      </c>
      <c r="B993" s="31" t="s">
        <v>7</v>
      </c>
      <c r="C993" s="32"/>
      <c r="D993" s="32"/>
      <c r="E993" s="19" t="n">
        <f aca="false">+F993*0.03</f>
        <v>0</v>
      </c>
      <c r="F993" s="33" t="n">
        <v>0</v>
      </c>
      <c r="G993" s="62"/>
      <c r="H993" s="35" t="n">
        <v>0</v>
      </c>
      <c r="I993" s="34" t="n">
        <f aca="false">+IF(E993=0,0,E993*0.03)</f>
        <v>0</v>
      </c>
    </row>
    <row r="994" customFormat="false" ht="15.75" hidden="false" customHeight="true" outlineLevel="0" collapsed="false">
      <c r="A994" s="30" t="n">
        <v>45323</v>
      </c>
      <c r="B994" s="31" t="s">
        <v>7</v>
      </c>
      <c r="C994" s="32"/>
      <c r="D994" s="32"/>
      <c r="E994" s="19" t="n">
        <f aca="false">+F994*0.03</f>
        <v>0</v>
      </c>
      <c r="F994" s="33" t="n">
        <v>0</v>
      </c>
      <c r="G994" s="62"/>
      <c r="H994" s="35" t="n">
        <v>0</v>
      </c>
      <c r="I994" s="34" t="n">
        <f aca="false">+IF(E994=0,0,E994*0.03)</f>
        <v>0</v>
      </c>
    </row>
    <row r="995" customFormat="false" ht="15.75" hidden="false" customHeight="true" outlineLevel="0" collapsed="false">
      <c r="A995" s="30" t="n">
        <v>45323</v>
      </c>
      <c r="B995" s="31" t="s">
        <v>7</v>
      </c>
      <c r="C995" s="32"/>
      <c r="D995" s="32"/>
      <c r="E995" s="19" t="n">
        <f aca="false">+F995*0.03</f>
        <v>0</v>
      </c>
      <c r="F995" s="33" t="n">
        <v>0</v>
      </c>
      <c r="G995" s="62"/>
      <c r="H995" s="35" t="n">
        <v>0</v>
      </c>
      <c r="I995" s="34" t="n">
        <f aca="false">+IF(E995=0,0,E995*0.03)</f>
        <v>0</v>
      </c>
    </row>
    <row r="996" customFormat="false" ht="15.75" hidden="false" customHeight="true" outlineLevel="0" collapsed="false">
      <c r="A996" s="30" t="n">
        <v>45323</v>
      </c>
      <c r="B996" s="31" t="s">
        <v>7</v>
      </c>
      <c r="C996" s="32"/>
      <c r="D996" s="32"/>
      <c r="E996" s="19" t="n">
        <f aca="false">+F996*0.03</f>
        <v>0</v>
      </c>
      <c r="F996" s="33" t="n">
        <v>0</v>
      </c>
      <c r="G996" s="62"/>
      <c r="H996" s="35" t="n">
        <v>0</v>
      </c>
      <c r="I996" s="34" t="n">
        <f aca="false">+IF(E996=0,0,E996*0.03)</f>
        <v>0</v>
      </c>
    </row>
    <row r="997" customFormat="false" ht="15.75" hidden="false" customHeight="true" outlineLevel="0" collapsed="false">
      <c r="A997" s="30" t="n">
        <v>45323</v>
      </c>
      <c r="B997" s="31" t="s">
        <v>7</v>
      </c>
      <c r="C997" s="32"/>
      <c r="D997" s="32"/>
      <c r="E997" s="19" t="n">
        <f aca="false">+F997*0.03</f>
        <v>0</v>
      </c>
      <c r="F997" s="33" t="n">
        <v>0</v>
      </c>
      <c r="G997" s="62"/>
      <c r="H997" s="35" t="n">
        <v>0</v>
      </c>
      <c r="I997" s="34" t="n">
        <f aca="false">+IF(E997=0,0,E997*0.03)</f>
        <v>0</v>
      </c>
    </row>
    <row r="998" customFormat="false" ht="15.75" hidden="false" customHeight="true" outlineLevel="0" collapsed="false">
      <c r="A998" s="30" t="n">
        <v>45323</v>
      </c>
      <c r="B998" s="31" t="s">
        <v>7</v>
      </c>
      <c r="C998" s="32"/>
      <c r="D998" s="32"/>
      <c r="E998" s="19" t="n">
        <f aca="false">+F998*0.03</f>
        <v>0</v>
      </c>
      <c r="F998" s="33" t="n">
        <v>0</v>
      </c>
      <c r="G998" s="62"/>
      <c r="H998" s="35" t="n">
        <v>0</v>
      </c>
      <c r="I998" s="34" t="n">
        <f aca="false">+IF(E998=0,0,E998*0.03)</f>
        <v>0</v>
      </c>
    </row>
    <row r="999" customFormat="false" ht="15.75" hidden="false" customHeight="true" outlineLevel="0" collapsed="false">
      <c r="A999" s="30" t="n">
        <v>45323</v>
      </c>
      <c r="B999" s="31" t="s">
        <v>7</v>
      </c>
      <c r="C999" s="32"/>
      <c r="D999" s="32"/>
      <c r="E999" s="19" t="n">
        <f aca="false">+F999*0.03</f>
        <v>0</v>
      </c>
      <c r="F999" s="33" t="n">
        <v>0</v>
      </c>
      <c r="G999" s="62"/>
      <c r="H999" s="35" t="n">
        <v>0</v>
      </c>
      <c r="I999" s="34" t="n">
        <f aca="false">+IF(E999=0,0,E999*0.03)</f>
        <v>0</v>
      </c>
    </row>
    <row r="1000" customFormat="false" ht="15.75" hidden="false" customHeight="true" outlineLevel="0" collapsed="false">
      <c r="A1000" s="30" t="n">
        <v>45323</v>
      </c>
      <c r="B1000" s="31" t="s">
        <v>7</v>
      </c>
      <c r="C1000" s="32"/>
      <c r="D1000" s="32"/>
      <c r="E1000" s="19" t="n">
        <f aca="false">+F1000*0.03</f>
        <v>0</v>
      </c>
      <c r="F1000" s="33" t="n">
        <v>0</v>
      </c>
      <c r="G1000" s="62"/>
      <c r="H1000" s="35" t="n">
        <v>0</v>
      </c>
      <c r="I1000" s="34" t="n">
        <f aca="false">+IF(E1000=0,0,E1000*0.03)</f>
        <v>0</v>
      </c>
    </row>
    <row r="1001" customFormat="false" ht="15.75" hidden="false" customHeight="true" outlineLevel="0" collapsed="false">
      <c r="A1001" s="30" t="n">
        <v>45323</v>
      </c>
      <c r="B1001" s="31" t="s">
        <v>7</v>
      </c>
      <c r="C1001" s="32"/>
      <c r="D1001" s="32"/>
      <c r="E1001" s="19" t="n">
        <f aca="false">+F1001*0.03</f>
        <v>0</v>
      </c>
      <c r="F1001" s="33" t="n">
        <v>0</v>
      </c>
      <c r="G1001" s="62"/>
      <c r="H1001" s="35" t="n">
        <v>0</v>
      </c>
      <c r="I1001" s="34" t="n">
        <f aca="false">+IF(E1001=0,0,E1001*0.03)</f>
        <v>0</v>
      </c>
    </row>
    <row r="1002" customFormat="false" ht="15.75" hidden="false" customHeight="true" outlineLevel="0" collapsed="false">
      <c r="A1002" s="30" t="n">
        <v>45323</v>
      </c>
      <c r="B1002" s="31" t="s">
        <v>7</v>
      </c>
      <c r="C1002" s="32"/>
      <c r="D1002" s="32"/>
      <c r="E1002" s="19" t="n">
        <f aca="false">+F1002*0.03</f>
        <v>0</v>
      </c>
      <c r="F1002" s="33" t="n">
        <v>0</v>
      </c>
      <c r="G1002" s="62"/>
      <c r="H1002" s="35" t="n">
        <v>0</v>
      </c>
      <c r="I1002" s="34" t="n">
        <f aca="false">+IF(E1002=0,0,E1002*0.03)</f>
        <v>0</v>
      </c>
    </row>
    <row r="1003" customFormat="false" ht="15.75" hidden="false" customHeight="true" outlineLevel="0" collapsed="false">
      <c r="A1003" s="30" t="n">
        <v>45323</v>
      </c>
      <c r="B1003" s="31" t="s">
        <v>7</v>
      </c>
      <c r="C1003" s="32"/>
      <c r="D1003" s="32"/>
      <c r="E1003" s="19" t="n">
        <f aca="false">+F1003*0.03</f>
        <v>0</v>
      </c>
      <c r="F1003" s="33" t="n">
        <v>0</v>
      </c>
      <c r="G1003" s="62"/>
      <c r="H1003" s="35" t="n">
        <v>0</v>
      </c>
      <c r="I1003" s="34" t="n">
        <f aca="false">+IF(E1003=0,0,E1003*0.03)</f>
        <v>0</v>
      </c>
    </row>
    <row r="1004" customFormat="false" ht="15.75" hidden="false" customHeight="true" outlineLevel="0" collapsed="false">
      <c r="A1004" s="30" t="n">
        <v>45323</v>
      </c>
      <c r="B1004" s="31" t="s">
        <v>7</v>
      </c>
      <c r="C1004" s="32"/>
      <c r="D1004" s="32"/>
      <c r="E1004" s="19" t="n">
        <f aca="false">+F1004*0.03</f>
        <v>0</v>
      </c>
      <c r="F1004" s="33" t="n">
        <v>0</v>
      </c>
      <c r="G1004" s="62"/>
      <c r="H1004" s="35" t="n">
        <v>0</v>
      </c>
      <c r="I1004" s="34" t="n">
        <f aca="false">+IF(E1004=0,0,E1004*0.03)</f>
        <v>0</v>
      </c>
    </row>
    <row r="1005" customFormat="false" ht="15.75" hidden="false" customHeight="true" outlineLevel="0" collapsed="false">
      <c r="A1005" s="30" t="n">
        <v>45323</v>
      </c>
      <c r="B1005" s="31" t="s">
        <v>7</v>
      </c>
      <c r="C1005" s="32"/>
      <c r="D1005" s="32"/>
      <c r="E1005" s="19" t="n">
        <f aca="false">+F1005*0.03</f>
        <v>0</v>
      </c>
      <c r="F1005" s="33" t="n">
        <v>0</v>
      </c>
      <c r="G1005" s="62"/>
      <c r="H1005" s="35" t="n">
        <v>0</v>
      </c>
      <c r="I1005" s="34" t="n">
        <f aca="false">+IF(E1005=0,0,E1005*0.03)</f>
        <v>0</v>
      </c>
    </row>
    <row r="1006" customFormat="false" ht="15.75" hidden="false" customHeight="true" outlineLevel="0" collapsed="false">
      <c r="A1006" s="30" t="n">
        <v>45323</v>
      </c>
      <c r="B1006" s="31" t="s">
        <v>7</v>
      </c>
      <c r="C1006" s="32"/>
      <c r="D1006" s="32"/>
      <c r="E1006" s="19" t="n">
        <f aca="false">+F1006*0.03</f>
        <v>0</v>
      </c>
      <c r="F1006" s="33" t="n">
        <v>0</v>
      </c>
      <c r="G1006" s="62"/>
      <c r="H1006" s="35" t="n">
        <v>0</v>
      </c>
      <c r="I1006" s="34" t="n">
        <f aca="false">+IF(E1006=0,0,E1006*0.03)</f>
        <v>0</v>
      </c>
    </row>
    <row r="1007" customFormat="false" ht="15.75" hidden="false" customHeight="true" outlineLevel="0" collapsed="false">
      <c r="A1007" s="30" t="n">
        <v>45323</v>
      </c>
      <c r="B1007" s="31" t="s">
        <v>7</v>
      </c>
      <c r="C1007" s="32"/>
      <c r="D1007" s="32"/>
      <c r="E1007" s="19" t="n">
        <f aca="false">+F1007*0.03</f>
        <v>0</v>
      </c>
      <c r="F1007" s="33" t="n">
        <v>0</v>
      </c>
      <c r="G1007" s="62"/>
      <c r="H1007" s="35" t="n">
        <v>0</v>
      </c>
      <c r="I1007" s="34" t="n">
        <f aca="false">+IF(E1007=0,0,E1007*0.03)</f>
        <v>0</v>
      </c>
    </row>
    <row r="1008" customFormat="false" ht="15.75" hidden="false" customHeight="true" outlineLevel="0" collapsed="false">
      <c r="A1008" s="30" t="n">
        <v>45323</v>
      </c>
      <c r="B1008" s="31" t="s">
        <v>7</v>
      </c>
      <c r="C1008" s="32"/>
      <c r="D1008" s="32"/>
      <c r="E1008" s="19" t="n">
        <f aca="false">+F1008*0.03</f>
        <v>0</v>
      </c>
      <c r="F1008" s="33" t="n">
        <v>0</v>
      </c>
      <c r="G1008" s="62"/>
      <c r="H1008" s="35" t="n">
        <v>0</v>
      </c>
      <c r="I1008" s="34" t="n">
        <f aca="false">+IF(E1008=0,0,E1008*0.03)</f>
        <v>0</v>
      </c>
    </row>
    <row r="1009" customFormat="false" ht="15.75" hidden="false" customHeight="true" outlineLevel="0" collapsed="false">
      <c r="A1009" s="30" t="n">
        <v>45323</v>
      </c>
      <c r="B1009" s="31" t="s">
        <v>7</v>
      </c>
      <c r="C1009" s="32"/>
      <c r="D1009" s="32"/>
      <c r="E1009" s="19" t="n">
        <f aca="false">+F1009*0.03</f>
        <v>0</v>
      </c>
      <c r="F1009" s="33" t="n">
        <v>0</v>
      </c>
      <c r="G1009" s="62"/>
      <c r="H1009" s="35" t="n">
        <v>0</v>
      </c>
      <c r="I1009" s="34" t="n">
        <f aca="false">+IF(E1009=0,0,E1009*0.03)</f>
        <v>0</v>
      </c>
    </row>
    <row r="1010" customFormat="false" ht="15.75" hidden="false" customHeight="true" outlineLevel="0" collapsed="false">
      <c r="A1010" s="30" t="n">
        <v>45323</v>
      </c>
      <c r="B1010" s="31" t="s">
        <v>7</v>
      </c>
      <c r="C1010" s="32"/>
      <c r="D1010" s="32"/>
      <c r="E1010" s="19" t="n">
        <f aca="false">+F1010*0.03</f>
        <v>0</v>
      </c>
      <c r="F1010" s="33" t="n">
        <v>0</v>
      </c>
      <c r="G1010" s="62"/>
      <c r="H1010" s="35" t="n">
        <v>0</v>
      </c>
      <c r="I1010" s="34" t="n">
        <f aca="false">+IF(E1010=0,0,E1010*0.03)</f>
        <v>0</v>
      </c>
    </row>
    <row r="1011" customFormat="false" ht="15.75" hidden="false" customHeight="true" outlineLevel="0" collapsed="false">
      <c r="A1011" s="30" t="n">
        <v>45323</v>
      </c>
      <c r="B1011" s="31" t="s">
        <v>7</v>
      </c>
      <c r="C1011" s="32"/>
      <c r="D1011" s="32"/>
      <c r="E1011" s="19" t="n">
        <f aca="false">+F1011*0.03</f>
        <v>0</v>
      </c>
      <c r="F1011" s="33" t="n">
        <v>0</v>
      </c>
      <c r="G1011" s="62"/>
      <c r="H1011" s="35" t="n">
        <v>0</v>
      </c>
      <c r="I1011" s="34" t="n">
        <f aca="false">+IF(E1011=0,0,E1011*0.03)</f>
        <v>0</v>
      </c>
    </row>
    <row r="1012" customFormat="false" ht="15.75" hidden="false" customHeight="true" outlineLevel="0" collapsed="false">
      <c r="A1012" s="30" t="n">
        <v>45323</v>
      </c>
      <c r="B1012" s="31" t="s">
        <v>7</v>
      </c>
      <c r="C1012" s="32"/>
      <c r="D1012" s="32"/>
      <c r="E1012" s="19" t="n">
        <f aca="false">+F1012*0.03</f>
        <v>0</v>
      </c>
      <c r="F1012" s="33" t="n">
        <v>0</v>
      </c>
      <c r="G1012" s="62"/>
      <c r="H1012" s="35" t="n">
        <v>0</v>
      </c>
      <c r="I1012" s="34" t="n">
        <f aca="false">+IF(E1012=0,0,E1012*0.03)</f>
        <v>0</v>
      </c>
    </row>
    <row r="1013" customFormat="false" ht="15.75" hidden="false" customHeight="true" outlineLevel="0" collapsed="false">
      <c r="A1013" s="30" t="n">
        <v>45323</v>
      </c>
      <c r="B1013" s="31" t="s">
        <v>7</v>
      </c>
      <c r="C1013" s="32"/>
      <c r="D1013" s="32"/>
      <c r="E1013" s="19" t="n">
        <f aca="false">+F1013*0.03</f>
        <v>0</v>
      </c>
      <c r="F1013" s="33" t="n">
        <v>0</v>
      </c>
      <c r="G1013" s="62"/>
      <c r="H1013" s="35" t="n">
        <v>0</v>
      </c>
      <c r="I1013" s="34" t="n">
        <f aca="false">+IF(E1013=0,0,E1013*0.03)</f>
        <v>0</v>
      </c>
    </row>
    <row r="1014" customFormat="false" ht="15.75" hidden="false" customHeight="true" outlineLevel="0" collapsed="false">
      <c r="A1014" s="30" t="n">
        <v>45323</v>
      </c>
      <c r="B1014" s="31" t="s">
        <v>7</v>
      </c>
      <c r="C1014" s="32"/>
      <c r="D1014" s="32"/>
      <c r="E1014" s="19" t="n">
        <f aca="false">+F1014*0.03</f>
        <v>0</v>
      </c>
      <c r="F1014" s="33" t="n">
        <v>0</v>
      </c>
      <c r="G1014" s="62"/>
      <c r="H1014" s="35" t="n">
        <v>0</v>
      </c>
      <c r="I1014" s="34" t="n">
        <f aca="false">+IF(E1014=0,0,E1014*0.03)</f>
        <v>0</v>
      </c>
    </row>
    <row r="1015" customFormat="false" ht="15.75" hidden="false" customHeight="true" outlineLevel="0" collapsed="false">
      <c r="A1015" s="30" t="n">
        <v>45323</v>
      </c>
      <c r="B1015" s="31" t="s">
        <v>7</v>
      </c>
      <c r="C1015" s="32"/>
      <c r="D1015" s="32"/>
      <c r="E1015" s="19" t="n">
        <f aca="false">+F1015*0.03</f>
        <v>0</v>
      </c>
      <c r="F1015" s="33" t="n">
        <v>0</v>
      </c>
      <c r="G1015" s="62"/>
      <c r="H1015" s="35" t="n">
        <v>0</v>
      </c>
      <c r="I1015" s="34" t="n">
        <f aca="false">+IF(E1015=0,0,E1015*0.03)</f>
        <v>0</v>
      </c>
    </row>
    <row r="1016" customFormat="false" ht="15.75" hidden="false" customHeight="true" outlineLevel="0" collapsed="false">
      <c r="A1016" s="30" t="n">
        <v>45323</v>
      </c>
      <c r="B1016" s="31" t="s">
        <v>7</v>
      </c>
      <c r="C1016" s="32"/>
      <c r="D1016" s="32"/>
      <c r="E1016" s="19" t="n">
        <f aca="false">+F1016*0.03</f>
        <v>0</v>
      </c>
      <c r="F1016" s="33" t="n">
        <v>0</v>
      </c>
      <c r="G1016" s="62"/>
      <c r="H1016" s="35" t="n">
        <v>0</v>
      </c>
      <c r="I1016" s="34" t="n">
        <f aca="false">+IF(E1016=0,0,E1016*0.03)</f>
        <v>0</v>
      </c>
    </row>
    <row r="1017" customFormat="false" ht="15.75" hidden="false" customHeight="true" outlineLevel="0" collapsed="false">
      <c r="A1017" s="30" t="n">
        <v>45323</v>
      </c>
      <c r="B1017" s="31" t="s">
        <v>7</v>
      </c>
      <c r="C1017" s="32"/>
      <c r="D1017" s="32"/>
      <c r="E1017" s="19" t="n">
        <f aca="false">+F1017*0.03</f>
        <v>0</v>
      </c>
      <c r="F1017" s="33" t="n">
        <v>0</v>
      </c>
      <c r="G1017" s="62"/>
      <c r="H1017" s="35" t="n">
        <v>0</v>
      </c>
      <c r="I1017" s="34" t="n">
        <f aca="false">+IF(E1017=0,0,E1017*0.03)</f>
        <v>0</v>
      </c>
    </row>
    <row r="1018" customFormat="false" ht="15.75" hidden="false" customHeight="true" outlineLevel="0" collapsed="false">
      <c r="A1018" s="30" t="n">
        <v>45323</v>
      </c>
      <c r="B1018" s="31" t="s">
        <v>7</v>
      </c>
      <c r="C1018" s="32"/>
      <c r="D1018" s="32"/>
      <c r="E1018" s="19" t="n">
        <f aca="false">+F1018*0.03</f>
        <v>0</v>
      </c>
      <c r="F1018" s="33" t="n">
        <v>0</v>
      </c>
      <c r="G1018" s="62"/>
      <c r="H1018" s="35" t="n">
        <v>0</v>
      </c>
      <c r="I1018" s="34" t="n">
        <f aca="false">+IF(E1018=0,0,E1018*0.03)</f>
        <v>0</v>
      </c>
    </row>
    <row r="1019" customFormat="false" ht="15.75" hidden="false" customHeight="true" outlineLevel="0" collapsed="false">
      <c r="A1019" s="30" t="n">
        <v>45323</v>
      </c>
      <c r="B1019" s="31" t="s">
        <v>7</v>
      </c>
      <c r="C1019" s="32"/>
      <c r="D1019" s="32"/>
      <c r="E1019" s="19" t="n">
        <f aca="false">+F1019*0.03</f>
        <v>0</v>
      </c>
      <c r="F1019" s="33" t="n">
        <v>0</v>
      </c>
      <c r="G1019" s="62"/>
      <c r="H1019" s="35" t="n">
        <v>0</v>
      </c>
      <c r="I1019" s="34" t="n">
        <f aca="false">+IF(E1019=0,0,E1019*0.03)</f>
        <v>0</v>
      </c>
    </row>
    <row r="1020" customFormat="false" ht="15.75" hidden="false" customHeight="true" outlineLevel="0" collapsed="false">
      <c r="A1020" s="30" t="n">
        <v>45323</v>
      </c>
      <c r="B1020" s="31" t="s">
        <v>7</v>
      </c>
      <c r="C1020" s="32"/>
      <c r="D1020" s="32"/>
      <c r="E1020" s="19" t="n">
        <f aca="false">+F1020*0.03</f>
        <v>0</v>
      </c>
      <c r="F1020" s="33" t="n">
        <v>0</v>
      </c>
      <c r="G1020" s="62"/>
      <c r="H1020" s="35" t="n">
        <v>0</v>
      </c>
      <c r="I1020" s="34" t="n">
        <f aca="false">+IF(E1020=0,0,E1020*0.03)</f>
        <v>0</v>
      </c>
    </row>
    <row r="1021" customFormat="false" ht="15.75" hidden="false" customHeight="true" outlineLevel="0" collapsed="false">
      <c r="A1021" s="30" t="n">
        <v>45323</v>
      </c>
      <c r="B1021" s="31" t="s">
        <v>7</v>
      </c>
      <c r="C1021" s="32"/>
      <c r="D1021" s="32"/>
      <c r="E1021" s="19" t="n">
        <f aca="false">+F1021*0.03</f>
        <v>0</v>
      </c>
      <c r="F1021" s="33" t="n">
        <v>0</v>
      </c>
      <c r="G1021" s="62"/>
      <c r="H1021" s="35" t="n">
        <v>0</v>
      </c>
      <c r="I1021" s="34" t="n">
        <f aca="false">+IF(E1021=0,0,E1021*0.03)</f>
        <v>0</v>
      </c>
    </row>
    <row r="1022" customFormat="false" ht="15.75" hidden="false" customHeight="true" outlineLevel="0" collapsed="false">
      <c r="A1022" s="30" t="n">
        <v>45323</v>
      </c>
      <c r="B1022" s="31" t="s">
        <v>7</v>
      </c>
      <c r="C1022" s="32"/>
      <c r="D1022" s="32"/>
      <c r="E1022" s="19" t="n">
        <f aca="false">+F1022*0.03</f>
        <v>0</v>
      </c>
      <c r="F1022" s="33" t="n">
        <v>0</v>
      </c>
      <c r="G1022" s="62"/>
      <c r="H1022" s="35" t="n">
        <v>0</v>
      </c>
      <c r="I1022" s="34" t="n">
        <f aca="false">+IF(E1022=0,0,E1022*0.03)</f>
        <v>0</v>
      </c>
    </row>
    <row r="1023" customFormat="false" ht="15.75" hidden="false" customHeight="true" outlineLevel="0" collapsed="false">
      <c r="A1023" s="30" t="n">
        <v>45323</v>
      </c>
      <c r="B1023" s="31" t="s">
        <v>7</v>
      </c>
      <c r="C1023" s="32"/>
      <c r="D1023" s="32"/>
      <c r="E1023" s="19" t="n">
        <f aca="false">+F1023*0.03</f>
        <v>0</v>
      </c>
      <c r="F1023" s="33" t="n">
        <v>0</v>
      </c>
      <c r="G1023" s="62"/>
      <c r="H1023" s="35" t="n">
        <v>0</v>
      </c>
      <c r="I1023" s="34" t="n">
        <f aca="false">+IF(E1023=0,0,E1023*0.03)</f>
        <v>0</v>
      </c>
    </row>
    <row r="1024" customFormat="false" ht="15.75" hidden="false" customHeight="true" outlineLevel="0" collapsed="false">
      <c r="A1024" s="30" t="n">
        <v>45323</v>
      </c>
      <c r="B1024" s="31" t="s">
        <v>7</v>
      </c>
      <c r="C1024" s="32"/>
      <c r="D1024" s="32"/>
      <c r="E1024" s="19" t="n">
        <f aca="false">+F1024*0.03</f>
        <v>0</v>
      </c>
      <c r="F1024" s="33" t="n">
        <v>0</v>
      </c>
      <c r="G1024" s="62"/>
      <c r="H1024" s="35" t="n">
        <v>0</v>
      </c>
      <c r="I1024" s="34" t="n">
        <f aca="false">+IF(E1024=0,0,E1024*0.03)</f>
        <v>0</v>
      </c>
    </row>
    <row r="1025" customFormat="false" ht="15.75" hidden="false" customHeight="true" outlineLevel="0" collapsed="false">
      <c r="A1025" s="30" t="n">
        <v>45323</v>
      </c>
      <c r="B1025" s="31" t="s">
        <v>7</v>
      </c>
      <c r="C1025" s="32"/>
      <c r="D1025" s="32"/>
      <c r="E1025" s="19" t="n">
        <f aca="false">+F1025*0.03</f>
        <v>0</v>
      </c>
      <c r="F1025" s="33" t="n">
        <v>0</v>
      </c>
      <c r="G1025" s="62"/>
      <c r="H1025" s="35" t="n">
        <v>0</v>
      </c>
      <c r="I1025" s="34" t="n">
        <f aca="false">+IF(E1025=0,0,E1025*0.03)</f>
        <v>0</v>
      </c>
    </row>
    <row r="1026" customFormat="false" ht="15.75" hidden="false" customHeight="true" outlineLevel="0" collapsed="false">
      <c r="A1026" s="30" t="n">
        <v>45323</v>
      </c>
      <c r="B1026" s="31" t="s">
        <v>7</v>
      </c>
      <c r="C1026" s="32"/>
      <c r="D1026" s="32"/>
      <c r="E1026" s="19" t="n">
        <f aca="false">+F1026*0.03</f>
        <v>0</v>
      </c>
      <c r="F1026" s="33" t="n">
        <v>0</v>
      </c>
      <c r="G1026" s="62"/>
      <c r="H1026" s="35" t="n">
        <v>0</v>
      </c>
      <c r="I1026" s="34" t="n">
        <f aca="false">+IF(E1026=0,0,E1026*0.03)</f>
        <v>0</v>
      </c>
    </row>
    <row r="1027" customFormat="false" ht="15.75" hidden="false" customHeight="true" outlineLevel="0" collapsed="false">
      <c r="A1027" s="30" t="n">
        <v>45323</v>
      </c>
      <c r="B1027" s="31" t="s">
        <v>7</v>
      </c>
      <c r="C1027" s="32"/>
      <c r="D1027" s="32"/>
      <c r="E1027" s="19" t="n">
        <f aca="false">+F1027*0.03</f>
        <v>0</v>
      </c>
      <c r="F1027" s="33" t="n">
        <v>0</v>
      </c>
      <c r="G1027" s="62"/>
      <c r="H1027" s="35" t="n">
        <v>0</v>
      </c>
      <c r="I1027" s="34" t="n">
        <f aca="false">+IF(E1027=0,0,E1027*0.03)</f>
        <v>0</v>
      </c>
    </row>
    <row r="1028" customFormat="false" ht="15.75" hidden="false" customHeight="true" outlineLevel="0" collapsed="false">
      <c r="A1028" s="30" t="n">
        <v>45323</v>
      </c>
      <c r="B1028" s="31" t="s">
        <v>7</v>
      </c>
      <c r="C1028" s="32"/>
      <c r="D1028" s="32"/>
      <c r="E1028" s="19" t="n">
        <f aca="false">+F1028*0.03</f>
        <v>0</v>
      </c>
      <c r="F1028" s="33" t="n">
        <v>0</v>
      </c>
      <c r="G1028" s="62"/>
      <c r="H1028" s="35" t="n">
        <v>0</v>
      </c>
      <c r="I1028" s="34" t="n">
        <f aca="false">+IF(E1028=0,0,E1028*0.03)</f>
        <v>0</v>
      </c>
    </row>
    <row r="1029" customFormat="false" ht="15.75" hidden="false" customHeight="true" outlineLevel="0" collapsed="false">
      <c r="A1029" s="30" t="n">
        <v>45323</v>
      </c>
      <c r="B1029" s="31" t="s">
        <v>7</v>
      </c>
      <c r="C1029" s="32"/>
      <c r="D1029" s="32"/>
      <c r="E1029" s="19" t="n">
        <f aca="false">+F1029*0.03</f>
        <v>0</v>
      </c>
      <c r="F1029" s="33" t="n">
        <v>0</v>
      </c>
      <c r="G1029" s="62"/>
      <c r="H1029" s="35" t="n">
        <v>0</v>
      </c>
      <c r="I1029" s="34" t="n">
        <f aca="false">+IF(E1029=0,0,E1029*0.03)</f>
        <v>0</v>
      </c>
    </row>
    <row r="1030" customFormat="false" ht="15.75" hidden="false" customHeight="true" outlineLevel="0" collapsed="false">
      <c r="A1030" s="30" t="n">
        <v>45323</v>
      </c>
      <c r="B1030" s="31" t="s">
        <v>7</v>
      </c>
      <c r="C1030" s="32"/>
      <c r="D1030" s="32"/>
      <c r="E1030" s="19" t="n">
        <f aca="false">+F1030*0.03</f>
        <v>0</v>
      </c>
      <c r="F1030" s="33" t="n">
        <v>0</v>
      </c>
      <c r="G1030" s="62"/>
      <c r="H1030" s="35" t="n">
        <v>0</v>
      </c>
      <c r="I1030" s="34" t="n">
        <f aca="false">+IF(E1030=0,0,E1030*0.03)</f>
        <v>0</v>
      </c>
    </row>
    <row r="1031" customFormat="false" ht="15.75" hidden="false" customHeight="true" outlineLevel="0" collapsed="false">
      <c r="A1031" s="30" t="n">
        <v>45323</v>
      </c>
      <c r="B1031" s="31" t="s">
        <v>7</v>
      </c>
      <c r="C1031" s="32"/>
      <c r="D1031" s="32"/>
      <c r="E1031" s="19" t="n">
        <f aca="false">+F1031*0.03</f>
        <v>0</v>
      </c>
      <c r="F1031" s="33" t="n">
        <v>0</v>
      </c>
      <c r="G1031" s="62"/>
      <c r="H1031" s="35" t="n">
        <v>0</v>
      </c>
      <c r="I1031" s="34" t="n">
        <f aca="false">+IF(E1031=0,0,E1031*0.03)</f>
        <v>0</v>
      </c>
    </row>
    <row r="1032" customFormat="false" ht="15.75" hidden="false" customHeight="true" outlineLevel="0" collapsed="false">
      <c r="A1032" s="30" t="n">
        <v>45323</v>
      </c>
      <c r="B1032" s="31" t="s">
        <v>7</v>
      </c>
      <c r="C1032" s="32"/>
      <c r="D1032" s="32"/>
      <c r="E1032" s="19" t="n">
        <f aca="false">+F1032*0.03</f>
        <v>0</v>
      </c>
      <c r="F1032" s="33" t="n">
        <v>0</v>
      </c>
      <c r="G1032" s="62"/>
      <c r="H1032" s="35" t="n">
        <v>0</v>
      </c>
      <c r="I1032" s="34" t="n">
        <f aca="false">+IF(E1032=0,0,E1032*0.03)</f>
        <v>0</v>
      </c>
    </row>
    <row r="1033" customFormat="false" ht="15.75" hidden="false" customHeight="true" outlineLevel="0" collapsed="false">
      <c r="A1033" s="30" t="n">
        <v>45323</v>
      </c>
      <c r="B1033" s="31" t="s">
        <v>7</v>
      </c>
      <c r="C1033" s="32"/>
      <c r="D1033" s="32"/>
      <c r="E1033" s="19" t="n">
        <f aca="false">+F1033*0.03</f>
        <v>0</v>
      </c>
      <c r="F1033" s="33" t="n">
        <v>0</v>
      </c>
      <c r="G1033" s="62"/>
      <c r="H1033" s="35" t="n">
        <v>0</v>
      </c>
      <c r="I1033" s="34" t="n">
        <f aca="false">+IF(E1033=0,0,E1033*0.03)</f>
        <v>0</v>
      </c>
    </row>
    <row r="1034" customFormat="false" ht="15.75" hidden="false" customHeight="true" outlineLevel="0" collapsed="false">
      <c r="A1034" s="30" t="n">
        <v>45323</v>
      </c>
      <c r="B1034" s="31" t="s">
        <v>7</v>
      </c>
      <c r="C1034" s="32"/>
      <c r="D1034" s="32"/>
      <c r="E1034" s="19" t="n">
        <f aca="false">+F1034*0.03</f>
        <v>0</v>
      </c>
      <c r="F1034" s="33" t="n">
        <v>0</v>
      </c>
      <c r="G1034" s="62"/>
      <c r="H1034" s="35" t="n">
        <v>0</v>
      </c>
      <c r="I1034" s="34" t="n">
        <f aca="false">+IF(E1034=0,0,E1034*0.03)</f>
        <v>0</v>
      </c>
    </row>
    <row r="1035" customFormat="false" ht="15.75" hidden="false" customHeight="true" outlineLevel="0" collapsed="false">
      <c r="A1035" s="30" t="n">
        <v>45323</v>
      </c>
      <c r="B1035" s="31" t="s">
        <v>7</v>
      </c>
      <c r="C1035" s="32"/>
      <c r="D1035" s="32"/>
      <c r="E1035" s="19" t="n">
        <f aca="false">+F1035*0.03</f>
        <v>0</v>
      </c>
      <c r="F1035" s="33" t="n">
        <v>0</v>
      </c>
      <c r="G1035" s="62"/>
      <c r="H1035" s="35" t="n">
        <v>0</v>
      </c>
      <c r="I1035" s="34" t="n">
        <f aca="false">+IF(E1035=0,0,E1035*0.03)</f>
        <v>0</v>
      </c>
    </row>
    <row r="1036" customFormat="false" ht="15.75" hidden="false" customHeight="true" outlineLevel="0" collapsed="false">
      <c r="A1036" s="30" t="n">
        <v>45323</v>
      </c>
      <c r="B1036" s="31" t="s">
        <v>7</v>
      </c>
      <c r="C1036" s="32"/>
      <c r="D1036" s="32"/>
      <c r="E1036" s="19" t="n">
        <f aca="false">+F1036*0.03</f>
        <v>0</v>
      </c>
      <c r="F1036" s="33" t="n">
        <v>0</v>
      </c>
      <c r="G1036" s="62"/>
      <c r="H1036" s="35" t="n">
        <v>0</v>
      </c>
      <c r="I1036" s="34" t="n">
        <f aca="false">+IF(E1036=0,0,E1036*0.03)</f>
        <v>0</v>
      </c>
    </row>
    <row r="1037" customFormat="false" ht="15.75" hidden="false" customHeight="true" outlineLevel="0" collapsed="false">
      <c r="A1037" s="30" t="n">
        <v>45323</v>
      </c>
      <c r="B1037" s="31" t="s">
        <v>7</v>
      </c>
      <c r="C1037" s="32"/>
      <c r="D1037" s="32"/>
      <c r="E1037" s="19" t="n">
        <f aca="false">+F1037*0.03</f>
        <v>0</v>
      </c>
      <c r="F1037" s="33" t="n">
        <v>0</v>
      </c>
      <c r="G1037" s="62"/>
      <c r="H1037" s="35" t="n">
        <v>0</v>
      </c>
      <c r="I1037" s="34" t="n">
        <f aca="false">+IF(E1037=0,0,E1037*0.03)</f>
        <v>0</v>
      </c>
    </row>
    <row r="1038" customFormat="false" ht="15.75" hidden="false" customHeight="true" outlineLevel="0" collapsed="false">
      <c r="A1038" s="30" t="n">
        <v>45323</v>
      </c>
      <c r="B1038" s="31" t="s">
        <v>7</v>
      </c>
      <c r="C1038" s="32"/>
      <c r="D1038" s="32"/>
      <c r="E1038" s="19" t="n">
        <f aca="false">+F1038*0.03</f>
        <v>0</v>
      </c>
      <c r="F1038" s="33" t="n">
        <v>0</v>
      </c>
      <c r="G1038" s="62"/>
      <c r="H1038" s="35" t="n">
        <v>0</v>
      </c>
      <c r="I1038" s="34" t="n">
        <f aca="false">+IF(E1038=0,0,E1038*0.03)</f>
        <v>0</v>
      </c>
    </row>
    <row r="1039" customFormat="false" ht="15.75" hidden="false" customHeight="true" outlineLevel="0" collapsed="false">
      <c r="A1039" s="30" t="n">
        <v>45323</v>
      </c>
      <c r="B1039" s="31" t="s">
        <v>7</v>
      </c>
      <c r="C1039" s="32"/>
      <c r="D1039" s="32"/>
      <c r="E1039" s="19" t="n">
        <f aca="false">+F1039*0.03</f>
        <v>0</v>
      </c>
      <c r="F1039" s="33" t="n">
        <v>0</v>
      </c>
      <c r="G1039" s="62"/>
      <c r="H1039" s="35" t="n">
        <v>0</v>
      </c>
      <c r="I1039" s="34" t="n">
        <f aca="false">+IF(E1039=0,0,E1039*0.03)</f>
        <v>0</v>
      </c>
    </row>
    <row r="1040" customFormat="false" ht="15.75" hidden="false" customHeight="true" outlineLevel="0" collapsed="false">
      <c r="A1040" s="30" t="n">
        <v>45323</v>
      </c>
      <c r="B1040" s="31" t="s">
        <v>7</v>
      </c>
      <c r="C1040" s="32"/>
      <c r="D1040" s="32"/>
      <c r="E1040" s="19" t="n">
        <f aca="false">+F1040*0.03</f>
        <v>0</v>
      </c>
      <c r="F1040" s="33" t="n">
        <v>0</v>
      </c>
      <c r="G1040" s="62"/>
      <c r="H1040" s="35" t="n">
        <v>0</v>
      </c>
      <c r="I1040" s="34" t="n">
        <f aca="false">+IF(E1040=0,0,E1040*0.03)</f>
        <v>0</v>
      </c>
    </row>
    <row r="1041" customFormat="false" ht="15.75" hidden="false" customHeight="true" outlineLevel="0" collapsed="false">
      <c r="A1041" s="30" t="n">
        <v>45323</v>
      </c>
      <c r="B1041" s="31" t="s">
        <v>7</v>
      </c>
      <c r="C1041" s="32"/>
      <c r="D1041" s="32"/>
      <c r="E1041" s="19" t="n">
        <f aca="false">+F1041*0.03</f>
        <v>0</v>
      </c>
      <c r="F1041" s="33" t="n">
        <v>0</v>
      </c>
      <c r="G1041" s="62"/>
      <c r="H1041" s="35" t="n">
        <v>0</v>
      </c>
      <c r="I1041" s="34" t="n">
        <f aca="false">+IF(E1041=0,0,E1041*0.03)</f>
        <v>0</v>
      </c>
    </row>
    <row r="1042" customFormat="false" ht="15.75" hidden="false" customHeight="true" outlineLevel="0" collapsed="false">
      <c r="A1042" s="30" t="n">
        <v>45323</v>
      </c>
      <c r="B1042" s="31" t="s">
        <v>7</v>
      </c>
      <c r="C1042" s="32"/>
      <c r="D1042" s="32"/>
      <c r="E1042" s="19" t="n">
        <f aca="false">+F1042*0.03</f>
        <v>0</v>
      </c>
      <c r="F1042" s="33" t="n">
        <v>0</v>
      </c>
      <c r="G1042" s="62"/>
      <c r="H1042" s="35" t="n">
        <v>0</v>
      </c>
      <c r="I1042" s="34" t="n">
        <f aca="false">+IF(E1042=0,0,E1042*0.03)</f>
        <v>0</v>
      </c>
    </row>
    <row r="1043" customFormat="false" ht="15.75" hidden="false" customHeight="true" outlineLevel="0" collapsed="false">
      <c r="A1043" s="30" t="n">
        <v>45323</v>
      </c>
      <c r="B1043" s="31" t="s">
        <v>7</v>
      </c>
      <c r="C1043" s="32"/>
      <c r="D1043" s="32"/>
      <c r="E1043" s="19" t="n">
        <f aca="false">+F1043*0.03</f>
        <v>0</v>
      </c>
      <c r="F1043" s="33" t="n">
        <v>0</v>
      </c>
      <c r="G1043" s="62"/>
      <c r="H1043" s="35" t="n">
        <v>0</v>
      </c>
      <c r="I1043" s="34" t="n">
        <f aca="false">+IF(E1043=0,0,E1043*0.03)</f>
        <v>0</v>
      </c>
    </row>
    <row r="1044" customFormat="false" ht="15.75" hidden="false" customHeight="true" outlineLevel="0" collapsed="false">
      <c r="A1044" s="30" t="n">
        <v>45323</v>
      </c>
      <c r="B1044" s="31" t="s">
        <v>7</v>
      </c>
      <c r="C1044" s="32"/>
      <c r="D1044" s="32"/>
      <c r="E1044" s="19" t="n">
        <f aca="false">+F1044*0.03</f>
        <v>0</v>
      </c>
      <c r="F1044" s="33" t="n">
        <v>0</v>
      </c>
      <c r="G1044" s="62"/>
      <c r="H1044" s="35" t="n">
        <v>0</v>
      </c>
      <c r="I1044" s="34" t="n">
        <f aca="false">+IF(E1044=0,0,E1044*0.03)</f>
        <v>0</v>
      </c>
    </row>
    <row r="1045" customFormat="false" ht="15.75" hidden="false" customHeight="true" outlineLevel="0" collapsed="false">
      <c r="A1045" s="30" t="n">
        <v>45323</v>
      </c>
      <c r="B1045" s="31" t="s">
        <v>7</v>
      </c>
      <c r="C1045" s="32"/>
      <c r="D1045" s="32"/>
      <c r="E1045" s="19" t="n">
        <f aca="false">+F1045*0.03</f>
        <v>0</v>
      </c>
      <c r="F1045" s="33" t="n">
        <v>0</v>
      </c>
      <c r="G1045" s="62"/>
      <c r="H1045" s="35" t="n">
        <v>0</v>
      </c>
      <c r="I1045" s="34" t="n">
        <f aca="false">+IF(E1045=0,0,E1045*0.03)</f>
        <v>0</v>
      </c>
    </row>
    <row r="1046" customFormat="false" ht="15.75" hidden="false" customHeight="true" outlineLevel="0" collapsed="false">
      <c r="A1046" s="30" t="n">
        <v>45323</v>
      </c>
      <c r="B1046" s="31" t="s">
        <v>7</v>
      </c>
      <c r="C1046" s="32"/>
      <c r="D1046" s="32"/>
      <c r="E1046" s="19" t="n">
        <f aca="false">+F1046*0.03</f>
        <v>0</v>
      </c>
      <c r="F1046" s="33" t="n">
        <v>0</v>
      </c>
      <c r="G1046" s="62"/>
      <c r="H1046" s="35" t="n">
        <v>0</v>
      </c>
      <c r="I1046" s="34" t="n">
        <f aca="false">+IF(E1046=0,0,E1046*0.03)</f>
        <v>0</v>
      </c>
    </row>
    <row r="1047" customFormat="false" ht="15.75" hidden="false" customHeight="true" outlineLevel="0" collapsed="false">
      <c r="A1047" s="30" t="n">
        <v>45323</v>
      </c>
      <c r="B1047" s="31" t="s">
        <v>7</v>
      </c>
      <c r="C1047" s="32"/>
      <c r="D1047" s="32"/>
      <c r="E1047" s="19" t="n">
        <f aca="false">+F1047*0.03</f>
        <v>0</v>
      </c>
      <c r="F1047" s="33" t="n">
        <v>0</v>
      </c>
      <c r="G1047" s="62"/>
      <c r="H1047" s="35" t="n">
        <v>0</v>
      </c>
      <c r="I1047" s="34" t="n">
        <f aca="false">+IF(E1047=0,0,E1047*0.03)</f>
        <v>0</v>
      </c>
    </row>
    <row r="1048" customFormat="false" ht="15.75" hidden="false" customHeight="true" outlineLevel="0" collapsed="false">
      <c r="A1048" s="30" t="n">
        <v>45323</v>
      </c>
      <c r="B1048" s="31" t="s">
        <v>7</v>
      </c>
      <c r="C1048" s="32"/>
      <c r="D1048" s="32"/>
      <c r="E1048" s="19" t="n">
        <f aca="false">+F1048*0.03</f>
        <v>0</v>
      </c>
      <c r="F1048" s="33" t="n">
        <v>0</v>
      </c>
      <c r="G1048" s="62"/>
      <c r="H1048" s="35" t="n">
        <v>0</v>
      </c>
      <c r="I1048" s="34" t="n">
        <f aca="false">+IF(E1048=0,0,E1048*0.03)</f>
        <v>0</v>
      </c>
    </row>
    <row r="1049" customFormat="false" ht="15.75" hidden="false" customHeight="true" outlineLevel="0" collapsed="false">
      <c r="A1049" s="30" t="n">
        <v>45323</v>
      </c>
      <c r="B1049" s="31" t="s">
        <v>7</v>
      </c>
      <c r="C1049" s="32"/>
      <c r="D1049" s="32"/>
      <c r="E1049" s="19" t="n">
        <f aca="false">+F1049*0.03</f>
        <v>0</v>
      </c>
      <c r="F1049" s="33" t="n">
        <v>0</v>
      </c>
      <c r="G1049" s="62"/>
      <c r="H1049" s="35" t="n">
        <v>0</v>
      </c>
      <c r="I1049" s="34" t="n">
        <f aca="false">+IF(E1049=0,0,E1049*0.03)</f>
        <v>0</v>
      </c>
    </row>
    <row r="1050" customFormat="false" ht="15.75" hidden="false" customHeight="true" outlineLevel="0" collapsed="false">
      <c r="A1050" s="30" t="n">
        <v>45323</v>
      </c>
      <c r="B1050" s="31" t="s">
        <v>7</v>
      </c>
      <c r="C1050" s="32"/>
      <c r="D1050" s="32"/>
      <c r="E1050" s="19" t="n">
        <f aca="false">+F1050*0.03</f>
        <v>0</v>
      </c>
      <c r="F1050" s="33" t="n">
        <v>0</v>
      </c>
      <c r="G1050" s="62"/>
      <c r="H1050" s="35" t="n">
        <v>0</v>
      </c>
      <c r="I1050" s="34" t="n">
        <f aca="false">+IF(E1050=0,0,E1050*0.03)</f>
        <v>0</v>
      </c>
    </row>
    <row r="1051" customFormat="false" ht="15.75" hidden="false" customHeight="true" outlineLevel="0" collapsed="false">
      <c r="A1051" s="30" t="n">
        <v>45323</v>
      </c>
      <c r="B1051" s="31" t="s">
        <v>7</v>
      </c>
      <c r="C1051" s="32"/>
      <c r="D1051" s="32"/>
      <c r="E1051" s="19" t="n">
        <f aca="false">+F1051*0.03</f>
        <v>0</v>
      </c>
      <c r="F1051" s="33" t="n">
        <v>0</v>
      </c>
      <c r="G1051" s="62"/>
      <c r="H1051" s="35" t="n">
        <v>0</v>
      </c>
      <c r="I1051" s="34" t="n">
        <f aca="false">+IF(E1051=0,0,E1051*0.03)</f>
        <v>0</v>
      </c>
    </row>
    <row r="1052" customFormat="false" ht="15.75" hidden="false" customHeight="true" outlineLevel="0" collapsed="false">
      <c r="A1052" s="30" t="n">
        <v>45323</v>
      </c>
      <c r="B1052" s="31" t="s">
        <v>7</v>
      </c>
      <c r="C1052" s="32"/>
      <c r="D1052" s="32"/>
      <c r="E1052" s="19" t="n">
        <f aca="false">+F1052*0.03</f>
        <v>0</v>
      </c>
      <c r="F1052" s="33" t="n">
        <v>0</v>
      </c>
      <c r="G1052" s="62"/>
      <c r="H1052" s="35" t="n">
        <v>0</v>
      </c>
      <c r="I1052" s="34" t="n">
        <f aca="false">+IF(E1052=0,0,E1052*0.03)</f>
        <v>0</v>
      </c>
    </row>
    <row r="1053" customFormat="false" ht="15.75" hidden="false" customHeight="true" outlineLevel="0" collapsed="false">
      <c r="A1053" s="30" t="n">
        <v>45323</v>
      </c>
      <c r="B1053" s="31" t="s">
        <v>7</v>
      </c>
      <c r="C1053" s="32"/>
      <c r="D1053" s="32"/>
      <c r="E1053" s="19" t="n">
        <f aca="false">+F1053*0.03</f>
        <v>0</v>
      </c>
      <c r="F1053" s="33" t="n">
        <v>0</v>
      </c>
      <c r="G1053" s="62"/>
      <c r="H1053" s="35" t="n">
        <v>0</v>
      </c>
      <c r="I1053" s="34" t="n">
        <f aca="false">+IF(E1053=0,0,E1053*0.03)</f>
        <v>0</v>
      </c>
    </row>
    <row r="1054" customFormat="false" ht="15.75" hidden="false" customHeight="true" outlineLevel="0" collapsed="false">
      <c r="A1054" s="30" t="n">
        <v>45323</v>
      </c>
      <c r="B1054" s="31" t="s">
        <v>7</v>
      </c>
      <c r="C1054" s="32"/>
      <c r="D1054" s="32"/>
      <c r="E1054" s="19" t="n">
        <f aca="false">+F1054*0.03</f>
        <v>0</v>
      </c>
      <c r="F1054" s="33" t="n">
        <v>0</v>
      </c>
      <c r="G1054" s="62"/>
      <c r="H1054" s="35" t="n">
        <v>0</v>
      </c>
      <c r="I1054" s="34" t="n">
        <f aca="false">+IF(E1054=0,0,E1054*0.03)</f>
        <v>0</v>
      </c>
    </row>
    <row r="1055" customFormat="false" ht="15.75" hidden="false" customHeight="true" outlineLevel="0" collapsed="false">
      <c r="A1055" s="30" t="n">
        <v>45323</v>
      </c>
      <c r="B1055" s="31" t="s">
        <v>7</v>
      </c>
      <c r="C1055" s="32"/>
      <c r="D1055" s="32"/>
      <c r="E1055" s="19" t="n">
        <f aca="false">+F1055*0.03</f>
        <v>0</v>
      </c>
      <c r="F1055" s="33" t="n">
        <v>0</v>
      </c>
      <c r="G1055" s="62"/>
      <c r="H1055" s="35" t="n">
        <v>0</v>
      </c>
      <c r="I1055" s="34" t="n">
        <f aca="false">+IF(E1055=0,0,E1055*0.03)</f>
        <v>0</v>
      </c>
    </row>
    <row r="1056" customFormat="false" ht="15.75" hidden="false" customHeight="true" outlineLevel="0" collapsed="false">
      <c r="A1056" s="30" t="n">
        <v>45323</v>
      </c>
      <c r="B1056" s="31" t="s">
        <v>7</v>
      </c>
      <c r="C1056" s="32"/>
      <c r="D1056" s="32"/>
      <c r="E1056" s="19" t="n">
        <f aca="false">+F1056*0.03</f>
        <v>0</v>
      </c>
      <c r="F1056" s="33" t="n">
        <v>0</v>
      </c>
      <c r="G1056" s="62"/>
      <c r="H1056" s="35" t="n">
        <v>0</v>
      </c>
      <c r="I1056" s="34" t="n">
        <f aca="false">+IF(E1056=0,0,E1056*0.03)</f>
        <v>0</v>
      </c>
    </row>
    <row r="1057" customFormat="false" ht="15.75" hidden="false" customHeight="true" outlineLevel="0" collapsed="false">
      <c r="A1057" s="30" t="n">
        <v>45323</v>
      </c>
      <c r="B1057" s="31" t="s">
        <v>7</v>
      </c>
      <c r="C1057" s="32"/>
      <c r="D1057" s="32"/>
      <c r="E1057" s="19" t="n">
        <f aca="false">+F1057*0.03</f>
        <v>0</v>
      </c>
      <c r="F1057" s="33" t="n">
        <v>0</v>
      </c>
      <c r="G1057" s="62"/>
      <c r="H1057" s="35" t="n">
        <v>0</v>
      </c>
      <c r="I1057" s="34" t="n">
        <f aca="false">+IF(E1057=0,0,E1057*0.03)</f>
        <v>0</v>
      </c>
    </row>
    <row r="1058" customFormat="false" ht="15.75" hidden="false" customHeight="true" outlineLevel="0" collapsed="false">
      <c r="A1058" s="30" t="n">
        <v>45323</v>
      </c>
      <c r="B1058" s="31" t="s">
        <v>7</v>
      </c>
      <c r="C1058" s="32"/>
      <c r="D1058" s="32"/>
      <c r="E1058" s="19" t="n">
        <f aca="false">+F1058*0.03</f>
        <v>0</v>
      </c>
      <c r="F1058" s="33" t="n">
        <v>0</v>
      </c>
      <c r="G1058" s="62"/>
      <c r="H1058" s="35" t="n">
        <v>0</v>
      </c>
      <c r="I1058" s="34" t="n">
        <f aca="false">+IF(E1058=0,0,E1058*0.03)</f>
        <v>0</v>
      </c>
    </row>
    <row r="1059" customFormat="false" ht="15.75" hidden="false" customHeight="true" outlineLevel="0" collapsed="false">
      <c r="A1059" s="30" t="n">
        <v>45323</v>
      </c>
      <c r="B1059" s="31" t="s">
        <v>7</v>
      </c>
      <c r="C1059" s="32"/>
      <c r="D1059" s="32"/>
      <c r="E1059" s="19" t="n">
        <f aca="false">+F1059*0.03</f>
        <v>0</v>
      </c>
      <c r="F1059" s="33" t="n">
        <v>0</v>
      </c>
      <c r="G1059" s="62"/>
      <c r="H1059" s="35" t="n">
        <v>0</v>
      </c>
      <c r="I1059" s="34" t="n">
        <f aca="false">+IF(E1059=0,0,E1059*0.03)</f>
        <v>0</v>
      </c>
    </row>
    <row r="1060" customFormat="false" ht="15.75" hidden="false" customHeight="true" outlineLevel="0" collapsed="false">
      <c r="A1060" s="30" t="n">
        <v>45323</v>
      </c>
      <c r="B1060" s="31" t="s">
        <v>7</v>
      </c>
      <c r="C1060" s="32"/>
      <c r="D1060" s="32"/>
      <c r="E1060" s="19" t="n">
        <f aca="false">+F1060*0.03</f>
        <v>0</v>
      </c>
      <c r="F1060" s="33" t="n">
        <v>0</v>
      </c>
      <c r="G1060" s="62"/>
      <c r="H1060" s="35" t="n">
        <v>0</v>
      </c>
      <c r="I1060" s="34" t="n">
        <f aca="false">+IF(E1060=0,0,E1060*0.03)</f>
        <v>0</v>
      </c>
    </row>
    <row r="1061" customFormat="false" ht="15.75" hidden="false" customHeight="true" outlineLevel="0" collapsed="false">
      <c r="A1061" s="30" t="n">
        <v>45323</v>
      </c>
      <c r="B1061" s="31" t="s">
        <v>7</v>
      </c>
      <c r="C1061" s="32"/>
      <c r="D1061" s="32"/>
      <c r="E1061" s="19" t="n">
        <f aca="false">+F1061*0.03</f>
        <v>0</v>
      </c>
      <c r="F1061" s="33" t="n">
        <v>0</v>
      </c>
      <c r="G1061" s="62"/>
      <c r="H1061" s="35" t="n">
        <v>0</v>
      </c>
      <c r="I1061" s="34" t="n">
        <f aca="false">+IF(E1061=0,0,E1061*0.03)</f>
        <v>0</v>
      </c>
    </row>
    <row r="1062" customFormat="false" ht="15.75" hidden="false" customHeight="true" outlineLevel="0" collapsed="false">
      <c r="A1062" s="30" t="n">
        <v>45323</v>
      </c>
      <c r="B1062" s="31" t="s">
        <v>7</v>
      </c>
      <c r="C1062" s="32"/>
      <c r="D1062" s="32"/>
      <c r="E1062" s="19" t="n">
        <f aca="false">+F1062*0.03</f>
        <v>0</v>
      </c>
      <c r="F1062" s="33" t="n">
        <v>0</v>
      </c>
      <c r="G1062" s="62"/>
      <c r="H1062" s="35" t="n">
        <v>0</v>
      </c>
      <c r="I1062" s="34" t="n">
        <f aca="false">+IF(E1062=0,0,E1062*0.03)</f>
        <v>0</v>
      </c>
    </row>
    <row r="1063" customFormat="false" ht="15.75" hidden="false" customHeight="true" outlineLevel="0" collapsed="false">
      <c r="A1063" s="30" t="n">
        <v>45323</v>
      </c>
      <c r="B1063" s="31" t="s">
        <v>7</v>
      </c>
      <c r="C1063" s="32"/>
      <c r="D1063" s="32"/>
      <c r="E1063" s="19" t="n">
        <f aca="false">+F1063*0.03</f>
        <v>0</v>
      </c>
      <c r="F1063" s="33" t="n">
        <v>0</v>
      </c>
      <c r="G1063" s="62"/>
      <c r="H1063" s="35" t="n">
        <v>0</v>
      </c>
      <c r="I1063" s="34" t="n">
        <f aca="false">+IF(E1063=0,0,E1063*0.03)</f>
        <v>0</v>
      </c>
    </row>
    <row r="1064" customFormat="false" ht="15.75" hidden="false" customHeight="true" outlineLevel="0" collapsed="false">
      <c r="A1064" s="30" t="n">
        <v>45323</v>
      </c>
      <c r="B1064" s="31" t="s">
        <v>7</v>
      </c>
      <c r="C1064" s="32"/>
      <c r="D1064" s="32"/>
      <c r="E1064" s="19" t="n">
        <f aca="false">+F1064*0.03</f>
        <v>0</v>
      </c>
      <c r="F1064" s="33" t="n">
        <v>0</v>
      </c>
      <c r="G1064" s="62"/>
      <c r="H1064" s="35" t="n">
        <v>0</v>
      </c>
      <c r="I1064" s="34" t="n">
        <f aca="false">+IF(E1064=0,0,E1064*0.03)</f>
        <v>0</v>
      </c>
    </row>
    <row r="1065" customFormat="false" ht="15.75" hidden="false" customHeight="true" outlineLevel="0" collapsed="false">
      <c r="A1065" s="30" t="n">
        <v>45323</v>
      </c>
      <c r="B1065" s="31" t="s">
        <v>7</v>
      </c>
      <c r="C1065" s="32"/>
      <c r="D1065" s="32"/>
      <c r="E1065" s="19" t="n">
        <f aca="false">+F1065*0.03</f>
        <v>0</v>
      </c>
      <c r="F1065" s="33" t="n">
        <v>0</v>
      </c>
      <c r="G1065" s="62"/>
      <c r="H1065" s="35" t="n">
        <v>0</v>
      </c>
      <c r="I1065" s="34" t="n">
        <f aca="false">+IF(E1065=0,0,E1065*0.03)</f>
        <v>0</v>
      </c>
    </row>
    <row r="1066" customFormat="false" ht="15.75" hidden="false" customHeight="true" outlineLevel="0" collapsed="false">
      <c r="A1066" s="30" t="n">
        <v>45323</v>
      </c>
      <c r="B1066" s="31" t="s">
        <v>7</v>
      </c>
      <c r="C1066" s="32"/>
      <c r="D1066" s="32"/>
      <c r="E1066" s="19" t="n">
        <f aca="false">+F1066*0.03</f>
        <v>0</v>
      </c>
      <c r="F1066" s="33" t="n">
        <v>0</v>
      </c>
      <c r="G1066" s="62"/>
      <c r="H1066" s="35" t="n">
        <v>0</v>
      </c>
      <c r="I1066" s="34" t="n">
        <f aca="false">+IF(E1066=0,0,E1066*0.03)</f>
        <v>0</v>
      </c>
    </row>
    <row r="1067" customFormat="false" ht="15.75" hidden="false" customHeight="true" outlineLevel="0" collapsed="false">
      <c r="A1067" s="30" t="n">
        <v>45323</v>
      </c>
      <c r="B1067" s="31" t="s">
        <v>7</v>
      </c>
      <c r="C1067" s="32"/>
      <c r="D1067" s="32"/>
      <c r="E1067" s="19" t="n">
        <f aca="false">+F1067*0.03</f>
        <v>0</v>
      </c>
      <c r="F1067" s="33" t="n">
        <v>0</v>
      </c>
      <c r="G1067" s="62"/>
      <c r="H1067" s="35" t="n">
        <v>0</v>
      </c>
      <c r="I1067" s="34" t="n">
        <f aca="false">+IF(E1067=0,0,E1067*0.03)</f>
        <v>0</v>
      </c>
    </row>
    <row r="1068" customFormat="false" ht="15.75" hidden="false" customHeight="true" outlineLevel="0" collapsed="false">
      <c r="A1068" s="30" t="n">
        <v>45323</v>
      </c>
      <c r="B1068" s="31" t="s">
        <v>7</v>
      </c>
      <c r="C1068" s="32"/>
      <c r="D1068" s="32"/>
      <c r="E1068" s="19" t="n">
        <f aca="false">+F1068*0.03</f>
        <v>0</v>
      </c>
      <c r="F1068" s="33" t="n">
        <v>0</v>
      </c>
      <c r="G1068" s="62"/>
      <c r="H1068" s="35" t="n">
        <v>0</v>
      </c>
      <c r="I1068" s="34" t="n">
        <f aca="false">+IF(E1068=0,0,E1068*0.03)</f>
        <v>0</v>
      </c>
    </row>
    <row r="1069" customFormat="false" ht="15.75" hidden="false" customHeight="true" outlineLevel="0" collapsed="false">
      <c r="A1069" s="30" t="n">
        <v>45323</v>
      </c>
      <c r="B1069" s="31" t="s">
        <v>7</v>
      </c>
      <c r="C1069" s="32"/>
      <c r="D1069" s="32"/>
      <c r="E1069" s="19" t="n">
        <f aca="false">+F1069*0.03</f>
        <v>0</v>
      </c>
      <c r="F1069" s="33" t="n">
        <v>0</v>
      </c>
      <c r="G1069" s="62"/>
      <c r="H1069" s="35" t="n">
        <v>0</v>
      </c>
      <c r="I1069" s="34" t="n">
        <f aca="false">+IF(E1069=0,0,E1069*0.03)</f>
        <v>0</v>
      </c>
    </row>
    <row r="1070" customFormat="false" ht="15.75" hidden="false" customHeight="true" outlineLevel="0" collapsed="false">
      <c r="A1070" s="30" t="n">
        <v>45323</v>
      </c>
      <c r="B1070" s="31" t="s">
        <v>7</v>
      </c>
      <c r="C1070" s="32"/>
      <c r="D1070" s="32"/>
      <c r="E1070" s="19" t="n">
        <f aca="false">+F1070*0.03</f>
        <v>0</v>
      </c>
      <c r="F1070" s="33" t="n">
        <v>0</v>
      </c>
      <c r="G1070" s="62"/>
      <c r="H1070" s="35" t="n">
        <v>0</v>
      </c>
      <c r="I1070" s="34" t="n">
        <f aca="false">+IF(E1070=0,0,E1070*0.03)</f>
        <v>0</v>
      </c>
    </row>
    <row r="1071" customFormat="false" ht="15.75" hidden="false" customHeight="true" outlineLevel="0" collapsed="false">
      <c r="A1071" s="30" t="n">
        <v>45323</v>
      </c>
      <c r="B1071" s="31" t="s">
        <v>7</v>
      </c>
      <c r="C1071" s="32"/>
      <c r="D1071" s="32"/>
      <c r="E1071" s="19" t="n">
        <f aca="false">+F1071*0.03</f>
        <v>0</v>
      </c>
      <c r="F1071" s="33" t="n">
        <v>0</v>
      </c>
      <c r="G1071" s="62"/>
      <c r="H1071" s="35" t="n">
        <v>0</v>
      </c>
      <c r="I1071" s="34" t="n">
        <f aca="false">+IF(E1071=0,0,E1071*0.03)</f>
        <v>0</v>
      </c>
    </row>
    <row r="1072" customFormat="false" ht="15.75" hidden="false" customHeight="true" outlineLevel="0" collapsed="false">
      <c r="A1072" s="30" t="n">
        <v>45323</v>
      </c>
      <c r="B1072" s="31" t="s">
        <v>7</v>
      </c>
      <c r="C1072" s="32"/>
      <c r="D1072" s="32"/>
      <c r="E1072" s="19" t="n">
        <f aca="false">+F1072*0.03</f>
        <v>0</v>
      </c>
      <c r="F1072" s="33" t="n">
        <v>0</v>
      </c>
      <c r="G1072" s="62"/>
      <c r="H1072" s="35" t="n">
        <v>0</v>
      </c>
      <c r="I1072" s="34" t="n">
        <f aca="false">+IF(E1072=0,0,E1072*0.03)</f>
        <v>0</v>
      </c>
    </row>
    <row r="1073" customFormat="false" ht="15.75" hidden="false" customHeight="true" outlineLevel="0" collapsed="false">
      <c r="A1073" s="30" t="n">
        <v>45323</v>
      </c>
      <c r="B1073" s="31" t="s">
        <v>7</v>
      </c>
      <c r="C1073" s="32"/>
      <c r="D1073" s="32"/>
      <c r="E1073" s="19" t="n">
        <f aca="false">+F1073*0.03</f>
        <v>0</v>
      </c>
      <c r="F1073" s="33" t="n">
        <v>0</v>
      </c>
      <c r="G1073" s="62"/>
      <c r="H1073" s="35" t="n">
        <v>0</v>
      </c>
      <c r="I1073" s="34" t="n">
        <f aca="false">+IF(E1073=0,0,E1073*0.03)</f>
        <v>0</v>
      </c>
    </row>
    <row r="1074" customFormat="false" ht="15.75" hidden="false" customHeight="true" outlineLevel="0" collapsed="false">
      <c r="A1074" s="30" t="n">
        <v>45323</v>
      </c>
      <c r="B1074" s="31" t="s">
        <v>7</v>
      </c>
      <c r="C1074" s="32"/>
      <c r="D1074" s="32"/>
      <c r="E1074" s="19" t="n">
        <f aca="false">+F1074*0.03</f>
        <v>0</v>
      </c>
      <c r="F1074" s="33" t="n">
        <v>0</v>
      </c>
      <c r="G1074" s="62"/>
      <c r="H1074" s="35" t="n">
        <v>0</v>
      </c>
      <c r="I1074" s="34" t="n">
        <f aca="false">+IF(E1074=0,0,E1074*0.03)</f>
        <v>0</v>
      </c>
    </row>
    <row r="1075" customFormat="false" ht="15.75" hidden="false" customHeight="true" outlineLevel="0" collapsed="false">
      <c r="A1075" s="30" t="n">
        <v>45323</v>
      </c>
      <c r="B1075" s="31" t="s">
        <v>7</v>
      </c>
      <c r="C1075" s="32"/>
      <c r="D1075" s="32"/>
      <c r="E1075" s="19" t="n">
        <f aca="false">+F1075*0.03</f>
        <v>0</v>
      </c>
      <c r="F1075" s="33" t="n">
        <v>0</v>
      </c>
      <c r="G1075" s="62"/>
      <c r="H1075" s="35" t="n">
        <v>0</v>
      </c>
      <c r="I1075" s="34" t="n">
        <f aca="false">+IF(E1075=0,0,E1075*0.03)</f>
        <v>0</v>
      </c>
    </row>
    <row r="1076" customFormat="false" ht="15.75" hidden="false" customHeight="true" outlineLevel="0" collapsed="false">
      <c r="A1076" s="30" t="n">
        <v>45323</v>
      </c>
      <c r="B1076" s="31" t="s">
        <v>7</v>
      </c>
      <c r="C1076" s="32"/>
      <c r="D1076" s="32"/>
      <c r="E1076" s="19" t="n">
        <f aca="false">+F1076*0.03</f>
        <v>0</v>
      </c>
      <c r="F1076" s="33" t="n">
        <v>0</v>
      </c>
      <c r="G1076" s="62"/>
      <c r="H1076" s="35" t="n">
        <v>0</v>
      </c>
      <c r="I1076" s="34" t="n">
        <f aca="false">+IF(E1076=0,0,E1076*0.03)</f>
        <v>0</v>
      </c>
    </row>
    <row r="1077" customFormat="false" ht="15.75" hidden="false" customHeight="true" outlineLevel="0" collapsed="false">
      <c r="A1077" s="30" t="n">
        <v>45323</v>
      </c>
      <c r="B1077" s="31" t="s">
        <v>7</v>
      </c>
      <c r="C1077" s="32"/>
      <c r="D1077" s="32"/>
      <c r="E1077" s="19" t="n">
        <f aca="false">+F1077*0.03</f>
        <v>0</v>
      </c>
      <c r="F1077" s="33" t="n">
        <v>0</v>
      </c>
      <c r="G1077" s="62"/>
      <c r="H1077" s="35" t="n">
        <v>0</v>
      </c>
      <c r="I1077" s="34" t="n">
        <f aca="false">+IF(E1077=0,0,E1077*0.03)</f>
        <v>0</v>
      </c>
    </row>
    <row r="1078" customFormat="false" ht="15.75" hidden="false" customHeight="true" outlineLevel="0" collapsed="false">
      <c r="A1078" s="30" t="n">
        <v>45323</v>
      </c>
      <c r="B1078" s="31" t="s">
        <v>7</v>
      </c>
      <c r="C1078" s="32"/>
      <c r="D1078" s="32"/>
      <c r="E1078" s="19" t="n">
        <f aca="false">+F1078*0.03</f>
        <v>0</v>
      </c>
      <c r="F1078" s="33" t="n">
        <v>0</v>
      </c>
      <c r="G1078" s="62"/>
      <c r="H1078" s="35" t="n">
        <v>0</v>
      </c>
      <c r="I1078" s="34" t="n">
        <f aca="false">+IF(E1078=0,0,E1078*0.03)</f>
        <v>0</v>
      </c>
    </row>
    <row r="1079" customFormat="false" ht="15.75" hidden="false" customHeight="true" outlineLevel="0" collapsed="false">
      <c r="A1079" s="30" t="n">
        <v>45323</v>
      </c>
      <c r="B1079" s="31" t="s">
        <v>7</v>
      </c>
      <c r="C1079" s="32"/>
      <c r="D1079" s="32"/>
      <c r="E1079" s="19" t="n">
        <f aca="false">+F1079*0.03</f>
        <v>0</v>
      </c>
      <c r="F1079" s="33" t="n">
        <v>0</v>
      </c>
      <c r="G1079" s="62"/>
      <c r="H1079" s="35" t="n">
        <v>0</v>
      </c>
      <c r="I1079" s="34" t="n">
        <f aca="false">+IF(E1079=0,0,E1079*0.03)</f>
        <v>0</v>
      </c>
    </row>
    <row r="1080" customFormat="false" ht="15.75" hidden="false" customHeight="true" outlineLevel="0" collapsed="false">
      <c r="A1080" s="30" t="n">
        <v>45323</v>
      </c>
      <c r="B1080" s="31" t="s">
        <v>7</v>
      </c>
      <c r="C1080" s="32"/>
      <c r="D1080" s="32"/>
      <c r="E1080" s="19" t="n">
        <f aca="false">+F1080*0.03</f>
        <v>0</v>
      </c>
      <c r="F1080" s="33" t="n">
        <v>0</v>
      </c>
      <c r="G1080" s="62"/>
      <c r="H1080" s="35" t="n">
        <v>0</v>
      </c>
      <c r="I1080" s="34" t="n">
        <f aca="false">+IF(E1080=0,0,E1080*0.03)</f>
        <v>0</v>
      </c>
    </row>
    <row r="1081" customFormat="false" ht="15.75" hidden="false" customHeight="true" outlineLevel="0" collapsed="false">
      <c r="A1081" s="30" t="n">
        <v>45323</v>
      </c>
      <c r="B1081" s="31" t="s">
        <v>7</v>
      </c>
      <c r="C1081" s="32"/>
      <c r="D1081" s="32"/>
      <c r="E1081" s="19" t="n">
        <f aca="false">+F1081*0.03</f>
        <v>0</v>
      </c>
      <c r="F1081" s="33" t="n">
        <v>0</v>
      </c>
      <c r="G1081" s="62"/>
      <c r="H1081" s="35" t="n">
        <v>0</v>
      </c>
      <c r="I1081" s="34" t="n">
        <f aca="false">+IF(E1081=0,0,E1081*0.03)</f>
        <v>0</v>
      </c>
    </row>
    <row r="1082" customFormat="false" ht="15.75" hidden="false" customHeight="true" outlineLevel="0" collapsed="false">
      <c r="A1082" s="30" t="n">
        <v>45323</v>
      </c>
      <c r="B1082" s="31" t="s">
        <v>7</v>
      </c>
      <c r="C1082" s="32"/>
      <c r="D1082" s="32"/>
      <c r="E1082" s="19" t="n">
        <f aca="false">+F1082*0.03</f>
        <v>0</v>
      </c>
      <c r="F1082" s="33" t="n">
        <v>0</v>
      </c>
      <c r="G1082" s="62"/>
      <c r="H1082" s="35" t="n">
        <v>0</v>
      </c>
      <c r="I1082" s="34" t="n">
        <f aca="false">+IF(E1082=0,0,E1082*0.03)</f>
        <v>0</v>
      </c>
    </row>
    <row r="1083" customFormat="false" ht="15.75" hidden="false" customHeight="true" outlineLevel="0" collapsed="false">
      <c r="A1083" s="30" t="n">
        <v>45323</v>
      </c>
      <c r="B1083" s="31" t="s">
        <v>7</v>
      </c>
      <c r="C1083" s="32"/>
      <c r="D1083" s="32"/>
      <c r="E1083" s="19" t="n">
        <f aca="false">+F1083*0.03</f>
        <v>0</v>
      </c>
      <c r="F1083" s="33" t="n">
        <v>0</v>
      </c>
      <c r="G1083" s="62"/>
      <c r="H1083" s="35" t="n">
        <v>0</v>
      </c>
      <c r="I1083" s="34" t="n">
        <f aca="false">+IF(E1083=0,0,E1083*0.03)</f>
        <v>0</v>
      </c>
    </row>
    <row r="1084" customFormat="false" ht="15.75" hidden="false" customHeight="true" outlineLevel="0" collapsed="false">
      <c r="A1084" s="30" t="n">
        <v>45323</v>
      </c>
      <c r="B1084" s="31" t="s">
        <v>7</v>
      </c>
      <c r="C1084" s="32"/>
      <c r="D1084" s="32"/>
      <c r="E1084" s="19" t="n">
        <f aca="false">+F1084*0.03</f>
        <v>0</v>
      </c>
      <c r="F1084" s="33" t="n">
        <v>0</v>
      </c>
      <c r="G1084" s="62"/>
      <c r="H1084" s="35" t="n">
        <v>0</v>
      </c>
      <c r="I1084" s="34" t="n">
        <f aca="false">+IF(E1084=0,0,E1084*0.03)</f>
        <v>0</v>
      </c>
    </row>
    <row r="1085" customFormat="false" ht="15.75" hidden="false" customHeight="true" outlineLevel="0" collapsed="false">
      <c r="A1085" s="30" t="n">
        <v>45323</v>
      </c>
      <c r="B1085" s="31" t="s">
        <v>7</v>
      </c>
      <c r="C1085" s="32"/>
      <c r="D1085" s="32"/>
      <c r="E1085" s="19" t="n">
        <f aca="false">+F1085*0.03</f>
        <v>0</v>
      </c>
      <c r="F1085" s="33" t="n">
        <v>0</v>
      </c>
      <c r="G1085" s="62"/>
      <c r="H1085" s="35" t="n">
        <v>0</v>
      </c>
      <c r="I1085" s="34" t="n">
        <f aca="false">+IF(E1085=0,0,E1085*0.03)</f>
        <v>0</v>
      </c>
    </row>
    <row r="1086" customFormat="false" ht="15.75" hidden="false" customHeight="true" outlineLevel="0" collapsed="false">
      <c r="A1086" s="30" t="n">
        <v>45323</v>
      </c>
      <c r="B1086" s="31" t="s">
        <v>7</v>
      </c>
      <c r="C1086" s="32"/>
      <c r="D1086" s="32"/>
      <c r="E1086" s="19" t="n">
        <f aca="false">+F1086*0.03</f>
        <v>0</v>
      </c>
      <c r="F1086" s="33" t="n">
        <v>0</v>
      </c>
      <c r="G1086" s="62"/>
      <c r="H1086" s="35" t="n">
        <v>0</v>
      </c>
      <c r="I1086" s="34" t="n">
        <f aca="false">+IF(E1086=0,0,E1086*0.03)</f>
        <v>0</v>
      </c>
    </row>
    <row r="1087" customFormat="false" ht="15.75" hidden="false" customHeight="true" outlineLevel="0" collapsed="false">
      <c r="A1087" s="30" t="n">
        <v>45323</v>
      </c>
      <c r="B1087" s="31" t="s">
        <v>7</v>
      </c>
      <c r="C1087" s="32"/>
      <c r="D1087" s="32"/>
      <c r="E1087" s="19" t="n">
        <f aca="false">+F1087*0.03</f>
        <v>0</v>
      </c>
      <c r="F1087" s="33" t="n">
        <v>0</v>
      </c>
      <c r="G1087" s="62"/>
      <c r="H1087" s="35" t="n">
        <v>0</v>
      </c>
      <c r="I1087" s="34" t="n">
        <f aca="false">+IF(E1087=0,0,E1087*0.03)</f>
        <v>0</v>
      </c>
    </row>
    <row r="1088" customFormat="false" ht="15.75" hidden="false" customHeight="true" outlineLevel="0" collapsed="false">
      <c r="A1088" s="30" t="n">
        <v>45323</v>
      </c>
      <c r="B1088" s="31" t="s">
        <v>7</v>
      </c>
      <c r="C1088" s="32"/>
      <c r="D1088" s="32"/>
      <c r="E1088" s="19" t="n">
        <f aca="false">+F1088*0.03</f>
        <v>0</v>
      </c>
      <c r="F1088" s="33" t="n">
        <v>0</v>
      </c>
      <c r="G1088" s="62"/>
      <c r="H1088" s="35" t="n">
        <v>0</v>
      </c>
      <c r="I1088" s="34" t="n">
        <f aca="false">+IF(E1088=0,0,E1088*0.03)</f>
        <v>0</v>
      </c>
    </row>
    <row r="1089" customFormat="false" ht="15.75" hidden="false" customHeight="true" outlineLevel="0" collapsed="false">
      <c r="A1089" s="30" t="n">
        <v>45323</v>
      </c>
      <c r="B1089" s="31" t="s">
        <v>7</v>
      </c>
      <c r="C1089" s="32"/>
      <c r="D1089" s="32"/>
      <c r="E1089" s="19" t="n">
        <f aca="false">+F1089*0.03</f>
        <v>0</v>
      </c>
      <c r="F1089" s="33" t="n">
        <v>0</v>
      </c>
      <c r="G1089" s="62"/>
      <c r="H1089" s="35" t="n">
        <v>0</v>
      </c>
      <c r="I1089" s="34" t="n">
        <f aca="false">+IF(E1089=0,0,E1089*0.03)</f>
        <v>0</v>
      </c>
    </row>
    <row r="1090" customFormat="false" ht="15.75" hidden="false" customHeight="true" outlineLevel="0" collapsed="false">
      <c r="A1090" s="30" t="n">
        <v>45323</v>
      </c>
      <c r="B1090" s="31" t="s">
        <v>7</v>
      </c>
      <c r="C1090" s="32"/>
      <c r="D1090" s="32"/>
      <c r="E1090" s="19" t="n">
        <f aca="false">+F1090*0.03</f>
        <v>0</v>
      </c>
      <c r="F1090" s="33" t="n">
        <v>0</v>
      </c>
      <c r="G1090" s="62"/>
      <c r="H1090" s="35" t="n">
        <v>0</v>
      </c>
      <c r="I1090" s="34" t="n">
        <f aca="false">+IF(E1090=0,0,E1090*0.03)</f>
        <v>0</v>
      </c>
    </row>
    <row r="1091" customFormat="false" ht="15.75" hidden="false" customHeight="true" outlineLevel="0" collapsed="false">
      <c r="A1091" s="30" t="n">
        <v>45323</v>
      </c>
      <c r="B1091" s="31" t="s">
        <v>7</v>
      </c>
      <c r="C1091" s="32"/>
      <c r="D1091" s="32"/>
      <c r="E1091" s="19" t="n">
        <f aca="false">+F1091*0.03</f>
        <v>0</v>
      </c>
      <c r="F1091" s="33" t="n">
        <v>0</v>
      </c>
      <c r="G1091" s="62"/>
      <c r="H1091" s="35" t="n">
        <v>0</v>
      </c>
      <c r="I1091" s="34" t="n">
        <f aca="false">+IF(E1091=0,0,E1091*0.03)</f>
        <v>0</v>
      </c>
    </row>
    <row r="1092" customFormat="false" ht="15.75" hidden="false" customHeight="true" outlineLevel="0" collapsed="false">
      <c r="A1092" s="30" t="n">
        <v>45323</v>
      </c>
      <c r="B1092" s="31" t="s">
        <v>7</v>
      </c>
      <c r="C1092" s="32"/>
      <c r="D1092" s="32"/>
      <c r="E1092" s="19" t="n">
        <f aca="false">+F1092*0.03</f>
        <v>0</v>
      </c>
      <c r="F1092" s="33" t="n">
        <v>0</v>
      </c>
      <c r="G1092" s="62"/>
      <c r="H1092" s="35" t="n">
        <v>0</v>
      </c>
      <c r="I1092" s="34" t="n">
        <f aca="false">+IF(E1092=0,0,E1092*0.03)</f>
        <v>0</v>
      </c>
    </row>
    <row r="1093" customFormat="false" ht="15.75" hidden="false" customHeight="true" outlineLevel="0" collapsed="false">
      <c r="A1093" s="30" t="n">
        <v>45323</v>
      </c>
      <c r="B1093" s="31" t="s">
        <v>7</v>
      </c>
      <c r="C1093" s="32"/>
      <c r="D1093" s="32"/>
      <c r="E1093" s="19" t="n">
        <f aca="false">+F1093*0.03</f>
        <v>0</v>
      </c>
      <c r="F1093" s="33" t="n">
        <v>0</v>
      </c>
      <c r="G1093" s="62"/>
      <c r="H1093" s="35" t="n">
        <v>0</v>
      </c>
      <c r="I1093" s="34" t="n">
        <f aca="false">+IF(E1093=0,0,E1093*0.03)</f>
        <v>0</v>
      </c>
    </row>
    <row r="1094" customFormat="false" ht="15.75" hidden="false" customHeight="true" outlineLevel="0" collapsed="false">
      <c r="A1094" s="30" t="n">
        <v>45323</v>
      </c>
      <c r="B1094" s="31" t="s">
        <v>7</v>
      </c>
      <c r="C1094" s="32"/>
      <c r="D1094" s="32"/>
      <c r="E1094" s="19" t="n">
        <f aca="false">+F1094*0.03</f>
        <v>0</v>
      </c>
      <c r="F1094" s="33" t="n">
        <v>0</v>
      </c>
      <c r="G1094" s="62"/>
      <c r="H1094" s="35" t="n">
        <v>0</v>
      </c>
      <c r="I1094" s="34" t="n">
        <f aca="false">+IF(E1094=0,0,E1094*0.03)</f>
        <v>0</v>
      </c>
    </row>
    <row r="1095" customFormat="false" ht="15.75" hidden="false" customHeight="true" outlineLevel="0" collapsed="false">
      <c r="A1095" s="30" t="n">
        <v>45323</v>
      </c>
      <c r="B1095" s="31" t="s">
        <v>7</v>
      </c>
      <c r="C1095" s="32"/>
      <c r="D1095" s="32"/>
      <c r="E1095" s="19" t="n">
        <f aca="false">+F1095*0.03</f>
        <v>0</v>
      </c>
      <c r="F1095" s="33" t="n">
        <v>0</v>
      </c>
      <c r="G1095" s="62"/>
      <c r="H1095" s="35" t="n">
        <v>0</v>
      </c>
      <c r="I1095" s="34" t="n">
        <f aca="false">+IF(E1095=0,0,E1095*0.03)</f>
        <v>0</v>
      </c>
    </row>
    <row r="1096" customFormat="false" ht="15.75" hidden="false" customHeight="true" outlineLevel="0" collapsed="false">
      <c r="A1096" s="30" t="n">
        <v>45323</v>
      </c>
      <c r="B1096" s="31" t="s">
        <v>7</v>
      </c>
      <c r="C1096" s="32"/>
      <c r="D1096" s="32"/>
      <c r="E1096" s="19" t="n">
        <f aca="false">+F1096*0.03</f>
        <v>0</v>
      </c>
      <c r="F1096" s="33" t="n">
        <v>0</v>
      </c>
      <c r="G1096" s="62"/>
      <c r="H1096" s="35" t="n">
        <v>0</v>
      </c>
      <c r="I1096" s="34" t="n">
        <f aca="false">+IF(E1096=0,0,E1096*0.03)</f>
        <v>0</v>
      </c>
    </row>
    <row r="1097" customFormat="false" ht="15.75" hidden="false" customHeight="true" outlineLevel="0" collapsed="false">
      <c r="A1097" s="30" t="n">
        <v>45323</v>
      </c>
      <c r="B1097" s="31" t="s">
        <v>7</v>
      </c>
      <c r="C1097" s="32"/>
      <c r="D1097" s="32"/>
      <c r="E1097" s="19" t="n">
        <f aca="false">+F1097*0.03</f>
        <v>0</v>
      </c>
      <c r="F1097" s="33" t="n">
        <v>0</v>
      </c>
      <c r="G1097" s="62"/>
      <c r="H1097" s="35" t="n">
        <v>0</v>
      </c>
      <c r="I1097" s="34" t="n">
        <f aca="false">+IF(E1097=0,0,E1097*0.03)</f>
        <v>0</v>
      </c>
    </row>
    <row r="1098" customFormat="false" ht="15.75" hidden="false" customHeight="true" outlineLevel="0" collapsed="false">
      <c r="A1098" s="30" t="n">
        <v>45323</v>
      </c>
      <c r="B1098" s="31" t="s">
        <v>7</v>
      </c>
      <c r="C1098" s="32"/>
      <c r="D1098" s="32"/>
      <c r="E1098" s="19" t="n">
        <f aca="false">+F1098*0.03</f>
        <v>0</v>
      </c>
      <c r="F1098" s="33" t="n">
        <v>0</v>
      </c>
      <c r="G1098" s="62"/>
      <c r="H1098" s="35" t="n">
        <v>0</v>
      </c>
      <c r="I1098" s="34" t="n">
        <f aca="false">+IF(E1098=0,0,E1098*0.03)</f>
        <v>0</v>
      </c>
    </row>
    <row r="1099" customFormat="false" ht="15.75" hidden="false" customHeight="true" outlineLevel="0" collapsed="false">
      <c r="A1099" s="30" t="n">
        <v>45323</v>
      </c>
      <c r="B1099" s="31" t="s">
        <v>7</v>
      </c>
      <c r="C1099" s="32"/>
      <c r="D1099" s="32"/>
      <c r="E1099" s="19" t="n">
        <f aca="false">+F1099*0.03</f>
        <v>0</v>
      </c>
      <c r="F1099" s="33" t="n">
        <v>0</v>
      </c>
      <c r="G1099" s="62"/>
      <c r="H1099" s="35" t="n">
        <v>0</v>
      </c>
      <c r="I1099" s="34" t="n">
        <f aca="false">+IF(E1099=0,0,E1099*0.03)</f>
        <v>0</v>
      </c>
    </row>
    <row r="1100" customFormat="false" ht="15.75" hidden="false" customHeight="true" outlineLevel="0" collapsed="false">
      <c r="A1100" s="30" t="n">
        <v>45323</v>
      </c>
      <c r="B1100" s="31" t="s">
        <v>7</v>
      </c>
      <c r="C1100" s="32"/>
      <c r="D1100" s="32"/>
      <c r="E1100" s="19" t="n">
        <f aca="false">+F1100*0.03</f>
        <v>0</v>
      </c>
      <c r="F1100" s="33" t="n">
        <v>0</v>
      </c>
      <c r="G1100" s="62"/>
      <c r="H1100" s="35" t="n">
        <v>0</v>
      </c>
      <c r="I1100" s="34" t="n">
        <f aca="false">+IF(E1100=0,0,E1100*0.03)</f>
        <v>0</v>
      </c>
    </row>
    <row r="1101" customFormat="false" ht="15.75" hidden="false" customHeight="true" outlineLevel="0" collapsed="false">
      <c r="A1101" s="30" t="n">
        <v>45323</v>
      </c>
      <c r="B1101" s="31" t="s">
        <v>7</v>
      </c>
      <c r="C1101" s="32"/>
      <c r="D1101" s="32"/>
      <c r="E1101" s="19" t="n">
        <f aca="false">+F1101*0.03</f>
        <v>0</v>
      </c>
      <c r="F1101" s="33" t="n">
        <v>0</v>
      </c>
      <c r="G1101" s="62"/>
      <c r="H1101" s="35" t="n">
        <v>0</v>
      </c>
      <c r="I1101" s="34" t="n">
        <f aca="false">+IF(E1101=0,0,E1101*0.03)</f>
        <v>0</v>
      </c>
    </row>
    <row r="1102" customFormat="false" ht="15.75" hidden="false" customHeight="true" outlineLevel="0" collapsed="false">
      <c r="A1102" s="30" t="n">
        <v>45323</v>
      </c>
      <c r="B1102" s="31" t="s">
        <v>7</v>
      </c>
      <c r="C1102" s="32"/>
      <c r="D1102" s="32"/>
      <c r="E1102" s="19" t="n">
        <f aca="false">+F1102*0.03</f>
        <v>0</v>
      </c>
      <c r="F1102" s="33" t="n">
        <v>0</v>
      </c>
      <c r="G1102" s="62"/>
      <c r="H1102" s="35" t="n">
        <v>0</v>
      </c>
      <c r="I1102" s="34" t="n">
        <f aca="false">+IF(E1102=0,0,E1102*0.03)</f>
        <v>0</v>
      </c>
    </row>
    <row r="1103" customFormat="false" ht="15.75" hidden="false" customHeight="true" outlineLevel="0" collapsed="false">
      <c r="A1103" s="30" t="n">
        <v>45323</v>
      </c>
      <c r="B1103" s="31" t="s">
        <v>7</v>
      </c>
      <c r="C1103" s="32"/>
      <c r="D1103" s="32"/>
      <c r="E1103" s="19" t="n">
        <f aca="false">+F1103*0.03</f>
        <v>0</v>
      </c>
      <c r="F1103" s="33" t="n">
        <v>0</v>
      </c>
      <c r="G1103" s="62"/>
      <c r="H1103" s="35" t="n">
        <v>0</v>
      </c>
      <c r="I1103" s="34" t="n">
        <f aca="false">+IF(E1103=0,0,E1103*0.03)</f>
        <v>0</v>
      </c>
    </row>
    <row r="1104" customFormat="false" ht="15.75" hidden="false" customHeight="true" outlineLevel="0" collapsed="false">
      <c r="A1104" s="30" t="n">
        <v>45323</v>
      </c>
      <c r="B1104" s="31" t="s">
        <v>7</v>
      </c>
      <c r="C1104" s="32"/>
      <c r="D1104" s="32"/>
      <c r="E1104" s="19" t="n">
        <f aca="false">+F1104*0.03</f>
        <v>0</v>
      </c>
      <c r="F1104" s="33" t="n">
        <v>0</v>
      </c>
      <c r="G1104" s="62"/>
      <c r="H1104" s="35" t="n">
        <v>0</v>
      </c>
      <c r="I1104" s="34" t="n">
        <f aca="false">+IF(E1104=0,0,E1104*0.03)</f>
        <v>0</v>
      </c>
    </row>
    <row r="1105" customFormat="false" ht="15.75" hidden="false" customHeight="true" outlineLevel="0" collapsed="false">
      <c r="A1105" s="30" t="n">
        <v>45323</v>
      </c>
      <c r="B1105" s="31" t="s">
        <v>7</v>
      </c>
      <c r="C1105" s="32"/>
      <c r="D1105" s="32"/>
      <c r="E1105" s="19" t="n">
        <f aca="false">+F1105*0.03</f>
        <v>0</v>
      </c>
      <c r="F1105" s="33" t="n">
        <v>0</v>
      </c>
      <c r="G1105" s="62"/>
      <c r="H1105" s="35" t="n">
        <v>0</v>
      </c>
      <c r="I1105" s="34" t="n">
        <f aca="false">+IF(E1105=0,0,E1105*0.03)</f>
        <v>0</v>
      </c>
    </row>
    <row r="1106" customFormat="false" ht="15.75" hidden="false" customHeight="true" outlineLevel="0" collapsed="false">
      <c r="A1106" s="30" t="n">
        <v>45323</v>
      </c>
      <c r="B1106" s="31" t="s">
        <v>7</v>
      </c>
      <c r="C1106" s="32"/>
      <c r="D1106" s="32"/>
      <c r="E1106" s="19" t="n">
        <f aca="false">+F1106*0.03</f>
        <v>0</v>
      </c>
      <c r="F1106" s="33" t="n">
        <v>0</v>
      </c>
      <c r="G1106" s="62"/>
      <c r="H1106" s="35" t="n">
        <v>0</v>
      </c>
      <c r="I1106" s="34" t="n">
        <f aca="false">+IF(E1106=0,0,E1106*0.03)</f>
        <v>0</v>
      </c>
    </row>
    <row r="1107" customFormat="false" ht="15.75" hidden="false" customHeight="true" outlineLevel="0" collapsed="false">
      <c r="A1107" s="30" t="n">
        <v>45323</v>
      </c>
      <c r="B1107" s="31" t="s">
        <v>7</v>
      </c>
      <c r="C1107" s="32"/>
      <c r="D1107" s="32"/>
      <c r="E1107" s="19" t="n">
        <f aca="false">+F1107*0.03</f>
        <v>0</v>
      </c>
      <c r="F1107" s="33" t="n">
        <v>0</v>
      </c>
      <c r="G1107" s="62"/>
      <c r="H1107" s="35" t="n">
        <v>0</v>
      </c>
      <c r="I1107" s="34" t="n">
        <f aca="false">+IF(E1107=0,0,E1107*0.03)</f>
        <v>0</v>
      </c>
    </row>
    <row r="1108" customFormat="false" ht="15.75" hidden="false" customHeight="true" outlineLevel="0" collapsed="false">
      <c r="A1108" s="30" t="n">
        <v>45323</v>
      </c>
      <c r="B1108" s="31" t="s">
        <v>7</v>
      </c>
      <c r="C1108" s="32"/>
      <c r="D1108" s="32"/>
      <c r="E1108" s="19" t="n">
        <f aca="false">+F1108*0.03</f>
        <v>0</v>
      </c>
      <c r="F1108" s="33" t="n">
        <v>0</v>
      </c>
      <c r="G1108" s="62"/>
      <c r="H1108" s="35" t="n">
        <v>0</v>
      </c>
      <c r="I1108" s="34" t="n">
        <f aca="false">+IF(E1108=0,0,E1108*0.03)</f>
        <v>0</v>
      </c>
    </row>
    <row r="1109" customFormat="false" ht="15.75" hidden="false" customHeight="true" outlineLevel="0" collapsed="false">
      <c r="A1109" s="30" t="n">
        <v>45323</v>
      </c>
      <c r="B1109" s="31" t="s">
        <v>7</v>
      </c>
      <c r="C1109" s="32"/>
      <c r="D1109" s="32"/>
      <c r="E1109" s="19" t="n">
        <f aca="false">+F1109*0.03</f>
        <v>0</v>
      </c>
      <c r="F1109" s="33" t="n">
        <v>0</v>
      </c>
      <c r="G1109" s="62"/>
      <c r="H1109" s="35" t="n">
        <v>0</v>
      </c>
      <c r="I1109" s="34" t="n">
        <f aca="false">+IF(E1109=0,0,E1109*0.03)</f>
        <v>0</v>
      </c>
    </row>
    <row r="1110" customFormat="false" ht="15.75" hidden="false" customHeight="true" outlineLevel="0" collapsed="false">
      <c r="A1110" s="30" t="n">
        <v>45323</v>
      </c>
      <c r="B1110" s="31" t="s">
        <v>7</v>
      </c>
      <c r="C1110" s="32"/>
      <c r="D1110" s="32"/>
      <c r="E1110" s="19" t="n">
        <f aca="false">+F1110*0.03</f>
        <v>0</v>
      </c>
      <c r="F1110" s="33" t="n">
        <v>0</v>
      </c>
      <c r="G1110" s="62"/>
      <c r="H1110" s="35" t="n">
        <v>0</v>
      </c>
      <c r="I1110" s="34" t="n">
        <f aca="false">+IF(E1110=0,0,E1110*0.03)</f>
        <v>0</v>
      </c>
    </row>
    <row r="1111" customFormat="false" ht="15.75" hidden="false" customHeight="true" outlineLevel="0" collapsed="false">
      <c r="A1111" s="30" t="n">
        <v>45323</v>
      </c>
      <c r="B1111" s="31" t="s">
        <v>7</v>
      </c>
      <c r="C1111" s="32"/>
      <c r="D1111" s="32"/>
      <c r="E1111" s="19" t="n">
        <f aca="false">+F1111*0.03</f>
        <v>0</v>
      </c>
      <c r="F1111" s="33" t="n">
        <v>0</v>
      </c>
      <c r="G1111" s="62"/>
      <c r="H1111" s="35" t="n">
        <v>0</v>
      </c>
      <c r="I1111" s="34" t="n">
        <f aca="false">+IF(E1111=0,0,E1111*0.03)</f>
        <v>0</v>
      </c>
    </row>
    <row r="1112" customFormat="false" ht="15.75" hidden="false" customHeight="true" outlineLevel="0" collapsed="false">
      <c r="A1112" s="30" t="n">
        <v>45323</v>
      </c>
      <c r="B1112" s="31" t="s">
        <v>7</v>
      </c>
      <c r="C1112" s="32"/>
      <c r="D1112" s="32"/>
      <c r="E1112" s="19" t="n">
        <f aca="false">+F1112*0.03</f>
        <v>0</v>
      </c>
      <c r="F1112" s="33" t="n">
        <v>0</v>
      </c>
      <c r="G1112" s="62"/>
      <c r="H1112" s="35" t="n">
        <v>0</v>
      </c>
      <c r="I1112" s="34" t="n">
        <f aca="false">+IF(E1112=0,0,E1112*0.03)</f>
        <v>0</v>
      </c>
    </row>
    <row r="1113" customFormat="false" ht="15.75" hidden="false" customHeight="true" outlineLevel="0" collapsed="false">
      <c r="A1113" s="30" t="n">
        <v>45323</v>
      </c>
      <c r="B1113" s="31" t="s">
        <v>7</v>
      </c>
      <c r="C1113" s="32"/>
      <c r="D1113" s="32"/>
      <c r="E1113" s="19" t="n">
        <f aca="false">+F1113*0.03</f>
        <v>0</v>
      </c>
      <c r="F1113" s="33" t="n">
        <v>0</v>
      </c>
      <c r="G1113" s="62"/>
      <c r="H1113" s="35" t="n">
        <v>0</v>
      </c>
      <c r="I1113" s="34" t="n">
        <f aca="false">+IF(E1113=0,0,E1113*0.03)</f>
        <v>0</v>
      </c>
    </row>
    <row r="1114" customFormat="false" ht="15.75" hidden="false" customHeight="true" outlineLevel="0" collapsed="false">
      <c r="A1114" s="30" t="n">
        <v>45323</v>
      </c>
      <c r="B1114" s="31" t="s">
        <v>7</v>
      </c>
      <c r="C1114" s="32"/>
      <c r="D1114" s="32"/>
      <c r="E1114" s="19" t="n">
        <f aca="false">+F1114*0.03</f>
        <v>0</v>
      </c>
      <c r="F1114" s="33" t="n">
        <v>0</v>
      </c>
      <c r="G1114" s="62"/>
      <c r="H1114" s="35" t="n">
        <v>0</v>
      </c>
      <c r="I1114" s="34" t="n">
        <f aca="false">+IF(E1114=0,0,E1114*0.03)</f>
        <v>0</v>
      </c>
    </row>
    <row r="1115" customFormat="false" ht="15.75" hidden="false" customHeight="true" outlineLevel="0" collapsed="false">
      <c r="A1115" s="30" t="n">
        <v>45323</v>
      </c>
      <c r="B1115" s="31" t="s">
        <v>7</v>
      </c>
      <c r="C1115" s="32"/>
      <c r="D1115" s="32"/>
      <c r="E1115" s="19" t="n">
        <f aca="false">+F1115*0.03</f>
        <v>0</v>
      </c>
      <c r="F1115" s="33" t="n">
        <v>0</v>
      </c>
      <c r="G1115" s="62"/>
      <c r="H1115" s="35" t="n">
        <v>0</v>
      </c>
      <c r="I1115" s="34" t="n">
        <f aca="false">+IF(E1115=0,0,E1115*0.03)</f>
        <v>0</v>
      </c>
    </row>
    <row r="1116" customFormat="false" ht="15.75" hidden="false" customHeight="true" outlineLevel="0" collapsed="false">
      <c r="A1116" s="30" t="n">
        <v>45323</v>
      </c>
      <c r="B1116" s="31" t="s">
        <v>7</v>
      </c>
      <c r="C1116" s="32"/>
      <c r="D1116" s="32"/>
      <c r="E1116" s="19" t="n">
        <f aca="false">+F1116*0.03</f>
        <v>0</v>
      </c>
      <c r="F1116" s="33" t="n">
        <v>0</v>
      </c>
      <c r="G1116" s="62"/>
      <c r="H1116" s="35" t="n">
        <v>0</v>
      </c>
      <c r="I1116" s="34" t="n">
        <f aca="false">+IF(E1116=0,0,E1116*0.03)</f>
        <v>0</v>
      </c>
    </row>
    <row r="1117" customFormat="false" ht="15.75" hidden="false" customHeight="true" outlineLevel="0" collapsed="false">
      <c r="A1117" s="30" t="n">
        <v>45323</v>
      </c>
      <c r="B1117" s="31" t="s">
        <v>7</v>
      </c>
      <c r="C1117" s="32"/>
      <c r="D1117" s="32"/>
      <c r="E1117" s="19" t="n">
        <f aca="false">+F1117*0.03</f>
        <v>0</v>
      </c>
      <c r="F1117" s="33" t="n">
        <v>0</v>
      </c>
      <c r="G1117" s="62"/>
      <c r="H1117" s="35" t="n">
        <v>0</v>
      </c>
      <c r="I1117" s="34" t="n">
        <f aca="false">+IF(E1117=0,0,E1117*0.03)</f>
        <v>0</v>
      </c>
    </row>
    <row r="1118" customFormat="false" ht="15.75" hidden="false" customHeight="true" outlineLevel="0" collapsed="false">
      <c r="A1118" s="30" t="n">
        <v>45323</v>
      </c>
      <c r="B1118" s="31" t="s">
        <v>7</v>
      </c>
      <c r="C1118" s="32"/>
      <c r="D1118" s="32"/>
      <c r="E1118" s="19" t="n">
        <f aca="false">+F1118*0.03</f>
        <v>0</v>
      </c>
      <c r="F1118" s="33" t="n">
        <v>0</v>
      </c>
      <c r="G1118" s="62"/>
      <c r="H1118" s="35" t="n">
        <v>0</v>
      </c>
      <c r="I1118" s="34" t="n">
        <f aca="false">+IF(E1118=0,0,E1118*0.03)</f>
        <v>0</v>
      </c>
    </row>
    <row r="1119" customFormat="false" ht="15.75" hidden="false" customHeight="true" outlineLevel="0" collapsed="false">
      <c r="A1119" s="30" t="n">
        <v>45323</v>
      </c>
      <c r="B1119" s="31" t="s">
        <v>7</v>
      </c>
      <c r="C1119" s="32"/>
      <c r="D1119" s="32"/>
      <c r="E1119" s="19" t="n">
        <f aca="false">+F1119*0.03</f>
        <v>0</v>
      </c>
      <c r="F1119" s="33" t="n">
        <v>0</v>
      </c>
      <c r="G1119" s="62"/>
      <c r="H1119" s="35" t="n">
        <v>0</v>
      </c>
      <c r="I1119" s="34" t="n">
        <f aca="false">+IF(E1119=0,0,E1119*0.03)</f>
        <v>0</v>
      </c>
    </row>
    <row r="1120" customFormat="false" ht="15.75" hidden="false" customHeight="true" outlineLevel="0" collapsed="false">
      <c r="A1120" s="30" t="n">
        <v>45323</v>
      </c>
      <c r="B1120" s="31" t="s">
        <v>7</v>
      </c>
      <c r="C1120" s="32"/>
      <c r="D1120" s="32"/>
      <c r="E1120" s="19" t="n">
        <f aca="false">+F1120*0.03</f>
        <v>0</v>
      </c>
      <c r="F1120" s="33" t="n">
        <v>0</v>
      </c>
      <c r="G1120" s="62"/>
      <c r="H1120" s="35" t="n">
        <v>0</v>
      </c>
      <c r="I1120" s="34" t="n">
        <f aca="false">+IF(E1120=0,0,E1120*0.03)</f>
        <v>0</v>
      </c>
    </row>
    <row r="1121" customFormat="false" ht="15.75" hidden="false" customHeight="true" outlineLevel="0" collapsed="false">
      <c r="A1121" s="30" t="n">
        <v>45323</v>
      </c>
      <c r="B1121" s="31" t="s">
        <v>7</v>
      </c>
      <c r="C1121" s="32"/>
      <c r="D1121" s="32"/>
      <c r="E1121" s="19" t="n">
        <f aca="false">+F1121*0.03</f>
        <v>0</v>
      </c>
      <c r="F1121" s="33" t="n">
        <v>0</v>
      </c>
      <c r="G1121" s="62"/>
      <c r="H1121" s="35" t="n">
        <v>0</v>
      </c>
      <c r="I1121" s="34" t="n">
        <f aca="false">+IF(E1121=0,0,E1121*0.03)</f>
        <v>0</v>
      </c>
    </row>
    <row r="1122" customFormat="false" ht="15.75" hidden="false" customHeight="true" outlineLevel="0" collapsed="false">
      <c r="A1122" s="30" t="n">
        <v>45323</v>
      </c>
      <c r="B1122" s="31" t="s">
        <v>7</v>
      </c>
      <c r="C1122" s="32"/>
      <c r="D1122" s="32"/>
      <c r="E1122" s="19" t="n">
        <f aca="false">+F1122*0.03</f>
        <v>0</v>
      </c>
      <c r="F1122" s="33" t="n">
        <v>0</v>
      </c>
      <c r="G1122" s="62"/>
      <c r="H1122" s="35" t="n">
        <v>0</v>
      </c>
      <c r="I1122" s="34" t="n">
        <f aca="false">+IF(E1122=0,0,E1122*0.03)</f>
        <v>0</v>
      </c>
    </row>
    <row r="1123" customFormat="false" ht="15.75" hidden="false" customHeight="true" outlineLevel="0" collapsed="false">
      <c r="A1123" s="30" t="n">
        <v>45323</v>
      </c>
      <c r="B1123" s="31" t="s">
        <v>7</v>
      </c>
      <c r="C1123" s="32"/>
      <c r="D1123" s="32"/>
      <c r="E1123" s="19" t="n">
        <f aca="false">+F1123*0.03</f>
        <v>0</v>
      </c>
      <c r="F1123" s="33" t="n">
        <v>0</v>
      </c>
      <c r="G1123" s="62"/>
      <c r="H1123" s="35" t="n">
        <v>0</v>
      </c>
      <c r="I1123" s="34" t="n">
        <f aca="false">+IF(E1123=0,0,E1123*0.03)</f>
        <v>0</v>
      </c>
    </row>
    <row r="1124" customFormat="false" ht="15.75" hidden="false" customHeight="true" outlineLevel="0" collapsed="false">
      <c r="A1124" s="30" t="n">
        <v>45323</v>
      </c>
      <c r="B1124" s="31" t="s">
        <v>7</v>
      </c>
      <c r="C1124" s="32"/>
      <c r="D1124" s="32"/>
      <c r="E1124" s="19" t="n">
        <f aca="false">+F1124*0.03</f>
        <v>0</v>
      </c>
      <c r="F1124" s="33" t="n">
        <v>0</v>
      </c>
      <c r="G1124" s="62"/>
      <c r="H1124" s="35" t="n">
        <v>0</v>
      </c>
      <c r="I1124" s="34" t="n">
        <f aca="false">+IF(E1124=0,0,E1124*0.03)</f>
        <v>0</v>
      </c>
    </row>
    <row r="1125" customFormat="false" ht="15.75" hidden="false" customHeight="true" outlineLevel="0" collapsed="false">
      <c r="A1125" s="30" t="n">
        <v>45323</v>
      </c>
      <c r="B1125" s="31" t="s">
        <v>7</v>
      </c>
      <c r="C1125" s="32"/>
      <c r="D1125" s="32"/>
      <c r="E1125" s="19" t="n">
        <f aca="false">+F1125*0.03</f>
        <v>0</v>
      </c>
      <c r="F1125" s="33" t="n">
        <v>0</v>
      </c>
      <c r="G1125" s="62"/>
      <c r="H1125" s="35" t="n">
        <v>0</v>
      </c>
      <c r="I1125" s="34" t="n">
        <f aca="false">+IF(E1125=0,0,E1125*0.03)</f>
        <v>0</v>
      </c>
    </row>
    <row r="1126" customFormat="false" ht="15.75" hidden="false" customHeight="true" outlineLevel="0" collapsed="false">
      <c r="A1126" s="30" t="n">
        <v>45323</v>
      </c>
      <c r="B1126" s="31" t="s">
        <v>7</v>
      </c>
      <c r="C1126" s="32"/>
      <c r="D1126" s="32"/>
      <c r="E1126" s="19" t="n">
        <f aca="false">+F1126*0.03</f>
        <v>0</v>
      </c>
      <c r="F1126" s="33" t="n">
        <v>0</v>
      </c>
      <c r="G1126" s="62"/>
      <c r="H1126" s="35" t="n">
        <v>0</v>
      </c>
      <c r="I1126" s="34" t="n">
        <f aca="false">+IF(E1126=0,0,E1126*0.03)</f>
        <v>0</v>
      </c>
    </row>
    <row r="1127" customFormat="false" ht="15.75" hidden="false" customHeight="true" outlineLevel="0" collapsed="false">
      <c r="A1127" s="30" t="n">
        <v>45323</v>
      </c>
      <c r="B1127" s="31" t="s">
        <v>7</v>
      </c>
      <c r="C1127" s="32"/>
      <c r="D1127" s="32"/>
      <c r="E1127" s="19" t="n">
        <f aca="false">+F1127*0.03</f>
        <v>0</v>
      </c>
      <c r="F1127" s="33" t="n">
        <v>0</v>
      </c>
      <c r="G1127" s="62"/>
      <c r="H1127" s="35" t="n">
        <v>0</v>
      </c>
      <c r="I1127" s="34" t="n">
        <f aca="false">+IF(E1127=0,0,E1127*0.03)</f>
        <v>0</v>
      </c>
    </row>
    <row r="1128" customFormat="false" ht="15.75" hidden="false" customHeight="true" outlineLevel="0" collapsed="false">
      <c r="A1128" s="30" t="n">
        <v>45323</v>
      </c>
      <c r="B1128" s="31" t="s">
        <v>7</v>
      </c>
      <c r="C1128" s="32"/>
      <c r="D1128" s="32"/>
      <c r="E1128" s="19" t="n">
        <f aca="false">+F1128*0.03</f>
        <v>0</v>
      </c>
      <c r="F1128" s="33" t="n">
        <v>0</v>
      </c>
      <c r="G1128" s="62"/>
      <c r="H1128" s="35" t="n">
        <v>0</v>
      </c>
      <c r="I1128" s="34" t="n">
        <f aca="false">+IF(E1128=0,0,E1128*0.03)</f>
        <v>0</v>
      </c>
    </row>
    <row r="1129" customFormat="false" ht="15.75" hidden="false" customHeight="true" outlineLevel="0" collapsed="false">
      <c r="A1129" s="30" t="n">
        <v>45323</v>
      </c>
      <c r="B1129" s="31" t="s">
        <v>7</v>
      </c>
      <c r="C1129" s="32"/>
      <c r="D1129" s="32"/>
      <c r="E1129" s="19" t="n">
        <f aca="false">+F1129*0.03</f>
        <v>0</v>
      </c>
      <c r="F1129" s="33" t="n">
        <v>0</v>
      </c>
      <c r="G1129" s="62"/>
      <c r="H1129" s="35" t="n">
        <v>0</v>
      </c>
      <c r="I1129" s="34" t="n">
        <f aca="false">+IF(E1129=0,0,E1129*0.03)</f>
        <v>0</v>
      </c>
    </row>
    <row r="1130" customFormat="false" ht="15.75" hidden="false" customHeight="true" outlineLevel="0" collapsed="false">
      <c r="A1130" s="30" t="n">
        <v>45323</v>
      </c>
      <c r="B1130" s="31" t="s">
        <v>7</v>
      </c>
      <c r="C1130" s="32"/>
      <c r="D1130" s="32"/>
      <c r="E1130" s="19" t="n">
        <f aca="false">+F1130*0.03</f>
        <v>0</v>
      </c>
      <c r="F1130" s="33" t="n">
        <v>0</v>
      </c>
      <c r="G1130" s="62"/>
      <c r="H1130" s="35" t="n">
        <v>0</v>
      </c>
      <c r="I1130" s="34" t="n">
        <f aca="false">+IF(E1130=0,0,E1130*0.03)</f>
        <v>0</v>
      </c>
    </row>
    <row r="1131" customFormat="false" ht="15.75" hidden="false" customHeight="true" outlineLevel="0" collapsed="false">
      <c r="A1131" s="30" t="n">
        <v>45323</v>
      </c>
      <c r="B1131" s="31" t="s">
        <v>7</v>
      </c>
      <c r="C1131" s="32"/>
      <c r="D1131" s="32"/>
      <c r="E1131" s="19" t="n">
        <f aca="false">+F1131*0.03</f>
        <v>0</v>
      </c>
      <c r="F1131" s="33" t="n">
        <v>0</v>
      </c>
      <c r="G1131" s="62"/>
      <c r="H1131" s="35" t="n">
        <v>0</v>
      </c>
      <c r="I1131" s="34" t="n">
        <f aca="false">+IF(E1131=0,0,E1131*0.03)</f>
        <v>0</v>
      </c>
    </row>
    <row r="1132" customFormat="false" ht="15.75" hidden="false" customHeight="true" outlineLevel="0" collapsed="false">
      <c r="A1132" s="30" t="n">
        <v>45323</v>
      </c>
      <c r="B1132" s="31" t="s">
        <v>7</v>
      </c>
      <c r="C1132" s="32"/>
      <c r="D1132" s="32"/>
      <c r="E1132" s="19" t="n">
        <f aca="false">+F1132*0.03</f>
        <v>0</v>
      </c>
      <c r="F1132" s="33" t="n">
        <v>0</v>
      </c>
      <c r="G1132" s="62"/>
      <c r="H1132" s="35" t="n">
        <v>0</v>
      </c>
      <c r="I1132" s="34" t="n">
        <f aca="false">+IF(E1132=0,0,E1132*0.03)</f>
        <v>0</v>
      </c>
    </row>
    <row r="1133" customFormat="false" ht="15.75" hidden="false" customHeight="true" outlineLevel="0" collapsed="false">
      <c r="A1133" s="30" t="n">
        <v>45323</v>
      </c>
      <c r="B1133" s="31" t="s">
        <v>7</v>
      </c>
      <c r="C1133" s="32"/>
      <c r="D1133" s="32"/>
      <c r="E1133" s="19" t="n">
        <f aca="false">+F1133*0.03</f>
        <v>0</v>
      </c>
      <c r="F1133" s="33" t="n">
        <v>0</v>
      </c>
      <c r="G1133" s="62"/>
      <c r="H1133" s="35" t="n">
        <v>0</v>
      </c>
      <c r="I1133" s="34" t="n">
        <f aca="false">+IF(E1133=0,0,E1133*0.03)</f>
        <v>0</v>
      </c>
    </row>
    <row r="1134" customFormat="false" ht="15.75" hidden="false" customHeight="true" outlineLevel="0" collapsed="false">
      <c r="A1134" s="30" t="n">
        <v>45323</v>
      </c>
      <c r="B1134" s="31" t="s">
        <v>7</v>
      </c>
      <c r="C1134" s="32"/>
      <c r="D1134" s="32"/>
      <c r="E1134" s="19" t="n">
        <f aca="false">+F1134*0.03</f>
        <v>0</v>
      </c>
      <c r="F1134" s="33" t="n">
        <v>0</v>
      </c>
      <c r="G1134" s="62"/>
      <c r="H1134" s="35" t="n">
        <v>0</v>
      </c>
      <c r="I1134" s="34" t="n">
        <f aca="false">+IF(E1134=0,0,E1134*0.03)</f>
        <v>0</v>
      </c>
    </row>
    <row r="1135" customFormat="false" ht="15.75" hidden="false" customHeight="true" outlineLevel="0" collapsed="false">
      <c r="A1135" s="30" t="n">
        <v>45323</v>
      </c>
      <c r="B1135" s="31" t="s">
        <v>7</v>
      </c>
      <c r="C1135" s="32"/>
      <c r="D1135" s="32"/>
      <c r="E1135" s="19" t="n">
        <f aca="false">+F1135*0.03</f>
        <v>0</v>
      </c>
      <c r="F1135" s="33" t="n">
        <v>0</v>
      </c>
      <c r="G1135" s="62"/>
      <c r="H1135" s="35" t="n">
        <v>0</v>
      </c>
      <c r="I1135" s="34" t="n">
        <f aca="false">+IF(E1135=0,0,E1135*0.03)</f>
        <v>0</v>
      </c>
    </row>
    <row r="1136" customFormat="false" ht="15.75" hidden="false" customHeight="true" outlineLevel="0" collapsed="false">
      <c r="A1136" s="30" t="n">
        <v>45323</v>
      </c>
      <c r="B1136" s="31" t="s">
        <v>7</v>
      </c>
      <c r="C1136" s="32"/>
      <c r="D1136" s="32"/>
      <c r="E1136" s="19" t="n">
        <f aca="false">+F1136*0.03</f>
        <v>0</v>
      </c>
      <c r="F1136" s="33" t="n">
        <v>0</v>
      </c>
      <c r="G1136" s="62"/>
      <c r="H1136" s="35" t="n">
        <v>0</v>
      </c>
      <c r="I1136" s="34" t="n">
        <f aca="false">+IF(E1136=0,0,E1136*0.03)</f>
        <v>0</v>
      </c>
    </row>
    <row r="1137" customFormat="false" ht="15.75" hidden="false" customHeight="true" outlineLevel="0" collapsed="false">
      <c r="A1137" s="30" t="n">
        <v>45323</v>
      </c>
      <c r="B1137" s="31" t="s">
        <v>7</v>
      </c>
      <c r="C1137" s="32"/>
      <c r="D1137" s="32"/>
      <c r="E1137" s="19" t="n">
        <f aca="false">+F1137*0.03</f>
        <v>0</v>
      </c>
      <c r="F1137" s="33" t="n">
        <v>0</v>
      </c>
      <c r="G1137" s="62"/>
      <c r="H1137" s="35" t="n">
        <v>0</v>
      </c>
      <c r="I1137" s="34" t="n">
        <f aca="false">+IF(E1137=0,0,E1137*0.03)</f>
        <v>0</v>
      </c>
    </row>
    <row r="1138" customFormat="false" ht="15.75" hidden="false" customHeight="true" outlineLevel="0" collapsed="false">
      <c r="A1138" s="30" t="n">
        <v>45323</v>
      </c>
      <c r="B1138" s="31" t="s">
        <v>7</v>
      </c>
      <c r="C1138" s="32"/>
      <c r="D1138" s="32"/>
      <c r="E1138" s="19" t="n">
        <f aca="false">+F1138*0.03</f>
        <v>0</v>
      </c>
      <c r="F1138" s="33" t="n">
        <v>0</v>
      </c>
      <c r="G1138" s="62"/>
      <c r="H1138" s="35" t="n">
        <v>0</v>
      </c>
      <c r="I1138" s="34" t="n">
        <f aca="false">+IF(E1138=0,0,E1138*0.03)</f>
        <v>0</v>
      </c>
    </row>
    <row r="1139" customFormat="false" ht="15.75" hidden="false" customHeight="true" outlineLevel="0" collapsed="false">
      <c r="A1139" s="30" t="n">
        <v>45323</v>
      </c>
      <c r="B1139" s="31" t="s">
        <v>7</v>
      </c>
      <c r="C1139" s="32"/>
      <c r="D1139" s="32"/>
      <c r="E1139" s="19" t="n">
        <f aca="false">+F1139*0.03</f>
        <v>0</v>
      </c>
      <c r="F1139" s="33" t="n">
        <v>0</v>
      </c>
      <c r="G1139" s="62"/>
      <c r="H1139" s="35" t="n">
        <v>0</v>
      </c>
      <c r="I1139" s="34" t="n">
        <f aca="false">+IF(E1139=0,0,E1139*0.03)</f>
        <v>0</v>
      </c>
    </row>
    <row r="1140" customFormat="false" ht="15.75" hidden="false" customHeight="true" outlineLevel="0" collapsed="false">
      <c r="A1140" s="30" t="n">
        <v>45323</v>
      </c>
      <c r="B1140" s="31" t="s">
        <v>7</v>
      </c>
      <c r="C1140" s="32"/>
      <c r="D1140" s="32"/>
      <c r="E1140" s="19" t="n">
        <f aca="false">+F1140*0.03</f>
        <v>0</v>
      </c>
      <c r="F1140" s="33" t="n">
        <v>0</v>
      </c>
      <c r="G1140" s="62"/>
      <c r="H1140" s="35" t="n">
        <v>0</v>
      </c>
      <c r="I1140" s="34" t="n">
        <f aca="false">+IF(E1140=0,0,E1140*0.03)</f>
        <v>0</v>
      </c>
    </row>
    <row r="1141" customFormat="false" ht="15.75" hidden="false" customHeight="true" outlineLevel="0" collapsed="false">
      <c r="A1141" s="30" t="n">
        <v>45323</v>
      </c>
      <c r="B1141" s="31" t="s">
        <v>7</v>
      </c>
      <c r="C1141" s="32"/>
      <c r="D1141" s="32"/>
      <c r="E1141" s="19" t="n">
        <f aca="false">+F1141*0.03</f>
        <v>0</v>
      </c>
      <c r="F1141" s="33" t="n">
        <v>0</v>
      </c>
      <c r="G1141" s="62"/>
      <c r="H1141" s="35" t="n">
        <v>0</v>
      </c>
      <c r="I1141" s="34" t="n">
        <f aca="false">+IF(E1141=0,0,E1141*0.03)</f>
        <v>0</v>
      </c>
    </row>
    <row r="1142" customFormat="false" ht="15.75" hidden="false" customHeight="true" outlineLevel="0" collapsed="false">
      <c r="A1142" s="30" t="n">
        <v>45323</v>
      </c>
      <c r="B1142" s="31" t="s">
        <v>7</v>
      </c>
      <c r="C1142" s="32"/>
      <c r="D1142" s="32"/>
      <c r="E1142" s="19" t="n">
        <f aca="false">+F1142*0.03</f>
        <v>0</v>
      </c>
      <c r="F1142" s="33" t="n">
        <v>0</v>
      </c>
      <c r="G1142" s="62"/>
      <c r="H1142" s="35" t="n">
        <v>0</v>
      </c>
      <c r="I1142" s="34" t="n">
        <f aca="false">+IF(E1142=0,0,E1142*0.03)</f>
        <v>0</v>
      </c>
    </row>
    <row r="1143" customFormat="false" ht="15.75" hidden="false" customHeight="true" outlineLevel="0" collapsed="false">
      <c r="A1143" s="30" t="n">
        <v>45323</v>
      </c>
      <c r="B1143" s="31" t="s">
        <v>7</v>
      </c>
      <c r="C1143" s="32"/>
      <c r="D1143" s="32"/>
      <c r="E1143" s="19" t="n">
        <f aca="false">+F1143*0.03</f>
        <v>0</v>
      </c>
      <c r="F1143" s="33" t="n">
        <v>0</v>
      </c>
      <c r="G1143" s="62"/>
      <c r="H1143" s="35" t="n">
        <v>0</v>
      </c>
      <c r="I1143" s="34" t="n">
        <f aca="false">+IF(E1143=0,0,E1143*0.03)</f>
        <v>0</v>
      </c>
    </row>
    <row r="1144" customFormat="false" ht="15.75" hidden="false" customHeight="true" outlineLevel="0" collapsed="false">
      <c r="A1144" s="30" t="n">
        <v>45323</v>
      </c>
      <c r="B1144" s="31" t="s">
        <v>7</v>
      </c>
      <c r="C1144" s="32"/>
      <c r="D1144" s="32"/>
      <c r="E1144" s="19" t="n">
        <f aca="false">+F1144*0.03</f>
        <v>0</v>
      </c>
      <c r="F1144" s="33" t="n">
        <v>0</v>
      </c>
      <c r="G1144" s="62"/>
      <c r="H1144" s="35" t="n">
        <v>0</v>
      </c>
      <c r="I1144" s="34" t="n">
        <f aca="false">+IF(E1144=0,0,E1144*0.03)</f>
        <v>0</v>
      </c>
    </row>
    <row r="1145" customFormat="false" ht="15.75" hidden="false" customHeight="true" outlineLevel="0" collapsed="false">
      <c r="A1145" s="30" t="n">
        <v>45323</v>
      </c>
      <c r="B1145" s="31" t="s">
        <v>7</v>
      </c>
      <c r="C1145" s="32"/>
      <c r="D1145" s="32"/>
      <c r="E1145" s="19" t="n">
        <f aca="false">+F1145*0.03</f>
        <v>0</v>
      </c>
      <c r="F1145" s="33" t="n">
        <v>0</v>
      </c>
      <c r="G1145" s="62"/>
      <c r="H1145" s="35" t="n">
        <v>0</v>
      </c>
      <c r="I1145" s="34" t="n">
        <f aca="false">+IF(E1145=0,0,E1145*0.03)</f>
        <v>0</v>
      </c>
    </row>
    <row r="1146" customFormat="false" ht="15.75" hidden="false" customHeight="true" outlineLevel="0" collapsed="false">
      <c r="A1146" s="30" t="n">
        <v>45323</v>
      </c>
      <c r="B1146" s="31" t="s">
        <v>7</v>
      </c>
      <c r="C1146" s="32"/>
      <c r="D1146" s="32"/>
      <c r="E1146" s="19" t="n">
        <f aca="false">+F1146*0.03</f>
        <v>0</v>
      </c>
      <c r="F1146" s="33" t="n">
        <v>0</v>
      </c>
      <c r="G1146" s="62"/>
      <c r="H1146" s="35" t="n">
        <v>0</v>
      </c>
      <c r="I1146" s="34" t="n">
        <f aca="false">+IF(E1146=0,0,E1146*0.03)</f>
        <v>0</v>
      </c>
    </row>
    <row r="1147" customFormat="false" ht="15.75" hidden="false" customHeight="true" outlineLevel="0" collapsed="false">
      <c r="A1147" s="30" t="n">
        <v>45323</v>
      </c>
      <c r="B1147" s="31" t="s">
        <v>7</v>
      </c>
      <c r="C1147" s="32"/>
      <c r="D1147" s="32"/>
      <c r="E1147" s="19" t="n">
        <f aca="false">+F1147*0.03</f>
        <v>0</v>
      </c>
      <c r="F1147" s="33" t="n">
        <v>0</v>
      </c>
      <c r="G1147" s="62"/>
      <c r="H1147" s="35" t="n">
        <v>0</v>
      </c>
      <c r="I1147" s="34" t="n">
        <f aca="false">+IF(E1147=0,0,E1147*0.03)</f>
        <v>0</v>
      </c>
    </row>
    <row r="1148" customFormat="false" ht="15.75" hidden="false" customHeight="true" outlineLevel="0" collapsed="false">
      <c r="A1148" s="30" t="n">
        <v>45323</v>
      </c>
      <c r="B1148" s="31" t="s">
        <v>7</v>
      </c>
      <c r="C1148" s="32"/>
      <c r="D1148" s="32"/>
      <c r="E1148" s="19" t="n">
        <f aca="false">+F1148*0.03</f>
        <v>0</v>
      </c>
      <c r="F1148" s="33" t="n">
        <v>0</v>
      </c>
      <c r="G1148" s="62"/>
      <c r="H1148" s="35" t="n">
        <v>0</v>
      </c>
      <c r="I1148" s="34" t="n">
        <f aca="false">+IF(E1148=0,0,E1148*0.03)</f>
        <v>0</v>
      </c>
    </row>
    <row r="1149" customFormat="false" ht="15.75" hidden="false" customHeight="true" outlineLevel="0" collapsed="false">
      <c r="A1149" s="30" t="n">
        <v>45323</v>
      </c>
      <c r="B1149" s="31" t="s">
        <v>7</v>
      </c>
      <c r="C1149" s="32"/>
      <c r="D1149" s="32"/>
      <c r="E1149" s="19" t="n">
        <f aca="false">+F1149*0.03</f>
        <v>0</v>
      </c>
      <c r="F1149" s="33" t="n">
        <v>0</v>
      </c>
      <c r="G1149" s="62"/>
      <c r="H1149" s="35" t="n">
        <v>0</v>
      </c>
      <c r="I1149" s="34" t="n">
        <f aca="false">+IF(E1149=0,0,E1149*0.03)</f>
        <v>0</v>
      </c>
    </row>
    <row r="1150" customFormat="false" ht="15.75" hidden="false" customHeight="true" outlineLevel="0" collapsed="false">
      <c r="A1150" s="30" t="n">
        <v>45323</v>
      </c>
      <c r="B1150" s="31" t="s">
        <v>7</v>
      </c>
      <c r="C1150" s="32"/>
      <c r="D1150" s="32"/>
      <c r="E1150" s="19" t="n">
        <f aca="false">+F1150*0.03</f>
        <v>0</v>
      </c>
      <c r="F1150" s="33" t="n">
        <v>0</v>
      </c>
      <c r="G1150" s="62"/>
      <c r="H1150" s="35" t="n">
        <v>0</v>
      </c>
      <c r="I1150" s="34" t="n">
        <f aca="false">+IF(E1150=0,0,E1150*0.03)</f>
        <v>0</v>
      </c>
    </row>
    <row r="1151" customFormat="false" ht="15.75" hidden="false" customHeight="true" outlineLevel="0" collapsed="false">
      <c r="A1151" s="30" t="n">
        <v>45323</v>
      </c>
      <c r="B1151" s="31" t="s">
        <v>7</v>
      </c>
      <c r="C1151" s="32"/>
      <c r="D1151" s="32"/>
      <c r="E1151" s="19" t="n">
        <f aca="false">+F1151*0.03</f>
        <v>0</v>
      </c>
      <c r="F1151" s="33" t="n">
        <v>0</v>
      </c>
      <c r="G1151" s="62"/>
      <c r="H1151" s="35" t="n">
        <v>0</v>
      </c>
      <c r="I1151" s="34" t="n">
        <f aca="false">+IF(E1151=0,0,E1151*0.03)</f>
        <v>0</v>
      </c>
    </row>
    <row r="1152" customFormat="false" ht="15.75" hidden="false" customHeight="true" outlineLevel="0" collapsed="false">
      <c r="A1152" s="30" t="n">
        <v>45323</v>
      </c>
      <c r="B1152" s="31" t="s">
        <v>7</v>
      </c>
      <c r="C1152" s="32"/>
      <c r="D1152" s="32"/>
      <c r="E1152" s="19" t="n">
        <f aca="false">+F1152*0.03</f>
        <v>0</v>
      </c>
      <c r="F1152" s="33" t="n">
        <v>0</v>
      </c>
      <c r="G1152" s="62"/>
      <c r="H1152" s="35" t="n">
        <v>0</v>
      </c>
      <c r="I1152" s="34" t="n">
        <f aca="false">+IF(E1152=0,0,E1152*0.03)</f>
        <v>0</v>
      </c>
    </row>
    <row r="1153" customFormat="false" ht="15.75" hidden="false" customHeight="true" outlineLevel="0" collapsed="false">
      <c r="A1153" s="30" t="n">
        <v>45323</v>
      </c>
      <c r="B1153" s="31" t="s">
        <v>7</v>
      </c>
      <c r="C1153" s="32"/>
      <c r="D1153" s="32"/>
      <c r="E1153" s="19" t="n">
        <f aca="false">+F1153*0.03</f>
        <v>0</v>
      </c>
      <c r="F1153" s="33" t="n">
        <v>0</v>
      </c>
      <c r="G1153" s="62"/>
      <c r="H1153" s="35" t="n">
        <v>0</v>
      </c>
      <c r="I1153" s="34" t="n">
        <f aca="false">+IF(E1153=0,0,E1153*0.03)</f>
        <v>0</v>
      </c>
    </row>
    <row r="1154" customFormat="false" ht="15.75" hidden="false" customHeight="true" outlineLevel="0" collapsed="false">
      <c r="A1154" s="30" t="n">
        <v>45323</v>
      </c>
      <c r="B1154" s="31" t="s">
        <v>7</v>
      </c>
      <c r="C1154" s="32"/>
      <c r="D1154" s="32"/>
      <c r="E1154" s="19" t="n">
        <f aca="false">+F1154*0.03</f>
        <v>0</v>
      </c>
      <c r="F1154" s="33" t="n">
        <v>0</v>
      </c>
      <c r="G1154" s="62"/>
      <c r="H1154" s="35" t="n">
        <v>0</v>
      </c>
      <c r="I1154" s="34" t="n">
        <f aca="false">+IF(E1154=0,0,E1154*0.03)</f>
        <v>0</v>
      </c>
    </row>
    <row r="1155" customFormat="false" ht="15.75" hidden="false" customHeight="true" outlineLevel="0" collapsed="false">
      <c r="A1155" s="30" t="n">
        <v>45323</v>
      </c>
      <c r="B1155" s="31" t="s">
        <v>7</v>
      </c>
      <c r="C1155" s="32"/>
      <c r="D1155" s="32"/>
      <c r="E1155" s="19" t="n">
        <f aca="false">+F1155*0.03</f>
        <v>0</v>
      </c>
      <c r="F1155" s="33" t="n">
        <v>0</v>
      </c>
      <c r="G1155" s="62"/>
      <c r="H1155" s="35" t="n">
        <v>0</v>
      </c>
      <c r="I1155" s="34" t="n">
        <f aca="false">+IF(E1155=0,0,E1155*0.03)</f>
        <v>0</v>
      </c>
    </row>
    <row r="1156" customFormat="false" ht="15.75" hidden="false" customHeight="true" outlineLevel="0" collapsed="false">
      <c r="A1156" s="30" t="n">
        <v>45323</v>
      </c>
      <c r="B1156" s="31" t="s">
        <v>7</v>
      </c>
      <c r="C1156" s="32"/>
      <c r="D1156" s="32"/>
      <c r="E1156" s="19" t="n">
        <f aca="false">+F1156*0.03</f>
        <v>0</v>
      </c>
      <c r="F1156" s="33" t="n">
        <v>0</v>
      </c>
      <c r="G1156" s="62"/>
      <c r="H1156" s="35" t="n">
        <v>0</v>
      </c>
      <c r="I1156" s="34" t="n">
        <f aca="false">+IF(E1156=0,0,E1156*0.03)</f>
        <v>0</v>
      </c>
    </row>
    <row r="1157" customFormat="false" ht="15.75" hidden="false" customHeight="true" outlineLevel="0" collapsed="false">
      <c r="A1157" s="30" t="n">
        <v>45323</v>
      </c>
      <c r="B1157" s="31" t="s">
        <v>7</v>
      </c>
      <c r="C1157" s="32"/>
      <c r="D1157" s="32"/>
      <c r="E1157" s="19" t="n">
        <f aca="false">+F1157*0.03</f>
        <v>0</v>
      </c>
      <c r="F1157" s="33" t="n">
        <v>0</v>
      </c>
      <c r="G1157" s="62"/>
      <c r="H1157" s="35" t="n">
        <v>0</v>
      </c>
      <c r="I1157" s="34" t="n">
        <f aca="false">+IF(E1157=0,0,E1157*0.03)</f>
        <v>0</v>
      </c>
    </row>
    <row r="1158" customFormat="false" ht="15.75" hidden="false" customHeight="true" outlineLevel="0" collapsed="false">
      <c r="A1158" s="30" t="n">
        <v>45323</v>
      </c>
      <c r="B1158" s="31" t="s">
        <v>7</v>
      </c>
      <c r="C1158" s="32"/>
      <c r="D1158" s="32"/>
      <c r="E1158" s="19" t="n">
        <f aca="false">+F1158*0.03</f>
        <v>0</v>
      </c>
      <c r="F1158" s="33" t="n">
        <v>0</v>
      </c>
      <c r="G1158" s="62"/>
      <c r="H1158" s="35" t="n">
        <v>0</v>
      </c>
      <c r="I1158" s="34" t="n">
        <f aca="false">+IF(E1158=0,0,E1158*0.03)</f>
        <v>0</v>
      </c>
    </row>
    <row r="1159" customFormat="false" ht="15.75" hidden="false" customHeight="true" outlineLevel="0" collapsed="false">
      <c r="A1159" s="30" t="n">
        <v>45323</v>
      </c>
      <c r="B1159" s="31" t="s">
        <v>7</v>
      </c>
      <c r="C1159" s="32"/>
      <c r="D1159" s="32"/>
      <c r="E1159" s="19" t="n">
        <f aca="false">+F1159*0.03</f>
        <v>0</v>
      </c>
      <c r="F1159" s="33" t="n">
        <v>0</v>
      </c>
      <c r="G1159" s="62"/>
      <c r="H1159" s="35" t="n">
        <v>0</v>
      </c>
      <c r="I1159" s="34" t="n">
        <f aca="false">+IF(E1159=0,0,E1159*0.03)</f>
        <v>0</v>
      </c>
    </row>
    <row r="1160" customFormat="false" ht="15.75" hidden="false" customHeight="true" outlineLevel="0" collapsed="false">
      <c r="A1160" s="30" t="n">
        <v>45323</v>
      </c>
      <c r="B1160" s="31" t="s">
        <v>7</v>
      </c>
      <c r="C1160" s="32"/>
      <c r="D1160" s="32"/>
      <c r="E1160" s="19" t="n">
        <f aca="false">+F1160*0.03</f>
        <v>0</v>
      </c>
      <c r="F1160" s="33" t="n">
        <v>0</v>
      </c>
      <c r="G1160" s="62"/>
      <c r="H1160" s="35" t="n">
        <v>0</v>
      </c>
      <c r="I1160" s="34" t="n">
        <f aca="false">+IF(E1160=0,0,E1160*0.03)</f>
        <v>0</v>
      </c>
    </row>
    <row r="1161" customFormat="false" ht="15.75" hidden="false" customHeight="true" outlineLevel="0" collapsed="false">
      <c r="A1161" s="30" t="n">
        <v>45323</v>
      </c>
      <c r="B1161" s="31" t="s">
        <v>7</v>
      </c>
      <c r="C1161" s="32"/>
      <c r="D1161" s="32"/>
      <c r="E1161" s="19" t="n">
        <f aca="false">+F1161*0.03</f>
        <v>0</v>
      </c>
      <c r="F1161" s="33" t="n">
        <v>0</v>
      </c>
      <c r="G1161" s="62"/>
      <c r="H1161" s="35" t="n">
        <v>0</v>
      </c>
      <c r="I1161" s="34" t="n">
        <f aca="false">+IF(E1161=0,0,E1161*0.03)</f>
        <v>0</v>
      </c>
    </row>
    <row r="1162" customFormat="false" ht="15.75" hidden="false" customHeight="true" outlineLevel="0" collapsed="false">
      <c r="A1162" s="30" t="n">
        <v>45323</v>
      </c>
      <c r="B1162" s="31" t="s">
        <v>7</v>
      </c>
      <c r="C1162" s="32"/>
      <c r="D1162" s="32"/>
      <c r="E1162" s="19" t="n">
        <f aca="false">+F1162*0.03</f>
        <v>0</v>
      </c>
      <c r="F1162" s="33" t="n">
        <v>0</v>
      </c>
      <c r="G1162" s="62"/>
      <c r="H1162" s="35" t="n">
        <v>0</v>
      </c>
      <c r="I1162" s="34" t="n">
        <f aca="false">+IF(E1162=0,0,E1162*0.03)</f>
        <v>0</v>
      </c>
    </row>
    <row r="1163" customFormat="false" ht="15.75" hidden="false" customHeight="true" outlineLevel="0" collapsed="false">
      <c r="A1163" s="30" t="n">
        <v>45323</v>
      </c>
      <c r="B1163" s="31" t="s">
        <v>7</v>
      </c>
      <c r="C1163" s="32"/>
      <c r="D1163" s="32"/>
      <c r="E1163" s="19" t="n">
        <f aca="false">+F1163*0.03</f>
        <v>0</v>
      </c>
      <c r="F1163" s="33" t="n">
        <v>0</v>
      </c>
      <c r="G1163" s="62"/>
      <c r="H1163" s="35" t="n">
        <v>0</v>
      </c>
      <c r="I1163" s="34" t="n">
        <f aca="false">+IF(E1163=0,0,E1163*0.03)</f>
        <v>0</v>
      </c>
    </row>
    <row r="1164" customFormat="false" ht="15.75" hidden="false" customHeight="true" outlineLevel="0" collapsed="false">
      <c r="A1164" s="30" t="n">
        <v>45323</v>
      </c>
      <c r="B1164" s="31" t="s">
        <v>7</v>
      </c>
      <c r="C1164" s="32"/>
      <c r="D1164" s="32"/>
      <c r="E1164" s="19" t="n">
        <f aca="false">+F1164*0.03</f>
        <v>0</v>
      </c>
      <c r="F1164" s="33" t="n">
        <v>0</v>
      </c>
      <c r="G1164" s="62"/>
      <c r="H1164" s="35" t="n">
        <v>0</v>
      </c>
      <c r="I1164" s="34" t="n">
        <f aca="false">+IF(E1164=0,0,E1164*0.03)</f>
        <v>0</v>
      </c>
    </row>
    <row r="1165" customFormat="false" ht="15.75" hidden="false" customHeight="true" outlineLevel="0" collapsed="false">
      <c r="A1165" s="30" t="n">
        <v>45323</v>
      </c>
      <c r="B1165" s="31" t="s">
        <v>7</v>
      </c>
      <c r="C1165" s="32"/>
      <c r="D1165" s="32"/>
      <c r="E1165" s="19" t="n">
        <f aca="false">+F1165*0.03</f>
        <v>0</v>
      </c>
      <c r="F1165" s="33" t="n">
        <v>0</v>
      </c>
      <c r="G1165" s="62"/>
      <c r="H1165" s="35" t="n">
        <v>0</v>
      </c>
      <c r="I1165" s="34" t="n">
        <f aca="false">+IF(E1165=0,0,E1165*0.03)</f>
        <v>0</v>
      </c>
    </row>
    <row r="1166" customFormat="false" ht="15.75" hidden="false" customHeight="true" outlineLevel="0" collapsed="false">
      <c r="A1166" s="30" t="n">
        <v>45323</v>
      </c>
      <c r="B1166" s="31" t="s">
        <v>7</v>
      </c>
      <c r="C1166" s="32"/>
      <c r="D1166" s="32"/>
      <c r="E1166" s="19" t="n">
        <f aca="false">+F1166*0.03</f>
        <v>0</v>
      </c>
      <c r="F1166" s="33" t="n">
        <v>0</v>
      </c>
      <c r="G1166" s="62"/>
      <c r="H1166" s="35" t="n">
        <v>0</v>
      </c>
      <c r="I1166" s="34" t="n">
        <f aca="false">+IF(E1166=0,0,E1166*0.03)</f>
        <v>0</v>
      </c>
    </row>
    <row r="1167" customFormat="false" ht="15.75" hidden="false" customHeight="true" outlineLevel="0" collapsed="false">
      <c r="A1167" s="30" t="n">
        <v>45323</v>
      </c>
      <c r="B1167" s="31" t="s">
        <v>7</v>
      </c>
      <c r="C1167" s="32"/>
      <c r="D1167" s="32"/>
      <c r="E1167" s="19" t="n">
        <f aca="false">+F1167*0.03</f>
        <v>0</v>
      </c>
      <c r="F1167" s="33" t="n">
        <v>0</v>
      </c>
      <c r="G1167" s="62"/>
      <c r="H1167" s="35" t="n">
        <v>0</v>
      </c>
      <c r="I1167" s="34" t="n">
        <f aca="false">+IF(E1167=0,0,E1167*0.03)</f>
        <v>0</v>
      </c>
    </row>
    <row r="1168" customFormat="false" ht="15.75" hidden="false" customHeight="true" outlineLevel="0" collapsed="false">
      <c r="A1168" s="30" t="n">
        <v>45323</v>
      </c>
      <c r="B1168" s="31" t="s">
        <v>7</v>
      </c>
      <c r="C1168" s="32"/>
      <c r="D1168" s="32"/>
      <c r="E1168" s="19" t="n">
        <f aca="false">+F1168*0.03</f>
        <v>0</v>
      </c>
      <c r="F1168" s="33" t="n">
        <v>0</v>
      </c>
      <c r="G1168" s="62"/>
      <c r="H1168" s="35" t="n">
        <v>0</v>
      </c>
      <c r="I1168" s="34" t="n">
        <f aca="false">+IF(E1168=0,0,E1168*0.03)</f>
        <v>0</v>
      </c>
    </row>
    <row r="1169" customFormat="false" ht="15.75" hidden="false" customHeight="true" outlineLevel="0" collapsed="false">
      <c r="A1169" s="30" t="n">
        <v>45323</v>
      </c>
      <c r="B1169" s="31" t="s">
        <v>7</v>
      </c>
      <c r="C1169" s="32"/>
      <c r="D1169" s="32"/>
      <c r="E1169" s="19" t="n">
        <f aca="false">+F1169*0.03</f>
        <v>0</v>
      </c>
      <c r="F1169" s="33" t="n">
        <v>0</v>
      </c>
      <c r="G1169" s="62"/>
      <c r="H1169" s="35" t="n">
        <v>0</v>
      </c>
      <c r="I1169" s="34" t="n">
        <f aca="false">+IF(E1169=0,0,E1169*0.03)</f>
        <v>0</v>
      </c>
    </row>
    <row r="1170" customFormat="false" ht="15.75" hidden="false" customHeight="true" outlineLevel="0" collapsed="false">
      <c r="A1170" s="30" t="n">
        <v>45323</v>
      </c>
      <c r="B1170" s="31" t="s">
        <v>7</v>
      </c>
      <c r="C1170" s="32"/>
      <c r="D1170" s="32"/>
      <c r="E1170" s="19" t="n">
        <f aca="false">+F1170*0.03</f>
        <v>0</v>
      </c>
      <c r="F1170" s="33" t="n">
        <v>0</v>
      </c>
      <c r="G1170" s="62"/>
      <c r="H1170" s="35" t="n">
        <v>0</v>
      </c>
      <c r="I1170" s="34" t="n">
        <f aca="false">+IF(E1170=0,0,E1170*0.03)</f>
        <v>0</v>
      </c>
    </row>
    <row r="1171" customFormat="false" ht="15.75" hidden="false" customHeight="true" outlineLevel="0" collapsed="false">
      <c r="A1171" s="30" t="n">
        <v>45323</v>
      </c>
      <c r="B1171" s="31" t="s">
        <v>7</v>
      </c>
      <c r="C1171" s="32"/>
      <c r="D1171" s="32"/>
      <c r="E1171" s="19" t="n">
        <f aca="false">+F1171*0.03</f>
        <v>0</v>
      </c>
      <c r="F1171" s="33" t="n">
        <v>0</v>
      </c>
      <c r="G1171" s="62"/>
      <c r="H1171" s="35" t="n">
        <v>0</v>
      </c>
      <c r="I1171" s="34" t="n">
        <f aca="false">+IF(E1171=0,0,E1171*0.03)</f>
        <v>0</v>
      </c>
    </row>
    <row r="1172" customFormat="false" ht="15.75" hidden="false" customHeight="true" outlineLevel="0" collapsed="false">
      <c r="A1172" s="30" t="n">
        <v>45323</v>
      </c>
      <c r="B1172" s="31" t="s">
        <v>7</v>
      </c>
      <c r="C1172" s="32"/>
      <c r="D1172" s="32"/>
      <c r="E1172" s="19" t="n">
        <f aca="false">+F1172*0.03</f>
        <v>0</v>
      </c>
      <c r="F1172" s="33" t="n">
        <v>0</v>
      </c>
      <c r="G1172" s="62"/>
      <c r="H1172" s="35" t="n">
        <v>0</v>
      </c>
      <c r="I1172" s="34" t="n">
        <f aca="false">+IF(E1172=0,0,E1172*0.03)</f>
        <v>0</v>
      </c>
    </row>
    <row r="1173" customFormat="false" ht="15.75" hidden="false" customHeight="true" outlineLevel="0" collapsed="false">
      <c r="A1173" s="30" t="n">
        <v>45323</v>
      </c>
      <c r="B1173" s="31" t="s">
        <v>7</v>
      </c>
      <c r="C1173" s="32"/>
      <c r="D1173" s="32"/>
      <c r="E1173" s="19" t="n">
        <f aca="false">+F1173*0.03</f>
        <v>0</v>
      </c>
      <c r="F1173" s="33" t="n">
        <v>0</v>
      </c>
      <c r="G1173" s="62"/>
      <c r="H1173" s="35" t="n">
        <v>0</v>
      </c>
      <c r="I1173" s="34" t="n">
        <f aca="false">+IF(E1173=0,0,E1173*0.03)</f>
        <v>0</v>
      </c>
    </row>
    <row r="1174" customFormat="false" ht="15.75" hidden="false" customHeight="true" outlineLevel="0" collapsed="false">
      <c r="A1174" s="30" t="n">
        <v>45323</v>
      </c>
      <c r="B1174" s="31" t="s">
        <v>7</v>
      </c>
      <c r="C1174" s="32"/>
      <c r="D1174" s="32"/>
      <c r="E1174" s="19" t="n">
        <f aca="false">+F1174*0.03</f>
        <v>0</v>
      </c>
      <c r="F1174" s="33" t="n">
        <v>0</v>
      </c>
      <c r="G1174" s="62"/>
      <c r="H1174" s="35" t="n">
        <v>0</v>
      </c>
      <c r="I1174" s="34" t="n">
        <f aca="false">+IF(E1174=0,0,E1174*0.03)</f>
        <v>0</v>
      </c>
    </row>
    <row r="1175" customFormat="false" ht="15.75" hidden="false" customHeight="true" outlineLevel="0" collapsed="false">
      <c r="A1175" s="30" t="n">
        <v>45323</v>
      </c>
      <c r="B1175" s="31" t="s">
        <v>7</v>
      </c>
      <c r="C1175" s="32"/>
      <c r="D1175" s="32"/>
      <c r="E1175" s="19" t="n">
        <f aca="false">+F1175*0.03</f>
        <v>0</v>
      </c>
      <c r="F1175" s="33" t="n">
        <v>0</v>
      </c>
      <c r="G1175" s="62"/>
      <c r="H1175" s="35" t="n">
        <v>0</v>
      </c>
      <c r="I1175" s="34" t="n">
        <f aca="false">+IF(E1175=0,0,E1175*0.03)</f>
        <v>0</v>
      </c>
    </row>
    <row r="1176" customFormat="false" ht="15.75" hidden="false" customHeight="true" outlineLevel="0" collapsed="false">
      <c r="A1176" s="30" t="n">
        <v>45323</v>
      </c>
      <c r="B1176" s="31" t="s">
        <v>7</v>
      </c>
      <c r="C1176" s="32"/>
      <c r="D1176" s="32"/>
      <c r="E1176" s="19" t="n">
        <f aca="false">+F1176*0.03</f>
        <v>0</v>
      </c>
      <c r="F1176" s="33" t="n">
        <v>0</v>
      </c>
      <c r="G1176" s="62"/>
      <c r="H1176" s="35" t="n">
        <v>0</v>
      </c>
      <c r="I1176" s="34" t="n">
        <f aca="false">+IF(E1176=0,0,E1176*0.03)</f>
        <v>0</v>
      </c>
    </row>
    <row r="1177" customFormat="false" ht="15.75" hidden="false" customHeight="true" outlineLevel="0" collapsed="false">
      <c r="A1177" s="30" t="n">
        <v>45323</v>
      </c>
      <c r="B1177" s="31" t="s">
        <v>7</v>
      </c>
      <c r="C1177" s="32"/>
      <c r="D1177" s="32"/>
      <c r="E1177" s="19" t="n">
        <f aca="false">+F1177*0.03</f>
        <v>0</v>
      </c>
      <c r="F1177" s="33" t="n">
        <v>0</v>
      </c>
      <c r="G1177" s="62"/>
      <c r="H1177" s="35" t="n">
        <v>0</v>
      </c>
      <c r="I1177" s="34" t="n">
        <f aca="false">+IF(E1177=0,0,E1177*0.03)</f>
        <v>0</v>
      </c>
    </row>
    <row r="1178" customFormat="false" ht="15.75" hidden="false" customHeight="true" outlineLevel="0" collapsed="false">
      <c r="A1178" s="30" t="n">
        <v>45323</v>
      </c>
      <c r="B1178" s="31" t="s">
        <v>7</v>
      </c>
      <c r="C1178" s="32"/>
      <c r="D1178" s="32"/>
      <c r="E1178" s="19" t="n">
        <f aca="false">+F1178*0.03</f>
        <v>0</v>
      </c>
      <c r="F1178" s="33" t="n">
        <v>0</v>
      </c>
      <c r="G1178" s="62"/>
      <c r="H1178" s="35" t="n">
        <v>0</v>
      </c>
      <c r="I1178" s="34" t="n">
        <f aca="false">+IF(E1178=0,0,E1178*0.03)</f>
        <v>0</v>
      </c>
    </row>
    <row r="1179" customFormat="false" ht="15.75" hidden="false" customHeight="true" outlineLevel="0" collapsed="false">
      <c r="A1179" s="30" t="n">
        <v>45323</v>
      </c>
      <c r="B1179" s="31" t="s">
        <v>7</v>
      </c>
      <c r="C1179" s="32"/>
      <c r="D1179" s="32"/>
      <c r="E1179" s="19" t="n">
        <f aca="false">+F1179*0.03</f>
        <v>0</v>
      </c>
      <c r="F1179" s="33" t="n">
        <v>0</v>
      </c>
      <c r="G1179" s="62"/>
      <c r="H1179" s="35" t="n">
        <v>0</v>
      </c>
      <c r="I1179" s="34" t="n">
        <f aca="false">+IF(E1179=0,0,E1179*0.03)</f>
        <v>0</v>
      </c>
    </row>
    <row r="1180" customFormat="false" ht="15.75" hidden="false" customHeight="true" outlineLevel="0" collapsed="false">
      <c r="A1180" s="30" t="n">
        <v>45323</v>
      </c>
      <c r="B1180" s="31" t="s">
        <v>7</v>
      </c>
      <c r="C1180" s="32"/>
      <c r="D1180" s="32"/>
      <c r="E1180" s="19" t="n">
        <f aca="false">+F1180*0.03</f>
        <v>0</v>
      </c>
      <c r="F1180" s="33" t="n">
        <v>0</v>
      </c>
      <c r="G1180" s="62"/>
      <c r="H1180" s="35" t="n">
        <v>0</v>
      </c>
      <c r="I1180" s="34" t="n">
        <f aca="false">+IF(E1180=0,0,E1180*0.03)</f>
        <v>0</v>
      </c>
    </row>
    <row r="1181" customFormat="false" ht="15.75" hidden="false" customHeight="true" outlineLevel="0" collapsed="false">
      <c r="A1181" s="30" t="n">
        <v>45323</v>
      </c>
      <c r="B1181" s="31" t="s">
        <v>7</v>
      </c>
      <c r="C1181" s="32"/>
      <c r="D1181" s="32"/>
      <c r="E1181" s="19" t="n">
        <f aca="false">+F1181*0.03</f>
        <v>0</v>
      </c>
      <c r="F1181" s="33" t="n">
        <v>0</v>
      </c>
      <c r="G1181" s="62"/>
      <c r="H1181" s="35" t="n">
        <v>0</v>
      </c>
      <c r="I1181" s="34" t="n">
        <f aca="false">+IF(E1181=0,0,E1181*0.03)</f>
        <v>0</v>
      </c>
    </row>
    <row r="1182" customFormat="false" ht="15.75" hidden="false" customHeight="true" outlineLevel="0" collapsed="false">
      <c r="A1182" s="30" t="n">
        <v>45323</v>
      </c>
      <c r="B1182" s="31" t="s">
        <v>7</v>
      </c>
      <c r="C1182" s="32"/>
      <c r="D1182" s="32"/>
      <c r="E1182" s="19" t="n">
        <f aca="false">+F1182*0.03</f>
        <v>0</v>
      </c>
      <c r="F1182" s="33" t="n">
        <v>0</v>
      </c>
      <c r="G1182" s="62"/>
      <c r="H1182" s="35" t="n">
        <v>0</v>
      </c>
      <c r="I1182" s="34" t="n">
        <f aca="false">+IF(E1182=0,0,E1182*0.03)</f>
        <v>0</v>
      </c>
    </row>
    <row r="1183" customFormat="false" ht="15.75" hidden="false" customHeight="true" outlineLevel="0" collapsed="false">
      <c r="A1183" s="30" t="n">
        <v>45323</v>
      </c>
      <c r="B1183" s="31" t="s">
        <v>7</v>
      </c>
      <c r="C1183" s="32"/>
      <c r="D1183" s="32"/>
      <c r="E1183" s="19" t="n">
        <f aca="false">+F1183*0.03</f>
        <v>0</v>
      </c>
      <c r="F1183" s="33" t="n">
        <v>0</v>
      </c>
      <c r="G1183" s="62"/>
      <c r="H1183" s="35" t="n">
        <v>0</v>
      </c>
      <c r="I1183" s="34" t="n">
        <f aca="false">+IF(E1183=0,0,E1183*0.03)</f>
        <v>0</v>
      </c>
    </row>
    <row r="1184" customFormat="false" ht="15.75" hidden="false" customHeight="true" outlineLevel="0" collapsed="false">
      <c r="A1184" s="30" t="n">
        <v>45323</v>
      </c>
      <c r="B1184" s="31" t="s">
        <v>7</v>
      </c>
      <c r="C1184" s="32"/>
      <c r="D1184" s="32"/>
      <c r="E1184" s="19" t="n">
        <f aca="false">+F1184*0.03</f>
        <v>0</v>
      </c>
      <c r="F1184" s="33" t="n">
        <v>0</v>
      </c>
      <c r="G1184" s="62"/>
      <c r="H1184" s="35" t="n">
        <v>0</v>
      </c>
      <c r="I1184" s="34" t="n">
        <f aca="false">+IF(E1184=0,0,E1184*0.03)</f>
        <v>0</v>
      </c>
    </row>
    <row r="1185" customFormat="false" ht="15.75" hidden="false" customHeight="true" outlineLevel="0" collapsed="false">
      <c r="A1185" s="30" t="n">
        <v>45323</v>
      </c>
      <c r="B1185" s="31" t="s">
        <v>7</v>
      </c>
      <c r="C1185" s="32"/>
      <c r="D1185" s="32"/>
      <c r="E1185" s="19" t="n">
        <f aca="false">+F1185*0.03</f>
        <v>0</v>
      </c>
      <c r="F1185" s="33" t="n">
        <v>0</v>
      </c>
      <c r="G1185" s="62"/>
      <c r="H1185" s="35" t="n">
        <v>0</v>
      </c>
      <c r="I1185" s="34" t="n">
        <f aca="false">+IF(E1185=0,0,E1185*0.03)</f>
        <v>0</v>
      </c>
    </row>
    <row r="1186" customFormat="false" ht="15.75" hidden="false" customHeight="true" outlineLevel="0" collapsed="false">
      <c r="A1186" s="30" t="n">
        <v>45323</v>
      </c>
      <c r="B1186" s="31" t="s">
        <v>7</v>
      </c>
      <c r="C1186" s="32"/>
      <c r="D1186" s="32"/>
      <c r="E1186" s="19" t="n">
        <f aca="false">+F1186*0.03</f>
        <v>0</v>
      </c>
      <c r="F1186" s="33" t="n">
        <v>0</v>
      </c>
      <c r="G1186" s="62"/>
      <c r="H1186" s="35" t="n">
        <v>0</v>
      </c>
      <c r="I1186" s="34" t="n">
        <f aca="false">+IF(E1186=0,0,E1186*0.03)</f>
        <v>0</v>
      </c>
    </row>
    <row r="1187" customFormat="false" ht="15.75" hidden="false" customHeight="true" outlineLevel="0" collapsed="false">
      <c r="A1187" s="30" t="n">
        <v>45323</v>
      </c>
      <c r="B1187" s="31" t="s">
        <v>7</v>
      </c>
      <c r="C1187" s="32"/>
      <c r="D1187" s="32"/>
      <c r="E1187" s="19" t="n">
        <f aca="false">+F1187*0.03</f>
        <v>0</v>
      </c>
      <c r="F1187" s="33" t="n">
        <v>0</v>
      </c>
      <c r="G1187" s="62"/>
      <c r="H1187" s="35" t="n">
        <v>0</v>
      </c>
      <c r="I1187" s="34" t="n">
        <f aca="false">+IF(E1187=0,0,E1187*0.03)</f>
        <v>0</v>
      </c>
    </row>
    <row r="1188" customFormat="false" ht="15.75" hidden="false" customHeight="true" outlineLevel="0" collapsed="false">
      <c r="A1188" s="30" t="n">
        <v>45323</v>
      </c>
      <c r="B1188" s="31" t="s">
        <v>7</v>
      </c>
      <c r="C1188" s="32"/>
      <c r="D1188" s="32"/>
      <c r="E1188" s="19" t="n">
        <f aca="false">+F1188*0.03</f>
        <v>0</v>
      </c>
      <c r="F1188" s="33" t="n">
        <v>0</v>
      </c>
      <c r="G1188" s="62"/>
      <c r="H1188" s="35" t="n">
        <v>0</v>
      </c>
      <c r="I1188" s="34" t="n">
        <f aca="false">+IF(E1188=0,0,E1188*0.03)</f>
        <v>0</v>
      </c>
    </row>
    <row r="1189" customFormat="false" ht="15.75" hidden="false" customHeight="true" outlineLevel="0" collapsed="false">
      <c r="A1189" s="30" t="n">
        <v>45323</v>
      </c>
      <c r="B1189" s="31" t="s">
        <v>7</v>
      </c>
      <c r="C1189" s="32"/>
      <c r="D1189" s="32"/>
      <c r="E1189" s="19" t="n">
        <f aca="false">+F1189*0.03</f>
        <v>0</v>
      </c>
      <c r="F1189" s="33" t="n">
        <v>0</v>
      </c>
      <c r="G1189" s="62"/>
      <c r="H1189" s="35" t="n">
        <v>0</v>
      </c>
      <c r="I1189" s="34" t="n">
        <f aca="false">+IF(E1189=0,0,E1189*0.03)</f>
        <v>0</v>
      </c>
    </row>
    <row r="1190" customFormat="false" ht="15.75" hidden="false" customHeight="true" outlineLevel="0" collapsed="false">
      <c r="A1190" s="30" t="n">
        <v>45323</v>
      </c>
      <c r="B1190" s="31" t="s">
        <v>7</v>
      </c>
      <c r="C1190" s="32"/>
      <c r="D1190" s="32"/>
      <c r="E1190" s="19" t="n">
        <f aca="false">+F1190*0.03</f>
        <v>0</v>
      </c>
      <c r="F1190" s="33" t="n">
        <v>0</v>
      </c>
      <c r="G1190" s="62"/>
      <c r="H1190" s="35" t="n">
        <v>0</v>
      </c>
      <c r="I1190" s="34" t="n">
        <f aca="false">+IF(E1190=0,0,E1190*0.03)</f>
        <v>0</v>
      </c>
    </row>
    <row r="1191" customFormat="false" ht="15.75" hidden="false" customHeight="true" outlineLevel="0" collapsed="false">
      <c r="A1191" s="30" t="n">
        <v>45323</v>
      </c>
      <c r="B1191" s="31" t="s">
        <v>7</v>
      </c>
      <c r="C1191" s="32"/>
      <c r="D1191" s="32"/>
      <c r="E1191" s="19" t="n">
        <f aca="false">+F1191*0.03</f>
        <v>0</v>
      </c>
      <c r="F1191" s="33" t="n">
        <v>0</v>
      </c>
      <c r="G1191" s="62"/>
      <c r="H1191" s="35" t="n">
        <v>0</v>
      </c>
      <c r="I1191" s="34" t="n">
        <f aca="false">+IF(E1191=0,0,E1191*0.03)</f>
        <v>0</v>
      </c>
    </row>
    <row r="1192" customFormat="false" ht="15.75" hidden="false" customHeight="true" outlineLevel="0" collapsed="false">
      <c r="A1192" s="30" t="n">
        <v>45323</v>
      </c>
      <c r="B1192" s="31" t="s">
        <v>7</v>
      </c>
      <c r="C1192" s="32"/>
      <c r="D1192" s="32"/>
      <c r="E1192" s="19" t="n">
        <f aca="false">+F1192*0.03</f>
        <v>0</v>
      </c>
      <c r="F1192" s="33" t="n">
        <v>0</v>
      </c>
      <c r="G1192" s="62"/>
      <c r="H1192" s="35" t="n">
        <v>0</v>
      </c>
      <c r="I1192" s="34" t="n">
        <f aca="false">+IF(E1192=0,0,E1192*0.03)</f>
        <v>0</v>
      </c>
    </row>
    <row r="1193" customFormat="false" ht="15.75" hidden="false" customHeight="true" outlineLevel="0" collapsed="false">
      <c r="A1193" s="30" t="n">
        <v>45323</v>
      </c>
      <c r="B1193" s="31" t="s">
        <v>7</v>
      </c>
      <c r="C1193" s="32"/>
      <c r="D1193" s="32"/>
      <c r="E1193" s="19" t="n">
        <f aca="false">+F1193*0.03</f>
        <v>0</v>
      </c>
      <c r="F1193" s="33" t="n">
        <v>0</v>
      </c>
      <c r="G1193" s="62"/>
      <c r="H1193" s="35" t="n">
        <v>0</v>
      </c>
      <c r="I1193" s="34" t="n">
        <f aca="false">+IF(E1193=0,0,E1193*0.03)</f>
        <v>0</v>
      </c>
    </row>
    <row r="1194" customFormat="false" ht="15.75" hidden="false" customHeight="true" outlineLevel="0" collapsed="false">
      <c r="A1194" s="30" t="n">
        <v>45323</v>
      </c>
      <c r="B1194" s="31" t="s">
        <v>7</v>
      </c>
      <c r="C1194" s="32"/>
      <c r="D1194" s="32"/>
      <c r="E1194" s="19" t="n">
        <f aca="false">+F1194*0.03</f>
        <v>0</v>
      </c>
      <c r="F1194" s="33" t="n">
        <v>0</v>
      </c>
      <c r="G1194" s="62"/>
      <c r="H1194" s="35" t="n">
        <v>0</v>
      </c>
      <c r="I1194" s="34" t="n">
        <f aca="false">+IF(E1194=0,0,E1194*0.03)</f>
        <v>0</v>
      </c>
    </row>
    <row r="1195" customFormat="false" ht="15.75" hidden="false" customHeight="true" outlineLevel="0" collapsed="false">
      <c r="A1195" s="30" t="n">
        <v>45323</v>
      </c>
      <c r="B1195" s="31" t="s">
        <v>7</v>
      </c>
      <c r="C1195" s="32"/>
      <c r="D1195" s="32"/>
      <c r="E1195" s="19" t="n">
        <f aca="false">+F1195*0.03</f>
        <v>0</v>
      </c>
      <c r="F1195" s="33" t="n">
        <v>0</v>
      </c>
      <c r="G1195" s="62"/>
      <c r="H1195" s="35" t="n">
        <v>0</v>
      </c>
      <c r="I1195" s="34" t="n">
        <f aca="false">+IF(E1195=0,0,E1195*0.03)</f>
        <v>0</v>
      </c>
    </row>
    <row r="1196" customFormat="false" ht="15.75" hidden="false" customHeight="true" outlineLevel="0" collapsed="false">
      <c r="A1196" s="30" t="n">
        <v>45323</v>
      </c>
      <c r="B1196" s="31" t="s">
        <v>7</v>
      </c>
      <c r="C1196" s="32"/>
      <c r="D1196" s="32"/>
      <c r="E1196" s="19" t="n">
        <f aca="false">+F1196*0.03</f>
        <v>0</v>
      </c>
      <c r="F1196" s="33" t="n">
        <v>0</v>
      </c>
      <c r="G1196" s="62"/>
      <c r="H1196" s="35" t="n">
        <v>0</v>
      </c>
      <c r="I1196" s="34" t="n">
        <f aca="false">+IF(E1196=0,0,E1196*0.03)</f>
        <v>0</v>
      </c>
    </row>
    <row r="1197" customFormat="false" ht="15.75" hidden="false" customHeight="true" outlineLevel="0" collapsed="false">
      <c r="A1197" s="30" t="n">
        <v>45323</v>
      </c>
      <c r="B1197" s="31" t="s">
        <v>7</v>
      </c>
      <c r="C1197" s="32"/>
      <c r="D1197" s="32"/>
      <c r="E1197" s="19" t="n">
        <f aca="false">+F1197*0.03</f>
        <v>0</v>
      </c>
      <c r="F1197" s="33" t="n">
        <v>0</v>
      </c>
      <c r="G1197" s="62"/>
      <c r="H1197" s="35" t="n">
        <v>0</v>
      </c>
      <c r="I1197" s="34" t="n">
        <f aca="false">+IF(E1197=0,0,E1197*0.03)</f>
        <v>0</v>
      </c>
    </row>
    <row r="1198" customFormat="false" ht="15.75" hidden="false" customHeight="true" outlineLevel="0" collapsed="false">
      <c r="A1198" s="30" t="n">
        <v>45323</v>
      </c>
      <c r="B1198" s="31" t="s">
        <v>7</v>
      </c>
      <c r="C1198" s="32"/>
      <c r="D1198" s="32"/>
      <c r="E1198" s="19" t="n">
        <f aca="false">+F1198*0.03</f>
        <v>0</v>
      </c>
      <c r="F1198" s="33" t="n">
        <v>0</v>
      </c>
      <c r="G1198" s="62"/>
      <c r="H1198" s="35" t="n">
        <v>0</v>
      </c>
      <c r="I1198" s="34" t="n">
        <f aca="false">+IF(E1198=0,0,E1198*0.03)</f>
        <v>0</v>
      </c>
    </row>
    <row r="1199" customFormat="false" ht="15.75" hidden="false" customHeight="true" outlineLevel="0" collapsed="false">
      <c r="A1199" s="30" t="n">
        <v>45323</v>
      </c>
      <c r="B1199" s="31" t="s">
        <v>7</v>
      </c>
      <c r="C1199" s="32"/>
      <c r="D1199" s="32"/>
      <c r="E1199" s="19" t="n">
        <f aca="false">+F1199*0.03</f>
        <v>0</v>
      </c>
      <c r="F1199" s="33" t="n">
        <v>0</v>
      </c>
      <c r="G1199" s="62"/>
      <c r="H1199" s="35" t="n">
        <v>0</v>
      </c>
      <c r="I1199" s="34" t="n">
        <f aca="false">+IF(E1199=0,0,E1199*0.03)</f>
        <v>0</v>
      </c>
    </row>
    <row r="1200" customFormat="false" ht="15.75" hidden="false" customHeight="true" outlineLevel="0" collapsed="false">
      <c r="A1200" s="30" t="n">
        <v>45323</v>
      </c>
      <c r="B1200" s="31" t="s">
        <v>7</v>
      </c>
      <c r="C1200" s="32"/>
      <c r="D1200" s="32"/>
      <c r="E1200" s="19" t="n">
        <f aca="false">+F1200*0.03</f>
        <v>0</v>
      </c>
      <c r="F1200" s="33" t="n">
        <v>0</v>
      </c>
      <c r="G1200" s="62"/>
      <c r="H1200" s="35" t="n">
        <v>0</v>
      </c>
      <c r="I1200" s="34" t="n">
        <f aca="false">+IF(E1200=0,0,E1200*0.03)</f>
        <v>0</v>
      </c>
    </row>
    <row r="1201" customFormat="false" ht="15.75" hidden="false" customHeight="true" outlineLevel="0" collapsed="false">
      <c r="A1201" s="30" t="n">
        <v>45323</v>
      </c>
      <c r="B1201" s="31" t="s">
        <v>7</v>
      </c>
      <c r="C1201" s="32"/>
      <c r="D1201" s="32"/>
      <c r="E1201" s="19" t="n">
        <f aca="false">+F1201*0.03</f>
        <v>0</v>
      </c>
      <c r="F1201" s="33" t="n">
        <v>0</v>
      </c>
      <c r="G1201" s="62"/>
      <c r="H1201" s="35" t="n">
        <v>0</v>
      </c>
      <c r="I1201" s="34" t="n">
        <f aca="false">+IF(E1201=0,0,E1201*0.03)</f>
        <v>0</v>
      </c>
    </row>
    <row r="1202" customFormat="false" ht="15.75" hidden="false" customHeight="true" outlineLevel="0" collapsed="false">
      <c r="A1202" s="30" t="n">
        <v>45323</v>
      </c>
      <c r="B1202" s="31" t="s">
        <v>7</v>
      </c>
      <c r="C1202" s="32"/>
      <c r="D1202" s="32"/>
      <c r="E1202" s="19" t="n">
        <f aca="false">+F1202*0.03</f>
        <v>0</v>
      </c>
      <c r="F1202" s="33" t="n">
        <v>0</v>
      </c>
      <c r="G1202" s="62"/>
      <c r="H1202" s="35" t="n">
        <v>0</v>
      </c>
      <c r="I1202" s="34" t="n">
        <f aca="false">+IF(E1202=0,0,E1202*0.03)</f>
        <v>0</v>
      </c>
    </row>
    <row r="1203" customFormat="false" ht="15.75" hidden="false" customHeight="true" outlineLevel="0" collapsed="false">
      <c r="A1203" s="30" t="n">
        <v>45323</v>
      </c>
      <c r="B1203" s="31" t="s">
        <v>7</v>
      </c>
      <c r="C1203" s="32"/>
      <c r="D1203" s="32"/>
      <c r="E1203" s="19" t="n">
        <f aca="false">+F1203*0.03</f>
        <v>0</v>
      </c>
      <c r="F1203" s="33" t="n">
        <v>0</v>
      </c>
      <c r="G1203" s="62"/>
      <c r="H1203" s="35" t="n">
        <v>0</v>
      </c>
      <c r="I1203" s="34" t="n">
        <f aca="false">+IF(E1203=0,0,E1203*0.03)</f>
        <v>0</v>
      </c>
    </row>
    <row r="1204" customFormat="false" ht="15.75" hidden="false" customHeight="true" outlineLevel="0" collapsed="false">
      <c r="A1204" s="30" t="n">
        <v>45323</v>
      </c>
      <c r="B1204" s="31" t="s">
        <v>7</v>
      </c>
      <c r="C1204" s="32"/>
      <c r="D1204" s="32"/>
      <c r="E1204" s="19" t="n">
        <f aca="false">+F1204*0.03</f>
        <v>0</v>
      </c>
      <c r="F1204" s="33" t="n">
        <v>0</v>
      </c>
      <c r="G1204" s="62"/>
      <c r="H1204" s="35" t="n">
        <v>0</v>
      </c>
      <c r="I1204" s="34" t="n">
        <f aca="false">+IF(E1204=0,0,E1204*0.03)</f>
        <v>0</v>
      </c>
    </row>
    <row r="1205" customFormat="false" ht="15.75" hidden="false" customHeight="true" outlineLevel="0" collapsed="false">
      <c r="A1205" s="30" t="n">
        <v>45323</v>
      </c>
      <c r="B1205" s="31" t="s">
        <v>7</v>
      </c>
      <c r="C1205" s="32"/>
      <c r="D1205" s="32"/>
      <c r="E1205" s="19" t="n">
        <f aca="false">+F1205*0.03</f>
        <v>0</v>
      </c>
      <c r="F1205" s="33" t="n">
        <v>0</v>
      </c>
      <c r="G1205" s="62"/>
      <c r="H1205" s="35" t="n">
        <v>0</v>
      </c>
      <c r="I1205" s="34" t="n">
        <f aca="false">+IF(E1205=0,0,E1205*0.03)</f>
        <v>0</v>
      </c>
    </row>
    <row r="1206" customFormat="false" ht="15.75" hidden="false" customHeight="true" outlineLevel="0" collapsed="false">
      <c r="A1206" s="30" t="n">
        <v>45323</v>
      </c>
      <c r="B1206" s="31" t="s">
        <v>7</v>
      </c>
      <c r="C1206" s="32"/>
      <c r="D1206" s="32"/>
      <c r="E1206" s="19" t="n">
        <f aca="false">+F1206*0.03</f>
        <v>0</v>
      </c>
      <c r="F1206" s="33" t="n">
        <v>0</v>
      </c>
      <c r="G1206" s="62"/>
      <c r="H1206" s="35" t="n">
        <v>0</v>
      </c>
      <c r="I1206" s="34" t="n">
        <f aca="false">+IF(E1206=0,0,E1206*0.03)</f>
        <v>0</v>
      </c>
    </row>
    <row r="1207" customFormat="false" ht="15.75" hidden="false" customHeight="true" outlineLevel="0" collapsed="false">
      <c r="A1207" s="30" t="n">
        <v>45323</v>
      </c>
      <c r="B1207" s="31" t="s">
        <v>7</v>
      </c>
      <c r="C1207" s="32"/>
      <c r="D1207" s="32"/>
      <c r="E1207" s="19" t="n">
        <f aca="false">+F1207*0.03</f>
        <v>0</v>
      </c>
      <c r="F1207" s="33" t="n">
        <v>0</v>
      </c>
      <c r="G1207" s="62"/>
      <c r="H1207" s="35" t="n">
        <v>0</v>
      </c>
      <c r="I1207" s="34" t="n">
        <f aca="false">+IF(E1207=0,0,E1207*0.03)</f>
        <v>0</v>
      </c>
    </row>
    <row r="1208" customFormat="false" ht="15.75" hidden="false" customHeight="true" outlineLevel="0" collapsed="false">
      <c r="A1208" s="30" t="n">
        <v>45323</v>
      </c>
      <c r="B1208" s="31" t="s">
        <v>7</v>
      </c>
      <c r="C1208" s="32"/>
      <c r="D1208" s="32"/>
      <c r="E1208" s="19" t="n">
        <f aca="false">+F1208*0.03</f>
        <v>0</v>
      </c>
      <c r="F1208" s="33" t="n">
        <v>0</v>
      </c>
      <c r="G1208" s="62"/>
      <c r="H1208" s="35" t="n">
        <v>0</v>
      </c>
      <c r="I1208" s="34" t="n">
        <f aca="false">+IF(E1208=0,0,E1208*0.03)</f>
        <v>0</v>
      </c>
    </row>
    <row r="1209" customFormat="false" ht="15.75" hidden="false" customHeight="true" outlineLevel="0" collapsed="false">
      <c r="A1209" s="30" t="n">
        <v>45323</v>
      </c>
      <c r="B1209" s="31" t="s">
        <v>7</v>
      </c>
      <c r="C1209" s="32"/>
      <c r="D1209" s="32"/>
      <c r="E1209" s="19" t="n">
        <f aca="false">+F1209*0.03</f>
        <v>0</v>
      </c>
      <c r="F1209" s="33" t="n">
        <v>0</v>
      </c>
      <c r="G1209" s="62"/>
      <c r="H1209" s="35" t="n">
        <v>0</v>
      </c>
      <c r="I1209" s="34" t="n">
        <f aca="false">+IF(E1209=0,0,E1209*0.03)</f>
        <v>0</v>
      </c>
    </row>
    <row r="1210" customFormat="false" ht="15.75" hidden="false" customHeight="true" outlineLevel="0" collapsed="false">
      <c r="A1210" s="30" t="n">
        <v>45323</v>
      </c>
      <c r="B1210" s="31" t="s">
        <v>7</v>
      </c>
      <c r="C1210" s="32"/>
      <c r="D1210" s="32"/>
      <c r="E1210" s="19" t="n">
        <f aca="false">+F1210*0.03</f>
        <v>0</v>
      </c>
      <c r="F1210" s="33" t="n">
        <v>0</v>
      </c>
      <c r="G1210" s="62"/>
      <c r="H1210" s="35" t="n">
        <v>0</v>
      </c>
      <c r="I1210" s="34" t="n">
        <f aca="false">+IF(E1210=0,0,E1210*0.03)</f>
        <v>0</v>
      </c>
    </row>
    <row r="1211" customFormat="false" ht="15.75" hidden="false" customHeight="true" outlineLevel="0" collapsed="false">
      <c r="A1211" s="30" t="n">
        <v>45323</v>
      </c>
      <c r="B1211" s="31" t="s">
        <v>7</v>
      </c>
      <c r="C1211" s="32"/>
      <c r="D1211" s="32"/>
      <c r="E1211" s="19" t="n">
        <f aca="false">+F1211*0.03</f>
        <v>0</v>
      </c>
      <c r="F1211" s="33" t="n">
        <v>0</v>
      </c>
      <c r="G1211" s="62"/>
      <c r="H1211" s="35" t="n">
        <v>0</v>
      </c>
      <c r="I1211" s="34" t="n">
        <f aca="false">+IF(E1211=0,0,E1211*0.03)</f>
        <v>0</v>
      </c>
    </row>
    <row r="1212" customFormat="false" ht="15.75" hidden="false" customHeight="true" outlineLevel="0" collapsed="false">
      <c r="A1212" s="30" t="n">
        <v>45323</v>
      </c>
      <c r="B1212" s="31" t="s">
        <v>7</v>
      </c>
      <c r="C1212" s="32"/>
      <c r="D1212" s="32"/>
      <c r="E1212" s="19" t="n">
        <f aca="false">+F1212*0.03</f>
        <v>0</v>
      </c>
      <c r="F1212" s="33" t="n">
        <v>0</v>
      </c>
      <c r="G1212" s="62"/>
      <c r="H1212" s="35" t="n">
        <v>0</v>
      </c>
      <c r="I1212" s="34" t="n">
        <f aca="false">+IF(E1212=0,0,E1212*0.03)</f>
        <v>0</v>
      </c>
    </row>
    <row r="1213" customFormat="false" ht="15.75" hidden="false" customHeight="true" outlineLevel="0" collapsed="false">
      <c r="A1213" s="30" t="n">
        <v>45323</v>
      </c>
      <c r="B1213" s="31" t="s">
        <v>7</v>
      </c>
      <c r="C1213" s="32"/>
      <c r="D1213" s="32"/>
      <c r="E1213" s="19" t="n">
        <f aca="false">+F1213*0.03</f>
        <v>0</v>
      </c>
      <c r="F1213" s="33" t="n">
        <v>0</v>
      </c>
      <c r="G1213" s="62"/>
      <c r="H1213" s="35" t="n">
        <v>0</v>
      </c>
      <c r="I1213" s="34" t="n">
        <f aca="false">+IF(E1213=0,0,E1213*0.03)</f>
        <v>0</v>
      </c>
    </row>
    <row r="1214" customFormat="false" ht="15.75" hidden="false" customHeight="true" outlineLevel="0" collapsed="false">
      <c r="A1214" s="30" t="n">
        <v>45323</v>
      </c>
      <c r="B1214" s="31" t="s">
        <v>7</v>
      </c>
      <c r="C1214" s="32"/>
      <c r="D1214" s="32"/>
      <c r="E1214" s="19" t="n">
        <f aca="false">+F1214*0.03</f>
        <v>0</v>
      </c>
      <c r="F1214" s="33" t="n">
        <v>0</v>
      </c>
      <c r="G1214" s="62"/>
      <c r="H1214" s="35" t="n">
        <v>0</v>
      </c>
      <c r="I1214" s="34" t="n">
        <f aca="false">+IF(E1214=0,0,E1214*0.03)</f>
        <v>0</v>
      </c>
    </row>
    <row r="1215" customFormat="false" ht="15.75" hidden="false" customHeight="true" outlineLevel="0" collapsed="false">
      <c r="A1215" s="30" t="n">
        <v>45323</v>
      </c>
      <c r="B1215" s="31" t="s">
        <v>7</v>
      </c>
      <c r="C1215" s="32"/>
      <c r="D1215" s="32"/>
      <c r="E1215" s="19" t="n">
        <f aca="false">+F1215*0.03</f>
        <v>0</v>
      </c>
      <c r="F1215" s="33" t="n">
        <v>0</v>
      </c>
      <c r="G1215" s="62"/>
      <c r="H1215" s="35" t="n">
        <v>0</v>
      </c>
      <c r="I1215" s="34" t="n">
        <f aca="false">+IF(E1215=0,0,E1215*0.03)</f>
        <v>0</v>
      </c>
    </row>
    <row r="1216" customFormat="false" ht="15.75" hidden="false" customHeight="true" outlineLevel="0" collapsed="false">
      <c r="A1216" s="30" t="n">
        <v>45323</v>
      </c>
      <c r="B1216" s="31" t="s">
        <v>7</v>
      </c>
      <c r="C1216" s="32"/>
      <c r="D1216" s="32"/>
      <c r="E1216" s="19" t="n">
        <f aca="false">+F1216*0.03</f>
        <v>0</v>
      </c>
      <c r="F1216" s="33" t="n">
        <v>0</v>
      </c>
      <c r="G1216" s="62"/>
      <c r="H1216" s="35" t="n">
        <v>0</v>
      </c>
      <c r="I1216" s="34" t="n">
        <f aca="false">+IF(E1216=0,0,E1216*0.03)</f>
        <v>0</v>
      </c>
    </row>
    <row r="1217" customFormat="false" ht="15.75" hidden="false" customHeight="true" outlineLevel="0" collapsed="false">
      <c r="A1217" s="30" t="n">
        <v>45323</v>
      </c>
      <c r="B1217" s="31" t="s">
        <v>7</v>
      </c>
      <c r="C1217" s="32"/>
      <c r="D1217" s="32"/>
      <c r="E1217" s="19" t="n">
        <f aca="false">+F1217*0.03</f>
        <v>0</v>
      </c>
      <c r="F1217" s="33" t="n">
        <v>0</v>
      </c>
      <c r="G1217" s="62"/>
      <c r="H1217" s="35" t="n">
        <v>0</v>
      </c>
      <c r="I1217" s="34" t="n">
        <f aca="false">+IF(E1217=0,0,E1217*0.03)</f>
        <v>0</v>
      </c>
    </row>
    <row r="1218" customFormat="false" ht="15.75" hidden="false" customHeight="true" outlineLevel="0" collapsed="false">
      <c r="A1218" s="30" t="n">
        <v>45323</v>
      </c>
      <c r="B1218" s="31" t="s">
        <v>7</v>
      </c>
      <c r="C1218" s="32"/>
      <c r="D1218" s="32"/>
      <c r="E1218" s="19" t="n">
        <f aca="false">+F1218*0.03</f>
        <v>0</v>
      </c>
      <c r="F1218" s="33" t="n">
        <v>0</v>
      </c>
      <c r="G1218" s="62"/>
      <c r="H1218" s="35" t="n">
        <v>0</v>
      </c>
      <c r="I1218" s="34" t="n">
        <f aca="false">+IF(E1218=0,0,E1218*0.03)</f>
        <v>0</v>
      </c>
    </row>
    <row r="1219" customFormat="false" ht="15.75" hidden="false" customHeight="true" outlineLevel="0" collapsed="false">
      <c r="A1219" s="30" t="n">
        <v>45323</v>
      </c>
      <c r="B1219" s="31" t="s">
        <v>7</v>
      </c>
      <c r="C1219" s="32"/>
      <c r="D1219" s="32"/>
      <c r="E1219" s="19" t="n">
        <f aca="false">+F1219*0.03</f>
        <v>0</v>
      </c>
      <c r="F1219" s="33" t="n">
        <v>0</v>
      </c>
      <c r="G1219" s="62"/>
      <c r="H1219" s="35" t="n">
        <v>0</v>
      </c>
      <c r="I1219" s="34" t="n">
        <f aca="false">+IF(E1219=0,0,E1219*0.03)</f>
        <v>0</v>
      </c>
    </row>
    <row r="1220" customFormat="false" ht="15.75" hidden="false" customHeight="true" outlineLevel="0" collapsed="false">
      <c r="A1220" s="30" t="n">
        <v>45323</v>
      </c>
      <c r="B1220" s="31" t="s">
        <v>7</v>
      </c>
      <c r="C1220" s="32"/>
      <c r="D1220" s="32"/>
      <c r="E1220" s="19" t="n">
        <f aca="false">+F1220*0.03</f>
        <v>0</v>
      </c>
      <c r="F1220" s="33" t="n">
        <v>0</v>
      </c>
      <c r="G1220" s="62"/>
      <c r="H1220" s="35" t="n">
        <v>0</v>
      </c>
      <c r="I1220" s="34" t="n">
        <f aca="false">+IF(E1220=0,0,E1220*0.03)</f>
        <v>0</v>
      </c>
    </row>
    <row r="1221" customFormat="false" ht="15.75" hidden="false" customHeight="true" outlineLevel="0" collapsed="false">
      <c r="A1221" s="30" t="n">
        <v>45323</v>
      </c>
      <c r="B1221" s="31" t="s">
        <v>7</v>
      </c>
      <c r="C1221" s="32"/>
      <c r="D1221" s="32"/>
      <c r="E1221" s="19" t="n">
        <f aca="false">+F1221*0.03</f>
        <v>0</v>
      </c>
      <c r="F1221" s="33" t="n">
        <v>0</v>
      </c>
      <c r="G1221" s="62"/>
      <c r="H1221" s="35" t="n">
        <v>0</v>
      </c>
      <c r="I1221" s="34" t="n">
        <f aca="false">+IF(E1221=0,0,E1221*0.03)</f>
        <v>0</v>
      </c>
    </row>
    <row r="1222" customFormat="false" ht="15.75" hidden="false" customHeight="true" outlineLevel="0" collapsed="false">
      <c r="A1222" s="30" t="n">
        <v>45323</v>
      </c>
      <c r="B1222" s="31" t="s">
        <v>7</v>
      </c>
      <c r="C1222" s="32"/>
      <c r="D1222" s="32"/>
      <c r="E1222" s="19" t="n">
        <f aca="false">+F1222*0.03</f>
        <v>0</v>
      </c>
      <c r="F1222" s="33" t="n">
        <v>0</v>
      </c>
      <c r="G1222" s="62"/>
      <c r="H1222" s="35" t="n">
        <v>0</v>
      </c>
      <c r="I1222" s="34" t="n">
        <f aca="false">+IF(E1222=0,0,E1222*0.03)</f>
        <v>0</v>
      </c>
    </row>
    <row r="1223" customFormat="false" ht="15.75" hidden="false" customHeight="true" outlineLevel="0" collapsed="false">
      <c r="A1223" s="30" t="n">
        <v>45323</v>
      </c>
      <c r="B1223" s="31" t="s">
        <v>7</v>
      </c>
      <c r="C1223" s="32"/>
      <c r="D1223" s="32"/>
      <c r="E1223" s="19" t="n">
        <f aca="false">+F1223*0.03</f>
        <v>0</v>
      </c>
      <c r="F1223" s="33" t="n">
        <v>0</v>
      </c>
      <c r="G1223" s="62"/>
      <c r="H1223" s="35" t="n">
        <v>0</v>
      </c>
      <c r="I1223" s="34" t="n">
        <f aca="false">+IF(E1223=0,0,E1223*0.03)</f>
        <v>0</v>
      </c>
    </row>
    <row r="1224" customFormat="false" ht="15.75" hidden="false" customHeight="true" outlineLevel="0" collapsed="false">
      <c r="A1224" s="30" t="n">
        <v>45323</v>
      </c>
      <c r="B1224" s="31" t="s">
        <v>7</v>
      </c>
      <c r="C1224" s="32"/>
      <c r="D1224" s="32"/>
      <c r="E1224" s="19" t="n">
        <f aca="false">+F1224*0.03</f>
        <v>0</v>
      </c>
      <c r="F1224" s="33" t="n">
        <v>0</v>
      </c>
      <c r="G1224" s="62"/>
      <c r="H1224" s="35" t="n">
        <v>0</v>
      </c>
      <c r="I1224" s="34" t="n">
        <f aca="false">+IF(E1224=0,0,E1224*0.03)</f>
        <v>0</v>
      </c>
    </row>
    <row r="1225" customFormat="false" ht="15.75" hidden="false" customHeight="true" outlineLevel="0" collapsed="false">
      <c r="A1225" s="30" t="n">
        <v>45323</v>
      </c>
      <c r="B1225" s="31" t="s">
        <v>7</v>
      </c>
      <c r="C1225" s="32"/>
      <c r="D1225" s="32"/>
      <c r="E1225" s="19" t="n">
        <f aca="false">+F1225*0.03</f>
        <v>0</v>
      </c>
      <c r="F1225" s="33" t="n">
        <v>0</v>
      </c>
      <c r="G1225" s="62"/>
      <c r="H1225" s="35" t="n">
        <v>0</v>
      </c>
      <c r="I1225" s="34" t="n">
        <f aca="false">+IF(E1225=0,0,E1225*0.03)</f>
        <v>0</v>
      </c>
    </row>
    <row r="1226" customFormat="false" ht="15.75" hidden="false" customHeight="true" outlineLevel="0" collapsed="false">
      <c r="A1226" s="30" t="n">
        <v>45323</v>
      </c>
      <c r="B1226" s="31" t="s">
        <v>7</v>
      </c>
      <c r="C1226" s="32"/>
      <c r="D1226" s="32"/>
      <c r="E1226" s="19" t="n">
        <f aca="false">+F1226*0.03</f>
        <v>0</v>
      </c>
      <c r="F1226" s="33" t="n">
        <v>0</v>
      </c>
      <c r="G1226" s="62"/>
      <c r="H1226" s="35" t="n">
        <v>0</v>
      </c>
      <c r="I1226" s="34" t="n">
        <f aca="false">+IF(E1226=0,0,E1226*0.03)</f>
        <v>0</v>
      </c>
    </row>
    <row r="1227" customFormat="false" ht="15.75" hidden="false" customHeight="true" outlineLevel="0" collapsed="false">
      <c r="A1227" s="30" t="n">
        <v>45323</v>
      </c>
      <c r="B1227" s="31" t="s">
        <v>7</v>
      </c>
      <c r="C1227" s="32"/>
      <c r="D1227" s="32"/>
      <c r="E1227" s="19" t="n">
        <f aca="false">+F1227*0.03</f>
        <v>0</v>
      </c>
      <c r="F1227" s="33" t="n">
        <v>0</v>
      </c>
      <c r="G1227" s="62"/>
      <c r="H1227" s="35" t="n">
        <v>0</v>
      </c>
      <c r="I1227" s="34" t="n">
        <f aca="false">+IF(E1227=0,0,E1227*0.03)</f>
        <v>0</v>
      </c>
    </row>
    <row r="1228" customFormat="false" ht="15.75" hidden="false" customHeight="true" outlineLevel="0" collapsed="false">
      <c r="A1228" s="30" t="n">
        <v>45323</v>
      </c>
      <c r="B1228" s="31" t="s">
        <v>7</v>
      </c>
      <c r="C1228" s="32"/>
      <c r="D1228" s="32"/>
      <c r="E1228" s="19" t="n">
        <f aca="false">+F1228*0.03</f>
        <v>0</v>
      </c>
      <c r="F1228" s="33" t="n">
        <v>0</v>
      </c>
      <c r="G1228" s="62"/>
      <c r="H1228" s="35" t="n">
        <v>0</v>
      </c>
      <c r="I1228" s="34" t="n">
        <f aca="false">+IF(E1228=0,0,E1228*0.03)</f>
        <v>0</v>
      </c>
    </row>
    <row r="1229" customFormat="false" ht="15.75" hidden="false" customHeight="true" outlineLevel="0" collapsed="false">
      <c r="A1229" s="30" t="n">
        <v>45323</v>
      </c>
      <c r="B1229" s="31" t="s">
        <v>7</v>
      </c>
      <c r="C1229" s="32"/>
      <c r="D1229" s="32"/>
      <c r="E1229" s="19" t="n">
        <f aca="false">+F1229*0.03</f>
        <v>0</v>
      </c>
      <c r="F1229" s="33" t="n">
        <v>0</v>
      </c>
      <c r="G1229" s="62"/>
      <c r="H1229" s="35" t="n">
        <v>0</v>
      </c>
      <c r="I1229" s="34" t="n">
        <f aca="false">+IF(E1229=0,0,E1229*0.03)</f>
        <v>0</v>
      </c>
    </row>
    <row r="1230" customFormat="false" ht="15.75" hidden="false" customHeight="true" outlineLevel="0" collapsed="false">
      <c r="A1230" s="30" t="n">
        <v>45323</v>
      </c>
      <c r="B1230" s="31" t="s">
        <v>7</v>
      </c>
      <c r="C1230" s="32"/>
      <c r="D1230" s="32"/>
      <c r="E1230" s="19" t="n">
        <f aca="false">+F1230*0.03</f>
        <v>0</v>
      </c>
      <c r="F1230" s="33" t="n">
        <v>0</v>
      </c>
      <c r="G1230" s="62"/>
      <c r="H1230" s="35" t="n">
        <v>0</v>
      </c>
      <c r="I1230" s="34" t="n">
        <f aca="false">+IF(E1230=0,0,E1230*0.03)</f>
        <v>0</v>
      </c>
    </row>
    <row r="1231" customFormat="false" ht="15.75" hidden="false" customHeight="true" outlineLevel="0" collapsed="false">
      <c r="A1231" s="30" t="n">
        <v>45323</v>
      </c>
      <c r="B1231" s="31" t="s">
        <v>7</v>
      </c>
      <c r="C1231" s="32"/>
      <c r="D1231" s="32"/>
      <c r="E1231" s="19" t="n">
        <f aca="false">+F1231*0.03</f>
        <v>0</v>
      </c>
      <c r="F1231" s="33" t="n">
        <v>0</v>
      </c>
      <c r="G1231" s="62"/>
      <c r="H1231" s="35" t="n">
        <v>0</v>
      </c>
      <c r="I1231" s="34" t="n">
        <f aca="false">+IF(E1231=0,0,E1231*0.03)</f>
        <v>0</v>
      </c>
    </row>
    <row r="1232" customFormat="false" ht="15.75" hidden="false" customHeight="true" outlineLevel="0" collapsed="false">
      <c r="A1232" s="30" t="n">
        <v>45323</v>
      </c>
      <c r="B1232" s="31" t="s">
        <v>7</v>
      </c>
      <c r="C1232" s="32"/>
      <c r="D1232" s="32"/>
      <c r="E1232" s="19" t="n">
        <f aca="false">+F1232*0.03</f>
        <v>0</v>
      </c>
      <c r="F1232" s="33" t="n">
        <v>0</v>
      </c>
      <c r="G1232" s="62"/>
      <c r="H1232" s="35" t="n">
        <v>0</v>
      </c>
      <c r="I1232" s="34" t="n">
        <f aca="false">+IF(E1232=0,0,E1232*0.03)</f>
        <v>0</v>
      </c>
    </row>
    <row r="1233" customFormat="false" ht="15.75" hidden="false" customHeight="true" outlineLevel="0" collapsed="false">
      <c r="A1233" s="30" t="n">
        <v>45323</v>
      </c>
      <c r="B1233" s="31" t="s">
        <v>7</v>
      </c>
      <c r="C1233" s="32"/>
      <c r="D1233" s="32"/>
      <c r="E1233" s="19" t="n">
        <f aca="false">+F1233*0.03</f>
        <v>0</v>
      </c>
      <c r="F1233" s="33" t="n">
        <v>0</v>
      </c>
      <c r="G1233" s="62"/>
      <c r="H1233" s="35" t="n">
        <v>0</v>
      </c>
      <c r="I1233" s="34" t="n">
        <f aca="false">+IF(E1233=0,0,E1233*0.03)</f>
        <v>0</v>
      </c>
    </row>
    <row r="1234" customFormat="false" ht="15.75" hidden="false" customHeight="true" outlineLevel="0" collapsed="false">
      <c r="A1234" s="30" t="n">
        <v>45323</v>
      </c>
      <c r="B1234" s="31" t="s">
        <v>7</v>
      </c>
      <c r="C1234" s="32"/>
      <c r="D1234" s="32"/>
      <c r="E1234" s="19" t="n">
        <f aca="false">+F1234*0.03</f>
        <v>0</v>
      </c>
      <c r="F1234" s="33" t="n">
        <v>0</v>
      </c>
      <c r="G1234" s="62"/>
      <c r="H1234" s="35" t="n">
        <v>0</v>
      </c>
      <c r="I1234" s="34" t="n">
        <f aca="false">+IF(E1234=0,0,E1234*0.03)</f>
        <v>0</v>
      </c>
    </row>
    <row r="1235" customFormat="false" ht="15.75" hidden="false" customHeight="true" outlineLevel="0" collapsed="false">
      <c r="A1235" s="30" t="n">
        <v>45323</v>
      </c>
      <c r="B1235" s="31" t="s">
        <v>7</v>
      </c>
      <c r="C1235" s="32"/>
      <c r="D1235" s="32"/>
      <c r="E1235" s="19" t="n">
        <f aca="false">+F1235*0.03</f>
        <v>0</v>
      </c>
      <c r="F1235" s="33" t="n">
        <v>0</v>
      </c>
      <c r="G1235" s="62"/>
      <c r="H1235" s="35" t="n">
        <v>0</v>
      </c>
      <c r="I1235" s="34" t="n">
        <f aca="false">+IF(E1235=0,0,E1235*0.03)</f>
        <v>0</v>
      </c>
    </row>
    <row r="1236" customFormat="false" ht="15.75" hidden="false" customHeight="true" outlineLevel="0" collapsed="false">
      <c r="A1236" s="30" t="n">
        <v>45323</v>
      </c>
      <c r="B1236" s="31" t="s">
        <v>7</v>
      </c>
      <c r="C1236" s="32"/>
      <c r="D1236" s="32"/>
      <c r="E1236" s="19" t="n">
        <f aca="false">+F1236*0.03</f>
        <v>0</v>
      </c>
      <c r="F1236" s="33" t="n">
        <v>0</v>
      </c>
      <c r="G1236" s="62"/>
      <c r="H1236" s="35" t="n">
        <v>0</v>
      </c>
      <c r="I1236" s="34" t="n">
        <f aca="false">+IF(E1236=0,0,E1236*0.03)</f>
        <v>0</v>
      </c>
    </row>
    <row r="1237" customFormat="false" ht="15.75" hidden="false" customHeight="true" outlineLevel="0" collapsed="false">
      <c r="A1237" s="30" t="n">
        <v>45323</v>
      </c>
      <c r="B1237" s="31" t="s">
        <v>7</v>
      </c>
      <c r="C1237" s="32"/>
      <c r="D1237" s="32"/>
      <c r="E1237" s="19" t="n">
        <f aca="false">+F1237*0.03</f>
        <v>0</v>
      </c>
      <c r="F1237" s="33" t="n">
        <v>0</v>
      </c>
      <c r="G1237" s="62"/>
      <c r="H1237" s="35" t="n">
        <v>0</v>
      </c>
      <c r="I1237" s="34" t="n">
        <f aca="false">+IF(E1237=0,0,E1237*0.03)</f>
        <v>0</v>
      </c>
    </row>
    <row r="1238" customFormat="false" ht="15.75" hidden="false" customHeight="true" outlineLevel="0" collapsed="false">
      <c r="A1238" s="30" t="n">
        <v>45323</v>
      </c>
      <c r="B1238" s="31" t="s">
        <v>7</v>
      </c>
      <c r="C1238" s="32"/>
      <c r="D1238" s="32"/>
      <c r="E1238" s="19" t="n">
        <f aca="false">+F1238*0.03</f>
        <v>0</v>
      </c>
      <c r="F1238" s="33" t="n">
        <v>0</v>
      </c>
      <c r="G1238" s="62"/>
      <c r="H1238" s="35" t="n">
        <v>0</v>
      </c>
      <c r="I1238" s="34" t="n">
        <f aca="false">+IF(E1238=0,0,E1238*0.03)</f>
        <v>0</v>
      </c>
    </row>
    <row r="1239" customFormat="false" ht="15.75" hidden="false" customHeight="true" outlineLevel="0" collapsed="false">
      <c r="A1239" s="30" t="n">
        <v>45323</v>
      </c>
      <c r="B1239" s="31" t="s">
        <v>7</v>
      </c>
      <c r="C1239" s="32"/>
      <c r="D1239" s="32"/>
      <c r="E1239" s="19" t="n">
        <f aca="false">+F1239*0.03</f>
        <v>0</v>
      </c>
      <c r="F1239" s="33" t="n">
        <v>0</v>
      </c>
      <c r="G1239" s="62"/>
      <c r="H1239" s="35" t="n">
        <v>0</v>
      </c>
      <c r="I1239" s="34" t="n">
        <f aca="false">+IF(E1239=0,0,E1239*0.03)</f>
        <v>0</v>
      </c>
    </row>
    <row r="1240" customFormat="false" ht="15.75" hidden="false" customHeight="true" outlineLevel="0" collapsed="false">
      <c r="A1240" s="30" t="n">
        <v>45323</v>
      </c>
      <c r="B1240" s="31" t="s">
        <v>7</v>
      </c>
      <c r="C1240" s="32"/>
      <c r="D1240" s="32"/>
      <c r="E1240" s="19" t="n">
        <f aca="false">+F1240*0.03</f>
        <v>0</v>
      </c>
      <c r="F1240" s="33" t="n">
        <v>0</v>
      </c>
      <c r="G1240" s="62"/>
      <c r="H1240" s="35" t="n">
        <v>0</v>
      </c>
      <c r="I1240" s="34" t="n">
        <f aca="false">+IF(E1240=0,0,E1240*0.03)</f>
        <v>0</v>
      </c>
    </row>
    <row r="1241" customFormat="false" ht="15.75" hidden="false" customHeight="true" outlineLevel="0" collapsed="false">
      <c r="A1241" s="30" t="n">
        <v>45323</v>
      </c>
      <c r="B1241" s="31" t="s">
        <v>7</v>
      </c>
      <c r="C1241" s="32"/>
      <c r="D1241" s="32"/>
      <c r="E1241" s="19" t="n">
        <f aca="false">+F1241*0.03</f>
        <v>0</v>
      </c>
      <c r="F1241" s="33" t="n">
        <v>0</v>
      </c>
      <c r="G1241" s="62"/>
      <c r="H1241" s="35" t="n">
        <v>0</v>
      </c>
      <c r="I1241" s="34" t="n">
        <f aca="false">+IF(E1241=0,0,E1241*0.03)</f>
        <v>0</v>
      </c>
    </row>
    <row r="1242" customFormat="false" ht="15.75" hidden="false" customHeight="true" outlineLevel="0" collapsed="false">
      <c r="A1242" s="30" t="n">
        <v>45323</v>
      </c>
      <c r="B1242" s="31" t="s">
        <v>7</v>
      </c>
      <c r="C1242" s="32"/>
      <c r="D1242" s="32"/>
      <c r="E1242" s="19" t="n">
        <f aca="false">+F1242*0.03</f>
        <v>0</v>
      </c>
      <c r="F1242" s="33" t="n">
        <v>0</v>
      </c>
      <c r="G1242" s="62"/>
      <c r="H1242" s="35" t="n">
        <v>0</v>
      </c>
      <c r="I1242" s="34" t="n">
        <f aca="false">+IF(E1242=0,0,E1242*0.03)</f>
        <v>0</v>
      </c>
    </row>
    <row r="1243" customFormat="false" ht="15.75" hidden="false" customHeight="true" outlineLevel="0" collapsed="false">
      <c r="A1243" s="30" t="n">
        <v>45323</v>
      </c>
      <c r="B1243" s="31" t="s">
        <v>7</v>
      </c>
      <c r="C1243" s="32"/>
      <c r="D1243" s="32"/>
      <c r="E1243" s="19" t="n">
        <f aca="false">+F1243*0.03</f>
        <v>0</v>
      </c>
      <c r="F1243" s="33" t="n">
        <v>0</v>
      </c>
      <c r="G1243" s="62"/>
      <c r="H1243" s="35" t="n">
        <v>0</v>
      </c>
      <c r="I1243" s="34" t="n">
        <f aca="false">+IF(E1243=0,0,E1243*0.03)</f>
        <v>0</v>
      </c>
    </row>
    <row r="1244" customFormat="false" ht="15.75" hidden="false" customHeight="true" outlineLevel="0" collapsed="false">
      <c r="A1244" s="30" t="n">
        <v>45323</v>
      </c>
      <c r="B1244" s="31" t="s">
        <v>7</v>
      </c>
      <c r="C1244" s="32"/>
      <c r="D1244" s="32"/>
      <c r="E1244" s="19" t="n">
        <f aca="false">+F1244*0.03</f>
        <v>0</v>
      </c>
      <c r="F1244" s="33" t="n">
        <v>0</v>
      </c>
      <c r="G1244" s="62"/>
      <c r="H1244" s="35" t="n">
        <v>0</v>
      </c>
      <c r="I1244" s="34" t="n">
        <f aca="false">+IF(E1244=0,0,E1244*0.03)</f>
        <v>0</v>
      </c>
    </row>
    <row r="1245" customFormat="false" ht="15.75" hidden="false" customHeight="true" outlineLevel="0" collapsed="false">
      <c r="A1245" s="30" t="n">
        <v>45323</v>
      </c>
      <c r="B1245" s="31" t="s">
        <v>7</v>
      </c>
      <c r="C1245" s="32"/>
      <c r="D1245" s="32"/>
      <c r="E1245" s="19" t="n">
        <f aca="false">+F1245*0.03</f>
        <v>0</v>
      </c>
      <c r="F1245" s="33" t="n">
        <v>0</v>
      </c>
      <c r="G1245" s="62"/>
      <c r="H1245" s="35" t="n">
        <v>0</v>
      </c>
      <c r="I1245" s="34" t="n">
        <f aca="false">+IF(E1245=0,0,E1245*0.03)</f>
        <v>0</v>
      </c>
    </row>
    <row r="1246" customFormat="false" ht="15.75" hidden="false" customHeight="true" outlineLevel="0" collapsed="false">
      <c r="A1246" s="30" t="n">
        <v>45323</v>
      </c>
      <c r="B1246" s="31" t="s">
        <v>7</v>
      </c>
      <c r="C1246" s="32"/>
      <c r="D1246" s="32"/>
      <c r="E1246" s="19" t="n">
        <f aca="false">+F1246*0.03</f>
        <v>0</v>
      </c>
      <c r="F1246" s="33" t="n">
        <v>0</v>
      </c>
      <c r="G1246" s="62"/>
      <c r="H1246" s="35" t="n">
        <v>0</v>
      </c>
      <c r="I1246" s="34" t="n">
        <f aca="false">+IF(E1246=0,0,E1246*0.03)</f>
        <v>0</v>
      </c>
    </row>
    <row r="1247" customFormat="false" ht="15.75" hidden="false" customHeight="true" outlineLevel="0" collapsed="false">
      <c r="A1247" s="30" t="n">
        <v>45323</v>
      </c>
      <c r="B1247" s="31" t="s">
        <v>7</v>
      </c>
      <c r="C1247" s="32"/>
      <c r="D1247" s="32"/>
      <c r="E1247" s="19" t="n">
        <f aca="false">+F1247*0.03</f>
        <v>0</v>
      </c>
      <c r="F1247" s="33" t="n">
        <v>0</v>
      </c>
      <c r="G1247" s="62"/>
      <c r="H1247" s="35" t="n">
        <v>0</v>
      </c>
      <c r="I1247" s="34" t="n">
        <f aca="false">+IF(E1247=0,0,E1247*0.03)</f>
        <v>0</v>
      </c>
    </row>
    <row r="1248" customFormat="false" ht="15.75" hidden="false" customHeight="true" outlineLevel="0" collapsed="false">
      <c r="A1248" s="30" t="n">
        <v>45323</v>
      </c>
      <c r="B1248" s="31" t="s">
        <v>7</v>
      </c>
      <c r="C1248" s="32"/>
      <c r="D1248" s="32"/>
      <c r="E1248" s="19" t="n">
        <f aca="false">+F1248*0.03</f>
        <v>0</v>
      </c>
      <c r="F1248" s="33" t="n">
        <v>0</v>
      </c>
      <c r="G1248" s="62"/>
      <c r="H1248" s="35" t="n">
        <v>0</v>
      </c>
      <c r="I1248" s="34" t="n">
        <f aca="false">+IF(E1248=0,0,E1248*0.03)</f>
        <v>0</v>
      </c>
    </row>
    <row r="1249" customFormat="false" ht="15.75" hidden="false" customHeight="true" outlineLevel="0" collapsed="false">
      <c r="A1249" s="30" t="n">
        <v>45323</v>
      </c>
      <c r="B1249" s="31" t="s">
        <v>7</v>
      </c>
      <c r="C1249" s="32"/>
      <c r="D1249" s="32"/>
      <c r="E1249" s="19" t="n">
        <f aca="false">+F1249*0.03</f>
        <v>0</v>
      </c>
      <c r="F1249" s="33" t="n">
        <v>0</v>
      </c>
      <c r="G1249" s="62"/>
      <c r="H1249" s="35" t="n">
        <v>0</v>
      </c>
      <c r="I1249" s="34" t="n">
        <f aca="false">+IF(E1249=0,0,E1249*0.03)</f>
        <v>0</v>
      </c>
    </row>
    <row r="1250" customFormat="false" ht="15.75" hidden="false" customHeight="true" outlineLevel="0" collapsed="false">
      <c r="A1250" s="30" t="n">
        <v>45323</v>
      </c>
      <c r="B1250" s="31" t="s">
        <v>7</v>
      </c>
      <c r="C1250" s="32"/>
      <c r="D1250" s="32"/>
      <c r="E1250" s="19" t="n">
        <f aca="false">+F1250*0.03</f>
        <v>0</v>
      </c>
      <c r="F1250" s="33" t="n">
        <v>0</v>
      </c>
      <c r="G1250" s="62"/>
      <c r="H1250" s="35" t="n">
        <v>0</v>
      </c>
      <c r="I1250" s="34" t="n">
        <f aca="false">+IF(E1250=0,0,E1250*0.03)</f>
        <v>0</v>
      </c>
    </row>
    <row r="1251" customFormat="false" ht="15.75" hidden="false" customHeight="true" outlineLevel="0" collapsed="false">
      <c r="A1251" s="30" t="n">
        <v>45323</v>
      </c>
      <c r="B1251" s="31" t="s">
        <v>7</v>
      </c>
      <c r="C1251" s="32"/>
      <c r="D1251" s="32"/>
      <c r="E1251" s="19" t="n">
        <f aca="false">+F1251*0.03</f>
        <v>0</v>
      </c>
      <c r="F1251" s="33" t="n">
        <v>0</v>
      </c>
      <c r="G1251" s="62"/>
      <c r="H1251" s="35" t="n">
        <v>0</v>
      </c>
      <c r="I1251" s="34" t="n">
        <f aca="false">+IF(E1251=0,0,E1251*0.03)</f>
        <v>0</v>
      </c>
    </row>
    <row r="1252" customFormat="false" ht="15.75" hidden="false" customHeight="true" outlineLevel="0" collapsed="false">
      <c r="A1252" s="30" t="n">
        <v>45323</v>
      </c>
      <c r="B1252" s="31" t="s">
        <v>7</v>
      </c>
      <c r="C1252" s="32"/>
      <c r="D1252" s="32"/>
      <c r="E1252" s="19" t="n">
        <f aca="false">+F1252*0.03</f>
        <v>0</v>
      </c>
      <c r="F1252" s="33" t="n">
        <v>0</v>
      </c>
      <c r="G1252" s="62"/>
      <c r="H1252" s="35" t="n">
        <v>0</v>
      </c>
      <c r="I1252" s="34" t="n">
        <f aca="false">+IF(E1252=0,0,E1252*0.03)</f>
        <v>0</v>
      </c>
    </row>
    <row r="1253" customFormat="false" ht="15.75" hidden="false" customHeight="true" outlineLevel="0" collapsed="false">
      <c r="A1253" s="30" t="n">
        <v>45323</v>
      </c>
      <c r="B1253" s="31" t="s">
        <v>7</v>
      </c>
      <c r="C1253" s="32"/>
      <c r="D1253" s="32"/>
      <c r="E1253" s="19" t="n">
        <f aca="false">+F1253*0.03</f>
        <v>0</v>
      </c>
      <c r="F1253" s="33" t="n">
        <v>0</v>
      </c>
      <c r="G1253" s="62"/>
      <c r="H1253" s="35" t="n">
        <v>0</v>
      </c>
      <c r="I1253" s="34" t="n">
        <f aca="false">+IF(E1253=0,0,E1253*0.03)</f>
        <v>0</v>
      </c>
    </row>
    <row r="1254" customFormat="false" ht="15.75" hidden="false" customHeight="true" outlineLevel="0" collapsed="false">
      <c r="A1254" s="30" t="n">
        <v>45323</v>
      </c>
      <c r="B1254" s="31" t="s">
        <v>7</v>
      </c>
      <c r="C1254" s="32"/>
      <c r="D1254" s="32"/>
      <c r="E1254" s="19" t="n">
        <f aca="false">+F1254*0.03</f>
        <v>0</v>
      </c>
      <c r="F1254" s="33" t="n">
        <v>0</v>
      </c>
      <c r="G1254" s="62"/>
      <c r="H1254" s="35" t="n">
        <v>0</v>
      </c>
      <c r="I1254" s="34" t="n">
        <f aca="false">+IF(E1254=0,0,E1254*0.03)</f>
        <v>0</v>
      </c>
    </row>
    <row r="1255" customFormat="false" ht="15.75" hidden="false" customHeight="true" outlineLevel="0" collapsed="false">
      <c r="A1255" s="30" t="n">
        <v>45323</v>
      </c>
      <c r="B1255" s="31" t="s">
        <v>7</v>
      </c>
      <c r="C1255" s="32"/>
      <c r="D1255" s="32"/>
      <c r="E1255" s="19" t="n">
        <f aca="false">+F1255*0.03</f>
        <v>0</v>
      </c>
      <c r="F1255" s="33" t="n">
        <v>0</v>
      </c>
      <c r="G1255" s="62"/>
      <c r="H1255" s="35" t="n">
        <v>0</v>
      </c>
      <c r="I1255" s="34" t="n">
        <f aca="false">+IF(E1255=0,0,E1255*0.03)</f>
        <v>0</v>
      </c>
    </row>
    <row r="1256" customFormat="false" ht="15.75" hidden="false" customHeight="true" outlineLevel="0" collapsed="false">
      <c r="A1256" s="30" t="n">
        <v>45323</v>
      </c>
      <c r="B1256" s="31" t="s">
        <v>7</v>
      </c>
      <c r="C1256" s="32"/>
      <c r="D1256" s="32"/>
      <c r="E1256" s="19" t="n">
        <f aca="false">+F1256*0.03</f>
        <v>0</v>
      </c>
      <c r="F1256" s="33" t="n">
        <v>0</v>
      </c>
      <c r="G1256" s="62"/>
      <c r="H1256" s="35" t="n">
        <v>0</v>
      </c>
      <c r="I1256" s="34" t="n">
        <f aca="false">+IF(E1256=0,0,E1256*0.03)</f>
        <v>0</v>
      </c>
    </row>
    <row r="1257" customFormat="false" ht="15.75" hidden="false" customHeight="true" outlineLevel="0" collapsed="false">
      <c r="A1257" s="30" t="n">
        <v>45323</v>
      </c>
      <c r="B1257" s="31" t="s">
        <v>7</v>
      </c>
      <c r="C1257" s="32"/>
      <c r="D1257" s="32"/>
      <c r="E1257" s="19" t="n">
        <f aca="false">+F1257*0.03</f>
        <v>0</v>
      </c>
      <c r="F1257" s="33" t="n">
        <v>0</v>
      </c>
      <c r="G1257" s="62"/>
      <c r="H1257" s="35" t="n">
        <v>0</v>
      </c>
      <c r="I1257" s="34" t="n">
        <f aca="false">+IF(E1257=0,0,E1257*0.03)</f>
        <v>0</v>
      </c>
    </row>
    <row r="1258" customFormat="false" ht="15.75" hidden="false" customHeight="true" outlineLevel="0" collapsed="false">
      <c r="A1258" s="30" t="n">
        <v>45323</v>
      </c>
      <c r="B1258" s="31" t="s">
        <v>7</v>
      </c>
      <c r="C1258" s="32"/>
      <c r="D1258" s="32"/>
      <c r="E1258" s="19" t="n">
        <f aca="false">+F1258*0.03</f>
        <v>0</v>
      </c>
      <c r="F1258" s="33" t="n">
        <v>0</v>
      </c>
      <c r="G1258" s="62"/>
      <c r="H1258" s="35" t="n">
        <v>0</v>
      </c>
      <c r="I1258" s="34" t="n">
        <f aca="false">+IF(E1258=0,0,E1258*0.03)</f>
        <v>0</v>
      </c>
    </row>
    <row r="1259" customFormat="false" ht="15.75" hidden="false" customHeight="true" outlineLevel="0" collapsed="false">
      <c r="A1259" s="30" t="n">
        <v>45323</v>
      </c>
      <c r="B1259" s="31" t="s">
        <v>7</v>
      </c>
      <c r="C1259" s="32"/>
      <c r="D1259" s="32"/>
      <c r="E1259" s="19" t="n">
        <f aca="false">+F1259*0.03</f>
        <v>0</v>
      </c>
      <c r="F1259" s="33" t="n">
        <v>0</v>
      </c>
      <c r="G1259" s="62"/>
      <c r="H1259" s="35" t="n">
        <v>0</v>
      </c>
      <c r="I1259" s="34" t="n">
        <f aca="false">+IF(E1259=0,0,E1259*0.03)</f>
        <v>0</v>
      </c>
    </row>
    <row r="1260" customFormat="false" ht="15.75" hidden="false" customHeight="true" outlineLevel="0" collapsed="false">
      <c r="A1260" s="30" t="n">
        <v>45323</v>
      </c>
      <c r="B1260" s="31" t="s">
        <v>7</v>
      </c>
      <c r="C1260" s="32"/>
      <c r="D1260" s="32"/>
      <c r="E1260" s="19" t="n">
        <f aca="false">+F1260*0.03</f>
        <v>0</v>
      </c>
      <c r="F1260" s="33" t="n">
        <v>0</v>
      </c>
      <c r="G1260" s="62"/>
      <c r="H1260" s="35" t="n">
        <v>0</v>
      </c>
      <c r="I1260" s="34" t="n">
        <f aca="false">+IF(E1260=0,0,E1260*0.03)</f>
        <v>0</v>
      </c>
    </row>
    <row r="1261" customFormat="false" ht="15.75" hidden="false" customHeight="true" outlineLevel="0" collapsed="false">
      <c r="A1261" s="30" t="n">
        <v>45323</v>
      </c>
      <c r="B1261" s="31" t="s">
        <v>7</v>
      </c>
      <c r="C1261" s="32"/>
      <c r="D1261" s="32"/>
      <c r="E1261" s="19" t="n">
        <f aca="false">+F1261*0.03</f>
        <v>0</v>
      </c>
      <c r="F1261" s="33" t="n">
        <v>0</v>
      </c>
      <c r="G1261" s="62"/>
      <c r="H1261" s="35" t="n">
        <v>0</v>
      </c>
      <c r="I1261" s="34" t="n">
        <f aca="false">+IF(E1261=0,0,E1261*0.03)</f>
        <v>0</v>
      </c>
    </row>
    <row r="1262" customFormat="false" ht="15.75" hidden="false" customHeight="true" outlineLevel="0" collapsed="false">
      <c r="A1262" s="30" t="n">
        <v>45323</v>
      </c>
      <c r="B1262" s="31" t="s">
        <v>7</v>
      </c>
      <c r="C1262" s="32"/>
      <c r="D1262" s="32"/>
      <c r="E1262" s="19" t="n">
        <f aca="false">+F1262*0.03</f>
        <v>0</v>
      </c>
      <c r="F1262" s="33" t="n">
        <v>0</v>
      </c>
      <c r="G1262" s="62"/>
      <c r="H1262" s="35" t="n">
        <v>0</v>
      </c>
      <c r="I1262" s="34" t="n">
        <f aca="false">+IF(E1262=0,0,E1262*0.03)</f>
        <v>0</v>
      </c>
    </row>
    <row r="1263" customFormat="false" ht="15.75" hidden="false" customHeight="true" outlineLevel="0" collapsed="false">
      <c r="A1263" s="30" t="n">
        <v>45323</v>
      </c>
      <c r="B1263" s="31" t="s">
        <v>7</v>
      </c>
      <c r="C1263" s="32"/>
      <c r="D1263" s="32"/>
      <c r="E1263" s="19" t="n">
        <f aca="false">+F1263*0.03</f>
        <v>0</v>
      </c>
      <c r="F1263" s="33" t="n">
        <v>0</v>
      </c>
      <c r="G1263" s="62"/>
      <c r="H1263" s="35" t="n">
        <v>0</v>
      </c>
      <c r="I1263" s="34" t="n">
        <f aca="false">+IF(E1263=0,0,E1263*0.03)</f>
        <v>0</v>
      </c>
    </row>
    <row r="1264" customFormat="false" ht="15.75" hidden="false" customHeight="true" outlineLevel="0" collapsed="false">
      <c r="A1264" s="30" t="n">
        <v>45323</v>
      </c>
      <c r="B1264" s="31" t="s">
        <v>7</v>
      </c>
      <c r="C1264" s="32"/>
      <c r="D1264" s="32"/>
      <c r="E1264" s="19" t="n">
        <f aca="false">+F1264*0.03</f>
        <v>0</v>
      </c>
      <c r="F1264" s="33" t="n">
        <v>0</v>
      </c>
      <c r="G1264" s="62"/>
      <c r="H1264" s="35" t="n">
        <v>0</v>
      </c>
      <c r="I1264" s="34" t="n">
        <f aca="false">+IF(E1264=0,0,E1264*0.03)</f>
        <v>0</v>
      </c>
    </row>
    <row r="1265" customFormat="false" ht="15.75" hidden="false" customHeight="true" outlineLevel="0" collapsed="false">
      <c r="A1265" s="30" t="n">
        <v>45323</v>
      </c>
      <c r="B1265" s="31" t="s">
        <v>7</v>
      </c>
      <c r="C1265" s="32"/>
      <c r="D1265" s="32"/>
      <c r="E1265" s="19" t="n">
        <f aca="false">+F1265*0.03</f>
        <v>0</v>
      </c>
      <c r="F1265" s="33" t="n">
        <v>0</v>
      </c>
      <c r="G1265" s="62"/>
      <c r="H1265" s="35" t="n">
        <v>0</v>
      </c>
      <c r="I1265" s="34" t="n">
        <f aca="false">+IF(E1265=0,0,E1265*0.03)</f>
        <v>0</v>
      </c>
    </row>
    <row r="1266" customFormat="false" ht="15.75" hidden="false" customHeight="true" outlineLevel="0" collapsed="false">
      <c r="A1266" s="30" t="n">
        <v>45323</v>
      </c>
      <c r="B1266" s="31" t="s">
        <v>7</v>
      </c>
      <c r="C1266" s="32"/>
      <c r="D1266" s="32"/>
      <c r="E1266" s="19" t="n">
        <f aca="false">+F1266*0.03</f>
        <v>0</v>
      </c>
      <c r="F1266" s="33" t="n">
        <v>0</v>
      </c>
      <c r="G1266" s="62"/>
      <c r="H1266" s="35" t="n">
        <v>0</v>
      </c>
      <c r="I1266" s="34" t="n">
        <f aca="false">+IF(E1266=0,0,E1266*0.03)</f>
        <v>0</v>
      </c>
    </row>
    <row r="1267" customFormat="false" ht="15.75" hidden="false" customHeight="true" outlineLevel="0" collapsed="false">
      <c r="A1267" s="30" t="n">
        <v>45323</v>
      </c>
      <c r="B1267" s="31" t="s">
        <v>7</v>
      </c>
      <c r="C1267" s="32"/>
      <c r="D1267" s="32"/>
      <c r="E1267" s="19" t="n">
        <f aca="false">+F1267*0.03</f>
        <v>0</v>
      </c>
      <c r="F1267" s="33" t="n">
        <v>0</v>
      </c>
      <c r="G1267" s="62"/>
      <c r="H1267" s="35" t="n">
        <v>0</v>
      </c>
      <c r="I1267" s="34" t="n">
        <f aca="false">+IF(E1267=0,0,E1267*0.03)</f>
        <v>0</v>
      </c>
    </row>
    <row r="1268" customFormat="false" ht="15.75" hidden="false" customHeight="true" outlineLevel="0" collapsed="false">
      <c r="A1268" s="30" t="n">
        <v>45323</v>
      </c>
      <c r="B1268" s="31" t="s">
        <v>7</v>
      </c>
      <c r="C1268" s="32"/>
      <c r="D1268" s="32"/>
      <c r="E1268" s="19" t="n">
        <f aca="false">+F1268*0.03</f>
        <v>0</v>
      </c>
      <c r="F1268" s="33" t="n">
        <v>0</v>
      </c>
      <c r="G1268" s="62"/>
      <c r="H1268" s="35" t="n">
        <v>0</v>
      </c>
      <c r="I1268" s="34" t="n">
        <f aca="false">+IF(E1268=0,0,E1268*0.03)</f>
        <v>0</v>
      </c>
    </row>
    <row r="1269" customFormat="false" ht="15.75" hidden="false" customHeight="true" outlineLevel="0" collapsed="false">
      <c r="A1269" s="30" t="n">
        <v>45323</v>
      </c>
      <c r="B1269" s="31" t="s">
        <v>7</v>
      </c>
      <c r="C1269" s="32"/>
      <c r="D1269" s="32"/>
      <c r="E1269" s="19" t="n">
        <f aca="false">+F1269*0.03</f>
        <v>0</v>
      </c>
      <c r="F1269" s="33" t="n">
        <v>0</v>
      </c>
      <c r="G1269" s="62"/>
      <c r="H1269" s="35" t="n">
        <v>0</v>
      </c>
      <c r="I1269" s="34" t="n">
        <f aca="false">+IF(E1269=0,0,E1269*0.03)</f>
        <v>0</v>
      </c>
    </row>
    <row r="1270" customFormat="false" ht="15.75" hidden="false" customHeight="true" outlineLevel="0" collapsed="false">
      <c r="A1270" s="30" t="n">
        <v>45323</v>
      </c>
      <c r="B1270" s="31" t="s">
        <v>7</v>
      </c>
      <c r="C1270" s="32"/>
      <c r="D1270" s="32"/>
      <c r="E1270" s="19" t="n">
        <f aca="false">+F1270*0.03</f>
        <v>0</v>
      </c>
      <c r="F1270" s="33" t="n">
        <v>0</v>
      </c>
      <c r="G1270" s="62"/>
      <c r="H1270" s="35" t="n">
        <v>0</v>
      </c>
      <c r="I1270" s="34" t="n">
        <f aca="false">+IF(E1270=0,0,E1270*0.03)</f>
        <v>0</v>
      </c>
    </row>
    <row r="1271" customFormat="false" ht="15.75" hidden="false" customHeight="true" outlineLevel="0" collapsed="false">
      <c r="A1271" s="30" t="n">
        <v>45323</v>
      </c>
      <c r="B1271" s="31" t="s">
        <v>7</v>
      </c>
      <c r="C1271" s="32"/>
      <c r="D1271" s="32"/>
      <c r="E1271" s="19" t="n">
        <f aca="false">+F1271*0.03</f>
        <v>0</v>
      </c>
      <c r="F1271" s="33" t="n">
        <v>0</v>
      </c>
      <c r="G1271" s="62"/>
      <c r="H1271" s="35" t="n">
        <v>0</v>
      </c>
      <c r="I1271" s="34" t="n">
        <f aca="false">+IF(E1271=0,0,E1271*0.03)</f>
        <v>0</v>
      </c>
    </row>
    <row r="1272" customFormat="false" ht="15.75" hidden="false" customHeight="true" outlineLevel="0" collapsed="false">
      <c r="A1272" s="30" t="n">
        <v>45323</v>
      </c>
      <c r="B1272" s="31" t="s">
        <v>7</v>
      </c>
      <c r="C1272" s="32"/>
      <c r="D1272" s="32"/>
      <c r="E1272" s="19" t="n">
        <f aca="false">+F1272*0.03</f>
        <v>0</v>
      </c>
      <c r="F1272" s="33" t="n">
        <v>0</v>
      </c>
      <c r="G1272" s="62"/>
      <c r="H1272" s="35" t="n">
        <v>0</v>
      </c>
      <c r="I1272" s="34" t="n">
        <f aca="false">+IF(E1272=0,0,E1272*0.03)</f>
        <v>0</v>
      </c>
    </row>
    <row r="1273" customFormat="false" ht="15.75" hidden="false" customHeight="true" outlineLevel="0" collapsed="false">
      <c r="A1273" s="30" t="n">
        <v>45323</v>
      </c>
      <c r="B1273" s="31" t="s">
        <v>7</v>
      </c>
      <c r="C1273" s="32"/>
      <c r="D1273" s="32"/>
      <c r="E1273" s="19" t="n">
        <f aca="false">+F1273*0.03</f>
        <v>0</v>
      </c>
      <c r="F1273" s="33" t="n">
        <v>0</v>
      </c>
      <c r="G1273" s="62"/>
      <c r="H1273" s="35" t="n">
        <v>0</v>
      </c>
      <c r="I1273" s="34" t="n">
        <f aca="false">+IF(E1273=0,0,E1273*0.03)</f>
        <v>0</v>
      </c>
    </row>
    <row r="1274" customFormat="false" ht="15.75" hidden="false" customHeight="true" outlineLevel="0" collapsed="false">
      <c r="A1274" s="30" t="n">
        <v>45323</v>
      </c>
      <c r="B1274" s="31" t="s">
        <v>7</v>
      </c>
      <c r="C1274" s="32"/>
      <c r="D1274" s="32"/>
      <c r="E1274" s="19" t="n">
        <f aca="false">+F1274*0.03</f>
        <v>0</v>
      </c>
      <c r="F1274" s="33" t="n">
        <v>0</v>
      </c>
      <c r="G1274" s="62"/>
      <c r="H1274" s="35" t="n">
        <v>0</v>
      </c>
      <c r="I1274" s="34" t="n">
        <f aca="false">+IF(E1274=0,0,E1274*0.03)</f>
        <v>0</v>
      </c>
    </row>
    <row r="1275" customFormat="false" ht="15.75" hidden="false" customHeight="true" outlineLevel="0" collapsed="false">
      <c r="A1275" s="30" t="n">
        <v>45323</v>
      </c>
      <c r="B1275" s="31" t="s">
        <v>7</v>
      </c>
      <c r="C1275" s="32"/>
      <c r="D1275" s="32"/>
      <c r="E1275" s="19" t="n">
        <f aca="false">+F1275*0.03</f>
        <v>0</v>
      </c>
      <c r="F1275" s="33" t="n">
        <v>0</v>
      </c>
      <c r="G1275" s="62"/>
      <c r="H1275" s="35" t="n">
        <v>0</v>
      </c>
      <c r="I1275" s="34" t="n">
        <f aca="false">+IF(E1275=0,0,E1275*0.03)</f>
        <v>0</v>
      </c>
    </row>
    <row r="1276" customFormat="false" ht="15.75" hidden="false" customHeight="true" outlineLevel="0" collapsed="false">
      <c r="A1276" s="30" t="n">
        <v>45323</v>
      </c>
      <c r="B1276" s="31" t="s">
        <v>7</v>
      </c>
      <c r="C1276" s="32"/>
      <c r="D1276" s="32"/>
      <c r="E1276" s="19" t="n">
        <f aca="false">+F1276*0.03</f>
        <v>0</v>
      </c>
      <c r="F1276" s="33" t="n">
        <v>0</v>
      </c>
      <c r="G1276" s="62"/>
      <c r="H1276" s="35" t="n">
        <v>0</v>
      </c>
      <c r="I1276" s="34" t="n">
        <f aca="false">+IF(E1276=0,0,E1276*0.03)</f>
        <v>0</v>
      </c>
    </row>
    <row r="1277" customFormat="false" ht="15.75" hidden="false" customHeight="true" outlineLevel="0" collapsed="false">
      <c r="A1277" s="30" t="n">
        <v>45323</v>
      </c>
      <c r="B1277" s="31" t="s">
        <v>7</v>
      </c>
      <c r="C1277" s="32"/>
      <c r="D1277" s="32"/>
      <c r="E1277" s="19" t="n">
        <f aca="false">+F1277*0.03</f>
        <v>0</v>
      </c>
      <c r="F1277" s="33" t="n">
        <v>0</v>
      </c>
      <c r="G1277" s="62"/>
      <c r="H1277" s="35" t="n">
        <v>0</v>
      </c>
      <c r="I1277" s="34" t="n">
        <f aca="false">+IF(E1277=0,0,E1277*0.03)</f>
        <v>0</v>
      </c>
    </row>
    <row r="1278" customFormat="false" ht="15.75" hidden="false" customHeight="true" outlineLevel="0" collapsed="false">
      <c r="A1278" s="30" t="n">
        <v>45323</v>
      </c>
      <c r="B1278" s="31" t="s">
        <v>7</v>
      </c>
      <c r="C1278" s="32"/>
      <c r="D1278" s="32"/>
      <c r="E1278" s="19" t="n">
        <f aca="false">+F1278*0.03</f>
        <v>0</v>
      </c>
      <c r="F1278" s="33" t="n">
        <v>0</v>
      </c>
      <c r="G1278" s="62"/>
      <c r="H1278" s="35" t="n">
        <v>0</v>
      </c>
      <c r="I1278" s="34" t="n">
        <f aca="false">+IF(E1278=0,0,E1278*0.03)</f>
        <v>0</v>
      </c>
    </row>
    <row r="1279" customFormat="false" ht="15.75" hidden="false" customHeight="true" outlineLevel="0" collapsed="false">
      <c r="A1279" s="30" t="n">
        <v>45323</v>
      </c>
      <c r="B1279" s="31" t="s">
        <v>7</v>
      </c>
      <c r="C1279" s="32"/>
      <c r="D1279" s="32"/>
      <c r="E1279" s="19" t="n">
        <f aca="false">+F1279*0.03</f>
        <v>0</v>
      </c>
      <c r="F1279" s="33" t="n">
        <v>0</v>
      </c>
      <c r="G1279" s="62"/>
      <c r="H1279" s="35" t="n">
        <v>0</v>
      </c>
      <c r="I1279" s="34" t="n">
        <f aca="false">+IF(E1279=0,0,E1279*0.03)</f>
        <v>0</v>
      </c>
    </row>
    <row r="1280" customFormat="false" ht="15.75" hidden="false" customHeight="true" outlineLevel="0" collapsed="false">
      <c r="A1280" s="30" t="n">
        <v>45323</v>
      </c>
      <c r="B1280" s="31" t="s">
        <v>7</v>
      </c>
      <c r="C1280" s="32"/>
      <c r="D1280" s="32"/>
      <c r="E1280" s="19" t="n">
        <f aca="false">+F1280*0.03</f>
        <v>0</v>
      </c>
      <c r="F1280" s="33" t="n">
        <v>0</v>
      </c>
      <c r="G1280" s="62"/>
      <c r="H1280" s="35" t="n">
        <v>0</v>
      </c>
      <c r="I1280" s="34" t="n">
        <f aca="false">+IF(E1280=0,0,E1280*0.03)</f>
        <v>0</v>
      </c>
    </row>
    <row r="1281" customFormat="false" ht="15.75" hidden="false" customHeight="true" outlineLevel="0" collapsed="false">
      <c r="A1281" s="30" t="n">
        <v>45323</v>
      </c>
      <c r="B1281" s="31" t="s">
        <v>7</v>
      </c>
      <c r="C1281" s="32"/>
      <c r="D1281" s="32"/>
      <c r="E1281" s="19" t="n">
        <f aca="false">+F1281*0.03</f>
        <v>0</v>
      </c>
      <c r="F1281" s="33" t="n">
        <v>0</v>
      </c>
      <c r="G1281" s="62"/>
      <c r="H1281" s="35" t="n">
        <v>0</v>
      </c>
      <c r="I1281" s="34" t="n">
        <f aca="false">+IF(E1281=0,0,E1281*0.03)</f>
        <v>0</v>
      </c>
    </row>
    <row r="1282" customFormat="false" ht="15.75" hidden="false" customHeight="true" outlineLevel="0" collapsed="false">
      <c r="A1282" s="30" t="n">
        <v>45323</v>
      </c>
      <c r="B1282" s="31" t="s">
        <v>7</v>
      </c>
      <c r="C1282" s="32"/>
      <c r="D1282" s="32"/>
      <c r="E1282" s="19" t="n">
        <f aca="false">+F1282*0.03</f>
        <v>0</v>
      </c>
      <c r="F1282" s="33" t="n">
        <v>0</v>
      </c>
      <c r="G1282" s="62"/>
      <c r="H1282" s="35" t="n">
        <v>0</v>
      </c>
      <c r="I1282" s="34" t="n">
        <f aca="false">+IF(E1282=0,0,E1282*0.03)</f>
        <v>0</v>
      </c>
    </row>
    <row r="1283" customFormat="false" ht="15.75" hidden="false" customHeight="true" outlineLevel="0" collapsed="false">
      <c r="A1283" s="30" t="n">
        <v>45323</v>
      </c>
      <c r="B1283" s="31" t="s">
        <v>7</v>
      </c>
      <c r="C1283" s="32"/>
      <c r="D1283" s="32"/>
      <c r="E1283" s="19" t="n">
        <f aca="false">+F1283*0.03</f>
        <v>0</v>
      </c>
      <c r="F1283" s="33" t="n">
        <v>0</v>
      </c>
      <c r="G1283" s="62"/>
      <c r="H1283" s="35" t="n">
        <v>0</v>
      </c>
      <c r="I1283" s="34" t="n">
        <f aca="false">+IF(E1283=0,0,E1283*0.03)</f>
        <v>0</v>
      </c>
    </row>
    <row r="1284" customFormat="false" ht="15.75" hidden="false" customHeight="true" outlineLevel="0" collapsed="false">
      <c r="A1284" s="30" t="n">
        <v>45323</v>
      </c>
      <c r="B1284" s="31" t="s">
        <v>7</v>
      </c>
      <c r="C1284" s="32"/>
      <c r="D1284" s="32"/>
      <c r="E1284" s="19" t="n">
        <f aca="false">+F1284*0.03</f>
        <v>0</v>
      </c>
      <c r="F1284" s="33" t="n">
        <v>0</v>
      </c>
      <c r="G1284" s="62"/>
      <c r="H1284" s="35" t="n">
        <v>0</v>
      </c>
      <c r="I1284" s="34" t="n">
        <f aca="false">+IF(E1284=0,0,E1284*0.03)</f>
        <v>0</v>
      </c>
    </row>
    <row r="1285" customFormat="false" ht="15.75" hidden="false" customHeight="true" outlineLevel="0" collapsed="false">
      <c r="A1285" s="30" t="n">
        <v>45323</v>
      </c>
      <c r="B1285" s="31" t="s">
        <v>7</v>
      </c>
      <c r="C1285" s="32"/>
      <c r="D1285" s="32"/>
      <c r="E1285" s="19" t="n">
        <f aca="false">+F1285*0.03</f>
        <v>0</v>
      </c>
      <c r="F1285" s="33" t="n">
        <v>0</v>
      </c>
      <c r="G1285" s="62"/>
      <c r="H1285" s="35" t="n">
        <v>0</v>
      </c>
      <c r="I1285" s="34" t="n">
        <f aca="false">+IF(E1285=0,0,E1285*0.03)</f>
        <v>0</v>
      </c>
    </row>
    <row r="1286" customFormat="false" ht="15.75" hidden="false" customHeight="true" outlineLevel="0" collapsed="false">
      <c r="A1286" s="30" t="n">
        <v>45323</v>
      </c>
      <c r="B1286" s="31" t="s">
        <v>7</v>
      </c>
      <c r="C1286" s="32"/>
      <c r="D1286" s="32"/>
      <c r="E1286" s="19" t="n">
        <f aca="false">+F1286*0.03</f>
        <v>0</v>
      </c>
      <c r="F1286" s="33" t="n">
        <v>0</v>
      </c>
      <c r="G1286" s="62"/>
      <c r="H1286" s="35" t="n">
        <v>0</v>
      </c>
      <c r="I1286" s="34" t="n">
        <f aca="false">+IF(E1286=0,0,E1286*0.03)</f>
        <v>0</v>
      </c>
    </row>
    <row r="1287" customFormat="false" ht="15.75" hidden="false" customHeight="true" outlineLevel="0" collapsed="false">
      <c r="A1287" s="30" t="n">
        <v>45323</v>
      </c>
      <c r="B1287" s="31" t="s">
        <v>7</v>
      </c>
      <c r="C1287" s="32"/>
      <c r="D1287" s="32"/>
      <c r="E1287" s="19" t="n">
        <f aca="false">+F1287*0.03</f>
        <v>0</v>
      </c>
      <c r="F1287" s="33" t="n">
        <v>0</v>
      </c>
      <c r="G1287" s="62"/>
      <c r="H1287" s="35" t="n">
        <v>0</v>
      </c>
      <c r="I1287" s="34" t="n">
        <f aca="false">+IF(E1287=0,0,E1287*0.03)</f>
        <v>0</v>
      </c>
    </row>
    <row r="1288" customFormat="false" ht="15.75" hidden="false" customHeight="true" outlineLevel="0" collapsed="false">
      <c r="A1288" s="30" t="n">
        <v>45323</v>
      </c>
      <c r="B1288" s="31" t="s">
        <v>7</v>
      </c>
      <c r="C1288" s="32"/>
      <c r="D1288" s="32"/>
      <c r="E1288" s="19" t="n">
        <f aca="false">+F1288*0.03</f>
        <v>0</v>
      </c>
      <c r="F1288" s="33" t="n">
        <v>0</v>
      </c>
      <c r="G1288" s="62"/>
      <c r="H1288" s="35" t="n">
        <v>0</v>
      </c>
      <c r="I1288" s="34" t="n">
        <f aca="false">+IF(E1288=0,0,E1288*0.03)</f>
        <v>0</v>
      </c>
    </row>
    <row r="1289" customFormat="false" ht="15.75" hidden="false" customHeight="true" outlineLevel="0" collapsed="false">
      <c r="A1289" s="30" t="n">
        <v>45323</v>
      </c>
      <c r="B1289" s="31" t="s">
        <v>7</v>
      </c>
      <c r="C1289" s="32"/>
      <c r="D1289" s="32"/>
      <c r="E1289" s="19" t="n">
        <f aca="false">+F1289*0.03</f>
        <v>0</v>
      </c>
      <c r="F1289" s="33" t="n">
        <v>0</v>
      </c>
      <c r="G1289" s="62"/>
      <c r="H1289" s="35" t="n">
        <v>0</v>
      </c>
      <c r="I1289" s="34" t="n">
        <f aca="false">+IF(E1289=0,0,E1289*0.03)</f>
        <v>0</v>
      </c>
    </row>
    <row r="1290" customFormat="false" ht="15.75" hidden="false" customHeight="true" outlineLevel="0" collapsed="false">
      <c r="A1290" s="30" t="n">
        <v>45323</v>
      </c>
      <c r="B1290" s="31" t="s">
        <v>7</v>
      </c>
      <c r="C1290" s="32"/>
      <c r="D1290" s="32"/>
      <c r="E1290" s="19" t="n">
        <f aca="false">+F1290*0.03</f>
        <v>0</v>
      </c>
      <c r="F1290" s="33" t="n">
        <v>0</v>
      </c>
      <c r="G1290" s="62"/>
      <c r="H1290" s="35" t="n">
        <v>0</v>
      </c>
      <c r="I1290" s="34" t="n">
        <f aca="false">+IF(E1290=0,0,E1290*0.03)</f>
        <v>0</v>
      </c>
    </row>
    <row r="1291" customFormat="false" ht="15.75" hidden="false" customHeight="true" outlineLevel="0" collapsed="false">
      <c r="A1291" s="30" t="n">
        <v>45323</v>
      </c>
      <c r="B1291" s="31" t="s">
        <v>7</v>
      </c>
      <c r="C1291" s="32"/>
      <c r="D1291" s="32"/>
      <c r="E1291" s="19" t="n">
        <f aca="false">+F1291*0.03</f>
        <v>0</v>
      </c>
      <c r="F1291" s="33" t="n">
        <v>0</v>
      </c>
      <c r="G1291" s="62"/>
      <c r="H1291" s="35" t="n">
        <v>0</v>
      </c>
      <c r="I1291" s="34" t="n">
        <f aca="false">+IF(E1291=0,0,E1291*0.03)</f>
        <v>0</v>
      </c>
    </row>
    <row r="1292" customFormat="false" ht="15.75" hidden="false" customHeight="true" outlineLevel="0" collapsed="false">
      <c r="A1292" s="30" t="n">
        <v>45323</v>
      </c>
      <c r="B1292" s="31" t="s">
        <v>7</v>
      </c>
      <c r="C1292" s="32"/>
      <c r="D1292" s="32"/>
      <c r="E1292" s="19" t="n">
        <f aca="false">+F1292*0.03</f>
        <v>0</v>
      </c>
      <c r="F1292" s="33" t="n">
        <v>0</v>
      </c>
      <c r="G1292" s="62"/>
      <c r="H1292" s="35" t="n">
        <v>0</v>
      </c>
      <c r="I1292" s="34" t="n">
        <f aca="false">+IF(E1292=0,0,E1292*0.03)</f>
        <v>0</v>
      </c>
    </row>
    <row r="1293" customFormat="false" ht="15.75" hidden="false" customHeight="true" outlineLevel="0" collapsed="false">
      <c r="A1293" s="30" t="n">
        <v>45323</v>
      </c>
      <c r="B1293" s="31" t="s">
        <v>7</v>
      </c>
      <c r="C1293" s="32"/>
      <c r="D1293" s="32"/>
      <c r="E1293" s="19" t="n">
        <f aca="false">+F1293*0.03</f>
        <v>0</v>
      </c>
      <c r="F1293" s="33" t="n">
        <v>0</v>
      </c>
      <c r="G1293" s="62"/>
      <c r="H1293" s="35" t="n">
        <v>0</v>
      </c>
      <c r="I1293" s="34" t="n">
        <f aca="false">+IF(E1293=0,0,E1293*0.03)</f>
        <v>0</v>
      </c>
    </row>
    <row r="1294" customFormat="false" ht="15.75" hidden="false" customHeight="true" outlineLevel="0" collapsed="false">
      <c r="A1294" s="30" t="n">
        <v>45323</v>
      </c>
      <c r="B1294" s="31" t="s">
        <v>7</v>
      </c>
      <c r="C1294" s="32"/>
      <c r="D1294" s="32"/>
      <c r="E1294" s="19" t="n">
        <f aca="false">+F1294*0.03</f>
        <v>0</v>
      </c>
      <c r="F1294" s="33" t="n">
        <v>0</v>
      </c>
      <c r="G1294" s="62"/>
      <c r="H1294" s="35" t="n">
        <v>0</v>
      </c>
      <c r="I1294" s="34" t="n">
        <f aca="false">+IF(E1294=0,0,E1294*0.03)</f>
        <v>0</v>
      </c>
    </row>
    <row r="1295" customFormat="false" ht="15.75" hidden="false" customHeight="true" outlineLevel="0" collapsed="false">
      <c r="A1295" s="30" t="n">
        <v>45323</v>
      </c>
      <c r="B1295" s="31" t="s">
        <v>7</v>
      </c>
      <c r="C1295" s="32"/>
      <c r="D1295" s="32"/>
      <c r="E1295" s="19" t="n">
        <f aca="false">+F1295*0.03</f>
        <v>0</v>
      </c>
      <c r="F1295" s="33" t="n">
        <v>0</v>
      </c>
      <c r="G1295" s="62"/>
      <c r="H1295" s="35" t="n">
        <v>0</v>
      </c>
      <c r="I1295" s="34" t="n">
        <f aca="false">+IF(E1295=0,0,E1295*0.03)</f>
        <v>0</v>
      </c>
    </row>
    <row r="1296" customFormat="false" ht="15.75" hidden="false" customHeight="true" outlineLevel="0" collapsed="false">
      <c r="A1296" s="30" t="n">
        <v>45323</v>
      </c>
      <c r="B1296" s="31" t="s">
        <v>7</v>
      </c>
      <c r="C1296" s="32"/>
      <c r="D1296" s="32"/>
      <c r="E1296" s="19" t="n">
        <f aca="false">+F1296*0.03</f>
        <v>0</v>
      </c>
      <c r="F1296" s="33" t="n">
        <v>0</v>
      </c>
      <c r="G1296" s="62"/>
      <c r="H1296" s="35" t="n">
        <v>0</v>
      </c>
      <c r="I1296" s="34" t="n">
        <f aca="false">+IF(E1296=0,0,E1296*0.03)</f>
        <v>0</v>
      </c>
    </row>
    <row r="1297" customFormat="false" ht="15.75" hidden="false" customHeight="true" outlineLevel="0" collapsed="false">
      <c r="A1297" s="30" t="n">
        <v>45323</v>
      </c>
      <c r="B1297" s="31" t="s">
        <v>7</v>
      </c>
      <c r="C1297" s="32"/>
      <c r="D1297" s="32"/>
      <c r="E1297" s="19" t="n">
        <f aca="false">+F1297*0.03</f>
        <v>0</v>
      </c>
      <c r="F1297" s="33" t="n">
        <v>0</v>
      </c>
      <c r="G1297" s="62"/>
      <c r="H1297" s="35" t="n">
        <v>0</v>
      </c>
      <c r="I1297" s="34" t="n">
        <f aca="false">+IF(E1297=0,0,E1297*0.03)</f>
        <v>0</v>
      </c>
    </row>
    <row r="1298" customFormat="false" ht="15.75" hidden="false" customHeight="true" outlineLevel="0" collapsed="false">
      <c r="A1298" s="30" t="n">
        <v>45323</v>
      </c>
      <c r="B1298" s="31" t="s">
        <v>7</v>
      </c>
      <c r="C1298" s="32"/>
      <c r="D1298" s="32"/>
      <c r="E1298" s="19" t="n">
        <f aca="false">+F1298*0.03</f>
        <v>0</v>
      </c>
      <c r="F1298" s="33" t="n">
        <v>0</v>
      </c>
      <c r="G1298" s="62"/>
      <c r="H1298" s="35" t="n">
        <v>0</v>
      </c>
      <c r="I1298" s="34" t="n">
        <f aca="false">+IF(E1298=0,0,E1298*0.03)</f>
        <v>0</v>
      </c>
    </row>
    <row r="1299" customFormat="false" ht="15.75" hidden="false" customHeight="true" outlineLevel="0" collapsed="false">
      <c r="A1299" s="30" t="n">
        <v>45323</v>
      </c>
      <c r="B1299" s="31" t="s">
        <v>7</v>
      </c>
      <c r="C1299" s="32"/>
      <c r="D1299" s="32"/>
      <c r="E1299" s="19" t="n">
        <f aca="false">+F1299*0.03</f>
        <v>0</v>
      </c>
      <c r="F1299" s="33" t="n">
        <v>0</v>
      </c>
      <c r="G1299" s="62"/>
      <c r="H1299" s="35" t="n">
        <v>0</v>
      </c>
      <c r="I1299" s="34" t="n">
        <f aca="false">+IF(E1299=0,0,E1299*0.03)</f>
        <v>0</v>
      </c>
    </row>
    <row r="1300" customFormat="false" ht="15.75" hidden="false" customHeight="true" outlineLevel="0" collapsed="false">
      <c r="A1300" s="30" t="n">
        <v>45323</v>
      </c>
      <c r="B1300" s="31" t="s">
        <v>7</v>
      </c>
      <c r="C1300" s="32"/>
      <c r="D1300" s="32"/>
      <c r="E1300" s="19" t="n">
        <f aca="false">+F1300*0.03</f>
        <v>0</v>
      </c>
      <c r="F1300" s="33" t="n">
        <v>0</v>
      </c>
      <c r="G1300" s="62"/>
      <c r="H1300" s="35" t="n">
        <v>0</v>
      </c>
      <c r="I1300" s="34" t="n">
        <f aca="false">+IF(E1300=0,0,E1300*0.03)</f>
        <v>0</v>
      </c>
    </row>
    <row r="1301" customFormat="false" ht="15.75" hidden="false" customHeight="true" outlineLevel="0" collapsed="false">
      <c r="A1301" s="30" t="n">
        <v>45323</v>
      </c>
      <c r="B1301" s="31" t="s">
        <v>7</v>
      </c>
      <c r="C1301" s="32"/>
      <c r="D1301" s="32"/>
      <c r="E1301" s="19" t="n">
        <f aca="false">+F1301*0.03</f>
        <v>0</v>
      </c>
      <c r="F1301" s="33" t="n">
        <v>0</v>
      </c>
      <c r="G1301" s="62"/>
      <c r="H1301" s="35" t="n">
        <v>0</v>
      </c>
      <c r="I1301" s="34" t="n">
        <f aca="false">+IF(E1301=0,0,E1301*0.03)</f>
        <v>0</v>
      </c>
    </row>
    <row r="1302" customFormat="false" ht="15.75" hidden="false" customHeight="true" outlineLevel="0" collapsed="false">
      <c r="A1302" s="30" t="n">
        <v>45323</v>
      </c>
      <c r="B1302" s="31" t="s">
        <v>7</v>
      </c>
      <c r="C1302" s="32"/>
      <c r="D1302" s="32"/>
      <c r="E1302" s="19" t="n">
        <f aca="false">+F1302*0.03</f>
        <v>0</v>
      </c>
      <c r="F1302" s="33" t="n">
        <v>0</v>
      </c>
      <c r="G1302" s="62"/>
      <c r="H1302" s="35" t="n">
        <v>0</v>
      </c>
      <c r="I1302" s="34" t="n">
        <f aca="false">+IF(E1302=0,0,E1302*0.03)</f>
        <v>0</v>
      </c>
    </row>
    <row r="1303" customFormat="false" ht="15.75" hidden="false" customHeight="true" outlineLevel="0" collapsed="false">
      <c r="A1303" s="30" t="n">
        <v>45323</v>
      </c>
      <c r="B1303" s="31" t="s">
        <v>7</v>
      </c>
      <c r="C1303" s="32"/>
      <c r="D1303" s="32"/>
      <c r="E1303" s="19" t="n">
        <f aca="false">+F1303*0.03</f>
        <v>0</v>
      </c>
      <c r="F1303" s="33" t="n">
        <v>0</v>
      </c>
      <c r="G1303" s="62"/>
      <c r="H1303" s="35" t="n">
        <v>0</v>
      </c>
      <c r="I1303" s="34" t="n">
        <f aca="false">+IF(E1303=0,0,E1303*0.03)</f>
        <v>0</v>
      </c>
    </row>
    <row r="1304" customFormat="false" ht="15.75" hidden="false" customHeight="true" outlineLevel="0" collapsed="false">
      <c r="A1304" s="30" t="n">
        <v>45323</v>
      </c>
      <c r="B1304" s="31" t="s">
        <v>7</v>
      </c>
      <c r="C1304" s="32"/>
      <c r="D1304" s="32"/>
      <c r="E1304" s="19" t="n">
        <f aca="false">+F1304*0.03</f>
        <v>0</v>
      </c>
      <c r="F1304" s="33" t="n">
        <v>0</v>
      </c>
      <c r="G1304" s="62"/>
      <c r="H1304" s="35" t="n">
        <v>0</v>
      </c>
      <c r="I1304" s="34" t="n">
        <f aca="false">+IF(E1304=0,0,E1304*0.03)</f>
        <v>0</v>
      </c>
    </row>
    <row r="1305" customFormat="false" ht="15.75" hidden="false" customHeight="true" outlineLevel="0" collapsed="false">
      <c r="A1305" s="30" t="n">
        <v>45323</v>
      </c>
      <c r="B1305" s="31" t="s">
        <v>7</v>
      </c>
      <c r="C1305" s="32"/>
      <c r="D1305" s="32"/>
      <c r="E1305" s="19" t="n">
        <f aca="false">+F1305*0.03</f>
        <v>0</v>
      </c>
      <c r="F1305" s="33" t="n">
        <v>0</v>
      </c>
      <c r="G1305" s="62"/>
      <c r="H1305" s="35" t="n">
        <v>0</v>
      </c>
      <c r="I1305" s="34" t="n">
        <f aca="false">+IF(E1305=0,0,E1305*0.03)</f>
        <v>0</v>
      </c>
    </row>
    <row r="1306" customFormat="false" ht="15.75" hidden="false" customHeight="true" outlineLevel="0" collapsed="false">
      <c r="A1306" s="30" t="n">
        <v>45323</v>
      </c>
      <c r="B1306" s="31" t="s">
        <v>7</v>
      </c>
      <c r="C1306" s="32"/>
      <c r="D1306" s="32"/>
      <c r="E1306" s="19" t="n">
        <f aca="false">+F1306*0.03</f>
        <v>0</v>
      </c>
      <c r="F1306" s="33" t="n">
        <v>0</v>
      </c>
      <c r="G1306" s="62"/>
      <c r="H1306" s="35" t="n">
        <v>0</v>
      </c>
      <c r="I1306" s="34" t="n">
        <f aca="false">+IF(E1306=0,0,E1306*0.03)</f>
        <v>0</v>
      </c>
    </row>
    <row r="1307" customFormat="false" ht="15.75" hidden="false" customHeight="true" outlineLevel="0" collapsed="false">
      <c r="A1307" s="30" t="n">
        <v>45323</v>
      </c>
      <c r="B1307" s="31" t="s">
        <v>7</v>
      </c>
      <c r="C1307" s="32"/>
      <c r="D1307" s="32"/>
      <c r="E1307" s="19" t="n">
        <f aca="false">+F1307*0.03</f>
        <v>0</v>
      </c>
      <c r="F1307" s="33" t="n">
        <v>0</v>
      </c>
      <c r="G1307" s="62"/>
      <c r="H1307" s="35" t="n">
        <v>0</v>
      </c>
      <c r="I1307" s="34" t="n">
        <f aca="false">+IF(E1307=0,0,E1307*0.03)</f>
        <v>0</v>
      </c>
    </row>
    <row r="1308" customFormat="false" ht="15.75" hidden="false" customHeight="true" outlineLevel="0" collapsed="false">
      <c r="A1308" s="30" t="n">
        <v>45323</v>
      </c>
      <c r="B1308" s="31" t="s">
        <v>7</v>
      </c>
      <c r="C1308" s="32"/>
      <c r="D1308" s="32"/>
      <c r="E1308" s="19" t="n">
        <f aca="false">+F1308*0.03</f>
        <v>0</v>
      </c>
      <c r="F1308" s="33" t="n">
        <v>0</v>
      </c>
      <c r="G1308" s="62"/>
      <c r="H1308" s="35" t="n">
        <v>0</v>
      </c>
      <c r="I1308" s="34" t="n">
        <f aca="false">+IF(E1308=0,0,E1308*0.03)</f>
        <v>0</v>
      </c>
    </row>
    <row r="1309" customFormat="false" ht="15.75" hidden="false" customHeight="true" outlineLevel="0" collapsed="false">
      <c r="A1309" s="30" t="n">
        <v>45323</v>
      </c>
      <c r="B1309" s="31" t="s">
        <v>7</v>
      </c>
      <c r="C1309" s="32"/>
      <c r="D1309" s="32"/>
      <c r="E1309" s="19" t="n">
        <f aca="false">+F1309*0.03</f>
        <v>0</v>
      </c>
      <c r="F1309" s="33" t="n">
        <v>0</v>
      </c>
      <c r="G1309" s="62"/>
      <c r="H1309" s="35" t="n">
        <v>0</v>
      </c>
      <c r="I1309" s="34" t="n">
        <f aca="false">+IF(E1309=0,0,E1309*0.03)</f>
        <v>0</v>
      </c>
    </row>
    <row r="1310" customFormat="false" ht="15.75" hidden="false" customHeight="true" outlineLevel="0" collapsed="false">
      <c r="A1310" s="30" t="n">
        <v>45323</v>
      </c>
      <c r="B1310" s="31" t="s">
        <v>7</v>
      </c>
      <c r="C1310" s="32"/>
      <c r="D1310" s="32"/>
      <c r="E1310" s="19" t="n">
        <f aca="false">+F1310*0.03</f>
        <v>0</v>
      </c>
      <c r="F1310" s="33" t="n">
        <v>0</v>
      </c>
      <c r="G1310" s="62"/>
      <c r="H1310" s="35" t="n">
        <v>0</v>
      </c>
      <c r="I1310" s="34" t="n">
        <f aca="false">+IF(E1310=0,0,E1310*0.03)</f>
        <v>0</v>
      </c>
    </row>
    <row r="1311" customFormat="false" ht="15.75" hidden="false" customHeight="true" outlineLevel="0" collapsed="false">
      <c r="A1311" s="30" t="n">
        <v>45323</v>
      </c>
      <c r="B1311" s="31" t="s">
        <v>7</v>
      </c>
      <c r="C1311" s="32"/>
      <c r="D1311" s="32"/>
      <c r="E1311" s="19" t="n">
        <f aca="false">+F1311*0.03</f>
        <v>0</v>
      </c>
      <c r="F1311" s="33" t="n">
        <v>0</v>
      </c>
      <c r="G1311" s="62"/>
      <c r="H1311" s="35" t="n">
        <v>0</v>
      </c>
      <c r="I1311" s="34" t="n">
        <f aca="false">+IF(E1311=0,0,E1311*0.03)</f>
        <v>0</v>
      </c>
    </row>
    <row r="1312" customFormat="false" ht="15.75" hidden="false" customHeight="true" outlineLevel="0" collapsed="false">
      <c r="A1312" s="30" t="n">
        <v>45323</v>
      </c>
      <c r="B1312" s="31" t="s">
        <v>7</v>
      </c>
      <c r="C1312" s="32"/>
      <c r="D1312" s="32"/>
      <c r="E1312" s="19" t="n">
        <f aca="false">+F1312*0.03</f>
        <v>0</v>
      </c>
      <c r="F1312" s="33" t="n">
        <v>0</v>
      </c>
      <c r="G1312" s="62"/>
      <c r="H1312" s="35" t="n">
        <v>0</v>
      </c>
      <c r="I1312" s="34" t="n">
        <f aca="false">+IF(E1312=0,0,E1312*0.03)</f>
        <v>0</v>
      </c>
    </row>
    <row r="1313" customFormat="false" ht="15.75" hidden="false" customHeight="true" outlineLevel="0" collapsed="false">
      <c r="A1313" s="30" t="n">
        <v>45323</v>
      </c>
      <c r="B1313" s="31" t="s">
        <v>7</v>
      </c>
      <c r="C1313" s="32"/>
      <c r="D1313" s="32"/>
      <c r="E1313" s="19" t="n">
        <f aca="false">+F1313*0.03</f>
        <v>0</v>
      </c>
      <c r="F1313" s="33" t="n">
        <v>0</v>
      </c>
      <c r="G1313" s="62"/>
      <c r="H1313" s="35" t="n">
        <v>0</v>
      </c>
      <c r="I1313" s="34" t="n">
        <f aca="false">+IF(E1313=0,0,E1313*0.03)</f>
        <v>0</v>
      </c>
    </row>
    <row r="1314" customFormat="false" ht="15.75" hidden="false" customHeight="true" outlineLevel="0" collapsed="false">
      <c r="A1314" s="30" t="n">
        <v>45323</v>
      </c>
      <c r="B1314" s="31" t="s">
        <v>7</v>
      </c>
      <c r="C1314" s="32"/>
      <c r="D1314" s="32"/>
      <c r="E1314" s="19" t="n">
        <f aca="false">+F1314*0.03</f>
        <v>0</v>
      </c>
      <c r="F1314" s="33" t="n">
        <v>0</v>
      </c>
      <c r="G1314" s="62"/>
      <c r="H1314" s="35" t="n">
        <v>0</v>
      </c>
      <c r="I1314" s="34" t="n">
        <f aca="false">+IF(E1314=0,0,E1314*0.03)</f>
        <v>0</v>
      </c>
    </row>
    <row r="1315" customFormat="false" ht="15.75" hidden="false" customHeight="true" outlineLevel="0" collapsed="false">
      <c r="A1315" s="30" t="n">
        <v>45323</v>
      </c>
      <c r="B1315" s="31" t="s">
        <v>7</v>
      </c>
      <c r="C1315" s="32"/>
      <c r="D1315" s="32"/>
      <c r="E1315" s="19" t="n">
        <f aca="false">+F1315*0.03</f>
        <v>0</v>
      </c>
      <c r="F1315" s="33" t="n">
        <v>0</v>
      </c>
      <c r="G1315" s="62"/>
      <c r="H1315" s="35" t="n">
        <v>0</v>
      </c>
      <c r="I1315" s="34" t="n">
        <f aca="false">+IF(E1315=0,0,E1315*0.03)</f>
        <v>0</v>
      </c>
    </row>
    <row r="1316" customFormat="false" ht="15.75" hidden="false" customHeight="true" outlineLevel="0" collapsed="false">
      <c r="A1316" s="30" t="n">
        <v>45323</v>
      </c>
      <c r="B1316" s="31" t="s">
        <v>7</v>
      </c>
      <c r="C1316" s="32"/>
      <c r="D1316" s="32"/>
      <c r="E1316" s="19" t="n">
        <f aca="false">+F1316*0.03</f>
        <v>0</v>
      </c>
      <c r="F1316" s="33" t="n">
        <v>0</v>
      </c>
      <c r="G1316" s="62"/>
      <c r="H1316" s="35" t="n">
        <v>0</v>
      </c>
      <c r="I1316" s="34" t="n">
        <f aca="false">+IF(E1316=0,0,E1316*0.03)</f>
        <v>0</v>
      </c>
    </row>
    <row r="1317" customFormat="false" ht="15.75" hidden="false" customHeight="true" outlineLevel="0" collapsed="false">
      <c r="A1317" s="30" t="n">
        <v>45323</v>
      </c>
      <c r="B1317" s="31" t="s">
        <v>7</v>
      </c>
      <c r="C1317" s="32"/>
      <c r="D1317" s="32"/>
      <c r="E1317" s="19" t="n">
        <f aca="false">+F1317*0.03</f>
        <v>0</v>
      </c>
      <c r="F1317" s="33" t="n">
        <v>0</v>
      </c>
      <c r="G1317" s="62"/>
      <c r="H1317" s="35" t="n">
        <v>0</v>
      </c>
      <c r="I1317" s="34" t="n">
        <f aca="false">+IF(E1317=0,0,E1317*0.03)</f>
        <v>0</v>
      </c>
    </row>
    <row r="1318" customFormat="false" ht="15.75" hidden="false" customHeight="true" outlineLevel="0" collapsed="false">
      <c r="A1318" s="30" t="n">
        <v>45323</v>
      </c>
      <c r="B1318" s="31" t="s">
        <v>7</v>
      </c>
      <c r="C1318" s="32"/>
      <c r="D1318" s="32"/>
      <c r="E1318" s="19" t="n">
        <f aca="false">+F1318*0.03</f>
        <v>0</v>
      </c>
      <c r="F1318" s="33" t="n">
        <v>0</v>
      </c>
      <c r="G1318" s="62"/>
      <c r="H1318" s="35" t="n">
        <v>0</v>
      </c>
      <c r="I1318" s="34" t="n">
        <f aca="false">+IF(E1318=0,0,E1318*0.03)</f>
        <v>0</v>
      </c>
    </row>
    <row r="1319" customFormat="false" ht="15.75" hidden="false" customHeight="true" outlineLevel="0" collapsed="false">
      <c r="A1319" s="30" t="n">
        <v>45323</v>
      </c>
      <c r="B1319" s="31" t="s">
        <v>7</v>
      </c>
      <c r="C1319" s="32"/>
      <c r="D1319" s="32"/>
      <c r="E1319" s="19" t="n">
        <f aca="false">+F1319*0.03</f>
        <v>0</v>
      </c>
      <c r="F1319" s="33" t="n">
        <v>0</v>
      </c>
      <c r="G1319" s="62"/>
      <c r="H1319" s="35" t="n">
        <v>0</v>
      </c>
      <c r="I1319" s="34" t="n">
        <f aca="false">+IF(E1319=0,0,E1319*0.03)</f>
        <v>0</v>
      </c>
    </row>
    <row r="1320" customFormat="false" ht="15.75" hidden="false" customHeight="true" outlineLevel="0" collapsed="false">
      <c r="A1320" s="30" t="n">
        <v>45323</v>
      </c>
      <c r="B1320" s="31" t="s">
        <v>7</v>
      </c>
      <c r="C1320" s="32"/>
      <c r="D1320" s="32"/>
      <c r="E1320" s="19" t="n">
        <f aca="false">+F1320*0.03</f>
        <v>0</v>
      </c>
      <c r="F1320" s="33" t="n">
        <v>0</v>
      </c>
      <c r="G1320" s="62"/>
      <c r="H1320" s="35" t="n">
        <v>0</v>
      </c>
      <c r="I1320" s="34" t="n">
        <f aca="false">+IF(E1320=0,0,E1320*0.03)</f>
        <v>0</v>
      </c>
    </row>
    <row r="1321" customFormat="false" ht="15.75" hidden="false" customHeight="true" outlineLevel="0" collapsed="false">
      <c r="A1321" s="30" t="n">
        <v>45323</v>
      </c>
      <c r="B1321" s="31" t="s">
        <v>7</v>
      </c>
      <c r="C1321" s="32"/>
      <c r="D1321" s="32"/>
      <c r="E1321" s="19" t="n">
        <f aca="false">+F1321*0.03</f>
        <v>0</v>
      </c>
      <c r="F1321" s="33" t="n">
        <v>0</v>
      </c>
      <c r="G1321" s="62"/>
      <c r="H1321" s="35" t="n">
        <v>0</v>
      </c>
      <c r="I1321" s="34" t="n">
        <f aca="false">+IF(E1321=0,0,E1321*0.03)</f>
        <v>0</v>
      </c>
    </row>
    <row r="1322" customFormat="false" ht="15.75" hidden="false" customHeight="true" outlineLevel="0" collapsed="false">
      <c r="A1322" s="30" t="n">
        <v>45323</v>
      </c>
      <c r="B1322" s="31" t="s">
        <v>7</v>
      </c>
      <c r="C1322" s="32"/>
      <c r="D1322" s="32"/>
      <c r="E1322" s="19" t="n">
        <f aca="false">+F1322*0.03</f>
        <v>0</v>
      </c>
      <c r="F1322" s="33" t="n">
        <v>0</v>
      </c>
      <c r="G1322" s="62"/>
      <c r="H1322" s="35" t="n">
        <v>0</v>
      </c>
      <c r="I1322" s="34" t="n">
        <f aca="false">+IF(E1322=0,0,E1322*0.03)</f>
        <v>0</v>
      </c>
    </row>
    <row r="1323" customFormat="false" ht="15.75" hidden="false" customHeight="true" outlineLevel="0" collapsed="false">
      <c r="A1323" s="30" t="n">
        <v>45323</v>
      </c>
      <c r="B1323" s="31" t="s">
        <v>7</v>
      </c>
      <c r="C1323" s="32"/>
      <c r="D1323" s="32"/>
      <c r="E1323" s="19" t="n">
        <f aca="false">+F1323*0.03</f>
        <v>0</v>
      </c>
      <c r="F1323" s="33" t="n">
        <v>0</v>
      </c>
      <c r="G1323" s="62"/>
      <c r="H1323" s="35" t="n">
        <v>0</v>
      </c>
      <c r="I1323" s="34" t="n">
        <f aca="false">+IF(E1323=0,0,E1323*0.03)</f>
        <v>0</v>
      </c>
    </row>
    <row r="1324" customFormat="false" ht="15.75" hidden="false" customHeight="true" outlineLevel="0" collapsed="false">
      <c r="A1324" s="30" t="n">
        <v>45323</v>
      </c>
      <c r="B1324" s="31" t="s">
        <v>7</v>
      </c>
      <c r="C1324" s="32"/>
      <c r="D1324" s="32"/>
      <c r="E1324" s="19" t="n">
        <f aca="false">+F1324*0.03</f>
        <v>0</v>
      </c>
      <c r="F1324" s="33" t="n">
        <v>0</v>
      </c>
      <c r="G1324" s="62"/>
      <c r="H1324" s="35" t="n">
        <v>0</v>
      </c>
      <c r="I1324" s="34" t="n">
        <f aca="false">+IF(E1324=0,0,E1324*0.03)</f>
        <v>0</v>
      </c>
    </row>
    <row r="1325" customFormat="false" ht="15.75" hidden="false" customHeight="true" outlineLevel="0" collapsed="false">
      <c r="A1325" s="30" t="n">
        <v>45323</v>
      </c>
      <c r="B1325" s="31" t="s">
        <v>7</v>
      </c>
      <c r="C1325" s="32"/>
      <c r="D1325" s="32"/>
      <c r="E1325" s="19" t="n">
        <f aca="false">+F1325*0.03</f>
        <v>0</v>
      </c>
      <c r="F1325" s="33" t="n">
        <v>0</v>
      </c>
      <c r="G1325" s="62"/>
      <c r="H1325" s="35" t="n">
        <v>0</v>
      </c>
      <c r="I1325" s="34" t="n">
        <f aca="false">+IF(E1325=0,0,E1325*0.03)</f>
        <v>0</v>
      </c>
    </row>
    <row r="1326" customFormat="false" ht="15.75" hidden="false" customHeight="true" outlineLevel="0" collapsed="false">
      <c r="A1326" s="30" t="n">
        <v>45323</v>
      </c>
      <c r="B1326" s="31" t="s">
        <v>7</v>
      </c>
      <c r="C1326" s="32"/>
      <c r="D1326" s="32"/>
      <c r="E1326" s="19" t="n">
        <f aca="false">+F1326*0.03</f>
        <v>0</v>
      </c>
      <c r="F1326" s="33" t="n">
        <v>0</v>
      </c>
      <c r="G1326" s="62"/>
      <c r="H1326" s="35" t="n">
        <v>0</v>
      </c>
      <c r="I1326" s="34" t="n">
        <f aca="false">+IF(E1326=0,0,E1326*0.03)</f>
        <v>0</v>
      </c>
    </row>
    <row r="1327" customFormat="false" ht="15.75" hidden="false" customHeight="true" outlineLevel="0" collapsed="false">
      <c r="A1327" s="30" t="n">
        <v>45323</v>
      </c>
      <c r="B1327" s="31" t="s">
        <v>7</v>
      </c>
      <c r="C1327" s="32"/>
      <c r="D1327" s="32"/>
      <c r="E1327" s="19" t="n">
        <f aca="false">+F1327*0.03</f>
        <v>0</v>
      </c>
      <c r="F1327" s="33" t="n">
        <v>0</v>
      </c>
      <c r="G1327" s="62"/>
      <c r="H1327" s="35" t="n">
        <v>0</v>
      </c>
      <c r="I1327" s="34" t="n">
        <f aca="false">+IF(E1327=0,0,E1327*0.03)</f>
        <v>0</v>
      </c>
    </row>
    <row r="1328" customFormat="false" ht="15.75" hidden="false" customHeight="true" outlineLevel="0" collapsed="false">
      <c r="A1328" s="30" t="n">
        <v>45323</v>
      </c>
      <c r="B1328" s="31" t="s">
        <v>7</v>
      </c>
      <c r="C1328" s="32"/>
      <c r="D1328" s="32"/>
      <c r="E1328" s="19" t="n">
        <f aca="false">+F1328*0.03</f>
        <v>0</v>
      </c>
      <c r="F1328" s="33" t="n">
        <v>0</v>
      </c>
      <c r="G1328" s="62"/>
      <c r="H1328" s="35" t="n">
        <v>0</v>
      </c>
      <c r="I1328" s="34" t="n">
        <f aca="false">+IF(E1328=0,0,E1328*0.03)</f>
        <v>0</v>
      </c>
    </row>
    <row r="1329" customFormat="false" ht="15.75" hidden="false" customHeight="true" outlineLevel="0" collapsed="false">
      <c r="A1329" s="30" t="n">
        <v>45323</v>
      </c>
      <c r="B1329" s="31" t="s">
        <v>7</v>
      </c>
      <c r="C1329" s="32"/>
      <c r="D1329" s="32"/>
      <c r="E1329" s="19" t="n">
        <f aca="false">+F1329*0.03</f>
        <v>0</v>
      </c>
      <c r="F1329" s="33" t="n">
        <v>0</v>
      </c>
      <c r="G1329" s="62"/>
      <c r="H1329" s="35" t="n">
        <v>0</v>
      </c>
      <c r="I1329" s="34" t="n">
        <f aca="false">+IF(E1329=0,0,E1329*0.03)</f>
        <v>0</v>
      </c>
    </row>
    <row r="1330" customFormat="false" ht="15.75" hidden="false" customHeight="true" outlineLevel="0" collapsed="false">
      <c r="A1330" s="30" t="n">
        <v>45323</v>
      </c>
      <c r="B1330" s="31" t="s">
        <v>7</v>
      </c>
      <c r="C1330" s="32"/>
      <c r="D1330" s="32"/>
      <c r="E1330" s="19" t="n">
        <f aca="false">+F1330*0.03</f>
        <v>0</v>
      </c>
      <c r="F1330" s="33" t="n">
        <v>0</v>
      </c>
      <c r="G1330" s="62"/>
      <c r="H1330" s="35" t="n">
        <v>0</v>
      </c>
      <c r="I1330" s="34" t="n">
        <f aca="false">+IF(E1330=0,0,E1330*0.03)</f>
        <v>0</v>
      </c>
    </row>
    <row r="1331" customFormat="false" ht="15.75" hidden="false" customHeight="true" outlineLevel="0" collapsed="false">
      <c r="A1331" s="30" t="n">
        <v>45323</v>
      </c>
      <c r="B1331" s="31" t="s">
        <v>7</v>
      </c>
      <c r="C1331" s="32"/>
      <c r="D1331" s="32"/>
      <c r="E1331" s="19" t="n">
        <f aca="false">+F1331*0.03</f>
        <v>0</v>
      </c>
      <c r="F1331" s="33" t="n">
        <v>0</v>
      </c>
      <c r="G1331" s="62"/>
      <c r="H1331" s="35" t="n">
        <v>0</v>
      </c>
      <c r="I1331" s="34" t="n">
        <f aca="false">+IF(E1331=0,0,E1331*0.03)</f>
        <v>0</v>
      </c>
    </row>
    <row r="1332" customFormat="false" ht="15.75" hidden="false" customHeight="true" outlineLevel="0" collapsed="false">
      <c r="A1332" s="30" t="n">
        <v>45323</v>
      </c>
      <c r="B1332" s="31" t="s">
        <v>7</v>
      </c>
      <c r="C1332" s="32"/>
      <c r="D1332" s="32"/>
      <c r="E1332" s="19" t="n">
        <f aca="false">+F1332*0.03</f>
        <v>0</v>
      </c>
      <c r="F1332" s="33" t="n">
        <v>0</v>
      </c>
      <c r="G1332" s="62"/>
      <c r="H1332" s="35" t="n">
        <v>0</v>
      </c>
      <c r="I1332" s="34" t="n">
        <f aca="false">+IF(E1332=0,0,E1332*0.03)</f>
        <v>0</v>
      </c>
    </row>
    <row r="1333" customFormat="false" ht="15.75" hidden="false" customHeight="true" outlineLevel="0" collapsed="false">
      <c r="A1333" s="30" t="n">
        <v>45323</v>
      </c>
      <c r="B1333" s="31" t="s">
        <v>7</v>
      </c>
      <c r="C1333" s="32"/>
      <c r="D1333" s="32"/>
      <c r="E1333" s="19" t="n">
        <f aca="false">+F1333*0.03</f>
        <v>0</v>
      </c>
      <c r="F1333" s="33" t="n">
        <v>0</v>
      </c>
      <c r="G1333" s="62"/>
      <c r="H1333" s="35" t="n">
        <v>0</v>
      </c>
      <c r="I1333" s="34" t="n">
        <f aca="false">+IF(E1333=0,0,E1333*0.03)</f>
        <v>0</v>
      </c>
    </row>
    <row r="1334" customFormat="false" ht="15.75" hidden="false" customHeight="true" outlineLevel="0" collapsed="false">
      <c r="A1334" s="30" t="n">
        <v>45323</v>
      </c>
      <c r="B1334" s="31" t="s">
        <v>7</v>
      </c>
      <c r="C1334" s="32"/>
      <c r="D1334" s="32"/>
      <c r="E1334" s="19" t="n">
        <f aca="false">+F1334*0.03</f>
        <v>0</v>
      </c>
      <c r="F1334" s="33" t="n">
        <v>0</v>
      </c>
      <c r="G1334" s="62"/>
      <c r="H1334" s="35" t="n">
        <v>0</v>
      </c>
      <c r="I1334" s="34" t="n">
        <f aca="false">+IF(E1334=0,0,E1334*0.03)</f>
        <v>0</v>
      </c>
    </row>
    <row r="1335" customFormat="false" ht="15.75" hidden="false" customHeight="true" outlineLevel="0" collapsed="false">
      <c r="A1335" s="30" t="n">
        <v>45323</v>
      </c>
      <c r="B1335" s="31" t="s">
        <v>7</v>
      </c>
      <c r="C1335" s="32"/>
      <c r="D1335" s="32"/>
      <c r="E1335" s="19" t="n">
        <f aca="false">+F1335*0.03</f>
        <v>0</v>
      </c>
      <c r="F1335" s="33" t="n">
        <v>0</v>
      </c>
      <c r="G1335" s="62"/>
      <c r="H1335" s="35" t="n">
        <v>0</v>
      </c>
      <c r="I1335" s="34" t="n">
        <f aca="false">+IF(E1335=0,0,E1335*0.03)</f>
        <v>0</v>
      </c>
    </row>
    <row r="1336" customFormat="false" ht="15.75" hidden="false" customHeight="true" outlineLevel="0" collapsed="false">
      <c r="A1336" s="30" t="n">
        <v>45323</v>
      </c>
      <c r="B1336" s="31" t="s">
        <v>7</v>
      </c>
      <c r="C1336" s="32"/>
      <c r="D1336" s="32"/>
      <c r="E1336" s="19" t="n">
        <f aca="false">+F1336*0.03</f>
        <v>0</v>
      </c>
      <c r="F1336" s="33" t="n">
        <v>0</v>
      </c>
      <c r="G1336" s="62"/>
      <c r="H1336" s="35" t="n">
        <v>0</v>
      </c>
      <c r="I1336" s="34" t="n">
        <f aca="false">+IF(E1336=0,0,E1336*0.03)</f>
        <v>0</v>
      </c>
    </row>
    <row r="1337" customFormat="false" ht="15.75" hidden="false" customHeight="true" outlineLevel="0" collapsed="false">
      <c r="A1337" s="30" t="n">
        <v>45323</v>
      </c>
      <c r="B1337" s="31" t="s">
        <v>7</v>
      </c>
      <c r="C1337" s="32"/>
      <c r="D1337" s="32"/>
      <c r="E1337" s="19" t="n">
        <f aca="false">+F1337*0.03</f>
        <v>0</v>
      </c>
      <c r="F1337" s="33" t="n">
        <v>0</v>
      </c>
      <c r="G1337" s="62"/>
      <c r="H1337" s="35" t="n">
        <v>0</v>
      </c>
      <c r="I1337" s="34" t="n">
        <f aca="false">+IF(E1337=0,0,E1337*0.03)</f>
        <v>0</v>
      </c>
    </row>
    <row r="1338" customFormat="false" ht="15.75" hidden="false" customHeight="true" outlineLevel="0" collapsed="false">
      <c r="A1338" s="30" t="n">
        <v>45323</v>
      </c>
      <c r="B1338" s="31" t="s">
        <v>7</v>
      </c>
      <c r="C1338" s="32"/>
      <c r="D1338" s="32"/>
      <c r="E1338" s="19" t="n">
        <f aca="false">+F1338*0.03</f>
        <v>0</v>
      </c>
      <c r="F1338" s="33" t="n">
        <v>0</v>
      </c>
      <c r="G1338" s="62"/>
      <c r="H1338" s="35" t="n">
        <v>0</v>
      </c>
      <c r="I1338" s="34" t="n">
        <f aca="false">+IF(E1338=0,0,E1338*0.03)</f>
        <v>0</v>
      </c>
    </row>
    <row r="1339" customFormat="false" ht="15.75" hidden="false" customHeight="true" outlineLevel="0" collapsed="false">
      <c r="A1339" s="30" t="n">
        <v>45323</v>
      </c>
      <c r="B1339" s="31" t="s">
        <v>7</v>
      </c>
      <c r="C1339" s="32"/>
      <c r="D1339" s="32"/>
      <c r="E1339" s="19" t="n">
        <f aca="false">+F1339*0.03</f>
        <v>0</v>
      </c>
      <c r="F1339" s="33" t="n">
        <v>0</v>
      </c>
      <c r="G1339" s="62"/>
      <c r="H1339" s="35" t="n">
        <v>0</v>
      </c>
      <c r="I1339" s="34" t="n">
        <f aca="false">+IF(E1339=0,0,E1339*0.03)</f>
        <v>0</v>
      </c>
    </row>
    <row r="1340" customFormat="false" ht="15.75" hidden="false" customHeight="true" outlineLevel="0" collapsed="false">
      <c r="A1340" s="30" t="n">
        <v>45323</v>
      </c>
      <c r="B1340" s="31" t="s">
        <v>7</v>
      </c>
      <c r="C1340" s="32"/>
      <c r="D1340" s="32"/>
      <c r="E1340" s="19" t="n">
        <f aca="false">+F1340*0.03</f>
        <v>0</v>
      </c>
      <c r="F1340" s="33" t="n">
        <v>0</v>
      </c>
      <c r="G1340" s="62"/>
      <c r="H1340" s="35" t="n">
        <v>0</v>
      </c>
      <c r="I1340" s="34" t="n">
        <f aca="false">+IF(E1340=0,0,E1340*0.03)</f>
        <v>0</v>
      </c>
    </row>
    <row r="1341" customFormat="false" ht="15.75" hidden="false" customHeight="true" outlineLevel="0" collapsed="false">
      <c r="A1341" s="30" t="n">
        <v>45323</v>
      </c>
      <c r="B1341" s="31" t="s">
        <v>7</v>
      </c>
      <c r="C1341" s="32"/>
      <c r="D1341" s="32"/>
      <c r="E1341" s="19" t="n">
        <f aca="false">+F1341*0.03</f>
        <v>0</v>
      </c>
      <c r="F1341" s="33" t="n">
        <v>0</v>
      </c>
      <c r="G1341" s="62"/>
      <c r="H1341" s="35" t="n">
        <v>0</v>
      </c>
      <c r="I1341" s="34" t="n">
        <f aca="false">+IF(E1341=0,0,E1341*0.03)</f>
        <v>0</v>
      </c>
    </row>
    <row r="1342" customFormat="false" ht="15.75" hidden="false" customHeight="true" outlineLevel="0" collapsed="false">
      <c r="A1342" s="30" t="n">
        <v>45323</v>
      </c>
      <c r="B1342" s="31" t="s">
        <v>7</v>
      </c>
      <c r="C1342" s="32"/>
      <c r="D1342" s="32"/>
      <c r="E1342" s="19" t="n">
        <f aca="false">+F1342*0.03</f>
        <v>0</v>
      </c>
      <c r="F1342" s="33" t="n">
        <v>0</v>
      </c>
      <c r="G1342" s="62"/>
      <c r="H1342" s="35" t="n">
        <v>0</v>
      </c>
      <c r="I1342" s="34" t="n">
        <f aca="false">+IF(E1342=0,0,E1342*0.03)</f>
        <v>0</v>
      </c>
    </row>
    <row r="1343" customFormat="false" ht="15.75" hidden="false" customHeight="true" outlineLevel="0" collapsed="false">
      <c r="A1343" s="30" t="n">
        <v>45323</v>
      </c>
      <c r="B1343" s="31" t="s">
        <v>7</v>
      </c>
      <c r="C1343" s="32"/>
      <c r="D1343" s="32"/>
      <c r="E1343" s="19" t="n">
        <f aca="false">+F1343*0.03</f>
        <v>0</v>
      </c>
      <c r="F1343" s="33" t="n">
        <v>0</v>
      </c>
      <c r="G1343" s="62"/>
      <c r="H1343" s="35" t="n">
        <v>0</v>
      </c>
      <c r="I1343" s="34" t="n">
        <f aca="false">+IF(E1343=0,0,E1343*0.03)</f>
        <v>0</v>
      </c>
    </row>
    <row r="1344" customFormat="false" ht="15.75" hidden="false" customHeight="true" outlineLevel="0" collapsed="false">
      <c r="A1344" s="30" t="n">
        <v>45323</v>
      </c>
      <c r="B1344" s="31" t="s">
        <v>7</v>
      </c>
      <c r="C1344" s="32"/>
      <c r="D1344" s="32"/>
      <c r="E1344" s="19" t="n">
        <f aca="false">+F1344*0.03</f>
        <v>0</v>
      </c>
      <c r="F1344" s="33" t="n">
        <v>0</v>
      </c>
      <c r="G1344" s="62"/>
      <c r="H1344" s="35" t="n">
        <v>0</v>
      </c>
      <c r="I1344" s="34" t="n">
        <f aca="false">+IF(E1344=0,0,E1344*0.03)</f>
        <v>0</v>
      </c>
    </row>
    <row r="1345" customFormat="false" ht="15.75" hidden="false" customHeight="true" outlineLevel="0" collapsed="false">
      <c r="A1345" s="30" t="n">
        <v>45323</v>
      </c>
      <c r="B1345" s="31" t="s">
        <v>7</v>
      </c>
      <c r="C1345" s="32"/>
      <c r="D1345" s="32"/>
      <c r="E1345" s="19" t="n">
        <f aca="false">+F1345*0.03</f>
        <v>0</v>
      </c>
      <c r="F1345" s="33" t="n">
        <v>0</v>
      </c>
      <c r="G1345" s="62"/>
      <c r="H1345" s="35" t="n">
        <v>0</v>
      </c>
      <c r="I1345" s="34" t="n">
        <f aca="false">+IF(E1345=0,0,E1345*0.03)</f>
        <v>0</v>
      </c>
    </row>
    <row r="1346" customFormat="false" ht="15.75" hidden="false" customHeight="true" outlineLevel="0" collapsed="false">
      <c r="A1346" s="30" t="n">
        <v>45323</v>
      </c>
      <c r="B1346" s="31" t="s">
        <v>7</v>
      </c>
      <c r="C1346" s="32"/>
      <c r="D1346" s="32"/>
      <c r="E1346" s="19" t="n">
        <f aca="false">+F1346*0.03</f>
        <v>0</v>
      </c>
      <c r="F1346" s="33" t="n">
        <v>0</v>
      </c>
      <c r="G1346" s="62"/>
      <c r="H1346" s="35" t="n">
        <v>0</v>
      </c>
      <c r="I1346" s="34" t="n">
        <f aca="false">+IF(E1346=0,0,E1346*0.03)</f>
        <v>0</v>
      </c>
    </row>
    <row r="1347" customFormat="false" ht="15.75" hidden="false" customHeight="true" outlineLevel="0" collapsed="false">
      <c r="A1347" s="30" t="n">
        <v>45323</v>
      </c>
      <c r="B1347" s="31" t="s">
        <v>7</v>
      </c>
      <c r="C1347" s="32"/>
      <c r="D1347" s="32"/>
      <c r="E1347" s="19" t="n">
        <f aca="false">+F1347*0.03</f>
        <v>0</v>
      </c>
      <c r="F1347" s="33" t="n">
        <v>0</v>
      </c>
      <c r="G1347" s="62"/>
      <c r="H1347" s="35" t="n">
        <v>0</v>
      </c>
      <c r="I1347" s="34" t="n">
        <f aca="false">+IF(E1347=0,0,E1347*0.03)</f>
        <v>0</v>
      </c>
    </row>
    <row r="1348" customFormat="false" ht="15.75" hidden="false" customHeight="true" outlineLevel="0" collapsed="false">
      <c r="A1348" s="30" t="n">
        <v>45323</v>
      </c>
      <c r="B1348" s="31" t="s">
        <v>7</v>
      </c>
      <c r="C1348" s="32"/>
      <c r="D1348" s="32"/>
      <c r="E1348" s="19" t="n">
        <f aca="false">+F1348*0.03</f>
        <v>0</v>
      </c>
      <c r="F1348" s="33" t="n">
        <v>0</v>
      </c>
      <c r="G1348" s="62"/>
      <c r="H1348" s="35" t="n">
        <v>0</v>
      </c>
      <c r="I1348" s="34" t="n">
        <f aca="false">+IF(E1348=0,0,E1348*0.03)</f>
        <v>0</v>
      </c>
    </row>
    <row r="1349" customFormat="false" ht="15.75" hidden="false" customHeight="true" outlineLevel="0" collapsed="false">
      <c r="A1349" s="30" t="n">
        <v>45323</v>
      </c>
      <c r="B1349" s="31" t="s">
        <v>7</v>
      </c>
      <c r="C1349" s="32"/>
      <c r="D1349" s="32"/>
      <c r="E1349" s="19" t="n">
        <f aca="false">+F1349*0.03</f>
        <v>0</v>
      </c>
      <c r="F1349" s="33" t="n">
        <v>0</v>
      </c>
      <c r="G1349" s="62"/>
      <c r="H1349" s="35" t="n">
        <v>0</v>
      </c>
      <c r="I1349" s="34" t="n">
        <f aca="false">+IF(E1349=0,0,E1349*0.03)</f>
        <v>0</v>
      </c>
    </row>
    <row r="1350" customFormat="false" ht="15.75" hidden="false" customHeight="true" outlineLevel="0" collapsed="false">
      <c r="A1350" s="30" t="n">
        <v>45323</v>
      </c>
      <c r="B1350" s="31" t="s">
        <v>7</v>
      </c>
      <c r="C1350" s="32"/>
      <c r="D1350" s="32"/>
      <c r="E1350" s="19" t="n">
        <f aca="false">+F1350*0.03</f>
        <v>0</v>
      </c>
      <c r="F1350" s="33" t="n">
        <v>0</v>
      </c>
      <c r="G1350" s="62"/>
      <c r="H1350" s="35" t="n">
        <v>0</v>
      </c>
      <c r="I1350" s="34" t="n">
        <f aca="false">+IF(E1350=0,0,E1350*0.03)</f>
        <v>0</v>
      </c>
    </row>
    <row r="1351" customFormat="false" ht="15.75" hidden="false" customHeight="true" outlineLevel="0" collapsed="false">
      <c r="A1351" s="30" t="n">
        <v>45323</v>
      </c>
      <c r="B1351" s="31" t="s">
        <v>7</v>
      </c>
      <c r="C1351" s="32"/>
      <c r="D1351" s="32"/>
      <c r="E1351" s="19" t="n">
        <f aca="false">+F1351*0.03</f>
        <v>0</v>
      </c>
      <c r="F1351" s="33" t="n">
        <v>0</v>
      </c>
      <c r="G1351" s="62"/>
      <c r="H1351" s="35" t="n">
        <v>0</v>
      </c>
      <c r="I1351" s="34" t="n">
        <f aca="false">+IF(E1351=0,0,E1351*0.03)</f>
        <v>0</v>
      </c>
    </row>
    <row r="1352" customFormat="false" ht="15.75" hidden="false" customHeight="true" outlineLevel="0" collapsed="false">
      <c r="A1352" s="30" t="n">
        <v>45323</v>
      </c>
      <c r="B1352" s="31" t="s">
        <v>7</v>
      </c>
      <c r="C1352" s="32"/>
      <c r="D1352" s="32"/>
      <c r="E1352" s="19" t="n">
        <f aca="false">+F1352*0.03</f>
        <v>0</v>
      </c>
      <c r="F1352" s="33" t="n">
        <v>0</v>
      </c>
      <c r="G1352" s="62"/>
      <c r="H1352" s="35" t="n">
        <v>0</v>
      </c>
      <c r="I1352" s="34" t="n">
        <f aca="false">+IF(E1352=0,0,E1352*0.03)</f>
        <v>0</v>
      </c>
    </row>
    <row r="1353" customFormat="false" ht="15.75" hidden="false" customHeight="true" outlineLevel="0" collapsed="false">
      <c r="A1353" s="30" t="n">
        <v>45323</v>
      </c>
      <c r="B1353" s="31" t="s">
        <v>7</v>
      </c>
      <c r="C1353" s="32"/>
      <c r="D1353" s="32"/>
      <c r="E1353" s="19" t="n">
        <f aca="false">+F1353*0.03</f>
        <v>0</v>
      </c>
      <c r="F1353" s="33" t="n">
        <v>0</v>
      </c>
      <c r="G1353" s="62"/>
      <c r="H1353" s="35" t="n">
        <v>0</v>
      </c>
      <c r="I1353" s="34" t="n">
        <f aca="false">+IF(E1353=0,0,E1353*0.03)</f>
        <v>0</v>
      </c>
    </row>
    <row r="1354" customFormat="false" ht="15.75" hidden="false" customHeight="true" outlineLevel="0" collapsed="false">
      <c r="A1354" s="30" t="n">
        <v>45323</v>
      </c>
      <c r="B1354" s="31" t="s">
        <v>7</v>
      </c>
      <c r="C1354" s="32"/>
      <c r="D1354" s="32"/>
      <c r="E1354" s="19" t="n">
        <f aca="false">+F1354*0.03</f>
        <v>0</v>
      </c>
      <c r="F1354" s="33" t="n">
        <v>0</v>
      </c>
      <c r="G1354" s="62"/>
      <c r="H1354" s="35" t="n">
        <v>0</v>
      </c>
      <c r="I1354" s="34" t="n">
        <f aca="false">+IF(E1354=0,0,E1354*0.03)</f>
        <v>0</v>
      </c>
    </row>
    <row r="1355" customFormat="false" ht="15.75" hidden="false" customHeight="true" outlineLevel="0" collapsed="false">
      <c r="A1355" s="30" t="n">
        <v>45323</v>
      </c>
      <c r="B1355" s="31" t="s">
        <v>7</v>
      </c>
      <c r="C1355" s="32"/>
      <c r="D1355" s="32"/>
      <c r="E1355" s="19" t="n">
        <f aca="false">+F1355*0.03</f>
        <v>0</v>
      </c>
      <c r="F1355" s="33" t="n">
        <v>0</v>
      </c>
      <c r="G1355" s="62"/>
      <c r="H1355" s="35" t="n">
        <v>0</v>
      </c>
      <c r="I1355" s="34" t="n">
        <f aca="false">+IF(E1355=0,0,E1355*0.03)</f>
        <v>0</v>
      </c>
    </row>
    <row r="1356" customFormat="false" ht="15.75" hidden="false" customHeight="true" outlineLevel="0" collapsed="false">
      <c r="A1356" s="30" t="n">
        <v>45323</v>
      </c>
      <c r="B1356" s="31" t="s">
        <v>7</v>
      </c>
      <c r="C1356" s="32"/>
      <c r="D1356" s="32"/>
      <c r="E1356" s="19" t="n">
        <f aca="false">+F1356*0.03</f>
        <v>0</v>
      </c>
      <c r="F1356" s="33" t="n">
        <v>0</v>
      </c>
      <c r="G1356" s="62"/>
      <c r="H1356" s="35" t="n">
        <v>0</v>
      </c>
      <c r="I1356" s="34" t="n">
        <f aca="false">+IF(E1356=0,0,E1356*0.03)</f>
        <v>0</v>
      </c>
    </row>
    <row r="1357" customFormat="false" ht="15.75" hidden="false" customHeight="true" outlineLevel="0" collapsed="false">
      <c r="A1357" s="30" t="n">
        <v>45323</v>
      </c>
      <c r="B1357" s="31" t="s">
        <v>7</v>
      </c>
      <c r="C1357" s="32"/>
      <c r="D1357" s="32"/>
      <c r="E1357" s="19" t="n">
        <f aca="false">+F1357*0.03</f>
        <v>0</v>
      </c>
      <c r="F1357" s="33" t="n">
        <v>0</v>
      </c>
      <c r="G1357" s="62"/>
      <c r="H1357" s="35" t="n">
        <v>0</v>
      </c>
      <c r="I1357" s="34" t="n">
        <f aca="false">+IF(E1357=0,0,E1357*0.03)</f>
        <v>0</v>
      </c>
    </row>
    <row r="1358" customFormat="false" ht="15.75" hidden="false" customHeight="true" outlineLevel="0" collapsed="false">
      <c r="A1358" s="30" t="n">
        <v>45323</v>
      </c>
      <c r="B1358" s="31" t="s">
        <v>7</v>
      </c>
      <c r="C1358" s="32"/>
      <c r="D1358" s="32"/>
      <c r="E1358" s="19" t="n">
        <f aca="false">+F1358*0.03</f>
        <v>0</v>
      </c>
      <c r="F1358" s="33" t="n">
        <v>0</v>
      </c>
      <c r="G1358" s="62"/>
      <c r="H1358" s="35" t="n">
        <v>0</v>
      </c>
      <c r="I1358" s="34" t="n">
        <f aca="false">+IF(E1358=0,0,E1358*0.03)</f>
        <v>0</v>
      </c>
    </row>
    <row r="1359" customFormat="false" ht="15.75" hidden="false" customHeight="true" outlineLevel="0" collapsed="false">
      <c r="A1359" s="30" t="n">
        <v>45323</v>
      </c>
      <c r="B1359" s="31" t="s">
        <v>7</v>
      </c>
      <c r="C1359" s="32"/>
      <c r="D1359" s="32"/>
      <c r="E1359" s="19" t="n">
        <f aca="false">+F1359*0.03</f>
        <v>0</v>
      </c>
      <c r="F1359" s="33" t="n">
        <v>0</v>
      </c>
      <c r="G1359" s="62"/>
      <c r="H1359" s="35" t="n">
        <v>0</v>
      </c>
      <c r="I1359" s="34" t="n">
        <f aca="false">+IF(E1359=0,0,E1359*0.03)</f>
        <v>0</v>
      </c>
    </row>
    <row r="1360" customFormat="false" ht="15.75" hidden="false" customHeight="true" outlineLevel="0" collapsed="false">
      <c r="A1360" s="30" t="n">
        <v>45323</v>
      </c>
      <c r="B1360" s="31" t="s">
        <v>7</v>
      </c>
      <c r="C1360" s="32"/>
      <c r="D1360" s="32"/>
      <c r="E1360" s="19" t="n">
        <f aca="false">+F1360*0.03</f>
        <v>0</v>
      </c>
      <c r="F1360" s="33" t="n">
        <v>0</v>
      </c>
      <c r="G1360" s="62"/>
      <c r="H1360" s="35" t="n">
        <v>0</v>
      </c>
      <c r="I1360" s="34" t="n">
        <f aca="false">+IF(E1360=0,0,E1360*0.03)</f>
        <v>0</v>
      </c>
    </row>
    <row r="1361" customFormat="false" ht="15.75" hidden="false" customHeight="true" outlineLevel="0" collapsed="false">
      <c r="A1361" s="30" t="n">
        <v>45323</v>
      </c>
      <c r="B1361" s="31" t="s">
        <v>7</v>
      </c>
      <c r="C1361" s="32"/>
      <c r="D1361" s="32"/>
      <c r="E1361" s="19" t="n">
        <f aca="false">+F1361*0.03</f>
        <v>0</v>
      </c>
      <c r="F1361" s="33" t="n">
        <v>0</v>
      </c>
      <c r="G1361" s="62"/>
      <c r="H1361" s="35" t="n">
        <v>0</v>
      </c>
      <c r="I1361" s="34" t="n">
        <f aca="false">+IF(E1361=0,0,E1361*0.03)</f>
        <v>0</v>
      </c>
    </row>
    <row r="1362" customFormat="false" ht="15.75" hidden="false" customHeight="true" outlineLevel="0" collapsed="false">
      <c r="A1362" s="30" t="n">
        <v>45323</v>
      </c>
      <c r="B1362" s="31" t="s">
        <v>7</v>
      </c>
      <c r="C1362" s="32"/>
      <c r="D1362" s="32"/>
      <c r="E1362" s="19" t="n">
        <f aca="false">+F1362*0.03</f>
        <v>0</v>
      </c>
      <c r="F1362" s="33" t="n">
        <v>0</v>
      </c>
      <c r="G1362" s="62"/>
      <c r="H1362" s="35" t="n">
        <v>0</v>
      </c>
      <c r="I1362" s="34" t="n">
        <f aca="false">+IF(E1362=0,0,E1362*0.03)</f>
        <v>0</v>
      </c>
    </row>
    <row r="1363" customFormat="false" ht="15.75" hidden="false" customHeight="true" outlineLevel="0" collapsed="false">
      <c r="A1363" s="30" t="n">
        <v>45323</v>
      </c>
      <c r="B1363" s="31" t="s">
        <v>7</v>
      </c>
      <c r="C1363" s="32"/>
      <c r="D1363" s="32"/>
      <c r="E1363" s="19" t="n">
        <f aca="false">+F1363*0.03</f>
        <v>0</v>
      </c>
      <c r="F1363" s="33" t="n">
        <v>0</v>
      </c>
      <c r="G1363" s="62"/>
      <c r="H1363" s="35" t="n">
        <v>0</v>
      </c>
      <c r="I1363" s="34" t="n">
        <f aca="false">+IF(E1363=0,0,E1363*0.03)</f>
        <v>0</v>
      </c>
    </row>
    <row r="1364" customFormat="false" ht="15.75" hidden="false" customHeight="true" outlineLevel="0" collapsed="false">
      <c r="A1364" s="30" t="n">
        <v>45323</v>
      </c>
      <c r="B1364" s="31" t="s">
        <v>7</v>
      </c>
      <c r="C1364" s="32"/>
      <c r="D1364" s="32"/>
      <c r="E1364" s="19" t="n">
        <f aca="false">+F1364*0.03</f>
        <v>0</v>
      </c>
      <c r="F1364" s="33" t="n">
        <v>0</v>
      </c>
      <c r="G1364" s="62"/>
      <c r="H1364" s="35" t="n">
        <v>0</v>
      </c>
      <c r="I1364" s="34" t="n">
        <f aca="false">+IF(E1364=0,0,E1364*0.03)</f>
        <v>0</v>
      </c>
    </row>
    <row r="1365" customFormat="false" ht="15.75" hidden="false" customHeight="true" outlineLevel="0" collapsed="false">
      <c r="A1365" s="30" t="n">
        <v>45323</v>
      </c>
      <c r="B1365" s="31" t="s">
        <v>7</v>
      </c>
      <c r="C1365" s="32"/>
      <c r="D1365" s="32"/>
      <c r="E1365" s="19" t="n">
        <f aca="false">+F1365*0.03</f>
        <v>0</v>
      </c>
      <c r="F1365" s="33" t="n">
        <v>0</v>
      </c>
      <c r="G1365" s="62"/>
      <c r="H1365" s="35" t="n">
        <v>0</v>
      </c>
      <c r="I1365" s="34" t="n">
        <f aca="false">+IF(E1365=0,0,E1365*0.03)</f>
        <v>0</v>
      </c>
    </row>
    <row r="1366" customFormat="false" ht="15.75" hidden="false" customHeight="true" outlineLevel="0" collapsed="false">
      <c r="A1366" s="30" t="n">
        <v>45323</v>
      </c>
      <c r="B1366" s="31" t="s">
        <v>7</v>
      </c>
      <c r="C1366" s="32"/>
      <c r="D1366" s="32"/>
      <c r="E1366" s="19" t="n">
        <f aca="false">+F1366*0.03</f>
        <v>0</v>
      </c>
      <c r="F1366" s="33" t="n">
        <v>0</v>
      </c>
      <c r="G1366" s="62"/>
      <c r="H1366" s="35" t="n">
        <v>0</v>
      </c>
      <c r="I1366" s="34" t="n">
        <f aca="false">+IF(E1366=0,0,E1366*0.03)</f>
        <v>0</v>
      </c>
    </row>
    <row r="1367" customFormat="false" ht="15.75" hidden="false" customHeight="true" outlineLevel="0" collapsed="false">
      <c r="A1367" s="30" t="n">
        <v>45323</v>
      </c>
      <c r="B1367" s="31" t="s">
        <v>7</v>
      </c>
      <c r="C1367" s="32"/>
      <c r="D1367" s="32"/>
      <c r="E1367" s="19" t="n">
        <f aca="false">+F1367*0.03</f>
        <v>0</v>
      </c>
      <c r="F1367" s="33" t="n">
        <v>0</v>
      </c>
      <c r="G1367" s="62"/>
      <c r="H1367" s="35" t="n">
        <v>0</v>
      </c>
      <c r="I1367" s="34" t="n">
        <f aca="false">+IF(E1367=0,0,E1367*0.03)</f>
        <v>0</v>
      </c>
    </row>
    <row r="1368" customFormat="false" ht="15.75" hidden="false" customHeight="true" outlineLevel="0" collapsed="false">
      <c r="A1368" s="30" t="n">
        <v>45323</v>
      </c>
      <c r="B1368" s="31" t="s">
        <v>7</v>
      </c>
      <c r="C1368" s="32"/>
      <c r="D1368" s="32"/>
      <c r="E1368" s="19" t="n">
        <f aca="false">+F1368*0.03</f>
        <v>0</v>
      </c>
      <c r="F1368" s="33" t="n">
        <v>0</v>
      </c>
      <c r="G1368" s="62"/>
      <c r="H1368" s="35" t="n">
        <v>0</v>
      </c>
      <c r="I1368" s="34" t="n">
        <f aca="false">+IF(E1368=0,0,E1368*0.03)</f>
        <v>0</v>
      </c>
    </row>
    <row r="1369" customFormat="false" ht="15.75" hidden="false" customHeight="true" outlineLevel="0" collapsed="false">
      <c r="A1369" s="30" t="n">
        <v>45323</v>
      </c>
      <c r="B1369" s="31" t="s">
        <v>7</v>
      </c>
      <c r="C1369" s="32"/>
      <c r="D1369" s="32"/>
      <c r="E1369" s="19" t="n">
        <f aca="false">+F1369*0.03</f>
        <v>0</v>
      </c>
      <c r="F1369" s="33" t="n">
        <v>0</v>
      </c>
      <c r="G1369" s="62"/>
      <c r="H1369" s="35" t="n">
        <v>0</v>
      </c>
      <c r="I1369" s="34" t="n">
        <f aca="false">+IF(E1369=0,0,E1369*0.03)</f>
        <v>0</v>
      </c>
    </row>
    <row r="1370" customFormat="false" ht="15.75" hidden="false" customHeight="true" outlineLevel="0" collapsed="false">
      <c r="A1370" s="30" t="n">
        <v>45323</v>
      </c>
      <c r="B1370" s="31" t="s">
        <v>7</v>
      </c>
      <c r="C1370" s="32"/>
      <c r="D1370" s="32"/>
      <c r="E1370" s="19" t="n">
        <f aca="false">+F1370*0.03</f>
        <v>0</v>
      </c>
      <c r="F1370" s="33" t="n">
        <v>0</v>
      </c>
      <c r="G1370" s="62"/>
      <c r="H1370" s="35" t="n">
        <v>0</v>
      </c>
      <c r="I1370" s="34" t="n">
        <f aca="false">+IF(E1370=0,0,E1370*0.03)</f>
        <v>0</v>
      </c>
    </row>
    <row r="1371" customFormat="false" ht="15.75" hidden="false" customHeight="true" outlineLevel="0" collapsed="false">
      <c r="A1371" s="30" t="n">
        <v>45323</v>
      </c>
      <c r="B1371" s="31" t="s">
        <v>7</v>
      </c>
      <c r="C1371" s="32"/>
      <c r="D1371" s="32"/>
      <c r="E1371" s="19" t="n">
        <f aca="false">+F1371*0.03</f>
        <v>0</v>
      </c>
      <c r="F1371" s="33" t="n">
        <v>0</v>
      </c>
      <c r="G1371" s="62"/>
      <c r="H1371" s="35" t="n">
        <v>0</v>
      </c>
      <c r="I1371" s="34" t="n">
        <f aca="false">+IF(E1371=0,0,E1371*0.03)</f>
        <v>0</v>
      </c>
    </row>
    <row r="1372" customFormat="false" ht="15.75" hidden="false" customHeight="true" outlineLevel="0" collapsed="false">
      <c r="A1372" s="30" t="n">
        <v>45323</v>
      </c>
      <c r="B1372" s="31" t="s">
        <v>7</v>
      </c>
      <c r="C1372" s="32"/>
      <c r="D1372" s="32"/>
      <c r="E1372" s="19" t="n">
        <f aca="false">+F1372*0.03</f>
        <v>0</v>
      </c>
      <c r="F1372" s="33" t="n">
        <v>0</v>
      </c>
      <c r="G1372" s="62"/>
      <c r="H1372" s="35" t="n">
        <v>0</v>
      </c>
      <c r="I1372" s="34" t="n">
        <f aca="false">+IF(E1372=0,0,E1372*0.03)</f>
        <v>0</v>
      </c>
    </row>
    <row r="1373" customFormat="false" ht="15.75" hidden="false" customHeight="true" outlineLevel="0" collapsed="false">
      <c r="A1373" s="30" t="n">
        <v>45323</v>
      </c>
      <c r="B1373" s="31" t="s">
        <v>7</v>
      </c>
      <c r="C1373" s="32"/>
      <c r="D1373" s="32"/>
      <c r="E1373" s="19" t="n">
        <f aca="false">+F1373*0.03</f>
        <v>0</v>
      </c>
      <c r="F1373" s="33" t="n">
        <v>0</v>
      </c>
      <c r="G1373" s="62"/>
      <c r="H1373" s="35" t="n">
        <v>0</v>
      </c>
      <c r="I1373" s="34" t="n">
        <f aca="false">+IF(E1373=0,0,E1373*0.03)</f>
        <v>0</v>
      </c>
    </row>
    <row r="1374" customFormat="false" ht="15.75" hidden="false" customHeight="true" outlineLevel="0" collapsed="false">
      <c r="A1374" s="30" t="n">
        <v>45323</v>
      </c>
      <c r="B1374" s="31" t="s">
        <v>7</v>
      </c>
      <c r="C1374" s="32"/>
      <c r="D1374" s="32"/>
      <c r="E1374" s="19" t="n">
        <f aca="false">+F1374*0.03</f>
        <v>0</v>
      </c>
      <c r="F1374" s="33" t="n">
        <v>0</v>
      </c>
      <c r="G1374" s="62"/>
      <c r="H1374" s="35" t="n">
        <v>0</v>
      </c>
      <c r="I1374" s="34" t="n">
        <f aca="false">+IF(E1374=0,0,E1374*0.03)</f>
        <v>0</v>
      </c>
    </row>
    <row r="1375" customFormat="false" ht="15.75" hidden="false" customHeight="true" outlineLevel="0" collapsed="false">
      <c r="A1375" s="30" t="n">
        <v>45323</v>
      </c>
      <c r="B1375" s="31" t="s">
        <v>7</v>
      </c>
      <c r="C1375" s="32"/>
      <c r="D1375" s="32"/>
      <c r="E1375" s="19" t="n">
        <f aca="false">+F1375*0.03</f>
        <v>0</v>
      </c>
      <c r="F1375" s="33" t="n">
        <v>0</v>
      </c>
      <c r="G1375" s="62"/>
      <c r="H1375" s="35" t="n">
        <v>0</v>
      </c>
      <c r="I1375" s="34" t="n">
        <f aca="false">+IF(E1375=0,0,E1375*0.03)</f>
        <v>0</v>
      </c>
    </row>
    <row r="1376" customFormat="false" ht="15.75" hidden="false" customHeight="true" outlineLevel="0" collapsed="false">
      <c r="A1376" s="30" t="n">
        <v>45323</v>
      </c>
      <c r="B1376" s="31" t="s">
        <v>7</v>
      </c>
      <c r="C1376" s="32"/>
      <c r="D1376" s="32"/>
      <c r="E1376" s="19" t="n">
        <f aca="false">+F1376*0.03</f>
        <v>0</v>
      </c>
      <c r="F1376" s="33" t="n">
        <v>0</v>
      </c>
      <c r="G1376" s="62"/>
      <c r="H1376" s="35" t="n">
        <v>0</v>
      </c>
      <c r="I1376" s="34" t="n">
        <f aca="false">+IF(E1376=0,0,E1376*0.03)</f>
        <v>0</v>
      </c>
    </row>
    <row r="1377" customFormat="false" ht="15.75" hidden="false" customHeight="true" outlineLevel="0" collapsed="false">
      <c r="A1377" s="30" t="n">
        <v>45323</v>
      </c>
      <c r="B1377" s="31" t="s">
        <v>7</v>
      </c>
      <c r="C1377" s="32"/>
      <c r="D1377" s="32"/>
      <c r="E1377" s="19" t="n">
        <f aca="false">+F1377*0.03</f>
        <v>0</v>
      </c>
      <c r="F1377" s="33" t="n">
        <v>0</v>
      </c>
      <c r="G1377" s="62"/>
      <c r="H1377" s="35" t="n">
        <v>0</v>
      </c>
      <c r="I1377" s="34" t="n">
        <f aca="false">+IF(E1377=0,0,E1377*0.03)</f>
        <v>0</v>
      </c>
    </row>
    <row r="1378" customFormat="false" ht="15.75" hidden="false" customHeight="true" outlineLevel="0" collapsed="false">
      <c r="A1378" s="30" t="n">
        <v>45323</v>
      </c>
      <c r="B1378" s="31" t="s">
        <v>7</v>
      </c>
      <c r="C1378" s="32"/>
      <c r="D1378" s="32"/>
      <c r="E1378" s="19" t="n">
        <f aca="false">+F1378*0.03</f>
        <v>0</v>
      </c>
      <c r="F1378" s="33" t="n">
        <v>0</v>
      </c>
      <c r="G1378" s="62"/>
      <c r="H1378" s="35" t="n">
        <v>0</v>
      </c>
      <c r="I1378" s="34" t="n">
        <f aca="false">+IF(E1378=0,0,E1378*0.03)</f>
        <v>0</v>
      </c>
    </row>
    <row r="1379" customFormat="false" ht="15.75" hidden="false" customHeight="true" outlineLevel="0" collapsed="false">
      <c r="A1379" s="30" t="n">
        <v>45323</v>
      </c>
      <c r="B1379" s="31" t="s">
        <v>7</v>
      </c>
      <c r="C1379" s="32"/>
      <c r="D1379" s="32"/>
      <c r="E1379" s="19" t="n">
        <f aca="false">+F1379*0.03</f>
        <v>0</v>
      </c>
      <c r="F1379" s="33" t="n">
        <v>0</v>
      </c>
      <c r="G1379" s="62"/>
      <c r="H1379" s="35" t="n">
        <v>0</v>
      </c>
      <c r="I1379" s="34" t="n">
        <f aca="false">+IF(E1379=0,0,E1379*0.03)</f>
        <v>0</v>
      </c>
    </row>
    <row r="1380" customFormat="false" ht="15.75" hidden="false" customHeight="true" outlineLevel="0" collapsed="false">
      <c r="A1380" s="30" t="n">
        <v>45323</v>
      </c>
      <c r="B1380" s="31" t="s">
        <v>7</v>
      </c>
      <c r="C1380" s="32"/>
      <c r="D1380" s="32"/>
      <c r="E1380" s="19" t="n">
        <f aca="false">+F1380*0.03</f>
        <v>0</v>
      </c>
      <c r="F1380" s="33" t="n">
        <v>0</v>
      </c>
      <c r="G1380" s="62"/>
      <c r="H1380" s="35" t="n">
        <v>0</v>
      </c>
      <c r="I1380" s="34" t="n">
        <f aca="false">+IF(E1380=0,0,E1380*0.03)</f>
        <v>0</v>
      </c>
    </row>
    <row r="1381" customFormat="false" ht="15.75" hidden="false" customHeight="true" outlineLevel="0" collapsed="false">
      <c r="A1381" s="30" t="n">
        <v>45323</v>
      </c>
      <c r="B1381" s="31" t="s">
        <v>7</v>
      </c>
      <c r="C1381" s="32"/>
      <c r="D1381" s="32"/>
      <c r="E1381" s="19" t="n">
        <f aca="false">+F1381*0.03</f>
        <v>0</v>
      </c>
      <c r="F1381" s="33" t="n">
        <v>0</v>
      </c>
      <c r="G1381" s="62"/>
      <c r="H1381" s="35" t="n">
        <v>0</v>
      </c>
      <c r="I1381" s="34" t="n">
        <f aca="false">+IF(E1381=0,0,E1381*0.03)</f>
        <v>0</v>
      </c>
    </row>
    <row r="1382" customFormat="false" ht="15.75" hidden="false" customHeight="true" outlineLevel="0" collapsed="false">
      <c r="A1382" s="30" t="n">
        <v>45323</v>
      </c>
      <c r="B1382" s="31" t="s">
        <v>7</v>
      </c>
      <c r="C1382" s="32"/>
      <c r="D1382" s="32"/>
      <c r="E1382" s="19" t="n">
        <f aca="false">+F1382*0.03</f>
        <v>0</v>
      </c>
      <c r="F1382" s="33" t="n">
        <v>0</v>
      </c>
      <c r="G1382" s="62"/>
      <c r="H1382" s="35" t="n">
        <v>0</v>
      </c>
      <c r="I1382" s="34" t="n">
        <f aca="false">+IF(E1382=0,0,E1382*0.03)</f>
        <v>0</v>
      </c>
    </row>
    <row r="1383" customFormat="false" ht="15.75" hidden="false" customHeight="true" outlineLevel="0" collapsed="false">
      <c r="A1383" s="30" t="n">
        <v>45323</v>
      </c>
      <c r="B1383" s="31" t="s">
        <v>7</v>
      </c>
      <c r="C1383" s="32"/>
      <c r="D1383" s="32"/>
      <c r="E1383" s="19" t="n">
        <f aca="false">+F1383*0.03</f>
        <v>0</v>
      </c>
      <c r="F1383" s="33" t="n">
        <v>0</v>
      </c>
      <c r="G1383" s="62"/>
      <c r="H1383" s="35" t="n">
        <v>0</v>
      </c>
      <c r="I1383" s="34" t="n">
        <f aca="false">+IF(E1383=0,0,E1383*0.03)</f>
        <v>0</v>
      </c>
    </row>
    <row r="1384" customFormat="false" ht="15.75" hidden="false" customHeight="true" outlineLevel="0" collapsed="false">
      <c r="A1384" s="30" t="n">
        <v>45323</v>
      </c>
      <c r="B1384" s="31" t="s">
        <v>7</v>
      </c>
      <c r="C1384" s="32"/>
      <c r="D1384" s="32"/>
      <c r="E1384" s="19" t="n">
        <f aca="false">+F1384*0.03</f>
        <v>0</v>
      </c>
      <c r="F1384" s="33" t="n">
        <v>0</v>
      </c>
      <c r="G1384" s="62"/>
      <c r="H1384" s="35" t="n">
        <v>0</v>
      </c>
      <c r="I1384" s="34" t="n">
        <f aca="false">+IF(E1384=0,0,E1384*0.03)</f>
        <v>0</v>
      </c>
    </row>
    <row r="1385" customFormat="false" ht="15.75" hidden="false" customHeight="true" outlineLevel="0" collapsed="false">
      <c r="A1385" s="30" t="n">
        <v>45323</v>
      </c>
      <c r="B1385" s="31" t="s">
        <v>7</v>
      </c>
      <c r="C1385" s="32"/>
      <c r="D1385" s="32"/>
      <c r="E1385" s="19" t="n">
        <f aca="false">+F1385*0.03</f>
        <v>0</v>
      </c>
      <c r="F1385" s="33" t="n">
        <v>0</v>
      </c>
      <c r="G1385" s="62"/>
      <c r="H1385" s="35" t="n">
        <v>0</v>
      </c>
      <c r="I1385" s="34" t="n">
        <f aca="false">+IF(E1385=0,0,E1385*0.03)</f>
        <v>0</v>
      </c>
    </row>
    <row r="1386" customFormat="false" ht="15.75" hidden="false" customHeight="true" outlineLevel="0" collapsed="false">
      <c r="A1386" s="30" t="n">
        <v>45323</v>
      </c>
      <c r="B1386" s="31" t="s">
        <v>7</v>
      </c>
      <c r="C1386" s="32"/>
      <c r="D1386" s="32"/>
      <c r="E1386" s="19" t="n">
        <f aca="false">+F1386*0.03</f>
        <v>0</v>
      </c>
      <c r="F1386" s="33" t="n">
        <v>0</v>
      </c>
      <c r="G1386" s="62"/>
      <c r="H1386" s="35" t="n">
        <v>0</v>
      </c>
      <c r="I1386" s="34" t="n">
        <f aca="false">+IF(E1386=0,0,E1386*0.03)</f>
        <v>0</v>
      </c>
    </row>
    <row r="1387" customFormat="false" ht="15.75" hidden="false" customHeight="true" outlineLevel="0" collapsed="false">
      <c r="A1387" s="30" t="n">
        <v>45323</v>
      </c>
      <c r="B1387" s="31" t="s">
        <v>7</v>
      </c>
      <c r="C1387" s="32"/>
      <c r="D1387" s="32"/>
      <c r="E1387" s="19" t="n">
        <f aca="false">+F1387*0.03</f>
        <v>0</v>
      </c>
      <c r="F1387" s="33" t="n">
        <v>0</v>
      </c>
      <c r="G1387" s="62"/>
      <c r="H1387" s="35" t="n">
        <v>0</v>
      </c>
      <c r="I1387" s="34" t="n">
        <f aca="false">+IF(E1387=0,0,E1387*0.03)</f>
        <v>0</v>
      </c>
    </row>
    <row r="1388" customFormat="false" ht="15.75" hidden="false" customHeight="true" outlineLevel="0" collapsed="false">
      <c r="A1388" s="30" t="n">
        <v>45323</v>
      </c>
      <c r="B1388" s="31" t="s">
        <v>7</v>
      </c>
      <c r="C1388" s="32"/>
      <c r="D1388" s="32"/>
      <c r="E1388" s="19" t="n">
        <f aca="false">+F1388*0.03</f>
        <v>0</v>
      </c>
      <c r="F1388" s="33" t="n">
        <v>0</v>
      </c>
      <c r="G1388" s="62"/>
      <c r="H1388" s="35" t="n">
        <v>0</v>
      </c>
      <c r="I1388" s="34" t="n">
        <f aca="false">+IF(E1388=0,0,E1388*0.03)</f>
        <v>0</v>
      </c>
    </row>
    <row r="1389" customFormat="false" ht="15.75" hidden="false" customHeight="true" outlineLevel="0" collapsed="false">
      <c r="A1389" s="30" t="n">
        <v>45323</v>
      </c>
      <c r="B1389" s="31" t="s">
        <v>7</v>
      </c>
      <c r="C1389" s="32"/>
      <c r="D1389" s="32"/>
      <c r="E1389" s="19" t="n">
        <f aca="false">+F1389*0.03</f>
        <v>0</v>
      </c>
      <c r="F1389" s="33" t="n">
        <v>0</v>
      </c>
      <c r="G1389" s="62"/>
      <c r="H1389" s="35" t="n">
        <v>0</v>
      </c>
      <c r="I1389" s="34" t="n">
        <f aca="false">+IF(E1389=0,0,E1389*0.03)</f>
        <v>0</v>
      </c>
    </row>
    <row r="1390" customFormat="false" ht="15.75" hidden="false" customHeight="true" outlineLevel="0" collapsed="false">
      <c r="A1390" s="30" t="n">
        <v>45323</v>
      </c>
      <c r="B1390" s="31" t="s">
        <v>7</v>
      </c>
      <c r="C1390" s="32"/>
      <c r="D1390" s="32"/>
      <c r="E1390" s="19" t="n">
        <f aca="false">+F1390*0.03</f>
        <v>0</v>
      </c>
      <c r="F1390" s="33" t="n">
        <v>0</v>
      </c>
      <c r="G1390" s="62"/>
      <c r="H1390" s="35" t="n">
        <v>0</v>
      </c>
      <c r="I1390" s="34" t="n">
        <f aca="false">+IF(E1390=0,0,E1390*0.03)</f>
        <v>0</v>
      </c>
    </row>
    <row r="1391" customFormat="false" ht="15.75" hidden="false" customHeight="true" outlineLevel="0" collapsed="false">
      <c r="A1391" s="30" t="n">
        <v>45323</v>
      </c>
      <c r="B1391" s="31" t="s">
        <v>7</v>
      </c>
      <c r="C1391" s="32"/>
      <c r="D1391" s="32"/>
      <c r="E1391" s="19" t="n">
        <f aca="false">+F1391*0.03</f>
        <v>0</v>
      </c>
      <c r="F1391" s="33" t="n">
        <v>0</v>
      </c>
      <c r="G1391" s="62"/>
      <c r="H1391" s="35" t="n">
        <v>0</v>
      </c>
      <c r="I1391" s="34" t="n">
        <f aca="false">+IF(E1391=0,0,E1391*0.03)</f>
        <v>0</v>
      </c>
    </row>
    <row r="1392" customFormat="false" ht="15.75" hidden="false" customHeight="true" outlineLevel="0" collapsed="false">
      <c r="A1392" s="30" t="n">
        <v>45323</v>
      </c>
      <c r="B1392" s="31" t="s">
        <v>7</v>
      </c>
      <c r="C1392" s="32"/>
      <c r="D1392" s="32"/>
      <c r="E1392" s="19" t="n">
        <f aca="false">+F1392*0.03</f>
        <v>0</v>
      </c>
      <c r="F1392" s="33" t="n">
        <v>0</v>
      </c>
      <c r="G1392" s="62"/>
      <c r="H1392" s="35" t="n">
        <v>0</v>
      </c>
      <c r="I1392" s="34" t="n">
        <f aca="false">+IF(E1392=0,0,E1392*0.03)</f>
        <v>0</v>
      </c>
    </row>
    <row r="1393" customFormat="false" ht="15.75" hidden="false" customHeight="true" outlineLevel="0" collapsed="false">
      <c r="A1393" s="30" t="n">
        <v>45323</v>
      </c>
      <c r="B1393" s="31" t="s">
        <v>7</v>
      </c>
      <c r="C1393" s="32"/>
      <c r="D1393" s="32"/>
      <c r="E1393" s="19" t="n">
        <f aca="false">+F1393*0.03</f>
        <v>0</v>
      </c>
      <c r="F1393" s="33" t="n">
        <v>0</v>
      </c>
      <c r="G1393" s="62"/>
      <c r="H1393" s="35" t="n">
        <v>0</v>
      </c>
      <c r="I1393" s="34" t="n">
        <f aca="false">+IF(E1393=0,0,E1393*0.03)</f>
        <v>0</v>
      </c>
    </row>
    <row r="1394" customFormat="false" ht="15.75" hidden="false" customHeight="true" outlineLevel="0" collapsed="false">
      <c r="A1394" s="30" t="n">
        <v>45323</v>
      </c>
      <c r="B1394" s="31" t="s">
        <v>7</v>
      </c>
      <c r="C1394" s="32"/>
      <c r="D1394" s="32"/>
      <c r="E1394" s="19" t="n">
        <f aca="false">+F1394*0.03</f>
        <v>0</v>
      </c>
      <c r="F1394" s="33" t="n">
        <v>0</v>
      </c>
      <c r="G1394" s="62"/>
      <c r="H1394" s="35" t="n">
        <v>0</v>
      </c>
      <c r="I1394" s="34" t="n">
        <f aca="false">+IF(E1394=0,0,E1394*0.03)</f>
        <v>0</v>
      </c>
    </row>
    <row r="1395" customFormat="false" ht="15.75" hidden="false" customHeight="true" outlineLevel="0" collapsed="false">
      <c r="A1395" s="30" t="n">
        <v>45323</v>
      </c>
      <c r="B1395" s="31" t="s">
        <v>7</v>
      </c>
      <c r="C1395" s="32"/>
      <c r="D1395" s="32"/>
      <c r="E1395" s="19" t="n">
        <f aca="false">+F1395*0.03</f>
        <v>0</v>
      </c>
      <c r="F1395" s="33" t="n">
        <v>0</v>
      </c>
      <c r="G1395" s="62"/>
      <c r="H1395" s="35" t="n">
        <v>0</v>
      </c>
      <c r="I1395" s="34" t="n">
        <f aca="false">+IF(E1395=0,0,E1395*0.03)</f>
        <v>0</v>
      </c>
    </row>
    <row r="1396" customFormat="false" ht="15.75" hidden="false" customHeight="true" outlineLevel="0" collapsed="false">
      <c r="A1396" s="30" t="n">
        <v>45323</v>
      </c>
      <c r="B1396" s="31" t="s">
        <v>7</v>
      </c>
      <c r="C1396" s="32"/>
      <c r="D1396" s="32"/>
      <c r="E1396" s="19" t="n">
        <f aca="false">+F1396*0.03</f>
        <v>0</v>
      </c>
      <c r="F1396" s="33" t="n">
        <v>0</v>
      </c>
      <c r="G1396" s="62"/>
      <c r="H1396" s="35" t="n">
        <v>0</v>
      </c>
      <c r="I1396" s="34" t="n">
        <f aca="false">+IF(E1396=0,0,E1396*0.03)</f>
        <v>0</v>
      </c>
    </row>
    <row r="1397" customFormat="false" ht="15.75" hidden="false" customHeight="true" outlineLevel="0" collapsed="false">
      <c r="A1397" s="30" t="n">
        <v>45323</v>
      </c>
      <c r="B1397" s="31" t="s">
        <v>7</v>
      </c>
      <c r="C1397" s="32"/>
      <c r="D1397" s="32"/>
      <c r="E1397" s="19" t="n">
        <f aca="false">+F1397*0.03</f>
        <v>0</v>
      </c>
      <c r="F1397" s="33" t="n">
        <v>0</v>
      </c>
      <c r="G1397" s="62"/>
      <c r="H1397" s="35" t="n">
        <v>0</v>
      </c>
      <c r="I1397" s="34" t="n">
        <f aca="false">+IF(E1397=0,0,E1397*0.03)</f>
        <v>0</v>
      </c>
    </row>
    <row r="1398" customFormat="false" ht="15.75" hidden="false" customHeight="true" outlineLevel="0" collapsed="false">
      <c r="A1398" s="30" t="n">
        <v>45323</v>
      </c>
      <c r="B1398" s="31" t="s">
        <v>7</v>
      </c>
      <c r="C1398" s="32"/>
      <c r="D1398" s="32"/>
      <c r="E1398" s="19" t="n">
        <f aca="false">+F1398*0.03</f>
        <v>0</v>
      </c>
      <c r="F1398" s="33" t="n">
        <v>0</v>
      </c>
      <c r="G1398" s="62"/>
      <c r="H1398" s="35" t="n">
        <v>0</v>
      </c>
      <c r="I1398" s="34" t="n">
        <f aca="false">+IF(E1398=0,0,E1398*0.03)</f>
        <v>0</v>
      </c>
    </row>
    <row r="1399" customFormat="false" ht="15.75" hidden="false" customHeight="true" outlineLevel="0" collapsed="false">
      <c r="A1399" s="30" t="n">
        <v>45323</v>
      </c>
      <c r="B1399" s="31" t="s">
        <v>7</v>
      </c>
      <c r="C1399" s="32"/>
      <c r="D1399" s="32"/>
      <c r="E1399" s="19" t="n">
        <f aca="false">+F1399*0.03</f>
        <v>0</v>
      </c>
      <c r="F1399" s="33" t="n">
        <v>0</v>
      </c>
      <c r="G1399" s="62"/>
      <c r="H1399" s="35" t="n">
        <v>0</v>
      </c>
      <c r="I1399" s="34" t="n">
        <f aca="false">+IF(E1399=0,0,E1399*0.03)</f>
        <v>0</v>
      </c>
    </row>
    <row r="1400" customFormat="false" ht="15.75" hidden="false" customHeight="true" outlineLevel="0" collapsed="false">
      <c r="A1400" s="30" t="n">
        <v>45323</v>
      </c>
      <c r="B1400" s="31" t="s">
        <v>7</v>
      </c>
      <c r="C1400" s="32"/>
      <c r="D1400" s="32"/>
      <c r="E1400" s="19" t="n">
        <f aca="false">+F1400*0.03</f>
        <v>0</v>
      </c>
      <c r="F1400" s="33" t="n">
        <v>0</v>
      </c>
      <c r="G1400" s="62"/>
      <c r="H1400" s="35" t="n">
        <v>0</v>
      </c>
      <c r="I1400" s="34" t="n">
        <f aca="false">+IF(E1400=0,0,E1400*0.03)</f>
        <v>0</v>
      </c>
    </row>
    <row r="1401" customFormat="false" ht="15.75" hidden="false" customHeight="true" outlineLevel="0" collapsed="false">
      <c r="A1401" s="30" t="n">
        <v>45323</v>
      </c>
      <c r="B1401" s="31" t="s">
        <v>7</v>
      </c>
      <c r="C1401" s="32"/>
      <c r="D1401" s="32"/>
      <c r="E1401" s="19" t="n">
        <f aca="false">+F1401*0.03</f>
        <v>0</v>
      </c>
      <c r="F1401" s="33" t="n">
        <v>0</v>
      </c>
      <c r="G1401" s="62"/>
      <c r="H1401" s="35" t="n">
        <v>0</v>
      </c>
      <c r="I1401" s="34" t="n">
        <f aca="false">+IF(E1401=0,0,E1401*0.03)</f>
        <v>0</v>
      </c>
    </row>
    <row r="1402" customFormat="false" ht="15.75" hidden="false" customHeight="true" outlineLevel="0" collapsed="false">
      <c r="A1402" s="30" t="n">
        <v>45323</v>
      </c>
      <c r="B1402" s="31" t="s">
        <v>7</v>
      </c>
      <c r="C1402" s="32"/>
      <c r="D1402" s="32"/>
      <c r="E1402" s="19" t="n">
        <f aca="false">+F1402*0.03</f>
        <v>0</v>
      </c>
      <c r="F1402" s="33" t="n">
        <v>0</v>
      </c>
      <c r="G1402" s="62"/>
      <c r="H1402" s="35" t="n">
        <v>0</v>
      </c>
      <c r="I1402" s="34" t="n">
        <f aca="false">+IF(E1402=0,0,E1402*0.03)</f>
        <v>0</v>
      </c>
    </row>
    <row r="1403" customFormat="false" ht="15.75" hidden="false" customHeight="true" outlineLevel="0" collapsed="false">
      <c r="A1403" s="30" t="n">
        <v>45323</v>
      </c>
      <c r="B1403" s="31" t="s">
        <v>7</v>
      </c>
      <c r="C1403" s="32"/>
      <c r="D1403" s="32"/>
      <c r="E1403" s="19" t="n">
        <f aca="false">+F1403*0.03</f>
        <v>0</v>
      </c>
      <c r="F1403" s="33" t="n">
        <v>0</v>
      </c>
      <c r="G1403" s="62"/>
      <c r="H1403" s="35" t="n">
        <v>0</v>
      </c>
      <c r="I1403" s="34" t="n">
        <f aca="false">+IF(E1403=0,0,E1403*0.03)</f>
        <v>0</v>
      </c>
    </row>
    <row r="1404" customFormat="false" ht="15.75" hidden="false" customHeight="true" outlineLevel="0" collapsed="false">
      <c r="A1404" s="30" t="n">
        <v>45323</v>
      </c>
      <c r="B1404" s="31" t="s">
        <v>7</v>
      </c>
      <c r="C1404" s="32"/>
      <c r="D1404" s="32"/>
      <c r="E1404" s="19" t="n">
        <f aca="false">+F1404*0.03</f>
        <v>0</v>
      </c>
      <c r="F1404" s="33" t="n">
        <v>0</v>
      </c>
      <c r="G1404" s="62"/>
      <c r="H1404" s="35" t="n">
        <v>0</v>
      </c>
      <c r="I1404" s="34" t="n">
        <f aca="false">+IF(E1404=0,0,E1404*0.03)</f>
        <v>0</v>
      </c>
    </row>
    <row r="1405" customFormat="false" ht="15.75" hidden="false" customHeight="true" outlineLevel="0" collapsed="false">
      <c r="A1405" s="30" t="n">
        <v>45323</v>
      </c>
      <c r="B1405" s="31" t="s">
        <v>7</v>
      </c>
      <c r="C1405" s="32"/>
      <c r="D1405" s="32"/>
      <c r="E1405" s="19" t="n">
        <f aca="false">+F1405*0.03</f>
        <v>0</v>
      </c>
      <c r="F1405" s="33" t="n">
        <v>0</v>
      </c>
      <c r="G1405" s="62"/>
      <c r="H1405" s="35" t="n">
        <v>0</v>
      </c>
      <c r="I1405" s="34" t="n">
        <f aca="false">+IF(E1405=0,0,E1405*0.03)</f>
        <v>0</v>
      </c>
    </row>
    <row r="1406" customFormat="false" ht="15.75" hidden="false" customHeight="true" outlineLevel="0" collapsed="false">
      <c r="A1406" s="30" t="n">
        <v>45323</v>
      </c>
      <c r="B1406" s="31" t="s">
        <v>7</v>
      </c>
      <c r="C1406" s="32"/>
      <c r="D1406" s="32"/>
      <c r="E1406" s="19" t="n">
        <f aca="false">+F1406*0.03</f>
        <v>0</v>
      </c>
      <c r="F1406" s="33" t="n">
        <v>0</v>
      </c>
      <c r="G1406" s="62"/>
      <c r="H1406" s="35" t="n">
        <v>0</v>
      </c>
      <c r="I1406" s="34" t="n">
        <f aca="false">+IF(E1406=0,0,E1406*0.03)</f>
        <v>0</v>
      </c>
    </row>
    <row r="1407" customFormat="false" ht="15.75" hidden="false" customHeight="true" outlineLevel="0" collapsed="false">
      <c r="A1407" s="30" t="n">
        <v>45323</v>
      </c>
      <c r="B1407" s="31" t="s">
        <v>7</v>
      </c>
      <c r="C1407" s="32"/>
      <c r="D1407" s="32"/>
      <c r="E1407" s="19" t="n">
        <f aca="false">+F1407*0.03</f>
        <v>0</v>
      </c>
      <c r="F1407" s="33" t="n">
        <v>0</v>
      </c>
      <c r="G1407" s="62"/>
      <c r="H1407" s="35" t="n">
        <v>0</v>
      </c>
      <c r="I1407" s="34" t="n">
        <f aca="false">+IF(E1407=0,0,E1407*0.03)</f>
        <v>0</v>
      </c>
    </row>
    <row r="1408" customFormat="false" ht="15.75" hidden="false" customHeight="true" outlineLevel="0" collapsed="false">
      <c r="A1408" s="30" t="n">
        <v>45323</v>
      </c>
      <c r="B1408" s="31" t="s">
        <v>7</v>
      </c>
      <c r="C1408" s="32"/>
      <c r="D1408" s="32"/>
      <c r="E1408" s="19" t="n">
        <f aca="false">+F1408*0.03</f>
        <v>0</v>
      </c>
      <c r="F1408" s="33" t="n">
        <v>0</v>
      </c>
      <c r="G1408" s="62"/>
      <c r="H1408" s="35" t="n">
        <v>0</v>
      </c>
      <c r="I1408" s="34" t="n">
        <f aca="false">+IF(E1408=0,0,E1408*0.03)</f>
        <v>0</v>
      </c>
    </row>
    <row r="1409" customFormat="false" ht="15.75" hidden="false" customHeight="true" outlineLevel="0" collapsed="false">
      <c r="A1409" s="30" t="n">
        <v>45323</v>
      </c>
      <c r="B1409" s="31" t="s">
        <v>7</v>
      </c>
      <c r="C1409" s="32"/>
      <c r="D1409" s="32"/>
      <c r="E1409" s="19" t="n">
        <f aca="false">+F1409*0.03</f>
        <v>0</v>
      </c>
      <c r="F1409" s="33" t="n">
        <v>0</v>
      </c>
      <c r="G1409" s="62"/>
      <c r="H1409" s="35" t="n">
        <v>0</v>
      </c>
      <c r="I1409" s="34" t="n">
        <f aca="false">+IF(E1409=0,0,E1409*0.03)</f>
        <v>0</v>
      </c>
    </row>
    <row r="1410" customFormat="false" ht="15.75" hidden="false" customHeight="true" outlineLevel="0" collapsed="false">
      <c r="A1410" s="30" t="n">
        <v>45323</v>
      </c>
      <c r="B1410" s="31" t="s">
        <v>7</v>
      </c>
      <c r="C1410" s="32"/>
      <c r="D1410" s="32"/>
      <c r="E1410" s="19" t="n">
        <f aca="false">+F1410*0.03</f>
        <v>0</v>
      </c>
      <c r="F1410" s="33" t="n">
        <v>0</v>
      </c>
      <c r="G1410" s="62"/>
      <c r="H1410" s="35" t="n">
        <v>0</v>
      </c>
      <c r="I1410" s="34" t="n">
        <f aca="false">+IF(E1410=0,0,E1410*0.03)</f>
        <v>0</v>
      </c>
    </row>
    <row r="1411" customFormat="false" ht="15.75" hidden="false" customHeight="true" outlineLevel="0" collapsed="false">
      <c r="A1411" s="30" t="n">
        <v>45323</v>
      </c>
      <c r="B1411" s="31" t="s">
        <v>7</v>
      </c>
      <c r="C1411" s="32"/>
      <c r="D1411" s="32"/>
      <c r="E1411" s="19" t="n">
        <f aca="false">+F1411*0.03</f>
        <v>0</v>
      </c>
      <c r="F1411" s="33" t="n">
        <v>0</v>
      </c>
      <c r="G1411" s="62"/>
      <c r="H1411" s="35" t="n">
        <v>0</v>
      </c>
      <c r="I1411" s="34" t="n">
        <f aca="false">+IF(E1411=0,0,E1411*0.03)</f>
        <v>0</v>
      </c>
    </row>
    <row r="1412" customFormat="false" ht="15.75" hidden="false" customHeight="true" outlineLevel="0" collapsed="false">
      <c r="A1412" s="30" t="n">
        <v>45323</v>
      </c>
      <c r="B1412" s="31" t="s">
        <v>7</v>
      </c>
      <c r="C1412" s="32"/>
      <c r="D1412" s="32"/>
      <c r="E1412" s="19" t="n">
        <f aca="false">+F1412*0.03</f>
        <v>0</v>
      </c>
      <c r="F1412" s="33" t="n">
        <v>0</v>
      </c>
      <c r="G1412" s="62"/>
      <c r="H1412" s="35" t="n">
        <v>0</v>
      </c>
      <c r="I1412" s="34" t="n">
        <f aca="false">+IF(E1412=0,0,E1412*0.03)</f>
        <v>0</v>
      </c>
    </row>
    <row r="1413" customFormat="false" ht="15.75" hidden="false" customHeight="true" outlineLevel="0" collapsed="false">
      <c r="A1413" s="30" t="n">
        <v>45323</v>
      </c>
      <c r="B1413" s="31" t="s">
        <v>7</v>
      </c>
      <c r="C1413" s="32"/>
      <c r="D1413" s="32"/>
      <c r="E1413" s="19" t="n">
        <f aca="false">+F1413*0.03</f>
        <v>0</v>
      </c>
      <c r="F1413" s="33" t="n">
        <v>0</v>
      </c>
      <c r="G1413" s="62"/>
      <c r="H1413" s="35" t="n">
        <v>0</v>
      </c>
      <c r="I1413" s="34" t="n">
        <f aca="false">+IF(E1413=0,0,E1413*0.03)</f>
        <v>0</v>
      </c>
    </row>
    <row r="1414" customFormat="false" ht="15.75" hidden="false" customHeight="true" outlineLevel="0" collapsed="false">
      <c r="A1414" s="30" t="n">
        <v>45323</v>
      </c>
      <c r="B1414" s="31" t="s">
        <v>7</v>
      </c>
      <c r="C1414" s="32"/>
      <c r="D1414" s="32"/>
      <c r="E1414" s="19" t="n">
        <f aca="false">+F1414*0.03</f>
        <v>0</v>
      </c>
      <c r="F1414" s="33" t="n">
        <v>0</v>
      </c>
      <c r="G1414" s="62"/>
      <c r="H1414" s="35" t="n">
        <v>0</v>
      </c>
      <c r="I1414" s="34" t="n">
        <f aca="false">+IF(E1414=0,0,E1414*0.03)</f>
        <v>0</v>
      </c>
    </row>
    <row r="1415" customFormat="false" ht="15.75" hidden="false" customHeight="true" outlineLevel="0" collapsed="false">
      <c r="A1415" s="30" t="n">
        <v>45323</v>
      </c>
      <c r="B1415" s="31" t="s">
        <v>7</v>
      </c>
      <c r="C1415" s="32"/>
      <c r="D1415" s="32"/>
      <c r="E1415" s="19" t="n">
        <f aca="false">+F1415*0.03</f>
        <v>0</v>
      </c>
      <c r="F1415" s="33" t="n">
        <v>0</v>
      </c>
      <c r="G1415" s="62"/>
      <c r="H1415" s="35" t="n">
        <v>0</v>
      </c>
      <c r="I1415" s="34" t="n">
        <f aca="false">+IF(E1415=0,0,E1415*0.03)</f>
        <v>0</v>
      </c>
    </row>
    <row r="1416" customFormat="false" ht="15.75" hidden="false" customHeight="true" outlineLevel="0" collapsed="false">
      <c r="A1416" s="30" t="n">
        <v>45323</v>
      </c>
      <c r="B1416" s="31" t="s">
        <v>7</v>
      </c>
      <c r="C1416" s="32"/>
      <c r="D1416" s="32"/>
      <c r="E1416" s="19" t="n">
        <f aca="false">+F1416*0.03</f>
        <v>0</v>
      </c>
      <c r="F1416" s="33" t="n">
        <v>0</v>
      </c>
      <c r="G1416" s="62"/>
      <c r="H1416" s="35" t="n">
        <v>0</v>
      </c>
      <c r="I1416" s="34" t="n">
        <f aca="false">+IF(E1416=0,0,E1416*0.03)</f>
        <v>0</v>
      </c>
    </row>
    <row r="1417" customFormat="false" ht="15.75" hidden="false" customHeight="true" outlineLevel="0" collapsed="false">
      <c r="A1417" s="30" t="n">
        <v>45323</v>
      </c>
      <c r="B1417" s="31" t="s">
        <v>7</v>
      </c>
      <c r="C1417" s="32"/>
      <c r="D1417" s="32"/>
      <c r="E1417" s="19" t="n">
        <f aca="false">+F1417*0.03</f>
        <v>0</v>
      </c>
      <c r="F1417" s="33" t="n">
        <v>0</v>
      </c>
      <c r="G1417" s="62"/>
      <c r="H1417" s="35" t="n">
        <v>0</v>
      </c>
      <c r="I1417" s="34" t="n">
        <f aca="false">+IF(E1417=0,0,E1417*0.03)</f>
        <v>0</v>
      </c>
    </row>
    <row r="1418" customFormat="false" ht="15.75" hidden="false" customHeight="true" outlineLevel="0" collapsed="false">
      <c r="A1418" s="30" t="n">
        <v>45323</v>
      </c>
      <c r="B1418" s="31" t="s">
        <v>7</v>
      </c>
      <c r="C1418" s="32"/>
      <c r="D1418" s="32"/>
      <c r="E1418" s="19" t="n">
        <f aca="false">+F1418*0.03</f>
        <v>0</v>
      </c>
      <c r="F1418" s="33" t="n">
        <v>0</v>
      </c>
      <c r="G1418" s="62"/>
      <c r="H1418" s="35" t="n">
        <v>0</v>
      </c>
      <c r="I1418" s="34" t="n">
        <f aca="false">+IF(E1418=0,0,E1418*0.03)</f>
        <v>0</v>
      </c>
    </row>
    <row r="1419" customFormat="false" ht="15.75" hidden="false" customHeight="true" outlineLevel="0" collapsed="false">
      <c r="A1419" s="30" t="n">
        <v>45323</v>
      </c>
      <c r="B1419" s="31" t="s">
        <v>7</v>
      </c>
      <c r="C1419" s="32"/>
      <c r="D1419" s="32"/>
      <c r="E1419" s="19" t="n">
        <f aca="false">+F1419*0.03</f>
        <v>0</v>
      </c>
      <c r="F1419" s="33" t="n">
        <v>0</v>
      </c>
      <c r="G1419" s="62"/>
      <c r="H1419" s="35" t="n">
        <v>0</v>
      </c>
      <c r="I1419" s="34" t="n">
        <f aca="false">+IF(E1419=0,0,E1419*0.03)</f>
        <v>0</v>
      </c>
    </row>
    <row r="1420" customFormat="false" ht="15.75" hidden="false" customHeight="true" outlineLevel="0" collapsed="false">
      <c r="A1420" s="30" t="n">
        <v>45323</v>
      </c>
      <c r="B1420" s="31" t="s">
        <v>7</v>
      </c>
      <c r="C1420" s="32"/>
      <c r="D1420" s="32"/>
      <c r="E1420" s="19" t="n">
        <f aca="false">+F1420*0.03</f>
        <v>0</v>
      </c>
      <c r="F1420" s="33" t="n">
        <v>0</v>
      </c>
      <c r="G1420" s="62"/>
      <c r="H1420" s="35" t="n">
        <v>0</v>
      </c>
      <c r="I1420" s="34" t="n">
        <f aca="false">+IF(E1420=0,0,E1420*0.03)</f>
        <v>0</v>
      </c>
    </row>
    <row r="1421" customFormat="false" ht="15.75" hidden="false" customHeight="true" outlineLevel="0" collapsed="false">
      <c r="A1421" s="30" t="n">
        <v>45323</v>
      </c>
      <c r="B1421" s="31" t="s">
        <v>7</v>
      </c>
      <c r="C1421" s="32"/>
      <c r="D1421" s="32"/>
      <c r="E1421" s="19" t="n">
        <f aca="false">+F1421*0.03</f>
        <v>0</v>
      </c>
      <c r="F1421" s="33" t="n">
        <v>0</v>
      </c>
      <c r="G1421" s="62"/>
      <c r="H1421" s="35" t="n">
        <v>0</v>
      </c>
      <c r="I1421" s="34" t="n">
        <f aca="false">+IF(E1421=0,0,E1421*0.03)</f>
        <v>0</v>
      </c>
    </row>
    <row r="1422" customFormat="false" ht="15.75" hidden="false" customHeight="true" outlineLevel="0" collapsed="false">
      <c r="A1422" s="30" t="n">
        <v>45323</v>
      </c>
      <c r="B1422" s="31" t="s">
        <v>7</v>
      </c>
      <c r="C1422" s="32"/>
      <c r="D1422" s="32"/>
      <c r="E1422" s="19" t="n">
        <f aca="false">+F1422*0.03</f>
        <v>0</v>
      </c>
      <c r="F1422" s="33" t="n">
        <v>0</v>
      </c>
      <c r="G1422" s="62"/>
      <c r="H1422" s="35" t="n">
        <v>0</v>
      </c>
      <c r="I1422" s="34" t="n">
        <f aca="false">+IF(E1422=0,0,E1422*0.03)</f>
        <v>0</v>
      </c>
    </row>
    <row r="1423" customFormat="false" ht="15.75" hidden="false" customHeight="true" outlineLevel="0" collapsed="false">
      <c r="A1423" s="30" t="n">
        <v>45323</v>
      </c>
      <c r="B1423" s="31" t="s">
        <v>7</v>
      </c>
      <c r="C1423" s="32"/>
      <c r="D1423" s="32"/>
      <c r="E1423" s="19" t="n">
        <f aca="false">+F1423*0.03</f>
        <v>0</v>
      </c>
      <c r="F1423" s="33" t="n">
        <v>0</v>
      </c>
      <c r="G1423" s="62"/>
      <c r="H1423" s="35" t="n">
        <v>0</v>
      </c>
      <c r="I1423" s="34" t="n">
        <f aca="false">+IF(E1423=0,0,E1423*0.03)</f>
        <v>0</v>
      </c>
    </row>
    <row r="1424" customFormat="false" ht="15.75" hidden="false" customHeight="true" outlineLevel="0" collapsed="false">
      <c r="A1424" s="30" t="n">
        <v>45323</v>
      </c>
      <c r="B1424" s="31" t="s">
        <v>7</v>
      </c>
      <c r="C1424" s="32"/>
      <c r="D1424" s="32"/>
      <c r="E1424" s="19" t="n">
        <f aca="false">+F1424*0.03</f>
        <v>0</v>
      </c>
      <c r="F1424" s="33" t="n">
        <v>0</v>
      </c>
      <c r="G1424" s="62"/>
      <c r="H1424" s="35" t="n">
        <v>0</v>
      </c>
      <c r="I1424" s="34" t="n">
        <f aca="false">+IF(E1424=0,0,E1424*0.03)</f>
        <v>0</v>
      </c>
    </row>
    <row r="1425" customFormat="false" ht="15.75" hidden="false" customHeight="true" outlineLevel="0" collapsed="false">
      <c r="A1425" s="30" t="n">
        <v>45323</v>
      </c>
      <c r="B1425" s="31" t="s">
        <v>7</v>
      </c>
      <c r="C1425" s="32"/>
      <c r="D1425" s="32"/>
      <c r="E1425" s="19" t="n">
        <f aca="false">+F1425*0.03</f>
        <v>0</v>
      </c>
      <c r="F1425" s="33" t="n">
        <v>0</v>
      </c>
      <c r="G1425" s="62"/>
      <c r="H1425" s="35" t="n">
        <v>0</v>
      </c>
      <c r="I1425" s="34" t="n">
        <f aca="false">+IF(E1425=0,0,E1425*0.03)</f>
        <v>0</v>
      </c>
    </row>
    <row r="1426" customFormat="false" ht="15.75" hidden="false" customHeight="true" outlineLevel="0" collapsed="false">
      <c r="A1426" s="30" t="n">
        <v>45323</v>
      </c>
      <c r="B1426" s="31" t="s">
        <v>7</v>
      </c>
      <c r="C1426" s="32"/>
      <c r="D1426" s="32"/>
      <c r="E1426" s="19" t="n">
        <f aca="false">+F1426*0.03</f>
        <v>0</v>
      </c>
      <c r="F1426" s="33" t="n">
        <v>0</v>
      </c>
      <c r="G1426" s="62"/>
      <c r="H1426" s="35" t="n">
        <v>0</v>
      </c>
      <c r="I1426" s="34" t="n">
        <f aca="false">+IF(E1426=0,0,E1426*0.03)</f>
        <v>0</v>
      </c>
    </row>
    <row r="1427" customFormat="false" ht="15.75" hidden="false" customHeight="true" outlineLevel="0" collapsed="false">
      <c r="A1427" s="30" t="n">
        <v>45323</v>
      </c>
      <c r="B1427" s="31" t="s">
        <v>7</v>
      </c>
      <c r="C1427" s="32"/>
      <c r="D1427" s="32"/>
      <c r="E1427" s="19" t="n">
        <f aca="false">+F1427*0.03</f>
        <v>0</v>
      </c>
      <c r="F1427" s="33" t="n">
        <v>0</v>
      </c>
      <c r="G1427" s="62"/>
      <c r="H1427" s="35" t="n">
        <v>0</v>
      </c>
      <c r="I1427" s="34" t="n">
        <f aca="false">+IF(E1427=0,0,E1427*0.03)</f>
        <v>0</v>
      </c>
    </row>
    <row r="1428" customFormat="false" ht="15.75" hidden="false" customHeight="true" outlineLevel="0" collapsed="false">
      <c r="A1428" s="30" t="n">
        <v>45323</v>
      </c>
      <c r="B1428" s="31" t="s">
        <v>7</v>
      </c>
      <c r="C1428" s="32"/>
      <c r="D1428" s="32"/>
      <c r="E1428" s="19" t="n">
        <f aca="false">+F1428*0.03</f>
        <v>0</v>
      </c>
      <c r="F1428" s="33" t="n">
        <v>0</v>
      </c>
      <c r="G1428" s="62"/>
      <c r="H1428" s="35" t="n">
        <v>0</v>
      </c>
      <c r="I1428" s="34" t="n">
        <f aca="false">+IF(E1428=0,0,E1428*0.03)</f>
        <v>0</v>
      </c>
    </row>
    <row r="1429" customFormat="false" ht="15.75" hidden="false" customHeight="true" outlineLevel="0" collapsed="false">
      <c r="A1429" s="30" t="n">
        <v>45323</v>
      </c>
      <c r="B1429" s="31" t="s">
        <v>7</v>
      </c>
      <c r="C1429" s="32"/>
      <c r="D1429" s="32"/>
      <c r="E1429" s="19" t="n">
        <f aca="false">+F1429*0.03</f>
        <v>0</v>
      </c>
      <c r="F1429" s="33" t="n">
        <v>0</v>
      </c>
      <c r="G1429" s="62"/>
      <c r="H1429" s="35" t="n">
        <v>0</v>
      </c>
      <c r="I1429" s="34" t="n">
        <f aca="false">+IF(E1429=0,0,E1429*0.03)</f>
        <v>0</v>
      </c>
    </row>
    <row r="1430" customFormat="false" ht="15.75" hidden="false" customHeight="true" outlineLevel="0" collapsed="false">
      <c r="A1430" s="30" t="n">
        <v>45323</v>
      </c>
      <c r="B1430" s="31" t="s">
        <v>7</v>
      </c>
      <c r="C1430" s="32"/>
      <c r="D1430" s="32"/>
      <c r="E1430" s="19" t="n">
        <f aca="false">+F1430*0.03</f>
        <v>0</v>
      </c>
      <c r="F1430" s="33" t="n">
        <v>0</v>
      </c>
      <c r="G1430" s="62"/>
      <c r="H1430" s="35" t="n">
        <v>0</v>
      </c>
      <c r="I1430" s="34" t="n">
        <f aca="false">+IF(E1430=0,0,E1430*0.03)</f>
        <v>0</v>
      </c>
    </row>
    <row r="1431" customFormat="false" ht="15.75" hidden="false" customHeight="true" outlineLevel="0" collapsed="false">
      <c r="A1431" s="30" t="n">
        <v>45323</v>
      </c>
      <c r="B1431" s="31" t="s">
        <v>7</v>
      </c>
      <c r="C1431" s="32"/>
      <c r="D1431" s="32"/>
      <c r="E1431" s="19" t="n">
        <f aca="false">+F1431*0.03</f>
        <v>0</v>
      </c>
      <c r="F1431" s="33" t="n">
        <v>0</v>
      </c>
      <c r="G1431" s="62"/>
      <c r="H1431" s="35" t="n">
        <v>0</v>
      </c>
      <c r="I1431" s="34" t="n">
        <f aca="false">+IF(E1431=0,0,E1431*0.03)</f>
        <v>0</v>
      </c>
    </row>
    <row r="1432" customFormat="false" ht="15.75" hidden="false" customHeight="true" outlineLevel="0" collapsed="false">
      <c r="A1432" s="30" t="n">
        <v>45323</v>
      </c>
      <c r="B1432" s="31" t="s">
        <v>7</v>
      </c>
      <c r="C1432" s="32"/>
      <c r="D1432" s="32"/>
      <c r="E1432" s="19" t="n">
        <f aca="false">+F1432*0.03</f>
        <v>0</v>
      </c>
      <c r="F1432" s="33" t="n">
        <v>0</v>
      </c>
      <c r="G1432" s="62"/>
      <c r="H1432" s="35" t="n">
        <v>0</v>
      </c>
      <c r="I1432" s="34" t="n">
        <f aca="false">+IF(E1432=0,0,E1432*0.03)</f>
        <v>0</v>
      </c>
    </row>
    <row r="1433" customFormat="false" ht="15.75" hidden="false" customHeight="true" outlineLevel="0" collapsed="false">
      <c r="A1433" s="30" t="n">
        <v>45323</v>
      </c>
      <c r="B1433" s="31" t="s">
        <v>7</v>
      </c>
      <c r="C1433" s="32"/>
      <c r="D1433" s="32"/>
      <c r="E1433" s="19" t="n">
        <f aca="false">+F1433*0.03</f>
        <v>0</v>
      </c>
      <c r="F1433" s="33" t="n">
        <v>0</v>
      </c>
      <c r="G1433" s="62"/>
      <c r="H1433" s="35" t="n">
        <v>0</v>
      </c>
      <c r="I1433" s="34" t="n">
        <f aca="false">+IF(E1433=0,0,E1433*0.03)</f>
        <v>0</v>
      </c>
    </row>
    <row r="1434" customFormat="false" ht="15.75" hidden="false" customHeight="true" outlineLevel="0" collapsed="false">
      <c r="A1434" s="30" t="n">
        <v>45323</v>
      </c>
      <c r="B1434" s="31" t="s">
        <v>7</v>
      </c>
      <c r="C1434" s="32"/>
      <c r="D1434" s="32"/>
      <c r="E1434" s="19" t="n">
        <f aca="false">+F1434*0.03</f>
        <v>0</v>
      </c>
      <c r="F1434" s="33" t="n">
        <v>0</v>
      </c>
      <c r="G1434" s="62"/>
      <c r="H1434" s="35" t="n">
        <v>0</v>
      </c>
      <c r="I1434" s="34" t="n">
        <f aca="false">+IF(E1434=0,0,E1434*0.03)</f>
        <v>0</v>
      </c>
    </row>
    <row r="1435" customFormat="false" ht="15.75" hidden="false" customHeight="true" outlineLevel="0" collapsed="false">
      <c r="A1435" s="30" t="n">
        <v>45323</v>
      </c>
      <c r="B1435" s="31" t="s">
        <v>7</v>
      </c>
      <c r="C1435" s="32"/>
      <c r="D1435" s="32"/>
      <c r="E1435" s="19" t="n">
        <f aca="false">+F1435*0.03</f>
        <v>0</v>
      </c>
      <c r="F1435" s="33" t="n">
        <v>0</v>
      </c>
      <c r="G1435" s="62"/>
      <c r="H1435" s="35" t="n">
        <v>0</v>
      </c>
      <c r="I1435" s="34" t="n">
        <f aca="false">+IF(E1435=0,0,E1435*0.03)</f>
        <v>0</v>
      </c>
    </row>
    <row r="1436" customFormat="false" ht="15.75" hidden="false" customHeight="true" outlineLevel="0" collapsed="false">
      <c r="A1436" s="30" t="n">
        <v>45323</v>
      </c>
      <c r="B1436" s="31" t="s">
        <v>7</v>
      </c>
      <c r="C1436" s="32"/>
      <c r="D1436" s="32"/>
      <c r="E1436" s="19" t="n">
        <f aca="false">+F1436*0.03</f>
        <v>0</v>
      </c>
      <c r="F1436" s="33" t="n">
        <v>0</v>
      </c>
      <c r="G1436" s="62"/>
      <c r="H1436" s="35" t="n">
        <v>0</v>
      </c>
      <c r="I1436" s="34" t="n">
        <f aca="false">+IF(E1436=0,0,E1436*0.03)</f>
        <v>0</v>
      </c>
    </row>
    <row r="1437" customFormat="false" ht="15.75" hidden="false" customHeight="true" outlineLevel="0" collapsed="false">
      <c r="A1437" s="30" t="n">
        <v>45323</v>
      </c>
      <c r="B1437" s="31" t="s">
        <v>7</v>
      </c>
      <c r="C1437" s="32"/>
      <c r="D1437" s="32"/>
      <c r="E1437" s="19" t="n">
        <f aca="false">+F1437*0.03</f>
        <v>0</v>
      </c>
      <c r="F1437" s="33" t="n">
        <v>0</v>
      </c>
      <c r="G1437" s="62"/>
      <c r="H1437" s="35" t="n">
        <v>0</v>
      </c>
      <c r="I1437" s="34" t="n">
        <f aca="false">+IF(E1437=0,0,E1437*0.03)</f>
        <v>0</v>
      </c>
    </row>
    <row r="1438" customFormat="false" ht="15.75" hidden="false" customHeight="true" outlineLevel="0" collapsed="false">
      <c r="A1438" s="30" t="n">
        <v>45323</v>
      </c>
      <c r="B1438" s="31" t="s">
        <v>7</v>
      </c>
      <c r="C1438" s="32"/>
      <c r="D1438" s="32"/>
      <c r="E1438" s="19" t="n">
        <f aca="false">+F1438*0.03</f>
        <v>0</v>
      </c>
      <c r="F1438" s="33" t="n">
        <v>0</v>
      </c>
      <c r="G1438" s="62"/>
      <c r="H1438" s="35" t="n">
        <v>0</v>
      </c>
      <c r="I1438" s="34" t="n">
        <f aca="false">+IF(E1438=0,0,E1438*0.03)</f>
        <v>0</v>
      </c>
    </row>
    <row r="1439" customFormat="false" ht="15.75" hidden="false" customHeight="true" outlineLevel="0" collapsed="false">
      <c r="A1439" s="30" t="n">
        <v>45323</v>
      </c>
      <c r="B1439" s="31" t="s">
        <v>7</v>
      </c>
      <c r="C1439" s="32"/>
      <c r="D1439" s="32"/>
      <c r="E1439" s="19" t="n">
        <f aca="false">+F1439*0.03</f>
        <v>0</v>
      </c>
      <c r="F1439" s="33" t="n">
        <v>0</v>
      </c>
      <c r="G1439" s="62"/>
      <c r="H1439" s="35" t="n">
        <v>0</v>
      </c>
      <c r="I1439" s="34" t="n">
        <f aca="false">+IF(E1439=0,0,E1439*0.03)</f>
        <v>0</v>
      </c>
    </row>
    <row r="1440" customFormat="false" ht="15.75" hidden="false" customHeight="true" outlineLevel="0" collapsed="false">
      <c r="A1440" s="30" t="n">
        <v>45323</v>
      </c>
      <c r="B1440" s="31" t="s">
        <v>7</v>
      </c>
      <c r="C1440" s="32"/>
      <c r="D1440" s="32"/>
      <c r="E1440" s="19" t="n">
        <f aca="false">+F1440*0.03</f>
        <v>0</v>
      </c>
      <c r="F1440" s="33" t="n">
        <v>0</v>
      </c>
      <c r="G1440" s="62"/>
      <c r="H1440" s="35" t="n">
        <v>0</v>
      </c>
      <c r="I1440" s="34" t="n">
        <f aca="false">+IF(E1440=0,0,E1440*0.03)</f>
        <v>0</v>
      </c>
    </row>
    <row r="1441" customFormat="false" ht="15.75" hidden="false" customHeight="true" outlineLevel="0" collapsed="false">
      <c r="A1441" s="30" t="n">
        <v>45323</v>
      </c>
      <c r="B1441" s="31" t="s">
        <v>7</v>
      </c>
      <c r="C1441" s="32"/>
      <c r="D1441" s="32"/>
      <c r="E1441" s="19" t="n">
        <f aca="false">+F1441*0.03</f>
        <v>0</v>
      </c>
      <c r="F1441" s="33" t="n">
        <v>0</v>
      </c>
      <c r="G1441" s="62"/>
      <c r="H1441" s="35" t="n">
        <v>0</v>
      </c>
      <c r="I1441" s="34" t="n">
        <f aca="false">+IF(E1441=0,0,E1441*0.03)</f>
        <v>0</v>
      </c>
    </row>
    <row r="1442" customFormat="false" ht="15.75" hidden="false" customHeight="true" outlineLevel="0" collapsed="false">
      <c r="A1442" s="30" t="n">
        <v>45323</v>
      </c>
      <c r="B1442" s="31" t="s">
        <v>7</v>
      </c>
      <c r="C1442" s="32"/>
      <c r="D1442" s="32"/>
      <c r="E1442" s="19" t="n">
        <f aca="false">+F1442*0.03</f>
        <v>0</v>
      </c>
      <c r="F1442" s="33" t="n">
        <v>0</v>
      </c>
      <c r="G1442" s="62"/>
      <c r="H1442" s="35" t="n">
        <v>0</v>
      </c>
      <c r="I1442" s="34" t="n">
        <f aca="false">+IF(E1442=0,0,E1442*0.03)</f>
        <v>0</v>
      </c>
    </row>
    <row r="1443" customFormat="false" ht="15.75" hidden="false" customHeight="true" outlineLevel="0" collapsed="false">
      <c r="A1443" s="30" t="n">
        <v>45323</v>
      </c>
      <c r="B1443" s="31" t="s">
        <v>7</v>
      </c>
      <c r="C1443" s="32"/>
      <c r="D1443" s="32"/>
      <c r="E1443" s="19" t="n">
        <f aca="false">+F1443*0.03</f>
        <v>0</v>
      </c>
      <c r="F1443" s="33" t="n">
        <v>0</v>
      </c>
      <c r="G1443" s="62"/>
      <c r="H1443" s="35" t="n">
        <v>0</v>
      </c>
      <c r="I1443" s="34" t="n">
        <f aca="false">+IF(E1443=0,0,E1443*0.03)</f>
        <v>0</v>
      </c>
    </row>
    <row r="1444" customFormat="false" ht="15.75" hidden="false" customHeight="true" outlineLevel="0" collapsed="false">
      <c r="A1444" s="30" t="n">
        <v>45323</v>
      </c>
      <c r="B1444" s="31" t="s">
        <v>7</v>
      </c>
      <c r="C1444" s="32"/>
      <c r="D1444" s="32"/>
      <c r="E1444" s="19" t="n">
        <f aca="false">+F1444*0.03</f>
        <v>0</v>
      </c>
      <c r="F1444" s="33" t="n">
        <v>0</v>
      </c>
      <c r="G1444" s="62"/>
      <c r="H1444" s="35" t="n">
        <v>0</v>
      </c>
      <c r="I1444" s="34" t="n">
        <f aca="false">+IF(E1444=0,0,E1444*0.03)</f>
        <v>0</v>
      </c>
    </row>
    <row r="1445" customFormat="false" ht="15.75" hidden="false" customHeight="true" outlineLevel="0" collapsed="false">
      <c r="A1445" s="30" t="n">
        <v>45323</v>
      </c>
      <c r="B1445" s="31" t="s">
        <v>7</v>
      </c>
      <c r="C1445" s="32"/>
      <c r="D1445" s="32"/>
      <c r="E1445" s="19" t="n">
        <f aca="false">+F1445*0.03</f>
        <v>0</v>
      </c>
      <c r="F1445" s="33" t="n">
        <v>0</v>
      </c>
      <c r="G1445" s="62"/>
      <c r="H1445" s="35" t="n">
        <v>0</v>
      </c>
      <c r="I1445" s="34" t="n">
        <f aca="false">+IF(E1445=0,0,E1445*0.03)</f>
        <v>0</v>
      </c>
    </row>
    <row r="1446" customFormat="false" ht="15.75" hidden="false" customHeight="true" outlineLevel="0" collapsed="false">
      <c r="A1446" s="30" t="n">
        <v>45323</v>
      </c>
      <c r="B1446" s="31" t="s">
        <v>7</v>
      </c>
      <c r="C1446" s="32"/>
      <c r="D1446" s="32"/>
      <c r="E1446" s="19" t="n">
        <f aca="false">+F1446*0.03</f>
        <v>0</v>
      </c>
      <c r="F1446" s="33" t="n">
        <v>0</v>
      </c>
      <c r="G1446" s="62"/>
      <c r="H1446" s="35" t="n">
        <v>0</v>
      </c>
      <c r="I1446" s="34" t="n">
        <f aca="false">+IF(E1446=0,0,E1446*0.03)</f>
        <v>0</v>
      </c>
    </row>
    <row r="1447" customFormat="false" ht="15.75" hidden="false" customHeight="true" outlineLevel="0" collapsed="false">
      <c r="A1447" s="30" t="n">
        <v>45323</v>
      </c>
      <c r="B1447" s="31" t="s">
        <v>7</v>
      </c>
      <c r="C1447" s="32"/>
      <c r="D1447" s="32"/>
      <c r="E1447" s="19" t="n">
        <f aca="false">+F1447*0.03</f>
        <v>0</v>
      </c>
      <c r="F1447" s="33" t="n">
        <v>0</v>
      </c>
      <c r="G1447" s="62"/>
      <c r="H1447" s="35" t="n">
        <v>0</v>
      </c>
      <c r="I1447" s="34" t="n">
        <f aca="false">+IF(E1447=0,0,E1447*0.03)</f>
        <v>0</v>
      </c>
    </row>
    <row r="1448" customFormat="false" ht="15.75" hidden="false" customHeight="true" outlineLevel="0" collapsed="false">
      <c r="A1448" s="30" t="n">
        <v>45323</v>
      </c>
      <c r="B1448" s="31" t="s">
        <v>7</v>
      </c>
      <c r="C1448" s="32"/>
      <c r="D1448" s="32"/>
      <c r="E1448" s="19" t="n">
        <f aca="false">+F1448*0.03</f>
        <v>0</v>
      </c>
      <c r="F1448" s="33" t="n">
        <v>0</v>
      </c>
      <c r="G1448" s="62"/>
      <c r="H1448" s="35" t="n">
        <v>0</v>
      </c>
      <c r="I1448" s="34" t="n">
        <f aca="false">+IF(E1448=0,0,E1448*0.03)</f>
        <v>0</v>
      </c>
    </row>
    <row r="1449" customFormat="false" ht="15.75" hidden="false" customHeight="true" outlineLevel="0" collapsed="false">
      <c r="A1449" s="30" t="n">
        <v>45323</v>
      </c>
      <c r="B1449" s="31" t="s">
        <v>7</v>
      </c>
      <c r="C1449" s="32"/>
      <c r="D1449" s="32"/>
      <c r="E1449" s="19" t="n">
        <f aca="false">+F1449*0.03</f>
        <v>0</v>
      </c>
      <c r="F1449" s="33" t="n">
        <v>0</v>
      </c>
      <c r="G1449" s="62"/>
      <c r="H1449" s="35" t="n">
        <v>0</v>
      </c>
      <c r="I1449" s="34" t="n">
        <f aca="false">+IF(E1449=0,0,E1449*0.03)</f>
        <v>0</v>
      </c>
    </row>
    <row r="1450" customFormat="false" ht="15.75" hidden="false" customHeight="true" outlineLevel="0" collapsed="false">
      <c r="A1450" s="30" t="n">
        <v>45323</v>
      </c>
      <c r="B1450" s="31" t="s">
        <v>7</v>
      </c>
      <c r="C1450" s="32"/>
      <c r="D1450" s="32"/>
      <c r="E1450" s="19" t="n">
        <f aca="false">+F1450*0.03</f>
        <v>0</v>
      </c>
      <c r="F1450" s="33" t="n">
        <v>0</v>
      </c>
      <c r="G1450" s="62"/>
      <c r="H1450" s="35" t="n">
        <v>0</v>
      </c>
      <c r="I1450" s="34" t="n">
        <f aca="false">+IF(E1450=0,0,E1450*0.03)</f>
        <v>0</v>
      </c>
    </row>
    <row r="1451" customFormat="false" ht="15.75" hidden="false" customHeight="true" outlineLevel="0" collapsed="false">
      <c r="A1451" s="30" t="n">
        <v>45323</v>
      </c>
      <c r="B1451" s="31" t="s">
        <v>7</v>
      </c>
      <c r="C1451" s="32"/>
      <c r="D1451" s="32"/>
      <c r="E1451" s="19" t="n">
        <f aca="false">+F1451*0.03</f>
        <v>0</v>
      </c>
      <c r="F1451" s="33" t="n">
        <v>0</v>
      </c>
      <c r="G1451" s="62"/>
      <c r="H1451" s="35" t="n">
        <v>0</v>
      </c>
      <c r="I1451" s="34" t="n">
        <f aca="false">+IF(E1451=0,0,E1451*0.03)</f>
        <v>0</v>
      </c>
    </row>
    <row r="1452" customFormat="false" ht="15.75" hidden="false" customHeight="true" outlineLevel="0" collapsed="false">
      <c r="A1452" s="30" t="n">
        <v>45323</v>
      </c>
      <c r="B1452" s="31" t="s">
        <v>7</v>
      </c>
      <c r="C1452" s="32"/>
      <c r="D1452" s="32"/>
      <c r="E1452" s="19" t="n">
        <f aca="false">+F1452*0.03</f>
        <v>0</v>
      </c>
      <c r="F1452" s="33" t="n">
        <v>0</v>
      </c>
      <c r="G1452" s="62"/>
      <c r="H1452" s="35" t="n">
        <v>0</v>
      </c>
      <c r="I1452" s="34" t="n">
        <f aca="false">+IF(E1452=0,0,E1452*0.03)</f>
        <v>0</v>
      </c>
    </row>
    <row r="1453" customFormat="false" ht="15.75" hidden="false" customHeight="true" outlineLevel="0" collapsed="false">
      <c r="A1453" s="30" t="n">
        <v>45323</v>
      </c>
      <c r="B1453" s="31" t="s">
        <v>7</v>
      </c>
      <c r="C1453" s="32"/>
      <c r="D1453" s="32"/>
      <c r="E1453" s="19" t="n">
        <f aca="false">+F1453*0.03</f>
        <v>0</v>
      </c>
      <c r="F1453" s="33" t="n">
        <v>0</v>
      </c>
      <c r="G1453" s="62"/>
      <c r="H1453" s="35" t="n">
        <v>0</v>
      </c>
      <c r="I1453" s="34" t="n">
        <f aca="false">+IF(E1453=0,0,E1453*0.03)</f>
        <v>0</v>
      </c>
    </row>
    <row r="1454" customFormat="false" ht="15.75" hidden="false" customHeight="true" outlineLevel="0" collapsed="false">
      <c r="A1454" s="30" t="n">
        <v>45323</v>
      </c>
      <c r="B1454" s="31" t="s">
        <v>7</v>
      </c>
      <c r="C1454" s="32"/>
      <c r="D1454" s="32"/>
      <c r="E1454" s="19" t="n">
        <f aca="false">+F1454*0.03</f>
        <v>0</v>
      </c>
      <c r="F1454" s="33" t="n">
        <v>0</v>
      </c>
      <c r="G1454" s="62"/>
      <c r="H1454" s="35" t="n">
        <v>0</v>
      </c>
      <c r="I1454" s="34" t="n">
        <f aca="false">+IF(E1454=0,0,E1454*0.03)</f>
        <v>0</v>
      </c>
    </row>
    <row r="1455" customFormat="false" ht="15.75" hidden="false" customHeight="true" outlineLevel="0" collapsed="false">
      <c r="A1455" s="30" t="n">
        <v>45323</v>
      </c>
      <c r="B1455" s="31" t="s">
        <v>7</v>
      </c>
      <c r="C1455" s="32"/>
      <c r="D1455" s="32"/>
      <c r="E1455" s="19" t="n">
        <f aca="false">+F1455*0.03</f>
        <v>0</v>
      </c>
      <c r="F1455" s="33" t="n">
        <v>0</v>
      </c>
      <c r="G1455" s="62"/>
      <c r="H1455" s="35" t="n">
        <v>0</v>
      </c>
      <c r="I1455" s="34" t="n">
        <f aca="false">+IF(E1455=0,0,E1455*0.03)</f>
        <v>0</v>
      </c>
    </row>
    <row r="1456" customFormat="false" ht="15.75" hidden="false" customHeight="true" outlineLevel="0" collapsed="false">
      <c r="A1456" s="30" t="n">
        <v>45323</v>
      </c>
      <c r="B1456" s="31" t="s">
        <v>7</v>
      </c>
      <c r="C1456" s="32"/>
      <c r="D1456" s="32"/>
      <c r="E1456" s="19" t="n">
        <f aca="false">+F1456*0.03</f>
        <v>0</v>
      </c>
      <c r="F1456" s="33" t="n">
        <v>0</v>
      </c>
      <c r="G1456" s="62"/>
      <c r="H1456" s="35" t="n">
        <v>0</v>
      </c>
      <c r="I1456" s="34" t="n">
        <f aca="false">+IF(E1456=0,0,E1456*0.03)</f>
        <v>0</v>
      </c>
    </row>
    <row r="1457" customFormat="false" ht="15.75" hidden="false" customHeight="true" outlineLevel="0" collapsed="false">
      <c r="A1457" s="30" t="n">
        <v>45323</v>
      </c>
      <c r="B1457" s="31" t="s">
        <v>7</v>
      </c>
      <c r="C1457" s="32"/>
      <c r="D1457" s="32"/>
      <c r="E1457" s="19" t="n">
        <f aca="false">+F1457*0.03</f>
        <v>0</v>
      </c>
      <c r="F1457" s="33" t="n">
        <v>0</v>
      </c>
      <c r="G1457" s="62"/>
      <c r="H1457" s="35" t="n">
        <v>0</v>
      </c>
      <c r="I1457" s="34" t="n">
        <f aca="false">+IF(E1457=0,0,E1457*0.03)</f>
        <v>0</v>
      </c>
    </row>
    <row r="1458" customFormat="false" ht="15.75" hidden="false" customHeight="true" outlineLevel="0" collapsed="false">
      <c r="A1458" s="30" t="n">
        <v>45323</v>
      </c>
      <c r="B1458" s="31" t="s">
        <v>7</v>
      </c>
      <c r="C1458" s="32"/>
      <c r="D1458" s="32"/>
      <c r="E1458" s="19" t="n">
        <f aca="false">+F1458*0.03</f>
        <v>0</v>
      </c>
      <c r="F1458" s="33" t="n">
        <v>0</v>
      </c>
      <c r="G1458" s="62"/>
      <c r="H1458" s="35" t="n">
        <v>0</v>
      </c>
      <c r="I1458" s="34" t="n">
        <f aca="false">+IF(E1458=0,0,E1458*0.03)</f>
        <v>0</v>
      </c>
    </row>
    <row r="1459" customFormat="false" ht="15.75" hidden="false" customHeight="true" outlineLevel="0" collapsed="false">
      <c r="A1459" s="30" t="n">
        <v>45323</v>
      </c>
      <c r="B1459" s="31" t="s">
        <v>7</v>
      </c>
      <c r="C1459" s="32"/>
      <c r="D1459" s="32"/>
      <c r="E1459" s="19" t="n">
        <f aca="false">+F1459*0.03</f>
        <v>0</v>
      </c>
      <c r="F1459" s="33" t="n">
        <v>0</v>
      </c>
      <c r="G1459" s="62"/>
      <c r="H1459" s="35" t="n">
        <v>0</v>
      </c>
      <c r="I1459" s="34" t="n">
        <f aca="false">+IF(E1459=0,0,E1459*0.03)</f>
        <v>0</v>
      </c>
    </row>
    <row r="1460" customFormat="false" ht="15.75" hidden="false" customHeight="true" outlineLevel="0" collapsed="false">
      <c r="A1460" s="30" t="n">
        <v>45323</v>
      </c>
      <c r="B1460" s="31" t="s">
        <v>7</v>
      </c>
      <c r="C1460" s="32"/>
      <c r="D1460" s="32"/>
      <c r="E1460" s="19" t="n">
        <f aca="false">+F1460*0.03</f>
        <v>0</v>
      </c>
      <c r="F1460" s="33" t="n">
        <v>0</v>
      </c>
      <c r="G1460" s="62"/>
      <c r="H1460" s="35" t="n">
        <v>0</v>
      </c>
      <c r="I1460" s="34" t="n">
        <f aca="false">+IF(E1460=0,0,E1460*0.03)</f>
        <v>0</v>
      </c>
    </row>
    <row r="1461" customFormat="false" ht="15.75" hidden="false" customHeight="true" outlineLevel="0" collapsed="false">
      <c r="A1461" s="30" t="n">
        <v>45323</v>
      </c>
      <c r="B1461" s="31" t="s">
        <v>7</v>
      </c>
      <c r="C1461" s="32"/>
      <c r="D1461" s="32"/>
      <c r="E1461" s="19" t="n">
        <f aca="false">+F1461*0.03</f>
        <v>0</v>
      </c>
      <c r="F1461" s="33" t="n">
        <v>0</v>
      </c>
      <c r="G1461" s="62"/>
      <c r="H1461" s="35" t="n">
        <v>0</v>
      </c>
      <c r="I1461" s="34" t="n">
        <f aca="false">+IF(E1461=0,0,E1461*0.03)</f>
        <v>0</v>
      </c>
    </row>
    <row r="1462" customFormat="false" ht="15.75" hidden="false" customHeight="true" outlineLevel="0" collapsed="false">
      <c r="A1462" s="30" t="n">
        <v>45323</v>
      </c>
      <c r="B1462" s="31" t="s">
        <v>7</v>
      </c>
      <c r="C1462" s="32"/>
      <c r="D1462" s="32"/>
      <c r="E1462" s="19" t="n">
        <f aca="false">+F1462*0.03</f>
        <v>0</v>
      </c>
      <c r="F1462" s="33" t="n">
        <v>0</v>
      </c>
      <c r="G1462" s="62"/>
      <c r="H1462" s="35" t="n">
        <v>0</v>
      </c>
      <c r="I1462" s="34" t="n">
        <f aca="false">+IF(E1462=0,0,E1462*0.03)</f>
        <v>0</v>
      </c>
    </row>
    <row r="1463" customFormat="false" ht="15.75" hidden="false" customHeight="true" outlineLevel="0" collapsed="false">
      <c r="A1463" s="30" t="n">
        <v>45323</v>
      </c>
      <c r="B1463" s="31" t="s">
        <v>7</v>
      </c>
      <c r="C1463" s="32"/>
      <c r="D1463" s="32"/>
      <c r="E1463" s="19" t="n">
        <f aca="false">+F1463*0.03</f>
        <v>0</v>
      </c>
      <c r="F1463" s="33" t="n">
        <v>0</v>
      </c>
      <c r="G1463" s="62"/>
      <c r="H1463" s="35" t="n">
        <v>0</v>
      </c>
      <c r="I1463" s="34" t="n">
        <f aca="false">+IF(E1463=0,0,E1463*0.03)</f>
        <v>0</v>
      </c>
    </row>
    <row r="1464" customFormat="false" ht="15.75" hidden="false" customHeight="true" outlineLevel="0" collapsed="false">
      <c r="A1464" s="30" t="n">
        <v>45323</v>
      </c>
      <c r="B1464" s="31" t="s">
        <v>7</v>
      </c>
      <c r="C1464" s="32"/>
      <c r="D1464" s="32"/>
      <c r="E1464" s="19" t="n">
        <f aca="false">+F1464*0.03</f>
        <v>0</v>
      </c>
      <c r="F1464" s="33" t="n">
        <v>0</v>
      </c>
      <c r="G1464" s="62"/>
      <c r="H1464" s="35" t="n">
        <v>0</v>
      </c>
      <c r="I1464" s="34" t="n">
        <f aca="false">+IF(E1464=0,0,E1464*0.03)</f>
        <v>0</v>
      </c>
    </row>
    <row r="1465" customFormat="false" ht="15.75" hidden="false" customHeight="true" outlineLevel="0" collapsed="false">
      <c r="A1465" s="30" t="n">
        <v>45323</v>
      </c>
      <c r="B1465" s="31" t="s">
        <v>7</v>
      </c>
      <c r="C1465" s="32"/>
      <c r="D1465" s="32"/>
      <c r="E1465" s="19" t="n">
        <f aca="false">+F1465*0.03</f>
        <v>0</v>
      </c>
      <c r="F1465" s="33" t="n">
        <v>0</v>
      </c>
      <c r="G1465" s="62"/>
      <c r="H1465" s="35" t="n">
        <v>0</v>
      </c>
      <c r="I1465" s="34" t="n">
        <f aca="false">+IF(E1465=0,0,E1465*0.03)</f>
        <v>0</v>
      </c>
    </row>
    <row r="1466" customFormat="false" ht="15.75" hidden="false" customHeight="true" outlineLevel="0" collapsed="false">
      <c r="A1466" s="30" t="n">
        <v>45323</v>
      </c>
      <c r="B1466" s="31" t="s">
        <v>7</v>
      </c>
      <c r="C1466" s="32"/>
      <c r="D1466" s="32"/>
      <c r="E1466" s="19" t="n">
        <f aca="false">+F1466*0.03</f>
        <v>0</v>
      </c>
      <c r="F1466" s="33" t="n">
        <v>0</v>
      </c>
      <c r="G1466" s="62"/>
      <c r="H1466" s="35" t="n">
        <v>0</v>
      </c>
      <c r="I1466" s="34" t="n">
        <f aca="false">+IF(E1466=0,0,E1466*0.03)</f>
        <v>0</v>
      </c>
    </row>
    <row r="1467" customFormat="false" ht="15.75" hidden="false" customHeight="true" outlineLevel="0" collapsed="false">
      <c r="A1467" s="30" t="n">
        <v>45323</v>
      </c>
      <c r="B1467" s="31" t="s">
        <v>7</v>
      </c>
      <c r="C1467" s="32"/>
      <c r="D1467" s="32"/>
      <c r="E1467" s="19" t="n">
        <f aca="false">+F1467*0.03</f>
        <v>0</v>
      </c>
      <c r="F1467" s="33" t="n">
        <v>0</v>
      </c>
      <c r="G1467" s="62"/>
      <c r="H1467" s="35" t="n">
        <v>0</v>
      </c>
      <c r="I1467" s="34" t="n">
        <f aca="false">+IF(E1467=0,0,E1467*0.03)</f>
        <v>0</v>
      </c>
    </row>
    <row r="1468" customFormat="false" ht="15.75" hidden="false" customHeight="true" outlineLevel="0" collapsed="false">
      <c r="A1468" s="30" t="n">
        <v>45323</v>
      </c>
      <c r="B1468" s="31" t="s">
        <v>7</v>
      </c>
      <c r="C1468" s="32"/>
      <c r="D1468" s="32"/>
      <c r="E1468" s="19" t="n">
        <f aca="false">+F1468*0.03</f>
        <v>0</v>
      </c>
      <c r="F1468" s="33" t="n">
        <v>0</v>
      </c>
      <c r="G1468" s="62"/>
      <c r="H1468" s="35" t="n">
        <v>0</v>
      </c>
      <c r="I1468" s="34" t="n">
        <f aca="false">+IF(E1468=0,0,E1468*0.03)</f>
        <v>0</v>
      </c>
    </row>
    <row r="1469" customFormat="false" ht="15.75" hidden="false" customHeight="true" outlineLevel="0" collapsed="false">
      <c r="A1469" s="30" t="n">
        <v>45323</v>
      </c>
      <c r="B1469" s="31" t="s">
        <v>7</v>
      </c>
      <c r="C1469" s="32"/>
      <c r="D1469" s="32"/>
      <c r="E1469" s="19" t="n">
        <f aca="false">+F1469*0.03</f>
        <v>0</v>
      </c>
      <c r="F1469" s="33" t="n">
        <v>0</v>
      </c>
      <c r="G1469" s="62"/>
      <c r="H1469" s="35" t="n">
        <v>0</v>
      </c>
      <c r="I1469" s="34" t="n">
        <f aca="false">+IF(E1469=0,0,E1469*0.03)</f>
        <v>0</v>
      </c>
    </row>
    <row r="1470" customFormat="false" ht="15.75" hidden="false" customHeight="true" outlineLevel="0" collapsed="false">
      <c r="A1470" s="30" t="n">
        <v>45323</v>
      </c>
      <c r="B1470" s="31" t="s">
        <v>7</v>
      </c>
      <c r="C1470" s="32"/>
      <c r="D1470" s="32"/>
      <c r="E1470" s="19" t="n">
        <f aca="false">+F1470*0.03</f>
        <v>0</v>
      </c>
      <c r="F1470" s="33" t="n">
        <v>0</v>
      </c>
      <c r="G1470" s="62"/>
      <c r="H1470" s="35" t="n">
        <v>0</v>
      </c>
      <c r="I1470" s="34" t="n">
        <f aca="false">+IF(E1470=0,0,E1470*0.03)</f>
        <v>0</v>
      </c>
    </row>
    <row r="1471" customFormat="false" ht="15.75" hidden="false" customHeight="true" outlineLevel="0" collapsed="false">
      <c r="A1471" s="30" t="n">
        <v>45323</v>
      </c>
      <c r="B1471" s="31" t="s">
        <v>7</v>
      </c>
      <c r="C1471" s="32"/>
      <c r="D1471" s="32"/>
      <c r="E1471" s="19" t="n">
        <f aca="false">+F1471*0.03</f>
        <v>0</v>
      </c>
      <c r="F1471" s="33" t="n">
        <v>0</v>
      </c>
      <c r="G1471" s="62"/>
      <c r="H1471" s="35" t="n">
        <v>0</v>
      </c>
      <c r="I1471" s="34" t="n">
        <f aca="false">+IF(E1471=0,0,E1471*0.03)</f>
        <v>0</v>
      </c>
    </row>
    <row r="1472" customFormat="false" ht="15.75" hidden="false" customHeight="true" outlineLevel="0" collapsed="false">
      <c r="A1472" s="30" t="n">
        <v>45323</v>
      </c>
      <c r="B1472" s="31" t="s">
        <v>7</v>
      </c>
      <c r="C1472" s="32"/>
      <c r="D1472" s="32"/>
      <c r="E1472" s="19" t="n">
        <f aca="false">+F1472*0.03</f>
        <v>0</v>
      </c>
      <c r="F1472" s="33" t="n">
        <v>0</v>
      </c>
      <c r="G1472" s="62"/>
      <c r="H1472" s="35" t="n">
        <v>0</v>
      </c>
      <c r="I1472" s="34" t="n">
        <f aca="false">+IF(E1472=0,0,E1472*0.03)</f>
        <v>0</v>
      </c>
    </row>
    <row r="1473" customFormat="false" ht="15.75" hidden="false" customHeight="true" outlineLevel="0" collapsed="false">
      <c r="A1473" s="30" t="n">
        <v>45323</v>
      </c>
      <c r="B1473" s="31" t="s">
        <v>7</v>
      </c>
      <c r="C1473" s="32"/>
      <c r="D1473" s="32"/>
      <c r="E1473" s="19" t="n">
        <f aca="false">+F1473*0.03</f>
        <v>0</v>
      </c>
      <c r="F1473" s="33" t="n">
        <v>0</v>
      </c>
      <c r="G1473" s="62"/>
      <c r="H1473" s="35" t="n">
        <v>0</v>
      </c>
      <c r="I1473" s="34" t="n">
        <f aca="false">+IF(E1473=0,0,E1473*0.03)</f>
        <v>0</v>
      </c>
    </row>
    <row r="1474" customFormat="false" ht="15.75" hidden="false" customHeight="true" outlineLevel="0" collapsed="false">
      <c r="A1474" s="30" t="n">
        <v>45323</v>
      </c>
      <c r="B1474" s="31" t="s">
        <v>7</v>
      </c>
      <c r="C1474" s="32"/>
      <c r="D1474" s="32"/>
      <c r="E1474" s="19" t="n">
        <f aca="false">+F1474*0.03</f>
        <v>0</v>
      </c>
      <c r="F1474" s="33" t="n">
        <v>0</v>
      </c>
      <c r="G1474" s="62"/>
      <c r="H1474" s="35" t="n">
        <v>0</v>
      </c>
      <c r="I1474" s="34" t="n">
        <f aca="false">+IF(E1474=0,0,E1474*0.03)</f>
        <v>0</v>
      </c>
    </row>
    <row r="1475" customFormat="false" ht="15.75" hidden="false" customHeight="true" outlineLevel="0" collapsed="false">
      <c r="A1475" s="30" t="n">
        <v>45323</v>
      </c>
      <c r="B1475" s="31" t="s">
        <v>7</v>
      </c>
      <c r="C1475" s="32"/>
      <c r="D1475" s="32"/>
      <c r="E1475" s="19" t="n">
        <f aca="false">+F1475*0.03</f>
        <v>0</v>
      </c>
      <c r="F1475" s="33" t="n">
        <v>0</v>
      </c>
      <c r="G1475" s="62"/>
      <c r="H1475" s="35" t="n">
        <v>0</v>
      </c>
      <c r="I1475" s="34" t="n">
        <f aca="false">+IF(E1475=0,0,E1475*0.03)</f>
        <v>0</v>
      </c>
    </row>
    <row r="1476" customFormat="false" ht="15.75" hidden="false" customHeight="true" outlineLevel="0" collapsed="false">
      <c r="A1476" s="30" t="n">
        <v>45323</v>
      </c>
      <c r="B1476" s="31" t="s">
        <v>7</v>
      </c>
      <c r="C1476" s="32"/>
      <c r="D1476" s="32"/>
      <c r="E1476" s="19" t="n">
        <f aca="false">+F1476*0.03</f>
        <v>0</v>
      </c>
      <c r="F1476" s="33" t="n">
        <v>0</v>
      </c>
      <c r="G1476" s="62"/>
      <c r="H1476" s="35" t="n">
        <v>0</v>
      </c>
      <c r="I1476" s="34" t="n">
        <f aca="false">+IF(E1476=0,0,E1476*0.03)</f>
        <v>0</v>
      </c>
    </row>
    <row r="1477" customFormat="false" ht="15.75" hidden="false" customHeight="true" outlineLevel="0" collapsed="false">
      <c r="A1477" s="30" t="n">
        <v>45323</v>
      </c>
      <c r="B1477" s="31" t="s">
        <v>7</v>
      </c>
      <c r="C1477" s="32"/>
      <c r="D1477" s="32"/>
      <c r="E1477" s="19" t="n">
        <f aca="false">+F1477*0.03</f>
        <v>0</v>
      </c>
      <c r="F1477" s="33" t="n">
        <v>0</v>
      </c>
      <c r="G1477" s="62"/>
      <c r="H1477" s="35" t="n">
        <v>0</v>
      </c>
      <c r="I1477" s="34" t="n">
        <f aca="false">+IF(E1477=0,0,E1477*0.03)</f>
        <v>0</v>
      </c>
    </row>
    <row r="1478" customFormat="false" ht="15.75" hidden="false" customHeight="true" outlineLevel="0" collapsed="false">
      <c r="A1478" s="30" t="n">
        <v>45323</v>
      </c>
      <c r="B1478" s="31" t="s">
        <v>7</v>
      </c>
      <c r="C1478" s="32"/>
      <c r="D1478" s="32"/>
      <c r="E1478" s="19" t="n">
        <f aca="false">+F1478*0.03</f>
        <v>0</v>
      </c>
      <c r="F1478" s="33" t="n">
        <v>0</v>
      </c>
      <c r="G1478" s="62"/>
      <c r="H1478" s="35" t="n">
        <v>0</v>
      </c>
      <c r="I1478" s="34" t="n">
        <f aca="false">+IF(E1478=0,0,E1478*0.03)</f>
        <v>0</v>
      </c>
    </row>
    <row r="1479" customFormat="false" ht="15.75" hidden="false" customHeight="true" outlineLevel="0" collapsed="false">
      <c r="A1479" s="30" t="n">
        <v>45323</v>
      </c>
      <c r="B1479" s="31" t="s">
        <v>7</v>
      </c>
      <c r="C1479" s="32"/>
      <c r="D1479" s="32"/>
      <c r="E1479" s="19" t="n">
        <f aca="false">+F1479*0.03</f>
        <v>0</v>
      </c>
      <c r="F1479" s="33" t="n">
        <v>0</v>
      </c>
      <c r="G1479" s="62"/>
      <c r="H1479" s="35" t="n">
        <v>0</v>
      </c>
      <c r="I1479" s="34" t="n">
        <f aca="false">+IF(E1479=0,0,E1479*0.03)</f>
        <v>0</v>
      </c>
    </row>
    <row r="1480" customFormat="false" ht="15.75" hidden="false" customHeight="true" outlineLevel="0" collapsed="false">
      <c r="A1480" s="30" t="n">
        <v>45323</v>
      </c>
      <c r="B1480" s="31" t="s">
        <v>7</v>
      </c>
      <c r="C1480" s="32"/>
      <c r="D1480" s="32"/>
      <c r="E1480" s="19" t="n">
        <f aca="false">+F1480*0.03</f>
        <v>0</v>
      </c>
      <c r="F1480" s="33" t="n">
        <v>0</v>
      </c>
      <c r="G1480" s="62"/>
      <c r="H1480" s="35" t="n">
        <v>0</v>
      </c>
      <c r="I1480" s="34" t="n">
        <f aca="false">+IF(E1480=0,0,E1480*0.03)</f>
        <v>0</v>
      </c>
    </row>
    <row r="1481" customFormat="false" ht="15.75" hidden="false" customHeight="true" outlineLevel="0" collapsed="false">
      <c r="A1481" s="30" t="n">
        <v>45323</v>
      </c>
      <c r="B1481" s="31" t="s">
        <v>7</v>
      </c>
      <c r="C1481" s="32"/>
      <c r="D1481" s="32"/>
      <c r="E1481" s="19" t="n">
        <f aca="false">+F1481*0.03</f>
        <v>0</v>
      </c>
      <c r="F1481" s="33" t="n">
        <v>0</v>
      </c>
      <c r="G1481" s="62"/>
      <c r="H1481" s="35" t="n">
        <v>0</v>
      </c>
      <c r="I1481" s="34" t="n">
        <f aca="false">+IF(E1481=0,0,E1481*0.03)</f>
        <v>0</v>
      </c>
    </row>
    <row r="1482" customFormat="false" ht="15.75" hidden="false" customHeight="true" outlineLevel="0" collapsed="false">
      <c r="A1482" s="30" t="n">
        <v>45323</v>
      </c>
      <c r="B1482" s="31" t="s">
        <v>7</v>
      </c>
      <c r="C1482" s="32"/>
      <c r="D1482" s="32"/>
      <c r="E1482" s="19" t="n">
        <f aca="false">+F1482*0.03</f>
        <v>0</v>
      </c>
      <c r="F1482" s="33" t="n">
        <v>0</v>
      </c>
      <c r="G1482" s="62"/>
      <c r="H1482" s="35" t="n">
        <v>0</v>
      </c>
      <c r="I1482" s="34" t="n">
        <f aca="false">+IF(E1482=0,0,E1482*0.03)</f>
        <v>0</v>
      </c>
    </row>
    <row r="1483" customFormat="false" ht="15.75" hidden="false" customHeight="true" outlineLevel="0" collapsed="false">
      <c r="A1483" s="30" t="n">
        <v>45323</v>
      </c>
      <c r="B1483" s="31" t="s">
        <v>7</v>
      </c>
      <c r="C1483" s="32"/>
      <c r="D1483" s="32"/>
      <c r="E1483" s="19" t="n">
        <f aca="false">+F1483*0.03</f>
        <v>0</v>
      </c>
      <c r="F1483" s="33" t="n">
        <v>0</v>
      </c>
      <c r="G1483" s="62"/>
      <c r="H1483" s="35" t="n">
        <v>0</v>
      </c>
      <c r="I1483" s="34" t="n">
        <f aca="false">+IF(E1483=0,0,E1483*0.03)</f>
        <v>0</v>
      </c>
    </row>
    <row r="1484" customFormat="false" ht="15.75" hidden="false" customHeight="true" outlineLevel="0" collapsed="false">
      <c r="A1484" s="30" t="n">
        <v>45323</v>
      </c>
      <c r="B1484" s="31" t="s">
        <v>7</v>
      </c>
      <c r="C1484" s="32"/>
      <c r="D1484" s="32"/>
      <c r="E1484" s="19" t="n">
        <f aca="false">+F1484*0.03</f>
        <v>0</v>
      </c>
      <c r="F1484" s="33" t="n">
        <v>0</v>
      </c>
      <c r="G1484" s="62"/>
      <c r="H1484" s="35" t="n">
        <v>0</v>
      </c>
      <c r="I1484" s="34" t="n">
        <f aca="false">+IF(E1484=0,0,E1484*0.03)</f>
        <v>0</v>
      </c>
    </row>
    <row r="1485" customFormat="false" ht="15.75" hidden="false" customHeight="true" outlineLevel="0" collapsed="false">
      <c r="A1485" s="30" t="n">
        <v>45323</v>
      </c>
      <c r="B1485" s="31" t="s">
        <v>7</v>
      </c>
      <c r="C1485" s="32"/>
      <c r="D1485" s="32"/>
      <c r="E1485" s="19" t="n">
        <f aca="false">+F1485*0.03</f>
        <v>0</v>
      </c>
      <c r="F1485" s="33" t="n">
        <v>0</v>
      </c>
      <c r="G1485" s="62"/>
      <c r="H1485" s="35" t="n">
        <v>0</v>
      </c>
      <c r="I1485" s="34" t="n">
        <f aca="false">+IF(E1485=0,0,E1485*0.03)</f>
        <v>0</v>
      </c>
    </row>
    <row r="1486" customFormat="false" ht="15.75" hidden="false" customHeight="true" outlineLevel="0" collapsed="false">
      <c r="A1486" s="30" t="n">
        <v>45323</v>
      </c>
      <c r="B1486" s="31" t="s">
        <v>7</v>
      </c>
      <c r="C1486" s="32"/>
      <c r="D1486" s="32"/>
      <c r="E1486" s="19" t="n">
        <f aca="false">+F1486*0.03</f>
        <v>0</v>
      </c>
      <c r="F1486" s="33" t="n">
        <v>0</v>
      </c>
      <c r="G1486" s="62"/>
      <c r="H1486" s="35" t="n">
        <v>0</v>
      </c>
      <c r="I1486" s="34" t="n">
        <f aca="false">+IF(E1486=0,0,E1486*0.03)</f>
        <v>0</v>
      </c>
    </row>
    <row r="1487" customFormat="false" ht="15.75" hidden="false" customHeight="true" outlineLevel="0" collapsed="false">
      <c r="A1487" s="30" t="n">
        <v>45323</v>
      </c>
      <c r="B1487" s="31" t="s">
        <v>7</v>
      </c>
      <c r="C1487" s="32"/>
      <c r="D1487" s="32"/>
      <c r="E1487" s="19" t="n">
        <f aca="false">+F1487*0.03</f>
        <v>0</v>
      </c>
      <c r="F1487" s="33" t="n">
        <v>0</v>
      </c>
      <c r="G1487" s="62"/>
      <c r="H1487" s="35" t="n">
        <v>0</v>
      </c>
      <c r="I1487" s="34" t="n">
        <f aca="false">+IF(E1487=0,0,E1487*0.03)</f>
        <v>0</v>
      </c>
    </row>
    <row r="1488" customFormat="false" ht="15.75" hidden="false" customHeight="true" outlineLevel="0" collapsed="false">
      <c r="A1488" s="30" t="n">
        <v>45323</v>
      </c>
      <c r="B1488" s="31" t="s">
        <v>7</v>
      </c>
      <c r="C1488" s="32"/>
      <c r="D1488" s="32"/>
      <c r="E1488" s="19" t="n">
        <f aca="false">+F1488*0.03</f>
        <v>0</v>
      </c>
      <c r="F1488" s="33" t="n">
        <v>0</v>
      </c>
      <c r="G1488" s="62"/>
      <c r="H1488" s="35" t="n">
        <v>0</v>
      </c>
      <c r="I1488" s="34" t="n">
        <f aca="false">+IF(E1488=0,0,E1488*0.03)</f>
        <v>0</v>
      </c>
    </row>
    <row r="1489" customFormat="false" ht="15.75" hidden="false" customHeight="true" outlineLevel="0" collapsed="false">
      <c r="A1489" s="30" t="n">
        <v>45323</v>
      </c>
      <c r="B1489" s="31" t="s">
        <v>7</v>
      </c>
      <c r="C1489" s="32"/>
      <c r="D1489" s="32"/>
      <c r="E1489" s="19" t="n">
        <f aca="false">+F1489*0.03</f>
        <v>0</v>
      </c>
      <c r="F1489" s="33" t="n">
        <v>0</v>
      </c>
      <c r="G1489" s="62"/>
      <c r="H1489" s="35" t="n">
        <v>0</v>
      </c>
      <c r="I1489" s="34" t="n">
        <f aca="false">+IF(E1489=0,0,E1489*0.03)</f>
        <v>0</v>
      </c>
    </row>
    <row r="1490" customFormat="false" ht="15.75" hidden="false" customHeight="true" outlineLevel="0" collapsed="false">
      <c r="A1490" s="30" t="n">
        <v>45323</v>
      </c>
      <c r="B1490" s="31" t="s">
        <v>7</v>
      </c>
      <c r="C1490" s="32"/>
      <c r="D1490" s="32"/>
      <c r="E1490" s="19" t="n">
        <f aca="false">+F1490*0.03</f>
        <v>0</v>
      </c>
      <c r="F1490" s="33" t="n">
        <v>0</v>
      </c>
      <c r="G1490" s="62"/>
      <c r="H1490" s="35" t="n">
        <v>0</v>
      </c>
      <c r="I1490" s="34" t="n">
        <f aca="false">+IF(E1490=0,0,E1490*0.03)</f>
        <v>0</v>
      </c>
    </row>
    <row r="1491" customFormat="false" ht="15.75" hidden="false" customHeight="true" outlineLevel="0" collapsed="false">
      <c r="A1491" s="30" t="n">
        <v>45323</v>
      </c>
      <c r="B1491" s="31" t="s">
        <v>7</v>
      </c>
      <c r="C1491" s="32"/>
      <c r="D1491" s="32"/>
      <c r="E1491" s="19" t="n">
        <f aca="false">+F1491*0.03</f>
        <v>0</v>
      </c>
      <c r="F1491" s="33" t="n">
        <v>0</v>
      </c>
      <c r="G1491" s="62"/>
      <c r="H1491" s="35" t="n">
        <v>0</v>
      </c>
      <c r="I1491" s="34" t="n">
        <f aca="false">+IF(E1491=0,0,E1491*0.03)</f>
        <v>0</v>
      </c>
    </row>
    <row r="1492" customFormat="false" ht="15.75" hidden="false" customHeight="true" outlineLevel="0" collapsed="false">
      <c r="A1492" s="30" t="n">
        <v>45323</v>
      </c>
      <c r="B1492" s="31" t="s">
        <v>7</v>
      </c>
      <c r="C1492" s="32"/>
      <c r="D1492" s="32"/>
      <c r="E1492" s="19" t="n">
        <f aca="false">+F1492*0.03</f>
        <v>0</v>
      </c>
      <c r="F1492" s="33" t="n">
        <v>0</v>
      </c>
      <c r="G1492" s="62"/>
      <c r="H1492" s="35" t="n">
        <v>0</v>
      </c>
      <c r="I1492" s="34" t="n">
        <f aca="false">+IF(E1492=0,0,E1492*0.03)</f>
        <v>0</v>
      </c>
    </row>
    <row r="1493" customFormat="false" ht="15.75" hidden="false" customHeight="true" outlineLevel="0" collapsed="false">
      <c r="A1493" s="30" t="n">
        <v>45323</v>
      </c>
      <c r="B1493" s="31" t="s">
        <v>7</v>
      </c>
      <c r="C1493" s="32"/>
      <c r="D1493" s="32"/>
      <c r="E1493" s="19" t="n">
        <f aca="false">+F1493*0.03</f>
        <v>0</v>
      </c>
      <c r="F1493" s="33" t="n">
        <v>0</v>
      </c>
      <c r="G1493" s="62"/>
      <c r="H1493" s="35" t="n">
        <v>0</v>
      </c>
      <c r="I1493" s="34" t="n">
        <f aca="false">+IF(E1493=0,0,E1493*0.03)</f>
        <v>0</v>
      </c>
    </row>
    <row r="1494" customFormat="false" ht="15.75" hidden="false" customHeight="true" outlineLevel="0" collapsed="false">
      <c r="A1494" s="30" t="n">
        <v>45323</v>
      </c>
      <c r="B1494" s="31" t="s">
        <v>7</v>
      </c>
      <c r="C1494" s="32"/>
      <c r="D1494" s="32"/>
      <c r="E1494" s="19" t="n">
        <f aca="false">+F1494*0.03</f>
        <v>0</v>
      </c>
      <c r="F1494" s="33" t="n">
        <v>0</v>
      </c>
      <c r="G1494" s="62"/>
      <c r="H1494" s="35" t="n">
        <v>0</v>
      </c>
      <c r="I1494" s="34" t="n">
        <f aca="false">+IF(E1494=0,0,E1494*0.03)</f>
        <v>0</v>
      </c>
    </row>
    <row r="1495" customFormat="false" ht="15.75" hidden="false" customHeight="true" outlineLevel="0" collapsed="false">
      <c r="A1495" s="30" t="n">
        <v>45323</v>
      </c>
      <c r="B1495" s="31" t="s">
        <v>7</v>
      </c>
      <c r="C1495" s="32"/>
      <c r="D1495" s="32"/>
      <c r="E1495" s="19" t="n">
        <f aca="false">+F1495*0.03</f>
        <v>0</v>
      </c>
      <c r="F1495" s="33" t="n">
        <v>0</v>
      </c>
      <c r="G1495" s="62"/>
      <c r="H1495" s="35" t="n">
        <v>0</v>
      </c>
      <c r="I1495" s="34" t="n">
        <f aca="false">+IF(E1495=0,0,E1495*0.03)</f>
        <v>0</v>
      </c>
    </row>
    <row r="1496" customFormat="false" ht="15.75" hidden="false" customHeight="true" outlineLevel="0" collapsed="false">
      <c r="A1496" s="30" t="n">
        <v>45323</v>
      </c>
      <c r="B1496" s="31" t="s">
        <v>7</v>
      </c>
      <c r="C1496" s="32"/>
      <c r="D1496" s="32"/>
      <c r="E1496" s="19" t="n">
        <f aca="false">+F1496*0.03</f>
        <v>0</v>
      </c>
      <c r="F1496" s="33" t="n">
        <v>0</v>
      </c>
      <c r="G1496" s="62"/>
      <c r="H1496" s="35" t="n">
        <v>0</v>
      </c>
      <c r="I1496" s="34" t="n">
        <f aca="false">+IF(E1496=0,0,E1496*0.03)</f>
        <v>0</v>
      </c>
    </row>
    <row r="1497" customFormat="false" ht="15.75" hidden="false" customHeight="true" outlineLevel="0" collapsed="false">
      <c r="A1497" s="30" t="n">
        <v>45323</v>
      </c>
      <c r="B1497" s="31" t="s">
        <v>7</v>
      </c>
      <c r="C1497" s="32"/>
      <c r="D1497" s="32"/>
      <c r="E1497" s="19" t="n">
        <f aca="false">+F1497*0.03</f>
        <v>0</v>
      </c>
      <c r="F1497" s="33" t="n">
        <v>0</v>
      </c>
      <c r="G1497" s="62"/>
      <c r="H1497" s="35" t="n">
        <v>0</v>
      </c>
      <c r="I1497" s="34" t="n">
        <f aca="false">+IF(E1497=0,0,E1497*0.03)</f>
        <v>0</v>
      </c>
    </row>
    <row r="1498" customFormat="false" ht="15.75" hidden="false" customHeight="true" outlineLevel="0" collapsed="false">
      <c r="A1498" s="30" t="n">
        <v>45323</v>
      </c>
      <c r="B1498" s="31" t="s">
        <v>7</v>
      </c>
      <c r="C1498" s="32"/>
      <c r="D1498" s="32"/>
      <c r="E1498" s="19" t="n">
        <f aca="false">+F1498*0.03</f>
        <v>0</v>
      </c>
      <c r="F1498" s="33" t="n">
        <v>0</v>
      </c>
      <c r="G1498" s="62"/>
      <c r="H1498" s="35" t="n">
        <v>0</v>
      </c>
      <c r="I1498" s="34" t="n">
        <f aca="false">+IF(E1498=0,0,E1498*0.03)</f>
        <v>0</v>
      </c>
    </row>
    <row r="1499" customFormat="false" ht="15.75" hidden="false" customHeight="true" outlineLevel="0" collapsed="false">
      <c r="A1499" s="30" t="n">
        <v>45323</v>
      </c>
      <c r="B1499" s="31" t="s">
        <v>7</v>
      </c>
      <c r="C1499" s="32"/>
      <c r="D1499" s="32"/>
      <c r="E1499" s="19" t="n">
        <f aca="false">+F1499*0.03</f>
        <v>0</v>
      </c>
      <c r="F1499" s="33" t="n">
        <v>0</v>
      </c>
      <c r="G1499" s="62"/>
      <c r="H1499" s="35" t="n">
        <v>0</v>
      </c>
      <c r="I1499" s="34" t="n">
        <f aca="false">+IF(E1499=0,0,E1499*0.03)</f>
        <v>0</v>
      </c>
    </row>
    <row r="1500" customFormat="false" ht="15.75" hidden="false" customHeight="true" outlineLevel="0" collapsed="false">
      <c r="A1500" s="30" t="n">
        <v>45323</v>
      </c>
      <c r="B1500" s="31" t="s">
        <v>7</v>
      </c>
      <c r="C1500" s="32"/>
      <c r="D1500" s="32"/>
      <c r="E1500" s="19" t="n">
        <f aca="false">+F1500*0.03</f>
        <v>0</v>
      </c>
      <c r="F1500" s="33" t="n">
        <v>0</v>
      </c>
      <c r="G1500" s="62"/>
      <c r="H1500" s="35" t="n">
        <v>0</v>
      </c>
      <c r="I1500" s="34" t="n">
        <f aca="false">+IF(E1500=0,0,E1500*0.03)</f>
        <v>0</v>
      </c>
    </row>
    <row r="1501" customFormat="false" ht="15.75" hidden="false" customHeight="true" outlineLevel="0" collapsed="false">
      <c r="A1501" s="30" t="n">
        <v>45323</v>
      </c>
      <c r="B1501" s="31" t="s">
        <v>7</v>
      </c>
      <c r="C1501" s="32"/>
      <c r="D1501" s="32"/>
      <c r="E1501" s="19" t="n">
        <f aca="false">+F1501*0.03</f>
        <v>0</v>
      </c>
      <c r="F1501" s="33" t="n">
        <v>0</v>
      </c>
      <c r="G1501" s="62"/>
      <c r="H1501" s="35" t="n">
        <v>0</v>
      </c>
      <c r="I1501" s="34" t="n">
        <f aca="false">+IF(E1501=0,0,E1501*0.03)</f>
        <v>0</v>
      </c>
    </row>
    <row r="1502" customFormat="false" ht="15.75" hidden="false" customHeight="true" outlineLevel="0" collapsed="false">
      <c r="A1502" s="30" t="n">
        <v>45323</v>
      </c>
      <c r="B1502" s="31" t="s">
        <v>7</v>
      </c>
      <c r="C1502" s="32"/>
      <c r="D1502" s="32"/>
      <c r="E1502" s="19" t="n">
        <f aca="false">+F1502*0.03</f>
        <v>0</v>
      </c>
      <c r="F1502" s="33" t="n">
        <v>0</v>
      </c>
      <c r="G1502" s="62"/>
      <c r="H1502" s="35" t="n">
        <v>0</v>
      </c>
      <c r="I1502" s="34" t="n">
        <f aca="false">+IF(E1502=0,0,E1502*0.03)</f>
        <v>0</v>
      </c>
    </row>
    <row r="1503" customFormat="false" ht="15.75" hidden="false" customHeight="true" outlineLevel="0" collapsed="false">
      <c r="A1503" s="30" t="n">
        <v>45323</v>
      </c>
      <c r="B1503" s="31" t="s">
        <v>7</v>
      </c>
      <c r="C1503" s="32"/>
      <c r="D1503" s="32"/>
      <c r="E1503" s="19" t="n">
        <f aca="false">+F1503*0.03</f>
        <v>0</v>
      </c>
      <c r="F1503" s="33" t="n">
        <v>0</v>
      </c>
      <c r="G1503" s="62"/>
      <c r="H1503" s="35" t="n">
        <v>0</v>
      </c>
      <c r="I1503" s="34" t="n">
        <f aca="false">+IF(E1503=0,0,E1503*0.03)</f>
        <v>0</v>
      </c>
    </row>
    <row r="1504" customFormat="false" ht="15.75" hidden="false" customHeight="true" outlineLevel="0" collapsed="false">
      <c r="A1504" s="30" t="n">
        <v>45323</v>
      </c>
      <c r="B1504" s="31" t="s">
        <v>7</v>
      </c>
      <c r="C1504" s="32"/>
      <c r="D1504" s="32"/>
      <c r="E1504" s="19" t="n">
        <f aca="false">+F1504*0.03</f>
        <v>0</v>
      </c>
      <c r="F1504" s="33" t="n">
        <v>0</v>
      </c>
      <c r="G1504" s="62"/>
      <c r="H1504" s="35" t="n">
        <v>0</v>
      </c>
      <c r="I1504" s="34" t="n">
        <f aca="false">+IF(E1504=0,0,E1504*0.03)</f>
        <v>0</v>
      </c>
    </row>
    <row r="1505" customFormat="false" ht="15.75" hidden="false" customHeight="true" outlineLevel="0" collapsed="false">
      <c r="A1505" s="30" t="n">
        <v>45323</v>
      </c>
      <c r="B1505" s="31" t="s">
        <v>7</v>
      </c>
      <c r="C1505" s="32"/>
      <c r="D1505" s="32"/>
      <c r="E1505" s="19" t="n">
        <f aca="false">+F1505*0.03</f>
        <v>0</v>
      </c>
      <c r="F1505" s="33" t="n">
        <v>0</v>
      </c>
      <c r="G1505" s="62"/>
      <c r="H1505" s="35" t="n">
        <v>0</v>
      </c>
      <c r="I1505" s="34" t="n">
        <f aca="false">+IF(E1505=0,0,E1505*0.03)</f>
        <v>0</v>
      </c>
    </row>
    <row r="1506" customFormat="false" ht="15.75" hidden="false" customHeight="true" outlineLevel="0" collapsed="false">
      <c r="A1506" s="30" t="n">
        <v>45323</v>
      </c>
      <c r="B1506" s="31" t="s">
        <v>7</v>
      </c>
      <c r="C1506" s="32"/>
      <c r="D1506" s="32"/>
      <c r="E1506" s="19" t="n">
        <f aca="false">+F1506*0.03</f>
        <v>0</v>
      </c>
      <c r="F1506" s="33" t="n">
        <v>0</v>
      </c>
      <c r="G1506" s="62"/>
      <c r="H1506" s="35" t="n">
        <v>0</v>
      </c>
      <c r="I1506" s="34" t="n">
        <f aca="false">+IF(E1506=0,0,E1506*0.03)</f>
        <v>0</v>
      </c>
    </row>
    <row r="1507" customFormat="false" ht="15.75" hidden="false" customHeight="true" outlineLevel="0" collapsed="false">
      <c r="A1507" s="30" t="n">
        <v>45323</v>
      </c>
      <c r="B1507" s="31" t="s">
        <v>7</v>
      </c>
      <c r="C1507" s="32"/>
      <c r="D1507" s="32"/>
      <c r="E1507" s="19" t="n">
        <f aca="false">+F1507*0.03</f>
        <v>0</v>
      </c>
      <c r="F1507" s="33" t="n">
        <v>0</v>
      </c>
      <c r="G1507" s="62"/>
      <c r="H1507" s="35" t="n">
        <v>0</v>
      </c>
      <c r="I1507" s="34" t="n">
        <f aca="false">+IF(E1507=0,0,E1507*0.03)</f>
        <v>0</v>
      </c>
    </row>
    <row r="1508" customFormat="false" ht="15.75" hidden="false" customHeight="true" outlineLevel="0" collapsed="false">
      <c r="A1508" s="30" t="n">
        <v>45323</v>
      </c>
      <c r="B1508" s="31" t="s">
        <v>7</v>
      </c>
      <c r="C1508" s="32"/>
      <c r="D1508" s="32"/>
      <c r="E1508" s="19" t="n">
        <f aca="false">+F1508*0.03</f>
        <v>0</v>
      </c>
      <c r="F1508" s="33" t="n">
        <v>0</v>
      </c>
      <c r="G1508" s="62"/>
      <c r="H1508" s="35" t="n">
        <v>0</v>
      </c>
      <c r="I1508" s="34" t="n">
        <f aca="false">+IF(E1508=0,0,E1508*0.03)</f>
        <v>0</v>
      </c>
    </row>
    <row r="1509" customFormat="false" ht="15.75" hidden="false" customHeight="true" outlineLevel="0" collapsed="false">
      <c r="A1509" s="30" t="n">
        <v>45323</v>
      </c>
      <c r="B1509" s="31" t="s">
        <v>7</v>
      </c>
      <c r="C1509" s="32"/>
      <c r="D1509" s="32"/>
      <c r="E1509" s="19" t="n">
        <f aca="false">+F1509*0.03</f>
        <v>0</v>
      </c>
      <c r="F1509" s="33" t="n">
        <v>0</v>
      </c>
      <c r="G1509" s="62"/>
      <c r="H1509" s="35" t="n">
        <v>0</v>
      </c>
      <c r="I1509" s="34" t="n">
        <f aca="false">+IF(E1509=0,0,E1509*0.03)</f>
        <v>0</v>
      </c>
    </row>
    <row r="1510" customFormat="false" ht="15.75" hidden="false" customHeight="true" outlineLevel="0" collapsed="false">
      <c r="A1510" s="30" t="n">
        <v>45323</v>
      </c>
      <c r="B1510" s="31" t="s">
        <v>7</v>
      </c>
      <c r="C1510" s="32"/>
      <c r="D1510" s="32"/>
      <c r="E1510" s="19" t="n">
        <f aca="false">+F1510*0.03</f>
        <v>0</v>
      </c>
      <c r="F1510" s="33" t="n">
        <v>0</v>
      </c>
      <c r="G1510" s="62"/>
      <c r="H1510" s="35" t="n">
        <v>0</v>
      </c>
      <c r="I1510" s="34" t="n">
        <f aca="false">+IF(E1510=0,0,E1510*0.03)</f>
        <v>0</v>
      </c>
    </row>
    <row r="1511" customFormat="false" ht="15.75" hidden="false" customHeight="true" outlineLevel="0" collapsed="false">
      <c r="A1511" s="30" t="n">
        <v>45323</v>
      </c>
      <c r="B1511" s="31" t="s">
        <v>7</v>
      </c>
      <c r="C1511" s="32"/>
      <c r="D1511" s="32"/>
      <c r="E1511" s="19" t="n">
        <f aca="false">+F1511*0.03</f>
        <v>0</v>
      </c>
      <c r="F1511" s="33" t="n">
        <v>0</v>
      </c>
      <c r="G1511" s="62"/>
      <c r="H1511" s="35" t="n">
        <v>0</v>
      </c>
      <c r="I1511" s="34" t="n">
        <f aca="false">+IF(E1511=0,0,E1511*0.03)</f>
        <v>0</v>
      </c>
    </row>
    <row r="1512" customFormat="false" ht="15.75" hidden="false" customHeight="true" outlineLevel="0" collapsed="false">
      <c r="A1512" s="30" t="n">
        <v>45323</v>
      </c>
      <c r="B1512" s="31" t="s">
        <v>7</v>
      </c>
      <c r="C1512" s="32"/>
      <c r="D1512" s="32"/>
      <c r="E1512" s="19" t="n">
        <f aca="false">+F1512*0.03</f>
        <v>0</v>
      </c>
      <c r="F1512" s="33" t="n">
        <v>0</v>
      </c>
      <c r="G1512" s="62"/>
      <c r="H1512" s="35" t="n">
        <v>0</v>
      </c>
      <c r="I1512" s="34" t="n">
        <f aca="false">+IF(E1512=0,0,E1512*0.03)</f>
        <v>0</v>
      </c>
    </row>
    <row r="1513" customFormat="false" ht="15.75" hidden="false" customHeight="true" outlineLevel="0" collapsed="false">
      <c r="A1513" s="30" t="n">
        <v>45323</v>
      </c>
      <c r="B1513" s="31" t="s">
        <v>7</v>
      </c>
      <c r="C1513" s="32"/>
      <c r="D1513" s="32"/>
      <c r="E1513" s="19" t="n">
        <f aca="false">+F1513*0.03</f>
        <v>0</v>
      </c>
      <c r="F1513" s="33" t="n">
        <v>0</v>
      </c>
      <c r="G1513" s="62"/>
      <c r="H1513" s="35" t="n">
        <v>0</v>
      </c>
      <c r="I1513" s="34" t="n">
        <f aca="false">+IF(E1513=0,0,E1513*0.03)</f>
        <v>0</v>
      </c>
    </row>
    <row r="1514" customFormat="false" ht="15.75" hidden="false" customHeight="true" outlineLevel="0" collapsed="false">
      <c r="A1514" s="30" t="n">
        <v>45323</v>
      </c>
      <c r="B1514" s="31" t="s">
        <v>7</v>
      </c>
      <c r="C1514" s="32"/>
      <c r="D1514" s="32"/>
      <c r="E1514" s="19" t="n">
        <f aca="false">+F1514*0.03</f>
        <v>0</v>
      </c>
      <c r="F1514" s="33" t="n">
        <v>0</v>
      </c>
      <c r="G1514" s="62"/>
      <c r="H1514" s="35" t="n">
        <v>0</v>
      </c>
      <c r="I1514" s="34" t="n">
        <f aca="false">+IF(E1514=0,0,E1514*0.03)</f>
        <v>0</v>
      </c>
    </row>
    <row r="1515" customFormat="false" ht="15.75" hidden="false" customHeight="true" outlineLevel="0" collapsed="false">
      <c r="A1515" s="30" t="n">
        <v>45323</v>
      </c>
      <c r="B1515" s="31" t="s">
        <v>7</v>
      </c>
      <c r="C1515" s="32"/>
      <c r="D1515" s="32"/>
      <c r="E1515" s="19" t="n">
        <f aca="false">+F1515*0.03</f>
        <v>0</v>
      </c>
      <c r="F1515" s="33" t="n">
        <v>0</v>
      </c>
      <c r="G1515" s="62"/>
      <c r="H1515" s="35" t="n">
        <v>0</v>
      </c>
      <c r="I1515" s="34" t="n">
        <f aca="false">+IF(E1515=0,0,E1515*0.03)</f>
        <v>0</v>
      </c>
    </row>
    <row r="1516" customFormat="false" ht="15.75" hidden="false" customHeight="true" outlineLevel="0" collapsed="false">
      <c r="A1516" s="30" t="n">
        <v>45323</v>
      </c>
      <c r="B1516" s="31" t="s">
        <v>7</v>
      </c>
      <c r="C1516" s="32"/>
      <c r="D1516" s="32"/>
      <c r="E1516" s="19" t="n">
        <f aca="false">+F1516*0.03</f>
        <v>0</v>
      </c>
      <c r="F1516" s="33" t="n">
        <v>0</v>
      </c>
      <c r="G1516" s="62"/>
      <c r="H1516" s="35" t="n">
        <v>0</v>
      </c>
      <c r="I1516" s="34" t="n">
        <f aca="false">+IF(E1516=0,0,E1516*0.03)</f>
        <v>0</v>
      </c>
    </row>
    <row r="1517" customFormat="false" ht="15.75" hidden="false" customHeight="true" outlineLevel="0" collapsed="false">
      <c r="A1517" s="30" t="n">
        <v>45323</v>
      </c>
      <c r="B1517" s="31" t="s">
        <v>7</v>
      </c>
      <c r="C1517" s="32"/>
      <c r="D1517" s="32"/>
      <c r="E1517" s="19" t="n">
        <f aca="false">+F1517*0.03</f>
        <v>0</v>
      </c>
      <c r="F1517" s="33" t="n">
        <v>0</v>
      </c>
      <c r="G1517" s="62"/>
      <c r="H1517" s="35" t="n">
        <v>0</v>
      </c>
      <c r="I1517" s="34" t="n">
        <f aca="false">+IF(E1517=0,0,E1517*0.03)</f>
        <v>0</v>
      </c>
    </row>
    <row r="1518" customFormat="false" ht="15.75" hidden="false" customHeight="true" outlineLevel="0" collapsed="false">
      <c r="A1518" s="30" t="n">
        <v>45323</v>
      </c>
      <c r="B1518" s="31" t="s">
        <v>7</v>
      </c>
      <c r="C1518" s="32"/>
      <c r="D1518" s="32"/>
      <c r="E1518" s="19" t="n">
        <f aca="false">+F1518*0.03</f>
        <v>0</v>
      </c>
      <c r="F1518" s="33" t="n">
        <v>0</v>
      </c>
      <c r="G1518" s="62"/>
      <c r="H1518" s="35" t="n">
        <v>0</v>
      </c>
      <c r="I1518" s="34" t="n">
        <f aca="false">+IF(E1518=0,0,E1518*0.03)</f>
        <v>0</v>
      </c>
    </row>
    <row r="1519" customFormat="false" ht="15.75" hidden="false" customHeight="true" outlineLevel="0" collapsed="false">
      <c r="A1519" s="30" t="n">
        <v>45323</v>
      </c>
      <c r="B1519" s="31" t="s">
        <v>7</v>
      </c>
      <c r="C1519" s="32"/>
      <c r="D1519" s="32"/>
      <c r="E1519" s="19" t="n">
        <f aca="false">+F1519*0.03</f>
        <v>0</v>
      </c>
      <c r="F1519" s="33" t="n">
        <v>0</v>
      </c>
      <c r="G1519" s="62"/>
      <c r="H1519" s="35" t="n">
        <v>0</v>
      </c>
      <c r="I1519" s="34" t="n">
        <f aca="false">+IF(E1519=0,0,E1519*0.03)</f>
        <v>0</v>
      </c>
    </row>
    <row r="1520" customFormat="false" ht="15.75" hidden="false" customHeight="true" outlineLevel="0" collapsed="false">
      <c r="A1520" s="30" t="n">
        <v>45323</v>
      </c>
      <c r="B1520" s="31" t="s">
        <v>7</v>
      </c>
      <c r="C1520" s="32"/>
      <c r="D1520" s="32"/>
      <c r="E1520" s="19" t="n">
        <f aca="false">+F1520*0.03</f>
        <v>0</v>
      </c>
      <c r="F1520" s="33" t="n">
        <v>0</v>
      </c>
      <c r="G1520" s="62"/>
      <c r="H1520" s="35" t="n">
        <v>0</v>
      </c>
      <c r="I1520" s="34" t="n">
        <f aca="false">+IF(E1520=0,0,E1520*0.03)</f>
        <v>0</v>
      </c>
    </row>
    <row r="1521" customFormat="false" ht="15.75" hidden="false" customHeight="true" outlineLevel="0" collapsed="false">
      <c r="A1521" s="30" t="n">
        <v>45323</v>
      </c>
      <c r="B1521" s="31" t="s">
        <v>7</v>
      </c>
      <c r="C1521" s="32"/>
      <c r="D1521" s="32"/>
      <c r="E1521" s="19" t="n">
        <f aca="false">+F1521*0.03</f>
        <v>0</v>
      </c>
      <c r="F1521" s="33" t="n">
        <v>0</v>
      </c>
      <c r="G1521" s="62"/>
      <c r="H1521" s="35" t="n">
        <v>0</v>
      </c>
      <c r="I1521" s="34" t="n">
        <f aca="false">+IF(E1521=0,0,E1521*0.03)</f>
        <v>0</v>
      </c>
    </row>
    <row r="1522" customFormat="false" ht="15.75" hidden="false" customHeight="true" outlineLevel="0" collapsed="false">
      <c r="A1522" s="30" t="n">
        <v>45323</v>
      </c>
      <c r="B1522" s="31" t="s">
        <v>7</v>
      </c>
      <c r="C1522" s="32"/>
      <c r="D1522" s="32"/>
      <c r="E1522" s="19" t="n">
        <f aca="false">+F1522*0.03</f>
        <v>0</v>
      </c>
      <c r="F1522" s="33" t="n">
        <v>0</v>
      </c>
      <c r="G1522" s="62"/>
      <c r="H1522" s="35" t="n">
        <v>0</v>
      </c>
      <c r="I1522" s="34" t="n">
        <f aca="false">+IF(E1522=0,0,E1522*0.03)</f>
        <v>0</v>
      </c>
    </row>
    <row r="1523" customFormat="false" ht="15.75" hidden="false" customHeight="true" outlineLevel="0" collapsed="false">
      <c r="A1523" s="30" t="n">
        <v>45323</v>
      </c>
      <c r="B1523" s="31" t="s">
        <v>7</v>
      </c>
      <c r="C1523" s="32"/>
      <c r="D1523" s="32"/>
      <c r="E1523" s="19" t="n">
        <f aca="false">+F1523*0.03</f>
        <v>0</v>
      </c>
      <c r="F1523" s="33" t="n">
        <v>0</v>
      </c>
      <c r="G1523" s="62"/>
      <c r="H1523" s="35" t="n">
        <v>0</v>
      </c>
      <c r="I1523" s="34" t="n">
        <f aca="false">+IF(E1523=0,0,E1523*0.03)</f>
        <v>0</v>
      </c>
    </row>
    <row r="1524" customFormat="false" ht="15.75" hidden="false" customHeight="true" outlineLevel="0" collapsed="false">
      <c r="A1524" s="30" t="n">
        <v>45323</v>
      </c>
      <c r="B1524" s="31" t="s">
        <v>7</v>
      </c>
      <c r="C1524" s="32"/>
      <c r="D1524" s="32"/>
      <c r="E1524" s="19" t="n">
        <f aca="false">+F1524*0.03</f>
        <v>0</v>
      </c>
      <c r="F1524" s="33" t="n">
        <v>0</v>
      </c>
      <c r="G1524" s="62"/>
      <c r="H1524" s="35" t="n">
        <v>0</v>
      </c>
      <c r="I1524" s="34" t="n">
        <f aca="false">+IF(E1524=0,0,E1524*0.03)</f>
        <v>0</v>
      </c>
    </row>
    <row r="1525" customFormat="false" ht="15.75" hidden="false" customHeight="true" outlineLevel="0" collapsed="false">
      <c r="A1525" s="30" t="n">
        <v>45323</v>
      </c>
      <c r="B1525" s="31" t="s">
        <v>7</v>
      </c>
      <c r="C1525" s="32"/>
      <c r="D1525" s="32"/>
      <c r="E1525" s="19" t="n">
        <f aca="false">+F1525*0.03</f>
        <v>0</v>
      </c>
      <c r="F1525" s="33" t="n">
        <v>0</v>
      </c>
      <c r="G1525" s="62"/>
      <c r="H1525" s="35" t="n">
        <v>0</v>
      </c>
      <c r="I1525" s="34" t="n">
        <f aca="false">+IF(E1525=0,0,E1525*0.03)</f>
        <v>0</v>
      </c>
    </row>
    <row r="1526" customFormat="false" ht="15.75" hidden="false" customHeight="true" outlineLevel="0" collapsed="false">
      <c r="A1526" s="30" t="n">
        <v>45323</v>
      </c>
      <c r="B1526" s="31" t="s">
        <v>7</v>
      </c>
      <c r="C1526" s="32"/>
      <c r="D1526" s="32"/>
      <c r="E1526" s="19" t="n">
        <f aca="false">+F1526*0.03</f>
        <v>0</v>
      </c>
      <c r="F1526" s="33" t="n">
        <v>0</v>
      </c>
      <c r="G1526" s="62"/>
      <c r="H1526" s="35" t="n">
        <v>0</v>
      </c>
      <c r="I1526" s="34" t="n">
        <f aca="false">+IF(E1526=0,0,E1526*0.03)</f>
        <v>0</v>
      </c>
    </row>
    <row r="1527" customFormat="false" ht="15.75" hidden="false" customHeight="true" outlineLevel="0" collapsed="false">
      <c r="A1527" s="30" t="n">
        <v>45323</v>
      </c>
      <c r="B1527" s="31" t="s">
        <v>7</v>
      </c>
      <c r="C1527" s="32"/>
      <c r="D1527" s="32"/>
      <c r="E1527" s="19" t="n">
        <f aca="false">+F1527*0.03</f>
        <v>0</v>
      </c>
      <c r="F1527" s="33" t="n">
        <v>0</v>
      </c>
      <c r="G1527" s="62"/>
      <c r="H1527" s="35" t="n">
        <v>0</v>
      </c>
      <c r="I1527" s="34" t="n">
        <f aca="false">+IF(E1527=0,0,E1527*0.03)</f>
        <v>0</v>
      </c>
    </row>
    <row r="1528" customFormat="false" ht="15.75" hidden="false" customHeight="true" outlineLevel="0" collapsed="false">
      <c r="A1528" s="30" t="n">
        <v>45323</v>
      </c>
      <c r="B1528" s="31" t="s">
        <v>7</v>
      </c>
      <c r="C1528" s="32"/>
      <c r="D1528" s="32"/>
      <c r="E1528" s="19" t="n">
        <f aca="false">+F1528*0.03</f>
        <v>0</v>
      </c>
      <c r="F1528" s="33" t="n">
        <v>0</v>
      </c>
      <c r="G1528" s="62"/>
      <c r="H1528" s="35" t="n">
        <v>0</v>
      </c>
      <c r="I1528" s="34" t="n">
        <f aca="false">+IF(E1528=0,0,E1528*0.03)</f>
        <v>0</v>
      </c>
    </row>
    <row r="1529" customFormat="false" ht="15.75" hidden="false" customHeight="true" outlineLevel="0" collapsed="false">
      <c r="A1529" s="30" t="n">
        <v>45323</v>
      </c>
      <c r="B1529" s="31" t="s">
        <v>7</v>
      </c>
      <c r="C1529" s="32"/>
      <c r="D1529" s="32"/>
      <c r="E1529" s="19" t="n">
        <f aca="false">+F1529*0.03</f>
        <v>0</v>
      </c>
      <c r="F1529" s="33" t="n">
        <v>0</v>
      </c>
      <c r="G1529" s="62"/>
      <c r="H1529" s="35" t="n">
        <v>0</v>
      </c>
      <c r="I1529" s="34" t="n">
        <f aca="false">+IF(E1529=0,0,E1529*0.03)</f>
        <v>0</v>
      </c>
    </row>
    <row r="1530" customFormat="false" ht="15.75" hidden="false" customHeight="true" outlineLevel="0" collapsed="false">
      <c r="A1530" s="30" t="n">
        <v>45323</v>
      </c>
      <c r="B1530" s="31" t="s">
        <v>7</v>
      </c>
      <c r="C1530" s="32"/>
      <c r="D1530" s="32"/>
      <c r="E1530" s="19" t="n">
        <f aca="false">+F1530*0.03</f>
        <v>0</v>
      </c>
      <c r="F1530" s="33" t="n">
        <v>0</v>
      </c>
      <c r="G1530" s="62"/>
      <c r="H1530" s="35" t="n">
        <v>0</v>
      </c>
      <c r="I1530" s="34" t="n">
        <f aca="false">+IF(E1530=0,0,E1530*0.03)</f>
        <v>0</v>
      </c>
    </row>
    <row r="1531" customFormat="false" ht="15.75" hidden="false" customHeight="true" outlineLevel="0" collapsed="false">
      <c r="A1531" s="30" t="n">
        <v>45323</v>
      </c>
      <c r="B1531" s="31" t="s">
        <v>7</v>
      </c>
      <c r="C1531" s="32"/>
      <c r="D1531" s="32"/>
      <c r="E1531" s="19" t="n">
        <f aca="false">+F1531*0.03</f>
        <v>0</v>
      </c>
      <c r="F1531" s="33" t="n">
        <v>0</v>
      </c>
      <c r="G1531" s="62"/>
      <c r="H1531" s="35" t="n">
        <v>0</v>
      </c>
      <c r="I1531" s="34" t="n">
        <f aca="false">+IF(E1531=0,0,E1531*0.03)</f>
        <v>0</v>
      </c>
    </row>
    <row r="1532" customFormat="false" ht="15.75" hidden="false" customHeight="true" outlineLevel="0" collapsed="false">
      <c r="A1532" s="30" t="n">
        <v>45323</v>
      </c>
      <c r="B1532" s="31" t="s">
        <v>7</v>
      </c>
      <c r="C1532" s="32"/>
      <c r="D1532" s="32"/>
      <c r="E1532" s="19" t="n">
        <f aca="false">+F1532*0.03</f>
        <v>0</v>
      </c>
      <c r="F1532" s="33" t="n">
        <v>0</v>
      </c>
      <c r="G1532" s="62"/>
      <c r="H1532" s="35" t="n">
        <v>0</v>
      </c>
      <c r="I1532" s="34" t="n">
        <f aca="false">+IF(E1532=0,0,E1532*0.03)</f>
        <v>0</v>
      </c>
    </row>
    <row r="1533" customFormat="false" ht="15.75" hidden="false" customHeight="true" outlineLevel="0" collapsed="false">
      <c r="A1533" s="30" t="n">
        <v>45323</v>
      </c>
      <c r="B1533" s="31" t="s">
        <v>7</v>
      </c>
      <c r="C1533" s="32"/>
      <c r="D1533" s="32"/>
      <c r="E1533" s="19" t="n">
        <f aca="false">+F1533*0.03</f>
        <v>0</v>
      </c>
      <c r="F1533" s="33" t="n">
        <v>0</v>
      </c>
      <c r="G1533" s="62"/>
      <c r="H1533" s="35" t="n">
        <v>0</v>
      </c>
      <c r="I1533" s="34" t="n">
        <f aca="false">+IF(E1533=0,0,E1533*0.03)</f>
        <v>0</v>
      </c>
    </row>
    <row r="1534" customFormat="false" ht="15.75" hidden="false" customHeight="true" outlineLevel="0" collapsed="false">
      <c r="A1534" s="30" t="n">
        <v>45323</v>
      </c>
      <c r="B1534" s="31" t="s">
        <v>7</v>
      </c>
      <c r="C1534" s="32"/>
      <c r="D1534" s="32"/>
      <c r="E1534" s="19" t="n">
        <f aca="false">+F1534*0.03</f>
        <v>0</v>
      </c>
      <c r="F1534" s="33" t="n">
        <v>0</v>
      </c>
      <c r="G1534" s="62"/>
      <c r="H1534" s="35" t="n">
        <v>0</v>
      </c>
      <c r="I1534" s="34" t="n">
        <f aca="false">+IF(E1534=0,0,E1534*0.03)</f>
        <v>0</v>
      </c>
    </row>
    <row r="1535" customFormat="false" ht="15.75" hidden="false" customHeight="true" outlineLevel="0" collapsed="false">
      <c r="A1535" s="30" t="n">
        <v>45323</v>
      </c>
      <c r="B1535" s="31" t="s">
        <v>7</v>
      </c>
      <c r="C1535" s="32"/>
      <c r="D1535" s="32"/>
      <c r="E1535" s="19" t="n">
        <f aca="false">+F1535*0.03</f>
        <v>0</v>
      </c>
      <c r="F1535" s="33" t="n">
        <v>0</v>
      </c>
      <c r="G1535" s="62"/>
      <c r="H1535" s="35" t="n">
        <v>0</v>
      </c>
      <c r="I1535" s="34" t="n">
        <f aca="false">+IF(E1535=0,0,E1535*0.03)</f>
        <v>0</v>
      </c>
    </row>
    <row r="1536" customFormat="false" ht="15.75" hidden="false" customHeight="true" outlineLevel="0" collapsed="false">
      <c r="A1536" s="30" t="n">
        <v>45323</v>
      </c>
      <c r="B1536" s="31" t="s">
        <v>7</v>
      </c>
      <c r="C1536" s="32"/>
      <c r="D1536" s="32"/>
      <c r="E1536" s="19" t="n">
        <f aca="false">+F1536*0.03</f>
        <v>0</v>
      </c>
      <c r="F1536" s="33" t="n">
        <v>0</v>
      </c>
      <c r="G1536" s="62"/>
      <c r="H1536" s="35" t="n">
        <v>0</v>
      </c>
      <c r="I1536" s="34" t="n">
        <f aca="false">+IF(E1536=0,0,E1536*0.03)</f>
        <v>0</v>
      </c>
    </row>
    <row r="1537" customFormat="false" ht="15.75" hidden="false" customHeight="true" outlineLevel="0" collapsed="false">
      <c r="A1537" s="30" t="n">
        <v>45323</v>
      </c>
      <c r="B1537" s="31" t="s">
        <v>7</v>
      </c>
      <c r="C1537" s="32"/>
      <c r="D1537" s="32"/>
      <c r="E1537" s="19" t="n">
        <f aca="false">+F1537*0.03</f>
        <v>0</v>
      </c>
      <c r="F1537" s="33" t="n">
        <v>0</v>
      </c>
      <c r="G1537" s="62"/>
      <c r="H1537" s="35" t="n">
        <v>0</v>
      </c>
      <c r="I1537" s="34" t="n">
        <f aca="false">+IF(E1537=0,0,E1537*0.03)</f>
        <v>0</v>
      </c>
    </row>
    <row r="1538" customFormat="false" ht="15.75" hidden="false" customHeight="true" outlineLevel="0" collapsed="false">
      <c r="A1538" s="30" t="n">
        <v>45323</v>
      </c>
      <c r="B1538" s="31" t="s">
        <v>7</v>
      </c>
      <c r="C1538" s="32"/>
      <c r="D1538" s="32"/>
      <c r="E1538" s="19" t="n">
        <f aca="false">+F1538*0.03</f>
        <v>0</v>
      </c>
      <c r="F1538" s="33" t="n">
        <v>0</v>
      </c>
      <c r="G1538" s="62"/>
      <c r="H1538" s="35" t="n">
        <v>0</v>
      </c>
      <c r="I1538" s="34" t="n">
        <f aca="false">+IF(E1538=0,0,E1538*0.03)</f>
        <v>0</v>
      </c>
    </row>
    <row r="1539" customFormat="false" ht="15.75" hidden="false" customHeight="true" outlineLevel="0" collapsed="false">
      <c r="A1539" s="30" t="n">
        <v>45323</v>
      </c>
      <c r="B1539" s="31" t="s">
        <v>7</v>
      </c>
      <c r="C1539" s="32"/>
      <c r="D1539" s="32"/>
      <c r="E1539" s="19" t="n">
        <f aca="false">+F1539*0.03</f>
        <v>0</v>
      </c>
      <c r="F1539" s="33" t="n">
        <v>0</v>
      </c>
      <c r="G1539" s="62"/>
      <c r="H1539" s="35" t="n">
        <v>0</v>
      </c>
      <c r="I1539" s="34" t="n">
        <f aca="false">+IF(E1539=0,0,E1539*0.03)</f>
        <v>0</v>
      </c>
    </row>
    <row r="1540" customFormat="false" ht="15.75" hidden="false" customHeight="true" outlineLevel="0" collapsed="false">
      <c r="A1540" s="30" t="n">
        <v>45323</v>
      </c>
      <c r="B1540" s="31" t="s">
        <v>7</v>
      </c>
      <c r="C1540" s="32"/>
      <c r="D1540" s="32"/>
      <c r="E1540" s="19" t="n">
        <f aca="false">+F1540*0.03</f>
        <v>0</v>
      </c>
      <c r="F1540" s="33" t="n">
        <v>0</v>
      </c>
      <c r="G1540" s="62"/>
      <c r="H1540" s="35" t="n">
        <v>0</v>
      </c>
      <c r="I1540" s="34" t="n">
        <f aca="false">+IF(E1540=0,0,E1540*0.03)</f>
        <v>0</v>
      </c>
    </row>
    <row r="1541" customFormat="false" ht="15.75" hidden="false" customHeight="true" outlineLevel="0" collapsed="false">
      <c r="A1541" s="30" t="n">
        <v>45323</v>
      </c>
      <c r="B1541" s="31" t="s">
        <v>7</v>
      </c>
      <c r="C1541" s="32"/>
      <c r="D1541" s="32"/>
      <c r="E1541" s="19" t="n">
        <f aca="false">+F1541*0.03</f>
        <v>0</v>
      </c>
      <c r="F1541" s="33" t="n">
        <v>0</v>
      </c>
      <c r="G1541" s="62"/>
      <c r="H1541" s="35" t="n">
        <v>0</v>
      </c>
      <c r="I1541" s="34" t="n">
        <f aca="false">+IF(E1541=0,0,E1541*0.03)</f>
        <v>0</v>
      </c>
    </row>
    <row r="1542" customFormat="false" ht="15.75" hidden="false" customHeight="true" outlineLevel="0" collapsed="false">
      <c r="A1542" s="30" t="n">
        <v>45323</v>
      </c>
      <c r="B1542" s="31" t="s">
        <v>7</v>
      </c>
      <c r="C1542" s="32"/>
      <c r="D1542" s="32"/>
      <c r="E1542" s="19" t="n">
        <f aca="false">+F1542*0.03</f>
        <v>0</v>
      </c>
      <c r="F1542" s="33" t="n">
        <v>0</v>
      </c>
      <c r="G1542" s="62"/>
      <c r="H1542" s="35" t="n">
        <v>0</v>
      </c>
      <c r="I1542" s="34" t="n">
        <f aca="false">+IF(E1542=0,0,E1542*0.03)</f>
        <v>0</v>
      </c>
    </row>
    <row r="1543" customFormat="false" ht="15.75" hidden="false" customHeight="true" outlineLevel="0" collapsed="false">
      <c r="A1543" s="30" t="n">
        <v>45323</v>
      </c>
      <c r="B1543" s="31" t="s">
        <v>7</v>
      </c>
      <c r="C1543" s="32"/>
      <c r="D1543" s="32"/>
      <c r="E1543" s="19" t="n">
        <f aca="false">+F1543*0.03</f>
        <v>0</v>
      </c>
      <c r="F1543" s="33" t="n">
        <v>0</v>
      </c>
      <c r="G1543" s="62"/>
      <c r="H1543" s="35" t="n">
        <v>0</v>
      </c>
      <c r="I1543" s="34" t="n">
        <f aca="false">+IF(E1543=0,0,E1543*0.03)</f>
        <v>0</v>
      </c>
    </row>
    <row r="1544" customFormat="false" ht="15.75" hidden="false" customHeight="true" outlineLevel="0" collapsed="false">
      <c r="A1544" s="30" t="n">
        <v>45323</v>
      </c>
      <c r="B1544" s="31" t="s">
        <v>7</v>
      </c>
      <c r="C1544" s="32"/>
      <c r="D1544" s="32"/>
      <c r="E1544" s="19" t="n">
        <f aca="false">+F1544*0.03</f>
        <v>0</v>
      </c>
      <c r="F1544" s="33" t="n">
        <v>0</v>
      </c>
      <c r="G1544" s="62"/>
      <c r="H1544" s="35" t="n">
        <v>0</v>
      </c>
      <c r="I1544" s="34" t="n">
        <f aca="false">+IF(E1544=0,0,E1544*0.03)</f>
        <v>0</v>
      </c>
    </row>
    <row r="1545" customFormat="false" ht="15.75" hidden="false" customHeight="true" outlineLevel="0" collapsed="false">
      <c r="A1545" s="30" t="n">
        <v>45323</v>
      </c>
      <c r="B1545" s="31" t="s">
        <v>7</v>
      </c>
      <c r="C1545" s="32"/>
      <c r="D1545" s="32"/>
      <c r="E1545" s="19" t="n">
        <f aca="false">+F1545*0.03</f>
        <v>0</v>
      </c>
      <c r="F1545" s="33" t="n">
        <v>0</v>
      </c>
      <c r="G1545" s="62"/>
      <c r="H1545" s="35" t="n">
        <v>0</v>
      </c>
      <c r="I1545" s="34" t="n">
        <f aca="false">+IF(E1545=0,0,E1545*0.03)</f>
        <v>0</v>
      </c>
    </row>
    <row r="1546" customFormat="false" ht="15.75" hidden="false" customHeight="true" outlineLevel="0" collapsed="false">
      <c r="A1546" s="30" t="n">
        <v>45323</v>
      </c>
      <c r="B1546" s="31" t="s">
        <v>7</v>
      </c>
      <c r="C1546" s="32"/>
      <c r="D1546" s="32"/>
      <c r="E1546" s="19" t="n">
        <f aca="false">+F1546*0.03</f>
        <v>0</v>
      </c>
      <c r="F1546" s="33" t="n">
        <v>0</v>
      </c>
      <c r="G1546" s="62"/>
      <c r="H1546" s="35" t="n">
        <v>0</v>
      </c>
      <c r="I1546" s="34" t="n">
        <f aca="false">+IF(E1546=0,0,E1546*0.03)</f>
        <v>0</v>
      </c>
    </row>
    <row r="1547" customFormat="false" ht="15.75" hidden="false" customHeight="true" outlineLevel="0" collapsed="false">
      <c r="A1547" s="30" t="n">
        <v>45323</v>
      </c>
      <c r="B1547" s="31" t="s">
        <v>7</v>
      </c>
      <c r="C1547" s="32"/>
      <c r="D1547" s="32"/>
      <c r="E1547" s="19" t="n">
        <f aca="false">+F1547*0.03</f>
        <v>0</v>
      </c>
      <c r="F1547" s="33" t="n">
        <v>0</v>
      </c>
      <c r="G1547" s="62"/>
      <c r="H1547" s="35" t="n">
        <v>0</v>
      </c>
      <c r="I1547" s="34" t="n">
        <f aca="false">+IF(E1547=0,0,E1547*0.03)</f>
        <v>0</v>
      </c>
    </row>
    <row r="1548" customFormat="false" ht="15.75" hidden="false" customHeight="true" outlineLevel="0" collapsed="false">
      <c r="A1548" s="30" t="n">
        <v>45323</v>
      </c>
      <c r="B1548" s="31" t="s">
        <v>7</v>
      </c>
      <c r="C1548" s="32"/>
      <c r="D1548" s="32"/>
      <c r="E1548" s="19" t="n">
        <f aca="false">+F1548*0.03</f>
        <v>0</v>
      </c>
      <c r="F1548" s="33" t="n">
        <v>0</v>
      </c>
      <c r="G1548" s="62"/>
      <c r="H1548" s="35" t="n">
        <v>0</v>
      </c>
      <c r="I1548" s="34" t="n">
        <f aca="false">+IF(E1548=0,0,E1548*0.03)</f>
        <v>0</v>
      </c>
    </row>
    <row r="1549" customFormat="false" ht="15.75" hidden="false" customHeight="true" outlineLevel="0" collapsed="false">
      <c r="A1549" s="30" t="n">
        <v>45323</v>
      </c>
      <c r="B1549" s="31" t="s">
        <v>7</v>
      </c>
      <c r="C1549" s="32"/>
      <c r="D1549" s="32"/>
      <c r="E1549" s="19" t="n">
        <f aca="false">+F1549*0.03</f>
        <v>0</v>
      </c>
      <c r="F1549" s="33" t="n">
        <v>0</v>
      </c>
      <c r="G1549" s="62"/>
      <c r="H1549" s="35" t="n">
        <v>0</v>
      </c>
      <c r="I1549" s="34" t="n">
        <f aca="false">+IF(E1549=0,0,E1549*0.03)</f>
        <v>0</v>
      </c>
    </row>
    <row r="1550" customFormat="false" ht="15.75" hidden="false" customHeight="true" outlineLevel="0" collapsed="false">
      <c r="A1550" s="30" t="n">
        <v>45323</v>
      </c>
      <c r="B1550" s="31" t="s">
        <v>7</v>
      </c>
      <c r="C1550" s="32"/>
      <c r="D1550" s="32"/>
      <c r="E1550" s="19" t="n">
        <f aca="false">+F1550*0.03</f>
        <v>0</v>
      </c>
      <c r="F1550" s="33" t="n">
        <v>0</v>
      </c>
      <c r="G1550" s="62"/>
      <c r="H1550" s="35" t="n">
        <v>0</v>
      </c>
      <c r="I1550" s="34" t="n">
        <f aca="false">+IF(E1550=0,0,E1550*0.03)</f>
        <v>0</v>
      </c>
    </row>
    <row r="1551" customFormat="false" ht="15.75" hidden="false" customHeight="true" outlineLevel="0" collapsed="false">
      <c r="A1551" s="30" t="n">
        <v>45323</v>
      </c>
      <c r="B1551" s="31" t="s">
        <v>7</v>
      </c>
      <c r="C1551" s="32"/>
      <c r="D1551" s="32"/>
      <c r="E1551" s="19" t="n">
        <f aca="false">+F1551*0.03</f>
        <v>0</v>
      </c>
      <c r="F1551" s="33" t="n">
        <v>0</v>
      </c>
      <c r="G1551" s="62"/>
      <c r="H1551" s="35" t="n">
        <v>0</v>
      </c>
      <c r="I1551" s="34" t="n">
        <f aca="false">+IF(E1551=0,0,E1551*0.03)</f>
        <v>0</v>
      </c>
    </row>
    <row r="1552" customFormat="false" ht="15.75" hidden="false" customHeight="true" outlineLevel="0" collapsed="false">
      <c r="A1552" s="30" t="n">
        <v>45323</v>
      </c>
      <c r="B1552" s="31" t="s">
        <v>7</v>
      </c>
      <c r="C1552" s="32"/>
      <c r="D1552" s="32"/>
      <c r="E1552" s="19" t="n">
        <f aca="false">+F1552*0.03</f>
        <v>0</v>
      </c>
      <c r="F1552" s="33" t="n">
        <v>0</v>
      </c>
      <c r="G1552" s="62"/>
      <c r="H1552" s="35" t="n">
        <v>0</v>
      </c>
      <c r="I1552" s="34" t="n">
        <f aca="false">+IF(E1552=0,0,E1552*0.03)</f>
        <v>0</v>
      </c>
    </row>
    <row r="1553" customFormat="false" ht="15.75" hidden="false" customHeight="true" outlineLevel="0" collapsed="false">
      <c r="A1553" s="30" t="n">
        <v>45323</v>
      </c>
      <c r="B1553" s="31" t="s">
        <v>7</v>
      </c>
      <c r="C1553" s="32"/>
      <c r="D1553" s="32"/>
      <c r="E1553" s="19" t="n">
        <f aca="false">+F1553*0.03</f>
        <v>0</v>
      </c>
      <c r="F1553" s="33" t="n">
        <v>0</v>
      </c>
      <c r="G1553" s="62"/>
      <c r="H1553" s="35" t="n">
        <v>0</v>
      </c>
      <c r="I1553" s="34" t="n">
        <f aca="false">+IF(E1553=0,0,E1553*0.03)</f>
        <v>0</v>
      </c>
    </row>
    <row r="1554" customFormat="false" ht="15.75" hidden="false" customHeight="true" outlineLevel="0" collapsed="false">
      <c r="A1554" s="30" t="n">
        <v>45323</v>
      </c>
      <c r="B1554" s="31" t="s">
        <v>7</v>
      </c>
      <c r="C1554" s="32"/>
      <c r="D1554" s="32"/>
      <c r="E1554" s="19" t="n">
        <f aca="false">+F1554*0.03</f>
        <v>0</v>
      </c>
      <c r="F1554" s="33" t="n">
        <v>0</v>
      </c>
      <c r="G1554" s="62"/>
      <c r="H1554" s="35" t="n">
        <v>0</v>
      </c>
      <c r="I1554" s="34" t="n">
        <f aca="false">+IF(E1554=0,0,E1554*0.03)</f>
        <v>0</v>
      </c>
    </row>
    <row r="1555" customFormat="false" ht="15.75" hidden="false" customHeight="true" outlineLevel="0" collapsed="false">
      <c r="A1555" s="30" t="n">
        <v>45323</v>
      </c>
      <c r="B1555" s="31" t="s">
        <v>7</v>
      </c>
      <c r="C1555" s="32"/>
      <c r="D1555" s="32"/>
      <c r="E1555" s="19" t="n">
        <f aca="false">+F1555*0.03</f>
        <v>0</v>
      </c>
      <c r="F1555" s="33" t="n">
        <v>0</v>
      </c>
      <c r="G1555" s="62"/>
      <c r="H1555" s="35" t="n">
        <v>0</v>
      </c>
      <c r="I1555" s="34" t="n">
        <f aca="false">+IF(E1555=0,0,E1555*0.03)</f>
        <v>0</v>
      </c>
    </row>
    <row r="1556" customFormat="false" ht="15.75" hidden="false" customHeight="true" outlineLevel="0" collapsed="false">
      <c r="A1556" s="30" t="n">
        <v>45323</v>
      </c>
      <c r="B1556" s="31" t="s">
        <v>7</v>
      </c>
      <c r="C1556" s="32"/>
      <c r="D1556" s="32"/>
      <c r="E1556" s="19" t="n">
        <f aca="false">+F1556*0.03</f>
        <v>0</v>
      </c>
      <c r="F1556" s="33" t="n">
        <v>0</v>
      </c>
      <c r="G1556" s="62"/>
      <c r="H1556" s="35" t="n">
        <v>0</v>
      </c>
      <c r="I1556" s="34" t="n">
        <f aca="false">+IF(E1556=0,0,E1556*0.03)</f>
        <v>0</v>
      </c>
    </row>
    <row r="1557" customFormat="false" ht="15.75" hidden="false" customHeight="true" outlineLevel="0" collapsed="false">
      <c r="A1557" s="30" t="n">
        <v>45323</v>
      </c>
      <c r="B1557" s="31" t="s">
        <v>7</v>
      </c>
      <c r="C1557" s="32"/>
      <c r="D1557" s="32"/>
      <c r="E1557" s="19" t="n">
        <f aca="false">+F1557*0.03</f>
        <v>0</v>
      </c>
      <c r="F1557" s="33" t="n">
        <v>0</v>
      </c>
      <c r="G1557" s="62"/>
      <c r="H1557" s="35" t="n">
        <v>0</v>
      </c>
      <c r="I1557" s="34" t="n">
        <f aca="false">+IF(E1557=0,0,E1557*0.03)</f>
        <v>0</v>
      </c>
    </row>
    <row r="1558" customFormat="false" ht="15.75" hidden="false" customHeight="true" outlineLevel="0" collapsed="false">
      <c r="A1558" s="30" t="n">
        <v>45323</v>
      </c>
      <c r="B1558" s="31" t="s">
        <v>7</v>
      </c>
      <c r="C1558" s="32"/>
      <c r="D1558" s="32"/>
      <c r="E1558" s="19" t="n">
        <f aca="false">+F1558*0.03</f>
        <v>0</v>
      </c>
      <c r="F1558" s="33" t="n">
        <v>0</v>
      </c>
      <c r="G1558" s="62"/>
      <c r="H1558" s="35" t="n">
        <v>0</v>
      </c>
      <c r="I1558" s="34" t="n">
        <f aca="false">+IF(E1558=0,0,E1558*0.03)</f>
        <v>0</v>
      </c>
    </row>
    <row r="1559" customFormat="false" ht="15.75" hidden="false" customHeight="true" outlineLevel="0" collapsed="false">
      <c r="A1559" s="30" t="n">
        <v>45323</v>
      </c>
      <c r="B1559" s="31" t="s">
        <v>7</v>
      </c>
      <c r="C1559" s="32"/>
      <c r="D1559" s="32"/>
      <c r="E1559" s="19" t="n">
        <f aca="false">+F1559*0.03</f>
        <v>0</v>
      </c>
      <c r="F1559" s="33" t="n">
        <v>0</v>
      </c>
      <c r="G1559" s="62"/>
      <c r="H1559" s="35" t="n">
        <v>0</v>
      </c>
      <c r="I1559" s="34" t="n">
        <f aca="false">+IF(E1559=0,0,E1559*0.03)</f>
        <v>0</v>
      </c>
    </row>
    <row r="1560" customFormat="false" ht="15.75" hidden="false" customHeight="true" outlineLevel="0" collapsed="false">
      <c r="A1560" s="30" t="n">
        <v>45323</v>
      </c>
      <c r="B1560" s="31" t="s">
        <v>7</v>
      </c>
      <c r="C1560" s="32"/>
      <c r="D1560" s="32"/>
      <c r="E1560" s="19" t="n">
        <f aca="false">+F1560*0.03</f>
        <v>0</v>
      </c>
      <c r="F1560" s="33" t="n">
        <v>0</v>
      </c>
      <c r="G1560" s="62"/>
      <c r="H1560" s="35" t="n">
        <v>0</v>
      </c>
      <c r="I1560" s="34" t="n">
        <f aca="false">+IF(E1560=0,0,E1560*0.03)</f>
        <v>0</v>
      </c>
    </row>
    <row r="1561" customFormat="false" ht="15.75" hidden="false" customHeight="true" outlineLevel="0" collapsed="false">
      <c r="A1561" s="30" t="n">
        <v>45323</v>
      </c>
      <c r="B1561" s="31" t="s">
        <v>7</v>
      </c>
      <c r="C1561" s="32"/>
      <c r="D1561" s="32"/>
      <c r="E1561" s="19" t="n">
        <f aca="false">+F1561*0.03</f>
        <v>0</v>
      </c>
      <c r="F1561" s="33" t="n">
        <v>0</v>
      </c>
      <c r="G1561" s="62"/>
      <c r="H1561" s="35" t="n">
        <v>0</v>
      </c>
      <c r="I1561" s="34" t="n">
        <f aca="false">+IF(E1561=0,0,E1561*0.03)</f>
        <v>0</v>
      </c>
    </row>
    <row r="1562" customFormat="false" ht="15.75" hidden="false" customHeight="true" outlineLevel="0" collapsed="false">
      <c r="A1562" s="30" t="n">
        <v>45323</v>
      </c>
      <c r="B1562" s="31" t="s">
        <v>7</v>
      </c>
      <c r="C1562" s="32"/>
      <c r="D1562" s="32"/>
      <c r="E1562" s="19" t="n">
        <f aca="false">+F1562*0.03</f>
        <v>0</v>
      </c>
      <c r="F1562" s="33" t="n">
        <v>0</v>
      </c>
      <c r="G1562" s="62"/>
      <c r="H1562" s="35" t="n">
        <v>0</v>
      </c>
      <c r="I1562" s="34" t="n">
        <f aca="false">+IF(E1562=0,0,E1562*0.03)</f>
        <v>0</v>
      </c>
    </row>
    <row r="1563" customFormat="false" ht="15.75" hidden="false" customHeight="true" outlineLevel="0" collapsed="false">
      <c r="A1563" s="30" t="n">
        <v>45323</v>
      </c>
      <c r="B1563" s="31" t="s">
        <v>7</v>
      </c>
      <c r="C1563" s="32"/>
      <c r="D1563" s="32"/>
      <c r="E1563" s="19" t="n">
        <f aca="false">+F1563*0.03</f>
        <v>0</v>
      </c>
      <c r="F1563" s="33" t="n">
        <v>0</v>
      </c>
      <c r="G1563" s="62"/>
      <c r="H1563" s="35" t="n">
        <v>0</v>
      </c>
      <c r="I1563" s="34" t="n">
        <f aca="false">+IF(E1563=0,0,E1563*0.03)</f>
        <v>0</v>
      </c>
    </row>
    <row r="1564" customFormat="false" ht="15.75" hidden="false" customHeight="true" outlineLevel="0" collapsed="false">
      <c r="A1564" s="30" t="n">
        <v>45323</v>
      </c>
      <c r="B1564" s="31" t="s">
        <v>7</v>
      </c>
      <c r="C1564" s="32"/>
      <c r="D1564" s="32"/>
      <c r="E1564" s="19" t="n">
        <f aca="false">+F1564*0.03</f>
        <v>0</v>
      </c>
      <c r="F1564" s="33" t="n">
        <v>0</v>
      </c>
      <c r="G1564" s="62"/>
      <c r="H1564" s="35" t="n">
        <v>0</v>
      </c>
      <c r="I1564" s="34" t="n">
        <f aca="false">+IF(E1564=0,0,E1564*0.03)</f>
        <v>0</v>
      </c>
    </row>
    <row r="1565" customFormat="false" ht="15.75" hidden="false" customHeight="true" outlineLevel="0" collapsed="false">
      <c r="A1565" s="30" t="n">
        <v>45323</v>
      </c>
      <c r="B1565" s="31" t="s">
        <v>7</v>
      </c>
      <c r="C1565" s="32"/>
      <c r="D1565" s="32"/>
      <c r="E1565" s="19" t="n">
        <f aca="false">+F1565*0.03</f>
        <v>0</v>
      </c>
      <c r="F1565" s="33" t="n">
        <v>0</v>
      </c>
      <c r="G1565" s="62"/>
      <c r="H1565" s="35" t="n">
        <v>0</v>
      </c>
      <c r="I1565" s="34" t="n">
        <f aca="false">+IF(E1565=0,0,E1565*0.03)</f>
        <v>0</v>
      </c>
    </row>
    <row r="1566" customFormat="false" ht="15.75" hidden="false" customHeight="true" outlineLevel="0" collapsed="false">
      <c r="A1566" s="30" t="n">
        <v>45323</v>
      </c>
      <c r="B1566" s="31" t="s">
        <v>7</v>
      </c>
      <c r="C1566" s="32"/>
      <c r="D1566" s="32"/>
      <c r="E1566" s="19" t="n">
        <f aca="false">+F1566*0.03</f>
        <v>0</v>
      </c>
      <c r="F1566" s="33" t="n">
        <v>0</v>
      </c>
      <c r="G1566" s="62"/>
      <c r="H1566" s="35" t="n">
        <v>0</v>
      </c>
      <c r="I1566" s="34" t="n">
        <f aca="false">+IF(E1566=0,0,E1566*0.03)</f>
        <v>0</v>
      </c>
    </row>
    <row r="1567" customFormat="false" ht="15.75" hidden="false" customHeight="true" outlineLevel="0" collapsed="false">
      <c r="A1567" s="30" t="n">
        <v>45323</v>
      </c>
      <c r="B1567" s="31" t="s">
        <v>7</v>
      </c>
      <c r="C1567" s="32"/>
      <c r="D1567" s="32"/>
      <c r="E1567" s="19" t="n">
        <f aca="false">+F1567*0.03</f>
        <v>0</v>
      </c>
      <c r="F1567" s="33" t="n">
        <v>0</v>
      </c>
      <c r="G1567" s="62"/>
      <c r="H1567" s="35" t="n">
        <v>0</v>
      </c>
      <c r="I1567" s="34" t="n">
        <f aca="false">+IF(E1567=0,0,E1567*0.03)</f>
        <v>0</v>
      </c>
    </row>
    <row r="1568" customFormat="false" ht="15.75" hidden="false" customHeight="true" outlineLevel="0" collapsed="false">
      <c r="A1568" s="30" t="n">
        <v>45323</v>
      </c>
      <c r="B1568" s="31" t="s">
        <v>7</v>
      </c>
      <c r="C1568" s="32"/>
      <c r="D1568" s="32"/>
      <c r="E1568" s="19" t="n">
        <f aca="false">+F1568*0.03</f>
        <v>0</v>
      </c>
      <c r="F1568" s="33" t="n">
        <v>0</v>
      </c>
      <c r="G1568" s="62"/>
      <c r="H1568" s="35" t="n">
        <v>0</v>
      </c>
      <c r="I1568" s="34" t="n">
        <f aca="false">+IF(E1568=0,0,E1568*0.03)</f>
        <v>0</v>
      </c>
    </row>
    <row r="1569" customFormat="false" ht="15.75" hidden="false" customHeight="true" outlineLevel="0" collapsed="false">
      <c r="A1569" s="30" t="n">
        <v>45323</v>
      </c>
      <c r="B1569" s="31" t="s">
        <v>7</v>
      </c>
      <c r="C1569" s="32"/>
      <c r="D1569" s="32"/>
      <c r="E1569" s="19" t="n">
        <f aca="false">+F1569*0.03</f>
        <v>0</v>
      </c>
      <c r="F1569" s="33" t="n">
        <v>0</v>
      </c>
      <c r="G1569" s="62"/>
      <c r="H1569" s="35" t="n">
        <v>0</v>
      </c>
      <c r="I1569" s="34" t="n">
        <f aca="false">+IF(E1569=0,0,E1569*0.03)</f>
        <v>0</v>
      </c>
    </row>
    <row r="1570" customFormat="false" ht="15.75" hidden="false" customHeight="true" outlineLevel="0" collapsed="false">
      <c r="A1570" s="30" t="n">
        <v>45323</v>
      </c>
      <c r="B1570" s="31" t="s">
        <v>7</v>
      </c>
      <c r="C1570" s="32"/>
      <c r="D1570" s="32"/>
      <c r="E1570" s="19" t="n">
        <f aca="false">+F1570*0.03</f>
        <v>0</v>
      </c>
      <c r="F1570" s="33" t="n">
        <v>0</v>
      </c>
      <c r="G1570" s="62"/>
      <c r="H1570" s="35" t="n">
        <v>0</v>
      </c>
      <c r="I1570" s="34" t="n">
        <f aca="false">+IF(E1570=0,0,E1570*0.03)</f>
        <v>0</v>
      </c>
    </row>
    <row r="1571" customFormat="false" ht="15.75" hidden="false" customHeight="true" outlineLevel="0" collapsed="false">
      <c r="A1571" s="30" t="n">
        <v>45323</v>
      </c>
      <c r="B1571" s="31" t="s">
        <v>7</v>
      </c>
      <c r="C1571" s="32"/>
      <c r="D1571" s="32"/>
      <c r="E1571" s="19" t="n">
        <f aca="false">+F1571*0.03</f>
        <v>0</v>
      </c>
      <c r="F1571" s="33" t="n">
        <v>0</v>
      </c>
      <c r="G1571" s="62"/>
      <c r="H1571" s="35" t="n">
        <v>0</v>
      </c>
      <c r="I1571" s="34" t="n">
        <f aca="false">+IF(E1571=0,0,E1571*0.03)</f>
        <v>0</v>
      </c>
    </row>
    <row r="1572" customFormat="false" ht="15.75" hidden="false" customHeight="true" outlineLevel="0" collapsed="false">
      <c r="A1572" s="30" t="n">
        <v>45323</v>
      </c>
      <c r="B1572" s="31" t="s">
        <v>7</v>
      </c>
      <c r="C1572" s="32"/>
      <c r="D1572" s="32"/>
      <c r="E1572" s="19" t="n">
        <f aca="false">+F1572*0.03</f>
        <v>0</v>
      </c>
      <c r="F1572" s="33" t="n">
        <v>0</v>
      </c>
      <c r="G1572" s="62"/>
      <c r="H1572" s="35" t="n">
        <v>0</v>
      </c>
      <c r="I1572" s="34" t="n">
        <f aca="false">+IF(E1572=0,0,E1572*0.03)</f>
        <v>0</v>
      </c>
    </row>
    <row r="1573" customFormat="false" ht="15.75" hidden="false" customHeight="true" outlineLevel="0" collapsed="false">
      <c r="A1573" s="30" t="n">
        <v>45323</v>
      </c>
      <c r="B1573" s="31" t="s">
        <v>7</v>
      </c>
      <c r="C1573" s="32"/>
      <c r="D1573" s="32"/>
      <c r="E1573" s="19" t="n">
        <f aca="false">+F1573*0.03</f>
        <v>0</v>
      </c>
      <c r="F1573" s="33" t="n">
        <v>0</v>
      </c>
      <c r="G1573" s="62"/>
      <c r="H1573" s="35" t="n">
        <v>0</v>
      </c>
      <c r="I1573" s="34" t="n">
        <f aca="false">+IF(E1573=0,0,E1573*0.03)</f>
        <v>0</v>
      </c>
    </row>
    <row r="1574" customFormat="false" ht="15.75" hidden="false" customHeight="true" outlineLevel="0" collapsed="false">
      <c r="A1574" s="30" t="n">
        <v>45323</v>
      </c>
      <c r="B1574" s="31" t="s">
        <v>7</v>
      </c>
      <c r="C1574" s="32"/>
      <c r="D1574" s="32"/>
      <c r="E1574" s="19" t="n">
        <f aca="false">+F1574*0.03</f>
        <v>0</v>
      </c>
      <c r="F1574" s="33" t="n">
        <v>0</v>
      </c>
      <c r="G1574" s="62"/>
      <c r="H1574" s="35" t="n">
        <v>0</v>
      </c>
      <c r="I1574" s="34" t="n">
        <f aca="false">+IF(E1574=0,0,E1574*0.03)</f>
        <v>0</v>
      </c>
    </row>
    <row r="1575" customFormat="false" ht="15.75" hidden="false" customHeight="true" outlineLevel="0" collapsed="false">
      <c r="A1575" s="30" t="n">
        <v>45323</v>
      </c>
      <c r="B1575" s="31" t="s">
        <v>7</v>
      </c>
      <c r="C1575" s="32"/>
      <c r="D1575" s="32"/>
      <c r="E1575" s="19" t="n">
        <f aca="false">+F1575*0.03</f>
        <v>0</v>
      </c>
      <c r="F1575" s="33" t="n">
        <v>0</v>
      </c>
      <c r="G1575" s="62"/>
      <c r="H1575" s="35" t="n">
        <v>0</v>
      </c>
      <c r="I1575" s="34" t="n">
        <f aca="false">+IF(E1575=0,0,E1575*0.03)</f>
        <v>0</v>
      </c>
    </row>
    <row r="1576" customFormat="false" ht="15.75" hidden="false" customHeight="true" outlineLevel="0" collapsed="false">
      <c r="A1576" s="30" t="n">
        <v>45323</v>
      </c>
      <c r="B1576" s="31" t="s">
        <v>7</v>
      </c>
      <c r="C1576" s="32"/>
      <c r="D1576" s="32"/>
      <c r="E1576" s="19" t="n">
        <f aca="false">+F1576*0.03</f>
        <v>0</v>
      </c>
      <c r="F1576" s="33" t="n">
        <v>0</v>
      </c>
      <c r="G1576" s="62"/>
      <c r="H1576" s="35" t="n">
        <v>0</v>
      </c>
      <c r="I1576" s="34" t="n">
        <f aca="false">+IF(E1576=0,0,E1576*0.03)</f>
        <v>0</v>
      </c>
    </row>
    <row r="1577" customFormat="false" ht="15.75" hidden="false" customHeight="true" outlineLevel="0" collapsed="false">
      <c r="A1577" s="30" t="n">
        <v>45323</v>
      </c>
      <c r="B1577" s="31" t="s">
        <v>7</v>
      </c>
      <c r="C1577" s="32"/>
      <c r="D1577" s="32"/>
      <c r="E1577" s="19" t="n">
        <f aca="false">+F1577*0.03</f>
        <v>0</v>
      </c>
      <c r="F1577" s="33" t="n">
        <v>0</v>
      </c>
      <c r="G1577" s="62"/>
      <c r="H1577" s="35" t="n">
        <v>0</v>
      </c>
      <c r="I1577" s="34" t="n">
        <f aca="false">+IF(E1577=0,0,E1577*0.03)</f>
        <v>0</v>
      </c>
    </row>
    <row r="1578" customFormat="false" ht="15.75" hidden="false" customHeight="true" outlineLevel="0" collapsed="false">
      <c r="A1578" s="30" t="n">
        <v>45323</v>
      </c>
      <c r="B1578" s="31" t="s">
        <v>7</v>
      </c>
      <c r="C1578" s="32"/>
      <c r="D1578" s="32"/>
      <c r="E1578" s="19" t="n">
        <f aca="false">+F1578*0.03</f>
        <v>0</v>
      </c>
      <c r="F1578" s="33" t="n">
        <v>0</v>
      </c>
      <c r="G1578" s="62"/>
      <c r="H1578" s="35" t="n">
        <v>0</v>
      </c>
      <c r="I1578" s="34" t="n">
        <f aca="false">+IF(E1578=0,0,E1578*0.03)</f>
        <v>0</v>
      </c>
    </row>
    <row r="1579" customFormat="false" ht="15.75" hidden="false" customHeight="true" outlineLevel="0" collapsed="false">
      <c r="A1579" s="30" t="n">
        <v>45323</v>
      </c>
      <c r="B1579" s="31" t="s">
        <v>7</v>
      </c>
      <c r="C1579" s="32"/>
      <c r="D1579" s="32"/>
      <c r="E1579" s="19" t="n">
        <f aca="false">+F1579*0.03</f>
        <v>0</v>
      </c>
      <c r="F1579" s="33" t="n">
        <v>0</v>
      </c>
      <c r="G1579" s="62"/>
      <c r="H1579" s="35" t="n">
        <v>0</v>
      </c>
      <c r="I1579" s="34" t="n">
        <f aca="false">+IF(E1579=0,0,E1579*0.03)</f>
        <v>0</v>
      </c>
    </row>
    <row r="1580" customFormat="false" ht="15.75" hidden="false" customHeight="true" outlineLevel="0" collapsed="false">
      <c r="A1580" s="30" t="n">
        <v>45323</v>
      </c>
      <c r="B1580" s="31" t="s">
        <v>7</v>
      </c>
      <c r="C1580" s="32"/>
      <c r="D1580" s="32"/>
      <c r="E1580" s="19" t="n">
        <f aca="false">+F1580*0.03</f>
        <v>0</v>
      </c>
      <c r="F1580" s="33" t="n">
        <v>0</v>
      </c>
      <c r="G1580" s="62"/>
      <c r="H1580" s="35" t="n">
        <v>0</v>
      </c>
      <c r="I1580" s="34" t="n">
        <f aca="false">+IF(E1580=0,0,E1580*0.03)</f>
        <v>0</v>
      </c>
    </row>
    <row r="1581" customFormat="false" ht="15.75" hidden="false" customHeight="true" outlineLevel="0" collapsed="false">
      <c r="A1581" s="30" t="n">
        <v>45323</v>
      </c>
      <c r="B1581" s="31" t="s">
        <v>7</v>
      </c>
      <c r="C1581" s="32"/>
      <c r="D1581" s="32"/>
      <c r="E1581" s="19" t="n">
        <f aca="false">+F1581*0.03</f>
        <v>0</v>
      </c>
      <c r="F1581" s="33" t="n">
        <v>0</v>
      </c>
      <c r="G1581" s="62"/>
      <c r="H1581" s="35" t="n">
        <v>0</v>
      </c>
      <c r="I1581" s="34" t="n">
        <f aca="false">+IF(E1581=0,0,E1581*0.03)</f>
        <v>0</v>
      </c>
    </row>
    <row r="1582" customFormat="false" ht="15.75" hidden="false" customHeight="true" outlineLevel="0" collapsed="false">
      <c r="A1582" s="30" t="n">
        <v>45323</v>
      </c>
      <c r="B1582" s="31" t="s">
        <v>7</v>
      </c>
      <c r="C1582" s="32"/>
      <c r="D1582" s="32"/>
      <c r="E1582" s="19" t="n">
        <f aca="false">+F1582*0.03</f>
        <v>0</v>
      </c>
      <c r="F1582" s="33" t="n">
        <v>0</v>
      </c>
      <c r="G1582" s="62"/>
      <c r="H1582" s="35" t="n">
        <v>0</v>
      </c>
      <c r="I1582" s="34" t="n">
        <f aca="false">+IF(E1582=0,0,E1582*0.03)</f>
        <v>0</v>
      </c>
    </row>
    <row r="1583" customFormat="false" ht="15.75" hidden="false" customHeight="true" outlineLevel="0" collapsed="false">
      <c r="A1583" s="30" t="n">
        <v>45323</v>
      </c>
      <c r="B1583" s="31" t="s">
        <v>7</v>
      </c>
      <c r="C1583" s="32"/>
      <c r="D1583" s="32"/>
      <c r="E1583" s="19" t="n">
        <f aca="false">+F1583*0.03</f>
        <v>0</v>
      </c>
      <c r="F1583" s="33" t="n">
        <v>0</v>
      </c>
      <c r="G1583" s="62"/>
      <c r="H1583" s="35" t="n">
        <v>0</v>
      </c>
      <c r="I1583" s="34" t="n">
        <f aca="false">+IF(E1583=0,0,E1583*0.03)</f>
        <v>0</v>
      </c>
    </row>
    <row r="1584" customFormat="false" ht="15.75" hidden="false" customHeight="true" outlineLevel="0" collapsed="false">
      <c r="A1584" s="30" t="n">
        <v>45323</v>
      </c>
      <c r="B1584" s="31" t="s">
        <v>7</v>
      </c>
      <c r="C1584" s="32"/>
      <c r="D1584" s="32"/>
      <c r="E1584" s="19" t="n">
        <f aca="false">+F1584*0.03</f>
        <v>0</v>
      </c>
      <c r="F1584" s="33" t="n">
        <v>0</v>
      </c>
      <c r="G1584" s="62"/>
      <c r="H1584" s="35" t="n">
        <v>0</v>
      </c>
      <c r="I1584" s="34" t="n">
        <f aca="false">+IF(E1584=0,0,E1584*0.03)</f>
        <v>0</v>
      </c>
    </row>
    <row r="1585" customFormat="false" ht="15.75" hidden="false" customHeight="true" outlineLevel="0" collapsed="false">
      <c r="A1585" s="30" t="n">
        <v>45323</v>
      </c>
      <c r="B1585" s="31" t="s">
        <v>7</v>
      </c>
      <c r="C1585" s="32"/>
      <c r="D1585" s="32"/>
      <c r="E1585" s="19" t="n">
        <f aca="false">+F1585*0.03</f>
        <v>0</v>
      </c>
      <c r="F1585" s="33" t="n">
        <v>0</v>
      </c>
      <c r="G1585" s="62"/>
      <c r="H1585" s="35" t="n">
        <v>0</v>
      </c>
      <c r="I1585" s="34" t="n">
        <f aca="false">+IF(E1585=0,0,E1585*0.03)</f>
        <v>0</v>
      </c>
    </row>
    <row r="1586" customFormat="false" ht="15.75" hidden="false" customHeight="true" outlineLevel="0" collapsed="false">
      <c r="A1586" s="30" t="n">
        <v>45323</v>
      </c>
      <c r="B1586" s="31" t="s">
        <v>7</v>
      </c>
      <c r="C1586" s="32"/>
      <c r="D1586" s="32"/>
      <c r="E1586" s="19" t="n">
        <f aca="false">+F1586*0.03</f>
        <v>0</v>
      </c>
      <c r="F1586" s="33" t="n">
        <v>0</v>
      </c>
      <c r="G1586" s="62"/>
      <c r="H1586" s="35" t="n">
        <v>0</v>
      </c>
      <c r="I1586" s="34" t="n">
        <f aca="false">+IF(E1586=0,0,E1586*0.03)</f>
        <v>0</v>
      </c>
    </row>
    <row r="1587" customFormat="false" ht="15.75" hidden="false" customHeight="true" outlineLevel="0" collapsed="false">
      <c r="A1587" s="30" t="n">
        <v>45323</v>
      </c>
      <c r="B1587" s="31" t="s">
        <v>7</v>
      </c>
      <c r="C1587" s="32"/>
      <c r="D1587" s="32"/>
      <c r="E1587" s="19" t="n">
        <f aca="false">+F1587*0.03</f>
        <v>0</v>
      </c>
      <c r="F1587" s="33" t="n">
        <v>0</v>
      </c>
      <c r="G1587" s="62"/>
      <c r="H1587" s="35" t="n">
        <v>0</v>
      </c>
      <c r="I1587" s="34" t="n">
        <f aca="false">+IF(E1587=0,0,E1587*0.03)</f>
        <v>0</v>
      </c>
    </row>
    <row r="1588" customFormat="false" ht="15.75" hidden="false" customHeight="true" outlineLevel="0" collapsed="false">
      <c r="A1588" s="30" t="n">
        <v>45323</v>
      </c>
      <c r="B1588" s="31" t="s">
        <v>7</v>
      </c>
      <c r="C1588" s="32"/>
      <c r="D1588" s="32"/>
      <c r="E1588" s="19" t="n">
        <f aca="false">+F1588*0.03</f>
        <v>0</v>
      </c>
      <c r="F1588" s="33" t="n">
        <v>0</v>
      </c>
      <c r="G1588" s="62"/>
      <c r="H1588" s="35" t="n">
        <v>0</v>
      </c>
      <c r="I1588" s="34" t="n">
        <f aca="false">+IF(E1588=0,0,E1588*0.03)</f>
        <v>0</v>
      </c>
    </row>
    <row r="1589" customFormat="false" ht="15.75" hidden="false" customHeight="true" outlineLevel="0" collapsed="false">
      <c r="A1589" s="30" t="n">
        <v>45323</v>
      </c>
      <c r="B1589" s="31" t="s">
        <v>7</v>
      </c>
      <c r="C1589" s="32"/>
      <c r="D1589" s="32"/>
      <c r="E1589" s="19" t="n">
        <f aca="false">+F1589*0.03</f>
        <v>0</v>
      </c>
      <c r="F1589" s="33" t="n">
        <v>0</v>
      </c>
      <c r="G1589" s="62"/>
      <c r="H1589" s="35" t="n">
        <v>0</v>
      </c>
      <c r="I1589" s="34" t="n">
        <f aca="false">+IF(E1589=0,0,E1589*0.03)</f>
        <v>0</v>
      </c>
    </row>
    <row r="1590" customFormat="false" ht="15.75" hidden="false" customHeight="true" outlineLevel="0" collapsed="false">
      <c r="A1590" s="30" t="n">
        <v>45323</v>
      </c>
      <c r="B1590" s="31" t="s">
        <v>7</v>
      </c>
      <c r="C1590" s="32"/>
      <c r="D1590" s="32"/>
      <c r="E1590" s="19" t="n">
        <f aca="false">+F1590*0.03</f>
        <v>0</v>
      </c>
      <c r="F1590" s="33" t="n">
        <v>0</v>
      </c>
      <c r="G1590" s="62"/>
      <c r="H1590" s="35" t="n">
        <v>0</v>
      </c>
      <c r="I1590" s="34" t="n">
        <f aca="false">+IF(E1590=0,0,E1590*0.03)</f>
        <v>0</v>
      </c>
    </row>
    <row r="1591" customFormat="false" ht="15.75" hidden="false" customHeight="true" outlineLevel="0" collapsed="false">
      <c r="A1591" s="30" t="n">
        <v>45323</v>
      </c>
      <c r="B1591" s="31" t="s">
        <v>7</v>
      </c>
      <c r="C1591" s="32"/>
      <c r="D1591" s="32"/>
      <c r="E1591" s="19" t="n">
        <f aca="false">+F1591*0.03</f>
        <v>0</v>
      </c>
      <c r="F1591" s="33" t="n">
        <v>0</v>
      </c>
      <c r="G1591" s="62"/>
      <c r="H1591" s="35" t="n">
        <v>0</v>
      </c>
      <c r="I1591" s="34" t="n">
        <f aca="false">+IF(E1591=0,0,E1591*0.03)</f>
        <v>0</v>
      </c>
    </row>
    <row r="1592" customFormat="false" ht="15.75" hidden="false" customHeight="true" outlineLevel="0" collapsed="false">
      <c r="A1592" s="30" t="n">
        <v>45323</v>
      </c>
      <c r="B1592" s="31" t="s">
        <v>7</v>
      </c>
      <c r="C1592" s="32"/>
      <c r="D1592" s="32"/>
      <c r="E1592" s="19" t="n">
        <f aca="false">+F1592*0.03</f>
        <v>0</v>
      </c>
      <c r="F1592" s="33" t="n">
        <v>0</v>
      </c>
      <c r="G1592" s="62"/>
      <c r="H1592" s="35" t="n">
        <v>0</v>
      </c>
      <c r="I1592" s="34" t="n">
        <f aca="false">+IF(E1592=0,0,E1592*0.03)</f>
        <v>0</v>
      </c>
    </row>
    <row r="1593" customFormat="false" ht="15.75" hidden="false" customHeight="true" outlineLevel="0" collapsed="false">
      <c r="A1593" s="30" t="n">
        <v>45323</v>
      </c>
      <c r="B1593" s="31" t="s">
        <v>7</v>
      </c>
      <c r="C1593" s="32"/>
      <c r="D1593" s="32"/>
      <c r="E1593" s="19" t="n">
        <f aca="false">+F1593*0.03</f>
        <v>0</v>
      </c>
      <c r="F1593" s="33" t="n">
        <v>0</v>
      </c>
      <c r="G1593" s="62"/>
      <c r="H1593" s="35" t="n">
        <v>0</v>
      </c>
      <c r="I1593" s="34" t="n">
        <f aca="false">+IF(E1593=0,0,E1593*0.03)</f>
        <v>0</v>
      </c>
    </row>
    <row r="1594" customFormat="false" ht="15.75" hidden="false" customHeight="true" outlineLevel="0" collapsed="false">
      <c r="A1594" s="30" t="n">
        <v>45323</v>
      </c>
      <c r="B1594" s="31" t="s">
        <v>7</v>
      </c>
      <c r="C1594" s="32"/>
      <c r="D1594" s="32"/>
      <c r="E1594" s="19" t="n">
        <f aca="false">+F1594*0.03</f>
        <v>0</v>
      </c>
      <c r="F1594" s="33" t="n">
        <v>0</v>
      </c>
      <c r="G1594" s="62"/>
      <c r="H1594" s="35" t="n">
        <v>0</v>
      </c>
      <c r="I1594" s="34" t="n">
        <f aca="false">+IF(E1594=0,0,E1594*0.03)</f>
        <v>0</v>
      </c>
    </row>
    <row r="1595" customFormat="false" ht="15.75" hidden="false" customHeight="true" outlineLevel="0" collapsed="false">
      <c r="A1595" s="30" t="n">
        <v>45323</v>
      </c>
      <c r="B1595" s="31" t="s">
        <v>7</v>
      </c>
      <c r="C1595" s="32"/>
      <c r="D1595" s="32"/>
      <c r="E1595" s="19" t="n">
        <f aca="false">+F1595*0.03</f>
        <v>0</v>
      </c>
      <c r="F1595" s="33" t="n">
        <v>0</v>
      </c>
      <c r="G1595" s="62"/>
      <c r="H1595" s="35" t="n">
        <v>0</v>
      </c>
      <c r="I1595" s="34" t="n">
        <f aca="false">+IF(E1595=0,0,E1595*0.03)</f>
        <v>0</v>
      </c>
    </row>
    <row r="1596" customFormat="false" ht="15.75" hidden="false" customHeight="true" outlineLevel="0" collapsed="false">
      <c r="A1596" s="30" t="n">
        <v>45323</v>
      </c>
      <c r="B1596" s="31" t="s">
        <v>7</v>
      </c>
      <c r="C1596" s="32"/>
      <c r="D1596" s="32"/>
      <c r="E1596" s="19" t="n">
        <f aca="false">+F1596*0.03</f>
        <v>0</v>
      </c>
      <c r="F1596" s="33" t="n">
        <v>0</v>
      </c>
      <c r="G1596" s="62"/>
      <c r="H1596" s="35" t="n">
        <v>0</v>
      </c>
      <c r="I1596" s="34" t="n">
        <f aca="false">+IF(E1596=0,0,E1596*0.03)</f>
        <v>0</v>
      </c>
    </row>
    <row r="1597" customFormat="false" ht="15.75" hidden="false" customHeight="true" outlineLevel="0" collapsed="false">
      <c r="A1597" s="30" t="n">
        <v>45323</v>
      </c>
      <c r="B1597" s="31" t="s">
        <v>7</v>
      </c>
      <c r="C1597" s="32"/>
      <c r="D1597" s="32"/>
      <c r="E1597" s="19" t="n">
        <f aca="false">+F1597*0.03</f>
        <v>0</v>
      </c>
      <c r="F1597" s="33" t="n">
        <v>0</v>
      </c>
      <c r="G1597" s="62"/>
      <c r="H1597" s="35" t="n">
        <v>0</v>
      </c>
      <c r="I1597" s="34" t="n">
        <f aca="false">+IF(E1597=0,0,E1597*0.03)</f>
        <v>0</v>
      </c>
    </row>
    <row r="1598" customFormat="false" ht="15.75" hidden="false" customHeight="true" outlineLevel="0" collapsed="false">
      <c r="A1598" s="30" t="n">
        <v>45323</v>
      </c>
      <c r="B1598" s="31" t="s">
        <v>7</v>
      </c>
      <c r="C1598" s="32"/>
      <c r="D1598" s="32"/>
      <c r="E1598" s="19" t="n">
        <f aca="false">+F1598*0.03</f>
        <v>0</v>
      </c>
      <c r="F1598" s="33" t="n">
        <v>0</v>
      </c>
      <c r="G1598" s="62"/>
      <c r="H1598" s="35" t="n">
        <v>0</v>
      </c>
      <c r="I1598" s="34" t="n">
        <f aca="false">+IF(E1598=0,0,E1598*0.03)</f>
        <v>0</v>
      </c>
    </row>
    <row r="1599" customFormat="false" ht="15.75" hidden="false" customHeight="true" outlineLevel="0" collapsed="false">
      <c r="A1599" s="30" t="n">
        <v>45323</v>
      </c>
      <c r="B1599" s="31" t="s">
        <v>7</v>
      </c>
      <c r="C1599" s="32"/>
      <c r="D1599" s="32"/>
      <c r="E1599" s="19" t="n">
        <f aca="false">+F1599*0.03</f>
        <v>0</v>
      </c>
      <c r="F1599" s="33" t="n">
        <v>0</v>
      </c>
      <c r="G1599" s="62"/>
      <c r="H1599" s="35" t="n">
        <v>0</v>
      </c>
      <c r="I1599" s="34" t="n">
        <f aca="false">+IF(E1599=0,0,E1599*0.03)</f>
        <v>0</v>
      </c>
    </row>
    <row r="1600" customFormat="false" ht="15.75" hidden="false" customHeight="true" outlineLevel="0" collapsed="false">
      <c r="A1600" s="30" t="n">
        <v>45323</v>
      </c>
      <c r="B1600" s="31" t="s">
        <v>7</v>
      </c>
      <c r="C1600" s="32"/>
      <c r="D1600" s="32"/>
      <c r="E1600" s="19" t="n">
        <f aca="false">+F1600*0.03</f>
        <v>0</v>
      </c>
      <c r="F1600" s="33" t="n">
        <v>0</v>
      </c>
      <c r="G1600" s="62"/>
      <c r="H1600" s="35" t="n">
        <v>0</v>
      </c>
      <c r="I1600" s="34" t="n">
        <f aca="false">+IF(E1600=0,0,E1600*0.03)</f>
        <v>0</v>
      </c>
    </row>
    <row r="1601" customFormat="false" ht="15.75" hidden="false" customHeight="true" outlineLevel="0" collapsed="false">
      <c r="A1601" s="30" t="n">
        <v>45323</v>
      </c>
      <c r="B1601" s="31" t="s">
        <v>7</v>
      </c>
      <c r="C1601" s="32"/>
      <c r="D1601" s="32"/>
      <c r="E1601" s="19" t="n">
        <f aca="false">+F1601*0.03</f>
        <v>0</v>
      </c>
      <c r="F1601" s="33" t="n">
        <v>0</v>
      </c>
      <c r="G1601" s="62"/>
      <c r="H1601" s="35" t="n">
        <v>0</v>
      </c>
      <c r="I1601" s="34" t="n">
        <f aca="false">+IF(E1601=0,0,E1601*0.03)</f>
        <v>0</v>
      </c>
    </row>
    <row r="1602" customFormat="false" ht="15.75" hidden="false" customHeight="true" outlineLevel="0" collapsed="false">
      <c r="A1602" s="30" t="n">
        <v>45323</v>
      </c>
      <c r="B1602" s="31" t="s">
        <v>7</v>
      </c>
      <c r="C1602" s="32"/>
      <c r="D1602" s="32"/>
      <c r="E1602" s="19" t="n">
        <f aca="false">+F1602*0.03</f>
        <v>0</v>
      </c>
      <c r="F1602" s="33" t="n">
        <v>0</v>
      </c>
      <c r="G1602" s="62"/>
      <c r="H1602" s="35" t="n">
        <v>0</v>
      </c>
      <c r="I1602" s="34" t="n">
        <f aca="false">+IF(E1602=0,0,E1602*0.03)</f>
        <v>0</v>
      </c>
    </row>
    <row r="1603" customFormat="false" ht="15.75" hidden="false" customHeight="true" outlineLevel="0" collapsed="false">
      <c r="A1603" s="30" t="n">
        <v>45323</v>
      </c>
      <c r="B1603" s="31" t="s">
        <v>7</v>
      </c>
      <c r="C1603" s="32"/>
      <c r="D1603" s="32"/>
      <c r="E1603" s="19" t="n">
        <f aca="false">+F1603*0.03</f>
        <v>0</v>
      </c>
      <c r="F1603" s="33" t="n">
        <v>0</v>
      </c>
      <c r="G1603" s="62"/>
      <c r="H1603" s="35" t="n">
        <v>0</v>
      </c>
      <c r="I1603" s="34" t="n">
        <f aca="false">+IF(E1603=0,0,E1603*0.03)</f>
        <v>0</v>
      </c>
    </row>
    <row r="1604" customFormat="false" ht="15.75" hidden="false" customHeight="true" outlineLevel="0" collapsed="false">
      <c r="A1604" s="30" t="n">
        <v>45323</v>
      </c>
      <c r="B1604" s="31" t="s">
        <v>7</v>
      </c>
      <c r="C1604" s="32"/>
      <c r="D1604" s="32"/>
      <c r="E1604" s="19" t="n">
        <f aca="false">+F1604*0.03</f>
        <v>0</v>
      </c>
      <c r="F1604" s="33" t="n">
        <v>0</v>
      </c>
      <c r="G1604" s="62"/>
      <c r="H1604" s="35" t="n">
        <v>0</v>
      </c>
      <c r="I1604" s="34" t="n">
        <f aca="false">+IF(E1604=0,0,E1604*0.03)</f>
        <v>0</v>
      </c>
    </row>
    <row r="1605" customFormat="false" ht="15.75" hidden="false" customHeight="true" outlineLevel="0" collapsed="false">
      <c r="A1605" s="30" t="n">
        <v>45323</v>
      </c>
      <c r="B1605" s="31" t="s">
        <v>7</v>
      </c>
      <c r="C1605" s="32"/>
      <c r="D1605" s="32"/>
      <c r="E1605" s="19" t="n">
        <f aca="false">+F1605*0.03</f>
        <v>0</v>
      </c>
      <c r="F1605" s="33" t="n">
        <v>0</v>
      </c>
      <c r="G1605" s="62"/>
      <c r="H1605" s="35" t="n">
        <v>0</v>
      </c>
      <c r="I1605" s="34" t="n">
        <f aca="false">+IF(E1605=0,0,E1605*0.03)</f>
        <v>0</v>
      </c>
    </row>
    <row r="1606" customFormat="false" ht="15.75" hidden="false" customHeight="true" outlineLevel="0" collapsed="false">
      <c r="A1606" s="30" t="n">
        <v>45323</v>
      </c>
      <c r="B1606" s="31" t="s">
        <v>7</v>
      </c>
      <c r="C1606" s="32"/>
      <c r="D1606" s="32"/>
      <c r="E1606" s="19" t="n">
        <f aca="false">+F1606*0.03</f>
        <v>0</v>
      </c>
      <c r="F1606" s="33" t="n">
        <v>0</v>
      </c>
      <c r="G1606" s="62"/>
      <c r="H1606" s="35" t="n">
        <v>0</v>
      </c>
      <c r="I1606" s="34" t="n">
        <f aca="false">+IF(E1606=0,0,E1606*0.03)</f>
        <v>0</v>
      </c>
    </row>
    <row r="1607" customFormat="false" ht="15.75" hidden="false" customHeight="true" outlineLevel="0" collapsed="false">
      <c r="A1607" s="30" t="n">
        <v>45323</v>
      </c>
      <c r="B1607" s="31" t="s">
        <v>7</v>
      </c>
      <c r="C1607" s="32"/>
      <c r="D1607" s="32"/>
      <c r="E1607" s="19" t="n">
        <f aca="false">+F1607*0.03</f>
        <v>0</v>
      </c>
      <c r="F1607" s="33" t="n">
        <v>0</v>
      </c>
      <c r="G1607" s="62"/>
      <c r="H1607" s="35" t="n">
        <v>0</v>
      </c>
      <c r="I1607" s="34" t="n">
        <f aca="false">+IF(E1607=0,0,E1607*0.03)</f>
        <v>0</v>
      </c>
    </row>
    <row r="1608" customFormat="false" ht="15.75" hidden="false" customHeight="true" outlineLevel="0" collapsed="false">
      <c r="A1608" s="30" t="n">
        <v>45323</v>
      </c>
      <c r="B1608" s="31" t="s">
        <v>7</v>
      </c>
      <c r="C1608" s="32"/>
      <c r="D1608" s="32"/>
      <c r="E1608" s="19" t="n">
        <f aca="false">+F1608*0.03</f>
        <v>0</v>
      </c>
      <c r="F1608" s="33" t="n">
        <v>0</v>
      </c>
      <c r="G1608" s="62"/>
      <c r="H1608" s="35" t="n">
        <v>0</v>
      </c>
      <c r="I1608" s="34" t="n">
        <f aca="false">+IF(E1608=0,0,E1608*0.03)</f>
        <v>0</v>
      </c>
    </row>
    <row r="1609" customFormat="false" ht="15.75" hidden="false" customHeight="true" outlineLevel="0" collapsed="false">
      <c r="A1609" s="30" t="n">
        <v>45323</v>
      </c>
      <c r="B1609" s="31" t="s">
        <v>7</v>
      </c>
      <c r="C1609" s="32"/>
      <c r="D1609" s="32"/>
      <c r="E1609" s="19" t="n">
        <f aca="false">+F1609*0.03</f>
        <v>0</v>
      </c>
      <c r="F1609" s="33" t="n">
        <v>0</v>
      </c>
      <c r="G1609" s="62"/>
      <c r="H1609" s="35" t="n">
        <v>0</v>
      </c>
      <c r="I1609" s="34" t="n">
        <f aca="false">+IF(E1609=0,0,E1609*0.03)</f>
        <v>0</v>
      </c>
    </row>
    <row r="1610" customFormat="false" ht="15.75" hidden="false" customHeight="true" outlineLevel="0" collapsed="false">
      <c r="A1610" s="30" t="n">
        <v>45323</v>
      </c>
      <c r="B1610" s="31" t="s">
        <v>7</v>
      </c>
      <c r="C1610" s="32"/>
      <c r="D1610" s="32"/>
      <c r="E1610" s="19" t="n">
        <f aca="false">+F1610*0.03</f>
        <v>0</v>
      </c>
      <c r="F1610" s="33" t="n">
        <v>0</v>
      </c>
      <c r="G1610" s="62"/>
      <c r="H1610" s="35" t="n">
        <v>0</v>
      </c>
      <c r="I1610" s="34" t="n">
        <f aca="false">+IF(E1610=0,0,E1610*0.03)</f>
        <v>0</v>
      </c>
    </row>
    <row r="1611" customFormat="false" ht="15.75" hidden="false" customHeight="true" outlineLevel="0" collapsed="false">
      <c r="A1611" s="30" t="n">
        <v>45323</v>
      </c>
      <c r="B1611" s="31" t="s">
        <v>7</v>
      </c>
      <c r="C1611" s="32"/>
      <c r="D1611" s="32"/>
      <c r="E1611" s="19" t="n">
        <f aca="false">+F1611*0.03</f>
        <v>0</v>
      </c>
      <c r="F1611" s="33" t="n">
        <v>0</v>
      </c>
      <c r="G1611" s="62"/>
      <c r="H1611" s="35" t="n">
        <v>0</v>
      </c>
      <c r="I1611" s="34" t="n">
        <f aca="false">+IF(E1611=0,0,E1611*0.03)</f>
        <v>0</v>
      </c>
    </row>
    <row r="1612" customFormat="false" ht="15.75" hidden="false" customHeight="true" outlineLevel="0" collapsed="false">
      <c r="A1612" s="30" t="n">
        <v>45323</v>
      </c>
      <c r="B1612" s="31" t="s">
        <v>7</v>
      </c>
      <c r="C1612" s="32"/>
      <c r="D1612" s="32"/>
      <c r="E1612" s="19" t="n">
        <f aca="false">+F1612*0.03</f>
        <v>0</v>
      </c>
      <c r="F1612" s="33" t="n">
        <v>0</v>
      </c>
      <c r="G1612" s="62"/>
      <c r="H1612" s="35" t="n">
        <v>0</v>
      </c>
      <c r="I1612" s="34" t="n">
        <f aca="false">+IF(E1612=0,0,E1612*0.03)</f>
        <v>0</v>
      </c>
    </row>
    <row r="1613" customFormat="false" ht="15.75" hidden="false" customHeight="true" outlineLevel="0" collapsed="false">
      <c r="A1613" s="30" t="n">
        <v>45323</v>
      </c>
      <c r="B1613" s="31" t="s">
        <v>7</v>
      </c>
      <c r="C1613" s="32"/>
      <c r="D1613" s="32"/>
      <c r="E1613" s="19" t="n">
        <f aca="false">+F1613*0.03</f>
        <v>0</v>
      </c>
      <c r="F1613" s="33" t="n">
        <v>0</v>
      </c>
      <c r="G1613" s="62"/>
      <c r="H1613" s="35" t="n">
        <v>0</v>
      </c>
      <c r="I1613" s="34" t="n">
        <f aca="false">+IF(E1613=0,0,E1613*0.03)</f>
        <v>0</v>
      </c>
    </row>
    <row r="1614" customFormat="false" ht="15.75" hidden="false" customHeight="true" outlineLevel="0" collapsed="false">
      <c r="A1614" s="30" t="n">
        <v>45323</v>
      </c>
      <c r="B1614" s="31" t="s">
        <v>7</v>
      </c>
      <c r="C1614" s="32"/>
      <c r="D1614" s="32"/>
      <c r="E1614" s="19" t="n">
        <f aca="false">+F1614*0.03</f>
        <v>0</v>
      </c>
      <c r="F1614" s="33" t="n">
        <v>0</v>
      </c>
      <c r="G1614" s="62"/>
      <c r="H1614" s="35" t="n">
        <v>0</v>
      </c>
      <c r="I1614" s="34" t="n">
        <f aca="false">+IF(E1614=0,0,E1614*0.03)</f>
        <v>0</v>
      </c>
    </row>
    <row r="1615" customFormat="false" ht="15.75" hidden="false" customHeight="true" outlineLevel="0" collapsed="false">
      <c r="A1615" s="30" t="n">
        <v>45323</v>
      </c>
      <c r="B1615" s="31" t="s">
        <v>7</v>
      </c>
      <c r="C1615" s="32"/>
      <c r="D1615" s="32"/>
      <c r="E1615" s="19" t="n">
        <f aca="false">+F1615*0.03</f>
        <v>0</v>
      </c>
      <c r="F1615" s="33" t="n">
        <v>0</v>
      </c>
      <c r="G1615" s="62"/>
      <c r="H1615" s="35" t="n">
        <v>0</v>
      </c>
      <c r="I1615" s="34" t="n">
        <f aca="false">+IF(E1615=0,0,E1615*0.03)</f>
        <v>0</v>
      </c>
    </row>
    <row r="1616" customFormat="false" ht="15.75" hidden="false" customHeight="true" outlineLevel="0" collapsed="false">
      <c r="A1616" s="30" t="n">
        <v>45323</v>
      </c>
      <c r="B1616" s="31" t="s">
        <v>7</v>
      </c>
      <c r="C1616" s="32"/>
      <c r="D1616" s="32"/>
      <c r="E1616" s="19" t="n">
        <f aca="false">+F1616*0.03</f>
        <v>0</v>
      </c>
      <c r="F1616" s="33" t="n">
        <v>0</v>
      </c>
      <c r="G1616" s="62"/>
      <c r="H1616" s="35" t="n">
        <v>0</v>
      </c>
      <c r="I1616" s="34" t="n">
        <f aca="false">+IF(E1616=0,0,E1616*0.03)</f>
        <v>0</v>
      </c>
    </row>
    <row r="1617" customFormat="false" ht="15.75" hidden="false" customHeight="true" outlineLevel="0" collapsed="false">
      <c r="A1617" s="30" t="n">
        <v>45323</v>
      </c>
      <c r="B1617" s="31" t="s">
        <v>7</v>
      </c>
      <c r="C1617" s="32"/>
      <c r="D1617" s="32"/>
      <c r="E1617" s="19" t="n">
        <f aca="false">+F1617*0.03</f>
        <v>0</v>
      </c>
      <c r="F1617" s="33" t="n">
        <v>0</v>
      </c>
      <c r="G1617" s="62"/>
      <c r="H1617" s="35" t="n">
        <v>0</v>
      </c>
      <c r="I1617" s="34" t="n">
        <f aca="false">+IF(E1617=0,0,E1617*0.03)</f>
        <v>0</v>
      </c>
    </row>
    <row r="1618" customFormat="false" ht="15.75" hidden="false" customHeight="true" outlineLevel="0" collapsed="false">
      <c r="A1618" s="30" t="n">
        <v>45323</v>
      </c>
      <c r="B1618" s="31" t="s">
        <v>7</v>
      </c>
      <c r="C1618" s="32"/>
      <c r="D1618" s="32"/>
      <c r="E1618" s="19" t="n">
        <f aca="false">+F1618*0.03</f>
        <v>0</v>
      </c>
      <c r="F1618" s="33" t="n">
        <v>0</v>
      </c>
      <c r="G1618" s="62"/>
      <c r="H1618" s="35" t="n">
        <v>0</v>
      </c>
      <c r="I1618" s="34" t="n">
        <f aca="false">+IF(E1618=0,0,E1618*0.03)</f>
        <v>0</v>
      </c>
    </row>
    <row r="1619" customFormat="false" ht="15.75" hidden="false" customHeight="true" outlineLevel="0" collapsed="false">
      <c r="A1619" s="30" t="n">
        <v>45323</v>
      </c>
      <c r="B1619" s="31" t="s">
        <v>7</v>
      </c>
      <c r="C1619" s="32"/>
      <c r="D1619" s="32"/>
      <c r="E1619" s="19" t="n">
        <f aca="false">+F1619*0.03</f>
        <v>0</v>
      </c>
      <c r="F1619" s="33" t="n">
        <v>0</v>
      </c>
      <c r="G1619" s="62"/>
      <c r="H1619" s="35" t="n">
        <v>0</v>
      </c>
      <c r="I1619" s="34" t="n">
        <f aca="false">+IF(E1619=0,0,E1619*0.03)</f>
        <v>0</v>
      </c>
    </row>
    <row r="1620" customFormat="false" ht="15.75" hidden="false" customHeight="true" outlineLevel="0" collapsed="false">
      <c r="A1620" s="30" t="n">
        <v>45323</v>
      </c>
      <c r="B1620" s="31" t="s">
        <v>7</v>
      </c>
      <c r="C1620" s="32"/>
      <c r="D1620" s="32"/>
      <c r="E1620" s="19" t="n">
        <f aca="false">+F1620*0.03</f>
        <v>0</v>
      </c>
      <c r="F1620" s="33" t="n">
        <v>0</v>
      </c>
      <c r="G1620" s="62"/>
      <c r="H1620" s="35" t="n">
        <v>0</v>
      </c>
      <c r="I1620" s="34" t="n">
        <f aca="false">+IF(E1620=0,0,E1620*0.03)</f>
        <v>0</v>
      </c>
    </row>
    <row r="1621" customFormat="false" ht="15.75" hidden="false" customHeight="true" outlineLevel="0" collapsed="false">
      <c r="A1621" s="30" t="n">
        <v>45323</v>
      </c>
      <c r="B1621" s="31" t="s">
        <v>7</v>
      </c>
      <c r="C1621" s="32"/>
      <c r="D1621" s="32"/>
      <c r="E1621" s="19" t="n">
        <f aca="false">+F1621*0.03</f>
        <v>0</v>
      </c>
      <c r="F1621" s="33" t="n">
        <v>0</v>
      </c>
      <c r="G1621" s="62"/>
      <c r="H1621" s="35" t="n">
        <v>0</v>
      </c>
      <c r="I1621" s="34" t="n">
        <f aca="false">+IF(E1621=0,0,E1621*0.03)</f>
        <v>0</v>
      </c>
    </row>
    <row r="1622" customFormat="false" ht="15.75" hidden="false" customHeight="true" outlineLevel="0" collapsed="false">
      <c r="A1622" s="30" t="n">
        <v>45323</v>
      </c>
      <c r="B1622" s="31" t="s">
        <v>7</v>
      </c>
      <c r="C1622" s="32"/>
      <c r="D1622" s="32"/>
      <c r="E1622" s="19" t="n">
        <f aca="false">+F1622*0.03</f>
        <v>0</v>
      </c>
      <c r="F1622" s="33" t="n">
        <v>0</v>
      </c>
      <c r="G1622" s="62"/>
      <c r="H1622" s="35" t="n">
        <v>0</v>
      </c>
      <c r="I1622" s="34" t="n">
        <f aca="false">+IF(E1622=0,0,E1622*0.03)</f>
        <v>0</v>
      </c>
    </row>
    <row r="1623" customFormat="false" ht="15.75" hidden="false" customHeight="true" outlineLevel="0" collapsed="false">
      <c r="A1623" s="30" t="n">
        <v>45323</v>
      </c>
      <c r="B1623" s="31" t="s">
        <v>7</v>
      </c>
      <c r="C1623" s="32"/>
      <c r="D1623" s="32"/>
      <c r="E1623" s="19" t="n">
        <f aca="false">+F1623*0.03</f>
        <v>0</v>
      </c>
      <c r="F1623" s="33" t="n">
        <v>0</v>
      </c>
      <c r="G1623" s="62"/>
      <c r="H1623" s="35" t="n">
        <v>0</v>
      </c>
      <c r="I1623" s="34" t="n">
        <f aca="false">+IF(E1623=0,0,E1623*0.03)</f>
        <v>0</v>
      </c>
    </row>
    <row r="1624" customFormat="false" ht="15.75" hidden="false" customHeight="true" outlineLevel="0" collapsed="false">
      <c r="A1624" s="30" t="n">
        <v>45323</v>
      </c>
      <c r="B1624" s="31" t="s">
        <v>7</v>
      </c>
      <c r="C1624" s="32"/>
      <c r="D1624" s="32"/>
      <c r="E1624" s="19" t="n">
        <f aca="false">+F1624*0.03</f>
        <v>0</v>
      </c>
      <c r="F1624" s="33" t="n">
        <v>0</v>
      </c>
      <c r="G1624" s="62"/>
      <c r="H1624" s="35" t="n">
        <v>0</v>
      </c>
      <c r="I1624" s="34" t="n">
        <f aca="false">+IF(E1624=0,0,E1624*0.03)</f>
        <v>0</v>
      </c>
    </row>
    <row r="1625" customFormat="false" ht="15.75" hidden="false" customHeight="true" outlineLevel="0" collapsed="false">
      <c r="A1625" s="30" t="n">
        <v>45323</v>
      </c>
      <c r="B1625" s="31" t="s">
        <v>7</v>
      </c>
      <c r="C1625" s="32"/>
      <c r="D1625" s="32"/>
      <c r="E1625" s="19" t="n">
        <f aca="false">+F1625*0.03</f>
        <v>0</v>
      </c>
      <c r="F1625" s="33" t="n">
        <v>0</v>
      </c>
      <c r="G1625" s="62"/>
      <c r="H1625" s="35" t="n">
        <v>0</v>
      </c>
      <c r="I1625" s="34" t="n">
        <f aca="false">+IF(E1625=0,0,E1625*0.03)</f>
        <v>0</v>
      </c>
    </row>
    <row r="1626" customFormat="false" ht="15.75" hidden="false" customHeight="true" outlineLevel="0" collapsed="false">
      <c r="A1626" s="30" t="n">
        <v>45323</v>
      </c>
      <c r="B1626" s="31" t="s">
        <v>7</v>
      </c>
      <c r="C1626" s="32"/>
      <c r="D1626" s="32"/>
      <c r="E1626" s="19" t="n">
        <f aca="false">+F1626*0.03</f>
        <v>0</v>
      </c>
      <c r="F1626" s="33" t="n">
        <v>0</v>
      </c>
      <c r="G1626" s="62"/>
      <c r="H1626" s="35" t="n">
        <v>0</v>
      </c>
      <c r="I1626" s="34" t="n">
        <f aca="false">+IF(E1626=0,0,E1626*0.03)</f>
        <v>0</v>
      </c>
    </row>
    <row r="1627" customFormat="false" ht="15.75" hidden="false" customHeight="true" outlineLevel="0" collapsed="false">
      <c r="A1627" s="30" t="n">
        <v>45323</v>
      </c>
      <c r="B1627" s="31" t="s">
        <v>7</v>
      </c>
      <c r="C1627" s="32"/>
      <c r="D1627" s="32"/>
      <c r="E1627" s="19" t="n">
        <f aca="false">+F1627*0.03</f>
        <v>0</v>
      </c>
      <c r="F1627" s="33" t="n">
        <v>0</v>
      </c>
      <c r="G1627" s="62"/>
      <c r="H1627" s="35" t="n">
        <v>0</v>
      </c>
      <c r="I1627" s="34" t="n">
        <f aca="false">+IF(E1627=0,0,E1627*0.03)</f>
        <v>0</v>
      </c>
    </row>
    <row r="1628" customFormat="false" ht="15.75" hidden="false" customHeight="true" outlineLevel="0" collapsed="false">
      <c r="A1628" s="30" t="n">
        <v>45323</v>
      </c>
      <c r="B1628" s="31" t="s">
        <v>7</v>
      </c>
      <c r="C1628" s="32"/>
      <c r="D1628" s="32"/>
      <c r="E1628" s="19" t="n">
        <f aca="false">+F1628*0.03</f>
        <v>0</v>
      </c>
      <c r="F1628" s="33" t="n">
        <v>0</v>
      </c>
      <c r="G1628" s="62"/>
      <c r="H1628" s="35" t="n">
        <v>0</v>
      </c>
      <c r="I1628" s="34" t="n">
        <f aca="false">+IF(E1628=0,0,E1628*0.03)</f>
        <v>0</v>
      </c>
    </row>
    <row r="1629" customFormat="false" ht="15.75" hidden="false" customHeight="true" outlineLevel="0" collapsed="false">
      <c r="A1629" s="30" t="n">
        <v>45323</v>
      </c>
      <c r="B1629" s="31" t="s">
        <v>7</v>
      </c>
      <c r="C1629" s="32"/>
      <c r="D1629" s="32"/>
      <c r="E1629" s="19" t="n">
        <f aca="false">+F1629*0.03</f>
        <v>0</v>
      </c>
      <c r="F1629" s="33" t="n">
        <v>0</v>
      </c>
      <c r="G1629" s="62"/>
      <c r="H1629" s="35" t="n">
        <v>0</v>
      </c>
      <c r="I1629" s="34" t="n">
        <f aca="false">+IF(E1629=0,0,E1629*0.03)</f>
        <v>0</v>
      </c>
    </row>
    <row r="1630" customFormat="false" ht="15.75" hidden="false" customHeight="true" outlineLevel="0" collapsed="false">
      <c r="A1630" s="30" t="n">
        <v>45323</v>
      </c>
      <c r="B1630" s="31" t="s">
        <v>7</v>
      </c>
      <c r="C1630" s="32"/>
      <c r="D1630" s="32"/>
      <c r="E1630" s="19" t="n">
        <f aca="false">+F1630*0.03</f>
        <v>0</v>
      </c>
      <c r="F1630" s="33" t="n">
        <v>0</v>
      </c>
      <c r="G1630" s="62"/>
      <c r="H1630" s="35" t="n">
        <v>0</v>
      </c>
      <c r="I1630" s="34" t="n">
        <f aca="false">+IF(E1630=0,0,E1630*0.03)</f>
        <v>0</v>
      </c>
    </row>
    <row r="1631" customFormat="false" ht="15.75" hidden="false" customHeight="true" outlineLevel="0" collapsed="false">
      <c r="A1631" s="30" t="n">
        <v>45323</v>
      </c>
      <c r="B1631" s="31" t="s">
        <v>7</v>
      </c>
      <c r="C1631" s="32"/>
      <c r="D1631" s="32"/>
      <c r="E1631" s="19" t="n">
        <f aca="false">+F1631*0.03</f>
        <v>0</v>
      </c>
      <c r="F1631" s="33" t="n">
        <v>0</v>
      </c>
      <c r="G1631" s="62"/>
      <c r="H1631" s="35" t="n">
        <v>0</v>
      </c>
      <c r="I1631" s="34" t="n">
        <f aca="false">+IF(E1631=0,0,E1631*0.03)</f>
        <v>0</v>
      </c>
    </row>
    <row r="1632" customFormat="false" ht="15.75" hidden="false" customHeight="true" outlineLevel="0" collapsed="false">
      <c r="A1632" s="30" t="n">
        <v>45323</v>
      </c>
      <c r="B1632" s="31" t="s">
        <v>7</v>
      </c>
      <c r="C1632" s="32"/>
      <c r="D1632" s="32"/>
      <c r="E1632" s="19" t="n">
        <f aca="false">+F1632*0.03</f>
        <v>0</v>
      </c>
      <c r="F1632" s="33" t="n">
        <v>0</v>
      </c>
      <c r="G1632" s="62"/>
      <c r="H1632" s="35" t="n">
        <v>0</v>
      </c>
      <c r="I1632" s="34" t="n">
        <f aca="false">+IF(E1632=0,0,E1632*0.03)</f>
        <v>0</v>
      </c>
    </row>
    <row r="1633" customFormat="false" ht="15.75" hidden="false" customHeight="true" outlineLevel="0" collapsed="false">
      <c r="A1633" s="30" t="n">
        <v>45323</v>
      </c>
      <c r="B1633" s="31" t="s">
        <v>7</v>
      </c>
      <c r="C1633" s="32"/>
      <c r="D1633" s="32"/>
      <c r="E1633" s="19" t="n">
        <f aca="false">+F1633*0.03</f>
        <v>0</v>
      </c>
      <c r="F1633" s="33" t="n">
        <v>0</v>
      </c>
      <c r="G1633" s="62"/>
      <c r="H1633" s="35" t="n">
        <v>0</v>
      </c>
      <c r="I1633" s="34" t="n">
        <f aca="false">+IF(E1633=0,0,E1633*0.03)</f>
        <v>0</v>
      </c>
    </row>
    <row r="1634" customFormat="false" ht="15.75" hidden="false" customHeight="true" outlineLevel="0" collapsed="false">
      <c r="A1634" s="30" t="n">
        <v>45323</v>
      </c>
      <c r="B1634" s="31" t="s">
        <v>7</v>
      </c>
      <c r="C1634" s="32"/>
      <c r="D1634" s="32"/>
      <c r="E1634" s="19" t="n">
        <f aca="false">+F1634*0.03</f>
        <v>0</v>
      </c>
      <c r="F1634" s="33" t="n">
        <v>0</v>
      </c>
      <c r="G1634" s="62"/>
      <c r="H1634" s="35" t="n">
        <v>0</v>
      </c>
      <c r="I1634" s="34" t="n">
        <f aca="false">+IF(E1634=0,0,E1634*0.03)</f>
        <v>0</v>
      </c>
    </row>
    <row r="1635" customFormat="false" ht="15.75" hidden="false" customHeight="true" outlineLevel="0" collapsed="false">
      <c r="A1635" s="30" t="n">
        <v>45323</v>
      </c>
      <c r="B1635" s="31" t="s">
        <v>7</v>
      </c>
      <c r="C1635" s="32"/>
      <c r="D1635" s="32"/>
      <c r="E1635" s="19" t="n">
        <f aca="false">+F1635*0.03</f>
        <v>0</v>
      </c>
      <c r="F1635" s="33" t="n">
        <v>0</v>
      </c>
      <c r="G1635" s="62"/>
      <c r="H1635" s="35" t="n">
        <v>0</v>
      </c>
      <c r="I1635" s="34" t="n">
        <f aca="false">+IF(E1635=0,0,E1635*0.03)</f>
        <v>0</v>
      </c>
    </row>
    <row r="1636" customFormat="false" ht="15.75" hidden="false" customHeight="true" outlineLevel="0" collapsed="false">
      <c r="A1636" s="30" t="n">
        <v>45323</v>
      </c>
      <c r="B1636" s="31" t="s">
        <v>7</v>
      </c>
      <c r="C1636" s="32"/>
      <c r="D1636" s="32"/>
      <c r="E1636" s="19" t="n">
        <f aca="false">+F1636*0.03</f>
        <v>0</v>
      </c>
      <c r="F1636" s="33" t="n">
        <v>0</v>
      </c>
      <c r="G1636" s="62"/>
      <c r="H1636" s="35" t="n">
        <v>0</v>
      </c>
      <c r="I1636" s="34" t="n">
        <f aca="false">+IF(E1636=0,0,E1636*0.03)</f>
        <v>0</v>
      </c>
    </row>
    <row r="1637" customFormat="false" ht="15.75" hidden="false" customHeight="true" outlineLevel="0" collapsed="false">
      <c r="A1637" s="30" t="n">
        <v>45323</v>
      </c>
      <c r="B1637" s="31" t="s">
        <v>7</v>
      </c>
      <c r="C1637" s="32"/>
      <c r="D1637" s="32"/>
      <c r="E1637" s="19" t="n">
        <f aca="false">+F1637*0.03</f>
        <v>0</v>
      </c>
      <c r="F1637" s="33" t="n">
        <v>0</v>
      </c>
      <c r="G1637" s="62"/>
      <c r="H1637" s="35" t="n">
        <v>0</v>
      </c>
      <c r="I1637" s="34" t="n">
        <f aca="false">+IF(E1637=0,0,E1637*0.03)</f>
        <v>0</v>
      </c>
    </row>
    <row r="1638" customFormat="false" ht="15.75" hidden="false" customHeight="true" outlineLevel="0" collapsed="false">
      <c r="A1638" s="30" t="n">
        <v>45323</v>
      </c>
      <c r="B1638" s="31" t="s">
        <v>7</v>
      </c>
      <c r="C1638" s="32"/>
      <c r="D1638" s="32"/>
      <c r="E1638" s="19" t="n">
        <f aca="false">+F1638*0.03</f>
        <v>0</v>
      </c>
      <c r="F1638" s="33" t="n">
        <v>0</v>
      </c>
      <c r="G1638" s="62"/>
      <c r="H1638" s="35" t="n">
        <v>0</v>
      </c>
      <c r="I1638" s="34" t="n">
        <f aca="false">+IF(E1638=0,0,E1638*0.03)</f>
        <v>0</v>
      </c>
    </row>
    <row r="1639" customFormat="false" ht="15.75" hidden="false" customHeight="true" outlineLevel="0" collapsed="false">
      <c r="A1639" s="30" t="n">
        <v>45323</v>
      </c>
      <c r="B1639" s="31" t="s">
        <v>7</v>
      </c>
      <c r="C1639" s="32"/>
      <c r="D1639" s="32"/>
      <c r="E1639" s="19" t="n">
        <f aca="false">+F1639*0.03</f>
        <v>0</v>
      </c>
      <c r="F1639" s="33" t="n">
        <v>0</v>
      </c>
      <c r="G1639" s="62"/>
      <c r="H1639" s="35" t="n">
        <v>0</v>
      </c>
      <c r="I1639" s="34" t="n">
        <f aca="false">+IF(E1639=0,0,E1639*0.03)</f>
        <v>0</v>
      </c>
    </row>
    <row r="1640" customFormat="false" ht="15.75" hidden="false" customHeight="true" outlineLevel="0" collapsed="false">
      <c r="A1640" s="30" t="n">
        <v>45323</v>
      </c>
      <c r="B1640" s="31" t="s">
        <v>7</v>
      </c>
      <c r="C1640" s="32"/>
      <c r="D1640" s="32"/>
      <c r="E1640" s="19" t="n">
        <f aca="false">+F1640*0.03</f>
        <v>0</v>
      </c>
      <c r="F1640" s="33" t="n">
        <v>0</v>
      </c>
      <c r="G1640" s="62"/>
      <c r="H1640" s="35" t="n">
        <v>0</v>
      </c>
      <c r="I1640" s="34" t="n">
        <f aca="false">+IF(E1640=0,0,E1640*0.03)</f>
        <v>0</v>
      </c>
    </row>
    <row r="1641" customFormat="false" ht="15.75" hidden="false" customHeight="true" outlineLevel="0" collapsed="false">
      <c r="A1641" s="30" t="n">
        <v>45323</v>
      </c>
      <c r="B1641" s="31" t="s">
        <v>7</v>
      </c>
      <c r="C1641" s="32"/>
      <c r="D1641" s="32"/>
      <c r="E1641" s="19" t="n">
        <f aca="false">+F1641*0.03</f>
        <v>0</v>
      </c>
      <c r="F1641" s="33" t="n">
        <v>0</v>
      </c>
      <c r="G1641" s="62"/>
      <c r="H1641" s="35" t="n">
        <v>0</v>
      </c>
      <c r="I1641" s="34" t="n">
        <f aca="false">+IF(E1641=0,0,E1641*0.03)</f>
        <v>0</v>
      </c>
    </row>
    <row r="1642" customFormat="false" ht="15.75" hidden="false" customHeight="true" outlineLevel="0" collapsed="false">
      <c r="A1642" s="30" t="n">
        <v>45323</v>
      </c>
      <c r="B1642" s="31" t="s">
        <v>7</v>
      </c>
      <c r="C1642" s="32"/>
      <c r="D1642" s="32"/>
      <c r="E1642" s="19" t="n">
        <f aca="false">+F1642*0.03</f>
        <v>0</v>
      </c>
      <c r="F1642" s="33" t="n">
        <v>0</v>
      </c>
      <c r="G1642" s="62"/>
      <c r="H1642" s="35" t="n">
        <v>0</v>
      </c>
      <c r="I1642" s="34" t="n">
        <f aca="false">+IF(E1642=0,0,E1642*0.03)</f>
        <v>0</v>
      </c>
    </row>
    <row r="1643" customFormat="false" ht="15.75" hidden="false" customHeight="true" outlineLevel="0" collapsed="false">
      <c r="A1643" s="30" t="n">
        <v>45323</v>
      </c>
      <c r="B1643" s="31" t="s">
        <v>7</v>
      </c>
      <c r="C1643" s="32"/>
      <c r="D1643" s="32"/>
      <c r="E1643" s="19" t="n">
        <f aca="false">+F1643*0.03</f>
        <v>0</v>
      </c>
      <c r="F1643" s="33" t="n">
        <v>0</v>
      </c>
      <c r="G1643" s="62"/>
      <c r="H1643" s="35" t="n">
        <v>0</v>
      </c>
      <c r="I1643" s="34" t="n">
        <f aca="false">+IF(E1643=0,0,E1643*0.03)</f>
        <v>0</v>
      </c>
    </row>
    <row r="1644" customFormat="false" ht="15.75" hidden="false" customHeight="true" outlineLevel="0" collapsed="false">
      <c r="A1644" s="30" t="n">
        <v>45323</v>
      </c>
      <c r="B1644" s="31" t="s">
        <v>7</v>
      </c>
      <c r="C1644" s="32"/>
      <c r="D1644" s="32"/>
      <c r="E1644" s="19" t="n">
        <f aca="false">+F1644*0.03</f>
        <v>0</v>
      </c>
      <c r="F1644" s="33" t="n">
        <v>0</v>
      </c>
      <c r="G1644" s="62"/>
      <c r="H1644" s="35" t="n">
        <v>0</v>
      </c>
      <c r="I1644" s="34" t="n">
        <f aca="false">+IF(E1644=0,0,E1644*0.03)</f>
        <v>0</v>
      </c>
    </row>
    <row r="1645" customFormat="false" ht="15.75" hidden="false" customHeight="true" outlineLevel="0" collapsed="false">
      <c r="A1645" s="30" t="n">
        <v>45323</v>
      </c>
      <c r="B1645" s="31" t="s">
        <v>7</v>
      </c>
      <c r="C1645" s="32"/>
      <c r="D1645" s="32"/>
      <c r="E1645" s="19" t="n">
        <f aca="false">+F1645*0.03</f>
        <v>0</v>
      </c>
      <c r="F1645" s="33" t="n">
        <v>0</v>
      </c>
      <c r="G1645" s="62"/>
      <c r="H1645" s="35" t="n">
        <v>0</v>
      </c>
      <c r="I1645" s="34" t="n">
        <f aca="false">+IF(E1645=0,0,E1645*0.03)</f>
        <v>0</v>
      </c>
    </row>
    <row r="1646" customFormat="false" ht="15.75" hidden="false" customHeight="true" outlineLevel="0" collapsed="false">
      <c r="A1646" s="30" t="n">
        <v>45323</v>
      </c>
      <c r="B1646" s="31" t="s">
        <v>7</v>
      </c>
      <c r="C1646" s="32"/>
      <c r="D1646" s="32"/>
      <c r="E1646" s="19" t="n">
        <f aca="false">+F1646*0.03</f>
        <v>0</v>
      </c>
      <c r="F1646" s="33" t="n">
        <v>0</v>
      </c>
      <c r="G1646" s="62"/>
      <c r="H1646" s="35" t="n">
        <v>0</v>
      </c>
      <c r="I1646" s="34" t="n">
        <f aca="false">+IF(E1646=0,0,E1646*0.03)</f>
        <v>0</v>
      </c>
    </row>
    <row r="1647" customFormat="false" ht="15.75" hidden="false" customHeight="true" outlineLevel="0" collapsed="false">
      <c r="A1647" s="30" t="n">
        <v>45323</v>
      </c>
      <c r="B1647" s="31" t="s">
        <v>7</v>
      </c>
      <c r="C1647" s="32"/>
      <c r="D1647" s="32"/>
      <c r="E1647" s="19" t="n">
        <f aca="false">+F1647*0.03</f>
        <v>0</v>
      </c>
      <c r="F1647" s="33" t="n">
        <v>0</v>
      </c>
      <c r="G1647" s="62"/>
      <c r="H1647" s="35" t="n">
        <v>0</v>
      </c>
      <c r="I1647" s="34" t="n">
        <f aca="false">+IF(E1647=0,0,E1647*0.03)</f>
        <v>0</v>
      </c>
    </row>
    <row r="1648" customFormat="false" ht="15.75" hidden="false" customHeight="true" outlineLevel="0" collapsed="false">
      <c r="A1648" s="30" t="n">
        <v>45323</v>
      </c>
      <c r="B1648" s="31" t="s">
        <v>7</v>
      </c>
      <c r="C1648" s="32"/>
      <c r="D1648" s="32"/>
      <c r="E1648" s="19" t="n">
        <f aca="false">+F1648*0.03</f>
        <v>0</v>
      </c>
      <c r="F1648" s="33" t="n">
        <v>0</v>
      </c>
      <c r="G1648" s="62"/>
      <c r="H1648" s="35" t="n">
        <v>0</v>
      </c>
      <c r="I1648" s="34" t="n">
        <f aca="false">+IF(E1648=0,0,E1648*0.03)</f>
        <v>0</v>
      </c>
    </row>
    <row r="1649" customFormat="false" ht="15.75" hidden="false" customHeight="true" outlineLevel="0" collapsed="false">
      <c r="A1649" s="30" t="n">
        <v>45323</v>
      </c>
      <c r="B1649" s="31" t="s">
        <v>7</v>
      </c>
      <c r="C1649" s="32"/>
      <c r="D1649" s="32"/>
      <c r="E1649" s="19" t="n">
        <f aca="false">+F1649*0.03</f>
        <v>0</v>
      </c>
      <c r="F1649" s="33" t="n">
        <v>0</v>
      </c>
      <c r="G1649" s="62"/>
      <c r="H1649" s="35" t="n">
        <v>0</v>
      </c>
      <c r="I1649" s="34" t="n">
        <f aca="false">+IF(E1649=0,0,E1649*0.03)</f>
        <v>0</v>
      </c>
    </row>
    <row r="1650" customFormat="false" ht="15.75" hidden="false" customHeight="true" outlineLevel="0" collapsed="false">
      <c r="A1650" s="30" t="n">
        <v>45323</v>
      </c>
      <c r="B1650" s="31" t="s">
        <v>7</v>
      </c>
      <c r="C1650" s="32"/>
      <c r="D1650" s="32"/>
      <c r="E1650" s="19" t="n">
        <f aca="false">+F1650*0.03</f>
        <v>0</v>
      </c>
      <c r="F1650" s="33" t="n">
        <v>0</v>
      </c>
      <c r="G1650" s="62"/>
      <c r="H1650" s="35" t="n">
        <v>0</v>
      </c>
      <c r="I1650" s="34" t="n">
        <f aca="false">+IF(E1650=0,0,E1650*0.03)</f>
        <v>0</v>
      </c>
    </row>
    <row r="1651" customFormat="false" ht="15.75" hidden="false" customHeight="true" outlineLevel="0" collapsed="false">
      <c r="A1651" s="30" t="n">
        <v>45323</v>
      </c>
      <c r="B1651" s="31" t="s">
        <v>7</v>
      </c>
      <c r="C1651" s="32"/>
      <c r="D1651" s="32"/>
      <c r="E1651" s="19" t="n">
        <f aca="false">+F1651*0.03</f>
        <v>0</v>
      </c>
      <c r="F1651" s="33" t="n">
        <v>0</v>
      </c>
      <c r="G1651" s="62"/>
      <c r="H1651" s="35" t="n">
        <v>0</v>
      </c>
      <c r="I1651" s="34" t="n">
        <f aca="false">+IF(E1651=0,0,E1651*0.03)</f>
        <v>0</v>
      </c>
    </row>
    <row r="1652" customFormat="false" ht="15.75" hidden="false" customHeight="true" outlineLevel="0" collapsed="false">
      <c r="A1652" s="30" t="n">
        <v>45323</v>
      </c>
      <c r="B1652" s="31" t="s">
        <v>7</v>
      </c>
      <c r="C1652" s="32"/>
      <c r="D1652" s="32"/>
      <c r="E1652" s="19" t="n">
        <f aca="false">+F1652*0.03</f>
        <v>0</v>
      </c>
      <c r="F1652" s="33" t="n">
        <v>0</v>
      </c>
      <c r="G1652" s="62"/>
      <c r="H1652" s="35" t="n">
        <v>0</v>
      </c>
      <c r="I1652" s="34" t="n">
        <f aca="false">+IF(E1652=0,0,E1652*0.03)</f>
        <v>0</v>
      </c>
    </row>
    <row r="1653" customFormat="false" ht="15.75" hidden="false" customHeight="true" outlineLevel="0" collapsed="false">
      <c r="A1653" s="30" t="n">
        <v>45323</v>
      </c>
      <c r="B1653" s="31" t="s">
        <v>7</v>
      </c>
      <c r="C1653" s="32"/>
      <c r="D1653" s="32"/>
      <c r="E1653" s="19" t="n">
        <f aca="false">+F1653*0.03</f>
        <v>0</v>
      </c>
      <c r="F1653" s="33" t="n">
        <v>0</v>
      </c>
      <c r="G1653" s="62"/>
      <c r="H1653" s="35" t="n">
        <v>0</v>
      </c>
      <c r="I1653" s="34" t="n">
        <f aca="false">+IF(E1653=0,0,E1653*0.03)</f>
        <v>0</v>
      </c>
    </row>
    <row r="1654" customFormat="false" ht="15.75" hidden="false" customHeight="true" outlineLevel="0" collapsed="false">
      <c r="A1654" s="30" t="n">
        <v>45323</v>
      </c>
      <c r="B1654" s="31" t="s">
        <v>7</v>
      </c>
      <c r="C1654" s="32"/>
      <c r="D1654" s="32"/>
      <c r="E1654" s="19" t="n">
        <f aca="false">+F1654*0.03</f>
        <v>0</v>
      </c>
      <c r="F1654" s="33" t="n">
        <v>0</v>
      </c>
      <c r="G1654" s="62"/>
      <c r="H1654" s="35" t="n">
        <v>0</v>
      </c>
      <c r="I1654" s="34" t="n">
        <f aca="false">+IF(E1654=0,0,E1654*0.03)</f>
        <v>0</v>
      </c>
    </row>
    <row r="1655" customFormat="false" ht="15.75" hidden="false" customHeight="true" outlineLevel="0" collapsed="false">
      <c r="A1655" s="30" t="n">
        <v>45323</v>
      </c>
      <c r="B1655" s="31" t="s">
        <v>7</v>
      </c>
      <c r="C1655" s="32"/>
      <c r="D1655" s="32"/>
      <c r="E1655" s="19" t="n">
        <f aca="false">+F1655*0.03</f>
        <v>0</v>
      </c>
      <c r="F1655" s="33" t="n">
        <v>0</v>
      </c>
      <c r="G1655" s="62"/>
      <c r="H1655" s="35" t="n">
        <v>0</v>
      </c>
      <c r="I1655" s="34" t="n">
        <f aca="false">+IF(E1655=0,0,E1655*0.03)</f>
        <v>0</v>
      </c>
    </row>
    <row r="1656" customFormat="false" ht="15.75" hidden="false" customHeight="true" outlineLevel="0" collapsed="false">
      <c r="A1656" s="30" t="n">
        <v>45323</v>
      </c>
      <c r="B1656" s="31" t="s">
        <v>7</v>
      </c>
      <c r="C1656" s="32"/>
      <c r="D1656" s="32"/>
      <c r="E1656" s="19" t="n">
        <f aca="false">+F1656*0.03</f>
        <v>0</v>
      </c>
      <c r="F1656" s="33" t="n">
        <v>0</v>
      </c>
      <c r="G1656" s="62"/>
      <c r="H1656" s="35" t="n">
        <v>0</v>
      </c>
      <c r="I1656" s="34" t="n">
        <f aca="false">+IF(E1656=0,0,E1656*0.03)</f>
        <v>0</v>
      </c>
    </row>
    <row r="1657" customFormat="false" ht="15.75" hidden="false" customHeight="true" outlineLevel="0" collapsed="false">
      <c r="A1657" s="30" t="n">
        <v>45323</v>
      </c>
      <c r="B1657" s="31" t="s">
        <v>7</v>
      </c>
      <c r="C1657" s="32"/>
      <c r="D1657" s="32"/>
      <c r="E1657" s="19" t="n">
        <f aca="false">+F1657*0.03</f>
        <v>0</v>
      </c>
      <c r="F1657" s="33" t="n">
        <v>0</v>
      </c>
      <c r="G1657" s="62"/>
      <c r="H1657" s="35" t="n">
        <v>0</v>
      </c>
      <c r="I1657" s="34" t="n">
        <f aca="false">+IF(E1657=0,0,E1657*0.03)</f>
        <v>0</v>
      </c>
    </row>
    <row r="1658" customFormat="false" ht="15.75" hidden="false" customHeight="true" outlineLevel="0" collapsed="false">
      <c r="A1658" s="30" t="n">
        <v>45323</v>
      </c>
      <c r="B1658" s="31" t="s">
        <v>7</v>
      </c>
      <c r="C1658" s="32"/>
      <c r="D1658" s="32"/>
      <c r="E1658" s="19" t="n">
        <f aca="false">+F1658*0.03</f>
        <v>0</v>
      </c>
      <c r="F1658" s="33" t="n">
        <v>0</v>
      </c>
      <c r="G1658" s="62"/>
      <c r="H1658" s="35" t="n">
        <v>0</v>
      </c>
      <c r="I1658" s="34" t="n">
        <f aca="false">+IF(E1658=0,0,E1658*0.03)</f>
        <v>0</v>
      </c>
    </row>
    <row r="1659" customFormat="false" ht="15.75" hidden="false" customHeight="true" outlineLevel="0" collapsed="false">
      <c r="A1659" s="30" t="n">
        <v>45323</v>
      </c>
      <c r="B1659" s="31" t="s">
        <v>7</v>
      </c>
      <c r="C1659" s="32"/>
      <c r="D1659" s="32"/>
      <c r="E1659" s="19" t="n">
        <f aca="false">+F1659*0.03</f>
        <v>0</v>
      </c>
      <c r="F1659" s="33" t="n">
        <v>0</v>
      </c>
      <c r="G1659" s="62"/>
      <c r="H1659" s="35" t="n">
        <v>0</v>
      </c>
      <c r="I1659" s="34" t="n">
        <f aca="false">+IF(E1659=0,0,E1659*0.03)</f>
        <v>0</v>
      </c>
    </row>
    <row r="1660" customFormat="false" ht="15.75" hidden="false" customHeight="true" outlineLevel="0" collapsed="false">
      <c r="A1660" s="30" t="n">
        <v>45323</v>
      </c>
      <c r="B1660" s="31" t="s">
        <v>7</v>
      </c>
      <c r="C1660" s="32"/>
      <c r="D1660" s="32"/>
      <c r="E1660" s="19" t="n">
        <f aca="false">+F1660*0.03</f>
        <v>0</v>
      </c>
      <c r="F1660" s="33" t="n">
        <v>0</v>
      </c>
      <c r="G1660" s="62"/>
      <c r="H1660" s="35" t="n">
        <v>0</v>
      </c>
      <c r="I1660" s="34" t="n">
        <f aca="false">+IF(E1660=0,0,E1660*0.03)</f>
        <v>0</v>
      </c>
    </row>
    <row r="1661" customFormat="false" ht="15.75" hidden="false" customHeight="true" outlineLevel="0" collapsed="false">
      <c r="A1661" s="30" t="n">
        <v>45323</v>
      </c>
      <c r="B1661" s="31" t="s">
        <v>7</v>
      </c>
      <c r="C1661" s="32"/>
      <c r="D1661" s="32"/>
      <c r="E1661" s="19" t="n">
        <f aca="false">+F1661*0.03</f>
        <v>0</v>
      </c>
      <c r="F1661" s="33" t="n">
        <v>0</v>
      </c>
      <c r="G1661" s="62"/>
      <c r="H1661" s="35" t="n">
        <v>0</v>
      </c>
      <c r="I1661" s="34" t="n">
        <f aca="false">+IF(E1661=0,0,E1661*0.03)</f>
        <v>0</v>
      </c>
    </row>
    <row r="1662" customFormat="false" ht="15.75" hidden="false" customHeight="true" outlineLevel="0" collapsed="false">
      <c r="A1662" s="30" t="n">
        <v>45323</v>
      </c>
      <c r="B1662" s="31" t="s">
        <v>7</v>
      </c>
      <c r="C1662" s="32"/>
      <c r="D1662" s="32"/>
      <c r="E1662" s="19" t="n">
        <f aca="false">+F1662*0.03</f>
        <v>0</v>
      </c>
      <c r="F1662" s="33" t="n">
        <v>0</v>
      </c>
      <c r="G1662" s="62"/>
      <c r="H1662" s="35" t="n">
        <v>0</v>
      </c>
      <c r="I1662" s="34" t="n">
        <f aca="false">+IF(E1662=0,0,E1662*0.03)</f>
        <v>0</v>
      </c>
    </row>
    <row r="1663" customFormat="false" ht="15.75" hidden="false" customHeight="true" outlineLevel="0" collapsed="false">
      <c r="A1663" s="30" t="n">
        <v>45323</v>
      </c>
      <c r="B1663" s="31" t="s">
        <v>7</v>
      </c>
      <c r="C1663" s="32"/>
      <c r="D1663" s="32"/>
      <c r="E1663" s="19" t="n">
        <f aca="false">+F1663*0.03</f>
        <v>0</v>
      </c>
      <c r="F1663" s="33" t="n">
        <v>0</v>
      </c>
      <c r="G1663" s="62"/>
      <c r="H1663" s="35" t="n">
        <v>0</v>
      </c>
      <c r="I1663" s="34" t="n">
        <f aca="false">+IF(E1663=0,0,E1663*0.03)</f>
        <v>0</v>
      </c>
    </row>
    <row r="1664" customFormat="false" ht="15.75" hidden="false" customHeight="true" outlineLevel="0" collapsed="false">
      <c r="A1664" s="30" t="n">
        <v>45323</v>
      </c>
      <c r="B1664" s="31" t="s">
        <v>7</v>
      </c>
      <c r="C1664" s="32"/>
      <c r="D1664" s="32"/>
      <c r="E1664" s="19" t="n">
        <f aca="false">+F1664*0.03</f>
        <v>0</v>
      </c>
      <c r="F1664" s="33" t="n">
        <v>0</v>
      </c>
      <c r="G1664" s="62"/>
      <c r="H1664" s="35" t="n">
        <v>0</v>
      </c>
      <c r="I1664" s="34" t="n">
        <f aca="false">+IF(E1664=0,0,E1664*0.03)</f>
        <v>0</v>
      </c>
    </row>
    <row r="1665" customFormat="false" ht="15.75" hidden="false" customHeight="true" outlineLevel="0" collapsed="false">
      <c r="A1665" s="30" t="n">
        <v>45323</v>
      </c>
      <c r="B1665" s="31" t="s">
        <v>7</v>
      </c>
      <c r="C1665" s="32"/>
      <c r="D1665" s="32"/>
      <c r="E1665" s="19" t="n">
        <f aca="false">+F1665*0.03</f>
        <v>0</v>
      </c>
      <c r="F1665" s="33" t="n">
        <v>0</v>
      </c>
      <c r="G1665" s="62"/>
      <c r="H1665" s="35" t="n">
        <v>0</v>
      </c>
      <c r="I1665" s="34" t="n">
        <f aca="false">+IF(E1665=0,0,E1665*0.03)</f>
        <v>0</v>
      </c>
    </row>
    <row r="1666" customFormat="false" ht="15.75" hidden="false" customHeight="true" outlineLevel="0" collapsed="false">
      <c r="A1666" s="30" t="n">
        <v>45323</v>
      </c>
      <c r="B1666" s="31" t="s">
        <v>7</v>
      </c>
      <c r="C1666" s="32"/>
      <c r="D1666" s="32"/>
      <c r="E1666" s="19" t="n">
        <f aca="false">+F1666*0.03</f>
        <v>0</v>
      </c>
      <c r="F1666" s="33" t="n">
        <v>0</v>
      </c>
      <c r="G1666" s="62"/>
      <c r="H1666" s="35" t="n">
        <v>0</v>
      </c>
      <c r="I1666" s="34" t="n">
        <f aca="false">+IF(E1666=0,0,E1666*0.03)</f>
        <v>0</v>
      </c>
    </row>
    <row r="1667" customFormat="false" ht="15.75" hidden="false" customHeight="true" outlineLevel="0" collapsed="false">
      <c r="A1667" s="30" t="n">
        <v>45323</v>
      </c>
      <c r="B1667" s="31" t="s">
        <v>7</v>
      </c>
      <c r="C1667" s="32"/>
      <c r="D1667" s="32"/>
      <c r="E1667" s="19" t="n">
        <f aca="false">+F1667*0.03</f>
        <v>0</v>
      </c>
      <c r="F1667" s="33" t="n">
        <v>0</v>
      </c>
      <c r="G1667" s="62"/>
      <c r="H1667" s="35" t="n">
        <v>0</v>
      </c>
      <c r="I1667" s="34" t="n">
        <f aca="false">+IF(E1667=0,0,E1667*0.03)</f>
        <v>0</v>
      </c>
    </row>
    <row r="1668" customFormat="false" ht="15.75" hidden="false" customHeight="true" outlineLevel="0" collapsed="false">
      <c r="A1668" s="30" t="n">
        <v>45323</v>
      </c>
      <c r="B1668" s="31" t="s">
        <v>7</v>
      </c>
      <c r="C1668" s="32"/>
      <c r="D1668" s="32"/>
      <c r="E1668" s="19" t="n">
        <f aca="false">+F1668*0.03</f>
        <v>0</v>
      </c>
      <c r="F1668" s="33" t="n">
        <v>0</v>
      </c>
      <c r="G1668" s="62"/>
      <c r="H1668" s="35" t="n">
        <v>0</v>
      </c>
      <c r="I1668" s="34" t="n">
        <f aca="false">+IF(E1668=0,0,E1668*0.03)</f>
        <v>0</v>
      </c>
    </row>
    <row r="1669" customFormat="false" ht="15.75" hidden="false" customHeight="true" outlineLevel="0" collapsed="false">
      <c r="A1669" s="30" t="n">
        <v>45323</v>
      </c>
      <c r="B1669" s="31" t="s">
        <v>7</v>
      </c>
      <c r="C1669" s="32"/>
      <c r="D1669" s="32"/>
      <c r="E1669" s="19" t="n">
        <f aca="false">+F1669*0.03</f>
        <v>0</v>
      </c>
      <c r="F1669" s="33" t="n">
        <v>0</v>
      </c>
      <c r="G1669" s="62"/>
      <c r="H1669" s="35" t="n">
        <v>0</v>
      </c>
      <c r="I1669" s="34" t="n">
        <f aca="false">+IF(E1669=0,0,E1669*0.03)</f>
        <v>0</v>
      </c>
    </row>
    <row r="1670" customFormat="false" ht="15.75" hidden="false" customHeight="true" outlineLevel="0" collapsed="false">
      <c r="A1670" s="30" t="n">
        <v>45323</v>
      </c>
      <c r="B1670" s="31" t="s">
        <v>7</v>
      </c>
      <c r="C1670" s="32"/>
      <c r="D1670" s="32"/>
      <c r="E1670" s="19" t="n">
        <f aca="false">+F1670*0.03</f>
        <v>0</v>
      </c>
      <c r="F1670" s="33" t="n">
        <v>0</v>
      </c>
      <c r="G1670" s="62"/>
      <c r="H1670" s="35" t="n">
        <v>0</v>
      </c>
      <c r="I1670" s="34" t="n">
        <f aca="false">+IF(E1670=0,0,E1670*0.03)</f>
        <v>0</v>
      </c>
    </row>
    <row r="1671" customFormat="false" ht="15.75" hidden="false" customHeight="true" outlineLevel="0" collapsed="false">
      <c r="A1671" s="30" t="n">
        <v>45323</v>
      </c>
      <c r="B1671" s="31" t="s">
        <v>7</v>
      </c>
      <c r="C1671" s="32"/>
      <c r="D1671" s="32"/>
      <c r="E1671" s="19" t="n">
        <f aca="false">+F1671*0.03</f>
        <v>0</v>
      </c>
      <c r="F1671" s="33" t="n">
        <v>0</v>
      </c>
      <c r="G1671" s="62"/>
      <c r="H1671" s="35" t="n">
        <v>0</v>
      </c>
      <c r="I1671" s="34" t="n">
        <f aca="false">+IF(E1671=0,0,E1671*0.03)</f>
        <v>0</v>
      </c>
    </row>
    <row r="1672" customFormat="false" ht="15.75" hidden="false" customHeight="true" outlineLevel="0" collapsed="false">
      <c r="A1672" s="30" t="n">
        <v>45323</v>
      </c>
      <c r="B1672" s="31" t="s">
        <v>7</v>
      </c>
      <c r="C1672" s="32"/>
      <c r="D1672" s="32"/>
      <c r="E1672" s="19" t="n">
        <f aca="false">+F1672*0.03</f>
        <v>0</v>
      </c>
      <c r="F1672" s="33" t="n">
        <v>0</v>
      </c>
      <c r="G1672" s="62"/>
      <c r="H1672" s="35" t="n">
        <v>0</v>
      </c>
      <c r="I1672" s="34" t="n">
        <f aca="false">+IF(E1672=0,0,E1672*0.03)</f>
        <v>0</v>
      </c>
    </row>
    <row r="1673" customFormat="false" ht="15.75" hidden="false" customHeight="true" outlineLevel="0" collapsed="false">
      <c r="A1673" s="30" t="n">
        <v>45323</v>
      </c>
      <c r="B1673" s="31" t="s">
        <v>7</v>
      </c>
      <c r="C1673" s="32"/>
      <c r="D1673" s="32"/>
      <c r="E1673" s="19" t="n">
        <f aca="false">+F1673*0.03</f>
        <v>0</v>
      </c>
      <c r="F1673" s="33" t="n">
        <v>0</v>
      </c>
      <c r="G1673" s="62"/>
      <c r="H1673" s="35" t="n">
        <v>0</v>
      </c>
      <c r="I1673" s="34" t="n">
        <f aca="false">+IF(E1673=0,0,E1673*0.03)</f>
        <v>0</v>
      </c>
    </row>
    <row r="1674" customFormat="false" ht="15.75" hidden="false" customHeight="true" outlineLevel="0" collapsed="false">
      <c r="A1674" s="30" t="n">
        <v>45323</v>
      </c>
      <c r="B1674" s="31" t="s">
        <v>7</v>
      </c>
      <c r="C1674" s="32"/>
      <c r="D1674" s="32"/>
      <c r="E1674" s="19" t="n">
        <f aca="false">+F1674*0.03</f>
        <v>0</v>
      </c>
      <c r="F1674" s="33" t="n">
        <v>0</v>
      </c>
      <c r="G1674" s="62"/>
      <c r="H1674" s="35" t="n">
        <v>0</v>
      </c>
      <c r="I1674" s="34" t="n">
        <f aca="false">+IF(E1674=0,0,E1674*0.03)</f>
        <v>0</v>
      </c>
    </row>
    <row r="1675" customFormat="false" ht="15.75" hidden="false" customHeight="true" outlineLevel="0" collapsed="false">
      <c r="A1675" s="30" t="n">
        <v>45323</v>
      </c>
      <c r="B1675" s="31" t="s">
        <v>7</v>
      </c>
      <c r="C1675" s="32"/>
      <c r="D1675" s="32"/>
      <c r="E1675" s="19" t="n">
        <f aca="false">+F1675*0.03</f>
        <v>0</v>
      </c>
      <c r="F1675" s="33" t="n">
        <v>0</v>
      </c>
      <c r="G1675" s="62"/>
      <c r="H1675" s="35" t="n">
        <v>0</v>
      </c>
      <c r="I1675" s="34" t="n">
        <f aca="false">+IF(E1675=0,0,E1675*0.03)</f>
        <v>0</v>
      </c>
    </row>
    <row r="1676" customFormat="false" ht="15.75" hidden="false" customHeight="true" outlineLevel="0" collapsed="false">
      <c r="A1676" s="30" t="n">
        <v>45323</v>
      </c>
      <c r="B1676" s="31" t="s">
        <v>7</v>
      </c>
      <c r="C1676" s="32"/>
      <c r="D1676" s="32"/>
      <c r="E1676" s="19" t="n">
        <f aca="false">+F1676*0.03</f>
        <v>0</v>
      </c>
      <c r="F1676" s="33" t="n">
        <v>0</v>
      </c>
      <c r="G1676" s="62"/>
      <c r="H1676" s="35" t="n">
        <v>0</v>
      </c>
      <c r="I1676" s="34" t="n">
        <f aca="false">+IF(E1676=0,0,E1676*0.03)</f>
        <v>0</v>
      </c>
    </row>
    <row r="1677" customFormat="false" ht="15.75" hidden="false" customHeight="true" outlineLevel="0" collapsed="false">
      <c r="A1677" s="30" t="n">
        <v>45323</v>
      </c>
      <c r="B1677" s="31" t="s">
        <v>7</v>
      </c>
      <c r="C1677" s="32"/>
      <c r="D1677" s="32"/>
      <c r="E1677" s="19" t="n">
        <f aca="false">+F1677*0.03</f>
        <v>0</v>
      </c>
      <c r="F1677" s="33" t="n">
        <v>0</v>
      </c>
      <c r="G1677" s="62"/>
      <c r="H1677" s="35" t="n">
        <v>0</v>
      </c>
      <c r="I1677" s="34" t="n">
        <f aca="false">+IF(E1677=0,0,E1677*0.03)</f>
        <v>0</v>
      </c>
    </row>
    <row r="1678" customFormat="false" ht="15.75" hidden="false" customHeight="true" outlineLevel="0" collapsed="false">
      <c r="A1678" s="30" t="n">
        <v>45323</v>
      </c>
      <c r="B1678" s="31" t="s">
        <v>7</v>
      </c>
      <c r="C1678" s="32"/>
      <c r="D1678" s="32"/>
      <c r="E1678" s="19" t="n">
        <f aca="false">+F1678*0.03</f>
        <v>0</v>
      </c>
      <c r="F1678" s="33" t="n">
        <v>0</v>
      </c>
      <c r="G1678" s="62"/>
      <c r="H1678" s="35" t="n">
        <v>0</v>
      </c>
      <c r="I1678" s="34" t="n">
        <f aca="false">+IF(E1678=0,0,E1678*0.03)</f>
        <v>0</v>
      </c>
    </row>
    <row r="1679" customFormat="false" ht="15.75" hidden="false" customHeight="true" outlineLevel="0" collapsed="false">
      <c r="A1679" s="30" t="n">
        <v>45323</v>
      </c>
      <c r="B1679" s="31" t="s">
        <v>7</v>
      </c>
      <c r="C1679" s="32"/>
      <c r="D1679" s="32"/>
      <c r="E1679" s="19" t="n">
        <f aca="false">+F1679*0.03</f>
        <v>0</v>
      </c>
      <c r="F1679" s="33" t="n">
        <v>0</v>
      </c>
      <c r="G1679" s="62"/>
      <c r="H1679" s="35" t="n">
        <v>0</v>
      </c>
      <c r="I1679" s="34" t="n">
        <f aca="false">+IF(E1679=0,0,E1679*0.03)</f>
        <v>0</v>
      </c>
    </row>
    <row r="1680" customFormat="false" ht="15.75" hidden="false" customHeight="true" outlineLevel="0" collapsed="false">
      <c r="A1680" s="30" t="n">
        <v>45323</v>
      </c>
      <c r="B1680" s="31" t="s">
        <v>7</v>
      </c>
      <c r="C1680" s="32"/>
      <c r="D1680" s="32"/>
      <c r="E1680" s="19" t="n">
        <f aca="false">+F1680*0.03</f>
        <v>0</v>
      </c>
      <c r="F1680" s="33" t="n">
        <v>0</v>
      </c>
      <c r="G1680" s="62"/>
      <c r="H1680" s="35" t="n">
        <v>0</v>
      </c>
      <c r="I1680" s="34" t="n">
        <f aca="false">+IF(E1680=0,0,E1680*0.03)</f>
        <v>0</v>
      </c>
    </row>
    <row r="1681" customFormat="false" ht="15.75" hidden="false" customHeight="true" outlineLevel="0" collapsed="false">
      <c r="A1681" s="30" t="n">
        <v>45323</v>
      </c>
      <c r="B1681" s="31" t="s">
        <v>7</v>
      </c>
      <c r="C1681" s="32"/>
      <c r="D1681" s="32"/>
      <c r="E1681" s="19" t="n">
        <f aca="false">+F1681*0.03</f>
        <v>0</v>
      </c>
      <c r="F1681" s="33" t="n">
        <v>0</v>
      </c>
      <c r="G1681" s="62"/>
      <c r="H1681" s="35" t="n">
        <v>0</v>
      </c>
      <c r="I1681" s="34" t="n">
        <f aca="false">+IF(E1681=0,0,E1681*0.03)</f>
        <v>0</v>
      </c>
    </row>
    <row r="1682" customFormat="false" ht="15.75" hidden="false" customHeight="true" outlineLevel="0" collapsed="false">
      <c r="A1682" s="30" t="n">
        <v>45323</v>
      </c>
      <c r="B1682" s="31" t="s">
        <v>7</v>
      </c>
      <c r="C1682" s="32"/>
      <c r="D1682" s="32"/>
      <c r="E1682" s="19" t="n">
        <f aca="false">+F1682*0.03</f>
        <v>0</v>
      </c>
      <c r="F1682" s="33" t="n">
        <v>0</v>
      </c>
      <c r="G1682" s="62"/>
      <c r="H1682" s="35" t="n">
        <v>0</v>
      </c>
      <c r="I1682" s="34" t="n">
        <f aca="false">+IF(E1682=0,0,E1682*0.03)</f>
        <v>0</v>
      </c>
    </row>
    <row r="1683" customFormat="false" ht="15.75" hidden="false" customHeight="true" outlineLevel="0" collapsed="false">
      <c r="A1683" s="30" t="n">
        <v>45323</v>
      </c>
      <c r="B1683" s="31" t="s">
        <v>7</v>
      </c>
      <c r="C1683" s="32"/>
      <c r="D1683" s="32"/>
      <c r="E1683" s="19" t="n">
        <f aca="false">+F1683*0.03</f>
        <v>0</v>
      </c>
      <c r="F1683" s="33" t="n">
        <v>0</v>
      </c>
      <c r="G1683" s="62"/>
      <c r="H1683" s="35" t="n">
        <v>0</v>
      </c>
      <c r="I1683" s="34" t="n">
        <f aca="false">+IF(E1683=0,0,E1683*0.03)</f>
        <v>0</v>
      </c>
    </row>
    <row r="1684" customFormat="false" ht="15.75" hidden="false" customHeight="true" outlineLevel="0" collapsed="false">
      <c r="A1684" s="30" t="n">
        <v>45323</v>
      </c>
      <c r="B1684" s="31" t="s">
        <v>7</v>
      </c>
      <c r="C1684" s="32"/>
      <c r="D1684" s="32"/>
      <c r="E1684" s="19" t="n">
        <f aca="false">+F1684*0.03</f>
        <v>0</v>
      </c>
      <c r="F1684" s="33" t="n">
        <v>0</v>
      </c>
      <c r="G1684" s="62"/>
      <c r="H1684" s="35" t="n">
        <v>0</v>
      </c>
      <c r="I1684" s="34" t="n">
        <f aca="false">+IF(E1684=0,0,E1684*0.03)</f>
        <v>0</v>
      </c>
    </row>
    <row r="1685" customFormat="false" ht="15.75" hidden="false" customHeight="true" outlineLevel="0" collapsed="false">
      <c r="A1685" s="30" t="n">
        <v>45323</v>
      </c>
      <c r="B1685" s="31" t="s">
        <v>7</v>
      </c>
      <c r="C1685" s="32"/>
      <c r="D1685" s="32"/>
      <c r="E1685" s="19" t="n">
        <f aca="false">+F1685*0.03</f>
        <v>0</v>
      </c>
      <c r="F1685" s="33" t="n">
        <v>0</v>
      </c>
      <c r="G1685" s="62"/>
      <c r="H1685" s="35" t="n">
        <v>0</v>
      </c>
      <c r="I1685" s="34" t="n">
        <f aca="false">+IF(E1685=0,0,E1685*0.03)</f>
        <v>0</v>
      </c>
    </row>
    <row r="1686" customFormat="false" ht="15.75" hidden="false" customHeight="true" outlineLevel="0" collapsed="false">
      <c r="A1686" s="30" t="n">
        <v>45323</v>
      </c>
      <c r="B1686" s="31" t="s">
        <v>7</v>
      </c>
      <c r="C1686" s="32"/>
      <c r="D1686" s="32"/>
      <c r="E1686" s="19" t="n">
        <f aca="false">+F1686*0.03</f>
        <v>0</v>
      </c>
      <c r="F1686" s="33" t="n">
        <v>0</v>
      </c>
      <c r="G1686" s="62"/>
      <c r="H1686" s="35" t="n">
        <v>0</v>
      </c>
      <c r="I1686" s="34" t="n">
        <f aca="false">+IF(E1686=0,0,E1686*0.03)</f>
        <v>0</v>
      </c>
    </row>
    <row r="1687" customFormat="false" ht="15.75" hidden="false" customHeight="true" outlineLevel="0" collapsed="false">
      <c r="A1687" s="30" t="n">
        <v>45323</v>
      </c>
      <c r="B1687" s="31" t="s">
        <v>7</v>
      </c>
      <c r="C1687" s="32"/>
      <c r="D1687" s="32"/>
      <c r="E1687" s="19" t="n">
        <f aca="false">+F1687*0.03</f>
        <v>0</v>
      </c>
      <c r="F1687" s="33" t="n">
        <v>0</v>
      </c>
      <c r="G1687" s="62"/>
      <c r="H1687" s="35" t="n">
        <v>0</v>
      </c>
      <c r="I1687" s="34" t="n">
        <f aca="false">+IF(E1687=0,0,E1687*0.03)</f>
        <v>0</v>
      </c>
    </row>
    <row r="1688" customFormat="false" ht="15.75" hidden="false" customHeight="true" outlineLevel="0" collapsed="false">
      <c r="A1688" s="30" t="n">
        <v>45323</v>
      </c>
      <c r="B1688" s="31" t="s">
        <v>7</v>
      </c>
      <c r="C1688" s="32"/>
      <c r="D1688" s="32"/>
      <c r="E1688" s="19" t="n">
        <f aca="false">+F1688*0.03</f>
        <v>0</v>
      </c>
      <c r="F1688" s="33" t="n">
        <v>0</v>
      </c>
      <c r="G1688" s="62"/>
      <c r="H1688" s="35" t="n">
        <v>0</v>
      </c>
      <c r="I1688" s="34" t="n">
        <f aca="false">+IF(E1688=0,0,E1688*0.03)</f>
        <v>0</v>
      </c>
    </row>
    <row r="1689" customFormat="false" ht="15.75" hidden="false" customHeight="true" outlineLevel="0" collapsed="false">
      <c r="A1689" s="30" t="n">
        <v>45323</v>
      </c>
      <c r="B1689" s="31" t="s">
        <v>7</v>
      </c>
      <c r="C1689" s="32"/>
      <c r="D1689" s="32"/>
      <c r="E1689" s="19" t="n">
        <f aca="false">+F1689*0.03</f>
        <v>0</v>
      </c>
      <c r="F1689" s="33" t="n">
        <v>0</v>
      </c>
      <c r="G1689" s="62"/>
      <c r="H1689" s="35" t="n">
        <v>0</v>
      </c>
      <c r="I1689" s="34" t="n">
        <f aca="false">+IF(E1689=0,0,E1689*0.03)</f>
        <v>0</v>
      </c>
    </row>
    <row r="1690" customFormat="false" ht="15.75" hidden="false" customHeight="true" outlineLevel="0" collapsed="false">
      <c r="A1690" s="30" t="n">
        <v>45323</v>
      </c>
      <c r="B1690" s="31" t="s">
        <v>7</v>
      </c>
      <c r="C1690" s="32"/>
      <c r="D1690" s="32"/>
      <c r="E1690" s="19" t="n">
        <f aca="false">+F1690*0.03</f>
        <v>0</v>
      </c>
      <c r="F1690" s="33" t="n">
        <v>0</v>
      </c>
      <c r="G1690" s="62"/>
      <c r="H1690" s="35" t="n">
        <v>0</v>
      </c>
      <c r="I1690" s="34" t="n">
        <f aca="false">+IF(E1690=0,0,E1690*0.03)</f>
        <v>0</v>
      </c>
    </row>
    <row r="1691" customFormat="false" ht="15.75" hidden="false" customHeight="true" outlineLevel="0" collapsed="false">
      <c r="A1691" s="30" t="n">
        <v>45323</v>
      </c>
      <c r="B1691" s="31" t="s">
        <v>7</v>
      </c>
      <c r="C1691" s="32"/>
      <c r="D1691" s="32"/>
      <c r="E1691" s="19" t="n">
        <f aca="false">+F1691*0.03</f>
        <v>0</v>
      </c>
      <c r="F1691" s="33" t="n">
        <v>0</v>
      </c>
      <c r="G1691" s="62"/>
      <c r="H1691" s="35" t="n">
        <v>0</v>
      </c>
      <c r="I1691" s="34" t="n">
        <f aca="false">+IF(E1691=0,0,E1691*0.03)</f>
        <v>0</v>
      </c>
    </row>
    <row r="1692" customFormat="false" ht="15.75" hidden="false" customHeight="true" outlineLevel="0" collapsed="false">
      <c r="A1692" s="30" t="n">
        <v>45323</v>
      </c>
      <c r="B1692" s="31" t="s">
        <v>7</v>
      </c>
      <c r="C1692" s="32"/>
      <c r="D1692" s="32"/>
      <c r="E1692" s="19" t="n">
        <f aca="false">+F1692*0.03</f>
        <v>0</v>
      </c>
      <c r="F1692" s="33" t="n">
        <v>0</v>
      </c>
      <c r="G1692" s="62"/>
      <c r="H1692" s="35" t="n">
        <v>0</v>
      </c>
      <c r="I1692" s="34" t="n">
        <f aca="false">+IF(E1692=0,0,E1692*0.03)</f>
        <v>0</v>
      </c>
    </row>
    <row r="1693" customFormat="false" ht="15.75" hidden="false" customHeight="true" outlineLevel="0" collapsed="false">
      <c r="A1693" s="30" t="n">
        <v>45323</v>
      </c>
      <c r="B1693" s="31" t="s">
        <v>7</v>
      </c>
      <c r="C1693" s="32"/>
      <c r="D1693" s="32"/>
      <c r="E1693" s="19" t="n">
        <f aca="false">+F1693*0.03</f>
        <v>0</v>
      </c>
      <c r="F1693" s="33" t="n">
        <v>0</v>
      </c>
      <c r="G1693" s="62"/>
      <c r="H1693" s="35" t="n">
        <v>0</v>
      </c>
      <c r="I1693" s="34" t="n">
        <f aca="false">+IF(E1693=0,0,E1693*0.03)</f>
        <v>0</v>
      </c>
    </row>
    <row r="1694" customFormat="false" ht="15.75" hidden="false" customHeight="true" outlineLevel="0" collapsed="false">
      <c r="A1694" s="30" t="n">
        <v>45323</v>
      </c>
      <c r="B1694" s="31" t="s">
        <v>7</v>
      </c>
      <c r="C1694" s="32"/>
      <c r="D1694" s="32"/>
      <c r="E1694" s="19" t="n">
        <f aca="false">+F1694*0.03</f>
        <v>0</v>
      </c>
      <c r="F1694" s="33" t="n">
        <v>0</v>
      </c>
      <c r="G1694" s="62"/>
      <c r="H1694" s="35" t="n">
        <v>0</v>
      </c>
      <c r="I1694" s="34" t="n">
        <f aca="false">+IF(E1694=0,0,E1694*0.03)</f>
        <v>0</v>
      </c>
    </row>
    <row r="1695" customFormat="false" ht="15.75" hidden="false" customHeight="true" outlineLevel="0" collapsed="false">
      <c r="A1695" s="30" t="n">
        <v>45323</v>
      </c>
      <c r="B1695" s="31" t="s">
        <v>7</v>
      </c>
      <c r="C1695" s="32"/>
      <c r="D1695" s="32"/>
      <c r="E1695" s="19" t="n">
        <f aca="false">+F1695*0.03</f>
        <v>0</v>
      </c>
      <c r="F1695" s="33" t="n">
        <v>0</v>
      </c>
      <c r="G1695" s="62"/>
      <c r="H1695" s="35" t="n">
        <v>0</v>
      </c>
      <c r="I1695" s="34" t="n">
        <f aca="false">+IF(E1695=0,0,E1695*0.03)</f>
        <v>0</v>
      </c>
    </row>
    <row r="1696" customFormat="false" ht="15.75" hidden="false" customHeight="true" outlineLevel="0" collapsed="false">
      <c r="A1696" s="30" t="n">
        <v>45323</v>
      </c>
      <c r="B1696" s="31" t="s">
        <v>7</v>
      </c>
      <c r="C1696" s="32"/>
      <c r="D1696" s="32"/>
      <c r="E1696" s="19" t="n">
        <f aca="false">+F1696*0.03</f>
        <v>0</v>
      </c>
      <c r="F1696" s="33" t="n">
        <v>0</v>
      </c>
      <c r="G1696" s="62"/>
      <c r="H1696" s="35" t="n">
        <v>0</v>
      </c>
      <c r="I1696" s="34" t="n">
        <f aca="false">+IF(E1696=0,0,E1696*0.03)</f>
        <v>0</v>
      </c>
    </row>
    <row r="1697" customFormat="false" ht="15.75" hidden="false" customHeight="true" outlineLevel="0" collapsed="false">
      <c r="A1697" s="30" t="n">
        <v>45323</v>
      </c>
      <c r="B1697" s="31" t="s">
        <v>7</v>
      </c>
      <c r="C1697" s="32"/>
      <c r="D1697" s="32"/>
      <c r="E1697" s="19" t="n">
        <f aca="false">+F1697*0.03</f>
        <v>0</v>
      </c>
      <c r="F1697" s="33" t="n">
        <v>0</v>
      </c>
      <c r="G1697" s="62"/>
      <c r="H1697" s="35" t="n">
        <v>0</v>
      </c>
      <c r="I1697" s="34" t="n">
        <f aca="false">+IF(E1697=0,0,E1697*0.03)</f>
        <v>0</v>
      </c>
    </row>
    <row r="1698" customFormat="false" ht="15.75" hidden="false" customHeight="true" outlineLevel="0" collapsed="false">
      <c r="A1698" s="30" t="n">
        <v>45323</v>
      </c>
      <c r="B1698" s="31" t="s">
        <v>7</v>
      </c>
      <c r="C1698" s="32"/>
      <c r="D1698" s="32"/>
      <c r="E1698" s="19" t="n">
        <f aca="false">+F1698*0.03</f>
        <v>0</v>
      </c>
      <c r="F1698" s="33" t="n">
        <v>0</v>
      </c>
      <c r="G1698" s="62"/>
      <c r="H1698" s="35" t="n">
        <v>0</v>
      </c>
      <c r="I1698" s="34" t="n">
        <f aca="false">+IF(E1698=0,0,E1698*0.03)</f>
        <v>0</v>
      </c>
    </row>
    <row r="1699" customFormat="false" ht="15.75" hidden="false" customHeight="true" outlineLevel="0" collapsed="false">
      <c r="A1699" s="30" t="n">
        <v>45323</v>
      </c>
      <c r="B1699" s="31" t="s">
        <v>7</v>
      </c>
      <c r="C1699" s="32"/>
      <c r="D1699" s="32"/>
      <c r="E1699" s="19" t="n">
        <f aca="false">+F1699*0.03</f>
        <v>0</v>
      </c>
      <c r="F1699" s="33" t="n">
        <v>0</v>
      </c>
      <c r="G1699" s="62"/>
      <c r="H1699" s="35" t="n">
        <v>0</v>
      </c>
      <c r="I1699" s="34" t="n">
        <f aca="false">+IF(E1699=0,0,E1699*0.03)</f>
        <v>0</v>
      </c>
    </row>
    <row r="1700" customFormat="false" ht="15.75" hidden="false" customHeight="true" outlineLevel="0" collapsed="false">
      <c r="A1700" s="30" t="n">
        <v>45323</v>
      </c>
      <c r="B1700" s="31" t="s">
        <v>7</v>
      </c>
      <c r="C1700" s="32"/>
      <c r="D1700" s="32"/>
      <c r="E1700" s="19" t="n">
        <f aca="false">+F1700*0.03</f>
        <v>0</v>
      </c>
      <c r="F1700" s="33" t="n">
        <v>0</v>
      </c>
      <c r="G1700" s="62"/>
      <c r="H1700" s="35" t="n">
        <v>0</v>
      </c>
      <c r="I1700" s="34" t="n">
        <f aca="false">+IF(E1700=0,0,E1700*0.03)</f>
        <v>0</v>
      </c>
    </row>
    <row r="1701" customFormat="false" ht="15.75" hidden="false" customHeight="true" outlineLevel="0" collapsed="false">
      <c r="A1701" s="30" t="n">
        <v>45323</v>
      </c>
      <c r="B1701" s="31" t="s">
        <v>7</v>
      </c>
      <c r="C1701" s="32"/>
      <c r="D1701" s="32"/>
      <c r="E1701" s="19" t="n">
        <f aca="false">+F1701*0.03</f>
        <v>0</v>
      </c>
      <c r="F1701" s="33" t="n">
        <v>0</v>
      </c>
      <c r="G1701" s="62"/>
      <c r="H1701" s="35" t="n">
        <v>0</v>
      </c>
      <c r="I1701" s="34" t="n">
        <f aca="false">+IF(E1701=0,0,E1701*0.03)</f>
        <v>0</v>
      </c>
    </row>
    <row r="1702" customFormat="false" ht="15.75" hidden="false" customHeight="true" outlineLevel="0" collapsed="false">
      <c r="A1702" s="30" t="n">
        <v>45323</v>
      </c>
      <c r="B1702" s="31" t="s">
        <v>7</v>
      </c>
      <c r="C1702" s="32"/>
      <c r="D1702" s="32"/>
      <c r="E1702" s="19" t="n">
        <f aca="false">+F1702*0.03</f>
        <v>0</v>
      </c>
      <c r="F1702" s="33" t="n">
        <v>0</v>
      </c>
      <c r="G1702" s="62"/>
      <c r="H1702" s="35" t="n">
        <v>0</v>
      </c>
      <c r="I1702" s="34" t="n">
        <f aca="false">+IF(E1702=0,0,E1702*0.03)</f>
        <v>0</v>
      </c>
    </row>
    <row r="1703" customFormat="false" ht="15.75" hidden="false" customHeight="true" outlineLevel="0" collapsed="false">
      <c r="A1703" s="30" t="n">
        <v>45323</v>
      </c>
      <c r="B1703" s="31" t="s">
        <v>7</v>
      </c>
      <c r="C1703" s="32"/>
      <c r="D1703" s="32"/>
      <c r="E1703" s="19" t="n">
        <f aca="false">+F1703*0.03</f>
        <v>0</v>
      </c>
      <c r="F1703" s="33" t="n">
        <v>0</v>
      </c>
      <c r="G1703" s="62"/>
      <c r="H1703" s="35" t="n">
        <v>0</v>
      </c>
      <c r="I1703" s="34" t="n">
        <f aca="false">+IF(E1703=0,0,E1703*0.03)</f>
        <v>0</v>
      </c>
    </row>
    <row r="1704" customFormat="false" ht="15.75" hidden="false" customHeight="true" outlineLevel="0" collapsed="false">
      <c r="A1704" s="30" t="n">
        <v>45323</v>
      </c>
      <c r="B1704" s="31" t="s">
        <v>7</v>
      </c>
      <c r="C1704" s="32"/>
      <c r="D1704" s="32"/>
      <c r="E1704" s="19" t="n">
        <f aca="false">+F1704*0.03</f>
        <v>0</v>
      </c>
      <c r="F1704" s="33" t="n">
        <v>0</v>
      </c>
      <c r="G1704" s="62"/>
      <c r="H1704" s="35" t="n">
        <v>0</v>
      </c>
      <c r="I1704" s="34" t="n">
        <f aca="false">+IF(E1704=0,0,E1704*0.03)</f>
        <v>0</v>
      </c>
    </row>
    <row r="1705" customFormat="false" ht="15.75" hidden="false" customHeight="true" outlineLevel="0" collapsed="false">
      <c r="A1705" s="30" t="n">
        <v>45323</v>
      </c>
      <c r="B1705" s="31" t="s">
        <v>7</v>
      </c>
      <c r="C1705" s="32"/>
      <c r="D1705" s="32"/>
      <c r="E1705" s="19" t="n">
        <f aca="false">+F1705*0.03</f>
        <v>0</v>
      </c>
      <c r="F1705" s="33" t="n">
        <v>0</v>
      </c>
      <c r="G1705" s="62"/>
      <c r="H1705" s="35" t="n">
        <v>0</v>
      </c>
      <c r="I1705" s="34" t="n">
        <f aca="false">+IF(E1705=0,0,E1705*0.03)</f>
        <v>0</v>
      </c>
    </row>
    <row r="1706" customFormat="false" ht="15.75" hidden="false" customHeight="true" outlineLevel="0" collapsed="false">
      <c r="A1706" s="30" t="n">
        <v>45323</v>
      </c>
      <c r="B1706" s="31" t="s">
        <v>7</v>
      </c>
      <c r="C1706" s="32"/>
      <c r="D1706" s="32"/>
      <c r="E1706" s="19" t="n">
        <f aca="false">+F1706*0.03</f>
        <v>0</v>
      </c>
      <c r="F1706" s="33" t="n">
        <v>0</v>
      </c>
      <c r="G1706" s="62"/>
      <c r="H1706" s="35" t="n">
        <v>0</v>
      </c>
      <c r="I1706" s="34" t="n">
        <f aca="false">+IF(E1706=0,0,E1706*0.03)</f>
        <v>0</v>
      </c>
    </row>
    <row r="1707" customFormat="false" ht="15.75" hidden="false" customHeight="true" outlineLevel="0" collapsed="false">
      <c r="A1707" s="30" t="n">
        <v>45323</v>
      </c>
      <c r="B1707" s="31" t="s">
        <v>7</v>
      </c>
      <c r="C1707" s="32"/>
      <c r="D1707" s="32"/>
      <c r="E1707" s="19" t="n">
        <f aca="false">+F1707*0.03</f>
        <v>0</v>
      </c>
      <c r="F1707" s="33" t="n">
        <v>0</v>
      </c>
      <c r="G1707" s="62"/>
      <c r="H1707" s="35" t="n">
        <v>0</v>
      </c>
      <c r="I1707" s="34" t="n">
        <f aca="false">+IF(E1707=0,0,E1707*0.03)</f>
        <v>0</v>
      </c>
    </row>
    <row r="1708" customFormat="false" ht="15.75" hidden="false" customHeight="true" outlineLevel="0" collapsed="false">
      <c r="A1708" s="30" t="n">
        <v>45323</v>
      </c>
      <c r="B1708" s="31" t="s">
        <v>7</v>
      </c>
      <c r="C1708" s="32"/>
      <c r="D1708" s="32"/>
      <c r="E1708" s="19" t="n">
        <f aca="false">+F1708*0.03</f>
        <v>0</v>
      </c>
      <c r="F1708" s="33" t="n">
        <v>0</v>
      </c>
      <c r="G1708" s="62"/>
      <c r="H1708" s="35" t="n">
        <v>0</v>
      </c>
      <c r="I1708" s="34" t="n">
        <f aca="false">+IF(E1708=0,0,E1708*0.03)</f>
        <v>0</v>
      </c>
    </row>
    <row r="1709" customFormat="false" ht="15.75" hidden="false" customHeight="true" outlineLevel="0" collapsed="false">
      <c r="A1709" s="30" t="n">
        <v>45323</v>
      </c>
      <c r="B1709" s="31" t="s">
        <v>7</v>
      </c>
      <c r="C1709" s="32"/>
      <c r="D1709" s="32"/>
      <c r="E1709" s="19" t="n">
        <f aca="false">+F1709*0.03</f>
        <v>0</v>
      </c>
      <c r="F1709" s="33" t="n">
        <v>0</v>
      </c>
      <c r="G1709" s="62"/>
      <c r="H1709" s="35" t="n">
        <v>0</v>
      </c>
      <c r="I1709" s="34" t="n">
        <f aca="false">+IF(E1709=0,0,E1709*0.03)</f>
        <v>0</v>
      </c>
    </row>
    <row r="1710" customFormat="false" ht="15.75" hidden="false" customHeight="true" outlineLevel="0" collapsed="false">
      <c r="A1710" s="30" t="n">
        <v>45323</v>
      </c>
      <c r="B1710" s="31" t="s">
        <v>7</v>
      </c>
      <c r="C1710" s="32"/>
      <c r="D1710" s="32"/>
      <c r="E1710" s="19" t="n">
        <f aca="false">+F1710*0.03</f>
        <v>0</v>
      </c>
      <c r="F1710" s="33" t="n">
        <v>0</v>
      </c>
      <c r="G1710" s="62"/>
      <c r="H1710" s="35" t="n">
        <v>0</v>
      </c>
      <c r="I1710" s="34" t="n">
        <f aca="false">+IF(E1710=0,0,E1710*0.03)</f>
        <v>0</v>
      </c>
    </row>
    <row r="1711" customFormat="false" ht="15.75" hidden="false" customHeight="true" outlineLevel="0" collapsed="false">
      <c r="A1711" s="30" t="n">
        <v>45323</v>
      </c>
      <c r="B1711" s="31" t="s">
        <v>7</v>
      </c>
      <c r="C1711" s="32"/>
      <c r="D1711" s="32"/>
      <c r="E1711" s="19" t="n">
        <f aca="false">+F1711*0.03</f>
        <v>0</v>
      </c>
      <c r="F1711" s="33" t="n">
        <v>0</v>
      </c>
      <c r="G1711" s="62"/>
      <c r="H1711" s="35" t="n">
        <v>0</v>
      </c>
      <c r="I1711" s="34" t="n">
        <f aca="false">+IF(E1711=0,0,E1711*0.03)</f>
        <v>0</v>
      </c>
    </row>
    <row r="1712" customFormat="false" ht="15.75" hidden="false" customHeight="true" outlineLevel="0" collapsed="false">
      <c r="A1712" s="30" t="n">
        <v>45323</v>
      </c>
      <c r="B1712" s="31" t="s">
        <v>7</v>
      </c>
      <c r="C1712" s="32"/>
      <c r="D1712" s="32"/>
      <c r="E1712" s="19" t="n">
        <f aca="false">+F1712*0.03</f>
        <v>0</v>
      </c>
      <c r="F1712" s="33" t="n">
        <v>0</v>
      </c>
      <c r="G1712" s="62"/>
      <c r="H1712" s="35" t="n">
        <v>0</v>
      </c>
      <c r="I1712" s="34" t="n">
        <f aca="false">+IF(E1712=0,0,E1712*0.03)</f>
        <v>0</v>
      </c>
    </row>
    <row r="1713" customFormat="false" ht="15.75" hidden="false" customHeight="true" outlineLevel="0" collapsed="false">
      <c r="A1713" s="30" t="n">
        <v>45323</v>
      </c>
      <c r="B1713" s="31" t="s">
        <v>7</v>
      </c>
      <c r="C1713" s="32"/>
      <c r="D1713" s="32"/>
      <c r="E1713" s="19" t="n">
        <f aca="false">+F1713*0.03</f>
        <v>0</v>
      </c>
      <c r="F1713" s="33" t="n">
        <v>0</v>
      </c>
      <c r="G1713" s="62"/>
      <c r="H1713" s="35" t="n">
        <v>0</v>
      </c>
      <c r="I1713" s="34" t="n">
        <f aca="false">+IF(E1713=0,0,E1713*0.03)</f>
        <v>0</v>
      </c>
    </row>
    <row r="1714" customFormat="false" ht="15.75" hidden="false" customHeight="true" outlineLevel="0" collapsed="false">
      <c r="A1714" s="30" t="n">
        <v>45323</v>
      </c>
      <c r="B1714" s="31" t="s">
        <v>7</v>
      </c>
      <c r="C1714" s="32"/>
      <c r="D1714" s="32"/>
      <c r="E1714" s="19" t="n">
        <f aca="false">+F1714*0.03</f>
        <v>0</v>
      </c>
      <c r="F1714" s="33" t="n">
        <v>0</v>
      </c>
      <c r="G1714" s="62"/>
      <c r="H1714" s="35" t="n">
        <v>0</v>
      </c>
      <c r="I1714" s="34" t="n">
        <f aca="false">+IF(E1714=0,0,E1714*0.03)</f>
        <v>0</v>
      </c>
    </row>
    <row r="1715" customFormat="false" ht="15.75" hidden="false" customHeight="true" outlineLevel="0" collapsed="false">
      <c r="A1715" s="30" t="n">
        <v>45323</v>
      </c>
      <c r="B1715" s="31" t="s">
        <v>7</v>
      </c>
      <c r="C1715" s="32"/>
      <c r="D1715" s="32"/>
      <c r="E1715" s="19" t="n">
        <f aca="false">+F1715*0.03</f>
        <v>0</v>
      </c>
      <c r="F1715" s="33" t="n">
        <v>0</v>
      </c>
      <c r="G1715" s="62"/>
      <c r="H1715" s="35" t="n">
        <v>0</v>
      </c>
      <c r="I1715" s="34" t="n">
        <f aca="false">+IF(E1715=0,0,E1715*0.03)</f>
        <v>0</v>
      </c>
    </row>
    <row r="1716" customFormat="false" ht="15.75" hidden="false" customHeight="true" outlineLevel="0" collapsed="false">
      <c r="A1716" s="30" t="n">
        <v>45323</v>
      </c>
      <c r="B1716" s="31" t="s">
        <v>7</v>
      </c>
      <c r="C1716" s="32"/>
      <c r="D1716" s="32"/>
      <c r="E1716" s="19" t="n">
        <f aca="false">+F1716*0.03</f>
        <v>0</v>
      </c>
      <c r="F1716" s="33" t="n">
        <v>0</v>
      </c>
      <c r="G1716" s="62"/>
      <c r="H1716" s="35" t="n">
        <v>0</v>
      </c>
      <c r="I1716" s="34" t="n">
        <f aca="false">+IF(E1716=0,0,E1716*0.03)</f>
        <v>0</v>
      </c>
    </row>
    <row r="1717" customFormat="false" ht="15.75" hidden="false" customHeight="true" outlineLevel="0" collapsed="false">
      <c r="A1717" s="30" t="n">
        <v>45323</v>
      </c>
      <c r="B1717" s="31" t="s">
        <v>7</v>
      </c>
      <c r="C1717" s="32"/>
      <c r="D1717" s="32"/>
      <c r="E1717" s="19" t="n">
        <f aca="false">+F1717*0.03</f>
        <v>0</v>
      </c>
      <c r="F1717" s="33" t="n">
        <v>0</v>
      </c>
      <c r="G1717" s="62"/>
      <c r="H1717" s="35" t="n">
        <v>0</v>
      </c>
      <c r="I1717" s="34" t="n">
        <f aca="false">+IF(E1717=0,0,E1717*0.03)</f>
        <v>0</v>
      </c>
    </row>
    <row r="1718" customFormat="false" ht="15.75" hidden="false" customHeight="true" outlineLevel="0" collapsed="false">
      <c r="A1718" s="30" t="n">
        <v>45323</v>
      </c>
      <c r="B1718" s="31" t="s">
        <v>7</v>
      </c>
      <c r="C1718" s="32"/>
      <c r="D1718" s="32"/>
      <c r="E1718" s="19" t="n">
        <f aca="false">+F1718*0.03</f>
        <v>0</v>
      </c>
      <c r="F1718" s="33" t="n">
        <v>0</v>
      </c>
      <c r="G1718" s="62"/>
      <c r="H1718" s="35" t="n">
        <v>0</v>
      </c>
      <c r="I1718" s="34" t="n">
        <f aca="false">+IF(E1718=0,0,E1718*0.03)</f>
        <v>0</v>
      </c>
    </row>
    <row r="1719" customFormat="false" ht="15.75" hidden="false" customHeight="true" outlineLevel="0" collapsed="false">
      <c r="A1719" s="30" t="n">
        <v>45323</v>
      </c>
      <c r="B1719" s="31" t="s">
        <v>7</v>
      </c>
      <c r="C1719" s="32"/>
      <c r="D1719" s="32"/>
      <c r="E1719" s="19" t="n">
        <f aca="false">+F1719*0.03</f>
        <v>0</v>
      </c>
      <c r="F1719" s="33" t="n">
        <v>0</v>
      </c>
      <c r="G1719" s="62"/>
      <c r="H1719" s="35" t="n">
        <v>0</v>
      </c>
      <c r="I1719" s="34" t="n">
        <f aca="false">+IF(E1719=0,0,E1719*0.03)</f>
        <v>0</v>
      </c>
    </row>
    <row r="1720" customFormat="false" ht="15.75" hidden="false" customHeight="true" outlineLevel="0" collapsed="false">
      <c r="A1720" s="30" t="n">
        <v>45323</v>
      </c>
      <c r="B1720" s="31" t="s">
        <v>7</v>
      </c>
      <c r="C1720" s="32"/>
      <c r="D1720" s="32"/>
      <c r="E1720" s="19" t="n">
        <f aca="false">+F1720*0.03</f>
        <v>0</v>
      </c>
      <c r="F1720" s="33" t="n">
        <v>0</v>
      </c>
      <c r="G1720" s="62"/>
      <c r="H1720" s="35" t="n">
        <v>0</v>
      </c>
      <c r="I1720" s="34" t="n">
        <f aca="false">+IF(E1720=0,0,E1720*0.03)</f>
        <v>0</v>
      </c>
    </row>
    <row r="1721" customFormat="false" ht="15.75" hidden="false" customHeight="true" outlineLevel="0" collapsed="false">
      <c r="A1721" s="30" t="n">
        <v>45323</v>
      </c>
      <c r="B1721" s="31" t="s">
        <v>7</v>
      </c>
      <c r="C1721" s="32"/>
      <c r="D1721" s="32"/>
      <c r="E1721" s="19" t="n">
        <f aca="false">+F1721*0.03</f>
        <v>0</v>
      </c>
      <c r="F1721" s="33" t="n">
        <v>0</v>
      </c>
      <c r="G1721" s="62"/>
      <c r="H1721" s="35" t="n">
        <v>0</v>
      </c>
      <c r="I1721" s="34" t="n">
        <f aca="false">+IF(E1721=0,0,E1721*0.03)</f>
        <v>0</v>
      </c>
    </row>
    <row r="1722" customFormat="false" ht="15.75" hidden="false" customHeight="true" outlineLevel="0" collapsed="false">
      <c r="A1722" s="30" t="n">
        <v>45323</v>
      </c>
      <c r="B1722" s="31" t="s">
        <v>7</v>
      </c>
      <c r="C1722" s="32"/>
      <c r="D1722" s="32"/>
      <c r="E1722" s="19" t="n">
        <f aca="false">+F1722*0.03</f>
        <v>0</v>
      </c>
      <c r="F1722" s="33" t="n">
        <v>0</v>
      </c>
      <c r="G1722" s="62"/>
      <c r="H1722" s="35" t="n">
        <v>0</v>
      </c>
      <c r="I1722" s="34" t="n">
        <f aca="false">+IF(E1722=0,0,E1722*0.03)</f>
        <v>0</v>
      </c>
    </row>
    <row r="1723" customFormat="false" ht="15.75" hidden="false" customHeight="true" outlineLevel="0" collapsed="false">
      <c r="A1723" s="30" t="n">
        <v>45323</v>
      </c>
      <c r="B1723" s="31" t="s">
        <v>7</v>
      </c>
      <c r="C1723" s="32"/>
      <c r="D1723" s="32"/>
      <c r="E1723" s="19" t="n">
        <f aca="false">+F1723*0.03</f>
        <v>0</v>
      </c>
      <c r="F1723" s="33" t="n">
        <v>0</v>
      </c>
      <c r="G1723" s="62"/>
      <c r="H1723" s="35" t="n">
        <v>0</v>
      </c>
      <c r="I1723" s="34" t="n">
        <f aca="false">+IF(E1723=0,0,E1723*0.03)</f>
        <v>0</v>
      </c>
    </row>
    <row r="1724" customFormat="false" ht="15.75" hidden="false" customHeight="true" outlineLevel="0" collapsed="false">
      <c r="A1724" s="30" t="n">
        <v>45323</v>
      </c>
      <c r="B1724" s="31" t="s">
        <v>7</v>
      </c>
      <c r="C1724" s="32"/>
      <c r="D1724" s="32"/>
      <c r="E1724" s="19" t="n">
        <f aca="false">+F1724*0.03</f>
        <v>0</v>
      </c>
      <c r="F1724" s="33" t="n">
        <v>0</v>
      </c>
      <c r="G1724" s="62"/>
      <c r="H1724" s="35" t="n">
        <v>0</v>
      </c>
      <c r="I1724" s="34" t="n">
        <f aca="false">+IF(E1724=0,0,E1724*0.03)</f>
        <v>0</v>
      </c>
    </row>
    <row r="1725" customFormat="false" ht="15.75" hidden="false" customHeight="true" outlineLevel="0" collapsed="false">
      <c r="A1725" s="30" t="n">
        <v>45323</v>
      </c>
      <c r="B1725" s="31" t="s">
        <v>7</v>
      </c>
      <c r="C1725" s="32"/>
      <c r="D1725" s="32"/>
      <c r="E1725" s="19" t="n">
        <f aca="false">+F1725*0.03</f>
        <v>0</v>
      </c>
      <c r="F1725" s="33" t="n">
        <v>0</v>
      </c>
      <c r="G1725" s="62"/>
      <c r="H1725" s="35" t="n">
        <v>0</v>
      </c>
      <c r="I1725" s="34" t="n">
        <f aca="false">+IF(E1725=0,0,E1725*0.03)</f>
        <v>0</v>
      </c>
    </row>
    <row r="1726" customFormat="false" ht="15.75" hidden="false" customHeight="true" outlineLevel="0" collapsed="false">
      <c r="A1726" s="30" t="n">
        <v>45323</v>
      </c>
      <c r="B1726" s="31" t="s">
        <v>7</v>
      </c>
      <c r="C1726" s="32"/>
      <c r="D1726" s="32"/>
      <c r="E1726" s="19" t="n">
        <f aca="false">+F1726*0.03</f>
        <v>0</v>
      </c>
      <c r="F1726" s="33" t="n">
        <v>0</v>
      </c>
      <c r="G1726" s="62"/>
      <c r="H1726" s="35" t="n">
        <v>0</v>
      </c>
      <c r="I1726" s="34" t="n">
        <f aca="false">+IF(E1726=0,0,E1726*0.03)</f>
        <v>0</v>
      </c>
    </row>
    <row r="1727" customFormat="false" ht="15.75" hidden="false" customHeight="true" outlineLevel="0" collapsed="false">
      <c r="A1727" s="30" t="n">
        <v>45323</v>
      </c>
      <c r="B1727" s="31" t="s">
        <v>7</v>
      </c>
      <c r="C1727" s="32"/>
      <c r="D1727" s="32"/>
      <c r="E1727" s="19" t="n">
        <f aca="false">+F1727*0.03</f>
        <v>0</v>
      </c>
      <c r="F1727" s="33" t="n">
        <v>0</v>
      </c>
      <c r="G1727" s="62"/>
      <c r="H1727" s="35" t="n">
        <v>0</v>
      </c>
      <c r="I1727" s="34" t="n">
        <f aca="false">+IF(E1727=0,0,E1727*0.03)</f>
        <v>0</v>
      </c>
    </row>
    <row r="1728" customFormat="false" ht="15.75" hidden="false" customHeight="true" outlineLevel="0" collapsed="false">
      <c r="A1728" s="30" t="n">
        <v>45323</v>
      </c>
      <c r="B1728" s="31" t="s">
        <v>7</v>
      </c>
      <c r="C1728" s="32"/>
      <c r="D1728" s="32"/>
      <c r="E1728" s="19" t="n">
        <f aca="false">+F1728*0.03</f>
        <v>0</v>
      </c>
      <c r="F1728" s="33" t="n">
        <v>0</v>
      </c>
      <c r="G1728" s="62"/>
      <c r="H1728" s="35" t="n">
        <v>0</v>
      </c>
      <c r="I1728" s="34" t="n">
        <f aca="false">+IF(E1728=0,0,E1728*0.03)</f>
        <v>0</v>
      </c>
    </row>
    <row r="1729" customFormat="false" ht="15.75" hidden="false" customHeight="true" outlineLevel="0" collapsed="false">
      <c r="A1729" s="30" t="n">
        <v>45323</v>
      </c>
      <c r="B1729" s="31" t="s">
        <v>7</v>
      </c>
      <c r="C1729" s="32"/>
      <c r="D1729" s="32"/>
      <c r="E1729" s="19" t="n">
        <f aca="false">+F1729*0.03</f>
        <v>0</v>
      </c>
      <c r="F1729" s="33" t="n">
        <v>0</v>
      </c>
      <c r="G1729" s="62"/>
      <c r="H1729" s="35" t="n">
        <v>0</v>
      </c>
      <c r="I1729" s="34" t="n">
        <f aca="false">+IF(E1729=0,0,E1729*0.03)</f>
        <v>0</v>
      </c>
    </row>
    <row r="1730" customFormat="false" ht="15.75" hidden="false" customHeight="true" outlineLevel="0" collapsed="false">
      <c r="A1730" s="30" t="n">
        <v>45323</v>
      </c>
      <c r="B1730" s="31" t="s">
        <v>7</v>
      </c>
      <c r="C1730" s="32"/>
      <c r="D1730" s="32"/>
      <c r="E1730" s="19" t="n">
        <f aca="false">+F1730*0.03</f>
        <v>0</v>
      </c>
      <c r="F1730" s="33" t="n">
        <v>0</v>
      </c>
      <c r="G1730" s="62"/>
      <c r="H1730" s="35" t="n">
        <v>0</v>
      </c>
      <c r="I1730" s="34" t="n">
        <f aca="false">+IF(E1730=0,0,E1730*0.03)</f>
        <v>0</v>
      </c>
    </row>
    <row r="1731" customFormat="false" ht="15.75" hidden="false" customHeight="true" outlineLevel="0" collapsed="false">
      <c r="A1731" s="30" t="n">
        <v>45323</v>
      </c>
      <c r="B1731" s="31" t="s">
        <v>7</v>
      </c>
      <c r="C1731" s="32"/>
      <c r="D1731" s="32"/>
      <c r="E1731" s="19" t="n">
        <f aca="false">+F1731*0.03</f>
        <v>0</v>
      </c>
      <c r="F1731" s="33" t="n">
        <v>0</v>
      </c>
      <c r="G1731" s="62"/>
      <c r="H1731" s="35" t="n">
        <v>0</v>
      </c>
      <c r="I1731" s="34" t="n">
        <f aca="false">+IF(E1731=0,0,E1731*0.03)</f>
        <v>0</v>
      </c>
    </row>
    <row r="1732" customFormat="false" ht="15.75" hidden="false" customHeight="true" outlineLevel="0" collapsed="false">
      <c r="A1732" s="30" t="n">
        <v>45323</v>
      </c>
      <c r="B1732" s="31" t="s">
        <v>7</v>
      </c>
      <c r="C1732" s="32"/>
      <c r="D1732" s="32"/>
      <c r="E1732" s="19" t="n">
        <f aca="false">+F1732*0.03</f>
        <v>0</v>
      </c>
      <c r="F1732" s="33" t="n">
        <v>0</v>
      </c>
      <c r="G1732" s="62"/>
      <c r="H1732" s="35" t="n">
        <v>0</v>
      </c>
      <c r="I1732" s="34" t="n">
        <f aca="false">+IF(E1732=0,0,E1732*0.03)</f>
        <v>0</v>
      </c>
    </row>
    <row r="1733" customFormat="false" ht="15.75" hidden="false" customHeight="true" outlineLevel="0" collapsed="false">
      <c r="A1733" s="30" t="n">
        <v>45323</v>
      </c>
      <c r="B1733" s="31" t="s">
        <v>7</v>
      </c>
      <c r="C1733" s="32"/>
      <c r="D1733" s="32"/>
      <c r="E1733" s="19" t="n">
        <f aca="false">+F1733*0.03</f>
        <v>0</v>
      </c>
      <c r="F1733" s="33" t="n">
        <v>0</v>
      </c>
      <c r="G1733" s="62"/>
      <c r="H1733" s="35" t="n">
        <v>0</v>
      </c>
      <c r="I1733" s="34" t="n">
        <f aca="false">+IF(E1733=0,0,E1733*0.03)</f>
        <v>0</v>
      </c>
    </row>
    <row r="1734" customFormat="false" ht="15.75" hidden="false" customHeight="true" outlineLevel="0" collapsed="false">
      <c r="A1734" s="30" t="n">
        <v>45323</v>
      </c>
      <c r="B1734" s="31" t="s">
        <v>7</v>
      </c>
      <c r="C1734" s="32"/>
      <c r="D1734" s="32"/>
      <c r="E1734" s="19" t="n">
        <f aca="false">+F1734*0.03</f>
        <v>0</v>
      </c>
      <c r="F1734" s="33" t="n">
        <v>0</v>
      </c>
      <c r="G1734" s="62"/>
      <c r="H1734" s="35" t="n">
        <v>0</v>
      </c>
      <c r="I1734" s="34" t="n">
        <f aca="false">+IF(E1734=0,0,E1734*0.03)</f>
        <v>0</v>
      </c>
    </row>
    <row r="1735" customFormat="false" ht="15.75" hidden="false" customHeight="true" outlineLevel="0" collapsed="false">
      <c r="A1735" s="30" t="n">
        <v>45323</v>
      </c>
      <c r="B1735" s="31" t="s">
        <v>7</v>
      </c>
      <c r="C1735" s="32"/>
      <c r="D1735" s="32"/>
      <c r="E1735" s="19" t="n">
        <f aca="false">+F1735*0.03</f>
        <v>0</v>
      </c>
      <c r="F1735" s="33" t="n">
        <v>0</v>
      </c>
      <c r="G1735" s="62"/>
      <c r="H1735" s="35" t="n">
        <v>0</v>
      </c>
      <c r="I1735" s="34" t="n">
        <f aca="false">+IF(E1735=0,0,E1735*0.03)</f>
        <v>0</v>
      </c>
    </row>
    <row r="1736" customFormat="false" ht="15.75" hidden="false" customHeight="true" outlineLevel="0" collapsed="false">
      <c r="A1736" s="30" t="n">
        <v>45323</v>
      </c>
      <c r="B1736" s="31" t="s">
        <v>7</v>
      </c>
      <c r="C1736" s="32"/>
      <c r="D1736" s="32"/>
      <c r="E1736" s="19" t="n">
        <f aca="false">+F1736*0.03</f>
        <v>0</v>
      </c>
      <c r="F1736" s="33" t="n">
        <v>0</v>
      </c>
      <c r="G1736" s="62"/>
      <c r="H1736" s="35" t="n">
        <v>0</v>
      </c>
      <c r="I1736" s="34" t="n">
        <f aca="false">+IF(E1736=0,0,E1736*0.03)</f>
        <v>0</v>
      </c>
    </row>
    <row r="1737" customFormat="false" ht="15.75" hidden="false" customHeight="true" outlineLevel="0" collapsed="false">
      <c r="A1737" s="30" t="n">
        <v>45323</v>
      </c>
      <c r="B1737" s="31" t="s">
        <v>7</v>
      </c>
      <c r="C1737" s="32"/>
      <c r="D1737" s="32"/>
      <c r="E1737" s="19" t="n">
        <f aca="false">+F1737*0.03</f>
        <v>0</v>
      </c>
      <c r="F1737" s="33" t="n">
        <v>0</v>
      </c>
      <c r="G1737" s="62"/>
      <c r="H1737" s="35" t="n">
        <v>0</v>
      </c>
      <c r="I1737" s="34" t="n">
        <f aca="false">+IF(E1737=0,0,E1737*0.03)</f>
        <v>0</v>
      </c>
    </row>
    <row r="1738" customFormat="false" ht="15.75" hidden="false" customHeight="true" outlineLevel="0" collapsed="false">
      <c r="A1738" s="30" t="n">
        <v>45323</v>
      </c>
      <c r="B1738" s="31" t="s">
        <v>7</v>
      </c>
      <c r="C1738" s="32"/>
      <c r="D1738" s="32"/>
      <c r="E1738" s="19" t="n">
        <f aca="false">+F1738*0.03</f>
        <v>0</v>
      </c>
      <c r="F1738" s="33" t="n">
        <v>0</v>
      </c>
      <c r="G1738" s="62"/>
      <c r="H1738" s="35" t="n">
        <v>0</v>
      </c>
      <c r="I1738" s="34" t="n">
        <f aca="false">+IF(E1738=0,0,E1738*0.03)</f>
        <v>0</v>
      </c>
    </row>
    <row r="1739" customFormat="false" ht="15.75" hidden="false" customHeight="true" outlineLevel="0" collapsed="false">
      <c r="A1739" s="30" t="n">
        <v>45323</v>
      </c>
      <c r="B1739" s="31" t="s">
        <v>7</v>
      </c>
      <c r="C1739" s="32"/>
      <c r="D1739" s="32"/>
      <c r="E1739" s="19" t="n">
        <f aca="false">+F1739*0.03</f>
        <v>0</v>
      </c>
      <c r="F1739" s="33" t="n">
        <v>0</v>
      </c>
      <c r="G1739" s="62"/>
      <c r="H1739" s="35" t="n">
        <v>0</v>
      </c>
      <c r="I1739" s="34" t="n">
        <f aca="false">+IF(E1739=0,0,E1739*0.03)</f>
        <v>0</v>
      </c>
    </row>
    <row r="1740" customFormat="false" ht="15.75" hidden="false" customHeight="true" outlineLevel="0" collapsed="false">
      <c r="A1740" s="30" t="n">
        <v>45323</v>
      </c>
      <c r="B1740" s="31" t="s">
        <v>7</v>
      </c>
      <c r="C1740" s="32"/>
      <c r="D1740" s="32"/>
      <c r="E1740" s="19" t="n">
        <f aca="false">+F1740*0.03</f>
        <v>0</v>
      </c>
      <c r="F1740" s="33" t="n">
        <v>0</v>
      </c>
      <c r="G1740" s="62"/>
      <c r="H1740" s="35" t="n">
        <v>0</v>
      </c>
      <c r="I1740" s="34" t="n">
        <f aca="false">+IF(E1740=0,0,E1740*0.03)</f>
        <v>0</v>
      </c>
    </row>
    <row r="1741" customFormat="false" ht="15.75" hidden="false" customHeight="true" outlineLevel="0" collapsed="false">
      <c r="A1741" s="30" t="n">
        <v>45323</v>
      </c>
      <c r="B1741" s="31" t="s">
        <v>7</v>
      </c>
      <c r="C1741" s="32"/>
      <c r="D1741" s="32"/>
      <c r="E1741" s="19" t="n">
        <f aca="false">+F1741*0.03</f>
        <v>0</v>
      </c>
      <c r="F1741" s="33" t="n">
        <v>0</v>
      </c>
      <c r="G1741" s="62"/>
      <c r="H1741" s="35" t="n">
        <v>0</v>
      </c>
      <c r="I1741" s="34" t="n">
        <f aca="false">+IF(E1741=0,0,E1741*0.03)</f>
        <v>0</v>
      </c>
    </row>
    <row r="1742" customFormat="false" ht="15.75" hidden="false" customHeight="true" outlineLevel="0" collapsed="false">
      <c r="A1742" s="30" t="n">
        <v>45323</v>
      </c>
      <c r="B1742" s="31" t="s">
        <v>7</v>
      </c>
      <c r="C1742" s="32"/>
      <c r="D1742" s="32"/>
      <c r="E1742" s="19" t="n">
        <f aca="false">+F1742*0.03</f>
        <v>0</v>
      </c>
      <c r="F1742" s="33" t="n">
        <v>0</v>
      </c>
      <c r="G1742" s="62"/>
      <c r="H1742" s="35" t="n">
        <v>0</v>
      </c>
      <c r="I1742" s="34" t="n">
        <f aca="false">+IF(E1742=0,0,E1742*0.03)</f>
        <v>0</v>
      </c>
    </row>
    <row r="1743" customFormat="false" ht="15.75" hidden="false" customHeight="true" outlineLevel="0" collapsed="false">
      <c r="A1743" s="30" t="n">
        <v>45323</v>
      </c>
      <c r="B1743" s="31" t="s">
        <v>7</v>
      </c>
      <c r="C1743" s="32"/>
      <c r="D1743" s="32"/>
      <c r="E1743" s="19" t="n">
        <f aca="false">+F1743*0.03</f>
        <v>0</v>
      </c>
      <c r="F1743" s="33" t="n">
        <v>0</v>
      </c>
      <c r="G1743" s="62"/>
      <c r="H1743" s="35" t="n">
        <v>0</v>
      </c>
      <c r="I1743" s="34" t="n">
        <f aca="false">+IF(E1743=0,0,E1743*0.03)</f>
        <v>0</v>
      </c>
    </row>
    <row r="1744" customFormat="false" ht="15.75" hidden="false" customHeight="true" outlineLevel="0" collapsed="false">
      <c r="A1744" s="30" t="n">
        <v>45323</v>
      </c>
      <c r="B1744" s="31" t="s">
        <v>7</v>
      </c>
      <c r="C1744" s="32"/>
      <c r="D1744" s="32"/>
      <c r="E1744" s="19" t="n">
        <f aca="false">+F1744*0.03</f>
        <v>0</v>
      </c>
      <c r="F1744" s="33" t="n">
        <v>0</v>
      </c>
      <c r="G1744" s="62"/>
      <c r="H1744" s="35" t="n">
        <v>0</v>
      </c>
      <c r="I1744" s="34" t="n">
        <f aca="false">+IF(E1744=0,0,E1744*0.03)</f>
        <v>0</v>
      </c>
    </row>
    <row r="1745" customFormat="false" ht="15.75" hidden="false" customHeight="true" outlineLevel="0" collapsed="false">
      <c r="A1745" s="30" t="n">
        <v>45323</v>
      </c>
      <c r="B1745" s="31" t="s">
        <v>7</v>
      </c>
      <c r="C1745" s="32"/>
      <c r="D1745" s="32"/>
      <c r="E1745" s="19" t="n">
        <f aca="false">+F1745*0.03</f>
        <v>0</v>
      </c>
      <c r="F1745" s="33" t="n">
        <v>0</v>
      </c>
      <c r="G1745" s="62"/>
      <c r="H1745" s="35" t="n">
        <v>0</v>
      </c>
      <c r="I1745" s="34" t="n">
        <f aca="false">+IF(E1745=0,0,E1745*0.03)</f>
        <v>0</v>
      </c>
    </row>
    <row r="1746" customFormat="false" ht="15.75" hidden="false" customHeight="true" outlineLevel="0" collapsed="false">
      <c r="A1746" s="30" t="n">
        <v>45323</v>
      </c>
      <c r="B1746" s="31" t="s">
        <v>7</v>
      </c>
      <c r="C1746" s="32"/>
      <c r="D1746" s="32"/>
      <c r="E1746" s="19" t="n">
        <f aca="false">+F1746*0.03</f>
        <v>0</v>
      </c>
      <c r="F1746" s="33" t="n">
        <v>0</v>
      </c>
      <c r="G1746" s="62"/>
      <c r="H1746" s="35" t="n">
        <v>0</v>
      </c>
      <c r="I1746" s="34" t="n">
        <f aca="false">+IF(E1746=0,0,E1746*0.03)</f>
        <v>0</v>
      </c>
    </row>
    <row r="1747" customFormat="false" ht="15.75" hidden="false" customHeight="true" outlineLevel="0" collapsed="false">
      <c r="A1747" s="30" t="n">
        <v>45323</v>
      </c>
      <c r="B1747" s="31" t="s">
        <v>7</v>
      </c>
      <c r="C1747" s="32"/>
      <c r="D1747" s="32"/>
      <c r="E1747" s="19" t="n">
        <f aca="false">+F1747*0.03</f>
        <v>0</v>
      </c>
      <c r="F1747" s="33" t="n">
        <v>0</v>
      </c>
      <c r="G1747" s="62"/>
      <c r="H1747" s="35" t="n">
        <v>0</v>
      </c>
      <c r="I1747" s="34" t="n">
        <f aca="false">+IF(E1747=0,0,E1747*0.03)</f>
        <v>0</v>
      </c>
    </row>
    <row r="1748" customFormat="false" ht="15.75" hidden="false" customHeight="true" outlineLevel="0" collapsed="false">
      <c r="A1748" s="30" t="n">
        <v>45323</v>
      </c>
      <c r="B1748" s="31" t="s">
        <v>7</v>
      </c>
      <c r="C1748" s="32"/>
      <c r="D1748" s="32"/>
      <c r="E1748" s="19" t="n">
        <f aca="false">+F1748*0.03</f>
        <v>0</v>
      </c>
      <c r="F1748" s="33" t="n">
        <v>0</v>
      </c>
      <c r="G1748" s="62"/>
      <c r="H1748" s="35" t="n">
        <v>0</v>
      </c>
      <c r="I1748" s="34" t="n">
        <f aca="false">+IF(E1748=0,0,E1748*0.03)</f>
        <v>0</v>
      </c>
    </row>
    <row r="1749" customFormat="false" ht="15.75" hidden="false" customHeight="true" outlineLevel="0" collapsed="false">
      <c r="A1749" s="30" t="n">
        <v>45323</v>
      </c>
      <c r="B1749" s="31" t="s">
        <v>7</v>
      </c>
      <c r="C1749" s="32"/>
      <c r="D1749" s="32"/>
      <c r="E1749" s="19" t="n">
        <f aca="false">+F1749*0.03</f>
        <v>0</v>
      </c>
      <c r="F1749" s="33" t="n">
        <v>0</v>
      </c>
      <c r="G1749" s="62"/>
      <c r="H1749" s="35" t="n">
        <v>0</v>
      </c>
      <c r="I1749" s="34" t="n">
        <f aca="false">+IF(E1749=0,0,E1749*0.03)</f>
        <v>0</v>
      </c>
    </row>
    <row r="1750" customFormat="false" ht="15.75" hidden="false" customHeight="true" outlineLevel="0" collapsed="false">
      <c r="A1750" s="30" t="n">
        <v>45323</v>
      </c>
      <c r="B1750" s="31" t="s">
        <v>7</v>
      </c>
      <c r="C1750" s="32"/>
      <c r="D1750" s="32"/>
      <c r="E1750" s="19" t="n">
        <f aca="false">+F1750*0.03</f>
        <v>0</v>
      </c>
      <c r="F1750" s="33" t="n">
        <v>0</v>
      </c>
      <c r="G1750" s="62"/>
      <c r="H1750" s="35" t="n">
        <v>0</v>
      </c>
      <c r="I1750" s="34" t="n">
        <f aca="false">+IF(E1750=0,0,E1750*0.03)</f>
        <v>0</v>
      </c>
    </row>
    <row r="1751" customFormat="false" ht="15.75" hidden="false" customHeight="true" outlineLevel="0" collapsed="false">
      <c r="A1751" s="30" t="n">
        <v>45323</v>
      </c>
      <c r="B1751" s="31" t="s">
        <v>7</v>
      </c>
      <c r="C1751" s="32"/>
      <c r="D1751" s="32"/>
      <c r="E1751" s="19" t="n">
        <f aca="false">+F1751*0.03</f>
        <v>0</v>
      </c>
      <c r="F1751" s="33" t="n">
        <v>0</v>
      </c>
      <c r="G1751" s="62"/>
      <c r="H1751" s="35" t="n">
        <v>0</v>
      </c>
      <c r="I1751" s="34" t="n">
        <f aca="false">+IF(E1751=0,0,E1751*0.03)</f>
        <v>0</v>
      </c>
    </row>
    <row r="1752" customFormat="false" ht="15.75" hidden="false" customHeight="true" outlineLevel="0" collapsed="false">
      <c r="A1752" s="30" t="n">
        <v>45323</v>
      </c>
      <c r="B1752" s="31" t="s">
        <v>7</v>
      </c>
      <c r="C1752" s="32"/>
      <c r="D1752" s="32"/>
      <c r="E1752" s="19" t="n">
        <f aca="false">+F1752*0.03</f>
        <v>0</v>
      </c>
      <c r="F1752" s="33" t="n">
        <v>0</v>
      </c>
      <c r="G1752" s="62"/>
      <c r="H1752" s="35" t="n">
        <v>0</v>
      </c>
      <c r="I1752" s="34" t="n">
        <f aca="false">+IF(E1752=0,0,E1752*0.03)</f>
        <v>0</v>
      </c>
    </row>
    <row r="1753" customFormat="false" ht="15.75" hidden="false" customHeight="true" outlineLevel="0" collapsed="false">
      <c r="A1753" s="30" t="n">
        <v>45323</v>
      </c>
      <c r="B1753" s="31" t="s">
        <v>7</v>
      </c>
      <c r="C1753" s="32"/>
      <c r="D1753" s="32"/>
      <c r="E1753" s="19" t="n">
        <f aca="false">+F1753*0.03</f>
        <v>0</v>
      </c>
      <c r="F1753" s="33" t="n">
        <v>0</v>
      </c>
      <c r="G1753" s="62"/>
      <c r="H1753" s="35" t="n">
        <v>0</v>
      </c>
      <c r="I1753" s="34" t="n">
        <f aca="false">+IF(E1753=0,0,E1753*0.03)</f>
        <v>0</v>
      </c>
    </row>
    <row r="1754" customFormat="false" ht="15.75" hidden="false" customHeight="true" outlineLevel="0" collapsed="false">
      <c r="A1754" s="30" t="n">
        <v>45323</v>
      </c>
      <c r="B1754" s="31" t="s">
        <v>7</v>
      </c>
      <c r="C1754" s="32"/>
      <c r="D1754" s="32"/>
      <c r="E1754" s="19" t="n">
        <f aca="false">+F1754*0.03</f>
        <v>0</v>
      </c>
      <c r="F1754" s="33" t="n">
        <v>0</v>
      </c>
      <c r="G1754" s="62"/>
      <c r="H1754" s="35" t="n">
        <v>0</v>
      </c>
      <c r="I1754" s="34" t="n">
        <f aca="false">+IF(E1754=0,0,E1754*0.03)</f>
        <v>0</v>
      </c>
    </row>
    <row r="1755" customFormat="false" ht="15.75" hidden="false" customHeight="true" outlineLevel="0" collapsed="false">
      <c r="A1755" s="30" t="n">
        <v>45323</v>
      </c>
      <c r="B1755" s="31" t="s">
        <v>7</v>
      </c>
      <c r="C1755" s="32"/>
      <c r="D1755" s="32"/>
      <c r="E1755" s="19" t="n">
        <f aca="false">+F1755*0.03</f>
        <v>0</v>
      </c>
      <c r="F1755" s="33" t="n">
        <v>0</v>
      </c>
      <c r="G1755" s="62"/>
      <c r="H1755" s="35" t="n">
        <v>0</v>
      </c>
      <c r="I1755" s="34" t="n">
        <f aca="false">+IF(E1755=0,0,E1755*0.03)</f>
        <v>0</v>
      </c>
    </row>
    <row r="1756" customFormat="false" ht="15.75" hidden="false" customHeight="true" outlineLevel="0" collapsed="false">
      <c r="A1756" s="30" t="n">
        <v>45323</v>
      </c>
      <c r="B1756" s="31" t="s">
        <v>7</v>
      </c>
      <c r="C1756" s="32"/>
      <c r="D1756" s="32"/>
      <c r="E1756" s="19" t="n">
        <f aca="false">+F1756*0.03</f>
        <v>0</v>
      </c>
      <c r="F1756" s="33" t="n">
        <v>0</v>
      </c>
      <c r="G1756" s="62"/>
      <c r="H1756" s="35" t="n">
        <v>0</v>
      </c>
      <c r="I1756" s="34" t="n">
        <f aca="false">+IF(E1756=0,0,E1756*0.03)</f>
        <v>0</v>
      </c>
    </row>
    <row r="1757" customFormat="false" ht="15.75" hidden="false" customHeight="true" outlineLevel="0" collapsed="false">
      <c r="A1757" s="30" t="n">
        <v>45323</v>
      </c>
      <c r="B1757" s="31" t="s">
        <v>7</v>
      </c>
      <c r="C1757" s="32"/>
      <c r="D1757" s="32"/>
      <c r="E1757" s="19" t="n">
        <f aca="false">+F1757*0.03</f>
        <v>0</v>
      </c>
      <c r="F1757" s="33" t="n">
        <v>0</v>
      </c>
      <c r="G1757" s="62"/>
      <c r="H1757" s="35" t="n">
        <v>0</v>
      </c>
      <c r="I1757" s="34" t="n">
        <f aca="false">+IF(E1757=0,0,E1757*0.03)</f>
        <v>0</v>
      </c>
    </row>
    <row r="1758" customFormat="false" ht="15.75" hidden="false" customHeight="true" outlineLevel="0" collapsed="false">
      <c r="A1758" s="30" t="n">
        <v>45323</v>
      </c>
      <c r="B1758" s="31" t="s">
        <v>7</v>
      </c>
      <c r="C1758" s="32"/>
      <c r="D1758" s="32"/>
      <c r="E1758" s="19" t="n">
        <f aca="false">+F1758*0.03</f>
        <v>0</v>
      </c>
      <c r="F1758" s="33" t="n">
        <v>0</v>
      </c>
      <c r="G1758" s="62"/>
      <c r="H1758" s="35" t="n">
        <v>0</v>
      </c>
      <c r="I1758" s="34" t="n">
        <f aca="false">+IF(E1758=0,0,E1758*0.03)</f>
        <v>0</v>
      </c>
    </row>
    <row r="1759" customFormat="false" ht="15.75" hidden="false" customHeight="true" outlineLevel="0" collapsed="false">
      <c r="A1759" s="30" t="n">
        <v>45323</v>
      </c>
      <c r="B1759" s="31" t="s">
        <v>7</v>
      </c>
      <c r="C1759" s="32"/>
      <c r="D1759" s="32"/>
      <c r="E1759" s="19" t="n">
        <f aca="false">+F1759*0.03</f>
        <v>0</v>
      </c>
      <c r="F1759" s="33" t="n">
        <v>0</v>
      </c>
      <c r="G1759" s="62"/>
      <c r="H1759" s="35" t="n">
        <v>0</v>
      </c>
      <c r="I1759" s="34" t="n">
        <f aca="false">+IF(E1759=0,0,E1759*0.03)</f>
        <v>0</v>
      </c>
    </row>
    <row r="1760" customFormat="false" ht="15.75" hidden="false" customHeight="true" outlineLevel="0" collapsed="false">
      <c r="A1760" s="30" t="n">
        <v>45323</v>
      </c>
      <c r="B1760" s="31" t="s">
        <v>7</v>
      </c>
      <c r="C1760" s="32"/>
      <c r="D1760" s="32"/>
      <c r="E1760" s="19" t="n">
        <f aca="false">+F1760*0.03</f>
        <v>0</v>
      </c>
      <c r="F1760" s="33" t="n">
        <v>0</v>
      </c>
      <c r="G1760" s="62"/>
      <c r="H1760" s="35" t="n">
        <v>0</v>
      </c>
      <c r="I1760" s="34" t="n">
        <f aca="false">+IF(E1760=0,0,E1760*0.03)</f>
        <v>0</v>
      </c>
    </row>
    <row r="1761" customFormat="false" ht="15.75" hidden="false" customHeight="true" outlineLevel="0" collapsed="false">
      <c r="A1761" s="30" t="n">
        <v>45323</v>
      </c>
      <c r="B1761" s="31" t="s">
        <v>7</v>
      </c>
      <c r="C1761" s="32"/>
      <c r="D1761" s="32"/>
      <c r="E1761" s="19" t="n">
        <f aca="false">+F1761*0.03</f>
        <v>0</v>
      </c>
      <c r="F1761" s="33" t="n">
        <v>0</v>
      </c>
      <c r="G1761" s="62"/>
      <c r="H1761" s="35" t="n">
        <v>0</v>
      </c>
      <c r="I1761" s="34" t="n">
        <f aca="false">+IF(E1761=0,0,E1761*0.03)</f>
        <v>0</v>
      </c>
    </row>
    <row r="1762" customFormat="false" ht="15.75" hidden="false" customHeight="true" outlineLevel="0" collapsed="false">
      <c r="A1762" s="30" t="n">
        <v>45323</v>
      </c>
      <c r="B1762" s="31" t="s">
        <v>7</v>
      </c>
      <c r="C1762" s="32"/>
      <c r="D1762" s="32"/>
      <c r="E1762" s="19" t="n">
        <f aca="false">+F1762*0.03</f>
        <v>0</v>
      </c>
      <c r="F1762" s="33" t="n">
        <v>0</v>
      </c>
      <c r="G1762" s="62"/>
      <c r="H1762" s="35" t="n">
        <v>0</v>
      </c>
      <c r="I1762" s="34" t="n">
        <f aca="false">+IF(E1762=0,0,E1762*0.03)</f>
        <v>0</v>
      </c>
    </row>
    <row r="1763" customFormat="false" ht="15.75" hidden="false" customHeight="true" outlineLevel="0" collapsed="false">
      <c r="A1763" s="30" t="n">
        <v>45323</v>
      </c>
      <c r="B1763" s="31" t="s">
        <v>7</v>
      </c>
      <c r="C1763" s="32"/>
      <c r="D1763" s="32"/>
      <c r="E1763" s="19" t="n">
        <f aca="false">+F1763*0.03</f>
        <v>0</v>
      </c>
      <c r="F1763" s="33" t="n">
        <v>0</v>
      </c>
      <c r="G1763" s="62"/>
      <c r="H1763" s="35" t="n">
        <v>0</v>
      </c>
      <c r="I1763" s="34" t="n">
        <f aca="false">+IF(E1763=0,0,E1763*0.03)</f>
        <v>0</v>
      </c>
    </row>
    <row r="1764" customFormat="false" ht="15.75" hidden="false" customHeight="true" outlineLevel="0" collapsed="false">
      <c r="A1764" s="30" t="n">
        <v>45323</v>
      </c>
      <c r="B1764" s="31" t="s">
        <v>7</v>
      </c>
      <c r="C1764" s="32"/>
      <c r="D1764" s="32"/>
      <c r="E1764" s="19" t="n">
        <f aca="false">+F1764*0.03</f>
        <v>0</v>
      </c>
      <c r="F1764" s="33" t="n">
        <v>0</v>
      </c>
      <c r="G1764" s="62"/>
      <c r="H1764" s="35" t="n">
        <v>0</v>
      </c>
      <c r="I1764" s="34" t="n">
        <f aca="false">+IF(E1764=0,0,E1764*0.03)</f>
        <v>0</v>
      </c>
    </row>
    <row r="1765" customFormat="false" ht="15.75" hidden="false" customHeight="true" outlineLevel="0" collapsed="false">
      <c r="A1765" s="30" t="n">
        <v>45323</v>
      </c>
      <c r="B1765" s="31" t="s">
        <v>7</v>
      </c>
      <c r="C1765" s="32"/>
      <c r="D1765" s="32"/>
      <c r="E1765" s="19" t="n">
        <f aca="false">+F1765*0.03</f>
        <v>0</v>
      </c>
      <c r="F1765" s="33" t="n">
        <v>0</v>
      </c>
      <c r="G1765" s="62"/>
      <c r="H1765" s="35" t="n">
        <v>0</v>
      </c>
      <c r="I1765" s="34" t="n">
        <f aca="false">+IF(E1765=0,0,E1765*0.03)</f>
        <v>0</v>
      </c>
    </row>
    <row r="1766" customFormat="false" ht="15.75" hidden="false" customHeight="true" outlineLevel="0" collapsed="false">
      <c r="A1766" s="30" t="n">
        <v>45323</v>
      </c>
      <c r="B1766" s="31" t="s">
        <v>7</v>
      </c>
      <c r="C1766" s="32"/>
      <c r="D1766" s="32"/>
      <c r="E1766" s="19" t="n">
        <f aca="false">+F1766*0.03</f>
        <v>0</v>
      </c>
      <c r="F1766" s="33" t="n">
        <v>0</v>
      </c>
      <c r="G1766" s="62"/>
      <c r="H1766" s="35" t="n">
        <v>0</v>
      </c>
      <c r="I1766" s="34" t="n">
        <f aca="false">+IF(E1766=0,0,E1766*0.03)</f>
        <v>0</v>
      </c>
    </row>
    <row r="1767" customFormat="false" ht="15.75" hidden="false" customHeight="true" outlineLevel="0" collapsed="false">
      <c r="A1767" s="30" t="n">
        <v>45323</v>
      </c>
      <c r="B1767" s="31" t="s">
        <v>7</v>
      </c>
      <c r="C1767" s="32"/>
      <c r="D1767" s="32"/>
      <c r="E1767" s="19" t="n">
        <f aca="false">+F1767*0.03</f>
        <v>0</v>
      </c>
      <c r="F1767" s="33" t="n">
        <v>0</v>
      </c>
      <c r="G1767" s="62"/>
      <c r="H1767" s="35" t="n">
        <v>0</v>
      </c>
      <c r="I1767" s="34" t="n">
        <f aca="false">+IF(E1767=0,0,E1767*0.03)</f>
        <v>0</v>
      </c>
    </row>
    <row r="1768" customFormat="false" ht="15.75" hidden="false" customHeight="true" outlineLevel="0" collapsed="false">
      <c r="A1768" s="30" t="n">
        <v>45323</v>
      </c>
      <c r="B1768" s="31" t="s">
        <v>7</v>
      </c>
      <c r="C1768" s="32"/>
      <c r="D1768" s="32"/>
      <c r="E1768" s="19" t="n">
        <f aca="false">+F1768*0.03</f>
        <v>0</v>
      </c>
      <c r="F1768" s="33" t="n">
        <v>0</v>
      </c>
      <c r="G1768" s="62"/>
      <c r="H1768" s="35" t="n">
        <v>0</v>
      </c>
      <c r="I1768" s="34" t="n">
        <f aca="false">+IF(E1768=0,0,E1768*0.03)</f>
        <v>0</v>
      </c>
    </row>
    <row r="1769" customFormat="false" ht="15.75" hidden="false" customHeight="true" outlineLevel="0" collapsed="false">
      <c r="A1769" s="30" t="n">
        <v>45323</v>
      </c>
      <c r="B1769" s="31" t="s">
        <v>7</v>
      </c>
      <c r="C1769" s="32"/>
      <c r="D1769" s="32"/>
      <c r="E1769" s="19" t="n">
        <f aca="false">+F1769*0.03</f>
        <v>0</v>
      </c>
      <c r="F1769" s="33" t="n">
        <v>0</v>
      </c>
      <c r="G1769" s="62"/>
      <c r="H1769" s="35" t="n">
        <v>0</v>
      </c>
      <c r="I1769" s="34" t="n">
        <f aca="false">+IF(E1769=0,0,E1769*0.03)</f>
        <v>0</v>
      </c>
    </row>
    <row r="1770" customFormat="false" ht="15.75" hidden="false" customHeight="true" outlineLevel="0" collapsed="false">
      <c r="A1770" s="30" t="n">
        <v>45323</v>
      </c>
      <c r="B1770" s="31" t="s">
        <v>7</v>
      </c>
      <c r="C1770" s="32"/>
      <c r="D1770" s="32"/>
      <c r="E1770" s="19" t="n">
        <f aca="false">+F1770*0.03</f>
        <v>0</v>
      </c>
      <c r="F1770" s="33" t="n">
        <v>0</v>
      </c>
      <c r="G1770" s="62"/>
      <c r="H1770" s="35" t="n">
        <v>0</v>
      </c>
      <c r="I1770" s="34" t="n">
        <f aca="false">+IF(E1770=0,0,E1770*0.03)</f>
        <v>0</v>
      </c>
    </row>
    <row r="1771" customFormat="false" ht="15.75" hidden="false" customHeight="true" outlineLevel="0" collapsed="false">
      <c r="A1771" s="30" t="n">
        <v>45323</v>
      </c>
      <c r="B1771" s="31" t="s">
        <v>7</v>
      </c>
      <c r="C1771" s="32"/>
      <c r="D1771" s="32"/>
      <c r="E1771" s="19" t="n">
        <f aca="false">+F1771*0.03</f>
        <v>0</v>
      </c>
      <c r="F1771" s="33" t="n">
        <v>0</v>
      </c>
      <c r="G1771" s="62"/>
      <c r="H1771" s="35" t="n">
        <v>0</v>
      </c>
      <c r="I1771" s="34" t="n">
        <f aca="false">+IF(E1771=0,0,E1771*0.03)</f>
        <v>0</v>
      </c>
    </row>
    <row r="1772" customFormat="false" ht="15.75" hidden="false" customHeight="true" outlineLevel="0" collapsed="false">
      <c r="A1772" s="30" t="n">
        <v>45323</v>
      </c>
      <c r="B1772" s="31" t="s">
        <v>7</v>
      </c>
      <c r="C1772" s="32"/>
      <c r="D1772" s="32"/>
      <c r="E1772" s="19" t="n">
        <f aca="false">+F1772*0.03</f>
        <v>0</v>
      </c>
      <c r="F1772" s="33" t="n">
        <v>0</v>
      </c>
      <c r="G1772" s="62"/>
      <c r="H1772" s="35" t="n">
        <v>0</v>
      </c>
      <c r="I1772" s="34" t="n">
        <f aca="false">+IF(E1772=0,0,E1772*0.03)</f>
        <v>0</v>
      </c>
    </row>
    <row r="1773" customFormat="false" ht="15.75" hidden="false" customHeight="true" outlineLevel="0" collapsed="false">
      <c r="A1773" s="30" t="n">
        <v>45323</v>
      </c>
      <c r="B1773" s="31" t="s">
        <v>7</v>
      </c>
      <c r="C1773" s="32"/>
      <c r="D1773" s="32"/>
      <c r="E1773" s="19" t="n">
        <f aca="false">+F1773*0.03</f>
        <v>0</v>
      </c>
      <c r="F1773" s="33" t="n">
        <v>0</v>
      </c>
      <c r="G1773" s="62"/>
      <c r="H1773" s="35" t="n">
        <v>0</v>
      </c>
      <c r="I1773" s="34" t="n">
        <f aca="false">+IF(E1773=0,0,E1773*0.03)</f>
        <v>0</v>
      </c>
    </row>
    <row r="1774" customFormat="false" ht="15.75" hidden="false" customHeight="true" outlineLevel="0" collapsed="false">
      <c r="A1774" s="30" t="n">
        <v>45323</v>
      </c>
      <c r="B1774" s="31" t="s">
        <v>7</v>
      </c>
      <c r="C1774" s="32"/>
      <c r="D1774" s="32"/>
      <c r="E1774" s="19" t="n">
        <f aca="false">+F1774*0.03</f>
        <v>0</v>
      </c>
      <c r="F1774" s="33" t="n">
        <v>0</v>
      </c>
      <c r="G1774" s="62"/>
      <c r="H1774" s="35" t="n">
        <v>0</v>
      </c>
      <c r="I1774" s="34" t="n">
        <f aca="false">+IF(E1774=0,0,E1774*0.03)</f>
        <v>0</v>
      </c>
    </row>
    <row r="1775" customFormat="false" ht="15.75" hidden="false" customHeight="true" outlineLevel="0" collapsed="false">
      <c r="A1775" s="30" t="n">
        <v>45323</v>
      </c>
      <c r="B1775" s="31" t="s">
        <v>7</v>
      </c>
      <c r="C1775" s="32"/>
      <c r="D1775" s="32"/>
      <c r="E1775" s="19" t="n">
        <f aca="false">+F1775*0.03</f>
        <v>0</v>
      </c>
      <c r="F1775" s="33" t="n">
        <v>0</v>
      </c>
      <c r="G1775" s="62"/>
      <c r="H1775" s="35" t="n">
        <v>0</v>
      </c>
      <c r="I1775" s="34" t="n">
        <f aca="false">+IF(E1775=0,0,E1775*0.03)</f>
        <v>0</v>
      </c>
    </row>
    <row r="1776" customFormat="false" ht="15.75" hidden="false" customHeight="true" outlineLevel="0" collapsed="false">
      <c r="A1776" s="30" t="n">
        <v>45323</v>
      </c>
      <c r="B1776" s="31" t="s">
        <v>7</v>
      </c>
      <c r="C1776" s="32"/>
      <c r="D1776" s="32"/>
      <c r="E1776" s="19" t="n">
        <f aca="false">+F1776*0.03</f>
        <v>0</v>
      </c>
      <c r="F1776" s="33" t="n">
        <v>0</v>
      </c>
      <c r="G1776" s="62"/>
      <c r="H1776" s="35" t="n">
        <v>0</v>
      </c>
      <c r="I1776" s="34" t="n">
        <f aca="false">+IF(E1776=0,0,E1776*0.03)</f>
        <v>0</v>
      </c>
    </row>
    <row r="1777" customFormat="false" ht="15.75" hidden="false" customHeight="true" outlineLevel="0" collapsed="false">
      <c r="A1777" s="30" t="n">
        <v>45323</v>
      </c>
      <c r="B1777" s="31" t="s">
        <v>7</v>
      </c>
      <c r="C1777" s="32"/>
      <c r="D1777" s="32"/>
      <c r="E1777" s="19" t="n">
        <f aca="false">+F1777*0.03</f>
        <v>0</v>
      </c>
      <c r="F1777" s="33" t="n">
        <v>0</v>
      </c>
      <c r="G1777" s="62"/>
      <c r="H1777" s="35" t="n">
        <v>0</v>
      </c>
      <c r="I1777" s="34" t="n">
        <f aca="false">+IF(E1777=0,0,E1777*0.03)</f>
        <v>0</v>
      </c>
    </row>
    <row r="1778" customFormat="false" ht="15.75" hidden="false" customHeight="true" outlineLevel="0" collapsed="false">
      <c r="A1778" s="30" t="n">
        <v>45323</v>
      </c>
      <c r="B1778" s="31" t="s">
        <v>7</v>
      </c>
      <c r="C1778" s="32"/>
      <c r="D1778" s="32"/>
      <c r="E1778" s="19" t="n">
        <f aca="false">+F1778*0.03</f>
        <v>0</v>
      </c>
      <c r="F1778" s="33" t="n">
        <v>0</v>
      </c>
      <c r="G1778" s="62"/>
      <c r="H1778" s="35" t="n">
        <v>0</v>
      </c>
      <c r="I1778" s="34" t="n">
        <f aca="false">+IF(E1778=0,0,E1778*0.03)</f>
        <v>0</v>
      </c>
    </row>
    <row r="1779" customFormat="false" ht="15.75" hidden="false" customHeight="true" outlineLevel="0" collapsed="false">
      <c r="A1779" s="30" t="n">
        <v>45323</v>
      </c>
      <c r="B1779" s="31" t="s">
        <v>7</v>
      </c>
      <c r="C1779" s="32"/>
      <c r="D1779" s="32"/>
      <c r="E1779" s="19" t="n">
        <f aca="false">+F1779*0.03</f>
        <v>0</v>
      </c>
      <c r="F1779" s="33" t="n">
        <v>0</v>
      </c>
      <c r="G1779" s="62"/>
      <c r="H1779" s="35" t="n">
        <v>0</v>
      </c>
      <c r="I1779" s="34" t="n">
        <f aca="false">+IF(E1779=0,0,E1779*0.03)</f>
        <v>0</v>
      </c>
    </row>
    <row r="1780" customFormat="false" ht="15.75" hidden="false" customHeight="true" outlineLevel="0" collapsed="false">
      <c r="A1780" s="30" t="n">
        <v>45323</v>
      </c>
      <c r="B1780" s="31" t="s">
        <v>7</v>
      </c>
      <c r="C1780" s="32"/>
      <c r="D1780" s="32"/>
      <c r="E1780" s="19" t="n">
        <f aca="false">+F1780*0.03</f>
        <v>0</v>
      </c>
      <c r="F1780" s="33" t="n">
        <v>0</v>
      </c>
      <c r="G1780" s="62"/>
      <c r="H1780" s="35" t="n">
        <v>0</v>
      </c>
      <c r="I1780" s="34" t="n">
        <f aca="false">+IF(E1780=0,0,E1780*0.03)</f>
        <v>0</v>
      </c>
    </row>
    <row r="1781" customFormat="false" ht="15.75" hidden="false" customHeight="true" outlineLevel="0" collapsed="false">
      <c r="A1781" s="30" t="n">
        <v>45323</v>
      </c>
      <c r="B1781" s="31" t="s">
        <v>7</v>
      </c>
      <c r="C1781" s="32"/>
      <c r="D1781" s="32"/>
      <c r="E1781" s="19" t="n">
        <f aca="false">+F1781*0.03</f>
        <v>0</v>
      </c>
      <c r="F1781" s="33" t="n">
        <v>0</v>
      </c>
      <c r="G1781" s="62"/>
      <c r="H1781" s="35" t="n">
        <v>0</v>
      </c>
      <c r="I1781" s="34" t="n">
        <f aca="false">+IF(E1781=0,0,E1781*0.03)</f>
        <v>0</v>
      </c>
    </row>
    <row r="1782" customFormat="false" ht="15.75" hidden="false" customHeight="true" outlineLevel="0" collapsed="false">
      <c r="A1782" s="30" t="n">
        <v>45323</v>
      </c>
      <c r="B1782" s="31" t="s">
        <v>7</v>
      </c>
      <c r="C1782" s="32"/>
      <c r="D1782" s="32"/>
      <c r="E1782" s="19" t="n">
        <f aca="false">+F1782*0.03</f>
        <v>0</v>
      </c>
      <c r="F1782" s="33" t="n">
        <v>0</v>
      </c>
      <c r="G1782" s="62"/>
      <c r="H1782" s="35" t="n">
        <v>0</v>
      </c>
      <c r="I1782" s="34" t="n">
        <f aca="false">+IF(E1782=0,0,E1782*0.03)</f>
        <v>0</v>
      </c>
    </row>
    <row r="1783" customFormat="false" ht="15.75" hidden="false" customHeight="true" outlineLevel="0" collapsed="false">
      <c r="A1783" s="30" t="n">
        <v>45323</v>
      </c>
      <c r="B1783" s="31" t="s">
        <v>7</v>
      </c>
      <c r="C1783" s="32"/>
      <c r="D1783" s="32"/>
      <c r="E1783" s="19" t="n">
        <f aca="false">+F1783*0.03</f>
        <v>0</v>
      </c>
      <c r="F1783" s="33" t="n">
        <v>0</v>
      </c>
      <c r="G1783" s="62"/>
      <c r="H1783" s="35" t="n">
        <v>0</v>
      </c>
      <c r="I1783" s="34" t="n">
        <f aca="false">+IF(E1783=0,0,E1783*0.03)</f>
        <v>0</v>
      </c>
    </row>
    <row r="1784" customFormat="false" ht="15.75" hidden="false" customHeight="true" outlineLevel="0" collapsed="false">
      <c r="A1784" s="30" t="n">
        <v>45323</v>
      </c>
      <c r="B1784" s="31" t="s">
        <v>7</v>
      </c>
      <c r="C1784" s="32"/>
      <c r="D1784" s="32"/>
      <c r="E1784" s="19" t="n">
        <f aca="false">+F1784*0.03</f>
        <v>0</v>
      </c>
      <c r="F1784" s="33" t="n">
        <v>0</v>
      </c>
      <c r="G1784" s="62"/>
      <c r="H1784" s="35" t="n">
        <v>0</v>
      </c>
      <c r="I1784" s="34" t="n">
        <f aca="false">+IF(E1784=0,0,E1784*0.03)</f>
        <v>0</v>
      </c>
    </row>
    <row r="1785" customFormat="false" ht="15.75" hidden="false" customHeight="true" outlineLevel="0" collapsed="false">
      <c r="A1785" s="30" t="n">
        <v>45323</v>
      </c>
      <c r="B1785" s="31" t="s">
        <v>7</v>
      </c>
      <c r="C1785" s="32"/>
      <c r="D1785" s="32"/>
      <c r="E1785" s="19" t="n">
        <f aca="false">+F1785*0.03</f>
        <v>0</v>
      </c>
      <c r="F1785" s="33" t="n">
        <v>0</v>
      </c>
      <c r="G1785" s="62"/>
      <c r="H1785" s="35" t="n">
        <v>0</v>
      </c>
      <c r="I1785" s="34" t="n">
        <f aca="false">+IF(E1785=0,0,E1785*0.03)</f>
        <v>0</v>
      </c>
    </row>
    <row r="1786" customFormat="false" ht="15.75" hidden="false" customHeight="true" outlineLevel="0" collapsed="false">
      <c r="A1786" s="30" t="n">
        <v>45323</v>
      </c>
      <c r="B1786" s="31" t="s">
        <v>7</v>
      </c>
      <c r="C1786" s="32"/>
      <c r="D1786" s="32"/>
      <c r="E1786" s="19" t="n">
        <f aca="false">+F1786*0.03</f>
        <v>0</v>
      </c>
      <c r="F1786" s="33" t="n">
        <v>0</v>
      </c>
      <c r="G1786" s="62"/>
      <c r="H1786" s="35" t="n">
        <v>0</v>
      </c>
      <c r="I1786" s="34" t="n">
        <f aca="false">+IF(E1786=0,0,E1786*0.03)</f>
        <v>0</v>
      </c>
    </row>
    <row r="1787" customFormat="false" ht="15.75" hidden="false" customHeight="true" outlineLevel="0" collapsed="false">
      <c r="A1787" s="30" t="n">
        <v>45323</v>
      </c>
      <c r="B1787" s="31" t="s">
        <v>7</v>
      </c>
      <c r="C1787" s="32"/>
      <c r="D1787" s="32"/>
      <c r="E1787" s="19" t="n">
        <f aca="false">+F1787*0.03</f>
        <v>0</v>
      </c>
      <c r="F1787" s="33" t="n">
        <v>0</v>
      </c>
      <c r="G1787" s="62"/>
      <c r="H1787" s="35" t="n">
        <v>0</v>
      </c>
      <c r="I1787" s="34" t="n">
        <f aca="false">+IF(E1787=0,0,E1787*0.03)</f>
        <v>0</v>
      </c>
    </row>
    <row r="1788" customFormat="false" ht="15.75" hidden="false" customHeight="true" outlineLevel="0" collapsed="false">
      <c r="A1788" s="30" t="n">
        <v>45323</v>
      </c>
      <c r="B1788" s="31" t="s">
        <v>7</v>
      </c>
      <c r="C1788" s="32"/>
      <c r="D1788" s="32"/>
      <c r="E1788" s="19" t="n">
        <f aca="false">+F1788*0.03</f>
        <v>0</v>
      </c>
      <c r="F1788" s="33" t="n">
        <v>0</v>
      </c>
      <c r="G1788" s="62"/>
      <c r="H1788" s="35" t="n">
        <v>0</v>
      </c>
      <c r="I1788" s="34" t="n">
        <f aca="false">+IF(E1788=0,0,E1788*0.03)</f>
        <v>0</v>
      </c>
    </row>
    <row r="1789" customFormat="false" ht="15.75" hidden="false" customHeight="true" outlineLevel="0" collapsed="false">
      <c r="A1789" s="30" t="n">
        <v>45323</v>
      </c>
      <c r="B1789" s="31" t="s">
        <v>7</v>
      </c>
      <c r="C1789" s="32"/>
      <c r="D1789" s="32"/>
      <c r="E1789" s="19" t="n">
        <f aca="false">+F1789*0.03</f>
        <v>0</v>
      </c>
      <c r="F1789" s="33" t="n">
        <v>0</v>
      </c>
      <c r="G1789" s="62"/>
      <c r="H1789" s="35" t="n">
        <v>0</v>
      </c>
      <c r="I1789" s="34" t="n">
        <f aca="false">+IF(E1789=0,0,E1789*0.03)</f>
        <v>0</v>
      </c>
    </row>
    <row r="1790" customFormat="false" ht="15.75" hidden="false" customHeight="true" outlineLevel="0" collapsed="false">
      <c r="A1790" s="30" t="n">
        <v>45323</v>
      </c>
      <c r="B1790" s="31" t="s">
        <v>7</v>
      </c>
      <c r="C1790" s="32"/>
      <c r="D1790" s="32"/>
      <c r="E1790" s="19" t="n">
        <f aca="false">+F1790*0.03</f>
        <v>0</v>
      </c>
      <c r="F1790" s="33" t="n">
        <v>0</v>
      </c>
      <c r="G1790" s="62"/>
      <c r="H1790" s="35" t="n">
        <v>0</v>
      </c>
      <c r="I1790" s="34" t="n">
        <f aca="false">+IF(E1790=0,0,E1790*0.03)</f>
        <v>0</v>
      </c>
    </row>
    <row r="1791" customFormat="false" ht="15.75" hidden="false" customHeight="true" outlineLevel="0" collapsed="false">
      <c r="A1791" s="30" t="n">
        <v>45323</v>
      </c>
      <c r="B1791" s="31" t="s">
        <v>7</v>
      </c>
      <c r="C1791" s="32"/>
      <c r="D1791" s="32"/>
      <c r="E1791" s="19" t="n">
        <f aca="false">+F1791*0.03</f>
        <v>0</v>
      </c>
      <c r="F1791" s="33" t="n">
        <v>0</v>
      </c>
      <c r="G1791" s="62"/>
      <c r="H1791" s="35" t="n">
        <v>0</v>
      </c>
      <c r="I1791" s="34" t="n">
        <f aca="false">+IF(E1791=0,0,E1791*0.03)</f>
        <v>0</v>
      </c>
    </row>
    <row r="1792" customFormat="false" ht="15.75" hidden="false" customHeight="true" outlineLevel="0" collapsed="false">
      <c r="A1792" s="30" t="n">
        <v>45323</v>
      </c>
      <c r="B1792" s="31" t="s">
        <v>7</v>
      </c>
      <c r="C1792" s="32"/>
      <c r="D1792" s="32"/>
      <c r="E1792" s="19" t="n">
        <f aca="false">+F1792*0.03</f>
        <v>0</v>
      </c>
      <c r="F1792" s="33" t="n">
        <v>0</v>
      </c>
      <c r="G1792" s="62"/>
      <c r="H1792" s="35" t="n">
        <v>0</v>
      </c>
      <c r="I1792" s="34" t="n">
        <f aca="false">+IF(E1792=0,0,E1792*0.03)</f>
        <v>0</v>
      </c>
    </row>
    <row r="1793" customFormat="false" ht="15.75" hidden="false" customHeight="true" outlineLevel="0" collapsed="false">
      <c r="A1793" s="30" t="n">
        <v>45323</v>
      </c>
      <c r="B1793" s="31" t="s">
        <v>7</v>
      </c>
      <c r="C1793" s="32"/>
      <c r="D1793" s="32"/>
      <c r="E1793" s="19" t="n">
        <f aca="false">+F1793*0.03</f>
        <v>0</v>
      </c>
      <c r="F1793" s="33" t="n">
        <v>0</v>
      </c>
      <c r="G1793" s="62"/>
      <c r="H1793" s="35" t="n">
        <v>0</v>
      </c>
      <c r="I1793" s="34" t="n">
        <f aca="false">+IF(E1793=0,0,E1793*0.03)</f>
        <v>0</v>
      </c>
    </row>
    <row r="1794" customFormat="false" ht="15.75" hidden="false" customHeight="true" outlineLevel="0" collapsed="false">
      <c r="A1794" s="30" t="n">
        <v>45323</v>
      </c>
      <c r="B1794" s="31" t="s">
        <v>7</v>
      </c>
      <c r="C1794" s="32"/>
      <c r="D1794" s="32"/>
      <c r="E1794" s="19" t="n">
        <f aca="false">+F1794*0.03</f>
        <v>0</v>
      </c>
      <c r="F1794" s="33" t="n">
        <v>0</v>
      </c>
      <c r="G1794" s="62"/>
      <c r="H1794" s="35" t="n">
        <v>0</v>
      </c>
      <c r="I1794" s="34" t="n">
        <f aca="false">+IF(E1794=0,0,E1794*0.03)</f>
        <v>0</v>
      </c>
    </row>
    <row r="1795" customFormat="false" ht="15.75" hidden="false" customHeight="true" outlineLevel="0" collapsed="false">
      <c r="A1795" s="30" t="n">
        <v>45323</v>
      </c>
      <c r="B1795" s="31" t="s">
        <v>7</v>
      </c>
      <c r="C1795" s="32"/>
      <c r="D1795" s="32"/>
      <c r="E1795" s="19" t="n">
        <f aca="false">+F1795*0.03</f>
        <v>0</v>
      </c>
      <c r="F1795" s="33" t="n">
        <v>0</v>
      </c>
      <c r="G1795" s="62"/>
      <c r="H1795" s="35" t="n">
        <v>0</v>
      </c>
      <c r="I1795" s="34" t="n">
        <f aca="false">+IF(E1795=0,0,E1795*0.03)</f>
        <v>0</v>
      </c>
    </row>
    <row r="1796" customFormat="false" ht="15.75" hidden="false" customHeight="true" outlineLevel="0" collapsed="false">
      <c r="A1796" s="30" t="n">
        <v>45323</v>
      </c>
      <c r="B1796" s="31" t="s">
        <v>7</v>
      </c>
      <c r="C1796" s="32"/>
      <c r="D1796" s="32"/>
      <c r="E1796" s="19" t="n">
        <f aca="false">+F1796*0.03</f>
        <v>0</v>
      </c>
      <c r="F1796" s="33" t="n">
        <v>0</v>
      </c>
      <c r="G1796" s="62"/>
      <c r="H1796" s="35" t="n">
        <v>0</v>
      </c>
      <c r="I1796" s="34" t="n">
        <f aca="false">+IF(E1796=0,0,E1796*0.03)</f>
        <v>0</v>
      </c>
    </row>
    <row r="1797" customFormat="false" ht="15.75" hidden="false" customHeight="true" outlineLevel="0" collapsed="false">
      <c r="A1797" s="30" t="n">
        <v>45323</v>
      </c>
      <c r="B1797" s="31" t="s">
        <v>7</v>
      </c>
      <c r="C1797" s="32"/>
      <c r="D1797" s="32"/>
      <c r="E1797" s="19" t="n">
        <f aca="false">+F1797*0.03</f>
        <v>0</v>
      </c>
      <c r="F1797" s="33" t="n">
        <v>0</v>
      </c>
      <c r="G1797" s="62"/>
      <c r="H1797" s="35" t="n">
        <v>0</v>
      </c>
      <c r="I1797" s="34" t="n">
        <f aca="false">+IF(E1797=0,0,E1797*0.03)</f>
        <v>0</v>
      </c>
    </row>
    <row r="1798" customFormat="false" ht="15.75" hidden="false" customHeight="true" outlineLevel="0" collapsed="false">
      <c r="A1798" s="30" t="n">
        <v>45323</v>
      </c>
      <c r="B1798" s="31" t="s">
        <v>7</v>
      </c>
      <c r="C1798" s="32"/>
      <c r="D1798" s="32"/>
      <c r="E1798" s="19" t="n">
        <f aca="false">+F1798*0.03</f>
        <v>0</v>
      </c>
      <c r="F1798" s="33" t="n">
        <v>0</v>
      </c>
      <c r="G1798" s="62"/>
      <c r="H1798" s="35" t="n">
        <v>0</v>
      </c>
      <c r="I1798" s="34" t="n">
        <f aca="false">+IF(E1798=0,0,E1798*0.03)</f>
        <v>0</v>
      </c>
    </row>
    <row r="1799" customFormat="false" ht="15.75" hidden="false" customHeight="true" outlineLevel="0" collapsed="false">
      <c r="A1799" s="30" t="n">
        <v>45323</v>
      </c>
      <c r="B1799" s="31" t="s">
        <v>7</v>
      </c>
      <c r="C1799" s="32"/>
      <c r="D1799" s="32"/>
      <c r="E1799" s="19" t="n">
        <f aca="false">+F1799*0.03</f>
        <v>0</v>
      </c>
      <c r="F1799" s="33" t="n">
        <v>0</v>
      </c>
      <c r="G1799" s="62"/>
      <c r="H1799" s="35" t="n">
        <v>0</v>
      </c>
      <c r="I1799" s="34" t="n">
        <f aca="false">+IF(E1799=0,0,E1799*0.03)</f>
        <v>0</v>
      </c>
    </row>
    <row r="1800" customFormat="false" ht="15.75" hidden="false" customHeight="true" outlineLevel="0" collapsed="false">
      <c r="A1800" s="30" t="n">
        <v>45323</v>
      </c>
      <c r="B1800" s="31" t="s">
        <v>7</v>
      </c>
      <c r="C1800" s="32"/>
      <c r="D1800" s="32"/>
      <c r="E1800" s="19" t="n">
        <f aca="false">+F1800*0.03</f>
        <v>0</v>
      </c>
      <c r="F1800" s="33" t="n">
        <v>0</v>
      </c>
      <c r="G1800" s="62"/>
      <c r="H1800" s="35" t="n">
        <v>0</v>
      </c>
      <c r="I1800" s="34" t="n">
        <f aca="false">+IF(E1800=0,0,E1800*0.03)</f>
        <v>0</v>
      </c>
    </row>
    <row r="1801" customFormat="false" ht="15.75" hidden="false" customHeight="true" outlineLevel="0" collapsed="false">
      <c r="A1801" s="30" t="n">
        <v>45323</v>
      </c>
      <c r="B1801" s="31" t="s">
        <v>7</v>
      </c>
      <c r="C1801" s="32"/>
      <c r="D1801" s="32"/>
      <c r="E1801" s="19" t="n">
        <f aca="false">+F1801*0.03</f>
        <v>0</v>
      </c>
      <c r="F1801" s="33" t="n">
        <v>0</v>
      </c>
      <c r="G1801" s="62"/>
      <c r="H1801" s="35" t="n">
        <v>0</v>
      </c>
      <c r="I1801" s="34" t="n">
        <f aca="false">+IF(E1801=0,0,E1801*0.03)</f>
        <v>0</v>
      </c>
    </row>
    <row r="1802" customFormat="false" ht="15.75" hidden="false" customHeight="true" outlineLevel="0" collapsed="false">
      <c r="A1802" s="30" t="n">
        <v>45323</v>
      </c>
      <c r="B1802" s="31" t="s">
        <v>7</v>
      </c>
      <c r="C1802" s="32"/>
      <c r="D1802" s="32"/>
      <c r="E1802" s="19" t="n">
        <f aca="false">+F1802*0.03</f>
        <v>0</v>
      </c>
      <c r="F1802" s="33" t="n">
        <v>0</v>
      </c>
      <c r="G1802" s="62"/>
      <c r="H1802" s="35" t="n">
        <v>0</v>
      </c>
      <c r="I1802" s="34" t="n">
        <f aca="false">+IF(E1802=0,0,E1802*0.03)</f>
        <v>0</v>
      </c>
    </row>
    <row r="1803" customFormat="false" ht="15.75" hidden="false" customHeight="true" outlineLevel="0" collapsed="false">
      <c r="A1803" s="30" t="n">
        <v>45323</v>
      </c>
      <c r="B1803" s="31" t="s">
        <v>7</v>
      </c>
      <c r="C1803" s="32"/>
      <c r="D1803" s="32"/>
      <c r="E1803" s="19" t="n">
        <f aca="false">+F1803*0.03</f>
        <v>0</v>
      </c>
      <c r="F1803" s="33" t="n">
        <v>0</v>
      </c>
      <c r="G1803" s="62"/>
      <c r="H1803" s="35" t="n">
        <v>0</v>
      </c>
      <c r="I1803" s="34" t="n">
        <f aca="false">+IF(E1803=0,0,E1803*0.03)</f>
        <v>0</v>
      </c>
    </row>
    <row r="1804" customFormat="false" ht="15.75" hidden="false" customHeight="true" outlineLevel="0" collapsed="false">
      <c r="A1804" s="30" t="n">
        <v>45323</v>
      </c>
      <c r="B1804" s="31" t="s">
        <v>7</v>
      </c>
      <c r="C1804" s="32"/>
      <c r="D1804" s="32"/>
      <c r="E1804" s="19" t="n">
        <f aca="false">+F1804*0.03</f>
        <v>0</v>
      </c>
      <c r="F1804" s="33" t="n">
        <v>0</v>
      </c>
      <c r="G1804" s="62"/>
      <c r="H1804" s="35" t="n">
        <v>0</v>
      </c>
      <c r="I1804" s="34" t="n">
        <f aca="false">+IF(E1804=0,0,E1804*0.03)</f>
        <v>0</v>
      </c>
    </row>
    <row r="1805" customFormat="false" ht="15.75" hidden="false" customHeight="true" outlineLevel="0" collapsed="false">
      <c r="A1805" s="30" t="n">
        <v>45323</v>
      </c>
      <c r="B1805" s="31" t="s">
        <v>7</v>
      </c>
      <c r="C1805" s="32"/>
      <c r="D1805" s="32"/>
      <c r="E1805" s="19" t="n">
        <f aca="false">+F1805*0.03</f>
        <v>0</v>
      </c>
      <c r="F1805" s="33" t="n">
        <v>0</v>
      </c>
      <c r="G1805" s="62"/>
      <c r="H1805" s="35" t="n">
        <v>0</v>
      </c>
      <c r="I1805" s="34" t="n">
        <f aca="false">+IF(E1805=0,0,E1805*0.03)</f>
        <v>0</v>
      </c>
    </row>
    <row r="1806" customFormat="false" ht="15.75" hidden="false" customHeight="true" outlineLevel="0" collapsed="false">
      <c r="A1806" s="30" t="n">
        <v>45323</v>
      </c>
      <c r="B1806" s="31" t="s">
        <v>7</v>
      </c>
      <c r="C1806" s="32"/>
      <c r="D1806" s="32"/>
      <c r="E1806" s="19" t="n">
        <f aca="false">+F1806*0.03</f>
        <v>0</v>
      </c>
      <c r="F1806" s="33" t="n">
        <v>0</v>
      </c>
      <c r="G1806" s="62"/>
      <c r="H1806" s="35" t="n">
        <v>0</v>
      </c>
      <c r="I1806" s="34" t="n">
        <f aca="false">+IF(E1806=0,0,E1806*0.03)</f>
        <v>0</v>
      </c>
    </row>
    <row r="1807" customFormat="false" ht="15.75" hidden="false" customHeight="true" outlineLevel="0" collapsed="false">
      <c r="A1807" s="30" t="n">
        <v>45323</v>
      </c>
      <c r="B1807" s="31" t="s">
        <v>7</v>
      </c>
      <c r="C1807" s="32"/>
      <c r="D1807" s="32"/>
      <c r="E1807" s="19" t="n">
        <f aca="false">+F1807*0.03</f>
        <v>0</v>
      </c>
      <c r="F1807" s="33" t="n">
        <v>0</v>
      </c>
      <c r="G1807" s="62"/>
      <c r="H1807" s="35" t="n">
        <v>0</v>
      </c>
      <c r="I1807" s="34" t="n">
        <f aca="false">+IF(E1807=0,0,E1807*0.03)</f>
        <v>0</v>
      </c>
    </row>
    <row r="1808" customFormat="false" ht="15.75" hidden="false" customHeight="true" outlineLevel="0" collapsed="false">
      <c r="A1808" s="30" t="n">
        <v>45323</v>
      </c>
      <c r="B1808" s="31" t="s">
        <v>7</v>
      </c>
      <c r="C1808" s="32"/>
      <c r="D1808" s="32"/>
      <c r="E1808" s="19" t="n">
        <f aca="false">+F1808*0.03</f>
        <v>0</v>
      </c>
      <c r="F1808" s="33" t="n">
        <v>0</v>
      </c>
      <c r="G1808" s="62"/>
      <c r="H1808" s="35" t="n">
        <v>0</v>
      </c>
      <c r="I1808" s="34" t="n">
        <f aca="false">+IF(E1808=0,0,E1808*0.03)</f>
        <v>0</v>
      </c>
    </row>
    <row r="1809" customFormat="false" ht="15.75" hidden="false" customHeight="true" outlineLevel="0" collapsed="false">
      <c r="A1809" s="30" t="n">
        <v>45323</v>
      </c>
      <c r="B1809" s="31" t="s">
        <v>7</v>
      </c>
      <c r="C1809" s="32"/>
      <c r="D1809" s="32"/>
      <c r="E1809" s="19" t="n">
        <f aca="false">+F1809*0.03</f>
        <v>0</v>
      </c>
      <c r="F1809" s="33" t="n">
        <v>0</v>
      </c>
      <c r="G1809" s="62"/>
      <c r="H1809" s="35" t="n">
        <v>0</v>
      </c>
      <c r="I1809" s="34" t="n">
        <f aca="false">+IF(E1809=0,0,E1809*0.03)</f>
        <v>0</v>
      </c>
    </row>
    <row r="1810" customFormat="false" ht="15.75" hidden="false" customHeight="true" outlineLevel="0" collapsed="false">
      <c r="A1810" s="30" t="n">
        <v>45323</v>
      </c>
      <c r="B1810" s="31" t="s">
        <v>7</v>
      </c>
      <c r="C1810" s="32"/>
      <c r="D1810" s="32"/>
      <c r="E1810" s="19" t="n">
        <f aca="false">+F1810*0.03</f>
        <v>0</v>
      </c>
      <c r="F1810" s="33" t="n">
        <v>0</v>
      </c>
      <c r="G1810" s="62"/>
      <c r="H1810" s="35" t="n">
        <v>0</v>
      </c>
      <c r="I1810" s="34" t="n">
        <f aca="false">+IF(E1810=0,0,E1810*0.03)</f>
        <v>0</v>
      </c>
    </row>
    <row r="1811" customFormat="false" ht="15.75" hidden="false" customHeight="true" outlineLevel="0" collapsed="false">
      <c r="A1811" s="30" t="n">
        <v>45323</v>
      </c>
      <c r="B1811" s="31" t="s">
        <v>7</v>
      </c>
      <c r="C1811" s="32"/>
      <c r="D1811" s="32"/>
      <c r="E1811" s="19" t="n">
        <f aca="false">+F1811*0.03</f>
        <v>0</v>
      </c>
      <c r="F1811" s="33" t="n">
        <v>0</v>
      </c>
      <c r="G1811" s="62"/>
      <c r="H1811" s="35" t="n">
        <v>0</v>
      </c>
      <c r="I1811" s="34" t="n">
        <f aca="false">+IF(E1811=0,0,E1811*0.03)</f>
        <v>0</v>
      </c>
    </row>
    <row r="1812" customFormat="false" ht="15.75" hidden="false" customHeight="true" outlineLevel="0" collapsed="false">
      <c r="A1812" s="30" t="n">
        <v>45323</v>
      </c>
      <c r="B1812" s="31" t="s">
        <v>7</v>
      </c>
      <c r="C1812" s="32"/>
      <c r="D1812" s="32"/>
      <c r="E1812" s="19" t="n">
        <f aca="false">+F1812*0.03</f>
        <v>0</v>
      </c>
      <c r="F1812" s="33" t="n">
        <v>0</v>
      </c>
      <c r="G1812" s="62"/>
      <c r="H1812" s="35" t="n">
        <v>0</v>
      </c>
      <c r="I1812" s="34" t="n">
        <f aca="false">+IF(E1812=0,0,E1812*0.03)</f>
        <v>0</v>
      </c>
    </row>
    <row r="1813" customFormat="false" ht="15.75" hidden="false" customHeight="true" outlineLevel="0" collapsed="false">
      <c r="A1813" s="30" t="n">
        <v>45323</v>
      </c>
      <c r="B1813" s="31" t="s">
        <v>7</v>
      </c>
      <c r="C1813" s="32"/>
      <c r="D1813" s="32"/>
      <c r="E1813" s="19" t="n">
        <f aca="false">+F1813*0.03</f>
        <v>0</v>
      </c>
      <c r="F1813" s="33" t="n">
        <v>0</v>
      </c>
      <c r="G1813" s="62"/>
      <c r="H1813" s="35" t="n">
        <v>0</v>
      </c>
      <c r="I1813" s="34" t="n">
        <f aca="false">+IF(E1813=0,0,E1813*0.03)</f>
        <v>0</v>
      </c>
    </row>
    <row r="1814" customFormat="false" ht="15.75" hidden="false" customHeight="true" outlineLevel="0" collapsed="false">
      <c r="A1814" s="30" t="n">
        <v>45323</v>
      </c>
      <c r="B1814" s="31" t="s">
        <v>7</v>
      </c>
      <c r="C1814" s="32"/>
      <c r="D1814" s="32"/>
      <c r="E1814" s="19" t="n">
        <f aca="false">+F1814*0.03</f>
        <v>0</v>
      </c>
      <c r="F1814" s="33" t="n">
        <v>0</v>
      </c>
      <c r="G1814" s="62"/>
      <c r="H1814" s="35" t="n">
        <v>0</v>
      </c>
      <c r="I1814" s="34" t="n">
        <f aca="false">+IF(E1814=0,0,E1814*0.03)</f>
        <v>0</v>
      </c>
    </row>
    <row r="1815" customFormat="false" ht="15.75" hidden="false" customHeight="true" outlineLevel="0" collapsed="false">
      <c r="A1815" s="30" t="n">
        <v>45323</v>
      </c>
      <c r="B1815" s="31" t="s">
        <v>7</v>
      </c>
      <c r="C1815" s="32"/>
      <c r="D1815" s="32"/>
      <c r="E1815" s="19" t="n">
        <f aca="false">+F1815*0.03</f>
        <v>0</v>
      </c>
      <c r="F1815" s="33" t="n">
        <v>0</v>
      </c>
      <c r="G1815" s="62"/>
      <c r="H1815" s="35" t="n">
        <v>0</v>
      </c>
      <c r="I1815" s="34" t="n">
        <f aca="false">+IF(E1815=0,0,E1815*0.03)</f>
        <v>0</v>
      </c>
    </row>
    <row r="1816" customFormat="false" ht="15.75" hidden="false" customHeight="true" outlineLevel="0" collapsed="false">
      <c r="A1816" s="30" t="n">
        <v>45323</v>
      </c>
      <c r="B1816" s="31" t="s">
        <v>7</v>
      </c>
      <c r="C1816" s="32"/>
      <c r="D1816" s="32"/>
      <c r="E1816" s="19" t="n">
        <f aca="false">+F1816*0.03</f>
        <v>0</v>
      </c>
      <c r="F1816" s="33" t="n">
        <v>0</v>
      </c>
      <c r="G1816" s="62"/>
      <c r="H1816" s="35" t="n">
        <v>0</v>
      </c>
      <c r="I1816" s="34" t="n">
        <f aca="false">+IF(E1816=0,0,E1816*0.03)</f>
        <v>0</v>
      </c>
    </row>
    <row r="1817" customFormat="false" ht="15.75" hidden="false" customHeight="true" outlineLevel="0" collapsed="false">
      <c r="A1817" s="30" t="n">
        <v>45323</v>
      </c>
      <c r="B1817" s="31" t="s">
        <v>7</v>
      </c>
      <c r="C1817" s="32"/>
      <c r="D1817" s="32"/>
      <c r="E1817" s="19" t="n">
        <f aca="false">+F1817*0.03</f>
        <v>0</v>
      </c>
      <c r="F1817" s="33" t="n">
        <v>0</v>
      </c>
      <c r="G1817" s="62"/>
      <c r="H1817" s="35" t="n">
        <v>0</v>
      </c>
      <c r="I1817" s="34" t="n">
        <f aca="false">+IF(E1817=0,0,E1817*0.03)</f>
        <v>0</v>
      </c>
    </row>
    <row r="1818" customFormat="false" ht="15.75" hidden="false" customHeight="true" outlineLevel="0" collapsed="false">
      <c r="A1818" s="30" t="n">
        <v>45323</v>
      </c>
      <c r="B1818" s="31" t="s">
        <v>7</v>
      </c>
      <c r="C1818" s="32"/>
      <c r="D1818" s="32"/>
      <c r="E1818" s="19" t="n">
        <f aca="false">+F1818*0.03</f>
        <v>0</v>
      </c>
      <c r="F1818" s="33" t="n">
        <v>0</v>
      </c>
      <c r="G1818" s="62"/>
      <c r="H1818" s="35" t="n">
        <v>0</v>
      </c>
      <c r="I1818" s="34" t="n">
        <f aca="false">+IF(E1818=0,0,E1818*0.03)</f>
        <v>0</v>
      </c>
    </row>
    <row r="1819" customFormat="false" ht="15.75" hidden="false" customHeight="true" outlineLevel="0" collapsed="false">
      <c r="A1819" s="30" t="n">
        <v>45323</v>
      </c>
      <c r="B1819" s="31" t="s">
        <v>7</v>
      </c>
      <c r="C1819" s="32"/>
      <c r="D1819" s="32"/>
      <c r="E1819" s="19" t="n">
        <f aca="false">+F1819*0.03</f>
        <v>0</v>
      </c>
      <c r="F1819" s="33" t="n">
        <v>0</v>
      </c>
      <c r="G1819" s="62"/>
      <c r="H1819" s="35" t="n">
        <v>0</v>
      </c>
      <c r="I1819" s="34" t="n">
        <f aca="false">+IF(E1819=0,0,E1819*0.03)</f>
        <v>0</v>
      </c>
    </row>
    <row r="1820" customFormat="false" ht="15.75" hidden="false" customHeight="true" outlineLevel="0" collapsed="false">
      <c r="A1820" s="30" t="n">
        <v>45323</v>
      </c>
      <c r="B1820" s="31" t="s">
        <v>7</v>
      </c>
      <c r="C1820" s="32"/>
      <c r="D1820" s="32"/>
      <c r="E1820" s="19" t="n">
        <f aca="false">+F1820*0.03</f>
        <v>0</v>
      </c>
      <c r="F1820" s="33" t="n">
        <v>0</v>
      </c>
      <c r="G1820" s="62"/>
      <c r="H1820" s="35" t="n">
        <v>0</v>
      </c>
      <c r="I1820" s="34" t="n">
        <f aca="false">+IF(E1820=0,0,E1820*0.03)</f>
        <v>0</v>
      </c>
    </row>
    <row r="1821" customFormat="false" ht="15.75" hidden="false" customHeight="true" outlineLevel="0" collapsed="false">
      <c r="A1821" s="30" t="n">
        <v>45323</v>
      </c>
      <c r="B1821" s="31" t="s">
        <v>7</v>
      </c>
      <c r="C1821" s="32"/>
      <c r="D1821" s="32"/>
      <c r="E1821" s="19" t="n">
        <f aca="false">+F1821*0.03</f>
        <v>0</v>
      </c>
      <c r="F1821" s="33" t="n">
        <v>0</v>
      </c>
      <c r="G1821" s="62"/>
      <c r="H1821" s="35" t="n">
        <v>0</v>
      </c>
      <c r="I1821" s="34" t="n">
        <f aca="false">+IF(E1821=0,0,E1821*0.03)</f>
        <v>0</v>
      </c>
    </row>
    <row r="1822" customFormat="false" ht="15.75" hidden="false" customHeight="true" outlineLevel="0" collapsed="false">
      <c r="A1822" s="30" t="n">
        <v>45323</v>
      </c>
      <c r="B1822" s="31" t="s">
        <v>7</v>
      </c>
      <c r="C1822" s="32"/>
      <c r="D1822" s="32"/>
      <c r="E1822" s="19" t="n">
        <f aca="false">+F1822*0.03</f>
        <v>0</v>
      </c>
      <c r="F1822" s="33" t="n">
        <v>0</v>
      </c>
      <c r="G1822" s="62"/>
      <c r="H1822" s="35" t="n">
        <v>0</v>
      </c>
      <c r="I1822" s="34" t="n">
        <f aca="false">+IF(E1822=0,0,E1822*0.03)</f>
        <v>0</v>
      </c>
    </row>
    <row r="1823" customFormat="false" ht="15.75" hidden="false" customHeight="true" outlineLevel="0" collapsed="false">
      <c r="A1823" s="30" t="n">
        <v>45323</v>
      </c>
      <c r="B1823" s="31" t="s">
        <v>7</v>
      </c>
      <c r="C1823" s="32"/>
      <c r="D1823" s="32"/>
      <c r="E1823" s="19" t="n">
        <f aca="false">+F1823*0.03</f>
        <v>0</v>
      </c>
      <c r="F1823" s="33" t="n">
        <v>0</v>
      </c>
      <c r="G1823" s="62"/>
      <c r="H1823" s="35" t="n">
        <v>0</v>
      </c>
      <c r="I1823" s="34" t="n">
        <f aca="false">+IF(E1823=0,0,E1823*0.03)</f>
        <v>0</v>
      </c>
    </row>
    <row r="1824" customFormat="false" ht="15.75" hidden="false" customHeight="true" outlineLevel="0" collapsed="false">
      <c r="A1824" s="30" t="n">
        <v>45323</v>
      </c>
      <c r="B1824" s="31" t="s">
        <v>7</v>
      </c>
      <c r="C1824" s="32"/>
      <c r="D1824" s="32"/>
      <c r="E1824" s="19" t="n">
        <f aca="false">+F1824*0.03</f>
        <v>0</v>
      </c>
      <c r="F1824" s="33" t="n">
        <v>0</v>
      </c>
      <c r="G1824" s="62"/>
      <c r="H1824" s="35" t="n">
        <v>0</v>
      </c>
      <c r="I1824" s="34" t="n">
        <f aca="false">+IF(E1824=0,0,E1824*0.03)</f>
        <v>0</v>
      </c>
    </row>
    <row r="1825" customFormat="false" ht="15.75" hidden="false" customHeight="true" outlineLevel="0" collapsed="false">
      <c r="A1825" s="30" t="n">
        <v>45323</v>
      </c>
      <c r="B1825" s="31" t="s">
        <v>7</v>
      </c>
      <c r="C1825" s="32"/>
      <c r="D1825" s="32"/>
      <c r="E1825" s="19" t="n">
        <f aca="false">+F1825*0.03</f>
        <v>0</v>
      </c>
      <c r="F1825" s="33" t="n">
        <v>0</v>
      </c>
      <c r="G1825" s="62"/>
      <c r="H1825" s="35" t="n">
        <v>0</v>
      </c>
      <c r="I1825" s="34" t="n">
        <f aca="false">+IF(E1825=0,0,E1825*0.03)</f>
        <v>0</v>
      </c>
    </row>
    <row r="1826" customFormat="false" ht="15.75" hidden="false" customHeight="true" outlineLevel="0" collapsed="false">
      <c r="A1826" s="30" t="n">
        <v>45323</v>
      </c>
      <c r="B1826" s="31" t="s">
        <v>7</v>
      </c>
      <c r="C1826" s="32"/>
      <c r="D1826" s="32"/>
      <c r="E1826" s="19" t="n">
        <f aca="false">+F1826*0.03</f>
        <v>0</v>
      </c>
      <c r="F1826" s="33" t="n">
        <v>0</v>
      </c>
      <c r="G1826" s="62"/>
      <c r="H1826" s="35" t="n">
        <v>0</v>
      </c>
      <c r="I1826" s="34" t="n">
        <f aca="false">+IF(E1826=0,0,E1826*0.03)</f>
        <v>0</v>
      </c>
    </row>
    <row r="1827" customFormat="false" ht="15.75" hidden="false" customHeight="true" outlineLevel="0" collapsed="false">
      <c r="A1827" s="30" t="n">
        <v>45323</v>
      </c>
      <c r="B1827" s="31" t="s">
        <v>7</v>
      </c>
      <c r="C1827" s="32"/>
      <c r="D1827" s="32"/>
      <c r="E1827" s="19" t="n">
        <f aca="false">+F1827*0.03</f>
        <v>0</v>
      </c>
      <c r="F1827" s="33" t="n">
        <v>0</v>
      </c>
      <c r="G1827" s="62"/>
      <c r="H1827" s="35" t="n">
        <v>0</v>
      </c>
      <c r="I1827" s="34" t="n">
        <f aca="false">+IF(E1827=0,0,E1827*0.03)</f>
        <v>0</v>
      </c>
    </row>
    <row r="1828" customFormat="false" ht="15.75" hidden="false" customHeight="true" outlineLevel="0" collapsed="false">
      <c r="A1828" s="30" t="n">
        <v>45323</v>
      </c>
      <c r="B1828" s="31" t="s">
        <v>7</v>
      </c>
      <c r="C1828" s="32"/>
      <c r="D1828" s="32"/>
      <c r="E1828" s="19" t="n">
        <f aca="false">+F1828*0.03</f>
        <v>0</v>
      </c>
      <c r="F1828" s="33" t="n">
        <v>0</v>
      </c>
      <c r="G1828" s="62"/>
      <c r="H1828" s="35" t="n">
        <v>0</v>
      </c>
      <c r="I1828" s="34" t="n">
        <f aca="false">+IF(E1828=0,0,E1828*0.03)</f>
        <v>0</v>
      </c>
    </row>
    <row r="1829" customFormat="false" ht="15.75" hidden="false" customHeight="true" outlineLevel="0" collapsed="false">
      <c r="A1829" s="30" t="n">
        <v>45323</v>
      </c>
      <c r="B1829" s="31" t="s">
        <v>7</v>
      </c>
      <c r="C1829" s="32"/>
      <c r="D1829" s="32"/>
      <c r="E1829" s="19" t="n">
        <f aca="false">+F1829*0.03</f>
        <v>0</v>
      </c>
      <c r="F1829" s="33" t="n">
        <v>0</v>
      </c>
      <c r="G1829" s="62"/>
      <c r="H1829" s="35" t="n">
        <v>0</v>
      </c>
      <c r="I1829" s="34" t="n">
        <f aca="false">+IF(E1829=0,0,E1829*0.03)</f>
        <v>0</v>
      </c>
    </row>
    <row r="1830" customFormat="false" ht="15.75" hidden="false" customHeight="true" outlineLevel="0" collapsed="false">
      <c r="A1830" s="30" t="n">
        <v>45323</v>
      </c>
      <c r="B1830" s="31" t="s">
        <v>7</v>
      </c>
      <c r="C1830" s="32"/>
      <c r="D1830" s="32"/>
      <c r="E1830" s="19" t="n">
        <f aca="false">+F1830*0.03</f>
        <v>0</v>
      </c>
      <c r="F1830" s="33" t="n">
        <v>0</v>
      </c>
      <c r="G1830" s="62"/>
      <c r="H1830" s="35" t="n">
        <v>0</v>
      </c>
      <c r="I1830" s="34" t="n">
        <f aca="false">+IF(E1830=0,0,E1830*0.03)</f>
        <v>0</v>
      </c>
    </row>
    <row r="1831" customFormat="false" ht="15.75" hidden="false" customHeight="true" outlineLevel="0" collapsed="false">
      <c r="A1831" s="30" t="n">
        <v>45323</v>
      </c>
      <c r="B1831" s="31" t="s">
        <v>7</v>
      </c>
      <c r="C1831" s="32"/>
      <c r="D1831" s="32"/>
      <c r="E1831" s="19" t="n">
        <f aca="false">+F1831*0.03</f>
        <v>0</v>
      </c>
      <c r="F1831" s="33" t="n">
        <v>0</v>
      </c>
      <c r="G1831" s="62"/>
      <c r="H1831" s="35" t="n">
        <v>0</v>
      </c>
      <c r="I1831" s="34" t="n">
        <f aca="false">+IF(E1831=0,0,E1831*0.03)</f>
        <v>0</v>
      </c>
    </row>
    <row r="1832" customFormat="false" ht="15.75" hidden="false" customHeight="true" outlineLevel="0" collapsed="false">
      <c r="A1832" s="30" t="n">
        <v>45323</v>
      </c>
      <c r="B1832" s="31" t="s">
        <v>7</v>
      </c>
      <c r="C1832" s="32"/>
      <c r="D1832" s="32"/>
      <c r="E1832" s="19" t="n">
        <f aca="false">+F1832*0.03</f>
        <v>0</v>
      </c>
      <c r="F1832" s="33" t="n">
        <v>0</v>
      </c>
      <c r="G1832" s="62"/>
      <c r="H1832" s="35" t="n">
        <v>0</v>
      </c>
      <c r="I1832" s="34" t="n">
        <f aca="false">+IF(E1832=0,0,E1832*0.03)</f>
        <v>0</v>
      </c>
    </row>
    <row r="1833" customFormat="false" ht="15.75" hidden="false" customHeight="true" outlineLevel="0" collapsed="false">
      <c r="A1833" s="30" t="n">
        <v>45323</v>
      </c>
      <c r="B1833" s="31" t="s">
        <v>7</v>
      </c>
      <c r="C1833" s="32"/>
      <c r="D1833" s="32"/>
      <c r="E1833" s="19" t="n">
        <f aca="false">+F1833*0.03</f>
        <v>0</v>
      </c>
      <c r="F1833" s="33" t="n">
        <v>0</v>
      </c>
      <c r="G1833" s="62"/>
      <c r="H1833" s="35" t="n">
        <v>0</v>
      </c>
      <c r="I1833" s="34" t="n">
        <f aca="false">+IF(E1833=0,0,E1833*0.03)</f>
        <v>0</v>
      </c>
    </row>
    <row r="1834" customFormat="false" ht="15.75" hidden="false" customHeight="true" outlineLevel="0" collapsed="false">
      <c r="A1834" s="30" t="n">
        <v>45323</v>
      </c>
      <c r="B1834" s="31" t="s">
        <v>7</v>
      </c>
      <c r="C1834" s="32"/>
      <c r="D1834" s="32"/>
      <c r="E1834" s="19" t="n">
        <f aca="false">+F1834*0.03</f>
        <v>0</v>
      </c>
      <c r="F1834" s="33" t="n">
        <v>0</v>
      </c>
      <c r="G1834" s="62"/>
      <c r="H1834" s="35" t="n">
        <v>0</v>
      </c>
      <c r="I1834" s="34" t="n">
        <f aca="false">+IF(E1834=0,0,E1834*0.03)</f>
        <v>0</v>
      </c>
    </row>
    <row r="1835" customFormat="false" ht="15.75" hidden="false" customHeight="true" outlineLevel="0" collapsed="false">
      <c r="A1835" s="30" t="n">
        <v>45323</v>
      </c>
      <c r="B1835" s="31" t="s">
        <v>7</v>
      </c>
      <c r="C1835" s="32"/>
      <c r="D1835" s="32"/>
      <c r="E1835" s="19" t="n">
        <f aca="false">+F1835*0.03</f>
        <v>0</v>
      </c>
      <c r="F1835" s="33" t="n">
        <v>0</v>
      </c>
      <c r="G1835" s="62"/>
      <c r="H1835" s="35" t="n">
        <v>0</v>
      </c>
      <c r="I1835" s="34" t="n">
        <f aca="false">+IF(E1835=0,0,E1835*0.03)</f>
        <v>0</v>
      </c>
    </row>
    <row r="1836" customFormat="false" ht="15.75" hidden="false" customHeight="true" outlineLevel="0" collapsed="false">
      <c r="A1836" s="30" t="n">
        <v>45323</v>
      </c>
      <c r="B1836" s="31" t="s">
        <v>7</v>
      </c>
      <c r="C1836" s="32"/>
      <c r="D1836" s="32"/>
      <c r="E1836" s="19" t="n">
        <f aca="false">+F1836*0.03</f>
        <v>0</v>
      </c>
      <c r="F1836" s="33" t="n">
        <v>0</v>
      </c>
      <c r="G1836" s="62"/>
      <c r="H1836" s="35" t="n">
        <v>0</v>
      </c>
      <c r="I1836" s="34" t="n">
        <f aca="false">+IF(E1836=0,0,E1836*0.03)</f>
        <v>0</v>
      </c>
    </row>
    <row r="1837" customFormat="false" ht="15.75" hidden="false" customHeight="true" outlineLevel="0" collapsed="false">
      <c r="A1837" s="30" t="n">
        <v>45323</v>
      </c>
      <c r="B1837" s="31" t="s">
        <v>7</v>
      </c>
      <c r="C1837" s="32"/>
      <c r="D1837" s="32"/>
      <c r="E1837" s="19" t="n">
        <f aca="false">+F1837*0.03</f>
        <v>0</v>
      </c>
      <c r="F1837" s="33" t="n">
        <v>0</v>
      </c>
      <c r="G1837" s="62"/>
      <c r="H1837" s="35" t="n">
        <v>0</v>
      </c>
      <c r="I1837" s="34" t="n">
        <f aca="false">+IF(E1837=0,0,E1837*0.03)</f>
        <v>0</v>
      </c>
    </row>
    <row r="1838" customFormat="false" ht="15.75" hidden="false" customHeight="true" outlineLevel="0" collapsed="false">
      <c r="A1838" s="30" t="n">
        <v>45323</v>
      </c>
      <c r="B1838" s="31" t="s">
        <v>7</v>
      </c>
      <c r="C1838" s="32"/>
      <c r="D1838" s="32"/>
      <c r="E1838" s="19" t="n">
        <f aca="false">+F1838*0.03</f>
        <v>0</v>
      </c>
      <c r="F1838" s="33" t="n">
        <v>0</v>
      </c>
      <c r="G1838" s="62"/>
      <c r="H1838" s="35" t="n">
        <v>0</v>
      </c>
      <c r="I1838" s="34" t="n">
        <f aca="false">+IF(E1838=0,0,E1838*0.03)</f>
        <v>0</v>
      </c>
    </row>
    <row r="1839" customFormat="false" ht="15.75" hidden="false" customHeight="true" outlineLevel="0" collapsed="false">
      <c r="A1839" s="30" t="n">
        <v>45323</v>
      </c>
      <c r="B1839" s="31" t="s">
        <v>7</v>
      </c>
      <c r="C1839" s="32"/>
      <c r="D1839" s="32"/>
      <c r="E1839" s="19" t="n">
        <f aca="false">+F1839*0.03</f>
        <v>0</v>
      </c>
      <c r="F1839" s="33" t="n">
        <v>0</v>
      </c>
      <c r="G1839" s="62"/>
      <c r="H1839" s="35" t="n">
        <v>0</v>
      </c>
      <c r="I1839" s="34" t="n">
        <f aca="false">+IF(E1839=0,0,E1839*0.03)</f>
        <v>0</v>
      </c>
    </row>
    <row r="1840" customFormat="false" ht="15.75" hidden="false" customHeight="true" outlineLevel="0" collapsed="false">
      <c r="A1840" s="30" t="n">
        <v>45323</v>
      </c>
      <c r="B1840" s="31" t="s">
        <v>7</v>
      </c>
      <c r="C1840" s="32"/>
      <c r="D1840" s="32"/>
      <c r="E1840" s="19" t="n">
        <f aca="false">+F1840*0.03</f>
        <v>0</v>
      </c>
      <c r="F1840" s="33" t="n">
        <v>0</v>
      </c>
      <c r="G1840" s="62"/>
      <c r="H1840" s="35" t="n">
        <v>0</v>
      </c>
      <c r="I1840" s="34" t="n">
        <f aca="false">+IF(E1840=0,0,E1840*0.03)</f>
        <v>0</v>
      </c>
    </row>
    <row r="1841" customFormat="false" ht="15.75" hidden="false" customHeight="true" outlineLevel="0" collapsed="false">
      <c r="A1841" s="30" t="n">
        <v>45323</v>
      </c>
      <c r="B1841" s="31" t="s">
        <v>7</v>
      </c>
      <c r="C1841" s="32"/>
      <c r="D1841" s="32"/>
      <c r="E1841" s="19" t="n">
        <f aca="false">+F1841*0.03</f>
        <v>0</v>
      </c>
      <c r="F1841" s="33" t="n">
        <v>0</v>
      </c>
      <c r="G1841" s="62"/>
      <c r="H1841" s="35" t="n">
        <v>0</v>
      </c>
      <c r="I1841" s="34" t="n">
        <f aca="false">+IF(E1841=0,0,E1841*0.03)</f>
        <v>0</v>
      </c>
    </row>
    <row r="1842" customFormat="false" ht="15.75" hidden="false" customHeight="true" outlineLevel="0" collapsed="false">
      <c r="A1842" s="30" t="n">
        <v>45323</v>
      </c>
      <c r="B1842" s="31" t="s">
        <v>7</v>
      </c>
      <c r="C1842" s="32"/>
      <c r="D1842" s="32"/>
      <c r="E1842" s="19" t="n">
        <f aca="false">+F1842*0.03</f>
        <v>0</v>
      </c>
      <c r="F1842" s="33" t="n">
        <v>0</v>
      </c>
      <c r="G1842" s="62"/>
      <c r="H1842" s="35" t="n">
        <v>0</v>
      </c>
      <c r="I1842" s="34" t="n">
        <f aca="false">+IF(E1842=0,0,E1842*0.03)</f>
        <v>0</v>
      </c>
    </row>
    <row r="1843" customFormat="false" ht="15.75" hidden="false" customHeight="true" outlineLevel="0" collapsed="false">
      <c r="A1843" s="30" t="n">
        <v>45323</v>
      </c>
      <c r="B1843" s="31" t="s">
        <v>7</v>
      </c>
      <c r="C1843" s="32"/>
      <c r="D1843" s="32"/>
      <c r="E1843" s="19" t="n">
        <f aca="false">+F1843*0.03</f>
        <v>0</v>
      </c>
      <c r="F1843" s="33" t="n">
        <v>0</v>
      </c>
      <c r="G1843" s="62"/>
      <c r="H1843" s="35" t="n">
        <v>0</v>
      </c>
      <c r="I1843" s="34" t="n">
        <f aca="false">+IF(E1843=0,0,E1843*0.03)</f>
        <v>0</v>
      </c>
    </row>
    <row r="1844" customFormat="false" ht="15.75" hidden="false" customHeight="true" outlineLevel="0" collapsed="false">
      <c r="A1844" s="30" t="n">
        <v>45323</v>
      </c>
      <c r="B1844" s="31" t="s">
        <v>7</v>
      </c>
      <c r="C1844" s="32"/>
      <c r="D1844" s="32"/>
      <c r="E1844" s="19" t="n">
        <f aca="false">+F1844*0.03</f>
        <v>0</v>
      </c>
      <c r="F1844" s="33" t="n">
        <v>0</v>
      </c>
      <c r="G1844" s="62"/>
      <c r="H1844" s="35" t="n">
        <v>0</v>
      </c>
      <c r="I1844" s="34" t="n">
        <f aca="false">+IF(E1844=0,0,E1844*0.03)</f>
        <v>0</v>
      </c>
    </row>
    <row r="1845" customFormat="false" ht="15.75" hidden="false" customHeight="true" outlineLevel="0" collapsed="false">
      <c r="A1845" s="30" t="n">
        <v>45323</v>
      </c>
      <c r="B1845" s="31" t="s">
        <v>7</v>
      </c>
      <c r="C1845" s="32"/>
      <c r="D1845" s="32"/>
      <c r="E1845" s="19" t="n">
        <f aca="false">+F1845*0.03</f>
        <v>0</v>
      </c>
      <c r="F1845" s="33" t="n">
        <v>0</v>
      </c>
      <c r="G1845" s="62"/>
      <c r="H1845" s="35" t="n">
        <v>0</v>
      </c>
      <c r="I1845" s="34" t="n">
        <f aca="false">+IF(E1845=0,0,E1845*0.03)</f>
        <v>0</v>
      </c>
    </row>
    <row r="1846" customFormat="false" ht="15.75" hidden="false" customHeight="true" outlineLevel="0" collapsed="false">
      <c r="A1846" s="30" t="n">
        <v>45323</v>
      </c>
      <c r="B1846" s="31" t="s">
        <v>7</v>
      </c>
      <c r="C1846" s="32"/>
      <c r="D1846" s="32"/>
      <c r="E1846" s="19" t="n">
        <f aca="false">+F1846*0.03</f>
        <v>0</v>
      </c>
      <c r="F1846" s="33" t="n">
        <v>0</v>
      </c>
      <c r="G1846" s="62"/>
      <c r="H1846" s="35" t="n">
        <v>0</v>
      </c>
      <c r="I1846" s="34" t="n">
        <f aca="false">+IF(E1846=0,0,E1846*0.03)</f>
        <v>0</v>
      </c>
    </row>
    <row r="1847" customFormat="false" ht="15.75" hidden="false" customHeight="true" outlineLevel="0" collapsed="false">
      <c r="A1847" s="30" t="n">
        <v>45323</v>
      </c>
      <c r="B1847" s="31" t="s">
        <v>7</v>
      </c>
      <c r="C1847" s="32"/>
      <c r="D1847" s="32"/>
      <c r="E1847" s="19" t="n">
        <f aca="false">+F1847*0.03</f>
        <v>0</v>
      </c>
      <c r="F1847" s="33" t="n">
        <v>0</v>
      </c>
      <c r="G1847" s="62"/>
      <c r="H1847" s="35" t="n">
        <v>0</v>
      </c>
      <c r="I1847" s="34" t="n">
        <f aca="false">+IF(E1847=0,0,E1847*0.03)</f>
        <v>0</v>
      </c>
    </row>
    <row r="1848" customFormat="false" ht="15.75" hidden="false" customHeight="true" outlineLevel="0" collapsed="false">
      <c r="A1848" s="30" t="n">
        <v>45323</v>
      </c>
      <c r="B1848" s="31" t="s">
        <v>7</v>
      </c>
      <c r="C1848" s="32"/>
      <c r="D1848" s="32"/>
      <c r="E1848" s="19" t="n">
        <f aca="false">+F1848*0.03</f>
        <v>0</v>
      </c>
      <c r="F1848" s="33" t="n">
        <v>0</v>
      </c>
      <c r="G1848" s="62"/>
      <c r="H1848" s="35" t="n">
        <v>0</v>
      </c>
      <c r="I1848" s="34" t="n">
        <f aca="false">+IF(E1848=0,0,E1848*0.03)</f>
        <v>0</v>
      </c>
    </row>
    <row r="1849" customFormat="false" ht="15.75" hidden="false" customHeight="true" outlineLevel="0" collapsed="false">
      <c r="A1849" s="30" t="n">
        <v>45323</v>
      </c>
      <c r="B1849" s="31" t="s">
        <v>7</v>
      </c>
      <c r="C1849" s="32"/>
      <c r="D1849" s="32"/>
      <c r="E1849" s="19" t="n">
        <f aca="false">+F1849*0.03</f>
        <v>0</v>
      </c>
      <c r="F1849" s="33" t="n">
        <v>0</v>
      </c>
      <c r="G1849" s="62"/>
      <c r="H1849" s="35" t="n">
        <v>0</v>
      </c>
      <c r="I1849" s="34" t="n">
        <f aca="false">+IF(E1849=0,0,E1849*0.03)</f>
        <v>0</v>
      </c>
    </row>
    <row r="1850" customFormat="false" ht="15.75" hidden="false" customHeight="true" outlineLevel="0" collapsed="false">
      <c r="A1850" s="30" t="n">
        <v>45323</v>
      </c>
      <c r="B1850" s="31" t="s">
        <v>7</v>
      </c>
      <c r="C1850" s="32"/>
      <c r="D1850" s="32"/>
      <c r="E1850" s="19" t="n">
        <f aca="false">+F1850*0.03</f>
        <v>0</v>
      </c>
      <c r="F1850" s="33" t="n">
        <v>0</v>
      </c>
      <c r="G1850" s="62"/>
      <c r="H1850" s="35" t="n">
        <v>0</v>
      </c>
      <c r="I1850" s="34" t="n">
        <f aca="false">+IF(E1850=0,0,E1850*0.03)</f>
        <v>0</v>
      </c>
    </row>
    <row r="1851" customFormat="false" ht="15.75" hidden="false" customHeight="true" outlineLevel="0" collapsed="false">
      <c r="A1851" s="30" t="n">
        <v>45323</v>
      </c>
      <c r="B1851" s="31" t="s">
        <v>7</v>
      </c>
      <c r="C1851" s="32"/>
      <c r="D1851" s="32"/>
      <c r="E1851" s="19" t="n">
        <f aca="false">+F1851*0.03</f>
        <v>0</v>
      </c>
      <c r="F1851" s="33" t="n">
        <v>0</v>
      </c>
      <c r="G1851" s="62"/>
      <c r="H1851" s="35" t="n">
        <v>0</v>
      </c>
      <c r="I1851" s="34" t="n">
        <f aca="false">+IF(E1851=0,0,E1851*0.03)</f>
        <v>0</v>
      </c>
    </row>
    <row r="1852" customFormat="false" ht="15.75" hidden="false" customHeight="true" outlineLevel="0" collapsed="false">
      <c r="A1852" s="30" t="n">
        <v>45323</v>
      </c>
      <c r="B1852" s="31" t="s">
        <v>7</v>
      </c>
      <c r="C1852" s="32"/>
      <c r="D1852" s="32"/>
      <c r="E1852" s="19" t="n">
        <f aca="false">+F1852*0.03</f>
        <v>0</v>
      </c>
      <c r="F1852" s="33" t="n">
        <v>0</v>
      </c>
      <c r="G1852" s="62"/>
      <c r="H1852" s="35" t="n">
        <v>0</v>
      </c>
      <c r="I1852" s="34" t="n">
        <f aca="false">+IF(E1852=0,0,E1852*0.03)</f>
        <v>0</v>
      </c>
    </row>
    <row r="1853" customFormat="false" ht="15.75" hidden="false" customHeight="true" outlineLevel="0" collapsed="false">
      <c r="A1853" s="30" t="n">
        <v>45323</v>
      </c>
      <c r="B1853" s="31" t="s">
        <v>7</v>
      </c>
      <c r="C1853" s="32"/>
      <c r="D1853" s="32"/>
      <c r="E1853" s="19" t="n">
        <f aca="false">+F1853*0.03</f>
        <v>0</v>
      </c>
      <c r="F1853" s="33" t="n">
        <v>0</v>
      </c>
      <c r="G1853" s="62"/>
      <c r="H1853" s="35" t="n">
        <v>0</v>
      </c>
      <c r="I1853" s="34" t="n">
        <f aca="false">+IF(E1853=0,0,E1853*0.03)</f>
        <v>0</v>
      </c>
    </row>
    <row r="1854" customFormat="false" ht="15.75" hidden="false" customHeight="true" outlineLevel="0" collapsed="false">
      <c r="A1854" s="30" t="n">
        <v>45323</v>
      </c>
      <c r="B1854" s="31" t="s">
        <v>7</v>
      </c>
      <c r="C1854" s="32"/>
      <c r="D1854" s="32"/>
      <c r="E1854" s="19" t="n">
        <f aca="false">+F1854*0.03</f>
        <v>0</v>
      </c>
      <c r="F1854" s="33" t="n">
        <v>0</v>
      </c>
      <c r="G1854" s="62"/>
      <c r="H1854" s="35" t="n">
        <v>0</v>
      </c>
      <c r="I1854" s="34" t="n">
        <f aca="false">+IF(E1854=0,0,E1854*0.03)</f>
        <v>0</v>
      </c>
    </row>
    <row r="1855" customFormat="false" ht="15.75" hidden="false" customHeight="true" outlineLevel="0" collapsed="false">
      <c r="A1855" s="30" t="n">
        <v>45323</v>
      </c>
      <c r="B1855" s="31" t="s">
        <v>7</v>
      </c>
      <c r="C1855" s="32"/>
      <c r="D1855" s="32"/>
      <c r="E1855" s="19" t="n">
        <f aca="false">+F1855*0.03</f>
        <v>0</v>
      </c>
      <c r="F1855" s="33" t="n">
        <v>0</v>
      </c>
      <c r="G1855" s="62"/>
      <c r="H1855" s="35" t="n">
        <v>0</v>
      </c>
      <c r="I1855" s="34" t="n">
        <f aca="false">+IF(E1855=0,0,E1855*0.03)</f>
        <v>0</v>
      </c>
    </row>
    <row r="1856" customFormat="false" ht="15.75" hidden="false" customHeight="true" outlineLevel="0" collapsed="false">
      <c r="A1856" s="30" t="n">
        <v>45323</v>
      </c>
      <c r="B1856" s="31" t="s">
        <v>7</v>
      </c>
      <c r="C1856" s="32"/>
      <c r="D1856" s="32"/>
      <c r="E1856" s="19" t="n">
        <f aca="false">+F1856*0.03</f>
        <v>0</v>
      </c>
      <c r="F1856" s="33" t="n">
        <v>0</v>
      </c>
      <c r="G1856" s="62"/>
      <c r="H1856" s="35" t="n">
        <v>0</v>
      </c>
      <c r="I1856" s="34" t="n">
        <f aca="false">+IF(E1856=0,0,E1856*0.03)</f>
        <v>0</v>
      </c>
    </row>
    <row r="1857" customFormat="false" ht="15.75" hidden="false" customHeight="true" outlineLevel="0" collapsed="false">
      <c r="A1857" s="30" t="n">
        <v>45323</v>
      </c>
      <c r="B1857" s="31" t="s">
        <v>7</v>
      </c>
      <c r="C1857" s="32"/>
      <c r="D1857" s="32"/>
      <c r="E1857" s="19" t="n">
        <f aca="false">+F1857*0.03</f>
        <v>0</v>
      </c>
      <c r="F1857" s="33" t="n">
        <v>0</v>
      </c>
      <c r="G1857" s="62"/>
      <c r="H1857" s="35" t="n">
        <v>0</v>
      </c>
      <c r="I1857" s="34" t="n">
        <f aca="false">+IF(E1857=0,0,E1857*0.03)</f>
        <v>0</v>
      </c>
    </row>
    <row r="1858" customFormat="false" ht="15.75" hidden="false" customHeight="true" outlineLevel="0" collapsed="false">
      <c r="A1858" s="30" t="n">
        <v>45323</v>
      </c>
      <c r="B1858" s="31" t="s">
        <v>7</v>
      </c>
      <c r="C1858" s="32"/>
      <c r="D1858" s="32"/>
      <c r="E1858" s="19" t="n">
        <f aca="false">+F1858*0.03</f>
        <v>0</v>
      </c>
      <c r="F1858" s="33" t="n">
        <v>0</v>
      </c>
      <c r="G1858" s="62"/>
      <c r="H1858" s="35" t="n">
        <v>0</v>
      </c>
      <c r="I1858" s="34" t="n">
        <f aca="false">+IF(E1858=0,0,E1858*0.03)</f>
        <v>0</v>
      </c>
    </row>
    <row r="1859" customFormat="false" ht="15.75" hidden="false" customHeight="true" outlineLevel="0" collapsed="false">
      <c r="A1859" s="30" t="n">
        <v>45323</v>
      </c>
      <c r="B1859" s="31" t="s">
        <v>7</v>
      </c>
      <c r="C1859" s="32"/>
      <c r="D1859" s="32"/>
      <c r="E1859" s="19" t="n">
        <f aca="false">+F1859*0.03</f>
        <v>0</v>
      </c>
      <c r="F1859" s="33" t="n">
        <v>0</v>
      </c>
      <c r="G1859" s="62"/>
      <c r="H1859" s="35" t="n">
        <v>0</v>
      </c>
      <c r="I1859" s="34" t="n">
        <f aca="false">+IF(E1859=0,0,E1859*0.03)</f>
        <v>0</v>
      </c>
    </row>
    <row r="1860" customFormat="false" ht="15.75" hidden="false" customHeight="true" outlineLevel="0" collapsed="false">
      <c r="A1860" s="30" t="n">
        <v>45323</v>
      </c>
      <c r="B1860" s="31" t="s">
        <v>7</v>
      </c>
      <c r="C1860" s="32"/>
      <c r="D1860" s="32"/>
      <c r="E1860" s="19" t="n">
        <f aca="false">+F1860*0.03</f>
        <v>0</v>
      </c>
      <c r="F1860" s="33" t="n">
        <v>0</v>
      </c>
      <c r="G1860" s="62"/>
      <c r="H1860" s="35" t="n">
        <v>0</v>
      </c>
      <c r="I1860" s="34" t="n">
        <f aca="false">+IF(E1860=0,0,E1860*0.03)</f>
        <v>0</v>
      </c>
    </row>
    <row r="1861" customFormat="false" ht="15.75" hidden="false" customHeight="true" outlineLevel="0" collapsed="false">
      <c r="A1861" s="30" t="n">
        <v>45323</v>
      </c>
      <c r="B1861" s="31" t="s">
        <v>7</v>
      </c>
      <c r="C1861" s="32"/>
      <c r="D1861" s="32"/>
      <c r="E1861" s="19" t="n">
        <f aca="false">+F1861*0.03</f>
        <v>0</v>
      </c>
      <c r="F1861" s="33" t="n">
        <v>0</v>
      </c>
      <c r="G1861" s="62"/>
      <c r="H1861" s="35" t="n">
        <v>0</v>
      </c>
      <c r="I1861" s="34" t="n">
        <f aca="false">+IF(E1861=0,0,E1861*0.03)</f>
        <v>0</v>
      </c>
    </row>
    <row r="1862" customFormat="false" ht="15.75" hidden="false" customHeight="true" outlineLevel="0" collapsed="false">
      <c r="A1862" s="30" t="n">
        <v>45323</v>
      </c>
      <c r="B1862" s="31" t="s">
        <v>7</v>
      </c>
      <c r="C1862" s="32"/>
      <c r="D1862" s="32"/>
      <c r="E1862" s="19" t="n">
        <f aca="false">+F1862*0.03</f>
        <v>0</v>
      </c>
      <c r="F1862" s="33" t="n">
        <v>0</v>
      </c>
      <c r="G1862" s="62"/>
      <c r="H1862" s="35" t="n">
        <v>0</v>
      </c>
      <c r="I1862" s="34" t="n">
        <f aca="false">+IF(E1862=0,0,E1862*0.03)</f>
        <v>0</v>
      </c>
    </row>
    <row r="1863" customFormat="false" ht="15.75" hidden="false" customHeight="true" outlineLevel="0" collapsed="false">
      <c r="A1863" s="30" t="n">
        <v>45323</v>
      </c>
      <c r="B1863" s="31" t="s">
        <v>7</v>
      </c>
      <c r="C1863" s="32"/>
      <c r="D1863" s="32"/>
      <c r="E1863" s="19" t="n">
        <f aca="false">+F1863*0.03</f>
        <v>0</v>
      </c>
      <c r="F1863" s="33" t="n">
        <v>0</v>
      </c>
      <c r="G1863" s="62"/>
      <c r="H1863" s="35" t="n">
        <v>0</v>
      </c>
      <c r="I1863" s="34" t="n">
        <f aca="false">+IF(E1863=0,0,E1863*0.03)</f>
        <v>0</v>
      </c>
    </row>
    <row r="1864" customFormat="false" ht="15.75" hidden="false" customHeight="true" outlineLevel="0" collapsed="false">
      <c r="A1864" s="30" t="n">
        <v>45323</v>
      </c>
      <c r="B1864" s="31" t="s">
        <v>7</v>
      </c>
      <c r="C1864" s="32"/>
      <c r="D1864" s="32"/>
      <c r="E1864" s="19" t="n">
        <f aca="false">+F1864*0.03</f>
        <v>0</v>
      </c>
      <c r="F1864" s="33" t="n">
        <v>0</v>
      </c>
      <c r="G1864" s="62"/>
      <c r="H1864" s="35" t="n">
        <v>0</v>
      </c>
      <c r="I1864" s="34" t="n">
        <f aca="false">+IF(E1864=0,0,E1864*0.03)</f>
        <v>0</v>
      </c>
    </row>
    <row r="1865" customFormat="false" ht="15.75" hidden="false" customHeight="true" outlineLevel="0" collapsed="false">
      <c r="A1865" s="30" t="n">
        <v>45323</v>
      </c>
      <c r="B1865" s="31" t="s">
        <v>7</v>
      </c>
      <c r="C1865" s="32"/>
      <c r="D1865" s="32"/>
      <c r="E1865" s="19" t="n">
        <f aca="false">+F1865*0.03</f>
        <v>0</v>
      </c>
      <c r="F1865" s="33" t="n">
        <v>0</v>
      </c>
      <c r="G1865" s="62"/>
      <c r="H1865" s="35" t="n">
        <v>0</v>
      </c>
      <c r="I1865" s="34" t="n">
        <f aca="false">+IF(E1865=0,0,E1865*0.03)</f>
        <v>0</v>
      </c>
    </row>
    <row r="1866" customFormat="false" ht="15.75" hidden="false" customHeight="true" outlineLevel="0" collapsed="false">
      <c r="A1866" s="30" t="n">
        <v>45323</v>
      </c>
      <c r="B1866" s="31" t="s">
        <v>7</v>
      </c>
      <c r="C1866" s="32"/>
      <c r="D1866" s="32"/>
      <c r="E1866" s="19" t="n">
        <f aca="false">+F1866*0.03</f>
        <v>0</v>
      </c>
      <c r="F1866" s="33" t="n">
        <v>0</v>
      </c>
      <c r="G1866" s="62"/>
      <c r="H1866" s="35" t="n">
        <v>0</v>
      </c>
      <c r="I1866" s="34" t="n">
        <f aca="false">+IF(E1866=0,0,E1866*0.03)</f>
        <v>0</v>
      </c>
    </row>
    <row r="1867" customFormat="false" ht="15.75" hidden="false" customHeight="true" outlineLevel="0" collapsed="false">
      <c r="A1867" s="30" t="n">
        <v>45323</v>
      </c>
      <c r="B1867" s="31" t="s">
        <v>7</v>
      </c>
      <c r="C1867" s="32"/>
      <c r="D1867" s="32"/>
      <c r="E1867" s="19" t="n">
        <f aca="false">+F1867*0.03</f>
        <v>0</v>
      </c>
      <c r="F1867" s="33" t="n">
        <v>0</v>
      </c>
      <c r="G1867" s="62"/>
      <c r="H1867" s="35" t="n">
        <v>0</v>
      </c>
      <c r="I1867" s="34" t="n">
        <f aca="false">+IF(E1867=0,0,E1867*0.03)</f>
        <v>0</v>
      </c>
    </row>
    <row r="1868" customFormat="false" ht="15.75" hidden="false" customHeight="true" outlineLevel="0" collapsed="false">
      <c r="A1868" s="30" t="n">
        <v>45323</v>
      </c>
      <c r="B1868" s="31" t="s">
        <v>7</v>
      </c>
      <c r="C1868" s="32"/>
      <c r="D1868" s="32"/>
      <c r="E1868" s="19" t="n">
        <f aca="false">+F1868*0.03</f>
        <v>0</v>
      </c>
      <c r="F1868" s="33" t="n">
        <v>0</v>
      </c>
      <c r="G1868" s="62"/>
      <c r="H1868" s="35" t="n">
        <v>0</v>
      </c>
      <c r="I1868" s="34" t="n">
        <f aca="false">+IF(E1868=0,0,E1868*0.03)</f>
        <v>0</v>
      </c>
    </row>
    <row r="1869" customFormat="false" ht="15.75" hidden="false" customHeight="true" outlineLevel="0" collapsed="false">
      <c r="A1869" s="30" t="n">
        <v>45323</v>
      </c>
      <c r="B1869" s="31" t="s">
        <v>7</v>
      </c>
      <c r="C1869" s="32"/>
      <c r="D1869" s="32"/>
      <c r="E1869" s="19" t="n">
        <f aca="false">+F1869*0.03</f>
        <v>0</v>
      </c>
      <c r="F1869" s="33" t="n">
        <v>0</v>
      </c>
      <c r="G1869" s="62"/>
      <c r="H1869" s="35" t="n">
        <v>0</v>
      </c>
      <c r="I1869" s="34" t="n">
        <f aca="false">+IF(E1869=0,0,E1869*0.03)</f>
        <v>0</v>
      </c>
    </row>
    <row r="1870" customFormat="false" ht="15.75" hidden="false" customHeight="true" outlineLevel="0" collapsed="false">
      <c r="A1870" s="30" t="n">
        <v>45323</v>
      </c>
      <c r="B1870" s="31" t="s">
        <v>7</v>
      </c>
      <c r="C1870" s="32"/>
      <c r="D1870" s="32"/>
      <c r="E1870" s="19" t="n">
        <f aca="false">+F1870*0.03</f>
        <v>0</v>
      </c>
      <c r="F1870" s="33" t="n">
        <v>0</v>
      </c>
      <c r="G1870" s="62"/>
      <c r="H1870" s="35" t="n">
        <v>0</v>
      </c>
      <c r="I1870" s="34" t="n">
        <f aca="false">+IF(E1870=0,0,E1870*0.03)</f>
        <v>0</v>
      </c>
    </row>
    <row r="1871" customFormat="false" ht="15.75" hidden="false" customHeight="true" outlineLevel="0" collapsed="false">
      <c r="A1871" s="30" t="n">
        <v>45323</v>
      </c>
      <c r="B1871" s="31" t="s">
        <v>7</v>
      </c>
      <c r="C1871" s="32"/>
      <c r="D1871" s="32"/>
      <c r="E1871" s="19" t="n">
        <f aca="false">+F1871*0.03</f>
        <v>0</v>
      </c>
      <c r="F1871" s="33" t="n">
        <v>0</v>
      </c>
      <c r="G1871" s="62"/>
      <c r="H1871" s="35" t="n">
        <v>0</v>
      </c>
      <c r="I1871" s="34" t="n">
        <f aca="false">+IF(E1871=0,0,E1871*0.03)</f>
        <v>0</v>
      </c>
    </row>
    <row r="1872" customFormat="false" ht="15.75" hidden="false" customHeight="true" outlineLevel="0" collapsed="false">
      <c r="A1872" s="30" t="n">
        <v>45323</v>
      </c>
      <c r="B1872" s="31" t="s">
        <v>7</v>
      </c>
      <c r="C1872" s="32"/>
      <c r="D1872" s="32"/>
      <c r="E1872" s="19" t="n">
        <f aca="false">+F1872*0.03</f>
        <v>0</v>
      </c>
      <c r="F1872" s="33" t="n">
        <v>0</v>
      </c>
      <c r="G1872" s="62"/>
      <c r="H1872" s="35" t="n">
        <v>0</v>
      </c>
      <c r="I1872" s="34" t="n">
        <f aca="false">+IF(E1872=0,0,E1872*0.03)</f>
        <v>0</v>
      </c>
    </row>
    <row r="1873" customFormat="false" ht="15.75" hidden="false" customHeight="true" outlineLevel="0" collapsed="false">
      <c r="A1873" s="30" t="n">
        <v>45323</v>
      </c>
      <c r="B1873" s="31" t="s">
        <v>7</v>
      </c>
      <c r="C1873" s="32"/>
      <c r="D1873" s="32"/>
      <c r="E1873" s="19" t="n">
        <f aca="false">+F1873*0.03</f>
        <v>0</v>
      </c>
      <c r="F1873" s="33" t="n">
        <v>0</v>
      </c>
      <c r="G1873" s="62"/>
      <c r="H1873" s="35" t="n">
        <v>0</v>
      </c>
      <c r="I1873" s="34" t="n">
        <f aca="false">+IF(E1873=0,0,E1873*0.03)</f>
        <v>0</v>
      </c>
    </row>
    <row r="1874" customFormat="false" ht="15.75" hidden="false" customHeight="true" outlineLevel="0" collapsed="false">
      <c r="A1874" s="30" t="n">
        <v>45323</v>
      </c>
      <c r="B1874" s="31" t="s">
        <v>7</v>
      </c>
      <c r="C1874" s="32"/>
      <c r="D1874" s="32"/>
      <c r="E1874" s="19" t="n">
        <f aca="false">+F1874*0.03</f>
        <v>0</v>
      </c>
      <c r="F1874" s="33" t="n">
        <v>0</v>
      </c>
      <c r="G1874" s="62"/>
      <c r="H1874" s="35" t="n">
        <v>0</v>
      </c>
      <c r="I1874" s="34" t="n">
        <f aca="false">+IF(E1874=0,0,E1874*0.03)</f>
        <v>0</v>
      </c>
    </row>
    <row r="1875" customFormat="false" ht="15.75" hidden="false" customHeight="true" outlineLevel="0" collapsed="false">
      <c r="A1875" s="30" t="n">
        <v>45323</v>
      </c>
      <c r="B1875" s="31" t="s">
        <v>7</v>
      </c>
      <c r="C1875" s="32"/>
      <c r="D1875" s="32"/>
      <c r="E1875" s="19" t="n">
        <f aca="false">+F1875*0.03</f>
        <v>0</v>
      </c>
      <c r="F1875" s="33" t="n">
        <v>0</v>
      </c>
      <c r="G1875" s="62"/>
      <c r="H1875" s="35" t="n">
        <v>0</v>
      </c>
      <c r="I1875" s="34" t="n">
        <f aca="false">+IF(E1875=0,0,E1875*0.03)</f>
        <v>0</v>
      </c>
    </row>
    <row r="1876" customFormat="false" ht="15.75" hidden="false" customHeight="true" outlineLevel="0" collapsed="false">
      <c r="A1876" s="30" t="n">
        <v>45323</v>
      </c>
      <c r="B1876" s="31" t="s">
        <v>7</v>
      </c>
      <c r="C1876" s="32"/>
      <c r="D1876" s="32"/>
      <c r="E1876" s="19" t="n">
        <f aca="false">+F1876*0.03</f>
        <v>0</v>
      </c>
      <c r="F1876" s="33" t="n">
        <v>0</v>
      </c>
      <c r="G1876" s="62"/>
      <c r="H1876" s="35" t="n">
        <v>0</v>
      </c>
      <c r="I1876" s="34" t="n">
        <f aca="false">+IF(E1876=0,0,E1876*0.03)</f>
        <v>0</v>
      </c>
    </row>
    <row r="1877" customFormat="false" ht="15.75" hidden="false" customHeight="true" outlineLevel="0" collapsed="false">
      <c r="A1877" s="30" t="n">
        <v>45323</v>
      </c>
      <c r="B1877" s="31" t="s">
        <v>7</v>
      </c>
      <c r="C1877" s="32"/>
      <c r="D1877" s="32"/>
      <c r="E1877" s="19" t="n">
        <f aca="false">+F1877*0.03</f>
        <v>0</v>
      </c>
      <c r="F1877" s="33" t="n">
        <v>0</v>
      </c>
      <c r="G1877" s="62"/>
      <c r="H1877" s="35" t="n">
        <v>0</v>
      </c>
      <c r="I1877" s="34" t="n">
        <f aca="false">+IF(E1877=0,0,E1877*0.03)</f>
        <v>0</v>
      </c>
    </row>
    <row r="1878" customFormat="false" ht="15.75" hidden="false" customHeight="true" outlineLevel="0" collapsed="false">
      <c r="A1878" s="30" t="n">
        <v>45323</v>
      </c>
      <c r="B1878" s="31" t="s">
        <v>7</v>
      </c>
      <c r="C1878" s="32"/>
      <c r="D1878" s="32"/>
      <c r="E1878" s="19" t="n">
        <f aca="false">+F1878*0.03</f>
        <v>0</v>
      </c>
      <c r="F1878" s="33" t="n">
        <v>0</v>
      </c>
      <c r="G1878" s="62"/>
      <c r="H1878" s="35" t="n">
        <v>0</v>
      </c>
      <c r="I1878" s="34" t="n">
        <f aca="false">+IF(E1878=0,0,E1878*0.03)</f>
        <v>0</v>
      </c>
    </row>
    <row r="1879" customFormat="false" ht="15.75" hidden="false" customHeight="true" outlineLevel="0" collapsed="false">
      <c r="A1879" s="30" t="n">
        <v>45323</v>
      </c>
      <c r="B1879" s="31" t="s">
        <v>7</v>
      </c>
      <c r="C1879" s="32"/>
      <c r="D1879" s="32"/>
      <c r="E1879" s="19" t="n">
        <f aca="false">+F1879*0.03</f>
        <v>0</v>
      </c>
      <c r="F1879" s="33" t="n">
        <v>0</v>
      </c>
      <c r="G1879" s="62"/>
      <c r="H1879" s="35" t="n">
        <v>0</v>
      </c>
      <c r="I1879" s="34" t="n">
        <f aca="false">+IF(E1879=0,0,E1879*0.03)</f>
        <v>0</v>
      </c>
    </row>
    <row r="1880" customFormat="false" ht="15.75" hidden="false" customHeight="true" outlineLevel="0" collapsed="false">
      <c r="A1880" s="30" t="n">
        <v>45323</v>
      </c>
      <c r="B1880" s="31" t="s">
        <v>7</v>
      </c>
      <c r="C1880" s="32"/>
      <c r="D1880" s="32"/>
      <c r="E1880" s="19" t="n">
        <f aca="false">+F1880*0.03</f>
        <v>0</v>
      </c>
      <c r="F1880" s="33" t="n">
        <v>0</v>
      </c>
      <c r="G1880" s="62"/>
      <c r="H1880" s="35" t="n">
        <v>0</v>
      </c>
      <c r="I1880" s="34" t="n">
        <f aca="false">+IF(E1880=0,0,E1880*0.03)</f>
        <v>0</v>
      </c>
    </row>
    <row r="1881" customFormat="false" ht="15.75" hidden="false" customHeight="true" outlineLevel="0" collapsed="false">
      <c r="A1881" s="30" t="n">
        <v>45323</v>
      </c>
      <c r="B1881" s="31" t="s">
        <v>7</v>
      </c>
      <c r="C1881" s="32"/>
      <c r="D1881" s="32"/>
      <c r="E1881" s="19" t="n">
        <f aca="false">+F1881*0.03</f>
        <v>0</v>
      </c>
      <c r="F1881" s="33" t="n">
        <v>0</v>
      </c>
      <c r="G1881" s="62"/>
      <c r="H1881" s="35" t="n">
        <v>0</v>
      </c>
      <c r="I1881" s="34" t="n">
        <f aca="false">+IF(E1881=0,0,E1881*0.03)</f>
        <v>0</v>
      </c>
    </row>
    <row r="1882" customFormat="false" ht="15.75" hidden="false" customHeight="true" outlineLevel="0" collapsed="false">
      <c r="A1882" s="30" t="n">
        <v>45323</v>
      </c>
      <c r="B1882" s="31" t="s">
        <v>7</v>
      </c>
      <c r="C1882" s="32"/>
      <c r="D1882" s="32"/>
      <c r="E1882" s="19" t="n">
        <f aca="false">+F1882*0.03</f>
        <v>0</v>
      </c>
      <c r="F1882" s="33" t="n">
        <v>0</v>
      </c>
      <c r="G1882" s="62"/>
      <c r="H1882" s="35" t="n">
        <v>0</v>
      </c>
      <c r="I1882" s="34" t="n">
        <f aca="false">+IF(E1882=0,0,E1882*0.03)</f>
        <v>0</v>
      </c>
    </row>
    <row r="1883" customFormat="false" ht="15.75" hidden="false" customHeight="true" outlineLevel="0" collapsed="false">
      <c r="A1883" s="30" t="n">
        <v>45323</v>
      </c>
      <c r="B1883" s="31" t="s">
        <v>7</v>
      </c>
      <c r="C1883" s="32"/>
      <c r="D1883" s="32"/>
      <c r="E1883" s="19" t="n">
        <f aca="false">+F1883*0.03</f>
        <v>0</v>
      </c>
      <c r="F1883" s="33" t="n">
        <v>0</v>
      </c>
      <c r="G1883" s="62"/>
      <c r="H1883" s="35" t="n">
        <v>0</v>
      </c>
      <c r="I1883" s="34" t="n">
        <f aca="false">+IF(E1883=0,0,E1883*0.03)</f>
        <v>0</v>
      </c>
    </row>
    <row r="1884" customFormat="false" ht="15.75" hidden="false" customHeight="true" outlineLevel="0" collapsed="false">
      <c r="A1884" s="30" t="n">
        <v>45323</v>
      </c>
      <c r="B1884" s="31" t="s">
        <v>7</v>
      </c>
      <c r="C1884" s="32"/>
      <c r="D1884" s="32"/>
      <c r="E1884" s="19" t="n">
        <f aca="false">+F1884*0.03</f>
        <v>0</v>
      </c>
      <c r="F1884" s="33" t="n">
        <v>0</v>
      </c>
      <c r="G1884" s="62"/>
      <c r="H1884" s="35" t="n">
        <v>0</v>
      </c>
      <c r="I1884" s="34" t="n">
        <f aca="false">+IF(E1884=0,0,E1884*0.03)</f>
        <v>0</v>
      </c>
    </row>
    <row r="1885" customFormat="false" ht="15.75" hidden="false" customHeight="true" outlineLevel="0" collapsed="false">
      <c r="A1885" s="30" t="n">
        <v>45323</v>
      </c>
      <c r="B1885" s="31" t="s">
        <v>7</v>
      </c>
      <c r="C1885" s="32"/>
      <c r="D1885" s="32"/>
      <c r="E1885" s="19" t="n">
        <f aca="false">+F1885*0.03</f>
        <v>0</v>
      </c>
      <c r="F1885" s="33" t="n">
        <v>0</v>
      </c>
      <c r="G1885" s="62"/>
      <c r="H1885" s="35" t="n">
        <v>0</v>
      </c>
      <c r="I1885" s="34" t="n">
        <f aca="false">+IF(E1885=0,0,E1885*0.03)</f>
        <v>0</v>
      </c>
    </row>
    <row r="1886" customFormat="false" ht="15.75" hidden="false" customHeight="true" outlineLevel="0" collapsed="false">
      <c r="A1886" s="30" t="n">
        <v>45323</v>
      </c>
      <c r="B1886" s="31" t="s">
        <v>7</v>
      </c>
      <c r="C1886" s="32"/>
      <c r="D1886" s="32"/>
      <c r="E1886" s="19" t="n">
        <f aca="false">+F1886*0.03</f>
        <v>0</v>
      </c>
      <c r="F1886" s="33" t="n">
        <v>0</v>
      </c>
      <c r="G1886" s="62"/>
      <c r="H1886" s="35" t="n">
        <v>0</v>
      </c>
      <c r="I1886" s="34" t="n">
        <f aca="false">+IF(E1886=0,0,E1886*0.03)</f>
        <v>0</v>
      </c>
    </row>
    <row r="1887" customFormat="false" ht="15.75" hidden="false" customHeight="true" outlineLevel="0" collapsed="false">
      <c r="A1887" s="30" t="n">
        <v>45323</v>
      </c>
      <c r="B1887" s="31" t="s">
        <v>7</v>
      </c>
      <c r="C1887" s="32"/>
      <c r="D1887" s="32"/>
      <c r="E1887" s="19" t="n">
        <f aca="false">+F1887*0.03</f>
        <v>0</v>
      </c>
      <c r="F1887" s="33" t="n">
        <v>0</v>
      </c>
      <c r="G1887" s="62"/>
      <c r="H1887" s="35" t="n">
        <v>0</v>
      </c>
      <c r="I1887" s="34" t="n">
        <f aca="false">+IF(E1887=0,0,E1887*0.03)</f>
        <v>0</v>
      </c>
    </row>
    <row r="1888" customFormat="false" ht="15.75" hidden="false" customHeight="true" outlineLevel="0" collapsed="false">
      <c r="A1888" s="30" t="n">
        <v>45323</v>
      </c>
      <c r="B1888" s="31" t="s">
        <v>7</v>
      </c>
      <c r="C1888" s="32"/>
      <c r="D1888" s="32"/>
      <c r="E1888" s="19" t="n">
        <f aca="false">+F1888*0.03</f>
        <v>0</v>
      </c>
      <c r="F1888" s="33" t="n">
        <v>0</v>
      </c>
      <c r="G1888" s="62"/>
      <c r="H1888" s="35" t="n">
        <v>0</v>
      </c>
      <c r="I1888" s="34" t="n">
        <f aca="false">+IF(E1888=0,0,E1888*0.03)</f>
        <v>0</v>
      </c>
    </row>
    <row r="1889" customFormat="false" ht="15.75" hidden="false" customHeight="true" outlineLevel="0" collapsed="false">
      <c r="A1889" s="30" t="n">
        <v>45323</v>
      </c>
      <c r="B1889" s="31" t="s">
        <v>7</v>
      </c>
      <c r="C1889" s="32"/>
      <c r="D1889" s="32"/>
      <c r="E1889" s="19" t="n">
        <f aca="false">+F1889*0.03</f>
        <v>0</v>
      </c>
      <c r="F1889" s="33" t="n">
        <v>0</v>
      </c>
      <c r="G1889" s="62"/>
      <c r="H1889" s="35" t="n">
        <v>0</v>
      </c>
      <c r="I1889" s="34" t="n">
        <f aca="false">+IF(E1889=0,0,E1889*0.03)</f>
        <v>0</v>
      </c>
    </row>
    <row r="1890" customFormat="false" ht="15.75" hidden="false" customHeight="true" outlineLevel="0" collapsed="false">
      <c r="A1890" s="30" t="n">
        <v>45323</v>
      </c>
      <c r="B1890" s="31" t="s">
        <v>7</v>
      </c>
      <c r="C1890" s="32"/>
      <c r="D1890" s="32"/>
      <c r="E1890" s="19" t="n">
        <f aca="false">+F1890*0.03</f>
        <v>0</v>
      </c>
      <c r="F1890" s="33" t="n">
        <v>0</v>
      </c>
      <c r="G1890" s="62"/>
      <c r="H1890" s="35" t="n">
        <v>0</v>
      </c>
      <c r="I1890" s="34" t="n">
        <f aca="false">+IF(E1890=0,0,E1890*0.03)</f>
        <v>0</v>
      </c>
    </row>
    <row r="1891" customFormat="false" ht="15.75" hidden="false" customHeight="true" outlineLevel="0" collapsed="false">
      <c r="A1891" s="30" t="n">
        <v>45323</v>
      </c>
      <c r="B1891" s="31" t="s">
        <v>7</v>
      </c>
      <c r="C1891" s="32"/>
      <c r="D1891" s="32"/>
      <c r="E1891" s="19" t="n">
        <f aca="false">+F1891*0.03</f>
        <v>0</v>
      </c>
      <c r="F1891" s="33" t="n">
        <v>0</v>
      </c>
      <c r="G1891" s="62"/>
      <c r="H1891" s="35" t="n">
        <v>0</v>
      </c>
      <c r="I1891" s="34" t="n">
        <f aca="false">+IF(E1891=0,0,E1891*0.03)</f>
        <v>0</v>
      </c>
    </row>
    <row r="1892" customFormat="false" ht="15.75" hidden="false" customHeight="true" outlineLevel="0" collapsed="false">
      <c r="A1892" s="30" t="n">
        <v>45323</v>
      </c>
      <c r="B1892" s="31" t="s">
        <v>7</v>
      </c>
      <c r="C1892" s="32"/>
      <c r="D1892" s="32"/>
      <c r="E1892" s="19" t="n">
        <f aca="false">+F1892*0.03</f>
        <v>0</v>
      </c>
      <c r="F1892" s="33" t="n">
        <v>0</v>
      </c>
      <c r="G1892" s="62"/>
      <c r="H1892" s="35" t="n">
        <v>0</v>
      </c>
      <c r="I1892" s="34" t="n">
        <f aca="false">+IF(E1892=0,0,E1892*0.03)</f>
        <v>0</v>
      </c>
    </row>
    <row r="1893" customFormat="false" ht="15.75" hidden="false" customHeight="true" outlineLevel="0" collapsed="false">
      <c r="A1893" s="30" t="n">
        <v>45323</v>
      </c>
      <c r="B1893" s="31" t="s">
        <v>7</v>
      </c>
      <c r="C1893" s="32"/>
      <c r="D1893" s="32"/>
      <c r="E1893" s="19" t="n">
        <f aca="false">+F1893*0.03</f>
        <v>0</v>
      </c>
      <c r="F1893" s="33" t="n">
        <v>0</v>
      </c>
      <c r="G1893" s="62"/>
      <c r="H1893" s="35" t="n">
        <v>0</v>
      </c>
      <c r="I1893" s="34" t="n">
        <f aca="false">+IF(E1893=0,0,E1893*0.03)</f>
        <v>0</v>
      </c>
    </row>
    <row r="1894" customFormat="false" ht="15.75" hidden="false" customHeight="true" outlineLevel="0" collapsed="false">
      <c r="A1894" s="30" t="n">
        <v>45323</v>
      </c>
      <c r="B1894" s="31" t="s">
        <v>7</v>
      </c>
      <c r="C1894" s="32"/>
      <c r="D1894" s="32"/>
      <c r="E1894" s="19" t="n">
        <f aca="false">+F1894*0.03</f>
        <v>0</v>
      </c>
      <c r="F1894" s="33" t="n">
        <v>0</v>
      </c>
      <c r="G1894" s="62"/>
      <c r="H1894" s="35" t="n">
        <v>0</v>
      </c>
      <c r="I1894" s="34" t="n">
        <f aca="false">+IF(E1894=0,0,E1894*0.03)</f>
        <v>0</v>
      </c>
    </row>
    <row r="1895" customFormat="false" ht="15.75" hidden="false" customHeight="true" outlineLevel="0" collapsed="false">
      <c r="A1895" s="30" t="n">
        <v>45323</v>
      </c>
      <c r="B1895" s="31" t="s">
        <v>7</v>
      </c>
      <c r="C1895" s="32"/>
      <c r="D1895" s="32"/>
      <c r="E1895" s="19" t="n">
        <f aca="false">+F1895*0.03</f>
        <v>0</v>
      </c>
      <c r="F1895" s="33" t="n">
        <v>0</v>
      </c>
      <c r="G1895" s="62"/>
      <c r="H1895" s="35" t="n">
        <v>0</v>
      </c>
      <c r="I1895" s="34" t="n">
        <f aca="false">+IF(E1895=0,0,E1895*0.03)</f>
        <v>0</v>
      </c>
    </row>
    <row r="1896" customFormat="false" ht="15.75" hidden="false" customHeight="true" outlineLevel="0" collapsed="false">
      <c r="A1896" s="30" t="n">
        <v>45323</v>
      </c>
      <c r="B1896" s="31" t="s">
        <v>7</v>
      </c>
      <c r="C1896" s="32"/>
      <c r="D1896" s="32"/>
      <c r="E1896" s="19" t="n">
        <f aca="false">+F1896*0.03</f>
        <v>0</v>
      </c>
      <c r="F1896" s="33" t="n">
        <v>0</v>
      </c>
      <c r="G1896" s="62"/>
      <c r="H1896" s="35" t="n">
        <v>0</v>
      </c>
      <c r="I1896" s="34" t="n">
        <f aca="false">+IF(E1896=0,0,E1896*0.03)</f>
        <v>0</v>
      </c>
    </row>
    <row r="1897" customFormat="false" ht="15.75" hidden="false" customHeight="true" outlineLevel="0" collapsed="false">
      <c r="A1897" s="30" t="n">
        <v>45323</v>
      </c>
      <c r="B1897" s="31" t="s">
        <v>7</v>
      </c>
      <c r="C1897" s="32"/>
      <c r="D1897" s="32"/>
      <c r="E1897" s="19" t="n">
        <f aca="false">+F1897*0.03</f>
        <v>0</v>
      </c>
      <c r="F1897" s="33" t="n">
        <v>0</v>
      </c>
      <c r="G1897" s="62"/>
      <c r="H1897" s="35" t="n">
        <v>0</v>
      </c>
      <c r="I1897" s="34" t="n">
        <f aca="false">+IF(E1897=0,0,E1897*0.03)</f>
        <v>0</v>
      </c>
    </row>
    <row r="1898" customFormat="false" ht="15.75" hidden="false" customHeight="true" outlineLevel="0" collapsed="false">
      <c r="A1898" s="30" t="n">
        <v>45323</v>
      </c>
      <c r="B1898" s="31" t="s">
        <v>7</v>
      </c>
      <c r="C1898" s="32"/>
      <c r="D1898" s="32"/>
      <c r="E1898" s="19" t="n">
        <f aca="false">+F1898*0.03</f>
        <v>0</v>
      </c>
      <c r="F1898" s="33" t="n">
        <v>0</v>
      </c>
      <c r="G1898" s="62"/>
      <c r="H1898" s="35" t="n">
        <v>0</v>
      </c>
      <c r="I1898" s="34" t="n">
        <f aca="false">+IF(E1898=0,0,E1898*0.03)</f>
        <v>0</v>
      </c>
    </row>
    <row r="1899" customFormat="false" ht="15.75" hidden="false" customHeight="true" outlineLevel="0" collapsed="false">
      <c r="A1899" s="30" t="n">
        <v>45323</v>
      </c>
      <c r="B1899" s="31" t="s">
        <v>7</v>
      </c>
      <c r="C1899" s="32"/>
      <c r="D1899" s="32"/>
      <c r="E1899" s="19" t="n">
        <f aca="false">+F1899*0.03</f>
        <v>0</v>
      </c>
      <c r="F1899" s="33" t="n">
        <v>0</v>
      </c>
      <c r="G1899" s="62"/>
      <c r="H1899" s="35" t="n">
        <v>0</v>
      </c>
      <c r="I1899" s="34" t="n">
        <f aca="false">+IF(E1899=0,0,E1899*0.03)</f>
        <v>0</v>
      </c>
    </row>
    <row r="1900" customFormat="false" ht="15.75" hidden="false" customHeight="true" outlineLevel="0" collapsed="false">
      <c r="A1900" s="30" t="n">
        <v>45323</v>
      </c>
      <c r="B1900" s="31" t="s">
        <v>7</v>
      </c>
      <c r="C1900" s="32"/>
      <c r="D1900" s="32"/>
      <c r="E1900" s="19" t="n">
        <f aca="false">+F1900*0.03</f>
        <v>0</v>
      </c>
      <c r="F1900" s="33" t="n">
        <v>0</v>
      </c>
      <c r="G1900" s="62"/>
      <c r="H1900" s="35" t="n">
        <v>0</v>
      </c>
      <c r="I1900" s="34" t="n">
        <f aca="false">+IF(E1900=0,0,E1900*0.03)</f>
        <v>0</v>
      </c>
    </row>
    <row r="1901" customFormat="false" ht="15.75" hidden="false" customHeight="true" outlineLevel="0" collapsed="false">
      <c r="A1901" s="30" t="n">
        <v>45323</v>
      </c>
      <c r="B1901" s="31" t="s">
        <v>7</v>
      </c>
      <c r="C1901" s="32"/>
      <c r="D1901" s="32"/>
      <c r="E1901" s="19" t="n">
        <f aca="false">+F1901*0.03</f>
        <v>0</v>
      </c>
      <c r="F1901" s="33" t="n">
        <v>0</v>
      </c>
      <c r="G1901" s="62"/>
      <c r="H1901" s="35" t="n">
        <v>0</v>
      </c>
      <c r="I1901" s="34" t="n">
        <f aca="false">+IF(E1901=0,0,E1901*0.03)</f>
        <v>0</v>
      </c>
    </row>
    <row r="1902" customFormat="false" ht="15.75" hidden="false" customHeight="true" outlineLevel="0" collapsed="false">
      <c r="A1902" s="30" t="n">
        <v>45323</v>
      </c>
      <c r="B1902" s="31" t="s">
        <v>7</v>
      </c>
      <c r="C1902" s="32"/>
      <c r="D1902" s="32"/>
      <c r="E1902" s="19" t="n">
        <f aca="false">+F1902*0.03</f>
        <v>0</v>
      </c>
      <c r="F1902" s="33" t="n">
        <v>0</v>
      </c>
      <c r="G1902" s="62"/>
      <c r="H1902" s="35" t="n">
        <v>0</v>
      </c>
      <c r="I1902" s="34" t="n">
        <f aca="false">+IF(E1902=0,0,E1902*0.03)</f>
        <v>0</v>
      </c>
    </row>
    <row r="1903" customFormat="false" ht="15.75" hidden="false" customHeight="true" outlineLevel="0" collapsed="false">
      <c r="A1903" s="30" t="n">
        <v>45323</v>
      </c>
      <c r="B1903" s="31" t="s">
        <v>7</v>
      </c>
      <c r="C1903" s="32"/>
      <c r="D1903" s="32"/>
      <c r="E1903" s="19" t="n">
        <f aca="false">+F1903*0.03</f>
        <v>0</v>
      </c>
      <c r="F1903" s="33" t="n">
        <v>0</v>
      </c>
      <c r="G1903" s="62"/>
      <c r="H1903" s="35" t="n">
        <v>0</v>
      </c>
      <c r="I1903" s="34" t="n">
        <f aca="false">+IF(E1903=0,0,E1903*0.03)</f>
        <v>0</v>
      </c>
    </row>
    <row r="1904" customFormat="false" ht="15.75" hidden="false" customHeight="true" outlineLevel="0" collapsed="false">
      <c r="A1904" s="30" t="n">
        <v>45323</v>
      </c>
      <c r="B1904" s="31" t="s">
        <v>7</v>
      </c>
      <c r="C1904" s="32"/>
      <c r="D1904" s="32"/>
      <c r="E1904" s="19" t="n">
        <f aca="false">+F1904*0.03</f>
        <v>0</v>
      </c>
      <c r="F1904" s="33" t="n">
        <v>0</v>
      </c>
      <c r="G1904" s="62"/>
      <c r="H1904" s="35" t="n">
        <v>0</v>
      </c>
      <c r="I1904" s="34" t="n">
        <f aca="false">+IF(E1904=0,0,E1904*0.03)</f>
        <v>0</v>
      </c>
    </row>
    <row r="1905" customFormat="false" ht="15.75" hidden="false" customHeight="true" outlineLevel="0" collapsed="false">
      <c r="A1905" s="30" t="n">
        <v>45323</v>
      </c>
      <c r="B1905" s="31" t="s">
        <v>7</v>
      </c>
      <c r="C1905" s="32"/>
      <c r="D1905" s="32"/>
      <c r="E1905" s="19" t="n">
        <f aca="false">+F1905*0.03</f>
        <v>0</v>
      </c>
      <c r="F1905" s="33" t="n">
        <v>0</v>
      </c>
      <c r="G1905" s="62"/>
      <c r="H1905" s="35" t="n">
        <v>0</v>
      </c>
      <c r="I1905" s="34" t="n">
        <f aca="false">+IF(E1905=0,0,E1905*0.03)</f>
        <v>0</v>
      </c>
    </row>
    <row r="1906" customFormat="false" ht="15.75" hidden="false" customHeight="true" outlineLevel="0" collapsed="false">
      <c r="A1906" s="30" t="n">
        <v>45323</v>
      </c>
      <c r="B1906" s="31" t="s">
        <v>7</v>
      </c>
      <c r="C1906" s="32"/>
      <c r="D1906" s="32"/>
      <c r="E1906" s="19" t="n">
        <f aca="false">+F1906*0.03</f>
        <v>0</v>
      </c>
      <c r="F1906" s="33" t="n">
        <v>0</v>
      </c>
      <c r="G1906" s="62"/>
      <c r="H1906" s="35" t="n">
        <v>0</v>
      </c>
      <c r="I1906" s="34" t="n">
        <f aca="false">+IF(E1906=0,0,E1906*0.03)</f>
        <v>0</v>
      </c>
    </row>
    <row r="1907" customFormat="false" ht="15.75" hidden="false" customHeight="true" outlineLevel="0" collapsed="false">
      <c r="A1907" s="30" t="n">
        <v>45323</v>
      </c>
      <c r="B1907" s="31" t="s">
        <v>7</v>
      </c>
      <c r="C1907" s="32"/>
      <c r="D1907" s="32"/>
      <c r="E1907" s="19" t="n">
        <f aca="false">+F1907*0.03</f>
        <v>0</v>
      </c>
      <c r="F1907" s="33" t="n">
        <v>0</v>
      </c>
      <c r="G1907" s="62"/>
      <c r="H1907" s="35" t="n">
        <v>0</v>
      </c>
      <c r="I1907" s="34" t="n">
        <f aca="false">+IF(E1907=0,0,E1907*0.03)</f>
        <v>0</v>
      </c>
    </row>
    <row r="1908" customFormat="false" ht="15.75" hidden="false" customHeight="true" outlineLevel="0" collapsed="false">
      <c r="A1908" s="30" t="n">
        <v>45323</v>
      </c>
      <c r="B1908" s="31" t="s">
        <v>7</v>
      </c>
      <c r="C1908" s="32"/>
      <c r="D1908" s="32"/>
      <c r="E1908" s="19" t="n">
        <f aca="false">+F1908*0.03</f>
        <v>0</v>
      </c>
      <c r="F1908" s="33" t="n">
        <v>0</v>
      </c>
      <c r="G1908" s="62"/>
      <c r="H1908" s="35" t="n">
        <v>0</v>
      </c>
      <c r="I1908" s="34" t="n">
        <f aca="false">+IF(E1908=0,0,E1908*0.03)</f>
        <v>0</v>
      </c>
    </row>
    <row r="1909" customFormat="false" ht="15.75" hidden="false" customHeight="true" outlineLevel="0" collapsed="false">
      <c r="A1909" s="30" t="n">
        <v>45323</v>
      </c>
      <c r="B1909" s="31" t="s">
        <v>7</v>
      </c>
      <c r="C1909" s="32"/>
      <c r="D1909" s="32"/>
      <c r="E1909" s="19" t="n">
        <f aca="false">+F1909*0.03</f>
        <v>0</v>
      </c>
      <c r="F1909" s="33" t="n">
        <v>0</v>
      </c>
      <c r="G1909" s="62"/>
      <c r="H1909" s="35" t="n">
        <v>0</v>
      </c>
      <c r="I1909" s="34" t="n">
        <f aca="false">+IF(E1909=0,0,E1909*0.03)</f>
        <v>0</v>
      </c>
    </row>
    <row r="1910" customFormat="false" ht="15.75" hidden="false" customHeight="true" outlineLevel="0" collapsed="false">
      <c r="A1910" s="30" t="n">
        <v>45323</v>
      </c>
      <c r="B1910" s="31" t="s">
        <v>7</v>
      </c>
      <c r="C1910" s="32"/>
      <c r="D1910" s="32"/>
      <c r="E1910" s="19" t="n">
        <f aca="false">+F1910*0.03</f>
        <v>0</v>
      </c>
      <c r="F1910" s="33" t="n">
        <v>0</v>
      </c>
      <c r="G1910" s="62"/>
      <c r="H1910" s="35" t="n">
        <v>0</v>
      </c>
      <c r="I1910" s="34" t="n">
        <f aca="false">+IF(E1910=0,0,E1910*0.03)</f>
        <v>0</v>
      </c>
    </row>
    <row r="1911" customFormat="false" ht="15.75" hidden="false" customHeight="true" outlineLevel="0" collapsed="false">
      <c r="A1911" s="30" t="n">
        <v>45323</v>
      </c>
      <c r="B1911" s="31" t="s">
        <v>7</v>
      </c>
      <c r="C1911" s="32"/>
      <c r="D1911" s="32"/>
      <c r="E1911" s="19" t="n">
        <f aca="false">+F1911*0.03</f>
        <v>0</v>
      </c>
      <c r="F1911" s="33" t="n">
        <v>0</v>
      </c>
      <c r="G1911" s="62"/>
      <c r="H1911" s="35" t="n">
        <v>0</v>
      </c>
      <c r="I1911" s="34" t="n">
        <f aca="false">+IF(E1911=0,0,E1911*0.03)</f>
        <v>0</v>
      </c>
    </row>
    <row r="1912" customFormat="false" ht="15.75" hidden="false" customHeight="true" outlineLevel="0" collapsed="false">
      <c r="A1912" s="30" t="n">
        <v>45323</v>
      </c>
      <c r="B1912" s="31" t="s">
        <v>7</v>
      </c>
      <c r="C1912" s="32"/>
      <c r="D1912" s="32"/>
      <c r="E1912" s="19" t="n">
        <f aca="false">+F1912*0.03</f>
        <v>0</v>
      </c>
      <c r="F1912" s="33" t="n">
        <v>0</v>
      </c>
      <c r="G1912" s="62"/>
      <c r="H1912" s="35" t="n">
        <v>0</v>
      </c>
      <c r="I1912" s="34" t="n">
        <f aca="false">+IF(E1912=0,0,E1912*0.03)</f>
        <v>0</v>
      </c>
    </row>
    <row r="1913" customFormat="false" ht="15.75" hidden="false" customHeight="true" outlineLevel="0" collapsed="false">
      <c r="A1913" s="30" t="n">
        <v>45323</v>
      </c>
      <c r="B1913" s="31" t="s">
        <v>7</v>
      </c>
      <c r="C1913" s="32"/>
      <c r="D1913" s="32"/>
      <c r="E1913" s="19" t="n">
        <f aca="false">+F1913*0.03</f>
        <v>0</v>
      </c>
      <c r="F1913" s="33" t="n">
        <v>0</v>
      </c>
      <c r="G1913" s="62"/>
      <c r="H1913" s="35" t="n">
        <v>0</v>
      </c>
      <c r="I1913" s="34" t="n">
        <f aca="false">+IF(E1913=0,0,E1913*0.03)</f>
        <v>0</v>
      </c>
    </row>
    <row r="1914" customFormat="false" ht="15.75" hidden="false" customHeight="true" outlineLevel="0" collapsed="false">
      <c r="A1914" s="30" t="n">
        <v>45323</v>
      </c>
      <c r="B1914" s="31" t="s">
        <v>7</v>
      </c>
      <c r="C1914" s="32"/>
      <c r="D1914" s="32"/>
      <c r="E1914" s="19" t="n">
        <f aca="false">+F1914*0.03</f>
        <v>0</v>
      </c>
      <c r="F1914" s="33" t="n">
        <v>0</v>
      </c>
      <c r="G1914" s="62"/>
      <c r="H1914" s="35" t="n">
        <v>0</v>
      </c>
      <c r="I1914" s="34" t="n">
        <f aca="false">+IF(E1914=0,0,E1914*0.03)</f>
        <v>0</v>
      </c>
    </row>
    <row r="1915" customFormat="false" ht="15.75" hidden="false" customHeight="true" outlineLevel="0" collapsed="false">
      <c r="A1915" s="30" t="n">
        <v>45323</v>
      </c>
      <c r="B1915" s="31" t="s">
        <v>7</v>
      </c>
      <c r="C1915" s="32"/>
      <c r="D1915" s="32"/>
      <c r="E1915" s="19" t="n">
        <f aca="false">+F1915*0.03</f>
        <v>0</v>
      </c>
      <c r="F1915" s="33" t="n">
        <v>0</v>
      </c>
      <c r="G1915" s="62"/>
      <c r="H1915" s="35" t="n">
        <v>0</v>
      </c>
      <c r="I1915" s="34" t="n">
        <f aca="false">+IF(E1915=0,0,E1915*0.03)</f>
        <v>0</v>
      </c>
    </row>
    <row r="1916" customFormat="false" ht="15.75" hidden="false" customHeight="true" outlineLevel="0" collapsed="false">
      <c r="A1916" s="30" t="n">
        <v>45323</v>
      </c>
      <c r="B1916" s="31" t="s">
        <v>7</v>
      </c>
      <c r="C1916" s="32"/>
      <c r="D1916" s="32"/>
      <c r="E1916" s="19" t="n">
        <f aca="false">+F1916*0.03</f>
        <v>0</v>
      </c>
      <c r="F1916" s="33" t="n">
        <v>0</v>
      </c>
      <c r="G1916" s="62"/>
      <c r="H1916" s="35" t="n">
        <v>0</v>
      </c>
      <c r="I1916" s="34" t="n">
        <f aca="false">+IF(E1916=0,0,E1916*0.03)</f>
        <v>0</v>
      </c>
    </row>
    <row r="1917" customFormat="false" ht="15.75" hidden="false" customHeight="true" outlineLevel="0" collapsed="false">
      <c r="A1917" s="30" t="n">
        <v>45323</v>
      </c>
      <c r="B1917" s="31" t="s">
        <v>7</v>
      </c>
      <c r="C1917" s="32"/>
      <c r="D1917" s="32"/>
      <c r="E1917" s="19" t="n">
        <f aca="false">+F1917*0.03</f>
        <v>0</v>
      </c>
      <c r="F1917" s="33" t="n">
        <v>0</v>
      </c>
      <c r="G1917" s="62"/>
      <c r="H1917" s="35" t="n">
        <v>0</v>
      </c>
      <c r="I1917" s="34" t="n">
        <f aca="false">+IF(E1917=0,0,E1917*0.03)</f>
        <v>0</v>
      </c>
    </row>
    <row r="1918" customFormat="false" ht="15.75" hidden="false" customHeight="true" outlineLevel="0" collapsed="false">
      <c r="A1918" s="30" t="n">
        <v>45323</v>
      </c>
      <c r="B1918" s="31" t="s">
        <v>7</v>
      </c>
      <c r="C1918" s="32"/>
      <c r="D1918" s="32"/>
      <c r="E1918" s="19" t="n">
        <f aca="false">+F1918*0.03</f>
        <v>0</v>
      </c>
      <c r="F1918" s="33" t="n">
        <v>0</v>
      </c>
      <c r="G1918" s="62"/>
      <c r="H1918" s="35" t="n">
        <v>0</v>
      </c>
      <c r="I1918" s="34" t="n">
        <f aca="false">+IF(E1918=0,0,E1918*0.03)</f>
        <v>0</v>
      </c>
    </row>
    <row r="1919" customFormat="false" ht="15.75" hidden="false" customHeight="true" outlineLevel="0" collapsed="false">
      <c r="A1919" s="30" t="n">
        <v>45323</v>
      </c>
      <c r="B1919" s="31" t="s">
        <v>7</v>
      </c>
      <c r="C1919" s="32"/>
      <c r="D1919" s="32"/>
      <c r="E1919" s="19" t="n">
        <f aca="false">+F1919*0.03</f>
        <v>0</v>
      </c>
      <c r="F1919" s="33" t="n">
        <v>0</v>
      </c>
      <c r="G1919" s="62"/>
      <c r="H1919" s="35" t="n">
        <v>0</v>
      </c>
      <c r="I1919" s="34" t="n">
        <f aca="false">+IF(E1919=0,0,E1919*0.03)</f>
        <v>0</v>
      </c>
    </row>
    <row r="1920" customFormat="false" ht="15.75" hidden="false" customHeight="true" outlineLevel="0" collapsed="false">
      <c r="A1920" s="30" t="n">
        <v>45323</v>
      </c>
      <c r="B1920" s="31" t="s">
        <v>7</v>
      </c>
      <c r="C1920" s="32"/>
      <c r="D1920" s="32"/>
      <c r="E1920" s="19" t="n">
        <f aca="false">+F1920*0.03</f>
        <v>0</v>
      </c>
      <c r="F1920" s="33" t="n">
        <v>0</v>
      </c>
      <c r="G1920" s="62"/>
      <c r="H1920" s="35" t="n">
        <v>0</v>
      </c>
      <c r="I1920" s="34" t="n">
        <f aca="false">+IF(E1920=0,0,E1920*0.03)</f>
        <v>0</v>
      </c>
    </row>
    <row r="1921" customFormat="false" ht="15.75" hidden="false" customHeight="true" outlineLevel="0" collapsed="false">
      <c r="A1921" s="30" t="n">
        <v>45323</v>
      </c>
      <c r="B1921" s="31" t="s">
        <v>7</v>
      </c>
      <c r="C1921" s="32"/>
      <c r="D1921" s="32"/>
      <c r="E1921" s="19" t="n">
        <f aca="false">+F1921*0.03</f>
        <v>0</v>
      </c>
      <c r="F1921" s="33" t="n">
        <v>0</v>
      </c>
      <c r="G1921" s="62"/>
      <c r="H1921" s="35" t="n">
        <v>0</v>
      </c>
      <c r="I1921" s="34" t="n">
        <f aca="false">+IF(E1921=0,0,E1921*0.03)</f>
        <v>0</v>
      </c>
    </row>
    <row r="1922" customFormat="false" ht="15.75" hidden="false" customHeight="true" outlineLevel="0" collapsed="false">
      <c r="A1922" s="30" t="n">
        <v>45323</v>
      </c>
      <c r="B1922" s="31" t="s">
        <v>7</v>
      </c>
      <c r="C1922" s="32"/>
      <c r="D1922" s="32"/>
      <c r="E1922" s="19" t="n">
        <f aca="false">+F1922*0.03</f>
        <v>0</v>
      </c>
      <c r="F1922" s="33" t="n">
        <v>0</v>
      </c>
      <c r="G1922" s="62"/>
      <c r="H1922" s="35" t="n">
        <v>0</v>
      </c>
      <c r="I1922" s="34" t="n">
        <f aca="false">+IF(E1922=0,0,E1922*0.03)</f>
        <v>0</v>
      </c>
    </row>
    <row r="1923" customFormat="false" ht="15.75" hidden="false" customHeight="true" outlineLevel="0" collapsed="false">
      <c r="A1923" s="30" t="n">
        <v>45323</v>
      </c>
      <c r="B1923" s="31" t="s">
        <v>7</v>
      </c>
      <c r="C1923" s="32"/>
      <c r="D1923" s="32"/>
      <c r="E1923" s="19" t="n">
        <f aca="false">+F1923*0.03</f>
        <v>0</v>
      </c>
      <c r="F1923" s="33" t="n">
        <v>0</v>
      </c>
      <c r="G1923" s="62"/>
      <c r="H1923" s="35" t="n">
        <v>0</v>
      </c>
      <c r="I1923" s="34" t="n">
        <f aca="false">+IF(E1923=0,0,E1923*0.03)</f>
        <v>0</v>
      </c>
    </row>
    <row r="1924" customFormat="false" ht="15.75" hidden="false" customHeight="true" outlineLevel="0" collapsed="false">
      <c r="A1924" s="30" t="n">
        <v>45323</v>
      </c>
      <c r="B1924" s="31" t="s">
        <v>7</v>
      </c>
      <c r="C1924" s="32"/>
      <c r="D1924" s="32"/>
      <c r="E1924" s="19" t="n">
        <f aca="false">+F1924*0.03</f>
        <v>0</v>
      </c>
      <c r="F1924" s="33" t="n">
        <v>0</v>
      </c>
      <c r="G1924" s="62"/>
      <c r="H1924" s="35" t="n">
        <v>0</v>
      </c>
      <c r="I1924" s="34" t="n">
        <f aca="false">+IF(E1924=0,0,E1924*0.03)</f>
        <v>0</v>
      </c>
    </row>
    <row r="1925" customFormat="false" ht="15.75" hidden="false" customHeight="true" outlineLevel="0" collapsed="false">
      <c r="A1925" s="30" t="n">
        <v>45323</v>
      </c>
      <c r="B1925" s="31" t="s">
        <v>7</v>
      </c>
      <c r="C1925" s="32"/>
      <c r="D1925" s="32"/>
      <c r="E1925" s="19" t="n">
        <f aca="false">+F1925*0.03</f>
        <v>0</v>
      </c>
      <c r="F1925" s="33" t="n">
        <v>0</v>
      </c>
      <c r="G1925" s="62"/>
      <c r="H1925" s="35" t="n">
        <v>0</v>
      </c>
      <c r="I1925" s="34" t="n">
        <f aca="false">+IF(E1925=0,0,E1925*0.03)</f>
        <v>0</v>
      </c>
    </row>
    <row r="1926" customFormat="false" ht="15.75" hidden="false" customHeight="true" outlineLevel="0" collapsed="false">
      <c r="A1926" s="30" t="n">
        <v>45323</v>
      </c>
      <c r="B1926" s="31" t="s">
        <v>7</v>
      </c>
      <c r="C1926" s="32"/>
      <c r="D1926" s="32"/>
      <c r="E1926" s="19" t="n">
        <f aca="false">+F1926*0.03</f>
        <v>0</v>
      </c>
      <c r="F1926" s="33" t="n">
        <v>0</v>
      </c>
      <c r="G1926" s="62"/>
      <c r="H1926" s="35" t="n">
        <v>0</v>
      </c>
      <c r="I1926" s="34" t="n">
        <f aca="false">+IF(E1926=0,0,E1926*0.03)</f>
        <v>0</v>
      </c>
    </row>
    <row r="1927" customFormat="false" ht="15.75" hidden="false" customHeight="true" outlineLevel="0" collapsed="false">
      <c r="A1927" s="30" t="n">
        <v>45323</v>
      </c>
      <c r="B1927" s="31" t="s">
        <v>7</v>
      </c>
      <c r="C1927" s="32"/>
      <c r="D1927" s="32"/>
      <c r="E1927" s="19" t="n">
        <f aca="false">+F1927*0.03</f>
        <v>0</v>
      </c>
      <c r="F1927" s="33" t="n">
        <v>0</v>
      </c>
      <c r="G1927" s="62"/>
      <c r="H1927" s="35" t="n">
        <v>0</v>
      </c>
      <c r="I1927" s="34" t="n">
        <f aca="false">+IF(E1927=0,0,E1927*0.03)</f>
        <v>0</v>
      </c>
    </row>
    <row r="1928" customFormat="false" ht="15.75" hidden="false" customHeight="true" outlineLevel="0" collapsed="false">
      <c r="A1928" s="30" t="n">
        <v>45323</v>
      </c>
      <c r="B1928" s="31" t="s">
        <v>7</v>
      </c>
      <c r="C1928" s="32"/>
      <c r="D1928" s="32"/>
      <c r="E1928" s="19" t="n">
        <f aca="false">+F1928*0.03</f>
        <v>0</v>
      </c>
      <c r="F1928" s="33" t="n">
        <v>0</v>
      </c>
      <c r="G1928" s="62"/>
      <c r="H1928" s="35" t="n">
        <v>0</v>
      </c>
      <c r="I1928" s="34" t="n">
        <f aca="false">+IF(E1928=0,0,E1928*0.03)</f>
        <v>0</v>
      </c>
    </row>
    <row r="1929" customFormat="false" ht="15.75" hidden="false" customHeight="true" outlineLevel="0" collapsed="false">
      <c r="A1929" s="30" t="n">
        <v>45323</v>
      </c>
      <c r="B1929" s="31" t="s">
        <v>7</v>
      </c>
      <c r="C1929" s="32"/>
      <c r="D1929" s="32"/>
      <c r="E1929" s="19" t="n">
        <f aca="false">+F1929*0.03</f>
        <v>0</v>
      </c>
      <c r="F1929" s="33" t="n">
        <v>0</v>
      </c>
      <c r="G1929" s="62"/>
      <c r="H1929" s="35" t="n">
        <v>0</v>
      </c>
      <c r="I1929" s="34" t="n">
        <f aca="false">+IF(E1929=0,0,E1929*0.03)</f>
        <v>0</v>
      </c>
    </row>
    <row r="1930" customFormat="false" ht="15.75" hidden="false" customHeight="true" outlineLevel="0" collapsed="false">
      <c r="A1930" s="30" t="n">
        <v>45323</v>
      </c>
      <c r="B1930" s="31" t="s">
        <v>7</v>
      </c>
      <c r="C1930" s="32"/>
      <c r="D1930" s="32"/>
      <c r="E1930" s="19" t="n">
        <f aca="false">+F1930*0.03</f>
        <v>0</v>
      </c>
      <c r="F1930" s="33" t="n">
        <v>0</v>
      </c>
      <c r="G1930" s="62"/>
      <c r="H1930" s="35" t="n">
        <v>0</v>
      </c>
      <c r="I1930" s="34" t="n">
        <f aca="false">+IF(E1930=0,0,E1930*0.03)</f>
        <v>0</v>
      </c>
    </row>
    <row r="1931" customFormat="false" ht="15.75" hidden="false" customHeight="true" outlineLevel="0" collapsed="false">
      <c r="A1931" s="30" t="n">
        <v>45323</v>
      </c>
      <c r="B1931" s="31" t="s">
        <v>7</v>
      </c>
      <c r="C1931" s="32"/>
      <c r="D1931" s="32"/>
      <c r="E1931" s="19" t="n">
        <f aca="false">+F1931*0.03</f>
        <v>0</v>
      </c>
      <c r="F1931" s="33" t="n">
        <v>0</v>
      </c>
      <c r="G1931" s="62"/>
      <c r="H1931" s="35" t="n">
        <v>0</v>
      </c>
      <c r="I1931" s="34" t="n">
        <f aca="false">+IF(E1931=0,0,E1931*0.03)</f>
        <v>0</v>
      </c>
    </row>
    <row r="1932" customFormat="false" ht="15.75" hidden="false" customHeight="true" outlineLevel="0" collapsed="false">
      <c r="A1932" s="30" t="n">
        <v>45323</v>
      </c>
      <c r="B1932" s="31" t="s">
        <v>7</v>
      </c>
      <c r="C1932" s="32"/>
      <c r="D1932" s="32"/>
      <c r="E1932" s="19" t="n">
        <f aca="false">+F1932*0.03</f>
        <v>0</v>
      </c>
      <c r="F1932" s="33" t="n">
        <v>0</v>
      </c>
      <c r="G1932" s="62"/>
      <c r="H1932" s="35" t="n">
        <v>0</v>
      </c>
      <c r="I1932" s="34" t="n">
        <f aca="false">+IF(E1932=0,0,E1932*0.03)</f>
        <v>0</v>
      </c>
    </row>
    <row r="1933" customFormat="false" ht="15.75" hidden="false" customHeight="true" outlineLevel="0" collapsed="false">
      <c r="A1933" s="30" t="n">
        <v>45323</v>
      </c>
      <c r="B1933" s="31" t="s">
        <v>7</v>
      </c>
      <c r="C1933" s="32"/>
      <c r="D1933" s="32"/>
      <c r="E1933" s="19" t="n">
        <f aca="false">+F1933*0.03</f>
        <v>0</v>
      </c>
      <c r="F1933" s="33" t="n">
        <v>0</v>
      </c>
      <c r="G1933" s="62"/>
      <c r="H1933" s="35" t="n">
        <v>0</v>
      </c>
      <c r="I1933" s="34" t="n">
        <f aca="false">+IF(E1933=0,0,E1933*0.03)</f>
        <v>0</v>
      </c>
    </row>
    <row r="1934" customFormat="false" ht="15.75" hidden="false" customHeight="true" outlineLevel="0" collapsed="false">
      <c r="A1934" s="30" t="n">
        <v>45323</v>
      </c>
      <c r="B1934" s="31" t="s">
        <v>7</v>
      </c>
      <c r="C1934" s="32"/>
      <c r="D1934" s="32"/>
      <c r="E1934" s="19" t="n">
        <f aca="false">+F1934*0.03</f>
        <v>0</v>
      </c>
      <c r="F1934" s="33" t="n">
        <v>0</v>
      </c>
      <c r="G1934" s="62"/>
      <c r="H1934" s="35" t="n">
        <v>0</v>
      </c>
      <c r="I1934" s="34" t="n">
        <f aca="false">+IF(E1934=0,0,E1934*0.03)</f>
        <v>0</v>
      </c>
    </row>
    <row r="1935" customFormat="false" ht="15.75" hidden="false" customHeight="true" outlineLevel="0" collapsed="false">
      <c r="A1935" s="30" t="n">
        <v>45323</v>
      </c>
      <c r="B1935" s="31" t="s">
        <v>7</v>
      </c>
      <c r="C1935" s="32"/>
      <c r="D1935" s="32"/>
      <c r="E1935" s="19" t="n">
        <f aca="false">+F1935*0.03</f>
        <v>0</v>
      </c>
      <c r="F1935" s="33" t="n">
        <v>0</v>
      </c>
      <c r="G1935" s="62"/>
      <c r="H1935" s="35" t="n">
        <v>0</v>
      </c>
      <c r="I1935" s="34" t="n">
        <f aca="false">+IF(E1935=0,0,E1935*0.03)</f>
        <v>0</v>
      </c>
    </row>
    <row r="1936" customFormat="false" ht="15.75" hidden="false" customHeight="true" outlineLevel="0" collapsed="false">
      <c r="A1936" s="30" t="n">
        <v>45323</v>
      </c>
      <c r="B1936" s="31" t="s">
        <v>7</v>
      </c>
      <c r="C1936" s="32"/>
      <c r="D1936" s="32"/>
      <c r="E1936" s="19" t="n">
        <f aca="false">+F1936*0.03</f>
        <v>0</v>
      </c>
      <c r="F1936" s="33" t="n">
        <v>0</v>
      </c>
      <c r="G1936" s="62"/>
      <c r="H1936" s="35" t="n">
        <v>0</v>
      </c>
      <c r="I1936" s="34" t="n">
        <f aca="false">+IF(E1936=0,0,E1936*0.03)</f>
        <v>0</v>
      </c>
    </row>
    <row r="1937" customFormat="false" ht="15.75" hidden="false" customHeight="true" outlineLevel="0" collapsed="false">
      <c r="A1937" s="30" t="n">
        <v>45323</v>
      </c>
      <c r="B1937" s="31" t="s">
        <v>7</v>
      </c>
      <c r="C1937" s="32"/>
      <c r="D1937" s="32"/>
      <c r="E1937" s="19" t="n">
        <f aca="false">+F1937*0.03</f>
        <v>0</v>
      </c>
      <c r="F1937" s="33" t="n">
        <v>0</v>
      </c>
      <c r="G1937" s="62"/>
      <c r="H1937" s="35" t="n">
        <v>0</v>
      </c>
      <c r="I1937" s="34" t="n">
        <f aca="false">+IF(E1937=0,0,E1937*0.03)</f>
        <v>0</v>
      </c>
    </row>
    <row r="1938" customFormat="false" ht="15.75" hidden="false" customHeight="true" outlineLevel="0" collapsed="false">
      <c r="A1938" s="30" t="n">
        <v>45323</v>
      </c>
      <c r="B1938" s="31" t="s">
        <v>7</v>
      </c>
      <c r="C1938" s="32"/>
      <c r="D1938" s="32"/>
      <c r="E1938" s="19" t="n">
        <f aca="false">+F1938*0.03</f>
        <v>0</v>
      </c>
      <c r="F1938" s="33" t="n">
        <v>0</v>
      </c>
      <c r="G1938" s="62"/>
      <c r="H1938" s="35" t="n">
        <v>0</v>
      </c>
      <c r="I1938" s="34" t="n">
        <f aca="false">+IF(E1938=0,0,E1938*0.03)</f>
        <v>0</v>
      </c>
    </row>
    <row r="1939" customFormat="false" ht="15.75" hidden="false" customHeight="true" outlineLevel="0" collapsed="false">
      <c r="A1939" s="30" t="n">
        <v>45323</v>
      </c>
      <c r="B1939" s="31" t="s">
        <v>7</v>
      </c>
      <c r="C1939" s="32"/>
      <c r="D1939" s="32"/>
      <c r="E1939" s="19" t="n">
        <f aca="false">+F1939*0.03</f>
        <v>0</v>
      </c>
      <c r="F1939" s="33" t="n">
        <v>0</v>
      </c>
      <c r="G1939" s="62"/>
      <c r="H1939" s="35" t="n">
        <v>0</v>
      </c>
      <c r="I1939" s="34" t="n">
        <f aca="false">+IF(E1939=0,0,E1939*0.03)</f>
        <v>0</v>
      </c>
    </row>
    <row r="1940" customFormat="false" ht="15.75" hidden="false" customHeight="true" outlineLevel="0" collapsed="false">
      <c r="A1940" s="30" t="n">
        <v>45323</v>
      </c>
      <c r="B1940" s="31" t="s">
        <v>7</v>
      </c>
      <c r="C1940" s="32"/>
      <c r="D1940" s="32"/>
      <c r="E1940" s="19" t="n">
        <f aca="false">+F1940*0.03</f>
        <v>0</v>
      </c>
      <c r="F1940" s="33" t="n">
        <v>0</v>
      </c>
      <c r="G1940" s="62"/>
      <c r="H1940" s="35" t="n">
        <v>0</v>
      </c>
      <c r="I1940" s="34" t="n">
        <f aca="false">+IF(E1940=0,0,E1940*0.03)</f>
        <v>0</v>
      </c>
    </row>
    <row r="1941" customFormat="false" ht="15.75" hidden="false" customHeight="true" outlineLevel="0" collapsed="false">
      <c r="A1941" s="30" t="n">
        <v>45323</v>
      </c>
      <c r="B1941" s="31" t="s">
        <v>7</v>
      </c>
      <c r="C1941" s="32"/>
      <c r="D1941" s="32"/>
      <c r="E1941" s="19" t="n">
        <f aca="false">+F1941*0.03</f>
        <v>0</v>
      </c>
      <c r="F1941" s="33" t="n">
        <v>0</v>
      </c>
      <c r="G1941" s="62"/>
      <c r="H1941" s="35" t="n">
        <v>0</v>
      </c>
      <c r="I1941" s="34" t="n">
        <f aca="false">+IF(E1941=0,0,E1941*0.03)</f>
        <v>0</v>
      </c>
    </row>
    <row r="1942" customFormat="false" ht="15.75" hidden="false" customHeight="true" outlineLevel="0" collapsed="false">
      <c r="A1942" s="30" t="n">
        <v>45323</v>
      </c>
      <c r="B1942" s="31" t="s">
        <v>7</v>
      </c>
      <c r="C1942" s="32"/>
      <c r="D1942" s="32"/>
      <c r="E1942" s="19" t="n">
        <f aca="false">+F1942*0.03</f>
        <v>0</v>
      </c>
      <c r="F1942" s="33" t="n">
        <v>0</v>
      </c>
      <c r="G1942" s="62"/>
      <c r="H1942" s="35" t="n">
        <v>0</v>
      </c>
      <c r="I1942" s="34" t="n">
        <f aca="false">+IF(E1942=0,0,E1942*0.03)</f>
        <v>0</v>
      </c>
    </row>
    <row r="1943" customFormat="false" ht="15.75" hidden="false" customHeight="true" outlineLevel="0" collapsed="false">
      <c r="A1943" s="30" t="n">
        <v>45323</v>
      </c>
      <c r="B1943" s="31" t="s">
        <v>7</v>
      </c>
      <c r="C1943" s="32"/>
      <c r="D1943" s="32"/>
      <c r="E1943" s="19" t="n">
        <f aca="false">+F1943*0.03</f>
        <v>0</v>
      </c>
      <c r="F1943" s="33" t="n">
        <v>0</v>
      </c>
      <c r="G1943" s="62"/>
      <c r="H1943" s="35" t="n">
        <v>0</v>
      </c>
      <c r="I1943" s="34" t="n">
        <f aca="false">+IF(E1943=0,0,E1943*0.03)</f>
        <v>0</v>
      </c>
    </row>
    <row r="1944" customFormat="false" ht="15.75" hidden="false" customHeight="true" outlineLevel="0" collapsed="false">
      <c r="A1944" s="30" t="n">
        <v>45323</v>
      </c>
      <c r="B1944" s="31" t="s">
        <v>7</v>
      </c>
      <c r="C1944" s="32"/>
      <c r="D1944" s="32"/>
      <c r="E1944" s="19" t="n">
        <f aca="false">+F1944*0.03</f>
        <v>0</v>
      </c>
      <c r="F1944" s="33" t="n">
        <v>0</v>
      </c>
      <c r="G1944" s="62"/>
      <c r="H1944" s="35" t="n">
        <v>0</v>
      </c>
      <c r="I1944" s="34" t="n">
        <f aca="false">+IF(E1944=0,0,E1944*0.03)</f>
        <v>0</v>
      </c>
    </row>
    <row r="1945" customFormat="false" ht="15.75" hidden="false" customHeight="true" outlineLevel="0" collapsed="false">
      <c r="A1945" s="30" t="n">
        <v>45323</v>
      </c>
      <c r="B1945" s="31" t="s">
        <v>7</v>
      </c>
      <c r="C1945" s="32"/>
      <c r="D1945" s="32"/>
      <c r="E1945" s="19" t="n">
        <f aca="false">+F1945*0.03</f>
        <v>0</v>
      </c>
      <c r="F1945" s="33" t="n">
        <v>0</v>
      </c>
      <c r="G1945" s="62"/>
      <c r="H1945" s="35" t="n">
        <v>0</v>
      </c>
      <c r="I1945" s="34" t="n">
        <f aca="false">+IF(E1945=0,0,E1945*0.03)</f>
        <v>0</v>
      </c>
    </row>
    <row r="1946" customFormat="false" ht="15.75" hidden="false" customHeight="true" outlineLevel="0" collapsed="false">
      <c r="A1946" s="30" t="n">
        <v>45323</v>
      </c>
      <c r="B1946" s="31" t="s">
        <v>7</v>
      </c>
      <c r="C1946" s="32"/>
      <c r="D1946" s="32"/>
      <c r="E1946" s="19" t="n">
        <f aca="false">+F1946*0.03</f>
        <v>0</v>
      </c>
      <c r="F1946" s="33" t="n">
        <v>0</v>
      </c>
      <c r="G1946" s="62"/>
      <c r="H1946" s="35" t="n">
        <v>0</v>
      </c>
      <c r="I1946" s="34" t="n">
        <f aca="false">+IF(E1946=0,0,E1946*0.03)</f>
        <v>0</v>
      </c>
    </row>
    <row r="1947" customFormat="false" ht="15.75" hidden="false" customHeight="true" outlineLevel="0" collapsed="false">
      <c r="A1947" s="30" t="n">
        <v>45323</v>
      </c>
      <c r="B1947" s="31" t="s">
        <v>7</v>
      </c>
      <c r="C1947" s="32"/>
      <c r="D1947" s="32"/>
      <c r="E1947" s="19" t="n">
        <f aca="false">+F1947*0.03</f>
        <v>0</v>
      </c>
      <c r="F1947" s="33" t="n">
        <v>0</v>
      </c>
      <c r="G1947" s="62"/>
      <c r="H1947" s="35" t="n">
        <v>0</v>
      </c>
      <c r="I1947" s="34" t="n">
        <f aca="false">+IF(E1947=0,0,E1947*0.03)</f>
        <v>0</v>
      </c>
    </row>
    <row r="1948" customFormat="false" ht="15.75" hidden="false" customHeight="true" outlineLevel="0" collapsed="false">
      <c r="A1948" s="30" t="n">
        <v>45323</v>
      </c>
      <c r="B1948" s="31" t="s">
        <v>7</v>
      </c>
      <c r="C1948" s="32"/>
      <c r="D1948" s="32"/>
      <c r="E1948" s="19" t="n">
        <f aca="false">+F1948*0.03</f>
        <v>0</v>
      </c>
      <c r="F1948" s="33" t="n">
        <v>0</v>
      </c>
      <c r="G1948" s="62"/>
      <c r="H1948" s="35" t="n">
        <v>0</v>
      </c>
      <c r="I1948" s="34" t="n">
        <f aca="false">+IF(E1948=0,0,E1948*0.03)</f>
        <v>0</v>
      </c>
    </row>
    <row r="1949" customFormat="false" ht="15.75" hidden="false" customHeight="true" outlineLevel="0" collapsed="false">
      <c r="A1949" s="30" t="n">
        <v>45323</v>
      </c>
      <c r="B1949" s="31" t="s">
        <v>7</v>
      </c>
      <c r="C1949" s="32"/>
      <c r="D1949" s="32"/>
      <c r="E1949" s="19" t="n">
        <f aca="false">+F1949*0.03</f>
        <v>0</v>
      </c>
      <c r="F1949" s="33" t="n">
        <v>0</v>
      </c>
      <c r="G1949" s="62"/>
      <c r="H1949" s="35" t="n">
        <v>0</v>
      </c>
      <c r="I1949" s="34" t="n">
        <f aca="false">+IF(E1949=0,0,E1949*0.03)</f>
        <v>0</v>
      </c>
    </row>
    <row r="1950" customFormat="false" ht="15.75" hidden="false" customHeight="true" outlineLevel="0" collapsed="false">
      <c r="A1950" s="30" t="n">
        <v>45323</v>
      </c>
      <c r="B1950" s="31" t="s">
        <v>7</v>
      </c>
      <c r="C1950" s="32"/>
      <c r="D1950" s="32"/>
      <c r="E1950" s="19" t="n">
        <f aca="false">+F1950*0.03</f>
        <v>0</v>
      </c>
      <c r="F1950" s="33" t="n">
        <v>0</v>
      </c>
      <c r="G1950" s="62"/>
      <c r="H1950" s="35" t="n">
        <v>0</v>
      </c>
      <c r="I1950" s="34" t="n">
        <f aca="false">+IF(E1950=0,0,E1950*0.03)</f>
        <v>0</v>
      </c>
    </row>
    <row r="1951" customFormat="false" ht="15.75" hidden="false" customHeight="true" outlineLevel="0" collapsed="false">
      <c r="A1951" s="30" t="n">
        <v>45323</v>
      </c>
      <c r="B1951" s="31" t="s">
        <v>7</v>
      </c>
      <c r="C1951" s="32"/>
      <c r="D1951" s="32"/>
      <c r="E1951" s="19" t="n">
        <f aca="false">+F1951*0.03</f>
        <v>0</v>
      </c>
      <c r="F1951" s="33" t="n">
        <v>0</v>
      </c>
      <c r="G1951" s="62"/>
      <c r="H1951" s="35" t="n">
        <v>0</v>
      </c>
      <c r="I1951" s="34" t="n">
        <f aca="false">+IF(E1951=0,0,E1951*0.03)</f>
        <v>0</v>
      </c>
    </row>
    <row r="1952" customFormat="false" ht="15.75" hidden="false" customHeight="true" outlineLevel="0" collapsed="false">
      <c r="A1952" s="30" t="n">
        <v>45323</v>
      </c>
      <c r="B1952" s="31" t="s">
        <v>7</v>
      </c>
      <c r="C1952" s="32"/>
      <c r="D1952" s="32"/>
      <c r="E1952" s="19" t="n">
        <f aca="false">+F1952*0.03</f>
        <v>0</v>
      </c>
      <c r="F1952" s="33" t="n">
        <v>0</v>
      </c>
      <c r="G1952" s="62"/>
      <c r="H1952" s="35" t="n">
        <v>0</v>
      </c>
      <c r="I1952" s="34" t="n">
        <f aca="false">+IF(E1952=0,0,E1952*0.03)</f>
        <v>0</v>
      </c>
    </row>
    <row r="1953" customFormat="false" ht="15.75" hidden="false" customHeight="true" outlineLevel="0" collapsed="false">
      <c r="A1953" s="30" t="n">
        <v>45323</v>
      </c>
      <c r="B1953" s="31" t="s">
        <v>7</v>
      </c>
      <c r="C1953" s="32"/>
      <c r="D1953" s="32"/>
      <c r="E1953" s="19" t="n">
        <f aca="false">+F1953*0.03</f>
        <v>0</v>
      </c>
      <c r="F1953" s="33" t="n">
        <v>0</v>
      </c>
      <c r="G1953" s="62"/>
      <c r="H1953" s="35" t="n">
        <v>0</v>
      </c>
      <c r="I1953" s="34" t="n">
        <f aca="false">+IF(E1953=0,0,E1953*0.03)</f>
        <v>0</v>
      </c>
    </row>
    <row r="1954" customFormat="false" ht="15.75" hidden="false" customHeight="true" outlineLevel="0" collapsed="false">
      <c r="A1954" s="30" t="n">
        <v>45323</v>
      </c>
      <c r="B1954" s="31" t="s">
        <v>7</v>
      </c>
      <c r="C1954" s="32"/>
      <c r="D1954" s="32"/>
      <c r="E1954" s="19" t="n">
        <f aca="false">+F1954*0.03</f>
        <v>0</v>
      </c>
      <c r="F1954" s="33" t="n">
        <v>0</v>
      </c>
      <c r="G1954" s="62"/>
      <c r="H1954" s="35" t="n">
        <v>0</v>
      </c>
      <c r="I1954" s="34" t="n">
        <f aca="false">+IF(E1954=0,0,E1954*0.03)</f>
        <v>0</v>
      </c>
    </row>
    <row r="1955" customFormat="false" ht="15.75" hidden="false" customHeight="true" outlineLevel="0" collapsed="false">
      <c r="A1955" s="30" t="n">
        <v>45323</v>
      </c>
      <c r="B1955" s="31" t="s">
        <v>7</v>
      </c>
      <c r="C1955" s="32"/>
      <c r="D1955" s="32"/>
      <c r="E1955" s="19" t="n">
        <f aca="false">+F1955*0.03</f>
        <v>0</v>
      </c>
      <c r="F1955" s="33" t="n">
        <v>0</v>
      </c>
      <c r="G1955" s="62"/>
      <c r="H1955" s="35" t="n">
        <v>0</v>
      </c>
      <c r="I1955" s="34" t="n">
        <f aca="false">+IF(E1955=0,0,E1955*0.03)</f>
        <v>0</v>
      </c>
    </row>
    <row r="1956" customFormat="false" ht="15.75" hidden="false" customHeight="true" outlineLevel="0" collapsed="false">
      <c r="A1956" s="30" t="n">
        <v>45323</v>
      </c>
      <c r="B1956" s="31" t="s">
        <v>7</v>
      </c>
      <c r="C1956" s="32"/>
      <c r="D1956" s="32"/>
      <c r="E1956" s="19" t="n">
        <f aca="false">+F1956*0.03</f>
        <v>0</v>
      </c>
      <c r="F1956" s="33" t="n">
        <v>0</v>
      </c>
      <c r="G1956" s="62"/>
      <c r="H1956" s="35" t="n">
        <v>0</v>
      </c>
      <c r="I1956" s="34" t="n">
        <f aca="false">+IF(E1956=0,0,E1956*0.03)</f>
        <v>0</v>
      </c>
    </row>
    <row r="1957" customFormat="false" ht="15.75" hidden="false" customHeight="true" outlineLevel="0" collapsed="false">
      <c r="A1957" s="30" t="n">
        <v>45323</v>
      </c>
      <c r="B1957" s="31" t="s">
        <v>7</v>
      </c>
      <c r="C1957" s="32"/>
      <c r="D1957" s="32"/>
      <c r="E1957" s="19" t="n">
        <f aca="false">+F1957*0.03</f>
        <v>0</v>
      </c>
      <c r="F1957" s="33" t="n">
        <v>0</v>
      </c>
      <c r="G1957" s="62"/>
      <c r="H1957" s="35" t="n">
        <v>0</v>
      </c>
      <c r="I1957" s="34" t="n">
        <f aca="false">+IF(E1957=0,0,E1957*0.03)</f>
        <v>0</v>
      </c>
    </row>
    <row r="1958" customFormat="false" ht="15.75" hidden="false" customHeight="true" outlineLevel="0" collapsed="false">
      <c r="A1958" s="30" t="n">
        <v>45323</v>
      </c>
      <c r="B1958" s="31" t="s">
        <v>7</v>
      </c>
      <c r="C1958" s="32"/>
      <c r="D1958" s="32"/>
      <c r="E1958" s="19" t="n">
        <f aca="false">+F1958*0.03</f>
        <v>0</v>
      </c>
      <c r="F1958" s="33" t="n">
        <v>0</v>
      </c>
      <c r="G1958" s="62"/>
      <c r="H1958" s="35" t="n">
        <v>0</v>
      </c>
      <c r="I1958" s="34" t="n">
        <f aca="false">+IF(E1958=0,0,E1958*0.03)</f>
        <v>0</v>
      </c>
    </row>
    <row r="1959" customFormat="false" ht="15.75" hidden="false" customHeight="true" outlineLevel="0" collapsed="false">
      <c r="A1959" s="30" t="n">
        <v>45323</v>
      </c>
      <c r="B1959" s="31" t="s">
        <v>7</v>
      </c>
      <c r="C1959" s="32"/>
      <c r="D1959" s="32"/>
      <c r="E1959" s="19" t="n">
        <f aca="false">+F1959*0.03</f>
        <v>0</v>
      </c>
      <c r="F1959" s="33" t="n">
        <v>0</v>
      </c>
      <c r="G1959" s="62"/>
      <c r="H1959" s="35" t="n">
        <v>0</v>
      </c>
      <c r="I1959" s="34" t="n">
        <f aca="false">+IF(E1959=0,0,E1959*0.03)</f>
        <v>0</v>
      </c>
    </row>
    <row r="1960" customFormat="false" ht="15.75" hidden="false" customHeight="true" outlineLevel="0" collapsed="false">
      <c r="A1960" s="30" t="n">
        <v>45323</v>
      </c>
      <c r="B1960" s="31" t="s">
        <v>7</v>
      </c>
      <c r="C1960" s="32"/>
      <c r="D1960" s="32"/>
      <c r="E1960" s="19" t="n">
        <f aca="false">+F1960*0.03</f>
        <v>0</v>
      </c>
      <c r="F1960" s="33" t="n">
        <v>0</v>
      </c>
      <c r="G1960" s="62"/>
      <c r="H1960" s="35" t="n">
        <v>0</v>
      </c>
      <c r="I1960" s="34" t="n">
        <f aca="false">+IF(E1960=0,0,E1960*0.03)</f>
        <v>0</v>
      </c>
    </row>
    <row r="1961" customFormat="false" ht="15.75" hidden="false" customHeight="true" outlineLevel="0" collapsed="false">
      <c r="A1961" s="30" t="n">
        <v>45323</v>
      </c>
      <c r="B1961" s="31" t="s">
        <v>7</v>
      </c>
      <c r="C1961" s="32"/>
      <c r="D1961" s="32"/>
      <c r="E1961" s="19" t="n">
        <f aca="false">+F1961*0.03</f>
        <v>0</v>
      </c>
      <c r="F1961" s="33" t="n">
        <v>0</v>
      </c>
      <c r="G1961" s="62"/>
      <c r="H1961" s="35" t="n">
        <v>0</v>
      </c>
      <c r="I1961" s="34" t="n">
        <f aca="false">+IF(E1961=0,0,E1961*0.03)</f>
        <v>0</v>
      </c>
    </row>
    <row r="1962" customFormat="false" ht="15.75" hidden="false" customHeight="true" outlineLevel="0" collapsed="false">
      <c r="A1962" s="30" t="n">
        <v>45323</v>
      </c>
      <c r="B1962" s="31" t="s">
        <v>7</v>
      </c>
      <c r="C1962" s="32"/>
      <c r="D1962" s="32"/>
      <c r="E1962" s="19" t="n">
        <f aca="false">+F1962*0.03</f>
        <v>0</v>
      </c>
      <c r="F1962" s="33" t="n">
        <v>0</v>
      </c>
      <c r="G1962" s="62"/>
      <c r="H1962" s="35" t="n">
        <v>0</v>
      </c>
      <c r="I1962" s="34" t="n">
        <f aca="false">+IF(E1962=0,0,E1962*0.03)</f>
        <v>0</v>
      </c>
    </row>
    <row r="1963" customFormat="false" ht="15.75" hidden="false" customHeight="true" outlineLevel="0" collapsed="false">
      <c r="A1963" s="30" t="n">
        <v>45323</v>
      </c>
      <c r="B1963" s="31" t="s">
        <v>7</v>
      </c>
      <c r="C1963" s="32"/>
      <c r="D1963" s="32"/>
      <c r="E1963" s="19" t="n">
        <f aca="false">+F1963*0.03</f>
        <v>0</v>
      </c>
      <c r="F1963" s="33" t="n">
        <v>0</v>
      </c>
      <c r="G1963" s="62"/>
      <c r="H1963" s="35" t="n">
        <v>0</v>
      </c>
      <c r="I1963" s="34" t="n">
        <f aca="false">+IF(E1963=0,0,E1963*0.03)</f>
        <v>0</v>
      </c>
    </row>
    <row r="1964" customFormat="false" ht="15.75" hidden="false" customHeight="true" outlineLevel="0" collapsed="false">
      <c r="A1964" s="30" t="n">
        <v>45323</v>
      </c>
      <c r="B1964" s="31" t="s">
        <v>7</v>
      </c>
      <c r="C1964" s="32"/>
      <c r="D1964" s="32"/>
      <c r="E1964" s="19" t="n">
        <f aca="false">+F1964*0.03</f>
        <v>0</v>
      </c>
      <c r="F1964" s="33" t="n">
        <v>0</v>
      </c>
      <c r="G1964" s="62"/>
      <c r="H1964" s="35" t="n">
        <v>0</v>
      </c>
      <c r="I1964" s="34" t="n">
        <f aca="false">+IF(E1964=0,0,E1964*0.03)</f>
        <v>0</v>
      </c>
    </row>
    <row r="1965" customFormat="false" ht="15.75" hidden="false" customHeight="true" outlineLevel="0" collapsed="false">
      <c r="A1965" s="30" t="n">
        <v>45323</v>
      </c>
      <c r="B1965" s="31" t="s">
        <v>7</v>
      </c>
      <c r="C1965" s="32"/>
      <c r="D1965" s="32"/>
      <c r="E1965" s="19" t="n">
        <f aca="false">+F1965*0.03</f>
        <v>0</v>
      </c>
      <c r="F1965" s="33" t="n">
        <v>0</v>
      </c>
      <c r="G1965" s="62"/>
      <c r="H1965" s="35" t="n">
        <v>0</v>
      </c>
      <c r="I1965" s="34" t="n">
        <f aca="false">+IF(E1965=0,0,E1965*0.03)</f>
        <v>0</v>
      </c>
    </row>
    <row r="1966" customFormat="false" ht="15.75" hidden="false" customHeight="true" outlineLevel="0" collapsed="false">
      <c r="A1966" s="30" t="n">
        <v>45323</v>
      </c>
      <c r="B1966" s="31" t="s">
        <v>7</v>
      </c>
      <c r="C1966" s="32"/>
      <c r="D1966" s="32"/>
      <c r="E1966" s="19" t="n">
        <f aca="false">+F1966*0.03</f>
        <v>0</v>
      </c>
      <c r="F1966" s="33" t="n">
        <v>0</v>
      </c>
      <c r="G1966" s="62"/>
      <c r="H1966" s="35" t="n">
        <v>0</v>
      </c>
      <c r="I1966" s="34" t="n">
        <f aca="false">+IF(E1966=0,0,E1966*0.03)</f>
        <v>0</v>
      </c>
    </row>
    <row r="1967" customFormat="false" ht="15.75" hidden="false" customHeight="true" outlineLevel="0" collapsed="false">
      <c r="A1967" s="30" t="n">
        <v>45323</v>
      </c>
      <c r="B1967" s="31" t="s">
        <v>7</v>
      </c>
      <c r="C1967" s="32"/>
      <c r="D1967" s="32"/>
      <c r="E1967" s="19" t="n">
        <f aca="false">+F1967*0.03</f>
        <v>0</v>
      </c>
      <c r="F1967" s="33" t="n">
        <v>0</v>
      </c>
      <c r="G1967" s="62"/>
      <c r="H1967" s="35" t="n">
        <v>0</v>
      </c>
      <c r="I1967" s="34" t="n">
        <f aca="false">+IF(E1967=0,0,E1967*0.03)</f>
        <v>0</v>
      </c>
    </row>
    <row r="1968" customFormat="false" ht="15.75" hidden="false" customHeight="true" outlineLevel="0" collapsed="false">
      <c r="A1968" s="30" t="n">
        <v>45323</v>
      </c>
      <c r="B1968" s="31" t="s">
        <v>7</v>
      </c>
      <c r="C1968" s="32"/>
      <c r="D1968" s="32"/>
      <c r="E1968" s="19" t="n">
        <f aca="false">+F1968*0.03</f>
        <v>0</v>
      </c>
      <c r="F1968" s="33" t="n">
        <v>0</v>
      </c>
      <c r="G1968" s="62"/>
      <c r="H1968" s="35" t="n">
        <v>0</v>
      </c>
      <c r="I1968" s="34" t="n">
        <f aca="false">+IF(E1968=0,0,E1968*0.03)</f>
        <v>0</v>
      </c>
    </row>
    <row r="1969" customFormat="false" ht="15.75" hidden="false" customHeight="true" outlineLevel="0" collapsed="false">
      <c r="A1969" s="30" t="n">
        <v>45323</v>
      </c>
      <c r="B1969" s="31" t="s">
        <v>7</v>
      </c>
      <c r="C1969" s="32"/>
      <c r="D1969" s="32"/>
      <c r="E1969" s="19" t="n">
        <f aca="false">+F1969*0.03</f>
        <v>0</v>
      </c>
      <c r="F1969" s="33" t="n">
        <v>0</v>
      </c>
      <c r="G1969" s="62"/>
      <c r="H1969" s="35" t="n">
        <v>0</v>
      </c>
      <c r="I1969" s="34" t="n">
        <f aca="false">+IF(E1969=0,0,E1969*0.03)</f>
        <v>0</v>
      </c>
    </row>
    <row r="1970" customFormat="false" ht="15.75" hidden="false" customHeight="true" outlineLevel="0" collapsed="false">
      <c r="A1970" s="30" t="n">
        <v>45323</v>
      </c>
      <c r="B1970" s="31" t="s">
        <v>7</v>
      </c>
      <c r="C1970" s="32"/>
      <c r="D1970" s="32"/>
      <c r="E1970" s="19" t="n">
        <f aca="false">+F1970*0.03</f>
        <v>0</v>
      </c>
      <c r="F1970" s="33" t="n">
        <v>0</v>
      </c>
      <c r="G1970" s="62"/>
      <c r="H1970" s="35" t="n">
        <v>0</v>
      </c>
      <c r="I1970" s="34" t="n">
        <f aca="false">+IF(E1970=0,0,E1970*0.03)</f>
        <v>0</v>
      </c>
    </row>
    <row r="1971" customFormat="false" ht="15.75" hidden="false" customHeight="true" outlineLevel="0" collapsed="false">
      <c r="A1971" s="30" t="n">
        <v>45323</v>
      </c>
      <c r="B1971" s="31" t="s">
        <v>7</v>
      </c>
      <c r="C1971" s="32"/>
      <c r="D1971" s="32"/>
      <c r="E1971" s="19" t="n">
        <f aca="false">+F1971*0.03</f>
        <v>0</v>
      </c>
      <c r="F1971" s="33" t="n">
        <v>0</v>
      </c>
      <c r="G1971" s="62"/>
      <c r="H1971" s="35" t="n">
        <v>0</v>
      </c>
      <c r="I1971" s="34" t="n">
        <f aca="false">+IF(E1971=0,0,E1971*0.03)</f>
        <v>0</v>
      </c>
    </row>
    <row r="1972" customFormat="false" ht="15.75" hidden="false" customHeight="true" outlineLevel="0" collapsed="false">
      <c r="A1972" s="30" t="n">
        <v>45323</v>
      </c>
      <c r="B1972" s="31" t="s">
        <v>7</v>
      </c>
      <c r="C1972" s="32"/>
      <c r="D1972" s="32"/>
      <c r="E1972" s="19" t="n">
        <f aca="false">+F1972*0.03</f>
        <v>0</v>
      </c>
      <c r="F1972" s="33" t="n">
        <v>0</v>
      </c>
      <c r="G1972" s="62"/>
      <c r="H1972" s="35" t="n">
        <v>0</v>
      </c>
      <c r="I1972" s="34" t="n">
        <f aca="false">+IF(E1972=0,0,E1972*0.03)</f>
        <v>0</v>
      </c>
    </row>
    <row r="1973" customFormat="false" ht="15.75" hidden="false" customHeight="true" outlineLevel="0" collapsed="false">
      <c r="A1973" s="30" t="n">
        <v>45323</v>
      </c>
      <c r="B1973" s="31" t="s">
        <v>7</v>
      </c>
      <c r="C1973" s="32"/>
      <c r="D1973" s="32"/>
      <c r="E1973" s="19" t="n">
        <f aca="false">+F1973*0.03</f>
        <v>0</v>
      </c>
      <c r="F1973" s="33" t="n">
        <v>0</v>
      </c>
      <c r="G1973" s="62"/>
      <c r="H1973" s="35" t="n">
        <v>0</v>
      </c>
      <c r="I1973" s="34" t="n">
        <f aca="false">+IF(E1973=0,0,E1973*0.03)</f>
        <v>0</v>
      </c>
    </row>
    <row r="1974" customFormat="false" ht="15.75" hidden="false" customHeight="true" outlineLevel="0" collapsed="false">
      <c r="A1974" s="30" t="n">
        <v>45323</v>
      </c>
      <c r="B1974" s="31" t="s">
        <v>7</v>
      </c>
      <c r="C1974" s="32"/>
      <c r="D1974" s="32"/>
      <c r="E1974" s="19" t="n">
        <f aca="false">+F1974*0.03</f>
        <v>0</v>
      </c>
      <c r="F1974" s="33" t="n">
        <v>0</v>
      </c>
      <c r="G1974" s="62"/>
      <c r="H1974" s="35" t="n">
        <v>0</v>
      </c>
      <c r="I1974" s="34" t="n">
        <f aca="false">+IF(E1974=0,0,E1974*0.03)</f>
        <v>0</v>
      </c>
    </row>
    <row r="1975" customFormat="false" ht="15.75" hidden="false" customHeight="true" outlineLevel="0" collapsed="false">
      <c r="A1975" s="30" t="n">
        <v>45323</v>
      </c>
      <c r="B1975" s="31" t="s">
        <v>7</v>
      </c>
      <c r="C1975" s="32"/>
      <c r="D1975" s="32"/>
      <c r="E1975" s="19" t="n">
        <f aca="false">+F1975*0.03</f>
        <v>0</v>
      </c>
      <c r="F1975" s="33" t="n">
        <v>0</v>
      </c>
      <c r="G1975" s="62"/>
      <c r="H1975" s="35" t="n">
        <v>0</v>
      </c>
      <c r="I1975" s="34" t="n">
        <f aca="false">+IF(E1975=0,0,E1975*0.03)</f>
        <v>0</v>
      </c>
    </row>
    <row r="1976" customFormat="false" ht="15.75" hidden="false" customHeight="true" outlineLevel="0" collapsed="false">
      <c r="A1976" s="30" t="n">
        <v>45323</v>
      </c>
      <c r="B1976" s="31" t="s">
        <v>7</v>
      </c>
      <c r="C1976" s="32"/>
      <c r="D1976" s="32"/>
      <c r="E1976" s="19" t="n">
        <f aca="false">+F1976*0.03</f>
        <v>0</v>
      </c>
      <c r="F1976" s="33" t="n">
        <v>0</v>
      </c>
      <c r="G1976" s="62"/>
      <c r="H1976" s="35" t="n">
        <v>0</v>
      </c>
      <c r="I1976" s="34" t="n">
        <f aca="false">+IF(E1976=0,0,E1976*0.03)</f>
        <v>0</v>
      </c>
    </row>
    <row r="1977" customFormat="false" ht="15.75" hidden="false" customHeight="true" outlineLevel="0" collapsed="false">
      <c r="A1977" s="30" t="n">
        <v>45323</v>
      </c>
      <c r="B1977" s="31" t="s">
        <v>7</v>
      </c>
      <c r="C1977" s="32"/>
      <c r="D1977" s="32"/>
      <c r="E1977" s="19" t="n">
        <f aca="false">+F1977*0.03</f>
        <v>0</v>
      </c>
      <c r="F1977" s="33" t="n">
        <v>0</v>
      </c>
      <c r="G1977" s="62"/>
      <c r="H1977" s="35" t="n">
        <v>0</v>
      </c>
      <c r="I1977" s="34" t="n">
        <f aca="false">+IF(E1977=0,0,E1977*0.03)</f>
        <v>0</v>
      </c>
    </row>
    <row r="1978" customFormat="false" ht="15.75" hidden="false" customHeight="true" outlineLevel="0" collapsed="false">
      <c r="A1978" s="30" t="n">
        <v>45323</v>
      </c>
      <c r="B1978" s="31" t="s">
        <v>7</v>
      </c>
      <c r="C1978" s="32"/>
      <c r="D1978" s="32"/>
      <c r="E1978" s="19" t="n">
        <f aca="false">+F1978*0.03</f>
        <v>0</v>
      </c>
      <c r="F1978" s="33" t="n">
        <v>0</v>
      </c>
      <c r="G1978" s="62"/>
      <c r="H1978" s="35" t="n">
        <v>0</v>
      </c>
      <c r="I1978" s="34" t="n">
        <f aca="false">+IF(E1978=0,0,E1978*0.03)</f>
        <v>0</v>
      </c>
    </row>
    <row r="1979" customFormat="false" ht="15.75" hidden="false" customHeight="true" outlineLevel="0" collapsed="false">
      <c r="A1979" s="30" t="n">
        <v>45323</v>
      </c>
      <c r="B1979" s="31" t="s">
        <v>7</v>
      </c>
      <c r="C1979" s="32"/>
      <c r="D1979" s="32"/>
      <c r="E1979" s="19" t="n">
        <f aca="false">+F1979*0.03</f>
        <v>0</v>
      </c>
      <c r="F1979" s="33" t="n">
        <v>0</v>
      </c>
      <c r="G1979" s="62"/>
      <c r="H1979" s="35" t="n">
        <v>0</v>
      </c>
      <c r="I1979" s="34" t="n">
        <f aca="false">+IF(E1979=0,0,E1979*0.03)</f>
        <v>0</v>
      </c>
    </row>
    <row r="1980" customFormat="false" ht="15.75" hidden="false" customHeight="true" outlineLevel="0" collapsed="false">
      <c r="A1980" s="30" t="n">
        <v>45323</v>
      </c>
      <c r="B1980" s="31" t="s">
        <v>7</v>
      </c>
      <c r="C1980" s="32"/>
      <c r="D1980" s="32"/>
      <c r="E1980" s="19" t="n">
        <f aca="false">+F1980*0.03</f>
        <v>0</v>
      </c>
      <c r="F1980" s="33" t="n">
        <v>0</v>
      </c>
      <c r="G1980" s="62"/>
      <c r="H1980" s="35" t="n">
        <v>0</v>
      </c>
      <c r="I1980" s="34" t="n">
        <f aca="false">+IF(E1980=0,0,E1980*0.03)</f>
        <v>0</v>
      </c>
    </row>
    <row r="1981" customFormat="false" ht="15.75" hidden="false" customHeight="true" outlineLevel="0" collapsed="false">
      <c r="A1981" s="30" t="n">
        <v>45323</v>
      </c>
      <c r="B1981" s="31" t="s">
        <v>7</v>
      </c>
      <c r="C1981" s="32"/>
      <c r="D1981" s="32"/>
      <c r="E1981" s="19" t="n">
        <f aca="false">+F1981*0.03</f>
        <v>0</v>
      </c>
      <c r="F1981" s="33" t="n">
        <v>0</v>
      </c>
      <c r="G1981" s="62"/>
      <c r="H1981" s="35" t="n">
        <v>0</v>
      </c>
      <c r="I1981" s="34" t="n">
        <f aca="false">+IF(E1981=0,0,E1981*0.03)</f>
        <v>0</v>
      </c>
    </row>
    <row r="1982" customFormat="false" ht="15.75" hidden="false" customHeight="true" outlineLevel="0" collapsed="false">
      <c r="B1982" s="31"/>
      <c r="C1982" s="32"/>
      <c r="D1982" s="32" t="s">
        <v>26</v>
      </c>
      <c r="E1982" s="19" t="n">
        <f aca="false">SUM(E7:E1981)</f>
        <v>150660</v>
      </c>
      <c r="F1982" s="19" t="n">
        <f aca="false">SUM(F7:F1981)</f>
        <v>5022000</v>
      </c>
      <c r="G1982" s="19"/>
      <c r="H1982" s="37" t="n">
        <f aca="false">SUM(H7:H1981)</f>
        <v>0</v>
      </c>
      <c r="I1982" s="38" t="n">
        <f aca="false">SUM(I7:I1981)</f>
        <v>4519.8</v>
      </c>
    </row>
    <row r="1983" customFormat="false" ht="15.75" hidden="false" customHeight="true" outlineLevel="0" collapsed="false">
      <c r="D1983" s="31"/>
    </row>
    <row r="1984" customFormat="false" ht="15.75" hidden="false" customHeight="true" outlineLevel="0" collapsed="false">
      <c r="D1984" s="31"/>
    </row>
    <row r="1985" customFormat="false" ht="15.75" hidden="false" customHeight="true" outlineLevel="0" collapsed="false">
      <c r="D1985" s="31"/>
    </row>
    <row r="1986" customFormat="false" ht="15.75" hidden="false" customHeight="true" outlineLevel="0" collapsed="false">
      <c r="D1986" s="31"/>
    </row>
    <row r="1987" customFormat="false" ht="15.75" hidden="false" customHeight="true" outlineLevel="0" collapsed="false">
      <c r="D1987" s="31"/>
    </row>
    <row r="1988" customFormat="false" ht="15.75" hidden="false" customHeight="true" outlineLevel="0" collapsed="false">
      <c r="D1988" s="31"/>
      <c r="P1988" s="36"/>
    </row>
    <row r="1989" customFormat="false" ht="15.75" hidden="false" customHeight="true" outlineLevel="0" collapsed="false">
      <c r="D1989" s="31"/>
    </row>
    <row r="1990" customFormat="false" ht="15.75" hidden="false" customHeight="true" outlineLevel="0" collapsed="false">
      <c r="D1990" s="31"/>
      <c r="O1990" s="36"/>
      <c r="P1990" s="36"/>
    </row>
  </sheetData>
  <mergeCells count="4">
    <mergeCell ref="A1:A5"/>
    <mergeCell ref="H1:I1"/>
    <mergeCell ref="H2:I2"/>
    <mergeCell ref="C5:I5"/>
  </mergeCells>
  <dataValidations count="2">
    <dataValidation allowBlank="true" errorStyle="stop" operator="between" showDropDown="false" showErrorMessage="true" showInputMessage="false" sqref="G7:G1981" type="list">
      <formula1>$G$2:$G$4</formula1>
      <formula2>0</formula2>
    </dataValidation>
    <dataValidation allowBlank="true" errorStyle="stop" operator="between" showDropDown="false" showErrorMessage="true" showInputMessage="false" sqref="B7:B1982" type="list">
      <formula1>$B$1:$B$4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2" min="2" style="0" width="23.71"/>
    <col collapsed="false" customWidth="true" hidden="false" outlineLevel="0" max="3" min="3" style="0" width="17.14"/>
    <col collapsed="false" customWidth="true" hidden="false" outlineLevel="0" max="4" min="4" style="0" width="17.57"/>
    <col collapsed="false" customWidth="true" hidden="false" outlineLevel="0" max="5" min="5" style="0" width="15.15"/>
    <col collapsed="false" customWidth="true" hidden="false" outlineLevel="0" max="6" min="6" style="0" width="18.43"/>
    <col collapsed="false" customWidth="true" hidden="false" outlineLevel="0" max="7" min="7" style="0" width="15.71"/>
    <col collapsed="false" customWidth="true" hidden="false" outlineLevel="0" max="8" min="8" style="0" width="13.86"/>
    <col collapsed="false" customWidth="true" hidden="false" outlineLevel="0" max="9" min="9" style="0" width="21"/>
    <col collapsed="false" customWidth="true" hidden="false" outlineLevel="0" max="14" min="10" style="0" width="10.7"/>
    <col collapsed="false" customWidth="true" hidden="false" outlineLevel="0" max="15" min="15" style="0" width="13.57"/>
    <col collapsed="false" customWidth="true" hidden="false" outlineLevel="0" max="16" min="16" style="0" width="14.7"/>
    <col collapsed="false" customWidth="true" hidden="false" outlineLevel="0" max="25" min="17" style="0" width="10.7"/>
  </cols>
  <sheetData>
    <row r="1" customFormat="false" ht="29.25" hidden="false" customHeight="true" outlineLevel="0" collapsed="false">
      <c r="A1" s="1" t="s">
        <v>152</v>
      </c>
      <c r="B1" s="67" t="s">
        <v>153</v>
      </c>
      <c r="C1" s="40" t="s">
        <v>2</v>
      </c>
      <c r="D1" s="41" t="s">
        <v>3</v>
      </c>
      <c r="E1" s="42"/>
      <c r="F1" s="43" t="s">
        <v>4</v>
      </c>
      <c r="G1" s="68" t="s">
        <v>28</v>
      </c>
      <c r="H1" s="69" t="s">
        <v>29</v>
      </c>
      <c r="I1" s="69"/>
    </row>
    <row r="2" customFormat="false" ht="14.25" hidden="false" customHeight="true" outlineLevel="0" collapsed="false">
      <c r="A2" s="1"/>
      <c r="B2" s="70" t="s">
        <v>79</v>
      </c>
      <c r="C2" s="9" t="n">
        <f aca="false">+E1982</f>
        <v>94950</v>
      </c>
      <c r="D2" s="10" t="n">
        <f aca="false">+F1982</f>
        <v>3165000</v>
      </c>
      <c r="E2" s="11"/>
      <c r="F2" s="47" t="n">
        <f aca="false">+D2-(C2+E2)</f>
        <v>3070050</v>
      </c>
      <c r="G2" s="71" t="s">
        <v>30</v>
      </c>
      <c r="H2" s="72" t="n">
        <v>0</v>
      </c>
      <c r="I2" s="72"/>
      <c r="Y2" s="14"/>
    </row>
    <row r="3" customFormat="false" ht="44.25" hidden="false" customHeight="true" outlineLevel="0" collapsed="false">
      <c r="A3" s="1"/>
      <c r="B3" s="46" t="s">
        <v>7</v>
      </c>
      <c r="C3" s="15" t="s">
        <v>8</v>
      </c>
      <c r="D3" s="16" t="s">
        <v>9</v>
      </c>
      <c r="E3" s="73" t="s">
        <v>80</v>
      </c>
      <c r="F3" s="50" t="s">
        <v>154</v>
      </c>
      <c r="G3" s="74" t="s">
        <v>31</v>
      </c>
      <c r="H3" s="75" t="n">
        <v>0</v>
      </c>
      <c r="I3" s="53" t="n">
        <v>0</v>
      </c>
      <c r="Y3" s="14"/>
    </row>
    <row r="4" customFormat="false" ht="14.25" hidden="false" customHeight="true" outlineLevel="0" collapsed="false">
      <c r="A4" s="1"/>
      <c r="B4" s="54" t="s">
        <v>11</v>
      </c>
      <c r="C4" s="55" t="n">
        <f aca="false">+C2/3</f>
        <v>31650</v>
      </c>
      <c r="D4" s="76" t="n">
        <v>0</v>
      </c>
      <c r="E4" s="77" t="n">
        <f aca="false">+C4</f>
        <v>31650</v>
      </c>
      <c r="F4" s="58" t="n">
        <f aca="false">+C4</f>
        <v>31650</v>
      </c>
      <c r="G4" s="78" t="s">
        <v>32</v>
      </c>
      <c r="H4" s="79" t="n">
        <f aca="false">+C2*H3</f>
        <v>0</v>
      </c>
      <c r="I4" s="80" t="n">
        <v>0</v>
      </c>
    </row>
    <row r="5" customFormat="false" ht="14.25" hidden="false" customHeight="true" outlineLevel="0" collapsed="false">
      <c r="A5" s="1"/>
      <c r="B5" s="23" t="s">
        <v>12</v>
      </c>
      <c r="C5" s="24" t="n">
        <f aca="false">H1982</f>
        <v>0</v>
      </c>
      <c r="D5" s="24"/>
      <c r="E5" s="24"/>
      <c r="F5" s="24"/>
      <c r="G5" s="24"/>
      <c r="H5" s="24"/>
      <c r="I5" s="24"/>
    </row>
    <row r="6" customFormat="false" ht="14.25" hidden="false" customHeight="true" outlineLevel="0" collapsed="false">
      <c r="A6" s="25" t="s">
        <v>13</v>
      </c>
      <c r="B6" s="25" t="s">
        <v>14</v>
      </c>
      <c r="C6" s="25" t="s">
        <v>113</v>
      </c>
      <c r="D6" s="26" t="s">
        <v>16</v>
      </c>
      <c r="E6" s="26" t="s">
        <v>17</v>
      </c>
      <c r="F6" s="27" t="s">
        <v>83</v>
      </c>
      <c r="G6" s="27" t="s">
        <v>28</v>
      </c>
      <c r="H6" s="28" t="s">
        <v>19</v>
      </c>
      <c r="I6" s="29" t="s">
        <v>20</v>
      </c>
      <c r="O6" s="19"/>
    </row>
    <row r="7" customFormat="false" ht="14.25" hidden="false" customHeight="true" outlineLevel="0" collapsed="false">
      <c r="A7" s="30" t="n">
        <v>45444</v>
      </c>
      <c r="B7" s="31" t="s">
        <v>7</v>
      </c>
      <c r="C7" s="82" t="s">
        <v>155</v>
      </c>
      <c r="D7" s="32" t="s">
        <v>156</v>
      </c>
      <c r="E7" s="19" t="n">
        <f aca="false">+F7*0.03</f>
        <v>4500</v>
      </c>
      <c r="F7" s="33" t="n">
        <v>150000</v>
      </c>
      <c r="G7" s="62" t="s">
        <v>30</v>
      </c>
      <c r="H7" s="34" t="n">
        <v>0</v>
      </c>
      <c r="I7" s="34" t="n">
        <f aca="false">+IF(E7=0,0,E7*0.03)</f>
        <v>135</v>
      </c>
      <c r="O7" s="19"/>
    </row>
    <row r="8" customFormat="false" ht="14.25" hidden="false" customHeight="true" outlineLevel="0" collapsed="false">
      <c r="A8" s="30" t="n">
        <v>45444</v>
      </c>
      <c r="B8" s="31" t="s">
        <v>7</v>
      </c>
      <c r="C8" s="82" t="s">
        <v>155</v>
      </c>
      <c r="D8" s="32" t="s">
        <v>157</v>
      </c>
      <c r="E8" s="19" t="n">
        <f aca="false">+F8*0.03</f>
        <v>4500</v>
      </c>
      <c r="F8" s="33" t="n">
        <v>150000</v>
      </c>
      <c r="G8" s="62" t="s">
        <v>31</v>
      </c>
      <c r="H8" s="34" t="n">
        <v>0</v>
      </c>
      <c r="I8" s="34" t="n">
        <f aca="false">+IF(E8=0,0,E8*0.03)</f>
        <v>135</v>
      </c>
    </row>
    <row r="9" customFormat="false" ht="14.25" hidden="false" customHeight="true" outlineLevel="0" collapsed="false">
      <c r="A9" s="30" t="n">
        <v>45448</v>
      </c>
      <c r="B9" s="31" t="s">
        <v>7</v>
      </c>
      <c r="C9" s="82" t="s">
        <v>155</v>
      </c>
      <c r="D9" s="32" t="s">
        <v>158</v>
      </c>
      <c r="E9" s="19" t="n">
        <f aca="false">+F9*0.03</f>
        <v>4500</v>
      </c>
      <c r="F9" s="33" t="n">
        <v>150000</v>
      </c>
      <c r="G9" s="62" t="s">
        <v>30</v>
      </c>
      <c r="H9" s="34" t="n">
        <v>0</v>
      </c>
      <c r="I9" s="34" t="n">
        <f aca="false">+IF(E9=0,0,E9*0.03)</f>
        <v>135</v>
      </c>
    </row>
    <row r="10" customFormat="false" ht="14.25" hidden="false" customHeight="true" outlineLevel="0" collapsed="false">
      <c r="A10" s="30" t="n">
        <v>45448</v>
      </c>
      <c r="B10" s="31" t="s">
        <v>7</v>
      </c>
      <c r="C10" s="82" t="s">
        <v>155</v>
      </c>
      <c r="D10" s="32" t="s">
        <v>159</v>
      </c>
      <c r="E10" s="19" t="n">
        <f aca="false">+F10*0.03</f>
        <v>1350</v>
      </c>
      <c r="F10" s="33" t="n">
        <v>45000</v>
      </c>
      <c r="G10" s="62" t="s">
        <v>30</v>
      </c>
      <c r="H10" s="34" t="n">
        <v>0</v>
      </c>
      <c r="I10" s="34" t="n">
        <f aca="false">+IF(E10=0,0,E10*0.03)</f>
        <v>40.5</v>
      </c>
    </row>
    <row r="11" customFormat="false" ht="14.25" hidden="false" customHeight="true" outlineLevel="0" collapsed="false">
      <c r="A11" s="30" t="n">
        <v>45449</v>
      </c>
      <c r="B11" s="31" t="s">
        <v>153</v>
      </c>
      <c r="C11" s="82" t="s">
        <v>155</v>
      </c>
      <c r="D11" s="32" t="s">
        <v>160</v>
      </c>
      <c r="E11" s="19" t="n">
        <f aca="false">+F11*0.03</f>
        <v>15000</v>
      </c>
      <c r="F11" s="33" t="n">
        <v>500000</v>
      </c>
      <c r="G11" s="62" t="s">
        <v>30</v>
      </c>
      <c r="H11" s="34" t="n">
        <v>0</v>
      </c>
      <c r="I11" s="34" t="n">
        <f aca="false">+IF(E11=0,0,E11*0.03)</f>
        <v>450</v>
      </c>
      <c r="O11" s="36"/>
    </row>
    <row r="12" customFormat="false" ht="14.25" hidden="false" customHeight="true" outlineLevel="0" collapsed="false">
      <c r="A12" s="30" t="n">
        <v>45450</v>
      </c>
      <c r="B12" s="31" t="s">
        <v>153</v>
      </c>
      <c r="C12" s="82" t="s">
        <v>155</v>
      </c>
      <c r="D12" s="32" t="s">
        <v>160</v>
      </c>
      <c r="E12" s="19" t="n">
        <f aca="false">+F12*0.03</f>
        <v>3000</v>
      </c>
      <c r="F12" s="33" t="n">
        <v>100000</v>
      </c>
      <c r="G12" s="62" t="s">
        <v>31</v>
      </c>
      <c r="H12" s="34" t="n">
        <v>0</v>
      </c>
      <c r="I12" s="34" t="n">
        <f aca="false">+IF(E12=0,0,E12*0.03)</f>
        <v>90</v>
      </c>
    </row>
    <row r="13" customFormat="false" ht="14.25" hidden="false" customHeight="true" outlineLevel="0" collapsed="false">
      <c r="A13" s="30" t="n">
        <v>45453</v>
      </c>
      <c r="B13" s="31" t="s">
        <v>7</v>
      </c>
      <c r="C13" s="82" t="s">
        <v>155</v>
      </c>
      <c r="D13" s="32" t="s">
        <v>161</v>
      </c>
      <c r="E13" s="19" t="n">
        <f aca="false">+F13*0.03</f>
        <v>1800</v>
      </c>
      <c r="F13" s="33" t="n">
        <v>60000</v>
      </c>
      <c r="G13" s="62" t="s">
        <v>31</v>
      </c>
      <c r="H13" s="34" t="n">
        <v>0</v>
      </c>
      <c r="I13" s="34" t="n">
        <f aca="false">+IF(E13=0,0,E13*0.03)</f>
        <v>54</v>
      </c>
    </row>
    <row r="14" customFormat="false" ht="14.25" hidden="false" customHeight="true" outlineLevel="0" collapsed="false">
      <c r="A14" s="30" t="n">
        <v>45453</v>
      </c>
      <c r="B14" s="31" t="s">
        <v>7</v>
      </c>
      <c r="C14" s="82" t="s">
        <v>155</v>
      </c>
      <c r="D14" s="32" t="s">
        <v>162</v>
      </c>
      <c r="E14" s="19" t="n">
        <f aca="false">+F14*0.03</f>
        <v>600</v>
      </c>
      <c r="F14" s="33" t="n">
        <v>20000</v>
      </c>
      <c r="G14" s="62" t="s">
        <v>31</v>
      </c>
      <c r="H14" s="34" t="n">
        <v>0</v>
      </c>
      <c r="I14" s="34" t="n">
        <f aca="false">+IF(E14=0,0,E14*0.03)</f>
        <v>18</v>
      </c>
    </row>
    <row r="15" customFormat="false" ht="14.25" hidden="false" customHeight="true" outlineLevel="0" collapsed="false">
      <c r="A15" s="30" t="n">
        <v>45453</v>
      </c>
      <c r="B15" s="31" t="s">
        <v>7</v>
      </c>
      <c r="C15" s="82" t="s">
        <v>155</v>
      </c>
      <c r="D15" s="32" t="s">
        <v>163</v>
      </c>
      <c r="E15" s="19" t="n">
        <f aca="false">+F15*0.03</f>
        <v>10500</v>
      </c>
      <c r="F15" s="33" t="n">
        <v>350000</v>
      </c>
      <c r="G15" s="62" t="s">
        <v>30</v>
      </c>
      <c r="H15" s="34" t="n">
        <v>0</v>
      </c>
      <c r="I15" s="34" t="n">
        <f aca="false">+IF(E15=0,0,E15*0.03)</f>
        <v>315</v>
      </c>
    </row>
    <row r="16" customFormat="false" ht="14.25" hidden="false" customHeight="true" outlineLevel="0" collapsed="false">
      <c r="A16" s="30" t="n">
        <v>45453</v>
      </c>
      <c r="B16" s="31" t="s">
        <v>7</v>
      </c>
      <c r="C16" s="82" t="s">
        <v>155</v>
      </c>
      <c r="D16" s="32" t="s">
        <v>164</v>
      </c>
      <c r="E16" s="19" t="n">
        <f aca="false">+F16*0.03</f>
        <v>2400</v>
      </c>
      <c r="F16" s="33" t="n">
        <v>80000</v>
      </c>
      <c r="G16" s="62" t="s">
        <v>30</v>
      </c>
      <c r="H16" s="34" t="n">
        <v>0</v>
      </c>
      <c r="I16" s="34" t="n">
        <f aca="false">+IF(E16=0,0,E16*0.03)</f>
        <v>72</v>
      </c>
    </row>
    <row r="17" customFormat="false" ht="14.25" hidden="false" customHeight="true" outlineLevel="0" collapsed="false">
      <c r="A17" s="30" t="n">
        <v>45483</v>
      </c>
      <c r="B17" s="31" t="s">
        <v>7</v>
      </c>
      <c r="C17" s="82" t="s">
        <v>155</v>
      </c>
      <c r="D17" s="32" t="s">
        <v>165</v>
      </c>
      <c r="E17" s="19" t="n">
        <f aca="false">+F17*0.03</f>
        <v>4200</v>
      </c>
      <c r="F17" s="33" t="n">
        <v>140000</v>
      </c>
      <c r="G17" s="62" t="s">
        <v>30</v>
      </c>
      <c r="H17" s="34" t="n">
        <v>0</v>
      </c>
      <c r="I17" s="34" t="n">
        <f aca="false">+IF(E17=0,0,E17*0.03)</f>
        <v>126</v>
      </c>
    </row>
    <row r="18" customFormat="false" ht="14.25" hidden="false" customHeight="true" outlineLevel="0" collapsed="false">
      <c r="A18" s="30" t="n">
        <v>45454</v>
      </c>
      <c r="B18" s="31" t="s">
        <v>153</v>
      </c>
      <c r="C18" s="82" t="s">
        <v>155</v>
      </c>
      <c r="D18" s="32" t="s">
        <v>166</v>
      </c>
      <c r="E18" s="19" t="n">
        <f aca="false">+F18*0.03</f>
        <v>1200</v>
      </c>
      <c r="F18" s="33" t="n">
        <v>40000</v>
      </c>
      <c r="G18" s="62" t="s">
        <v>30</v>
      </c>
      <c r="H18" s="34" t="n">
        <v>0</v>
      </c>
      <c r="I18" s="34" t="n">
        <f aca="false">+IF(E18=0,0,E18*0.03)</f>
        <v>36</v>
      </c>
    </row>
    <row r="19" customFormat="false" ht="14.25" hidden="false" customHeight="true" outlineLevel="0" collapsed="false">
      <c r="A19" s="30" t="n">
        <v>45455</v>
      </c>
      <c r="B19" s="31" t="s">
        <v>7</v>
      </c>
      <c r="C19" s="82" t="s">
        <v>155</v>
      </c>
      <c r="D19" s="32" t="s">
        <v>167</v>
      </c>
      <c r="E19" s="19" t="n">
        <f aca="false">+F19*0.03</f>
        <v>900</v>
      </c>
      <c r="F19" s="33" t="n">
        <v>30000</v>
      </c>
      <c r="G19" s="62" t="s">
        <v>31</v>
      </c>
      <c r="H19" s="34" t="n">
        <v>0</v>
      </c>
      <c r="I19" s="34" t="n">
        <f aca="false">+IF(E19=0,0,E19*0.03)</f>
        <v>27</v>
      </c>
    </row>
    <row r="20" customFormat="false" ht="14.25" hidden="false" customHeight="true" outlineLevel="0" collapsed="false">
      <c r="A20" s="30" t="n">
        <v>45456</v>
      </c>
      <c r="B20" s="31" t="s">
        <v>7</v>
      </c>
      <c r="C20" s="82" t="s">
        <v>155</v>
      </c>
      <c r="D20" s="32" t="s">
        <v>168</v>
      </c>
      <c r="E20" s="19" t="n">
        <f aca="false">+F20*0.03</f>
        <v>1200</v>
      </c>
      <c r="F20" s="33" t="n">
        <v>40000</v>
      </c>
      <c r="G20" s="62" t="s">
        <v>31</v>
      </c>
      <c r="H20" s="34" t="n">
        <v>0</v>
      </c>
      <c r="I20" s="34" t="n">
        <f aca="false">+IF(E20=0,0,E20*0.03)</f>
        <v>36</v>
      </c>
    </row>
    <row r="21" customFormat="false" ht="14.25" hidden="false" customHeight="true" outlineLevel="0" collapsed="false">
      <c r="A21" s="64" t="n">
        <v>45456</v>
      </c>
      <c r="B21" s="31" t="s">
        <v>153</v>
      </c>
      <c r="C21" s="82" t="s">
        <v>155</v>
      </c>
      <c r="D21" s="32" t="s">
        <v>169</v>
      </c>
      <c r="E21" s="19" t="n">
        <f aca="false">+F21*0.03</f>
        <v>900</v>
      </c>
      <c r="F21" s="33" t="n">
        <v>30000</v>
      </c>
      <c r="G21" s="62" t="s">
        <v>30</v>
      </c>
      <c r="H21" s="34" t="n">
        <v>0</v>
      </c>
      <c r="I21" s="34" t="n">
        <f aca="false">+IF(E21=0,0,E21*0.03)</f>
        <v>27</v>
      </c>
    </row>
    <row r="22" customFormat="false" ht="15.75" hidden="false" customHeight="true" outlineLevel="0" collapsed="false">
      <c r="A22" s="30" t="n">
        <v>45456</v>
      </c>
      <c r="B22" s="31" t="s">
        <v>153</v>
      </c>
      <c r="C22" s="82" t="s">
        <v>155</v>
      </c>
      <c r="D22" s="32" t="s">
        <v>170</v>
      </c>
      <c r="E22" s="19" t="n">
        <f aca="false">+F22*0.03</f>
        <v>1500</v>
      </c>
      <c r="F22" s="33" t="n">
        <v>50000</v>
      </c>
      <c r="G22" s="62" t="s">
        <v>31</v>
      </c>
      <c r="H22" s="34" t="n">
        <v>0</v>
      </c>
      <c r="I22" s="34" t="n">
        <f aca="false">+IF(E22=0,0,E22*0.03)</f>
        <v>45</v>
      </c>
    </row>
    <row r="23" customFormat="false" ht="15.75" hidden="false" customHeight="true" outlineLevel="0" collapsed="false">
      <c r="A23" s="30" t="n">
        <v>45457</v>
      </c>
      <c r="B23" s="31" t="s">
        <v>7</v>
      </c>
      <c r="C23" s="82" t="s">
        <v>155</v>
      </c>
      <c r="D23" s="32" t="s">
        <v>171</v>
      </c>
      <c r="E23" s="19" t="n">
        <f aca="false">+F23*0.03</f>
        <v>3450</v>
      </c>
      <c r="F23" s="33" t="n">
        <v>115000</v>
      </c>
      <c r="G23" s="62" t="s">
        <v>30</v>
      </c>
      <c r="H23" s="34" t="n">
        <v>0</v>
      </c>
      <c r="I23" s="34" t="n">
        <f aca="false">+IF(E23=0,0,E23*0.03)</f>
        <v>103.5</v>
      </c>
    </row>
    <row r="24" customFormat="false" ht="15.75" hidden="false" customHeight="true" outlineLevel="0" collapsed="false">
      <c r="A24" s="30" t="n">
        <v>45457</v>
      </c>
      <c r="B24" s="31" t="s">
        <v>7</v>
      </c>
      <c r="C24" s="82" t="s">
        <v>155</v>
      </c>
      <c r="D24" s="32" t="s">
        <v>172</v>
      </c>
      <c r="E24" s="19" t="n">
        <f aca="false">+F24*0.03</f>
        <v>1500</v>
      </c>
      <c r="F24" s="33" t="n">
        <v>50000</v>
      </c>
      <c r="G24" s="62" t="s">
        <v>30</v>
      </c>
      <c r="H24" s="34" t="n">
        <v>0</v>
      </c>
      <c r="I24" s="34" t="n">
        <f aca="false">+IF(E24=0,0,E24*0.03)</f>
        <v>45</v>
      </c>
    </row>
    <row r="25" customFormat="false" ht="15.75" hidden="false" customHeight="true" outlineLevel="0" collapsed="false">
      <c r="A25" s="30" t="n">
        <v>45457</v>
      </c>
      <c r="B25" s="31" t="s">
        <v>153</v>
      </c>
      <c r="C25" s="82" t="s">
        <v>155</v>
      </c>
      <c r="D25" s="32" t="s">
        <v>172</v>
      </c>
      <c r="E25" s="19" t="n">
        <f aca="false">+F25*0.03</f>
        <v>450</v>
      </c>
      <c r="F25" s="33" t="n">
        <v>15000</v>
      </c>
      <c r="G25" s="62" t="s">
        <v>30</v>
      </c>
      <c r="H25" s="34" t="n">
        <v>0</v>
      </c>
      <c r="I25" s="34" t="n">
        <f aca="false">+IF(E25=0,0,E25*0.03)</f>
        <v>13.5</v>
      </c>
    </row>
    <row r="26" customFormat="false" ht="15.75" hidden="false" customHeight="true" outlineLevel="0" collapsed="false">
      <c r="A26" s="30" t="n">
        <v>45495</v>
      </c>
      <c r="B26" s="31" t="s">
        <v>7</v>
      </c>
      <c r="C26" s="82" t="s">
        <v>155</v>
      </c>
      <c r="D26" s="32" t="s">
        <v>173</v>
      </c>
      <c r="E26" s="19" t="n">
        <f aca="false">+F26*0.03</f>
        <v>1200</v>
      </c>
      <c r="F26" s="33" t="n">
        <v>40000</v>
      </c>
      <c r="G26" s="62" t="s">
        <v>31</v>
      </c>
      <c r="H26" s="34" t="n">
        <v>0</v>
      </c>
      <c r="I26" s="34" t="n">
        <f aca="false">+IF(E26=0,0,E26*0.03)</f>
        <v>36</v>
      </c>
    </row>
    <row r="27" customFormat="false" ht="15.75" hidden="false" customHeight="true" outlineLevel="0" collapsed="false">
      <c r="A27" s="30" t="n">
        <v>45496</v>
      </c>
      <c r="B27" s="31" t="s">
        <v>7</v>
      </c>
      <c r="C27" s="82" t="s">
        <v>155</v>
      </c>
      <c r="D27" s="32" t="s">
        <v>174</v>
      </c>
      <c r="E27" s="19" t="n">
        <f aca="false">+F27*0.03</f>
        <v>3600</v>
      </c>
      <c r="F27" s="33" t="n">
        <v>120000</v>
      </c>
      <c r="G27" s="62" t="s">
        <v>31</v>
      </c>
      <c r="H27" s="34" t="n">
        <v>0</v>
      </c>
      <c r="I27" s="34" t="n">
        <f aca="false">+IF(E27=0,0,E27*0.03)</f>
        <v>108</v>
      </c>
    </row>
    <row r="28" customFormat="false" ht="15.75" hidden="false" customHeight="true" outlineLevel="0" collapsed="false">
      <c r="A28" s="30" t="n">
        <v>45497</v>
      </c>
      <c r="B28" s="31" t="s">
        <v>7</v>
      </c>
      <c r="C28" s="82" t="s">
        <v>155</v>
      </c>
      <c r="D28" s="32" t="s">
        <v>175</v>
      </c>
      <c r="E28" s="19" t="n">
        <f aca="false">+F28*0.03</f>
        <v>3600</v>
      </c>
      <c r="F28" s="33" t="n">
        <v>120000</v>
      </c>
      <c r="G28" s="62" t="s">
        <v>31</v>
      </c>
      <c r="H28" s="34" t="n">
        <v>0</v>
      </c>
      <c r="I28" s="34" t="n">
        <f aca="false">+IF(E28=0,0,E28*0.03)</f>
        <v>108</v>
      </c>
    </row>
    <row r="29" customFormat="false" ht="15.75" hidden="false" customHeight="true" outlineLevel="0" collapsed="false">
      <c r="A29" s="30" t="n">
        <v>45497</v>
      </c>
      <c r="B29" s="31" t="s">
        <v>7</v>
      </c>
      <c r="C29" s="82" t="s">
        <v>155</v>
      </c>
      <c r="D29" s="32" t="s">
        <v>176</v>
      </c>
      <c r="E29" s="19" t="n">
        <f aca="false">+F29*0.03</f>
        <v>1350</v>
      </c>
      <c r="F29" s="33" t="n">
        <v>45000</v>
      </c>
      <c r="G29" s="62" t="s">
        <v>31</v>
      </c>
      <c r="H29" s="34" t="n">
        <v>0</v>
      </c>
      <c r="I29" s="34" t="n">
        <f aca="false">+IF(E29=0,0,E29*0.03)</f>
        <v>40.5</v>
      </c>
    </row>
    <row r="30" customFormat="false" ht="15.75" hidden="false" customHeight="true" outlineLevel="0" collapsed="false">
      <c r="A30" s="30" t="n">
        <v>45462</v>
      </c>
      <c r="B30" s="31" t="s">
        <v>153</v>
      </c>
      <c r="C30" s="82" t="s">
        <v>155</v>
      </c>
      <c r="D30" s="32" t="s">
        <v>177</v>
      </c>
      <c r="E30" s="19" t="n">
        <f aca="false">+F30*0.03</f>
        <v>1950</v>
      </c>
      <c r="F30" s="33" t="n">
        <v>65000</v>
      </c>
      <c r="G30" s="62" t="s">
        <v>31</v>
      </c>
      <c r="H30" s="34" t="n">
        <v>0</v>
      </c>
      <c r="I30" s="34" t="n">
        <f aca="false">+IF(E30=0,0,E30*0.03)</f>
        <v>58.5</v>
      </c>
    </row>
    <row r="31" customFormat="false" ht="15.75" hidden="false" customHeight="true" outlineLevel="0" collapsed="false">
      <c r="A31" s="30" t="n">
        <v>45444</v>
      </c>
      <c r="B31" s="31" t="s">
        <v>7</v>
      </c>
      <c r="C31" s="82" t="s">
        <v>155</v>
      </c>
      <c r="D31" s="32" t="s">
        <v>178</v>
      </c>
      <c r="E31" s="19" t="n">
        <f aca="false">+F31*0.03</f>
        <v>1050</v>
      </c>
      <c r="F31" s="33" t="n">
        <v>35000</v>
      </c>
      <c r="G31" s="62" t="s">
        <v>31</v>
      </c>
      <c r="H31" s="34" t="n">
        <v>0</v>
      </c>
      <c r="I31" s="34" t="n">
        <f aca="false">+IF(E31=0,0,E31*0.03)</f>
        <v>31.5</v>
      </c>
    </row>
    <row r="32" customFormat="false" ht="15.75" hidden="false" customHeight="true" outlineLevel="0" collapsed="false">
      <c r="A32" s="30" t="n">
        <v>45444</v>
      </c>
      <c r="B32" s="31" t="s">
        <v>7</v>
      </c>
      <c r="C32" s="82" t="s">
        <v>155</v>
      </c>
      <c r="D32" s="32" t="s">
        <v>179</v>
      </c>
      <c r="E32" s="19" t="n">
        <f aca="false">+F32*0.03</f>
        <v>600</v>
      </c>
      <c r="F32" s="33" t="n">
        <v>20000</v>
      </c>
      <c r="G32" s="62" t="s">
        <v>31</v>
      </c>
      <c r="H32" s="34" t="n">
        <v>0</v>
      </c>
      <c r="I32" s="34" t="n">
        <f aca="false">+IF(E32=0,0,E32*0.03)</f>
        <v>18</v>
      </c>
    </row>
    <row r="33" customFormat="false" ht="15.75" hidden="false" customHeight="true" outlineLevel="0" collapsed="false">
      <c r="A33" s="84" t="n">
        <v>45500</v>
      </c>
      <c r="B33" s="31" t="s">
        <v>7</v>
      </c>
      <c r="C33" s="82" t="s">
        <v>155</v>
      </c>
      <c r="D33" s="32" t="s">
        <v>180</v>
      </c>
      <c r="E33" s="19" t="n">
        <f aca="false">+F33*0.03</f>
        <v>7500</v>
      </c>
      <c r="F33" s="33" t="n">
        <v>250000</v>
      </c>
      <c r="G33" s="62" t="s">
        <v>30</v>
      </c>
      <c r="H33" s="34" t="n">
        <v>0</v>
      </c>
      <c r="I33" s="34" t="n">
        <f aca="false">+IF(E33=0,0,E33*0.03)</f>
        <v>225</v>
      </c>
    </row>
    <row r="34" customFormat="false" ht="15.75" hidden="false" customHeight="true" outlineLevel="0" collapsed="false">
      <c r="A34" s="30" t="n">
        <v>45444</v>
      </c>
      <c r="B34" s="31" t="s">
        <v>7</v>
      </c>
      <c r="C34" s="82" t="s">
        <v>155</v>
      </c>
      <c r="D34" s="32" t="s">
        <v>181</v>
      </c>
      <c r="E34" s="19" t="n">
        <f aca="false">+F34*0.03</f>
        <v>2700</v>
      </c>
      <c r="F34" s="33" t="n">
        <v>90000</v>
      </c>
      <c r="G34" s="62" t="s">
        <v>31</v>
      </c>
      <c r="H34" s="34" t="n">
        <v>0</v>
      </c>
      <c r="I34" s="34" t="n">
        <f aca="false">+IF(E34=0,0,E34*0.03)</f>
        <v>81</v>
      </c>
    </row>
    <row r="35" customFormat="false" ht="15.75" hidden="false" customHeight="true" outlineLevel="0" collapsed="false">
      <c r="A35" s="30" t="n">
        <v>45444</v>
      </c>
      <c r="B35" s="31" t="s">
        <v>153</v>
      </c>
      <c r="C35" s="82" t="s">
        <v>155</v>
      </c>
      <c r="D35" s="32" t="s">
        <v>182</v>
      </c>
      <c r="E35" s="19" t="n">
        <f aca="false">+F35*0.03</f>
        <v>0</v>
      </c>
      <c r="F35" s="33" t="n">
        <v>0</v>
      </c>
      <c r="G35" s="62" t="s">
        <v>31</v>
      </c>
      <c r="H35" s="34" t="n">
        <v>0</v>
      </c>
      <c r="I35" s="34" t="n">
        <f aca="false">+IF(E35=0,0,E35*0.03)</f>
        <v>0</v>
      </c>
    </row>
    <row r="36" customFormat="false" ht="15.75" hidden="false" customHeight="true" outlineLevel="0" collapsed="false">
      <c r="A36" s="30" t="n">
        <v>45444</v>
      </c>
      <c r="B36" s="31" t="s">
        <v>153</v>
      </c>
      <c r="C36" s="82" t="s">
        <v>155</v>
      </c>
      <c r="D36" s="32" t="s">
        <v>183</v>
      </c>
      <c r="E36" s="19" t="n">
        <f aca="false">+F36*0.03</f>
        <v>1050</v>
      </c>
      <c r="F36" s="33" t="n">
        <v>35000</v>
      </c>
      <c r="G36" s="62" t="s">
        <v>31</v>
      </c>
      <c r="H36" s="34" t="n">
        <v>0</v>
      </c>
      <c r="I36" s="34" t="n">
        <f aca="false">+IF(E36=0,0,E36*0.03)</f>
        <v>31.5</v>
      </c>
    </row>
    <row r="37" customFormat="false" ht="15.75" hidden="false" customHeight="true" outlineLevel="0" collapsed="false">
      <c r="A37" s="30" t="n">
        <v>45444</v>
      </c>
      <c r="B37" s="31" t="s">
        <v>153</v>
      </c>
      <c r="C37" s="82" t="s">
        <v>155</v>
      </c>
      <c r="D37" s="32" t="s">
        <v>184</v>
      </c>
      <c r="E37" s="19" t="n">
        <f aca="false">+F37*0.03</f>
        <v>1500</v>
      </c>
      <c r="F37" s="33" t="n">
        <v>50000</v>
      </c>
      <c r="G37" s="62" t="s">
        <v>31</v>
      </c>
      <c r="H37" s="34" t="n">
        <v>0</v>
      </c>
      <c r="I37" s="34" t="n">
        <f aca="false">+IF(E37=0,0,E37*0.03)</f>
        <v>45</v>
      </c>
    </row>
    <row r="38" customFormat="false" ht="15.75" hidden="false" customHeight="true" outlineLevel="0" collapsed="false">
      <c r="A38" s="30" t="n">
        <v>45444</v>
      </c>
      <c r="B38" s="31" t="s">
        <v>7</v>
      </c>
      <c r="C38" s="82" t="s">
        <v>155</v>
      </c>
      <c r="D38" s="32" t="s">
        <v>185</v>
      </c>
      <c r="E38" s="19" t="n">
        <f aca="false">+F38*0.03</f>
        <v>1200</v>
      </c>
      <c r="F38" s="33" t="n">
        <v>40000</v>
      </c>
      <c r="G38" s="62" t="s">
        <v>30</v>
      </c>
      <c r="H38" s="34" t="n">
        <v>0</v>
      </c>
      <c r="I38" s="34" t="n">
        <f aca="false">+IF(E38=0,0,E38*0.03)</f>
        <v>36</v>
      </c>
    </row>
    <row r="39" customFormat="false" ht="15.75" hidden="false" customHeight="true" outlineLevel="0" collapsed="false">
      <c r="A39" s="30" t="n">
        <v>45444</v>
      </c>
      <c r="B39" s="31" t="s">
        <v>153</v>
      </c>
      <c r="C39" s="82" t="s">
        <v>155</v>
      </c>
      <c r="D39" s="32" t="s">
        <v>185</v>
      </c>
      <c r="E39" s="19" t="n">
        <f aca="false">+F39*0.03</f>
        <v>1200</v>
      </c>
      <c r="F39" s="33" t="n">
        <v>40000</v>
      </c>
      <c r="G39" s="62" t="s">
        <v>31</v>
      </c>
      <c r="H39" s="34" t="n">
        <v>0</v>
      </c>
      <c r="I39" s="34" t="n">
        <f aca="false">+IF(E39=0,0,E39*0.03)</f>
        <v>36</v>
      </c>
    </row>
    <row r="40" customFormat="false" ht="15.75" hidden="false" customHeight="true" outlineLevel="0" collapsed="false">
      <c r="A40" s="30" t="n">
        <v>45444</v>
      </c>
      <c r="B40" s="31" t="s">
        <v>7</v>
      </c>
      <c r="C40" s="82" t="s">
        <v>155</v>
      </c>
      <c r="D40" s="32" t="s">
        <v>186</v>
      </c>
      <c r="E40" s="19" t="n">
        <f aca="false">+F40*0.03</f>
        <v>2550</v>
      </c>
      <c r="F40" s="33" t="n">
        <v>85000</v>
      </c>
      <c r="G40" s="62" t="s">
        <v>30</v>
      </c>
      <c r="H40" s="34" t="n">
        <v>0</v>
      </c>
      <c r="I40" s="34" t="n">
        <f aca="false">+IF(E40=0,0,E40*0.03)</f>
        <v>76.5</v>
      </c>
    </row>
    <row r="41" customFormat="false" ht="15.75" hidden="false" customHeight="true" outlineLevel="0" collapsed="false">
      <c r="A41" s="30" t="n">
        <v>45444</v>
      </c>
      <c r="B41" s="31" t="s">
        <v>7</v>
      </c>
      <c r="C41" s="82" t="s">
        <v>155</v>
      </c>
      <c r="D41" s="32" t="s">
        <v>187</v>
      </c>
      <c r="E41" s="19" t="n">
        <f aca="false">+F41*0.03</f>
        <v>450</v>
      </c>
      <c r="F41" s="33" t="n">
        <v>15000</v>
      </c>
      <c r="G41" s="62" t="s">
        <v>31</v>
      </c>
      <c r="H41" s="34" t="n">
        <v>0</v>
      </c>
      <c r="I41" s="34" t="n">
        <f aca="false">+IF(E41=0,0,E41*0.03)</f>
        <v>13.5</v>
      </c>
    </row>
    <row r="42" customFormat="false" ht="15.75" hidden="false" customHeight="true" outlineLevel="0" collapsed="false">
      <c r="A42" s="30" t="n">
        <v>45444</v>
      </c>
      <c r="B42" s="31" t="s">
        <v>7</v>
      </c>
      <c r="C42" s="82" t="s">
        <v>155</v>
      </c>
      <c r="D42" s="32"/>
      <c r="E42" s="19" t="n">
        <f aca="false">+F42*0.03</f>
        <v>0</v>
      </c>
      <c r="F42" s="33" t="n">
        <v>0</v>
      </c>
      <c r="G42" s="62" t="s">
        <v>30</v>
      </c>
      <c r="H42" s="34" t="n">
        <v>0</v>
      </c>
      <c r="I42" s="34" t="n">
        <f aca="false">+IF(E42=0,0,E42*0.03)</f>
        <v>0</v>
      </c>
    </row>
    <row r="43" customFormat="false" ht="15.75" hidden="false" customHeight="true" outlineLevel="0" collapsed="false">
      <c r="A43" s="30" t="n">
        <v>45444</v>
      </c>
      <c r="B43" s="31" t="s">
        <v>153</v>
      </c>
      <c r="C43" s="82"/>
      <c r="D43" s="32"/>
      <c r="E43" s="19" t="n">
        <f aca="false">+F43*0.03</f>
        <v>0</v>
      </c>
      <c r="F43" s="33" t="n">
        <v>0</v>
      </c>
      <c r="G43" s="62" t="s">
        <v>30</v>
      </c>
      <c r="H43" s="34" t="n">
        <v>0</v>
      </c>
      <c r="I43" s="34" t="n">
        <f aca="false">+IF(E43=0,0,E43*0.03)</f>
        <v>0</v>
      </c>
    </row>
    <row r="44" customFormat="false" ht="15.75" hidden="false" customHeight="true" outlineLevel="0" collapsed="false">
      <c r="A44" s="30" t="n">
        <v>45444</v>
      </c>
      <c r="B44" s="31" t="s">
        <v>7</v>
      </c>
      <c r="C44" s="82"/>
      <c r="D44" s="32"/>
      <c r="E44" s="19" t="n">
        <f aca="false">+F44*0.03</f>
        <v>0</v>
      </c>
      <c r="F44" s="33" t="n">
        <v>0</v>
      </c>
      <c r="G44" s="62" t="s">
        <v>31</v>
      </c>
      <c r="H44" s="34" t="n">
        <v>0</v>
      </c>
      <c r="I44" s="34" t="n">
        <f aca="false">+IF(E44=0,0,E44*0.03)</f>
        <v>0</v>
      </c>
    </row>
    <row r="45" customFormat="false" ht="15.75" hidden="false" customHeight="true" outlineLevel="0" collapsed="false">
      <c r="A45" s="30" t="n">
        <v>45444</v>
      </c>
      <c r="B45" s="31" t="s">
        <v>153</v>
      </c>
      <c r="C45" s="82"/>
      <c r="D45" s="32"/>
      <c r="E45" s="19" t="n">
        <f aca="false">+F45*0.03</f>
        <v>0</v>
      </c>
      <c r="F45" s="33" t="n">
        <v>0</v>
      </c>
      <c r="G45" s="62" t="s">
        <v>31</v>
      </c>
      <c r="H45" s="34" t="n">
        <v>0</v>
      </c>
      <c r="I45" s="34" t="n">
        <f aca="false">+IF(E45=0,0,E45*0.03)</f>
        <v>0</v>
      </c>
    </row>
    <row r="46" customFormat="false" ht="15.75" hidden="false" customHeight="true" outlineLevel="0" collapsed="false">
      <c r="A46" s="30" t="n">
        <v>45444</v>
      </c>
      <c r="B46" s="31" t="s">
        <v>7</v>
      </c>
      <c r="C46" s="82"/>
      <c r="D46" s="32"/>
      <c r="E46" s="19" t="n">
        <f aca="false">+F46*0.03</f>
        <v>0</v>
      </c>
      <c r="F46" s="33" t="n">
        <v>0</v>
      </c>
      <c r="G46" s="62" t="s">
        <v>31</v>
      </c>
      <c r="H46" s="34" t="n">
        <v>0</v>
      </c>
      <c r="I46" s="34" t="n">
        <f aca="false">+IF(E46=0,0,E46*0.03)</f>
        <v>0</v>
      </c>
    </row>
    <row r="47" customFormat="false" ht="15.75" hidden="false" customHeight="true" outlineLevel="0" collapsed="false">
      <c r="A47" s="30" t="n">
        <v>45444</v>
      </c>
      <c r="B47" s="31" t="s">
        <v>7</v>
      </c>
      <c r="C47" s="82"/>
      <c r="D47" s="32"/>
      <c r="E47" s="19" t="n">
        <f aca="false">+F47*0.03</f>
        <v>0</v>
      </c>
      <c r="F47" s="33" t="n">
        <v>0</v>
      </c>
      <c r="G47" s="62" t="s">
        <v>31</v>
      </c>
      <c r="H47" s="34" t="n">
        <v>0</v>
      </c>
      <c r="I47" s="34" t="n">
        <f aca="false">+IF(E47=0,0,E47*0.03)</f>
        <v>0</v>
      </c>
    </row>
    <row r="48" customFormat="false" ht="15.75" hidden="false" customHeight="true" outlineLevel="0" collapsed="false">
      <c r="A48" s="30" t="n">
        <v>45444</v>
      </c>
      <c r="B48" s="31" t="s">
        <v>7</v>
      </c>
      <c r="C48" s="82"/>
      <c r="D48" s="32"/>
      <c r="E48" s="19" t="n">
        <f aca="false">+F48*0.03</f>
        <v>0</v>
      </c>
      <c r="F48" s="33" t="n">
        <v>0</v>
      </c>
      <c r="G48" s="62" t="s">
        <v>30</v>
      </c>
      <c r="H48" s="34" t="n">
        <v>0</v>
      </c>
      <c r="I48" s="34" t="n">
        <f aca="false">+IF(E48=0,0,E48*0.03)</f>
        <v>0</v>
      </c>
    </row>
    <row r="49" customFormat="false" ht="15.75" hidden="false" customHeight="true" outlineLevel="0" collapsed="false">
      <c r="A49" s="30" t="n">
        <v>45444</v>
      </c>
      <c r="B49" s="31" t="s">
        <v>7</v>
      </c>
      <c r="C49" s="82"/>
      <c r="D49" s="32"/>
      <c r="E49" s="19" t="n">
        <f aca="false">+F49*0.03</f>
        <v>0</v>
      </c>
      <c r="F49" s="33" t="n">
        <v>0</v>
      </c>
      <c r="G49" s="62" t="s">
        <v>31</v>
      </c>
      <c r="H49" s="34" t="n">
        <v>0</v>
      </c>
      <c r="I49" s="34" t="n">
        <f aca="false">+IF(E49=0,0,E49*0.03)</f>
        <v>0</v>
      </c>
    </row>
    <row r="50" customFormat="false" ht="15.75" hidden="false" customHeight="true" outlineLevel="0" collapsed="false">
      <c r="A50" s="30" t="n">
        <v>45444</v>
      </c>
      <c r="B50" s="31" t="s">
        <v>153</v>
      </c>
      <c r="C50" s="82"/>
      <c r="D50" s="32"/>
      <c r="E50" s="19" t="n">
        <f aca="false">+F50*0.03</f>
        <v>0</v>
      </c>
      <c r="F50" s="33" t="n">
        <v>0</v>
      </c>
      <c r="G50" s="62" t="s">
        <v>31</v>
      </c>
      <c r="H50" s="34" t="n">
        <v>0</v>
      </c>
      <c r="I50" s="34" t="n">
        <f aca="false">+IF(E50=0,0,E50*0.03)</f>
        <v>0</v>
      </c>
    </row>
    <row r="51" customFormat="false" ht="15.75" hidden="false" customHeight="true" outlineLevel="0" collapsed="false">
      <c r="A51" s="30" t="n">
        <v>45444</v>
      </c>
      <c r="B51" s="31" t="s">
        <v>153</v>
      </c>
      <c r="C51" s="82"/>
      <c r="D51" s="32"/>
      <c r="E51" s="19" t="n">
        <f aca="false">+F51*0.03</f>
        <v>0</v>
      </c>
      <c r="F51" s="33" t="n">
        <v>0</v>
      </c>
      <c r="G51" s="62" t="s">
        <v>31</v>
      </c>
      <c r="H51" s="34" t="n">
        <v>0</v>
      </c>
      <c r="I51" s="34" t="n">
        <f aca="false">+IF(E51=0,0,E51*0.03)</f>
        <v>0</v>
      </c>
    </row>
    <row r="52" customFormat="false" ht="15.75" hidden="false" customHeight="true" outlineLevel="0" collapsed="false">
      <c r="A52" s="30" t="n">
        <v>45444</v>
      </c>
      <c r="B52" s="31" t="s">
        <v>153</v>
      </c>
      <c r="C52" s="82"/>
      <c r="D52" s="32"/>
      <c r="E52" s="19" t="n">
        <f aca="false">+F52*0.03</f>
        <v>0</v>
      </c>
      <c r="F52" s="33" t="n">
        <v>0</v>
      </c>
      <c r="G52" s="62" t="s">
        <v>31</v>
      </c>
      <c r="H52" s="34" t="n">
        <v>0</v>
      </c>
      <c r="I52" s="34" t="n">
        <f aca="false">+IF(E52=0,0,E52*0.03)</f>
        <v>0</v>
      </c>
    </row>
    <row r="53" customFormat="false" ht="15.75" hidden="false" customHeight="true" outlineLevel="0" collapsed="false">
      <c r="A53" s="30" t="n">
        <v>45444</v>
      </c>
      <c r="B53" s="31" t="s">
        <v>153</v>
      </c>
      <c r="C53" s="82"/>
      <c r="D53" s="32"/>
      <c r="E53" s="19" t="n">
        <f aca="false">+F53*0.03</f>
        <v>0</v>
      </c>
      <c r="F53" s="33" t="n">
        <v>0</v>
      </c>
      <c r="G53" s="62" t="s">
        <v>31</v>
      </c>
      <c r="H53" s="34" t="n">
        <v>0</v>
      </c>
      <c r="I53" s="34" t="n">
        <f aca="false">+IF(E53=0,0,E53*0.03)</f>
        <v>0</v>
      </c>
    </row>
    <row r="54" customFormat="false" ht="15.75" hidden="false" customHeight="true" outlineLevel="0" collapsed="false">
      <c r="A54" s="30" t="n">
        <v>45444</v>
      </c>
      <c r="B54" s="31" t="s">
        <v>153</v>
      </c>
      <c r="C54" s="82"/>
      <c r="D54" s="32"/>
      <c r="E54" s="19" t="n">
        <f aca="false">+F54*0.03</f>
        <v>0</v>
      </c>
      <c r="F54" s="33" t="n">
        <v>0</v>
      </c>
      <c r="G54" s="62" t="s">
        <v>30</v>
      </c>
      <c r="H54" s="34" t="n">
        <v>0</v>
      </c>
      <c r="I54" s="34" t="n">
        <f aca="false">+IF(E54=0,0,E54*0.03)</f>
        <v>0</v>
      </c>
    </row>
    <row r="55" customFormat="false" ht="15.75" hidden="false" customHeight="true" outlineLevel="0" collapsed="false">
      <c r="A55" s="30" t="n">
        <v>45444</v>
      </c>
      <c r="B55" s="31" t="s">
        <v>153</v>
      </c>
      <c r="C55" s="82"/>
      <c r="D55" s="32"/>
      <c r="E55" s="19" t="n">
        <f aca="false">+F55*0.03</f>
        <v>0</v>
      </c>
      <c r="F55" s="33" t="n">
        <v>0</v>
      </c>
      <c r="G55" s="62"/>
      <c r="H55" s="34" t="n">
        <v>0</v>
      </c>
      <c r="I55" s="34" t="n">
        <f aca="false">+IF(E55=0,0,E55*0.03)</f>
        <v>0</v>
      </c>
    </row>
    <row r="56" customFormat="false" ht="15.75" hidden="false" customHeight="true" outlineLevel="0" collapsed="false">
      <c r="A56" s="30" t="n">
        <v>45444</v>
      </c>
      <c r="B56" s="31" t="s">
        <v>153</v>
      </c>
      <c r="C56" s="82"/>
      <c r="D56" s="32"/>
      <c r="E56" s="19" t="n">
        <f aca="false">+F56*0.03</f>
        <v>0</v>
      </c>
      <c r="F56" s="33" t="n">
        <v>0</v>
      </c>
      <c r="G56" s="62"/>
      <c r="H56" s="34" t="n">
        <v>0</v>
      </c>
      <c r="I56" s="34" t="n">
        <f aca="false">+IF(E56=0,0,E56*0.03)</f>
        <v>0</v>
      </c>
    </row>
    <row r="57" customFormat="false" ht="15.75" hidden="false" customHeight="true" outlineLevel="0" collapsed="false">
      <c r="A57" s="30" t="n">
        <v>45444</v>
      </c>
      <c r="B57" s="31" t="s">
        <v>153</v>
      </c>
      <c r="C57" s="82"/>
      <c r="D57" s="32"/>
      <c r="E57" s="19" t="n">
        <f aca="false">+F57*0.03</f>
        <v>0</v>
      </c>
      <c r="F57" s="33" t="n">
        <v>0</v>
      </c>
      <c r="G57" s="62"/>
      <c r="H57" s="34" t="n">
        <v>0</v>
      </c>
      <c r="I57" s="34" t="n">
        <f aca="false">+IF(E57=0,0,E57*0.03)</f>
        <v>0</v>
      </c>
    </row>
    <row r="58" customFormat="false" ht="15.75" hidden="false" customHeight="true" outlineLevel="0" collapsed="false">
      <c r="A58" s="30" t="n">
        <v>45444</v>
      </c>
      <c r="B58" s="31" t="s">
        <v>153</v>
      </c>
      <c r="C58" s="82"/>
      <c r="D58" s="32"/>
      <c r="E58" s="19" t="n">
        <f aca="false">+F58*0.03</f>
        <v>0</v>
      </c>
      <c r="F58" s="33" t="n">
        <v>0</v>
      </c>
      <c r="G58" s="62"/>
      <c r="H58" s="34" t="n">
        <v>0</v>
      </c>
      <c r="I58" s="34" t="n">
        <f aca="false">+IF(E58=0,0,E58*0.03)</f>
        <v>0</v>
      </c>
    </row>
    <row r="59" customFormat="false" ht="15.75" hidden="false" customHeight="true" outlineLevel="0" collapsed="false">
      <c r="A59" s="30" t="n">
        <v>45444</v>
      </c>
      <c r="B59" s="31" t="s">
        <v>153</v>
      </c>
      <c r="C59" s="82"/>
      <c r="D59" s="32"/>
      <c r="E59" s="19" t="n">
        <f aca="false">+F59*0.03</f>
        <v>0</v>
      </c>
      <c r="F59" s="33" t="n">
        <v>0</v>
      </c>
      <c r="G59" s="62"/>
      <c r="H59" s="34" t="n">
        <v>0</v>
      </c>
      <c r="I59" s="34" t="n">
        <f aca="false">+IF(E59=0,0,E59*0.03)</f>
        <v>0</v>
      </c>
    </row>
    <row r="60" customFormat="false" ht="15.75" hidden="false" customHeight="true" outlineLevel="0" collapsed="false">
      <c r="A60" s="30" t="n">
        <v>45444</v>
      </c>
      <c r="B60" s="31" t="s">
        <v>153</v>
      </c>
      <c r="C60" s="82"/>
      <c r="D60" s="32"/>
      <c r="E60" s="19" t="n">
        <f aca="false">+F60*0.03</f>
        <v>0</v>
      </c>
      <c r="F60" s="33" t="n">
        <v>0</v>
      </c>
      <c r="G60" s="62"/>
      <c r="H60" s="34" t="n">
        <v>0</v>
      </c>
      <c r="I60" s="34" t="n">
        <f aca="false">+IF(E60=0,0,E60*0.03)</f>
        <v>0</v>
      </c>
    </row>
    <row r="61" customFormat="false" ht="15.75" hidden="false" customHeight="true" outlineLevel="0" collapsed="false">
      <c r="A61" s="30" t="n">
        <v>45444</v>
      </c>
      <c r="B61" s="31" t="s">
        <v>153</v>
      </c>
      <c r="C61" s="82"/>
      <c r="D61" s="32"/>
      <c r="E61" s="19" t="n">
        <f aca="false">+F61*0.03</f>
        <v>0</v>
      </c>
      <c r="F61" s="33" t="n">
        <v>0</v>
      </c>
      <c r="G61" s="62"/>
      <c r="H61" s="34" t="n">
        <v>0</v>
      </c>
      <c r="I61" s="34" t="n">
        <f aca="false">+IF(E61=0,0,E61*0.03)</f>
        <v>0</v>
      </c>
    </row>
    <row r="62" customFormat="false" ht="15.75" hidden="false" customHeight="true" outlineLevel="0" collapsed="false">
      <c r="A62" s="30" t="n">
        <v>45444</v>
      </c>
      <c r="B62" s="31" t="s">
        <v>153</v>
      </c>
      <c r="C62" s="82"/>
      <c r="D62" s="32"/>
      <c r="E62" s="19" t="n">
        <f aca="false">+F62*0.03</f>
        <v>0</v>
      </c>
      <c r="F62" s="33" t="n">
        <v>0</v>
      </c>
      <c r="G62" s="62"/>
      <c r="H62" s="34" t="n">
        <v>0</v>
      </c>
      <c r="I62" s="34" t="n">
        <f aca="false">+IF(E62=0,0,E62*0.03)</f>
        <v>0</v>
      </c>
    </row>
    <row r="63" customFormat="false" ht="15.75" hidden="false" customHeight="true" outlineLevel="0" collapsed="false">
      <c r="A63" s="30" t="n">
        <v>45444</v>
      </c>
      <c r="B63" s="31" t="s">
        <v>153</v>
      </c>
      <c r="C63" s="82"/>
      <c r="D63" s="32"/>
      <c r="E63" s="19" t="n">
        <f aca="false">+F63*0.03</f>
        <v>0</v>
      </c>
      <c r="F63" s="33" t="n">
        <v>0</v>
      </c>
      <c r="G63" s="62"/>
      <c r="H63" s="34" t="n">
        <v>0</v>
      </c>
      <c r="I63" s="34" t="n">
        <f aca="false">+IF(E63=0,0,E63*0.03)</f>
        <v>0</v>
      </c>
    </row>
    <row r="64" customFormat="false" ht="15.75" hidden="false" customHeight="true" outlineLevel="0" collapsed="false">
      <c r="A64" s="30" t="n">
        <v>45444</v>
      </c>
      <c r="B64" s="31" t="s">
        <v>153</v>
      </c>
      <c r="C64" s="82"/>
      <c r="D64" s="32"/>
      <c r="E64" s="19" t="n">
        <f aca="false">+F64*0.03</f>
        <v>0</v>
      </c>
      <c r="F64" s="33" t="n">
        <v>0</v>
      </c>
      <c r="G64" s="62"/>
      <c r="H64" s="34" t="n">
        <v>0</v>
      </c>
      <c r="I64" s="34" t="n">
        <f aca="false">+IF(E64=0,0,E64*0.03)</f>
        <v>0</v>
      </c>
    </row>
    <row r="65" customFormat="false" ht="15.75" hidden="false" customHeight="true" outlineLevel="0" collapsed="false">
      <c r="A65" s="30" t="n">
        <v>45444</v>
      </c>
      <c r="B65" s="31" t="s">
        <v>153</v>
      </c>
      <c r="C65" s="82"/>
      <c r="D65" s="32"/>
      <c r="E65" s="19" t="n">
        <f aca="false">+F65*0.03</f>
        <v>0</v>
      </c>
      <c r="F65" s="33" t="n">
        <v>0</v>
      </c>
      <c r="G65" s="62"/>
      <c r="H65" s="34" t="n">
        <v>0</v>
      </c>
      <c r="I65" s="34" t="n">
        <f aca="false">+IF(E65=0,0,E65*0.03)</f>
        <v>0</v>
      </c>
    </row>
    <row r="66" customFormat="false" ht="15.75" hidden="false" customHeight="true" outlineLevel="0" collapsed="false">
      <c r="A66" s="30" t="n">
        <v>45444</v>
      </c>
      <c r="B66" s="31" t="s">
        <v>153</v>
      </c>
      <c r="C66" s="82"/>
      <c r="D66" s="32"/>
      <c r="E66" s="19" t="n">
        <f aca="false">+F66*0.03</f>
        <v>0</v>
      </c>
      <c r="F66" s="33" t="n">
        <v>0</v>
      </c>
      <c r="G66" s="62"/>
      <c r="H66" s="34" t="n">
        <v>0</v>
      </c>
      <c r="I66" s="34" t="n">
        <f aca="false">+IF(E66=0,0,E66*0.03)</f>
        <v>0</v>
      </c>
    </row>
    <row r="67" customFormat="false" ht="15.75" hidden="false" customHeight="true" outlineLevel="0" collapsed="false">
      <c r="A67" s="30" t="n">
        <v>45444</v>
      </c>
      <c r="B67" s="31" t="s">
        <v>153</v>
      </c>
      <c r="C67" s="82"/>
      <c r="D67" s="32"/>
      <c r="E67" s="19" t="n">
        <f aca="false">+F67*0.03</f>
        <v>0</v>
      </c>
      <c r="F67" s="33" t="n">
        <v>0</v>
      </c>
      <c r="G67" s="62"/>
      <c r="H67" s="34" t="n">
        <v>0</v>
      </c>
      <c r="I67" s="34" t="n">
        <f aca="false">+IF(E67=0,0,E67*0.03)</f>
        <v>0</v>
      </c>
    </row>
    <row r="68" customFormat="false" ht="15.75" hidden="false" customHeight="true" outlineLevel="0" collapsed="false">
      <c r="A68" s="30" t="n">
        <v>45444</v>
      </c>
      <c r="B68" s="31" t="s">
        <v>153</v>
      </c>
      <c r="C68" s="82"/>
      <c r="D68" s="32"/>
      <c r="E68" s="19" t="n">
        <f aca="false">+F68*0.03</f>
        <v>0</v>
      </c>
      <c r="F68" s="33" t="n">
        <v>0</v>
      </c>
      <c r="G68" s="62"/>
      <c r="H68" s="34" t="n">
        <v>0</v>
      </c>
      <c r="I68" s="34" t="n">
        <f aca="false">+IF(E68=0,0,E68*0.03)</f>
        <v>0</v>
      </c>
    </row>
    <row r="69" customFormat="false" ht="15.75" hidden="false" customHeight="true" outlineLevel="0" collapsed="false">
      <c r="A69" s="30" t="n">
        <v>45444</v>
      </c>
      <c r="B69" s="31" t="s">
        <v>153</v>
      </c>
      <c r="C69" s="82"/>
      <c r="D69" s="32"/>
      <c r="E69" s="19" t="n">
        <f aca="false">+F69*0.03</f>
        <v>0</v>
      </c>
      <c r="F69" s="33" t="n">
        <v>0</v>
      </c>
      <c r="G69" s="62"/>
      <c r="H69" s="34" t="n">
        <v>0</v>
      </c>
      <c r="I69" s="34" t="n">
        <f aca="false">+IF(E69=0,0,E69*0.03)</f>
        <v>0</v>
      </c>
    </row>
    <row r="70" customFormat="false" ht="15.75" hidden="false" customHeight="true" outlineLevel="0" collapsed="false">
      <c r="A70" s="30" t="n">
        <v>45444</v>
      </c>
      <c r="B70" s="31" t="s">
        <v>153</v>
      </c>
      <c r="C70" s="82"/>
      <c r="D70" s="32"/>
      <c r="E70" s="19" t="n">
        <f aca="false">+F70*0.03</f>
        <v>0</v>
      </c>
      <c r="F70" s="33" t="n">
        <v>0</v>
      </c>
      <c r="G70" s="62"/>
      <c r="H70" s="34" t="n">
        <v>0</v>
      </c>
      <c r="I70" s="34" t="n">
        <f aca="false">+IF(E70=0,0,E70*0.03)</f>
        <v>0</v>
      </c>
    </row>
    <row r="71" customFormat="false" ht="15.75" hidden="false" customHeight="true" outlineLevel="0" collapsed="false">
      <c r="A71" s="30" t="n">
        <v>45444</v>
      </c>
      <c r="B71" s="31" t="s">
        <v>153</v>
      </c>
      <c r="C71" s="82"/>
      <c r="D71" s="32"/>
      <c r="E71" s="19" t="n">
        <f aca="false">+F71*0.03</f>
        <v>0</v>
      </c>
      <c r="F71" s="33" t="n">
        <v>0</v>
      </c>
      <c r="G71" s="62"/>
      <c r="H71" s="34" t="n">
        <v>0</v>
      </c>
      <c r="I71" s="34" t="n">
        <f aca="false">+IF(E71=0,0,E71*0.03)</f>
        <v>0</v>
      </c>
    </row>
    <row r="72" customFormat="false" ht="15.75" hidden="false" customHeight="true" outlineLevel="0" collapsed="false">
      <c r="A72" s="30" t="n">
        <v>45444</v>
      </c>
      <c r="B72" s="31" t="s">
        <v>153</v>
      </c>
      <c r="C72" s="82"/>
      <c r="D72" s="32"/>
      <c r="E72" s="19" t="n">
        <f aca="false">+F72*0.03</f>
        <v>0</v>
      </c>
      <c r="F72" s="33" t="n">
        <v>0</v>
      </c>
      <c r="G72" s="62"/>
      <c r="H72" s="34" t="n">
        <v>0</v>
      </c>
      <c r="I72" s="34" t="n">
        <f aca="false">+IF(E72=0,0,E72*0.03)</f>
        <v>0</v>
      </c>
    </row>
    <row r="73" customFormat="false" ht="15.75" hidden="false" customHeight="true" outlineLevel="0" collapsed="false">
      <c r="A73" s="30" t="n">
        <v>45444</v>
      </c>
      <c r="B73" s="31" t="s">
        <v>153</v>
      </c>
      <c r="C73" s="82"/>
      <c r="D73" s="32"/>
      <c r="E73" s="19" t="n">
        <f aca="false">+F73*0.03</f>
        <v>0</v>
      </c>
      <c r="F73" s="33" t="n">
        <v>0</v>
      </c>
      <c r="G73" s="62"/>
      <c r="H73" s="34" t="n">
        <v>0</v>
      </c>
      <c r="I73" s="34" t="n">
        <f aca="false">+IF(E73=0,0,E73*0.03)</f>
        <v>0</v>
      </c>
    </row>
    <row r="74" customFormat="false" ht="15.75" hidden="false" customHeight="true" outlineLevel="0" collapsed="false">
      <c r="A74" s="30" t="n">
        <v>45444</v>
      </c>
      <c r="B74" s="31" t="s">
        <v>153</v>
      </c>
      <c r="C74" s="82"/>
      <c r="D74" s="32"/>
      <c r="E74" s="19" t="n">
        <f aca="false">+F74*0.03</f>
        <v>0</v>
      </c>
      <c r="F74" s="33" t="n">
        <v>0</v>
      </c>
      <c r="G74" s="62"/>
      <c r="H74" s="34" t="n">
        <v>0</v>
      </c>
      <c r="I74" s="34" t="n">
        <f aca="false">+IF(E74=0,0,E74*0.03)</f>
        <v>0</v>
      </c>
    </row>
    <row r="75" customFormat="false" ht="15.75" hidden="false" customHeight="true" outlineLevel="0" collapsed="false">
      <c r="A75" s="30" t="n">
        <v>45444</v>
      </c>
      <c r="B75" s="31" t="s">
        <v>153</v>
      </c>
      <c r="C75" s="82"/>
      <c r="D75" s="32"/>
      <c r="E75" s="19" t="n">
        <f aca="false">+F75*0.03</f>
        <v>0</v>
      </c>
      <c r="F75" s="33" t="n">
        <v>0</v>
      </c>
      <c r="G75" s="62"/>
      <c r="H75" s="34" t="n">
        <v>0</v>
      </c>
      <c r="I75" s="34" t="n">
        <f aca="false">+IF(E75=0,0,E75*0.03)</f>
        <v>0</v>
      </c>
    </row>
    <row r="76" customFormat="false" ht="15.75" hidden="false" customHeight="true" outlineLevel="0" collapsed="false">
      <c r="A76" s="30" t="n">
        <v>45444</v>
      </c>
      <c r="B76" s="31" t="s">
        <v>153</v>
      </c>
      <c r="C76" s="82"/>
      <c r="D76" s="32"/>
      <c r="E76" s="19" t="n">
        <f aca="false">+F76*0.03</f>
        <v>0</v>
      </c>
      <c r="F76" s="33" t="n">
        <v>0</v>
      </c>
      <c r="G76" s="62"/>
      <c r="H76" s="34" t="n">
        <v>0</v>
      </c>
      <c r="I76" s="34" t="n">
        <f aca="false">+IF(E76=0,0,E76*0.03)</f>
        <v>0</v>
      </c>
    </row>
    <row r="77" customFormat="false" ht="15.75" hidden="false" customHeight="true" outlineLevel="0" collapsed="false">
      <c r="A77" s="30" t="n">
        <v>45444</v>
      </c>
      <c r="B77" s="31" t="s">
        <v>153</v>
      </c>
      <c r="C77" s="82"/>
      <c r="D77" s="32"/>
      <c r="E77" s="19" t="n">
        <f aca="false">+F77*0.03</f>
        <v>0</v>
      </c>
      <c r="F77" s="33" t="n">
        <v>0</v>
      </c>
      <c r="G77" s="62"/>
      <c r="H77" s="34" t="n">
        <v>0</v>
      </c>
      <c r="I77" s="34" t="n">
        <f aca="false">+IF(E77=0,0,E77*0.03)</f>
        <v>0</v>
      </c>
    </row>
    <row r="78" customFormat="false" ht="15.75" hidden="false" customHeight="true" outlineLevel="0" collapsed="false">
      <c r="A78" s="30" t="n">
        <v>45444</v>
      </c>
      <c r="B78" s="31" t="s">
        <v>153</v>
      </c>
      <c r="C78" s="82"/>
      <c r="D78" s="32"/>
      <c r="E78" s="19" t="n">
        <f aca="false">+F78*0.03</f>
        <v>0</v>
      </c>
      <c r="F78" s="33" t="n">
        <v>0</v>
      </c>
      <c r="G78" s="62"/>
      <c r="H78" s="34" t="n">
        <v>0</v>
      </c>
      <c r="I78" s="34" t="n">
        <f aca="false">+IF(E78=0,0,E78*0.03)</f>
        <v>0</v>
      </c>
    </row>
    <row r="79" customFormat="false" ht="15.75" hidden="false" customHeight="true" outlineLevel="0" collapsed="false">
      <c r="A79" s="30" t="n">
        <v>45444</v>
      </c>
      <c r="B79" s="31" t="s">
        <v>153</v>
      </c>
      <c r="C79" s="82"/>
      <c r="D79" s="32"/>
      <c r="E79" s="19" t="n">
        <f aca="false">+F79*0.03</f>
        <v>0</v>
      </c>
      <c r="F79" s="33" t="n">
        <v>0</v>
      </c>
      <c r="G79" s="62"/>
      <c r="H79" s="34" t="n">
        <v>0</v>
      </c>
      <c r="I79" s="34" t="n">
        <f aca="false">+IF(E79=0,0,E79*0.03)</f>
        <v>0</v>
      </c>
    </row>
    <row r="80" customFormat="false" ht="15.75" hidden="false" customHeight="true" outlineLevel="0" collapsed="false">
      <c r="A80" s="30" t="n">
        <v>45444</v>
      </c>
      <c r="B80" s="31" t="s">
        <v>153</v>
      </c>
      <c r="C80" s="82"/>
      <c r="D80" s="32"/>
      <c r="E80" s="19" t="n">
        <f aca="false">+F80*0.03</f>
        <v>0</v>
      </c>
      <c r="F80" s="33" t="n">
        <v>0</v>
      </c>
      <c r="G80" s="62"/>
      <c r="H80" s="34" t="n">
        <v>0</v>
      </c>
      <c r="I80" s="34" t="n">
        <f aca="false">+IF(E80=0,0,E80*0.03)</f>
        <v>0</v>
      </c>
    </row>
    <row r="81" customFormat="false" ht="15.75" hidden="false" customHeight="true" outlineLevel="0" collapsed="false">
      <c r="A81" s="30" t="n">
        <v>45444</v>
      </c>
      <c r="B81" s="31" t="s">
        <v>153</v>
      </c>
      <c r="C81" s="82"/>
      <c r="D81" s="32"/>
      <c r="E81" s="19" t="n">
        <f aca="false">+F81*0.03</f>
        <v>0</v>
      </c>
      <c r="F81" s="33" t="n">
        <v>0</v>
      </c>
      <c r="G81" s="62"/>
      <c r="H81" s="34" t="n">
        <v>0</v>
      </c>
      <c r="I81" s="34" t="n">
        <f aca="false">+IF(E81=0,0,E81*0.03)</f>
        <v>0</v>
      </c>
    </row>
    <row r="82" customFormat="false" ht="15.75" hidden="false" customHeight="true" outlineLevel="0" collapsed="false">
      <c r="A82" s="30" t="n">
        <v>45444</v>
      </c>
      <c r="B82" s="31" t="s">
        <v>153</v>
      </c>
      <c r="C82" s="82"/>
      <c r="D82" s="32"/>
      <c r="E82" s="19" t="n">
        <f aca="false">+F82*0.03</f>
        <v>0</v>
      </c>
      <c r="F82" s="33" t="n">
        <v>0</v>
      </c>
      <c r="G82" s="62"/>
      <c r="H82" s="34" t="n">
        <v>0</v>
      </c>
      <c r="I82" s="34" t="n">
        <f aca="false">+IF(E82=0,0,E82*0.03)</f>
        <v>0</v>
      </c>
    </row>
    <row r="83" customFormat="false" ht="15.75" hidden="false" customHeight="true" outlineLevel="0" collapsed="false">
      <c r="A83" s="30" t="n">
        <v>45444</v>
      </c>
      <c r="B83" s="31" t="s">
        <v>153</v>
      </c>
      <c r="C83" s="82"/>
      <c r="D83" s="32"/>
      <c r="E83" s="19" t="n">
        <f aca="false">+F83*0.03</f>
        <v>0</v>
      </c>
      <c r="F83" s="33" t="n">
        <v>0</v>
      </c>
      <c r="G83" s="62"/>
      <c r="H83" s="34" t="n">
        <v>0</v>
      </c>
      <c r="I83" s="34" t="n">
        <f aca="false">+IF(E83=0,0,E83*0.03)</f>
        <v>0</v>
      </c>
    </row>
    <row r="84" customFormat="false" ht="15.75" hidden="false" customHeight="true" outlineLevel="0" collapsed="false">
      <c r="A84" s="30" t="n">
        <v>45444</v>
      </c>
      <c r="B84" s="31" t="s">
        <v>153</v>
      </c>
      <c r="C84" s="82"/>
      <c r="D84" s="32"/>
      <c r="E84" s="19" t="n">
        <f aca="false">+F84*0.03</f>
        <v>0</v>
      </c>
      <c r="F84" s="33" t="n">
        <v>0</v>
      </c>
      <c r="G84" s="62"/>
      <c r="H84" s="34" t="n">
        <v>0</v>
      </c>
      <c r="I84" s="34" t="n">
        <f aca="false">+IF(E84=0,0,E84*0.03)</f>
        <v>0</v>
      </c>
    </row>
    <row r="85" customFormat="false" ht="15.75" hidden="false" customHeight="true" outlineLevel="0" collapsed="false">
      <c r="A85" s="30" t="n">
        <v>45444</v>
      </c>
      <c r="B85" s="31" t="s">
        <v>153</v>
      </c>
      <c r="C85" s="82"/>
      <c r="D85" s="32"/>
      <c r="E85" s="19" t="n">
        <f aca="false">+F85*0.03</f>
        <v>0</v>
      </c>
      <c r="F85" s="33" t="n">
        <v>0</v>
      </c>
      <c r="G85" s="62"/>
      <c r="H85" s="34" t="n">
        <v>0</v>
      </c>
      <c r="I85" s="34" t="n">
        <f aca="false">+IF(E85=0,0,E85*0.03)</f>
        <v>0</v>
      </c>
    </row>
    <row r="86" customFormat="false" ht="15.75" hidden="false" customHeight="true" outlineLevel="0" collapsed="false">
      <c r="A86" s="30" t="n">
        <v>45444</v>
      </c>
      <c r="B86" s="31" t="s">
        <v>153</v>
      </c>
      <c r="C86" s="82"/>
      <c r="D86" s="32"/>
      <c r="E86" s="19" t="n">
        <f aca="false">+F86*0.03</f>
        <v>0</v>
      </c>
      <c r="F86" s="33" t="n">
        <v>0</v>
      </c>
      <c r="G86" s="62"/>
      <c r="H86" s="34" t="n">
        <v>0</v>
      </c>
      <c r="I86" s="34" t="n">
        <f aca="false">+IF(E86=0,0,E86*0.03)</f>
        <v>0</v>
      </c>
    </row>
    <row r="87" customFormat="false" ht="15.75" hidden="false" customHeight="true" outlineLevel="0" collapsed="false">
      <c r="A87" s="30" t="n">
        <v>45444</v>
      </c>
      <c r="B87" s="31" t="s">
        <v>153</v>
      </c>
      <c r="C87" s="82"/>
      <c r="D87" s="32"/>
      <c r="E87" s="19" t="n">
        <f aca="false">+F87*0.03</f>
        <v>0</v>
      </c>
      <c r="F87" s="33" t="n">
        <v>0</v>
      </c>
      <c r="G87" s="62"/>
      <c r="H87" s="34" t="n">
        <v>0</v>
      </c>
      <c r="I87" s="34" t="n">
        <f aca="false">+IF(E87=0,0,E87*0.03)</f>
        <v>0</v>
      </c>
    </row>
    <row r="88" customFormat="false" ht="15.75" hidden="false" customHeight="true" outlineLevel="0" collapsed="false">
      <c r="A88" s="30" t="n">
        <v>45444</v>
      </c>
      <c r="B88" s="31" t="s">
        <v>153</v>
      </c>
      <c r="C88" s="82"/>
      <c r="D88" s="32"/>
      <c r="E88" s="19" t="n">
        <f aca="false">+F88*0.03</f>
        <v>0</v>
      </c>
      <c r="F88" s="33" t="n">
        <v>0</v>
      </c>
      <c r="G88" s="62"/>
      <c r="H88" s="34" t="n">
        <v>0</v>
      </c>
      <c r="I88" s="34" t="n">
        <f aca="false">+IF(E88=0,0,E88*0.03)</f>
        <v>0</v>
      </c>
    </row>
    <row r="89" customFormat="false" ht="15.75" hidden="false" customHeight="true" outlineLevel="0" collapsed="false">
      <c r="A89" s="30" t="n">
        <v>45444</v>
      </c>
      <c r="B89" s="31" t="s">
        <v>153</v>
      </c>
      <c r="C89" s="82"/>
      <c r="D89" s="32"/>
      <c r="E89" s="19" t="n">
        <f aca="false">+F89*0.03</f>
        <v>0</v>
      </c>
      <c r="F89" s="33" t="n">
        <v>0</v>
      </c>
      <c r="G89" s="62"/>
      <c r="H89" s="34" t="n">
        <v>0</v>
      </c>
      <c r="I89" s="34" t="n">
        <f aca="false">+IF(E89=0,0,E89*0.03)</f>
        <v>0</v>
      </c>
    </row>
    <row r="90" customFormat="false" ht="15.75" hidden="false" customHeight="true" outlineLevel="0" collapsed="false">
      <c r="A90" s="30" t="n">
        <v>45444</v>
      </c>
      <c r="B90" s="31" t="s">
        <v>153</v>
      </c>
      <c r="C90" s="82"/>
      <c r="D90" s="32"/>
      <c r="E90" s="19" t="n">
        <f aca="false">+F90*0.03</f>
        <v>0</v>
      </c>
      <c r="F90" s="33" t="n">
        <v>0</v>
      </c>
      <c r="G90" s="62"/>
      <c r="H90" s="34" t="n">
        <v>0</v>
      </c>
      <c r="I90" s="34" t="n">
        <f aca="false">+IF(E90=0,0,E90*0.03)</f>
        <v>0</v>
      </c>
    </row>
    <row r="91" customFormat="false" ht="15.75" hidden="false" customHeight="true" outlineLevel="0" collapsed="false">
      <c r="A91" s="30" t="n">
        <v>45444</v>
      </c>
      <c r="B91" s="31" t="s">
        <v>153</v>
      </c>
      <c r="C91" s="82"/>
      <c r="D91" s="32"/>
      <c r="E91" s="19" t="n">
        <f aca="false">+F91*0.03</f>
        <v>0</v>
      </c>
      <c r="F91" s="33" t="n">
        <v>0</v>
      </c>
      <c r="G91" s="62"/>
      <c r="H91" s="34" t="n">
        <v>0</v>
      </c>
      <c r="I91" s="34" t="n">
        <f aca="false">+IF(E91=0,0,E91*0.03)</f>
        <v>0</v>
      </c>
    </row>
    <row r="92" customFormat="false" ht="15.75" hidden="false" customHeight="true" outlineLevel="0" collapsed="false">
      <c r="A92" s="30" t="n">
        <v>45444</v>
      </c>
      <c r="B92" s="31" t="s">
        <v>153</v>
      </c>
      <c r="C92" s="82"/>
      <c r="D92" s="32"/>
      <c r="E92" s="19" t="n">
        <f aca="false">+F92*0.03</f>
        <v>0</v>
      </c>
      <c r="F92" s="33" t="n">
        <v>0</v>
      </c>
      <c r="G92" s="62"/>
      <c r="H92" s="34" t="n">
        <v>0</v>
      </c>
      <c r="I92" s="34" t="n">
        <f aca="false">+IF(E92=0,0,E92*0.03)</f>
        <v>0</v>
      </c>
    </row>
    <row r="93" customFormat="false" ht="15.75" hidden="false" customHeight="true" outlineLevel="0" collapsed="false">
      <c r="A93" s="30" t="n">
        <v>45444</v>
      </c>
      <c r="B93" s="31" t="s">
        <v>153</v>
      </c>
      <c r="C93" s="82"/>
      <c r="D93" s="32"/>
      <c r="E93" s="19" t="n">
        <f aca="false">+F93*0.03</f>
        <v>0</v>
      </c>
      <c r="F93" s="33" t="n">
        <v>0</v>
      </c>
      <c r="G93" s="62"/>
      <c r="H93" s="34" t="n">
        <v>0</v>
      </c>
      <c r="I93" s="34" t="n">
        <f aca="false">+IF(E93=0,0,E93*0.03)</f>
        <v>0</v>
      </c>
    </row>
    <row r="94" customFormat="false" ht="15.75" hidden="false" customHeight="true" outlineLevel="0" collapsed="false">
      <c r="A94" s="30" t="n">
        <v>45444</v>
      </c>
      <c r="B94" s="31" t="s">
        <v>153</v>
      </c>
      <c r="C94" s="82"/>
      <c r="D94" s="32"/>
      <c r="E94" s="19" t="n">
        <f aca="false">+F94*0.03</f>
        <v>0</v>
      </c>
      <c r="F94" s="33" t="n">
        <v>0</v>
      </c>
      <c r="G94" s="62"/>
      <c r="H94" s="34" t="n">
        <v>0</v>
      </c>
      <c r="I94" s="34" t="n">
        <f aca="false">+IF(E94=0,0,E94*0.03)</f>
        <v>0</v>
      </c>
    </row>
    <row r="95" customFormat="false" ht="15.75" hidden="false" customHeight="true" outlineLevel="0" collapsed="false">
      <c r="A95" s="30" t="n">
        <v>45444</v>
      </c>
      <c r="B95" s="31" t="s">
        <v>153</v>
      </c>
      <c r="C95" s="82"/>
      <c r="D95" s="32"/>
      <c r="E95" s="19" t="n">
        <f aca="false">+F95*0.03</f>
        <v>0</v>
      </c>
      <c r="F95" s="33" t="n">
        <v>0</v>
      </c>
      <c r="G95" s="62"/>
      <c r="H95" s="34" t="n">
        <v>0</v>
      </c>
      <c r="I95" s="34" t="n">
        <f aca="false">+IF(E95=0,0,E95*0.03)</f>
        <v>0</v>
      </c>
    </row>
    <row r="96" customFormat="false" ht="15.75" hidden="false" customHeight="true" outlineLevel="0" collapsed="false">
      <c r="A96" s="30" t="n">
        <v>45444</v>
      </c>
      <c r="B96" s="31" t="s">
        <v>153</v>
      </c>
      <c r="C96" s="82"/>
      <c r="D96" s="32"/>
      <c r="E96" s="19" t="n">
        <f aca="false">+F96*0.03</f>
        <v>0</v>
      </c>
      <c r="F96" s="33" t="n">
        <v>0</v>
      </c>
      <c r="G96" s="62"/>
      <c r="H96" s="34" t="n">
        <v>0</v>
      </c>
      <c r="I96" s="34" t="n">
        <f aca="false">+IF(E96=0,0,E96*0.03)</f>
        <v>0</v>
      </c>
    </row>
    <row r="97" customFormat="false" ht="15.75" hidden="false" customHeight="true" outlineLevel="0" collapsed="false">
      <c r="A97" s="30" t="n">
        <v>45444</v>
      </c>
      <c r="B97" s="31" t="s">
        <v>153</v>
      </c>
      <c r="C97" s="82"/>
      <c r="D97" s="32"/>
      <c r="E97" s="19" t="n">
        <f aca="false">+F97*0.03</f>
        <v>0</v>
      </c>
      <c r="F97" s="33" t="n">
        <v>0</v>
      </c>
      <c r="G97" s="62"/>
      <c r="H97" s="34" t="n">
        <v>0</v>
      </c>
      <c r="I97" s="34" t="n">
        <f aca="false">+IF(E97=0,0,E97*0.03)</f>
        <v>0</v>
      </c>
    </row>
    <row r="98" customFormat="false" ht="15.75" hidden="false" customHeight="true" outlineLevel="0" collapsed="false">
      <c r="A98" s="30" t="n">
        <v>45444</v>
      </c>
      <c r="B98" s="31" t="s">
        <v>153</v>
      </c>
      <c r="C98" s="82"/>
      <c r="D98" s="32"/>
      <c r="E98" s="19" t="n">
        <f aca="false">+F98*0.03</f>
        <v>0</v>
      </c>
      <c r="F98" s="33" t="n">
        <v>0</v>
      </c>
      <c r="G98" s="62"/>
      <c r="H98" s="34" t="n">
        <v>0</v>
      </c>
      <c r="I98" s="34" t="n">
        <f aca="false">+IF(E98=0,0,E98*0.03)</f>
        <v>0</v>
      </c>
    </row>
    <row r="99" customFormat="false" ht="15.75" hidden="false" customHeight="true" outlineLevel="0" collapsed="false">
      <c r="A99" s="30" t="n">
        <v>45444</v>
      </c>
      <c r="B99" s="31" t="s">
        <v>153</v>
      </c>
      <c r="C99" s="82"/>
      <c r="D99" s="32"/>
      <c r="E99" s="19" t="n">
        <f aca="false">+F99*0.03</f>
        <v>0</v>
      </c>
      <c r="F99" s="33" t="n">
        <v>0</v>
      </c>
      <c r="G99" s="62"/>
      <c r="H99" s="34" t="n">
        <v>0</v>
      </c>
      <c r="I99" s="34" t="n">
        <f aca="false">+IF(E99=0,0,E99*0.03)</f>
        <v>0</v>
      </c>
    </row>
    <row r="100" customFormat="false" ht="15.75" hidden="false" customHeight="true" outlineLevel="0" collapsed="false">
      <c r="A100" s="30" t="n">
        <v>45444</v>
      </c>
      <c r="B100" s="31" t="s">
        <v>153</v>
      </c>
      <c r="C100" s="82"/>
      <c r="D100" s="32"/>
      <c r="E100" s="19" t="n">
        <f aca="false">+F100*0.03</f>
        <v>0</v>
      </c>
      <c r="F100" s="33" t="n">
        <v>0</v>
      </c>
      <c r="G100" s="62"/>
      <c r="H100" s="34" t="n">
        <v>0</v>
      </c>
      <c r="I100" s="34" t="n">
        <f aca="false">+IF(E100=0,0,E100*0.03)</f>
        <v>0</v>
      </c>
    </row>
    <row r="101" customFormat="false" ht="15.75" hidden="false" customHeight="true" outlineLevel="0" collapsed="false">
      <c r="A101" s="30" t="n">
        <v>45444</v>
      </c>
      <c r="B101" s="31" t="s">
        <v>153</v>
      </c>
      <c r="C101" s="82"/>
      <c r="D101" s="32"/>
      <c r="E101" s="19" t="n">
        <f aca="false">+F101*0.03</f>
        <v>0</v>
      </c>
      <c r="F101" s="33" t="n">
        <v>0</v>
      </c>
      <c r="G101" s="62"/>
      <c r="H101" s="34" t="n">
        <v>0</v>
      </c>
      <c r="I101" s="34" t="n">
        <f aca="false">+IF(E101=0,0,E101*0.03)</f>
        <v>0</v>
      </c>
    </row>
    <row r="102" customFormat="false" ht="15.75" hidden="false" customHeight="true" outlineLevel="0" collapsed="false">
      <c r="A102" s="30" t="n">
        <v>45444</v>
      </c>
      <c r="B102" s="31" t="s">
        <v>153</v>
      </c>
      <c r="C102" s="82"/>
      <c r="D102" s="32"/>
      <c r="E102" s="19" t="n">
        <f aca="false">+F102*0.03</f>
        <v>0</v>
      </c>
      <c r="F102" s="33" t="n">
        <v>0</v>
      </c>
      <c r="G102" s="62"/>
      <c r="H102" s="34" t="n">
        <v>0</v>
      </c>
      <c r="I102" s="34" t="n">
        <f aca="false">+IF(E102=0,0,E102*0.03)</f>
        <v>0</v>
      </c>
    </row>
    <row r="103" customFormat="false" ht="15.75" hidden="false" customHeight="true" outlineLevel="0" collapsed="false">
      <c r="A103" s="30" t="n">
        <v>45444</v>
      </c>
      <c r="B103" s="31" t="s">
        <v>153</v>
      </c>
      <c r="C103" s="82"/>
      <c r="D103" s="32"/>
      <c r="E103" s="19" t="n">
        <f aca="false">+F103*0.03</f>
        <v>0</v>
      </c>
      <c r="F103" s="33" t="n">
        <v>0</v>
      </c>
      <c r="G103" s="62"/>
      <c r="H103" s="34" t="n">
        <v>0</v>
      </c>
      <c r="I103" s="34" t="n">
        <f aca="false">+IF(E103=0,0,E103*0.03)</f>
        <v>0</v>
      </c>
    </row>
    <row r="104" customFormat="false" ht="15.75" hidden="false" customHeight="true" outlineLevel="0" collapsed="false">
      <c r="A104" s="30" t="n">
        <v>45444</v>
      </c>
      <c r="B104" s="31" t="s">
        <v>153</v>
      </c>
      <c r="C104" s="82"/>
      <c r="D104" s="32"/>
      <c r="E104" s="19" t="n">
        <f aca="false">+F104*0.03</f>
        <v>0</v>
      </c>
      <c r="F104" s="33" t="n">
        <v>0</v>
      </c>
      <c r="G104" s="62"/>
      <c r="H104" s="34" t="n">
        <v>0</v>
      </c>
      <c r="I104" s="34" t="n">
        <f aca="false">+IF(E104=0,0,E104*0.03)</f>
        <v>0</v>
      </c>
    </row>
    <row r="105" customFormat="false" ht="15.75" hidden="false" customHeight="true" outlineLevel="0" collapsed="false">
      <c r="A105" s="30" t="n">
        <v>45444</v>
      </c>
      <c r="B105" s="31" t="s">
        <v>153</v>
      </c>
      <c r="C105" s="82"/>
      <c r="D105" s="32"/>
      <c r="E105" s="19" t="n">
        <f aca="false">+F105*0.03</f>
        <v>0</v>
      </c>
      <c r="F105" s="33" t="n">
        <v>0</v>
      </c>
      <c r="G105" s="62"/>
      <c r="H105" s="34" t="n">
        <v>0</v>
      </c>
      <c r="I105" s="34" t="n">
        <f aca="false">+IF(E105=0,0,E105*0.03)</f>
        <v>0</v>
      </c>
    </row>
    <row r="106" customFormat="false" ht="15.75" hidden="false" customHeight="true" outlineLevel="0" collapsed="false">
      <c r="A106" s="30" t="n">
        <v>45444</v>
      </c>
      <c r="B106" s="31" t="s">
        <v>153</v>
      </c>
      <c r="C106" s="82"/>
      <c r="D106" s="32"/>
      <c r="E106" s="19" t="n">
        <f aca="false">+F106*0.03</f>
        <v>0</v>
      </c>
      <c r="F106" s="33" t="n">
        <v>0</v>
      </c>
      <c r="G106" s="62"/>
      <c r="H106" s="34" t="n">
        <v>0</v>
      </c>
      <c r="I106" s="34" t="n">
        <f aca="false">+IF(E106=0,0,E106*0.03)</f>
        <v>0</v>
      </c>
    </row>
    <row r="107" customFormat="false" ht="15.75" hidden="false" customHeight="true" outlineLevel="0" collapsed="false">
      <c r="A107" s="30" t="n">
        <v>45444</v>
      </c>
      <c r="B107" s="31" t="s">
        <v>153</v>
      </c>
      <c r="C107" s="82"/>
      <c r="D107" s="32"/>
      <c r="E107" s="19" t="n">
        <f aca="false">+F107*0.03</f>
        <v>0</v>
      </c>
      <c r="F107" s="33" t="n">
        <v>0</v>
      </c>
      <c r="G107" s="62"/>
      <c r="H107" s="34" t="n">
        <v>0</v>
      </c>
      <c r="I107" s="34" t="n">
        <f aca="false">+IF(E107=0,0,E107*0.03)</f>
        <v>0</v>
      </c>
    </row>
    <row r="108" customFormat="false" ht="15.75" hidden="false" customHeight="true" outlineLevel="0" collapsed="false">
      <c r="A108" s="30" t="n">
        <v>45444</v>
      </c>
      <c r="B108" s="31" t="s">
        <v>153</v>
      </c>
      <c r="C108" s="82"/>
      <c r="D108" s="32"/>
      <c r="E108" s="19" t="n">
        <f aca="false">+F108*0.03</f>
        <v>0</v>
      </c>
      <c r="F108" s="33" t="n">
        <v>0</v>
      </c>
      <c r="G108" s="62"/>
      <c r="H108" s="34" t="n">
        <v>0</v>
      </c>
      <c r="I108" s="34" t="n">
        <f aca="false">+IF(E108=0,0,E108*0.03)</f>
        <v>0</v>
      </c>
    </row>
    <row r="109" customFormat="false" ht="15.75" hidden="false" customHeight="true" outlineLevel="0" collapsed="false">
      <c r="A109" s="30" t="n">
        <v>45444</v>
      </c>
      <c r="B109" s="31" t="s">
        <v>153</v>
      </c>
      <c r="C109" s="82"/>
      <c r="D109" s="32"/>
      <c r="E109" s="19" t="n">
        <f aca="false">+F109*0.03</f>
        <v>0</v>
      </c>
      <c r="F109" s="33" t="n">
        <v>0</v>
      </c>
      <c r="G109" s="62"/>
      <c r="H109" s="34" t="n">
        <v>0</v>
      </c>
      <c r="I109" s="34" t="n">
        <f aca="false">+IF(E109=0,0,E109*0.03)</f>
        <v>0</v>
      </c>
    </row>
    <row r="110" customFormat="false" ht="15.75" hidden="false" customHeight="true" outlineLevel="0" collapsed="false">
      <c r="A110" s="30" t="n">
        <v>45444</v>
      </c>
      <c r="B110" s="31" t="s">
        <v>153</v>
      </c>
      <c r="C110" s="82"/>
      <c r="D110" s="32"/>
      <c r="E110" s="19" t="n">
        <f aca="false">+F110*0.03</f>
        <v>0</v>
      </c>
      <c r="F110" s="33" t="n">
        <v>0</v>
      </c>
      <c r="G110" s="62"/>
      <c r="H110" s="34" t="n">
        <v>0</v>
      </c>
      <c r="I110" s="34" t="n">
        <f aca="false">+IF(E110=0,0,E110*0.03)</f>
        <v>0</v>
      </c>
    </row>
    <row r="111" customFormat="false" ht="15.75" hidden="false" customHeight="true" outlineLevel="0" collapsed="false">
      <c r="A111" s="30" t="n">
        <v>45444</v>
      </c>
      <c r="B111" s="31" t="s">
        <v>153</v>
      </c>
      <c r="C111" s="82"/>
      <c r="D111" s="32"/>
      <c r="E111" s="19" t="n">
        <f aca="false">+F111*0.03</f>
        <v>0</v>
      </c>
      <c r="F111" s="33" t="n">
        <v>0</v>
      </c>
      <c r="G111" s="62"/>
      <c r="H111" s="34" t="n">
        <v>0</v>
      </c>
      <c r="I111" s="34" t="n">
        <f aca="false">+IF(E111=0,0,E111*0.03)</f>
        <v>0</v>
      </c>
    </row>
    <row r="112" customFormat="false" ht="15.75" hidden="false" customHeight="true" outlineLevel="0" collapsed="false">
      <c r="A112" s="30" t="n">
        <v>45444</v>
      </c>
      <c r="B112" s="31" t="s">
        <v>153</v>
      </c>
      <c r="C112" s="82"/>
      <c r="D112" s="32"/>
      <c r="E112" s="19" t="n">
        <f aca="false">+F112*0.03</f>
        <v>0</v>
      </c>
      <c r="F112" s="33" t="n">
        <v>0</v>
      </c>
      <c r="G112" s="62"/>
      <c r="H112" s="34" t="n">
        <v>0</v>
      </c>
      <c r="I112" s="34" t="n">
        <f aca="false">+IF(E112=0,0,E112*0.03)</f>
        <v>0</v>
      </c>
    </row>
    <row r="113" customFormat="false" ht="15.75" hidden="false" customHeight="true" outlineLevel="0" collapsed="false">
      <c r="A113" s="30" t="n">
        <v>45444</v>
      </c>
      <c r="B113" s="31" t="s">
        <v>153</v>
      </c>
      <c r="C113" s="82"/>
      <c r="D113" s="32"/>
      <c r="E113" s="19" t="n">
        <f aca="false">+F113*0.03</f>
        <v>0</v>
      </c>
      <c r="F113" s="33" t="n">
        <v>0</v>
      </c>
      <c r="G113" s="62"/>
      <c r="H113" s="34" t="n">
        <v>0</v>
      </c>
      <c r="I113" s="34" t="n">
        <f aca="false">+IF(E113=0,0,E113*0.03)</f>
        <v>0</v>
      </c>
    </row>
    <row r="114" customFormat="false" ht="15.75" hidden="false" customHeight="true" outlineLevel="0" collapsed="false">
      <c r="A114" s="30" t="n">
        <v>45444</v>
      </c>
      <c r="B114" s="31" t="s">
        <v>153</v>
      </c>
      <c r="C114" s="82"/>
      <c r="D114" s="32"/>
      <c r="E114" s="19" t="n">
        <f aca="false">+F114*0.03</f>
        <v>0</v>
      </c>
      <c r="F114" s="33" t="n">
        <v>0</v>
      </c>
      <c r="G114" s="62"/>
      <c r="H114" s="34" t="n">
        <v>0</v>
      </c>
      <c r="I114" s="34" t="n">
        <f aca="false">+IF(E114=0,0,E114*0.03)</f>
        <v>0</v>
      </c>
    </row>
    <row r="115" customFormat="false" ht="15.75" hidden="false" customHeight="true" outlineLevel="0" collapsed="false">
      <c r="A115" s="30" t="n">
        <v>45444</v>
      </c>
      <c r="B115" s="31" t="s">
        <v>153</v>
      </c>
      <c r="C115" s="82"/>
      <c r="D115" s="32"/>
      <c r="E115" s="19" t="n">
        <f aca="false">+F115*0.03</f>
        <v>0</v>
      </c>
      <c r="F115" s="33" t="n">
        <v>0</v>
      </c>
      <c r="G115" s="62"/>
      <c r="H115" s="34" t="n">
        <v>0</v>
      </c>
      <c r="I115" s="34" t="n">
        <f aca="false">+IF(E115=0,0,E115*0.03)</f>
        <v>0</v>
      </c>
    </row>
    <row r="116" customFormat="false" ht="15.75" hidden="false" customHeight="true" outlineLevel="0" collapsed="false">
      <c r="A116" s="30" t="n">
        <v>45444</v>
      </c>
      <c r="B116" s="31" t="s">
        <v>153</v>
      </c>
      <c r="C116" s="82"/>
      <c r="D116" s="32"/>
      <c r="E116" s="19" t="n">
        <f aca="false">+F116*0.03</f>
        <v>0</v>
      </c>
      <c r="F116" s="33" t="n">
        <v>0</v>
      </c>
      <c r="G116" s="62"/>
      <c r="H116" s="34" t="n">
        <v>0</v>
      </c>
      <c r="I116" s="34" t="n">
        <f aca="false">+IF(E116=0,0,E116*0.03)</f>
        <v>0</v>
      </c>
    </row>
    <row r="117" customFormat="false" ht="15.75" hidden="false" customHeight="true" outlineLevel="0" collapsed="false">
      <c r="A117" s="30" t="n">
        <v>45444</v>
      </c>
      <c r="B117" s="31" t="s">
        <v>153</v>
      </c>
      <c r="C117" s="82"/>
      <c r="D117" s="32"/>
      <c r="E117" s="19" t="n">
        <f aca="false">+F117*0.03</f>
        <v>0</v>
      </c>
      <c r="F117" s="33" t="n">
        <v>0</v>
      </c>
      <c r="G117" s="62"/>
      <c r="H117" s="34" t="n">
        <v>0</v>
      </c>
      <c r="I117" s="34" t="n">
        <f aca="false">+IF(E117=0,0,E117*0.03)</f>
        <v>0</v>
      </c>
    </row>
    <row r="118" customFormat="false" ht="15.75" hidden="false" customHeight="true" outlineLevel="0" collapsed="false">
      <c r="A118" s="30" t="n">
        <v>45444</v>
      </c>
      <c r="B118" s="31" t="s">
        <v>153</v>
      </c>
      <c r="C118" s="82"/>
      <c r="D118" s="32"/>
      <c r="E118" s="19" t="n">
        <f aca="false">+F118*0.03</f>
        <v>0</v>
      </c>
      <c r="F118" s="33" t="n">
        <v>0</v>
      </c>
      <c r="G118" s="62"/>
      <c r="H118" s="34" t="n">
        <v>0</v>
      </c>
      <c r="I118" s="34" t="n">
        <f aca="false">+IF(E118=0,0,E118*0.03)</f>
        <v>0</v>
      </c>
    </row>
    <row r="119" customFormat="false" ht="15.75" hidden="false" customHeight="true" outlineLevel="0" collapsed="false">
      <c r="A119" s="30" t="n">
        <v>45444</v>
      </c>
      <c r="B119" s="31" t="s">
        <v>153</v>
      </c>
      <c r="C119" s="32"/>
      <c r="D119" s="32"/>
      <c r="E119" s="19" t="n">
        <f aca="false">+F119*0.03</f>
        <v>0</v>
      </c>
      <c r="F119" s="33" t="n">
        <v>0</v>
      </c>
      <c r="G119" s="62"/>
      <c r="H119" s="34" t="n">
        <v>0</v>
      </c>
      <c r="I119" s="34" t="n">
        <f aca="false">+IF(E119=0,0,E119*0.03)</f>
        <v>0</v>
      </c>
    </row>
    <row r="120" customFormat="false" ht="15.75" hidden="false" customHeight="true" outlineLevel="0" collapsed="false">
      <c r="A120" s="30" t="n">
        <v>45444</v>
      </c>
      <c r="B120" s="31" t="s">
        <v>153</v>
      </c>
      <c r="C120" s="32"/>
      <c r="D120" s="32"/>
      <c r="E120" s="19" t="n">
        <f aca="false">+F120*0.03</f>
        <v>0</v>
      </c>
      <c r="F120" s="33" t="n">
        <v>0</v>
      </c>
      <c r="G120" s="62"/>
      <c r="H120" s="34" t="n">
        <v>0</v>
      </c>
      <c r="I120" s="34" t="n">
        <f aca="false">+IF(E120=0,0,E120*0.03)</f>
        <v>0</v>
      </c>
    </row>
    <row r="121" customFormat="false" ht="15.75" hidden="false" customHeight="true" outlineLevel="0" collapsed="false">
      <c r="A121" s="30" t="n">
        <v>45444</v>
      </c>
      <c r="B121" s="31" t="s">
        <v>153</v>
      </c>
      <c r="C121" s="32"/>
      <c r="D121" s="32"/>
      <c r="E121" s="19" t="n">
        <f aca="false">+F121*0.03</f>
        <v>0</v>
      </c>
      <c r="F121" s="33" t="n">
        <v>0</v>
      </c>
      <c r="G121" s="62"/>
      <c r="H121" s="34" t="n">
        <v>0</v>
      </c>
      <c r="I121" s="34" t="n">
        <f aca="false">+IF(E121=0,0,E121*0.03)</f>
        <v>0</v>
      </c>
    </row>
    <row r="122" customFormat="false" ht="15.75" hidden="false" customHeight="true" outlineLevel="0" collapsed="false">
      <c r="A122" s="30" t="n">
        <v>45444</v>
      </c>
      <c r="B122" s="31" t="s">
        <v>153</v>
      </c>
      <c r="C122" s="32"/>
      <c r="D122" s="32"/>
      <c r="E122" s="19" t="n">
        <f aca="false">+F122*0.03</f>
        <v>0</v>
      </c>
      <c r="F122" s="33" t="n">
        <v>0</v>
      </c>
      <c r="G122" s="62"/>
      <c r="H122" s="34" t="n">
        <v>0</v>
      </c>
      <c r="I122" s="34" t="n">
        <f aca="false">+IF(E122=0,0,E122*0.03)</f>
        <v>0</v>
      </c>
    </row>
    <row r="123" customFormat="false" ht="15.75" hidden="false" customHeight="true" outlineLevel="0" collapsed="false">
      <c r="A123" s="30" t="n">
        <v>45444</v>
      </c>
      <c r="B123" s="31" t="s">
        <v>153</v>
      </c>
      <c r="C123" s="32"/>
      <c r="D123" s="32"/>
      <c r="E123" s="19" t="n">
        <f aca="false">+F123*0.03</f>
        <v>0</v>
      </c>
      <c r="F123" s="33" t="n">
        <v>0</v>
      </c>
      <c r="G123" s="62"/>
      <c r="H123" s="34" t="n">
        <v>0</v>
      </c>
      <c r="I123" s="34" t="n">
        <f aca="false">+IF(E123=0,0,E123*0.03)</f>
        <v>0</v>
      </c>
    </row>
    <row r="124" customFormat="false" ht="15.75" hidden="false" customHeight="true" outlineLevel="0" collapsed="false">
      <c r="A124" s="30" t="n">
        <v>45444</v>
      </c>
      <c r="B124" s="31" t="s">
        <v>153</v>
      </c>
      <c r="C124" s="32"/>
      <c r="D124" s="32"/>
      <c r="E124" s="19" t="n">
        <f aca="false">+F124*0.03</f>
        <v>0</v>
      </c>
      <c r="F124" s="33" t="n">
        <v>0</v>
      </c>
      <c r="G124" s="62"/>
      <c r="H124" s="34" t="n">
        <v>0</v>
      </c>
      <c r="I124" s="34" t="n">
        <f aca="false">+IF(E124=0,0,E124*0.03)</f>
        <v>0</v>
      </c>
    </row>
    <row r="125" customFormat="false" ht="15.75" hidden="false" customHeight="true" outlineLevel="0" collapsed="false">
      <c r="A125" s="30" t="n">
        <v>45444</v>
      </c>
      <c r="B125" s="31" t="s">
        <v>153</v>
      </c>
      <c r="C125" s="32"/>
      <c r="D125" s="32"/>
      <c r="E125" s="19" t="n">
        <f aca="false">+F125*0.03</f>
        <v>0</v>
      </c>
      <c r="F125" s="33" t="n">
        <v>0</v>
      </c>
      <c r="G125" s="62"/>
      <c r="H125" s="34" t="n">
        <v>0</v>
      </c>
      <c r="I125" s="34" t="n">
        <f aca="false">+IF(E125=0,0,E125*0.03)</f>
        <v>0</v>
      </c>
    </row>
    <row r="126" customFormat="false" ht="15.75" hidden="false" customHeight="true" outlineLevel="0" collapsed="false">
      <c r="A126" s="30" t="n">
        <v>45444</v>
      </c>
      <c r="B126" s="31" t="s">
        <v>153</v>
      </c>
      <c r="C126" s="32"/>
      <c r="D126" s="32"/>
      <c r="E126" s="19" t="n">
        <f aca="false">+F126*0.03</f>
        <v>0</v>
      </c>
      <c r="F126" s="33" t="n">
        <v>0</v>
      </c>
      <c r="G126" s="62"/>
      <c r="H126" s="34" t="n">
        <v>0</v>
      </c>
      <c r="I126" s="34" t="n">
        <f aca="false">+IF(E126=0,0,E126*0.03)</f>
        <v>0</v>
      </c>
    </row>
    <row r="127" customFormat="false" ht="15.75" hidden="false" customHeight="true" outlineLevel="0" collapsed="false">
      <c r="A127" s="30" t="n">
        <v>45444</v>
      </c>
      <c r="B127" s="31" t="s">
        <v>153</v>
      </c>
      <c r="C127" s="32"/>
      <c r="D127" s="32"/>
      <c r="E127" s="19" t="n">
        <f aca="false">+F127*0.03</f>
        <v>0</v>
      </c>
      <c r="F127" s="33" t="n">
        <v>0</v>
      </c>
      <c r="G127" s="62"/>
      <c r="H127" s="34" t="n">
        <v>0</v>
      </c>
      <c r="I127" s="34" t="n">
        <f aca="false">+IF(E127=0,0,E127*0.03)</f>
        <v>0</v>
      </c>
    </row>
    <row r="128" customFormat="false" ht="15.75" hidden="false" customHeight="true" outlineLevel="0" collapsed="false">
      <c r="A128" s="30" t="n">
        <v>45444</v>
      </c>
      <c r="B128" s="31" t="s">
        <v>153</v>
      </c>
      <c r="C128" s="32"/>
      <c r="D128" s="32"/>
      <c r="E128" s="19" t="n">
        <f aca="false">+F128*0.03</f>
        <v>0</v>
      </c>
      <c r="F128" s="33" t="n">
        <v>0</v>
      </c>
      <c r="G128" s="62"/>
      <c r="H128" s="34" t="n">
        <v>0</v>
      </c>
      <c r="I128" s="34" t="n">
        <f aca="false">+IF(E128=0,0,E128*0.03)</f>
        <v>0</v>
      </c>
    </row>
    <row r="129" customFormat="false" ht="15.75" hidden="false" customHeight="true" outlineLevel="0" collapsed="false">
      <c r="A129" s="30" t="n">
        <v>45444</v>
      </c>
      <c r="B129" s="31" t="s">
        <v>153</v>
      </c>
      <c r="C129" s="32"/>
      <c r="D129" s="32"/>
      <c r="E129" s="19" t="n">
        <f aca="false">+F129*0.03</f>
        <v>0</v>
      </c>
      <c r="F129" s="33" t="n">
        <v>0</v>
      </c>
      <c r="G129" s="62"/>
      <c r="H129" s="34" t="n">
        <v>0</v>
      </c>
      <c r="I129" s="34" t="n">
        <f aca="false">+IF(E129=0,0,E129*0.03)</f>
        <v>0</v>
      </c>
    </row>
    <row r="130" customFormat="false" ht="15.75" hidden="false" customHeight="true" outlineLevel="0" collapsed="false">
      <c r="A130" s="30" t="n">
        <v>45444</v>
      </c>
      <c r="B130" s="31" t="s">
        <v>153</v>
      </c>
      <c r="C130" s="32"/>
      <c r="D130" s="32"/>
      <c r="E130" s="19" t="n">
        <f aca="false">+F130*0.03</f>
        <v>0</v>
      </c>
      <c r="F130" s="33" t="n">
        <v>0</v>
      </c>
      <c r="G130" s="62"/>
      <c r="H130" s="34" t="n">
        <v>0</v>
      </c>
      <c r="I130" s="34" t="n">
        <f aca="false">+IF(E130=0,0,E130*0.03)</f>
        <v>0</v>
      </c>
    </row>
    <row r="131" customFormat="false" ht="15.75" hidden="false" customHeight="true" outlineLevel="0" collapsed="false">
      <c r="A131" s="30" t="n">
        <v>45444</v>
      </c>
      <c r="B131" s="31" t="s">
        <v>153</v>
      </c>
      <c r="C131" s="32"/>
      <c r="D131" s="32"/>
      <c r="E131" s="19" t="n">
        <f aca="false">+F131*0.03</f>
        <v>0</v>
      </c>
      <c r="F131" s="33" t="n">
        <v>0</v>
      </c>
      <c r="G131" s="62"/>
      <c r="H131" s="34" t="n">
        <v>0</v>
      </c>
      <c r="I131" s="34" t="n">
        <f aca="false">+IF(E131=0,0,E131*0.03)</f>
        <v>0</v>
      </c>
    </row>
    <row r="132" customFormat="false" ht="15.75" hidden="false" customHeight="true" outlineLevel="0" collapsed="false">
      <c r="A132" s="30" t="n">
        <v>45444</v>
      </c>
      <c r="B132" s="31" t="s">
        <v>153</v>
      </c>
      <c r="C132" s="32"/>
      <c r="D132" s="32"/>
      <c r="E132" s="19" t="n">
        <f aca="false">+F132*0.03</f>
        <v>0</v>
      </c>
      <c r="F132" s="33" t="n">
        <v>0</v>
      </c>
      <c r="G132" s="62"/>
      <c r="H132" s="34" t="n">
        <v>0</v>
      </c>
      <c r="I132" s="34" t="n">
        <f aca="false">+IF(E132=0,0,E132*0.03)</f>
        <v>0</v>
      </c>
    </row>
    <row r="133" customFormat="false" ht="15.75" hidden="false" customHeight="true" outlineLevel="0" collapsed="false">
      <c r="A133" s="30" t="n">
        <v>45444</v>
      </c>
      <c r="B133" s="31" t="s">
        <v>153</v>
      </c>
      <c r="C133" s="32"/>
      <c r="D133" s="32"/>
      <c r="E133" s="19" t="n">
        <f aca="false">+F133*0.03</f>
        <v>0</v>
      </c>
      <c r="F133" s="33" t="n">
        <v>0</v>
      </c>
      <c r="G133" s="62"/>
      <c r="H133" s="34" t="n">
        <v>0</v>
      </c>
      <c r="I133" s="34" t="n">
        <f aca="false">+IF(E133=0,0,E133*0.03)</f>
        <v>0</v>
      </c>
    </row>
    <row r="134" customFormat="false" ht="15.75" hidden="false" customHeight="true" outlineLevel="0" collapsed="false">
      <c r="A134" s="30" t="n">
        <v>45444</v>
      </c>
      <c r="B134" s="31" t="s">
        <v>153</v>
      </c>
      <c r="C134" s="32"/>
      <c r="D134" s="32"/>
      <c r="E134" s="19" t="n">
        <f aca="false">+F134*0.03</f>
        <v>0</v>
      </c>
      <c r="F134" s="33" t="n">
        <v>0</v>
      </c>
      <c r="G134" s="62"/>
      <c r="H134" s="34" t="n">
        <v>0</v>
      </c>
      <c r="I134" s="34" t="n">
        <f aca="false">+IF(E134=0,0,E134*0.03)</f>
        <v>0</v>
      </c>
    </row>
    <row r="135" customFormat="false" ht="15.75" hidden="false" customHeight="true" outlineLevel="0" collapsed="false">
      <c r="A135" s="30" t="n">
        <v>45444</v>
      </c>
      <c r="B135" s="31" t="s">
        <v>153</v>
      </c>
      <c r="C135" s="32"/>
      <c r="D135" s="32"/>
      <c r="E135" s="19" t="n">
        <f aca="false">+F135*0.03</f>
        <v>0</v>
      </c>
      <c r="F135" s="33" t="n">
        <v>0</v>
      </c>
      <c r="G135" s="62"/>
      <c r="H135" s="35" t="n">
        <v>0</v>
      </c>
      <c r="I135" s="34" t="n">
        <f aca="false">+IF(E135=0,0,E135*0.03)</f>
        <v>0</v>
      </c>
    </row>
    <row r="136" customFormat="false" ht="15.75" hidden="false" customHeight="true" outlineLevel="0" collapsed="false">
      <c r="A136" s="30" t="n">
        <v>45444</v>
      </c>
      <c r="B136" s="31" t="s">
        <v>153</v>
      </c>
      <c r="C136" s="32"/>
      <c r="D136" s="32"/>
      <c r="E136" s="19" t="n">
        <f aca="false">+F136*0.03</f>
        <v>0</v>
      </c>
      <c r="F136" s="33" t="n">
        <v>0</v>
      </c>
      <c r="G136" s="62"/>
      <c r="H136" s="35" t="n">
        <v>0</v>
      </c>
      <c r="I136" s="34" t="n">
        <f aca="false">+IF(E136=0,0,E136*0.03)</f>
        <v>0</v>
      </c>
    </row>
    <row r="137" customFormat="false" ht="15.75" hidden="false" customHeight="true" outlineLevel="0" collapsed="false">
      <c r="A137" s="30" t="n">
        <v>45444</v>
      </c>
      <c r="B137" s="31" t="s">
        <v>153</v>
      </c>
      <c r="C137" s="32"/>
      <c r="D137" s="32"/>
      <c r="E137" s="19" t="n">
        <f aca="false">+F137*0.03</f>
        <v>0</v>
      </c>
      <c r="F137" s="33" t="n">
        <v>0</v>
      </c>
      <c r="G137" s="62"/>
      <c r="H137" s="35" t="n">
        <v>0</v>
      </c>
      <c r="I137" s="34" t="n">
        <f aca="false">+IF(E137=0,0,E137*0.03)</f>
        <v>0</v>
      </c>
    </row>
    <row r="138" customFormat="false" ht="15.75" hidden="false" customHeight="true" outlineLevel="0" collapsed="false">
      <c r="A138" s="30" t="n">
        <v>45444</v>
      </c>
      <c r="B138" s="31" t="s">
        <v>153</v>
      </c>
      <c r="C138" s="32"/>
      <c r="D138" s="32"/>
      <c r="E138" s="19" t="n">
        <f aca="false">+F138*0.03</f>
        <v>0</v>
      </c>
      <c r="F138" s="33" t="n">
        <v>0</v>
      </c>
      <c r="G138" s="62"/>
      <c r="H138" s="35" t="n">
        <v>0</v>
      </c>
      <c r="I138" s="34" t="n">
        <f aca="false">+IF(E138=0,0,E138*0.03)</f>
        <v>0</v>
      </c>
    </row>
    <row r="139" customFormat="false" ht="15.75" hidden="false" customHeight="true" outlineLevel="0" collapsed="false">
      <c r="A139" s="30" t="n">
        <v>45444</v>
      </c>
      <c r="B139" s="31" t="s">
        <v>153</v>
      </c>
      <c r="C139" s="32"/>
      <c r="D139" s="32"/>
      <c r="E139" s="19" t="n">
        <f aca="false">+F139*0.03</f>
        <v>0</v>
      </c>
      <c r="F139" s="33" t="n">
        <v>0</v>
      </c>
      <c r="G139" s="62"/>
      <c r="H139" s="35" t="n">
        <v>0</v>
      </c>
      <c r="I139" s="34" t="n">
        <f aca="false">+IF(E139=0,0,E139*0.03)</f>
        <v>0</v>
      </c>
    </row>
    <row r="140" customFormat="false" ht="15.75" hidden="false" customHeight="true" outlineLevel="0" collapsed="false">
      <c r="A140" s="30" t="n">
        <v>45444</v>
      </c>
      <c r="B140" s="31" t="s">
        <v>153</v>
      </c>
      <c r="C140" s="32"/>
      <c r="D140" s="32"/>
      <c r="E140" s="19" t="n">
        <f aca="false">+F140*0.03</f>
        <v>0</v>
      </c>
      <c r="F140" s="33" t="n">
        <v>0</v>
      </c>
      <c r="G140" s="62"/>
      <c r="H140" s="35" t="n">
        <v>0</v>
      </c>
      <c r="I140" s="34" t="n">
        <f aca="false">+IF(E140=0,0,E140*0.03)</f>
        <v>0</v>
      </c>
    </row>
    <row r="141" customFormat="false" ht="15.75" hidden="false" customHeight="true" outlineLevel="0" collapsed="false">
      <c r="A141" s="30" t="n">
        <v>45444</v>
      </c>
      <c r="B141" s="31" t="s">
        <v>153</v>
      </c>
      <c r="C141" s="32"/>
      <c r="D141" s="32"/>
      <c r="E141" s="19" t="n">
        <f aca="false">+F141*0.03</f>
        <v>0</v>
      </c>
      <c r="F141" s="33" t="n">
        <v>0</v>
      </c>
      <c r="G141" s="62"/>
      <c r="H141" s="35" t="n">
        <v>0</v>
      </c>
      <c r="I141" s="34" t="n">
        <f aca="false">+IF(E141=0,0,E141*0.03)</f>
        <v>0</v>
      </c>
    </row>
    <row r="142" customFormat="false" ht="15.75" hidden="false" customHeight="true" outlineLevel="0" collapsed="false">
      <c r="A142" s="30" t="n">
        <v>45444</v>
      </c>
      <c r="B142" s="31" t="s">
        <v>153</v>
      </c>
      <c r="C142" s="32"/>
      <c r="D142" s="32"/>
      <c r="E142" s="19" t="n">
        <f aca="false">+F142*0.03</f>
        <v>0</v>
      </c>
      <c r="F142" s="33" t="n">
        <v>0</v>
      </c>
      <c r="G142" s="62"/>
      <c r="H142" s="35" t="n">
        <v>0</v>
      </c>
      <c r="I142" s="34" t="n">
        <f aca="false">+IF(E142=0,0,E142*0.03)</f>
        <v>0</v>
      </c>
    </row>
    <row r="143" customFormat="false" ht="15.75" hidden="false" customHeight="true" outlineLevel="0" collapsed="false">
      <c r="A143" s="30" t="n">
        <v>45444</v>
      </c>
      <c r="B143" s="31" t="s">
        <v>153</v>
      </c>
      <c r="C143" s="32"/>
      <c r="D143" s="32"/>
      <c r="E143" s="19" t="n">
        <f aca="false">+F143*0.03</f>
        <v>0</v>
      </c>
      <c r="F143" s="33" t="n">
        <v>0</v>
      </c>
      <c r="G143" s="62"/>
      <c r="H143" s="35" t="n">
        <v>0</v>
      </c>
      <c r="I143" s="34" t="n">
        <f aca="false">+IF(E143=0,0,E143*0.03)</f>
        <v>0</v>
      </c>
    </row>
    <row r="144" customFormat="false" ht="15.75" hidden="false" customHeight="true" outlineLevel="0" collapsed="false">
      <c r="A144" s="30" t="n">
        <v>45444</v>
      </c>
      <c r="B144" s="31" t="s">
        <v>153</v>
      </c>
      <c r="C144" s="32"/>
      <c r="D144" s="32"/>
      <c r="E144" s="19" t="n">
        <f aca="false">+F144*0.03</f>
        <v>0</v>
      </c>
      <c r="F144" s="33" t="n">
        <v>0</v>
      </c>
      <c r="G144" s="62"/>
      <c r="H144" s="35" t="n">
        <v>0</v>
      </c>
      <c r="I144" s="34" t="n">
        <f aca="false">+IF(E144=0,0,E144*0.03)</f>
        <v>0</v>
      </c>
    </row>
    <row r="145" customFormat="false" ht="15.75" hidden="false" customHeight="true" outlineLevel="0" collapsed="false">
      <c r="A145" s="30" t="n">
        <v>45444</v>
      </c>
      <c r="B145" s="31" t="s">
        <v>153</v>
      </c>
      <c r="C145" s="32"/>
      <c r="D145" s="32"/>
      <c r="E145" s="19" t="n">
        <f aca="false">+F145*0.03</f>
        <v>0</v>
      </c>
      <c r="F145" s="33" t="n">
        <v>0</v>
      </c>
      <c r="G145" s="62"/>
      <c r="H145" s="35" t="n">
        <v>0</v>
      </c>
      <c r="I145" s="34" t="n">
        <f aca="false">+IF(E145=0,0,E145*0.03)</f>
        <v>0</v>
      </c>
    </row>
    <row r="146" customFormat="false" ht="15.75" hidden="false" customHeight="true" outlineLevel="0" collapsed="false">
      <c r="A146" s="30" t="n">
        <v>45444</v>
      </c>
      <c r="B146" s="31" t="s">
        <v>153</v>
      </c>
      <c r="C146" s="32"/>
      <c r="D146" s="32"/>
      <c r="E146" s="19" t="n">
        <f aca="false">+F146*0.03</f>
        <v>0</v>
      </c>
      <c r="F146" s="33" t="n">
        <v>0</v>
      </c>
      <c r="G146" s="62"/>
      <c r="H146" s="35" t="n">
        <v>0</v>
      </c>
      <c r="I146" s="34" t="n">
        <f aca="false">+IF(E146=0,0,E146*0.03)</f>
        <v>0</v>
      </c>
    </row>
    <row r="147" customFormat="false" ht="15.75" hidden="false" customHeight="true" outlineLevel="0" collapsed="false">
      <c r="A147" s="30" t="n">
        <v>45444</v>
      </c>
      <c r="B147" s="31" t="s">
        <v>153</v>
      </c>
      <c r="C147" s="32"/>
      <c r="D147" s="32"/>
      <c r="E147" s="19" t="n">
        <f aca="false">+F147*0.03</f>
        <v>0</v>
      </c>
      <c r="F147" s="33" t="n">
        <v>0</v>
      </c>
      <c r="G147" s="62"/>
      <c r="H147" s="35" t="n">
        <v>0</v>
      </c>
      <c r="I147" s="34" t="n">
        <f aca="false">+IF(E147=0,0,E147*0.03)</f>
        <v>0</v>
      </c>
    </row>
    <row r="148" customFormat="false" ht="15.75" hidden="false" customHeight="true" outlineLevel="0" collapsed="false">
      <c r="A148" s="30" t="n">
        <v>45444</v>
      </c>
      <c r="B148" s="31" t="s">
        <v>153</v>
      </c>
      <c r="C148" s="32"/>
      <c r="D148" s="32"/>
      <c r="E148" s="19" t="n">
        <f aca="false">+F148*0.03</f>
        <v>0</v>
      </c>
      <c r="F148" s="33" t="n">
        <v>0</v>
      </c>
      <c r="G148" s="62"/>
      <c r="H148" s="35" t="n">
        <v>0</v>
      </c>
      <c r="I148" s="34" t="n">
        <f aca="false">+IF(E148=0,0,E148*0.03)</f>
        <v>0</v>
      </c>
    </row>
    <row r="149" customFormat="false" ht="15.75" hidden="false" customHeight="true" outlineLevel="0" collapsed="false">
      <c r="A149" s="30" t="n">
        <v>45444</v>
      </c>
      <c r="B149" s="31" t="s">
        <v>153</v>
      </c>
      <c r="C149" s="32"/>
      <c r="D149" s="32"/>
      <c r="E149" s="19" t="n">
        <f aca="false">+F149*0.03</f>
        <v>0</v>
      </c>
      <c r="F149" s="33" t="n">
        <v>0</v>
      </c>
      <c r="G149" s="62"/>
      <c r="H149" s="35" t="n">
        <v>0</v>
      </c>
      <c r="I149" s="34" t="n">
        <f aca="false">+IF(E149=0,0,E149*0.03)</f>
        <v>0</v>
      </c>
    </row>
    <row r="150" customFormat="false" ht="15.75" hidden="false" customHeight="true" outlineLevel="0" collapsed="false">
      <c r="A150" s="30" t="n">
        <v>45444</v>
      </c>
      <c r="B150" s="31" t="s">
        <v>153</v>
      </c>
      <c r="C150" s="32"/>
      <c r="D150" s="32"/>
      <c r="E150" s="19" t="n">
        <f aca="false">+F150*0.03</f>
        <v>0</v>
      </c>
      <c r="F150" s="33" t="n">
        <v>0</v>
      </c>
      <c r="G150" s="62"/>
      <c r="H150" s="35" t="n">
        <v>0</v>
      </c>
      <c r="I150" s="34" t="n">
        <f aca="false">+IF(E150=0,0,E150*0.03)</f>
        <v>0</v>
      </c>
    </row>
    <row r="151" customFormat="false" ht="15.75" hidden="false" customHeight="true" outlineLevel="0" collapsed="false">
      <c r="A151" s="30" t="n">
        <v>45444</v>
      </c>
      <c r="B151" s="31" t="s">
        <v>153</v>
      </c>
      <c r="C151" s="32"/>
      <c r="D151" s="32"/>
      <c r="E151" s="19" t="n">
        <f aca="false">+F151*0.03</f>
        <v>0</v>
      </c>
      <c r="F151" s="33" t="n">
        <v>0</v>
      </c>
      <c r="G151" s="62"/>
      <c r="H151" s="35" t="n">
        <v>0</v>
      </c>
      <c r="I151" s="34" t="n">
        <f aca="false">+IF(E151=0,0,E151*0.03)</f>
        <v>0</v>
      </c>
    </row>
    <row r="152" customFormat="false" ht="15.75" hidden="false" customHeight="true" outlineLevel="0" collapsed="false">
      <c r="A152" s="30" t="n">
        <v>45444</v>
      </c>
      <c r="B152" s="31" t="s">
        <v>153</v>
      </c>
      <c r="C152" s="32"/>
      <c r="D152" s="32"/>
      <c r="E152" s="19" t="n">
        <f aca="false">+F152*0.03</f>
        <v>0</v>
      </c>
      <c r="F152" s="33" t="n">
        <v>0</v>
      </c>
      <c r="G152" s="62"/>
      <c r="H152" s="35" t="n">
        <v>0</v>
      </c>
      <c r="I152" s="34" t="n">
        <f aca="false">+IF(E152=0,0,E152*0.03)</f>
        <v>0</v>
      </c>
    </row>
    <row r="153" customFormat="false" ht="15.75" hidden="false" customHeight="true" outlineLevel="0" collapsed="false">
      <c r="A153" s="30" t="n">
        <v>45444</v>
      </c>
      <c r="B153" s="31" t="s">
        <v>153</v>
      </c>
      <c r="C153" s="32"/>
      <c r="D153" s="32"/>
      <c r="E153" s="19" t="n">
        <f aca="false">+F153*0.03</f>
        <v>0</v>
      </c>
      <c r="F153" s="33" t="n">
        <v>0</v>
      </c>
      <c r="G153" s="62"/>
      <c r="H153" s="35" t="n">
        <v>0</v>
      </c>
      <c r="I153" s="34" t="n">
        <f aca="false">+IF(E153=0,0,E153*0.03)</f>
        <v>0</v>
      </c>
    </row>
    <row r="154" customFormat="false" ht="15.75" hidden="false" customHeight="true" outlineLevel="0" collapsed="false">
      <c r="A154" s="30" t="n">
        <v>45444</v>
      </c>
      <c r="B154" s="31" t="s">
        <v>153</v>
      </c>
      <c r="C154" s="32"/>
      <c r="D154" s="32"/>
      <c r="E154" s="19" t="n">
        <f aca="false">+F154*0.03</f>
        <v>0</v>
      </c>
      <c r="F154" s="33" t="n">
        <v>0</v>
      </c>
      <c r="G154" s="62"/>
      <c r="H154" s="35" t="n">
        <v>0</v>
      </c>
      <c r="I154" s="34" t="n">
        <f aca="false">+IF(E154=0,0,E154*0.03)</f>
        <v>0</v>
      </c>
    </row>
    <row r="155" customFormat="false" ht="15.75" hidden="false" customHeight="true" outlineLevel="0" collapsed="false">
      <c r="A155" s="30" t="n">
        <v>45444</v>
      </c>
      <c r="B155" s="31" t="s">
        <v>153</v>
      </c>
      <c r="C155" s="32"/>
      <c r="D155" s="32"/>
      <c r="E155" s="19" t="n">
        <f aca="false">+F155*0.03</f>
        <v>0</v>
      </c>
      <c r="F155" s="33" t="n">
        <v>0</v>
      </c>
      <c r="G155" s="62"/>
      <c r="H155" s="35" t="n">
        <v>0</v>
      </c>
      <c r="I155" s="34" t="n">
        <f aca="false">+IF(E155=0,0,E155*0.03)</f>
        <v>0</v>
      </c>
    </row>
    <row r="156" customFormat="false" ht="15.75" hidden="false" customHeight="true" outlineLevel="0" collapsed="false">
      <c r="A156" s="30" t="n">
        <v>45444</v>
      </c>
      <c r="B156" s="31" t="s">
        <v>153</v>
      </c>
      <c r="C156" s="32"/>
      <c r="D156" s="32"/>
      <c r="E156" s="19" t="n">
        <f aca="false">+F156*0.03</f>
        <v>0</v>
      </c>
      <c r="F156" s="33" t="n">
        <v>0</v>
      </c>
      <c r="G156" s="62"/>
      <c r="H156" s="35" t="n">
        <v>0</v>
      </c>
      <c r="I156" s="34" t="n">
        <f aca="false">+IF(E156=0,0,E156*0.03)</f>
        <v>0</v>
      </c>
    </row>
    <row r="157" customFormat="false" ht="15.75" hidden="false" customHeight="true" outlineLevel="0" collapsed="false">
      <c r="A157" s="30" t="n">
        <v>45444</v>
      </c>
      <c r="B157" s="31" t="s">
        <v>153</v>
      </c>
      <c r="C157" s="32"/>
      <c r="D157" s="32"/>
      <c r="E157" s="19" t="n">
        <f aca="false">+F157*0.03</f>
        <v>0</v>
      </c>
      <c r="F157" s="33" t="n">
        <v>0</v>
      </c>
      <c r="G157" s="62"/>
      <c r="H157" s="35" t="n">
        <v>0</v>
      </c>
      <c r="I157" s="34" t="n">
        <f aca="false">+IF(E157=0,0,E157*0.03)</f>
        <v>0</v>
      </c>
    </row>
    <row r="158" customFormat="false" ht="15.75" hidden="false" customHeight="true" outlineLevel="0" collapsed="false">
      <c r="A158" s="30" t="n">
        <v>45444</v>
      </c>
      <c r="B158" s="31" t="s">
        <v>153</v>
      </c>
      <c r="C158" s="32"/>
      <c r="D158" s="32"/>
      <c r="E158" s="19" t="n">
        <f aca="false">+F158*0.03</f>
        <v>0</v>
      </c>
      <c r="F158" s="33" t="n">
        <v>0</v>
      </c>
      <c r="G158" s="62"/>
      <c r="H158" s="35" t="n">
        <v>0</v>
      </c>
      <c r="I158" s="34" t="n">
        <f aca="false">+IF(E158=0,0,E158*0.03)</f>
        <v>0</v>
      </c>
    </row>
    <row r="159" customFormat="false" ht="15.75" hidden="false" customHeight="true" outlineLevel="0" collapsed="false">
      <c r="A159" s="30" t="n">
        <v>45444</v>
      </c>
      <c r="B159" s="31" t="s">
        <v>153</v>
      </c>
      <c r="C159" s="32"/>
      <c r="D159" s="32"/>
      <c r="E159" s="19" t="n">
        <f aca="false">+F159*0.03</f>
        <v>0</v>
      </c>
      <c r="F159" s="33" t="n">
        <v>0</v>
      </c>
      <c r="G159" s="62"/>
      <c r="H159" s="35" t="n">
        <v>0</v>
      </c>
      <c r="I159" s="34" t="n">
        <f aca="false">+IF(E159=0,0,E159*0.03)</f>
        <v>0</v>
      </c>
    </row>
    <row r="160" customFormat="false" ht="15.75" hidden="false" customHeight="true" outlineLevel="0" collapsed="false">
      <c r="A160" s="30" t="n">
        <v>45444</v>
      </c>
      <c r="B160" s="31" t="s">
        <v>153</v>
      </c>
      <c r="C160" s="32"/>
      <c r="D160" s="32"/>
      <c r="E160" s="19" t="n">
        <f aca="false">+F160*0.03</f>
        <v>0</v>
      </c>
      <c r="F160" s="33" t="n">
        <v>0</v>
      </c>
      <c r="G160" s="62"/>
      <c r="H160" s="35" t="n">
        <v>0</v>
      </c>
      <c r="I160" s="34" t="n">
        <f aca="false">+IF(E160=0,0,E160*0.03)</f>
        <v>0</v>
      </c>
    </row>
    <row r="161" customFormat="false" ht="15.75" hidden="false" customHeight="true" outlineLevel="0" collapsed="false">
      <c r="A161" s="30" t="n">
        <v>45444</v>
      </c>
      <c r="B161" s="31" t="s">
        <v>153</v>
      </c>
      <c r="C161" s="32"/>
      <c r="D161" s="32"/>
      <c r="E161" s="19" t="n">
        <f aca="false">+F161*0.03</f>
        <v>0</v>
      </c>
      <c r="F161" s="33" t="n">
        <v>0</v>
      </c>
      <c r="G161" s="62"/>
      <c r="H161" s="35" t="n">
        <v>0</v>
      </c>
      <c r="I161" s="34" t="n">
        <f aca="false">+IF(E161=0,0,E161*0.03)</f>
        <v>0</v>
      </c>
    </row>
    <row r="162" customFormat="false" ht="15.75" hidden="false" customHeight="true" outlineLevel="0" collapsed="false">
      <c r="A162" s="30" t="n">
        <v>45444</v>
      </c>
      <c r="B162" s="31" t="s">
        <v>153</v>
      </c>
      <c r="C162" s="32"/>
      <c r="D162" s="32"/>
      <c r="E162" s="19" t="n">
        <f aca="false">+F162*0.03</f>
        <v>0</v>
      </c>
      <c r="F162" s="33" t="n">
        <v>0</v>
      </c>
      <c r="G162" s="62"/>
      <c r="H162" s="35" t="n">
        <v>0</v>
      </c>
      <c r="I162" s="34" t="n">
        <f aca="false">+IF(E162=0,0,E162*0.03)</f>
        <v>0</v>
      </c>
    </row>
    <row r="163" customFormat="false" ht="15.75" hidden="false" customHeight="true" outlineLevel="0" collapsed="false">
      <c r="A163" s="30" t="n">
        <v>45444</v>
      </c>
      <c r="B163" s="31" t="s">
        <v>153</v>
      </c>
      <c r="C163" s="32"/>
      <c r="D163" s="32"/>
      <c r="E163" s="19" t="n">
        <f aca="false">+F163*0.03</f>
        <v>0</v>
      </c>
      <c r="F163" s="33" t="n">
        <v>0</v>
      </c>
      <c r="G163" s="62"/>
      <c r="H163" s="35" t="n">
        <v>0</v>
      </c>
      <c r="I163" s="34" t="n">
        <f aca="false">+IF(E163=0,0,E163*0.03)</f>
        <v>0</v>
      </c>
    </row>
    <row r="164" customFormat="false" ht="15.75" hidden="false" customHeight="true" outlineLevel="0" collapsed="false">
      <c r="A164" s="30" t="n">
        <v>45444</v>
      </c>
      <c r="B164" s="31" t="s">
        <v>153</v>
      </c>
      <c r="C164" s="32"/>
      <c r="D164" s="32"/>
      <c r="E164" s="19" t="n">
        <f aca="false">+F164*0.03</f>
        <v>0</v>
      </c>
      <c r="F164" s="33" t="n">
        <v>0</v>
      </c>
      <c r="G164" s="62"/>
      <c r="H164" s="35" t="n">
        <v>0</v>
      </c>
      <c r="I164" s="34" t="n">
        <f aca="false">+IF(E164=0,0,E164*0.03)</f>
        <v>0</v>
      </c>
    </row>
    <row r="165" customFormat="false" ht="15.75" hidden="false" customHeight="true" outlineLevel="0" collapsed="false">
      <c r="A165" s="30" t="n">
        <v>45444</v>
      </c>
      <c r="B165" s="31" t="s">
        <v>153</v>
      </c>
      <c r="C165" s="32"/>
      <c r="D165" s="32"/>
      <c r="E165" s="19" t="n">
        <f aca="false">+F165*0.03</f>
        <v>0</v>
      </c>
      <c r="F165" s="33" t="n">
        <v>0</v>
      </c>
      <c r="G165" s="62"/>
      <c r="H165" s="35" t="n">
        <v>0</v>
      </c>
      <c r="I165" s="34" t="n">
        <f aca="false">+IF(E165=0,0,E165*0.03)</f>
        <v>0</v>
      </c>
    </row>
    <row r="166" customFormat="false" ht="15.75" hidden="false" customHeight="true" outlineLevel="0" collapsed="false">
      <c r="A166" s="30" t="n">
        <v>45444</v>
      </c>
      <c r="B166" s="31" t="s">
        <v>153</v>
      </c>
      <c r="C166" s="32"/>
      <c r="D166" s="32"/>
      <c r="E166" s="19" t="n">
        <f aca="false">+F166*0.03</f>
        <v>0</v>
      </c>
      <c r="F166" s="33" t="n">
        <v>0</v>
      </c>
      <c r="G166" s="62"/>
      <c r="H166" s="35" t="n">
        <v>0</v>
      </c>
      <c r="I166" s="34" t="n">
        <f aca="false">+IF(E166=0,0,E166*0.03)</f>
        <v>0</v>
      </c>
    </row>
    <row r="167" customFormat="false" ht="15.75" hidden="false" customHeight="true" outlineLevel="0" collapsed="false">
      <c r="A167" s="30" t="n">
        <v>45444</v>
      </c>
      <c r="B167" s="31" t="s">
        <v>153</v>
      </c>
      <c r="C167" s="32"/>
      <c r="D167" s="32"/>
      <c r="E167" s="19" t="n">
        <f aca="false">+F167*0.03</f>
        <v>0</v>
      </c>
      <c r="F167" s="33" t="n">
        <v>0</v>
      </c>
      <c r="G167" s="62"/>
      <c r="H167" s="35" t="n">
        <v>0</v>
      </c>
      <c r="I167" s="34" t="n">
        <f aca="false">+IF(E167=0,0,E167*0.03)</f>
        <v>0</v>
      </c>
    </row>
    <row r="168" customFormat="false" ht="15.75" hidden="false" customHeight="true" outlineLevel="0" collapsed="false">
      <c r="A168" s="30" t="n">
        <v>45444</v>
      </c>
      <c r="B168" s="31" t="s">
        <v>153</v>
      </c>
      <c r="C168" s="32"/>
      <c r="D168" s="32"/>
      <c r="E168" s="19" t="n">
        <f aca="false">+F168*0.03</f>
        <v>0</v>
      </c>
      <c r="F168" s="33" t="n">
        <v>0</v>
      </c>
      <c r="G168" s="62"/>
      <c r="H168" s="35" t="n">
        <v>0</v>
      </c>
      <c r="I168" s="34" t="n">
        <f aca="false">+IF(E168=0,0,E168*0.03)</f>
        <v>0</v>
      </c>
    </row>
    <row r="169" customFormat="false" ht="15.75" hidden="false" customHeight="true" outlineLevel="0" collapsed="false">
      <c r="A169" s="30" t="n">
        <v>45444</v>
      </c>
      <c r="B169" s="31" t="s">
        <v>153</v>
      </c>
      <c r="C169" s="32"/>
      <c r="D169" s="32"/>
      <c r="E169" s="19" t="n">
        <f aca="false">+F169*0.03</f>
        <v>0</v>
      </c>
      <c r="F169" s="33" t="n">
        <v>0</v>
      </c>
      <c r="G169" s="62"/>
      <c r="H169" s="35" t="n">
        <v>0</v>
      </c>
      <c r="I169" s="34" t="n">
        <f aca="false">+IF(E169=0,0,E169*0.03)</f>
        <v>0</v>
      </c>
    </row>
    <row r="170" customFormat="false" ht="15.75" hidden="false" customHeight="true" outlineLevel="0" collapsed="false">
      <c r="A170" s="30" t="n">
        <v>45444</v>
      </c>
      <c r="B170" s="31" t="s">
        <v>153</v>
      </c>
      <c r="C170" s="32"/>
      <c r="D170" s="32"/>
      <c r="E170" s="19" t="n">
        <f aca="false">+F170*0.03</f>
        <v>0</v>
      </c>
      <c r="F170" s="33" t="n">
        <v>0</v>
      </c>
      <c r="G170" s="62"/>
      <c r="H170" s="35" t="n">
        <v>0</v>
      </c>
      <c r="I170" s="34" t="n">
        <f aca="false">+IF(E170=0,0,E170*0.03)</f>
        <v>0</v>
      </c>
    </row>
    <row r="171" customFormat="false" ht="15.75" hidden="false" customHeight="true" outlineLevel="0" collapsed="false">
      <c r="A171" s="30" t="n">
        <v>45444</v>
      </c>
      <c r="B171" s="31" t="s">
        <v>153</v>
      </c>
      <c r="C171" s="32"/>
      <c r="D171" s="32"/>
      <c r="E171" s="19" t="n">
        <f aca="false">+F171*0.03</f>
        <v>0</v>
      </c>
      <c r="F171" s="33" t="n">
        <v>0</v>
      </c>
      <c r="G171" s="62"/>
      <c r="H171" s="35" t="n">
        <v>0</v>
      </c>
      <c r="I171" s="34" t="n">
        <f aca="false">+IF(E171=0,0,E171*0.03)</f>
        <v>0</v>
      </c>
    </row>
    <row r="172" customFormat="false" ht="15.75" hidden="false" customHeight="true" outlineLevel="0" collapsed="false">
      <c r="A172" s="30" t="n">
        <v>45444</v>
      </c>
      <c r="B172" s="31" t="s">
        <v>153</v>
      </c>
      <c r="C172" s="32"/>
      <c r="D172" s="32"/>
      <c r="E172" s="19" t="n">
        <f aca="false">+F172*0.03</f>
        <v>0</v>
      </c>
      <c r="F172" s="33" t="n">
        <v>0</v>
      </c>
      <c r="G172" s="62"/>
      <c r="H172" s="35" t="n">
        <v>0</v>
      </c>
      <c r="I172" s="34" t="n">
        <f aca="false">+IF(E172=0,0,E172*0.03)</f>
        <v>0</v>
      </c>
    </row>
    <row r="173" customFormat="false" ht="15.75" hidden="false" customHeight="true" outlineLevel="0" collapsed="false">
      <c r="A173" s="30" t="n">
        <v>45444</v>
      </c>
      <c r="B173" s="31" t="s">
        <v>153</v>
      </c>
      <c r="C173" s="32"/>
      <c r="D173" s="32"/>
      <c r="E173" s="19" t="n">
        <f aca="false">+F173*0.03</f>
        <v>0</v>
      </c>
      <c r="F173" s="33" t="n">
        <v>0</v>
      </c>
      <c r="G173" s="62"/>
      <c r="H173" s="35" t="n">
        <v>0</v>
      </c>
      <c r="I173" s="34" t="n">
        <f aca="false">+IF(E173=0,0,E173*0.03)</f>
        <v>0</v>
      </c>
    </row>
    <row r="174" customFormat="false" ht="15.75" hidden="false" customHeight="true" outlineLevel="0" collapsed="false">
      <c r="A174" s="30" t="n">
        <v>45444</v>
      </c>
      <c r="B174" s="31" t="s">
        <v>153</v>
      </c>
      <c r="C174" s="32"/>
      <c r="D174" s="32"/>
      <c r="E174" s="19" t="n">
        <f aca="false">+F174*0.03</f>
        <v>0</v>
      </c>
      <c r="F174" s="33" t="n">
        <v>0</v>
      </c>
      <c r="G174" s="62"/>
      <c r="H174" s="35" t="n">
        <v>0</v>
      </c>
      <c r="I174" s="34" t="n">
        <f aca="false">+IF(E174=0,0,E174*0.03)</f>
        <v>0</v>
      </c>
    </row>
    <row r="175" customFormat="false" ht="15.75" hidden="false" customHeight="true" outlineLevel="0" collapsed="false">
      <c r="A175" s="30" t="n">
        <v>45444</v>
      </c>
      <c r="B175" s="31" t="s">
        <v>153</v>
      </c>
      <c r="C175" s="32"/>
      <c r="D175" s="32"/>
      <c r="E175" s="19" t="n">
        <f aca="false">+F175*0.03</f>
        <v>0</v>
      </c>
      <c r="F175" s="33" t="n">
        <v>0</v>
      </c>
      <c r="G175" s="62"/>
      <c r="H175" s="35" t="n">
        <v>0</v>
      </c>
      <c r="I175" s="34" t="n">
        <f aca="false">+IF(E175=0,0,E175*0.03)</f>
        <v>0</v>
      </c>
    </row>
    <row r="176" customFormat="false" ht="15.75" hidden="false" customHeight="true" outlineLevel="0" collapsed="false">
      <c r="A176" s="30" t="n">
        <v>45444</v>
      </c>
      <c r="B176" s="31" t="s">
        <v>153</v>
      </c>
      <c r="C176" s="32"/>
      <c r="D176" s="32"/>
      <c r="E176" s="19" t="n">
        <f aca="false">+F176*0.03</f>
        <v>0</v>
      </c>
      <c r="F176" s="33" t="n">
        <v>0</v>
      </c>
      <c r="G176" s="62"/>
      <c r="H176" s="35" t="n">
        <v>0</v>
      </c>
      <c r="I176" s="34" t="n">
        <f aca="false">+IF(E176=0,0,E176*0.03)</f>
        <v>0</v>
      </c>
    </row>
    <row r="177" customFormat="false" ht="15.75" hidden="false" customHeight="true" outlineLevel="0" collapsed="false">
      <c r="A177" s="30" t="n">
        <v>45444</v>
      </c>
      <c r="B177" s="31" t="s">
        <v>153</v>
      </c>
      <c r="C177" s="32"/>
      <c r="D177" s="32"/>
      <c r="E177" s="19" t="n">
        <f aca="false">+F177*0.03</f>
        <v>0</v>
      </c>
      <c r="F177" s="33" t="n">
        <v>0</v>
      </c>
      <c r="G177" s="62"/>
      <c r="H177" s="35" t="n">
        <v>0</v>
      </c>
      <c r="I177" s="34" t="n">
        <f aca="false">+IF(E177=0,0,E177*0.03)</f>
        <v>0</v>
      </c>
    </row>
    <row r="178" customFormat="false" ht="15.75" hidden="false" customHeight="true" outlineLevel="0" collapsed="false">
      <c r="A178" s="30" t="n">
        <v>45444</v>
      </c>
      <c r="B178" s="31" t="s">
        <v>153</v>
      </c>
      <c r="C178" s="32"/>
      <c r="D178" s="32"/>
      <c r="E178" s="19" t="n">
        <f aca="false">+F178*0.03</f>
        <v>0</v>
      </c>
      <c r="F178" s="33" t="n">
        <v>0</v>
      </c>
      <c r="G178" s="62"/>
      <c r="H178" s="35" t="n">
        <v>0</v>
      </c>
      <c r="I178" s="34" t="n">
        <f aca="false">+IF(E178=0,0,E178*0.03)</f>
        <v>0</v>
      </c>
    </row>
    <row r="179" customFormat="false" ht="15.75" hidden="false" customHeight="true" outlineLevel="0" collapsed="false">
      <c r="A179" s="30" t="n">
        <v>45444</v>
      </c>
      <c r="B179" s="31" t="s">
        <v>153</v>
      </c>
      <c r="C179" s="32"/>
      <c r="D179" s="32"/>
      <c r="E179" s="19" t="n">
        <f aca="false">+F179*0.03</f>
        <v>0</v>
      </c>
      <c r="F179" s="33" t="n">
        <v>0</v>
      </c>
      <c r="G179" s="62"/>
      <c r="H179" s="35" t="n">
        <v>0</v>
      </c>
      <c r="I179" s="34" t="n">
        <f aca="false">+IF(E179=0,0,E179*0.03)</f>
        <v>0</v>
      </c>
    </row>
    <row r="180" customFormat="false" ht="15.75" hidden="false" customHeight="true" outlineLevel="0" collapsed="false">
      <c r="A180" s="30" t="n">
        <v>45444</v>
      </c>
      <c r="B180" s="31" t="s">
        <v>153</v>
      </c>
      <c r="C180" s="32"/>
      <c r="D180" s="32"/>
      <c r="E180" s="19" t="n">
        <f aca="false">+F180*0.03</f>
        <v>0</v>
      </c>
      <c r="F180" s="33" t="n">
        <v>0</v>
      </c>
      <c r="G180" s="62"/>
      <c r="H180" s="35" t="n">
        <v>0</v>
      </c>
      <c r="I180" s="34" t="n">
        <f aca="false">+IF(E180=0,0,E180*0.03)</f>
        <v>0</v>
      </c>
    </row>
    <row r="181" customFormat="false" ht="15.75" hidden="false" customHeight="true" outlineLevel="0" collapsed="false">
      <c r="A181" s="30" t="n">
        <v>45444</v>
      </c>
      <c r="B181" s="31" t="s">
        <v>153</v>
      </c>
      <c r="C181" s="32"/>
      <c r="D181" s="32"/>
      <c r="E181" s="19" t="n">
        <f aca="false">+F181*0.03</f>
        <v>0</v>
      </c>
      <c r="F181" s="33" t="n">
        <v>0</v>
      </c>
      <c r="G181" s="62"/>
      <c r="H181" s="35" t="n">
        <v>0</v>
      </c>
      <c r="I181" s="34" t="n">
        <f aca="false">+IF(E181=0,0,E181*0.03)</f>
        <v>0</v>
      </c>
    </row>
    <row r="182" customFormat="false" ht="15.75" hidden="false" customHeight="true" outlineLevel="0" collapsed="false">
      <c r="A182" s="30" t="n">
        <v>45444</v>
      </c>
      <c r="B182" s="31" t="s">
        <v>153</v>
      </c>
      <c r="C182" s="32"/>
      <c r="D182" s="32"/>
      <c r="E182" s="19" t="n">
        <f aca="false">+F182*0.03</f>
        <v>0</v>
      </c>
      <c r="F182" s="33" t="n">
        <v>0</v>
      </c>
      <c r="G182" s="62"/>
      <c r="H182" s="35" t="n">
        <v>0</v>
      </c>
      <c r="I182" s="34" t="n">
        <f aca="false">+IF(E182=0,0,E182*0.03)</f>
        <v>0</v>
      </c>
    </row>
    <row r="183" customFormat="false" ht="15.75" hidden="false" customHeight="true" outlineLevel="0" collapsed="false">
      <c r="A183" s="30" t="n">
        <v>45444</v>
      </c>
      <c r="B183" s="31" t="s">
        <v>153</v>
      </c>
      <c r="C183" s="32"/>
      <c r="D183" s="32"/>
      <c r="E183" s="19" t="n">
        <f aca="false">+F183*0.03</f>
        <v>0</v>
      </c>
      <c r="F183" s="33" t="n">
        <v>0</v>
      </c>
      <c r="G183" s="62"/>
      <c r="H183" s="35" t="n">
        <v>0</v>
      </c>
      <c r="I183" s="34" t="n">
        <f aca="false">+IF(E183=0,0,E183*0.03)</f>
        <v>0</v>
      </c>
    </row>
    <row r="184" customFormat="false" ht="15.75" hidden="false" customHeight="true" outlineLevel="0" collapsed="false">
      <c r="A184" s="30" t="n">
        <v>45444</v>
      </c>
      <c r="B184" s="31" t="s">
        <v>153</v>
      </c>
      <c r="C184" s="32"/>
      <c r="D184" s="32"/>
      <c r="E184" s="19" t="n">
        <f aca="false">+F184*0.03</f>
        <v>0</v>
      </c>
      <c r="F184" s="33" t="n">
        <v>0</v>
      </c>
      <c r="G184" s="62"/>
      <c r="H184" s="35" t="n">
        <v>0</v>
      </c>
      <c r="I184" s="34" t="n">
        <f aca="false">+IF(E184=0,0,E184*0.03)</f>
        <v>0</v>
      </c>
    </row>
    <row r="185" customFormat="false" ht="15.75" hidden="false" customHeight="true" outlineLevel="0" collapsed="false">
      <c r="A185" s="30" t="n">
        <v>45444</v>
      </c>
      <c r="B185" s="31" t="s">
        <v>153</v>
      </c>
      <c r="C185" s="32"/>
      <c r="D185" s="32"/>
      <c r="E185" s="19" t="n">
        <f aca="false">+F185*0.03</f>
        <v>0</v>
      </c>
      <c r="F185" s="33" t="n">
        <v>0</v>
      </c>
      <c r="G185" s="62"/>
      <c r="H185" s="35" t="n">
        <v>0</v>
      </c>
      <c r="I185" s="34" t="n">
        <f aca="false">+IF(E185=0,0,E185*0.03)</f>
        <v>0</v>
      </c>
    </row>
    <row r="186" customFormat="false" ht="15.75" hidden="false" customHeight="true" outlineLevel="0" collapsed="false">
      <c r="A186" s="30" t="n">
        <v>45444</v>
      </c>
      <c r="B186" s="31" t="s">
        <v>153</v>
      </c>
      <c r="C186" s="32"/>
      <c r="D186" s="32"/>
      <c r="E186" s="19" t="n">
        <f aca="false">+F186*0.03</f>
        <v>0</v>
      </c>
      <c r="F186" s="33" t="n">
        <v>0</v>
      </c>
      <c r="G186" s="62"/>
      <c r="H186" s="35" t="n">
        <v>0</v>
      </c>
      <c r="I186" s="34" t="n">
        <f aca="false">+IF(E186=0,0,E186*0.03)</f>
        <v>0</v>
      </c>
    </row>
    <row r="187" customFormat="false" ht="15.75" hidden="false" customHeight="true" outlineLevel="0" collapsed="false">
      <c r="A187" s="30" t="n">
        <v>45444</v>
      </c>
      <c r="B187" s="31" t="s">
        <v>153</v>
      </c>
      <c r="C187" s="32"/>
      <c r="D187" s="32"/>
      <c r="E187" s="19" t="n">
        <f aca="false">+F187*0.03</f>
        <v>0</v>
      </c>
      <c r="F187" s="33" t="n">
        <v>0</v>
      </c>
      <c r="G187" s="62"/>
      <c r="H187" s="35" t="n">
        <v>0</v>
      </c>
      <c r="I187" s="34" t="n">
        <f aca="false">+IF(E187=0,0,E187*0.03)</f>
        <v>0</v>
      </c>
    </row>
    <row r="188" customFormat="false" ht="15.75" hidden="false" customHeight="true" outlineLevel="0" collapsed="false">
      <c r="A188" s="30" t="n">
        <v>45444</v>
      </c>
      <c r="B188" s="31" t="s">
        <v>153</v>
      </c>
      <c r="C188" s="32"/>
      <c r="D188" s="32"/>
      <c r="E188" s="19" t="n">
        <f aca="false">+F188*0.03</f>
        <v>0</v>
      </c>
      <c r="F188" s="33" t="n">
        <v>0</v>
      </c>
      <c r="G188" s="62"/>
      <c r="H188" s="35" t="n">
        <v>0</v>
      </c>
      <c r="I188" s="34" t="n">
        <f aca="false">+IF(E188=0,0,E188*0.03)</f>
        <v>0</v>
      </c>
    </row>
    <row r="189" customFormat="false" ht="15.75" hidden="false" customHeight="true" outlineLevel="0" collapsed="false">
      <c r="A189" s="30" t="n">
        <v>45444</v>
      </c>
      <c r="B189" s="31" t="s">
        <v>153</v>
      </c>
      <c r="C189" s="32"/>
      <c r="D189" s="32"/>
      <c r="E189" s="19" t="n">
        <f aca="false">+F189*0.03</f>
        <v>0</v>
      </c>
      <c r="F189" s="33" t="n">
        <v>0</v>
      </c>
      <c r="G189" s="62"/>
      <c r="H189" s="35" t="n">
        <v>0</v>
      </c>
      <c r="I189" s="34" t="n">
        <f aca="false">+IF(E189=0,0,E189*0.03)</f>
        <v>0</v>
      </c>
    </row>
    <row r="190" customFormat="false" ht="15.75" hidden="false" customHeight="true" outlineLevel="0" collapsed="false">
      <c r="A190" s="30" t="n">
        <v>45444</v>
      </c>
      <c r="B190" s="31" t="s">
        <v>153</v>
      </c>
      <c r="C190" s="32"/>
      <c r="D190" s="32"/>
      <c r="E190" s="19" t="n">
        <f aca="false">+F190*0.03</f>
        <v>0</v>
      </c>
      <c r="F190" s="33" t="n">
        <v>0</v>
      </c>
      <c r="G190" s="62"/>
      <c r="H190" s="35" t="n">
        <v>0</v>
      </c>
      <c r="I190" s="34" t="n">
        <f aca="false">+IF(E190=0,0,E190*0.03)</f>
        <v>0</v>
      </c>
    </row>
    <row r="191" customFormat="false" ht="15.75" hidden="false" customHeight="true" outlineLevel="0" collapsed="false">
      <c r="A191" s="30" t="n">
        <v>45444</v>
      </c>
      <c r="B191" s="31" t="s">
        <v>153</v>
      </c>
      <c r="C191" s="32"/>
      <c r="D191" s="32"/>
      <c r="E191" s="19" t="n">
        <f aca="false">+F191*0.03</f>
        <v>0</v>
      </c>
      <c r="F191" s="33" t="n">
        <v>0</v>
      </c>
      <c r="G191" s="62"/>
      <c r="H191" s="35" t="n">
        <v>0</v>
      </c>
      <c r="I191" s="34" t="n">
        <f aca="false">+IF(E191=0,0,E191*0.03)</f>
        <v>0</v>
      </c>
    </row>
    <row r="192" customFormat="false" ht="15.75" hidden="false" customHeight="true" outlineLevel="0" collapsed="false">
      <c r="A192" s="30" t="n">
        <v>45444</v>
      </c>
      <c r="B192" s="31" t="s">
        <v>153</v>
      </c>
      <c r="C192" s="32"/>
      <c r="D192" s="32"/>
      <c r="E192" s="19" t="n">
        <f aca="false">+F192*0.03</f>
        <v>0</v>
      </c>
      <c r="F192" s="33" t="n">
        <v>0</v>
      </c>
      <c r="G192" s="62"/>
      <c r="H192" s="35" t="n">
        <v>0</v>
      </c>
      <c r="I192" s="34" t="n">
        <f aca="false">+IF(E192=0,0,E192*0.03)</f>
        <v>0</v>
      </c>
    </row>
    <row r="193" customFormat="false" ht="15.75" hidden="false" customHeight="true" outlineLevel="0" collapsed="false">
      <c r="A193" s="30" t="n">
        <v>45444</v>
      </c>
      <c r="B193" s="31" t="s">
        <v>153</v>
      </c>
      <c r="C193" s="32"/>
      <c r="D193" s="32"/>
      <c r="E193" s="19" t="n">
        <f aca="false">+F193*0.03</f>
        <v>0</v>
      </c>
      <c r="F193" s="33" t="n">
        <v>0</v>
      </c>
      <c r="G193" s="62"/>
      <c r="H193" s="35" t="n">
        <v>0</v>
      </c>
      <c r="I193" s="34" t="n">
        <f aca="false">+IF(E193=0,0,E193*0.03)</f>
        <v>0</v>
      </c>
    </row>
    <row r="194" customFormat="false" ht="15.75" hidden="false" customHeight="true" outlineLevel="0" collapsed="false">
      <c r="A194" s="30" t="n">
        <v>45444</v>
      </c>
      <c r="B194" s="31" t="s">
        <v>153</v>
      </c>
      <c r="C194" s="32"/>
      <c r="D194" s="32"/>
      <c r="E194" s="19" t="n">
        <f aca="false">+F194*0.03</f>
        <v>0</v>
      </c>
      <c r="F194" s="33" t="n">
        <v>0</v>
      </c>
      <c r="G194" s="62"/>
      <c r="H194" s="35" t="n">
        <v>0</v>
      </c>
      <c r="I194" s="34" t="n">
        <f aca="false">+IF(E194=0,0,E194*0.03)</f>
        <v>0</v>
      </c>
    </row>
    <row r="195" customFormat="false" ht="15.75" hidden="false" customHeight="true" outlineLevel="0" collapsed="false">
      <c r="A195" s="30" t="n">
        <v>45444</v>
      </c>
      <c r="B195" s="31" t="s">
        <v>153</v>
      </c>
      <c r="C195" s="32"/>
      <c r="D195" s="32"/>
      <c r="E195" s="19" t="n">
        <f aca="false">+F195*0.03</f>
        <v>0</v>
      </c>
      <c r="F195" s="33" t="n">
        <v>0</v>
      </c>
      <c r="G195" s="62"/>
      <c r="H195" s="35" t="n">
        <v>0</v>
      </c>
      <c r="I195" s="34" t="n">
        <f aca="false">+IF(E195=0,0,E195*0.03)</f>
        <v>0</v>
      </c>
    </row>
    <row r="196" customFormat="false" ht="15.75" hidden="false" customHeight="true" outlineLevel="0" collapsed="false">
      <c r="A196" s="30" t="n">
        <v>45444</v>
      </c>
      <c r="B196" s="31" t="s">
        <v>153</v>
      </c>
      <c r="C196" s="32"/>
      <c r="D196" s="32"/>
      <c r="E196" s="19" t="n">
        <f aca="false">+F196*0.03</f>
        <v>0</v>
      </c>
      <c r="F196" s="33" t="n">
        <v>0</v>
      </c>
      <c r="G196" s="62"/>
      <c r="H196" s="35" t="n">
        <v>0</v>
      </c>
      <c r="I196" s="34" t="n">
        <f aca="false">+IF(E196=0,0,E196*0.03)</f>
        <v>0</v>
      </c>
    </row>
    <row r="197" customFormat="false" ht="15.75" hidden="false" customHeight="true" outlineLevel="0" collapsed="false">
      <c r="A197" s="30" t="n">
        <v>45444</v>
      </c>
      <c r="B197" s="31" t="s">
        <v>153</v>
      </c>
      <c r="C197" s="32"/>
      <c r="D197" s="32"/>
      <c r="E197" s="19" t="n">
        <f aca="false">+F197*0.03</f>
        <v>0</v>
      </c>
      <c r="F197" s="33" t="n">
        <v>0</v>
      </c>
      <c r="G197" s="62"/>
      <c r="H197" s="35" t="n">
        <v>0</v>
      </c>
      <c r="I197" s="34" t="n">
        <f aca="false">+IF(E197=0,0,E197*0.03)</f>
        <v>0</v>
      </c>
    </row>
    <row r="198" customFormat="false" ht="15.75" hidden="false" customHeight="true" outlineLevel="0" collapsed="false">
      <c r="A198" s="30" t="n">
        <v>45444</v>
      </c>
      <c r="B198" s="31" t="s">
        <v>153</v>
      </c>
      <c r="C198" s="32"/>
      <c r="D198" s="32"/>
      <c r="E198" s="19" t="n">
        <f aca="false">+F198*0.03</f>
        <v>0</v>
      </c>
      <c r="F198" s="33" t="n">
        <v>0</v>
      </c>
      <c r="G198" s="62"/>
      <c r="H198" s="35" t="n">
        <v>0</v>
      </c>
      <c r="I198" s="34" t="n">
        <f aca="false">+IF(E198=0,0,E198*0.03)</f>
        <v>0</v>
      </c>
    </row>
    <row r="199" customFormat="false" ht="15.75" hidden="false" customHeight="true" outlineLevel="0" collapsed="false">
      <c r="A199" s="30" t="n">
        <v>45444</v>
      </c>
      <c r="B199" s="31" t="s">
        <v>153</v>
      </c>
      <c r="C199" s="32"/>
      <c r="D199" s="32"/>
      <c r="E199" s="19" t="n">
        <f aca="false">+F199*0.03</f>
        <v>0</v>
      </c>
      <c r="F199" s="33" t="n">
        <v>0</v>
      </c>
      <c r="G199" s="62"/>
      <c r="H199" s="35" t="n">
        <v>0</v>
      </c>
      <c r="I199" s="34" t="n">
        <f aca="false">+IF(E199=0,0,E199*0.03)</f>
        <v>0</v>
      </c>
    </row>
    <row r="200" customFormat="false" ht="15.75" hidden="false" customHeight="true" outlineLevel="0" collapsed="false">
      <c r="A200" s="30" t="n">
        <v>45444</v>
      </c>
      <c r="B200" s="31" t="s">
        <v>153</v>
      </c>
      <c r="C200" s="32"/>
      <c r="D200" s="32"/>
      <c r="E200" s="19" t="n">
        <f aca="false">+F200*0.03</f>
        <v>0</v>
      </c>
      <c r="F200" s="33" t="n">
        <v>0</v>
      </c>
      <c r="G200" s="62"/>
      <c r="H200" s="35" t="n">
        <v>0</v>
      </c>
      <c r="I200" s="34" t="n">
        <f aca="false">+IF(E200=0,0,E200*0.03)</f>
        <v>0</v>
      </c>
    </row>
    <row r="201" customFormat="false" ht="15.75" hidden="false" customHeight="true" outlineLevel="0" collapsed="false">
      <c r="A201" s="30" t="n">
        <v>45444</v>
      </c>
      <c r="B201" s="31" t="s">
        <v>153</v>
      </c>
      <c r="C201" s="32"/>
      <c r="D201" s="32"/>
      <c r="E201" s="19" t="n">
        <f aca="false">+F201*0.03</f>
        <v>0</v>
      </c>
      <c r="F201" s="33" t="n">
        <v>0</v>
      </c>
      <c r="G201" s="62"/>
      <c r="H201" s="35" t="n">
        <v>0</v>
      </c>
      <c r="I201" s="34" t="n">
        <f aca="false">+IF(E201=0,0,E201*0.03)</f>
        <v>0</v>
      </c>
    </row>
    <row r="202" customFormat="false" ht="15.75" hidden="false" customHeight="true" outlineLevel="0" collapsed="false">
      <c r="A202" s="30" t="n">
        <v>45444</v>
      </c>
      <c r="B202" s="31" t="s">
        <v>153</v>
      </c>
      <c r="C202" s="32"/>
      <c r="D202" s="32"/>
      <c r="E202" s="19" t="n">
        <f aca="false">+F202*0.03</f>
        <v>0</v>
      </c>
      <c r="F202" s="33" t="n">
        <v>0</v>
      </c>
      <c r="G202" s="62"/>
      <c r="H202" s="35" t="n">
        <v>0</v>
      </c>
      <c r="I202" s="34" t="n">
        <f aca="false">+IF(E202=0,0,E202*0.03)</f>
        <v>0</v>
      </c>
    </row>
    <row r="203" customFormat="false" ht="15.75" hidden="false" customHeight="true" outlineLevel="0" collapsed="false">
      <c r="A203" s="30" t="n">
        <v>45444</v>
      </c>
      <c r="B203" s="31" t="s">
        <v>153</v>
      </c>
      <c r="C203" s="32"/>
      <c r="D203" s="32"/>
      <c r="E203" s="19" t="n">
        <f aca="false">+F203*0.03</f>
        <v>0</v>
      </c>
      <c r="F203" s="33" t="n">
        <v>0</v>
      </c>
      <c r="G203" s="62"/>
      <c r="H203" s="35" t="n">
        <v>0</v>
      </c>
      <c r="I203" s="34" t="n">
        <f aca="false">+IF(E203=0,0,E203*0.03)</f>
        <v>0</v>
      </c>
    </row>
    <row r="204" customFormat="false" ht="15.75" hidden="false" customHeight="true" outlineLevel="0" collapsed="false">
      <c r="A204" s="30" t="n">
        <v>45444</v>
      </c>
      <c r="B204" s="31" t="s">
        <v>153</v>
      </c>
      <c r="C204" s="32"/>
      <c r="D204" s="32"/>
      <c r="E204" s="19" t="n">
        <f aca="false">+F204*0.03</f>
        <v>0</v>
      </c>
      <c r="F204" s="33" t="n">
        <v>0</v>
      </c>
      <c r="G204" s="62"/>
      <c r="H204" s="35" t="n">
        <v>0</v>
      </c>
      <c r="I204" s="34" t="n">
        <f aca="false">+IF(E204=0,0,E204*0.03)</f>
        <v>0</v>
      </c>
    </row>
    <row r="205" customFormat="false" ht="15.75" hidden="false" customHeight="true" outlineLevel="0" collapsed="false">
      <c r="A205" s="30" t="n">
        <v>45444</v>
      </c>
      <c r="B205" s="31" t="s">
        <v>153</v>
      </c>
      <c r="C205" s="32"/>
      <c r="D205" s="32"/>
      <c r="E205" s="19" t="n">
        <f aca="false">+F205*0.03</f>
        <v>0</v>
      </c>
      <c r="F205" s="33" t="n">
        <v>0</v>
      </c>
      <c r="G205" s="62"/>
      <c r="H205" s="35" t="n">
        <v>0</v>
      </c>
      <c r="I205" s="34" t="n">
        <f aca="false">+IF(E205=0,0,E205*0.03)</f>
        <v>0</v>
      </c>
    </row>
    <row r="206" customFormat="false" ht="15.75" hidden="false" customHeight="true" outlineLevel="0" collapsed="false">
      <c r="A206" s="30" t="n">
        <v>45444</v>
      </c>
      <c r="B206" s="31" t="s">
        <v>153</v>
      </c>
      <c r="C206" s="32"/>
      <c r="D206" s="32"/>
      <c r="E206" s="19" t="n">
        <f aca="false">+F206*0.03</f>
        <v>0</v>
      </c>
      <c r="F206" s="33" t="n">
        <v>0</v>
      </c>
      <c r="G206" s="62"/>
      <c r="H206" s="35" t="n">
        <v>0</v>
      </c>
      <c r="I206" s="34" t="n">
        <f aca="false">+IF(E206=0,0,E206*0.03)</f>
        <v>0</v>
      </c>
    </row>
    <row r="207" customFormat="false" ht="15.75" hidden="false" customHeight="true" outlineLevel="0" collapsed="false">
      <c r="A207" s="30" t="n">
        <v>45444</v>
      </c>
      <c r="B207" s="31" t="s">
        <v>153</v>
      </c>
      <c r="C207" s="32"/>
      <c r="D207" s="32"/>
      <c r="E207" s="19" t="n">
        <f aca="false">+F207*0.03</f>
        <v>0</v>
      </c>
      <c r="F207" s="33" t="n">
        <v>0</v>
      </c>
      <c r="G207" s="62"/>
      <c r="H207" s="35" t="n">
        <v>0</v>
      </c>
      <c r="I207" s="34" t="n">
        <f aca="false">+IF(E207=0,0,E207*0.03)</f>
        <v>0</v>
      </c>
    </row>
    <row r="208" customFormat="false" ht="15.75" hidden="false" customHeight="true" outlineLevel="0" collapsed="false">
      <c r="A208" s="30" t="n">
        <v>45444</v>
      </c>
      <c r="B208" s="31" t="s">
        <v>153</v>
      </c>
      <c r="C208" s="32"/>
      <c r="D208" s="32"/>
      <c r="E208" s="19" t="n">
        <f aca="false">+F208*0.03</f>
        <v>0</v>
      </c>
      <c r="F208" s="33" t="n">
        <v>0</v>
      </c>
      <c r="G208" s="62"/>
      <c r="H208" s="35" t="n">
        <v>0</v>
      </c>
      <c r="I208" s="34" t="n">
        <f aca="false">+IF(E208=0,0,E208*0.03)</f>
        <v>0</v>
      </c>
    </row>
    <row r="209" customFormat="false" ht="15.75" hidden="false" customHeight="true" outlineLevel="0" collapsed="false">
      <c r="A209" s="30" t="n">
        <v>45444</v>
      </c>
      <c r="B209" s="31" t="s">
        <v>153</v>
      </c>
      <c r="C209" s="32"/>
      <c r="D209" s="32"/>
      <c r="E209" s="19" t="n">
        <f aca="false">+F209*0.03</f>
        <v>0</v>
      </c>
      <c r="F209" s="33" t="n">
        <v>0</v>
      </c>
      <c r="G209" s="62"/>
      <c r="H209" s="35" t="n">
        <v>0</v>
      </c>
      <c r="I209" s="34" t="n">
        <f aca="false">+IF(E209=0,0,E209*0.03)</f>
        <v>0</v>
      </c>
    </row>
    <row r="210" customFormat="false" ht="15.75" hidden="false" customHeight="true" outlineLevel="0" collapsed="false">
      <c r="A210" s="30" t="n">
        <v>45444</v>
      </c>
      <c r="B210" s="31" t="s">
        <v>153</v>
      </c>
      <c r="C210" s="32"/>
      <c r="D210" s="32"/>
      <c r="E210" s="19" t="n">
        <f aca="false">+F210*0.03</f>
        <v>0</v>
      </c>
      <c r="F210" s="33" t="n">
        <v>0</v>
      </c>
      <c r="G210" s="62"/>
      <c r="H210" s="35" t="n">
        <v>0</v>
      </c>
      <c r="I210" s="34" t="n">
        <f aca="false">+IF(E210=0,0,E210*0.03)</f>
        <v>0</v>
      </c>
    </row>
    <row r="211" customFormat="false" ht="15.75" hidden="false" customHeight="true" outlineLevel="0" collapsed="false">
      <c r="A211" s="30" t="n">
        <v>45444</v>
      </c>
      <c r="B211" s="31" t="s">
        <v>153</v>
      </c>
      <c r="C211" s="32"/>
      <c r="D211" s="32"/>
      <c r="E211" s="19" t="n">
        <f aca="false">+F211*0.03</f>
        <v>0</v>
      </c>
      <c r="F211" s="33" t="n">
        <v>0</v>
      </c>
      <c r="G211" s="62"/>
      <c r="H211" s="35" t="n">
        <v>0</v>
      </c>
      <c r="I211" s="34" t="n">
        <f aca="false">+IF(E211=0,0,E211*0.03)</f>
        <v>0</v>
      </c>
    </row>
    <row r="212" customFormat="false" ht="15.75" hidden="false" customHeight="true" outlineLevel="0" collapsed="false">
      <c r="A212" s="30" t="n">
        <v>45444</v>
      </c>
      <c r="B212" s="31" t="s">
        <v>153</v>
      </c>
      <c r="C212" s="32"/>
      <c r="D212" s="32"/>
      <c r="E212" s="19" t="n">
        <f aca="false">+F212*0.03</f>
        <v>0</v>
      </c>
      <c r="F212" s="33" t="n">
        <v>0</v>
      </c>
      <c r="G212" s="62"/>
      <c r="H212" s="35" t="n">
        <v>0</v>
      </c>
      <c r="I212" s="34" t="n">
        <f aca="false">+IF(E212=0,0,E212*0.03)</f>
        <v>0</v>
      </c>
    </row>
    <row r="213" customFormat="false" ht="15.75" hidden="false" customHeight="true" outlineLevel="0" collapsed="false">
      <c r="A213" s="30" t="n">
        <v>45444</v>
      </c>
      <c r="B213" s="31" t="s">
        <v>153</v>
      </c>
      <c r="C213" s="32"/>
      <c r="D213" s="32"/>
      <c r="E213" s="19" t="n">
        <f aca="false">+F213*0.03</f>
        <v>0</v>
      </c>
      <c r="F213" s="33" t="n">
        <v>0</v>
      </c>
      <c r="G213" s="62"/>
      <c r="H213" s="35" t="n">
        <v>0</v>
      </c>
      <c r="I213" s="34" t="n">
        <f aca="false">+IF(E213=0,0,E213*0.03)</f>
        <v>0</v>
      </c>
    </row>
    <row r="214" customFormat="false" ht="15.75" hidden="false" customHeight="true" outlineLevel="0" collapsed="false">
      <c r="A214" s="30" t="n">
        <v>45444</v>
      </c>
      <c r="B214" s="31" t="s">
        <v>153</v>
      </c>
      <c r="C214" s="32"/>
      <c r="D214" s="32"/>
      <c r="E214" s="19" t="n">
        <f aca="false">+F214*0.03</f>
        <v>0</v>
      </c>
      <c r="F214" s="33" t="n">
        <v>0</v>
      </c>
      <c r="G214" s="62"/>
      <c r="H214" s="35" t="n">
        <v>0</v>
      </c>
      <c r="I214" s="34" t="n">
        <f aca="false">+IF(E214=0,0,E214*0.03)</f>
        <v>0</v>
      </c>
    </row>
    <row r="215" customFormat="false" ht="15.75" hidden="false" customHeight="true" outlineLevel="0" collapsed="false">
      <c r="A215" s="30" t="n">
        <v>45444</v>
      </c>
      <c r="B215" s="31" t="s">
        <v>153</v>
      </c>
      <c r="C215" s="32"/>
      <c r="D215" s="32"/>
      <c r="E215" s="19" t="n">
        <f aca="false">+F215*0.03</f>
        <v>0</v>
      </c>
      <c r="F215" s="33" t="n">
        <v>0</v>
      </c>
      <c r="G215" s="62"/>
      <c r="H215" s="35" t="n">
        <v>0</v>
      </c>
      <c r="I215" s="34" t="n">
        <f aca="false">+IF(E215=0,0,E215*0.03)</f>
        <v>0</v>
      </c>
    </row>
    <row r="216" customFormat="false" ht="15.75" hidden="false" customHeight="true" outlineLevel="0" collapsed="false">
      <c r="A216" s="30" t="n">
        <v>45444</v>
      </c>
      <c r="B216" s="31" t="s">
        <v>153</v>
      </c>
      <c r="C216" s="32"/>
      <c r="D216" s="32"/>
      <c r="E216" s="19" t="n">
        <f aca="false">+F216*0.03</f>
        <v>0</v>
      </c>
      <c r="F216" s="33" t="n">
        <v>0</v>
      </c>
      <c r="G216" s="62"/>
      <c r="H216" s="35" t="n">
        <v>0</v>
      </c>
      <c r="I216" s="34" t="n">
        <f aca="false">+IF(E216=0,0,E216*0.03)</f>
        <v>0</v>
      </c>
    </row>
    <row r="217" customFormat="false" ht="15.75" hidden="false" customHeight="true" outlineLevel="0" collapsed="false">
      <c r="A217" s="30" t="n">
        <v>45444</v>
      </c>
      <c r="B217" s="31" t="s">
        <v>153</v>
      </c>
      <c r="C217" s="32"/>
      <c r="D217" s="32"/>
      <c r="E217" s="19" t="n">
        <f aca="false">+F217*0.03</f>
        <v>0</v>
      </c>
      <c r="F217" s="33" t="n">
        <v>0</v>
      </c>
      <c r="G217" s="62"/>
      <c r="H217" s="35" t="n">
        <v>0</v>
      </c>
      <c r="I217" s="34" t="n">
        <f aca="false">+IF(E217=0,0,E217*0.03)</f>
        <v>0</v>
      </c>
    </row>
    <row r="218" customFormat="false" ht="15.75" hidden="false" customHeight="true" outlineLevel="0" collapsed="false">
      <c r="A218" s="30" t="n">
        <v>45444</v>
      </c>
      <c r="B218" s="31" t="s">
        <v>153</v>
      </c>
      <c r="C218" s="32"/>
      <c r="D218" s="32"/>
      <c r="E218" s="19" t="n">
        <f aca="false">+F218*0.03</f>
        <v>0</v>
      </c>
      <c r="F218" s="33" t="n">
        <v>0</v>
      </c>
      <c r="G218" s="62"/>
      <c r="H218" s="35" t="n">
        <v>0</v>
      </c>
      <c r="I218" s="34" t="n">
        <f aca="false">+IF(E218=0,0,E218*0.03)</f>
        <v>0</v>
      </c>
    </row>
    <row r="219" customFormat="false" ht="15.75" hidden="false" customHeight="true" outlineLevel="0" collapsed="false">
      <c r="A219" s="30" t="n">
        <v>45444</v>
      </c>
      <c r="B219" s="31" t="s">
        <v>153</v>
      </c>
      <c r="C219" s="32"/>
      <c r="D219" s="32"/>
      <c r="E219" s="19" t="n">
        <f aca="false">+F219*0.03</f>
        <v>0</v>
      </c>
      <c r="F219" s="33" t="n">
        <v>0</v>
      </c>
      <c r="G219" s="62"/>
      <c r="H219" s="35" t="n">
        <v>0</v>
      </c>
      <c r="I219" s="34" t="n">
        <f aca="false">+IF(E219=0,0,E219*0.03)</f>
        <v>0</v>
      </c>
    </row>
    <row r="220" customFormat="false" ht="15.75" hidden="false" customHeight="true" outlineLevel="0" collapsed="false">
      <c r="A220" s="30" t="n">
        <v>45444</v>
      </c>
      <c r="B220" s="31" t="s">
        <v>153</v>
      </c>
      <c r="C220" s="32"/>
      <c r="D220" s="32"/>
      <c r="E220" s="19" t="n">
        <f aca="false">+F220*0.03</f>
        <v>0</v>
      </c>
      <c r="F220" s="33" t="n">
        <v>0</v>
      </c>
      <c r="G220" s="62"/>
      <c r="H220" s="35" t="n">
        <v>0</v>
      </c>
      <c r="I220" s="34" t="n">
        <f aca="false">+IF(E220=0,0,E220*0.03)</f>
        <v>0</v>
      </c>
    </row>
    <row r="221" customFormat="false" ht="15.75" hidden="false" customHeight="true" outlineLevel="0" collapsed="false">
      <c r="A221" s="30" t="n">
        <v>45444</v>
      </c>
      <c r="B221" s="31" t="s">
        <v>153</v>
      </c>
      <c r="C221" s="32"/>
      <c r="D221" s="32"/>
      <c r="E221" s="19" t="n">
        <f aca="false">+F221*0.03</f>
        <v>0</v>
      </c>
      <c r="F221" s="33" t="n">
        <v>0</v>
      </c>
      <c r="G221" s="62"/>
      <c r="H221" s="35" t="n">
        <v>0</v>
      </c>
      <c r="I221" s="34" t="n">
        <f aca="false">+IF(E221=0,0,E221*0.03)</f>
        <v>0</v>
      </c>
    </row>
    <row r="222" customFormat="false" ht="15.75" hidden="false" customHeight="true" outlineLevel="0" collapsed="false">
      <c r="A222" s="30" t="n">
        <v>45444</v>
      </c>
      <c r="B222" s="31" t="s">
        <v>153</v>
      </c>
      <c r="C222" s="32"/>
      <c r="D222" s="32"/>
      <c r="E222" s="19" t="n">
        <f aca="false">+F222*0.03</f>
        <v>0</v>
      </c>
      <c r="F222" s="33" t="n">
        <v>0</v>
      </c>
      <c r="G222" s="62"/>
      <c r="H222" s="35" t="n">
        <v>0</v>
      </c>
      <c r="I222" s="34" t="n">
        <f aca="false">+IF(E222=0,0,E222*0.03)</f>
        <v>0</v>
      </c>
    </row>
    <row r="223" customFormat="false" ht="15.75" hidden="false" customHeight="true" outlineLevel="0" collapsed="false">
      <c r="A223" s="30" t="n">
        <v>45444</v>
      </c>
      <c r="B223" s="31" t="s">
        <v>153</v>
      </c>
      <c r="C223" s="32"/>
      <c r="D223" s="32"/>
      <c r="E223" s="19" t="n">
        <f aca="false">+F223*0.03</f>
        <v>0</v>
      </c>
      <c r="F223" s="33" t="n">
        <v>0</v>
      </c>
      <c r="G223" s="62"/>
      <c r="H223" s="35" t="n">
        <v>0</v>
      </c>
      <c r="I223" s="34" t="n">
        <f aca="false">+IF(E223=0,0,E223*0.03)</f>
        <v>0</v>
      </c>
    </row>
    <row r="224" customFormat="false" ht="15.75" hidden="false" customHeight="true" outlineLevel="0" collapsed="false">
      <c r="A224" s="30" t="n">
        <v>45444</v>
      </c>
      <c r="B224" s="31" t="s">
        <v>153</v>
      </c>
      <c r="C224" s="32"/>
      <c r="D224" s="32"/>
      <c r="E224" s="19" t="n">
        <f aca="false">+F224*0.03</f>
        <v>0</v>
      </c>
      <c r="F224" s="33" t="n">
        <v>0</v>
      </c>
      <c r="G224" s="62"/>
      <c r="H224" s="35" t="n">
        <v>0</v>
      </c>
      <c r="I224" s="34" t="n">
        <f aca="false">+IF(E224=0,0,E224*0.03)</f>
        <v>0</v>
      </c>
    </row>
    <row r="225" customFormat="false" ht="15.75" hidden="false" customHeight="true" outlineLevel="0" collapsed="false">
      <c r="A225" s="30" t="n">
        <v>45444</v>
      </c>
      <c r="B225" s="31" t="s">
        <v>153</v>
      </c>
      <c r="C225" s="32"/>
      <c r="D225" s="32"/>
      <c r="E225" s="19" t="n">
        <f aca="false">+F225*0.03</f>
        <v>0</v>
      </c>
      <c r="F225" s="33" t="n">
        <v>0</v>
      </c>
      <c r="G225" s="62"/>
      <c r="H225" s="35" t="n">
        <v>0</v>
      </c>
      <c r="I225" s="34" t="n">
        <f aca="false">+IF(E225=0,0,E225*0.03)</f>
        <v>0</v>
      </c>
    </row>
    <row r="226" customFormat="false" ht="15.75" hidden="false" customHeight="true" outlineLevel="0" collapsed="false">
      <c r="A226" s="30" t="n">
        <v>45444</v>
      </c>
      <c r="B226" s="31" t="s">
        <v>153</v>
      </c>
      <c r="C226" s="32"/>
      <c r="D226" s="32"/>
      <c r="E226" s="19" t="n">
        <f aca="false">+F226*0.03</f>
        <v>0</v>
      </c>
      <c r="F226" s="33" t="n">
        <v>0</v>
      </c>
      <c r="G226" s="62"/>
      <c r="H226" s="35" t="n">
        <v>0</v>
      </c>
      <c r="I226" s="34" t="n">
        <f aca="false">+IF(E226=0,0,E226*0.03)</f>
        <v>0</v>
      </c>
    </row>
    <row r="227" customFormat="false" ht="15.75" hidden="false" customHeight="true" outlineLevel="0" collapsed="false">
      <c r="A227" s="30" t="n">
        <v>45444</v>
      </c>
      <c r="B227" s="31" t="s">
        <v>153</v>
      </c>
      <c r="C227" s="32"/>
      <c r="D227" s="32"/>
      <c r="E227" s="19" t="n">
        <f aca="false">+F227*0.03</f>
        <v>0</v>
      </c>
      <c r="F227" s="33" t="n">
        <v>0</v>
      </c>
      <c r="G227" s="62"/>
      <c r="H227" s="35" t="n">
        <v>0</v>
      </c>
      <c r="I227" s="34" t="n">
        <f aca="false">+IF(E227=0,0,E227*0.03)</f>
        <v>0</v>
      </c>
    </row>
    <row r="228" customFormat="false" ht="15.75" hidden="false" customHeight="true" outlineLevel="0" collapsed="false">
      <c r="A228" s="30" t="n">
        <v>45444</v>
      </c>
      <c r="B228" s="31" t="s">
        <v>153</v>
      </c>
      <c r="C228" s="32"/>
      <c r="D228" s="32"/>
      <c r="E228" s="19" t="n">
        <f aca="false">+F228*0.03</f>
        <v>0</v>
      </c>
      <c r="F228" s="33" t="n">
        <v>0</v>
      </c>
      <c r="G228" s="62"/>
      <c r="H228" s="35" t="n">
        <v>0</v>
      </c>
      <c r="I228" s="34" t="n">
        <f aca="false">+IF(E228=0,0,E228*0.03)</f>
        <v>0</v>
      </c>
    </row>
    <row r="229" customFormat="false" ht="15.75" hidden="false" customHeight="true" outlineLevel="0" collapsed="false">
      <c r="A229" s="30" t="n">
        <v>45444</v>
      </c>
      <c r="B229" s="31" t="s">
        <v>153</v>
      </c>
      <c r="C229" s="32"/>
      <c r="D229" s="32"/>
      <c r="E229" s="19" t="n">
        <f aca="false">+F229*0.03</f>
        <v>0</v>
      </c>
      <c r="F229" s="33" t="n">
        <v>0</v>
      </c>
      <c r="G229" s="62"/>
      <c r="H229" s="35" t="n">
        <v>0</v>
      </c>
      <c r="I229" s="34" t="n">
        <f aca="false">+IF(E229=0,0,E229*0.03)</f>
        <v>0</v>
      </c>
    </row>
    <row r="230" customFormat="false" ht="15.75" hidden="false" customHeight="true" outlineLevel="0" collapsed="false">
      <c r="A230" s="30" t="n">
        <v>45444</v>
      </c>
      <c r="B230" s="31" t="s">
        <v>153</v>
      </c>
      <c r="C230" s="32"/>
      <c r="D230" s="32"/>
      <c r="E230" s="19" t="n">
        <f aca="false">+F230*0.03</f>
        <v>0</v>
      </c>
      <c r="F230" s="33" t="n">
        <v>0</v>
      </c>
      <c r="G230" s="62"/>
      <c r="H230" s="35" t="n">
        <v>0</v>
      </c>
      <c r="I230" s="34" t="n">
        <f aca="false">+IF(E230=0,0,E230*0.03)</f>
        <v>0</v>
      </c>
    </row>
    <row r="231" customFormat="false" ht="15.75" hidden="false" customHeight="true" outlineLevel="0" collapsed="false">
      <c r="A231" s="30" t="n">
        <v>45444</v>
      </c>
      <c r="B231" s="31" t="s">
        <v>153</v>
      </c>
      <c r="C231" s="32"/>
      <c r="D231" s="32"/>
      <c r="E231" s="19" t="n">
        <f aca="false">+F231*0.03</f>
        <v>0</v>
      </c>
      <c r="F231" s="33" t="n">
        <v>0</v>
      </c>
      <c r="G231" s="62"/>
      <c r="H231" s="35" t="n">
        <v>0</v>
      </c>
      <c r="I231" s="34" t="n">
        <f aca="false">+IF(E231=0,0,E231*0.03)</f>
        <v>0</v>
      </c>
    </row>
    <row r="232" customFormat="false" ht="15.75" hidden="false" customHeight="true" outlineLevel="0" collapsed="false">
      <c r="A232" s="30" t="n">
        <v>45444</v>
      </c>
      <c r="B232" s="31" t="s">
        <v>153</v>
      </c>
      <c r="C232" s="32"/>
      <c r="D232" s="32"/>
      <c r="E232" s="19" t="n">
        <f aca="false">+F232*0.03</f>
        <v>0</v>
      </c>
      <c r="F232" s="33" t="n">
        <v>0</v>
      </c>
      <c r="G232" s="62"/>
      <c r="H232" s="35" t="n">
        <v>0</v>
      </c>
      <c r="I232" s="34" t="n">
        <f aca="false">+IF(E232=0,0,E232*0.03)</f>
        <v>0</v>
      </c>
    </row>
    <row r="233" customFormat="false" ht="15.75" hidden="false" customHeight="true" outlineLevel="0" collapsed="false">
      <c r="A233" s="30" t="n">
        <v>45444</v>
      </c>
      <c r="B233" s="31" t="s">
        <v>153</v>
      </c>
      <c r="C233" s="32"/>
      <c r="D233" s="32"/>
      <c r="E233" s="19" t="n">
        <f aca="false">+F233*0.03</f>
        <v>0</v>
      </c>
      <c r="F233" s="33" t="n">
        <v>0</v>
      </c>
      <c r="G233" s="62"/>
      <c r="H233" s="35" t="n">
        <v>0</v>
      </c>
      <c r="I233" s="34" t="n">
        <f aca="false">+IF(E233=0,0,E233*0.03)</f>
        <v>0</v>
      </c>
    </row>
    <row r="234" customFormat="false" ht="15.75" hidden="false" customHeight="true" outlineLevel="0" collapsed="false">
      <c r="A234" s="30" t="n">
        <v>45444</v>
      </c>
      <c r="B234" s="31" t="s">
        <v>153</v>
      </c>
      <c r="C234" s="32"/>
      <c r="D234" s="32"/>
      <c r="E234" s="19" t="n">
        <f aca="false">+F234*0.03</f>
        <v>0</v>
      </c>
      <c r="F234" s="33" t="n">
        <v>0</v>
      </c>
      <c r="G234" s="62"/>
      <c r="H234" s="35" t="n">
        <v>0</v>
      </c>
      <c r="I234" s="34" t="n">
        <f aca="false">+IF(E234=0,0,E234*0.03)</f>
        <v>0</v>
      </c>
    </row>
    <row r="235" customFormat="false" ht="15.75" hidden="false" customHeight="true" outlineLevel="0" collapsed="false">
      <c r="A235" s="30" t="n">
        <v>45444</v>
      </c>
      <c r="B235" s="31" t="s">
        <v>153</v>
      </c>
      <c r="C235" s="32"/>
      <c r="D235" s="32"/>
      <c r="E235" s="19" t="n">
        <f aca="false">+F235*0.03</f>
        <v>0</v>
      </c>
      <c r="F235" s="33" t="n">
        <v>0</v>
      </c>
      <c r="G235" s="62"/>
      <c r="H235" s="35" t="n">
        <v>0</v>
      </c>
      <c r="I235" s="34" t="n">
        <f aca="false">+IF(E235=0,0,E235*0.03)</f>
        <v>0</v>
      </c>
    </row>
    <row r="236" customFormat="false" ht="15.75" hidden="false" customHeight="true" outlineLevel="0" collapsed="false">
      <c r="A236" s="30" t="n">
        <v>45444</v>
      </c>
      <c r="B236" s="31" t="s">
        <v>153</v>
      </c>
      <c r="C236" s="32"/>
      <c r="D236" s="32"/>
      <c r="E236" s="19" t="n">
        <f aca="false">+F236*0.03</f>
        <v>0</v>
      </c>
      <c r="F236" s="33" t="n">
        <v>0</v>
      </c>
      <c r="G236" s="62"/>
      <c r="H236" s="35" t="n">
        <v>0</v>
      </c>
      <c r="I236" s="34" t="n">
        <f aca="false">+IF(E236=0,0,E236*0.03)</f>
        <v>0</v>
      </c>
    </row>
    <row r="237" customFormat="false" ht="15.75" hidden="false" customHeight="true" outlineLevel="0" collapsed="false">
      <c r="A237" s="30" t="n">
        <v>45444</v>
      </c>
      <c r="B237" s="31" t="s">
        <v>153</v>
      </c>
      <c r="C237" s="32"/>
      <c r="D237" s="32"/>
      <c r="E237" s="19" t="n">
        <f aca="false">+F237*0.03</f>
        <v>0</v>
      </c>
      <c r="F237" s="33" t="n">
        <v>0</v>
      </c>
      <c r="G237" s="62"/>
      <c r="H237" s="35" t="n">
        <v>0</v>
      </c>
      <c r="I237" s="34" t="n">
        <f aca="false">+IF(E237=0,0,E237*0.03)</f>
        <v>0</v>
      </c>
    </row>
    <row r="238" customFormat="false" ht="15.75" hidden="false" customHeight="true" outlineLevel="0" collapsed="false">
      <c r="A238" s="30" t="n">
        <v>45444</v>
      </c>
      <c r="B238" s="31" t="s">
        <v>153</v>
      </c>
      <c r="C238" s="32"/>
      <c r="D238" s="32"/>
      <c r="E238" s="19" t="n">
        <f aca="false">+F238*0.03</f>
        <v>0</v>
      </c>
      <c r="F238" s="33" t="n">
        <v>0</v>
      </c>
      <c r="G238" s="62"/>
      <c r="H238" s="35" t="n">
        <v>0</v>
      </c>
      <c r="I238" s="34" t="n">
        <f aca="false">+IF(E238=0,0,E238*0.03)</f>
        <v>0</v>
      </c>
    </row>
    <row r="239" customFormat="false" ht="15.75" hidden="false" customHeight="true" outlineLevel="0" collapsed="false">
      <c r="A239" s="30" t="n">
        <v>45444</v>
      </c>
      <c r="B239" s="31" t="s">
        <v>153</v>
      </c>
      <c r="C239" s="32"/>
      <c r="D239" s="32"/>
      <c r="E239" s="19" t="n">
        <f aca="false">+F239*0.03</f>
        <v>0</v>
      </c>
      <c r="F239" s="33" t="n">
        <v>0</v>
      </c>
      <c r="G239" s="62"/>
      <c r="H239" s="35" t="n">
        <v>0</v>
      </c>
      <c r="I239" s="34" t="n">
        <f aca="false">+IF(E239=0,0,E239*0.03)</f>
        <v>0</v>
      </c>
    </row>
    <row r="240" customFormat="false" ht="15.75" hidden="false" customHeight="true" outlineLevel="0" collapsed="false">
      <c r="A240" s="30" t="n">
        <v>45444</v>
      </c>
      <c r="B240" s="31" t="s">
        <v>153</v>
      </c>
      <c r="C240" s="32"/>
      <c r="D240" s="32"/>
      <c r="E240" s="19" t="n">
        <f aca="false">+F240*0.03</f>
        <v>0</v>
      </c>
      <c r="F240" s="33" t="n">
        <v>0</v>
      </c>
      <c r="G240" s="62"/>
      <c r="H240" s="35" t="n">
        <v>0</v>
      </c>
      <c r="I240" s="34" t="n">
        <f aca="false">+IF(E240=0,0,E240*0.03)</f>
        <v>0</v>
      </c>
    </row>
    <row r="241" customFormat="false" ht="15.75" hidden="false" customHeight="true" outlineLevel="0" collapsed="false">
      <c r="A241" s="30" t="n">
        <v>45444</v>
      </c>
      <c r="B241" s="31" t="s">
        <v>153</v>
      </c>
      <c r="C241" s="32"/>
      <c r="D241" s="32"/>
      <c r="E241" s="19" t="n">
        <f aca="false">+F241*0.03</f>
        <v>0</v>
      </c>
      <c r="F241" s="33" t="n">
        <v>0</v>
      </c>
      <c r="G241" s="62"/>
      <c r="H241" s="35" t="n">
        <v>0</v>
      </c>
      <c r="I241" s="34" t="n">
        <f aca="false">+IF(E241=0,0,E241*0.03)</f>
        <v>0</v>
      </c>
    </row>
    <row r="242" customFormat="false" ht="15.75" hidden="false" customHeight="true" outlineLevel="0" collapsed="false">
      <c r="A242" s="30" t="n">
        <v>45444</v>
      </c>
      <c r="B242" s="31" t="s">
        <v>153</v>
      </c>
      <c r="C242" s="32"/>
      <c r="D242" s="32"/>
      <c r="E242" s="19" t="n">
        <f aca="false">+F242*0.03</f>
        <v>0</v>
      </c>
      <c r="F242" s="33" t="n">
        <v>0</v>
      </c>
      <c r="G242" s="62"/>
      <c r="H242" s="35" t="n">
        <v>0</v>
      </c>
      <c r="I242" s="34" t="n">
        <f aca="false">+IF(E242=0,0,E242*0.03)</f>
        <v>0</v>
      </c>
    </row>
    <row r="243" customFormat="false" ht="15.75" hidden="false" customHeight="true" outlineLevel="0" collapsed="false">
      <c r="A243" s="30" t="n">
        <v>45444</v>
      </c>
      <c r="B243" s="31" t="s">
        <v>153</v>
      </c>
      <c r="C243" s="32"/>
      <c r="D243" s="32"/>
      <c r="E243" s="19" t="n">
        <f aca="false">+F243*0.03</f>
        <v>0</v>
      </c>
      <c r="F243" s="33" t="n">
        <v>0</v>
      </c>
      <c r="G243" s="62"/>
      <c r="H243" s="35" t="n">
        <v>0</v>
      </c>
      <c r="I243" s="34" t="n">
        <f aca="false">+IF(E243=0,0,E243*0.03)</f>
        <v>0</v>
      </c>
    </row>
    <row r="244" customFormat="false" ht="15.75" hidden="false" customHeight="true" outlineLevel="0" collapsed="false">
      <c r="A244" s="30" t="n">
        <v>45444</v>
      </c>
      <c r="B244" s="31" t="s">
        <v>153</v>
      </c>
      <c r="C244" s="32"/>
      <c r="D244" s="32"/>
      <c r="E244" s="19" t="n">
        <f aca="false">+F244*0.03</f>
        <v>0</v>
      </c>
      <c r="F244" s="33" t="n">
        <v>0</v>
      </c>
      <c r="G244" s="62"/>
      <c r="H244" s="35" t="n">
        <v>0</v>
      </c>
      <c r="I244" s="34" t="n">
        <f aca="false">+IF(E244=0,0,E244*0.03)</f>
        <v>0</v>
      </c>
    </row>
    <row r="245" customFormat="false" ht="15.75" hidden="false" customHeight="true" outlineLevel="0" collapsed="false">
      <c r="A245" s="30" t="n">
        <v>45444</v>
      </c>
      <c r="B245" s="31" t="s">
        <v>153</v>
      </c>
      <c r="C245" s="32"/>
      <c r="D245" s="32"/>
      <c r="E245" s="19" t="n">
        <f aca="false">+F245*0.03</f>
        <v>0</v>
      </c>
      <c r="F245" s="33" t="n">
        <v>0</v>
      </c>
      <c r="G245" s="62"/>
      <c r="H245" s="35" t="n">
        <v>0</v>
      </c>
      <c r="I245" s="34" t="n">
        <f aca="false">+IF(E245=0,0,E245*0.03)</f>
        <v>0</v>
      </c>
    </row>
    <row r="246" customFormat="false" ht="15.75" hidden="false" customHeight="true" outlineLevel="0" collapsed="false">
      <c r="A246" s="30" t="n">
        <v>45444</v>
      </c>
      <c r="B246" s="31" t="s">
        <v>153</v>
      </c>
      <c r="C246" s="32"/>
      <c r="D246" s="32"/>
      <c r="E246" s="19" t="n">
        <f aca="false">+F246*0.03</f>
        <v>0</v>
      </c>
      <c r="F246" s="33" t="n">
        <v>0</v>
      </c>
      <c r="G246" s="62"/>
      <c r="H246" s="35" t="n">
        <v>0</v>
      </c>
      <c r="I246" s="34" t="n">
        <f aca="false">+IF(E246=0,0,E246*0.03)</f>
        <v>0</v>
      </c>
    </row>
    <row r="247" customFormat="false" ht="15.75" hidden="false" customHeight="true" outlineLevel="0" collapsed="false">
      <c r="A247" s="30" t="n">
        <v>45444</v>
      </c>
      <c r="B247" s="31" t="s">
        <v>153</v>
      </c>
      <c r="C247" s="32"/>
      <c r="D247" s="32"/>
      <c r="E247" s="19" t="n">
        <f aca="false">+F247*0.03</f>
        <v>0</v>
      </c>
      <c r="F247" s="33" t="n">
        <v>0</v>
      </c>
      <c r="G247" s="62"/>
      <c r="H247" s="35" t="n">
        <v>0</v>
      </c>
      <c r="I247" s="34" t="n">
        <f aca="false">+IF(E247=0,0,E247*0.03)</f>
        <v>0</v>
      </c>
    </row>
    <row r="248" customFormat="false" ht="15.75" hidden="false" customHeight="true" outlineLevel="0" collapsed="false">
      <c r="A248" s="30" t="n">
        <v>45444</v>
      </c>
      <c r="B248" s="31" t="s">
        <v>153</v>
      </c>
      <c r="C248" s="32"/>
      <c r="D248" s="32"/>
      <c r="E248" s="19" t="n">
        <f aca="false">+F248*0.03</f>
        <v>0</v>
      </c>
      <c r="F248" s="33" t="n">
        <v>0</v>
      </c>
      <c r="G248" s="62"/>
      <c r="H248" s="35" t="n">
        <v>0</v>
      </c>
      <c r="I248" s="34" t="n">
        <f aca="false">+IF(E248=0,0,E248*0.03)</f>
        <v>0</v>
      </c>
    </row>
    <row r="249" customFormat="false" ht="15.75" hidden="false" customHeight="true" outlineLevel="0" collapsed="false">
      <c r="A249" s="30" t="n">
        <v>45444</v>
      </c>
      <c r="B249" s="31" t="s">
        <v>153</v>
      </c>
      <c r="C249" s="32"/>
      <c r="D249" s="32"/>
      <c r="E249" s="19" t="n">
        <f aca="false">+F249*0.03</f>
        <v>0</v>
      </c>
      <c r="F249" s="33" t="n">
        <v>0</v>
      </c>
      <c r="G249" s="62"/>
      <c r="H249" s="35" t="n">
        <v>0</v>
      </c>
      <c r="I249" s="34" t="n">
        <f aca="false">+IF(E249=0,0,E249*0.03)</f>
        <v>0</v>
      </c>
    </row>
    <row r="250" customFormat="false" ht="15.75" hidden="false" customHeight="true" outlineLevel="0" collapsed="false">
      <c r="A250" s="30" t="n">
        <v>45444</v>
      </c>
      <c r="B250" s="31" t="s">
        <v>153</v>
      </c>
      <c r="C250" s="32"/>
      <c r="D250" s="32"/>
      <c r="E250" s="19" t="n">
        <f aca="false">+F250*0.03</f>
        <v>0</v>
      </c>
      <c r="F250" s="33" t="n">
        <v>0</v>
      </c>
      <c r="G250" s="62"/>
      <c r="H250" s="35" t="n">
        <v>0</v>
      </c>
      <c r="I250" s="34" t="n">
        <f aca="false">+IF(E250=0,0,E250*0.03)</f>
        <v>0</v>
      </c>
    </row>
    <row r="251" customFormat="false" ht="15.75" hidden="false" customHeight="true" outlineLevel="0" collapsed="false">
      <c r="A251" s="30" t="n">
        <v>45444</v>
      </c>
      <c r="B251" s="31" t="s">
        <v>153</v>
      </c>
      <c r="C251" s="32"/>
      <c r="D251" s="32"/>
      <c r="E251" s="19" t="n">
        <f aca="false">+F251*0.03</f>
        <v>0</v>
      </c>
      <c r="F251" s="33" t="n">
        <v>0</v>
      </c>
      <c r="G251" s="62"/>
      <c r="H251" s="35" t="n">
        <v>0</v>
      </c>
      <c r="I251" s="34" t="n">
        <f aca="false">+IF(E251=0,0,E251*0.03)</f>
        <v>0</v>
      </c>
    </row>
    <row r="252" customFormat="false" ht="15.75" hidden="false" customHeight="true" outlineLevel="0" collapsed="false">
      <c r="A252" s="30" t="n">
        <v>45444</v>
      </c>
      <c r="B252" s="31" t="s">
        <v>153</v>
      </c>
      <c r="C252" s="32"/>
      <c r="D252" s="32"/>
      <c r="E252" s="19" t="n">
        <f aca="false">+F252*0.03</f>
        <v>0</v>
      </c>
      <c r="F252" s="33" t="n">
        <v>0</v>
      </c>
      <c r="G252" s="62"/>
      <c r="H252" s="35" t="n">
        <v>0</v>
      </c>
      <c r="I252" s="34" t="n">
        <f aca="false">+IF(E252=0,0,E252*0.03)</f>
        <v>0</v>
      </c>
    </row>
    <row r="253" customFormat="false" ht="15.75" hidden="false" customHeight="true" outlineLevel="0" collapsed="false">
      <c r="A253" s="30" t="n">
        <v>45444</v>
      </c>
      <c r="B253" s="31" t="s">
        <v>153</v>
      </c>
      <c r="C253" s="32"/>
      <c r="D253" s="32"/>
      <c r="E253" s="19" t="n">
        <f aca="false">+F253*0.03</f>
        <v>0</v>
      </c>
      <c r="F253" s="33" t="n">
        <v>0</v>
      </c>
      <c r="G253" s="62"/>
      <c r="H253" s="35" t="n">
        <v>0</v>
      </c>
      <c r="I253" s="34" t="n">
        <f aca="false">+IF(E253=0,0,E253*0.03)</f>
        <v>0</v>
      </c>
    </row>
    <row r="254" customFormat="false" ht="15.75" hidden="false" customHeight="true" outlineLevel="0" collapsed="false">
      <c r="A254" s="30" t="n">
        <v>45444</v>
      </c>
      <c r="B254" s="31" t="s">
        <v>153</v>
      </c>
      <c r="C254" s="32"/>
      <c r="D254" s="32"/>
      <c r="E254" s="19" t="n">
        <f aca="false">+F254*0.03</f>
        <v>0</v>
      </c>
      <c r="F254" s="33" t="n">
        <v>0</v>
      </c>
      <c r="G254" s="62"/>
      <c r="H254" s="35" t="n">
        <v>0</v>
      </c>
      <c r="I254" s="34" t="n">
        <f aca="false">+IF(E254=0,0,E254*0.03)</f>
        <v>0</v>
      </c>
    </row>
    <row r="255" customFormat="false" ht="15.75" hidden="false" customHeight="true" outlineLevel="0" collapsed="false">
      <c r="A255" s="30" t="n">
        <v>45444</v>
      </c>
      <c r="B255" s="31" t="s">
        <v>153</v>
      </c>
      <c r="C255" s="32"/>
      <c r="D255" s="32"/>
      <c r="E255" s="19" t="n">
        <f aca="false">+F255*0.03</f>
        <v>0</v>
      </c>
      <c r="F255" s="33" t="n">
        <v>0</v>
      </c>
      <c r="G255" s="62"/>
      <c r="H255" s="35" t="n">
        <v>0</v>
      </c>
      <c r="I255" s="34" t="n">
        <f aca="false">+IF(E255=0,0,E255*0.03)</f>
        <v>0</v>
      </c>
    </row>
    <row r="256" customFormat="false" ht="15.75" hidden="false" customHeight="true" outlineLevel="0" collapsed="false">
      <c r="A256" s="30" t="n">
        <v>45444</v>
      </c>
      <c r="B256" s="31" t="s">
        <v>153</v>
      </c>
      <c r="C256" s="32"/>
      <c r="D256" s="32"/>
      <c r="E256" s="19" t="n">
        <f aca="false">+F256*0.03</f>
        <v>0</v>
      </c>
      <c r="F256" s="33" t="n">
        <v>0</v>
      </c>
      <c r="G256" s="62"/>
      <c r="H256" s="35" t="n">
        <v>0</v>
      </c>
      <c r="I256" s="34" t="n">
        <f aca="false">+IF(E256=0,0,E256*0.03)</f>
        <v>0</v>
      </c>
    </row>
    <row r="257" customFormat="false" ht="15.75" hidden="false" customHeight="true" outlineLevel="0" collapsed="false">
      <c r="A257" s="30" t="n">
        <v>45444</v>
      </c>
      <c r="B257" s="31" t="s">
        <v>153</v>
      </c>
      <c r="C257" s="32"/>
      <c r="D257" s="32"/>
      <c r="E257" s="19" t="n">
        <f aca="false">+F257*0.03</f>
        <v>0</v>
      </c>
      <c r="F257" s="33" t="n">
        <v>0</v>
      </c>
      <c r="G257" s="62"/>
      <c r="H257" s="35" t="n">
        <v>0</v>
      </c>
      <c r="I257" s="34" t="n">
        <f aca="false">+IF(E257=0,0,E257*0.03)</f>
        <v>0</v>
      </c>
    </row>
    <row r="258" customFormat="false" ht="15.75" hidden="false" customHeight="true" outlineLevel="0" collapsed="false">
      <c r="A258" s="30" t="n">
        <v>45444</v>
      </c>
      <c r="B258" s="31" t="s">
        <v>153</v>
      </c>
      <c r="C258" s="32"/>
      <c r="D258" s="32"/>
      <c r="E258" s="19" t="n">
        <f aca="false">+F258*0.03</f>
        <v>0</v>
      </c>
      <c r="F258" s="33" t="n">
        <v>0</v>
      </c>
      <c r="G258" s="62"/>
      <c r="H258" s="35" t="n">
        <v>0</v>
      </c>
      <c r="I258" s="34" t="n">
        <f aca="false">+IF(E258=0,0,E258*0.03)</f>
        <v>0</v>
      </c>
    </row>
    <row r="259" customFormat="false" ht="15.75" hidden="false" customHeight="true" outlineLevel="0" collapsed="false">
      <c r="A259" s="30" t="n">
        <v>45444</v>
      </c>
      <c r="B259" s="31" t="s">
        <v>153</v>
      </c>
      <c r="C259" s="32"/>
      <c r="D259" s="32"/>
      <c r="E259" s="19" t="n">
        <f aca="false">+F259*0.03</f>
        <v>0</v>
      </c>
      <c r="F259" s="33" t="n">
        <v>0</v>
      </c>
      <c r="G259" s="62"/>
      <c r="H259" s="35" t="n">
        <v>0</v>
      </c>
      <c r="I259" s="34" t="n">
        <f aca="false">+IF(E259=0,0,E259*0.03)</f>
        <v>0</v>
      </c>
    </row>
    <row r="260" customFormat="false" ht="15.75" hidden="false" customHeight="true" outlineLevel="0" collapsed="false">
      <c r="A260" s="30" t="n">
        <v>45444</v>
      </c>
      <c r="B260" s="31" t="s">
        <v>153</v>
      </c>
      <c r="C260" s="32"/>
      <c r="D260" s="32"/>
      <c r="E260" s="19" t="n">
        <f aca="false">+F260*0.03</f>
        <v>0</v>
      </c>
      <c r="F260" s="33" t="n">
        <v>0</v>
      </c>
      <c r="G260" s="62"/>
      <c r="H260" s="35" t="n">
        <v>0</v>
      </c>
      <c r="I260" s="34" t="n">
        <f aca="false">+IF(E260=0,0,E260*0.03)</f>
        <v>0</v>
      </c>
    </row>
    <row r="261" customFormat="false" ht="15.75" hidden="false" customHeight="true" outlineLevel="0" collapsed="false">
      <c r="A261" s="30" t="n">
        <v>45444</v>
      </c>
      <c r="B261" s="31" t="s">
        <v>153</v>
      </c>
      <c r="C261" s="32"/>
      <c r="D261" s="32"/>
      <c r="E261" s="19" t="n">
        <f aca="false">+F261*0.03</f>
        <v>0</v>
      </c>
      <c r="F261" s="33" t="n">
        <v>0</v>
      </c>
      <c r="G261" s="62"/>
      <c r="H261" s="35" t="n">
        <v>0</v>
      </c>
      <c r="I261" s="34" t="n">
        <f aca="false">+IF(E261=0,0,E261*0.03)</f>
        <v>0</v>
      </c>
    </row>
    <row r="262" customFormat="false" ht="15.75" hidden="false" customHeight="true" outlineLevel="0" collapsed="false">
      <c r="A262" s="30" t="n">
        <v>45444</v>
      </c>
      <c r="B262" s="31" t="s">
        <v>153</v>
      </c>
      <c r="C262" s="32"/>
      <c r="D262" s="32"/>
      <c r="E262" s="19" t="n">
        <f aca="false">+F262*0.03</f>
        <v>0</v>
      </c>
      <c r="F262" s="33" t="n">
        <v>0</v>
      </c>
      <c r="G262" s="62"/>
      <c r="H262" s="35" t="n">
        <v>0</v>
      </c>
      <c r="I262" s="34" t="n">
        <f aca="false">+IF(E262=0,0,E262*0.03)</f>
        <v>0</v>
      </c>
    </row>
    <row r="263" customFormat="false" ht="15.75" hidden="false" customHeight="true" outlineLevel="0" collapsed="false">
      <c r="A263" s="30" t="n">
        <v>45444</v>
      </c>
      <c r="B263" s="31" t="s">
        <v>153</v>
      </c>
      <c r="C263" s="32"/>
      <c r="D263" s="32"/>
      <c r="E263" s="19" t="n">
        <f aca="false">+F263*0.03</f>
        <v>0</v>
      </c>
      <c r="F263" s="33" t="n">
        <v>0</v>
      </c>
      <c r="G263" s="62"/>
      <c r="H263" s="35" t="n">
        <v>0</v>
      </c>
      <c r="I263" s="34" t="n">
        <f aca="false">+IF(E263=0,0,E263*0.03)</f>
        <v>0</v>
      </c>
    </row>
    <row r="264" customFormat="false" ht="15.75" hidden="false" customHeight="true" outlineLevel="0" collapsed="false">
      <c r="A264" s="30" t="n">
        <v>45444</v>
      </c>
      <c r="B264" s="31" t="s">
        <v>153</v>
      </c>
      <c r="C264" s="32"/>
      <c r="D264" s="32"/>
      <c r="E264" s="19" t="n">
        <f aca="false">+F264*0.03</f>
        <v>0</v>
      </c>
      <c r="F264" s="33" t="n">
        <v>0</v>
      </c>
      <c r="G264" s="62"/>
      <c r="H264" s="35" t="n">
        <v>0</v>
      </c>
      <c r="I264" s="34" t="n">
        <f aca="false">+IF(E264=0,0,E264*0.03)</f>
        <v>0</v>
      </c>
    </row>
    <row r="265" customFormat="false" ht="15.75" hidden="false" customHeight="true" outlineLevel="0" collapsed="false">
      <c r="A265" s="30" t="n">
        <v>45444</v>
      </c>
      <c r="B265" s="31" t="s">
        <v>153</v>
      </c>
      <c r="C265" s="32"/>
      <c r="D265" s="32"/>
      <c r="E265" s="19" t="n">
        <f aca="false">+F265*0.03</f>
        <v>0</v>
      </c>
      <c r="F265" s="33" t="n">
        <v>0</v>
      </c>
      <c r="G265" s="62"/>
      <c r="H265" s="35" t="n">
        <v>0</v>
      </c>
      <c r="I265" s="34" t="n">
        <f aca="false">+IF(E265=0,0,E265*0.03)</f>
        <v>0</v>
      </c>
    </row>
    <row r="266" customFormat="false" ht="15.75" hidden="false" customHeight="true" outlineLevel="0" collapsed="false">
      <c r="A266" s="30" t="n">
        <v>45444</v>
      </c>
      <c r="B266" s="31" t="s">
        <v>153</v>
      </c>
      <c r="C266" s="32"/>
      <c r="D266" s="32"/>
      <c r="E266" s="19" t="n">
        <f aca="false">+F266*0.03</f>
        <v>0</v>
      </c>
      <c r="F266" s="33" t="n">
        <v>0</v>
      </c>
      <c r="G266" s="62"/>
      <c r="H266" s="35" t="n">
        <v>0</v>
      </c>
      <c r="I266" s="34" t="n">
        <f aca="false">+IF(E266=0,0,E266*0.03)</f>
        <v>0</v>
      </c>
    </row>
    <row r="267" customFormat="false" ht="15.75" hidden="false" customHeight="true" outlineLevel="0" collapsed="false">
      <c r="A267" s="30" t="n">
        <v>45444</v>
      </c>
      <c r="B267" s="31" t="s">
        <v>153</v>
      </c>
      <c r="C267" s="32"/>
      <c r="D267" s="32"/>
      <c r="E267" s="19" t="n">
        <f aca="false">+F267*0.03</f>
        <v>0</v>
      </c>
      <c r="F267" s="33" t="n">
        <v>0</v>
      </c>
      <c r="G267" s="62"/>
      <c r="H267" s="35" t="n">
        <v>0</v>
      </c>
      <c r="I267" s="34" t="n">
        <f aca="false">+IF(E267=0,0,E267*0.03)</f>
        <v>0</v>
      </c>
    </row>
    <row r="268" customFormat="false" ht="15.75" hidden="false" customHeight="true" outlineLevel="0" collapsed="false">
      <c r="A268" s="30" t="n">
        <v>45444</v>
      </c>
      <c r="B268" s="31" t="s">
        <v>153</v>
      </c>
      <c r="C268" s="32"/>
      <c r="D268" s="32"/>
      <c r="E268" s="19" t="n">
        <f aca="false">+F268*0.03</f>
        <v>0</v>
      </c>
      <c r="F268" s="33" t="n">
        <v>0</v>
      </c>
      <c r="G268" s="62"/>
      <c r="H268" s="35" t="n">
        <v>0</v>
      </c>
      <c r="I268" s="34" t="n">
        <f aca="false">+IF(E268=0,0,E268*0.03)</f>
        <v>0</v>
      </c>
    </row>
    <row r="269" customFormat="false" ht="15.75" hidden="false" customHeight="true" outlineLevel="0" collapsed="false">
      <c r="A269" s="30" t="n">
        <v>45444</v>
      </c>
      <c r="B269" s="31" t="s">
        <v>153</v>
      </c>
      <c r="C269" s="32"/>
      <c r="D269" s="32"/>
      <c r="E269" s="19" t="n">
        <f aca="false">+F269*0.03</f>
        <v>0</v>
      </c>
      <c r="F269" s="33" t="n">
        <v>0</v>
      </c>
      <c r="G269" s="62"/>
      <c r="H269" s="35" t="n">
        <v>0</v>
      </c>
      <c r="I269" s="34" t="n">
        <f aca="false">+IF(E269=0,0,E269*0.03)</f>
        <v>0</v>
      </c>
    </row>
    <row r="270" customFormat="false" ht="15.75" hidden="false" customHeight="true" outlineLevel="0" collapsed="false">
      <c r="A270" s="30" t="n">
        <v>45444</v>
      </c>
      <c r="B270" s="31" t="s">
        <v>153</v>
      </c>
      <c r="C270" s="32"/>
      <c r="D270" s="32"/>
      <c r="E270" s="19" t="n">
        <f aca="false">+F270*0.03</f>
        <v>0</v>
      </c>
      <c r="F270" s="33" t="n">
        <v>0</v>
      </c>
      <c r="G270" s="62"/>
      <c r="H270" s="35" t="n">
        <v>0</v>
      </c>
      <c r="I270" s="34" t="n">
        <f aca="false">+IF(E270=0,0,E270*0.03)</f>
        <v>0</v>
      </c>
    </row>
    <row r="271" customFormat="false" ht="15.75" hidden="false" customHeight="true" outlineLevel="0" collapsed="false">
      <c r="A271" s="30" t="n">
        <v>45444</v>
      </c>
      <c r="B271" s="31" t="s">
        <v>153</v>
      </c>
      <c r="C271" s="32"/>
      <c r="D271" s="32"/>
      <c r="E271" s="19" t="n">
        <f aca="false">+F271*0.03</f>
        <v>0</v>
      </c>
      <c r="F271" s="33" t="n">
        <v>0</v>
      </c>
      <c r="G271" s="62"/>
      <c r="H271" s="35" t="n">
        <v>0</v>
      </c>
      <c r="I271" s="34" t="n">
        <f aca="false">+IF(E271=0,0,E271*0.03)</f>
        <v>0</v>
      </c>
    </row>
    <row r="272" customFormat="false" ht="15.75" hidden="false" customHeight="true" outlineLevel="0" collapsed="false">
      <c r="A272" s="30" t="n">
        <v>45444</v>
      </c>
      <c r="B272" s="31" t="s">
        <v>153</v>
      </c>
      <c r="C272" s="32"/>
      <c r="D272" s="32"/>
      <c r="E272" s="19" t="n">
        <f aca="false">+F272*0.03</f>
        <v>0</v>
      </c>
      <c r="F272" s="33" t="n">
        <v>0</v>
      </c>
      <c r="G272" s="62"/>
      <c r="H272" s="35" t="n">
        <v>0</v>
      </c>
      <c r="I272" s="34" t="n">
        <f aca="false">+IF(E272=0,0,E272*0.03)</f>
        <v>0</v>
      </c>
    </row>
    <row r="273" customFormat="false" ht="15.75" hidden="false" customHeight="true" outlineLevel="0" collapsed="false">
      <c r="A273" s="30" t="n">
        <v>45444</v>
      </c>
      <c r="B273" s="31" t="s">
        <v>153</v>
      </c>
      <c r="C273" s="32"/>
      <c r="D273" s="32"/>
      <c r="E273" s="19" t="n">
        <f aca="false">+F273*0.03</f>
        <v>0</v>
      </c>
      <c r="F273" s="33" t="n">
        <v>0</v>
      </c>
      <c r="G273" s="62"/>
      <c r="H273" s="35" t="n">
        <v>0</v>
      </c>
      <c r="I273" s="34" t="n">
        <f aca="false">+IF(E273=0,0,E273*0.03)</f>
        <v>0</v>
      </c>
    </row>
    <row r="274" customFormat="false" ht="15.75" hidden="false" customHeight="true" outlineLevel="0" collapsed="false">
      <c r="A274" s="30" t="n">
        <v>45444</v>
      </c>
      <c r="B274" s="31" t="s">
        <v>153</v>
      </c>
      <c r="C274" s="32"/>
      <c r="D274" s="32"/>
      <c r="E274" s="19" t="n">
        <f aca="false">+F274*0.03</f>
        <v>0</v>
      </c>
      <c r="F274" s="33" t="n">
        <v>0</v>
      </c>
      <c r="G274" s="62"/>
      <c r="H274" s="35" t="n">
        <v>0</v>
      </c>
      <c r="I274" s="34" t="n">
        <f aca="false">+IF(E274=0,0,E274*0.03)</f>
        <v>0</v>
      </c>
    </row>
    <row r="275" customFormat="false" ht="15.75" hidden="false" customHeight="true" outlineLevel="0" collapsed="false">
      <c r="A275" s="30" t="n">
        <v>45444</v>
      </c>
      <c r="B275" s="31" t="s">
        <v>153</v>
      </c>
      <c r="C275" s="32"/>
      <c r="D275" s="32"/>
      <c r="E275" s="19" t="n">
        <f aca="false">+F275*0.03</f>
        <v>0</v>
      </c>
      <c r="F275" s="33" t="n">
        <v>0</v>
      </c>
      <c r="G275" s="62"/>
      <c r="H275" s="35" t="n">
        <v>0</v>
      </c>
      <c r="I275" s="34" t="n">
        <f aca="false">+IF(E275=0,0,E275*0.03)</f>
        <v>0</v>
      </c>
    </row>
    <row r="276" customFormat="false" ht="15.75" hidden="false" customHeight="true" outlineLevel="0" collapsed="false">
      <c r="A276" s="30" t="n">
        <v>45444</v>
      </c>
      <c r="B276" s="31" t="s">
        <v>153</v>
      </c>
      <c r="C276" s="32"/>
      <c r="D276" s="32"/>
      <c r="E276" s="19" t="n">
        <f aca="false">+F276*0.03</f>
        <v>0</v>
      </c>
      <c r="F276" s="33" t="n">
        <v>0</v>
      </c>
      <c r="G276" s="62"/>
      <c r="H276" s="35" t="n">
        <v>0</v>
      </c>
      <c r="I276" s="34" t="n">
        <f aca="false">+IF(E276=0,0,E276*0.03)</f>
        <v>0</v>
      </c>
    </row>
    <row r="277" customFormat="false" ht="15.75" hidden="false" customHeight="true" outlineLevel="0" collapsed="false">
      <c r="A277" s="30" t="n">
        <v>45444</v>
      </c>
      <c r="B277" s="31" t="s">
        <v>153</v>
      </c>
      <c r="C277" s="32"/>
      <c r="D277" s="32"/>
      <c r="E277" s="19" t="n">
        <f aca="false">+F277*0.03</f>
        <v>0</v>
      </c>
      <c r="F277" s="33" t="n">
        <v>0</v>
      </c>
      <c r="G277" s="62"/>
      <c r="H277" s="35" t="n">
        <v>0</v>
      </c>
      <c r="I277" s="34" t="n">
        <f aca="false">+IF(E277=0,0,E277*0.03)</f>
        <v>0</v>
      </c>
    </row>
    <row r="278" customFormat="false" ht="15.75" hidden="false" customHeight="true" outlineLevel="0" collapsed="false">
      <c r="A278" s="30" t="n">
        <v>45444</v>
      </c>
      <c r="B278" s="31" t="s">
        <v>153</v>
      </c>
      <c r="C278" s="32"/>
      <c r="D278" s="32"/>
      <c r="E278" s="19" t="n">
        <f aca="false">+F278*0.03</f>
        <v>0</v>
      </c>
      <c r="F278" s="33" t="n">
        <v>0</v>
      </c>
      <c r="G278" s="62"/>
      <c r="H278" s="35" t="n">
        <v>0</v>
      </c>
      <c r="I278" s="34" t="n">
        <f aca="false">+IF(E278=0,0,E278*0.03)</f>
        <v>0</v>
      </c>
    </row>
    <row r="279" customFormat="false" ht="15.75" hidden="false" customHeight="true" outlineLevel="0" collapsed="false">
      <c r="A279" s="30" t="n">
        <v>45444</v>
      </c>
      <c r="B279" s="31" t="s">
        <v>153</v>
      </c>
      <c r="C279" s="32"/>
      <c r="D279" s="32"/>
      <c r="E279" s="19" t="n">
        <f aca="false">+F279*0.03</f>
        <v>0</v>
      </c>
      <c r="F279" s="33" t="n">
        <v>0</v>
      </c>
      <c r="G279" s="62"/>
      <c r="H279" s="35" t="n">
        <v>0</v>
      </c>
      <c r="I279" s="34" t="n">
        <f aca="false">+IF(E279=0,0,E279*0.03)</f>
        <v>0</v>
      </c>
    </row>
    <row r="280" customFormat="false" ht="15.75" hidden="false" customHeight="true" outlineLevel="0" collapsed="false">
      <c r="A280" s="30" t="n">
        <v>45444</v>
      </c>
      <c r="B280" s="31" t="s">
        <v>153</v>
      </c>
      <c r="C280" s="32"/>
      <c r="D280" s="32"/>
      <c r="E280" s="19" t="n">
        <f aca="false">+F280*0.03</f>
        <v>0</v>
      </c>
      <c r="F280" s="33" t="n">
        <v>0</v>
      </c>
      <c r="G280" s="62"/>
      <c r="H280" s="35" t="n">
        <v>0</v>
      </c>
      <c r="I280" s="34" t="n">
        <f aca="false">+IF(E280=0,0,E280*0.03)</f>
        <v>0</v>
      </c>
    </row>
    <row r="281" customFormat="false" ht="15.75" hidden="false" customHeight="true" outlineLevel="0" collapsed="false">
      <c r="A281" s="30" t="n">
        <v>45444</v>
      </c>
      <c r="B281" s="31" t="s">
        <v>153</v>
      </c>
      <c r="C281" s="32"/>
      <c r="D281" s="32"/>
      <c r="E281" s="19" t="n">
        <f aca="false">+F281*0.03</f>
        <v>0</v>
      </c>
      <c r="F281" s="33" t="n">
        <v>0</v>
      </c>
      <c r="G281" s="62"/>
      <c r="H281" s="35" t="n">
        <v>0</v>
      </c>
      <c r="I281" s="34" t="n">
        <f aca="false">+IF(E281=0,0,E281*0.03)</f>
        <v>0</v>
      </c>
    </row>
    <row r="282" customFormat="false" ht="15.75" hidden="false" customHeight="true" outlineLevel="0" collapsed="false">
      <c r="A282" s="30" t="n">
        <v>45444</v>
      </c>
      <c r="B282" s="31" t="s">
        <v>153</v>
      </c>
      <c r="C282" s="32"/>
      <c r="D282" s="32"/>
      <c r="E282" s="19" t="n">
        <f aca="false">+F282*0.03</f>
        <v>0</v>
      </c>
      <c r="F282" s="33" t="n">
        <v>0</v>
      </c>
      <c r="G282" s="62"/>
      <c r="H282" s="35" t="n">
        <v>0</v>
      </c>
      <c r="I282" s="34" t="n">
        <f aca="false">+IF(E282=0,0,E282*0.03)</f>
        <v>0</v>
      </c>
    </row>
    <row r="283" customFormat="false" ht="15.75" hidden="false" customHeight="true" outlineLevel="0" collapsed="false">
      <c r="A283" s="30" t="n">
        <v>45444</v>
      </c>
      <c r="B283" s="31" t="s">
        <v>153</v>
      </c>
      <c r="C283" s="32"/>
      <c r="D283" s="32"/>
      <c r="E283" s="19" t="n">
        <f aca="false">+F283*0.03</f>
        <v>0</v>
      </c>
      <c r="F283" s="33" t="n">
        <v>0</v>
      </c>
      <c r="G283" s="62"/>
      <c r="H283" s="35" t="n">
        <v>0</v>
      </c>
      <c r="I283" s="34" t="n">
        <f aca="false">+IF(E283=0,0,E283*0.03)</f>
        <v>0</v>
      </c>
    </row>
    <row r="284" customFormat="false" ht="15.75" hidden="false" customHeight="true" outlineLevel="0" collapsed="false">
      <c r="A284" s="30" t="n">
        <v>45444</v>
      </c>
      <c r="B284" s="31" t="s">
        <v>153</v>
      </c>
      <c r="C284" s="32"/>
      <c r="D284" s="32"/>
      <c r="E284" s="19" t="n">
        <f aca="false">+F284*0.03</f>
        <v>0</v>
      </c>
      <c r="F284" s="33" t="n">
        <v>0</v>
      </c>
      <c r="G284" s="62"/>
      <c r="H284" s="35" t="n">
        <v>0</v>
      </c>
      <c r="I284" s="34" t="n">
        <f aca="false">+IF(E284=0,0,E284*0.03)</f>
        <v>0</v>
      </c>
    </row>
    <row r="285" customFormat="false" ht="15.75" hidden="false" customHeight="true" outlineLevel="0" collapsed="false">
      <c r="A285" s="30" t="n">
        <v>45444</v>
      </c>
      <c r="B285" s="31" t="s">
        <v>153</v>
      </c>
      <c r="C285" s="32"/>
      <c r="D285" s="32"/>
      <c r="E285" s="19" t="n">
        <f aca="false">+F285*0.03</f>
        <v>0</v>
      </c>
      <c r="F285" s="33" t="n">
        <v>0</v>
      </c>
      <c r="G285" s="62"/>
      <c r="H285" s="35" t="n">
        <v>0</v>
      </c>
      <c r="I285" s="34" t="n">
        <f aca="false">+IF(E285=0,0,E285*0.03)</f>
        <v>0</v>
      </c>
    </row>
    <row r="286" customFormat="false" ht="15.75" hidden="false" customHeight="true" outlineLevel="0" collapsed="false">
      <c r="A286" s="30" t="n">
        <v>45444</v>
      </c>
      <c r="B286" s="31" t="s">
        <v>153</v>
      </c>
      <c r="C286" s="32"/>
      <c r="D286" s="32"/>
      <c r="E286" s="19" t="n">
        <f aca="false">+F286*0.03</f>
        <v>0</v>
      </c>
      <c r="F286" s="33" t="n">
        <v>0</v>
      </c>
      <c r="G286" s="62"/>
      <c r="H286" s="35" t="n">
        <v>0</v>
      </c>
      <c r="I286" s="34" t="n">
        <f aca="false">+IF(E286=0,0,E286*0.03)</f>
        <v>0</v>
      </c>
    </row>
    <row r="287" customFormat="false" ht="15.75" hidden="false" customHeight="true" outlineLevel="0" collapsed="false">
      <c r="A287" s="30" t="n">
        <v>45444</v>
      </c>
      <c r="B287" s="31" t="s">
        <v>153</v>
      </c>
      <c r="C287" s="32"/>
      <c r="D287" s="32"/>
      <c r="E287" s="19" t="n">
        <f aca="false">+F287*0.03</f>
        <v>0</v>
      </c>
      <c r="F287" s="33" t="n">
        <v>0</v>
      </c>
      <c r="G287" s="62"/>
      <c r="H287" s="35" t="n">
        <v>0</v>
      </c>
      <c r="I287" s="34" t="n">
        <f aca="false">+IF(E287=0,0,E287*0.03)</f>
        <v>0</v>
      </c>
    </row>
    <row r="288" customFormat="false" ht="15.75" hidden="false" customHeight="true" outlineLevel="0" collapsed="false">
      <c r="A288" s="30" t="n">
        <v>45444</v>
      </c>
      <c r="B288" s="31" t="s">
        <v>153</v>
      </c>
      <c r="C288" s="32"/>
      <c r="D288" s="32"/>
      <c r="E288" s="19" t="n">
        <f aca="false">+F288*0.03</f>
        <v>0</v>
      </c>
      <c r="F288" s="33" t="n">
        <v>0</v>
      </c>
      <c r="G288" s="62"/>
      <c r="H288" s="35" t="n">
        <v>0</v>
      </c>
      <c r="I288" s="34" t="n">
        <f aca="false">+IF(E288=0,0,E288*0.03)</f>
        <v>0</v>
      </c>
    </row>
    <row r="289" customFormat="false" ht="15.75" hidden="false" customHeight="true" outlineLevel="0" collapsed="false">
      <c r="A289" s="30" t="n">
        <v>45444</v>
      </c>
      <c r="B289" s="31" t="s">
        <v>153</v>
      </c>
      <c r="C289" s="32"/>
      <c r="D289" s="32"/>
      <c r="E289" s="19" t="n">
        <f aca="false">+F289*0.03</f>
        <v>0</v>
      </c>
      <c r="F289" s="33" t="n">
        <v>0</v>
      </c>
      <c r="G289" s="62"/>
      <c r="H289" s="35" t="n">
        <v>0</v>
      </c>
      <c r="I289" s="34" t="n">
        <f aca="false">+IF(E289=0,0,E289*0.03)</f>
        <v>0</v>
      </c>
    </row>
    <row r="290" customFormat="false" ht="15.75" hidden="false" customHeight="true" outlineLevel="0" collapsed="false">
      <c r="A290" s="30" t="n">
        <v>45444</v>
      </c>
      <c r="B290" s="31" t="s">
        <v>153</v>
      </c>
      <c r="C290" s="32"/>
      <c r="D290" s="32"/>
      <c r="E290" s="19" t="n">
        <f aca="false">+F290*0.03</f>
        <v>0</v>
      </c>
      <c r="F290" s="33" t="n">
        <v>0</v>
      </c>
      <c r="G290" s="62"/>
      <c r="H290" s="35" t="n">
        <v>0</v>
      </c>
      <c r="I290" s="34" t="n">
        <f aca="false">+IF(E290=0,0,E290*0.03)</f>
        <v>0</v>
      </c>
    </row>
    <row r="291" customFormat="false" ht="15.75" hidden="false" customHeight="true" outlineLevel="0" collapsed="false">
      <c r="A291" s="30" t="n">
        <v>45444</v>
      </c>
      <c r="B291" s="31" t="s">
        <v>153</v>
      </c>
      <c r="C291" s="32"/>
      <c r="D291" s="32"/>
      <c r="E291" s="19" t="n">
        <f aca="false">+F291*0.03</f>
        <v>0</v>
      </c>
      <c r="F291" s="33" t="n">
        <v>0</v>
      </c>
      <c r="G291" s="62"/>
      <c r="H291" s="35" t="n">
        <v>0</v>
      </c>
      <c r="I291" s="34" t="n">
        <f aca="false">+IF(E291=0,0,E291*0.03)</f>
        <v>0</v>
      </c>
    </row>
    <row r="292" customFormat="false" ht="15.75" hidden="false" customHeight="true" outlineLevel="0" collapsed="false">
      <c r="A292" s="30" t="n">
        <v>45444</v>
      </c>
      <c r="B292" s="31" t="s">
        <v>153</v>
      </c>
      <c r="C292" s="32"/>
      <c r="D292" s="32"/>
      <c r="E292" s="19" t="n">
        <f aca="false">+F292*0.03</f>
        <v>0</v>
      </c>
      <c r="F292" s="33" t="n">
        <v>0</v>
      </c>
      <c r="G292" s="62"/>
      <c r="H292" s="35" t="n">
        <v>0</v>
      </c>
      <c r="I292" s="34" t="n">
        <f aca="false">+IF(E292=0,0,E292*0.03)</f>
        <v>0</v>
      </c>
    </row>
    <row r="293" customFormat="false" ht="15.75" hidden="false" customHeight="true" outlineLevel="0" collapsed="false">
      <c r="A293" s="30" t="n">
        <v>45444</v>
      </c>
      <c r="B293" s="31" t="s">
        <v>153</v>
      </c>
      <c r="C293" s="32"/>
      <c r="D293" s="32"/>
      <c r="E293" s="19" t="n">
        <f aca="false">+F293*0.03</f>
        <v>0</v>
      </c>
      <c r="F293" s="33" t="n">
        <v>0</v>
      </c>
      <c r="G293" s="62"/>
      <c r="H293" s="35" t="n">
        <v>0</v>
      </c>
      <c r="I293" s="34" t="n">
        <f aca="false">+IF(E293=0,0,E293*0.03)</f>
        <v>0</v>
      </c>
    </row>
    <row r="294" customFormat="false" ht="15.75" hidden="false" customHeight="true" outlineLevel="0" collapsed="false">
      <c r="A294" s="30" t="n">
        <v>45444</v>
      </c>
      <c r="B294" s="31" t="s">
        <v>153</v>
      </c>
      <c r="C294" s="32"/>
      <c r="D294" s="32"/>
      <c r="E294" s="19" t="n">
        <f aca="false">+F294*0.03</f>
        <v>0</v>
      </c>
      <c r="F294" s="33" t="n">
        <v>0</v>
      </c>
      <c r="G294" s="62"/>
      <c r="H294" s="35" t="n">
        <v>0</v>
      </c>
      <c r="I294" s="34" t="n">
        <f aca="false">+IF(E294=0,0,E294*0.03)</f>
        <v>0</v>
      </c>
    </row>
    <row r="295" customFormat="false" ht="15.75" hidden="false" customHeight="true" outlineLevel="0" collapsed="false">
      <c r="A295" s="30" t="n">
        <v>45444</v>
      </c>
      <c r="B295" s="31" t="s">
        <v>153</v>
      </c>
      <c r="C295" s="32"/>
      <c r="D295" s="32"/>
      <c r="E295" s="19" t="n">
        <f aca="false">+F295*0.03</f>
        <v>0</v>
      </c>
      <c r="F295" s="33" t="n">
        <v>0</v>
      </c>
      <c r="G295" s="62"/>
      <c r="H295" s="35" t="n">
        <v>0</v>
      </c>
      <c r="I295" s="34" t="n">
        <f aca="false">+IF(E295=0,0,E295*0.03)</f>
        <v>0</v>
      </c>
    </row>
    <row r="296" customFormat="false" ht="15.75" hidden="false" customHeight="true" outlineLevel="0" collapsed="false">
      <c r="A296" s="30" t="n">
        <v>45444</v>
      </c>
      <c r="B296" s="31" t="s">
        <v>153</v>
      </c>
      <c r="C296" s="32"/>
      <c r="D296" s="32"/>
      <c r="E296" s="19" t="n">
        <f aca="false">+F296*0.03</f>
        <v>0</v>
      </c>
      <c r="F296" s="33" t="n">
        <v>0</v>
      </c>
      <c r="G296" s="62"/>
      <c r="H296" s="35" t="n">
        <v>0</v>
      </c>
      <c r="I296" s="34" t="n">
        <f aca="false">+IF(E296=0,0,E296*0.03)</f>
        <v>0</v>
      </c>
    </row>
    <row r="297" customFormat="false" ht="15.75" hidden="false" customHeight="true" outlineLevel="0" collapsed="false">
      <c r="A297" s="30" t="n">
        <v>45444</v>
      </c>
      <c r="B297" s="31" t="s">
        <v>153</v>
      </c>
      <c r="C297" s="32"/>
      <c r="D297" s="32"/>
      <c r="E297" s="19" t="n">
        <f aca="false">+F297*0.03</f>
        <v>0</v>
      </c>
      <c r="F297" s="33" t="n">
        <v>0</v>
      </c>
      <c r="G297" s="62"/>
      <c r="H297" s="35" t="n">
        <v>0</v>
      </c>
      <c r="I297" s="34" t="n">
        <f aca="false">+IF(E297=0,0,E297*0.03)</f>
        <v>0</v>
      </c>
    </row>
    <row r="298" customFormat="false" ht="15.75" hidden="false" customHeight="true" outlineLevel="0" collapsed="false">
      <c r="A298" s="30" t="n">
        <v>45444</v>
      </c>
      <c r="B298" s="31" t="s">
        <v>153</v>
      </c>
      <c r="C298" s="32"/>
      <c r="D298" s="32"/>
      <c r="E298" s="19" t="n">
        <f aca="false">+F298*0.03</f>
        <v>0</v>
      </c>
      <c r="F298" s="33" t="n">
        <v>0</v>
      </c>
      <c r="G298" s="62"/>
      <c r="H298" s="35" t="n">
        <v>0</v>
      </c>
      <c r="I298" s="34" t="n">
        <f aca="false">+IF(E298=0,0,E298*0.03)</f>
        <v>0</v>
      </c>
    </row>
    <row r="299" customFormat="false" ht="15.75" hidden="false" customHeight="true" outlineLevel="0" collapsed="false">
      <c r="A299" s="30" t="n">
        <v>45444</v>
      </c>
      <c r="B299" s="31" t="s">
        <v>153</v>
      </c>
      <c r="C299" s="32"/>
      <c r="D299" s="32"/>
      <c r="E299" s="19" t="n">
        <f aca="false">+F299*0.03</f>
        <v>0</v>
      </c>
      <c r="F299" s="33" t="n">
        <v>0</v>
      </c>
      <c r="G299" s="62"/>
      <c r="H299" s="35" t="n">
        <v>0</v>
      </c>
      <c r="I299" s="34" t="n">
        <f aca="false">+IF(E299=0,0,E299*0.03)</f>
        <v>0</v>
      </c>
    </row>
    <row r="300" customFormat="false" ht="15.75" hidden="false" customHeight="true" outlineLevel="0" collapsed="false">
      <c r="A300" s="30" t="n">
        <v>45444</v>
      </c>
      <c r="B300" s="31" t="s">
        <v>153</v>
      </c>
      <c r="C300" s="32"/>
      <c r="D300" s="32"/>
      <c r="E300" s="19" t="n">
        <f aca="false">+F300*0.03</f>
        <v>0</v>
      </c>
      <c r="F300" s="33" t="n">
        <v>0</v>
      </c>
      <c r="G300" s="62"/>
      <c r="H300" s="35" t="n">
        <v>0</v>
      </c>
      <c r="I300" s="34" t="n">
        <f aca="false">+IF(E300=0,0,E300*0.03)</f>
        <v>0</v>
      </c>
    </row>
    <row r="301" customFormat="false" ht="15.75" hidden="false" customHeight="true" outlineLevel="0" collapsed="false">
      <c r="A301" s="30" t="n">
        <v>45444</v>
      </c>
      <c r="B301" s="31" t="s">
        <v>153</v>
      </c>
      <c r="C301" s="32"/>
      <c r="D301" s="32"/>
      <c r="E301" s="19" t="n">
        <f aca="false">+F301*0.03</f>
        <v>0</v>
      </c>
      <c r="F301" s="33" t="n">
        <v>0</v>
      </c>
      <c r="G301" s="62"/>
      <c r="H301" s="35" t="n">
        <v>0</v>
      </c>
      <c r="I301" s="34" t="n">
        <f aca="false">+IF(E301=0,0,E301*0.03)</f>
        <v>0</v>
      </c>
    </row>
    <row r="302" customFormat="false" ht="15.75" hidden="false" customHeight="true" outlineLevel="0" collapsed="false">
      <c r="A302" s="30" t="n">
        <v>45444</v>
      </c>
      <c r="B302" s="31" t="s">
        <v>153</v>
      </c>
      <c r="C302" s="32"/>
      <c r="D302" s="32"/>
      <c r="E302" s="19" t="n">
        <f aca="false">+F302*0.03</f>
        <v>0</v>
      </c>
      <c r="F302" s="33" t="n">
        <v>0</v>
      </c>
      <c r="G302" s="62"/>
      <c r="H302" s="35" t="n">
        <v>0</v>
      </c>
      <c r="I302" s="34" t="n">
        <f aca="false">+IF(E302=0,0,E302*0.03)</f>
        <v>0</v>
      </c>
    </row>
    <row r="303" customFormat="false" ht="15.75" hidden="false" customHeight="true" outlineLevel="0" collapsed="false">
      <c r="A303" s="30" t="n">
        <v>45444</v>
      </c>
      <c r="B303" s="31" t="s">
        <v>153</v>
      </c>
      <c r="C303" s="32"/>
      <c r="D303" s="32"/>
      <c r="E303" s="19" t="n">
        <f aca="false">+F303*0.03</f>
        <v>0</v>
      </c>
      <c r="F303" s="33" t="n">
        <v>0</v>
      </c>
      <c r="G303" s="62"/>
      <c r="H303" s="35" t="n">
        <v>0</v>
      </c>
      <c r="I303" s="34" t="n">
        <f aca="false">+IF(E303=0,0,E303*0.03)</f>
        <v>0</v>
      </c>
    </row>
    <row r="304" customFormat="false" ht="15.75" hidden="false" customHeight="true" outlineLevel="0" collapsed="false">
      <c r="A304" s="30" t="n">
        <v>45444</v>
      </c>
      <c r="B304" s="31" t="s">
        <v>153</v>
      </c>
      <c r="C304" s="32"/>
      <c r="D304" s="32"/>
      <c r="E304" s="19" t="n">
        <f aca="false">+F304*0.03</f>
        <v>0</v>
      </c>
      <c r="F304" s="33" t="n">
        <v>0</v>
      </c>
      <c r="G304" s="62"/>
      <c r="H304" s="35" t="n">
        <v>0</v>
      </c>
      <c r="I304" s="34" t="n">
        <f aca="false">+IF(E304=0,0,E304*0.03)</f>
        <v>0</v>
      </c>
    </row>
    <row r="305" customFormat="false" ht="15.75" hidden="false" customHeight="true" outlineLevel="0" collapsed="false">
      <c r="A305" s="30" t="n">
        <v>45444</v>
      </c>
      <c r="B305" s="31" t="s">
        <v>153</v>
      </c>
      <c r="C305" s="32"/>
      <c r="D305" s="32"/>
      <c r="E305" s="19" t="n">
        <f aca="false">+F305*0.03</f>
        <v>0</v>
      </c>
      <c r="F305" s="33" t="n">
        <v>0</v>
      </c>
      <c r="G305" s="62"/>
      <c r="H305" s="35" t="n">
        <v>0</v>
      </c>
      <c r="I305" s="34" t="n">
        <f aca="false">+IF(E305=0,0,E305*0.03)</f>
        <v>0</v>
      </c>
    </row>
    <row r="306" customFormat="false" ht="15.75" hidden="false" customHeight="true" outlineLevel="0" collapsed="false">
      <c r="A306" s="30" t="n">
        <v>45444</v>
      </c>
      <c r="B306" s="31" t="s">
        <v>153</v>
      </c>
      <c r="C306" s="32"/>
      <c r="D306" s="32"/>
      <c r="E306" s="19" t="n">
        <f aca="false">+F306*0.03</f>
        <v>0</v>
      </c>
      <c r="F306" s="33" t="n">
        <v>0</v>
      </c>
      <c r="G306" s="62"/>
      <c r="H306" s="35" t="n">
        <v>0</v>
      </c>
      <c r="I306" s="34" t="n">
        <f aca="false">+IF(E306=0,0,E306*0.03)</f>
        <v>0</v>
      </c>
    </row>
    <row r="307" customFormat="false" ht="15.75" hidden="false" customHeight="true" outlineLevel="0" collapsed="false">
      <c r="A307" s="30" t="n">
        <v>45444</v>
      </c>
      <c r="B307" s="31" t="s">
        <v>153</v>
      </c>
      <c r="C307" s="32"/>
      <c r="D307" s="32"/>
      <c r="E307" s="19" t="n">
        <f aca="false">+F307*0.03</f>
        <v>0</v>
      </c>
      <c r="F307" s="33" t="n">
        <v>0</v>
      </c>
      <c r="G307" s="62"/>
      <c r="H307" s="35" t="n">
        <v>0</v>
      </c>
      <c r="I307" s="34" t="n">
        <f aca="false">+IF(E307=0,0,E307*0.03)</f>
        <v>0</v>
      </c>
    </row>
    <row r="308" customFormat="false" ht="15.75" hidden="false" customHeight="true" outlineLevel="0" collapsed="false">
      <c r="A308" s="30" t="n">
        <v>45444</v>
      </c>
      <c r="B308" s="31" t="s">
        <v>153</v>
      </c>
      <c r="C308" s="32"/>
      <c r="D308" s="32"/>
      <c r="E308" s="19" t="n">
        <f aca="false">+F308*0.03</f>
        <v>0</v>
      </c>
      <c r="F308" s="33" t="n">
        <v>0</v>
      </c>
      <c r="G308" s="62"/>
      <c r="H308" s="35" t="n">
        <v>0</v>
      </c>
      <c r="I308" s="34" t="n">
        <f aca="false">+IF(E308=0,0,E308*0.03)</f>
        <v>0</v>
      </c>
    </row>
    <row r="309" customFormat="false" ht="15.75" hidden="false" customHeight="true" outlineLevel="0" collapsed="false">
      <c r="A309" s="30" t="n">
        <v>45444</v>
      </c>
      <c r="B309" s="31" t="s">
        <v>153</v>
      </c>
      <c r="C309" s="32"/>
      <c r="D309" s="32"/>
      <c r="E309" s="19" t="n">
        <f aca="false">+F309*0.03</f>
        <v>0</v>
      </c>
      <c r="F309" s="33" t="n">
        <v>0</v>
      </c>
      <c r="G309" s="62"/>
      <c r="H309" s="35" t="n">
        <v>0</v>
      </c>
      <c r="I309" s="34" t="n">
        <f aca="false">+IF(E309=0,0,E309*0.03)</f>
        <v>0</v>
      </c>
    </row>
    <row r="310" customFormat="false" ht="15.75" hidden="false" customHeight="true" outlineLevel="0" collapsed="false">
      <c r="A310" s="30" t="n">
        <v>45444</v>
      </c>
      <c r="B310" s="31" t="s">
        <v>153</v>
      </c>
      <c r="C310" s="32"/>
      <c r="D310" s="32"/>
      <c r="E310" s="19" t="n">
        <f aca="false">+F310*0.03</f>
        <v>0</v>
      </c>
      <c r="F310" s="33" t="n">
        <v>0</v>
      </c>
      <c r="G310" s="62"/>
      <c r="H310" s="35" t="n">
        <v>0</v>
      </c>
      <c r="I310" s="34" t="n">
        <f aca="false">+IF(E310=0,0,E310*0.03)</f>
        <v>0</v>
      </c>
    </row>
    <row r="311" customFormat="false" ht="15.75" hidden="false" customHeight="true" outlineLevel="0" collapsed="false">
      <c r="A311" s="30" t="n">
        <v>45444</v>
      </c>
      <c r="B311" s="31" t="s">
        <v>153</v>
      </c>
      <c r="C311" s="32"/>
      <c r="D311" s="32"/>
      <c r="E311" s="19" t="n">
        <f aca="false">+F311*0.03</f>
        <v>0</v>
      </c>
      <c r="F311" s="33" t="n">
        <v>0</v>
      </c>
      <c r="G311" s="62"/>
      <c r="H311" s="35" t="n">
        <v>0</v>
      </c>
      <c r="I311" s="34" t="n">
        <f aca="false">+IF(E311=0,0,E311*0.03)</f>
        <v>0</v>
      </c>
    </row>
    <row r="312" customFormat="false" ht="15.75" hidden="false" customHeight="true" outlineLevel="0" collapsed="false">
      <c r="A312" s="30" t="n">
        <v>45444</v>
      </c>
      <c r="B312" s="31" t="s">
        <v>153</v>
      </c>
      <c r="C312" s="32"/>
      <c r="D312" s="32"/>
      <c r="E312" s="19" t="n">
        <f aca="false">+F312*0.03</f>
        <v>0</v>
      </c>
      <c r="F312" s="33" t="n">
        <v>0</v>
      </c>
      <c r="G312" s="62"/>
      <c r="H312" s="35" t="n">
        <v>0</v>
      </c>
      <c r="I312" s="34" t="n">
        <f aca="false">+IF(E312=0,0,E312*0.03)</f>
        <v>0</v>
      </c>
    </row>
    <row r="313" customFormat="false" ht="15.75" hidden="false" customHeight="true" outlineLevel="0" collapsed="false">
      <c r="A313" s="30" t="n">
        <v>45444</v>
      </c>
      <c r="B313" s="31" t="s">
        <v>153</v>
      </c>
      <c r="C313" s="32"/>
      <c r="D313" s="32"/>
      <c r="E313" s="19" t="n">
        <f aca="false">+F313*0.03</f>
        <v>0</v>
      </c>
      <c r="F313" s="33" t="n">
        <v>0</v>
      </c>
      <c r="G313" s="62"/>
      <c r="H313" s="35" t="n">
        <v>0</v>
      </c>
      <c r="I313" s="34" t="n">
        <f aca="false">+IF(E313=0,0,E313*0.03)</f>
        <v>0</v>
      </c>
    </row>
    <row r="314" customFormat="false" ht="15.75" hidden="false" customHeight="true" outlineLevel="0" collapsed="false">
      <c r="A314" s="30" t="n">
        <v>45444</v>
      </c>
      <c r="B314" s="31" t="s">
        <v>153</v>
      </c>
      <c r="C314" s="32"/>
      <c r="D314" s="32"/>
      <c r="E314" s="19" t="n">
        <f aca="false">+F314*0.03</f>
        <v>0</v>
      </c>
      <c r="F314" s="33" t="n">
        <v>0</v>
      </c>
      <c r="G314" s="62"/>
      <c r="H314" s="35" t="n">
        <v>0</v>
      </c>
      <c r="I314" s="34" t="n">
        <f aca="false">+IF(E314=0,0,E314*0.03)</f>
        <v>0</v>
      </c>
    </row>
    <row r="315" customFormat="false" ht="15.75" hidden="false" customHeight="true" outlineLevel="0" collapsed="false">
      <c r="A315" s="30" t="n">
        <v>45444</v>
      </c>
      <c r="B315" s="31" t="s">
        <v>153</v>
      </c>
      <c r="C315" s="32"/>
      <c r="D315" s="32"/>
      <c r="E315" s="19" t="n">
        <f aca="false">+F315*0.03</f>
        <v>0</v>
      </c>
      <c r="F315" s="33" t="n">
        <v>0</v>
      </c>
      <c r="G315" s="62"/>
      <c r="H315" s="35" t="n">
        <v>0</v>
      </c>
      <c r="I315" s="34" t="n">
        <f aca="false">+IF(E315=0,0,E315*0.03)</f>
        <v>0</v>
      </c>
    </row>
    <row r="316" customFormat="false" ht="15.75" hidden="false" customHeight="true" outlineLevel="0" collapsed="false">
      <c r="A316" s="30" t="n">
        <v>45444</v>
      </c>
      <c r="B316" s="31" t="s">
        <v>153</v>
      </c>
      <c r="C316" s="32"/>
      <c r="D316" s="32"/>
      <c r="E316" s="19" t="n">
        <f aca="false">+F316*0.03</f>
        <v>0</v>
      </c>
      <c r="F316" s="33" t="n">
        <v>0</v>
      </c>
      <c r="G316" s="62"/>
      <c r="H316" s="35" t="n">
        <v>0</v>
      </c>
      <c r="I316" s="34" t="n">
        <f aca="false">+IF(E316=0,0,E316*0.03)</f>
        <v>0</v>
      </c>
    </row>
    <row r="317" customFormat="false" ht="15.75" hidden="false" customHeight="true" outlineLevel="0" collapsed="false">
      <c r="A317" s="30" t="n">
        <v>45444</v>
      </c>
      <c r="B317" s="31" t="s">
        <v>153</v>
      </c>
      <c r="C317" s="32"/>
      <c r="D317" s="32"/>
      <c r="E317" s="19" t="n">
        <f aca="false">+F317*0.03</f>
        <v>0</v>
      </c>
      <c r="F317" s="33" t="n">
        <v>0</v>
      </c>
      <c r="G317" s="62"/>
      <c r="H317" s="35" t="n">
        <v>0</v>
      </c>
      <c r="I317" s="34" t="n">
        <f aca="false">+IF(E317=0,0,E317*0.03)</f>
        <v>0</v>
      </c>
    </row>
    <row r="318" customFormat="false" ht="15.75" hidden="false" customHeight="true" outlineLevel="0" collapsed="false">
      <c r="A318" s="30" t="n">
        <v>45444</v>
      </c>
      <c r="B318" s="31" t="s">
        <v>153</v>
      </c>
      <c r="C318" s="32"/>
      <c r="D318" s="32"/>
      <c r="E318" s="19" t="n">
        <f aca="false">+F318*0.03</f>
        <v>0</v>
      </c>
      <c r="F318" s="33" t="n">
        <v>0</v>
      </c>
      <c r="G318" s="62"/>
      <c r="H318" s="35" t="n">
        <v>0</v>
      </c>
      <c r="I318" s="34" t="n">
        <f aca="false">+IF(E318=0,0,E318*0.03)</f>
        <v>0</v>
      </c>
    </row>
    <row r="319" customFormat="false" ht="15.75" hidden="false" customHeight="true" outlineLevel="0" collapsed="false">
      <c r="A319" s="30" t="n">
        <v>45444</v>
      </c>
      <c r="B319" s="31" t="s">
        <v>153</v>
      </c>
      <c r="C319" s="32"/>
      <c r="D319" s="32"/>
      <c r="E319" s="19" t="n">
        <f aca="false">+F319*0.03</f>
        <v>0</v>
      </c>
      <c r="F319" s="33" t="n">
        <v>0</v>
      </c>
      <c r="G319" s="62"/>
      <c r="H319" s="35" t="n">
        <v>0</v>
      </c>
      <c r="I319" s="34" t="n">
        <f aca="false">+IF(E319=0,0,E319*0.03)</f>
        <v>0</v>
      </c>
    </row>
    <row r="320" customFormat="false" ht="15.75" hidden="false" customHeight="true" outlineLevel="0" collapsed="false">
      <c r="A320" s="30" t="n">
        <v>45444</v>
      </c>
      <c r="B320" s="31" t="s">
        <v>153</v>
      </c>
      <c r="C320" s="32"/>
      <c r="D320" s="32"/>
      <c r="E320" s="19" t="n">
        <f aca="false">+F320*0.03</f>
        <v>0</v>
      </c>
      <c r="F320" s="33" t="n">
        <v>0</v>
      </c>
      <c r="G320" s="62"/>
      <c r="H320" s="35" t="n">
        <v>0</v>
      </c>
      <c r="I320" s="34" t="n">
        <f aca="false">+IF(E320=0,0,E320*0.03)</f>
        <v>0</v>
      </c>
    </row>
    <row r="321" customFormat="false" ht="15.75" hidden="false" customHeight="true" outlineLevel="0" collapsed="false">
      <c r="A321" s="30" t="n">
        <v>45444</v>
      </c>
      <c r="B321" s="31" t="s">
        <v>153</v>
      </c>
      <c r="C321" s="32"/>
      <c r="D321" s="32"/>
      <c r="E321" s="19" t="n">
        <f aca="false">+F321*0.03</f>
        <v>0</v>
      </c>
      <c r="F321" s="33" t="n">
        <v>0</v>
      </c>
      <c r="G321" s="62"/>
      <c r="H321" s="35" t="n">
        <v>0</v>
      </c>
      <c r="I321" s="34" t="n">
        <f aca="false">+IF(E321=0,0,E321*0.03)</f>
        <v>0</v>
      </c>
    </row>
    <row r="322" customFormat="false" ht="15.75" hidden="false" customHeight="true" outlineLevel="0" collapsed="false">
      <c r="A322" s="30" t="n">
        <v>45444</v>
      </c>
      <c r="B322" s="31" t="s">
        <v>153</v>
      </c>
      <c r="C322" s="32"/>
      <c r="D322" s="32"/>
      <c r="E322" s="19" t="n">
        <f aca="false">+F322*0.03</f>
        <v>0</v>
      </c>
      <c r="F322" s="33" t="n">
        <v>0</v>
      </c>
      <c r="G322" s="62"/>
      <c r="H322" s="35" t="n">
        <v>0</v>
      </c>
      <c r="I322" s="34" t="n">
        <f aca="false">+IF(E322=0,0,E322*0.03)</f>
        <v>0</v>
      </c>
    </row>
    <row r="323" customFormat="false" ht="15.75" hidden="false" customHeight="true" outlineLevel="0" collapsed="false">
      <c r="A323" s="30" t="n">
        <v>45444</v>
      </c>
      <c r="B323" s="31" t="s">
        <v>153</v>
      </c>
      <c r="C323" s="32"/>
      <c r="D323" s="32"/>
      <c r="E323" s="19" t="n">
        <f aca="false">+F323*0.03</f>
        <v>0</v>
      </c>
      <c r="F323" s="33" t="n">
        <v>0</v>
      </c>
      <c r="G323" s="62"/>
      <c r="H323" s="35" t="n">
        <v>0</v>
      </c>
      <c r="I323" s="34" t="n">
        <f aca="false">+IF(E323=0,0,E323*0.03)</f>
        <v>0</v>
      </c>
    </row>
    <row r="324" customFormat="false" ht="15.75" hidden="false" customHeight="true" outlineLevel="0" collapsed="false">
      <c r="A324" s="30" t="n">
        <v>45444</v>
      </c>
      <c r="B324" s="31" t="s">
        <v>153</v>
      </c>
      <c r="C324" s="32"/>
      <c r="D324" s="32"/>
      <c r="E324" s="19" t="n">
        <f aca="false">+F324*0.03</f>
        <v>0</v>
      </c>
      <c r="F324" s="33" t="n">
        <v>0</v>
      </c>
      <c r="G324" s="62"/>
      <c r="H324" s="35" t="n">
        <v>0</v>
      </c>
      <c r="I324" s="34" t="n">
        <f aca="false">+IF(E324=0,0,E324*0.03)</f>
        <v>0</v>
      </c>
    </row>
    <row r="325" customFormat="false" ht="15.75" hidden="false" customHeight="true" outlineLevel="0" collapsed="false">
      <c r="A325" s="30" t="n">
        <v>45444</v>
      </c>
      <c r="B325" s="31" t="s">
        <v>153</v>
      </c>
      <c r="C325" s="32"/>
      <c r="D325" s="32"/>
      <c r="E325" s="19" t="n">
        <f aca="false">+F325*0.03</f>
        <v>0</v>
      </c>
      <c r="F325" s="33" t="n">
        <v>0</v>
      </c>
      <c r="G325" s="62"/>
      <c r="H325" s="35" t="n">
        <v>0</v>
      </c>
      <c r="I325" s="34" t="n">
        <f aca="false">+IF(E325=0,0,E325*0.03)</f>
        <v>0</v>
      </c>
    </row>
    <row r="326" customFormat="false" ht="15.75" hidden="false" customHeight="true" outlineLevel="0" collapsed="false">
      <c r="A326" s="30" t="n">
        <v>45444</v>
      </c>
      <c r="B326" s="31" t="s">
        <v>153</v>
      </c>
      <c r="C326" s="32"/>
      <c r="D326" s="32"/>
      <c r="E326" s="19" t="n">
        <f aca="false">+F326*0.03</f>
        <v>0</v>
      </c>
      <c r="F326" s="33" t="n">
        <v>0</v>
      </c>
      <c r="G326" s="62"/>
      <c r="H326" s="35" t="n">
        <v>0</v>
      </c>
      <c r="I326" s="34" t="n">
        <f aca="false">+IF(E326=0,0,E326*0.03)</f>
        <v>0</v>
      </c>
    </row>
    <row r="327" customFormat="false" ht="15.75" hidden="false" customHeight="true" outlineLevel="0" collapsed="false">
      <c r="A327" s="30" t="n">
        <v>45444</v>
      </c>
      <c r="B327" s="31" t="s">
        <v>153</v>
      </c>
      <c r="C327" s="32"/>
      <c r="D327" s="32"/>
      <c r="E327" s="19" t="n">
        <f aca="false">+F327*0.03</f>
        <v>0</v>
      </c>
      <c r="F327" s="33" t="n">
        <v>0</v>
      </c>
      <c r="G327" s="62"/>
      <c r="H327" s="35" t="n">
        <v>0</v>
      </c>
      <c r="I327" s="34" t="n">
        <f aca="false">+IF(E327=0,0,E327*0.03)</f>
        <v>0</v>
      </c>
    </row>
    <row r="328" customFormat="false" ht="15.75" hidden="false" customHeight="true" outlineLevel="0" collapsed="false">
      <c r="A328" s="30" t="n">
        <v>45444</v>
      </c>
      <c r="B328" s="31" t="s">
        <v>153</v>
      </c>
      <c r="C328" s="32"/>
      <c r="D328" s="32"/>
      <c r="E328" s="19" t="n">
        <f aca="false">+F328*0.03</f>
        <v>0</v>
      </c>
      <c r="F328" s="33" t="n">
        <v>0</v>
      </c>
      <c r="G328" s="62"/>
      <c r="H328" s="35" t="n">
        <v>0</v>
      </c>
      <c r="I328" s="34" t="n">
        <f aca="false">+IF(E328=0,0,E328*0.03)</f>
        <v>0</v>
      </c>
    </row>
    <row r="329" customFormat="false" ht="15.75" hidden="false" customHeight="true" outlineLevel="0" collapsed="false">
      <c r="A329" s="30" t="n">
        <v>45444</v>
      </c>
      <c r="B329" s="31" t="s">
        <v>153</v>
      </c>
      <c r="C329" s="32"/>
      <c r="D329" s="32"/>
      <c r="E329" s="19" t="n">
        <f aca="false">+F329*0.03</f>
        <v>0</v>
      </c>
      <c r="F329" s="33" t="n">
        <v>0</v>
      </c>
      <c r="G329" s="62"/>
      <c r="H329" s="35" t="n">
        <v>0</v>
      </c>
      <c r="I329" s="34" t="n">
        <f aca="false">+IF(E329=0,0,E329*0.03)</f>
        <v>0</v>
      </c>
    </row>
    <row r="330" customFormat="false" ht="15.75" hidden="false" customHeight="true" outlineLevel="0" collapsed="false">
      <c r="A330" s="30" t="n">
        <v>45444</v>
      </c>
      <c r="B330" s="31" t="s">
        <v>153</v>
      </c>
      <c r="C330" s="32"/>
      <c r="D330" s="32"/>
      <c r="E330" s="19" t="n">
        <f aca="false">+F330*0.03</f>
        <v>0</v>
      </c>
      <c r="F330" s="33" t="n">
        <v>0</v>
      </c>
      <c r="G330" s="62"/>
      <c r="H330" s="35" t="n">
        <v>0</v>
      </c>
      <c r="I330" s="34" t="n">
        <f aca="false">+IF(E330=0,0,E330*0.03)</f>
        <v>0</v>
      </c>
    </row>
    <row r="331" customFormat="false" ht="15.75" hidden="false" customHeight="true" outlineLevel="0" collapsed="false">
      <c r="A331" s="30" t="n">
        <v>45444</v>
      </c>
      <c r="B331" s="31" t="s">
        <v>153</v>
      </c>
      <c r="C331" s="32"/>
      <c r="D331" s="32"/>
      <c r="E331" s="19" t="n">
        <f aca="false">+F331*0.03</f>
        <v>0</v>
      </c>
      <c r="F331" s="33" t="n">
        <v>0</v>
      </c>
      <c r="G331" s="62"/>
      <c r="H331" s="35" t="n">
        <v>0</v>
      </c>
      <c r="I331" s="34" t="n">
        <f aca="false">+IF(E331=0,0,E331*0.03)</f>
        <v>0</v>
      </c>
    </row>
    <row r="332" customFormat="false" ht="15.75" hidden="false" customHeight="true" outlineLevel="0" collapsed="false">
      <c r="A332" s="30" t="n">
        <v>45444</v>
      </c>
      <c r="B332" s="31" t="s">
        <v>153</v>
      </c>
      <c r="C332" s="32"/>
      <c r="D332" s="32"/>
      <c r="E332" s="19" t="n">
        <f aca="false">+F332*0.03</f>
        <v>0</v>
      </c>
      <c r="F332" s="33" t="n">
        <v>0</v>
      </c>
      <c r="G332" s="62"/>
      <c r="H332" s="35" t="n">
        <v>0</v>
      </c>
      <c r="I332" s="34" t="n">
        <f aca="false">+IF(E332=0,0,E332*0.03)</f>
        <v>0</v>
      </c>
    </row>
    <row r="333" customFormat="false" ht="15.75" hidden="false" customHeight="true" outlineLevel="0" collapsed="false">
      <c r="A333" s="30" t="n">
        <v>45444</v>
      </c>
      <c r="B333" s="31" t="s">
        <v>153</v>
      </c>
      <c r="C333" s="32"/>
      <c r="D333" s="32"/>
      <c r="E333" s="19" t="n">
        <f aca="false">+F333*0.03</f>
        <v>0</v>
      </c>
      <c r="F333" s="33" t="n">
        <v>0</v>
      </c>
      <c r="G333" s="62"/>
      <c r="H333" s="35" t="n">
        <v>0</v>
      </c>
      <c r="I333" s="34" t="n">
        <f aca="false">+IF(E333=0,0,E333*0.03)</f>
        <v>0</v>
      </c>
    </row>
    <row r="334" customFormat="false" ht="15.75" hidden="false" customHeight="true" outlineLevel="0" collapsed="false">
      <c r="A334" s="30" t="n">
        <v>45444</v>
      </c>
      <c r="B334" s="31" t="s">
        <v>153</v>
      </c>
      <c r="C334" s="32"/>
      <c r="D334" s="32"/>
      <c r="E334" s="19" t="n">
        <f aca="false">+F334*0.03</f>
        <v>0</v>
      </c>
      <c r="F334" s="33" t="n">
        <v>0</v>
      </c>
      <c r="G334" s="62"/>
      <c r="H334" s="35" t="n">
        <v>0</v>
      </c>
      <c r="I334" s="34" t="n">
        <f aca="false">+IF(E334=0,0,E334*0.03)</f>
        <v>0</v>
      </c>
    </row>
    <row r="335" customFormat="false" ht="15.75" hidden="false" customHeight="true" outlineLevel="0" collapsed="false">
      <c r="A335" s="30" t="n">
        <v>45444</v>
      </c>
      <c r="B335" s="31" t="s">
        <v>153</v>
      </c>
      <c r="C335" s="32"/>
      <c r="D335" s="32"/>
      <c r="E335" s="19" t="n">
        <f aca="false">+F335*0.03</f>
        <v>0</v>
      </c>
      <c r="F335" s="33" t="n">
        <v>0</v>
      </c>
      <c r="G335" s="62"/>
      <c r="H335" s="35" t="n">
        <v>0</v>
      </c>
      <c r="I335" s="34" t="n">
        <f aca="false">+IF(E335=0,0,E335*0.03)</f>
        <v>0</v>
      </c>
    </row>
    <row r="336" customFormat="false" ht="15.75" hidden="false" customHeight="true" outlineLevel="0" collapsed="false">
      <c r="A336" s="30" t="n">
        <v>45444</v>
      </c>
      <c r="B336" s="31" t="s">
        <v>153</v>
      </c>
      <c r="C336" s="32"/>
      <c r="D336" s="32"/>
      <c r="E336" s="19" t="n">
        <f aca="false">+F336*0.03</f>
        <v>0</v>
      </c>
      <c r="F336" s="33" t="n">
        <v>0</v>
      </c>
      <c r="G336" s="62"/>
      <c r="H336" s="35" t="n">
        <v>0</v>
      </c>
      <c r="I336" s="34" t="n">
        <f aca="false">+IF(E336=0,0,E336*0.03)</f>
        <v>0</v>
      </c>
    </row>
    <row r="337" customFormat="false" ht="15.75" hidden="false" customHeight="true" outlineLevel="0" collapsed="false">
      <c r="A337" s="30" t="n">
        <v>45444</v>
      </c>
      <c r="B337" s="31" t="s">
        <v>153</v>
      </c>
      <c r="C337" s="32"/>
      <c r="D337" s="32"/>
      <c r="E337" s="19" t="n">
        <f aca="false">+F337*0.03</f>
        <v>0</v>
      </c>
      <c r="F337" s="33" t="n">
        <v>0</v>
      </c>
      <c r="G337" s="62"/>
      <c r="H337" s="35" t="n">
        <v>0</v>
      </c>
      <c r="I337" s="34" t="n">
        <f aca="false">+IF(E337=0,0,E337*0.03)</f>
        <v>0</v>
      </c>
    </row>
    <row r="338" customFormat="false" ht="15.75" hidden="false" customHeight="true" outlineLevel="0" collapsed="false">
      <c r="A338" s="30" t="n">
        <v>45444</v>
      </c>
      <c r="B338" s="31" t="s">
        <v>153</v>
      </c>
      <c r="C338" s="32"/>
      <c r="D338" s="32"/>
      <c r="E338" s="19" t="n">
        <f aca="false">+F338*0.03</f>
        <v>0</v>
      </c>
      <c r="F338" s="33" t="n">
        <v>0</v>
      </c>
      <c r="G338" s="62"/>
      <c r="H338" s="35" t="n">
        <v>0</v>
      </c>
      <c r="I338" s="34" t="n">
        <f aca="false">+IF(E338=0,0,E338*0.03)</f>
        <v>0</v>
      </c>
    </row>
    <row r="339" customFormat="false" ht="15.75" hidden="false" customHeight="true" outlineLevel="0" collapsed="false">
      <c r="A339" s="30" t="n">
        <v>45444</v>
      </c>
      <c r="B339" s="31" t="s">
        <v>153</v>
      </c>
      <c r="C339" s="32"/>
      <c r="D339" s="32"/>
      <c r="E339" s="19" t="n">
        <f aca="false">+F339*0.03</f>
        <v>0</v>
      </c>
      <c r="F339" s="33" t="n">
        <v>0</v>
      </c>
      <c r="G339" s="62"/>
      <c r="H339" s="35" t="n">
        <v>0</v>
      </c>
      <c r="I339" s="34" t="n">
        <f aca="false">+IF(E339=0,0,E339*0.03)</f>
        <v>0</v>
      </c>
    </row>
    <row r="340" customFormat="false" ht="15.75" hidden="false" customHeight="true" outlineLevel="0" collapsed="false">
      <c r="A340" s="30" t="n">
        <v>45444</v>
      </c>
      <c r="B340" s="31" t="s">
        <v>153</v>
      </c>
      <c r="C340" s="32"/>
      <c r="D340" s="32"/>
      <c r="E340" s="19" t="n">
        <f aca="false">+F340*0.03</f>
        <v>0</v>
      </c>
      <c r="F340" s="33" t="n">
        <v>0</v>
      </c>
      <c r="G340" s="62"/>
      <c r="H340" s="35" t="n">
        <v>0</v>
      </c>
      <c r="I340" s="34" t="n">
        <f aca="false">+IF(E340=0,0,E340*0.03)</f>
        <v>0</v>
      </c>
    </row>
    <row r="341" customFormat="false" ht="15.75" hidden="false" customHeight="true" outlineLevel="0" collapsed="false">
      <c r="A341" s="30" t="n">
        <v>45444</v>
      </c>
      <c r="B341" s="31" t="s">
        <v>153</v>
      </c>
      <c r="C341" s="32"/>
      <c r="D341" s="32"/>
      <c r="E341" s="19" t="n">
        <f aca="false">+F341*0.03</f>
        <v>0</v>
      </c>
      <c r="F341" s="33" t="n">
        <v>0</v>
      </c>
      <c r="G341" s="62"/>
      <c r="H341" s="35" t="n">
        <v>0</v>
      </c>
      <c r="I341" s="34" t="n">
        <f aca="false">+IF(E341=0,0,E341*0.03)</f>
        <v>0</v>
      </c>
    </row>
    <row r="342" customFormat="false" ht="15.75" hidden="false" customHeight="true" outlineLevel="0" collapsed="false">
      <c r="A342" s="30" t="n">
        <v>45444</v>
      </c>
      <c r="B342" s="31" t="s">
        <v>153</v>
      </c>
      <c r="C342" s="32"/>
      <c r="D342" s="32"/>
      <c r="E342" s="19" t="n">
        <f aca="false">+F342*0.03</f>
        <v>0</v>
      </c>
      <c r="F342" s="33" t="n">
        <v>0</v>
      </c>
      <c r="G342" s="62"/>
      <c r="H342" s="35" t="n">
        <v>0</v>
      </c>
      <c r="I342" s="34" t="n">
        <f aca="false">+IF(E342=0,0,E342*0.03)</f>
        <v>0</v>
      </c>
    </row>
    <row r="343" customFormat="false" ht="15.75" hidden="false" customHeight="true" outlineLevel="0" collapsed="false">
      <c r="A343" s="30" t="n">
        <v>45444</v>
      </c>
      <c r="B343" s="31" t="s">
        <v>153</v>
      </c>
      <c r="C343" s="32"/>
      <c r="D343" s="32"/>
      <c r="E343" s="19" t="n">
        <f aca="false">+F343*0.03</f>
        <v>0</v>
      </c>
      <c r="F343" s="33" t="n">
        <v>0</v>
      </c>
      <c r="G343" s="62"/>
      <c r="H343" s="35" t="n">
        <v>0</v>
      </c>
      <c r="I343" s="34" t="n">
        <f aca="false">+IF(E343=0,0,E343*0.03)</f>
        <v>0</v>
      </c>
    </row>
    <row r="344" customFormat="false" ht="15.75" hidden="false" customHeight="true" outlineLevel="0" collapsed="false">
      <c r="A344" s="30" t="n">
        <v>45444</v>
      </c>
      <c r="B344" s="31" t="s">
        <v>153</v>
      </c>
      <c r="C344" s="32"/>
      <c r="D344" s="32"/>
      <c r="E344" s="19" t="n">
        <f aca="false">+F344*0.03</f>
        <v>0</v>
      </c>
      <c r="F344" s="33" t="n">
        <v>0</v>
      </c>
      <c r="G344" s="62"/>
      <c r="H344" s="35" t="n">
        <v>0</v>
      </c>
      <c r="I344" s="34" t="n">
        <f aca="false">+IF(E344=0,0,E344*0.03)</f>
        <v>0</v>
      </c>
    </row>
    <row r="345" customFormat="false" ht="15.75" hidden="false" customHeight="true" outlineLevel="0" collapsed="false">
      <c r="A345" s="30" t="n">
        <v>45444</v>
      </c>
      <c r="B345" s="31" t="s">
        <v>153</v>
      </c>
      <c r="C345" s="32"/>
      <c r="D345" s="32"/>
      <c r="E345" s="19" t="n">
        <f aca="false">+F345*0.03</f>
        <v>0</v>
      </c>
      <c r="F345" s="33" t="n">
        <v>0</v>
      </c>
      <c r="G345" s="62"/>
      <c r="H345" s="35" t="n">
        <v>0</v>
      </c>
      <c r="I345" s="34" t="n">
        <f aca="false">+IF(E345=0,0,E345*0.03)</f>
        <v>0</v>
      </c>
    </row>
    <row r="346" customFormat="false" ht="15.75" hidden="false" customHeight="true" outlineLevel="0" collapsed="false">
      <c r="A346" s="30" t="n">
        <v>45444</v>
      </c>
      <c r="B346" s="31" t="s">
        <v>153</v>
      </c>
      <c r="C346" s="32"/>
      <c r="D346" s="32"/>
      <c r="E346" s="19" t="n">
        <f aca="false">+F346*0.03</f>
        <v>0</v>
      </c>
      <c r="F346" s="33" t="n">
        <v>0</v>
      </c>
      <c r="G346" s="62"/>
      <c r="H346" s="35" t="n">
        <v>0</v>
      </c>
      <c r="I346" s="34" t="n">
        <f aca="false">+IF(E346=0,0,E346*0.03)</f>
        <v>0</v>
      </c>
    </row>
    <row r="347" customFormat="false" ht="15.75" hidden="false" customHeight="true" outlineLevel="0" collapsed="false">
      <c r="A347" s="30" t="n">
        <v>45444</v>
      </c>
      <c r="B347" s="31" t="s">
        <v>153</v>
      </c>
      <c r="C347" s="32"/>
      <c r="D347" s="32"/>
      <c r="E347" s="19" t="n">
        <f aca="false">+F347*0.03</f>
        <v>0</v>
      </c>
      <c r="F347" s="33" t="n">
        <v>0</v>
      </c>
      <c r="G347" s="62"/>
      <c r="H347" s="35" t="n">
        <v>0</v>
      </c>
      <c r="I347" s="34" t="n">
        <f aca="false">+IF(E347=0,0,E347*0.03)</f>
        <v>0</v>
      </c>
    </row>
    <row r="348" customFormat="false" ht="15.75" hidden="false" customHeight="true" outlineLevel="0" collapsed="false">
      <c r="A348" s="30" t="n">
        <v>45444</v>
      </c>
      <c r="B348" s="31" t="s">
        <v>153</v>
      </c>
      <c r="C348" s="32"/>
      <c r="D348" s="32"/>
      <c r="E348" s="19" t="n">
        <f aca="false">+F348*0.03</f>
        <v>0</v>
      </c>
      <c r="F348" s="33" t="n">
        <v>0</v>
      </c>
      <c r="G348" s="62"/>
      <c r="H348" s="35" t="n">
        <v>0</v>
      </c>
      <c r="I348" s="34" t="n">
        <f aca="false">+IF(E348=0,0,E348*0.03)</f>
        <v>0</v>
      </c>
    </row>
    <row r="349" customFormat="false" ht="15.75" hidden="false" customHeight="true" outlineLevel="0" collapsed="false">
      <c r="A349" s="30" t="n">
        <v>45444</v>
      </c>
      <c r="B349" s="31" t="s">
        <v>153</v>
      </c>
      <c r="C349" s="32"/>
      <c r="D349" s="32"/>
      <c r="E349" s="19" t="n">
        <f aca="false">+F349*0.03</f>
        <v>0</v>
      </c>
      <c r="F349" s="33" t="n">
        <v>0</v>
      </c>
      <c r="G349" s="62"/>
      <c r="H349" s="35" t="n">
        <v>0</v>
      </c>
      <c r="I349" s="34" t="n">
        <f aca="false">+IF(E349=0,0,E349*0.03)</f>
        <v>0</v>
      </c>
    </row>
    <row r="350" customFormat="false" ht="15.75" hidden="false" customHeight="true" outlineLevel="0" collapsed="false">
      <c r="A350" s="30" t="n">
        <v>45444</v>
      </c>
      <c r="B350" s="31" t="s">
        <v>153</v>
      </c>
      <c r="C350" s="32"/>
      <c r="D350" s="32"/>
      <c r="E350" s="19" t="n">
        <f aca="false">+F350*0.03</f>
        <v>0</v>
      </c>
      <c r="F350" s="33" t="n">
        <v>0</v>
      </c>
      <c r="G350" s="62"/>
      <c r="H350" s="35" t="n">
        <v>0</v>
      </c>
      <c r="I350" s="34" t="n">
        <f aca="false">+IF(E350=0,0,E350*0.03)</f>
        <v>0</v>
      </c>
    </row>
    <row r="351" customFormat="false" ht="15.75" hidden="false" customHeight="true" outlineLevel="0" collapsed="false">
      <c r="A351" s="30" t="n">
        <v>45444</v>
      </c>
      <c r="B351" s="31" t="s">
        <v>153</v>
      </c>
      <c r="C351" s="32"/>
      <c r="D351" s="32"/>
      <c r="E351" s="19" t="n">
        <f aca="false">+F351*0.03</f>
        <v>0</v>
      </c>
      <c r="F351" s="33" t="n">
        <v>0</v>
      </c>
      <c r="G351" s="62"/>
      <c r="H351" s="35" t="n">
        <v>0</v>
      </c>
      <c r="I351" s="34" t="n">
        <f aca="false">+IF(E351=0,0,E351*0.03)</f>
        <v>0</v>
      </c>
    </row>
    <row r="352" customFormat="false" ht="15.75" hidden="false" customHeight="true" outlineLevel="0" collapsed="false">
      <c r="A352" s="30" t="n">
        <v>45444</v>
      </c>
      <c r="B352" s="31" t="s">
        <v>153</v>
      </c>
      <c r="C352" s="32"/>
      <c r="D352" s="32"/>
      <c r="E352" s="19" t="n">
        <f aca="false">+F352*0.03</f>
        <v>0</v>
      </c>
      <c r="F352" s="33" t="n">
        <v>0</v>
      </c>
      <c r="G352" s="62"/>
      <c r="H352" s="35" t="n">
        <v>0</v>
      </c>
      <c r="I352" s="34" t="n">
        <f aca="false">+IF(E352=0,0,E352*0.03)</f>
        <v>0</v>
      </c>
    </row>
    <row r="353" customFormat="false" ht="15.75" hidden="false" customHeight="true" outlineLevel="0" collapsed="false">
      <c r="A353" s="30" t="n">
        <v>45444</v>
      </c>
      <c r="B353" s="31" t="s">
        <v>153</v>
      </c>
      <c r="C353" s="32"/>
      <c r="D353" s="32"/>
      <c r="E353" s="19" t="n">
        <f aca="false">+F353*0.03</f>
        <v>0</v>
      </c>
      <c r="F353" s="33" t="n">
        <v>0</v>
      </c>
      <c r="G353" s="62"/>
      <c r="H353" s="35" t="n">
        <v>0</v>
      </c>
      <c r="I353" s="34" t="n">
        <f aca="false">+IF(E353=0,0,E353*0.03)</f>
        <v>0</v>
      </c>
    </row>
    <row r="354" customFormat="false" ht="15.75" hidden="false" customHeight="true" outlineLevel="0" collapsed="false">
      <c r="A354" s="30" t="n">
        <v>45444</v>
      </c>
      <c r="B354" s="31" t="s">
        <v>153</v>
      </c>
      <c r="C354" s="32"/>
      <c r="D354" s="32"/>
      <c r="E354" s="19" t="n">
        <f aca="false">+F354*0.03</f>
        <v>0</v>
      </c>
      <c r="F354" s="33" t="n">
        <v>0</v>
      </c>
      <c r="G354" s="62"/>
      <c r="H354" s="35" t="n">
        <v>0</v>
      </c>
      <c r="I354" s="34" t="n">
        <f aca="false">+IF(E354=0,0,E354*0.03)</f>
        <v>0</v>
      </c>
    </row>
    <row r="355" customFormat="false" ht="15.75" hidden="false" customHeight="true" outlineLevel="0" collapsed="false">
      <c r="A355" s="30" t="n">
        <v>45444</v>
      </c>
      <c r="B355" s="31" t="s">
        <v>153</v>
      </c>
      <c r="C355" s="32"/>
      <c r="D355" s="32"/>
      <c r="E355" s="19" t="n">
        <f aca="false">+F355*0.03</f>
        <v>0</v>
      </c>
      <c r="F355" s="33" t="n">
        <v>0</v>
      </c>
      <c r="G355" s="62"/>
      <c r="H355" s="35" t="n">
        <v>0</v>
      </c>
      <c r="I355" s="34" t="n">
        <f aca="false">+IF(E355=0,0,E355*0.03)</f>
        <v>0</v>
      </c>
    </row>
    <row r="356" customFormat="false" ht="15.75" hidden="false" customHeight="true" outlineLevel="0" collapsed="false">
      <c r="A356" s="30" t="n">
        <v>45444</v>
      </c>
      <c r="B356" s="31" t="s">
        <v>153</v>
      </c>
      <c r="C356" s="32"/>
      <c r="D356" s="32"/>
      <c r="E356" s="19" t="n">
        <f aca="false">+F356*0.03</f>
        <v>0</v>
      </c>
      <c r="F356" s="33" t="n">
        <v>0</v>
      </c>
      <c r="G356" s="62"/>
      <c r="H356" s="35" t="n">
        <v>0</v>
      </c>
      <c r="I356" s="34" t="n">
        <f aca="false">+IF(E356=0,0,E356*0.03)</f>
        <v>0</v>
      </c>
    </row>
    <row r="357" customFormat="false" ht="15.75" hidden="false" customHeight="true" outlineLevel="0" collapsed="false">
      <c r="A357" s="30" t="n">
        <v>45444</v>
      </c>
      <c r="B357" s="31" t="s">
        <v>153</v>
      </c>
      <c r="C357" s="32"/>
      <c r="D357" s="32"/>
      <c r="E357" s="19" t="n">
        <f aca="false">+F357*0.03</f>
        <v>0</v>
      </c>
      <c r="F357" s="33" t="n">
        <v>0</v>
      </c>
      <c r="G357" s="62"/>
      <c r="H357" s="35" t="n">
        <v>0</v>
      </c>
      <c r="I357" s="34" t="n">
        <f aca="false">+IF(E357=0,0,E357*0.03)</f>
        <v>0</v>
      </c>
    </row>
    <row r="358" customFormat="false" ht="15.75" hidden="false" customHeight="true" outlineLevel="0" collapsed="false">
      <c r="A358" s="30" t="n">
        <v>45444</v>
      </c>
      <c r="B358" s="31" t="s">
        <v>153</v>
      </c>
      <c r="C358" s="32"/>
      <c r="D358" s="32"/>
      <c r="E358" s="19" t="n">
        <f aca="false">+F358*0.03</f>
        <v>0</v>
      </c>
      <c r="F358" s="33" t="n">
        <v>0</v>
      </c>
      <c r="G358" s="62"/>
      <c r="H358" s="35" t="n">
        <v>0</v>
      </c>
      <c r="I358" s="34" t="n">
        <f aca="false">+IF(E358=0,0,E358*0.03)</f>
        <v>0</v>
      </c>
    </row>
    <row r="359" customFormat="false" ht="15.75" hidden="false" customHeight="true" outlineLevel="0" collapsed="false">
      <c r="A359" s="30" t="n">
        <v>45444</v>
      </c>
      <c r="B359" s="31" t="s">
        <v>153</v>
      </c>
      <c r="C359" s="32"/>
      <c r="D359" s="32"/>
      <c r="E359" s="19" t="n">
        <f aca="false">+F359*0.03</f>
        <v>0</v>
      </c>
      <c r="F359" s="33" t="n">
        <v>0</v>
      </c>
      <c r="G359" s="62"/>
      <c r="H359" s="35" t="n">
        <v>0</v>
      </c>
      <c r="I359" s="34" t="n">
        <f aca="false">+IF(E359=0,0,E359*0.03)</f>
        <v>0</v>
      </c>
    </row>
    <row r="360" customFormat="false" ht="15.75" hidden="false" customHeight="true" outlineLevel="0" collapsed="false">
      <c r="A360" s="30" t="n">
        <v>45444</v>
      </c>
      <c r="B360" s="31" t="s">
        <v>153</v>
      </c>
      <c r="C360" s="32"/>
      <c r="D360" s="32"/>
      <c r="E360" s="19" t="n">
        <f aca="false">+F360*0.03</f>
        <v>0</v>
      </c>
      <c r="F360" s="33" t="n">
        <v>0</v>
      </c>
      <c r="G360" s="62"/>
      <c r="H360" s="35" t="n">
        <v>0</v>
      </c>
      <c r="I360" s="34" t="n">
        <f aca="false">+IF(E360=0,0,E360*0.03)</f>
        <v>0</v>
      </c>
    </row>
    <row r="361" customFormat="false" ht="15.75" hidden="false" customHeight="true" outlineLevel="0" collapsed="false">
      <c r="A361" s="30" t="n">
        <v>45444</v>
      </c>
      <c r="B361" s="31" t="s">
        <v>153</v>
      </c>
      <c r="C361" s="32"/>
      <c r="D361" s="32"/>
      <c r="E361" s="19" t="n">
        <f aca="false">+F361*0.03</f>
        <v>0</v>
      </c>
      <c r="F361" s="33" t="n">
        <v>0</v>
      </c>
      <c r="G361" s="62"/>
      <c r="H361" s="35" t="n">
        <v>0</v>
      </c>
      <c r="I361" s="34" t="n">
        <f aca="false">+IF(E361=0,0,E361*0.03)</f>
        <v>0</v>
      </c>
    </row>
    <row r="362" customFormat="false" ht="15.75" hidden="false" customHeight="true" outlineLevel="0" collapsed="false">
      <c r="A362" s="30" t="n">
        <v>45444</v>
      </c>
      <c r="B362" s="31" t="s">
        <v>153</v>
      </c>
      <c r="C362" s="32"/>
      <c r="D362" s="32"/>
      <c r="E362" s="19" t="n">
        <f aca="false">+F362*0.03</f>
        <v>0</v>
      </c>
      <c r="F362" s="33" t="n">
        <v>0</v>
      </c>
      <c r="G362" s="62"/>
      <c r="H362" s="35" t="n">
        <v>0</v>
      </c>
      <c r="I362" s="34" t="n">
        <f aca="false">+IF(E362=0,0,E362*0.03)</f>
        <v>0</v>
      </c>
    </row>
    <row r="363" customFormat="false" ht="15.75" hidden="false" customHeight="true" outlineLevel="0" collapsed="false">
      <c r="A363" s="30" t="n">
        <v>45444</v>
      </c>
      <c r="B363" s="31" t="s">
        <v>153</v>
      </c>
      <c r="C363" s="32"/>
      <c r="D363" s="32"/>
      <c r="E363" s="19" t="n">
        <f aca="false">+F363*0.03</f>
        <v>0</v>
      </c>
      <c r="F363" s="33" t="n">
        <v>0</v>
      </c>
      <c r="G363" s="62"/>
      <c r="H363" s="35" t="n">
        <v>0</v>
      </c>
      <c r="I363" s="34" t="n">
        <f aca="false">+IF(E363=0,0,E363*0.03)</f>
        <v>0</v>
      </c>
    </row>
    <row r="364" customFormat="false" ht="15.75" hidden="false" customHeight="true" outlineLevel="0" collapsed="false">
      <c r="A364" s="30" t="n">
        <v>45444</v>
      </c>
      <c r="B364" s="31" t="s">
        <v>153</v>
      </c>
      <c r="C364" s="32"/>
      <c r="D364" s="32"/>
      <c r="E364" s="19" t="n">
        <f aca="false">+F364*0.03</f>
        <v>0</v>
      </c>
      <c r="F364" s="33" t="n">
        <v>0</v>
      </c>
      <c r="G364" s="62"/>
      <c r="H364" s="35" t="n">
        <v>0</v>
      </c>
      <c r="I364" s="34" t="n">
        <f aca="false">+IF(E364=0,0,E364*0.03)</f>
        <v>0</v>
      </c>
    </row>
    <row r="365" customFormat="false" ht="15.75" hidden="false" customHeight="true" outlineLevel="0" collapsed="false">
      <c r="A365" s="30" t="n">
        <v>45444</v>
      </c>
      <c r="B365" s="31" t="s">
        <v>153</v>
      </c>
      <c r="C365" s="32"/>
      <c r="D365" s="32"/>
      <c r="E365" s="19" t="n">
        <f aca="false">+F365*0.03</f>
        <v>0</v>
      </c>
      <c r="F365" s="33" t="n">
        <v>0</v>
      </c>
      <c r="G365" s="62"/>
      <c r="H365" s="35" t="n">
        <v>0</v>
      </c>
      <c r="I365" s="34" t="n">
        <f aca="false">+IF(E365=0,0,E365*0.03)</f>
        <v>0</v>
      </c>
    </row>
    <row r="366" customFormat="false" ht="15.75" hidden="false" customHeight="true" outlineLevel="0" collapsed="false">
      <c r="A366" s="30" t="n">
        <v>45444</v>
      </c>
      <c r="B366" s="31" t="s">
        <v>153</v>
      </c>
      <c r="C366" s="32"/>
      <c r="D366" s="32"/>
      <c r="E366" s="19" t="n">
        <f aca="false">+F366*0.03</f>
        <v>0</v>
      </c>
      <c r="F366" s="33" t="n">
        <v>0</v>
      </c>
      <c r="G366" s="62"/>
      <c r="H366" s="35" t="n">
        <v>0</v>
      </c>
      <c r="I366" s="34" t="n">
        <f aca="false">+IF(E366=0,0,E366*0.03)</f>
        <v>0</v>
      </c>
    </row>
    <row r="367" customFormat="false" ht="15.75" hidden="false" customHeight="true" outlineLevel="0" collapsed="false">
      <c r="A367" s="30" t="n">
        <v>45444</v>
      </c>
      <c r="B367" s="31" t="s">
        <v>153</v>
      </c>
      <c r="C367" s="32"/>
      <c r="D367" s="32"/>
      <c r="E367" s="19" t="n">
        <f aca="false">+F367*0.03</f>
        <v>0</v>
      </c>
      <c r="F367" s="33" t="n">
        <v>0</v>
      </c>
      <c r="G367" s="62"/>
      <c r="H367" s="35" t="n">
        <v>0</v>
      </c>
      <c r="I367" s="34" t="n">
        <f aca="false">+IF(E367=0,0,E367*0.03)</f>
        <v>0</v>
      </c>
    </row>
    <row r="368" customFormat="false" ht="15.75" hidden="false" customHeight="true" outlineLevel="0" collapsed="false">
      <c r="A368" s="30" t="n">
        <v>45444</v>
      </c>
      <c r="B368" s="31" t="s">
        <v>153</v>
      </c>
      <c r="C368" s="32"/>
      <c r="D368" s="32"/>
      <c r="E368" s="19" t="n">
        <f aca="false">+F368*0.03</f>
        <v>0</v>
      </c>
      <c r="F368" s="33" t="n">
        <v>0</v>
      </c>
      <c r="G368" s="62"/>
      <c r="H368" s="35" t="n">
        <v>0</v>
      </c>
      <c r="I368" s="34" t="n">
        <f aca="false">+IF(E368=0,0,E368*0.03)</f>
        <v>0</v>
      </c>
    </row>
    <row r="369" customFormat="false" ht="15.75" hidden="false" customHeight="true" outlineLevel="0" collapsed="false">
      <c r="A369" s="30" t="n">
        <v>45444</v>
      </c>
      <c r="B369" s="31" t="s">
        <v>153</v>
      </c>
      <c r="C369" s="32"/>
      <c r="D369" s="32"/>
      <c r="E369" s="19" t="n">
        <f aca="false">+F369*0.03</f>
        <v>0</v>
      </c>
      <c r="F369" s="33" t="n">
        <v>0</v>
      </c>
      <c r="G369" s="62"/>
      <c r="H369" s="35" t="n">
        <v>0</v>
      </c>
      <c r="I369" s="34" t="n">
        <f aca="false">+IF(E369=0,0,E369*0.03)</f>
        <v>0</v>
      </c>
    </row>
    <row r="370" customFormat="false" ht="15.75" hidden="false" customHeight="true" outlineLevel="0" collapsed="false">
      <c r="A370" s="30" t="n">
        <v>45444</v>
      </c>
      <c r="B370" s="31" t="s">
        <v>153</v>
      </c>
      <c r="C370" s="32"/>
      <c r="D370" s="32"/>
      <c r="E370" s="19" t="n">
        <f aca="false">+F370*0.03</f>
        <v>0</v>
      </c>
      <c r="F370" s="33" t="n">
        <v>0</v>
      </c>
      <c r="G370" s="62"/>
      <c r="H370" s="35" t="n">
        <v>0</v>
      </c>
      <c r="I370" s="34" t="n">
        <f aca="false">+IF(E370=0,0,E370*0.03)</f>
        <v>0</v>
      </c>
    </row>
    <row r="371" customFormat="false" ht="15.75" hidden="false" customHeight="true" outlineLevel="0" collapsed="false">
      <c r="A371" s="30" t="n">
        <v>45444</v>
      </c>
      <c r="B371" s="31" t="s">
        <v>153</v>
      </c>
      <c r="C371" s="32"/>
      <c r="D371" s="32"/>
      <c r="E371" s="19" t="n">
        <f aca="false">+F371*0.03</f>
        <v>0</v>
      </c>
      <c r="F371" s="33" t="n">
        <v>0</v>
      </c>
      <c r="G371" s="62"/>
      <c r="H371" s="35" t="n">
        <v>0</v>
      </c>
      <c r="I371" s="34" t="n">
        <f aca="false">+IF(E371=0,0,E371*0.03)</f>
        <v>0</v>
      </c>
    </row>
    <row r="372" customFormat="false" ht="15.75" hidden="false" customHeight="true" outlineLevel="0" collapsed="false">
      <c r="A372" s="30" t="n">
        <v>45444</v>
      </c>
      <c r="B372" s="31" t="s">
        <v>153</v>
      </c>
      <c r="C372" s="32"/>
      <c r="D372" s="32"/>
      <c r="E372" s="19" t="n">
        <f aca="false">+F372*0.03</f>
        <v>0</v>
      </c>
      <c r="F372" s="33" t="n">
        <v>0</v>
      </c>
      <c r="G372" s="62"/>
      <c r="H372" s="35" t="n">
        <v>0</v>
      </c>
      <c r="I372" s="34" t="n">
        <f aca="false">+IF(E372=0,0,E372*0.03)</f>
        <v>0</v>
      </c>
    </row>
    <row r="373" customFormat="false" ht="15.75" hidden="false" customHeight="true" outlineLevel="0" collapsed="false">
      <c r="A373" s="30" t="n">
        <v>45444</v>
      </c>
      <c r="B373" s="31" t="s">
        <v>153</v>
      </c>
      <c r="C373" s="32"/>
      <c r="D373" s="32"/>
      <c r="E373" s="19" t="n">
        <f aca="false">+F373*0.03</f>
        <v>0</v>
      </c>
      <c r="F373" s="33" t="n">
        <v>0</v>
      </c>
      <c r="G373" s="62"/>
      <c r="H373" s="35" t="n">
        <v>0</v>
      </c>
      <c r="I373" s="34" t="n">
        <f aca="false">+IF(E373=0,0,E373*0.03)</f>
        <v>0</v>
      </c>
    </row>
    <row r="374" customFormat="false" ht="15.75" hidden="false" customHeight="true" outlineLevel="0" collapsed="false">
      <c r="A374" s="30" t="n">
        <v>45444</v>
      </c>
      <c r="B374" s="31" t="s">
        <v>153</v>
      </c>
      <c r="C374" s="32"/>
      <c r="D374" s="32"/>
      <c r="E374" s="19" t="n">
        <f aca="false">+F374*0.03</f>
        <v>0</v>
      </c>
      <c r="F374" s="33" t="n">
        <v>0</v>
      </c>
      <c r="G374" s="62"/>
      <c r="H374" s="35" t="n">
        <v>0</v>
      </c>
      <c r="I374" s="34" t="n">
        <f aca="false">+IF(E374=0,0,E374*0.03)</f>
        <v>0</v>
      </c>
    </row>
    <row r="375" customFormat="false" ht="15.75" hidden="false" customHeight="true" outlineLevel="0" collapsed="false">
      <c r="A375" s="30" t="n">
        <v>45444</v>
      </c>
      <c r="B375" s="31" t="s">
        <v>153</v>
      </c>
      <c r="C375" s="32"/>
      <c r="D375" s="32"/>
      <c r="E375" s="19" t="n">
        <f aca="false">+F375*0.03</f>
        <v>0</v>
      </c>
      <c r="F375" s="33" t="n">
        <v>0</v>
      </c>
      <c r="G375" s="62"/>
      <c r="H375" s="35" t="n">
        <v>0</v>
      </c>
      <c r="I375" s="34" t="n">
        <f aca="false">+IF(E375=0,0,E375*0.03)</f>
        <v>0</v>
      </c>
    </row>
    <row r="376" customFormat="false" ht="15.75" hidden="false" customHeight="true" outlineLevel="0" collapsed="false">
      <c r="A376" s="30" t="n">
        <v>45444</v>
      </c>
      <c r="B376" s="31" t="s">
        <v>153</v>
      </c>
      <c r="C376" s="32"/>
      <c r="D376" s="32"/>
      <c r="E376" s="19" t="n">
        <f aca="false">+F376*0.03</f>
        <v>0</v>
      </c>
      <c r="F376" s="33" t="n">
        <v>0</v>
      </c>
      <c r="G376" s="62"/>
      <c r="H376" s="35" t="n">
        <v>0</v>
      </c>
      <c r="I376" s="34" t="n">
        <f aca="false">+IF(E376=0,0,E376*0.03)</f>
        <v>0</v>
      </c>
    </row>
    <row r="377" customFormat="false" ht="15.75" hidden="false" customHeight="true" outlineLevel="0" collapsed="false">
      <c r="A377" s="30" t="n">
        <v>45444</v>
      </c>
      <c r="B377" s="31" t="s">
        <v>153</v>
      </c>
      <c r="C377" s="32"/>
      <c r="D377" s="32"/>
      <c r="E377" s="19" t="n">
        <f aca="false">+F377*0.03</f>
        <v>0</v>
      </c>
      <c r="F377" s="33" t="n">
        <v>0</v>
      </c>
      <c r="G377" s="62"/>
      <c r="H377" s="35" t="n">
        <v>0</v>
      </c>
      <c r="I377" s="34" t="n">
        <f aca="false">+IF(E377=0,0,E377*0.03)</f>
        <v>0</v>
      </c>
    </row>
    <row r="378" customFormat="false" ht="15.75" hidden="false" customHeight="true" outlineLevel="0" collapsed="false">
      <c r="A378" s="30" t="n">
        <v>45444</v>
      </c>
      <c r="B378" s="31" t="s">
        <v>153</v>
      </c>
      <c r="C378" s="32"/>
      <c r="D378" s="32"/>
      <c r="E378" s="19" t="n">
        <f aca="false">+F378*0.03</f>
        <v>0</v>
      </c>
      <c r="F378" s="33" t="n">
        <v>0</v>
      </c>
      <c r="G378" s="62"/>
      <c r="H378" s="35" t="n">
        <v>0</v>
      </c>
      <c r="I378" s="34" t="n">
        <f aca="false">+IF(E378=0,0,E378*0.03)</f>
        <v>0</v>
      </c>
    </row>
    <row r="379" customFormat="false" ht="15.75" hidden="false" customHeight="true" outlineLevel="0" collapsed="false">
      <c r="A379" s="30" t="n">
        <v>45444</v>
      </c>
      <c r="B379" s="31" t="s">
        <v>153</v>
      </c>
      <c r="C379" s="32"/>
      <c r="D379" s="32"/>
      <c r="E379" s="19" t="n">
        <f aca="false">+F379*0.03</f>
        <v>0</v>
      </c>
      <c r="F379" s="33" t="n">
        <v>0</v>
      </c>
      <c r="G379" s="62"/>
      <c r="H379" s="35" t="n">
        <v>0</v>
      </c>
      <c r="I379" s="34" t="n">
        <f aca="false">+IF(E379=0,0,E379*0.03)</f>
        <v>0</v>
      </c>
    </row>
    <row r="380" customFormat="false" ht="15.75" hidden="false" customHeight="true" outlineLevel="0" collapsed="false">
      <c r="A380" s="30" t="n">
        <v>45444</v>
      </c>
      <c r="B380" s="31" t="s">
        <v>153</v>
      </c>
      <c r="C380" s="32"/>
      <c r="D380" s="32"/>
      <c r="E380" s="19" t="n">
        <f aca="false">+F380*0.03</f>
        <v>0</v>
      </c>
      <c r="F380" s="33" t="n">
        <v>0</v>
      </c>
      <c r="G380" s="62"/>
      <c r="H380" s="35" t="n">
        <v>0</v>
      </c>
      <c r="I380" s="34" t="n">
        <f aca="false">+IF(E380=0,0,E380*0.03)</f>
        <v>0</v>
      </c>
    </row>
    <row r="381" customFormat="false" ht="15.75" hidden="false" customHeight="true" outlineLevel="0" collapsed="false">
      <c r="A381" s="30" t="n">
        <v>45444</v>
      </c>
      <c r="B381" s="31" t="s">
        <v>153</v>
      </c>
      <c r="C381" s="32"/>
      <c r="D381" s="32"/>
      <c r="E381" s="19" t="n">
        <f aca="false">+F381*0.03</f>
        <v>0</v>
      </c>
      <c r="F381" s="33" t="n">
        <v>0</v>
      </c>
      <c r="G381" s="62"/>
      <c r="H381" s="35" t="n">
        <v>0</v>
      </c>
      <c r="I381" s="34" t="n">
        <f aca="false">+IF(E381=0,0,E381*0.03)</f>
        <v>0</v>
      </c>
    </row>
    <row r="382" customFormat="false" ht="15.75" hidden="false" customHeight="true" outlineLevel="0" collapsed="false">
      <c r="A382" s="30" t="n">
        <v>45444</v>
      </c>
      <c r="B382" s="31" t="s">
        <v>153</v>
      </c>
      <c r="C382" s="32"/>
      <c r="D382" s="32"/>
      <c r="E382" s="19" t="n">
        <f aca="false">+F382*0.03</f>
        <v>0</v>
      </c>
      <c r="F382" s="33" t="n">
        <v>0</v>
      </c>
      <c r="G382" s="62"/>
      <c r="H382" s="35" t="n">
        <v>0</v>
      </c>
      <c r="I382" s="34" t="n">
        <f aca="false">+IF(E382=0,0,E382*0.03)</f>
        <v>0</v>
      </c>
    </row>
    <row r="383" customFormat="false" ht="15.75" hidden="false" customHeight="true" outlineLevel="0" collapsed="false">
      <c r="A383" s="30" t="n">
        <v>45444</v>
      </c>
      <c r="B383" s="31" t="s">
        <v>153</v>
      </c>
      <c r="C383" s="32"/>
      <c r="D383" s="32"/>
      <c r="E383" s="19" t="n">
        <f aca="false">+F383*0.03</f>
        <v>0</v>
      </c>
      <c r="F383" s="33" t="n">
        <v>0</v>
      </c>
      <c r="G383" s="62"/>
      <c r="H383" s="35" t="n">
        <v>0</v>
      </c>
      <c r="I383" s="34" t="n">
        <f aca="false">+IF(E383=0,0,E383*0.03)</f>
        <v>0</v>
      </c>
    </row>
    <row r="384" customFormat="false" ht="15.75" hidden="false" customHeight="true" outlineLevel="0" collapsed="false">
      <c r="A384" s="30" t="n">
        <v>45444</v>
      </c>
      <c r="B384" s="31" t="s">
        <v>153</v>
      </c>
      <c r="C384" s="32"/>
      <c r="D384" s="32"/>
      <c r="E384" s="19" t="n">
        <f aca="false">+F384*0.03</f>
        <v>0</v>
      </c>
      <c r="F384" s="33" t="n">
        <v>0</v>
      </c>
      <c r="G384" s="62"/>
      <c r="H384" s="35" t="n">
        <v>0</v>
      </c>
      <c r="I384" s="34" t="n">
        <f aca="false">+IF(E384=0,0,E384*0.03)</f>
        <v>0</v>
      </c>
    </row>
    <row r="385" customFormat="false" ht="15.75" hidden="false" customHeight="true" outlineLevel="0" collapsed="false">
      <c r="A385" s="30" t="n">
        <v>45444</v>
      </c>
      <c r="B385" s="31" t="s">
        <v>153</v>
      </c>
      <c r="C385" s="32"/>
      <c r="D385" s="32"/>
      <c r="E385" s="19" t="n">
        <f aca="false">+F385*0.03</f>
        <v>0</v>
      </c>
      <c r="F385" s="33" t="n">
        <v>0</v>
      </c>
      <c r="G385" s="62"/>
      <c r="H385" s="35" t="n">
        <v>0</v>
      </c>
      <c r="I385" s="34" t="n">
        <f aca="false">+IF(E385=0,0,E385*0.03)</f>
        <v>0</v>
      </c>
    </row>
    <row r="386" customFormat="false" ht="15.75" hidden="false" customHeight="true" outlineLevel="0" collapsed="false">
      <c r="A386" s="30" t="n">
        <v>45444</v>
      </c>
      <c r="B386" s="31" t="s">
        <v>153</v>
      </c>
      <c r="C386" s="32"/>
      <c r="D386" s="32"/>
      <c r="E386" s="19" t="n">
        <f aca="false">+F386*0.03</f>
        <v>0</v>
      </c>
      <c r="F386" s="33" t="n">
        <v>0</v>
      </c>
      <c r="G386" s="62"/>
      <c r="H386" s="35" t="n">
        <v>0</v>
      </c>
      <c r="I386" s="34" t="n">
        <f aca="false">+IF(E386=0,0,E386*0.03)</f>
        <v>0</v>
      </c>
    </row>
    <row r="387" customFormat="false" ht="15.75" hidden="false" customHeight="true" outlineLevel="0" collapsed="false">
      <c r="A387" s="30" t="n">
        <v>45444</v>
      </c>
      <c r="B387" s="31" t="s">
        <v>153</v>
      </c>
      <c r="C387" s="32"/>
      <c r="D387" s="32"/>
      <c r="E387" s="19" t="n">
        <f aca="false">+F387*0.03</f>
        <v>0</v>
      </c>
      <c r="F387" s="33" t="n">
        <v>0</v>
      </c>
      <c r="G387" s="62"/>
      <c r="H387" s="35" t="n">
        <v>0</v>
      </c>
      <c r="I387" s="34" t="n">
        <f aca="false">+IF(E387=0,0,E387*0.03)</f>
        <v>0</v>
      </c>
    </row>
    <row r="388" customFormat="false" ht="15.75" hidden="false" customHeight="true" outlineLevel="0" collapsed="false">
      <c r="A388" s="30" t="n">
        <v>45444</v>
      </c>
      <c r="B388" s="31" t="s">
        <v>153</v>
      </c>
      <c r="C388" s="32"/>
      <c r="D388" s="32"/>
      <c r="E388" s="19" t="n">
        <f aca="false">+F388*0.03</f>
        <v>0</v>
      </c>
      <c r="F388" s="33" t="n">
        <v>0</v>
      </c>
      <c r="G388" s="62"/>
      <c r="H388" s="35" t="n">
        <v>0</v>
      </c>
      <c r="I388" s="34" t="n">
        <f aca="false">+IF(E388=0,0,E388*0.03)</f>
        <v>0</v>
      </c>
    </row>
    <row r="389" customFormat="false" ht="15.75" hidden="false" customHeight="true" outlineLevel="0" collapsed="false">
      <c r="A389" s="30" t="n">
        <v>45444</v>
      </c>
      <c r="B389" s="31" t="s">
        <v>153</v>
      </c>
      <c r="C389" s="32"/>
      <c r="D389" s="32"/>
      <c r="E389" s="19" t="n">
        <f aca="false">+F389*0.03</f>
        <v>0</v>
      </c>
      <c r="F389" s="33" t="n">
        <v>0</v>
      </c>
      <c r="G389" s="62"/>
      <c r="H389" s="35" t="n">
        <v>0</v>
      </c>
      <c r="I389" s="34" t="n">
        <f aca="false">+IF(E389=0,0,E389*0.03)</f>
        <v>0</v>
      </c>
    </row>
    <row r="390" customFormat="false" ht="15.75" hidden="false" customHeight="true" outlineLevel="0" collapsed="false">
      <c r="A390" s="30" t="n">
        <v>45444</v>
      </c>
      <c r="B390" s="31" t="s">
        <v>153</v>
      </c>
      <c r="C390" s="32"/>
      <c r="D390" s="32"/>
      <c r="E390" s="19" t="n">
        <f aca="false">+F390*0.03</f>
        <v>0</v>
      </c>
      <c r="F390" s="33" t="n">
        <v>0</v>
      </c>
      <c r="G390" s="62"/>
      <c r="H390" s="35" t="n">
        <v>0</v>
      </c>
      <c r="I390" s="34" t="n">
        <f aca="false">+IF(E390=0,0,E390*0.03)</f>
        <v>0</v>
      </c>
    </row>
    <row r="391" customFormat="false" ht="15.75" hidden="false" customHeight="true" outlineLevel="0" collapsed="false">
      <c r="A391" s="30" t="n">
        <v>45444</v>
      </c>
      <c r="B391" s="31" t="s">
        <v>153</v>
      </c>
      <c r="C391" s="32"/>
      <c r="D391" s="32"/>
      <c r="E391" s="19" t="n">
        <f aca="false">+F391*0.03</f>
        <v>0</v>
      </c>
      <c r="F391" s="33" t="n">
        <v>0</v>
      </c>
      <c r="G391" s="62"/>
      <c r="H391" s="35" t="n">
        <v>0</v>
      </c>
      <c r="I391" s="34" t="n">
        <f aca="false">+IF(E391=0,0,E391*0.03)</f>
        <v>0</v>
      </c>
    </row>
    <row r="392" customFormat="false" ht="15.75" hidden="false" customHeight="true" outlineLevel="0" collapsed="false">
      <c r="A392" s="30" t="n">
        <v>45444</v>
      </c>
      <c r="B392" s="31" t="s">
        <v>153</v>
      </c>
      <c r="C392" s="32"/>
      <c r="D392" s="32"/>
      <c r="E392" s="19" t="n">
        <f aca="false">+F392*0.03</f>
        <v>0</v>
      </c>
      <c r="F392" s="33" t="n">
        <v>0</v>
      </c>
      <c r="G392" s="62"/>
      <c r="H392" s="35" t="n">
        <v>0</v>
      </c>
      <c r="I392" s="34" t="n">
        <f aca="false">+IF(E392=0,0,E392*0.03)</f>
        <v>0</v>
      </c>
    </row>
    <row r="393" customFormat="false" ht="15.75" hidden="false" customHeight="true" outlineLevel="0" collapsed="false">
      <c r="A393" s="30" t="n">
        <v>45444</v>
      </c>
      <c r="B393" s="31" t="s">
        <v>153</v>
      </c>
      <c r="C393" s="32"/>
      <c r="D393" s="32"/>
      <c r="E393" s="19" t="n">
        <f aca="false">+F393*0.03</f>
        <v>0</v>
      </c>
      <c r="F393" s="33" t="n">
        <v>0</v>
      </c>
      <c r="G393" s="62"/>
      <c r="H393" s="35" t="n">
        <v>0</v>
      </c>
      <c r="I393" s="34" t="n">
        <f aca="false">+IF(E393=0,0,E393*0.03)</f>
        <v>0</v>
      </c>
    </row>
    <row r="394" customFormat="false" ht="15.75" hidden="false" customHeight="true" outlineLevel="0" collapsed="false">
      <c r="A394" s="30" t="n">
        <v>45444</v>
      </c>
      <c r="B394" s="31" t="s">
        <v>153</v>
      </c>
      <c r="C394" s="32"/>
      <c r="D394" s="32"/>
      <c r="E394" s="19" t="n">
        <f aca="false">+F394*0.03</f>
        <v>0</v>
      </c>
      <c r="F394" s="33" t="n">
        <v>0</v>
      </c>
      <c r="G394" s="62"/>
      <c r="H394" s="35" t="n">
        <v>0</v>
      </c>
      <c r="I394" s="34" t="n">
        <f aca="false">+IF(E394=0,0,E394*0.03)</f>
        <v>0</v>
      </c>
    </row>
    <row r="395" customFormat="false" ht="15.75" hidden="false" customHeight="true" outlineLevel="0" collapsed="false">
      <c r="A395" s="30" t="n">
        <v>45444</v>
      </c>
      <c r="B395" s="31" t="s">
        <v>153</v>
      </c>
      <c r="C395" s="32"/>
      <c r="D395" s="32"/>
      <c r="E395" s="19" t="n">
        <f aca="false">+F395*0.03</f>
        <v>0</v>
      </c>
      <c r="F395" s="33" t="n">
        <v>0</v>
      </c>
      <c r="G395" s="62"/>
      <c r="H395" s="35" t="n">
        <v>0</v>
      </c>
      <c r="I395" s="34" t="n">
        <f aca="false">+IF(E395=0,0,E395*0.03)</f>
        <v>0</v>
      </c>
    </row>
    <row r="396" customFormat="false" ht="15.75" hidden="false" customHeight="true" outlineLevel="0" collapsed="false">
      <c r="A396" s="30" t="n">
        <v>45444</v>
      </c>
      <c r="B396" s="31" t="s">
        <v>153</v>
      </c>
      <c r="C396" s="32"/>
      <c r="D396" s="32"/>
      <c r="E396" s="19" t="n">
        <f aca="false">+F396*0.03</f>
        <v>0</v>
      </c>
      <c r="F396" s="33" t="n">
        <v>0</v>
      </c>
      <c r="G396" s="62"/>
      <c r="H396" s="35" t="n">
        <v>0</v>
      </c>
      <c r="I396" s="34" t="n">
        <f aca="false">+IF(E396=0,0,E396*0.03)</f>
        <v>0</v>
      </c>
    </row>
    <row r="397" customFormat="false" ht="15.75" hidden="false" customHeight="true" outlineLevel="0" collapsed="false">
      <c r="A397" s="30" t="n">
        <v>45444</v>
      </c>
      <c r="B397" s="31" t="s">
        <v>153</v>
      </c>
      <c r="C397" s="32"/>
      <c r="D397" s="32"/>
      <c r="E397" s="19" t="n">
        <f aca="false">+F397*0.03</f>
        <v>0</v>
      </c>
      <c r="F397" s="33" t="n">
        <v>0</v>
      </c>
      <c r="G397" s="62"/>
      <c r="H397" s="35" t="n">
        <v>0</v>
      </c>
      <c r="I397" s="34" t="n">
        <f aca="false">+IF(E397=0,0,E397*0.03)</f>
        <v>0</v>
      </c>
    </row>
    <row r="398" customFormat="false" ht="15.75" hidden="false" customHeight="true" outlineLevel="0" collapsed="false">
      <c r="A398" s="30" t="n">
        <v>45444</v>
      </c>
      <c r="B398" s="31" t="s">
        <v>153</v>
      </c>
      <c r="C398" s="32"/>
      <c r="D398" s="32"/>
      <c r="E398" s="19" t="n">
        <f aca="false">+F398*0.03</f>
        <v>0</v>
      </c>
      <c r="F398" s="33" t="n">
        <v>0</v>
      </c>
      <c r="G398" s="62"/>
      <c r="H398" s="35" t="n">
        <v>0</v>
      </c>
      <c r="I398" s="34" t="n">
        <f aca="false">+IF(E398=0,0,E398*0.03)</f>
        <v>0</v>
      </c>
    </row>
    <row r="399" customFormat="false" ht="15.75" hidden="false" customHeight="true" outlineLevel="0" collapsed="false">
      <c r="A399" s="30" t="n">
        <v>45444</v>
      </c>
      <c r="B399" s="31" t="s">
        <v>153</v>
      </c>
      <c r="C399" s="32"/>
      <c r="D399" s="32"/>
      <c r="E399" s="19" t="n">
        <f aca="false">+F399*0.03</f>
        <v>0</v>
      </c>
      <c r="F399" s="33" t="n">
        <v>0</v>
      </c>
      <c r="G399" s="62"/>
      <c r="H399" s="35" t="n">
        <v>0</v>
      </c>
      <c r="I399" s="34" t="n">
        <f aca="false">+IF(E399=0,0,E399*0.03)</f>
        <v>0</v>
      </c>
    </row>
    <row r="400" customFormat="false" ht="15.75" hidden="false" customHeight="true" outlineLevel="0" collapsed="false">
      <c r="A400" s="30" t="n">
        <v>45444</v>
      </c>
      <c r="B400" s="31" t="s">
        <v>153</v>
      </c>
      <c r="C400" s="32"/>
      <c r="D400" s="32"/>
      <c r="E400" s="19" t="n">
        <f aca="false">+F400*0.03</f>
        <v>0</v>
      </c>
      <c r="F400" s="33" t="n">
        <v>0</v>
      </c>
      <c r="G400" s="62"/>
      <c r="H400" s="35" t="n">
        <v>0</v>
      </c>
      <c r="I400" s="34" t="n">
        <f aca="false">+IF(E400=0,0,E400*0.03)</f>
        <v>0</v>
      </c>
    </row>
    <row r="401" customFormat="false" ht="15.75" hidden="false" customHeight="true" outlineLevel="0" collapsed="false">
      <c r="A401" s="30" t="n">
        <v>45444</v>
      </c>
      <c r="B401" s="31" t="s">
        <v>153</v>
      </c>
      <c r="C401" s="32"/>
      <c r="D401" s="32"/>
      <c r="E401" s="19" t="n">
        <f aca="false">+F401*0.03</f>
        <v>0</v>
      </c>
      <c r="F401" s="33" t="n">
        <v>0</v>
      </c>
      <c r="G401" s="62"/>
      <c r="H401" s="35" t="n">
        <v>0</v>
      </c>
      <c r="I401" s="34" t="n">
        <f aca="false">+IF(E401=0,0,E401*0.03)</f>
        <v>0</v>
      </c>
    </row>
    <row r="402" customFormat="false" ht="15.75" hidden="false" customHeight="true" outlineLevel="0" collapsed="false">
      <c r="A402" s="30" t="n">
        <v>45444</v>
      </c>
      <c r="B402" s="31" t="s">
        <v>153</v>
      </c>
      <c r="C402" s="32"/>
      <c r="D402" s="32"/>
      <c r="E402" s="19" t="n">
        <f aca="false">+F402*0.03</f>
        <v>0</v>
      </c>
      <c r="F402" s="33" t="n">
        <v>0</v>
      </c>
      <c r="G402" s="62"/>
      <c r="H402" s="35" t="n">
        <v>0</v>
      </c>
      <c r="I402" s="34" t="n">
        <f aca="false">+IF(E402=0,0,E402*0.03)</f>
        <v>0</v>
      </c>
    </row>
    <row r="403" customFormat="false" ht="15.75" hidden="false" customHeight="true" outlineLevel="0" collapsed="false">
      <c r="A403" s="30" t="n">
        <v>45444</v>
      </c>
      <c r="B403" s="31" t="s">
        <v>153</v>
      </c>
      <c r="C403" s="32"/>
      <c r="D403" s="32"/>
      <c r="E403" s="19" t="n">
        <f aca="false">+F403*0.03</f>
        <v>0</v>
      </c>
      <c r="F403" s="33" t="n">
        <v>0</v>
      </c>
      <c r="G403" s="62"/>
      <c r="H403" s="35" t="n">
        <v>0</v>
      </c>
      <c r="I403" s="34" t="n">
        <f aca="false">+IF(E403=0,0,E403*0.03)</f>
        <v>0</v>
      </c>
    </row>
    <row r="404" customFormat="false" ht="15.75" hidden="false" customHeight="true" outlineLevel="0" collapsed="false">
      <c r="A404" s="30" t="n">
        <v>45444</v>
      </c>
      <c r="B404" s="31" t="s">
        <v>153</v>
      </c>
      <c r="C404" s="32"/>
      <c r="D404" s="32"/>
      <c r="E404" s="19" t="n">
        <f aca="false">+F404*0.03</f>
        <v>0</v>
      </c>
      <c r="F404" s="33" t="n">
        <v>0</v>
      </c>
      <c r="G404" s="62"/>
      <c r="H404" s="35" t="n">
        <v>0</v>
      </c>
      <c r="I404" s="34" t="n">
        <f aca="false">+IF(E404=0,0,E404*0.03)</f>
        <v>0</v>
      </c>
    </row>
    <row r="405" customFormat="false" ht="15.75" hidden="false" customHeight="true" outlineLevel="0" collapsed="false">
      <c r="A405" s="30" t="n">
        <v>45444</v>
      </c>
      <c r="B405" s="31" t="s">
        <v>153</v>
      </c>
      <c r="C405" s="32"/>
      <c r="D405" s="32"/>
      <c r="E405" s="19" t="n">
        <f aca="false">+F405*0.03</f>
        <v>0</v>
      </c>
      <c r="F405" s="33" t="n">
        <v>0</v>
      </c>
      <c r="G405" s="62"/>
      <c r="H405" s="35" t="n">
        <v>0</v>
      </c>
      <c r="I405" s="34" t="n">
        <f aca="false">+IF(E405=0,0,E405*0.03)</f>
        <v>0</v>
      </c>
    </row>
    <row r="406" customFormat="false" ht="15.75" hidden="false" customHeight="true" outlineLevel="0" collapsed="false">
      <c r="A406" s="30" t="n">
        <v>45444</v>
      </c>
      <c r="B406" s="31" t="s">
        <v>153</v>
      </c>
      <c r="C406" s="32"/>
      <c r="D406" s="32"/>
      <c r="E406" s="19" t="n">
        <f aca="false">+F406*0.03</f>
        <v>0</v>
      </c>
      <c r="F406" s="33" t="n">
        <v>0</v>
      </c>
      <c r="G406" s="62"/>
      <c r="H406" s="35" t="n">
        <v>0</v>
      </c>
      <c r="I406" s="34" t="n">
        <f aca="false">+IF(E406=0,0,E406*0.03)</f>
        <v>0</v>
      </c>
    </row>
    <row r="407" customFormat="false" ht="15.75" hidden="false" customHeight="true" outlineLevel="0" collapsed="false">
      <c r="A407" s="30" t="n">
        <v>45444</v>
      </c>
      <c r="B407" s="31" t="s">
        <v>153</v>
      </c>
      <c r="C407" s="32"/>
      <c r="D407" s="32"/>
      <c r="E407" s="19" t="n">
        <f aca="false">+F407*0.03</f>
        <v>0</v>
      </c>
      <c r="F407" s="33" t="n">
        <v>0</v>
      </c>
      <c r="G407" s="62"/>
      <c r="H407" s="35" t="n">
        <v>0</v>
      </c>
      <c r="I407" s="34" t="n">
        <f aca="false">+IF(E407=0,0,E407*0.03)</f>
        <v>0</v>
      </c>
    </row>
    <row r="408" customFormat="false" ht="15.75" hidden="false" customHeight="true" outlineLevel="0" collapsed="false">
      <c r="A408" s="30" t="n">
        <v>45444</v>
      </c>
      <c r="B408" s="31" t="s">
        <v>153</v>
      </c>
      <c r="C408" s="32"/>
      <c r="D408" s="32"/>
      <c r="E408" s="19" t="n">
        <f aca="false">+F408*0.03</f>
        <v>0</v>
      </c>
      <c r="F408" s="33" t="n">
        <v>0</v>
      </c>
      <c r="G408" s="62"/>
      <c r="H408" s="35" t="n">
        <v>0</v>
      </c>
      <c r="I408" s="34" t="n">
        <f aca="false">+IF(E408=0,0,E408*0.03)</f>
        <v>0</v>
      </c>
    </row>
    <row r="409" customFormat="false" ht="15.75" hidden="false" customHeight="true" outlineLevel="0" collapsed="false">
      <c r="A409" s="30" t="n">
        <v>45444</v>
      </c>
      <c r="B409" s="31" t="s">
        <v>153</v>
      </c>
      <c r="C409" s="32"/>
      <c r="D409" s="32"/>
      <c r="E409" s="19" t="n">
        <f aca="false">+F409*0.03</f>
        <v>0</v>
      </c>
      <c r="F409" s="33" t="n">
        <v>0</v>
      </c>
      <c r="G409" s="62"/>
      <c r="H409" s="35" t="n">
        <v>0</v>
      </c>
      <c r="I409" s="34" t="n">
        <f aca="false">+IF(E409=0,0,E409*0.03)</f>
        <v>0</v>
      </c>
    </row>
    <row r="410" customFormat="false" ht="15.75" hidden="false" customHeight="true" outlineLevel="0" collapsed="false">
      <c r="A410" s="30" t="n">
        <v>45444</v>
      </c>
      <c r="B410" s="31" t="s">
        <v>153</v>
      </c>
      <c r="C410" s="32"/>
      <c r="D410" s="32"/>
      <c r="E410" s="19" t="n">
        <f aca="false">+F410*0.03</f>
        <v>0</v>
      </c>
      <c r="F410" s="33" t="n">
        <v>0</v>
      </c>
      <c r="G410" s="62"/>
      <c r="H410" s="35" t="n">
        <v>0</v>
      </c>
      <c r="I410" s="34" t="n">
        <f aca="false">+IF(E410=0,0,E410*0.03)</f>
        <v>0</v>
      </c>
    </row>
    <row r="411" customFormat="false" ht="15.75" hidden="false" customHeight="true" outlineLevel="0" collapsed="false">
      <c r="A411" s="30" t="n">
        <v>45444</v>
      </c>
      <c r="B411" s="31" t="s">
        <v>153</v>
      </c>
      <c r="C411" s="32"/>
      <c r="D411" s="32"/>
      <c r="E411" s="19" t="n">
        <f aca="false">+F411*0.03</f>
        <v>0</v>
      </c>
      <c r="F411" s="33" t="n">
        <v>0</v>
      </c>
      <c r="G411" s="62"/>
      <c r="H411" s="35" t="n">
        <v>0</v>
      </c>
      <c r="I411" s="34" t="n">
        <f aca="false">+IF(E411=0,0,E411*0.03)</f>
        <v>0</v>
      </c>
    </row>
    <row r="412" customFormat="false" ht="15.75" hidden="false" customHeight="true" outlineLevel="0" collapsed="false">
      <c r="A412" s="30" t="n">
        <v>45444</v>
      </c>
      <c r="B412" s="31" t="s">
        <v>153</v>
      </c>
      <c r="C412" s="32"/>
      <c r="D412" s="32"/>
      <c r="E412" s="19" t="n">
        <f aca="false">+F412*0.03</f>
        <v>0</v>
      </c>
      <c r="F412" s="33" t="n">
        <v>0</v>
      </c>
      <c r="G412" s="62"/>
      <c r="H412" s="35" t="n">
        <v>0</v>
      </c>
      <c r="I412" s="34" t="n">
        <f aca="false">+IF(E412=0,0,E412*0.03)</f>
        <v>0</v>
      </c>
    </row>
    <row r="413" customFormat="false" ht="15.75" hidden="false" customHeight="true" outlineLevel="0" collapsed="false">
      <c r="A413" s="30" t="n">
        <v>45444</v>
      </c>
      <c r="B413" s="31" t="s">
        <v>153</v>
      </c>
      <c r="C413" s="32"/>
      <c r="D413" s="32"/>
      <c r="E413" s="19" t="n">
        <f aca="false">+F413*0.03</f>
        <v>0</v>
      </c>
      <c r="F413" s="33" t="n">
        <v>0</v>
      </c>
      <c r="G413" s="62"/>
      <c r="H413" s="35" t="n">
        <v>0</v>
      </c>
      <c r="I413" s="34" t="n">
        <f aca="false">+IF(E413=0,0,E413*0.03)</f>
        <v>0</v>
      </c>
    </row>
    <row r="414" customFormat="false" ht="15.75" hidden="false" customHeight="true" outlineLevel="0" collapsed="false">
      <c r="A414" s="30" t="n">
        <v>45444</v>
      </c>
      <c r="B414" s="31" t="s">
        <v>153</v>
      </c>
      <c r="C414" s="32"/>
      <c r="D414" s="32"/>
      <c r="E414" s="19" t="n">
        <f aca="false">+F414*0.03</f>
        <v>0</v>
      </c>
      <c r="F414" s="33" t="n">
        <v>0</v>
      </c>
      <c r="G414" s="62"/>
      <c r="H414" s="35" t="n">
        <v>0</v>
      </c>
      <c r="I414" s="34" t="n">
        <f aca="false">+IF(E414=0,0,E414*0.03)</f>
        <v>0</v>
      </c>
    </row>
    <row r="415" customFormat="false" ht="15.75" hidden="false" customHeight="true" outlineLevel="0" collapsed="false">
      <c r="A415" s="30" t="n">
        <v>45444</v>
      </c>
      <c r="B415" s="31" t="s">
        <v>153</v>
      </c>
      <c r="C415" s="32"/>
      <c r="D415" s="32"/>
      <c r="E415" s="19" t="n">
        <f aca="false">+F415*0.03</f>
        <v>0</v>
      </c>
      <c r="F415" s="33" t="n">
        <v>0</v>
      </c>
      <c r="G415" s="62"/>
      <c r="H415" s="35" t="n">
        <v>0</v>
      </c>
      <c r="I415" s="34" t="n">
        <f aca="false">+IF(E415=0,0,E415*0.03)</f>
        <v>0</v>
      </c>
    </row>
    <row r="416" customFormat="false" ht="15.75" hidden="false" customHeight="true" outlineLevel="0" collapsed="false">
      <c r="A416" s="30" t="n">
        <v>45444</v>
      </c>
      <c r="B416" s="31" t="s">
        <v>153</v>
      </c>
      <c r="C416" s="32"/>
      <c r="D416" s="32"/>
      <c r="E416" s="19" t="n">
        <f aca="false">+F416*0.03</f>
        <v>0</v>
      </c>
      <c r="F416" s="33" t="n">
        <v>0</v>
      </c>
      <c r="G416" s="62"/>
      <c r="H416" s="35" t="n">
        <v>0</v>
      </c>
      <c r="I416" s="34" t="n">
        <f aca="false">+IF(E416=0,0,E416*0.03)</f>
        <v>0</v>
      </c>
    </row>
    <row r="417" customFormat="false" ht="15.75" hidden="false" customHeight="true" outlineLevel="0" collapsed="false">
      <c r="A417" s="30" t="n">
        <v>45444</v>
      </c>
      <c r="B417" s="31" t="s">
        <v>153</v>
      </c>
      <c r="C417" s="32"/>
      <c r="D417" s="32"/>
      <c r="E417" s="19" t="n">
        <f aca="false">+F417*0.03</f>
        <v>0</v>
      </c>
      <c r="F417" s="33" t="n">
        <v>0</v>
      </c>
      <c r="G417" s="62"/>
      <c r="H417" s="35" t="n">
        <v>0</v>
      </c>
      <c r="I417" s="34" t="n">
        <f aca="false">+IF(E417=0,0,E417*0.03)</f>
        <v>0</v>
      </c>
    </row>
    <row r="418" customFormat="false" ht="15.75" hidden="false" customHeight="true" outlineLevel="0" collapsed="false">
      <c r="A418" s="30" t="n">
        <v>45444</v>
      </c>
      <c r="B418" s="31" t="s">
        <v>153</v>
      </c>
      <c r="C418" s="32"/>
      <c r="D418" s="32"/>
      <c r="E418" s="19" t="n">
        <f aca="false">+F418*0.03</f>
        <v>0</v>
      </c>
      <c r="F418" s="33" t="n">
        <v>0</v>
      </c>
      <c r="G418" s="62"/>
      <c r="H418" s="35" t="n">
        <v>0</v>
      </c>
      <c r="I418" s="34" t="n">
        <f aca="false">+IF(E418=0,0,E418*0.03)</f>
        <v>0</v>
      </c>
    </row>
    <row r="419" customFormat="false" ht="15.75" hidden="false" customHeight="true" outlineLevel="0" collapsed="false">
      <c r="A419" s="30" t="n">
        <v>45444</v>
      </c>
      <c r="B419" s="31" t="s">
        <v>153</v>
      </c>
      <c r="C419" s="32"/>
      <c r="D419" s="32"/>
      <c r="E419" s="19" t="n">
        <f aca="false">+F419*0.03</f>
        <v>0</v>
      </c>
      <c r="F419" s="33" t="n">
        <v>0</v>
      </c>
      <c r="G419" s="62"/>
      <c r="H419" s="35" t="n">
        <v>0</v>
      </c>
      <c r="I419" s="34" t="n">
        <f aca="false">+IF(E419=0,0,E419*0.03)</f>
        <v>0</v>
      </c>
    </row>
    <row r="420" customFormat="false" ht="15.75" hidden="false" customHeight="true" outlineLevel="0" collapsed="false">
      <c r="A420" s="30" t="n">
        <v>45444</v>
      </c>
      <c r="B420" s="31" t="s">
        <v>153</v>
      </c>
      <c r="C420" s="32"/>
      <c r="D420" s="32"/>
      <c r="E420" s="19" t="n">
        <f aca="false">+F420*0.03</f>
        <v>0</v>
      </c>
      <c r="F420" s="33" t="n">
        <v>0</v>
      </c>
      <c r="G420" s="62"/>
      <c r="H420" s="35" t="n">
        <v>0</v>
      </c>
      <c r="I420" s="34" t="n">
        <f aca="false">+IF(E420=0,0,E420*0.03)</f>
        <v>0</v>
      </c>
    </row>
    <row r="421" customFormat="false" ht="15.75" hidden="false" customHeight="true" outlineLevel="0" collapsed="false">
      <c r="A421" s="30" t="n">
        <v>45444</v>
      </c>
      <c r="B421" s="31" t="s">
        <v>153</v>
      </c>
      <c r="C421" s="32"/>
      <c r="D421" s="32"/>
      <c r="E421" s="19" t="n">
        <f aca="false">+F421*0.03</f>
        <v>0</v>
      </c>
      <c r="F421" s="33" t="n">
        <v>0</v>
      </c>
      <c r="G421" s="62"/>
      <c r="H421" s="35" t="n">
        <v>0</v>
      </c>
      <c r="I421" s="34" t="n">
        <f aca="false">+IF(E421=0,0,E421*0.03)</f>
        <v>0</v>
      </c>
    </row>
    <row r="422" customFormat="false" ht="15.75" hidden="false" customHeight="true" outlineLevel="0" collapsed="false">
      <c r="A422" s="30" t="n">
        <v>45444</v>
      </c>
      <c r="B422" s="31" t="s">
        <v>153</v>
      </c>
      <c r="C422" s="32"/>
      <c r="D422" s="32"/>
      <c r="E422" s="19" t="n">
        <f aca="false">+F422*0.03</f>
        <v>0</v>
      </c>
      <c r="F422" s="33" t="n">
        <v>0</v>
      </c>
      <c r="G422" s="62"/>
      <c r="H422" s="35" t="n">
        <v>0</v>
      </c>
      <c r="I422" s="34" t="n">
        <f aca="false">+IF(E422=0,0,E422*0.03)</f>
        <v>0</v>
      </c>
    </row>
    <row r="423" customFormat="false" ht="15.75" hidden="false" customHeight="true" outlineLevel="0" collapsed="false">
      <c r="A423" s="30" t="n">
        <v>45444</v>
      </c>
      <c r="B423" s="31" t="s">
        <v>153</v>
      </c>
      <c r="C423" s="32"/>
      <c r="D423" s="32"/>
      <c r="E423" s="19" t="n">
        <f aca="false">+F423*0.03</f>
        <v>0</v>
      </c>
      <c r="F423" s="33" t="n">
        <v>0</v>
      </c>
      <c r="G423" s="62"/>
      <c r="H423" s="35" t="n">
        <v>0</v>
      </c>
      <c r="I423" s="34" t="n">
        <f aca="false">+IF(E423=0,0,E423*0.03)</f>
        <v>0</v>
      </c>
    </row>
    <row r="424" customFormat="false" ht="15.75" hidden="false" customHeight="true" outlineLevel="0" collapsed="false">
      <c r="A424" s="30" t="n">
        <v>45444</v>
      </c>
      <c r="B424" s="31" t="s">
        <v>153</v>
      </c>
      <c r="C424" s="32"/>
      <c r="D424" s="32"/>
      <c r="E424" s="19" t="n">
        <f aca="false">+F424*0.03</f>
        <v>0</v>
      </c>
      <c r="F424" s="33" t="n">
        <v>0</v>
      </c>
      <c r="G424" s="62"/>
      <c r="H424" s="35" t="n">
        <v>0</v>
      </c>
      <c r="I424" s="34" t="n">
        <f aca="false">+IF(E424=0,0,E424*0.03)</f>
        <v>0</v>
      </c>
    </row>
    <row r="425" customFormat="false" ht="15.75" hidden="false" customHeight="true" outlineLevel="0" collapsed="false">
      <c r="A425" s="30" t="n">
        <v>45444</v>
      </c>
      <c r="B425" s="31" t="s">
        <v>153</v>
      </c>
      <c r="C425" s="32"/>
      <c r="D425" s="32"/>
      <c r="E425" s="19" t="n">
        <f aca="false">+F425*0.03</f>
        <v>0</v>
      </c>
      <c r="F425" s="33" t="n">
        <v>0</v>
      </c>
      <c r="G425" s="62"/>
      <c r="H425" s="35" t="n">
        <v>0</v>
      </c>
      <c r="I425" s="34" t="n">
        <f aca="false">+IF(E425=0,0,E425*0.03)</f>
        <v>0</v>
      </c>
    </row>
    <row r="426" customFormat="false" ht="15.75" hidden="false" customHeight="true" outlineLevel="0" collapsed="false">
      <c r="A426" s="30" t="n">
        <v>45444</v>
      </c>
      <c r="B426" s="31" t="s">
        <v>153</v>
      </c>
      <c r="C426" s="32"/>
      <c r="D426" s="32"/>
      <c r="E426" s="19" t="n">
        <f aca="false">+F426*0.03</f>
        <v>0</v>
      </c>
      <c r="F426" s="33" t="n">
        <v>0</v>
      </c>
      <c r="G426" s="62"/>
      <c r="H426" s="35" t="n">
        <v>0</v>
      </c>
      <c r="I426" s="34" t="n">
        <f aca="false">+IF(E426=0,0,E426*0.03)</f>
        <v>0</v>
      </c>
    </row>
    <row r="427" customFormat="false" ht="15.75" hidden="false" customHeight="true" outlineLevel="0" collapsed="false">
      <c r="A427" s="30" t="n">
        <v>45444</v>
      </c>
      <c r="B427" s="31" t="s">
        <v>153</v>
      </c>
      <c r="C427" s="32"/>
      <c r="D427" s="32"/>
      <c r="E427" s="19" t="n">
        <f aca="false">+F427*0.03</f>
        <v>0</v>
      </c>
      <c r="F427" s="33" t="n">
        <v>0</v>
      </c>
      <c r="G427" s="62"/>
      <c r="H427" s="35" t="n">
        <v>0</v>
      </c>
      <c r="I427" s="34" t="n">
        <f aca="false">+IF(E427=0,0,E427*0.03)</f>
        <v>0</v>
      </c>
    </row>
    <row r="428" customFormat="false" ht="15.75" hidden="false" customHeight="true" outlineLevel="0" collapsed="false">
      <c r="A428" s="30" t="n">
        <v>45444</v>
      </c>
      <c r="B428" s="31" t="s">
        <v>153</v>
      </c>
      <c r="C428" s="32"/>
      <c r="D428" s="32"/>
      <c r="E428" s="19" t="n">
        <f aca="false">+F428*0.03</f>
        <v>0</v>
      </c>
      <c r="F428" s="33" t="n">
        <v>0</v>
      </c>
      <c r="G428" s="62"/>
      <c r="H428" s="35" t="n">
        <v>0</v>
      </c>
      <c r="I428" s="34" t="n">
        <f aca="false">+IF(E428=0,0,E428*0.03)</f>
        <v>0</v>
      </c>
    </row>
    <row r="429" customFormat="false" ht="15.75" hidden="false" customHeight="true" outlineLevel="0" collapsed="false">
      <c r="A429" s="30" t="n">
        <v>45444</v>
      </c>
      <c r="B429" s="31" t="s">
        <v>153</v>
      </c>
      <c r="C429" s="32"/>
      <c r="D429" s="32"/>
      <c r="E429" s="19" t="n">
        <f aca="false">+F429*0.03</f>
        <v>0</v>
      </c>
      <c r="F429" s="33" t="n">
        <v>0</v>
      </c>
      <c r="G429" s="62"/>
      <c r="H429" s="35" t="n">
        <v>0</v>
      </c>
      <c r="I429" s="34" t="n">
        <f aca="false">+IF(E429=0,0,E429*0.03)</f>
        <v>0</v>
      </c>
    </row>
    <row r="430" customFormat="false" ht="15.75" hidden="false" customHeight="true" outlineLevel="0" collapsed="false">
      <c r="A430" s="30" t="n">
        <v>45444</v>
      </c>
      <c r="B430" s="31" t="s">
        <v>153</v>
      </c>
      <c r="C430" s="32"/>
      <c r="D430" s="32"/>
      <c r="E430" s="19" t="n">
        <f aca="false">+F430*0.03</f>
        <v>0</v>
      </c>
      <c r="F430" s="33" t="n">
        <v>0</v>
      </c>
      <c r="G430" s="62"/>
      <c r="H430" s="35" t="n">
        <v>0</v>
      </c>
      <c r="I430" s="34" t="n">
        <f aca="false">+IF(E430=0,0,E430*0.03)</f>
        <v>0</v>
      </c>
    </row>
    <row r="431" customFormat="false" ht="15.75" hidden="false" customHeight="true" outlineLevel="0" collapsed="false">
      <c r="A431" s="30" t="n">
        <v>45444</v>
      </c>
      <c r="B431" s="31" t="s">
        <v>153</v>
      </c>
      <c r="C431" s="32"/>
      <c r="D431" s="32"/>
      <c r="E431" s="19" t="n">
        <f aca="false">+F431*0.03</f>
        <v>0</v>
      </c>
      <c r="F431" s="33" t="n">
        <v>0</v>
      </c>
      <c r="G431" s="62"/>
      <c r="H431" s="35" t="n">
        <v>0</v>
      </c>
      <c r="I431" s="34" t="n">
        <f aca="false">+IF(E431=0,0,E431*0.03)</f>
        <v>0</v>
      </c>
    </row>
    <row r="432" customFormat="false" ht="15.75" hidden="false" customHeight="true" outlineLevel="0" collapsed="false">
      <c r="A432" s="30" t="n">
        <v>45444</v>
      </c>
      <c r="B432" s="31" t="s">
        <v>153</v>
      </c>
      <c r="C432" s="32"/>
      <c r="D432" s="32"/>
      <c r="E432" s="19" t="n">
        <f aca="false">+F432*0.03</f>
        <v>0</v>
      </c>
      <c r="F432" s="33" t="n">
        <v>0</v>
      </c>
      <c r="G432" s="62"/>
      <c r="H432" s="35" t="n">
        <v>0</v>
      </c>
      <c r="I432" s="34" t="n">
        <f aca="false">+IF(E432=0,0,E432*0.03)</f>
        <v>0</v>
      </c>
    </row>
    <row r="433" customFormat="false" ht="15.75" hidden="false" customHeight="true" outlineLevel="0" collapsed="false">
      <c r="A433" s="30" t="n">
        <v>45444</v>
      </c>
      <c r="B433" s="31" t="s">
        <v>153</v>
      </c>
      <c r="C433" s="32"/>
      <c r="D433" s="32"/>
      <c r="E433" s="19" t="n">
        <f aca="false">+F433*0.03</f>
        <v>0</v>
      </c>
      <c r="F433" s="33" t="n">
        <v>0</v>
      </c>
      <c r="G433" s="62"/>
      <c r="H433" s="35" t="n">
        <v>0</v>
      </c>
      <c r="I433" s="34" t="n">
        <f aca="false">+IF(E433=0,0,E433*0.03)</f>
        <v>0</v>
      </c>
    </row>
    <row r="434" customFormat="false" ht="15.75" hidden="false" customHeight="true" outlineLevel="0" collapsed="false">
      <c r="A434" s="30" t="n">
        <v>45444</v>
      </c>
      <c r="B434" s="31" t="s">
        <v>153</v>
      </c>
      <c r="C434" s="32"/>
      <c r="D434" s="32"/>
      <c r="E434" s="19" t="n">
        <f aca="false">+F434*0.03</f>
        <v>0</v>
      </c>
      <c r="F434" s="33" t="n">
        <v>0</v>
      </c>
      <c r="G434" s="62"/>
      <c r="H434" s="35" t="n">
        <v>0</v>
      </c>
      <c r="I434" s="34" t="n">
        <f aca="false">+IF(E434=0,0,E434*0.03)</f>
        <v>0</v>
      </c>
    </row>
    <row r="435" customFormat="false" ht="15.75" hidden="false" customHeight="true" outlineLevel="0" collapsed="false">
      <c r="A435" s="30" t="n">
        <v>45444</v>
      </c>
      <c r="B435" s="31" t="s">
        <v>153</v>
      </c>
      <c r="C435" s="32"/>
      <c r="D435" s="32"/>
      <c r="E435" s="19" t="n">
        <f aca="false">+F435*0.03</f>
        <v>0</v>
      </c>
      <c r="F435" s="33" t="n">
        <v>0</v>
      </c>
      <c r="G435" s="62"/>
      <c r="H435" s="35" t="n">
        <v>0</v>
      </c>
      <c r="I435" s="34" t="n">
        <f aca="false">+IF(E435=0,0,E435*0.03)</f>
        <v>0</v>
      </c>
    </row>
    <row r="436" customFormat="false" ht="15.75" hidden="false" customHeight="true" outlineLevel="0" collapsed="false">
      <c r="A436" s="30" t="n">
        <v>45444</v>
      </c>
      <c r="B436" s="31" t="s">
        <v>153</v>
      </c>
      <c r="C436" s="32"/>
      <c r="D436" s="32"/>
      <c r="E436" s="19" t="n">
        <f aca="false">+F436*0.03</f>
        <v>0</v>
      </c>
      <c r="F436" s="33" t="n">
        <v>0</v>
      </c>
      <c r="G436" s="62"/>
      <c r="H436" s="35" t="n">
        <v>0</v>
      </c>
      <c r="I436" s="34" t="n">
        <f aca="false">+IF(E436=0,0,E436*0.03)</f>
        <v>0</v>
      </c>
    </row>
    <row r="437" customFormat="false" ht="15.75" hidden="false" customHeight="true" outlineLevel="0" collapsed="false">
      <c r="A437" s="30" t="n">
        <v>45444</v>
      </c>
      <c r="B437" s="31" t="s">
        <v>153</v>
      </c>
      <c r="C437" s="32"/>
      <c r="D437" s="32"/>
      <c r="E437" s="19" t="n">
        <f aca="false">+F437*0.03</f>
        <v>0</v>
      </c>
      <c r="F437" s="33" t="n">
        <v>0</v>
      </c>
      <c r="G437" s="62"/>
      <c r="H437" s="35" t="n">
        <v>0</v>
      </c>
      <c r="I437" s="34" t="n">
        <f aca="false">+IF(E437=0,0,E437*0.03)</f>
        <v>0</v>
      </c>
    </row>
    <row r="438" customFormat="false" ht="15.75" hidden="false" customHeight="true" outlineLevel="0" collapsed="false">
      <c r="A438" s="30" t="n">
        <v>45444</v>
      </c>
      <c r="B438" s="31" t="s">
        <v>153</v>
      </c>
      <c r="C438" s="32"/>
      <c r="D438" s="32"/>
      <c r="E438" s="19" t="n">
        <f aca="false">+F438*0.03</f>
        <v>0</v>
      </c>
      <c r="F438" s="33" t="n">
        <v>0</v>
      </c>
      <c r="G438" s="62"/>
      <c r="H438" s="35" t="n">
        <v>0</v>
      </c>
      <c r="I438" s="34" t="n">
        <f aca="false">+IF(E438=0,0,E438*0.03)</f>
        <v>0</v>
      </c>
    </row>
    <row r="439" customFormat="false" ht="15.75" hidden="false" customHeight="true" outlineLevel="0" collapsed="false">
      <c r="A439" s="30" t="n">
        <v>45444</v>
      </c>
      <c r="B439" s="31" t="s">
        <v>153</v>
      </c>
      <c r="C439" s="32"/>
      <c r="D439" s="32"/>
      <c r="E439" s="19" t="n">
        <f aca="false">+F439*0.03</f>
        <v>0</v>
      </c>
      <c r="F439" s="33" t="n">
        <v>0</v>
      </c>
      <c r="G439" s="62"/>
      <c r="H439" s="35" t="n">
        <v>0</v>
      </c>
      <c r="I439" s="34" t="n">
        <f aca="false">+IF(E439=0,0,E439*0.03)</f>
        <v>0</v>
      </c>
    </row>
    <row r="440" customFormat="false" ht="15.75" hidden="false" customHeight="true" outlineLevel="0" collapsed="false">
      <c r="A440" s="30" t="n">
        <v>45444</v>
      </c>
      <c r="B440" s="31" t="s">
        <v>153</v>
      </c>
      <c r="C440" s="32"/>
      <c r="D440" s="32"/>
      <c r="E440" s="19" t="n">
        <f aca="false">+F440*0.03</f>
        <v>0</v>
      </c>
      <c r="F440" s="33" t="n">
        <v>0</v>
      </c>
      <c r="G440" s="62"/>
      <c r="H440" s="35" t="n">
        <v>0</v>
      </c>
      <c r="I440" s="34" t="n">
        <f aca="false">+IF(E440=0,0,E440*0.03)</f>
        <v>0</v>
      </c>
    </row>
    <row r="441" customFormat="false" ht="15.75" hidden="false" customHeight="true" outlineLevel="0" collapsed="false">
      <c r="A441" s="30" t="n">
        <v>45444</v>
      </c>
      <c r="B441" s="31" t="s">
        <v>153</v>
      </c>
      <c r="C441" s="32"/>
      <c r="D441" s="32"/>
      <c r="E441" s="19" t="n">
        <f aca="false">+F441*0.03</f>
        <v>0</v>
      </c>
      <c r="F441" s="33" t="n">
        <v>0</v>
      </c>
      <c r="G441" s="62"/>
      <c r="H441" s="35" t="n">
        <v>0</v>
      </c>
      <c r="I441" s="34" t="n">
        <f aca="false">+IF(E441=0,0,E441*0.03)</f>
        <v>0</v>
      </c>
    </row>
    <row r="442" customFormat="false" ht="15.75" hidden="false" customHeight="true" outlineLevel="0" collapsed="false">
      <c r="A442" s="30" t="n">
        <v>45444</v>
      </c>
      <c r="B442" s="31" t="s">
        <v>153</v>
      </c>
      <c r="C442" s="32"/>
      <c r="D442" s="32"/>
      <c r="E442" s="19" t="n">
        <f aca="false">+F442*0.03</f>
        <v>0</v>
      </c>
      <c r="F442" s="33" t="n">
        <v>0</v>
      </c>
      <c r="G442" s="62"/>
      <c r="H442" s="35" t="n">
        <v>0</v>
      </c>
      <c r="I442" s="34" t="n">
        <f aca="false">+IF(E442=0,0,E442*0.03)</f>
        <v>0</v>
      </c>
    </row>
    <row r="443" customFormat="false" ht="15.75" hidden="false" customHeight="true" outlineLevel="0" collapsed="false">
      <c r="A443" s="30" t="n">
        <v>45444</v>
      </c>
      <c r="B443" s="31" t="s">
        <v>153</v>
      </c>
      <c r="C443" s="32"/>
      <c r="D443" s="32"/>
      <c r="E443" s="19" t="n">
        <f aca="false">+F443*0.03</f>
        <v>0</v>
      </c>
      <c r="F443" s="33" t="n">
        <v>0</v>
      </c>
      <c r="G443" s="62"/>
      <c r="H443" s="35" t="n">
        <v>0</v>
      </c>
      <c r="I443" s="34" t="n">
        <f aca="false">+IF(E443=0,0,E443*0.03)</f>
        <v>0</v>
      </c>
    </row>
    <row r="444" customFormat="false" ht="15.75" hidden="false" customHeight="true" outlineLevel="0" collapsed="false">
      <c r="A444" s="30" t="n">
        <v>45444</v>
      </c>
      <c r="B444" s="31" t="s">
        <v>153</v>
      </c>
      <c r="C444" s="32"/>
      <c r="D444" s="32"/>
      <c r="E444" s="19" t="n">
        <f aca="false">+F444*0.03</f>
        <v>0</v>
      </c>
      <c r="F444" s="33" t="n">
        <v>0</v>
      </c>
      <c r="G444" s="62"/>
      <c r="H444" s="35" t="n">
        <v>0</v>
      </c>
      <c r="I444" s="34" t="n">
        <f aca="false">+IF(E444=0,0,E444*0.03)</f>
        <v>0</v>
      </c>
    </row>
    <row r="445" customFormat="false" ht="15.75" hidden="false" customHeight="true" outlineLevel="0" collapsed="false">
      <c r="A445" s="30" t="n">
        <v>45444</v>
      </c>
      <c r="B445" s="31" t="s">
        <v>153</v>
      </c>
      <c r="C445" s="32"/>
      <c r="D445" s="32"/>
      <c r="E445" s="19" t="n">
        <f aca="false">+F445*0.03</f>
        <v>0</v>
      </c>
      <c r="F445" s="33" t="n">
        <v>0</v>
      </c>
      <c r="G445" s="62"/>
      <c r="H445" s="35" t="n">
        <v>0</v>
      </c>
      <c r="I445" s="34" t="n">
        <f aca="false">+IF(E445=0,0,E445*0.03)</f>
        <v>0</v>
      </c>
    </row>
    <row r="446" customFormat="false" ht="15.75" hidden="false" customHeight="true" outlineLevel="0" collapsed="false">
      <c r="A446" s="30" t="n">
        <v>45444</v>
      </c>
      <c r="B446" s="31" t="s">
        <v>153</v>
      </c>
      <c r="C446" s="32"/>
      <c r="D446" s="32"/>
      <c r="E446" s="19" t="n">
        <f aca="false">+F446*0.03</f>
        <v>0</v>
      </c>
      <c r="F446" s="33" t="n">
        <v>0</v>
      </c>
      <c r="G446" s="62"/>
      <c r="H446" s="35" t="n">
        <v>0</v>
      </c>
      <c r="I446" s="34" t="n">
        <f aca="false">+IF(E446=0,0,E446*0.03)</f>
        <v>0</v>
      </c>
    </row>
    <row r="447" customFormat="false" ht="15.75" hidden="false" customHeight="true" outlineLevel="0" collapsed="false">
      <c r="A447" s="30" t="n">
        <v>45444</v>
      </c>
      <c r="B447" s="31" t="s">
        <v>153</v>
      </c>
      <c r="C447" s="32"/>
      <c r="D447" s="32"/>
      <c r="E447" s="19" t="n">
        <f aca="false">+F447*0.03</f>
        <v>0</v>
      </c>
      <c r="F447" s="33" t="n">
        <v>0</v>
      </c>
      <c r="G447" s="62"/>
      <c r="H447" s="35" t="n">
        <v>0</v>
      </c>
      <c r="I447" s="34" t="n">
        <f aca="false">+IF(E447=0,0,E447*0.03)</f>
        <v>0</v>
      </c>
    </row>
    <row r="448" customFormat="false" ht="15.75" hidden="false" customHeight="true" outlineLevel="0" collapsed="false">
      <c r="A448" s="30" t="n">
        <v>45444</v>
      </c>
      <c r="B448" s="31" t="s">
        <v>153</v>
      </c>
      <c r="C448" s="32"/>
      <c r="D448" s="32"/>
      <c r="E448" s="19" t="n">
        <f aca="false">+F448*0.03</f>
        <v>0</v>
      </c>
      <c r="F448" s="33" t="n">
        <v>0</v>
      </c>
      <c r="G448" s="62"/>
      <c r="H448" s="35" t="n">
        <v>0</v>
      </c>
      <c r="I448" s="34" t="n">
        <f aca="false">+IF(E448=0,0,E448*0.03)</f>
        <v>0</v>
      </c>
    </row>
    <row r="449" customFormat="false" ht="15.75" hidden="false" customHeight="true" outlineLevel="0" collapsed="false">
      <c r="A449" s="30" t="n">
        <v>45444</v>
      </c>
      <c r="B449" s="31" t="s">
        <v>153</v>
      </c>
      <c r="C449" s="32"/>
      <c r="D449" s="32"/>
      <c r="E449" s="19" t="n">
        <f aca="false">+F449*0.03</f>
        <v>0</v>
      </c>
      <c r="F449" s="33" t="n">
        <v>0</v>
      </c>
      <c r="G449" s="62"/>
      <c r="H449" s="35" t="n">
        <v>0</v>
      </c>
      <c r="I449" s="34" t="n">
        <f aca="false">+IF(E449=0,0,E449*0.03)</f>
        <v>0</v>
      </c>
    </row>
    <row r="450" customFormat="false" ht="15.75" hidden="false" customHeight="true" outlineLevel="0" collapsed="false">
      <c r="A450" s="30" t="n">
        <v>45444</v>
      </c>
      <c r="B450" s="31" t="s">
        <v>153</v>
      </c>
      <c r="C450" s="32"/>
      <c r="D450" s="32"/>
      <c r="E450" s="19" t="n">
        <f aca="false">+F450*0.03</f>
        <v>0</v>
      </c>
      <c r="F450" s="33" t="n">
        <v>0</v>
      </c>
      <c r="G450" s="62"/>
      <c r="H450" s="35" t="n">
        <v>0</v>
      </c>
      <c r="I450" s="34" t="n">
        <f aca="false">+IF(E450=0,0,E450*0.03)</f>
        <v>0</v>
      </c>
    </row>
    <row r="451" customFormat="false" ht="15.75" hidden="false" customHeight="true" outlineLevel="0" collapsed="false">
      <c r="A451" s="30" t="n">
        <v>45444</v>
      </c>
      <c r="B451" s="31" t="s">
        <v>153</v>
      </c>
      <c r="C451" s="32"/>
      <c r="D451" s="32"/>
      <c r="E451" s="19" t="n">
        <f aca="false">+F451*0.03</f>
        <v>0</v>
      </c>
      <c r="F451" s="33" t="n">
        <v>0</v>
      </c>
      <c r="G451" s="62"/>
      <c r="H451" s="35" t="n">
        <v>0</v>
      </c>
      <c r="I451" s="34" t="n">
        <f aca="false">+IF(E451=0,0,E451*0.03)</f>
        <v>0</v>
      </c>
    </row>
    <row r="452" customFormat="false" ht="15.75" hidden="false" customHeight="true" outlineLevel="0" collapsed="false">
      <c r="A452" s="30" t="n">
        <v>45444</v>
      </c>
      <c r="B452" s="31" t="s">
        <v>153</v>
      </c>
      <c r="C452" s="32"/>
      <c r="D452" s="32"/>
      <c r="E452" s="19" t="n">
        <f aca="false">+F452*0.03</f>
        <v>0</v>
      </c>
      <c r="F452" s="33" t="n">
        <v>0</v>
      </c>
      <c r="G452" s="62"/>
      <c r="H452" s="35" t="n">
        <v>0</v>
      </c>
      <c r="I452" s="34" t="n">
        <f aca="false">+IF(E452=0,0,E452*0.03)</f>
        <v>0</v>
      </c>
    </row>
    <row r="453" customFormat="false" ht="15.75" hidden="false" customHeight="true" outlineLevel="0" collapsed="false">
      <c r="A453" s="30" t="n">
        <v>45444</v>
      </c>
      <c r="B453" s="31" t="s">
        <v>153</v>
      </c>
      <c r="C453" s="32"/>
      <c r="D453" s="32"/>
      <c r="E453" s="19" t="n">
        <f aca="false">+F453*0.03</f>
        <v>0</v>
      </c>
      <c r="F453" s="33" t="n">
        <v>0</v>
      </c>
      <c r="G453" s="62"/>
      <c r="H453" s="35" t="n">
        <v>0</v>
      </c>
      <c r="I453" s="34" t="n">
        <f aca="false">+IF(E453=0,0,E453*0.03)</f>
        <v>0</v>
      </c>
    </row>
    <row r="454" customFormat="false" ht="15.75" hidden="false" customHeight="true" outlineLevel="0" collapsed="false">
      <c r="A454" s="30" t="n">
        <v>45444</v>
      </c>
      <c r="B454" s="31" t="s">
        <v>153</v>
      </c>
      <c r="C454" s="32"/>
      <c r="D454" s="32"/>
      <c r="E454" s="19" t="n">
        <f aca="false">+F454*0.03</f>
        <v>0</v>
      </c>
      <c r="F454" s="33" t="n">
        <v>0</v>
      </c>
      <c r="G454" s="62"/>
      <c r="H454" s="35" t="n">
        <v>0</v>
      </c>
      <c r="I454" s="34" t="n">
        <f aca="false">+IF(E454=0,0,E454*0.03)</f>
        <v>0</v>
      </c>
    </row>
    <row r="455" customFormat="false" ht="15.75" hidden="false" customHeight="true" outlineLevel="0" collapsed="false">
      <c r="A455" s="30" t="n">
        <v>45444</v>
      </c>
      <c r="B455" s="31" t="s">
        <v>153</v>
      </c>
      <c r="C455" s="32"/>
      <c r="D455" s="32"/>
      <c r="E455" s="19" t="n">
        <f aca="false">+F455*0.03</f>
        <v>0</v>
      </c>
      <c r="F455" s="33" t="n">
        <v>0</v>
      </c>
      <c r="G455" s="62"/>
      <c r="H455" s="35" t="n">
        <v>0</v>
      </c>
      <c r="I455" s="34" t="n">
        <f aca="false">+IF(E455=0,0,E455*0.03)</f>
        <v>0</v>
      </c>
    </row>
    <row r="456" customFormat="false" ht="15.75" hidden="false" customHeight="true" outlineLevel="0" collapsed="false">
      <c r="A456" s="30" t="n">
        <v>45444</v>
      </c>
      <c r="B456" s="31" t="s">
        <v>153</v>
      </c>
      <c r="C456" s="32"/>
      <c r="D456" s="32"/>
      <c r="E456" s="19" t="n">
        <f aca="false">+F456*0.03</f>
        <v>0</v>
      </c>
      <c r="F456" s="33" t="n">
        <v>0</v>
      </c>
      <c r="G456" s="62"/>
      <c r="H456" s="35" t="n">
        <v>0</v>
      </c>
      <c r="I456" s="34" t="n">
        <f aca="false">+IF(E456=0,0,E456*0.03)</f>
        <v>0</v>
      </c>
    </row>
    <row r="457" customFormat="false" ht="15.75" hidden="false" customHeight="true" outlineLevel="0" collapsed="false">
      <c r="A457" s="30" t="n">
        <v>45444</v>
      </c>
      <c r="B457" s="31" t="s">
        <v>153</v>
      </c>
      <c r="C457" s="32"/>
      <c r="D457" s="32"/>
      <c r="E457" s="19" t="n">
        <f aca="false">+F457*0.03</f>
        <v>0</v>
      </c>
      <c r="F457" s="33" t="n">
        <v>0</v>
      </c>
      <c r="G457" s="62"/>
      <c r="H457" s="35" t="n">
        <v>0</v>
      </c>
      <c r="I457" s="34" t="n">
        <f aca="false">+IF(E457=0,0,E457*0.03)</f>
        <v>0</v>
      </c>
    </row>
    <row r="458" customFormat="false" ht="15.75" hidden="false" customHeight="true" outlineLevel="0" collapsed="false">
      <c r="A458" s="30" t="n">
        <v>45444</v>
      </c>
      <c r="B458" s="31" t="s">
        <v>153</v>
      </c>
      <c r="C458" s="32"/>
      <c r="D458" s="32"/>
      <c r="E458" s="19" t="n">
        <f aca="false">+F458*0.03</f>
        <v>0</v>
      </c>
      <c r="F458" s="33" t="n">
        <v>0</v>
      </c>
      <c r="G458" s="62"/>
      <c r="H458" s="35" t="n">
        <v>0</v>
      </c>
      <c r="I458" s="34" t="n">
        <f aca="false">+IF(E458=0,0,E458*0.03)</f>
        <v>0</v>
      </c>
    </row>
    <row r="459" customFormat="false" ht="15.75" hidden="false" customHeight="true" outlineLevel="0" collapsed="false">
      <c r="A459" s="30" t="n">
        <v>45444</v>
      </c>
      <c r="B459" s="31" t="s">
        <v>153</v>
      </c>
      <c r="C459" s="32"/>
      <c r="D459" s="32"/>
      <c r="E459" s="19" t="n">
        <f aca="false">+F459*0.03</f>
        <v>0</v>
      </c>
      <c r="F459" s="33" t="n">
        <v>0</v>
      </c>
      <c r="G459" s="62"/>
      <c r="H459" s="35" t="n">
        <v>0</v>
      </c>
      <c r="I459" s="34" t="n">
        <f aca="false">+IF(E459=0,0,E459*0.03)</f>
        <v>0</v>
      </c>
    </row>
    <row r="460" customFormat="false" ht="15.75" hidden="false" customHeight="true" outlineLevel="0" collapsed="false">
      <c r="A460" s="30" t="n">
        <v>45444</v>
      </c>
      <c r="B460" s="31" t="s">
        <v>153</v>
      </c>
      <c r="C460" s="32"/>
      <c r="D460" s="32"/>
      <c r="E460" s="19" t="n">
        <f aca="false">+F460*0.03</f>
        <v>0</v>
      </c>
      <c r="F460" s="33" t="n">
        <v>0</v>
      </c>
      <c r="G460" s="62"/>
      <c r="H460" s="35" t="n">
        <v>0</v>
      </c>
      <c r="I460" s="34" t="n">
        <f aca="false">+IF(E460=0,0,E460*0.03)</f>
        <v>0</v>
      </c>
    </row>
    <row r="461" customFormat="false" ht="15.75" hidden="false" customHeight="true" outlineLevel="0" collapsed="false">
      <c r="A461" s="30" t="n">
        <v>45444</v>
      </c>
      <c r="B461" s="31" t="s">
        <v>153</v>
      </c>
      <c r="C461" s="32"/>
      <c r="D461" s="32"/>
      <c r="E461" s="19" t="n">
        <f aca="false">+F461*0.03</f>
        <v>0</v>
      </c>
      <c r="F461" s="33" t="n">
        <v>0</v>
      </c>
      <c r="G461" s="62"/>
      <c r="H461" s="35" t="n">
        <v>0</v>
      </c>
      <c r="I461" s="34" t="n">
        <f aca="false">+IF(E461=0,0,E461*0.03)</f>
        <v>0</v>
      </c>
    </row>
    <row r="462" customFormat="false" ht="15.75" hidden="false" customHeight="true" outlineLevel="0" collapsed="false">
      <c r="A462" s="30" t="n">
        <v>45444</v>
      </c>
      <c r="B462" s="31" t="s">
        <v>153</v>
      </c>
      <c r="C462" s="32"/>
      <c r="D462" s="32"/>
      <c r="E462" s="19" t="n">
        <f aca="false">+F462*0.03</f>
        <v>0</v>
      </c>
      <c r="F462" s="33" t="n">
        <v>0</v>
      </c>
      <c r="G462" s="62"/>
      <c r="H462" s="35" t="n">
        <v>0</v>
      </c>
      <c r="I462" s="34" t="n">
        <f aca="false">+IF(E462=0,0,E462*0.03)</f>
        <v>0</v>
      </c>
    </row>
    <row r="463" customFormat="false" ht="15.75" hidden="false" customHeight="true" outlineLevel="0" collapsed="false">
      <c r="A463" s="30" t="n">
        <v>45444</v>
      </c>
      <c r="B463" s="31" t="s">
        <v>153</v>
      </c>
      <c r="C463" s="32"/>
      <c r="D463" s="32"/>
      <c r="E463" s="19" t="n">
        <f aca="false">+F463*0.03</f>
        <v>0</v>
      </c>
      <c r="F463" s="33" t="n">
        <v>0</v>
      </c>
      <c r="G463" s="62"/>
      <c r="H463" s="35" t="n">
        <v>0</v>
      </c>
      <c r="I463" s="34" t="n">
        <f aca="false">+IF(E463=0,0,E463*0.03)</f>
        <v>0</v>
      </c>
    </row>
    <row r="464" customFormat="false" ht="15.75" hidden="false" customHeight="true" outlineLevel="0" collapsed="false">
      <c r="A464" s="30" t="n">
        <v>45444</v>
      </c>
      <c r="B464" s="31" t="s">
        <v>153</v>
      </c>
      <c r="C464" s="32"/>
      <c r="D464" s="32"/>
      <c r="E464" s="19" t="n">
        <f aca="false">+F464*0.03</f>
        <v>0</v>
      </c>
      <c r="F464" s="33" t="n">
        <v>0</v>
      </c>
      <c r="G464" s="62"/>
      <c r="H464" s="35" t="n">
        <v>0</v>
      </c>
      <c r="I464" s="34" t="n">
        <f aca="false">+IF(E464=0,0,E464*0.03)</f>
        <v>0</v>
      </c>
    </row>
    <row r="465" customFormat="false" ht="15.75" hidden="false" customHeight="true" outlineLevel="0" collapsed="false">
      <c r="A465" s="30" t="n">
        <v>45444</v>
      </c>
      <c r="B465" s="31" t="s">
        <v>153</v>
      </c>
      <c r="C465" s="32"/>
      <c r="D465" s="32"/>
      <c r="E465" s="19" t="n">
        <f aca="false">+F465*0.03</f>
        <v>0</v>
      </c>
      <c r="F465" s="33" t="n">
        <v>0</v>
      </c>
      <c r="G465" s="62"/>
      <c r="H465" s="35" t="n">
        <v>0</v>
      </c>
      <c r="I465" s="34" t="n">
        <f aca="false">+IF(E465=0,0,E465*0.03)</f>
        <v>0</v>
      </c>
    </row>
    <row r="466" customFormat="false" ht="15.75" hidden="false" customHeight="true" outlineLevel="0" collapsed="false">
      <c r="A466" s="30" t="n">
        <v>45444</v>
      </c>
      <c r="B466" s="31" t="s">
        <v>153</v>
      </c>
      <c r="C466" s="32"/>
      <c r="D466" s="32"/>
      <c r="E466" s="19" t="n">
        <f aca="false">+F466*0.03</f>
        <v>0</v>
      </c>
      <c r="F466" s="33" t="n">
        <v>0</v>
      </c>
      <c r="G466" s="62"/>
      <c r="H466" s="35" t="n">
        <v>0</v>
      </c>
      <c r="I466" s="34" t="n">
        <f aca="false">+IF(E466=0,0,E466*0.03)</f>
        <v>0</v>
      </c>
    </row>
    <row r="467" customFormat="false" ht="15.75" hidden="false" customHeight="true" outlineLevel="0" collapsed="false">
      <c r="A467" s="30" t="n">
        <v>45444</v>
      </c>
      <c r="B467" s="31" t="s">
        <v>153</v>
      </c>
      <c r="C467" s="32"/>
      <c r="D467" s="32"/>
      <c r="E467" s="19" t="n">
        <f aca="false">+F467*0.03</f>
        <v>0</v>
      </c>
      <c r="F467" s="33" t="n">
        <v>0</v>
      </c>
      <c r="G467" s="62"/>
      <c r="H467" s="35" t="n">
        <v>0</v>
      </c>
      <c r="I467" s="34" t="n">
        <f aca="false">+IF(E467=0,0,E467*0.03)</f>
        <v>0</v>
      </c>
    </row>
    <row r="468" customFormat="false" ht="15.75" hidden="false" customHeight="true" outlineLevel="0" collapsed="false">
      <c r="A468" s="30" t="n">
        <v>45444</v>
      </c>
      <c r="B468" s="31" t="s">
        <v>153</v>
      </c>
      <c r="C468" s="32"/>
      <c r="D468" s="32"/>
      <c r="E468" s="19" t="n">
        <f aca="false">+F468*0.03</f>
        <v>0</v>
      </c>
      <c r="F468" s="33" t="n">
        <v>0</v>
      </c>
      <c r="G468" s="62"/>
      <c r="H468" s="35" t="n">
        <v>0</v>
      </c>
      <c r="I468" s="34" t="n">
        <f aca="false">+IF(E468=0,0,E468*0.03)</f>
        <v>0</v>
      </c>
    </row>
    <row r="469" customFormat="false" ht="15.75" hidden="false" customHeight="true" outlineLevel="0" collapsed="false">
      <c r="A469" s="30" t="n">
        <v>45444</v>
      </c>
      <c r="B469" s="31" t="s">
        <v>153</v>
      </c>
      <c r="C469" s="32"/>
      <c r="D469" s="32"/>
      <c r="E469" s="19" t="n">
        <f aca="false">+F469*0.03</f>
        <v>0</v>
      </c>
      <c r="F469" s="33" t="n">
        <v>0</v>
      </c>
      <c r="G469" s="62"/>
      <c r="H469" s="35" t="n">
        <v>0</v>
      </c>
      <c r="I469" s="34" t="n">
        <f aca="false">+IF(E469=0,0,E469*0.03)</f>
        <v>0</v>
      </c>
    </row>
    <row r="470" customFormat="false" ht="15.75" hidden="false" customHeight="true" outlineLevel="0" collapsed="false">
      <c r="A470" s="30" t="n">
        <v>45444</v>
      </c>
      <c r="B470" s="31" t="s">
        <v>153</v>
      </c>
      <c r="C470" s="32"/>
      <c r="D470" s="32"/>
      <c r="E470" s="19" t="n">
        <f aca="false">+F470*0.03</f>
        <v>0</v>
      </c>
      <c r="F470" s="33" t="n">
        <v>0</v>
      </c>
      <c r="G470" s="62"/>
      <c r="H470" s="35" t="n">
        <v>0</v>
      </c>
      <c r="I470" s="34" t="n">
        <f aca="false">+IF(E470=0,0,E470*0.03)</f>
        <v>0</v>
      </c>
    </row>
    <row r="471" customFormat="false" ht="15.75" hidden="false" customHeight="true" outlineLevel="0" collapsed="false">
      <c r="A471" s="30" t="n">
        <v>45444</v>
      </c>
      <c r="B471" s="31" t="s">
        <v>153</v>
      </c>
      <c r="C471" s="32"/>
      <c r="D471" s="32"/>
      <c r="E471" s="19" t="n">
        <f aca="false">+F471*0.03</f>
        <v>0</v>
      </c>
      <c r="F471" s="33" t="n">
        <v>0</v>
      </c>
      <c r="G471" s="62"/>
      <c r="H471" s="35" t="n">
        <v>0</v>
      </c>
      <c r="I471" s="34" t="n">
        <f aca="false">+IF(E471=0,0,E471*0.03)</f>
        <v>0</v>
      </c>
    </row>
    <row r="472" customFormat="false" ht="15.75" hidden="false" customHeight="true" outlineLevel="0" collapsed="false">
      <c r="A472" s="30" t="n">
        <v>45444</v>
      </c>
      <c r="B472" s="31" t="s">
        <v>153</v>
      </c>
      <c r="C472" s="32"/>
      <c r="D472" s="32"/>
      <c r="E472" s="19" t="n">
        <f aca="false">+F472*0.03</f>
        <v>0</v>
      </c>
      <c r="F472" s="33" t="n">
        <v>0</v>
      </c>
      <c r="G472" s="62"/>
      <c r="H472" s="35" t="n">
        <v>0</v>
      </c>
      <c r="I472" s="34" t="n">
        <f aca="false">+IF(E472=0,0,E472*0.03)</f>
        <v>0</v>
      </c>
    </row>
    <row r="473" customFormat="false" ht="15.75" hidden="false" customHeight="true" outlineLevel="0" collapsed="false">
      <c r="A473" s="30" t="n">
        <v>45444</v>
      </c>
      <c r="B473" s="31" t="s">
        <v>153</v>
      </c>
      <c r="C473" s="32"/>
      <c r="D473" s="32"/>
      <c r="E473" s="19" t="n">
        <f aca="false">+F473*0.03</f>
        <v>0</v>
      </c>
      <c r="F473" s="33" t="n">
        <v>0</v>
      </c>
      <c r="G473" s="62"/>
      <c r="H473" s="35" t="n">
        <v>0</v>
      </c>
      <c r="I473" s="34" t="n">
        <f aca="false">+IF(E473=0,0,E473*0.03)</f>
        <v>0</v>
      </c>
    </row>
    <row r="474" customFormat="false" ht="15.75" hidden="false" customHeight="true" outlineLevel="0" collapsed="false">
      <c r="A474" s="30" t="n">
        <v>45444</v>
      </c>
      <c r="B474" s="31" t="s">
        <v>153</v>
      </c>
      <c r="C474" s="32"/>
      <c r="D474" s="32"/>
      <c r="E474" s="19" t="n">
        <f aca="false">+F474*0.03</f>
        <v>0</v>
      </c>
      <c r="F474" s="33" t="n">
        <v>0</v>
      </c>
      <c r="G474" s="62"/>
      <c r="H474" s="35" t="n">
        <v>0</v>
      </c>
      <c r="I474" s="34" t="n">
        <f aca="false">+IF(E474=0,0,E474*0.03)</f>
        <v>0</v>
      </c>
    </row>
    <row r="475" customFormat="false" ht="15.75" hidden="false" customHeight="true" outlineLevel="0" collapsed="false">
      <c r="A475" s="30" t="n">
        <v>45444</v>
      </c>
      <c r="B475" s="31" t="s">
        <v>153</v>
      </c>
      <c r="C475" s="32"/>
      <c r="D475" s="32"/>
      <c r="E475" s="19" t="n">
        <f aca="false">+F475*0.03</f>
        <v>0</v>
      </c>
      <c r="F475" s="33" t="n">
        <v>0</v>
      </c>
      <c r="G475" s="62"/>
      <c r="H475" s="35" t="n">
        <v>0</v>
      </c>
      <c r="I475" s="34" t="n">
        <f aca="false">+IF(E475=0,0,E475*0.03)</f>
        <v>0</v>
      </c>
    </row>
    <row r="476" customFormat="false" ht="15.75" hidden="false" customHeight="true" outlineLevel="0" collapsed="false">
      <c r="A476" s="30" t="n">
        <v>45444</v>
      </c>
      <c r="B476" s="31" t="s">
        <v>153</v>
      </c>
      <c r="C476" s="32"/>
      <c r="D476" s="32"/>
      <c r="E476" s="19" t="n">
        <f aca="false">+F476*0.03</f>
        <v>0</v>
      </c>
      <c r="F476" s="33" t="n">
        <v>0</v>
      </c>
      <c r="G476" s="62"/>
      <c r="H476" s="35" t="n">
        <v>0</v>
      </c>
      <c r="I476" s="34" t="n">
        <f aca="false">+IF(E476=0,0,E476*0.03)</f>
        <v>0</v>
      </c>
    </row>
    <row r="477" customFormat="false" ht="15.75" hidden="false" customHeight="true" outlineLevel="0" collapsed="false">
      <c r="A477" s="30" t="n">
        <v>45444</v>
      </c>
      <c r="B477" s="31" t="s">
        <v>153</v>
      </c>
      <c r="C477" s="32"/>
      <c r="D477" s="32"/>
      <c r="E477" s="19" t="n">
        <f aca="false">+F477*0.03</f>
        <v>0</v>
      </c>
      <c r="F477" s="33" t="n">
        <v>0</v>
      </c>
      <c r="G477" s="62"/>
      <c r="H477" s="35" t="n">
        <v>0</v>
      </c>
      <c r="I477" s="34" t="n">
        <f aca="false">+IF(E477=0,0,E477*0.03)</f>
        <v>0</v>
      </c>
    </row>
    <row r="478" customFormat="false" ht="15.75" hidden="false" customHeight="true" outlineLevel="0" collapsed="false">
      <c r="A478" s="30" t="n">
        <v>45444</v>
      </c>
      <c r="B478" s="31" t="s">
        <v>153</v>
      </c>
      <c r="C478" s="32"/>
      <c r="D478" s="32"/>
      <c r="E478" s="19" t="n">
        <f aca="false">+F478*0.03</f>
        <v>0</v>
      </c>
      <c r="F478" s="33" t="n">
        <v>0</v>
      </c>
      <c r="G478" s="62"/>
      <c r="H478" s="35" t="n">
        <v>0</v>
      </c>
      <c r="I478" s="34" t="n">
        <f aca="false">+IF(E478=0,0,E478*0.03)</f>
        <v>0</v>
      </c>
    </row>
    <row r="479" customFormat="false" ht="15.75" hidden="false" customHeight="true" outlineLevel="0" collapsed="false">
      <c r="A479" s="30" t="n">
        <v>45444</v>
      </c>
      <c r="B479" s="31" t="s">
        <v>153</v>
      </c>
      <c r="C479" s="32"/>
      <c r="D479" s="32"/>
      <c r="E479" s="19" t="n">
        <f aca="false">+F479*0.03</f>
        <v>0</v>
      </c>
      <c r="F479" s="33" t="n">
        <v>0</v>
      </c>
      <c r="G479" s="62"/>
      <c r="H479" s="35" t="n">
        <v>0</v>
      </c>
      <c r="I479" s="34" t="n">
        <f aca="false">+IF(E479=0,0,E479*0.03)</f>
        <v>0</v>
      </c>
    </row>
    <row r="480" customFormat="false" ht="15.75" hidden="false" customHeight="true" outlineLevel="0" collapsed="false">
      <c r="A480" s="30" t="n">
        <v>45444</v>
      </c>
      <c r="B480" s="31" t="s">
        <v>153</v>
      </c>
      <c r="C480" s="32"/>
      <c r="D480" s="32"/>
      <c r="E480" s="19" t="n">
        <f aca="false">+F480*0.03</f>
        <v>0</v>
      </c>
      <c r="F480" s="33" t="n">
        <v>0</v>
      </c>
      <c r="G480" s="62"/>
      <c r="H480" s="35" t="n">
        <v>0</v>
      </c>
      <c r="I480" s="34" t="n">
        <f aca="false">+IF(E480=0,0,E480*0.03)</f>
        <v>0</v>
      </c>
    </row>
    <row r="481" customFormat="false" ht="15.75" hidden="false" customHeight="true" outlineLevel="0" collapsed="false">
      <c r="A481" s="30" t="n">
        <v>45444</v>
      </c>
      <c r="B481" s="31" t="s">
        <v>153</v>
      </c>
      <c r="C481" s="32"/>
      <c r="D481" s="32"/>
      <c r="E481" s="19" t="n">
        <f aca="false">+F481*0.03</f>
        <v>0</v>
      </c>
      <c r="F481" s="33" t="n">
        <v>0</v>
      </c>
      <c r="G481" s="62"/>
      <c r="H481" s="35" t="n">
        <v>0</v>
      </c>
      <c r="I481" s="34" t="n">
        <f aca="false">+IF(E481=0,0,E481*0.03)</f>
        <v>0</v>
      </c>
    </row>
    <row r="482" customFormat="false" ht="15.75" hidden="false" customHeight="true" outlineLevel="0" collapsed="false">
      <c r="A482" s="30" t="n">
        <v>45444</v>
      </c>
      <c r="B482" s="31" t="s">
        <v>153</v>
      </c>
      <c r="C482" s="32"/>
      <c r="D482" s="32"/>
      <c r="E482" s="19" t="n">
        <f aca="false">+F482*0.03</f>
        <v>0</v>
      </c>
      <c r="F482" s="33" t="n">
        <v>0</v>
      </c>
      <c r="G482" s="62"/>
      <c r="H482" s="35" t="n">
        <v>0</v>
      </c>
      <c r="I482" s="34" t="n">
        <f aca="false">+IF(E482=0,0,E482*0.03)</f>
        <v>0</v>
      </c>
    </row>
    <row r="483" customFormat="false" ht="15.75" hidden="false" customHeight="true" outlineLevel="0" collapsed="false">
      <c r="A483" s="30" t="n">
        <v>45444</v>
      </c>
      <c r="B483" s="31" t="s">
        <v>153</v>
      </c>
      <c r="C483" s="32"/>
      <c r="D483" s="32"/>
      <c r="E483" s="19" t="n">
        <f aca="false">+F483*0.03</f>
        <v>0</v>
      </c>
      <c r="F483" s="33" t="n">
        <v>0</v>
      </c>
      <c r="G483" s="62"/>
      <c r="H483" s="35" t="n">
        <v>0</v>
      </c>
      <c r="I483" s="34" t="n">
        <f aca="false">+IF(E483=0,0,E483*0.03)</f>
        <v>0</v>
      </c>
    </row>
    <row r="484" customFormat="false" ht="15.75" hidden="false" customHeight="true" outlineLevel="0" collapsed="false">
      <c r="A484" s="30" t="n">
        <v>45444</v>
      </c>
      <c r="B484" s="31" t="s">
        <v>153</v>
      </c>
      <c r="C484" s="32"/>
      <c r="D484" s="32"/>
      <c r="E484" s="19" t="n">
        <f aca="false">+F484*0.03</f>
        <v>0</v>
      </c>
      <c r="F484" s="33" t="n">
        <v>0</v>
      </c>
      <c r="G484" s="62"/>
      <c r="H484" s="35" t="n">
        <v>0</v>
      </c>
      <c r="I484" s="34" t="n">
        <f aca="false">+IF(E484=0,0,E484*0.03)</f>
        <v>0</v>
      </c>
    </row>
    <row r="485" customFormat="false" ht="15.75" hidden="false" customHeight="true" outlineLevel="0" collapsed="false">
      <c r="A485" s="30" t="n">
        <v>45444</v>
      </c>
      <c r="B485" s="31" t="s">
        <v>153</v>
      </c>
      <c r="C485" s="32"/>
      <c r="D485" s="32"/>
      <c r="E485" s="19" t="n">
        <f aca="false">+F485*0.03</f>
        <v>0</v>
      </c>
      <c r="F485" s="33" t="n">
        <v>0</v>
      </c>
      <c r="G485" s="62"/>
      <c r="H485" s="35" t="n">
        <v>0</v>
      </c>
      <c r="I485" s="34" t="n">
        <f aca="false">+IF(E485=0,0,E485*0.03)</f>
        <v>0</v>
      </c>
    </row>
    <row r="486" customFormat="false" ht="15.75" hidden="false" customHeight="true" outlineLevel="0" collapsed="false">
      <c r="A486" s="30" t="n">
        <v>45444</v>
      </c>
      <c r="B486" s="31" t="s">
        <v>153</v>
      </c>
      <c r="C486" s="32"/>
      <c r="D486" s="32"/>
      <c r="E486" s="19" t="n">
        <f aca="false">+F486*0.03</f>
        <v>0</v>
      </c>
      <c r="F486" s="33" t="n">
        <v>0</v>
      </c>
      <c r="G486" s="62"/>
      <c r="H486" s="35" t="n">
        <v>0</v>
      </c>
      <c r="I486" s="34" t="n">
        <f aca="false">+IF(E486=0,0,E486*0.03)</f>
        <v>0</v>
      </c>
    </row>
    <row r="487" customFormat="false" ht="15.75" hidden="false" customHeight="true" outlineLevel="0" collapsed="false">
      <c r="A487" s="30" t="n">
        <v>45444</v>
      </c>
      <c r="B487" s="31" t="s">
        <v>153</v>
      </c>
      <c r="C487" s="32"/>
      <c r="D487" s="32"/>
      <c r="E487" s="19" t="n">
        <f aca="false">+F487*0.03</f>
        <v>0</v>
      </c>
      <c r="F487" s="33" t="n">
        <v>0</v>
      </c>
      <c r="G487" s="62"/>
      <c r="H487" s="35" t="n">
        <v>0</v>
      </c>
      <c r="I487" s="34" t="n">
        <f aca="false">+IF(E487=0,0,E487*0.03)</f>
        <v>0</v>
      </c>
    </row>
    <row r="488" customFormat="false" ht="15.75" hidden="false" customHeight="true" outlineLevel="0" collapsed="false">
      <c r="A488" s="30" t="n">
        <v>45444</v>
      </c>
      <c r="B488" s="31" t="s">
        <v>153</v>
      </c>
      <c r="C488" s="32"/>
      <c r="D488" s="32"/>
      <c r="E488" s="19" t="n">
        <f aca="false">+F488*0.03</f>
        <v>0</v>
      </c>
      <c r="F488" s="33" t="n">
        <v>0</v>
      </c>
      <c r="G488" s="62"/>
      <c r="H488" s="35" t="n">
        <v>0</v>
      </c>
      <c r="I488" s="34" t="n">
        <f aca="false">+IF(E488=0,0,E488*0.03)</f>
        <v>0</v>
      </c>
    </row>
    <row r="489" customFormat="false" ht="15.75" hidden="false" customHeight="true" outlineLevel="0" collapsed="false">
      <c r="A489" s="30" t="n">
        <v>45444</v>
      </c>
      <c r="B489" s="31" t="s">
        <v>153</v>
      </c>
      <c r="C489" s="32"/>
      <c r="D489" s="32"/>
      <c r="E489" s="19" t="n">
        <f aca="false">+F489*0.03</f>
        <v>0</v>
      </c>
      <c r="F489" s="33" t="n">
        <v>0</v>
      </c>
      <c r="G489" s="62"/>
      <c r="H489" s="35" t="n">
        <v>0</v>
      </c>
      <c r="I489" s="34" t="n">
        <f aca="false">+IF(E489=0,0,E489*0.03)</f>
        <v>0</v>
      </c>
    </row>
    <row r="490" customFormat="false" ht="15.75" hidden="false" customHeight="true" outlineLevel="0" collapsed="false">
      <c r="A490" s="30" t="n">
        <v>45444</v>
      </c>
      <c r="B490" s="31" t="s">
        <v>153</v>
      </c>
      <c r="C490" s="32"/>
      <c r="D490" s="32"/>
      <c r="E490" s="19" t="n">
        <f aca="false">+F490*0.03</f>
        <v>0</v>
      </c>
      <c r="F490" s="33" t="n">
        <v>0</v>
      </c>
      <c r="G490" s="62"/>
      <c r="H490" s="35" t="n">
        <v>0</v>
      </c>
      <c r="I490" s="34" t="n">
        <f aca="false">+IF(E490=0,0,E490*0.03)</f>
        <v>0</v>
      </c>
    </row>
    <row r="491" customFormat="false" ht="15.75" hidden="false" customHeight="true" outlineLevel="0" collapsed="false">
      <c r="A491" s="30" t="n">
        <v>45444</v>
      </c>
      <c r="B491" s="31" t="s">
        <v>153</v>
      </c>
      <c r="C491" s="32"/>
      <c r="D491" s="32"/>
      <c r="E491" s="19" t="n">
        <f aca="false">+F491*0.03</f>
        <v>0</v>
      </c>
      <c r="F491" s="33" t="n">
        <v>0</v>
      </c>
      <c r="G491" s="62"/>
      <c r="H491" s="35" t="n">
        <v>0</v>
      </c>
      <c r="I491" s="34" t="n">
        <f aca="false">+IF(E491=0,0,E491*0.03)</f>
        <v>0</v>
      </c>
    </row>
    <row r="492" customFormat="false" ht="15.75" hidden="false" customHeight="true" outlineLevel="0" collapsed="false">
      <c r="A492" s="30" t="n">
        <v>45444</v>
      </c>
      <c r="B492" s="31" t="s">
        <v>153</v>
      </c>
      <c r="C492" s="32"/>
      <c r="D492" s="32"/>
      <c r="E492" s="19" t="n">
        <f aca="false">+F492*0.03</f>
        <v>0</v>
      </c>
      <c r="F492" s="33" t="n">
        <v>0</v>
      </c>
      <c r="G492" s="62"/>
      <c r="H492" s="35" t="n">
        <v>0</v>
      </c>
      <c r="I492" s="34" t="n">
        <f aca="false">+IF(E492=0,0,E492*0.03)</f>
        <v>0</v>
      </c>
    </row>
    <row r="493" customFormat="false" ht="15.75" hidden="false" customHeight="true" outlineLevel="0" collapsed="false">
      <c r="A493" s="30" t="n">
        <v>45444</v>
      </c>
      <c r="B493" s="31" t="s">
        <v>153</v>
      </c>
      <c r="C493" s="32"/>
      <c r="D493" s="32"/>
      <c r="E493" s="19" t="n">
        <f aca="false">+F493*0.03</f>
        <v>0</v>
      </c>
      <c r="F493" s="33" t="n">
        <v>0</v>
      </c>
      <c r="G493" s="62"/>
      <c r="H493" s="35" t="n">
        <v>0</v>
      </c>
      <c r="I493" s="34" t="n">
        <f aca="false">+IF(E493=0,0,E493*0.03)</f>
        <v>0</v>
      </c>
    </row>
    <row r="494" customFormat="false" ht="15.75" hidden="false" customHeight="true" outlineLevel="0" collapsed="false">
      <c r="A494" s="30" t="n">
        <v>45444</v>
      </c>
      <c r="B494" s="31" t="s">
        <v>153</v>
      </c>
      <c r="C494" s="32"/>
      <c r="D494" s="32"/>
      <c r="E494" s="19" t="n">
        <f aca="false">+F494*0.03</f>
        <v>0</v>
      </c>
      <c r="F494" s="33" t="n">
        <v>0</v>
      </c>
      <c r="G494" s="62"/>
      <c r="H494" s="35" t="n">
        <v>0</v>
      </c>
      <c r="I494" s="34" t="n">
        <f aca="false">+IF(E494=0,0,E494*0.03)</f>
        <v>0</v>
      </c>
    </row>
    <row r="495" customFormat="false" ht="15.75" hidden="false" customHeight="true" outlineLevel="0" collapsed="false">
      <c r="A495" s="30" t="n">
        <v>45444</v>
      </c>
      <c r="B495" s="31" t="s">
        <v>153</v>
      </c>
      <c r="C495" s="32"/>
      <c r="D495" s="32"/>
      <c r="E495" s="19" t="n">
        <f aca="false">+F495*0.03</f>
        <v>0</v>
      </c>
      <c r="F495" s="33" t="n">
        <v>0</v>
      </c>
      <c r="G495" s="62"/>
      <c r="H495" s="35" t="n">
        <v>0</v>
      </c>
      <c r="I495" s="34" t="n">
        <f aca="false">+IF(E495=0,0,E495*0.03)</f>
        <v>0</v>
      </c>
    </row>
    <row r="496" customFormat="false" ht="15.75" hidden="false" customHeight="true" outlineLevel="0" collapsed="false">
      <c r="A496" s="30" t="n">
        <v>45444</v>
      </c>
      <c r="B496" s="31" t="s">
        <v>153</v>
      </c>
      <c r="C496" s="32"/>
      <c r="D496" s="32"/>
      <c r="E496" s="19" t="n">
        <f aca="false">+F496*0.03</f>
        <v>0</v>
      </c>
      <c r="F496" s="33" t="n">
        <v>0</v>
      </c>
      <c r="G496" s="62"/>
      <c r="H496" s="35" t="n">
        <v>0</v>
      </c>
      <c r="I496" s="34" t="n">
        <f aca="false">+IF(E496=0,0,E496*0.03)</f>
        <v>0</v>
      </c>
    </row>
    <row r="497" customFormat="false" ht="15.75" hidden="false" customHeight="true" outlineLevel="0" collapsed="false">
      <c r="A497" s="30" t="n">
        <v>45444</v>
      </c>
      <c r="B497" s="31" t="s">
        <v>153</v>
      </c>
      <c r="C497" s="32"/>
      <c r="D497" s="32"/>
      <c r="E497" s="19" t="n">
        <f aca="false">+F497*0.03</f>
        <v>0</v>
      </c>
      <c r="F497" s="33" t="n">
        <v>0</v>
      </c>
      <c r="G497" s="62"/>
      <c r="H497" s="35" t="n">
        <v>0</v>
      </c>
      <c r="I497" s="34" t="n">
        <f aca="false">+IF(E497=0,0,E497*0.03)</f>
        <v>0</v>
      </c>
    </row>
    <row r="498" customFormat="false" ht="15.75" hidden="false" customHeight="true" outlineLevel="0" collapsed="false">
      <c r="A498" s="30" t="n">
        <v>45444</v>
      </c>
      <c r="B498" s="31" t="s">
        <v>153</v>
      </c>
      <c r="C498" s="32"/>
      <c r="D498" s="32"/>
      <c r="E498" s="19" t="n">
        <f aca="false">+F498*0.03</f>
        <v>0</v>
      </c>
      <c r="F498" s="33" t="n">
        <v>0</v>
      </c>
      <c r="G498" s="62"/>
      <c r="H498" s="35" t="n">
        <v>0</v>
      </c>
      <c r="I498" s="34" t="n">
        <f aca="false">+IF(E498=0,0,E498*0.03)</f>
        <v>0</v>
      </c>
    </row>
    <row r="499" customFormat="false" ht="15.75" hidden="false" customHeight="true" outlineLevel="0" collapsed="false">
      <c r="A499" s="30" t="n">
        <v>45444</v>
      </c>
      <c r="B499" s="31" t="s">
        <v>153</v>
      </c>
      <c r="C499" s="32"/>
      <c r="D499" s="32"/>
      <c r="E499" s="19" t="n">
        <f aca="false">+F499*0.03</f>
        <v>0</v>
      </c>
      <c r="F499" s="33" t="n">
        <v>0</v>
      </c>
      <c r="G499" s="62"/>
      <c r="H499" s="35" t="n">
        <v>0</v>
      </c>
      <c r="I499" s="34" t="n">
        <f aca="false">+IF(E499=0,0,E499*0.03)</f>
        <v>0</v>
      </c>
    </row>
    <row r="500" customFormat="false" ht="15.75" hidden="false" customHeight="true" outlineLevel="0" collapsed="false">
      <c r="A500" s="30" t="n">
        <v>45444</v>
      </c>
      <c r="B500" s="31" t="s">
        <v>153</v>
      </c>
      <c r="C500" s="32"/>
      <c r="D500" s="32"/>
      <c r="E500" s="19" t="n">
        <f aca="false">+F500*0.03</f>
        <v>0</v>
      </c>
      <c r="F500" s="33" t="n">
        <v>0</v>
      </c>
      <c r="G500" s="62"/>
      <c r="H500" s="35" t="n">
        <v>0</v>
      </c>
      <c r="I500" s="34" t="n">
        <f aca="false">+IF(E500=0,0,E500*0.03)</f>
        <v>0</v>
      </c>
    </row>
    <row r="501" customFormat="false" ht="15.75" hidden="false" customHeight="true" outlineLevel="0" collapsed="false">
      <c r="A501" s="30" t="n">
        <v>45444</v>
      </c>
      <c r="B501" s="31" t="s">
        <v>153</v>
      </c>
      <c r="C501" s="32"/>
      <c r="D501" s="32"/>
      <c r="E501" s="19" t="n">
        <f aca="false">+F501*0.03</f>
        <v>0</v>
      </c>
      <c r="F501" s="33" t="n">
        <v>0</v>
      </c>
      <c r="G501" s="62"/>
      <c r="H501" s="35" t="n">
        <v>0</v>
      </c>
      <c r="I501" s="34" t="n">
        <f aca="false">+IF(E501=0,0,E501*0.03)</f>
        <v>0</v>
      </c>
    </row>
    <row r="502" customFormat="false" ht="15.75" hidden="false" customHeight="true" outlineLevel="0" collapsed="false">
      <c r="A502" s="30" t="n">
        <v>45444</v>
      </c>
      <c r="B502" s="31" t="s">
        <v>153</v>
      </c>
      <c r="C502" s="32"/>
      <c r="D502" s="32"/>
      <c r="E502" s="19" t="n">
        <f aca="false">+F502*0.03</f>
        <v>0</v>
      </c>
      <c r="F502" s="33" t="n">
        <v>0</v>
      </c>
      <c r="G502" s="62"/>
      <c r="H502" s="35" t="n">
        <v>0</v>
      </c>
      <c r="I502" s="34" t="n">
        <f aca="false">+IF(E502=0,0,E502*0.03)</f>
        <v>0</v>
      </c>
    </row>
    <row r="503" customFormat="false" ht="15.75" hidden="false" customHeight="true" outlineLevel="0" collapsed="false">
      <c r="A503" s="30" t="n">
        <v>45444</v>
      </c>
      <c r="B503" s="31" t="s">
        <v>153</v>
      </c>
      <c r="C503" s="32"/>
      <c r="D503" s="32"/>
      <c r="E503" s="19" t="n">
        <f aca="false">+F503*0.03</f>
        <v>0</v>
      </c>
      <c r="F503" s="33" t="n">
        <v>0</v>
      </c>
      <c r="G503" s="62"/>
      <c r="H503" s="35" t="n">
        <v>0</v>
      </c>
      <c r="I503" s="34" t="n">
        <f aca="false">+IF(E503=0,0,E503*0.03)</f>
        <v>0</v>
      </c>
    </row>
    <row r="504" customFormat="false" ht="15.75" hidden="false" customHeight="true" outlineLevel="0" collapsed="false">
      <c r="A504" s="30" t="n">
        <v>45444</v>
      </c>
      <c r="B504" s="31" t="s">
        <v>153</v>
      </c>
      <c r="C504" s="32"/>
      <c r="D504" s="32"/>
      <c r="E504" s="19" t="n">
        <f aca="false">+F504*0.03</f>
        <v>0</v>
      </c>
      <c r="F504" s="33" t="n">
        <v>0</v>
      </c>
      <c r="G504" s="62"/>
      <c r="H504" s="35" t="n">
        <v>0</v>
      </c>
      <c r="I504" s="34" t="n">
        <f aca="false">+IF(E504=0,0,E504*0.03)</f>
        <v>0</v>
      </c>
    </row>
    <row r="505" customFormat="false" ht="15.75" hidden="false" customHeight="true" outlineLevel="0" collapsed="false">
      <c r="A505" s="30" t="n">
        <v>45444</v>
      </c>
      <c r="B505" s="31" t="s">
        <v>153</v>
      </c>
      <c r="C505" s="32"/>
      <c r="D505" s="32"/>
      <c r="E505" s="19" t="n">
        <f aca="false">+F505*0.03</f>
        <v>0</v>
      </c>
      <c r="F505" s="33" t="n">
        <v>0</v>
      </c>
      <c r="G505" s="62"/>
      <c r="H505" s="35" t="n">
        <v>0</v>
      </c>
      <c r="I505" s="34" t="n">
        <f aca="false">+IF(E505=0,0,E505*0.03)</f>
        <v>0</v>
      </c>
    </row>
    <row r="506" customFormat="false" ht="15.75" hidden="false" customHeight="true" outlineLevel="0" collapsed="false">
      <c r="A506" s="30" t="n">
        <v>45444</v>
      </c>
      <c r="B506" s="31" t="s">
        <v>153</v>
      </c>
      <c r="C506" s="32"/>
      <c r="D506" s="32"/>
      <c r="E506" s="19" t="n">
        <f aca="false">+F506*0.03</f>
        <v>0</v>
      </c>
      <c r="F506" s="33" t="n">
        <v>0</v>
      </c>
      <c r="G506" s="62"/>
      <c r="H506" s="35" t="n">
        <v>0</v>
      </c>
      <c r="I506" s="34" t="n">
        <f aca="false">+IF(E506=0,0,E506*0.03)</f>
        <v>0</v>
      </c>
    </row>
    <row r="507" customFormat="false" ht="15.75" hidden="false" customHeight="true" outlineLevel="0" collapsed="false">
      <c r="A507" s="30" t="n">
        <v>45444</v>
      </c>
      <c r="B507" s="31" t="s">
        <v>153</v>
      </c>
      <c r="C507" s="32"/>
      <c r="D507" s="32"/>
      <c r="E507" s="19" t="n">
        <f aca="false">+F507*0.03</f>
        <v>0</v>
      </c>
      <c r="F507" s="33" t="n">
        <v>0</v>
      </c>
      <c r="G507" s="62"/>
      <c r="H507" s="35" t="n">
        <v>0</v>
      </c>
      <c r="I507" s="34" t="n">
        <f aca="false">+IF(E507=0,0,E507*0.03)</f>
        <v>0</v>
      </c>
    </row>
    <row r="508" customFormat="false" ht="15.75" hidden="false" customHeight="true" outlineLevel="0" collapsed="false">
      <c r="A508" s="30" t="n">
        <v>45444</v>
      </c>
      <c r="B508" s="31" t="s">
        <v>153</v>
      </c>
      <c r="C508" s="32"/>
      <c r="D508" s="32"/>
      <c r="E508" s="19" t="n">
        <f aca="false">+F508*0.03</f>
        <v>0</v>
      </c>
      <c r="F508" s="33" t="n">
        <v>0</v>
      </c>
      <c r="G508" s="62"/>
      <c r="H508" s="35" t="n">
        <v>0</v>
      </c>
      <c r="I508" s="34" t="n">
        <f aca="false">+IF(E508=0,0,E508*0.03)</f>
        <v>0</v>
      </c>
    </row>
    <row r="509" customFormat="false" ht="15.75" hidden="false" customHeight="true" outlineLevel="0" collapsed="false">
      <c r="A509" s="30" t="n">
        <v>45444</v>
      </c>
      <c r="B509" s="31" t="s">
        <v>153</v>
      </c>
      <c r="C509" s="32"/>
      <c r="D509" s="32"/>
      <c r="E509" s="19" t="n">
        <f aca="false">+F509*0.03</f>
        <v>0</v>
      </c>
      <c r="F509" s="33" t="n">
        <v>0</v>
      </c>
      <c r="G509" s="62"/>
      <c r="H509" s="35" t="n">
        <v>0</v>
      </c>
      <c r="I509" s="34" t="n">
        <f aca="false">+IF(E509=0,0,E509*0.03)</f>
        <v>0</v>
      </c>
    </row>
    <row r="510" customFormat="false" ht="15.75" hidden="false" customHeight="true" outlineLevel="0" collapsed="false">
      <c r="A510" s="30" t="n">
        <v>45444</v>
      </c>
      <c r="B510" s="31" t="s">
        <v>153</v>
      </c>
      <c r="C510" s="32"/>
      <c r="D510" s="32"/>
      <c r="E510" s="19" t="n">
        <f aca="false">+F510*0.03</f>
        <v>0</v>
      </c>
      <c r="F510" s="33" t="n">
        <v>0</v>
      </c>
      <c r="G510" s="62"/>
      <c r="H510" s="35" t="n">
        <v>0</v>
      </c>
      <c r="I510" s="34" t="n">
        <f aca="false">+IF(E510=0,0,E510*0.03)</f>
        <v>0</v>
      </c>
    </row>
    <row r="511" customFormat="false" ht="15.75" hidden="false" customHeight="true" outlineLevel="0" collapsed="false">
      <c r="A511" s="30" t="n">
        <v>45444</v>
      </c>
      <c r="B511" s="31" t="s">
        <v>153</v>
      </c>
      <c r="C511" s="32"/>
      <c r="D511" s="32"/>
      <c r="E511" s="19" t="n">
        <f aca="false">+F511*0.03</f>
        <v>0</v>
      </c>
      <c r="F511" s="33" t="n">
        <v>0</v>
      </c>
      <c r="G511" s="62"/>
      <c r="H511" s="35" t="n">
        <v>0</v>
      </c>
      <c r="I511" s="34" t="n">
        <f aca="false">+IF(E511=0,0,E511*0.03)</f>
        <v>0</v>
      </c>
    </row>
    <row r="512" customFormat="false" ht="15.75" hidden="false" customHeight="true" outlineLevel="0" collapsed="false">
      <c r="A512" s="30" t="n">
        <v>45444</v>
      </c>
      <c r="B512" s="31" t="s">
        <v>153</v>
      </c>
      <c r="C512" s="32"/>
      <c r="D512" s="32"/>
      <c r="E512" s="19" t="n">
        <f aca="false">+F512*0.03</f>
        <v>0</v>
      </c>
      <c r="F512" s="33" t="n">
        <v>0</v>
      </c>
      <c r="G512" s="62"/>
      <c r="H512" s="35" t="n">
        <v>0</v>
      </c>
      <c r="I512" s="34" t="n">
        <f aca="false">+IF(E512=0,0,E512*0.03)</f>
        <v>0</v>
      </c>
    </row>
    <row r="513" customFormat="false" ht="15.75" hidden="false" customHeight="true" outlineLevel="0" collapsed="false">
      <c r="A513" s="30" t="n">
        <v>45444</v>
      </c>
      <c r="B513" s="31" t="s">
        <v>153</v>
      </c>
      <c r="C513" s="32"/>
      <c r="D513" s="32"/>
      <c r="E513" s="19" t="n">
        <f aca="false">+F513*0.03</f>
        <v>0</v>
      </c>
      <c r="F513" s="33" t="n">
        <v>0</v>
      </c>
      <c r="G513" s="62"/>
      <c r="H513" s="35" t="n">
        <v>0</v>
      </c>
      <c r="I513" s="34" t="n">
        <f aca="false">+IF(E513=0,0,E513*0.03)</f>
        <v>0</v>
      </c>
    </row>
    <row r="514" customFormat="false" ht="15.75" hidden="false" customHeight="true" outlineLevel="0" collapsed="false">
      <c r="A514" s="30" t="n">
        <v>45444</v>
      </c>
      <c r="B514" s="31" t="s">
        <v>153</v>
      </c>
      <c r="C514" s="32"/>
      <c r="D514" s="32"/>
      <c r="E514" s="19" t="n">
        <f aca="false">+F514*0.03</f>
        <v>0</v>
      </c>
      <c r="F514" s="33" t="n">
        <v>0</v>
      </c>
      <c r="G514" s="62"/>
      <c r="H514" s="35" t="n">
        <v>0</v>
      </c>
      <c r="I514" s="34" t="n">
        <f aca="false">+IF(E514=0,0,E514*0.03)</f>
        <v>0</v>
      </c>
    </row>
    <row r="515" customFormat="false" ht="15.75" hidden="false" customHeight="true" outlineLevel="0" collapsed="false">
      <c r="A515" s="30" t="n">
        <v>45444</v>
      </c>
      <c r="B515" s="31" t="s">
        <v>153</v>
      </c>
      <c r="C515" s="32"/>
      <c r="D515" s="32"/>
      <c r="E515" s="19" t="n">
        <f aca="false">+F515*0.03</f>
        <v>0</v>
      </c>
      <c r="F515" s="33" t="n">
        <v>0</v>
      </c>
      <c r="G515" s="62"/>
      <c r="H515" s="35" t="n">
        <v>0</v>
      </c>
      <c r="I515" s="34" t="n">
        <f aca="false">+IF(E515=0,0,E515*0.03)</f>
        <v>0</v>
      </c>
    </row>
    <row r="516" customFormat="false" ht="15.75" hidden="false" customHeight="true" outlineLevel="0" collapsed="false">
      <c r="A516" s="30" t="n">
        <v>45444</v>
      </c>
      <c r="B516" s="31" t="s">
        <v>153</v>
      </c>
      <c r="C516" s="32"/>
      <c r="D516" s="32"/>
      <c r="E516" s="19" t="n">
        <f aca="false">+F516*0.03</f>
        <v>0</v>
      </c>
      <c r="F516" s="33" t="n">
        <v>0</v>
      </c>
      <c r="G516" s="62"/>
      <c r="H516" s="35" t="n">
        <v>0</v>
      </c>
      <c r="I516" s="34" t="n">
        <f aca="false">+IF(E516=0,0,E516*0.03)</f>
        <v>0</v>
      </c>
    </row>
    <row r="517" customFormat="false" ht="15.75" hidden="false" customHeight="true" outlineLevel="0" collapsed="false">
      <c r="A517" s="30" t="n">
        <v>45444</v>
      </c>
      <c r="B517" s="31" t="s">
        <v>153</v>
      </c>
      <c r="C517" s="32"/>
      <c r="D517" s="32"/>
      <c r="E517" s="19" t="n">
        <f aca="false">+F517*0.03</f>
        <v>0</v>
      </c>
      <c r="F517" s="33" t="n">
        <v>0</v>
      </c>
      <c r="G517" s="62"/>
      <c r="H517" s="35" t="n">
        <v>0</v>
      </c>
      <c r="I517" s="34" t="n">
        <f aca="false">+IF(E517=0,0,E517*0.03)</f>
        <v>0</v>
      </c>
    </row>
    <row r="518" customFormat="false" ht="15.75" hidden="false" customHeight="true" outlineLevel="0" collapsed="false">
      <c r="A518" s="30" t="n">
        <v>45444</v>
      </c>
      <c r="B518" s="31" t="s">
        <v>153</v>
      </c>
      <c r="C518" s="32"/>
      <c r="D518" s="32"/>
      <c r="E518" s="19" t="n">
        <f aca="false">+F518*0.03</f>
        <v>0</v>
      </c>
      <c r="F518" s="33" t="n">
        <v>0</v>
      </c>
      <c r="G518" s="62"/>
      <c r="H518" s="35" t="n">
        <v>0</v>
      </c>
      <c r="I518" s="34" t="n">
        <f aca="false">+IF(E518=0,0,E518*0.03)</f>
        <v>0</v>
      </c>
    </row>
    <row r="519" customFormat="false" ht="15.75" hidden="false" customHeight="true" outlineLevel="0" collapsed="false">
      <c r="A519" s="30" t="n">
        <v>45444</v>
      </c>
      <c r="B519" s="31" t="s">
        <v>153</v>
      </c>
      <c r="C519" s="32"/>
      <c r="D519" s="32"/>
      <c r="E519" s="19" t="n">
        <f aca="false">+F519*0.03</f>
        <v>0</v>
      </c>
      <c r="F519" s="33" t="n">
        <v>0</v>
      </c>
      <c r="G519" s="62"/>
      <c r="H519" s="35" t="n">
        <v>0</v>
      </c>
      <c r="I519" s="34" t="n">
        <f aca="false">+IF(E519=0,0,E519*0.03)</f>
        <v>0</v>
      </c>
    </row>
    <row r="520" customFormat="false" ht="15.75" hidden="false" customHeight="true" outlineLevel="0" collapsed="false">
      <c r="A520" s="30" t="n">
        <v>45444</v>
      </c>
      <c r="B520" s="31" t="s">
        <v>153</v>
      </c>
      <c r="C520" s="32"/>
      <c r="D520" s="32"/>
      <c r="E520" s="19" t="n">
        <f aca="false">+F520*0.03</f>
        <v>0</v>
      </c>
      <c r="F520" s="33" t="n">
        <v>0</v>
      </c>
      <c r="G520" s="62"/>
      <c r="H520" s="35" t="n">
        <v>0</v>
      </c>
      <c r="I520" s="34" t="n">
        <f aca="false">+IF(E520=0,0,E520*0.03)</f>
        <v>0</v>
      </c>
    </row>
    <row r="521" customFormat="false" ht="15.75" hidden="false" customHeight="true" outlineLevel="0" collapsed="false">
      <c r="A521" s="30" t="n">
        <v>45444</v>
      </c>
      <c r="B521" s="31" t="s">
        <v>153</v>
      </c>
      <c r="C521" s="32"/>
      <c r="D521" s="32"/>
      <c r="E521" s="19" t="n">
        <f aca="false">+F521*0.03</f>
        <v>0</v>
      </c>
      <c r="F521" s="33" t="n">
        <v>0</v>
      </c>
      <c r="G521" s="62"/>
      <c r="H521" s="35" t="n">
        <v>0</v>
      </c>
      <c r="I521" s="34" t="n">
        <f aca="false">+IF(E521=0,0,E521*0.03)</f>
        <v>0</v>
      </c>
    </row>
    <row r="522" customFormat="false" ht="15.75" hidden="false" customHeight="true" outlineLevel="0" collapsed="false">
      <c r="A522" s="30" t="n">
        <v>45444</v>
      </c>
      <c r="B522" s="31" t="s">
        <v>153</v>
      </c>
      <c r="C522" s="32"/>
      <c r="D522" s="32"/>
      <c r="E522" s="19" t="n">
        <f aca="false">+F522*0.03</f>
        <v>0</v>
      </c>
      <c r="F522" s="33" t="n">
        <v>0</v>
      </c>
      <c r="G522" s="62"/>
      <c r="H522" s="35" t="n">
        <v>0</v>
      </c>
      <c r="I522" s="34" t="n">
        <f aca="false">+IF(E522=0,0,E522*0.03)</f>
        <v>0</v>
      </c>
    </row>
    <row r="523" customFormat="false" ht="15.75" hidden="false" customHeight="true" outlineLevel="0" collapsed="false">
      <c r="A523" s="30" t="n">
        <v>45444</v>
      </c>
      <c r="B523" s="31" t="s">
        <v>153</v>
      </c>
      <c r="C523" s="32"/>
      <c r="D523" s="32"/>
      <c r="E523" s="19" t="n">
        <f aca="false">+F523*0.03</f>
        <v>0</v>
      </c>
      <c r="F523" s="33" t="n">
        <v>0</v>
      </c>
      <c r="G523" s="62"/>
      <c r="H523" s="35" t="n">
        <v>0</v>
      </c>
      <c r="I523" s="34" t="n">
        <f aca="false">+IF(E523=0,0,E523*0.03)</f>
        <v>0</v>
      </c>
    </row>
    <row r="524" customFormat="false" ht="15.75" hidden="false" customHeight="true" outlineLevel="0" collapsed="false">
      <c r="A524" s="30" t="n">
        <v>45444</v>
      </c>
      <c r="B524" s="31" t="s">
        <v>153</v>
      </c>
      <c r="C524" s="32"/>
      <c r="D524" s="32"/>
      <c r="E524" s="19" t="n">
        <f aca="false">+F524*0.03</f>
        <v>0</v>
      </c>
      <c r="F524" s="33" t="n">
        <v>0</v>
      </c>
      <c r="G524" s="62"/>
      <c r="H524" s="35" t="n">
        <v>0</v>
      </c>
      <c r="I524" s="34" t="n">
        <f aca="false">+IF(E524=0,0,E524*0.03)</f>
        <v>0</v>
      </c>
    </row>
    <row r="525" customFormat="false" ht="15.75" hidden="false" customHeight="true" outlineLevel="0" collapsed="false">
      <c r="A525" s="30" t="n">
        <v>45444</v>
      </c>
      <c r="B525" s="31" t="s">
        <v>153</v>
      </c>
      <c r="C525" s="32"/>
      <c r="D525" s="32"/>
      <c r="E525" s="19" t="n">
        <f aca="false">+F525*0.03</f>
        <v>0</v>
      </c>
      <c r="F525" s="33" t="n">
        <v>0</v>
      </c>
      <c r="G525" s="62"/>
      <c r="H525" s="35" t="n">
        <v>0</v>
      </c>
      <c r="I525" s="34" t="n">
        <f aca="false">+IF(E525=0,0,E525*0.03)</f>
        <v>0</v>
      </c>
    </row>
    <row r="526" customFormat="false" ht="15.75" hidden="false" customHeight="true" outlineLevel="0" collapsed="false">
      <c r="A526" s="30" t="n">
        <v>45444</v>
      </c>
      <c r="B526" s="31" t="s">
        <v>153</v>
      </c>
      <c r="C526" s="32"/>
      <c r="D526" s="32"/>
      <c r="E526" s="19" t="n">
        <f aca="false">+F526*0.03</f>
        <v>0</v>
      </c>
      <c r="F526" s="33" t="n">
        <v>0</v>
      </c>
      <c r="G526" s="62"/>
      <c r="H526" s="35" t="n">
        <v>0</v>
      </c>
      <c r="I526" s="34" t="n">
        <f aca="false">+IF(E526=0,0,E526*0.03)</f>
        <v>0</v>
      </c>
    </row>
    <row r="527" customFormat="false" ht="15.75" hidden="false" customHeight="true" outlineLevel="0" collapsed="false">
      <c r="A527" s="30" t="n">
        <v>45444</v>
      </c>
      <c r="B527" s="31" t="s">
        <v>153</v>
      </c>
      <c r="C527" s="32"/>
      <c r="D527" s="32"/>
      <c r="E527" s="19" t="n">
        <f aca="false">+F527*0.03</f>
        <v>0</v>
      </c>
      <c r="F527" s="33" t="n">
        <v>0</v>
      </c>
      <c r="G527" s="62"/>
      <c r="H527" s="35" t="n">
        <v>0</v>
      </c>
      <c r="I527" s="34" t="n">
        <f aca="false">+IF(E527=0,0,E527*0.03)</f>
        <v>0</v>
      </c>
    </row>
    <row r="528" customFormat="false" ht="15.75" hidden="false" customHeight="true" outlineLevel="0" collapsed="false">
      <c r="A528" s="30" t="n">
        <v>45444</v>
      </c>
      <c r="B528" s="31" t="s">
        <v>153</v>
      </c>
      <c r="C528" s="32"/>
      <c r="D528" s="32"/>
      <c r="E528" s="19" t="n">
        <f aca="false">+F528*0.03</f>
        <v>0</v>
      </c>
      <c r="F528" s="33" t="n">
        <v>0</v>
      </c>
      <c r="G528" s="62"/>
      <c r="H528" s="35" t="n">
        <v>0</v>
      </c>
      <c r="I528" s="34" t="n">
        <f aca="false">+IF(E528=0,0,E528*0.03)</f>
        <v>0</v>
      </c>
    </row>
    <row r="529" customFormat="false" ht="15.75" hidden="false" customHeight="true" outlineLevel="0" collapsed="false">
      <c r="A529" s="30" t="n">
        <v>45444</v>
      </c>
      <c r="B529" s="31" t="s">
        <v>153</v>
      </c>
      <c r="C529" s="32"/>
      <c r="D529" s="32"/>
      <c r="E529" s="19" t="n">
        <f aca="false">+F529*0.03</f>
        <v>0</v>
      </c>
      <c r="F529" s="33" t="n">
        <v>0</v>
      </c>
      <c r="G529" s="62"/>
      <c r="H529" s="35" t="n">
        <v>0</v>
      </c>
      <c r="I529" s="34" t="n">
        <f aca="false">+IF(E529=0,0,E529*0.03)</f>
        <v>0</v>
      </c>
    </row>
    <row r="530" customFormat="false" ht="15.75" hidden="false" customHeight="true" outlineLevel="0" collapsed="false">
      <c r="A530" s="30" t="n">
        <v>45444</v>
      </c>
      <c r="B530" s="31" t="s">
        <v>153</v>
      </c>
      <c r="C530" s="32"/>
      <c r="D530" s="32"/>
      <c r="E530" s="19" t="n">
        <f aca="false">+F530*0.03</f>
        <v>0</v>
      </c>
      <c r="F530" s="33" t="n">
        <v>0</v>
      </c>
      <c r="G530" s="62"/>
      <c r="H530" s="35" t="n">
        <v>0</v>
      </c>
      <c r="I530" s="34" t="n">
        <f aca="false">+IF(E530=0,0,E530*0.03)</f>
        <v>0</v>
      </c>
    </row>
    <row r="531" customFormat="false" ht="15.75" hidden="false" customHeight="true" outlineLevel="0" collapsed="false">
      <c r="A531" s="30" t="n">
        <v>45444</v>
      </c>
      <c r="B531" s="31" t="s">
        <v>153</v>
      </c>
      <c r="C531" s="32"/>
      <c r="D531" s="32"/>
      <c r="E531" s="19" t="n">
        <f aca="false">+F531*0.03</f>
        <v>0</v>
      </c>
      <c r="F531" s="33" t="n">
        <v>0</v>
      </c>
      <c r="G531" s="62"/>
      <c r="H531" s="35" t="n">
        <v>0</v>
      </c>
      <c r="I531" s="34" t="n">
        <f aca="false">+IF(E531=0,0,E531*0.03)</f>
        <v>0</v>
      </c>
    </row>
    <row r="532" customFormat="false" ht="15.75" hidden="false" customHeight="true" outlineLevel="0" collapsed="false">
      <c r="A532" s="30" t="n">
        <v>45444</v>
      </c>
      <c r="B532" s="31" t="s">
        <v>153</v>
      </c>
      <c r="C532" s="32"/>
      <c r="D532" s="32"/>
      <c r="E532" s="19" t="n">
        <f aca="false">+F532*0.03</f>
        <v>0</v>
      </c>
      <c r="F532" s="33" t="n">
        <v>0</v>
      </c>
      <c r="G532" s="62"/>
      <c r="H532" s="35" t="n">
        <v>0</v>
      </c>
      <c r="I532" s="34" t="n">
        <f aca="false">+IF(E532=0,0,E532*0.03)</f>
        <v>0</v>
      </c>
    </row>
    <row r="533" customFormat="false" ht="15.75" hidden="false" customHeight="true" outlineLevel="0" collapsed="false">
      <c r="A533" s="30" t="n">
        <v>45444</v>
      </c>
      <c r="B533" s="31" t="s">
        <v>153</v>
      </c>
      <c r="C533" s="32"/>
      <c r="D533" s="32"/>
      <c r="E533" s="19" t="n">
        <f aca="false">+F533*0.03</f>
        <v>0</v>
      </c>
      <c r="F533" s="33" t="n">
        <v>0</v>
      </c>
      <c r="G533" s="62"/>
      <c r="H533" s="35" t="n">
        <v>0</v>
      </c>
      <c r="I533" s="34" t="n">
        <f aca="false">+IF(E533=0,0,E533*0.03)</f>
        <v>0</v>
      </c>
    </row>
    <row r="534" customFormat="false" ht="15.75" hidden="false" customHeight="true" outlineLevel="0" collapsed="false">
      <c r="A534" s="30" t="n">
        <v>45444</v>
      </c>
      <c r="B534" s="31" t="s">
        <v>153</v>
      </c>
      <c r="C534" s="32"/>
      <c r="D534" s="32"/>
      <c r="E534" s="19" t="n">
        <f aca="false">+F534*0.03</f>
        <v>0</v>
      </c>
      <c r="F534" s="33" t="n">
        <v>0</v>
      </c>
      <c r="G534" s="62"/>
      <c r="H534" s="35" t="n">
        <v>0</v>
      </c>
      <c r="I534" s="34" t="n">
        <f aca="false">+IF(E534=0,0,E534*0.03)</f>
        <v>0</v>
      </c>
    </row>
    <row r="535" customFormat="false" ht="15.75" hidden="false" customHeight="true" outlineLevel="0" collapsed="false">
      <c r="A535" s="30" t="n">
        <v>45444</v>
      </c>
      <c r="B535" s="31" t="s">
        <v>153</v>
      </c>
      <c r="C535" s="32"/>
      <c r="D535" s="32"/>
      <c r="E535" s="19" t="n">
        <f aca="false">+F535*0.03</f>
        <v>0</v>
      </c>
      <c r="F535" s="33" t="n">
        <v>0</v>
      </c>
      <c r="G535" s="62"/>
      <c r="H535" s="35" t="n">
        <v>0</v>
      </c>
      <c r="I535" s="34" t="n">
        <f aca="false">+IF(E535=0,0,E535*0.03)</f>
        <v>0</v>
      </c>
    </row>
    <row r="536" customFormat="false" ht="15.75" hidden="false" customHeight="true" outlineLevel="0" collapsed="false">
      <c r="A536" s="30" t="n">
        <v>45444</v>
      </c>
      <c r="B536" s="31" t="s">
        <v>153</v>
      </c>
      <c r="C536" s="32"/>
      <c r="D536" s="32"/>
      <c r="E536" s="19" t="n">
        <f aca="false">+F536*0.03</f>
        <v>0</v>
      </c>
      <c r="F536" s="33" t="n">
        <v>0</v>
      </c>
      <c r="G536" s="62"/>
      <c r="H536" s="35" t="n">
        <v>0</v>
      </c>
      <c r="I536" s="34" t="n">
        <f aca="false">+IF(E536=0,0,E536*0.03)</f>
        <v>0</v>
      </c>
    </row>
    <row r="537" customFormat="false" ht="15.75" hidden="false" customHeight="true" outlineLevel="0" collapsed="false">
      <c r="A537" s="30" t="n">
        <v>45444</v>
      </c>
      <c r="B537" s="31" t="s">
        <v>153</v>
      </c>
      <c r="C537" s="32"/>
      <c r="D537" s="32"/>
      <c r="E537" s="19" t="n">
        <f aca="false">+F537*0.03</f>
        <v>0</v>
      </c>
      <c r="F537" s="33" t="n">
        <v>0</v>
      </c>
      <c r="G537" s="62"/>
      <c r="H537" s="35" t="n">
        <v>0</v>
      </c>
      <c r="I537" s="34" t="n">
        <f aca="false">+IF(E537=0,0,E537*0.03)</f>
        <v>0</v>
      </c>
    </row>
    <row r="538" customFormat="false" ht="15.75" hidden="false" customHeight="true" outlineLevel="0" collapsed="false">
      <c r="A538" s="30" t="n">
        <v>45444</v>
      </c>
      <c r="B538" s="31" t="s">
        <v>153</v>
      </c>
      <c r="C538" s="32"/>
      <c r="D538" s="32"/>
      <c r="E538" s="19" t="n">
        <f aca="false">+F538*0.03</f>
        <v>0</v>
      </c>
      <c r="F538" s="33" t="n">
        <v>0</v>
      </c>
      <c r="G538" s="62"/>
      <c r="H538" s="35" t="n">
        <v>0</v>
      </c>
      <c r="I538" s="34" t="n">
        <f aca="false">+IF(E538=0,0,E538*0.03)</f>
        <v>0</v>
      </c>
    </row>
    <row r="539" customFormat="false" ht="15.75" hidden="false" customHeight="true" outlineLevel="0" collapsed="false">
      <c r="A539" s="30" t="n">
        <v>45444</v>
      </c>
      <c r="B539" s="31" t="s">
        <v>153</v>
      </c>
      <c r="C539" s="32"/>
      <c r="D539" s="32"/>
      <c r="E539" s="19" t="n">
        <f aca="false">+F539*0.03</f>
        <v>0</v>
      </c>
      <c r="F539" s="33" t="n">
        <v>0</v>
      </c>
      <c r="G539" s="62"/>
      <c r="H539" s="35" t="n">
        <v>0</v>
      </c>
      <c r="I539" s="34" t="n">
        <f aca="false">+IF(E539=0,0,E539*0.03)</f>
        <v>0</v>
      </c>
    </row>
    <row r="540" customFormat="false" ht="15.75" hidden="false" customHeight="true" outlineLevel="0" collapsed="false">
      <c r="A540" s="30" t="n">
        <v>45444</v>
      </c>
      <c r="B540" s="31" t="s">
        <v>153</v>
      </c>
      <c r="C540" s="32"/>
      <c r="D540" s="32"/>
      <c r="E540" s="19" t="n">
        <f aca="false">+F540*0.03</f>
        <v>0</v>
      </c>
      <c r="F540" s="33" t="n">
        <v>0</v>
      </c>
      <c r="G540" s="62"/>
      <c r="H540" s="35" t="n">
        <v>0</v>
      </c>
      <c r="I540" s="34" t="n">
        <f aca="false">+IF(E540=0,0,E540*0.03)</f>
        <v>0</v>
      </c>
    </row>
    <row r="541" customFormat="false" ht="15.75" hidden="false" customHeight="true" outlineLevel="0" collapsed="false">
      <c r="A541" s="30" t="n">
        <v>45444</v>
      </c>
      <c r="B541" s="31" t="s">
        <v>153</v>
      </c>
      <c r="C541" s="32"/>
      <c r="D541" s="32"/>
      <c r="E541" s="19" t="n">
        <f aca="false">+F541*0.03</f>
        <v>0</v>
      </c>
      <c r="F541" s="33" t="n">
        <v>0</v>
      </c>
      <c r="G541" s="62"/>
      <c r="H541" s="35" t="n">
        <v>0</v>
      </c>
      <c r="I541" s="34" t="n">
        <f aca="false">+IF(E541=0,0,E541*0.03)</f>
        <v>0</v>
      </c>
    </row>
    <row r="542" customFormat="false" ht="15.75" hidden="false" customHeight="true" outlineLevel="0" collapsed="false">
      <c r="A542" s="30" t="n">
        <v>45444</v>
      </c>
      <c r="B542" s="31" t="s">
        <v>153</v>
      </c>
      <c r="C542" s="32"/>
      <c r="D542" s="32"/>
      <c r="E542" s="19" t="n">
        <f aca="false">+F542*0.03</f>
        <v>0</v>
      </c>
      <c r="F542" s="33" t="n">
        <v>0</v>
      </c>
      <c r="G542" s="62"/>
      <c r="H542" s="35" t="n">
        <v>0</v>
      </c>
      <c r="I542" s="34" t="n">
        <f aca="false">+IF(E542=0,0,E542*0.03)</f>
        <v>0</v>
      </c>
    </row>
    <row r="543" customFormat="false" ht="15.75" hidden="false" customHeight="true" outlineLevel="0" collapsed="false">
      <c r="A543" s="30" t="n">
        <v>45444</v>
      </c>
      <c r="B543" s="31" t="s">
        <v>153</v>
      </c>
      <c r="C543" s="32"/>
      <c r="D543" s="32"/>
      <c r="E543" s="19" t="n">
        <f aca="false">+F543*0.03</f>
        <v>0</v>
      </c>
      <c r="F543" s="33" t="n">
        <v>0</v>
      </c>
      <c r="G543" s="62"/>
      <c r="H543" s="35" t="n">
        <v>0</v>
      </c>
      <c r="I543" s="34" t="n">
        <f aca="false">+IF(E543=0,0,E543*0.03)</f>
        <v>0</v>
      </c>
    </row>
    <row r="544" customFormat="false" ht="15.75" hidden="false" customHeight="true" outlineLevel="0" collapsed="false">
      <c r="A544" s="30" t="n">
        <v>45444</v>
      </c>
      <c r="B544" s="31" t="s">
        <v>153</v>
      </c>
      <c r="C544" s="32"/>
      <c r="D544" s="32"/>
      <c r="E544" s="19" t="n">
        <f aca="false">+F544*0.03</f>
        <v>0</v>
      </c>
      <c r="F544" s="33" t="n">
        <v>0</v>
      </c>
      <c r="G544" s="62"/>
      <c r="H544" s="35" t="n">
        <v>0</v>
      </c>
      <c r="I544" s="34" t="n">
        <f aca="false">+IF(E544=0,0,E544*0.03)</f>
        <v>0</v>
      </c>
    </row>
    <row r="545" customFormat="false" ht="15.75" hidden="false" customHeight="true" outlineLevel="0" collapsed="false">
      <c r="A545" s="30" t="n">
        <v>45444</v>
      </c>
      <c r="B545" s="31" t="s">
        <v>153</v>
      </c>
      <c r="C545" s="32"/>
      <c r="D545" s="32"/>
      <c r="E545" s="19" t="n">
        <f aca="false">+F545*0.03</f>
        <v>0</v>
      </c>
      <c r="F545" s="33" t="n">
        <v>0</v>
      </c>
      <c r="G545" s="62"/>
      <c r="H545" s="35" t="n">
        <v>0</v>
      </c>
      <c r="I545" s="34" t="n">
        <f aca="false">+IF(E545=0,0,E545*0.03)</f>
        <v>0</v>
      </c>
    </row>
    <row r="546" customFormat="false" ht="15.75" hidden="false" customHeight="true" outlineLevel="0" collapsed="false">
      <c r="A546" s="30" t="n">
        <v>45444</v>
      </c>
      <c r="B546" s="31" t="s">
        <v>153</v>
      </c>
      <c r="C546" s="32"/>
      <c r="D546" s="32"/>
      <c r="E546" s="19" t="n">
        <f aca="false">+F546*0.03</f>
        <v>0</v>
      </c>
      <c r="F546" s="33" t="n">
        <v>0</v>
      </c>
      <c r="G546" s="62"/>
      <c r="H546" s="35" t="n">
        <v>0</v>
      </c>
      <c r="I546" s="34" t="n">
        <f aca="false">+IF(E546=0,0,E546*0.03)</f>
        <v>0</v>
      </c>
    </row>
    <row r="547" customFormat="false" ht="15.75" hidden="false" customHeight="true" outlineLevel="0" collapsed="false">
      <c r="A547" s="30" t="n">
        <v>45444</v>
      </c>
      <c r="B547" s="31" t="s">
        <v>153</v>
      </c>
      <c r="C547" s="32"/>
      <c r="D547" s="32"/>
      <c r="E547" s="19" t="n">
        <f aca="false">+F547*0.03</f>
        <v>0</v>
      </c>
      <c r="F547" s="33" t="n">
        <v>0</v>
      </c>
      <c r="G547" s="62"/>
      <c r="H547" s="35" t="n">
        <v>0</v>
      </c>
      <c r="I547" s="34" t="n">
        <f aca="false">+IF(E547=0,0,E547*0.03)</f>
        <v>0</v>
      </c>
    </row>
    <row r="548" customFormat="false" ht="15.75" hidden="false" customHeight="true" outlineLevel="0" collapsed="false">
      <c r="A548" s="30" t="n">
        <v>45444</v>
      </c>
      <c r="B548" s="31" t="s">
        <v>153</v>
      </c>
      <c r="C548" s="32"/>
      <c r="D548" s="32"/>
      <c r="E548" s="19" t="n">
        <f aca="false">+F548*0.03</f>
        <v>0</v>
      </c>
      <c r="F548" s="33" t="n">
        <v>0</v>
      </c>
      <c r="G548" s="62"/>
      <c r="H548" s="35" t="n">
        <v>0</v>
      </c>
      <c r="I548" s="34" t="n">
        <f aca="false">+IF(E548=0,0,E548*0.03)</f>
        <v>0</v>
      </c>
    </row>
    <row r="549" customFormat="false" ht="15.75" hidden="false" customHeight="true" outlineLevel="0" collapsed="false">
      <c r="A549" s="30" t="n">
        <v>45444</v>
      </c>
      <c r="B549" s="31" t="s">
        <v>153</v>
      </c>
      <c r="C549" s="32"/>
      <c r="D549" s="32"/>
      <c r="E549" s="19" t="n">
        <f aca="false">+F549*0.03</f>
        <v>0</v>
      </c>
      <c r="F549" s="33" t="n">
        <v>0</v>
      </c>
      <c r="G549" s="62"/>
      <c r="H549" s="35" t="n">
        <v>0</v>
      </c>
      <c r="I549" s="34" t="n">
        <f aca="false">+IF(E549=0,0,E549*0.03)</f>
        <v>0</v>
      </c>
    </row>
    <row r="550" customFormat="false" ht="15.75" hidden="false" customHeight="true" outlineLevel="0" collapsed="false">
      <c r="A550" s="30" t="n">
        <v>45444</v>
      </c>
      <c r="B550" s="31" t="s">
        <v>153</v>
      </c>
      <c r="C550" s="32"/>
      <c r="D550" s="32"/>
      <c r="E550" s="19" t="n">
        <f aca="false">+F550*0.03</f>
        <v>0</v>
      </c>
      <c r="F550" s="33" t="n">
        <v>0</v>
      </c>
      <c r="G550" s="62"/>
      <c r="H550" s="35" t="n">
        <v>0</v>
      </c>
      <c r="I550" s="34" t="n">
        <f aca="false">+IF(E550=0,0,E550*0.03)</f>
        <v>0</v>
      </c>
    </row>
    <row r="551" customFormat="false" ht="15.75" hidden="false" customHeight="true" outlineLevel="0" collapsed="false">
      <c r="A551" s="30" t="n">
        <v>45444</v>
      </c>
      <c r="B551" s="31" t="s">
        <v>153</v>
      </c>
      <c r="C551" s="32"/>
      <c r="D551" s="32"/>
      <c r="E551" s="19" t="n">
        <f aca="false">+F551*0.03</f>
        <v>0</v>
      </c>
      <c r="F551" s="33" t="n">
        <v>0</v>
      </c>
      <c r="G551" s="62"/>
      <c r="H551" s="35" t="n">
        <v>0</v>
      </c>
      <c r="I551" s="34" t="n">
        <f aca="false">+IF(E551=0,0,E551*0.03)</f>
        <v>0</v>
      </c>
    </row>
    <row r="552" customFormat="false" ht="15.75" hidden="false" customHeight="true" outlineLevel="0" collapsed="false">
      <c r="A552" s="30" t="n">
        <v>45444</v>
      </c>
      <c r="B552" s="31" t="s">
        <v>153</v>
      </c>
      <c r="C552" s="32"/>
      <c r="D552" s="32"/>
      <c r="E552" s="19" t="n">
        <f aca="false">+F552*0.03</f>
        <v>0</v>
      </c>
      <c r="F552" s="33" t="n">
        <v>0</v>
      </c>
      <c r="G552" s="62"/>
      <c r="H552" s="35" t="n">
        <v>0</v>
      </c>
      <c r="I552" s="34" t="n">
        <f aca="false">+IF(E552=0,0,E552*0.03)</f>
        <v>0</v>
      </c>
    </row>
    <row r="553" customFormat="false" ht="15.75" hidden="false" customHeight="true" outlineLevel="0" collapsed="false">
      <c r="A553" s="30" t="n">
        <v>45444</v>
      </c>
      <c r="B553" s="31" t="s">
        <v>153</v>
      </c>
      <c r="C553" s="32"/>
      <c r="D553" s="32"/>
      <c r="E553" s="19" t="n">
        <f aca="false">+F553*0.03</f>
        <v>0</v>
      </c>
      <c r="F553" s="33" t="n">
        <v>0</v>
      </c>
      <c r="G553" s="62"/>
      <c r="H553" s="35" t="n">
        <v>0</v>
      </c>
      <c r="I553" s="34" t="n">
        <f aca="false">+IF(E553=0,0,E553*0.03)</f>
        <v>0</v>
      </c>
    </row>
    <row r="554" customFormat="false" ht="15.75" hidden="false" customHeight="true" outlineLevel="0" collapsed="false">
      <c r="A554" s="30" t="n">
        <v>45444</v>
      </c>
      <c r="B554" s="31" t="s">
        <v>153</v>
      </c>
      <c r="C554" s="32"/>
      <c r="D554" s="32"/>
      <c r="E554" s="19" t="n">
        <f aca="false">+F554*0.03</f>
        <v>0</v>
      </c>
      <c r="F554" s="33" t="n">
        <v>0</v>
      </c>
      <c r="G554" s="62"/>
      <c r="H554" s="35" t="n">
        <v>0</v>
      </c>
      <c r="I554" s="34" t="n">
        <f aca="false">+IF(E554=0,0,E554*0.03)</f>
        <v>0</v>
      </c>
    </row>
    <row r="555" customFormat="false" ht="15.75" hidden="false" customHeight="true" outlineLevel="0" collapsed="false">
      <c r="A555" s="30" t="n">
        <v>45444</v>
      </c>
      <c r="B555" s="31" t="s">
        <v>153</v>
      </c>
      <c r="C555" s="32"/>
      <c r="D555" s="32"/>
      <c r="E555" s="19" t="n">
        <f aca="false">+F555*0.03</f>
        <v>0</v>
      </c>
      <c r="F555" s="33" t="n">
        <v>0</v>
      </c>
      <c r="G555" s="62"/>
      <c r="H555" s="35" t="n">
        <v>0</v>
      </c>
      <c r="I555" s="34" t="n">
        <f aca="false">+IF(E555=0,0,E555*0.03)</f>
        <v>0</v>
      </c>
    </row>
    <row r="556" customFormat="false" ht="15.75" hidden="false" customHeight="true" outlineLevel="0" collapsed="false">
      <c r="A556" s="30" t="n">
        <v>45444</v>
      </c>
      <c r="B556" s="31" t="s">
        <v>153</v>
      </c>
      <c r="C556" s="32"/>
      <c r="D556" s="32"/>
      <c r="E556" s="19" t="n">
        <f aca="false">+F556*0.03</f>
        <v>0</v>
      </c>
      <c r="F556" s="33" t="n">
        <v>0</v>
      </c>
      <c r="G556" s="62"/>
      <c r="H556" s="35" t="n">
        <v>0</v>
      </c>
      <c r="I556" s="34" t="n">
        <f aca="false">+IF(E556=0,0,E556*0.03)</f>
        <v>0</v>
      </c>
    </row>
    <row r="557" customFormat="false" ht="15.75" hidden="false" customHeight="true" outlineLevel="0" collapsed="false">
      <c r="A557" s="30" t="n">
        <v>45444</v>
      </c>
      <c r="B557" s="31" t="s">
        <v>153</v>
      </c>
      <c r="C557" s="32"/>
      <c r="D557" s="32"/>
      <c r="E557" s="19" t="n">
        <f aca="false">+F557*0.03</f>
        <v>0</v>
      </c>
      <c r="F557" s="33" t="n">
        <v>0</v>
      </c>
      <c r="G557" s="62"/>
      <c r="H557" s="35" t="n">
        <v>0</v>
      </c>
      <c r="I557" s="34" t="n">
        <f aca="false">+IF(E557=0,0,E557*0.03)</f>
        <v>0</v>
      </c>
    </row>
    <row r="558" customFormat="false" ht="15.75" hidden="false" customHeight="true" outlineLevel="0" collapsed="false">
      <c r="A558" s="30" t="n">
        <v>45444</v>
      </c>
      <c r="B558" s="31" t="s">
        <v>153</v>
      </c>
      <c r="C558" s="32"/>
      <c r="D558" s="32"/>
      <c r="E558" s="19" t="n">
        <f aca="false">+F558*0.03</f>
        <v>0</v>
      </c>
      <c r="F558" s="33" t="n">
        <v>0</v>
      </c>
      <c r="G558" s="62"/>
      <c r="H558" s="35" t="n">
        <v>0</v>
      </c>
      <c r="I558" s="34" t="n">
        <f aca="false">+IF(E558=0,0,E558*0.03)</f>
        <v>0</v>
      </c>
    </row>
    <row r="559" customFormat="false" ht="15.75" hidden="false" customHeight="true" outlineLevel="0" collapsed="false">
      <c r="A559" s="30" t="n">
        <v>45444</v>
      </c>
      <c r="B559" s="31" t="s">
        <v>153</v>
      </c>
      <c r="C559" s="32"/>
      <c r="D559" s="32"/>
      <c r="E559" s="19" t="n">
        <f aca="false">+F559*0.03</f>
        <v>0</v>
      </c>
      <c r="F559" s="33" t="n">
        <v>0</v>
      </c>
      <c r="G559" s="62"/>
      <c r="H559" s="35" t="n">
        <v>0</v>
      </c>
      <c r="I559" s="34" t="n">
        <f aca="false">+IF(E559=0,0,E559*0.03)</f>
        <v>0</v>
      </c>
    </row>
    <row r="560" customFormat="false" ht="15.75" hidden="false" customHeight="true" outlineLevel="0" collapsed="false">
      <c r="A560" s="30" t="n">
        <v>45444</v>
      </c>
      <c r="B560" s="31" t="s">
        <v>153</v>
      </c>
      <c r="C560" s="32"/>
      <c r="D560" s="32"/>
      <c r="E560" s="19" t="n">
        <f aca="false">+F560*0.03</f>
        <v>0</v>
      </c>
      <c r="F560" s="33" t="n">
        <v>0</v>
      </c>
      <c r="G560" s="62"/>
      <c r="H560" s="35" t="n">
        <v>0</v>
      </c>
      <c r="I560" s="34" t="n">
        <f aca="false">+IF(E560=0,0,E560*0.03)</f>
        <v>0</v>
      </c>
    </row>
    <row r="561" customFormat="false" ht="15.75" hidden="false" customHeight="true" outlineLevel="0" collapsed="false">
      <c r="A561" s="30" t="n">
        <v>45444</v>
      </c>
      <c r="B561" s="31" t="s">
        <v>153</v>
      </c>
      <c r="C561" s="32"/>
      <c r="D561" s="32"/>
      <c r="E561" s="19" t="n">
        <f aca="false">+F561*0.03</f>
        <v>0</v>
      </c>
      <c r="F561" s="33" t="n">
        <v>0</v>
      </c>
      <c r="G561" s="62"/>
      <c r="H561" s="35" t="n">
        <v>0</v>
      </c>
      <c r="I561" s="34" t="n">
        <f aca="false">+IF(E561=0,0,E561*0.03)</f>
        <v>0</v>
      </c>
    </row>
    <row r="562" customFormat="false" ht="15.75" hidden="false" customHeight="true" outlineLevel="0" collapsed="false">
      <c r="A562" s="30" t="n">
        <v>45444</v>
      </c>
      <c r="B562" s="31" t="s">
        <v>153</v>
      </c>
      <c r="C562" s="32"/>
      <c r="D562" s="32"/>
      <c r="E562" s="19" t="n">
        <f aca="false">+F562*0.03</f>
        <v>0</v>
      </c>
      <c r="F562" s="33" t="n">
        <v>0</v>
      </c>
      <c r="G562" s="62"/>
      <c r="H562" s="35" t="n">
        <v>0</v>
      </c>
      <c r="I562" s="34" t="n">
        <f aca="false">+IF(E562=0,0,E562*0.03)</f>
        <v>0</v>
      </c>
    </row>
    <row r="563" customFormat="false" ht="15.75" hidden="false" customHeight="true" outlineLevel="0" collapsed="false">
      <c r="A563" s="30" t="n">
        <v>45444</v>
      </c>
      <c r="B563" s="31" t="s">
        <v>153</v>
      </c>
      <c r="C563" s="32"/>
      <c r="D563" s="32"/>
      <c r="E563" s="19" t="n">
        <f aca="false">+F563*0.03</f>
        <v>0</v>
      </c>
      <c r="F563" s="33" t="n">
        <v>0</v>
      </c>
      <c r="G563" s="62"/>
      <c r="H563" s="35" t="n">
        <v>0</v>
      </c>
      <c r="I563" s="34" t="n">
        <f aca="false">+IF(E563=0,0,E563*0.03)</f>
        <v>0</v>
      </c>
    </row>
    <row r="564" customFormat="false" ht="15.75" hidden="false" customHeight="true" outlineLevel="0" collapsed="false">
      <c r="A564" s="30" t="n">
        <v>45444</v>
      </c>
      <c r="B564" s="31" t="s">
        <v>153</v>
      </c>
      <c r="C564" s="32"/>
      <c r="D564" s="32"/>
      <c r="E564" s="19" t="n">
        <f aca="false">+F564*0.03</f>
        <v>0</v>
      </c>
      <c r="F564" s="33" t="n">
        <v>0</v>
      </c>
      <c r="G564" s="62"/>
      <c r="H564" s="35" t="n">
        <v>0</v>
      </c>
      <c r="I564" s="34" t="n">
        <f aca="false">+IF(E564=0,0,E564*0.03)</f>
        <v>0</v>
      </c>
    </row>
    <row r="565" customFormat="false" ht="15.75" hidden="false" customHeight="true" outlineLevel="0" collapsed="false">
      <c r="A565" s="30" t="n">
        <v>45444</v>
      </c>
      <c r="B565" s="31" t="s">
        <v>153</v>
      </c>
      <c r="C565" s="32"/>
      <c r="D565" s="32"/>
      <c r="E565" s="19" t="n">
        <f aca="false">+F565*0.03</f>
        <v>0</v>
      </c>
      <c r="F565" s="33" t="n">
        <v>0</v>
      </c>
      <c r="G565" s="62"/>
      <c r="H565" s="35" t="n">
        <v>0</v>
      </c>
      <c r="I565" s="34" t="n">
        <f aca="false">+IF(E565=0,0,E565*0.03)</f>
        <v>0</v>
      </c>
    </row>
    <row r="566" customFormat="false" ht="15.75" hidden="false" customHeight="true" outlineLevel="0" collapsed="false">
      <c r="A566" s="30" t="n">
        <v>45444</v>
      </c>
      <c r="B566" s="31" t="s">
        <v>153</v>
      </c>
      <c r="C566" s="32"/>
      <c r="D566" s="32"/>
      <c r="E566" s="19" t="n">
        <f aca="false">+F566*0.03</f>
        <v>0</v>
      </c>
      <c r="F566" s="33" t="n">
        <v>0</v>
      </c>
      <c r="G566" s="62"/>
      <c r="H566" s="35" t="n">
        <v>0</v>
      </c>
      <c r="I566" s="34" t="n">
        <f aca="false">+IF(E566=0,0,E566*0.03)</f>
        <v>0</v>
      </c>
    </row>
    <row r="567" customFormat="false" ht="15.75" hidden="false" customHeight="true" outlineLevel="0" collapsed="false">
      <c r="A567" s="30" t="n">
        <v>45444</v>
      </c>
      <c r="B567" s="31" t="s">
        <v>153</v>
      </c>
      <c r="C567" s="32"/>
      <c r="D567" s="32"/>
      <c r="E567" s="19" t="n">
        <f aca="false">+F567*0.03</f>
        <v>0</v>
      </c>
      <c r="F567" s="33" t="n">
        <v>0</v>
      </c>
      <c r="G567" s="62"/>
      <c r="H567" s="35" t="n">
        <v>0</v>
      </c>
      <c r="I567" s="34" t="n">
        <f aca="false">+IF(E567=0,0,E567*0.03)</f>
        <v>0</v>
      </c>
    </row>
    <row r="568" customFormat="false" ht="15.75" hidden="false" customHeight="true" outlineLevel="0" collapsed="false">
      <c r="A568" s="30" t="n">
        <v>45444</v>
      </c>
      <c r="B568" s="31" t="s">
        <v>153</v>
      </c>
      <c r="C568" s="32"/>
      <c r="D568" s="32"/>
      <c r="E568" s="19" t="n">
        <f aca="false">+F568*0.03</f>
        <v>0</v>
      </c>
      <c r="F568" s="33" t="n">
        <v>0</v>
      </c>
      <c r="G568" s="62"/>
      <c r="H568" s="35" t="n">
        <v>0</v>
      </c>
      <c r="I568" s="34" t="n">
        <f aca="false">+IF(E568=0,0,E568*0.03)</f>
        <v>0</v>
      </c>
    </row>
    <row r="569" customFormat="false" ht="15.75" hidden="false" customHeight="true" outlineLevel="0" collapsed="false">
      <c r="A569" s="30" t="n">
        <v>45444</v>
      </c>
      <c r="B569" s="31" t="s">
        <v>153</v>
      </c>
      <c r="C569" s="32"/>
      <c r="D569" s="32"/>
      <c r="E569" s="19" t="n">
        <f aca="false">+F569*0.03</f>
        <v>0</v>
      </c>
      <c r="F569" s="33" t="n">
        <v>0</v>
      </c>
      <c r="G569" s="62"/>
      <c r="H569" s="35" t="n">
        <v>0</v>
      </c>
      <c r="I569" s="34" t="n">
        <f aca="false">+IF(E569=0,0,E569*0.03)</f>
        <v>0</v>
      </c>
    </row>
    <row r="570" customFormat="false" ht="15.75" hidden="false" customHeight="true" outlineLevel="0" collapsed="false">
      <c r="A570" s="30" t="n">
        <v>45444</v>
      </c>
      <c r="B570" s="31" t="s">
        <v>153</v>
      </c>
      <c r="C570" s="32"/>
      <c r="D570" s="32"/>
      <c r="E570" s="19" t="n">
        <f aca="false">+F570*0.03</f>
        <v>0</v>
      </c>
      <c r="F570" s="33" t="n">
        <v>0</v>
      </c>
      <c r="G570" s="62"/>
      <c r="H570" s="35" t="n">
        <v>0</v>
      </c>
      <c r="I570" s="34" t="n">
        <f aca="false">+IF(E570=0,0,E570*0.03)</f>
        <v>0</v>
      </c>
    </row>
    <row r="571" customFormat="false" ht="15.75" hidden="false" customHeight="true" outlineLevel="0" collapsed="false">
      <c r="A571" s="30" t="n">
        <v>45444</v>
      </c>
      <c r="B571" s="31" t="s">
        <v>153</v>
      </c>
      <c r="C571" s="32"/>
      <c r="D571" s="32"/>
      <c r="E571" s="19" t="n">
        <f aca="false">+F571*0.03</f>
        <v>0</v>
      </c>
      <c r="F571" s="33" t="n">
        <v>0</v>
      </c>
      <c r="G571" s="62"/>
      <c r="H571" s="35" t="n">
        <v>0</v>
      </c>
      <c r="I571" s="34" t="n">
        <f aca="false">+IF(E571=0,0,E571*0.03)</f>
        <v>0</v>
      </c>
    </row>
    <row r="572" customFormat="false" ht="15.75" hidden="false" customHeight="true" outlineLevel="0" collapsed="false">
      <c r="A572" s="30" t="n">
        <v>45444</v>
      </c>
      <c r="B572" s="31" t="s">
        <v>153</v>
      </c>
      <c r="C572" s="32"/>
      <c r="D572" s="32"/>
      <c r="E572" s="19" t="n">
        <f aca="false">+F572*0.03</f>
        <v>0</v>
      </c>
      <c r="F572" s="33" t="n">
        <v>0</v>
      </c>
      <c r="G572" s="62"/>
      <c r="H572" s="35" t="n">
        <v>0</v>
      </c>
      <c r="I572" s="34" t="n">
        <f aca="false">+IF(E572=0,0,E572*0.03)</f>
        <v>0</v>
      </c>
    </row>
    <row r="573" customFormat="false" ht="15.75" hidden="false" customHeight="true" outlineLevel="0" collapsed="false">
      <c r="A573" s="30" t="n">
        <v>45444</v>
      </c>
      <c r="B573" s="31" t="s">
        <v>153</v>
      </c>
      <c r="C573" s="32"/>
      <c r="D573" s="32"/>
      <c r="E573" s="19" t="n">
        <f aca="false">+F573*0.03</f>
        <v>0</v>
      </c>
      <c r="F573" s="33" t="n">
        <v>0</v>
      </c>
      <c r="G573" s="62"/>
      <c r="H573" s="35" t="n">
        <v>0</v>
      </c>
      <c r="I573" s="34" t="n">
        <f aca="false">+IF(E573=0,0,E573*0.03)</f>
        <v>0</v>
      </c>
    </row>
    <row r="574" customFormat="false" ht="15.75" hidden="false" customHeight="true" outlineLevel="0" collapsed="false">
      <c r="A574" s="30" t="n">
        <v>45444</v>
      </c>
      <c r="B574" s="31" t="s">
        <v>153</v>
      </c>
      <c r="C574" s="32"/>
      <c r="D574" s="32"/>
      <c r="E574" s="19" t="n">
        <f aca="false">+F574*0.03</f>
        <v>0</v>
      </c>
      <c r="F574" s="33" t="n">
        <v>0</v>
      </c>
      <c r="G574" s="62"/>
      <c r="H574" s="35" t="n">
        <v>0</v>
      </c>
      <c r="I574" s="34" t="n">
        <f aca="false">+IF(E574=0,0,E574*0.03)</f>
        <v>0</v>
      </c>
    </row>
    <row r="575" customFormat="false" ht="15.75" hidden="false" customHeight="true" outlineLevel="0" collapsed="false">
      <c r="A575" s="30" t="n">
        <v>45444</v>
      </c>
      <c r="B575" s="31" t="s">
        <v>153</v>
      </c>
      <c r="C575" s="32"/>
      <c r="D575" s="32"/>
      <c r="E575" s="19" t="n">
        <f aca="false">+F575*0.03</f>
        <v>0</v>
      </c>
      <c r="F575" s="33" t="n">
        <v>0</v>
      </c>
      <c r="G575" s="62"/>
      <c r="H575" s="35" t="n">
        <v>0</v>
      </c>
      <c r="I575" s="34" t="n">
        <f aca="false">+IF(E575=0,0,E575*0.03)</f>
        <v>0</v>
      </c>
    </row>
    <row r="576" customFormat="false" ht="15.75" hidden="false" customHeight="true" outlineLevel="0" collapsed="false">
      <c r="A576" s="30" t="n">
        <v>45444</v>
      </c>
      <c r="B576" s="31" t="s">
        <v>153</v>
      </c>
      <c r="C576" s="32"/>
      <c r="D576" s="32"/>
      <c r="E576" s="19" t="n">
        <f aca="false">+F576*0.03</f>
        <v>0</v>
      </c>
      <c r="F576" s="33" t="n">
        <v>0</v>
      </c>
      <c r="G576" s="62"/>
      <c r="H576" s="35" t="n">
        <v>0</v>
      </c>
      <c r="I576" s="34" t="n">
        <f aca="false">+IF(E576=0,0,E576*0.03)</f>
        <v>0</v>
      </c>
    </row>
    <row r="577" customFormat="false" ht="15.75" hidden="false" customHeight="true" outlineLevel="0" collapsed="false">
      <c r="A577" s="30" t="n">
        <v>45444</v>
      </c>
      <c r="B577" s="31" t="s">
        <v>153</v>
      </c>
      <c r="C577" s="32"/>
      <c r="D577" s="32"/>
      <c r="E577" s="19" t="n">
        <f aca="false">+F577*0.03</f>
        <v>0</v>
      </c>
      <c r="F577" s="33" t="n">
        <v>0</v>
      </c>
      <c r="G577" s="62"/>
      <c r="H577" s="35" t="n">
        <v>0</v>
      </c>
      <c r="I577" s="34" t="n">
        <f aca="false">+IF(E577=0,0,E577*0.03)</f>
        <v>0</v>
      </c>
    </row>
    <row r="578" customFormat="false" ht="15.75" hidden="false" customHeight="true" outlineLevel="0" collapsed="false">
      <c r="A578" s="30" t="n">
        <v>45444</v>
      </c>
      <c r="B578" s="31" t="s">
        <v>153</v>
      </c>
      <c r="C578" s="32"/>
      <c r="D578" s="32"/>
      <c r="E578" s="19" t="n">
        <f aca="false">+F578*0.03</f>
        <v>0</v>
      </c>
      <c r="F578" s="33" t="n">
        <v>0</v>
      </c>
      <c r="G578" s="62"/>
      <c r="H578" s="35" t="n">
        <v>0</v>
      </c>
      <c r="I578" s="34" t="n">
        <f aca="false">+IF(E578=0,0,E578*0.03)</f>
        <v>0</v>
      </c>
    </row>
    <row r="579" customFormat="false" ht="15.75" hidden="false" customHeight="true" outlineLevel="0" collapsed="false">
      <c r="A579" s="30" t="n">
        <v>45444</v>
      </c>
      <c r="B579" s="31" t="s">
        <v>153</v>
      </c>
      <c r="C579" s="32"/>
      <c r="D579" s="32"/>
      <c r="E579" s="19" t="n">
        <f aca="false">+F579*0.03</f>
        <v>0</v>
      </c>
      <c r="F579" s="33" t="n">
        <v>0</v>
      </c>
      <c r="G579" s="62"/>
      <c r="H579" s="35" t="n">
        <v>0</v>
      </c>
      <c r="I579" s="34" t="n">
        <f aca="false">+IF(E579=0,0,E579*0.03)</f>
        <v>0</v>
      </c>
    </row>
    <row r="580" customFormat="false" ht="15.75" hidden="false" customHeight="true" outlineLevel="0" collapsed="false">
      <c r="A580" s="30" t="n">
        <v>45444</v>
      </c>
      <c r="B580" s="31" t="s">
        <v>153</v>
      </c>
      <c r="C580" s="32"/>
      <c r="D580" s="32"/>
      <c r="E580" s="19" t="n">
        <f aca="false">+F580*0.03</f>
        <v>0</v>
      </c>
      <c r="F580" s="33" t="n">
        <v>0</v>
      </c>
      <c r="G580" s="62"/>
      <c r="H580" s="35" t="n">
        <v>0</v>
      </c>
      <c r="I580" s="34" t="n">
        <f aca="false">+IF(E580=0,0,E580*0.03)</f>
        <v>0</v>
      </c>
    </row>
    <row r="581" customFormat="false" ht="15.75" hidden="false" customHeight="true" outlineLevel="0" collapsed="false">
      <c r="A581" s="30" t="n">
        <v>45444</v>
      </c>
      <c r="B581" s="31" t="s">
        <v>153</v>
      </c>
      <c r="C581" s="32"/>
      <c r="D581" s="32"/>
      <c r="E581" s="19" t="n">
        <f aca="false">+F581*0.03</f>
        <v>0</v>
      </c>
      <c r="F581" s="33" t="n">
        <v>0</v>
      </c>
      <c r="G581" s="62"/>
      <c r="H581" s="35" t="n">
        <v>0</v>
      </c>
      <c r="I581" s="34" t="n">
        <f aca="false">+IF(E581=0,0,E581*0.03)</f>
        <v>0</v>
      </c>
    </row>
    <row r="582" customFormat="false" ht="15.75" hidden="false" customHeight="true" outlineLevel="0" collapsed="false">
      <c r="A582" s="30" t="n">
        <v>45444</v>
      </c>
      <c r="B582" s="31" t="s">
        <v>153</v>
      </c>
      <c r="C582" s="32"/>
      <c r="D582" s="32"/>
      <c r="E582" s="19" t="n">
        <f aca="false">+F582*0.03</f>
        <v>0</v>
      </c>
      <c r="F582" s="33" t="n">
        <v>0</v>
      </c>
      <c r="G582" s="62"/>
      <c r="H582" s="35" t="n">
        <v>0</v>
      </c>
      <c r="I582" s="34" t="n">
        <f aca="false">+IF(E582=0,0,E582*0.03)</f>
        <v>0</v>
      </c>
    </row>
    <row r="583" customFormat="false" ht="15.75" hidden="false" customHeight="true" outlineLevel="0" collapsed="false">
      <c r="A583" s="30" t="n">
        <v>45444</v>
      </c>
      <c r="B583" s="31" t="s">
        <v>153</v>
      </c>
      <c r="C583" s="32"/>
      <c r="D583" s="32"/>
      <c r="E583" s="19" t="n">
        <f aca="false">+F583*0.03</f>
        <v>0</v>
      </c>
      <c r="F583" s="33" t="n">
        <v>0</v>
      </c>
      <c r="G583" s="62"/>
      <c r="H583" s="35" t="n">
        <v>0</v>
      </c>
      <c r="I583" s="34" t="n">
        <f aca="false">+IF(E583=0,0,E583*0.03)</f>
        <v>0</v>
      </c>
    </row>
    <row r="584" customFormat="false" ht="15.75" hidden="false" customHeight="true" outlineLevel="0" collapsed="false">
      <c r="A584" s="30" t="n">
        <v>45444</v>
      </c>
      <c r="B584" s="31" t="s">
        <v>153</v>
      </c>
      <c r="C584" s="32"/>
      <c r="D584" s="32"/>
      <c r="E584" s="19" t="n">
        <f aca="false">+F584*0.03</f>
        <v>0</v>
      </c>
      <c r="F584" s="33" t="n">
        <v>0</v>
      </c>
      <c r="G584" s="62"/>
      <c r="H584" s="35" t="n">
        <v>0</v>
      </c>
      <c r="I584" s="34" t="n">
        <f aca="false">+IF(E584=0,0,E584*0.03)</f>
        <v>0</v>
      </c>
    </row>
    <row r="585" customFormat="false" ht="15.75" hidden="false" customHeight="true" outlineLevel="0" collapsed="false">
      <c r="A585" s="30" t="n">
        <v>45444</v>
      </c>
      <c r="B585" s="31" t="s">
        <v>153</v>
      </c>
      <c r="C585" s="32"/>
      <c r="D585" s="32"/>
      <c r="E585" s="19" t="n">
        <f aca="false">+F585*0.03</f>
        <v>0</v>
      </c>
      <c r="F585" s="33" t="n">
        <v>0</v>
      </c>
      <c r="G585" s="62"/>
      <c r="H585" s="35" t="n">
        <v>0</v>
      </c>
      <c r="I585" s="34" t="n">
        <f aca="false">+IF(E585=0,0,E585*0.03)</f>
        <v>0</v>
      </c>
    </row>
    <row r="586" customFormat="false" ht="15.75" hidden="false" customHeight="true" outlineLevel="0" collapsed="false">
      <c r="A586" s="30" t="n">
        <v>45444</v>
      </c>
      <c r="B586" s="31" t="s">
        <v>153</v>
      </c>
      <c r="C586" s="32"/>
      <c r="D586" s="32"/>
      <c r="E586" s="19" t="n">
        <f aca="false">+F586*0.03</f>
        <v>0</v>
      </c>
      <c r="F586" s="33" t="n">
        <v>0</v>
      </c>
      <c r="G586" s="62"/>
      <c r="H586" s="35" t="n">
        <v>0</v>
      </c>
      <c r="I586" s="34" t="n">
        <f aca="false">+IF(E586=0,0,E586*0.03)</f>
        <v>0</v>
      </c>
    </row>
    <row r="587" customFormat="false" ht="15.75" hidden="false" customHeight="true" outlineLevel="0" collapsed="false">
      <c r="A587" s="30" t="n">
        <v>45444</v>
      </c>
      <c r="B587" s="31" t="s">
        <v>153</v>
      </c>
      <c r="C587" s="32"/>
      <c r="D587" s="32"/>
      <c r="E587" s="19" t="n">
        <f aca="false">+F587*0.03</f>
        <v>0</v>
      </c>
      <c r="F587" s="33" t="n">
        <v>0</v>
      </c>
      <c r="G587" s="62"/>
      <c r="H587" s="35" t="n">
        <v>0</v>
      </c>
      <c r="I587" s="34" t="n">
        <f aca="false">+IF(E587=0,0,E587*0.03)</f>
        <v>0</v>
      </c>
    </row>
    <row r="588" customFormat="false" ht="15.75" hidden="false" customHeight="true" outlineLevel="0" collapsed="false">
      <c r="A588" s="30" t="n">
        <v>45444</v>
      </c>
      <c r="B588" s="31" t="s">
        <v>153</v>
      </c>
      <c r="C588" s="32"/>
      <c r="D588" s="32"/>
      <c r="E588" s="19" t="n">
        <f aca="false">+F588*0.03</f>
        <v>0</v>
      </c>
      <c r="F588" s="33" t="n">
        <v>0</v>
      </c>
      <c r="G588" s="62"/>
      <c r="H588" s="35" t="n">
        <v>0</v>
      </c>
      <c r="I588" s="34" t="n">
        <f aca="false">+IF(E588=0,0,E588*0.03)</f>
        <v>0</v>
      </c>
    </row>
    <row r="589" customFormat="false" ht="15.75" hidden="false" customHeight="true" outlineLevel="0" collapsed="false">
      <c r="A589" s="30" t="n">
        <v>45444</v>
      </c>
      <c r="B589" s="31" t="s">
        <v>153</v>
      </c>
      <c r="C589" s="32"/>
      <c r="D589" s="32"/>
      <c r="E589" s="19" t="n">
        <f aca="false">+F589*0.03</f>
        <v>0</v>
      </c>
      <c r="F589" s="33" t="n">
        <v>0</v>
      </c>
      <c r="G589" s="62"/>
      <c r="H589" s="35" t="n">
        <v>0</v>
      </c>
      <c r="I589" s="34" t="n">
        <f aca="false">+IF(E589=0,0,E589*0.03)</f>
        <v>0</v>
      </c>
    </row>
    <row r="590" customFormat="false" ht="15.75" hidden="false" customHeight="true" outlineLevel="0" collapsed="false">
      <c r="A590" s="30" t="n">
        <v>45444</v>
      </c>
      <c r="B590" s="31" t="s">
        <v>153</v>
      </c>
      <c r="C590" s="32"/>
      <c r="D590" s="32"/>
      <c r="E590" s="19" t="n">
        <f aca="false">+F590*0.03</f>
        <v>0</v>
      </c>
      <c r="F590" s="33" t="n">
        <v>0</v>
      </c>
      <c r="G590" s="62"/>
      <c r="H590" s="35" t="n">
        <v>0</v>
      </c>
      <c r="I590" s="34" t="n">
        <f aca="false">+IF(E590=0,0,E590*0.03)</f>
        <v>0</v>
      </c>
    </row>
    <row r="591" customFormat="false" ht="15.75" hidden="false" customHeight="true" outlineLevel="0" collapsed="false">
      <c r="A591" s="30" t="n">
        <v>45444</v>
      </c>
      <c r="B591" s="31" t="s">
        <v>153</v>
      </c>
      <c r="C591" s="32"/>
      <c r="D591" s="32"/>
      <c r="E591" s="19" t="n">
        <f aca="false">+F591*0.03</f>
        <v>0</v>
      </c>
      <c r="F591" s="33" t="n">
        <v>0</v>
      </c>
      <c r="G591" s="62"/>
      <c r="H591" s="35" t="n">
        <v>0</v>
      </c>
      <c r="I591" s="34" t="n">
        <f aca="false">+IF(E591=0,0,E591*0.03)</f>
        <v>0</v>
      </c>
    </row>
    <row r="592" customFormat="false" ht="15.75" hidden="false" customHeight="true" outlineLevel="0" collapsed="false">
      <c r="A592" s="30" t="n">
        <v>45444</v>
      </c>
      <c r="B592" s="31" t="s">
        <v>153</v>
      </c>
      <c r="C592" s="32"/>
      <c r="D592" s="32"/>
      <c r="E592" s="19" t="n">
        <f aca="false">+F592*0.03</f>
        <v>0</v>
      </c>
      <c r="F592" s="33" t="n">
        <v>0</v>
      </c>
      <c r="G592" s="62"/>
      <c r="H592" s="35" t="n">
        <v>0</v>
      </c>
      <c r="I592" s="34" t="n">
        <f aca="false">+IF(E592=0,0,E592*0.03)</f>
        <v>0</v>
      </c>
    </row>
    <row r="593" customFormat="false" ht="15.75" hidden="false" customHeight="true" outlineLevel="0" collapsed="false">
      <c r="A593" s="30" t="n">
        <v>45444</v>
      </c>
      <c r="B593" s="31" t="s">
        <v>153</v>
      </c>
      <c r="C593" s="32"/>
      <c r="D593" s="32"/>
      <c r="E593" s="19" t="n">
        <f aca="false">+F593*0.03</f>
        <v>0</v>
      </c>
      <c r="F593" s="33" t="n">
        <v>0</v>
      </c>
      <c r="G593" s="62"/>
      <c r="H593" s="35" t="n">
        <v>0</v>
      </c>
      <c r="I593" s="34" t="n">
        <f aca="false">+IF(E593=0,0,E593*0.03)</f>
        <v>0</v>
      </c>
    </row>
    <row r="594" customFormat="false" ht="15.75" hidden="false" customHeight="true" outlineLevel="0" collapsed="false">
      <c r="A594" s="30" t="n">
        <v>45444</v>
      </c>
      <c r="B594" s="31" t="s">
        <v>153</v>
      </c>
      <c r="C594" s="32"/>
      <c r="D594" s="32"/>
      <c r="E594" s="19" t="n">
        <f aca="false">+F594*0.03</f>
        <v>0</v>
      </c>
      <c r="F594" s="33" t="n">
        <v>0</v>
      </c>
      <c r="G594" s="62"/>
      <c r="H594" s="35" t="n">
        <v>0</v>
      </c>
      <c r="I594" s="34" t="n">
        <f aca="false">+IF(E594=0,0,E594*0.03)</f>
        <v>0</v>
      </c>
    </row>
    <row r="595" customFormat="false" ht="15.75" hidden="false" customHeight="true" outlineLevel="0" collapsed="false">
      <c r="A595" s="30" t="n">
        <v>45444</v>
      </c>
      <c r="B595" s="31" t="s">
        <v>153</v>
      </c>
      <c r="C595" s="32"/>
      <c r="D595" s="32"/>
      <c r="E595" s="19" t="n">
        <f aca="false">+F595*0.03</f>
        <v>0</v>
      </c>
      <c r="F595" s="33" t="n">
        <v>0</v>
      </c>
      <c r="G595" s="62"/>
      <c r="H595" s="35" t="n">
        <v>0</v>
      </c>
      <c r="I595" s="34" t="n">
        <f aca="false">+IF(E595=0,0,E595*0.03)</f>
        <v>0</v>
      </c>
    </row>
    <row r="596" customFormat="false" ht="15.75" hidden="false" customHeight="true" outlineLevel="0" collapsed="false">
      <c r="A596" s="30" t="n">
        <v>45444</v>
      </c>
      <c r="B596" s="31" t="s">
        <v>153</v>
      </c>
      <c r="C596" s="32"/>
      <c r="D596" s="32"/>
      <c r="E596" s="19" t="n">
        <f aca="false">+F596*0.03</f>
        <v>0</v>
      </c>
      <c r="F596" s="33" t="n">
        <v>0</v>
      </c>
      <c r="G596" s="62"/>
      <c r="H596" s="35" t="n">
        <v>0</v>
      </c>
      <c r="I596" s="34" t="n">
        <f aca="false">+IF(E596=0,0,E596*0.03)</f>
        <v>0</v>
      </c>
    </row>
    <row r="597" customFormat="false" ht="15.75" hidden="false" customHeight="true" outlineLevel="0" collapsed="false">
      <c r="A597" s="30" t="n">
        <v>45444</v>
      </c>
      <c r="B597" s="31" t="s">
        <v>153</v>
      </c>
      <c r="C597" s="32"/>
      <c r="D597" s="32"/>
      <c r="E597" s="19" t="n">
        <f aca="false">+F597*0.03</f>
        <v>0</v>
      </c>
      <c r="F597" s="33" t="n">
        <v>0</v>
      </c>
      <c r="G597" s="62"/>
      <c r="H597" s="35" t="n">
        <v>0</v>
      </c>
      <c r="I597" s="34" t="n">
        <f aca="false">+IF(E597=0,0,E597*0.03)</f>
        <v>0</v>
      </c>
    </row>
    <row r="598" customFormat="false" ht="15.75" hidden="false" customHeight="true" outlineLevel="0" collapsed="false">
      <c r="A598" s="30" t="n">
        <v>45444</v>
      </c>
      <c r="B598" s="31" t="s">
        <v>153</v>
      </c>
      <c r="C598" s="32"/>
      <c r="D598" s="32"/>
      <c r="E598" s="19" t="n">
        <f aca="false">+F598*0.03</f>
        <v>0</v>
      </c>
      <c r="F598" s="33" t="n">
        <v>0</v>
      </c>
      <c r="G598" s="62"/>
      <c r="H598" s="35" t="n">
        <v>0</v>
      </c>
      <c r="I598" s="34" t="n">
        <f aca="false">+IF(E598=0,0,E598*0.03)</f>
        <v>0</v>
      </c>
    </row>
    <row r="599" customFormat="false" ht="15.75" hidden="false" customHeight="true" outlineLevel="0" collapsed="false">
      <c r="A599" s="30" t="n">
        <v>45444</v>
      </c>
      <c r="B599" s="31" t="s">
        <v>153</v>
      </c>
      <c r="C599" s="32"/>
      <c r="D599" s="32"/>
      <c r="E599" s="19" t="n">
        <f aca="false">+F599*0.03</f>
        <v>0</v>
      </c>
      <c r="F599" s="33" t="n">
        <v>0</v>
      </c>
      <c r="G599" s="62"/>
      <c r="H599" s="35" t="n">
        <v>0</v>
      </c>
      <c r="I599" s="34" t="n">
        <f aca="false">+IF(E599=0,0,E599*0.03)</f>
        <v>0</v>
      </c>
    </row>
    <row r="600" customFormat="false" ht="15.75" hidden="false" customHeight="true" outlineLevel="0" collapsed="false">
      <c r="A600" s="30" t="n">
        <v>45444</v>
      </c>
      <c r="B600" s="31" t="s">
        <v>153</v>
      </c>
      <c r="C600" s="32"/>
      <c r="D600" s="32"/>
      <c r="E600" s="19" t="n">
        <f aca="false">+F600*0.03</f>
        <v>0</v>
      </c>
      <c r="F600" s="33" t="n">
        <v>0</v>
      </c>
      <c r="G600" s="62"/>
      <c r="H600" s="35" t="n">
        <v>0</v>
      </c>
      <c r="I600" s="34" t="n">
        <f aca="false">+IF(E600=0,0,E600*0.03)</f>
        <v>0</v>
      </c>
    </row>
    <row r="601" customFormat="false" ht="15.75" hidden="false" customHeight="true" outlineLevel="0" collapsed="false">
      <c r="A601" s="30" t="n">
        <v>45444</v>
      </c>
      <c r="B601" s="31" t="s">
        <v>153</v>
      </c>
      <c r="C601" s="32"/>
      <c r="D601" s="32"/>
      <c r="E601" s="19" t="n">
        <f aca="false">+F601*0.03</f>
        <v>0</v>
      </c>
      <c r="F601" s="33" t="n">
        <v>0</v>
      </c>
      <c r="G601" s="62"/>
      <c r="H601" s="35" t="n">
        <v>0</v>
      </c>
      <c r="I601" s="34" t="n">
        <f aca="false">+IF(E601=0,0,E601*0.03)</f>
        <v>0</v>
      </c>
    </row>
    <row r="602" customFormat="false" ht="15.75" hidden="false" customHeight="true" outlineLevel="0" collapsed="false">
      <c r="A602" s="30" t="n">
        <v>45444</v>
      </c>
      <c r="B602" s="31" t="s">
        <v>153</v>
      </c>
      <c r="C602" s="32"/>
      <c r="D602" s="32"/>
      <c r="E602" s="19" t="n">
        <f aca="false">+F602*0.03</f>
        <v>0</v>
      </c>
      <c r="F602" s="33" t="n">
        <v>0</v>
      </c>
      <c r="G602" s="62"/>
      <c r="H602" s="35" t="n">
        <v>0</v>
      </c>
      <c r="I602" s="34" t="n">
        <f aca="false">+IF(E602=0,0,E602*0.03)</f>
        <v>0</v>
      </c>
    </row>
    <row r="603" customFormat="false" ht="15.75" hidden="false" customHeight="true" outlineLevel="0" collapsed="false">
      <c r="A603" s="30" t="n">
        <v>45444</v>
      </c>
      <c r="B603" s="31" t="s">
        <v>153</v>
      </c>
      <c r="C603" s="32"/>
      <c r="D603" s="32"/>
      <c r="E603" s="19" t="n">
        <f aca="false">+F603*0.03</f>
        <v>0</v>
      </c>
      <c r="F603" s="33" t="n">
        <v>0</v>
      </c>
      <c r="G603" s="62"/>
      <c r="H603" s="35" t="n">
        <v>0</v>
      </c>
      <c r="I603" s="34" t="n">
        <f aca="false">+IF(E603=0,0,E603*0.03)</f>
        <v>0</v>
      </c>
    </row>
    <row r="604" customFormat="false" ht="15.75" hidden="false" customHeight="true" outlineLevel="0" collapsed="false">
      <c r="A604" s="30" t="n">
        <v>45444</v>
      </c>
      <c r="B604" s="31" t="s">
        <v>153</v>
      </c>
      <c r="C604" s="32"/>
      <c r="D604" s="32"/>
      <c r="E604" s="19" t="n">
        <f aca="false">+F604*0.03</f>
        <v>0</v>
      </c>
      <c r="F604" s="33" t="n">
        <v>0</v>
      </c>
      <c r="G604" s="62"/>
      <c r="H604" s="35" t="n">
        <v>0</v>
      </c>
      <c r="I604" s="34" t="n">
        <f aca="false">+IF(E604=0,0,E604*0.03)</f>
        <v>0</v>
      </c>
    </row>
    <row r="605" customFormat="false" ht="15.75" hidden="false" customHeight="true" outlineLevel="0" collapsed="false">
      <c r="A605" s="30" t="n">
        <v>45444</v>
      </c>
      <c r="B605" s="31" t="s">
        <v>153</v>
      </c>
      <c r="C605" s="32"/>
      <c r="D605" s="32"/>
      <c r="E605" s="19" t="n">
        <f aca="false">+F605*0.03</f>
        <v>0</v>
      </c>
      <c r="F605" s="33" t="n">
        <v>0</v>
      </c>
      <c r="G605" s="62"/>
      <c r="H605" s="35" t="n">
        <v>0</v>
      </c>
      <c r="I605" s="34" t="n">
        <f aca="false">+IF(E605=0,0,E605*0.03)</f>
        <v>0</v>
      </c>
    </row>
    <row r="606" customFormat="false" ht="15.75" hidden="false" customHeight="true" outlineLevel="0" collapsed="false">
      <c r="A606" s="30" t="n">
        <v>45444</v>
      </c>
      <c r="B606" s="31" t="s">
        <v>153</v>
      </c>
      <c r="C606" s="32"/>
      <c r="D606" s="32"/>
      <c r="E606" s="19" t="n">
        <f aca="false">+F606*0.03</f>
        <v>0</v>
      </c>
      <c r="F606" s="33" t="n">
        <v>0</v>
      </c>
      <c r="G606" s="62"/>
      <c r="H606" s="35" t="n">
        <v>0</v>
      </c>
      <c r="I606" s="34" t="n">
        <f aca="false">+IF(E606=0,0,E606*0.03)</f>
        <v>0</v>
      </c>
    </row>
    <row r="607" customFormat="false" ht="15.75" hidden="false" customHeight="true" outlineLevel="0" collapsed="false">
      <c r="A607" s="30" t="n">
        <v>45444</v>
      </c>
      <c r="B607" s="31" t="s">
        <v>153</v>
      </c>
      <c r="C607" s="32"/>
      <c r="D607" s="32"/>
      <c r="E607" s="19" t="n">
        <f aca="false">+F607*0.03</f>
        <v>0</v>
      </c>
      <c r="F607" s="33" t="n">
        <v>0</v>
      </c>
      <c r="G607" s="62"/>
      <c r="H607" s="35" t="n">
        <v>0</v>
      </c>
      <c r="I607" s="34" t="n">
        <f aca="false">+IF(E607=0,0,E607*0.03)</f>
        <v>0</v>
      </c>
    </row>
    <row r="608" customFormat="false" ht="15.75" hidden="false" customHeight="true" outlineLevel="0" collapsed="false">
      <c r="A608" s="30" t="n">
        <v>45444</v>
      </c>
      <c r="B608" s="31" t="s">
        <v>153</v>
      </c>
      <c r="C608" s="32"/>
      <c r="D608" s="32"/>
      <c r="E608" s="19" t="n">
        <f aca="false">+F608*0.03</f>
        <v>0</v>
      </c>
      <c r="F608" s="33" t="n">
        <v>0</v>
      </c>
      <c r="G608" s="62"/>
      <c r="H608" s="35" t="n">
        <v>0</v>
      </c>
      <c r="I608" s="34" t="n">
        <f aca="false">+IF(E608=0,0,E608*0.03)</f>
        <v>0</v>
      </c>
    </row>
    <row r="609" customFormat="false" ht="15.75" hidden="false" customHeight="true" outlineLevel="0" collapsed="false">
      <c r="A609" s="30" t="n">
        <v>45444</v>
      </c>
      <c r="B609" s="31" t="s">
        <v>153</v>
      </c>
      <c r="C609" s="32"/>
      <c r="D609" s="32"/>
      <c r="E609" s="19" t="n">
        <f aca="false">+F609*0.03</f>
        <v>0</v>
      </c>
      <c r="F609" s="33" t="n">
        <v>0</v>
      </c>
      <c r="G609" s="62"/>
      <c r="H609" s="35" t="n">
        <v>0</v>
      </c>
      <c r="I609" s="34" t="n">
        <f aca="false">+IF(E609=0,0,E609*0.03)</f>
        <v>0</v>
      </c>
    </row>
    <row r="610" customFormat="false" ht="15.75" hidden="false" customHeight="true" outlineLevel="0" collapsed="false">
      <c r="A610" s="30" t="n">
        <v>45444</v>
      </c>
      <c r="B610" s="31" t="s">
        <v>153</v>
      </c>
      <c r="C610" s="32"/>
      <c r="D610" s="32"/>
      <c r="E610" s="19" t="n">
        <f aca="false">+F610*0.03</f>
        <v>0</v>
      </c>
      <c r="F610" s="33" t="n">
        <v>0</v>
      </c>
      <c r="G610" s="62"/>
      <c r="H610" s="35" t="n">
        <v>0</v>
      </c>
      <c r="I610" s="34" t="n">
        <f aca="false">+IF(E610=0,0,E610*0.03)</f>
        <v>0</v>
      </c>
    </row>
    <row r="611" customFormat="false" ht="15.75" hidden="false" customHeight="true" outlineLevel="0" collapsed="false">
      <c r="A611" s="30" t="n">
        <v>45444</v>
      </c>
      <c r="B611" s="31" t="s">
        <v>153</v>
      </c>
      <c r="C611" s="32"/>
      <c r="D611" s="32"/>
      <c r="E611" s="19" t="n">
        <f aca="false">+F611*0.03</f>
        <v>0</v>
      </c>
      <c r="F611" s="33" t="n">
        <v>0</v>
      </c>
      <c r="G611" s="62"/>
      <c r="H611" s="35" t="n">
        <v>0</v>
      </c>
      <c r="I611" s="34" t="n">
        <f aca="false">+IF(E611=0,0,E611*0.03)</f>
        <v>0</v>
      </c>
    </row>
    <row r="612" customFormat="false" ht="15.75" hidden="false" customHeight="true" outlineLevel="0" collapsed="false">
      <c r="A612" s="30" t="n">
        <v>45444</v>
      </c>
      <c r="B612" s="31" t="s">
        <v>153</v>
      </c>
      <c r="C612" s="32"/>
      <c r="D612" s="32"/>
      <c r="E612" s="19" t="n">
        <f aca="false">+F612*0.03</f>
        <v>0</v>
      </c>
      <c r="F612" s="33" t="n">
        <v>0</v>
      </c>
      <c r="G612" s="62"/>
      <c r="H612" s="35" t="n">
        <v>0</v>
      </c>
      <c r="I612" s="34" t="n">
        <f aca="false">+IF(E612=0,0,E612*0.03)</f>
        <v>0</v>
      </c>
    </row>
    <row r="613" customFormat="false" ht="15.75" hidden="false" customHeight="true" outlineLevel="0" collapsed="false">
      <c r="A613" s="30" t="n">
        <v>45444</v>
      </c>
      <c r="B613" s="31" t="s">
        <v>153</v>
      </c>
      <c r="C613" s="32"/>
      <c r="D613" s="32"/>
      <c r="E613" s="19" t="n">
        <f aca="false">+F613*0.03</f>
        <v>0</v>
      </c>
      <c r="F613" s="33" t="n">
        <v>0</v>
      </c>
      <c r="G613" s="62"/>
      <c r="H613" s="35" t="n">
        <v>0</v>
      </c>
      <c r="I613" s="34" t="n">
        <f aca="false">+IF(E613=0,0,E613*0.03)</f>
        <v>0</v>
      </c>
    </row>
    <row r="614" customFormat="false" ht="15.75" hidden="false" customHeight="true" outlineLevel="0" collapsed="false">
      <c r="A614" s="30" t="n">
        <v>45444</v>
      </c>
      <c r="B614" s="31" t="s">
        <v>153</v>
      </c>
      <c r="C614" s="32"/>
      <c r="D614" s="32"/>
      <c r="E614" s="19" t="n">
        <f aca="false">+F614*0.03</f>
        <v>0</v>
      </c>
      <c r="F614" s="33" t="n">
        <v>0</v>
      </c>
      <c r="G614" s="62"/>
      <c r="H614" s="35" t="n">
        <v>0</v>
      </c>
      <c r="I614" s="34" t="n">
        <f aca="false">+IF(E614=0,0,E614*0.03)</f>
        <v>0</v>
      </c>
    </row>
    <row r="615" customFormat="false" ht="15.75" hidden="false" customHeight="true" outlineLevel="0" collapsed="false">
      <c r="A615" s="30" t="n">
        <v>45444</v>
      </c>
      <c r="B615" s="31" t="s">
        <v>153</v>
      </c>
      <c r="C615" s="32"/>
      <c r="D615" s="32"/>
      <c r="E615" s="19" t="n">
        <f aca="false">+F615*0.03</f>
        <v>0</v>
      </c>
      <c r="F615" s="33" t="n">
        <v>0</v>
      </c>
      <c r="G615" s="62"/>
      <c r="H615" s="35" t="n">
        <v>0</v>
      </c>
      <c r="I615" s="34" t="n">
        <f aca="false">+IF(E615=0,0,E615*0.03)</f>
        <v>0</v>
      </c>
    </row>
    <row r="616" customFormat="false" ht="15.75" hidden="false" customHeight="true" outlineLevel="0" collapsed="false">
      <c r="A616" s="30" t="n">
        <v>45444</v>
      </c>
      <c r="B616" s="31" t="s">
        <v>153</v>
      </c>
      <c r="C616" s="32"/>
      <c r="D616" s="32"/>
      <c r="E616" s="19" t="n">
        <f aca="false">+F616*0.03</f>
        <v>0</v>
      </c>
      <c r="F616" s="33" t="n">
        <v>0</v>
      </c>
      <c r="G616" s="62"/>
      <c r="H616" s="35" t="n">
        <v>0</v>
      </c>
      <c r="I616" s="34" t="n">
        <f aca="false">+IF(E616=0,0,E616*0.03)</f>
        <v>0</v>
      </c>
    </row>
    <row r="617" customFormat="false" ht="15.75" hidden="false" customHeight="true" outlineLevel="0" collapsed="false">
      <c r="A617" s="30" t="n">
        <v>45444</v>
      </c>
      <c r="B617" s="31" t="s">
        <v>153</v>
      </c>
      <c r="C617" s="32"/>
      <c r="D617" s="32"/>
      <c r="E617" s="19" t="n">
        <f aca="false">+F617*0.03</f>
        <v>0</v>
      </c>
      <c r="F617" s="33" t="n">
        <v>0</v>
      </c>
      <c r="G617" s="62"/>
      <c r="H617" s="35" t="n">
        <v>0</v>
      </c>
      <c r="I617" s="34" t="n">
        <f aca="false">+IF(E617=0,0,E617*0.03)</f>
        <v>0</v>
      </c>
    </row>
    <row r="618" customFormat="false" ht="15.75" hidden="false" customHeight="true" outlineLevel="0" collapsed="false">
      <c r="A618" s="30" t="n">
        <v>45444</v>
      </c>
      <c r="B618" s="31" t="s">
        <v>153</v>
      </c>
      <c r="C618" s="32"/>
      <c r="D618" s="32"/>
      <c r="E618" s="19" t="n">
        <f aca="false">+F618*0.03</f>
        <v>0</v>
      </c>
      <c r="F618" s="33" t="n">
        <v>0</v>
      </c>
      <c r="G618" s="62"/>
      <c r="H618" s="35" t="n">
        <v>0</v>
      </c>
      <c r="I618" s="34" t="n">
        <f aca="false">+IF(E618=0,0,E618*0.03)</f>
        <v>0</v>
      </c>
    </row>
    <row r="619" customFormat="false" ht="15.75" hidden="false" customHeight="true" outlineLevel="0" collapsed="false">
      <c r="A619" s="30" t="n">
        <v>45444</v>
      </c>
      <c r="B619" s="31" t="s">
        <v>153</v>
      </c>
      <c r="C619" s="32"/>
      <c r="D619" s="32"/>
      <c r="E619" s="19" t="n">
        <f aca="false">+F619*0.03</f>
        <v>0</v>
      </c>
      <c r="F619" s="33" t="n">
        <v>0</v>
      </c>
      <c r="G619" s="62"/>
      <c r="H619" s="35" t="n">
        <v>0</v>
      </c>
      <c r="I619" s="34" t="n">
        <f aca="false">+IF(E619=0,0,E619*0.03)</f>
        <v>0</v>
      </c>
    </row>
    <row r="620" customFormat="false" ht="15.75" hidden="false" customHeight="true" outlineLevel="0" collapsed="false">
      <c r="A620" s="30" t="n">
        <v>45444</v>
      </c>
      <c r="B620" s="31" t="s">
        <v>153</v>
      </c>
      <c r="C620" s="32"/>
      <c r="D620" s="32"/>
      <c r="E620" s="19" t="n">
        <f aca="false">+F620*0.03</f>
        <v>0</v>
      </c>
      <c r="F620" s="33" t="n">
        <v>0</v>
      </c>
      <c r="G620" s="62"/>
      <c r="H620" s="35" t="n">
        <v>0</v>
      </c>
      <c r="I620" s="34" t="n">
        <f aca="false">+IF(E620=0,0,E620*0.03)</f>
        <v>0</v>
      </c>
    </row>
    <row r="621" customFormat="false" ht="15.75" hidden="false" customHeight="true" outlineLevel="0" collapsed="false">
      <c r="A621" s="30" t="n">
        <v>45444</v>
      </c>
      <c r="B621" s="31" t="s">
        <v>153</v>
      </c>
      <c r="C621" s="32"/>
      <c r="D621" s="32"/>
      <c r="E621" s="19" t="n">
        <f aca="false">+F621*0.03</f>
        <v>0</v>
      </c>
      <c r="F621" s="33" t="n">
        <v>0</v>
      </c>
      <c r="G621" s="62"/>
      <c r="H621" s="35" t="n">
        <v>0</v>
      </c>
      <c r="I621" s="34" t="n">
        <f aca="false">+IF(E621=0,0,E621*0.03)</f>
        <v>0</v>
      </c>
    </row>
    <row r="622" customFormat="false" ht="15.75" hidden="false" customHeight="true" outlineLevel="0" collapsed="false">
      <c r="A622" s="30" t="n">
        <v>45444</v>
      </c>
      <c r="B622" s="31" t="s">
        <v>153</v>
      </c>
      <c r="C622" s="32"/>
      <c r="D622" s="32"/>
      <c r="E622" s="19" t="n">
        <f aca="false">+F622*0.03</f>
        <v>0</v>
      </c>
      <c r="F622" s="33" t="n">
        <v>0</v>
      </c>
      <c r="G622" s="62"/>
      <c r="H622" s="35" t="n">
        <v>0</v>
      </c>
      <c r="I622" s="34" t="n">
        <f aca="false">+IF(E622=0,0,E622*0.03)</f>
        <v>0</v>
      </c>
    </row>
    <row r="623" customFormat="false" ht="15.75" hidden="false" customHeight="true" outlineLevel="0" collapsed="false">
      <c r="A623" s="30" t="n">
        <v>45444</v>
      </c>
      <c r="B623" s="31" t="s">
        <v>153</v>
      </c>
      <c r="C623" s="32"/>
      <c r="D623" s="32"/>
      <c r="E623" s="19" t="n">
        <f aca="false">+F623*0.03</f>
        <v>0</v>
      </c>
      <c r="F623" s="33" t="n">
        <v>0</v>
      </c>
      <c r="G623" s="62"/>
      <c r="H623" s="35" t="n">
        <v>0</v>
      </c>
      <c r="I623" s="34" t="n">
        <f aca="false">+IF(E623=0,0,E623*0.03)</f>
        <v>0</v>
      </c>
    </row>
    <row r="624" customFormat="false" ht="15.75" hidden="false" customHeight="true" outlineLevel="0" collapsed="false">
      <c r="A624" s="30" t="n">
        <v>45444</v>
      </c>
      <c r="B624" s="31" t="s">
        <v>153</v>
      </c>
      <c r="C624" s="32"/>
      <c r="D624" s="32"/>
      <c r="E624" s="19" t="n">
        <f aca="false">+F624*0.03</f>
        <v>0</v>
      </c>
      <c r="F624" s="33" t="n">
        <v>0</v>
      </c>
      <c r="G624" s="62"/>
      <c r="H624" s="35" t="n">
        <v>0</v>
      </c>
      <c r="I624" s="34" t="n">
        <f aca="false">+IF(E624=0,0,E624*0.03)</f>
        <v>0</v>
      </c>
    </row>
    <row r="625" customFormat="false" ht="15.75" hidden="false" customHeight="true" outlineLevel="0" collapsed="false">
      <c r="A625" s="30" t="n">
        <v>45444</v>
      </c>
      <c r="B625" s="31" t="s">
        <v>153</v>
      </c>
      <c r="C625" s="32"/>
      <c r="D625" s="32"/>
      <c r="E625" s="19" t="n">
        <f aca="false">+F625*0.03</f>
        <v>0</v>
      </c>
      <c r="F625" s="33" t="n">
        <v>0</v>
      </c>
      <c r="G625" s="62"/>
      <c r="H625" s="35" t="n">
        <v>0</v>
      </c>
      <c r="I625" s="34" t="n">
        <f aca="false">+IF(E625=0,0,E625*0.03)</f>
        <v>0</v>
      </c>
    </row>
    <row r="626" customFormat="false" ht="15.75" hidden="false" customHeight="true" outlineLevel="0" collapsed="false">
      <c r="A626" s="30" t="n">
        <v>45444</v>
      </c>
      <c r="B626" s="31" t="s">
        <v>153</v>
      </c>
      <c r="C626" s="32"/>
      <c r="D626" s="32"/>
      <c r="E626" s="19" t="n">
        <f aca="false">+F626*0.03</f>
        <v>0</v>
      </c>
      <c r="F626" s="33" t="n">
        <v>0</v>
      </c>
      <c r="G626" s="62"/>
      <c r="H626" s="35" t="n">
        <v>0</v>
      </c>
      <c r="I626" s="34" t="n">
        <f aca="false">+IF(E626=0,0,E626*0.03)</f>
        <v>0</v>
      </c>
    </row>
    <row r="627" customFormat="false" ht="15.75" hidden="false" customHeight="true" outlineLevel="0" collapsed="false">
      <c r="A627" s="30" t="n">
        <v>45444</v>
      </c>
      <c r="B627" s="31" t="s">
        <v>153</v>
      </c>
      <c r="C627" s="32"/>
      <c r="D627" s="32"/>
      <c r="E627" s="19" t="n">
        <f aca="false">+F627*0.03</f>
        <v>0</v>
      </c>
      <c r="F627" s="33" t="n">
        <v>0</v>
      </c>
      <c r="G627" s="62"/>
      <c r="H627" s="35" t="n">
        <v>0</v>
      </c>
      <c r="I627" s="34" t="n">
        <f aca="false">+IF(E627=0,0,E627*0.03)</f>
        <v>0</v>
      </c>
    </row>
    <row r="628" customFormat="false" ht="15.75" hidden="false" customHeight="true" outlineLevel="0" collapsed="false">
      <c r="A628" s="30" t="n">
        <v>45444</v>
      </c>
      <c r="B628" s="31" t="s">
        <v>153</v>
      </c>
      <c r="C628" s="32"/>
      <c r="D628" s="32"/>
      <c r="E628" s="19" t="n">
        <f aca="false">+F628*0.03</f>
        <v>0</v>
      </c>
      <c r="F628" s="33" t="n">
        <v>0</v>
      </c>
      <c r="G628" s="62"/>
      <c r="H628" s="35" t="n">
        <v>0</v>
      </c>
      <c r="I628" s="34" t="n">
        <f aca="false">+IF(E628=0,0,E628*0.03)</f>
        <v>0</v>
      </c>
    </row>
    <row r="629" customFormat="false" ht="15.75" hidden="false" customHeight="true" outlineLevel="0" collapsed="false">
      <c r="A629" s="30" t="n">
        <v>45444</v>
      </c>
      <c r="B629" s="31" t="s">
        <v>153</v>
      </c>
      <c r="C629" s="32"/>
      <c r="D629" s="32"/>
      <c r="E629" s="19" t="n">
        <f aca="false">+F629*0.03</f>
        <v>0</v>
      </c>
      <c r="F629" s="33" t="n">
        <v>0</v>
      </c>
      <c r="G629" s="62"/>
      <c r="H629" s="35" t="n">
        <v>0</v>
      </c>
      <c r="I629" s="34" t="n">
        <f aca="false">+IF(E629=0,0,E629*0.03)</f>
        <v>0</v>
      </c>
    </row>
    <row r="630" customFormat="false" ht="15.75" hidden="false" customHeight="true" outlineLevel="0" collapsed="false">
      <c r="A630" s="30" t="n">
        <v>45444</v>
      </c>
      <c r="B630" s="31" t="s">
        <v>153</v>
      </c>
      <c r="C630" s="32"/>
      <c r="D630" s="32"/>
      <c r="E630" s="19" t="n">
        <f aca="false">+F630*0.03</f>
        <v>0</v>
      </c>
      <c r="F630" s="33" t="n">
        <v>0</v>
      </c>
      <c r="G630" s="62"/>
      <c r="H630" s="35" t="n">
        <v>0</v>
      </c>
      <c r="I630" s="34" t="n">
        <f aca="false">+IF(E630=0,0,E630*0.03)</f>
        <v>0</v>
      </c>
    </row>
    <row r="631" customFormat="false" ht="15.75" hidden="false" customHeight="true" outlineLevel="0" collapsed="false">
      <c r="A631" s="30" t="n">
        <v>45444</v>
      </c>
      <c r="B631" s="31" t="s">
        <v>153</v>
      </c>
      <c r="C631" s="32"/>
      <c r="D631" s="32"/>
      <c r="E631" s="19" t="n">
        <f aca="false">+F631*0.03</f>
        <v>0</v>
      </c>
      <c r="F631" s="33" t="n">
        <v>0</v>
      </c>
      <c r="G631" s="62"/>
      <c r="H631" s="35" t="n">
        <v>0</v>
      </c>
      <c r="I631" s="34" t="n">
        <f aca="false">+IF(E631=0,0,E631*0.03)</f>
        <v>0</v>
      </c>
    </row>
    <row r="632" customFormat="false" ht="15.75" hidden="false" customHeight="true" outlineLevel="0" collapsed="false">
      <c r="A632" s="30" t="n">
        <v>45444</v>
      </c>
      <c r="B632" s="31" t="s">
        <v>153</v>
      </c>
      <c r="C632" s="32"/>
      <c r="D632" s="32"/>
      <c r="E632" s="19" t="n">
        <f aca="false">+F632*0.03</f>
        <v>0</v>
      </c>
      <c r="F632" s="33" t="n">
        <v>0</v>
      </c>
      <c r="G632" s="62"/>
      <c r="H632" s="35" t="n">
        <v>0</v>
      </c>
      <c r="I632" s="34" t="n">
        <f aca="false">+IF(E632=0,0,E632*0.03)</f>
        <v>0</v>
      </c>
    </row>
    <row r="633" customFormat="false" ht="15.75" hidden="false" customHeight="true" outlineLevel="0" collapsed="false">
      <c r="A633" s="30" t="n">
        <v>45444</v>
      </c>
      <c r="B633" s="31" t="s">
        <v>153</v>
      </c>
      <c r="C633" s="32"/>
      <c r="D633" s="32"/>
      <c r="E633" s="19" t="n">
        <f aca="false">+F633*0.03</f>
        <v>0</v>
      </c>
      <c r="F633" s="33" t="n">
        <v>0</v>
      </c>
      <c r="G633" s="62"/>
      <c r="H633" s="35" t="n">
        <v>0</v>
      </c>
      <c r="I633" s="34" t="n">
        <f aca="false">+IF(E633=0,0,E633*0.03)</f>
        <v>0</v>
      </c>
    </row>
    <row r="634" customFormat="false" ht="15.75" hidden="false" customHeight="true" outlineLevel="0" collapsed="false">
      <c r="A634" s="30" t="n">
        <v>45444</v>
      </c>
      <c r="B634" s="31" t="s">
        <v>153</v>
      </c>
      <c r="C634" s="32"/>
      <c r="D634" s="32"/>
      <c r="E634" s="19" t="n">
        <f aca="false">+F634*0.03</f>
        <v>0</v>
      </c>
      <c r="F634" s="33" t="n">
        <v>0</v>
      </c>
      <c r="G634" s="62"/>
      <c r="H634" s="35" t="n">
        <v>0</v>
      </c>
      <c r="I634" s="34" t="n">
        <f aca="false">+IF(E634=0,0,E634*0.03)</f>
        <v>0</v>
      </c>
    </row>
    <row r="635" customFormat="false" ht="15.75" hidden="false" customHeight="true" outlineLevel="0" collapsed="false">
      <c r="A635" s="30" t="n">
        <v>45444</v>
      </c>
      <c r="B635" s="31" t="s">
        <v>153</v>
      </c>
      <c r="C635" s="32"/>
      <c r="D635" s="32"/>
      <c r="E635" s="19" t="n">
        <f aca="false">+F635*0.03</f>
        <v>0</v>
      </c>
      <c r="F635" s="33" t="n">
        <v>0</v>
      </c>
      <c r="G635" s="62"/>
      <c r="H635" s="35" t="n">
        <v>0</v>
      </c>
      <c r="I635" s="34" t="n">
        <f aca="false">+IF(E635=0,0,E635*0.03)</f>
        <v>0</v>
      </c>
    </row>
    <row r="636" customFormat="false" ht="15.75" hidden="false" customHeight="true" outlineLevel="0" collapsed="false">
      <c r="A636" s="30" t="n">
        <v>45444</v>
      </c>
      <c r="B636" s="31" t="s">
        <v>153</v>
      </c>
      <c r="C636" s="32"/>
      <c r="D636" s="32"/>
      <c r="E636" s="19" t="n">
        <f aca="false">+F636*0.03</f>
        <v>0</v>
      </c>
      <c r="F636" s="33" t="n">
        <v>0</v>
      </c>
      <c r="G636" s="62"/>
      <c r="H636" s="35" t="n">
        <v>0</v>
      </c>
      <c r="I636" s="34" t="n">
        <f aca="false">+IF(E636=0,0,E636*0.03)</f>
        <v>0</v>
      </c>
    </row>
    <row r="637" customFormat="false" ht="15.75" hidden="false" customHeight="true" outlineLevel="0" collapsed="false">
      <c r="A637" s="30" t="n">
        <v>45444</v>
      </c>
      <c r="B637" s="31" t="s">
        <v>153</v>
      </c>
      <c r="C637" s="32"/>
      <c r="D637" s="32"/>
      <c r="E637" s="19" t="n">
        <f aca="false">+F637*0.03</f>
        <v>0</v>
      </c>
      <c r="F637" s="33" t="n">
        <v>0</v>
      </c>
      <c r="G637" s="62"/>
      <c r="H637" s="35" t="n">
        <v>0</v>
      </c>
      <c r="I637" s="34" t="n">
        <f aca="false">+IF(E637=0,0,E637*0.03)</f>
        <v>0</v>
      </c>
    </row>
    <row r="638" customFormat="false" ht="15.75" hidden="false" customHeight="true" outlineLevel="0" collapsed="false">
      <c r="A638" s="30" t="n">
        <v>45444</v>
      </c>
      <c r="B638" s="31" t="s">
        <v>153</v>
      </c>
      <c r="C638" s="32"/>
      <c r="D638" s="32"/>
      <c r="E638" s="19" t="n">
        <f aca="false">+F638*0.03</f>
        <v>0</v>
      </c>
      <c r="F638" s="33" t="n">
        <v>0</v>
      </c>
      <c r="G638" s="62"/>
      <c r="H638" s="35" t="n">
        <v>0</v>
      </c>
      <c r="I638" s="34" t="n">
        <f aca="false">+IF(E638=0,0,E638*0.03)</f>
        <v>0</v>
      </c>
    </row>
    <row r="639" customFormat="false" ht="15.75" hidden="false" customHeight="true" outlineLevel="0" collapsed="false">
      <c r="A639" s="30" t="n">
        <v>45444</v>
      </c>
      <c r="B639" s="31" t="s">
        <v>153</v>
      </c>
      <c r="C639" s="32"/>
      <c r="D639" s="32"/>
      <c r="E639" s="19" t="n">
        <f aca="false">+F639*0.03</f>
        <v>0</v>
      </c>
      <c r="F639" s="33" t="n">
        <v>0</v>
      </c>
      <c r="G639" s="62"/>
      <c r="H639" s="35" t="n">
        <v>0</v>
      </c>
      <c r="I639" s="34" t="n">
        <f aca="false">+IF(E639=0,0,E639*0.03)</f>
        <v>0</v>
      </c>
    </row>
    <row r="640" customFormat="false" ht="15.75" hidden="false" customHeight="true" outlineLevel="0" collapsed="false">
      <c r="A640" s="30" t="n">
        <v>45444</v>
      </c>
      <c r="B640" s="31" t="s">
        <v>153</v>
      </c>
      <c r="C640" s="32"/>
      <c r="D640" s="32"/>
      <c r="E640" s="19" t="n">
        <f aca="false">+F640*0.03</f>
        <v>0</v>
      </c>
      <c r="F640" s="33" t="n">
        <v>0</v>
      </c>
      <c r="G640" s="62"/>
      <c r="H640" s="35" t="n">
        <v>0</v>
      </c>
      <c r="I640" s="34" t="n">
        <f aca="false">+IF(E640=0,0,E640*0.03)</f>
        <v>0</v>
      </c>
    </row>
    <row r="641" customFormat="false" ht="15.75" hidden="false" customHeight="true" outlineLevel="0" collapsed="false">
      <c r="A641" s="30" t="n">
        <v>45444</v>
      </c>
      <c r="B641" s="31" t="s">
        <v>153</v>
      </c>
      <c r="C641" s="32"/>
      <c r="D641" s="32"/>
      <c r="E641" s="19" t="n">
        <f aca="false">+F641*0.03</f>
        <v>0</v>
      </c>
      <c r="F641" s="33" t="n">
        <v>0</v>
      </c>
      <c r="G641" s="62"/>
      <c r="H641" s="35" t="n">
        <v>0</v>
      </c>
      <c r="I641" s="34" t="n">
        <f aca="false">+IF(E641=0,0,E641*0.03)</f>
        <v>0</v>
      </c>
    </row>
    <row r="642" customFormat="false" ht="15.75" hidden="false" customHeight="true" outlineLevel="0" collapsed="false">
      <c r="A642" s="30" t="n">
        <v>45444</v>
      </c>
      <c r="B642" s="31" t="s">
        <v>153</v>
      </c>
      <c r="C642" s="32"/>
      <c r="D642" s="32"/>
      <c r="E642" s="19" t="n">
        <f aca="false">+F642*0.03</f>
        <v>0</v>
      </c>
      <c r="F642" s="33" t="n">
        <v>0</v>
      </c>
      <c r="G642" s="62"/>
      <c r="H642" s="35" t="n">
        <v>0</v>
      </c>
      <c r="I642" s="34" t="n">
        <f aca="false">+IF(E642=0,0,E642*0.03)</f>
        <v>0</v>
      </c>
    </row>
    <row r="643" customFormat="false" ht="15.75" hidden="false" customHeight="true" outlineLevel="0" collapsed="false">
      <c r="A643" s="30" t="n">
        <v>45444</v>
      </c>
      <c r="B643" s="31" t="s">
        <v>153</v>
      </c>
      <c r="C643" s="32"/>
      <c r="D643" s="32"/>
      <c r="E643" s="19" t="n">
        <f aca="false">+F643*0.03</f>
        <v>0</v>
      </c>
      <c r="F643" s="33" t="n">
        <v>0</v>
      </c>
      <c r="G643" s="62"/>
      <c r="H643" s="35" t="n">
        <v>0</v>
      </c>
      <c r="I643" s="34" t="n">
        <f aca="false">+IF(E643=0,0,E643*0.03)</f>
        <v>0</v>
      </c>
    </row>
    <row r="644" customFormat="false" ht="15.75" hidden="false" customHeight="true" outlineLevel="0" collapsed="false">
      <c r="A644" s="30" t="n">
        <v>45444</v>
      </c>
      <c r="B644" s="31" t="s">
        <v>153</v>
      </c>
      <c r="C644" s="32"/>
      <c r="D644" s="32"/>
      <c r="E644" s="19" t="n">
        <f aca="false">+F644*0.03</f>
        <v>0</v>
      </c>
      <c r="F644" s="33" t="n">
        <v>0</v>
      </c>
      <c r="G644" s="62"/>
      <c r="H644" s="35" t="n">
        <v>0</v>
      </c>
      <c r="I644" s="34" t="n">
        <f aca="false">+IF(E644=0,0,E644*0.03)</f>
        <v>0</v>
      </c>
    </row>
    <row r="645" customFormat="false" ht="15.75" hidden="false" customHeight="true" outlineLevel="0" collapsed="false">
      <c r="A645" s="30" t="n">
        <v>45444</v>
      </c>
      <c r="B645" s="31" t="s">
        <v>153</v>
      </c>
      <c r="C645" s="32"/>
      <c r="D645" s="32"/>
      <c r="E645" s="19" t="n">
        <f aca="false">+F645*0.03</f>
        <v>0</v>
      </c>
      <c r="F645" s="33" t="n">
        <v>0</v>
      </c>
      <c r="G645" s="62"/>
      <c r="H645" s="35" t="n">
        <v>0</v>
      </c>
      <c r="I645" s="34" t="n">
        <f aca="false">+IF(E645=0,0,E645*0.03)</f>
        <v>0</v>
      </c>
    </row>
    <row r="646" customFormat="false" ht="15.75" hidden="false" customHeight="true" outlineLevel="0" collapsed="false">
      <c r="A646" s="30" t="n">
        <v>45444</v>
      </c>
      <c r="B646" s="31" t="s">
        <v>153</v>
      </c>
      <c r="C646" s="32"/>
      <c r="D646" s="32"/>
      <c r="E646" s="19" t="n">
        <f aca="false">+F646*0.03</f>
        <v>0</v>
      </c>
      <c r="F646" s="33" t="n">
        <v>0</v>
      </c>
      <c r="G646" s="62"/>
      <c r="H646" s="35" t="n">
        <v>0</v>
      </c>
      <c r="I646" s="34" t="n">
        <f aca="false">+IF(E646=0,0,E646*0.03)</f>
        <v>0</v>
      </c>
    </row>
    <row r="647" customFormat="false" ht="15.75" hidden="false" customHeight="true" outlineLevel="0" collapsed="false">
      <c r="A647" s="30" t="n">
        <v>45444</v>
      </c>
      <c r="B647" s="31" t="s">
        <v>153</v>
      </c>
      <c r="C647" s="32"/>
      <c r="D647" s="32"/>
      <c r="E647" s="19" t="n">
        <f aca="false">+F647*0.03</f>
        <v>0</v>
      </c>
      <c r="F647" s="33" t="n">
        <v>0</v>
      </c>
      <c r="G647" s="62"/>
      <c r="H647" s="35" t="n">
        <v>0</v>
      </c>
      <c r="I647" s="34" t="n">
        <f aca="false">+IF(E647=0,0,E647*0.03)</f>
        <v>0</v>
      </c>
    </row>
    <row r="648" customFormat="false" ht="15.75" hidden="false" customHeight="true" outlineLevel="0" collapsed="false">
      <c r="A648" s="30" t="n">
        <v>45444</v>
      </c>
      <c r="B648" s="31" t="s">
        <v>153</v>
      </c>
      <c r="C648" s="32"/>
      <c r="D648" s="32"/>
      <c r="E648" s="19" t="n">
        <f aca="false">+F648*0.03</f>
        <v>0</v>
      </c>
      <c r="F648" s="33" t="n">
        <v>0</v>
      </c>
      <c r="G648" s="62"/>
      <c r="H648" s="35" t="n">
        <v>0</v>
      </c>
      <c r="I648" s="34" t="n">
        <f aca="false">+IF(E648=0,0,E648*0.03)</f>
        <v>0</v>
      </c>
    </row>
    <row r="649" customFormat="false" ht="15.75" hidden="false" customHeight="true" outlineLevel="0" collapsed="false">
      <c r="A649" s="30" t="n">
        <v>45444</v>
      </c>
      <c r="B649" s="31" t="s">
        <v>153</v>
      </c>
      <c r="C649" s="32"/>
      <c r="D649" s="32"/>
      <c r="E649" s="19" t="n">
        <f aca="false">+F649*0.03</f>
        <v>0</v>
      </c>
      <c r="F649" s="33" t="n">
        <v>0</v>
      </c>
      <c r="G649" s="62"/>
      <c r="H649" s="35" t="n">
        <v>0</v>
      </c>
      <c r="I649" s="34" t="n">
        <f aca="false">+IF(E649=0,0,E649*0.03)</f>
        <v>0</v>
      </c>
    </row>
    <row r="650" customFormat="false" ht="15.75" hidden="false" customHeight="true" outlineLevel="0" collapsed="false">
      <c r="A650" s="30" t="n">
        <v>45444</v>
      </c>
      <c r="B650" s="31" t="s">
        <v>153</v>
      </c>
      <c r="C650" s="32"/>
      <c r="D650" s="32"/>
      <c r="E650" s="19" t="n">
        <f aca="false">+F650*0.03</f>
        <v>0</v>
      </c>
      <c r="F650" s="33" t="n">
        <v>0</v>
      </c>
      <c r="G650" s="62"/>
      <c r="H650" s="35" t="n">
        <v>0</v>
      </c>
      <c r="I650" s="34" t="n">
        <f aca="false">+IF(E650=0,0,E650*0.03)</f>
        <v>0</v>
      </c>
    </row>
    <row r="651" customFormat="false" ht="15.75" hidden="false" customHeight="true" outlineLevel="0" collapsed="false">
      <c r="A651" s="30" t="n">
        <v>45444</v>
      </c>
      <c r="B651" s="31" t="s">
        <v>153</v>
      </c>
      <c r="C651" s="32"/>
      <c r="D651" s="32"/>
      <c r="E651" s="19" t="n">
        <f aca="false">+F651*0.03</f>
        <v>0</v>
      </c>
      <c r="F651" s="33" t="n">
        <v>0</v>
      </c>
      <c r="G651" s="62"/>
      <c r="H651" s="35" t="n">
        <v>0</v>
      </c>
      <c r="I651" s="34" t="n">
        <f aca="false">+IF(E651=0,0,E651*0.03)</f>
        <v>0</v>
      </c>
    </row>
    <row r="652" customFormat="false" ht="15.75" hidden="false" customHeight="true" outlineLevel="0" collapsed="false">
      <c r="A652" s="30" t="n">
        <v>45444</v>
      </c>
      <c r="B652" s="31" t="s">
        <v>153</v>
      </c>
      <c r="C652" s="32"/>
      <c r="D652" s="32"/>
      <c r="E652" s="19" t="n">
        <f aca="false">+F652*0.03</f>
        <v>0</v>
      </c>
      <c r="F652" s="33" t="n">
        <v>0</v>
      </c>
      <c r="G652" s="62"/>
      <c r="H652" s="35" t="n">
        <v>0</v>
      </c>
      <c r="I652" s="34" t="n">
        <f aca="false">+IF(E652=0,0,E652*0.03)</f>
        <v>0</v>
      </c>
    </row>
    <row r="653" customFormat="false" ht="15.75" hidden="false" customHeight="true" outlineLevel="0" collapsed="false">
      <c r="A653" s="30" t="n">
        <v>45444</v>
      </c>
      <c r="B653" s="31" t="s">
        <v>153</v>
      </c>
      <c r="C653" s="32"/>
      <c r="D653" s="32"/>
      <c r="E653" s="19" t="n">
        <f aca="false">+F653*0.03</f>
        <v>0</v>
      </c>
      <c r="F653" s="33" t="n">
        <v>0</v>
      </c>
      <c r="G653" s="62"/>
      <c r="H653" s="35" t="n">
        <v>0</v>
      </c>
      <c r="I653" s="34" t="n">
        <f aca="false">+IF(E653=0,0,E653*0.03)</f>
        <v>0</v>
      </c>
    </row>
    <row r="654" customFormat="false" ht="15.75" hidden="false" customHeight="true" outlineLevel="0" collapsed="false">
      <c r="A654" s="30" t="n">
        <v>45444</v>
      </c>
      <c r="B654" s="31" t="s">
        <v>153</v>
      </c>
      <c r="C654" s="32"/>
      <c r="D654" s="32"/>
      <c r="E654" s="19" t="n">
        <f aca="false">+F654*0.03</f>
        <v>0</v>
      </c>
      <c r="F654" s="33" t="n">
        <v>0</v>
      </c>
      <c r="G654" s="62"/>
      <c r="H654" s="35" t="n">
        <v>0</v>
      </c>
      <c r="I654" s="34" t="n">
        <f aca="false">+IF(E654=0,0,E654*0.03)</f>
        <v>0</v>
      </c>
    </row>
    <row r="655" customFormat="false" ht="15.75" hidden="false" customHeight="true" outlineLevel="0" collapsed="false">
      <c r="A655" s="30" t="n">
        <v>45444</v>
      </c>
      <c r="B655" s="31" t="s">
        <v>153</v>
      </c>
      <c r="C655" s="32"/>
      <c r="D655" s="32"/>
      <c r="E655" s="19" t="n">
        <f aca="false">+F655*0.03</f>
        <v>0</v>
      </c>
      <c r="F655" s="33" t="n">
        <v>0</v>
      </c>
      <c r="G655" s="62"/>
      <c r="H655" s="35" t="n">
        <v>0</v>
      </c>
      <c r="I655" s="34" t="n">
        <f aca="false">+IF(E655=0,0,E655*0.03)</f>
        <v>0</v>
      </c>
    </row>
    <row r="656" customFormat="false" ht="15.75" hidden="false" customHeight="true" outlineLevel="0" collapsed="false">
      <c r="A656" s="30" t="n">
        <v>45444</v>
      </c>
      <c r="B656" s="31" t="s">
        <v>153</v>
      </c>
      <c r="C656" s="32"/>
      <c r="D656" s="32"/>
      <c r="E656" s="19" t="n">
        <f aca="false">+F656*0.03</f>
        <v>0</v>
      </c>
      <c r="F656" s="33" t="n">
        <v>0</v>
      </c>
      <c r="G656" s="62"/>
      <c r="H656" s="35" t="n">
        <v>0</v>
      </c>
      <c r="I656" s="34" t="n">
        <f aca="false">+IF(E656=0,0,E656*0.03)</f>
        <v>0</v>
      </c>
    </row>
    <row r="657" customFormat="false" ht="15.75" hidden="false" customHeight="true" outlineLevel="0" collapsed="false">
      <c r="A657" s="30" t="n">
        <v>45444</v>
      </c>
      <c r="B657" s="31" t="s">
        <v>153</v>
      </c>
      <c r="C657" s="32"/>
      <c r="D657" s="32"/>
      <c r="E657" s="19" t="n">
        <f aca="false">+F657*0.03</f>
        <v>0</v>
      </c>
      <c r="F657" s="33" t="n">
        <v>0</v>
      </c>
      <c r="G657" s="62"/>
      <c r="H657" s="35" t="n">
        <v>0</v>
      </c>
      <c r="I657" s="34" t="n">
        <f aca="false">+IF(E657=0,0,E657*0.03)</f>
        <v>0</v>
      </c>
    </row>
    <row r="658" customFormat="false" ht="15.75" hidden="false" customHeight="true" outlineLevel="0" collapsed="false">
      <c r="A658" s="30" t="n">
        <v>45444</v>
      </c>
      <c r="B658" s="31" t="s">
        <v>153</v>
      </c>
      <c r="C658" s="32"/>
      <c r="D658" s="32"/>
      <c r="E658" s="19" t="n">
        <f aca="false">+F658*0.03</f>
        <v>0</v>
      </c>
      <c r="F658" s="33" t="n">
        <v>0</v>
      </c>
      <c r="G658" s="62"/>
      <c r="H658" s="35" t="n">
        <v>0</v>
      </c>
      <c r="I658" s="34" t="n">
        <f aca="false">+IF(E658=0,0,E658*0.03)</f>
        <v>0</v>
      </c>
    </row>
    <row r="659" customFormat="false" ht="15.75" hidden="false" customHeight="true" outlineLevel="0" collapsed="false">
      <c r="A659" s="30" t="n">
        <v>45444</v>
      </c>
      <c r="B659" s="31" t="s">
        <v>153</v>
      </c>
      <c r="C659" s="32"/>
      <c r="D659" s="32"/>
      <c r="E659" s="19" t="n">
        <f aca="false">+F659*0.03</f>
        <v>0</v>
      </c>
      <c r="F659" s="33" t="n">
        <v>0</v>
      </c>
      <c r="G659" s="62"/>
      <c r="H659" s="35" t="n">
        <v>0</v>
      </c>
      <c r="I659" s="34" t="n">
        <f aca="false">+IF(E659=0,0,E659*0.03)</f>
        <v>0</v>
      </c>
    </row>
    <row r="660" customFormat="false" ht="15.75" hidden="false" customHeight="true" outlineLevel="0" collapsed="false">
      <c r="A660" s="30" t="n">
        <v>45444</v>
      </c>
      <c r="B660" s="31" t="s">
        <v>153</v>
      </c>
      <c r="C660" s="32"/>
      <c r="D660" s="32"/>
      <c r="E660" s="19" t="n">
        <f aca="false">+F660*0.03</f>
        <v>0</v>
      </c>
      <c r="F660" s="33" t="n">
        <v>0</v>
      </c>
      <c r="G660" s="62"/>
      <c r="H660" s="35" t="n">
        <v>0</v>
      </c>
      <c r="I660" s="34" t="n">
        <f aca="false">+IF(E660=0,0,E660*0.03)</f>
        <v>0</v>
      </c>
    </row>
    <row r="661" customFormat="false" ht="15.75" hidden="false" customHeight="true" outlineLevel="0" collapsed="false">
      <c r="A661" s="30" t="n">
        <v>45444</v>
      </c>
      <c r="B661" s="31" t="s">
        <v>153</v>
      </c>
      <c r="C661" s="32"/>
      <c r="D661" s="32"/>
      <c r="E661" s="19" t="n">
        <f aca="false">+F661*0.03</f>
        <v>0</v>
      </c>
      <c r="F661" s="33" t="n">
        <v>0</v>
      </c>
      <c r="G661" s="62"/>
      <c r="H661" s="35" t="n">
        <v>0</v>
      </c>
      <c r="I661" s="34" t="n">
        <f aca="false">+IF(E661=0,0,E661*0.03)</f>
        <v>0</v>
      </c>
    </row>
    <row r="662" customFormat="false" ht="15.75" hidden="false" customHeight="true" outlineLevel="0" collapsed="false">
      <c r="A662" s="30" t="n">
        <v>45444</v>
      </c>
      <c r="B662" s="31" t="s">
        <v>153</v>
      </c>
      <c r="C662" s="32"/>
      <c r="D662" s="32"/>
      <c r="E662" s="19" t="n">
        <f aca="false">+F662*0.03</f>
        <v>0</v>
      </c>
      <c r="F662" s="33" t="n">
        <v>0</v>
      </c>
      <c r="G662" s="62"/>
      <c r="H662" s="35" t="n">
        <v>0</v>
      </c>
      <c r="I662" s="34" t="n">
        <f aca="false">+IF(E662=0,0,E662*0.03)</f>
        <v>0</v>
      </c>
    </row>
    <row r="663" customFormat="false" ht="15.75" hidden="false" customHeight="true" outlineLevel="0" collapsed="false">
      <c r="A663" s="30" t="n">
        <v>45444</v>
      </c>
      <c r="B663" s="31" t="s">
        <v>153</v>
      </c>
      <c r="C663" s="32"/>
      <c r="D663" s="32"/>
      <c r="E663" s="19" t="n">
        <f aca="false">+F663*0.03</f>
        <v>0</v>
      </c>
      <c r="F663" s="33" t="n">
        <v>0</v>
      </c>
      <c r="G663" s="62"/>
      <c r="H663" s="35" t="n">
        <v>0</v>
      </c>
      <c r="I663" s="34" t="n">
        <f aca="false">+IF(E663=0,0,E663*0.03)</f>
        <v>0</v>
      </c>
    </row>
    <row r="664" customFormat="false" ht="15.75" hidden="false" customHeight="true" outlineLevel="0" collapsed="false">
      <c r="A664" s="30" t="n">
        <v>45444</v>
      </c>
      <c r="B664" s="31" t="s">
        <v>153</v>
      </c>
      <c r="C664" s="32"/>
      <c r="D664" s="32"/>
      <c r="E664" s="19" t="n">
        <f aca="false">+F664*0.03</f>
        <v>0</v>
      </c>
      <c r="F664" s="33" t="n">
        <v>0</v>
      </c>
      <c r="G664" s="62"/>
      <c r="H664" s="35" t="n">
        <v>0</v>
      </c>
      <c r="I664" s="34" t="n">
        <f aca="false">+IF(E664=0,0,E664*0.03)</f>
        <v>0</v>
      </c>
    </row>
    <row r="665" customFormat="false" ht="15.75" hidden="false" customHeight="true" outlineLevel="0" collapsed="false">
      <c r="A665" s="30" t="n">
        <v>45444</v>
      </c>
      <c r="B665" s="31" t="s">
        <v>153</v>
      </c>
      <c r="C665" s="32"/>
      <c r="D665" s="32"/>
      <c r="E665" s="19" t="n">
        <f aca="false">+F665*0.03</f>
        <v>0</v>
      </c>
      <c r="F665" s="33" t="n">
        <v>0</v>
      </c>
      <c r="G665" s="62"/>
      <c r="H665" s="35" t="n">
        <v>0</v>
      </c>
      <c r="I665" s="34" t="n">
        <f aca="false">+IF(E665=0,0,E665*0.03)</f>
        <v>0</v>
      </c>
    </row>
    <row r="666" customFormat="false" ht="15.75" hidden="false" customHeight="true" outlineLevel="0" collapsed="false">
      <c r="A666" s="30" t="n">
        <v>45444</v>
      </c>
      <c r="B666" s="31" t="s">
        <v>153</v>
      </c>
      <c r="C666" s="32"/>
      <c r="D666" s="32"/>
      <c r="E666" s="19" t="n">
        <f aca="false">+F666*0.03</f>
        <v>0</v>
      </c>
      <c r="F666" s="33" t="n">
        <v>0</v>
      </c>
      <c r="G666" s="62"/>
      <c r="H666" s="35" t="n">
        <v>0</v>
      </c>
      <c r="I666" s="34" t="n">
        <f aca="false">+IF(E666=0,0,E666*0.03)</f>
        <v>0</v>
      </c>
    </row>
    <row r="667" customFormat="false" ht="15.75" hidden="false" customHeight="true" outlineLevel="0" collapsed="false">
      <c r="A667" s="30" t="n">
        <v>45444</v>
      </c>
      <c r="B667" s="31" t="s">
        <v>153</v>
      </c>
      <c r="C667" s="32"/>
      <c r="D667" s="32"/>
      <c r="E667" s="19" t="n">
        <f aca="false">+F667*0.03</f>
        <v>0</v>
      </c>
      <c r="F667" s="33" t="n">
        <v>0</v>
      </c>
      <c r="G667" s="62"/>
      <c r="H667" s="35" t="n">
        <v>0</v>
      </c>
      <c r="I667" s="34" t="n">
        <f aca="false">+IF(E667=0,0,E667*0.03)</f>
        <v>0</v>
      </c>
    </row>
    <row r="668" customFormat="false" ht="15.75" hidden="false" customHeight="true" outlineLevel="0" collapsed="false">
      <c r="A668" s="30" t="n">
        <v>45444</v>
      </c>
      <c r="B668" s="31" t="s">
        <v>153</v>
      </c>
      <c r="C668" s="32"/>
      <c r="D668" s="32"/>
      <c r="E668" s="19" t="n">
        <f aca="false">+F668*0.03</f>
        <v>0</v>
      </c>
      <c r="F668" s="33" t="n">
        <v>0</v>
      </c>
      <c r="G668" s="62"/>
      <c r="H668" s="35" t="n">
        <v>0</v>
      </c>
      <c r="I668" s="34" t="n">
        <f aca="false">+IF(E668=0,0,E668*0.03)</f>
        <v>0</v>
      </c>
    </row>
    <row r="669" customFormat="false" ht="15.75" hidden="false" customHeight="true" outlineLevel="0" collapsed="false">
      <c r="A669" s="30" t="n">
        <v>45444</v>
      </c>
      <c r="B669" s="31" t="s">
        <v>153</v>
      </c>
      <c r="C669" s="32"/>
      <c r="D669" s="32"/>
      <c r="E669" s="19" t="n">
        <f aca="false">+F669*0.03</f>
        <v>0</v>
      </c>
      <c r="F669" s="33" t="n">
        <v>0</v>
      </c>
      <c r="G669" s="62"/>
      <c r="H669" s="35" t="n">
        <v>0</v>
      </c>
      <c r="I669" s="34" t="n">
        <f aca="false">+IF(E669=0,0,E669*0.03)</f>
        <v>0</v>
      </c>
    </row>
    <row r="670" customFormat="false" ht="15.75" hidden="false" customHeight="true" outlineLevel="0" collapsed="false">
      <c r="A670" s="30" t="n">
        <v>45444</v>
      </c>
      <c r="B670" s="31" t="s">
        <v>153</v>
      </c>
      <c r="C670" s="32"/>
      <c r="D670" s="32"/>
      <c r="E670" s="19" t="n">
        <f aca="false">+F670*0.03</f>
        <v>0</v>
      </c>
      <c r="F670" s="33" t="n">
        <v>0</v>
      </c>
      <c r="G670" s="62"/>
      <c r="H670" s="35" t="n">
        <v>0</v>
      </c>
      <c r="I670" s="34" t="n">
        <f aca="false">+IF(E670=0,0,E670*0.03)</f>
        <v>0</v>
      </c>
    </row>
    <row r="671" customFormat="false" ht="15.75" hidden="false" customHeight="true" outlineLevel="0" collapsed="false">
      <c r="A671" s="30" t="n">
        <v>45444</v>
      </c>
      <c r="B671" s="31" t="s">
        <v>153</v>
      </c>
      <c r="C671" s="32"/>
      <c r="D671" s="32"/>
      <c r="E671" s="19" t="n">
        <f aca="false">+F671*0.03</f>
        <v>0</v>
      </c>
      <c r="F671" s="33" t="n">
        <v>0</v>
      </c>
      <c r="G671" s="62"/>
      <c r="H671" s="35" t="n">
        <v>0</v>
      </c>
      <c r="I671" s="34" t="n">
        <f aca="false">+IF(E671=0,0,E671*0.03)</f>
        <v>0</v>
      </c>
    </row>
    <row r="672" customFormat="false" ht="15.75" hidden="false" customHeight="true" outlineLevel="0" collapsed="false">
      <c r="A672" s="30" t="n">
        <v>45444</v>
      </c>
      <c r="B672" s="31" t="s">
        <v>153</v>
      </c>
      <c r="C672" s="32"/>
      <c r="D672" s="32"/>
      <c r="E672" s="19" t="n">
        <f aca="false">+F672*0.03</f>
        <v>0</v>
      </c>
      <c r="F672" s="33" t="n">
        <v>0</v>
      </c>
      <c r="G672" s="62"/>
      <c r="H672" s="35" t="n">
        <v>0</v>
      </c>
      <c r="I672" s="34" t="n">
        <f aca="false">+IF(E672=0,0,E672*0.03)</f>
        <v>0</v>
      </c>
    </row>
    <row r="673" customFormat="false" ht="15.75" hidden="false" customHeight="true" outlineLevel="0" collapsed="false">
      <c r="A673" s="30" t="n">
        <v>45444</v>
      </c>
      <c r="B673" s="31" t="s">
        <v>153</v>
      </c>
      <c r="C673" s="32"/>
      <c r="D673" s="32"/>
      <c r="E673" s="19" t="n">
        <f aca="false">+F673*0.03</f>
        <v>0</v>
      </c>
      <c r="F673" s="33" t="n">
        <v>0</v>
      </c>
      <c r="G673" s="62"/>
      <c r="H673" s="35" t="n">
        <v>0</v>
      </c>
      <c r="I673" s="34" t="n">
        <f aca="false">+IF(E673=0,0,E673*0.03)</f>
        <v>0</v>
      </c>
    </row>
    <row r="674" customFormat="false" ht="15.75" hidden="false" customHeight="true" outlineLevel="0" collapsed="false">
      <c r="A674" s="30" t="n">
        <v>45444</v>
      </c>
      <c r="B674" s="31" t="s">
        <v>153</v>
      </c>
      <c r="C674" s="32"/>
      <c r="D674" s="32"/>
      <c r="E674" s="19" t="n">
        <f aca="false">+F674*0.03</f>
        <v>0</v>
      </c>
      <c r="F674" s="33" t="n">
        <v>0</v>
      </c>
      <c r="G674" s="62"/>
      <c r="H674" s="35" t="n">
        <v>0</v>
      </c>
      <c r="I674" s="34" t="n">
        <f aca="false">+IF(E674=0,0,E674*0.03)</f>
        <v>0</v>
      </c>
    </row>
    <row r="675" customFormat="false" ht="15.75" hidden="false" customHeight="true" outlineLevel="0" collapsed="false">
      <c r="A675" s="30" t="n">
        <v>45444</v>
      </c>
      <c r="B675" s="31" t="s">
        <v>153</v>
      </c>
      <c r="C675" s="32"/>
      <c r="D675" s="32"/>
      <c r="E675" s="19" t="n">
        <f aca="false">+F675*0.03</f>
        <v>0</v>
      </c>
      <c r="F675" s="33" t="n">
        <v>0</v>
      </c>
      <c r="G675" s="62"/>
      <c r="H675" s="35" t="n">
        <v>0</v>
      </c>
      <c r="I675" s="34" t="n">
        <f aca="false">+IF(E675=0,0,E675*0.03)</f>
        <v>0</v>
      </c>
    </row>
    <row r="676" customFormat="false" ht="15.75" hidden="false" customHeight="true" outlineLevel="0" collapsed="false">
      <c r="A676" s="30" t="n">
        <v>45444</v>
      </c>
      <c r="B676" s="31" t="s">
        <v>153</v>
      </c>
      <c r="C676" s="32"/>
      <c r="D676" s="32"/>
      <c r="E676" s="19" t="n">
        <f aca="false">+F676*0.03</f>
        <v>0</v>
      </c>
      <c r="F676" s="33" t="n">
        <v>0</v>
      </c>
      <c r="G676" s="62"/>
      <c r="H676" s="35" t="n">
        <v>0</v>
      </c>
      <c r="I676" s="34" t="n">
        <f aca="false">+IF(E676=0,0,E676*0.03)</f>
        <v>0</v>
      </c>
    </row>
    <row r="677" customFormat="false" ht="15.75" hidden="false" customHeight="true" outlineLevel="0" collapsed="false">
      <c r="A677" s="30" t="n">
        <v>45444</v>
      </c>
      <c r="B677" s="31" t="s">
        <v>153</v>
      </c>
      <c r="C677" s="32"/>
      <c r="D677" s="32"/>
      <c r="E677" s="19" t="n">
        <f aca="false">+F677*0.03</f>
        <v>0</v>
      </c>
      <c r="F677" s="33" t="n">
        <v>0</v>
      </c>
      <c r="G677" s="62"/>
      <c r="H677" s="35" t="n">
        <v>0</v>
      </c>
      <c r="I677" s="34" t="n">
        <f aca="false">+IF(E677=0,0,E677*0.03)</f>
        <v>0</v>
      </c>
    </row>
    <row r="678" customFormat="false" ht="15.75" hidden="false" customHeight="true" outlineLevel="0" collapsed="false">
      <c r="A678" s="30" t="n">
        <v>45444</v>
      </c>
      <c r="B678" s="31" t="s">
        <v>153</v>
      </c>
      <c r="C678" s="32"/>
      <c r="D678" s="32"/>
      <c r="E678" s="19" t="n">
        <f aca="false">+F678*0.03</f>
        <v>0</v>
      </c>
      <c r="F678" s="33" t="n">
        <v>0</v>
      </c>
      <c r="G678" s="62"/>
      <c r="H678" s="35" t="n">
        <v>0</v>
      </c>
      <c r="I678" s="34" t="n">
        <f aca="false">+IF(E678=0,0,E678*0.03)</f>
        <v>0</v>
      </c>
    </row>
    <row r="679" customFormat="false" ht="15.75" hidden="false" customHeight="true" outlineLevel="0" collapsed="false">
      <c r="A679" s="30" t="n">
        <v>45444</v>
      </c>
      <c r="B679" s="31" t="s">
        <v>153</v>
      </c>
      <c r="C679" s="32"/>
      <c r="D679" s="32"/>
      <c r="E679" s="19" t="n">
        <f aca="false">+F679*0.03</f>
        <v>0</v>
      </c>
      <c r="F679" s="33" t="n">
        <v>0</v>
      </c>
      <c r="G679" s="62"/>
      <c r="H679" s="35" t="n">
        <v>0</v>
      </c>
      <c r="I679" s="34" t="n">
        <f aca="false">+IF(E679=0,0,E679*0.03)</f>
        <v>0</v>
      </c>
    </row>
    <row r="680" customFormat="false" ht="15.75" hidden="false" customHeight="true" outlineLevel="0" collapsed="false">
      <c r="A680" s="30" t="n">
        <v>45444</v>
      </c>
      <c r="B680" s="31" t="s">
        <v>153</v>
      </c>
      <c r="C680" s="32"/>
      <c r="D680" s="32"/>
      <c r="E680" s="19" t="n">
        <f aca="false">+F680*0.03</f>
        <v>0</v>
      </c>
      <c r="F680" s="33" t="n">
        <v>0</v>
      </c>
      <c r="G680" s="62"/>
      <c r="H680" s="35" t="n">
        <v>0</v>
      </c>
      <c r="I680" s="34" t="n">
        <f aca="false">+IF(E680=0,0,E680*0.03)</f>
        <v>0</v>
      </c>
    </row>
    <row r="681" customFormat="false" ht="15.75" hidden="false" customHeight="true" outlineLevel="0" collapsed="false">
      <c r="A681" s="30" t="n">
        <v>45444</v>
      </c>
      <c r="B681" s="31" t="s">
        <v>153</v>
      </c>
      <c r="C681" s="32"/>
      <c r="D681" s="32"/>
      <c r="E681" s="19" t="n">
        <f aca="false">+F681*0.03</f>
        <v>0</v>
      </c>
      <c r="F681" s="33" t="n">
        <v>0</v>
      </c>
      <c r="G681" s="62"/>
      <c r="H681" s="35" t="n">
        <v>0</v>
      </c>
      <c r="I681" s="34" t="n">
        <f aca="false">+IF(E681=0,0,E681*0.03)</f>
        <v>0</v>
      </c>
    </row>
    <row r="682" customFormat="false" ht="15.75" hidden="false" customHeight="true" outlineLevel="0" collapsed="false">
      <c r="A682" s="30" t="n">
        <v>45444</v>
      </c>
      <c r="B682" s="31" t="s">
        <v>153</v>
      </c>
      <c r="C682" s="32"/>
      <c r="D682" s="32"/>
      <c r="E682" s="19" t="n">
        <f aca="false">+F682*0.03</f>
        <v>0</v>
      </c>
      <c r="F682" s="33" t="n">
        <v>0</v>
      </c>
      <c r="G682" s="62"/>
      <c r="H682" s="35" t="n">
        <v>0</v>
      </c>
      <c r="I682" s="34" t="n">
        <f aca="false">+IF(E682=0,0,E682*0.03)</f>
        <v>0</v>
      </c>
    </row>
    <row r="683" customFormat="false" ht="15.75" hidden="false" customHeight="true" outlineLevel="0" collapsed="false">
      <c r="A683" s="30" t="n">
        <v>45444</v>
      </c>
      <c r="B683" s="31" t="s">
        <v>153</v>
      </c>
      <c r="C683" s="32"/>
      <c r="D683" s="32"/>
      <c r="E683" s="19" t="n">
        <f aca="false">+F683*0.03</f>
        <v>0</v>
      </c>
      <c r="F683" s="33" t="n">
        <v>0</v>
      </c>
      <c r="G683" s="62"/>
      <c r="H683" s="35" t="n">
        <v>0</v>
      </c>
      <c r="I683" s="34" t="n">
        <f aca="false">+IF(E683=0,0,E683*0.03)</f>
        <v>0</v>
      </c>
    </row>
    <row r="684" customFormat="false" ht="15.75" hidden="false" customHeight="true" outlineLevel="0" collapsed="false">
      <c r="A684" s="30" t="n">
        <v>45444</v>
      </c>
      <c r="B684" s="31" t="s">
        <v>153</v>
      </c>
      <c r="C684" s="32"/>
      <c r="D684" s="32"/>
      <c r="E684" s="19" t="n">
        <f aca="false">+F684*0.03</f>
        <v>0</v>
      </c>
      <c r="F684" s="33" t="n">
        <v>0</v>
      </c>
      <c r="G684" s="62"/>
      <c r="H684" s="35" t="n">
        <v>0</v>
      </c>
      <c r="I684" s="34" t="n">
        <f aca="false">+IF(E684=0,0,E684*0.03)</f>
        <v>0</v>
      </c>
    </row>
    <row r="685" customFormat="false" ht="15.75" hidden="false" customHeight="true" outlineLevel="0" collapsed="false">
      <c r="A685" s="30" t="n">
        <v>45444</v>
      </c>
      <c r="B685" s="31" t="s">
        <v>153</v>
      </c>
      <c r="C685" s="32"/>
      <c r="D685" s="32"/>
      <c r="E685" s="19" t="n">
        <f aca="false">+F685*0.03</f>
        <v>0</v>
      </c>
      <c r="F685" s="33" t="n">
        <v>0</v>
      </c>
      <c r="G685" s="62"/>
      <c r="H685" s="35" t="n">
        <v>0</v>
      </c>
      <c r="I685" s="34" t="n">
        <f aca="false">+IF(E685=0,0,E685*0.03)</f>
        <v>0</v>
      </c>
    </row>
    <row r="686" customFormat="false" ht="15.75" hidden="false" customHeight="true" outlineLevel="0" collapsed="false">
      <c r="A686" s="30" t="n">
        <v>45444</v>
      </c>
      <c r="B686" s="31" t="s">
        <v>153</v>
      </c>
      <c r="C686" s="32"/>
      <c r="D686" s="32"/>
      <c r="E686" s="19" t="n">
        <f aca="false">+F686*0.03</f>
        <v>0</v>
      </c>
      <c r="F686" s="33" t="n">
        <v>0</v>
      </c>
      <c r="G686" s="62"/>
      <c r="H686" s="35" t="n">
        <v>0</v>
      </c>
      <c r="I686" s="34" t="n">
        <f aca="false">+IF(E686=0,0,E686*0.03)</f>
        <v>0</v>
      </c>
    </row>
    <row r="687" customFormat="false" ht="15.75" hidden="false" customHeight="true" outlineLevel="0" collapsed="false">
      <c r="A687" s="30" t="n">
        <v>45444</v>
      </c>
      <c r="B687" s="31" t="s">
        <v>153</v>
      </c>
      <c r="C687" s="32"/>
      <c r="D687" s="32"/>
      <c r="E687" s="19" t="n">
        <f aca="false">+F687*0.03</f>
        <v>0</v>
      </c>
      <c r="F687" s="33" t="n">
        <v>0</v>
      </c>
      <c r="G687" s="62"/>
      <c r="H687" s="35" t="n">
        <v>0</v>
      </c>
      <c r="I687" s="34" t="n">
        <f aca="false">+IF(E687=0,0,E687*0.03)</f>
        <v>0</v>
      </c>
    </row>
    <row r="688" customFormat="false" ht="15.75" hidden="false" customHeight="true" outlineLevel="0" collapsed="false">
      <c r="A688" s="30" t="n">
        <v>45444</v>
      </c>
      <c r="B688" s="31" t="s">
        <v>153</v>
      </c>
      <c r="C688" s="32"/>
      <c r="D688" s="32"/>
      <c r="E688" s="19" t="n">
        <f aca="false">+F688*0.03</f>
        <v>0</v>
      </c>
      <c r="F688" s="33" t="n">
        <v>0</v>
      </c>
      <c r="G688" s="62"/>
      <c r="H688" s="35" t="n">
        <v>0</v>
      </c>
      <c r="I688" s="34" t="n">
        <f aca="false">+IF(E688=0,0,E688*0.03)</f>
        <v>0</v>
      </c>
    </row>
    <row r="689" customFormat="false" ht="15.75" hidden="false" customHeight="true" outlineLevel="0" collapsed="false">
      <c r="A689" s="30" t="n">
        <v>45444</v>
      </c>
      <c r="B689" s="31" t="s">
        <v>153</v>
      </c>
      <c r="C689" s="32"/>
      <c r="D689" s="32"/>
      <c r="E689" s="19" t="n">
        <f aca="false">+F689*0.03</f>
        <v>0</v>
      </c>
      <c r="F689" s="33" t="n">
        <v>0</v>
      </c>
      <c r="G689" s="62"/>
      <c r="H689" s="35" t="n">
        <v>0</v>
      </c>
      <c r="I689" s="34" t="n">
        <f aca="false">+IF(E689=0,0,E689*0.03)</f>
        <v>0</v>
      </c>
    </row>
    <row r="690" customFormat="false" ht="15.75" hidden="false" customHeight="true" outlineLevel="0" collapsed="false">
      <c r="A690" s="30" t="n">
        <v>45444</v>
      </c>
      <c r="B690" s="31" t="s">
        <v>153</v>
      </c>
      <c r="C690" s="32"/>
      <c r="D690" s="32"/>
      <c r="E690" s="19" t="n">
        <f aca="false">+F690*0.03</f>
        <v>0</v>
      </c>
      <c r="F690" s="33" t="n">
        <v>0</v>
      </c>
      <c r="G690" s="62"/>
      <c r="H690" s="35" t="n">
        <v>0</v>
      </c>
      <c r="I690" s="34" t="n">
        <f aca="false">+IF(E690=0,0,E690*0.03)</f>
        <v>0</v>
      </c>
    </row>
    <row r="691" customFormat="false" ht="15.75" hidden="false" customHeight="true" outlineLevel="0" collapsed="false">
      <c r="A691" s="30" t="n">
        <v>45444</v>
      </c>
      <c r="B691" s="31" t="s">
        <v>153</v>
      </c>
      <c r="C691" s="32"/>
      <c r="D691" s="32"/>
      <c r="E691" s="19" t="n">
        <f aca="false">+F691*0.03</f>
        <v>0</v>
      </c>
      <c r="F691" s="33" t="n">
        <v>0</v>
      </c>
      <c r="G691" s="62"/>
      <c r="H691" s="35" t="n">
        <v>0</v>
      </c>
      <c r="I691" s="34" t="n">
        <f aca="false">+IF(E691=0,0,E691*0.03)</f>
        <v>0</v>
      </c>
    </row>
    <row r="692" customFormat="false" ht="15.75" hidden="false" customHeight="true" outlineLevel="0" collapsed="false">
      <c r="A692" s="30" t="n">
        <v>45444</v>
      </c>
      <c r="B692" s="31" t="s">
        <v>153</v>
      </c>
      <c r="C692" s="32"/>
      <c r="D692" s="32"/>
      <c r="E692" s="19" t="n">
        <f aca="false">+F692*0.03</f>
        <v>0</v>
      </c>
      <c r="F692" s="33" t="n">
        <v>0</v>
      </c>
      <c r="G692" s="62"/>
      <c r="H692" s="35" t="n">
        <v>0</v>
      </c>
      <c r="I692" s="34" t="n">
        <f aca="false">+IF(E692=0,0,E692*0.03)</f>
        <v>0</v>
      </c>
    </row>
    <row r="693" customFormat="false" ht="15.75" hidden="false" customHeight="true" outlineLevel="0" collapsed="false">
      <c r="A693" s="30" t="n">
        <v>45444</v>
      </c>
      <c r="B693" s="31" t="s">
        <v>153</v>
      </c>
      <c r="C693" s="32"/>
      <c r="D693" s="32"/>
      <c r="E693" s="19" t="n">
        <f aca="false">+F693*0.03</f>
        <v>0</v>
      </c>
      <c r="F693" s="33" t="n">
        <v>0</v>
      </c>
      <c r="G693" s="62"/>
      <c r="H693" s="35" t="n">
        <v>0</v>
      </c>
      <c r="I693" s="34" t="n">
        <f aca="false">+IF(E693=0,0,E693*0.03)</f>
        <v>0</v>
      </c>
    </row>
    <row r="694" customFormat="false" ht="15.75" hidden="false" customHeight="true" outlineLevel="0" collapsed="false">
      <c r="A694" s="30" t="n">
        <v>45444</v>
      </c>
      <c r="B694" s="31" t="s">
        <v>153</v>
      </c>
      <c r="C694" s="32"/>
      <c r="D694" s="32"/>
      <c r="E694" s="19" t="n">
        <f aca="false">+F694*0.03</f>
        <v>0</v>
      </c>
      <c r="F694" s="33" t="n">
        <v>0</v>
      </c>
      <c r="G694" s="62"/>
      <c r="H694" s="35" t="n">
        <v>0</v>
      </c>
      <c r="I694" s="34" t="n">
        <f aca="false">+IF(E694=0,0,E694*0.03)</f>
        <v>0</v>
      </c>
    </row>
    <row r="695" customFormat="false" ht="15.75" hidden="false" customHeight="true" outlineLevel="0" collapsed="false">
      <c r="A695" s="30" t="n">
        <v>45444</v>
      </c>
      <c r="B695" s="31" t="s">
        <v>153</v>
      </c>
      <c r="C695" s="32"/>
      <c r="D695" s="32"/>
      <c r="E695" s="19" t="n">
        <f aca="false">+F695*0.03</f>
        <v>0</v>
      </c>
      <c r="F695" s="33" t="n">
        <v>0</v>
      </c>
      <c r="G695" s="62"/>
      <c r="H695" s="35" t="n">
        <v>0</v>
      </c>
      <c r="I695" s="34" t="n">
        <f aca="false">+IF(E695=0,0,E695*0.03)</f>
        <v>0</v>
      </c>
    </row>
    <row r="696" customFormat="false" ht="15.75" hidden="false" customHeight="true" outlineLevel="0" collapsed="false">
      <c r="A696" s="30" t="n">
        <v>45444</v>
      </c>
      <c r="B696" s="31" t="s">
        <v>153</v>
      </c>
      <c r="C696" s="32"/>
      <c r="D696" s="32"/>
      <c r="E696" s="19" t="n">
        <f aca="false">+F696*0.03</f>
        <v>0</v>
      </c>
      <c r="F696" s="33" t="n">
        <v>0</v>
      </c>
      <c r="G696" s="62"/>
      <c r="H696" s="35" t="n">
        <v>0</v>
      </c>
      <c r="I696" s="34" t="n">
        <f aca="false">+IF(E696=0,0,E696*0.03)</f>
        <v>0</v>
      </c>
    </row>
    <row r="697" customFormat="false" ht="15.75" hidden="false" customHeight="true" outlineLevel="0" collapsed="false">
      <c r="A697" s="30" t="n">
        <v>45444</v>
      </c>
      <c r="B697" s="31" t="s">
        <v>153</v>
      </c>
      <c r="C697" s="32"/>
      <c r="D697" s="32"/>
      <c r="E697" s="19" t="n">
        <f aca="false">+F697*0.03</f>
        <v>0</v>
      </c>
      <c r="F697" s="33" t="n">
        <v>0</v>
      </c>
      <c r="G697" s="62"/>
      <c r="H697" s="35" t="n">
        <v>0</v>
      </c>
      <c r="I697" s="34" t="n">
        <f aca="false">+IF(E697=0,0,E697*0.03)</f>
        <v>0</v>
      </c>
    </row>
    <row r="698" customFormat="false" ht="15.75" hidden="false" customHeight="true" outlineLevel="0" collapsed="false">
      <c r="A698" s="30" t="n">
        <v>45444</v>
      </c>
      <c r="B698" s="31" t="s">
        <v>153</v>
      </c>
      <c r="C698" s="32"/>
      <c r="D698" s="32"/>
      <c r="E698" s="19" t="n">
        <f aca="false">+F698*0.03</f>
        <v>0</v>
      </c>
      <c r="F698" s="33" t="n">
        <v>0</v>
      </c>
      <c r="G698" s="62"/>
      <c r="H698" s="35" t="n">
        <v>0</v>
      </c>
      <c r="I698" s="34" t="n">
        <f aca="false">+IF(E698=0,0,E698*0.03)</f>
        <v>0</v>
      </c>
    </row>
    <row r="699" customFormat="false" ht="15.75" hidden="false" customHeight="true" outlineLevel="0" collapsed="false">
      <c r="A699" s="30" t="n">
        <v>45444</v>
      </c>
      <c r="B699" s="31" t="s">
        <v>153</v>
      </c>
      <c r="C699" s="32"/>
      <c r="D699" s="32"/>
      <c r="E699" s="19" t="n">
        <f aca="false">+F699*0.03</f>
        <v>0</v>
      </c>
      <c r="F699" s="33" t="n">
        <v>0</v>
      </c>
      <c r="G699" s="62"/>
      <c r="H699" s="35" t="n">
        <v>0</v>
      </c>
      <c r="I699" s="34" t="n">
        <f aca="false">+IF(E699=0,0,E699*0.03)</f>
        <v>0</v>
      </c>
    </row>
    <row r="700" customFormat="false" ht="15.75" hidden="false" customHeight="true" outlineLevel="0" collapsed="false">
      <c r="A700" s="30" t="n">
        <v>45444</v>
      </c>
      <c r="B700" s="31" t="s">
        <v>153</v>
      </c>
      <c r="C700" s="32"/>
      <c r="D700" s="32"/>
      <c r="E700" s="19" t="n">
        <f aca="false">+F700*0.03</f>
        <v>0</v>
      </c>
      <c r="F700" s="33" t="n">
        <v>0</v>
      </c>
      <c r="G700" s="62"/>
      <c r="H700" s="35" t="n">
        <v>0</v>
      </c>
      <c r="I700" s="34" t="n">
        <f aca="false">+IF(E700=0,0,E700*0.03)</f>
        <v>0</v>
      </c>
    </row>
    <row r="701" customFormat="false" ht="15.75" hidden="false" customHeight="true" outlineLevel="0" collapsed="false">
      <c r="A701" s="30" t="n">
        <v>45444</v>
      </c>
      <c r="B701" s="31" t="s">
        <v>153</v>
      </c>
      <c r="C701" s="32"/>
      <c r="D701" s="32"/>
      <c r="E701" s="19" t="n">
        <f aca="false">+F701*0.03</f>
        <v>0</v>
      </c>
      <c r="F701" s="33" t="n">
        <v>0</v>
      </c>
      <c r="G701" s="62"/>
      <c r="H701" s="35" t="n">
        <v>0</v>
      </c>
      <c r="I701" s="34" t="n">
        <f aca="false">+IF(E701=0,0,E701*0.03)</f>
        <v>0</v>
      </c>
    </row>
    <row r="702" customFormat="false" ht="15.75" hidden="false" customHeight="true" outlineLevel="0" collapsed="false">
      <c r="A702" s="30" t="n">
        <v>45444</v>
      </c>
      <c r="B702" s="31" t="s">
        <v>153</v>
      </c>
      <c r="C702" s="32"/>
      <c r="D702" s="32"/>
      <c r="E702" s="19" t="n">
        <f aca="false">+F702*0.03</f>
        <v>0</v>
      </c>
      <c r="F702" s="33" t="n">
        <v>0</v>
      </c>
      <c r="G702" s="62"/>
      <c r="H702" s="35" t="n">
        <v>0</v>
      </c>
      <c r="I702" s="34" t="n">
        <f aca="false">+IF(E702=0,0,E702*0.03)</f>
        <v>0</v>
      </c>
    </row>
    <row r="703" customFormat="false" ht="15.75" hidden="false" customHeight="true" outlineLevel="0" collapsed="false">
      <c r="A703" s="30" t="n">
        <v>45444</v>
      </c>
      <c r="B703" s="31" t="s">
        <v>153</v>
      </c>
      <c r="C703" s="32"/>
      <c r="D703" s="32"/>
      <c r="E703" s="19" t="n">
        <f aca="false">+F703*0.03</f>
        <v>0</v>
      </c>
      <c r="F703" s="33" t="n">
        <v>0</v>
      </c>
      <c r="G703" s="62"/>
      <c r="H703" s="35" t="n">
        <v>0</v>
      </c>
      <c r="I703" s="34" t="n">
        <f aca="false">+IF(E703=0,0,E703*0.03)</f>
        <v>0</v>
      </c>
    </row>
    <row r="704" customFormat="false" ht="15.75" hidden="false" customHeight="true" outlineLevel="0" collapsed="false">
      <c r="A704" s="30" t="n">
        <v>45444</v>
      </c>
      <c r="B704" s="31" t="s">
        <v>153</v>
      </c>
      <c r="C704" s="32"/>
      <c r="D704" s="32"/>
      <c r="E704" s="19" t="n">
        <f aca="false">+F704*0.03</f>
        <v>0</v>
      </c>
      <c r="F704" s="33" t="n">
        <v>0</v>
      </c>
      <c r="G704" s="62"/>
      <c r="H704" s="35" t="n">
        <v>0</v>
      </c>
      <c r="I704" s="34" t="n">
        <f aca="false">+IF(E704=0,0,E704*0.03)</f>
        <v>0</v>
      </c>
    </row>
    <row r="705" customFormat="false" ht="15.75" hidden="false" customHeight="true" outlineLevel="0" collapsed="false">
      <c r="A705" s="30" t="n">
        <v>45444</v>
      </c>
      <c r="B705" s="31" t="s">
        <v>153</v>
      </c>
      <c r="C705" s="32"/>
      <c r="D705" s="32"/>
      <c r="E705" s="19" t="n">
        <f aca="false">+F705*0.03</f>
        <v>0</v>
      </c>
      <c r="F705" s="33" t="n">
        <v>0</v>
      </c>
      <c r="G705" s="62"/>
      <c r="H705" s="35" t="n">
        <v>0</v>
      </c>
      <c r="I705" s="34" t="n">
        <f aca="false">+IF(E705=0,0,E705*0.03)</f>
        <v>0</v>
      </c>
    </row>
    <row r="706" customFormat="false" ht="15.75" hidden="false" customHeight="true" outlineLevel="0" collapsed="false">
      <c r="A706" s="30" t="n">
        <v>45444</v>
      </c>
      <c r="B706" s="31" t="s">
        <v>153</v>
      </c>
      <c r="C706" s="32"/>
      <c r="D706" s="32"/>
      <c r="E706" s="19" t="n">
        <f aca="false">+F706*0.03</f>
        <v>0</v>
      </c>
      <c r="F706" s="33" t="n">
        <v>0</v>
      </c>
      <c r="G706" s="62"/>
      <c r="H706" s="35" t="n">
        <v>0</v>
      </c>
      <c r="I706" s="34" t="n">
        <f aca="false">+IF(E706=0,0,E706*0.03)</f>
        <v>0</v>
      </c>
    </row>
    <row r="707" customFormat="false" ht="15.75" hidden="false" customHeight="true" outlineLevel="0" collapsed="false">
      <c r="A707" s="30" t="n">
        <v>45444</v>
      </c>
      <c r="B707" s="31" t="s">
        <v>153</v>
      </c>
      <c r="C707" s="32"/>
      <c r="D707" s="32"/>
      <c r="E707" s="19" t="n">
        <f aca="false">+F707*0.03</f>
        <v>0</v>
      </c>
      <c r="F707" s="33" t="n">
        <v>0</v>
      </c>
      <c r="G707" s="62"/>
      <c r="H707" s="35" t="n">
        <v>0</v>
      </c>
      <c r="I707" s="34" t="n">
        <f aca="false">+IF(E707=0,0,E707*0.03)</f>
        <v>0</v>
      </c>
    </row>
    <row r="708" customFormat="false" ht="15.75" hidden="false" customHeight="true" outlineLevel="0" collapsed="false">
      <c r="A708" s="30" t="n">
        <v>45444</v>
      </c>
      <c r="B708" s="31" t="s">
        <v>153</v>
      </c>
      <c r="C708" s="32"/>
      <c r="D708" s="32"/>
      <c r="E708" s="19" t="n">
        <f aca="false">+F708*0.03</f>
        <v>0</v>
      </c>
      <c r="F708" s="33" t="n">
        <v>0</v>
      </c>
      <c r="G708" s="62"/>
      <c r="H708" s="35" t="n">
        <v>0</v>
      </c>
      <c r="I708" s="34" t="n">
        <f aca="false">+IF(E708=0,0,E708*0.03)</f>
        <v>0</v>
      </c>
    </row>
    <row r="709" customFormat="false" ht="15.75" hidden="false" customHeight="true" outlineLevel="0" collapsed="false">
      <c r="A709" s="30" t="n">
        <v>45444</v>
      </c>
      <c r="B709" s="31" t="s">
        <v>153</v>
      </c>
      <c r="C709" s="32"/>
      <c r="D709" s="32"/>
      <c r="E709" s="19" t="n">
        <f aca="false">+F709*0.03</f>
        <v>0</v>
      </c>
      <c r="F709" s="33" t="n">
        <v>0</v>
      </c>
      <c r="G709" s="62"/>
      <c r="H709" s="35" t="n">
        <v>0</v>
      </c>
      <c r="I709" s="34" t="n">
        <f aca="false">+IF(E709=0,0,E709*0.03)</f>
        <v>0</v>
      </c>
    </row>
    <row r="710" customFormat="false" ht="15.75" hidden="false" customHeight="true" outlineLevel="0" collapsed="false">
      <c r="A710" s="30" t="n">
        <v>45444</v>
      </c>
      <c r="B710" s="31" t="s">
        <v>153</v>
      </c>
      <c r="C710" s="32"/>
      <c r="D710" s="32"/>
      <c r="E710" s="19" t="n">
        <f aca="false">+F710*0.03</f>
        <v>0</v>
      </c>
      <c r="F710" s="33" t="n">
        <v>0</v>
      </c>
      <c r="G710" s="62"/>
      <c r="H710" s="35" t="n">
        <v>0</v>
      </c>
      <c r="I710" s="34" t="n">
        <f aca="false">+IF(E710=0,0,E710*0.03)</f>
        <v>0</v>
      </c>
    </row>
    <row r="711" customFormat="false" ht="15.75" hidden="false" customHeight="true" outlineLevel="0" collapsed="false">
      <c r="A711" s="30" t="n">
        <v>45444</v>
      </c>
      <c r="B711" s="31" t="s">
        <v>153</v>
      </c>
      <c r="C711" s="32"/>
      <c r="D711" s="32"/>
      <c r="E711" s="19" t="n">
        <f aca="false">+F711*0.03</f>
        <v>0</v>
      </c>
      <c r="F711" s="33" t="n">
        <v>0</v>
      </c>
      <c r="G711" s="62"/>
      <c r="H711" s="35" t="n">
        <v>0</v>
      </c>
      <c r="I711" s="34" t="n">
        <f aca="false">+IF(E711=0,0,E711*0.03)</f>
        <v>0</v>
      </c>
    </row>
    <row r="712" customFormat="false" ht="15.75" hidden="false" customHeight="true" outlineLevel="0" collapsed="false">
      <c r="A712" s="30" t="n">
        <v>45444</v>
      </c>
      <c r="B712" s="31" t="s">
        <v>153</v>
      </c>
      <c r="C712" s="32"/>
      <c r="D712" s="32"/>
      <c r="E712" s="19" t="n">
        <f aca="false">+F712*0.03</f>
        <v>0</v>
      </c>
      <c r="F712" s="33" t="n">
        <v>0</v>
      </c>
      <c r="G712" s="62"/>
      <c r="H712" s="35" t="n">
        <v>0</v>
      </c>
      <c r="I712" s="34" t="n">
        <f aca="false">+IF(E712=0,0,E712*0.03)</f>
        <v>0</v>
      </c>
    </row>
    <row r="713" customFormat="false" ht="15.75" hidden="false" customHeight="true" outlineLevel="0" collapsed="false">
      <c r="A713" s="30" t="n">
        <v>45444</v>
      </c>
      <c r="B713" s="31" t="s">
        <v>153</v>
      </c>
      <c r="C713" s="32"/>
      <c r="D713" s="32"/>
      <c r="E713" s="19" t="n">
        <f aca="false">+F713*0.03</f>
        <v>0</v>
      </c>
      <c r="F713" s="33" t="n">
        <v>0</v>
      </c>
      <c r="G713" s="62"/>
      <c r="H713" s="35" t="n">
        <v>0</v>
      </c>
      <c r="I713" s="34" t="n">
        <f aca="false">+IF(E713=0,0,E713*0.03)</f>
        <v>0</v>
      </c>
    </row>
    <row r="714" customFormat="false" ht="15.75" hidden="false" customHeight="true" outlineLevel="0" collapsed="false">
      <c r="A714" s="30" t="n">
        <v>45444</v>
      </c>
      <c r="B714" s="31" t="s">
        <v>153</v>
      </c>
      <c r="C714" s="32"/>
      <c r="D714" s="32"/>
      <c r="E714" s="19" t="n">
        <f aca="false">+F714*0.03</f>
        <v>0</v>
      </c>
      <c r="F714" s="33" t="n">
        <v>0</v>
      </c>
      <c r="G714" s="62"/>
      <c r="H714" s="35" t="n">
        <v>0</v>
      </c>
      <c r="I714" s="34" t="n">
        <f aca="false">+IF(E714=0,0,E714*0.03)</f>
        <v>0</v>
      </c>
    </row>
    <row r="715" customFormat="false" ht="15.75" hidden="false" customHeight="true" outlineLevel="0" collapsed="false">
      <c r="A715" s="30" t="n">
        <v>45444</v>
      </c>
      <c r="B715" s="31" t="s">
        <v>153</v>
      </c>
      <c r="C715" s="32"/>
      <c r="D715" s="32"/>
      <c r="E715" s="19" t="n">
        <f aca="false">+F715*0.03</f>
        <v>0</v>
      </c>
      <c r="F715" s="33" t="n">
        <v>0</v>
      </c>
      <c r="G715" s="62"/>
      <c r="H715" s="35" t="n">
        <v>0</v>
      </c>
      <c r="I715" s="34" t="n">
        <f aca="false">+IF(E715=0,0,E715*0.03)</f>
        <v>0</v>
      </c>
    </row>
    <row r="716" customFormat="false" ht="15.75" hidden="false" customHeight="true" outlineLevel="0" collapsed="false">
      <c r="A716" s="30" t="n">
        <v>45444</v>
      </c>
      <c r="B716" s="31" t="s">
        <v>153</v>
      </c>
      <c r="C716" s="32"/>
      <c r="D716" s="32"/>
      <c r="E716" s="19" t="n">
        <f aca="false">+F716*0.03</f>
        <v>0</v>
      </c>
      <c r="F716" s="33" t="n">
        <v>0</v>
      </c>
      <c r="G716" s="62"/>
      <c r="H716" s="35" t="n">
        <v>0</v>
      </c>
      <c r="I716" s="34" t="n">
        <f aca="false">+IF(E716=0,0,E716*0.03)</f>
        <v>0</v>
      </c>
    </row>
    <row r="717" customFormat="false" ht="15.75" hidden="false" customHeight="true" outlineLevel="0" collapsed="false">
      <c r="A717" s="30" t="n">
        <v>45444</v>
      </c>
      <c r="B717" s="31" t="s">
        <v>153</v>
      </c>
      <c r="C717" s="32"/>
      <c r="D717" s="32"/>
      <c r="E717" s="19" t="n">
        <f aca="false">+F717*0.03</f>
        <v>0</v>
      </c>
      <c r="F717" s="33" t="n">
        <v>0</v>
      </c>
      <c r="G717" s="62"/>
      <c r="H717" s="35" t="n">
        <v>0</v>
      </c>
      <c r="I717" s="34" t="n">
        <f aca="false">+IF(E717=0,0,E717*0.03)</f>
        <v>0</v>
      </c>
    </row>
    <row r="718" customFormat="false" ht="15.75" hidden="false" customHeight="true" outlineLevel="0" collapsed="false">
      <c r="A718" s="30" t="n">
        <v>45444</v>
      </c>
      <c r="B718" s="31" t="s">
        <v>153</v>
      </c>
      <c r="C718" s="32"/>
      <c r="D718" s="32"/>
      <c r="E718" s="19" t="n">
        <f aca="false">+F718*0.03</f>
        <v>0</v>
      </c>
      <c r="F718" s="33" t="n">
        <v>0</v>
      </c>
      <c r="G718" s="62"/>
      <c r="H718" s="35" t="n">
        <v>0</v>
      </c>
      <c r="I718" s="34" t="n">
        <f aca="false">+IF(E718=0,0,E718*0.03)</f>
        <v>0</v>
      </c>
    </row>
    <row r="719" customFormat="false" ht="15.75" hidden="false" customHeight="true" outlineLevel="0" collapsed="false">
      <c r="A719" s="30" t="n">
        <v>45444</v>
      </c>
      <c r="B719" s="31" t="s">
        <v>153</v>
      </c>
      <c r="C719" s="32"/>
      <c r="D719" s="32"/>
      <c r="E719" s="19" t="n">
        <f aca="false">+F719*0.03</f>
        <v>0</v>
      </c>
      <c r="F719" s="33" t="n">
        <v>0</v>
      </c>
      <c r="G719" s="62"/>
      <c r="H719" s="35" t="n">
        <v>0</v>
      </c>
      <c r="I719" s="34" t="n">
        <f aca="false">+IF(E719=0,0,E719*0.03)</f>
        <v>0</v>
      </c>
    </row>
    <row r="720" customFormat="false" ht="15.75" hidden="false" customHeight="true" outlineLevel="0" collapsed="false">
      <c r="A720" s="30" t="n">
        <v>45444</v>
      </c>
      <c r="B720" s="31" t="s">
        <v>153</v>
      </c>
      <c r="C720" s="32"/>
      <c r="D720" s="32"/>
      <c r="E720" s="19" t="n">
        <f aca="false">+F720*0.03</f>
        <v>0</v>
      </c>
      <c r="F720" s="33" t="n">
        <v>0</v>
      </c>
      <c r="G720" s="62"/>
      <c r="H720" s="35" t="n">
        <v>0</v>
      </c>
      <c r="I720" s="34" t="n">
        <f aca="false">+IF(E720=0,0,E720*0.03)</f>
        <v>0</v>
      </c>
    </row>
    <row r="721" customFormat="false" ht="15.75" hidden="false" customHeight="true" outlineLevel="0" collapsed="false">
      <c r="A721" s="30" t="n">
        <v>45444</v>
      </c>
      <c r="B721" s="31" t="s">
        <v>153</v>
      </c>
      <c r="C721" s="32"/>
      <c r="D721" s="32"/>
      <c r="E721" s="19" t="n">
        <f aca="false">+F721*0.03</f>
        <v>0</v>
      </c>
      <c r="F721" s="33" t="n">
        <v>0</v>
      </c>
      <c r="G721" s="62"/>
      <c r="H721" s="35" t="n">
        <v>0</v>
      </c>
      <c r="I721" s="34" t="n">
        <f aca="false">+IF(E721=0,0,E721*0.03)</f>
        <v>0</v>
      </c>
    </row>
    <row r="722" customFormat="false" ht="15.75" hidden="false" customHeight="true" outlineLevel="0" collapsed="false">
      <c r="A722" s="30" t="n">
        <v>45444</v>
      </c>
      <c r="B722" s="31" t="s">
        <v>153</v>
      </c>
      <c r="C722" s="32"/>
      <c r="D722" s="32"/>
      <c r="E722" s="19" t="n">
        <f aca="false">+F722*0.03</f>
        <v>0</v>
      </c>
      <c r="F722" s="33" t="n">
        <v>0</v>
      </c>
      <c r="G722" s="62"/>
      <c r="H722" s="35" t="n">
        <v>0</v>
      </c>
      <c r="I722" s="34" t="n">
        <f aca="false">+IF(E722=0,0,E722*0.03)</f>
        <v>0</v>
      </c>
    </row>
    <row r="723" customFormat="false" ht="15.75" hidden="false" customHeight="true" outlineLevel="0" collapsed="false">
      <c r="A723" s="30" t="n">
        <v>45444</v>
      </c>
      <c r="B723" s="31" t="s">
        <v>153</v>
      </c>
      <c r="C723" s="32"/>
      <c r="D723" s="32"/>
      <c r="E723" s="19" t="n">
        <f aca="false">+F723*0.03</f>
        <v>0</v>
      </c>
      <c r="F723" s="33" t="n">
        <v>0</v>
      </c>
      <c r="G723" s="62"/>
      <c r="H723" s="35" t="n">
        <v>0</v>
      </c>
      <c r="I723" s="34" t="n">
        <f aca="false">+IF(E723=0,0,E723*0.03)</f>
        <v>0</v>
      </c>
    </row>
    <row r="724" customFormat="false" ht="15.75" hidden="false" customHeight="true" outlineLevel="0" collapsed="false">
      <c r="A724" s="30" t="n">
        <v>45444</v>
      </c>
      <c r="B724" s="31" t="s">
        <v>153</v>
      </c>
      <c r="C724" s="32"/>
      <c r="D724" s="32"/>
      <c r="E724" s="19" t="n">
        <f aca="false">+F724*0.03</f>
        <v>0</v>
      </c>
      <c r="F724" s="33" t="n">
        <v>0</v>
      </c>
      <c r="G724" s="62"/>
      <c r="H724" s="35" t="n">
        <v>0</v>
      </c>
      <c r="I724" s="34" t="n">
        <f aca="false">+IF(E724=0,0,E724*0.03)</f>
        <v>0</v>
      </c>
    </row>
    <row r="725" customFormat="false" ht="15.75" hidden="false" customHeight="true" outlineLevel="0" collapsed="false">
      <c r="A725" s="30" t="n">
        <v>45444</v>
      </c>
      <c r="B725" s="31" t="s">
        <v>153</v>
      </c>
      <c r="C725" s="32"/>
      <c r="D725" s="32"/>
      <c r="E725" s="19" t="n">
        <f aca="false">+F725*0.03</f>
        <v>0</v>
      </c>
      <c r="F725" s="33" t="n">
        <v>0</v>
      </c>
      <c r="G725" s="62"/>
      <c r="H725" s="35" t="n">
        <v>0</v>
      </c>
      <c r="I725" s="34" t="n">
        <f aca="false">+IF(E725=0,0,E725*0.03)</f>
        <v>0</v>
      </c>
    </row>
    <row r="726" customFormat="false" ht="15.75" hidden="false" customHeight="true" outlineLevel="0" collapsed="false">
      <c r="A726" s="30" t="n">
        <v>45444</v>
      </c>
      <c r="B726" s="31" t="s">
        <v>153</v>
      </c>
      <c r="C726" s="32"/>
      <c r="D726" s="32"/>
      <c r="E726" s="19" t="n">
        <f aca="false">+F726*0.03</f>
        <v>0</v>
      </c>
      <c r="F726" s="33" t="n">
        <v>0</v>
      </c>
      <c r="G726" s="62"/>
      <c r="H726" s="35" t="n">
        <v>0</v>
      </c>
      <c r="I726" s="34" t="n">
        <f aca="false">+IF(E726=0,0,E726*0.03)</f>
        <v>0</v>
      </c>
    </row>
    <row r="727" customFormat="false" ht="15.75" hidden="false" customHeight="true" outlineLevel="0" collapsed="false">
      <c r="A727" s="30" t="n">
        <v>45444</v>
      </c>
      <c r="B727" s="31" t="s">
        <v>153</v>
      </c>
      <c r="C727" s="32"/>
      <c r="D727" s="32"/>
      <c r="E727" s="19" t="n">
        <f aca="false">+F727*0.03</f>
        <v>0</v>
      </c>
      <c r="F727" s="33" t="n">
        <v>0</v>
      </c>
      <c r="G727" s="62"/>
      <c r="H727" s="35" t="n">
        <v>0</v>
      </c>
      <c r="I727" s="34" t="n">
        <f aca="false">+IF(E727=0,0,E727*0.03)</f>
        <v>0</v>
      </c>
    </row>
    <row r="728" customFormat="false" ht="15.75" hidden="false" customHeight="true" outlineLevel="0" collapsed="false">
      <c r="A728" s="30" t="n">
        <v>45444</v>
      </c>
      <c r="B728" s="31" t="s">
        <v>153</v>
      </c>
      <c r="C728" s="32"/>
      <c r="D728" s="32"/>
      <c r="E728" s="19" t="n">
        <f aca="false">+F728*0.03</f>
        <v>0</v>
      </c>
      <c r="F728" s="33" t="n">
        <v>0</v>
      </c>
      <c r="G728" s="62"/>
      <c r="H728" s="35" t="n">
        <v>0</v>
      </c>
      <c r="I728" s="34" t="n">
        <f aca="false">+IF(E728=0,0,E728*0.03)</f>
        <v>0</v>
      </c>
    </row>
    <row r="729" customFormat="false" ht="15.75" hidden="false" customHeight="true" outlineLevel="0" collapsed="false">
      <c r="A729" s="30" t="n">
        <v>45444</v>
      </c>
      <c r="B729" s="31" t="s">
        <v>153</v>
      </c>
      <c r="C729" s="32"/>
      <c r="D729" s="32"/>
      <c r="E729" s="19" t="n">
        <f aca="false">+F729*0.03</f>
        <v>0</v>
      </c>
      <c r="F729" s="33" t="n">
        <v>0</v>
      </c>
      <c r="G729" s="62"/>
      <c r="H729" s="35" t="n">
        <v>0</v>
      </c>
      <c r="I729" s="34" t="n">
        <f aca="false">+IF(E729=0,0,E729*0.03)</f>
        <v>0</v>
      </c>
    </row>
    <row r="730" customFormat="false" ht="15.75" hidden="false" customHeight="true" outlineLevel="0" collapsed="false">
      <c r="A730" s="30" t="n">
        <v>45444</v>
      </c>
      <c r="B730" s="31" t="s">
        <v>153</v>
      </c>
      <c r="C730" s="32"/>
      <c r="D730" s="32"/>
      <c r="E730" s="19" t="n">
        <f aca="false">+F730*0.03</f>
        <v>0</v>
      </c>
      <c r="F730" s="33" t="n">
        <v>0</v>
      </c>
      <c r="G730" s="62"/>
      <c r="H730" s="35" t="n">
        <v>0</v>
      </c>
      <c r="I730" s="34" t="n">
        <f aca="false">+IF(E730=0,0,E730*0.03)</f>
        <v>0</v>
      </c>
    </row>
    <row r="731" customFormat="false" ht="15.75" hidden="false" customHeight="true" outlineLevel="0" collapsed="false">
      <c r="A731" s="30" t="n">
        <v>45444</v>
      </c>
      <c r="B731" s="31" t="s">
        <v>153</v>
      </c>
      <c r="C731" s="32"/>
      <c r="D731" s="32"/>
      <c r="E731" s="19" t="n">
        <f aca="false">+F731*0.03</f>
        <v>0</v>
      </c>
      <c r="F731" s="33" t="n">
        <v>0</v>
      </c>
      <c r="G731" s="62"/>
      <c r="H731" s="35" t="n">
        <v>0</v>
      </c>
      <c r="I731" s="34" t="n">
        <f aca="false">+IF(E731=0,0,E731*0.03)</f>
        <v>0</v>
      </c>
    </row>
    <row r="732" customFormat="false" ht="15.75" hidden="false" customHeight="true" outlineLevel="0" collapsed="false">
      <c r="A732" s="30" t="n">
        <v>45444</v>
      </c>
      <c r="B732" s="31" t="s">
        <v>153</v>
      </c>
      <c r="C732" s="32"/>
      <c r="D732" s="32"/>
      <c r="E732" s="19" t="n">
        <f aca="false">+F732*0.03</f>
        <v>0</v>
      </c>
      <c r="F732" s="33" t="n">
        <v>0</v>
      </c>
      <c r="G732" s="62"/>
      <c r="H732" s="35" t="n">
        <v>0</v>
      </c>
      <c r="I732" s="34" t="n">
        <f aca="false">+IF(E732=0,0,E732*0.03)</f>
        <v>0</v>
      </c>
    </row>
    <row r="733" customFormat="false" ht="15.75" hidden="false" customHeight="true" outlineLevel="0" collapsed="false">
      <c r="A733" s="30" t="n">
        <v>45444</v>
      </c>
      <c r="B733" s="31" t="s">
        <v>153</v>
      </c>
      <c r="C733" s="32"/>
      <c r="D733" s="32"/>
      <c r="E733" s="19" t="n">
        <f aca="false">+F733*0.03</f>
        <v>0</v>
      </c>
      <c r="F733" s="33" t="n">
        <v>0</v>
      </c>
      <c r="G733" s="62"/>
      <c r="H733" s="35" t="n">
        <v>0</v>
      </c>
      <c r="I733" s="34" t="n">
        <f aca="false">+IF(E733=0,0,E733*0.03)</f>
        <v>0</v>
      </c>
    </row>
    <row r="734" customFormat="false" ht="15.75" hidden="false" customHeight="true" outlineLevel="0" collapsed="false">
      <c r="A734" s="30" t="n">
        <v>45444</v>
      </c>
      <c r="B734" s="31" t="s">
        <v>153</v>
      </c>
      <c r="C734" s="32"/>
      <c r="D734" s="32"/>
      <c r="E734" s="19" t="n">
        <f aca="false">+F734*0.03</f>
        <v>0</v>
      </c>
      <c r="F734" s="33" t="n">
        <v>0</v>
      </c>
      <c r="G734" s="62"/>
      <c r="H734" s="35" t="n">
        <v>0</v>
      </c>
      <c r="I734" s="34" t="n">
        <f aca="false">+IF(E734=0,0,E734*0.03)</f>
        <v>0</v>
      </c>
    </row>
    <row r="735" customFormat="false" ht="15.75" hidden="false" customHeight="true" outlineLevel="0" collapsed="false">
      <c r="A735" s="30" t="n">
        <v>45444</v>
      </c>
      <c r="B735" s="31" t="s">
        <v>153</v>
      </c>
      <c r="C735" s="32"/>
      <c r="D735" s="32"/>
      <c r="E735" s="19" t="n">
        <f aca="false">+F735*0.03</f>
        <v>0</v>
      </c>
      <c r="F735" s="33" t="n">
        <v>0</v>
      </c>
      <c r="G735" s="62"/>
      <c r="H735" s="35" t="n">
        <v>0</v>
      </c>
      <c r="I735" s="34" t="n">
        <f aca="false">+IF(E735=0,0,E735*0.03)</f>
        <v>0</v>
      </c>
    </row>
    <row r="736" customFormat="false" ht="15.75" hidden="false" customHeight="true" outlineLevel="0" collapsed="false">
      <c r="A736" s="30" t="n">
        <v>45444</v>
      </c>
      <c r="B736" s="31" t="s">
        <v>153</v>
      </c>
      <c r="C736" s="32"/>
      <c r="D736" s="32"/>
      <c r="E736" s="19" t="n">
        <f aca="false">+F736*0.03</f>
        <v>0</v>
      </c>
      <c r="F736" s="33" t="n">
        <v>0</v>
      </c>
      <c r="G736" s="62"/>
      <c r="H736" s="35" t="n">
        <v>0</v>
      </c>
      <c r="I736" s="34" t="n">
        <f aca="false">+IF(E736=0,0,E736*0.03)</f>
        <v>0</v>
      </c>
    </row>
    <row r="737" customFormat="false" ht="15.75" hidden="false" customHeight="true" outlineLevel="0" collapsed="false">
      <c r="A737" s="30" t="n">
        <v>45444</v>
      </c>
      <c r="B737" s="31" t="s">
        <v>153</v>
      </c>
      <c r="C737" s="32"/>
      <c r="D737" s="32"/>
      <c r="E737" s="19" t="n">
        <f aca="false">+F737*0.03</f>
        <v>0</v>
      </c>
      <c r="F737" s="33" t="n">
        <v>0</v>
      </c>
      <c r="G737" s="62"/>
      <c r="H737" s="35" t="n">
        <v>0</v>
      </c>
      <c r="I737" s="34" t="n">
        <f aca="false">+IF(E737=0,0,E737*0.03)</f>
        <v>0</v>
      </c>
    </row>
    <row r="738" customFormat="false" ht="15.75" hidden="false" customHeight="true" outlineLevel="0" collapsed="false">
      <c r="A738" s="30" t="n">
        <v>45444</v>
      </c>
      <c r="B738" s="31" t="s">
        <v>153</v>
      </c>
      <c r="C738" s="32"/>
      <c r="D738" s="32"/>
      <c r="E738" s="19" t="n">
        <f aca="false">+F738*0.03</f>
        <v>0</v>
      </c>
      <c r="F738" s="33" t="n">
        <v>0</v>
      </c>
      <c r="G738" s="62"/>
      <c r="H738" s="35" t="n">
        <v>0</v>
      </c>
      <c r="I738" s="34" t="n">
        <f aca="false">+IF(E738=0,0,E738*0.03)</f>
        <v>0</v>
      </c>
    </row>
    <row r="739" customFormat="false" ht="15.75" hidden="false" customHeight="true" outlineLevel="0" collapsed="false">
      <c r="A739" s="30" t="n">
        <v>45444</v>
      </c>
      <c r="B739" s="31" t="s">
        <v>153</v>
      </c>
      <c r="C739" s="32"/>
      <c r="D739" s="32"/>
      <c r="E739" s="19" t="n">
        <f aca="false">+F739*0.03</f>
        <v>0</v>
      </c>
      <c r="F739" s="33" t="n">
        <v>0</v>
      </c>
      <c r="G739" s="62"/>
      <c r="H739" s="35" t="n">
        <v>0</v>
      </c>
      <c r="I739" s="34" t="n">
        <f aca="false">+IF(E739=0,0,E739*0.03)</f>
        <v>0</v>
      </c>
    </row>
    <row r="740" customFormat="false" ht="15.75" hidden="false" customHeight="true" outlineLevel="0" collapsed="false">
      <c r="A740" s="30" t="n">
        <v>45444</v>
      </c>
      <c r="B740" s="31" t="s">
        <v>153</v>
      </c>
      <c r="C740" s="32"/>
      <c r="D740" s="32"/>
      <c r="E740" s="19" t="n">
        <f aca="false">+F740*0.03</f>
        <v>0</v>
      </c>
      <c r="F740" s="33" t="n">
        <v>0</v>
      </c>
      <c r="G740" s="62"/>
      <c r="H740" s="35" t="n">
        <v>0</v>
      </c>
      <c r="I740" s="34" t="n">
        <f aca="false">+IF(E740=0,0,E740*0.03)</f>
        <v>0</v>
      </c>
    </row>
    <row r="741" customFormat="false" ht="15.75" hidden="false" customHeight="true" outlineLevel="0" collapsed="false">
      <c r="A741" s="30" t="n">
        <v>45444</v>
      </c>
      <c r="B741" s="31" t="s">
        <v>153</v>
      </c>
      <c r="C741" s="32"/>
      <c r="D741" s="32"/>
      <c r="E741" s="19" t="n">
        <f aca="false">+F741*0.03</f>
        <v>0</v>
      </c>
      <c r="F741" s="33" t="n">
        <v>0</v>
      </c>
      <c r="G741" s="62"/>
      <c r="H741" s="35" t="n">
        <v>0</v>
      </c>
      <c r="I741" s="34" t="n">
        <f aca="false">+IF(E741=0,0,E741*0.03)</f>
        <v>0</v>
      </c>
    </row>
    <row r="742" customFormat="false" ht="15.75" hidden="false" customHeight="true" outlineLevel="0" collapsed="false">
      <c r="A742" s="30" t="n">
        <v>45444</v>
      </c>
      <c r="B742" s="31" t="s">
        <v>153</v>
      </c>
      <c r="C742" s="32"/>
      <c r="D742" s="32"/>
      <c r="E742" s="19" t="n">
        <f aca="false">+F742*0.03</f>
        <v>0</v>
      </c>
      <c r="F742" s="33" t="n">
        <v>0</v>
      </c>
      <c r="G742" s="62"/>
      <c r="H742" s="35" t="n">
        <v>0</v>
      </c>
      <c r="I742" s="34" t="n">
        <f aca="false">+IF(E742=0,0,E742*0.03)</f>
        <v>0</v>
      </c>
    </row>
    <row r="743" customFormat="false" ht="15.75" hidden="false" customHeight="true" outlineLevel="0" collapsed="false">
      <c r="A743" s="30" t="n">
        <v>45444</v>
      </c>
      <c r="B743" s="31" t="s">
        <v>153</v>
      </c>
      <c r="C743" s="32"/>
      <c r="D743" s="32"/>
      <c r="E743" s="19" t="n">
        <f aca="false">+F743*0.03</f>
        <v>0</v>
      </c>
      <c r="F743" s="33" t="n">
        <v>0</v>
      </c>
      <c r="G743" s="62"/>
      <c r="H743" s="35" t="n">
        <v>0</v>
      </c>
      <c r="I743" s="34" t="n">
        <f aca="false">+IF(E743=0,0,E743*0.03)</f>
        <v>0</v>
      </c>
    </row>
    <row r="744" customFormat="false" ht="15.75" hidden="false" customHeight="true" outlineLevel="0" collapsed="false">
      <c r="A744" s="30" t="n">
        <v>45444</v>
      </c>
      <c r="B744" s="31" t="s">
        <v>153</v>
      </c>
      <c r="C744" s="32"/>
      <c r="D744" s="32"/>
      <c r="E744" s="19" t="n">
        <f aca="false">+F744*0.03</f>
        <v>0</v>
      </c>
      <c r="F744" s="33" t="n">
        <v>0</v>
      </c>
      <c r="G744" s="62"/>
      <c r="H744" s="35" t="n">
        <v>0</v>
      </c>
      <c r="I744" s="34" t="n">
        <f aca="false">+IF(E744=0,0,E744*0.03)</f>
        <v>0</v>
      </c>
    </row>
    <row r="745" customFormat="false" ht="15.75" hidden="false" customHeight="true" outlineLevel="0" collapsed="false">
      <c r="A745" s="30" t="n">
        <v>45444</v>
      </c>
      <c r="B745" s="31" t="s">
        <v>153</v>
      </c>
      <c r="C745" s="32"/>
      <c r="D745" s="32"/>
      <c r="E745" s="19" t="n">
        <f aca="false">+F745*0.03</f>
        <v>0</v>
      </c>
      <c r="F745" s="33" t="n">
        <v>0</v>
      </c>
      <c r="G745" s="62"/>
      <c r="H745" s="35" t="n">
        <v>0</v>
      </c>
      <c r="I745" s="34" t="n">
        <f aca="false">+IF(E745=0,0,E745*0.03)</f>
        <v>0</v>
      </c>
    </row>
    <row r="746" customFormat="false" ht="15.75" hidden="false" customHeight="true" outlineLevel="0" collapsed="false">
      <c r="A746" s="30" t="n">
        <v>45444</v>
      </c>
      <c r="B746" s="31" t="s">
        <v>153</v>
      </c>
      <c r="C746" s="32"/>
      <c r="D746" s="32"/>
      <c r="E746" s="19" t="n">
        <f aca="false">+F746*0.03</f>
        <v>0</v>
      </c>
      <c r="F746" s="33" t="n">
        <v>0</v>
      </c>
      <c r="G746" s="62"/>
      <c r="H746" s="35" t="n">
        <v>0</v>
      </c>
      <c r="I746" s="34" t="n">
        <f aca="false">+IF(E746=0,0,E746*0.03)</f>
        <v>0</v>
      </c>
    </row>
    <row r="747" customFormat="false" ht="15.75" hidden="false" customHeight="true" outlineLevel="0" collapsed="false">
      <c r="A747" s="30" t="n">
        <v>45444</v>
      </c>
      <c r="B747" s="31" t="s">
        <v>153</v>
      </c>
      <c r="C747" s="32"/>
      <c r="D747" s="32"/>
      <c r="E747" s="19" t="n">
        <f aca="false">+F747*0.03</f>
        <v>0</v>
      </c>
      <c r="F747" s="33" t="n">
        <v>0</v>
      </c>
      <c r="G747" s="62"/>
      <c r="H747" s="35" t="n">
        <v>0</v>
      </c>
      <c r="I747" s="34" t="n">
        <f aca="false">+IF(E747=0,0,E747*0.03)</f>
        <v>0</v>
      </c>
    </row>
    <row r="748" customFormat="false" ht="15.75" hidden="false" customHeight="true" outlineLevel="0" collapsed="false">
      <c r="A748" s="30" t="n">
        <v>45444</v>
      </c>
      <c r="B748" s="31" t="s">
        <v>153</v>
      </c>
      <c r="C748" s="32"/>
      <c r="D748" s="32"/>
      <c r="E748" s="19" t="n">
        <f aca="false">+F748*0.03</f>
        <v>0</v>
      </c>
      <c r="F748" s="33" t="n">
        <v>0</v>
      </c>
      <c r="G748" s="62"/>
      <c r="H748" s="35" t="n">
        <v>0</v>
      </c>
      <c r="I748" s="34" t="n">
        <f aca="false">+IF(E748=0,0,E748*0.03)</f>
        <v>0</v>
      </c>
    </row>
    <row r="749" customFormat="false" ht="15.75" hidden="false" customHeight="true" outlineLevel="0" collapsed="false">
      <c r="A749" s="30" t="n">
        <v>45444</v>
      </c>
      <c r="B749" s="31" t="s">
        <v>153</v>
      </c>
      <c r="C749" s="32"/>
      <c r="D749" s="32"/>
      <c r="E749" s="19" t="n">
        <f aca="false">+F749*0.03</f>
        <v>0</v>
      </c>
      <c r="F749" s="33" t="n">
        <v>0</v>
      </c>
      <c r="G749" s="62"/>
      <c r="H749" s="35" t="n">
        <v>0</v>
      </c>
      <c r="I749" s="34" t="n">
        <f aca="false">+IF(E749=0,0,E749*0.03)</f>
        <v>0</v>
      </c>
    </row>
    <row r="750" customFormat="false" ht="15.75" hidden="false" customHeight="true" outlineLevel="0" collapsed="false">
      <c r="A750" s="30" t="n">
        <v>45444</v>
      </c>
      <c r="B750" s="31" t="s">
        <v>153</v>
      </c>
      <c r="C750" s="32"/>
      <c r="D750" s="32"/>
      <c r="E750" s="19" t="n">
        <f aca="false">+F750*0.03</f>
        <v>0</v>
      </c>
      <c r="F750" s="33" t="n">
        <v>0</v>
      </c>
      <c r="G750" s="62"/>
      <c r="H750" s="35" t="n">
        <v>0</v>
      </c>
      <c r="I750" s="34" t="n">
        <f aca="false">+IF(E750=0,0,E750*0.03)</f>
        <v>0</v>
      </c>
    </row>
    <row r="751" customFormat="false" ht="15.75" hidden="false" customHeight="true" outlineLevel="0" collapsed="false">
      <c r="A751" s="30" t="n">
        <v>45444</v>
      </c>
      <c r="B751" s="31" t="s">
        <v>153</v>
      </c>
      <c r="C751" s="32"/>
      <c r="D751" s="32"/>
      <c r="E751" s="19" t="n">
        <f aca="false">+F751*0.03</f>
        <v>0</v>
      </c>
      <c r="F751" s="33" t="n">
        <v>0</v>
      </c>
      <c r="G751" s="62"/>
      <c r="H751" s="35" t="n">
        <v>0</v>
      </c>
      <c r="I751" s="34" t="n">
        <f aca="false">+IF(E751=0,0,E751*0.03)</f>
        <v>0</v>
      </c>
    </row>
    <row r="752" customFormat="false" ht="15.75" hidden="false" customHeight="true" outlineLevel="0" collapsed="false">
      <c r="A752" s="30" t="n">
        <v>45444</v>
      </c>
      <c r="B752" s="31" t="s">
        <v>153</v>
      </c>
      <c r="C752" s="32"/>
      <c r="D752" s="32"/>
      <c r="E752" s="19" t="n">
        <f aca="false">+F752*0.03</f>
        <v>0</v>
      </c>
      <c r="F752" s="33" t="n">
        <v>0</v>
      </c>
      <c r="G752" s="62"/>
      <c r="H752" s="35" t="n">
        <v>0</v>
      </c>
      <c r="I752" s="34" t="n">
        <f aca="false">+IF(E752=0,0,E752*0.03)</f>
        <v>0</v>
      </c>
    </row>
    <row r="753" customFormat="false" ht="15.75" hidden="false" customHeight="true" outlineLevel="0" collapsed="false">
      <c r="A753" s="30" t="n">
        <v>45444</v>
      </c>
      <c r="B753" s="31" t="s">
        <v>153</v>
      </c>
      <c r="C753" s="32"/>
      <c r="D753" s="32"/>
      <c r="E753" s="19" t="n">
        <f aca="false">+F753*0.03</f>
        <v>0</v>
      </c>
      <c r="F753" s="33" t="n">
        <v>0</v>
      </c>
      <c r="G753" s="62"/>
      <c r="H753" s="35" t="n">
        <v>0</v>
      </c>
      <c r="I753" s="34" t="n">
        <f aca="false">+IF(E753=0,0,E753*0.03)</f>
        <v>0</v>
      </c>
    </row>
    <row r="754" customFormat="false" ht="15.75" hidden="false" customHeight="true" outlineLevel="0" collapsed="false">
      <c r="A754" s="30" t="n">
        <v>45444</v>
      </c>
      <c r="B754" s="31" t="s">
        <v>153</v>
      </c>
      <c r="C754" s="32"/>
      <c r="D754" s="32"/>
      <c r="E754" s="19" t="n">
        <f aca="false">+F754*0.03</f>
        <v>0</v>
      </c>
      <c r="F754" s="33" t="n">
        <v>0</v>
      </c>
      <c r="G754" s="62"/>
      <c r="H754" s="35" t="n">
        <v>0</v>
      </c>
      <c r="I754" s="34" t="n">
        <f aca="false">+IF(E754=0,0,E754*0.03)</f>
        <v>0</v>
      </c>
    </row>
    <row r="755" customFormat="false" ht="15.75" hidden="false" customHeight="true" outlineLevel="0" collapsed="false">
      <c r="A755" s="30" t="n">
        <v>45444</v>
      </c>
      <c r="B755" s="31" t="s">
        <v>153</v>
      </c>
      <c r="C755" s="32"/>
      <c r="D755" s="32"/>
      <c r="E755" s="19" t="n">
        <f aca="false">+F755*0.03</f>
        <v>0</v>
      </c>
      <c r="F755" s="33" t="n">
        <v>0</v>
      </c>
      <c r="G755" s="62"/>
      <c r="H755" s="35" t="n">
        <v>0</v>
      </c>
      <c r="I755" s="34" t="n">
        <f aca="false">+IF(E755=0,0,E755*0.03)</f>
        <v>0</v>
      </c>
    </row>
    <row r="756" customFormat="false" ht="15.75" hidden="false" customHeight="true" outlineLevel="0" collapsed="false">
      <c r="A756" s="30" t="n">
        <v>45444</v>
      </c>
      <c r="B756" s="31" t="s">
        <v>153</v>
      </c>
      <c r="C756" s="32"/>
      <c r="D756" s="32"/>
      <c r="E756" s="19" t="n">
        <f aca="false">+F756*0.03</f>
        <v>0</v>
      </c>
      <c r="F756" s="33" t="n">
        <v>0</v>
      </c>
      <c r="G756" s="62"/>
      <c r="H756" s="35" t="n">
        <v>0</v>
      </c>
      <c r="I756" s="34" t="n">
        <f aca="false">+IF(E756=0,0,E756*0.03)</f>
        <v>0</v>
      </c>
    </row>
    <row r="757" customFormat="false" ht="15.75" hidden="false" customHeight="true" outlineLevel="0" collapsed="false">
      <c r="A757" s="30" t="n">
        <v>45444</v>
      </c>
      <c r="B757" s="31" t="s">
        <v>153</v>
      </c>
      <c r="C757" s="32"/>
      <c r="D757" s="32"/>
      <c r="E757" s="19" t="n">
        <f aca="false">+F757*0.03</f>
        <v>0</v>
      </c>
      <c r="F757" s="33" t="n">
        <v>0</v>
      </c>
      <c r="G757" s="62"/>
      <c r="H757" s="35" t="n">
        <v>0</v>
      </c>
      <c r="I757" s="34" t="n">
        <f aca="false">+IF(E757=0,0,E757*0.03)</f>
        <v>0</v>
      </c>
    </row>
    <row r="758" customFormat="false" ht="15.75" hidden="false" customHeight="true" outlineLevel="0" collapsed="false">
      <c r="A758" s="30" t="n">
        <v>45444</v>
      </c>
      <c r="B758" s="31" t="s">
        <v>153</v>
      </c>
      <c r="C758" s="32"/>
      <c r="D758" s="32"/>
      <c r="E758" s="19" t="n">
        <f aca="false">+F758*0.03</f>
        <v>0</v>
      </c>
      <c r="F758" s="33" t="n">
        <v>0</v>
      </c>
      <c r="G758" s="62"/>
      <c r="H758" s="35" t="n">
        <v>0</v>
      </c>
      <c r="I758" s="34" t="n">
        <f aca="false">+IF(E758=0,0,E758*0.03)</f>
        <v>0</v>
      </c>
    </row>
    <row r="759" customFormat="false" ht="15.75" hidden="false" customHeight="true" outlineLevel="0" collapsed="false">
      <c r="A759" s="30" t="n">
        <v>45444</v>
      </c>
      <c r="B759" s="31" t="s">
        <v>153</v>
      </c>
      <c r="C759" s="32"/>
      <c r="D759" s="32"/>
      <c r="E759" s="19" t="n">
        <f aca="false">+F759*0.03</f>
        <v>0</v>
      </c>
      <c r="F759" s="33" t="n">
        <v>0</v>
      </c>
      <c r="G759" s="62"/>
      <c r="H759" s="35" t="n">
        <v>0</v>
      </c>
      <c r="I759" s="34" t="n">
        <f aca="false">+IF(E759=0,0,E759*0.03)</f>
        <v>0</v>
      </c>
    </row>
    <row r="760" customFormat="false" ht="15.75" hidden="false" customHeight="true" outlineLevel="0" collapsed="false">
      <c r="A760" s="30" t="n">
        <v>45444</v>
      </c>
      <c r="B760" s="31" t="s">
        <v>153</v>
      </c>
      <c r="C760" s="32"/>
      <c r="D760" s="32"/>
      <c r="E760" s="19" t="n">
        <f aca="false">+F760*0.03</f>
        <v>0</v>
      </c>
      <c r="F760" s="33" t="n">
        <v>0</v>
      </c>
      <c r="G760" s="62"/>
      <c r="H760" s="35" t="n">
        <v>0</v>
      </c>
      <c r="I760" s="34" t="n">
        <f aca="false">+IF(E760=0,0,E760*0.03)</f>
        <v>0</v>
      </c>
    </row>
    <row r="761" customFormat="false" ht="15.75" hidden="false" customHeight="true" outlineLevel="0" collapsed="false">
      <c r="A761" s="30" t="n">
        <v>45444</v>
      </c>
      <c r="B761" s="31" t="s">
        <v>153</v>
      </c>
      <c r="C761" s="32"/>
      <c r="D761" s="32"/>
      <c r="E761" s="19" t="n">
        <f aca="false">+F761*0.03</f>
        <v>0</v>
      </c>
      <c r="F761" s="33" t="n">
        <v>0</v>
      </c>
      <c r="G761" s="62"/>
      <c r="H761" s="35" t="n">
        <v>0</v>
      </c>
      <c r="I761" s="34" t="n">
        <f aca="false">+IF(E761=0,0,E761*0.03)</f>
        <v>0</v>
      </c>
    </row>
    <row r="762" customFormat="false" ht="15.75" hidden="false" customHeight="true" outlineLevel="0" collapsed="false">
      <c r="A762" s="30" t="n">
        <v>45444</v>
      </c>
      <c r="B762" s="31" t="s">
        <v>153</v>
      </c>
      <c r="C762" s="32"/>
      <c r="D762" s="32"/>
      <c r="E762" s="19" t="n">
        <f aca="false">+F762*0.03</f>
        <v>0</v>
      </c>
      <c r="F762" s="33" t="n">
        <v>0</v>
      </c>
      <c r="G762" s="62"/>
      <c r="H762" s="35" t="n">
        <v>0</v>
      </c>
      <c r="I762" s="34" t="n">
        <f aca="false">+IF(E762=0,0,E762*0.03)</f>
        <v>0</v>
      </c>
    </row>
    <row r="763" customFormat="false" ht="15.75" hidden="false" customHeight="true" outlineLevel="0" collapsed="false">
      <c r="A763" s="30" t="n">
        <v>45444</v>
      </c>
      <c r="B763" s="31" t="s">
        <v>153</v>
      </c>
      <c r="C763" s="32"/>
      <c r="D763" s="32"/>
      <c r="E763" s="19" t="n">
        <f aca="false">+F763*0.03</f>
        <v>0</v>
      </c>
      <c r="F763" s="33" t="n">
        <v>0</v>
      </c>
      <c r="G763" s="62"/>
      <c r="H763" s="35" t="n">
        <v>0</v>
      </c>
      <c r="I763" s="34" t="n">
        <f aca="false">+IF(E763=0,0,E763*0.03)</f>
        <v>0</v>
      </c>
    </row>
    <row r="764" customFormat="false" ht="15.75" hidden="false" customHeight="true" outlineLevel="0" collapsed="false">
      <c r="A764" s="30" t="n">
        <v>45444</v>
      </c>
      <c r="B764" s="31" t="s">
        <v>153</v>
      </c>
      <c r="C764" s="32"/>
      <c r="D764" s="32"/>
      <c r="E764" s="19" t="n">
        <f aca="false">+F764*0.03</f>
        <v>0</v>
      </c>
      <c r="F764" s="33" t="n">
        <v>0</v>
      </c>
      <c r="G764" s="62"/>
      <c r="H764" s="35" t="n">
        <v>0</v>
      </c>
      <c r="I764" s="34" t="n">
        <f aca="false">+IF(E764=0,0,E764*0.03)</f>
        <v>0</v>
      </c>
    </row>
    <row r="765" customFormat="false" ht="15.75" hidden="false" customHeight="true" outlineLevel="0" collapsed="false">
      <c r="A765" s="30" t="n">
        <v>45444</v>
      </c>
      <c r="B765" s="31" t="s">
        <v>153</v>
      </c>
      <c r="C765" s="32"/>
      <c r="D765" s="32"/>
      <c r="E765" s="19" t="n">
        <f aca="false">+F765*0.03</f>
        <v>0</v>
      </c>
      <c r="F765" s="33" t="n">
        <v>0</v>
      </c>
      <c r="G765" s="62"/>
      <c r="H765" s="35" t="n">
        <v>0</v>
      </c>
      <c r="I765" s="34" t="n">
        <f aca="false">+IF(E765=0,0,E765*0.03)</f>
        <v>0</v>
      </c>
    </row>
    <row r="766" customFormat="false" ht="15.75" hidden="false" customHeight="true" outlineLevel="0" collapsed="false">
      <c r="A766" s="30" t="n">
        <v>45444</v>
      </c>
      <c r="B766" s="31" t="s">
        <v>153</v>
      </c>
      <c r="C766" s="32"/>
      <c r="D766" s="32"/>
      <c r="E766" s="19" t="n">
        <f aca="false">+F766*0.03</f>
        <v>0</v>
      </c>
      <c r="F766" s="33" t="n">
        <v>0</v>
      </c>
      <c r="G766" s="62"/>
      <c r="H766" s="35" t="n">
        <v>0</v>
      </c>
      <c r="I766" s="34" t="n">
        <f aca="false">+IF(E766=0,0,E766*0.03)</f>
        <v>0</v>
      </c>
    </row>
    <row r="767" customFormat="false" ht="15.75" hidden="false" customHeight="true" outlineLevel="0" collapsed="false">
      <c r="A767" s="30" t="n">
        <v>45444</v>
      </c>
      <c r="B767" s="31" t="s">
        <v>153</v>
      </c>
      <c r="C767" s="32"/>
      <c r="D767" s="32"/>
      <c r="E767" s="19" t="n">
        <f aca="false">+F767*0.03</f>
        <v>0</v>
      </c>
      <c r="F767" s="33" t="n">
        <v>0</v>
      </c>
      <c r="G767" s="62"/>
      <c r="H767" s="35" t="n">
        <v>0</v>
      </c>
      <c r="I767" s="34" t="n">
        <f aca="false">+IF(E767=0,0,E767*0.03)</f>
        <v>0</v>
      </c>
    </row>
    <row r="768" customFormat="false" ht="15.75" hidden="false" customHeight="true" outlineLevel="0" collapsed="false">
      <c r="A768" s="30" t="n">
        <v>45444</v>
      </c>
      <c r="B768" s="31" t="s">
        <v>153</v>
      </c>
      <c r="C768" s="32"/>
      <c r="D768" s="32"/>
      <c r="E768" s="19" t="n">
        <f aca="false">+F768*0.03</f>
        <v>0</v>
      </c>
      <c r="F768" s="33" t="n">
        <v>0</v>
      </c>
      <c r="G768" s="62"/>
      <c r="H768" s="35" t="n">
        <v>0</v>
      </c>
      <c r="I768" s="34" t="n">
        <f aca="false">+IF(E768=0,0,E768*0.03)</f>
        <v>0</v>
      </c>
    </row>
    <row r="769" customFormat="false" ht="15.75" hidden="false" customHeight="true" outlineLevel="0" collapsed="false">
      <c r="A769" s="30" t="n">
        <v>45444</v>
      </c>
      <c r="B769" s="31" t="s">
        <v>153</v>
      </c>
      <c r="C769" s="32"/>
      <c r="D769" s="32"/>
      <c r="E769" s="19" t="n">
        <f aca="false">+F769*0.03</f>
        <v>0</v>
      </c>
      <c r="F769" s="33" t="n">
        <v>0</v>
      </c>
      <c r="G769" s="62"/>
      <c r="H769" s="35" t="n">
        <v>0</v>
      </c>
      <c r="I769" s="34" t="n">
        <f aca="false">+IF(E769=0,0,E769*0.03)</f>
        <v>0</v>
      </c>
    </row>
    <row r="770" customFormat="false" ht="15.75" hidden="false" customHeight="true" outlineLevel="0" collapsed="false">
      <c r="A770" s="30" t="n">
        <v>45444</v>
      </c>
      <c r="B770" s="31" t="s">
        <v>153</v>
      </c>
      <c r="C770" s="32"/>
      <c r="D770" s="32"/>
      <c r="E770" s="19" t="n">
        <f aca="false">+F770*0.03</f>
        <v>0</v>
      </c>
      <c r="F770" s="33" t="n">
        <v>0</v>
      </c>
      <c r="G770" s="62"/>
      <c r="H770" s="35" t="n">
        <v>0</v>
      </c>
      <c r="I770" s="34" t="n">
        <f aca="false">+IF(E770=0,0,E770*0.03)</f>
        <v>0</v>
      </c>
    </row>
    <row r="771" customFormat="false" ht="15.75" hidden="false" customHeight="true" outlineLevel="0" collapsed="false">
      <c r="A771" s="30" t="n">
        <v>45444</v>
      </c>
      <c r="B771" s="31" t="s">
        <v>153</v>
      </c>
      <c r="C771" s="32"/>
      <c r="D771" s="32"/>
      <c r="E771" s="19" t="n">
        <f aca="false">+F771*0.03</f>
        <v>0</v>
      </c>
      <c r="F771" s="33" t="n">
        <v>0</v>
      </c>
      <c r="G771" s="62"/>
      <c r="H771" s="35" t="n">
        <v>0</v>
      </c>
      <c r="I771" s="34" t="n">
        <f aca="false">+IF(E771=0,0,E771*0.03)</f>
        <v>0</v>
      </c>
    </row>
    <row r="772" customFormat="false" ht="15.75" hidden="false" customHeight="true" outlineLevel="0" collapsed="false">
      <c r="A772" s="30" t="n">
        <v>45444</v>
      </c>
      <c r="B772" s="31" t="s">
        <v>153</v>
      </c>
      <c r="C772" s="32"/>
      <c r="D772" s="32"/>
      <c r="E772" s="19" t="n">
        <f aca="false">+F772*0.03</f>
        <v>0</v>
      </c>
      <c r="F772" s="33" t="n">
        <v>0</v>
      </c>
      <c r="G772" s="62"/>
      <c r="H772" s="35" t="n">
        <v>0</v>
      </c>
      <c r="I772" s="34" t="n">
        <f aca="false">+IF(E772=0,0,E772*0.03)</f>
        <v>0</v>
      </c>
    </row>
    <row r="773" customFormat="false" ht="15.75" hidden="false" customHeight="true" outlineLevel="0" collapsed="false">
      <c r="A773" s="30" t="n">
        <v>45444</v>
      </c>
      <c r="B773" s="31" t="s">
        <v>153</v>
      </c>
      <c r="C773" s="32"/>
      <c r="D773" s="32"/>
      <c r="E773" s="19" t="n">
        <f aca="false">+F773*0.03</f>
        <v>0</v>
      </c>
      <c r="F773" s="33" t="n">
        <v>0</v>
      </c>
      <c r="G773" s="62"/>
      <c r="H773" s="35" t="n">
        <v>0</v>
      </c>
      <c r="I773" s="34" t="n">
        <f aca="false">+IF(E773=0,0,E773*0.03)</f>
        <v>0</v>
      </c>
    </row>
    <row r="774" customFormat="false" ht="15.75" hidden="false" customHeight="true" outlineLevel="0" collapsed="false">
      <c r="A774" s="30" t="n">
        <v>45444</v>
      </c>
      <c r="B774" s="31" t="s">
        <v>153</v>
      </c>
      <c r="C774" s="32"/>
      <c r="D774" s="32"/>
      <c r="E774" s="19" t="n">
        <f aca="false">+F774*0.03</f>
        <v>0</v>
      </c>
      <c r="F774" s="33" t="n">
        <v>0</v>
      </c>
      <c r="G774" s="62"/>
      <c r="H774" s="35" t="n">
        <v>0</v>
      </c>
      <c r="I774" s="34" t="n">
        <f aca="false">+IF(E774=0,0,E774*0.03)</f>
        <v>0</v>
      </c>
    </row>
    <row r="775" customFormat="false" ht="15.75" hidden="false" customHeight="true" outlineLevel="0" collapsed="false">
      <c r="A775" s="30" t="n">
        <v>45444</v>
      </c>
      <c r="B775" s="31" t="s">
        <v>153</v>
      </c>
      <c r="C775" s="32"/>
      <c r="D775" s="32"/>
      <c r="E775" s="19" t="n">
        <f aca="false">+F775*0.03</f>
        <v>0</v>
      </c>
      <c r="F775" s="33" t="n">
        <v>0</v>
      </c>
      <c r="G775" s="62"/>
      <c r="H775" s="35" t="n">
        <v>0</v>
      </c>
      <c r="I775" s="34" t="n">
        <f aca="false">+IF(E775=0,0,E775*0.03)</f>
        <v>0</v>
      </c>
    </row>
    <row r="776" customFormat="false" ht="15.75" hidden="false" customHeight="true" outlineLevel="0" collapsed="false">
      <c r="A776" s="30" t="n">
        <v>45444</v>
      </c>
      <c r="B776" s="31" t="s">
        <v>153</v>
      </c>
      <c r="C776" s="32"/>
      <c r="D776" s="32"/>
      <c r="E776" s="19" t="n">
        <f aca="false">+F776*0.03</f>
        <v>0</v>
      </c>
      <c r="F776" s="33" t="n">
        <v>0</v>
      </c>
      <c r="G776" s="62"/>
      <c r="H776" s="35" t="n">
        <v>0</v>
      </c>
      <c r="I776" s="34" t="n">
        <f aca="false">+IF(E776=0,0,E776*0.03)</f>
        <v>0</v>
      </c>
    </row>
    <row r="777" customFormat="false" ht="15.75" hidden="false" customHeight="true" outlineLevel="0" collapsed="false">
      <c r="A777" s="30" t="n">
        <v>45444</v>
      </c>
      <c r="B777" s="31" t="s">
        <v>153</v>
      </c>
      <c r="C777" s="32"/>
      <c r="D777" s="32"/>
      <c r="E777" s="19" t="n">
        <f aca="false">+F777*0.03</f>
        <v>0</v>
      </c>
      <c r="F777" s="33" t="n">
        <v>0</v>
      </c>
      <c r="G777" s="62"/>
      <c r="H777" s="35" t="n">
        <v>0</v>
      </c>
      <c r="I777" s="34" t="n">
        <f aca="false">+IF(E777=0,0,E777*0.03)</f>
        <v>0</v>
      </c>
    </row>
    <row r="778" customFormat="false" ht="15.75" hidden="false" customHeight="true" outlineLevel="0" collapsed="false">
      <c r="A778" s="30" t="n">
        <v>45444</v>
      </c>
      <c r="B778" s="31" t="s">
        <v>153</v>
      </c>
      <c r="C778" s="32"/>
      <c r="D778" s="32"/>
      <c r="E778" s="19" t="n">
        <f aca="false">+F778*0.03</f>
        <v>0</v>
      </c>
      <c r="F778" s="33" t="n">
        <v>0</v>
      </c>
      <c r="G778" s="62"/>
      <c r="H778" s="35" t="n">
        <v>0</v>
      </c>
      <c r="I778" s="34" t="n">
        <f aca="false">+IF(E778=0,0,E778*0.03)</f>
        <v>0</v>
      </c>
    </row>
    <row r="779" customFormat="false" ht="15.75" hidden="false" customHeight="true" outlineLevel="0" collapsed="false">
      <c r="A779" s="30" t="n">
        <v>45444</v>
      </c>
      <c r="B779" s="31" t="s">
        <v>153</v>
      </c>
      <c r="C779" s="32"/>
      <c r="D779" s="32"/>
      <c r="E779" s="19" t="n">
        <f aca="false">+F779*0.03</f>
        <v>0</v>
      </c>
      <c r="F779" s="33" t="n">
        <v>0</v>
      </c>
      <c r="G779" s="62"/>
      <c r="H779" s="35" t="n">
        <v>0</v>
      </c>
      <c r="I779" s="34" t="n">
        <f aca="false">+IF(E779=0,0,E779*0.03)</f>
        <v>0</v>
      </c>
    </row>
    <row r="780" customFormat="false" ht="15.75" hidden="false" customHeight="true" outlineLevel="0" collapsed="false">
      <c r="A780" s="30" t="n">
        <v>45444</v>
      </c>
      <c r="B780" s="31" t="s">
        <v>153</v>
      </c>
      <c r="C780" s="32"/>
      <c r="D780" s="32"/>
      <c r="E780" s="19" t="n">
        <f aca="false">+F780*0.03</f>
        <v>0</v>
      </c>
      <c r="F780" s="33" t="n">
        <v>0</v>
      </c>
      <c r="G780" s="62"/>
      <c r="H780" s="35" t="n">
        <v>0</v>
      </c>
      <c r="I780" s="34" t="n">
        <f aca="false">+IF(E780=0,0,E780*0.03)</f>
        <v>0</v>
      </c>
    </row>
    <row r="781" customFormat="false" ht="15.75" hidden="false" customHeight="true" outlineLevel="0" collapsed="false">
      <c r="A781" s="30" t="n">
        <v>45444</v>
      </c>
      <c r="B781" s="31" t="s">
        <v>153</v>
      </c>
      <c r="C781" s="32"/>
      <c r="D781" s="32"/>
      <c r="E781" s="19" t="n">
        <f aca="false">+F781*0.03</f>
        <v>0</v>
      </c>
      <c r="F781" s="33" t="n">
        <v>0</v>
      </c>
      <c r="G781" s="62"/>
      <c r="H781" s="35" t="n">
        <v>0</v>
      </c>
      <c r="I781" s="34" t="n">
        <f aca="false">+IF(E781=0,0,E781*0.03)</f>
        <v>0</v>
      </c>
    </row>
    <row r="782" customFormat="false" ht="15.75" hidden="false" customHeight="true" outlineLevel="0" collapsed="false">
      <c r="A782" s="30" t="n">
        <v>45444</v>
      </c>
      <c r="B782" s="31" t="s">
        <v>153</v>
      </c>
      <c r="C782" s="32"/>
      <c r="D782" s="32"/>
      <c r="E782" s="19" t="n">
        <f aca="false">+F782*0.03</f>
        <v>0</v>
      </c>
      <c r="F782" s="33" t="n">
        <v>0</v>
      </c>
      <c r="G782" s="62"/>
      <c r="H782" s="35" t="n">
        <v>0</v>
      </c>
      <c r="I782" s="34" t="n">
        <f aca="false">+IF(E782=0,0,E782*0.03)</f>
        <v>0</v>
      </c>
    </row>
    <row r="783" customFormat="false" ht="15.75" hidden="false" customHeight="true" outlineLevel="0" collapsed="false">
      <c r="A783" s="30" t="n">
        <v>45444</v>
      </c>
      <c r="B783" s="31" t="s">
        <v>153</v>
      </c>
      <c r="C783" s="32"/>
      <c r="D783" s="32"/>
      <c r="E783" s="19" t="n">
        <f aca="false">+F783*0.03</f>
        <v>0</v>
      </c>
      <c r="F783" s="33" t="n">
        <v>0</v>
      </c>
      <c r="G783" s="62"/>
      <c r="H783" s="35" t="n">
        <v>0</v>
      </c>
      <c r="I783" s="34" t="n">
        <f aca="false">+IF(E783=0,0,E783*0.03)</f>
        <v>0</v>
      </c>
    </row>
    <row r="784" customFormat="false" ht="15.75" hidden="false" customHeight="true" outlineLevel="0" collapsed="false">
      <c r="A784" s="30" t="n">
        <v>45444</v>
      </c>
      <c r="B784" s="31" t="s">
        <v>153</v>
      </c>
      <c r="C784" s="32"/>
      <c r="D784" s="32"/>
      <c r="E784" s="19" t="n">
        <f aca="false">+F784*0.03</f>
        <v>0</v>
      </c>
      <c r="F784" s="33" t="n">
        <v>0</v>
      </c>
      <c r="G784" s="62"/>
      <c r="H784" s="35" t="n">
        <v>0</v>
      </c>
      <c r="I784" s="34" t="n">
        <f aca="false">+IF(E784=0,0,E784*0.03)</f>
        <v>0</v>
      </c>
    </row>
    <row r="785" customFormat="false" ht="15.75" hidden="false" customHeight="true" outlineLevel="0" collapsed="false">
      <c r="A785" s="30" t="n">
        <v>45444</v>
      </c>
      <c r="B785" s="31" t="s">
        <v>153</v>
      </c>
      <c r="C785" s="32"/>
      <c r="D785" s="32"/>
      <c r="E785" s="19" t="n">
        <f aca="false">+F785*0.03</f>
        <v>0</v>
      </c>
      <c r="F785" s="33" t="n">
        <v>0</v>
      </c>
      <c r="G785" s="62"/>
      <c r="H785" s="35" t="n">
        <v>0</v>
      </c>
      <c r="I785" s="34" t="n">
        <f aca="false">+IF(E785=0,0,E785*0.03)</f>
        <v>0</v>
      </c>
    </row>
    <row r="786" customFormat="false" ht="15.75" hidden="false" customHeight="true" outlineLevel="0" collapsed="false">
      <c r="A786" s="30" t="n">
        <v>45444</v>
      </c>
      <c r="B786" s="31" t="s">
        <v>153</v>
      </c>
      <c r="C786" s="32"/>
      <c r="D786" s="32"/>
      <c r="E786" s="19" t="n">
        <f aca="false">+F786*0.03</f>
        <v>0</v>
      </c>
      <c r="F786" s="33" t="n">
        <v>0</v>
      </c>
      <c r="G786" s="62"/>
      <c r="H786" s="35" t="n">
        <v>0</v>
      </c>
      <c r="I786" s="34" t="n">
        <f aca="false">+IF(E786=0,0,E786*0.03)</f>
        <v>0</v>
      </c>
    </row>
    <row r="787" customFormat="false" ht="15.75" hidden="false" customHeight="true" outlineLevel="0" collapsed="false">
      <c r="A787" s="30" t="n">
        <v>45444</v>
      </c>
      <c r="B787" s="31" t="s">
        <v>153</v>
      </c>
      <c r="C787" s="32"/>
      <c r="D787" s="32"/>
      <c r="E787" s="19" t="n">
        <f aca="false">+F787*0.03</f>
        <v>0</v>
      </c>
      <c r="F787" s="33" t="n">
        <v>0</v>
      </c>
      <c r="G787" s="62"/>
      <c r="H787" s="35" t="n">
        <v>0</v>
      </c>
      <c r="I787" s="34" t="n">
        <f aca="false">+IF(E787=0,0,E787*0.03)</f>
        <v>0</v>
      </c>
    </row>
    <row r="788" customFormat="false" ht="15.75" hidden="false" customHeight="true" outlineLevel="0" collapsed="false">
      <c r="A788" s="30" t="n">
        <v>45444</v>
      </c>
      <c r="B788" s="31" t="s">
        <v>153</v>
      </c>
      <c r="C788" s="32"/>
      <c r="D788" s="32"/>
      <c r="E788" s="19" t="n">
        <f aca="false">+F788*0.03</f>
        <v>0</v>
      </c>
      <c r="F788" s="33" t="n">
        <v>0</v>
      </c>
      <c r="G788" s="62"/>
      <c r="H788" s="35" t="n">
        <v>0</v>
      </c>
      <c r="I788" s="34" t="n">
        <f aca="false">+IF(E788=0,0,E788*0.03)</f>
        <v>0</v>
      </c>
    </row>
    <row r="789" customFormat="false" ht="15.75" hidden="false" customHeight="true" outlineLevel="0" collapsed="false">
      <c r="A789" s="30" t="n">
        <v>45444</v>
      </c>
      <c r="B789" s="31" t="s">
        <v>153</v>
      </c>
      <c r="C789" s="32"/>
      <c r="D789" s="32"/>
      <c r="E789" s="19" t="n">
        <f aca="false">+F789*0.03</f>
        <v>0</v>
      </c>
      <c r="F789" s="33" t="n">
        <v>0</v>
      </c>
      <c r="G789" s="62"/>
      <c r="H789" s="35" t="n">
        <v>0</v>
      </c>
      <c r="I789" s="34" t="n">
        <f aca="false">+IF(E789=0,0,E789*0.03)</f>
        <v>0</v>
      </c>
    </row>
    <row r="790" customFormat="false" ht="15.75" hidden="false" customHeight="true" outlineLevel="0" collapsed="false">
      <c r="A790" s="30" t="n">
        <v>45444</v>
      </c>
      <c r="B790" s="31" t="s">
        <v>153</v>
      </c>
      <c r="C790" s="32"/>
      <c r="D790" s="32"/>
      <c r="E790" s="19" t="n">
        <f aca="false">+F790*0.03</f>
        <v>0</v>
      </c>
      <c r="F790" s="33" t="n">
        <v>0</v>
      </c>
      <c r="G790" s="62"/>
      <c r="H790" s="35" t="n">
        <v>0</v>
      </c>
      <c r="I790" s="34" t="n">
        <f aca="false">+IF(E790=0,0,E790*0.03)</f>
        <v>0</v>
      </c>
    </row>
    <row r="791" customFormat="false" ht="15.75" hidden="false" customHeight="true" outlineLevel="0" collapsed="false">
      <c r="A791" s="30" t="n">
        <v>45444</v>
      </c>
      <c r="B791" s="31" t="s">
        <v>153</v>
      </c>
      <c r="C791" s="32"/>
      <c r="D791" s="32"/>
      <c r="E791" s="19" t="n">
        <f aca="false">+F791*0.03</f>
        <v>0</v>
      </c>
      <c r="F791" s="33" t="n">
        <v>0</v>
      </c>
      <c r="G791" s="62"/>
      <c r="H791" s="35" t="n">
        <v>0</v>
      </c>
      <c r="I791" s="34" t="n">
        <f aca="false">+IF(E791=0,0,E791*0.03)</f>
        <v>0</v>
      </c>
    </row>
    <row r="792" customFormat="false" ht="15.75" hidden="false" customHeight="true" outlineLevel="0" collapsed="false">
      <c r="A792" s="30" t="n">
        <v>45444</v>
      </c>
      <c r="B792" s="31" t="s">
        <v>153</v>
      </c>
      <c r="C792" s="32"/>
      <c r="D792" s="32"/>
      <c r="E792" s="19" t="n">
        <f aca="false">+F792*0.03</f>
        <v>0</v>
      </c>
      <c r="F792" s="33" t="n">
        <v>0</v>
      </c>
      <c r="G792" s="62"/>
      <c r="H792" s="35" t="n">
        <v>0</v>
      </c>
      <c r="I792" s="34" t="n">
        <f aca="false">+IF(E792=0,0,E792*0.03)</f>
        <v>0</v>
      </c>
    </row>
    <row r="793" customFormat="false" ht="15.75" hidden="false" customHeight="true" outlineLevel="0" collapsed="false">
      <c r="A793" s="30" t="n">
        <v>45444</v>
      </c>
      <c r="B793" s="31" t="s">
        <v>153</v>
      </c>
      <c r="C793" s="32"/>
      <c r="D793" s="32"/>
      <c r="E793" s="19" t="n">
        <f aca="false">+F793*0.03</f>
        <v>0</v>
      </c>
      <c r="F793" s="33" t="n">
        <v>0</v>
      </c>
      <c r="G793" s="62"/>
      <c r="H793" s="35" t="n">
        <v>0</v>
      </c>
      <c r="I793" s="34" t="n">
        <f aca="false">+IF(E793=0,0,E793*0.03)</f>
        <v>0</v>
      </c>
    </row>
    <row r="794" customFormat="false" ht="15.75" hidden="false" customHeight="true" outlineLevel="0" collapsed="false">
      <c r="A794" s="30" t="n">
        <v>45444</v>
      </c>
      <c r="B794" s="31" t="s">
        <v>153</v>
      </c>
      <c r="C794" s="32"/>
      <c r="D794" s="32"/>
      <c r="E794" s="19" t="n">
        <f aca="false">+F794*0.03</f>
        <v>0</v>
      </c>
      <c r="F794" s="33" t="n">
        <v>0</v>
      </c>
      <c r="G794" s="62"/>
      <c r="H794" s="35" t="n">
        <v>0</v>
      </c>
      <c r="I794" s="34" t="n">
        <f aca="false">+IF(E794=0,0,E794*0.03)</f>
        <v>0</v>
      </c>
    </row>
    <row r="795" customFormat="false" ht="15.75" hidden="false" customHeight="true" outlineLevel="0" collapsed="false">
      <c r="A795" s="30" t="n">
        <v>45444</v>
      </c>
      <c r="B795" s="31" t="s">
        <v>153</v>
      </c>
      <c r="C795" s="32"/>
      <c r="D795" s="32"/>
      <c r="E795" s="19" t="n">
        <f aca="false">+F795*0.03</f>
        <v>0</v>
      </c>
      <c r="F795" s="33" t="n">
        <v>0</v>
      </c>
      <c r="G795" s="62"/>
      <c r="H795" s="35" t="n">
        <v>0</v>
      </c>
      <c r="I795" s="34" t="n">
        <f aca="false">+IF(E795=0,0,E795*0.03)</f>
        <v>0</v>
      </c>
    </row>
    <row r="796" customFormat="false" ht="15.75" hidden="false" customHeight="true" outlineLevel="0" collapsed="false">
      <c r="A796" s="30" t="n">
        <v>45444</v>
      </c>
      <c r="B796" s="31" t="s">
        <v>153</v>
      </c>
      <c r="C796" s="32"/>
      <c r="D796" s="32"/>
      <c r="E796" s="19" t="n">
        <f aca="false">+F796*0.03</f>
        <v>0</v>
      </c>
      <c r="F796" s="33" t="n">
        <v>0</v>
      </c>
      <c r="G796" s="62"/>
      <c r="H796" s="35" t="n">
        <v>0</v>
      </c>
      <c r="I796" s="34" t="n">
        <f aca="false">+IF(E796=0,0,E796*0.03)</f>
        <v>0</v>
      </c>
    </row>
    <row r="797" customFormat="false" ht="15.75" hidden="false" customHeight="true" outlineLevel="0" collapsed="false">
      <c r="A797" s="30" t="n">
        <v>45444</v>
      </c>
      <c r="B797" s="31" t="s">
        <v>153</v>
      </c>
      <c r="C797" s="32"/>
      <c r="D797" s="32"/>
      <c r="E797" s="19" t="n">
        <f aca="false">+F797*0.03</f>
        <v>0</v>
      </c>
      <c r="F797" s="33" t="n">
        <v>0</v>
      </c>
      <c r="G797" s="62"/>
      <c r="H797" s="35" t="n">
        <v>0</v>
      </c>
      <c r="I797" s="34" t="n">
        <f aca="false">+IF(E797=0,0,E797*0.03)</f>
        <v>0</v>
      </c>
    </row>
    <row r="798" customFormat="false" ht="15.75" hidden="false" customHeight="true" outlineLevel="0" collapsed="false">
      <c r="A798" s="30" t="n">
        <v>45444</v>
      </c>
      <c r="B798" s="31" t="s">
        <v>153</v>
      </c>
      <c r="C798" s="32"/>
      <c r="D798" s="32"/>
      <c r="E798" s="19" t="n">
        <f aca="false">+F798*0.03</f>
        <v>0</v>
      </c>
      <c r="F798" s="33" t="n">
        <v>0</v>
      </c>
      <c r="G798" s="62"/>
      <c r="H798" s="35" t="n">
        <v>0</v>
      </c>
      <c r="I798" s="34" t="n">
        <f aca="false">+IF(E798=0,0,E798*0.03)</f>
        <v>0</v>
      </c>
    </row>
    <row r="799" customFormat="false" ht="15.75" hidden="false" customHeight="true" outlineLevel="0" collapsed="false">
      <c r="A799" s="30" t="n">
        <v>45444</v>
      </c>
      <c r="B799" s="31" t="s">
        <v>153</v>
      </c>
      <c r="C799" s="32"/>
      <c r="D799" s="32"/>
      <c r="E799" s="19" t="n">
        <f aca="false">+F799*0.03</f>
        <v>0</v>
      </c>
      <c r="F799" s="33" t="n">
        <v>0</v>
      </c>
      <c r="G799" s="62"/>
      <c r="H799" s="35" t="n">
        <v>0</v>
      </c>
      <c r="I799" s="34" t="n">
        <f aca="false">+IF(E799=0,0,E799*0.03)</f>
        <v>0</v>
      </c>
    </row>
    <row r="800" customFormat="false" ht="15.75" hidden="false" customHeight="true" outlineLevel="0" collapsed="false">
      <c r="A800" s="30" t="n">
        <v>45444</v>
      </c>
      <c r="B800" s="31" t="s">
        <v>153</v>
      </c>
      <c r="C800" s="32"/>
      <c r="D800" s="32"/>
      <c r="E800" s="19" t="n">
        <f aca="false">+F800*0.03</f>
        <v>0</v>
      </c>
      <c r="F800" s="33" t="n">
        <v>0</v>
      </c>
      <c r="G800" s="62"/>
      <c r="H800" s="35" t="n">
        <v>0</v>
      </c>
      <c r="I800" s="34" t="n">
        <f aca="false">+IF(E800=0,0,E800*0.03)</f>
        <v>0</v>
      </c>
    </row>
    <row r="801" customFormat="false" ht="15.75" hidden="false" customHeight="true" outlineLevel="0" collapsed="false">
      <c r="A801" s="30" t="n">
        <v>45444</v>
      </c>
      <c r="B801" s="31" t="s">
        <v>153</v>
      </c>
      <c r="C801" s="32"/>
      <c r="D801" s="32"/>
      <c r="E801" s="19" t="n">
        <f aca="false">+F801*0.03</f>
        <v>0</v>
      </c>
      <c r="F801" s="33" t="n">
        <v>0</v>
      </c>
      <c r="G801" s="62"/>
      <c r="H801" s="35" t="n">
        <v>0</v>
      </c>
      <c r="I801" s="34" t="n">
        <f aca="false">+IF(E801=0,0,E801*0.03)</f>
        <v>0</v>
      </c>
    </row>
    <row r="802" customFormat="false" ht="15.75" hidden="false" customHeight="true" outlineLevel="0" collapsed="false">
      <c r="A802" s="30" t="n">
        <v>45444</v>
      </c>
      <c r="B802" s="31" t="s">
        <v>153</v>
      </c>
      <c r="C802" s="32"/>
      <c r="D802" s="32"/>
      <c r="E802" s="19" t="n">
        <f aca="false">+F802*0.03</f>
        <v>0</v>
      </c>
      <c r="F802" s="33" t="n">
        <v>0</v>
      </c>
      <c r="G802" s="62"/>
      <c r="H802" s="35" t="n">
        <v>0</v>
      </c>
      <c r="I802" s="34" t="n">
        <f aca="false">+IF(E802=0,0,E802*0.03)</f>
        <v>0</v>
      </c>
    </row>
    <row r="803" customFormat="false" ht="15.75" hidden="false" customHeight="true" outlineLevel="0" collapsed="false">
      <c r="A803" s="30" t="n">
        <v>45444</v>
      </c>
      <c r="B803" s="31" t="s">
        <v>153</v>
      </c>
      <c r="C803" s="32"/>
      <c r="D803" s="32"/>
      <c r="E803" s="19" t="n">
        <f aca="false">+F803*0.03</f>
        <v>0</v>
      </c>
      <c r="F803" s="33" t="n">
        <v>0</v>
      </c>
      <c r="G803" s="62"/>
      <c r="H803" s="35" t="n">
        <v>0</v>
      </c>
      <c r="I803" s="34" t="n">
        <f aca="false">+IF(E803=0,0,E803*0.03)</f>
        <v>0</v>
      </c>
    </row>
    <row r="804" customFormat="false" ht="15.75" hidden="false" customHeight="true" outlineLevel="0" collapsed="false">
      <c r="A804" s="30" t="n">
        <v>45444</v>
      </c>
      <c r="B804" s="31" t="s">
        <v>153</v>
      </c>
      <c r="C804" s="32"/>
      <c r="D804" s="32"/>
      <c r="E804" s="19" t="n">
        <f aca="false">+F804*0.03</f>
        <v>0</v>
      </c>
      <c r="F804" s="33" t="n">
        <v>0</v>
      </c>
      <c r="G804" s="62"/>
      <c r="H804" s="35" t="n">
        <v>0</v>
      </c>
      <c r="I804" s="34" t="n">
        <f aca="false">+IF(E804=0,0,E804*0.03)</f>
        <v>0</v>
      </c>
    </row>
    <row r="805" customFormat="false" ht="15.75" hidden="false" customHeight="true" outlineLevel="0" collapsed="false">
      <c r="A805" s="30" t="n">
        <v>45444</v>
      </c>
      <c r="B805" s="31" t="s">
        <v>153</v>
      </c>
      <c r="C805" s="32"/>
      <c r="D805" s="32"/>
      <c r="E805" s="19" t="n">
        <f aca="false">+F805*0.03</f>
        <v>0</v>
      </c>
      <c r="F805" s="33" t="n">
        <v>0</v>
      </c>
      <c r="G805" s="62"/>
      <c r="H805" s="35" t="n">
        <v>0</v>
      </c>
      <c r="I805" s="34" t="n">
        <f aca="false">+IF(E805=0,0,E805*0.03)</f>
        <v>0</v>
      </c>
    </row>
    <row r="806" customFormat="false" ht="15.75" hidden="false" customHeight="true" outlineLevel="0" collapsed="false">
      <c r="A806" s="30" t="n">
        <v>45444</v>
      </c>
      <c r="B806" s="31" t="s">
        <v>153</v>
      </c>
      <c r="C806" s="32"/>
      <c r="D806" s="32"/>
      <c r="E806" s="19" t="n">
        <f aca="false">+F806*0.03</f>
        <v>0</v>
      </c>
      <c r="F806" s="33" t="n">
        <v>0</v>
      </c>
      <c r="G806" s="62"/>
      <c r="H806" s="35" t="n">
        <v>0</v>
      </c>
      <c r="I806" s="34" t="n">
        <f aca="false">+IF(E806=0,0,E806*0.03)</f>
        <v>0</v>
      </c>
    </row>
    <row r="807" customFormat="false" ht="15.75" hidden="false" customHeight="true" outlineLevel="0" collapsed="false">
      <c r="A807" s="30" t="n">
        <v>45444</v>
      </c>
      <c r="B807" s="31" t="s">
        <v>153</v>
      </c>
      <c r="C807" s="32"/>
      <c r="D807" s="32"/>
      <c r="E807" s="19" t="n">
        <f aca="false">+F807*0.03</f>
        <v>0</v>
      </c>
      <c r="F807" s="33" t="n">
        <v>0</v>
      </c>
      <c r="G807" s="62"/>
      <c r="H807" s="35" t="n">
        <v>0</v>
      </c>
      <c r="I807" s="34" t="n">
        <f aca="false">+IF(E807=0,0,E807*0.03)</f>
        <v>0</v>
      </c>
    </row>
    <row r="808" customFormat="false" ht="15.75" hidden="false" customHeight="true" outlineLevel="0" collapsed="false">
      <c r="A808" s="30" t="n">
        <v>45444</v>
      </c>
      <c r="B808" s="31" t="s">
        <v>153</v>
      </c>
      <c r="C808" s="32"/>
      <c r="D808" s="32"/>
      <c r="E808" s="19" t="n">
        <f aca="false">+F808*0.03</f>
        <v>0</v>
      </c>
      <c r="F808" s="33" t="n">
        <v>0</v>
      </c>
      <c r="G808" s="62"/>
      <c r="H808" s="35" t="n">
        <v>0</v>
      </c>
      <c r="I808" s="34" t="n">
        <f aca="false">+IF(E808=0,0,E808*0.03)</f>
        <v>0</v>
      </c>
    </row>
    <row r="809" customFormat="false" ht="15.75" hidden="false" customHeight="true" outlineLevel="0" collapsed="false">
      <c r="A809" s="30" t="n">
        <v>45444</v>
      </c>
      <c r="B809" s="31" t="s">
        <v>153</v>
      </c>
      <c r="C809" s="32"/>
      <c r="D809" s="32"/>
      <c r="E809" s="19" t="n">
        <f aca="false">+F809*0.03</f>
        <v>0</v>
      </c>
      <c r="F809" s="33" t="n">
        <v>0</v>
      </c>
      <c r="G809" s="62"/>
      <c r="H809" s="35" t="n">
        <v>0</v>
      </c>
      <c r="I809" s="34" t="n">
        <f aca="false">+IF(E809=0,0,E809*0.03)</f>
        <v>0</v>
      </c>
    </row>
    <row r="810" customFormat="false" ht="15.75" hidden="false" customHeight="true" outlineLevel="0" collapsed="false">
      <c r="A810" s="30" t="n">
        <v>45444</v>
      </c>
      <c r="B810" s="31" t="s">
        <v>153</v>
      </c>
      <c r="C810" s="32"/>
      <c r="D810" s="32"/>
      <c r="E810" s="19" t="n">
        <f aca="false">+F810*0.03</f>
        <v>0</v>
      </c>
      <c r="F810" s="33" t="n">
        <v>0</v>
      </c>
      <c r="G810" s="62"/>
      <c r="H810" s="35" t="n">
        <v>0</v>
      </c>
      <c r="I810" s="34" t="n">
        <f aca="false">+IF(E810=0,0,E810*0.03)</f>
        <v>0</v>
      </c>
    </row>
    <row r="811" customFormat="false" ht="15.75" hidden="false" customHeight="true" outlineLevel="0" collapsed="false">
      <c r="A811" s="30" t="n">
        <v>45444</v>
      </c>
      <c r="B811" s="31" t="s">
        <v>153</v>
      </c>
      <c r="C811" s="32"/>
      <c r="D811" s="32"/>
      <c r="E811" s="19" t="n">
        <f aca="false">+F811*0.03</f>
        <v>0</v>
      </c>
      <c r="F811" s="33" t="n">
        <v>0</v>
      </c>
      <c r="G811" s="62"/>
      <c r="H811" s="35" t="n">
        <v>0</v>
      </c>
      <c r="I811" s="34" t="n">
        <f aca="false">+IF(E811=0,0,E811*0.03)</f>
        <v>0</v>
      </c>
    </row>
    <row r="812" customFormat="false" ht="15.75" hidden="false" customHeight="true" outlineLevel="0" collapsed="false">
      <c r="A812" s="30" t="n">
        <v>45444</v>
      </c>
      <c r="B812" s="31" t="s">
        <v>153</v>
      </c>
      <c r="C812" s="32"/>
      <c r="D812" s="32"/>
      <c r="E812" s="19" t="n">
        <f aca="false">+F812*0.03</f>
        <v>0</v>
      </c>
      <c r="F812" s="33" t="n">
        <v>0</v>
      </c>
      <c r="G812" s="62"/>
      <c r="H812" s="35" t="n">
        <v>0</v>
      </c>
      <c r="I812" s="34" t="n">
        <f aca="false">+IF(E812=0,0,E812*0.03)</f>
        <v>0</v>
      </c>
    </row>
    <row r="813" customFormat="false" ht="15.75" hidden="false" customHeight="true" outlineLevel="0" collapsed="false">
      <c r="A813" s="30" t="n">
        <v>45444</v>
      </c>
      <c r="B813" s="31" t="s">
        <v>153</v>
      </c>
      <c r="C813" s="32"/>
      <c r="D813" s="32"/>
      <c r="E813" s="19" t="n">
        <f aca="false">+F813*0.03</f>
        <v>0</v>
      </c>
      <c r="F813" s="33" t="n">
        <v>0</v>
      </c>
      <c r="G813" s="62"/>
      <c r="H813" s="35" t="n">
        <v>0</v>
      </c>
      <c r="I813" s="34" t="n">
        <f aca="false">+IF(E813=0,0,E813*0.03)</f>
        <v>0</v>
      </c>
    </row>
    <row r="814" customFormat="false" ht="15.75" hidden="false" customHeight="true" outlineLevel="0" collapsed="false">
      <c r="A814" s="30" t="n">
        <v>45444</v>
      </c>
      <c r="B814" s="31" t="s">
        <v>153</v>
      </c>
      <c r="C814" s="32"/>
      <c r="D814" s="32"/>
      <c r="E814" s="19" t="n">
        <f aca="false">+F814*0.03</f>
        <v>0</v>
      </c>
      <c r="F814" s="33" t="n">
        <v>0</v>
      </c>
      <c r="G814" s="62"/>
      <c r="H814" s="35" t="n">
        <v>0</v>
      </c>
      <c r="I814" s="34" t="n">
        <f aca="false">+IF(E814=0,0,E814*0.03)</f>
        <v>0</v>
      </c>
    </row>
    <row r="815" customFormat="false" ht="15.75" hidden="false" customHeight="true" outlineLevel="0" collapsed="false">
      <c r="A815" s="30" t="n">
        <v>45444</v>
      </c>
      <c r="B815" s="31" t="s">
        <v>153</v>
      </c>
      <c r="C815" s="32"/>
      <c r="D815" s="32"/>
      <c r="E815" s="19" t="n">
        <f aca="false">+F815*0.03</f>
        <v>0</v>
      </c>
      <c r="F815" s="33" t="n">
        <v>0</v>
      </c>
      <c r="G815" s="62"/>
      <c r="H815" s="35" t="n">
        <v>0</v>
      </c>
      <c r="I815" s="34" t="n">
        <f aca="false">+IF(E815=0,0,E815*0.03)</f>
        <v>0</v>
      </c>
    </row>
    <row r="816" customFormat="false" ht="15.75" hidden="false" customHeight="true" outlineLevel="0" collapsed="false">
      <c r="A816" s="30" t="n">
        <v>45444</v>
      </c>
      <c r="B816" s="31" t="s">
        <v>153</v>
      </c>
      <c r="C816" s="32"/>
      <c r="D816" s="32"/>
      <c r="E816" s="19" t="n">
        <f aca="false">+F816*0.03</f>
        <v>0</v>
      </c>
      <c r="F816" s="33" t="n">
        <v>0</v>
      </c>
      <c r="G816" s="62"/>
      <c r="H816" s="35" t="n">
        <v>0</v>
      </c>
      <c r="I816" s="34" t="n">
        <f aca="false">+IF(E816=0,0,E816*0.03)</f>
        <v>0</v>
      </c>
    </row>
    <row r="817" customFormat="false" ht="15.75" hidden="false" customHeight="true" outlineLevel="0" collapsed="false">
      <c r="A817" s="30" t="n">
        <v>45444</v>
      </c>
      <c r="B817" s="31" t="s">
        <v>153</v>
      </c>
      <c r="C817" s="32"/>
      <c r="D817" s="32"/>
      <c r="E817" s="19" t="n">
        <f aca="false">+F817*0.03</f>
        <v>0</v>
      </c>
      <c r="F817" s="33" t="n">
        <v>0</v>
      </c>
      <c r="G817" s="62"/>
      <c r="H817" s="35" t="n">
        <v>0</v>
      </c>
      <c r="I817" s="34" t="n">
        <f aca="false">+IF(E817=0,0,E817*0.03)</f>
        <v>0</v>
      </c>
    </row>
    <row r="818" customFormat="false" ht="15.75" hidden="false" customHeight="true" outlineLevel="0" collapsed="false">
      <c r="A818" s="30" t="n">
        <v>45444</v>
      </c>
      <c r="B818" s="31" t="s">
        <v>153</v>
      </c>
      <c r="C818" s="32"/>
      <c r="D818" s="32"/>
      <c r="E818" s="19" t="n">
        <f aca="false">+F818*0.03</f>
        <v>0</v>
      </c>
      <c r="F818" s="33" t="n">
        <v>0</v>
      </c>
      <c r="G818" s="62"/>
      <c r="H818" s="35" t="n">
        <v>0</v>
      </c>
      <c r="I818" s="34" t="n">
        <f aca="false">+IF(E818=0,0,E818*0.03)</f>
        <v>0</v>
      </c>
    </row>
    <row r="819" customFormat="false" ht="15.75" hidden="false" customHeight="true" outlineLevel="0" collapsed="false">
      <c r="A819" s="30" t="n">
        <v>45444</v>
      </c>
      <c r="B819" s="31" t="s">
        <v>153</v>
      </c>
      <c r="C819" s="32"/>
      <c r="D819" s="32"/>
      <c r="E819" s="19" t="n">
        <f aca="false">+F819*0.03</f>
        <v>0</v>
      </c>
      <c r="F819" s="33" t="n">
        <v>0</v>
      </c>
      <c r="G819" s="62"/>
      <c r="H819" s="35" t="n">
        <v>0</v>
      </c>
      <c r="I819" s="34" t="n">
        <f aca="false">+IF(E819=0,0,E819*0.03)</f>
        <v>0</v>
      </c>
    </row>
    <row r="820" customFormat="false" ht="15.75" hidden="false" customHeight="true" outlineLevel="0" collapsed="false">
      <c r="A820" s="30" t="n">
        <v>45444</v>
      </c>
      <c r="B820" s="31" t="s">
        <v>153</v>
      </c>
      <c r="C820" s="32"/>
      <c r="D820" s="32"/>
      <c r="E820" s="19" t="n">
        <f aca="false">+F820*0.03</f>
        <v>0</v>
      </c>
      <c r="F820" s="33" t="n">
        <v>0</v>
      </c>
      <c r="G820" s="62"/>
      <c r="H820" s="35" t="n">
        <v>0</v>
      </c>
      <c r="I820" s="34" t="n">
        <f aca="false">+IF(E820=0,0,E820*0.03)</f>
        <v>0</v>
      </c>
    </row>
    <row r="821" customFormat="false" ht="15.75" hidden="false" customHeight="true" outlineLevel="0" collapsed="false">
      <c r="A821" s="30" t="n">
        <v>45444</v>
      </c>
      <c r="B821" s="31" t="s">
        <v>153</v>
      </c>
      <c r="C821" s="32"/>
      <c r="D821" s="32"/>
      <c r="E821" s="19" t="n">
        <f aca="false">+F821*0.03</f>
        <v>0</v>
      </c>
      <c r="F821" s="33" t="n">
        <v>0</v>
      </c>
      <c r="G821" s="62"/>
      <c r="H821" s="35" t="n">
        <v>0</v>
      </c>
      <c r="I821" s="34" t="n">
        <f aca="false">+IF(E821=0,0,E821*0.03)</f>
        <v>0</v>
      </c>
    </row>
    <row r="822" customFormat="false" ht="15.75" hidden="false" customHeight="true" outlineLevel="0" collapsed="false">
      <c r="A822" s="30" t="n">
        <v>45444</v>
      </c>
      <c r="B822" s="31" t="s">
        <v>153</v>
      </c>
      <c r="C822" s="32"/>
      <c r="D822" s="32"/>
      <c r="E822" s="19" t="n">
        <f aca="false">+F822*0.03</f>
        <v>0</v>
      </c>
      <c r="F822" s="33" t="n">
        <v>0</v>
      </c>
      <c r="G822" s="62"/>
      <c r="H822" s="35" t="n">
        <v>0</v>
      </c>
      <c r="I822" s="34" t="n">
        <f aca="false">+IF(E822=0,0,E822*0.03)</f>
        <v>0</v>
      </c>
    </row>
    <row r="823" customFormat="false" ht="15.75" hidden="false" customHeight="true" outlineLevel="0" collapsed="false">
      <c r="A823" s="30" t="n">
        <v>45444</v>
      </c>
      <c r="B823" s="31" t="s">
        <v>153</v>
      </c>
      <c r="C823" s="32"/>
      <c r="D823" s="32"/>
      <c r="E823" s="19" t="n">
        <f aca="false">+F823*0.03</f>
        <v>0</v>
      </c>
      <c r="F823" s="33" t="n">
        <v>0</v>
      </c>
      <c r="G823" s="62"/>
      <c r="H823" s="35" t="n">
        <v>0</v>
      </c>
      <c r="I823" s="34" t="n">
        <f aca="false">+IF(E823=0,0,E823*0.03)</f>
        <v>0</v>
      </c>
    </row>
    <row r="824" customFormat="false" ht="15.75" hidden="false" customHeight="true" outlineLevel="0" collapsed="false">
      <c r="A824" s="30" t="n">
        <v>45444</v>
      </c>
      <c r="B824" s="31" t="s">
        <v>153</v>
      </c>
      <c r="C824" s="32"/>
      <c r="D824" s="32"/>
      <c r="E824" s="19" t="n">
        <f aca="false">+F824*0.03</f>
        <v>0</v>
      </c>
      <c r="F824" s="33" t="n">
        <v>0</v>
      </c>
      <c r="G824" s="62"/>
      <c r="H824" s="35" t="n">
        <v>0</v>
      </c>
      <c r="I824" s="34" t="n">
        <f aca="false">+IF(E824=0,0,E824*0.03)</f>
        <v>0</v>
      </c>
    </row>
    <row r="825" customFormat="false" ht="15.75" hidden="false" customHeight="true" outlineLevel="0" collapsed="false">
      <c r="A825" s="30" t="n">
        <v>45444</v>
      </c>
      <c r="B825" s="31" t="s">
        <v>153</v>
      </c>
      <c r="C825" s="32"/>
      <c r="D825" s="32"/>
      <c r="E825" s="19" t="n">
        <f aca="false">+F825*0.03</f>
        <v>0</v>
      </c>
      <c r="F825" s="33" t="n">
        <v>0</v>
      </c>
      <c r="G825" s="62"/>
      <c r="H825" s="35" t="n">
        <v>0</v>
      </c>
      <c r="I825" s="34" t="n">
        <f aca="false">+IF(E825=0,0,E825*0.03)</f>
        <v>0</v>
      </c>
    </row>
    <row r="826" customFormat="false" ht="15.75" hidden="false" customHeight="true" outlineLevel="0" collapsed="false">
      <c r="A826" s="30" t="n">
        <v>45444</v>
      </c>
      <c r="B826" s="31" t="s">
        <v>153</v>
      </c>
      <c r="C826" s="32"/>
      <c r="D826" s="32"/>
      <c r="E826" s="19" t="n">
        <f aca="false">+F826*0.03</f>
        <v>0</v>
      </c>
      <c r="F826" s="33" t="n">
        <v>0</v>
      </c>
      <c r="G826" s="62"/>
      <c r="H826" s="35" t="n">
        <v>0</v>
      </c>
      <c r="I826" s="34" t="n">
        <f aca="false">+IF(E826=0,0,E826*0.03)</f>
        <v>0</v>
      </c>
    </row>
    <row r="827" customFormat="false" ht="15.75" hidden="false" customHeight="true" outlineLevel="0" collapsed="false">
      <c r="A827" s="30" t="n">
        <v>45444</v>
      </c>
      <c r="B827" s="31" t="s">
        <v>153</v>
      </c>
      <c r="C827" s="32"/>
      <c r="D827" s="32"/>
      <c r="E827" s="19" t="n">
        <f aca="false">+F827*0.03</f>
        <v>0</v>
      </c>
      <c r="F827" s="33" t="n">
        <v>0</v>
      </c>
      <c r="G827" s="62"/>
      <c r="H827" s="35" t="n">
        <v>0</v>
      </c>
      <c r="I827" s="34" t="n">
        <f aca="false">+IF(E827=0,0,E827*0.03)</f>
        <v>0</v>
      </c>
    </row>
    <row r="828" customFormat="false" ht="15.75" hidden="false" customHeight="true" outlineLevel="0" collapsed="false">
      <c r="A828" s="30" t="n">
        <v>45444</v>
      </c>
      <c r="B828" s="31" t="s">
        <v>153</v>
      </c>
      <c r="C828" s="32"/>
      <c r="D828" s="32"/>
      <c r="E828" s="19" t="n">
        <f aca="false">+F828*0.03</f>
        <v>0</v>
      </c>
      <c r="F828" s="33" t="n">
        <v>0</v>
      </c>
      <c r="G828" s="62"/>
      <c r="H828" s="35" t="n">
        <v>0</v>
      </c>
      <c r="I828" s="34" t="n">
        <f aca="false">+IF(E828=0,0,E828*0.03)</f>
        <v>0</v>
      </c>
    </row>
    <row r="829" customFormat="false" ht="15.75" hidden="false" customHeight="true" outlineLevel="0" collapsed="false">
      <c r="A829" s="30" t="n">
        <v>45444</v>
      </c>
      <c r="B829" s="31" t="s">
        <v>153</v>
      </c>
      <c r="C829" s="32"/>
      <c r="D829" s="32"/>
      <c r="E829" s="19" t="n">
        <f aca="false">+F829*0.03</f>
        <v>0</v>
      </c>
      <c r="F829" s="33" t="n">
        <v>0</v>
      </c>
      <c r="G829" s="62"/>
      <c r="H829" s="35" t="n">
        <v>0</v>
      </c>
      <c r="I829" s="34" t="n">
        <f aca="false">+IF(E829=0,0,E829*0.03)</f>
        <v>0</v>
      </c>
    </row>
    <row r="830" customFormat="false" ht="15.75" hidden="false" customHeight="true" outlineLevel="0" collapsed="false">
      <c r="A830" s="30" t="n">
        <v>45444</v>
      </c>
      <c r="B830" s="31" t="s">
        <v>153</v>
      </c>
      <c r="C830" s="32"/>
      <c r="D830" s="32"/>
      <c r="E830" s="19" t="n">
        <f aca="false">+F830*0.03</f>
        <v>0</v>
      </c>
      <c r="F830" s="33" t="n">
        <v>0</v>
      </c>
      <c r="G830" s="62"/>
      <c r="H830" s="35" t="n">
        <v>0</v>
      </c>
      <c r="I830" s="34" t="n">
        <f aca="false">+IF(E830=0,0,E830*0.03)</f>
        <v>0</v>
      </c>
    </row>
    <row r="831" customFormat="false" ht="15.75" hidden="false" customHeight="true" outlineLevel="0" collapsed="false">
      <c r="A831" s="30" t="n">
        <v>45444</v>
      </c>
      <c r="B831" s="31" t="s">
        <v>153</v>
      </c>
      <c r="C831" s="32"/>
      <c r="D831" s="32"/>
      <c r="E831" s="19" t="n">
        <f aca="false">+F831*0.03</f>
        <v>0</v>
      </c>
      <c r="F831" s="33" t="n">
        <v>0</v>
      </c>
      <c r="G831" s="62"/>
      <c r="H831" s="35" t="n">
        <v>0</v>
      </c>
      <c r="I831" s="34" t="n">
        <f aca="false">+IF(E831=0,0,E831*0.03)</f>
        <v>0</v>
      </c>
    </row>
    <row r="832" customFormat="false" ht="15.75" hidden="false" customHeight="true" outlineLevel="0" collapsed="false">
      <c r="A832" s="30" t="n">
        <v>45444</v>
      </c>
      <c r="B832" s="31" t="s">
        <v>153</v>
      </c>
      <c r="C832" s="32"/>
      <c r="D832" s="32"/>
      <c r="E832" s="19" t="n">
        <f aca="false">+F832*0.03</f>
        <v>0</v>
      </c>
      <c r="F832" s="33" t="n">
        <v>0</v>
      </c>
      <c r="G832" s="62"/>
      <c r="H832" s="35" t="n">
        <v>0</v>
      </c>
      <c r="I832" s="34" t="n">
        <f aca="false">+IF(E832=0,0,E832*0.03)</f>
        <v>0</v>
      </c>
    </row>
    <row r="833" customFormat="false" ht="15.75" hidden="false" customHeight="true" outlineLevel="0" collapsed="false">
      <c r="A833" s="30" t="n">
        <v>45444</v>
      </c>
      <c r="B833" s="31" t="s">
        <v>153</v>
      </c>
      <c r="C833" s="32"/>
      <c r="D833" s="32"/>
      <c r="E833" s="19" t="n">
        <f aca="false">+F833*0.03</f>
        <v>0</v>
      </c>
      <c r="F833" s="33" t="n">
        <v>0</v>
      </c>
      <c r="G833" s="62"/>
      <c r="H833" s="35" t="n">
        <v>0</v>
      </c>
      <c r="I833" s="34" t="n">
        <f aca="false">+IF(E833=0,0,E833*0.03)</f>
        <v>0</v>
      </c>
    </row>
    <row r="834" customFormat="false" ht="15.75" hidden="false" customHeight="true" outlineLevel="0" collapsed="false">
      <c r="A834" s="30" t="n">
        <v>45444</v>
      </c>
      <c r="B834" s="31" t="s">
        <v>153</v>
      </c>
      <c r="C834" s="32"/>
      <c r="D834" s="32"/>
      <c r="E834" s="19" t="n">
        <f aca="false">+F834*0.03</f>
        <v>0</v>
      </c>
      <c r="F834" s="33" t="n">
        <v>0</v>
      </c>
      <c r="G834" s="62"/>
      <c r="H834" s="35" t="n">
        <v>0</v>
      </c>
      <c r="I834" s="34" t="n">
        <f aca="false">+IF(E834=0,0,E834*0.03)</f>
        <v>0</v>
      </c>
    </row>
    <row r="835" customFormat="false" ht="15.75" hidden="false" customHeight="true" outlineLevel="0" collapsed="false">
      <c r="A835" s="30" t="n">
        <v>45444</v>
      </c>
      <c r="B835" s="31" t="s">
        <v>153</v>
      </c>
      <c r="C835" s="32"/>
      <c r="D835" s="32"/>
      <c r="E835" s="19" t="n">
        <f aca="false">+F835*0.03</f>
        <v>0</v>
      </c>
      <c r="F835" s="33" t="n">
        <v>0</v>
      </c>
      <c r="G835" s="62"/>
      <c r="H835" s="35" t="n">
        <v>0</v>
      </c>
      <c r="I835" s="34" t="n">
        <f aca="false">+IF(E835=0,0,E835*0.03)</f>
        <v>0</v>
      </c>
    </row>
    <row r="836" customFormat="false" ht="15.75" hidden="false" customHeight="true" outlineLevel="0" collapsed="false">
      <c r="A836" s="30" t="n">
        <v>45444</v>
      </c>
      <c r="B836" s="31" t="s">
        <v>153</v>
      </c>
      <c r="C836" s="32"/>
      <c r="D836" s="32"/>
      <c r="E836" s="19" t="n">
        <f aca="false">+F836*0.03</f>
        <v>0</v>
      </c>
      <c r="F836" s="33" t="n">
        <v>0</v>
      </c>
      <c r="G836" s="62"/>
      <c r="H836" s="35" t="n">
        <v>0</v>
      </c>
      <c r="I836" s="34" t="n">
        <f aca="false">+IF(E836=0,0,E836*0.03)</f>
        <v>0</v>
      </c>
    </row>
    <row r="837" customFormat="false" ht="15.75" hidden="false" customHeight="true" outlineLevel="0" collapsed="false">
      <c r="A837" s="30" t="n">
        <v>45444</v>
      </c>
      <c r="B837" s="31" t="s">
        <v>153</v>
      </c>
      <c r="C837" s="32"/>
      <c r="D837" s="32"/>
      <c r="E837" s="19" t="n">
        <f aca="false">+F837*0.03</f>
        <v>0</v>
      </c>
      <c r="F837" s="33" t="n">
        <v>0</v>
      </c>
      <c r="G837" s="62"/>
      <c r="H837" s="35" t="n">
        <v>0</v>
      </c>
      <c r="I837" s="34" t="n">
        <f aca="false">+IF(E837=0,0,E837*0.03)</f>
        <v>0</v>
      </c>
    </row>
    <row r="838" customFormat="false" ht="15.75" hidden="false" customHeight="true" outlineLevel="0" collapsed="false">
      <c r="A838" s="30" t="n">
        <v>45444</v>
      </c>
      <c r="B838" s="31" t="s">
        <v>153</v>
      </c>
      <c r="C838" s="32"/>
      <c r="D838" s="32"/>
      <c r="E838" s="19" t="n">
        <f aca="false">+F838*0.03</f>
        <v>0</v>
      </c>
      <c r="F838" s="33" t="n">
        <v>0</v>
      </c>
      <c r="G838" s="62"/>
      <c r="H838" s="35" t="n">
        <v>0</v>
      </c>
      <c r="I838" s="34" t="n">
        <f aca="false">+IF(E838=0,0,E838*0.03)</f>
        <v>0</v>
      </c>
    </row>
    <row r="839" customFormat="false" ht="15.75" hidden="false" customHeight="true" outlineLevel="0" collapsed="false">
      <c r="A839" s="30" t="n">
        <v>45444</v>
      </c>
      <c r="B839" s="31" t="s">
        <v>153</v>
      </c>
      <c r="C839" s="32"/>
      <c r="D839" s="32"/>
      <c r="E839" s="19" t="n">
        <f aca="false">+F839*0.03</f>
        <v>0</v>
      </c>
      <c r="F839" s="33" t="n">
        <v>0</v>
      </c>
      <c r="G839" s="62"/>
      <c r="H839" s="35" t="n">
        <v>0</v>
      </c>
      <c r="I839" s="34" t="n">
        <f aca="false">+IF(E839=0,0,E839*0.03)</f>
        <v>0</v>
      </c>
    </row>
    <row r="840" customFormat="false" ht="15.75" hidden="false" customHeight="true" outlineLevel="0" collapsed="false">
      <c r="A840" s="30" t="n">
        <v>45444</v>
      </c>
      <c r="B840" s="31" t="s">
        <v>153</v>
      </c>
      <c r="C840" s="32"/>
      <c r="D840" s="32"/>
      <c r="E840" s="19" t="n">
        <f aca="false">+F840*0.03</f>
        <v>0</v>
      </c>
      <c r="F840" s="33" t="n">
        <v>0</v>
      </c>
      <c r="G840" s="62"/>
      <c r="H840" s="35" t="n">
        <v>0</v>
      </c>
      <c r="I840" s="34" t="n">
        <f aca="false">+IF(E840=0,0,E840*0.03)</f>
        <v>0</v>
      </c>
    </row>
    <row r="841" customFormat="false" ht="15.75" hidden="false" customHeight="true" outlineLevel="0" collapsed="false">
      <c r="A841" s="30" t="n">
        <v>45444</v>
      </c>
      <c r="B841" s="31" t="s">
        <v>153</v>
      </c>
      <c r="C841" s="32"/>
      <c r="D841" s="32"/>
      <c r="E841" s="19" t="n">
        <f aca="false">+F841*0.03</f>
        <v>0</v>
      </c>
      <c r="F841" s="33" t="n">
        <v>0</v>
      </c>
      <c r="G841" s="62"/>
      <c r="H841" s="35" t="n">
        <v>0</v>
      </c>
      <c r="I841" s="34" t="n">
        <f aca="false">+IF(E841=0,0,E841*0.03)</f>
        <v>0</v>
      </c>
    </row>
    <row r="842" customFormat="false" ht="15.75" hidden="false" customHeight="true" outlineLevel="0" collapsed="false">
      <c r="A842" s="30" t="n">
        <v>45444</v>
      </c>
      <c r="B842" s="31" t="s">
        <v>153</v>
      </c>
      <c r="C842" s="32"/>
      <c r="D842" s="32"/>
      <c r="E842" s="19" t="n">
        <f aca="false">+F842*0.03</f>
        <v>0</v>
      </c>
      <c r="F842" s="33" t="n">
        <v>0</v>
      </c>
      <c r="G842" s="62"/>
      <c r="H842" s="35" t="n">
        <v>0</v>
      </c>
      <c r="I842" s="34" t="n">
        <f aca="false">+IF(E842=0,0,E842*0.03)</f>
        <v>0</v>
      </c>
    </row>
    <row r="843" customFormat="false" ht="15.75" hidden="false" customHeight="true" outlineLevel="0" collapsed="false">
      <c r="A843" s="30" t="n">
        <v>45444</v>
      </c>
      <c r="B843" s="31" t="s">
        <v>153</v>
      </c>
      <c r="C843" s="32"/>
      <c r="D843" s="32"/>
      <c r="E843" s="19" t="n">
        <f aca="false">+F843*0.03</f>
        <v>0</v>
      </c>
      <c r="F843" s="33" t="n">
        <v>0</v>
      </c>
      <c r="G843" s="62"/>
      <c r="H843" s="35" t="n">
        <v>0</v>
      </c>
      <c r="I843" s="34" t="n">
        <f aca="false">+IF(E843=0,0,E843*0.03)</f>
        <v>0</v>
      </c>
    </row>
    <row r="844" customFormat="false" ht="15.75" hidden="false" customHeight="true" outlineLevel="0" collapsed="false">
      <c r="A844" s="30" t="n">
        <v>45444</v>
      </c>
      <c r="B844" s="31" t="s">
        <v>153</v>
      </c>
      <c r="C844" s="32"/>
      <c r="D844" s="32"/>
      <c r="E844" s="19" t="n">
        <f aca="false">+F844*0.03</f>
        <v>0</v>
      </c>
      <c r="F844" s="33" t="n">
        <v>0</v>
      </c>
      <c r="G844" s="62"/>
      <c r="H844" s="35" t="n">
        <v>0</v>
      </c>
      <c r="I844" s="34" t="n">
        <f aca="false">+IF(E844=0,0,E844*0.03)</f>
        <v>0</v>
      </c>
    </row>
    <row r="845" customFormat="false" ht="15.75" hidden="false" customHeight="true" outlineLevel="0" collapsed="false">
      <c r="A845" s="30" t="n">
        <v>45444</v>
      </c>
      <c r="B845" s="31" t="s">
        <v>153</v>
      </c>
      <c r="C845" s="32"/>
      <c r="D845" s="32"/>
      <c r="E845" s="19" t="n">
        <f aca="false">+F845*0.03</f>
        <v>0</v>
      </c>
      <c r="F845" s="33" t="n">
        <v>0</v>
      </c>
      <c r="G845" s="62"/>
      <c r="H845" s="35" t="n">
        <v>0</v>
      </c>
      <c r="I845" s="34" t="n">
        <f aca="false">+IF(E845=0,0,E845*0.03)</f>
        <v>0</v>
      </c>
    </row>
    <row r="846" customFormat="false" ht="15.75" hidden="false" customHeight="true" outlineLevel="0" collapsed="false">
      <c r="A846" s="30" t="n">
        <v>45444</v>
      </c>
      <c r="B846" s="31" t="s">
        <v>153</v>
      </c>
      <c r="C846" s="32"/>
      <c r="D846" s="32"/>
      <c r="E846" s="19" t="n">
        <f aca="false">+F846*0.03</f>
        <v>0</v>
      </c>
      <c r="F846" s="33" t="n">
        <v>0</v>
      </c>
      <c r="G846" s="62"/>
      <c r="H846" s="35" t="n">
        <v>0</v>
      </c>
      <c r="I846" s="34" t="n">
        <f aca="false">+IF(E846=0,0,E846*0.03)</f>
        <v>0</v>
      </c>
    </row>
    <row r="847" customFormat="false" ht="15.75" hidden="false" customHeight="true" outlineLevel="0" collapsed="false">
      <c r="A847" s="30" t="n">
        <v>45444</v>
      </c>
      <c r="B847" s="31" t="s">
        <v>153</v>
      </c>
      <c r="C847" s="32"/>
      <c r="D847" s="32"/>
      <c r="E847" s="19" t="n">
        <f aca="false">+F847*0.03</f>
        <v>0</v>
      </c>
      <c r="F847" s="33" t="n">
        <v>0</v>
      </c>
      <c r="G847" s="62"/>
      <c r="H847" s="35" t="n">
        <v>0</v>
      </c>
      <c r="I847" s="34" t="n">
        <f aca="false">+IF(E847=0,0,E847*0.03)</f>
        <v>0</v>
      </c>
    </row>
    <row r="848" customFormat="false" ht="15.75" hidden="false" customHeight="true" outlineLevel="0" collapsed="false">
      <c r="A848" s="30" t="n">
        <v>45444</v>
      </c>
      <c r="B848" s="31" t="s">
        <v>153</v>
      </c>
      <c r="C848" s="32"/>
      <c r="D848" s="32"/>
      <c r="E848" s="19" t="n">
        <f aca="false">+F848*0.03</f>
        <v>0</v>
      </c>
      <c r="F848" s="33" t="n">
        <v>0</v>
      </c>
      <c r="G848" s="62"/>
      <c r="H848" s="35" t="n">
        <v>0</v>
      </c>
      <c r="I848" s="34" t="n">
        <f aca="false">+IF(E848=0,0,E848*0.03)</f>
        <v>0</v>
      </c>
    </row>
    <row r="849" customFormat="false" ht="15.75" hidden="false" customHeight="true" outlineLevel="0" collapsed="false">
      <c r="A849" s="30" t="n">
        <v>45444</v>
      </c>
      <c r="B849" s="31" t="s">
        <v>153</v>
      </c>
      <c r="C849" s="32"/>
      <c r="D849" s="32"/>
      <c r="E849" s="19" t="n">
        <f aca="false">+F849*0.03</f>
        <v>0</v>
      </c>
      <c r="F849" s="33" t="n">
        <v>0</v>
      </c>
      <c r="G849" s="62"/>
      <c r="H849" s="35" t="n">
        <v>0</v>
      </c>
      <c r="I849" s="34" t="n">
        <f aca="false">+IF(E849=0,0,E849*0.03)</f>
        <v>0</v>
      </c>
    </row>
    <row r="850" customFormat="false" ht="15.75" hidden="false" customHeight="true" outlineLevel="0" collapsed="false">
      <c r="A850" s="30" t="n">
        <v>45444</v>
      </c>
      <c r="B850" s="31" t="s">
        <v>153</v>
      </c>
      <c r="C850" s="32"/>
      <c r="D850" s="32"/>
      <c r="E850" s="19" t="n">
        <f aca="false">+F850*0.03</f>
        <v>0</v>
      </c>
      <c r="F850" s="33" t="n">
        <v>0</v>
      </c>
      <c r="G850" s="62"/>
      <c r="H850" s="35" t="n">
        <v>0</v>
      </c>
      <c r="I850" s="34" t="n">
        <f aca="false">+IF(E850=0,0,E850*0.03)</f>
        <v>0</v>
      </c>
    </row>
    <row r="851" customFormat="false" ht="15.75" hidden="false" customHeight="true" outlineLevel="0" collapsed="false">
      <c r="A851" s="30" t="n">
        <v>45444</v>
      </c>
      <c r="B851" s="31" t="s">
        <v>153</v>
      </c>
      <c r="C851" s="32"/>
      <c r="D851" s="32"/>
      <c r="E851" s="19" t="n">
        <f aca="false">+F851*0.03</f>
        <v>0</v>
      </c>
      <c r="F851" s="33" t="n">
        <v>0</v>
      </c>
      <c r="G851" s="62"/>
      <c r="H851" s="35" t="n">
        <v>0</v>
      </c>
      <c r="I851" s="34" t="n">
        <f aca="false">+IF(E851=0,0,E851*0.03)</f>
        <v>0</v>
      </c>
    </row>
    <row r="852" customFormat="false" ht="15.75" hidden="false" customHeight="true" outlineLevel="0" collapsed="false">
      <c r="A852" s="30" t="n">
        <v>45444</v>
      </c>
      <c r="B852" s="31" t="s">
        <v>153</v>
      </c>
      <c r="C852" s="32"/>
      <c r="D852" s="32"/>
      <c r="E852" s="19" t="n">
        <f aca="false">+F852*0.03</f>
        <v>0</v>
      </c>
      <c r="F852" s="33" t="n">
        <v>0</v>
      </c>
      <c r="G852" s="62"/>
      <c r="H852" s="35" t="n">
        <v>0</v>
      </c>
      <c r="I852" s="34" t="n">
        <f aca="false">+IF(E852=0,0,E852*0.03)</f>
        <v>0</v>
      </c>
    </row>
    <row r="853" customFormat="false" ht="15.75" hidden="false" customHeight="true" outlineLevel="0" collapsed="false">
      <c r="A853" s="30" t="n">
        <v>45444</v>
      </c>
      <c r="B853" s="31" t="s">
        <v>153</v>
      </c>
      <c r="C853" s="32"/>
      <c r="D853" s="32"/>
      <c r="E853" s="19" t="n">
        <f aca="false">+F853*0.03</f>
        <v>0</v>
      </c>
      <c r="F853" s="33" t="n">
        <v>0</v>
      </c>
      <c r="G853" s="62"/>
      <c r="H853" s="35" t="n">
        <v>0</v>
      </c>
      <c r="I853" s="34" t="n">
        <f aca="false">+IF(E853=0,0,E853*0.03)</f>
        <v>0</v>
      </c>
    </row>
    <row r="854" customFormat="false" ht="15.75" hidden="false" customHeight="true" outlineLevel="0" collapsed="false">
      <c r="A854" s="30" t="n">
        <v>45444</v>
      </c>
      <c r="B854" s="31" t="s">
        <v>153</v>
      </c>
      <c r="C854" s="32"/>
      <c r="D854" s="32"/>
      <c r="E854" s="19" t="n">
        <f aca="false">+F854*0.03</f>
        <v>0</v>
      </c>
      <c r="F854" s="33" t="n">
        <v>0</v>
      </c>
      <c r="G854" s="62"/>
      <c r="H854" s="35" t="n">
        <v>0</v>
      </c>
      <c r="I854" s="34" t="n">
        <f aca="false">+IF(E854=0,0,E854*0.03)</f>
        <v>0</v>
      </c>
    </row>
    <row r="855" customFormat="false" ht="15.75" hidden="false" customHeight="true" outlineLevel="0" collapsed="false">
      <c r="A855" s="30" t="n">
        <v>45444</v>
      </c>
      <c r="B855" s="31" t="s">
        <v>153</v>
      </c>
      <c r="C855" s="32"/>
      <c r="D855" s="32"/>
      <c r="E855" s="19" t="n">
        <f aca="false">+F855*0.03</f>
        <v>0</v>
      </c>
      <c r="F855" s="33" t="n">
        <v>0</v>
      </c>
      <c r="G855" s="62"/>
      <c r="H855" s="35" t="n">
        <v>0</v>
      </c>
      <c r="I855" s="34" t="n">
        <f aca="false">+IF(E855=0,0,E855*0.03)</f>
        <v>0</v>
      </c>
    </row>
    <row r="856" customFormat="false" ht="15.75" hidden="false" customHeight="true" outlineLevel="0" collapsed="false">
      <c r="A856" s="30" t="n">
        <v>45444</v>
      </c>
      <c r="B856" s="31" t="s">
        <v>153</v>
      </c>
      <c r="C856" s="32"/>
      <c r="D856" s="32"/>
      <c r="E856" s="19" t="n">
        <f aca="false">+F856*0.03</f>
        <v>0</v>
      </c>
      <c r="F856" s="33" t="n">
        <v>0</v>
      </c>
      <c r="G856" s="62"/>
      <c r="H856" s="35" t="n">
        <v>0</v>
      </c>
      <c r="I856" s="34" t="n">
        <f aca="false">+IF(E856=0,0,E856*0.03)</f>
        <v>0</v>
      </c>
    </row>
    <row r="857" customFormat="false" ht="15.75" hidden="false" customHeight="true" outlineLevel="0" collapsed="false">
      <c r="A857" s="30" t="n">
        <v>45444</v>
      </c>
      <c r="B857" s="31" t="s">
        <v>153</v>
      </c>
      <c r="C857" s="32"/>
      <c r="D857" s="32"/>
      <c r="E857" s="19" t="n">
        <f aca="false">+F857*0.03</f>
        <v>0</v>
      </c>
      <c r="F857" s="33" t="n">
        <v>0</v>
      </c>
      <c r="G857" s="62"/>
      <c r="H857" s="35" t="n">
        <v>0</v>
      </c>
      <c r="I857" s="34" t="n">
        <f aca="false">+IF(E857=0,0,E857*0.03)</f>
        <v>0</v>
      </c>
    </row>
    <row r="858" customFormat="false" ht="15.75" hidden="false" customHeight="true" outlineLevel="0" collapsed="false">
      <c r="A858" s="30" t="n">
        <v>45444</v>
      </c>
      <c r="B858" s="31" t="s">
        <v>153</v>
      </c>
      <c r="C858" s="32"/>
      <c r="D858" s="32"/>
      <c r="E858" s="19" t="n">
        <f aca="false">+F858*0.03</f>
        <v>0</v>
      </c>
      <c r="F858" s="33" t="n">
        <v>0</v>
      </c>
      <c r="G858" s="62"/>
      <c r="H858" s="35" t="n">
        <v>0</v>
      </c>
      <c r="I858" s="34" t="n">
        <f aca="false">+IF(E858=0,0,E858*0.03)</f>
        <v>0</v>
      </c>
    </row>
    <row r="859" customFormat="false" ht="15.75" hidden="false" customHeight="true" outlineLevel="0" collapsed="false">
      <c r="A859" s="30" t="n">
        <v>45444</v>
      </c>
      <c r="B859" s="31" t="s">
        <v>153</v>
      </c>
      <c r="C859" s="32"/>
      <c r="D859" s="32"/>
      <c r="E859" s="19" t="n">
        <f aca="false">+F859*0.03</f>
        <v>0</v>
      </c>
      <c r="F859" s="33" t="n">
        <v>0</v>
      </c>
      <c r="G859" s="62"/>
      <c r="H859" s="35" t="n">
        <v>0</v>
      </c>
      <c r="I859" s="34" t="n">
        <f aca="false">+IF(E859=0,0,E859*0.03)</f>
        <v>0</v>
      </c>
    </row>
    <row r="860" customFormat="false" ht="15.75" hidden="false" customHeight="true" outlineLevel="0" collapsed="false">
      <c r="A860" s="30" t="n">
        <v>45444</v>
      </c>
      <c r="B860" s="31" t="s">
        <v>153</v>
      </c>
      <c r="C860" s="32"/>
      <c r="D860" s="32"/>
      <c r="E860" s="19" t="n">
        <f aca="false">+F860*0.03</f>
        <v>0</v>
      </c>
      <c r="F860" s="33" t="n">
        <v>0</v>
      </c>
      <c r="G860" s="62"/>
      <c r="H860" s="35" t="n">
        <v>0</v>
      </c>
      <c r="I860" s="34" t="n">
        <f aca="false">+IF(E860=0,0,E860*0.03)</f>
        <v>0</v>
      </c>
    </row>
    <row r="861" customFormat="false" ht="15.75" hidden="false" customHeight="true" outlineLevel="0" collapsed="false">
      <c r="A861" s="30" t="n">
        <v>45444</v>
      </c>
      <c r="B861" s="31" t="s">
        <v>153</v>
      </c>
      <c r="C861" s="32"/>
      <c r="D861" s="32"/>
      <c r="E861" s="19" t="n">
        <f aca="false">+F861*0.03</f>
        <v>0</v>
      </c>
      <c r="F861" s="33" t="n">
        <v>0</v>
      </c>
      <c r="G861" s="62"/>
      <c r="H861" s="35" t="n">
        <v>0</v>
      </c>
      <c r="I861" s="34" t="n">
        <f aca="false">+IF(E861=0,0,E861*0.03)</f>
        <v>0</v>
      </c>
    </row>
    <row r="862" customFormat="false" ht="15.75" hidden="false" customHeight="true" outlineLevel="0" collapsed="false">
      <c r="A862" s="30" t="n">
        <v>45444</v>
      </c>
      <c r="B862" s="31" t="s">
        <v>153</v>
      </c>
      <c r="C862" s="32"/>
      <c r="D862" s="32"/>
      <c r="E862" s="19" t="n">
        <f aca="false">+F862*0.03</f>
        <v>0</v>
      </c>
      <c r="F862" s="33" t="n">
        <v>0</v>
      </c>
      <c r="G862" s="62"/>
      <c r="H862" s="35" t="n">
        <v>0</v>
      </c>
      <c r="I862" s="34" t="n">
        <f aca="false">+IF(E862=0,0,E862*0.03)</f>
        <v>0</v>
      </c>
    </row>
    <row r="863" customFormat="false" ht="15.75" hidden="false" customHeight="true" outlineLevel="0" collapsed="false">
      <c r="A863" s="30" t="n">
        <v>45444</v>
      </c>
      <c r="B863" s="31" t="s">
        <v>153</v>
      </c>
      <c r="C863" s="32"/>
      <c r="D863" s="32"/>
      <c r="E863" s="19" t="n">
        <f aca="false">+F863*0.03</f>
        <v>0</v>
      </c>
      <c r="F863" s="33" t="n">
        <v>0</v>
      </c>
      <c r="G863" s="62"/>
      <c r="H863" s="35" t="n">
        <v>0</v>
      </c>
      <c r="I863" s="34" t="n">
        <f aca="false">+IF(E863=0,0,E863*0.03)</f>
        <v>0</v>
      </c>
    </row>
    <row r="864" customFormat="false" ht="15.75" hidden="false" customHeight="true" outlineLevel="0" collapsed="false">
      <c r="A864" s="30" t="n">
        <v>45444</v>
      </c>
      <c r="B864" s="31" t="s">
        <v>153</v>
      </c>
      <c r="C864" s="32"/>
      <c r="D864" s="32"/>
      <c r="E864" s="19" t="n">
        <f aca="false">+F864*0.03</f>
        <v>0</v>
      </c>
      <c r="F864" s="33" t="n">
        <v>0</v>
      </c>
      <c r="G864" s="62"/>
      <c r="H864" s="35" t="n">
        <v>0</v>
      </c>
      <c r="I864" s="34" t="n">
        <f aca="false">+IF(E864=0,0,E864*0.03)</f>
        <v>0</v>
      </c>
    </row>
    <row r="865" customFormat="false" ht="15.75" hidden="false" customHeight="true" outlineLevel="0" collapsed="false">
      <c r="A865" s="30" t="n">
        <v>45444</v>
      </c>
      <c r="B865" s="31" t="s">
        <v>153</v>
      </c>
      <c r="C865" s="32"/>
      <c r="D865" s="32"/>
      <c r="E865" s="19" t="n">
        <f aca="false">+F865*0.03</f>
        <v>0</v>
      </c>
      <c r="F865" s="33" t="n">
        <v>0</v>
      </c>
      <c r="G865" s="62"/>
      <c r="H865" s="35" t="n">
        <v>0</v>
      </c>
      <c r="I865" s="34" t="n">
        <f aca="false">+IF(E865=0,0,E865*0.03)</f>
        <v>0</v>
      </c>
    </row>
    <row r="866" customFormat="false" ht="15.75" hidden="false" customHeight="true" outlineLevel="0" collapsed="false">
      <c r="A866" s="30" t="n">
        <v>45444</v>
      </c>
      <c r="B866" s="31" t="s">
        <v>153</v>
      </c>
      <c r="C866" s="32"/>
      <c r="D866" s="32"/>
      <c r="E866" s="19" t="n">
        <f aca="false">+F866*0.03</f>
        <v>0</v>
      </c>
      <c r="F866" s="33" t="n">
        <v>0</v>
      </c>
      <c r="G866" s="62"/>
      <c r="H866" s="35" t="n">
        <v>0</v>
      </c>
      <c r="I866" s="34" t="n">
        <f aca="false">+IF(E866=0,0,E866*0.03)</f>
        <v>0</v>
      </c>
    </row>
    <row r="867" customFormat="false" ht="15.75" hidden="false" customHeight="true" outlineLevel="0" collapsed="false">
      <c r="A867" s="30" t="n">
        <v>45444</v>
      </c>
      <c r="B867" s="31" t="s">
        <v>153</v>
      </c>
      <c r="C867" s="32"/>
      <c r="D867" s="32"/>
      <c r="E867" s="19" t="n">
        <f aca="false">+F867*0.03</f>
        <v>0</v>
      </c>
      <c r="F867" s="33" t="n">
        <v>0</v>
      </c>
      <c r="G867" s="62"/>
      <c r="H867" s="35" t="n">
        <v>0</v>
      </c>
      <c r="I867" s="34" t="n">
        <f aca="false">+IF(E867=0,0,E867*0.03)</f>
        <v>0</v>
      </c>
    </row>
    <row r="868" customFormat="false" ht="15.75" hidden="false" customHeight="true" outlineLevel="0" collapsed="false">
      <c r="A868" s="30" t="n">
        <v>45444</v>
      </c>
      <c r="B868" s="31" t="s">
        <v>153</v>
      </c>
      <c r="C868" s="32"/>
      <c r="D868" s="32"/>
      <c r="E868" s="19" t="n">
        <f aca="false">+F868*0.03</f>
        <v>0</v>
      </c>
      <c r="F868" s="33" t="n">
        <v>0</v>
      </c>
      <c r="G868" s="62"/>
      <c r="H868" s="35" t="n">
        <v>0</v>
      </c>
      <c r="I868" s="34" t="n">
        <f aca="false">+IF(E868=0,0,E868*0.03)</f>
        <v>0</v>
      </c>
    </row>
    <row r="869" customFormat="false" ht="15.75" hidden="false" customHeight="true" outlineLevel="0" collapsed="false">
      <c r="A869" s="30" t="n">
        <v>45444</v>
      </c>
      <c r="B869" s="31" t="s">
        <v>153</v>
      </c>
      <c r="C869" s="32"/>
      <c r="D869" s="32"/>
      <c r="E869" s="19" t="n">
        <f aca="false">+F869*0.03</f>
        <v>0</v>
      </c>
      <c r="F869" s="33" t="n">
        <v>0</v>
      </c>
      <c r="G869" s="62"/>
      <c r="H869" s="35" t="n">
        <v>0</v>
      </c>
      <c r="I869" s="34" t="n">
        <f aca="false">+IF(E869=0,0,E869*0.03)</f>
        <v>0</v>
      </c>
    </row>
    <row r="870" customFormat="false" ht="15.75" hidden="false" customHeight="true" outlineLevel="0" collapsed="false">
      <c r="A870" s="30" t="n">
        <v>45444</v>
      </c>
      <c r="B870" s="31" t="s">
        <v>153</v>
      </c>
      <c r="C870" s="32"/>
      <c r="D870" s="32"/>
      <c r="E870" s="19" t="n">
        <f aca="false">+F870*0.03</f>
        <v>0</v>
      </c>
      <c r="F870" s="33" t="n">
        <v>0</v>
      </c>
      <c r="G870" s="62"/>
      <c r="H870" s="35" t="n">
        <v>0</v>
      </c>
      <c r="I870" s="34" t="n">
        <f aca="false">+IF(E870=0,0,E870*0.03)</f>
        <v>0</v>
      </c>
    </row>
    <row r="871" customFormat="false" ht="15.75" hidden="false" customHeight="true" outlineLevel="0" collapsed="false">
      <c r="A871" s="30" t="n">
        <v>45444</v>
      </c>
      <c r="B871" s="31" t="s">
        <v>153</v>
      </c>
      <c r="C871" s="32"/>
      <c r="D871" s="32"/>
      <c r="E871" s="19" t="n">
        <f aca="false">+F871*0.03</f>
        <v>0</v>
      </c>
      <c r="F871" s="33" t="n">
        <v>0</v>
      </c>
      <c r="G871" s="62"/>
      <c r="H871" s="35" t="n">
        <v>0</v>
      </c>
      <c r="I871" s="34" t="n">
        <f aca="false">+IF(E871=0,0,E871*0.03)</f>
        <v>0</v>
      </c>
    </row>
    <row r="872" customFormat="false" ht="15.75" hidden="false" customHeight="true" outlineLevel="0" collapsed="false">
      <c r="A872" s="30" t="n">
        <v>45444</v>
      </c>
      <c r="B872" s="31" t="s">
        <v>153</v>
      </c>
      <c r="C872" s="32"/>
      <c r="D872" s="32"/>
      <c r="E872" s="19" t="n">
        <f aca="false">+F872*0.03</f>
        <v>0</v>
      </c>
      <c r="F872" s="33" t="n">
        <v>0</v>
      </c>
      <c r="G872" s="62"/>
      <c r="H872" s="35" t="n">
        <v>0</v>
      </c>
      <c r="I872" s="34" t="n">
        <f aca="false">+IF(E872=0,0,E872*0.03)</f>
        <v>0</v>
      </c>
    </row>
    <row r="873" customFormat="false" ht="15.75" hidden="false" customHeight="true" outlineLevel="0" collapsed="false">
      <c r="A873" s="30" t="n">
        <v>45444</v>
      </c>
      <c r="B873" s="31" t="s">
        <v>153</v>
      </c>
      <c r="C873" s="32"/>
      <c r="D873" s="32"/>
      <c r="E873" s="19" t="n">
        <f aca="false">+F873*0.03</f>
        <v>0</v>
      </c>
      <c r="F873" s="33" t="n">
        <v>0</v>
      </c>
      <c r="G873" s="62"/>
      <c r="H873" s="35" t="n">
        <v>0</v>
      </c>
      <c r="I873" s="34" t="n">
        <f aca="false">+IF(E873=0,0,E873*0.03)</f>
        <v>0</v>
      </c>
    </row>
    <row r="874" customFormat="false" ht="15.75" hidden="false" customHeight="true" outlineLevel="0" collapsed="false">
      <c r="A874" s="30" t="n">
        <v>45444</v>
      </c>
      <c r="B874" s="31" t="s">
        <v>153</v>
      </c>
      <c r="C874" s="32"/>
      <c r="D874" s="32"/>
      <c r="E874" s="19" t="n">
        <f aca="false">+F874*0.03</f>
        <v>0</v>
      </c>
      <c r="F874" s="33" t="n">
        <v>0</v>
      </c>
      <c r="G874" s="62"/>
      <c r="H874" s="35" t="n">
        <v>0</v>
      </c>
      <c r="I874" s="34" t="n">
        <f aca="false">+IF(E874=0,0,E874*0.03)</f>
        <v>0</v>
      </c>
    </row>
    <row r="875" customFormat="false" ht="15.75" hidden="false" customHeight="true" outlineLevel="0" collapsed="false">
      <c r="A875" s="30" t="n">
        <v>45444</v>
      </c>
      <c r="B875" s="31" t="s">
        <v>153</v>
      </c>
      <c r="C875" s="32"/>
      <c r="D875" s="32"/>
      <c r="E875" s="19" t="n">
        <f aca="false">+F875*0.03</f>
        <v>0</v>
      </c>
      <c r="F875" s="33" t="n">
        <v>0</v>
      </c>
      <c r="G875" s="62"/>
      <c r="H875" s="35" t="n">
        <v>0</v>
      </c>
      <c r="I875" s="34" t="n">
        <f aca="false">+IF(E875=0,0,E875*0.03)</f>
        <v>0</v>
      </c>
    </row>
    <row r="876" customFormat="false" ht="15.75" hidden="false" customHeight="true" outlineLevel="0" collapsed="false">
      <c r="A876" s="30" t="n">
        <v>45444</v>
      </c>
      <c r="B876" s="31" t="s">
        <v>153</v>
      </c>
      <c r="C876" s="32"/>
      <c r="D876" s="32"/>
      <c r="E876" s="19" t="n">
        <f aca="false">+F876*0.03</f>
        <v>0</v>
      </c>
      <c r="F876" s="33" t="n">
        <v>0</v>
      </c>
      <c r="G876" s="62"/>
      <c r="H876" s="35" t="n">
        <v>0</v>
      </c>
      <c r="I876" s="34" t="n">
        <f aca="false">+IF(E876=0,0,E876*0.03)</f>
        <v>0</v>
      </c>
    </row>
    <row r="877" customFormat="false" ht="15.75" hidden="false" customHeight="true" outlineLevel="0" collapsed="false">
      <c r="A877" s="30" t="n">
        <v>45444</v>
      </c>
      <c r="B877" s="31" t="s">
        <v>153</v>
      </c>
      <c r="C877" s="32"/>
      <c r="D877" s="32"/>
      <c r="E877" s="19" t="n">
        <f aca="false">+F877*0.03</f>
        <v>0</v>
      </c>
      <c r="F877" s="33" t="n">
        <v>0</v>
      </c>
      <c r="G877" s="62"/>
      <c r="H877" s="35" t="n">
        <v>0</v>
      </c>
      <c r="I877" s="34" t="n">
        <f aca="false">+IF(E877=0,0,E877*0.03)</f>
        <v>0</v>
      </c>
    </row>
    <row r="878" customFormat="false" ht="15.75" hidden="false" customHeight="true" outlineLevel="0" collapsed="false">
      <c r="A878" s="30" t="n">
        <v>45444</v>
      </c>
      <c r="B878" s="31" t="s">
        <v>153</v>
      </c>
      <c r="C878" s="32"/>
      <c r="D878" s="32"/>
      <c r="E878" s="19" t="n">
        <f aca="false">+F878*0.03</f>
        <v>0</v>
      </c>
      <c r="F878" s="33" t="n">
        <v>0</v>
      </c>
      <c r="G878" s="62"/>
      <c r="H878" s="35" t="n">
        <v>0</v>
      </c>
      <c r="I878" s="34" t="n">
        <f aca="false">+IF(E878=0,0,E878*0.03)</f>
        <v>0</v>
      </c>
    </row>
    <row r="879" customFormat="false" ht="15.75" hidden="false" customHeight="true" outlineLevel="0" collapsed="false">
      <c r="A879" s="30" t="n">
        <v>45444</v>
      </c>
      <c r="B879" s="31" t="s">
        <v>153</v>
      </c>
      <c r="C879" s="32"/>
      <c r="D879" s="32"/>
      <c r="E879" s="19" t="n">
        <f aca="false">+F879*0.03</f>
        <v>0</v>
      </c>
      <c r="F879" s="33" t="n">
        <v>0</v>
      </c>
      <c r="G879" s="62"/>
      <c r="H879" s="35" t="n">
        <v>0</v>
      </c>
      <c r="I879" s="34" t="n">
        <f aca="false">+IF(E879=0,0,E879*0.03)</f>
        <v>0</v>
      </c>
    </row>
    <row r="880" customFormat="false" ht="15.75" hidden="false" customHeight="true" outlineLevel="0" collapsed="false">
      <c r="A880" s="30" t="n">
        <v>45444</v>
      </c>
      <c r="B880" s="31" t="s">
        <v>153</v>
      </c>
      <c r="C880" s="32"/>
      <c r="D880" s="32"/>
      <c r="E880" s="19" t="n">
        <f aca="false">+F880*0.03</f>
        <v>0</v>
      </c>
      <c r="F880" s="33" t="n">
        <v>0</v>
      </c>
      <c r="G880" s="62"/>
      <c r="H880" s="35" t="n">
        <v>0</v>
      </c>
      <c r="I880" s="34" t="n">
        <f aca="false">+IF(E880=0,0,E880*0.03)</f>
        <v>0</v>
      </c>
    </row>
    <row r="881" customFormat="false" ht="15.75" hidden="false" customHeight="true" outlineLevel="0" collapsed="false">
      <c r="A881" s="30" t="n">
        <v>45444</v>
      </c>
      <c r="B881" s="31" t="s">
        <v>153</v>
      </c>
      <c r="C881" s="32"/>
      <c r="D881" s="32"/>
      <c r="E881" s="19" t="n">
        <f aca="false">+F881*0.03</f>
        <v>0</v>
      </c>
      <c r="F881" s="33" t="n">
        <v>0</v>
      </c>
      <c r="G881" s="62"/>
      <c r="H881" s="35" t="n">
        <v>0</v>
      </c>
      <c r="I881" s="34" t="n">
        <f aca="false">+IF(E881=0,0,E881*0.03)</f>
        <v>0</v>
      </c>
    </row>
    <row r="882" customFormat="false" ht="15.75" hidden="false" customHeight="true" outlineLevel="0" collapsed="false">
      <c r="A882" s="30" t="n">
        <v>45444</v>
      </c>
      <c r="B882" s="31" t="s">
        <v>153</v>
      </c>
      <c r="C882" s="32"/>
      <c r="D882" s="32"/>
      <c r="E882" s="19" t="n">
        <f aca="false">+F882*0.03</f>
        <v>0</v>
      </c>
      <c r="F882" s="33" t="n">
        <v>0</v>
      </c>
      <c r="G882" s="62"/>
      <c r="H882" s="35" t="n">
        <v>0</v>
      </c>
      <c r="I882" s="34" t="n">
        <f aca="false">+IF(E882=0,0,E882*0.03)</f>
        <v>0</v>
      </c>
    </row>
    <row r="883" customFormat="false" ht="15.75" hidden="false" customHeight="true" outlineLevel="0" collapsed="false">
      <c r="A883" s="30" t="n">
        <v>45444</v>
      </c>
      <c r="B883" s="31" t="s">
        <v>153</v>
      </c>
      <c r="C883" s="32"/>
      <c r="D883" s="32"/>
      <c r="E883" s="19" t="n">
        <f aca="false">+F883*0.03</f>
        <v>0</v>
      </c>
      <c r="F883" s="33" t="n">
        <v>0</v>
      </c>
      <c r="G883" s="62"/>
      <c r="H883" s="35" t="n">
        <v>0</v>
      </c>
      <c r="I883" s="34" t="n">
        <f aca="false">+IF(E883=0,0,E883*0.03)</f>
        <v>0</v>
      </c>
    </row>
    <row r="884" customFormat="false" ht="15.75" hidden="false" customHeight="true" outlineLevel="0" collapsed="false">
      <c r="A884" s="30" t="n">
        <v>45444</v>
      </c>
      <c r="B884" s="31" t="s">
        <v>153</v>
      </c>
      <c r="C884" s="32"/>
      <c r="D884" s="32"/>
      <c r="E884" s="19" t="n">
        <f aca="false">+F884*0.03</f>
        <v>0</v>
      </c>
      <c r="F884" s="33" t="n">
        <v>0</v>
      </c>
      <c r="G884" s="62"/>
      <c r="H884" s="35" t="n">
        <v>0</v>
      </c>
      <c r="I884" s="34" t="n">
        <f aca="false">+IF(E884=0,0,E884*0.03)</f>
        <v>0</v>
      </c>
    </row>
    <row r="885" customFormat="false" ht="15.75" hidden="false" customHeight="true" outlineLevel="0" collapsed="false">
      <c r="A885" s="30" t="n">
        <v>45444</v>
      </c>
      <c r="B885" s="31" t="s">
        <v>153</v>
      </c>
      <c r="C885" s="32"/>
      <c r="D885" s="32"/>
      <c r="E885" s="19" t="n">
        <f aca="false">+F885*0.03</f>
        <v>0</v>
      </c>
      <c r="F885" s="33" t="n">
        <v>0</v>
      </c>
      <c r="G885" s="62"/>
      <c r="H885" s="35" t="n">
        <v>0</v>
      </c>
      <c r="I885" s="34" t="n">
        <f aca="false">+IF(E885=0,0,E885*0.03)</f>
        <v>0</v>
      </c>
    </row>
    <row r="886" customFormat="false" ht="15.75" hidden="false" customHeight="true" outlineLevel="0" collapsed="false">
      <c r="A886" s="30" t="n">
        <v>45444</v>
      </c>
      <c r="B886" s="31" t="s">
        <v>153</v>
      </c>
      <c r="C886" s="32"/>
      <c r="D886" s="32"/>
      <c r="E886" s="19" t="n">
        <f aca="false">+F886*0.03</f>
        <v>0</v>
      </c>
      <c r="F886" s="33" t="n">
        <v>0</v>
      </c>
      <c r="G886" s="62"/>
      <c r="H886" s="35" t="n">
        <v>0</v>
      </c>
      <c r="I886" s="34" t="n">
        <f aca="false">+IF(E886=0,0,E886*0.03)</f>
        <v>0</v>
      </c>
    </row>
    <row r="887" customFormat="false" ht="15.75" hidden="false" customHeight="true" outlineLevel="0" collapsed="false">
      <c r="A887" s="30" t="n">
        <v>45444</v>
      </c>
      <c r="B887" s="31" t="s">
        <v>153</v>
      </c>
      <c r="C887" s="32"/>
      <c r="D887" s="32"/>
      <c r="E887" s="19" t="n">
        <f aca="false">+F887*0.03</f>
        <v>0</v>
      </c>
      <c r="F887" s="33" t="n">
        <v>0</v>
      </c>
      <c r="G887" s="62"/>
      <c r="H887" s="35" t="n">
        <v>0</v>
      </c>
      <c r="I887" s="34" t="n">
        <f aca="false">+IF(E887=0,0,E887*0.03)</f>
        <v>0</v>
      </c>
    </row>
    <row r="888" customFormat="false" ht="15.75" hidden="false" customHeight="true" outlineLevel="0" collapsed="false">
      <c r="A888" s="30" t="n">
        <v>45444</v>
      </c>
      <c r="B888" s="31" t="s">
        <v>153</v>
      </c>
      <c r="C888" s="32"/>
      <c r="D888" s="32"/>
      <c r="E888" s="19" t="n">
        <f aca="false">+F888*0.03</f>
        <v>0</v>
      </c>
      <c r="F888" s="33" t="n">
        <v>0</v>
      </c>
      <c r="G888" s="62"/>
      <c r="H888" s="35" t="n">
        <v>0</v>
      </c>
      <c r="I888" s="34" t="n">
        <f aca="false">+IF(E888=0,0,E888*0.03)</f>
        <v>0</v>
      </c>
    </row>
    <row r="889" customFormat="false" ht="15.75" hidden="false" customHeight="true" outlineLevel="0" collapsed="false">
      <c r="A889" s="30" t="n">
        <v>45444</v>
      </c>
      <c r="B889" s="31" t="s">
        <v>153</v>
      </c>
      <c r="C889" s="32"/>
      <c r="D889" s="32"/>
      <c r="E889" s="19" t="n">
        <f aca="false">+F889*0.03</f>
        <v>0</v>
      </c>
      <c r="F889" s="33" t="n">
        <v>0</v>
      </c>
      <c r="G889" s="62"/>
      <c r="H889" s="35" t="n">
        <v>0</v>
      </c>
      <c r="I889" s="34" t="n">
        <f aca="false">+IF(E889=0,0,E889*0.03)</f>
        <v>0</v>
      </c>
    </row>
    <row r="890" customFormat="false" ht="15.75" hidden="false" customHeight="true" outlineLevel="0" collapsed="false">
      <c r="A890" s="30" t="n">
        <v>45444</v>
      </c>
      <c r="B890" s="31" t="s">
        <v>153</v>
      </c>
      <c r="C890" s="32"/>
      <c r="D890" s="32"/>
      <c r="E890" s="19" t="n">
        <f aca="false">+F890*0.03</f>
        <v>0</v>
      </c>
      <c r="F890" s="33" t="n">
        <v>0</v>
      </c>
      <c r="G890" s="62"/>
      <c r="H890" s="35" t="n">
        <v>0</v>
      </c>
      <c r="I890" s="34" t="n">
        <f aca="false">+IF(E890=0,0,E890*0.03)</f>
        <v>0</v>
      </c>
    </row>
    <row r="891" customFormat="false" ht="15.75" hidden="false" customHeight="true" outlineLevel="0" collapsed="false">
      <c r="A891" s="30" t="n">
        <v>45444</v>
      </c>
      <c r="B891" s="31" t="s">
        <v>153</v>
      </c>
      <c r="C891" s="32"/>
      <c r="D891" s="32"/>
      <c r="E891" s="19" t="n">
        <f aca="false">+F891*0.03</f>
        <v>0</v>
      </c>
      <c r="F891" s="33" t="n">
        <v>0</v>
      </c>
      <c r="G891" s="62"/>
      <c r="H891" s="35" t="n">
        <v>0</v>
      </c>
      <c r="I891" s="34" t="n">
        <f aca="false">+IF(E891=0,0,E891*0.03)</f>
        <v>0</v>
      </c>
    </row>
    <row r="892" customFormat="false" ht="15.75" hidden="false" customHeight="true" outlineLevel="0" collapsed="false">
      <c r="A892" s="30" t="n">
        <v>45444</v>
      </c>
      <c r="B892" s="31" t="s">
        <v>153</v>
      </c>
      <c r="C892" s="32"/>
      <c r="D892" s="32"/>
      <c r="E892" s="19" t="n">
        <f aca="false">+F892*0.03</f>
        <v>0</v>
      </c>
      <c r="F892" s="33" t="n">
        <v>0</v>
      </c>
      <c r="G892" s="62"/>
      <c r="H892" s="35" t="n">
        <v>0</v>
      </c>
      <c r="I892" s="34" t="n">
        <f aca="false">+IF(E892=0,0,E892*0.03)</f>
        <v>0</v>
      </c>
    </row>
    <row r="893" customFormat="false" ht="15.75" hidden="false" customHeight="true" outlineLevel="0" collapsed="false">
      <c r="A893" s="30" t="n">
        <v>45444</v>
      </c>
      <c r="B893" s="31" t="s">
        <v>153</v>
      </c>
      <c r="C893" s="32"/>
      <c r="D893" s="32"/>
      <c r="E893" s="19" t="n">
        <f aca="false">+F893*0.03</f>
        <v>0</v>
      </c>
      <c r="F893" s="33" t="n">
        <v>0</v>
      </c>
      <c r="G893" s="62"/>
      <c r="H893" s="35" t="n">
        <v>0</v>
      </c>
      <c r="I893" s="34" t="n">
        <f aca="false">+IF(E893=0,0,E893*0.03)</f>
        <v>0</v>
      </c>
    </row>
    <row r="894" customFormat="false" ht="15.75" hidden="false" customHeight="true" outlineLevel="0" collapsed="false">
      <c r="A894" s="30" t="n">
        <v>45444</v>
      </c>
      <c r="B894" s="31" t="s">
        <v>153</v>
      </c>
      <c r="C894" s="32"/>
      <c r="D894" s="32"/>
      <c r="E894" s="19" t="n">
        <f aca="false">+F894*0.03</f>
        <v>0</v>
      </c>
      <c r="F894" s="33" t="n">
        <v>0</v>
      </c>
      <c r="G894" s="62"/>
      <c r="H894" s="35" t="n">
        <v>0</v>
      </c>
      <c r="I894" s="34" t="n">
        <f aca="false">+IF(E894=0,0,E894*0.03)</f>
        <v>0</v>
      </c>
    </row>
    <row r="895" customFormat="false" ht="15.75" hidden="false" customHeight="true" outlineLevel="0" collapsed="false">
      <c r="A895" s="30" t="n">
        <v>45444</v>
      </c>
      <c r="B895" s="31" t="s">
        <v>153</v>
      </c>
      <c r="C895" s="32"/>
      <c r="D895" s="32"/>
      <c r="E895" s="19" t="n">
        <f aca="false">+F895*0.03</f>
        <v>0</v>
      </c>
      <c r="F895" s="33" t="n">
        <v>0</v>
      </c>
      <c r="G895" s="62"/>
      <c r="H895" s="35" t="n">
        <v>0</v>
      </c>
      <c r="I895" s="34" t="n">
        <f aca="false">+IF(E895=0,0,E895*0.03)</f>
        <v>0</v>
      </c>
    </row>
    <row r="896" customFormat="false" ht="15.75" hidden="false" customHeight="true" outlineLevel="0" collapsed="false">
      <c r="A896" s="30" t="n">
        <v>45444</v>
      </c>
      <c r="B896" s="31" t="s">
        <v>153</v>
      </c>
      <c r="C896" s="32"/>
      <c r="D896" s="32"/>
      <c r="E896" s="19" t="n">
        <f aca="false">+F896*0.03</f>
        <v>0</v>
      </c>
      <c r="F896" s="33" t="n">
        <v>0</v>
      </c>
      <c r="G896" s="62"/>
      <c r="H896" s="35" t="n">
        <v>0</v>
      </c>
      <c r="I896" s="34" t="n">
        <f aca="false">+IF(E896=0,0,E896*0.03)</f>
        <v>0</v>
      </c>
    </row>
    <row r="897" customFormat="false" ht="15.75" hidden="false" customHeight="true" outlineLevel="0" collapsed="false">
      <c r="A897" s="30" t="n">
        <v>45444</v>
      </c>
      <c r="B897" s="31" t="s">
        <v>153</v>
      </c>
      <c r="C897" s="32"/>
      <c r="D897" s="32"/>
      <c r="E897" s="19" t="n">
        <f aca="false">+F897*0.03</f>
        <v>0</v>
      </c>
      <c r="F897" s="33" t="n">
        <v>0</v>
      </c>
      <c r="G897" s="62"/>
      <c r="H897" s="35" t="n">
        <v>0</v>
      </c>
      <c r="I897" s="34" t="n">
        <f aca="false">+IF(E897=0,0,E897*0.03)</f>
        <v>0</v>
      </c>
    </row>
    <row r="898" customFormat="false" ht="15.75" hidden="false" customHeight="true" outlineLevel="0" collapsed="false">
      <c r="A898" s="30" t="n">
        <v>45444</v>
      </c>
      <c r="B898" s="31" t="s">
        <v>153</v>
      </c>
      <c r="C898" s="32"/>
      <c r="D898" s="32"/>
      <c r="E898" s="19" t="n">
        <f aca="false">+F898*0.03</f>
        <v>0</v>
      </c>
      <c r="F898" s="33" t="n">
        <v>0</v>
      </c>
      <c r="G898" s="62"/>
      <c r="H898" s="35" t="n">
        <v>0</v>
      </c>
      <c r="I898" s="34" t="n">
        <f aca="false">+IF(E898=0,0,E898*0.03)</f>
        <v>0</v>
      </c>
    </row>
    <row r="899" customFormat="false" ht="15.75" hidden="false" customHeight="true" outlineLevel="0" collapsed="false">
      <c r="A899" s="30" t="n">
        <v>45444</v>
      </c>
      <c r="B899" s="31" t="s">
        <v>153</v>
      </c>
      <c r="C899" s="32"/>
      <c r="D899" s="32"/>
      <c r="E899" s="19" t="n">
        <f aca="false">+F899*0.03</f>
        <v>0</v>
      </c>
      <c r="F899" s="33" t="n">
        <v>0</v>
      </c>
      <c r="G899" s="62"/>
      <c r="H899" s="35" t="n">
        <v>0</v>
      </c>
      <c r="I899" s="34" t="n">
        <f aca="false">+IF(E899=0,0,E899*0.03)</f>
        <v>0</v>
      </c>
    </row>
    <row r="900" customFormat="false" ht="15.75" hidden="false" customHeight="true" outlineLevel="0" collapsed="false">
      <c r="A900" s="30" t="n">
        <v>45444</v>
      </c>
      <c r="B900" s="31" t="s">
        <v>153</v>
      </c>
      <c r="C900" s="32"/>
      <c r="D900" s="32"/>
      <c r="E900" s="19" t="n">
        <f aca="false">+F900*0.03</f>
        <v>0</v>
      </c>
      <c r="F900" s="33" t="n">
        <v>0</v>
      </c>
      <c r="G900" s="62"/>
      <c r="H900" s="35" t="n">
        <v>0</v>
      </c>
      <c r="I900" s="34" t="n">
        <f aca="false">+IF(E900=0,0,E900*0.03)</f>
        <v>0</v>
      </c>
    </row>
    <row r="901" customFormat="false" ht="15.75" hidden="false" customHeight="true" outlineLevel="0" collapsed="false">
      <c r="A901" s="30" t="n">
        <v>45444</v>
      </c>
      <c r="B901" s="31" t="s">
        <v>153</v>
      </c>
      <c r="C901" s="32"/>
      <c r="D901" s="32"/>
      <c r="E901" s="19" t="n">
        <f aca="false">+F901*0.03</f>
        <v>0</v>
      </c>
      <c r="F901" s="33" t="n">
        <v>0</v>
      </c>
      <c r="G901" s="62"/>
      <c r="H901" s="35" t="n">
        <v>0</v>
      </c>
      <c r="I901" s="34" t="n">
        <f aca="false">+IF(E901=0,0,E901*0.03)</f>
        <v>0</v>
      </c>
    </row>
    <row r="902" customFormat="false" ht="15.75" hidden="false" customHeight="true" outlineLevel="0" collapsed="false">
      <c r="A902" s="30" t="n">
        <v>45444</v>
      </c>
      <c r="B902" s="31" t="s">
        <v>153</v>
      </c>
      <c r="C902" s="32"/>
      <c r="D902" s="32"/>
      <c r="E902" s="19" t="n">
        <f aca="false">+F902*0.03</f>
        <v>0</v>
      </c>
      <c r="F902" s="33" t="n">
        <v>0</v>
      </c>
      <c r="G902" s="62"/>
      <c r="H902" s="35" t="n">
        <v>0</v>
      </c>
      <c r="I902" s="34" t="n">
        <f aca="false">+IF(E902=0,0,E902*0.03)</f>
        <v>0</v>
      </c>
    </row>
    <row r="903" customFormat="false" ht="15.75" hidden="false" customHeight="true" outlineLevel="0" collapsed="false">
      <c r="A903" s="30" t="n">
        <v>45444</v>
      </c>
      <c r="B903" s="31" t="s">
        <v>153</v>
      </c>
      <c r="C903" s="32"/>
      <c r="D903" s="32"/>
      <c r="E903" s="19" t="n">
        <f aca="false">+F903*0.03</f>
        <v>0</v>
      </c>
      <c r="F903" s="33" t="n">
        <v>0</v>
      </c>
      <c r="G903" s="62"/>
      <c r="H903" s="35" t="n">
        <v>0</v>
      </c>
      <c r="I903" s="34" t="n">
        <f aca="false">+IF(E903=0,0,E903*0.03)</f>
        <v>0</v>
      </c>
    </row>
    <row r="904" customFormat="false" ht="15.75" hidden="false" customHeight="true" outlineLevel="0" collapsed="false">
      <c r="A904" s="30" t="n">
        <v>45444</v>
      </c>
      <c r="B904" s="31" t="s">
        <v>153</v>
      </c>
      <c r="C904" s="32"/>
      <c r="D904" s="32"/>
      <c r="E904" s="19" t="n">
        <f aca="false">+F904*0.03</f>
        <v>0</v>
      </c>
      <c r="F904" s="33" t="n">
        <v>0</v>
      </c>
      <c r="G904" s="62"/>
      <c r="H904" s="35" t="n">
        <v>0</v>
      </c>
      <c r="I904" s="34" t="n">
        <f aca="false">+IF(E904=0,0,E904*0.03)</f>
        <v>0</v>
      </c>
    </row>
    <row r="905" customFormat="false" ht="15.75" hidden="false" customHeight="true" outlineLevel="0" collapsed="false">
      <c r="A905" s="30" t="n">
        <v>45444</v>
      </c>
      <c r="B905" s="31" t="s">
        <v>153</v>
      </c>
      <c r="C905" s="32"/>
      <c r="D905" s="32"/>
      <c r="E905" s="19" t="n">
        <f aca="false">+F905*0.03</f>
        <v>0</v>
      </c>
      <c r="F905" s="33" t="n">
        <v>0</v>
      </c>
      <c r="G905" s="62"/>
      <c r="H905" s="35" t="n">
        <v>0</v>
      </c>
      <c r="I905" s="34" t="n">
        <f aca="false">+IF(E905=0,0,E905*0.03)</f>
        <v>0</v>
      </c>
    </row>
    <row r="906" customFormat="false" ht="15.75" hidden="false" customHeight="true" outlineLevel="0" collapsed="false">
      <c r="A906" s="30" t="n">
        <v>45444</v>
      </c>
      <c r="B906" s="31" t="s">
        <v>153</v>
      </c>
      <c r="C906" s="32"/>
      <c r="D906" s="32"/>
      <c r="E906" s="19" t="n">
        <f aca="false">+F906*0.03</f>
        <v>0</v>
      </c>
      <c r="F906" s="33" t="n">
        <v>0</v>
      </c>
      <c r="G906" s="62"/>
      <c r="H906" s="35" t="n">
        <v>0</v>
      </c>
      <c r="I906" s="34" t="n">
        <f aca="false">+IF(E906=0,0,E906*0.03)</f>
        <v>0</v>
      </c>
    </row>
    <row r="907" customFormat="false" ht="15.75" hidden="false" customHeight="true" outlineLevel="0" collapsed="false">
      <c r="A907" s="30" t="n">
        <v>45444</v>
      </c>
      <c r="B907" s="31" t="s">
        <v>153</v>
      </c>
      <c r="C907" s="32"/>
      <c r="D907" s="32"/>
      <c r="E907" s="19" t="n">
        <f aca="false">+F907*0.03</f>
        <v>0</v>
      </c>
      <c r="F907" s="33" t="n">
        <v>0</v>
      </c>
      <c r="G907" s="62"/>
      <c r="H907" s="35" t="n">
        <v>0</v>
      </c>
      <c r="I907" s="34" t="n">
        <f aca="false">+IF(E907=0,0,E907*0.03)</f>
        <v>0</v>
      </c>
    </row>
    <row r="908" customFormat="false" ht="15.75" hidden="false" customHeight="true" outlineLevel="0" collapsed="false">
      <c r="A908" s="30" t="n">
        <v>45444</v>
      </c>
      <c r="B908" s="31" t="s">
        <v>153</v>
      </c>
      <c r="C908" s="32"/>
      <c r="D908" s="32"/>
      <c r="E908" s="19" t="n">
        <f aca="false">+F908*0.03</f>
        <v>0</v>
      </c>
      <c r="F908" s="33" t="n">
        <v>0</v>
      </c>
      <c r="G908" s="62"/>
      <c r="H908" s="35" t="n">
        <v>0</v>
      </c>
      <c r="I908" s="34" t="n">
        <f aca="false">+IF(E908=0,0,E908*0.03)</f>
        <v>0</v>
      </c>
    </row>
    <row r="909" customFormat="false" ht="15.75" hidden="false" customHeight="true" outlineLevel="0" collapsed="false">
      <c r="A909" s="30" t="n">
        <v>45444</v>
      </c>
      <c r="B909" s="31" t="s">
        <v>153</v>
      </c>
      <c r="C909" s="32"/>
      <c r="D909" s="32"/>
      <c r="E909" s="19" t="n">
        <f aca="false">+F909*0.03</f>
        <v>0</v>
      </c>
      <c r="F909" s="33" t="n">
        <v>0</v>
      </c>
      <c r="G909" s="62"/>
      <c r="H909" s="35" t="n">
        <v>0</v>
      </c>
      <c r="I909" s="34" t="n">
        <f aca="false">+IF(E909=0,0,E909*0.03)</f>
        <v>0</v>
      </c>
    </row>
    <row r="910" customFormat="false" ht="15.75" hidden="false" customHeight="true" outlineLevel="0" collapsed="false">
      <c r="A910" s="30" t="n">
        <v>45444</v>
      </c>
      <c r="B910" s="31" t="s">
        <v>153</v>
      </c>
      <c r="C910" s="32"/>
      <c r="D910" s="32"/>
      <c r="E910" s="19" t="n">
        <f aca="false">+F910*0.03</f>
        <v>0</v>
      </c>
      <c r="F910" s="33" t="n">
        <v>0</v>
      </c>
      <c r="G910" s="62"/>
      <c r="H910" s="35" t="n">
        <v>0</v>
      </c>
      <c r="I910" s="34" t="n">
        <f aca="false">+IF(E910=0,0,E910*0.03)</f>
        <v>0</v>
      </c>
    </row>
    <row r="911" customFormat="false" ht="15.75" hidden="false" customHeight="true" outlineLevel="0" collapsed="false">
      <c r="A911" s="30" t="n">
        <v>45444</v>
      </c>
      <c r="B911" s="31" t="s">
        <v>153</v>
      </c>
      <c r="C911" s="32"/>
      <c r="D911" s="32"/>
      <c r="E911" s="19" t="n">
        <f aca="false">+F911*0.03</f>
        <v>0</v>
      </c>
      <c r="F911" s="33" t="n">
        <v>0</v>
      </c>
      <c r="G911" s="62"/>
      <c r="H911" s="35" t="n">
        <v>0</v>
      </c>
      <c r="I911" s="34" t="n">
        <f aca="false">+IF(E911=0,0,E911*0.03)</f>
        <v>0</v>
      </c>
    </row>
    <row r="912" customFormat="false" ht="15.75" hidden="false" customHeight="true" outlineLevel="0" collapsed="false">
      <c r="A912" s="30" t="n">
        <v>45444</v>
      </c>
      <c r="B912" s="31" t="s">
        <v>153</v>
      </c>
      <c r="C912" s="32"/>
      <c r="D912" s="32"/>
      <c r="E912" s="19" t="n">
        <f aca="false">+F912*0.03</f>
        <v>0</v>
      </c>
      <c r="F912" s="33" t="n">
        <v>0</v>
      </c>
      <c r="G912" s="62"/>
      <c r="H912" s="35" t="n">
        <v>0</v>
      </c>
      <c r="I912" s="34" t="n">
        <f aca="false">+IF(E912=0,0,E912*0.03)</f>
        <v>0</v>
      </c>
    </row>
    <row r="913" customFormat="false" ht="15.75" hidden="false" customHeight="true" outlineLevel="0" collapsed="false">
      <c r="A913" s="30" t="n">
        <v>45444</v>
      </c>
      <c r="B913" s="31" t="s">
        <v>153</v>
      </c>
      <c r="C913" s="32"/>
      <c r="D913" s="32"/>
      <c r="E913" s="19" t="n">
        <f aca="false">+F913*0.03</f>
        <v>0</v>
      </c>
      <c r="F913" s="33" t="n">
        <v>0</v>
      </c>
      <c r="G913" s="62"/>
      <c r="H913" s="35" t="n">
        <v>0</v>
      </c>
      <c r="I913" s="34" t="n">
        <f aca="false">+IF(E913=0,0,E913*0.03)</f>
        <v>0</v>
      </c>
    </row>
    <row r="914" customFormat="false" ht="15.75" hidden="false" customHeight="true" outlineLevel="0" collapsed="false">
      <c r="A914" s="30" t="n">
        <v>45444</v>
      </c>
      <c r="B914" s="31" t="s">
        <v>153</v>
      </c>
      <c r="C914" s="32"/>
      <c r="D914" s="32"/>
      <c r="E914" s="19" t="n">
        <f aca="false">+F914*0.03</f>
        <v>0</v>
      </c>
      <c r="F914" s="33" t="n">
        <v>0</v>
      </c>
      <c r="G914" s="62"/>
      <c r="H914" s="35" t="n">
        <v>0</v>
      </c>
      <c r="I914" s="34" t="n">
        <f aca="false">+IF(E914=0,0,E914*0.03)</f>
        <v>0</v>
      </c>
    </row>
    <row r="915" customFormat="false" ht="15.75" hidden="false" customHeight="true" outlineLevel="0" collapsed="false">
      <c r="A915" s="30" t="n">
        <v>45444</v>
      </c>
      <c r="B915" s="31" t="s">
        <v>153</v>
      </c>
      <c r="C915" s="32"/>
      <c r="D915" s="32"/>
      <c r="E915" s="19" t="n">
        <f aca="false">+F915*0.03</f>
        <v>0</v>
      </c>
      <c r="F915" s="33" t="n">
        <v>0</v>
      </c>
      <c r="G915" s="62"/>
      <c r="H915" s="35" t="n">
        <v>0</v>
      </c>
      <c r="I915" s="34" t="n">
        <f aca="false">+IF(E915=0,0,E915*0.03)</f>
        <v>0</v>
      </c>
    </row>
    <row r="916" customFormat="false" ht="15.75" hidden="false" customHeight="true" outlineLevel="0" collapsed="false">
      <c r="A916" s="30" t="n">
        <v>45444</v>
      </c>
      <c r="B916" s="31" t="s">
        <v>153</v>
      </c>
      <c r="C916" s="32"/>
      <c r="D916" s="32"/>
      <c r="E916" s="19" t="n">
        <f aca="false">+F916*0.03</f>
        <v>0</v>
      </c>
      <c r="F916" s="33" t="n">
        <v>0</v>
      </c>
      <c r="G916" s="62"/>
      <c r="H916" s="35" t="n">
        <v>0</v>
      </c>
      <c r="I916" s="34" t="n">
        <f aca="false">+IF(E916=0,0,E916*0.03)</f>
        <v>0</v>
      </c>
    </row>
    <row r="917" customFormat="false" ht="15.75" hidden="false" customHeight="true" outlineLevel="0" collapsed="false">
      <c r="A917" s="30" t="n">
        <v>45444</v>
      </c>
      <c r="B917" s="31" t="s">
        <v>153</v>
      </c>
      <c r="C917" s="32"/>
      <c r="D917" s="32"/>
      <c r="E917" s="19" t="n">
        <f aca="false">+F917*0.03</f>
        <v>0</v>
      </c>
      <c r="F917" s="33" t="n">
        <v>0</v>
      </c>
      <c r="G917" s="62"/>
      <c r="H917" s="35" t="n">
        <v>0</v>
      </c>
      <c r="I917" s="34" t="n">
        <f aca="false">+IF(E917=0,0,E917*0.03)</f>
        <v>0</v>
      </c>
    </row>
    <row r="918" customFormat="false" ht="15.75" hidden="false" customHeight="true" outlineLevel="0" collapsed="false">
      <c r="A918" s="30" t="n">
        <v>45444</v>
      </c>
      <c r="B918" s="31" t="s">
        <v>153</v>
      </c>
      <c r="C918" s="32"/>
      <c r="D918" s="32"/>
      <c r="E918" s="19" t="n">
        <f aca="false">+F918*0.03</f>
        <v>0</v>
      </c>
      <c r="F918" s="33" t="n">
        <v>0</v>
      </c>
      <c r="G918" s="62"/>
      <c r="H918" s="35" t="n">
        <v>0</v>
      </c>
      <c r="I918" s="34" t="n">
        <f aca="false">+IF(E918=0,0,E918*0.03)</f>
        <v>0</v>
      </c>
    </row>
    <row r="919" customFormat="false" ht="15.75" hidden="false" customHeight="true" outlineLevel="0" collapsed="false">
      <c r="A919" s="30" t="n">
        <v>45444</v>
      </c>
      <c r="B919" s="31" t="s">
        <v>153</v>
      </c>
      <c r="C919" s="32"/>
      <c r="D919" s="32"/>
      <c r="E919" s="19" t="n">
        <f aca="false">+F919*0.03</f>
        <v>0</v>
      </c>
      <c r="F919" s="33" t="n">
        <v>0</v>
      </c>
      <c r="G919" s="62"/>
      <c r="H919" s="35" t="n">
        <v>0</v>
      </c>
      <c r="I919" s="34" t="n">
        <f aca="false">+IF(E919=0,0,E919*0.03)</f>
        <v>0</v>
      </c>
    </row>
    <row r="920" customFormat="false" ht="15.75" hidden="false" customHeight="true" outlineLevel="0" collapsed="false">
      <c r="A920" s="30" t="n">
        <v>45444</v>
      </c>
      <c r="B920" s="31" t="s">
        <v>153</v>
      </c>
      <c r="C920" s="32"/>
      <c r="D920" s="32"/>
      <c r="E920" s="19" t="n">
        <f aca="false">+F920*0.03</f>
        <v>0</v>
      </c>
      <c r="F920" s="33" t="n">
        <v>0</v>
      </c>
      <c r="G920" s="62"/>
      <c r="H920" s="35" t="n">
        <v>0</v>
      </c>
      <c r="I920" s="34" t="n">
        <f aca="false">+IF(E920=0,0,E920*0.03)</f>
        <v>0</v>
      </c>
    </row>
    <row r="921" customFormat="false" ht="15.75" hidden="false" customHeight="true" outlineLevel="0" collapsed="false">
      <c r="A921" s="30" t="n">
        <v>45444</v>
      </c>
      <c r="B921" s="31" t="s">
        <v>153</v>
      </c>
      <c r="C921" s="32"/>
      <c r="D921" s="32"/>
      <c r="E921" s="19" t="n">
        <f aca="false">+F921*0.03</f>
        <v>0</v>
      </c>
      <c r="F921" s="33" t="n">
        <v>0</v>
      </c>
      <c r="G921" s="62"/>
      <c r="H921" s="35" t="n">
        <v>0</v>
      </c>
      <c r="I921" s="34" t="n">
        <f aca="false">+IF(E921=0,0,E921*0.03)</f>
        <v>0</v>
      </c>
    </row>
    <row r="922" customFormat="false" ht="15.75" hidden="false" customHeight="true" outlineLevel="0" collapsed="false">
      <c r="A922" s="30" t="n">
        <v>45444</v>
      </c>
      <c r="B922" s="31" t="s">
        <v>153</v>
      </c>
      <c r="C922" s="32"/>
      <c r="D922" s="32"/>
      <c r="E922" s="19" t="n">
        <f aca="false">+F922*0.03</f>
        <v>0</v>
      </c>
      <c r="F922" s="33" t="n">
        <v>0</v>
      </c>
      <c r="G922" s="62"/>
      <c r="H922" s="35" t="n">
        <v>0</v>
      </c>
      <c r="I922" s="34" t="n">
        <f aca="false">+IF(E922=0,0,E922*0.03)</f>
        <v>0</v>
      </c>
    </row>
    <row r="923" customFormat="false" ht="15.75" hidden="false" customHeight="true" outlineLevel="0" collapsed="false">
      <c r="A923" s="30" t="n">
        <v>45444</v>
      </c>
      <c r="B923" s="31" t="s">
        <v>153</v>
      </c>
      <c r="C923" s="32"/>
      <c r="D923" s="32"/>
      <c r="E923" s="19" t="n">
        <f aca="false">+F923*0.03</f>
        <v>0</v>
      </c>
      <c r="F923" s="33" t="n">
        <v>0</v>
      </c>
      <c r="G923" s="62"/>
      <c r="H923" s="35" t="n">
        <v>0</v>
      </c>
      <c r="I923" s="34" t="n">
        <f aca="false">+IF(E923=0,0,E923*0.03)</f>
        <v>0</v>
      </c>
    </row>
    <row r="924" customFormat="false" ht="15.75" hidden="false" customHeight="true" outlineLevel="0" collapsed="false">
      <c r="A924" s="30" t="n">
        <v>45444</v>
      </c>
      <c r="B924" s="31" t="s">
        <v>153</v>
      </c>
      <c r="C924" s="32"/>
      <c r="D924" s="32"/>
      <c r="E924" s="19" t="n">
        <f aca="false">+F924*0.03</f>
        <v>0</v>
      </c>
      <c r="F924" s="33" t="n">
        <v>0</v>
      </c>
      <c r="G924" s="62"/>
      <c r="H924" s="35" t="n">
        <v>0</v>
      </c>
      <c r="I924" s="34" t="n">
        <f aca="false">+IF(E924=0,0,E924*0.03)</f>
        <v>0</v>
      </c>
    </row>
    <row r="925" customFormat="false" ht="15.75" hidden="false" customHeight="true" outlineLevel="0" collapsed="false">
      <c r="A925" s="30" t="n">
        <v>45444</v>
      </c>
      <c r="B925" s="31" t="s">
        <v>153</v>
      </c>
      <c r="C925" s="32"/>
      <c r="D925" s="32"/>
      <c r="E925" s="19" t="n">
        <f aca="false">+F925*0.03</f>
        <v>0</v>
      </c>
      <c r="F925" s="33" t="n">
        <v>0</v>
      </c>
      <c r="G925" s="62"/>
      <c r="H925" s="35" t="n">
        <v>0</v>
      </c>
      <c r="I925" s="34" t="n">
        <f aca="false">+IF(E925=0,0,E925*0.03)</f>
        <v>0</v>
      </c>
    </row>
    <row r="926" customFormat="false" ht="15.75" hidden="false" customHeight="true" outlineLevel="0" collapsed="false">
      <c r="A926" s="30" t="n">
        <v>45444</v>
      </c>
      <c r="B926" s="31" t="s">
        <v>153</v>
      </c>
      <c r="C926" s="32"/>
      <c r="D926" s="32"/>
      <c r="E926" s="19" t="n">
        <f aca="false">+F926*0.03</f>
        <v>0</v>
      </c>
      <c r="F926" s="33" t="n">
        <v>0</v>
      </c>
      <c r="G926" s="62"/>
      <c r="H926" s="35" t="n">
        <v>0</v>
      </c>
      <c r="I926" s="34" t="n">
        <f aca="false">+IF(E926=0,0,E926*0.03)</f>
        <v>0</v>
      </c>
    </row>
    <row r="927" customFormat="false" ht="15.75" hidden="false" customHeight="true" outlineLevel="0" collapsed="false">
      <c r="A927" s="30" t="n">
        <v>45444</v>
      </c>
      <c r="B927" s="31" t="s">
        <v>153</v>
      </c>
      <c r="C927" s="32"/>
      <c r="D927" s="32"/>
      <c r="E927" s="19" t="n">
        <f aca="false">+F927*0.03</f>
        <v>0</v>
      </c>
      <c r="F927" s="33" t="n">
        <v>0</v>
      </c>
      <c r="G927" s="62"/>
      <c r="H927" s="35" t="n">
        <v>0</v>
      </c>
      <c r="I927" s="34" t="n">
        <f aca="false">+IF(E927=0,0,E927*0.03)</f>
        <v>0</v>
      </c>
    </row>
    <row r="928" customFormat="false" ht="15.75" hidden="false" customHeight="true" outlineLevel="0" collapsed="false">
      <c r="A928" s="30" t="n">
        <v>45444</v>
      </c>
      <c r="B928" s="31" t="s">
        <v>153</v>
      </c>
      <c r="C928" s="32"/>
      <c r="D928" s="32"/>
      <c r="E928" s="19" t="n">
        <f aca="false">+F928*0.03</f>
        <v>0</v>
      </c>
      <c r="F928" s="33" t="n">
        <v>0</v>
      </c>
      <c r="G928" s="62"/>
      <c r="H928" s="35" t="n">
        <v>0</v>
      </c>
      <c r="I928" s="34" t="n">
        <f aca="false">+IF(E928=0,0,E928*0.03)</f>
        <v>0</v>
      </c>
    </row>
    <row r="929" customFormat="false" ht="15.75" hidden="false" customHeight="true" outlineLevel="0" collapsed="false">
      <c r="A929" s="30" t="n">
        <v>45444</v>
      </c>
      <c r="B929" s="31" t="s">
        <v>153</v>
      </c>
      <c r="C929" s="32"/>
      <c r="D929" s="32"/>
      <c r="E929" s="19" t="n">
        <f aca="false">+F929*0.03</f>
        <v>0</v>
      </c>
      <c r="F929" s="33" t="n">
        <v>0</v>
      </c>
      <c r="G929" s="62"/>
      <c r="H929" s="35" t="n">
        <v>0</v>
      </c>
      <c r="I929" s="34" t="n">
        <f aca="false">+IF(E929=0,0,E929*0.03)</f>
        <v>0</v>
      </c>
    </row>
    <row r="930" customFormat="false" ht="15.75" hidden="false" customHeight="true" outlineLevel="0" collapsed="false">
      <c r="A930" s="30" t="n">
        <v>45444</v>
      </c>
      <c r="B930" s="31" t="s">
        <v>153</v>
      </c>
      <c r="C930" s="32"/>
      <c r="D930" s="32"/>
      <c r="E930" s="19" t="n">
        <f aca="false">+F930*0.03</f>
        <v>0</v>
      </c>
      <c r="F930" s="33" t="n">
        <v>0</v>
      </c>
      <c r="G930" s="62"/>
      <c r="H930" s="35" t="n">
        <v>0</v>
      </c>
      <c r="I930" s="34" t="n">
        <f aca="false">+IF(E930=0,0,E930*0.03)</f>
        <v>0</v>
      </c>
    </row>
    <row r="931" customFormat="false" ht="15.75" hidden="false" customHeight="true" outlineLevel="0" collapsed="false">
      <c r="A931" s="30" t="n">
        <v>45444</v>
      </c>
      <c r="B931" s="31" t="s">
        <v>153</v>
      </c>
      <c r="C931" s="32"/>
      <c r="D931" s="32"/>
      <c r="E931" s="19" t="n">
        <f aca="false">+F931*0.03</f>
        <v>0</v>
      </c>
      <c r="F931" s="33" t="n">
        <v>0</v>
      </c>
      <c r="G931" s="62"/>
      <c r="H931" s="35" t="n">
        <v>0</v>
      </c>
      <c r="I931" s="34" t="n">
        <f aca="false">+IF(E931=0,0,E931*0.03)</f>
        <v>0</v>
      </c>
    </row>
    <row r="932" customFormat="false" ht="15.75" hidden="false" customHeight="true" outlineLevel="0" collapsed="false">
      <c r="A932" s="30" t="n">
        <v>45444</v>
      </c>
      <c r="B932" s="31" t="s">
        <v>153</v>
      </c>
      <c r="C932" s="32"/>
      <c r="D932" s="32"/>
      <c r="E932" s="19" t="n">
        <f aca="false">+F932*0.03</f>
        <v>0</v>
      </c>
      <c r="F932" s="33" t="n">
        <v>0</v>
      </c>
      <c r="G932" s="62"/>
      <c r="H932" s="35" t="n">
        <v>0</v>
      </c>
      <c r="I932" s="34" t="n">
        <f aca="false">+IF(E932=0,0,E932*0.03)</f>
        <v>0</v>
      </c>
    </row>
    <row r="933" customFormat="false" ht="15.75" hidden="false" customHeight="true" outlineLevel="0" collapsed="false">
      <c r="A933" s="30" t="n">
        <v>45444</v>
      </c>
      <c r="B933" s="31" t="s">
        <v>153</v>
      </c>
      <c r="C933" s="32"/>
      <c r="D933" s="32"/>
      <c r="E933" s="19" t="n">
        <f aca="false">+F933*0.03</f>
        <v>0</v>
      </c>
      <c r="F933" s="33" t="n">
        <v>0</v>
      </c>
      <c r="G933" s="62"/>
      <c r="H933" s="35" t="n">
        <v>0</v>
      </c>
      <c r="I933" s="34" t="n">
        <f aca="false">+IF(E933=0,0,E933*0.03)</f>
        <v>0</v>
      </c>
    </row>
    <row r="934" customFormat="false" ht="15.75" hidden="false" customHeight="true" outlineLevel="0" collapsed="false">
      <c r="A934" s="30" t="n">
        <v>45444</v>
      </c>
      <c r="B934" s="31" t="s">
        <v>153</v>
      </c>
      <c r="C934" s="32"/>
      <c r="D934" s="32"/>
      <c r="E934" s="19" t="n">
        <f aca="false">+F934*0.03</f>
        <v>0</v>
      </c>
      <c r="F934" s="33" t="n">
        <v>0</v>
      </c>
      <c r="G934" s="62"/>
      <c r="H934" s="35" t="n">
        <v>0</v>
      </c>
      <c r="I934" s="34" t="n">
        <f aca="false">+IF(E934=0,0,E934*0.03)</f>
        <v>0</v>
      </c>
    </row>
    <row r="935" customFormat="false" ht="15.75" hidden="false" customHeight="true" outlineLevel="0" collapsed="false">
      <c r="A935" s="30" t="n">
        <v>45444</v>
      </c>
      <c r="B935" s="31" t="s">
        <v>153</v>
      </c>
      <c r="C935" s="32"/>
      <c r="D935" s="32"/>
      <c r="E935" s="19" t="n">
        <f aca="false">+F935*0.03</f>
        <v>0</v>
      </c>
      <c r="F935" s="33" t="n">
        <v>0</v>
      </c>
      <c r="G935" s="62"/>
      <c r="H935" s="35" t="n">
        <v>0</v>
      </c>
      <c r="I935" s="34" t="n">
        <f aca="false">+IF(E935=0,0,E935*0.03)</f>
        <v>0</v>
      </c>
    </row>
    <row r="936" customFormat="false" ht="15.75" hidden="false" customHeight="true" outlineLevel="0" collapsed="false">
      <c r="A936" s="30" t="n">
        <v>45444</v>
      </c>
      <c r="B936" s="31" t="s">
        <v>153</v>
      </c>
      <c r="C936" s="32"/>
      <c r="D936" s="32"/>
      <c r="E936" s="19" t="n">
        <f aca="false">+F936*0.03</f>
        <v>0</v>
      </c>
      <c r="F936" s="33" t="n">
        <v>0</v>
      </c>
      <c r="G936" s="62"/>
      <c r="H936" s="35" t="n">
        <v>0</v>
      </c>
      <c r="I936" s="34" t="n">
        <f aca="false">+IF(E936=0,0,E936*0.03)</f>
        <v>0</v>
      </c>
    </row>
    <row r="937" customFormat="false" ht="15.75" hidden="false" customHeight="true" outlineLevel="0" collapsed="false">
      <c r="A937" s="30" t="n">
        <v>45444</v>
      </c>
      <c r="B937" s="31" t="s">
        <v>153</v>
      </c>
      <c r="C937" s="32"/>
      <c r="D937" s="32"/>
      <c r="E937" s="19" t="n">
        <f aca="false">+F937*0.03</f>
        <v>0</v>
      </c>
      <c r="F937" s="33" t="n">
        <v>0</v>
      </c>
      <c r="G937" s="62"/>
      <c r="H937" s="35" t="n">
        <v>0</v>
      </c>
      <c r="I937" s="34" t="n">
        <f aca="false">+IF(E937=0,0,E937*0.03)</f>
        <v>0</v>
      </c>
    </row>
    <row r="938" customFormat="false" ht="15.75" hidden="false" customHeight="true" outlineLevel="0" collapsed="false">
      <c r="A938" s="30" t="n">
        <v>45444</v>
      </c>
      <c r="B938" s="31" t="s">
        <v>153</v>
      </c>
      <c r="C938" s="32"/>
      <c r="D938" s="32"/>
      <c r="E938" s="19" t="n">
        <f aca="false">+F938*0.03</f>
        <v>0</v>
      </c>
      <c r="F938" s="33" t="n">
        <v>0</v>
      </c>
      <c r="G938" s="62"/>
      <c r="H938" s="35" t="n">
        <v>0</v>
      </c>
      <c r="I938" s="34" t="n">
        <f aca="false">+IF(E938=0,0,E938*0.03)</f>
        <v>0</v>
      </c>
    </row>
    <row r="939" customFormat="false" ht="15.75" hidden="false" customHeight="true" outlineLevel="0" collapsed="false">
      <c r="A939" s="30" t="n">
        <v>45444</v>
      </c>
      <c r="B939" s="31" t="s">
        <v>153</v>
      </c>
      <c r="C939" s="32"/>
      <c r="D939" s="32"/>
      <c r="E939" s="19" t="n">
        <f aca="false">+F939*0.03</f>
        <v>0</v>
      </c>
      <c r="F939" s="33" t="n">
        <v>0</v>
      </c>
      <c r="G939" s="62"/>
      <c r="H939" s="35" t="n">
        <v>0</v>
      </c>
      <c r="I939" s="34" t="n">
        <f aca="false">+IF(E939=0,0,E939*0.03)</f>
        <v>0</v>
      </c>
    </row>
    <row r="940" customFormat="false" ht="15.75" hidden="false" customHeight="true" outlineLevel="0" collapsed="false">
      <c r="A940" s="30" t="n">
        <v>45444</v>
      </c>
      <c r="B940" s="31" t="s">
        <v>153</v>
      </c>
      <c r="C940" s="32"/>
      <c r="D940" s="32"/>
      <c r="E940" s="19" t="n">
        <f aca="false">+F940*0.03</f>
        <v>0</v>
      </c>
      <c r="F940" s="33" t="n">
        <v>0</v>
      </c>
      <c r="G940" s="62"/>
      <c r="H940" s="35" t="n">
        <v>0</v>
      </c>
      <c r="I940" s="34" t="n">
        <f aca="false">+IF(E940=0,0,E940*0.03)</f>
        <v>0</v>
      </c>
    </row>
    <row r="941" customFormat="false" ht="15.75" hidden="false" customHeight="true" outlineLevel="0" collapsed="false">
      <c r="A941" s="30" t="n">
        <v>45444</v>
      </c>
      <c r="B941" s="31" t="s">
        <v>153</v>
      </c>
      <c r="C941" s="32"/>
      <c r="D941" s="32"/>
      <c r="E941" s="19" t="n">
        <f aca="false">+F941*0.03</f>
        <v>0</v>
      </c>
      <c r="F941" s="33" t="n">
        <v>0</v>
      </c>
      <c r="G941" s="62"/>
      <c r="H941" s="35" t="n">
        <v>0</v>
      </c>
      <c r="I941" s="34" t="n">
        <f aca="false">+IF(E941=0,0,E941*0.03)</f>
        <v>0</v>
      </c>
    </row>
    <row r="942" customFormat="false" ht="15.75" hidden="false" customHeight="true" outlineLevel="0" collapsed="false">
      <c r="A942" s="30" t="n">
        <v>45444</v>
      </c>
      <c r="B942" s="31" t="s">
        <v>153</v>
      </c>
      <c r="C942" s="32"/>
      <c r="D942" s="32"/>
      <c r="E942" s="19" t="n">
        <f aca="false">+F942*0.03</f>
        <v>0</v>
      </c>
      <c r="F942" s="33" t="n">
        <v>0</v>
      </c>
      <c r="G942" s="62"/>
      <c r="H942" s="35" t="n">
        <v>0</v>
      </c>
      <c r="I942" s="34" t="n">
        <f aca="false">+IF(E942=0,0,E942*0.03)</f>
        <v>0</v>
      </c>
    </row>
    <row r="943" customFormat="false" ht="15.75" hidden="false" customHeight="true" outlineLevel="0" collapsed="false">
      <c r="A943" s="30" t="n">
        <v>45444</v>
      </c>
      <c r="B943" s="31" t="s">
        <v>153</v>
      </c>
      <c r="C943" s="32"/>
      <c r="D943" s="32"/>
      <c r="E943" s="19" t="n">
        <f aca="false">+F943*0.03</f>
        <v>0</v>
      </c>
      <c r="F943" s="33" t="n">
        <v>0</v>
      </c>
      <c r="G943" s="62"/>
      <c r="H943" s="35" t="n">
        <v>0</v>
      </c>
      <c r="I943" s="34" t="n">
        <f aca="false">+IF(E943=0,0,E943*0.03)</f>
        <v>0</v>
      </c>
    </row>
    <row r="944" customFormat="false" ht="15.75" hidden="false" customHeight="true" outlineLevel="0" collapsed="false">
      <c r="A944" s="30" t="n">
        <v>45444</v>
      </c>
      <c r="B944" s="31" t="s">
        <v>153</v>
      </c>
      <c r="C944" s="32"/>
      <c r="D944" s="32"/>
      <c r="E944" s="19" t="n">
        <f aca="false">+F944*0.03</f>
        <v>0</v>
      </c>
      <c r="F944" s="33" t="n">
        <v>0</v>
      </c>
      <c r="G944" s="62"/>
      <c r="H944" s="35" t="n">
        <v>0</v>
      </c>
      <c r="I944" s="34" t="n">
        <f aca="false">+IF(E944=0,0,E944*0.03)</f>
        <v>0</v>
      </c>
    </row>
    <row r="945" customFormat="false" ht="15.75" hidden="false" customHeight="true" outlineLevel="0" collapsed="false">
      <c r="A945" s="30" t="n">
        <v>45444</v>
      </c>
      <c r="B945" s="31" t="s">
        <v>153</v>
      </c>
      <c r="C945" s="32"/>
      <c r="D945" s="32"/>
      <c r="E945" s="19" t="n">
        <f aca="false">+F945*0.03</f>
        <v>0</v>
      </c>
      <c r="F945" s="33" t="n">
        <v>0</v>
      </c>
      <c r="G945" s="62"/>
      <c r="H945" s="35" t="n">
        <v>0</v>
      </c>
      <c r="I945" s="34" t="n">
        <f aca="false">+IF(E945=0,0,E945*0.03)</f>
        <v>0</v>
      </c>
    </row>
    <row r="946" customFormat="false" ht="15.75" hidden="false" customHeight="true" outlineLevel="0" collapsed="false">
      <c r="A946" s="30" t="n">
        <v>45444</v>
      </c>
      <c r="B946" s="31" t="s">
        <v>153</v>
      </c>
      <c r="C946" s="32"/>
      <c r="D946" s="32"/>
      <c r="E946" s="19" t="n">
        <f aca="false">+F946*0.03</f>
        <v>0</v>
      </c>
      <c r="F946" s="33" t="n">
        <v>0</v>
      </c>
      <c r="G946" s="62"/>
      <c r="H946" s="35" t="n">
        <v>0</v>
      </c>
      <c r="I946" s="34" t="n">
        <f aca="false">+IF(E946=0,0,E946*0.03)</f>
        <v>0</v>
      </c>
    </row>
    <row r="947" customFormat="false" ht="15.75" hidden="false" customHeight="true" outlineLevel="0" collapsed="false">
      <c r="A947" s="30" t="n">
        <v>45444</v>
      </c>
      <c r="B947" s="31" t="s">
        <v>153</v>
      </c>
      <c r="C947" s="32"/>
      <c r="D947" s="32"/>
      <c r="E947" s="19" t="n">
        <f aca="false">+F947*0.03</f>
        <v>0</v>
      </c>
      <c r="F947" s="33" t="n">
        <v>0</v>
      </c>
      <c r="G947" s="62"/>
      <c r="H947" s="35" t="n">
        <v>0</v>
      </c>
      <c r="I947" s="34" t="n">
        <f aca="false">+IF(E947=0,0,E947*0.03)</f>
        <v>0</v>
      </c>
    </row>
    <row r="948" customFormat="false" ht="15.75" hidden="false" customHeight="true" outlineLevel="0" collapsed="false">
      <c r="A948" s="30" t="n">
        <v>45444</v>
      </c>
      <c r="B948" s="31" t="s">
        <v>153</v>
      </c>
      <c r="C948" s="32"/>
      <c r="D948" s="32"/>
      <c r="E948" s="19" t="n">
        <f aca="false">+F948*0.03</f>
        <v>0</v>
      </c>
      <c r="F948" s="33" t="n">
        <v>0</v>
      </c>
      <c r="G948" s="62"/>
      <c r="H948" s="35" t="n">
        <v>0</v>
      </c>
      <c r="I948" s="34" t="n">
        <f aca="false">+IF(E948=0,0,E948*0.03)</f>
        <v>0</v>
      </c>
    </row>
    <row r="949" customFormat="false" ht="15.75" hidden="false" customHeight="true" outlineLevel="0" collapsed="false">
      <c r="A949" s="30" t="n">
        <v>45444</v>
      </c>
      <c r="B949" s="31" t="s">
        <v>153</v>
      </c>
      <c r="C949" s="32"/>
      <c r="D949" s="32"/>
      <c r="E949" s="19" t="n">
        <f aca="false">+F949*0.03</f>
        <v>0</v>
      </c>
      <c r="F949" s="33" t="n">
        <v>0</v>
      </c>
      <c r="G949" s="62"/>
      <c r="H949" s="35" t="n">
        <v>0</v>
      </c>
      <c r="I949" s="34" t="n">
        <f aca="false">+IF(E949=0,0,E949*0.03)</f>
        <v>0</v>
      </c>
    </row>
    <row r="950" customFormat="false" ht="15.75" hidden="false" customHeight="true" outlineLevel="0" collapsed="false">
      <c r="A950" s="30" t="n">
        <v>45444</v>
      </c>
      <c r="B950" s="31" t="s">
        <v>153</v>
      </c>
      <c r="C950" s="32"/>
      <c r="D950" s="32"/>
      <c r="E950" s="19" t="n">
        <f aca="false">+F950*0.03</f>
        <v>0</v>
      </c>
      <c r="F950" s="33" t="n">
        <v>0</v>
      </c>
      <c r="G950" s="62"/>
      <c r="H950" s="35" t="n">
        <v>0</v>
      </c>
      <c r="I950" s="34" t="n">
        <f aca="false">+IF(E950=0,0,E950*0.03)</f>
        <v>0</v>
      </c>
    </row>
    <row r="951" customFormat="false" ht="15.75" hidden="false" customHeight="true" outlineLevel="0" collapsed="false">
      <c r="A951" s="30" t="n">
        <v>45444</v>
      </c>
      <c r="B951" s="31" t="s">
        <v>153</v>
      </c>
      <c r="C951" s="32"/>
      <c r="D951" s="32"/>
      <c r="E951" s="19" t="n">
        <f aca="false">+F951*0.03</f>
        <v>0</v>
      </c>
      <c r="F951" s="33" t="n">
        <v>0</v>
      </c>
      <c r="G951" s="62"/>
      <c r="H951" s="35" t="n">
        <v>0</v>
      </c>
      <c r="I951" s="34" t="n">
        <f aca="false">+IF(E951=0,0,E951*0.03)</f>
        <v>0</v>
      </c>
    </row>
    <row r="952" customFormat="false" ht="15.75" hidden="false" customHeight="true" outlineLevel="0" collapsed="false">
      <c r="A952" s="30" t="n">
        <v>45444</v>
      </c>
      <c r="B952" s="31" t="s">
        <v>153</v>
      </c>
      <c r="C952" s="32"/>
      <c r="D952" s="32"/>
      <c r="E952" s="19" t="n">
        <f aca="false">+F952*0.03</f>
        <v>0</v>
      </c>
      <c r="F952" s="33" t="n">
        <v>0</v>
      </c>
      <c r="G952" s="62"/>
      <c r="H952" s="35" t="n">
        <v>0</v>
      </c>
      <c r="I952" s="34" t="n">
        <f aca="false">+IF(E952=0,0,E952*0.03)</f>
        <v>0</v>
      </c>
    </row>
    <row r="953" customFormat="false" ht="15.75" hidden="false" customHeight="true" outlineLevel="0" collapsed="false">
      <c r="A953" s="30" t="n">
        <v>45444</v>
      </c>
      <c r="B953" s="31" t="s">
        <v>153</v>
      </c>
      <c r="C953" s="32"/>
      <c r="D953" s="32"/>
      <c r="E953" s="19" t="n">
        <f aca="false">+F953*0.03</f>
        <v>0</v>
      </c>
      <c r="F953" s="33" t="n">
        <v>0</v>
      </c>
      <c r="G953" s="62"/>
      <c r="H953" s="35" t="n">
        <v>0</v>
      </c>
      <c r="I953" s="34" t="n">
        <f aca="false">+IF(E953=0,0,E953*0.03)</f>
        <v>0</v>
      </c>
    </row>
    <row r="954" customFormat="false" ht="15.75" hidden="false" customHeight="true" outlineLevel="0" collapsed="false">
      <c r="A954" s="30" t="n">
        <v>45444</v>
      </c>
      <c r="B954" s="31" t="s">
        <v>153</v>
      </c>
      <c r="C954" s="32"/>
      <c r="D954" s="32"/>
      <c r="E954" s="19" t="n">
        <f aca="false">+F954*0.03</f>
        <v>0</v>
      </c>
      <c r="F954" s="33" t="n">
        <v>0</v>
      </c>
      <c r="G954" s="62"/>
      <c r="H954" s="35" t="n">
        <v>0</v>
      </c>
      <c r="I954" s="34" t="n">
        <f aca="false">+IF(E954=0,0,E954*0.03)</f>
        <v>0</v>
      </c>
    </row>
    <row r="955" customFormat="false" ht="15.75" hidden="false" customHeight="true" outlineLevel="0" collapsed="false">
      <c r="A955" s="30" t="n">
        <v>45444</v>
      </c>
      <c r="B955" s="31" t="s">
        <v>153</v>
      </c>
      <c r="C955" s="32"/>
      <c r="D955" s="32"/>
      <c r="E955" s="19" t="n">
        <f aca="false">+F955*0.03</f>
        <v>0</v>
      </c>
      <c r="F955" s="33" t="n">
        <v>0</v>
      </c>
      <c r="G955" s="62"/>
      <c r="H955" s="35" t="n">
        <v>0</v>
      </c>
      <c r="I955" s="34" t="n">
        <f aca="false">+IF(E955=0,0,E955*0.03)</f>
        <v>0</v>
      </c>
    </row>
    <row r="956" customFormat="false" ht="15.75" hidden="false" customHeight="true" outlineLevel="0" collapsed="false">
      <c r="A956" s="30" t="n">
        <v>45444</v>
      </c>
      <c r="B956" s="31" t="s">
        <v>153</v>
      </c>
      <c r="C956" s="32"/>
      <c r="D956" s="32"/>
      <c r="E956" s="19" t="n">
        <f aca="false">+F956*0.03</f>
        <v>0</v>
      </c>
      <c r="F956" s="33" t="n">
        <v>0</v>
      </c>
      <c r="G956" s="62"/>
      <c r="H956" s="35" t="n">
        <v>0</v>
      </c>
      <c r="I956" s="34" t="n">
        <f aca="false">+IF(E956=0,0,E956*0.03)</f>
        <v>0</v>
      </c>
    </row>
    <row r="957" customFormat="false" ht="15.75" hidden="false" customHeight="true" outlineLevel="0" collapsed="false">
      <c r="A957" s="30" t="n">
        <v>45444</v>
      </c>
      <c r="B957" s="31" t="s">
        <v>153</v>
      </c>
      <c r="C957" s="32"/>
      <c r="D957" s="32"/>
      <c r="E957" s="19" t="n">
        <f aca="false">+F957*0.03</f>
        <v>0</v>
      </c>
      <c r="F957" s="33" t="n">
        <v>0</v>
      </c>
      <c r="G957" s="62"/>
      <c r="H957" s="35" t="n">
        <v>0</v>
      </c>
      <c r="I957" s="34" t="n">
        <f aca="false">+IF(E957=0,0,E957*0.03)</f>
        <v>0</v>
      </c>
    </row>
    <row r="958" customFormat="false" ht="15.75" hidden="false" customHeight="true" outlineLevel="0" collapsed="false">
      <c r="A958" s="30" t="n">
        <v>45444</v>
      </c>
      <c r="B958" s="31" t="s">
        <v>153</v>
      </c>
      <c r="C958" s="32"/>
      <c r="D958" s="32"/>
      <c r="E958" s="19" t="n">
        <f aca="false">+F958*0.03</f>
        <v>0</v>
      </c>
      <c r="F958" s="33" t="n">
        <v>0</v>
      </c>
      <c r="G958" s="62"/>
      <c r="H958" s="35" t="n">
        <v>0</v>
      </c>
      <c r="I958" s="34" t="n">
        <f aca="false">+IF(E958=0,0,E958*0.03)</f>
        <v>0</v>
      </c>
    </row>
    <row r="959" customFormat="false" ht="15.75" hidden="false" customHeight="true" outlineLevel="0" collapsed="false">
      <c r="A959" s="30" t="n">
        <v>45444</v>
      </c>
      <c r="B959" s="31" t="s">
        <v>153</v>
      </c>
      <c r="C959" s="32"/>
      <c r="D959" s="32"/>
      <c r="E959" s="19" t="n">
        <f aca="false">+F959*0.03</f>
        <v>0</v>
      </c>
      <c r="F959" s="33" t="n">
        <v>0</v>
      </c>
      <c r="G959" s="62"/>
      <c r="H959" s="35" t="n">
        <v>0</v>
      </c>
      <c r="I959" s="34" t="n">
        <f aca="false">+IF(E959=0,0,E959*0.03)</f>
        <v>0</v>
      </c>
    </row>
    <row r="960" customFormat="false" ht="15.75" hidden="false" customHeight="true" outlineLevel="0" collapsed="false">
      <c r="A960" s="30" t="n">
        <v>45444</v>
      </c>
      <c r="B960" s="31" t="s">
        <v>153</v>
      </c>
      <c r="C960" s="32"/>
      <c r="D960" s="32"/>
      <c r="E960" s="19" t="n">
        <f aca="false">+F960*0.03</f>
        <v>0</v>
      </c>
      <c r="F960" s="33" t="n">
        <v>0</v>
      </c>
      <c r="G960" s="62"/>
      <c r="H960" s="35" t="n">
        <v>0</v>
      </c>
      <c r="I960" s="34" t="n">
        <f aca="false">+IF(E960=0,0,E960*0.03)</f>
        <v>0</v>
      </c>
    </row>
    <row r="961" customFormat="false" ht="15.75" hidden="false" customHeight="true" outlineLevel="0" collapsed="false">
      <c r="A961" s="30" t="n">
        <v>45444</v>
      </c>
      <c r="B961" s="31" t="s">
        <v>153</v>
      </c>
      <c r="C961" s="32"/>
      <c r="D961" s="32"/>
      <c r="E961" s="19" t="n">
        <f aca="false">+F961*0.03</f>
        <v>0</v>
      </c>
      <c r="F961" s="33" t="n">
        <v>0</v>
      </c>
      <c r="G961" s="62"/>
      <c r="H961" s="35" t="n">
        <v>0</v>
      </c>
      <c r="I961" s="34" t="n">
        <f aca="false">+IF(E961=0,0,E961*0.03)</f>
        <v>0</v>
      </c>
    </row>
    <row r="962" customFormat="false" ht="15.75" hidden="false" customHeight="true" outlineLevel="0" collapsed="false">
      <c r="A962" s="30" t="n">
        <v>45444</v>
      </c>
      <c r="B962" s="31" t="s">
        <v>153</v>
      </c>
      <c r="C962" s="32"/>
      <c r="D962" s="32"/>
      <c r="E962" s="19" t="n">
        <f aca="false">+F962*0.03</f>
        <v>0</v>
      </c>
      <c r="F962" s="33" t="n">
        <v>0</v>
      </c>
      <c r="G962" s="62"/>
      <c r="H962" s="35" t="n">
        <v>0</v>
      </c>
      <c r="I962" s="34" t="n">
        <f aca="false">+IF(E962=0,0,E962*0.03)</f>
        <v>0</v>
      </c>
    </row>
    <row r="963" customFormat="false" ht="15.75" hidden="false" customHeight="true" outlineLevel="0" collapsed="false">
      <c r="A963" s="30" t="n">
        <v>45444</v>
      </c>
      <c r="B963" s="31" t="s">
        <v>153</v>
      </c>
      <c r="C963" s="32"/>
      <c r="D963" s="32"/>
      <c r="E963" s="19" t="n">
        <f aca="false">+F963*0.03</f>
        <v>0</v>
      </c>
      <c r="F963" s="33" t="n">
        <v>0</v>
      </c>
      <c r="G963" s="62"/>
      <c r="H963" s="35" t="n">
        <v>0</v>
      </c>
      <c r="I963" s="34" t="n">
        <f aca="false">+IF(E963=0,0,E963*0.03)</f>
        <v>0</v>
      </c>
    </row>
    <row r="964" customFormat="false" ht="15.75" hidden="false" customHeight="true" outlineLevel="0" collapsed="false">
      <c r="A964" s="30" t="n">
        <v>45444</v>
      </c>
      <c r="B964" s="31" t="s">
        <v>153</v>
      </c>
      <c r="C964" s="32"/>
      <c r="D964" s="32"/>
      <c r="E964" s="19" t="n">
        <f aca="false">+F964*0.03</f>
        <v>0</v>
      </c>
      <c r="F964" s="33" t="n">
        <v>0</v>
      </c>
      <c r="G964" s="62"/>
      <c r="H964" s="35" t="n">
        <v>0</v>
      </c>
      <c r="I964" s="34" t="n">
        <f aca="false">+IF(E964=0,0,E964*0.03)</f>
        <v>0</v>
      </c>
    </row>
    <row r="965" customFormat="false" ht="15.75" hidden="false" customHeight="true" outlineLevel="0" collapsed="false">
      <c r="A965" s="30" t="n">
        <v>45444</v>
      </c>
      <c r="B965" s="31" t="s">
        <v>153</v>
      </c>
      <c r="C965" s="32"/>
      <c r="D965" s="32"/>
      <c r="E965" s="19" t="n">
        <f aca="false">+F965*0.03</f>
        <v>0</v>
      </c>
      <c r="F965" s="33" t="n">
        <v>0</v>
      </c>
      <c r="G965" s="62"/>
      <c r="H965" s="35" t="n">
        <v>0</v>
      </c>
      <c r="I965" s="34" t="n">
        <f aca="false">+IF(E965=0,0,E965*0.03)</f>
        <v>0</v>
      </c>
    </row>
    <row r="966" customFormat="false" ht="15.75" hidden="false" customHeight="true" outlineLevel="0" collapsed="false">
      <c r="A966" s="30" t="n">
        <v>45444</v>
      </c>
      <c r="B966" s="31" t="s">
        <v>153</v>
      </c>
      <c r="C966" s="32"/>
      <c r="D966" s="32"/>
      <c r="E966" s="19" t="n">
        <f aca="false">+F966*0.03</f>
        <v>0</v>
      </c>
      <c r="F966" s="33" t="n">
        <v>0</v>
      </c>
      <c r="G966" s="62"/>
      <c r="H966" s="35" t="n">
        <v>0</v>
      </c>
      <c r="I966" s="34" t="n">
        <f aca="false">+IF(E966=0,0,E966*0.03)</f>
        <v>0</v>
      </c>
    </row>
    <row r="967" customFormat="false" ht="15.75" hidden="false" customHeight="true" outlineLevel="0" collapsed="false">
      <c r="A967" s="30" t="n">
        <v>45444</v>
      </c>
      <c r="B967" s="31" t="s">
        <v>153</v>
      </c>
      <c r="C967" s="32"/>
      <c r="D967" s="32"/>
      <c r="E967" s="19" t="n">
        <f aca="false">+F967*0.03</f>
        <v>0</v>
      </c>
      <c r="F967" s="33" t="n">
        <v>0</v>
      </c>
      <c r="G967" s="62"/>
      <c r="H967" s="35" t="n">
        <v>0</v>
      </c>
      <c r="I967" s="34" t="n">
        <f aca="false">+IF(E967=0,0,E967*0.03)</f>
        <v>0</v>
      </c>
    </row>
    <row r="968" customFormat="false" ht="15.75" hidden="false" customHeight="true" outlineLevel="0" collapsed="false">
      <c r="A968" s="30" t="n">
        <v>45444</v>
      </c>
      <c r="B968" s="31" t="s">
        <v>153</v>
      </c>
      <c r="C968" s="32"/>
      <c r="D968" s="32"/>
      <c r="E968" s="19" t="n">
        <f aca="false">+F968*0.03</f>
        <v>0</v>
      </c>
      <c r="F968" s="33" t="n">
        <v>0</v>
      </c>
      <c r="G968" s="62"/>
      <c r="H968" s="35" t="n">
        <v>0</v>
      </c>
      <c r="I968" s="34" t="n">
        <f aca="false">+IF(E968=0,0,E968*0.03)</f>
        <v>0</v>
      </c>
    </row>
    <row r="969" customFormat="false" ht="15.75" hidden="false" customHeight="true" outlineLevel="0" collapsed="false">
      <c r="A969" s="30" t="n">
        <v>45444</v>
      </c>
      <c r="B969" s="31" t="s">
        <v>153</v>
      </c>
      <c r="C969" s="32"/>
      <c r="D969" s="32"/>
      <c r="E969" s="19" t="n">
        <f aca="false">+F969*0.03</f>
        <v>0</v>
      </c>
      <c r="F969" s="33" t="n">
        <v>0</v>
      </c>
      <c r="G969" s="62"/>
      <c r="H969" s="35" t="n">
        <v>0</v>
      </c>
      <c r="I969" s="34" t="n">
        <f aca="false">+IF(E969=0,0,E969*0.03)</f>
        <v>0</v>
      </c>
    </row>
    <row r="970" customFormat="false" ht="15.75" hidden="false" customHeight="true" outlineLevel="0" collapsed="false">
      <c r="A970" s="30" t="n">
        <v>45444</v>
      </c>
      <c r="B970" s="31" t="s">
        <v>153</v>
      </c>
      <c r="C970" s="32"/>
      <c r="D970" s="32"/>
      <c r="E970" s="19" t="n">
        <f aca="false">+F970*0.03</f>
        <v>0</v>
      </c>
      <c r="F970" s="33" t="n">
        <v>0</v>
      </c>
      <c r="G970" s="62"/>
      <c r="H970" s="35" t="n">
        <v>0</v>
      </c>
      <c r="I970" s="34" t="n">
        <f aca="false">+IF(E970=0,0,E970*0.03)</f>
        <v>0</v>
      </c>
    </row>
    <row r="971" customFormat="false" ht="15.75" hidden="false" customHeight="true" outlineLevel="0" collapsed="false">
      <c r="A971" s="30" t="n">
        <v>45444</v>
      </c>
      <c r="B971" s="31" t="s">
        <v>153</v>
      </c>
      <c r="C971" s="32"/>
      <c r="D971" s="32"/>
      <c r="E971" s="19" t="n">
        <f aca="false">+F971*0.03</f>
        <v>0</v>
      </c>
      <c r="F971" s="33" t="n">
        <v>0</v>
      </c>
      <c r="G971" s="62"/>
      <c r="H971" s="35" t="n">
        <v>0</v>
      </c>
      <c r="I971" s="34" t="n">
        <f aca="false">+IF(E971=0,0,E971*0.03)</f>
        <v>0</v>
      </c>
    </row>
    <row r="972" customFormat="false" ht="15.75" hidden="false" customHeight="true" outlineLevel="0" collapsed="false">
      <c r="A972" s="30" t="n">
        <v>45444</v>
      </c>
      <c r="B972" s="31" t="s">
        <v>153</v>
      </c>
      <c r="C972" s="32"/>
      <c r="D972" s="32"/>
      <c r="E972" s="19" t="n">
        <f aca="false">+F972*0.03</f>
        <v>0</v>
      </c>
      <c r="F972" s="33" t="n">
        <v>0</v>
      </c>
      <c r="G972" s="62"/>
      <c r="H972" s="35" t="n">
        <v>0</v>
      </c>
      <c r="I972" s="34" t="n">
        <f aca="false">+IF(E972=0,0,E972*0.03)</f>
        <v>0</v>
      </c>
    </row>
    <row r="973" customFormat="false" ht="15.75" hidden="false" customHeight="true" outlineLevel="0" collapsed="false">
      <c r="A973" s="30" t="n">
        <v>45444</v>
      </c>
      <c r="B973" s="31" t="s">
        <v>153</v>
      </c>
      <c r="C973" s="32"/>
      <c r="D973" s="32"/>
      <c r="E973" s="19" t="n">
        <f aca="false">+F973*0.03</f>
        <v>0</v>
      </c>
      <c r="F973" s="33" t="n">
        <v>0</v>
      </c>
      <c r="G973" s="62"/>
      <c r="H973" s="35" t="n">
        <v>0</v>
      </c>
      <c r="I973" s="34" t="n">
        <f aca="false">+IF(E973=0,0,E973*0.03)</f>
        <v>0</v>
      </c>
    </row>
    <row r="974" customFormat="false" ht="15.75" hidden="false" customHeight="true" outlineLevel="0" collapsed="false">
      <c r="A974" s="30" t="n">
        <v>45444</v>
      </c>
      <c r="B974" s="31" t="s">
        <v>153</v>
      </c>
      <c r="C974" s="32"/>
      <c r="D974" s="32"/>
      <c r="E974" s="19" t="n">
        <f aca="false">+F974*0.03</f>
        <v>0</v>
      </c>
      <c r="F974" s="33" t="n">
        <v>0</v>
      </c>
      <c r="G974" s="62"/>
      <c r="H974" s="35" t="n">
        <v>0</v>
      </c>
      <c r="I974" s="34" t="n">
        <f aca="false">+IF(E974=0,0,E974*0.03)</f>
        <v>0</v>
      </c>
    </row>
    <row r="975" customFormat="false" ht="15.75" hidden="false" customHeight="true" outlineLevel="0" collapsed="false">
      <c r="A975" s="30" t="n">
        <v>45444</v>
      </c>
      <c r="B975" s="31" t="s">
        <v>153</v>
      </c>
      <c r="C975" s="32"/>
      <c r="D975" s="32"/>
      <c r="E975" s="19" t="n">
        <f aca="false">+F975*0.03</f>
        <v>0</v>
      </c>
      <c r="F975" s="33" t="n">
        <v>0</v>
      </c>
      <c r="G975" s="62"/>
      <c r="H975" s="35" t="n">
        <v>0</v>
      </c>
      <c r="I975" s="34" t="n">
        <f aca="false">+IF(E975=0,0,E975*0.03)</f>
        <v>0</v>
      </c>
    </row>
    <row r="976" customFormat="false" ht="15.75" hidden="false" customHeight="true" outlineLevel="0" collapsed="false">
      <c r="A976" s="30" t="n">
        <v>45444</v>
      </c>
      <c r="B976" s="31" t="s">
        <v>153</v>
      </c>
      <c r="C976" s="32"/>
      <c r="D976" s="32"/>
      <c r="E976" s="19" t="n">
        <f aca="false">+F976*0.03</f>
        <v>0</v>
      </c>
      <c r="F976" s="33" t="n">
        <v>0</v>
      </c>
      <c r="G976" s="62"/>
      <c r="H976" s="35" t="n">
        <v>0</v>
      </c>
      <c r="I976" s="34" t="n">
        <f aca="false">+IF(E976=0,0,E976*0.03)</f>
        <v>0</v>
      </c>
    </row>
    <row r="977" customFormat="false" ht="15.75" hidden="false" customHeight="true" outlineLevel="0" collapsed="false">
      <c r="A977" s="30" t="n">
        <v>45444</v>
      </c>
      <c r="B977" s="31" t="s">
        <v>153</v>
      </c>
      <c r="C977" s="32"/>
      <c r="D977" s="32"/>
      <c r="E977" s="19" t="n">
        <f aca="false">+F977*0.03</f>
        <v>0</v>
      </c>
      <c r="F977" s="33" t="n">
        <v>0</v>
      </c>
      <c r="G977" s="62"/>
      <c r="H977" s="35" t="n">
        <v>0</v>
      </c>
      <c r="I977" s="34" t="n">
        <f aca="false">+IF(E977=0,0,E977*0.03)</f>
        <v>0</v>
      </c>
    </row>
    <row r="978" customFormat="false" ht="15.75" hidden="false" customHeight="true" outlineLevel="0" collapsed="false">
      <c r="A978" s="30" t="n">
        <v>45444</v>
      </c>
      <c r="B978" s="31" t="s">
        <v>153</v>
      </c>
      <c r="C978" s="32"/>
      <c r="D978" s="32"/>
      <c r="E978" s="19" t="n">
        <f aca="false">+F978*0.03</f>
        <v>0</v>
      </c>
      <c r="F978" s="33" t="n">
        <v>0</v>
      </c>
      <c r="G978" s="62"/>
      <c r="H978" s="35" t="n">
        <v>0</v>
      </c>
      <c r="I978" s="34" t="n">
        <f aca="false">+IF(E978=0,0,E978*0.03)</f>
        <v>0</v>
      </c>
    </row>
    <row r="979" customFormat="false" ht="15.75" hidden="false" customHeight="true" outlineLevel="0" collapsed="false">
      <c r="A979" s="30" t="n">
        <v>45444</v>
      </c>
      <c r="B979" s="31" t="s">
        <v>153</v>
      </c>
      <c r="C979" s="32"/>
      <c r="D979" s="32"/>
      <c r="E979" s="19" t="n">
        <f aca="false">+F979*0.03</f>
        <v>0</v>
      </c>
      <c r="F979" s="33" t="n">
        <v>0</v>
      </c>
      <c r="G979" s="62"/>
      <c r="H979" s="35" t="n">
        <v>0</v>
      </c>
      <c r="I979" s="34" t="n">
        <f aca="false">+IF(E979=0,0,E979*0.03)</f>
        <v>0</v>
      </c>
    </row>
    <row r="980" customFormat="false" ht="15.75" hidden="false" customHeight="true" outlineLevel="0" collapsed="false">
      <c r="A980" s="30" t="n">
        <v>45444</v>
      </c>
      <c r="B980" s="31" t="s">
        <v>153</v>
      </c>
      <c r="C980" s="32"/>
      <c r="D980" s="32"/>
      <c r="E980" s="19" t="n">
        <f aca="false">+F980*0.03</f>
        <v>0</v>
      </c>
      <c r="F980" s="33" t="n">
        <v>0</v>
      </c>
      <c r="G980" s="62"/>
      <c r="H980" s="35" t="n">
        <v>0</v>
      </c>
      <c r="I980" s="34" t="n">
        <f aca="false">+IF(E980=0,0,E980*0.03)</f>
        <v>0</v>
      </c>
    </row>
    <row r="981" customFormat="false" ht="15.75" hidden="false" customHeight="true" outlineLevel="0" collapsed="false">
      <c r="A981" s="30" t="n">
        <v>45444</v>
      </c>
      <c r="B981" s="31" t="s">
        <v>153</v>
      </c>
      <c r="C981" s="32"/>
      <c r="D981" s="32"/>
      <c r="E981" s="19" t="n">
        <f aca="false">+F981*0.03</f>
        <v>0</v>
      </c>
      <c r="F981" s="33" t="n">
        <v>0</v>
      </c>
      <c r="G981" s="62"/>
      <c r="H981" s="35" t="n">
        <v>0</v>
      </c>
      <c r="I981" s="34" t="n">
        <f aca="false">+IF(E981=0,0,E981*0.03)</f>
        <v>0</v>
      </c>
    </row>
    <row r="982" customFormat="false" ht="15.75" hidden="false" customHeight="true" outlineLevel="0" collapsed="false">
      <c r="A982" s="30" t="n">
        <v>45444</v>
      </c>
      <c r="B982" s="31" t="s">
        <v>153</v>
      </c>
      <c r="C982" s="32"/>
      <c r="D982" s="32"/>
      <c r="E982" s="19" t="n">
        <f aca="false">+F982*0.03</f>
        <v>0</v>
      </c>
      <c r="F982" s="33" t="n">
        <v>0</v>
      </c>
      <c r="G982" s="62"/>
      <c r="H982" s="35" t="n">
        <v>0</v>
      </c>
      <c r="I982" s="34" t="n">
        <f aca="false">+IF(E982=0,0,E982*0.03)</f>
        <v>0</v>
      </c>
    </row>
    <row r="983" customFormat="false" ht="15.75" hidden="false" customHeight="true" outlineLevel="0" collapsed="false">
      <c r="A983" s="30" t="n">
        <v>45444</v>
      </c>
      <c r="B983" s="31" t="s">
        <v>153</v>
      </c>
      <c r="C983" s="32"/>
      <c r="D983" s="32"/>
      <c r="E983" s="19" t="n">
        <f aca="false">+F983*0.03</f>
        <v>0</v>
      </c>
      <c r="F983" s="33" t="n">
        <v>0</v>
      </c>
      <c r="G983" s="62"/>
      <c r="H983" s="35" t="n">
        <v>0</v>
      </c>
      <c r="I983" s="34" t="n">
        <f aca="false">+IF(E983=0,0,E983*0.03)</f>
        <v>0</v>
      </c>
    </row>
    <row r="984" customFormat="false" ht="15.75" hidden="false" customHeight="true" outlineLevel="0" collapsed="false">
      <c r="A984" s="30" t="n">
        <v>45444</v>
      </c>
      <c r="B984" s="31" t="s">
        <v>153</v>
      </c>
      <c r="C984" s="32"/>
      <c r="D984" s="32"/>
      <c r="E984" s="19" t="n">
        <f aca="false">+F984*0.03</f>
        <v>0</v>
      </c>
      <c r="F984" s="33" t="n">
        <v>0</v>
      </c>
      <c r="G984" s="62"/>
      <c r="H984" s="35" t="n">
        <v>0</v>
      </c>
      <c r="I984" s="34" t="n">
        <f aca="false">+IF(E984=0,0,E984*0.03)</f>
        <v>0</v>
      </c>
    </row>
    <row r="985" customFormat="false" ht="15.75" hidden="false" customHeight="true" outlineLevel="0" collapsed="false">
      <c r="A985" s="30" t="n">
        <v>45444</v>
      </c>
      <c r="B985" s="31" t="s">
        <v>153</v>
      </c>
      <c r="C985" s="32"/>
      <c r="D985" s="32"/>
      <c r="E985" s="19" t="n">
        <f aca="false">+F985*0.03</f>
        <v>0</v>
      </c>
      <c r="F985" s="33" t="n">
        <v>0</v>
      </c>
      <c r="G985" s="62"/>
      <c r="H985" s="35" t="n">
        <v>0</v>
      </c>
      <c r="I985" s="34" t="n">
        <f aca="false">+IF(E985=0,0,E985*0.03)</f>
        <v>0</v>
      </c>
    </row>
    <row r="986" customFormat="false" ht="15.75" hidden="false" customHeight="true" outlineLevel="0" collapsed="false">
      <c r="A986" s="30" t="n">
        <v>45444</v>
      </c>
      <c r="B986" s="31" t="s">
        <v>153</v>
      </c>
      <c r="C986" s="32"/>
      <c r="D986" s="32"/>
      <c r="E986" s="19" t="n">
        <f aca="false">+F986*0.03</f>
        <v>0</v>
      </c>
      <c r="F986" s="33" t="n">
        <v>0</v>
      </c>
      <c r="G986" s="62"/>
      <c r="H986" s="35" t="n">
        <v>0</v>
      </c>
      <c r="I986" s="34" t="n">
        <f aca="false">+IF(E986=0,0,E986*0.03)</f>
        <v>0</v>
      </c>
    </row>
    <row r="987" customFormat="false" ht="15.75" hidden="false" customHeight="true" outlineLevel="0" collapsed="false">
      <c r="A987" s="30" t="n">
        <v>45444</v>
      </c>
      <c r="B987" s="31" t="s">
        <v>153</v>
      </c>
      <c r="C987" s="32"/>
      <c r="D987" s="32"/>
      <c r="E987" s="19" t="n">
        <f aca="false">+F987*0.03</f>
        <v>0</v>
      </c>
      <c r="F987" s="33" t="n">
        <v>0</v>
      </c>
      <c r="G987" s="62"/>
      <c r="H987" s="35" t="n">
        <v>0</v>
      </c>
      <c r="I987" s="34" t="n">
        <f aca="false">+IF(E987=0,0,E987*0.03)</f>
        <v>0</v>
      </c>
    </row>
    <row r="988" customFormat="false" ht="15.75" hidden="false" customHeight="true" outlineLevel="0" collapsed="false">
      <c r="A988" s="30" t="n">
        <v>45444</v>
      </c>
      <c r="B988" s="31" t="s">
        <v>153</v>
      </c>
      <c r="C988" s="32"/>
      <c r="D988" s="32"/>
      <c r="E988" s="19" t="n">
        <f aca="false">+F988*0.03</f>
        <v>0</v>
      </c>
      <c r="F988" s="33" t="n">
        <v>0</v>
      </c>
      <c r="G988" s="62"/>
      <c r="H988" s="35" t="n">
        <v>0</v>
      </c>
      <c r="I988" s="34" t="n">
        <f aca="false">+IF(E988=0,0,E988*0.03)</f>
        <v>0</v>
      </c>
    </row>
    <row r="989" customFormat="false" ht="15.75" hidden="false" customHeight="true" outlineLevel="0" collapsed="false">
      <c r="A989" s="30" t="n">
        <v>45444</v>
      </c>
      <c r="B989" s="31" t="s">
        <v>153</v>
      </c>
      <c r="C989" s="32"/>
      <c r="D989" s="32"/>
      <c r="E989" s="19" t="n">
        <f aca="false">+F989*0.03</f>
        <v>0</v>
      </c>
      <c r="F989" s="33" t="n">
        <v>0</v>
      </c>
      <c r="G989" s="62"/>
      <c r="H989" s="35" t="n">
        <v>0</v>
      </c>
      <c r="I989" s="34" t="n">
        <f aca="false">+IF(E989=0,0,E989*0.03)</f>
        <v>0</v>
      </c>
    </row>
    <row r="990" customFormat="false" ht="15.75" hidden="false" customHeight="true" outlineLevel="0" collapsed="false">
      <c r="A990" s="30" t="n">
        <v>45444</v>
      </c>
      <c r="B990" s="31" t="s">
        <v>153</v>
      </c>
      <c r="C990" s="32"/>
      <c r="D990" s="32"/>
      <c r="E990" s="19" t="n">
        <f aca="false">+F990*0.03</f>
        <v>0</v>
      </c>
      <c r="F990" s="33" t="n">
        <v>0</v>
      </c>
      <c r="G990" s="62"/>
      <c r="H990" s="35" t="n">
        <v>0</v>
      </c>
      <c r="I990" s="34" t="n">
        <f aca="false">+IF(E990=0,0,E990*0.03)</f>
        <v>0</v>
      </c>
    </row>
    <row r="991" customFormat="false" ht="15.75" hidden="false" customHeight="true" outlineLevel="0" collapsed="false">
      <c r="A991" s="30" t="n">
        <v>45444</v>
      </c>
      <c r="B991" s="31" t="s">
        <v>153</v>
      </c>
      <c r="C991" s="32"/>
      <c r="D991" s="32"/>
      <c r="E991" s="19" t="n">
        <f aca="false">+F991*0.03</f>
        <v>0</v>
      </c>
      <c r="F991" s="33" t="n">
        <v>0</v>
      </c>
      <c r="G991" s="62"/>
      <c r="H991" s="35" t="n">
        <v>0</v>
      </c>
      <c r="I991" s="34" t="n">
        <f aca="false">+IF(E991=0,0,E991*0.03)</f>
        <v>0</v>
      </c>
    </row>
    <row r="992" customFormat="false" ht="15.75" hidden="false" customHeight="true" outlineLevel="0" collapsed="false">
      <c r="A992" s="30" t="n">
        <v>45444</v>
      </c>
      <c r="B992" s="31" t="s">
        <v>153</v>
      </c>
      <c r="C992" s="32"/>
      <c r="D992" s="32"/>
      <c r="E992" s="19" t="n">
        <f aca="false">+F992*0.03</f>
        <v>0</v>
      </c>
      <c r="F992" s="33" t="n">
        <v>0</v>
      </c>
      <c r="G992" s="62"/>
      <c r="H992" s="35" t="n">
        <v>0</v>
      </c>
      <c r="I992" s="34" t="n">
        <f aca="false">+IF(E992=0,0,E992*0.03)</f>
        <v>0</v>
      </c>
    </row>
    <row r="993" customFormat="false" ht="15.75" hidden="false" customHeight="true" outlineLevel="0" collapsed="false">
      <c r="A993" s="30" t="n">
        <v>45444</v>
      </c>
      <c r="B993" s="31" t="s">
        <v>153</v>
      </c>
      <c r="C993" s="32"/>
      <c r="D993" s="32"/>
      <c r="E993" s="19" t="n">
        <f aca="false">+F993*0.03</f>
        <v>0</v>
      </c>
      <c r="F993" s="33" t="n">
        <v>0</v>
      </c>
      <c r="G993" s="62"/>
      <c r="H993" s="35" t="n">
        <v>0</v>
      </c>
      <c r="I993" s="34" t="n">
        <f aca="false">+IF(E993=0,0,E993*0.03)</f>
        <v>0</v>
      </c>
    </row>
    <row r="994" customFormat="false" ht="15.75" hidden="false" customHeight="true" outlineLevel="0" collapsed="false">
      <c r="A994" s="30" t="n">
        <v>45444</v>
      </c>
      <c r="B994" s="31" t="s">
        <v>153</v>
      </c>
      <c r="C994" s="32"/>
      <c r="D994" s="32"/>
      <c r="E994" s="19" t="n">
        <f aca="false">+F994*0.03</f>
        <v>0</v>
      </c>
      <c r="F994" s="33" t="n">
        <v>0</v>
      </c>
      <c r="G994" s="62"/>
      <c r="H994" s="35" t="n">
        <v>0</v>
      </c>
      <c r="I994" s="34" t="n">
        <f aca="false">+IF(E994=0,0,E994*0.03)</f>
        <v>0</v>
      </c>
    </row>
    <row r="995" customFormat="false" ht="15.75" hidden="false" customHeight="true" outlineLevel="0" collapsed="false">
      <c r="A995" s="30" t="n">
        <v>45444</v>
      </c>
      <c r="B995" s="31" t="s">
        <v>153</v>
      </c>
      <c r="C995" s="32"/>
      <c r="D995" s="32"/>
      <c r="E995" s="19" t="n">
        <f aca="false">+F995*0.03</f>
        <v>0</v>
      </c>
      <c r="F995" s="33" t="n">
        <v>0</v>
      </c>
      <c r="G995" s="62"/>
      <c r="H995" s="35" t="n">
        <v>0</v>
      </c>
      <c r="I995" s="34" t="n">
        <f aca="false">+IF(E995=0,0,E995*0.03)</f>
        <v>0</v>
      </c>
    </row>
    <row r="996" customFormat="false" ht="15.75" hidden="false" customHeight="true" outlineLevel="0" collapsed="false">
      <c r="A996" s="30" t="n">
        <v>45444</v>
      </c>
      <c r="B996" s="31" t="s">
        <v>153</v>
      </c>
      <c r="C996" s="32"/>
      <c r="D996" s="32"/>
      <c r="E996" s="19" t="n">
        <f aca="false">+F996*0.03</f>
        <v>0</v>
      </c>
      <c r="F996" s="33" t="n">
        <v>0</v>
      </c>
      <c r="G996" s="62"/>
      <c r="H996" s="35" t="n">
        <v>0</v>
      </c>
      <c r="I996" s="34" t="n">
        <f aca="false">+IF(E996=0,0,E996*0.03)</f>
        <v>0</v>
      </c>
    </row>
    <row r="997" customFormat="false" ht="15.75" hidden="false" customHeight="true" outlineLevel="0" collapsed="false">
      <c r="A997" s="30" t="n">
        <v>45444</v>
      </c>
      <c r="B997" s="31" t="s">
        <v>153</v>
      </c>
      <c r="C997" s="32"/>
      <c r="D997" s="32"/>
      <c r="E997" s="19" t="n">
        <f aca="false">+F997*0.03</f>
        <v>0</v>
      </c>
      <c r="F997" s="33" t="n">
        <v>0</v>
      </c>
      <c r="G997" s="62"/>
      <c r="H997" s="35" t="n">
        <v>0</v>
      </c>
      <c r="I997" s="34" t="n">
        <f aca="false">+IF(E997=0,0,E997*0.03)</f>
        <v>0</v>
      </c>
    </row>
    <row r="998" customFormat="false" ht="15.75" hidden="false" customHeight="true" outlineLevel="0" collapsed="false">
      <c r="A998" s="30" t="n">
        <v>45444</v>
      </c>
      <c r="B998" s="31" t="s">
        <v>153</v>
      </c>
      <c r="C998" s="32"/>
      <c r="D998" s="32"/>
      <c r="E998" s="19" t="n">
        <f aca="false">+F998*0.03</f>
        <v>0</v>
      </c>
      <c r="F998" s="33" t="n">
        <v>0</v>
      </c>
      <c r="G998" s="62"/>
      <c r="H998" s="35" t="n">
        <v>0</v>
      </c>
      <c r="I998" s="34" t="n">
        <f aca="false">+IF(E998=0,0,E998*0.03)</f>
        <v>0</v>
      </c>
    </row>
    <row r="999" customFormat="false" ht="15.75" hidden="false" customHeight="true" outlineLevel="0" collapsed="false">
      <c r="A999" s="30" t="n">
        <v>45444</v>
      </c>
      <c r="B999" s="31" t="s">
        <v>153</v>
      </c>
      <c r="C999" s="32"/>
      <c r="D999" s="32"/>
      <c r="E999" s="19" t="n">
        <f aca="false">+F999*0.03</f>
        <v>0</v>
      </c>
      <c r="F999" s="33" t="n">
        <v>0</v>
      </c>
      <c r="G999" s="62"/>
      <c r="H999" s="35" t="n">
        <v>0</v>
      </c>
      <c r="I999" s="34" t="n">
        <f aca="false">+IF(E999=0,0,E999*0.03)</f>
        <v>0</v>
      </c>
    </row>
    <row r="1000" customFormat="false" ht="15.75" hidden="false" customHeight="true" outlineLevel="0" collapsed="false">
      <c r="A1000" s="30" t="n">
        <v>45444</v>
      </c>
      <c r="B1000" s="31" t="s">
        <v>153</v>
      </c>
      <c r="C1000" s="32"/>
      <c r="D1000" s="32"/>
      <c r="E1000" s="19" t="n">
        <f aca="false">+F1000*0.03</f>
        <v>0</v>
      </c>
      <c r="F1000" s="33" t="n">
        <v>0</v>
      </c>
      <c r="G1000" s="62"/>
      <c r="H1000" s="35" t="n">
        <v>0</v>
      </c>
      <c r="I1000" s="34" t="n">
        <f aca="false">+IF(E1000=0,0,E1000*0.03)</f>
        <v>0</v>
      </c>
    </row>
    <row r="1001" customFormat="false" ht="15.75" hidden="false" customHeight="true" outlineLevel="0" collapsed="false">
      <c r="A1001" s="30" t="n">
        <v>45444</v>
      </c>
      <c r="B1001" s="31" t="s">
        <v>153</v>
      </c>
      <c r="C1001" s="32"/>
      <c r="D1001" s="32"/>
      <c r="E1001" s="19" t="n">
        <f aca="false">+F1001*0.03</f>
        <v>0</v>
      </c>
      <c r="F1001" s="33" t="n">
        <v>0</v>
      </c>
      <c r="G1001" s="62"/>
      <c r="H1001" s="35" t="n">
        <v>0</v>
      </c>
      <c r="I1001" s="34" t="n">
        <f aca="false">+IF(E1001=0,0,E1001*0.03)</f>
        <v>0</v>
      </c>
    </row>
    <row r="1002" customFormat="false" ht="15.75" hidden="false" customHeight="true" outlineLevel="0" collapsed="false">
      <c r="A1002" s="30" t="n">
        <v>45444</v>
      </c>
      <c r="B1002" s="31" t="s">
        <v>153</v>
      </c>
      <c r="C1002" s="32"/>
      <c r="D1002" s="32"/>
      <c r="E1002" s="19" t="n">
        <f aca="false">+F1002*0.03</f>
        <v>0</v>
      </c>
      <c r="F1002" s="33" t="n">
        <v>0</v>
      </c>
      <c r="G1002" s="62"/>
      <c r="H1002" s="35" t="n">
        <v>0</v>
      </c>
      <c r="I1002" s="34" t="n">
        <f aca="false">+IF(E1002=0,0,E1002*0.03)</f>
        <v>0</v>
      </c>
    </row>
    <row r="1003" customFormat="false" ht="15.75" hidden="false" customHeight="true" outlineLevel="0" collapsed="false">
      <c r="A1003" s="30" t="n">
        <v>45444</v>
      </c>
      <c r="B1003" s="31" t="s">
        <v>153</v>
      </c>
      <c r="C1003" s="32"/>
      <c r="D1003" s="32"/>
      <c r="E1003" s="19" t="n">
        <f aca="false">+F1003*0.03</f>
        <v>0</v>
      </c>
      <c r="F1003" s="33" t="n">
        <v>0</v>
      </c>
      <c r="G1003" s="62"/>
      <c r="H1003" s="35" t="n">
        <v>0</v>
      </c>
      <c r="I1003" s="34" t="n">
        <f aca="false">+IF(E1003=0,0,E1003*0.03)</f>
        <v>0</v>
      </c>
    </row>
    <row r="1004" customFormat="false" ht="15.75" hidden="false" customHeight="true" outlineLevel="0" collapsed="false">
      <c r="A1004" s="30" t="n">
        <v>45444</v>
      </c>
      <c r="B1004" s="31" t="s">
        <v>153</v>
      </c>
      <c r="C1004" s="32"/>
      <c r="D1004" s="32"/>
      <c r="E1004" s="19" t="n">
        <f aca="false">+F1004*0.03</f>
        <v>0</v>
      </c>
      <c r="F1004" s="33" t="n">
        <v>0</v>
      </c>
      <c r="G1004" s="62"/>
      <c r="H1004" s="35" t="n">
        <v>0</v>
      </c>
      <c r="I1004" s="34" t="n">
        <f aca="false">+IF(E1004=0,0,E1004*0.03)</f>
        <v>0</v>
      </c>
    </row>
    <row r="1005" customFormat="false" ht="15.75" hidden="false" customHeight="true" outlineLevel="0" collapsed="false">
      <c r="A1005" s="30" t="n">
        <v>45444</v>
      </c>
      <c r="B1005" s="31" t="s">
        <v>153</v>
      </c>
      <c r="C1005" s="32"/>
      <c r="D1005" s="32"/>
      <c r="E1005" s="19" t="n">
        <f aca="false">+F1005*0.03</f>
        <v>0</v>
      </c>
      <c r="F1005" s="33" t="n">
        <v>0</v>
      </c>
      <c r="G1005" s="62"/>
      <c r="H1005" s="35" t="n">
        <v>0</v>
      </c>
      <c r="I1005" s="34" t="n">
        <f aca="false">+IF(E1005=0,0,E1005*0.03)</f>
        <v>0</v>
      </c>
    </row>
    <row r="1006" customFormat="false" ht="15.75" hidden="false" customHeight="true" outlineLevel="0" collapsed="false">
      <c r="A1006" s="30" t="n">
        <v>45444</v>
      </c>
      <c r="B1006" s="31" t="s">
        <v>153</v>
      </c>
      <c r="C1006" s="32"/>
      <c r="D1006" s="32"/>
      <c r="E1006" s="19" t="n">
        <f aca="false">+F1006*0.03</f>
        <v>0</v>
      </c>
      <c r="F1006" s="33" t="n">
        <v>0</v>
      </c>
      <c r="G1006" s="62"/>
      <c r="H1006" s="35" t="n">
        <v>0</v>
      </c>
      <c r="I1006" s="34" t="n">
        <f aca="false">+IF(E1006=0,0,E1006*0.03)</f>
        <v>0</v>
      </c>
    </row>
    <row r="1007" customFormat="false" ht="15.75" hidden="false" customHeight="true" outlineLevel="0" collapsed="false">
      <c r="A1007" s="30" t="n">
        <v>45444</v>
      </c>
      <c r="B1007" s="31" t="s">
        <v>153</v>
      </c>
      <c r="C1007" s="32"/>
      <c r="D1007" s="32"/>
      <c r="E1007" s="19" t="n">
        <f aca="false">+F1007*0.03</f>
        <v>0</v>
      </c>
      <c r="F1007" s="33" t="n">
        <v>0</v>
      </c>
      <c r="G1007" s="62"/>
      <c r="H1007" s="35" t="n">
        <v>0</v>
      </c>
      <c r="I1007" s="34" t="n">
        <f aca="false">+IF(E1007=0,0,E1007*0.03)</f>
        <v>0</v>
      </c>
    </row>
    <row r="1008" customFormat="false" ht="15.75" hidden="false" customHeight="true" outlineLevel="0" collapsed="false">
      <c r="A1008" s="30" t="n">
        <v>45444</v>
      </c>
      <c r="B1008" s="31" t="s">
        <v>153</v>
      </c>
      <c r="C1008" s="32"/>
      <c r="D1008" s="32"/>
      <c r="E1008" s="19" t="n">
        <f aca="false">+F1008*0.03</f>
        <v>0</v>
      </c>
      <c r="F1008" s="33" t="n">
        <v>0</v>
      </c>
      <c r="G1008" s="62"/>
      <c r="H1008" s="35" t="n">
        <v>0</v>
      </c>
      <c r="I1008" s="34" t="n">
        <f aca="false">+IF(E1008=0,0,E1008*0.03)</f>
        <v>0</v>
      </c>
    </row>
    <row r="1009" customFormat="false" ht="15.75" hidden="false" customHeight="true" outlineLevel="0" collapsed="false">
      <c r="A1009" s="30" t="n">
        <v>45444</v>
      </c>
      <c r="B1009" s="31" t="s">
        <v>153</v>
      </c>
      <c r="C1009" s="32"/>
      <c r="D1009" s="32"/>
      <c r="E1009" s="19" t="n">
        <f aca="false">+F1009*0.03</f>
        <v>0</v>
      </c>
      <c r="F1009" s="33" t="n">
        <v>0</v>
      </c>
      <c r="G1009" s="62"/>
      <c r="H1009" s="35" t="n">
        <v>0</v>
      </c>
      <c r="I1009" s="34" t="n">
        <f aca="false">+IF(E1009=0,0,E1009*0.03)</f>
        <v>0</v>
      </c>
    </row>
    <row r="1010" customFormat="false" ht="15.75" hidden="false" customHeight="true" outlineLevel="0" collapsed="false">
      <c r="A1010" s="30" t="n">
        <v>45444</v>
      </c>
      <c r="B1010" s="31" t="s">
        <v>153</v>
      </c>
      <c r="C1010" s="32"/>
      <c r="D1010" s="32"/>
      <c r="E1010" s="19" t="n">
        <f aca="false">+F1010*0.03</f>
        <v>0</v>
      </c>
      <c r="F1010" s="33" t="n">
        <v>0</v>
      </c>
      <c r="G1010" s="62"/>
      <c r="H1010" s="35" t="n">
        <v>0</v>
      </c>
      <c r="I1010" s="34" t="n">
        <f aca="false">+IF(E1010=0,0,E1010*0.03)</f>
        <v>0</v>
      </c>
    </row>
    <row r="1011" customFormat="false" ht="15.75" hidden="false" customHeight="true" outlineLevel="0" collapsed="false">
      <c r="A1011" s="30" t="n">
        <v>45444</v>
      </c>
      <c r="B1011" s="31" t="s">
        <v>153</v>
      </c>
      <c r="C1011" s="32"/>
      <c r="D1011" s="32"/>
      <c r="E1011" s="19" t="n">
        <f aca="false">+F1011*0.03</f>
        <v>0</v>
      </c>
      <c r="F1011" s="33" t="n">
        <v>0</v>
      </c>
      <c r="G1011" s="62"/>
      <c r="H1011" s="35" t="n">
        <v>0</v>
      </c>
      <c r="I1011" s="34" t="n">
        <f aca="false">+IF(E1011=0,0,E1011*0.03)</f>
        <v>0</v>
      </c>
    </row>
    <row r="1012" customFormat="false" ht="15.75" hidden="false" customHeight="true" outlineLevel="0" collapsed="false">
      <c r="A1012" s="30" t="n">
        <v>45444</v>
      </c>
      <c r="B1012" s="31" t="s">
        <v>153</v>
      </c>
      <c r="C1012" s="32"/>
      <c r="D1012" s="32"/>
      <c r="E1012" s="19" t="n">
        <f aca="false">+F1012*0.03</f>
        <v>0</v>
      </c>
      <c r="F1012" s="33" t="n">
        <v>0</v>
      </c>
      <c r="G1012" s="62"/>
      <c r="H1012" s="35" t="n">
        <v>0</v>
      </c>
      <c r="I1012" s="34" t="n">
        <f aca="false">+IF(E1012=0,0,E1012*0.03)</f>
        <v>0</v>
      </c>
    </row>
    <row r="1013" customFormat="false" ht="15.75" hidden="false" customHeight="true" outlineLevel="0" collapsed="false">
      <c r="A1013" s="30" t="n">
        <v>45444</v>
      </c>
      <c r="B1013" s="31" t="s">
        <v>153</v>
      </c>
      <c r="C1013" s="32"/>
      <c r="D1013" s="32"/>
      <c r="E1013" s="19" t="n">
        <f aca="false">+F1013*0.03</f>
        <v>0</v>
      </c>
      <c r="F1013" s="33" t="n">
        <v>0</v>
      </c>
      <c r="G1013" s="62"/>
      <c r="H1013" s="35" t="n">
        <v>0</v>
      </c>
      <c r="I1013" s="34" t="n">
        <f aca="false">+IF(E1013=0,0,E1013*0.03)</f>
        <v>0</v>
      </c>
    </row>
    <row r="1014" customFormat="false" ht="15.75" hidden="false" customHeight="true" outlineLevel="0" collapsed="false">
      <c r="A1014" s="30" t="n">
        <v>45444</v>
      </c>
      <c r="B1014" s="31" t="s">
        <v>153</v>
      </c>
      <c r="C1014" s="32"/>
      <c r="D1014" s="32"/>
      <c r="E1014" s="19" t="n">
        <f aca="false">+F1014*0.03</f>
        <v>0</v>
      </c>
      <c r="F1014" s="33" t="n">
        <v>0</v>
      </c>
      <c r="G1014" s="62"/>
      <c r="H1014" s="35" t="n">
        <v>0</v>
      </c>
      <c r="I1014" s="34" t="n">
        <f aca="false">+IF(E1014=0,0,E1014*0.03)</f>
        <v>0</v>
      </c>
    </row>
    <row r="1015" customFormat="false" ht="15.75" hidden="false" customHeight="true" outlineLevel="0" collapsed="false">
      <c r="A1015" s="30" t="n">
        <v>45444</v>
      </c>
      <c r="B1015" s="31" t="s">
        <v>153</v>
      </c>
      <c r="C1015" s="32"/>
      <c r="D1015" s="32"/>
      <c r="E1015" s="19" t="n">
        <f aca="false">+F1015*0.03</f>
        <v>0</v>
      </c>
      <c r="F1015" s="33" t="n">
        <v>0</v>
      </c>
      <c r="G1015" s="62"/>
      <c r="H1015" s="35" t="n">
        <v>0</v>
      </c>
      <c r="I1015" s="34" t="n">
        <f aca="false">+IF(E1015=0,0,E1015*0.03)</f>
        <v>0</v>
      </c>
    </row>
    <row r="1016" customFormat="false" ht="15.75" hidden="false" customHeight="true" outlineLevel="0" collapsed="false">
      <c r="A1016" s="30" t="n">
        <v>45444</v>
      </c>
      <c r="B1016" s="31" t="s">
        <v>153</v>
      </c>
      <c r="C1016" s="32"/>
      <c r="D1016" s="32"/>
      <c r="E1016" s="19" t="n">
        <f aca="false">+F1016*0.03</f>
        <v>0</v>
      </c>
      <c r="F1016" s="33" t="n">
        <v>0</v>
      </c>
      <c r="G1016" s="62"/>
      <c r="H1016" s="35" t="n">
        <v>0</v>
      </c>
      <c r="I1016" s="34" t="n">
        <f aca="false">+IF(E1016=0,0,E1016*0.03)</f>
        <v>0</v>
      </c>
    </row>
    <row r="1017" customFormat="false" ht="15.75" hidden="false" customHeight="true" outlineLevel="0" collapsed="false">
      <c r="A1017" s="30" t="n">
        <v>45444</v>
      </c>
      <c r="B1017" s="31" t="s">
        <v>153</v>
      </c>
      <c r="C1017" s="32"/>
      <c r="D1017" s="32"/>
      <c r="E1017" s="19" t="n">
        <f aca="false">+F1017*0.03</f>
        <v>0</v>
      </c>
      <c r="F1017" s="33" t="n">
        <v>0</v>
      </c>
      <c r="G1017" s="62"/>
      <c r="H1017" s="35" t="n">
        <v>0</v>
      </c>
      <c r="I1017" s="34" t="n">
        <f aca="false">+IF(E1017=0,0,E1017*0.03)</f>
        <v>0</v>
      </c>
    </row>
    <row r="1018" customFormat="false" ht="15.75" hidden="false" customHeight="true" outlineLevel="0" collapsed="false">
      <c r="A1018" s="30" t="n">
        <v>45444</v>
      </c>
      <c r="B1018" s="31" t="s">
        <v>153</v>
      </c>
      <c r="C1018" s="32"/>
      <c r="D1018" s="32"/>
      <c r="E1018" s="19" t="n">
        <f aca="false">+F1018*0.03</f>
        <v>0</v>
      </c>
      <c r="F1018" s="33" t="n">
        <v>0</v>
      </c>
      <c r="G1018" s="62"/>
      <c r="H1018" s="35" t="n">
        <v>0</v>
      </c>
      <c r="I1018" s="34" t="n">
        <f aca="false">+IF(E1018=0,0,E1018*0.03)</f>
        <v>0</v>
      </c>
    </row>
    <row r="1019" customFormat="false" ht="15.75" hidden="false" customHeight="true" outlineLevel="0" collapsed="false">
      <c r="A1019" s="30" t="n">
        <v>45444</v>
      </c>
      <c r="B1019" s="31" t="s">
        <v>153</v>
      </c>
      <c r="C1019" s="32"/>
      <c r="D1019" s="32"/>
      <c r="E1019" s="19" t="n">
        <f aca="false">+F1019*0.03</f>
        <v>0</v>
      </c>
      <c r="F1019" s="33" t="n">
        <v>0</v>
      </c>
      <c r="G1019" s="62"/>
      <c r="H1019" s="35" t="n">
        <v>0</v>
      </c>
      <c r="I1019" s="34" t="n">
        <f aca="false">+IF(E1019=0,0,E1019*0.03)</f>
        <v>0</v>
      </c>
    </row>
    <row r="1020" customFormat="false" ht="15.75" hidden="false" customHeight="true" outlineLevel="0" collapsed="false">
      <c r="A1020" s="30" t="n">
        <v>45444</v>
      </c>
      <c r="B1020" s="31" t="s">
        <v>153</v>
      </c>
      <c r="C1020" s="32"/>
      <c r="D1020" s="32"/>
      <c r="E1020" s="19" t="n">
        <f aca="false">+F1020*0.03</f>
        <v>0</v>
      </c>
      <c r="F1020" s="33" t="n">
        <v>0</v>
      </c>
      <c r="G1020" s="62"/>
      <c r="H1020" s="35" t="n">
        <v>0</v>
      </c>
      <c r="I1020" s="34" t="n">
        <f aca="false">+IF(E1020=0,0,E1020*0.03)</f>
        <v>0</v>
      </c>
    </row>
    <row r="1021" customFormat="false" ht="15.75" hidden="false" customHeight="true" outlineLevel="0" collapsed="false">
      <c r="A1021" s="30" t="n">
        <v>45444</v>
      </c>
      <c r="B1021" s="31" t="s">
        <v>153</v>
      </c>
      <c r="C1021" s="32"/>
      <c r="D1021" s="32"/>
      <c r="E1021" s="19" t="n">
        <f aca="false">+F1021*0.03</f>
        <v>0</v>
      </c>
      <c r="F1021" s="33" t="n">
        <v>0</v>
      </c>
      <c r="G1021" s="62"/>
      <c r="H1021" s="35" t="n">
        <v>0</v>
      </c>
      <c r="I1021" s="34" t="n">
        <f aca="false">+IF(E1021=0,0,E1021*0.03)</f>
        <v>0</v>
      </c>
    </row>
    <row r="1022" customFormat="false" ht="15.75" hidden="false" customHeight="true" outlineLevel="0" collapsed="false">
      <c r="A1022" s="30" t="n">
        <v>45444</v>
      </c>
      <c r="B1022" s="31" t="s">
        <v>153</v>
      </c>
      <c r="C1022" s="32"/>
      <c r="D1022" s="32"/>
      <c r="E1022" s="19" t="n">
        <f aca="false">+F1022*0.03</f>
        <v>0</v>
      </c>
      <c r="F1022" s="33" t="n">
        <v>0</v>
      </c>
      <c r="G1022" s="62"/>
      <c r="H1022" s="35" t="n">
        <v>0</v>
      </c>
      <c r="I1022" s="34" t="n">
        <f aca="false">+IF(E1022=0,0,E1022*0.03)</f>
        <v>0</v>
      </c>
    </row>
    <row r="1023" customFormat="false" ht="15.75" hidden="false" customHeight="true" outlineLevel="0" collapsed="false">
      <c r="A1023" s="30" t="n">
        <v>45444</v>
      </c>
      <c r="B1023" s="31" t="s">
        <v>153</v>
      </c>
      <c r="C1023" s="32"/>
      <c r="D1023" s="32"/>
      <c r="E1023" s="19" t="n">
        <f aca="false">+F1023*0.03</f>
        <v>0</v>
      </c>
      <c r="F1023" s="33" t="n">
        <v>0</v>
      </c>
      <c r="G1023" s="62"/>
      <c r="H1023" s="35" t="n">
        <v>0</v>
      </c>
      <c r="I1023" s="34" t="n">
        <f aca="false">+IF(E1023=0,0,E1023*0.03)</f>
        <v>0</v>
      </c>
    </row>
    <row r="1024" customFormat="false" ht="15.75" hidden="false" customHeight="true" outlineLevel="0" collapsed="false">
      <c r="A1024" s="30" t="n">
        <v>45444</v>
      </c>
      <c r="B1024" s="31" t="s">
        <v>153</v>
      </c>
      <c r="C1024" s="32"/>
      <c r="D1024" s="32"/>
      <c r="E1024" s="19" t="n">
        <f aca="false">+F1024*0.03</f>
        <v>0</v>
      </c>
      <c r="F1024" s="33" t="n">
        <v>0</v>
      </c>
      <c r="G1024" s="62"/>
      <c r="H1024" s="35" t="n">
        <v>0</v>
      </c>
      <c r="I1024" s="34" t="n">
        <f aca="false">+IF(E1024=0,0,E1024*0.03)</f>
        <v>0</v>
      </c>
    </row>
    <row r="1025" customFormat="false" ht="15.75" hidden="false" customHeight="true" outlineLevel="0" collapsed="false">
      <c r="A1025" s="30" t="n">
        <v>45444</v>
      </c>
      <c r="B1025" s="31" t="s">
        <v>153</v>
      </c>
      <c r="C1025" s="32"/>
      <c r="D1025" s="32"/>
      <c r="E1025" s="19" t="n">
        <f aca="false">+F1025*0.03</f>
        <v>0</v>
      </c>
      <c r="F1025" s="33" t="n">
        <v>0</v>
      </c>
      <c r="G1025" s="62"/>
      <c r="H1025" s="35" t="n">
        <v>0</v>
      </c>
      <c r="I1025" s="34" t="n">
        <f aca="false">+IF(E1025=0,0,E1025*0.03)</f>
        <v>0</v>
      </c>
    </row>
    <row r="1026" customFormat="false" ht="15.75" hidden="false" customHeight="true" outlineLevel="0" collapsed="false">
      <c r="A1026" s="30" t="n">
        <v>45444</v>
      </c>
      <c r="B1026" s="31" t="s">
        <v>153</v>
      </c>
      <c r="C1026" s="32"/>
      <c r="D1026" s="32"/>
      <c r="E1026" s="19" t="n">
        <f aca="false">+F1026*0.03</f>
        <v>0</v>
      </c>
      <c r="F1026" s="33" t="n">
        <v>0</v>
      </c>
      <c r="G1026" s="62"/>
      <c r="H1026" s="35" t="n">
        <v>0</v>
      </c>
      <c r="I1026" s="34" t="n">
        <f aca="false">+IF(E1026=0,0,E1026*0.03)</f>
        <v>0</v>
      </c>
    </row>
    <row r="1027" customFormat="false" ht="15.75" hidden="false" customHeight="true" outlineLevel="0" collapsed="false">
      <c r="A1027" s="30" t="n">
        <v>45444</v>
      </c>
      <c r="B1027" s="31" t="s">
        <v>153</v>
      </c>
      <c r="C1027" s="32"/>
      <c r="D1027" s="32"/>
      <c r="E1027" s="19" t="n">
        <f aca="false">+F1027*0.03</f>
        <v>0</v>
      </c>
      <c r="F1027" s="33" t="n">
        <v>0</v>
      </c>
      <c r="G1027" s="62"/>
      <c r="H1027" s="35" t="n">
        <v>0</v>
      </c>
      <c r="I1027" s="34" t="n">
        <f aca="false">+IF(E1027=0,0,E1027*0.03)</f>
        <v>0</v>
      </c>
    </row>
    <row r="1028" customFormat="false" ht="15.75" hidden="false" customHeight="true" outlineLevel="0" collapsed="false">
      <c r="A1028" s="30" t="n">
        <v>45444</v>
      </c>
      <c r="B1028" s="31" t="s">
        <v>153</v>
      </c>
      <c r="C1028" s="32"/>
      <c r="D1028" s="32"/>
      <c r="E1028" s="19" t="n">
        <f aca="false">+F1028*0.03</f>
        <v>0</v>
      </c>
      <c r="F1028" s="33" t="n">
        <v>0</v>
      </c>
      <c r="G1028" s="62"/>
      <c r="H1028" s="35" t="n">
        <v>0</v>
      </c>
      <c r="I1028" s="34" t="n">
        <f aca="false">+IF(E1028=0,0,E1028*0.03)</f>
        <v>0</v>
      </c>
    </row>
    <row r="1029" customFormat="false" ht="15.75" hidden="false" customHeight="true" outlineLevel="0" collapsed="false">
      <c r="A1029" s="30" t="n">
        <v>45444</v>
      </c>
      <c r="B1029" s="31" t="s">
        <v>153</v>
      </c>
      <c r="C1029" s="32"/>
      <c r="D1029" s="32"/>
      <c r="E1029" s="19" t="n">
        <f aca="false">+F1029*0.03</f>
        <v>0</v>
      </c>
      <c r="F1029" s="33" t="n">
        <v>0</v>
      </c>
      <c r="G1029" s="62"/>
      <c r="H1029" s="35" t="n">
        <v>0</v>
      </c>
      <c r="I1029" s="34" t="n">
        <f aca="false">+IF(E1029=0,0,E1029*0.03)</f>
        <v>0</v>
      </c>
    </row>
    <row r="1030" customFormat="false" ht="15.75" hidden="false" customHeight="true" outlineLevel="0" collapsed="false">
      <c r="A1030" s="30" t="n">
        <v>45444</v>
      </c>
      <c r="B1030" s="31" t="s">
        <v>153</v>
      </c>
      <c r="C1030" s="32"/>
      <c r="D1030" s="32"/>
      <c r="E1030" s="19" t="n">
        <f aca="false">+F1030*0.03</f>
        <v>0</v>
      </c>
      <c r="F1030" s="33" t="n">
        <v>0</v>
      </c>
      <c r="G1030" s="62"/>
      <c r="H1030" s="35" t="n">
        <v>0</v>
      </c>
      <c r="I1030" s="34" t="n">
        <f aca="false">+IF(E1030=0,0,E1030*0.03)</f>
        <v>0</v>
      </c>
    </row>
    <row r="1031" customFormat="false" ht="15.75" hidden="false" customHeight="true" outlineLevel="0" collapsed="false">
      <c r="A1031" s="30" t="n">
        <v>45444</v>
      </c>
      <c r="B1031" s="31" t="s">
        <v>153</v>
      </c>
      <c r="C1031" s="32"/>
      <c r="D1031" s="32"/>
      <c r="E1031" s="19" t="n">
        <f aca="false">+F1031*0.03</f>
        <v>0</v>
      </c>
      <c r="F1031" s="33" t="n">
        <v>0</v>
      </c>
      <c r="G1031" s="62"/>
      <c r="H1031" s="35" t="n">
        <v>0</v>
      </c>
      <c r="I1031" s="34" t="n">
        <f aca="false">+IF(E1031=0,0,E1031*0.03)</f>
        <v>0</v>
      </c>
    </row>
    <row r="1032" customFormat="false" ht="15.75" hidden="false" customHeight="true" outlineLevel="0" collapsed="false">
      <c r="A1032" s="30" t="n">
        <v>45444</v>
      </c>
      <c r="B1032" s="31" t="s">
        <v>153</v>
      </c>
      <c r="C1032" s="32"/>
      <c r="D1032" s="32"/>
      <c r="E1032" s="19" t="n">
        <f aca="false">+F1032*0.03</f>
        <v>0</v>
      </c>
      <c r="F1032" s="33" t="n">
        <v>0</v>
      </c>
      <c r="G1032" s="62"/>
      <c r="H1032" s="35" t="n">
        <v>0</v>
      </c>
      <c r="I1032" s="34" t="n">
        <f aca="false">+IF(E1032=0,0,E1032*0.03)</f>
        <v>0</v>
      </c>
    </row>
    <row r="1033" customFormat="false" ht="15.75" hidden="false" customHeight="true" outlineLevel="0" collapsed="false">
      <c r="A1033" s="30" t="n">
        <v>45444</v>
      </c>
      <c r="B1033" s="31" t="s">
        <v>153</v>
      </c>
      <c r="C1033" s="32"/>
      <c r="D1033" s="32"/>
      <c r="E1033" s="19" t="n">
        <f aca="false">+F1033*0.03</f>
        <v>0</v>
      </c>
      <c r="F1033" s="33" t="n">
        <v>0</v>
      </c>
      <c r="G1033" s="62"/>
      <c r="H1033" s="35" t="n">
        <v>0</v>
      </c>
      <c r="I1033" s="34" t="n">
        <f aca="false">+IF(E1033=0,0,E1033*0.03)</f>
        <v>0</v>
      </c>
    </row>
    <row r="1034" customFormat="false" ht="15.75" hidden="false" customHeight="true" outlineLevel="0" collapsed="false">
      <c r="A1034" s="30" t="n">
        <v>45444</v>
      </c>
      <c r="B1034" s="31" t="s">
        <v>153</v>
      </c>
      <c r="C1034" s="32"/>
      <c r="D1034" s="32"/>
      <c r="E1034" s="19" t="n">
        <f aca="false">+F1034*0.03</f>
        <v>0</v>
      </c>
      <c r="F1034" s="33" t="n">
        <v>0</v>
      </c>
      <c r="G1034" s="62"/>
      <c r="H1034" s="35" t="n">
        <v>0</v>
      </c>
      <c r="I1034" s="34" t="n">
        <f aca="false">+IF(E1034=0,0,E1034*0.03)</f>
        <v>0</v>
      </c>
    </row>
    <row r="1035" customFormat="false" ht="15.75" hidden="false" customHeight="true" outlineLevel="0" collapsed="false">
      <c r="A1035" s="30" t="n">
        <v>45444</v>
      </c>
      <c r="B1035" s="31" t="s">
        <v>153</v>
      </c>
      <c r="C1035" s="32"/>
      <c r="D1035" s="32"/>
      <c r="E1035" s="19" t="n">
        <f aca="false">+F1035*0.03</f>
        <v>0</v>
      </c>
      <c r="F1035" s="33" t="n">
        <v>0</v>
      </c>
      <c r="G1035" s="62"/>
      <c r="H1035" s="35" t="n">
        <v>0</v>
      </c>
      <c r="I1035" s="34" t="n">
        <f aca="false">+IF(E1035=0,0,E1035*0.03)</f>
        <v>0</v>
      </c>
    </row>
    <row r="1036" customFormat="false" ht="15.75" hidden="false" customHeight="true" outlineLevel="0" collapsed="false">
      <c r="A1036" s="30" t="n">
        <v>45444</v>
      </c>
      <c r="B1036" s="31" t="s">
        <v>153</v>
      </c>
      <c r="C1036" s="32"/>
      <c r="D1036" s="32"/>
      <c r="E1036" s="19" t="n">
        <f aca="false">+F1036*0.03</f>
        <v>0</v>
      </c>
      <c r="F1036" s="33" t="n">
        <v>0</v>
      </c>
      <c r="G1036" s="62"/>
      <c r="H1036" s="35" t="n">
        <v>0</v>
      </c>
      <c r="I1036" s="34" t="n">
        <f aca="false">+IF(E1036=0,0,E1036*0.03)</f>
        <v>0</v>
      </c>
    </row>
    <row r="1037" customFormat="false" ht="15.75" hidden="false" customHeight="true" outlineLevel="0" collapsed="false">
      <c r="A1037" s="30" t="n">
        <v>45444</v>
      </c>
      <c r="B1037" s="31" t="s">
        <v>153</v>
      </c>
      <c r="C1037" s="32"/>
      <c r="D1037" s="32"/>
      <c r="E1037" s="19" t="n">
        <f aca="false">+F1037*0.03</f>
        <v>0</v>
      </c>
      <c r="F1037" s="33" t="n">
        <v>0</v>
      </c>
      <c r="G1037" s="62"/>
      <c r="H1037" s="35" t="n">
        <v>0</v>
      </c>
      <c r="I1037" s="34" t="n">
        <f aca="false">+IF(E1037=0,0,E1037*0.03)</f>
        <v>0</v>
      </c>
    </row>
    <row r="1038" customFormat="false" ht="15.75" hidden="false" customHeight="true" outlineLevel="0" collapsed="false">
      <c r="A1038" s="30" t="n">
        <v>45444</v>
      </c>
      <c r="B1038" s="31" t="s">
        <v>153</v>
      </c>
      <c r="C1038" s="32"/>
      <c r="D1038" s="32"/>
      <c r="E1038" s="19" t="n">
        <f aca="false">+F1038*0.03</f>
        <v>0</v>
      </c>
      <c r="F1038" s="33" t="n">
        <v>0</v>
      </c>
      <c r="G1038" s="62"/>
      <c r="H1038" s="35" t="n">
        <v>0</v>
      </c>
      <c r="I1038" s="34" t="n">
        <f aca="false">+IF(E1038=0,0,E1038*0.03)</f>
        <v>0</v>
      </c>
    </row>
    <row r="1039" customFormat="false" ht="15.75" hidden="false" customHeight="true" outlineLevel="0" collapsed="false">
      <c r="A1039" s="30" t="n">
        <v>45444</v>
      </c>
      <c r="B1039" s="31" t="s">
        <v>153</v>
      </c>
      <c r="C1039" s="32"/>
      <c r="D1039" s="32"/>
      <c r="E1039" s="19" t="n">
        <f aca="false">+F1039*0.03</f>
        <v>0</v>
      </c>
      <c r="F1039" s="33" t="n">
        <v>0</v>
      </c>
      <c r="G1039" s="62"/>
      <c r="H1039" s="35" t="n">
        <v>0</v>
      </c>
      <c r="I1039" s="34" t="n">
        <f aca="false">+IF(E1039=0,0,E1039*0.03)</f>
        <v>0</v>
      </c>
    </row>
    <row r="1040" customFormat="false" ht="15.75" hidden="false" customHeight="true" outlineLevel="0" collapsed="false">
      <c r="A1040" s="30" t="n">
        <v>45444</v>
      </c>
      <c r="B1040" s="31" t="s">
        <v>153</v>
      </c>
      <c r="C1040" s="32"/>
      <c r="D1040" s="32"/>
      <c r="E1040" s="19" t="n">
        <f aca="false">+F1040*0.03</f>
        <v>0</v>
      </c>
      <c r="F1040" s="33" t="n">
        <v>0</v>
      </c>
      <c r="G1040" s="62"/>
      <c r="H1040" s="35" t="n">
        <v>0</v>
      </c>
      <c r="I1040" s="34" t="n">
        <f aca="false">+IF(E1040=0,0,E1040*0.03)</f>
        <v>0</v>
      </c>
    </row>
    <row r="1041" customFormat="false" ht="15.75" hidden="false" customHeight="true" outlineLevel="0" collapsed="false">
      <c r="A1041" s="30" t="n">
        <v>45444</v>
      </c>
      <c r="B1041" s="31" t="s">
        <v>153</v>
      </c>
      <c r="C1041" s="32"/>
      <c r="D1041" s="32"/>
      <c r="E1041" s="19" t="n">
        <f aca="false">+F1041*0.03</f>
        <v>0</v>
      </c>
      <c r="F1041" s="33" t="n">
        <v>0</v>
      </c>
      <c r="G1041" s="62"/>
      <c r="H1041" s="35" t="n">
        <v>0</v>
      </c>
      <c r="I1041" s="34" t="n">
        <f aca="false">+IF(E1041=0,0,E1041*0.03)</f>
        <v>0</v>
      </c>
    </row>
    <row r="1042" customFormat="false" ht="15.75" hidden="false" customHeight="true" outlineLevel="0" collapsed="false">
      <c r="A1042" s="30" t="n">
        <v>45444</v>
      </c>
      <c r="B1042" s="31" t="s">
        <v>153</v>
      </c>
      <c r="C1042" s="32"/>
      <c r="D1042" s="32"/>
      <c r="E1042" s="19" t="n">
        <f aca="false">+F1042*0.03</f>
        <v>0</v>
      </c>
      <c r="F1042" s="33" t="n">
        <v>0</v>
      </c>
      <c r="G1042" s="62"/>
      <c r="H1042" s="35" t="n">
        <v>0</v>
      </c>
      <c r="I1042" s="34" t="n">
        <f aca="false">+IF(E1042=0,0,E1042*0.03)</f>
        <v>0</v>
      </c>
    </row>
    <row r="1043" customFormat="false" ht="15.75" hidden="false" customHeight="true" outlineLevel="0" collapsed="false">
      <c r="A1043" s="30" t="n">
        <v>45444</v>
      </c>
      <c r="B1043" s="31" t="s">
        <v>153</v>
      </c>
      <c r="C1043" s="32"/>
      <c r="D1043" s="32"/>
      <c r="E1043" s="19" t="n">
        <f aca="false">+F1043*0.03</f>
        <v>0</v>
      </c>
      <c r="F1043" s="33" t="n">
        <v>0</v>
      </c>
      <c r="G1043" s="62"/>
      <c r="H1043" s="35" t="n">
        <v>0</v>
      </c>
      <c r="I1043" s="34" t="n">
        <f aca="false">+IF(E1043=0,0,E1043*0.03)</f>
        <v>0</v>
      </c>
    </row>
    <row r="1044" customFormat="false" ht="15.75" hidden="false" customHeight="true" outlineLevel="0" collapsed="false">
      <c r="A1044" s="30" t="n">
        <v>45444</v>
      </c>
      <c r="B1044" s="31" t="s">
        <v>153</v>
      </c>
      <c r="C1044" s="32"/>
      <c r="D1044" s="32"/>
      <c r="E1044" s="19" t="n">
        <f aca="false">+F1044*0.03</f>
        <v>0</v>
      </c>
      <c r="F1044" s="33" t="n">
        <v>0</v>
      </c>
      <c r="G1044" s="62"/>
      <c r="H1044" s="35" t="n">
        <v>0</v>
      </c>
      <c r="I1044" s="34" t="n">
        <f aca="false">+IF(E1044=0,0,E1044*0.03)</f>
        <v>0</v>
      </c>
    </row>
    <row r="1045" customFormat="false" ht="15.75" hidden="false" customHeight="true" outlineLevel="0" collapsed="false">
      <c r="A1045" s="30" t="n">
        <v>45444</v>
      </c>
      <c r="B1045" s="31" t="s">
        <v>153</v>
      </c>
      <c r="C1045" s="32"/>
      <c r="D1045" s="32"/>
      <c r="E1045" s="19" t="n">
        <f aca="false">+F1045*0.03</f>
        <v>0</v>
      </c>
      <c r="F1045" s="33" t="n">
        <v>0</v>
      </c>
      <c r="G1045" s="62"/>
      <c r="H1045" s="35" t="n">
        <v>0</v>
      </c>
      <c r="I1045" s="34" t="n">
        <f aca="false">+IF(E1045=0,0,E1045*0.03)</f>
        <v>0</v>
      </c>
    </row>
    <row r="1046" customFormat="false" ht="15.75" hidden="false" customHeight="true" outlineLevel="0" collapsed="false">
      <c r="A1046" s="30" t="n">
        <v>45444</v>
      </c>
      <c r="B1046" s="31" t="s">
        <v>153</v>
      </c>
      <c r="C1046" s="32"/>
      <c r="D1046" s="32"/>
      <c r="E1046" s="19" t="n">
        <f aca="false">+F1046*0.03</f>
        <v>0</v>
      </c>
      <c r="F1046" s="33" t="n">
        <v>0</v>
      </c>
      <c r="G1046" s="62"/>
      <c r="H1046" s="35" t="n">
        <v>0</v>
      </c>
      <c r="I1046" s="34" t="n">
        <f aca="false">+IF(E1046=0,0,E1046*0.03)</f>
        <v>0</v>
      </c>
    </row>
    <row r="1047" customFormat="false" ht="15.75" hidden="false" customHeight="true" outlineLevel="0" collapsed="false">
      <c r="A1047" s="30" t="n">
        <v>45444</v>
      </c>
      <c r="B1047" s="31" t="s">
        <v>153</v>
      </c>
      <c r="C1047" s="32"/>
      <c r="D1047" s="32"/>
      <c r="E1047" s="19" t="n">
        <f aca="false">+F1047*0.03</f>
        <v>0</v>
      </c>
      <c r="F1047" s="33" t="n">
        <v>0</v>
      </c>
      <c r="G1047" s="62"/>
      <c r="H1047" s="35" t="n">
        <v>0</v>
      </c>
      <c r="I1047" s="34" t="n">
        <f aca="false">+IF(E1047=0,0,E1047*0.03)</f>
        <v>0</v>
      </c>
    </row>
    <row r="1048" customFormat="false" ht="15.75" hidden="false" customHeight="true" outlineLevel="0" collapsed="false">
      <c r="A1048" s="30" t="n">
        <v>45444</v>
      </c>
      <c r="B1048" s="31" t="s">
        <v>153</v>
      </c>
      <c r="C1048" s="32"/>
      <c r="D1048" s="32"/>
      <c r="E1048" s="19" t="n">
        <f aca="false">+F1048*0.03</f>
        <v>0</v>
      </c>
      <c r="F1048" s="33" t="n">
        <v>0</v>
      </c>
      <c r="G1048" s="62"/>
      <c r="H1048" s="35" t="n">
        <v>0</v>
      </c>
      <c r="I1048" s="34" t="n">
        <f aca="false">+IF(E1048=0,0,E1048*0.03)</f>
        <v>0</v>
      </c>
    </row>
    <row r="1049" customFormat="false" ht="15.75" hidden="false" customHeight="true" outlineLevel="0" collapsed="false">
      <c r="A1049" s="30" t="n">
        <v>45444</v>
      </c>
      <c r="B1049" s="31" t="s">
        <v>153</v>
      </c>
      <c r="C1049" s="32"/>
      <c r="D1049" s="32"/>
      <c r="E1049" s="19" t="n">
        <f aca="false">+F1049*0.03</f>
        <v>0</v>
      </c>
      <c r="F1049" s="33" t="n">
        <v>0</v>
      </c>
      <c r="G1049" s="62"/>
      <c r="H1049" s="35" t="n">
        <v>0</v>
      </c>
      <c r="I1049" s="34" t="n">
        <f aca="false">+IF(E1049=0,0,E1049*0.03)</f>
        <v>0</v>
      </c>
    </row>
    <row r="1050" customFormat="false" ht="15.75" hidden="false" customHeight="true" outlineLevel="0" collapsed="false">
      <c r="A1050" s="30" t="n">
        <v>45444</v>
      </c>
      <c r="B1050" s="31" t="s">
        <v>153</v>
      </c>
      <c r="C1050" s="32"/>
      <c r="D1050" s="32"/>
      <c r="E1050" s="19" t="n">
        <f aca="false">+F1050*0.03</f>
        <v>0</v>
      </c>
      <c r="F1050" s="33" t="n">
        <v>0</v>
      </c>
      <c r="G1050" s="62"/>
      <c r="H1050" s="35" t="n">
        <v>0</v>
      </c>
      <c r="I1050" s="34" t="n">
        <f aca="false">+IF(E1050=0,0,E1050*0.03)</f>
        <v>0</v>
      </c>
    </row>
    <row r="1051" customFormat="false" ht="15.75" hidden="false" customHeight="true" outlineLevel="0" collapsed="false">
      <c r="A1051" s="30" t="n">
        <v>45444</v>
      </c>
      <c r="B1051" s="31" t="s">
        <v>153</v>
      </c>
      <c r="C1051" s="32"/>
      <c r="D1051" s="32"/>
      <c r="E1051" s="19" t="n">
        <f aca="false">+F1051*0.03</f>
        <v>0</v>
      </c>
      <c r="F1051" s="33" t="n">
        <v>0</v>
      </c>
      <c r="G1051" s="62"/>
      <c r="H1051" s="35" t="n">
        <v>0</v>
      </c>
      <c r="I1051" s="34" t="n">
        <f aca="false">+IF(E1051=0,0,E1051*0.03)</f>
        <v>0</v>
      </c>
    </row>
    <row r="1052" customFormat="false" ht="15.75" hidden="false" customHeight="true" outlineLevel="0" collapsed="false">
      <c r="A1052" s="30" t="n">
        <v>45444</v>
      </c>
      <c r="B1052" s="31" t="s">
        <v>153</v>
      </c>
      <c r="C1052" s="32"/>
      <c r="D1052" s="32"/>
      <c r="E1052" s="19" t="n">
        <f aca="false">+F1052*0.03</f>
        <v>0</v>
      </c>
      <c r="F1052" s="33" t="n">
        <v>0</v>
      </c>
      <c r="G1052" s="62"/>
      <c r="H1052" s="35" t="n">
        <v>0</v>
      </c>
      <c r="I1052" s="34" t="n">
        <f aca="false">+IF(E1052=0,0,E1052*0.03)</f>
        <v>0</v>
      </c>
    </row>
    <row r="1053" customFormat="false" ht="15.75" hidden="false" customHeight="true" outlineLevel="0" collapsed="false">
      <c r="A1053" s="30" t="n">
        <v>45444</v>
      </c>
      <c r="B1053" s="31" t="s">
        <v>153</v>
      </c>
      <c r="C1053" s="32"/>
      <c r="D1053" s="32"/>
      <c r="E1053" s="19" t="n">
        <f aca="false">+F1053*0.03</f>
        <v>0</v>
      </c>
      <c r="F1053" s="33" t="n">
        <v>0</v>
      </c>
      <c r="G1053" s="62"/>
      <c r="H1053" s="35" t="n">
        <v>0</v>
      </c>
      <c r="I1053" s="34" t="n">
        <f aca="false">+IF(E1053=0,0,E1053*0.03)</f>
        <v>0</v>
      </c>
    </row>
    <row r="1054" customFormat="false" ht="15.75" hidden="false" customHeight="true" outlineLevel="0" collapsed="false">
      <c r="A1054" s="30" t="n">
        <v>45444</v>
      </c>
      <c r="B1054" s="31" t="s">
        <v>153</v>
      </c>
      <c r="C1054" s="32"/>
      <c r="D1054" s="32"/>
      <c r="E1054" s="19" t="n">
        <f aca="false">+F1054*0.03</f>
        <v>0</v>
      </c>
      <c r="F1054" s="33" t="n">
        <v>0</v>
      </c>
      <c r="G1054" s="62"/>
      <c r="H1054" s="35" t="n">
        <v>0</v>
      </c>
      <c r="I1054" s="34" t="n">
        <f aca="false">+IF(E1054=0,0,E1054*0.03)</f>
        <v>0</v>
      </c>
    </row>
    <row r="1055" customFormat="false" ht="15.75" hidden="false" customHeight="true" outlineLevel="0" collapsed="false">
      <c r="A1055" s="30" t="n">
        <v>45444</v>
      </c>
      <c r="B1055" s="31" t="s">
        <v>153</v>
      </c>
      <c r="C1055" s="32"/>
      <c r="D1055" s="32"/>
      <c r="E1055" s="19" t="n">
        <f aca="false">+F1055*0.03</f>
        <v>0</v>
      </c>
      <c r="F1055" s="33" t="n">
        <v>0</v>
      </c>
      <c r="G1055" s="62"/>
      <c r="H1055" s="35" t="n">
        <v>0</v>
      </c>
      <c r="I1055" s="34" t="n">
        <f aca="false">+IF(E1055=0,0,E1055*0.03)</f>
        <v>0</v>
      </c>
    </row>
    <row r="1056" customFormat="false" ht="15.75" hidden="false" customHeight="true" outlineLevel="0" collapsed="false">
      <c r="A1056" s="30" t="n">
        <v>45444</v>
      </c>
      <c r="B1056" s="31" t="s">
        <v>153</v>
      </c>
      <c r="C1056" s="32"/>
      <c r="D1056" s="32"/>
      <c r="E1056" s="19" t="n">
        <f aca="false">+F1056*0.03</f>
        <v>0</v>
      </c>
      <c r="F1056" s="33" t="n">
        <v>0</v>
      </c>
      <c r="G1056" s="62"/>
      <c r="H1056" s="35" t="n">
        <v>0</v>
      </c>
      <c r="I1056" s="34" t="n">
        <f aca="false">+IF(E1056=0,0,E1056*0.03)</f>
        <v>0</v>
      </c>
    </row>
    <row r="1057" customFormat="false" ht="15.75" hidden="false" customHeight="true" outlineLevel="0" collapsed="false">
      <c r="A1057" s="30" t="n">
        <v>45444</v>
      </c>
      <c r="B1057" s="31" t="s">
        <v>153</v>
      </c>
      <c r="C1057" s="32"/>
      <c r="D1057" s="32"/>
      <c r="E1057" s="19" t="n">
        <f aca="false">+F1057*0.03</f>
        <v>0</v>
      </c>
      <c r="F1057" s="33" t="n">
        <v>0</v>
      </c>
      <c r="G1057" s="62"/>
      <c r="H1057" s="35" t="n">
        <v>0</v>
      </c>
      <c r="I1057" s="34" t="n">
        <f aca="false">+IF(E1057=0,0,E1057*0.03)</f>
        <v>0</v>
      </c>
    </row>
    <row r="1058" customFormat="false" ht="15.75" hidden="false" customHeight="true" outlineLevel="0" collapsed="false">
      <c r="A1058" s="30" t="n">
        <v>45444</v>
      </c>
      <c r="B1058" s="31" t="s">
        <v>153</v>
      </c>
      <c r="C1058" s="32"/>
      <c r="D1058" s="32"/>
      <c r="E1058" s="19" t="n">
        <f aca="false">+F1058*0.03</f>
        <v>0</v>
      </c>
      <c r="F1058" s="33" t="n">
        <v>0</v>
      </c>
      <c r="G1058" s="62"/>
      <c r="H1058" s="35" t="n">
        <v>0</v>
      </c>
      <c r="I1058" s="34" t="n">
        <f aca="false">+IF(E1058=0,0,E1058*0.03)</f>
        <v>0</v>
      </c>
    </row>
    <row r="1059" customFormat="false" ht="15.75" hidden="false" customHeight="true" outlineLevel="0" collapsed="false">
      <c r="A1059" s="30" t="n">
        <v>45444</v>
      </c>
      <c r="B1059" s="31" t="s">
        <v>153</v>
      </c>
      <c r="C1059" s="32"/>
      <c r="D1059" s="32"/>
      <c r="E1059" s="19" t="n">
        <f aca="false">+F1059*0.03</f>
        <v>0</v>
      </c>
      <c r="F1059" s="33" t="n">
        <v>0</v>
      </c>
      <c r="G1059" s="62"/>
      <c r="H1059" s="35" t="n">
        <v>0</v>
      </c>
      <c r="I1059" s="34" t="n">
        <f aca="false">+IF(E1059=0,0,E1059*0.03)</f>
        <v>0</v>
      </c>
    </row>
    <row r="1060" customFormat="false" ht="15.75" hidden="false" customHeight="true" outlineLevel="0" collapsed="false">
      <c r="A1060" s="30" t="n">
        <v>45444</v>
      </c>
      <c r="B1060" s="31" t="s">
        <v>153</v>
      </c>
      <c r="C1060" s="32"/>
      <c r="D1060" s="32"/>
      <c r="E1060" s="19" t="n">
        <f aca="false">+F1060*0.03</f>
        <v>0</v>
      </c>
      <c r="F1060" s="33" t="n">
        <v>0</v>
      </c>
      <c r="G1060" s="62"/>
      <c r="H1060" s="35" t="n">
        <v>0</v>
      </c>
      <c r="I1060" s="34" t="n">
        <f aca="false">+IF(E1060=0,0,E1060*0.03)</f>
        <v>0</v>
      </c>
    </row>
    <row r="1061" customFormat="false" ht="15.75" hidden="false" customHeight="true" outlineLevel="0" collapsed="false">
      <c r="A1061" s="30" t="n">
        <v>45444</v>
      </c>
      <c r="B1061" s="31" t="s">
        <v>153</v>
      </c>
      <c r="C1061" s="32"/>
      <c r="D1061" s="32"/>
      <c r="E1061" s="19" t="n">
        <f aca="false">+F1061*0.03</f>
        <v>0</v>
      </c>
      <c r="F1061" s="33" t="n">
        <v>0</v>
      </c>
      <c r="G1061" s="62"/>
      <c r="H1061" s="35" t="n">
        <v>0</v>
      </c>
      <c r="I1061" s="34" t="n">
        <f aca="false">+IF(E1061=0,0,E1061*0.03)</f>
        <v>0</v>
      </c>
    </row>
    <row r="1062" customFormat="false" ht="15.75" hidden="false" customHeight="true" outlineLevel="0" collapsed="false">
      <c r="A1062" s="30" t="n">
        <v>45444</v>
      </c>
      <c r="B1062" s="31" t="s">
        <v>153</v>
      </c>
      <c r="C1062" s="32"/>
      <c r="D1062" s="32"/>
      <c r="E1062" s="19" t="n">
        <f aca="false">+F1062*0.03</f>
        <v>0</v>
      </c>
      <c r="F1062" s="33" t="n">
        <v>0</v>
      </c>
      <c r="G1062" s="62"/>
      <c r="H1062" s="35" t="n">
        <v>0</v>
      </c>
      <c r="I1062" s="34" t="n">
        <f aca="false">+IF(E1062=0,0,E1062*0.03)</f>
        <v>0</v>
      </c>
    </row>
    <row r="1063" customFormat="false" ht="15.75" hidden="false" customHeight="true" outlineLevel="0" collapsed="false">
      <c r="A1063" s="30" t="n">
        <v>45444</v>
      </c>
      <c r="B1063" s="31" t="s">
        <v>153</v>
      </c>
      <c r="C1063" s="32"/>
      <c r="D1063" s="32"/>
      <c r="E1063" s="19" t="n">
        <f aca="false">+F1063*0.03</f>
        <v>0</v>
      </c>
      <c r="F1063" s="33" t="n">
        <v>0</v>
      </c>
      <c r="G1063" s="62"/>
      <c r="H1063" s="35" t="n">
        <v>0</v>
      </c>
      <c r="I1063" s="34" t="n">
        <f aca="false">+IF(E1063=0,0,E1063*0.03)</f>
        <v>0</v>
      </c>
    </row>
    <row r="1064" customFormat="false" ht="15.75" hidden="false" customHeight="true" outlineLevel="0" collapsed="false">
      <c r="A1064" s="30" t="n">
        <v>45444</v>
      </c>
      <c r="B1064" s="31" t="s">
        <v>153</v>
      </c>
      <c r="C1064" s="32"/>
      <c r="D1064" s="32"/>
      <c r="E1064" s="19" t="n">
        <f aca="false">+F1064*0.03</f>
        <v>0</v>
      </c>
      <c r="F1064" s="33" t="n">
        <v>0</v>
      </c>
      <c r="G1064" s="62"/>
      <c r="H1064" s="35" t="n">
        <v>0</v>
      </c>
      <c r="I1064" s="34" t="n">
        <f aca="false">+IF(E1064=0,0,E1064*0.03)</f>
        <v>0</v>
      </c>
    </row>
    <row r="1065" customFormat="false" ht="15.75" hidden="false" customHeight="true" outlineLevel="0" collapsed="false">
      <c r="A1065" s="30" t="n">
        <v>45444</v>
      </c>
      <c r="B1065" s="31" t="s">
        <v>153</v>
      </c>
      <c r="C1065" s="32"/>
      <c r="D1065" s="32"/>
      <c r="E1065" s="19" t="n">
        <f aca="false">+F1065*0.03</f>
        <v>0</v>
      </c>
      <c r="F1065" s="33" t="n">
        <v>0</v>
      </c>
      <c r="G1065" s="62"/>
      <c r="H1065" s="35" t="n">
        <v>0</v>
      </c>
      <c r="I1065" s="34" t="n">
        <f aca="false">+IF(E1065=0,0,E1065*0.03)</f>
        <v>0</v>
      </c>
    </row>
    <row r="1066" customFormat="false" ht="15.75" hidden="false" customHeight="true" outlineLevel="0" collapsed="false">
      <c r="A1066" s="30" t="n">
        <v>45444</v>
      </c>
      <c r="B1066" s="31" t="s">
        <v>153</v>
      </c>
      <c r="C1066" s="32"/>
      <c r="D1066" s="32"/>
      <c r="E1066" s="19" t="n">
        <f aca="false">+F1066*0.03</f>
        <v>0</v>
      </c>
      <c r="F1066" s="33" t="n">
        <v>0</v>
      </c>
      <c r="G1066" s="62"/>
      <c r="H1066" s="35" t="n">
        <v>0</v>
      </c>
      <c r="I1066" s="34" t="n">
        <f aca="false">+IF(E1066=0,0,E1066*0.03)</f>
        <v>0</v>
      </c>
    </row>
    <row r="1067" customFormat="false" ht="15.75" hidden="false" customHeight="true" outlineLevel="0" collapsed="false">
      <c r="A1067" s="30" t="n">
        <v>45444</v>
      </c>
      <c r="B1067" s="31" t="s">
        <v>153</v>
      </c>
      <c r="C1067" s="32"/>
      <c r="D1067" s="32"/>
      <c r="E1067" s="19" t="n">
        <f aca="false">+F1067*0.03</f>
        <v>0</v>
      </c>
      <c r="F1067" s="33" t="n">
        <v>0</v>
      </c>
      <c r="G1067" s="62"/>
      <c r="H1067" s="35" t="n">
        <v>0</v>
      </c>
      <c r="I1067" s="34" t="n">
        <f aca="false">+IF(E1067=0,0,E1067*0.03)</f>
        <v>0</v>
      </c>
    </row>
    <row r="1068" customFormat="false" ht="15.75" hidden="false" customHeight="true" outlineLevel="0" collapsed="false">
      <c r="A1068" s="30" t="n">
        <v>45444</v>
      </c>
      <c r="B1068" s="31" t="s">
        <v>153</v>
      </c>
      <c r="C1068" s="32"/>
      <c r="D1068" s="32"/>
      <c r="E1068" s="19" t="n">
        <f aca="false">+F1068*0.03</f>
        <v>0</v>
      </c>
      <c r="F1068" s="33" t="n">
        <v>0</v>
      </c>
      <c r="G1068" s="62"/>
      <c r="H1068" s="35" t="n">
        <v>0</v>
      </c>
      <c r="I1068" s="34" t="n">
        <f aca="false">+IF(E1068=0,0,E1068*0.03)</f>
        <v>0</v>
      </c>
    </row>
    <row r="1069" customFormat="false" ht="15.75" hidden="false" customHeight="true" outlineLevel="0" collapsed="false">
      <c r="A1069" s="30" t="n">
        <v>45444</v>
      </c>
      <c r="B1069" s="31" t="s">
        <v>153</v>
      </c>
      <c r="C1069" s="32"/>
      <c r="D1069" s="32"/>
      <c r="E1069" s="19" t="n">
        <f aca="false">+F1069*0.03</f>
        <v>0</v>
      </c>
      <c r="F1069" s="33" t="n">
        <v>0</v>
      </c>
      <c r="G1069" s="62"/>
      <c r="H1069" s="35" t="n">
        <v>0</v>
      </c>
      <c r="I1069" s="34" t="n">
        <f aca="false">+IF(E1069=0,0,E1069*0.03)</f>
        <v>0</v>
      </c>
    </row>
    <row r="1070" customFormat="false" ht="15.75" hidden="false" customHeight="true" outlineLevel="0" collapsed="false">
      <c r="A1070" s="30" t="n">
        <v>45444</v>
      </c>
      <c r="B1070" s="31" t="s">
        <v>153</v>
      </c>
      <c r="C1070" s="32"/>
      <c r="D1070" s="32"/>
      <c r="E1070" s="19" t="n">
        <f aca="false">+F1070*0.03</f>
        <v>0</v>
      </c>
      <c r="F1070" s="33" t="n">
        <v>0</v>
      </c>
      <c r="G1070" s="62"/>
      <c r="H1070" s="35" t="n">
        <v>0</v>
      </c>
      <c r="I1070" s="34" t="n">
        <f aca="false">+IF(E1070=0,0,E1070*0.03)</f>
        <v>0</v>
      </c>
    </row>
    <row r="1071" customFormat="false" ht="15.75" hidden="false" customHeight="true" outlineLevel="0" collapsed="false">
      <c r="A1071" s="30" t="n">
        <v>45444</v>
      </c>
      <c r="B1071" s="31" t="s">
        <v>153</v>
      </c>
      <c r="C1071" s="32"/>
      <c r="D1071" s="32"/>
      <c r="E1071" s="19" t="n">
        <f aca="false">+F1071*0.03</f>
        <v>0</v>
      </c>
      <c r="F1071" s="33" t="n">
        <v>0</v>
      </c>
      <c r="G1071" s="62"/>
      <c r="H1071" s="35" t="n">
        <v>0</v>
      </c>
      <c r="I1071" s="34" t="n">
        <f aca="false">+IF(E1071=0,0,E1071*0.03)</f>
        <v>0</v>
      </c>
    </row>
    <row r="1072" customFormat="false" ht="15.75" hidden="false" customHeight="true" outlineLevel="0" collapsed="false">
      <c r="A1072" s="30" t="n">
        <v>45444</v>
      </c>
      <c r="B1072" s="31" t="s">
        <v>153</v>
      </c>
      <c r="C1072" s="32"/>
      <c r="D1072" s="32"/>
      <c r="E1072" s="19" t="n">
        <f aca="false">+F1072*0.03</f>
        <v>0</v>
      </c>
      <c r="F1072" s="33" t="n">
        <v>0</v>
      </c>
      <c r="G1072" s="62"/>
      <c r="H1072" s="35" t="n">
        <v>0</v>
      </c>
      <c r="I1072" s="34" t="n">
        <f aca="false">+IF(E1072=0,0,E1072*0.03)</f>
        <v>0</v>
      </c>
    </row>
    <row r="1073" customFormat="false" ht="15.75" hidden="false" customHeight="true" outlineLevel="0" collapsed="false">
      <c r="A1073" s="30" t="n">
        <v>45444</v>
      </c>
      <c r="B1073" s="31" t="s">
        <v>153</v>
      </c>
      <c r="C1073" s="32"/>
      <c r="D1073" s="32"/>
      <c r="E1073" s="19" t="n">
        <f aca="false">+F1073*0.03</f>
        <v>0</v>
      </c>
      <c r="F1073" s="33" t="n">
        <v>0</v>
      </c>
      <c r="G1073" s="62"/>
      <c r="H1073" s="35" t="n">
        <v>0</v>
      </c>
      <c r="I1073" s="34" t="n">
        <f aca="false">+IF(E1073=0,0,E1073*0.03)</f>
        <v>0</v>
      </c>
    </row>
    <row r="1074" customFormat="false" ht="15.75" hidden="false" customHeight="true" outlineLevel="0" collapsed="false">
      <c r="A1074" s="30" t="n">
        <v>45444</v>
      </c>
      <c r="B1074" s="31" t="s">
        <v>153</v>
      </c>
      <c r="C1074" s="32"/>
      <c r="D1074" s="32"/>
      <c r="E1074" s="19" t="n">
        <f aca="false">+F1074*0.03</f>
        <v>0</v>
      </c>
      <c r="F1074" s="33" t="n">
        <v>0</v>
      </c>
      <c r="G1074" s="62"/>
      <c r="H1074" s="35" t="n">
        <v>0</v>
      </c>
      <c r="I1074" s="34" t="n">
        <f aca="false">+IF(E1074=0,0,E1074*0.03)</f>
        <v>0</v>
      </c>
    </row>
    <row r="1075" customFormat="false" ht="15.75" hidden="false" customHeight="true" outlineLevel="0" collapsed="false">
      <c r="A1075" s="30" t="n">
        <v>45444</v>
      </c>
      <c r="B1075" s="31" t="s">
        <v>153</v>
      </c>
      <c r="C1075" s="32"/>
      <c r="D1075" s="32"/>
      <c r="E1075" s="19" t="n">
        <f aca="false">+F1075*0.03</f>
        <v>0</v>
      </c>
      <c r="F1075" s="33" t="n">
        <v>0</v>
      </c>
      <c r="G1075" s="62"/>
      <c r="H1075" s="35" t="n">
        <v>0</v>
      </c>
      <c r="I1075" s="34" t="n">
        <f aca="false">+IF(E1075=0,0,E1075*0.03)</f>
        <v>0</v>
      </c>
    </row>
    <row r="1076" customFormat="false" ht="15.75" hidden="false" customHeight="true" outlineLevel="0" collapsed="false">
      <c r="A1076" s="30" t="n">
        <v>45444</v>
      </c>
      <c r="B1076" s="31" t="s">
        <v>153</v>
      </c>
      <c r="C1076" s="32"/>
      <c r="D1076" s="32"/>
      <c r="E1076" s="19" t="n">
        <f aca="false">+F1076*0.03</f>
        <v>0</v>
      </c>
      <c r="F1076" s="33" t="n">
        <v>0</v>
      </c>
      <c r="G1076" s="62"/>
      <c r="H1076" s="35" t="n">
        <v>0</v>
      </c>
      <c r="I1076" s="34" t="n">
        <f aca="false">+IF(E1076=0,0,E1076*0.03)</f>
        <v>0</v>
      </c>
    </row>
    <row r="1077" customFormat="false" ht="15.75" hidden="false" customHeight="true" outlineLevel="0" collapsed="false">
      <c r="A1077" s="30" t="n">
        <v>45444</v>
      </c>
      <c r="B1077" s="31" t="s">
        <v>153</v>
      </c>
      <c r="C1077" s="32"/>
      <c r="D1077" s="32"/>
      <c r="E1077" s="19" t="n">
        <f aca="false">+F1077*0.03</f>
        <v>0</v>
      </c>
      <c r="F1077" s="33" t="n">
        <v>0</v>
      </c>
      <c r="G1077" s="62"/>
      <c r="H1077" s="35" t="n">
        <v>0</v>
      </c>
      <c r="I1077" s="34" t="n">
        <f aca="false">+IF(E1077=0,0,E1077*0.03)</f>
        <v>0</v>
      </c>
    </row>
    <row r="1078" customFormat="false" ht="15.75" hidden="false" customHeight="true" outlineLevel="0" collapsed="false">
      <c r="A1078" s="30" t="n">
        <v>45444</v>
      </c>
      <c r="B1078" s="31" t="s">
        <v>153</v>
      </c>
      <c r="C1078" s="32"/>
      <c r="D1078" s="32"/>
      <c r="E1078" s="19" t="n">
        <f aca="false">+F1078*0.03</f>
        <v>0</v>
      </c>
      <c r="F1078" s="33" t="n">
        <v>0</v>
      </c>
      <c r="G1078" s="62"/>
      <c r="H1078" s="35" t="n">
        <v>0</v>
      </c>
      <c r="I1078" s="34" t="n">
        <f aca="false">+IF(E1078=0,0,E1078*0.03)</f>
        <v>0</v>
      </c>
    </row>
    <row r="1079" customFormat="false" ht="15.75" hidden="false" customHeight="true" outlineLevel="0" collapsed="false">
      <c r="A1079" s="30" t="n">
        <v>45444</v>
      </c>
      <c r="B1079" s="31" t="s">
        <v>153</v>
      </c>
      <c r="C1079" s="32"/>
      <c r="D1079" s="32"/>
      <c r="E1079" s="19" t="n">
        <f aca="false">+F1079*0.03</f>
        <v>0</v>
      </c>
      <c r="F1079" s="33" t="n">
        <v>0</v>
      </c>
      <c r="G1079" s="62"/>
      <c r="H1079" s="35" t="n">
        <v>0</v>
      </c>
      <c r="I1079" s="34" t="n">
        <f aca="false">+IF(E1079=0,0,E1079*0.03)</f>
        <v>0</v>
      </c>
    </row>
    <row r="1080" customFormat="false" ht="15.75" hidden="false" customHeight="true" outlineLevel="0" collapsed="false">
      <c r="A1080" s="30" t="n">
        <v>45444</v>
      </c>
      <c r="B1080" s="31" t="s">
        <v>153</v>
      </c>
      <c r="C1080" s="32"/>
      <c r="D1080" s="32"/>
      <c r="E1080" s="19" t="n">
        <f aca="false">+F1080*0.03</f>
        <v>0</v>
      </c>
      <c r="F1080" s="33" t="n">
        <v>0</v>
      </c>
      <c r="G1080" s="62"/>
      <c r="H1080" s="35" t="n">
        <v>0</v>
      </c>
      <c r="I1080" s="34" t="n">
        <f aca="false">+IF(E1080=0,0,E1080*0.03)</f>
        <v>0</v>
      </c>
    </row>
    <row r="1081" customFormat="false" ht="15.75" hidden="false" customHeight="true" outlineLevel="0" collapsed="false">
      <c r="A1081" s="30" t="n">
        <v>45444</v>
      </c>
      <c r="B1081" s="31" t="s">
        <v>153</v>
      </c>
      <c r="C1081" s="32"/>
      <c r="D1081" s="32"/>
      <c r="E1081" s="19" t="n">
        <f aca="false">+F1081*0.03</f>
        <v>0</v>
      </c>
      <c r="F1081" s="33" t="n">
        <v>0</v>
      </c>
      <c r="G1081" s="62"/>
      <c r="H1081" s="35" t="n">
        <v>0</v>
      </c>
      <c r="I1081" s="34" t="n">
        <f aca="false">+IF(E1081=0,0,E1081*0.03)</f>
        <v>0</v>
      </c>
    </row>
    <row r="1082" customFormat="false" ht="15.75" hidden="false" customHeight="true" outlineLevel="0" collapsed="false">
      <c r="A1082" s="30" t="n">
        <v>45444</v>
      </c>
      <c r="B1082" s="31" t="s">
        <v>153</v>
      </c>
      <c r="C1082" s="32"/>
      <c r="D1082" s="32"/>
      <c r="E1082" s="19" t="n">
        <f aca="false">+F1082*0.03</f>
        <v>0</v>
      </c>
      <c r="F1082" s="33" t="n">
        <v>0</v>
      </c>
      <c r="G1082" s="62"/>
      <c r="H1082" s="35" t="n">
        <v>0</v>
      </c>
      <c r="I1082" s="34" t="n">
        <f aca="false">+IF(E1082=0,0,E1082*0.03)</f>
        <v>0</v>
      </c>
    </row>
    <row r="1083" customFormat="false" ht="15.75" hidden="false" customHeight="true" outlineLevel="0" collapsed="false">
      <c r="A1083" s="30" t="n">
        <v>45444</v>
      </c>
      <c r="B1083" s="31" t="s">
        <v>153</v>
      </c>
      <c r="C1083" s="32"/>
      <c r="D1083" s="32"/>
      <c r="E1083" s="19" t="n">
        <f aca="false">+F1083*0.03</f>
        <v>0</v>
      </c>
      <c r="F1083" s="33" t="n">
        <v>0</v>
      </c>
      <c r="G1083" s="62"/>
      <c r="H1083" s="35" t="n">
        <v>0</v>
      </c>
      <c r="I1083" s="34" t="n">
        <f aca="false">+IF(E1083=0,0,E1083*0.03)</f>
        <v>0</v>
      </c>
    </row>
    <row r="1084" customFormat="false" ht="15.75" hidden="false" customHeight="true" outlineLevel="0" collapsed="false">
      <c r="A1084" s="30" t="n">
        <v>45444</v>
      </c>
      <c r="B1084" s="31" t="s">
        <v>153</v>
      </c>
      <c r="C1084" s="32"/>
      <c r="D1084" s="32"/>
      <c r="E1084" s="19" t="n">
        <f aca="false">+F1084*0.03</f>
        <v>0</v>
      </c>
      <c r="F1084" s="33" t="n">
        <v>0</v>
      </c>
      <c r="G1084" s="62"/>
      <c r="H1084" s="35" t="n">
        <v>0</v>
      </c>
      <c r="I1084" s="34" t="n">
        <f aca="false">+IF(E1084=0,0,E1084*0.03)</f>
        <v>0</v>
      </c>
    </row>
    <row r="1085" customFormat="false" ht="15.75" hidden="false" customHeight="true" outlineLevel="0" collapsed="false">
      <c r="A1085" s="30" t="n">
        <v>45444</v>
      </c>
      <c r="B1085" s="31" t="s">
        <v>153</v>
      </c>
      <c r="C1085" s="32"/>
      <c r="D1085" s="32"/>
      <c r="E1085" s="19" t="n">
        <f aca="false">+F1085*0.03</f>
        <v>0</v>
      </c>
      <c r="F1085" s="33" t="n">
        <v>0</v>
      </c>
      <c r="G1085" s="62"/>
      <c r="H1085" s="35" t="n">
        <v>0</v>
      </c>
      <c r="I1085" s="34" t="n">
        <f aca="false">+IF(E1085=0,0,E1085*0.03)</f>
        <v>0</v>
      </c>
    </row>
    <row r="1086" customFormat="false" ht="15.75" hidden="false" customHeight="true" outlineLevel="0" collapsed="false">
      <c r="A1086" s="30" t="n">
        <v>45444</v>
      </c>
      <c r="B1086" s="31" t="s">
        <v>153</v>
      </c>
      <c r="C1086" s="32"/>
      <c r="D1086" s="32"/>
      <c r="E1086" s="19" t="n">
        <f aca="false">+F1086*0.03</f>
        <v>0</v>
      </c>
      <c r="F1086" s="33" t="n">
        <v>0</v>
      </c>
      <c r="G1086" s="62"/>
      <c r="H1086" s="35" t="n">
        <v>0</v>
      </c>
      <c r="I1086" s="34" t="n">
        <f aca="false">+IF(E1086=0,0,E1086*0.03)</f>
        <v>0</v>
      </c>
    </row>
    <row r="1087" customFormat="false" ht="15.75" hidden="false" customHeight="true" outlineLevel="0" collapsed="false">
      <c r="A1087" s="30" t="n">
        <v>45444</v>
      </c>
      <c r="B1087" s="31" t="s">
        <v>153</v>
      </c>
      <c r="C1087" s="32"/>
      <c r="D1087" s="32"/>
      <c r="E1087" s="19" t="n">
        <f aca="false">+F1087*0.03</f>
        <v>0</v>
      </c>
      <c r="F1087" s="33" t="n">
        <v>0</v>
      </c>
      <c r="G1087" s="62"/>
      <c r="H1087" s="35" t="n">
        <v>0</v>
      </c>
      <c r="I1087" s="34" t="n">
        <f aca="false">+IF(E1087=0,0,E1087*0.03)</f>
        <v>0</v>
      </c>
    </row>
    <row r="1088" customFormat="false" ht="15.75" hidden="false" customHeight="true" outlineLevel="0" collapsed="false">
      <c r="A1088" s="30" t="n">
        <v>45444</v>
      </c>
      <c r="B1088" s="31" t="s">
        <v>153</v>
      </c>
      <c r="C1088" s="32"/>
      <c r="D1088" s="32"/>
      <c r="E1088" s="19" t="n">
        <f aca="false">+F1088*0.03</f>
        <v>0</v>
      </c>
      <c r="F1088" s="33" t="n">
        <v>0</v>
      </c>
      <c r="G1088" s="62"/>
      <c r="H1088" s="35" t="n">
        <v>0</v>
      </c>
      <c r="I1088" s="34" t="n">
        <f aca="false">+IF(E1088=0,0,E1088*0.03)</f>
        <v>0</v>
      </c>
    </row>
    <row r="1089" customFormat="false" ht="15.75" hidden="false" customHeight="true" outlineLevel="0" collapsed="false">
      <c r="A1089" s="30" t="n">
        <v>45444</v>
      </c>
      <c r="B1089" s="31" t="s">
        <v>153</v>
      </c>
      <c r="C1089" s="32"/>
      <c r="D1089" s="32"/>
      <c r="E1089" s="19" t="n">
        <f aca="false">+F1089*0.03</f>
        <v>0</v>
      </c>
      <c r="F1089" s="33" t="n">
        <v>0</v>
      </c>
      <c r="G1089" s="62"/>
      <c r="H1089" s="35" t="n">
        <v>0</v>
      </c>
      <c r="I1089" s="34" t="n">
        <f aca="false">+IF(E1089=0,0,E1089*0.03)</f>
        <v>0</v>
      </c>
    </row>
    <row r="1090" customFormat="false" ht="15.75" hidden="false" customHeight="true" outlineLevel="0" collapsed="false">
      <c r="A1090" s="30" t="n">
        <v>45444</v>
      </c>
      <c r="B1090" s="31" t="s">
        <v>153</v>
      </c>
      <c r="C1090" s="32"/>
      <c r="D1090" s="32"/>
      <c r="E1090" s="19" t="n">
        <f aca="false">+F1090*0.03</f>
        <v>0</v>
      </c>
      <c r="F1090" s="33" t="n">
        <v>0</v>
      </c>
      <c r="G1090" s="62"/>
      <c r="H1090" s="35" t="n">
        <v>0</v>
      </c>
      <c r="I1090" s="34" t="n">
        <f aca="false">+IF(E1090=0,0,E1090*0.03)</f>
        <v>0</v>
      </c>
    </row>
    <row r="1091" customFormat="false" ht="15.75" hidden="false" customHeight="true" outlineLevel="0" collapsed="false">
      <c r="A1091" s="30" t="n">
        <v>45444</v>
      </c>
      <c r="B1091" s="31" t="s">
        <v>153</v>
      </c>
      <c r="C1091" s="32"/>
      <c r="D1091" s="32"/>
      <c r="E1091" s="19" t="n">
        <f aca="false">+F1091*0.03</f>
        <v>0</v>
      </c>
      <c r="F1091" s="33" t="n">
        <v>0</v>
      </c>
      <c r="G1091" s="62"/>
      <c r="H1091" s="35" t="n">
        <v>0</v>
      </c>
      <c r="I1091" s="34" t="n">
        <f aca="false">+IF(E1091=0,0,E1091*0.03)</f>
        <v>0</v>
      </c>
    </row>
    <row r="1092" customFormat="false" ht="15.75" hidden="false" customHeight="true" outlineLevel="0" collapsed="false">
      <c r="A1092" s="30" t="n">
        <v>45444</v>
      </c>
      <c r="B1092" s="31" t="s">
        <v>153</v>
      </c>
      <c r="C1092" s="32"/>
      <c r="D1092" s="32"/>
      <c r="E1092" s="19" t="n">
        <f aca="false">+F1092*0.03</f>
        <v>0</v>
      </c>
      <c r="F1092" s="33" t="n">
        <v>0</v>
      </c>
      <c r="G1092" s="62"/>
      <c r="H1092" s="35" t="n">
        <v>0</v>
      </c>
      <c r="I1092" s="34" t="n">
        <f aca="false">+IF(E1092=0,0,E1092*0.03)</f>
        <v>0</v>
      </c>
    </row>
    <row r="1093" customFormat="false" ht="15.75" hidden="false" customHeight="true" outlineLevel="0" collapsed="false">
      <c r="A1093" s="30" t="n">
        <v>45444</v>
      </c>
      <c r="B1093" s="31" t="s">
        <v>153</v>
      </c>
      <c r="C1093" s="32"/>
      <c r="D1093" s="32"/>
      <c r="E1093" s="19" t="n">
        <f aca="false">+F1093*0.03</f>
        <v>0</v>
      </c>
      <c r="F1093" s="33" t="n">
        <v>0</v>
      </c>
      <c r="G1093" s="62"/>
      <c r="H1093" s="35" t="n">
        <v>0</v>
      </c>
      <c r="I1093" s="34" t="n">
        <f aca="false">+IF(E1093=0,0,E1093*0.03)</f>
        <v>0</v>
      </c>
    </row>
    <row r="1094" customFormat="false" ht="15.75" hidden="false" customHeight="true" outlineLevel="0" collapsed="false">
      <c r="A1094" s="30" t="n">
        <v>45444</v>
      </c>
      <c r="B1094" s="31" t="s">
        <v>153</v>
      </c>
      <c r="C1094" s="32"/>
      <c r="D1094" s="32"/>
      <c r="E1094" s="19" t="n">
        <f aca="false">+F1094*0.03</f>
        <v>0</v>
      </c>
      <c r="F1094" s="33" t="n">
        <v>0</v>
      </c>
      <c r="G1094" s="62"/>
      <c r="H1094" s="35" t="n">
        <v>0</v>
      </c>
      <c r="I1094" s="34" t="n">
        <f aca="false">+IF(E1094=0,0,E1094*0.03)</f>
        <v>0</v>
      </c>
    </row>
    <row r="1095" customFormat="false" ht="15.75" hidden="false" customHeight="true" outlineLevel="0" collapsed="false">
      <c r="A1095" s="30" t="n">
        <v>45444</v>
      </c>
      <c r="B1095" s="31" t="s">
        <v>153</v>
      </c>
      <c r="C1095" s="32"/>
      <c r="D1095" s="32"/>
      <c r="E1095" s="19" t="n">
        <f aca="false">+F1095*0.03</f>
        <v>0</v>
      </c>
      <c r="F1095" s="33" t="n">
        <v>0</v>
      </c>
      <c r="G1095" s="62"/>
      <c r="H1095" s="35" t="n">
        <v>0</v>
      </c>
      <c r="I1095" s="34" t="n">
        <f aca="false">+IF(E1095=0,0,E1095*0.03)</f>
        <v>0</v>
      </c>
    </row>
    <row r="1096" customFormat="false" ht="15.75" hidden="false" customHeight="true" outlineLevel="0" collapsed="false">
      <c r="A1096" s="30" t="n">
        <v>45444</v>
      </c>
      <c r="B1096" s="31" t="s">
        <v>153</v>
      </c>
      <c r="C1096" s="32"/>
      <c r="D1096" s="32"/>
      <c r="E1096" s="19" t="n">
        <f aca="false">+F1096*0.03</f>
        <v>0</v>
      </c>
      <c r="F1096" s="33" t="n">
        <v>0</v>
      </c>
      <c r="G1096" s="62"/>
      <c r="H1096" s="35" t="n">
        <v>0</v>
      </c>
      <c r="I1096" s="34" t="n">
        <f aca="false">+IF(E1096=0,0,E1096*0.03)</f>
        <v>0</v>
      </c>
    </row>
    <row r="1097" customFormat="false" ht="15.75" hidden="false" customHeight="true" outlineLevel="0" collapsed="false">
      <c r="A1097" s="30" t="n">
        <v>45444</v>
      </c>
      <c r="B1097" s="31" t="s">
        <v>153</v>
      </c>
      <c r="C1097" s="32"/>
      <c r="D1097" s="32"/>
      <c r="E1097" s="19" t="n">
        <f aca="false">+F1097*0.03</f>
        <v>0</v>
      </c>
      <c r="F1097" s="33" t="n">
        <v>0</v>
      </c>
      <c r="G1097" s="62"/>
      <c r="H1097" s="35" t="n">
        <v>0</v>
      </c>
      <c r="I1097" s="34" t="n">
        <f aca="false">+IF(E1097=0,0,E1097*0.03)</f>
        <v>0</v>
      </c>
    </row>
    <row r="1098" customFormat="false" ht="15.75" hidden="false" customHeight="true" outlineLevel="0" collapsed="false">
      <c r="A1098" s="30" t="n">
        <v>45444</v>
      </c>
      <c r="B1098" s="31" t="s">
        <v>153</v>
      </c>
      <c r="C1098" s="32"/>
      <c r="D1098" s="32"/>
      <c r="E1098" s="19" t="n">
        <f aca="false">+F1098*0.03</f>
        <v>0</v>
      </c>
      <c r="F1098" s="33" t="n">
        <v>0</v>
      </c>
      <c r="G1098" s="62"/>
      <c r="H1098" s="35" t="n">
        <v>0</v>
      </c>
      <c r="I1098" s="34" t="n">
        <f aca="false">+IF(E1098=0,0,E1098*0.03)</f>
        <v>0</v>
      </c>
    </row>
    <row r="1099" customFormat="false" ht="15.75" hidden="false" customHeight="true" outlineLevel="0" collapsed="false">
      <c r="A1099" s="30" t="n">
        <v>45444</v>
      </c>
      <c r="B1099" s="31" t="s">
        <v>153</v>
      </c>
      <c r="C1099" s="32"/>
      <c r="D1099" s="32"/>
      <c r="E1099" s="19" t="n">
        <f aca="false">+F1099*0.03</f>
        <v>0</v>
      </c>
      <c r="F1099" s="33" t="n">
        <v>0</v>
      </c>
      <c r="G1099" s="62"/>
      <c r="H1099" s="35" t="n">
        <v>0</v>
      </c>
      <c r="I1099" s="34" t="n">
        <f aca="false">+IF(E1099=0,0,E1099*0.03)</f>
        <v>0</v>
      </c>
    </row>
    <row r="1100" customFormat="false" ht="15.75" hidden="false" customHeight="true" outlineLevel="0" collapsed="false">
      <c r="A1100" s="30" t="n">
        <v>45444</v>
      </c>
      <c r="B1100" s="31" t="s">
        <v>153</v>
      </c>
      <c r="C1100" s="32"/>
      <c r="D1100" s="32"/>
      <c r="E1100" s="19" t="n">
        <f aca="false">+F1100*0.03</f>
        <v>0</v>
      </c>
      <c r="F1100" s="33" t="n">
        <v>0</v>
      </c>
      <c r="G1100" s="62"/>
      <c r="H1100" s="35" t="n">
        <v>0</v>
      </c>
      <c r="I1100" s="34" t="n">
        <f aca="false">+IF(E1100=0,0,E1100*0.03)</f>
        <v>0</v>
      </c>
    </row>
    <row r="1101" customFormat="false" ht="15.75" hidden="false" customHeight="true" outlineLevel="0" collapsed="false">
      <c r="A1101" s="30" t="n">
        <v>45444</v>
      </c>
      <c r="B1101" s="31" t="s">
        <v>153</v>
      </c>
      <c r="C1101" s="32"/>
      <c r="D1101" s="32"/>
      <c r="E1101" s="19" t="n">
        <f aca="false">+F1101*0.03</f>
        <v>0</v>
      </c>
      <c r="F1101" s="33" t="n">
        <v>0</v>
      </c>
      <c r="G1101" s="62"/>
      <c r="H1101" s="35" t="n">
        <v>0</v>
      </c>
      <c r="I1101" s="34" t="n">
        <f aca="false">+IF(E1101=0,0,E1101*0.03)</f>
        <v>0</v>
      </c>
    </row>
    <row r="1102" customFormat="false" ht="15.75" hidden="false" customHeight="true" outlineLevel="0" collapsed="false">
      <c r="A1102" s="30" t="n">
        <v>45444</v>
      </c>
      <c r="B1102" s="31" t="s">
        <v>153</v>
      </c>
      <c r="C1102" s="32"/>
      <c r="D1102" s="32"/>
      <c r="E1102" s="19" t="n">
        <f aca="false">+F1102*0.03</f>
        <v>0</v>
      </c>
      <c r="F1102" s="33" t="n">
        <v>0</v>
      </c>
      <c r="G1102" s="62"/>
      <c r="H1102" s="35" t="n">
        <v>0</v>
      </c>
      <c r="I1102" s="34" t="n">
        <f aca="false">+IF(E1102=0,0,E1102*0.03)</f>
        <v>0</v>
      </c>
    </row>
    <row r="1103" customFormat="false" ht="15.75" hidden="false" customHeight="true" outlineLevel="0" collapsed="false">
      <c r="A1103" s="30" t="n">
        <v>45444</v>
      </c>
      <c r="B1103" s="31" t="s">
        <v>153</v>
      </c>
      <c r="C1103" s="32"/>
      <c r="D1103" s="32"/>
      <c r="E1103" s="19" t="n">
        <f aca="false">+F1103*0.03</f>
        <v>0</v>
      </c>
      <c r="F1103" s="33" t="n">
        <v>0</v>
      </c>
      <c r="G1103" s="62"/>
      <c r="H1103" s="35" t="n">
        <v>0</v>
      </c>
      <c r="I1103" s="34" t="n">
        <f aca="false">+IF(E1103=0,0,E1103*0.03)</f>
        <v>0</v>
      </c>
    </row>
    <row r="1104" customFormat="false" ht="15.75" hidden="false" customHeight="true" outlineLevel="0" collapsed="false">
      <c r="A1104" s="30" t="n">
        <v>45444</v>
      </c>
      <c r="B1104" s="31" t="s">
        <v>153</v>
      </c>
      <c r="C1104" s="32"/>
      <c r="D1104" s="32"/>
      <c r="E1104" s="19" t="n">
        <f aca="false">+F1104*0.03</f>
        <v>0</v>
      </c>
      <c r="F1104" s="33" t="n">
        <v>0</v>
      </c>
      <c r="G1104" s="62"/>
      <c r="H1104" s="35" t="n">
        <v>0</v>
      </c>
      <c r="I1104" s="34" t="n">
        <f aca="false">+IF(E1104=0,0,E1104*0.03)</f>
        <v>0</v>
      </c>
    </row>
    <row r="1105" customFormat="false" ht="15.75" hidden="false" customHeight="true" outlineLevel="0" collapsed="false">
      <c r="A1105" s="30" t="n">
        <v>45444</v>
      </c>
      <c r="B1105" s="31" t="s">
        <v>153</v>
      </c>
      <c r="C1105" s="32"/>
      <c r="D1105" s="32"/>
      <c r="E1105" s="19" t="n">
        <f aca="false">+F1105*0.03</f>
        <v>0</v>
      </c>
      <c r="F1105" s="33" t="n">
        <v>0</v>
      </c>
      <c r="G1105" s="62"/>
      <c r="H1105" s="35" t="n">
        <v>0</v>
      </c>
      <c r="I1105" s="34" t="n">
        <f aca="false">+IF(E1105=0,0,E1105*0.03)</f>
        <v>0</v>
      </c>
    </row>
    <row r="1106" customFormat="false" ht="15.75" hidden="false" customHeight="true" outlineLevel="0" collapsed="false">
      <c r="A1106" s="30" t="n">
        <v>45444</v>
      </c>
      <c r="B1106" s="31" t="s">
        <v>153</v>
      </c>
      <c r="C1106" s="32"/>
      <c r="D1106" s="32"/>
      <c r="E1106" s="19" t="n">
        <f aca="false">+F1106*0.03</f>
        <v>0</v>
      </c>
      <c r="F1106" s="33" t="n">
        <v>0</v>
      </c>
      <c r="G1106" s="62"/>
      <c r="H1106" s="35" t="n">
        <v>0</v>
      </c>
      <c r="I1106" s="34" t="n">
        <f aca="false">+IF(E1106=0,0,E1106*0.03)</f>
        <v>0</v>
      </c>
    </row>
    <row r="1107" customFormat="false" ht="15.75" hidden="false" customHeight="true" outlineLevel="0" collapsed="false">
      <c r="A1107" s="30" t="n">
        <v>45444</v>
      </c>
      <c r="B1107" s="31" t="s">
        <v>153</v>
      </c>
      <c r="C1107" s="32"/>
      <c r="D1107" s="32"/>
      <c r="E1107" s="19" t="n">
        <f aca="false">+F1107*0.03</f>
        <v>0</v>
      </c>
      <c r="F1107" s="33" t="n">
        <v>0</v>
      </c>
      <c r="G1107" s="62"/>
      <c r="H1107" s="35" t="n">
        <v>0</v>
      </c>
      <c r="I1107" s="34" t="n">
        <f aca="false">+IF(E1107=0,0,E1107*0.03)</f>
        <v>0</v>
      </c>
    </row>
    <row r="1108" customFormat="false" ht="15.75" hidden="false" customHeight="true" outlineLevel="0" collapsed="false">
      <c r="A1108" s="30" t="n">
        <v>45444</v>
      </c>
      <c r="B1108" s="31" t="s">
        <v>153</v>
      </c>
      <c r="C1108" s="32"/>
      <c r="D1108" s="32"/>
      <c r="E1108" s="19" t="n">
        <f aca="false">+F1108*0.03</f>
        <v>0</v>
      </c>
      <c r="F1108" s="33" t="n">
        <v>0</v>
      </c>
      <c r="G1108" s="62"/>
      <c r="H1108" s="35" t="n">
        <v>0</v>
      </c>
      <c r="I1108" s="34" t="n">
        <f aca="false">+IF(E1108=0,0,E1108*0.03)</f>
        <v>0</v>
      </c>
    </row>
    <row r="1109" customFormat="false" ht="15.75" hidden="false" customHeight="true" outlineLevel="0" collapsed="false">
      <c r="A1109" s="30" t="n">
        <v>45444</v>
      </c>
      <c r="B1109" s="31" t="s">
        <v>153</v>
      </c>
      <c r="C1109" s="32"/>
      <c r="D1109" s="32"/>
      <c r="E1109" s="19" t="n">
        <f aca="false">+F1109*0.03</f>
        <v>0</v>
      </c>
      <c r="F1109" s="33" t="n">
        <v>0</v>
      </c>
      <c r="G1109" s="62"/>
      <c r="H1109" s="35" t="n">
        <v>0</v>
      </c>
      <c r="I1109" s="34" t="n">
        <f aca="false">+IF(E1109=0,0,E1109*0.03)</f>
        <v>0</v>
      </c>
    </row>
    <row r="1110" customFormat="false" ht="15.75" hidden="false" customHeight="true" outlineLevel="0" collapsed="false">
      <c r="A1110" s="30" t="n">
        <v>45444</v>
      </c>
      <c r="B1110" s="31" t="s">
        <v>153</v>
      </c>
      <c r="C1110" s="32"/>
      <c r="D1110" s="32"/>
      <c r="E1110" s="19" t="n">
        <f aca="false">+F1110*0.03</f>
        <v>0</v>
      </c>
      <c r="F1110" s="33" t="n">
        <v>0</v>
      </c>
      <c r="G1110" s="62"/>
      <c r="H1110" s="35" t="n">
        <v>0</v>
      </c>
      <c r="I1110" s="34" t="n">
        <f aca="false">+IF(E1110=0,0,E1110*0.03)</f>
        <v>0</v>
      </c>
    </row>
    <row r="1111" customFormat="false" ht="15.75" hidden="false" customHeight="true" outlineLevel="0" collapsed="false">
      <c r="A1111" s="30" t="n">
        <v>45444</v>
      </c>
      <c r="B1111" s="31" t="s">
        <v>153</v>
      </c>
      <c r="C1111" s="32"/>
      <c r="D1111" s="32"/>
      <c r="E1111" s="19" t="n">
        <f aca="false">+F1111*0.03</f>
        <v>0</v>
      </c>
      <c r="F1111" s="33" t="n">
        <v>0</v>
      </c>
      <c r="G1111" s="62"/>
      <c r="H1111" s="35" t="n">
        <v>0</v>
      </c>
      <c r="I1111" s="34" t="n">
        <f aca="false">+IF(E1111=0,0,E1111*0.03)</f>
        <v>0</v>
      </c>
    </row>
    <row r="1112" customFormat="false" ht="15.75" hidden="false" customHeight="true" outlineLevel="0" collapsed="false">
      <c r="A1112" s="30" t="n">
        <v>45444</v>
      </c>
      <c r="B1112" s="31" t="s">
        <v>153</v>
      </c>
      <c r="C1112" s="32"/>
      <c r="D1112" s="32"/>
      <c r="E1112" s="19" t="n">
        <f aca="false">+F1112*0.03</f>
        <v>0</v>
      </c>
      <c r="F1112" s="33" t="n">
        <v>0</v>
      </c>
      <c r="G1112" s="62"/>
      <c r="H1112" s="35" t="n">
        <v>0</v>
      </c>
      <c r="I1112" s="34" t="n">
        <f aca="false">+IF(E1112=0,0,E1112*0.03)</f>
        <v>0</v>
      </c>
    </row>
    <row r="1113" customFormat="false" ht="15.75" hidden="false" customHeight="true" outlineLevel="0" collapsed="false">
      <c r="A1113" s="30" t="n">
        <v>45444</v>
      </c>
      <c r="B1113" s="31" t="s">
        <v>153</v>
      </c>
      <c r="C1113" s="32"/>
      <c r="D1113" s="32"/>
      <c r="E1113" s="19" t="n">
        <f aca="false">+F1113*0.03</f>
        <v>0</v>
      </c>
      <c r="F1113" s="33" t="n">
        <v>0</v>
      </c>
      <c r="G1113" s="62"/>
      <c r="H1113" s="35" t="n">
        <v>0</v>
      </c>
      <c r="I1113" s="34" t="n">
        <f aca="false">+IF(E1113=0,0,E1113*0.03)</f>
        <v>0</v>
      </c>
    </row>
    <row r="1114" customFormat="false" ht="15.75" hidden="false" customHeight="true" outlineLevel="0" collapsed="false">
      <c r="A1114" s="30" t="n">
        <v>45444</v>
      </c>
      <c r="B1114" s="31" t="s">
        <v>153</v>
      </c>
      <c r="C1114" s="32"/>
      <c r="D1114" s="32"/>
      <c r="E1114" s="19" t="n">
        <f aca="false">+F1114*0.03</f>
        <v>0</v>
      </c>
      <c r="F1114" s="33" t="n">
        <v>0</v>
      </c>
      <c r="G1114" s="62"/>
      <c r="H1114" s="35" t="n">
        <v>0</v>
      </c>
      <c r="I1114" s="34" t="n">
        <f aca="false">+IF(E1114=0,0,E1114*0.03)</f>
        <v>0</v>
      </c>
    </row>
    <row r="1115" customFormat="false" ht="15.75" hidden="false" customHeight="true" outlineLevel="0" collapsed="false">
      <c r="A1115" s="30" t="n">
        <v>45444</v>
      </c>
      <c r="B1115" s="31" t="s">
        <v>153</v>
      </c>
      <c r="C1115" s="32"/>
      <c r="D1115" s="32"/>
      <c r="E1115" s="19" t="n">
        <f aca="false">+F1115*0.03</f>
        <v>0</v>
      </c>
      <c r="F1115" s="33" t="n">
        <v>0</v>
      </c>
      <c r="G1115" s="62"/>
      <c r="H1115" s="35" t="n">
        <v>0</v>
      </c>
      <c r="I1115" s="34" t="n">
        <f aca="false">+IF(E1115=0,0,E1115*0.03)</f>
        <v>0</v>
      </c>
    </row>
    <row r="1116" customFormat="false" ht="15.75" hidden="false" customHeight="true" outlineLevel="0" collapsed="false">
      <c r="A1116" s="30" t="n">
        <v>45444</v>
      </c>
      <c r="B1116" s="31" t="s">
        <v>153</v>
      </c>
      <c r="C1116" s="32"/>
      <c r="D1116" s="32"/>
      <c r="E1116" s="19" t="n">
        <f aca="false">+F1116*0.03</f>
        <v>0</v>
      </c>
      <c r="F1116" s="33" t="n">
        <v>0</v>
      </c>
      <c r="G1116" s="62"/>
      <c r="H1116" s="35" t="n">
        <v>0</v>
      </c>
      <c r="I1116" s="34" t="n">
        <f aca="false">+IF(E1116=0,0,E1116*0.03)</f>
        <v>0</v>
      </c>
    </row>
    <row r="1117" customFormat="false" ht="15.75" hidden="false" customHeight="true" outlineLevel="0" collapsed="false">
      <c r="A1117" s="30" t="n">
        <v>45444</v>
      </c>
      <c r="B1117" s="31" t="s">
        <v>153</v>
      </c>
      <c r="C1117" s="32"/>
      <c r="D1117" s="32"/>
      <c r="E1117" s="19" t="n">
        <f aca="false">+F1117*0.03</f>
        <v>0</v>
      </c>
      <c r="F1117" s="33" t="n">
        <v>0</v>
      </c>
      <c r="G1117" s="62"/>
      <c r="H1117" s="35" t="n">
        <v>0</v>
      </c>
      <c r="I1117" s="34" t="n">
        <f aca="false">+IF(E1117=0,0,E1117*0.03)</f>
        <v>0</v>
      </c>
    </row>
    <row r="1118" customFormat="false" ht="15.75" hidden="false" customHeight="true" outlineLevel="0" collapsed="false">
      <c r="A1118" s="30" t="n">
        <v>45444</v>
      </c>
      <c r="B1118" s="31" t="s">
        <v>153</v>
      </c>
      <c r="C1118" s="32"/>
      <c r="D1118" s="32"/>
      <c r="E1118" s="19" t="n">
        <f aca="false">+F1118*0.03</f>
        <v>0</v>
      </c>
      <c r="F1118" s="33" t="n">
        <v>0</v>
      </c>
      <c r="G1118" s="62"/>
      <c r="H1118" s="35" t="n">
        <v>0</v>
      </c>
      <c r="I1118" s="34" t="n">
        <f aca="false">+IF(E1118=0,0,E1118*0.03)</f>
        <v>0</v>
      </c>
    </row>
    <row r="1119" customFormat="false" ht="15.75" hidden="false" customHeight="true" outlineLevel="0" collapsed="false">
      <c r="A1119" s="30" t="n">
        <v>45444</v>
      </c>
      <c r="B1119" s="31" t="s">
        <v>153</v>
      </c>
      <c r="C1119" s="32"/>
      <c r="D1119" s="32"/>
      <c r="E1119" s="19" t="n">
        <f aca="false">+F1119*0.03</f>
        <v>0</v>
      </c>
      <c r="F1119" s="33" t="n">
        <v>0</v>
      </c>
      <c r="G1119" s="62"/>
      <c r="H1119" s="35" t="n">
        <v>0</v>
      </c>
      <c r="I1119" s="34" t="n">
        <f aca="false">+IF(E1119=0,0,E1119*0.03)</f>
        <v>0</v>
      </c>
    </row>
    <row r="1120" customFormat="false" ht="15.75" hidden="false" customHeight="true" outlineLevel="0" collapsed="false">
      <c r="A1120" s="30" t="n">
        <v>45444</v>
      </c>
      <c r="B1120" s="31" t="s">
        <v>153</v>
      </c>
      <c r="C1120" s="32"/>
      <c r="D1120" s="32"/>
      <c r="E1120" s="19" t="n">
        <f aca="false">+F1120*0.03</f>
        <v>0</v>
      </c>
      <c r="F1120" s="33" t="n">
        <v>0</v>
      </c>
      <c r="G1120" s="62"/>
      <c r="H1120" s="35" t="n">
        <v>0</v>
      </c>
      <c r="I1120" s="34" t="n">
        <f aca="false">+IF(E1120=0,0,E1120*0.03)</f>
        <v>0</v>
      </c>
    </row>
    <row r="1121" customFormat="false" ht="15.75" hidden="false" customHeight="true" outlineLevel="0" collapsed="false">
      <c r="A1121" s="30" t="n">
        <v>45444</v>
      </c>
      <c r="B1121" s="31" t="s">
        <v>153</v>
      </c>
      <c r="C1121" s="32"/>
      <c r="D1121" s="32"/>
      <c r="E1121" s="19" t="n">
        <f aca="false">+F1121*0.03</f>
        <v>0</v>
      </c>
      <c r="F1121" s="33" t="n">
        <v>0</v>
      </c>
      <c r="G1121" s="62"/>
      <c r="H1121" s="35" t="n">
        <v>0</v>
      </c>
      <c r="I1121" s="34" t="n">
        <f aca="false">+IF(E1121=0,0,E1121*0.03)</f>
        <v>0</v>
      </c>
    </row>
    <row r="1122" customFormat="false" ht="15.75" hidden="false" customHeight="true" outlineLevel="0" collapsed="false">
      <c r="A1122" s="30" t="n">
        <v>45444</v>
      </c>
      <c r="B1122" s="31" t="s">
        <v>153</v>
      </c>
      <c r="C1122" s="32"/>
      <c r="D1122" s="32"/>
      <c r="E1122" s="19" t="n">
        <f aca="false">+F1122*0.03</f>
        <v>0</v>
      </c>
      <c r="F1122" s="33" t="n">
        <v>0</v>
      </c>
      <c r="G1122" s="62"/>
      <c r="H1122" s="35" t="n">
        <v>0</v>
      </c>
      <c r="I1122" s="34" t="n">
        <f aca="false">+IF(E1122=0,0,E1122*0.03)</f>
        <v>0</v>
      </c>
    </row>
    <row r="1123" customFormat="false" ht="15.75" hidden="false" customHeight="true" outlineLevel="0" collapsed="false">
      <c r="A1123" s="30" t="n">
        <v>45444</v>
      </c>
      <c r="B1123" s="31" t="s">
        <v>153</v>
      </c>
      <c r="C1123" s="32"/>
      <c r="D1123" s="32"/>
      <c r="E1123" s="19" t="n">
        <f aca="false">+F1123*0.03</f>
        <v>0</v>
      </c>
      <c r="F1123" s="33" t="n">
        <v>0</v>
      </c>
      <c r="G1123" s="62"/>
      <c r="H1123" s="35" t="n">
        <v>0</v>
      </c>
      <c r="I1123" s="34" t="n">
        <f aca="false">+IF(E1123=0,0,E1123*0.03)</f>
        <v>0</v>
      </c>
    </row>
    <row r="1124" customFormat="false" ht="15.75" hidden="false" customHeight="true" outlineLevel="0" collapsed="false">
      <c r="A1124" s="30" t="n">
        <v>45444</v>
      </c>
      <c r="B1124" s="31" t="s">
        <v>153</v>
      </c>
      <c r="C1124" s="32"/>
      <c r="D1124" s="32"/>
      <c r="E1124" s="19" t="n">
        <f aca="false">+F1124*0.03</f>
        <v>0</v>
      </c>
      <c r="F1124" s="33" t="n">
        <v>0</v>
      </c>
      <c r="G1124" s="62"/>
      <c r="H1124" s="35" t="n">
        <v>0</v>
      </c>
      <c r="I1124" s="34" t="n">
        <f aca="false">+IF(E1124=0,0,E1124*0.03)</f>
        <v>0</v>
      </c>
    </row>
    <row r="1125" customFormat="false" ht="15.75" hidden="false" customHeight="true" outlineLevel="0" collapsed="false">
      <c r="A1125" s="30" t="n">
        <v>45444</v>
      </c>
      <c r="B1125" s="31" t="s">
        <v>153</v>
      </c>
      <c r="C1125" s="32"/>
      <c r="D1125" s="32"/>
      <c r="E1125" s="19" t="n">
        <f aca="false">+F1125*0.03</f>
        <v>0</v>
      </c>
      <c r="F1125" s="33" t="n">
        <v>0</v>
      </c>
      <c r="G1125" s="62"/>
      <c r="H1125" s="35" t="n">
        <v>0</v>
      </c>
      <c r="I1125" s="34" t="n">
        <f aca="false">+IF(E1125=0,0,E1125*0.03)</f>
        <v>0</v>
      </c>
    </row>
    <row r="1126" customFormat="false" ht="15.75" hidden="false" customHeight="true" outlineLevel="0" collapsed="false">
      <c r="A1126" s="30" t="n">
        <v>45444</v>
      </c>
      <c r="B1126" s="31" t="s">
        <v>153</v>
      </c>
      <c r="C1126" s="32"/>
      <c r="D1126" s="32"/>
      <c r="E1126" s="19" t="n">
        <f aca="false">+F1126*0.03</f>
        <v>0</v>
      </c>
      <c r="F1126" s="33" t="n">
        <v>0</v>
      </c>
      <c r="G1126" s="62"/>
      <c r="H1126" s="35" t="n">
        <v>0</v>
      </c>
      <c r="I1126" s="34" t="n">
        <f aca="false">+IF(E1126=0,0,E1126*0.03)</f>
        <v>0</v>
      </c>
    </row>
    <row r="1127" customFormat="false" ht="15.75" hidden="false" customHeight="true" outlineLevel="0" collapsed="false">
      <c r="A1127" s="30" t="n">
        <v>45444</v>
      </c>
      <c r="B1127" s="31" t="s">
        <v>153</v>
      </c>
      <c r="C1127" s="32"/>
      <c r="D1127" s="32"/>
      <c r="E1127" s="19" t="n">
        <f aca="false">+F1127*0.03</f>
        <v>0</v>
      </c>
      <c r="F1127" s="33" t="n">
        <v>0</v>
      </c>
      <c r="G1127" s="62"/>
      <c r="H1127" s="35" t="n">
        <v>0</v>
      </c>
      <c r="I1127" s="34" t="n">
        <f aca="false">+IF(E1127=0,0,E1127*0.03)</f>
        <v>0</v>
      </c>
    </row>
    <row r="1128" customFormat="false" ht="15.75" hidden="false" customHeight="true" outlineLevel="0" collapsed="false">
      <c r="A1128" s="30" t="n">
        <v>45444</v>
      </c>
      <c r="B1128" s="31" t="s">
        <v>153</v>
      </c>
      <c r="C1128" s="32"/>
      <c r="D1128" s="32"/>
      <c r="E1128" s="19" t="n">
        <f aca="false">+F1128*0.03</f>
        <v>0</v>
      </c>
      <c r="F1128" s="33" t="n">
        <v>0</v>
      </c>
      <c r="G1128" s="62"/>
      <c r="H1128" s="35" t="n">
        <v>0</v>
      </c>
      <c r="I1128" s="34" t="n">
        <f aca="false">+IF(E1128=0,0,E1128*0.03)</f>
        <v>0</v>
      </c>
    </row>
    <row r="1129" customFormat="false" ht="15.75" hidden="false" customHeight="true" outlineLevel="0" collapsed="false">
      <c r="A1129" s="30" t="n">
        <v>45444</v>
      </c>
      <c r="B1129" s="31" t="s">
        <v>153</v>
      </c>
      <c r="C1129" s="32"/>
      <c r="D1129" s="32"/>
      <c r="E1129" s="19" t="n">
        <f aca="false">+F1129*0.03</f>
        <v>0</v>
      </c>
      <c r="F1129" s="33" t="n">
        <v>0</v>
      </c>
      <c r="G1129" s="62"/>
      <c r="H1129" s="35" t="n">
        <v>0</v>
      </c>
      <c r="I1129" s="34" t="n">
        <f aca="false">+IF(E1129=0,0,E1129*0.03)</f>
        <v>0</v>
      </c>
    </row>
    <row r="1130" customFormat="false" ht="15.75" hidden="false" customHeight="true" outlineLevel="0" collapsed="false">
      <c r="A1130" s="30" t="n">
        <v>45444</v>
      </c>
      <c r="B1130" s="31" t="s">
        <v>153</v>
      </c>
      <c r="C1130" s="32"/>
      <c r="D1130" s="32"/>
      <c r="E1130" s="19" t="n">
        <f aca="false">+F1130*0.03</f>
        <v>0</v>
      </c>
      <c r="F1130" s="33" t="n">
        <v>0</v>
      </c>
      <c r="G1130" s="62"/>
      <c r="H1130" s="35" t="n">
        <v>0</v>
      </c>
      <c r="I1130" s="34" t="n">
        <f aca="false">+IF(E1130=0,0,E1130*0.03)</f>
        <v>0</v>
      </c>
    </row>
    <row r="1131" customFormat="false" ht="15.75" hidden="false" customHeight="true" outlineLevel="0" collapsed="false">
      <c r="A1131" s="30" t="n">
        <v>45444</v>
      </c>
      <c r="B1131" s="31" t="s">
        <v>153</v>
      </c>
      <c r="C1131" s="32"/>
      <c r="D1131" s="32"/>
      <c r="E1131" s="19" t="n">
        <f aca="false">+F1131*0.03</f>
        <v>0</v>
      </c>
      <c r="F1131" s="33" t="n">
        <v>0</v>
      </c>
      <c r="G1131" s="62"/>
      <c r="H1131" s="35" t="n">
        <v>0</v>
      </c>
      <c r="I1131" s="34" t="n">
        <f aca="false">+IF(E1131=0,0,E1131*0.03)</f>
        <v>0</v>
      </c>
    </row>
    <row r="1132" customFormat="false" ht="15.75" hidden="false" customHeight="true" outlineLevel="0" collapsed="false">
      <c r="A1132" s="30" t="n">
        <v>45444</v>
      </c>
      <c r="B1132" s="31" t="s">
        <v>153</v>
      </c>
      <c r="C1132" s="32"/>
      <c r="D1132" s="32"/>
      <c r="E1132" s="19" t="n">
        <f aca="false">+F1132*0.03</f>
        <v>0</v>
      </c>
      <c r="F1132" s="33" t="n">
        <v>0</v>
      </c>
      <c r="G1132" s="62"/>
      <c r="H1132" s="35" t="n">
        <v>0</v>
      </c>
      <c r="I1132" s="34" t="n">
        <f aca="false">+IF(E1132=0,0,E1132*0.03)</f>
        <v>0</v>
      </c>
    </row>
    <row r="1133" customFormat="false" ht="15.75" hidden="false" customHeight="true" outlineLevel="0" collapsed="false">
      <c r="A1133" s="30" t="n">
        <v>45444</v>
      </c>
      <c r="B1133" s="31" t="s">
        <v>153</v>
      </c>
      <c r="C1133" s="32"/>
      <c r="D1133" s="32"/>
      <c r="E1133" s="19" t="n">
        <f aca="false">+F1133*0.03</f>
        <v>0</v>
      </c>
      <c r="F1133" s="33" t="n">
        <v>0</v>
      </c>
      <c r="G1133" s="62"/>
      <c r="H1133" s="35" t="n">
        <v>0</v>
      </c>
      <c r="I1133" s="34" t="n">
        <f aca="false">+IF(E1133=0,0,E1133*0.03)</f>
        <v>0</v>
      </c>
    </row>
    <row r="1134" customFormat="false" ht="15.75" hidden="false" customHeight="true" outlineLevel="0" collapsed="false">
      <c r="A1134" s="30" t="n">
        <v>45444</v>
      </c>
      <c r="B1134" s="31" t="s">
        <v>153</v>
      </c>
      <c r="C1134" s="32"/>
      <c r="D1134" s="32"/>
      <c r="E1134" s="19" t="n">
        <f aca="false">+F1134*0.03</f>
        <v>0</v>
      </c>
      <c r="F1134" s="33" t="n">
        <v>0</v>
      </c>
      <c r="G1134" s="62"/>
      <c r="H1134" s="35" t="n">
        <v>0</v>
      </c>
      <c r="I1134" s="34" t="n">
        <f aca="false">+IF(E1134=0,0,E1134*0.03)</f>
        <v>0</v>
      </c>
    </row>
    <row r="1135" customFormat="false" ht="15.75" hidden="false" customHeight="true" outlineLevel="0" collapsed="false">
      <c r="A1135" s="30" t="n">
        <v>45444</v>
      </c>
      <c r="B1135" s="31" t="s">
        <v>153</v>
      </c>
      <c r="C1135" s="32"/>
      <c r="D1135" s="32"/>
      <c r="E1135" s="19" t="n">
        <f aca="false">+F1135*0.03</f>
        <v>0</v>
      </c>
      <c r="F1135" s="33" t="n">
        <v>0</v>
      </c>
      <c r="G1135" s="62"/>
      <c r="H1135" s="35" t="n">
        <v>0</v>
      </c>
      <c r="I1135" s="34" t="n">
        <f aca="false">+IF(E1135=0,0,E1135*0.03)</f>
        <v>0</v>
      </c>
    </row>
    <row r="1136" customFormat="false" ht="15.75" hidden="false" customHeight="true" outlineLevel="0" collapsed="false">
      <c r="A1136" s="30" t="n">
        <v>45444</v>
      </c>
      <c r="B1136" s="31" t="s">
        <v>153</v>
      </c>
      <c r="C1136" s="32"/>
      <c r="D1136" s="32"/>
      <c r="E1136" s="19" t="n">
        <f aca="false">+F1136*0.03</f>
        <v>0</v>
      </c>
      <c r="F1136" s="33" t="n">
        <v>0</v>
      </c>
      <c r="G1136" s="62"/>
      <c r="H1136" s="35" t="n">
        <v>0</v>
      </c>
      <c r="I1136" s="34" t="n">
        <f aca="false">+IF(E1136=0,0,E1136*0.03)</f>
        <v>0</v>
      </c>
    </row>
    <row r="1137" customFormat="false" ht="15.75" hidden="false" customHeight="true" outlineLevel="0" collapsed="false">
      <c r="A1137" s="30" t="n">
        <v>45444</v>
      </c>
      <c r="B1137" s="31" t="s">
        <v>153</v>
      </c>
      <c r="C1137" s="32"/>
      <c r="D1137" s="32"/>
      <c r="E1137" s="19" t="n">
        <f aca="false">+F1137*0.03</f>
        <v>0</v>
      </c>
      <c r="F1137" s="33" t="n">
        <v>0</v>
      </c>
      <c r="G1137" s="62"/>
      <c r="H1137" s="35" t="n">
        <v>0</v>
      </c>
      <c r="I1137" s="34" t="n">
        <f aca="false">+IF(E1137=0,0,E1137*0.03)</f>
        <v>0</v>
      </c>
    </row>
    <row r="1138" customFormat="false" ht="15.75" hidden="false" customHeight="true" outlineLevel="0" collapsed="false">
      <c r="A1138" s="30" t="n">
        <v>45444</v>
      </c>
      <c r="B1138" s="31" t="s">
        <v>153</v>
      </c>
      <c r="C1138" s="32"/>
      <c r="D1138" s="32"/>
      <c r="E1138" s="19" t="n">
        <f aca="false">+F1138*0.03</f>
        <v>0</v>
      </c>
      <c r="F1138" s="33" t="n">
        <v>0</v>
      </c>
      <c r="G1138" s="62"/>
      <c r="H1138" s="35" t="n">
        <v>0</v>
      </c>
      <c r="I1138" s="34" t="n">
        <f aca="false">+IF(E1138=0,0,E1138*0.03)</f>
        <v>0</v>
      </c>
    </row>
    <row r="1139" customFormat="false" ht="15.75" hidden="false" customHeight="true" outlineLevel="0" collapsed="false">
      <c r="A1139" s="30" t="n">
        <v>45444</v>
      </c>
      <c r="B1139" s="31" t="s">
        <v>153</v>
      </c>
      <c r="C1139" s="32"/>
      <c r="D1139" s="32"/>
      <c r="E1139" s="19" t="n">
        <f aca="false">+F1139*0.03</f>
        <v>0</v>
      </c>
      <c r="F1139" s="33" t="n">
        <v>0</v>
      </c>
      <c r="G1139" s="62"/>
      <c r="H1139" s="35" t="n">
        <v>0</v>
      </c>
      <c r="I1139" s="34" t="n">
        <f aca="false">+IF(E1139=0,0,E1139*0.03)</f>
        <v>0</v>
      </c>
    </row>
    <row r="1140" customFormat="false" ht="15.75" hidden="false" customHeight="true" outlineLevel="0" collapsed="false">
      <c r="A1140" s="30" t="n">
        <v>45444</v>
      </c>
      <c r="B1140" s="31" t="s">
        <v>153</v>
      </c>
      <c r="C1140" s="32"/>
      <c r="D1140" s="32"/>
      <c r="E1140" s="19" t="n">
        <f aca="false">+F1140*0.03</f>
        <v>0</v>
      </c>
      <c r="F1140" s="33" t="n">
        <v>0</v>
      </c>
      <c r="G1140" s="62"/>
      <c r="H1140" s="35" t="n">
        <v>0</v>
      </c>
      <c r="I1140" s="34" t="n">
        <f aca="false">+IF(E1140=0,0,E1140*0.03)</f>
        <v>0</v>
      </c>
    </row>
    <row r="1141" customFormat="false" ht="15.75" hidden="false" customHeight="true" outlineLevel="0" collapsed="false">
      <c r="A1141" s="30" t="n">
        <v>45444</v>
      </c>
      <c r="B1141" s="31" t="s">
        <v>153</v>
      </c>
      <c r="C1141" s="32"/>
      <c r="D1141" s="32"/>
      <c r="E1141" s="19" t="n">
        <f aca="false">+F1141*0.03</f>
        <v>0</v>
      </c>
      <c r="F1141" s="33" t="n">
        <v>0</v>
      </c>
      <c r="G1141" s="62"/>
      <c r="H1141" s="35" t="n">
        <v>0</v>
      </c>
      <c r="I1141" s="34" t="n">
        <f aca="false">+IF(E1141=0,0,E1141*0.03)</f>
        <v>0</v>
      </c>
    </row>
    <row r="1142" customFormat="false" ht="15.75" hidden="false" customHeight="true" outlineLevel="0" collapsed="false">
      <c r="A1142" s="30" t="n">
        <v>45444</v>
      </c>
      <c r="B1142" s="31" t="s">
        <v>153</v>
      </c>
      <c r="C1142" s="32"/>
      <c r="D1142" s="32"/>
      <c r="E1142" s="19" t="n">
        <f aca="false">+F1142*0.03</f>
        <v>0</v>
      </c>
      <c r="F1142" s="33" t="n">
        <v>0</v>
      </c>
      <c r="G1142" s="62"/>
      <c r="H1142" s="35" t="n">
        <v>0</v>
      </c>
      <c r="I1142" s="34" t="n">
        <f aca="false">+IF(E1142=0,0,E1142*0.03)</f>
        <v>0</v>
      </c>
    </row>
    <row r="1143" customFormat="false" ht="15.75" hidden="false" customHeight="true" outlineLevel="0" collapsed="false">
      <c r="A1143" s="30" t="n">
        <v>45444</v>
      </c>
      <c r="B1143" s="31" t="s">
        <v>153</v>
      </c>
      <c r="C1143" s="32"/>
      <c r="D1143" s="32"/>
      <c r="E1143" s="19" t="n">
        <f aca="false">+F1143*0.03</f>
        <v>0</v>
      </c>
      <c r="F1143" s="33" t="n">
        <v>0</v>
      </c>
      <c r="G1143" s="62"/>
      <c r="H1143" s="35" t="n">
        <v>0</v>
      </c>
      <c r="I1143" s="34" t="n">
        <f aca="false">+IF(E1143=0,0,E1143*0.03)</f>
        <v>0</v>
      </c>
    </row>
    <row r="1144" customFormat="false" ht="15.75" hidden="false" customHeight="true" outlineLevel="0" collapsed="false">
      <c r="A1144" s="30" t="n">
        <v>45444</v>
      </c>
      <c r="B1144" s="31" t="s">
        <v>153</v>
      </c>
      <c r="C1144" s="32"/>
      <c r="D1144" s="32"/>
      <c r="E1144" s="19" t="n">
        <f aca="false">+F1144*0.03</f>
        <v>0</v>
      </c>
      <c r="F1144" s="33" t="n">
        <v>0</v>
      </c>
      <c r="G1144" s="62"/>
      <c r="H1144" s="35" t="n">
        <v>0</v>
      </c>
      <c r="I1144" s="34" t="n">
        <f aca="false">+IF(E1144=0,0,E1144*0.03)</f>
        <v>0</v>
      </c>
    </row>
    <row r="1145" customFormat="false" ht="15.75" hidden="false" customHeight="true" outlineLevel="0" collapsed="false">
      <c r="A1145" s="30" t="n">
        <v>45444</v>
      </c>
      <c r="B1145" s="31" t="s">
        <v>153</v>
      </c>
      <c r="C1145" s="32"/>
      <c r="D1145" s="32"/>
      <c r="E1145" s="19" t="n">
        <f aca="false">+F1145*0.03</f>
        <v>0</v>
      </c>
      <c r="F1145" s="33" t="n">
        <v>0</v>
      </c>
      <c r="G1145" s="62"/>
      <c r="H1145" s="35" t="n">
        <v>0</v>
      </c>
      <c r="I1145" s="34" t="n">
        <f aca="false">+IF(E1145=0,0,E1145*0.03)</f>
        <v>0</v>
      </c>
    </row>
    <row r="1146" customFormat="false" ht="15.75" hidden="false" customHeight="true" outlineLevel="0" collapsed="false">
      <c r="A1146" s="30" t="n">
        <v>45444</v>
      </c>
      <c r="B1146" s="31" t="s">
        <v>153</v>
      </c>
      <c r="C1146" s="32"/>
      <c r="D1146" s="32"/>
      <c r="E1146" s="19" t="n">
        <f aca="false">+F1146*0.03</f>
        <v>0</v>
      </c>
      <c r="F1146" s="33" t="n">
        <v>0</v>
      </c>
      <c r="G1146" s="62"/>
      <c r="H1146" s="35" t="n">
        <v>0</v>
      </c>
      <c r="I1146" s="34" t="n">
        <f aca="false">+IF(E1146=0,0,E1146*0.03)</f>
        <v>0</v>
      </c>
    </row>
    <row r="1147" customFormat="false" ht="15.75" hidden="false" customHeight="true" outlineLevel="0" collapsed="false">
      <c r="A1147" s="30" t="n">
        <v>45444</v>
      </c>
      <c r="B1147" s="31" t="s">
        <v>153</v>
      </c>
      <c r="C1147" s="32"/>
      <c r="D1147" s="32"/>
      <c r="E1147" s="19" t="n">
        <f aca="false">+F1147*0.03</f>
        <v>0</v>
      </c>
      <c r="F1147" s="33" t="n">
        <v>0</v>
      </c>
      <c r="G1147" s="62"/>
      <c r="H1147" s="35" t="n">
        <v>0</v>
      </c>
      <c r="I1147" s="34" t="n">
        <f aca="false">+IF(E1147=0,0,E1147*0.03)</f>
        <v>0</v>
      </c>
    </row>
    <row r="1148" customFormat="false" ht="15.75" hidden="false" customHeight="true" outlineLevel="0" collapsed="false">
      <c r="A1148" s="30" t="n">
        <v>45444</v>
      </c>
      <c r="B1148" s="31" t="s">
        <v>153</v>
      </c>
      <c r="C1148" s="32"/>
      <c r="D1148" s="32"/>
      <c r="E1148" s="19" t="n">
        <f aca="false">+F1148*0.03</f>
        <v>0</v>
      </c>
      <c r="F1148" s="33" t="n">
        <v>0</v>
      </c>
      <c r="G1148" s="62"/>
      <c r="H1148" s="35" t="n">
        <v>0</v>
      </c>
      <c r="I1148" s="34" t="n">
        <f aca="false">+IF(E1148=0,0,E1148*0.03)</f>
        <v>0</v>
      </c>
    </row>
    <row r="1149" customFormat="false" ht="15.75" hidden="false" customHeight="true" outlineLevel="0" collapsed="false">
      <c r="A1149" s="30" t="n">
        <v>45444</v>
      </c>
      <c r="B1149" s="31" t="s">
        <v>153</v>
      </c>
      <c r="C1149" s="32"/>
      <c r="D1149" s="32"/>
      <c r="E1149" s="19" t="n">
        <f aca="false">+F1149*0.03</f>
        <v>0</v>
      </c>
      <c r="F1149" s="33" t="n">
        <v>0</v>
      </c>
      <c r="G1149" s="62"/>
      <c r="H1149" s="35" t="n">
        <v>0</v>
      </c>
      <c r="I1149" s="34" t="n">
        <f aca="false">+IF(E1149=0,0,E1149*0.03)</f>
        <v>0</v>
      </c>
    </row>
    <row r="1150" customFormat="false" ht="15.75" hidden="false" customHeight="true" outlineLevel="0" collapsed="false">
      <c r="A1150" s="30" t="n">
        <v>45444</v>
      </c>
      <c r="B1150" s="31" t="s">
        <v>153</v>
      </c>
      <c r="C1150" s="32"/>
      <c r="D1150" s="32"/>
      <c r="E1150" s="19" t="n">
        <f aca="false">+F1150*0.03</f>
        <v>0</v>
      </c>
      <c r="F1150" s="33" t="n">
        <v>0</v>
      </c>
      <c r="G1150" s="62"/>
      <c r="H1150" s="35" t="n">
        <v>0</v>
      </c>
      <c r="I1150" s="34" t="n">
        <f aca="false">+IF(E1150=0,0,E1150*0.03)</f>
        <v>0</v>
      </c>
    </row>
    <row r="1151" customFormat="false" ht="15.75" hidden="false" customHeight="true" outlineLevel="0" collapsed="false">
      <c r="A1151" s="30" t="n">
        <v>45444</v>
      </c>
      <c r="B1151" s="31" t="s">
        <v>153</v>
      </c>
      <c r="C1151" s="32"/>
      <c r="D1151" s="32"/>
      <c r="E1151" s="19" t="n">
        <f aca="false">+F1151*0.03</f>
        <v>0</v>
      </c>
      <c r="F1151" s="33" t="n">
        <v>0</v>
      </c>
      <c r="G1151" s="62"/>
      <c r="H1151" s="35" t="n">
        <v>0</v>
      </c>
      <c r="I1151" s="34" t="n">
        <f aca="false">+IF(E1151=0,0,E1151*0.03)</f>
        <v>0</v>
      </c>
    </row>
    <row r="1152" customFormat="false" ht="15.75" hidden="false" customHeight="true" outlineLevel="0" collapsed="false">
      <c r="A1152" s="30" t="n">
        <v>45444</v>
      </c>
      <c r="B1152" s="31" t="s">
        <v>153</v>
      </c>
      <c r="C1152" s="32"/>
      <c r="D1152" s="32"/>
      <c r="E1152" s="19" t="n">
        <f aca="false">+F1152*0.03</f>
        <v>0</v>
      </c>
      <c r="F1152" s="33" t="n">
        <v>0</v>
      </c>
      <c r="G1152" s="62"/>
      <c r="H1152" s="35" t="n">
        <v>0</v>
      </c>
      <c r="I1152" s="34" t="n">
        <f aca="false">+IF(E1152=0,0,E1152*0.03)</f>
        <v>0</v>
      </c>
    </row>
    <row r="1153" customFormat="false" ht="15.75" hidden="false" customHeight="true" outlineLevel="0" collapsed="false">
      <c r="A1153" s="30" t="n">
        <v>45444</v>
      </c>
      <c r="B1153" s="31" t="s">
        <v>153</v>
      </c>
      <c r="C1153" s="32"/>
      <c r="D1153" s="32"/>
      <c r="E1153" s="19" t="n">
        <f aca="false">+F1153*0.03</f>
        <v>0</v>
      </c>
      <c r="F1153" s="33" t="n">
        <v>0</v>
      </c>
      <c r="G1153" s="62"/>
      <c r="H1153" s="35" t="n">
        <v>0</v>
      </c>
      <c r="I1153" s="34" t="n">
        <f aca="false">+IF(E1153=0,0,E1153*0.03)</f>
        <v>0</v>
      </c>
    </row>
    <row r="1154" customFormat="false" ht="15.75" hidden="false" customHeight="true" outlineLevel="0" collapsed="false">
      <c r="A1154" s="30" t="n">
        <v>45444</v>
      </c>
      <c r="B1154" s="31" t="s">
        <v>153</v>
      </c>
      <c r="C1154" s="32"/>
      <c r="D1154" s="32"/>
      <c r="E1154" s="19" t="n">
        <f aca="false">+F1154*0.03</f>
        <v>0</v>
      </c>
      <c r="F1154" s="33" t="n">
        <v>0</v>
      </c>
      <c r="G1154" s="62"/>
      <c r="H1154" s="35" t="n">
        <v>0</v>
      </c>
      <c r="I1154" s="34" t="n">
        <f aca="false">+IF(E1154=0,0,E1154*0.03)</f>
        <v>0</v>
      </c>
    </row>
    <row r="1155" customFormat="false" ht="15.75" hidden="false" customHeight="true" outlineLevel="0" collapsed="false">
      <c r="A1155" s="30" t="n">
        <v>45444</v>
      </c>
      <c r="B1155" s="31" t="s">
        <v>153</v>
      </c>
      <c r="C1155" s="32"/>
      <c r="D1155" s="32"/>
      <c r="E1155" s="19" t="n">
        <f aca="false">+F1155*0.03</f>
        <v>0</v>
      </c>
      <c r="F1155" s="33" t="n">
        <v>0</v>
      </c>
      <c r="G1155" s="62"/>
      <c r="H1155" s="35" t="n">
        <v>0</v>
      </c>
      <c r="I1155" s="34" t="n">
        <f aca="false">+IF(E1155=0,0,E1155*0.03)</f>
        <v>0</v>
      </c>
    </row>
    <row r="1156" customFormat="false" ht="15.75" hidden="false" customHeight="true" outlineLevel="0" collapsed="false">
      <c r="A1156" s="30" t="n">
        <v>45444</v>
      </c>
      <c r="B1156" s="31" t="s">
        <v>153</v>
      </c>
      <c r="C1156" s="32"/>
      <c r="D1156" s="32"/>
      <c r="E1156" s="19" t="n">
        <f aca="false">+F1156*0.03</f>
        <v>0</v>
      </c>
      <c r="F1156" s="33" t="n">
        <v>0</v>
      </c>
      <c r="G1156" s="62"/>
      <c r="H1156" s="35" t="n">
        <v>0</v>
      </c>
      <c r="I1156" s="34" t="n">
        <f aca="false">+IF(E1156=0,0,E1156*0.03)</f>
        <v>0</v>
      </c>
    </row>
    <row r="1157" customFormat="false" ht="15.75" hidden="false" customHeight="true" outlineLevel="0" collapsed="false">
      <c r="A1157" s="30" t="n">
        <v>45444</v>
      </c>
      <c r="B1157" s="31" t="s">
        <v>153</v>
      </c>
      <c r="C1157" s="32"/>
      <c r="D1157" s="32"/>
      <c r="E1157" s="19" t="n">
        <f aca="false">+F1157*0.03</f>
        <v>0</v>
      </c>
      <c r="F1157" s="33" t="n">
        <v>0</v>
      </c>
      <c r="G1157" s="62"/>
      <c r="H1157" s="35" t="n">
        <v>0</v>
      </c>
      <c r="I1157" s="34" t="n">
        <f aca="false">+IF(E1157=0,0,E1157*0.03)</f>
        <v>0</v>
      </c>
    </row>
    <row r="1158" customFormat="false" ht="15.75" hidden="false" customHeight="true" outlineLevel="0" collapsed="false">
      <c r="A1158" s="30" t="n">
        <v>45444</v>
      </c>
      <c r="B1158" s="31" t="s">
        <v>153</v>
      </c>
      <c r="C1158" s="32"/>
      <c r="D1158" s="32"/>
      <c r="E1158" s="19" t="n">
        <f aca="false">+F1158*0.03</f>
        <v>0</v>
      </c>
      <c r="F1158" s="33" t="n">
        <v>0</v>
      </c>
      <c r="G1158" s="62"/>
      <c r="H1158" s="35" t="n">
        <v>0</v>
      </c>
      <c r="I1158" s="34" t="n">
        <f aca="false">+IF(E1158=0,0,E1158*0.03)</f>
        <v>0</v>
      </c>
    </row>
    <row r="1159" customFormat="false" ht="15.75" hidden="false" customHeight="true" outlineLevel="0" collapsed="false">
      <c r="A1159" s="30" t="n">
        <v>45444</v>
      </c>
      <c r="B1159" s="31" t="s">
        <v>153</v>
      </c>
      <c r="C1159" s="32"/>
      <c r="D1159" s="32"/>
      <c r="E1159" s="19" t="n">
        <f aca="false">+F1159*0.03</f>
        <v>0</v>
      </c>
      <c r="F1159" s="33" t="n">
        <v>0</v>
      </c>
      <c r="G1159" s="62"/>
      <c r="H1159" s="35" t="n">
        <v>0</v>
      </c>
      <c r="I1159" s="34" t="n">
        <f aca="false">+IF(E1159=0,0,E1159*0.03)</f>
        <v>0</v>
      </c>
    </row>
    <row r="1160" customFormat="false" ht="15.75" hidden="false" customHeight="true" outlineLevel="0" collapsed="false">
      <c r="A1160" s="30" t="n">
        <v>45444</v>
      </c>
      <c r="B1160" s="31" t="s">
        <v>153</v>
      </c>
      <c r="C1160" s="32"/>
      <c r="D1160" s="32"/>
      <c r="E1160" s="19" t="n">
        <f aca="false">+F1160*0.03</f>
        <v>0</v>
      </c>
      <c r="F1160" s="33" t="n">
        <v>0</v>
      </c>
      <c r="G1160" s="62"/>
      <c r="H1160" s="35" t="n">
        <v>0</v>
      </c>
      <c r="I1160" s="34" t="n">
        <f aca="false">+IF(E1160=0,0,E1160*0.03)</f>
        <v>0</v>
      </c>
    </row>
    <row r="1161" customFormat="false" ht="15.75" hidden="false" customHeight="true" outlineLevel="0" collapsed="false">
      <c r="A1161" s="30" t="n">
        <v>45444</v>
      </c>
      <c r="B1161" s="31" t="s">
        <v>153</v>
      </c>
      <c r="C1161" s="32"/>
      <c r="D1161" s="32"/>
      <c r="E1161" s="19" t="n">
        <f aca="false">+F1161*0.03</f>
        <v>0</v>
      </c>
      <c r="F1161" s="33" t="n">
        <v>0</v>
      </c>
      <c r="G1161" s="62"/>
      <c r="H1161" s="35" t="n">
        <v>0</v>
      </c>
      <c r="I1161" s="34" t="n">
        <f aca="false">+IF(E1161=0,0,E1161*0.03)</f>
        <v>0</v>
      </c>
    </row>
    <row r="1162" customFormat="false" ht="15.75" hidden="false" customHeight="true" outlineLevel="0" collapsed="false">
      <c r="A1162" s="30" t="n">
        <v>45444</v>
      </c>
      <c r="B1162" s="31" t="s">
        <v>153</v>
      </c>
      <c r="C1162" s="32"/>
      <c r="D1162" s="32"/>
      <c r="E1162" s="19" t="n">
        <f aca="false">+F1162*0.03</f>
        <v>0</v>
      </c>
      <c r="F1162" s="33" t="n">
        <v>0</v>
      </c>
      <c r="G1162" s="62"/>
      <c r="H1162" s="35" t="n">
        <v>0</v>
      </c>
      <c r="I1162" s="34" t="n">
        <f aca="false">+IF(E1162=0,0,E1162*0.03)</f>
        <v>0</v>
      </c>
    </row>
    <row r="1163" customFormat="false" ht="15.75" hidden="false" customHeight="true" outlineLevel="0" collapsed="false">
      <c r="A1163" s="30" t="n">
        <v>45444</v>
      </c>
      <c r="B1163" s="31" t="s">
        <v>153</v>
      </c>
      <c r="C1163" s="32"/>
      <c r="D1163" s="32"/>
      <c r="E1163" s="19" t="n">
        <f aca="false">+F1163*0.03</f>
        <v>0</v>
      </c>
      <c r="F1163" s="33" t="n">
        <v>0</v>
      </c>
      <c r="G1163" s="62"/>
      <c r="H1163" s="35" t="n">
        <v>0</v>
      </c>
      <c r="I1163" s="34" t="n">
        <f aca="false">+IF(E1163=0,0,E1163*0.03)</f>
        <v>0</v>
      </c>
    </row>
    <row r="1164" customFormat="false" ht="15.75" hidden="false" customHeight="true" outlineLevel="0" collapsed="false">
      <c r="A1164" s="30" t="n">
        <v>45444</v>
      </c>
      <c r="B1164" s="31" t="s">
        <v>153</v>
      </c>
      <c r="C1164" s="32"/>
      <c r="D1164" s="32"/>
      <c r="E1164" s="19" t="n">
        <f aca="false">+F1164*0.03</f>
        <v>0</v>
      </c>
      <c r="F1164" s="33" t="n">
        <v>0</v>
      </c>
      <c r="G1164" s="62"/>
      <c r="H1164" s="35" t="n">
        <v>0</v>
      </c>
      <c r="I1164" s="34" t="n">
        <f aca="false">+IF(E1164=0,0,E1164*0.03)</f>
        <v>0</v>
      </c>
    </row>
    <row r="1165" customFormat="false" ht="15.75" hidden="false" customHeight="true" outlineLevel="0" collapsed="false">
      <c r="A1165" s="30" t="n">
        <v>45444</v>
      </c>
      <c r="B1165" s="31" t="s">
        <v>153</v>
      </c>
      <c r="C1165" s="32"/>
      <c r="D1165" s="32"/>
      <c r="E1165" s="19" t="n">
        <f aca="false">+F1165*0.03</f>
        <v>0</v>
      </c>
      <c r="F1165" s="33" t="n">
        <v>0</v>
      </c>
      <c r="G1165" s="62"/>
      <c r="H1165" s="35" t="n">
        <v>0</v>
      </c>
      <c r="I1165" s="34" t="n">
        <f aca="false">+IF(E1165=0,0,E1165*0.03)</f>
        <v>0</v>
      </c>
    </row>
    <row r="1166" customFormat="false" ht="15.75" hidden="false" customHeight="true" outlineLevel="0" collapsed="false">
      <c r="A1166" s="30" t="n">
        <v>45444</v>
      </c>
      <c r="B1166" s="31" t="s">
        <v>153</v>
      </c>
      <c r="C1166" s="32"/>
      <c r="D1166" s="32"/>
      <c r="E1166" s="19" t="n">
        <f aca="false">+F1166*0.03</f>
        <v>0</v>
      </c>
      <c r="F1166" s="33" t="n">
        <v>0</v>
      </c>
      <c r="G1166" s="62"/>
      <c r="H1166" s="35" t="n">
        <v>0</v>
      </c>
      <c r="I1166" s="34" t="n">
        <f aca="false">+IF(E1166=0,0,E1166*0.03)</f>
        <v>0</v>
      </c>
    </row>
    <row r="1167" customFormat="false" ht="15.75" hidden="false" customHeight="true" outlineLevel="0" collapsed="false">
      <c r="A1167" s="30" t="n">
        <v>45444</v>
      </c>
      <c r="B1167" s="31" t="s">
        <v>153</v>
      </c>
      <c r="C1167" s="32"/>
      <c r="D1167" s="32"/>
      <c r="E1167" s="19" t="n">
        <f aca="false">+F1167*0.03</f>
        <v>0</v>
      </c>
      <c r="F1167" s="33" t="n">
        <v>0</v>
      </c>
      <c r="G1167" s="62"/>
      <c r="H1167" s="35" t="n">
        <v>0</v>
      </c>
      <c r="I1167" s="34" t="n">
        <f aca="false">+IF(E1167=0,0,E1167*0.03)</f>
        <v>0</v>
      </c>
    </row>
    <row r="1168" customFormat="false" ht="15.75" hidden="false" customHeight="true" outlineLevel="0" collapsed="false">
      <c r="A1168" s="30" t="n">
        <v>45444</v>
      </c>
      <c r="B1168" s="31" t="s">
        <v>153</v>
      </c>
      <c r="C1168" s="32"/>
      <c r="D1168" s="32"/>
      <c r="E1168" s="19" t="n">
        <f aca="false">+F1168*0.03</f>
        <v>0</v>
      </c>
      <c r="F1168" s="33" t="n">
        <v>0</v>
      </c>
      <c r="G1168" s="62"/>
      <c r="H1168" s="35" t="n">
        <v>0</v>
      </c>
      <c r="I1168" s="34" t="n">
        <f aca="false">+IF(E1168=0,0,E1168*0.03)</f>
        <v>0</v>
      </c>
    </row>
    <row r="1169" customFormat="false" ht="15.75" hidden="false" customHeight="true" outlineLevel="0" collapsed="false">
      <c r="A1169" s="30" t="n">
        <v>45444</v>
      </c>
      <c r="B1169" s="31" t="s">
        <v>153</v>
      </c>
      <c r="C1169" s="32"/>
      <c r="D1169" s="32"/>
      <c r="E1169" s="19" t="n">
        <f aca="false">+F1169*0.03</f>
        <v>0</v>
      </c>
      <c r="F1169" s="33" t="n">
        <v>0</v>
      </c>
      <c r="G1169" s="62"/>
      <c r="H1169" s="35" t="n">
        <v>0</v>
      </c>
      <c r="I1169" s="34" t="n">
        <f aca="false">+IF(E1169=0,0,E1169*0.03)</f>
        <v>0</v>
      </c>
    </row>
    <row r="1170" customFormat="false" ht="15.75" hidden="false" customHeight="true" outlineLevel="0" collapsed="false">
      <c r="A1170" s="30" t="n">
        <v>45444</v>
      </c>
      <c r="B1170" s="31" t="s">
        <v>153</v>
      </c>
      <c r="C1170" s="32"/>
      <c r="D1170" s="32"/>
      <c r="E1170" s="19" t="n">
        <f aca="false">+F1170*0.03</f>
        <v>0</v>
      </c>
      <c r="F1170" s="33" t="n">
        <v>0</v>
      </c>
      <c r="G1170" s="62"/>
      <c r="H1170" s="35" t="n">
        <v>0</v>
      </c>
      <c r="I1170" s="34" t="n">
        <f aca="false">+IF(E1170=0,0,E1170*0.03)</f>
        <v>0</v>
      </c>
    </row>
    <row r="1171" customFormat="false" ht="15.75" hidden="false" customHeight="true" outlineLevel="0" collapsed="false">
      <c r="A1171" s="30" t="n">
        <v>45444</v>
      </c>
      <c r="B1171" s="31" t="s">
        <v>153</v>
      </c>
      <c r="C1171" s="32"/>
      <c r="D1171" s="32"/>
      <c r="E1171" s="19" t="n">
        <f aca="false">+F1171*0.03</f>
        <v>0</v>
      </c>
      <c r="F1171" s="33" t="n">
        <v>0</v>
      </c>
      <c r="G1171" s="62"/>
      <c r="H1171" s="35" t="n">
        <v>0</v>
      </c>
      <c r="I1171" s="34" t="n">
        <f aca="false">+IF(E1171=0,0,E1171*0.03)</f>
        <v>0</v>
      </c>
    </row>
    <row r="1172" customFormat="false" ht="15.75" hidden="false" customHeight="true" outlineLevel="0" collapsed="false">
      <c r="A1172" s="30" t="n">
        <v>45444</v>
      </c>
      <c r="B1172" s="31" t="s">
        <v>153</v>
      </c>
      <c r="C1172" s="32"/>
      <c r="D1172" s="32"/>
      <c r="E1172" s="19" t="n">
        <f aca="false">+F1172*0.03</f>
        <v>0</v>
      </c>
      <c r="F1172" s="33" t="n">
        <v>0</v>
      </c>
      <c r="G1172" s="62"/>
      <c r="H1172" s="35" t="n">
        <v>0</v>
      </c>
      <c r="I1172" s="34" t="n">
        <f aca="false">+IF(E1172=0,0,E1172*0.03)</f>
        <v>0</v>
      </c>
    </row>
    <row r="1173" customFormat="false" ht="15.75" hidden="false" customHeight="true" outlineLevel="0" collapsed="false">
      <c r="A1173" s="30" t="n">
        <v>45444</v>
      </c>
      <c r="B1173" s="31" t="s">
        <v>153</v>
      </c>
      <c r="C1173" s="32"/>
      <c r="D1173" s="32"/>
      <c r="E1173" s="19" t="n">
        <f aca="false">+F1173*0.03</f>
        <v>0</v>
      </c>
      <c r="F1173" s="33" t="n">
        <v>0</v>
      </c>
      <c r="G1173" s="62"/>
      <c r="H1173" s="35" t="n">
        <v>0</v>
      </c>
      <c r="I1173" s="34" t="n">
        <f aca="false">+IF(E1173=0,0,E1173*0.03)</f>
        <v>0</v>
      </c>
    </row>
    <row r="1174" customFormat="false" ht="15.75" hidden="false" customHeight="true" outlineLevel="0" collapsed="false">
      <c r="A1174" s="30" t="n">
        <v>45444</v>
      </c>
      <c r="B1174" s="31" t="s">
        <v>153</v>
      </c>
      <c r="C1174" s="32"/>
      <c r="D1174" s="32"/>
      <c r="E1174" s="19" t="n">
        <f aca="false">+F1174*0.03</f>
        <v>0</v>
      </c>
      <c r="F1174" s="33" t="n">
        <v>0</v>
      </c>
      <c r="G1174" s="62"/>
      <c r="H1174" s="35" t="n">
        <v>0</v>
      </c>
      <c r="I1174" s="34" t="n">
        <f aca="false">+IF(E1174=0,0,E1174*0.03)</f>
        <v>0</v>
      </c>
    </row>
    <row r="1175" customFormat="false" ht="15.75" hidden="false" customHeight="true" outlineLevel="0" collapsed="false">
      <c r="A1175" s="30" t="n">
        <v>45444</v>
      </c>
      <c r="B1175" s="31" t="s">
        <v>153</v>
      </c>
      <c r="C1175" s="32"/>
      <c r="D1175" s="32"/>
      <c r="E1175" s="19" t="n">
        <f aca="false">+F1175*0.03</f>
        <v>0</v>
      </c>
      <c r="F1175" s="33" t="n">
        <v>0</v>
      </c>
      <c r="G1175" s="62"/>
      <c r="H1175" s="35" t="n">
        <v>0</v>
      </c>
      <c r="I1175" s="34" t="n">
        <f aca="false">+IF(E1175=0,0,E1175*0.03)</f>
        <v>0</v>
      </c>
    </row>
    <row r="1176" customFormat="false" ht="15.75" hidden="false" customHeight="true" outlineLevel="0" collapsed="false">
      <c r="A1176" s="30" t="n">
        <v>45444</v>
      </c>
      <c r="B1176" s="31" t="s">
        <v>153</v>
      </c>
      <c r="C1176" s="32"/>
      <c r="D1176" s="32"/>
      <c r="E1176" s="19" t="n">
        <f aca="false">+F1176*0.03</f>
        <v>0</v>
      </c>
      <c r="F1176" s="33" t="n">
        <v>0</v>
      </c>
      <c r="G1176" s="62"/>
      <c r="H1176" s="35" t="n">
        <v>0</v>
      </c>
      <c r="I1176" s="34" t="n">
        <f aca="false">+IF(E1176=0,0,E1176*0.03)</f>
        <v>0</v>
      </c>
    </row>
    <row r="1177" customFormat="false" ht="15.75" hidden="false" customHeight="true" outlineLevel="0" collapsed="false">
      <c r="A1177" s="30" t="n">
        <v>45444</v>
      </c>
      <c r="B1177" s="31" t="s">
        <v>153</v>
      </c>
      <c r="C1177" s="32"/>
      <c r="D1177" s="32"/>
      <c r="E1177" s="19" t="n">
        <f aca="false">+F1177*0.03</f>
        <v>0</v>
      </c>
      <c r="F1177" s="33" t="n">
        <v>0</v>
      </c>
      <c r="G1177" s="62"/>
      <c r="H1177" s="35" t="n">
        <v>0</v>
      </c>
      <c r="I1177" s="34" t="n">
        <f aca="false">+IF(E1177=0,0,E1177*0.03)</f>
        <v>0</v>
      </c>
    </row>
    <row r="1178" customFormat="false" ht="15.75" hidden="false" customHeight="true" outlineLevel="0" collapsed="false">
      <c r="A1178" s="30" t="n">
        <v>45444</v>
      </c>
      <c r="B1178" s="31" t="s">
        <v>153</v>
      </c>
      <c r="C1178" s="32"/>
      <c r="D1178" s="32"/>
      <c r="E1178" s="19" t="n">
        <f aca="false">+F1178*0.03</f>
        <v>0</v>
      </c>
      <c r="F1178" s="33" t="n">
        <v>0</v>
      </c>
      <c r="G1178" s="62"/>
      <c r="H1178" s="35" t="n">
        <v>0</v>
      </c>
      <c r="I1178" s="34" t="n">
        <f aca="false">+IF(E1178=0,0,E1178*0.03)</f>
        <v>0</v>
      </c>
    </row>
    <row r="1179" customFormat="false" ht="15.75" hidden="false" customHeight="true" outlineLevel="0" collapsed="false">
      <c r="A1179" s="30" t="n">
        <v>45444</v>
      </c>
      <c r="B1179" s="31" t="s">
        <v>153</v>
      </c>
      <c r="C1179" s="32"/>
      <c r="D1179" s="32"/>
      <c r="E1179" s="19" t="n">
        <f aca="false">+F1179*0.03</f>
        <v>0</v>
      </c>
      <c r="F1179" s="33" t="n">
        <v>0</v>
      </c>
      <c r="G1179" s="62"/>
      <c r="H1179" s="35" t="n">
        <v>0</v>
      </c>
      <c r="I1179" s="34" t="n">
        <f aca="false">+IF(E1179=0,0,E1179*0.03)</f>
        <v>0</v>
      </c>
    </row>
    <row r="1180" customFormat="false" ht="15.75" hidden="false" customHeight="true" outlineLevel="0" collapsed="false">
      <c r="A1180" s="30" t="n">
        <v>45444</v>
      </c>
      <c r="B1180" s="31" t="s">
        <v>153</v>
      </c>
      <c r="C1180" s="32"/>
      <c r="D1180" s="32"/>
      <c r="E1180" s="19" t="n">
        <f aca="false">+F1180*0.03</f>
        <v>0</v>
      </c>
      <c r="F1180" s="33" t="n">
        <v>0</v>
      </c>
      <c r="G1180" s="62"/>
      <c r="H1180" s="35" t="n">
        <v>0</v>
      </c>
      <c r="I1180" s="34" t="n">
        <f aca="false">+IF(E1180=0,0,E1180*0.03)</f>
        <v>0</v>
      </c>
    </row>
    <row r="1181" customFormat="false" ht="15.75" hidden="false" customHeight="true" outlineLevel="0" collapsed="false">
      <c r="A1181" s="30" t="n">
        <v>45444</v>
      </c>
      <c r="B1181" s="31" t="s">
        <v>153</v>
      </c>
      <c r="C1181" s="32"/>
      <c r="D1181" s="32"/>
      <c r="E1181" s="19" t="n">
        <f aca="false">+F1181*0.03</f>
        <v>0</v>
      </c>
      <c r="F1181" s="33" t="n">
        <v>0</v>
      </c>
      <c r="G1181" s="62"/>
      <c r="H1181" s="35" t="n">
        <v>0</v>
      </c>
      <c r="I1181" s="34" t="n">
        <f aca="false">+IF(E1181=0,0,E1181*0.03)</f>
        <v>0</v>
      </c>
    </row>
    <row r="1182" customFormat="false" ht="15.75" hidden="false" customHeight="true" outlineLevel="0" collapsed="false">
      <c r="A1182" s="30" t="n">
        <v>45444</v>
      </c>
      <c r="B1182" s="31" t="s">
        <v>153</v>
      </c>
      <c r="C1182" s="32"/>
      <c r="D1182" s="32"/>
      <c r="E1182" s="19" t="n">
        <f aca="false">+F1182*0.03</f>
        <v>0</v>
      </c>
      <c r="F1182" s="33" t="n">
        <v>0</v>
      </c>
      <c r="G1182" s="62"/>
      <c r="H1182" s="35" t="n">
        <v>0</v>
      </c>
      <c r="I1182" s="34" t="n">
        <f aca="false">+IF(E1182=0,0,E1182*0.03)</f>
        <v>0</v>
      </c>
    </row>
    <row r="1183" customFormat="false" ht="15.75" hidden="false" customHeight="true" outlineLevel="0" collapsed="false">
      <c r="A1183" s="30" t="n">
        <v>45444</v>
      </c>
      <c r="B1183" s="31" t="s">
        <v>153</v>
      </c>
      <c r="C1183" s="32"/>
      <c r="D1183" s="32"/>
      <c r="E1183" s="19" t="n">
        <f aca="false">+F1183*0.03</f>
        <v>0</v>
      </c>
      <c r="F1183" s="33" t="n">
        <v>0</v>
      </c>
      <c r="G1183" s="62"/>
      <c r="H1183" s="35" t="n">
        <v>0</v>
      </c>
      <c r="I1183" s="34" t="n">
        <f aca="false">+IF(E1183=0,0,E1183*0.03)</f>
        <v>0</v>
      </c>
    </row>
    <row r="1184" customFormat="false" ht="15.75" hidden="false" customHeight="true" outlineLevel="0" collapsed="false">
      <c r="A1184" s="30" t="n">
        <v>45444</v>
      </c>
      <c r="B1184" s="31" t="s">
        <v>153</v>
      </c>
      <c r="C1184" s="32"/>
      <c r="D1184" s="32"/>
      <c r="E1184" s="19" t="n">
        <f aca="false">+F1184*0.03</f>
        <v>0</v>
      </c>
      <c r="F1184" s="33" t="n">
        <v>0</v>
      </c>
      <c r="G1184" s="62"/>
      <c r="H1184" s="35" t="n">
        <v>0</v>
      </c>
      <c r="I1184" s="34" t="n">
        <f aca="false">+IF(E1184=0,0,E1184*0.03)</f>
        <v>0</v>
      </c>
    </row>
    <row r="1185" customFormat="false" ht="15.75" hidden="false" customHeight="true" outlineLevel="0" collapsed="false">
      <c r="A1185" s="30" t="n">
        <v>45444</v>
      </c>
      <c r="B1185" s="31" t="s">
        <v>153</v>
      </c>
      <c r="C1185" s="32"/>
      <c r="D1185" s="32"/>
      <c r="E1185" s="19" t="n">
        <f aca="false">+F1185*0.03</f>
        <v>0</v>
      </c>
      <c r="F1185" s="33" t="n">
        <v>0</v>
      </c>
      <c r="G1185" s="62"/>
      <c r="H1185" s="35" t="n">
        <v>0</v>
      </c>
      <c r="I1185" s="34" t="n">
        <f aca="false">+IF(E1185=0,0,E1185*0.03)</f>
        <v>0</v>
      </c>
    </row>
    <row r="1186" customFormat="false" ht="15.75" hidden="false" customHeight="true" outlineLevel="0" collapsed="false">
      <c r="A1186" s="30" t="n">
        <v>45444</v>
      </c>
      <c r="B1186" s="31" t="s">
        <v>153</v>
      </c>
      <c r="C1186" s="32"/>
      <c r="D1186" s="32"/>
      <c r="E1186" s="19" t="n">
        <f aca="false">+F1186*0.03</f>
        <v>0</v>
      </c>
      <c r="F1186" s="33" t="n">
        <v>0</v>
      </c>
      <c r="G1186" s="62"/>
      <c r="H1186" s="35" t="n">
        <v>0</v>
      </c>
      <c r="I1186" s="34" t="n">
        <f aca="false">+IF(E1186=0,0,E1186*0.03)</f>
        <v>0</v>
      </c>
    </row>
    <row r="1187" customFormat="false" ht="15.75" hidden="false" customHeight="true" outlineLevel="0" collapsed="false">
      <c r="A1187" s="30" t="n">
        <v>45444</v>
      </c>
      <c r="B1187" s="31" t="s">
        <v>153</v>
      </c>
      <c r="C1187" s="32"/>
      <c r="D1187" s="32"/>
      <c r="E1187" s="19" t="n">
        <f aca="false">+F1187*0.03</f>
        <v>0</v>
      </c>
      <c r="F1187" s="33" t="n">
        <v>0</v>
      </c>
      <c r="G1187" s="62"/>
      <c r="H1187" s="35" t="n">
        <v>0</v>
      </c>
      <c r="I1187" s="34" t="n">
        <f aca="false">+IF(E1187=0,0,E1187*0.03)</f>
        <v>0</v>
      </c>
    </row>
    <row r="1188" customFormat="false" ht="15.75" hidden="false" customHeight="true" outlineLevel="0" collapsed="false">
      <c r="A1188" s="30" t="n">
        <v>45444</v>
      </c>
      <c r="B1188" s="31" t="s">
        <v>153</v>
      </c>
      <c r="C1188" s="32"/>
      <c r="D1188" s="32"/>
      <c r="E1188" s="19" t="n">
        <f aca="false">+F1188*0.03</f>
        <v>0</v>
      </c>
      <c r="F1188" s="33" t="n">
        <v>0</v>
      </c>
      <c r="G1188" s="62"/>
      <c r="H1188" s="35" t="n">
        <v>0</v>
      </c>
      <c r="I1188" s="34" t="n">
        <f aca="false">+IF(E1188=0,0,E1188*0.03)</f>
        <v>0</v>
      </c>
    </row>
    <row r="1189" customFormat="false" ht="15.75" hidden="false" customHeight="true" outlineLevel="0" collapsed="false">
      <c r="A1189" s="30" t="n">
        <v>45444</v>
      </c>
      <c r="B1189" s="31" t="s">
        <v>153</v>
      </c>
      <c r="C1189" s="32"/>
      <c r="D1189" s="32"/>
      <c r="E1189" s="19" t="n">
        <f aca="false">+F1189*0.03</f>
        <v>0</v>
      </c>
      <c r="F1189" s="33" t="n">
        <v>0</v>
      </c>
      <c r="G1189" s="62"/>
      <c r="H1189" s="35" t="n">
        <v>0</v>
      </c>
      <c r="I1189" s="34" t="n">
        <f aca="false">+IF(E1189=0,0,E1189*0.03)</f>
        <v>0</v>
      </c>
    </row>
    <row r="1190" customFormat="false" ht="15.75" hidden="false" customHeight="true" outlineLevel="0" collapsed="false">
      <c r="A1190" s="30" t="n">
        <v>45444</v>
      </c>
      <c r="B1190" s="31" t="s">
        <v>153</v>
      </c>
      <c r="C1190" s="32"/>
      <c r="D1190" s="32"/>
      <c r="E1190" s="19" t="n">
        <f aca="false">+F1190*0.03</f>
        <v>0</v>
      </c>
      <c r="F1190" s="33" t="n">
        <v>0</v>
      </c>
      <c r="G1190" s="62"/>
      <c r="H1190" s="35" t="n">
        <v>0</v>
      </c>
      <c r="I1190" s="34" t="n">
        <f aca="false">+IF(E1190=0,0,E1190*0.03)</f>
        <v>0</v>
      </c>
    </row>
    <row r="1191" customFormat="false" ht="15.75" hidden="false" customHeight="true" outlineLevel="0" collapsed="false">
      <c r="A1191" s="30" t="n">
        <v>45444</v>
      </c>
      <c r="B1191" s="31" t="s">
        <v>153</v>
      </c>
      <c r="C1191" s="32"/>
      <c r="D1191" s="32"/>
      <c r="E1191" s="19" t="n">
        <f aca="false">+F1191*0.03</f>
        <v>0</v>
      </c>
      <c r="F1191" s="33" t="n">
        <v>0</v>
      </c>
      <c r="G1191" s="62"/>
      <c r="H1191" s="35" t="n">
        <v>0</v>
      </c>
      <c r="I1191" s="34" t="n">
        <f aca="false">+IF(E1191=0,0,E1191*0.03)</f>
        <v>0</v>
      </c>
    </row>
    <row r="1192" customFormat="false" ht="15.75" hidden="false" customHeight="true" outlineLevel="0" collapsed="false">
      <c r="A1192" s="30" t="n">
        <v>45444</v>
      </c>
      <c r="B1192" s="31" t="s">
        <v>153</v>
      </c>
      <c r="C1192" s="32"/>
      <c r="D1192" s="32"/>
      <c r="E1192" s="19" t="n">
        <f aca="false">+F1192*0.03</f>
        <v>0</v>
      </c>
      <c r="F1192" s="33" t="n">
        <v>0</v>
      </c>
      <c r="G1192" s="62"/>
      <c r="H1192" s="35" t="n">
        <v>0</v>
      </c>
      <c r="I1192" s="34" t="n">
        <f aca="false">+IF(E1192=0,0,E1192*0.03)</f>
        <v>0</v>
      </c>
    </row>
    <row r="1193" customFormat="false" ht="15.75" hidden="false" customHeight="true" outlineLevel="0" collapsed="false">
      <c r="A1193" s="30" t="n">
        <v>45444</v>
      </c>
      <c r="B1193" s="31" t="s">
        <v>153</v>
      </c>
      <c r="C1193" s="32"/>
      <c r="D1193" s="32"/>
      <c r="E1193" s="19" t="n">
        <f aca="false">+F1193*0.03</f>
        <v>0</v>
      </c>
      <c r="F1193" s="33" t="n">
        <v>0</v>
      </c>
      <c r="G1193" s="62"/>
      <c r="H1193" s="35" t="n">
        <v>0</v>
      </c>
      <c r="I1193" s="34" t="n">
        <f aca="false">+IF(E1193=0,0,E1193*0.03)</f>
        <v>0</v>
      </c>
    </row>
    <row r="1194" customFormat="false" ht="15.75" hidden="false" customHeight="true" outlineLevel="0" collapsed="false">
      <c r="A1194" s="30" t="n">
        <v>45444</v>
      </c>
      <c r="B1194" s="31" t="s">
        <v>153</v>
      </c>
      <c r="C1194" s="32"/>
      <c r="D1194" s="32"/>
      <c r="E1194" s="19" t="n">
        <f aca="false">+F1194*0.03</f>
        <v>0</v>
      </c>
      <c r="F1194" s="33" t="n">
        <v>0</v>
      </c>
      <c r="G1194" s="62"/>
      <c r="H1194" s="35" t="n">
        <v>0</v>
      </c>
      <c r="I1194" s="34" t="n">
        <f aca="false">+IF(E1194=0,0,E1194*0.03)</f>
        <v>0</v>
      </c>
    </row>
    <row r="1195" customFormat="false" ht="15.75" hidden="false" customHeight="true" outlineLevel="0" collapsed="false">
      <c r="A1195" s="30" t="n">
        <v>45444</v>
      </c>
      <c r="B1195" s="31" t="s">
        <v>153</v>
      </c>
      <c r="C1195" s="32"/>
      <c r="D1195" s="32"/>
      <c r="E1195" s="19" t="n">
        <f aca="false">+F1195*0.03</f>
        <v>0</v>
      </c>
      <c r="F1195" s="33" t="n">
        <v>0</v>
      </c>
      <c r="G1195" s="62"/>
      <c r="H1195" s="35" t="n">
        <v>0</v>
      </c>
      <c r="I1195" s="34" t="n">
        <f aca="false">+IF(E1195=0,0,E1195*0.03)</f>
        <v>0</v>
      </c>
    </row>
    <row r="1196" customFormat="false" ht="15.75" hidden="false" customHeight="true" outlineLevel="0" collapsed="false">
      <c r="A1196" s="30" t="n">
        <v>45444</v>
      </c>
      <c r="B1196" s="31" t="s">
        <v>153</v>
      </c>
      <c r="C1196" s="32"/>
      <c r="D1196" s="32"/>
      <c r="E1196" s="19" t="n">
        <f aca="false">+F1196*0.03</f>
        <v>0</v>
      </c>
      <c r="F1196" s="33" t="n">
        <v>0</v>
      </c>
      <c r="G1196" s="62"/>
      <c r="H1196" s="35" t="n">
        <v>0</v>
      </c>
      <c r="I1196" s="34" t="n">
        <f aca="false">+IF(E1196=0,0,E1196*0.03)</f>
        <v>0</v>
      </c>
    </row>
    <row r="1197" customFormat="false" ht="15.75" hidden="false" customHeight="true" outlineLevel="0" collapsed="false">
      <c r="A1197" s="30" t="n">
        <v>45444</v>
      </c>
      <c r="B1197" s="31" t="s">
        <v>153</v>
      </c>
      <c r="C1197" s="32"/>
      <c r="D1197" s="32"/>
      <c r="E1197" s="19" t="n">
        <f aca="false">+F1197*0.03</f>
        <v>0</v>
      </c>
      <c r="F1197" s="33" t="n">
        <v>0</v>
      </c>
      <c r="G1197" s="62"/>
      <c r="H1197" s="35" t="n">
        <v>0</v>
      </c>
      <c r="I1197" s="34" t="n">
        <f aca="false">+IF(E1197=0,0,E1197*0.03)</f>
        <v>0</v>
      </c>
    </row>
    <row r="1198" customFormat="false" ht="15.75" hidden="false" customHeight="true" outlineLevel="0" collapsed="false">
      <c r="A1198" s="30" t="n">
        <v>45444</v>
      </c>
      <c r="B1198" s="31" t="s">
        <v>153</v>
      </c>
      <c r="C1198" s="32"/>
      <c r="D1198" s="32"/>
      <c r="E1198" s="19" t="n">
        <f aca="false">+F1198*0.03</f>
        <v>0</v>
      </c>
      <c r="F1198" s="33" t="n">
        <v>0</v>
      </c>
      <c r="G1198" s="62"/>
      <c r="H1198" s="35" t="n">
        <v>0</v>
      </c>
      <c r="I1198" s="34" t="n">
        <f aca="false">+IF(E1198=0,0,E1198*0.03)</f>
        <v>0</v>
      </c>
    </row>
    <row r="1199" customFormat="false" ht="15.75" hidden="false" customHeight="true" outlineLevel="0" collapsed="false">
      <c r="A1199" s="30" t="n">
        <v>45444</v>
      </c>
      <c r="B1199" s="31" t="s">
        <v>153</v>
      </c>
      <c r="C1199" s="32"/>
      <c r="D1199" s="32"/>
      <c r="E1199" s="19" t="n">
        <f aca="false">+F1199*0.03</f>
        <v>0</v>
      </c>
      <c r="F1199" s="33" t="n">
        <v>0</v>
      </c>
      <c r="G1199" s="62"/>
      <c r="H1199" s="35" t="n">
        <v>0</v>
      </c>
      <c r="I1199" s="34" t="n">
        <f aca="false">+IF(E1199=0,0,E1199*0.03)</f>
        <v>0</v>
      </c>
    </row>
    <row r="1200" customFormat="false" ht="15.75" hidden="false" customHeight="true" outlineLevel="0" collapsed="false">
      <c r="A1200" s="30" t="n">
        <v>45444</v>
      </c>
      <c r="B1200" s="31" t="s">
        <v>153</v>
      </c>
      <c r="C1200" s="32"/>
      <c r="D1200" s="32"/>
      <c r="E1200" s="19" t="n">
        <f aca="false">+F1200*0.03</f>
        <v>0</v>
      </c>
      <c r="F1200" s="33" t="n">
        <v>0</v>
      </c>
      <c r="G1200" s="62"/>
      <c r="H1200" s="35" t="n">
        <v>0</v>
      </c>
      <c r="I1200" s="34" t="n">
        <f aca="false">+IF(E1200=0,0,E1200*0.03)</f>
        <v>0</v>
      </c>
    </row>
    <row r="1201" customFormat="false" ht="15.75" hidden="false" customHeight="true" outlineLevel="0" collapsed="false">
      <c r="A1201" s="30" t="n">
        <v>45444</v>
      </c>
      <c r="B1201" s="31" t="s">
        <v>153</v>
      </c>
      <c r="C1201" s="32"/>
      <c r="D1201" s="32"/>
      <c r="E1201" s="19" t="n">
        <f aca="false">+F1201*0.03</f>
        <v>0</v>
      </c>
      <c r="F1201" s="33" t="n">
        <v>0</v>
      </c>
      <c r="G1201" s="62"/>
      <c r="H1201" s="35" t="n">
        <v>0</v>
      </c>
      <c r="I1201" s="34" t="n">
        <f aca="false">+IF(E1201=0,0,E1201*0.03)</f>
        <v>0</v>
      </c>
    </row>
    <row r="1202" customFormat="false" ht="15.75" hidden="false" customHeight="true" outlineLevel="0" collapsed="false">
      <c r="A1202" s="30" t="n">
        <v>45444</v>
      </c>
      <c r="B1202" s="31" t="s">
        <v>153</v>
      </c>
      <c r="C1202" s="32"/>
      <c r="D1202" s="32"/>
      <c r="E1202" s="19" t="n">
        <f aca="false">+F1202*0.03</f>
        <v>0</v>
      </c>
      <c r="F1202" s="33" t="n">
        <v>0</v>
      </c>
      <c r="G1202" s="62"/>
      <c r="H1202" s="35" t="n">
        <v>0</v>
      </c>
      <c r="I1202" s="34" t="n">
        <f aca="false">+IF(E1202=0,0,E1202*0.03)</f>
        <v>0</v>
      </c>
    </row>
    <row r="1203" customFormat="false" ht="15.75" hidden="false" customHeight="true" outlineLevel="0" collapsed="false">
      <c r="A1203" s="30" t="n">
        <v>45444</v>
      </c>
      <c r="B1203" s="31" t="s">
        <v>153</v>
      </c>
      <c r="C1203" s="32"/>
      <c r="D1203" s="32"/>
      <c r="E1203" s="19" t="n">
        <f aca="false">+F1203*0.03</f>
        <v>0</v>
      </c>
      <c r="F1203" s="33" t="n">
        <v>0</v>
      </c>
      <c r="G1203" s="62"/>
      <c r="H1203" s="35" t="n">
        <v>0</v>
      </c>
      <c r="I1203" s="34" t="n">
        <f aca="false">+IF(E1203=0,0,E1203*0.03)</f>
        <v>0</v>
      </c>
    </row>
    <row r="1204" customFormat="false" ht="15.75" hidden="false" customHeight="true" outlineLevel="0" collapsed="false">
      <c r="A1204" s="30" t="n">
        <v>45444</v>
      </c>
      <c r="B1204" s="31" t="s">
        <v>153</v>
      </c>
      <c r="C1204" s="32"/>
      <c r="D1204" s="32"/>
      <c r="E1204" s="19" t="n">
        <f aca="false">+F1204*0.03</f>
        <v>0</v>
      </c>
      <c r="F1204" s="33" t="n">
        <v>0</v>
      </c>
      <c r="G1204" s="62"/>
      <c r="H1204" s="35" t="n">
        <v>0</v>
      </c>
      <c r="I1204" s="34" t="n">
        <f aca="false">+IF(E1204=0,0,E1204*0.03)</f>
        <v>0</v>
      </c>
    </row>
    <row r="1205" customFormat="false" ht="15.75" hidden="false" customHeight="true" outlineLevel="0" collapsed="false">
      <c r="A1205" s="30" t="n">
        <v>45444</v>
      </c>
      <c r="B1205" s="31" t="s">
        <v>153</v>
      </c>
      <c r="C1205" s="32"/>
      <c r="D1205" s="32"/>
      <c r="E1205" s="19" t="n">
        <f aca="false">+F1205*0.03</f>
        <v>0</v>
      </c>
      <c r="F1205" s="33" t="n">
        <v>0</v>
      </c>
      <c r="G1205" s="62"/>
      <c r="H1205" s="35" t="n">
        <v>0</v>
      </c>
      <c r="I1205" s="34" t="n">
        <f aca="false">+IF(E1205=0,0,E1205*0.03)</f>
        <v>0</v>
      </c>
    </row>
    <row r="1206" customFormat="false" ht="15.75" hidden="false" customHeight="true" outlineLevel="0" collapsed="false">
      <c r="A1206" s="30" t="n">
        <v>45444</v>
      </c>
      <c r="B1206" s="31" t="s">
        <v>153</v>
      </c>
      <c r="C1206" s="32"/>
      <c r="D1206" s="32"/>
      <c r="E1206" s="19" t="n">
        <f aca="false">+F1206*0.03</f>
        <v>0</v>
      </c>
      <c r="F1206" s="33" t="n">
        <v>0</v>
      </c>
      <c r="G1206" s="62"/>
      <c r="H1206" s="35" t="n">
        <v>0</v>
      </c>
      <c r="I1206" s="34" t="n">
        <f aca="false">+IF(E1206=0,0,E1206*0.03)</f>
        <v>0</v>
      </c>
    </row>
    <row r="1207" customFormat="false" ht="15.75" hidden="false" customHeight="true" outlineLevel="0" collapsed="false">
      <c r="A1207" s="30" t="n">
        <v>45444</v>
      </c>
      <c r="B1207" s="31" t="s">
        <v>153</v>
      </c>
      <c r="C1207" s="32"/>
      <c r="D1207" s="32"/>
      <c r="E1207" s="19" t="n">
        <f aca="false">+F1207*0.03</f>
        <v>0</v>
      </c>
      <c r="F1207" s="33" t="n">
        <v>0</v>
      </c>
      <c r="G1207" s="62"/>
      <c r="H1207" s="35" t="n">
        <v>0</v>
      </c>
      <c r="I1207" s="34" t="n">
        <f aca="false">+IF(E1207=0,0,E1207*0.03)</f>
        <v>0</v>
      </c>
    </row>
    <row r="1208" customFormat="false" ht="15.75" hidden="false" customHeight="true" outlineLevel="0" collapsed="false">
      <c r="A1208" s="30" t="n">
        <v>45444</v>
      </c>
      <c r="B1208" s="31" t="s">
        <v>153</v>
      </c>
      <c r="C1208" s="32"/>
      <c r="D1208" s="32"/>
      <c r="E1208" s="19" t="n">
        <f aca="false">+F1208*0.03</f>
        <v>0</v>
      </c>
      <c r="F1208" s="33" t="n">
        <v>0</v>
      </c>
      <c r="G1208" s="62"/>
      <c r="H1208" s="35" t="n">
        <v>0</v>
      </c>
      <c r="I1208" s="34" t="n">
        <f aca="false">+IF(E1208=0,0,E1208*0.03)</f>
        <v>0</v>
      </c>
    </row>
    <row r="1209" customFormat="false" ht="15.75" hidden="false" customHeight="true" outlineLevel="0" collapsed="false">
      <c r="A1209" s="30" t="n">
        <v>45444</v>
      </c>
      <c r="B1209" s="31" t="s">
        <v>153</v>
      </c>
      <c r="C1209" s="32"/>
      <c r="D1209" s="32"/>
      <c r="E1209" s="19" t="n">
        <f aca="false">+F1209*0.03</f>
        <v>0</v>
      </c>
      <c r="F1209" s="33" t="n">
        <v>0</v>
      </c>
      <c r="G1209" s="62"/>
      <c r="H1209" s="35" t="n">
        <v>0</v>
      </c>
      <c r="I1209" s="34" t="n">
        <f aca="false">+IF(E1209=0,0,E1209*0.03)</f>
        <v>0</v>
      </c>
    </row>
    <row r="1210" customFormat="false" ht="15.75" hidden="false" customHeight="true" outlineLevel="0" collapsed="false">
      <c r="A1210" s="30" t="n">
        <v>45444</v>
      </c>
      <c r="B1210" s="31" t="s">
        <v>153</v>
      </c>
      <c r="C1210" s="32"/>
      <c r="D1210" s="32"/>
      <c r="E1210" s="19" t="n">
        <f aca="false">+F1210*0.03</f>
        <v>0</v>
      </c>
      <c r="F1210" s="33" t="n">
        <v>0</v>
      </c>
      <c r="G1210" s="62"/>
      <c r="H1210" s="35" t="n">
        <v>0</v>
      </c>
      <c r="I1210" s="34" t="n">
        <f aca="false">+IF(E1210=0,0,E1210*0.03)</f>
        <v>0</v>
      </c>
    </row>
    <row r="1211" customFormat="false" ht="15.75" hidden="false" customHeight="true" outlineLevel="0" collapsed="false">
      <c r="A1211" s="30" t="n">
        <v>45444</v>
      </c>
      <c r="B1211" s="31" t="s">
        <v>153</v>
      </c>
      <c r="C1211" s="32"/>
      <c r="D1211" s="32"/>
      <c r="E1211" s="19" t="n">
        <f aca="false">+F1211*0.03</f>
        <v>0</v>
      </c>
      <c r="F1211" s="33" t="n">
        <v>0</v>
      </c>
      <c r="G1211" s="62"/>
      <c r="H1211" s="35" t="n">
        <v>0</v>
      </c>
      <c r="I1211" s="34" t="n">
        <f aca="false">+IF(E1211=0,0,E1211*0.03)</f>
        <v>0</v>
      </c>
    </row>
    <row r="1212" customFormat="false" ht="15.75" hidden="false" customHeight="true" outlineLevel="0" collapsed="false">
      <c r="A1212" s="30" t="n">
        <v>45444</v>
      </c>
      <c r="B1212" s="31" t="s">
        <v>153</v>
      </c>
      <c r="C1212" s="32"/>
      <c r="D1212" s="32"/>
      <c r="E1212" s="19" t="n">
        <f aca="false">+F1212*0.03</f>
        <v>0</v>
      </c>
      <c r="F1212" s="33" t="n">
        <v>0</v>
      </c>
      <c r="G1212" s="62"/>
      <c r="H1212" s="35" t="n">
        <v>0</v>
      </c>
      <c r="I1212" s="34" t="n">
        <f aca="false">+IF(E1212=0,0,E1212*0.03)</f>
        <v>0</v>
      </c>
    </row>
    <row r="1213" customFormat="false" ht="15.75" hidden="false" customHeight="true" outlineLevel="0" collapsed="false">
      <c r="A1213" s="30" t="n">
        <v>45444</v>
      </c>
      <c r="B1213" s="31" t="s">
        <v>153</v>
      </c>
      <c r="C1213" s="32"/>
      <c r="D1213" s="32"/>
      <c r="E1213" s="19" t="n">
        <f aca="false">+F1213*0.03</f>
        <v>0</v>
      </c>
      <c r="F1213" s="33" t="n">
        <v>0</v>
      </c>
      <c r="G1213" s="62"/>
      <c r="H1213" s="35" t="n">
        <v>0</v>
      </c>
      <c r="I1213" s="34" t="n">
        <f aca="false">+IF(E1213=0,0,E1213*0.03)</f>
        <v>0</v>
      </c>
    </row>
    <row r="1214" customFormat="false" ht="15.75" hidden="false" customHeight="true" outlineLevel="0" collapsed="false">
      <c r="A1214" s="30" t="n">
        <v>45444</v>
      </c>
      <c r="B1214" s="31" t="s">
        <v>153</v>
      </c>
      <c r="C1214" s="32"/>
      <c r="D1214" s="32"/>
      <c r="E1214" s="19" t="n">
        <f aca="false">+F1214*0.03</f>
        <v>0</v>
      </c>
      <c r="F1214" s="33" t="n">
        <v>0</v>
      </c>
      <c r="G1214" s="62"/>
      <c r="H1214" s="35" t="n">
        <v>0</v>
      </c>
      <c r="I1214" s="34" t="n">
        <f aca="false">+IF(E1214=0,0,E1214*0.03)</f>
        <v>0</v>
      </c>
    </row>
    <row r="1215" customFormat="false" ht="15.75" hidden="false" customHeight="true" outlineLevel="0" collapsed="false">
      <c r="A1215" s="30" t="n">
        <v>45444</v>
      </c>
      <c r="B1215" s="31" t="s">
        <v>153</v>
      </c>
      <c r="C1215" s="32"/>
      <c r="D1215" s="32"/>
      <c r="E1215" s="19" t="n">
        <f aca="false">+F1215*0.03</f>
        <v>0</v>
      </c>
      <c r="F1215" s="33" t="n">
        <v>0</v>
      </c>
      <c r="G1215" s="62"/>
      <c r="H1215" s="35" t="n">
        <v>0</v>
      </c>
      <c r="I1215" s="34" t="n">
        <f aca="false">+IF(E1215=0,0,E1215*0.03)</f>
        <v>0</v>
      </c>
    </row>
    <row r="1216" customFormat="false" ht="15.75" hidden="false" customHeight="true" outlineLevel="0" collapsed="false">
      <c r="A1216" s="30" t="n">
        <v>45444</v>
      </c>
      <c r="B1216" s="31" t="s">
        <v>153</v>
      </c>
      <c r="C1216" s="32"/>
      <c r="D1216" s="32"/>
      <c r="E1216" s="19" t="n">
        <f aca="false">+F1216*0.03</f>
        <v>0</v>
      </c>
      <c r="F1216" s="33" t="n">
        <v>0</v>
      </c>
      <c r="G1216" s="62"/>
      <c r="H1216" s="35" t="n">
        <v>0</v>
      </c>
      <c r="I1216" s="34" t="n">
        <f aca="false">+IF(E1216=0,0,E1216*0.03)</f>
        <v>0</v>
      </c>
    </row>
    <row r="1217" customFormat="false" ht="15.75" hidden="false" customHeight="true" outlineLevel="0" collapsed="false">
      <c r="A1217" s="30" t="n">
        <v>45444</v>
      </c>
      <c r="B1217" s="31" t="s">
        <v>153</v>
      </c>
      <c r="C1217" s="32"/>
      <c r="D1217" s="32"/>
      <c r="E1217" s="19" t="n">
        <f aca="false">+F1217*0.03</f>
        <v>0</v>
      </c>
      <c r="F1217" s="33" t="n">
        <v>0</v>
      </c>
      <c r="G1217" s="62"/>
      <c r="H1217" s="35" t="n">
        <v>0</v>
      </c>
      <c r="I1217" s="34" t="n">
        <f aca="false">+IF(E1217=0,0,E1217*0.03)</f>
        <v>0</v>
      </c>
    </row>
    <row r="1218" customFormat="false" ht="15.75" hidden="false" customHeight="true" outlineLevel="0" collapsed="false">
      <c r="A1218" s="30" t="n">
        <v>45444</v>
      </c>
      <c r="B1218" s="31" t="s">
        <v>153</v>
      </c>
      <c r="C1218" s="32"/>
      <c r="D1218" s="32"/>
      <c r="E1218" s="19" t="n">
        <f aca="false">+F1218*0.03</f>
        <v>0</v>
      </c>
      <c r="F1218" s="33" t="n">
        <v>0</v>
      </c>
      <c r="G1218" s="62"/>
      <c r="H1218" s="35" t="n">
        <v>0</v>
      </c>
      <c r="I1218" s="34" t="n">
        <f aca="false">+IF(E1218=0,0,E1218*0.03)</f>
        <v>0</v>
      </c>
    </row>
    <row r="1219" customFormat="false" ht="15.75" hidden="false" customHeight="true" outlineLevel="0" collapsed="false">
      <c r="A1219" s="30" t="n">
        <v>45444</v>
      </c>
      <c r="B1219" s="31" t="s">
        <v>153</v>
      </c>
      <c r="C1219" s="32"/>
      <c r="D1219" s="32"/>
      <c r="E1219" s="19" t="n">
        <f aca="false">+F1219*0.03</f>
        <v>0</v>
      </c>
      <c r="F1219" s="33" t="n">
        <v>0</v>
      </c>
      <c r="G1219" s="62"/>
      <c r="H1219" s="35" t="n">
        <v>0</v>
      </c>
      <c r="I1219" s="34" t="n">
        <f aca="false">+IF(E1219=0,0,E1219*0.03)</f>
        <v>0</v>
      </c>
    </row>
    <row r="1220" customFormat="false" ht="15.75" hidden="false" customHeight="true" outlineLevel="0" collapsed="false">
      <c r="A1220" s="30" t="n">
        <v>45444</v>
      </c>
      <c r="B1220" s="31" t="s">
        <v>153</v>
      </c>
      <c r="C1220" s="32"/>
      <c r="D1220" s="32"/>
      <c r="E1220" s="19" t="n">
        <f aca="false">+F1220*0.03</f>
        <v>0</v>
      </c>
      <c r="F1220" s="33" t="n">
        <v>0</v>
      </c>
      <c r="G1220" s="62"/>
      <c r="H1220" s="35" t="n">
        <v>0</v>
      </c>
      <c r="I1220" s="34" t="n">
        <f aca="false">+IF(E1220=0,0,E1220*0.03)</f>
        <v>0</v>
      </c>
    </row>
    <row r="1221" customFormat="false" ht="15.75" hidden="false" customHeight="true" outlineLevel="0" collapsed="false">
      <c r="A1221" s="30" t="n">
        <v>45444</v>
      </c>
      <c r="B1221" s="31" t="s">
        <v>153</v>
      </c>
      <c r="C1221" s="32"/>
      <c r="D1221" s="32"/>
      <c r="E1221" s="19" t="n">
        <f aca="false">+F1221*0.03</f>
        <v>0</v>
      </c>
      <c r="F1221" s="33" t="n">
        <v>0</v>
      </c>
      <c r="G1221" s="62"/>
      <c r="H1221" s="35" t="n">
        <v>0</v>
      </c>
      <c r="I1221" s="34" t="n">
        <f aca="false">+IF(E1221=0,0,E1221*0.03)</f>
        <v>0</v>
      </c>
    </row>
    <row r="1222" customFormat="false" ht="15.75" hidden="false" customHeight="true" outlineLevel="0" collapsed="false">
      <c r="A1222" s="30" t="n">
        <v>45444</v>
      </c>
      <c r="B1222" s="31" t="s">
        <v>153</v>
      </c>
      <c r="C1222" s="32"/>
      <c r="D1222" s="32"/>
      <c r="E1222" s="19" t="n">
        <f aca="false">+F1222*0.03</f>
        <v>0</v>
      </c>
      <c r="F1222" s="33" t="n">
        <v>0</v>
      </c>
      <c r="G1222" s="62"/>
      <c r="H1222" s="35" t="n">
        <v>0</v>
      </c>
      <c r="I1222" s="34" t="n">
        <f aca="false">+IF(E1222=0,0,E1222*0.03)</f>
        <v>0</v>
      </c>
    </row>
    <row r="1223" customFormat="false" ht="15.75" hidden="false" customHeight="true" outlineLevel="0" collapsed="false">
      <c r="A1223" s="30" t="n">
        <v>45444</v>
      </c>
      <c r="B1223" s="31" t="s">
        <v>153</v>
      </c>
      <c r="C1223" s="32"/>
      <c r="D1223" s="32"/>
      <c r="E1223" s="19" t="n">
        <f aca="false">+F1223*0.03</f>
        <v>0</v>
      </c>
      <c r="F1223" s="33" t="n">
        <v>0</v>
      </c>
      <c r="G1223" s="62"/>
      <c r="H1223" s="35" t="n">
        <v>0</v>
      </c>
      <c r="I1223" s="34" t="n">
        <f aca="false">+IF(E1223=0,0,E1223*0.03)</f>
        <v>0</v>
      </c>
    </row>
    <row r="1224" customFormat="false" ht="15.75" hidden="false" customHeight="true" outlineLevel="0" collapsed="false">
      <c r="A1224" s="30" t="n">
        <v>45444</v>
      </c>
      <c r="B1224" s="31" t="s">
        <v>153</v>
      </c>
      <c r="C1224" s="32"/>
      <c r="D1224" s="32"/>
      <c r="E1224" s="19" t="n">
        <f aca="false">+F1224*0.03</f>
        <v>0</v>
      </c>
      <c r="F1224" s="33" t="n">
        <v>0</v>
      </c>
      <c r="G1224" s="62"/>
      <c r="H1224" s="35" t="n">
        <v>0</v>
      </c>
      <c r="I1224" s="34" t="n">
        <f aca="false">+IF(E1224=0,0,E1224*0.03)</f>
        <v>0</v>
      </c>
    </row>
    <row r="1225" customFormat="false" ht="15.75" hidden="false" customHeight="true" outlineLevel="0" collapsed="false">
      <c r="A1225" s="30" t="n">
        <v>45444</v>
      </c>
      <c r="B1225" s="31" t="s">
        <v>153</v>
      </c>
      <c r="C1225" s="32"/>
      <c r="D1225" s="32"/>
      <c r="E1225" s="19" t="n">
        <f aca="false">+F1225*0.03</f>
        <v>0</v>
      </c>
      <c r="F1225" s="33" t="n">
        <v>0</v>
      </c>
      <c r="G1225" s="62"/>
      <c r="H1225" s="35" t="n">
        <v>0</v>
      </c>
      <c r="I1225" s="34" t="n">
        <f aca="false">+IF(E1225=0,0,E1225*0.03)</f>
        <v>0</v>
      </c>
    </row>
    <row r="1226" customFormat="false" ht="15.75" hidden="false" customHeight="true" outlineLevel="0" collapsed="false">
      <c r="A1226" s="30" t="n">
        <v>45444</v>
      </c>
      <c r="B1226" s="31" t="s">
        <v>153</v>
      </c>
      <c r="C1226" s="32"/>
      <c r="D1226" s="32"/>
      <c r="E1226" s="19" t="n">
        <f aca="false">+F1226*0.03</f>
        <v>0</v>
      </c>
      <c r="F1226" s="33" t="n">
        <v>0</v>
      </c>
      <c r="G1226" s="62"/>
      <c r="H1226" s="35" t="n">
        <v>0</v>
      </c>
      <c r="I1226" s="34" t="n">
        <f aca="false">+IF(E1226=0,0,E1226*0.03)</f>
        <v>0</v>
      </c>
    </row>
    <row r="1227" customFormat="false" ht="15.75" hidden="false" customHeight="true" outlineLevel="0" collapsed="false">
      <c r="A1227" s="30" t="n">
        <v>45444</v>
      </c>
      <c r="B1227" s="31" t="s">
        <v>153</v>
      </c>
      <c r="C1227" s="32"/>
      <c r="D1227" s="32"/>
      <c r="E1227" s="19" t="n">
        <f aca="false">+F1227*0.03</f>
        <v>0</v>
      </c>
      <c r="F1227" s="33" t="n">
        <v>0</v>
      </c>
      <c r="G1227" s="62"/>
      <c r="H1227" s="35" t="n">
        <v>0</v>
      </c>
      <c r="I1227" s="34" t="n">
        <f aca="false">+IF(E1227=0,0,E1227*0.03)</f>
        <v>0</v>
      </c>
    </row>
    <row r="1228" customFormat="false" ht="15.75" hidden="false" customHeight="true" outlineLevel="0" collapsed="false">
      <c r="A1228" s="30" t="n">
        <v>45444</v>
      </c>
      <c r="B1228" s="31" t="s">
        <v>153</v>
      </c>
      <c r="C1228" s="32"/>
      <c r="D1228" s="32"/>
      <c r="E1228" s="19" t="n">
        <f aca="false">+F1228*0.03</f>
        <v>0</v>
      </c>
      <c r="F1228" s="33" t="n">
        <v>0</v>
      </c>
      <c r="G1228" s="62"/>
      <c r="H1228" s="35" t="n">
        <v>0</v>
      </c>
      <c r="I1228" s="34" t="n">
        <f aca="false">+IF(E1228=0,0,E1228*0.03)</f>
        <v>0</v>
      </c>
    </row>
    <row r="1229" customFormat="false" ht="15.75" hidden="false" customHeight="true" outlineLevel="0" collapsed="false">
      <c r="A1229" s="30" t="n">
        <v>45444</v>
      </c>
      <c r="B1229" s="31" t="s">
        <v>153</v>
      </c>
      <c r="C1229" s="32"/>
      <c r="D1229" s="32"/>
      <c r="E1229" s="19" t="n">
        <f aca="false">+F1229*0.03</f>
        <v>0</v>
      </c>
      <c r="F1229" s="33" t="n">
        <v>0</v>
      </c>
      <c r="G1229" s="62"/>
      <c r="H1229" s="35" t="n">
        <v>0</v>
      </c>
      <c r="I1229" s="34" t="n">
        <f aca="false">+IF(E1229=0,0,E1229*0.03)</f>
        <v>0</v>
      </c>
    </row>
    <row r="1230" customFormat="false" ht="15.75" hidden="false" customHeight="true" outlineLevel="0" collapsed="false">
      <c r="A1230" s="30" t="n">
        <v>45444</v>
      </c>
      <c r="B1230" s="31" t="s">
        <v>153</v>
      </c>
      <c r="C1230" s="32"/>
      <c r="D1230" s="32"/>
      <c r="E1230" s="19" t="n">
        <f aca="false">+F1230*0.03</f>
        <v>0</v>
      </c>
      <c r="F1230" s="33" t="n">
        <v>0</v>
      </c>
      <c r="G1230" s="62"/>
      <c r="H1230" s="35" t="n">
        <v>0</v>
      </c>
      <c r="I1230" s="34" t="n">
        <f aca="false">+IF(E1230=0,0,E1230*0.03)</f>
        <v>0</v>
      </c>
    </row>
    <row r="1231" customFormat="false" ht="15.75" hidden="false" customHeight="true" outlineLevel="0" collapsed="false">
      <c r="A1231" s="30" t="n">
        <v>45444</v>
      </c>
      <c r="B1231" s="31" t="s">
        <v>153</v>
      </c>
      <c r="C1231" s="32"/>
      <c r="D1231" s="32"/>
      <c r="E1231" s="19" t="n">
        <f aca="false">+F1231*0.03</f>
        <v>0</v>
      </c>
      <c r="F1231" s="33" t="n">
        <v>0</v>
      </c>
      <c r="G1231" s="62"/>
      <c r="H1231" s="35" t="n">
        <v>0</v>
      </c>
      <c r="I1231" s="34" t="n">
        <f aca="false">+IF(E1231=0,0,E1231*0.03)</f>
        <v>0</v>
      </c>
    </row>
    <row r="1232" customFormat="false" ht="15.75" hidden="false" customHeight="true" outlineLevel="0" collapsed="false">
      <c r="A1232" s="30" t="n">
        <v>45444</v>
      </c>
      <c r="B1232" s="31" t="s">
        <v>153</v>
      </c>
      <c r="C1232" s="32"/>
      <c r="D1232" s="32"/>
      <c r="E1232" s="19" t="n">
        <f aca="false">+F1232*0.03</f>
        <v>0</v>
      </c>
      <c r="F1232" s="33" t="n">
        <v>0</v>
      </c>
      <c r="G1232" s="62"/>
      <c r="H1232" s="35" t="n">
        <v>0</v>
      </c>
      <c r="I1232" s="34" t="n">
        <f aca="false">+IF(E1232=0,0,E1232*0.03)</f>
        <v>0</v>
      </c>
    </row>
    <row r="1233" customFormat="false" ht="15.75" hidden="false" customHeight="true" outlineLevel="0" collapsed="false">
      <c r="A1233" s="30" t="n">
        <v>45444</v>
      </c>
      <c r="B1233" s="31" t="s">
        <v>153</v>
      </c>
      <c r="C1233" s="32"/>
      <c r="D1233" s="32"/>
      <c r="E1233" s="19" t="n">
        <f aca="false">+F1233*0.03</f>
        <v>0</v>
      </c>
      <c r="F1233" s="33" t="n">
        <v>0</v>
      </c>
      <c r="G1233" s="62"/>
      <c r="H1233" s="35" t="n">
        <v>0</v>
      </c>
      <c r="I1233" s="34" t="n">
        <f aca="false">+IF(E1233=0,0,E1233*0.03)</f>
        <v>0</v>
      </c>
    </row>
    <row r="1234" customFormat="false" ht="15.75" hidden="false" customHeight="true" outlineLevel="0" collapsed="false">
      <c r="A1234" s="30" t="n">
        <v>45444</v>
      </c>
      <c r="B1234" s="31" t="s">
        <v>153</v>
      </c>
      <c r="C1234" s="32"/>
      <c r="D1234" s="32"/>
      <c r="E1234" s="19" t="n">
        <f aca="false">+F1234*0.03</f>
        <v>0</v>
      </c>
      <c r="F1234" s="33" t="n">
        <v>0</v>
      </c>
      <c r="G1234" s="62"/>
      <c r="H1234" s="35" t="n">
        <v>0</v>
      </c>
      <c r="I1234" s="34" t="n">
        <f aca="false">+IF(E1234=0,0,E1234*0.03)</f>
        <v>0</v>
      </c>
    </row>
    <row r="1235" customFormat="false" ht="15.75" hidden="false" customHeight="true" outlineLevel="0" collapsed="false">
      <c r="A1235" s="30" t="n">
        <v>45444</v>
      </c>
      <c r="B1235" s="31" t="s">
        <v>153</v>
      </c>
      <c r="C1235" s="32"/>
      <c r="D1235" s="32"/>
      <c r="E1235" s="19" t="n">
        <f aca="false">+F1235*0.03</f>
        <v>0</v>
      </c>
      <c r="F1235" s="33" t="n">
        <v>0</v>
      </c>
      <c r="G1235" s="62"/>
      <c r="H1235" s="35" t="n">
        <v>0</v>
      </c>
      <c r="I1235" s="34" t="n">
        <f aca="false">+IF(E1235=0,0,E1235*0.03)</f>
        <v>0</v>
      </c>
    </row>
    <row r="1236" customFormat="false" ht="15.75" hidden="false" customHeight="true" outlineLevel="0" collapsed="false">
      <c r="A1236" s="30" t="n">
        <v>45444</v>
      </c>
      <c r="B1236" s="31" t="s">
        <v>153</v>
      </c>
      <c r="C1236" s="32"/>
      <c r="D1236" s="32"/>
      <c r="E1236" s="19" t="n">
        <f aca="false">+F1236*0.03</f>
        <v>0</v>
      </c>
      <c r="F1236" s="33" t="n">
        <v>0</v>
      </c>
      <c r="G1236" s="62"/>
      <c r="H1236" s="35" t="n">
        <v>0</v>
      </c>
      <c r="I1236" s="34" t="n">
        <f aca="false">+IF(E1236=0,0,E1236*0.03)</f>
        <v>0</v>
      </c>
    </row>
    <row r="1237" customFormat="false" ht="15.75" hidden="false" customHeight="true" outlineLevel="0" collapsed="false">
      <c r="A1237" s="30" t="n">
        <v>45444</v>
      </c>
      <c r="B1237" s="31" t="s">
        <v>153</v>
      </c>
      <c r="C1237" s="32"/>
      <c r="D1237" s="32"/>
      <c r="E1237" s="19" t="n">
        <f aca="false">+F1237*0.03</f>
        <v>0</v>
      </c>
      <c r="F1237" s="33" t="n">
        <v>0</v>
      </c>
      <c r="G1237" s="62"/>
      <c r="H1237" s="35" t="n">
        <v>0</v>
      </c>
      <c r="I1237" s="34" t="n">
        <f aca="false">+IF(E1237=0,0,E1237*0.03)</f>
        <v>0</v>
      </c>
    </row>
    <row r="1238" customFormat="false" ht="15.75" hidden="false" customHeight="true" outlineLevel="0" collapsed="false">
      <c r="A1238" s="30" t="n">
        <v>45444</v>
      </c>
      <c r="B1238" s="31" t="s">
        <v>153</v>
      </c>
      <c r="C1238" s="32"/>
      <c r="D1238" s="32"/>
      <c r="E1238" s="19" t="n">
        <f aca="false">+F1238*0.03</f>
        <v>0</v>
      </c>
      <c r="F1238" s="33" t="n">
        <v>0</v>
      </c>
      <c r="G1238" s="62"/>
      <c r="H1238" s="35" t="n">
        <v>0</v>
      </c>
      <c r="I1238" s="34" t="n">
        <f aca="false">+IF(E1238=0,0,E1238*0.03)</f>
        <v>0</v>
      </c>
    </row>
    <row r="1239" customFormat="false" ht="15.75" hidden="false" customHeight="true" outlineLevel="0" collapsed="false">
      <c r="A1239" s="30" t="n">
        <v>45444</v>
      </c>
      <c r="B1239" s="31" t="s">
        <v>153</v>
      </c>
      <c r="C1239" s="32"/>
      <c r="D1239" s="32"/>
      <c r="E1239" s="19" t="n">
        <f aca="false">+F1239*0.03</f>
        <v>0</v>
      </c>
      <c r="F1239" s="33" t="n">
        <v>0</v>
      </c>
      <c r="G1239" s="62"/>
      <c r="H1239" s="35" t="n">
        <v>0</v>
      </c>
      <c r="I1239" s="34" t="n">
        <f aca="false">+IF(E1239=0,0,E1239*0.03)</f>
        <v>0</v>
      </c>
    </row>
    <row r="1240" customFormat="false" ht="15.75" hidden="false" customHeight="true" outlineLevel="0" collapsed="false">
      <c r="A1240" s="30" t="n">
        <v>45444</v>
      </c>
      <c r="B1240" s="31" t="s">
        <v>153</v>
      </c>
      <c r="C1240" s="32"/>
      <c r="D1240" s="32"/>
      <c r="E1240" s="19" t="n">
        <f aca="false">+F1240*0.03</f>
        <v>0</v>
      </c>
      <c r="F1240" s="33" t="n">
        <v>0</v>
      </c>
      <c r="G1240" s="62"/>
      <c r="H1240" s="35" t="n">
        <v>0</v>
      </c>
      <c r="I1240" s="34" t="n">
        <f aca="false">+IF(E1240=0,0,E1240*0.03)</f>
        <v>0</v>
      </c>
    </row>
    <row r="1241" customFormat="false" ht="15.75" hidden="false" customHeight="true" outlineLevel="0" collapsed="false">
      <c r="A1241" s="30" t="n">
        <v>45444</v>
      </c>
      <c r="B1241" s="31" t="s">
        <v>153</v>
      </c>
      <c r="C1241" s="32"/>
      <c r="D1241" s="32"/>
      <c r="E1241" s="19" t="n">
        <f aca="false">+F1241*0.03</f>
        <v>0</v>
      </c>
      <c r="F1241" s="33" t="n">
        <v>0</v>
      </c>
      <c r="G1241" s="62"/>
      <c r="H1241" s="35" t="n">
        <v>0</v>
      </c>
      <c r="I1241" s="34" t="n">
        <f aca="false">+IF(E1241=0,0,E1241*0.03)</f>
        <v>0</v>
      </c>
    </row>
    <row r="1242" customFormat="false" ht="15.75" hidden="false" customHeight="true" outlineLevel="0" collapsed="false">
      <c r="A1242" s="30" t="n">
        <v>45444</v>
      </c>
      <c r="B1242" s="31" t="s">
        <v>153</v>
      </c>
      <c r="C1242" s="32"/>
      <c r="D1242" s="32"/>
      <c r="E1242" s="19" t="n">
        <f aca="false">+F1242*0.03</f>
        <v>0</v>
      </c>
      <c r="F1242" s="33" t="n">
        <v>0</v>
      </c>
      <c r="G1242" s="62"/>
      <c r="H1242" s="35" t="n">
        <v>0</v>
      </c>
      <c r="I1242" s="34" t="n">
        <f aca="false">+IF(E1242=0,0,E1242*0.03)</f>
        <v>0</v>
      </c>
    </row>
    <row r="1243" customFormat="false" ht="15.75" hidden="false" customHeight="true" outlineLevel="0" collapsed="false">
      <c r="A1243" s="30" t="n">
        <v>45444</v>
      </c>
      <c r="B1243" s="31" t="s">
        <v>153</v>
      </c>
      <c r="C1243" s="32"/>
      <c r="D1243" s="32"/>
      <c r="E1243" s="19" t="n">
        <f aca="false">+F1243*0.03</f>
        <v>0</v>
      </c>
      <c r="F1243" s="33" t="n">
        <v>0</v>
      </c>
      <c r="G1243" s="62"/>
      <c r="H1243" s="35" t="n">
        <v>0</v>
      </c>
      <c r="I1243" s="34" t="n">
        <f aca="false">+IF(E1243=0,0,E1243*0.03)</f>
        <v>0</v>
      </c>
    </row>
    <row r="1244" customFormat="false" ht="15.75" hidden="false" customHeight="true" outlineLevel="0" collapsed="false">
      <c r="A1244" s="30" t="n">
        <v>45444</v>
      </c>
      <c r="B1244" s="31" t="s">
        <v>153</v>
      </c>
      <c r="C1244" s="32"/>
      <c r="D1244" s="32"/>
      <c r="E1244" s="19" t="n">
        <f aca="false">+F1244*0.03</f>
        <v>0</v>
      </c>
      <c r="F1244" s="33" t="n">
        <v>0</v>
      </c>
      <c r="G1244" s="62"/>
      <c r="H1244" s="35" t="n">
        <v>0</v>
      </c>
      <c r="I1244" s="34" t="n">
        <f aca="false">+IF(E1244=0,0,E1244*0.03)</f>
        <v>0</v>
      </c>
    </row>
    <row r="1245" customFormat="false" ht="15.75" hidden="false" customHeight="true" outlineLevel="0" collapsed="false">
      <c r="A1245" s="30" t="n">
        <v>45444</v>
      </c>
      <c r="B1245" s="31" t="s">
        <v>153</v>
      </c>
      <c r="C1245" s="32"/>
      <c r="D1245" s="32"/>
      <c r="E1245" s="19" t="n">
        <f aca="false">+F1245*0.03</f>
        <v>0</v>
      </c>
      <c r="F1245" s="33" t="n">
        <v>0</v>
      </c>
      <c r="G1245" s="62"/>
      <c r="H1245" s="35" t="n">
        <v>0</v>
      </c>
      <c r="I1245" s="34" t="n">
        <f aca="false">+IF(E1245=0,0,E1245*0.03)</f>
        <v>0</v>
      </c>
    </row>
    <row r="1246" customFormat="false" ht="15.75" hidden="false" customHeight="true" outlineLevel="0" collapsed="false">
      <c r="A1246" s="30" t="n">
        <v>45444</v>
      </c>
      <c r="B1246" s="31" t="s">
        <v>153</v>
      </c>
      <c r="C1246" s="32"/>
      <c r="D1246" s="32"/>
      <c r="E1246" s="19" t="n">
        <f aca="false">+F1246*0.03</f>
        <v>0</v>
      </c>
      <c r="F1246" s="33" t="n">
        <v>0</v>
      </c>
      <c r="G1246" s="62"/>
      <c r="H1246" s="35" t="n">
        <v>0</v>
      </c>
      <c r="I1246" s="34" t="n">
        <f aca="false">+IF(E1246=0,0,E1246*0.03)</f>
        <v>0</v>
      </c>
    </row>
    <row r="1247" customFormat="false" ht="15.75" hidden="false" customHeight="true" outlineLevel="0" collapsed="false">
      <c r="A1247" s="30" t="n">
        <v>45444</v>
      </c>
      <c r="B1247" s="31" t="s">
        <v>153</v>
      </c>
      <c r="C1247" s="32"/>
      <c r="D1247" s="32"/>
      <c r="E1247" s="19" t="n">
        <f aca="false">+F1247*0.03</f>
        <v>0</v>
      </c>
      <c r="F1247" s="33" t="n">
        <v>0</v>
      </c>
      <c r="G1247" s="62"/>
      <c r="H1247" s="35" t="n">
        <v>0</v>
      </c>
      <c r="I1247" s="34" t="n">
        <f aca="false">+IF(E1247=0,0,E1247*0.03)</f>
        <v>0</v>
      </c>
    </row>
    <row r="1248" customFormat="false" ht="15.75" hidden="false" customHeight="true" outlineLevel="0" collapsed="false">
      <c r="A1248" s="30" t="n">
        <v>45444</v>
      </c>
      <c r="B1248" s="31" t="s">
        <v>153</v>
      </c>
      <c r="C1248" s="32"/>
      <c r="D1248" s="32"/>
      <c r="E1248" s="19" t="n">
        <f aca="false">+F1248*0.03</f>
        <v>0</v>
      </c>
      <c r="F1248" s="33" t="n">
        <v>0</v>
      </c>
      <c r="G1248" s="62"/>
      <c r="H1248" s="35" t="n">
        <v>0</v>
      </c>
      <c r="I1248" s="34" t="n">
        <f aca="false">+IF(E1248=0,0,E1248*0.03)</f>
        <v>0</v>
      </c>
    </row>
    <row r="1249" customFormat="false" ht="15.75" hidden="false" customHeight="true" outlineLevel="0" collapsed="false">
      <c r="A1249" s="30" t="n">
        <v>45444</v>
      </c>
      <c r="B1249" s="31" t="s">
        <v>153</v>
      </c>
      <c r="C1249" s="32"/>
      <c r="D1249" s="32"/>
      <c r="E1249" s="19" t="n">
        <f aca="false">+F1249*0.03</f>
        <v>0</v>
      </c>
      <c r="F1249" s="33" t="n">
        <v>0</v>
      </c>
      <c r="G1249" s="62"/>
      <c r="H1249" s="35" t="n">
        <v>0</v>
      </c>
      <c r="I1249" s="34" t="n">
        <f aca="false">+IF(E1249=0,0,E1249*0.03)</f>
        <v>0</v>
      </c>
    </row>
    <row r="1250" customFormat="false" ht="15.75" hidden="false" customHeight="true" outlineLevel="0" collapsed="false">
      <c r="A1250" s="30" t="n">
        <v>45444</v>
      </c>
      <c r="B1250" s="31" t="s">
        <v>153</v>
      </c>
      <c r="C1250" s="32"/>
      <c r="D1250" s="32"/>
      <c r="E1250" s="19" t="n">
        <f aca="false">+F1250*0.03</f>
        <v>0</v>
      </c>
      <c r="F1250" s="33" t="n">
        <v>0</v>
      </c>
      <c r="G1250" s="62"/>
      <c r="H1250" s="35" t="n">
        <v>0</v>
      </c>
      <c r="I1250" s="34" t="n">
        <f aca="false">+IF(E1250=0,0,E1250*0.03)</f>
        <v>0</v>
      </c>
    </row>
    <row r="1251" customFormat="false" ht="15.75" hidden="false" customHeight="true" outlineLevel="0" collapsed="false">
      <c r="A1251" s="30" t="n">
        <v>45444</v>
      </c>
      <c r="B1251" s="31" t="s">
        <v>153</v>
      </c>
      <c r="C1251" s="32"/>
      <c r="D1251" s="32"/>
      <c r="E1251" s="19" t="n">
        <f aca="false">+F1251*0.03</f>
        <v>0</v>
      </c>
      <c r="F1251" s="33" t="n">
        <v>0</v>
      </c>
      <c r="G1251" s="62"/>
      <c r="H1251" s="35" t="n">
        <v>0</v>
      </c>
      <c r="I1251" s="34" t="n">
        <f aca="false">+IF(E1251=0,0,E1251*0.03)</f>
        <v>0</v>
      </c>
    </row>
    <row r="1252" customFormat="false" ht="15.75" hidden="false" customHeight="true" outlineLevel="0" collapsed="false">
      <c r="A1252" s="30" t="n">
        <v>45444</v>
      </c>
      <c r="B1252" s="31" t="s">
        <v>153</v>
      </c>
      <c r="C1252" s="32"/>
      <c r="D1252" s="32"/>
      <c r="E1252" s="19" t="n">
        <f aca="false">+F1252*0.03</f>
        <v>0</v>
      </c>
      <c r="F1252" s="33" t="n">
        <v>0</v>
      </c>
      <c r="G1252" s="62"/>
      <c r="H1252" s="35" t="n">
        <v>0</v>
      </c>
      <c r="I1252" s="34" t="n">
        <f aca="false">+IF(E1252=0,0,E1252*0.03)</f>
        <v>0</v>
      </c>
    </row>
    <row r="1253" customFormat="false" ht="15.75" hidden="false" customHeight="true" outlineLevel="0" collapsed="false">
      <c r="A1253" s="30" t="n">
        <v>45444</v>
      </c>
      <c r="B1253" s="31" t="s">
        <v>153</v>
      </c>
      <c r="C1253" s="32"/>
      <c r="D1253" s="32"/>
      <c r="E1253" s="19" t="n">
        <f aca="false">+F1253*0.03</f>
        <v>0</v>
      </c>
      <c r="F1253" s="33" t="n">
        <v>0</v>
      </c>
      <c r="G1253" s="62"/>
      <c r="H1253" s="35" t="n">
        <v>0</v>
      </c>
      <c r="I1253" s="34" t="n">
        <f aca="false">+IF(E1253=0,0,E1253*0.03)</f>
        <v>0</v>
      </c>
    </row>
    <row r="1254" customFormat="false" ht="15.75" hidden="false" customHeight="true" outlineLevel="0" collapsed="false">
      <c r="A1254" s="30" t="n">
        <v>45444</v>
      </c>
      <c r="B1254" s="31" t="s">
        <v>153</v>
      </c>
      <c r="C1254" s="32"/>
      <c r="D1254" s="32"/>
      <c r="E1254" s="19" t="n">
        <f aca="false">+F1254*0.03</f>
        <v>0</v>
      </c>
      <c r="F1254" s="33" t="n">
        <v>0</v>
      </c>
      <c r="G1254" s="62"/>
      <c r="H1254" s="35" t="n">
        <v>0</v>
      </c>
      <c r="I1254" s="34" t="n">
        <f aca="false">+IF(E1254=0,0,E1254*0.03)</f>
        <v>0</v>
      </c>
    </row>
    <row r="1255" customFormat="false" ht="15.75" hidden="false" customHeight="true" outlineLevel="0" collapsed="false">
      <c r="A1255" s="30" t="n">
        <v>45444</v>
      </c>
      <c r="B1255" s="31" t="s">
        <v>153</v>
      </c>
      <c r="C1255" s="32"/>
      <c r="D1255" s="32"/>
      <c r="E1255" s="19" t="n">
        <f aca="false">+F1255*0.03</f>
        <v>0</v>
      </c>
      <c r="F1255" s="33" t="n">
        <v>0</v>
      </c>
      <c r="G1255" s="62"/>
      <c r="H1255" s="35" t="n">
        <v>0</v>
      </c>
      <c r="I1255" s="34" t="n">
        <f aca="false">+IF(E1255=0,0,E1255*0.03)</f>
        <v>0</v>
      </c>
    </row>
    <row r="1256" customFormat="false" ht="15.75" hidden="false" customHeight="true" outlineLevel="0" collapsed="false">
      <c r="A1256" s="30" t="n">
        <v>45444</v>
      </c>
      <c r="B1256" s="31" t="s">
        <v>153</v>
      </c>
      <c r="C1256" s="32"/>
      <c r="D1256" s="32"/>
      <c r="E1256" s="19" t="n">
        <f aca="false">+F1256*0.03</f>
        <v>0</v>
      </c>
      <c r="F1256" s="33" t="n">
        <v>0</v>
      </c>
      <c r="G1256" s="62"/>
      <c r="H1256" s="35" t="n">
        <v>0</v>
      </c>
      <c r="I1256" s="34" t="n">
        <f aca="false">+IF(E1256=0,0,E1256*0.03)</f>
        <v>0</v>
      </c>
    </row>
    <row r="1257" customFormat="false" ht="15.75" hidden="false" customHeight="true" outlineLevel="0" collapsed="false">
      <c r="A1257" s="30" t="n">
        <v>45444</v>
      </c>
      <c r="B1257" s="31" t="s">
        <v>153</v>
      </c>
      <c r="C1257" s="32"/>
      <c r="D1257" s="32"/>
      <c r="E1257" s="19" t="n">
        <f aca="false">+F1257*0.03</f>
        <v>0</v>
      </c>
      <c r="F1257" s="33" t="n">
        <v>0</v>
      </c>
      <c r="G1257" s="62"/>
      <c r="H1257" s="35" t="n">
        <v>0</v>
      </c>
      <c r="I1257" s="34" t="n">
        <f aca="false">+IF(E1257=0,0,E1257*0.03)</f>
        <v>0</v>
      </c>
    </row>
    <row r="1258" customFormat="false" ht="15.75" hidden="false" customHeight="true" outlineLevel="0" collapsed="false">
      <c r="A1258" s="30" t="n">
        <v>45444</v>
      </c>
      <c r="B1258" s="31" t="s">
        <v>153</v>
      </c>
      <c r="C1258" s="32"/>
      <c r="D1258" s="32"/>
      <c r="E1258" s="19" t="n">
        <f aca="false">+F1258*0.03</f>
        <v>0</v>
      </c>
      <c r="F1258" s="33" t="n">
        <v>0</v>
      </c>
      <c r="G1258" s="62"/>
      <c r="H1258" s="35" t="n">
        <v>0</v>
      </c>
      <c r="I1258" s="34" t="n">
        <f aca="false">+IF(E1258=0,0,E1258*0.03)</f>
        <v>0</v>
      </c>
    </row>
    <row r="1259" customFormat="false" ht="15.75" hidden="false" customHeight="true" outlineLevel="0" collapsed="false">
      <c r="A1259" s="30" t="n">
        <v>45444</v>
      </c>
      <c r="B1259" s="31" t="s">
        <v>153</v>
      </c>
      <c r="C1259" s="32"/>
      <c r="D1259" s="32"/>
      <c r="E1259" s="19" t="n">
        <f aca="false">+F1259*0.03</f>
        <v>0</v>
      </c>
      <c r="F1259" s="33" t="n">
        <v>0</v>
      </c>
      <c r="G1259" s="62"/>
      <c r="H1259" s="35" t="n">
        <v>0</v>
      </c>
      <c r="I1259" s="34" t="n">
        <f aca="false">+IF(E1259=0,0,E1259*0.03)</f>
        <v>0</v>
      </c>
    </row>
    <row r="1260" customFormat="false" ht="15.75" hidden="false" customHeight="true" outlineLevel="0" collapsed="false">
      <c r="A1260" s="30" t="n">
        <v>45444</v>
      </c>
      <c r="B1260" s="31" t="s">
        <v>153</v>
      </c>
      <c r="C1260" s="32"/>
      <c r="D1260" s="32"/>
      <c r="E1260" s="19" t="n">
        <f aca="false">+F1260*0.03</f>
        <v>0</v>
      </c>
      <c r="F1260" s="33" t="n">
        <v>0</v>
      </c>
      <c r="G1260" s="62"/>
      <c r="H1260" s="35" t="n">
        <v>0</v>
      </c>
      <c r="I1260" s="34" t="n">
        <f aca="false">+IF(E1260=0,0,E1260*0.03)</f>
        <v>0</v>
      </c>
    </row>
    <row r="1261" customFormat="false" ht="15.75" hidden="false" customHeight="true" outlineLevel="0" collapsed="false">
      <c r="A1261" s="30" t="n">
        <v>45444</v>
      </c>
      <c r="B1261" s="31" t="s">
        <v>153</v>
      </c>
      <c r="C1261" s="32"/>
      <c r="D1261" s="32"/>
      <c r="E1261" s="19" t="n">
        <f aca="false">+F1261*0.03</f>
        <v>0</v>
      </c>
      <c r="F1261" s="33" t="n">
        <v>0</v>
      </c>
      <c r="G1261" s="62"/>
      <c r="H1261" s="35" t="n">
        <v>0</v>
      </c>
      <c r="I1261" s="34" t="n">
        <f aca="false">+IF(E1261=0,0,E1261*0.03)</f>
        <v>0</v>
      </c>
    </row>
    <row r="1262" customFormat="false" ht="15.75" hidden="false" customHeight="true" outlineLevel="0" collapsed="false">
      <c r="A1262" s="30" t="n">
        <v>45444</v>
      </c>
      <c r="B1262" s="31" t="s">
        <v>153</v>
      </c>
      <c r="C1262" s="32"/>
      <c r="D1262" s="32"/>
      <c r="E1262" s="19" t="n">
        <f aca="false">+F1262*0.03</f>
        <v>0</v>
      </c>
      <c r="F1262" s="33" t="n">
        <v>0</v>
      </c>
      <c r="G1262" s="62"/>
      <c r="H1262" s="35" t="n">
        <v>0</v>
      </c>
      <c r="I1262" s="34" t="n">
        <f aca="false">+IF(E1262=0,0,E1262*0.03)</f>
        <v>0</v>
      </c>
    </row>
    <row r="1263" customFormat="false" ht="15.75" hidden="false" customHeight="true" outlineLevel="0" collapsed="false">
      <c r="A1263" s="30" t="n">
        <v>45444</v>
      </c>
      <c r="B1263" s="31" t="s">
        <v>153</v>
      </c>
      <c r="C1263" s="32"/>
      <c r="D1263" s="32"/>
      <c r="E1263" s="19" t="n">
        <f aca="false">+F1263*0.03</f>
        <v>0</v>
      </c>
      <c r="F1263" s="33" t="n">
        <v>0</v>
      </c>
      <c r="G1263" s="62"/>
      <c r="H1263" s="35" t="n">
        <v>0</v>
      </c>
      <c r="I1263" s="34" t="n">
        <f aca="false">+IF(E1263=0,0,E1263*0.03)</f>
        <v>0</v>
      </c>
    </row>
    <row r="1264" customFormat="false" ht="15.75" hidden="false" customHeight="true" outlineLevel="0" collapsed="false">
      <c r="A1264" s="30" t="n">
        <v>45444</v>
      </c>
      <c r="B1264" s="31" t="s">
        <v>153</v>
      </c>
      <c r="C1264" s="32"/>
      <c r="D1264" s="32"/>
      <c r="E1264" s="19" t="n">
        <f aca="false">+F1264*0.03</f>
        <v>0</v>
      </c>
      <c r="F1264" s="33" t="n">
        <v>0</v>
      </c>
      <c r="G1264" s="62"/>
      <c r="H1264" s="35" t="n">
        <v>0</v>
      </c>
      <c r="I1264" s="34" t="n">
        <f aca="false">+IF(E1264=0,0,E1264*0.03)</f>
        <v>0</v>
      </c>
    </row>
    <row r="1265" customFormat="false" ht="15.75" hidden="false" customHeight="true" outlineLevel="0" collapsed="false">
      <c r="A1265" s="30" t="n">
        <v>45444</v>
      </c>
      <c r="B1265" s="31" t="s">
        <v>153</v>
      </c>
      <c r="C1265" s="32"/>
      <c r="D1265" s="32"/>
      <c r="E1265" s="19" t="n">
        <f aca="false">+F1265*0.03</f>
        <v>0</v>
      </c>
      <c r="F1265" s="33" t="n">
        <v>0</v>
      </c>
      <c r="G1265" s="62"/>
      <c r="H1265" s="35" t="n">
        <v>0</v>
      </c>
      <c r="I1265" s="34" t="n">
        <f aca="false">+IF(E1265=0,0,E1265*0.03)</f>
        <v>0</v>
      </c>
    </row>
    <row r="1266" customFormat="false" ht="15.75" hidden="false" customHeight="true" outlineLevel="0" collapsed="false">
      <c r="A1266" s="30" t="n">
        <v>45444</v>
      </c>
      <c r="B1266" s="31" t="s">
        <v>153</v>
      </c>
      <c r="C1266" s="32"/>
      <c r="D1266" s="32"/>
      <c r="E1266" s="19" t="n">
        <f aca="false">+F1266*0.03</f>
        <v>0</v>
      </c>
      <c r="F1266" s="33" t="n">
        <v>0</v>
      </c>
      <c r="G1266" s="62"/>
      <c r="H1266" s="35" t="n">
        <v>0</v>
      </c>
      <c r="I1266" s="34" t="n">
        <f aca="false">+IF(E1266=0,0,E1266*0.03)</f>
        <v>0</v>
      </c>
    </row>
    <row r="1267" customFormat="false" ht="15.75" hidden="false" customHeight="true" outlineLevel="0" collapsed="false">
      <c r="A1267" s="30" t="n">
        <v>45444</v>
      </c>
      <c r="B1267" s="31" t="s">
        <v>153</v>
      </c>
      <c r="C1267" s="32"/>
      <c r="D1267" s="32"/>
      <c r="E1267" s="19" t="n">
        <f aca="false">+F1267*0.03</f>
        <v>0</v>
      </c>
      <c r="F1267" s="33" t="n">
        <v>0</v>
      </c>
      <c r="G1267" s="62"/>
      <c r="H1267" s="35" t="n">
        <v>0</v>
      </c>
      <c r="I1267" s="34" t="n">
        <f aca="false">+IF(E1267=0,0,E1267*0.03)</f>
        <v>0</v>
      </c>
    </row>
    <row r="1268" customFormat="false" ht="15.75" hidden="false" customHeight="true" outlineLevel="0" collapsed="false">
      <c r="A1268" s="30" t="n">
        <v>45444</v>
      </c>
      <c r="B1268" s="31" t="s">
        <v>153</v>
      </c>
      <c r="C1268" s="32"/>
      <c r="D1268" s="32"/>
      <c r="E1268" s="19" t="n">
        <f aca="false">+F1268*0.03</f>
        <v>0</v>
      </c>
      <c r="F1268" s="33" t="n">
        <v>0</v>
      </c>
      <c r="G1268" s="62"/>
      <c r="H1268" s="35" t="n">
        <v>0</v>
      </c>
      <c r="I1268" s="34" t="n">
        <f aca="false">+IF(E1268=0,0,E1268*0.03)</f>
        <v>0</v>
      </c>
    </row>
    <row r="1269" customFormat="false" ht="15.75" hidden="false" customHeight="true" outlineLevel="0" collapsed="false">
      <c r="A1269" s="30" t="n">
        <v>45444</v>
      </c>
      <c r="B1269" s="31" t="s">
        <v>153</v>
      </c>
      <c r="C1269" s="32"/>
      <c r="D1269" s="32"/>
      <c r="E1269" s="19" t="n">
        <f aca="false">+F1269*0.03</f>
        <v>0</v>
      </c>
      <c r="F1269" s="33" t="n">
        <v>0</v>
      </c>
      <c r="G1269" s="62"/>
      <c r="H1269" s="35" t="n">
        <v>0</v>
      </c>
      <c r="I1269" s="34" t="n">
        <f aca="false">+IF(E1269=0,0,E1269*0.03)</f>
        <v>0</v>
      </c>
    </row>
    <row r="1270" customFormat="false" ht="15.75" hidden="false" customHeight="true" outlineLevel="0" collapsed="false">
      <c r="A1270" s="30" t="n">
        <v>45444</v>
      </c>
      <c r="B1270" s="31" t="s">
        <v>153</v>
      </c>
      <c r="C1270" s="32"/>
      <c r="D1270" s="32"/>
      <c r="E1270" s="19" t="n">
        <f aca="false">+F1270*0.03</f>
        <v>0</v>
      </c>
      <c r="F1270" s="33" t="n">
        <v>0</v>
      </c>
      <c r="G1270" s="62"/>
      <c r="H1270" s="35" t="n">
        <v>0</v>
      </c>
      <c r="I1270" s="34" t="n">
        <f aca="false">+IF(E1270=0,0,E1270*0.03)</f>
        <v>0</v>
      </c>
    </row>
    <row r="1271" customFormat="false" ht="15.75" hidden="false" customHeight="true" outlineLevel="0" collapsed="false">
      <c r="A1271" s="30" t="n">
        <v>45444</v>
      </c>
      <c r="B1271" s="31" t="s">
        <v>153</v>
      </c>
      <c r="C1271" s="32"/>
      <c r="D1271" s="32"/>
      <c r="E1271" s="19" t="n">
        <f aca="false">+F1271*0.03</f>
        <v>0</v>
      </c>
      <c r="F1271" s="33" t="n">
        <v>0</v>
      </c>
      <c r="G1271" s="62"/>
      <c r="H1271" s="35" t="n">
        <v>0</v>
      </c>
      <c r="I1271" s="34" t="n">
        <f aca="false">+IF(E1271=0,0,E1271*0.03)</f>
        <v>0</v>
      </c>
    </row>
    <row r="1272" customFormat="false" ht="15.75" hidden="false" customHeight="true" outlineLevel="0" collapsed="false">
      <c r="A1272" s="30" t="n">
        <v>45444</v>
      </c>
      <c r="B1272" s="31" t="s">
        <v>153</v>
      </c>
      <c r="C1272" s="32"/>
      <c r="D1272" s="32"/>
      <c r="E1272" s="19" t="n">
        <f aca="false">+F1272*0.03</f>
        <v>0</v>
      </c>
      <c r="F1272" s="33" t="n">
        <v>0</v>
      </c>
      <c r="G1272" s="62"/>
      <c r="H1272" s="35" t="n">
        <v>0</v>
      </c>
      <c r="I1272" s="34" t="n">
        <f aca="false">+IF(E1272=0,0,E1272*0.03)</f>
        <v>0</v>
      </c>
    </row>
    <row r="1273" customFormat="false" ht="15.75" hidden="false" customHeight="true" outlineLevel="0" collapsed="false">
      <c r="A1273" s="30" t="n">
        <v>45444</v>
      </c>
      <c r="B1273" s="31" t="s">
        <v>153</v>
      </c>
      <c r="C1273" s="32"/>
      <c r="D1273" s="32"/>
      <c r="E1273" s="19" t="n">
        <f aca="false">+F1273*0.03</f>
        <v>0</v>
      </c>
      <c r="F1273" s="33" t="n">
        <v>0</v>
      </c>
      <c r="G1273" s="62"/>
      <c r="H1273" s="35" t="n">
        <v>0</v>
      </c>
      <c r="I1273" s="34" t="n">
        <f aca="false">+IF(E1273=0,0,E1273*0.03)</f>
        <v>0</v>
      </c>
    </row>
    <row r="1274" customFormat="false" ht="15.75" hidden="false" customHeight="true" outlineLevel="0" collapsed="false">
      <c r="A1274" s="30" t="n">
        <v>45444</v>
      </c>
      <c r="B1274" s="31" t="s">
        <v>153</v>
      </c>
      <c r="C1274" s="32"/>
      <c r="D1274" s="32"/>
      <c r="E1274" s="19" t="n">
        <f aca="false">+F1274*0.03</f>
        <v>0</v>
      </c>
      <c r="F1274" s="33" t="n">
        <v>0</v>
      </c>
      <c r="G1274" s="62"/>
      <c r="H1274" s="35" t="n">
        <v>0</v>
      </c>
      <c r="I1274" s="34" t="n">
        <f aca="false">+IF(E1274=0,0,E1274*0.03)</f>
        <v>0</v>
      </c>
    </row>
    <row r="1275" customFormat="false" ht="15.75" hidden="false" customHeight="true" outlineLevel="0" collapsed="false">
      <c r="A1275" s="30" t="n">
        <v>45444</v>
      </c>
      <c r="B1275" s="31" t="s">
        <v>153</v>
      </c>
      <c r="C1275" s="32"/>
      <c r="D1275" s="32"/>
      <c r="E1275" s="19" t="n">
        <f aca="false">+F1275*0.03</f>
        <v>0</v>
      </c>
      <c r="F1275" s="33" t="n">
        <v>0</v>
      </c>
      <c r="G1275" s="62"/>
      <c r="H1275" s="35" t="n">
        <v>0</v>
      </c>
      <c r="I1275" s="34" t="n">
        <f aca="false">+IF(E1275=0,0,E1275*0.03)</f>
        <v>0</v>
      </c>
    </row>
    <row r="1276" customFormat="false" ht="15.75" hidden="false" customHeight="true" outlineLevel="0" collapsed="false">
      <c r="A1276" s="30" t="n">
        <v>45444</v>
      </c>
      <c r="B1276" s="31" t="s">
        <v>153</v>
      </c>
      <c r="C1276" s="32"/>
      <c r="D1276" s="32"/>
      <c r="E1276" s="19" t="n">
        <f aca="false">+F1276*0.03</f>
        <v>0</v>
      </c>
      <c r="F1276" s="33" t="n">
        <v>0</v>
      </c>
      <c r="G1276" s="62"/>
      <c r="H1276" s="35" t="n">
        <v>0</v>
      </c>
      <c r="I1276" s="34" t="n">
        <f aca="false">+IF(E1276=0,0,E1276*0.03)</f>
        <v>0</v>
      </c>
    </row>
    <row r="1277" customFormat="false" ht="15.75" hidden="false" customHeight="true" outlineLevel="0" collapsed="false">
      <c r="A1277" s="30" t="n">
        <v>45444</v>
      </c>
      <c r="B1277" s="31" t="s">
        <v>153</v>
      </c>
      <c r="C1277" s="32"/>
      <c r="D1277" s="32"/>
      <c r="E1277" s="19" t="n">
        <f aca="false">+F1277*0.03</f>
        <v>0</v>
      </c>
      <c r="F1277" s="33" t="n">
        <v>0</v>
      </c>
      <c r="G1277" s="62"/>
      <c r="H1277" s="35" t="n">
        <v>0</v>
      </c>
      <c r="I1277" s="34" t="n">
        <f aca="false">+IF(E1277=0,0,E1277*0.03)</f>
        <v>0</v>
      </c>
    </row>
    <row r="1278" customFormat="false" ht="15.75" hidden="false" customHeight="true" outlineLevel="0" collapsed="false">
      <c r="A1278" s="30" t="n">
        <v>45444</v>
      </c>
      <c r="B1278" s="31" t="s">
        <v>153</v>
      </c>
      <c r="C1278" s="32"/>
      <c r="D1278" s="32"/>
      <c r="E1278" s="19" t="n">
        <f aca="false">+F1278*0.03</f>
        <v>0</v>
      </c>
      <c r="F1278" s="33" t="n">
        <v>0</v>
      </c>
      <c r="G1278" s="62"/>
      <c r="H1278" s="35" t="n">
        <v>0</v>
      </c>
      <c r="I1278" s="34" t="n">
        <f aca="false">+IF(E1278=0,0,E1278*0.03)</f>
        <v>0</v>
      </c>
    </row>
    <row r="1279" customFormat="false" ht="15.75" hidden="false" customHeight="true" outlineLevel="0" collapsed="false">
      <c r="A1279" s="30" t="n">
        <v>45444</v>
      </c>
      <c r="B1279" s="31" t="s">
        <v>153</v>
      </c>
      <c r="C1279" s="32"/>
      <c r="D1279" s="32"/>
      <c r="E1279" s="19" t="n">
        <f aca="false">+F1279*0.03</f>
        <v>0</v>
      </c>
      <c r="F1279" s="33" t="n">
        <v>0</v>
      </c>
      <c r="G1279" s="62"/>
      <c r="H1279" s="35" t="n">
        <v>0</v>
      </c>
      <c r="I1279" s="34" t="n">
        <f aca="false">+IF(E1279=0,0,E1279*0.03)</f>
        <v>0</v>
      </c>
    </row>
    <row r="1280" customFormat="false" ht="15.75" hidden="false" customHeight="true" outlineLevel="0" collapsed="false">
      <c r="A1280" s="30" t="n">
        <v>45444</v>
      </c>
      <c r="B1280" s="31" t="s">
        <v>153</v>
      </c>
      <c r="C1280" s="32"/>
      <c r="D1280" s="32"/>
      <c r="E1280" s="19" t="n">
        <f aca="false">+F1280*0.03</f>
        <v>0</v>
      </c>
      <c r="F1280" s="33" t="n">
        <v>0</v>
      </c>
      <c r="G1280" s="62"/>
      <c r="H1280" s="35" t="n">
        <v>0</v>
      </c>
      <c r="I1280" s="34" t="n">
        <f aca="false">+IF(E1280=0,0,E1280*0.03)</f>
        <v>0</v>
      </c>
    </row>
    <row r="1281" customFormat="false" ht="15.75" hidden="false" customHeight="true" outlineLevel="0" collapsed="false">
      <c r="A1281" s="30" t="n">
        <v>45444</v>
      </c>
      <c r="B1281" s="31" t="s">
        <v>153</v>
      </c>
      <c r="C1281" s="32"/>
      <c r="D1281" s="32"/>
      <c r="E1281" s="19" t="n">
        <f aca="false">+F1281*0.03</f>
        <v>0</v>
      </c>
      <c r="F1281" s="33" t="n">
        <v>0</v>
      </c>
      <c r="G1281" s="62"/>
      <c r="H1281" s="35" t="n">
        <v>0</v>
      </c>
      <c r="I1281" s="34" t="n">
        <f aca="false">+IF(E1281=0,0,E1281*0.03)</f>
        <v>0</v>
      </c>
    </row>
    <row r="1282" customFormat="false" ht="15.75" hidden="false" customHeight="true" outlineLevel="0" collapsed="false">
      <c r="A1282" s="30" t="n">
        <v>45444</v>
      </c>
      <c r="B1282" s="31" t="s">
        <v>153</v>
      </c>
      <c r="C1282" s="32"/>
      <c r="D1282" s="32"/>
      <c r="E1282" s="19" t="n">
        <f aca="false">+F1282*0.03</f>
        <v>0</v>
      </c>
      <c r="F1282" s="33" t="n">
        <v>0</v>
      </c>
      <c r="G1282" s="62"/>
      <c r="H1282" s="35" t="n">
        <v>0</v>
      </c>
      <c r="I1282" s="34" t="n">
        <f aca="false">+IF(E1282=0,0,E1282*0.03)</f>
        <v>0</v>
      </c>
    </row>
    <row r="1283" customFormat="false" ht="15.75" hidden="false" customHeight="true" outlineLevel="0" collapsed="false">
      <c r="A1283" s="30" t="n">
        <v>45444</v>
      </c>
      <c r="B1283" s="31" t="s">
        <v>153</v>
      </c>
      <c r="C1283" s="32"/>
      <c r="D1283" s="32"/>
      <c r="E1283" s="19" t="n">
        <f aca="false">+F1283*0.03</f>
        <v>0</v>
      </c>
      <c r="F1283" s="33" t="n">
        <v>0</v>
      </c>
      <c r="G1283" s="62"/>
      <c r="H1283" s="35" t="n">
        <v>0</v>
      </c>
      <c r="I1283" s="34" t="n">
        <f aca="false">+IF(E1283=0,0,E1283*0.03)</f>
        <v>0</v>
      </c>
    </row>
    <row r="1284" customFormat="false" ht="15.75" hidden="false" customHeight="true" outlineLevel="0" collapsed="false">
      <c r="A1284" s="30" t="n">
        <v>45444</v>
      </c>
      <c r="B1284" s="31" t="s">
        <v>153</v>
      </c>
      <c r="C1284" s="32"/>
      <c r="D1284" s="32"/>
      <c r="E1284" s="19" t="n">
        <f aca="false">+F1284*0.03</f>
        <v>0</v>
      </c>
      <c r="F1284" s="33" t="n">
        <v>0</v>
      </c>
      <c r="G1284" s="62"/>
      <c r="H1284" s="35" t="n">
        <v>0</v>
      </c>
      <c r="I1284" s="34" t="n">
        <f aca="false">+IF(E1284=0,0,E1284*0.03)</f>
        <v>0</v>
      </c>
    </row>
    <row r="1285" customFormat="false" ht="15.75" hidden="false" customHeight="true" outlineLevel="0" collapsed="false">
      <c r="A1285" s="30" t="n">
        <v>45444</v>
      </c>
      <c r="B1285" s="31" t="s">
        <v>153</v>
      </c>
      <c r="C1285" s="32"/>
      <c r="D1285" s="32"/>
      <c r="E1285" s="19" t="n">
        <f aca="false">+F1285*0.03</f>
        <v>0</v>
      </c>
      <c r="F1285" s="33" t="n">
        <v>0</v>
      </c>
      <c r="G1285" s="62"/>
      <c r="H1285" s="35" t="n">
        <v>0</v>
      </c>
      <c r="I1285" s="34" t="n">
        <f aca="false">+IF(E1285=0,0,E1285*0.03)</f>
        <v>0</v>
      </c>
    </row>
    <row r="1286" customFormat="false" ht="15.75" hidden="false" customHeight="true" outlineLevel="0" collapsed="false">
      <c r="A1286" s="30" t="n">
        <v>45444</v>
      </c>
      <c r="B1286" s="31" t="s">
        <v>153</v>
      </c>
      <c r="C1286" s="32"/>
      <c r="D1286" s="32"/>
      <c r="E1286" s="19" t="n">
        <f aca="false">+F1286*0.03</f>
        <v>0</v>
      </c>
      <c r="F1286" s="33" t="n">
        <v>0</v>
      </c>
      <c r="G1286" s="62"/>
      <c r="H1286" s="35" t="n">
        <v>0</v>
      </c>
      <c r="I1286" s="34" t="n">
        <f aca="false">+IF(E1286=0,0,E1286*0.03)</f>
        <v>0</v>
      </c>
    </row>
    <row r="1287" customFormat="false" ht="15.75" hidden="false" customHeight="true" outlineLevel="0" collapsed="false">
      <c r="A1287" s="30" t="n">
        <v>45444</v>
      </c>
      <c r="B1287" s="31" t="s">
        <v>153</v>
      </c>
      <c r="C1287" s="32"/>
      <c r="D1287" s="32"/>
      <c r="E1287" s="19" t="n">
        <f aca="false">+F1287*0.03</f>
        <v>0</v>
      </c>
      <c r="F1287" s="33" t="n">
        <v>0</v>
      </c>
      <c r="G1287" s="62"/>
      <c r="H1287" s="35" t="n">
        <v>0</v>
      </c>
      <c r="I1287" s="34" t="n">
        <f aca="false">+IF(E1287=0,0,E1287*0.03)</f>
        <v>0</v>
      </c>
    </row>
    <row r="1288" customFormat="false" ht="15.75" hidden="false" customHeight="true" outlineLevel="0" collapsed="false">
      <c r="A1288" s="30" t="n">
        <v>45444</v>
      </c>
      <c r="B1288" s="31" t="s">
        <v>153</v>
      </c>
      <c r="C1288" s="32"/>
      <c r="D1288" s="32"/>
      <c r="E1288" s="19" t="n">
        <f aca="false">+F1288*0.03</f>
        <v>0</v>
      </c>
      <c r="F1288" s="33" t="n">
        <v>0</v>
      </c>
      <c r="G1288" s="62"/>
      <c r="H1288" s="35" t="n">
        <v>0</v>
      </c>
      <c r="I1288" s="34" t="n">
        <f aca="false">+IF(E1288=0,0,E1288*0.03)</f>
        <v>0</v>
      </c>
    </row>
    <row r="1289" customFormat="false" ht="15.75" hidden="false" customHeight="true" outlineLevel="0" collapsed="false">
      <c r="A1289" s="30" t="n">
        <v>45444</v>
      </c>
      <c r="B1289" s="31" t="s">
        <v>153</v>
      </c>
      <c r="C1289" s="32"/>
      <c r="D1289" s="32"/>
      <c r="E1289" s="19" t="n">
        <f aca="false">+F1289*0.03</f>
        <v>0</v>
      </c>
      <c r="F1289" s="33" t="n">
        <v>0</v>
      </c>
      <c r="G1289" s="62"/>
      <c r="H1289" s="35" t="n">
        <v>0</v>
      </c>
      <c r="I1289" s="34" t="n">
        <f aca="false">+IF(E1289=0,0,E1289*0.03)</f>
        <v>0</v>
      </c>
    </row>
    <row r="1290" customFormat="false" ht="15.75" hidden="false" customHeight="true" outlineLevel="0" collapsed="false">
      <c r="A1290" s="30" t="n">
        <v>45444</v>
      </c>
      <c r="B1290" s="31" t="s">
        <v>153</v>
      </c>
      <c r="C1290" s="32"/>
      <c r="D1290" s="32"/>
      <c r="E1290" s="19" t="n">
        <f aca="false">+F1290*0.03</f>
        <v>0</v>
      </c>
      <c r="F1290" s="33" t="n">
        <v>0</v>
      </c>
      <c r="G1290" s="62"/>
      <c r="H1290" s="35" t="n">
        <v>0</v>
      </c>
      <c r="I1290" s="34" t="n">
        <f aca="false">+IF(E1290=0,0,E1290*0.03)</f>
        <v>0</v>
      </c>
    </row>
    <row r="1291" customFormat="false" ht="15.75" hidden="false" customHeight="true" outlineLevel="0" collapsed="false">
      <c r="A1291" s="30" t="n">
        <v>45444</v>
      </c>
      <c r="B1291" s="31" t="s">
        <v>153</v>
      </c>
      <c r="C1291" s="32"/>
      <c r="D1291" s="32"/>
      <c r="E1291" s="19" t="n">
        <f aca="false">+F1291*0.03</f>
        <v>0</v>
      </c>
      <c r="F1291" s="33" t="n">
        <v>0</v>
      </c>
      <c r="G1291" s="62"/>
      <c r="H1291" s="35" t="n">
        <v>0</v>
      </c>
      <c r="I1291" s="34" t="n">
        <f aca="false">+IF(E1291=0,0,E1291*0.03)</f>
        <v>0</v>
      </c>
    </row>
    <row r="1292" customFormat="false" ht="15.75" hidden="false" customHeight="true" outlineLevel="0" collapsed="false">
      <c r="A1292" s="30" t="n">
        <v>45444</v>
      </c>
      <c r="B1292" s="31" t="s">
        <v>153</v>
      </c>
      <c r="C1292" s="32"/>
      <c r="D1292" s="32"/>
      <c r="E1292" s="19" t="n">
        <f aca="false">+F1292*0.03</f>
        <v>0</v>
      </c>
      <c r="F1292" s="33" t="n">
        <v>0</v>
      </c>
      <c r="G1292" s="62"/>
      <c r="H1292" s="35" t="n">
        <v>0</v>
      </c>
      <c r="I1292" s="34" t="n">
        <f aca="false">+IF(E1292=0,0,E1292*0.03)</f>
        <v>0</v>
      </c>
    </row>
    <row r="1293" customFormat="false" ht="15.75" hidden="false" customHeight="true" outlineLevel="0" collapsed="false">
      <c r="A1293" s="30" t="n">
        <v>45444</v>
      </c>
      <c r="B1293" s="31" t="s">
        <v>153</v>
      </c>
      <c r="C1293" s="32"/>
      <c r="D1293" s="32"/>
      <c r="E1293" s="19" t="n">
        <f aca="false">+F1293*0.03</f>
        <v>0</v>
      </c>
      <c r="F1293" s="33" t="n">
        <v>0</v>
      </c>
      <c r="G1293" s="62"/>
      <c r="H1293" s="35" t="n">
        <v>0</v>
      </c>
      <c r="I1293" s="34" t="n">
        <f aca="false">+IF(E1293=0,0,E1293*0.03)</f>
        <v>0</v>
      </c>
    </row>
    <row r="1294" customFormat="false" ht="15.75" hidden="false" customHeight="true" outlineLevel="0" collapsed="false">
      <c r="A1294" s="30" t="n">
        <v>45444</v>
      </c>
      <c r="B1294" s="31" t="s">
        <v>153</v>
      </c>
      <c r="C1294" s="32"/>
      <c r="D1294" s="32"/>
      <c r="E1294" s="19" t="n">
        <f aca="false">+F1294*0.03</f>
        <v>0</v>
      </c>
      <c r="F1294" s="33" t="n">
        <v>0</v>
      </c>
      <c r="G1294" s="62"/>
      <c r="H1294" s="35" t="n">
        <v>0</v>
      </c>
      <c r="I1294" s="34" t="n">
        <f aca="false">+IF(E1294=0,0,E1294*0.03)</f>
        <v>0</v>
      </c>
    </row>
    <row r="1295" customFormat="false" ht="15.75" hidden="false" customHeight="true" outlineLevel="0" collapsed="false">
      <c r="A1295" s="30" t="n">
        <v>45444</v>
      </c>
      <c r="B1295" s="31" t="s">
        <v>153</v>
      </c>
      <c r="C1295" s="32"/>
      <c r="D1295" s="32"/>
      <c r="E1295" s="19" t="n">
        <f aca="false">+F1295*0.03</f>
        <v>0</v>
      </c>
      <c r="F1295" s="33" t="n">
        <v>0</v>
      </c>
      <c r="G1295" s="62"/>
      <c r="H1295" s="35" t="n">
        <v>0</v>
      </c>
      <c r="I1295" s="34" t="n">
        <f aca="false">+IF(E1295=0,0,E1295*0.03)</f>
        <v>0</v>
      </c>
    </row>
    <row r="1296" customFormat="false" ht="15.75" hidden="false" customHeight="true" outlineLevel="0" collapsed="false">
      <c r="A1296" s="30" t="n">
        <v>45444</v>
      </c>
      <c r="B1296" s="31" t="s">
        <v>153</v>
      </c>
      <c r="C1296" s="32"/>
      <c r="D1296" s="32"/>
      <c r="E1296" s="19" t="n">
        <f aca="false">+F1296*0.03</f>
        <v>0</v>
      </c>
      <c r="F1296" s="33" t="n">
        <v>0</v>
      </c>
      <c r="G1296" s="62"/>
      <c r="H1296" s="35" t="n">
        <v>0</v>
      </c>
      <c r="I1296" s="34" t="n">
        <f aca="false">+IF(E1296=0,0,E1296*0.03)</f>
        <v>0</v>
      </c>
    </row>
    <row r="1297" customFormat="false" ht="15.75" hidden="false" customHeight="true" outlineLevel="0" collapsed="false">
      <c r="A1297" s="30" t="n">
        <v>45444</v>
      </c>
      <c r="B1297" s="31" t="s">
        <v>153</v>
      </c>
      <c r="C1297" s="32"/>
      <c r="D1297" s="32"/>
      <c r="E1297" s="19" t="n">
        <f aca="false">+F1297*0.03</f>
        <v>0</v>
      </c>
      <c r="F1297" s="33" t="n">
        <v>0</v>
      </c>
      <c r="G1297" s="62"/>
      <c r="H1297" s="35" t="n">
        <v>0</v>
      </c>
      <c r="I1297" s="34" t="n">
        <f aca="false">+IF(E1297=0,0,E1297*0.03)</f>
        <v>0</v>
      </c>
    </row>
    <row r="1298" customFormat="false" ht="15.75" hidden="false" customHeight="true" outlineLevel="0" collapsed="false">
      <c r="A1298" s="30" t="n">
        <v>45444</v>
      </c>
      <c r="B1298" s="31" t="s">
        <v>153</v>
      </c>
      <c r="C1298" s="32"/>
      <c r="D1298" s="32"/>
      <c r="E1298" s="19" t="n">
        <f aca="false">+F1298*0.03</f>
        <v>0</v>
      </c>
      <c r="F1298" s="33" t="n">
        <v>0</v>
      </c>
      <c r="G1298" s="62"/>
      <c r="H1298" s="35" t="n">
        <v>0</v>
      </c>
      <c r="I1298" s="34" t="n">
        <f aca="false">+IF(E1298=0,0,E1298*0.03)</f>
        <v>0</v>
      </c>
    </row>
    <row r="1299" customFormat="false" ht="15.75" hidden="false" customHeight="true" outlineLevel="0" collapsed="false">
      <c r="A1299" s="30" t="n">
        <v>45444</v>
      </c>
      <c r="B1299" s="31" t="s">
        <v>153</v>
      </c>
      <c r="C1299" s="32"/>
      <c r="D1299" s="32"/>
      <c r="E1299" s="19" t="n">
        <f aca="false">+F1299*0.03</f>
        <v>0</v>
      </c>
      <c r="F1299" s="33" t="n">
        <v>0</v>
      </c>
      <c r="G1299" s="62"/>
      <c r="H1299" s="35" t="n">
        <v>0</v>
      </c>
      <c r="I1299" s="34" t="n">
        <f aca="false">+IF(E1299=0,0,E1299*0.03)</f>
        <v>0</v>
      </c>
    </row>
    <row r="1300" customFormat="false" ht="15.75" hidden="false" customHeight="true" outlineLevel="0" collapsed="false">
      <c r="A1300" s="30" t="n">
        <v>45444</v>
      </c>
      <c r="B1300" s="31" t="s">
        <v>153</v>
      </c>
      <c r="C1300" s="32"/>
      <c r="D1300" s="32"/>
      <c r="E1300" s="19" t="n">
        <f aca="false">+F1300*0.03</f>
        <v>0</v>
      </c>
      <c r="F1300" s="33" t="n">
        <v>0</v>
      </c>
      <c r="G1300" s="62"/>
      <c r="H1300" s="35" t="n">
        <v>0</v>
      </c>
      <c r="I1300" s="34" t="n">
        <f aca="false">+IF(E1300=0,0,E1300*0.03)</f>
        <v>0</v>
      </c>
    </row>
    <row r="1301" customFormat="false" ht="15.75" hidden="false" customHeight="true" outlineLevel="0" collapsed="false">
      <c r="A1301" s="30" t="n">
        <v>45444</v>
      </c>
      <c r="B1301" s="31" t="s">
        <v>153</v>
      </c>
      <c r="C1301" s="32"/>
      <c r="D1301" s="32"/>
      <c r="E1301" s="19" t="n">
        <f aca="false">+F1301*0.03</f>
        <v>0</v>
      </c>
      <c r="F1301" s="33" t="n">
        <v>0</v>
      </c>
      <c r="G1301" s="62"/>
      <c r="H1301" s="35" t="n">
        <v>0</v>
      </c>
      <c r="I1301" s="34" t="n">
        <f aca="false">+IF(E1301=0,0,E1301*0.03)</f>
        <v>0</v>
      </c>
    </row>
    <row r="1302" customFormat="false" ht="15.75" hidden="false" customHeight="true" outlineLevel="0" collapsed="false">
      <c r="A1302" s="30" t="n">
        <v>45444</v>
      </c>
      <c r="B1302" s="31" t="s">
        <v>153</v>
      </c>
      <c r="C1302" s="32"/>
      <c r="D1302" s="32"/>
      <c r="E1302" s="19" t="n">
        <f aca="false">+F1302*0.03</f>
        <v>0</v>
      </c>
      <c r="F1302" s="33" t="n">
        <v>0</v>
      </c>
      <c r="G1302" s="62"/>
      <c r="H1302" s="35" t="n">
        <v>0</v>
      </c>
      <c r="I1302" s="34" t="n">
        <f aca="false">+IF(E1302=0,0,E1302*0.03)</f>
        <v>0</v>
      </c>
    </row>
    <row r="1303" customFormat="false" ht="15.75" hidden="false" customHeight="true" outlineLevel="0" collapsed="false">
      <c r="A1303" s="30" t="n">
        <v>45444</v>
      </c>
      <c r="B1303" s="31" t="s">
        <v>153</v>
      </c>
      <c r="C1303" s="32"/>
      <c r="D1303" s="32"/>
      <c r="E1303" s="19" t="n">
        <f aca="false">+F1303*0.03</f>
        <v>0</v>
      </c>
      <c r="F1303" s="33" t="n">
        <v>0</v>
      </c>
      <c r="G1303" s="62"/>
      <c r="H1303" s="35" t="n">
        <v>0</v>
      </c>
      <c r="I1303" s="34" t="n">
        <f aca="false">+IF(E1303=0,0,E1303*0.03)</f>
        <v>0</v>
      </c>
    </row>
    <row r="1304" customFormat="false" ht="15.75" hidden="false" customHeight="true" outlineLevel="0" collapsed="false">
      <c r="A1304" s="30" t="n">
        <v>45444</v>
      </c>
      <c r="B1304" s="31" t="s">
        <v>153</v>
      </c>
      <c r="C1304" s="32"/>
      <c r="D1304" s="32"/>
      <c r="E1304" s="19" t="n">
        <f aca="false">+F1304*0.03</f>
        <v>0</v>
      </c>
      <c r="F1304" s="33" t="n">
        <v>0</v>
      </c>
      <c r="G1304" s="62"/>
      <c r="H1304" s="35" t="n">
        <v>0</v>
      </c>
      <c r="I1304" s="34" t="n">
        <f aca="false">+IF(E1304=0,0,E1304*0.03)</f>
        <v>0</v>
      </c>
    </row>
    <row r="1305" customFormat="false" ht="15.75" hidden="false" customHeight="true" outlineLevel="0" collapsed="false">
      <c r="A1305" s="30" t="n">
        <v>45444</v>
      </c>
      <c r="B1305" s="31" t="s">
        <v>153</v>
      </c>
      <c r="C1305" s="32"/>
      <c r="D1305" s="32"/>
      <c r="E1305" s="19" t="n">
        <f aca="false">+F1305*0.03</f>
        <v>0</v>
      </c>
      <c r="F1305" s="33" t="n">
        <v>0</v>
      </c>
      <c r="G1305" s="62"/>
      <c r="H1305" s="35" t="n">
        <v>0</v>
      </c>
      <c r="I1305" s="34" t="n">
        <f aca="false">+IF(E1305=0,0,E1305*0.03)</f>
        <v>0</v>
      </c>
    </row>
    <row r="1306" customFormat="false" ht="15.75" hidden="false" customHeight="true" outlineLevel="0" collapsed="false">
      <c r="A1306" s="30" t="n">
        <v>45444</v>
      </c>
      <c r="B1306" s="31" t="s">
        <v>153</v>
      </c>
      <c r="C1306" s="32"/>
      <c r="D1306" s="32"/>
      <c r="E1306" s="19" t="n">
        <f aca="false">+F1306*0.03</f>
        <v>0</v>
      </c>
      <c r="F1306" s="33" t="n">
        <v>0</v>
      </c>
      <c r="G1306" s="62"/>
      <c r="H1306" s="35" t="n">
        <v>0</v>
      </c>
      <c r="I1306" s="34" t="n">
        <f aca="false">+IF(E1306=0,0,E1306*0.03)</f>
        <v>0</v>
      </c>
    </row>
    <row r="1307" customFormat="false" ht="15.75" hidden="false" customHeight="true" outlineLevel="0" collapsed="false">
      <c r="A1307" s="30" t="n">
        <v>45444</v>
      </c>
      <c r="B1307" s="31" t="s">
        <v>153</v>
      </c>
      <c r="C1307" s="32"/>
      <c r="D1307" s="32"/>
      <c r="E1307" s="19" t="n">
        <f aca="false">+F1307*0.03</f>
        <v>0</v>
      </c>
      <c r="F1307" s="33" t="n">
        <v>0</v>
      </c>
      <c r="G1307" s="62"/>
      <c r="H1307" s="35" t="n">
        <v>0</v>
      </c>
      <c r="I1307" s="34" t="n">
        <f aca="false">+IF(E1307=0,0,E1307*0.03)</f>
        <v>0</v>
      </c>
    </row>
    <row r="1308" customFormat="false" ht="15.75" hidden="false" customHeight="true" outlineLevel="0" collapsed="false">
      <c r="A1308" s="30" t="n">
        <v>45444</v>
      </c>
      <c r="B1308" s="31" t="s">
        <v>153</v>
      </c>
      <c r="C1308" s="32"/>
      <c r="D1308" s="32"/>
      <c r="E1308" s="19" t="n">
        <f aca="false">+F1308*0.03</f>
        <v>0</v>
      </c>
      <c r="F1308" s="33" t="n">
        <v>0</v>
      </c>
      <c r="G1308" s="62"/>
      <c r="H1308" s="35" t="n">
        <v>0</v>
      </c>
      <c r="I1308" s="34" t="n">
        <f aca="false">+IF(E1308=0,0,E1308*0.03)</f>
        <v>0</v>
      </c>
    </row>
    <row r="1309" customFormat="false" ht="15.75" hidden="false" customHeight="true" outlineLevel="0" collapsed="false">
      <c r="A1309" s="30" t="n">
        <v>45444</v>
      </c>
      <c r="B1309" s="31" t="s">
        <v>153</v>
      </c>
      <c r="C1309" s="32"/>
      <c r="D1309" s="32"/>
      <c r="E1309" s="19" t="n">
        <f aca="false">+F1309*0.03</f>
        <v>0</v>
      </c>
      <c r="F1309" s="33" t="n">
        <v>0</v>
      </c>
      <c r="G1309" s="62"/>
      <c r="H1309" s="35" t="n">
        <v>0</v>
      </c>
      <c r="I1309" s="34" t="n">
        <f aca="false">+IF(E1309=0,0,E1309*0.03)</f>
        <v>0</v>
      </c>
    </row>
    <row r="1310" customFormat="false" ht="15.75" hidden="false" customHeight="true" outlineLevel="0" collapsed="false">
      <c r="A1310" s="30" t="n">
        <v>45444</v>
      </c>
      <c r="B1310" s="31" t="s">
        <v>153</v>
      </c>
      <c r="C1310" s="32"/>
      <c r="D1310" s="32"/>
      <c r="E1310" s="19" t="n">
        <f aca="false">+F1310*0.03</f>
        <v>0</v>
      </c>
      <c r="F1310" s="33" t="n">
        <v>0</v>
      </c>
      <c r="G1310" s="62"/>
      <c r="H1310" s="35" t="n">
        <v>0</v>
      </c>
      <c r="I1310" s="34" t="n">
        <f aca="false">+IF(E1310=0,0,E1310*0.03)</f>
        <v>0</v>
      </c>
    </row>
    <row r="1311" customFormat="false" ht="15.75" hidden="false" customHeight="true" outlineLevel="0" collapsed="false">
      <c r="A1311" s="30" t="n">
        <v>45444</v>
      </c>
      <c r="B1311" s="31" t="s">
        <v>153</v>
      </c>
      <c r="C1311" s="32"/>
      <c r="D1311" s="32"/>
      <c r="E1311" s="19" t="n">
        <f aca="false">+F1311*0.03</f>
        <v>0</v>
      </c>
      <c r="F1311" s="33" t="n">
        <v>0</v>
      </c>
      <c r="G1311" s="62"/>
      <c r="H1311" s="35" t="n">
        <v>0</v>
      </c>
      <c r="I1311" s="34" t="n">
        <f aca="false">+IF(E1311=0,0,E1311*0.03)</f>
        <v>0</v>
      </c>
    </row>
    <row r="1312" customFormat="false" ht="15.75" hidden="false" customHeight="true" outlineLevel="0" collapsed="false">
      <c r="A1312" s="30" t="n">
        <v>45444</v>
      </c>
      <c r="B1312" s="31" t="s">
        <v>153</v>
      </c>
      <c r="C1312" s="32"/>
      <c r="D1312" s="32"/>
      <c r="E1312" s="19" t="n">
        <f aca="false">+F1312*0.03</f>
        <v>0</v>
      </c>
      <c r="F1312" s="33" t="n">
        <v>0</v>
      </c>
      <c r="G1312" s="62"/>
      <c r="H1312" s="35" t="n">
        <v>0</v>
      </c>
      <c r="I1312" s="34" t="n">
        <f aca="false">+IF(E1312=0,0,E1312*0.03)</f>
        <v>0</v>
      </c>
    </row>
    <row r="1313" customFormat="false" ht="15.75" hidden="false" customHeight="true" outlineLevel="0" collapsed="false">
      <c r="A1313" s="30" t="n">
        <v>45444</v>
      </c>
      <c r="B1313" s="31" t="s">
        <v>153</v>
      </c>
      <c r="C1313" s="32"/>
      <c r="D1313" s="32"/>
      <c r="E1313" s="19" t="n">
        <f aca="false">+F1313*0.03</f>
        <v>0</v>
      </c>
      <c r="F1313" s="33" t="n">
        <v>0</v>
      </c>
      <c r="G1313" s="62"/>
      <c r="H1313" s="35" t="n">
        <v>0</v>
      </c>
      <c r="I1313" s="34" t="n">
        <f aca="false">+IF(E1313=0,0,E1313*0.03)</f>
        <v>0</v>
      </c>
    </row>
    <row r="1314" customFormat="false" ht="15.75" hidden="false" customHeight="true" outlineLevel="0" collapsed="false">
      <c r="A1314" s="30" t="n">
        <v>45444</v>
      </c>
      <c r="B1314" s="31" t="s">
        <v>153</v>
      </c>
      <c r="C1314" s="32"/>
      <c r="D1314" s="32"/>
      <c r="E1314" s="19" t="n">
        <f aca="false">+F1314*0.03</f>
        <v>0</v>
      </c>
      <c r="F1314" s="33" t="n">
        <v>0</v>
      </c>
      <c r="G1314" s="62"/>
      <c r="H1314" s="35" t="n">
        <v>0</v>
      </c>
      <c r="I1314" s="34" t="n">
        <f aca="false">+IF(E1314=0,0,E1314*0.03)</f>
        <v>0</v>
      </c>
    </row>
    <row r="1315" customFormat="false" ht="15.75" hidden="false" customHeight="true" outlineLevel="0" collapsed="false">
      <c r="A1315" s="30" t="n">
        <v>45444</v>
      </c>
      <c r="B1315" s="31" t="s">
        <v>153</v>
      </c>
      <c r="C1315" s="32"/>
      <c r="D1315" s="32"/>
      <c r="E1315" s="19" t="n">
        <f aca="false">+F1315*0.03</f>
        <v>0</v>
      </c>
      <c r="F1315" s="33" t="n">
        <v>0</v>
      </c>
      <c r="G1315" s="62"/>
      <c r="H1315" s="35" t="n">
        <v>0</v>
      </c>
      <c r="I1315" s="34" t="n">
        <f aca="false">+IF(E1315=0,0,E1315*0.03)</f>
        <v>0</v>
      </c>
    </row>
    <row r="1316" customFormat="false" ht="15.75" hidden="false" customHeight="true" outlineLevel="0" collapsed="false">
      <c r="A1316" s="30" t="n">
        <v>45444</v>
      </c>
      <c r="B1316" s="31" t="s">
        <v>153</v>
      </c>
      <c r="C1316" s="32"/>
      <c r="D1316" s="32"/>
      <c r="E1316" s="19" t="n">
        <f aca="false">+F1316*0.03</f>
        <v>0</v>
      </c>
      <c r="F1316" s="33" t="n">
        <v>0</v>
      </c>
      <c r="G1316" s="62"/>
      <c r="H1316" s="35" t="n">
        <v>0</v>
      </c>
      <c r="I1316" s="34" t="n">
        <f aca="false">+IF(E1316=0,0,E1316*0.03)</f>
        <v>0</v>
      </c>
    </row>
    <row r="1317" customFormat="false" ht="15.75" hidden="false" customHeight="true" outlineLevel="0" collapsed="false">
      <c r="A1317" s="30" t="n">
        <v>45444</v>
      </c>
      <c r="B1317" s="31" t="s">
        <v>153</v>
      </c>
      <c r="C1317" s="32"/>
      <c r="D1317" s="32"/>
      <c r="E1317" s="19" t="n">
        <f aca="false">+F1317*0.03</f>
        <v>0</v>
      </c>
      <c r="F1317" s="33" t="n">
        <v>0</v>
      </c>
      <c r="G1317" s="62"/>
      <c r="H1317" s="35" t="n">
        <v>0</v>
      </c>
      <c r="I1317" s="34" t="n">
        <f aca="false">+IF(E1317=0,0,E1317*0.03)</f>
        <v>0</v>
      </c>
    </row>
    <row r="1318" customFormat="false" ht="15.75" hidden="false" customHeight="true" outlineLevel="0" collapsed="false">
      <c r="A1318" s="30" t="n">
        <v>45444</v>
      </c>
      <c r="B1318" s="31" t="s">
        <v>153</v>
      </c>
      <c r="C1318" s="32"/>
      <c r="D1318" s="32"/>
      <c r="E1318" s="19" t="n">
        <f aca="false">+F1318*0.03</f>
        <v>0</v>
      </c>
      <c r="F1318" s="33" t="n">
        <v>0</v>
      </c>
      <c r="G1318" s="62"/>
      <c r="H1318" s="35" t="n">
        <v>0</v>
      </c>
      <c r="I1318" s="34" t="n">
        <f aca="false">+IF(E1318=0,0,E1318*0.03)</f>
        <v>0</v>
      </c>
    </row>
    <row r="1319" customFormat="false" ht="15.75" hidden="false" customHeight="true" outlineLevel="0" collapsed="false">
      <c r="A1319" s="30" t="n">
        <v>45444</v>
      </c>
      <c r="B1319" s="31" t="s">
        <v>153</v>
      </c>
      <c r="C1319" s="32"/>
      <c r="D1319" s="32"/>
      <c r="E1319" s="19" t="n">
        <f aca="false">+F1319*0.03</f>
        <v>0</v>
      </c>
      <c r="F1319" s="33" t="n">
        <v>0</v>
      </c>
      <c r="G1319" s="62"/>
      <c r="H1319" s="35" t="n">
        <v>0</v>
      </c>
      <c r="I1319" s="34" t="n">
        <f aca="false">+IF(E1319=0,0,E1319*0.03)</f>
        <v>0</v>
      </c>
    </row>
    <row r="1320" customFormat="false" ht="15.75" hidden="false" customHeight="true" outlineLevel="0" collapsed="false">
      <c r="A1320" s="30" t="n">
        <v>45444</v>
      </c>
      <c r="B1320" s="31" t="s">
        <v>153</v>
      </c>
      <c r="C1320" s="32"/>
      <c r="D1320" s="32"/>
      <c r="E1320" s="19" t="n">
        <f aca="false">+F1320*0.03</f>
        <v>0</v>
      </c>
      <c r="F1320" s="33" t="n">
        <v>0</v>
      </c>
      <c r="G1320" s="62"/>
      <c r="H1320" s="35" t="n">
        <v>0</v>
      </c>
      <c r="I1320" s="34" t="n">
        <f aca="false">+IF(E1320=0,0,E1320*0.03)</f>
        <v>0</v>
      </c>
    </row>
    <row r="1321" customFormat="false" ht="15.75" hidden="false" customHeight="true" outlineLevel="0" collapsed="false">
      <c r="A1321" s="30" t="n">
        <v>45444</v>
      </c>
      <c r="B1321" s="31" t="s">
        <v>153</v>
      </c>
      <c r="C1321" s="32"/>
      <c r="D1321" s="32"/>
      <c r="E1321" s="19" t="n">
        <f aca="false">+F1321*0.03</f>
        <v>0</v>
      </c>
      <c r="F1321" s="33" t="n">
        <v>0</v>
      </c>
      <c r="G1321" s="62"/>
      <c r="H1321" s="35" t="n">
        <v>0</v>
      </c>
      <c r="I1321" s="34" t="n">
        <f aca="false">+IF(E1321=0,0,E1321*0.03)</f>
        <v>0</v>
      </c>
    </row>
    <row r="1322" customFormat="false" ht="15.75" hidden="false" customHeight="true" outlineLevel="0" collapsed="false">
      <c r="A1322" s="30" t="n">
        <v>45444</v>
      </c>
      <c r="B1322" s="31" t="s">
        <v>153</v>
      </c>
      <c r="C1322" s="32"/>
      <c r="D1322" s="32"/>
      <c r="E1322" s="19" t="n">
        <f aca="false">+F1322*0.03</f>
        <v>0</v>
      </c>
      <c r="F1322" s="33" t="n">
        <v>0</v>
      </c>
      <c r="G1322" s="62"/>
      <c r="H1322" s="35" t="n">
        <v>0</v>
      </c>
      <c r="I1322" s="34" t="n">
        <f aca="false">+IF(E1322=0,0,E1322*0.03)</f>
        <v>0</v>
      </c>
    </row>
    <row r="1323" customFormat="false" ht="15.75" hidden="false" customHeight="true" outlineLevel="0" collapsed="false">
      <c r="A1323" s="30" t="n">
        <v>45444</v>
      </c>
      <c r="B1323" s="31" t="s">
        <v>153</v>
      </c>
      <c r="C1323" s="32"/>
      <c r="D1323" s="32"/>
      <c r="E1323" s="19" t="n">
        <f aca="false">+F1323*0.03</f>
        <v>0</v>
      </c>
      <c r="F1323" s="33" t="n">
        <v>0</v>
      </c>
      <c r="G1323" s="62"/>
      <c r="H1323" s="35" t="n">
        <v>0</v>
      </c>
      <c r="I1323" s="34" t="n">
        <f aca="false">+IF(E1323=0,0,E1323*0.03)</f>
        <v>0</v>
      </c>
    </row>
    <row r="1324" customFormat="false" ht="15.75" hidden="false" customHeight="true" outlineLevel="0" collapsed="false">
      <c r="A1324" s="30" t="n">
        <v>45444</v>
      </c>
      <c r="B1324" s="31" t="s">
        <v>153</v>
      </c>
      <c r="C1324" s="32"/>
      <c r="D1324" s="32"/>
      <c r="E1324" s="19" t="n">
        <f aca="false">+F1324*0.03</f>
        <v>0</v>
      </c>
      <c r="F1324" s="33" t="n">
        <v>0</v>
      </c>
      <c r="G1324" s="62"/>
      <c r="H1324" s="35" t="n">
        <v>0</v>
      </c>
      <c r="I1324" s="34" t="n">
        <f aca="false">+IF(E1324=0,0,E1324*0.03)</f>
        <v>0</v>
      </c>
    </row>
    <row r="1325" customFormat="false" ht="15.75" hidden="false" customHeight="true" outlineLevel="0" collapsed="false">
      <c r="A1325" s="30" t="n">
        <v>45444</v>
      </c>
      <c r="B1325" s="31" t="s">
        <v>153</v>
      </c>
      <c r="C1325" s="32"/>
      <c r="D1325" s="32"/>
      <c r="E1325" s="19" t="n">
        <f aca="false">+F1325*0.03</f>
        <v>0</v>
      </c>
      <c r="F1325" s="33" t="n">
        <v>0</v>
      </c>
      <c r="G1325" s="62"/>
      <c r="H1325" s="35" t="n">
        <v>0</v>
      </c>
      <c r="I1325" s="34" t="n">
        <f aca="false">+IF(E1325=0,0,E1325*0.03)</f>
        <v>0</v>
      </c>
    </row>
    <row r="1326" customFormat="false" ht="15.75" hidden="false" customHeight="true" outlineLevel="0" collapsed="false">
      <c r="A1326" s="30" t="n">
        <v>45444</v>
      </c>
      <c r="B1326" s="31" t="s">
        <v>153</v>
      </c>
      <c r="C1326" s="32"/>
      <c r="D1326" s="32"/>
      <c r="E1326" s="19" t="n">
        <f aca="false">+F1326*0.03</f>
        <v>0</v>
      </c>
      <c r="F1326" s="33" t="n">
        <v>0</v>
      </c>
      <c r="G1326" s="62"/>
      <c r="H1326" s="35" t="n">
        <v>0</v>
      </c>
      <c r="I1326" s="34" t="n">
        <f aca="false">+IF(E1326=0,0,E1326*0.03)</f>
        <v>0</v>
      </c>
    </row>
    <row r="1327" customFormat="false" ht="15.75" hidden="false" customHeight="true" outlineLevel="0" collapsed="false">
      <c r="A1327" s="30" t="n">
        <v>45444</v>
      </c>
      <c r="B1327" s="31" t="s">
        <v>153</v>
      </c>
      <c r="C1327" s="32"/>
      <c r="D1327" s="32"/>
      <c r="E1327" s="19" t="n">
        <f aca="false">+F1327*0.03</f>
        <v>0</v>
      </c>
      <c r="F1327" s="33" t="n">
        <v>0</v>
      </c>
      <c r="G1327" s="62"/>
      <c r="H1327" s="35" t="n">
        <v>0</v>
      </c>
      <c r="I1327" s="34" t="n">
        <f aca="false">+IF(E1327=0,0,E1327*0.03)</f>
        <v>0</v>
      </c>
    </row>
    <row r="1328" customFormat="false" ht="15.75" hidden="false" customHeight="true" outlineLevel="0" collapsed="false">
      <c r="A1328" s="30" t="n">
        <v>45444</v>
      </c>
      <c r="B1328" s="31" t="s">
        <v>153</v>
      </c>
      <c r="C1328" s="32"/>
      <c r="D1328" s="32"/>
      <c r="E1328" s="19" t="n">
        <f aca="false">+F1328*0.03</f>
        <v>0</v>
      </c>
      <c r="F1328" s="33" t="n">
        <v>0</v>
      </c>
      <c r="G1328" s="62"/>
      <c r="H1328" s="35" t="n">
        <v>0</v>
      </c>
      <c r="I1328" s="34" t="n">
        <f aca="false">+IF(E1328=0,0,E1328*0.03)</f>
        <v>0</v>
      </c>
    </row>
    <row r="1329" customFormat="false" ht="15.75" hidden="false" customHeight="true" outlineLevel="0" collapsed="false">
      <c r="A1329" s="30" t="n">
        <v>45444</v>
      </c>
      <c r="B1329" s="31" t="s">
        <v>153</v>
      </c>
      <c r="C1329" s="32"/>
      <c r="D1329" s="32"/>
      <c r="E1329" s="19" t="n">
        <f aca="false">+F1329*0.03</f>
        <v>0</v>
      </c>
      <c r="F1329" s="33" t="n">
        <v>0</v>
      </c>
      <c r="G1329" s="62"/>
      <c r="H1329" s="35" t="n">
        <v>0</v>
      </c>
      <c r="I1329" s="34" t="n">
        <f aca="false">+IF(E1329=0,0,E1329*0.03)</f>
        <v>0</v>
      </c>
    </row>
    <row r="1330" customFormat="false" ht="15.75" hidden="false" customHeight="true" outlineLevel="0" collapsed="false">
      <c r="A1330" s="30" t="n">
        <v>45444</v>
      </c>
      <c r="B1330" s="31" t="s">
        <v>153</v>
      </c>
      <c r="C1330" s="32"/>
      <c r="D1330" s="32"/>
      <c r="E1330" s="19" t="n">
        <f aca="false">+F1330*0.03</f>
        <v>0</v>
      </c>
      <c r="F1330" s="33" t="n">
        <v>0</v>
      </c>
      <c r="G1330" s="62"/>
      <c r="H1330" s="35" t="n">
        <v>0</v>
      </c>
      <c r="I1330" s="34" t="n">
        <f aca="false">+IF(E1330=0,0,E1330*0.03)</f>
        <v>0</v>
      </c>
    </row>
    <row r="1331" customFormat="false" ht="15.75" hidden="false" customHeight="true" outlineLevel="0" collapsed="false">
      <c r="A1331" s="30" t="n">
        <v>45444</v>
      </c>
      <c r="B1331" s="31" t="s">
        <v>153</v>
      </c>
      <c r="C1331" s="32"/>
      <c r="D1331" s="32"/>
      <c r="E1331" s="19" t="n">
        <f aca="false">+F1331*0.03</f>
        <v>0</v>
      </c>
      <c r="F1331" s="33" t="n">
        <v>0</v>
      </c>
      <c r="G1331" s="62"/>
      <c r="H1331" s="35" t="n">
        <v>0</v>
      </c>
      <c r="I1331" s="34" t="n">
        <f aca="false">+IF(E1331=0,0,E1331*0.03)</f>
        <v>0</v>
      </c>
    </row>
    <row r="1332" customFormat="false" ht="15.75" hidden="false" customHeight="true" outlineLevel="0" collapsed="false">
      <c r="A1332" s="30" t="n">
        <v>45444</v>
      </c>
      <c r="B1332" s="31" t="s">
        <v>153</v>
      </c>
      <c r="C1332" s="32"/>
      <c r="D1332" s="32"/>
      <c r="E1332" s="19" t="n">
        <f aca="false">+F1332*0.03</f>
        <v>0</v>
      </c>
      <c r="F1332" s="33" t="n">
        <v>0</v>
      </c>
      <c r="G1332" s="62"/>
      <c r="H1332" s="35" t="n">
        <v>0</v>
      </c>
      <c r="I1332" s="34" t="n">
        <f aca="false">+IF(E1332=0,0,E1332*0.03)</f>
        <v>0</v>
      </c>
    </row>
    <row r="1333" customFormat="false" ht="15.75" hidden="false" customHeight="true" outlineLevel="0" collapsed="false">
      <c r="A1333" s="30" t="n">
        <v>45444</v>
      </c>
      <c r="B1333" s="31" t="s">
        <v>153</v>
      </c>
      <c r="C1333" s="32"/>
      <c r="D1333" s="32"/>
      <c r="E1333" s="19" t="n">
        <f aca="false">+F1333*0.03</f>
        <v>0</v>
      </c>
      <c r="F1333" s="33" t="n">
        <v>0</v>
      </c>
      <c r="G1333" s="62"/>
      <c r="H1333" s="35" t="n">
        <v>0</v>
      </c>
      <c r="I1333" s="34" t="n">
        <f aca="false">+IF(E1333=0,0,E1333*0.03)</f>
        <v>0</v>
      </c>
    </row>
    <row r="1334" customFormat="false" ht="15.75" hidden="false" customHeight="true" outlineLevel="0" collapsed="false">
      <c r="A1334" s="30" t="n">
        <v>45444</v>
      </c>
      <c r="B1334" s="31" t="s">
        <v>153</v>
      </c>
      <c r="C1334" s="32"/>
      <c r="D1334" s="32"/>
      <c r="E1334" s="19" t="n">
        <f aca="false">+F1334*0.03</f>
        <v>0</v>
      </c>
      <c r="F1334" s="33" t="n">
        <v>0</v>
      </c>
      <c r="G1334" s="62"/>
      <c r="H1334" s="35" t="n">
        <v>0</v>
      </c>
      <c r="I1334" s="34" t="n">
        <f aca="false">+IF(E1334=0,0,E1334*0.03)</f>
        <v>0</v>
      </c>
    </row>
    <row r="1335" customFormat="false" ht="15.75" hidden="false" customHeight="true" outlineLevel="0" collapsed="false">
      <c r="A1335" s="30" t="n">
        <v>45444</v>
      </c>
      <c r="B1335" s="31" t="s">
        <v>153</v>
      </c>
      <c r="C1335" s="32"/>
      <c r="D1335" s="32"/>
      <c r="E1335" s="19" t="n">
        <f aca="false">+F1335*0.03</f>
        <v>0</v>
      </c>
      <c r="F1335" s="33" t="n">
        <v>0</v>
      </c>
      <c r="G1335" s="62"/>
      <c r="H1335" s="35" t="n">
        <v>0</v>
      </c>
      <c r="I1335" s="34" t="n">
        <f aca="false">+IF(E1335=0,0,E1335*0.03)</f>
        <v>0</v>
      </c>
    </row>
    <row r="1336" customFormat="false" ht="15.75" hidden="false" customHeight="true" outlineLevel="0" collapsed="false">
      <c r="A1336" s="30" t="n">
        <v>45444</v>
      </c>
      <c r="B1336" s="31" t="s">
        <v>153</v>
      </c>
      <c r="C1336" s="32"/>
      <c r="D1336" s="32"/>
      <c r="E1336" s="19" t="n">
        <f aca="false">+F1336*0.03</f>
        <v>0</v>
      </c>
      <c r="F1336" s="33" t="n">
        <v>0</v>
      </c>
      <c r="G1336" s="62"/>
      <c r="H1336" s="35" t="n">
        <v>0</v>
      </c>
      <c r="I1336" s="34" t="n">
        <f aca="false">+IF(E1336=0,0,E1336*0.03)</f>
        <v>0</v>
      </c>
    </row>
    <row r="1337" customFormat="false" ht="15.75" hidden="false" customHeight="true" outlineLevel="0" collapsed="false">
      <c r="A1337" s="30" t="n">
        <v>45444</v>
      </c>
      <c r="B1337" s="31" t="s">
        <v>153</v>
      </c>
      <c r="C1337" s="32"/>
      <c r="D1337" s="32"/>
      <c r="E1337" s="19" t="n">
        <f aca="false">+F1337*0.03</f>
        <v>0</v>
      </c>
      <c r="F1337" s="33" t="n">
        <v>0</v>
      </c>
      <c r="G1337" s="62"/>
      <c r="H1337" s="35" t="n">
        <v>0</v>
      </c>
      <c r="I1337" s="34" t="n">
        <f aca="false">+IF(E1337=0,0,E1337*0.03)</f>
        <v>0</v>
      </c>
    </row>
    <row r="1338" customFormat="false" ht="15.75" hidden="false" customHeight="true" outlineLevel="0" collapsed="false">
      <c r="A1338" s="30" t="n">
        <v>45444</v>
      </c>
      <c r="B1338" s="31" t="s">
        <v>153</v>
      </c>
      <c r="C1338" s="32"/>
      <c r="D1338" s="32"/>
      <c r="E1338" s="19" t="n">
        <f aca="false">+F1338*0.03</f>
        <v>0</v>
      </c>
      <c r="F1338" s="33" t="n">
        <v>0</v>
      </c>
      <c r="G1338" s="62"/>
      <c r="H1338" s="35" t="n">
        <v>0</v>
      </c>
      <c r="I1338" s="34" t="n">
        <f aca="false">+IF(E1338=0,0,E1338*0.03)</f>
        <v>0</v>
      </c>
    </row>
    <row r="1339" customFormat="false" ht="15.75" hidden="false" customHeight="true" outlineLevel="0" collapsed="false">
      <c r="A1339" s="30" t="n">
        <v>45444</v>
      </c>
      <c r="B1339" s="31" t="s">
        <v>153</v>
      </c>
      <c r="C1339" s="32"/>
      <c r="D1339" s="32"/>
      <c r="E1339" s="19" t="n">
        <f aca="false">+F1339*0.03</f>
        <v>0</v>
      </c>
      <c r="F1339" s="33" t="n">
        <v>0</v>
      </c>
      <c r="G1339" s="62"/>
      <c r="H1339" s="35" t="n">
        <v>0</v>
      </c>
      <c r="I1339" s="34" t="n">
        <f aca="false">+IF(E1339=0,0,E1339*0.03)</f>
        <v>0</v>
      </c>
    </row>
    <row r="1340" customFormat="false" ht="15.75" hidden="false" customHeight="true" outlineLevel="0" collapsed="false">
      <c r="A1340" s="30" t="n">
        <v>45444</v>
      </c>
      <c r="B1340" s="31" t="s">
        <v>153</v>
      </c>
      <c r="C1340" s="32"/>
      <c r="D1340" s="32"/>
      <c r="E1340" s="19" t="n">
        <f aca="false">+F1340*0.03</f>
        <v>0</v>
      </c>
      <c r="F1340" s="33" t="n">
        <v>0</v>
      </c>
      <c r="G1340" s="62"/>
      <c r="H1340" s="35" t="n">
        <v>0</v>
      </c>
      <c r="I1340" s="34" t="n">
        <f aca="false">+IF(E1340=0,0,E1340*0.03)</f>
        <v>0</v>
      </c>
    </row>
    <row r="1341" customFormat="false" ht="15.75" hidden="false" customHeight="true" outlineLevel="0" collapsed="false">
      <c r="A1341" s="30" t="n">
        <v>45444</v>
      </c>
      <c r="B1341" s="31" t="s">
        <v>153</v>
      </c>
      <c r="C1341" s="32"/>
      <c r="D1341" s="32"/>
      <c r="E1341" s="19" t="n">
        <f aca="false">+F1341*0.03</f>
        <v>0</v>
      </c>
      <c r="F1341" s="33" t="n">
        <v>0</v>
      </c>
      <c r="G1341" s="62"/>
      <c r="H1341" s="35" t="n">
        <v>0</v>
      </c>
      <c r="I1341" s="34" t="n">
        <f aca="false">+IF(E1341=0,0,E1341*0.03)</f>
        <v>0</v>
      </c>
    </row>
    <row r="1342" customFormat="false" ht="15.75" hidden="false" customHeight="true" outlineLevel="0" collapsed="false">
      <c r="A1342" s="30" t="n">
        <v>45444</v>
      </c>
      <c r="B1342" s="31" t="s">
        <v>153</v>
      </c>
      <c r="C1342" s="32"/>
      <c r="D1342" s="32"/>
      <c r="E1342" s="19" t="n">
        <f aca="false">+F1342*0.03</f>
        <v>0</v>
      </c>
      <c r="F1342" s="33" t="n">
        <v>0</v>
      </c>
      <c r="G1342" s="62"/>
      <c r="H1342" s="35" t="n">
        <v>0</v>
      </c>
      <c r="I1342" s="34" t="n">
        <f aca="false">+IF(E1342=0,0,E1342*0.03)</f>
        <v>0</v>
      </c>
    </row>
    <row r="1343" customFormat="false" ht="15.75" hidden="false" customHeight="true" outlineLevel="0" collapsed="false">
      <c r="A1343" s="30" t="n">
        <v>45444</v>
      </c>
      <c r="B1343" s="31" t="s">
        <v>153</v>
      </c>
      <c r="C1343" s="32"/>
      <c r="D1343" s="32"/>
      <c r="E1343" s="19" t="n">
        <f aca="false">+F1343*0.03</f>
        <v>0</v>
      </c>
      <c r="F1343" s="33" t="n">
        <v>0</v>
      </c>
      <c r="G1343" s="62"/>
      <c r="H1343" s="35" t="n">
        <v>0</v>
      </c>
      <c r="I1343" s="34" t="n">
        <f aca="false">+IF(E1343=0,0,E1343*0.03)</f>
        <v>0</v>
      </c>
    </row>
    <row r="1344" customFormat="false" ht="15.75" hidden="false" customHeight="true" outlineLevel="0" collapsed="false">
      <c r="A1344" s="30" t="n">
        <v>45444</v>
      </c>
      <c r="B1344" s="31" t="s">
        <v>153</v>
      </c>
      <c r="C1344" s="32"/>
      <c r="D1344" s="32"/>
      <c r="E1344" s="19" t="n">
        <f aca="false">+F1344*0.03</f>
        <v>0</v>
      </c>
      <c r="F1344" s="33" t="n">
        <v>0</v>
      </c>
      <c r="G1344" s="62"/>
      <c r="H1344" s="35" t="n">
        <v>0</v>
      </c>
      <c r="I1344" s="34" t="n">
        <f aca="false">+IF(E1344=0,0,E1344*0.03)</f>
        <v>0</v>
      </c>
    </row>
    <row r="1345" customFormat="false" ht="15.75" hidden="false" customHeight="true" outlineLevel="0" collapsed="false">
      <c r="A1345" s="30" t="n">
        <v>45444</v>
      </c>
      <c r="B1345" s="31" t="s">
        <v>153</v>
      </c>
      <c r="C1345" s="32"/>
      <c r="D1345" s="32"/>
      <c r="E1345" s="19" t="n">
        <f aca="false">+F1345*0.03</f>
        <v>0</v>
      </c>
      <c r="F1345" s="33" t="n">
        <v>0</v>
      </c>
      <c r="G1345" s="62"/>
      <c r="H1345" s="35" t="n">
        <v>0</v>
      </c>
      <c r="I1345" s="34" t="n">
        <f aca="false">+IF(E1345=0,0,E1345*0.03)</f>
        <v>0</v>
      </c>
    </row>
    <row r="1346" customFormat="false" ht="15.75" hidden="false" customHeight="true" outlineLevel="0" collapsed="false">
      <c r="A1346" s="30" t="n">
        <v>45444</v>
      </c>
      <c r="B1346" s="31" t="s">
        <v>153</v>
      </c>
      <c r="C1346" s="32"/>
      <c r="D1346" s="32"/>
      <c r="E1346" s="19" t="n">
        <f aca="false">+F1346*0.03</f>
        <v>0</v>
      </c>
      <c r="F1346" s="33" t="n">
        <v>0</v>
      </c>
      <c r="G1346" s="62"/>
      <c r="H1346" s="35" t="n">
        <v>0</v>
      </c>
      <c r="I1346" s="34" t="n">
        <f aca="false">+IF(E1346=0,0,E1346*0.03)</f>
        <v>0</v>
      </c>
    </row>
    <row r="1347" customFormat="false" ht="15.75" hidden="false" customHeight="true" outlineLevel="0" collapsed="false">
      <c r="A1347" s="30" t="n">
        <v>45444</v>
      </c>
      <c r="B1347" s="31" t="s">
        <v>153</v>
      </c>
      <c r="C1347" s="32"/>
      <c r="D1347" s="32"/>
      <c r="E1347" s="19" t="n">
        <f aca="false">+F1347*0.03</f>
        <v>0</v>
      </c>
      <c r="F1347" s="33" t="n">
        <v>0</v>
      </c>
      <c r="G1347" s="62"/>
      <c r="H1347" s="35" t="n">
        <v>0</v>
      </c>
      <c r="I1347" s="34" t="n">
        <f aca="false">+IF(E1347=0,0,E1347*0.03)</f>
        <v>0</v>
      </c>
    </row>
    <row r="1348" customFormat="false" ht="15.75" hidden="false" customHeight="true" outlineLevel="0" collapsed="false">
      <c r="A1348" s="30" t="n">
        <v>45444</v>
      </c>
      <c r="B1348" s="31" t="s">
        <v>153</v>
      </c>
      <c r="C1348" s="32"/>
      <c r="D1348" s="32"/>
      <c r="E1348" s="19" t="n">
        <f aca="false">+F1348*0.03</f>
        <v>0</v>
      </c>
      <c r="F1348" s="33" t="n">
        <v>0</v>
      </c>
      <c r="G1348" s="62"/>
      <c r="H1348" s="35" t="n">
        <v>0</v>
      </c>
      <c r="I1348" s="34" t="n">
        <f aca="false">+IF(E1348=0,0,E1348*0.03)</f>
        <v>0</v>
      </c>
    </row>
    <row r="1349" customFormat="false" ht="15.75" hidden="false" customHeight="true" outlineLevel="0" collapsed="false">
      <c r="A1349" s="30" t="n">
        <v>45444</v>
      </c>
      <c r="B1349" s="31" t="s">
        <v>153</v>
      </c>
      <c r="C1349" s="32"/>
      <c r="D1349" s="32"/>
      <c r="E1349" s="19" t="n">
        <f aca="false">+F1349*0.03</f>
        <v>0</v>
      </c>
      <c r="F1349" s="33" t="n">
        <v>0</v>
      </c>
      <c r="G1349" s="62"/>
      <c r="H1349" s="35" t="n">
        <v>0</v>
      </c>
      <c r="I1349" s="34" t="n">
        <f aca="false">+IF(E1349=0,0,E1349*0.03)</f>
        <v>0</v>
      </c>
    </row>
    <row r="1350" customFormat="false" ht="15.75" hidden="false" customHeight="true" outlineLevel="0" collapsed="false">
      <c r="A1350" s="30" t="n">
        <v>45444</v>
      </c>
      <c r="B1350" s="31" t="s">
        <v>153</v>
      </c>
      <c r="C1350" s="32"/>
      <c r="D1350" s="32"/>
      <c r="E1350" s="19" t="n">
        <f aca="false">+F1350*0.03</f>
        <v>0</v>
      </c>
      <c r="F1350" s="33" t="n">
        <v>0</v>
      </c>
      <c r="G1350" s="62"/>
      <c r="H1350" s="35" t="n">
        <v>0</v>
      </c>
      <c r="I1350" s="34" t="n">
        <f aca="false">+IF(E1350=0,0,E1350*0.03)</f>
        <v>0</v>
      </c>
    </row>
    <row r="1351" customFormat="false" ht="15.75" hidden="false" customHeight="true" outlineLevel="0" collapsed="false">
      <c r="A1351" s="30" t="n">
        <v>45444</v>
      </c>
      <c r="B1351" s="31" t="s">
        <v>153</v>
      </c>
      <c r="C1351" s="32"/>
      <c r="D1351" s="32"/>
      <c r="E1351" s="19" t="n">
        <f aca="false">+F1351*0.03</f>
        <v>0</v>
      </c>
      <c r="F1351" s="33" t="n">
        <v>0</v>
      </c>
      <c r="G1351" s="62"/>
      <c r="H1351" s="35" t="n">
        <v>0</v>
      </c>
      <c r="I1351" s="34" t="n">
        <f aca="false">+IF(E1351=0,0,E1351*0.03)</f>
        <v>0</v>
      </c>
    </row>
    <row r="1352" customFormat="false" ht="15.75" hidden="false" customHeight="true" outlineLevel="0" collapsed="false">
      <c r="A1352" s="30" t="n">
        <v>45444</v>
      </c>
      <c r="B1352" s="31" t="s">
        <v>153</v>
      </c>
      <c r="C1352" s="32"/>
      <c r="D1352" s="32"/>
      <c r="E1352" s="19" t="n">
        <f aca="false">+F1352*0.03</f>
        <v>0</v>
      </c>
      <c r="F1352" s="33" t="n">
        <v>0</v>
      </c>
      <c r="G1352" s="62"/>
      <c r="H1352" s="35" t="n">
        <v>0</v>
      </c>
      <c r="I1352" s="34" t="n">
        <f aca="false">+IF(E1352=0,0,E1352*0.03)</f>
        <v>0</v>
      </c>
    </row>
    <row r="1353" customFormat="false" ht="15.75" hidden="false" customHeight="true" outlineLevel="0" collapsed="false">
      <c r="A1353" s="30" t="n">
        <v>45444</v>
      </c>
      <c r="B1353" s="31" t="s">
        <v>153</v>
      </c>
      <c r="C1353" s="32"/>
      <c r="D1353" s="32"/>
      <c r="E1353" s="19" t="n">
        <f aca="false">+F1353*0.03</f>
        <v>0</v>
      </c>
      <c r="F1353" s="33" t="n">
        <v>0</v>
      </c>
      <c r="G1353" s="62"/>
      <c r="H1353" s="35" t="n">
        <v>0</v>
      </c>
      <c r="I1353" s="34" t="n">
        <f aca="false">+IF(E1353=0,0,E1353*0.03)</f>
        <v>0</v>
      </c>
    </row>
    <row r="1354" customFormat="false" ht="15.75" hidden="false" customHeight="true" outlineLevel="0" collapsed="false">
      <c r="A1354" s="30" t="n">
        <v>45444</v>
      </c>
      <c r="B1354" s="31" t="s">
        <v>153</v>
      </c>
      <c r="C1354" s="32"/>
      <c r="D1354" s="32"/>
      <c r="E1354" s="19" t="n">
        <f aca="false">+F1354*0.03</f>
        <v>0</v>
      </c>
      <c r="F1354" s="33" t="n">
        <v>0</v>
      </c>
      <c r="G1354" s="62"/>
      <c r="H1354" s="35" t="n">
        <v>0</v>
      </c>
      <c r="I1354" s="34" t="n">
        <f aca="false">+IF(E1354=0,0,E1354*0.03)</f>
        <v>0</v>
      </c>
    </row>
    <row r="1355" customFormat="false" ht="15.75" hidden="false" customHeight="true" outlineLevel="0" collapsed="false">
      <c r="A1355" s="30" t="n">
        <v>45444</v>
      </c>
      <c r="B1355" s="31" t="s">
        <v>153</v>
      </c>
      <c r="C1355" s="32"/>
      <c r="D1355" s="32"/>
      <c r="E1355" s="19" t="n">
        <f aca="false">+F1355*0.03</f>
        <v>0</v>
      </c>
      <c r="F1355" s="33" t="n">
        <v>0</v>
      </c>
      <c r="G1355" s="62"/>
      <c r="H1355" s="35" t="n">
        <v>0</v>
      </c>
      <c r="I1355" s="34" t="n">
        <f aca="false">+IF(E1355=0,0,E1355*0.03)</f>
        <v>0</v>
      </c>
    </row>
    <row r="1356" customFormat="false" ht="15.75" hidden="false" customHeight="true" outlineLevel="0" collapsed="false">
      <c r="A1356" s="30" t="n">
        <v>45444</v>
      </c>
      <c r="B1356" s="31" t="s">
        <v>153</v>
      </c>
      <c r="C1356" s="32"/>
      <c r="D1356" s="32"/>
      <c r="E1356" s="19" t="n">
        <f aca="false">+F1356*0.03</f>
        <v>0</v>
      </c>
      <c r="F1356" s="33" t="n">
        <v>0</v>
      </c>
      <c r="G1356" s="62"/>
      <c r="H1356" s="35" t="n">
        <v>0</v>
      </c>
      <c r="I1356" s="34" t="n">
        <f aca="false">+IF(E1356=0,0,E1356*0.03)</f>
        <v>0</v>
      </c>
    </row>
    <row r="1357" customFormat="false" ht="15.75" hidden="false" customHeight="true" outlineLevel="0" collapsed="false">
      <c r="A1357" s="30" t="n">
        <v>45444</v>
      </c>
      <c r="B1357" s="31" t="s">
        <v>153</v>
      </c>
      <c r="C1357" s="32"/>
      <c r="D1357" s="32"/>
      <c r="E1357" s="19" t="n">
        <f aca="false">+F1357*0.03</f>
        <v>0</v>
      </c>
      <c r="F1357" s="33" t="n">
        <v>0</v>
      </c>
      <c r="G1357" s="62"/>
      <c r="H1357" s="35" t="n">
        <v>0</v>
      </c>
      <c r="I1357" s="34" t="n">
        <f aca="false">+IF(E1357=0,0,E1357*0.03)</f>
        <v>0</v>
      </c>
    </row>
    <row r="1358" customFormat="false" ht="15.75" hidden="false" customHeight="true" outlineLevel="0" collapsed="false">
      <c r="A1358" s="30" t="n">
        <v>45444</v>
      </c>
      <c r="B1358" s="31" t="s">
        <v>153</v>
      </c>
      <c r="C1358" s="32"/>
      <c r="D1358" s="32"/>
      <c r="E1358" s="19" t="n">
        <f aca="false">+F1358*0.03</f>
        <v>0</v>
      </c>
      <c r="F1358" s="33" t="n">
        <v>0</v>
      </c>
      <c r="G1358" s="62"/>
      <c r="H1358" s="35" t="n">
        <v>0</v>
      </c>
      <c r="I1358" s="34" t="n">
        <f aca="false">+IF(E1358=0,0,E1358*0.03)</f>
        <v>0</v>
      </c>
    </row>
    <row r="1359" customFormat="false" ht="15.75" hidden="false" customHeight="true" outlineLevel="0" collapsed="false">
      <c r="A1359" s="30" t="n">
        <v>45444</v>
      </c>
      <c r="B1359" s="31" t="s">
        <v>153</v>
      </c>
      <c r="C1359" s="32"/>
      <c r="D1359" s="32"/>
      <c r="E1359" s="19" t="n">
        <f aca="false">+F1359*0.03</f>
        <v>0</v>
      </c>
      <c r="F1359" s="33" t="n">
        <v>0</v>
      </c>
      <c r="G1359" s="62"/>
      <c r="H1359" s="35" t="n">
        <v>0</v>
      </c>
      <c r="I1359" s="34" t="n">
        <f aca="false">+IF(E1359=0,0,E1359*0.03)</f>
        <v>0</v>
      </c>
    </row>
    <row r="1360" customFormat="false" ht="15.75" hidden="false" customHeight="true" outlineLevel="0" collapsed="false">
      <c r="A1360" s="30" t="n">
        <v>45444</v>
      </c>
      <c r="B1360" s="31" t="s">
        <v>153</v>
      </c>
      <c r="C1360" s="32"/>
      <c r="D1360" s="32"/>
      <c r="E1360" s="19" t="n">
        <f aca="false">+F1360*0.03</f>
        <v>0</v>
      </c>
      <c r="F1360" s="33" t="n">
        <v>0</v>
      </c>
      <c r="G1360" s="62"/>
      <c r="H1360" s="35" t="n">
        <v>0</v>
      </c>
      <c r="I1360" s="34" t="n">
        <f aca="false">+IF(E1360=0,0,E1360*0.03)</f>
        <v>0</v>
      </c>
    </row>
    <row r="1361" customFormat="false" ht="15.75" hidden="false" customHeight="true" outlineLevel="0" collapsed="false">
      <c r="A1361" s="30" t="n">
        <v>45444</v>
      </c>
      <c r="B1361" s="31" t="s">
        <v>153</v>
      </c>
      <c r="C1361" s="32"/>
      <c r="D1361" s="32"/>
      <c r="E1361" s="19" t="n">
        <f aca="false">+F1361*0.03</f>
        <v>0</v>
      </c>
      <c r="F1361" s="33" t="n">
        <v>0</v>
      </c>
      <c r="G1361" s="62"/>
      <c r="H1361" s="35" t="n">
        <v>0</v>
      </c>
      <c r="I1361" s="34" t="n">
        <f aca="false">+IF(E1361=0,0,E1361*0.03)</f>
        <v>0</v>
      </c>
    </row>
    <row r="1362" customFormat="false" ht="15.75" hidden="false" customHeight="true" outlineLevel="0" collapsed="false">
      <c r="A1362" s="30" t="n">
        <v>45444</v>
      </c>
      <c r="B1362" s="31" t="s">
        <v>153</v>
      </c>
      <c r="C1362" s="32"/>
      <c r="D1362" s="32"/>
      <c r="E1362" s="19" t="n">
        <f aca="false">+F1362*0.03</f>
        <v>0</v>
      </c>
      <c r="F1362" s="33" t="n">
        <v>0</v>
      </c>
      <c r="G1362" s="62"/>
      <c r="H1362" s="35" t="n">
        <v>0</v>
      </c>
      <c r="I1362" s="34" t="n">
        <f aca="false">+IF(E1362=0,0,E1362*0.03)</f>
        <v>0</v>
      </c>
    </row>
    <row r="1363" customFormat="false" ht="15.75" hidden="false" customHeight="true" outlineLevel="0" collapsed="false">
      <c r="A1363" s="30" t="n">
        <v>45444</v>
      </c>
      <c r="B1363" s="31" t="s">
        <v>153</v>
      </c>
      <c r="C1363" s="32"/>
      <c r="D1363" s="32"/>
      <c r="E1363" s="19" t="n">
        <f aca="false">+F1363*0.03</f>
        <v>0</v>
      </c>
      <c r="F1363" s="33" t="n">
        <v>0</v>
      </c>
      <c r="G1363" s="62"/>
      <c r="H1363" s="35" t="n">
        <v>0</v>
      </c>
      <c r="I1363" s="34" t="n">
        <f aca="false">+IF(E1363=0,0,E1363*0.03)</f>
        <v>0</v>
      </c>
    </row>
    <row r="1364" customFormat="false" ht="15.75" hidden="false" customHeight="true" outlineLevel="0" collapsed="false">
      <c r="A1364" s="30" t="n">
        <v>45444</v>
      </c>
      <c r="B1364" s="31" t="s">
        <v>153</v>
      </c>
      <c r="C1364" s="32"/>
      <c r="D1364" s="32"/>
      <c r="E1364" s="19" t="n">
        <f aca="false">+F1364*0.03</f>
        <v>0</v>
      </c>
      <c r="F1364" s="33" t="n">
        <v>0</v>
      </c>
      <c r="G1364" s="62"/>
      <c r="H1364" s="35" t="n">
        <v>0</v>
      </c>
      <c r="I1364" s="34" t="n">
        <f aca="false">+IF(E1364=0,0,E1364*0.03)</f>
        <v>0</v>
      </c>
    </row>
    <row r="1365" customFormat="false" ht="15.75" hidden="false" customHeight="true" outlineLevel="0" collapsed="false">
      <c r="A1365" s="30" t="n">
        <v>45444</v>
      </c>
      <c r="B1365" s="31" t="s">
        <v>153</v>
      </c>
      <c r="C1365" s="32"/>
      <c r="D1365" s="32"/>
      <c r="E1365" s="19" t="n">
        <f aca="false">+F1365*0.03</f>
        <v>0</v>
      </c>
      <c r="F1365" s="33" t="n">
        <v>0</v>
      </c>
      <c r="G1365" s="62"/>
      <c r="H1365" s="35" t="n">
        <v>0</v>
      </c>
      <c r="I1365" s="34" t="n">
        <f aca="false">+IF(E1365=0,0,E1365*0.03)</f>
        <v>0</v>
      </c>
    </row>
    <row r="1366" customFormat="false" ht="15.75" hidden="false" customHeight="true" outlineLevel="0" collapsed="false">
      <c r="A1366" s="30" t="n">
        <v>45444</v>
      </c>
      <c r="B1366" s="31" t="s">
        <v>153</v>
      </c>
      <c r="C1366" s="32"/>
      <c r="D1366" s="32"/>
      <c r="E1366" s="19" t="n">
        <f aca="false">+F1366*0.03</f>
        <v>0</v>
      </c>
      <c r="F1366" s="33" t="n">
        <v>0</v>
      </c>
      <c r="G1366" s="62"/>
      <c r="H1366" s="35" t="n">
        <v>0</v>
      </c>
      <c r="I1366" s="34" t="n">
        <f aca="false">+IF(E1366=0,0,E1366*0.03)</f>
        <v>0</v>
      </c>
    </row>
    <row r="1367" customFormat="false" ht="15.75" hidden="false" customHeight="true" outlineLevel="0" collapsed="false">
      <c r="A1367" s="30" t="n">
        <v>45444</v>
      </c>
      <c r="B1367" s="31" t="s">
        <v>153</v>
      </c>
      <c r="C1367" s="32"/>
      <c r="D1367" s="32"/>
      <c r="E1367" s="19" t="n">
        <f aca="false">+F1367*0.03</f>
        <v>0</v>
      </c>
      <c r="F1367" s="33" t="n">
        <v>0</v>
      </c>
      <c r="G1367" s="62"/>
      <c r="H1367" s="35" t="n">
        <v>0</v>
      </c>
      <c r="I1367" s="34" t="n">
        <f aca="false">+IF(E1367=0,0,E1367*0.03)</f>
        <v>0</v>
      </c>
    </row>
    <row r="1368" customFormat="false" ht="15.75" hidden="false" customHeight="true" outlineLevel="0" collapsed="false">
      <c r="A1368" s="30" t="n">
        <v>45444</v>
      </c>
      <c r="B1368" s="31" t="s">
        <v>153</v>
      </c>
      <c r="C1368" s="32"/>
      <c r="D1368" s="32"/>
      <c r="E1368" s="19" t="n">
        <f aca="false">+F1368*0.03</f>
        <v>0</v>
      </c>
      <c r="F1368" s="33" t="n">
        <v>0</v>
      </c>
      <c r="G1368" s="62"/>
      <c r="H1368" s="35" t="n">
        <v>0</v>
      </c>
      <c r="I1368" s="34" t="n">
        <f aca="false">+IF(E1368=0,0,E1368*0.03)</f>
        <v>0</v>
      </c>
    </row>
    <row r="1369" customFormat="false" ht="15.75" hidden="false" customHeight="true" outlineLevel="0" collapsed="false">
      <c r="A1369" s="30" t="n">
        <v>45444</v>
      </c>
      <c r="B1369" s="31" t="s">
        <v>153</v>
      </c>
      <c r="C1369" s="32"/>
      <c r="D1369" s="32"/>
      <c r="E1369" s="19" t="n">
        <f aca="false">+F1369*0.03</f>
        <v>0</v>
      </c>
      <c r="F1369" s="33" t="n">
        <v>0</v>
      </c>
      <c r="G1369" s="62"/>
      <c r="H1369" s="35" t="n">
        <v>0</v>
      </c>
      <c r="I1369" s="34" t="n">
        <f aca="false">+IF(E1369=0,0,E1369*0.03)</f>
        <v>0</v>
      </c>
    </row>
    <row r="1370" customFormat="false" ht="15.75" hidden="false" customHeight="true" outlineLevel="0" collapsed="false">
      <c r="A1370" s="30" t="n">
        <v>45444</v>
      </c>
      <c r="B1370" s="31" t="s">
        <v>153</v>
      </c>
      <c r="C1370" s="32"/>
      <c r="D1370" s="32"/>
      <c r="E1370" s="19" t="n">
        <f aca="false">+F1370*0.03</f>
        <v>0</v>
      </c>
      <c r="F1370" s="33" t="n">
        <v>0</v>
      </c>
      <c r="G1370" s="62"/>
      <c r="H1370" s="35" t="n">
        <v>0</v>
      </c>
      <c r="I1370" s="34" t="n">
        <f aca="false">+IF(E1370=0,0,E1370*0.03)</f>
        <v>0</v>
      </c>
    </row>
    <row r="1371" customFormat="false" ht="15.75" hidden="false" customHeight="true" outlineLevel="0" collapsed="false">
      <c r="A1371" s="30" t="n">
        <v>45444</v>
      </c>
      <c r="B1371" s="31" t="s">
        <v>153</v>
      </c>
      <c r="C1371" s="32"/>
      <c r="D1371" s="32"/>
      <c r="E1371" s="19" t="n">
        <f aca="false">+F1371*0.03</f>
        <v>0</v>
      </c>
      <c r="F1371" s="33" t="n">
        <v>0</v>
      </c>
      <c r="G1371" s="62"/>
      <c r="H1371" s="35" t="n">
        <v>0</v>
      </c>
      <c r="I1371" s="34" t="n">
        <f aca="false">+IF(E1371=0,0,E1371*0.03)</f>
        <v>0</v>
      </c>
    </row>
    <row r="1372" customFormat="false" ht="15.75" hidden="false" customHeight="true" outlineLevel="0" collapsed="false">
      <c r="A1372" s="30" t="n">
        <v>45444</v>
      </c>
      <c r="B1372" s="31" t="s">
        <v>153</v>
      </c>
      <c r="C1372" s="32"/>
      <c r="D1372" s="32"/>
      <c r="E1372" s="19" t="n">
        <f aca="false">+F1372*0.03</f>
        <v>0</v>
      </c>
      <c r="F1372" s="33" t="n">
        <v>0</v>
      </c>
      <c r="G1372" s="62"/>
      <c r="H1372" s="35" t="n">
        <v>0</v>
      </c>
      <c r="I1372" s="34" t="n">
        <f aca="false">+IF(E1372=0,0,E1372*0.03)</f>
        <v>0</v>
      </c>
    </row>
    <row r="1373" customFormat="false" ht="15.75" hidden="false" customHeight="true" outlineLevel="0" collapsed="false">
      <c r="A1373" s="30" t="n">
        <v>45444</v>
      </c>
      <c r="B1373" s="31" t="s">
        <v>153</v>
      </c>
      <c r="C1373" s="32"/>
      <c r="D1373" s="32"/>
      <c r="E1373" s="19" t="n">
        <f aca="false">+F1373*0.03</f>
        <v>0</v>
      </c>
      <c r="F1373" s="33" t="n">
        <v>0</v>
      </c>
      <c r="G1373" s="62"/>
      <c r="H1373" s="35" t="n">
        <v>0</v>
      </c>
      <c r="I1373" s="34" t="n">
        <f aca="false">+IF(E1373=0,0,E1373*0.03)</f>
        <v>0</v>
      </c>
    </row>
    <row r="1374" customFormat="false" ht="15.75" hidden="false" customHeight="true" outlineLevel="0" collapsed="false">
      <c r="A1374" s="30" t="n">
        <v>45444</v>
      </c>
      <c r="B1374" s="31" t="s">
        <v>153</v>
      </c>
      <c r="C1374" s="32"/>
      <c r="D1374" s="32"/>
      <c r="E1374" s="19" t="n">
        <f aca="false">+F1374*0.03</f>
        <v>0</v>
      </c>
      <c r="F1374" s="33" t="n">
        <v>0</v>
      </c>
      <c r="G1374" s="62"/>
      <c r="H1374" s="35" t="n">
        <v>0</v>
      </c>
      <c r="I1374" s="34" t="n">
        <f aca="false">+IF(E1374=0,0,E1374*0.03)</f>
        <v>0</v>
      </c>
    </row>
    <row r="1375" customFormat="false" ht="15.75" hidden="false" customHeight="true" outlineLevel="0" collapsed="false">
      <c r="A1375" s="30" t="n">
        <v>45444</v>
      </c>
      <c r="B1375" s="31" t="s">
        <v>153</v>
      </c>
      <c r="C1375" s="32"/>
      <c r="D1375" s="32"/>
      <c r="E1375" s="19" t="n">
        <f aca="false">+F1375*0.03</f>
        <v>0</v>
      </c>
      <c r="F1375" s="33" t="n">
        <v>0</v>
      </c>
      <c r="G1375" s="62"/>
      <c r="H1375" s="35" t="n">
        <v>0</v>
      </c>
      <c r="I1375" s="34" t="n">
        <f aca="false">+IF(E1375=0,0,E1375*0.03)</f>
        <v>0</v>
      </c>
    </row>
    <row r="1376" customFormat="false" ht="15.75" hidden="false" customHeight="true" outlineLevel="0" collapsed="false">
      <c r="A1376" s="30" t="n">
        <v>45444</v>
      </c>
      <c r="B1376" s="31" t="s">
        <v>153</v>
      </c>
      <c r="C1376" s="32"/>
      <c r="D1376" s="32"/>
      <c r="E1376" s="19" t="n">
        <f aca="false">+F1376*0.03</f>
        <v>0</v>
      </c>
      <c r="F1376" s="33" t="n">
        <v>0</v>
      </c>
      <c r="G1376" s="62"/>
      <c r="H1376" s="35" t="n">
        <v>0</v>
      </c>
      <c r="I1376" s="34" t="n">
        <f aca="false">+IF(E1376=0,0,E1376*0.03)</f>
        <v>0</v>
      </c>
    </row>
    <row r="1377" customFormat="false" ht="15.75" hidden="false" customHeight="true" outlineLevel="0" collapsed="false">
      <c r="A1377" s="30" t="n">
        <v>45444</v>
      </c>
      <c r="B1377" s="31" t="s">
        <v>153</v>
      </c>
      <c r="C1377" s="32"/>
      <c r="D1377" s="32"/>
      <c r="E1377" s="19" t="n">
        <f aca="false">+F1377*0.03</f>
        <v>0</v>
      </c>
      <c r="F1377" s="33" t="n">
        <v>0</v>
      </c>
      <c r="G1377" s="62"/>
      <c r="H1377" s="35" t="n">
        <v>0</v>
      </c>
      <c r="I1377" s="34" t="n">
        <f aca="false">+IF(E1377=0,0,E1377*0.03)</f>
        <v>0</v>
      </c>
    </row>
    <row r="1378" customFormat="false" ht="15.75" hidden="false" customHeight="true" outlineLevel="0" collapsed="false">
      <c r="A1378" s="30" t="n">
        <v>45444</v>
      </c>
      <c r="B1378" s="31" t="s">
        <v>153</v>
      </c>
      <c r="C1378" s="32"/>
      <c r="D1378" s="32"/>
      <c r="E1378" s="19" t="n">
        <f aca="false">+F1378*0.03</f>
        <v>0</v>
      </c>
      <c r="F1378" s="33" t="n">
        <v>0</v>
      </c>
      <c r="G1378" s="62"/>
      <c r="H1378" s="35" t="n">
        <v>0</v>
      </c>
      <c r="I1378" s="34" t="n">
        <f aca="false">+IF(E1378=0,0,E1378*0.03)</f>
        <v>0</v>
      </c>
    </row>
    <row r="1379" customFormat="false" ht="15.75" hidden="false" customHeight="true" outlineLevel="0" collapsed="false">
      <c r="A1379" s="30" t="n">
        <v>45444</v>
      </c>
      <c r="B1379" s="31" t="s">
        <v>153</v>
      </c>
      <c r="C1379" s="32"/>
      <c r="D1379" s="32"/>
      <c r="E1379" s="19" t="n">
        <f aca="false">+F1379*0.03</f>
        <v>0</v>
      </c>
      <c r="F1379" s="33" t="n">
        <v>0</v>
      </c>
      <c r="G1379" s="62"/>
      <c r="H1379" s="35" t="n">
        <v>0</v>
      </c>
      <c r="I1379" s="34" t="n">
        <f aca="false">+IF(E1379=0,0,E1379*0.03)</f>
        <v>0</v>
      </c>
    </row>
    <row r="1380" customFormat="false" ht="15.75" hidden="false" customHeight="true" outlineLevel="0" collapsed="false">
      <c r="A1380" s="30" t="n">
        <v>45444</v>
      </c>
      <c r="B1380" s="31" t="s">
        <v>153</v>
      </c>
      <c r="C1380" s="32"/>
      <c r="D1380" s="32"/>
      <c r="E1380" s="19" t="n">
        <f aca="false">+F1380*0.03</f>
        <v>0</v>
      </c>
      <c r="F1380" s="33" t="n">
        <v>0</v>
      </c>
      <c r="G1380" s="62"/>
      <c r="H1380" s="35" t="n">
        <v>0</v>
      </c>
      <c r="I1380" s="34" t="n">
        <f aca="false">+IF(E1380=0,0,E1380*0.03)</f>
        <v>0</v>
      </c>
    </row>
    <row r="1381" customFormat="false" ht="15.75" hidden="false" customHeight="true" outlineLevel="0" collapsed="false">
      <c r="A1381" s="30" t="n">
        <v>45444</v>
      </c>
      <c r="B1381" s="31" t="s">
        <v>153</v>
      </c>
      <c r="C1381" s="32"/>
      <c r="D1381" s="32"/>
      <c r="E1381" s="19" t="n">
        <f aca="false">+F1381*0.03</f>
        <v>0</v>
      </c>
      <c r="F1381" s="33" t="n">
        <v>0</v>
      </c>
      <c r="G1381" s="62"/>
      <c r="H1381" s="35" t="n">
        <v>0</v>
      </c>
      <c r="I1381" s="34" t="n">
        <f aca="false">+IF(E1381=0,0,E1381*0.03)</f>
        <v>0</v>
      </c>
    </row>
    <row r="1382" customFormat="false" ht="15.75" hidden="false" customHeight="true" outlineLevel="0" collapsed="false">
      <c r="A1382" s="30" t="n">
        <v>45444</v>
      </c>
      <c r="B1382" s="31" t="s">
        <v>153</v>
      </c>
      <c r="C1382" s="32"/>
      <c r="D1382" s="32"/>
      <c r="E1382" s="19" t="n">
        <f aca="false">+F1382*0.03</f>
        <v>0</v>
      </c>
      <c r="F1382" s="33" t="n">
        <v>0</v>
      </c>
      <c r="G1382" s="62"/>
      <c r="H1382" s="35" t="n">
        <v>0</v>
      </c>
      <c r="I1382" s="34" t="n">
        <f aca="false">+IF(E1382=0,0,E1382*0.03)</f>
        <v>0</v>
      </c>
    </row>
    <row r="1383" customFormat="false" ht="15.75" hidden="false" customHeight="true" outlineLevel="0" collapsed="false">
      <c r="A1383" s="30" t="n">
        <v>45444</v>
      </c>
      <c r="B1383" s="31" t="s">
        <v>153</v>
      </c>
      <c r="C1383" s="32"/>
      <c r="D1383" s="32"/>
      <c r="E1383" s="19" t="n">
        <f aca="false">+F1383*0.03</f>
        <v>0</v>
      </c>
      <c r="F1383" s="33" t="n">
        <v>0</v>
      </c>
      <c r="G1383" s="62"/>
      <c r="H1383" s="35" t="n">
        <v>0</v>
      </c>
      <c r="I1383" s="34" t="n">
        <f aca="false">+IF(E1383=0,0,E1383*0.03)</f>
        <v>0</v>
      </c>
    </row>
    <row r="1384" customFormat="false" ht="15.75" hidden="false" customHeight="true" outlineLevel="0" collapsed="false">
      <c r="A1384" s="30" t="n">
        <v>45444</v>
      </c>
      <c r="B1384" s="31" t="s">
        <v>153</v>
      </c>
      <c r="C1384" s="32"/>
      <c r="D1384" s="32"/>
      <c r="E1384" s="19" t="n">
        <f aca="false">+F1384*0.03</f>
        <v>0</v>
      </c>
      <c r="F1384" s="33" t="n">
        <v>0</v>
      </c>
      <c r="G1384" s="62"/>
      <c r="H1384" s="35" t="n">
        <v>0</v>
      </c>
      <c r="I1384" s="34" t="n">
        <f aca="false">+IF(E1384=0,0,E1384*0.03)</f>
        <v>0</v>
      </c>
    </row>
    <row r="1385" customFormat="false" ht="15.75" hidden="false" customHeight="true" outlineLevel="0" collapsed="false">
      <c r="A1385" s="30" t="n">
        <v>45444</v>
      </c>
      <c r="B1385" s="31" t="s">
        <v>153</v>
      </c>
      <c r="C1385" s="32"/>
      <c r="D1385" s="32"/>
      <c r="E1385" s="19" t="n">
        <f aca="false">+F1385*0.03</f>
        <v>0</v>
      </c>
      <c r="F1385" s="33" t="n">
        <v>0</v>
      </c>
      <c r="G1385" s="62"/>
      <c r="H1385" s="35" t="n">
        <v>0</v>
      </c>
      <c r="I1385" s="34" t="n">
        <f aca="false">+IF(E1385=0,0,E1385*0.03)</f>
        <v>0</v>
      </c>
    </row>
    <row r="1386" customFormat="false" ht="15.75" hidden="false" customHeight="true" outlineLevel="0" collapsed="false">
      <c r="A1386" s="30" t="n">
        <v>45444</v>
      </c>
      <c r="B1386" s="31" t="s">
        <v>153</v>
      </c>
      <c r="C1386" s="32"/>
      <c r="D1386" s="32"/>
      <c r="E1386" s="19" t="n">
        <f aca="false">+F1386*0.03</f>
        <v>0</v>
      </c>
      <c r="F1386" s="33" t="n">
        <v>0</v>
      </c>
      <c r="G1386" s="62"/>
      <c r="H1386" s="35" t="n">
        <v>0</v>
      </c>
      <c r="I1386" s="34" t="n">
        <f aca="false">+IF(E1386=0,0,E1386*0.03)</f>
        <v>0</v>
      </c>
    </row>
    <row r="1387" customFormat="false" ht="15.75" hidden="false" customHeight="true" outlineLevel="0" collapsed="false">
      <c r="A1387" s="30" t="n">
        <v>45444</v>
      </c>
      <c r="B1387" s="31" t="s">
        <v>153</v>
      </c>
      <c r="C1387" s="32"/>
      <c r="D1387" s="32"/>
      <c r="E1387" s="19" t="n">
        <f aca="false">+F1387*0.03</f>
        <v>0</v>
      </c>
      <c r="F1387" s="33" t="n">
        <v>0</v>
      </c>
      <c r="G1387" s="62"/>
      <c r="H1387" s="35" t="n">
        <v>0</v>
      </c>
      <c r="I1387" s="34" t="n">
        <f aca="false">+IF(E1387=0,0,E1387*0.03)</f>
        <v>0</v>
      </c>
    </row>
    <row r="1388" customFormat="false" ht="15.75" hidden="false" customHeight="true" outlineLevel="0" collapsed="false">
      <c r="A1388" s="30" t="n">
        <v>45444</v>
      </c>
      <c r="B1388" s="31" t="s">
        <v>153</v>
      </c>
      <c r="C1388" s="32"/>
      <c r="D1388" s="32"/>
      <c r="E1388" s="19" t="n">
        <f aca="false">+F1388*0.03</f>
        <v>0</v>
      </c>
      <c r="F1388" s="33" t="n">
        <v>0</v>
      </c>
      <c r="G1388" s="62"/>
      <c r="H1388" s="35" t="n">
        <v>0</v>
      </c>
      <c r="I1388" s="34" t="n">
        <f aca="false">+IF(E1388=0,0,E1388*0.03)</f>
        <v>0</v>
      </c>
    </row>
    <row r="1389" customFormat="false" ht="15.75" hidden="false" customHeight="true" outlineLevel="0" collapsed="false">
      <c r="A1389" s="30" t="n">
        <v>45444</v>
      </c>
      <c r="B1389" s="31" t="s">
        <v>153</v>
      </c>
      <c r="C1389" s="32"/>
      <c r="D1389" s="32"/>
      <c r="E1389" s="19" t="n">
        <f aca="false">+F1389*0.03</f>
        <v>0</v>
      </c>
      <c r="F1389" s="33" t="n">
        <v>0</v>
      </c>
      <c r="G1389" s="62"/>
      <c r="H1389" s="35" t="n">
        <v>0</v>
      </c>
      <c r="I1389" s="34" t="n">
        <f aca="false">+IF(E1389=0,0,E1389*0.03)</f>
        <v>0</v>
      </c>
    </row>
    <row r="1390" customFormat="false" ht="15.75" hidden="false" customHeight="true" outlineLevel="0" collapsed="false">
      <c r="A1390" s="30" t="n">
        <v>45444</v>
      </c>
      <c r="B1390" s="31" t="s">
        <v>153</v>
      </c>
      <c r="C1390" s="32"/>
      <c r="D1390" s="32"/>
      <c r="E1390" s="19" t="n">
        <f aca="false">+F1390*0.03</f>
        <v>0</v>
      </c>
      <c r="F1390" s="33" t="n">
        <v>0</v>
      </c>
      <c r="G1390" s="62"/>
      <c r="H1390" s="35" t="n">
        <v>0</v>
      </c>
      <c r="I1390" s="34" t="n">
        <f aca="false">+IF(E1390=0,0,E1390*0.03)</f>
        <v>0</v>
      </c>
    </row>
    <row r="1391" customFormat="false" ht="15.75" hidden="false" customHeight="true" outlineLevel="0" collapsed="false">
      <c r="A1391" s="30" t="n">
        <v>45444</v>
      </c>
      <c r="B1391" s="31" t="s">
        <v>153</v>
      </c>
      <c r="C1391" s="32"/>
      <c r="D1391" s="32"/>
      <c r="E1391" s="19" t="n">
        <f aca="false">+F1391*0.03</f>
        <v>0</v>
      </c>
      <c r="F1391" s="33" t="n">
        <v>0</v>
      </c>
      <c r="G1391" s="62"/>
      <c r="H1391" s="35" t="n">
        <v>0</v>
      </c>
      <c r="I1391" s="34" t="n">
        <f aca="false">+IF(E1391=0,0,E1391*0.03)</f>
        <v>0</v>
      </c>
    </row>
    <row r="1392" customFormat="false" ht="15.75" hidden="false" customHeight="true" outlineLevel="0" collapsed="false">
      <c r="A1392" s="30" t="n">
        <v>45444</v>
      </c>
      <c r="B1392" s="31" t="s">
        <v>153</v>
      </c>
      <c r="C1392" s="32"/>
      <c r="D1392" s="32"/>
      <c r="E1392" s="19" t="n">
        <f aca="false">+F1392*0.03</f>
        <v>0</v>
      </c>
      <c r="F1392" s="33" t="n">
        <v>0</v>
      </c>
      <c r="G1392" s="62"/>
      <c r="H1392" s="35" t="n">
        <v>0</v>
      </c>
      <c r="I1392" s="34" t="n">
        <f aca="false">+IF(E1392=0,0,E1392*0.03)</f>
        <v>0</v>
      </c>
    </row>
    <row r="1393" customFormat="false" ht="15.75" hidden="false" customHeight="true" outlineLevel="0" collapsed="false">
      <c r="A1393" s="30" t="n">
        <v>45444</v>
      </c>
      <c r="B1393" s="31" t="s">
        <v>153</v>
      </c>
      <c r="C1393" s="32"/>
      <c r="D1393" s="32"/>
      <c r="E1393" s="19" t="n">
        <f aca="false">+F1393*0.03</f>
        <v>0</v>
      </c>
      <c r="F1393" s="33" t="n">
        <v>0</v>
      </c>
      <c r="G1393" s="62"/>
      <c r="H1393" s="35" t="n">
        <v>0</v>
      </c>
      <c r="I1393" s="34" t="n">
        <f aca="false">+IF(E1393=0,0,E1393*0.03)</f>
        <v>0</v>
      </c>
    </row>
    <row r="1394" customFormat="false" ht="15.75" hidden="false" customHeight="true" outlineLevel="0" collapsed="false">
      <c r="A1394" s="30" t="n">
        <v>45444</v>
      </c>
      <c r="B1394" s="31" t="s">
        <v>153</v>
      </c>
      <c r="C1394" s="32"/>
      <c r="D1394" s="32"/>
      <c r="E1394" s="19" t="n">
        <f aca="false">+F1394*0.03</f>
        <v>0</v>
      </c>
      <c r="F1394" s="33" t="n">
        <v>0</v>
      </c>
      <c r="G1394" s="62"/>
      <c r="H1394" s="35" t="n">
        <v>0</v>
      </c>
      <c r="I1394" s="34" t="n">
        <f aca="false">+IF(E1394=0,0,E1394*0.03)</f>
        <v>0</v>
      </c>
    </row>
    <row r="1395" customFormat="false" ht="15.75" hidden="false" customHeight="true" outlineLevel="0" collapsed="false">
      <c r="A1395" s="30" t="n">
        <v>45444</v>
      </c>
      <c r="B1395" s="31" t="s">
        <v>153</v>
      </c>
      <c r="C1395" s="32"/>
      <c r="D1395" s="32"/>
      <c r="E1395" s="19" t="n">
        <f aca="false">+F1395*0.03</f>
        <v>0</v>
      </c>
      <c r="F1395" s="33" t="n">
        <v>0</v>
      </c>
      <c r="G1395" s="62"/>
      <c r="H1395" s="35" t="n">
        <v>0</v>
      </c>
      <c r="I1395" s="34" t="n">
        <f aca="false">+IF(E1395=0,0,E1395*0.03)</f>
        <v>0</v>
      </c>
    </row>
    <row r="1396" customFormat="false" ht="15.75" hidden="false" customHeight="true" outlineLevel="0" collapsed="false">
      <c r="A1396" s="30" t="n">
        <v>45444</v>
      </c>
      <c r="B1396" s="31" t="s">
        <v>153</v>
      </c>
      <c r="C1396" s="32"/>
      <c r="D1396" s="32"/>
      <c r="E1396" s="19" t="n">
        <f aca="false">+F1396*0.03</f>
        <v>0</v>
      </c>
      <c r="F1396" s="33" t="n">
        <v>0</v>
      </c>
      <c r="G1396" s="62"/>
      <c r="H1396" s="35" t="n">
        <v>0</v>
      </c>
      <c r="I1396" s="34" t="n">
        <f aca="false">+IF(E1396=0,0,E1396*0.03)</f>
        <v>0</v>
      </c>
    </row>
    <row r="1397" customFormat="false" ht="15.75" hidden="false" customHeight="true" outlineLevel="0" collapsed="false">
      <c r="A1397" s="30" t="n">
        <v>45444</v>
      </c>
      <c r="B1397" s="31" t="s">
        <v>153</v>
      </c>
      <c r="C1397" s="32"/>
      <c r="D1397" s="32"/>
      <c r="E1397" s="19" t="n">
        <f aca="false">+F1397*0.03</f>
        <v>0</v>
      </c>
      <c r="F1397" s="33" t="n">
        <v>0</v>
      </c>
      <c r="G1397" s="62"/>
      <c r="H1397" s="35" t="n">
        <v>0</v>
      </c>
      <c r="I1397" s="34" t="n">
        <f aca="false">+IF(E1397=0,0,E1397*0.03)</f>
        <v>0</v>
      </c>
    </row>
    <row r="1398" customFormat="false" ht="15.75" hidden="false" customHeight="true" outlineLevel="0" collapsed="false">
      <c r="A1398" s="30" t="n">
        <v>45444</v>
      </c>
      <c r="B1398" s="31" t="s">
        <v>153</v>
      </c>
      <c r="C1398" s="32"/>
      <c r="D1398" s="32"/>
      <c r="E1398" s="19" t="n">
        <f aca="false">+F1398*0.03</f>
        <v>0</v>
      </c>
      <c r="F1398" s="33" t="n">
        <v>0</v>
      </c>
      <c r="G1398" s="62"/>
      <c r="H1398" s="35" t="n">
        <v>0</v>
      </c>
      <c r="I1398" s="34" t="n">
        <f aca="false">+IF(E1398=0,0,E1398*0.03)</f>
        <v>0</v>
      </c>
    </row>
    <row r="1399" customFormat="false" ht="15.75" hidden="false" customHeight="true" outlineLevel="0" collapsed="false">
      <c r="A1399" s="30" t="n">
        <v>45444</v>
      </c>
      <c r="B1399" s="31" t="s">
        <v>153</v>
      </c>
      <c r="C1399" s="32"/>
      <c r="D1399" s="32"/>
      <c r="E1399" s="19" t="n">
        <f aca="false">+F1399*0.03</f>
        <v>0</v>
      </c>
      <c r="F1399" s="33" t="n">
        <v>0</v>
      </c>
      <c r="G1399" s="62"/>
      <c r="H1399" s="35" t="n">
        <v>0</v>
      </c>
      <c r="I1399" s="34" t="n">
        <f aca="false">+IF(E1399=0,0,E1399*0.03)</f>
        <v>0</v>
      </c>
    </row>
    <row r="1400" customFormat="false" ht="15.75" hidden="false" customHeight="true" outlineLevel="0" collapsed="false">
      <c r="A1400" s="30" t="n">
        <v>45444</v>
      </c>
      <c r="B1400" s="31" t="s">
        <v>153</v>
      </c>
      <c r="C1400" s="32"/>
      <c r="D1400" s="32"/>
      <c r="E1400" s="19" t="n">
        <f aca="false">+F1400*0.03</f>
        <v>0</v>
      </c>
      <c r="F1400" s="33" t="n">
        <v>0</v>
      </c>
      <c r="G1400" s="62"/>
      <c r="H1400" s="35" t="n">
        <v>0</v>
      </c>
      <c r="I1400" s="34" t="n">
        <f aca="false">+IF(E1400=0,0,E1400*0.03)</f>
        <v>0</v>
      </c>
    </row>
    <row r="1401" customFormat="false" ht="15.75" hidden="false" customHeight="true" outlineLevel="0" collapsed="false">
      <c r="A1401" s="30" t="n">
        <v>45444</v>
      </c>
      <c r="B1401" s="31" t="s">
        <v>153</v>
      </c>
      <c r="C1401" s="32"/>
      <c r="D1401" s="32"/>
      <c r="E1401" s="19" t="n">
        <f aca="false">+F1401*0.03</f>
        <v>0</v>
      </c>
      <c r="F1401" s="33" t="n">
        <v>0</v>
      </c>
      <c r="G1401" s="62"/>
      <c r="H1401" s="35" t="n">
        <v>0</v>
      </c>
      <c r="I1401" s="34" t="n">
        <f aca="false">+IF(E1401=0,0,E1401*0.03)</f>
        <v>0</v>
      </c>
    </row>
    <row r="1402" customFormat="false" ht="15.75" hidden="false" customHeight="true" outlineLevel="0" collapsed="false">
      <c r="A1402" s="30" t="n">
        <v>45444</v>
      </c>
      <c r="B1402" s="31" t="s">
        <v>153</v>
      </c>
      <c r="C1402" s="32"/>
      <c r="D1402" s="32"/>
      <c r="E1402" s="19" t="n">
        <f aca="false">+F1402*0.03</f>
        <v>0</v>
      </c>
      <c r="F1402" s="33" t="n">
        <v>0</v>
      </c>
      <c r="G1402" s="62"/>
      <c r="H1402" s="35" t="n">
        <v>0</v>
      </c>
      <c r="I1402" s="34" t="n">
        <f aca="false">+IF(E1402=0,0,E1402*0.03)</f>
        <v>0</v>
      </c>
    </row>
    <row r="1403" customFormat="false" ht="15.75" hidden="false" customHeight="true" outlineLevel="0" collapsed="false">
      <c r="A1403" s="30" t="n">
        <v>45444</v>
      </c>
      <c r="B1403" s="31" t="s">
        <v>153</v>
      </c>
      <c r="C1403" s="32"/>
      <c r="D1403" s="32"/>
      <c r="E1403" s="19" t="n">
        <f aca="false">+F1403*0.03</f>
        <v>0</v>
      </c>
      <c r="F1403" s="33" t="n">
        <v>0</v>
      </c>
      <c r="G1403" s="62"/>
      <c r="H1403" s="35" t="n">
        <v>0</v>
      </c>
      <c r="I1403" s="34" t="n">
        <f aca="false">+IF(E1403=0,0,E1403*0.03)</f>
        <v>0</v>
      </c>
    </row>
    <row r="1404" customFormat="false" ht="15.75" hidden="false" customHeight="true" outlineLevel="0" collapsed="false">
      <c r="A1404" s="30" t="n">
        <v>45444</v>
      </c>
      <c r="B1404" s="31" t="s">
        <v>153</v>
      </c>
      <c r="C1404" s="32"/>
      <c r="D1404" s="32"/>
      <c r="E1404" s="19" t="n">
        <f aca="false">+F1404*0.03</f>
        <v>0</v>
      </c>
      <c r="F1404" s="33" t="n">
        <v>0</v>
      </c>
      <c r="G1404" s="62"/>
      <c r="H1404" s="35" t="n">
        <v>0</v>
      </c>
      <c r="I1404" s="34" t="n">
        <f aca="false">+IF(E1404=0,0,E1404*0.03)</f>
        <v>0</v>
      </c>
    </row>
    <row r="1405" customFormat="false" ht="15.75" hidden="false" customHeight="true" outlineLevel="0" collapsed="false">
      <c r="A1405" s="30" t="n">
        <v>45444</v>
      </c>
      <c r="B1405" s="31" t="s">
        <v>153</v>
      </c>
      <c r="C1405" s="32"/>
      <c r="D1405" s="32"/>
      <c r="E1405" s="19" t="n">
        <f aca="false">+F1405*0.03</f>
        <v>0</v>
      </c>
      <c r="F1405" s="33" t="n">
        <v>0</v>
      </c>
      <c r="G1405" s="62"/>
      <c r="H1405" s="35" t="n">
        <v>0</v>
      </c>
      <c r="I1405" s="34" t="n">
        <f aca="false">+IF(E1405=0,0,E1405*0.03)</f>
        <v>0</v>
      </c>
    </row>
    <row r="1406" customFormat="false" ht="15.75" hidden="false" customHeight="true" outlineLevel="0" collapsed="false">
      <c r="A1406" s="30" t="n">
        <v>45444</v>
      </c>
      <c r="B1406" s="31" t="s">
        <v>153</v>
      </c>
      <c r="C1406" s="32"/>
      <c r="D1406" s="32"/>
      <c r="E1406" s="19" t="n">
        <f aca="false">+F1406*0.03</f>
        <v>0</v>
      </c>
      <c r="F1406" s="33" t="n">
        <v>0</v>
      </c>
      <c r="G1406" s="62"/>
      <c r="H1406" s="35" t="n">
        <v>0</v>
      </c>
      <c r="I1406" s="34" t="n">
        <f aca="false">+IF(E1406=0,0,E1406*0.03)</f>
        <v>0</v>
      </c>
    </row>
    <row r="1407" customFormat="false" ht="15.75" hidden="false" customHeight="true" outlineLevel="0" collapsed="false">
      <c r="A1407" s="30" t="n">
        <v>45444</v>
      </c>
      <c r="B1407" s="31" t="s">
        <v>153</v>
      </c>
      <c r="C1407" s="32"/>
      <c r="D1407" s="32"/>
      <c r="E1407" s="19" t="n">
        <f aca="false">+F1407*0.03</f>
        <v>0</v>
      </c>
      <c r="F1407" s="33" t="n">
        <v>0</v>
      </c>
      <c r="G1407" s="62"/>
      <c r="H1407" s="35" t="n">
        <v>0</v>
      </c>
      <c r="I1407" s="34" t="n">
        <f aca="false">+IF(E1407=0,0,E1407*0.03)</f>
        <v>0</v>
      </c>
    </row>
    <row r="1408" customFormat="false" ht="15.75" hidden="false" customHeight="true" outlineLevel="0" collapsed="false">
      <c r="A1408" s="30" t="n">
        <v>45444</v>
      </c>
      <c r="B1408" s="31" t="s">
        <v>153</v>
      </c>
      <c r="C1408" s="32"/>
      <c r="D1408" s="32"/>
      <c r="E1408" s="19" t="n">
        <f aca="false">+F1408*0.03</f>
        <v>0</v>
      </c>
      <c r="F1408" s="33" t="n">
        <v>0</v>
      </c>
      <c r="G1408" s="62"/>
      <c r="H1408" s="35" t="n">
        <v>0</v>
      </c>
      <c r="I1408" s="34" t="n">
        <f aca="false">+IF(E1408=0,0,E1408*0.03)</f>
        <v>0</v>
      </c>
    </row>
    <row r="1409" customFormat="false" ht="15.75" hidden="false" customHeight="true" outlineLevel="0" collapsed="false">
      <c r="A1409" s="30" t="n">
        <v>45444</v>
      </c>
      <c r="B1409" s="31" t="s">
        <v>153</v>
      </c>
      <c r="C1409" s="32"/>
      <c r="D1409" s="32"/>
      <c r="E1409" s="19" t="n">
        <f aca="false">+F1409*0.03</f>
        <v>0</v>
      </c>
      <c r="F1409" s="33" t="n">
        <v>0</v>
      </c>
      <c r="G1409" s="62"/>
      <c r="H1409" s="35" t="n">
        <v>0</v>
      </c>
      <c r="I1409" s="34" t="n">
        <f aca="false">+IF(E1409=0,0,E1409*0.03)</f>
        <v>0</v>
      </c>
    </row>
    <row r="1410" customFormat="false" ht="15.75" hidden="false" customHeight="true" outlineLevel="0" collapsed="false">
      <c r="A1410" s="30" t="n">
        <v>45444</v>
      </c>
      <c r="B1410" s="31" t="s">
        <v>153</v>
      </c>
      <c r="C1410" s="32"/>
      <c r="D1410" s="32"/>
      <c r="E1410" s="19" t="n">
        <f aca="false">+F1410*0.03</f>
        <v>0</v>
      </c>
      <c r="F1410" s="33" t="n">
        <v>0</v>
      </c>
      <c r="G1410" s="62"/>
      <c r="H1410" s="35" t="n">
        <v>0</v>
      </c>
      <c r="I1410" s="34" t="n">
        <f aca="false">+IF(E1410=0,0,E1410*0.03)</f>
        <v>0</v>
      </c>
    </row>
    <row r="1411" customFormat="false" ht="15.75" hidden="false" customHeight="true" outlineLevel="0" collapsed="false">
      <c r="A1411" s="30" t="n">
        <v>45444</v>
      </c>
      <c r="B1411" s="31" t="s">
        <v>153</v>
      </c>
      <c r="C1411" s="32"/>
      <c r="D1411" s="32"/>
      <c r="E1411" s="19" t="n">
        <f aca="false">+F1411*0.03</f>
        <v>0</v>
      </c>
      <c r="F1411" s="33" t="n">
        <v>0</v>
      </c>
      <c r="G1411" s="62"/>
      <c r="H1411" s="35" t="n">
        <v>0</v>
      </c>
      <c r="I1411" s="34" t="n">
        <f aca="false">+IF(E1411=0,0,E1411*0.03)</f>
        <v>0</v>
      </c>
    </row>
    <row r="1412" customFormat="false" ht="15.75" hidden="false" customHeight="true" outlineLevel="0" collapsed="false">
      <c r="A1412" s="30" t="n">
        <v>45444</v>
      </c>
      <c r="B1412" s="31" t="s">
        <v>153</v>
      </c>
      <c r="C1412" s="32"/>
      <c r="D1412" s="32"/>
      <c r="E1412" s="19" t="n">
        <f aca="false">+F1412*0.03</f>
        <v>0</v>
      </c>
      <c r="F1412" s="33" t="n">
        <v>0</v>
      </c>
      <c r="G1412" s="62"/>
      <c r="H1412" s="35" t="n">
        <v>0</v>
      </c>
      <c r="I1412" s="34" t="n">
        <f aca="false">+IF(E1412=0,0,E1412*0.03)</f>
        <v>0</v>
      </c>
    </row>
    <row r="1413" customFormat="false" ht="15.75" hidden="false" customHeight="true" outlineLevel="0" collapsed="false">
      <c r="A1413" s="30" t="n">
        <v>45444</v>
      </c>
      <c r="B1413" s="31" t="s">
        <v>153</v>
      </c>
      <c r="C1413" s="32"/>
      <c r="D1413" s="32"/>
      <c r="E1413" s="19" t="n">
        <f aca="false">+F1413*0.03</f>
        <v>0</v>
      </c>
      <c r="F1413" s="33" t="n">
        <v>0</v>
      </c>
      <c r="G1413" s="62"/>
      <c r="H1413" s="35" t="n">
        <v>0</v>
      </c>
      <c r="I1413" s="34" t="n">
        <f aca="false">+IF(E1413=0,0,E1413*0.03)</f>
        <v>0</v>
      </c>
    </row>
    <row r="1414" customFormat="false" ht="15.75" hidden="false" customHeight="true" outlineLevel="0" collapsed="false">
      <c r="A1414" s="30" t="n">
        <v>45444</v>
      </c>
      <c r="B1414" s="31" t="s">
        <v>153</v>
      </c>
      <c r="C1414" s="32"/>
      <c r="D1414" s="32"/>
      <c r="E1414" s="19" t="n">
        <f aca="false">+F1414*0.03</f>
        <v>0</v>
      </c>
      <c r="F1414" s="33" t="n">
        <v>0</v>
      </c>
      <c r="G1414" s="62"/>
      <c r="H1414" s="35" t="n">
        <v>0</v>
      </c>
      <c r="I1414" s="34" t="n">
        <f aca="false">+IF(E1414=0,0,E1414*0.03)</f>
        <v>0</v>
      </c>
    </row>
    <row r="1415" customFormat="false" ht="15.75" hidden="false" customHeight="true" outlineLevel="0" collapsed="false">
      <c r="A1415" s="30" t="n">
        <v>45444</v>
      </c>
      <c r="B1415" s="31" t="s">
        <v>153</v>
      </c>
      <c r="C1415" s="32"/>
      <c r="D1415" s="32"/>
      <c r="E1415" s="19" t="n">
        <f aca="false">+F1415*0.03</f>
        <v>0</v>
      </c>
      <c r="F1415" s="33" t="n">
        <v>0</v>
      </c>
      <c r="G1415" s="62"/>
      <c r="H1415" s="35" t="n">
        <v>0</v>
      </c>
      <c r="I1415" s="34" t="n">
        <f aca="false">+IF(E1415=0,0,E1415*0.03)</f>
        <v>0</v>
      </c>
    </row>
    <row r="1416" customFormat="false" ht="15.75" hidden="false" customHeight="true" outlineLevel="0" collapsed="false">
      <c r="A1416" s="30" t="n">
        <v>45444</v>
      </c>
      <c r="B1416" s="31" t="s">
        <v>153</v>
      </c>
      <c r="C1416" s="32"/>
      <c r="D1416" s="32"/>
      <c r="E1416" s="19" t="n">
        <f aca="false">+F1416*0.03</f>
        <v>0</v>
      </c>
      <c r="F1416" s="33" t="n">
        <v>0</v>
      </c>
      <c r="G1416" s="62"/>
      <c r="H1416" s="35" t="n">
        <v>0</v>
      </c>
      <c r="I1416" s="34" t="n">
        <f aca="false">+IF(E1416=0,0,E1416*0.03)</f>
        <v>0</v>
      </c>
    </row>
    <row r="1417" customFormat="false" ht="15.75" hidden="false" customHeight="true" outlineLevel="0" collapsed="false">
      <c r="A1417" s="30" t="n">
        <v>45444</v>
      </c>
      <c r="B1417" s="31" t="s">
        <v>153</v>
      </c>
      <c r="C1417" s="32"/>
      <c r="D1417" s="32"/>
      <c r="E1417" s="19" t="n">
        <f aca="false">+F1417*0.03</f>
        <v>0</v>
      </c>
      <c r="F1417" s="33" t="n">
        <v>0</v>
      </c>
      <c r="G1417" s="62"/>
      <c r="H1417" s="35" t="n">
        <v>0</v>
      </c>
      <c r="I1417" s="34" t="n">
        <f aca="false">+IF(E1417=0,0,E1417*0.03)</f>
        <v>0</v>
      </c>
    </row>
    <row r="1418" customFormat="false" ht="15.75" hidden="false" customHeight="true" outlineLevel="0" collapsed="false">
      <c r="A1418" s="30" t="n">
        <v>45444</v>
      </c>
      <c r="B1418" s="31" t="s">
        <v>153</v>
      </c>
      <c r="C1418" s="32"/>
      <c r="D1418" s="32"/>
      <c r="E1418" s="19" t="n">
        <f aca="false">+F1418*0.03</f>
        <v>0</v>
      </c>
      <c r="F1418" s="33" t="n">
        <v>0</v>
      </c>
      <c r="G1418" s="62"/>
      <c r="H1418" s="35" t="n">
        <v>0</v>
      </c>
      <c r="I1418" s="34" t="n">
        <f aca="false">+IF(E1418=0,0,E1418*0.03)</f>
        <v>0</v>
      </c>
    </row>
    <row r="1419" customFormat="false" ht="15.75" hidden="false" customHeight="true" outlineLevel="0" collapsed="false">
      <c r="A1419" s="30" t="n">
        <v>45444</v>
      </c>
      <c r="B1419" s="31" t="s">
        <v>153</v>
      </c>
      <c r="C1419" s="32"/>
      <c r="D1419" s="32"/>
      <c r="E1419" s="19" t="n">
        <f aca="false">+F1419*0.03</f>
        <v>0</v>
      </c>
      <c r="F1419" s="33" t="n">
        <v>0</v>
      </c>
      <c r="G1419" s="62"/>
      <c r="H1419" s="35" t="n">
        <v>0</v>
      </c>
      <c r="I1419" s="34" t="n">
        <f aca="false">+IF(E1419=0,0,E1419*0.03)</f>
        <v>0</v>
      </c>
    </row>
    <row r="1420" customFormat="false" ht="15.75" hidden="false" customHeight="true" outlineLevel="0" collapsed="false">
      <c r="A1420" s="30" t="n">
        <v>45444</v>
      </c>
      <c r="B1420" s="31" t="s">
        <v>153</v>
      </c>
      <c r="C1420" s="32"/>
      <c r="D1420" s="32"/>
      <c r="E1420" s="19" t="n">
        <f aca="false">+F1420*0.03</f>
        <v>0</v>
      </c>
      <c r="F1420" s="33" t="n">
        <v>0</v>
      </c>
      <c r="G1420" s="62"/>
      <c r="H1420" s="35" t="n">
        <v>0</v>
      </c>
      <c r="I1420" s="34" t="n">
        <f aca="false">+IF(E1420=0,0,E1420*0.03)</f>
        <v>0</v>
      </c>
    </row>
    <row r="1421" customFormat="false" ht="15.75" hidden="false" customHeight="true" outlineLevel="0" collapsed="false">
      <c r="A1421" s="30" t="n">
        <v>45444</v>
      </c>
      <c r="B1421" s="31" t="s">
        <v>153</v>
      </c>
      <c r="C1421" s="32"/>
      <c r="D1421" s="32"/>
      <c r="E1421" s="19" t="n">
        <f aca="false">+F1421*0.03</f>
        <v>0</v>
      </c>
      <c r="F1421" s="33" t="n">
        <v>0</v>
      </c>
      <c r="G1421" s="62"/>
      <c r="H1421" s="35" t="n">
        <v>0</v>
      </c>
      <c r="I1421" s="34" t="n">
        <f aca="false">+IF(E1421=0,0,E1421*0.03)</f>
        <v>0</v>
      </c>
    </row>
    <row r="1422" customFormat="false" ht="15.75" hidden="false" customHeight="true" outlineLevel="0" collapsed="false">
      <c r="A1422" s="30" t="n">
        <v>45444</v>
      </c>
      <c r="B1422" s="31" t="s">
        <v>153</v>
      </c>
      <c r="C1422" s="32"/>
      <c r="D1422" s="32"/>
      <c r="E1422" s="19" t="n">
        <f aca="false">+F1422*0.03</f>
        <v>0</v>
      </c>
      <c r="F1422" s="33" t="n">
        <v>0</v>
      </c>
      <c r="G1422" s="62"/>
      <c r="H1422" s="35" t="n">
        <v>0</v>
      </c>
      <c r="I1422" s="34" t="n">
        <f aca="false">+IF(E1422=0,0,E1422*0.03)</f>
        <v>0</v>
      </c>
    </row>
    <row r="1423" customFormat="false" ht="15.75" hidden="false" customHeight="true" outlineLevel="0" collapsed="false">
      <c r="A1423" s="30" t="n">
        <v>45444</v>
      </c>
      <c r="B1423" s="31" t="s">
        <v>153</v>
      </c>
      <c r="C1423" s="32"/>
      <c r="D1423" s="32"/>
      <c r="E1423" s="19" t="n">
        <f aca="false">+F1423*0.03</f>
        <v>0</v>
      </c>
      <c r="F1423" s="33" t="n">
        <v>0</v>
      </c>
      <c r="G1423" s="62"/>
      <c r="H1423" s="35" t="n">
        <v>0</v>
      </c>
      <c r="I1423" s="34" t="n">
        <f aca="false">+IF(E1423=0,0,E1423*0.03)</f>
        <v>0</v>
      </c>
    </row>
    <row r="1424" customFormat="false" ht="15.75" hidden="false" customHeight="true" outlineLevel="0" collapsed="false">
      <c r="A1424" s="30" t="n">
        <v>45444</v>
      </c>
      <c r="B1424" s="31" t="s">
        <v>153</v>
      </c>
      <c r="C1424" s="32"/>
      <c r="D1424" s="32"/>
      <c r="E1424" s="19" t="n">
        <f aca="false">+F1424*0.03</f>
        <v>0</v>
      </c>
      <c r="F1424" s="33" t="n">
        <v>0</v>
      </c>
      <c r="G1424" s="62"/>
      <c r="H1424" s="35" t="n">
        <v>0</v>
      </c>
      <c r="I1424" s="34" t="n">
        <f aca="false">+IF(E1424=0,0,E1424*0.03)</f>
        <v>0</v>
      </c>
    </row>
    <row r="1425" customFormat="false" ht="15.75" hidden="false" customHeight="true" outlineLevel="0" collapsed="false">
      <c r="A1425" s="30" t="n">
        <v>45444</v>
      </c>
      <c r="B1425" s="31" t="s">
        <v>153</v>
      </c>
      <c r="C1425" s="32"/>
      <c r="D1425" s="32"/>
      <c r="E1425" s="19" t="n">
        <f aca="false">+F1425*0.03</f>
        <v>0</v>
      </c>
      <c r="F1425" s="33" t="n">
        <v>0</v>
      </c>
      <c r="G1425" s="62"/>
      <c r="H1425" s="35" t="n">
        <v>0</v>
      </c>
      <c r="I1425" s="34" t="n">
        <f aca="false">+IF(E1425=0,0,E1425*0.03)</f>
        <v>0</v>
      </c>
    </row>
    <row r="1426" customFormat="false" ht="15.75" hidden="false" customHeight="true" outlineLevel="0" collapsed="false">
      <c r="A1426" s="30" t="n">
        <v>45444</v>
      </c>
      <c r="B1426" s="31" t="s">
        <v>153</v>
      </c>
      <c r="C1426" s="32"/>
      <c r="D1426" s="32"/>
      <c r="E1426" s="19" t="n">
        <f aca="false">+F1426*0.03</f>
        <v>0</v>
      </c>
      <c r="F1426" s="33" t="n">
        <v>0</v>
      </c>
      <c r="G1426" s="62"/>
      <c r="H1426" s="35" t="n">
        <v>0</v>
      </c>
      <c r="I1426" s="34" t="n">
        <f aca="false">+IF(E1426=0,0,E1426*0.03)</f>
        <v>0</v>
      </c>
    </row>
    <row r="1427" customFormat="false" ht="15.75" hidden="false" customHeight="true" outlineLevel="0" collapsed="false">
      <c r="A1427" s="30" t="n">
        <v>45444</v>
      </c>
      <c r="B1427" s="31" t="s">
        <v>153</v>
      </c>
      <c r="C1427" s="32"/>
      <c r="D1427" s="32"/>
      <c r="E1427" s="19" t="n">
        <f aca="false">+F1427*0.03</f>
        <v>0</v>
      </c>
      <c r="F1427" s="33" t="n">
        <v>0</v>
      </c>
      <c r="G1427" s="62"/>
      <c r="H1427" s="35" t="n">
        <v>0</v>
      </c>
      <c r="I1427" s="34" t="n">
        <f aca="false">+IF(E1427=0,0,E1427*0.03)</f>
        <v>0</v>
      </c>
    </row>
    <row r="1428" customFormat="false" ht="15.75" hidden="false" customHeight="true" outlineLevel="0" collapsed="false">
      <c r="A1428" s="30" t="n">
        <v>45444</v>
      </c>
      <c r="B1428" s="31" t="s">
        <v>153</v>
      </c>
      <c r="C1428" s="32"/>
      <c r="D1428" s="32"/>
      <c r="E1428" s="19" t="n">
        <f aca="false">+F1428*0.03</f>
        <v>0</v>
      </c>
      <c r="F1428" s="33" t="n">
        <v>0</v>
      </c>
      <c r="G1428" s="62"/>
      <c r="H1428" s="35" t="n">
        <v>0</v>
      </c>
      <c r="I1428" s="34" t="n">
        <f aca="false">+IF(E1428=0,0,E1428*0.03)</f>
        <v>0</v>
      </c>
    </row>
    <row r="1429" customFormat="false" ht="15.75" hidden="false" customHeight="true" outlineLevel="0" collapsed="false">
      <c r="A1429" s="30" t="n">
        <v>45444</v>
      </c>
      <c r="B1429" s="31" t="s">
        <v>153</v>
      </c>
      <c r="C1429" s="32"/>
      <c r="D1429" s="32"/>
      <c r="E1429" s="19" t="n">
        <f aca="false">+F1429*0.03</f>
        <v>0</v>
      </c>
      <c r="F1429" s="33" t="n">
        <v>0</v>
      </c>
      <c r="G1429" s="62"/>
      <c r="H1429" s="35" t="n">
        <v>0</v>
      </c>
      <c r="I1429" s="34" t="n">
        <f aca="false">+IF(E1429=0,0,E1429*0.03)</f>
        <v>0</v>
      </c>
    </row>
    <row r="1430" customFormat="false" ht="15.75" hidden="false" customHeight="true" outlineLevel="0" collapsed="false">
      <c r="A1430" s="30" t="n">
        <v>45444</v>
      </c>
      <c r="B1430" s="31" t="s">
        <v>153</v>
      </c>
      <c r="C1430" s="32"/>
      <c r="D1430" s="32"/>
      <c r="E1430" s="19" t="n">
        <f aca="false">+F1430*0.03</f>
        <v>0</v>
      </c>
      <c r="F1430" s="33" t="n">
        <v>0</v>
      </c>
      <c r="G1430" s="62"/>
      <c r="H1430" s="35" t="n">
        <v>0</v>
      </c>
      <c r="I1430" s="34" t="n">
        <f aca="false">+IF(E1430=0,0,E1430*0.03)</f>
        <v>0</v>
      </c>
    </row>
    <row r="1431" customFormat="false" ht="15.75" hidden="false" customHeight="true" outlineLevel="0" collapsed="false">
      <c r="A1431" s="30" t="n">
        <v>45444</v>
      </c>
      <c r="B1431" s="31" t="s">
        <v>153</v>
      </c>
      <c r="C1431" s="32"/>
      <c r="D1431" s="32"/>
      <c r="E1431" s="19" t="n">
        <f aca="false">+F1431*0.03</f>
        <v>0</v>
      </c>
      <c r="F1431" s="33" t="n">
        <v>0</v>
      </c>
      <c r="G1431" s="62"/>
      <c r="H1431" s="35" t="n">
        <v>0</v>
      </c>
      <c r="I1431" s="34" t="n">
        <f aca="false">+IF(E1431=0,0,E1431*0.03)</f>
        <v>0</v>
      </c>
    </row>
    <row r="1432" customFormat="false" ht="15.75" hidden="false" customHeight="true" outlineLevel="0" collapsed="false">
      <c r="A1432" s="30" t="n">
        <v>45444</v>
      </c>
      <c r="B1432" s="31" t="s">
        <v>153</v>
      </c>
      <c r="C1432" s="32"/>
      <c r="D1432" s="32"/>
      <c r="E1432" s="19" t="n">
        <f aca="false">+F1432*0.03</f>
        <v>0</v>
      </c>
      <c r="F1432" s="33" t="n">
        <v>0</v>
      </c>
      <c r="G1432" s="62"/>
      <c r="H1432" s="35" t="n">
        <v>0</v>
      </c>
      <c r="I1432" s="34" t="n">
        <f aca="false">+IF(E1432=0,0,E1432*0.03)</f>
        <v>0</v>
      </c>
    </row>
    <row r="1433" customFormat="false" ht="15.75" hidden="false" customHeight="true" outlineLevel="0" collapsed="false">
      <c r="A1433" s="30" t="n">
        <v>45444</v>
      </c>
      <c r="B1433" s="31" t="s">
        <v>153</v>
      </c>
      <c r="C1433" s="32"/>
      <c r="D1433" s="32"/>
      <c r="E1433" s="19" t="n">
        <f aca="false">+F1433*0.03</f>
        <v>0</v>
      </c>
      <c r="F1433" s="33" t="n">
        <v>0</v>
      </c>
      <c r="G1433" s="62"/>
      <c r="H1433" s="35" t="n">
        <v>0</v>
      </c>
      <c r="I1433" s="34" t="n">
        <f aca="false">+IF(E1433=0,0,E1433*0.03)</f>
        <v>0</v>
      </c>
    </row>
    <row r="1434" customFormat="false" ht="15.75" hidden="false" customHeight="true" outlineLevel="0" collapsed="false">
      <c r="A1434" s="30" t="n">
        <v>45444</v>
      </c>
      <c r="B1434" s="31" t="s">
        <v>153</v>
      </c>
      <c r="C1434" s="32"/>
      <c r="D1434" s="32"/>
      <c r="E1434" s="19" t="n">
        <f aca="false">+F1434*0.03</f>
        <v>0</v>
      </c>
      <c r="F1434" s="33" t="n">
        <v>0</v>
      </c>
      <c r="G1434" s="62"/>
      <c r="H1434" s="35" t="n">
        <v>0</v>
      </c>
      <c r="I1434" s="34" t="n">
        <f aca="false">+IF(E1434=0,0,E1434*0.03)</f>
        <v>0</v>
      </c>
    </row>
    <row r="1435" customFormat="false" ht="15.75" hidden="false" customHeight="true" outlineLevel="0" collapsed="false">
      <c r="A1435" s="30" t="n">
        <v>45444</v>
      </c>
      <c r="B1435" s="31" t="s">
        <v>153</v>
      </c>
      <c r="C1435" s="32"/>
      <c r="D1435" s="32"/>
      <c r="E1435" s="19" t="n">
        <f aca="false">+F1435*0.03</f>
        <v>0</v>
      </c>
      <c r="F1435" s="33" t="n">
        <v>0</v>
      </c>
      <c r="G1435" s="62"/>
      <c r="H1435" s="35" t="n">
        <v>0</v>
      </c>
      <c r="I1435" s="34" t="n">
        <f aca="false">+IF(E1435=0,0,E1435*0.03)</f>
        <v>0</v>
      </c>
    </row>
    <row r="1436" customFormat="false" ht="15.75" hidden="false" customHeight="true" outlineLevel="0" collapsed="false">
      <c r="A1436" s="30" t="n">
        <v>45444</v>
      </c>
      <c r="B1436" s="31" t="s">
        <v>153</v>
      </c>
      <c r="C1436" s="32"/>
      <c r="D1436" s="32"/>
      <c r="E1436" s="19" t="n">
        <f aca="false">+F1436*0.03</f>
        <v>0</v>
      </c>
      <c r="F1436" s="33" t="n">
        <v>0</v>
      </c>
      <c r="G1436" s="62"/>
      <c r="H1436" s="35" t="n">
        <v>0</v>
      </c>
      <c r="I1436" s="34" t="n">
        <f aca="false">+IF(E1436=0,0,E1436*0.03)</f>
        <v>0</v>
      </c>
    </row>
    <row r="1437" customFormat="false" ht="15.75" hidden="false" customHeight="true" outlineLevel="0" collapsed="false">
      <c r="A1437" s="30" t="n">
        <v>45444</v>
      </c>
      <c r="B1437" s="31" t="s">
        <v>153</v>
      </c>
      <c r="C1437" s="32"/>
      <c r="D1437" s="32"/>
      <c r="E1437" s="19" t="n">
        <f aca="false">+F1437*0.03</f>
        <v>0</v>
      </c>
      <c r="F1437" s="33" t="n">
        <v>0</v>
      </c>
      <c r="G1437" s="62"/>
      <c r="H1437" s="35" t="n">
        <v>0</v>
      </c>
      <c r="I1437" s="34" t="n">
        <f aca="false">+IF(E1437=0,0,E1437*0.03)</f>
        <v>0</v>
      </c>
    </row>
    <row r="1438" customFormat="false" ht="15.75" hidden="false" customHeight="true" outlineLevel="0" collapsed="false">
      <c r="A1438" s="30" t="n">
        <v>45444</v>
      </c>
      <c r="B1438" s="31" t="s">
        <v>153</v>
      </c>
      <c r="C1438" s="32"/>
      <c r="D1438" s="32"/>
      <c r="E1438" s="19" t="n">
        <f aca="false">+F1438*0.03</f>
        <v>0</v>
      </c>
      <c r="F1438" s="33" t="n">
        <v>0</v>
      </c>
      <c r="G1438" s="62"/>
      <c r="H1438" s="35" t="n">
        <v>0</v>
      </c>
      <c r="I1438" s="34" t="n">
        <f aca="false">+IF(E1438=0,0,E1438*0.03)</f>
        <v>0</v>
      </c>
    </row>
    <row r="1439" customFormat="false" ht="15.75" hidden="false" customHeight="true" outlineLevel="0" collapsed="false">
      <c r="A1439" s="30" t="n">
        <v>45444</v>
      </c>
      <c r="B1439" s="31" t="s">
        <v>153</v>
      </c>
      <c r="C1439" s="32"/>
      <c r="D1439" s="32"/>
      <c r="E1439" s="19" t="n">
        <f aca="false">+F1439*0.03</f>
        <v>0</v>
      </c>
      <c r="F1439" s="33" t="n">
        <v>0</v>
      </c>
      <c r="G1439" s="62"/>
      <c r="H1439" s="35" t="n">
        <v>0</v>
      </c>
      <c r="I1439" s="34" t="n">
        <f aca="false">+IF(E1439=0,0,E1439*0.03)</f>
        <v>0</v>
      </c>
    </row>
    <row r="1440" customFormat="false" ht="15.75" hidden="false" customHeight="true" outlineLevel="0" collapsed="false">
      <c r="A1440" s="30" t="n">
        <v>45444</v>
      </c>
      <c r="B1440" s="31" t="s">
        <v>153</v>
      </c>
      <c r="C1440" s="32"/>
      <c r="D1440" s="32"/>
      <c r="E1440" s="19" t="n">
        <f aca="false">+F1440*0.03</f>
        <v>0</v>
      </c>
      <c r="F1440" s="33" t="n">
        <v>0</v>
      </c>
      <c r="G1440" s="62"/>
      <c r="H1440" s="35" t="n">
        <v>0</v>
      </c>
      <c r="I1440" s="34" t="n">
        <f aca="false">+IF(E1440=0,0,E1440*0.03)</f>
        <v>0</v>
      </c>
    </row>
    <row r="1441" customFormat="false" ht="15.75" hidden="false" customHeight="true" outlineLevel="0" collapsed="false">
      <c r="A1441" s="30" t="n">
        <v>45444</v>
      </c>
      <c r="B1441" s="31" t="s">
        <v>153</v>
      </c>
      <c r="C1441" s="32"/>
      <c r="D1441" s="32"/>
      <c r="E1441" s="19" t="n">
        <f aca="false">+F1441*0.03</f>
        <v>0</v>
      </c>
      <c r="F1441" s="33" t="n">
        <v>0</v>
      </c>
      <c r="G1441" s="62"/>
      <c r="H1441" s="35" t="n">
        <v>0</v>
      </c>
      <c r="I1441" s="34" t="n">
        <f aca="false">+IF(E1441=0,0,E1441*0.03)</f>
        <v>0</v>
      </c>
    </row>
    <row r="1442" customFormat="false" ht="15.75" hidden="false" customHeight="true" outlineLevel="0" collapsed="false">
      <c r="A1442" s="30" t="n">
        <v>45444</v>
      </c>
      <c r="B1442" s="31" t="s">
        <v>153</v>
      </c>
      <c r="C1442" s="32"/>
      <c r="D1442" s="32"/>
      <c r="E1442" s="19" t="n">
        <f aca="false">+F1442*0.03</f>
        <v>0</v>
      </c>
      <c r="F1442" s="33" t="n">
        <v>0</v>
      </c>
      <c r="G1442" s="62"/>
      <c r="H1442" s="35" t="n">
        <v>0</v>
      </c>
      <c r="I1442" s="34" t="n">
        <f aca="false">+IF(E1442=0,0,E1442*0.03)</f>
        <v>0</v>
      </c>
    </row>
    <row r="1443" customFormat="false" ht="15.75" hidden="false" customHeight="true" outlineLevel="0" collapsed="false">
      <c r="A1443" s="30" t="n">
        <v>45444</v>
      </c>
      <c r="B1443" s="31" t="s">
        <v>153</v>
      </c>
      <c r="C1443" s="32"/>
      <c r="D1443" s="32"/>
      <c r="E1443" s="19" t="n">
        <f aca="false">+F1443*0.03</f>
        <v>0</v>
      </c>
      <c r="F1443" s="33" t="n">
        <v>0</v>
      </c>
      <c r="G1443" s="62"/>
      <c r="H1443" s="35" t="n">
        <v>0</v>
      </c>
      <c r="I1443" s="34" t="n">
        <f aca="false">+IF(E1443=0,0,E1443*0.03)</f>
        <v>0</v>
      </c>
    </row>
    <row r="1444" customFormat="false" ht="15.75" hidden="false" customHeight="true" outlineLevel="0" collapsed="false">
      <c r="A1444" s="30" t="n">
        <v>45444</v>
      </c>
      <c r="B1444" s="31" t="s">
        <v>153</v>
      </c>
      <c r="C1444" s="32"/>
      <c r="D1444" s="32"/>
      <c r="E1444" s="19" t="n">
        <f aca="false">+F1444*0.03</f>
        <v>0</v>
      </c>
      <c r="F1444" s="33" t="n">
        <v>0</v>
      </c>
      <c r="G1444" s="62"/>
      <c r="H1444" s="35" t="n">
        <v>0</v>
      </c>
      <c r="I1444" s="34" t="n">
        <f aca="false">+IF(E1444=0,0,E1444*0.03)</f>
        <v>0</v>
      </c>
    </row>
    <row r="1445" customFormat="false" ht="15.75" hidden="false" customHeight="true" outlineLevel="0" collapsed="false">
      <c r="A1445" s="30" t="n">
        <v>45444</v>
      </c>
      <c r="B1445" s="31" t="s">
        <v>153</v>
      </c>
      <c r="C1445" s="32"/>
      <c r="D1445" s="32"/>
      <c r="E1445" s="19" t="n">
        <f aca="false">+F1445*0.03</f>
        <v>0</v>
      </c>
      <c r="F1445" s="33" t="n">
        <v>0</v>
      </c>
      <c r="G1445" s="62"/>
      <c r="H1445" s="35" t="n">
        <v>0</v>
      </c>
      <c r="I1445" s="34" t="n">
        <f aca="false">+IF(E1445=0,0,E1445*0.03)</f>
        <v>0</v>
      </c>
    </row>
    <row r="1446" customFormat="false" ht="15.75" hidden="false" customHeight="true" outlineLevel="0" collapsed="false">
      <c r="A1446" s="30" t="n">
        <v>45444</v>
      </c>
      <c r="B1446" s="31" t="s">
        <v>153</v>
      </c>
      <c r="C1446" s="32"/>
      <c r="D1446" s="32"/>
      <c r="E1446" s="19" t="n">
        <f aca="false">+F1446*0.03</f>
        <v>0</v>
      </c>
      <c r="F1446" s="33" t="n">
        <v>0</v>
      </c>
      <c r="G1446" s="62"/>
      <c r="H1446" s="35" t="n">
        <v>0</v>
      </c>
      <c r="I1446" s="34" t="n">
        <f aca="false">+IF(E1446=0,0,E1446*0.03)</f>
        <v>0</v>
      </c>
    </row>
    <row r="1447" customFormat="false" ht="15.75" hidden="false" customHeight="true" outlineLevel="0" collapsed="false">
      <c r="A1447" s="30" t="n">
        <v>45444</v>
      </c>
      <c r="B1447" s="31" t="s">
        <v>153</v>
      </c>
      <c r="C1447" s="32"/>
      <c r="D1447" s="32"/>
      <c r="E1447" s="19" t="n">
        <f aca="false">+F1447*0.03</f>
        <v>0</v>
      </c>
      <c r="F1447" s="33" t="n">
        <v>0</v>
      </c>
      <c r="G1447" s="62"/>
      <c r="H1447" s="35" t="n">
        <v>0</v>
      </c>
      <c r="I1447" s="34" t="n">
        <f aca="false">+IF(E1447=0,0,E1447*0.03)</f>
        <v>0</v>
      </c>
    </row>
    <row r="1448" customFormat="false" ht="15.75" hidden="false" customHeight="true" outlineLevel="0" collapsed="false">
      <c r="A1448" s="30" t="n">
        <v>45444</v>
      </c>
      <c r="B1448" s="31" t="s">
        <v>153</v>
      </c>
      <c r="C1448" s="32"/>
      <c r="D1448" s="32"/>
      <c r="E1448" s="19" t="n">
        <f aca="false">+F1448*0.03</f>
        <v>0</v>
      </c>
      <c r="F1448" s="33" t="n">
        <v>0</v>
      </c>
      <c r="G1448" s="62"/>
      <c r="H1448" s="35" t="n">
        <v>0</v>
      </c>
      <c r="I1448" s="34" t="n">
        <f aca="false">+IF(E1448=0,0,E1448*0.03)</f>
        <v>0</v>
      </c>
    </row>
    <row r="1449" customFormat="false" ht="15.75" hidden="false" customHeight="true" outlineLevel="0" collapsed="false">
      <c r="A1449" s="30" t="n">
        <v>45444</v>
      </c>
      <c r="B1449" s="31" t="s">
        <v>153</v>
      </c>
      <c r="C1449" s="32"/>
      <c r="D1449" s="32"/>
      <c r="E1449" s="19" t="n">
        <f aca="false">+F1449*0.03</f>
        <v>0</v>
      </c>
      <c r="F1449" s="33" t="n">
        <v>0</v>
      </c>
      <c r="G1449" s="62"/>
      <c r="H1449" s="35" t="n">
        <v>0</v>
      </c>
      <c r="I1449" s="34" t="n">
        <f aca="false">+IF(E1449=0,0,E1449*0.03)</f>
        <v>0</v>
      </c>
    </row>
    <row r="1450" customFormat="false" ht="15.75" hidden="false" customHeight="true" outlineLevel="0" collapsed="false">
      <c r="A1450" s="30" t="n">
        <v>45444</v>
      </c>
      <c r="B1450" s="31" t="s">
        <v>153</v>
      </c>
      <c r="C1450" s="32"/>
      <c r="D1450" s="32"/>
      <c r="E1450" s="19" t="n">
        <f aca="false">+F1450*0.03</f>
        <v>0</v>
      </c>
      <c r="F1450" s="33" t="n">
        <v>0</v>
      </c>
      <c r="G1450" s="62"/>
      <c r="H1450" s="35" t="n">
        <v>0</v>
      </c>
      <c r="I1450" s="34" t="n">
        <f aca="false">+IF(E1450=0,0,E1450*0.03)</f>
        <v>0</v>
      </c>
    </row>
    <row r="1451" customFormat="false" ht="15.75" hidden="false" customHeight="true" outlineLevel="0" collapsed="false">
      <c r="A1451" s="30" t="n">
        <v>45444</v>
      </c>
      <c r="B1451" s="31" t="s">
        <v>153</v>
      </c>
      <c r="C1451" s="32"/>
      <c r="D1451" s="32"/>
      <c r="E1451" s="19" t="n">
        <f aca="false">+F1451*0.03</f>
        <v>0</v>
      </c>
      <c r="F1451" s="33" t="n">
        <v>0</v>
      </c>
      <c r="G1451" s="62"/>
      <c r="H1451" s="35" t="n">
        <v>0</v>
      </c>
      <c r="I1451" s="34" t="n">
        <f aca="false">+IF(E1451=0,0,E1451*0.03)</f>
        <v>0</v>
      </c>
    </row>
    <row r="1452" customFormat="false" ht="15.75" hidden="false" customHeight="true" outlineLevel="0" collapsed="false">
      <c r="A1452" s="30" t="n">
        <v>45444</v>
      </c>
      <c r="B1452" s="31" t="s">
        <v>153</v>
      </c>
      <c r="C1452" s="32"/>
      <c r="D1452" s="32"/>
      <c r="E1452" s="19" t="n">
        <f aca="false">+F1452*0.03</f>
        <v>0</v>
      </c>
      <c r="F1452" s="33" t="n">
        <v>0</v>
      </c>
      <c r="G1452" s="62"/>
      <c r="H1452" s="35" t="n">
        <v>0</v>
      </c>
      <c r="I1452" s="34" t="n">
        <f aca="false">+IF(E1452=0,0,E1452*0.03)</f>
        <v>0</v>
      </c>
    </row>
    <row r="1453" customFormat="false" ht="15.75" hidden="false" customHeight="true" outlineLevel="0" collapsed="false">
      <c r="A1453" s="30" t="n">
        <v>45444</v>
      </c>
      <c r="B1453" s="31" t="s">
        <v>153</v>
      </c>
      <c r="C1453" s="32"/>
      <c r="D1453" s="32"/>
      <c r="E1453" s="19" t="n">
        <f aca="false">+F1453*0.03</f>
        <v>0</v>
      </c>
      <c r="F1453" s="33" t="n">
        <v>0</v>
      </c>
      <c r="G1453" s="62"/>
      <c r="H1453" s="35" t="n">
        <v>0</v>
      </c>
      <c r="I1453" s="34" t="n">
        <f aca="false">+IF(E1453=0,0,E1453*0.03)</f>
        <v>0</v>
      </c>
    </row>
    <row r="1454" customFormat="false" ht="15.75" hidden="false" customHeight="true" outlineLevel="0" collapsed="false">
      <c r="A1454" s="30" t="n">
        <v>45444</v>
      </c>
      <c r="B1454" s="31" t="s">
        <v>153</v>
      </c>
      <c r="C1454" s="32"/>
      <c r="D1454" s="32"/>
      <c r="E1454" s="19" t="n">
        <f aca="false">+F1454*0.03</f>
        <v>0</v>
      </c>
      <c r="F1454" s="33" t="n">
        <v>0</v>
      </c>
      <c r="G1454" s="62"/>
      <c r="H1454" s="35" t="n">
        <v>0</v>
      </c>
      <c r="I1454" s="34" t="n">
        <f aca="false">+IF(E1454=0,0,E1454*0.03)</f>
        <v>0</v>
      </c>
    </row>
    <row r="1455" customFormat="false" ht="15.75" hidden="false" customHeight="true" outlineLevel="0" collapsed="false">
      <c r="A1455" s="30" t="n">
        <v>45444</v>
      </c>
      <c r="B1455" s="31" t="s">
        <v>153</v>
      </c>
      <c r="C1455" s="32"/>
      <c r="D1455" s="32"/>
      <c r="E1455" s="19" t="n">
        <f aca="false">+F1455*0.03</f>
        <v>0</v>
      </c>
      <c r="F1455" s="33" t="n">
        <v>0</v>
      </c>
      <c r="G1455" s="62"/>
      <c r="H1455" s="35" t="n">
        <v>0</v>
      </c>
      <c r="I1455" s="34" t="n">
        <f aca="false">+IF(E1455=0,0,E1455*0.03)</f>
        <v>0</v>
      </c>
    </row>
    <row r="1456" customFormat="false" ht="15.75" hidden="false" customHeight="true" outlineLevel="0" collapsed="false">
      <c r="A1456" s="30" t="n">
        <v>45444</v>
      </c>
      <c r="B1456" s="31" t="s">
        <v>153</v>
      </c>
      <c r="C1456" s="32"/>
      <c r="D1456" s="32"/>
      <c r="E1456" s="19" t="n">
        <f aca="false">+F1456*0.03</f>
        <v>0</v>
      </c>
      <c r="F1456" s="33" t="n">
        <v>0</v>
      </c>
      <c r="G1456" s="62"/>
      <c r="H1456" s="35" t="n">
        <v>0</v>
      </c>
      <c r="I1456" s="34" t="n">
        <f aca="false">+IF(E1456=0,0,E1456*0.03)</f>
        <v>0</v>
      </c>
    </row>
    <row r="1457" customFormat="false" ht="15.75" hidden="false" customHeight="true" outlineLevel="0" collapsed="false">
      <c r="A1457" s="30" t="n">
        <v>45444</v>
      </c>
      <c r="B1457" s="31" t="s">
        <v>153</v>
      </c>
      <c r="C1457" s="32"/>
      <c r="D1457" s="32"/>
      <c r="E1457" s="19" t="n">
        <f aca="false">+F1457*0.03</f>
        <v>0</v>
      </c>
      <c r="F1457" s="33" t="n">
        <v>0</v>
      </c>
      <c r="G1457" s="62"/>
      <c r="H1457" s="35" t="n">
        <v>0</v>
      </c>
      <c r="I1457" s="34" t="n">
        <f aca="false">+IF(E1457=0,0,E1457*0.03)</f>
        <v>0</v>
      </c>
    </row>
    <row r="1458" customFormat="false" ht="15.75" hidden="false" customHeight="true" outlineLevel="0" collapsed="false">
      <c r="A1458" s="30" t="n">
        <v>45444</v>
      </c>
      <c r="B1458" s="31" t="s">
        <v>153</v>
      </c>
      <c r="C1458" s="32"/>
      <c r="D1458" s="32"/>
      <c r="E1458" s="19" t="n">
        <f aca="false">+F1458*0.03</f>
        <v>0</v>
      </c>
      <c r="F1458" s="33" t="n">
        <v>0</v>
      </c>
      <c r="G1458" s="62"/>
      <c r="H1458" s="35" t="n">
        <v>0</v>
      </c>
      <c r="I1458" s="34" t="n">
        <f aca="false">+IF(E1458=0,0,E1458*0.03)</f>
        <v>0</v>
      </c>
    </row>
    <row r="1459" customFormat="false" ht="15.75" hidden="false" customHeight="true" outlineLevel="0" collapsed="false">
      <c r="A1459" s="30" t="n">
        <v>45444</v>
      </c>
      <c r="B1459" s="31" t="s">
        <v>153</v>
      </c>
      <c r="C1459" s="32"/>
      <c r="D1459" s="32"/>
      <c r="E1459" s="19" t="n">
        <f aca="false">+F1459*0.03</f>
        <v>0</v>
      </c>
      <c r="F1459" s="33" t="n">
        <v>0</v>
      </c>
      <c r="G1459" s="62"/>
      <c r="H1459" s="35" t="n">
        <v>0</v>
      </c>
      <c r="I1459" s="34" t="n">
        <f aca="false">+IF(E1459=0,0,E1459*0.03)</f>
        <v>0</v>
      </c>
    </row>
    <row r="1460" customFormat="false" ht="15.75" hidden="false" customHeight="true" outlineLevel="0" collapsed="false">
      <c r="A1460" s="30" t="n">
        <v>45444</v>
      </c>
      <c r="B1460" s="31" t="s">
        <v>153</v>
      </c>
      <c r="C1460" s="32"/>
      <c r="D1460" s="32"/>
      <c r="E1460" s="19" t="n">
        <f aca="false">+F1460*0.03</f>
        <v>0</v>
      </c>
      <c r="F1460" s="33" t="n">
        <v>0</v>
      </c>
      <c r="G1460" s="62"/>
      <c r="H1460" s="35" t="n">
        <v>0</v>
      </c>
      <c r="I1460" s="34" t="n">
        <f aca="false">+IF(E1460=0,0,E1460*0.03)</f>
        <v>0</v>
      </c>
    </row>
    <row r="1461" customFormat="false" ht="15.75" hidden="false" customHeight="true" outlineLevel="0" collapsed="false">
      <c r="A1461" s="30" t="n">
        <v>45444</v>
      </c>
      <c r="B1461" s="31" t="s">
        <v>153</v>
      </c>
      <c r="C1461" s="32"/>
      <c r="D1461" s="32"/>
      <c r="E1461" s="19" t="n">
        <f aca="false">+F1461*0.03</f>
        <v>0</v>
      </c>
      <c r="F1461" s="33" t="n">
        <v>0</v>
      </c>
      <c r="G1461" s="62"/>
      <c r="H1461" s="35" t="n">
        <v>0</v>
      </c>
      <c r="I1461" s="34" t="n">
        <f aca="false">+IF(E1461=0,0,E1461*0.03)</f>
        <v>0</v>
      </c>
    </row>
    <row r="1462" customFormat="false" ht="15.75" hidden="false" customHeight="true" outlineLevel="0" collapsed="false">
      <c r="A1462" s="30" t="n">
        <v>45444</v>
      </c>
      <c r="B1462" s="31" t="s">
        <v>153</v>
      </c>
      <c r="C1462" s="32"/>
      <c r="D1462" s="32"/>
      <c r="E1462" s="19" t="n">
        <f aca="false">+F1462*0.03</f>
        <v>0</v>
      </c>
      <c r="F1462" s="33" t="n">
        <v>0</v>
      </c>
      <c r="G1462" s="62"/>
      <c r="H1462" s="35" t="n">
        <v>0</v>
      </c>
      <c r="I1462" s="34" t="n">
        <f aca="false">+IF(E1462=0,0,E1462*0.03)</f>
        <v>0</v>
      </c>
    </row>
    <row r="1463" customFormat="false" ht="15.75" hidden="false" customHeight="true" outlineLevel="0" collapsed="false">
      <c r="A1463" s="30" t="n">
        <v>45444</v>
      </c>
      <c r="B1463" s="31" t="s">
        <v>153</v>
      </c>
      <c r="C1463" s="32"/>
      <c r="D1463" s="32"/>
      <c r="E1463" s="19" t="n">
        <f aca="false">+F1463*0.03</f>
        <v>0</v>
      </c>
      <c r="F1463" s="33" t="n">
        <v>0</v>
      </c>
      <c r="G1463" s="62"/>
      <c r="H1463" s="35" t="n">
        <v>0</v>
      </c>
      <c r="I1463" s="34" t="n">
        <f aca="false">+IF(E1463=0,0,E1463*0.03)</f>
        <v>0</v>
      </c>
    </row>
    <row r="1464" customFormat="false" ht="15.75" hidden="false" customHeight="true" outlineLevel="0" collapsed="false">
      <c r="A1464" s="30" t="n">
        <v>45444</v>
      </c>
      <c r="B1464" s="31" t="s">
        <v>153</v>
      </c>
      <c r="C1464" s="32"/>
      <c r="D1464" s="32"/>
      <c r="E1464" s="19" t="n">
        <f aca="false">+F1464*0.03</f>
        <v>0</v>
      </c>
      <c r="F1464" s="33" t="n">
        <v>0</v>
      </c>
      <c r="G1464" s="62"/>
      <c r="H1464" s="35" t="n">
        <v>0</v>
      </c>
      <c r="I1464" s="34" t="n">
        <f aca="false">+IF(E1464=0,0,E1464*0.03)</f>
        <v>0</v>
      </c>
    </row>
    <row r="1465" customFormat="false" ht="15.75" hidden="false" customHeight="true" outlineLevel="0" collapsed="false">
      <c r="A1465" s="30" t="n">
        <v>45444</v>
      </c>
      <c r="B1465" s="31" t="s">
        <v>153</v>
      </c>
      <c r="C1465" s="32"/>
      <c r="D1465" s="32"/>
      <c r="E1465" s="19" t="n">
        <f aca="false">+F1465*0.03</f>
        <v>0</v>
      </c>
      <c r="F1465" s="33" t="n">
        <v>0</v>
      </c>
      <c r="G1465" s="62"/>
      <c r="H1465" s="35" t="n">
        <v>0</v>
      </c>
      <c r="I1465" s="34" t="n">
        <f aca="false">+IF(E1465=0,0,E1465*0.03)</f>
        <v>0</v>
      </c>
    </row>
    <row r="1466" customFormat="false" ht="15.75" hidden="false" customHeight="true" outlineLevel="0" collapsed="false">
      <c r="A1466" s="30" t="n">
        <v>45444</v>
      </c>
      <c r="B1466" s="31" t="s">
        <v>153</v>
      </c>
      <c r="C1466" s="32"/>
      <c r="D1466" s="32"/>
      <c r="E1466" s="19" t="n">
        <f aca="false">+F1466*0.03</f>
        <v>0</v>
      </c>
      <c r="F1466" s="33" t="n">
        <v>0</v>
      </c>
      <c r="G1466" s="62"/>
      <c r="H1466" s="35" t="n">
        <v>0</v>
      </c>
      <c r="I1466" s="34" t="n">
        <f aca="false">+IF(E1466=0,0,E1466*0.03)</f>
        <v>0</v>
      </c>
    </row>
    <row r="1467" customFormat="false" ht="15.75" hidden="false" customHeight="true" outlineLevel="0" collapsed="false">
      <c r="A1467" s="30" t="n">
        <v>45444</v>
      </c>
      <c r="B1467" s="31" t="s">
        <v>153</v>
      </c>
      <c r="C1467" s="32"/>
      <c r="D1467" s="32"/>
      <c r="E1467" s="19" t="n">
        <f aca="false">+F1467*0.03</f>
        <v>0</v>
      </c>
      <c r="F1467" s="33" t="n">
        <v>0</v>
      </c>
      <c r="G1467" s="62"/>
      <c r="H1467" s="35" t="n">
        <v>0</v>
      </c>
      <c r="I1467" s="34" t="n">
        <f aca="false">+IF(E1467=0,0,E1467*0.03)</f>
        <v>0</v>
      </c>
    </row>
    <row r="1468" customFormat="false" ht="15.75" hidden="false" customHeight="true" outlineLevel="0" collapsed="false">
      <c r="A1468" s="30" t="n">
        <v>45444</v>
      </c>
      <c r="B1468" s="31" t="s">
        <v>153</v>
      </c>
      <c r="C1468" s="32"/>
      <c r="D1468" s="32"/>
      <c r="E1468" s="19" t="n">
        <f aca="false">+F1468*0.03</f>
        <v>0</v>
      </c>
      <c r="F1468" s="33" t="n">
        <v>0</v>
      </c>
      <c r="G1468" s="62"/>
      <c r="H1468" s="35" t="n">
        <v>0</v>
      </c>
      <c r="I1468" s="34" t="n">
        <f aca="false">+IF(E1468=0,0,E1468*0.03)</f>
        <v>0</v>
      </c>
    </row>
    <row r="1469" customFormat="false" ht="15.75" hidden="false" customHeight="true" outlineLevel="0" collapsed="false">
      <c r="A1469" s="30" t="n">
        <v>45444</v>
      </c>
      <c r="B1469" s="31" t="s">
        <v>153</v>
      </c>
      <c r="C1469" s="32"/>
      <c r="D1469" s="32"/>
      <c r="E1469" s="19" t="n">
        <f aca="false">+F1469*0.03</f>
        <v>0</v>
      </c>
      <c r="F1469" s="33" t="n">
        <v>0</v>
      </c>
      <c r="G1469" s="62"/>
      <c r="H1469" s="35" t="n">
        <v>0</v>
      </c>
      <c r="I1469" s="34" t="n">
        <f aca="false">+IF(E1469=0,0,E1469*0.03)</f>
        <v>0</v>
      </c>
    </row>
    <row r="1470" customFormat="false" ht="15.75" hidden="false" customHeight="true" outlineLevel="0" collapsed="false">
      <c r="A1470" s="30" t="n">
        <v>45444</v>
      </c>
      <c r="B1470" s="31" t="s">
        <v>153</v>
      </c>
      <c r="C1470" s="32"/>
      <c r="D1470" s="32"/>
      <c r="E1470" s="19" t="n">
        <f aca="false">+F1470*0.03</f>
        <v>0</v>
      </c>
      <c r="F1470" s="33" t="n">
        <v>0</v>
      </c>
      <c r="G1470" s="62"/>
      <c r="H1470" s="35" t="n">
        <v>0</v>
      </c>
      <c r="I1470" s="34" t="n">
        <f aca="false">+IF(E1470=0,0,E1470*0.03)</f>
        <v>0</v>
      </c>
    </row>
    <row r="1471" customFormat="false" ht="15.75" hidden="false" customHeight="true" outlineLevel="0" collapsed="false">
      <c r="A1471" s="30" t="n">
        <v>45444</v>
      </c>
      <c r="B1471" s="31" t="s">
        <v>153</v>
      </c>
      <c r="C1471" s="32"/>
      <c r="D1471" s="32"/>
      <c r="E1471" s="19" t="n">
        <f aca="false">+F1471*0.03</f>
        <v>0</v>
      </c>
      <c r="F1471" s="33" t="n">
        <v>0</v>
      </c>
      <c r="G1471" s="62"/>
      <c r="H1471" s="35" t="n">
        <v>0</v>
      </c>
      <c r="I1471" s="34" t="n">
        <f aca="false">+IF(E1471=0,0,E1471*0.03)</f>
        <v>0</v>
      </c>
    </row>
    <row r="1472" customFormat="false" ht="15.75" hidden="false" customHeight="true" outlineLevel="0" collapsed="false">
      <c r="A1472" s="30" t="n">
        <v>45444</v>
      </c>
      <c r="B1472" s="31" t="s">
        <v>153</v>
      </c>
      <c r="C1472" s="32"/>
      <c r="D1472" s="32"/>
      <c r="E1472" s="19" t="n">
        <f aca="false">+F1472*0.03</f>
        <v>0</v>
      </c>
      <c r="F1472" s="33" t="n">
        <v>0</v>
      </c>
      <c r="G1472" s="62"/>
      <c r="H1472" s="35" t="n">
        <v>0</v>
      </c>
      <c r="I1472" s="34" t="n">
        <f aca="false">+IF(E1472=0,0,E1472*0.03)</f>
        <v>0</v>
      </c>
    </row>
    <row r="1473" customFormat="false" ht="15.75" hidden="false" customHeight="true" outlineLevel="0" collapsed="false">
      <c r="A1473" s="30" t="n">
        <v>45444</v>
      </c>
      <c r="B1473" s="31" t="s">
        <v>153</v>
      </c>
      <c r="C1473" s="32"/>
      <c r="D1473" s="32"/>
      <c r="E1473" s="19" t="n">
        <f aca="false">+F1473*0.03</f>
        <v>0</v>
      </c>
      <c r="F1473" s="33" t="n">
        <v>0</v>
      </c>
      <c r="G1473" s="62"/>
      <c r="H1473" s="35" t="n">
        <v>0</v>
      </c>
      <c r="I1473" s="34" t="n">
        <f aca="false">+IF(E1473=0,0,E1473*0.03)</f>
        <v>0</v>
      </c>
    </row>
    <row r="1474" customFormat="false" ht="15.75" hidden="false" customHeight="true" outlineLevel="0" collapsed="false">
      <c r="A1474" s="30" t="n">
        <v>45444</v>
      </c>
      <c r="B1474" s="31" t="s">
        <v>153</v>
      </c>
      <c r="C1474" s="32"/>
      <c r="D1474" s="32"/>
      <c r="E1474" s="19" t="n">
        <f aca="false">+F1474*0.03</f>
        <v>0</v>
      </c>
      <c r="F1474" s="33" t="n">
        <v>0</v>
      </c>
      <c r="G1474" s="62"/>
      <c r="H1474" s="35" t="n">
        <v>0</v>
      </c>
      <c r="I1474" s="34" t="n">
        <f aca="false">+IF(E1474=0,0,E1474*0.03)</f>
        <v>0</v>
      </c>
    </row>
    <row r="1475" customFormat="false" ht="15.75" hidden="false" customHeight="true" outlineLevel="0" collapsed="false">
      <c r="A1475" s="30" t="n">
        <v>45444</v>
      </c>
      <c r="B1475" s="31" t="s">
        <v>153</v>
      </c>
      <c r="C1475" s="32"/>
      <c r="D1475" s="32"/>
      <c r="E1475" s="19" t="n">
        <f aca="false">+F1475*0.03</f>
        <v>0</v>
      </c>
      <c r="F1475" s="33" t="n">
        <v>0</v>
      </c>
      <c r="G1475" s="62"/>
      <c r="H1475" s="35" t="n">
        <v>0</v>
      </c>
      <c r="I1475" s="34" t="n">
        <f aca="false">+IF(E1475=0,0,E1475*0.03)</f>
        <v>0</v>
      </c>
    </row>
    <row r="1476" customFormat="false" ht="15.75" hidden="false" customHeight="true" outlineLevel="0" collapsed="false">
      <c r="A1476" s="30" t="n">
        <v>45444</v>
      </c>
      <c r="B1476" s="31" t="s">
        <v>153</v>
      </c>
      <c r="C1476" s="32"/>
      <c r="D1476" s="32"/>
      <c r="E1476" s="19" t="n">
        <f aca="false">+F1476*0.03</f>
        <v>0</v>
      </c>
      <c r="F1476" s="33" t="n">
        <v>0</v>
      </c>
      <c r="G1476" s="62"/>
      <c r="H1476" s="35" t="n">
        <v>0</v>
      </c>
      <c r="I1476" s="34" t="n">
        <f aca="false">+IF(E1476=0,0,E1476*0.03)</f>
        <v>0</v>
      </c>
    </row>
    <row r="1477" customFormat="false" ht="15.75" hidden="false" customHeight="true" outlineLevel="0" collapsed="false">
      <c r="A1477" s="30" t="n">
        <v>45444</v>
      </c>
      <c r="B1477" s="31" t="s">
        <v>153</v>
      </c>
      <c r="C1477" s="32"/>
      <c r="D1477" s="32"/>
      <c r="E1477" s="19" t="n">
        <f aca="false">+F1477*0.03</f>
        <v>0</v>
      </c>
      <c r="F1477" s="33" t="n">
        <v>0</v>
      </c>
      <c r="G1477" s="62"/>
      <c r="H1477" s="35" t="n">
        <v>0</v>
      </c>
      <c r="I1477" s="34" t="n">
        <f aca="false">+IF(E1477=0,0,E1477*0.03)</f>
        <v>0</v>
      </c>
    </row>
    <row r="1478" customFormat="false" ht="15.75" hidden="false" customHeight="true" outlineLevel="0" collapsed="false">
      <c r="A1478" s="30" t="n">
        <v>45444</v>
      </c>
      <c r="B1478" s="31" t="s">
        <v>153</v>
      </c>
      <c r="C1478" s="32"/>
      <c r="D1478" s="32"/>
      <c r="E1478" s="19" t="n">
        <f aca="false">+F1478*0.03</f>
        <v>0</v>
      </c>
      <c r="F1478" s="33" t="n">
        <v>0</v>
      </c>
      <c r="G1478" s="62"/>
      <c r="H1478" s="35" t="n">
        <v>0</v>
      </c>
      <c r="I1478" s="34" t="n">
        <f aca="false">+IF(E1478=0,0,E1478*0.03)</f>
        <v>0</v>
      </c>
    </row>
    <row r="1479" customFormat="false" ht="15.75" hidden="false" customHeight="true" outlineLevel="0" collapsed="false">
      <c r="A1479" s="30" t="n">
        <v>45444</v>
      </c>
      <c r="B1479" s="31" t="s">
        <v>153</v>
      </c>
      <c r="C1479" s="32"/>
      <c r="D1479" s="32"/>
      <c r="E1479" s="19" t="n">
        <f aca="false">+F1479*0.03</f>
        <v>0</v>
      </c>
      <c r="F1479" s="33" t="n">
        <v>0</v>
      </c>
      <c r="G1479" s="62"/>
      <c r="H1479" s="35" t="n">
        <v>0</v>
      </c>
      <c r="I1479" s="34" t="n">
        <f aca="false">+IF(E1479=0,0,E1479*0.03)</f>
        <v>0</v>
      </c>
    </row>
    <row r="1480" customFormat="false" ht="15.75" hidden="false" customHeight="true" outlineLevel="0" collapsed="false">
      <c r="A1480" s="30" t="n">
        <v>45444</v>
      </c>
      <c r="B1480" s="31" t="s">
        <v>153</v>
      </c>
      <c r="C1480" s="32"/>
      <c r="D1480" s="32"/>
      <c r="E1480" s="19" t="n">
        <f aca="false">+F1480*0.03</f>
        <v>0</v>
      </c>
      <c r="F1480" s="33" t="n">
        <v>0</v>
      </c>
      <c r="G1480" s="62"/>
      <c r="H1480" s="35" t="n">
        <v>0</v>
      </c>
      <c r="I1480" s="34" t="n">
        <f aca="false">+IF(E1480=0,0,E1480*0.03)</f>
        <v>0</v>
      </c>
    </row>
    <row r="1481" customFormat="false" ht="15.75" hidden="false" customHeight="true" outlineLevel="0" collapsed="false">
      <c r="A1481" s="30" t="n">
        <v>45444</v>
      </c>
      <c r="B1481" s="31" t="s">
        <v>153</v>
      </c>
      <c r="C1481" s="32"/>
      <c r="D1481" s="32"/>
      <c r="E1481" s="19" t="n">
        <f aca="false">+F1481*0.03</f>
        <v>0</v>
      </c>
      <c r="F1481" s="33" t="n">
        <v>0</v>
      </c>
      <c r="G1481" s="62"/>
      <c r="H1481" s="35" t="n">
        <v>0</v>
      </c>
      <c r="I1481" s="34" t="n">
        <f aca="false">+IF(E1481=0,0,E1481*0.03)</f>
        <v>0</v>
      </c>
    </row>
    <row r="1482" customFormat="false" ht="15.75" hidden="false" customHeight="true" outlineLevel="0" collapsed="false">
      <c r="A1482" s="30" t="n">
        <v>45444</v>
      </c>
      <c r="B1482" s="31" t="s">
        <v>153</v>
      </c>
      <c r="C1482" s="32"/>
      <c r="D1482" s="32"/>
      <c r="E1482" s="19" t="n">
        <f aca="false">+F1482*0.03</f>
        <v>0</v>
      </c>
      <c r="F1482" s="33" t="n">
        <v>0</v>
      </c>
      <c r="G1482" s="62"/>
      <c r="H1482" s="35" t="n">
        <v>0</v>
      </c>
      <c r="I1482" s="34" t="n">
        <f aca="false">+IF(E1482=0,0,E1482*0.03)</f>
        <v>0</v>
      </c>
    </row>
    <row r="1483" customFormat="false" ht="15.75" hidden="false" customHeight="true" outlineLevel="0" collapsed="false">
      <c r="A1483" s="30" t="n">
        <v>45444</v>
      </c>
      <c r="B1483" s="31" t="s">
        <v>153</v>
      </c>
      <c r="C1483" s="32"/>
      <c r="D1483" s="32"/>
      <c r="E1483" s="19" t="n">
        <f aca="false">+F1483*0.03</f>
        <v>0</v>
      </c>
      <c r="F1483" s="33" t="n">
        <v>0</v>
      </c>
      <c r="G1483" s="62"/>
      <c r="H1483" s="35" t="n">
        <v>0</v>
      </c>
      <c r="I1483" s="34" t="n">
        <f aca="false">+IF(E1483=0,0,E1483*0.03)</f>
        <v>0</v>
      </c>
    </row>
    <row r="1484" customFormat="false" ht="15.75" hidden="false" customHeight="true" outlineLevel="0" collapsed="false">
      <c r="A1484" s="30" t="n">
        <v>45444</v>
      </c>
      <c r="B1484" s="31" t="s">
        <v>153</v>
      </c>
      <c r="C1484" s="32"/>
      <c r="D1484" s="32"/>
      <c r="E1484" s="19" t="n">
        <f aca="false">+F1484*0.03</f>
        <v>0</v>
      </c>
      <c r="F1484" s="33" t="n">
        <v>0</v>
      </c>
      <c r="G1484" s="62"/>
      <c r="H1484" s="35" t="n">
        <v>0</v>
      </c>
      <c r="I1484" s="34" t="n">
        <f aca="false">+IF(E1484=0,0,E1484*0.03)</f>
        <v>0</v>
      </c>
    </row>
    <row r="1485" customFormat="false" ht="15.75" hidden="false" customHeight="true" outlineLevel="0" collapsed="false">
      <c r="A1485" s="30" t="n">
        <v>45444</v>
      </c>
      <c r="B1485" s="31" t="s">
        <v>153</v>
      </c>
      <c r="C1485" s="32"/>
      <c r="D1485" s="32"/>
      <c r="E1485" s="19" t="n">
        <f aca="false">+F1485*0.03</f>
        <v>0</v>
      </c>
      <c r="F1485" s="33" t="n">
        <v>0</v>
      </c>
      <c r="G1485" s="62"/>
      <c r="H1485" s="35" t="n">
        <v>0</v>
      </c>
      <c r="I1485" s="34" t="n">
        <f aca="false">+IF(E1485=0,0,E1485*0.03)</f>
        <v>0</v>
      </c>
    </row>
    <row r="1486" customFormat="false" ht="15.75" hidden="false" customHeight="true" outlineLevel="0" collapsed="false">
      <c r="A1486" s="30" t="n">
        <v>45444</v>
      </c>
      <c r="B1486" s="31" t="s">
        <v>153</v>
      </c>
      <c r="C1486" s="32"/>
      <c r="D1486" s="32"/>
      <c r="E1486" s="19" t="n">
        <f aca="false">+F1486*0.03</f>
        <v>0</v>
      </c>
      <c r="F1486" s="33" t="n">
        <v>0</v>
      </c>
      <c r="G1486" s="62"/>
      <c r="H1486" s="35" t="n">
        <v>0</v>
      </c>
      <c r="I1486" s="34" t="n">
        <f aca="false">+IF(E1486=0,0,E1486*0.03)</f>
        <v>0</v>
      </c>
    </row>
    <row r="1487" customFormat="false" ht="15.75" hidden="false" customHeight="true" outlineLevel="0" collapsed="false">
      <c r="A1487" s="30" t="n">
        <v>45444</v>
      </c>
      <c r="B1487" s="31" t="s">
        <v>153</v>
      </c>
      <c r="C1487" s="32"/>
      <c r="D1487" s="32"/>
      <c r="E1487" s="19" t="n">
        <f aca="false">+F1487*0.03</f>
        <v>0</v>
      </c>
      <c r="F1487" s="33" t="n">
        <v>0</v>
      </c>
      <c r="G1487" s="62"/>
      <c r="H1487" s="35" t="n">
        <v>0</v>
      </c>
      <c r="I1487" s="34" t="n">
        <f aca="false">+IF(E1487=0,0,E1487*0.03)</f>
        <v>0</v>
      </c>
    </row>
    <row r="1488" customFormat="false" ht="15.75" hidden="false" customHeight="true" outlineLevel="0" collapsed="false">
      <c r="A1488" s="30" t="n">
        <v>45444</v>
      </c>
      <c r="B1488" s="31" t="s">
        <v>153</v>
      </c>
      <c r="C1488" s="32"/>
      <c r="D1488" s="32"/>
      <c r="E1488" s="19" t="n">
        <f aca="false">+F1488*0.03</f>
        <v>0</v>
      </c>
      <c r="F1488" s="33" t="n">
        <v>0</v>
      </c>
      <c r="G1488" s="62"/>
      <c r="H1488" s="35" t="n">
        <v>0</v>
      </c>
      <c r="I1488" s="34" t="n">
        <f aca="false">+IF(E1488=0,0,E1488*0.03)</f>
        <v>0</v>
      </c>
    </row>
    <row r="1489" customFormat="false" ht="15.75" hidden="false" customHeight="true" outlineLevel="0" collapsed="false">
      <c r="A1489" s="30" t="n">
        <v>45444</v>
      </c>
      <c r="B1489" s="31" t="s">
        <v>153</v>
      </c>
      <c r="C1489" s="32"/>
      <c r="D1489" s="32"/>
      <c r="E1489" s="19" t="n">
        <f aca="false">+F1489*0.03</f>
        <v>0</v>
      </c>
      <c r="F1489" s="33" t="n">
        <v>0</v>
      </c>
      <c r="G1489" s="62"/>
      <c r="H1489" s="35" t="n">
        <v>0</v>
      </c>
      <c r="I1489" s="34" t="n">
        <f aca="false">+IF(E1489=0,0,E1489*0.03)</f>
        <v>0</v>
      </c>
    </row>
    <row r="1490" customFormat="false" ht="15.75" hidden="false" customHeight="true" outlineLevel="0" collapsed="false">
      <c r="A1490" s="30" t="n">
        <v>45444</v>
      </c>
      <c r="B1490" s="31" t="s">
        <v>153</v>
      </c>
      <c r="C1490" s="32"/>
      <c r="D1490" s="32"/>
      <c r="E1490" s="19" t="n">
        <f aca="false">+F1490*0.03</f>
        <v>0</v>
      </c>
      <c r="F1490" s="33" t="n">
        <v>0</v>
      </c>
      <c r="G1490" s="62"/>
      <c r="H1490" s="35" t="n">
        <v>0</v>
      </c>
      <c r="I1490" s="34" t="n">
        <f aca="false">+IF(E1490=0,0,E1490*0.03)</f>
        <v>0</v>
      </c>
    </row>
    <row r="1491" customFormat="false" ht="15.75" hidden="false" customHeight="true" outlineLevel="0" collapsed="false">
      <c r="A1491" s="30" t="n">
        <v>45444</v>
      </c>
      <c r="B1491" s="31" t="s">
        <v>153</v>
      </c>
      <c r="C1491" s="32"/>
      <c r="D1491" s="32"/>
      <c r="E1491" s="19" t="n">
        <f aca="false">+F1491*0.03</f>
        <v>0</v>
      </c>
      <c r="F1491" s="33" t="n">
        <v>0</v>
      </c>
      <c r="G1491" s="62"/>
      <c r="H1491" s="35" t="n">
        <v>0</v>
      </c>
      <c r="I1491" s="34" t="n">
        <f aca="false">+IF(E1491=0,0,E1491*0.03)</f>
        <v>0</v>
      </c>
    </row>
    <row r="1492" customFormat="false" ht="15.75" hidden="false" customHeight="true" outlineLevel="0" collapsed="false">
      <c r="A1492" s="30" t="n">
        <v>45444</v>
      </c>
      <c r="B1492" s="31" t="s">
        <v>153</v>
      </c>
      <c r="C1492" s="32"/>
      <c r="D1492" s="32"/>
      <c r="E1492" s="19" t="n">
        <f aca="false">+F1492*0.03</f>
        <v>0</v>
      </c>
      <c r="F1492" s="33" t="n">
        <v>0</v>
      </c>
      <c r="G1492" s="62"/>
      <c r="H1492" s="35" t="n">
        <v>0</v>
      </c>
      <c r="I1492" s="34" t="n">
        <f aca="false">+IF(E1492=0,0,E1492*0.03)</f>
        <v>0</v>
      </c>
    </row>
    <row r="1493" customFormat="false" ht="15.75" hidden="false" customHeight="true" outlineLevel="0" collapsed="false">
      <c r="A1493" s="30" t="n">
        <v>45444</v>
      </c>
      <c r="B1493" s="31" t="s">
        <v>153</v>
      </c>
      <c r="C1493" s="32"/>
      <c r="D1493" s="32"/>
      <c r="E1493" s="19" t="n">
        <f aca="false">+F1493*0.03</f>
        <v>0</v>
      </c>
      <c r="F1493" s="33" t="n">
        <v>0</v>
      </c>
      <c r="G1493" s="62"/>
      <c r="H1493" s="35" t="n">
        <v>0</v>
      </c>
      <c r="I1493" s="34" t="n">
        <f aca="false">+IF(E1493=0,0,E1493*0.03)</f>
        <v>0</v>
      </c>
    </row>
    <row r="1494" customFormat="false" ht="15.75" hidden="false" customHeight="true" outlineLevel="0" collapsed="false">
      <c r="A1494" s="30" t="n">
        <v>45444</v>
      </c>
      <c r="B1494" s="31" t="s">
        <v>153</v>
      </c>
      <c r="C1494" s="32"/>
      <c r="D1494" s="32"/>
      <c r="E1494" s="19" t="n">
        <f aca="false">+F1494*0.03</f>
        <v>0</v>
      </c>
      <c r="F1494" s="33" t="n">
        <v>0</v>
      </c>
      <c r="G1494" s="62"/>
      <c r="H1494" s="35" t="n">
        <v>0</v>
      </c>
      <c r="I1494" s="34" t="n">
        <f aca="false">+IF(E1494=0,0,E1494*0.03)</f>
        <v>0</v>
      </c>
    </row>
    <row r="1495" customFormat="false" ht="15.75" hidden="false" customHeight="true" outlineLevel="0" collapsed="false">
      <c r="A1495" s="30" t="n">
        <v>45444</v>
      </c>
      <c r="B1495" s="31" t="s">
        <v>153</v>
      </c>
      <c r="C1495" s="32"/>
      <c r="D1495" s="32"/>
      <c r="E1495" s="19" t="n">
        <f aca="false">+F1495*0.03</f>
        <v>0</v>
      </c>
      <c r="F1495" s="33" t="n">
        <v>0</v>
      </c>
      <c r="G1495" s="62"/>
      <c r="H1495" s="35" t="n">
        <v>0</v>
      </c>
      <c r="I1495" s="34" t="n">
        <f aca="false">+IF(E1495=0,0,E1495*0.03)</f>
        <v>0</v>
      </c>
    </row>
    <row r="1496" customFormat="false" ht="15.75" hidden="false" customHeight="true" outlineLevel="0" collapsed="false">
      <c r="A1496" s="30" t="n">
        <v>45444</v>
      </c>
      <c r="B1496" s="31" t="s">
        <v>153</v>
      </c>
      <c r="C1496" s="32"/>
      <c r="D1496" s="32"/>
      <c r="E1496" s="19" t="n">
        <f aca="false">+F1496*0.03</f>
        <v>0</v>
      </c>
      <c r="F1496" s="33" t="n">
        <v>0</v>
      </c>
      <c r="G1496" s="62"/>
      <c r="H1496" s="35" t="n">
        <v>0</v>
      </c>
      <c r="I1496" s="34" t="n">
        <f aca="false">+IF(E1496=0,0,E1496*0.03)</f>
        <v>0</v>
      </c>
    </row>
    <row r="1497" customFormat="false" ht="15.75" hidden="false" customHeight="true" outlineLevel="0" collapsed="false">
      <c r="A1497" s="30" t="n">
        <v>45444</v>
      </c>
      <c r="B1497" s="31" t="s">
        <v>153</v>
      </c>
      <c r="C1497" s="32"/>
      <c r="D1497" s="32"/>
      <c r="E1497" s="19" t="n">
        <f aca="false">+F1497*0.03</f>
        <v>0</v>
      </c>
      <c r="F1497" s="33" t="n">
        <v>0</v>
      </c>
      <c r="G1497" s="62"/>
      <c r="H1497" s="35" t="n">
        <v>0</v>
      </c>
      <c r="I1497" s="34" t="n">
        <f aca="false">+IF(E1497=0,0,E1497*0.03)</f>
        <v>0</v>
      </c>
    </row>
    <row r="1498" customFormat="false" ht="15.75" hidden="false" customHeight="true" outlineLevel="0" collapsed="false">
      <c r="A1498" s="30" t="n">
        <v>45444</v>
      </c>
      <c r="B1498" s="31" t="s">
        <v>153</v>
      </c>
      <c r="C1498" s="32"/>
      <c r="D1498" s="32"/>
      <c r="E1498" s="19" t="n">
        <f aca="false">+F1498*0.03</f>
        <v>0</v>
      </c>
      <c r="F1498" s="33" t="n">
        <v>0</v>
      </c>
      <c r="G1498" s="62"/>
      <c r="H1498" s="35" t="n">
        <v>0</v>
      </c>
      <c r="I1498" s="34" t="n">
        <f aca="false">+IF(E1498=0,0,E1498*0.03)</f>
        <v>0</v>
      </c>
    </row>
    <row r="1499" customFormat="false" ht="15.75" hidden="false" customHeight="true" outlineLevel="0" collapsed="false">
      <c r="A1499" s="30" t="n">
        <v>45444</v>
      </c>
      <c r="B1499" s="31" t="s">
        <v>153</v>
      </c>
      <c r="C1499" s="32"/>
      <c r="D1499" s="32"/>
      <c r="E1499" s="19" t="n">
        <f aca="false">+F1499*0.03</f>
        <v>0</v>
      </c>
      <c r="F1499" s="33" t="n">
        <v>0</v>
      </c>
      <c r="G1499" s="62"/>
      <c r="H1499" s="35" t="n">
        <v>0</v>
      </c>
      <c r="I1499" s="34" t="n">
        <f aca="false">+IF(E1499=0,0,E1499*0.03)</f>
        <v>0</v>
      </c>
    </row>
    <row r="1500" customFormat="false" ht="15.75" hidden="false" customHeight="true" outlineLevel="0" collapsed="false">
      <c r="A1500" s="30" t="n">
        <v>45444</v>
      </c>
      <c r="B1500" s="31" t="s">
        <v>153</v>
      </c>
      <c r="C1500" s="32"/>
      <c r="D1500" s="32"/>
      <c r="E1500" s="19" t="n">
        <f aca="false">+F1500*0.03</f>
        <v>0</v>
      </c>
      <c r="F1500" s="33" t="n">
        <v>0</v>
      </c>
      <c r="G1500" s="62"/>
      <c r="H1500" s="35" t="n">
        <v>0</v>
      </c>
      <c r="I1500" s="34" t="n">
        <f aca="false">+IF(E1500=0,0,E1500*0.03)</f>
        <v>0</v>
      </c>
    </row>
    <row r="1501" customFormat="false" ht="15.75" hidden="false" customHeight="true" outlineLevel="0" collapsed="false">
      <c r="A1501" s="30" t="n">
        <v>45444</v>
      </c>
      <c r="B1501" s="31" t="s">
        <v>153</v>
      </c>
      <c r="C1501" s="32"/>
      <c r="D1501" s="32"/>
      <c r="E1501" s="19" t="n">
        <f aca="false">+F1501*0.03</f>
        <v>0</v>
      </c>
      <c r="F1501" s="33" t="n">
        <v>0</v>
      </c>
      <c r="G1501" s="62"/>
      <c r="H1501" s="35" t="n">
        <v>0</v>
      </c>
      <c r="I1501" s="34" t="n">
        <f aca="false">+IF(E1501=0,0,E1501*0.03)</f>
        <v>0</v>
      </c>
    </row>
    <row r="1502" customFormat="false" ht="15.75" hidden="false" customHeight="true" outlineLevel="0" collapsed="false">
      <c r="A1502" s="30" t="n">
        <v>45444</v>
      </c>
      <c r="B1502" s="31" t="s">
        <v>153</v>
      </c>
      <c r="C1502" s="32"/>
      <c r="D1502" s="32"/>
      <c r="E1502" s="19" t="n">
        <f aca="false">+F1502*0.03</f>
        <v>0</v>
      </c>
      <c r="F1502" s="33" t="n">
        <v>0</v>
      </c>
      <c r="G1502" s="62"/>
      <c r="H1502" s="35" t="n">
        <v>0</v>
      </c>
      <c r="I1502" s="34" t="n">
        <f aca="false">+IF(E1502=0,0,E1502*0.03)</f>
        <v>0</v>
      </c>
    </row>
    <row r="1503" customFormat="false" ht="15.75" hidden="false" customHeight="true" outlineLevel="0" collapsed="false">
      <c r="A1503" s="30" t="n">
        <v>45444</v>
      </c>
      <c r="B1503" s="31" t="s">
        <v>153</v>
      </c>
      <c r="C1503" s="32"/>
      <c r="D1503" s="32"/>
      <c r="E1503" s="19" t="n">
        <f aca="false">+F1503*0.03</f>
        <v>0</v>
      </c>
      <c r="F1503" s="33" t="n">
        <v>0</v>
      </c>
      <c r="G1503" s="62"/>
      <c r="H1503" s="35" t="n">
        <v>0</v>
      </c>
      <c r="I1503" s="34" t="n">
        <f aca="false">+IF(E1503=0,0,E1503*0.03)</f>
        <v>0</v>
      </c>
    </row>
    <row r="1504" customFormat="false" ht="15.75" hidden="false" customHeight="true" outlineLevel="0" collapsed="false">
      <c r="A1504" s="30" t="n">
        <v>45444</v>
      </c>
      <c r="B1504" s="31" t="s">
        <v>153</v>
      </c>
      <c r="C1504" s="32"/>
      <c r="D1504" s="32"/>
      <c r="E1504" s="19" t="n">
        <f aca="false">+F1504*0.03</f>
        <v>0</v>
      </c>
      <c r="F1504" s="33" t="n">
        <v>0</v>
      </c>
      <c r="G1504" s="62"/>
      <c r="H1504" s="35" t="n">
        <v>0</v>
      </c>
      <c r="I1504" s="34" t="n">
        <f aca="false">+IF(E1504=0,0,E1504*0.03)</f>
        <v>0</v>
      </c>
    </row>
    <row r="1505" customFormat="false" ht="15.75" hidden="false" customHeight="true" outlineLevel="0" collapsed="false">
      <c r="A1505" s="30" t="n">
        <v>45444</v>
      </c>
      <c r="B1505" s="31" t="s">
        <v>153</v>
      </c>
      <c r="C1505" s="32"/>
      <c r="D1505" s="32"/>
      <c r="E1505" s="19" t="n">
        <f aca="false">+F1505*0.03</f>
        <v>0</v>
      </c>
      <c r="F1505" s="33" t="n">
        <v>0</v>
      </c>
      <c r="G1505" s="62"/>
      <c r="H1505" s="35" t="n">
        <v>0</v>
      </c>
      <c r="I1505" s="34" t="n">
        <f aca="false">+IF(E1505=0,0,E1505*0.03)</f>
        <v>0</v>
      </c>
    </row>
    <row r="1506" customFormat="false" ht="15.75" hidden="false" customHeight="true" outlineLevel="0" collapsed="false">
      <c r="A1506" s="30" t="n">
        <v>45444</v>
      </c>
      <c r="B1506" s="31" t="s">
        <v>153</v>
      </c>
      <c r="C1506" s="32"/>
      <c r="D1506" s="32"/>
      <c r="E1506" s="19" t="n">
        <f aca="false">+F1506*0.03</f>
        <v>0</v>
      </c>
      <c r="F1506" s="33" t="n">
        <v>0</v>
      </c>
      <c r="G1506" s="62"/>
      <c r="H1506" s="35" t="n">
        <v>0</v>
      </c>
      <c r="I1506" s="34" t="n">
        <f aca="false">+IF(E1506=0,0,E1506*0.03)</f>
        <v>0</v>
      </c>
    </row>
    <row r="1507" customFormat="false" ht="15.75" hidden="false" customHeight="true" outlineLevel="0" collapsed="false">
      <c r="A1507" s="30" t="n">
        <v>45444</v>
      </c>
      <c r="B1507" s="31" t="s">
        <v>153</v>
      </c>
      <c r="C1507" s="32"/>
      <c r="D1507" s="32"/>
      <c r="E1507" s="19" t="n">
        <f aca="false">+F1507*0.03</f>
        <v>0</v>
      </c>
      <c r="F1507" s="33" t="n">
        <v>0</v>
      </c>
      <c r="G1507" s="62"/>
      <c r="H1507" s="35" t="n">
        <v>0</v>
      </c>
      <c r="I1507" s="34" t="n">
        <f aca="false">+IF(E1507=0,0,E1507*0.03)</f>
        <v>0</v>
      </c>
    </row>
    <row r="1508" customFormat="false" ht="15.75" hidden="false" customHeight="true" outlineLevel="0" collapsed="false">
      <c r="A1508" s="30" t="n">
        <v>45444</v>
      </c>
      <c r="B1508" s="31" t="s">
        <v>153</v>
      </c>
      <c r="C1508" s="32"/>
      <c r="D1508" s="32"/>
      <c r="E1508" s="19" t="n">
        <f aca="false">+F1508*0.03</f>
        <v>0</v>
      </c>
      <c r="F1508" s="33" t="n">
        <v>0</v>
      </c>
      <c r="G1508" s="62"/>
      <c r="H1508" s="35" t="n">
        <v>0</v>
      </c>
      <c r="I1508" s="34" t="n">
        <f aca="false">+IF(E1508=0,0,E1508*0.03)</f>
        <v>0</v>
      </c>
    </row>
    <row r="1509" customFormat="false" ht="15.75" hidden="false" customHeight="true" outlineLevel="0" collapsed="false">
      <c r="A1509" s="30" t="n">
        <v>45444</v>
      </c>
      <c r="B1509" s="31" t="s">
        <v>153</v>
      </c>
      <c r="C1509" s="32"/>
      <c r="D1509" s="32"/>
      <c r="E1509" s="19" t="n">
        <f aca="false">+F1509*0.03</f>
        <v>0</v>
      </c>
      <c r="F1509" s="33" t="n">
        <v>0</v>
      </c>
      <c r="G1509" s="62"/>
      <c r="H1509" s="35" t="n">
        <v>0</v>
      </c>
      <c r="I1509" s="34" t="n">
        <f aca="false">+IF(E1509=0,0,E1509*0.03)</f>
        <v>0</v>
      </c>
    </row>
    <row r="1510" customFormat="false" ht="15.75" hidden="false" customHeight="true" outlineLevel="0" collapsed="false">
      <c r="A1510" s="30" t="n">
        <v>45444</v>
      </c>
      <c r="B1510" s="31" t="s">
        <v>153</v>
      </c>
      <c r="C1510" s="32"/>
      <c r="D1510" s="32"/>
      <c r="E1510" s="19" t="n">
        <f aca="false">+F1510*0.03</f>
        <v>0</v>
      </c>
      <c r="F1510" s="33" t="n">
        <v>0</v>
      </c>
      <c r="G1510" s="62"/>
      <c r="H1510" s="35" t="n">
        <v>0</v>
      </c>
      <c r="I1510" s="34" t="n">
        <f aca="false">+IF(E1510=0,0,E1510*0.03)</f>
        <v>0</v>
      </c>
    </row>
    <row r="1511" customFormat="false" ht="15.75" hidden="false" customHeight="true" outlineLevel="0" collapsed="false">
      <c r="A1511" s="30" t="n">
        <v>45444</v>
      </c>
      <c r="B1511" s="31" t="s">
        <v>153</v>
      </c>
      <c r="C1511" s="32"/>
      <c r="D1511" s="32"/>
      <c r="E1511" s="19" t="n">
        <f aca="false">+F1511*0.03</f>
        <v>0</v>
      </c>
      <c r="F1511" s="33" t="n">
        <v>0</v>
      </c>
      <c r="G1511" s="62"/>
      <c r="H1511" s="35" t="n">
        <v>0</v>
      </c>
      <c r="I1511" s="34" t="n">
        <f aca="false">+IF(E1511=0,0,E1511*0.03)</f>
        <v>0</v>
      </c>
    </row>
    <row r="1512" customFormat="false" ht="15.75" hidden="false" customHeight="true" outlineLevel="0" collapsed="false">
      <c r="A1512" s="30" t="n">
        <v>45444</v>
      </c>
      <c r="B1512" s="31" t="s">
        <v>153</v>
      </c>
      <c r="C1512" s="32"/>
      <c r="D1512" s="32"/>
      <c r="E1512" s="19" t="n">
        <f aca="false">+F1512*0.03</f>
        <v>0</v>
      </c>
      <c r="F1512" s="33" t="n">
        <v>0</v>
      </c>
      <c r="G1512" s="62"/>
      <c r="H1512" s="35" t="n">
        <v>0</v>
      </c>
      <c r="I1512" s="34" t="n">
        <f aca="false">+IF(E1512=0,0,E1512*0.03)</f>
        <v>0</v>
      </c>
    </row>
    <row r="1513" customFormat="false" ht="15.75" hidden="false" customHeight="true" outlineLevel="0" collapsed="false">
      <c r="A1513" s="30" t="n">
        <v>45444</v>
      </c>
      <c r="B1513" s="31" t="s">
        <v>153</v>
      </c>
      <c r="C1513" s="32"/>
      <c r="D1513" s="32"/>
      <c r="E1513" s="19" t="n">
        <f aca="false">+F1513*0.03</f>
        <v>0</v>
      </c>
      <c r="F1513" s="33" t="n">
        <v>0</v>
      </c>
      <c r="G1513" s="62"/>
      <c r="H1513" s="35" t="n">
        <v>0</v>
      </c>
      <c r="I1513" s="34" t="n">
        <f aca="false">+IF(E1513=0,0,E1513*0.03)</f>
        <v>0</v>
      </c>
    </row>
    <row r="1514" customFormat="false" ht="15.75" hidden="false" customHeight="true" outlineLevel="0" collapsed="false">
      <c r="A1514" s="30" t="n">
        <v>45444</v>
      </c>
      <c r="B1514" s="31" t="s">
        <v>153</v>
      </c>
      <c r="C1514" s="32"/>
      <c r="D1514" s="32"/>
      <c r="E1514" s="19" t="n">
        <f aca="false">+F1514*0.03</f>
        <v>0</v>
      </c>
      <c r="F1514" s="33" t="n">
        <v>0</v>
      </c>
      <c r="G1514" s="62"/>
      <c r="H1514" s="35" t="n">
        <v>0</v>
      </c>
      <c r="I1514" s="34" t="n">
        <f aca="false">+IF(E1514=0,0,E1514*0.03)</f>
        <v>0</v>
      </c>
    </row>
    <row r="1515" customFormat="false" ht="15.75" hidden="false" customHeight="true" outlineLevel="0" collapsed="false">
      <c r="A1515" s="30" t="n">
        <v>45444</v>
      </c>
      <c r="B1515" s="31" t="s">
        <v>153</v>
      </c>
      <c r="C1515" s="32"/>
      <c r="D1515" s="32"/>
      <c r="E1515" s="19" t="n">
        <f aca="false">+F1515*0.03</f>
        <v>0</v>
      </c>
      <c r="F1515" s="33" t="n">
        <v>0</v>
      </c>
      <c r="G1515" s="62"/>
      <c r="H1515" s="35" t="n">
        <v>0</v>
      </c>
      <c r="I1515" s="34" t="n">
        <f aca="false">+IF(E1515=0,0,E1515*0.03)</f>
        <v>0</v>
      </c>
    </row>
    <row r="1516" customFormat="false" ht="15.75" hidden="false" customHeight="true" outlineLevel="0" collapsed="false">
      <c r="A1516" s="30" t="n">
        <v>45444</v>
      </c>
      <c r="B1516" s="31" t="s">
        <v>153</v>
      </c>
      <c r="C1516" s="32"/>
      <c r="D1516" s="32"/>
      <c r="E1516" s="19" t="n">
        <f aca="false">+F1516*0.03</f>
        <v>0</v>
      </c>
      <c r="F1516" s="33" t="n">
        <v>0</v>
      </c>
      <c r="G1516" s="62"/>
      <c r="H1516" s="35" t="n">
        <v>0</v>
      </c>
      <c r="I1516" s="34" t="n">
        <f aca="false">+IF(E1516=0,0,E1516*0.03)</f>
        <v>0</v>
      </c>
    </row>
    <row r="1517" customFormat="false" ht="15.75" hidden="false" customHeight="true" outlineLevel="0" collapsed="false">
      <c r="A1517" s="30" t="n">
        <v>45444</v>
      </c>
      <c r="B1517" s="31" t="s">
        <v>153</v>
      </c>
      <c r="C1517" s="32"/>
      <c r="D1517" s="32"/>
      <c r="E1517" s="19" t="n">
        <f aca="false">+F1517*0.03</f>
        <v>0</v>
      </c>
      <c r="F1517" s="33" t="n">
        <v>0</v>
      </c>
      <c r="G1517" s="62"/>
      <c r="H1517" s="35" t="n">
        <v>0</v>
      </c>
      <c r="I1517" s="34" t="n">
        <f aca="false">+IF(E1517=0,0,E1517*0.03)</f>
        <v>0</v>
      </c>
    </row>
    <row r="1518" customFormat="false" ht="15.75" hidden="false" customHeight="true" outlineLevel="0" collapsed="false">
      <c r="A1518" s="30" t="n">
        <v>45444</v>
      </c>
      <c r="B1518" s="31" t="s">
        <v>153</v>
      </c>
      <c r="C1518" s="32"/>
      <c r="D1518" s="32"/>
      <c r="E1518" s="19" t="n">
        <f aca="false">+F1518*0.03</f>
        <v>0</v>
      </c>
      <c r="F1518" s="33" t="n">
        <v>0</v>
      </c>
      <c r="G1518" s="62"/>
      <c r="H1518" s="35" t="n">
        <v>0</v>
      </c>
      <c r="I1518" s="34" t="n">
        <f aca="false">+IF(E1518=0,0,E1518*0.03)</f>
        <v>0</v>
      </c>
    </row>
    <row r="1519" customFormat="false" ht="15.75" hidden="false" customHeight="true" outlineLevel="0" collapsed="false">
      <c r="A1519" s="30" t="n">
        <v>45444</v>
      </c>
      <c r="B1519" s="31" t="s">
        <v>153</v>
      </c>
      <c r="C1519" s="32"/>
      <c r="D1519" s="32"/>
      <c r="E1519" s="19" t="n">
        <f aca="false">+F1519*0.03</f>
        <v>0</v>
      </c>
      <c r="F1519" s="33" t="n">
        <v>0</v>
      </c>
      <c r="G1519" s="62"/>
      <c r="H1519" s="35" t="n">
        <v>0</v>
      </c>
      <c r="I1519" s="34" t="n">
        <f aca="false">+IF(E1519=0,0,E1519*0.03)</f>
        <v>0</v>
      </c>
    </row>
    <row r="1520" customFormat="false" ht="15.75" hidden="false" customHeight="true" outlineLevel="0" collapsed="false">
      <c r="A1520" s="30" t="n">
        <v>45444</v>
      </c>
      <c r="B1520" s="31" t="s">
        <v>153</v>
      </c>
      <c r="C1520" s="32"/>
      <c r="D1520" s="32"/>
      <c r="E1520" s="19" t="n">
        <f aca="false">+F1520*0.03</f>
        <v>0</v>
      </c>
      <c r="F1520" s="33" t="n">
        <v>0</v>
      </c>
      <c r="G1520" s="62"/>
      <c r="H1520" s="35" t="n">
        <v>0</v>
      </c>
      <c r="I1520" s="34" t="n">
        <f aca="false">+IF(E1520=0,0,E1520*0.03)</f>
        <v>0</v>
      </c>
    </row>
    <row r="1521" customFormat="false" ht="15.75" hidden="false" customHeight="true" outlineLevel="0" collapsed="false">
      <c r="A1521" s="30" t="n">
        <v>45444</v>
      </c>
      <c r="B1521" s="31" t="s">
        <v>153</v>
      </c>
      <c r="C1521" s="32"/>
      <c r="D1521" s="32"/>
      <c r="E1521" s="19" t="n">
        <f aca="false">+F1521*0.03</f>
        <v>0</v>
      </c>
      <c r="F1521" s="33" t="n">
        <v>0</v>
      </c>
      <c r="G1521" s="62"/>
      <c r="H1521" s="35" t="n">
        <v>0</v>
      </c>
      <c r="I1521" s="34" t="n">
        <f aca="false">+IF(E1521=0,0,E1521*0.03)</f>
        <v>0</v>
      </c>
    </row>
    <row r="1522" customFormat="false" ht="15.75" hidden="false" customHeight="true" outlineLevel="0" collapsed="false">
      <c r="A1522" s="30" t="n">
        <v>45444</v>
      </c>
      <c r="B1522" s="31" t="s">
        <v>153</v>
      </c>
      <c r="C1522" s="32"/>
      <c r="D1522" s="32"/>
      <c r="E1522" s="19" t="n">
        <f aca="false">+F1522*0.03</f>
        <v>0</v>
      </c>
      <c r="F1522" s="33" t="n">
        <v>0</v>
      </c>
      <c r="G1522" s="62"/>
      <c r="H1522" s="35" t="n">
        <v>0</v>
      </c>
      <c r="I1522" s="34" t="n">
        <f aca="false">+IF(E1522=0,0,E1522*0.03)</f>
        <v>0</v>
      </c>
    </row>
    <row r="1523" customFormat="false" ht="15.75" hidden="false" customHeight="true" outlineLevel="0" collapsed="false">
      <c r="A1523" s="30" t="n">
        <v>45444</v>
      </c>
      <c r="B1523" s="31" t="s">
        <v>153</v>
      </c>
      <c r="C1523" s="32"/>
      <c r="D1523" s="32"/>
      <c r="E1523" s="19" t="n">
        <f aca="false">+F1523*0.03</f>
        <v>0</v>
      </c>
      <c r="F1523" s="33" t="n">
        <v>0</v>
      </c>
      <c r="G1523" s="62"/>
      <c r="H1523" s="35" t="n">
        <v>0</v>
      </c>
      <c r="I1523" s="34" t="n">
        <f aca="false">+IF(E1523=0,0,E1523*0.03)</f>
        <v>0</v>
      </c>
    </row>
    <row r="1524" customFormat="false" ht="15.75" hidden="false" customHeight="true" outlineLevel="0" collapsed="false">
      <c r="A1524" s="30" t="n">
        <v>45444</v>
      </c>
      <c r="B1524" s="31" t="s">
        <v>153</v>
      </c>
      <c r="C1524" s="32"/>
      <c r="D1524" s="32"/>
      <c r="E1524" s="19" t="n">
        <f aca="false">+F1524*0.03</f>
        <v>0</v>
      </c>
      <c r="F1524" s="33" t="n">
        <v>0</v>
      </c>
      <c r="G1524" s="62"/>
      <c r="H1524" s="35" t="n">
        <v>0</v>
      </c>
      <c r="I1524" s="34" t="n">
        <f aca="false">+IF(E1524=0,0,E1524*0.03)</f>
        <v>0</v>
      </c>
    </row>
    <row r="1525" customFormat="false" ht="15.75" hidden="false" customHeight="true" outlineLevel="0" collapsed="false">
      <c r="A1525" s="30" t="n">
        <v>45444</v>
      </c>
      <c r="B1525" s="31" t="s">
        <v>153</v>
      </c>
      <c r="C1525" s="32"/>
      <c r="D1525" s="32"/>
      <c r="E1525" s="19" t="n">
        <f aca="false">+F1525*0.03</f>
        <v>0</v>
      </c>
      <c r="F1525" s="33" t="n">
        <v>0</v>
      </c>
      <c r="G1525" s="62"/>
      <c r="H1525" s="35" t="n">
        <v>0</v>
      </c>
      <c r="I1525" s="34" t="n">
        <f aca="false">+IF(E1525=0,0,E1525*0.03)</f>
        <v>0</v>
      </c>
    </row>
    <row r="1526" customFormat="false" ht="15.75" hidden="false" customHeight="true" outlineLevel="0" collapsed="false">
      <c r="A1526" s="30" t="n">
        <v>45444</v>
      </c>
      <c r="B1526" s="31" t="s">
        <v>153</v>
      </c>
      <c r="C1526" s="32"/>
      <c r="D1526" s="32"/>
      <c r="E1526" s="19" t="n">
        <f aca="false">+F1526*0.03</f>
        <v>0</v>
      </c>
      <c r="F1526" s="33" t="n">
        <v>0</v>
      </c>
      <c r="G1526" s="62"/>
      <c r="H1526" s="35" t="n">
        <v>0</v>
      </c>
      <c r="I1526" s="34" t="n">
        <f aca="false">+IF(E1526=0,0,E1526*0.03)</f>
        <v>0</v>
      </c>
    </row>
    <row r="1527" customFormat="false" ht="15.75" hidden="false" customHeight="true" outlineLevel="0" collapsed="false">
      <c r="A1527" s="30" t="n">
        <v>45444</v>
      </c>
      <c r="B1527" s="31" t="s">
        <v>153</v>
      </c>
      <c r="C1527" s="32"/>
      <c r="D1527" s="32"/>
      <c r="E1527" s="19" t="n">
        <f aca="false">+F1527*0.03</f>
        <v>0</v>
      </c>
      <c r="F1527" s="33" t="n">
        <v>0</v>
      </c>
      <c r="G1527" s="62"/>
      <c r="H1527" s="35" t="n">
        <v>0</v>
      </c>
      <c r="I1527" s="34" t="n">
        <f aca="false">+IF(E1527=0,0,E1527*0.03)</f>
        <v>0</v>
      </c>
    </row>
    <row r="1528" customFormat="false" ht="15.75" hidden="false" customHeight="true" outlineLevel="0" collapsed="false">
      <c r="A1528" s="30" t="n">
        <v>45444</v>
      </c>
      <c r="B1528" s="31" t="s">
        <v>153</v>
      </c>
      <c r="C1528" s="32"/>
      <c r="D1528" s="32"/>
      <c r="E1528" s="19" t="n">
        <f aca="false">+F1528*0.03</f>
        <v>0</v>
      </c>
      <c r="F1528" s="33" t="n">
        <v>0</v>
      </c>
      <c r="G1528" s="62"/>
      <c r="H1528" s="35" t="n">
        <v>0</v>
      </c>
      <c r="I1528" s="34" t="n">
        <f aca="false">+IF(E1528=0,0,E1528*0.03)</f>
        <v>0</v>
      </c>
    </row>
    <row r="1529" customFormat="false" ht="15.75" hidden="false" customHeight="true" outlineLevel="0" collapsed="false">
      <c r="A1529" s="30" t="n">
        <v>45444</v>
      </c>
      <c r="B1529" s="31" t="s">
        <v>153</v>
      </c>
      <c r="C1529" s="32"/>
      <c r="D1529" s="32"/>
      <c r="E1529" s="19" t="n">
        <f aca="false">+F1529*0.03</f>
        <v>0</v>
      </c>
      <c r="F1529" s="33" t="n">
        <v>0</v>
      </c>
      <c r="G1529" s="62"/>
      <c r="H1529" s="35" t="n">
        <v>0</v>
      </c>
      <c r="I1529" s="34" t="n">
        <f aca="false">+IF(E1529=0,0,E1529*0.03)</f>
        <v>0</v>
      </c>
    </row>
    <row r="1530" customFormat="false" ht="15.75" hidden="false" customHeight="true" outlineLevel="0" collapsed="false">
      <c r="A1530" s="30" t="n">
        <v>45444</v>
      </c>
      <c r="B1530" s="31" t="s">
        <v>153</v>
      </c>
      <c r="C1530" s="32"/>
      <c r="D1530" s="32"/>
      <c r="E1530" s="19" t="n">
        <f aca="false">+F1530*0.03</f>
        <v>0</v>
      </c>
      <c r="F1530" s="33" t="n">
        <v>0</v>
      </c>
      <c r="G1530" s="62"/>
      <c r="H1530" s="35" t="n">
        <v>0</v>
      </c>
      <c r="I1530" s="34" t="n">
        <f aca="false">+IF(E1530=0,0,E1530*0.03)</f>
        <v>0</v>
      </c>
    </row>
    <row r="1531" customFormat="false" ht="15.75" hidden="false" customHeight="true" outlineLevel="0" collapsed="false">
      <c r="A1531" s="30" t="n">
        <v>45444</v>
      </c>
      <c r="B1531" s="31" t="s">
        <v>153</v>
      </c>
      <c r="C1531" s="32"/>
      <c r="D1531" s="32"/>
      <c r="E1531" s="19" t="n">
        <f aca="false">+F1531*0.03</f>
        <v>0</v>
      </c>
      <c r="F1531" s="33" t="n">
        <v>0</v>
      </c>
      <c r="G1531" s="62"/>
      <c r="H1531" s="35" t="n">
        <v>0</v>
      </c>
      <c r="I1531" s="34" t="n">
        <f aca="false">+IF(E1531=0,0,E1531*0.03)</f>
        <v>0</v>
      </c>
    </row>
    <row r="1532" customFormat="false" ht="15.75" hidden="false" customHeight="true" outlineLevel="0" collapsed="false">
      <c r="A1532" s="30" t="n">
        <v>45444</v>
      </c>
      <c r="B1532" s="31" t="s">
        <v>153</v>
      </c>
      <c r="C1532" s="32"/>
      <c r="D1532" s="32"/>
      <c r="E1532" s="19" t="n">
        <f aca="false">+F1532*0.03</f>
        <v>0</v>
      </c>
      <c r="F1532" s="33" t="n">
        <v>0</v>
      </c>
      <c r="G1532" s="62"/>
      <c r="H1532" s="35" t="n">
        <v>0</v>
      </c>
      <c r="I1532" s="34" t="n">
        <f aca="false">+IF(E1532=0,0,E1532*0.03)</f>
        <v>0</v>
      </c>
    </row>
    <row r="1533" customFormat="false" ht="15.75" hidden="false" customHeight="true" outlineLevel="0" collapsed="false">
      <c r="A1533" s="30" t="n">
        <v>45444</v>
      </c>
      <c r="B1533" s="31" t="s">
        <v>153</v>
      </c>
      <c r="C1533" s="32"/>
      <c r="D1533" s="32"/>
      <c r="E1533" s="19" t="n">
        <f aca="false">+F1533*0.03</f>
        <v>0</v>
      </c>
      <c r="F1533" s="33" t="n">
        <v>0</v>
      </c>
      <c r="G1533" s="62"/>
      <c r="H1533" s="35" t="n">
        <v>0</v>
      </c>
      <c r="I1533" s="34" t="n">
        <f aca="false">+IF(E1533=0,0,E1533*0.03)</f>
        <v>0</v>
      </c>
    </row>
    <row r="1534" customFormat="false" ht="15.75" hidden="false" customHeight="true" outlineLevel="0" collapsed="false">
      <c r="A1534" s="30" t="n">
        <v>45444</v>
      </c>
      <c r="B1534" s="31" t="s">
        <v>153</v>
      </c>
      <c r="C1534" s="32"/>
      <c r="D1534" s="32"/>
      <c r="E1534" s="19" t="n">
        <f aca="false">+F1534*0.03</f>
        <v>0</v>
      </c>
      <c r="F1534" s="33" t="n">
        <v>0</v>
      </c>
      <c r="G1534" s="62"/>
      <c r="H1534" s="35" t="n">
        <v>0</v>
      </c>
      <c r="I1534" s="34" t="n">
        <f aca="false">+IF(E1534=0,0,E1534*0.03)</f>
        <v>0</v>
      </c>
    </row>
    <row r="1535" customFormat="false" ht="15.75" hidden="false" customHeight="true" outlineLevel="0" collapsed="false">
      <c r="A1535" s="30" t="n">
        <v>45444</v>
      </c>
      <c r="B1535" s="31" t="s">
        <v>153</v>
      </c>
      <c r="C1535" s="32"/>
      <c r="D1535" s="32"/>
      <c r="E1535" s="19" t="n">
        <f aca="false">+F1535*0.03</f>
        <v>0</v>
      </c>
      <c r="F1535" s="33" t="n">
        <v>0</v>
      </c>
      <c r="G1535" s="62"/>
      <c r="H1535" s="35" t="n">
        <v>0</v>
      </c>
      <c r="I1535" s="34" t="n">
        <f aca="false">+IF(E1535=0,0,E1535*0.03)</f>
        <v>0</v>
      </c>
    </row>
    <row r="1536" customFormat="false" ht="15.75" hidden="false" customHeight="true" outlineLevel="0" collapsed="false">
      <c r="A1536" s="30" t="n">
        <v>45444</v>
      </c>
      <c r="B1536" s="31" t="s">
        <v>153</v>
      </c>
      <c r="C1536" s="32"/>
      <c r="D1536" s="32"/>
      <c r="E1536" s="19" t="n">
        <f aca="false">+F1536*0.03</f>
        <v>0</v>
      </c>
      <c r="F1536" s="33" t="n">
        <v>0</v>
      </c>
      <c r="G1536" s="62"/>
      <c r="H1536" s="35" t="n">
        <v>0</v>
      </c>
      <c r="I1536" s="34" t="n">
        <f aca="false">+IF(E1536=0,0,E1536*0.03)</f>
        <v>0</v>
      </c>
    </row>
    <row r="1537" customFormat="false" ht="15.75" hidden="false" customHeight="true" outlineLevel="0" collapsed="false">
      <c r="A1537" s="30" t="n">
        <v>45444</v>
      </c>
      <c r="B1537" s="31" t="s">
        <v>153</v>
      </c>
      <c r="C1537" s="32"/>
      <c r="D1537" s="32"/>
      <c r="E1537" s="19" t="n">
        <f aca="false">+F1537*0.03</f>
        <v>0</v>
      </c>
      <c r="F1537" s="33" t="n">
        <v>0</v>
      </c>
      <c r="G1537" s="62"/>
      <c r="H1537" s="35" t="n">
        <v>0</v>
      </c>
      <c r="I1537" s="34" t="n">
        <f aca="false">+IF(E1537=0,0,E1537*0.03)</f>
        <v>0</v>
      </c>
    </row>
    <row r="1538" customFormat="false" ht="15.75" hidden="false" customHeight="true" outlineLevel="0" collapsed="false">
      <c r="A1538" s="30" t="n">
        <v>45444</v>
      </c>
      <c r="B1538" s="31" t="s">
        <v>153</v>
      </c>
      <c r="C1538" s="32"/>
      <c r="D1538" s="32"/>
      <c r="E1538" s="19" t="n">
        <f aca="false">+F1538*0.03</f>
        <v>0</v>
      </c>
      <c r="F1538" s="33" t="n">
        <v>0</v>
      </c>
      <c r="G1538" s="62"/>
      <c r="H1538" s="35" t="n">
        <v>0</v>
      </c>
      <c r="I1538" s="34" t="n">
        <f aca="false">+IF(E1538=0,0,E1538*0.03)</f>
        <v>0</v>
      </c>
    </row>
    <row r="1539" customFormat="false" ht="15.75" hidden="false" customHeight="true" outlineLevel="0" collapsed="false">
      <c r="A1539" s="30" t="n">
        <v>45444</v>
      </c>
      <c r="B1539" s="31" t="s">
        <v>153</v>
      </c>
      <c r="C1539" s="32"/>
      <c r="D1539" s="32"/>
      <c r="E1539" s="19" t="n">
        <f aca="false">+F1539*0.03</f>
        <v>0</v>
      </c>
      <c r="F1539" s="33" t="n">
        <v>0</v>
      </c>
      <c r="G1539" s="62"/>
      <c r="H1539" s="35" t="n">
        <v>0</v>
      </c>
      <c r="I1539" s="34" t="n">
        <f aca="false">+IF(E1539=0,0,E1539*0.03)</f>
        <v>0</v>
      </c>
    </row>
    <row r="1540" customFormat="false" ht="15.75" hidden="false" customHeight="true" outlineLevel="0" collapsed="false">
      <c r="A1540" s="30" t="n">
        <v>45444</v>
      </c>
      <c r="B1540" s="31" t="s">
        <v>153</v>
      </c>
      <c r="C1540" s="32"/>
      <c r="D1540" s="32"/>
      <c r="E1540" s="19" t="n">
        <f aca="false">+F1540*0.03</f>
        <v>0</v>
      </c>
      <c r="F1540" s="33" t="n">
        <v>0</v>
      </c>
      <c r="G1540" s="62"/>
      <c r="H1540" s="35" t="n">
        <v>0</v>
      </c>
      <c r="I1540" s="34" t="n">
        <f aca="false">+IF(E1540=0,0,E1540*0.03)</f>
        <v>0</v>
      </c>
    </row>
    <row r="1541" customFormat="false" ht="15.75" hidden="false" customHeight="true" outlineLevel="0" collapsed="false">
      <c r="A1541" s="30" t="n">
        <v>45444</v>
      </c>
      <c r="B1541" s="31" t="s">
        <v>153</v>
      </c>
      <c r="C1541" s="32"/>
      <c r="D1541" s="32"/>
      <c r="E1541" s="19" t="n">
        <f aca="false">+F1541*0.03</f>
        <v>0</v>
      </c>
      <c r="F1541" s="33" t="n">
        <v>0</v>
      </c>
      <c r="G1541" s="62"/>
      <c r="H1541" s="35" t="n">
        <v>0</v>
      </c>
      <c r="I1541" s="34" t="n">
        <f aca="false">+IF(E1541=0,0,E1541*0.03)</f>
        <v>0</v>
      </c>
    </row>
    <row r="1542" customFormat="false" ht="15.75" hidden="false" customHeight="true" outlineLevel="0" collapsed="false">
      <c r="A1542" s="30" t="n">
        <v>45444</v>
      </c>
      <c r="B1542" s="31" t="s">
        <v>153</v>
      </c>
      <c r="C1542" s="32"/>
      <c r="D1542" s="32"/>
      <c r="E1542" s="19" t="n">
        <f aca="false">+F1542*0.03</f>
        <v>0</v>
      </c>
      <c r="F1542" s="33" t="n">
        <v>0</v>
      </c>
      <c r="G1542" s="62"/>
      <c r="H1542" s="35" t="n">
        <v>0</v>
      </c>
      <c r="I1542" s="34" t="n">
        <f aca="false">+IF(E1542=0,0,E1542*0.03)</f>
        <v>0</v>
      </c>
    </row>
    <row r="1543" customFormat="false" ht="15.75" hidden="false" customHeight="true" outlineLevel="0" collapsed="false">
      <c r="A1543" s="30" t="n">
        <v>45444</v>
      </c>
      <c r="B1543" s="31" t="s">
        <v>153</v>
      </c>
      <c r="C1543" s="32"/>
      <c r="D1543" s="32"/>
      <c r="E1543" s="19" t="n">
        <f aca="false">+F1543*0.03</f>
        <v>0</v>
      </c>
      <c r="F1543" s="33" t="n">
        <v>0</v>
      </c>
      <c r="G1543" s="62"/>
      <c r="H1543" s="35" t="n">
        <v>0</v>
      </c>
      <c r="I1543" s="34" t="n">
        <f aca="false">+IF(E1543=0,0,E1543*0.03)</f>
        <v>0</v>
      </c>
    </row>
    <row r="1544" customFormat="false" ht="15.75" hidden="false" customHeight="true" outlineLevel="0" collapsed="false">
      <c r="A1544" s="30" t="n">
        <v>45444</v>
      </c>
      <c r="B1544" s="31" t="s">
        <v>153</v>
      </c>
      <c r="C1544" s="32"/>
      <c r="D1544" s="32"/>
      <c r="E1544" s="19" t="n">
        <f aca="false">+F1544*0.03</f>
        <v>0</v>
      </c>
      <c r="F1544" s="33" t="n">
        <v>0</v>
      </c>
      <c r="G1544" s="62"/>
      <c r="H1544" s="35" t="n">
        <v>0</v>
      </c>
      <c r="I1544" s="34" t="n">
        <f aca="false">+IF(E1544=0,0,E1544*0.03)</f>
        <v>0</v>
      </c>
    </row>
    <row r="1545" customFormat="false" ht="15.75" hidden="false" customHeight="true" outlineLevel="0" collapsed="false">
      <c r="A1545" s="30" t="n">
        <v>45444</v>
      </c>
      <c r="B1545" s="31" t="s">
        <v>153</v>
      </c>
      <c r="C1545" s="32"/>
      <c r="D1545" s="32"/>
      <c r="E1545" s="19" t="n">
        <f aca="false">+F1545*0.03</f>
        <v>0</v>
      </c>
      <c r="F1545" s="33" t="n">
        <v>0</v>
      </c>
      <c r="G1545" s="62"/>
      <c r="H1545" s="35" t="n">
        <v>0</v>
      </c>
      <c r="I1545" s="34" t="n">
        <f aca="false">+IF(E1545=0,0,E1545*0.03)</f>
        <v>0</v>
      </c>
    </row>
    <row r="1546" customFormat="false" ht="15.75" hidden="false" customHeight="true" outlineLevel="0" collapsed="false">
      <c r="A1546" s="30" t="n">
        <v>45444</v>
      </c>
      <c r="B1546" s="31" t="s">
        <v>153</v>
      </c>
      <c r="C1546" s="32"/>
      <c r="D1546" s="32"/>
      <c r="E1546" s="19" t="n">
        <f aca="false">+F1546*0.03</f>
        <v>0</v>
      </c>
      <c r="F1546" s="33" t="n">
        <v>0</v>
      </c>
      <c r="G1546" s="62"/>
      <c r="H1546" s="35" t="n">
        <v>0</v>
      </c>
      <c r="I1546" s="34" t="n">
        <f aca="false">+IF(E1546=0,0,E1546*0.03)</f>
        <v>0</v>
      </c>
    </row>
    <row r="1547" customFormat="false" ht="15.75" hidden="false" customHeight="true" outlineLevel="0" collapsed="false">
      <c r="A1547" s="30" t="n">
        <v>45444</v>
      </c>
      <c r="B1547" s="31" t="s">
        <v>153</v>
      </c>
      <c r="C1547" s="32"/>
      <c r="D1547" s="32"/>
      <c r="E1547" s="19" t="n">
        <f aca="false">+F1547*0.03</f>
        <v>0</v>
      </c>
      <c r="F1547" s="33" t="n">
        <v>0</v>
      </c>
      <c r="G1547" s="62"/>
      <c r="H1547" s="35" t="n">
        <v>0</v>
      </c>
      <c r="I1547" s="34" t="n">
        <f aca="false">+IF(E1547=0,0,E1547*0.03)</f>
        <v>0</v>
      </c>
    </row>
    <row r="1548" customFormat="false" ht="15.75" hidden="false" customHeight="true" outlineLevel="0" collapsed="false">
      <c r="A1548" s="30" t="n">
        <v>45444</v>
      </c>
      <c r="B1548" s="31" t="s">
        <v>153</v>
      </c>
      <c r="C1548" s="32"/>
      <c r="D1548" s="32"/>
      <c r="E1548" s="19" t="n">
        <f aca="false">+F1548*0.03</f>
        <v>0</v>
      </c>
      <c r="F1548" s="33" t="n">
        <v>0</v>
      </c>
      <c r="G1548" s="62"/>
      <c r="H1548" s="35" t="n">
        <v>0</v>
      </c>
      <c r="I1548" s="34" t="n">
        <f aca="false">+IF(E1548=0,0,E1548*0.03)</f>
        <v>0</v>
      </c>
    </row>
    <row r="1549" customFormat="false" ht="15.75" hidden="false" customHeight="true" outlineLevel="0" collapsed="false">
      <c r="A1549" s="30" t="n">
        <v>45444</v>
      </c>
      <c r="B1549" s="31" t="s">
        <v>153</v>
      </c>
      <c r="C1549" s="32"/>
      <c r="D1549" s="32"/>
      <c r="E1549" s="19" t="n">
        <f aca="false">+F1549*0.03</f>
        <v>0</v>
      </c>
      <c r="F1549" s="33" t="n">
        <v>0</v>
      </c>
      <c r="G1549" s="62"/>
      <c r="H1549" s="35" t="n">
        <v>0</v>
      </c>
      <c r="I1549" s="34" t="n">
        <f aca="false">+IF(E1549=0,0,E1549*0.03)</f>
        <v>0</v>
      </c>
    </row>
    <row r="1550" customFormat="false" ht="15.75" hidden="false" customHeight="true" outlineLevel="0" collapsed="false">
      <c r="A1550" s="30" t="n">
        <v>45444</v>
      </c>
      <c r="B1550" s="31" t="s">
        <v>153</v>
      </c>
      <c r="C1550" s="32"/>
      <c r="D1550" s="32"/>
      <c r="E1550" s="19" t="n">
        <f aca="false">+F1550*0.03</f>
        <v>0</v>
      </c>
      <c r="F1550" s="33" t="n">
        <v>0</v>
      </c>
      <c r="G1550" s="62"/>
      <c r="H1550" s="35" t="n">
        <v>0</v>
      </c>
      <c r="I1550" s="34" t="n">
        <f aca="false">+IF(E1550=0,0,E1550*0.03)</f>
        <v>0</v>
      </c>
    </row>
    <row r="1551" customFormat="false" ht="15.75" hidden="false" customHeight="true" outlineLevel="0" collapsed="false">
      <c r="A1551" s="30" t="n">
        <v>45444</v>
      </c>
      <c r="B1551" s="31" t="s">
        <v>153</v>
      </c>
      <c r="C1551" s="32"/>
      <c r="D1551" s="32"/>
      <c r="E1551" s="19" t="n">
        <f aca="false">+F1551*0.03</f>
        <v>0</v>
      </c>
      <c r="F1551" s="33" t="n">
        <v>0</v>
      </c>
      <c r="G1551" s="62"/>
      <c r="H1551" s="35" t="n">
        <v>0</v>
      </c>
      <c r="I1551" s="34" t="n">
        <f aca="false">+IF(E1551=0,0,E1551*0.03)</f>
        <v>0</v>
      </c>
    </row>
    <row r="1552" customFormat="false" ht="15.75" hidden="false" customHeight="true" outlineLevel="0" collapsed="false">
      <c r="A1552" s="30" t="n">
        <v>45444</v>
      </c>
      <c r="B1552" s="31" t="s">
        <v>153</v>
      </c>
      <c r="C1552" s="32"/>
      <c r="D1552" s="32"/>
      <c r="E1552" s="19" t="n">
        <f aca="false">+F1552*0.03</f>
        <v>0</v>
      </c>
      <c r="F1552" s="33" t="n">
        <v>0</v>
      </c>
      <c r="G1552" s="62"/>
      <c r="H1552" s="35" t="n">
        <v>0</v>
      </c>
      <c r="I1552" s="34" t="n">
        <f aca="false">+IF(E1552=0,0,E1552*0.03)</f>
        <v>0</v>
      </c>
    </row>
    <row r="1553" customFormat="false" ht="15.75" hidden="false" customHeight="true" outlineLevel="0" collapsed="false">
      <c r="A1553" s="30" t="n">
        <v>45444</v>
      </c>
      <c r="B1553" s="31" t="s">
        <v>153</v>
      </c>
      <c r="C1553" s="32"/>
      <c r="D1553" s="32"/>
      <c r="E1553" s="19" t="n">
        <f aca="false">+F1553*0.03</f>
        <v>0</v>
      </c>
      <c r="F1553" s="33" t="n">
        <v>0</v>
      </c>
      <c r="G1553" s="62"/>
      <c r="H1553" s="35" t="n">
        <v>0</v>
      </c>
      <c r="I1553" s="34" t="n">
        <f aca="false">+IF(E1553=0,0,E1553*0.03)</f>
        <v>0</v>
      </c>
    </row>
    <row r="1554" customFormat="false" ht="15.75" hidden="false" customHeight="true" outlineLevel="0" collapsed="false">
      <c r="A1554" s="30" t="n">
        <v>45444</v>
      </c>
      <c r="B1554" s="31" t="s">
        <v>153</v>
      </c>
      <c r="C1554" s="32"/>
      <c r="D1554" s="32"/>
      <c r="E1554" s="19" t="n">
        <f aca="false">+F1554*0.03</f>
        <v>0</v>
      </c>
      <c r="F1554" s="33" t="n">
        <v>0</v>
      </c>
      <c r="G1554" s="62"/>
      <c r="H1554" s="35" t="n">
        <v>0</v>
      </c>
      <c r="I1554" s="34" t="n">
        <f aca="false">+IF(E1554=0,0,E1554*0.03)</f>
        <v>0</v>
      </c>
    </row>
    <row r="1555" customFormat="false" ht="15.75" hidden="false" customHeight="true" outlineLevel="0" collapsed="false">
      <c r="A1555" s="30" t="n">
        <v>45444</v>
      </c>
      <c r="B1555" s="31" t="s">
        <v>153</v>
      </c>
      <c r="C1555" s="32"/>
      <c r="D1555" s="32"/>
      <c r="E1555" s="19" t="n">
        <f aca="false">+F1555*0.03</f>
        <v>0</v>
      </c>
      <c r="F1555" s="33" t="n">
        <v>0</v>
      </c>
      <c r="G1555" s="62"/>
      <c r="H1555" s="35" t="n">
        <v>0</v>
      </c>
      <c r="I1555" s="34" t="n">
        <f aca="false">+IF(E1555=0,0,E1555*0.03)</f>
        <v>0</v>
      </c>
    </row>
    <row r="1556" customFormat="false" ht="15.75" hidden="false" customHeight="true" outlineLevel="0" collapsed="false">
      <c r="A1556" s="30" t="n">
        <v>45444</v>
      </c>
      <c r="B1556" s="31" t="s">
        <v>153</v>
      </c>
      <c r="C1556" s="32"/>
      <c r="D1556" s="32"/>
      <c r="E1556" s="19" t="n">
        <f aca="false">+F1556*0.03</f>
        <v>0</v>
      </c>
      <c r="F1556" s="33" t="n">
        <v>0</v>
      </c>
      <c r="G1556" s="62"/>
      <c r="H1556" s="35" t="n">
        <v>0</v>
      </c>
      <c r="I1556" s="34" t="n">
        <f aca="false">+IF(E1556=0,0,E1556*0.03)</f>
        <v>0</v>
      </c>
    </row>
    <row r="1557" customFormat="false" ht="15.75" hidden="false" customHeight="true" outlineLevel="0" collapsed="false">
      <c r="A1557" s="30" t="n">
        <v>45444</v>
      </c>
      <c r="B1557" s="31" t="s">
        <v>153</v>
      </c>
      <c r="C1557" s="32"/>
      <c r="D1557" s="32"/>
      <c r="E1557" s="19" t="n">
        <f aca="false">+F1557*0.03</f>
        <v>0</v>
      </c>
      <c r="F1557" s="33" t="n">
        <v>0</v>
      </c>
      <c r="G1557" s="62"/>
      <c r="H1557" s="35" t="n">
        <v>0</v>
      </c>
      <c r="I1557" s="34" t="n">
        <f aca="false">+IF(E1557=0,0,E1557*0.03)</f>
        <v>0</v>
      </c>
    </row>
    <row r="1558" customFormat="false" ht="15.75" hidden="false" customHeight="true" outlineLevel="0" collapsed="false">
      <c r="A1558" s="30" t="n">
        <v>45444</v>
      </c>
      <c r="B1558" s="31" t="s">
        <v>153</v>
      </c>
      <c r="C1558" s="32"/>
      <c r="D1558" s="32"/>
      <c r="E1558" s="19" t="n">
        <f aca="false">+F1558*0.03</f>
        <v>0</v>
      </c>
      <c r="F1558" s="33" t="n">
        <v>0</v>
      </c>
      <c r="G1558" s="62"/>
      <c r="H1558" s="35" t="n">
        <v>0</v>
      </c>
      <c r="I1558" s="34" t="n">
        <f aca="false">+IF(E1558=0,0,E1558*0.03)</f>
        <v>0</v>
      </c>
    </row>
    <row r="1559" customFormat="false" ht="15.75" hidden="false" customHeight="true" outlineLevel="0" collapsed="false">
      <c r="A1559" s="30" t="n">
        <v>45444</v>
      </c>
      <c r="B1559" s="31" t="s">
        <v>153</v>
      </c>
      <c r="C1559" s="32"/>
      <c r="D1559" s="32"/>
      <c r="E1559" s="19" t="n">
        <f aca="false">+F1559*0.03</f>
        <v>0</v>
      </c>
      <c r="F1559" s="33" t="n">
        <v>0</v>
      </c>
      <c r="G1559" s="62"/>
      <c r="H1559" s="35" t="n">
        <v>0</v>
      </c>
      <c r="I1559" s="34" t="n">
        <f aca="false">+IF(E1559=0,0,E1559*0.03)</f>
        <v>0</v>
      </c>
    </row>
    <row r="1560" customFormat="false" ht="15.75" hidden="false" customHeight="true" outlineLevel="0" collapsed="false">
      <c r="A1560" s="30" t="n">
        <v>45444</v>
      </c>
      <c r="B1560" s="31" t="s">
        <v>153</v>
      </c>
      <c r="C1560" s="32"/>
      <c r="D1560" s="32"/>
      <c r="E1560" s="19" t="n">
        <f aca="false">+F1560*0.03</f>
        <v>0</v>
      </c>
      <c r="F1560" s="33" t="n">
        <v>0</v>
      </c>
      <c r="G1560" s="62"/>
      <c r="H1560" s="35" t="n">
        <v>0</v>
      </c>
      <c r="I1560" s="34" t="n">
        <f aca="false">+IF(E1560=0,0,E1560*0.03)</f>
        <v>0</v>
      </c>
    </row>
    <row r="1561" customFormat="false" ht="15.75" hidden="false" customHeight="true" outlineLevel="0" collapsed="false">
      <c r="A1561" s="30" t="n">
        <v>45444</v>
      </c>
      <c r="B1561" s="31" t="s">
        <v>153</v>
      </c>
      <c r="C1561" s="32"/>
      <c r="D1561" s="32"/>
      <c r="E1561" s="19" t="n">
        <f aca="false">+F1561*0.03</f>
        <v>0</v>
      </c>
      <c r="F1561" s="33" t="n">
        <v>0</v>
      </c>
      <c r="G1561" s="62"/>
      <c r="H1561" s="35" t="n">
        <v>0</v>
      </c>
      <c r="I1561" s="34" t="n">
        <f aca="false">+IF(E1561=0,0,E1561*0.03)</f>
        <v>0</v>
      </c>
    </row>
    <row r="1562" customFormat="false" ht="15.75" hidden="false" customHeight="true" outlineLevel="0" collapsed="false">
      <c r="A1562" s="30" t="n">
        <v>45444</v>
      </c>
      <c r="B1562" s="31" t="s">
        <v>153</v>
      </c>
      <c r="C1562" s="32"/>
      <c r="D1562" s="32"/>
      <c r="E1562" s="19" t="n">
        <f aca="false">+F1562*0.03</f>
        <v>0</v>
      </c>
      <c r="F1562" s="33" t="n">
        <v>0</v>
      </c>
      <c r="G1562" s="62"/>
      <c r="H1562" s="35" t="n">
        <v>0</v>
      </c>
      <c r="I1562" s="34" t="n">
        <f aca="false">+IF(E1562=0,0,E1562*0.03)</f>
        <v>0</v>
      </c>
    </row>
    <row r="1563" customFormat="false" ht="15.75" hidden="false" customHeight="true" outlineLevel="0" collapsed="false">
      <c r="A1563" s="30" t="n">
        <v>45444</v>
      </c>
      <c r="B1563" s="31" t="s">
        <v>153</v>
      </c>
      <c r="C1563" s="32"/>
      <c r="D1563" s="32"/>
      <c r="E1563" s="19" t="n">
        <f aca="false">+F1563*0.03</f>
        <v>0</v>
      </c>
      <c r="F1563" s="33" t="n">
        <v>0</v>
      </c>
      <c r="G1563" s="62"/>
      <c r="H1563" s="35" t="n">
        <v>0</v>
      </c>
      <c r="I1563" s="34" t="n">
        <f aca="false">+IF(E1563=0,0,E1563*0.03)</f>
        <v>0</v>
      </c>
    </row>
    <row r="1564" customFormat="false" ht="15.75" hidden="false" customHeight="true" outlineLevel="0" collapsed="false">
      <c r="A1564" s="30" t="n">
        <v>45444</v>
      </c>
      <c r="B1564" s="31" t="s">
        <v>153</v>
      </c>
      <c r="C1564" s="32"/>
      <c r="D1564" s="32"/>
      <c r="E1564" s="19" t="n">
        <f aca="false">+F1564*0.03</f>
        <v>0</v>
      </c>
      <c r="F1564" s="33" t="n">
        <v>0</v>
      </c>
      <c r="G1564" s="62"/>
      <c r="H1564" s="35" t="n">
        <v>0</v>
      </c>
      <c r="I1564" s="34" t="n">
        <f aca="false">+IF(E1564=0,0,E1564*0.03)</f>
        <v>0</v>
      </c>
    </row>
    <row r="1565" customFormat="false" ht="15.75" hidden="false" customHeight="true" outlineLevel="0" collapsed="false">
      <c r="A1565" s="30" t="n">
        <v>45444</v>
      </c>
      <c r="B1565" s="31" t="s">
        <v>153</v>
      </c>
      <c r="C1565" s="32"/>
      <c r="D1565" s="32"/>
      <c r="E1565" s="19" t="n">
        <f aca="false">+F1565*0.03</f>
        <v>0</v>
      </c>
      <c r="F1565" s="33" t="n">
        <v>0</v>
      </c>
      <c r="G1565" s="62"/>
      <c r="H1565" s="35" t="n">
        <v>0</v>
      </c>
      <c r="I1565" s="34" t="n">
        <f aca="false">+IF(E1565=0,0,E1565*0.03)</f>
        <v>0</v>
      </c>
    </row>
    <row r="1566" customFormat="false" ht="15.75" hidden="false" customHeight="true" outlineLevel="0" collapsed="false">
      <c r="A1566" s="30" t="n">
        <v>45444</v>
      </c>
      <c r="B1566" s="31" t="s">
        <v>153</v>
      </c>
      <c r="C1566" s="32"/>
      <c r="D1566" s="32"/>
      <c r="E1566" s="19" t="n">
        <f aca="false">+F1566*0.03</f>
        <v>0</v>
      </c>
      <c r="F1566" s="33" t="n">
        <v>0</v>
      </c>
      <c r="G1566" s="62"/>
      <c r="H1566" s="35" t="n">
        <v>0</v>
      </c>
      <c r="I1566" s="34" t="n">
        <f aca="false">+IF(E1566=0,0,E1566*0.03)</f>
        <v>0</v>
      </c>
    </row>
    <row r="1567" customFormat="false" ht="15.75" hidden="false" customHeight="true" outlineLevel="0" collapsed="false">
      <c r="A1567" s="30" t="n">
        <v>45444</v>
      </c>
      <c r="B1567" s="31" t="s">
        <v>153</v>
      </c>
      <c r="C1567" s="32"/>
      <c r="D1567" s="32"/>
      <c r="E1567" s="19" t="n">
        <f aca="false">+F1567*0.03</f>
        <v>0</v>
      </c>
      <c r="F1567" s="33" t="n">
        <v>0</v>
      </c>
      <c r="G1567" s="62"/>
      <c r="H1567" s="35" t="n">
        <v>0</v>
      </c>
      <c r="I1567" s="34" t="n">
        <f aca="false">+IF(E1567=0,0,E1567*0.03)</f>
        <v>0</v>
      </c>
    </row>
    <row r="1568" customFormat="false" ht="15.75" hidden="false" customHeight="true" outlineLevel="0" collapsed="false">
      <c r="A1568" s="30" t="n">
        <v>45444</v>
      </c>
      <c r="B1568" s="31" t="s">
        <v>153</v>
      </c>
      <c r="C1568" s="32"/>
      <c r="D1568" s="32"/>
      <c r="E1568" s="19" t="n">
        <f aca="false">+F1568*0.03</f>
        <v>0</v>
      </c>
      <c r="F1568" s="33" t="n">
        <v>0</v>
      </c>
      <c r="G1568" s="62"/>
      <c r="H1568" s="35" t="n">
        <v>0</v>
      </c>
      <c r="I1568" s="34" t="n">
        <f aca="false">+IF(E1568=0,0,E1568*0.03)</f>
        <v>0</v>
      </c>
    </row>
    <row r="1569" customFormat="false" ht="15.75" hidden="false" customHeight="true" outlineLevel="0" collapsed="false">
      <c r="A1569" s="30" t="n">
        <v>45444</v>
      </c>
      <c r="B1569" s="31" t="s">
        <v>153</v>
      </c>
      <c r="C1569" s="32"/>
      <c r="D1569" s="32"/>
      <c r="E1569" s="19" t="n">
        <f aca="false">+F1569*0.03</f>
        <v>0</v>
      </c>
      <c r="F1569" s="33" t="n">
        <v>0</v>
      </c>
      <c r="G1569" s="62"/>
      <c r="H1569" s="35" t="n">
        <v>0</v>
      </c>
      <c r="I1569" s="34" t="n">
        <f aca="false">+IF(E1569=0,0,E1569*0.03)</f>
        <v>0</v>
      </c>
    </row>
    <row r="1570" customFormat="false" ht="15.75" hidden="false" customHeight="true" outlineLevel="0" collapsed="false">
      <c r="A1570" s="30" t="n">
        <v>45444</v>
      </c>
      <c r="B1570" s="31" t="s">
        <v>153</v>
      </c>
      <c r="C1570" s="32"/>
      <c r="D1570" s="32"/>
      <c r="E1570" s="19" t="n">
        <f aca="false">+F1570*0.03</f>
        <v>0</v>
      </c>
      <c r="F1570" s="33" t="n">
        <v>0</v>
      </c>
      <c r="G1570" s="62"/>
      <c r="H1570" s="35" t="n">
        <v>0</v>
      </c>
      <c r="I1570" s="34" t="n">
        <f aca="false">+IF(E1570=0,0,E1570*0.03)</f>
        <v>0</v>
      </c>
    </row>
    <row r="1571" customFormat="false" ht="15.75" hidden="false" customHeight="true" outlineLevel="0" collapsed="false">
      <c r="A1571" s="30" t="n">
        <v>45444</v>
      </c>
      <c r="B1571" s="31" t="s">
        <v>153</v>
      </c>
      <c r="C1571" s="32"/>
      <c r="D1571" s="32"/>
      <c r="E1571" s="19" t="n">
        <f aca="false">+F1571*0.03</f>
        <v>0</v>
      </c>
      <c r="F1571" s="33" t="n">
        <v>0</v>
      </c>
      <c r="G1571" s="62"/>
      <c r="H1571" s="35" t="n">
        <v>0</v>
      </c>
      <c r="I1571" s="34" t="n">
        <f aca="false">+IF(E1571=0,0,E1571*0.03)</f>
        <v>0</v>
      </c>
    </row>
    <row r="1572" customFormat="false" ht="15.75" hidden="false" customHeight="true" outlineLevel="0" collapsed="false">
      <c r="A1572" s="30" t="n">
        <v>45444</v>
      </c>
      <c r="B1572" s="31" t="s">
        <v>153</v>
      </c>
      <c r="C1572" s="32"/>
      <c r="D1572" s="32"/>
      <c r="E1572" s="19" t="n">
        <f aca="false">+F1572*0.03</f>
        <v>0</v>
      </c>
      <c r="F1572" s="33" t="n">
        <v>0</v>
      </c>
      <c r="G1572" s="62"/>
      <c r="H1572" s="35" t="n">
        <v>0</v>
      </c>
      <c r="I1572" s="34" t="n">
        <f aca="false">+IF(E1572=0,0,E1572*0.03)</f>
        <v>0</v>
      </c>
    </row>
    <row r="1573" customFormat="false" ht="15.75" hidden="false" customHeight="true" outlineLevel="0" collapsed="false">
      <c r="A1573" s="30" t="n">
        <v>45444</v>
      </c>
      <c r="B1573" s="31" t="s">
        <v>153</v>
      </c>
      <c r="C1573" s="32"/>
      <c r="D1573" s="32"/>
      <c r="E1573" s="19" t="n">
        <f aca="false">+F1573*0.03</f>
        <v>0</v>
      </c>
      <c r="F1573" s="33" t="n">
        <v>0</v>
      </c>
      <c r="G1573" s="62"/>
      <c r="H1573" s="35" t="n">
        <v>0</v>
      </c>
      <c r="I1573" s="34" t="n">
        <f aca="false">+IF(E1573=0,0,E1573*0.03)</f>
        <v>0</v>
      </c>
    </row>
    <row r="1574" customFormat="false" ht="15.75" hidden="false" customHeight="true" outlineLevel="0" collapsed="false">
      <c r="A1574" s="30" t="n">
        <v>45444</v>
      </c>
      <c r="B1574" s="31" t="s">
        <v>153</v>
      </c>
      <c r="C1574" s="32"/>
      <c r="D1574" s="32"/>
      <c r="E1574" s="19" t="n">
        <f aca="false">+F1574*0.03</f>
        <v>0</v>
      </c>
      <c r="F1574" s="33" t="n">
        <v>0</v>
      </c>
      <c r="G1574" s="62"/>
      <c r="H1574" s="35" t="n">
        <v>0</v>
      </c>
      <c r="I1574" s="34" t="n">
        <f aca="false">+IF(E1574=0,0,E1574*0.03)</f>
        <v>0</v>
      </c>
    </row>
    <row r="1575" customFormat="false" ht="15.75" hidden="false" customHeight="true" outlineLevel="0" collapsed="false">
      <c r="A1575" s="30" t="n">
        <v>45444</v>
      </c>
      <c r="B1575" s="31" t="s">
        <v>153</v>
      </c>
      <c r="C1575" s="32"/>
      <c r="D1575" s="32"/>
      <c r="E1575" s="19" t="n">
        <f aca="false">+F1575*0.03</f>
        <v>0</v>
      </c>
      <c r="F1575" s="33" t="n">
        <v>0</v>
      </c>
      <c r="G1575" s="62"/>
      <c r="H1575" s="35" t="n">
        <v>0</v>
      </c>
      <c r="I1575" s="34" t="n">
        <f aca="false">+IF(E1575=0,0,E1575*0.03)</f>
        <v>0</v>
      </c>
    </row>
    <row r="1576" customFormat="false" ht="15.75" hidden="false" customHeight="true" outlineLevel="0" collapsed="false">
      <c r="A1576" s="30" t="n">
        <v>45444</v>
      </c>
      <c r="B1576" s="31" t="s">
        <v>153</v>
      </c>
      <c r="C1576" s="32"/>
      <c r="D1576" s="32"/>
      <c r="E1576" s="19" t="n">
        <f aca="false">+F1576*0.03</f>
        <v>0</v>
      </c>
      <c r="F1576" s="33" t="n">
        <v>0</v>
      </c>
      <c r="G1576" s="62"/>
      <c r="H1576" s="35" t="n">
        <v>0</v>
      </c>
      <c r="I1576" s="34" t="n">
        <f aca="false">+IF(E1576=0,0,E1576*0.03)</f>
        <v>0</v>
      </c>
    </row>
    <row r="1577" customFormat="false" ht="15.75" hidden="false" customHeight="true" outlineLevel="0" collapsed="false">
      <c r="A1577" s="30" t="n">
        <v>45444</v>
      </c>
      <c r="B1577" s="31" t="s">
        <v>153</v>
      </c>
      <c r="C1577" s="32"/>
      <c r="D1577" s="32"/>
      <c r="E1577" s="19" t="n">
        <f aca="false">+F1577*0.03</f>
        <v>0</v>
      </c>
      <c r="F1577" s="33" t="n">
        <v>0</v>
      </c>
      <c r="G1577" s="62"/>
      <c r="H1577" s="35" t="n">
        <v>0</v>
      </c>
      <c r="I1577" s="34" t="n">
        <f aca="false">+IF(E1577=0,0,E1577*0.03)</f>
        <v>0</v>
      </c>
    </row>
    <row r="1578" customFormat="false" ht="15.75" hidden="false" customHeight="true" outlineLevel="0" collapsed="false">
      <c r="A1578" s="30" t="n">
        <v>45444</v>
      </c>
      <c r="B1578" s="31" t="s">
        <v>153</v>
      </c>
      <c r="C1578" s="32"/>
      <c r="D1578" s="32"/>
      <c r="E1578" s="19" t="n">
        <f aca="false">+F1578*0.03</f>
        <v>0</v>
      </c>
      <c r="F1578" s="33" t="n">
        <v>0</v>
      </c>
      <c r="G1578" s="62"/>
      <c r="H1578" s="35" t="n">
        <v>0</v>
      </c>
      <c r="I1578" s="34" t="n">
        <f aca="false">+IF(E1578=0,0,E1578*0.03)</f>
        <v>0</v>
      </c>
    </row>
    <row r="1579" customFormat="false" ht="15.75" hidden="false" customHeight="true" outlineLevel="0" collapsed="false">
      <c r="A1579" s="30" t="n">
        <v>45444</v>
      </c>
      <c r="B1579" s="31" t="s">
        <v>153</v>
      </c>
      <c r="C1579" s="32"/>
      <c r="D1579" s="32"/>
      <c r="E1579" s="19" t="n">
        <f aca="false">+F1579*0.03</f>
        <v>0</v>
      </c>
      <c r="F1579" s="33" t="n">
        <v>0</v>
      </c>
      <c r="G1579" s="62"/>
      <c r="H1579" s="35" t="n">
        <v>0</v>
      </c>
      <c r="I1579" s="34" t="n">
        <f aca="false">+IF(E1579=0,0,E1579*0.03)</f>
        <v>0</v>
      </c>
    </row>
    <row r="1580" customFormat="false" ht="15.75" hidden="false" customHeight="true" outlineLevel="0" collapsed="false">
      <c r="A1580" s="30" t="n">
        <v>45444</v>
      </c>
      <c r="B1580" s="31" t="s">
        <v>153</v>
      </c>
      <c r="C1580" s="32"/>
      <c r="D1580" s="32"/>
      <c r="E1580" s="19" t="n">
        <f aca="false">+F1580*0.03</f>
        <v>0</v>
      </c>
      <c r="F1580" s="33" t="n">
        <v>0</v>
      </c>
      <c r="G1580" s="62"/>
      <c r="H1580" s="35" t="n">
        <v>0</v>
      </c>
      <c r="I1580" s="34" t="n">
        <f aca="false">+IF(E1580=0,0,E1580*0.03)</f>
        <v>0</v>
      </c>
    </row>
    <row r="1581" customFormat="false" ht="15.75" hidden="false" customHeight="true" outlineLevel="0" collapsed="false">
      <c r="A1581" s="30" t="n">
        <v>45444</v>
      </c>
      <c r="B1581" s="31" t="s">
        <v>153</v>
      </c>
      <c r="C1581" s="32"/>
      <c r="D1581" s="32"/>
      <c r="E1581" s="19" t="n">
        <f aca="false">+F1581*0.03</f>
        <v>0</v>
      </c>
      <c r="F1581" s="33" t="n">
        <v>0</v>
      </c>
      <c r="G1581" s="62"/>
      <c r="H1581" s="35" t="n">
        <v>0</v>
      </c>
      <c r="I1581" s="34" t="n">
        <f aca="false">+IF(E1581=0,0,E1581*0.03)</f>
        <v>0</v>
      </c>
    </row>
    <row r="1582" customFormat="false" ht="15.75" hidden="false" customHeight="true" outlineLevel="0" collapsed="false">
      <c r="A1582" s="30" t="n">
        <v>45444</v>
      </c>
      <c r="B1582" s="31" t="s">
        <v>153</v>
      </c>
      <c r="C1582" s="32"/>
      <c r="D1582" s="32"/>
      <c r="E1582" s="19" t="n">
        <f aca="false">+F1582*0.03</f>
        <v>0</v>
      </c>
      <c r="F1582" s="33" t="n">
        <v>0</v>
      </c>
      <c r="G1582" s="62"/>
      <c r="H1582" s="35" t="n">
        <v>0</v>
      </c>
      <c r="I1582" s="34" t="n">
        <f aca="false">+IF(E1582=0,0,E1582*0.03)</f>
        <v>0</v>
      </c>
    </row>
    <row r="1583" customFormat="false" ht="15.75" hidden="false" customHeight="true" outlineLevel="0" collapsed="false">
      <c r="A1583" s="30" t="n">
        <v>45444</v>
      </c>
      <c r="B1583" s="31" t="s">
        <v>153</v>
      </c>
      <c r="C1583" s="32"/>
      <c r="D1583" s="32"/>
      <c r="E1583" s="19" t="n">
        <f aca="false">+F1583*0.03</f>
        <v>0</v>
      </c>
      <c r="F1583" s="33" t="n">
        <v>0</v>
      </c>
      <c r="G1583" s="62"/>
      <c r="H1583" s="35" t="n">
        <v>0</v>
      </c>
      <c r="I1583" s="34" t="n">
        <f aca="false">+IF(E1583=0,0,E1583*0.03)</f>
        <v>0</v>
      </c>
    </row>
    <row r="1584" customFormat="false" ht="15.75" hidden="false" customHeight="true" outlineLevel="0" collapsed="false">
      <c r="A1584" s="30" t="n">
        <v>45444</v>
      </c>
      <c r="B1584" s="31" t="s">
        <v>153</v>
      </c>
      <c r="C1584" s="32"/>
      <c r="D1584" s="32"/>
      <c r="E1584" s="19" t="n">
        <f aca="false">+F1584*0.03</f>
        <v>0</v>
      </c>
      <c r="F1584" s="33" t="n">
        <v>0</v>
      </c>
      <c r="G1584" s="62"/>
      <c r="H1584" s="35" t="n">
        <v>0</v>
      </c>
      <c r="I1584" s="34" t="n">
        <f aca="false">+IF(E1584=0,0,E1584*0.03)</f>
        <v>0</v>
      </c>
    </row>
    <row r="1585" customFormat="false" ht="15.75" hidden="false" customHeight="true" outlineLevel="0" collapsed="false">
      <c r="A1585" s="30" t="n">
        <v>45444</v>
      </c>
      <c r="B1585" s="31" t="s">
        <v>153</v>
      </c>
      <c r="C1585" s="32"/>
      <c r="D1585" s="32"/>
      <c r="E1585" s="19" t="n">
        <f aca="false">+F1585*0.03</f>
        <v>0</v>
      </c>
      <c r="F1585" s="33" t="n">
        <v>0</v>
      </c>
      <c r="G1585" s="62"/>
      <c r="H1585" s="35" t="n">
        <v>0</v>
      </c>
      <c r="I1585" s="34" t="n">
        <f aca="false">+IF(E1585=0,0,E1585*0.03)</f>
        <v>0</v>
      </c>
    </row>
    <row r="1586" customFormat="false" ht="15.75" hidden="false" customHeight="true" outlineLevel="0" collapsed="false">
      <c r="A1586" s="30" t="n">
        <v>45444</v>
      </c>
      <c r="B1586" s="31" t="s">
        <v>153</v>
      </c>
      <c r="C1586" s="32"/>
      <c r="D1586" s="32"/>
      <c r="E1586" s="19" t="n">
        <f aca="false">+F1586*0.03</f>
        <v>0</v>
      </c>
      <c r="F1586" s="33" t="n">
        <v>0</v>
      </c>
      <c r="G1586" s="62"/>
      <c r="H1586" s="35" t="n">
        <v>0</v>
      </c>
      <c r="I1586" s="34" t="n">
        <f aca="false">+IF(E1586=0,0,E1586*0.03)</f>
        <v>0</v>
      </c>
    </row>
    <row r="1587" customFormat="false" ht="15.75" hidden="false" customHeight="true" outlineLevel="0" collapsed="false">
      <c r="A1587" s="30" t="n">
        <v>45444</v>
      </c>
      <c r="B1587" s="31" t="s">
        <v>153</v>
      </c>
      <c r="C1587" s="32"/>
      <c r="D1587" s="32"/>
      <c r="E1587" s="19" t="n">
        <f aca="false">+F1587*0.03</f>
        <v>0</v>
      </c>
      <c r="F1587" s="33" t="n">
        <v>0</v>
      </c>
      <c r="G1587" s="62"/>
      <c r="H1587" s="35" t="n">
        <v>0</v>
      </c>
      <c r="I1587" s="34" t="n">
        <f aca="false">+IF(E1587=0,0,E1587*0.03)</f>
        <v>0</v>
      </c>
    </row>
    <row r="1588" customFormat="false" ht="15.75" hidden="false" customHeight="true" outlineLevel="0" collapsed="false">
      <c r="A1588" s="30" t="n">
        <v>45444</v>
      </c>
      <c r="B1588" s="31" t="s">
        <v>153</v>
      </c>
      <c r="C1588" s="32"/>
      <c r="D1588" s="32"/>
      <c r="E1588" s="19" t="n">
        <f aca="false">+F1588*0.03</f>
        <v>0</v>
      </c>
      <c r="F1588" s="33" t="n">
        <v>0</v>
      </c>
      <c r="G1588" s="62"/>
      <c r="H1588" s="35" t="n">
        <v>0</v>
      </c>
      <c r="I1588" s="34" t="n">
        <f aca="false">+IF(E1588=0,0,E1588*0.03)</f>
        <v>0</v>
      </c>
    </row>
    <row r="1589" customFormat="false" ht="15.75" hidden="false" customHeight="true" outlineLevel="0" collapsed="false">
      <c r="A1589" s="30" t="n">
        <v>45444</v>
      </c>
      <c r="B1589" s="31" t="s">
        <v>153</v>
      </c>
      <c r="C1589" s="32"/>
      <c r="D1589" s="32"/>
      <c r="E1589" s="19" t="n">
        <f aca="false">+F1589*0.03</f>
        <v>0</v>
      </c>
      <c r="F1589" s="33" t="n">
        <v>0</v>
      </c>
      <c r="G1589" s="62"/>
      <c r="H1589" s="35" t="n">
        <v>0</v>
      </c>
      <c r="I1589" s="34" t="n">
        <f aca="false">+IF(E1589=0,0,E1589*0.03)</f>
        <v>0</v>
      </c>
    </row>
    <row r="1590" customFormat="false" ht="15.75" hidden="false" customHeight="true" outlineLevel="0" collapsed="false">
      <c r="A1590" s="30" t="n">
        <v>45444</v>
      </c>
      <c r="B1590" s="31" t="s">
        <v>153</v>
      </c>
      <c r="C1590" s="32"/>
      <c r="D1590" s="32"/>
      <c r="E1590" s="19" t="n">
        <f aca="false">+F1590*0.03</f>
        <v>0</v>
      </c>
      <c r="F1590" s="33" t="n">
        <v>0</v>
      </c>
      <c r="G1590" s="62"/>
      <c r="H1590" s="35" t="n">
        <v>0</v>
      </c>
      <c r="I1590" s="34" t="n">
        <f aca="false">+IF(E1590=0,0,E1590*0.03)</f>
        <v>0</v>
      </c>
    </row>
    <row r="1591" customFormat="false" ht="15.75" hidden="false" customHeight="true" outlineLevel="0" collapsed="false">
      <c r="A1591" s="30" t="n">
        <v>45444</v>
      </c>
      <c r="B1591" s="31" t="s">
        <v>153</v>
      </c>
      <c r="C1591" s="32"/>
      <c r="D1591" s="32"/>
      <c r="E1591" s="19" t="n">
        <f aca="false">+F1591*0.03</f>
        <v>0</v>
      </c>
      <c r="F1591" s="33" t="n">
        <v>0</v>
      </c>
      <c r="G1591" s="62"/>
      <c r="H1591" s="35" t="n">
        <v>0</v>
      </c>
      <c r="I1591" s="34" t="n">
        <f aca="false">+IF(E1591=0,0,E1591*0.03)</f>
        <v>0</v>
      </c>
    </row>
    <row r="1592" customFormat="false" ht="15.75" hidden="false" customHeight="true" outlineLevel="0" collapsed="false">
      <c r="A1592" s="30" t="n">
        <v>45444</v>
      </c>
      <c r="B1592" s="31" t="s">
        <v>153</v>
      </c>
      <c r="C1592" s="32"/>
      <c r="D1592" s="32"/>
      <c r="E1592" s="19" t="n">
        <f aca="false">+F1592*0.03</f>
        <v>0</v>
      </c>
      <c r="F1592" s="33" t="n">
        <v>0</v>
      </c>
      <c r="G1592" s="62"/>
      <c r="H1592" s="35" t="n">
        <v>0</v>
      </c>
      <c r="I1592" s="34" t="n">
        <f aca="false">+IF(E1592=0,0,E1592*0.03)</f>
        <v>0</v>
      </c>
    </row>
    <row r="1593" customFormat="false" ht="15.75" hidden="false" customHeight="true" outlineLevel="0" collapsed="false">
      <c r="A1593" s="30" t="n">
        <v>45444</v>
      </c>
      <c r="B1593" s="31" t="s">
        <v>153</v>
      </c>
      <c r="C1593" s="32"/>
      <c r="D1593" s="32"/>
      <c r="E1593" s="19" t="n">
        <f aca="false">+F1593*0.03</f>
        <v>0</v>
      </c>
      <c r="F1593" s="33" t="n">
        <v>0</v>
      </c>
      <c r="G1593" s="62"/>
      <c r="H1593" s="35" t="n">
        <v>0</v>
      </c>
      <c r="I1593" s="34" t="n">
        <f aca="false">+IF(E1593=0,0,E1593*0.03)</f>
        <v>0</v>
      </c>
    </row>
    <row r="1594" customFormat="false" ht="15.75" hidden="false" customHeight="true" outlineLevel="0" collapsed="false">
      <c r="A1594" s="30" t="n">
        <v>45444</v>
      </c>
      <c r="B1594" s="31" t="s">
        <v>153</v>
      </c>
      <c r="C1594" s="32"/>
      <c r="D1594" s="32"/>
      <c r="E1594" s="19" t="n">
        <f aca="false">+F1594*0.03</f>
        <v>0</v>
      </c>
      <c r="F1594" s="33" t="n">
        <v>0</v>
      </c>
      <c r="G1594" s="62"/>
      <c r="H1594" s="35" t="n">
        <v>0</v>
      </c>
      <c r="I1594" s="34" t="n">
        <f aca="false">+IF(E1594=0,0,E1594*0.03)</f>
        <v>0</v>
      </c>
    </row>
    <row r="1595" customFormat="false" ht="15.75" hidden="false" customHeight="true" outlineLevel="0" collapsed="false">
      <c r="A1595" s="30" t="n">
        <v>45444</v>
      </c>
      <c r="B1595" s="31" t="s">
        <v>153</v>
      </c>
      <c r="C1595" s="32"/>
      <c r="D1595" s="32"/>
      <c r="E1595" s="19" t="n">
        <f aca="false">+F1595*0.03</f>
        <v>0</v>
      </c>
      <c r="F1595" s="33" t="n">
        <v>0</v>
      </c>
      <c r="G1595" s="62"/>
      <c r="H1595" s="35" t="n">
        <v>0</v>
      </c>
      <c r="I1595" s="34" t="n">
        <f aca="false">+IF(E1595=0,0,E1595*0.03)</f>
        <v>0</v>
      </c>
    </row>
    <row r="1596" customFormat="false" ht="15.75" hidden="false" customHeight="true" outlineLevel="0" collapsed="false">
      <c r="A1596" s="30" t="n">
        <v>45444</v>
      </c>
      <c r="B1596" s="31" t="s">
        <v>153</v>
      </c>
      <c r="C1596" s="32"/>
      <c r="D1596" s="32"/>
      <c r="E1596" s="19" t="n">
        <f aca="false">+F1596*0.03</f>
        <v>0</v>
      </c>
      <c r="F1596" s="33" t="n">
        <v>0</v>
      </c>
      <c r="G1596" s="62"/>
      <c r="H1596" s="35" t="n">
        <v>0</v>
      </c>
      <c r="I1596" s="34" t="n">
        <f aca="false">+IF(E1596=0,0,E1596*0.03)</f>
        <v>0</v>
      </c>
    </row>
    <row r="1597" customFormat="false" ht="15.75" hidden="false" customHeight="true" outlineLevel="0" collapsed="false">
      <c r="A1597" s="30" t="n">
        <v>45444</v>
      </c>
      <c r="B1597" s="31" t="s">
        <v>153</v>
      </c>
      <c r="C1597" s="32"/>
      <c r="D1597" s="32"/>
      <c r="E1597" s="19" t="n">
        <f aca="false">+F1597*0.03</f>
        <v>0</v>
      </c>
      <c r="F1597" s="33" t="n">
        <v>0</v>
      </c>
      <c r="G1597" s="62"/>
      <c r="H1597" s="35" t="n">
        <v>0</v>
      </c>
      <c r="I1597" s="34" t="n">
        <f aca="false">+IF(E1597=0,0,E1597*0.03)</f>
        <v>0</v>
      </c>
    </row>
    <row r="1598" customFormat="false" ht="15.75" hidden="false" customHeight="true" outlineLevel="0" collapsed="false">
      <c r="A1598" s="30" t="n">
        <v>45444</v>
      </c>
      <c r="B1598" s="31" t="s">
        <v>153</v>
      </c>
      <c r="C1598" s="32"/>
      <c r="D1598" s="32"/>
      <c r="E1598" s="19" t="n">
        <f aca="false">+F1598*0.03</f>
        <v>0</v>
      </c>
      <c r="F1598" s="33" t="n">
        <v>0</v>
      </c>
      <c r="G1598" s="62"/>
      <c r="H1598" s="35" t="n">
        <v>0</v>
      </c>
      <c r="I1598" s="34" t="n">
        <f aca="false">+IF(E1598=0,0,E1598*0.03)</f>
        <v>0</v>
      </c>
    </row>
    <row r="1599" customFormat="false" ht="15.75" hidden="false" customHeight="true" outlineLevel="0" collapsed="false">
      <c r="A1599" s="30" t="n">
        <v>45444</v>
      </c>
      <c r="B1599" s="31" t="s">
        <v>153</v>
      </c>
      <c r="C1599" s="32"/>
      <c r="D1599" s="32"/>
      <c r="E1599" s="19" t="n">
        <f aca="false">+F1599*0.03</f>
        <v>0</v>
      </c>
      <c r="F1599" s="33" t="n">
        <v>0</v>
      </c>
      <c r="G1599" s="62"/>
      <c r="H1599" s="35" t="n">
        <v>0</v>
      </c>
      <c r="I1599" s="34" t="n">
        <f aca="false">+IF(E1599=0,0,E1599*0.03)</f>
        <v>0</v>
      </c>
    </row>
    <row r="1600" customFormat="false" ht="15.75" hidden="false" customHeight="true" outlineLevel="0" collapsed="false">
      <c r="A1600" s="30" t="n">
        <v>45444</v>
      </c>
      <c r="B1600" s="31" t="s">
        <v>153</v>
      </c>
      <c r="C1600" s="32"/>
      <c r="D1600" s="32"/>
      <c r="E1600" s="19" t="n">
        <f aca="false">+F1600*0.03</f>
        <v>0</v>
      </c>
      <c r="F1600" s="33" t="n">
        <v>0</v>
      </c>
      <c r="G1600" s="62"/>
      <c r="H1600" s="35" t="n">
        <v>0</v>
      </c>
      <c r="I1600" s="34" t="n">
        <f aca="false">+IF(E1600=0,0,E1600*0.03)</f>
        <v>0</v>
      </c>
    </row>
    <row r="1601" customFormat="false" ht="15.75" hidden="false" customHeight="true" outlineLevel="0" collapsed="false">
      <c r="A1601" s="30" t="n">
        <v>45444</v>
      </c>
      <c r="B1601" s="31" t="s">
        <v>153</v>
      </c>
      <c r="C1601" s="32"/>
      <c r="D1601" s="32"/>
      <c r="E1601" s="19" t="n">
        <f aca="false">+F1601*0.03</f>
        <v>0</v>
      </c>
      <c r="F1601" s="33" t="n">
        <v>0</v>
      </c>
      <c r="G1601" s="62"/>
      <c r="H1601" s="35" t="n">
        <v>0</v>
      </c>
      <c r="I1601" s="34" t="n">
        <f aca="false">+IF(E1601=0,0,E1601*0.03)</f>
        <v>0</v>
      </c>
    </row>
    <row r="1602" customFormat="false" ht="15.75" hidden="false" customHeight="true" outlineLevel="0" collapsed="false">
      <c r="A1602" s="30" t="n">
        <v>45444</v>
      </c>
      <c r="B1602" s="31" t="s">
        <v>153</v>
      </c>
      <c r="C1602" s="32"/>
      <c r="D1602" s="32"/>
      <c r="E1602" s="19" t="n">
        <f aca="false">+F1602*0.03</f>
        <v>0</v>
      </c>
      <c r="F1602" s="33" t="n">
        <v>0</v>
      </c>
      <c r="G1602" s="62"/>
      <c r="H1602" s="35" t="n">
        <v>0</v>
      </c>
      <c r="I1602" s="34" t="n">
        <f aca="false">+IF(E1602=0,0,E1602*0.03)</f>
        <v>0</v>
      </c>
    </row>
    <row r="1603" customFormat="false" ht="15.75" hidden="false" customHeight="true" outlineLevel="0" collapsed="false">
      <c r="A1603" s="30" t="n">
        <v>45444</v>
      </c>
      <c r="B1603" s="31" t="s">
        <v>153</v>
      </c>
      <c r="C1603" s="32"/>
      <c r="D1603" s="32"/>
      <c r="E1603" s="19" t="n">
        <f aca="false">+F1603*0.03</f>
        <v>0</v>
      </c>
      <c r="F1603" s="33" t="n">
        <v>0</v>
      </c>
      <c r="G1603" s="62"/>
      <c r="H1603" s="35" t="n">
        <v>0</v>
      </c>
      <c r="I1603" s="34" t="n">
        <f aca="false">+IF(E1603=0,0,E1603*0.03)</f>
        <v>0</v>
      </c>
    </row>
    <row r="1604" customFormat="false" ht="15.75" hidden="false" customHeight="true" outlineLevel="0" collapsed="false">
      <c r="A1604" s="30" t="n">
        <v>45444</v>
      </c>
      <c r="B1604" s="31" t="s">
        <v>153</v>
      </c>
      <c r="C1604" s="32"/>
      <c r="D1604" s="32"/>
      <c r="E1604" s="19" t="n">
        <f aca="false">+F1604*0.03</f>
        <v>0</v>
      </c>
      <c r="F1604" s="33" t="n">
        <v>0</v>
      </c>
      <c r="G1604" s="62"/>
      <c r="H1604" s="35" t="n">
        <v>0</v>
      </c>
      <c r="I1604" s="34" t="n">
        <f aca="false">+IF(E1604=0,0,E1604*0.03)</f>
        <v>0</v>
      </c>
    </row>
    <row r="1605" customFormat="false" ht="15.75" hidden="false" customHeight="true" outlineLevel="0" collapsed="false">
      <c r="A1605" s="30" t="n">
        <v>45444</v>
      </c>
      <c r="B1605" s="31" t="s">
        <v>153</v>
      </c>
      <c r="C1605" s="32"/>
      <c r="D1605" s="32"/>
      <c r="E1605" s="19" t="n">
        <f aca="false">+F1605*0.03</f>
        <v>0</v>
      </c>
      <c r="F1605" s="33" t="n">
        <v>0</v>
      </c>
      <c r="G1605" s="62"/>
      <c r="H1605" s="35" t="n">
        <v>0</v>
      </c>
      <c r="I1605" s="34" t="n">
        <f aca="false">+IF(E1605=0,0,E1605*0.03)</f>
        <v>0</v>
      </c>
    </row>
    <row r="1606" customFormat="false" ht="15.75" hidden="false" customHeight="true" outlineLevel="0" collapsed="false">
      <c r="A1606" s="30" t="n">
        <v>45444</v>
      </c>
      <c r="B1606" s="31" t="s">
        <v>153</v>
      </c>
      <c r="C1606" s="32"/>
      <c r="D1606" s="32"/>
      <c r="E1606" s="19" t="n">
        <f aca="false">+F1606*0.03</f>
        <v>0</v>
      </c>
      <c r="F1606" s="33" t="n">
        <v>0</v>
      </c>
      <c r="G1606" s="62"/>
      <c r="H1606" s="35" t="n">
        <v>0</v>
      </c>
      <c r="I1606" s="34" t="n">
        <f aca="false">+IF(E1606=0,0,E1606*0.03)</f>
        <v>0</v>
      </c>
    </row>
    <row r="1607" customFormat="false" ht="15.75" hidden="false" customHeight="true" outlineLevel="0" collapsed="false">
      <c r="A1607" s="30" t="n">
        <v>45444</v>
      </c>
      <c r="B1607" s="31" t="s">
        <v>153</v>
      </c>
      <c r="C1607" s="32"/>
      <c r="D1607" s="32"/>
      <c r="E1607" s="19" t="n">
        <f aca="false">+F1607*0.03</f>
        <v>0</v>
      </c>
      <c r="F1607" s="33" t="n">
        <v>0</v>
      </c>
      <c r="G1607" s="62"/>
      <c r="H1607" s="35" t="n">
        <v>0</v>
      </c>
      <c r="I1607" s="34" t="n">
        <f aca="false">+IF(E1607=0,0,E1607*0.03)</f>
        <v>0</v>
      </c>
    </row>
    <row r="1608" customFormat="false" ht="15.75" hidden="false" customHeight="true" outlineLevel="0" collapsed="false">
      <c r="A1608" s="30" t="n">
        <v>45444</v>
      </c>
      <c r="B1608" s="31" t="s">
        <v>153</v>
      </c>
      <c r="C1608" s="32"/>
      <c r="D1608" s="32"/>
      <c r="E1608" s="19" t="n">
        <f aca="false">+F1608*0.03</f>
        <v>0</v>
      </c>
      <c r="F1608" s="33" t="n">
        <v>0</v>
      </c>
      <c r="G1608" s="62"/>
      <c r="H1608" s="35" t="n">
        <v>0</v>
      </c>
      <c r="I1608" s="34" t="n">
        <f aca="false">+IF(E1608=0,0,E1608*0.03)</f>
        <v>0</v>
      </c>
    </row>
    <row r="1609" customFormat="false" ht="15.75" hidden="false" customHeight="true" outlineLevel="0" collapsed="false">
      <c r="A1609" s="30" t="n">
        <v>45444</v>
      </c>
      <c r="B1609" s="31" t="s">
        <v>153</v>
      </c>
      <c r="C1609" s="32"/>
      <c r="D1609" s="32"/>
      <c r="E1609" s="19" t="n">
        <f aca="false">+F1609*0.03</f>
        <v>0</v>
      </c>
      <c r="F1609" s="33" t="n">
        <v>0</v>
      </c>
      <c r="G1609" s="62"/>
      <c r="H1609" s="35" t="n">
        <v>0</v>
      </c>
      <c r="I1609" s="34" t="n">
        <f aca="false">+IF(E1609=0,0,E1609*0.03)</f>
        <v>0</v>
      </c>
    </row>
    <row r="1610" customFormat="false" ht="15.75" hidden="false" customHeight="true" outlineLevel="0" collapsed="false">
      <c r="A1610" s="30" t="n">
        <v>45444</v>
      </c>
      <c r="B1610" s="31" t="s">
        <v>153</v>
      </c>
      <c r="C1610" s="32"/>
      <c r="D1610" s="32"/>
      <c r="E1610" s="19" t="n">
        <f aca="false">+F1610*0.03</f>
        <v>0</v>
      </c>
      <c r="F1610" s="33" t="n">
        <v>0</v>
      </c>
      <c r="G1610" s="62"/>
      <c r="H1610" s="35" t="n">
        <v>0</v>
      </c>
      <c r="I1610" s="34" t="n">
        <f aca="false">+IF(E1610=0,0,E1610*0.03)</f>
        <v>0</v>
      </c>
    </row>
    <row r="1611" customFormat="false" ht="15.75" hidden="false" customHeight="true" outlineLevel="0" collapsed="false">
      <c r="A1611" s="30" t="n">
        <v>45444</v>
      </c>
      <c r="B1611" s="31" t="s">
        <v>153</v>
      </c>
      <c r="C1611" s="32"/>
      <c r="D1611" s="32"/>
      <c r="E1611" s="19" t="n">
        <f aca="false">+F1611*0.03</f>
        <v>0</v>
      </c>
      <c r="F1611" s="33" t="n">
        <v>0</v>
      </c>
      <c r="G1611" s="62"/>
      <c r="H1611" s="35" t="n">
        <v>0</v>
      </c>
      <c r="I1611" s="34" t="n">
        <f aca="false">+IF(E1611=0,0,E1611*0.03)</f>
        <v>0</v>
      </c>
    </row>
    <row r="1612" customFormat="false" ht="15.75" hidden="false" customHeight="true" outlineLevel="0" collapsed="false">
      <c r="A1612" s="30" t="n">
        <v>45444</v>
      </c>
      <c r="B1612" s="31" t="s">
        <v>153</v>
      </c>
      <c r="C1612" s="32"/>
      <c r="D1612" s="32"/>
      <c r="E1612" s="19" t="n">
        <f aca="false">+F1612*0.03</f>
        <v>0</v>
      </c>
      <c r="F1612" s="33" t="n">
        <v>0</v>
      </c>
      <c r="G1612" s="62"/>
      <c r="H1612" s="35" t="n">
        <v>0</v>
      </c>
      <c r="I1612" s="34" t="n">
        <f aca="false">+IF(E1612=0,0,E1612*0.03)</f>
        <v>0</v>
      </c>
    </row>
    <row r="1613" customFormat="false" ht="15.75" hidden="false" customHeight="true" outlineLevel="0" collapsed="false">
      <c r="A1613" s="30" t="n">
        <v>45444</v>
      </c>
      <c r="B1613" s="31" t="s">
        <v>153</v>
      </c>
      <c r="C1613" s="32"/>
      <c r="D1613" s="32"/>
      <c r="E1613" s="19" t="n">
        <f aca="false">+F1613*0.03</f>
        <v>0</v>
      </c>
      <c r="F1613" s="33" t="n">
        <v>0</v>
      </c>
      <c r="G1613" s="62"/>
      <c r="H1613" s="35" t="n">
        <v>0</v>
      </c>
      <c r="I1613" s="34" t="n">
        <f aca="false">+IF(E1613=0,0,E1613*0.03)</f>
        <v>0</v>
      </c>
    </row>
    <row r="1614" customFormat="false" ht="15.75" hidden="false" customHeight="true" outlineLevel="0" collapsed="false">
      <c r="A1614" s="30" t="n">
        <v>45444</v>
      </c>
      <c r="B1614" s="31" t="s">
        <v>153</v>
      </c>
      <c r="C1614" s="32"/>
      <c r="D1614" s="32"/>
      <c r="E1614" s="19" t="n">
        <f aca="false">+F1614*0.03</f>
        <v>0</v>
      </c>
      <c r="F1614" s="33" t="n">
        <v>0</v>
      </c>
      <c r="G1614" s="62"/>
      <c r="H1614" s="35" t="n">
        <v>0</v>
      </c>
      <c r="I1614" s="34" t="n">
        <f aca="false">+IF(E1614=0,0,E1614*0.03)</f>
        <v>0</v>
      </c>
    </row>
    <row r="1615" customFormat="false" ht="15.75" hidden="false" customHeight="true" outlineLevel="0" collapsed="false">
      <c r="A1615" s="30" t="n">
        <v>45444</v>
      </c>
      <c r="B1615" s="31" t="s">
        <v>153</v>
      </c>
      <c r="C1615" s="32"/>
      <c r="D1615" s="32"/>
      <c r="E1615" s="19" t="n">
        <f aca="false">+F1615*0.03</f>
        <v>0</v>
      </c>
      <c r="F1615" s="33" t="n">
        <v>0</v>
      </c>
      <c r="G1615" s="62"/>
      <c r="H1615" s="35" t="n">
        <v>0</v>
      </c>
      <c r="I1615" s="34" t="n">
        <f aca="false">+IF(E1615=0,0,E1615*0.03)</f>
        <v>0</v>
      </c>
    </row>
    <row r="1616" customFormat="false" ht="15.75" hidden="false" customHeight="true" outlineLevel="0" collapsed="false">
      <c r="A1616" s="30" t="n">
        <v>45444</v>
      </c>
      <c r="B1616" s="31" t="s">
        <v>153</v>
      </c>
      <c r="C1616" s="32"/>
      <c r="D1616" s="32"/>
      <c r="E1616" s="19" t="n">
        <f aca="false">+F1616*0.03</f>
        <v>0</v>
      </c>
      <c r="F1616" s="33" t="n">
        <v>0</v>
      </c>
      <c r="G1616" s="62"/>
      <c r="H1616" s="35" t="n">
        <v>0</v>
      </c>
      <c r="I1616" s="34" t="n">
        <f aca="false">+IF(E1616=0,0,E1616*0.03)</f>
        <v>0</v>
      </c>
    </row>
    <row r="1617" customFormat="false" ht="15.75" hidden="false" customHeight="true" outlineLevel="0" collapsed="false">
      <c r="A1617" s="30" t="n">
        <v>45444</v>
      </c>
      <c r="B1617" s="31" t="s">
        <v>153</v>
      </c>
      <c r="C1617" s="32"/>
      <c r="D1617" s="32"/>
      <c r="E1617" s="19" t="n">
        <f aca="false">+F1617*0.03</f>
        <v>0</v>
      </c>
      <c r="F1617" s="33" t="n">
        <v>0</v>
      </c>
      <c r="G1617" s="62"/>
      <c r="H1617" s="35" t="n">
        <v>0</v>
      </c>
      <c r="I1617" s="34" t="n">
        <f aca="false">+IF(E1617=0,0,E1617*0.03)</f>
        <v>0</v>
      </c>
    </row>
    <row r="1618" customFormat="false" ht="15.75" hidden="false" customHeight="true" outlineLevel="0" collapsed="false">
      <c r="A1618" s="30" t="n">
        <v>45444</v>
      </c>
      <c r="B1618" s="31" t="s">
        <v>153</v>
      </c>
      <c r="C1618" s="32"/>
      <c r="D1618" s="32"/>
      <c r="E1618" s="19" t="n">
        <f aca="false">+F1618*0.03</f>
        <v>0</v>
      </c>
      <c r="F1618" s="33" t="n">
        <v>0</v>
      </c>
      <c r="G1618" s="62"/>
      <c r="H1618" s="35" t="n">
        <v>0</v>
      </c>
      <c r="I1618" s="34" t="n">
        <f aca="false">+IF(E1618=0,0,E1618*0.03)</f>
        <v>0</v>
      </c>
    </row>
    <row r="1619" customFormat="false" ht="15.75" hidden="false" customHeight="true" outlineLevel="0" collapsed="false">
      <c r="A1619" s="30" t="n">
        <v>45444</v>
      </c>
      <c r="B1619" s="31" t="s">
        <v>153</v>
      </c>
      <c r="C1619" s="32"/>
      <c r="D1619" s="32"/>
      <c r="E1619" s="19" t="n">
        <f aca="false">+F1619*0.03</f>
        <v>0</v>
      </c>
      <c r="F1619" s="33" t="n">
        <v>0</v>
      </c>
      <c r="G1619" s="62"/>
      <c r="H1619" s="35" t="n">
        <v>0</v>
      </c>
      <c r="I1619" s="34" t="n">
        <f aca="false">+IF(E1619=0,0,E1619*0.03)</f>
        <v>0</v>
      </c>
    </row>
    <row r="1620" customFormat="false" ht="15.75" hidden="false" customHeight="true" outlineLevel="0" collapsed="false">
      <c r="A1620" s="30" t="n">
        <v>45444</v>
      </c>
      <c r="B1620" s="31" t="s">
        <v>153</v>
      </c>
      <c r="C1620" s="32"/>
      <c r="D1620" s="32"/>
      <c r="E1620" s="19" t="n">
        <f aca="false">+F1620*0.03</f>
        <v>0</v>
      </c>
      <c r="F1620" s="33" t="n">
        <v>0</v>
      </c>
      <c r="G1620" s="62"/>
      <c r="H1620" s="35" t="n">
        <v>0</v>
      </c>
      <c r="I1620" s="34" t="n">
        <f aca="false">+IF(E1620=0,0,E1620*0.03)</f>
        <v>0</v>
      </c>
    </row>
    <row r="1621" customFormat="false" ht="15.75" hidden="false" customHeight="true" outlineLevel="0" collapsed="false">
      <c r="A1621" s="30" t="n">
        <v>45444</v>
      </c>
      <c r="B1621" s="31" t="s">
        <v>153</v>
      </c>
      <c r="C1621" s="32"/>
      <c r="D1621" s="32"/>
      <c r="E1621" s="19" t="n">
        <f aca="false">+F1621*0.03</f>
        <v>0</v>
      </c>
      <c r="F1621" s="33" t="n">
        <v>0</v>
      </c>
      <c r="G1621" s="62"/>
      <c r="H1621" s="35" t="n">
        <v>0</v>
      </c>
      <c r="I1621" s="34" t="n">
        <f aca="false">+IF(E1621=0,0,E1621*0.03)</f>
        <v>0</v>
      </c>
    </row>
    <row r="1622" customFormat="false" ht="15.75" hidden="false" customHeight="true" outlineLevel="0" collapsed="false">
      <c r="A1622" s="30" t="n">
        <v>45444</v>
      </c>
      <c r="B1622" s="31" t="s">
        <v>153</v>
      </c>
      <c r="C1622" s="32"/>
      <c r="D1622" s="32"/>
      <c r="E1622" s="19" t="n">
        <f aca="false">+F1622*0.03</f>
        <v>0</v>
      </c>
      <c r="F1622" s="33" t="n">
        <v>0</v>
      </c>
      <c r="G1622" s="62"/>
      <c r="H1622" s="35" t="n">
        <v>0</v>
      </c>
      <c r="I1622" s="34" t="n">
        <f aca="false">+IF(E1622=0,0,E1622*0.03)</f>
        <v>0</v>
      </c>
    </row>
    <row r="1623" customFormat="false" ht="15.75" hidden="false" customHeight="true" outlineLevel="0" collapsed="false">
      <c r="A1623" s="30" t="n">
        <v>45444</v>
      </c>
      <c r="B1623" s="31" t="s">
        <v>153</v>
      </c>
      <c r="C1623" s="32"/>
      <c r="D1623" s="32"/>
      <c r="E1623" s="19" t="n">
        <f aca="false">+F1623*0.03</f>
        <v>0</v>
      </c>
      <c r="F1623" s="33" t="n">
        <v>0</v>
      </c>
      <c r="G1623" s="62"/>
      <c r="H1623" s="35" t="n">
        <v>0</v>
      </c>
      <c r="I1623" s="34" t="n">
        <f aca="false">+IF(E1623=0,0,E1623*0.03)</f>
        <v>0</v>
      </c>
    </row>
    <row r="1624" customFormat="false" ht="15.75" hidden="false" customHeight="true" outlineLevel="0" collapsed="false">
      <c r="A1624" s="30" t="n">
        <v>45444</v>
      </c>
      <c r="B1624" s="31" t="s">
        <v>153</v>
      </c>
      <c r="C1624" s="32"/>
      <c r="D1624" s="32"/>
      <c r="E1624" s="19" t="n">
        <f aca="false">+F1624*0.03</f>
        <v>0</v>
      </c>
      <c r="F1624" s="33" t="n">
        <v>0</v>
      </c>
      <c r="G1624" s="62"/>
      <c r="H1624" s="35" t="n">
        <v>0</v>
      </c>
      <c r="I1624" s="34" t="n">
        <f aca="false">+IF(E1624=0,0,E1624*0.03)</f>
        <v>0</v>
      </c>
    </row>
    <row r="1625" customFormat="false" ht="15.75" hidden="false" customHeight="true" outlineLevel="0" collapsed="false">
      <c r="A1625" s="30" t="n">
        <v>45444</v>
      </c>
      <c r="B1625" s="31" t="s">
        <v>153</v>
      </c>
      <c r="C1625" s="32"/>
      <c r="D1625" s="32"/>
      <c r="E1625" s="19" t="n">
        <f aca="false">+F1625*0.03</f>
        <v>0</v>
      </c>
      <c r="F1625" s="33" t="n">
        <v>0</v>
      </c>
      <c r="G1625" s="62"/>
      <c r="H1625" s="35" t="n">
        <v>0</v>
      </c>
      <c r="I1625" s="34" t="n">
        <f aca="false">+IF(E1625=0,0,E1625*0.03)</f>
        <v>0</v>
      </c>
    </row>
    <row r="1626" customFormat="false" ht="15.75" hidden="false" customHeight="true" outlineLevel="0" collapsed="false">
      <c r="A1626" s="30" t="n">
        <v>45444</v>
      </c>
      <c r="B1626" s="31" t="s">
        <v>153</v>
      </c>
      <c r="C1626" s="32"/>
      <c r="D1626" s="32"/>
      <c r="E1626" s="19" t="n">
        <f aca="false">+F1626*0.03</f>
        <v>0</v>
      </c>
      <c r="F1626" s="33" t="n">
        <v>0</v>
      </c>
      <c r="G1626" s="62"/>
      <c r="H1626" s="35" t="n">
        <v>0</v>
      </c>
      <c r="I1626" s="34" t="n">
        <f aca="false">+IF(E1626=0,0,E1626*0.03)</f>
        <v>0</v>
      </c>
    </row>
    <row r="1627" customFormat="false" ht="15.75" hidden="false" customHeight="true" outlineLevel="0" collapsed="false">
      <c r="A1627" s="30" t="n">
        <v>45444</v>
      </c>
      <c r="B1627" s="31" t="s">
        <v>153</v>
      </c>
      <c r="C1627" s="32"/>
      <c r="D1627" s="32"/>
      <c r="E1627" s="19" t="n">
        <f aca="false">+F1627*0.03</f>
        <v>0</v>
      </c>
      <c r="F1627" s="33" t="n">
        <v>0</v>
      </c>
      <c r="G1627" s="62"/>
      <c r="H1627" s="35" t="n">
        <v>0</v>
      </c>
      <c r="I1627" s="34" t="n">
        <f aca="false">+IF(E1627=0,0,E1627*0.03)</f>
        <v>0</v>
      </c>
    </row>
    <row r="1628" customFormat="false" ht="15.75" hidden="false" customHeight="true" outlineLevel="0" collapsed="false">
      <c r="A1628" s="30" t="n">
        <v>45444</v>
      </c>
      <c r="B1628" s="31" t="s">
        <v>153</v>
      </c>
      <c r="C1628" s="32"/>
      <c r="D1628" s="32"/>
      <c r="E1628" s="19" t="n">
        <f aca="false">+F1628*0.03</f>
        <v>0</v>
      </c>
      <c r="F1628" s="33" t="n">
        <v>0</v>
      </c>
      <c r="G1628" s="62"/>
      <c r="H1628" s="35" t="n">
        <v>0</v>
      </c>
      <c r="I1628" s="34" t="n">
        <f aca="false">+IF(E1628=0,0,E1628*0.03)</f>
        <v>0</v>
      </c>
    </row>
    <row r="1629" customFormat="false" ht="15.75" hidden="false" customHeight="true" outlineLevel="0" collapsed="false">
      <c r="A1629" s="30" t="n">
        <v>45444</v>
      </c>
      <c r="B1629" s="31" t="s">
        <v>153</v>
      </c>
      <c r="C1629" s="32"/>
      <c r="D1629" s="32"/>
      <c r="E1629" s="19" t="n">
        <f aca="false">+F1629*0.03</f>
        <v>0</v>
      </c>
      <c r="F1629" s="33" t="n">
        <v>0</v>
      </c>
      <c r="G1629" s="62"/>
      <c r="H1629" s="35" t="n">
        <v>0</v>
      </c>
      <c r="I1629" s="34" t="n">
        <f aca="false">+IF(E1629=0,0,E1629*0.03)</f>
        <v>0</v>
      </c>
    </row>
    <row r="1630" customFormat="false" ht="15.75" hidden="false" customHeight="true" outlineLevel="0" collapsed="false">
      <c r="A1630" s="30" t="n">
        <v>45444</v>
      </c>
      <c r="B1630" s="31" t="s">
        <v>153</v>
      </c>
      <c r="C1630" s="32"/>
      <c r="D1630" s="32"/>
      <c r="E1630" s="19" t="n">
        <f aca="false">+F1630*0.03</f>
        <v>0</v>
      </c>
      <c r="F1630" s="33" t="n">
        <v>0</v>
      </c>
      <c r="G1630" s="62"/>
      <c r="H1630" s="35" t="n">
        <v>0</v>
      </c>
      <c r="I1630" s="34" t="n">
        <f aca="false">+IF(E1630=0,0,E1630*0.03)</f>
        <v>0</v>
      </c>
    </row>
    <row r="1631" customFormat="false" ht="15.75" hidden="false" customHeight="true" outlineLevel="0" collapsed="false">
      <c r="A1631" s="30" t="n">
        <v>45444</v>
      </c>
      <c r="B1631" s="31" t="s">
        <v>153</v>
      </c>
      <c r="C1631" s="32"/>
      <c r="D1631" s="32"/>
      <c r="E1631" s="19" t="n">
        <f aca="false">+F1631*0.03</f>
        <v>0</v>
      </c>
      <c r="F1631" s="33" t="n">
        <v>0</v>
      </c>
      <c r="G1631" s="62"/>
      <c r="H1631" s="35" t="n">
        <v>0</v>
      </c>
      <c r="I1631" s="34" t="n">
        <f aca="false">+IF(E1631=0,0,E1631*0.03)</f>
        <v>0</v>
      </c>
    </row>
    <row r="1632" customFormat="false" ht="15.75" hidden="false" customHeight="true" outlineLevel="0" collapsed="false">
      <c r="A1632" s="30" t="n">
        <v>45444</v>
      </c>
      <c r="B1632" s="31" t="s">
        <v>153</v>
      </c>
      <c r="C1632" s="32"/>
      <c r="D1632" s="32"/>
      <c r="E1632" s="19" t="n">
        <f aca="false">+F1632*0.03</f>
        <v>0</v>
      </c>
      <c r="F1632" s="33" t="n">
        <v>0</v>
      </c>
      <c r="G1632" s="62"/>
      <c r="H1632" s="35" t="n">
        <v>0</v>
      </c>
      <c r="I1632" s="34" t="n">
        <f aca="false">+IF(E1632=0,0,E1632*0.03)</f>
        <v>0</v>
      </c>
    </row>
    <row r="1633" customFormat="false" ht="15.75" hidden="false" customHeight="true" outlineLevel="0" collapsed="false">
      <c r="A1633" s="30" t="n">
        <v>45444</v>
      </c>
      <c r="B1633" s="31" t="s">
        <v>153</v>
      </c>
      <c r="C1633" s="32"/>
      <c r="D1633" s="32"/>
      <c r="E1633" s="19" t="n">
        <f aca="false">+F1633*0.03</f>
        <v>0</v>
      </c>
      <c r="F1633" s="33" t="n">
        <v>0</v>
      </c>
      <c r="G1633" s="62"/>
      <c r="H1633" s="35" t="n">
        <v>0</v>
      </c>
      <c r="I1633" s="34" t="n">
        <f aca="false">+IF(E1633=0,0,E1633*0.03)</f>
        <v>0</v>
      </c>
    </row>
    <row r="1634" customFormat="false" ht="15.75" hidden="false" customHeight="true" outlineLevel="0" collapsed="false">
      <c r="A1634" s="30" t="n">
        <v>45444</v>
      </c>
      <c r="B1634" s="31" t="s">
        <v>153</v>
      </c>
      <c r="C1634" s="32"/>
      <c r="D1634" s="32"/>
      <c r="E1634" s="19" t="n">
        <f aca="false">+F1634*0.03</f>
        <v>0</v>
      </c>
      <c r="F1634" s="33" t="n">
        <v>0</v>
      </c>
      <c r="G1634" s="62"/>
      <c r="H1634" s="35" t="n">
        <v>0</v>
      </c>
      <c r="I1634" s="34" t="n">
        <f aca="false">+IF(E1634=0,0,E1634*0.03)</f>
        <v>0</v>
      </c>
    </row>
    <row r="1635" customFormat="false" ht="15.75" hidden="false" customHeight="true" outlineLevel="0" collapsed="false">
      <c r="A1635" s="30" t="n">
        <v>45444</v>
      </c>
      <c r="B1635" s="31" t="s">
        <v>153</v>
      </c>
      <c r="C1635" s="32"/>
      <c r="D1635" s="32"/>
      <c r="E1635" s="19" t="n">
        <f aca="false">+F1635*0.03</f>
        <v>0</v>
      </c>
      <c r="F1635" s="33" t="n">
        <v>0</v>
      </c>
      <c r="G1635" s="62"/>
      <c r="H1635" s="35" t="n">
        <v>0</v>
      </c>
      <c r="I1635" s="34" t="n">
        <f aca="false">+IF(E1635=0,0,E1635*0.03)</f>
        <v>0</v>
      </c>
    </row>
    <row r="1636" customFormat="false" ht="15.75" hidden="false" customHeight="true" outlineLevel="0" collapsed="false">
      <c r="A1636" s="30" t="n">
        <v>45444</v>
      </c>
      <c r="B1636" s="31" t="s">
        <v>153</v>
      </c>
      <c r="C1636" s="32"/>
      <c r="D1636" s="32"/>
      <c r="E1636" s="19" t="n">
        <f aca="false">+F1636*0.03</f>
        <v>0</v>
      </c>
      <c r="F1636" s="33" t="n">
        <v>0</v>
      </c>
      <c r="G1636" s="62"/>
      <c r="H1636" s="35" t="n">
        <v>0</v>
      </c>
      <c r="I1636" s="34" t="n">
        <f aca="false">+IF(E1636=0,0,E1636*0.03)</f>
        <v>0</v>
      </c>
    </row>
    <row r="1637" customFormat="false" ht="15.75" hidden="false" customHeight="true" outlineLevel="0" collapsed="false">
      <c r="A1637" s="30" t="n">
        <v>45444</v>
      </c>
      <c r="B1637" s="31" t="s">
        <v>153</v>
      </c>
      <c r="C1637" s="32"/>
      <c r="D1637" s="32"/>
      <c r="E1637" s="19" t="n">
        <f aca="false">+F1637*0.03</f>
        <v>0</v>
      </c>
      <c r="F1637" s="33" t="n">
        <v>0</v>
      </c>
      <c r="G1637" s="62"/>
      <c r="H1637" s="35" t="n">
        <v>0</v>
      </c>
      <c r="I1637" s="34" t="n">
        <f aca="false">+IF(E1637=0,0,E1637*0.03)</f>
        <v>0</v>
      </c>
    </row>
    <row r="1638" customFormat="false" ht="15.75" hidden="false" customHeight="true" outlineLevel="0" collapsed="false">
      <c r="A1638" s="30" t="n">
        <v>45444</v>
      </c>
      <c r="B1638" s="31" t="s">
        <v>153</v>
      </c>
      <c r="C1638" s="32"/>
      <c r="D1638" s="32"/>
      <c r="E1638" s="19" t="n">
        <f aca="false">+F1638*0.03</f>
        <v>0</v>
      </c>
      <c r="F1638" s="33" t="n">
        <v>0</v>
      </c>
      <c r="G1638" s="62"/>
      <c r="H1638" s="35" t="n">
        <v>0</v>
      </c>
      <c r="I1638" s="34" t="n">
        <f aca="false">+IF(E1638=0,0,E1638*0.03)</f>
        <v>0</v>
      </c>
    </row>
    <row r="1639" customFormat="false" ht="15.75" hidden="false" customHeight="true" outlineLevel="0" collapsed="false">
      <c r="A1639" s="30" t="n">
        <v>45444</v>
      </c>
      <c r="B1639" s="31" t="s">
        <v>153</v>
      </c>
      <c r="C1639" s="32"/>
      <c r="D1639" s="32"/>
      <c r="E1639" s="19" t="n">
        <f aca="false">+F1639*0.03</f>
        <v>0</v>
      </c>
      <c r="F1639" s="33" t="n">
        <v>0</v>
      </c>
      <c r="G1639" s="62"/>
      <c r="H1639" s="35" t="n">
        <v>0</v>
      </c>
      <c r="I1639" s="34" t="n">
        <f aca="false">+IF(E1639=0,0,E1639*0.03)</f>
        <v>0</v>
      </c>
    </row>
    <row r="1640" customFormat="false" ht="15.75" hidden="false" customHeight="true" outlineLevel="0" collapsed="false">
      <c r="A1640" s="30" t="n">
        <v>45444</v>
      </c>
      <c r="B1640" s="31" t="s">
        <v>153</v>
      </c>
      <c r="C1640" s="32"/>
      <c r="D1640" s="32"/>
      <c r="E1640" s="19" t="n">
        <f aca="false">+F1640*0.03</f>
        <v>0</v>
      </c>
      <c r="F1640" s="33" t="n">
        <v>0</v>
      </c>
      <c r="G1640" s="62"/>
      <c r="H1640" s="35" t="n">
        <v>0</v>
      </c>
      <c r="I1640" s="34" t="n">
        <f aca="false">+IF(E1640=0,0,E1640*0.03)</f>
        <v>0</v>
      </c>
    </row>
    <row r="1641" customFormat="false" ht="15.75" hidden="false" customHeight="true" outlineLevel="0" collapsed="false">
      <c r="A1641" s="30" t="n">
        <v>45444</v>
      </c>
      <c r="B1641" s="31" t="s">
        <v>153</v>
      </c>
      <c r="C1641" s="32"/>
      <c r="D1641" s="32"/>
      <c r="E1641" s="19" t="n">
        <f aca="false">+F1641*0.03</f>
        <v>0</v>
      </c>
      <c r="F1641" s="33" t="n">
        <v>0</v>
      </c>
      <c r="G1641" s="62"/>
      <c r="H1641" s="35" t="n">
        <v>0</v>
      </c>
      <c r="I1641" s="34" t="n">
        <f aca="false">+IF(E1641=0,0,E1641*0.03)</f>
        <v>0</v>
      </c>
    </row>
    <row r="1642" customFormat="false" ht="15.75" hidden="false" customHeight="true" outlineLevel="0" collapsed="false">
      <c r="A1642" s="30" t="n">
        <v>45444</v>
      </c>
      <c r="B1642" s="31" t="s">
        <v>153</v>
      </c>
      <c r="C1642" s="32"/>
      <c r="D1642" s="32"/>
      <c r="E1642" s="19" t="n">
        <f aca="false">+F1642*0.03</f>
        <v>0</v>
      </c>
      <c r="F1642" s="33" t="n">
        <v>0</v>
      </c>
      <c r="G1642" s="62"/>
      <c r="H1642" s="35" t="n">
        <v>0</v>
      </c>
      <c r="I1642" s="34" t="n">
        <f aca="false">+IF(E1642=0,0,E1642*0.03)</f>
        <v>0</v>
      </c>
    </row>
    <row r="1643" customFormat="false" ht="15.75" hidden="false" customHeight="true" outlineLevel="0" collapsed="false">
      <c r="A1643" s="30" t="n">
        <v>45444</v>
      </c>
      <c r="B1643" s="31" t="s">
        <v>153</v>
      </c>
      <c r="C1643" s="32"/>
      <c r="D1643" s="32"/>
      <c r="E1643" s="19" t="n">
        <f aca="false">+F1643*0.03</f>
        <v>0</v>
      </c>
      <c r="F1643" s="33" t="n">
        <v>0</v>
      </c>
      <c r="G1643" s="62"/>
      <c r="H1643" s="35" t="n">
        <v>0</v>
      </c>
      <c r="I1643" s="34" t="n">
        <f aca="false">+IF(E1643=0,0,E1643*0.03)</f>
        <v>0</v>
      </c>
    </row>
    <row r="1644" customFormat="false" ht="15.75" hidden="false" customHeight="true" outlineLevel="0" collapsed="false">
      <c r="A1644" s="30" t="n">
        <v>45444</v>
      </c>
      <c r="B1644" s="31" t="s">
        <v>153</v>
      </c>
      <c r="C1644" s="32"/>
      <c r="D1644" s="32"/>
      <c r="E1644" s="19" t="n">
        <f aca="false">+F1644*0.03</f>
        <v>0</v>
      </c>
      <c r="F1644" s="33" t="n">
        <v>0</v>
      </c>
      <c r="G1644" s="62"/>
      <c r="H1644" s="35" t="n">
        <v>0</v>
      </c>
      <c r="I1644" s="34" t="n">
        <f aca="false">+IF(E1644=0,0,E1644*0.03)</f>
        <v>0</v>
      </c>
    </row>
    <row r="1645" customFormat="false" ht="15.75" hidden="false" customHeight="true" outlineLevel="0" collapsed="false">
      <c r="A1645" s="30" t="n">
        <v>45444</v>
      </c>
      <c r="B1645" s="31" t="s">
        <v>153</v>
      </c>
      <c r="C1645" s="32"/>
      <c r="D1645" s="32"/>
      <c r="E1645" s="19" t="n">
        <f aca="false">+F1645*0.03</f>
        <v>0</v>
      </c>
      <c r="F1645" s="33" t="n">
        <v>0</v>
      </c>
      <c r="G1645" s="62"/>
      <c r="H1645" s="35" t="n">
        <v>0</v>
      </c>
      <c r="I1645" s="34" t="n">
        <f aca="false">+IF(E1645=0,0,E1645*0.03)</f>
        <v>0</v>
      </c>
    </row>
    <row r="1646" customFormat="false" ht="15.75" hidden="false" customHeight="true" outlineLevel="0" collapsed="false">
      <c r="A1646" s="30" t="n">
        <v>45444</v>
      </c>
      <c r="B1646" s="31" t="s">
        <v>153</v>
      </c>
      <c r="C1646" s="32"/>
      <c r="D1646" s="32"/>
      <c r="E1646" s="19" t="n">
        <f aca="false">+F1646*0.03</f>
        <v>0</v>
      </c>
      <c r="F1646" s="33" t="n">
        <v>0</v>
      </c>
      <c r="G1646" s="62"/>
      <c r="H1646" s="35" t="n">
        <v>0</v>
      </c>
      <c r="I1646" s="34" t="n">
        <f aca="false">+IF(E1646=0,0,E1646*0.03)</f>
        <v>0</v>
      </c>
    </row>
    <row r="1647" customFormat="false" ht="15.75" hidden="false" customHeight="true" outlineLevel="0" collapsed="false">
      <c r="A1647" s="30" t="n">
        <v>45444</v>
      </c>
      <c r="B1647" s="31" t="s">
        <v>153</v>
      </c>
      <c r="C1647" s="32"/>
      <c r="D1647" s="32"/>
      <c r="E1647" s="19" t="n">
        <f aca="false">+F1647*0.03</f>
        <v>0</v>
      </c>
      <c r="F1647" s="33" t="n">
        <v>0</v>
      </c>
      <c r="G1647" s="62"/>
      <c r="H1647" s="35" t="n">
        <v>0</v>
      </c>
      <c r="I1647" s="34" t="n">
        <f aca="false">+IF(E1647=0,0,E1647*0.03)</f>
        <v>0</v>
      </c>
    </row>
    <row r="1648" customFormat="false" ht="15.75" hidden="false" customHeight="true" outlineLevel="0" collapsed="false">
      <c r="A1648" s="30" t="n">
        <v>45444</v>
      </c>
      <c r="B1648" s="31" t="s">
        <v>153</v>
      </c>
      <c r="C1648" s="32"/>
      <c r="D1648" s="32"/>
      <c r="E1648" s="19" t="n">
        <f aca="false">+F1648*0.03</f>
        <v>0</v>
      </c>
      <c r="F1648" s="33" t="n">
        <v>0</v>
      </c>
      <c r="G1648" s="62"/>
      <c r="H1648" s="35" t="n">
        <v>0</v>
      </c>
      <c r="I1648" s="34" t="n">
        <f aca="false">+IF(E1648=0,0,E1648*0.03)</f>
        <v>0</v>
      </c>
    </row>
    <row r="1649" customFormat="false" ht="15.75" hidden="false" customHeight="true" outlineLevel="0" collapsed="false">
      <c r="A1649" s="30" t="n">
        <v>45444</v>
      </c>
      <c r="B1649" s="31" t="s">
        <v>153</v>
      </c>
      <c r="C1649" s="32"/>
      <c r="D1649" s="32"/>
      <c r="E1649" s="19" t="n">
        <f aca="false">+F1649*0.03</f>
        <v>0</v>
      </c>
      <c r="F1649" s="33" t="n">
        <v>0</v>
      </c>
      <c r="G1649" s="62"/>
      <c r="H1649" s="35" t="n">
        <v>0</v>
      </c>
      <c r="I1649" s="34" t="n">
        <f aca="false">+IF(E1649=0,0,E1649*0.03)</f>
        <v>0</v>
      </c>
    </row>
    <row r="1650" customFormat="false" ht="15.75" hidden="false" customHeight="true" outlineLevel="0" collapsed="false">
      <c r="A1650" s="30" t="n">
        <v>45444</v>
      </c>
      <c r="B1650" s="31" t="s">
        <v>153</v>
      </c>
      <c r="C1650" s="32"/>
      <c r="D1650" s="32"/>
      <c r="E1650" s="19" t="n">
        <f aca="false">+F1650*0.03</f>
        <v>0</v>
      </c>
      <c r="F1650" s="33" t="n">
        <v>0</v>
      </c>
      <c r="G1650" s="62"/>
      <c r="H1650" s="35" t="n">
        <v>0</v>
      </c>
      <c r="I1650" s="34" t="n">
        <f aca="false">+IF(E1650=0,0,E1650*0.03)</f>
        <v>0</v>
      </c>
    </row>
    <row r="1651" customFormat="false" ht="15.75" hidden="false" customHeight="true" outlineLevel="0" collapsed="false">
      <c r="A1651" s="30" t="n">
        <v>45444</v>
      </c>
      <c r="B1651" s="31" t="s">
        <v>153</v>
      </c>
      <c r="C1651" s="32"/>
      <c r="D1651" s="32"/>
      <c r="E1651" s="19" t="n">
        <f aca="false">+F1651*0.03</f>
        <v>0</v>
      </c>
      <c r="F1651" s="33" t="n">
        <v>0</v>
      </c>
      <c r="G1651" s="62"/>
      <c r="H1651" s="35" t="n">
        <v>0</v>
      </c>
      <c r="I1651" s="34" t="n">
        <f aca="false">+IF(E1651=0,0,E1651*0.03)</f>
        <v>0</v>
      </c>
    </row>
    <row r="1652" customFormat="false" ht="15.75" hidden="false" customHeight="true" outlineLevel="0" collapsed="false">
      <c r="A1652" s="30" t="n">
        <v>45444</v>
      </c>
      <c r="B1652" s="31" t="s">
        <v>153</v>
      </c>
      <c r="C1652" s="32"/>
      <c r="D1652" s="32"/>
      <c r="E1652" s="19" t="n">
        <f aca="false">+F1652*0.03</f>
        <v>0</v>
      </c>
      <c r="F1652" s="33" t="n">
        <v>0</v>
      </c>
      <c r="G1652" s="62"/>
      <c r="H1652" s="35" t="n">
        <v>0</v>
      </c>
      <c r="I1652" s="34" t="n">
        <f aca="false">+IF(E1652=0,0,E1652*0.03)</f>
        <v>0</v>
      </c>
    </row>
    <row r="1653" customFormat="false" ht="15.75" hidden="false" customHeight="true" outlineLevel="0" collapsed="false">
      <c r="A1653" s="30" t="n">
        <v>45444</v>
      </c>
      <c r="B1653" s="31" t="s">
        <v>153</v>
      </c>
      <c r="C1653" s="32"/>
      <c r="D1653" s="32"/>
      <c r="E1653" s="19" t="n">
        <f aca="false">+F1653*0.03</f>
        <v>0</v>
      </c>
      <c r="F1653" s="33" t="n">
        <v>0</v>
      </c>
      <c r="G1653" s="62"/>
      <c r="H1653" s="35" t="n">
        <v>0</v>
      </c>
      <c r="I1653" s="34" t="n">
        <f aca="false">+IF(E1653=0,0,E1653*0.03)</f>
        <v>0</v>
      </c>
    </row>
    <row r="1654" customFormat="false" ht="15.75" hidden="false" customHeight="true" outlineLevel="0" collapsed="false">
      <c r="A1654" s="30" t="n">
        <v>45444</v>
      </c>
      <c r="B1654" s="31" t="s">
        <v>153</v>
      </c>
      <c r="C1654" s="32"/>
      <c r="D1654" s="32"/>
      <c r="E1654" s="19" t="n">
        <f aca="false">+F1654*0.03</f>
        <v>0</v>
      </c>
      <c r="F1654" s="33" t="n">
        <v>0</v>
      </c>
      <c r="G1654" s="62"/>
      <c r="H1654" s="35" t="n">
        <v>0</v>
      </c>
      <c r="I1654" s="34" t="n">
        <f aca="false">+IF(E1654=0,0,E1654*0.03)</f>
        <v>0</v>
      </c>
    </row>
    <row r="1655" customFormat="false" ht="15.75" hidden="false" customHeight="true" outlineLevel="0" collapsed="false">
      <c r="A1655" s="30" t="n">
        <v>45444</v>
      </c>
      <c r="B1655" s="31" t="s">
        <v>153</v>
      </c>
      <c r="C1655" s="32"/>
      <c r="D1655" s="32"/>
      <c r="E1655" s="19" t="n">
        <f aca="false">+F1655*0.03</f>
        <v>0</v>
      </c>
      <c r="F1655" s="33" t="n">
        <v>0</v>
      </c>
      <c r="G1655" s="62"/>
      <c r="H1655" s="35" t="n">
        <v>0</v>
      </c>
      <c r="I1655" s="34" t="n">
        <f aca="false">+IF(E1655=0,0,E1655*0.03)</f>
        <v>0</v>
      </c>
    </row>
    <row r="1656" customFormat="false" ht="15.75" hidden="false" customHeight="true" outlineLevel="0" collapsed="false">
      <c r="A1656" s="30" t="n">
        <v>45444</v>
      </c>
      <c r="B1656" s="31" t="s">
        <v>153</v>
      </c>
      <c r="C1656" s="32"/>
      <c r="D1656" s="32"/>
      <c r="E1656" s="19" t="n">
        <f aca="false">+F1656*0.03</f>
        <v>0</v>
      </c>
      <c r="F1656" s="33" t="n">
        <v>0</v>
      </c>
      <c r="G1656" s="62"/>
      <c r="H1656" s="35" t="n">
        <v>0</v>
      </c>
      <c r="I1656" s="34" t="n">
        <f aca="false">+IF(E1656=0,0,E1656*0.03)</f>
        <v>0</v>
      </c>
    </row>
    <row r="1657" customFormat="false" ht="15.75" hidden="false" customHeight="true" outlineLevel="0" collapsed="false">
      <c r="A1657" s="30" t="n">
        <v>45444</v>
      </c>
      <c r="B1657" s="31" t="s">
        <v>153</v>
      </c>
      <c r="C1657" s="32"/>
      <c r="D1657" s="32"/>
      <c r="E1657" s="19" t="n">
        <f aca="false">+F1657*0.03</f>
        <v>0</v>
      </c>
      <c r="F1657" s="33" t="n">
        <v>0</v>
      </c>
      <c r="G1657" s="62"/>
      <c r="H1657" s="35" t="n">
        <v>0</v>
      </c>
      <c r="I1657" s="34" t="n">
        <f aca="false">+IF(E1657=0,0,E1657*0.03)</f>
        <v>0</v>
      </c>
    </row>
    <row r="1658" customFormat="false" ht="15.75" hidden="false" customHeight="true" outlineLevel="0" collapsed="false">
      <c r="A1658" s="30" t="n">
        <v>45444</v>
      </c>
      <c r="B1658" s="31" t="s">
        <v>153</v>
      </c>
      <c r="C1658" s="32"/>
      <c r="D1658" s="32"/>
      <c r="E1658" s="19" t="n">
        <f aca="false">+F1658*0.03</f>
        <v>0</v>
      </c>
      <c r="F1658" s="33" t="n">
        <v>0</v>
      </c>
      <c r="G1658" s="62"/>
      <c r="H1658" s="35" t="n">
        <v>0</v>
      </c>
      <c r="I1658" s="34" t="n">
        <f aca="false">+IF(E1658=0,0,E1658*0.03)</f>
        <v>0</v>
      </c>
    </row>
    <row r="1659" customFormat="false" ht="15.75" hidden="false" customHeight="true" outlineLevel="0" collapsed="false">
      <c r="A1659" s="30" t="n">
        <v>45444</v>
      </c>
      <c r="B1659" s="31" t="s">
        <v>153</v>
      </c>
      <c r="C1659" s="32"/>
      <c r="D1659" s="32"/>
      <c r="E1659" s="19" t="n">
        <f aca="false">+F1659*0.03</f>
        <v>0</v>
      </c>
      <c r="F1659" s="33" t="n">
        <v>0</v>
      </c>
      <c r="G1659" s="62"/>
      <c r="H1659" s="35" t="n">
        <v>0</v>
      </c>
      <c r="I1659" s="34" t="n">
        <f aca="false">+IF(E1659=0,0,E1659*0.03)</f>
        <v>0</v>
      </c>
    </row>
    <row r="1660" customFormat="false" ht="15.75" hidden="false" customHeight="true" outlineLevel="0" collapsed="false">
      <c r="A1660" s="30" t="n">
        <v>45444</v>
      </c>
      <c r="B1660" s="31" t="s">
        <v>153</v>
      </c>
      <c r="C1660" s="32"/>
      <c r="D1660" s="32"/>
      <c r="E1660" s="19" t="n">
        <f aca="false">+F1660*0.03</f>
        <v>0</v>
      </c>
      <c r="F1660" s="33" t="n">
        <v>0</v>
      </c>
      <c r="G1660" s="62"/>
      <c r="H1660" s="35" t="n">
        <v>0</v>
      </c>
      <c r="I1660" s="34" t="n">
        <f aca="false">+IF(E1660=0,0,E1660*0.03)</f>
        <v>0</v>
      </c>
    </row>
    <row r="1661" customFormat="false" ht="15.75" hidden="false" customHeight="true" outlineLevel="0" collapsed="false">
      <c r="A1661" s="30" t="n">
        <v>45444</v>
      </c>
      <c r="B1661" s="31" t="s">
        <v>153</v>
      </c>
      <c r="C1661" s="32"/>
      <c r="D1661" s="32"/>
      <c r="E1661" s="19" t="n">
        <f aca="false">+F1661*0.03</f>
        <v>0</v>
      </c>
      <c r="F1661" s="33" t="n">
        <v>0</v>
      </c>
      <c r="G1661" s="62"/>
      <c r="H1661" s="35" t="n">
        <v>0</v>
      </c>
      <c r="I1661" s="34" t="n">
        <f aca="false">+IF(E1661=0,0,E1661*0.03)</f>
        <v>0</v>
      </c>
    </row>
    <row r="1662" customFormat="false" ht="15.75" hidden="false" customHeight="true" outlineLevel="0" collapsed="false">
      <c r="A1662" s="30" t="n">
        <v>45444</v>
      </c>
      <c r="B1662" s="31" t="s">
        <v>153</v>
      </c>
      <c r="C1662" s="32"/>
      <c r="D1662" s="32"/>
      <c r="E1662" s="19" t="n">
        <f aca="false">+F1662*0.03</f>
        <v>0</v>
      </c>
      <c r="F1662" s="33" t="n">
        <v>0</v>
      </c>
      <c r="G1662" s="62"/>
      <c r="H1662" s="35" t="n">
        <v>0</v>
      </c>
      <c r="I1662" s="34" t="n">
        <f aca="false">+IF(E1662=0,0,E1662*0.03)</f>
        <v>0</v>
      </c>
    </row>
    <row r="1663" customFormat="false" ht="15.75" hidden="false" customHeight="true" outlineLevel="0" collapsed="false">
      <c r="A1663" s="30" t="n">
        <v>45444</v>
      </c>
      <c r="B1663" s="31" t="s">
        <v>153</v>
      </c>
      <c r="C1663" s="32"/>
      <c r="D1663" s="32"/>
      <c r="E1663" s="19" t="n">
        <f aca="false">+F1663*0.03</f>
        <v>0</v>
      </c>
      <c r="F1663" s="33" t="n">
        <v>0</v>
      </c>
      <c r="G1663" s="62"/>
      <c r="H1663" s="35" t="n">
        <v>0</v>
      </c>
      <c r="I1663" s="34" t="n">
        <f aca="false">+IF(E1663=0,0,E1663*0.03)</f>
        <v>0</v>
      </c>
    </row>
    <row r="1664" customFormat="false" ht="15.75" hidden="false" customHeight="true" outlineLevel="0" collapsed="false">
      <c r="A1664" s="30" t="n">
        <v>45444</v>
      </c>
      <c r="B1664" s="31" t="s">
        <v>153</v>
      </c>
      <c r="C1664" s="32"/>
      <c r="D1664" s="32"/>
      <c r="E1664" s="19" t="n">
        <f aca="false">+F1664*0.03</f>
        <v>0</v>
      </c>
      <c r="F1664" s="33" t="n">
        <v>0</v>
      </c>
      <c r="G1664" s="62"/>
      <c r="H1664" s="35" t="n">
        <v>0</v>
      </c>
      <c r="I1664" s="34" t="n">
        <f aca="false">+IF(E1664=0,0,E1664*0.03)</f>
        <v>0</v>
      </c>
    </row>
    <row r="1665" customFormat="false" ht="15.75" hidden="false" customHeight="true" outlineLevel="0" collapsed="false">
      <c r="A1665" s="30" t="n">
        <v>45444</v>
      </c>
      <c r="B1665" s="31" t="s">
        <v>153</v>
      </c>
      <c r="C1665" s="32"/>
      <c r="D1665" s="32"/>
      <c r="E1665" s="19" t="n">
        <f aca="false">+F1665*0.03</f>
        <v>0</v>
      </c>
      <c r="F1665" s="33" t="n">
        <v>0</v>
      </c>
      <c r="G1665" s="62"/>
      <c r="H1665" s="35" t="n">
        <v>0</v>
      </c>
      <c r="I1665" s="34" t="n">
        <f aca="false">+IF(E1665=0,0,E1665*0.03)</f>
        <v>0</v>
      </c>
    </row>
    <row r="1666" customFormat="false" ht="15.75" hidden="false" customHeight="true" outlineLevel="0" collapsed="false">
      <c r="A1666" s="30" t="n">
        <v>45444</v>
      </c>
      <c r="B1666" s="31" t="s">
        <v>153</v>
      </c>
      <c r="C1666" s="32"/>
      <c r="D1666" s="32"/>
      <c r="E1666" s="19" t="n">
        <f aca="false">+F1666*0.03</f>
        <v>0</v>
      </c>
      <c r="F1666" s="33" t="n">
        <v>0</v>
      </c>
      <c r="G1666" s="62"/>
      <c r="H1666" s="35" t="n">
        <v>0</v>
      </c>
      <c r="I1666" s="34" t="n">
        <f aca="false">+IF(E1666=0,0,E1666*0.03)</f>
        <v>0</v>
      </c>
    </row>
    <row r="1667" customFormat="false" ht="15.75" hidden="false" customHeight="true" outlineLevel="0" collapsed="false">
      <c r="A1667" s="30" t="n">
        <v>45444</v>
      </c>
      <c r="B1667" s="31" t="s">
        <v>153</v>
      </c>
      <c r="C1667" s="32"/>
      <c r="D1667" s="32"/>
      <c r="E1667" s="19" t="n">
        <f aca="false">+F1667*0.03</f>
        <v>0</v>
      </c>
      <c r="F1667" s="33" t="n">
        <v>0</v>
      </c>
      <c r="G1667" s="62"/>
      <c r="H1667" s="35" t="n">
        <v>0</v>
      </c>
      <c r="I1667" s="34" t="n">
        <f aca="false">+IF(E1667=0,0,E1667*0.03)</f>
        <v>0</v>
      </c>
    </row>
    <row r="1668" customFormat="false" ht="15.75" hidden="false" customHeight="true" outlineLevel="0" collapsed="false">
      <c r="A1668" s="30" t="n">
        <v>45444</v>
      </c>
      <c r="B1668" s="31" t="s">
        <v>153</v>
      </c>
      <c r="C1668" s="32"/>
      <c r="D1668" s="32"/>
      <c r="E1668" s="19" t="n">
        <f aca="false">+F1668*0.03</f>
        <v>0</v>
      </c>
      <c r="F1668" s="33" t="n">
        <v>0</v>
      </c>
      <c r="G1668" s="62"/>
      <c r="H1668" s="35" t="n">
        <v>0</v>
      </c>
      <c r="I1668" s="34" t="n">
        <f aca="false">+IF(E1668=0,0,E1668*0.03)</f>
        <v>0</v>
      </c>
    </row>
    <row r="1669" customFormat="false" ht="15.75" hidden="false" customHeight="true" outlineLevel="0" collapsed="false">
      <c r="A1669" s="30" t="n">
        <v>45444</v>
      </c>
      <c r="B1669" s="31" t="s">
        <v>153</v>
      </c>
      <c r="C1669" s="32"/>
      <c r="D1669" s="32"/>
      <c r="E1669" s="19" t="n">
        <f aca="false">+F1669*0.03</f>
        <v>0</v>
      </c>
      <c r="F1669" s="33" t="n">
        <v>0</v>
      </c>
      <c r="G1669" s="62"/>
      <c r="H1669" s="35" t="n">
        <v>0</v>
      </c>
      <c r="I1669" s="34" t="n">
        <f aca="false">+IF(E1669=0,0,E1669*0.03)</f>
        <v>0</v>
      </c>
    </row>
    <row r="1670" customFormat="false" ht="15.75" hidden="false" customHeight="true" outlineLevel="0" collapsed="false">
      <c r="A1670" s="30" t="n">
        <v>45444</v>
      </c>
      <c r="B1670" s="31" t="s">
        <v>153</v>
      </c>
      <c r="C1670" s="32"/>
      <c r="D1670" s="32"/>
      <c r="E1670" s="19" t="n">
        <f aca="false">+F1670*0.03</f>
        <v>0</v>
      </c>
      <c r="F1670" s="33" t="n">
        <v>0</v>
      </c>
      <c r="G1670" s="62"/>
      <c r="H1670" s="35" t="n">
        <v>0</v>
      </c>
      <c r="I1670" s="34" t="n">
        <f aca="false">+IF(E1670=0,0,E1670*0.03)</f>
        <v>0</v>
      </c>
    </row>
    <row r="1671" customFormat="false" ht="15.75" hidden="false" customHeight="true" outlineLevel="0" collapsed="false">
      <c r="A1671" s="30" t="n">
        <v>45444</v>
      </c>
      <c r="B1671" s="31" t="s">
        <v>153</v>
      </c>
      <c r="C1671" s="32"/>
      <c r="D1671" s="32"/>
      <c r="E1671" s="19" t="n">
        <f aca="false">+F1671*0.03</f>
        <v>0</v>
      </c>
      <c r="F1671" s="33" t="n">
        <v>0</v>
      </c>
      <c r="G1671" s="62"/>
      <c r="H1671" s="35" t="n">
        <v>0</v>
      </c>
      <c r="I1671" s="34" t="n">
        <f aca="false">+IF(E1671=0,0,E1671*0.03)</f>
        <v>0</v>
      </c>
    </row>
    <row r="1672" customFormat="false" ht="15.75" hidden="false" customHeight="true" outlineLevel="0" collapsed="false">
      <c r="A1672" s="30" t="n">
        <v>45444</v>
      </c>
      <c r="B1672" s="31" t="s">
        <v>153</v>
      </c>
      <c r="C1672" s="32"/>
      <c r="D1672" s="32"/>
      <c r="E1672" s="19" t="n">
        <f aca="false">+F1672*0.03</f>
        <v>0</v>
      </c>
      <c r="F1672" s="33" t="n">
        <v>0</v>
      </c>
      <c r="G1672" s="62"/>
      <c r="H1672" s="35" t="n">
        <v>0</v>
      </c>
      <c r="I1672" s="34" t="n">
        <f aca="false">+IF(E1672=0,0,E1672*0.03)</f>
        <v>0</v>
      </c>
    </row>
    <row r="1673" customFormat="false" ht="15.75" hidden="false" customHeight="true" outlineLevel="0" collapsed="false">
      <c r="A1673" s="30" t="n">
        <v>45444</v>
      </c>
      <c r="B1673" s="31" t="s">
        <v>153</v>
      </c>
      <c r="C1673" s="32"/>
      <c r="D1673" s="32"/>
      <c r="E1673" s="19" t="n">
        <f aca="false">+F1673*0.03</f>
        <v>0</v>
      </c>
      <c r="F1673" s="33" t="n">
        <v>0</v>
      </c>
      <c r="G1673" s="62"/>
      <c r="H1673" s="35" t="n">
        <v>0</v>
      </c>
      <c r="I1673" s="34" t="n">
        <f aca="false">+IF(E1673=0,0,E1673*0.03)</f>
        <v>0</v>
      </c>
    </row>
    <row r="1674" customFormat="false" ht="15.75" hidden="false" customHeight="true" outlineLevel="0" collapsed="false">
      <c r="A1674" s="30" t="n">
        <v>45444</v>
      </c>
      <c r="B1674" s="31" t="s">
        <v>153</v>
      </c>
      <c r="C1674" s="32"/>
      <c r="D1674" s="32"/>
      <c r="E1674" s="19" t="n">
        <f aca="false">+F1674*0.03</f>
        <v>0</v>
      </c>
      <c r="F1674" s="33" t="n">
        <v>0</v>
      </c>
      <c r="G1674" s="62"/>
      <c r="H1674" s="35" t="n">
        <v>0</v>
      </c>
      <c r="I1674" s="34" t="n">
        <f aca="false">+IF(E1674=0,0,E1674*0.03)</f>
        <v>0</v>
      </c>
    </row>
    <row r="1675" customFormat="false" ht="15.75" hidden="false" customHeight="true" outlineLevel="0" collapsed="false">
      <c r="A1675" s="30" t="n">
        <v>45444</v>
      </c>
      <c r="B1675" s="31" t="s">
        <v>153</v>
      </c>
      <c r="C1675" s="32"/>
      <c r="D1675" s="32"/>
      <c r="E1675" s="19" t="n">
        <f aca="false">+F1675*0.03</f>
        <v>0</v>
      </c>
      <c r="F1675" s="33" t="n">
        <v>0</v>
      </c>
      <c r="G1675" s="62"/>
      <c r="H1675" s="35" t="n">
        <v>0</v>
      </c>
      <c r="I1675" s="34" t="n">
        <f aca="false">+IF(E1675=0,0,E1675*0.03)</f>
        <v>0</v>
      </c>
    </row>
    <row r="1676" customFormat="false" ht="15.75" hidden="false" customHeight="true" outlineLevel="0" collapsed="false">
      <c r="A1676" s="30" t="n">
        <v>45444</v>
      </c>
      <c r="B1676" s="31" t="s">
        <v>153</v>
      </c>
      <c r="C1676" s="32"/>
      <c r="D1676" s="32"/>
      <c r="E1676" s="19" t="n">
        <f aca="false">+F1676*0.03</f>
        <v>0</v>
      </c>
      <c r="F1676" s="33" t="n">
        <v>0</v>
      </c>
      <c r="G1676" s="62"/>
      <c r="H1676" s="35" t="n">
        <v>0</v>
      </c>
      <c r="I1676" s="34" t="n">
        <f aca="false">+IF(E1676=0,0,E1676*0.03)</f>
        <v>0</v>
      </c>
    </row>
    <row r="1677" customFormat="false" ht="15.75" hidden="false" customHeight="true" outlineLevel="0" collapsed="false">
      <c r="A1677" s="30" t="n">
        <v>45444</v>
      </c>
      <c r="B1677" s="31" t="s">
        <v>153</v>
      </c>
      <c r="C1677" s="32"/>
      <c r="D1677" s="32"/>
      <c r="E1677" s="19" t="n">
        <f aca="false">+F1677*0.03</f>
        <v>0</v>
      </c>
      <c r="F1677" s="33" t="n">
        <v>0</v>
      </c>
      <c r="G1677" s="62"/>
      <c r="H1677" s="35" t="n">
        <v>0</v>
      </c>
      <c r="I1677" s="34" t="n">
        <f aca="false">+IF(E1677=0,0,E1677*0.03)</f>
        <v>0</v>
      </c>
    </row>
    <row r="1678" customFormat="false" ht="15.75" hidden="false" customHeight="true" outlineLevel="0" collapsed="false">
      <c r="A1678" s="30" t="n">
        <v>45444</v>
      </c>
      <c r="B1678" s="31" t="s">
        <v>153</v>
      </c>
      <c r="C1678" s="32"/>
      <c r="D1678" s="32"/>
      <c r="E1678" s="19" t="n">
        <f aca="false">+F1678*0.03</f>
        <v>0</v>
      </c>
      <c r="F1678" s="33" t="n">
        <v>0</v>
      </c>
      <c r="G1678" s="62"/>
      <c r="H1678" s="35" t="n">
        <v>0</v>
      </c>
      <c r="I1678" s="34" t="n">
        <f aca="false">+IF(E1678=0,0,E1678*0.03)</f>
        <v>0</v>
      </c>
    </row>
    <row r="1679" customFormat="false" ht="15.75" hidden="false" customHeight="true" outlineLevel="0" collapsed="false">
      <c r="A1679" s="30" t="n">
        <v>45444</v>
      </c>
      <c r="B1679" s="31" t="s">
        <v>153</v>
      </c>
      <c r="C1679" s="32"/>
      <c r="D1679" s="32"/>
      <c r="E1679" s="19" t="n">
        <f aca="false">+F1679*0.03</f>
        <v>0</v>
      </c>
      <c r="F1679" s="33" t="n">
        <v>0</v>
      </c>
      <c r="G1679" s="62"/>
      <c r="H1679" s="35" t="n">
        <v>0</v>
      </c>
      <c r="I1679" s="34" t="n">
        <f aca="false">+IF(E1679=0,0,E1679*0.03)</f>
        <v>0</v>
      </c>
    </row>
    <row r="1680" customFormat="false" ht="15.75" hidden="false" customHeight="true" outlineLevel="0" collapsed="false">
      <c r="A1680" s="30" t="n">
        <v>45444</v>
      </c>
      <c r="B1680" s="31" t="s">
        <v>153</v>
      </c>
      <c r="C1680" s="32"/>
      <c r="D1680" s="32"/>
      <c r="E1680" s="19" t="n">
        <f aca="false">+F1680*0.03</f>
        <v>0</v>
      </c>
      <c r="F1680" s="33" t="n">
        <v>0</v>
      </c>
      <c r="G1680" s="62"/>
      <c r="H1680" s="35" t="n">
        <v>0</v>
      </c>
      <c r="I1680" s="34" t="n">
        <f aca="false">+IF(E1680=0,0,E1680*0.03)</f>
        <v>0</v>
      </c>
    </row>
    <row r="1681" customFormat="false" ht="15.75" hidden="false" customHeight="true" outlineLevel="0" collapsed="false">
      <c r="A1681" s="30" t="n">
        <v>45444</v>
      </c>
      <c r="B1681" s="31" t="s">
        <v>153</v>
      </c>
      <c r="C1681" s="32"/>
      <c r="D1681" s="32"/>
      <c r="E1681" s="19" t="n">
        <f aca="false">+F1681*0.03</f>
        <v>0</v>
      </c>
      <c r="F1681" s="33" t="n">
        <v>0</v>
      </c>
      <c r="G1681" s="62"/>
      <c r="H1681" s="35" t="n">
        <v>0</v>
      </c>
      <c r="I1681" s="34" t="n">
        <f aca="false">+IF(E1681=0,0,E1681*0.03)</f>
        <v>0</v>
      </c>
    </row>
    <row r="1682" customFormat="false" ht="15.75" hidden="false" customHeight="true" outlineLevel="0" collapsed="false">
      <c r="A1682" s="30" t="n">
        <v>45444</v>
      </c>
      <c r="B1682" s="31" t="s">
        <v>153</v>
      </c>
      <c r="C1682" s="32"/>
      <c r="D1682" s="32"/>
      <c r="E1682" s="19" t="n">
        <f aca="false">+F1682*0.03</f>
        <v>0</v>
      </c>
      <c r="F1682" s="33" t="n">
        <v>0</v>
      </c>
      <c r="G1682" s="62"/>
      <c r="H1682" s="35" t="n">
        <v>0</v>
      </c>
      <c r="I1682" s="34" t="n">
        <f aca="false">+IF(E1682=0,0,E1682*0.03)</f>
        <v>0</v>
      </c>
    </row>
    <row r="1683" customFormat="false" ht="15.75" hidden="false" customHeight="true" outlineLevel="0" collapsed="false">
      <c r="A1683" s="30" t="n">
        <v>45444</v>
      </c>
      <c r="B1683" s="31" t="s">
        <v>153</v>
      </c>
      <c r="C1683" s="32"/>
      <c r="D1683" s="32"/>
      <c r="E1683" s="19" t="n">
        <f aca="false">+F1683*0.03</f>
        <v>0</v>
      </c>
      <c r="F1683" s="33" t="n">
        <v>0</v>
      </c>
      <c r="G1683" s="62"/>
      <c r="H1683" s="35" t="n">
        <v>0</v>
      </c>
      <c r="I1683" s="34" t="n">
        <f aca="false">+IF(E1683=0,0,E1683*0.03)</f>
        <v>0</v>
      </c>
    </row>
    <row r="1684" customFormat="false" ht="15.75" hidden="false" customHeight="true" outlineLevel="0" collapsed="false">
      <c r="A1684" s="30" t="n">
        <v>45444</v>
      </c>
      <c r="B1684" s="31" t="s">
        <v>153</v>
      </c>
      <c r="C1684" s="32"/>
      <c r="D1684" s="32"/>
      <c r="E1684" s="19" t="n">
        <f aca="false">+F1684*0.03</f>
        <v>0</v>
      </c>
      <c r="F1684" s="33" t="n">
        <v>0</v>
      </c>
      <c r="G1684" s="62"/>
      <c r="H1684" s="35" t="n">
        <v>0</v>
      </c>
      <c r="I1684" s="34" t="n">
        <f aca="false">+IF(E1684=0,0,E1684*0.03)</f>
        <v>0</v>
      </c>
    </row>
    <row r="1685" customFormat="false" ht="15.75" hidden="false" customHeight="true" outlineLevel="0" collapsed="false">
      <c r="A1685" s="30" t="n">
        <v>45444</v>
      </c>
      <c r="B1685" s="31" t="s">
        <v>153</v>
      </c>
      <c r="C1685" s="32"/>
      <c r="D1685" s="32"/>
      <c r="E1685" s="19" t="n">
        <f aca="false">+F1685*0.03</f>
        <v>0</v>
      </c>
      <c r="F1685" s="33" t="n">
        <v>0</v>
      </c>
      <c r="G1685" s="62"/>
      <c r="H1685" s="35" t="n">
        <v>0</v>
      </c>
      <c r="I1685" s="34" t="n">
        <f aca="false">+IF(E1685=0,0,E1685*0.03)</f>
        <v>0</v>
      </c>
    </row>
    <row r="1686" customFormat="false" ht="15.75" hidden="false" customHeight="true" outlineLevel="0" collapsed="false">
      <c r="A1686" s="30" t="n">
        <v>45444</v>
      </c>
      <c r="B1686" s="31" t="s">
        <v>153</v>
      </c>
      <c r="C1686" s="32"/>
      <c r="D1686" s="32"/>
      <c r="E1686" s="19" t="n">
        <f aca="false">+F1686*0.03</f>
        <v>0</v>
      </c>
      <c r="F1686" s="33" t="n">
        <v>0</v>
      </c>
      <c r="G1686" s="62"/>
      <c r="H1686" s="35" t="n">
        <v>0</v>
      </c>
      <c r="I1686" s="34" t="n">
        <f aca="false">+IF(E1686=0,0,E1686*0.03)</f>
        <v>0</v>
      </c>
    </row>
    <row r="1687" customFormat="false" ht="15.75" hidden="false" customHeight="true" outlineLevel="0" collapsed="false">
      <c r="A1687" s="30" t="n">
        <v>45444</v>
      </c>
      <c r="B1687" s="31" t="s">
        <v>153</v>
      </c>
      <c r="C1687" s="32"/>
      <c r="D1687" s="32"/>
      <c r="E1687" s="19" t="n">
        <f aca="false">+F1687*0.03</f>
        <v>0</v>
      </c>
      <c r="F1687" s="33" t="n">
        <v>0</v>
      </c>
      <c r="G1687" s="62"/>
      <c r="H1687" s="35" t="n">
        <v>0</v>
      </c>
      <c r="I1687" s="34" t="n">
        <f aca="false">+IF(E1687=0,0,E1687*0.03)</f>
        <v>0</v>
      </c>
    </row>
    <row r="1688" customFormat="false" ht="15.75" hidden="false" customHeight="true" outlineLevel="0" collapsed="false">
      <c r="A1688" s="30" t="n">
        <v>45444</v>
      </c>
      <c r="B1688" s="31" t="s">
        <v>153</v>
      </c>
      <c r="C1688" s="32"/>
      <c r="D1688" s="32"/>
      <c r="E1688" s="19" t="n">
        <f aca="false">+F1688*0.03</f>
        <v>0</v>
      </c>
      <c r="F1688" s="33" t="n">
        <v>0</v>
      </c>
      <c r="G1688" s="62"/>
      <c r="H1688" s="35" t="n">
        <v>0</v>
      </c>
      <c r="I1688" s="34" t="n">
        <f aca="false">+IF(E1688=0,0,E1688*0.03)</f>
        <v>0</v>
      </c>
    </row>
    <row r="1689" customFormat="false" ht="15.75" hidden="false" customHeight="true" outlineLevel="0" collapsed="false">
      <c r="A1689" s="30" t="n">
        <v>45444</v>
      </c>
      <c r="B1689" s="31" t="s">
        <v>153</v>
      </c>
      <c r="C1689" s="32"/>
      <c r="D1689" s="32"/>
      <c r="E1689" s="19" t="n">
        <f aca="false">+F1689*0.03</f>
        <v>0</v>
      </c>
      <c r="F1689" s="33" t="n">
        <v>0</v>
      </c>
      <c r="G1689" s="62"/>
      <c r="H1689" s="35" t="n">
        <v>0</v>
      </c>
      <c r="I1689" s="34" t="n">
        <f aca="false">+IF(E1689=0,0,E1689*0.03)</f>
        <v>0</v>
      </c>
    </row>
    <row r="1690" customFormat="false" ht="15.75" hidden="false" customHeight="true" outlineLevel="0" collapsed="false">
      <c r="A1690" s="30" t="n">
        <v>45444</v>
      </c>
      <c r="B1690" s="31" t="s">
        <v>153</v>
      </c>
      <c r="C1690" s="32"/>
      <c r="D1690" s="32"/>
      <c r="E1690" s="19" t="n">
        <f aca="false">+F1690*0.03</f>
        <v>0</v>
      </c>
      <c r="F1690" s="33" t="n">
        <v>0</v>
      </c>
      <c r="G1690" s="62"/>
      <c r="H1690" s="35" t="n">
        <v>0</v>
      </c>
      <c r="I1690" s="34" t="n">
        <f aca="false">+IF(E1690=0,0,E1690*0.03)</f>
        <v>0</v>
      </c>
    </row>
    <row r="1691" customFormat="false" ht="15.75" hidden="false" customHeight="true" outlineLevel="0" collapsed="false">
      <c r="A1691" s="30" t="n">
        <v>45444</v>
      </c>
      <c r="B1691" s="31" t="s">
        <v>153</v>
      </c>
      <c r="C1691" s="32"/>
      <c r="D1691" s="32"/>
      <c r="E1691" s="19" t="n">
        <f aca="false">+F1691*0.03</f>
        <v>0</v>
      </c>
      <c r="F1691" s="33" t="n">
        <v>0</v>
      </c>
      <c r="G1691" s="62"/>
      <c r="H1691" s="35" t="n">
        <v>0</v>
      </c>
      <c r="I1691" s="34" t="n">
        <f aca="false">+IF(E1691=0,0,E1691*0.03)</f>
        <v>0</v>
      </c>
    </row>
    <row r="1692" customFormat="false" ht="15.75" hidden="false" customHeight="true" outlineLevel="0" collapsed="false">
      <c r="A1692" s="30" t="n">
        <v>45444</v>
      </c>
      <c r="B1692" s="31" t="s">
        <v>153</v>
      </c>
      <c r="C1692" s="32"/>
      <c r="D1692" s="32"/>
      <c r="E1692" s="19" t="n">
        <f aca="false">+F1692*0.03</f>
        <v>0</v>
      </c>
      <c r="F1692" s="33" t="n">
        <v>0</v>
      </c>
      <c r="G1692" s="62"/>
      <c r="H1692" s="35" t="n">
        <v>0</v>
      </c>
      <c r="I1692" s="34" t="n">
        <f aca="false">+IF(E1692=0,0,E1692*0.03)</f>
        <v>0</v>
      </c>
    </row>
    <row r="1693" customFormat="false" ht="15.75" hidden="false" customHeight="true" outlineLevel="0" collapsed="false">
      <c r="A1693" s="30" t="n">
        <v>45444</v>
      </c>
      <c r="B1693" s="31" t="s">
        <v>153</v>
      </c>
      <c r="C1693" s="32"/>
      <c r="D1693" s="32"/>
      <c r="E1693" s="19" t="n">
        <f aca="false">+F1693*0.03</f>
        <v>0</v>
      </c>
      <c r="F1693" s="33" t="n">
        <v>0</v>
      </c>
      <c r="G1693" s="62"/>
      <c r="H1693" s="35" t="n">
        <v>0</v>
      </c>
      <c r="I1693" s="34" t="n">
        <f aca="false">+IF(E1693=0,0,E1693*0.03)</f>
        <v>0</v>
      </c>
    </row>
    <row r="1694" customFormat="false" ht="15.75" hidden="false" customHeight="true" outlineLevel="0" collapsed="false">
      <c r="A1694" s="30" t="n">
        <v>45444</v>
      </c>
      <c r="B1694" s="31" t="s">
        <v>153</v>
      </c>
      <c r="C1694" s="32"/>
      <c r="D1694" s="32"/>
      <c r="E1694" s="19" t="n">
        <f aca="false">+F1694*0.03</f>
        <v>0</v>
      </c>
      <c r="F1694" s="33" t="n">
        <v>0</v>
      </c>
      <c r="G1694" s="62"/>
      <c r="H1694" s="35" t="n">
        <v>0</v>
      </c>
      <c r="I1694" s="34" t="n">
        <f aca="false">+IF(E1694=0,0,E1694*0.03)</f>
        <v>0</v>
      </c>
    </row>
    <row r="1695" customFormat="false" ht="15.75" hidden="false" customHeight="true" outlineLevel="0" collapsed="false">
      <c r="A1695" s="30" t="n">
        <v>45444</v>
      </c>
      <c r="B1695" s="31" t="s">
        <v>153</v>
      </c>
      <c r="C1695" s="32"/>
      <c r="D1695" s="32"/>
      <c r="E1695" s="19" t="n">
        <f aca="false">+F1695*0.03</f>
        <v>0</v>
      </c>
      <c r="F1695" s="33" t="n">
        <v>0</v>
      </c>
      <c r="G1695" s="62"/>
      <c r="H1695" s="35" t="n">
        <v>0</v>
      </c>
      <c r="I1695" s="34" t="n">
        <f aca="false">+IF(E1695=0,0,E1695*0.03)</f>
        <v>0</v>
      </c>
    </row>
    <row r="1696" customFormat="false" ht="15.75" hidden="false" customHeight="true" outlineLevel="0" collapsed="false">
      <c r="A1696" s="30" t="n">
        <v>45444</v>
      </c>
      <c r="B1696" s="31" t="s">
        <v>153</v>
      </c>
      <c r="C1696" s="32"/>
      <c r="D1696" s="32"/>
      <c r="E1696" s="19" t="n">
        <f aca="false">+F1696*0.03</f>
        <v>0</v>
      </c>
      <c r="F1696" s="33" t="n">
        <v>0</v>
      </c>
      <c r="G1696" s="62"/>
      <c r="H1696" s="35" t="n">
        <v>0</v>
      </c>
      <c r="I1696" s="34" t="n">
        <f aca="false">+IF(E1696=0,0,E1696*0.03)</f>
        <v>0</v>
      </c>
    </row>
    <row r="1697" customFormat="false" ht="15.75" hidden="false" customHeight="true" outlineLevel="0" collapsed="false">
      <c r="A1697" s="30" t="n">
        <v>45444</v>
      </c>
      <c r="B1697" s="31" t="s">
        <v>153</v>
      </c>
      <c r="C1697" s="32"/>
      <c r="D1697" s="32"/>
      <c r="E1697" s="19" t="n">
        <f aca="false">+F1697*0.03</f>
        <v>0</v>
      </c>
      <c r="F1697" s="33" t="n">
        <v>0</v>
      </c>
      <c r="G1697" s="62"/>
      <c r="H1697" s="35" t="n">
        <v>0</v>
      </c>
      <c r="I1697" s="34" t="n">
        <f aca="false">+IF(E1697=0,0,E1697*0.03)</f>
        <v>0</v>
      </c>
    </row>
    <row r="1698" customFormat="false" ht="15.75" hidden="false" customHeight="true" outlineLevel="0" collapsed="false">
      <c r="A1698" s="30" t="n">
        <v>45444</v>
      </c>
      <c r="B1698" s="31" t="s">
        <v>153</v>
      </c>
      <c r="C1698" s="32"/>
      <c r="D1698" s="32"/>
      <c r="E1698" s="19" t="n">
        <f aca="false">+F1698*0.03</f>
        <v>0</v>
      </c>
      <c r="F1698" s="33" t="n">
        <v>0</v>
      </c>
      <c r="G1698" s="62"/>
      <c r="H1698" s="35" t="n">
        <v>0</v>
      </c>
      <c r="I1698" s="34" t="n">
        <f aca="false">+IF(E1698=0,0,E1698*0.03)</f>
        <v>0</v>
      </c>
    </row>
    <row r="1699" customFormat="false" ht="15.75" hidden="false" customHeight="true" outlineLevel="0" collapsed="false">
      <c r="A1699" s="30" t="n">
        <v>45444</v>
      </c>
      <c r="B1699" s="31" t="s">
        <v>153</v>
      </c>
      <c r="C1699" s="32"/>
      <c r="D1699" s="32"/>
      <c r="E1699" s="19" t="n">
        <f aca="false">+F1699*0.03</f>
        <v>0</v>
      </c>
      <c r="F1699" s="33" t="n">
        <v>0</v>
      </c>
      <c r="G1699" s="62"/>
      <c r="H1699" s="35" t="n">
        <v>0</v>
      </c>
      <c r="I1699" s="34" t="n">
        <f aca="false">+IF(E1699=0,0,E1699*0.03)</f>
        <v>0</v>
      </c>
    </row>
    <row r="1700" customFormat="false" ht="15.75" hidden="false" customHeight="true" outlineLevel="0" collapsed="false">
      <c r="A1700" s="30" t="n">
        <v>45444</v>
      </c>
      <c r="B1700" s="31" t="s">
        <v>153</v>
      </c>
      <c r="C1700" s="32"/>
      <c r="D1700" s="32"/>
      <c r="E1700" s="19" t="n">
        <f aca="false">+F1700*0.03</f>
        <v>0</v>
      </c>
      <c r="F1700" s="33" t="n">
        <v>0</v>
      </c>
      <c r="G1700" s="62"/>
      <c r="H1700" s="35" t="n">
        <v>0</v>
      </c>
      <c r="I1700" s="34" t="n">
        <f aca="false">+IF(E1700=0,0,E1700*0.03)</f>
        <v>0</v>
      </c>
    </row>
    <row r="1701" customFormat="false" ht="15.75" hidden="false" customHeight="true" outlineLevel="0" collapsed="false">
      <c r="A1701" s="30" t="n">
        <v>45444</v>
      </c>
      <c r="B1701" s="31" t="s">
        <v>153</v>
      </c>
      <c r="C1701" s="32"/>
      <c r="D1701" s="32"/>
      <c r="E1701" s="19" t="n">
        <f aca="false">+F1701*0.03</f>
        <v>0</v>
      </c>
      <c r="F1701" s="33" t="n">
        <v>0</v>
      </c>
      <c r="G1701" s="62"/>
      <c r="H1701" s="35" t="n">
        <v>0</v>
      </c>
      <c r="I1701" s="34" t="n">
        <f aca="false">+IF(E1701=0,0,E1701*0.03)</f>
        <v>0</v>
      </c>
    </row>
    <row r="1702" customFormat="false" ht="15.75" hidden="false" customHeight="true" outlineLevel="0" collapsed="false">
      <c r="A1702" s="30" t="n">
        <v>45444</v>
      </c>
      <c r="B1702" s="31" t="s">
        <v>153</v>
      </c>
      <c r="C1702" s="32"/>
      <c r="D1702" s="32"/>
      <c r="E1702" s="19" t="n">
        <f aca="false">+F1702*0.03</f>
        <v>0</v>
      </c>
      <c r="F1702" s="33" t="n">
        <v>0</v>
      </c>
      <c r="G1702" s="62"/>
      <c r="H1702" s="35" t="n">
        <v>0</v>
      </c>
      <c r="I1702" s="34" t="n">
        <f aca="false">+IF(E1702=0,0,E1702*0.03)</f>
        <v>0</v>
      </c>
    </row>
    <row r="1703" customFormat="false" ht="15.75" hidden="false" customHeight="true" outlineLevel="0" collapsed="false">
      <c r="A1703" s="30" t="n">
        <v>45444</v>
      </c>
      <c r="B1703" s="31" t="s">
        <v>153</v>
      </c>
      <c r="C1703" s="32"/>
      <c r="D1703" s="32"/>
      <c r="E1703" s="19" t="n">
        <f aca="false">+F1703*0.03</f>
        <v>0</v>
      </c>
      <c r="F1703" s="33" t="n">
        <v>0</v>
      </c>
      <c r="G1703" s="62"/>
      <c r="H1703" s="35" t="n">
        <v>0</v>
      </c>
      <c r="I1703" s="34" t="n">
        <f aca="false">+IF(E1703=0,0,E1703*0.03)</f>
        <v>0</v>
      </c>
    </row>
    <row r="1704" customFormat="false" ht="15.75" hidden="false" customHeight="true" outlineLevel="0" collapsed="false">
      <c r="A1704" s="30" t="n">
        <v>45444</v>
      </c>
      <c r="B1704" s="31" t="s">
        <v>153</v>
      </c>
      <c r="C1704" s="32"/>
      <c r="D1704" s="32"/>
      <c r="E1704" s="19" t="n">
        <f aca="false">+F1704*0.03</f>
        <v>0</v>
      </c>
      <c r="F1704" s="33" t="n">
        <v>0</v>
      </c>
      <c r="G1704" s="62"/>
      <c r="H1704" s="35" t="n">
        <v>0</v>
      </c>
      <c r="I1704" s="34" t="n">
        <f aca="false">+IF(E1704=0,0,E1704*0.03)</f>
        <v>0</v>
      </c>
    </row>
    <row r="1705" customFormat="false" ht="15.75" hidden="false" customHeight="true" outlineLevel="0" collapsed="false">
      <c r="A1705" s="30" t="n">
        <v>45444</v>
      </c>
      <c r="B1705" s="31" t="s">
        <v>153</v>
      </c>
      <c r="C1705" s="32"/>
      <c r="D1705" s="32"/>
      <c r="E1705" s="19" t="n">
        <f aca="false">+F1705*0.03</f>
        <v>0</v>
      </c>
      <c r="F1705" s="33" t="n">
        <v>0</v>
      </c>
      <c r="G1705" s="62"/>
      <c r="H1705" s="35" t="n">
        <v>0</v>
      </c>
      <c r="I1705" s="34" t="n">
        <f aca="false">+IF(E1705=0,0,E1705*0.03)</f>
        <v>0</v>
      </c>
    </row>
    <row r="1706" customFormat="false" ht="15.75" hidden="false" customHeight="true" outlineLevel="0" collapsed="false">
      <c r="A1706" s="30" t="n">
        <v>45444</v>
      </c>
      <c r="B1706" s="31" t="s">
        <v>153</v>
      </c>
      <c r="C1706" s="32"/>
      <c r="D1706" s="32"/>
      <c r="E1706" s="19" t="n">
        <f aca="false">+F1706*0.03</f>
        <v>0</v>
      </c>
      <c r="F1706" s="33" t="n">
        <v>0</v>
      </c>
      <c r="G1706" s="62"/>
      <c r="H1706" s="35" t="n">
        <v>0</v>
      </c>
      <c r="I1706" s="34" t="n">
        <f aca="false">+IF(E1706=0,0,E1706*0.03)</f>
        <v>0</v>
      </c>
    </row>
    <row r="1707" customFormat="false" ht="15.75" hidden="false" customHeight="true" outlineLevel="0" collapsed="false">
      <c r="A1707" s="30" t="n">
        <v>45444</v>
      </c>
      <c r="B1707" s="31" t="s">
        <v>153</v>
      </c>
      <c r="C1707" s="32"/>
      <c r="D1707" s="32"/>
      <c r="E1707" s="19" t="n">
        <f aca="false">+F1707*0.03</f>
        <v>0</v>
      </c>
      <c r="F1707" s="33" t="n">
        <v>0</v>
      </c>
      <c r="G1707" s="62"/>
      <c r="H1707" s="35" t="n">
        <v>0</v>
      </c>
      <c r="I1707" s="34" t="n">
        <f aca="false">+IF(E1707=0,0,E1707*0.03)</f>
        <v>0</v>
      </c>
    </row>
    <row r="1708" customFormat="false" ht="15.75" hidden="false" customHeight="true" outlineLevel="0" collapsed="false">
      <c r="A1708" s="30" t="n">
        <v>45444</v>
      </c>
      <c r="B1708" s="31" t="s">
        <v>153</v>
      </c>
      <c r="C1708" s="32"/>
      <c r="D1708" s="32"/>
      <c r="E1708" s="19" t="n">
        <f aca="false">+F1708*0.03</f>
        <v>0</v>
      </c>
      <c r="F1708" s="33" t="n">
        <v>0</v>
      </c>
      <c r="G1708" s="62"/>
      <c r="H1708" s="35" t="n">
        <v>0</v>
      </c>
      <c r="I1708" s="34" t="n">
        <f aca="false">+IF(E1708=0,0,E1708*0.03)</f>
        <v>0</v>
      </c>
    </row>
    <row r="1709" customFormat="false" ht="15.75" hidden="false" customHeight="true" outlineLevel="0" collapsed="false">
      <c r="A1709" s="30" t="n">
        <v>45444</v>
      </c>
      <c r="B1709" s="31" t="s">
        <v>153</v>
      </c>
      <c r="C1709" s="32"/>
      <c r="D1709" s="32"/>
      <c r="E1709" s="19" t="n">
        <f aca="false">+F1709*0.03</f>
        <v>0</v>
      </c>
      <c r="F1709" s="33" t="n">
        <v>0</v>
      </c>
      <c r="G1709" s="62"/>
      <c r="H1709" s="35" t="n">
        <v>0</v>
      </c>
      <c r="I1709" s="34" t="n">
        <f aca="false">+IF(E1709=0,0,E1709*0.03)</f>
        <v>0</v>
      </c>
    </row>
    <row r="1710" customFormat="false" ht="15.75" hidden="false" customHeight="true" outlineLevel="0" collapsed="false">
      <c r="A1710" s="30" t="n">
        <v>45444</v>
      </c>
      <c r="B1710" s="31" t="s">
        <v>153</v>
      </c>
      <c r="C1710" s="32"/>
      <c r="D1710" s="32"/>
      <c r="E1710" s="19" t="n">
        <f aca="false">+F1710*0.03</f>
        <v>0</v>
      </c>
      <c r="F1710" s="33" t="n">
        <v>0</v>
      </c>
      <c r="G1710" s="62"/>
      <c r="H1710" s="35" t="n">
        <v>0</v>
      </c>
      <c r="I1710" s="34" t="n">
        <f aca="false">+IF(E1710=0,0,E1710*0.03)</f>
        <v>0</v>
      </c>
    </row>
    <row r="1711" customFormat="false" ht="15.75" hidden="false" customHeight="true" outlineLevel="0" collapsed="false">
      <c r="A1711" s="30" t="n">
        <v>45444</v>
      </c>
      <c r="B1711" s="31" t="s">
        <v>153</v>
      </c>
      <c r="C1711" s="32"/>
      <c r="D1711" s="32"/>
      <c r="E1711" s="19" t="n">
        <f aca="false">+F1711*0.03</f>
        <v>0</v>
      </c>
      <c r="F1711" s="33" t="n">
        <v>0</v>
      </c>
      <c r="G1711" s="62"/>
      <c r="H1711" s="35" t="n">
        <v>0</v>
      </c>
      <c r="I1711" s="34" t="n">
        <f aca="false">+IF(E1711=0,0,E1711*0.03)</f>
        <v>0</v>
      </c>
    </row>
    <row r="1712" customFormat="false" ht="15.75" hidden="false" customHeight="true" outlineLevel="0" collapsed="false">
      <c r="A1712" s="30" t="n">
        <v>45444</v>
      </c>
      <c r="B1712" s="31" t="s">
        <v>153</v>
      </c>
      <c r="C1712" s="32"/>
      <c r="D1712" s="32"/>
      <c r="E1712" s="19" t="n">
        <f aca="false">+F1712*0.03</f>
        <v>0</v>
      </c>
      <c r="F1712" s="33" t="n">
        <v>0</v>
      </c>
      <c r="G1712" s="62"/>
      <c r="H1712" s="35" t="n">
        <v>0</v>
      </c>
      <c r="I1712" s="34" t="n">
        <f aca="false">+IF(E1712=0,0,E1712*0.03)</f>
        <v>0</v>
      </c>
    </row>
    <row r="1713" customFormat="false" ht="15.75" hidden="false" customHeight="true" outlineLevel="0" collapsed="false">
      <c r="A1713" s="30" t="n">
        <v>45444</v>
      </c>
      <c r="B1713" s="31" t="s">
        <v>153</v>
      </c>
      <c r="C1713" s="32"/>
      <c r="D1713" s="32"/>
      <c r="E1713" s="19" t="n">
        <f aca="false">+F1713*0.03</f>
        <v>0</v>
      </c>
      <c r="F1713" s="33" t="n">
        <v>0</v>
      </c>
      <c r="G1713" s="62"/>
      <c r="H1713" s="35" t="n">
        <v>0</v>
      </c>
      <c r="I1713" s="34" t="n">
        <f aca="false">+IF(E1713=0,0,E1713*0.03)</f>
        <v>0</v>
      </c>
    </row>
    <row r="1714" customFormat="false" ht="15.75" hidden="false" customHeight="true" outlineLevel="0" collapsed="false">
      <c r="A1714" s="30" t="n">
        <v>45444</v>
      </c>
      <c r="B1714" s="31" t="s">
        <v>153</v>
      </c>
      <c r="C1714" s="32"/>
      <c r="D1714" s="32"/>
      <c r="E1714" s="19" t="n">
        <f aca="false">+F1714*0.03</f>
        <v>0</v>
      </c>
      <c r="F1714" s="33" t="n">
        <v>0</v>
      </c>
      <c r="G1714" s="62"/>
      <c r="H1714" s="35" t="n">
        <v>0</v>
      </c>
      <c r="I1714" s="34" t="n">
        <f aca="false">+IF(E1714=0,0,E1714*0.03)</f>
        <v>0</v>
      </c>
    </row>
    <row r="1715" customFormat="false" ht="15.75" hidden="false" customHeight="true" outlineLevel="0" collapsed="false">
      <c r="A1715" s="30" t="n">
        <v>45444</v>
      </c>
      <c r="B1715" s="31" t="s">
        <v>153</v>
      </c>
      <c r="C1715" s="32"/>
      <c r="D1715" s="32"/>
      <c r="E1715" s="19" t="n">
        <f aca="false">+F1715*0.03</f>
        <v>0</v>
      </c>
      <c r="F1715" s="33" t="n">
        <v>0</v>
      </c>
      <c r="G1715" s="62"/>
      <c r="H1715" s="35" t="n">
        <v>0</v>
      </c>
      <c r="I1715" s="34" t="n">
        <f aca="false">+IF(E1715=0,0,E1715*0.03)</f>
        <v>0</v>
      </c>
    </row>
    <row r="1716" customFormat="false" ht="15.75" hidden="false" customHeight="true" outlineLevel="0" collapsed="false">
      <c r="A1716" s="30" t="n">
        <v>45444</v>
      </c>
      <c r="B1716" s="31" t="s">
        <v>153</v>
      </c>
      <c r="C1716" s="32"/>
      <c r="D1716" s="32"/>
      <c r="E1716" s="19" t="n">
        <f aca="false">+F1716*0.03</f>
        <v>0</v>
      </c>
      <c r="F1716" s="33" t="n">
        <v>0</v>
      </c>
      <c r="G1716" s="62"/>
      <c r="H1716" s="35" t="n">
        <v>0</v>
      </c>
      <c r="I1716" s="34" t="n">
        <f aca="false">+IF(E1716=0,0,E1716*0.03)</f>
        <v>0</v>
      </c>
    </row>
    <row r="1717" customFormat="false" ht="15.75" hidden="false" customHeight="true" outlineLevel="0" collapsed="false">
      <c r="A1717" s="30" t="n">
        <v>45444</v>
      </c>
      <c r="B1717" s="31" t="s">
        <v>153</v>
      </c>
      <c r="C1717" s="32"/>
      <c r="D1717" s="32"/>
      <c r="E1717" s="19" t="n">
        <f aca="false">+F1717*0.03</f>
        <v>0</v>
      </c>
      <c r="F1717" s="33" t="n">
        <v>0</v>
      </c>
      <c r="G1717" s="62"/>
      <c r="H1717" s="35" t="n">
        <v>0</v>
      </c>
      <c r="I1717" s="34" t="n">
        <f aca="false">+IF(E1717=0,0,E1717*0.03)</f>
        <v>0</v>
      </c>
    </row>
    <row r="1718" customFormat="false" ht="15.75" hidden="false" customHeight="true" outlineLevel="0" collapsed="false">
      <c r="A1718" s="30" t="n">
        <v>45444</v>
      </c>
      <c r="B1718" s="31" t="s">
        <v>153</v>
      </c>
      <c r="C1718" s="32"/>
      <c r="D1718" s="32"/>
      <c r="E1718" s="19" t="n">
        <f aca="false">+F1718*0.03</f>
        <v>0</v>
      </c>
      <c r="F1718" s="33" t="n">
        <v>0</v>
      </c>
      <c r="G1718" s="62"/>
      <c r="H1718" s="35" t="n">
        <v>0</v>
      </c>
      <c r="I1718" s="34" t="n">
        <f aca="false">+IF(E1718=0,0,E1718*0.03)</f>
        <v>0</v>
      </c>
    </row>
    <row r="1719" customFormat="false" ht="15.75" hidden="false" customHeight="true" outlineLevel="0" collapsed="false">
      <c r="A1719" s="30" t="n">
        <v>45444</v>
      </c>
      <c r="B1719" s="31" t="s">
        <v>153</v>
      </c>
      <c r="C1719" s="32"/>
      <c r="D1719" s="32"/>
      <c r="E1719" s="19" t="n">
        <f aca="false">+F1719*0.03</f>
        <v>0</v>
      </c>
      <c r="F1719" s="33" t="n">
        <v>0</v>
      </c>
      <c r="G1719" s="62"/>
      <c r="H1719" s="35" t="n">
        <v>0</v>
      </c>
      <c r="I1719" s="34" t="n">
        <f aca="false">+IF(E1719=0,0,E1719*0.03)</f>
        <v>0</v>
      </c>
    </row>
    <row r="1720" customFormat="false" ht="15.75" hidden="false" customHeight="true" outlineLevel="0" collapsed="false">
      <c r="A1720" s="30" t="n">
        <v>45444</v>
      </c>
      <c r="B1720" s="31" t="s">
        <v>153</v>
      </c>
      <c r="C1720" s="32"/>
      <c r="D1720" s="32"/>
      <c r="E1720" s="19" t="n">
        <f aca="false">+F1720*0.03</f>
        <v>0</v>
      </c>
      <c r="F1720" s="33" t="n">
        <v>0</v>
      </c>
      <c r="G1720" s="62"/>
      <c r="H1720" s="35" t="n">
        <v>0</v>
      </c>
      <c r="I1720" s="34" t="n">
        <f aca="false">+IF(E1720=0,0,E1720*0.03)</f>
        <v>0</v>
      </c>
    </row>
    <row r="1721" customFormat="false" ht="15.75" hidden="false" customHeight="true" outlineLevel="0" collapsed="false">
      <c r="A1721" s="30" t="n">
        <v>45444</v>
      </c>
      <c r="B1721" s="31" t="s">
        <v>153</v>
      </c>
      <c r="C1721" s="32"/>
      <c r="D1721" s="32"/>
      <c r="E1721" s="19" t="n">
        <f aca="false">+F1721*0.03</f>
        <v>0</v>
      </c>
      <c r="F1721" s="33" t="n">
        <v>0</v>
      </c>
      <c r="G1721" s="62"/>
      <c r="H1721" s="35" t="n">
        <v>0</v>
      </c>
      <c r="I1721" s="34" t="n">
        <f aca="false">+IF(E1721=0,0,E1721*0.03)</f>
        <v>0</v>
      </c>
    </row>
    <row r="1722" customFormat="false" ht="15.75" hidden="false" customHeight="true" outlineLevel="0" collapsed="false">
      <c r="A1722" s="30" t="n">
        <v>45444</v>
      </c>
      <c r="B1722" s="31" t="s">
        <v>153</v>
      </c>
      <c r="C1722" s="32"/>
      <c r="D1722" s="32"/>
      <c r="E1722" s="19" t="n">
        <f aca="false">+F1722*0.03</f>
        <v>0</v>
      </c>
      <c r="F1722" s="33" t="n">
        <v>0</v>
      </c>
      <c r="G1722" s="62"/>
      <c r="H1722" s="35" t="n">
        <v>0</v>
      </c>
      <c r="I1722" s="34" t="n">
        <f aca="false">+IF(E1722=0,0,E1722*0.03)</f>
        <v>0</v>
      </c>
    </row>
    <row r="1723" customFormat="false" ht="15.75" hidden="false" customHeight="true" outlineLevel="0" collapsed="false">
      <c r="A1723" s="30" t="n">
        <v>45444</v>
      </c>
      <c r="B1723" s="31" t="s">
        <v>153</v>
      </c>
      <c r="C1723" s="32"/>
      <c r="D1723" s="32"/>
      <c r="E1723" s="19" t="n">
        <f aca="false">+F1723*0.03</f>
        <v>0</v>
      </c>
      <c r="F1723" s="33" t="n">
        <v>0</v>
      </c>
      <c r="G1723" s="62"/>
      <c r="H1723" s="35" t="n">
        <v>0</v>
      </c>
      <c r="I1723" s="34" t="n">
        <f aca="false">+IF(E1723=0,0,E1723*0.03)</f>
        <v>0</v>
      </c>
    </row>
    <row r="1724" customFormat="false" ht="15.75" hidden="false" customHeight="true" outlineLevel="0" collapsed="false">
      <c r="A1724" s="30" t="n">
        <v>45444</v>
      </c>
      <c r="B1724" s="31" t="s">
        <v>153</v>
      </c>
      <c r="C1724" s="32"/>
      <c r="D1724" s="32"/>
      <c r="E1724" s="19" t="n">
        <f aca="false">+F1724*0.03</f>
        <v>0</v>
      </c>
      <c r="F1724" s="33" t="n">
        <v>0</v>
      </c>
      <c r="G1724" s="62"/>
      <c r="H1724" s="35" t="n">
        <v>0</v>
      </c>
      <c r="I1724" s="34" t="n">
        <f aca="false">+IF(E1724=0,0,E1724*0.03)</f>
        <v>0</v>
      </c>
    </row>
    <row r="1725" customFormat="false" ht="15.75" hidden="false" customHeight="true" outlineLevel="0" collapsed="false">
      <c r="A1725" s="30" t="n">
        <v>45444</v>
      </c>
      <c r="B1725" s="31" t="s">
        <v>153</v>
      </c>
      <c r="C1725" s="32"/>
      <c r="D1725" s="32"/>
      <c r="E1725" s="19" t="n">
        <f aca="false">+F1725*0.03</f>
        <v>0</v>
      </c>
      <c r="F1725" s="33" t="n">
        <v>0</v>
      </c>
      <c r="G1725" s="62"/>
      <c r="H1725" s="35" t="n">
        <v>0</v>
      </c>
      <c r="I1725" s="34" t="n">
        <f aca="false">+IF(E1725=0,0,E1725*0.03)</f>
        <v>0</v>
      </c>
    </row>
    <row r="1726" customFormat="false" ht="15.75" hidden="false" customHeight="true" outlineLevel="0" collapsed="false">
      <c r="A1726" s="30" t="n">
        <v>45444</v>
      </c>
      <c r="B1726" s="31" t="s">
        <v>153</v>
      </c>
      <c r="C1726" s="32"/>
      <c r="D1726" s="32"/>
      <c r="E1726" s="19" t="n">
        <f aca="false">+F1726*0.03</f>
        <v>0</v>
      </c>
      <c r="F1726" s="33" t="n">
        <v>0</v>
      </c>
      <c r="G1726" s="62"/>
      <c r="H1726" s="35" t="n">
        <v>0</v>
      </c>
      <c r="I1726" s="34" t="n">
        <f aca="false">+IF(E1726=0,0,E1726*0.03)</f>
        <v>0</v>
      </c>
    </row>
    <row r="1727" customFormat="false" ht="15.75" hidden="false" customHeight="true" outlineLevel="0" collapsed="false">
      <c r="A1727" s="30" t="n">
        <v>45444</v>
      </c>
      <c r="B1727" s="31" t="s">
        <v>153</v>
      </c>
      <c r="C1727" s="32"/>
      <c r="D1727" s="32"/>
      <c r="E1727" s="19" t="n">
        <f aca="false">+F1727*0.03</f>
        <v>0</v>
      </c>
      <c r="F1727" s="33" t="n">
        <v>0</v>
      </c>
      <c r="G1727" s="62"/>
      <c r="H1727" s="35" t="n">
        <v>0</v>
      </c>
      <c r="I1727" s="34" t="n">
        <f aca="false">+IF(E1727=0,0,E1727*0.03)</f>
        <v>0</v>
      </c>
    </row>
    <row r="1728" customFormat="false" ht="15.75" hidden="false" customHeight="true" outlineLevel="0" collapsed="false">
      <c r="A1728" s="30" t="n">
        <v>45444</v>
      </c>
      <c r="B1728" s="31" t="s">
        <v>153</v>
      </c>
      <c r="C1728" s="32"/>
      <c r="D1728" s="32"/>
      <c r="E1728" s="19" t="n">
        <f aca="false">+F1728*0.03</f>
        <v>0</v>
      </c>
      <c r="F1728" s="33" t="n">
        <v>0</v>
      </c>
      <c r="G1728" s="62"/>
      <c r="H1728" s="35" t="n">
        <v>0</v>
      </c>
      <c r="I1728" s="34" t="n">
        <f aca="false">+IF(E1728=0,0,E1728*0.03)</f>
        <v>0</v>
      </c>
    </row>
    <row r="1729" customFormat="false" ht="15.75" hidden="false" customHeight="true" outlineLevel="0" collapsed="false">
      <c r="A1729" s="30" t="n">
        <v>45444</v>
      </c>
      <c r="B1729" s="31" t="s">
        <v>153</v>
      </c>
      <c r="C1729" s="32"/>
      <c r="D1729" s="32"/>
      <c r="E1729" s="19" t="n">
        <f aca="false">+F1729*0.03</f>
        <v>0</v>
      </c>
      <c r="F1729" s="33" t="n">
        <v>0</v>
      </c>
      <c r="G1729" s="62"/>
      <c r="H1729" s="35" t="n">
        <v>0</v>
      </c>
      <c r="I1729" s="34" t="n">
        <f aca="false">+IF(E1729=0,0,E1729*0.03)</f>
        <v>0</v>
      </c>
    </row>
    <row r="1730" customFormat="false" ht="15.75" hidden="false" customHeight="true" outlineLevel="0" collapsed="false">
      <c r="A1730" s="30" t="n">
        <v>45444</v>
      </c>
      <c r="B1730" s="31" t="s">
        <v>153</v>
      </c>
      <c r="C1730" s="32"/>
      <c r="D1730" s="32"/>
      <c r="E1730" s="19" t="n">
        <f aca="false">+F1730*0.03</f>
        <v>0</v>
      </c>
      <c r="F1730" s="33" t="n">
        <v>0</v>
      </c>
      <c r="G1730" s="62"/>
      <c r="H1730" s="35" t="n">
        <v>0</v>
      </c>
      <c r="I1730" s="34" t="n">
        <f aca="false">+IF(E1730=0,0,E1730*0.03)</f>
        <v>0</v>
      </c>
    </row>
    <row r="1731" customFormat="false" ht="15.75" hidden="false" customHeight="true" outlineLevel="0" collapsed="false">
      <c r="A1731" s="30" t="n">
        <v>45444</v>
      </c>
      <c r="B1731" s="31" t="s">
        <v>153</v>
      </c>
      <c r="C1731" s="32"/>
      <c r="D1731" s="32"/>
      <c r="E1731" s="19" t="n">
        <f aca="false">+F1731*0.03</f>
        <v>0</v>
      </c>
      <c r="F1731" s="33" t="n">
        <v>0</v>
      </c>
      <c r="G1731" s="62"/>
      <c r="H1731" s="35" t="n">
        <v>0</v>
      </c>
      <c r="I1731" s="34" t="n">
        <f aca="false">+IF(E1731=0,0,E1731*0.03)</f>
        <v>0</v>
      </c>
    </row>
    <row r="1732" customFormat="false" ht="15.75" hidden="false" customHeight="true" outlineLevel="0" collapsed="false">
      <c r="A1732" s="30" t="n">
        <v>45444</v>
      </c>
      <c r="B1732" s="31" t="s">
        <v>153</v>
      </c>
      <c r="C1732" s="32"/>
      <c r="D1732" s="32"/>
      <c r="E1732" s="19" t="n">
        <f aca="false">+F1732*0.03</f>
        <v>0</v>
      </c>
      <c r="F1732" s="33" t="n">
        <v>0</v>
      </c>
      <c r="G1732" s="62"/>
      <c r="H1732" s="35" t="n">
        <v>0</v>
      </c>
      <c r="I1732" s="34" t="n">
        <f aca="false">+IF(E1732=0,0,E1732*0.03)</f>
        <v>0</v>
      </c>
    </row>
    <row r="1733" customFormat="false" ht="15.75" hidden="false" customHeight="true" outlineLevel="0" collapsed="false">
      <c r="A1733" s="30" t="n">
        <v>45444</v>
      </c>
      <c r="B1733" s="31" t="s">
        <v>153</v>
      </c>
      <c r="C1733" s="32"/>
      <c r="D1733" s="32"/>
      <c r="E1733" s="19" t="n">
        <f aca="false">+F1733*0.03</f>
        <v>0</v>
      </c>
      <c r="F1733" s="33" t="n">
        <v>0</v>
      </c>
      <c r="G1733" s="62"/>
      <c r="H1733" s="35" t="n">
        <v>0</v>
      </c>
      <c r="I1733" s="34" t="n">
        <f aca="false">+IF(E1733=0,0,E1733*0.03)</f>
        <v>0</v>
      </c>
    </row>
    <row r="1734" customFormat="false" ht="15.75" hidden="false" customHeight="true" outlineLevel="0" collapsed="false">
      <c r="A1734" s="30" t="n">
        <v>45444</v>
      </c>
      <c r="B1734" s="31" t="s">
        <v>153</v>
      </c>
      <c r="C1734" s="32"/>
      <c r="D1734" s="32"/>
      <c r="E1734" s="19" t="n">
        <f aca="false">+F1734*0.03</f>
        <v>0</v>
      </c>
      <c r="F1734" s="33" t="n">
        <v>0</v>
      </c>
      <c r="G1734" s="62"/>
      <c r="H1734" s="35" t="n">
        <v>0</v>
      </c>
      <c r="I1734" s="34" t="n">
        <f aca="false">+IF(E1734=0,0,E1734*0.03)</f>
        <v>0</v>
      </c>
    </row>
    <row r="1735" customFormat="false" ht="15.75" hidden="false" customHeight="true" outlineLevel="0" collapsed="false">
      <c r="A1735" s="30" t="n">
        <v>45444</v>
      </c>
      <c r="B1735" s="31" t="s">
        <v>153</v>
      </c>
      <c r="C1735" s="32"/>
      <c r="D1735" s="32"/>
      <c r="E1735" s="19" t="n">
        <f aca="false">+F1735*0.03</f>
        <v>0</v>
      </c>
      <c r="F1735" s="33" t="n">
        <v>0</v>
      </c>
      <c r="G1735" s="62"/>
      <c r="H1735" s="35" t="n">
        <v>0</v>
      </c>
      <c r="I1735" s="34" t="n">
        <f aca="false">+IF(E1735=0,0,E1735*0.03)</f>
        <v>0</v>
      </c>
    </row>
    <row r="1736" customFormat="false" ht="15.75" hidden="false" customHeight="true" outlineLevel="0" collapsed="false">
      <c r="A1736" s="30" t="n">
        <v>45444</v>
      </c>
      <c r="B1736" s="31" t="s">
        <v>153</v>
      </c>
      <c r="C1736" s="32"/>
      <c r="D1736" s="32"/>
      <c r="E1736" s="19" t="n">
        <f aca="false">+F1736*0.03</f>
        <v>0</v>
      </c>
      <c r="F1736" s="33" t="n">
        <v>0</v>
      </c>
      <c r="G1736" s="62"/>
      <c r="H1736" s="35" t="n">
        <v>0</v>
      </c>
      <c r="I1736" s="34" t="n">
        <f aca="false">+IF(E1736=0,0,E1736*0.03)</f>
        <v>0</v>
      </c>
    </row>
    <row r="1737" customFormat="false" ht="15.75" hidden="false" customHeight="true" outlineLevel="0" collapsed="false">
      <c r="A1737" s="30" t="n">
        <v>45444</v>
      </c>
      <c r="B1737" s="31" t="s">
        <v>153</v>
      </c>
      <c r="C1737" s="32"/>
      <c r="D1737" s="32"/>
      <c r="E1737" s="19" t="n">
        <f aca="false">+F1737*0.03</f>
        <v>0</v>
      </c>
      <c r="F1737" s="33" t="n">
        <v>0</v>
      </c>
      <c r="G1737" s="62"/>
      <c r="H1737" s="35" t="n">
        <v>0</v>
      </c>
      <c r="I1737" s="34" t="n">
        <f aca="false">+IF(E1737=0,0,E1737*0.03)</f>
        <v>0</v>
      </c>
    </row>
    <row r="1738" customFormat="false" ht="15.75" hidden="false" customHeight="true" outlineLevel="0" collapsed="false">
      <c r="A1738" s="30" t="n">
        <v>45444</v>
      </c>
      <c r="B1738" s="31" t="s">
        <v>153</v>
      </c>
      <c r="C1738" s="32"/>
      <c r="D1738" s="32"/>
      <c r="E1738" s="19" t="n">
        <f aca="false">+F1738*0.03</f>
        <v>0</v>
      </c>
      <c r="F1738" s="33" t="n">
        <v>0</v>
      </c>
      <c r="G1738" s="62"/>
      <c r="H1738" s="35" t="n">
        <v>0</v>
      </c>
      <c r="I1738" s="34" t="n">
        <f aca="false">+IF(E1738=0,0,E1738*0.03)</f>
        <v>0</v>
      </c>
    </row>
    <row r="1739" customFormat="false" ht="15.75" hidden="false" customHeight="true" outlineLevel="0" collapsed="false">
      <c r="A1739" s="30" t="n">
        <v>45444</v>
      </c>
      <c r="B1739" s="31" t="s">
        <v>153</v>
      </c>
      <c r="C1739" s="32"/>
      <c r="D1739" s="32"/>
      <c r="E1739" s="19" t="n">
        <f aca="false">+F1739*0.03</f>
        <v>0</v>
      </c>
      <c r="F1739" s="33" t="n">
        <v>0</v>
      </c>
      <c r="G1739" s="62"/>
      <c r="H1739" s="35" t="n">
        <v>0</v>
      </c>
      <c r="I1739" s="34" t="n">
        <f aca="false">+IF(E1739=0,0,E1739*0.03)</f>
        <v>0</v>
      </c>
    </row>
    <row r="1740" customFormat="false" ht="15.75" hidden="false" customHeight="true" outlineLevel="0" collapsed="false">
      <c r="A1740" s="30" t="n">
        <v>45444</v>
      </c>
      <c r="B1740" s="31" t="s">
        <v>153</v>
      </c>
      <c r="C1740" s="32"/>
      <c r="D1740" s="32"/>
      <c r="E1740" s="19" t="n">
        <f aca="false">+F1740*0.03</f>
        <v>0</v>
      </c>
      <c r="F1740" s="33" t="n">
        <v>0</v>
      </c>
      <c r="G1740" s="62"/>
      <c r="H1740" s="35" t="n">
        <v>0</v>
      </c>
      <c r="I1740" s="34" t="n">
        <f aca="false">+IF(E1740=0,0,E1740*0.03)</f>
        <v>0</v>
      </c>
    </row>
    <row r="1741" customFormat="false" ht="15.75" hidden="false" customHeight="true" outlineLevel="0" collapsed="false">
      <c r="A1741" s="30" t="n">
        <v>45444</v>
      </c>
      <c r="B1741" s="31" t="s">
        <v>153</v>
      </c>
      <c r="C1741" s="32"/>
      <c r="D1741" s="32"/>
      <c r="E1741" s="19" t="n">
        <f aca="false">+F1741*0.03</f>
        <v>0</v>
      </c>
      <c r="F1741" s="33" t="n">
        <v>0</v>
      </c>
      <c r="G1741" s="62"/>
      <c r="H1741" s="35" t="n">
        <v>0</v>
      </c>
      <c r="I1741" s="34" t="n">
        <f aca="false">+IF(E1741=0,0,E1741*0.03)</f>
        <v>0</v>
      </c>
    </row>
    <row r="1742" customFormat="false" ht="15.75" hidden="false" customHeight="true" outlineLevel="0" collapsed="false">
      <c r="A1742" s="30" t="n">
        <v>45444</v>
      </c>
      <c r="B1742" s="31" t="s">
        <v>153</v>
      </c>
      <c r="C1742" s="32"/>
      <c r="D1742" s="32"/>
      <c r="E1742" s="19" t="n">
        <f aca="false">+F1742*0.03</f>
        <v>0</v>
      </c>
      <c r="F1742" s="33" t="n">
        <v>0</v>
      </c>
      <c r="G1742" s="62"/>
      <c r="H1742" s="35" t="n">
        <v>0</v>
      </c>
      <c r="I1742" s="34" t="n">
        <f aca="false">+IF(E1742=0,0,E1742*0.03)</f>
        <v>0</v>
      </c>
    </row>
    <row r="1743" customFormat="false" ht="15.75" hidden="false" customHeight="true" outlineLevel="0" collapsed="false">
      <c r="A1743" s="30" t="n">
        <v>45444</v>
      </c>
      <c r="B1743" s="31" t="s">
        <v>153</v>
      </c>
      <c r="C1743" s="32"/>
      <c r="D1743" s="32"/>
      <c r="E1743" s="19" t="n">
        <f aca="false">+F1743*0.03</f>
        <v>0</v>
      </c>
      <c r="F1743" s="33" t="n">
        <v>0</v>
      </c>
      <c r="G1743" s="62"/>
      <c r="H1743" s="35" t="n">
        <v>0</v>
      </c>
      <c r="I1743" s="34" t="n">
        <f aca="false">+IF(E1743=0,0,E1743*0.03)</f>
        <v>0</v>
      </c>
    </row>
    <row r="1744" customFormat="false" ht="15.75" hidden="false" customHeight="true" outlineLevel="0" collapsed="false">
      <c r="A1744" s="30" t="n">
        <v>45444</v>
      </c>
      <c r="B1744" s="31" t="s">
        <v>153</v>
      </c>
      <c r="C1744" s="32"/>
      <c r="D1744" s="32"/>
      <c r="E1744" s="19" t="n">
        <f aca="false">+F1744*0.03</f>
        <v>0</v>
      </c>
      <c r="F1744" s="33" t="n">
        <v>0</v>
      </c>
      <c r="G1744" s="62"/>
      <c r="H1744" s="35" t="n">
        <v>0</v>
      </c>
      <c r="I1744" s="34" t="n">
        <f aca="false">+IF(E1744=0,0,E1744*0.03)</f>
        <v>0</v>
      </c>
    </row>
    <row r="1745" customFormat="false" ht="15.75" hidden="false" customHeight="true" outlineLevel="0" collapsed="false">
      <c r="A1745" s="30" t="n">
        <v>45444</v>
      </c>
      <c r="B1745" s="31" t="s">
        <v>153</v>
      </c>
      <c r="C1745" s="32"/>
      <c r="D1745" s="32"/>
      <c r="E1745" s="19" t="n">
        <f aca="false">+F1745*0.03</f>
        <v>0</v>
      </c>
      <c r="F1745" s="33" t="n">
        <v>0</v>
      </c>
      <c r="G1745" s="62"/>
      <c r="H1745" s="35" t="n">
        <v>0</v>
      </c>
      <c r="I1745" s="34" t="n">
        <f aca="false">+IF(E1745=0,0,E1745*0.03)</f>
        <v>0</v>
      </c>
    </row>
    <row r="1746" customFormat="false" ht="15.75" hidden="false" customHeight="true" outlineLevel="0" collapsed="false">
      <c r="A1746" s="30" t="n">
        <v>45444</v>
      </c>
      <c r="B1746" s="31" t="s">
        <v>153</v>
      </c>
      <c r="C1746" s="32"/>
      <c r="D1746" s="32"/>
      <c r="E1746" s="19" t="n">
        <f aca="false">+F1746*0.03</f>
        <v>0</v>
      </c>
      <c r="F1746" s="33" t="n">
        <v>0</v>
      </c>
      <c r="G1746" s="62"/>
      <c r="H1746" s="35" t="n">
        <v>0</v>
      </c>
      <c r="I1746" s="34" t="n">
        <f aca="false">+IF(E1746=0,0,E1746*0.03)</f>
        <v>0</v>
      </c>
    </row>
    <row r="1747" customFormat="false" ht="15.75" hidden="false" customHeight="true" outlineLevel="0" collapsed="false">
      <c r="A1747" s="30" t="n">
        <v>45444</v>
      </c>
      <c r="B1747" s="31" t="s">
        <v>153</v>
      </c>
      <c r="C1747" s="32"/>
      <c r="D1747" s="32"/>
      <c r="E1747" s="19" t="n">
        <f aca="false">+F1747*0.03</f>
        <v>0</v>
      </c>
      <c r="F1747" s="33" t="n">
        <v>0</v>
      </c>
      <c r="G1747" s="62"/>
      <c r="H1747" s="35" t="n">
        <v>0</v>
      </c>
      <c r="I1747" s="34" t="n">
        <f aca="false">+IF(E1747=0,0,E1747*0.03)</f>
        <v>0</v>
      </c>
    </row>
    <row r="1748" customFormat="false" ht="15.75" hidden="false" customHeight="true" outlineLevel="0" collapsed="false">
      <c r="A1748" s="30" t="n">
        <v>45444</v>
      </c>
      <c r="B1748" s="31" t="s">
        <v>153</v>
      </c>
      <c r="C1748" s="32"/>
      <c r="D1748" s="32"/>
      <c r="E1748" s="19" t="n">
        <f aca="false">+F1748*0.03</f>
        <v>0</v>
      </c>
      <c r="F1748" s="33" t="n">
        <v>0</v>
      </c>
      <c r="G1748" s="62"/>
      <c r="H1748" s="35" t="n">
        <v>0</v>
      </c>
      <c r="I1748" s="34" t="n">
        <f aca="false">+IF(E1748=0,0,E1748*0.03)</f>
        <v>0</v>
      </c>
    </row>
    <row r="1749" customFormat="false" ht="15.75" hidden="false" customHeight="true" outlineLevel="0" collapsed="false">
      <c r="A1749" s="30" t="n">
        <v>45444</v>
      </c>
      <c r="B1749" s="31" t="s">
        <v>153</v>
      </c>
      <c r="C1749" s="32"/>
      <c r="D1749" s="32"/>
      <c r="E1749" s="19" t="n">
        <f aca="false">+F1749*0.03</f>
        <v>0</v>
      </c>
      <c r="F1749" s="33" t="n">
        <v>0</v>
      </c>
      <c r="G1749" s="62"/>
      <c r="H1749" s="35" t="n">
        <v>0</v>
      </c>
      <c r="I1749" s="34" t="n">
        <f aca="false">+IF(E1749=0,0,E1749*0.03)</f>
        <v>0</v>
      </c>
    </row>
    <row r="1750" customFormat="false" ht="15.75" hidden="false" customHeight="true" outlineLevel="0" collapsed="false">
      <c r="A1750" s="30" t="n">
        <v>45444</v>
      </c>
      <c r="B1750" s="31" t="s">
        <v>153</v>
      </c>
      <c r="C1750" s="32"/>
      <c r="D1750" s="32"/>
      <c r="E1750" s="19" t="n">
        <f aca="false">+F1750*0.03</f>
        <v>0</v>
      </c>
      <c r="F1750" s="33" t="n">
        <v>0</v>
      </c>
      <c r="G1750" s="62"/>
      <c r="H1750" s="35" t="n">
        <v>0</v>
      </c>
      <c r="I1750" s="34" t="n">
        <f aca="false">+IF(E1750=0,0,E1750*0.03)</f>
        <v>0</v>
      </c>
    </row>
    <row r="1751" customFormat="false" ht="15.75" hidden="false" customHeight="true" outlineLevel="0" collapsed="false">
      <c r="A1751" s="30" t="n">
        <v>45444</v>
      </c>
      <c r="B1751" s="31" t="s">
        <v>153</v>
      </c>
      <c r="C1751" s="32"/>
      <c r="D1751" s="32"/>
      <c r="E1751" s="19" t="n">
        <f aca="false">+F1751*0.03</f>
        <v>0</v>
      </c>
      <c r="F1751" s="33" t="n">
        <v>0</v>
      </c>
      <c r="G1751" s="62"/>
      <c r="H1751" s="35" t="n">
        <v>0</v>
      </c>
      <c r="I1751" s="34" t="n">
        <f aca="false">+IF(E1751=0,0,E1751*0.03)</f>
        <v>0</v>
      </c>
    </row>
    <row r="1752" customFormat="false" ht="15.75" hidden="false" customHeight="true" outlineLevel="0" collapsed="false">
      <c r="A1752" s="30" t="n">
        <v>45444</v>
      </c>
      <c r="B1752" s="31" t="s">
        <v>153</v>
      </c>
      <c r="C1752" s="32"/>
      <c r="D1752" s="32"/>
      <c r="E1752" s="19" t="n">
        <f aca="false">+F1752*0.03</f>
        <v>0</v>
      </c>
      <c r="F1752" s="33" t="n">
        <v>0</v>
      </c>
      <c r="G1752" s="62"/>
      <c r="H1752" s="35" t="n">
        <v>0</v>
      </c>
      <c r="I1752" s="34" t="n">
        <f aca="false">+IF(E1752=0,0,E1752*0.03)</f>
        <v>0</v>
      </c>
    </row>
    <row r="1753" customFormat="false" ht="15.75" hidden="false" customHeight="true" outlineLevel="0" collapsed="false">
      <c r="A1753" s="30" t="n">
        <v>45444</v>
      </c>
      <c r="B1753" s="31" t="s">
        <v>153</v>
      </c>
      <c r="C1753" s="32"/>
      <c r="D1753" s="32"/>
      <c r="E1753" s="19" t="n">
        <f aca="false">+F1753*0.03</f>
        <v>0</v>
      </c>
      <c r="F1753" s="33" t="n">
        <v>0</v>
      </c>
      <c r="G1753" s="62"/>
      <c r="H1753" s="35" t="n">
        <v>0</v>
      </c>
      <c r="I1753" s="34" t="n">
        <f aca="false">+IF(E1753=0,0,E1753*0.03)</f>
        <v>0</v>
      </c>
    </row>
    <row r="1754" customFormat="false" ht="15.75" hidden="false" customHeight="true" outlineLevel="0" collapsed="false">
      <c r="A1754" s="30" t="n">
        <v>45444</v>
      </c>
      <c r="B1754" s="31" t="s">
        <v>153</v>
      </c>
      <c r="C1754" s="32"/>
      <c r="D1754" s="32"/>
      <c r="E1754" s="19" t="n">
        <f aca="false">+F1754*0.03</f>
        <v>0</v>
      </c>
      <c r="F1754" s="33" t="n">
        <v>0</v>
      </c>
      <c r="G1754" s="62"/>
      <c r="H1754" s="35" t="n">
        <v>0</v>
      </c>
      <c r="I1754" s="34" t="n">
        <f aca="false">+IF(E1754=0,0,E1754*0.03)</f>
        <v>0</v>
      </c>
    </row>
    <row r="1755" customFormat="false" ht="15.75" hidden="false" customHeight="true" outlineLevel="0" collapsed="false">
      <c r="A1755" s="30" t="n">
        <v>45444</v>
      </c>
      <c r="B1755" s="31" t="s">
        <v>153</v>
      </c>
      <c r="C1755" s="32"/>
      <c r="D1755" s="32"/>
      <c r="E1755" s="19" t="n">
        <f aca="false">+F1755*0.03</f>
        <v>0</v>
      </c>
      <c r="F1755" s="33" t="n">
        <v>0</v>
      </c>
      <c r="G1755" s="62"/>
      <c r="H1755" s="35" t="n">
        <v>0</v>
      </c>
      <c r="I1755" s="34" t="n">
        <f aca="false">+IF(E1755=0,0,E1755*0.03)</f>
        <v>0</v>
      </c>
    </row>
    <row r="1756" customFormat="false" ht="15.75" hidden="false" customHeight="true" outlineLevel="0" collapsed="false">
      <c r="A1756" s="30" t="n">
        <v>45444</v>
      </c>
      <c r="B1756" s="31" t="s">
        <v>153</v>
      </c>
      <c r="C1756" s="32"/>
      <c r="D1756" s="32"/>
      <c r="E1756" s="19" t="n">
        <f aca="false">+F1756*0.03</f>
        <v>0</v>
      </c>
      <c r="F1756" s="33" t="n">
        <v>0</v>
      </c>
      <c r="G1756" s="62"/>
      <c r="H1756" s="35" t="n">
        <v>0</v>
      </c>
      <c r="I1756" s="34" t="n">
        <f aca="false">+IF(E1756=0,0,E1756*0.03)</f>
        <v>0</v>
      </c>
    </row>
    <row r="1757" customFormat="false" ht="15.75" hidden="false" customHeight="true" outlineLevel="0" collapsed="false">
      <c r="A1757" s="30" t="n">
        <v>45444</v>
      </c>
      <c r="B1757" s="31" t="s">
        <v>153</v>
      </c>
      <c r="C1757" s="32"/>
      <c r="D1757" s="32"/>
      <c r="E1757" s="19" t="n">
        <f aca="false">+F1757*0.03</f>
        <v>0</v>
      </c>
      <c r="F1757" s="33" t="n">
        <v>0</v>
      </c>
      <c r="G1757" s="62"/>
      <c r="H1757" s="35" t="n">
        <v>0</v>
      </c>
      <c r="I1757" s="34" t="n">
        <f aca="false">+IF(E1757=0,0,E1757*0.03)</f>
        <v>0</v>
      </c>
    </row>
    <row r="1758" customFormat="false" ht="15.75" hidden="false" customHeight="true" outlineLevel="0" collapsed="false">
      <c r="A1758" s="30" t="n">
        <v>45444</v>
      </c>
      <c r="B1758" s="31" t="s">
        <v>153</v>
      </c>
      <c r="C1758" s="32"/>
      <c r="D1758" s="32"/>
      <c r="E1758" s="19" t="n">
        <f aca="false">+F1758*0.03</f>
        <v>0</v>
      </c>
      <c r="F1758" s="33" t="n">
        <v>0</v>
      </c>
      <c r="G1758" s="62"/>
      <c r="H1758" s="35" t="n">
        <v>0</v>
      </c>
      <c r="I1758" s="34" t="n">
        <f aca="false">+IF(E1758=0,0,E1758*0.03)</f>
        <v>0</v>
      </c>
    </row>
    <row r="1759" customFormat="false" ht="15.75" hidden="false" customHeight="true" outlineLevel="0" collapsed="false">
      <c r="A1759" s="30" t="n">
        <v>45444</v>
      </c>
      <c r="B1759" s="31" t="s">
        <v>153</v>
      </c>
      <c r="C1759" s="32"/>
      <c r="D1759" s="32"/>
      <c r="E1759" s="19" t="n">
        <f aca="false">+F1759*0.03</f>
        <v>0</v>
      </c>
      <c r="F1759" s="33" t="n">
        <v>0</v>
      </c>
      <c r="G1759" s="62"/>
      <c r="H1759" s="35" t="n">
        <v>0</v>
      </c>
      <c r="I1759" s="34" t="n">
        <f aca="false">+IF(E1759=0,0,E1759*0.03)</f>
        <v>0</v>
      </c>
    </row>
    <row r="1760" customFormat="false" ht="15.75" hidden="false" customHeight="true" outlineLevel="0" collapsed="false">
      <c r="A1760" s="30" t="n">
        <v>45444</v>
      </c>
      <c r="B1760" s="31" t="s">
        <v>153</v>
      </c>
      <c r="C1760" s="32"/>
      <c r="D1760" s="32"/>
      <c r="E1760" s="19" t="n">
        <f aca="false">+F1760*0.03</f>
        <v>0</v>
      </c>
      <c r="F1760" s="33" t="n">
        <v>0</v>
      </c>
      <c r="G1760" s="62"/>
      <c r="H1760" s="35" t="n">
        <v>0</v>
      </c>
      <c r="I1760" s="34" t="n">
        <f aca="false">+IF(E1760=0,0,E1760*0.03)</f>
        <v>0</v>
      </c>
    </row>
    <row r="1761" customFormat="false" ht="15.75" hidden="false" customHeight="true" outlineLevel="0" collapsed="false">
      <c r="A1761" s="30" t="n">
        <v>45444</v>
      </c>
      <c r="B1761" s="31" t="s">
        <v>153</v>
      </c>
      <c r="C1761" s="32"/>
      <c r="D1761" s="32"/>
      <c r="E1761" s="19" t="n">
        <f aca="false">+F1761*0.03</f>
        <v>0</v>
      </c>
      <c r="F1761" s="33" t="n">
        <v>0</v>
      </c>
      <c r="G1761" s="62"/>
      <c r="H1761" s="35" t="n">
        <v>0</v>
      </c>
      <c r="I1761" s="34" t="n">
        <f aca="false">+IF(E1761=0,0,E1761*0.03)</f>
        <v>0</v>
      </c>
    </row>
    <row r="1762" customFormat="false" ht="15.75" hidden="false" customHeight="true" outlineLevel="0" collapsed="false">
      <c r="A1762" s="30" t="n">
        <v>45444</v>
      </c>
      <c r="B1762" s="31" t="s">
        <v>153</v>
      </c>
      <c r="C1762" s="32"/>
      <c r="D1762" s="32"/>
      <c r="E1762" s="19" t="n">
        <f aca="false">+F1762*0.03</f>
        <v>0</v>
      </c>
      <c r="F1762" s="33" t="n">
        <v>0</v>
      </c>
      <c r="G1762" s="62"/>
      <c r="H1762" s="35" t="n">
        <v>0</v>
      </c>
      <c r="I1762" s="34" t="n">
        <f aca="false">+IF(E1762=0,0,E1762*0.03)</f>
        <v>0</v>
      </c>
    </row>
    <row r="1763" customFormat="false" ht="15.75" hidden="false" customHeight="true" outlineLevel="0" collapsed="false">
      <c r="A1763" s="30" t="n">
        <v>45444</v>
      </c>
      <c r="B1763" s="31" t="s">
        <v>153</v>
      </c>
      <c r="C1763" s="32"/>
      <c r="D1763" s="32"/>
      <c r="E1763" s="19" t="n">
        <f aca="false">+F1763*0.03</f>
        <v>0</v>
      </c>
      <c r="F1763" s="33" t="n">
        <v>0</v>
      </c>
      <c r="G1763" s="62"/>
      <c r="H1763" s="35" t="n">
        <v>0</v>
      </c>
      <c r="I1763" s="34" t="n">
        <f aca="false">+IF(E1763=0,0,E1763*0.03)</f>
        <v>0</v>
      </c>
    </row>
    <row r="1764" customFormat="false" ht="15.75" hidden="false" customHeight="true" outlineLevel="0" collapsed="false">
      <c r="A1764" s="30" t="n">
        <v>45444</v>
      </c>
      <c r="B1764" s="31" t="s">
        <v>153</v>
      </c>
      <c r="C1764" s="32"/>
      <c r="D1764" s="32"/>
      <c r="E1764" s="19" t="n">
        <f aca="false">+F1764*0.03</f>
        <v>0</v>
      </c>
      <c r="F1764" s="33" t="n">
        <v>0</v>
      </c>
      <c r="G1764" s="62"/>
      <c r="H1764" s="35" t="n">
        <v>0</v>
      </c>
      <c r="I1764" s="34" t="n">
        <f aca="false">+IF(E1764=0,0,E1764*0.03)</f>
        <v>0</v>
      </c>
    </row>
    <row r="1765" customFormat="false" ht="15.75" hidden="false" customHeight="true" outlineLevel="0" collapsed="false">
      <c r="A1765" s="30" t="n">
        <v>45444</v>
      </c>
      <c r="B1765" s="31" t="s">
        <v>153</v>
      </c>
      <c r="C1765" s="32"/>
      <c r="D1765" s="32"/>
      <c r="E1765" s="19" t="n">
        <f aca="false">+F1765*0.03</f>
        <v>0</v>
      </c>
      <c r="F1765" s="33" t="n">
        <v>0</v>
      </c>
      <c r="G1765" s="62"/>
      <c r="H1765" s="35" t="n">
        <v>0</v>
      </c>
      <c r="I1765" s="34" t="n">
        <f aca="false">+IF(E1765=0,0,E1765*0.03)</f>
        <v>0</v>
      </c>
    </row>
    <row r="1766" customFormat="false" ht="15.75" hidden="false" customHeight="true" outlineLevel="0" collapsed="false">
      <c r="A1766" s="30" t="n">
        <v>45444</v>
      </c>
      <c r="B1766" s="31" t="s">
        <v>153</v>
      </c>
      <c r="C1766" s="32"/>
      <c r="D1766" s="32"/>
      <c r="E1766" s="19" t="n">
        <f aca="false">+F1766*0.03</f>
        <v>0</v>
      </c>
      <c r="F1766" s="33" t="n">
        <v>0</v>
      </c>
      <c r="G1766" s="62"/>
      <c r="H1766" s="35" t="n">
        <v>0</v>
      </c>
      <c r="I1766" s="34" t="n">
        <f aca="false">+IF(E1766=0,0,E1766*0.03)</f>
        <v>0</v>
      </c>
    </row>
    <row r="1767" customFormat="false" ht="15.75" hidden="false" customHeight="true" outlineLevel="0" collapsed="false">
      <c r="A1767" s="30" t="n">
        <v>45444</v>
      </c>
      <c r="B1767" s="31" t="s">
        <v>153</v>
      </c>
      <c r="C1767" s="32"/>
      <c r="D1767" s="32"/>
      <c r="E1767" s="19" t="n">
        <f aca="false">+F1767*0.03</f>
        <v>0</v>
      </c>
      <c r="F1767" s="33" t="n">
        <v>0</v>
      </c>
      <c r="G1767" s="62"/>
      <c r="H1767" s="35" t="n">
        <v>0</v>
      </c>
      <c r="I1767" s="34" t="n">
        <f aca="false">+IF(E1767=0,0,E1767*0.03)</f>
        <v>0</v>
      </c>
    </row>
    <row r="1768" customFormat="false" ht="15.75" hidden="false" customHeight="true" outlineLevel="0" collapsed="false">
      <c r="A1768" s="30" t="n">
        <v>45444</v>
      </c>
      <c r="B1768" s="31" t="s">
        <v>153</v>
      </c>
      <c r="C1768" s="32"/>
      <c r="D1768" s="32"/>
      <c r="E1768" s="19" t="n">
        <f aca="false">+F1768*0.03</f>
        <v>0</v>
      </c>
      <c r="F1768" s="33" t="n">
        <v>0</v>
      </c>
      <c r="G1768" s="62"/>
      <c r="H1768" s="35" t="n">
        <v>0</v>
      </c>
      <c r="I1768" s="34" t="n">
        <f aca="false">+IF(E1768=0,0,E1768*0.03)</f>
        <v>0</v>
      </c>
    </row>
    <row r="1769" customFormat="false" ht="15.75" hidden="false" customHeight="true" outlineLevel="0" collapsed="false">
      <c r="A1769" s="30" t="n">
        <v>45444</v>
      </c>
      <c r="B1769" s="31" t="s">
        <v>153</v>
      </c>
      <c r="C1769" s="32"/>
      <c r="D1769" s="32"/>
      <c r="E1769" s="19" t="n">
        <f aca="false">+F1769*0.03</f>
        <v>0</v>
      </c>
      <c r="F1769" s="33" t="n">
        <v>0</v>
      </c>
      <c r="G1769" s="62"/>
      <c r="H1769" s="35" t="n">
        <v>0</v>
      </c>
      <c r="I1769" s="34" t="n">
        <f aca="false">+IF(E1769=0,0,E1769*0.03)</f>
        <v>0</v>
      </c>
    </row>
    <row r="1770" customFormat="false" ht="15.75" hidden="false" customHeight="true" outlineLevel="0" collapsed="false">
      <c r="A1770" s="30" t="n">
        <v>45444</v>
      </c>
      <c r="B1770" s="31" t="s">
        <v>153</v>
      </c>
      <c r="C1770" s="32"/>
      <c r="D1770" s="32"/>
      <c r="E1770" s="19" t="n">
        <f aca="false">+F1770*0.03</f>
        <v>0</v>
      </c>
      <c r="F1770" s="33" t="n">
        <v>0</v>
      </c>
      <c r="G1770" s="62"/>
      <c r="H1770" s="35" t="n">
        <v>0</v>
      </c>
      <c r="I1770" s="34" t="n">
        <f aca="false">+IF(E1770=0,0,E1770*0.03)</f>
        <v>0</v>
      </c>
    </row>
    <row r="1771" customFormat="false" ht="15.75" hidden="false" customHeight="true" outlineLevel="0" collapsed="false">
      <c r="A1771" s="30" t="n">
        <v>45444</v>
      </c>
      <c r="B1771" s="31" t="s">
        <v>153</v>
      </c>
      <c r="C1771" s="32"/>
      <c r="D1771" s="32"/>
      <c r="E1771" s="19" t="n">
        <f aca="false">+F1771*0.03</f>
        <v>0</v>
      </c>
      <c r="F1771" s="33" t="n">
        <v>0</v>
      </c>
      <c r="G1771" s="62"/>
      <c r="H1771" s="35" t="n">
        <v>0</v>
      </c>
      <c r="I1771" s="34" t="n">
        <f aca="false">+IF(E1771=0,0,E1771*0.03)</f>
        <v>0</v>
      </c>
    </row>
    <row r="1772" customFormat="false" ht="15.75" hidden="false" customHeight="true" outlineLevel="0" collapsed="false">
      <c r="A1772" s="30" t="n">
        <v>45444</v>
      </c>
      <c r="B1772" s="31" t="s">
        <v>153</v>
      </c>
      <c r="C1772" s="32"/>
      <c r="D1772" s="32"/>
      <c r="E1772" s="19" t="n">
        <f aca="false">+F1772*0.03</f>
        <v>0</v>
      </c>
      <c r="F1772" s="33" t="n">
        <v>0</v>
      </c>
      <c r="G1772" s="62"/>
      <c r="H1772" s="35" t="n">
        <v>0</v>
      </c>
      <c r="I1772" s="34" t="n">
        <f aca="false">+IF(E1772=0,0,E1772*0.03)</f>
        <v>0</v>
      </c>
    </row>
    <row r="1773" customFormat="false" ht="15.75" hidden="false" customHeight="true" outlineLevel="0" collapsed="false">
      <c r="A1773" s="30" t="n">
        <v>45444</v>
      </c>
      <c r="B1773" s="31" t="s">
        <v>153</v>
      </c>
      <c r="C1773" s="32"/>
      <c r="D1773" s="32"/>
      <c r="E1773" s="19" t="n">
        <f aca="false">+F1773*0.03</f>
        <v>0</v>
      </c>
      <c r="F1773" s="33" t="n">
        <v>0</v>
      </c>
      <c r="G1773" s="62"/>
      <c r="H1773" s="35" t="n">
        <v>0</v>
      </c>
      <c r="I1773" s="34" t="n">
        <f aca="false">+IF(E1773=0,0,E1773*0.03)</f>
        <v>0</v>
      </c>
    </row>
    <row r="1774" customFormat="false" ht="15.75" hidden="false" customHeight="true" outlineLevel="0" collapsed="false">
      <c r="A1774" s="30" t="n">
        <v>45444</v>
      </c>
      <c r="B1774" s="31" t="s">
        <v>153</v>
      </c>
      <c r="C1774" s="32"/>
      <c r="D1774" s="32"/>
      <c r="E1774" s="19" t="n">
        <f aca="false">+F1774*0.03</f>
        <v>0</v>
      </c>
      <c r="F1774" s="33" t="n">
        <v>0</v>
      </c>
      <c r="G1774" s="62"/>
      <c r="H1774" s="35" t="n">
        <v>0</v>
      </c>
      <c r="I1774" s="34" t="n">
        <f aca="false">+IF(E1774=0,0,E1774*0.03)</f>
        <v>0</v>
      </c>
    </row>
    <row r="1775" customFormat="false" ht="15.75" hidden="false" customHeight="true" outlineLevel="0" collapsed="false">
      <c r="A1775" s="30" t="n">
        <v>45444</v>
      </c>
      <c r="B1775" s="31" t="s">
        <v>153</v>
      </c>
      <c r="C1775" s="32"/>
      <c r="D1775" s="32"/>
      <c r="E1775" s="19" t="n">
        <f aca="false">+F1775*0.03</f>
        <v>0</v>
      </c>
      <c r="F1775" s="33" t="n">
        <v>0</v>
      </c>
      <c r="G1775" s="62"/>
      <c r="H1775" s="35" t="n">
        <v>0</v>
      </c>
      <c r="I1775" s="34" t="n">
        <f aca="false">+IF(E1775=0,0,E1775*0.03)</f>
        <v>0</v>
      </c>
    </row>
    <row r="1776" customFormat="false" ht="15.75" hidden="false" customHeight="true" outlineLevel="0" collapsed="false">
      <c r="A1776" s="30" t="n">
        <v>45444</v>
      </c>
      <c r="B1776" s="31" t="s">
        <v>153</v>
      </c>
      <c r="C1776" s="32"/>
      <c r="D1776" s="32"/>
      <c r="E1776" s="19" t="n">
        <f aca="false">+F1776*0.03</f>
        <v>0</v>
      </c>
      <c r="F1776" s="33" t="n">
        <v>0</v>
      </c>
      <c r="G1776" s="62"/>
      <c r="H1776" s="35" t="n">
        <v>0</v>
      </c>
      <c r="I1776" s="34" t="n">
        <f aca="false">+IF(E1776=0,0,E1776*0.03)</f>
        <v>0</v>
      </c>
    </row>
    <row r="1777" customFormat="false" ht="15.75" hidden="false" customHeight="true" outlineLevel="0" collapsed="false">
      <c r="A1777" s="30" t="n">
        <v>45444</v>
      </c>
      <c r="B1777" s="31" t="s">
        <v>153</v>
      </c>
      <c r="C1777" s="32"/>
      <c r="D1777" s="32"/>
      <c r="E1777" s="19" t="n">
        <f aca="false">+F1777*0.03</f>
        <v>0</v>
      </c>
      <c r="F1777" s="33" t="n">
        <v>0</v>
      </c>
      <c r="G1777" s="62"/>
      <c r="H1777" s="35" t="n">
        <v>0</v>
      </c>
      <c r="I1777" s="34" t="n">
        <f aca="false">+IF(E1777=0,0,E1777*0.03)</f>
        <v>0</v>
      </c>
    </row>
    <row r="1778" customFormat="false" ht="15.75" hidden="false" customHeight="true" outlineLevel="0" collapsed="false">
      <c r="A1778" s="30" t="n">
        <v>45444</v>
      </c>
      <c r="B1778" s="31" t="s">
        <v>153</v>
      </c>
      <c r="C1778" s="32"/>
      <c r="D1778" s="32"/>
      <c r="E1778" s="19" t="n">
        <f aca="false">+F1778*0.03</f>
        <v>0</v>
      </c>
      <c r="F1778" s="33" t="n">
        <v>0</v>
      </c>
      <c r="G1778" s="62"/>
      <c r="H1778" s="35" t="n">
        <v>0</v>
      </c>
      <c r="I1778" s="34" t="n">
        <f aca="false">+IF(E1778=0,0,E1778*0.03)</f>
        <v>0</v>
      </c>
    </row>
    <row r="1779" customFormat="false" ht="15.75" hidden="false" customHeight="true" outlineLevel="0" collapsed="false">
      <c r="A1779" s="30" t="n">
        <v>45444</v>
      </c>
      <c r="B1779" s="31" t="s">
        <v>153</v>
      </c>
      <c r="C1779" s="32"/>
      <c r="D1779" s="32"/>
      <c r="E1779" s="19" t="n">
        <f aca="false">+F1779*0.03</f>
        <v>0</v>
      </c>
      <c r="F1779" s="33" t="n">
        <v>0</v>
      </c>
      <c r="G1779" s="62"/>
      <c r="H1779" s="35" t="n">
        <v>0</v>
      </c>
      <c r="I1779" s="34" t="n">
        <f aca="false">+IF(E1779=0,0,E1779*0.03)</f>
        <v>0</v>
      </c>
    </row>
    <row r="1780" customFormat="false" ht="15.75" hidden="false" customHeight="true" outlineLevel="0" collapsed="false">
      <c r="A1780" s="30" t="n">
        <v>45444</v>
      </c>
      <c r="B1780" s="31" t="s">
        <v>153</v>
      </c>
      <c r="C1780" s="32"/>
      <c r="D1780" s="32"/>
      <c r="E1780" s="19" t="n">
        <f aca="false">+F1780*0.03</f>
        <v>0</v>
      </c>
      <c r="F1780" s="33" t="n">
        <v>0</v>
      </c>
      <c r="G1780" s="62"/>
      <c r="H1780" s="35" t="n">
        <v>0</v>
      </c>
      <c r="I1780" s="34" t="n">
        <f aca="false">+IF(E1780=0,0,E1780*0.03)</f>
        <v>0</v>
      </c>
    </row>
    <row r="1781" customFormat="false" ht="15.75" hidden="false" customHeight="true" outlineLevel="0" collapsed="false">
      <c r="A1781" s="30" t="n">
        <v>45444</v>
      </c>
      <c r="B1781" s="31" t="s">
        <v>153</v>
      </c>
      <c r="C1781" s="32"/>
      <c r="D1781" s="32"/>
      <c r="E1781" s="19" t="n">
        <f aca="false">+F1781*0.03</f>
        <v>0</v>
      </c>
      <c r="F1781" s="33" t="n">
        <v>0</v>
      </c>
      <c r="G1781" s="62"/>
      <c r="H1781" s="35" t="n">
        <v>0</v>
      </c>
      <c r="I1781" s="34" t="n">
        <f aca="false">+IF(E1781=0,0,E1781*0.03)</f>
        <v>0</v>
      </c>
    </row>
    <row r="1782" customFormat="false" ht="15.75" hidden="false" customHeight="true" outlineLevel="0" collapsed="false">
      <c r="A1782" s="30" t="n">
        <v>45444</v>
      </c>
      <c r="B1782" s="31" t="s">
        <v>153</v>
      </c>
      <c r="C1782" s="32"/>
      <c r="D1782" s="32"/>
      <c r="E1782" s="19" t="n">
        <f aca="false">+F1782*0.03</f>
        <v>0</v>
      </c>
      <c r="F1782" s="33" t="n">
        <v>0</v>
      </c>
      <c r="G1782" s="62"/>
      <c r="H1782" s="35" t="n">
        <v>0</v>
      </c>
      <c r="I1782" s="34" t="n">
        <f aca="false">+IF(E1782=0,0,E1782*0.03)</f>
        <v>0</v>
      </c>
    </row>
    <row r="1783" customFormat="false" ht="15.75" hidden="false" customHeight="true" outlineLevel="0" collapsed="false">
      <c r="A1783" s="30" t="n">
        <v>45444</v>
      </c>
      <c r="B1783" s="31" t="s">
        <v>153</v>
      </c>
      <c r="C1783" s="32"/>
      <c r="D1783" s="32"/>
      <c r="E1783" s="19" t="n">
        <f aca="false">+F1783*0.03</f>
        <v>0</v>
      </c>
      <c r="F1783" s="33" t="n">
        <v>0</v>
      </c>
      <c r="G1783" s="62"/>
      <c r="H1783" s="35" t="n">
        <v>0</v>
      </c>
      <c r="I1783" s="34" t="n">
        <f aca="false">+IF(E1783=0,0,E1783*0.03)</f>
        <v>0</v>
      </c>
    </row>
    <row r="1784" customFormat="false" ht="15.75" hidden="false" customHeight="true" outlineLevel="0" collapsed="false">
      <c r="A1784" s="30" t="n">
        <v>45444</v>
      </c>
      <c r="B1784" s="31" t="s">
        <v>153</v>
      </c>
      <c r="C1784" s="32"/>
      <c r="D1784" s="32"/>
      <c r="E1784" s="19" t="n">
        <f aca="false">+F1784*0.03</f>
        <v>0</v>
      </c>
      <c r="F1784" s="33" t="n">
        <v>0</v>
      </c>
      <c r="G1784" s="62"/>
      <c r="H1784" s="35" t="n">
        <v>0</v>
      </c>
      <c r="I1784" s="34" t="n">
        <f aca="false">+IF(E1784=0,0,E1784*0.03)</f>
        <v>0</v>
      </c>
    </row>
    <row r="1785" customFormat="false" ht="15.75" hidden="false" customHeight="true" outlineLevel="0" collapsed="false">
      <c r="A1785" s="30" t="n">
        <v>45444</v>
      </c>
      <c r="B1785" s="31" t="s">
        <v>153</v>
      </c>
      <c r="C1785" s="32"/>
      <c r="D1785" s="32"/>
      <c r="E1785" s="19" t="n">
        <f aca="false">+F1785*0.03</f>
        <v>0</v>
      </c>
      <c r="F1785" s="33" t="n">
        <v>0</v>
      </c>
      <c r="G1785" s="62"/>
      <c r="H1785" s="35" t="n">
        <v>0</v>
      </c>
      <c r="I1785" s="34" t="n">
        <f aca="false">+IF(E1785=0,0,E1785*0.03)</f>
        <v>0</v>
      </c>
    </row>
    <row r="1786" customFormat="false" ht="15.75" hidden="false" customHeight="true" outlineLevel="0" collapsed="false">
      <c r="A1786" s="30" t="n">
        <v>45444</v>
      </c>
      <c r="B1786" s="31" t="s">
        <v>153</v>
      </c>
      <c r="C1786" s="32"/>
      <c r="D1786" s="32"/>
      <c r="E1786" s="19" t="n">
        <f aca="false">+F1786*0.03</f>
        <v>0</v>
      </c>
      <c r="F1786" s="33" t="n">
        <v>0</v>
      </c>
      <c r="G1786" s="62"/>
      <c r="H1786" s="35" t="n">
        <v>0</v>
      </c>
      <c r="I1786" s="34" t="n">
        <f aca="false">+IF(E1786=0,0,E1786*0.03)</f>
        <v>0</v>
      </c>
    </row>
    <row r="1787" customFormat="false" ht="15.75" hidden="false" customHeight="true" outlineLevel="0" collapsed="false">
      <c r="A1787" s="30" t="n">
        <v>45444</v>
      </c>
      <c r="B1787" s="31" t="s">
        <v>153</v>
      </c>
      <c r="C1787" s="32"/>
      <c r="D1787" s="32"/>
      <c r="E1787" s="19" t="n">
        <f aca="false">+F1787*0.03</f>
        <v>0</v>
      </c>
      <c r="F1787" s="33" t="n">
        <v>0</v>
      </c>
      <c r="G1787" s="62"/>
      <c r="H1787" s="35" t="n">
        <v>0</v>
      </c>
      <c r="I1787" s="34" t="n">
        <f aca="false">+IF(E1787=0,0,E1787*0.03)</f>
        <v>0</v>
      </c>
    </row>
    <row r="1788" customFormat="false" ht="15.75" hidden="false" customHeight="true" outlineLevel="0" collapsed="false">
      <c r="A1788" s="30" t="n">
        <v>45444</v>
      </c>
      <c r="B1788" s="31" t="s">
        <v>153</v>
      </c>
      <c r="C1788" s="32"/>
      <c r="D1788" s="32"/>
      <c r="E1788" s="19" t="n">
        <f aca="false">+F1788*0.03</f>
        <v>0</v>
      </c>
      <c r="F1788" s="33" t="n">
        <v>0</v>
      </c>
      <c r="G1788" s="62"/>
      <c r="H1788" s="35" t="n">
        <v>0</v>
      </c>
      <c r="I1788" s="34" t="n">
        <f aca="false">+IF(E1788=0,0,E1788*0.03)</f>
        <v>0</v>
      </c>
    </row>
    <row r="1789" customFormat="false" ht="15.75" hidden="false" customHeight="true" outlineLevel="0" collapsed="false">
      <c r="A1789" s="30" t="n">
        <v>45444</v>
      </c>
      <c r="B1789" s="31" t="s">
        <v>153</v>
      </c>
      <c r="C1789" s="32"/>
      <c r="D1789" s="32"/>
      <c r="E1789" s="19" t="n">
        <f aca="false">+F1789*0.03</f>
        <v>0</v>
      </c>
      <c r="F1789" s="33" t="n">
        <v>0</v>
      </c>
      <c r="G1789" s="62"/>
      <c r="H1789" s="35" t="n">
        <v>0</v>
      </c>
      <c r="I1789" s="34" t="n">
        <f aca="false">+IF(E1789=0,0,E1789*0.03)</f>
        <v>0</v>
      </c>
    </row>
    <row r="1790" customFormat="false" ht="15.75" hidden="false" customHeight="true" outlineLevel="0" collapsed="false">
      <c r="A1790" s="30" t="n">
        <v>45444</v>
      </c>
      <c r="B1790" s="31" t="s">
        <v>153</v>
      </c>
      <c r="C1790" s="32"/>
      <c r="D1790" s="32"/>
      <c r="E1790" s="19" t="n">
        <f aca="false">+F1790*0.03</f>
        <v>0</v>
      </c>
      <c r="F1790" s="33" t="n">
        <v>0</v>
      </c>
      <c r="G1790" s="62"/>
      <c r="H1790" s="35" t="n">
        <v>0</v>
      </c>
      <c r="I1790" s="34" t="n">
        <f aca="false">+IF(E1790=0,0,E1790*0.03)</f>
        <v>0</v>
      </c>
    </row>
    <row r="1791" customFormat="false" ht="15.75" hidden="false" customHeight="true" outlineLevel="0" collapsed="false">
      <c r="A1791" s="30" t="n">
        <v>45444</v>
      </c>
      <c r="B1791" s="31" t="s">
        <v>153</v>
      </c>
      <c r="C1791" s="32"/>
      <c r="D1791" s="32"/>
      <c r="E1791" s="19" t="n">
        <f aca="false">+F1791*0.03</f>
        <v>0</v>
      </c>
      <c r="F1791" s="33" t="n">
        <v>0</v>
      </c>
      <c r="G1791" s="62"/>
      <c r="H1791" s="35" t="n">
        <v>0</v>
      </c>
      <c r="I1791" s="34" t="n">
        <f aca="false">+IF(E1791=0,0,E1791*0.03)</f>
        <v>0</v>
      </c>
    </row>
    <row r="1792" customFormat="false" ht="15.75" hidden="false" customHeight="true" outlineLevel="0" collapsed="false">
      <c r="A1792" s="30" t="n">
        <v>45444</v>
      </c>
      <c r="B1792" s="31" t="s">
        <v>153</v>
      </c>
      <c r="C1792" s="32"/>
      <c r="D1792" s="32"/>
      <c r="E1792" s="19" t="n">
        <f aca="false">+F1792*0.03</f>
        <v>0</v>
      </c>
      <c r="F1792" s="33" t="n">
        <v>0</v>
      </c>
      <c r="G1792" s="62"/>
      <c r="H1792" s="35" t="n">
        <v>0</v>
      </c>
      <c r="I1792" s="34" t="n">
        <f aca="false">+IF(E1792=0,0,E1792*0.03)</f>
        <v>0</v>
      </c>
    </row>
    <row r="1793" customFormat="false" ht="15.75" hidden="false" customHeight="true" outlineLevel="0" collapsed="false">
      <c r="A1793" s="30" t="n">
        <v>45444</v>
      </c>
      <c r="B1793" s="31" t="s">
        <v>153</v>
      </c>
      <c r="C1793" s="32"/>
      <c r="D1793" s="32"/>
      <c r="E1793" s="19" t="n">
        <f aca="false">+F1793*0.03</f>
        <v>0</v>
      </c>
      <c r="F1793" s="33" t="n">
        <v>0</v>
      </c>
      <c r="G1793" s="62"/>
      <c r="H1793" s="35" t="n">
        <v>0</v>
      </c>
      <c r="I1793" s="34" t="n">
        <f aca="false">+IF(E1793=0,0,E1793*0.03)</f>
        <v>0</v>
      </c>
    </row>
    <row r="1794" customFormat="false" ht="15.75" hidden="false" customHeight="true" outlineLevel="0" collapsed="false">
      <c r="A1794" s="30" t="n">
        <v>45444</v>
      </c>
      <c r="B1794" s="31" t="s">
        <v>153</v>
      </c>
      <c r="C1794" s="32"/>
      <c r="D1794" s="32"/>
      <c r="E1794" s="19" t="n">
        <f aca="false">+F1794*0.03</f>
        <v>0</v>
      </c>
      <c r="F1794" s="33" t="n">
        <v>0</v>
      </c>
      <c r="G1794" s="62"/>
      <c r="H1794" s="35" t="n">
        <v>0</v>
      </c>
      <c r="I1794" s="34" t="n">
        <f aca="false">+IF(E1794=0,0,E1794*0.03)</f>
        <v>0</v>
      </c>
    </row>
    <row r="1795" customFormat="false" ht="15.75" hidden="false" customHeight="true" outlineLevel="0" collapsed="false">
      <c r="A1795" s="30" t="n">
        <v>45444</v>
      </c>
      <c r="B1795" s="31" t="s">
        <v>153</v>
      </c>
      <c r="C1795" s="32"/>
      <c r="D1795" s="32"/>
      <c r="E1795" s="19" t="n">
        <f aca="false">+F1795*0.03</f>
        <v>0</v>
      </c>
      <c r="F1795" s="33" t="n">
        <v>0</v>
      </c>
      <c r="G1795" s="62"/>
      <c r="H1795" s="35" t="n">
        <v>0</v>
      </c>
      <c r="I1795" s="34" t="n">
        <f aca="false">+IF(E1795=0,0,E1795*0.03)</f>
        <v>0</v>
      </c>
    </row>
    <row r="1796" customFormat="false" ht="15.75" hidden="false" customHeight="true" outlineLevel="0" collapsed="false">
      <c r="A1796" s="30" t="n">
        <v>45444</v>
      </c>
      <c r="B1796" s="31" t="s">
        <v>153</v>
      </c>
      <c r="C1796" s="32"/>
      <c r="D1796" s="32"/>
      <c r="E1796" s="19" t="n">
        <f aca="false">+F1796*0.03</f>
        <v>0</v>
      </c>
      <c r="F1796" s="33" t="n">
        <v>0</v>
      </c>
      <c r="G1796" s="62"/>
      <c r="H1796" s="35" t="n">
        <v>0</v>
      </c>
      <c r="I1796" s="34" t="n">
        <f aca="false">+IF(E1796=0,0,E1796*0.03)</f>
        <v>0</v>
      </c>
    </row>
    <row r="1797" customFormat="false" ht="15.75" hidden="false" customHeight="true" outlineLevel="0" collapsed="false">
      <c r="A1797" s="30" t="n">
        <v>45444</v>
      </c>
      <c r="B1797" s="31" t="s">
        <v>153</v>
      </c>
      <c r="C1797" s="32"/>
      <c r="D1797" s="32"/>
      <c r="E1797" s="19" t="n">
        <f aca="false">+F1797*0.03</f>
        <v>0</v>
      </c>
      <c r="F1797" s="33" t="n">
        <v>0</v>
      </c>
      <c r="G1797" s="62"/>
      <c r="H1797" s="35" t="n">
        <v>0</v>
      </c>
      <c r="I1797" s="34" t="n">
        <f aca="false">+IF(E1797=0,0,E1797*0.03)</f>
        <v>0</v>
      </c>
    </row>
    <row r="1798" customFormat="false" ht="15.75" hidden="false" customHeight="true" outlineLevel="0" collapsed="false">
      <c r="A1798" s="30" t="n">
        <v>45444</v>
      </c>
      <c r="B1798" s="31" t="s">
        <v>153</v>
      </c>
      <c r="C1798" s="32"/>
      <c r="D1798" s="32"/>
      <c r="E1798" s="19" t="n">
        <f aca="false">+F1798*0.03</f>
        <v>0</v>
      </c>
      <c r="F1798" s="33" t="n">
        <v>0</v>
      </c>
      <c r="G1798" s="62"/>
      <c r="H1798" s="35" t="n">
        <v>0</v>
      </c>
      <c r="I1798" s="34" t="n">
        <f aca="false">+IF(E1798=0,0,E1798*0.03)</f>
        <v>0</v>
      </c>
    </row>
    <row r="1799" customFormat="false" ht="15.75" hidden="false" customHeight="true" outlineLevel="0" collapsed="false">
      <c r="A1799" s="30" t="n">
        <v>45444</v>
      </c>
      <c r="B1799" s="31" t="s">
        <v>153</v>
      </c>
      <c r="C1799" s="32"/>
      <c r="D1799" s="32"/>
      <c r="E1799" s="19" t="n">
        <f aca="false">+F1799*0.03</f>
        <v>0</v>
      </c>
      <c r="F1799" s="33" t="n">
        <v>0</v>
      </c>
      <c r="G1799" s="62"/>
      <c r="H1799" s="35" t="n">
        <v>0</v>
      </c>
      <c r="I1799" s="34" t="n">
        <f aca="false">+IF(E1799=0,0,E1799*0.03)</f>
        <v>0</v>
      </c>
    </row>
    <row r="1800" customFormat="false" ht="15.75" hidden="false" customHeight="true" outlineLevel="0" collapsed="false">
      <c r="A1800" s="30" t="n">
        <v>45444</v>
      </c>
      <c r="B1800" s="31" t="s">
        <v>153</v>
      </c>
      <c r="C1800" s="32"/>
      <c r="D1800" s="32"/>
      <c r="E1800" s="19" t="n">
        <f aca="false">+F1800*0.03</f>
        <v>0</v>
      </c>
      <c r="F1800" s="33" t="n">
        <v>0</v>
      </c>
      <c r="G1800" s="62"/>
      <c r="H1800" s="35" t="n">
        <v>0</v>
      </c>
      <c r="I1800" s="34" t="n">
        <f aca="false">+IF(E1800=0,0,E1800*0.03)</f>
        <v>0</v>
      </c>
    </row>
    <row r="1801" customFormat="false" ht="15.75" hidden="false" customHeight="true" outlineLevel="0" collapsed="false">
      <c r="A1801" s="30" t="n">
        <v>45444</v>
      </c>
      <c r="B1801" s="31" t="s">
        <v>153</v>
      </c>
      <c r="C1801" s="32"/>
      <c r="D1801" s="32"/>
      <c r="E1801" s="19" t="n">
        <f aca="false">+F1801*0.03</f>
        <v>0</v>
      </c>
      <c r="F1801" s="33" t="n">
        <v>0</v>
      </c>
      <c r="G1801" s="62"/>
      <c r="H1801" s="35" t="n">
        <v>0</v>
      </c>
      <c r="I1801" s="34" t="n">
        <f aca="false">+IF(E1801=0,0,E1801*0.03)</f>
        <v>0</v>
      </c>
    </row>
    <row r="1802" customFormat="false" ht="15.75" hidden="false" customHeight="true" outlineLevel="0" collapsed="false">
      <c r="A1802" s="30" t="n">
        <v>45444</v>
      </c>
      <c r="B1802" s="31" t="s">
        <v>153</v>
      </c>
      <c r="C1802" s="32"/>
      <c r="D1802" s="32"/>
      <c r="E1802" s="19" t="n">
        <f aca="false">+F1802*0.03</f>
        <v>0</v>
      </c>
      <c r="F1802" s="33" t="n">
        <v>0</v>
      </c>
      <c r="G1802" s="62"/>
      <c r="H1802" s="35" t="n">
        <v>0</v>
      </c>
      <c r="I1802" s="34" t="n">
        <f aca="false">+IF(E1802=0,0,E1802*0.03)</f>
        <v>0</v>
      </c>
    </row>
    <row r="1803" customFormat="false" ht="15.75" hidden="false" customHeight="true" outlineLevel="0" collapsed="false">
      <c r="A1803" s="30" t="n">
        <v>45444</v>
      </c>
      <c r="B1803" s="31" t="s">
        <v>153</v>
      </c>
      <c r="C1803" s="32"/>
      <c r="D1803" s="32"/>
      <c r="E1803" s="19" t="n">
        <f aca="false">+F1803*0.03</f>
        <v>0</v>
      </c>
      <c r="F1803" s="33" t="n">
        <v>0</v>
      </c>
      <c r="G1803" s="62"/>
      <c r="H1803" s="35" t="n">
        <v>0</v>
      </c>
      <c r="I1803" s="34" t="n">
        <f aca="false">+IF(E1803=0,0,E1803*0.03)</f>
        <v>0</v>
      </c>
    </row>
    <row r="1804" customFormat="false" ht="15.75" hidden="false" customHeight="true" outlineLevel="0" collapsed="false">
      <c r="A1804" s="30" t="n">
        <v>45444</v>
      </c>
      <c r="B1804" s="31" t="s">
        <v>153</v>
      </c>
      <c r="C1804" s="32"/>
      <c r="D1804" s="32"/>
      <c r="E1804" s="19" t="n">
        <f aca="false">+F1804*0.03</f>
        <v>0</v>
      </c>
      <c r="F1804" s="33" t="n">
        <v>0</v>
      </c>
      <c r="G1804" s="62"/>
      <c r="H1804" s="35" t="n">
        <v>0</v>
      </c>
      <c r="I1804" s="34" t="n">
        <f aca="false">+IF(E1804=0,0,E1804*0.03)</f>
        <v>0</v>
      </c>
    </row>
    <row r="1805" customFormat="false" ht="15.75" hidden="false" customHeight="true" outlineLevel="0" collapsed="false">
      <c r="A1805" s="30" t="n">
        <v>45444</v>
      </c>
      <c r="B1805" s="31" t="s">
        <v>153</v>
      </c>
      <c r="C1805" s="32"/>
      <c r="D1805" s="32"/>
      <c r="E1805" s="19" t="n">
        <f aca="false">+F1805*0.03</f>
        <v>0</v>
      </c>
      <c r="F1805" s="33" t="n">
        <v>0</v>
      </c>
      <c r="G1805" s="62"/>
      <c r="H1805" s="35" t="n">
        <v>0</v>
      </c>
      <c r="I1805" s="34" t="n">
        <f aca="false">+IF(E1805=0,0,E1805*0.03)</f>
        <v>0</v>
      </c>
    </row>
    <row r="1806" customFormat="false" ht="15.75" hidden="false" customHeight="true" outlineLevel="0" collapsed="false">
      <c r="A1806" s="30" t="n">
        <v>45444</v>
      </c>
      <c r="B1806" s="31" t="s">
        <v>153</v>
      </c>
      <c r="C1806" s="32"/>
      <c r="D1806" s="32"/>
      <c r="E1806" s="19" t="n">
        <f aca="false">+F1806*0.03</f>
        <v>0</v>
      </c>
      <c r="F1806" s="33" t="n">
        <v>0</v>
      </c>
      <c r="G1806" s="62"/>
      <c r="H1806" s="35" t="n">
        <v>0</v>
      </c>
      <c r="I1806" s="34" t="n">
        <f aca="false">+IF(E1806=0,0,E1806*0.03)</f>
        <v>0</v>
      </c>
    </row>
    <row r="1807" customFormat="false" ht="15.75" hidden="false" customHeight="true" outlineLevel="0" collapsed="false">
      <c r="A1807" s="30" t="n">
        <v>45444</v>
      </c>
      <c r="B1807" s="31" t="s">
        <v>153</v>
      </c>
      <c r="C1807" s="32"/>
      <c r="D1807" s="32"/>
      <c r="E1807" s="19" t="n">
        <f aca="false">+F1807*0.03</f>
        <v>0</v>
      </c>
      <c r="F1807" s="33" t="n">
        <v>0</v>
      </c>
      <c r="G1807" s="62"/>
      <c r="H1807" s="35" t="n">
        <v>0</v>
      </c>
      <c r="I1807" s="34" t="n">
        <f aca="false">+IF(E1807=0,0,E1807*0.03)</f>
        <v>0</v>
      </c>
    </row>
    <row r="1808" customFormat="false" ht="15.75" hidden="false" customHeight="true" outlineLevel="0" collapsed="false">
      <c r="A1808" s="30" t="n">
        <v>45444</v>
      </c>
      <c r="B1808" s="31" t="s">
        <v>153</v>
      </c>
      <c r="C1808" s="32"/>
      <c r="D1808" s="32"/>
      <c r="E1808" s="19" t="n">
        <f aca="false">+F1808*0.03</f>
        <v>0</v>
      </c>
      <c r="F1808" s="33" t="n">
        <v>0</v>
      </c>
      <c r="G1808" s="62"/>
      <c r="H1808" s="35" t="n">
        <v>0</v>
      </c>
      <c r="I1808" s="34" t="n">
        <f aca="false">+IF(E1808=0,0,E1808*0.03)</f>
        <v>0</v>
      </c>
    </row>
    <row r="1809" customFormat="false" ht="15.75" hidden="false" customHeight="true" outlineLevel="0" collapsed="false">
      <c r="A1809" s="30" t="n">
        <v>45444</v>
      </c>
      <c r="B1809" s="31" t="s">
        <v>153</v>
      </c>
      <c r="C1809" s="32"/>
      <c r="D1809" s="32"/>
      <c r="E1809" s="19" t="n">
        <f aca="false">+F1809*0.03</f>
        <v>0</v>
      </c>
      <c r="F1809" s="33" t="n">
        <v>0</v>
      </c>
      <c r="G1809" s="62"/>
      <c r="H1809" s="35" t="n">
        <v>0</v>
      </c>
      <c r="I1809" s="34" t="n">
        <f aca="false">+IF(E1809=0,0,E1809*0.03)</f>
        <v>0</v>
      </c>
    </row>
    <row r="1810" customFormat="false" ht="15.75" hidden="false" customHeight="true" outlineLevel="0" collapsed="false">
      <c r="A1810" s="30" t="n">
        <v>45444</v>
      </c>
      <c r="B1810" s="31" t="s">
        <v>153</v>
      </c>
      <c r="C1810" s="32"/>
      <c r="D1810" s="32"/>
      <c r="E1810" s="19" t="n">
        <f aca="false">+F1810*0.03</f>
        <v>0</v>
      </c>
      <c r="F1810" s="33" t="n">
        <v>0</v>
      </c>
      <c r="G1810" s="62"/>
      <c r="H1810" s="35" t="n">
        <v>0</v>
      </c>
      <c r="I1810" s="34" t="n">
        <f aca="false">+IF(E1810=0,0,E1810*0.03)</f>
        <v>0</v>
      </c>
    </row>
    <row r="1811" customFormat="false" ht="15.75" hidden="false" customHeight="true" outlineLevel="0" collapsed="false">
      <c r="A1811" s="30" t="n">
        <v>45444</v>
      </c>
      <c r="B1811" s="31" t="s">
        <v>153</v>
      </c>
      <c r="C1811" s="32"/>
      <c r="D1811" s="32"/>
      <c r="E1811" s="19" t="n">
        <f aca="false">+F1811*0.03</f>
        <v>0</v>
      </c>
      <c r="F1811" s="33" t="n">
        <v>0</v>
      </c>
      <c r="G1811" s="62"/>
      <c r="H1811" s="35" t="n">
        <v>0</v>
      </c>
      <c r="I1811" s="34" t="n">
        <f aca="false">+IF(E1811=0,0,E1811*0.03)</f>
        <v>0</v>
      </c>
    </row>
    <row r="1812" customFormat="false" ht="15.75" hidden="false" customHeight="true" outlineLevel="0" collapsed="false">
      <c r="A1812" s="30" t="n">
        <v>45444</v>
      </c>
      <c r="B1812" s="31" t="s">
        <v>153</v>
      </c>
      <c r="C1812" s="32"/>
      <c r="D1812" s="32"/>
      <c r="E1812" s="19" t="n">
        <f aca="false">+F1812*0.03</f>
        <v>0</v>
      </c>
      <c r="F1812" s="33" t="n">
        <v>0</v>
      </c>
      <c r="G1812" s="62"/>
      <c r="H1812" s="35" t="n">
        <v>0</v>
      </c>
      <c r="I1812" s="34" t="n">
        <f aca="false">+IF(E1812=0,0,E1812*0.03)</f>
        <v>0</v>
      </c>
    </row>
    <row r="1813" customFormat="false" ht="15.75" hidden="false" customHeight="true" outlineLevel="0" collapsed="false">
      <c r="A1813" s="30" t="n">
        <v>45444</v>
      </c>
      <c r="B1813" s="31" t="s">
        <v>153</v>
      </c>
      <c r="C1813" s="32"/>
      <c r="D1813" s="32"/>
      <c r="E1813" s="19" t="n">
        <f aca="false">+F1813*0.03</f>
        <v>0</v>
      </c>
      <c r="F1813" s="33" t="n">
        <v>0</v>
      </c>
      <c r="G1813" s="62"/>
      <c r="H1813" s="35" t="n">
        <v>0</v>
      </c>
      <c r="I1813" s="34" t="n">
        <f aca="false">+IF(E1813=0,0,E1813*0.03)</f>
        <v>0</v>
      </c>
    </row>
    <row r="1814" customFormat="false" ht="15.75" hidden="false" customHeight="true" outlineLevel="0" collapsed="false">
      <c r="A1814" s="30" t="n">
        <v>45444</v>
      </c>
      <c r="B1814" s="31" t="s">
        <v>153</v>
      </c>
      <c r="C1814" s="32"/>
      <c r="D1814" s="32"/>
      <c r="E1814" s="19" t="n">
        <f aca="false">+F1814*0.03</f>
        <v>0</v>
      </c>
      <c r="F1814" s="33" t="n">
        <v>0</v>
      </c>
      <c r="G1814" s="62"/>
      <c r="H1814" s="35" t="n">
        <v>0</v>
      </c>
      <c r="I1814" s="34" t="n">
        <f aca="false">+IF(E1814=0,0,E1814*0.03)</f>
        <v>0</v>
      </c>
    </row>
    <row r="1815" customFormat="false" ht="15.75" hidden="false" customHeight="true" outlineLevel="0" collapsed="false">
      <c r="A1815" s="30" t="n">
        <v>45444</v>
      </c>
      <c r="B1815" s="31" t="s">
        <v>153</v>
      </c>
      <c r="C1815" s="32"/>
      <c r="D1815" s="32"/>
      <c r="E1815" s="19" t="n">
        <f aca="false">+F1815*0.03</f>
        <v>0</v>
      </c>
      <c r="F1815" s="33" t="n">
        <v>0</v>
      </c>
      <c r="G1815" s="62"/>
      <c r="H1815" s="35" t="n">
        <v>0</v>
      </c>
      <c r="I1815" s="34" t="n">
        <f aca="false">+IF(E1815=0,0,E1815*0.03)</f>
        <v>0</v>
      </c>
    </row>
    <row r="1816" customFormat="false" ht="15.75" hidden="false" customHeight="true" outlineLevel="0" collapsed="false">
      <c r="A1816" s="30" t="n">
        <v>45444</v>
      </c>
      <c r="B1816" s="31" t="s">
        <v>153</v>
      </c>
      <c r="C1816" s="32"/>
      <c r="D1816" s="32"/>
      <c r="E1816" s="19" t="n">
        <f aca="false">+F1816*0.03</f>
        <v>0</v>
      </c>
      <c r="F1816" s="33" t="n">
        <v>0</v>
      </c>
      <c r="G1816" s="62"/>
      <c r="H1816" s="35" t="n">
        <v>0</v>
      </c>
      <c r="I1816" s="34" t="n">
        <f aca="false">+IF(E1816=0,0,E1816*0.03)</f>
        <v>0</v>
      </c>
    </row>
    <row r="1817" customFormat="false" ht="15.75" hidden="false" customHeight="true" outlineLevel="0" collapsed="false">
      <c r="A1817" s="30" t="n">
        <v>45444</v>
      </c>
      <c r="B1817" s="31" t="s">
        <v>153</v>
      </c>
      <c r="C1817" s="32"/>
      <c r="D1817" s="32"/>
      <c r="E1817" s="19" t="n">
        <f aca="false">+F1817*0.03</f>
        <v>0</v>
      </c>
      <c r="F1817" s="33" t="n">
        <v>0</v>
      </c>
      <c r="G1817" s="62"/>
      <c r="H1817" s="35" t="n">
        <v>0</v>
      </c>
      <c r="I1817" s="34" t="n">
        <f aca="false">+IF(E1817=0,0,E1817*0.03)</f>
        <v>0</v>
      </c>
    </row>
    <row r="1818" customFormat="false" ht="15.75" hidden="false" customHeight="true" outlineLevel="0" collapsed="false">
      <c r="A1818" s="30" t="n">
        <v>45444</v>
      </c>
      <c r="B1818" s="31" t="s">
        <v>153</v>
      </c>
      <c r="C1818" s="32"/>
      <c r="D1818" s="32"/>
      <c r="E1818" s="19" t="n">
        <f aca="false">+F1818*0.03</f>
        <v>0</v>
      </c>
      <c r="F1818" s="33" t="n">
        <v>0</v>
      </c>
      <c r="G1818" s="62"/>
      <c r="H1818" s="35" t="n">
        <v>0</v>
      </c>
      <c r="I1818" s="34" t="n">
        <f aca="false">+IF(E1818=0,0,E1818*0.03)</f>
        <v>0</v>
      </c>
    </row>
    <row r="1819" customFormat="false" ht="15.75" hidden="false" customHeight="true" outlineLevel="0" collapsed="false">
      <c r="A1819" s="30" t="n">
        <v>45444</v>
      </c>
      <c r="B1819" s="31" t="s">
        <v>153</v>
      </c>
      <c r="C1819" s="32"/>
      <c r="D1819" s="32"/>
      <c r="E1819" s="19" t="n">
        <f aca="false">+F1819*0.03</f>
        <v>0</v>
      </c>
      <c r="F1819" s="33" t="n">
        <v>0</v>
      </c>
      <c r="G1819" s="62"/>
      <c r="H1819" s="35" t="n">
        <v>0</v>
      </c>
      <c r="I1819" s="34" t="n">
        <f aca="false">+IF(E1819=0,0,E1819*0.03)</f>
        <v>0</v>
      </c>
    </row>
    <row r="1820" customFormat="false" ht="15.75" hidden="false" customHeight="true" outlineLevel="0" collapsed="false">
      <c r="A1820" s="30" t="n">
        <v>45444</v>
      </c>
      <c r="B1820" s="31" t="s">
        <v>153</v>
      </c>
      <c r="C1820" s="32"/>
      <c r="D1820" s="32"/>
      <c r="E1820" s="19" t="n">
        <f aca="false">+F1820*0.03</f>
        <v>0</v>
      </c>
      <c r="F1820" s="33" t="n">
        <v>0</v>
      </c>
      <c r="G1820" s="62"/>
      <c r="H1820" s="35" t="n">
        <v>0</v>
      </c>
      <c r="I1820" s="34" t="n">
        <f aca="false">+IF(E1820=0,0,E1820*0.03)</f>
        <v>0</v>
      </c>
    </row>
    <row r="1821" customFormat="false" ht="15.75" hidden="false" customHeight="true" outlineLevel="0" collapsed="false">
      <c r="A1821" s="30" t="n">
        <v>45444</v>
      </c>
      <c r="B1821" s="31" t="s">
        <v>153</v>
      </c>
      <c r="C1821" s="32"/>
      <c r="D1821" s="32"/>
      <c r="E1821" s="19" t="n">
        <f aca="false">+F1821*0.03</f>
        <v>0</v>
      </c>
      <c r="F1821" s="33" t="n">
        <v>0</v>
      </c>
      <c r="G1821" s="62"/>
      <c r="H1821" s="35" t="n">
        <v>0</v>
      </c>
      <c r="I1821" s="34" t="n">
        <f aca="false">+IF(E1821=0,0,E1821*0.03)</f>
        <v>0</v>
      </c>
    </row>
    <row r="1822" customFormat="false" ht="15.75" hidden="false" customHeight="true" outlineLevel="0" collapsed="false">
      <c r="A1822" s="30" t="n">
        <v>45444</v>
      </c>
      <c r="B1822" s="31" t="s">
        <v>153</v>
      </c>
      <c r="C1822" s="32"/>
      <c r="D1822" s="32"/>
      <c r="E1822" s="19" t="n">
        <f aca="false">+F1822*0.03</f>
        <v>0</v>
      </c>
      <c r="F1822" s="33" t="n">
        <v>0</v>
      </c>
      <c r="G1822" s="62"/>
      <c r="H1822" s="35" t="n">
        <v>0</v>
      </c>
      <c r="I1822" s="34" t="n">
        <f aca="false">+IF(E1822=0,0,E1822*0.03)</f>
        <v>0</v>
      </c>
    </row>
    <row r="1823" customFormat="false" ht="15.75" hidden="false" customHeight="true" outlineLevel="0" collapsed="false">
      <c r="A1823" s="30" t="n">
        <v>45444</v>
      </c>
      <c r="B1823" s="31" t="s">
        <v>153</v>
      </c>
      <c r="C1823" s="32"/>
      <c r="D1823" s="32"/>
      <c r="E1823" s="19" t="n">
        <f aca="false">+F1823*0.03</f>
        <v>0</v>
      </c>
      <c r="F1823" s="33" t="n">
        <v>0</v>
      </c>
      <c r="G1823" s="62"/>
      <c r="H1823" s="35" t="n">
        <v>0</v>
      </c>
      <c r="I1823" s="34" t="n">
        <f aca="false">+IF(E1823=0,0,E1823*0.03)</f>
        <v>0</v>
      </c>
    </row>
    <row r="1824" customFormat="false" ht="15.75" hidden="false" customHeight="true" outlineLevel="0" collapsed="false">
      <c r="A1824" s="30" t="n">
        <v>45444</v>
      </c>
      <c r="B1824" s="31" t="s">
        <v>153</v>
      </c>
      <c r="C1824" s="32"/>
      <c r="D1824" s="32"/>
      <c r="E1824" s="19" t="n">
        <f aca="false">+F1824*0.03</f>
        <v>0</v>
      </c>
      <c r="F1824" s="33" t="n">
        <v>0</v>
      </c>
      <c r="G1824" s="62"/>
      <c r="H1824" s="35" t="n">
        <v>0</v>
      </c>
      <c r="I1824" s="34" t="n">
        <f aca="false">+IF(E1824=0,0,E1824*0.03)</f>
        <v>0</v>
      </c>
    </row>
    <row r="1825" customFormat="false" ht="15.75" hidden="false" customHeight="true" outlineLevel="0" collapsed="false">
      <c r="A1825" s="30" t="n">
        <v>45444</v>
      </c>
      <c r="B1825" s="31" t="s">
        <v>153</v>
      </c>
      <c r="C1825" s="32"/>
      <c r="D1825" s="32"/>
      <c r="E1825" s="19" t="n">
        <f aca="false">+F1825*0.03</f>
        <v>0</v>
      </c>
      <c r="F1825" s="33" t="n">
        <v>0</v>
      </c>
      <c r="G1825" s="62"/>
      <c r="H1825" s="35" t="n">
        <v>0</v>
      </c>
      <c r="I1825" s="34" t="n">
        <f aca="false">+IF(E1825=0,0,E1825*0.03)</f>
        <v>0</v>
      </c>
    </row>
    <row r="1826" customFormat="false" ht="15.75" hidden="false" customHeight="true" outlineLevel="0" collapsed="false">
      <c r="A1826" s="30" t="n">
        <v>45444</v>
      </c>
      <c r="B1826" s="31" t="s">
        <v>153</v>
      </c>
      <c r="C1826" s="32"/>
      <c r="D1826" s="32"/>
      <c r="E1826" s="19" t="n">
        <f aca="false">+F1826*0.03</f>
        <v>0</v>
      </c>
      <c r="F1826" s="33" t="n">
        <v>0</v>
      </c>
      <c r="G1826" s="62"/>
      <c r="H1826" s="35" t="n">
        <v>0</v>
      </c>
      <c r="I1826" s="34" t="n">
        <f aca="false">+IF(E1826=0,0,E1826*0.03)</f>
        <v>0</v>
      </c>
    </row>
    <row r="1827" customFormat="false" ht="15.75" hidden="false" customHeight="true" outlineLevel="0" collapsed="false">
      <c r="A1827" s="30" t="n">
        <v>45444</v>
      </c>
      <c r="B1827" s="31" t="s">
        <v>153</v>
      </c>
      <c r="C1827" s="32"/>
      <c r="D1827" s="32"/>
      <c r="E1827" s="19" t="n">
        <f aca="false">+F1827*0.03</f>
        <v>0</v>
      </c>
      <c r="F1827" s="33" t="n">
        <v>0</v>
      </c>
      <c r="G1827" s="62"/>
      <c r="H1827" s="35" t="n">
        <v>0</v>
      </c>
      <c r="I1827" s="34" t="n">
        <f aca="false">+IF(E1827=0,0,E1827*0.03)</f>
        <v>0</v>
      </c>
    </row>
    <row r="1828" customFormat="false" ht="15.75" hidden="false" customHeight="true" outlineLevel="0" collapsed="false">
      <c r="A1828" s="30" t="n">
        <v>45444</v>
      </c>
      <c r="B1828" s="31" t="s">
        <v>153</v>
      </c>
      <c r="C1828" s="32"/>
      <c r="D1828" s="32"/>
      <c r="E1828" s="19" t="n">
        <f aca="false">+F1828*0.03</f>
        <v>0</v>
      </c>
      <c r="F1828" s="33" t="n">
        <v>0</v>
      </c>
      <c r="G1828" s="62"/>
      <c r="H1828" s="35" t="n">
        <v>0</v>
      </c>
      <c r="I1828" s="34" t="n">
        <f aca="false">+IF(E1828=0,0,E1828*0.03)</f>
        <v>0</v>
      </c>
    </row>
    <row r="1829" customFormat="false" ht="15.75" hidden="false" customHeight="true" outlineLevel="0" collapsed="false">
      <c r="A1829" s="30" t="n">
        <v>45444</v>
      </c>
      <c r="B1829" s="31" t="s">
        <v>153</v>
      </c>
      <c r="C1829" s="32"/>
      <c r="D1829" s="32"/>
      <c r="E1829" s="19" t="n">
        <f aca="false">+F1829*0.03</f>
        <v>0</v>
      </c>
      <c r="F1829" s="33" t="n">
        <v>0</v>
      </c>
      <c r="G1829" s="62"/>
      <c r="H1829" s="35" t="n">
        <v>0</v>
      </c>
      <c r="I1829" s="34" t="n">
        <f aca="false">+IF(E1829=0,0,E1829*0.03)</f>
        <v>0</v>
      </c>
    </row>
    <row r="1830" customFormat="false" ht="15.75" hidden="false" customHeight="true" outlineLevel="0" collapsed="false">
      <c r="A1830" s="30" t="n">
        <v>45444</v>
      </c>
      <c r="B1830" s="31" t="s">
        <v>153</v>
      </c>
      <c r="C1830" s="32"/>
      <c r="D1830" s="32"/>
      <c r="E1830" s="19" t="n">
        <f aca="false">+F1830*0.03</f>
        <v>0</v>
      </c>
      <c r="F1830" s="33" t="n">
        <v>0</v>
      </c>
      <c r="G1830" s="62"/>
      <c r="H1830" s="35" t="n">
        <v>0</v>
      </c>
      <c r="I1830" s="34" t="n">
        <f aca="false">+IF(E1830=0,0,E1830*0.03)</f>
        <v>0</v>
      </c>
    </row>
    <row r="1831" customFormat="false" ht="15.75" hidden="false" customHeight="true" outlineLevel="0" collapsed="false">
      <c r="A1831" s="30" t="n">
        <v>45444</v>
      </c>
      <c r="B1831" s="31" t="s">
        <v>153</v>
      </c>
      <c r="C1831" s="32"/>
      <c r="D1831" s="32"/>
      <c r="E1831" s="19" t="n">
        <f aca="false">+F1831*0.03</f>
        <v>0</v>
      </c>
      <c r="F1831" s="33" t="n">
        <v>0</v>
      </c>
      <c r="G1831" s="62"/>
      <c r="H1831" s="35" t="n">
        <v>0</v>
      </c>
      <c r="I1831" s="34" t="n">
        <f aca="false">+IF(E1831=0,0,E1831*0.03)</f>
        <v>0</v>
      </c>
    </row>
    <row r="1832" customFormat="false" ht="15.75" hidden="false" customHeight="true" outlineLevel="0" collapsed="false">
      <c r="A1832" s="30" t="n">
        <v>45444</v>
      </c>
      <c r="B1832" s="31" t="s">
        <v>153</v>
      </c>
      <c r="C1832" s="32"/>
      <c r="D1832" s="32"/>
      <c r="E1832" s="19" t="n">
        <f aca="false">+F1832*0.03</f>
        <v>0</v>
      </c>
      <c r="F1832" s="33" t="n">
        <v>0</v>
      </c>
      <c r="G1832" s="62"/>
      <c r="H1832" s="35" t="n">
        <v>0</v>
      </c>
      <c r="I1832" s="34" t="n">
        <f aca="false">+IF(E1832=0,0,E1832*0.03)</f>
        <v>0</v>
      </c>
    </row>
    <row r="1833" customFormat="false" ht="15.75" hidden="false" customHeight="true" outlineLevel="0" collapsed="false">
      <c r="A1833" s="30" t="n">
        <v>45444</v>
      </c>
      <c r="B1833" s="31" t="s">
        <v>153</v>
      </c>
      <c r="C1833" s="32"/>
      <c r="D1833" s="32"/>
      <c r="E1833" s="19" t="n">
        <f aca="false">+F1833*0.03</f>
        <v>0</v>
      </c>
      <c r="F1833" s="33" t="n">
        <v>0</v>
      </c>
      <c r="G1833" s="62"/>
      <c r="H1833" s="35" t="n">
        <v>0</v>
      </c>
      <c r="I1833" s="34" t="n">
        <f aca="false">+IF(E1833=0,0,E1833*0.03)</f>
        <v>0</v>
      </c>
    </row>
    <row r="1834" customFormat="false" ht="15.75" hidden="false" customHeight="true" outlineLevel="0" collapsed="false">
      <c r="A1834" s="30" t="n">
        <v>45444</v>
      </c>
      <c r="B1834" s="31" t="s">
        <v>153</v>
      </c>
      <c r="C1834" s="32"/>
      <c r="D1834" s="32"/>
      <c r="E1834" s="19" t="n">
        <f aca="false">+F1834*0.03</f>
        <v>0</v>
      </c>
      <c r="F1834" s="33" t="n">
        <v>0</v>
      </c>
      <c r="G1834" s="62"/>
      <c r="H1834" s="35" t="n">
        <v>0</v>
      </c>
      <c r="I1834" s="34" t="n">
        <f aca="false">+IF(E1834=0,0,E1834*0.03)</f>
        <v>0</v>
      </c>
    </row>
    <row r="1835" customFormat="false" ht="15.75" hidden="false" customHeight="true" outlineLevel="0" collapsed="false">
      <c r="A1835" s="30" t="n">
        <v>45444</v>
      </c>
      <c r="B1835" s="31" t="s">
        <v>153</v>
      </c>
      <c r="C1835" s="32"/>
      <c r="D1835" s="32"/>
      <c r="E1835" s="19" t="n">
        <f aca="false">+F1835*0.03</f>
        <v>0</v>
      </c>
      <c r="F1835" s="33" t="n">
        <v>0</v>
      </c>
      <c r="G1835" s="62"/>
      <c r="H1835" s="35" t="n">
        <v>0</v>
      </c>
      <c r="I1835" s="34" t="n">
        <f aca="false">+IF(E1835=0,0,E1835*0.03)</f>
        <v>0</v>
      </c>
    </row>
    <row r="1836" customFormat="false" ht="15.75" hidden="false" customHeight="true" outlineLevel="0" collapsed="false">
      <c r="A1836" s="30" t="n">
        <v>45444</v>
      </c>
      <c r="B1836" s="31" t="s">
        <v>153</v>
      </c>
      <c r="C1836" s="32"/>
      <c r="D1836" s="32"/>
      <c r="E1836" s="19" t="n">
        <f aca="false">+F1836*0.03</f>
        <v>0</v>
      </c>
      <c r="F1836" s="33" t="n">
        <v>0</v>
      </c>
      <c r="G1836" s="62"/>
      <c r="H1836" s="35" t="n">
        <v>0</v>
      </c>
      <c r="I1836" s="34" t="n">
        <f aca="false">+IF(E1836=0,0,E1836*0.03)</f>
        <v>0</v>
      </c>
    </row>
    <row r="1837" customFormat="false" ht="15.75" hidden="false" customHeight="true" outlineLevel="0" collapsed="false">
      <c r="A1837" s="30" t="n">
        <v>45444</v>
      </c>
      <c r="B1837" s="31" t="s">
        <v>153</v>
      </c>
      <c r="C1837" s="32"/>
      <c r="D1837" s="32"/>
      <c r="E1837" s="19" t="n">
        <f aca="false">+F1837*0.03</f>
        <v>0</v>
      </c>
      <c r="F1837" s="33" t="n">
        <v>0</v>
      </c>
      <c r="G1837" s="62"/>
      <c r="H1837" s="35" t="n">
        <v>0</v>
      </c>
      <c r="I1837" s="34" t="n">
        <f aca="false">+IF(E1837=0,0,E1837*0.03)</f>
        <v>0</v>
      </c>
    </row>
    <row r="1838" customFormat="false" ht="15.75" hidden="false" customHeight="true" outlineLevel="0" collapsed="false">
      <c r="A1838" s="30" t="n">
        <v>45444</v>
      </c>
      <c r="B1838" s="31" t="s">
        <v>153</v>
      </c>
      <c r="C1838" s="32"/>
      <c r="D1838" s="32"/>
      <c r="E1838" s="19" t="n">
        <f aca="false">+F1838*0.03</f>
        <v>0</v>
      </c>
      <c r="F1838" s="33" t="n">
        <v>0</v>
      </c>
      <c r="G1838" s="62"/>
      <c r="H1838" s="35" t="n">
        <v>0</v>
      </c>
      <c r="I1838" s="34" t="n">
        <f aca="false">+IF(E1838=0,0,E1838*0.03)</f>
        <v>0</v>
      </c>
    </row>
    <row r="1839" customFormat="false" ht="15.75" hidden="false" customHeight="true" outlineLevel="0" collapsed="false">
      <c r="A1839" s="30" t="n">
        <v>45444</v>
      </c>
      <c r="B1839" s="31" t="s">
        <v>153</v>
      </c>
      <c r="C1839" s="32"/>
      <c r="D1839" s="32"/>
      <c r="E1839" s="19" t="n">
        <f aca="false">+F1839*0.03</f>
        <v>0</v>
      </c>
      <c r="F1839" s="33" t="n">
        <v>0</v>
      </c>
      <c r="G1839" s="62"/>
      <c r="H1839" s="35" t="n">
        <v>0</v>
      </c>
      <c r="I1839" s="34" t="n">
        <f aca="false">+IF(E1839=0,0,E1839*0.03)</f>
        <v>0</v>
      </c>
    </row>
    <row r="1840" customFormat="false" ht="15.75" hidden="false" customHeight="true" outlineLevel="0" collapsed="false">
      <c r="A1840" s="30" t="n">
        <v>45444</v>
      </c>
      <c r="B1840" s="31" t="s">
        <v>153</v>
      </c>
      <c r="C1840" s="32"/>
      <c r="D1840" s="32"/>
      <c r="E1840" s="19" t="n">
        <f aca="false">+F1840*0.03</f>
        <v>0</v>
      </c>
      <c r="F1840" s="33" t="n">
        <v>0</v>
      </c>
      <c r="G1840" s="62"/>
      <c r="H1840" s="35" t="n">
        <v>0</v>
      </c>
      <c r="I1840" s="34" t="n">
        <f aca="false">+IF(E1840=0,0,E1840*0.03)</f>
        <v>0</v>
      </c>
    </row>
    <row r="1841" customFormat="false" ht="15.75" hidden="false" customHeight="true" outlineLevel="0" collapsed="false">
      <c r="A1841" s="30" t="n">
        <v>45444</v>
      </c>
      <c r="B1841" s="31" t="s">
        <v>153</v>
      </c>
      <c r="C1841" s="32"/>
      <c r="D1841" s="32"/>
      <c r="E1841" s="19" t="n">
        <f aca="false">+F1841*0.03</f>
        <v>0</v>
      </c>
      <c r="F1841" s="33" t="n">
        <v>0</v>
      </c>
      <c r="G1841" s="62"/>
      <c r="H1841" s="35" t="n">
        <v>0</v>
      </c>
      <c r="I1841" s="34" t="n">
        <f aca="false">+IF(E1841=0,0,E1841*0.03)</f>
        <v>0</v>
      </c>
    </row>
    <row r="1842" customFormat="false" ht="15.75" hidden="false" customHeight="true" outlineLevel="0" collapsed="false">
      <c r="A1842" s="30" t="n">
        <v>45444</v>
      </c>
      <c r="B1842" s="31" t="s">
        <v>153</v>
      </c>
      <c r="C1842" s="32"/>
      <c r="D1842" s="32"/>
      <c r="E1842" s="19" t="n">
        <f aca="false">+F1842*0.03</f>
        <v>0</v>
      </c>
      <c r="F1842" s="33" t="n">
        <v>0</v>
      </c>
      <c r="G1842" s="62"/>
      <c r="H1842" s="35" t="n">
        <v>0</v>
      </c>
      <c r="I1842" s="34" t="n">
        <f aca="false">+IF(E1842=0,0,E1842*0.03)</f>
        <v>0</v>
      </c>
    </row>
    <row r="1843" customFormat="false" ht="15.75" hidden="false" customHeight="true" outlineLevel="0" collapsed="false">
      <c r="A1843" s="30" t="n">
        <v>45444</v>
      </c>
      <c r="B1843" s="31" t="s">
        <v>153</v>
      </c>
      <c r="C1843" s="32"/>
      <c r="D1843" s="32"/>
      <c r="E1843" s="19" t="n">
        <f aca="false">+F1843*0.03</f>
        <v>0</v>
      </c>
      <c r="F1843" s="33" t="n">
        <v>0</v>
      </c>
      <c r="G1843" s="62"/>
      <c r="H1843" s="35" t="n">
        <v>0</v>
      </c>
      <c r="I1843" s="34" t="n">
        <f aca="false">+IF(E1843=0,0,E1843*0.03)</f>
        <v>0</v>
      </c>
    </row>
    <row r="1844" customFormat="false" ht="15.75" hidden="false" customHeight="true" outlineLevel="0" collapsed="false">
      <c r="A1844" s="30" t="n">
        <v>45444</v>
      </c>
      <c r="B1844" s="31" t="s">
        <v>153</v>
      </c>
      <c r="C1844" s="32"/>
      <c r="D1844" s="32"/>
      <c r="E1844" s="19" t="n">
        <f aca="false">+F1844*0.03</f>
        <v>0</v>
      </c>
      <c r="F1844" s="33" t="n">
        <v>0</v>
      </c>
      <c r="G1844" s="62"/>
      <c r="H1844" s="35" t="n">
        <v>0</v>
      </c>
      <c r="I1844" s="34" t="n">
        <f aca="false">+IF(E1844=0,0,E1844*0.03)</f>
        <v>0</v>
      </c>
    </row>
    <row r="1845" customFormat="false" ht="15.75" hidden="false" customHeight="true" outlineLevel="0" collapsed="false">
      <c r="A1845" s="30" t="n">
        <v>45444</v>
      </c>
      <c r="B1845" s="31" t="s">
        <v>153</v>
      </c>
      <c r="C1845" s="32"/>
      <c r="D1845" s="32"/>
      <c r="E1845" s="19" t="n">
        <f aca="false">+F1845*0.03</f>
        <v>0</v>
      </c>
      <c r="F1845" s="33" t="n">
        <v>0</v>
      </c>
      <c r="G1845" s="62"/>
      <c r="H1845" s="35" t="n">
        <v>0</v>
      </c>
      <c r="I1845" s="34" t="n">
        <f aca="false">+IF(E1845=0,0,E1845*0.03)</f>
        <v>0</v>
      </c>
    </row>
    <row r="1846" customFormat="false" ht="15.75" hidden="false" customHeight="true" outlineLevel="0" collapsed="false">
      <c r="A1846" s="30" t="n">
        <v>45444</v>
      </c>
      <c r="B1846" s="31" t="s">
        <v>153</v>
      </c>
      <c r="C1846" s="32"/>
      <c r="D1846" s="32"/>
      <c r="E1846" s="19" t="n">
        <f aca="false">+F1846*0.03</f>
        <v>0</v>
      </c>
      <c r="F1846" s="33" t="n">
        <v>0</v>
      </c>
      <c r="G1846" s="62"/>
      <c r="H1846" s="35" t="n">
        <v>0</v>
      </c>
      <c r="I1846" s="34" t="n">
        <f aca="false">+IF(E1846=0,0,E1846*0.03)</f>
        <v>0</v>
      </c>
    </row>
    <row r="1847" customFormat="false" ht="15.75" hidden="false" customHeight="true" outlineLevel="0" collapsed="false">
      <c r="A1847" s="30" t="n">
        <v>45444</v>
      </c>
      <c r="B1847" s="31" t="s">
        <v>153</v>
      </c>
      <c r="C1847" s="32"/>
      <c r="D1847" s="32"/>
      <c r="E1847" s="19" t="n">
        <f aca="false">+F1847*0.03</f>
        <v>0</v>
      </c>
      <c r="F1847" s="33" t="n">
        <v>0</v>
      </c>
      <c r="G1847" s="62"/>
      <c r="H1847" s="35" t="n">
        <v>0</v>
      </c>
      <c r="I1847" s="34" t="n">
        <f aca="false">+IF(E1847=0,0,E1847*0.03)</f>
        <v>0</v>
      </c>
    </row>
    <row r="1848" customFormat="false" ht="15.75" hidden="false" customHeight="true" outlineLevel="0" collapsed="false">
      <c r="A1848" s="30" t="n">
        <v>45444</v>
      </c>
      <c r="B1848" s="31" t="s">
        <v>153</v>
      </c>
      <c r="C1848" s="32"/>
      <c r="D1848" s="32"/>
      <c r="E1848" s="19" t="n">
        <f aca="false">+F1848*0.03</f>
        <v>0</v>
      </c>
      <c r="F1848" s="33" t="n">
        <v>0</v>
      </c>
      <c r="G1848" s="62"/>
      <c r="H1848" s="35" t="n">
        <v>0</v>
      </c>
      <c r="I1848" s="34" t="n">
        <f aca="false">+IF(E1848=0,0,E1848*0.03)</f>
        <v>0</v>
      </c>
    </row>
    <row r="1849" customFormat="false" ht="15.75" hidden="false" customHeight="true" outlineLevel="0" collapsed="false">
      <c r="A1849" s="30" t="n">
        <v>45444</v>
      </c>
      <c r="B1849" s="31" t="s">
        <v>153</v>
      </c>
      <c r="C1849" s="32"/>
      <c r="D1849" s="32"/>
      <c r="E1849" s="19" t="n">
        <f aca="false">+F1849*0.03</f>
        <v>0</v>
      </c>
      <c r="F1849" s="33" t="n">
        <v>0</v>
      </c>
      <c r="G1849" s="62"/>
      <c r="H1849" s="35" t="n">
        <v>0</v>
      </c>
      <c r="I1849" s="34" t="n">
        <f aca="false">+IF(E1849=0,0,E1849*0.03)</f>
        <v>0</v>
      </c>
    </row>
    <row r="1850" customFormat="false" ht="15.75" hidden="false" customHeight="true" outlineLevel="0" collapsed="false">
      <c r="A1850" s="30" t="n">
        <v>45444</v>
      </c>
      <c r="B1850" s="31" t="s">
        <v>153</v>
      </c>
      <c r="C1850" s="32"/>
      <c r="D1850" s="32"/>
      <c r="E1850" s="19" t="n">
        <f aca="false">+F1850*0.03</f>
        <v>0</v>
      </c>
      <c r="F1850" s="33" t="n">
        <v>0</v>
      </c>
      <c r="G1850" s="62"/>
      <c r="H1850" s="35" t="n">
        <v>0</v>
      </c>
      <c r="I1850" s="34" t="n">
        <f aca="false">+IF(E1850=0,0,E1850*0.03)</f>
        <v>0</v>
      </c>
    </row>
    <row r="1851" customFormat="false" ht="15.75" hidden="false" customHeight="true" outlineLevel="0" collapsed="false">
      <c r="A1851" s="30" t="n">
        <v>45444</v>
      </c>
      <c r="B1851" s="31" t="s">
        <v>153</v>
      </c>
      <c r="C1851" s="32"/>
      <c r="D1851" s="32"/>
      <c r="E1851" s="19" t="n">
        <f aca="false">+F1851*0.03</f>
        <v>0</v>
      </c>
      <c r="F1851" s="33" t="n">
        <v>0</v>
      </c>
      <c r="G1851" s="62"/>
      <c r="H1851" s="35" t="n">
        <v>0</v>
      </c>
      <c r="I1851" s="34" t="n">
        <f aca="false">+IF(E1851=0,0,E1851*0.03)</f>
        <v>0</v>
      </c>
    </row>
    <row r="1852" customFormat="false" ht="15.75" hidden="false" customHeight="true" outlineLevel="0" collapsed="false">
      <c r="A1852" s="30" t="n">
        <v>45444</v>
      </c>
      <c r="B1852" s="31" t="s">
        <v>153</v>
      </c>
      <c r="C1852" s="32"/>
      <c r="D1852" s="32"/>
      <c r="E1852" s="19" t="n">
        <f aca="false">+F1852*0.03</f>
        <v>0</v>
      </c>
      <c r="F1852" s="33" t="n">
        <v>0</v>
      </c>
      <c r="G1852" s="62"/>
      <c r="H1852" s="35" t="n">
        <v>0</v>
      </c>
      <c r="I1852" s="34" t="n">
        <f aca="false">+IF(E1852=0,0,E1852*0.03)</f>
        <v>0</v>
      </c>
    </row>
    <row r="1853" customFormat="false" ht="15.75" hidden="false" customHeight="true" outlineLevel="0" collapsed="false">
      <c r="A1853" s="30" t="n">
        <v>45444</v>
      </c>
      <c r="B1853" s="31" t="s">
        <v>153</v>
      </c>
      <c r="C1853" s="32"/>
      <c r="D1853" s="32"/>
      <c r="E1853" s="19" t="n">
        <f aca="false">+F1853*0.03</f>
        <v>0</v>
      </c>
      <c r="F1853" s="33" t="n">
        <v>0</v>
      </c>
      <c r="G1853" s="62"/>
      <c r="H1853" s="35" t="n">
        <v>0</v>
      </c>
      <c r="I1853" s="34" t="n">
        <f aca="false">+IF(E1853=0,0,E1853*0.03)</f>
        <v>0</v>
      </c>
    </row>
    <row r="1854" customFormat="false" ht="15.75" hidden="false" customHeight="true" outlineLevel="0" collapsed="false">
      <c r="A1854" s="30" t="n">
        <v>45444</v>
      </c>
      <c r="B1854" s="31" t="s">
        <v>153</v>
      </c>
      <c r="C1854" s="32"/>
      <c r="D1854" s="32"/>
      <c r="E1854" s="19" t="n">
        <f aca="false">+F1854*0.03</f>
        <v>0</v>
      </c>
      <c r="F1854" s="33" t="n">
        <v>0</v>
      </c>
      <c r="G1854" s="62"/>
      <c r="H1854" s="35" t="n">
        <v>0</v>
      </c>
      <c r="I1854" s="34" t="n">
        <f aca="false">+IF(E1854=0,0,E1854*0.03)</f>
        <v>0</v>
      </c>
    </row>
    <row r="1855" customFormat="false" ht="15.75" hidden="false" customHeight="true" outlineLevel="0" collapsed="false">
      <c r="A1855" s="30" t="n">
        <v>45444</v>
      </c>
      <c r="B1855" s="31" t="s">
        <v>153</v>
      </c>
      <c r="C1855" s="32"/>
      <c r="D1855" s="32"/>
      <c r="E1855" s="19" t="n">
        <f aca="false">+F1855*0.03</f>
        <v>0</v>
      </c>
      <c r="F1855" s="33" t="n">
        <v>0</v>
      </c>
      <c r="G1855" s="62"/>
      <c r="H1855" s="35" t="n">
        <v>0</v>
      </c>
      <c r="I1855" s="34" t="n">
        <f aca="false">+IF(E1855=0,0,E1855*0.03)</f>
        <v>0</v>
      </c>
    </row>
    <row r="1856" customFormat="false" ht="15.75" hidden="false" customHeight="true" outlineLevel="0" collapsed="false">
      <c r="A1856" s="30" t="n">
        <v>45444</v>
      </c>
      <c r="B1856" s="31" t="s">
        <v>153</v>
      </c>
      <c r="C1856" s="32"/>
      <c r="D1856" s="32"/>
      <c r="E1856" s="19" t="n">
        <f aca="false">+F1856*0.03</f>
        <v>0</v>
      </c>
      <c r="F1856" s="33" t="n">
        <v>0</v>
      </c>
      <c r="G1856" s="62"/>
      <c r="H1856" s="35" t="n">
        <v>0</v>
      </c>
      <c r="I1856" s="34" t="n">
        <f aca="false">+IF(E1856=0,0,E1856*0.03)</f>
        <v>0</v>
      </c>
    </row>
    <row r="1857" customFormat="false" ht="15.75" hidden="false" customHeight="true" outlineLevel="0" collapsed="false">
      <c r="A1857" s="30" t="n">
        <v>45444</v>
      </c>
      <c r="B1857" s="31" t="s">
        <v>153</v>
      </c>
      <c r="C1857" s="32"/>
      <c r="D1857" s="32"/>
      <c r="E1857" s="19" t="n">
        <f aca="false">+F1857*0.03</f>
        <v>0</v>
      </c>
      <c r="F1857" s="33" t="n">
        <v>0</v>
      </c>
      <c r="G1857" s="62"/>
      <c r="H1857" s="35" t="n">
        <v>0</v>
      </c>
      <c r="I1857" s="34" t="n">
        <f aca="false">+IF(E1857=0,0,E1857*0.03)</f>
        <v>0</v>
      </c>
    </row>
    <row r="1858" customFormat="false" ht="15.75" hidden="false" customHeight="true" outlineLevel="0" collapsed="false">
      <c r="A1858" s="30" t="n">
        <v>45444</v>
      </c>
      <c r="B1858" s="31" t="s">
        <v>153</v>
      </c>
      <c r="C1858" s="32"/>
      <c r="D1858" s="32"/>
      <c r="E1858" s="19" t="n">
        <f aca="false">+F1858*0.03</f>
        <v>0</v>
      </c>
      <c r="F1858" s="33" t="n">
        <v>0</v>
      </c>
      <c r="G1858" s="62"/>
      <c r="H1858" s="35" t="n">
        <v>0</v>
      </c>
      <c r="I1858" s="34" t="n">
        <f aca="false">+IF(E1858=0,0,E1858*0.03)</f>
        <v>0</v>
      </c>
    </row>
    <row r="1859" customFormat="false" ht="15.75" hidden="false" customHeight="true" outlineLevel="0" collapsed="false">
      <c r="A1859" s="30" t="n">
        <v>45444</v>
      </c>
      <c r="B1859" s="31" t="s">
        <v>153</v>
      </c>
      <c r="C1859" s="32"/>
      <c r="D1859" s="32"/>
      <c r="E1859" s="19" t="n">
        <f aca="false">+F1859*0.03</f>
        <v>0</v>
      </c>
      <c r="F1859" s="33" t="n">
        <v>0</v>
      </c>
      <c r="G1859" s="62"/>
      <c r="H1859" s="35" t="n">
        <v>0</v>
      </c>
      <c r="I1859" s="34" t="n">
        <f aca="false">+IF(E1859=0,0,E1859*0.03)</f>
        <v>0</v>
      </c>
    </row>
    <row r="1860" customFormat="false" ht="15.75" hidden="false" customHeight="true" outlineLevel="0" collapsed="false">
      <c r="A1860" s="30" t="n">
        <v>45444</v>
      </c>
      <c r="B1860" s="31" t="s">
        <v>153</v>
      </c>
      <c r="C1860" s="32"/>
      <c r="D1860" s="32"/>
      <c r="E1860" s="19" t="n">
        <f aca="false">+F1860*0.03</f>
        <v>0</v>
      </c>
      <c r="F1860" s="33" t="n">
        <v>0</v>
      </c>
      <c r="G1860" s="62"/>
      <c r="H1860" s="35" t="n">
        <v>0</v>
      </c>
      <c r="I1860" s="34" t="n">
        <f aca="false">+IF(E1860=0,0,E1860*0.03)</f>
        <v>0</v>
      </c>
    </row>
    <row r="1861" customFormat="false" ht="15.75" hidden="false" customHeight="true" outlineLevel="0" collapsed="false">
      <c r="A1861" s="30" t="n">
        <v>45444</v>
      </c>
      <c r="B1861" s="31" t="s">
        <v>153</v>
      </c>
      <c r="C1861" s="32"/>
      <c r="D1861" s="32"/>
      <c r="E1861" s="19" t="n">
        <f aca="false">+F1861*0.03</f>
        <v>0</v>
      </c>
      <c r="F1861" s="33" t="n">
        <v>0</v>
      </c>
      <c r="G1861" s="62"/>
      <c r="H1861" s="35" t="n">
        <v>0</v>
      </c>
      <c r="I1861" s="34" t="n">
        <f aca="false">+IF(E1861=0,0,E1861*0.03)</f>
        <v>0</v>
      </c>
    </row>
    <row r="1862" customFormat="false" ht="15.75" hidden="false" customHeight="true" outlineLevel="0" collapsed="false">
      <c r="A1862" s="30" t="n">
        <v>45444</v>
      </c>
      <c r="B1862" s="31" t="s">
        <v>153</v>
      </c>
      <c r="C1862" s="32"/>
      <c r="D1862" s="32"/>
      <c r="E1862" s="19" t="n">
        <f aca="false">+F1862*0.03</f>
        <v>0</v>
      </c>
      <c r="F1862" s="33" t="n">
        <v>0</v>
      </c>
      <c r="G1862" s="62"/>
      <c r="H1862" s="35" t="n">
        <v>0</v>
      </c>
      <c r="I1862" s="34" t="n">
        <f aca="false">+IF(E1862=0,0,E1862*0.03)</f>
        <v>0</v>
      </c>
    </row>
    <row r="1863" customFormat="false" ht="15.75" hidden="false" customHeight="true" outlineLevel="0" collapsed="false">
      <c r="A1863" s="30" t="n">
        <v>45444</v>
      </c>
      <c r="B1863" s="31" t="s">
        <v>153</v>
      </c>
      <c r="C1863" s="32"/>
      <c r="D1863" s="32"/>
      <c r="E1863" s="19" t="n">
        <f aca="false">+F1863*0.03</f>
        <v>0</v>
      </c>
      <c r="F1863" s="33" t="n">
        <v>0</v>
      </c>
      <c r="G1863" s="62"/>
      <c r="H1863" s="35" t="n">
        <v>0</v>
      </c>
      <c r="I1863" s="34" t="n">
        <f aca="false">+IF(E1863=0,0,E1863*0.03)</f>
        <v>0</v>
      </c>
    </row>
    <row r="1864" customFormat="false" ht="15.75" hidden="false" customHeight="true" outlineLevel="0" collapsed="false">
      <c r="A1864" s="30" t="n">
        <v>45444</v>
      </c>
      <c r="B1864" s="31" t="s">
        <v>153</v>
      </c>
      <c r="C1864" s="32"/>
      <c r="D1864" s="32"/>
      <c r="E1864" s="19" t="n">
        <f aca="false">+F1864*0.03</f>
        <v>0</v>
      </c>
      <c r="F1864" s="33" t="n">
        <v>0</v>
      </c>
      <c r="G1864" s="62"/>
      <c r="H1864" s="35" t="n">
        <v>0</v>
      </c>
      <c r="I1864" s="34" t="n">
        <f aca="false">+IF(E1864=0,0,E1864*0.03)</f>
        <v>0</v>
      </c>
    </row>
    <row r="1865" customFormat="false" ht="15.75" hidden="false" customHeight="true" outlineLevel="0" collapsed="false">
      <c r="A1865" s="30" t="n">
        <v>45444</v>
      </c>
      <c r="B1865" s="31" t="s">
        <v>153</v>
      </c>
      <c r="C1865" s="32"/>
      <c r="D1865" s="32"/>
      <c r="E1865" s="19" t="n">
        <f aca="false">+F1865*0.03</f>
        <v>0</v>
      </c>
      <c r="F1865" s="33" t="n">
        <v>0</v>
      </c>
      <c r="G1865" s="62"/>
      <c r="H1865" s="35" t="n">
        <v>0</v>
      </c>
      <c r="I1865" s="34" t="n">
        <f aca="false">+IF(E1865=0,0,E1865*0.03)</f>
        <v>0</v>
      </c>
    </row>
    <row r="1866" customFormat="false" ht="15.75" hidden="false" customHeight="true" outlineLevel="0" collapsed="false">
      <c r="A1866" s="30" t="n">
        <v>45444</v>
      </c>
      <c r="B1866" s="31" t="s">
        <v>153</v>
      </c>
      <c r="C1866" s="32"/>
      <c r="D1866" s="32"/>
      <c r="E1866" s="19" t="n">
        <f aca="false">+F1866*0.03</f>
        <v>0</v>
      </c>
      <c r="F1866" s="33" t="n">
        <v>0</v>
      </c>
      <c r="G1866" s="62"/>
      <c r="H1866" s="35" t="n">
        <v>0</v>
      </c>
      <c r="I1866" s="34" t="n">
        <f aca="false">+IF(E1866=0,0,E1866*0.03)</f>
        <v>0</v>
      </c>
    </row>
    <row r="1867" customFormat="false" ht="15.75" hidden="false" customHeight="true" outlineLevel="0" collapsed="false">
      <c r="A1867" s="30" t="n">
        <v>45444</v>
      </c>
      <c r="B1867" s="31" t="s">
        <v>153</v>
      </c>
      <c r="C1867" s="32"/>
      <c r="D1867" s="32"/>
      <c r="E1867" s="19" t="n">
        <f aca="false">+F1867*0.03</f>
        <v>0</v>
      </c>
      <c r="F1867" s="33" t="n">
        <v>0</v>
      </c>
      <c r="G1867" s="62"/>
      <c r="H1867" s="35" t="n">
        <v>0</v>
      </c>
      <c r="I1867" s="34" t="n">
        <f aca="false">+IF(E1867=0,0,E1867*0.03)</f>
        <v>0</v>
      </c>
    </row>
    <row r="1868" customFormat="false" ht="15.75" hidden="false" customHeight="true" outlineLevel="0" collapsed="false">
      <c r="A1868" s="30" t="n">
        <v>45444</v>
      </c>
      <c r="B1868" s="31" t="s">
        <v>153</v>
      </c>
      <c r="C1868" s="32"/>
      <c r="D1868" s="32"/>
      <c r="E1868" s="19" t="n">
        <f aca="false">+F1868*0.03</f>
        <v>0</v>
      </c>
      <c r="F1868" s="33" t="n">
        <v>0</v>
      </c>
      <c r="G1868" s="62"/>
      <c r="H1868" s="35" t="n">
        <v>0</v>
      </c>
      <c r="I1868" s="34" t="n">
        <f aca="false">+IF(E1868=0,0,E1868*0.03)</f>
        <v>0</v>
      </c>
    </row>
    <row r="1869" customFormat="false" ht="15.75" hidden="false" customHeight="true" outlineLevel="0" collapsed="false">
      <c r="A1869" s="30" t="n">
        <v>45444</v>
      </c>
      <c r="B1869" s="31" t="s">
        <v>153</v>
      </c>
      <c r="C1869" s="32"/>
      <c r="D1869" s="32"/>
      <c r="E1869" s="19" t="n">
        <f aca="false">+F1869*0.03</f>
        <v>0</v>
      </c>
      <c r="F1869" s="33" t="n">
        <v>0</v>
      </c>
      <c r="G1869" s="62"/>
      <c r="H1869" s="35" t="n">
        <v>0</v>
      </c>
      <c r="I1869" s="34" t="n">
        <f aca="false">+IF(E1869=0,0,E1869*0.03)</f>
        <v>0</v>
      </c>
    </row>
    <row r="1870" customFormat="false" ht="15.75" hidden="false" customHeight="true" outlineLevel="0" collapsed="false">
      <c r="A1870" s="30" t="n">
        <v>45444</v>
      </c>
      <c r="B1870" s="31" t="s">
        <v>153</v>
      </c>
      <c r="C1870" s="32"/>
      <c r="D1870" s="32"/>
      <c r="E1870" s="19" t="n">
        <f aca="false">+F1870*0.03</f>
        <v>0</v>
      </c>
      <c r="F1870" s="33" t="n">
        <v>0</v>
      </c>
      <c r="G1870" s="62"/>
      <c r="H1870" s="35" t="n">
        <v>0</v>
      </c>
      <c r="I1870" s="34" t="n">
        <f aca="false">+IF(E1870=0,0,E1870*0.03)</f>
        <v>0</v>
      </c>
    </row>
    <row r="1871" customFormat="false" ht="15.75" hidden="false" customHeight="true" outlineLevel="0" collapsed="false">
      <c r="A1871" s="30" t="n">
        <v>45444</v>
      </c>
      <c r="B1871" s="31" t="s">
        <v>153</v>
      </c>
      <c r="C1871" s="32"/>
      <c r="D1871" s="32"/>
      <c r="E1871" s="19" t="n">
        <f aca="false">+F1871*0.03</f>
        <v>0</v>
      </c>
      <c r="F1871" s="33" t="n">
        <v>0</v>
      </c>
      <c r="G1871" s="62"/>
      <c r="H1871" s="35" t="n">
        <v>0</v>
      </c>
      <c r="I1871" s="34" t="n">
        <f aca="false">+IF(E1871=0,0,E1871*0.03)</f>
        <v>0</v>
      </c>
    </row>
    <row r="1872" customFormat="false" ht="15.75" hidden="false" customHeight="true" outlineLevel="0" collapsed="false">
      <c r="A1872" s="30" t="n">
        <v>45444</v>
      </c>
      <c r="B1872" s="31" t="s">
        <v>153</v>
      </c>
      <c r="C1872" s="32"/>
      <c r="D1872" s="32"/>
      <c r="E1872" s="19" t="n">
        <f aca="false">+F1872*0.03</f>
        <v>0</v>
      </c>
      <c r="F1872" s="33" t="n">
        <v>0</v>
      </c>
      <c r="G1872" s="62"/>
      <c r="H1872" s="35" t="n">
        <v>0</v>
      </c>
      <c r="I1872" s="34" t="n">
        <f aca="false">+IF(E1872=0,0,E1872*0.03)</f>
        <v>0</v>
      </c>
    </row>
    <row r="1873" customFormat="false" ht="15.75" hidden="false" customHeight="true" outlineLevel="0" collapsed="false">
      <c r="A1873" s="30" t="n">
        <v>45444</v>
      </c>
      <c r="B1873" s="31" t="s">
        <v>153</v>
      </c>
      <c r="C1873" s="32"/>
      <c r="D1873" s="32"/>
      <c r="E1873" s="19" t="n">
        <f aca="false">+F1873*0.03</f>
        <v>0</v>
      </c>
      <c r="F1873" s="33" t="n">
        <v>0</v>
      </c>
      <c r="G1873" s="62"/>
      <c r="H1873" s="35" t="n">
        <v>0</v>
      </c>
      <c r="I1873" s="34" t="n">
        <f aca="false">+IF(E1873=0,0,E1873*0.03)</f>
        <v>0</v>
      </c>
    </row>
    <row r="1874" customFormat="false" ht="15.75" hidden="false" customHeight="true" outlineLevel="0" collapsed="false">
      <c r="A1874" s="30" t="n">
        <v>45444</v>
      </c>
      <c r="B1874" s="31" t="s">
        <v>153</v>
      </c>
      <c r="C1874" s="32"/>
      <c r="D1874" s="32"/>
      <c r="E1874" s="19" t="n">
        <f aca="false">+F1874*0.03</f>
        <v>0</v>
      </c>
      <c r="F1874" s="33" t="n">
        <v>0</v>
      </c>
      <c r="G1874" s="62"/>
      <c r="H1874" s="35" t="n">
        <v>0</v>
      </c>
      <c r="I1874" s="34" t="n">
        <f aca="false">+IF(E1874=0,0,E1874*0.03)</f>
        <v>0</v>
      </c>
    </row>
    <row r="1875" customFormat="false" ht="15.75" hidden="false" customHeight="true" outlineLevel="0" collapsed="false">
      <c r="A1875" s="30" t="n">
        <v>45444</v>
      </c>
      <c r="B1875" s="31" t="s">
        <v>153</v>
      </c>
      <c r="C1875" s="32"/>
      <c r="D1875" s="32"/>
      <c r="E1875" s="19" t="n">
        <f aca="false">+F1875*0.03</f>
        <v>0</v>
      </c>
      <c r="F1875" s="33" t="n">
        <v>0</v>
      </c>
      <c r="G1875" s="62"/>
      <c r="H1875" s="35" t="n">
        <v>0</v>
      </c>
      <c r="I1875" s="34" t="n">
        <f aca="false">+IF(E1875=0,0,E1875*0.03)</f>
        <v>0</v>
      </c>
    </row>
    <row r="1876" customFormat="false" ht="15.75" hidden="false" customHeight="true" outlineLevel="0" collapsed="false">
      <c r="A1876" s="30" t="n">
        <v>45444</v>
      </c>
      <c r="B1876" s="31" t="s">
        <v>153</v>
      </c>
      <c r="C1876" s="32"/>
      <c r="D1876" s="32"/>
      <c r="E1876" s="19" t="n">
        <f aca="false">+F1876*0.03</f>
        <v>0</v>
      </c>
      <c r="F1876" s="33" t="n">
        <v>0</v>
      </c>
      <c r="G1876" s="62"/>
      <c r="H1876" s="35" t="n">
        <v>0</v>
      </c>
      <c r="I1876" s="34" t="n">
        <f aca="false">+IF(E1876=0,0,E1876*0.03)</f>
        <v>0</v>
      </c>
    </row>
    <row r="1877" customFormat="false" ht="15.75" hidden="false" customHeight="true" outlineLevel="0" collapsed="false">
      <c r="A1877" s="30" t="n">
        <v>45444</v>
      </c>
      <c r="B1877" s="31" t="s">
        <v>153</v>
      </c>
      <c r="C1877" s="32"/>
      <c r="D1877" s="32"/>
      <c r="E1877" s="19" t="n">
        <f aca="false">+F1877*0.03</f>
        <v>0</v>
      </c>
      <c r="F1877" s="33" t="n">
        <v>0</v>
      </c>
      <c r="G1877" s="62"/>
      <c r="H1877" s="35" t="n">
        <v>0</v>
      </c>
      <c r="I1877" s="34" t="n">
        <f aca="false">+IF(E1877=0,0,E1877*0.03)</f>
        <v>0</v>
      </c>
    </row>
    <row r="1878" customFormat="false" ht="15.75" hidden="false" customHeight="true" outlineLevel="0" collapsed="false">
      <c r="A1878" s="30" t="n">
        <v>45444</v>
      </c>
      <c r="B1878" s="31" t="s">
        <v>153</v>
      </c>
      <c r="C1878" s="32"/>
      <c r="D1878" s="32"/>
      <c r="E1878" s="19" t="n">
        <f aca="false">+F1878*0.03</f>
        <v>0</v>
      </c>
      <c r="F1878" s="33" t="n">
        <v>0</v>
      </c>
      <c r="G1878" s="62"/>
      <c r="H1878" s="35" t="n">
        <v>0</v>
      </c>
      <c r="I1878" s="34" t="n">
        <f aca="false">+IF(E1878=0,0,E1878*0.03)</f>
        <v>0</v>
      </c>
    </row>
    <row r="1879" customFormat="false" ht="15.75" hidden="false" customHeight="true" outlineLevel="0" collapsed="false">
      <c r="A1879" s="30" t="n">
        <v>45444</v>
      </c>
      <c r="B1879" s="31" t="s">
        <v>153</v>
      </c>
      <c r="C1879" s="32"/>
      <c r="D1879" s="32"/>
      <c r="E1879" s="19" t="n">
        <f aca="false">+F1879*0.03</f>
        <v>0</v>
      </c>
      <c r="F1879" s="33" t="n">
        <v>0</v>
      </c>
      <c r="G1879" s="62"/>
      <c r="H1879" s="35" t="n">
        <v>0</v>
      </c>
      <c r="I1879" s="34" t="n">
        <f aca="false">+IF(E1879=0,0,E1879*0.03)</f>
        <v>0</v>
      </c>
    </row>
    <row r="1880" customFormat="false" ht="15.75" hidden="false" customHeight="true" outlineLevel="0" collapsed="false">
      <c r="A1880" s="30" t="n">
        <v>45444</v>
      </c>
      <c r="B1880" s="31" t="s">
        <v>153</v>
      </c>
      <c r="C1880" s="32"/>
      <c r="D1880" s="32"/>
      <c r="E1880" s="19" t="n">
        <f aca="false">+F1880*0.03</f>
        <v>0</v>
      </c>
      <c r="F1880" s="33" t="n">
        <v>0</v>
      </c>
      <c r="G1880" s="62"/>
      <c r="H1880" s="35" t="n">
        <v>0</v>
      </c>
      <c r="I1880" s="34" t="n">
        <f aca="false">+IF(E1880=0,0,E1880*0.03)</f>
        <v>0</v>
      </c>
    </row>
    <row r="1881" customFormat="false" ht="15.75" hidden="false" customHeight="true" outlineLevel="0" collapsed="false">
      <c r="A1881" s="30" t="n">
        <v>45444</v>
      </c>
      <c r="B1881" s="31" t="s">
        <v>153</v>
      </c>
      <c r="C1881" s="32"/>
      <c r="D1881" s="32"/>
      <c r="E1881" s="19" t="n">
        <f aca="false">+F1881*0.03</f>
        <v>0</v>
      </c>
      <c r="F1881" s="33" t="n">
        <v>0</v>
      </c>
      <c r="G1881" s="62"/>
      <c r="H1881" s="35" t="n">
        <v>0</v>
      </c>
      <c r="I1881" s="34" t="n">
        <f aca="false">+IF(E1881=0,0,E1881*0.03)</f>
        <v>0</v>
      </c>
    </row>
    <row r="1882" customFormat="false" ht="15.75" hidden="false" customHeight="true" outlineLevel="0" collapsed="false">
      <c r="A1882" s="30" t="n">
        <v>45444</v>
      </c>
      <c r="B1882" s="31" t="s">
        <v>153</v>
      </c>
      <c r="C1882" s="32"/>
      <c r="D1882" s="32"/>
      <c r="E1882" s="19" t="n">
        <f aca="false">+F1882*0.03</f>
        <v>0</v>
      </c>
      <c r="F1882" s="33" t="n">
        <v>0</v>
      </c>
      <c r="G1882" s="62"/>
      <c r="H1882" s="35" t="n">
        <v>0</v>
      </c>
      <c r="I1882" s="34" t="n">
        <f aca="false">+IF(E1882=0,0,E1882*0.03)</f>
        <v>0</v>
      </c>
    </row>
    <row r="1883" customFormat="false" ht="15.75" hidden="false" customHeight="true" outlineLevel="0" collapsed="false">
      <c r="A1883" s="30" t="n">
        <v>45444</v>
      </c>
      <c r="B1883" s="31" t="s">
        <v>153</v>
      </c>
      <c r="C1883" s="32"/>
      <c r="D1883" s="32"/>
      <c r="E1883" s="19" t="n">
        <f aca="false">+F1883*0.03</f>
        <v>0</v>
      </c>
      <c r="F1883" s="33" t="n">
        <v>0</v>
      </c>
      <c r="G1883" s="62"/>
      <c r="H1883" s="35" t="n">
        <v>0</v>
      </c>
      <c r="I1883" s="34" t="n">
        <f aca="false">+IF(E1883=0,0,E1883*0.03)</f>
        <v>0</v>
      </c>
    </row>
    <row r="1884" customFormat="false" ht="15.75" hidden="false" customHeight="true" outlineLevel="0" collapsed="false">
      <c r="A1884" s="30" t="n">
        <v>45444</v>
      </c>
      <c r="B1884" s="31" t="s">
        <v>153</v>
      </c>
      <c r="C1884" s="32"/>
      <c r="D1884" s="32"/>
      <c r="E1884" s="19" t="n">
        <f aca="false">+F1884*0.03</f>
        <v>0</v>
      </c>
      <c r="F1884" s="33" t="n">
        <v>0</v>
      </c>
      <c r="G1884" s="62"/>
      <c r="H1884" s="35" t="n">
        <v>0</v>
      </c>
      <c r="I1884" s="34" t="n">
        <f aca="false">+IF(E1884=0,0,E1884*0.03)</f>
        <v>0</v>
      </c>
    </row>
    <row r="1885" customFormat="false" ht="15.75" hidden="false" customHeight="true" outlineLevel="0" collapsed="false">
      <c r="A1885" s="30" t="n">
        <v>45444</v>
      </c>
      <c r="B1885" s="31" t="s">
        <v>153</v>
      </c>
      <c r="C1885" s="32"/>
      <c r="D1885" s="32"/>
      <c r="E1885" s="19" t="n">
        <f aca="false">+F1885*0.03</f>
        <v>0</v>
      </c>
      <c r="F1885" s="33" t="n">
        <v>0</v>
      </c>
      <c r="G1885" s="62"/>
      <c r="H1885" s="35" t="n">
        <v>0</v>
      </c>
      <c r="I1885" s="34" t="n">
        <f aca="false">+IF(E1885=0,0,E1885*0.03)</f>
        <v>0</v>
      </c>
    </row>
    <row r="1886" customFormat="false" ht="15.75" hidden="false" customHeight="true" outlineLevel="0" collapsed="false">
      <c r="A1886" s="30" t="n">
        <v>45444</v>
      </c>
      <c r="B1886" s="31" t="s">
        <v>153</v>
      </c>
      <c r="C1886" s="32"/>
      <c r="D1886" s="32"/>
      <c r="E1886" s="19" t="n">
        <f aca="false">+F1886*0.03</f>
        <v>0</v>
      </c>
      <c r="F1886" s="33" t="n">
        <v>0</v>
      </c>
      <c r="G1886" s="62"/>
      <c r="H1886" s="35" t="n">
        <v>0</v>
      </c>
      <c r="I1886" s="34" t="n">
        <f aca="false">+IF(E1886=0,0,E1886*0.03)</f>
        <v>0</v>
      </c>
    </row>
    <row r="1887" customFormat="false" ht="15.75" hidden="false" customHeight="true" outlineLevel="0" collapsed="false">
      <c r="A1887" s="30" t="n">
        <v>45444</v>
      </c>
      <c r="B1887" s="31" t="s">
        <v>153</v>
      </c>
      <c r="C1887" s="32"/>
      <c r="D1887" s="32"/>
      <c r="E1887" s="19" t="n">
        <f aca="false">+F1887*0.03</f>
        <v>0</v>
      </c>
      <c r="F1887" s="33" t="n">
        <v>0</v>
      </c>
      <c r="G1887" s="62"/>
      <c r="H1887" s="35" t="n">
        <v>0</v>
      </c>
      <c r="I1887" s="34" t="n">
        <f aca="false">+IF(E1887=0,0,E1887*0.03)</f>
        <v>0</v>
      </c>
    </row>
    <row r="1888" customFormat="false" ht="15.75" hidden="false" customHeight="true" outlineLevel="0" collapsed="false">
      <c r="A1888" s="30" t="n">
        <v>45444</v>
      </c>
      <c r="B1888" s="31" t="s">
        <v>153</v>
      </c>
      <c r="C1888" s="32"/>
      <c r="D1888" s="32"/>
      <c r="E1888" s="19" t="n">
        <f aca="false">+F1888*0.03</f>
        <v>0</v>
      </c>
      <c r="F1888" s="33" t="n">
        <v>0</v>
      </c>
      <c r="G1888" s="62"/>
      <c r="H1888" s="35" t="n">
        <v>0</v>
      </c>
      <c r="I1888" s="34" t="n">
        <f aca="false">+IF(E1888=0,0,E1888*0.03)</f>
        <v>0</v>
      </c>
    </row>
    <row r="1889" customFormat="false" ht="15.75" hidden="false" customHeight="true" outlineLevel="0" collapsed="false">
      <c r="A1889" s="30" t="n">
        <v>45444</v>
      </c>
      <c r="B1889" s="31" t="s">
        <v>153</v>
      </c>
      <c r="C1889" s="32"/>
      <c r="D1889" s="32"/>
      <c r="E1889" s="19" t="n">
        <f aca="false">+F1889*0.03</f>
        <v>0</v>
      </c>
      <c r="F1889" s="33" t="n">
        <v>0</v>
      </c>
      <c r="G1889" s="62"/>
      <c r="H1889" s="35" t="n">
        <v>0</v>
      </c>
      <c r="I1889" s="34" t="n">
        <f aca="false">+IF(E1889=0,0,E1889*0.03)</f>
        <v>0</v>
      </c>
    </row>
    <row r="1890" customFormat="false" ht="15.75" hidden="false" customHeight="true" outlineLevel="0" collapsed="false">
      <c r="A1890" s="30" t="n">
        <v>45444</v>
      </c>
      <c r="B1890" s="31" t="s">
        <v>153</v>
      </c>
      <c r="C1890" s="32"/>
      <c r="D1890" s="32"/>
      <c r="E1890" s="19" t="n">
        <f aca="false">+F1890*0.03</f>
        <v>0</v>
      </c>
      <c r="F1890" s="33" t="n">
        <v>0</v>
      </c>
      <c r="G1890" s="62"/>
      <c r="H1890" s="35" t="n">
        <v>0</v>
      </c>
      <c r="I1890" s="34" t="n">
        <f aca="false">+IF(E1890=0,0,E1890*0.03)</f>
        <v>0</v>
      </c>
    </row>
    <row r="1891" customFormat="false" ht="15.75" hidden="false" customHeight="true" outlineLevel="0" collapsed="false">
      <c r="A1891" s="30" t="n">
        <v>45444</v>
      </c>
      <c r="B1891" s="31" t="s">
        <v>153</v>
      </c>
      <c r="C1891" s="32"/>
      <c r="D1891" s="32"/>
      <c r="E1891" s="19" t="n">
        <f aca="false">+F1891*0.03</f>
        <v>0</v>
      </c>
      <c r="F1891" s="33" t="n">
        <v>0</v>
      </c>
      <c r="G1891" s="62"/>
      <c r="H1891" s="35" t="n">
        <v>0</v>
      </c>
      <c r="I1891" s="34" t="n">
        <f aca="false">+IF(E1891=0,0,E1891*0.03)</f>
        <v>0</v>
      </c>
    </row>
    <row r="1892" customFormat="false" ht="15.75" hidden="false" customHeight="true" outlineLevel="0" collapsed="false">
      <c r="A1892" s="30" t="n">
        <v>45444</v>
      </c>
      <c r="B1892" s="31" t="s">
        <v>153</v>
      </c>
      <c r="C1892" s="32"/>
      <c r="D1892" s="32"/>
      <c r="E1892" s="19" t="n">
        <f aca="false">+F1892*0.03</f>
        <v>0</v>
      </c>
      <c r="F1892" s="33" t="n">
        <v>0</v>
      </c>
      <c r="G1892" s="62"/>
      <c r="H1892" s="35" t="n">
        <v>0</v>
      </c>
      <c r="I1892" s="34" t="n">
        <f aca="false">+IF(E1892=0,0,E1892*0.03)</f>
        <v>0</v>
      </c>
    </row>
    <row r="1893" customFormat="false" ht="15.75" hidden="false" customHeight="true" outlineLevel="0" collapsed="false">
      <c r="A1893" s="30" t="n">
        <v>45444</v>
      </c>
      <c r="B1893" s="31" t="s">
        <v>153</v>
      </c>
      <c r="C1893" s="32"/>
      <c r="D1893" s="32"/>
      <c r="E1893" s="19" t="n">
        <f aca="false">+F1893*0.03</f>
        <v>0</v>
      </c>
      <c r="F1893" s="33" t="n">
        <v>0</v>
      </c>
      <c r="G1893" s="62"/>
      <c r="H1893" s="35" t="n">
        <v>0</v>
      </c>
      <c r="I1893" s="34" t="n">
        <f aca="false">+IF(E1893=0,0,E1893*0.03)</f>
        <v>0</v>
      </c>
    </row>
    <row r="1894" customFormat="false" ht="15.75" hidden="false" customHeight="true" outlineLevel="0" collapsed="false">
      <c r="A1894" s="30" t="n">
        <v>45444</v>
      </c>
      <c r="B1894" s="31" t="s">
        <v>153</v>
      </c>
      <c r="C1894" s="32"/>
      <c r="D1894" s="32"/>
      <c r="E1894" s="19" t="n">
        <f aca="false">+F1894*0.03</f>
        <v>0</v>
      </c>
      <c r="F1894" s="33" t="n">
        <v>0</v>
      </c>
      <c r="G1894" s="62"/>
      <c r="H1894" s="35" t="n">
        <v>0</v>
      </c>
      <c r="I1894" s="34" t="n">
        <f aca="false">+IF(E1894=0,0,E1894*0.03)</f>
        <v>0</v>
      </c>
    </row>
    <row r="1895" customFormat="false" ht="15.75" hidden="false" customHeight="true" outlineLevel="0" collapsed="false">
      <c r="A1895" s="30" t="n">
        <v>45444</v>
      </c>
      <c r="B1895" s="31" t="s">
        <v>153</v>
      </c>
      <c r="C1895" s="32"/>
      <c r="D1895" s="32"/>
      <c r="E1895" s="19" t="n">
        <f aca="false">+F1895*0.03</f>
        <v>0</v>
      </c>
      <c r="F1895" s="33" t="n">
        <v>0</v>
      </c>
      <c r="G1895" s="62"/>
      <c r="H1895" s="35" t="n">
        <v>0</v>
      </c>
      <c r="I1895" s="34" t="n">
        <f aca="false">+IF(E1895=0,0,E1895*0.03)</f>
        <v>0</v>
      </c>
    </row>
    <row r="1896" customFormat="false" ht="15.75" hidden="false" customHeight="true" outlineLevel="0" collapsed="false">
      <c r="A1896" s="30" t="n">
        <v>45444</v>
      </c>
      <c r="B1896" s="31" t="s">
        <v>153</v>
      </c>
      <c r="C1896" s="32"/>
      <c r="D1896" s="32"/>
      <c r="E1896" s="19" t="n">
        <f aca="false">+F1896*0.03</f>
        <v>0</v>
      </c>
      <c r="F1896" s="33" t="n">
        <v>0</v>
      </c>
      <c r="G1896" s="62"/>
      <c r="H1896" s="35" t="n">
        <v>0</v>
      </c>
      <c r="I1896" s="34" t="n">
        <f aca="false">+IF(E1896=0,0,E1896*0.03)</f>
        <v>0</v>
      </c>
    </row>
    <row r="1897" customFormat="false" ht="15.75" hidden="false" customHeight="true" outlineLevel="0" collapsed="false">
      <c r="A1897" s="30" t="n">
        <v>45444</v>
      </c>
      <c r="B1897" s="31" t="s">
        <v>153</v>
      </c>
      <c r="C1897" s="32"/>
      <c r="D1897" s="32"/>
      <c r="E1897" s="19" t="n">
        <f aca="false">+F1897*0.03</f>
        <v>0</v>
      </c>
      <c r="F1897" s="33" t="n">
        <v>0</v>
      </c>
      <c r="G1897" s="62"/>
      <c r="H1897" s="35" t="n">
        <v>0</v>
      </c>
      <c r="I1897" s="34" t="n">
        <f aca="false">+IF(E1897=0,0,E1897*0.03)</f>
        <v>0</v>
      </c>
    </row>
    <row r="1898" customFormat="false" ht="15.75" hidden="false" customHeight="true" outlineLevel="0" collapsed="false">
      <c r="A1898" s="30" t="n">
        <v>45444</v>
      </c>
      <c r="B1898" s="31" t="s">
        <v>153</v>
      </c>
      <c r="C1898" s="32"/>
      <c r="D1898" s="32"/>
      <c r="E1898" s="19" t="n">
        <f aca="false">+F1898*0.03</f>
        <v>0</v>
      </c>
      <c r="F1898" s="33" t="n">
        <v>0</v>
      </c>
      <c r="G1898" s="62"/>
      <c r="H1898" s="35" t="n">
        <v>0</v>
      </c>
      <c r="I1898" s="34" t="n">
        <f aca="false">+IF(E1898=0,0,E1898*0.03)</f>
        <v>0</v>
      </c>
    </row>
    <row r="1899" customFormat="false" ht="15.75" hidden="false" customHeight="true" outlineLevel="0" collapsed="false">
      <c r="A1899" s="30" t="n">
        <v>45444</v>
      </c>
      <c r="B1899" s="31" t="s">
        <v>153</v>
      </c>
      <c r="C1899" s="32"/>
      <c r="D1899" s="32"/>
      <c r="E1899" s="19" t="n">
        <f aca="false">+F1899*0.03</f>
        <v>0</v>
      </c>
      <c r="F1899" s="33" t="n">
        <v>0</v>
      </c>
      <c r="G1899" s="62"/>
      <c r="H1899" s="35" t="n">
        <v>0</v>
      </c>
      <c r="I1899" s="34" t="n">
        <f aca="false">+IF(E1899=0,0,E1899*0.03)</f>
        <v>0</v>
      </c>
    </row>
    <row r="1900" customFormat="false" ht="15.75" hidden="false" customHeight="true" outlineLevel="0" collapsed="false">
      <c r="A1900" s="30" t="n">
        <v>45444</v>
      </c>
      <c r="B1900" s="31" t="s">
        <v>153</v>
      </c>
      <c r="C1900" s="32"/>
      <c r="D1900" s="32"/>
      <c r="E1900" s="19" t="n">
        <f aca="false">+F1900*0.03</f>
        <v>0</v>
      </c>
      <c r="F1900" s="33" t="n">
        <v>0</v>
      </c>
      <c r="G1900" s="62"/>
      <c r="H1900" s="35" t="n">
        <v>0</v>
      </c>
      <c r="I1900" s="34" t="n">
        <f aca="false">+IF(E1900=0,0,E1900*0.03)</f>
        <v>0</v>
      </c>
    </row>
    <row r="1901" customFormat="false" ht="15.75" hidden="false" customHeight="true" outlineLevel="0" collapsed="false">
      <c r="A1901" s="30" t="n">
        <v>45444</v>
      </c>
      <c r="B1901" s="31" t="s">
        <v>153</v>
      </c>
      <c r="C1901" s="32"/>
      <c r="D1901" s="32"/>
      <c r="E1901" s="19" t="n">
        <f aca="false">+F1901*0.03</f>
        <v>0</v>
      </c>
      <c r="F1901" s="33" t="n">
        <v>0</v>
      </c>
      <c r="G1901" s="62"/>
      <c r="H1901" s="35" t="n">
        <v>0</v>
      </c>
      <c r="I1901" s="34" t="n">
        <f aca="false">+IF(E1901=0,0,E1901*0.03)</f>
        <v>0</v>
      </c>
    </row>
    <row r="1902" customFormat="false" ht="15.75" hidden="false" customHeight="true" outlineLevel="0" collapsed="false">
      <c r="A1902" s="30" t="n">
        <v>45444</v>
      </c>
      <c r="B1902" s="31" t="s">
        <v>153</v>
      </c>
      <c r="C1902" s="32"/>
      <c r="D1902" s="32"/>
      <c r="E1902" s="19" t="n">
        <f aca="false">+F1902*0.03</f>
        <v>0</v>
      </c>
      <c r="F1902" s="33" t="n">
        <v>0</v>
      </c>
      <c r="G1902" s="62"/>
      <c r="H1902" s="35" t="n">
        <v>0</v>
      </c>
      <c r="I1902" s="34" t="n">
        <f aca="false">+IF(E1902=0,0,E1902*0.03)</f>
        <v>0</v>
      </c>
    </row>
    <row r="1903" customFormat="false" ht="15.75" hidden="false" customHeight="true" outlineLevel="0" collapsed="false">
      <c r="A1903" s="30" t="n">
        <v>45444</v>
      </c>
      <c r="B1903" s="31" t="s">
        <v>153</v>
      </c>
      <c r="C1903" s="32"/>
      <c r="D1903" s="32"/>
      <c r="E1903" s="19" t="n">
        <f aca="false">+F1903*0.03</f>
        <v>0</v>
      </c>
      <c r="F1903" s="33" t="n">
        <v>0</v>
      </c>
      <c r="G1903" s="62"/>
      <c r="H1903" s="35" t="n">
        <v>0</v>
      </c>
      <c r="I1903" s="34" t="n">
        <f aca="false">+IF(E1903=0,0,E1903*0.03)</f>
        <v>0</v>
      </c>
    </row>
    <row r="1904" customFormat="false" ht="15.75" hidden="false" customHeight="true" outlineLevel="0" collapsed="false">
      <c r="A1904" s="30" t="n">
        <v>45444</v>
      </c>
      <c r="B1904" s="31" t="s">
        <v>153</v>
      </c>
      <c r="C1904" s="32"/>
      <c r="D1904" s="32"/>
      <c r="E1904" s="19" t="n">
        <f aca="false">+F1904*0.03</f>
        <v>0</v>
      </c>
      <c r="F1904" s="33" t="n">
        <v>0</v>
      </c>
      <c r="G1904" s="62"/>
      <c r="H1904" s="35" t="n">
        <v>0</v>
      </c>
      <c r="I1904" s="34" t="n">
        <f aca="false">+IF(E1904=0,0,E1904*0.03)</f>
        <v>0</v>
      </c>
    </row>
    <row r="1905" customFormat="false" ht="15.75" hidden="false" customHeight="true" outlineLevel="0" collapsed="false">
      <c r="A1905" s="30" t="n">
        <v>45444</v>
      </c>
      <c r="B1905" s="31" t="s">
        <v>153</v>
      </c>
      <c r="C1905" s="32"/>
      <c r="D1905" s="32"/>
      <c r="E1905" s="19" t="n">
        <f aca="false">+F1905*0.03</f>
        <v>0</v>
      </c>
      <c r="F1905" s="33" t="n">
        <v>0</v>
      </c>
      <c r="G1905" s="62"/>
      <c r="H1905" s="35" t="n">
        <v>0</v>
      </c>
      <c r="I1905" s="34" t="n">
        <f aca="false">+IF(E1905=0,0,E1905*0.03)</f>
        <v>0</v>
      </c>
    </row>
    <row r="1906" customFormat="false" ht="15.75" hidden="false" customHeight="true" outlineLevel="0" collapsed="false">
      <c r="A1906" s="30" t="n">
        <v>45444</v>
      </c>
      <c r="B1906" s="31" t="s">
        <v>153</v>
      </c>
      <c r="C1906" s="32"/>
      <c r="D1906" s="32"/>
      <c r="E1906" s="19" t="n">
        <f aca="false">+F1906*0.03</f>
        <v>0</v>
      </c>
      <c r="F1906" s="33" t="n">
        <v>0</v>
      </c>
      <c r="G1906" s="62"/>
      <c r="H1906" s="35" t="n">
        <v>0</v>
      </c>
      <c r="I1906" s="34" t="n">
        <f aca="false">+IF(E1906=0,0,E1906*0.03)</f>
        <v>0</v>
      </c>
    </row>
    <row r="1907" customFormat="false" ht="15.75" hidden="false" customHeight="true" outlineLevel="0" collapsed="false">
      <c r="A1907" s="30" t="n">
        <v>45444</v>
      </c>
      <c r="B1907" s="31" t="s">
        <v>153</v>
      </c>
      <c r="C1907" s="32"/>
      <c r="D1907" s="32"/>
      <c r="E1907" s="19" t="n">
        <f aca="false">+F1907*0.03</f>
        <v>0</v>
      </c>
      <c r="F1907" s="33" t="n">
        <v>0</v>
      </c>
      <c r="G1907" s="62"/>
      <c r="H1907" s="35" t="n">
        <v>0</v>
      </c>
      <c r="I1907" s="34" t="n">
        <f aca="false">+IF(E1907=0,0,E1907*0.03)</f>
        <v>0</v>
      </c>
    </row>
    <row r="1908" customFormat="false" ht="15.75" hidden="false" customHeight="true" outlineLevel="0" collapsed="false">
      <c r="A1908" s="30" t="n">
        <v>45444</v>
      </c>
      <c r="B1908" s="31" t="s">
        <v>153</v>
      </c>
      <c r="C1908" s="32"/>
      <c r="D1908" s="32"/>
      <c r="E1908" s="19" t="n">
        <f aca="false">+F1908*0.03</f>
        <v>0</v>
      </c>
      <c r="F1908" s="33" t="n">
        <v>0</v>
      </c>
      <c r="G1908" s="62"/>
      <c r="H1908" s="35" t="n">
        <v>0</v>
      </c>
      <c r="I1908" s="34" t="n">
        <f aca="false">+IF(E1908=0,0,E1908*0.03)</f>
        <v>0</v>
      </c>
    </row>
    <row r="1909" customFormat="false" ht="15.75" hidden="false" customHeight="true" outlineLevel="0" collapsed="false">
      <c r="A1909" s="30" t="n">
        <v>45444</v>
      </c>
      <c r="B1909" s="31" t="s">
        <v>153</v>
      </c>
      <c r="C1909" s="32"/>
      <c r="D1909" s="32"/>
      <c r="E1909" s="19" t="n">
        <f aca="false">+F1909*0.03</f>
        <v>0</v>
      </c>
      <c r="F1909" s="33" t="n">
        <v>0</v>
      </c>
      <c r="G1909" s="62"/>
      <c r="H1909" s="35" t="n">
        <v>0</v>
      </c>
      <c r="I1909" s="34" t="n">
        <f aca="false">+IF(E1909=0,0,E1909*0.03)</f>
        <v>0</v>
      </c>
    </row>
    <row r="1910" customFormat="false" ht="15.75" hidden="false" customHeight="true" outlineLevel="0" collapsed="false">
      <c r="A1910" s="30" t="n">
        <v>45444</v>
      </c>
      <c r="B1910" s="31" t="s">
        <v>153</v>
      </c>
      <c r="C1910" s="32"/>
      <c r="D1910" s="32"/>
      <c r="E1910" s="19" t="n">
        <f aca="false">+F1910*0.03</f>
        <v>0</v>
      </c>
      <c r="F1910" s="33" t="n">
        <v>0</v>
      </c>
      <c r="G1910" s="62"/>
      <c r="H1910" s="35" t="n">
        <v>0</v>
      </c>
      <c r="I1910" s="34" t="n">
        <f aca="false">+IF(E1910=0,0,E1910*0.03)</f>
        <v>0</v>
      </c>
    </row>
    <row r="1911" customFormat="false" ht="15.75" hidden="false" customHeight="true" outlineLevel="0" collapsed="false">
      <c r="A1911" s="30" t="n">
        <v>45444</v>
      </c>
      <c r="B1911" s="31" t="s">
        <v>153</v>
      </c>
      <c r="C1911" s="32"/>
      <c r="D1911" s="32"/>
      <c r="E1911" s="19" t="n">
        <f aca="false">+F1911*0.03</f>
        <v>0</v>
      </c>
      <c r="F1911" s="33" t="n">
        <v>0</v>
      </c>
      <c r="G1911" s="62"/>
      <c r="H1911" s="35" t="n">
        <v>0</v>
      </c>
      <c r="I1911" s="34" t="n">
        <f aca="false">+IF(E1911=0,0,E1911*0.03)</f>
        <v>0</v>
      </c>
    </row>
    <row r="1912" customFormat="false" ht="15.75" hidden="false" customHeight="true" outlineLevel="0" collapsed="false">
      <c r="A1912" s="30" t="n">
        <v>45444</v>
      </c>
      <c r="B1912" s="31" t="s">
        <v>153</v>
      </c>
      <c r="C1912" s="32"/>
      <c r="D1912" s="32"/>
      <c r="E1912" s="19" t="n">
        <f aca="false">+F1912*0.03</f>
        <v>0</v>
      </c>
      <c r="F1912" s="33" t="n">
        <v>0</v>
      </c>
      <c r="G1912" s="62"/>
      <c r="H1912" s="35" t="n">
        <v>0</v>
      </c>
      <c r="I1912" s="34" t="n">
        <f aca="false">+IF(E1912=0,0,E1912*0.03)</f>
        <v>0</v>
      </c>
    </row>
    <row r="1913" customFormat="false" ht="15.75" hidden="false" customHeight="true" outlineLevel="0" collapsed="false">
      <c r="A1913" s="30" t="n">
        <v>45444</v>
      </c>
      <c r="B1913" s="31" t="s">
        <v>153</v>
      </c>
      <c r="C1913" s="32"/>
      <c r="D1913" s="32"/>
      <c r="E1913" s="19" t="n">
        <f aca="false">+F1913*0.03</f>
        <v>0</v>
      </c>
      <c r="F1913" s="33" t="n">
        <v>0</v>
      </c>
      <c r="G1913" s="62"/>
      <c r="H1913" s="35" t="n">
        <v>0</v>
      </c>
      <c r="I1913" s="34" t="n">
        <f aca="false">+IF(E1913=0,0,E1913*0.03)</f>
        <v>0</v>
      </c>
    </row>
    <row r="1914" customFormat="false" ht="15.75" hidden="false" customHeight="true" outlineLevel="0" collapsed="false">
      <c r="A1914" s="30" t="n">
        <v>45444</v>
      </c>
      <c r="B1914" s="31" t="s">
        <v>153</v>
      </c>
      <c r="C1914" s="32"/>
      <c r="D1914" s="32"/>
      <c r="E1914" s="19" t="n">
        <f aca="false">+F1914*0.03</f>
        <v>0</v>
      </c>
      <c r="F1914" s="33" t="n">
        <v>0</v>
      </c>
      <c r="G1914" s="62"/>
      <c r="H1914" s="35" t="n">
        <v>0</v>
      </c>
      <c r="I1914" s="34" t="n">
        <f aca="false">+IF(E1914=0,0,E1914*0.03)</f>
        <v>0</v>
      </c>
    </row>
    <row r="1915" customFormat="false" ht="15.75" hidden="false" customHeight="true" outlineLevel="0" collapsed="false">
      <c r="A1915" s="30" t="n">
        <v>45444</v>
      </c>
      <c r="B1915" s="31" t="s">
        <v>153</v>
      </c>
      <c r="C1915" s="32"/>
      <c r="D1915" s="32"/>
      <c r="E1915" s="19" t="n">
        <f aca="false">+F1915*0.03</f>
        <v>0</v>
      </c>
      <c r="F1915" s="33" t="n">
        <v>0</v>
      </c>
      <c r="G1915" s="62"/>
      <c r="H1915" s="35" t="n">
        <v>0</v>
      </c>
      <c r="I1915" s="34" t="n">
        <f aca="false">+IF(E1915=0,0,E1915*0.03)</f>
        <v>0</v>
      </c>
    </row>
    <row r="1916" customFormat="false" ht="15.75" hidden="false" customHeight="true" outlineLevel="0" collapsed="false">
      <c r="A1916" s="30" t="n">
        <v>45444</v>
      </c>
      <c r="B1916" s="31" t="s">
        <v>153</v>
      </c>
      <c r="C1916" s="32"/>
      <c r="D1916" s="32"/>
      <c r="E1916" s="19" t="n">
        <f aca="false">+F1916*0.03</f>
        <v>0</v>
      </c>
      <c r="F1916" s="33" t="n">
        <v>0</v>
      </c>
      <c r="G1916" s="62"/>
      <c r="H1916" s="35" t="n">
        <v>0</v>
      </c>
      <c r="I1916" s="34" t="n">
        <f aca="false">+IF(E1916=0,0,E1916*0.03)</f>
        <v>0</v>
      </c>
    </row>
    <row r="1917" customFormat="false" ht="15.75" hidden="false" customHeight="true" outlineLevel="0" collapsed="false">
      <c r="A1917" s="30" t="n">
        <v>45444</v>
      </c>
      <c r="B1917" s="31" t="s">
        <v>153</v>
      </c>
      <c r="C1917" s="32"/>
      <c r="D1917" s="32"/>
      <c r="E1917" s="19" t="n">
        <f aca="false">+F1917*0.03</f>
        <v>0</v>
      </c>
      <c r="F1917" s="33" t="n">
        <v>0</v>
      </c>
      <c r="G1917" s="62"/>
      <c r="H1917" s="35" t="n">
        <v>0</v>
      </c>
      <c r="I1917" s="34" t="n">
        <f aca="false">+IF(E1917=0,0,E1917*0.03)</f>
        <v>0</v>
      </c>
    </row>
    <row r="1918" customFormat="false" ht="15.75" hidden="false" customHeight="true" outlineLevel="0" collapsed="false">
      <c r="A1918" s="30" t="n">
        <v>45444</v>
      </c>
      <c r="B1918" s="31" t="s">
        <v>153</v>
      </c>
      <c r="C1918" s="32"/>
      <c r="D1918" s="32"/>
      <c r="E1918" s="19" t="n">
        <f aca="false">+F1918*0.03</f>
        <v>0</v>
      </c>
      <c r="F1918" s="33" t="n">
        <v>0</v>
      </c>
      <c r="G1918" s="62"/>
      <c r="H1918" s="35" t="n">
        <v>0</v>
      </c>
      <c r="I1918" s="34" t="n">
        <f aca="false">+IF(E1918=0,0,E1918*0.03)</f>
        <v>0</v>
      </c>
    </row>
    <row r="1919" customFormat="false" ht="15.75" hidden="false" customHeight="true" outlineLevel="0" collapsed="false">
      <c r="A1919" s="30" t="n">
        <v>45444</v>
      </c>
      <c r="B1919" s="31" t="s">
        <v>153</v>
      </c>
      <c r="C1919" s="32"/>
      <c r="D1919" s="32"/>
      <c r="E1919" s="19" t="n">
        <f aca="false">+F1919*0.03</f>
        <v>0</v>
      </c>
      <c r="F1919" s="33" t="n">
        <v>0</v>
      </c>
      <c r="G1919" s="62"/>
      <c r="H1919" s="35" t="n">
        <v>0</v>
      </c>
      <c r="I1919" s="34" t="n">
        <f aca="false">+IF(E1919=0,0,E1919*0.03)</f>
        <v>0</v>
      </c>
    </row>
    <row r="1920" customFormat="false" ht="15.75" hidden="false" customHeight="true" outlineLevel="0" collapsed="false">
      <c r="A1920" s="30" t="n">
        <v>45444</v>
      </c>
      <c r="B1920" s="31" t="s">
        <v>153</v>
      </c>
      <c r="C1920" s="32"/>
      <c r="D1920" s="32"/>
      <c r="E1920" s="19" t="n">
        <f aca="false">+F1920*0.03</f>
        <v>0</v>
      </c>
      <c r="F1920" s="33" t="n">
        <v>0</v>
      </c>
      <c r="G1920" s="62"/>
      <c r="H1920" s="35" t="n">
        <v>0</v>
      </c>
      <c r="I1920" s="34" t="n">
        <f aca="false">+IF(E1920=0,0,E1920*0.03)</f>
        <v>0</v>
      </c>
    </row>
    <row r="1921" customFormat="false" ht="15.75" hidden="false" customHeight="true" outlineLevel="0" collapsed="false">
      <c r="A1921" s="30" t="n">
        <v>45444</v>
      </c>
      <c r="B1921" s="31" t="s">
        <v>153</v>
      </c>
      <c r="C1921" s="32"/>
      <c r="D1921" s="32"/>
      <c r="E1921" s="19" t="n">
        <f aca="false">+F1921*0.03</f>
        <v>0</v>
      </c>
      <c r="F1921" s="33" t="n">
        <v>0</v>
      </c>
      <c r="G1921" s="62"/>
      <c r="H1921" s="35" t="n">
        <v>0</v>
      </c>
      <c r="I1921" s="34" t="n">
        <f aca="false">+IF(E1921=0,0,E1921*0.03)</f>
        <v>0</v>
      </c>
    </row>
    <row r="1922" customFormat="false" ht="15.75" hidden="false" customHeight="true" outlineLevel="0" collapsed="false">
      <c r="A1922" s="30" t="n">
        <v>45444</v>
      </c>
      <c r="B1922" s="31" t="s">
        <v>153</v>
      </c>
      <c r="C1922" s="32"/>
      <c r="D1922" s="32"/>
      <c r="E1922" s="19" t="n">
        <f aca="false">+F1922*0.03</f>
        <v>0</v>
      </c>
      <c r="F1922" s="33" t="n">
        <v>0</v>
      </c>
      <c r="G1922" s="62"/>
      <c r="H1922" s="35" t="n">
        <v>0</v>
      </c>
      <c r="I1922" s="34" t="n">
        <f aca="false">+IF(E1922=0,0,E1922*0.03)</f>
        <v>0</v>
      </c>
    </row>
    <row r="1923" customFormat="false" ht="15.75" hidden="false" customHeight="true" outlineLevel="0" collapsed="false">
      <c r="A1923" s="30" t="n">
        <v>45444</v>
      </c>
      <c r="B1923" s="31" t="s">
        <v>153</v>
      </c>
      <c r="C1923" s="32"/>
      <c r="D1923" s="32"/>
      <c r="E1923" s="19" t="n">
        <f aca="false">+F1923*0.03</f>
        <v>0</v>
      </c>
      <c r="F1923" s="33" t="n">
        <v>0</v>
      </c>
      <c r="G1923" s="62"/>
      <c r="H1923" s="35" t="n">
        <v>0</v>
      </c>
      <c r="I1923" s="34" t="n">
        <f aca="false">+IF(E1923=0,0,E1923*0.03)</f>
        <v>0</v>
      </c>
    </row>
    <row r="1924" customFormat="false" ht="15.75" hidden="false" customHeight="true" outlineLevel="0" collapsed="false">
      <c r="A1924" s="30" t="n">
        <v>45444</v>
      </c>
      <c r="B1924" s="31" t="s">
        <v>153</v>
      </c>
      <c r="C1924" s="32"/>
      <c r="D1924" s="32"/>
      <c r="E1924" s="19" t="n">
        <f aca="false">+F1924*0.03</f>
        <v>0</v>
      </c>
      <c r="F1924" s="33" t="n">
        <v>0</v>
      </c>
      <c r="G1924" s="62"/>
      <c r="H1924" s="35" t="n">
        <v>0</v>
      </c>
      <c r="I1924" s="34" t="n">
        <f aca="false">+IF(E1924=0,0,E1924*0.03)</f>
        <v>0</v>
      </c>
    </row>
    <row r="1925" customFormat="false" ht="15.75" hidden="false" customHeight="true" outlineLevel="0" collapsed="false">
      <c r="A1925" s="30" t="n">
        <v>45444</v>
      </c>
      <c r="B1925" s="31" t="s">
        <v>153</v>
      </c>
      <c r="C1925" s="32"/>
      <c r="D1925" s="32"/>
      <c r="E1925" s="19" t="n">
        <f aca="false">+F1925*0.03</f>
        <v>0</v>
      </c>
      <c r="F1925" s="33" t="n">
        <v>0</v>
      </c>
      <c r="G1925" s="62"/>
      <c r="H1925" s="35" t="n">
        <v>0</v>
      </c>
      <c r="I1925" s="34" t="n">
        <f aca="false">+IF(E1925=0,0,E1925*0.03)</f>
        <v>0</v>
      </c>
    </row>
    <row r="1926" customFormat="false" ht="15.75" hidden="false" customHeight="true" outlineLevel="0" collapsed="false">
      <c r="A1926" s="30" t="n">
        <v>45444</v>
      </c>
      <c r="B1926" s="31" t="s">
        <v>153</v>
      </c>
      <c r="C1926" s="32"/>
      <c r="D1926" s="32"/>
      <c r="E1926" s="19" t="n">
        <f aca="false">+F1926*0.03</f>
        <v>0</v>
      </c>
      <c r="F1926" s="33" t="n">
        <v>0</v>
      </c>
      <c r="G1926" s="62"/>
      <c r="H1926" s="35" t="n">
        <v>0</v>
      </c>
      <c r="I1926" s="34" t="n">
        <f aca="false">+IF(E1926=0,0,E1926*0.03)</f>
        <v>0</v>
      </c>
    </row>
    <row r="1927" customFormat="false" ht="15.75" hidden="false" customHeight="true" outlineLevel="0" collapsed="false">
      <c r="A1927" s="30" t="n">
        <v>45444</v>
      </c>
      <c r="B1927" s="31" t="s">
        <v>153</v>
      </c>
      <c r="C1927" s="32"/>
      <c r="D1927" s="32"/>
      <c r="E1927" s="19" t="n">
        <f aca="false">+F1927*0.03</f>
        <v>0</v>
      </c>
      <c r="F1927" s="33" t="n">
        <v>0</v>
      </c>
      <c r="G1927" s="62"/>
      <c r="H1927" s="35" t="n">
        <v>0</v>
      </c>
      <c r="I1927" s="34" t="n">
        <f aca="false">+IF(E1927=0,0,E1927*0.03)</f>
        <v>0</v>
      </c>
    </row>
    <row r="1928" customFormat="false" ht="15.75" hidden="false" customHeight="true" outlineLevel="0" collapsed="false">
      <c r="A1928" s="30" t="n">
        <v>45444</v>
      </c>
      <c r="B1928" s="31" t="s">
        <v>153</v>
      </c>
      <c r="C1928" s="32"/>
      <c r="D1928" s="32"/>
      <c r="E1928" s="19" t="n">
        <f aca="false">+F1928*0.03</f>
        <v>0</v>
      </c>
      <c r="F1928" s="33" t="n">
        <v>0</v>
      </c>
      <c r="G1928" s="62"/>
      <c r="H1928" s="35" t="n">
        <v>0</v>
      </c>
      <c r="I1928" s="34" t="n">
        <f aca="false">+IF(E1928=0,0,E1928*0.03)</f>
        <v>0</v>
      </c>
    </row>
    <row r="1929" customFormat="false" ht="15.75" hidden="false" customHeight="true" outlineLevel="0" collapsed="false">
      <c r="A1929" s="30" t="n">
        <v>45444</v>
      </c>
      <c r="B1929" s="31" t="s">
        <v>153</v>
      </c>
      <c r="C1929" s="32"/>
      <c r="D1929" s="32"/>
      <c r="E1929" s="19" t="n">
        <f aca="false">+F1929*0.03</f>
        <v>0</v>
      </c>
      <c r="F1929" s="33" t="n">
        <v>0</v>
      </c>
      <c r="G1929" s="62"/>
      <c r="H1929" s="35" t="n">
        <v>0</v>
      </c>
      <c r="I1929" s="34" t="n">
        <f aca="false">+IF(E1929=0,0,E1929*0.03)</f>
        <v>0</v>
      </c>
    </row>
    <row r="1930" customFormat="false" ht="15.75" hidden="false" customHeight="true" outlineLevel="0" collapsed="false">
      <c r="A1930" s="30" t="n">
        <v>45444</v>
      </c>
      <c r="B1930" s="31" t="s">
        <v>153</v>
      </c>
      <c r="C1930" s="32"/>
      <c r="D1930" s="32"/>
      <c r="E1930" s="19" t="n">
        <f aca="false">+F1930*0.03</f>
        <v>0</v>
      </c>
      <c r="F1930" s="33" t="n">
        <v>0</v>
      </c>
      <c r="G1930" s="62"/>
      <c r="H1930" s="35" t="n">
        <v>0</v>
      </c>
      <c r="I1930" s="34" t="n">
        <f aca="false">+IF(E1930=0,0,E1930*0.03)</f>
        <v>0</v>
      </c>
    </row>
    <row r="1931" customFormat="false" ht="15.75" hidden="false" customHeight="true" outlineLevel="0" collapsed="false">
      <c r="A1931" s="30" t="n">
        <v>45444</v>
      </c>
      <c r="B1931" s="31" t="s">
        <v>153</v>
      </c>
      <c r="C1931" s="32"/>
      <c r="D1931" s="32"/>
      <c r="E1931" s="19" t="n">
        <f aca="false">+F1931*0.03</f>
        <v>0</v>
      </c>
      <c r="F1931" s="33" t="n">
        <v>0</v>
      </c>
      <c r="G1931" s="62"/>
      <c r="H1931" s="35" t="n">
        <v>0</v>
      </c>
      <c r="I1931" s="34" t="n">
        <f aca="false">+IF(E1931=0,0,E1931*0.03)</f>
        <v>0</v>
      </c>
    </row>
    <row r="1932" customFormat="false" ht="15.75" hidden="false" customHeight="true" outlineLevel="0" collapsed="false">
      <c r="A1932" s="30" t="n">
        <v>45444</v>
      </c>
      <c r="B1932" s="31" t="s">
        <v>153</v>
      </c>
      <c r="C1932" s="32"/>
      <c r="D1932" s="32"/>
      <c r="E1932" s="19" t="n">
        <f aca="false">+F1932*0.03</f>
        <v>0</v>
      </c>
      <c r="F1932" s="33" t="n">
        <v>0</v>
      </c>
      <c r="G1932" s="62"/>
      <c r="H1932" s="35" t="n">
        <v>0</v>
      </c>
      <c r="I1932" s="34" t="n">
        <f aca="false">+IF(E1932=0,0,E1932*0.03)</f>
        <v>0</v>
      </c>
    </row>
    <row r="1933" customFormat="false" ht="15.75" hidden="false" customHeight="true" outlineLevel="0" collapsed="false">
      <c r="A1933" s="30" t="n">
        <v>45444</v>
      </c>
      <c r="B1933" s="31" t="s">
        <v>153</v>
      </c>
      <c r="C1933" s="32"/>
      <c r="D1933" s="32"/>
      <c r="E1933" s="19" t="n">
        <f aca="false">+F1933*0.03</f>
        <v>0</v>
      </c>
      <c r="F1933" s="33" t="n">
        <v>0</v>
      </c>
      <c r="G1933" s="62"/>
      <c r="H1933" s="35" t="n">
        <v>0</v>
      </c>
      <c r="I1933" s="34" t="n">
        <f aca="false">+IF(E1933=0,0,E1933*0.03)</f>
        <v>0</v>
      </c>
    </row>
    <row r="1934" customFormat="false" ht="15.75" hidden="false" customHeight="true" outlineLevel="0" collapsed="false">
      <c r="A1934" s="30" t="n">
        <v>45444</v>
      </c>
      <c r="B1934" s="31" t="s">
        <v>153</v>
      </c>
      <c r="C1934" s="32"/>
      <c r="D1934" s="32"/>
      <c r="E1934" s="19" t="n">
        <f aca="false">+F1934*0.03</f>
        <v>0</v>
      </c>
      <c r="F1934" s="33" t="n">
        <v>0</v>
      </c>
      <c r="G1934" s="62"/>
      <c r="H1934" s="35" t="n">
        <v>0</v>
      </c>
      <c r="I1934" s="34" t="n">
        <f aca="false">+IF(E1934=0,0,E1934*0.03)</f>
        <v>0</v>
      </c>
    </row>
    <row r="1935" customFormat="false" ht="15.75" hidden="false" customHeight="true" outlineLevel="0" collapsed="false">
      <c r="A1935" s="30" t="n">
        <v>45444</v>
      </c>
      <c r="B1935" s="31" t="s">
        <v>153</v>
      </c>
      <c r="C1935" s="32"/>
      <c r="D1935" s="32"/>
      <c r="E1935" s="19" t="n">
        <f aca="false">+F1935*0.03</f>
        <v>0</v>
      </c>
      <c r="F1935" s="33" t="n">
        <v>0</v>
      </c>
      <c r="G1935" s="62"/>
      <c r="H1935" s="35" t="n">
        <v>0</v>
      </c>
      <c r="I1935" s="34" t="n">
        <f aca="false">+IF(E1935=0,0,E1935*0.03)</f>
        <v>0</v>
      </c>
    </row>
    <row r="1936" customFormat="false" ht="15.75" hidden="false" customHeight="true" outlineLevel="0" collapsed="false">
      <c r="A1936" s="30" t="n">
        <v>45444</v>
      </c>
      <c r="B1936" s="31" t="s">
        <v>153</v>
      </c>
      <c r="C1936" s="32"/>
      <c r="D1936" s="32"/>
      <c r="E1936" s="19" t="n">
        <f aca="false">+F1936*0.03</f>
        <v>0</v>
      </c>
      <c r="F1936" s="33" t="n">
        <v>0</v>
      </c>
      <c r="G1936" s="62"/>
      <c r="H1936" s="35" t="n">
        <v>0</v>
      </c>
      <c r="I1936" s="34" t="n">
        <f aca="false">+IF(E1936=0,0,E1936*0.03)</f>
        <v>0</v>
      </c>
    </row>
    <row r="1937" customFormat="false" ht="15.75" hidden="false" customHeight="true" outlineLevel="0" collapsed="false">
      <c r="A1937" s="30" t="n">
        <v>45444</v>
      </c>
      <c r="B1937" s="31" t="s">
        <v>153</v>
      </c>
      <c r="C1937" s="32"/>
      <c r="D1937" s="32"/>
      <c r="E1937" s="19" t="n">
        <f aca="false">+F1937*0.03</f>
        <v>0</v>
      </c>
      <c r="F1937" s="33" t="n">
        <v>0</v>
      </c>
      <c r="G1937" s="62"/>
      <c r="H1937" s="35" t="n">
        <v>0</v>
      </c>
      <c r="I1937" s="34" t="n">
        <f aca="false">+IF(E1937=0,0,E1937*0.03)</f>
        <v>0</v>
      </c>
    </row>
    <row r="1938" customFormat="false" ht="15.75" hidden="false" customHeight="true" outlineLevel="0" collapsed="false">
      <c r="A1938" s="30" t="n">
        <v>45444</v>
      </c>
      <c r="B1938" s="31" t="s">
        <v>153</v>
      </c>
      <c r="C1938" s="32"/>
      <c r="D1938" s="32"/>
      <c r="E1938" s="19" t="n">
        <f aca="false">+F1938*0.03</f>
        <v>0</v>
      </c>
      <c r="F1938" s="33" t="n">
        <v>0</v>
      </c>
      <c r="G1938" s="62"/>
      <c r="H1938" s="35" t="n">
        <v>0</v>
      </c>
      <c r="I1938" s="34" t="n">
        <f aca="false">+IF(E1938=0,0,E1938*0.03)</f>
        <v>0</v>
      </c>
    </row>
    <row r="1939" customFormat="false" ht="15.75" hidden="false" customHeight="true" outlineLevel="0" collapsed="false">
      <c r="A1939" s="30" t="n">
        <v>45444</v>
      </c>
      <c r="B1939" s="31" t="s">
        <v>153</v>
      </c>
      <c r="C1939" s="32"/>
      <c r="D1939" s="32"/>
      <c r="E1939" s="19" t="n">
        <f aca="false">+F1939*0.03</f>
        <v>0</v>
      </c>
      <c r="F1939" s="33" t="n">
        <v>0</v>
      </c>
      <c r="G1939" s="62"/>
      <c r="H1939" s="35" t="n">
        <v>0</v>
      </c>
      <c r="I1939" s="34" t="n">
        <f aca="false">+IF(E1939=0,0,E1939*0.03)</f>
        <v>0</v>
      </c>
    </row>
    <row r="1940" customFormat="false" ht="15.75" hidden="false" customHeight="true" outlineLevel="0" collapsed="false">
      <c r="A1940" s="30" t="n">
        <v>45444</v>
      </c>
      <c r="B1940" s="31" t="s">
        <v>153</v>
      </c>
      <c r="C1940" s="32"/>
      <c r="D1940" s="32"/>
      <c r="E1940" s="19" t="n">
        <f aca="false">+F1940*0.03</f>
        <v>0</v>
      </c>
      <c r="F1940" s="33" t="n">
        <v>0</v>
      </c>
      <c r="G1940" s="62"/>
      <c r="H1940" s="35" t="n">
        <v>0</v>
      </c>
      <c r="I1940" s="34" t="n">
        <f aca="false">+IF(E1940=0,0,E1940*0.03)</f>
        <v>0</v>
      </c>
    </row>
    <row r="1941" customFormat="false" ht="15.75" hidden="false" customHeight="true" outlineLevel="0" collapsed="false">
      <c r="A1941" s="30" t="n">
        <v>45444</v>
      </c>
      <c r="B1941" s="31" t="s">
        <v>153</v>
      </c>
      <c r="C1941" s="32"/>
      <c r="D1941" s="32"/>
      <c r="E1941" s="19" t="n">
        <f aca="false">+F1941*0.03</f>
        <v>0</v>
      </c>
      <c r="F1941" s="33" t="n">
        <v>0</v>
      </c>
      <c r="G1941" s="62"/>
      <c r="H1941" s="35" t="n">
        <v>0</v>
      </c>
      <c r="I1941" s="34" t="n">
        <f aca="false">+IF(E1941=0,0,E1941*0.03)</f>
        <v>0</v>
      </c>
    </row>
    <row r="1942" customFormat="false" ht="15.75" hidden="false" customHeight="true" outlineLevel="0" collapsed="false">
      <c r="A1942" s="30" t="n">
        <v>45444</v>
      </c>
      <c r="B1942" s="31" t="s">
        <v>153</v>
      </c>
      <c r="C1942" s="32"/>
      <c r="D1942" s="32"/>
      <c r="E1942" s="19" t="n">
        <f aca="false">+F1942*0.03</f>
        <v>0</v>
      </c>
      <c r="F1942" s="33" t="n">
        <v>0</v>
      </c>
      <c r="G1942" s="62"/>
      <c r="H1942" s="35" t="n">
        <v>0</v>
      </c>
      <c r="I1942" s="34" t="n">
        <f aca="false">+IF(E1942=0,0,E1942*0.03)</f>
        <v>0</v>
      </c>
    </row>
    <row r="1943" customFormat="false" ht="15.75" hidden="false" customHeight="true" outlineLevel="0" collapsed="false">
      <c r="A1943" s="30" t="n">
        <v>45444</v>
      </c>
      <c r="B1943" s="31" t="s">
        <v>153</v>
      </c>
      <c r="C1943" s="32"/>
      <c r="D1943" s="32"/>
      <c r="E1943" s="19" t="n">
        <f aca="false">+F1943*0.03</f>
        <v>0</v>
      </c>
      <c r="F1943" s="33" t="n">
        <v>0</v>
      </c>
      <c r="G1943" s="62"/>
      <c r="H1943" s="35" t="n">
        <v>0</v>
      </c>
      <c r="I1943" s="34" t="n">
        <f aca="false">+IF(E1943=0,0,E1943*0.03)</f>
        <v>0</v>
      </c>
    </row>
    <row r="1944" customFormat="false" ht="15.75" hidden="false" customHeight="true" outlineLevel="0" collapsed="false">
      <c r="A1944" s="30" t="n">
        <v>45444</v>
      </c>
      <c r="B1944" s="31" t="s">
        <v>153</v>
      </c>
      <c r="C1944" s="32"/>
      <c r="D1944" s="32"/>
      <c r="E1944" s="19" t="n">
        <f aca="false">+F1944*0.03</f>
        <v>0</v>
      </c>
      <c r="F1944" s="33" t="n">
        <v>0</v>
      </c>
      <c r="G1944" s="62"/>
      <c r="H1944" s="35" t="n">
        <v>0</v>
      </c>
      <c r="I1944" s="34" t="n">
        <f aca="false">+IF(E1944=0,0,E1944*0.03)</f>
        <v>0</v>
      </c>
    </row>
    <row r="1945" customFormat="false" ht="15.75" hidden="false" customHeight="true" outlineLevel="0" collapsed="false">
      <c r="A1945" s="30" t="n">
        <v>45444</v>
      </c>
      <c r="B1945" s="31" t="s">
        <v>153</v>
      </c>
      <c r="C1945" s="32"/>
      <c r="D1945" s="32"/>
      <c r="E1945" s="19" t="n">
        <f aca="false">+F1945*0.03</f>
        <v>0</v>
      </c>
      <c r="F1945" s="33" t="n">
        <v>0</v>
      </c>
      <c r="G1945" s="62"/>
      <c r="H1945" s="35" t="n">
        <v>0</v>
      </c>
      <c r="I1945" s="34" t="n">
        <f aca="false">+IF(E1945=0,0,E1945*0.03)</f>
        <v>0</v>
      </c>
    </row>
    <row r="1946" customFormat="false" ht="15.75" hidden="false" customHeight="true" outlineLevel="0" collapsed="false">
      <c r="A1946" s="30" t="n">
        <v>45444</v>
      </c>
      <c r="B1946" s="31" t="s">
        <v>153</v>
      </c>
      <c r="C1946" s="32"/>
      <c r="D1946" s="32"/>
      <c r="E1946" s="19" t="n">
        <f aca="false">+F1946*0.03</f>
        <v>0</v>
      </c>
      <c r="F1946" s="33" t="n">
        <v>0</v>
      </c>
      <c r="G1946" s="62"/>
      <c r="H1946" s="35" t="n">
        <v>0</v>
      </c>
      <c r="I1946" s="34" t="n">
        <f aca="false">+IF(E1946=0,0,E1946*0.03)</f>
        <v>0</v>
      </c>
    </row>
    <row r="1947" customFormat="false" ht="15.75" hidden="false" customHeight="true" outlineLevel="0" collapsed="false">
      <c r="A1947" s="30" t="n">
        <v>45444</v>
      </c>
      <c r="B1947" s="31" t="s">
        <v>153</v>
      </c>
      <c r="C1947" s="32"/>
      <c r="D1947" s="32"/>
      <c r="E1947" s="19" t="n">
        <f aca="false">+F1947*0.03</f>
        <v>0</v>
      </c>
      <c r="F1947" s="33" t="n">
        <v>0</v>
      </c>
      <c r="G1947" s="62"/>
      <c r="H1947" s="35" t="n">
        <v>0</v>
      </c>
      <c r="I1947" s="34" t="n">
        <f aca="false">+IF(E1947=0,0,E1947*0.03)</f>
        <v>0</v>
      </c>
    </row>
    <row r="1948" customFormat="false" ht="15.75" hidden="false" customHeight="true" outlineLevel="0" collapsed="false">
      <c r="A1948" s="30" t="n">
        <v>45444</v>
      </c>
      <c r="B1948" s="31" t="s">
        <v>153</v>
      </c>
      <c r="C1948" s="32"/>
      <c r="D1948" s="32"/>
      <c r="E1948" s="19" t="n">
        <f aca="false">+F1948*0.03</f>
        <v>0</v>
      </c>
      <c r="F1948" s="33" t="n">
        <v>0</v>
      </c>
      <c r="G1948" s="62"/>
      <c r="H1948" s="35" t="n">
        <v>0</v>
      </c>
      <c r="I1948" s="34" t="n">
        <f aca="false">+IF(E1948=0,0,E1948*0.03)</f>
        <v>0</v>
      </c>
    </row>
    <row r="1949" customFormat="false" ht="15.75" hidden="false" customHeight="true" outlineLevel="0" collapsed="false">
      <c r="A1949" s="30" t="n">
        <v>45444</v>
      </c>
      <c r="B1949" s="31" t="s">
        <v>153</v>
      </c>
      <c r="C1949" s="32"/>
      <c r="D1949" s="32"/>
      <c r="E1949" s="19" t="n">
        <f aca="false">+F1949*0.03</f>
        <v>0</v>
      </c>
      <c r="F1949" s="33" t="n">
        <v>0</v>
      </c>
      <c r="G1949" s="62"/>
      <c r="H1949" s="35" t="n">
        <v>0</v>
      </c>
      <c r="I1949" s="34" t="n">
        <f aca="false">+IF(E1949=0,0,E1949*0.03)</f>
        <v>0</v>
      </c>
    </row>
    <row r="1950" customFormat="false" ht="15.75" hidden="false" customHeight="true" outlineLevel="0" collapsed="false">
      <c r="A1950" s="30" t="n">
        <v>45444</v>
      </c>
      <c r="B1950" s="31" t="s">
        <v>153</v>
      </c>
      <c r="C1950" s="32"/>
      <c r="D1950" s="32"/>
      <c r="E1950" s="19" t="n">
        <f aca="false">+F1950*0.03</f>
        <v>0</v>
      </c>
      <c r="F1950" s="33" t="n">
        <v>0</v>
      </c>
      <c r="G1950" s="62"/>
      <c r="H1950" s="35" t="n">
        <v>0</v>
      </c>
      <c r="I1950" s="34" t="n">
        <f aca="false">+IF(E1950=0,0,E1950*0.03)</f>
        <v>0</v>
      </c>
    </row>
    <row r="1951" customFormat="false" ht="15.75" hidden="false" customHeight="true" outlineLevel="0" collapsed="false">
      <c r="A1951" s="30" t="n">
        <v>45444</v>
      </c>
      <c r="B1951" s="31" t="s">
        <v>153</v>
      </c>
      <c r="C1951" s="32"/>
      <c r="D1951" s="32"/>
      <c r="E1951" s="19" t="n">
        <f aca="false">+F1951*0.03</f>
        <v>0</v>
      </c>
      <c r="F1951" s="33" t="n">
        <v>0</v>
      </c>
      <c r="G1951" s="62"/>
      <c r="H1951" s="35" t="n">
        <v>0</v>
      </c>
      <c r="I1951" s="34" t="n">
        <f aca="false">+IF(E1951=0,0,E1951*0.03)</f>
        <v>0</v>
      </c>
    </row>
    <row r="1952" customFormat="false" ht="15.75" hidden="false" customHeight="true" outlineLevel="0" collapsed="false">
      <c r="A1952" s="30" t="n">
        <v>45444</v>
      </c>
      <c r="B1952" s="31" t="s">
        <v>153</v>
      </c>
      <c r="C1952" s="32"/>
      <c r="D1952" s="32"/>
      <c r="E1952" s="19" t="n">
        <f aca="false">+F1952*0.03</f>
        <v>0</v>
      </c>
      <c r="F1952" s="33" t="n">
        <v>0</v>
      </c>
      <c r="G1952" s="62"/>
      <c r="H1952" s="35" t="n">
        <v>0</v>
      </c>
      <c r="I1952" s="34" t="n">
        <f aca="false">+IF(E1952=0,0,E1952*0.03)</f>
        <v>0</v>
      </c>
    </row>
    <row r="1953" customFormat="false" ht="15.75" hidden="false" customHeight="true" outlineLevel="0" collapsed="false">
      <c r="A1953" s="30" t="n">
        <v>45444</v>
      </c>
      <c r="B1953" s="31" t="s">
        <v>153</v>
      </c>
      <c r="C1953" s="32"/>
      <c r="D1953" s="32"/>
      <c r="E1953" s="19" t="n">
        <f aca="false">+F1953*0.03</f>
        <v>0</v>
      </c>
      <c r="F1953" s="33" t="n">
        <v>0</v>
      </c>
      <c r="G1953" s="62"/>
      <c r="H1953" s="35" t="n">
        <v>0</v>
      </c>
      <c r="I1953" s="34" t="n">
        <f aca="false">+IF(E1953=0,0,E1953*0.03)</f>
        <v>0</v>
      </c>
    </row>
    <row r="1954" customFormat="false" ht="15.75" hidden="false" customHeight="true" outlineLevel="0" collapsed="false">
      <c r="A1954" s="30" t="n">
        <v>45444</v>
      </c>
      <c r="B1954" s="31" t="s">
        <v>153</v>
      </c>
      <c r="C1954" s="32"/>
      <c r="D1954" s="32"/>
      <c r="E1954" s="19" t="n">
        <f aca="false">+F1954*0.03</f>
        <v>0</v>
      </c>
      <c r="F1954" s="33" t="n">
        <v>0</v>
      </c>
      <c r="G1954" s="62"/>
      <c r="H1954" s="35" t="n">
        <v>0</v>
      </c>
      <c r="I1954" s="34" t="n">
        <f aca="false">+IF(E1954=0,0,E1954*0.03)</f>
        <v>0</v>
      </c>
    </row>
    <row r="1955" customFormat="false" ht="15.75" hidden="false" customHeight="true" outlineLevel="0" collapsed="false">
      <c r="A1955" s="30" t="n">
        <v>45444</v>
      </c>
      <c r="B1955" s="31" t="s">
        <v>153</v>
      </c>
      <c r="C1955" s="32"/>
      <c r="D1955" s="32"/>
      <c r="E1955" s="19" t="n">
        <f aca="false">+F1955*0.03</f>
        <v>0</v>
      </c>
      <c r="F1955" s="33" t="n">
        <v>0</v>
      </c>
      <c r="G1955" s="62"/>
      <c r="H1955" s="35" t="n">
        <v>0</v>
      </c>
      <c r="I1955" s="34" t="n">
        <f aca="false">+IF(E1955=0,0,E1955*0.03)</f>
        <v>0</v>
      </c>
    </row>
    <row r="1956" customFormat="false" ht="15.75" hidden="false" customHeight="true" outlineLevel="0" collapsed="false">
      <c r="A1956" s="30" t="n">
        <v>45444</v>
      </c>
      <c r="B1956" s="31" t="s">
        <v>153</v>
      </c>
      <c r="C1956" s="32"/>
      <c r="D1956" s="32"/>
      <c r="E1956" s="19" t="n">
        <f aca="false">+F1956*0.03</f>
        <v>0</v>
      </c>
      <c r="F1956" s="33" t="n">
        <v>0</v>
      </c>
      <c r="G1956" s="62"/>
      <c r="H1956" s="35" t="n">
        <v>0</v>
      </c>
      <c r="I1956" s="34" t="n">
        <f aca="false">+IF(E1956=0,0,E1956*0.03)</f>
        <v>0</v>
      </c>
    </row>
    <row r="1957" customFormat="false" ht="15.75" hidden="false" customHeight="true" outlineLevel="0" collapsed="false">
      <c r="A1957" s="30" t="n">
        <v>45444</v>
      </c>
      <c r="B1957" s="31" t="s">
        <v>153</v>
      </c>
      <c r="C1957" s="32"/>
      <c r="D1957" s="32"/>
      <c r="E1957" s="19" t="n">
        <f aca="false">+F1957*0.03</f>
        <v>0</v>
      </c>
      <c r="F1957" s="33" t="n">
        <v>0</v>
      </c>
      <c r="G1957" s="62"/>
      <c r="H1957" s="35" t="n">
        <v>0</v>
      </c>
      <c r="I1957" s="34" t="n">
        <f aca="false">+IF(E1957=0,0,E1957*0.03)</f>
        <v>0</v>
      </c>
    </row>
    <row r="1958" customFormat="false" ht="15.75" hidden="false" customHeight="true" outlineLevel="0" collapsed="false">
      <c r="A1958" s="30" t="n">
        <v>45444</v>
      </c>
      <c r="B1958" s="31" t="s">
        <v>153</v>
      </c>
      <c r="C1958" s="32"/>
      <c r="D1958" s="32"/>
      <c r="E1958" s="19" t="n">
        <f aca="false">+F1958*0.03</f>
        <v>0</v>
      </c>
      <c r="F1958" s="33" t="n">
        <v>0</v>
      </c>
      <c r="G1958" s="62"/>
      <c r="H1958" s="35" t="n">
        <v>0</v>
      </c>
      <c r="I1958" s="34" t="n">
        <f aca="false">+IF(E1958=0,0,E1958*0.03)</f>
        <v>0</v>
      </c>
    </row>
    <row r="1959" customFormat="false" ht="15.75" hidden="false" customHeight="true" outlineLevel="0" collapsed="false">
      <c r="A1959" s="30" t="n">
        <v>45444</v>
      </c>
      <c r="B1959" s="31" t="s">
        <v>153</v>
      </c>
      <c r="C1959" s="32"/>
      <c r="D1959" s="32"/>
      <c r="E1959" s="19" t="n">
        <f aca="false">+F1959*0.03</f>
        <v>0</v>
      </c>
      <c r="F1959" s="33" t="n">
        <v>0</v>
      </c>
      <c r="G1959" s="62"/>
      <c r="H1959" s="35" t="n">
        <v>0</v>
      </c>
      <c r="I1959" s="34" t="n">
        <f aca="false">+IF(E1959=0,0,E1959*0.03)</f>
        <v>0</v>
      </c>
    </row>
    <row r="1960" customFormat="false" ht="15.75" hidden="false" customHeight="true" outlineLevel="0" collapsed="false">
      <c r="A1960" s="30" t="n">
        <v>45444</v>
      </c>
      <c r="B1960" s="31" t="s">
        <v>153</v>
      </c>
      <c r="C1960" s="32"/>
      <c r="D1960" s="32"/>
      <c r="E1960" s="19" t="n">
        <f aca="false">+F1960*0.03</f>
        <v>0</v>
      </c>
      <c r="F1960" s="33" t="n">
        <v>0</v>
      </c>
      <c r="G1960" s="62"/>
      <c r="H1960" s="35" t="n">
        <v>0</v>
      </c>
      <c r="I1960" s="34" t="n">
        <f aca="false">+IF(E1960=0,0,E1960*0.03)</f>
        <v>0</v>
      </c>
    </row>
    <row r="1961" customFormat="false" ht="15.75" hidden="false" customHeight="true" outlineLevel="0" collapsed="false">
      <c r="A1961" s="30" t="n">
        <v>45444</v>
      </c>
      <c r="B1961" s="31" t="s">
        <v>153</v>
      </c>
      <c r="C1961" s="32"/>
      <c r="D1961" s="32"/>
      <c r="E1961" s="19" t="n">
        <f aca="false">+F1961*0.03</f>
        <v>0</v>
      </c>
      <c r="F1961" s="33" t="n">
        <v>0</v>
      </c>
      <c r="G1961" s="62"/>
      <c r="H1961" s="35" t="n">
        <v>0</v>
      </c>
      <c r="I1961" s="34" t="n">
        <f aca="false">+IF(E1961=0,0,E1961*0.03)</f>
        <v>0</v>
      </c>
    </row>
    <row r="1962" customFormat="false" ht="15.75" hidden="false" customHeight="true" outlineLevel="0" collapsed="false">
      <c r="A1962" s="30" t="n">
        <v>45444</v>
      </c>
      <c r="B1962" s="31" t="s">
        <v>153</v>
      </c>
      <c r="C1962" s="32"/>
      <c r="D1962" s="32"/>
      <c r="E1962" s="19" t="n">
        <f aca="false">+F1962*0.03</f>
        <v>0</v>
      </c>
      <c r="F1962" s="33" t="n">
        <v>0</v>
      </c>
      <c r="G1962" s="62"/>
      <c r="H1962" s="35" t="n">
        <v>0</v>
      </c>
      <c r="I1962" s="34" t="n">
        <f aca="false">+IF(E1962=0,0,E1962*0.03)</f>
        <v>0</v>
      </c>
    </row>
    <row r="1963" customFormat="false" ht="15.75" hidden="false" customHeight="true" outlineLevel="0" collapsed="false">
      <c r="A1963" s="30" t="n">
        <v>45444</v>
      </c>
      <c r="B1963" s="31" t="s">
        <v>153</v>
      </c>
      <c r="C1963" s="32"/>
      <c r="D1963" s="32"/>
      <c r="E1963" s="19" t="n">
        <f aca="false">+F1963*0.03</f>
        <v>0</v>
      </c>
      <c r="F1963" s="33" t="n">
        <v>0</v>
      </c>
      <c r="G1963" s="62"/>
      <c r="H1963" s="35" t="n">
        <v>0</v>
      </c>
      <c r="I1963" s="34" t="n">
        <f aca="false">+IF(E1963=0,0,E1963*0.03)</f>
        <v>0</v>
      </c>
    </row>
    <row r="1964" customFormat="false" ht="15.75" hidden="false" customHeight="true" outlineLevel="0" collapsed="false">
      <c r="A1964" s="30" t="n">
        <v>45444</v>
      </c>
      <c r="B1964" s="31" t="s">
        <v>153</v>
      </c>
      <c r="C1964" s="32"/>
      <c r="D1964" s="32"/>
      <c r="E1964" s="19" t="n">
        <f aca="false">+F1964*0.03</f>
        <v>0</v>
      </c>
      <c r="F1964" s="33" t="n">
        <v>0</v>
      </c>
      <c r="G1964" s="62"/>
      <c r="H1964" s="35" t="n">
        <v>0</v>
      </c>
      <c r="I1964" s="34" t="n">
        <f aca="false">+IF(E1964=0,0,E1964*0.03)</f>
        <v>0</v>
      </c>
    </row>
    <row r="1965" customFormat="false" ht="15.75" hidden="false" customHeight="true" outlineLevel="0" collapsed="false">
      <c r="A1965" s="30" t="n">
        <v>45444</v>
      </c>
      <c r="B1965" s="31" t="s">
        <v>153</v>
      </c>
      <c r="C1965" s="32"/>
      <c r="D1965" s="32"/>
      <c r="E1965" s="19" t="n">
        <f aca="false">+F1965*0.03</f>
        <v>0</v>
      </c>
      <c r="F1965" s="33" t="n">
        <v>0</v>
      </c>
      <c r="G1965" s="62"/>
      <c r="H1965" s="35" t="n">
        <v>0</v>
      </c>
      <c r="I1965" s="34" t="n">
        <f aca="false">+IF(E1965=0,0,E1965*0.03)</f>
        <v>0</v>
      </c>
    </row>
    <row r="1966" customFormat="false" ht="15.75" hidden="false" customHeight="true" outlineLevel="0" collapsed="false">
      <c r="A1966" s="30" t="n">
        <v>45444</v>
      </c>
      <c r="B1966" s="31" t="s">
        <v>153</v>
      </c>
      <c r="C1966" s="32"/>
      <c r="D1966" s="32"/>
      <c r="E1966" s="19" t="n">
        <f aca="false">+F1966*0.03</f>
        <v>0</v>
      </c>
      <c r="F1966" s="33" t="n">
        <v>0</v>
      </c>
      <c r="G1966" s="62"/>
      <c r="H1966" s="35" t="n">
        <v>0</v>
      </c>
      <c r="I1966" s="34" t="n">
        <f aca="false">+IF(E1966=0,0,E1966*0.03)</f>
        <v>0</v>
      </c>
    </row>
    <row r="1967" customFormat="false" ht="15.75" hidden="false" customHeight="true" outlineLevel="0" collapsed="false">
      <c r="A1967" s="30" t="n">
        <v>45444</v>
      </c>
      <c r="B1967" s="31" t="s">
        <v>153</v>
      </c>
      <c r="C1967" s="32"/>
      <c r="D1967" s="32"/>
      <c r="E1967" s="19" t="n">
        <f aca="false">+F1967*0.03</f>
        <v>0</v>
      </c>
      <c r="F1967" s="33" t="n">
        <v>0</v>
      </c>
      <c r="G1967" s="62"/>
      <c r="H1967" s="35" t="n">
        <v>0</v>
      </c>
      <c r="I1967" s="34" t="n">
        <f aca="false">+IF(E1967=0,0,E1967*0.03)</f>
        <v>0</v>
      </c>
    </row>
    <row r="1968" customFormat="false" ht="15.75" hidden="false" customHeight="true" outlineLevel="0" collapsed="false">
      <c r="A1968" s="30" t="n">
        <v>45444</v>
      </c>
      <c r="B1968" s="31" t="s">
        <v>153</v>
      </c>
      <c r="C1968" s="32"/>
      <c r="D1968" s="32"/>
      <c r="E1968" s="19" t="n">
        <f aca="false">+F1968*0.03</f>
        <v>0</v>
      </c>
      <c r="F1968" s="33" t="n">
        <v>0</v>
      </c>
      <c r="G1968" s="62"/>
      <c r="H1968" s="35" t="n">
        <v>0</v>
      </c>
      <c r="I1968" s="34" t="n">
        <f aca="false">+IF(E1968=0,0,E1968*0.03)</f>
        <v>0</v>
      </c>
    </row>
    <row r="1969" customFormat="false" ht="15.75" hidden="false" customHeight="true" outlineLevel="0" collapsed="false">
      <c r="A1969" s="30" t="n">
        <v>45444</v>
      </c>
      <c r="B1969" s="31" t="s">
        <v>153</v>
      </c>
      <c r="C1969" s="32"/>
      <c r="D1969" s="32"/>
      <c r="E1969" s="19" t="n">
        <f aca="false">+F1969*0.03</f>
        <v>0</v>
      </c>
      <c r="F1969" s="33" t="n">
        <v>0</v>
      </c>
      <c r="G1969" s="62"/>
      <c r="H1969" s="35" t="n">
        <v>0</v>
      </c>
      <c r="I1969" s="34" t="n">
        <f aca="false">+IF(E1969=0,0,E1969*0.03)</f>
        <v>0</v>
      </c>
    </row>
    <row r="1970" customFormat="false" ht="15.75" hidden="false" customHeight="true" outlineLevel="0" collapsed="false">
      <c r="A1970" s="30" t="n">
        <v>45444</v>
      </c>
      <c r="B1970" s="31" t="s">
        <v>153</v>
      </c>
      <c r="C1970" s="32"/>
      <c r="D1970" s="32"/>
      <c r="E1970" s="19" t="n">
        <f aca="false">+F1970*0.03</f>
        <v>0</v>
      </c>
      <c r="F1970" s="33" t="n">
        <v>0</v>
      </c>
      <c r="G1970" s="62"/>
      <c r="H1970" s="35" t="n">
        <v>0</v>
      </c>
      <c r="I1970" s="34" t="n">
        <f aca="false">+IF(E1970=0,0,E1970*0.03)</f>
        <v>0</v>
      </c>
    </row>
    <row r="1971" customFormat="false" ht="15.75" hidden="false" customHeight="true" outlineLevel="0" collapsed="false">
      <c r="A1971" s="30" t="n">
        <v>45444</v>
      </c>
      <c r="B1971" s="31" t="s">
        <v>153</v>
      </c>
      <c r="C1971" s="32"/>
      <c r="D1971" s="32"/>
      <c r="E1971" s="19" t="n">
        <f aca="false">+F1971*0.03</f>
        <v>0</v>
      </c>
      <c r="F1971" s="33" t="n">
        <v>0</v>
      </c>
      <c r="G1971" s="62"/>
      <c r="H1971" s="35" t="n">
        <v>0</v>
      </c>
      <c r="I1971" s="34" t="n">
        <f aca="false">+IF(E1971=0,0,E1971*0.03)</f>
        <v>0</v>
      </c>
    </row>
    <row r="1972" customFormat="false" ht="15.75" hidden="false" customHeight="true" outlineLevel="0" collapsed="false">
      <c r="A1972" s="30" t="n">
        <v>45444</v>
      </c>
      <c r="B1972" s="31" t="s">
        <v>153</v>
      </c>
      <c r="C1972" s="32"/>
      <c r="D1972" s="32"/>
      <c r="E1972" s="19" t="n">
        <f aca="false">+F1972*0.03</f>
        <v>0</v>
      </c>
      <c r="F1972" s="33" t="n">
        <v>0</v>
      </c>
      <c r="G1972" s="62"/>
      <c r="H1972" s="35" t="n">
        <v>0</v>
      </c>
      <c r="I1972" s="34" t="n">
        <f aca="false">+IF(E1972=0,0,E1972*0.03)</f>
        <v>0</v>
      </c>
    </row>
    <row r="1973" customFormat="false" ht="15.75" hidden="false" customHeight="true" outlineLevel="0" collapsed="false">
      <c r="A1973" s="30" t="n">
        <v>45444</v>
      </c>
      <c r="B1973" s="31" t="s">
        <v>153</v>
      </c>
      <c r="C1973" s="32"/>
      <c r="D1973" s="32"/>
      <c r="E1973" s="19" t="n">
        <f aca="false">+F1973*0.03</f>
        <v>0</v>
      </c>
      <c r="F1973" s="33" t="n">
        <v>0</v>
      </c>
      <c r="G1973" s="62"/>
      <c r="H1973" s="35" t="n">
        <v>0</v>
      </c>
      <c r="I1973" s="34" t="n">
        <f aca="false">+IF(E1973=0,0,E1973*0.03)</f>
        <v>0</v>
      </c>
    </row>
    <row r="1974" customFormat="false" ht="15.75" hidden="false" customHeight="true" outlineLevel="0" collapsed="false">
      <c r="A1974" s="30" t="n">
        <v>45444</v>
      </c>
      <c r="B1974" s="31" t="s">
        <v>153</v>
      </c>
      <c r="C1974" s="32"/>
      <c r="D1974" s="32"/>
      <c r="E1974" s="19" t="n">
        <f aca="false">+F1974*0.03</f>
        <v>0</v>
      </c>
      <c r="F1974" s="33" t="n">
        <v>0</v>
      </c>
      <c r="G1974" s="62"/>
      <c r="H1974" s="35" t="n">
        <v>0</v>
      </c>
      <c r="I1974" s="34" t="n">
        <f aca="false">+IF(E1974=0,0,E1974*0.03)</f>
        <v>0</v>
      </c>
    </row>
    <row r="1975" customFormat="false" ht="15.75" hidden="false" customHeight="true" outlineLevel="0" collapsed="false">
      <c r="A1975" s="30" t="n">
        <v>45444</v>
      </c>
      <c r="B1975" s="31" t="s">
        <v>153</v>
      </c>
      <c r="C1975" s="32"/>
      <c r="D1975" s="32"/>
      <c r="E1975" s="19" t="n">
        <f aca="false">+F1975*0.03</f>
        <v>0</v>
      </c>
      <c r="F1975" s="33" t="n">
        <v>0</v>
      </c>
      <c r="G1975" s="62"/>
      <c r="H1975" s="35" t="n">
        <v>0</v>
      </c>
      <c r="I1975" s="34" t="n">
        <f aca="false">+IF(E1975=0,0,E1975*0.03)</f>
        <v>0</v>
      </c>
    </row>
    <row r="1976" customFormat="false" ht="15.75" hidden="false" customHeight="true" outlineLevel="0" collapsed="false">
      <c r="A1976" s="30" t="n">
        <v>45444</v>
      </c>
      <c r="B1976" s="31" t="s">
        <v>153</v>
      </c>
      <c r="C1976" s="32"/>
      <c r="D1976" s="32"/>
      <c r="E1976" s="19" t="n">
        <f aca="false">+F1976*0.03</f>
        <v>0</v>
      </c>
      <c r="F1976" s="33" t="n">
        <v>0</v>
      </c>
      <c r="G1976" s="62"/>
      <c r="H1976" s="35" t="n">
        <v>0</v>
      </c>
      <c r="I1976" s="34" t="n">
        <f aca="false">+IF(E1976=0,0,E1976*0.03)</f>
        <v>0</v>
      </c>
    </row>
    <row r="1977" customFormat="false" ht="15.75" hidden="false" customHeight="true" outlineLevel="0" collapsed="false">
      <c r="A1977" s="30" t="n">
        <v>45444</v>
      </c>
      <c r="B1977" s="31" t="s">
        <v>153</v>
      </c>
      <c r="C1977" s="32"/>
      <c r="D1977" s="32"/>
      <c r="E1977" s="19" t="n">
        <f aca="false">+F1977*0.03</f>
        <v>0</v>
      </c>
      <c r="F1977" s="33" t="n">
        <v>0</v>
      </c>
      <c r="G1977" s="62"/>
      <c r="H1977" s="35" t="n">
        <v>0</v>
      </c>
      <c r="I1977" s="34" t="n">
        <f aca="false">+IF(E1977=0,0,E1977*0.03)</f>
        <v>0</v>
      </c>
    </row>
    <row r="1978" customFormat="false" ht="15.75" hidden="false" customHeight="true" outlineLevel="0" collapsed="false">
      <c r="A1978" s="30" t="n">
        <v>45444</v>
      </c>
      <c r="B1978" s="31" t="s">
        <v>153</v>
      </c>
      <c r="C1978" s="32"/>
      <c r="D1978" s="32"/>
      <c r="E1978" s="19" t="n">
        <f aca="false">+F1978*0.03</f>
        <v>0</v>
      </c>
      <c r="F1978" s="33" t="n">
        <v>0</v>
      </c>
      <c r="G1978" s="62"/>
      <c r="H1978" s="35" t="n">
        <v>0</v>
      </c>
      <c r="I1978" s="34" t="n">
        <f aca="false">+IF(E1978=0,0,E1978*0.03)</f>
        <v>0</v>
      </c>
    </row>
    <row r="1979" customFormat="false" ht="15.75" hidden="false" customHeight="true" outlineLevel="0" collapsed="false">
      <c r="A1979" s="30" t="n">
        <v>45444</v>
      </c>
      <c r="B1979" s="31" t="s">
        <v>153</v>
      </c>
      <c r="C1979" s="32"/>
      <c r="D1979" s="32"/>
      <c r="E1979" s="19" t="n">
        <f aca="false">+F1979*0.03</f>
        <v>0</v>
      </c>
      <c r="F1979" s="33" t="n">
        <v>0</v>
      </c>
      <c r="G1979" s="62"/>
      <c r="H1979" s="35" t="n">
        <v>0</v>
      </c>
      <c r="I1979" s="34" t="n">
        <f aca="false">+IF(E1979=0,0,E1979*0.03)</f>
        <v>0</v>
      </c>
    </row>
    <row r="1980" customFormat="false" ht="15.75" hidden="false" customHeight="true" outlineLevel="0" collapsed="false">
      <c r="A1980" s="30" t="n">
        <v>45444</v>
      </c>
      <c r="B1980" s="31" t="s">
        <v>153</v>
      </c>
      <c r="C1980" s="32"/>
      <c r="D1980" s="32"/>
      <c r="E1980" s="19" t="n">
        <f aca="false">+F1980*0.03</f>
        <v>0</v>
      </c>
      <c r="F1980" s="33" t="n">
        <v>0</v>
      </c>
      <c r="G1980" s="62"/>
      <c r="H1980" s="35" t="n">
        <v>0</v>
      </c>
      <c r="I1980" s="34" t="n">
        <f aca="false">+IF(E1980=0,0,E1980*0.03)</f>
        <v>0</v>
      </c>
    </row>
    <row r="1981" customFormat="false" ht="15.75" hidden="false" customHeight="true" outlineLevel="0" collapsed="false">
      <c r="A1981" s="30" t="n">
        <v>45444</v>
      </c>
      <c r="B1981" s="31" t="s">
        <v>153</v>
      </c>
      <c r="C1981" s="32"/>
      <c r="D1981" s="32"/>
      <c r="E1981" s="19" t="n">
        <f aca="false">+F1981*0.03</f>
        <v>0</v>
      </c>
      <c r="F1981" s="33" t="n">
        <v>0</v>
      </c>
      <c r="G1981" s="62"/>
      <c r="H1981" s="35" t="n">
        <v>0</v>
      </c>
      <c r="I1981" s="34" t="n">
        <f aca="false">+IF(E1981=0,0,E1981*0.03)</f>
        <v>0</v>
      </c>
    </row>
    <row r="1982" customFormat="false" ht="15.75" hidden="false" customHeight="true" outlineLevel="0" collapsed="false">
      <c r="B1982" s="31"/>
      <c r="C1982" s="32"/>
      <c r="D1982" s="32" t="s">
        <v>26</v>
      </c>
      <c r="E1982" s="19" t="n">
        <f aca="false">SUM(E7:E1981)</f>
        <v>94950</v>
      </c>
      <c r="F1982" s="33" t="n">
        <f aca="false">SUM(F7:F1981)</f>
        <v>3165000</v>
      </c>
      <c r="G1982" s="19"/>
      <c r="H1982" s="37" t="n">
        <f aca="false">SUM(H7:H1981)</f>
        <v>0</v>
      </c>
      <c r="I1982" s="38" t="n">
        <f aca="false">SUM(I7:I1981)</f>
        <v>2848.5</v>
      </c>
    </row>
    <row r="1983" customFormat="false" ht="15.75" hidden="false" customHeight="true" outlineLevel="0" collapsed="false">
      <c r="D1983" s="31"/>
    </row>
    <row r="1984" customFormat="false" ht="15.75" hidden="false" customHeight="true" outlineLevel="0" collapsed="false">
      <c r="D1984" s="31"/>
    </row>
    <row r="1985" customFormat="false" ht="15.75" hidden="false" customHeight="true" outlineLevel="0" collapsed="false">
      <c r="D1985" s="31"/>
    </row>
    <row r="1986" customFormat="false" ht="15.75" hidden="false" customHeight="true" outlineLevel="0" collapsed="false">
      <c r="D1986" s="31"/>
    </row>
    <row r="1987" customFormat="false" ht="15.75" hidden="false" customHeight="true" outlineLevel="0" collapsed="false">
      <c r="D1987" s="31"/>
    </row>
    <row r="1988" customFormat="false" ht="15.75" hidden="false" customHeight="true" outlineLevel="0" collapsed="false">
      <c r="D1988" s="31"/>
      <c r="P1988" s="36"/>
    </row>
    <row r="1989" customFormat="false" ht="15.75" hidden="false" customHeight="true" outlineLevel="0" collapsed="false">
      <c r="D1989" s="31"/>
    </row>
    <row r="1990" customFormat="false" ht="15.75" hidden="false" customHeight="true" outlineLevel="0" collapsed="false">
      <c r="D1990" s="31"/>
      <c r="O1990" s="36"/>
      <c r="P1990" s="36"/>
    </row>
  </sheetData>
  <mergeCells count="4">
    <mergeCell ref="A1:A5"/>
    <mergeCell ref="H1:I1"/>
    <mergeCell ref="H2:I2"/>
    <mergeCell ref="C5:I5"/>
  </mergeCells>
  <dataValidations count="2">
    <dataValidation allowBlank="true" errorStyle="stop" operator="between" showDropDown="false" showErrorMessage="true" showInputMessage="false" sqref="G7:G1981" type="list">
      <formula1>$G$2:$G$4</formula1>
      <formula2>0</formula2>
    </dataValidation>
    <dataValidation allowBlank="true" errorStyle="stop" operator="between" showDropDown="false" showErrorMessage="true" showInputMessage="false" sqref="B7:B1982" type="list">
      <formula1>$B$1:$B$4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2" min="2" style="0" width="23.71"/>
    <col collapsed="false" customWidth="true" hidden="false" outlineLevel="0" max="3" min="3" style="0" width="17.14"/>
    <col collapsed="false" customWidth="true" hidden="false" outlineLevel="0" max="4" min="4" style="0" width="17.57"/>
    <col collapsed="false" customWidth="true" hidden="false" outlineLevel="0" max="5" min="5" style="0" width="15.15"/>
    <col collapsed="false" customWidth="true" hidden="false" outlineLevel="0" max="6" min="6" style="0" width="18.43"/>
    <col collapsed="false" customWidth="true" hidden="false" outlineLevel="0" max="7" min="7" style="0" width="15.71"/>
    <col collapsed="false" customWidth="true" hidden="false" outlineLevel="0" max="8" min="8" style="0" width="13.86"/>
    <col collapsed="false" customWidth="true" hidden="false" outlineLevel="0" max="9" min="9" style="0" width="21"/>
    <col collapsed="false" customWidth="true" hidden="false" outlineLevel="0" max="14" min="10" style="0" width="10.7"/>
    <col collapsed="false" customWidth="true" hidden="false" outlineLevel="0" max="15" min="15" style="0" width="13.57"/>
    <col collapsed="false" customWidth="true" hidden="false" outlineLevel="0" max="16" min="16" style="0" width="14.7"/>
    <col collapsed="false" customWidth="true" hidden="false" outlineLevel="0" max="25" min="17" style="0" width="10.7"/>
  </cols>
  <sheetData>
    <row r="1" customFormat="false" ht="29.25" hidden="false" customHeight="true" outlineLevel="0" collapsed="false">
      <c r="A1" s="1" t="s">
        <v>188</v>
      </c>
      <c r="B1" s="67" t="s">
        <v>153</v>
      </c>
      <c r="C1" s="40" t="s">
        <v>2</v>
      </c>
      <c r="D1" s="41" t="s">
        <v>3</v>
      </c>
      <c r="E1" s="42"/>
      <c r="F1" s="43" t="s">
        <v>4</v>
      </c>
      <c r="G1" s="68" t="s">
        <v>28</v>
      </c>
      <c r="H1" s="69" t="s">
        <v>29</v>
      </c>
      <c r="I1" s="69"/>
    </row>
    <row r="2" customFormat="false" ht="14.25" hidden="false" customHeight="true" outlineLevel="0" collapsed="false">
      <c r="A2" s="1"/>
      <c r="B2" s="70" t="s">
        <v>79</v>
      </c>
      <c r="C2" s="9" t="n">
        <f aca="false">+E1982</f>
        <v>215760</v>
      </c>
      <c r="D2" s="10" t="n">
        <f aca="false">+F1982</f>
        <v>7192000</v>
      </c>
      <c r="E2" s="11"/>
      <c r="F2" s="47" t="n">
        <f aca="false">+D2-(C2+E2)</f>
        <v>6976240</v>
      </c>
      <c r="G2" s="71" t="s">
        <v>30</v>
      </c>
      <c r="H2" s="72" t="n">
        <v>0</v>
      </c>
      <c r="I2" s="72"/>
      <c r="Y2" s="14"/>
    </row>
    <row r="3" customFormat="false" ht="47.25" hidden="false" customHeight="true" outlineLevel="0" collapsed="false">
      <c r="A3" s="1"/>
      <c r="B3" s="46" t="s">
        <v>7</v>
      </c>
      <c r="C3" s="15" t="s">
        <v>8</v>
      </c>
      <c r="D3" s="16" t="s">
        <v>9</v>
      </c>
      <c r="E3" s="73" t="s">
        <v>80</v>
      </c>
      <c r="F3" s="50" t="s">
        <v>154</v>
      </c>
      <c r="G3" s="74" t="s">
        <v>31</v>
      </c>
      <c r="H3" s="75" t="n">
        <v>0</v>
      </c>
      <c r="I3" s="53" t="n">
        <v>0</v>
      </c>
      <c r="Y3" s="14"/>
    </row>
    <row r="4" customFormat="false" ht="14.25" hidden="false" customHeight="true" outlineLevel="0" collapsed="false">
      <c r="A4" s="1"/>
      <c r="B4" s="54" t="s">
        <v>11</v>
      </c>
      <c r="C4" s="55" t="n">
        <f aca="false">+C2/3</f>
        <v>71920</v>
      </c>
      <c r="D4" s="76" t="n">
        <v>0</v>
      </c>
      <c r="E4" s="77" t="n">
        <f aca="false">+C4</f>
        <v>71920</v>
      </c>
      <c r="F4" s="58" t="n">
        <f aca="false">+C4</f>
        <v>71920</v>
      </c>
      <c r="G4" s="78" t="s">
        <v>32</v>
      </c>
      <c r="H4" s="79" t="n">
        <f aca="false">+C2*H3</f>
        <v>0</v>
      </c>
      <c r="I4" s="80" t="n">
        <v>0</v>
      </c>
    </row>
    <row r="5" customFormat="false" ht="14.25" hidden="false" customHeight="true" outlineLevel="0" collapsed="false">
      <c r="A5" s="1"/>
      <c r="B5" s="23" t="s">
        <v>12</v>
      </c>
      <c r="C5" s="24" t="n">
        <f aca="false">H1982</f>
        <v>0</v>
      </c>
      <c r="D5" s="24"/>
      <c r="E5" s="24"/>
      <c r="F5" s="24"/>
      <c r="G5" s="24"/>
      <c r="H5" s="24"/>
      <c r="I5" s="24"/>
    </row>
    <row r="6" customFormat="false" ht="14.25" hidden="false" customHeight="true" outlineLevel="0" collapsed="false">
      <c r="A6" s="25" t="s">
        <v>13</v>
      </c>
      <c r="B6" s="25" t="s">
        <v>14</v>
      </c>
      <c r="C6" s="25" t="s">
        <v>113</v>
      </c>
      <c r="D6" s="26" t="s">
        <v>16</v>
      </c>
      <c r="E6" s="26" t="s">
        <v>17</v>
      </c>
      <c r="F6" s="27" t="s">
        <v>83</v>
      </c>
      <c r="G6" s="27" t="s">
        <v>28</v>
      </c>
      <c r="H6" s="28" t="s">
        <v>19</v>
      </c>
      <c r="I6" s="29" t="s">
        <v>20</v>
      </c>
      <c r="O6" s="19"/>
    </row>
    <row r="7" customFormat="false" ht="14.25" hidden="false" customHeight="true" outlineLevel="0" collapsed="false">
      <c r="A7" s="30" t="n">
        <v>45444</v>
      </c>
      <c r="B7" s="31" t="s">
        <v>153</v>
      </c>
      <c r="C7" s="82" t="n">
        <v>30624</v>
      </c>
      <c r="D7" s="32" t="s">
        <v>189</v>
      </c>
      <c r="E7" s="19" t="n">
        <f aca="false">+F7*0.03</f>
        <v>1350</v>
      </c>
      <c r="F7" s="33" t="n">
        <v>45000</v>
      </c>
      <c r="G7" s="62" t="s">
        <v>31</v>
      </c>
      <c r="H7" s="34" t="n">
        <v>0</v>
      </c>
      <c r="I7" s="34" t="n">
        <f aca="false">+IF(E7=0,0,E7*0.03)</f>
        <v>40.5</v>
      </c>
      <c r="O7" s="19"/>
    </row>
    <row r="8" customFormat="false" ht="14.25" hidden="false" customHeight="true" outlineLevel="0" collapsed="false">
      <c r="A8" s="30" t="n">
        <v>45444</v>
      </c>
      <c r="B8" s="31" t="s">
        <v>7</v>
      </c>
      <c r="C8" s="82" t="n">
        <v>101</v>
      </c>
      <c r="D8" s="32" t="s">
        <v>190</v>
      </c>
      <c r="E8" s="19" t="n">
        <f aca="false">+F8*0.03</f>
        <v>2100</v>
      </c>
      <c r="F8" s="33" t="n">
        <v>70000</v>
      </c>
      <c r="G8" s="62" t="s">
        <v>31</v>
      </c>
      <c r="H8" s="34" t="n">
        <v>0</v>
      </c>
      <c r="I8" s="34" t="n">
        <f aca="false">+IF(E8=0,0,E8*0.03)</f>
        <v>63</v>
      </c>
    </row>
    <row r="9" customFormat="false" ht="14.25" hidden="false" customHeight="true" outlineLevel="0" collapsed="false">
      <c r="A9" s="30" t="n">
        <v>45448</v>
      </c>
      <c r="B9" s="31" t="s">
        <v>7</v>
      </c>
      <c r="C9" s="82" t="s">
        <v>191</v>
      </c>
      <c r="D9" s="32" t="s">
        <v>192</v>
      </c>
      <c r="E9" s="19" t="n">
        <f aca="false">+F9*0.03</f>
        <v>900</v>
      </c>
      <c r="F9" s="33" t="n">
        <v>30000</v>
      </c>
      <c r="G9" s="62" t="s">
        <v>31</v>
      </c>
      <c r="H9" s="34" t="n">
        <v>0</v>
      </c>
      <c r="I9" s="34" t="n">
        <f aca="false">+IF(E9=0,0,E9*0.03)</f>
        <v>27</v>
      </c>
    </row>
    <row r="10" customFormat="false" ht="14.25" hidden="false" customHeight="true" outlineLevel="0" collapsed="false">
      <c r="A10" s="30" t="n">
        <v>45448</v>
      </c>
      <c r="B10" s="31" t="s">
        <v>7</v>
      </c>
      <c r="C10" s="82" t="s">
        <v>191</v>
      </c>
      <c r="D10" s="32" t="s">
        <v>193</v>
      </c>
      <c r="E10" s="19" t="n">
        <f aca="false">+F10*0.03</f>
        <v>1050</v>
      </c>
      <c r="F10" s="33" t="n">
        <v>35000</v>
      </c>
      <c r="G10" s="62" t="s">
        <v>31</v>
      </c>
      <c r="H10" s="34" t="n">
        <v>0</v>
      </c>
      <c r="I10" s="34" t="n">
        <f aca="false">+IF(E10=0,0,E10*0.03)</f>
        <v>31.5</v>
      </c>
    </row>
    <row r="11" customFormat="false" ht="14.25" hidden="false" customHeight="true" outlineLevel="0" collapsed="false">
      <c r="A11" s="30" t="n">
        <v>45449</v>
      </c>
      <c r="B11" s="31" t="s">
        <v>153</v>
      </c>
      <c r="C11" s="82" t="n">
        <v>102</v>
      </c>
      <c r="D11" s="32" t="s">
        <v>194</v>
      </c>
      <c r="E11" s="19" t="n">
        <f aca="false">+F11*0.03</f>
        <v>4500</v>
      </c>
      <c r="F11" s="33" t="n">
        <v>150000</v>
      </c>
      <c r="G11" s="62" t="s">
        <v>31</v>
      </c>
      <c r="H11" s="35" t="n">
        <v>0</v>
      </c>
      <c r="I11" s="34" t="n">
        <f aca="false">+IF(E11=0,0,E11*0.03)</f>
        <v>135</v>
      </c>
      <c r="O11" s="36"/>
    </row>
    <row r="12" customFormat="false" ht="14.25" hidden="false" customHeight="true" outlineLevel="0" collapsed="false">
      <c r="A12" s="30" t="n">
        <v>45450</v>
      </c>
      <c r="B12" s="31" t="s">
        <v>153</v>
      </c>
      <c r="C12" s="82" t="s">
        <v>191</v>
      </c>
      <c r="D12" s="32" t="s">
        <v>195</v>
      </c>
      <c r="E12" s="19" t="n">
        <f aca="false">+F12*0.03</f>
        <v>4500</v>
      </c>
      <c r="F12" s="33" t="n">
        <v>150000</v>
      </c>
      <c r="G12" s="62" t="s">
        <v>31</v>
      </c>
      <c r="H12" s="35" t="n">
        <v>0</v>
      </c>
      <c r="I12" s="34" t="n">
        <f aca="false">+IF(E12=0,0,E12*0.03)</f>
        <v>135</v>
      </c>
    </row>
    <row r="13" customFormat="false" ht="14.25" hidden="false" customHeight="true" outlineLevel="0" collapsed="false">
      <c r="A13" s="30" t="n">
        <v>45453</v>
      </c>
      <c r="B13" s="31" t="s">
        <v>7</v>
      </c>
      <c r="C13" s="82" t="s">
        <v>191</v>
      </c>
      <c r="D13" s="32" t="s">
        <v>196</v>
      </c>
      <c r="E13" s="19" t="n">
        <f aca="false">+F13*0.03</f>
        <v>2100</v>
      </c>
      <c r="F13" s="33" t="n">
        <v>70000</v>
      </c>
      <c r="G13" s="62" t="s">
        <v>30</v>
      </c>
      <c r="H13" s="35" t="n">
        <v>0</v>
      </c>
      <c r="I13" s="34" t="n">
        <f aca="false">+IF(E13=0,0,E13*0.03)</f>
        <v>63</v>
      </c>
    </row>
    <row r="14" customFormat="false" ht="14.25" hidden="false" customHeight="true" outlineLevel="0" collapsed="false">
      <c r="A14" s="30" t="n">
        <v>45453</v>
      </c>
      <c r="B14" s="31" t="s">
        <v>7</v>
      </c>
      <c r="C14" s="82" t="s">
        <v>191</v>
      </c>
      <c r="D14" s="32" t="s">
        <v>197</v>
      </c>
      <c r="E14" s="19" t="n">
        <f aca="false">+F14*0.03</f>
        <v>1350</v>
      </c>
      <c r="F14" s="33" t="n">
        <v>45000</v>
      </c>
      <c r="G14" s="62" t="s">
        <v>31</v>
      </c>
      <c r="H14" s="35" t="n">
        <v>0</v>
      </c>
      <c r="I14" s="34" t="n">
        <f aca="false">+IF(E14=0,0,E14*0.03)</f>
        <v>40.5</v>
      </c>
    </row>
    <row r="15" customFormat="false" ht="14.25" hidden="false" customHeight="true" outlineLevel="0" collapsed="false">
      <c r="A15" s="30" t="n">
        <v>45453</v>
      </c>
      <c r="B15" s="31" t="s">
        <v>7</v>
      </c>
      <c r="C15" s="82" t="s">
        <v>191</v>
      </c>
      <c r="D15" s="32" t="s">
        <v>198</v>
      </c>
      <c r="E15" s="19" t="n">
        <f aca="false">+F15*0.03</f>
        <v>900</v>
      </c>
      <c r="F15" s="33" t="n">
        <v>30000</v>
      </c>
      <c r="G15" s="62" t="s">
        <v>30</v>
      </c>
      <c r="H15" s="35" t="n">
        <v>0</v>
      </c>
      <c r="I15" s="34" t="n">
        <f aca="false">+IF(E15=0,0,E15*0.03)</f>
        <v>27</v>
      </c>
    </row>
    <row r="16" customFormat="false" ht="14.25" hidden="false" customHeight="true" outlineLevel="0" collapsed="false">
      <c r="A16" s="30" t="n">
        <v>45453</v>
      </c>
      <c r="B16" s="31" t="s">
        <v>7</v>
      </c>
      <c r="C16" s="82" t="s">
        <v>191</v>
      </c>
      <c r="D16" s="32" t="s">
        <v>199</v>
      </c>
      <c r="E16" s="19" t="n">
        <f aca="false">+F16*0.03</f>
        <v>450</v>
      </c>
      <c r="F16" s="33" t="n">
        <v>15000</v>
      </c>
      <c r="G16" s="62" t="s">
        <v>31</v>
      </c>
      <c r="H16" s="35" t="n">
        <v>0</v>
      </c>
      <c r="I16" s="34" t="n">
        <f aca="false">+IF(E16=0,0,E16*0.03)</f>
        <v>13.5</v>
      </c>
    </row>
    <row r="17" customFormat="false" ht="14.25" hidden="false" customHeight="true" outlineLevel="0" collapsed="false">
      <c r="A17" s="30" t="n">
        <v>45483</v>
      </c>
      <c r="B17" s="31" t="s">
        <v>7</v>
      </c>
      <c r="C17" s="82" t="s">
        <v>191</v>
      </c>
      <c r="D17" s="32" t="s">
        <v>200</v>
      </c>
      <c r="E17" s="19" t="n">
        <f aca="false">+F17*0.03</f>
        <v>1200</v>
      </c>
      <c r="F17" s="33" t="n">
        <v>40000</v>
      </c>
      <c r="G17" s="62" t="s">
        <v>31</v>
      </c>
      <c r="H17" s="35" t="n">
        <v>0</v>
      </c>
      <c r="I17" s="34" t="n">
        <f aca="false">+IF(E17=0,0,E17*0.03)</f>
        <v>36</v>
      </c>
    </row>
    <row r="18" customFormat="false" ht="14.25" hidden="false" customHeight="true" outlineLevel="0" collapsed="false">
      <c r="A18" s="30" t="n">
        <v>45454</v>
      </c>
      <c r="B18" s="31" t="s">
        <v>153</v>
      </c>
      <c r="C18" s="82" t="s">
        <v>191</v>
      </c>
      <c r="D18" s="32" t="s">
        <v>201</v>
      </c>
      <c r="E18" s="19" t="n">
        <f aca="false">+F18*0.03</f>
        <v>3750</v>
      </c>
      <c r="F18" s="33" t="n">
        <v>125000</v>
      </c>
      <c r="G18" s="62" t="s">
        <v>31</v>
      </c>
      <c r="H18" s="35" t="n">
        <v>0</v>
      </c>
      <c r="I18" s="34" t="n">
        <f aca="false">+IF(E18=0,0,E18*0.03)</f>
        <v>112.5</v>
      </c>
    </row>
    <row r="19" customFormat="false" ht="14.25" hidden="false" customHeight="true" outlineLevel="0" collapsed="false">
      <c r="A19" s="30" t="n">
        <v>45455</v>
      </c>
      <c r="B19" s="31" t="s">
        <v>7</v>
      </c>
      <c r="C19" s="82" t="s">
        <v>191</v>
      </c>
      <c r="D19" s="32" t="s">
        <v>202</v>
      </c>
      <c r="E19" s="19" t="n">
        <f aca="false">+F19*0.03</f>
        <v>54000</v>
      </c>
      <c r="F19" s="33" t="n">
        <v>1800000</v>
      </c>
      <c r="G19" s="62" t="s">
        <v>30</v>
      </c>
      <c r="H19" s="35" t="n">
        <v>0</v>
      </c>
      <c r="I19" s="34" t="n">
        <f aca="false">+IF(E19=0,0,E19*0.03)</f>
        <v>1620</v>
      </c>
    </row>
    <row r="20" customFormat="false" ht="14.25" hidden="false" customHeight="true" outlineLevel="0" collapsed="false">
      <c r="A20" s="30" t="n">
        <v>45456</v>
      </c>
      <c r="B20" s="31" t="s">
        <v>7</v>
      </c>
      <c r="C20" s="82" t="s">
        <v>191</v>
      </c>
      <c r="D20" s="32" t="s">
        <v>203</v>
      </c>
      <c r="E20" s="19" t="n">
        <f aca="false">+F20*0.03</f>
        <v>3900</v>
      </c>
      <c r="F20" s="33" t="n">
        <v>130000</v>
      </c>
      <c r="G20" s="62" t="s">
        <v>31</v>
      </c>
      <c r="H20" s="35" t="n">
        <v>0</v>
      </c>
      <c r="I20" s="34" t="n">
        <f aca="false">+IF(E20=0,0,E20*0.03)</f>
        <v>117</v>
      </c>
    </row>
    <row r="21" customFormat="false" ht="14.25" hidden="false" customHeight="true" outlineLevel="0" collapsed="false">
      <c r="A21" s="64" t="n">
        <v>45456</v>
      </c>
      <c r="B21" s="31" t="s">
        <v>153</v>
      </c>
      <c r="C21" s="82" t="s">
        <v>191</v>
      </c>
      <c r="D21" s="83" t="s">
        <v>204</v>
      </c>
      <c r="E21" s="19" t="n">
        <f aca="false">+F21*0.03</f>
        <v>750</v>
      </c>
      <c r="F21" s="33" t="n">
        <v>25000</v>
      </c>
      <c r="G21" s="62" t="s">
        <v>30</v>
      </c>
      <c r="H21" s="35" t="n">
        <v>0</v>
      </c>
      <c r="I21" s="34" t="n">
        <f aca="false">+IF(E21=0,0,E21*0.03)</f>
        <v>22.5</v>
      </c>
    </row>
    <row r="22" customFormat="false" ht="15.75" hidden="false" customHeight="true" outlineLevel="0" collapsed="false">
      <c r="A22" s="30" t="n">
        <v>45456</v>
      </c>
      <c r="B22" s="31" t="s">
        <v>153</v>
      </c>
      <c r="C22" s="82" t="s">
        <v>191</v>
      </c>
      <c r="D22" s="32" t="s">
        <v>205</v>
      </c>
      <c r="E22" s="19" t="n">
        <f aca="false">+F22*0.03</f>
        <v>4350</v>
      </c>
      <c r="F22" s="33" t="n">
        <v>145000</v>
      </c>
      <c r="G22" s="62" t="s">
        <v>31</v>
      </c>
      <c r="H22" s="35" t="n">
        <v>0</v>
      </c>
      <c r="I22" s="34" t="n">
        <f aca="false">+IF(E22=0,0,E22*0.03)</f>
        <v>130.5</v>
      </c>
    </row>
    <row r="23" customFormat="false" ht="15.75" hidden="false" customHeight="true" outlineLevel="0" collapsed="false">
      <c r="A23" s="30" t="n">
        <v>45457</v>
      </c>
      <c r="B23" s="31" t="s">
        <v>7</v>
      </c>
      <c r="C23" s="82" t="s">
        <v>191</v>
      </c>
      <c r="D23" s="32" t="s">
        <v>206</v>
      </c>
      <c r="E23" s="19" t="n">
        <f aca="false">+F23*0.03</f>
        <v>600</v>
      </c>
      <c r="F23" s="33" t="n">
        <v>20000</v>
      </c>
      <c r="G23" s="62" t="s">
        <v>30</v>
      </c>
      <c r="H23" s="35" t="n">
        <v>0</v>
      </c>
      <c r="I23" s="34" t="n">
        <f aca="false">+IF(E23=0,0,E23*0.03)</f>
        <v>18</v>
      </c>
    </row>
    <row r="24" customFormat="false" ht="15.75" hidden="false" customHeight="true" outlineLevel="0" collapsed="false">
      <c r="A24" s="30" t="n">
        <v>45457</v>
      </c>
      <c r="B24" s="31" t="s">
        <v>7</v>
      </c>
      <c r="C24" s="82" t="s">
        <v>191</v>
      </c>
      <c r="D24" s="32" t="s">
        <v>206</v>
      </c>
      <c r="E24" s="19" t="n">
        <f aca="false">+F24*0.03</f>
        <v>450</v>
      </c>
      <c r="F24" s="33" t="n">
        <v>15000</v>
      </c>
      <c r="G24" s="62" t="s">
        <v>31</v>
      </c>
      <c r="H24" s="35" t="n">
        <v>0</v>
      </c>
      <c r="I24" s="34" t="n">
        <f aca="false">+IF(E24=0,0,E24*0.03)</f>
        <v>13.5</v>
      </c>
    </row>
    <row r="25" customFormat="false" ht="15.75" hidden="false" customHeight="true" outlineLevel="0" collapsed="false">
      <c r="A25" s="30" t="n">
        <v>45457</v>
      </c>
      <c r="B25" s="31" t="s">
        <v>153</v>
      </c>
      <c r="C25" s="82" t="s">
        <v>191</v>
      </c>
      <c r="D25" s="32" t="s">
        <v>207</v>
      </c>
      <c r="E25" s="19" t="n">
        <f aca="false">+F25*0.03</f>
        <v>2100</v>
      </c>
      <c r="F25" s="33" t="n">
        <v>70000</v>
      </c>
      <c r="G25" s="62" t="s">
        <v>30</v>
      </c>
      <c r="H25" s="35" t="n">
        <v>0</v>
      </c>
      <c r="I25" s="34" t="n">
        <f aca="false">+IF(E25=0,0,E25*0.03)</f>
        <v>63</v>
      </c>
    </row>
    <row r="26" customFormat="false" ht="15.75" hidden="false" customHeight="true" outlineLevel="0" collapsed="false">
      <c r="A26" s="30" t="n">
        <v>45444</v>
      </c>
      <c r="B26" s="31" t="s">
        <v>7</v>
      </c>
      <c r="C26" s="82" t="s">
        <v>191</v>
      </c>
      <c r="D26" s="32" t="s">
        <v>208</v>
      </c>
      <c r="E26" s="19" t="n">
        <f aca="false">+F26*0.03</f>
        <v>3900</v>
      </c>
      <c r="F26" s="33" t="n">
        <v>130000</v>
      </c>
      <c r="G26" s="62" t="s">
        <v>30</v>
      </c>
      <c r="H26" s="35" t="n">
        <v>0</v>
      </c>
      <c r="I26" s="34" t="n">
        <f aca="false">+IF(E26=0,0,E26*0.03)</f>
        <v>117</v>
      </c>
    </row>
    <row r="27" customFormat="false" ht="15.75" hidden="false" customHeight="true" outlineLevel="0" collapsed="false">
      <c r="A27" s="30" t="n">
        <v>45444</v>
      </c>
      <c r="B27" s="31" t="s">
        <v>7</v>
      </c>
      <c r="C27" s="82" t="s">
        <v>191</v>
      </c>
      <c r="D27" s="32" t="s">
        <v>209</v>
      </c>
      <c r="E27" s="19" t="n">
        <f aca="false">+F27*0.03</f>
        <v>1800</v>
      </c>
      <c r="F27" s="33" t="n">
        <v>60000</v>
      </c>
      <c r="G27" s="62" t="s">
        <v>30</v>
      </c>
      <c r="H27" s="35" t="n">
        <v>0</v>
      </c>
      <c r="I27" s="34" t="n">
        <f aca="false">+IF(E27=0,0,E27*0.03)</f>
        <v>54</v>
      </c>
    </row>
    <row r="28" customFormat="false" ht="15.75" hidden="false" customHeight="true" outlineLevel="0" collapsed="false">
      <c r="A28" s="30" t="n">
        <v>45444</v>
      </c>
      <c r="B28" s="31" t="s">
        <v>7</v>
      </c>
      <c r="C28" s="82" t="s">
        <v>191</v>
      </c>
      <c r="D28" s="32" t="s">
        <v>210</v>
      </c>
      <c r="E28" s="19" t="n">
        <f aca="false">+F28*0.03</f>
        <v>450</v>
      </c>
      <c r="F28" s="33" t="n">
        <v>15000</v>
      </c>
      <c r="G28" s="62" t="s">
        <v>31</v>
      </c>
      <c r="H28" s="35" t="n">
        <v>0</v>
      </c>
      <c r="I28" s="34" t="n">
        <f aca="false">+IF(E28=0,0,E28*0.03)</f>
        <v>13.5</v>
      </c>
    </row>
    <row r="29" customFormat="false" ht="15.75" hidden="false" customHeight="true" outlineLevel="0" collapsed="false">
      <c r="A29" s="30" t="n">
        <v>45461</v>
      </c>
      <c r="B29" s="31" t="s">
        <v>7</v>
      </c>
      <c r="C29" s="82" t="s">
        <v>191</v>
      </c>
      <c r="D29" s="32" t="s">
        <v>211</v>
      </c>
      <c r="E29" s="19" t="n">
        <f aca="false">+F29*0.03</f>
        <v>3600</v>
      </c>
      <c r="F29" s="33" t="n">
        <v>120000</v>
      </c>
      <c r="G29" s="62" t="s">
        <v>31</v>
      </c>
      <c r="H29" s="35" t="n">
        <v>0</v>
      </c>
      <c r="I29" s="34" t="n">
        <f aca="false">+IF(E29=0,0,E29*0.03)</f>
        <v>108</v>
      </c>
    </row>
    <row r="30" customFormat="false" ht="15.75" hidden="false" customHeight="true" outlineLevel="0" collapsed="false">
      <c r="A30" s="30" t="n">
        <v>45462</v>
      </c>
      <c r="B30" s="31" t="s">
        <v>153</v>
      </c>
      <c r="C30" s="82" t="s">
        <v>191</v>
      </c>
      <c r="D30" s="81" t="s">
        <v>212</v>
      </c>
      <c r="E30" s="19" t="n">
        <f aca="false">+F30*0.03</f>
        <v>10500</v>
      </c>
      <c r="F30" s="33" t="n">
        <v>350000</v>
      </c>
      <c r="G30" s="62" t="s">
        <v>31</v>
      </c>
      <c r="H30" s="35" t="n">
        <v>0</v>
      </c>
      <c r="I30" s="34" t="n">
        <f aca="false">+IF(E30=0,0,E30*0.03)</f>
        <v>315</v>
      </c>
    </row>
    <row r="31" customFormat="false" ht="15.75" hidden="false" customHeight="true" outlineLevel="0" collapsed="false">
      <c r="A31" s="30" t="n">
        <v>45444</v>
      </c>
      <c r="B31" s="31" t="s">
        <v>7</v>
      </c>
      <c r="C31" s="82" t="s">
        <v>191</v>
      </c>
      <c r="D31" s="32" t="s">
        <v>213</v>
      </c>
      <c r="E31" s="19" t="n">
        <f aca="false">+F31*0.03</f>
        <v>9900</v>
      </c>
      <c r="F31" s="33" t="n">
        <v>330000</v>
      </c>
      <c r="G31" s="62" t="s">
        <v>31</v>
      </c>
      <c r="H31" s="35" t="n">
        <v>0</v>
      </c>
      <c r="I31" s="34" t="n">
        <f aca="false">+IF(E31=0,0,E31*0.03)</f>
        <v>297</v>
      </c>
    </row>
    <row r="32" customFormat="false" ht="15.75" hidden="false" customHeight="true" outlineLevel="0" collapsed="false">
      <c r="A32" s="30" t="n">
        <v>45444</v>
      </c>
      <c r="B32" s="31" t="s">
        <v>7</v>
      </c>
      <c r="C32" s="82" t="s">
        <v>191</v>
      </c>
      <c r="D32" s="81" t="s">
        <v>214</v>
      </c>
      <c r="E32" s="19" t="n">
        <f aca="false">+F32*0.03</f>
        <v>780</v>
      </c>
      <c r="F32" s="33" t="n">
        <v>26000</v>
      </c>
      <c r="G32" s="62" t="s">
        <v>31</v>
      </c>
      <c r="H32" s="35" t="n">
        <v>0</v>
      </c>
      <c r="I32" s="34" t="n">
        <f aca="false">+IF(E32=0,0,E32*0.03)</f>
        <v>23.4</v>
      </c>
    </row>
    <row r="33" customFormat="false" ht="15.75" hidden="false" customHeight="true" outlineLevel="0" collapsed="false">
      <c r="A33" s="30" t="n">
        <v>45444</v>
      </c>
      <c r="B33" s="31" t="s">
        <v>7</v>
      </c>
      <c r="C33" s="82" t="s">
        <v>191</v>
      </c>
      <c r="D33" s="32" t="s">
        <v>215</v>
      </c>
      <c r="E33" s="19" t="n">
        <f aca="false">+F33*0.03</f>
        <v>1050</v>
      </c>
      <c r="F33" s="33" t="n">
        <v>35000</v>
      </c>
      <c r="G33" s="62" t="s">
        <v>31</v>
      </c>
      <c r="H33" s="35" t="n">
        <v>0</v>
      </c>
      <c r="I33" s="34" t="n">
        <f aca="false">+IF(E33=0,0,E33*0.03)</f>
        <v>31.5</v>
      </c>
    </row>
    <row r="34" customFormat="false" ht="15.75" hidden="false" customHeight="true" outlineLevel="0" collapsed="false">
      <c r="A34" s="30" t="n">
        <v>45444</v>
      </c>
      <c r="B34" s="31" t="s">
        <v>7</v>
      </c>
      <c r="C34" s="82" t="s">
        <v>191</v>
      </c>
      <c r="D34" s="32" t="s">
        <v>216</v>
      </c>
      <c r="E34" s="19" t="n">
        <f aca="false">+F34*0.03</f>
        <v>750</v>
      </c>
      <c r="F34" s="33" t="n">
        <v>25000</v>
      </c>
      <c r="G34" s="62" t="s">
        <v>31</v>
      </c>
      <c r="H34" s="35" t="n">
        <v>0</v>
      </c>
      <c r="I34" s="34" t="n">
        <f aca="false">+IF(E34=0,0,E34*0.03)</f>
        <v>22.5</v>
      </c>
    </row>
    <row r="35" customFormat="false" ht="15.75" hidden="false" customHeight="true" outlineLevel="0" collapsed="false">
      <c r="A35" s="30" t="n">
        <v>45444</v>
      </c>
      <c r="B35" s="31" t="s">
        <v>153</v>
      </c>
      <c r="C35" s="82" t="s">
        <v>191</v>
      </c>
      <c r="D35" s="32" t="s">
        <v>217</v>
      </c>
      <c r="E35" s="19" t="n">
        <f aca="false">+F35*0.03</f>
        <v>2400</v>
      </c>
      <c r="F35" s="33" t="n">
        <v>80000</v>
      </c>
      <c r="G35" s="62" t="s">
        <v>31</v>
      </c>
      <c r="H35" s="35" t="n">
        <v>0</v>
      </c>
      <c r="I35" s="34" t="n">
        <f aca="false">+IF(E35=0,0,E35*0.03)</f>
        <v>72</v>
      </c>
    </row>
    <row r="36" customFormat="false" ht="15.75" hidden="false" customHeight="true" outlineLevel="0" collapsed="false">
      <c r="A36" s="30" t="n">
        <v>45444</v>
      </c>
      <c r="B36" s="31" t="s">
        <v>153</v>
      </c>
      <c r="C36" s="82" t="s">
        <v>191</v>
      </c>
      <c r="D36" s="32" t="s">
        <v>218</v>
      </c>
      <c r="E36" s="19" t="n">
        <f aca="false">+F36*0.03</f>
        <v>5400</v>
      </c>
      <c r="F36" s="33" t="n">
        <v>180000</v>
      </c>
      <c r="G36" s="62" t="s">
        <v>31</v>
      </c>
      <c r="H36" s="35" t="n">
        <v>0</v>
      </c>
      <c r="I36" s="34" t="n">
        <f aca="false">+IF(E36=0,0,E36*0.03)</f>
        <v>162</v>
      </c>
    </row>
    <row r="37" customFormat="false" ht="15.75" hidden="false" customHeight="true" outlineLevel="0" collapsed="false">
      <c r="A37" s="30" t="n">
        <v>45444</v>
      </c>
      <c r="B37" s="31" t="s">
        <v>153</v>
      </c>
      <c r="C37" s="82" t="s">
        <v>191</v>
      </c>
      <c r="D37" s="32" t="s">
        <v>219</v>
      </c>
      <c r="E37" s="19" t="n">
        <f aca="false">+F37*0.03</f>
        <v>1800</v>
      </c>
      <c r="F37" s="33" t="n">
        <v>60000</v>
      </c>
      <c r="G37" s="62" t="s">
        <v>31</v>
      </c>
      <c r="H37" s="35" t="n">
        <v>0</v>
      </c>
      <c r="I37" s="34" t="n">
        <f aca="false">+IF(E37=0,0,E37*0.03)</f>
        <v>54</v>
      </c>
    </row>
    <row r="38" customFormat="false" ht="15.75" hidden="false" customHeight="true" outlineLevel="0" collapsed="false">
      <c r="A38" s="30" t="n">
        <v>45444</v>
      </c>
      <c r="B38" s="31" t="s">
        <v>7</v>
      </c>
      <c r="C38" s="82" t="n">
        <v>107</v>
      </c>
      <c r="D38" s="32" t="s">
        <v>220</v>
      </c>
      <c r="E38" s="19" t="n">
        <f aca="false">+F38*0.03</f>
        <v>4350</v>
      </c>
      <c r="F38" s="33" t="n">
        <v>145000</v>
      </c>
      <c r="G38" s="62" t="s">
        <v>30</v>
      </c>
      <c r="H38" s="35" t="n">
        <v>0</v>
      </c>
      <c r="I38" s="34" t="n">
        <f aca="false">+IF(E38=0,0,E38*0.03)</f>
        <v>130.5</v>
      </c>
    </row>
    <row r="39" customFormat="false" ht="15.75" hidden="false" customHeight="true" outlineLevel="0" collapsed="false">
      <c r="A39" s="30" t="n">
        <v>45444</v>
      </c>
      <c r="B39" s="31" t="s">
        <v>153</v>
      </c>
      <c r="C39" s="82" t="s">
        <v>191</v>
      </c>
      <c r="D39" s="32" t="s">
        <v>221</v>
      </c>
      <c r="E39" s="19" t="n">
        <f aca="false">+F39*0.03</f>
        <v>2100</v>
      </c>
      <c r="F39" s="33" t="n">
        <v>70000</v>
      </c>
      <c r="G39" s="62" t="s">
        <v>31</v>
      </c>
      <c r="H39" s="35" t="n">
        <v>0</v>
      </c>
      <c r="I39" s="34" t="n">
        <f aca="false">+IF(E39=0,0,E39*0.03)</f>
        <v>63</v>
      </c>
    </row>
    <row r="40" customFormat="false" ht="15.75" hidden="false" customHeight="true" outlineLevel="0" collapsed="false">
      <c r="A40" s="30" t="n">
        <v>45444</v>
      </c>
      <c r="B40" s="31" t="s">
        <v>7</v>
      </c>
      <c r="C40" s="82" t="s">
        <v>191</v>
      </c>
      <c r="D40" s="32" t="s">
        <v>222</v>
      </c>
      <c r="E40" s="19" t="n">
        <f aca="false">+F40*0.03</f>
        <v>1800</v>
      </c>
      <c r="F40" s="33" t="n">
        <v>60000</v>
      </c>
      <c r="G40" s="62" t="s">
        <v>30</v>
      </c>
      <c r="H40" s="35" t="n">
        <v>0</v>
      </c>
      <c r="I40" s="34" t="n">
        <f aca="false">+IF(E40=0,0,E40*0.03)</f>
        <v>54</v>
      </c>
    </row>
    <row r="41" customFormat="false" ht="15.75" hidden="false" customHeight="true" outlineLevel="0" collapsed="false">
      <c r="A41" s="30" t="n">
        <v>45444</v>
      </c>
      <c r="B41" s="31" t="s">
        <v>7</v>
      </c>
      <c r="C41" s="82" t="s">
        <v>191</v>
      </c>
      <c r="D41" s="32" t="s">
        <v>223</v>
      </c>
      <c r="E41" s="19" t="n">
        <f aca="false">+F41*0.03</f>
        <v>1350</v>
      </c>
      <c r="F41" s="33" t="n">
        <v>45000</v>
      </c>
      <c r="G41" s="62" t="s">
        <v>31</v>
      </c>
      <c r="H41" s="35" t="n">
        <v>0</v>
      </c>
      <c r="I41" s="34" t="n">
        <f aca="false">+IF(E41=0,0,E41*0.03)</f>
        <v>40.5</v>
      </c>
    </row>
    <row r="42" customFormat="false" ht="15.75" hidden="false" customHeight="true" outlineLevel="0" collapsed="false">
      <c r="A42" s="30" t="n">
        <v>45444</v>
      </c>
      <c r="B42" s="31" t="s">
        <v>7</v>
      </c>
      <c r="C42" s="32" t="s">
        <v>191</v>
      </c>
      <c r="D42" s="32" t="s">
        <v>224</v>
      </c>
      <c r="E42" s="19" t="n">
        <f aca="false">+F42*0.03</f>
        <v>28500</v>
      </c>
      <c r="F42" s="33" t="n">
        <v>950000</v>
      </c>
      <c r="G42" s="62" t="s">
        <v>30</v>
      </c>
      <c r="H42" s="35" t="n">
        <v>0</v>
      </c>
      <c r="I42" s="34" t="n">
        <f aca="false">+IF(E42=0,0,E42*0.03)</f>
        <v>855</v>
      </c>
    </row>
    <row r="43" customFormat="false" ht="15.75" hidden="false" customHeight="true" outlineLevel="0" collapsed="false">
      <c r="A43" s="30" t="n">
        <v>45444</v>
      </c>
      <c r="B43" s="31" t="s">
        <v>153</v>
      </c>
      <c r="C43" s="32" t="s">
        <v>191</v>
      </c>
      <c r="D43" s="32" t="s">
        <v>225</v>
      </c>
      <c r="E43" s="19" t="n">
        <f aca="false">+F43*0.03</f>
        <v>13500</v>
      </c>
      <c r="F43" s="33" t="n">
        <v>450000</v>
      </c>
      <c r="G43" s="62" t="s">
        <v>30</v>
      </c>
      <c r="H43" s="35" t="n">
        <v>0</v>
      </c>
      <c r="I43" s="34" t="n">
        <f aca="false">+IF(E43=0,0,E43*0.03)</f>
        <v>405</v>
      </c>
    </row>
    <row r="44" customFormat="false" ht="15.75" hidden="false" customHeight="true" outlineLevel="0" collapsed="false">
      <c r="A44" s="30" t="n">
        <v>45444</v>
      </c>
      <c r="B44" s="31" t="s">
        <v>7</v>
      </c>
      <c r="C44" s="32" t="s">
        <v>191</v>
      </c>
      <c r="D44" s="32" t="s">
        <v>197</v>
      </c>
      <c r="E44" s="19" t="n">
        <f aca="false">+F44*0.03</f>
        <v>1500</v>
      </c>
      <c r="F44" s="33" t="n">
        <v>50000</v>
      </c>
      <c r="G44" s="62" t="s">
        <v>31</v>
      </c>
      <c r="H44" s="35" t="n">
        <v>0</v>
      </c>
      <c r="I44" s="34" t="n">
        <f aca="false">+IF(E44=0,0,E44*0.03)</f>
        <v>45</v>
      </c>
    </row>
    <row r="45" customFormat="false" ht="15.75" hidden="false" customHeight="true" outlineLevel="0" collapsed="false">
      <c r="A45" s="30" t="n">
        <v>45444</v>
      </c>
      <c r="B45" s="31" t="s">
        <v>153</v>
      </c>
      <c r="C45" s="32" t="s">
        <v>191</v>
      </c>
      <c r="D45" s="32" t="s">
        <v>226</v>
      </c>
      <c r="E45" s="19" t="n">
        <f aca="false">+F45*0.03</f>
        <v>2700</v>
      </c>
      <c r="F45" s="33" t="n">
        <v>90000</v>
      </c>
      <c r="G45" s="62" t="s">
        <v>31</v>
      </c>
      <c r="H45" s="35" t="n">
        <v>0</v>
      </c>
      <c r="I45" s="34" t="n">
        <f aca="false">+IF(E45=0,0,E45*0.03)</f>
        <v>81</v>
      </c>
    </row>
    <row r="46" customFormat="false" ht="15.75" hidden="false" customHeight="true" outlineLevel="0" collapsed="false">
      <c r="A46" s="30" t="n">
        <v>45444</v>
      </c>
      <c r="B46" s="31" t="s">
        <v>7</v>
      </c>
      <c r="C46" s="32" t="s">
        <v>191</v>
      </c>
      <c r="D46" s="32" t="s">
        <v>227</v>
      </c>
      <c r="E46" s="19" t="n">
        <f aca="false">+F46*0.03</f>
        <v>2250</v>
      </c>
      <c r="F46" s="33" t="n">
        <v>75000</v>
      </c>
      <c r="G46" s="62" t="s">
        <v>31</v>
      </c>
      <c r="H46" s="35" t="n">
        <v>0</v>
      </c>
      <c r="I46" s="34" t="n">
        <f aca="false">+IF(E46=0,0,E46*0.03)</f>
        <v>67.5</v>
      </c>
    </row>
    <row r="47" customFormat="false" ht="15.75" hidden="false" customHeight="true" outlineLevel="0" collapsed="false">
      <c r="A47" s="30" t="n">
        <v>45444</v>
      </c>
      <c r="B47" s="31" t="s">
        <v>7</v>
      </c>
      <c r="C47" s="32" t="s">
        <v>191</v>
      </c>
      <c r="D47" s="32" t="s">
        <v>228</v>
      </c>
      <c r="E47" s="19" t="n">
        <f aca="false">+F47*0.03</f>
        <v>10500</v>
      </c>
      <c r="F47" s="33" t="n">
        <v>350000</v>
      </c>
      <c r="G47" s="62" t="s">
        <v>31</v>
      </c>
      <c r="H47" s="35" t="n">
        <v>0</v>
      </c>
      <c r="I47" s="34" t="n">
        <f aca="false">+IF(E47=0,0,E47*0.03)</f>
        <v>315</v>
      </c>
    </row>
    <row r="48" customFormat="false" ht="15.75" hidden="false" customHeight="true" outlineLevel="0" collapsed="false">
      <c r="A48" s="30" t="n">
        <v>45444</v>
      </c>
      <c r="B48" s="31" t="s">
        <v>7</v>
      </c>
      <c r="C48" s="32" t="s">
        <v>191</v>
      </c>
      <c r="D48" s="32" t="s">
        <v>229</v>
      </c>
      <c r="E48" s="19" t="n">
        <f aca="false">+F48*0.03</f>
        <v>2850</v>
      </c>
      <c r="F48" s="33" t="n">
        <v>95000</v>
      </c>
      <c r="G48" s="62" t="s">
        <v>30</v>
      </c>
      <c r="H48" s="35" t="n">
        <v>0</v>
      </c>
      <c r="I48" s="34" t="n">
        <f aca="false">+IF(E48=0,0,E48*0.03)</f>
        <v>85.5</v>
      </c>
    </row>
    <row r="49" customFormat="false" ht="15.75" hidden="false" customHeight="true" outlineLevel="0" collapsed="false">
      <c r="A49" s="30" t="n">
        <v>45444</v>
      </c>
      <c r="B49" s="31" t="s">
        <v>7</v>
      </c>
      <c r="C49" s="32" t="s">
        <v>191</v>
      </c>
      <c r="D49" s="32" t="s">
        <v>230</v>
      </c>
      <c r="E49" s="19" t="n">
        <f aca="false">+F49*0.03</f>
        <v>3000</v>
      </c>
      <c r="F49" s="33" t="n">
        <v>100000</v>
      </c>
      <c r="G49" s="62" t="s">
        <v>31</v>
      </c>
      <c r="H49" s="35" t="n">
        <v>0</v>
      </c>
      <c r="I49" s="34" t="n">
        <f aca="false">+IF(E49=0,0,E49*0.03)</f>
        <v>90</v>
      </c>
    </row>
    <row r="50" customFormat="false" ht="15.75" hidden="false" customHeight="true" outlineLevel="0" collapsed="false">
      <c r="A50" s="30" t="n">
        <v>45444</v>
      </c>
      <c r="B50" s="31" t="s">
        <v>153</v>
      </c>
      <c r="C50" s="32" t="s">
        <v>191</v>
      </c>
      <c r="D50" s="32" t="s">
        <v>231</v>
      </c>
      <c r="E50" s="19" t="n">
        <f aca="false">+F50*0.03</f>
        <v>1680</v>
      </c>
      <c r="F50" s="33" t="n">
        <v>56000</v>
      </c>
      <c r="G50" s="62" t="s">
        <v>31</v>
      </c>
      <c r="H50" s="35" t="n">
        <v>0</v>
      </c>
      <c r="I50" s="34" t="n">
        <f aca="false">+IF(E50=0,0,E50*0.03)</f>
        <v>50.4</v>
      </c>
    </row>
    <row r="51" customFormat="false" ht="15.75" hidden="false" customHeight="true" outlineLevel="0" collapsed="false">
      <c r="A51" s="30" t="n">
        <v>45444</v>
      </c>
      <c r="B51" s="31" t="s">
        <v>153</v>
      </c>
      <c r="C51" s="32" t="s">
        <v>191</v>
      </c>
      <c r="D51" s="32" t="s">
        <v>232</v>
      </c>
      <c r="E51" s="19" t="n">
        <f aca="false">+F51*0.03</f>
        <v>2400</v>
      </c>
      <c r="F51" s="33" t="n">
        <v>80000</v>
      </c>
      <c r="G51" s="62" t="s">
        <v>31</v>
      </c>
      <c r="H51" s="35" t="n">
        <v>0</v>
      </c>
      <c r="I51" s="34" t="n">
        <f aca="false">+IF(E51=0,0,E51*0.03)</f>
        <v>72</v>
      </c>
    </row>
    <row r="52" customFormat="false" ht="15.75" hidden="false" customHeight="true" outlineLevel="0" collapsed="false">
      <c r="A52" s="30" t="n">
        <v>45444</v>
      </c>
      <c r="B52" s="31" t="s">
        <v>153</v>
      </c>
      <c r="C52" s="32" t="s">
        <v>191</v>
      </c>
      <c r="D52" s="32" t="s">
        <v>233</v>
      </c>
      <c r="E52" s="19" t="n">
        <f aca="false">+F52*0.03</f>
        <v>2850</v>
      </c>
      <c r="F52" s="33" t="n">
        <v>95000</v>
      </c>
      <c r="G52" s="62" t="s">
        <v>31</v>
      </c>
      <c r="H52" s="35" t="n">
        <v>0</v>
      </c>
      <c r="I52" s="34" t="n">
        <f aca="false">+IF(E52=0,0,E52*0.03)</f>
        <v>85.5</v>
      </c>
    </row>
    <row r="53" customFormat="false" ht="15.75" hidden="false" customHeight="true" outlineLevel="0" collapsed="false">
      <c r="A53" s="30" t="n">
        <v>45444</v>
      </c>
      <c r="B53" s="31" t="s">
        <v>153</v>
      </c>
      <c r="C53" s="32" t="s">
        <v>191</v>
      </c>
      <c r="D53" s="32" t="s">
        <v>213</v>
      </c>
      <c r="E53" s="19" t="n">
        <f aca="false">+F53*0.03</f>
        <v>450</v>
      </c>
      <c r="F53" s="33" t="n">
        <v>15000</v>
      </c>
      <c r="G53" s="62" t="s">
        <v>31</v>
      </c>
      <c r="H53" s="35" t="n">
        <v>0</v>
      </c>
      <c r="I53" s="34" t="n">
        <f aca="false">+IF(E53=0,0,E53*0.03)</f>
        <v>13.5</v>
      </c>
    </row>
    <row r="54" customFormat="false" ht="15.75" hidden="false" customHeight="true" outlineLevel="0" collapsed="false">
      <c r="A54" s="30" t="n">
        <v>45444</v>
      </c>
      <c r="B54" s="31" t="s">
        <v>153</v>
      </c>
      <c r="C54" s="32" t="s">
        <v>191</v>
      </c>
      <c r="D54" s="32" t="s">
        <v>234</v>
      </c>
      <c r="E54" s="19" t="n">
        <f aca="false">+F54*0.03</f>
        <v>1350</v>
      </c>
      <c r="F54" s="33" t="n">
        <v>45000</v>
      </c>
      <c r="G54" s="62" t="s">
        <v>30</v>
      </c>
      <c r="H54" s="35" t="n">
        <v>0</v>
      </c>
      <c r="I54" s="34" t="n">
        <f aca="false">+IF(E54=0,0,E54*0.03)</f>
        <v>40.5</v>
      </c>
    </row>
    <row r="55" customFormat="false" ht="15.75" hidden="false" customHeight="true" outlineLevel="0" collapsed="false">
      <c r="A55" s="30" t="n">
        <v>45444</v>
      </c>
      <c r="B55" s="31" t="s">
        <v>153</v>
      </c>
      <c r="C55" s="32"/>
      <c r="D55" s="32"/>
      <c r="E55" s="19" t="n">
        <f aca="false">+F55*0.03</f>
        <v>0</v>
      </c>
      <c r="F55" s="33" t="n">
        <v>0</v>
      </c>
      <c r="G55" s="62"/>
      <c r="H55" s="35" t="n">
        <v>0</v>
      </c>
      <c r="I55" s="34" t="n">
        <f aca="false">+IF(E55=0,0,E55*0.03)</f>
        <v>0</v>
      </c>
    </row>
    <row r="56" customFormat="false" ht="15.75" hidden="false" customHeight="true" outlineLevel="0" collapsed="false">
      <c r="A56" s="30" t="n">
        <v>45444</v>
      </c>
      <c r="B56" s="31" t="s">
        <v>153</v>
      </c>
      <c r="C56" s="32"/>
      <c r="D56" s="32"/>
      <c r="E56" s="19" t="n">
        <f aca="false">+F56*0.03</f>
        <v>0</v>
      </c>
      <c r="F56" s="33" t="n">
        <v>0</v>
      </c>
      <c r="G56" s="62"/>
      <c r="H56" s="35" t="n">
        <v>0</v>
      </c>
      <c r="I56" s="34" t="n">
        <f aca="false">+IF(E56=0,0,E56*0.03)</f>
        <v>0</v>
      </c>
    </row>
    <row r="57" customFormat="false" ht="15.75" hidden="false" customHeight="true" outlineLevel="0" collapsed="false">
      <c r="A57" s="30" t="n">
        <v>45444</v>
      </c>
      <c r="B57" s="31" t="s">
        <v>153</v>
      </c>
      <c r="C57" s="32"/>
      <c r="D57" s="32"/>
      <c r="E57" s="19" t="n">
        <f aca="false">+F57*0.03</f>
        <v>0</v>
      </c>
      <c r="F57" s="33" t="n">
        <v>0</v>
      </c>
      <c r="G57" s="62"/>
      <c r="H57" s="35" t="n">
        <v>0</v>
      </c>
      <c r="I57" s="34" t="n">
        <f aca="false">+IF(E57=0,0,E57*0.03)</f>
        <v>0</v>
      </c>
    </row>
    <row r="58" customFormat="false" ht="15.75" hidden="false" customHeight="true" outlineLevel="0" collapsed="false">
      <c r="A58" s="30" t="n">
        <v>45444</v>
      </c>
      <c r="B58" s="31" t="s">
        <v>153</v>
      </c>
      <c r="C58" s="32"/>
      <c r="D58" s="32"/>
      <c r="E58" s="19" t="n">
        <f aca="false">+F58*0.03</f>
        <v>0</v>
      </c>
      <c r="F58" s="33" t="n">
        <v>0</v>
      </c>
      <c r="G58" s="62"/>
      <c r="H58" s="35" t="n">
        <v>0</v>
      </c>
      <c r="I58" s="34" t="n">
        <f aca="false">+IF(E58=0,0,E58*0.03)</f>
        <v>0</v>
      </c>
    </row>
    <row r="59" customFormat="false" ht="15.75" hidden="false" customHeight="true" outlineLevel="0" collapsed="false">
      <c r="A59" s="30" t="n">
        <v>45444</v>
      </c>
      <c r="B59" s="31" t="s">
        <v>153</v>
      </c>
      <c r="C59" s="32"/>
      <c r="D59" s="32"/>
      <c r="E59" s="19" t="n">
        <f aca="false">+F59*0.03</f>
        <v>0</v>
      </c>
      <c r="F59" s="33" t="n">
        <v>0</v>
      </c>
      <c r="G59" s="62"/>
      <c r="H59" s="35" t="n">
        <v>0</v>
      </c>
      <c r="I59" s="34" t="n">
        <f aca="false">+IF(E59=0,0,E59*0.03)</f>
        <v>0</v>
      </c>
    </row>
    <row r="60" customFormat="false" ht="15.75" hidden="false" customHeight="true" outlineLevel="0" collapsed="false">
      <c r="A60" s="30" t="n">
        <v>45444</v>
      </c>
      <c r="B60" s="31" t="s">
        <v>153</v>
      </c>
      <c r="C60" s="32"/>
      <c r="D60" s="32"/>
      <c r="E60" s="19" t="n">
        <f aca="false">+F60*0.03</f>
        <v>0</v>
      </c>
      <c r="F60" s="33" t="n">
        <v>0</v>
      </c>
      <c r="G60" s="62"/>
      <c r="H60" s="35" t="n">
        <v>0</v>
      </c>
      <c r="I60" s="34" t="n">
        <f aca="false">+IF(E60=0,0,E60*0.03)</f>
        <v>0</v>
      </c>
    </row>
    <row r="61" customFormat="false" ht="15.75" hidden="false" customHeight="true" outlineLevel="0" collapsed="false">
      <c r="A61" s="30" t="n">
        <v>45444</v>
      </c>
      <c r="B61" s="31" t="s">
        <v>153</v>
      </c>
      <c r="C61" s="32"/>
      <c r="D61" s="32"/>
      <c r="E61" s="19" t="n">
        <f aca="false">+F61*0.03</f>
        <v>0</v>
      </c>
      <c r="F61" s="33" t="n">
        <v>0</v>
      </c>
      <c r="G61" s="62"/>
      <c r="H61" s="35" t="n">
        <v>0</v>
      </c>
      <c r="I61" s="34" t="n">
        <f aca="false">+IF(E61=0,0,E61*0.03)</f>
        <v>0</v>
      </c>
    </row>
    <row r="62" customFormat="false" ht="15.75" hidden="false" customHeight="true" outlineLevel="0" collapsed="false">
      <c r="A62" s="30" t="n">
        <v>45444</v>
      </c>
      <c r="B62" s="31" t="s">
        <v>153</v>
      </c>
      <c r="C62" s="32"/>
      <c r="D62" s="32"/>
      <c r="E62" s="19" t="n">
        <f aca="false">+F62*0.03</f>
        <v>0</v>
      </c>
      <c r="F62" s="33" t="n">
        <v>0</v>
      </c>
      <c r="G62" s="62"/>
      <c r="H62" s="35" t="n">
        <v>0</v>
      </c>
      <c r="I62" s="34" t="n">
        <f aca="false">+IF(E62=0,0,E62*0.03)</f>
        <v>0</v>
      </c>
    </row>
    <row r="63" customFormat="false" ht="15.75" hidden="false" customHeight="true" outlineLevel="0" collapsed="false">
      <c r="A63" s="30" t="n">
        <v>45444</v>
      </c>
      <c r="B63" s="31" t="s">
        <v>153</v>
      </c>
      <c r="C63" s="32"/>
      <c r="D63" s="32"/>
      <c r="E63" s="19" t="n">
        <f aca="false">+F63*0.03</f>
        <v>0</v>
      </c>
      <c r="F63" s="33" t="n">
        <v>0</v>
      </c>
      <c r="G63" s="62"/>
      <c r="H63" s="35" t="n">
        <v>0</v>
      </c>
      <c r="I63" s="34" t="n">
        <f aca="false">+IF(E63=0,0,E63*0.03)</f>
        <v>0</v>
      </c>
    </row>
    <row r="64" customFormat="false" ht="15.75" hidden="false" customHeight="true" outlineLevel="0" collapsed="false">
      <c r="A64" s="30" t="n">
        <v>45444</v>
      </c>
      <c r="B64" s="31" t="s">
        <v>153</v>
      </c>
      <c r="C64" s="32"/>
      <c r="D64" s="32"/>
      <c r="E64" s="19" t="n">
        <f aca="false">+F64*0.03</f>
        <v>0</v>
      </c>
      <c r="F64" s="33" t="n">
        <v>0</v>
      </c>
      <c r="G64" s="62"/>
      <c r="H64" s="35" t="n">
        <v>0</v>
      </c>
      <c r="I64" s="34" t="n">
        <f aca="false">+IF(E64=0,0,E64*0.03)</f>
        <v>0</v>
      </c>
    </row>
    <row r="65" customFormat="false" ht="15.75" hidden="false" customHeight="true" outlineLevel="0" collapsed="false">
      <c r="A65" s="30" t="n">
        <v>45444</v>
      </c>
      <c r="B65" s="31" t="s">
        <v>153</v>
      </c>
      <c r="C65" s="32"/>
      <c r="D65" s="32"/>
      <c r="E65" s="19" t="n">
        <f aca="false">+F65*0.03</f>
        <v>0</v>
      </c>
      <c r="F65" s="33" t="n">
        <v>0</v>
      </c>
      <c r="G65" s="62"/>
      <c r="H65" s="35" t="n">
        <v>0</v>
      </c>
      <c r="I65" s="34" t="n">
        <f aca="false">+IF(E65=0,0,E65*0.03)</f>
        <v>0</v>
      </c>
    </row>
    <row r="66" customFormat="false" ht="15.75" hidden="false" customHeight="true" outlineLevel="0" collapsed="false">
      <c r="A66" s="30" t="n">
        <v>45444</v>
      </c>
      <c r="B66" s="31" t="s">
        <v>153</v>
      </c>
      <c r="C66" s="32"/>
      <c r="D66" s="32"/>
      <c r="E66" s="19" t="n">
        <f aca="false">+F66*0.03</f>
        <v>0</v>
      </c>
      <c r="F66" s="33" t="n">
        <v>0</v>
      </c>
      <c r="G66" s="62"/>
      <c r="H66" s="35" t="n">
        <v>0</v>
      </c>
      <c r="I66" s="34" t="n">
        <f aca="false">+IF(E66=0,0,E66*0.03)</f>
        <v>0</v>
      </c>
    </row>
    <row r="67" customFormat="false" ht="15.75" hidden="false" customHeight="true" outlineLevel="0" collapsed="false">
      <c r="A67" s="30" t="n">
        <v>45444</v>
      </c>
      <c r="B67" s="31" t="s">
        <v>153</v>
      </c>
      <c r="C67" s="32"/>
      <c r="D67" s="32"/>
      <c r="E67" s="19" t="n">
        <f aca="false">+F67*0.03</f>
        <v>0</v>
      </c>
      <c r="F67" s="33" t="n">
        <v>0</v>
      </c>
      <c r="G67" s="62"/>
      <c r="H67" s="35" t="n">
        <v>0</v>
      </c>
      <c r="I67" s="34" t="n">
        <f aca="false">+IF(E67=0,0,E67*0.03)</f>
        <v>0</v>
      </c>
    </row>
    <row r="68" customFormat="false" ht="15.75" hidden="false" customHeight="true" outlineLevel="0" collapsed="false">
      <c r="A68" s="30" t="n">
        <v>45444</v>
      </c>
      <c r="B68" s="31" t="s">
        <v>153</v>
      </c>
      <c r="C68" s="32"/>
      <c r="D68" s="32"/>
      <c r="E68" s="19" t="n">
        <f aca="false">+F68*0.03</f>
        <v>0</v>
      </c>
      <c r="F68" s="33" t="n">
        <v>0</v>
      </c>
      <c r="G68" s="62"/>
      <c r="H68" s="35" t="n">
        <v>0</v>
      </c>
      <c r="I68" s="34" t="n">
        <f aca="false">+IF(E68=0,0,E68*0.03)</f>
        <v>0</v>
      </c>
    </row>
    <row r="69" customFormat="false" ht="15.75" hidden="false" customHeight="true" outlineLevel="0" collapsed="false">
      <c r="A69" s="30" t="n">
        <v>45444</v>
      </c>
      <c r="B69" s="31" t="s">
        <v>153</v>
      </c>
      <c r="C69" s="32"/>
      <c r="D69" s="32"/>
      <c r="E69" s="19" t="n">
        <f aca="false">+F69*0.03</f>
        <v>0</v>
      </c>
      <c r="F69" s="33" t="n">
        <v>0</v>
      </c>
      <c r="G69" s="62"/>
      <c r="H69" s="35" t="n">
        <v>0</v>
      </c>
      <c r="I69" s="34" t="n">
        <f aca="false">+IF(E69=0,0,E69*0.03)</f>
        <v>0</v>
      </c>
    </row>
    <row r="70" customFormat="false" ht="15.75" hidden="false" customHeight="true" outlineLevel="0" collapsed="false">
      <c r="A70" s="30" t="n">
        <v>45444</v>
      </c>
      <c r="B70" s="31" t="s">
        <v>153</v>
      </c>
      <c r="C70" s="32"/>
      <c r="D70" s="32"/>
      <c r="E70" s="19" t="n">
        <f aca="false">+F70*0.03</f>
        <v>0</v>
      </c>
      <c r="F70" s="33" t="n">
        <v>0</v>
      </c>
      <c r="G70" s="62"/>
      <c r="H70" s="35" t="n">
        <v>0</v>
      </c>
      <c r="I70" s="34" t="n">
        <f aca="false">+IF(E70=0,0,E70*0.03)</f>
        <v>0</v>
      </c>
    </row>
    <row r="71" customFormat="false" ht="15.75" hidden="false" customHeight="true" outlineLevel="0" collapsed="false">
      <c r="A71" s="30" t="n">
        <v>45444</v>
      </c>
      <c r="B71" s="31" t="s">
        <v>153</v>
      </c>
      <c r="C71" s="32"/>
      <c r="D71" s="32"/>
      <c r="E71" s="19" t="n">
        <f aca="false">+F71*0.03</f>
        <v>0</v>
      </c>
      <c r="F71" s="33" t="n">
        <v>0</v>
      </c>
      <c r="G71" s="62"/>
      <c r="H71" s="35" t="n">
        <v>0</v>
      </c>
      <c r="I71" s="34" t="n">
        <f aca="false">+IF(E71=0,0,E71*0.03)</f>
        <v>0</v>
      </c>
    </row>
    <row r="72" customFormat="false" ht="15.75" hidden="false" customHeight="true" outlineLevel="0" collapsed="false">
      <c r="A72" s="30" t="n">
        <v>45444</v>
      </c>
      <c r="B72" s="31" t="s">
        <v>153</v>
      </c>
      <c r="C72" s="32"/>
      <c r="D72" s="32"/>
      <c r="E72" s="19" t="n">
        <f aca="false">+F72*0.03</f>
        <v>0</v>
      </c>
      <c r="F72" s="33" t="n">
        <v>0</v>
      </c>
      <c r="G72" s="62"/>
      <c r="H72" s="35" t="n">
        <v>0</v>
      </c>
      <c r="I72" s="34" t="n">
        <f aca="false">+IF(E72=0,0,E72*0.03)</f>
        <v>0</v>
      </c>
    </row>
    <row r="73" customFormat="false" ht="15.75" hidden="false" customHeight="true" outlineLevel="0" collapsed="false">
      <c r="A73" s="30" t="n">
        <v>45444</v>
      </c>
      <c r="B73" s="31" t="s">
        <v>153</v>
      </c>
      <c r="C73" s="32"/>
      <c r="D73" s="32"/>
      <c r="E73" s="19" t="n">
        <f aca="false">+F73*0.03</f>
        <v>0</v>
      </c>
      <c r="F73" s="33" t="n">
        <v>0</v>
      </c>
      <c r="G73" s="62"/>
      <c r="H73" s="35" t="n">
        <v>0</v>
      </c>
      <c r="I73" s="34" t="n">
        <f aca="false">+IF(E73=0,0,E73*0.03)</f>
        <v>0</v>
      </c>
    </row>
    <row r="74" customFormat="false" ht="15.75" hidden="false" customHeight="true" outlineLevel="0" collapsed="false">
      <c r="A74" s="30" t="n">
        <v>45444</v>
      </c>
      <c r="B74" s="31" t="s">
        <v>153</v>
      </c>
      <c r="C74" s="32"/>
      <c r="D74" s="32"/>
      <c r="E74" s="19" t="n">
        <f aca="false">+F74*0.03</f>
        <v>0</v>
      </c>
      <c r="F74" s="33" t="n">
        <v>0</v>
      </c>
      <c r="G74" s="62"/>
      <c r="H74" s="35" t="n">
        <v>0</v>
      </c>
      <c r="I74" s="34" t="n">
        <f aca="false">+IF(E74=0,0,E74*0.03)</f>
        <v>0</v>
      </c>
    </row>
    <row r="75" customFormat="false" ht="15.75" hidden="false" customHeight="true" outlineLevel="0" collapsed="false">
      <c r="A75" s="30" t="n">
        <v>45444</v>
      </c>
      <c r="B75" s="31" t="s">
        <v>153</v>
      </c>
      <c r="C75" s="32"/>
      <c r="D75" s="32"/>
      <c r="E75" s="19" t="n">
        <f aca="false">+F75*0.03</f>
        <v>0</v>
      </c>
      <c r="F75" s="33" t="n">
        <v>0</v>
      </c>
      <c r="G75" s="62"/>
      <c r="H75" s="35" t="n">
        <v>0</v>
      </c>
      <c r="I75" s="34" t="n">
        <f aca="false">+IF(E75=0,0,E75*0.03)</f>
        <v>0</v>
      </c>
    </row>
    <row r="76" customFormat="false" ht="15.75" hidden="false" customHeight="true" outlineLevel="0" collapsed="false">
      <c r="A76" s="30" t="n">
        <v>45444</v>
      </c>
      <c r="B76" s="31" t="s">
        <v>153</v>
      </c>
      <c r="C76" s="32"/>
      <c r="D76" s="32"/>
      <c r="E76" s="19" t="n">
        <f aca="false">+F76*0.03</f>
        <v>0</v>
      </c>
      <c r="F76" s="33" t="n">
        <v>0</v>
      </c>
      <c r="G76" s="62"/>
      <c r="H76" s="35" t="n">
        <v>0</v>
      </c>
      <c r="I76" s="34" t="n">
        <f aca="false">+IF(E76=0,0,E76*0.03)</f>
        <v>0</v>
      </c>
    </row>
    <row r="77" customFormat="false" ht="15.75" hidden="false" customHeight="true" outlineLevel="0" collapsed="false">
      <c r="A77" s="30" t="n">
        <v>45444</v>
      </c>
      <c r="B77" s="31" t="s">
        <v>153</v>
      </c>
      <c r="C77" s="32"/>
      <c r="D77" s="32"/>
      <c r="E77" s="19" t="n">
        <f aca="false">+F77*0.03</f>
        <v>0</v>
      </c>
      <c r="F77" s="33" t="n">
        <v>0</v>
      </c>
      <c r="G77" s="62"/>
      <c r="H77" s="35" t="n">
        <v>0</v>
      </c>
      <c r="I77" s="34" t="n">
        <f aca="false">+IF(E77=0,0,E77*0.03)</f>
        <v>0</v>
      </c>
    </row>
    <row r="78" customFormat="false" ht="15.75" hidden="false" customHeight="true" outlineLevel="0" collapsed="false">
      <c r="A78" s="30" t="n">
        <v>45444</v>
      </c>
      <c r="B78" s="31" t="s">
        <v>153</v>
      </c>
      <c r="C78" s="32"/>
      <c r="D78" s="32"/>
      <c r="E78" s="19" t="n">
        <f aca="false">+F78*0.03</f>
        <v>0</v>
      </c>
      <c r="F78" s="33" t="n">
        <v>0</v>
      </c>
      <c r="G78" s="62"/>
      <c r="H78" s="35" t="n">
        <v>0</v>
      </c>
      <c r="I78" s="34" t="n">
        <f aca="false">+IF(E78=0,0,E78*0.03)</f>
        <v>0</v>
      </c>
    </row>
    <row r="79" customFormat="false" ht="15.75" hidden="false" customHeight="true" outlineLevel="0" collapsed="false">
      <c r="A79" s="30" t="n">
        <v>45444</v>
      </c>
      <c r="B79" s="31" t="s">
        <v>153</v>
      </c>
      <c r="C79" s="32"/>
      <c r="D79" s="32"/>
      <c r="E79" s="19" t="n">
        <f aca="false">+F79*0.03</f>
        <v>0</v>
      </c>
      <c r="F79" s="33" t="n">
        <v>0</v>
      </c>
      <c r="G79" s="62"/>
      <c r="H79" s="35" t="n">
        <v>0</v>
      </c>
      <c r="I79" s="34" t="n">
        <f aca="false">+IF(E79=0,0,E79*0.03)</f>
        <v>0</v>
      </c>
    </row>
    <row r="80" customFormat="false" ht="15.75" hidden="false" customHeight="true" outlineLevel="0" collapsed="false">
      <c r="A80" s="30" t="n">
        <v>45444</v>
      </c>
      <c r="B80" s="31" t="s">
        <v>153</v>
      </c>
      <c r="C80" s="32"/>
      <c r="D80" s="32"/>
      <c r="E80" s="19" t="n">
        <f aca="false">+F80*0.03</f>
        <v>0</v>
      </c>
      <c r="F80" s="33" t="n">
        <v>0</v>
      </c>
      <c r="G80" s="62"/>
      <c r="H80" s="35" t="n">
        <v>0</v>
      </c>
      <c r="I80" s="34" t="n">
        <f aca="false">+IF(E80=0,0,E80*0.03)</f>
        <v>0</v>
      </c>
    </row>
    <row r="81" customFormat="false" ht="15.75" hidden="false" customHeight="true" outlineLevel="0" collapsed="false">
      <c r="A81" s="30" t="n">
        <v>45444</v>
      </c>
      <c r="B81" s="31" t="s">
        <v>153</v>
      </c>
      <c r="C81" s="32"/>
      <c r="D81" s="32"/>
      <c r="E81" s="19" t="n">
        <f aca="false">+F81*0.03</f>
        <v>0</v>
      </c>
      <c r="F81" s="33" t="n">
        <v>0</v>
      </c>
      <c r="G81" s="62"/>
      <c r="H81" s="35" t="n">
        <v>0</v>
      </c>
      <c r="I81" s="34" t="n">
        <f aca="false">+IF(E81=0,0,E81*0.03)</f>
        <v>0</v>
      </c>
    </row>
    <row r="82" customFormat="false" ht="15.75" hidden="false" customHeight="true" outlineLevel="0" collapsed="false">
      <c r="A82" s="30" t="n">
        <v>45444</v>
      </c>
      <c r="B82" s="31" t="s">
        <v>153</v>
      </c>
      <c r="C82" s="32"/>
      <c r="D82" s="32"/>
      <c r="E82" s="19" t="n">
        <f aca="false">+F82*0.03</f>
        <v>0</v>
      </c>
      <c r="F82" s="33" t="n">
        <v>0</v>
      </c>
      <c r="G82" s="62"/>
      <c r="H82" s="35" t="n">
        <v>0</v>
      </c>
      <c r="I82" s="34" t="n">
        <f aca="false">+IF(E82=0,0,E82*0.03)</f>
        <v>0</v>
      </c>
    </row>
    <row r="83" customFormat="false" ht="15.75" hidden="false" customHeight="true" outlineLevel="0" collapsed="false">
      <c r="A83" s="30" t="n">
        <v>45444</v>
      </c>
      <c r="B83" s="31" t="s">
        <v>153</v>
      </c>
      <c r="C83" s="32"/>
      <c r="D83" s="32"/>
      <c r="E83" s="19" t="n">
        <f aca="false">+F83*0.03</f>
        <v>0</v>
      </c>
      <c r="F83" s="33" t="n">
        <v>0</v>
      </c>
      <c r="G83" s="62"/>
      <c r="H83" s="35" t="n">
        <v>0</v>
      </c>
      <c r="I83" s="34" t="n">
        <f aca="false">+IF(E83=0,0,E83*0.03)</f>
        <v>0</v>
      </c>
    </row>
    <row r="84" customFormat="false" ht="15.75" hidden="false" customHeight="true" outlineLevel="0" collapsed="false">
      <c r="A84" s="30" t="n">
        <v>45444</v>
      </c>
      <c r="B84" s="31" t="s">
        <v>153</v>
      </c>
      <c r="C84" s="32"/>
      <c r="D84" s="32"/>
      <c r="E84" s="19" t="n">
        <f aca="false">+F84*0.03</f>
        <v>0</v>
      </c>
      <c r="F84" s="33" t="n">
        <v>0</v>
      </c>
      <c r="G84" s="62"/>
      <c r="H84" s="35" t="n">
        <v>0</v>
      </c>
      <c r="I84" s="34" t="n">
        <f aca="false">+IF(E84=0,0,E84*0.03)</f>
        <v>0</v>
      </c>
    </row>
    <row r="85" customFormat="false" ht="15.75" hidden="false" customHeight="true" outlineLevel="0" collapsed="false">
      <c r="A85" s="30" t="n">
        <v>45444</v>
      </c>
      <c r="B85" s="31" t="s">
        <v>153</v>
      </c>
      <c r="C85" s="32"/>
      <c r="D85" s="32"/>
      <c r="E85" s="19" t="n">
        <f aca="false">+F85*0.03</f>
        <v>0</v>
      </c>
      <c r="F85" s="33" t="n">
        <v>0</v>
      </c>
      <c r="G85" s="62"/>
      <c r="H85" s="35" t="n">
        <v>0</v>
      </c>
      <c r="I85" s="34" t="n">
        <f aca="false">+IF(E85=0,0,E85*0.03)</f>
        <v>0</v>
      </c>
    </row>
    <row r="86" customFormat="false" ht="15.75" hidden="false" customHeight="true" outlineLevel="0" collapsed="false">
      <c r="A86" s="30" t="n">
        <v>45444</v>
      </c>
      <c r="B86" s="31" t="s">
        <v>153</v>
      </c>
      <c r="C86" s="32"/>
      <c r="D86" s="32"/>
      <c r="E86" s="19" t="n">
        <f aca="false">+F86*0.03</f>
        <v>0</v>
      </c>
      <c r="F86" s="33" t="n">
        <v>0</v>
      </c>
      <c r="G86" s="62"/>
      <c r="H86" s="35" t="n">
        <v>0</v>
      </c>
      <c r="I86" s="34" t="n">
        <f aca="false">+IF(E86=0,0,E86*0.03)</f>
        <v>0</v>
      </c>
    </row>
    <row r="87" customFormat="false" ht="15.75" hidden="false" customHeight="true" outlineLevel="0" collapsed="false">
      <c r="A87" s="30" t="n">
        <v>45444</v>
      </c>
      <c r="B87" s="31" t="s">
        <v>153</v>
      </c>
      <c r="C87" s="32"/>
      <c r="D87" s="32"/>
      <c r="E87" s="19" t="n">
        <f aca="false">+F87*0.03</f>
        <v>0</v>
      </c>
      <c r="F87" s="33" t="n">
        <v>0</v>
      </c>
      <c r="G87" s="62"/>
      <c r="H87" s="35" t="n">
        <v>0</v>
      </c>
      <c r="I87" s="34" t="n">
        <f aca="false">+IF(E87=0,0,E87*0.03)</f>
        <v>0</v>
      </c>
    </row>
    <row r="88" customFormat="false" ht="15.75" hidden="false" customHeight="true" outlineLevel="0" collapsed="false">
      <c r="A88" s="30" t="n">
        <v>45444</v>
      </c>
      <c r="B88" s="31" t="s">
        <v>153</v>
      </c>
      <c r="C88" s="32"/>
      <c r="D88" s="32"/>
      <c r="E88" s="19" t="n">
        <f aca="false">+F88*0.03</f>
        <v>0</v>
      </c>
      <c r="F88" s="33" t="n">
        <v>0</v>
      </c>
      <c r="G88" s="62"/>
      <c r="H88" s="35" t="n">
        <v>0</v>
      </c>
      <c r="I88" s="34" t="n">
        <f aca="false">+IF(E88=0,0,E88*0.03)</f>
        <v>0</v>
      </c>
    </row>
    <row r="89" customFormat="false" ht="15.75" hidden="false" customHeight="true" outlineLevel="0" collapsed="false">
      <c r="A89" s="30" t="n">
        <v>45444</v>
      </c>
      <c r="B89" s="31" t="s">
        <v>153</v>
      </c>
      <c r="C89" s="32"/>
      <c r="D89" s="32"/>
      <c r="E89" s="19" t="n">
        <f aca="false">+F89*0.03</f>
        <v>0</v>
      </c>
      <c r="F89" s="33" t="n">
        <v>0</v>
      </c>
      <c r="G89" s="62"/>
      <c r="H89" s="35" t="n">
        <v>0</v>
      </c>
      <c r="I89" s="34" t="n">
        <f aca="false">+IF(E89=0,0,E89*0.03)</f>
        <v>0</v>
      </c>
    </row>
    <row r="90" customFormat="false" ht="15.75" hidden="false" customHeight="true" outlineLevel="0" collapsed="false">
      <c r="A90" s="30" t="n">
        <v>45444</v>
      </c>
      <c r="B90" s="31" t="s">
        <v>153</v>
      </c>
      <c r="C90" s="32"/>
      <c r="D90" s="32"/>
      <c r="E90" s="19" t="n">
        <f aca="false">+F90*0.03</f>
        <v>0</v>
      </c>
      <c r="F90" s="33" t="n">
        <v>0</v>
      </c>
      <c r="G90" s="62"/>
      <c r="H90" s="35" t="n">
        <v>0</v>
      </c>
      <c r="I90" s="34" t="n">
        <f aca="false">+IF(E90=0,0,E90*0.03)</f>
        <v>0</v>
      </c>
    </row>
    <row r="91" customFormat="false" ht="15.75" hidden="false" customHeight="true" outlineLevel="0" collapsed="false">
      <c r="A91" s="30" t="n">
        <v>45444</v>
      </c>
      <c r="B91" s="31" t="s">
        <v>153</v>
      </c>
      <c r="C91" s="32"/>
      <c r="D91" s="32"/>
      <c r="E91" s="19" t="n">
        <f aca="false">+F91*0.03</f>
        <v>0</v>
      </c>
      <c r="F91" s="33" t="n">
        <v>0</v>
      </c>
      <c r="G91" s="62"/>
      <c r="H91" s="35" t="n">
        <v>0</v>
      </c>
      <c r="I91" s="34" t="n">
        <f aca="false">+IF(E91=0,0,E91*0.03)</f>
        <v>0</v>
      </c>
    </row>
    <row r="92" customFormat="false" ht="15.75" hidden="false" customHeight="true" outlineLevel="0" collapsed="false">
      <c r="A92" s="30" t="n">
        <v>45444</v>
      </c>
      <c r="B92" s="31" t="s">
        <v>153</v>
      </c>
      <c r="C92" s="32"/>
      <c r="D92" s="32"/>
      <c r="E92" s="19" t="n">
        <f aca="false">+F92*0.03</f>
        <v>0</v>
      </c>
      <c r="F92" s="33" t="n">
        <v>0</v>
      </c>
      <c r="G92" s="62"/>
      <c r="H92" s="35" t="n">
        <v>0</v>
      </c>
      <c r="I92" s="34" t="n">
        <f aca="false">+IF(E92=0,0,E92*0.03)</f>
        <v>0</v>
      </c>
    </row>
    <row r="93" customFormat="false" ht="15.75" hidden="false" customHeight="true" outlineLevel="0" collapsed="false">
      <c r="A93" s="30" t="n">
        <v>45444</v>
      </c>
      <c r="B93" s="31" t="s">
        <v>153</v>
      </c>
      <c r="C93" s="32"/>
      <c r="D93" s="32"/>
      <c r="E93" s="19" t="n">
        <f aca="false">+F93*0.03</f>
        <v>0</v>
      </c>
      <c r="F93" s="33" t="n">
        <v>0</v>
      </c>
      <c r="G93" s="62"/>
      <c r="H93" s="35" t="n">
        <v>0</v>
      </c>
      <c r="I93" s="34" t="n">
        <f aca="false">+IF(E93=0,0,E93*0.03)</f>
        <v>0</v>
      </c>
    </row>
    <row r="94" customFormat="false" ht="15.75" hidden="false" customHeight="true" outlineLevel="0" collapsed="false">
      <c r="A94" s="30" t="n">
        <v>45444</v>
      </c>
      <c r="B94" s="31" t="s">
        <v>153</v>
      </c>
      <c r="C94" s="32"/>
      <c r="D94" s="32"/>
      <c r="E94" s="19" t="n">
        <f aca="false">+F94*0.03</f>
        <v>0</v>
      </c>
      <c r="F94" s="33" t="n">
        <v>0</v>
      </c>
      <c r="G94" s="62"/>
      <c r="H94" s="35" t="n">
        <v>0</v>
      </c>
      <c r="I94" s="34" t="n">
        <f aca="false">+IF(E94=0,0,E94*0.03)</f>
        <v>0</v>
      </c>
    </row>
    <row r="95" customFormat="false" ht="15.75" hidden="false" customHeight="true" outlineLevel="0" collapsed="false">
      <c r="A95" s="30" t="n">
        <v>45444</v>
      </c>
      <c r="B95" s="31" t="s">
        <v>153</v>
      </c>
      <c r="C95" s="32"/>
      <c r="D95" s="32"/>
      <c r="E95" s="19" t="n">
        <f aca="false">+F95*0.03</f>
        <v>0</v>
      </c>
      <c r="F95" s="33" t="n">
        <v>0</v>
      </c>
      <c r="G95" s="62"/>
      <c r="H95" s="35" t="n">
        <v>0</v>
      </c>
      <c r="I95" s="34" t="n">
        <f aca="false">+IF(E95=0,0,E95*0.03)</f>
        <v>0</v>
      </c>
    </row>
    <row r="96" customFormat="false" ht="15.75" hidden="false" customHeight="true" outlineLevel="0" collapsed="false">
      <c r="A96" s="30" t="n">
        <v>45444</v>
      </c>
      <c r="B96" s="31" t="s">
        <v>153</v>
      </c>
      <c r="C96" s="32"/>
      <c r="D96" s="32"/>
      <c r="E96" s="19" t="n">
        <f aca="false">+F96*0.03</f>
        <v>0</v>
      </c>
      <c r="F96" s="33" t="n">
        <v>0</v>
      </c>
      <c r="G96" s="62"/>
      <c r="H96" s="35" t="n">
        <v>0</v>
      </c>
      <c r="I96" s="34" t="n">
        <f aca="false">+IF(E96=0,0,E96*0.03)</f>
        <v>0</v>
      </c>
    </row>
    <row r="97" customFormat="false" ht="15.75" hidden="false" customHeight="true" outlineLevel="0" collapsed="false">
      <c r="A97" s="30" t="n">
        <v>45444</v>
      </c>
      <c r="B97" s="31" t="s">
        <v>153</v>
      </c>
      <c r="C97" s="32"/>
      <c r="D97" s="32"/>
      <c r="E97" s="19" t="n">
        <f aca="false">+F97*0.03</f>
        <v>0</v>
      </c>
      <c r="F97" s="33" t="n">
        <v>0</v>
      </c>
      <c r="G97" s="62"/>
      <c r="H97" s="35" t="n">
        <v>0</v>
      </c>
      <c r="I97" s="34" t="n">
        <f aca="false">+IF(E97=0,0,E97*0.03)</f>
        <v>0</v>
      </c>
    </row>
    <row r="98" customFormat="false" ht="15.75" hidden="false" customHeight="true" outlineLevel="0" collapsed="false">
      <c r="A98" s="30" t="n">
        <v>45444</v>
      </c>
      <c r="B98" s="31" t="s">
        <v>153</v>
      </c>
      <c r="C98" s="32"/>
      <c r="D98" s="32"/>
      <c r="E98" s="19" t="n">
        <f aca="false">+F98*0.03</f>
        <v>0</v>
      </c>
      <c r="F98" s="33" t="n">
        <v>0</v>
      </c>
      <c r="G98" s="62"/>
      <c r="H98" s="35" t="n">
        <v>0</v>
      </c>
      <c r="I98" s="34" t="n">
        <f aca="false">+IF(E98=0,0,E98*0.03)</f>
        <v>0</v>
      </c>
    </row>
    <row r="99" customFormat="false" ht="15.75" hidden="false" customHeight="true" outlineLevel="0" collapsed="false">
      <c r="A99" s="30" t="n">
        <v>45444</v>
      </c>
      <c r="B99" s="31" t="s">
        <v>153</v>
      </c>
      <c r="C99" s="32"/>
      <c r="D99" s="32"/>
      <c r="E99" s="19" t="n">
        <f aca="false">+F99*0.03</f>
        <v>0</v>
      </c>
      <c r="F99" s="33" t="n">
        <v>0</v>
      </c>
      <c r="G99" s="62"/>
      <c r="H99" s="35" t="n">
        <v>0</v>
      </c>
      <c r="I99" s="34" t="n">
        <f aca="false">+IF(E99=0,0,E99*0.03)</f>
        <v>0</v>
      </c>
    </row>
    <row r="100" customFormat="false" ht="15.75" hidden="false" customHeight="true" outlineLevel="0" collapsed="false">
      <c r="A100" s="30" t="n">
        <v>45444</v>
      </c>
      <c r="B100" s="31" t="s">
        <v>153</v>
      </c>
      <c r="C100" s="32"/>
      <c r="D100" s="32"/>
      <c r="E100" s="19" t="n">
        <f aca="false">+F100*0.03</f>
        <v>0</v>
      </c>
      <c r="F100" s="33" t="n">
        <v>0</v>
      </c>
      <c r="G100" s="62"/>
      <c r="H100" s="35" t="n">
        <v>0</v>
      </c>
      <c r="I100" s="34" t="n">
        <f aca="false">+IF(E100=0,0,E100*0.03)</f>
        <v>0</v>
      </c>
    </row>
    <row r="101" customFormat="false" ht="15.75" hidden="false" customHeight="true" outlineLevel="0" collapsed="false">
      <c r="A101" s="30" t="n">
        <v>45444</v>
      </c>
      <c r="B101" s="31" t="s">
        <v>153</v>
      </c>
      <c r="C101" s="32"/>
      <c r="D101" s="32"/>
      <c r="E101" s="19" t="n">
        <f aca="false">+F101*0.03</f>
        <v>0</v>
      </c>
      <c r="F101" s="33" t="n">
        <v>0</v>
      </c>
      <c r="G101" s="62"/>
      <c r="H101" s="35" t="n">
        <v>0</v>
      </c>
      <c r="I101" s="34" t="n">
        <f aca="false">+IF(E101=0,0,E101*0.03)</f>
        <v>0</v>
      </c>
    </row>
    <row r="102" customFormat="false" ht="15.75" hidden="false" customHeight="true" outlineLevel="0" collapsed="false">
      <c r="A102" s="30" t="n">
        <v>45444</v>
      </c>
      <c r="B102" s="31" t="s">
        <v>153</v>
      </c>
      <c r="C102" s="32"/>
      <c r="D102" s="32"/>
      <c r="E102" s="19" t="n">
        <f aca="false">+F102*0.03</f>
        <v>0</v>
      </c>
      <c r="F102" s="33" t="n">
        <v>0</v>
      </c>
      <c r="G102" s="62"/>
      <c r="H102" s="35" t="n">
        <v>0</v>
      </c>
      <c r="I102" s="34" t="n">
        <f aca="false">+IF(E102=0,0,E102*0.03)</f>
        <v>0</v>
      </c>
    </row>
    <row r="103" customFormat="false" ht="15.75" hidden="false" customHeight="true" outlineLevel="0" collapsed="false">
      <c r="A103" s="30" t="n">
        <v>45444</v>
      </c>
      <c r="B103" s="31" t="s">
        <v>153</v>
      </c>
      <c r="C103" s="32"/>
      <c r="D103" s="32"/>
      <c r="E103" s="19" t="n">
        <f aca="false">+F103*0.03</f>
        <v>0</v>
      </c>
      <c r="F103" s="33" t="n">
        <v>0</v>
      </c>
      <c r="G103" s="62"/>
      <c r="H103" s="35" t="n">
        <v>0</v>
      </c>
      <c r="I103" s="34" t="n">
        <f aca="false">+IF(E103=0,0,E103*0.03)</f>
        <v>0</v>
      </c>
    </row>
    <row r="104" customFormat="false" ht="15.75" hidden="false" customHeight="true" outlineLevel="0" collapsed="false">
      <c r="A104" s="30" t="n">
        <v>45444</v>
      </c>
      <c r="B104" s="31" t="s">
        <v>153</v>
      </c>
      <c r="C104" s="32"/>
      <c r="D104" s="32"/>
      <c r="E104" s="19" t="n">
        <f aca="false">+F104*0.03</f>
        <v>0</v>
      </c>
      <c r="F104" s="33" t="n">
        <v>0</v>
      </c>
      <c r="G104" s="62"/>
      <c r="H104" s="35" t="n">
        <v>0</v>
      </c>
      <c r="I104" s="34" t="n">
        <f aca="false">+IF(E104=0,0,E104*0.03)</f>
        <v>0</v>
      </c>
    </row>
    <row r="105" customFormat="false" ht="15.75" hidden="false" customHeight="true" outlineLevel="0" collapsed="false">
      <c r="A105" s="30" t="n">
        <v>45444</v>
      </c>
      <c r="B105" s="31" t="s">
        <v>153</v>
      </c>
      <c r="C105" s="32"/>
      <c r="D105" s="32"/>
      <c r="E105" s="19" t="n">
        <f aca="false">+F105*0.03</f>
        <v>0</v>
      </c>
      <c r="F105" s="33" t="n">
        <v>0</v>
      </c>
      <c r="G105" s="62"/>
      <c r="H105" s="35" t="n">
        <v>0</v>
      </c>
      <c r="I105" s="34" t="n">
        <f aca="false">+IF(E105=0,0,E105*0.03)</f>
        <v>0</v>
      </c>
    </row>
    <row r="106" customFormat="false" ht="15.75" hidden="false" customHeight="true" outlineLevel="0" collapsed="false">
      <c r="A106" s="30" t="n">
        <v>45444</v>
      </c>
      <c r="B106" s="31" t="s">
        <v>153</v>
      </c>
      <c r="C106" s="32"/>
      <c r="D106" s="32"/>
      <c r="E106" s="19" t="n">
        <f aca="false">+F106*0.03</f>
        <v>0</v>
      </c>
      <c r="F106" s="33" t="n">
        <v>0</v>
      </c>
      <c r="G106" s="62"/>
      <c r="H106" s="35" t="n">
        <v>0</v>
      </c>
      <c r="I106" s="34" t="n">
        <f aca="false">+IF(E106=0,0,E106*0.03)</f>
        <v>0</v>
      </c>
    </row>
    <row r="107" customFormat="false" ht="15.75" hidden="false" customHeight="true" outlineLevel="0" collapsed="false">
      <c r="A107" s="30" t="n">
        <v>45444</v>
      </c>
      <c r="B107" s="31" t="s">
        <v>153</v>
      </c>
      <c r="C107" s="32"/>
      <c r="D107" s="32"/>
      <c r="E107" s="19" t="n">
        <f aca="false">+F107*0.03</f>
        <v>0</v>
      </c>
      <c r="F107" s="33" t="n">
        <v>0</v>
      </c>
      <c r="G107" s="62"/>
      <c r="H107" s="35" t="n">
        <v>0</v>
      </c>
      <c r="I107" s="34" t="n">
        <f aca="false">+IF(E107=0,0,E107*0.03)</f>
        <v>0</v>
      </c>
    </row>
    <row r="108" customFormat="false" ht="15.75" hidden="false" customHeight="true" outlineLevel="0" collapsed="false">
      <c r="A108" s="30" t="n">
        <v>45444</v>
      </c>
      <c r="B108" s="31" t="s">
        <v>153</v>
      </c>
      <c r="C108" s="32"/>
      <c r="D108" s="32"/>
      <c r="E108" s="19" t="n">
        <f aca="false">+F108*0.03</f>
        <v>0</v>
      </c>
      <c r="F108" s="33" t="n">
        <v>0</v>
      </c>
      <c r="G108" s="62"/>
      <c r="H108" s="35" t="n">
        <v>0</v>
      </c>
      <c r="I108" s="34" t="n">
        <f aca="false">+IF(E108=0,0,E108*0.03)</f>
        <v>0</v>
      </c>
    </row>
    <row r="109" customFormat="false" ht="15.75" hidden="false" customHeight="true" outlineLevel="0" collapsed="false">
      <c r="A109" s="30" t="n">
        <v>45444</v>
      </c>
      <c r="B109" s="31" t="s">
        <v>153</v>
      </c>
      <c r="C109" s="32"/>
      <c r="D109" s="32"/>
      <c r="E109" s="19" t="n">
        <f aca="false">+F109*0.03</f>
        <v>0</v>
      </c>
      <c r="F109" s="33" t="n">
        <v>0</v>
      </c>
      <c r="G109" s="62"/>
      <c r="H109" s="35" t="n">
        <v>0</v>
      </c>
      <c r="I109" s="34" t="n">
        <f aca="false">+IF(E109=0,0,E109*0.03)</f>
        <v>0</v>
      </c>
    </row>
    <row r="110" customFormat="false" ht="15.75" hidden="false" customHeight="true" outlineLevel="0" collapsed="false">
      <c r="A110" s="30" t="n">
        <v>45444</v>
      </c>
      <c r="B110" s="31" t="s">
        <v>153</v>
      </c>
      <c r="C110" s="32"/>
      <c r="D110" s="32"/>
      <c r="E110" s="19" t="n">
        <f aca="false">+F110*0.03</f>
        <v>0</v>
      </c>
      <c r="F110" s="33" t="n">
        <v>0</v>
      </c>
      <c r="G110" s="62"/>
      <c r="H110" s="35" t="n">
        <v>0</v>
      </c>
      <c r="I110" s="34" t="n">
        <f aca="false">+IF(E110=0,0,E110*0.03)</f>
        <v>0</v>
      </c>
    </row>
    <row r="111" customFormat="false" ht="15.75" hidden="false" customHeight="true" outlineLevel="0" collapsed="false">
      <c r="A111" s="30" t="n">
        <v>45444</v>
      </c>
      <c r="B111" s="31" t="s">
        <v>153</v>
      </c>
      <c r="C111" s="32"/>
      <c r="D111" s="32"/>
      <c r="E111" s="19" t="n">
        <f aca="false">+F111*0.03</f>
        <v>0</v>
      </c>
      <c r="F111" s="33" t="n">
        <v>0</v>
      </c>
      <c r="G111" s="62"/>
      <c r="H111" s="35" t="n">
        <v>0</v>
      </c>
      <c r="I111" s="34" t="n">
        <f aca="false">+IF(E111=0,0,E111*0.03)</f>
        <v>0</v>
      </c>
    </row>
    <row r="112" customFormat="false" ht="15.75" hidden="false" customHeight="true" outlineLevel="0" collapsed="false">
      <c r="A112" s="30" t="n">
        <v>45444</v>
      </c>
      <c r="B112" s="31" t="s">
        <v>153</v>
      </c>
      <c r="C112" s="32"/>
      <c r="D112" s="32"/>
      <c r="E112" s="19" t="n">
        <f aca="false">+F112*0.03</f>
        <v>0</v>
      </c>
      <c r="F112" s="33" t="n">
        <v>0</v>
      </c>
      <c r="G112" s="62"/>
      <c r="H112" s="35" t="n">
        <v>0</v>
      </c>
      <c r="I112" s="34" t="n">
        <f aca="false">+IF(E112=0,0,E112*0.03)</f>
        <v>0</v>
      </c>
    </row>
    <row r="113" customFormat="false" ht="15.75" hidden="false" customHeight="true" outlineLevel="0" collapsed="false">
      <c r="A113" s="30" t="n">
        <v>45444</v>
      </c>
      <c r="B113" s="31" t="s">
        <v>153</v>
      </c>
      <c r="C113" s="32"/>
      <c r="D113" s="32"/>
      <c r="E113" s="19" t="n">
        <f aca="false">+F113*0.03</f>
        <v>0</v>
      </c>
      <c r="F113" s="33" t="n">
        <v>0</v>
      </c>
      <c r="G113" s="62"/>
      <c r="H113" s="35" t="n">
        <v>0</v>
      </c>
      <c r="I113" s="34" t="n">
        <f aca="false">+IF(E113=0,0,E113*0.03)</f>
        <v>0</v>
      </c>
    </row>
    <row r="114" customFormat="false" ht="15.75" hidden="false" customHeight="true" outlineLevel="0" collapsed="false">
      <c r="A114" s="30" t="n">
        <v>45444</v>
      </c>
      <c r="B114" s="31" t="s">
        <v>153</v>
      </c>
      <c r="C114" s="32"/>
      <c r="D114" s="32"/>
      <c r="E114" s="19" t="n">
        <f aca="false">+F114*0.03</f>
        <v>0</v>
      </c>
      <c r="F114" s="33" t="n">
        <v>0</v>
      </c>
      <c r="G114" s="62"/>
      <c r="H114" s="35" t="n">
        <v>0</v>
      </c>
      <c r="I114" s="34" t="n">
        <f aca="false">+IF(E114=0,0,E114*0.03)</f>
        <v>0</v>
      </c>
    </row>
    <row r="115" customFormat="false" ht="15.75" hidden="false" customHeight="true" outlineLevel="0" collapsed="false">
      <c r="A115" s="30" t="n">
        <v>45444</v>
      </c>
      <c r="B115" s="31" t="s">
        <v>153</v>
      </c>
      <c r="C115" s="32"/>
      <c r="D115" s="32"/>
      <c r="E115" s="19" t="n">
        <f aca="false">+F115*0.03</f>
        <v>0</v>
      </c>
      <c r="F115" s="33" t="n">
        <v>0</v>
      </c>
      <c r="G115" s="62"/>
      <c r="H115" s="35" t="n">
        <v>0</v>
      </c>
      <c r="I115" s="34" t="n">
        <f aca="false">+IF(E115=0,0,E115*0.03)</f>
        <v>0</v>
      </c>
    </row>
    <row r="116" customFormat="false" ht="15.75" hidden="false" customHeight="true" outlineLevel="0" collapsed="false">
      <c r="A116" s="30" t="n">
        <v>45444</v>
      </c>
      <c r="B116" s="31" t="s">
        <v>153</v>
      </c>
      <c r="C116" s="32"/>
      <c r="D116" s="32"/>
      <c r="E116" s="19" t="n">
        <f aca="false">+F116*0.03</f>
        <v>0</v>
      </c>
      <c r="F116" s="33" t="n">
        <v>0</v>
      </c>
      <c r="G116" s="62"/>
      <c r="H116" s="35" t="n">
        <v>0</v>
      </c>
      <c r="I116" s="34" t="n">
        <f aca="false">+IF(E116=0,0,E116*0.03)</f>
        <v>0</v>
      </c>
    </row>
    <row r="117" customFormat="false" ht="15.75" hidden="false" customHeight="true" outlineLevel="0" collapsed="false">
      <c r="A117" s="30" t="n">
        <v>45444</v>
      </c>
      <c r="B117" s="31" t="s">
        <v>153</v>
      </c>
      <c r="C117" s="32"/>
      <c r="D117" s="32"/>
      <c r="E117" s="19" t="n">
        <f aca="false">+F117*0.03</f>
        <v>0</v>
      </c>
      <c r="F117" s="33" t="n">
        <v>0</v>
      </c>
      <c r="G117" s="62"/>
      <c r="H117" s="35" t="n">
        <v>0</v>
      </c>
      <c r="I117" s="34" t="n">
        <f aca="false">+IF(E117=0,0,E117*0.03)</f>
        <v>0</v>
      </c>
    </row>
    <row r="118" customFormat="false" ht="15.75" hidden="false" customHeight="true" outlineLevel="0" collapsed="false">
      <c r="A118" s="30" t="n">
        <v>45444</v>
      </c>
      <c r="B118" s="31" t="s">
        <v>153</v>
      </c>
      <c r="C118" s="32"/>
      <c r="D118" s="32"/>
      <c r="E118" s="19" t="n">
        <f aca="false">+F118*0.03</f>
        <v>0</v>
      </c>
      <c r="F118" s="33" t="n">
        <v>0</v>
      </c>
      <c r="G118" s="62"/>
      <c r="H118" s="35" t="n">
        <v>0</v>
      </c>
      <c r="I118" s="34" t="n">
        <f aca="false">+IF(E118=0,0,E118*0.03)</f>
        <v>0</v>
      </c>
    </row>
    <row r="119" customFormat="false" ht="15.75" hidden="false" customHeight="true" outlineLevel="0" collapsed="false">
      <c r="A119" s="30" t="n">
        <v>45444</v>
      </c>
      <c r="B119" s="31" t="s">
        <v>153</v>
      </c>
      <c r="C119" s="32"/>
      <c r="D119" s="32"/>
      <c r="E119" s="19" t="n">
        <f aca="false">+F119*0.03</f>
        <v>0</v>
      </c>
      <c r="F119" s="33" t="n">
        <v>0</v>
      </c>
      <c r="G119" s="62"/>
      <c r="H119" s="35" t="n">
        <v>0</v>
      </c>
      <c r="I119" s="34" t="n">
        <f aca="false">+IF(E119=0,0,E119*0.03)</f>
        <v>0</v>
      </c>
    </row>
    <row r="120" customFormat="false" ht="15.75" hidden="false" customHeight="true" outlineLevel="0" collapsed="false">
      <c r="A120" s="30" t="n">
        <v>45444</v>
      </c>
      <c r="B120" s="31" t="s">
        <v>153</v>
      </c>
      <c r="C120" s="32"/>
      <c r="D120" s="32"/>
      <c r="E120" s="19" t="n">
        <f aca="false">+F120*0.03</f>
        <v>0</v>
      </c>
      <c r="F120" s="33" t="n">
        <v>0</v>
      </c>
      <c r="G120" s="62"/>
      <c r="H120" s="35" t="n">
        <v>0</v>
      </c>
      <c r="I120" s="34" t="n">
        <f aca="false">+IF(E120=0,0,E120*0.03)</f>
        <v>0</v>
      </c>
    </row>
    <row r="121" customFormat="false" ht="15.75" hidden="false" customHeight="true" outlineLevel="0" collapsed="false">
      <c r="A121" s="30" t="n">
        <v>45444</v>
      </c>
      <c r="B121" s="31" t="s">
        <v>153</v>
      </c>
      <c r="C121" s="32"/>
      <c r="D121" s="32"/>
      <c r="E121" s="19" t="n">
        <f aca="false">+F121*0.03</f>
        <v>0</v>
      </c>
      <c r="F121" s="33" t="n">
        <v>0</v>
      </c>
      <c r="G121" s="62"/>
      <c r="H121" s="35" t="n">
        <v>0</v>
      </c>
      <c r="I121" s="34" t="n">
        <f aca="false">+IF(E121=0,0,E121*0.03)</f>
        <v>0</v>
      </c>
    </row>
    <row r="122" customFormat="false" ht="15.75" hidden="false" customHeight="true" outlineLevel="0" collapsed="false">
      <c r="A122" s="30" t="n">
        <v>45444</v>
      </c>
      <c r="B122" s="31" t="s">
        <v>153</v>
      </c>
      <c r="C122" s="32"/>
      <c r="D122" s="32"/>
      <c r="E122" s="19" t="n">
        <f aca="false">+F122*0.03</f>
        <v>0</v>
      </c>
      <c r="F122" s="33" t="n">
        <v>0</v>
      </c>
      <c r="G122" s="62"/>
      <c r="H122" s="35" t="n">
        <v>0</v>
      </c>
      <c r="I122" s="34" t="n">
        <f aca="false">+IF(E122=0,0,E122*0.03)</f>
        <v>0</v>
      </c>
    </row>
    <row r="123" customFormat="false" ht="15.75" hidden="false" customHeight="true" outlineLevel="0" collapsed="false">
      <c r="A123" s="30" t="n">
        <v>45444</v>
      </c>
      <c r="B123" s="31" t="s">
        <v>153</v>
      </c>
      <c r="C123" s="32"/>
      <c r="D123" s="32"/>
      <c r="E123" s="19" t="n">
        <f aca="false">+F123*0.03</f>
        <v>0</v>
      </c>
      <c r="F123" s="33" t="n">
        <v>0</v>
      </c>
      <c r="G123" s="62"/>
      <c r="H123" s="35" t="n">
        <v>0</v>
      </c>
      <c r="I123" s="34" t="n">
        <f aca="false">+IF(E123=0,0,E123*0.03)</f>
        <v>0</v>
      </c>
    </row>
    <row r="124" customFormat="false" ht="15.75" hidden="false" customHeight="true" outlineLevel="0" collapsed="false">
      <c r="A124" s="30" t="n">
        <v>45444</v>
      </c>
      <c r="B124" s="31" t="s">
        <v>153</v>
      </c>
      <c r="C124" s="32"/>
      <c r="D124" s="32"/>
      <c r="E124" s="19" t="n">
        <f aca="false">+F124*0.03</f>
        <v>0</v>
      </c>
      <c r="F124" s="33" t="n">
        <v>0</v>
      </c>
      <c r="G124" s="62"/>
      <c r="H124" s="35" t="n">
        <v>0</v>
      </c>
      <c r="I124" s="34" t="n">
        <f aca="false">+IF(E124=0,0,E124*0.03)</f>
        <v>0</v>
      </c>
    </row>
    <row r="125" customFormat="false" ht="15.75" hidden="false" customHeight="true" outlineLevel="0" collapsed="false">
      <c r="A125" s="30" t="n">
        <v>45444</v>
      </c>
      <c r="B125" s="31" t="s">
        <v>153</v>
      </c>
      <c r="C125" s="32"/>
      <c r="D125" s="32"/>
      <c r="E125" s="19" t="n">
        <f aca="false">+F125*0.03</f>
        <v>0</v>
      </c>
      <c r="F125" s="33" t="n">
        <v>0</v>
      </c>
      <c r="G125" s="62"/>
      <c r="H125" s="35" t="n">
        <v>0</v>
      </c>
      <c r="I125" s="34" t="n">
        <f aca="false">+IF(E125=0,0,E125*0.03)</f>
        <v>0</v>
      </c>
    </row>
    <row r="126" customFormat="false" ht="15.75" hidden="false" customHeight="true" outlineLevel="0" collapsed="false">
      <c r="A126" s="30" t="n">
        <v>45444</v>
      </c>
      <c r="B126" s="31" t="s">
        <v>153</v>
      </c>
      <c r="C126" s="32"/>
      <c r="D126" s="32"/>
      <c r="E126" s="19" t="n">
        <f aca="false">+F126*0.03</f>
        <v>0</v>
      </c>
      <c r="F126" s="33" t="n">
        <v>0</v>
      </c>
      <c r="G126" s="62"/>
      <c r="H126" s="35" t="n">
        <v>0</v>
      </c>
      <c r="I126" s="34" t="n">
        <f aca="false">+IF(E126=0,0,E126*0.03)</f>
        <v>0</v>
      </c>
    </row>
    <row r="127" customFormat="false" ht="15.75" hidden="false" customHeight="true" outlineLevel="0" collapsed="false">
      <c r="A127" s="30" t="n">
        <v>45444</v>
      </c>
      <c r="B127" s="31" t="s">
        <v>153</v>
      </c>
      <c r="C127" s="32"/>
      <c r="D127" s="32"/>
      <c r="E127" s="19" t="n">
        <f aca="false">+F127*0.03</f>
        <v>0</v>
      </c>
      <c r="F127" s="33" t="n">
        <v>0</v>
      </c>
      <c r="G127" s="62"/>
      <c r="H127" s="35" t="n">
        <v>0</v>
      </c>
      <c r="I127" s="34" t="n">
        <f aca="false">+IF(E127=0,0,E127*0.03)</f>
        <v>0</v>
      </c>
    </row>
    <row r="128" customFormat="false" ht="15.75" hidden="false" customHeight="true" outlineLevel="0" collapsed="false">
      <c r="A128" s="30" t="n">
        <v>45444</v>
      </c>
      <c r="B128" s="31" t="s">
        <v>153</v>
      </c>
      <c r="C128" s="32"/>
      <c r="D128" s="32"/>
      <c r="E128" s="19" t="n">
        <f aca="false">+F128*0.03</f>
        <v>0</v>
      </c>
      <c r="F128" s="33" t="n">
        <v>0</v>
      </c>
      <c r="G128" s="62"/>
      <c r="H128" s="35" t="n">
        <v>0</v>
      </c>
      <c r="I128" s="34" t="n">
        <f aca="false">+IF(E128=0,0,E128*0.03)</f>
        <v>0</v>
      </c>
    </row>
    <row r="129" customFormat="false" ht="15.75" hidden="false" customHeight="true" outlineLevel="0" collapsed="false">
      <c r="A129" s="30" t="n">
        <v>45444</v>
      </c>
      <c r="B129" s="31" t="s">
        <v>153</v>
      </c>
      <c r="C129" s="32"/>
      <c r="D129" s="32"/>
      <c r="E129" s="19" t="n">
        <f aca="false">+F129*0.03</f>
        <v>0</v>
      </c>
      <c r="F129" s="33" t="n">
        <v>0</v>
      </c>
      <c r="G129" s="62"/>
      <c r="H129" s="35" t="n">
        <v>0</v>
      </c>
      <c r="I129" s="34" t="n">
        <f aca="false">+IF(E129=0,0,E129*0.03)</f>
        <v>0</v>
      </c>
    </row>
    <row r="130" customFormat="false" ht="15.75" hidden="false" customHeight="true" outlineLevel="0" collapsed="false">
      <c r="A130" s="30" t="n">
        <v>45444</v>
      </c>
      <c r="B130" s="31" t="s">
        <v>153</v>
      </c>
      <c r="C130" s="32"/>
      <c r="D130" s="32"/>
      <c r="E130" s="19" t="n">
        <f aca="false">+F130*0.03</f>
        <v>0</v>
      </c>
      <c r="F130" s="33" t="n">
        <v>0</v>
      </c>
      <c r="G130" s="62"/>
      <c r="H130" s="35" t="n">
        <v>0</v>
      </c>
      <c r="I130" s="34" t="n">
        <f aca="false">+IF(E130=0,0,E130*0.03)</f>
        <v>0</v>
      </c>
    </row>
    <row r="131" customFormat="false" ht="15.75" hidden="false" customHeight="true" outlineLevel="0" collapsed="false">
      <c r="A131" s="30" t="n">
        <v>45444</v>
      </c>
      <c r="B131" s="31" t="s">
        <v>153</v>
      </c>
      <c r="C131" s="32"/>
      <c r="D131" s="32"/>
      <c r="E131" s="19" t="n">
        <f aca="false">+F131*0.03</f>
        <v>0</v>
      </c>
      <c r="F131" s="33" t="n">
        <v>0</v>
      </c>
      <c r="G131" s="62"/>
      <c r="H131" s="35" t="n">
        <v>0</v>
      </c>
      <c r="I131" s="34" t="n">
        <f aca="false">+IF(E131=0,0,E131*0.03)</f>
        <v>0</v>
      </c>
    </row>
    <row r="132" customFormat="false" ht="15.75" hidden="false" customHeight="true" outlineLevel="0" collapsed="false">
      <c r="A132" s="30" t="n">
        <v>45444</v>
      </c>
      <c r="B132" s="31" t="s">
        <v>153</v>
      </c>
      <c r="C132" s="32"/>
      <c r="D132" s="32"/>
      <c r="E132" s="19" t="n">
        <f aca="false">+F132*0.03</f>
        <v>0</v>
      </c>
      <c r="F132" s="33" t="n">
        <v>0</v>
      </c>
      <c r="G132" s="62"/>
      <c r="H132" s="35" t="n">
        <v>0</v>
      </c>
      <c r="I132" s="34" t="n">
        <f aca="false">+IF(E132=0,0,E132*0.03)</f>
        <v>0</v>
      </c>
    </row>
    <row r="133" customFormat="false" ht="15.75" hidden="false" customHeight="true" outlineLevel="0" collapsed="false">
      <c r="A133" s="30" t="n">
        <v>45444</v>
      </c>
      <c r="B133" s="31" t="s">
        <v>153</v>
      </c>
      <c r="C133" s="32"/>
      <c r="D133" s="32"/>
      <c r="E133" s="19" t="n">
        <f aca="false">+F133*0.03</f>
        <v>0</v>
      </c>
      <c r="F133" s="33" t="n">
        <v>0</v>
      </c>
      <c r="G133" s="62"/>
      <c r="H133" s="35" t="n">
        <v>0</v>
      </c>
      <c r="I133" s="34" t="n">
        <f aca="false">+IF(E133=0,0,E133*0.03)</f>
        <v>0</v>
      </c>
    </row>
    <row r="134" customFormat="false" ht="15.75" hidden="false" customHeight="true" outlineLevel="0" collapsed="false">
      <c r="A134" s="30" t="n">
        <v>45444</v>
      </c>
      <c r="B134" s="31" t="s">
        <v>153</v>
      </c>
      <c r="C134" s="32"/>
      <c r="D134" s="32"/>
      <c r="E134" s="19" t="n">
        <f aca="false">+F134*0.03</f>
        <v>0</v>
      </c>
      <c r="F134" s="33" t="n">
        <v>0</v>
      </c>
      <c r="G134" s="62"/>
      <c r="H134" s="35" t="n">
        <v>0</v>
      </c>
      <c r="I134" s="34" t="n">
        <f aca="false">+IF(E134=0,0,E134*0.03)</f>
        <v>0</v>
      </c>
    </row>
    <row r="135" customFormat="false" ht="15.75" hidden="false" customHeight="true" outlineLevel="0" collapsed="false">
      <c r="A135" s="30" t="n">
        <v>45444</v>
      </c>
      <c r="B135" s="31" t="s">
        <v>153</v>
      </c>
      <c r="C135" s="32"/>
      <c r="D135" s="32"/>
      <c r="E135" s="19" t="n">
        <f aca="false">+F135*0.03</f>
        <v>0</v>
      </c>
      <c r="F135" s="33" t="n">
        <v>0</v>
      </c>
      <c r="G135" s="62"/>
      <c r="H135" s="35" t="n">
        <v>0</v>
      </c>
      <c r="I135" s="34" t="n">
        <f aca="false">+IF(E135=0,0,E135*0.03)</f>
        <v>0</v>
      </c>
    </row>
    <row r="136" customFormat="false" ht="15.75" hidden="false" customHeight="true" outlineLevel="0" collapsed="false">
      <c r="A136" s="30" t="n">
        <v>45444</v>
      </c>
      <c r="B136" s="31" t="s">
        <v>153</v>
      </c>
      <c r="C136" s="32"/>
      <c r="D136" s="32"/>
      <c r="E136" s="19" t="n">
        <f aca="false">+F136*0.03</f>
        <v>0</v>
      </c>
      <c r="F136" s="33" t="n">
        <v>0</v>
      </c>
      <c r="G136" s="62"/>
      <c r="H136" s="35" t="n">
        <v>0</v>
      </c>
      <c r="I136" s="34" t="n">
        <f aca="false">+IF(E136=0,0,E136*0.03)</f>
        <v>0</v>
      </c>
    </row>
    <row r="137" customFormat="false" ht="15.75" hidden="false" customHeight="true" outlineLevel="0" collapsed="false">
      <c r="A137" s="30" t="n">
        <v>45444</v>
      </c>
      <c r="B137" s="31" t="s">
        <v>153</v>
      </c>
      <c r="C137" s="32"/>
      <c r="D137" s="32"/>
      <c r="E137" s="19" t="n">
        <f aca="false">+F137*0.03</f>
        <v>0</v>
      </c>
      <c r="F137" s="33" t="n">
        <v>0</v>
      </c>
      <c r="G137" s="62"/>
      <c r="H137" s="35" t="n">
        <v>0</v>
      </c>
      <c r="I137" s="34" t="n">
        <f aca="false">+IF(E137=0,0,E137*0.03)</f>
        <v>0</v>
      </c>
    </row>
    <row r="138" customFormat="false" ht="15.75" hidden="false" customHeight="true" outlineLevel="0" collapsed="false">
      <c r="A138" s="30" t="n">
        <v>45444</v>
      </c>
      <c r="B138" s="31" t="s">
        <v>153</v>
      </c>
      <c r="C138" s="32"/>
      <c r="D138" s="32"/>
      <c r="E138" s="19" t="n">
        <f aca="false">+F138*0.03</f>
        <v>0</v>
      </c>
      <c r="F138" s="33" t="n">
        <v>0</v>
      </c>
      <c r="G138" s="62"/>
      <c r="H138" s="35" t="n">
        <v>0</v>
      </c>
      <c r="I138" s="34" t="n">
        <f aca="false">+IF(E138=0,0,E138*0.03)</f>
        <v>0</v>
      </c>
    </row>
    <row r="139" customFormat="false" ht="15.75" hidden="false" customHeight="true" outlineLevel="0" collapsed="false">
      <c r="A139" s="30" t="n">
        <v>45444</v>
      </c>
      <c r="B139" s="31" t="s">
        <v>153</v>
      </c>
      <c r="C139" s="32"/>
      <c r="D139" s="32"/>
      <c r="E139" s="19" t="n">
        <f aca="false">+F139*0.03</f>
        <v>0</v>
      </c>
      <c r="F139" s="33" t="n">
        <v>0</v>
      </c>
      <c r="G139" s="62"/>
      <c r="H139" s="35" t="n">
        <v>0</v>
      </c>
      <c r="I139" s="34" t="n">
        <f aca="false">+IF(E139=0,0,E139*0.03)</f>
        <v>0</v>
      </c>
    </row>
    <row r="140" customFormat="false" ht="15.75" hidden="false" customHeight="true" outlineLevel="0" collapsed="false">
      <c r="A140" s="30" t="n">
        <v>45444</v>
      </c>
      <c r="B140" s="31" t="s">
        <v>153</v>
      </c>
      <c r="C140" s="32"/>
      <c r="D140" s="32"/>
      <c r="E140" s="19" t="n">
        <f aca="false">+F140*0.03</f>
        <v>0</v>
      </c>
      <c r="F140" s="33" t="n">
        <v>0</v>
      </c>
      <c r="G140" s="62"/>
      <c r="H140" s="35" t="n">
        <v>0</v>
      </c>
      <c r="I140" s="34" t="n">
        <f aca="false">+IF(E140=0,0,E140*0.03)</f>
        <v>0</v>
      </c>
    </row>
    <row r="141" customFormat="false" ht="15.75" hidden="false" customHeight="true" outlineLevel="0" collapsed="false">
      <c r="A141" s="30" t="n">
        <v>45444</v>
      </c>
      <c r="B141" s="31" t="s">
        <v>153</v>
      </c>
      <c r="C141" s="32"/>
      <c r="D141" s="32"/>
      <c r="E141" s="19" t="n">
        <f aca="false">+F141*0.03</f>
        <v>0</v>
      </c>
      <c r="F141" s="33" t="n">
        <v>0</v>
      </c>
      <c r="G141" s="62"/>
      <c r="H141" s="35" t="n">
        <v>0</v>
      </c>
      <c r="I141" s="34" t="n">
        <f aca="false">+IF(E141=0,0,E141*0.03)</f>
        <v>0</v>
      </c>
    </row>
    <row r="142" customFormat="false" ht="15.75" hidden="false" customHeight="true" outlineLevel="0" collapsed="false">
      <c r="A142" s="30" t="n">
        <v>45444</v>
      </c>
      <c r="B142" s="31" t="s">
        <v>153</v>
      </c>
      <c r="C142" s="32"/>
      <c r="D142" s="32"/>
      <c r="E142" s="19" t="n">
        <f aca="false">+F142*0.03</f>
        <v>0</v>
      </c>
      <c r="F142" s="33" t="n">
        <v>0</v>
      </c>
      <c r="G142" s="62"/>
      <c r="H142" s="35" t="n">
        <v>0</v>
      </c>
      <c r="I142" s="34" t="n">
        <f aca="false">+IF(E142=0,0,E142*0.03)</f>
        <v>0</v>
      </c>
    </row>
    <row r="143" customFormat="false" ht="15.75" hidden="false" customHeight="true" outlineLevel="0" collapsed="false">
      <c r="A143" s="30" t="n">
        <v>45444</v>
      </c>
      <c r="B143" s="31" t="s">
        <v>153</v>
      </c>
      <c r="C143" s="32"/>
      <c r="D143" s="32"/>
      <c r="E143" s="19" t="n">
        <f aca="false">+F143*0.03</f>
        <v>0</v>
      </c>
      <c r="F143" s="33" t="n">
        <v>0</v>
      </c>
      <c r="G143" s="62"/>
      <c r="H143" s="35" t="n">
        <v>0</v>
      </c>
      <c r="I143" s="34" t="n">
        <f aca="false">+IF(E143=0,0,E143*0.03)</f>
        <v>0</v>
      </c>
    </row>
    <row r="144" customFormat="false" ht="15.75" hidden="false" customHeight="true" outlineLevel="0" collapsed="false">
      <c r="A144" s="30" t="n">
        <v>45444</v>
      </c>
      <c r="B144" s="31" t="s">
        <v>153</v>
      </c>
      <c r="C144" s="32"/>
      <c r="D144" s="32"/>
      <c r="E144" s="19" t="n">
        <f aca="false">+F144*0.03</f>
        <v>0</v>
      </c>
      <c r="F144" s="33" t="n">
        <v>0</v>
      </c>
      <c r="G144" s="62"/>
      <c r="H144" s="35" t="n">
        <v>0</v>
      </c>
      <c r="I144" s="34" t="n">
        <f aca="false">+IF(E144=0,0,E144*0.03)</f>
        <v>0</v>
      </c>
    </row>
    <row r="145" customFormat="false" ht="15.75" hidden="false" customHeight="true" outlineLevel="0" collapsed="false">
      <c r="A145" s="30" t="n">
        <v>45444</v>
      </c>
      <c r="B145" s="31" t="s">
        <v>153</v>
      </c>
      <c r="C145" s="32"/>
      <c r="D145" s="32"/>
      <c r="E145" s="19" t="n">
        <f aca="false">+F145*0.03</f>
        <v>0</v>
      </c>
      <c r="F145" s="33" t="n">
        <v>0</v>
      </c>
      <c r="G145" s="62"/>
      <c r="H145" s="35" t="n">
        <v>0</v>
      </c>
      <c r="I145" s="34" t="n">
        <f aca="false">+IF(E145=0,0,E145*0.03)</f>
        <v>0</v>
      </c>
    </row>
    <row r="146" customFormat="false" ht="15.75" hidden="false" customHeight="true" outlineLevel="0" collapsed="false">
      <c r="A146" s="30" t="n">
        <v>45444</v>
      </c>
      <c r="B146" s="31" t="s">
        <v>153</v>
      </c>
      <c r="C146" s="32"/>
      <c r="D146" s="32"/>
      <c r="E146" s="19" t="n">
        <f aca="false">+F146*0.03</f>
        <v>0</v>
      </c>
      <c r="F146" s="33" t="n">
        <v>0</v>
      </c>
      <c r="G146" s="62"/>
      <c r="H146" s="35" t="n">
        <v>0</v>
      </c>
      <c r="I146" s="34" t="n">
        <f aca="false">+IF(E146=0,0,E146*0.03)</f>
        <v>0</v>
      </c>
    </row>
    <row r="147" customFormat="false" ht="15.75" hidden="false" customHeight="true" outlineLevel="0" collapsed="false">
      <c r="A147" s="30" t="n">
        <v>45444</v>
      </c>
      <c r="B147" s="31" t="s">
        <v>153</v>
      </c>
      <c r="C147" s="32"/>
      <c r="D147" s="32"/>
      <c r="E147" s="19" t="n">
        <f aca="false">+F147*0.03</f>
        <v>0</v>
      </c>
      <c r="F147" s="33" t="n">
        <v>0</v>
      </c>
      <c r="G147" s="62"/>
      <c r="H147" s="35" t="n">
        <v>0</v>
      </c>
      <c r="I147" s="34" t="n">
        <f aca="false">+IF(E147=0,0,E147*0.03)</f>
        <v>0</v>
      </c>
    </row>
    <row r="148" customFormat="false" ht="15.75" hidden="false" customHeight="true" outlineLevel="0" collapsed="false">
      <c r="A148" s="30" t="n">
        <v>45444</v>
      </c>
      <c r="B148" s="31" t="s">
        <v>153</v>
      </c>
      <c r="C148" s="32"/>
      <c r="D148" s="32"/>
      <c r="E148" s="19" t="n">
        <f aca="false">+F148*0.03</f>
        <v>0</v>
      </c>
      <c r="F148" s="33" t="n">
        <v>0</v>
      </c>
      <c r="G148" s="62"/>
      <c r="H148" s="35" t="n">
        <v>0</v>
      </c>
      <c r="I148" s="34" t="n">
        <f aca="false">+IF(E148=0,0,E148*0.03)</f>
        <v>0</v>
      </c>
    </row>
    <row r="149" customFormat="false" ht="15.75" hidden="false" customHeight="true" outlineLevel="0" collapsed="false">
      <c r="A149" s="30" t="n">
        <v>45444</v>
      </c>
      <c r="B149" s="31" t="s">
        <v>153</v>
      </c>
      <c r="C149" s="32"/>
      <c r="D149" s="32"/>
      <c r="E149" s="19" t="n">
        <f aca="false">+F149*0.03</f>
        <v>0</v>
      </c>
      <c r="F149" s="33" t="n">
        <v>0</v>
      </c>
      <c r="G149" s="62"/>
      <c r="H149" s="35" t="n">
        <v>0</v>
      </c>
      <c r="I149" s="34" t="n">
        <f aca="false">+IF(E149=0,0,E149*0.03)</f>
        <v>0</v>
      </c>
    </row>
    <row r="150" customFormat="false" ht="15.75" hidden="false" customHeight="true" outlineLevel="0" collapsed="false">
      <c r="A150" s="30" t="n">
        <v>45444</v>
      </c>
      <c r="B150" s="31" t="s">
        <v>153</v>
      </c>
      <c r="C150" s="32"/>
      <c r="D150" s="32"/>
      <c r="E150" s="19" t="n">
        <f aca="false">+F150*0.03</f>
        <v>0</v>
      </c>
      <c r="F150" s="33" t="n">
        <v>0</v>
      </c>
      <c r="G150" s="62"/>
      <c r="H150" s="35" t="n">
        <v>0</v>
      </c>
      <c r="I150" s="34" t="n">
        <f aca="false">+IF(E150=0,0,E150*0.03)</f>
        <v>0</v>
      </c>
    </row>
    <row r="151" customFormat="false" ht="15.75" hidden="false" customHeight="true" outlineLevel="0" collapsed="false">
      <c r="A151" s="30" t="n">
        <v>45444</v>
      </c>
      <c r="B151" s="31" t="s">
        <v>153</v>
      </c>
      <c r="C151" s="32"/>
      <c r="D151" s="32"/>
      <c r="E151" s="19" t="n">
        <f aca="false">+F151*0.03</f>
        <v>0</v>
      </c>
      <c r="F151" s="33" t="n">
        <v>0</v>
      </c>
      <c r="G151" s="62"/>
      <c r="H151" s="35" t="n">
        <v>0</v>
      </c>
      <c r="I151" s="34" t="n">
        <f aca="false">+IF(E151=0,0,E151*0.03)</f>
        <v>0</v>
      </c>
    </row>
    <row r="152" customFormat="false" ht="15.75" hidden="false" customHeight="true" outlineLevel="0" collapsed="false">
      <c r="A152" s="30" t="n">
        <v>45444</v>
      </c>
      <c r="B152" s="31" t="s">
        <v>153</v>
      </c>
      <c r="C152" s="32"/>
      <c r="D152" s="32"/>
      <c r="E152" s="19" t="n">
        <f aca="false">+F152*0.03</f>
        <v>0</v>
      </c>
      <c r="F152" s="33" t="n">
        <v>0</v>
      </c>
      <c r="G152" s="62"/>
      <c r="H152" s="35" t="n">
        <v>0</v>
      </c>
      <c r="I152" s="34" t="n">
        <f aca="false">+IF(E152=0,0,E152*0.03)</f>
        <v>0</v>
      </c>
    </row>
    <row r="153" customFormat="false" ht="15.75" hidden="false" customHeight="true" outlineLevel="0" collapsed="false">
      <c r="A153" s="30" t="n">
        <v>45444</v>
      </c>
      <c r="B153" s="31" t="s">
        <v>153</v>
      </c>
      <c r="C153" s="32"/>
      <c r="D153" s="32"/>
      <c r="E153" s="19" t="n">
        <f aca="false">+F153*0.03</f>
        <v>0</v>
      </c>
      <c r="F153" s="33" t="n">
        <v>0</v>
      </c>
      <c r="G153" s="62"/>
      <c r="H153" s="35" t="n">
        <v>0</v>
      </c>
      <c r="I153" s="34" t="n">
        <f aca="false">+IF(E153=0,0,E153*0.03)</f>
        <v>0</v>
      </c>
    </row>
    <row r="154" customFormat="false" ht="15.75" hidden="false" customHeight="true" outlineLevel="0" collapsed="false">
      <c r="A154" s="30" t="n">
        <v>45444</v>
      </c>
      <c r="B154" s="31" t="s">
        <v>153</v>
      </c>
      <c r="C154" s="32"/>
      <c r="D154" s="32"/>
      <c r="E154" s="19" t="n">
        <f aca="false">+F154*0.03</f>
        <v>0</v>
      </c>
      <c r="F154" s="33" t="n">
        <v>0</v>
      </c>
      <c r="G154" s="62"/>
      <c r="H154" s="35" t="n">
        <v>0</v>
      </c>
      <c r="I154" s="34" t="n">
        <f aca="false">+IF(E154=0,0,E154*0.03)</f>
        <v>0</v>
      </c>
    </row>
    <row r="155" customFormat="false" ht="15.75" hidden="false" customHeight="true" outlineLevel="0" collapsed="false">
      <c r="A155" s="30" t="n">
        <v>45444</v>
      </c>
      <c r="B155" s="31" t="s">
        <v>153</v>
      </c>
      <c r="C155" s="32"/>
      <c r="D155" s="32"/>
      <c r="E155" s="19" t="n">
        <f aca="false">+F155*0.03</f>
        <v>0</v>
      </c>
      <c r="F155" s="33" t="n">
        <v>0</v>
      </c>
      <c r="G155" s="62"/>
      <c r="H155" s="35" t="n">
        <v>0</v>
      </c>
      <c r="I155" s="34" t="n">
        <f aca="false">+IF(E155=0,0,E155*0.03)</f>
        <v>0</v>
      </c>
    </row>
    <row r="156" customFormat="false" ht="15.75" hidden="false" customHeight="true" outlineLevel="0" collapsed="false">
      <c r="A156" s="30" t="n">
        <v>45444</v>
      </c>
      <c r="B156" s="31" t="s">
        <v>153</v>
      </c>
      <c r="C156" s="32"/>
      <c r="D156" s="32"/>
      <c r="E156" s="19" t="n">
        <f aca="false">+F156*0.03</f>
        <v>0</v>
      </c>
      <c r="F156" s="33" t="n">
        <v>0</v>
      </c>
      <c r="G156" s="62"/>
      <c r="H156" s="35" t="n">
        <v>0</v>
      </c>
      <c r="I156" s="34" t="n">
        <f aca="false">+IF(E156=0,0,E156*0.03)</f>
        <v>0</v>
      </c>
    </row>
    <row r="157" customFormat="false" ht="15.75" hidden="false" customHeight="true" outlineLevel="0" collapsed="false">
      <c r="A157" s="30" t="n">
        <v>45444</v>
      </c>
      <c r="B157" s="31" t="s">
        <v>153</v>
      </c>
      <c r="C157" s="32"/>
      <c r="D157" s="32"/>
      <c r="E157" s="19" t="n">
        <f aca="false">+F157*0.03</f>
        <v>0</v>
      </c>
      <c r="F157" s="33" t="n">
        <v>0</v>
      </c>
      <c r="G157" s="62"/>
      <c r="H157" s="35" t="n">
        <v>0</v>
      </c>
      <c r="I157" s="34" t="n">
        <f aca="false">+IF(E157=0,0,E157*0.03)</f>
        <v>0</v>
      </c>
    </row>
    <row r="158" customFormat="false" ht="15.75" hidden="false" customHeight="true" outlineLevel="0" collapsed="false">
      <c r="A158" s="30" t="n">
        <v>45444</v>
      </c>
      <c r="B158" s="31" t="s">
        <v>153</v>
      </c>
      <c r="C158" s="32"/>
      <c r="D158" s="32"/>
      <c r="E158" s="19" t="n">
        <f aca="false">+F158*0.03</f>
        <v>0</v>
      </c>
      <c r="F158" s="33" t="n">
        <v>0</v>
      </c>
      <c r="G158" s="62"/>
      <c r="H158" s="35" t="n">
        <v>0</v>
      </c>
      <c r="I158" s="34" t="n">
        <f aca="false">+IF(E158=0,0,E158*0.03)</f>
        <v>0</v>
      </c>
    </row>
    <row r="159" customFormat="false" ht="15.75" hidden="false" customHeight="true" outlineLevel="0" collapsed="false">
      <c r="A159" s="30" t="n">
        <v>45444</v>
      </c>
      <c r="B159" s="31" t="s">
        <v>153</v>
      </c>
      <c r="C159" s="32"/>
      <c r="D159" s="32"/>
      <c r="E159" s="19" t="n">
        <f aca="false">+F159*0.03</f>
        <v>0</v>
      </c>
      <c r="F159" s="33" t="n">
        <v>0</v>
      </c>
      <c r="G159" s="62"/>
      <c r="H159" s="35" t="n">
        <v>0</v>
      </c>
      <c r="I159" s="34" t="n">
        <f aca="false">+IF(E159=0,0,E159*0.03)</f>
        <v>0</v>
      </c>
    </row>
    <row r="160" customFormat="false" ht="15.75" hidden="false" customHeight="true" outlineLevel="0" collapsed="false">
      <c r="A160" s="30" t="n">
        <v>45444</v>
      </c>
      <c r="B160" s="31" t="s">
        <v>153</v>
      </c>
      <c r="C160" s="32"/>
      <c r="D160" s="32"/>
      <c r="E160" s="19" t="n">
        <f aca="false">+F160*0.03</f>
        <v>0</v>
      </c>
      <c r="F160" s="33" t="n">
        <v>0</v>
      </c>
      <c r="G160" s="62"/>
      <c r="H160" s="35" t="n">
        <v>0</v>
      </c>
      <c r="I160" s="34" t="n">
        <f aca="false">+IF(E160=0,0,E160*0.03)</f>
        <v>0</v>
      </c>
    </row>
    <row r="161" customFormat="false" ht="15.75" hidden="false" customHeight="true" outlineLevel="0" collapsed="false">
      <c r="A161" s="30" t="n">
        <v>45444</v>
      </c>
      <c r="B161" s="31" t="s">
        <v>153</v>
      </c>
      <c r="C161" s="32"/>
      <c r="D161" s="32"/>
      <c r="E161" s="19" t="n">
        <f aca="false">+F161*0.03</f>
        <v>0</v>
      </c>
      <c r="F161" s="33" t="n">
        <v>0</v>
      </c>
      <c r="G161" s="62"/>
      <c r="H161" s="35" t="n">
        <v>0</v>
      </c>
      <c r="I161" s="34" t="n">
        <f aca="false">+IF(E161=0,0,E161*0.03)</f>
        <v>0</v>
      </c>
    </row>
    <row r="162" customFormat="false" ht="15.75" hidden="false" customHeight="true" outlineLevel="0" collapsed="false">
      <c r="A162" s="30" t="n">
        <v>45444</v>
      </c>
      <c r="B162" s="31" t="s">
        <v>153</v>
      </c>
      <c r="C162" s="32"/>
      <c r="D162" s="32"/>
      <c r="E162" s="19" t="n">
        <f aca="false">+F162*0.03</f>
        <v>0</v>
      </c>
      <c r="F162" s="33" t="n">
        <v>0</v>
      </c>
      <c r="G162" s="62"/>
      <c r="H162" s="35" t="n">
        <v>0</v>
      </c>
      <c r="I162" s="34" t="n">
        <f aca="false">+IF(E162=0,0,E162*0.03)</f>
        <v>0</v>
      </c>
    </row>
    <row r="163" customFormat="false" ht="15.75" hidden="false" customHeight="true" outlineLevel="0" collapsed="false">
      <c r="A163" s="30" t="n">
        <v>45444</v>
      </c>
      <c r="B163" s="31" t="s">
        <v>153</v>
      </c>
      <c r="C163" s="32"/>
      <c r="D163" s="32"/>
      <c r="E163" s="19" t="n">
        <f aca="false">+F163*0.03</f>
        <v>0</v>
      </c>
      <c r="F163" s="33" t="n">
        <v>0</v>
      </c>
      <c r="G163" s="62"/>
      <c r="H163" s="35" t="n">
        <v>0</v>
      </c>
      <c r="I163" s="34" t="n">
        <f aca="false">+IF(E163=0,0,E163*0.03)</f>
        <v>0</v>
      </c>
    </row>
    <row r="164" customFormat="false" ht="15.75" hidden="false" customHeight="true" outlineLevel="0" collapsed="false">
      <c r="A164" s="30" t="n">
        <v>45444</v>
      </c>
      <c r="B164" s="31" t="s">
        <v>153</v>
      </c>
      <c r="C164" s="32"/>
      <c r="D164" s="32"/>
      <c r="E164" s="19" t="n">
        <f aca="false">+F164*0.03</f>
        <v>0</v>
      </c>
      <c r="F164" s="33" t="n">
        <v>0</v>
      </c>
      <c r="G164" s="62"/>
      <c r="H164" s="35" t="n">
        <v>0</v>
      </c>
      <c r="I164" s="34" t="n">
        <f aca="false">+IF(E164=0,0,E164*0.03)</f>
        <v>0</v>
      </c>
    </row>
    <row r="165" customFormat="false" ht="15.75" hidden="false" customHeight="true" outlineLevel="0" collapsed="false">
      <c r="A165" s="30" t="n">
        <v>45444</v>
      </c>
      <c r="B165" s="31" t="s">
        <v>153</v>
      </c>
      <c r="C165" s="32"/>
      <c r="D165" s="32"/>
      <c r="E165" s="19" t="n">
        <f aca="false">+F165*0.03</f>
        <v>0</v>
      </c>
      <c r="F165" s="33" t="n">
        <v>0</v>
      </c>
      <c r="G165" s="62"/>
      <c r="H165" s="35" t="n">
        <v>0</v>
      </c>
      <c r="I165" s="34" t="n">
        <f aca="false">+IF(E165=0,0,E165*0.03)</f>
        <v>0</v>
      </c>
    </row>
    <row r="166" customFormat="false" ht="15.75" hidden="false" customHeight="true" outlineLevel="0" collapsed="false">
      <c r="A166" s="30" t="n">
        <v>45444</v>
      </c>
      <c r="B166" s="31" t="s">
        <v>153</v>
      </c>
      <c r="C166" s="32"/>
      <c r="D166" s="32"/>
      <c r="E166" s="19" t="n">
        <f aca="false">+F166*0.03</f>
        <v>0</v>
      </c>
      <c r="F166" s="33" t="n">
        <v>0</v>
      </c>
      <c r="G166" s="62"/>
      <c r="H166" s="35" t="n">
        <v>0</v>
      </c>
      <c r="I166" s="34" t="n">
        <f aca="false">+IF(E166=0,0,E166*0.03)</f>
        <v>0</v>
      </c>
    </row>
    <row r="167" customFormat="false" ht="15.75" hidden="false" customHeight="true" outlineLevel="0" collapsed="false">
      <c r="A167" s="30" t="n">
        <v>45444</v>
      </c>
      <c r="B167" s="31" t="s">
        <v>153</v>
      </c>
      <c r="C167" s="32"/>
      <c r="D167" s="32"/>
      <c r="E167" s="19" t="n">
        <f aca="false">+F167*0.03</f>
        <v>0</v>
      </c>
      <c r="F167" s="33" t="n">
        <v>0</v>
      </c>
      <c r="G167" s="62"/>
      <c r="H167" s="35" t="n">
        <v>0</v>
      </c>
      <c r="I167" s="34" t="n">
        <f aca="false">+IF(E167=0,0,E167*0.03)</f>
        <v>0</v>
      </c>
    </row>
    <row r="168" customFormat="false" ht="15.75" hidden="false" customHeight="true" outlineLevel="0" collapsed="false">
      <c r="A168" s="30" t="n">
        <v>45444</v>
      </c>
      <c r="B168" s="31" t="s">
        <v>153</v>
      </c>
      <c r="C168" s="32"/>
      <c r="D168" s="32"/>
      <c r="E168" s="19" t="n">
        <f aca="false">+F168*0.03</f>
        <v>0</v>
      </c>
      <c r="F168" s="33" t="n">
        <v>0</v>
      </c>
      <c r="G168" s="62"/>
      <c r="H168" s="35" t="n">
        <v>0</v>
      </c>
      <c r="I168" s="34" t="n">
        <f aca="false">+IF(E168=0,0,E168*0.03)</f>
        <v>0</v>
      </c>
    </row>
    <row r="169" customFormat="false" ht="15.75" hidden="false" customHeight="true" outlineLevel="0" collapsed="false">
      <c r="A169" s="30" t="n">
        <v>45444</v>
      </c>
      <c r="B169" s="31" t="s">
        <v>153</v>
      </c>
      <c r="C169" s="32"/>
      <c r="D169" s="32"/>
      <c r="E169" s="19" t="n">
        <f aca="false">+F169*0.03</f>
        <v>0</v>
      </c>
      <c r="F169" s="33" t="n">
        <v>0</v>
      </c>
      <c r="G169" s="62"/>
      <c r="H169" s="35" t="n">
        <v>0</v>
      </c>
      <c r="I169" s="34" t="n">
        <f aca="false">+IF(E169=0,0,E169*0.03)</f>
        <v>0</v>
      </c>
    </row>
    <row r="170" customFormat="false" ht="15.75" hidden="false" customHeight="true" outlineLevel="0" collapsed="false">
      <c r="A170" s="30" t="n">
        <v>45444</v>
      </c>
      <c r="B170" s="31" t="s">
        <v>153</v>
      </c>
      <c r="C170" s="32"/>
      <c r="D170" s="32"/>
      <c r="E170" s="19" t="n">
        <f aca="false">+F170*0.03</f>
        <v>0</v>
      </c>
      <c r="F170" s="33" t="n">
        <v>0</v>
      </c>
      <c r="G170" s="62"/>
      <c r="H170" s="35" t="n">
        <v>0</v>
      </c>
      <c r="I170" s="34" t="n">
        <f aca="false">+IF(E170=0,0,E170*0.03)</f>
        <v>0</v>
      </c>
    </row>
    <row r="171" customFormat="false" ht="15.75" hidden="false" customHeight="true" outlineLevel="0" collapsed="false">
      <c r="A171" s="30" t="n">
        <v>45444</v>
      </c>
      <c r="B171" s="31" t="s">
        <v>153</v>
      </c>
      <c r="C171" s="32"/>
      <c r="D171" s="32"/>
      <c r="E171" s="19" t="n">
        <f aca="false">+F171*0.03</f>
        <v>0</v>
      </c>
      <c r="F171" s="33" t="n">
        <v>0</v>
      </c>
      <c r="G171" s="62"/>
      <c r="H171" s="35" t="n">
        <v>0</v>
      </c>
      <c r="I171" s="34" t="n">
        <f aca="false">+IF(E171=0,0,E171*0.03)</f>
        <v>0</v>
      </c>
    </row>
    <row r="172" customFormat="false" ht="15.75" hidden="false" customHeight="true" outlineLevel="0" collapsed="false">
      <c r="A172" s="30" t="n">
        <v>45444</v>
      </c>
      <c r="B172" s="31" t="s">
        <v>153</v>
      </c>
      <c r="C172" s="32"/>
      <c r="D172" s="32"/>
      <c r="E172" s="19" t="n">
        <f aca="false">+F172*0.03</f>
        <v>0</v>
      </c>
      <c r="F172" s="33" t="n">
        <v>0</v>
      </c>
      <c r="G172" s="62"/>
      <c r="H172" s="35" t="n">
        <v>0</v>
      </c>
      <c r="I172" s="34" t="n">
        <f aca="false">+IF(E172=0,0,E172*0.03)</f>
        <v>0</v>
      </c>
    </row>
    <row r="173" customFormat="false" ht="15.75" hidden="false" customHeight="true" outlineLevel="0" collapsed="false">
      <c r="A173" s="30" t="n">
        <v>45444</v>
      </c>
      <c r="B173" s="31" t="s">
        <v>153</v>
      </c>
      <c r="C173" s="32"/>
      <c r="D173" s="32"/>
      <c r="E173" s="19" t="n">
        <f aca="false">+F173*0.03</f>
        <v>0</v>
      </c>
      <c r="F173" s="33" t="n">
        <v>0</v>
      </c>
      <c r="G173" s="62"/>
      <c r="H173" s="35" t="n">
        <v>0</v>
      </c>
      <c r="I173" s="34" t="n">
        <f aca="false">+IF(E173=0,0,E173*0.03)</f>
        <v>0</v>
      </c>
    </row>
    <row r="174" customFormat="false" ht="15.75" hidden="false" customHeight="true" outlineLevel="0" collapsed="false">
      <c r="A174" s="30" t="n">
        <v>45444</v>
      </c>
      <c r="B174" s="31" t="s">
        <v>153</v>
      </c>
      <c r="C174" s="32"/>
      <c r="D174" s="32"/>
      <c r="E174" s="19" t="n">
        <f aca="false">+F174*0.03</f>
        <v>0</v>
      </c>
      <c r="F174" s="33" t="n">
        <v>0</v>
      </c>
      <c r="G174" s="62"/>
      <c r="H174" s="35" t="n">
        <v>0</v>
      </c>
      <c r="I174" s="34" t="n">
        <f aca="false">+IF(E174=0,0,E174*0.03)</f>
        <v>0</v>
      </c>
    </row>
    <row r="175" customFormat="false" ht="15.75" hidden="false" customHeight="true" outlineLevel="0" collapsed="false">
      <c r="A175" s="30" t="n">
        <v>45444</v>
      </c>
      <c r="B175" s="31" t="s">
        <v>153</v>
      </c>
      <c r="C175" s="32"/>
      <c r="D175" s="32"/>
      <c r="E175" s="19" t="n">
        <f aca="false">+F175*0.03</f>
        <v>0</v>
      </c>
      <c r="F175" s="33" t="n">
        <v>0</v>
      </c>
      <c r="G175" s="62"/>
      <c r="H175" s="35" t="n">
        <v>0</v>
      </c>
      <c r="I175" s="34" t="n">
        <f aca="false">+IF(E175=0,0,E175*0.03)</f>
        <v>0</v>
      </c>
    </row>
    <row r="176" customFormat="false" ht="15.75" hidden="false" customHeight="true" outlineLevel="0" collapsed="false">
      <c r="A176" s="30" t="n">
        <v>45444</v>
      </c>
      <c r="B176" s="31" t="s">
        <v>153</v>
      </c>
      <c r="C176" s="32"/>
      <c r="D176" s="32"/>
      <c r="E176" s="19" t="n">
        <f aca="false">+F176*0.03</f>
        <v>0</v>
      </c>
      <c r="F176" s="33" t="n">
        <v>0</v>
      </c>
      <c r="G176" s="62"/>
      <c r="H176" s="35" t="n">
        <v>0</v>
      </c>
      <c r="I176" s="34" t="n">
        <f aca="false">+IF(E176=0,0,E176*0.03)</f>
        <v>0</v>
      </c>
    </row>
    <row r="177" customFormat="false" ht="15.75" hidden="false" customHeight="true" outlineLevel="0" collapsed="false">
      <c r="A177" s="30" t="n">
        <v>45444</v>
      </c>
      <c r="B177" s="31" t="s">
        <v>153</v>
      </c>
      <c r="C177" s="32"/>
      <c r="D177" s="32"/>
      <c r="E177" s="19" t="n">
        <f aca="false">+F177*0.03</f>
        <v>0</v>
      </c>
      <c r="F177" s="33" t="n">
        <v>0</v>
      </c>
      <c r="G177" s="62"/>
      <c r="H177" s="35" t="n">
        <v>0</v>
      </c>
      <c r="I177" s="34" t="n">
        <f aca="false">+IF(E177=0,0,E177*0.03)</f>
        <v>0</v>
      </c>
    </row>
    <row r="178" customFormat="false" ht="15.75" hidden="false" customHeight="true" outlineLevel="0" collapsed="false">
      <c r="A178" s="30" t="n">
        <v>45444</v>
      </c>
      <c r="B178" s="31" t="s">
        <v>153</v>
      </c>
      <c r="C178" s="32"/>
      <c r="D178" s="32"/>
      <c r="E178" s="19" t="n">
        <f aca="false">+F178*0.03</f>
        <v>0</v>
      </c>
      <c r="F178" s="33" t="n">
        <v>0</v>
      </c>
      <c r="G178" s="62"/>
      <c r="H178" s="35" t="n">
        <v>0</v>
      </c>
      <c r="I178" s="34" t="n">
        <f aca="false">+IF(E178=0,0,E178*0.03)</f>
        <v>0</v>
      </c>
    </row>
    <row r="179" customFormat="false" ht="15.75" hidden="false" customHeight="true" outlineLevel="0" collapsed="false">
      <c r="A179" s="30" t="n">
        <v>45444</v>
      </c>
      <c r="B179" s="31" t="s">
        <v>153</v>
      </c>
      <c r="C179" s="32"/>
      <c r="D179" s="32"/>
      <c r="E179" s="19" t="n">
        <f aca="false">+F179*0.03</f>
        <v>0</v>
      </c>
      <c r="F179" s="33" t="n">
        <v>0</v>
      </c>
      <c r="G179" s="62"/>
      <c r="H179" s="35" t="n">
        <v>0</v>
      </c>
      <c r="I179" s="34" t="n">
        <f aca="false">+IF(E179=0,0,E179*0.03)</f>
        <v>0</v>
      </c>
    </row>
    <row r="180" customFormat="false" ht="15.75" hidden="false" customHeight="true" outlineLevel="0" collapsed="false">
      <c r="A180" s="30" t="n">
        <v>45444</v>
      </c>
      <c r="B180" s="31" t="s">
        <v>153</v>
      </c>
      <c r="C180" s="32"/>
      <c r="D180" s="32"/>
      <c r="E180" s="19" t="n">
        <f aca="false">+F180*0.03</f>
        <v>0</v>
      </c>
      <c r="F180" s="33" t="n">
        <v>0</v>
      </c>
      <c r="G180" s="62"/>
      <c r="H180" s="35" t="n">
        <v>0</v>
      </c>
      <c r="I180" s="34" t="n">
        <f aca="false">+IF(E180=0,0,E180*0.03)</f>
        <v>0</v>
      </c>
    </row>
    <row r="181" customFormat="false" ht="15.75" hidden="false" customHeight="true" outlineLevel="0" collapsed="false">
      <c r="A181" s="30" t="n">
        <v>45444</v>
      </c>
      <c r="B181" s="31" t="s">
        <v>153</v>
      </c>
      <c r="C181" s="32"/>
      <c r="D181" s="32"/>
      <c r="E181" s="19" t="n">
        <f aca="false">+F181*0.03</f>
        <v>0</v>
      </c>
      <c r="F181" s="33" t="n">
        <v>0</v>
      </c>
      <c r="G181" s="62"/>
      <c r="H181" s="35" t="n">
        <v>0</v>
      </c>
      <c r="I181" s="34" t="n">
        <f aca="false">+IF(E181=0,0,E181*0.03)</f>
        <v>0</v>
      </c>
    </row>
    <row r="182" customFormat="false" ht="15.75" hidden="false" customHeight="true" outlineLevel="0" collapsed="false">
      <c r="A182" s="30" t="n">
        <v>45444</v>
      </c>
      <c r="B182" s="31" t="s">
        <v>153</v>
      </c>
      <c r="C182" s="32"/>
      <c r="D182" s="32"/>
      <c r="E182" s="19" t="n">
        <f aca="false">+F182*0.03</f>
        <v>0</v>
      </c>
      <c r="F182" s="33" t="n">
        <v>0</v>
      </c>
      <c r="G182" s="62"/>
      <c r="H182" s="35" t="n">
        <v>0</v>
      </c>
      <c r="I182" s="34" t="n">
        <f aca="false">+IF(E182=0,0,E182*0.03)</f>
        <v>0</v>
      </c>
    </row>
    <row r="183" customFormat="false" ht="15.75" hidden="false" customHeight="true" outlineLevel="0" collapsed="false">
      <c r="A183" s="30" t="n">
        <v>45444</v>
      </c>
      <c r="B183" s="31" t="s">
        <v>153</v>
      </c>
      <c r="C183" s="32"/>
      <c r="D183" s="32"/>
      <c r="E183" s="19" t="n">
        <f aca="false">+F183*0.03</f>
        <v>0</v>
      </c>
      <c r="F183" s="33" t="n">
        <v>0</v>
      </c>
      <c r="G183" s="62"/>
      <c r="H183" s="35" t="n">
        <v>0</v>
      </c>
      <c r="I183" s="34" t="n">
        <f aca="false">+IF(E183=0,0,E183*0.03)</f>
        <v>0</v>
      </c>
    </row>
    <row r="184" customFormat="false" ht="15.75" hidden="false" customHeight="true" outlineLevel="0" collapsed="false">
      <c r="A184" s="30" t="n">
        <v>45444</v>
      </c>
      <c r="B184" s="31" t="s">
        <v>153</v>
      </c>
      <c r="C184" s="32"/>
      <c r="D184" s="32"/>
      <c r="E184" s="19" t="n">
        <f aca="false">+F184*0.03</f>
        <v>0</v>
      </c>
      <c r="F184" s="33" t="n">
        <v>0</v>
      </c>
      <c r="G184" s="62"/>
      <c r="H184" s="35" t="n">
        <v>0</v>
      </c>
      <c r="I184" s="34" t="n">
        <f aca="false">+IF(E184=0,0,E184*0.03)</f>
        <v>0</v>
      </c>
    </row>
    <row r="185" customFormat="false" ht="15.75" hidden="false" customHeight="true" outlineLevel="0" collapsed="false">
      <c r="A185" s="30" t="n">
        <v>45444</v>
      </c>
      <c r="B185" s="31" t="s">
        <v>153</v>
      </c>
      <c r="C185" s="32"/>
      <c r="D185" s="32"/>
      <c r="E185" s="19" t="n">
        <f aca="false">+F185*0.03</f>
        <v>0</v>
      </c>
      <c r="F185" s="33" t="n">
        <v>0</v>
      </c>
      <c r="G185" s="62"/>
      <c r="H185" s="35" t="n">
        <v>0</v>
      </c>
      <c r="I185" s="34" t="n">
        <f aca="false">+IF(E185=0,0,E185*0.03)</f>
        <v>0</v>
      </c>
    </row>
    <row r="186" customFormat="false" ht="15.75" hidden="false" customHeight="true" outlineLevel="0" collapsed="false">
      <c r="A186" s="30" t="n">
        <v>45444</v>
      </c>
      <c r="B186" s="31" t="s">
        <v>153</v>
      </c>
      <c r="C186" s="32"/>
      <c r="D186" s="32"/>
      <c r="E186" s="19" t="n">
        <f aca="false">+F186*0.03</f>
        <v>0</v>
      </c>
      <c r="F186" s="33" t="n">
        <v>0</v>
      </c>
      <c r="G186" s="62"/>
      <c r="H186" s="35" t="n">
        <v>0</v>
      </c>
      <c r="I186" s="34" t="n">
        <f aca="false">+IF(E186=0,0,E186*0.03)</f>
        <v>0</v>
      </c>
    </row>
    <row r="187" customFormat="false" ht="15.75" hidden="false" customHeight="true" outlineLevel="0" collapsed="false">
      <c r="A187" s="30" t="n">
        <v>45444</v>
      </c>
      <c r="B187" s="31" t="s">
        <v>153</v>
      </c>
      <c r="C187" s="32"/>
      <c r="D187" s="32"/>
      <c r="E187" s="19" t="n">
        <f aca="false">+F187*0.03</f>
        <v>0</v>
      </c>
      <c r="F187" s="33" t="n">
        <v>0</v>
      </c>
      <c r="G187" s="62"/>
      <c r="H187" s="35" t="n">
        <v>0</v>
      </c>
      <c r="I187" s="34" t="n">
        <f aca="false">+IF(E187=0,0,E187*0.03)</f>
        <v>0</v>
      </c>
    </row>
    <row r="188" customFormat="false" ht="15.75" hidden="false" customHeight="true" outlineLevel="0" collapsed="false">
      <c r="A188" s="30" t="n">
        <v>45444</v>
      </c>
      <c r="B188" s="31" t="s">
        <v>153</v>
      </c>
      <c r="C188" s="32"/>
      <c r="D188" s="32"/>
      <c r="E188" s="19" t="n">
        <f aca="false">+F188*0.03</f>
        <v>0</v>
      </c>
      <c r="F188" s="33" t="n">
        <v>0</v>
      </c>
      <c r="G188" s="62"/>
      <c r="H188" s="35" t="n">
        <v>0</v>
      </c>
      <c r="I188" s="34" t="n">
        <f aca="false">+IF(E188=0,0,E188*0.03)</f>
        <v>0</v>
      </c>
    </row>
    <row r="189" customFormat="false" ht="15.75" hidden="false" customHeight="true" outlineLevel="0" collapsed="false">
      <c r="A189" s="30" t="n">
        <v>45444</v>
      </c>
      <c r="B189" s="31" t="s">
        <v>153</v>
      </c>
      <c r="C189" s="32"/>
      <c r="D189" s="32"/>
      <c r="E189" s="19" t="n">
        <f aca="false">+F189*0.03</f>
        <v>0</v>
      </c>
      <c r="F189" s="33" t="n">
        <v>0</v>
      </c>
      <c r="G189" s="62"/>
      <c r="H189" s="35" t="n">
        <v>0</v>
      </c>
      <c r="I189" s="34" t="n">
        <f aca="false">+IF(E189=0,0,E189*0.03)</f>
        <v>0</v>
      </c>
    </row>
    <row r="190" customFormat="false" ht="15.75" hidden="false" customHeight="true" outlineLevel="0" collapsed="false">
      <c r="A190" s="30" t="n">
        <v>45444</v>
      </c>
      <c r="B190" s="31" t="s">
        <v>153</v>
      </c>
      <c r="C190" s="32"/>
      <c r="D190" s="32"/>
      <c r="E190" s="19" t="n">
        <f aca="false">+F190*0.03</f>
        <v>0</v>
      </c>
      <c r="F190" s="33" t="n">
        <v>0</v>
      </c>
      <c r="G190" s="62"/>
      <c r="H190" s="35" t="n">
        <v>0</v>
      </c>
      <c r="I190" s="34" t="n">
        <f aca="false">+IF(E190=0,0,E190*0.03)</f>
        <v>0</v>
      </c>
    </row>
    <row r="191" customFormat="false" ht="15.75" hidden="false" customHeight="true" outlineLevel="0" collapsed="false">
      <c r="A191" s="30" t="n">
        <v>45444</v>
      </c>
      <c r="B191" s="31" t="s">
        <v>153</v>
      </c>
      <c r="C191" s="32"/>
      <c r="D191" s="32"/>
      <c r="E191" s="19" t="n">
        <f aca="false">+F191*0.03</f>
        <v>0</v>
      </c>
      <c r="F191" s="33" t="n">
        <v>0</v>
      </c>
      <c r="G191" s="62"/>
      <c r="H191" s="35" t="n">
        <v>0</v>
      </c>
      <c r="I191" s="34" t="n">
        <f aca="false">+IF(E191=0,0,E191*0.03)</f>
        <v>0</v>
      </c>
    </row>
    <row r="192" customFormat="false" ht="15.75" hidden="false" customHeight="true" outlineLevel="0" collapsed="false">
      <c r="A192" s="30" t="n">
        <v>45444</v>
      </c>
      <c r="B192" s="31" t="s">
        <v>153</v>
      </c>
      <c r="C192" s="32"/>
      <c r="D192" s="32"/>
      <c r="E192" s="19" t="n">
        <f aca="false">+F192*0.03</f>
        <v>0</v>
      </c>
      <c r="F192" s="33" t="n">
        <v>0</v>
      </c>
      <c r="G192" s="62"/>
      <c r="H192" s="35" t="n">
        <v>0</v>
      </c>
      <c r="I192" s="34" t="n">
        <f aca="false">+IF(E192=0,0,E192*0.03)</f>
        <v>0</v>
      </c>
    </row>
    <row r="193" customFormat="false" ht="15.75" hidden="false" customHeight="true" outlineLevel="0" collapsed="false">
      <c r="A193" s="30" t="n">
        <v>45444</v>
      </c>
      <c r="B193" s="31" t="s">
        <v>153</v>
      </c>
      <c r="C193" s="32"/>
      <c r="D193" s="32"/>
      <c r="E193" s="19" t="n">
        <f aca="false">+F193*0.03</f>
        <v>0</v>
      </c>
      <c r="F193" s="33" t="n">
        <v>0</v>
      </c>
      <c r="G193" s="62"/>
      <c r="H193" s="35" t="n">
        <v>0</v>
      </c>
      <c r="I193" s="34" t="n">
        <f aca="false">+IF(E193=0,0,E193*0.03)</f>
        <v>0</v>
      </c>
    </row>
    <row r="194" customFormat="false" ht="15.75" hidden="false" customHeight="true" outlineLevel="0" collapsed="false">
      <c r="A194" s="30" t="n">
        <v>45444</v>
      </c>
      <c r="B194" s="31" t="s">
        <v>153</v>
      </c>
      <c r="C194" s="32"/>
      <c r="D194" s="32"/>
      <c r="E194" s="19" t="n">
        <f aca="false">+F194*0.03</f>
        <v>0</v>
      </c>
      <c r="F194" s="33" t="n">
        <v>0</v>
      </c>
      <c r="G194" s="62"/>
      <c r="H194" s="35" t="n">
        <v>0</v>
      </c>
      <c r="I194" s="34" t="n">
        <f aca="false">+IF(E194=0,0,E194*0.03)</f>
        <v>0</v>
      </c>
    </row>
    <row r="195" customFormat="false" ht="15.75" hidden="false" customHeight="true" outlineLevel="0" collapsed="false">
      <c r="A195" s="30" t="n">
        <v>45444</v>
      </c>
      <c r="B195" s="31" t="s">
        <v>153</v>
      </c>
      <c r="C195" s="32"/>
      <c r="D195" s="32"/>
      <c r="E195" s="19" t="n">
        <f aca="false">+F195*0.03</f>
        <v>0</v>
      </c>
      <c r="F195" s="33" t="n">
        <v>0</v>
      </c>
      <c r="G195" s="62"/>
      <c r="H195" s="35" t="n">
        <v>0</v>
      </c>
      <c r="I195" s="34" t="n">
        <f aca="false">+IF(E195=0,0,E195*0.03)</f>
        <v>0</v>
      </c>
    </row>
    <row r="196" customFormat="false" ht="15.75" hidden="false" customHeight="true" outlineLevel="0" collapsed="false">
      <c r="A196" s="30" t="n">
        <v>45444</v>
      </c>
      <c r="B196" s="31" t="s">
        <v>153</v>
      </c>
      <c r="C196" s="32"/>
      <c r="D196" s="32"/>
      <c r="E196" s="19" t="n">
        <f aca="false">+F196*0.03</f>
        <v>0</v>
      </c>
      <c r="F196" s="33" t="n">
        <v>0</v>
      </c>
      <c r="G196" s="62"/>
      <c r="H196" s="35" t="n">
        <v>0</v>
      </c>
      <c r="I196" s="34" t="n">
        <f aca="false">+IF(E196=0,0,E196*0.03)</f>
        <v>0</v>
      </c>
    </row>
    <row r="197" customFormat="false" ht="15.75" hidden="false" customHeight="true" outlineLevel="0" collapsed="false">
      <c r="A197" s="30" t="n">
        <v>45444</v>
      </c>
      <c r="B197" s="31" t="s">
        <v>153</v>
      </c>
      <c r="C197" s="32"/>
      <c r="D197" s="32"/>
      <c r="E197" s="19" t="n">
        <f aca="false">+F197*0.03</f>
        <v>0</v>
      </c>
      <c r="F197" s="33" t="n">
        <v>0</v>
      </c>
      <c r="G197" s="62"/>
      <c r="H197" s="35" t="n">
        <v>0</v>
      </c>
      <c r="I197" s="34" t="n">
        <f aca="false">+IF(E197=0,0,E197*0.03)</f>
        <v>0</v>
      </c>
    </row>
    <row r="198" customFormat="false" ht="15.75" hidden="false" customHeight="true" outlineLevel="0" collapsed="false">
      <c r="A198" s="30" t="n">
        <v>45444</v>
      </c>
      <c r="B198" s="31" t="s">
        <v>153</v>
      </c>
      <c r="C198" s="32"/>
      <c r="D198" s="32"/>
      <c r="E198" s="19" t="n">
        <f aca="false">+F198*0.03</f>
        <v>0</v>
      </c>
      <c r="F198" s="33" t="n">
        <v>0</v>
      </c>
      <c r="G198" s="62"/>
      <c r="H198" s="35" t="n">
        <v>0</v>
      </c>
      <c r="I198" s="34" t="n">
        <f aca="false">+IF(E198=0,0,E198*0.03)</f>
        <v>0</v>
      </c>
    </row>
    <row r="199" customFormat="false" ht="15.75" hidden="false" customHeight="true" outlineLevel="0" collapsed="false">
      <c r="A199" s="30" t="n">
        <v>45444</v>
      </c>
      <c r="B199" s="31" t="s">
        <v>153</v>
      </c>
      <c r="C199" s="32"/>
      <c r="D199" s="32"/>
      <c r="E199" s="19" t="n">
        <f aca="false">+F199*0.03</f>
        <v>0</v>
      </c>
      <c r="F199" s="33" t="n">
        <v>0</v>
      </c>
      <c r="G199" s="62"/>
      <c r="H199" s="35" t="n">
        <v>0</v>
      </c>
      <c r="I199" s="34" t="n">
        <f aca="false">+IF(E199=0,0,E199*0.03)</f>
        <v>0</v>
      </c>
    </row>
    <row r="200" customFormat="false" ht="15.75" hidden="false" customHeight="true" outlineLevel="0" collapsed="false">
      <c r="A200" s="30" t="n">
        <v>45444</v>
      </c>
      <c r="B200" s="31" t="s">
        <v>153</v>
      </c>
      <c r="C200" s="32"/>
      <c r="D200" s="32"/>
      <c r="E200" s="19" t="n">
        <f aca="false">+F200*0.03</f>
        <v>0</v>
      </c>
      <c r="F200" s="33" t="n">
        <v>0</v>
      </c>
      <c r="G200" s="62"/>
      <c r="H200" s="35" t="n">
        <v>0</v>
      </c>
      <c r="I200" s="34" t="n">
        <f aca="false">+IF(E200=0,0,E200*0.03)</f>
        <v>0</v>
      </c>
    </row>
    <row r="201" customFormat="false" ht="15.75" hidden="false" customHeight="true" outlineLevel="0" collapsed="false">
      <c r="A201" s="30" t="n">
        <v>45444</v>
      </c>
      <c r="B201" s="31" t="s">
        <v>153</v>
      </c>
      <c r="C201" s="32"/>
      <c r="D201" s="32"/>
      <c r="E201" s="19" t="n">
        <f aca="false">+F201*0.03</f>
        <v>0</v>
      </c>
      <c r="F201" s="33" t="n">
        <v>0</v>
      </c>
      <c r="G201" s="62"/>
      <c r="H201" s="35" t="n">
        <v>0</v>
      </c>
      <c r="I201" s="34" t="n">
        <f aca="false">+IF(E201=0,0,E201*0.03)</f>
        <v>0</v>
      </c>
    </row>
    <row r="202" customFormat="false" ht="15.75" hidden="false" customHeight="true" outlineLevel="0" collapsed="false">
      <c r="A202" s="30" t="n">
        <v>45444</v>
      </c>
      <c r="B202" s="31" t="s">
        <v>153</v>
      </c>
      <c r="C202" s="32"/>
      <c r="D202" s="32"/>
      <c r="E202" s="19" t="n">
        <f aca="false">+F202*0.03</f>
        <v>0</v>
      </c>
      <c r="F202" s="33" t="n">
        <v>0</v>
      </c>
      <c r="G202" s="62"/>
      <c r="H202" s="35" t="n">
        <v>0</v>
      </c>
      <c r="I202" s="34" t="n">
        <f aca="false">+IF(E202=0,0,E202*0.03)</f>
        <v>0</v>
      </c>
    </row>
    <row r="203" customFormat="false" ht="15.75" hidden="false" customHeight="true" outlineLevel="0" collapsed="false">
      <c r="A203" s="30" t="n">
        <v>45444</v>
      </c>
      <c r="B203" s="31" t="s">
        <v>153</v>
      </c>
      <c r="C203" s="32"/>
      <c r="D203" s="32"/>
      <c r="E203" s="19" t="n">
        <f aca="false">+F203*0.03</f>
        <v>0</v>
      </c>
      <c r="F203" s="33" t="n">
        <v>0</v>
      </c>
      <c r="G203" s="62"/>
      <c r="H203" s="35" t="n">
        <v>0</v>
      </c>
      <c r="I203" s="34" t="n">
        <f aca="false">+IF(E203=0,0,E203*0.03)</f>
        <v>0</v>
      </c>
    </row>
    <row r="204" customFormat="false" ht="15.75" hidden="false" customHeight="true" outlineLevel="0" collapsed="false">
      <c r="A204" s="30" t="n">
        <v>45444</v>
      </c>
      <c r="B204" s="31" t="s">
        <v>153</v>
      </c>
      <c r="C204" s="32"/>
      <c r="D204" s="32"/>
      <c r="E204" s="19" t="n">
        <f aca="false">+F204*0.03</f>
        <v>0</v>
      </c>
      <c r="F204" s="33" t="n">
        <v>0</v>
      </c>
      <c r="G204" s="62"/>
      <c r="H204" s="35" t="n">
        <v>0</v>
      </c>
      <c r="I204" s="34" t="n">
        <f aca="false">+IF(E204=0,0,E204*0.03)</f>
        <v>0</v>
      </c>
    </row>
    <row r="205" customFormat="false" ht="15.75" hidden="false" customHeight="true" outlineLevel="0" collapsed="false">
      <c r="A205" s="30" t="n">
        <v>45444</v>
      </c>
      <c r="B205" s="31" t="s">
        <v>153</v>
      </c>
      <c r="C205" s="32"/>
      <c r="D205" s="32"/>
      <c r="E205" s="19" t="n">
        <f aca="false">+F205*0.03</f>
        <v>0</v>
      </c>
      <c r="F205" s="33" t="n">
        <v>0</v>
      </c>
      <c r="G205" s="62"/>
      <c r="H205" s="35" t="n">
        <v>0</v>
      </c>
      <c r="I205" s="34" t="n">
        <f aca="false">+IF(E205=0,0,E205*0.03)</f>
        <v>0</v>
      </c>
    </row>
    <row r="206" customFormat="false" ht="15.75" hidden="false" customHeight="true" outlineLevel="0" collapsed="false">
      <c r="A206" s="30" t="n">
        <v>45444</v>
      </c>
      <c r="B206" s="31" t="s">
        <v>153</v>
      </c>
      <c r="C206" s="32"/>
      <c r="D206" s="32"/>
      <c r="E206" s="19" t="n">
        <f aca="false">+F206*0.03</f>
        <v>0</v>
      </c>
      <c r="F206" s="33" t="n">
        <v>0</v>
      </c>
      <c r="G206" s="62"/>
      <c r="H206" s="35" t="n">
        <v>0</v>
      </c>
      <c r="I206" s="34" t="n">
        <f aca="false">+IF(E206=0,0,E206*0.03)</f>
        <v>0</v>
      </c>
    </row>
    <row r="207" customFormat="false" ht="15.75" hidden="false" customHeight="true" outlineLevel="0" collapsed="false">
      <c r="A207" s="30" t="n">
        <v>45444</v>
      </c>
      <c r="B207" s="31" t="s">
        <v>153</v>
      </c>
      <c r="C207" s="32"/>
      <c r="D207" s="32"/>
      <c r="E207" s="19" t="n">
        <f aca="false">+F207*0.03</f>
        <v>0</v>
      </c>
      <c r="F207" s="33" t="n">
        <v>0</v>
      </c>
      <c r="G207" s="62"/>
      <c r="H207" s="35" t="n">
        <v>0</v>
      </c>
      <c r="I207" s="34" t="n">
        <f aca="false">+IF(E207=0,0,E207*0.03)</f>
        <v>0</v>
      </c>
    </row>
    <row r="208" customFormat="false" ht="15.75" hidden="false" customHeight="true" outlineLevel="0" collapsed="false">
      <c r="A208" s="30" t="n">
        <v>45444</v>
      </c>
      <c r="B208" s="31" t="s">
        <v>153</v>
      </c>
      <c r="C208" s="32"/>
      <c r="D208" s="32"/>
      <c r="E208" s="19" t="n">
        <f aca="false">+F208*0.03</f>
        <v>0</v>
      </c>
      <c r="F208" s="33" t="n">
        <v>0</v>
      </c>
      <c r="G208" s="62"/>
      <c r="H208" s="35" t="n">
        <v>0</v>
      </c>
      <c r="I208" s="34" t="n">
        <f aca="false">+IF(E208=0,0,E208*0.03)</f>
        <v>0</v>
      </c>
    </row>
    <row r="209" customFormat="false" ht="15.75" hidden="false" customHeight="true" outlineLevel="0" collapsed="false">
      <c r="A209" s="30" t="n">
        <v>45444</v>
      </c>
      <c r="B209" s="31" t="s">
        <v>153</v>
      </c>
      <c r="C209" s="32"/>
      <c r="D209" s="32"/>
      <c r="E209" s="19" t="n">
        <f aca="false">+F209*0.03</f>
        <v>0</v>
      </c>
      <c r="F209" s="33" t="n">
        <v>0</v>
      </c>
      <c r="G209" s="62"/>
      <c r="H209" s="35" t="n">
        <v>0</v>
      </c>
      <c r="I209" s="34" t="n">
        <f aca="false">+IF(E209=0,0,E209*0.03)</f>
        <v>0</v>
      </c>
    </row>
    <row r="210" customFormat="false" ht="15.75" hidden="false" customHeight="true" outlineLevel="0" collapsed="false">
      <c r="A210" s="30" t="n">
        <v>45444</v>
      </c>
      <c r="B210" s="31" t="s">
        <v>153</v>
      </c>
      <c r="C210" s="32"/>
      <c r="D210" s="32"/>
      <c r="E210" s="19" t="n">
        <f aca="false">+F210*0.03</f>
        <v>0</v>
      </c>
      <c r="F210" s="33" t="n">
        <v>0</v>
      </c>
      <c r="G210" s="62"/>
      <c r="H210" s="35" t="n">
        <v>0</v>
      </c>
      <c r="I210" s="34" t="n">
        <f aca="false">+IF(E210=0,0,E210*0.03)</f>
        <v>0</v>
      </c>
    </row>
    <row r="211" customFormat="false" ht="15.75" hidden="false" customHeight="true" outlineLevel="0" collapsed="false">
      <c r="A211" s="30" t="n">
        <v>45444</v>
      </c>
      <c r="B211" s="31" t="s">
        <v>153</v>
      </c>
      <c r="C211" s="32"/>
      <c r="D211" s="32"/>
      <c r="E211" s="19" t="n">
        <f aca="false">+F211*0.03</f>
        <v>0</v>
      </c>
      <c r="F211" s="33" t="n">
        <v>0</v>
      </c>
      <c r="G211" s="62"/>
      <c r="H211" s="35" t="n">
        <v>0</v>
      </c>
      <c r="I211" s="34" t="n">
        <f aca="false">+IF(E211=0,0,E211*0.03)</f>
        <v>0</v>
      </c>
    </row>
    <row r="212" customFormat="false" ht="15.75" hidden="false" customHeight="true" outlineLevel="0" collapsed="false">
      <c r="A212" s="30" t="n">
        <v>45444</v>
      </c>
      <c r="B212" s="31" t="s">
        <v>153</v>
      </c>
      <c r="C212" s="32"/>
      <c r="D212" s="32"/>
      <c r="E212" s="19" t="n">
        <f aca="false">+F212*0.03</f>
        <v>0</v>
      </c>
      <c r="F212" s="33" t="n">
        <v>0</v>
      </c>
      <c r="G212" s="62"/>
      <c r="H212" s="35" t="n">
        <v>0</v>
      </c>
      <c r="I212" s="34" t="n">
        <f aca="false">+IF(E212=0,0,E212*0.03)</f>
        <v>0</v>
      </c>
    </row>
    <row r="213" customFormat="false" ht="15.75" hidden="false" customHeight="true" outlineLevel="0" collapsed="false">
      <c r="A213" s="30" t="n">
        <v>45444</v>
      </c>
      <c r="B213" s="31" t="s">
        <v>153</v>
      </c>
      <c r="C213" s="32"/>
      <c r="D213" s="32"/>
      <c r="E213" s="19" t="n">
        <f aca="false">+F213*0.03</f>
        <v>0</v>
      </c>
      <c r="F213" s="33" t="n">
        <v>0</v>
      </c>
      <c r="G213" s="62"/>
      <c r="H213" s="35" t="n">
        <v>0</v>
      </c>
      <c r="I213" s="34" t="n">
        <f aca="false">+IF(E213=0,0,E213*0.03)</f>
        <v>0</v>
      </c>
    </row>
    <row r="214" customFormat="false" ht="15.75" hidden="false" customHeight="true" outlineLevel="0" collapsed="false">
      <c r="A214" s="30" t="n">
        <v>45444</v>
      </c>
      <c r="B214" s="31" t="s">
        <v>153</v>
      </c>
      <c r="C214" s="32"/>
      <c r="D214" s="32"/>
      <c r="E214" s="19" t="n">
        <f aca="false">+F214*0.03</f>
        <v>0</v>
      </c>
      <c r="F214" s="33" t="n">
        <v>0</v>
      </c>
      <c r="G214" s="62"/>
      <c r="H214" s="35" t="n">
        <v>0</v>
      </c>
      <c r="I214" s="34" t="n">
        <f aca="false">+IF(E214=0,0,E214*0.03)</f>
        <v>0</v>
      </c>
    </row>
    <row r="215" customFormat="false" ht="15.75" hidden="false" customHeight="true" outlineLevel="0" collapsed="false">
      <c r="A215" s="30" t="n">
        <v>45444</v>
      </c>
      <c r="B215" s="31" t="s">
        <v>153</v>
      </c>
      <c r="C215" s="32"/>
      <c r="D215" s="32"/>
      <c r="E215" s="19" t="n">
        <f aca="false">+F215*0.03</f>
        <v>0</v>
      </c>
      <c r="F215" s="33" t="n">
        <v>0</v>
      </c>
      <c r="G215" s="62"/>
      <c r="H215" s="35" t="n">
        <v>0</v>
      </c>
      <c r="I215" s="34" t="n">
        <f aca="false">+IF(E215=0,0,E215*0.03)</f>
        <v>0</v>
      </c>
    </row>
    <row r="216" customFormat="false" ht="15.75" hidden="false" customHeight="true" outlineLevel="0" collapsed="false">
      <c r="A216" s="30" t="n">
        <v>45444</v>
      </c>
      <c r="B216" s="31" t="s">
        <v>153</v>
      </c>
      <c r="C216" s="32"/>
      <c r="D216" s="32"/>
      <c r="E216" s="19" t="n">
        <f aca="false">+F216*0.03</f>
        <v>0</v>
      </c>
      <c r="F216" s="33" t="n">
        <v>0</v>
      </c>
      <c r="G216" s="62"/>
      <c r="H216" s="35" t="n">
        <v>0</v>
      </c>
      <c r="I216" s="34" t="n">
        <f aca="false">+IF(E216=0,0,E216*0.03)</f>
        <v>0</v>
      </c>
    </row>
    <row r="217" customFormat="false" ht="15.75" hidden="false" customHeight="true" outlineLevel="0" collapsed="false">
      <c r="A217" s="30" t="n">
        <v>45444</v>
      </c>
      <c r="B217" s="31" t="s">
        <v>153</v>
      </c>
      <c r="C217" s="32"/>
      <c r="D217" s="32"/>
      <c r="E217" s="19" t="n">
        <f aca="false">+F217*0.03</f>
        <v>0</v>
      </c>
      <c r="F217" s="33" t="n">
        <v>0</v>
      </c>
      <c r="G217" s="62"/>
      <c r="H217" s="35" t="n">
        <v>0</v>
      </c>
      <c r="I217" s="34" t="n">
        <f aca="false">+IF(E217=0,0,E217*0.03)</f>
        <v>0</v>
      </c>
    </row>
    <row r="218" customFormat="false" ht="15.75" hidden="false" customHeight="true" outlineLevel="0" collapsed="false">
      <c r="A218" s="30" t="n">
        <v>45444</v>
      </c>
      <c r="B218" s="31" t="s">
        <v>153</v>
      </c>
      <c r="C218" s="32"/>
      <c r="D218" s="32"/>
      <c r="E218" s="19" t="n">
        <f aca="false">+F218*0.03</f>
        <v>0</v>
      </c>
      <c r="F218" s="33" t="n">
        <v>0</v>
      </c>
      <c r="G218" s="62"/>
      <c r="H218" s="35" t="n">
        <v>0</v>
      </c>
      <c r="I218" s="34" t="n">
        <f aca="false">+IF(E218=0,0,E218*0.03)</f>
        <v>0</v>
      </c>
    </row>
    <row r="219" customFormat="false" ht="15.75" hidden="false" customHeight="true" outlineLevel="0" collapsed="false">
      <c r="A219" s="30" t="n">
        <v>45444</v>
      </c>
      <c r="B219" s="31" t="s">
        <v>153</v>
      </c>
      <c r="C219" s="32"/>
      <c r="D219" s="32"/>
      <c r="E219" s="19" t="n">
        <f aca="false">+F219*0.03</f>
        <v>0</v>
      </c>
      <c r="F219" s="33" t="n">
        <v>0</v>
      </c>
      <c r="G219" s="62"/>
      <c r="H219" s="35" t="n">
        <v>0</v>
      </c>
      <c r="I219" s="34" t="n">
        <f aca="false">+IF(E219=0,0,E219*0.03)</f>
        <v>0</v>
      </c>
    </row>
    <row r="220" customFormat="false" ht="15.75" hidden="false" customHeight="true" outlineLevel="0" collapsed="false">
      <c r="A220" s="30" t="n">
        <v>45444</v>
      </c>
      <c r="B220" s="31" t="s">
        <v>153</v>
      </c>
      <c r="C220" s="32"/>
      <c r="D220" s="32"/>
      <c r="E220" s="19" t="n">
        <f aca="false">+F220*0.03</f>
        <v>0</v>
      </c>
      <c r="F220" s="33" t="n">
        <v>0</v>
      </c>
      <c r="G220" s="62"/>
      <c r="H220" s="35" t="n">
        <v>0</v>
      </c>
      <c r="I220" s="34" t="n">
        <f aca="false">+IF(E220=0,0,E220*0.03)</f>
        <v>0</v>
      </c>
    </row>
    <row r="221" customFormat="false" ht="15.75" hidden="false" customHeight="true" outlineLevel="0" collapsed="false">
      <c r="A221" s="30" t="n">
        <v>45444</v>
      </c>
      <c r="B221" s="31" t="s">
        <v>153</v>
      </c>
      <c r="C221" s="32"/>
      <c r="D221" s="32"/>
      <c r="E221" s="19" t="n">
        <f aca="false">+F221*0.03</f>
        <v>0</v>
      </c>
      <c r="F221" s="33" t="n">
        <v>0</v>
      </c>
      <c r="G221" s="62"/>
      <c r="H221" s="35" t="n">
        <v>0</v>
      </c>
      <c r="I221" s="34" t="n">
        <f aca="false">+IF(E221=0,0,E221*0.03)</f>
        <v>0</v>
      </c>
    </row>
    <row r="222" customFormat="false" ht="15.75" hidden="false" customHeight="true" outlineLevel="0" collapsed="false">
      <c r="A222" s="30" t="n">
        <v>45444</v>
      </c>
      <c r="B222" s="31" t="s">
        <v>153</v>
      </c>
      <c r="C222" s="32"/>
      <c r="D222" s="32"/>
      <c r="E222" s="19" t="n">
        <f aca="false">+F222*0.03</f>
        <v>0</v>
      </c>
      <c r="F222" s="33" t="n">
        <v>0</v>
      </c>
      <c r="G222" s="62"/>
      <c r="H222" s="35" t="n">
        <v>0</v>
      </c>
      <c r="I222" s="34" t="n">
        <f aca="false">+IF(E222=0,0,E222*0.03)</f>
        <v>0</v>
      </c>
    </row>
    <row r="223" customFormat="false" ht="15.75" hidden="false" customHeight="true" outlineLevel="0" collapsed="false">
      <c r="A223" s="30" t="n">
        <v>45444</v>
      </c>
      <c r="B223" s="31" t="s">
        <v>153</v>
      </c>
      <c r="C223" s="32"/>
      <c r="D223" s="32"/>
      <c r="E223" s="19" t="n">
        <f aca="false">+F223*0.03</f>
        <v>0</v>
      </c>
      <c r="F223" s="33" t="n">
        <v>0</v>
      </c>
      <c r="G223" s="62"/>
      <c r="H223" s="35" t="n">
        <v>0</v>
      </c>
      <c r="I223" s="34" t="n">
        <f aca="false">+IF(E223=0,0,E223*0.03)</f>
        <v>0</v>
      </c>
    </row>
    <row r="224" customFormat="false" ht="15.75" hidden="false" customHeight="true" outlineLevel="0" collapsed="false">
      <c r="A224" s="30" t="n">
        <v>45444</v>
      </c>
      <c r="B224" s="31" t="s">
        <v>153</v>
      </c>
      <c r="C224" s="32"/>
      <c r="D224" s="32"/>
      <c r="E224" s="19" t="n">
        <f aca="false">+F224*0.03</f>
        <v>0</v>
      </c>
      <c r="F224" s="33" t="n">
        <v>0</v>
      </c>
      <c r="G224" s="62"/>
      <c r="H224" s="35" t="n">
        <v>0</v>
      </c>
      <c r="I224" s="34" t="n">
        <f aca="false">+IF(E224=0,0,E224*0.03)</f>
        <v>0</v>
      </c>
    </row>
    <row r="225" customFormat="false" ht="15.75" hidden="false" customHeight="true" outlineLevel="0" collapsed="false">
      <c r="A225" s="30" t="n">
        <v>45444</v>
      </c>
      <c r="B225" s="31" t="s">
        <v>153</v>
      </c>
      <c r="C225" s="32"/>
      <c r="D225" s="32"/>
      <c r="E225" s="19" t="n">
        <f aca="false">+F225*0.03</f>
        <v>0</v>
      </c>
      <c r="F225" s="33" t="n">
        <v>0</v>
      </c>
      <c r="G225" s="62"/>
      <c r="H225" s="35" t="n">
        <v>0</v>
      </c>
      <c r="I225" s="34" t="n">
        <f aca="false">+IF(E225=0,0,E225*0.03)</f>
        <v>0</v>
      </c>
    </row>
    <row r="226" customFormat="false" ht="15.75" hidden="false" customHeight="true" outlineLevel="0" collapsed="false">
      <c r="A226" s="30" t="n">
        <v>45444</v>
      </c>
      <c r="B226" s="31" t="s">
        <v>153</v>
      </c>
      <c r="C226" s="32"/>
      <c r="D226" s="32"/>
      <c r="E226" s="19" t="n">
        <f aca="false">+F226*0.03</f>
        <v>0</v>
      </c>
      <c r="F226" s="33" t="n">
        <v>0</v>
      </c>
      <c r="G226" s="62"/>
      <c r="H226" s="35" t="n">
        <v>0</v>
      </c>
      <c r="I226" s="34" t="n">
        <f aca="false">+IF(E226=0,0,E226*0.03)</f>
        <v>0</v>
      </c>
    </row>
    <row r="227" customFormat="false" ht="15.75" hidden="false" customHeight="true" outlineLevel="0" collapsed="false">
      <c r="A227" s="30" t="n">
        <v>45444</v>
      </c>
      <c r="B227" s="31" t="s">
        <v>153</v>
      </c>
      <c r="C227" s="32"/>
      <c r="D227" s="32"/>
      <c r="E227" s="19" t="n">
        <f aca="false">+F227*0.03</f>
        <v>0</v>
      </c>
      <c r="F227" s="33" t="n">
        <v>0</v>
      </c>
      <c r="G227" s="62"/>
      <c r="H227" s="35" t="n">
        <v>0</v>
      </c>
      <c r="I227" s="34" t="n">
        <f aca="false">+IF(E227=0,0,E227*0.03)</f>
        <v>0</v>
      </c>
    </row>
    <row r="228" customFormat="false" ht="15.75" hidden="false" customHeight="true" outlineLevel="0" collapsed="false">
      <c r="A228" s="30" t="n">
        <v>45444</v>
      </c>
      <c r="B228" s="31" t="s">
        <v>153</v>
      </c>
      <c r="C228" s="32"/>
      <c r="D228" s="32"/>
      <c r="E228" s="19" t="n">
        <f aca="false">+F228*0.03</f>
        <v>0</v>
      </c>
      <c r="F228" s="33" t="n">
        <v>0</v>
      </c>
      <c r="G228" s="62"/>
      <c r="H228" s="35" t="n">
        <v>0</v>
      </c>
      <c r="I228" s="34" t="n">
        <f aca="false">+IF(E228=0,0,E228*0.03)</f>
        <v>0</v>
      </c>
    </row>
    <row r="229" customFormat="false" ht="15.75" hidden="false" customHeight="true" outlineLevel="0" collapsed="false">
      <c r="A229" s="30" t="n">
        <v>45444</v>
      </c>
      <c r="B229" s="31" t="s">
        <v>153</v>
      </c>
      <c r="C229" s="32"/>
      <c r="D229" s="32"/>
      <c r="E229" s="19" t="n">
        <f aca="false">+F229*0.03</f>
        <v>0</v>
      </c>
      <c r="F229" s="33" t="n">
        <v>0</v>
      </c>
      <c r="G229" s="62"/>
      <c r="H229" s="35" t="n">
        <v>0</v>
      </c>
      <c r="I229" s="34" t="n">
        <f aca="false">+IF(E229=0,0,E229*0.03)</f>
        <v>0</v>
      </c>
    </row>
    <row r="230" customFormat="false" ht="15.75" hidden="false" customHeight="true" outlineLevel="0" collapsed="false">
      <c r="A230" s="30" t="n">
        <v>45444</v>
      </c>
      <c r="B230" s="31" t="s">
        <v>153</v>
      </c>
      <c r="C230" s="32"/>
      <c r="D230" s="32"/>
      <c r="E230" s="19" t="n">
        <f aca="false">+F230*0.03</f>
        <v>0</v>
      </c>
      <c r="F230" s="33" t="n">
        <v>0</v>
      </c>
      <c r="G230" s="62"/>
      <c r="H230" s="35" t="n">
        <v>0</v>
      </c>
      <c r="I230" s="34" t="n">
        <f aca="false">+IF(E230=0,0,E230*0.03)</f>
        <v>0</v>
      </c>
    </row>
    <row r="231" customFormat="false" ht="15.75" hidden="false" customHeight="true" outlineLevel="0" collapsed="false">
      <c r="A231" s="30" t="n">
        <v>45444</v>
      </c>
      <c r="B231" s="31" t="s">
        <v>153</v>
      </c>
      <c r="C231" s="32"/>
      <c r="D231" s="32"/>
      <c r="E231" s="19" t="n">
        <f aca="false">+F231*0.03</f>
        <v>0</v>
      </c>
      <c r="F231" s="33" t="n">
        <v>0</v>
      </c>
      <c r="G231" s="62"/>
      <c r="H231" s="35" t="n">
        <v>0</v>
      </c>
      <c r="I231" s="34" t="n">
        <f aca="false">+IF(E231=0,0,E231*0.03)</f>
        <v>0</v>
      </c>
    </row>
    <row r="232" customFormat="false" ht="15.75" hidden="false" customHeight="true" outlineLevel="0" collapsed="false">
      <c r="A232" s="30" t="n">
        <v>45444</v>
      </c>
      <c r="B232" s="31" t="s">
        <v>153</v>
      </c>
      <c r="C232" s="32"/>
      <c r="D232" s="32"/>
      <c r="E232" s="19" t="n">
        <f aca="false">+F232*0.03</f>
        <v>0</v>
      </c>
      <c r="F232" s="33" t="n">
        <v>0</v>
      </c>
      <c r="G232" s="62"/>
      <c r="H232" s="35" t="n">
        <v>0</v>
      </c>
      <c r="I232" s="34" t="n">
        <f aca="false">+IF(E232=0,0,E232*0.03)</f>
        <v>0</v>
      </c>
    </row>
    <row r="233" customFormat="false" ht="15.75" hidden="false" customHeight="true" outlineLevel="0" collapsed="false">
      <c r="A233" s="30" t="n">
        <v>45444</v>
      </c>
      <c r="B233" s="31" t="s">
        <v>153</v>
      </c>
      <c r="C233" s="32"/>
      <c r="D233" s="32"/>
      <c r="E233" s="19" t="n">
        <f aca="false">+F233*0.03</f>
        <v>0</v>
      </c>
      <c r="F233" s="33" t="n">
        <v>0</v>
      </c>
      <c r="G233" s="62"/>
      <c r="H233" s="35" t="n">
        <v>0</v>
      </c>
      <c r="I233" s="34" t="n">
        <f aca="false">+IF(E233=0,0,E233*0.03)</f>
        <v>0</v>
      </c>
    </row>
    <row r="234" customFormat="false" ht="15.75" hidden="false" customHeight="true" outlineLevel="0" collapsed="false">
      <c r="A234" s="30" t="n">
        <v>45444</v>
      </c>
      <c r="B234" s="31" t="s">
        <v>153</v>
      </c>
      <c r="C234" s="32"/>
      <c r="D234" s="32"/>
      <c r="E234" s="19" t="n">
        <f aca="false">+F234*0.03</f>
        <v>0</v>
      </c>
      <c r="F234" s="33" t="n">
        <v>0</v>
      </c>
      <c r="G234" s="62"/>
      <c r="H234" s="35" t="n">
        <v>0</v>
      </c>
      <c r="I234" s="34" t="n">
        <f aca="false">+IF(E234=0,0,E234*0.03)</f>
        <v>0</v>
      </c>
    </row>
    <row r="235" customFormat="false" ht="15.75" hidden="false" customHeight="true" outlineLevel="0" collapsed="false">
      <c r="A235" s="30" t="n">
        <v>45444</v>
      </c>
      <c r="B235" s="31" t="s">
        <v>153</v>
      </c>
      <c r="C235" s="32"/>
      <c r="D235" s="32"/>
      <c r="E235" s="19" t="n">
        <f aca="false">+F235*0.03</f>
        <v>0</v>
      </c>
      <c r="F235" s="33" t="n">
        <v>0</v>
      </c>
      <c r="G235" s="62"/>
      <c r="H235" s="35" t="n">
        <v>0</v>
      </c>
      <c r="I235" s="34" t="n">
        <f aca="false">+IF(E235=0,0,E235*0.03)</f>
        <v>0</v>
      </c>
    </row>
    <row r="236" customFormat="false" ht="15.75" hidden="false" customHeight="true" outlineLevel="0" collapsed="false">
      <c r="A236" s="30" t="n">
        <v>45444</v>
      </c>
      <c r="B236" s="31" t="s">
        <v>153</v>
      </c>
      <c r="C236" s="32"/>
      <c r="D236" s="32"/>
      <c r="E236" s="19" t="n">
        <f aca="false">+F236*0.03</f>
        <v>0</v>
      </c>
      <c r="F236" s="33" t="n">
        <v>0</v>
      </c>
      <c r="G236" s="62"/>
      <c r="H236" s="35" t="n">
        <v>0</v>
      </c>
      <c r="I236" s="34" t="n">
        <f aca="false">+IF(E236=0,0,E236*0.03)</f>
        <v>0</v>
      </c>
    </row>
    <row r="237" customFormat="false" ht="15.75" hidden="false" customHeight="true" outlineLevel="0" collapsed="false">
      <c r="A237" s="30" t="n">
        <v>45444</v>
      </c>
      <c r="B237" s="31" t="s">
        <v>153</v>
      </c>
      <c r="C237" s="32"/>
      <c r="D237" s="32"/>
      <c r="E237" s="19" t="n">
        <f aca="false">+F237*0.03</f>
        <v>0</v>
      </c>
      <c r="F237" s="33" t="n">
        <v>0</v>
      </c>
      <c r="G237" s="62"/>
      <c r="H237" s="35" t="n">
        <v>0</v>
      </c>
      <c r="I237" s="34" t="n">
        <f aca="false">+IF(E237=0,0,E237*0.03)</f>
        <v>0</v>
      </c>
    </row>
    <row r="238" customFormat="false" ht="15.75" hidden="false" customHeight="true" outlineLevel="0" collapsed="false">
      <c r="A238" s="30" t="n">
        <v>45444</v>
      </c>
      <c r="B238" s="31" t="s">
        <v>153</v>
      </c>
      <c r="C238" s="32"/>
      <c r="D238" s="32"/>
      <c r="E238" s="19" t="n">
        <f aca="false">+F238*0.03</f>
        <v>0</v>
      </c>
      <c r="F238" s="33" t="n">
        <v>0</v>
      </c>
      <c r="G238" s="62"/>
      <c r="H238" s="35" t="n">
        <v>0</v>
      </c>
      <c r="I238" s="34" t="n">
        <f aca="false">+IF(E238=0,0,E238*0.03)</f>
        <v>0</v>
      </c>
    </row>
    <row r="239" customFormat="false" ht="15.75" hidden="false" customHeight="true" outlineLevel="0" collapsed="false">
      <c r="A239" s="30" t="n">
        <v>45444</v>
      </c>
      <c r="B239" s="31" t="s">
        <v>153</v>
      </c>
      <c r="C239" s="32"/>
      <c r="D239" s="32"/>
      <c r="E239" s="19" t="n">
        <f aca="false">+F239*0.03</f>
        <v>0</v>
      </c>
      <c r="F239" s="33" t="n">
        <v>0</v>
      </c>
      <c r="G239" s="62"/>
      <c r="H239" s="35" t="n">
        <v>0</v>
      </c>
      <c r="I239" s="34" t="n">
        <f aca="false">+IF(E239=0,0,E239*0.03)</f>
        <v>0</v>
      </c>
    </row>
    <row r="240" customFormat="false" ht="15.75" hidden="false" customHeight="true" outlineLevel="0" collapsed="false">
      <c r="A240" s="30" t="n">
        <v>45444</v>
      </c>
      <c r="B240" s="31" t="s">
        <v>153</v>
      </c>
      <c r="C240" s="32"/>
      <c r="D240" s="32"/>
      <c r="E240" s="19" t="n">
        <f aca="false">+F240*0.03</f>
        <v>0</v>
      </c>
      <c r="F240" s="33" t="n">
        <v>0</v>
      </c>
      <c r="G240" s="62"/>
      <c r="H240" s="35" t="n">
        <v>0</v>
      </c>
      <c r="I240" s="34" t="n">
        <f aca="false">+IF(E240=0,0,E240*0.03)</f>
        <v>0</v>
      </c>
    </row>
    <row r="241" customFormat="false" ht="15.75" hidden="false" customHeight="true" outlineLevel="0" collapsed="false">
      <c r="A241" s="30" t="n">
        <v>45444</v>
      </c>
      <c r="B241" s="31" t="s">
        <v>153</v>
      </c>
      <c r="C241" s="32"/>
      <c r="D241" s="32"/>
      <c r="E241" s="19" t="n">
        <f aca="false">+F241*0.03</f>
        <v>0</v>
      </c>
      <c r="F241" s="33" t="n">
        <v>0</v>
      </c>
      <c r="G241" s="62"/>
      <c r="H241" s="35" t="n">
        <v>0</v>
      </c>
      <c r="I241" s="34" t="n">
        <f aca="false">+IF(E241=0,0,E241*0.03)</f>
        <v>0</v>
      </c>
    </row>
    <row r="242" customFormat="false" ht="15.75" hidden="false" customHeight="true" outlineLevel="0" collapsed="false">
      <c r="A242" s="30" t="n">
        <v>45444</v>
      </c>
      <c r="B242" s="31" t="s">
        <v>153</v>
      </c>
      <c r="C242" s="32"/>
      <c r="D242" s="32"/>
      <c r="E242" s="19" t="n">
        <f aca="false">+F242*0.03</f>
        <v>0</v>
      </c>
      <c r="F242" s="33" t="n">
        <v>0</v>
      </c>
      <c r="G242" s="62"/>
      <c r="H242" s="35" t="n">
        <v>0</v>
      </c>
      <c r="I242" s="34" t="n">
        <f aca="false">+IF(E242=0,0,E242*0.03)</f>
        <v>0</v>
      </c>
    </row>
    <row r="243" customFormat="false" ht="15.75" hidden="false" customHeight="true" outlineLevel="0" collapsed="false">
      <c r="A243" s="30" t="n">
        <v>45444</v>
      </c>
      <c r="B243" s="31" t="s">
        <v>153</v>
      </c>
      <c r="C243" s="32"/>
      <c r="D243" s="32"/>
      <c r="E243" s="19" t="n">
        <f aca="false">+F243*0.03</f>
        <v>0</v>
      </c>
      <c r="F243" s="33" t="n">
        <v>0</v>
      </c>
      <c r="G243" s="62"/>
      <c r="H243" s="35" t="n">
        <v>0</v>
      </c>
      <c r="I243" s="34" t="n">
        <f aca="false">+IF(E243=0,0,E243*0.03)</f>
        <v>0</v>
      </c>
    </row>
    <row r="244" customFormat="false" ht="15.75" hidden="false" customHeight="true" outlineLevel="0" collapsed="false">
      <c r="A244" s="30" t="n">
        <v>45444</v>
      </c>
      <c r="B244" s="31" t="s">
        <v>153</v>
      </c>
      <c r="C244" s="32"/>
      <c r="D244" s="32"/>
      <c r="E244" s="19" t="n">
        <f aca="false">+F244*0.03</f>
        <v>0</v>
      </c>
      <c r="F244" s="33" t="n">
        <v>0</v>
      </c>
      <c r="G244" s="62"/>
      <c r="H244" s="35" t="n">
        <v>0</v>
      </c>
      <c r="I244" s="34" t="n">
        <f aca="false">+IF(E244=0,0,E244*0.03)</f>
        <v>0</v>
      </c>
    </row>
    <row r="245" customFormat="false" ht="15.75" hidden="false" customHeight="true" outlineLevel="0" collapsed="false">
      <c r="A245" s="30" t="n">
        <v>45444</v>
      </c>
      <c r="B245" s="31" t="s">
        <v>153</v>
      </c>
      <c r="C245" s="32"/>
      <c r="D245" s="32"/>
      <c r="E245" s="19" t="n">
        <f aca="false">+F245*0.03</f>
        <v>0</v>
      </c>
      <c r="F245" s="33" t="n">
        <v>0</v>
      </c>
      <c r="G245" s="62"/>
      <c r="H245" s="35" t="n">
        <v>0</v>
      </c>
      <c r="I245" s="34" t="n">
        <f aca="false">+IF(E245=0,0,E245*0.03)</f>
        <v>0</v>
      </c>
    </row>
    <row r="246" customFormat="false" ht="15.75" hidden="false" customHeight="true" outlineLevel="0" collapsed="false">
      <c r="A246" s="30" t="n">
        <v>45444</v>
      </c>
      <c r="B246" s="31" t="s">
        <v>153</v>
      </c>
      <c r="C246" s="32"/>
      <c r="D246" s="32"/>
      <c r="E246" s="19" t="n">
        <f aca="false">+F246*0.03</f>
        <v>0</v>
      </c>
      <c r="F246" s="33" t="n">
        <v>0</v>
      </c>
      <c r="G246" s="62"/>
      <c r="H246" s="35" t="n">
        <v>0</v>
      </c>
      <c r="I246" s="34" t="n">
        <f aca="false">+IF(E246=0,0,E246*0.03)</f>
        <v>0</v>
      </c>
    </row>
    <row r="247" customFormat="false" ht="15.75" hidden="false" customHeight="true" outlineLevel="0" collapsed="false">
      <c r="A247" s="30" t="n">
        <v>45444</v>
      </c>
      <c r="B247" s="31" t="s">
        <v>153</v>
      </c>
      <c r="C247" s="32"/>
      <c r="D247" s="32"/>
      <c r="E247" s="19" t="n">
        <f aca="false">+F247*0.03</f>
        <v>0</v>
      </c>
      <c r="F247" s="33" t="n">
        <v>0</v>
      </c>
      <c r="G247" s="62"/>
      <c r="H247" s="35" t="n">
        <v>0</v>
      </c>
      <c r="I247" s="34" t="n">
        <f aca="false">+IF(E247=0,0,E247*0.03)</f>
        <v>0</v>
      </c>
    </row>
    <row r="248" customFormat="false" ht="15.75" hidden="false" customHeight="true" outlineLevel="0" collapsed="false">
      <c r="A248" s="30" t="n">
        <v>45444</v>
      </c>
      <c r="B248" s="31" t="s">
        <v>153</v>
      </c>
      <c r="C248" s="32"/>
      <c r="D248" s="32"/>
      <c r="E248" s="19" t="n">
        <f aca="false">+F248*0.03</f>
        <v>0</v>
      </c>
      <c r="F248" s="33" t="n">
        <v>0</v>
      </c>
      <c r="G248" s="62"/>
      <c r="H248" s="35" t="n">
        <v>0</v>
      </c>
      <c r="I248" s="34" t="n">
        <f aca="false">+IF(E248=0,0,E248*0.03)</f>
        <v>0</v>
      </c>
    </row>
    <row r="249" customFormat="false" ht="15.75" hidden="false" customHeight="true" outlineLevel="0" collapsed="false">
      <c r="A249" s="30" t="n">
        <v>45444</v>
      </c>
      <c r="B249" s="31" t="s">
        <v>153</v>
      </c>
      <c r="C249" s="32"/>
      <c r="D249" s="32"/>
      <c r="E249" s="19" t="n">
        <f aca="false">+F249*0.03</f>
        <v>0</v>
      </c>
      <c r="F249" s="33" t="n">
        <v>0</v>
      </c>
      <c r="G249" s="62"/>
      <c r="H249" s="35" t="n">
        <v>0</v>
      </c>
      <c r="I249" s="34" t="n">
        <f aca="false">+IF(E249=0,0,E249*0.03)</f>
        <v>0</v>
      </c>
    </row>
    <row r="250" customFormat="false" ht="15.75" hidden="false" customHeight="true" outlineLevel="0" collapsed="false">
      <c r="A250" s="30" t="n">
        <v>45444</v>
      </c>
      <c r="B250" s="31" t="s">
        <v>153</v>
      </c>
      <c r="C250" s="32"/>
      <c r="D250" s="32"/>
      <c r="E250" s="19" t="n">
        <f aca="false">+F250*0.03</f>
        <v>0</v>
      </c>
      <c r="F250" s="33" t="n">
        <v>0</v>
      </c>
      <c r="G250" s="62"/>
      <c r="H250" s="35" t="n">
        <v>0</v>
      </c>
      <c r="I250" s="34" t="n">
        <f aca="false">+IF(E250=0,0,E250*0.03)</f>
        <v>0</v>
      </c>
    </row>
    <row r="251" customFormat="false" ht="15.75" hidden="false" customHeight="true" outlineLevel="0" collapsed="false">
      <c r="A251" s="30" t="n">
        <v>45444</v>
      </c>
      <c r="B251" s="31" t="s">
        <v>153</v>
      </c>
      <c r="C251" s="32"/>
      <c r="D251" s="32"/>
      <c r="E251" s="19" t="n">
        <f aca="false">+F251*0.03</f>
        <v>0</v>
      </c>
      <c r="F251" s="33" t="n">
        <v>0</v>
      </c>
      <c r="G251" s="62"/>
      <c r="H251" s="35" t="n">
        <v>0</v>
      </c>
      <c r="I251" s="34" t="n">
        <f aca="false">+IF(E251=0,0,E251*0.03)</f>
        <v>0</v>
      </c>
    </row>
    <row r="252" customFormat="false" ht="15.75" hidden="false" customHeight="true" outlineLevel="0" collapsed="false">
      <c r="A252" s="30" t="n">
        <v>45444</v>
      </c>
      <c r="B252" s="31" t="s">
        <v>153</v>
      </c>
      <c r="C252" s="32"/>
      <c r="D252" s="32"/>
      <c r="E252" s="19" t="n">
        <f aca="false">+F252*0.03</f>
        <v>0</v>
      </c>
      <c r="F252" s="33" t="n">
        <v>0</v>
      </c>
      <c r="G252" s="62"/>
      <c r="H252" s="35" t="n">
        <v>0</v>
      </c>
      <c r="I252" s="34" t="n">
        <f aca="false">+IF(E252=0,0,E252*0.03)</f>
        <v>0</v>
      </c>
    </row>
    <row r="253" customFormat="false" ht="15.75" hidden="false" customHeight="true" outlineLevel="0" collapsed="false">
      <c r="A253" s="30" t="n">
        <v>45444</v>
      </c>
      <c r="B253" s="31" t="s">
        <v>153</v>
      </c>
      <c r="C253" s="32"/>
      <c r="D253" s="32"/>
      <c r="E253" s="19" t="n">
        <f aca="false">+F253*0.03</f>
        <v>0</v>
      </c>
      <c r="F253" s="33" t="n">
        <v>0</v>
      </c>
      <c r="G253" s="62"/>
      <c r="H253" s="35" t="n">
        <v>0</v>
      </c>
      <c r="I253" s="34" t="n">
        <f aca="false">+IF(E253=0,0,E253*0.03)</f>
        <v>0</v>
      </c>
    </row>
    <row r="254" customFormat="false" ht="15.75" hidden="false" customHeight="true" outlineLevel="0" collapsed="false">
      <c r="A254" s="30" t="n">
        <v>45444</v>
      </c>
      <c r="B254" s="31" t="s">
        <v>153</v>
      </c>
      <c r="C254" s="32"/>
      <c r="D254" s="32"/>
      <c r="E254" s="19" t="n">
        <f aca="false">+F254*0.03</f>
        <v>0</v>
      </c>
      <c r="F254" s="33" t="n">
        <v>0</v>
      </c>
      <c r="G254" s="62"/>
      <c r="H254" s="35" t="n">
        <v>0</v>
      </c>
      <c r="I254" s="34" t="n">
        <f aca="false">+IF(E254=0,0,E254*0.03)</f>
        <v>0</v>
      </c>
    </row>
    <row r="255" customFormat="false" ht="15.75" hidden="false" customHeight="true" outlineLevel="0" collapsed="false">
      <c r="A255" s="30" t="n">
        <v>45444</v>
      </c>
      <c r="B255" s="31" t="s">
        <v>153</v>
      </c>
      <c r="C255" s="32"/>
      <c r="D255" s="32"/>
      <c r="E255" s="19" t="n">
        <f aca="false">+F255*0.03</f>
        <v>0</v>
      </c>
      <c r="F255" s="33" t="n">
        <v>0</v>
      </c>
      <c r="G255" s="62"/>
      <c r="H255" s="35" t="n">
        <v>0</v>
      </c>
      <c r="I255" s="34" t="n">
        <f aca="false">+IF(E255=0,0,E255*0.03)</f>
        <v>0</v>
      </c>
    </row>
    <row r="256" customFormat="false" ht="15.75" hidden="false" customHeight="true" outlineLevel="0" collapsed="false">
      <c r="A256" s="30" t="n">
        <v>45444</v>
      </c>
      <c r="B256" s="31" t="s">
        <v>153</v>
      </c>
      <c r="C256" s="32"/>
      <c r="D256" s="32"/>
      <c r="E256" s="19" t="n">
        <f aca="false">+F256*0.03</f>
        <v>0</v>
      </c>
      <c r="F256" s="33" t="n">
        <v>0</v>
      </c>
      <c r="G256" s="62"/>
      <c r="H256" s="35" t="n">
        <v>0</v>
      </c>
      <c r="I256" s="34" t="n">
        <f aca="false">+IF(E256=0,0,E256*0.03)</f>
        <v>0</v>
      </c>
    </row>
    <row r="257" customFormat="false" ht="15.75" hidden="false" customHeight="true" outlineLevel="0" collapsed="false">
      <c r="A257" s="30" t="n">
        <v>45444</v>
      </c>
      <c r="B257" s="31" t="s">
        <v>153</v>
      </c>
      <c r="C257" s="32"/>
      <c r="D257" s="32"/>
      <c r="E257" s="19" t="n">
        <f aca="false">+F257*0.03</f>
        <v>0</v>
      </c>
      <c r="F257" s="33" t="n">
        <v>0</v>
      </c>
      <c r="G257" s="62"/>
      <c r="H257" s="35" t="n">
        <v>0</v>
      </c>
      <c r="I257" s="34" t="n">
        <f aca="false">+IF(E257=0,0,E257*0.03)</f>
        <v>0</v>
      </c>
    </row>
    <row r="258" customFormat="false" ht="15.75" hidden="false" customHeight="true" outlineLevel="0" collapsed="false">
      <c r="A258" s="30" t="n">
        <v>45444</v>
      </c>
      <c r="B258" s="31" t="s">
        <v>153</v>
      </c>
      <c r="C258" s="32"/>
      <c r="D258" s="32"/>
      <c r="E258" s="19" t="n">
        <f aca="false">+F258*0.03</f>
        <v>0</v>
      </c>
      <c r="F258" s="33" t="n">
        <v>0</v>
      </c>
      <c r="G258" s="62"/>
      <c r="H258" s="35" t="n">
        <v>0</v>
      </c>
      <c r="I258" s="34" t="n">
        <f aca="false">+IF(E258=0,0,E258*0.03)</f>
        <v>0</v>
      </c>
    </row>
    <row r="259" customFormat="false" ht="15.75" hidden="false" customHeight="true" outlineLevel="0" collapsed="false">
      <c r="A259" s="30" t="n">
        <v>45444</v>
      </c>
      <c r="B259" s="31" t="s">
        <v>153</v>
      </c>
      <c r="C259" s="32"/>
      <c r="D259" s="32"/>
      <c r="E259" s="19" t="n">
        <f aca="false">+F259*0.03</f>
        <v>0</v>
      </c>
      <c r="F259" s="33" t="n">
        <v>0</v>
      </c>
      <c r="G259" s="62"/>
      <c r="H259" s="35" t="n">
        <v>0</v>
      </c>
      <c r="I259" s="34" t="n">
        <f aca="false">+IF(E259=0,0,E259*0.03)</f>
        <v>0</v>
      </c>
    </row>
    <row r="260" customFormat="false" ht="15.75" hidden="false" customHeight="true" outlineLevel="0" collapsed="false">
      <c r="A260" s="30" t="n">
        <v>45444</v>
      </c>
      <c r="B260" s="31" t="s">
        <v>153</v>
      </c>
      <c r="C260" s="32"/>
      <c r="D260" s="32"/>
      <c r="E260" s="19" t="n">
        <f aca="false">+F260*0.03</f>
        <v>0</v>
      </c>
      <c r="F260" s="33" t="n">
        <v>0</v>
      </c>
      <c r="G260" s="62"/>
      <c r="H260" s="35" t="n">
        <v>0</v>
      </c>
      <c r="I260" s="34" t="n">
        <f aca="false">+IF(E260=0,0,E260*0.03)</f>
        <v>0</v>
      </c>
    </row>
    <row r="261" customFormat="false" ht="15.75" hidden="false" customHeight="true" outlineLevel="0" collapsed="false">
      <c r="A261" s="30" t="n">
        <v>45444</v>
      </c>
      <c r="B261" s="31" t="s">
        <v>153</v>
      </c>
      <c r="C261" s="32"/>
      <c r="D261" s="32"/>
      <c r="E261" s="19" t="n">
        <f aca="false">+F261*0.03</f>
        <v>0</v>
      </c>
      <c r="F261" s="33" t="n">
        <v>0</v>
      </c>
      <c r="G261" s="62"/>
      <c r="H261" s="35" t="n">
        <v>0</v>
      </c>
      <c r="I261" s="34" t="n">
        <f aca="false">+IF(E261=0,0,E261*0.03)</f>
        <v>0</v>
      </c>
    </row>
    <row r="262" customFormat="false" ht="15.75" hidden="false" customHeight="true" outlineLevel="0" collapsed="false">
      <c r="A262" s="30" t="n">
        <v>45444</v>
      </c>
      <c r="B262" s="31" t="s">
        <v>153</v>
      </c>
      <c r="C262" s="32"/>
      <c r="D262" s="32"/>
      <c r="E262" s="19" t="n">
        <f aca="false">+F262*0.03</f>
        <v>0</v>
      </c>
      <c r="F262" s="33" t="n">
        <v>0</v>
      </c>
      <c r="G262" s="62"/>
      <c r="H262" s="35" t="n">
        <v>0</v>
      </c>
      <c r="I262" s="34" t="n">
        <f aca="false">+IF(E262=0,0,E262*0.03)</f>
        <v>0</v>
      </c>
    </row>
    <row r="263" customFormat="false" ht="15.75" hidden="false" customHeight="true" outlineLevel="0" collapsed="false">
      <c r="A263" s="30" t="n">
        <v>45444</v>
      </c>
      <c r="B263" s="31" t="s">
        <v>153</v>
      </c>
      <c r="C263" s="32"/>
      <c r="D263" s="32"/>
      <c r="E263" s="19" t="n">
        <f aca="false">+F263*0.03</f>
        <v>0</v>
      </c>
      <c r="F263" s="33" t="n">
        <v>0</v>
      </c>
      <c r="G263" s="62"/>
      <c r="H263" s="35" t="n">
        <v>0</v>
      </c>
      <c r="I263" s="34" t="n">
        <f aca="false">+IF(E263=0,0,E263*0.03)</f>
        <v>0</v>
      </c>
    </row>
    <row r="264" customFormat="false" ht="15.75" hidden="false" customHeight="true" outlineLevel="0" collapsed="false">
      <c r="A264" s="30" t="n">
        <v>45444</v>
      </c>
      <c r="B264" s="31" t="s">
        <v>153</v>
      </c>
      <c r="C264" s="32"/>
      <c r="D264" s="32"/>
      <c r="E264" s="19" t="n">
        <f aca="false">+F264*0.03</f>
        <v>0</v>
      </c>
      <c r="F264" s="33" t="n">
        <v>0</v>
      </c>
      <c r="G264" s="62"/>
      <c r="H264" s="35" t="n">
        <v>0</v>
      </c>
      <c r="I264" s="34" t="n">
        <f aca="false">+IF(E264=0,0,E264*0.03)</f>
        <v>0</v>
      </c>
    </row>
    <row r="265" customFormat="false" ht="15.75" hidden="false" customHeight="true" outlineLevel="0" collapsed="false">
      <c r="A265" s="30" t="n">
        <v>45444</v>
      </c>
      <c r="B265" s="31" t="s">
        <v>153</v>
      </c>
      <c r="C265" s="32"/>
      <c r="D265" s="32"/>
      <c r="E265" s="19" t="n">
        <f aca="false">+F265*0.03</f>
        <v>0</v>
      </c>
      <c r="F265" s="33" t="n">
        <v>0</v>
      </c>
      <c r="G265" s="62"/>
      <c r="H265" s="35" t="n">
        <v>0</v>
      </c>
      <c r="I265" s="34" t="n">
        <f aca="false">+IF(E265=0,0,E265*0.03)</f>
        <v>0</v>
      </c>
    </row>
    <row r="266" customFormat="false" ht="15.75" hidden="false" customHeight="true" outlineLevel="0" collapsed="false">
      <c r="A266" s="30" t="n">
        <v>45444</v>
      </c>
      <c r="B266" s="31" t="s">
        <v>153</v>
      </c>
      <c r="C266" s="32"/>
      <c r="D266" s="32"/>
      <c r="E266" s="19" t="n">
        <f aca="false">+F266*0.03</f>
        <v>0</v>
      </c>
      <c r="F266" s="33" t="n">
        <v>0</v>
      </c>
      <c r="G266" s="62"/>
      <c r="H266" s="35" t="n">
        <v>0</v>
      </c>
      <c r="I266" s="34" t="n">
        <f aca="false">+IF(E266=0,0,E266*0.03)</f>
        <v>0</v>
      </c>
    </row>
    <row r="267" customFormat="false" ht="15.75" hidden="false" customHeight="true" outlineLevel="0" collapsed="false">
      <c r="A267" s="30" t="n">
        <v>45444</v>
      </c>
      <c r="B267" s="31" t="s">
        <v>153</v>
      </c>
      <c r="C267" s="32"/>
      <c r="D267" s="32"/>
      <c r="E267" s="19" t="n">
        <f aca="false">+F267*0.03</f>
        <v>0</v>
      </c>
      <c r="F267" s="33" t="n">
        <v>0</v>
      </c>
      <c r="G267" s="62"/>
      <c r="H267" s="35" t="n">
        <v>0</v>
      </c>
      <c r="I267" s="34" t="n">
        <f aca="false">+IF(E267=0,0,E267*0.03)</f>
        <v>0</v>
      </c>
    </row>
    <row r="268" customFormat="false" ht="15.75" hidden="false" customHeight="true" outlineLevel="0" collapsed="false">
      <c r="A268" s="30" t="n">
        <v>45444</v>
      </c>
      <c r="B268" s="31" t="s">
        <v>153</v>
      </c>
      <c r="C268" s="32"/>
      <c r="D268" s="32"/>
      <c r="E268" s="19" t="n">
        <f aca="false">+F268*0.03</f>
        <v>0</v>
      </c>
      <c r="F268" s="33" t="n">
        <v>0</v>
      </c>
      <c r="G268" s="62"/>
      <c r="H268" s="35" t="n">
        <v>0</v>
      </c>
      <c r="I268" s="34" t="n">
        <f aca="false">+IF(E268=0,0,E268*0.03)</f>
        <v>0</v>
      </c>
    </row>
    <row r="269" customFormat="false" ht="15.75" hidden="false" customHeight="true" outlineLevel="0" collapsed="false">
      <c r="A269" s="30" t="n">
        <v>45444</v>
      </c>
      <c r="B269" s="31" t="s">
        <v>153</v>
      </c>
      <c r="C269" s="32"/>
      <c r="D269" s="32"/>
      <c r="E269" s="19" t="n">
        <f aca="false">+F269*0.03</f>
        <v>0</v>
      </c>
      <c r="F269" s="33" t="n">
        <v>0</v>
      </c>
      <c r="G269" s="62"/>
      <c r="H269" s="35" t="n">
        <v>0</v>
      </c>
      <c r="I269" s="34" t="n">
        <f aca="false">+IF(E269=0,0,E269*0.03)</f>
        <v>0</v>
      </c>
    </row>
    <row r="270" customFormat="false" ht="15.75" hidden="false" customHeight="true" outlineLevel="0" collapsed="false">
      <c r="A270" s="30" t="n">
        <v>45444</v>
      </c>
      <c r="B270" s="31" t="s">
        <v>153</v>
      </c>
      <c r="C270" s="32"/>
      <c r="D270" s="32"/>
      <c r="E270" s="19" t="n">
        <f aca="false">+F270*0.03</f>
        <v>0</v>
      </c>
      <c r="F270" s="33" t="n">
        <v>0</v>
      </c>
      <c r="G270" s="62"/>
      <c r="H270" s="35" t="n">
        <v>0</v>
      </c>
      <c r="I270" s="34" t="n">
        <f aca="false">+IF(E270=0,0,E270*0.03)</f>
        <v>0</v>
      </c>
    </row>
    <row r="271" customFormat="false" ht="15.75" hidden="false" customHeight="true" outlineLevel="0" collapsed="false">
      <c r="A271" s="30" t="n">
        <v>45444</v>
      </c>
      <c r="B271" s="31" t="s">
        <v>153</v>
      </c>
      <c r="C271" s="32"/>
      <c r="D271" s="32"/>
      <c r="E271" s="19" t="n">
        <f aca="false">+F271*0.03</f>
        <v>0</v>
      </c>
      <c r="F271" s="33" t="n">
        <v>0</v>
      </c>
      <c r="G271" s="62"/>
      <c r="H271" s="35" t="n">
        <v>0</v>
      </c>
      <c r="I271" s="34" t="n">
        <f aca="false">+IF(E271=0,0,E271*0.03)</f>
        <v>0</v>
      </c>
    </row>
    <row r="272" customFormat="false" ht="15.75" hidden="false" customHeight="true" outlineLevel="0" collapsed="false">
      <c r="A272" s="30" t="n">
        <v>45444</v>
      </c>
      <c r="B272" s="31" t="s">
        <v>153</v>
      </c>
      <c r="C272" s="32"/>
      <c r="D272" s="32"/>
      <c r="E272" s="19" t="n">
        <f aca="false">+F272*0.03</f>
        <v>0</v>
      </c>
      <c r="F272" s="33" t="n">
        <v>0</v>
      </c>
      <c r="G272" s="62"/>
      <c r="H272" s="35" t="n">
        <v>0</v>
      </c>
      <c r="I272" s="34" t="n">
        <f aca="false">+IF(E272=0,0,E272*0.03)</f>
        <v>0</v>
      </c>
    </row>
    <row r="273" customFormat="false" ht="15.75" hidden="false" customHeight="true" outlineLevel="0" collapsed="false">
      <c r="A273" s="30" t="n">
        <v>45444</v>
      </c>
      <c r="B273" s="31" t="s">
        <v>153</v>
      </c>
      <c r="C273" s="32"/>
      <c r="D273" s="32"/>
      <c r="E273" s="19" t="n">
        <f aca="false">+F273*0.03</f>
        <v>0</v>
      </c>
      <c r="F273" s="33" t="n">
        <v>0</v>
      </c>
      <c r="G273" s="62"/>
      <c r="H273" s="35" t="n">
        <v>0</v>
      </c>
      <c r="I273" s="34" t="n">
        <f aca="false">+IF(E273=0,0,E273*0.03)</f>
        <v>0</v>
      </c>
    </row>
    <row r="274" customFormat="false" ht="15.75" hidden="false" customHeight="true" outlineLevel="0" collapsed="false">
      <c r="A274" s="30" t="n">
        <v>45444</v>
      </c>
      <c r="B274" s="31" t="s">
        <v>153</v>
      </c>
      <c r="C274" s="32"/>
      <c r="D274" s="32"/>
      <c r="E274" s="19" t="n">
        <f aca="false">+F274*0.03</f>
        <v>0</v>
      </c>
      <c r="F274" s="33" t="n">
        <v>0</v>
      </c>
      <c r="G274" s="62"/>
      <c r="H274" s="35" t="n">
        <v>0</v>
      </c>
      <c r="I274" s="34" t="n">
        <f aca="false">+IF(E274=0,0,E274*0.03)</f>
        <v>0</v>
      </c>
    </row>
    <row r="275" customFormat="false" ht="15.75" hidden="false" customHeight="true" outlineLevel="0" collapsed="false">
      <c r="A275" s="30" t="n">
        <v>45444</v>
      </c>
      <c r="B275" s="31" t="s">
        <v>153</v>
      </c>
      <c r="C275" s="32"/>
      <c r="D275" s="32"/>
      <c r="E275" s="19" t="n">
        <f aca="false">+F275*0.03</f>
        <v>0</v>
      </c>
      <c r="F275" s="33" t="n">
        <v>0</v>
      </c>
      <c r="G275" s="62"/>
      <c r="H275" s="35" t="n">
        <v>0</v>
      </c>
      <c r="I275" s="34" t="n">
        <f aca="false">+IF(E275=0,0,E275*0.03)</f>
        <v>0</v>
      </c>
    </row>
    <row r="276" customFormat="false" ht="15.75" hidden="false" customHeight="true" outlineLevel="0" collapsed="false">
      <c r="A276" s="30" t="n">
        <v>45444</v>
      </c>
      <c r="B276" s="31" t="s">
        <v>153</v>
      </c>
      <c r="C276" s="32"/>
      <c r="D276" s="32"/>
      <c r="E276" s="19" t="n">
        <f aca="false">+F276*0.03</f>
        <v>0</v>
      </c>
      <c r="F276" s="33" t="n">
        <v>0</v>
      </c>
      <c r="G276" s="62"/>
      <c r="H276" s="35" t="n">
        <v>0</v>
      </c>
      <c r="I276" s="34" t="n">
        <f aca="false">+IF(E276=0,0,E276*0.03)</f>
        <v>0</v>
      </c>
    </row>
    <row r="277" customFormat="false" ht="15.75" hidden="false" customHeight="true" outlineLevel="0" collapsed="false">
      <c r="A277" s="30" t="n">
        <v>45444</v>
      </c>
      <c r="B277" s="31" t="s">
        <v>153</v>
      </c>
      <c r="C277" s="32"/>
      <c r="D277" s="32"/>
      <c r="E277" s="19" t="n">
        <f aca="false">+F277*0.03</f>
        <v>0</v>
      </c>
      <c r="F277" s="33" t="n">
        <v>0</v>
      </c>
      <c r="G277" s="62"/>
      <c r="H277" s="35" t="n">
        <v>0</v>
      </c>
      <c r="I277" s="34" t="n">
        <f aca="false">+IF(E277=0,0,E277*0.03)</f>
        <v>0</v>
      </c>
    </row>
    <row r="278" customFormat="false" ht="15.75" hidden="false" customHeight="true" outlineLevel="0" collapsed="false">
      <c r="A278" s="30" t="n">
        <v>45444</v>
      </c>
      <c r="B278" s="31" t="s">
        <v>153</v>
      </c>
      <c r="C278" s="32"/>
      <c r="D278" s="32"/>
      <c r="E278" s="19" t="n">
        <f aca="false">+F278*0.03</f>
        <v>0</v>
      </c>
      <c r="F278" s="33" t="n">
        <v>0</v>
      </c>
      <c r="G278" s="62"/>
      <c r="H278" s="35" t="n">
        <v>0</v>
      </c>
      <c r="I278" s="34" t="n">
        <f aca="false">+IF(E278=0,0,E278*0.03)</f>
        <v>0</v>
      </c>
    </row>
    <row r="279" customFormat="false" ht="15.75" hidden="false" customHeight="true" outlineLevel="0" collapsed="false">
      <c r="A279" s="30" t="n">
        <v>45444</v>
      </c>
      <c r="B279" s="31" t="s">
        <v>153</v>
      </c>
      <c r="C279" s="32"/>
      <c r="D279" s="32"/>
      <c r="E279" s="19" t="n">
        <f aca="false">+F279*0.03</f>
        <v>0</v>
      </c>
      <c r="F279" s="33" t="n">
        <v>0</v>
      </c>
      <c r="G279" s="62"/>
      <c r="H279" s="35" t="n">
        <v>0</v>
      </c>
      <c r="I279" s="34" t="n">
        <f aca="false">+IF(E279=0,0,E279*0.03)</f>
        <v>0</v>
      </c>
    </row>
    <row r="280" customFormat="false" ht="15.75" hidden="false" customHeight="true" outlineLevel="0" collapsed="false">
      <c r="A280" s="30" t="n">
        <v>45444</v>
      </c>
      <c r="B280" s="31" t="s">
        <v>153</v>
      </c>
      <c r="C280" s="32"/>
      <c r="D280" s="32"/>
      <c r="E280" s="19" t="n">
        <f aca="false">+F280*0.03</f>
        <v>0</v>
      </c>
      <c r="F280" s="33" t="n">
        <v>0</v>
      </c>
      <c r="G280" s="62"/>
      <c r="H280" s="35" t="n">
        <v>0</v>
      </c>
      <c r="I280" s="34" t="n">
        <f aca="false">+IF(E280=0,0,E280*0.03)</f>
        <v>0</v>
      </c>
    </row>
    <row r="281" customFormat="false" ht="15.75" hidden="false" customHeight="true" outlineLevel="0" collapsed="false">
      <c r="A281" s="30" t="n">
        <v>45444</v>
      </c>
      <c r="B281" s="31" t="s">
        <v>153</v>
      </c>
      <c r="C281" s="32"/>
      <c r="D281" s="32"/>
      <c r="E281" s="19" t="n">
        <f aca="false">+F281*0.03</f>
        <v>0</v>
      </c>
      <c r="F281" s="33" t="n">
        <v>0</v>
      </c>
      <c r="G281" s="62"/>
      <c r="H281" s="35" t="n">
        <v>0</v>
      </c>
      <c r="I281" s="34" t="n">
        <f aca="false">+IF(E281=0,0,E281*0.03)</f>
        <v>0</v>
      </c>
    </row>
    <row r="282" customFormat="false" ht="15.75" hidden="false" customHeight="true" outlineLevel="0" collapsed="false">
      <c r="A282" s="30" t="n">
        <v>45444</v>
      </c>
      <c r="B282" s="31" t="s">
        <v>153</v>
      </c>
      <c r="C282" s="32"/>
      <c r="D282" s="32"/>
      <c r="E282" s="19" t="n">
        <f aca="false">+F282*0.03</f>
        <v>0</v>
      </c>
      <c r="F282" s="33" t="n">
        <v>0</v>
      </c>
      <c r="G282" s="62"/>
      <c r="H282" s="35" t="n">
        <v>0</v>
      </c>
      <c r="I282" s="34" t="n">
        <f aca="false">+IF(E282=0,0,E282*0.03)</f>
        <v>0</v>
      </c>
    </row>
    <row r="283" customFormat="false" ht="15.75" hidden="false" customHeight="true" outlineLevel="0" collapsed="false">
      <c r="A283" s="30" t="n">
        <v>45444</v>
      </c>
      <c r="B283" s="31" t="s">
        <v>153</v>
      </c>
      <c r="C283" s="32"/>
      <c r="D283" s="32"/>
      <c r="E283" s="19" t="n">
        <f aca="false">+F283*0.03</f>
        <v>0</v>
      </c>
      <c r="F283" s="33" t="n">
        <v>0</v>
      </c>
      <c r="G283" s="62"/>
      <c r="H283" s="35" t="n">
        <v>0</v>
      </c>
      <c r="I283" s="34" t="n">
        <f aca="false">+IF(E283=0,0,E283*0.03)</f>
        <v>0</v>
      </c>
    </row>
    <row r="284" customFormat="false" ht="15.75" hidden="false" customHeight="true" outlineLevel="0" collapsed="false">
      <c r="A284" s="30" t="n">
        <v>45444</v>
      </c>
      <c r="B284" s="31" t="s">
        <v>153</v>
      </c>
      <c r="C284" s="32"/>
      <c r="D284" s="32"/>
      <c r="E284" s="19" t="n">
        <f aca="false">+F284*0.03</f>
        <v>0</v>
      </c>
      <c r="F284" s="33" t="n">
        <v>0</v>
      </c>
      <c r="G284" s="62"/>
      <c r="H284" s="35" t="n">
        <v>0</v>
      </c>
      <c r="I284" s="34" t="n">
        <f aca="false">+IF(E284=0,0,E284*0.03)</f>
        <v>0</v>
      </c>
    </row>
    <row r="285" customFormat="false" ht="15.75" hidden="false" customHeight="true" outlineLevel="0" collapsed="false">
      <c r="A285" s="30" t="n">
        <v>45444</v>
      </c>
      <c r="B285" s="31" t="s">
        <v>153</v>
      </c>
      <c r="C285" s="32"/>
      <c r="D285" s="32"/>
      <c r="E285" s="19" t="n">
        <f aca="false">+F285*0.03</f>
        <v>0</v>
      </c>
      <c r="F285" s="33" t="n">
        <v>0</v>
      </c>
      <c r="G285" s="62"/>
      <c r="H285" s="35" t="n">
        <v>0</v>
      </c>
      <c r="I285" s="34" t="n">
        <f aca="false">+IF(E285=0,0,E285*0.03)</f>
        <v>0</v>
      </c>
    </row>
    <row r="286" customFormat="false" ht="15.75" hidden="false" customHeight="true" outlineLevel="0" collapsed="false">
      <c r="A286" s="30" t="n">
        <v>45444</v>
      </c>
      <c r="B286" s="31" t="s">
        <v>153</v>
      </c>
      <c r="C286" s="32"/>
      <c r="D286" s="32"/>
      <c r="E286" s="19" t="n">
        <f aca="false">+F286*0.03</f>
        <v>0</v>
      </c>
      <c r="F286" s="33" t="n">
        <v>0</v>
      </c>
      <c r="G286" s="62"/>
      <c r="H286" s="35" t="n">
        <v>0</v>
      </c>
      <c r="I286" s="34" t="n">
        <f aca="false">+IF(E286=0,0,E286*0.03)</f>
        <v>0</v>
      </c>
    </row>
    <row r="287" customFormat="false" ht="15.75" hidden="false" customHeight="true" outlineLevel="0" collapsed="false">
      <c r="A287" s="30" t="n">
        <v>45444</v>
      </c>
      <c r="B287" s="31" t="s">
        <v>153</v>
      </c>
      <c r="C287" s="32"/>
      <c r="D287" s="32"/>
      <c r="E287" s="19" t="n">
        <f aca="false">+F287*0.03</f>
        <v>0</v>
      </c>
      <c r="F287" s="33" t="n">
        <v>0</v>
      </c>
      <c r="G287" s="62"/>
      <c r="H287" s="35" t="n">
        <v>0</v>
      </c>
      <c r="I287" s="34" t="n">
        <f aca="false">+IF(E287=0,0,E287*0.03)</f>
        <v>0</v>
      </c>
    </row>
    <row r="288" customFormat="false" ht="15.75" hidden="false" customHeight="true" outlineLevel="0" collapsed="false">
      <c r="A288" s="30" t="n">
        <v>45444</v>
      </c>
      <c r="B288" s="31" t="s">
        <v>153</v>
      </c>
      <c r="C288" s="32"/>
      <c r="D288" s="32"/>
      <c r="E288" s="19" t="n">
        <f aca="false">+F288*0.03</f>
        <v>0</v>
      </c>
      <c r="F288" s="33" t="n">
        <v>0</v>
      </c>
      <c r="G288" s="62"/>
      <c r="H288" s="35" t="n">
        <v>0</v>
      </c>
      <c r="I288" s="34" t="n">
        <f aca="false">+IF(E288=0,0,E288*0.03)</f>
        <v>0</v>
      </c>
    </row>
    <row r="289" customFormat="false" ht="15.75" hidden="false" customHeight="true" outlineLevel="0" collapsed="false">
      <c r="A289" s="30" t="n">
        <v>45444</v>
      </c>
      <c r="B289" s="31" t="s">
        <v>153</v>
      </c>
      <c r="C289" s="32"/>
      <c r="D289" s="32"/>
      <c r="E289" s="19" t="n">
        <f aca="false">+F289*0.03</f>
        <v>0</v>
      </c>
      <c r="F289" s="33" t="n">
        <v>0</v>
      </c>
      <c r="G289" s="62"/>
      <c r="H289" s="35" t="n">
        <v>0</v>
      </c>
      <c r="I289" s="34" t="n">
        <f aca="false">+IF(E289=0,0,E289*0.03)</f>
        <v>0</v>
      </c>
    </row>
    <row r="290" customFormat="false" ht="15.75" hidden="false" customHeight="true" outlineLevel="0" collapsed="false">
      <c r="A290" s="30" t="n">
        <v>45444</v>
      </c>
      <c r="B290" s="31" t="s">
        <v>153</v>
      </c>
      <c r="C290" s="32"/>
      <c r="D290" s="32"/>
      <c r="E290" s="19" t="n">
        <f aca="false">+F290*0.03</f>
        <v>0</v>
      </c>
      <c r="F290" s="33" t="n">
        <v>0</v>
      </c>
      <c r="G290" s="62"/>
      <c r="H290" s="35" t="n">
        <v>0</v>
      </c>
      <c r="I290" s="34" t="n">
        <f aca="false">+IF(E290=0,0,E290*0.03)</f>
        <v>0</v>
      </c>
    </row>
    <row r="291" customFormat="false" ht="15.75" hidden="false" customHeight="true" outlineLevel="0" collapsed="false">
      <c r="A291" s="30" t="n">
        <v>45444</v>
      </c>
      <c r="B291" s="31" t="s">
        <v>153</v>
      </c>
      <c r="C291" s="32"/>
      <c r="D291" s="32"/>
      <c r="E291" s="19" t="n">
        <f aca="false">+F291*0.03</f>
        <v>0</v>
      </c>
      <c r="F291" s="33" t="n">
        <v>0</v>
      </c>
      <c r="G291" s="62"/>
      <c r="H291" s="35" t="n">
        <v>0</v>
      </c>
      <c r="I291" s="34" t="n">
        <f aca="false">+IF(E291=0,0,E291*0.03)</f>
        <v>0</v>
      </c>
    </row>
    <row r="292" customFormat="false" ht="15.75" hidden="false" customHeight="true" outlineLevel="0" collapsed="false">
      <c r="A292" s="30" t="n">
        <v>45444</v>
      </c>
      <c r="B292" s="31" t="s">
        <v>153</v>
      </c>
      <c r="C292" s="32"/>
      <c r="D292" s="32"/>
      <c r="E292" s="19" t="n">
        <f aca="false">+F292*0.03</f>
        <v>0</v>
      </c>
      <c r="F292" s="33" t="n">
        <v>0</v>
      </c>
      <c r="G292" s="62"/>
      <c r="H292" s="35" t="n">
        <v>0</v>
      </c>
      <c r="I292" s="34" t="n">
        <f aca="false">+IF(E292=0,0,E292*0.03)</f>
        <v>0</v>
      </c>
    </row>
    <row r="293" customFormat="false" ht="15.75" hidden="false" customHeight="true" outlineLevel="0" collapsed="false">
      <c r="A293" s="30" t="n">
        <v>45444</v>
      </c>
      <c r="B293" s="31" t="s">
        <v>153</v>
      </c>
      <c r="C293" s="32"/>
      <c r="D293" s="32"/>
      <c r="E293" s="19" t="n">
        <f aca="false">+F293*0.03</f>
        <v>0</v>
      </c>
      <c r="F293" s="33" t="n">
        <v>0</v>
      </c>
      <c r="G293" s="62"/>
      <c r="H293" s="35" t="n">
        <v>0</v>
      </c>
      <c r="I293" s="34" t="n">
        <f aca="false">+IF(E293=0,0,E293*0.03)</f>
        <v>0</v>
      </c>
    </row>
    <row r="294" customFormat="false" ht="15.75" hidden="false" customHeight="true" outlineLevel="0" collapsed="false">
      <c r="A294" s="30" t="n">
        <v>45444</v>
      </c>
      <c r="B294" s="31" t="s">
        <v>153</v>
      </c>
      <c r="C294" s="32"/>
      <c r="D294" s="32"/>
      <c r="E294" s="19" t="n">
        <f aca="false">+F294*0.03</f>
        <v>0</v>
      </c>
      <c r="F294" s="33" t="n">
        <v>0</v>
      </c>
      <c r="G294" s="62"/>
      <c r="H294" s="35" t="n">
        <v>0</v>
      </c>
      <c r="I294" s="34" t="n">
        <f aca="false">+IF(E294=0,0,E294*0.03)</f>
        <v>0</v>
      </c>
    </row>
    <row r="295" customFormat="false" ht="15.75" hidden="false" customHeight="true" outlineLevel="0" collapsed="false">
      <c r="A295" s="30" t="n">
        <v>45444</v>
      </c>
      <c r="B295" s="31" t="s">
        <v>153</v>
      </c>
      <c r="C295" s="32"/>
      <c r="D295" s="32"/>
      <c r="E295" s="19" t="n">
        <f aca="false">+F295*0.03</f>
        <v>0</v>
      </c>
      <c r="F295" s="33" t="n">
        <v>0</v>
      </c>
      <c r="G295" s="62"/>
      <c r="H295" s="35" t="n">
        <v>0</v>
      </c>
      <c r="I295" s="34" t="n">
        <f aca="false">+IF(E295=0,0,E295*0.03)</f>
        <v>0</v>
      </c>
    </row>
    <row r="296" customFormat="false" ht="15.75" hidden="false" customHeight="true" outlineLevel="0" collapsed="false">
      <c r="A296" s="30" t="n">
        <v>45444</v>
      </c>
      <c r="B296" s="31" t="s">
        <v>153</v>
      </c>
      <c r="C296" s="32"/>
      <c r="D296" s="32"/>
      <c r="E296" s="19" t="n">
        <f aca="false">+F296*0.03</f>
        <v>0</v>
      </c>
      <c r="F296" s="33" t="n">
        <v>0</v>
      </c>
      <c r="G296" s="62"/>
      <c r="H296" s="35" t="n">
        <v>0</v>
      </c>
      <c r="I296" s="34" t="n">
        <f aca="false">+IF(E296=0,0,E296*0.03)</f>
        <v>0</v>
      </c>
    </row>
    <row r="297" customFormat="false" ht="15.75" hidden="false" customHeight="true" outlineLevel="0" collapsed="false">
      <c r="A297" s="30" t="n">
        <v>45444</v>
      </c>
      <c r="B297" s="31" t="s">
        <v>153</v>
      </c>
      <c r="C297" s="32"/>
      <c r="D297" s="32"/>
      <c r="E297" s="19" t="n">
        <f aca="false">+F297*0.03</f>
        <v>0</v>
      </c>
      <c r="F297" s="33" t="n">
        <v>0</v>
      </c>
      <c r="G297" s="62"/>
      <c r="H297" s="35" t="n">
        <v>0</v>
      </c>
      <c r="I297" s="34" t="n">
        <f aca="false">+IF(E297=0,0,E297*0.03)</f>
        <v>0</v>
      </c>
    </row>
    <row r="298" customFormat="false" ht="15.75" hidden="false" customHeight="true" outlineLevel="0" collapsed="false">
      <c r="A298" s="30" t="n">
        <v>45444</v>
      </c>
      <c r="B298" s="31" t="s">
        <v>153</v>
      </c>
      <c r="C298" s="32"/>
      <c r="D298" s="32"/>
      <c r="E298" s="19" t="n">
        <f aca="false">+F298*0.03</f>
        <v>0</v>
      </c>
      <c r="F298" s="33" t="n">
        <v>0</v>
      </c>
      <c r="G298" s="62"/>
      <c r="H298" s="35" t="n">
        <v>0</v>
      </c>
      <c r="I298" s="34" t="n">
        <f aca="false">+IF(E298=0,0,E298*0.03)</f>
        <v>0</v>
      </c>
    </row>
    <row r="299" customFormat="false" ht="15.75" hidden="false" customHeight="true" outlineLevel="0" collapsed="false">
      <c r="A299" s="30" t="n">
        <v>45444</v>
      </c>
      <c r="B299" s="31" t="s">
        <v>153</v>
      </c>
      <c r="C299" s="32"/>
      <c r="D299" s="32"/>
      <c r="E299" s="19" t="n">
        <f aca="false">+F299*0.03</f>
        <v>0</v>
      </c>
      <c r="F299" s="33" t="n">
        <v>0</v>
      </c>
      <c r="G299" s="62"/>
      <c r="H299" s="35" t="n">
        <v>0</v>
      </c>
      <c r="I299" s="34" t="n">
        <f aca="false">+IF(E299=0,0,E299*0.03)</f>
        <v>0</v>
      </c>
    </row>
    <row r="300" customFormat="false" ht="15.75" hidden="false" customHeight="true" outlineLevel="0" collapsed="false">
      <c r="A300" s="30" t="n">
        <v>45444</v>
      </c>
      <c r="B300" s="31" t="s">
        <v>153</v>
      </c>
      <c r="C300" s="32"/>
      <c r="D300" s="32"/>
      <c r="E300" s="19" t="n">
        <f aca="false">+F300*0.03</f>
        <v>0</v>
      </c>
      <c r="F300" s="33" t="n">
        <v>0</v>
      </c>
      <c r="G300" s="62"/>
      <c r="H300" s="35" t="n">
        <v>0</v>
      </c>
      <c r="I300" s="34" t="n">
        <f aca="false">+IF(E300=0,0,E300*0.03)</f>
        <v>0</v>
      </c>
    </row>
    <row r="301" customFormat="false" ht="15.75" hidden="false" customHeight="true" outlineLevel="0" collapsed="false">
      <c r="A301" s="30" t="n">
        <v>45444</v>
      </c>
      <c r="B301" s="31" t="s">
        <v>153</v>
      </c>
      <c r="C301" s="32"/>
      <c r="D301" s="32"/>
      <c r="E301" s="19" t="n">
        <f aca="false">+F301*0.03</f>
        <v>0</v>
      </c>
      <c r="F301" s="33" t="n">
        <v>0</v>
      </c>
      <c r="G301" s="62"/>
      <c r="H301" s="35" t="n">
        <v>0</v>
      </c>
      <c r="I301" s="34" t="n">
        <f aca="false">+IF(E301=0,0,E301*0.03)</f>
        <v>0</v>
      </c>
    </row>
    <row r="302" customFormat="false" ht="15.75" hidden="false" customHeight="true" outlineLevel="0" collapsed="false">
      <c r="A302" s="30" t="n">
        <v>45444</v>
      </c>
      <c r="B302" s="31" t="s">
        <v>153</v>
      </c>
      <c r="C302" s="32"/>
      <c r="D302" s="32"/>
      <c r="E302" s="19" t="n">
        <f aca="false">+F302*0.03</f>
        <v>0</v>
      </c>
      <c r="F302" s="33" t="n">
        <v>0</v>
      </c>
      <c r="G302" s="62"/>
      <c r="H302" s="35" t="n">
        <v>0</v>
      </c>
      <c r="I302" s="34" t="n">
        <f aca="false">+IF(E302=0,0,E302*0.03)</f>
        <v>0</v>
      </c>
    </row>
    <row r="303" customFormat="false" ht="15.75" hidden="false" customHeight="true" outlineLevel="0" collapsed="false">
      <c r="A303" s="30" t="n">
        <v>45444</v>
      </c>
      <c r="B303" s="31" t="s">
        <v>153</v>
      </c>
      <c r="C303" s="32"/>
      <c r="D303" s="32"/>
      <c r="E303" s="19" t="n">
        <f aca="false">+F303*0.03</f>
        <v>0</v>
      </c>
      <c r="F303" s="33" t="n">
        <v>0</v>
      </c>
      <c r="G303" s="62"/>
      <c r="H303" s="35" t="n">
        <v>0</v>
      </c>
      <c r="I303" s="34" t="n">
        <f aca="false">+IF(E303=0,0,E303*0.03)</f>
        <v>0</v>
      </c>
    </row>
    <row r="304" customFormat="false" ht="15.75" hidden="false" customHeight="true" outlineLevel="0" collapsed="false">
      <c r="A304" s="30" t="n">
        <v>45444</v>
      </c>
      <c r="B304" s="31" t="s">
        <v>153</v>
      </c>
      <c r="C304" s="32"/>
      <c r="D304" s="32"/>
      <c r="E304" s="19" t="n">
        <f aca="false">+F304*0.03</f>
        <v>0</v>
      </c>
      <c r="F304" s="33" t="n">
        <v>0</v>
      </c>
      <c r="G304" s="62"/>
      <c r="H304" s="35" t="n">
        <v>0</v>
      </c>
      <c r="I304" s="34" t="n">
        <f aca="false">+IF(E304=0,0,E304*0.03)</f>
        <v>0</v>
      </c>
    </row>
    <row r="305" customFormat="false" ht="15.75" hidden="false" customHeight="true" outlineLevel="0" collapsed="false">
      <c r="A305" s="30" t="n">
        <v>45444</v>
      </c>
      <c r="B305" s="31" t="s">
        <v>153</v>
      </c>
      <c r="C305" s="32"/>
      <c r="D305" s="32"/>
      <c r="E305" s="19" t="n">
        <f aca="false">+F305*0.03</f>
        <v>0</v>
      </c>
      <c r="F305" s="33" t="n">
        <v>0</v>
      </c>
      <c r="G305" s="62"/>
      <c r="H305" s="35" t="n">
        <v>0</v>
      </c>
      <c r="I305" s="34" t="n">
        <f aca="false">+IF(E305=0,0,E305*0.03)</f>
        <v>0</v>
      </c>
    </row>
    <row r="306" customFormat="false" ht="15.75" hidden="false" customHeight="true" outlineLevel="0" collapsed="false">
      <c r="A306" s="30" t="n">
        <v>45444</v>
      </c>
      <c r="B306" s="31" t="s">
        <v>153</v>
      </c>
      <c r="C306" s="32"/>
      <c r="D306" s="32"/>
      <c r="E306" s="19" t="n">
        <f aca="false">+F306*0.03</f>
        <v>0</v>
      </c>
      <c r="F306" s="33" t="n">
        <v>0</v>
      </c>
      <c r="G306" s="62"/>
      <c r="H306" s="35" t="n">
        <v>0</v>
      </c>
      <c r="I306" s="34" t="n">
        <f aca="false">+IF(E306=0,0,E306*0.03)</f>
        <v>0</v>
      </c>
    </row>
    <row r="307" customFormat="false" ht="15.75" hidden="false" customHeight="true" outlineLevel="0" collapsed="false">
      <c r="A307" s="30" t="n">
        <v>45444</v>
      </c>
      <c r="B307" s="31" t="s">
        <v>153</v>
      </c>
      <c r="C307" s="32"/>
      <c r="D307" s="32"/>
      <c r="E307" s="19" t="n">
        <f aca="false">+F307*0.03</f>
        <v>0</v>
      </c>
      <c r="F307" s="33" t="n">
        <v>0</v>
      </c>
      <c r="G307" s="62"/>
      <c r="H307" s="35" t="n">
        <v>0</v>
      </c>
      <c r="I307" s="34" t="n">
        <f aca="false">+IF(E307=0,0,E307*0.03)</f>
        <v>0</v>
      </c>
    </row>
    <row r="308" customFormat="false" ht="15.75" hidden="false" customHeight="true" outlineLevel="0" collapsed="false">
      <c r="A308" s="30" t="n">
        <v>45444</v>
      </c>
      <c r="B308" s="31" t="s">
        <v>153</v>
      </c>
      <c r="C308" s="32"/>
      <c r="D308" s="32"/>
      <c r="E308" s="19" t="n">
        <f aca="false">+F308*0.03</f>
        <v>0</v>
      </c>
      <c r="F308" s="33" t="n">
        <v>0</v>
      </c>
      <c r="G308" s="62"/>
      <c r="H308" s="35" t="n">
        <v>0</v>
      </c>
      <c r="I308" s="34" t="n">
        <f aca="false">+IF(E308=0,0,E308*0.03)</f>
        <v>0</v>
      </c>
    </row>
    <row r="309" customFormat="false" ht="15.75" hidden="false" customHeight="true" outlineLevel="0" collapsed="false">
      <c r="A309" s="30" t="n">
        <v>45444</v>
      </c>
      <c r="B309" s="31" t="s">
        <v>153</v>
      </c>
      <c r="C309" s="32"/>
      <c r="D309" s="32"/>
      <c r="E309" s="19" t="n">
        <f aca="false">+F309*0.03</f>
        <v>0</v>
      </c>
      <c r="F309" s="33" t="n">
        <v>0</v>
      </c>
      <c r="G309" s="62"/>
      <c r="H309" s="35" t="n">
        <v>0</v>
      </c>
      <c r="I309" s="34" t="n">
        <f aca="false">+IF(E309=0,0,E309*0.03)</f>
        <v>0</v>
      </c>
    </row>
    <row r="310" customFormat="false" ht="15.75" hidden="false" customHeight="true" outlineLevel="0" collapsed="false">
      <c r="A310" s="30" t="n">
        <v>45444</v>
      </c>
      <c r="B310" s="31" t="s">
        <v>153</v>
      </c>
      <c r="C310" s="32"/>
      <c r="D310" s="32"/>
      <c r="E310" s="19" t="n">
        <f aca="false">+F310*0.03</f>
        <v>0</v>
      </c>
      <c r="F310" s="33" t="n">
        <v>0</v>
      </c>
      <c r="G310" s="62"/>
      <c r="H310" s="35" t="n">
        <v>0</v>
      </c>
      <c r="I310" s="34" t="n">
        <f aca="false">+IF(E310=0,0,E310*0.03)</f>
        <v>0</v>
      </c>
    </row>
    <row r="311" customFormat="false" ht="15.75" hidden="false" customHeight="true" outlineLevel="0" collapsed="false">
      <c r="A311" s="30" t="n">
        <v>45444</v>
      </c>
      <c r="B311" s="31" t="s">
        <v>153</v>
      </c>
      <c r="C311" s="32"/>
      <c r="D311" s="32"/>
      <c r="E311" s="19" t="n">
        <f aca="false">+F311*0.03</f>
        <v>0</v>
      </c>
      <c r="F311" s="33" t="n">
        <v>0</v>
      </c>
      <c r="G311" s="62"/>
      <c r="H311" s="35" t="n">
        <v>0</v>
      </c>
      <c r="I311" s="34" t="n">
        <f aca="false">+IF(E311=0,0,E311*0.03)</f>
        <v>0</v>
      </c>
    </row>
    <row r="312" customFormat="false" ht="15.75" hidden="false" customHeight="true" outlineLevel="0" collapsed="false">
      <c r="A312" s="30" t="n">
        <v>45444</v>
      </c>
      <c r="B312" s="31" t="s">
        <v>153</v>
      </c>
      <c r="C312" s="32"/>
      <c r="D312" s="32"/>
      <c r="E312" s="19" t="n">
        <f aca="false">+F312*0.03</f>
        <v>0</v>
      </c>
      <c r="F312" s="33" t="n">
        <v>0</v>
      </c>
      <c r="G312" s="62"/>
      <c r="H312" s="35" t="n">
        <v>0</v>
      </c>
      <c r="I312" s="34" t="n">
        <f aca="false">+IF(E312=0,0,E312*0.03)</f>
        <v>0</v>
      </c>
    </row>
    <row r="313" customFormat="false" ht="15.75" hidden="false" customHeight="true" outlineLevel="0" collapsed="false">
      <c r="A313" s="30" t="n">
        <v>45444</v>
      </c>
      <c r="B313" s="31" t="s">
        <v>153</v>
      </c>
      <c r="C313" s="32"/>
      <c r="D313" s="32"/>
      <c r="E313" s="19" t="n">
        <f aca="false">+F313*0.03</f>
        <v>0</v>
      </c>
      <c r="F313" s="33" t="n">
        <v>0</v>
      </c>
      <c r="G313" s="62"/>
      <c r="H313" s="35" t="n">
        <v>0</v>
      </c>
      <c r="I313" s="34" t="n">
        <f aca="false">+IF(E313=0,0,E313*0.03)</f>
        <v>0</v>
      </c>
    </row>
    <row r="314" customFormat="false" ht="15.75" hidden="false" customHeight="true" outlineLevel="0" collapsed="false">
      <c r="A314" s="30" t="n">
        <v>45444</v>
      </c>
      <c r="B314" s="31" t="s">
        <v>153</v>
      </c>
      <c r="C314" s="32"/>
      <c r="D314" s="32"/>
      <c r="E314" s="19" t="n">
        <f aca="false">+F314*0.03</f>
        <v>0</v>
      </c>
      <c r="F314" s="33" t="n">
        <v>0</v>
      </c>
      <c r="G314" s="62"/>
      <c r="H314" s="35" t="n">
        <v>0</v>
      </c>
      <c r="I314" s="34" t="n">
        <f aca="false">+IF(E314=0,0,E314*0.03)</f>
        <v>0</v>
      </c>
    </row>
    <row r="315" customFormat="false" ht="15.75" hidden="false" customHeight="true" outlineLevel="0" collapsed="false">
      <c r="A315" s="30" t="n">
        <v>45444</v>
      </c>
      <c r="B315" s="31" t="s">
        <v>153</v>
      </c>
      <c r="C315" s="32"/>
      <c r="D315" s="32"/>
      <c r="E315" s="19" t="n">
        <f aca="false">+F315*0.03</f>
        <v>0</v>
      </c>
      <c r="F315" s="33" t="n">
        <v>0</v>
      </c>
      <c r="G315" s="62"/>
      <c r="H315" s="35" t="n">
        <v>0</v>
      </c>
      <c r="I315" s="34" t="n">
        <f aca="false">+IF(E315=0,0,E315*0.03)</f>
        <v>0</v>
      </c>
    </row>
    <row r="316" customFormat="false" ht="15.75" hidden="false" customHeight="true" outlineLevel="0" collapsed="false">
      <c r="A316" s="30" t="n">
        <v>45444</v>
      </c>
      <c r="B316" s="31" t="s">
        <v>153</v>
      </c>
      <c r="C316" s="32"/>
      <c r="D316" s="32"/>
      <c r="E316" s="19" t="n">
        <f aca="false">+F316*0.03</f>
        <v>0</v>
      </c>
      <c r="F316" s="33" t="n">
        <v>0</v>
      </c>
      <c r="G316" s="62"/>
      <c r="H316" s="35" t="n">
        <v>0</v>
      </c>
      <c r="I316" s="34" t="n">
        <f aca="false">+IF(E316=0,0,E316*0.03)</f>
        <v>0</v>
      </c>
    </row>
    <row r="317" customFormat="false" ht="15.75" hidden="false" customHeight="true" outlineLevel="0" collapsed="false">
      <c r="A317" s="30" t="n">
        <v>45444</v>
      </c>
      <c r="B317" s="31" t="s">
        <v>153</v>
      </c>
      <c r="C317" s="32"/>
      <c r="D317" s="32"/>
      <c r="E317" s="19" t="n">
        <f aca="false">+F317*0.03</f>
        <v>0</v>
      </c>
      <c r="F317" s="33" t="n">
        <v>0</v>
      </c>
      <c r="G317" s="62"/>
      <c r="H317" s="35" t="n">
        <v>0</v>
      </c>
      <c r="I317" s="34" t="n">
        <f aca="false">+IF(E317=0,0,E317*0.03)</f>
        <v>0</v>
      </c>
    </row>
    <row r="318" customFormat="false" ht="15.75" hidden="false" customHeight="true" outlineLevel="0" collapsed="false">
      <c r="A318" s="30" t="n">
        <v>45444</v>
      </c>
      <c r="B318" s="31" t="s">
        <v>153</v>
      </c>
      <c r="C318" s="32"/>
      <c r="D318" s="32"/>
      <c r="E318" s="19" t="n">
        <f aca="false">+F318*0.03</f>
        <v>0</v>
      </c>
      <c r="F318" s="33" t="n">
        <v>0</v>
      </c>
      <c r="G318" s="62"/>
      <c r="H318" s="35" t="n">
        <v>0</v>
      </c>
      <c r="I318" s="34" t="n">
        <f aca="false">+IF(E318=0,0,E318*0.03)</f>
        <v>0</v>
      </c>
    </row>
    <row r="319" customFormat="false" ht="15.75" hidden="false" customHeight="true" outlineLevel="0" collapsed="false">
      <c r="A319" s="30" t="n">
        <v>45444</v>
      </c>
      <c r="B319" s="31" t="s">
        <v>153</v>
      </c>
      <c r="C319" s="32"/>
      <c r="D319" s="32"/>
      <c r="E319" s="19" t="n">
        <f aca="false">+F319*0.03</f>
        <v>0</v>
      </c>
      <c r="F319" s="33" t="n">
        <v>0</v>
      </c>
      <c r="G319" s="62"/>
      <c r="H319" s="35" t="n">
        <v>0</v>
      </c>
      <c r="I319" s="34" t="n">
        <f aca="false">+IF(E319=0,0,E319*0.03)</f>
        <v>0</v>
      </c>
    </row>
    <row r="320" customFormat="false" ht="15.75" hidden="false" customHeight="true" outlineLevel="0" collapsed="false">
      <c r="A320" s="30" t="n">
        <v>45444</v>
      </c>
      <c r="B320" s="31" t="s">
        <v>153</v>
      </c>
      <c r="C320" s="32"/>
      <c r="D320" s="32"/>
      <c r="E320" s="19" t="n">
        <f aca="false">+F320*0.03</f>
        <v>0</v>
      </c>
      <c r="F320" s="33" t="n">
        <v>0</v>
      </c>
      <c r="G320" s="62"/>
      <c r="H320" s="35" t="n">
        <v>0</v>
      </c>
      <c r="I320" s="34" t="n">
        <f aca="false">+IF(E320=0,0,E320*0.03)</f>
        <v>0</v>
      </c>
    </row>
    <row r="321" customFormat="false" ht="15.75" hidden="false" customHeight="true" outlineLevel="0" collapsed="false">
      <c r="A321" s="30" t="n">
        <v>45444</v>
      </c>
      <c r="B321" s="31" t="s">
        <v>153</v>
      </c>
      <c r="C321" s="32"/>
      <c r="D321" s="32"/>
      <c r="E321" s="19" t="n">
        <f aca="false">+F321*0.03</f>
        <v>0</v>
      </c>
      <c r="F321" s="33" t="n">
        <v>0</v>
      </c>
      <c r="G321" s="62"/>
      <c r="H321" s="35" t="n">
        <v>0</v>
      </c>
      <c r="I321" s="34" t="n">
        <f aca="false">+IF(E321=0,0,E321*0.03)</f>
        <v>0</v>
      </c>
    </row>
    <row r="322" customFormat="false" ht="15.75" hidden="false" customHeight="true" outlineLevel="0" collapsed="false">
      <c r="A322" s="30" t="n">
        <v>45444</v>
      </c>
      <c r="B322" s="31" t="s">
        <v>153</v>
      </c>
      <c r="C322" s="32"/>
      <c r="D322" s="32"/>
      <c r="E322" s="19" t="n">
        <f aca="false">+F322*0.03</f>
        <v>0</v>
      </c>
      <c r="F322" s="33" t="n">
        <v>0</v>
      </c>
      <c r="G322" s="62"/>
      <c r="H322" s="35" t="n">
        <v>0</v>
      </c>
      <c r="I322" s="34" t="n">
        <f aca="false">+IF(E322=0,0,E322*0.03)</f>
        <v>0</v>
      </c>
    </row>
    <row r="323" customFormat="false" ht="15.75" hidden="false" customHeight="true" outlineLevel="0" collapsed="false">
      <c r="A323" s="30" t="n">
        <v>45444</v>
      </c>
      <c r="B323" s="31" t="s">
        <v>153</v>
      </c>
      <c r="C323" s="32"/>
      <c r="D323" s="32"/>
      <c r="E323" s="19" t="n">
        <f aca="false">+F323*0.03</f>
        <v>0</v>
      </c>
      <c r="F323" s="33" t="n">
        <v>0</v>
      </c>
      <c r="G323" s="62"/>
      <c r="H323" s="35" t="n">
        <v>0</v>
      </c>
      <c r="I323" s="34" t="n">
        <f aca="false">+IF(E323=0,0,E323*0.03)</f>
        <v>0</v>
      </c>
    </row>
    <row r="324" customFormat="false" ht="15.75" hidden="false" customHeight="true" outlineLevel="0" collapsed="false">
      <c r="A324" s="30" t="n">
        <v>45444</v>
      </c>
      <c r="B324" s="31" t="s">
        <v>153</v>
      </c>
      <c r="C324" s="32"/>
      <c r="D324" s="32"/>
      <c r="E324" s="19" t="n">
        <f aca="false">+F324*0.03</f>
        <v>0</v>
      </c>
      <c r="F324" s="33" t="n">
        <v>0</v>
      </c>
      <c r="G324" s="62"/>
      <c r="H324" s="35" t="n">
        <v>0</v>
      </c>
      <c r="I324" s="34" t="n">
        <f aca="false">+IF(E324=0,0,E324*0.03)</f>
        <v>0</v>
      </c>
    </row>
    <row r="325" customFormat="false" ht="15.75" hidden="false" customHeight="true" outlineLevel="0" collapsed="false">
      <c r="A325" s="30" t="n">
        <v>45444</v>
      </c>
      <c r="B325" s="31" t="s">
        <v>153</v>
      </c>
      <c r="C325" s="32"/>
      <c r="D325" s="32"/>
      <c r="E325" s="19" t="n">
        <f aca="false">+F325*0.03</f>
        <v>0</v>
      </c>
      <c r="F325" s="33" t="n">
        <v>0</v>
      </c>
      <c r="G325" s="62"/>
      <c r="H325" s="35" t="n">
        <v>0</v>
      </c>
      <c r="I325" s="34" t="n">
        <f aca="false">+IF(E325=0,0,E325*0.03)</f>
        <v>0</v>
      </c>
    </row>
    <row r="326" customFormat="false" ht="15.75" hidden="false" customHeight="true" outlineLevel="0" collapsed="false">
      <c r="A326" s="30" t="n">
        <v>45444</v>
      </c>
      <c r="B326" s="31" t="s">
        <v>153</v>
      </c>
      <c r="C326" s="32"/>
      <c r="D326" s="32"/>
      <c r="E326" s="19" t="n">
        <f aca="false">+F326*0.03</f>
        <v>0</v>
      </c>
      <c r="F326" s="33" t="n">
        <v>0</v>
      </c>
      <c r="G326" s="62"/>
      <c r="H326" s="35" t="n">
        <v>0</v>
      </c>
      <c r="I326" s="34" t="n">
        <f aca="false">+IF(E326=0,0,E326*0.03)</f>
        <v>0</v>
      </c>
    </row>
    <row r="327" customFormat="false" ht="15.75" hidden="false" customHeight="true" outlineLevel="0" collapsed="false">
      <c r="A327" s="30" t="n">
        <v>45444</v>
      </c>
      <c r="B327" s="31" t="s">
        <v>153</v>
      </c>
      <c r="C327" s="32"/>
      <c r="D327" s="32"/>
      <c r="E327" s="19" t="n">
        <f aca="false">+F327*0.03</f>
        <v>0</v>
      </c>
      <c r="F327" s="33" t="n">
        <v>0</v>
      </c>
      <c r="G327" s="62"/>
      <c r="H327" s="35" t="n">
        <v>0</v>
      </c>
      <c r="I327" s="34" t="n">
        <f aca="false">+IF(E327=0,0,E327*0.03)</f>
        <v>0</v>
      </c>
    </row>
    <row r="328" customFormat="false" ht="15.75" hidden="false" customHeight="true" outlineLevel="0" collapsed="false">
      <c r="A328" s="30" t="n">
        <v>45444</v>
      </c>
      <c r="B328" s="31" t="s">
        <v>153</v>
      </c>
      <c r="C328" s="32"/>
      <c r="D328" s="32"/>
      <c r="E328" s="19" t="n">
        <f aca="false">+F328*0.03</f>
        <v>0</v>
      </c>
      <c r="F328" s="33" t="n">
        <v>0</v>
      </c>
      <c r="G328" s="62"/>
      <c r="H328" s="35" t="n">
        <v>0</v>
      </c>
      <c r="I328" s="34" t="n">
        <f aca="false">+IF(E328=0,0,E328*0.03)</f>
        <v>0</v>
      </c>
    </row>
    <row r="329" customFormat="false" ht="15.75" hidden="false" customHeight="true" outlineLevel="0" collapsed="false">
      <c r="A329" s="30" t="n">
        <v>45444</v>
      </c>
      <c r="B329" s="31" t="s">
        <v>153</v>
      </c>
      <c r="C329" s="32"/>
      <c r="D329" s="32"/>
      <c r="E329" s="19" t="n">
        <f aca="false">+F329*0.03</f>
        <v>0</v>
      </c>
      <c r="F329" s="33" t="n">
        <v>0</v>
      </c>
      <c r="G329" s="62"/>
      <c r="H329" s="35" t="n">
        <v>0</v>
      </c>
      <c r="I329" s="34" t="n">
        <f aca="false">+IF(E329=0,0,E329*0.03)</f>
        <v>0</v>
      </c>
    </row>
    <row r="330" customFormat="false" ht="15.75" hidden="false" customHeight="true" outlineLevel="0" collapsed="false">
      <c r="A330" s="30" t="n">
        <v>45444</v>
      </c>
      <c r="B330" s="31" t="s">
        <v>153</v>
      </c>
      <c r="C330" s="32"/>
      <c r="D330" s="32"/>
      <c r="E330" s="19" t="n">
        <f aca="false">+F330*0.03</f>
        <v>0</v>
      </c>
      <c r="F330" s="33" t="n">
        <v>0</v>
      </c>
      <c r="G330" s="62"/>
      <c r="H330" s="35" t="n">
        <v>0</v>
      </c>
      <c r="I330" s="34" t="n">
        <f aca="false">+IF(E330=0,0,E330*0.03)</f>
        <v>0</v>
      </c>
    </row>
    <row r="331" customFormat="false" ht="15.75" hidden="false" customHeight="true" outlineLevel="0" collapsed="false">
      <c r="A331" s="30" t="n">
        <v>45444</v>
      </c>
      <c r="B331" s="31" t="s">
        <v>153</v>
      </c>
      <c r="C331" s="32"/>
      <c r="D331" s="32"/>
      <c r="E331" s="19" t="n">
        <f aca="false">+F331*0.03</f>
        <v>0</v>
      </c>
      <c r="F331" s="33" t="n">
        <v>0</v>
      </c>
      <c r="G331" s="62"/>
      <c r="H331" s="35" t="n">
        <v>0</v>
      </c>
      <c r="I331" s="34" t="n">
        <f aca="false">+IF(E331=0,0,E331*0.03)</f>
        <v>0</v>
      </c>
    </row>
    <row r="332" customFormat="false" ht="15.75" hidden="false" customHeight="true" outlineLevel="0" collapsed="false">
      <c r="A332" s="30" t="n">
        <v>45444</v>
      </c>
      <c r="B332" s="31" t="s">
        <v>153</v>
      </c>
      <c r="C332" s="32"/>
      <c r="D332" s="32"/>
      <c r="E332" s="19" t="n">
        <f aca="false">+F332*0.03</f>
        <v>0</v>
      </c>
      <c r="F332" s="33" t="n">
        <v>0</v>
      </c>
      <c r="G332" s="62"/>
      <c r="H332" s="35" t="n">
        <v>0</v>
      </c>
      <c r="I332" s="34" t="n">
        <f aca="false">+IF(E332=0,0,E332*0.03)</f>
        <v>0</v>
      </c>
    </row>
    <row r="333" customFormat="false" ht="15.75" hidden="false" customHeight="true" outlineLevel="0" collapsed="false">
      <c r="A333" s="30" t="n">
        <v>45444</v>
      </c>
      <c r="B333" s="31" t="s">
        <v>153</v>
      </c>
      <c r="C333" s="32"/>
      <c r="D333" s="32"/>
      <c r="E333" s="19" t="n">
        <f aca="false">+F333*0.03</f>
        <v>0</v>
      </c>
      <c r="F333" s="33" t="n">
        <v>0</v>
      </c>
      <c r="G333" s="62"/>
      <c r="H333" s="35" t="n">
        <v>0</v>
      </c>
      <c r="I333" s="34" t="n">
        <f aca="false">+IF(E333=0,0,E333*0.03)</f>
        <v>0</v>
      </c>
    </row>
    <row r="334" customFormat="false" ht="15.75" hidden="false" customHeight="true" outlineLevel="0" collapsed="false">
      <c r="A334" s="30" t="n">
        <v>45444</v>
      </c>
      <c r="B334" s="31" t="s">
        <v>153</v>
      </c>
      <c r="C334" s="32"/>
      <c r="D334" s="32"/>
      <c r="E334" s="19" t="n">
        <f aca="false">+F334*0.03</f>
        <v>0</v>
      </c>
      <c r="F334" s="33" t="n">
        <v>0</v>
      </c>
      <c r="G334" s="62"/>
      <c r="H334" s="35" t="n">
        <v>0</v>
      </c>
      <c r="I334" s="34" t="n">
        <f aca="false">+IF(E334=0,0,E334*0.03)</f>
        <v>0</v>
      </c>
    </row>
    <row r="335" customFormat="false" ht="15.75" hidden="false" customHeight="true" outlineLevel="0" collapsed="false">
      <c r="A335" s="30" t="n">
        <v>45444</v>
      </c>
      <c r="B335" s="31" t="s">
        <v>153</v>
      </c>
      <c r="C335" s="32"/>
      <c r="D335" s="32"/>
      <c r="E335" s="19" t="n">
        <f aca="false">+F335*0.03</f>
        <v>0</v>
      </c>
      <c r="F335" s="33" t="n">
        <v>0</v>
      </c>
      <c r="G335" s="62"/>
      <c r="H335" s="35" t="n">
        <v>0</v>
      </c>
      <c r="I335" s="34" t="n">
        <f aca="false">+IF(E335=0,0,E335*0.03)</f>
        <v>0</v>
      </c>
    </row>
    <row r="336" customFormat="false" ht="15.75" hidden="false" customHeight="true" outlineLevel="0" collapsed="false">
      <c r="A336" s="30" t="n">
        <v>45444</v>
      </c>
      <c r="B336" s="31" t="s">
        <v>153</v>
      </c>
      <c r="C336" s="32"/>
      <c r="D336" s="32"/>
      <c r="E336" s="19" t="n">
        <f aca="false">+F336*0.03</f>
        <v>0</v>
      </c>
      <c r="F336" s="33" t="n">
        <v>0</v>
      </c>
      <c r="G336" s="62"/>
      <c r="H336" s="35" t="n">
        <v>0</v>
      </c>
      <c r="I336" s="34" t="n">
        <f aca="false">+IF(E336=0,0,E336*0.03)</f>
        <v>0</v>
      </c>
    </row>
    <row r="337" customFormat="false" ht="15.75" hidden="false" customHeight="true" outlineLevel="0" collapsed="false">
      <c r="A337" s="30" t="n">
        <v>45444</v>
      </c>
      <c r="B337" s="31" t="s">
        <v>153</v>
      </c>
      <c r="C337" s="32"/>
      <c r="D337" s="32"/>
      <c r="E337" s="19" t="n">
        <f aca="false">+F337*0.03</f>
        <v>0</v>
      </c>
      <c r="F337" s="33" t="n">
        <v>0</v>
      </c>
      <c r="G337" s="62"/>
      <c r="H337" s="35" t="n">
        <v>0</v>
      </c>
      <c r="I337" s="34" t="n">
        <f aca="false">+IF(E337=0,0,E337*0.03)</f>
        <v>0</v>
      </c>
    </row>
    <row r="338" customFormat="false" ht="15.75" hidden="false" customHeight="true" outlineLevel="0" collapsed="false">
      <c r="A338" s="30" t="n">
        <v>45444</v>
      </c>
      <c r="B338" s="31" t="s">
        <v>153</v>
      </c>
      <c r="C338" s="32"/>
      <c r="D338" s="32"/>
      <c r="E338" s="19" t="n">
        <f aca="false">+F338*0.03</f>
        <v>0</v>
      </c>
      <c r="F338" s="33" t="n">
        <v>0</v>
      </c>
      <c r="G338" s="62"/>
      <c r="H338" s="35" t="n">
        <v>0</v>
      </c>
      <c r="I338" s="34" t="n">
        <f aca="false">+IF(E338=0,0,E338*0.03)</f>
        <v>0</v>
      </c>
    </row>
    <row r="339" customFormat="false" ht="15.75" hidden="false" customHeight="true" outlineLevel="0" collapsed="false">
      <c r="A339" s="30" t="n">
        <v>45444</v>
      </c>
      <c r="B339" s="31" t="s">
        <v>153</v>
      </c>
      <c r="C339" s="32"/>
      <c r="D339" s="32"/>
      <c r="E339" s="19" t="n">
        <f aca="false">+F339*0.03</f>
        <v>0</v>
      </c>
      <c r="F339" s="33" t="n">
        <v>0</v>
      </c>
      <c r="G339" s="62"/>
      <c r="H339" s="35" t="n">
        <v>0</v>
      </c>
      <c r="I339" s="34" t="n">
        <f aca="false">+IF(E339=0,0,E339*0.03)</f>
        <v>0</v>
      </c>
    </row>
    <row r="340" customFormat="false" ht="15.75" hidden="false" customHeight="true" outlineLevel="0" collapsed="false">
      <c r="A340" s="30" t="n">
        <v>45444</v>
      </c>
      <c r="B340" s="31" t="s">
        <v>153</v>
      </c>
      <c r="C340" s="32"/>
      <c r="D340" s="32"/>
      <c r="E340" s="19" t="n">
        <f aca="false">+F340*0.03</f>
        <v>0</v>
      </c>
      <c r="F340" s="33" t="n">
        <v>0</v>
      </c>
      <c r="G340" s="62"/>
      <c r="H340" s="35" t="n">
        <v>0</v>
      </c>
      <c r="I340" s="34" t="n">
        <f aca="false">+IF(E340=0,0,E340*0.03)</f>
        <v>0</v>
      </c>
    </row>
    <row r="341" customFormat="false" ht="15.75" hidden="false" customHeight="true" outlineLevel="0" collapsed="false">
      <c r="A341" s="30" t="n">
        <v>45444</v>
      </c>
      <c r="B341" s="31" t="s">
        <v>153</v>
      </c>
      <c r="C341" s="32"/>
      <c r="D341" s="32"/>
      <c r="E341" s="19" t="n">
        <f aca="false">+F341*0.03</f>
        <v>0</v>
      </c>
      <c r="F341" s="33" t="n">
        <v>0</v>
      </c>
      <c r="G341" s="62"/>
      <c r="H341" s="35" t="n">
        <v>0</v>
      </c>
      <c r="I341" s="34" t="n">
        <f aca="false">+IF(E341=0,0,E341*0.03)</f>
        <v>0</v>
      </c>
    </row>
    <row r="342" customFormat="false" ht="15.75" hidden="false" customHeight="true" outlineLevel="0" collapsed="false">
      <c r="A342" s="30" t="n">
        <v>45444</v>
      </c>
      <c r="B342" s="31" t="s">
        <v>153</v>
      </c>
      <c r="C342" s="32"/>
      <c r="D342" s="32"/>
      <c r="E342" s="19" t="n">
        <f aca="false">+F342*0.03</f>
        <v>0</v>
      </c>
      <c r="F342" s="33" t="n">
        <v>0</v>
      </c>
      <c r="G342" s="62"/>
      <c r="H342" s="35" t="n">
        <v>0</v>
      </c>
      <c r="I342" s="34" t="n">
        <f aca="false">+IF(E342=0,0,E342*0.03)</f>
        <v>0</v>
      </c>
    </row>
    <row r="343" customFormat="false" ht="15.75" hidden="false" customHeight="true" outlineLevel="0" collapsed="false">
      <c r="A343" s="30" t="n">
        <v>45444</v>
      </c>
      <c r="B343" s="31" t="s">
        <v>153</v>
      </c>
      <c r="C343" s="32"/>
      <c r="D343" s="32"/>
      <c r="E343" s="19" t="n">
        <f aca="false">+F343*0.03</f>
        <v>0</v>
      </c>
      <c r="F343" s="33" t="n">
        <v>0</v>
      </c>
      <c r="G343" s="62"/>
      <c r="H343" s="35" t="n">
        <v>0</v>
      </c>
      <c r="I343" s="34" t="n">
        <f aca="false">+IF(E343=0,0,E343*0.03)</f>
        <v>0</v>
      </c>
    </row>
    <row r="344" customFormat="false" ht="15.75" hidden="false" customHeight="true" outlineLevel="0" collapsed="false">
      <c r="A344" s="30" t="n">
        <v>45444</v>
      </c>
      <c r="B344" s="31" t="s">
        <v>153</v>
      </c>
      <c r="C344" s="32"/>
      <c r="D344" s="32"/>
      <c r="E344" s="19" t="n">
        <f aca="false">+F344*0.03</f>
        <v>0</v>
      </c>
      <c r="F344" s="33" t="n">
        <v>0</v>
      </c>
      <c r="G344" s="62"/>
      <c r="H344" s="35" t="n">
        <v>0</v>
      </c>
      <c r="I344" s="34" t="n">
        <f aca="false">+IF(E344=0,0,E344*0.03)</f>
        <v>0</v>
      </c>
    </row>
    <row r="345" customFormat="false" ht="15.75" hidden="false" customHeight="true" outlineLevel="0" collapsed="false">
      <c r="A345" s="30" t="n">
        <v>45444</v>
      </c>
      <c r="B345" s="31" t="s">
        <v>153</v>
      </c>
      <c r="C345" s="32"/>
      <c r="D345" s="32"/>
      <c r="E345" s="19" t="n">
        <f aca="false">+F345*0.03</f>
        <v>0</v>
      </c>
      <c r="F345" s="33" t="n">
        <v>0</v>
      </c>
      <c r="G345" s="62"/>
      <c r="H345" s="35" t="n">
        <v>0</v>
      </c>
      <c r="I345" s="34" t="n">
        <f aca="false">+IF(E345=0,0,E345*0.03)</f>
        <v>0</v>
      </c>
    </row>
    <row r="346" customFormat="false" ht="15.75" hidden="false" customHeight="true" outlineLevel="0" collapsed="false">
      <c r="A346" s="30" t="n">
        <v>45444</v>
      </c>
      <c r="B346" s="31" t="s">
        <v>153</v>
      </c>
      <c r="C346" s="32"/>
      <c r="D346" s="32"/>
      <c r="E346" s="19" t="n">
        <f aca="false">+F346*0.03</f>
        <v>0</v>
      </c>
      <c r="F346" s="33" t="n">
        <v>0</v>
      </c>
      <c r="G346" s="62"/>
      <c r="H346" s="35" t="n">
        <v>0</v>
      </c>
      <c r="I346" s="34" t="n">
        <f aca="false">+IF(E346=0,0,E346*0.03)</f>
        <v>0</v>
      </c>
    </row>
    <row r="347" customFormat="false" ht="15.75" hidden="false" customHeight="true" outlineLevel="0" collapsed="false">
      <c r="A347" s="30" t="n">
        <v>45444</v>
      </c>
      <c r="B347" s="31" t="s">
        <v>153</v>
      </c>
      <c r="C347" s="32"/>
      <c r="D347" s="32"/>
      <c r="E347" s="19" t="n">
        <f aca="false">+F347*0.03</f>
        <v>0</v>
      </c>
      <c r="F347" s="33" t="n">
        <v>0</v>
      </c>
      <c r="G347" s="62"/>
      <c r="H347" s="35" t="n">
        <v>0</v>
      </c>
      <c r="I347" s="34" t="n">
        <f aca="false">+IF(E347=0,0,E347*0.03)</f>
        <v>0</v>
      </c>
    </row>
    <row r="348" customFormat="false" ht="15.75" hidden="false" customHeight="true" outlineLevel="0" collapsed="false">
      <c r="A348" s="30" t="n">
        <v>45444</v>
      </c>
      <c r="B348" s="31" t="s">
        <v>153</v>
      </c>
      <c r="C348" s="32"/>
      <c r="D348" s="32"/>
      <c r="E348" s="19" t="n">
        <f aca="false">+F348*0.03</f>
        <v>0</v>
      </c>
      <c r="F348" s="33" t="n">
        <v>0</v>
      </c>
      <c r="G348" s="62"/>
      <c r="H348" s="35" t="n">
        <v>0</v>
      </c>
      <c r="I348" s="34" t="n">
        <f aca="false">+IF(E348=0,0,E348*0.03)</f>
        <v>0</v>
      </c>
    </row>
    <row r="349" customFormat="false" ht="15.75" hidden="false" customHeight="true" outlineLevel="0" collapsed="false">
      <c r="A349" s="30" t="n">
        <v>45444</v>
      </c>
      <c r="B349" s="31" t="s">
        <v>153</v>
      </c>
      <c r="C349" s="32"/>
      <c r="D349" s="32"/>
      <c r="E349" s="19" t="n">
        <f aca="false">+F349*0.03</f>
        <v>0</v>
      </c>
      <c r="F349" s="33" t="n">
        <v>0</v>
      </c>
      <c r="G349" s="62"/>
      <c r="H349" s="35" t="n">
        <v>0</v>
      </c>
      <c r="I349" s="34" t="n">
        <f aca="false">+IF(E349=0,0,E349*0.03)</f>
        <v>0</v>
      </c>
    </row>
    <row r="350" customFormat="false" ht="15.75" hidden="false" customHeight="true" outlineLevel="0" collapsed="false">
      <c r="A350" s="30" t="n">
        <v>45444</v>
      </c>
      <c r="B350" s="31" t="s">
        <v>153</v>
      </c>
      <c r="C350" s="32"/>
      <c r="D350" s="32"/>
      <c r="E350" s="19" t="n">
        <f aca="false">+F350*0.03</f>
        <v>0</v>
      </c>
      <c r="F350" s="33" t="n">
        <v>0</v>
      </c>
      <c r="G350" s="62"/>
      <c r="H350" s="35" t="n">
        <v>0</v>
      </c>
      <c r="I350" s="34" t="n">
        <f aca="false">+IF(E350=0,0,E350*0.03)</f>
        <v>0</v>
      </c>
    </row>
    <row r="351" customFormat="false" ht="15.75" hidden="false" customHeight="true" outlineLevel="0" collapsed="false">
      <c r="A351" s="30" t="n">
        <v>45444</v>
      </c>
      <c r="B351" s="31" t="s">
        <v>153</v>
      </c>
      <c r="C351" s="32"/>
      <c r="D351" s="32"/>
      <c r="E351" s="19" t="n">
        <f aca="false">+F351*0.03</f>
        <v>0</v>
      </c>
      <c r="F351" s="33" t="n">
        <v>0</v>
      </c>
      <c r="G351" s="62"/>
      <c r="H351" s="35" t="n">
        <v>0</v>
      </c>
      <c r="I351" s="34" t="n">
        <f aca="false">+IF(E351=0,0,E351*0.03)</f>
        <v>0</v>
      </c>
    </row>
    <row r="352" customFormat="false" ht="15.75" hidden="false" customHeight="true" outlineLevel="0" collapsed="false">
      <c r="A352" s="30" t="n">
        <v>45444</v>
      </c>
      <c r="B352" s="31" t="s">
        <v>153</v>
      </c>
      <c r="C352" s="32"/>
      <c r="D352" s="32"/>
      <c r="E352" s="19" t="n">
        <f aca="false">+F352*0.03</f>
        <v>0</v>
      </c>
      <c r="F352" s="33" t="n">
        <v>0</v>
      </c>
      <c r="G352" s="62"/>
      <c r="H352" s="35" t="n">
        <v>0</v>
      </c>
      <c r="I352" s="34" t="n">
        <f aca="false">+IF(E352=0,0,E352*0.03)</f>
        <v>0</v>
      </c>
    </row>
    <row r="353" customFormat="false" ht="15.75" hidden="false" customHeight="true" outlineLevel="0" collapsed="false">
      <c r="A353" s="30" t="n">
        <v>45444</v>
      </c>
      <c r="B353" s="31" t="s">
        <v>153</v>
      </c>
      <c r="C353" s="32"/>
      <c r="D353" s="32"/>
      <c r="E353" s="19" t="n">
        <f aca="false">+F353*0.03</f>
        <v>0</v>
      </c>
      <c r="F353" s="33" t="n">
        <v>0</v>
      </c>
      <c r="G353" s="62"/>
      <c r="H353" s="35" t="n">
        <v>0</v>
      </c>
      <c r="I353" s="34" t="n">
        <f aca="false">+IF(E353=0,0,E353*0.03)</f>
        <v>0</v>
      </c>
    </row>
    <row r="354" customFormat="false" ht="15.75" hidden="false" customHeight="true" outlineLevel="0" collapsed="false">
      <c r="A354" s="30" t="n">
        <v>45444</v>
      </c>
      <c r="B354" s="31" t="s">
        <v>153</v>
      </c>
      <c r="C354" s="32"/>
      <c r="D354" s="32"/>
      <c r="E354" s="19" t="n">
        <f aca="false">+F354*0.03</f>
        <v>0</v>
      </c>
      <c r="F354" s="33" t="n">
        <v>0</v>
      </c>
      <c r="G354" s="62"/>
      <c r="H354" s="35" t="n">
        <v>0</v>
      </c>
      <c r="I354" s="34" t="n">
        <f aca="false">+IF(E354=0,0,E354*0.03)</f>
        <v>0</v>
      </c>
    </row>
    <row r="355" customFormat="false" ht="15.75" hidden="false" customHeight="true" outlineLevel="0" collapsed="false">
      <c r="A355" s="30" t="n">
        <v>45444</v>
      </c>
      <c r="B355" s="31" t="s">
        <v>153</v>
      </c>
      <c r="C355" s="32"/>
      <c r="D355" s="32"/>
      <c r="E355" s="19" t="n">
        <f aca="false">+F355*0.03</f>
        <v>0</v>
      </c>
      <c r="F355" s="33" t="n">
        <v>0</v>
      </c>
      <c r="G355" s="62"/>
      <c r="H355" s="35" t="n">
        <v>0</v>
      </c>
      <c r="I355" s="34" t="n">
        <f aca="false">+IF(E355=0,0,E355*0.03)</f>
        <v>0</v>
      </c>
    </row>
    <row r="356" customFormat="false" ht="15.75" hidden="false" customHeight="true" outlineLevel="0" collapsed="false">
      <c r="A356" s="30" t="n">
        <v>45444</v>
      </c>
      <c r="B356" s="31" t="s">
        <v>153</v>
      </c>
      <c r="C356" s="32"/>
      <c r="D356" s="32"/>
      <c r="E356" s="19" t="n">
        <f aca="false">+F356*0.03</f>
        <v>0</v>
      </c>
      <c r="F356" s="33" t="n">
        <v>0</v>
      </c>
      <c r="G356" s="62"/>
      <c r="H356" s="35" t="n">
        <v>0</v>
      </c>
      <c r="I356" s="34" t="n">
        <f aca="false">+IF(E356=0,0,E356*0.03)</f>
        <v>0</v>
      </c>
    </row>
    <row r="357" customFormat="false" ht="15.75" hidden="false" customHeight="true" outlineLevel="0" collapsed="false">
      <c r="A357" s="30" t="n">
        <v>45444</v>
      </c>
      <c r="B357" s="31" t="s">
        <v>153</v>
      </c>
      <c r="C357" s="32"/>
      <c r="D357" s="32"/>
      <c r="E357" s="19" t="n">
        <f aca="false">+F357*0.03</f>
        <v>0</v>
      </c>
      <c r="F357" s="33" t="n">
        <v>0</v>
      </c>
      <c r="G357" s="62"/>
      <c r="H357" s="35" t="n">
        <v>0</v>
      </c>
      <c r="I357" s="34" t="n">
        <f aca="false">+IF(E357=0,0,E357*0.03)</f>
        <v>0</v>
      </c>
    </row>
    <row r="358" customFormat="false" ht="15.75" hidden="false" customHeight="true" outlineLevel="0" collapsed="false">
      <c r="A358" s="30" t="n">
        <v>45444</v>
      </c>
      <c r="B358" s="31" t="s">
        <v>153</v>
      </c>
      <c r="C358" s="32"/>
      <c r="D358" s="32"/>
      <c r="E358" s="19" t="n">
        <f aca="false">+F358*0.03</f>
        <v>0</v>
      </c>
      <c r="F358" s="33" t="n">
        <v>0</v>
      </c>
      <c r="G358" s="62"/>
      <c r="H358" s="35" t="n">
        <v>0</v>
      </c>
      <c r="I358" s="34" t="n">
        <f aca="false">+IF(E358=0,0,E358*0.03)</f>
        <v>0</v>
      </c>
    </row>
    <row r="359" customFormat="false" ht="15.75" hidden="false" customHeight="true" outlineLevel="0" collapsed="false">
      <c r="A359" s="30" t="n">
        <v>45444</v>
      </c>
      <c r="B359" s="31" t="s">
        <v>153</v>
      </c>
      <c r="C359" s="32"/>
      <c r="D359" s="32"/>
      <c r="E359" s="19" t="n">
        <f aca="false">+F359*0.03</f>
        <v>0</v>
      </c>
      <c r="F359" s="33" t="n">
        <v>0</v>
      </c>
      <c r="G359" s="62"/>
      <c r="H359" s="35" t="n">
        <v>0</v>
      </c>
      <c r="I359" s="34" t="n">
        <f aca="false">+IF(E359=0,0,E359*0.03)</f>
        <v>0</v>
      </c>
    </row>
    <row r="360" customFormat="false" ht="15.75" hidden="false" customHeight="true" outlineLevel="0" collapsed="false">
      <c r="A360" s="30" t="n">
        <v>45444</v>
      </c>
      <c r="B360" s="31" t="s">
        <v>153</v>
      </c>
      <c r="C360" s="32"/>
      <c r="D360" s="32"/>
      <c r="E360" s="19" t="n">
        <f aca="false">+F360*0.03</f>
        <v>0</v>
      </c>
      <c r="F360" s="33" t="n">
        <v>0</v>
      </c>
      <c r="G360" s="62"/>
      <c r="H360" s="35" t="n">
        <v>0</v>
      </c>
      <c r="I360" s="34" t="n">
        <f aca="false">+IF(E360=0,0,E360*0.03)</f>
        <v>0</v>
      </c>
    </row>
    <row r="361" customFormat="false" ht="15.75" hidden="false" customHeight="true" outlineLevel="0" collapsed="false">
      <c r="A361" s="30" t="n">
        <v>45444</v>
      </c>
      <c r="B361" s="31" t="s">
        <v>153</v>
      </c>
      <c r="C361" s="32"/>
      <c r="D361" s="32"/>
      <c r="E361" s="19" t="n">
        <f aca="false">+F361*0.03</f>
        <v>0</v>
      </c>
      <c r="F361" s="33" t="n">
        <v>0</v>
      </c>
      <c r="G361" s="62"/>
      <c r="H361" s="35" t="n">
        <v>0</v>
      </c>
      <c r="I361" s="34" t="n">
        <f aca="false">+IF(E361=0,0,E361*0.03)</f>
        <v>0</v>
      </c>
    </row>
    <row r="362" customFormat="false" ht="15.75" hidden="false" customHeight="true" outlineLevel="0" collapsed="false">
      <c r="A362" s="30" t="n">
        <v>45444</v>
      </c>
      <c r="B362" s="31" t="s">
        <v>153</v>
      </c>
      <c r="C362" s="32"/>
      <c r="D362" s="32"/>
      <c r="E362" s="19" t="n">
        <f aca="false">+F362*0.03</f>
        <v>0</v>
      </c>
      <c r="F362" s="33" t="n">
        <v>0</v>
      </c>
      <c r="G362" s="62"/>
      <c r="H362" s="35" t="n">
        <v>0</v>
      </c>
      <c r="I362" s="34" t="n">
        <f aca="false">+IF(E362=0,0,E362*0.03)</f>
        <v>0</v>
      </c>
    </row>
    <row r="363" customFormat="false" ht="15.75" hidden="false" customHeight="true" outlineLevel="0" collapsed="false">
      <c r="A363" s="30" t="n">
        <v>45444</v>
      </c>
      <c r="B363" s="31" t="s">
        <v>153</v>
      </c>
      <c r="C363" s="32"/>
      <c r="D363" s="32"/>
      <c r="E363" s="19" t="n">
        <f aca="false">+F363*0.03</f>
        <v>0</v>
      </c>
      <c r="F363" s="33" t="n">
        <v>0</v>
      </c>
      <c r="G363" s="62"/>
      <c r="H363" s="35" t="n">
        <v>0</v>
      </c>
      <c r="I363" s="34" t="n">
        <f aca="false">+IF(E363=0,0,E363*0.03)</f>
        <v>0</v>
      </c>
    </row>
    <row r="364" customFormat="false" ht="15.75" hidden="false" customHeight="true" outlineLevel="0" collapsed="false">
      <c r="A364" s="30" t="n">
        <v>45444</v>
      </c>
      <c r="B364" s="31" t="s">
        <v>153</v>
      </c>
      <c r="C364" s="32"/>
      <c r="D364" s="32"/>
      <c r="E364" s="19" t="n">
        <f aca="false">+F364*0.03</f>
        <v>0</v>
      </c>
      <c r="F364" s="33" t="n">
        <v>0</v>
      </c>
      <c r="G364" s="62"/>
      <c r="H364" s="35" t="n">
        <v>0</v>
      </c>
      <c r="I364" s="34" t="n">
        <f aca="false">+IF(E364=0,0,E364*0.03)</f>
        <v>0</v>
      </c>
    </row>
    <row r="365" customFormat="false" ht="15.75" hidden="false" customHeight="true" outlineLevel="0" collapsed="false">
      <c r="A365" s="30" t="n">
        <v>45444</v>
      </c>
      <c r="B365" s="31" t="s">
        <v>153</v>
      </c>
      <c r="C365" s="32"/>
      <c r="D365" s="32"/>
      <c r="E365" s="19" t="n">
        <f aca="false">+F365*0.03</f>
        <v>0</v>
      </c>
      <c r="F365" s="33" t="n">
        <v>0</v>
      </c>
      <c r="G365" s="62"/>
      <c r="H365" s="35" t="n">
        <v>0</v>
      </c>
      <c r="I365" s="34" t="n">
        <f aca="false">+IF(E365=0,0,E365*0.03)</f>
        <v>0</v>
      </c>
    </row>
    <row r="366" customFormat="false" ht="15.75" hidden="false" customHeight="true" outlineLevel="0" collapsed="false">
      <c r="A366" s="30" t="n">
        <v>45444</v>
      </c>
      <c r="B366" s="31" t="s">
        <v>153</v>
      </c>
      <c r="C366" s="32"/>
      <c r="D366" s="32"/>
      <c r="E366" s="19" t="n">
        <f aca="false">+F366*0.03</f>
        <v>0</v>
      </c>
      <c r="F366" s="33" t="n">
        <v>0</v>
      </c>
      <c r="G366" s="62"/>
      <c r="H366" s="35" t="n">
        <v>0</v>
      </c>
      <c r="I366" s="34" t="n">
        <f aca="false">+IF(E366=0,0,E366*0.03)</f>
        <v>0</v>
      </c>
    </row>
    <row r="367" customFormat="false" ht="15.75" hidden="false" customHeight="true" outlineLevel="0" collapsed="false">
      <c r="A367" s="30" t="n">
        <v>45444</v>
      </c>
      <c r="B367" s="31" t="s">
        <v>153</v>
      </c>
      <c r="C367" s="32"/>
      <c r="D367" s="32"/>
      <c r="E367" s="19" t="n">
        <f aca="false">+F367*0.03</f>
        <v>0</v>
      </c>
      <c r="F367" s="33" t="n">
        <v>0</v>
      </c>
      <c r="G367" s="62"/>
      <c r="H367" s="35" t="n">
        <v>0</v>
      </c>
      <c r="I367" s="34" t="n">
        <f aca="false">+IF(E367=0,0,E367*0.03)</f>
        <v>0</v>
      </c>
    </row>
    <row r="368" customFormat="false" ht="15.75" hidden="false" customHeight="true" outlineLevel="0" collapsed="false">
      <c r="A368" s="30" t="n">
        <v>45444</v>
      </c>
      <c r="B368" s="31" t="s">
        <v>153</v>
      </c>
      <c r="C368" s="32"/>
      <c r="D368" s="32"/>
      <c r="E368" s="19" t="n">
        <f aca="false">+F368*0.03</f>
        <v>0</v>
      </c>
      <c r="F368" s="33" t="n">
        <v>0</v>
      </c>
      <c r="G368" s="62"/>
      <c r="H368" s="35" t="n">
        <v>0</v>
      </c>
      <c r="I368" s="34" t="n">
        <f aca="false">+IF(E368=0,0,E368*0.03)</f>
        <v>0</v>
      </c>
    </row>
    <row r="369" customFormat="false" ht="15.75" hidden="false" customHeight="true" outlineLevel="0" collapsed="false">
      <c r="A369" s="30" t="n">
        <v>45444</v>
      </c>
      <c r="B369" s="31" t="s">
        <v>153</v>
      </c>
      <c r="C369" s="32"/>
      <c r="D369" s="32"/>
      <c r="E369" s="19" t="n">
        <f aca="false">+F369*0.03</f>
        <v>0</v>
      </c>
      <c r="F369" s="33" t="n">
        <v>0</v>
      </c>
      <c r="G369" s="62"/>
      <c r="H369" s="35" t="n">
        <v>0</v>
      </c>
      <c r="I369" s="34" t="n">
        <f aca="false">+IF(E369=0,0,E369*0.03)</f>
        <v>0</v>
      </c>
    </row>
    <row r="370" customFormat="false" ht="15.75" hidden="false" customHeight="true" outlineLevel="0" collapsed="false">
      <c r="A370" s="30" t="n">
        <v>45444</v>
      </c>
      <c r="B370" s="31" t="s">
        <v>153</v>
      </c>
      <c r="C370" s="32"/>
      <c r="D370" s="32"/>
      <c r="E370" s="19" t="n">
        <f aca="false">+F370*0.03</f>
        <v>0</v>
      </c>
      <c r="F370" s="33" t="n">
        <v>0</v>
      </c>
      <c r="G370" s="62"/>
      <c r="H370" s="35" t="n">
        <v>0</v>
      </c>
      <c r="I370" s="34" t="n">
        <f aca="false">+IF(E370=0,0,E370*0.03)</f>
        <v>0</v>
      </c>
    </row>
    <row r="371" customFormat="false" ht="15.75" hidden="false" customHeight="true" outlineLevel="0" collapsed="false">
      <c r="A371" s="30" t="n">
        <v>45444</v>
      </c>
      <c r="B371" s="31" t="s">
        <v>153</v>
      </c>
      <c r="C371" s="32"/>
      <c r="D371" s="32"/>
      <c r="E371" s="19" t="n">
        <f aca="false">+F371*0.03</f>
        <v>0</v>
      </c>
      <c r="F371" s="33" t="n">
        <v>0</v>
      </c>
      <c r="G371" s="62"/>
      <c r="H371" s="35" t="n">
        <v>0</v>
      </c>
      <c r="I371" s="34" t="n">
        <f aca="false">+IF(E371=0,0,E371*0.03)</f>
        <v>0</v>
      </c>
    </row>
    <row r="372" customFormat="false" ht="15.75" hidden="false" customHeight="true" outlineLevel="0" collapsed="false">
      <c r="A372" s="30" t="n">
        <v>45444</v>
      </c>
      <c r="B372" s="31" t="s">
        <v>153</v>
      </c>
      <c r="C372" s="32"/>
      <c r="D372" s="32"/>
      <c r="E372" s="19" t="n">
        <f aca="false">+F372*0.03</f>
        <v>0</v>
      </c>
      <c r="F372" s="33" t="n">
        <v>0</v>
      </c>
      <c r="G372" s="62"/>
      <c r="H372" s="35" t="n">
        <v>0</v>
      </c>
      <c r="I372" s="34" t="n">
        <f aca="false">+IF(E372=0,0,E372*0.03)</f>
        <v>0</v>
      </c>
    </row>
    <row r="373" customFormat="false" ht="15.75" hidden="false" customHeight="true" outlineLevel="0" collapsed="false">
      <c r="A373" s="30" t="n">
        <v>45444</v>
      </c>
      <c r="B373" s="31" t="s">
        <v>153</v>
      </c>
      <c r="C373" s="32"/>
      <c r="D373" s="32"/>
      <c r="E373" s="19" t="n">
        <f aca="false">+F373*0.03</f>
        <v>0</v>
      </c>
      <c r="F373" s="33" t="n">
        <v>0</v>
      </c>
      <c r="G373" s="62"/>
      <c r="H373" s="35" t="n">
        <v>0</v>
      </c>
      <c r="I373" s="34" t="n">
        <f aca="false">+IF(E373=0,0,E373*0.03)</f>
        <v>0</v>
      </c>
    </row>
    <row r="374" customFormat="false" ht="15.75" hidden="false" customHeight="true" outlineLevel="0" collapsed="false">
      <c r="A374" s="30" t="n">
        <v>45444</v>
      </c>
      <c r="B374" s="31" t="s">
        <v>153</v>
      </c>
      <c r="C374" s="32"/>
      <c r="D374" s="32"/>
      <c r="E374" s="19" t="n">
        <f aca="false">+F374*0.03</f>
        <v>0</v>
      </c>
      <c r="F374" s="33" t="n">
        <v>0</v>
      </c>
      <c r="G374" s="62"/>
      <c r="H374" s="35" t="n">
        <v>0</v>
      </c>
      <c r="I374" s="34" t="n">
        <f aca="false">+IF(E374=0,0,E374*0.03)</f>
        <v>0</v>
      </c>
    </row>
    <row r="375" customFormat="false" ht="15.75" hidden="false" customHeight="true" outlineLevel="0" collapsed="false">
      <c r="A375" s="30" t="n">
        <v>45444</v>
      </c>
      <c r="B375" s="31" t="s">
        <v>153</v>
      </c>
      <c r="C375" s="32"/>
      <c r="D375" s="32"/>
      <c r="E375" s="19" t="n">
        <f aca="false">+F375*0.03</f>
        <v>0</v>
      </c>
      <c r="F375" s="33" t="n">
        <v>0</v>
      </c>
      <c r="G375" s="62"/>
      <c r="H375" s="35" t="n">
        <v>0</v>
      </c>
      <c r="I375" s="34" t="n">
        <f aca="false">+IF(E375=0,0,E375*0.03)</f>
        <v>0</v>
      </c>
    </row>
    <row r="376" customFormat="false" ht="15.75" hidden="false" customHeight="true" outlineLevel="0" collapsed="false">
      <c r="A376" s="30" t="n">
        <v>45444</v>
      </c>
      <c r="B376" s="31" t="s">
        <v>153</v>
      </c>
      <c r="C376" s="32"/>
      <c r="D376" s="32"/>
      <c r="E376" s="19" t="n">
        <f aca="false">+F376*0.03</f>
        <v>0</v>
      </c>
      <c r="F376" s="33" t="n">
        <v>0</v>
      </c>
      <c r="G376" s="62"/>
      <c r="H376" s="35" t="n">
        <v>0</v>
      </c>
      <c r="I376" s="34" t="n">
        <f aca="false">+IF(E376=0,0,E376*0.03)</f>
        <v>0</v>
      </c>
    </row>
    <row r="377" customFormat="false" ht="15.75" hidden="false" customHeight="true" outlineLevel="0" collapsed="false">
      <c r="A377" s="30" t="n">
        <v>45444</v>
      </c>
      <c r="B377" s="31" t="s">
        <v>153</v>
      </c>
      <c r="C377" s="32"/>
      <c r="D377" s="32"/>
      <c r="E377" s="19" t="n">
        <f aca="false">+F377*0.03</f>
        <v>0</v>
      </c>
      <c r="F377" s="33" t="n">
        <v>0</v>
      </c>
      <c r="G377" s="62"/>
      <c r="H377" s="35" t="n">
        <v>0</v>
      </c>
      <c r="I377" s="34" t="n">
        <f aca="false">+IF(E377=0,0,E377*0.03)</f>
        <v>0</v>
      </c>
    </row>
    <row r="378" customFormat="false" ht="15.75" hidden="false" customHeight="true" outlineLevel="0" collapsed="false">
      <c r="A378" s="30" t="n">
        <v>45444</v>
      </c>
      <c r="B378" s="31" t="s">
        <v>153</v>
      </c>
      <c r="C378" s="32"/>
      <c r="D378" s="32"/>
      <c r="E378" s="19" t="n">
        <f aca="false">+F378*0.03</f>
        <v>0</v>
      </c>
      <c r="F378" s="33" t="n">
        <v>0</v>
      </c>
      <c r="G378" s="62"/>
      <c r="H378" s="35" t="n">
        <v>0</v>
      </c>
      <c r="I378" s="34" t="n">
        <f aca="false">+IF(E378=0,0,E378*0.03)</f>
        <v>0</v>
      </c>
    </row>
    <row r="379" customFormat="false" ht="15.75" hidden="false" customHeight="true" outlineLevel="0" collapsed="false">
      <c r="A379" s="30" t="n">
        <v>45444</v>
      </c>
      <c r="B379" s="31" t="s">
        <v>153</v>
      </c>
      <c r="C379" s="32"/>
      <c r="D379" s="32"/>
      <c r="E379" s="19" t="n">
        <f aca="false">+F379*0.03</f>
        <v>0</v>
      </c>
      <c r="F379" s="33" t="n">
        <v>0</v>
      </c>
      <c r="G379" s="62"/>
      <c r="H379" s="35" t="n">
        <v>0</v>
      </c>
      <c r="I379" s="34" t="n">
        <f aca="false">+IF(E379=0,0,E379*0.03)</f>
        <v>0</v>
      </c>
    </row>
    <row r="380" customFormat="false" ht="15.75" hidden="false" customHeight="true" outlineLevel="0" collapsed="false">
      <c r="A380" s="30" t="n">
        <v>45444</v>
      </c>
      <c r="B380" s="31" t="s">
        <v>153</v>
      </c>
      <c r="C380" s="32"/>
      <c r="D380" s="32"/>
      <c r="E380" s="19" t="n">
        <f aca="false">+F380*0.03</f>
        <v>0</v>
      </c>
      <c r="F380" s="33" t="n">
        <v>0</v>
      </c>
      <c r="G380" s="62"/>
      <c r="H380" s="35" t="n">
        <v>0</v>
      </c>
      <c r="I380" s="34" t="n">
        <f aca="false">+IF(E380=0,0,E380*0.03)</f>
        <v>0</v>
      </c>
    </row>
    <row r="381" customFormat="false" ht="15.75" hidden="false" customHeight="true" outlineLevel="0" collapsed="false">
      <c r="A381" s="30" t="n">
        <v>45444</v>
      </c>
      <c r="B381" s="31" t="s">
        <v>153</v>
      </c>
      <c r="C381" s="32"/>
      <c r="D381" s="32"/>
      <c r="E381" s="19" t="n">
        <f aca="false">+F381*0.03</f>
        <v>0</v>
      </c>
      <c r="F381" s="33" t="n">
        <v>0</v>
      </c>
      <c r="G381" s="62"/>
      <c r="H381" s="35" t="n">
        <v>0</v>
      </c>
      <c r="I381" s="34" t="n">
        <f aca="false">+IF(E381=0,0,E381*0.03)</f>
        <v>0</v>
      </c>
    </row>
    <row r="382" customFormat="false" ht="15.75" hidden="false" customHeight="true" outlineLevel="0" collapsed="false">
      <c r="A382" s="30" t="n">
        <v>45444</v>
      </c>
      <c r="B382" s="31" t="s">
        <v>153</v>
      </c>
      <c r="C382" s="32"/>
      <c r="D382" s="32"/>
      <c r="E382" s="19" t="n">
        <f aca="false">+F382*0.03</f>
        <v>0</v>
      </c>
      <c r="F382" s="33" t="n">
        <v>0</v>
      </c>
      <c r="G382" s="62"/>
      <c r="H382" s="35" t="n">
        <v>0</v>
      </c>
      <c r="I382" s="34" t="n">
        <f aca="false">+IF(E382=0,0,E382*0.03)</f>
        <v>0</v>
      </c>
    </row>
    <row r="383" customFormat="false" ht="15.75" hidden="false" customHeight="true" outlineLevel="0" collapsed="false">
      <c r="A383" s="30" t="n">
        <v>45444</v>
      </c>
      <c r="B383" s="31" t="s">
        <v>153</v>
      </c>
      <c r="C383" s="32"/>
      <c r="D383" s="32"/>
      <c r="E383" s="19" t="n">
        <f aca="false">+F383*0.03</f>
        <v>0</v>
      </c>
      <c r="F383" s="33" t="n">
        <v>0</v>
      </c>
      <c r="G383" s="62"/>
      <c r="H383" s="35" t="n">
        <v>0</v>
      </c>
      <c r="I383" s="34" t="n">
        <f aca="false">+IF(E383=0,0,E383*0.03)</f>
        <v>0</v>
      </c>
    </row>
    <row r="384" customFormat="false" ht="15.75" hidden="false" customHeight="true" outlineLevel="0" collapsed="false">
      <c r="A384" s="30" t="n">
        <v>45444</v>
      </c>
      <c r="B384" s="31" t="s">
        <v>153</v>
      </c>
      <c r="C384" s="32"/>
      <c r="D384" s="32"/>
      <c r="E384" s="19" t="n">
        <f aca="false">+F384*0.03</f>
        <v>0</v>
      </c>
      <c r="F384" s="33" t="n">
        <v>0</v>
      </c>
      <c r="G384" s="62"/>
      <c r="H384" s="35" t="n">
        <v>0</v>
      </c>
      <c r="I384" s="34" t="n">
        <f aca="false">+IF(E384=0,0,E384*0.03)</f>
        <v>0</v>
      </c>
    </row>
    <row r="385" customFormat="false" ht="15.75" hidden="false" customHeight="true" outlineLevel="0" collapsed="false">
      <c r="A385" s="30" t="n">
        <v>45444</v>
      </c>
      <c r="B385" s="31" t="s">
        <v>153</v>
      </c>
      <c r="C385" s="32"/>
      <c r="D385" s="32"/>
      <c r="E385" s="19" t="n">
        <f aca="false">+F385*0.03</f>
        <v>0</v>
      </c>
      <c r="F385" s="33" t="n">
        <v>0</v>
      </c>
      <c r="G385" s="62"/>
      <c r="H385" s="35" t="n">
        <v>0</v>
      </c>
      <c r="I385" s="34" t="n">
        <f aca="false">+IF(E385=0,0,E385*0.03)</f>
        <v>0</v>
      </c>
    </row>
    <row r="386" customFormat="false" ht="15.75" hidden="false" customHeight="true" outlineLevel="0" collapsed="false">
      <c r="A386" s="30" t="n">
        <v>45444</v>
      </c>
      <c r="B386" s="31" t="s">
        <v>153</v>
      </c>
      <c r="C386" s="32"/>
      <c r="D386" s="32"/>
      <c r="E386" s="19" t="n">
        <f aca="false">+F386*0.03</f>
        <v>0</v>
      </c>
      <c r="F386" s="33" t="n">
        <v>0</v>
      </c>
      <c r="G386" s="62"/>
      <c r="H386" s="35" t="n">
        <v>0</v>
      </c>
      <c r="I386" s="34" t="n">
        <f aca="false">+IF(E386=0,0,E386*0.03)</f>
        <v>0</v>
      </c>
    </row>
    <row r="387" customFormat="false" ht="15.75" hidden="false" customHeight="true" outlineLevel="0" collapsed="false">
      <c r="A387" s="30" t="n">
        <v>45444</v>
      </c>
      <c r="B387" s="31" t="s">
        <v>153</v>
      </c>
      <c r="C387" s="32"/>
      <c r="D387" s="32"/>
      <c r="E387" s="19" t="n">
        <f aca="false">+F387*0.03</f>
        <v>0</v>
      </c>
      <c r="F387" s="33" t="n">
        <v>0</v>
      </c>
      <c r="G387" s="62"/>
      <c r="H387" s="35" t="n">
        <v>0</v>
      </c>
      <c r="I387" s="34" t="n">
        <f aca="false">+IF(E387=0,0,E387*0.03)</f>
        <v>0</v>
      </c>
    </row>
    <row r="388" customFormat="false" ht="15.75" hidden="false" customHeight="true" outlineLevel="0" collapsed="false">
      <c r="A388" s="30" t="n">
        <v>45444</v>
      </c>
      <c r="B388" s="31" t="s">
        <v>153</v>
      </c>
      <c r="C388" s="32"/>
      <c r="D388" s="32"/>
      <c r="E388" s="19" t="n">
        <f aca="false">+F388*0.03</f>
        <v>0</v>
      </c>
      <c r="F388" s="33" t="n">
        <v>0</v>
      </c>
      <c r="G388" s="62"/>
      <c r="H388" s="35" t="n">
        <v>0</v>
      </c>
      <c r="I388" s="34" t="n">
        <f aca="false">+IF(E388=0,0,E388*0.03)</f>
        <v>0</v>
      </c>
    </row>
    <row r="389" customFormat="false" ht="15.75" hidden="false" customHeight="true" outlineLevel="0" collapsed="false">
      <c r="A389" s="30" t="n">
        <v>45444</v>
      </c>
      <c r="B389" s="31" t="s">
        <v>153</v>
      </c>
      <c r="C389" s="32"/>
      <c r="D389" s="32"/>
      <c r="E389" s="19" t="n">
        <f aca="false">+F389*0.03</f>
        <v>0</v>
      </c>
      <c r="F389" s="33" t="n">
        <v>0</v>
      </c>
      <c r="G389" s="62"/>
      <c r="H389" s="35" t="n">
        <v>0</v>
      </c>
      <c r="I389" s="34" t="n">
        <f aca="false">+IF(E389=0,0,E389*0.03)</f>
        <v>0</v>
      </c>
    </row>
    <row r="390" customFormat="false" ht="15.75" hidden="false" customHeight="true" outlineLevel="0" collapsed="false">
      <c r="A390" s="30" t="n">
        <v>45444</v>
      </c>
      <c r="B390" s="31" t="s">
        <v>153</v>
      </c>
      <c r="C390" s="32"/>
      <c r="D390" s="32"/>
      <c r="E390" s="19" t="n">
        <f aca="false">+F390*0.03</f>
        <v>0</v>
      </c>
      <c r="F390" s="33" t="n">
        <v>0</v>
      </c>
      <c r="G390" s="62"/>
      <c r="H390" s="35" t="n">
        <v>0</v>
      </c>
      <c r="I390" s="34" t="n">
        <f aca="false">+IF(E390=0,0,E390*0.03)</f>
        <v>0</v>
      </c>
    </row>
    <row r="391" customFormat="false" ht="15.75" hidden="false" customHeight="true" outlineLevel="0" collapsed="false">
      <c r="A391" s="30" t="n">
        <v>45444</v>
      </c>
      <c r="B391" s="31" t="s">
        <v>153</v>
      </c>
      <c r="C391" s="32"/>
      <c r="D391" s="32"/>
      <c r="E391" s="19" t="n">
        <f aca="false">+F391*0.03</f>
        <v>0</v>
      </c>
      <c r="F391" s="33" t="n">
        <v>0</v>
      </c>
      <c r="G391" s="62"/>
      <c r="H391" s="35" t="n">
        <v>0</v>
      </c>
      <c r="I391" s="34" t="n">
        <f aca="false">+IF(E391=0,0,E391*0.03)</f>
        <v>0</v>
      </c>
    </row>
    <row r="392" customFormat="false" ht="15.75" hidden="false" customHeight="true" outlineLevel="0" collapsed="false">
      <c r="A392" s="30" t="n">
        <v>45444</v>
      </c>
      <c r="B392" s="31" t="s">
        <v>153</v>
      </c>
      <c r="C392" s="32"/>
      <c r="D392" s="32"/>
      <c r="E392" s="19" t="n">
        <f aca="false">+F392*0.03</f>
        <v>0</v>
      </c>
      <c r="F392" s="33" t="n">
        <v>0</v>
      </c>
      <c r="G392" s="62"/>
      <c r="H392" s="35" t="n">
        <v>0</v>
      </c>
      <c r="I392" s="34" t="n">
        <f aca="false">+IF(E392=0,0,E392*0.03)</f>
        <v>0</v>
      </c>
    </row>
    <row r="393" customFormat="false" ht="15.75" hidden="false" customHeight="true" outlineLevel="0" collapsed="false">
      <c r="A393" s="30" t="n">
        <v>45444</v>
      </c>
      <c r="B393" s="31" t="s">
        <v>153</v>
      </c>
      <c r="C393" s="32"/>
      <c r="D393" s="32"/>
      <c r="E393" s="19" t="n">
        <f aca="false">+F393*0.03</f>
        <v>0</v>
      </c>
      <c r="F393" s="33" t="n">
        <v>0</v>
      </c>
      <c r="G393" s="62"/>
      <c r="H393" s="35" t="n">
        <v>0</v>
      </c>
      <c r="I393" s="34" t="n">
        <f aca="false">+IF(E393=0,0,E393*0.03)</f>
        <v>0</v>
      </c>
    </row>
    <row r="394" customFormat="false" ht="15.75" hidden="false" customHeight="true" outlineLevel="0" collapsed="false">
      <c r="A394" s="30" t="n">
        <v>45444</v>
      </c>
      <c r="B394" s="31" t="s">
        <v>153</v>
      </c>
      <c r="C394" s="32"/>
      <c r="D394" s="32"/>
      <c r="E394" s="19" t="n">
        <f aca="false">+F394*0.03</f>
        <v>0</v>
      </c>
      <c r="F394" s="33" t="n">
        <v>0</v>
      </c>
      <c r="G394" s="62"/>
      <c r="H394" s="35" t="n">
        <v>0</v>
      </c>
      <c r="I394" s="34" t="n">
        <f aca="false">+IF(E394=0,0,E394*0.03)</f>
        <v>0</v>
      </c>
    </row>
    <row r="395" customFormat="false" ht="15.75" hidden="false" customHeight="true" outlineLevel="0" collapsed="false">
      <c r="A395" s="30" t="n">
        <v>45444</v>
      </c>
      <c r="B395" s="31" t="s">
        <v>153</v>
      </c>
      <c r="C395" s="32"/>
      <c r="D395" s="32"/>
      <c r="E395" s="19" t="n">
        <f aca="false">+F395*0.03</f>
        <v>0</v>
      </c>
      <c r="F395" s="33" t="n">
        <v>0</v>
      </c>
      <c r="G395" s="62"/>
      <c r="H395" s="35" t="n">
        <v>0</v>
      </c>
      <c r="I395" s="34" t="n">
        <f aca="false">+IF(E395=0,0,E395*0.03)</f>
        <v>0</v>
      </c>
    </row>
    <row r="396" customFormat="false" ht="15.75" hidden="false" customHeight="true" outlineLevel="0" collapsed="false">
      <c r="A396" s="30" t="n">
        <v>45444</v>
      </c>
      <c r="B396" s="31" t="s">
        <v>153</v>
      </c>
      <c r="C396" s="32"/>
      <c r="D396" s="32"/>
      <c r="E396" s="19" t="n">
        <f aca="false">+F396*0.03</f>
        <v>0</v>
      </c>
      <c r="F396" s="33" t="n">
        <v>0</v>
      </c>
      <c r="G396" s="62"/>
      <c r="H396" s="35" t="n">
        <v>0</v>
      </c>
      <c r="I396" s="34" t="n">
        <f aca="false">+IF(E396=0,0,E396*0.03)</f>
        <v>0</v>
      </c>
    </row>
    <row r="397" customFormat="false" ht="15.75" hidden="false" customHeight="true" outlineLevel="0" collapsed="false">
      <c r="A397" s="30" t="n">
        <v>45444</v>
      </c>
      <c r="B397" s="31" t="s">
        <v>153</v>
      </c>
      <c r="C397" s="32"/>
      <c r="D397" s="32"/>
      <c r="E397" s="19" t="n">
        <f aca="false">+F397*0.03</f>
        <v>0</v>
      </c>
      <c r="F397" s="33" t="n">
        <v>0</v>
      </c>
      <c r="G397" s="62"/>
      <c r="H397" s="35" t="n">
        <v>0</v>
      </c>
      <c r="I397" s="34" t="n">
        <f aca="false">+IF(E397=0,0,E397*0.03)</f>
        <v>0</v>
      </c>
    </row>
    <row r="398" customFormat="false" ht="15.75" hidden="false" customHeight="true" outlineLevel="0" collapsed="false">
      <c r="A398" s="30" t="n">
        <v>45444</v>
      </c>
      <c r="B398" s="31" t="s">
        <v>153</v>
      </c>
      <c r="C398" s="32"/>
      <c r="D398" s="32"/>
      <c r="E398" s="19" t="n">
        <f aca="false">+F398*0.03</f>
        <v>0</v>
      </c>
      <c r="F398" s="33" t="n">
        <v>0</v>
      </c>
      <c r="G398" s="62"/>
      <c r="H398" s="35" t="n">
        <v>0</v>
      </c>
      <c r="I398" s="34" t="n">
        <f aca="false">+IF(E398=0,0,E398*0.03)</f>
        <v>0</v>
      </c>
    </row>
    <row r="399" customFormat="false" ht="15.75" hidden="false" customHeight="true" outlineLevel="0" collapsed="false">
      <c r="A399" s="30" t="n">
        <v>45444</v>
      </c>
      <c r="B399" s="31" t="s">
        <v>153</v>
      </c>
      <c r="C399" s="32"/>
      <c r="D399" s="32"/>
      <c r="E399" s="19" t="n">
        <f aca="false">+F399*0.03</f>
        <v>0</v>
      </c>
      <c r="F399" s="33" t="n">
        <v>0</v>
      </c>
      <c r="G399" s="62"/>
      <c r="H399" s="35" t="n">
        <v>0</v>
      </c>
      <c r="I399" s="34" t="n">
        <f aca="false">+IF(E399=0,0,E399*0.03)</f>
        <v>0</v>
      </c>
    </row>
    <row r="400" customFormat="false" ht="15.75" hidden="false" customHeight="true" outlineLevel="0" collapsed="false">
      <c r="A400" s="30" t="n">
        <v>45444</v>
      </c>
      <c r="B400" s="31" t="s">
        <v>153</v>
      </c>
      <c r="C400" s="32"/>
      <c r="D400" s="32"/>
      <c r="E400" s="19" t="n">
        <f aca="false">+F400*0.03</f>
        <v>0</v>
      </c>
      <c r="F400" s="33" t="n">
        <v>0</v>
      </c>
      <c r="G400" s="62"/>
      <c r="H400" s="35" t="n">
        <v>0</v>
      </c>
      <c r="I400" s="34" t="n">
        <f aca="false">+IF(E400=0,0,E400*0.03)</f>
        <v>0</v>
      </c>
    </row>
    <row r="401" customFormat="false" ht="15.75" hidden="false" customHeight="true" outlineLevel="0" collapsed="false">
      <c r="A401" s="30" t="n">
        <v>45444</v>
      </c>
      <c r="B401" s="31" t="s">
        <v>153</v>
      </c>
      <c r="C401" s="32"/>
      <c r="D401" s="32"/>
      <c r="E401" s="19" t="n">
        <f aca="false">+F401*0.03</f>
        <v>0</v>
      </c>
      <c r="F401" s="33" t="n">
        <v>0</v>
      </c>
      <c r="G401" s="62"/>
      <c r="H401" s="35" t="n">
        <v>0</v>
      </c>
      <c r="I401" s="34" t="n">
        <f aca="false">+IF(E401=0,0,E401*0.03)</f>
        <v>0</v>
      </c>
    </row>
    <row r="402" customFormat="false" ht="15.75" hidden="false" customHeight="true" outlineLevel="0" collapsed="false">
      <c r="A402" s="30" t="n">
        <v>45444</v>
      </c>
      <c r="B402" s="31" t="s">
        <v>153</v>
      </c>
      <c r="C402" s="32"/>
      <c r="D402" s="32"/>
      <c r="E402" s="19" t="n">
        <f aca="false">+F402*0.03</f>
        <v>0</v>
      </c>
      <c r="F402" s="33" t="n">
        <v>0</v>
      </c>
      <c r="G402" s="62"/>
      <c r="H402" s="35" t="n">
        <v>0</v>
      </c>
      <c r="I402" s="34" t="n">
        <f aca="false">+IF(E402=0,0,E402*0.03)</f>
        <v>0</v>
      </c>
    </row>
    <row r="403" customFormat="false" ht="15.75" hidden="false" customHeight="true" outlineLevel="0" collapsed="false">
      <c r="A403" s="30" t="n">
        <v>45444</v>
      </c>
      <c r="B403" s="31" t="s">
        <v>153</v>
      </c>
      <c r="C403" s="32"/>
      <c r="D403" s="32"/>
      <c r="E403" s="19" t="n">
        <f aca="false">+F403*0.03</f>
        <v>0</v>
      </c>
      <c r="F403" s="33" t="n">
        <v>0</v>
      </c>
      <c r="G403" s="62"/>
      <c r="H403" s="35" t="n">
        <v>0</v>
      </c>
      <c r="I403" s="34" t="n">
        <f aca="false">+IF(E403=0,0,E403*0.03)</f>
        <v>0</v>
      </c>
    </row>
    <row r="404" customFormat="false" ht="15.75" hidden="false" customHeight="true" outlineLevel="0" collapsed="false">
      <c r="A404" s="30" t="n">
        <v>45444</v>
      </c>
      <c r="B404" s="31" t="s">
        <v>153</v>
      </c>
      <c r="C404" s="32"/>
      <c r="D404" s="32"/>
      <c r="E404" s="19" t="n">
        <f aca="false">+F404*0.03</f>
        <v>0</v>
      </c>
      <c r="F404" s="33" t="n">
        <v>0</v>
      </c>
      <c r="G404" s="62"/>
      <c r="H404" s="35" t="n">
        <v>0</v>
      </c>
      <c r="I404" s="34" t="n">
        <f aca="false">+IF(E404=0,0,E404*0.03)</f>
        <v>0</v>
      </c>
    </row>
    <row r="405" customFormat="false" ht="15.75" hidden="false" customHeight="true" outlineLevel="0" collapsed="false">
      <c r="A405" s="30" t="n">
        <v>45444</v>
      </c>
      <c r="B405" s="31" t="s">
        <v>153</v>
      </c>
      <c r="C405" s="32"/>
      <c r="D405" s="32"/>
      <c r="E405" s="19" t="n">
        <f aca="false">+F405*0.03</f>
        <v>0</v>
      </c>
      <c r="F405" s="33" t="n">
        <v>0</v>
      </c>
      <c r="G405" s="62"/>
      <c r="H405" s="35" t="n">
        <v>0</v>
      </c>
      <c r="I405" s="34" t="n">
        <f aca="false">+IF(E405=0,0,E405*0.03)</f>
        <v>0</v>
      </c>
    </row>
    <row r="406" customFormat="false" ht="15.75" hidden="false" customHeight="true" outlineLevel="0" collapsed="false">
      <c r="A406" s="30" t="n">
        <v>45444</v>
      </c>
      <c r="B406" s="31" t="s">
        <v>153</v>
      </c>
      <c r="C406" s="32"/>
      <c r="D406" s="32"/>
      <c r="E406" s="19" t="n">
        <f aca="false">+F406*0.03</f>
        <v>0</v>
      </c>
      <c r="F406" s="33" t="n">
        <v>0</v>
      </c>
      <c r="G406" s="62"/>
      <c r="H406" s="35" t="n">
        <v>0</v>
      </c>
      <c r="I406" s="34" t="n">
        <f aca="false">+IF(E406=0,0,E406*0.03)</f>
        <v>0</v>
      </c>
    </row>
    <row r="407" customFormat="false" ht="15.75" hidden="false" customHeight="true" outlineLevel="0" collapsed="false">
      <c r="A407" s="30" t="n">
        <v>45444</v>
      </c>
      <c r="B407" s="31" t="s">
        <v>153</v>
      </c>
      <c r="C407" s="32"/>
      <c r="D407" s="32"/>
      <c r="E407" s="19" t="n">
        <f aca="false">+F407*0.03</f>
        <v>0</v>
      </c>
      <c r="F407" s="33" t="n">
        <v>0</v>
      </c>
      <c r="G407" s="62"/>
      <c r="H407" s="35" t="n">
        <v>0</v>
      </c>
      <c r="I407" s="34" t="n">
        <f aca="false">+IF(E407=0,0,E407*0.03)</f>
        <v>0</v>
      </c>
    </row>
    <row r="408" customFormat="false" ht="15.75" hidden="false" customHeight="true" outlineLevel="0" collapsed="false">
      <c r="A408" s="30" t="n">
        <v>45444</v>
      </c>
      <c r="B408" s="31" t="s">
        <v>153</v>
      </c>
      <c r="C408" s="32"/>
      <c r="D408" s="32"/>
      <c r="E408" s="19" t="n">
        <f aca="false">+F408*0.03</f>
        <v>0</v>
      </c>
      <c r="F408" s="33" t="n">
        <v>0</v>
      </c>
      <c r="G408" s="62"/>
      <c r="H408" s="35" t="n">
        <v>0</v>
      </c>
      <c r="I408" s="34" t="n">
        <f aca="false">+IF(E408=0,0,E408*0.03)</f>
        <v>0</v>
      </c>
    </row>
    <row r="409" customFormat="false" ht="15.75" hidden="false" customHeight="true" outlineLevel="0" collapsed="false">
      <c r="A409" s="30" t="n">
        <v>45444</v>
      </c>
      <c r="B409" s="31" t="s">
        <v>153</v>
      </c>
      <c r="C409" s="32"/>
      <c r="D409" s="32"/>
      <c r="E409" s="19" t="n">
        <f aca="false">+F409*0.03</f>
        <v>0</v>
      </c>
      <c r="F409" s="33" t="n">
        <v>0</v>
      </c>
      <c r="G409" s="62"/>
      <c r="H409" s="35" t="n">
        <v>0</v>
      </c>
      <c r="I409" s="34" t="n">
        <f aca="false">+IF(E409=0,0,E409*0.03)</f>
        <v>0</v>
      </c>
    </row>
    <row r="410" customFormat="false" ht="15.75" hidden="false" customHeight="true" outlineLevel="0" collapsed="false">
      <c r="A410" s="30" t="n">
        <v>45444</v>
      </c>
      <c r="B410" s="31" t="s">
        <v>153</v>
      </c>
      <c r="C410" s="32"/>
      <c r="D410" s="32"/>
      <c r="E410" s="19" t="n">
        <f aca="false">+F410*0.03</f>
        <v>0</v>
      </c>
      <c r="F410" s="33" t="n">
        <v>0</v>
      </c>
      <c r="G410" s="62"/>
      <c r="H410" s="35" t="n">
        <v>0</v>
      </c>
      <c r="I410" s="34" t="n">
        <f aca="false">+IF(E410=0,0,E410*0.03)</f>
        <v>0</v>
      </c>
    </row>
    <row r="411" customFormat="false" ht="15.75" hidden="false" customHeight="true" outlineLevel="0" collapsed="false">
      <c r="A411" s="30" t="n">
        <v>45444</v>
      </c>
      <c r="B411" s="31" t="s">
        <v>153</v>
      </c>
      <c r="C411" s="32"/>
      <c r="D411" s="32"/>
      <c r="E411" s="19" t="n">
        <f aca="false">+F411*0.03</f>
        <v>0</v>
      </c>
      <c r="F411" s="33" t="n">
        <v>0</v>
      </c>
      <c r="G411" s="62"/>
      <c r="H411" s="35" t="n">
        <v>0</v>
      </c>
      <c r="I411" s="34" t="n">
        <f aca="false">+IF(E411=0,0,E411*0.03)</f>
        <v>0</v>
      </c>
    </row>
    <row r="412" customFormat="false" ht="15.75" hidden="false" customHeight="true" outlineLevel="0" collapsed="false">
      <c r="A412" s="30" t="n">
        <v>45444</v>
      </c>
      <c r="B412" s="31" t="s">
        <v>153</v>
      </c>
      <c r="C412" s="32"/>
      <c r="D412" s="32"/>
      <c r="E412" s="19" t="n">
        <f aca="false">+F412*0.03</f>
        <v>0</v>
      </c>
      <c r="F412" s="33" t="n">
        <v>0</v>
      </c>
      <c r="G412" s="62"/>
      <c r="H412" s="35" t="n">
        <v>0</v>
      </c>
      <c r="I412" s="34" t="n">
        <f aca="false">+IF(E412=0,0,E412*0.03)</f>
        <v>0</v>
      </c>
    </row>
    <row r="413" customFormat="false" ht="15.75" hidden="false" customHeight="true" outlineLevel="0" collapsed="false">
      <c r="A413" s="30" t="n">
        <v>45444</v>
      </c>
      <c r="B413" s="31" t="s">
        <v>153</v>
      </c>
      <c r="C413" s="32"/>
      <c r="D413" s="32"/>
      <c r="E413" s="19" t="n">
        <f aca="false">+F413*0.03</f>
        <v>0</v>
      </c>
      <c r="F413" s="33" t="n">
        <v>0</v>
      </c>
      <c r="G413" s="62"/>
      <c r="H413" s="35" t="n">
        <v>0</v>
      </c>
      <c r="I413" s="34" t="n">
        <f aca="false">+IF(E413=0,0,E413*0.03)</f>
        <v>0</v>
      </c>
    </row>
    <row r="414" customFormat="false" ht="15.75" hidden="false" customHeight="true" outlineLevel="0" collapsed="false">
      <c r="A414" s="30" t="n">
        <v>45444</v>
      </c>
      <c r="B414" s="31" t="s">
        <v>153</v>
      </c>
      <c r="C414" s="32"/>
      <c r="D414" s="32"/>
      <c r="E414" s="19" t="n">
        <f aca="false">+F414*0.03</f>
        <v>0</v>
      </c>
      <c r="F414" s="33" t="n">
        <v>0</v>
      </c>
      <c r="G414" s="62"/>
      <c r="H414" s="35" t="n">
        <v>0</v>
      </c>
      <c r="I414" s="34" t="n">
        <f aca="false">+IF(E414=0,0,E414*0.03)</f>
        <v>0</v>
      </c>
    </row>
    <row r="415" customFormat="false" ht="15.75" hidden="false" customHeight="true" outlineLevel="0" collapsed="false">
      <c r="A415" s="30" t="n">
        <v>45444</v>
      </c>
      <c r="B415" s="31" t="s">
        <v>153</v>
      </c>
      <c r="C415" s="32"/>
      <c r="D415" s="32"/>
      <c r="E415" s="19" t="n">
        <f aca="false">+F415*0.03</f>
        <v>0</v>
      </c>
      <c r="F415" s="33" t="n">
        <v>0</v>
      </c>
      <c r="G415" s="62"/>
      <c r="H415" s="35" t="n">
        <v>0</v>
      </c>
      <c r="I415" s="34" t="n">
        <f aca="false">+IF(E415=0,0,E415*0.03)</f>
        <v>0</v>
      </c>
    </row>
    <row r="416" customFormat="false" ht="15.75" hidden="false" customHeight="true" outlineLevel="0" collapsed="false">
      <c r="A416" s="30" t="n">
        <v>45444</v>
      </c>
      <c r="B416" s="31" t="s">
        <v>153</v>
      </c>
      <c r="C416" s="32"/>
      <c r="D416" s="32"/>
      <c r="E416" s="19" t="n">
        <f aca="false">+F416*0.03</f>
        <v>0</v>
      </c>
      <c r="F416" s="33" t="n">
        <v>0</v>
      </c>
      <c r="G416" s="62"/>
      <c r="H416" s="35" t="n">
        <v>0</v>
      </c>
      <c r="I416" s="34" t="n">
        <f aca="false">+IF(E416=0,0,E416*0.03)</f>
        <v>0</v>
      </c>
    </row>
    <row r="417" customFormat="false" ht="15.75" hidden="false" customHeight="true" outlineLevel="0" collapsed="false">
      <c r="A417" s="30" t="n">
        <v>45444</v>
      </c>
      <c r="B417" s="31" t="s">
        <v>153</v>
      </c>
      <c r="C417" s="32"/>
      <c r="D417" s="32"/>
      <c r="E417" s="19" t="n">
        <f aca="false">+F417*0.03</f>
        <v>0</v>
      </c>
      <c r="F417" s="33" t="n">
        <v>0</v>
      </c>
      <c r="G417" s="62"/>
      <c r="H417" s="35" t="n">
        <v>0</v>
      </c>
      <c r="I417" s="34" t="n">
        <f aca="false">+IF(E417=0,0,E417*0.03)</f>
        <v>0</v>
      </c>
    </row>
    <row r="418" customFormat="false" ht="15.75" hidden="false" customHeight="true" outlineLevel="0" collapsed="false">
      <c r="A418" s="30" t="n">
        <v>45444</v>
      </c>
      <c r="B418" s="31" t="s">
        <v>153</v>
      </c>
      <c r="C418" s="32"/>
      <c r="D418" s="32"/>
      <c r="E418" s="19" t="n">
        <f aca="false">+F418*0.03</f>
        <v>0</v>
      </c>
      <c r="F418" s="33" t="n">
        <v>0</v>
      </c>
      <c r="G418" s="62"/>
      <c r="H418" s="35" t="n">
        <v>0</v>
      </c>
      <c r="I418" s="34" t="n">
        <f aca="false">+IF(E418=0,0,E418*0.03)</f>
        <v>0</v>
      </c>
    </row>
    <row r="419" customFormat="false" ht="15.75" hidden="false" customHeight="true" outlineLevel="0" collapsed="false">
      <c r="A419" s="30" t="n">
        <v>45444</v>
      </c>
      <c r="B419" s="31" t="s">
        <v>153</v>
      </c>
      <c r="C419" s="32"/>
      <c r="D419" s="32"/>
      <c r="E419" s="19" t="n">
        <f aca="false">+F419*0.03</f>
        <v>0</v>
      </c>
      <c r="F419" s="33" t="n">
        <v>0</v>
      </c>
      <c r="G419" s="62"/>
      <c r="H419" s="35" t="n">
        <v>0</v>
      </c>
      <c r="I419" s="34" t="n">
        <f aca="false">+IF(E419=0,0,E419*0.03)</f>
        <v>0</v>
      </c>
    </row>
    <row r="420" customFormat="false" ht="15.75" hidden="false" customHeight="true" outlineLevel="0" collapsed="false">
      <c r="A420" s="30" t="n">
        <v>45444</v>
      </c>
      <c r="B420" s="31" t="s">
        <v>153</v>
      </c>
      <c r="C420" s="32"/>
      <c r="D420" s="32"/>
      <c r="E420" s="19" t="n">
        <f aca="false">+F420*0.03</f>
        <v>0</v>
      </c>
      <c r="F420" s="33" t="n">
        <v>0</v>
      </c>
      <c r="G420" s="62"/>
      <c r="H420" s="35" t="n">
        <v>0</v>
      </c>
      <c r="I420" s="34" t="n">
        <f aca="false">+IF(E420=0,0,E420*0.03)</f>
        <v>0</v>
      </c>
    </row>
    <row r="421" customFormat="false" ht="15.75" hidden="false" customHeight="true" outlineLevel="0" collapsed="false">
      <c r="A421" s="30" t="n">
        <v>45444</v>
      </c>
      <c r="B421" s="31" t="s">
        <v>153</v>
      </c>
      <c r="C421" s="32"/>
      <c r="D421" s="32"/>
      <c r="E421" s="19" t="n">
        <f aca="false">+F421*0.03</f>
        <v>0</v>
      </c>
      <c r="F421" s="33" t="n">
        <v>0</v>
      </c>
      <c r="G421" s="62"/>
      <c r="H421" s="35" t="n">
        <v>0</v>
      </c>
      <c r="I421" s="34" t="n">
        <f aca="false">+IF(E421=0,0,E421*0.03)</f>
        <v>0</v>
      </c>
    </row>
    <row r="422" customFormat="false" ht="15.75" hidden="false" customHeight="true" outlineLevel="0" collapsed="false">
      <c r="A422" s="30" t="n">
        <v>45444</v>
      </c>
      <c r="B422" s="31" t="s">
        <v>153</v>
      </c>
      <c r="C422" s="32"/>
      <c r="D422" s="32"/>
      <c r="E422" s="19" t="n">
        <f aca="false">+F422*0.03</f>
        <v>0</v>
      </c>
      <c r="F422" s="33" t="n">
        <v>0</v>
      </c>
      <c r="G422" s="62"/>
      <c r="H422" s="35" t="n">
        <v>0</v>
      </c>
      <c r="I422" s="34" t="n">
        <f aca="false">+IF(E422=0,0,E422*0.03)</f>
        <v>0</v>
      </c>
    </row>
    <row r="423" customFormat="false" ht="15.75" hidden="false" customHeight="true" outlineLevel="0" collapsed="false">
      <c r="A423" s="30" t="n">
        <v>45444</v>
      </c>
      <c r="B423" s="31" t="s">
        <v>153</v>
      </c>
      <c r="C423" s="32"/>
      <c r="D423" s="32"/>
      <c r="E423" s="19" t="n">
        <f aca="false">+F423*0.03</f>
        <v>0</v>
      </c>
      <c r="F423" s="33" t="n">
        <v>0</v>
      </c>
      <c r="G423" s="62"/>
      <c r="H423" s="35" t="n">
        <v>0</v>
      </c>
      <c r="I423" s="34" t="n">
        <f aca="false">+IF(E423=0,0,E423*0.03)</f>
        <v>0</v>
      </c>
    </row>
    <row r="424" customFormat="false" ht="15.75" hidden="false" customHeight="true" outlineLevel="0" collapsed="false">
      <c r="A424" s="30" t="n">
        <v>45444</v>
      </c>
      <c r="B424" s="31" t="s">
        <v>153</v>
      </c>
      <c r="C424" s="32"/>
      <c r="D424" s="32"/>
      <c r="E424" s="19" t="n">
        <f aca="false">+F424*0.03</f>
        <v>0</v>
      </c>
      <c r="F424" s="33" t="n">
        <v>0</v>
      </c>
      <c r="G424" s="62"/>
      <c r="H424" s="35" t="n">
        <v>0</v>
      </c>
      <c r="I424" s="34" t="n">
        <f aca="false">+IF(E424=0,0,E424*0.03)</f>
        <v>0</v>
      </c>
    </row>
    <row r="425" customFormat="false" ht="15.75" hidden="false" customHeight="true" outlineLevel="0" collapsed="false">
      <c r="A425" s="30" t="n">
        <v>45444</v>
      </c>
      <c r="B425" s="31" t="s">
        <v>153</v>
      </c>
      <c r="C425" s="32"/>
      <c r="D425" s="32"/>
      <c r="E425" s="19" t="n">
        <f aca="false">+F425*0.03</f>
        <v>0</v>
      </c>
      <c r="F425" s="33" t="n">
        <v>0</v>
      </c>
      <c r="G425" s="62"/>
      <c r="H425" s="35" t="n">
        <v>0</v>
      </c>
      <c r="I425" s="34" t="n">
        <f aca="false">+IF(E425=0,0,E425*0.03)</f>
        <v>0</v>
      </c>
    </row>
    <row r="426" customFormat="false" ht="15.75" hidden="false" customHeight="true" outlineLevel="0" collapsed="false">
      <c r="A426" s="30" t="n">
        <v>45444</v>
      </c>
      <c r="B426" s="31" t="s">
        <v>153</v>
      </c>
      <c r="C426" s="32"/>
      <c r="D426" s="32"/>
      <c r="E426" s="19" t="n">
        <f aca="false">+F426*0.03</f>
        <v>0</v>
      </c>
      <c r="F426" s="33" t="n">
        <v>0</v>
      </c>
      <c r="G426" s="62"/>
      <c r="H426" s="35" t="n">
        <v>0</v>
      </c>
      <c r="I426" s="34" t="n">
        <f aca="false">+IF(E426=0,0,E426*0.03)</f>
        <v>0</v>
      </c>
    </row>
    <row r="427" customFormat="false" ht="15.75" hidden="false" customHeight="true" outlineLevel="0" collapsed="false">
      <c r="A427" s="30" t="n">
        <v>45444</v>
      </c>
      <c r="B427" s="31" t="s">
        <v>153</v>
      </c>
      <c r="C427" s="32"/>
      <c r="D427" s="32"/>
      <c r="E427" s="19" t="n">
        <f aca="false">+F427*0.03</f>
        <v>0</v>
      </c>
      <c r="F427" s="33" t="n">
        <v>0</v>
      </c>
      <c r="G427" s="62"/>
      <c r="H427" s="35" t="n">
        <v>0</v>
      </c>
      <c r="I427" s="34" t="n">
        <f aca="false">+IF(E427=0,0,E427*0.03)</f>
        <v>0</v>
      </c>
    </row>
    <row r="428" customFormat="false" ht="15.75" hidden="false" customHeight="true" outlineLevel="0" collapsed="false">
      <c r="A428" s="30" t="n">
        <v>45444</v>
      </c>
      <c r="B428" s="31" t="s">
        <v>153</v>
      </c>
      <c r="C428" s="32"/>
      <c r="D428" s="32"/>
      <c r="E428" s="19" t="n">
        <f aca="false">+F428*0.03</f>
        <v>0</v>
      </c>
      <c r="F428" s="33" t="n">
        <v>0</v>
      </c>
      <c r="G428" s="62"/>
      <c r="H428" s="35" t="n">
        <v>0</v>
      </c>
      <c r="I428" s="34" t="n">
        <f aca="false">+IF(E428=0,0,E428*0.03)</f>
        <v>0</v>
      </c>
    </row>
    <row r="429" customFormat="false" ht="15.75" hidden="false" customHeight="true" outlineLevel="0" collapsed="false">
      <c r="A429" s="30" t="n">
        <v>45444</v>
      </c>
      <c r="B429" s="31" t="s">
        <v>153</v>
      </c>
      <c r="C429" s="32"/>
      <c r="D429" s="32"/>
      <c r="E429" s="19" t="n">
        <f aca="false">+F429*0.03</f>
        <v>0</v>
      </c>
      <c r="F429" s="33" t="n">
        <v>0</v>
      </c>
      <c r="G429" s="62"/>
      <c r="H429" s="35" t="n">
        <v>0</v>
      </c>
      <c r="I429" s="34" t="n">
        <f aca="false">+IF(E429=0,0,E429*0.03)</f>
        <v>0</v>
      </c>
    </row>
    <row r="430" customFormat="false" ht="15.75" hidden="false" customHeight="true" outlineLevel="0" collapsed="false">
      <c r="A430" s="30" t="n">
        <v>45444</v>
      </c>
      <c r="B430" s="31" t="s">
        <v>153</v>
      </c>
      <c r="C430" s="32"/>
      <c r="D430" s="32"/>
      <c r="E430" s="19" t="n">
        <f aca="false">+F430*0.03</f>
        <v>0</v>
      </c>
      <c r="F430" s="33" t="n">
        <v>0</v>
      </c>
      <c r="G430" s="62"/>
      <c r="H430" s="35" t="n">
        <v>0</v>
      </c>
      <c r="I430" s="34" t="n">
        <f aca="false">+IF(E430=0,0,E430*0.03)</f>
        <v>0</v>
      </c>
    </row>
    <row r="431" customFormat="false" ht="15.75" hidden="false" customHeight="true" outlineLevel="0" collapsed="false">
      <c r="A431" s="30" t="n">
        <v>45444</v>
      </c>
      <c r="B431" s="31" t="s">
        <v>153</v>
      </c>
      <c r="C431" s="32"/>
      <c r="D431" s="32"/>
      <c r="E431" s="19" t="n">
        <f aca="false">+F431*0.03</f>
        <v>0</v>
      </c>
      <c r="F431" s="33" t="n">
        <v>0</v>
      </c>
      <c r="G431" s="62"/>
      <c r="H431" s="35" t="n">
        <v>0</v>
      </c>
      <c r="I431" s="34" t="n">
        <f aca="false">+IF(E431=0,0,E431*0.03)</f>
        <v>0</v>
      </c>
    </row>
    <row r="432" customFormat="false" ht="15.75" hidden="false" customHeight="true" outlineLevel="0" collapsed="false">
      <c r="A432" s="30" t="n">
        <v>45444</v>
      </c>
      <c r="B432" s="31" t="s">
        <v>153</v>
      </c>
      <c r="C432" s="32"/>
      <c r="D432" s="32"/>
      <c r="E432" s="19" t="n">
        <f aca="false">+F432*0.03</f>
        <v>0</v>
      </c>
      <c r="F432" s="33" t="n">
        <v>0</v>
      </c>
      <c r="G432" s="62"/>
      <c r="H432" s="35" t="n">
        <v>0</v>
      </c>
      <c r="I432" s="34" t="n">
        <f aca="false">+IF(E432=0,0,E432*0.03)</f>
        <v>0</v>
      </c>
    </row>
    <row r="433" customFormat="false" ht="15.75" hidden="false" customHeight="true" outlineLevel="0" collapsed="false">
      <c r="A433" s="30" t="n">
        <v>45444</v>
      </c>
      <c r="B433" s="31" t="s">
        <v>153</v>
      </c>
      <c r="C433" s="32"/>
      <c r="D433" s="32"/>
      <c r="E433" s="19" t="n">
        <f aca="false">+F433*0.03</f>
        <v>0</v>
      </c>
      <c r="F433" s="33" t="n">
        <v>0</v>
      </c>
      <c r="G433" s="62"/>
      <c r="H433" s="35" t="n">
        <v>0</v>
      </c>
      <c r="I433" s="34" t="n">
        <f aca="false">+IF(E433=0,0,E433*0.03)</f>
        <v>0</v>
      </c>
    </row>
    <row r="434" customFormat="false" ht="15.75" hidden="false" customHeight="true" outlineLevel="0" collapsed="false">
      <c r="A434" s="30" t="n">
        <v>45444</v>
      </c>
      <c r="B434" s="31" t="s">
        <v>153</v>
      </c>
      <c r="C434" s="32"/>
      <c r="D434" s="32"/>
      <c r="E434" s="19" t="n">
        <f aca="false">+F434*0.03</f>
        <v>0</v>
      </c>
      <c r="F434" s="33" t="n">
        <v>0</v>
      </c>
      <c r="G434" s="62"/>
      <c r="H434" s="35" t="n">
        <v>0</v>
      </c>
      <c r="I434" s="34" t="n">
        <f aca="false">+IF(E434=0,0,E434*0.03)</f>
        <v>0</v>
      </c>
    </row>
    <row r="435" customFormat="false" ht="15.75" hidden="false" customHeight="true" outlineLevel="0" collapsed="false">
      <c r="A435" s="30" t="n">
        <v>45444</v>
      </c>
      <c r="B435" s="31" t="s">
        <v>153</v>
      </c>
      <c r="C435" s="32"/>
      <c r="D435" s="32"/>
      <c r="E435" s="19" t="n">
        <f aca="false">+F435*0.03</f>
        <v>0</v>
      </c>
      <c r="F435" s="33" t="n">
        <v>0</v>
      </c>
      <c r="G435" s="62"/>
      <c r="H435" s="35" t="n">
        <v>0</v>
      </c>
      <c r="I435" s="34" t="n">
        <f aca="false">+IF(E435=0,0,E435*0.03)</f>
        <v>0</v>
      </c>
    </row>
    <row r="436" customFormat="false" ht="15.75" hidden="false" customHeight="true" outlineLevel="0" collapsed="false">
      <c r="A436" s="30" t="n">
        <v>45444</v>
      </c>
      <c r="B436" s="31" t="s">
        <v>153</v>
      </c>
      <c r="C436" s="32"/>
      <c r="D436" s="32"/>
      <c r="E436" s="19" t="n">
        <f aca="false">+F436*0.03</f>
        <v>0</v>
      </c>
      <c r="F436" s="33" t="n">
        <v>0</v>
      </c>
      <c r="G436" s="62"/>
      <c r="H436" s="35" t="n">
        <v>0</v>
      </c>
      <c r="I436" s="34" t="n">
        <f aca="false">+IF(E436=0,0,E436*0.03)</f>
        <v>0</v>
      </c>
    </row>
    <row r="437" customFormat="false" ht="15.75" hidden="false" customHeight="true" outlineLevel="0" collapsed="false">
      <c r="A437" s="30" t="n">
        <v>45444</v>
      </c>
      <c r="B437" s="31" t="s">
        <v>153</v>
      </c>
      <c r="C437" s="32"/>
      <c r="D437" s="32"/>
      <c r="E437" s="19" t="n">
        <f aca="false">+F437*0.03</f>
        <v>0</v>
      </c>
      <c r="F437" s="33" t="n">
        <v>0</v>
      </c>
      <c r="G437" s="62"/>
      <c r="H437" s="35" t="n">
        <v>0</v>
      </c>
      <c r="I437" s="34" t="n">
        <f aca="false">+IF(E437=0,0,E437*0.03)</f>
        <v>0</v>
      </c>
    </row>
    <row r="438" customFormat="false" ht="15.75" hidden="false" customHeight="true" outlineLevel="0" collapsed="false">
      <c r="A438" s="30" t="n">
        <v>45444</v>
      </c>
      <c r="B438" s="31" t="s">
        <v>153</v>
      </c>
      <c r="C438" s="32"/>
      <c r="D438" s="32"/>
      <c r="E438" s="19" t="n">
        <f aca="false">+F438*0.03</f>
        <v>0</v>
      </c>
      <c r="F438" s="33" t="n">
        <v>0</v>
      </c>
      <c r="G438" s="62"/>
      <c r="H438" s="35" t="n">
        <v>0</v>
      </c>
      <c r="I438" s="34" t="n">
        <f aca="false">+IF(E438=0,0,E438*0.03)</f>
        <v>0</v>
      </c>
    </row>
    <row r="439" customFormat="false" ht="15.75" hidden="false" customHeight="true" outlineLevel="0" collapsed="false">
      <c r="A439" s="30" t="n">
        <v>45444</v>
      </c>
      <c r="B439" s="31" t="s">
        <v>153</v>
      </c>
      <c r="C439" s="32"/>
      <c r="D439" s="32"/>
      <c r="E439" s="19" t="n">
        <f aca="false">+F439*0.03</f>
        <v>0</v>
      </c>
      <c r="F439" s="33" t="n">
        <v>0</v>
      </c>
      <c r="G439" s="62"/>
      <c r="H439" s="35" t="n">
        <v>0</v>
      </c>
      <c r="I439" s="34" t="n">
        <f aca="false">+IF(E439=0,0,E439*0.03)</f>
        <v>0</v>
      </c>
    </row>
    <row r="440" customFormat="false" ht="15.75" hidden="false" customHeight="true" outlineLevel="0" collapsed="false">
      <c r="A440" s="30" t="n">
        <v>45444</v>
      </c>
      <c r="B440" s="31" t="s">
        <v>153</v>
      </c>
      <c r="C440" s="32"/>
      <c r="D440" s="32"/>
      <c r="E440" s="19" t="n">
        <f aca="false">+F440*0.03</f>
        <v>0</v>
      </c>
      <c r="F440" s="33" t="n">
        <v>0</v>
      </c>
      <c r="G440" s="62"/>
      <c r="H440" s="35" t="n">
        <v>0</v>
      </c>
      <c r="I440" s="34" t="n">
        <f aca="false">+IF(E440=0,0,E440*0.03)</f>
        <v>0</v>
      </c>
    </row>
    <row r="441" customFormat="false" ht="15.75" hidden="false" customHeight="true" outlineLevel="0" collapsed="false">
      <c r="A441" s="30" t="n">
        <v>45444</v>
      </c>
      <c r="B441" s="31" t="s">
        <v>153</v>
      </c>
      <c r="C441" s="32"/>
      <c r="D441" s="32"/>
      <c r="E441" s="19" t="n">
        <f aca="false">+F441*0.03</f>
        <v>0</v>
      </c>
      <c r="F441" s="33" t="n">
        <v>0</v>
      </c>
      <c r="G441" s="62"/>
      <c r="H441" s="35" t="n">
        <v>0</v>
      </c>
      <c r="I441" s="34" t="n">
        <f aca="false">+IF(E441=0,0,E441*0.03)</f>
        <v>0</v>
      </c>
    </row>
    <row r="442" customFormat="false" ht="15.75" hidden="false" customHeight="true" outlineLevel="0" collapsed="false">
      <c r="A442" s="30" t="n">
        <v>45444</v>
      </c>
      <c r="B442" s="31" t="s">
        <v>153</v>
      </c>
      <c r="C442" s="32"/>
      <c r="D442" s="32"/>
      <c r="E442" s="19" t="n">
        <f aca="false">+F442*0.03</f>
        <v>0</v>
      </c>
      <c r="F442" s="33" t="n">
        <v>0</v>
      </c>
      <c r="G442" s="62"/>
      <c r="H442" s="35" t="n">
        <v>0</v>
      </c>
      <c r="I442" s="34" t="n">
        <f aca="false">+IF(E442=0,0,E442*0.03)</f>
        <v>0</v>
      </c>
    </row>
    <row r="443" customFormat="false" ht="15.75" hidden="false" customHeight="true" outlineLevel="0" collapsed="false">
      <c r="A443" s="30" t="n">
        <v>45444</v>
      </c>
      <c r="B443" s="31" t="s">
        <v>153</v>
      </c>
      <c r="C443" s="32"/>
      <c r="D443" s="32"/>
      <c r="E443" s="19" t="n">
        <f aca="false">+F443*0.03</f>
        <v>0</v>
      </c>
      <c r="F443" s="33" t="n">
        <v>0</v>
      </c>
      <c r="G443" s="62"/>
      <c r="H443" s="35" t="n">
        <v>0</v>
      </c>
      <c r="I443" s="34" t="n">
        <f aca="false">+IF(E443=0,0,E443*0.03)</f>
        <v>0</v>
      </c>
    </row>
    <row r="444" customFormat="false" ht="15.75" hidden="false" customHeight="true" outlineLevel="0" collapsed="false">
      <c r="A444" s="30" t="n">
        <v>45444</v>
      </c>
      <c r="B444" s="31" t="s">
        <v>153</v>
      </c>
      <c r="C444" s="32"/>
      <c r="D444" s="32"/>
      <c r="E444" s="19" t="n">
        <f aca="false">+F444*0.03</f>
        <v>0</v>
      </c>
      <c r="F444" s="33" t="n">
        <v>0</v>
      </c>
      <c r="G444" s="62"/>
      <c r="H444" s="35" t="n">
        <v>0</v>
      </c>
      <c r="I444" s="34" t="n">
        <f aca="false">+IF(E444=0,0,E444*0.03)</f>
        <v>0</v>
      </c>
    </row>
    <row r="445" customFormat="false" ht="15.75" hidden="false" customHeight="true" outlineLevel="0" collapsed="false">
      <c r="A445" s="30" t="n">
        <v>45444</v>
      </c>
      <c r="B445" s="31" t="s">
        <v>153</v>
      </c>
      <c r="C445" s="32"/>
      <c r="D445" s="32"/>
      <c r="E445" s="19" t="n">
        <f aca="false">+F445*0.03</f>
        <v>0</v>
      </c>
      <c r="F445" s="33" t="n">
        <v>0</v>
      </c>
      <c r="G445" s="62"/>
      <c r="H445" s="35" t="n">
        <v>0</v>
      </c>
      <c r="I445" s="34" t="n">
        <f aca="false">+IF(E445=0,0,E445*0.03)</f>
        <v>0</v>
      </c>
    </row>
    <row r="446" customFormat="false" ht="15.75" hidden="false" customHeight="true" outlineLevel="0" collapsed="false">
      <c r="A446" s="30" t="n">
        <v>45444</v>
      </c>
      <c r="B446" s="31" t="s">
        <v>153</v>
      </c>
      <c r="C446" s="32"/>
      <c r="D446" s="32"/>
      <c r="E446" s="19" t="n">
        <f aca="false">+F446*0.03</f>
        <v>0</v>
      </c>
      <c r="F446" s="33" t="n">
        <v>0</v>
      </c>
      <c r="G446" s="62"/>
      <c r="H446" s="35" t="n">
        <v>0</v>
      </c>
      <c r="I446" s="34" t="n">
        <f aca="false">+IF(E446=0,0,E446*0.03)</f>
        <v>0</v>
      </c>
    </row>
    <row r="447" customFormat="false" ht="15.75" hidden="false" customHeight="true" outlineLevel="0" collapsed="false">
      <c r="A447" s="30" t="n">
        <v>45444</v>
      </c>
      <c r="B447" s="31" t="s">
        <v>153</v>
      </c>
      <c r="C447" s="32"/>
      <c r="D447" s="32"/>
      <c r="E447" s="19" t="n">
        <f aca="false">+F447*0.03</f>
        <v>0</v>
      </c>
      <c r="F447" s="33" t="n">
        <v>0</v>
      </c>
      <c r="G447" s="62"/>
      <c r="H447" s="35" t="n">
        <v>0</v>
      </c>
      <c r="I447" s="34" t="n">
        <f aca="false">+IF(E447=0,0,E447*0.03)</f>
        <v>0</v>
      </c>
    </row>
    <row r="448" customFormat="false" ht="15.75" hidden="false" customHeight="true" outlineLevel="0" collapsed="false">
      <c r="A448" s="30" t="n">
        <v>45444</v>
      </c>
      <c r="B448" s="31" t="s">
        <v>153</v>
      </c>
      <c r="C448" s="32"/>
      <c r="D448" s="32"/>
      <c r="E448" s="19" t="n">
        <f aca="false">+F448*0.03</f>
        <v>0</v>
      </c>
      <c r="F448" s="33" t="n">
        <v>0</v>
      </c>
      <c r="G448" s="62"/>
      <c r="H448" s="35" t="n">
        <v>0</v>
      </c>
      <c r="I448" s="34" t="n">
        <f aca="false">+IF(E448=0,0,E448*0.03)</f>
        <v>0</v>
      </c>
    </row>
    <row r="449" customFormat="false" ht="15.75" hidden="false" customHeight="true" outlineLevel="0" collapsed="false">
      <c r="A449" s="30" t="n">
        <v>45444</v>
      </c>
      <c r="B449" s="31" t="s">
        <v>153</v>
      </c>
      <c r="C449" s="32"/>
      <c r="D449" s="32"/>
      <c r="E449" s="19" t="n">
        <f aca="false">+F449*0.03</f>
        <v>0</v>
      </c>
      <c r="F449" s="33" t="n">
        <v>0</v>
      </c>
      <c r="G449" s="62"/>
      <c r="H449" s="35" t="n">
        <v>0</v>
      </c>
      <c r="I449" s="34" t="n">
        <f aca="false">+IF(E449=0,0,E449*0.03)</f>
        <v>0</v>
      </c>
    </row>
    <row r="450" customFormat="false" ht="15.75" hidden="false" customHeight="true" outlineLevel="0" collapsed="false">
      <c r="A450" s="30" t="n">
        <v>45444</v>
      </c>
      <c r="B450" s="31" t="s">
        <v>153</v>
      </c>
      <c r="C450" s="32"/>
      <c r="D450" s="32"/>
      <c r="E450" s="19" t="n">
        <f aca="false">+F450*0.03</f>
        <v>0</v>
      </c>
      <c r="F450" s="33" t="n">
        <v>0</v>
      </c>
      <c r="G450" s="62"/>
      <c r="H450" s="35" t="n">
        <v>0</v>
      </c>
      <c r="I450" s="34" t="n">
        <f aca="false">+IF(E450=0,0,E450*0.03)</f>
        <v>0</v>
      </c>
    </row>
    <row r="451" customFormat="false" ht="15.75" hidden="false" customHeight="true" outlineLevel="0" collapsed="false">
      <c r="A451" s="30" t="n">
        <v>45444</v>
      </c>
      <c r="B451" s="31" t="s">
        <v>153</v>
      </c>
      <c r="C451" s="32"/>
      <c r="D451" s="32"/>
      <c r="E451" s="19" t="n">
        <f aca="false">+F451*0.03</f>
        <v>0</v>
      </c>
      <c r="F451" s="33" t="n">
        <v>0</v>
      </c>
      <c r="G451" s="62"/>
      <c r="H451" s="35" t="n">
        <v>0</v>
      </c>
      <c r="I451" s="34" t="n">
        <f aca="false">+IF(E451=0,0,E451*0.03)</f>
        <v>0</v>
      </c>
    </row>
    <row r="452" customFormat="false" ht="15.75" hidden="false" customHeight="true" outlineLevel="0" collapsed="false">
      <c r="A452" s="30" t="n">
        <v>45444</v>
      </c>
      <c r="B452" s="31" t="s">
        <v>153</v>
      </c>
      <c r="C452" s="32"/>
      <c r="D452" s="32"/>
      <c r="E452" s="19" t="n">
        <f aca="false">+F452*0.03</f>
        <v>0</v>
      </c>
      <c r="F452" s="33" t="n">
        <v>0</v>
      </c>
      <c r="G452" s="62"/>
      <c r="H452" s="35" t="n">
        <v>0</v>
      </c>
      <c r="I452" s="34" t="n">
        <f aca="false">+IF(E452=0,0,E452*0.03)</f>
        <v>0</v>
      </c>
    </row>
    <row r="453" customFormat="false" ht="15.75" hidden="false" customHeight="true" outlineLevel="0" collapsed="false">
      <c r="A453" s="30" t="n">
        <v>45444</v>
      </c>
      <c r="B453" s="31" t="s">
        <v>153</v>
      </c>
      <c r="C453" s="32"/>
      <c r="D453" s="32"/>
      <c r="E453" s="19" t="n">
        <f aca="false">+F453*0.03</f>
        <v>0</v>
      </c>
      <c r="F453" s="33" t="n">
        <v>0</v>
      </c>
      <c r="G453" s="62"/>
      <c r="H453" s="35" t="n">
        <v>0</v>
      </c>
      <c r="I453" s="34" t="n">
        <f aca="false">+IF(E453=0,0,E453*0.03)</f>
        <v>0</v>
      </c>
    </row>
    <row r="454" customFormat="false" ht="15.75" hidden="false" customHeight="true" outlineLevel="0" collapsed="false">
      <c r="A454" s="30" t="n">
        <v>45444</v>
      </c>
      <c r="B454" s="31" t="s">
        <v>153</v>
      </c>
      <c r="C454" s="32"/>
      <c r="D454" s="32"/>
      <c r="E454" s="19" t="n">
        <f aca="false">+F454*0.03</f>
        <v>0</v>
      </c>
      <c r="F454" s="33" t="n">
        <v>0</v>
      </c>
      <c r="G454" s="62"/>
      <c r="H454" s="35" t="n">
        <v>0</v>
      </c>
      <c r="I454" s="34" t="n">
        <f aca="false">+IF(E454=0,0,E454*0.03)</f>
        <v>0</v>
      </c>
    </row>
    <row r="455" customFormat="false" ht="15.75" hidden="false" customHeight="true" outlineLevel="0" collapsed="false">
      <c r="A455" s="30" t="n">
        <v>45444</v>
      </c>
      <c r="B455" s="31" t="s">
        <v>153</v>
      </c>
      <c r="C455" s="32"/>
      <c r="D455" s="32"/>
      <c r="E455" s="19" t="n">
        <f aca="false">+F455*0.03</f>
        <v>0</v>
      </c>
      <c r="F455" s="33" t="n">
        <v>0</v>
      </c>
      <c r="G455" s="62"/>
      <c r="H455" s="35" t="n">
        <v>0</v>
      </c>
      <c r="I455" s="34" t="n">
        <f aca="false">+IF(E455=0,0,E455*0.03)</f>
        <v>0</v>
      </c>
    </row>
    <row r="456" customFormat="false" ht="15.75" hidden="false" customHeight="true" outlineLevel="0" collapsed="false">
      <c r="A456" s="30" t="n">
        <v>45444</v>
      </c>
      <c r="B456" s="31" t="s">
        <v>153</v>
      </c>
      <c r="C456" s="32"/>
      <c r="D456" s="32"/>
      <c r="E456" s="19" t="n">
        <f aca="false">+F456*0.03</f>
        <v>0</v>
      </c>
      <c r="F456" s="33" t="n">
        <v>0</v>
      </c>
      <c r="G456" s="62"/>
      <c r="H456" s="35" t="n">
        <v>0</v>
      </c>
      <c r="I456" s="34" t="n">
        <f aca="false">+IF(E456=0,0,E456*0.03)</f>
        <v>0</v>
      </c>
    </row>
    <row r="457" customFormat="false" ht="15.75" hidden="false" customHeight="true" outlineLevel="0" collapsed="false">
      <c r="A457" s="30" t="n">
        <v>45444</v>
      </c>
      <c r="B457" s="31" t="s">
        <v>153</v>
      </c>
      <c r="C457" s="32"/>
      <c r="D457" s="32"/>
      <c r="E457" s="19" t="n">
        <f aca="false">+F457*0.03</f>
        <v>0</v>
      </c>
      <c r="F457" s="33" t="n">
        <v>0</v>
      </c>
      <c r="G457" s="62"/>
      <c r="H457" s="35" t="n">
        <v>0</v>
      </c>
      <c r="I457" s="34" t="n">
        <f aca="false">+IF(E457=0,0,E457*0.03)</f>
        <v>0</v>
      </c>
    </row>
    <row r="458" customFormat="false" ht="15.75" hidden="false" customHeight="true" outlineLevel="0" collapsed="false">
      <c r="A458" s="30" t="n">
        <v>45444</v>
      </c>
      <c r="B458" s="31" t="s">
        <v>153</v>
      </c>
      <c r="C458" s="32"/>
      <c r="D458" s="32"/>
      <c r="E458" s="19" t="n">
        <f aca="false">+F458*0.03</f>
        <v>0</v>
      </c>
      <c r="F458" s="33" t="n">
        <v>0</v>
      </c>
      <c r="G458" s="62"/>
      <c r="H458" s="35" t="n">
        <v>0</v>
      </c>
      <c r="I458" s="34" t="n">
        <f aca="false">+IF(E458=0,0,E458*0.03)</f>
        <v>0</v>
      </c>
    </row>
    <row r="459" customFormat="false" ht="15.75" hidden="false" customHeight="true" outlineLevel="0" collapsed="false">
      <c r="A459" s="30" t="n">
        <v>45444</v>
      </c>
      <c r="B459" s="31" t="s">
        <v>153</v>
      </c>
      <c r="C459" s="32"/>
      <c r="D459" s="32"/>
      <c r="E459" s="19" t="n">
        <f aca="false">+F459*0.03</f>
        <v>0</v>
      </c>
      <c r="F459" s="33" t="n">
        <v>0</v>
      </c>
      <c r="G459" s="62"/>
      <c r="H459" s="35" t="n">
        <v>0</v>
      </c>
      <c r="I459" s="34" t="n">
        <f aca="false">+IF(E459=0,0,E459*0.03)</f>
        <v>0</v>
      </c>
    </row>
    <row r="460" customFormat="false" ht="15.75" hidden="false" customHeight="true" outlineLevel="0" collapsed="false">
      <c r="A460" s="30" t="n">
        <v>45444</v>
      </c>
      <c r="B460" s="31" t="s">
        <v>153</v>
      </c>
      <c r="C460" s="32"/>
      <c r="D460" s="32"/>
      <c r="E460" s="19" t="n">
        <f aca="false">+F460*0.03</f>
        <v>0</v>
      </c>
      <c r="F460" s="33" t="n">
        <v>0</v>
      </c>
      <c r="G460" s="62"/>
      <c r="H460" s="35" t="n">
        <v>0</v>
      </c>
      <c r="I460" s="34" t="n">
        <f aca="false">+IF(E460=0,0,E460*0.03)</f>
        <v>0</v>
      </c>
    </row>
    <row r="461" customFormat="false" ht="15.75" hidden="false" customHeight="true" outlineLevel="0" collapsed="false">
      <c r="A461" s="30" t="n">
        <v>45444</v>
      </c>
      <c r="B461" s="31" t="s">
        <v>153</v>
      </c>
      <c r="C461" s="32"/>
      <c r="D461" s="32"/>
      <c r="E461" s="19" t="n">
        <f aca="false">+F461*0.03</f>
        <v>0</v>
      </c>
      <c r="F461" s="33" t="n">
        <v>0</v>
      </c>
      <c r="G461" s="62"/>
      <c r="H461" s="35" t="n">
        <v>0</v>
      </c>
      <c r="I461" s="34" t="n">
        <f aca="false">+IF(E461=0,0,E461*0.03)</f>
        <v>0</v>
      </c>
    </row>
    <row r="462" customFormat="false" ht="15.75" hidden="false" customHeight="true" outlineLevel="0" collapsed="false">
      <c r="A462" s="30" t="n">
        <v>45444</v>
      </c>
      <c r="B462" s="31" t="s">
        <v>153</v>
      </c>
      <c r="C462" s="32"/>
      <c r="D462" s="32"/>
      <c r="E462" s="19" t="n">
        <f aca="false">+F462*0.03</f>
        <v>0</v>
      </c>
      <c r="F462" s="33" t="n">
        <v>0</v>
      </c>
      <c r="G462" s="62"/>
      <c r="H462" s="35" t="n">
        <v>0</v>
      </c>
      <c r="I462" s="34" t="n">
        <f aca="false">+IF(E462=0,0,E462*0.03)</f>
        <v>0</v>
      </c>
    </row>
    <row r="463" customFormat="false" ht="15.75" hidden="false" customHeight="true" outlineLevel="0" collapsed="false">
      <c r="A463" s="30" t="n">
        <v>45444</v>
      </c>
      <c r="B463" s="31" t="s">
        <v>153</v>
      </c>
      <c r="C463" s="32"/>
      <c r="D463" s="32"/>
      <c r="E463" s="19" t="n">
        <f aca="false">+F463*0.03</f>
        <v>0</v>
      </c>
      <c r="F463" s="33" t="n">
        <v>0</v>
      </c>
      <c r="G463" s="62"/>
      <c r="H463" s="35" t="n">
        <v>0</v>
      </c>
      <c r="I463" s="34" t="n">
        <f aca="false">+IF(E463=0,0,E463*0.03)</f>
        <v>0</v>
      </c>
    </row>
    <row r="464" customFormat="false" ht="15.75" hidden="false" customHeight="true" outlineLevel="0" collapsed="false">
      <c r="A464" s="30" t="n">
        <v>45444</v>
      </c>
      <c r="B464" s="31" t="s">
        <v>153</v>
      </c>
      <c r="C464" s="32"/>
      <c r="D464" s="32"/>
      <c r="E464" s="19" t="n">
        <f aca="false">+F464*0.03</f>
        <v>0</v>
      </c>
      <c r="F464" s="33" t="n">
        <v>0</v>
      </c>
      <c r="G464" s="62"/>
      <c r="H464" s="35" t="n">
        <v>0</v>
      </c>
      <c r="I464" s="34" t="n">
        <f aca="false">+IF(E464=0,0,E464*0.03)</f>
        <v>0</v>
      </c>
    </row>
    <row r="465" customFormat="false" ht="15.75" hidden="false" customHeight="true" outlineLevel="0" collapsed="false">
      <c r="A465" s="30" t="n">
        <v>45444</v>
      </c>
      <c r="B465" s="31" t="s">
        <v>153</v>
      </c>
      <c r="C465" s="32"/>
      <c r="D465" s="32"/>
      <c r="E465" s="19" t="n">
        <f aca="false">+F465*0.03</f>
        <v>0</v>
      </c>
      <c r="F465" s="33" t="n">
        <v>0</v>
      </c>
      <c r="G465" s="62"/>
      <c r="H465" s="35" t="n">
        <v>0</v>
      </c>
      <c r="I465" s="34" t="n">
        <f aca="false">+IF(E465=0,0,E465*0.03)</f>
        <v>0</v>
      </c>
    </row>
    <row r="466" customFormat="false" ht="15.75" hidden="false" customHeight="true" outlineLevel="0" collapsed="false">
      <c r="A466" s="30" t="n">
        <v>45444</v>
      </c>
      <c r="B466" s="31" t="s">
        <v>153</v>
      </c>
      <c r="C466" s="32"/>
      <c r="D466" s="32"/>
      <c r="E466" s="19" t="n">
        <f aca="false">+F466*0.03</f>
        <v>0</v>
      </c>
      <c r="F466" s="33" t="n">
        <v>0</v>
      </c>
      <c r="G466" s="62"/>
      <c r="H466" s="35" t="n">
        <v>0</v>
      </c>
      <c r="I466" s="34" t="n">
        <f aca="false">+IF(E466=0,0,E466*0.03)</f>
        <v>0</v>
      </c>
    </row>
    <row r="467" customFormat="false" ht="15.75" hidden="false" customHeight="true" outlineLevel="0" collapsed="false">
      <c r="A467" s="30" t="n">
        <v>45444</v>
      </c>
      <c r="B467" s="31" t="s">
        <v>153</v>
      </c>
      <c r="C467" s="32"/>
      <c r="D467" s="32"/>
      <c r="E467" s="19" t="n">
        <f aca="false">+F467*0.03</f>
        <v>0</v>
      </c>
      <c r="F467" s="33" t="n">
        <v>0</v>
      </c>
      <c r="G467" s="62"/>
      <c r="H467" s="35" t="n">
        <v>0</v>
      </c>
      <c r="I467" s="34" t="n">
        <f aca="false">+IF(E467=0,0,E467*0.03)</f>
        <v>0</v>
      </c>
    </row>
    <row r="468" customFormat="false" ht="15.75" hidden="false" customHeight="true" outlineLevel="0" collapsed="false">
      <c r="A468" s="30" t="n">
        <v>45444</v>
      </c>
      <c r="B468" s="31" t="s">
        <v>153</v>
      </c>
      <c r="C468" s="32"/>
      <c r="D468" s="32"/>
      <c r="E468" s="19" t="n">
        <f aca="false">+F468*0.03</f>
        <v>0</v>
      </c>
      <c r="F468" s="33" t="n">
        <v>0</v>
      </c>
      <c r="G468" s="62"/>
      <c r="H468" s="35" t="n">
        <v>0</v>
      </c>
      <c r="I468" s="34" t="n">
        <f aca="false">+IF(E468=0,0,E468*0.03)</f>
        <v>0</v>
      </c>
    </row>
    <row r="469" customFormat="false" ht="15.75" hidden="false" customHeight="true" outlineLevel="0" collapsed="false">
      <c r="A469" s="30" t="n">
        <v>45444</v>
      </c>
      <c r="B469" s="31" t="s">
        <v>153</v>
      </c>
      <c r="C469" s="32"/>
      <c r="D469" s="32"/>
      <c r="E469" s="19" t="n">
        <f aca="false">+F469*0.03</f>
        <v>0</v>
      </c>
      <c r="F469" s="33" t="n">
        <v>0</v>
      </c>
      <c r="G469" s="62"/>
      <c r="H469" s="35" t="n">
        <v>0</v>
      </c>
      <c r="I469" s="34" t="n">
        <f aca="false">+IF(E469=0,0,E469*0.03)</f>
        <v>0</v>
      </c>
    </row>
    <row r="470" customFormat="false" ht="15.75" hidden="false" customHeight="true" outlineLevel="0" collapsed="false">
      <c r="A470" s="30" t="n">
        <v>45444</v>
      </c>
      <c r="B470" s="31" t="s">
        <v>153</v>
      </c>
      <c r="C470" s="32"/>
      <c r="D470" s="32"/>
      <c r="E470" s="19" t="n">
        <f aca="false">+F470*0.03</f>
        <v>0</v>
      </c>
      <c r="F470" s="33" t="n">
        <v>0</v>
      </c>
      <c r="G470" s="62"/>
      <c r="H470" s="35" t="n">
        <v>0</v>
      </c>
      <c r="I470" s="34" t="n">
        <f aca="false">+IF(E470=0,0,E470*0.03)</f>
        <v>0</v>
      </c>
    </row>
    <row r="471" customFormat="false" ht="15.75" hidden="false" customHeight="true" outlineLevel="0" collapsed="false">
      <c r="A471" s="30" t="n">
        <v>45444</v>
      </c>
      <c r="B471" s="31" t="s">
        <v>153</v>
      </c>
      <c r="C471" s="32"/>
      <c r="D471" s="32"/>
      <c r="E471" s="19" t="n">
        <f aca="false">+F471*0.03</f>
        <v>0</v>
      </c>
      <c r="F471" s="33" t="n">
        <v>0</v>
      </c>
      <c r="G471" s="62"/>
      <c r="H471" s="35" t="n">
        <v>0</v>
      </c>
      <c r="I471" s="34" t="n">
        <f aca="false">+IF(E471=0,0,E471*0.03)</f>
        <v>0</v>
      </c>
    </row>
    <row r="472" customFormat="false" ht="15.75" hidden="false" customHeight="true" outlineLevel="0" collapsed="false">
      <c r="A472" s="30" t="n">
        <v>45444</v>
      </c>
      <c r="B472" s="31" t="s">
        <v>153</v>
      </c>
      <c r="C472" s="32"/>
      <c r="D472" s="32"/>
      <c r="E472" s="19" t="n">
        <f aca="false">+F472*0.03</f>
        <v>0</v>
      </c>
      <c r="F472" s="33" t="n">
        <v>0</v>
      </c>
      <c r="G472" s="62"/>
      <c r="H472" s="35" t="n">
        <v>0</v>
      </c>
      <c r="I472" s="34" t="n">
        <f aca="false">+IF(E472=0,0,E472*0.03)</f>
        <v>0</v>
      </c>
    </row>
    <row r="473" customFormat="false" ht="15.75" hidden="false" customHeight="true" outlineLevel="0" collapsed="false">
      <c r="A473" s="30" t="n">
        <v>45444</v>
      </c>
      <c r="B473" s="31" t="s">
        <v>153</v>
      </c>
      <c r="C473" s="32"/>
      <c r="D473" s="32"/>
      <c r="E473" s="19" t="n">
        <f aca="false">+F473*0.03</f>
        <v>0</v>
      </c>
      <c r="F473" s="33" t="n">
        <v>0</v>
      </c>
      <c r="G473" s="62"/>
      <c r="H473" s="35" t="n">
        <v>0</v>
      </c>
      <c r="I473" s="34" t="n">
        <f aca="false">+IF(E473=0,0,E473*0.03)</f>
        <v>0</v>
      </c>
    </row>
    <row r="474" customFormat="false" ht="15.75" hidden="false" customHeight="true" outlineLevel="0" collapsed="false">
      <c r="A474" s="30" t="n">
        <v>45444</v>
      </c>
      <c r="B474" s="31" t="s">
        <v>153</v>
      </c>
      <c r="C474" s="32"/>
      <c r="D474" s="32"/>
      <c r="E474" s="19" t="n">
        <f aca="false">+F474*0.03</f>
        <v>0</v>
      </c>
      <c r="F474" s="33" t="n">
        <v>0</v>
      </c>
      <c r="G474" s="62"/>
      <c r="H474" s="35" t="n">
        <v>0</v>
      </c>
      <c r="I474" s="34" t="n">
        <f aca="false">+IF(E474=0,0,E474*0.03)</f>
        <v>0</v>
      </c>
    </row>
    <row r="475" customFormat="false" ht="15.75" hidden="false" customHeight="true" outlineLevel="0" collapsed="false">
      <c r="A475" s="30" t="n">
        <v>45444</v>
      </c>
      <c r="B475" s="31" t="s">
        <v>153</v>
      </c>
      <c r="C475" s="32"/>
      <c r="D475" s="32"/>
      <c r="E475" s="19" t="n">
        <f aca="false">+F475*0.03</f>
        <v>0</v>
      </c>
      <c r="F475" s="33" t="n">
        <v>0</v>
      </c>
      <c r="G475" s="62"/>
      <c r="H475" s="35" t="n">
        <v>0</v>
      </c>
      <c r="I475" s="34" t="n">
        <f aca="false">+IF(E475=0,0,E475*0.03)</f>
        <v>0</v>
      </c>
    </row>
    <row r="476" customFormat="false" ht="15.75" hidden="false" customHeight="true" outlineLevel="0" collapsed="false">
      <c r="A476" s="30" t="n">
        <v>45444</v>
      </c>
      <c r="B476" s="31" t="s">
        <v>153</v>
      </c>
      <c r="C476" s="32"/>
      <c r="D476" s="32"/>
      <c r="E476" s="19" t="n">
        <f aca="false">+F476*0.03</f>
        <v>0</v>
      </c>
      <c r="F476" s="33" t="n">
        <v>0</v>
      </c>
      <c r="G476" s="62"/>
      <c r="H476" s="35" t="n">
        <v>0</v>
      </c>
      <c r="I476" s="34" t="n">
        <f aca="false">+IF(E476=0,0,E476*0.03)</f>
        <v>0</v>
      </c>
    </row>
    <row r="477" customFormat="false" ht="15.75" hidden="false" customHeight="true" outlineLevel="0" collapsed="false">
      <c r="A477" s="30" t="n">
        <v>45444</v>
      </c>
      <c r="B477" s="31" t="s">
        <v>153</v>
      </c>
      <c r="C477" s="32"/>
      <c r="D477" s="32"/>
      <c r="E477" s="19" t="n">
        <f aca="false">+F477*0.03</f>
        <v>0</v>
      </c>
      <c r="F477" s="33" t="n">
        <v>0</v>
      </c>
      <c r="G477" s="62"/>
      <c r="H477" s="35" t="n">
        <v>0</v>
      </c>
      <c r="I477" s="34" t="n">
        <f aca="false">+IF(E477=0,0,E477*0.03)</f>
        <v>0</v>
      </c>
    </row>
    <row r="478" customFormat="false" ht="15.75" hidden="false" customHeight="true" outlineLevel="0" collapsed="false">
      <c r="A478" s="30" t="n">
        <v>45444</v>
      </c>
      <c r="B478" s="31" t="s">
        <v>153</v>
      </c>
      <c r="C478" s="32"/>
      <c r="D478" s="32"/>
      <c r="E478" s="19" t="n">
        <f aca="false">+F478*0.03</f>
        <v>0</v>
      </c>
      <c r="F478" s="33" t="n">
        <v>0</v>
      </c>
      <c r="G478" s="62"/>
      <c r="H478" s="35" t="n">
        <v>0</v>
      </c>
      <c r="I478" s="34" t="n">
        <f aca="false">+IF(E478=0,0,E478*0.03)</f>
        <v>0</v>
      </c>
    </row>
    <row r="479" customFormat="false" ht="15.75" hidden="false" customHeight="true" outlineLevel="0" collapsed="false">
      <c r="A479" s="30" t="n">
        <v>45444</v>
      </c>
      <c r="B479" s="31" t="s">
        <v>153</v>
      </c>
      <c r="C479" s="32"/>
      <c r="D479" s="32"/>
      <c r="E479" s="19" t="n">
        <f aca="false">+F479*0.03</f>
        <v>0</v>
      </c>
      <c r="F479" s="33" t="n">
        <v>0</v>
      </c>
      <c r="G479" s="62"/>
      <c r="H479" s="35" t="n">
        <v>0</v>
      </c>
      <c r="I479" s="34" t="n">
        <f aca="false">+IF(E479=0,0,E479*0.03)</f>
        <v>0</v>
      </c>
    </row>
    <row r="480" customFormat="false" ht="15.75" hidden="false" customHeight="true" outlineLevel="0" collapsed="false">
      <c r="A480" s="30" t="n">
        <v>45444</v>
      </c>
      <c r="B480" s="31" t="s">
        <v>153</v>
      </c>
      <c r="C480" s="32"/>
      <c r="D480" s="32"/>
      <c r="E480" s="19" t="n">
        <f aca="false">+F480*0.03</f>
        <v>0</v>
      </c>
      <c r="F480" s="33" t="n">
        <v>0</v>
      </c>
      <c r="G480" s="62"/>
      <c r="H480" s="35" t="n">
        <v>0</v>
      </c>
      <c r="I480" s="34" t="n">
        <f aca="false">+IF(E480=0,0,E480*0.03)</f>
        <v>0</v>
      </c>
    </row>
    <row r="481" customFormat="false" ht="15.75" hidden="false" customHeight="true" outlineLevel="0" collapsed="false">
      <c r="A481" s="30" t="n">
        <v>45444</v>
      </c>
      <c r="B481" s="31" t="s">
        <v>153</v>
      </c>
      <c r="C481" s="32"/>
      <c r="D481" s="32"/>
      <c r="E481" s="19" t="n">
        <f aca="false">+F481*0.03</f>
        <v>0</v>
      </c>
      <c r="F481" s="33" t="n">
        <v>0</v>
      </c>
      <c r="G481" s="62"/>
      <c r="H481" s="35" t="n">
        <v>0</v>
      </c>
      <c r="I481" s="34" t="n">
        <f aca="false">+IF(E481=0,0,E481*0.03)</f>
        <v>0</v>
      </c>
    </row>
    <row r="482" customFormat="false" ht="15.75" hidden="false" customHeight="true" outlineLevel="0" collapsed="false">
      <c r="A482" s="30" t="n">
        <v>45444</v>
      </c>
      <c r="B482" s="31" t="s">
        <v>153</v>
      </c>
      <c r="C482" s="32"/>
      <c r="D482" s="32"/>
      <c r="E482" s="19" t="n">
        <f aca="false">+F482*0.03</f>
        <v>0</v>
      </c>
      <c r="F482" s="33" t="n">
        <v>0</v>
      </c>
      <c r="G482" s="62"/>
      <c r="H482" s="35" t="n">
        <v>0</v>
      </c>
      <c r="I482" s="34" t="n">
        <f aca="false">+IF(E482=0,0,E482*0.03)</f>
        <v>0</v>
      </c>
    </row>
    <row r="483" customFormat="false" ht="15.75" hidden="false" customHeight="true" outlineLevel="0" collapsed="false">
      <c r="A483" s="30" t="n">
        <v>45444</v>
      </c>
      <c r="B483" s="31" t="s">
        <v>153</v>
      </c>
      <c r="C483" s="32"/>
      <c r="D483" s="32"/>
      <c r="E483" s="19" t="n">
        <f aca="false">+F483*0.03</f>
        <v>0</v>
      </c>
      <c r="F483" s="33" t="n">
        <v>0</v>
      </c>
      <c r="G483" s="62"/>
      <c r="H483" s="35" t="n">
        <v>0</v>
      </c>
      <c r="I483" s="34" t="n">
        <f aca="false">+IF(E483=0,0,E483*0.03)</f>
        <v>0</v>
      </c>
    </row>
    <row r="484" customFormat="false" ht="15.75" hidden="false" customHeight="true" outlineLevel="0" collapsed="false">
      <c r="A484" s="30" t="n">
        <v>45444</v>
      </c>
      <c r="B484" s="31" t="s">
        <v>153</v>
      </c>
      <c r="C484" s="32"/>
      <c r="D484" s="32"/>
      <c r="E484" s="19" t="n">
        <f aca="false">+F484*0.03</f>
        <v>0</v>
      </c>
      <c r="F484" s="33" t="n">
        <v>0</v>
      </c>
      <c r="G484" s="62"/>
      <c r="H484" s="35" t="n">
        <v>0</v>
      </c>
      <c r="I484" s="34" t="n">
        <f aca="false">+IF(E484=0,0,E484*0.03)</f>
        <v>0</v>
      </c>
    </row>
    <row r="485" customFormat="false" ht="15.75" hidden="false" customHeight="true" outlineLevel="0" collapsed="false">
      <c r="A485" s="30" t="n">
        <v>45444</v>
      </c>
      <c r="B485" s="31" t="s">
        <v>153</v>
      </c>
      <c r="C485" s="32"/>
      <c r="D485" s="32"/>
      <c r="E485" s="19" t="n">
        <f aca="false">+F485*0.03</f>
        <v>0</v>
      </c>
      <c r="F485" s="33" t="n">
        <v>0</v>
      </c>
      <c r="G485" s="62"/>
      <c r="H485" s="35" t="n">
        <v>0</v>
      </c>
      <c r="I485" s="34" t="n">
        <f aca="false">+IF(E485=0,0,E485*0.03)</f>
        <v>0</v>
      </c>
    </row>
    <row r="486" customFormat="false" ht="15.75" hidden="false" customHeight="true" outlineLevel="0" collapsed="false">
      <c r="A486" s="30" t="n">
        <v>45444</v>
      </c>
      <c r="B486" s="31" t="s">
        <v>153</v>
      </c>
      <c r="C486" s="32"/>
      <c r="D486" s="32"/>
      <c r="E486" s="19" t="n">
        <f aca="false">+F486*0.03</f>
        <v>0</v>
      </c>
      <c r="F486" s="33" t="n">
        <v>0</v>
      </c>
      <c r="G486" s="62"/>
      <c r="H486" s="35" t="n">
        <v>0</v>
      </c>
      <c r="I486" s="34" t="n">
        <f aca="false">+IF(E486=0,0,E486*0.03)</f>
        <v>0</v>
      </c>
    </row>
    <row r="487" customFormat="false" ht="15.75" hidden="false" customHeight="true" outlineLevel="0" collapsed="false">
      <c r="A487" s="30" t="n">
        <v>45444</v>
      </c>
      <c r="B487" s="31" t="s">
        <v>153</v>
      </c>
      <c r="C487" s="32"/>
      <c r="D487" s="32"/>
      <c r="E487" s="19" t="n">
        <f aca="false">+F487*0.03</f>
        <v>0</v>
      </c>
      <c r="F487" s="33" t="n">
        <v>0</v>
      </c>
      <c r="G487" s="62"/>
      <c r="H487" s="35" t="n">
        <v>0</v>
      </c>
      <c r="I487" s="34" t="n">
        <f aca="false">+IF(E487=0,0,E487*0.03)</f>
        <v>0</v>
      </c>
    </row>
    <row r="488" customFormat="false" ht="15.75" hidden="false" customHeight="true" outlineLevel="0" collapsed="false">
      <c r="A488" s="30" t="n">
        <v>45444</v>
      </c>
      <c r="B488" s="31" t="s">
        <v>153</v>
      </c>
      <c r="C488" s="32"/>
      <c r="D488" s="32"/>
      <c r="E488" s="19" t="n">
        <f aca="false">+F488*0.03</f>
        <v>0</v>
      </c>
      <c r="F488" s="33" t="n">
        <v>0</v>
      </c>
      <c r="G488" s="62"/>
      <c r="H488" s="35" t="n">
        <v>0</v>
      </c>
      <c r="I488" s="34" t="n">
        <f aca="false">+IF(E488=0,0,E488*0.03)</f>
        <v>0</v>
      </c>
    </row>
    <row r="489" customFormat="false" ht="15.75" hidden="false" customHeight="true" outlineLevel="0" collapsed="false">
      <c r="A489" s="30" t="n">
        <v>45444</v>
      </c>
      <c r="B489" s="31" t="s">
        <v>153</v>
      </c>
      <c r="C489" s="32"/>
      <c r="D489" s="32"/>
      <c r="E489" s="19" t="n">
        <f aca="false">+F489*0.03</f>
        <v>0</v>
      </c>
      <c r="F489" s="33" t="n">
        <v>0</v>
      </c>
      <c r="G489" s="62"/>
      <c r="H489" s="35" t="n">
        <v>0</v>
      </c>
      <c r="I489" s="34" t="n">
        <f aca="false">+IF(E489=0,0,E489*0.03)</f>
        <v>0</v>
      </c>
    </row>
    <row r="490" customFormat="false" ht="15.75" hidden="false" customHeight="true" outlineLevel="0" collapsed="false">
      <c r="A490" s="30" t="n">
        <v>45444</v>
      </c>
      <c r="B490" s="31" t="s">
        <v>153</v>
      </c>
      <c r="C490" s="32"/>
      <c r="D490" s="32"/>
      <c r="E490" s="19" t="n">
        <f aca="false">+F490*0.03</f>
        <v>0</v>
      </c>
      <c r="F490" s="33" t="n">
        <v>0</v>
      </c>
      <c r="G490" s="62"/>
      <c r="H490" s="35" t="n">
        <v>0</v>
      </c>
      <c r="I490" s="34" t="n">
        <f aca="false">+IF(E490=0,0,E490*0.03)</f>
        <v>0</v>
      </c>
    </row>
    <row r="491" customFormat="false" ht="15.75" hidden="false" customHeight="true" outlineLevel="0" collapsed="false">
      <c r="A491" s="30" t="n">
        <v>45444</v>
      </c>
      <c r="B491" s="31" t="s">
        <v>153</v>
      </c>
      <c r="C491" s="32"/>
      <c r="D491" s="32"/>
      <c r="E491" s="19" t="n">
        <f aca="false">+F491*0.03</f>
        <v>0</v>
      </c>
      <c r="F491" s="33" t="n">
        <v>0</v>
      </c>
      <c r="G491" s="62"/>
      <c r="H491" s="35" t="n">
        <v>0</v>
      </c>
      <c r="I491" s="34" t="n">
        <f aca="false">+IF(E491=0,0,E491*0.03)</f>
        <v>0</v>
      </c>
    </row>
    <row r="492" customFormat="false" ht="15.75" hidden="false" customHeight="true" outlineLevel="0" collapsed="false">
      <c r="A492" s="30" t="n">
        <v>45444</v>
      </c>
      <c r="B492" s="31" t="s">
        <v>153</v>
      </c>
      <c r="C492" s="32"/>
      <c r="D492" s="32"/>
      <c r="E492" s="19" t="n">
        <f aca="false">+F492*0.03</f>
        <v>0</v>
      </c>
      <c r="F492" s="33" t="n">
        <v>0</v>
      </c>
      <c r="G492" s="62"/>
      <c r="H492" s="35" t="n">
        <v>0</v>
      </c>
      <c r="I492" s="34" t="n">
        <f aca="false">+IF(E492=0,0,E492*0.03)</f>
        <v>0</v>
      </c>
    </row>
    <row r="493" customFormat="false" ht="15.75" hidden="false" customHeight="true" outlineLevel="0" collapsed="false">
      <c r="A493" s="30" t="n">
        <v>45444</v>
      </c>
      <c r="B493" s="31" t="s">
        <v>153</v>
      </c>
      <c r="C493" s="32"/>
      <c r="D493" s="32"/>
      <c r="E493" s="19" t="n">
        <f aca="false">+F493*0.03</f>
        <v>0</v>
      </c>
      <c r="F493" s="33" t="n">
        <v>0</v>
      </c>
      <c r="G493" s="62"/>
      <c r="H493" s="35" t="n">
        <v>0</v>
      </c>
      <c r="I493" s="34" t="n">
        <f aca="false">+IF(E493=0,0,E493*0.03)</f>
        <v>0</v>
      </c>
    </row>
    <row r="494" customFormat="false" ht="15.75" hidden="false" customHeight="true" outlineLevel="0" collapsed="false">
      <c r="A494" s="30" t="n">
        <v>45444</v>
      </c>
      <c r="B494" s="31" t="s">
        <v>153</v>
      </c>
      <c r="C494" s="32"/>
      <c r="D494" s="32"/>
      <c r="E494" s="19" t="n">
        <f aca="false">+F494*0.03</f>
        <v>0</v>
      </c>
      <c r="F494" s="33" t="n">
        <v>0</v>
      </c>
      <c r="G494" s="62"/>
      <c r="H494" s="35" t="n">
        <v>0</v>
      </c>
      <c r="I494" s="34" t="n">
        <f aca="false">+IF(E494=0,0,E494*0.03)</f>
        <v>0</v>
      </c>
    </row>
    <row r="495" customFormat="false" ht="15.75" hidden="false" customHeight="true" outlineLevel="0" collapsed="false">
      <c r="A495" s="30" t="n">
        <v>45444</v>
      </c>
      <c r="B495" s="31" t="s">
        <v>153</v>
      </c>
      <c r="C495" s="32"/>
      <c r="D495" s="32"/>
      <c r="E495" s="19" t="n">
        <f aca="false">+F495*0.03</f>
        <v>0</v>
      </c>
      <c r="F495" s="33" t="n">
        <v>0</v>
      </c>
      <c r="G495" s="62"/>
      <c r="H495" s="35" t="n">
        <v>0</v>
      </c>
      <c r="I495" s="34" t="n">
        <f aca="false">+IF(E495=0,0,E495*0.03)</f>
        <v>0</v>
      </c>
    </row>
    <row r="496" customFormat="false" ht="15.75" hidden="false" customHeight="true" outlineLevel="0" collapsed="false">
      <c r="A496" s="30" t="n">
        <v>45444</v>
      </c>
      <c r="B496" s="31" t="s">
        <v>153</v>
      </c>
      <c r="C496" s="32"/>
      <c r="D496" s="32"/>
      <c r="E496" s="19" t="n">
        <f aca="false">+F496*0.03</f>
        <v>0</v>
      </c>
      <c r="F496" s="33" t="n">
        <v>0</v>
      </c>
      <c r="G496" s="62"/>
      <c r="H496" s="35" t="n">
        <v>0</v>
      </c>
      <c r="I496" s="34" t="n">
        <f aca="false">+IF(E496=0,0,E496*0.03)</f>
        <v>0</v>
      </c>
    </row>
    <row r="497" customFormat="false" ht="15.75" hidden="false" customHeight="true" outlineLevel="0" collapsed="false">
      <c r="A497" s="30" t="n">
        <v>45444</v>
      </c>
      <c r="B497" s="31" t="s">
        <v>153</v>
      </c>
      <c r="C497" s="32"/>
      <c r="D497" s="32"/>
      <c r="E497" s="19" t="n">
        <f aca="false">+F497*0.03</f>
        <v>0</v>
      </c>
      <c r="F497" s="33" t="n">
        <v>0</v>
      </c>
      <c r="G497" s="62"/>
      <c r="H497" s="35" t="n">
        <v>0</v>
      </c>
      <c r="I497" s="34" t="n">
        <f aca="false">+IF(E497=0,0,E497*0.03)</f>
        <v>0</v>
      </c>
    </row>
    <row r="498" customFormat="false" ht="15.75" hidden="false" customHeight="true" outlineLevel="0" collapsed="false">
      <c r="A498" s="30" t="n">
        <v>45444</v>
      </c>
      <c r="B498" s="31" t="s">
        <v>153</v>
      </c>
      <c r="C498" s="32"/>
      <c r="D498" s="32"/>
      <c r="E498" s="19" t="n">
        <f aca="false">+F498*0.03</f>
        <v>0</v>
      </c>
      <c r="F498" s="33" t="n">
        <v>0</v>
      </c>
      <c r="G498" s="62"/>
      <c r="H498" s="35" t="n">
        <v>0</v>
      </c>
      <c r="I498" s="34" t="n">
        <f aca="false">+IF(E498=0,0,E498*0.03)</f>
        <v>0</v>
      </c>
    </row>
    <row r="499" customFormat="false" ht="15.75" hidden="false" customHeight="true" outlineLevel="0" collapsed="false">
      <c r="A499" s="30" t="n">
        <v>45444</v>
      </c>
      <c r="B499" s="31" t="s">
        <v>153</v>
      </c>
      <c r="C499" s="32"/>
      <c r="D499" s="32"/>
      <c r="E499" s="19" t="n">
        <f aca="false">+F499*0.03</f>
        <v>0</v>
      </c>
      <c r="F499" s="33" t="n">
        <v>0</v>
      </c>
      <c r="G499" s="62"/>
      <c r="H499" s="35" t="n">
        <v>0</v>
      </c>
      <c r="I499" s="34" t="n">
        <f aca="false">+IF(E499=0,0,E499*0.03)</f>
        <v>0</v>
      </c>
    </row>
    <row r="500" customFormat="false" ht="15.75" hidden="false" customHeight="true" outlineLevel="0" collapsed="false">
      <c r="A500" s="30" t="n">
        <v>45444</v>
      </c>
      <c r="B500" s="31" t="s">
        <v>153</v>
      </c>
      <c r="C500" s="32"/>
      <c r="D500" s="32"/>
      <c r="E500" s="19" t="n">
        <f aca="false">+F500*0.03</f>
        <v>0</v>
      </c>
      <c r="F500" s="33" t="n">
        <v>0</v>
      </c>
      <c r="G500" s="62"/>
      <c r="H500" s="35" t="n">
        <v>0</v>
      </c>
      <c r="I500" s="34" t="n">
        <f aca="false">+IF(E500=0,0,E500*0.03)</f>
        <v>0</v>
      </c>
    </row>
    <row r="501" customFormat="false" ht="15.75" hidden="false" customHeight="true" outlineLevel="0" collapsed="false">
      <c r="A501" s="30" t="n">
        <v>45444</v>
      </c>
      <c r="B501" s="31" t="s">
        <v>153</v>
      </c>
      <c r="C501" s="32"/>
      <c r="D501" s="32"/>
      <c r="E501" s="19" t="n">
        <f aca="false">+F501*0.03</f>
        <v>0</v>
      </c>
      <c r="F501" s="33" t="n">
        <v>0</v>
      </c>
      <c r="G501" s="62"/>
      <c r="H501" s="35" t="n">
        <v>0</v>
      </c>
      <c r="I501" s="34" t="n">
        <f aca="false">+IF(E501=0,0,E501*0.03)</f>
        <v>0</v>
      </c>
    </row>
    <row r="502" customFormat="false" ht="15.75" hidden="false" customHeight="true" outlineLevel="0" collapsed="false">
      <c r="A502" s="30" t="n">
        <v>45444</v>
      </c>
      <c r="B502" s="31" t="s">
        <v>153</v>
      </c>
      <c r="C502" s="32"/>
      <c r="D502" s="32"/>
      <c r="E502" s="19" t="n">
        <f aca="false">+F502*0.03</f>
        <v>0</v>
      </c>
      <c r="F502" s="33" t="n">
        <v>0</v>
      </c>
      <c r="G502" s="62"/>
      <c r="H502" s="35" t="n">
        <v>0</v>
      </c>
      <c r="I502" s="34" t="n">
        <f aca="false">+IF(E502=0,0,E502*0.03)</f>
        <v>0</v>
      </c>
    </row>
    <row r="503" customFormat="false" ht="15.75" hidden="false" customHeight="true" outlineLevel="0" collapsed="false">
      <c r="A503" s="30" t="n">
        <v>45444</v>
      </c>
      <c r="B503" s="31" t="s">
        <v>153</v>
      </c>
      <c r="C503" s="32"/>
      <c r="D503" s="32"/>
      <c r="E503" s="19" t="n">
        <f aca="false">+F503*0.03</f>
        <v>0</v>
      </c>
      <c r="F503" s="33" t="n">
        <v>0</v>
      </c>
      <c r="G503" s="62"/>
      <c r="H503" s="35" t="n">
        <v>0</v>
      </c>
      <c r="I503" s="34" t="n">
        <f aca="false">+IF(E503=0,0,E503*0.03)</f>
        <v>0</v>
      </c>
    </row>
    <row r="504" customFormat="false" ht="15.75" hidden="false" customHeight="true" outlineLevel="0" collapsed="false">
      <c r="A504" s="30" t="n">
        <v>45444</v>
      </c>
      <c r="B504" s="31" t="s">
        <v>153</v>
      </c>
      <c r="C504" s="32"/>
      <c r="D504" s="32"/>
      <c r="E504" s="19" t="n">
        <f aca="false">+F504*0.03</f>
        <v>0</v>
      </c>
      <c r="F504" s="33" t="n">
        <v>0</v>
      </c>
      <c r="G504" s="62"/>
      <c r="H504" s="35" t="n">
        <v>0</v>
      </c>
      <c r="I504" s="34" t="n">
        <f aca="false">+IF(E504=0,0,E504*0.03)</f>
        <v>0</v>
      </c>
    </row>
    <row r="505" customFormat="false" ht="15.75" hidden="false" customHeight="true" outlineLevel="0" collapsed="false">
      <c r="A505" s="30" t="n">
        <v>45444</v>
      </c>
      <c r="B505" s="31" t="s">
        <v>153</v>
      </c>
      <c r="C505" s="32"/>
      <c r="D505" s="32"/>
      <c r="E505" s="19" t="n">
        <f aca="false">+F505*0.03</f>
        <v>0</v>
      </c>
      <c r="F505" s="33" t="n">
        <v>0</v>
      </c>
      <c r="G505" s="62"/>
      <c r="H505" s="35" t="n">
        <v>0</v>
      </c>
      <c r="I505" s="34" t="n">
        <f aca="false">+IF(E505=0,0,E505*0.03)</f>
        <v>0</v>
      </c>
    </row>
    <row r="506" customFormat="false" ht="15.75" hidden="false" customHeight="true" outlineLevel="0" collapsed="false">
      <c r="A506" s="30" t="n">
        <v>45444</v>
      </c>
      <c r="B506" s="31" t="s">
        <v>153</v>
      </c>
      <c r="C506" s="32"/>
      <c r="D506" s="32"/>
      <c r="E506" s="19" t="n">
        <f aca="false">+F506*0.03</f>
        <v>0</v>
      </c>
      <c r="F506" s="33" t="n">
        <v>0</v>
      </c>
      <c r="G506" s="62"/>
      <c r="H506" s="35" t="n">
        <v>0</v>
      </c>
      <c r="I506" s="34" t="n">
        <f aca="false">+IF(E506=0,0,E506*0.03)</f>
        <v>0</v>
      </c>
    </row>
    <row r="507" customFormat="false" ht="15.75" hidden="false" customHeight="true" outlineLevel="0" collapsed="false">
      <c r="A507" s="30" t="n">
        <v>45444</v>
      </c>
      <c r="B507" s="31" t="s">
        <v>153</v>
      </c>
      <c r="C507" s="32"/>
      <c r="D507" s="32"/>
      <c r="E507" s="19" t="n">
        <f aca="false">+F507*0.03</f>
        <v>0</v>
      </c>
      <c r="F507" s="33" t="n">
        <v>0</v>
      </c>
      <c r="G507" s="62"/>
      <c r="H507" s="35" t="n">
        <v>0</v>
      </c>
      <c r="I507" s="34" t="n">
        <f aca="false">+IF(E507=0,0,E507*0.03)</f>
        <v>0</v>
      </c>
    </row>
    <row r="508" customFormat="false" ht="15.75" hidden="false" customHeight="true" outlineLevel="0" collapsed="false">
      <c r="A508" s="30" t="n">
        <v>45444</v>
      </c>
      <c r="B508" s="31" t="s">
        <v>153</v>
      </c>
      <c r="C508" s="32"/>
      <c r="D508" s="32"/>
      <c r="E508" s="19" t="n">
        <f aca="false">+F508*0.03</f>
        <v>0</v>
      </c>
      <c r="F508" s="33" t="n">
        <v>0</v>
      </c>
      <c r="G508" s="62"/>
      <c r="H508" s="35" t="n">
        <v>0</v>
      </c>
      <c r="I508" s="34" t="n">
        <f aca="false">+IF(E508=0,0,E508*0.03)</f>
        <v>0</v>
      </c>
    </row>
    <row r="509" customFormat="false" ht="15.75" hidden="false" customHeight="true" outlineLevel="0" collapsed="false">
      <c r="A509" s="30" t="n">
        <v>45444</v>
      </c>
      <c r="B509" s="31" t="s">
        <v>153</v>
      </c>
      <c r="C509" s="32"/>
      <c r="D509" s="32"/>
      <c r="E509" s="19" t="n">
        <f aca="false">+F509*0.03</f>
        <v>0</v>
      </c>
      <c r="F509" s="33" t="n">
        <v>0</v>
      </c>
      <c r="G509" s="62"/>
      <c r="H509" s="35" t="n">
        <v>0</v>
      </c>
      <c r="I509" s="34" t="n">
        <f aca="false">+IF(E509=0,0,E509*0.03)</f>
        <v>0</v>
      </c>
    </row>
    <row r="510" customFormat="false" ht="15.75" hidden="false" customHeight="true" outlineLevel="0" collapsed="false">
      <c r="A510" s="30" t="n">
        <v>45444</v>
      </c>
      <c r="B510" s="31" t="s">
        <v>153</v>
      </c>
      <c r="C510" s="32"/>
      <c r="D510" s="32"/>
      <c r="E510" s="19" t="n">
        <f aca="false">+F510*0.03</f>
        <v>0</v>
      </c>
      <c r="F510" s="33" t="n">
        <v>0</v>
      </c>
      <c r="G510" s="62"/>
      <c r="H510" s="35" t="n">
        <v>0</v>
      </c>
      <c r="I510" s="34" t="n">
        <f aca="false">+IF(E510=0,0,E510*0.03)</f>
        <v>0</v>
      </c>
    </row>
    <row r="511" customFormat="false" ht="15.75" hidden="false" customHeight="true" outlineLevel="0" collapsed="false">
      <c r="A511" s="30" t="n">
        <v>45444</v>
      </c>
      <c r="B511" s="31" t="s">
        <v>153</v>
      </c>
      <c r="C511" s="32"/>
      <c r="D511" s="32"/>
      <c r="E511" s="19" t="n">
        <f aca="false">+F511*0.03</f>
        <v>0</v>
      </c>
      <c r="F511" s="33" t="n">
        <v>0</v>
      </c>
      <c r="G511" s="62"/>
      <c r="H511" s="35" t="n">
        <v>0</v>
      </c>
      <c r="I511" s="34" t="n">
        <f aca="false">+IF(E511=0,0,E511*0.03)</f>
        <v>0</v>
      </c>
    </row>
    <row r="512" customFormat="false" ht="15.75" hidden="false" customHeight="true" outlineLevel="0" collapsed="false">
      <c r="A512" s="30" t="n">
        <v>45444</v>
      </c>
      <c r="B512" s="31" t="s">
        <v>153</v>
      </c>
      <c r="C512" s="32"/>
      <c r="D512" s="32"/>
      <c r="E512" s="19" t="n">
        <f aca="false">+F512*0.03</f>
        <v>0</v>
      </c>
      <c r="F512" s="33" t="n">
        <v>0</v>
      </c>
      <c r="G512" s="62"/>
      <c r="H512" s="35" t="n">
        <v>0</v>
      </c>
      <c r="I512" s="34" t="n">
        <f aca="false">+IF(E512=0,0,E512*0.03)</f>
        <v>0</v>
      </c>
    </row>
    <row r="513" customFormat="false" ht="15.75" hidden="false" customHeight="true" outlineLevel="0" collapsed="false">
      <c r="A513" s="30" t="n">
        <v>45444</v>
      </c>
      <c r="B513" s="31" t="s">
        <v>153</v>
      </c>
      <c r="C513" s="32"/>
      <c r="D513" s="32"/>
      <c r="E513" s="19" t="n">
        <f aca="false">+F513*0.03</f>
        <v>0</v>
      </c>
      <c r="F513" s="33" t="n">
        <v>0</v>
      </c>
      <c r="G513" s="62"/>
      <c r="H513" s="35" t="n">
        <v>0</v>
      </c>
      <c r="I513" s="34" t="n">
        <f aca="false">+IF(E513=0,0,E513*0.03)</f>
        <v>0</v>
      </c>
    </row>
    <row r="514" customFormat="false" ht="15.75" hidden="false" customHeight="true" outlineLevel="0" collapsed="false">
      <c r="A514" s="30" t="n">
        <v>45444</v>
      </c>
      <c r="B514" s="31" t="s">
        <v>153</v>
      </c>
      <c r="C514" s="32"/>
      <c r="D514" s="32"/>
      <c r="E514" s="19" t="n">
        <f aca="false">+F514*0.03</f>
        <v>0</v>
      </c>
      <c r="F514" s="33" t="n">
        <v>0</v>
      </c>
      <c r="G514" s="62"/>
      <c r="H514" s="35" t="n">
        <v>0</v>
      </c>
      <c r="I514" s="34" t="n">
        <f aca="false">+IF(E514=0,0,E514*0.03)</f>
        <v>0</v>
      </c>
    </row>
    <row r="515" customFormat="false" ht="15.75" hidden="false" customHeight="true" outlineLevel="0" collapsed="false">
      <c r="A515" s="30" t="n">
        <v>45444</v>
      </c>
      <c r="B515" s="31" t="s">
        <v>153</v>
      </c>
      <c r="C515" s="32"/>
      <c r="D515" s="32"/>
      <c r="E515" s="19" t="n">
        <f aca="false">+F515*0.03</f>
        <v>0</v>
      </c>
      <c r="F515" s="33" t="n">
        <v>0</v>
      </c>
      <c r="G515" s="62"/>
      <c r="H515" s="35" t="n">
        <v>0</v>
      </c>
      <c r="I515" s="34" t="n">
        <f aca="false">+IF(E515=0,0,E515*0.03)</f>
        <v>0</v>
      </c>
    </row>
    <row r="516" customFormat="false" ht="15.75" hidden="false" customHeight="true" outlineLevel="0" collapsed="false">
      <c r="A516" s="30" t="n">
        <v>45444</v>
      </c>
      <c r="B516" s="31" t="s">
        <v>153</v>
      </c>
      <c r="C516" s="32"/>
      <c r="D516" s="32"/>
      <c r="E516" s="19" t="n">
        <f aca="false">+F516*0.03</f>
        <v>0</v>
      </c>
      <c r="F516" s="33" t="n">
        <v>0</v>
      </c>
      <c r="G516" s="62"/>
      <c r="H516" s="35" t="n">
        <v>0</v>
      </c>
      <c r="I516" s="34" t="n">
        <f aca="false">+IF(E516=0,0,E516*0.03)</f>
        <v>0</v>
      </c>
    </row>
    <row r="517" customFormat="false" ht="15.75" hidden="false" customHeight="true" outlineLevel="0" collapsed="false">
      <c r="A517" s="30" t="n">
        <v>45444</v>
      </c>
      <c r="B517" s="31" t="s">
        <v>153</v>
      </c>
      <c r="C517" s="32"/>
      <c r="D517" s="32"/>
      <c r="E517" s="19" t="n">
        <f aca="false">+F517*0.03</f>
        <v>0</v>
      </c>
      <c r="F517" s="33" t="n">
        <v>0</v>
      </c>
      <c r="G517" s="62"/>
      <c r="H517" s="35" t="n">
        <v>0</v>
      </c>
      <c r="I517" s="34" t="n">
        <f aca="false">+IF(E517=0,0,E517*0.03)</f>
        <v>0</v>
      </c>
    </row>
    <row r="518" customFormat="false" ht="15.75" hidden="false" customHeight="true" outlineLevel="0" collapsed="false">
      <c r="A518" s="30" t="n">
        <v>45444</v>
      </c>
      <c r="B518" s="31" t="s">
        <v>153</v>
      </c>
      <c r="C518" s="32"/>
      <c r="D518" s="32"/>
      <c r="E518" s="19" t="n">
        <f aca="false">+F518*0.03</f>
        <v>0</v>
      </c>
      <c r="F518" s="33" t="n">
        <v>0</v>
      </c>
      <c r="G518" s="62"/>
      <c r="H518" s="35" t="n">
        <v>0</v>
      </c>
      <c r="I518" s="34" t="n">
        <f aca="false">+IF(E518=0,0,E518*0.03)</f>
        <v>0</v>
      </c>
    </row>
    <row r="519" customFormat="false" ht="15.75" hidden="false" customHeight="true" outlineLevel="0" collapsed="false">
      <c r="A519" s="30" t="n">
        <v>45444</v>
      </c>
      <c r="B519" s="31" t="s">
        <v>153</v>
      </c>
      <c r="C519" s="32"/>
      <c r="D519" s="32"/>
      <c r="E519" s="19" t="n">
        <f aca="false">+F519*0.03</f>
        <v>0</v>
      </c>
      <c r="F519" s="33" t="n">
        <v>0</v>
      </c>
      <c r="G519" s="62"/>
      <c r="H519" s="35" t="n">
        <v>0</v>
      </c>
      <c r="I519" s="34" t="n">
        <f aca="false">+IF(E519=0,0,E519*0.03)</f>
        <v>0</v>
      </c>
    </row>
    <row r="520" customFormat="false" ht="15.75" hidden="false" customHeight="true" outlineLevel="0" collapsed="false">
      <c r="A520" s="30" t="n">
        <v>45444</v>
      </c>
      <c r="B520" s="31" t="s">
        <v>153</v>
      </c>
      <c r="C520" s="32"/>
      <c r="D520" s="32"/>
      <c r="E520" s="19" t="n">
        <f aca="false">+F520*0.03</f>
        <v>0</v>
      </c>
      <c r="F520" s="33" t="n">
        <v>0</v>
      </c>
      <c r="G520" s="62"/>
      <c r="H520" s="35" t="n">
        <v>0</v>
      </c>
      <c r="I520" s="34" t="n">
        <f aca="false">+IF(E520=0,0,E520*0.03)</f>
        <v>0</v>
      </c>
    </row>
    <row r="521" customFormat="false" ht="15.75" hidden="false" customHeight="true" outlineLevel="0" collapsed="false">
      <c r="A521" s="30" t="n">
        <v>45444</v>
      </c>
      <c r="B521" s="31" t="s">
        <v>153</v>
      </c>
      <c r="C521" s="32"/>
      <c r="D521" s="32"/>
      <c r="E521" s="19" t="n">
        <f aca="false">+F521*0.03</f>
        <v>0</v>
      </c>
      <c r="F521" s="33" t="n">
        <v>0</v>
      </c>
      <c r="G521" s="62"/>
      <c r="H521" s="35" t="n">
        <v>0</v>
      </c>
      <c r="I521" s="34" t="n">
        <f aca="false">+IF(E521=0,0,E521*0.03)</f>
        <v>0</v>
      </c>
    </row>
    <row r="522" customFormat="false" ht="15.75" hidden="false" customHeight="true" outlineLevel="0" collapsed="false">
      <c r="A522" s="30" t="n">
        <v>45444</v>
      </c>
      <c r="B522" s="31" t="s">
        <v>153</v>
      </c>
      <c r="C522" s="32"/>
      <c r="D522" s="32"/>
      <c r="E522" s="19" t="n">
        <f aca="false">+F522*0.03</f>
        <v>0</v>
      </c>
      <c r="F522" s="33" t="n">
        <v>0</v>
      </c>
      <c r="G522" s="62"/>
      <c r="H522" s="35" t="n">
        <v>0</v>
      </c>
      <c r="I522" s="34" t="n">
        <f aca="false">+IF(E522=0,0,E522*0.03)</f>
        <v>0</v>
      </c>
    </row>
    <row r="523" customFormat="false" ht="15.75" hidden="false" customHeight="true" outlineLevel="0" collapsed="false">
      <c r="A523" s="30" t="n">
        <v>45444</v>
      </c>
      <c r="B523" s="31" t="s">
        <v>153</v>
      </c>
      <c r="C523" s="32"/>
      <c r="D523" s="32"/>
      <c r="E523" s="19" t="n">
        <f aca="false">+F523*0.03</f>
        <v>0</v>
      </c>
      <c r="F523" s="33" t="n">
        <v>0</v>
      </c>
      <c r="G523" s="62"/>
      <c r="H523" s="35" t="n">
        <v>0</v>
      </c>
      <c r="I523" s="34" t="n">
        <f aca="false">+IF(E523=0,0,E523*0.03)</f>
        <v>0</v>
      </c>
    </row>
    <row r="524" customFormat="false" ht="15.75" hidden="false" customHeight="true" outlineLevel="0" collapsed="false">
      <c r="A524" s="30" t="n">
        <v>45444</v>
      </c>
      <c r="B524" s="31" t="s">
        <v>153</v>
      </c>
      <c r="C524" s="32"/>
      <c r="D524" s="32"/>
      <c r="E524" s="19" t="n">
        <f aca="false">+F524*0.03</f>
        <v>0</v>
      </c>
      <c r="F524" s="33" t="n">
        <v>0</v>
      </c>
      <c r="G524" s="62"/>
      <c r="H524" s="35" t="n">
        <v>0</v>
      </c>
      <c r="I524" s="34" t="n">
        <f aca="false">+IF(E524=0,0,E524*0.03)</f>
        <v>0</v>
      </c>
    </row>
    <row r="525" customFormat="false" ht="15.75" hidden="false" customHeight="true" outlineLevel="0" collapsed="false">
      <c r="A525" s="30" t="n">
        <v>45444</v>
      </c>
      <c r="B525" s="31" t="s">
        <v>153</v>
      </c>
      <c r="C525" s="32"/>
      <c r="D525" s="32"/>
      <c r="E525" s="19" t="n">
        <f aca="false">+F525*0.03</f>
        <v>0</v>
      </c>
      <c r="F525" s="33" t="n">
        <v>0</v>
      </c>
      <c r="G525" s="62"/>
      <c r="H525" s="35" t="n">
        <v>0</v>
      </c>
      <c r="I525" s="34" t="n">
        <f aca="false">+IF(E525=0,0,E525*0.03)</f>
        <v>0</v>
      </c>
    </row>
    <row r="526" customFormat="false" ht="15.75" hidden="false" customHeight="true" outlineLevel="0" collapsed="false">
      <c r="A526" s="30" t="n">
        <v>45444</v>
      </c>
      <c r="B526" s="31" t="s">
        <v>153</v>
      </c>
      <c r="C526" s="32"/>
      <c r="D526" s="32"/>
      <c r="E526" s="19" t="n">
        <f aca="false">+F526*0.03</f>
        <v>0</v>
      </c>
      <c r="F526" s="33" t="n">
        <v>0</v>
      </c>
      <c r="G526" s="62"/>
      <c r="H526" s="35" t="n">
        <v>0</v>
      </c>
      <c r="I526" s="34" t="n">
        <f aca="false">+IF(E526=0,0,E526*0.03)</f>
        <v>0</v>
      </c>
    </row>
    <row r="527" customFormat="false" ht="15.75" hidden="false" customHeight="true" outlineLevel="0" collapsed="false">
      <c r="A527" s="30" t="n">
        <v>45444</v>
      </c>
      <c r="B527" s="31" t="s">
        <v>153</v>
      </c>
      <c r="C527" s="32"/>
      <c r="D527" s="32"/>
      <c r="E527" s="19" t="n">
        <f aca="false">+F527*0.03</f>
        <v>0</v>
      </c>
      <c r="F527" s="33" t="n">
        <v>0</v>
      </c>
      <c r="G527" s="62"/>
      <c r="H527" s="35" t="n">
        <v>0</v>
      </c>
      <c r="I527" s="34" t="n">
        <f aca="false">+IF(E527=0,0,E527*0.03)</f>
        <v>0</v>
      </c>
    </row>
    <row r="528" customFormat="false" ht="15.75" hidden="false" customHeight="true" outlineLevel="0" collapsed="false">
      <c r="A528" s="30" t="n">
        <v>45444</v>
      </c>
      <c r="B528" s="31" t="s">
        <v>153</v>
      </c>
      <c r="C528" s="32"/>
      <c r="D528" s="32"/>
      <c r="E528" s="19" t="n">
        <f aca="false">+F528*0.03</f>
        <v>0</v>
      </c>
      <c r="F528" s="33" t="n">
        <v>0</v>
      </c>
      <c r="G528" s="62"/>
      <c r="H528" s="35" t="n">
        <v>0</v>
      </c>
      <c r="I528" s="34" t="n">
        <f aca="false">+IF(E528=0,0,E528*0.03)</f>
        <v>0</v>
      </c>
    </row>
    <row r="529" customFormat="false" ht="15.75" hidden="false" customHeight="true" outlineLevel="0" collapsed="false">
      <c r="A529" s="30" t="n">
        <v>45444</v>
      </c>
      <c r="B529" s="31" t="s">
        <v>153</v>
      </c>
      <c r="C529" s="32"/>
      <c r="D529" s="32"/>
      <c r="E529" s="19" t="n">
        <f aca="false">+F529*0.03</f>
        <v>0</v>
      </c>
      <c r="F529" s="33" t="n">
        <v>0</v>
      </c>
      <c r="G529" s="62"/>
      <c r="H529" s="35" t="n">
        <v>0</v>
      </c>
      <c r="I529" s="34" t="n">
        <f aca="false">+IF(E529=0,0,E529*0.03)</f>
        <v>0</v>
      </c>
    </row>
    <row r="530" customFormat="false" ht="15.75" hidden="false" customHeight="true" outlineLevel="0" collapsed="false">
      <c r="A530" s="30" t="n">
        <v>45444</v>
      </c>
      <c r="B530" s="31" t="s">
        <v>153</v>
      </c>
      <c r="C530" s="32"/>
      <c r="D530" s="32"/>
      <c r="E530" s="19" t="n">
        <f aca="false">+F530*0.03</f>
        <v>0</v>
      </c>
      <c r="F530" s="33" t="n">
        <v>0</v>
      </c>
      <c r="G530" s="62"/>
      <c r="H530" s="35" t="n">
        <v>0</v>
      </c>
      <c r="I530" s="34" t="n">
        <f aca="false">+IF(E530=0,0,E530*0.03)</f>
        <v>0</v>
      </c>
    </row>
    <row r="531" customFormat="false" ht="15.75" hidden="false" customHeight="true" outlineLevel="0" collapsed="false">
      <c r="A531" s="30" t="n">
        <v>45444</v>
      </c>
      <c r="B531" s="31" t="s">
        <v>153</v>
      </c>
      <c r="C531" s="32"/>
      <c r="D531" s="32"/>
      <c r="E531" s="19" t="n">
        <f aca="false">+F531*0.03</f>
        <v>0</v>
      </c>
      <c r="F531" s="33" t="n">
        <v>0</v>
      </c>
      <c r="G531" s="62"/>
      <c r="H531" s="35" t="n">
        <v>0</v>
      </c>
      <c r="I531" s="34" t="n">
        <f aca="false">+IF(E531=0,0,E531*0.03)</f>
        <v>0</v>
      </c>
    </row>
    <row r="532" customFormat="false" ht="15.75" hidden="false" customHeight="true" outlineLevel="0" collapsed="false">
      <c r="A532" s="30" t="n">
        <v>45444</v>
      </c>
      <c r="B532" s="31" t="s">
        <v>153</v>
      </c>
      <c r="C532" s="32"/>
      <c r="D532" s="32"/>
      <c r="E532" s="19" t="n">
        <f aca="false">+F532*0.03</f>
        <v>0</v>
      </c>
      <c r="F532" s="33" t="n">
        <v>0</v>
      </c>
      <c r="G532" s="62"/>
      <c r="H532" s="35" t="n">
        <v>0</v>
      </c>
      <c r="I532" s="34" t="n">
        <f aca="false">+IF(E532=0,0,E532*0.03)</f>
        <v>0</v>
      </c>
    </row>
    <row r="533" customFormat="false" ht="15.75" hidden="false" customHeight="true" outlineLevel="0" collapsed="false">
      <c r="A533" s="30" t="n">
        <v>45444</v>
      </c>
      <c r="B533" s="31" t="s">
        <v>153</v>
      </c>
      <c r="C533" s="32"/>
      <c r="D533" s="32"/>
      <c r="E533" s="19" t="n">
        <f aca="false">+F533*0.03</f>
        <v>0</v>
      </c>
      <c r="F533" s="33" t="n">
        <v>0</v>
      </c>
      <c r="G533" s="62"/>
      <c r="H533" s="35" t="n">
        <v>0</v>
      </c>
      <c r="I533" s="34" t="n">
        <f aca="false">+IF(E533=0,0,E533*0.03)</f>
        <v>0</v>
      </c>
    </row>
    <row r="534" customFormat="false" ht="15.75" hidden="false" customHeight="true" outlineLevel="0" collapsed="false">
      <c r="A534" s="30" t="n">
        <v>45444</v>
      </c>
      <c r="B534" s="31" t="s">
        <v>153</v>
      </c>
      <c r="C534" s="32"/>
      <c r="D534" s="32"/>
      <c r="E534" s="19" t="n">
        <f aca="false">+F534*0.03</f>
        <v>0</v>
      </c>
      <c r="F534" s="33" t="n">
        <v>0</v>
      </c>
      <c r="G534" s="62"/>
      <c r="H534" s="35" t="n">
        <v>0</v>
      </c>
      <c r="I534" s="34" t="n">
        <f aca="false">+IF(E534=0,0,E534*0.03)</f>
        <v>0</v>
      </c>
    </row>
    <row r="535" customFormat="false" ht="15.75" hidden="false" customHeight="true" outlineLevel="0" collapsed="false">
      <c r="A535" s="30" t="n">
        <v>45444</v>
      </c>
      <c r="B535" s="31" t="s">
        <v>153</v>
      </c>
      <c r="C535" s="32"/>
      <c r="D535" s="32"/>
      <c r="E535" s="19" t="n">
        <f aca="false">+F535*0.03</f>
        <v>0</v>
      </c>
      <c r="F535" s="33" t="n">
        <v>0</v>
      </c>
      <c r="G535" s="62"/>
      <c r="H535" s="35" t="n">
        <v>0</v>
      </c>
      <c r="I535" s="34" t="n">
        <f aca="false">+IF(E535=0,0,E535*0.03)</f>
        <v>0</v>
      </c>
    </row>
    <row r="536" customFormat="false" ht="15.75" hidden="false" customHeight="true" outlineLevel="0" collapsed="false">
      <c r="A536" s="30" t="n">
        <v>45444</v>
      </c>
      <c r="B536" s="31" t="s">
        <v>153</v>
      </c>
      <c r="C536" s="32"/>
      <c r="D536" s="32"/>
      <c r="E536" s="19" t="n">
        <f aca="false">+F536*0.03</f>
        <v>0</v>
      </c>
      <c r="F536" s="33" t="n">
        <v>0</v>
      </c>
      <c r="G536" s="62"/>
      <c r="H536" s="35" t="n">
        <v>0</v>
      </c>
      <c r="I536" s="34" t="n">
        <f aca="false">+IF(E536=0,0,E536*0.03)</f>
        <v>0</v>
      </c>
    </row>
    <row r="537" customFormat="false" ht="15.75" hidden="false" customHeight="true" outlineLevel="0" collapsed="false">
      <c r="A537" s="30" t="n">
        <v>45444</v>
      </c>
      <c r="B537" s="31" t="s">
        <v>153</v>
      </c>
      <c r="C537" s="32"/>
      <c r="D537" s="32"/>
      <c r="E537" s="19" t="n">
        <f aca="false">+F537*0.03</f>
        <v>0</v>
      </c>
      <c r="F537" s="33" t="n">
        <v>0</v>
      </c>
      <c r="G537" s="62"/>
      <c r="H537" s="35" t="n">
        <v>0</v>
      </c>
      <c r="I537" s="34" t="n">
        <f aca="false">+IF(E537=0,0,E537*0.03)</f>
        <v>0</v>
      </c>
    </row>
    <row r="538" customFormat="false" ht="15.75" hidden="false" customHeight="true" outlineLevel="0" collapsed="false">
      <c r="A538" s="30" t="n">
        <v>45444</v>
      </c>
      <c r="B538" s="31" t="s">
        <v>153</v>
      </c>
      <c r="C538" s="32"/>
      <c r="D538" s="32"/>
      <c r="E538" s="19" t="n">
        <f aca="false">+F538*0.03</f>
        <v>0</v>
      </c>
      <c r="F538" s="33" t="n">
        <v>0</v>
      </c>
      <c r="G538" s="62"/>
      <c r="H538" s="35" t="n">
        <v>0</v>
      </c>
      <c r="I538" s="34" t="n">
        <f aca="false">+IF(E538=0,0,E538*0.03)</f>
        <v>0</v>
      </c>
    </row>
    <row r="539" customFormat="false" ht="15.75" hidden="false" customHeight="true" outlineLevel="0" collapsed="false">
      <c r="A539" s="30" t="n">
        <v>45444</v>
      </c>
      <c r="B539" s="31" t="s">
        <v>153</v>
      </c>
      <c r="C539" s="32"/>
      <c r="D539" s="32"/>
      <c r="E539" s="19" t="n">
        <f aca="false">+F539*0.03</f>
        <v>0</v>
      </c>
      <c r="F539" s="33" t="n">
        <v>0</v>
      </c>
      <c r="G539" s="62"/>
      <c r="H539" s="35" t="n">
        <v>0</v>
      </c>
      <c r="I539" s="34" t="n">
        <f aca="false">+IF(E539=0,0,E539*0.03)</f>
        <v>0</v>
      </c>
    </row>
    <row r="540" customFormat="false" ht="15.75" hidden="false" customHeight="true" outlineLevel="0" collapsed="false">
      <c r="A540" s="30" t="n">
        <v>45444</v>
      </c>
      <c r="B540" s="31" t="s">
        <v>153</v>
      </c>
      <c r="C540" s="32"/>
      <c r="D540" s="32"/>
      <c r="E540" s="19" t="n">
        <f aca="false">+F540*0.03</f>
        <v>0</v>
      </c>
      <c r="F540" s="33" t="n">
        <v>0</v>
      </c>
      <c r="G540" s="62"/>
      <c r="H540" s="35" t="n">
        <v>0</v>
      </c>
      <c r="I540" s="34" t="n">
        <f aca="false">+IF(E540=0,0,E540*0.03)</f>
        <v>0</v>
      </c>
    </row>
    <row r="541" customFormat="false" ht="15.75" hidden="false" customHeight="true" outlineLevel="0" collapsed="false">
      <c r="A541" s="30" t="n">
        <v>45444</v>
      </c>
      <c r="B541" s="31" t="s">
        <v>153</v>
      </c>
      <c r="C541" s="32"/>
      <c r="D541" s="32"/>
      <c r="E541" s="19" t="n">
        <f aca="false">+F541*0.03</f>
        <v>0</v>
      </c>
      <c r="F541" s="33" t="n">
        <v>0</v>
      </c>
      <c r="G541" s="62"/>
      <c r="H541" s="35" t="n">
        <v>0</v>
      </c>
      <c r="I541" s="34" t="n">
        <f aca="false">+IF(E541=0,0,E541*0.03)</f>
        <v>0</v>
      </c>
    </row>
    <row r="542" customFormat="false" ht="15.75" hidden="false" customHeight="true" outlineLevel="0" collapsed="false">
      <c r="A542" s="30" t="n">
        <v>45444</v>
      </c>
      <c r="B542" s="31" t="s">
        <v>153</v>
      </c>
      <c r="C542" s="32"/>
      <c r="D542" s="32"/>
      <c r="E542" s="19" t="n">
        <f aca="false">+F542*0.03</f>
        <v>0</v>
      </c>
      <c r="F542" s="33" t="n">
        <v>0</v>
      </c>
      <c r="G542" s="62"/>
      <c r="H542" s="35" t="n">
        <v>0</v>
      </c>
      <c r="I542" s="34" t="n">
        <f aca="false">+IF(E542=0,0,E542*0.03)</f>
        <v>0</v>
      </c>
    </row>
    <row r="543" customFormat="false" ht="15.75" hidden="false" customHeight="true" outlineLevel="0" collapsed="false">
      <c r="A543" s="30" t="n">
        <v>45444</v>
      </c>
      <c r="B543" s="31" t="s">
        <v>153</v>
      </c>
      <c r="C543" s="32"/>
      <c r="D543" s="32"/>
      <c r="E543" s="19" t="n">
        <f aca="false">+F543*0.03</f>
        <v>0</v>
      </c>
      <c r="F543" s="33" t="n">
        <v>0</v>
      </c>
      <c r="G543" s="62"/>
      <c r="H543" s="35" t="n">
        <v>0</v>
      </c>
      <c r="I543" s="34" t="n">
        <f aca="false">+IF(E543=0,0,E543*0.03)</f>
        <v>0</v>
      </c>
    </row>
    <row r="544" customFormat="false" ht="15.75" hidden="false" customHeight="true" outlineLevel="0" collapsed="false">
      <c r="A544" s="30" t="n">
        <v>45444</v>
      </c>
      <c r="B544" s="31" t="s">
        <v>153</v>
      </c>
      <c r="C544" s="32"/>
      <c r="D544" s="32"/>
      <c r="E544" s="19" t="n">
        <f aca="false">+F544*0.03</f>
        <v>0</v>
      </c>
      <c r="F544" s="33" t="n">
        <v>0</v>
      </c>
      <c r="G544" s="62"/>
      <c r="H544" s="35" t="n">
        <v>0</v>
      </c>
      <c r="I544" s="34" t="n">
        <f aca="false">+IF(E544=0,0,E544*0.03)</f>
        <v>0</v>
      </c>
    </row>
    <row r="545" customFormat="false" ht="15.75" hidden="false" customHeight="true" outlineLevel="0" collapsed="false">
      <c r="A545" s="30" t="n">
        <v>45444</v>
      </c>
      <c r="B545" s="31" t="s">
        <v>153</v>
      </c>
      <c r="C545" s="32"/>
      <c r="D545" s="32"/>
      <c r="E545" s="19" t="n">
        <f aca="false">+F545*0.03</f>
        <v>0</v>
      </c>
      <c r="F545" s="33" t="n">
        <v>0</v>
      </c>
      <c r="G545" s="62"/>
      <c r="H545" s="35" t="n">
        <v>0</v>
      </c>
      <c r="I545" s="34" t="n">
        <f aca="false">+IF(E545=0,0,E545*0.03)</f>
        <v>0</v>
      </c>
    </row>
    <row r="546" customFormat="false" ht="15.75" hidden="false" customHeight="true" outlineLevel="0" collapsed="false">
      <c r="A546" s="30" t="n">
        <v>45444</v>
      </c>
      <c r="B546" s="31" t="s">
        <v>153</v>
      </c>
      <c r="C546" s="32"/>
      <c r="D546" s="32"/>
      <c r="E546" s="19" t="n">
        <f aca="false">+F546*0.03</f>
        <v>0</v>
      </c>
      <c r="F546" s="33" t="n">
        <v>0</v>
      </c>
      <c r="G546" s="62"/>
      <c r="H546" s="35" t="n">
        <v>0</v>
      </c>
      <c r="I546" s="34" t="n">
        <f aca="false">+IF(E546=0,0,E546*0.03)</f>
        <v>0</v>
      </c>
    </row>
    <row r="547" customFormat="false" ht="15.75" hidden="false" customHeight="true" outlineLevel="0" collapsed="false">
      <c r="A547" s="30" t="n">
        <v>45444</v>
      </c>
      <c r="B547" s="31" t="s">
        <v>153</v>
      </c>
      <c r="C547" s="32"/>
      <c r="D547" s="32"/>
      <c r="E547" s="19" t="n">
        <f aca="false">+F547*0.03</f>
        <v>0</v>
      </c>
      <c r="F547" s="33" t="n">
        <v>0</v>
      </c>
      <c r="G547" s="62"/>
      <c r="H547" s="35" t="n">
        <v>0</v>
      </c>
      <c r="I547" s="34" t="n">
        <f aca="false">+IF(E547=0,0,E547*0.03)</f>
        <v>0</v>
      </c>
    </row>
    <row r="548" customFormat="false" ht="15.75" hidden="false" customHeight="true" outlineLevel="0" collapsed="false">
      <c r="A548" s="30" t="n">
        <v>45444</v>
      </c>
      <c r="B548" s="31" t="s">
        <v>153</v>
      </c>
      <c r="C548" s="32"/>
      <c r="D548" s="32"/>
      <c r="E548" s="19" t="n">
        <f aca="false">+F548*0.03</f>
        <v>0</v>
      </c>
      <c r="F548" s="33" t="n">
        <v>0</v>
      </c>
      <c r="G548" s="62"/>
      <c r="H548" s="35" t="n">
        <v>0</v>
      </c>
      <c r="I548" s="34" t="n">
        <f aca="false">+IF(E548=0,0,E548*0.03)</f>
        <v>0</v>
      </c>
    </row>
    <row r="549" customFormat="false" ht="15.75" hidden="false" customHeight="true" outlineLevel="0" collapsed="false">
      <c r="A549" s="30" t="n">
        <v>45444</v>
      </c>
      <c r="B549" s="31" t="s">
        <v>153</v>
      </c>
      <c r="C549" s="32"/>
      <c r="D549" s="32"/>
      <c r="E549" s="19" t="n">
        <f aca="false">+F549*0.03</f>
        <v>0</v>
      </c>
      <c r="F549" s="33" t="n">
        <v>0</v>
      </c>
      <c r="G549" s="62"/>
      <c r="H549" s="35" t="n">
        <v>0</v>
      </c>
      <c r="I549" s="34" t="n">
        <f aca="false">+IF(E549=0,0,E549*0.03)</f>
        <v>0</v>
      </c>
    </row>
    <row r="550" customFormat="false" ht="15.75" hidden="false" customHeight="true" outlineLevel="0" collapsed="false">
      <c r="A550" s="30" t="n">
        <v>45444</v>
      </c>
      <c r="B550" s="31" t="s">
        <v>153</v>
      </c>
      <c r="C550" s="32"/>
      <c r="D550" s="32"/>
      <c r="E550" s="19" t="n">
        <f aca="false">+F550*0.03</f>
        <v>0</v>
      </c>
      <c r="F550" s="33" t="n">
        <v>0</v>
      </c>
      <c r="G550" s="62"/>
      <c r="H550" s="35" t="n">
        <v>0</v>
      </c>
      <c r="I550" s="34" t="n">
        <f aca="false">+IF(E550=0,0,E550*0.03)</f>
        <v>0</v>
      </c>
    </row>
    <row r="551" customFormat="false" ht="15.75" hidden="false" customHeight="true" outlineLevel="0" collapsed="false">
      <c r="A551" s="30" t="n">
        <v>45444</v>
      </c>
      <c r="B551" s="31" t="s">
        <v>153</v>
      </c>
      <c r="C551" s="32"/>
      <c r="D551" s="32"/>
      <c r="E551" s="19" t="n">
        <f aca="false">+F551*0.03</f>
        <v>0</v>
      </c>
      <c r="F551" s="33" t="n">
        <v>0</v>
      </c>
      <c r="G551" s="62"/>
      <c r="H551" s="35" t="n">
        <v>0</v>
      </c>
      <c r="I551" s="34" t="n">
        <f aca="false">+IF(E551=0,0,E551*0.03)</f>
        <v>0</v>
      </c>
    </row>
    <row r="552" customFormat="false" ht="15.75" hidden="false" customHeight="true" outlineLevel="0" collapsed="false">
      <c r="A552" s="30" t="n">
        <v>45444</v>
      </c>
      <c r="B552" s="31" t="s">
        <v>153</v>
      </c>
      <c r="C552" s="32"/>
      <c r="D552" s="32"/>
      <c r="E552" s="19" t="n">
        <f aca="false">+F552*0.03</f>
        <v>0</v>
      </c>
      <c r="F552" s="33" t="n">
        <v>0</v>
      </c>
      <c r="G552" s="62"/>
      <c r="H552" s="35" t="n">
        <v>0</v>
      </c>
      <c r="I552" s="34" t="n">
        <f aca="false">+IF(E552=0,0,E552*0.03)</f>
        <v>0</v>
      </c>
    </row>
    <row r="553" customFormat="false" ht="15.75" hidden="false" customHeight="true" outlineLevel="0" collapsed="false">
      <c r="A553" s="30" t="n">
        <v>45444</v>
      </c>
      <c r="B553" s="31" t="s">
        <v>153</v>
      </c>
      <c r="C553" s="32"/>
      <c r="D553" s="32"/>
      <c r="E553" s="19" t="n">
        <f aca="false">+F553*0.03</f>
        <v>0</v>
      </c>
      <c r="F553" s="33" t="n">
        <v>0</v>
      </c>
      <c r="G553" s="62"/>
      <c r="H553" s="35" t="n">
        <v>0</v>
      </c>
      <c r="I553" s="34" t="n">
        <f aca="false">+IF(E553=0,0,E553*0.03)</f>
        <v>0</v>
      </c>
    </row>
    <row r="554" customFormat="false" ht="15.75" hidden="false" customHeight="true" outlineLevel="0" collapsed="false">
      <c r="A554" s="30" t="n">
        <v>45444</v>
      </c>
      <c r="B554" s="31" t="s">
        <v>153</v>
      </c>
      <c r="C554" s="32"/>
      <c r="D554" s="32"/>
      <c r="E554" s="19" t="n">
        <f aca="false">+F554*0.03</f>
        <v>0</v>
      </c>
      <c r="F554" s="33" t="n">
        <v>0</v>
      </c>
      <c r="G554" s="62"/>
      <c r="H554" s="35" t="n">
        <v>0</v>
      </c>
      <c r="I554" s="34" t="n">
        <f aca="false">+IF(E554=0,0,E554*0.03)</f>
        <v>0</v>
      </c>
    </row>
    <row r="555" customFormat="false" ht="15.75" hidden="false" customHeight="true" outlineLevel="0" collapsed="false">
      <c r="A555" s="30" t="n">
        <v>45444</v>
      </c>
      <c r="B555" s="31" t="s">
        <v>153</v>
      </c>
      <c r="C555" s="32"/>
      <c r="D555" s="32"/>
      <c r="E555" s="19" t="n">
        <f aca="false">+F555*0.03</f>
        <v>0</v>
      </c>
      <c r="F555" s="33" t="n">
        <v>0</v>
      </c>
      <c r="G555" s="62"/>
      <c r="H555" s="35" t="n">
        <v>0</v>
      </c>
      <c r="I555" s="34" t="n">
        <f aca="false">+IF(E555=0,0,E555*0.03)</f>
        <v>0</v>
      </c>
    </row>
    <row r="556" customFormat="false" ht="15.75" hidden="false" customHeight="true" outlineLevel="0" collapsed="false">
      <c r="A556" s="30" t="n">
        <v>45444</v>
      </c>
      <c r="B556" s="31" t="s">
        <v>153</v>
      </c>
      <c r="C556" s="32"/>
      <c r="D556" s="32"/>
      <c r="E556" s="19" t="n">
        <f aca="false">+F556*0.03</f>
        <v>0</v>
      </c>
      <c r="F556" s="33" t="n">
        <v>0</v>
      </c>
      <c r="G556" s="62"/>
      <c r="H556" s="35" t="n">
        <v>0</v>
      </c>
      <c r="I556" s="34" t="n">
        <f aca="false">+IF(E556=0,0,E556*0.03)</f>
        <v>0</v>
      </c>
    </row>
    <row r="557" customFormat="false" ht="15.75" hidden="false" customHeight="true" outlineLevel="0" collapsed="false">
      <c r="A557" s="30" t="n">
        <v>45444</v>
      </c>
      <c r="B557" s="31" t="s">
        <v>153</v>
      </c>
      <c r="C557" s="32"/>
      <c r="D557" s="32"/>
      <c r="E557" s="19" t="n">
        <f aca="false">+F557*0.03</f>
        <v>0</v>
      </c>
      <c r="F557" s="33" t="n">
        <v>0</v>
      </c>
      <c r="G557" s="62"/>
      <c r="H557" s="35" t="n">
        <v>0</v>
      </c>
      <c r="I557" s="34" t="n">
        <f aca="false">+IF(E557=0,0,E557*0.03)</f>
        <v>0</v>
      </c>
    </row>
    <row r="558" customFormat="false" ht="15.75" hidden="false" customHeight="true" outlineLevel="0" collapsed="false">
      <c r="A558" s="30" t="n">
        <v>45444</v>
      </c>
      <c r="B558" s="31" t="s">
        <v>153</v>
      </c>
      <c r="C558" s="32"/>
      <c r="D558" s="32"/>
      <c r="E558" s="19" t="n">
        <f aca="false">+F558*0.03</f>
        <v>0</v>
      </c>
      <c r="F558" s="33" t="n">
        <v>0</v>
      </c>
      <c r="G558" s="62"/>
      <c r="H558" s="35" t="n">
        <v>0</v>
      </c>
      <c r="I558" s="34" t="n">
        <f aca="false">+IF(E558=0,0,E558*0.03)</f>
        <v>0</v>
      </c>
    </row>
    <row r="559" customFormat="false" ht="15.75" hidden="false" customHeight="true" outlineLevel="0" collapsed="false">
      <c r="A559" s="30" t="n">
        <v>45444</v>
      </c>
      <c r="B559" s="31" t="s">
        <v>153</v>
      </c>
      <c r="C559" s="32"/>
      <c r="D559" s="32"/>
      <c r="E559" s="19" t="n">
        <f aca="false">+F559*0.03</f>
        <v>0</v>
      </c>
      <c r="F559" s="33" t="n">
        <v>0</v>
      </c>
      <c r="G559" s="62"/>
      <c r="H559" s="35" t="n">
        <v>0</v>
      </c>
      <c r="I559" s="34" t="n">
        <f aca="false">+IF(E559=0,0,E559*0.03)</f>
        <v>0</v>
      </c>
    </row>
    <row r="560" customFormat="false" ht="15.75" hidden="false" customHeight="true" outlineLevel="0" collapsed="false">
      <c r="A560" s="30" t="n">
        <v>45444</v>
      </c>
      <c r="B560" s="31" t="s">
        <v>153</v>
      </c>
      <c r="C560" s="32"/>
      <c r="D560" s="32"/>
      <c r="E560" s="19" t="n">
        <f aca="false">+F560*0.03</f>
        <v>0</v>
      </c>
      <c r="F560" s="33" t="n">
        <v>0</v>
      </c>
      <c r="G560" s="62"/>
      <c r="H560" s="35" t="n">
        <v>0</v>
      </c>
      <c r="I560" s="34" t="n">
        <f aca="false">+IF(E560=0,0,E560*0.03)</f>
        <v>0</v>
      </c>
    </row>
    <row r="561" customFormat="false" ht="15.75" hidden="false" customHeight="true" outlineLevel="0" collapsed="false">
      <c r="A561" s="30" t="n">
        <v>45444</v>
      </c>
      <c r="B561" s="31" t="s">
        <v>153</v>
      </c>
      <c r="C561" s="32"/>
      <c r="D561" s="32"/>
      <c r="E561" s="19" t="n">
        <f aca="false">+F561*0.03</f>
        <v>0</v>
      </c>
      <c r="F561" s="33" t="n">
        <v>0</v>
      </c>
      <c r="G561" s="62"/>
      <c r="H561" s="35" t="n">
        <v>0</v>
      </c>
      <c r="I561" s="34" t="n">
        <f aca="false">+IF(E561=0,0,E561*0.03)</f>
        <v>0</v>
      </c>
    </row>
    <row r="562" customFormat="false" ht="15.75" hidden="false" customHeight="true" outlineLevel="0" collapsed="false">
      <c r="A562" s="30" t="n">
        <v>45444</v>
      </c>
      <c r="B562" s="31" t="s">
        <v>153</v>
      </c>
      <c r="C562" s="32"/>
      <c r="D562" s="32"/>
      <c r="E562" s="19" t="n">
        <f aca="false">+F562*0.03</f>
        <v>0</v>
      </c>
      <c r="F562" s="33" t="n">
        <v>0</v>
      </c>
      <c r="G562" s="62"/>
      <c r="H562" s="35" t="n">
        <v>0</v>
      </c>
      <c r="I562" s="34" t="n">
        <f aca="false">+IF(E562=0,0,E562*0.03)</f>
        <v>0</v>
      </c>
    </row>
    <row r="563" customFormat="false" ht="15.75" hidden="false" customHeight="true" outlineLevel="0" collapsed="false">
      <c r="A563" s="30" t="n">
        <v>45444</v>
      </c>
      <c r="B563" s="31" t="s">
        <v>153</v>
      </c>
      <c r="C563" s="32"/>
      <c r="D563" s="32"/>
      <c r="E563" s="19" t="n">
        <f aca="false">+F563*0.03</f>
        <v>0</v>
      </c>
      <c r="F563" s="33" t="n">
        <v>0</v>
      </c>
      <c r="G563" s="62"/>
      <c r="H563" s="35" t="n">
        <v>0</v>
      </c>
      <c r="I563" s="34" t="n">
        <f aca="false">+IF(E563=0,0,E563*0.03)</f>
        <v>0</v>
      </c>
    </row>
    <row r="564" customFormat="false" ht="15.75" hidden="false" customHeight="true" outlineLevel="0" collapsed="false">
      <c r="A564" s="30" t="n">
        <v>45444</v>
      </c>
      <c r="B564" s="31" t="s">
        <v>153</v>
      </c>
      <c r="C564" s="32"/>
      <c r="D564" s="32"/>
      <c r="E564" s="19" t="n">
        <f aca="false">+F564*0.03</f>
        <v>0</v>
      </c>
      <c r="F564" s="33" t="n">
        <v>0</v>
      </c>
      <c r="G564" s="62"/>
      <c r="H564" s="35" t="n">
        <v>0</v>
      </c>
      <c r="I564" s="34" t="n">
        <f aca="false">+IF(E564=0,0,E564*0.03)</f>
        <v>0</v>
      </c>
    </row>
    <row r="565" customFormat="false" ht="15.75" hidden="false" customHeight="true" outlineLevel="0" collapsed="false">
      <c r="A565" s="30" t="n">
        <v>45444</v>
      </c>
      <c r="B565" s="31" t="s">
        <v>153</v>
      </c>
      <c r="C565" s="32"/>
      <c r="D565" s="32"/>
      <c r="E565" s="19" t="n">
        <f aca="false">+F565*0.03</f>
        <v>0</v>
      </c>
      <c r="F565" s="33" t="n">
        <v>0</v>
      </c>
      <c r="G565" s="62"/>
      <c r="H565" s="35" t="n">
        <v>0</v>
      </c>
      <c r="I565" s="34" t="n">
        <f aca="false">+IF(E565=0,0,E565*0.03)</f>
        <v>0</v>
      </c>
    </row>
    <row r="566" customFormat="false" ht="15.75" hidden="false" customHeight="true" outlineLevel="0" collapsed="false">
      <c r="A566" s="30" t="n">
        <v>45444</v>
      </c>
      <c r="B566" s="31" t="s">
        <v>153</v>
      </c>
      <c r="C566" s="32"/>
      <c r="D566" s="32"/>
      <c r="E566" s="19" t="n">
        <f aca="false">+F566*0.03</f>
        <v>0</v>
      </c>
      <c r="F566" s="33" t="n">
        <v>0</v>
      </c>
      <c r="G566" s="62"/>
      <c r="H566" s="35" t="n">
        <v>0</v>
      </c>
      <c r="I566" s="34" t="n">
        <f aca="false">+IF(E566=0,0,E566*0.03)</f>
        <v>0</v>
      </c>
    </row>
    <row r="567" customFormat="false" ht="15.75" hidden="false" customHeight="true" outlineLevel="0" collapsed="false">
      <c r="A567" s="30" t="n">
        <v>45444</v>
      </c>
      <c r="B567" s="31" t="s">
        <v>153</v>
      </c>
      <c r="C567" s="32"/>
      <c r="D567" s="32"/>
      <c r="E567" s="19" t="n">
        <f aca="false">+F567*0.03</f>
        <v>0</v>
      </c>
      <c r="F567" s="33" t="n">
        <v>0</v>
      </c>
      <c r="G567" s="62"/>
      <c r="H567" s="35" t="n">
        <v>0</v>
      </c>
      <c r="I567" s="34" t="n">
        <f aca="false">+IF(E567=0,0,E567*0.03)</f>
        <v>0</v>
      </c>
    </row>
    <row r="568" customFormat="false" ht="15.75" hidden="false" customHeight="true" outlineLevel="0" collapsed="false">
      <c r="A568" s="30" t="n">
        <v>45444</v>
      </c>
      <c r="B568" s="31" t="s">
        <v>153</v>
      </c>
      <c r="C568" s="32"/>
      <c r="D568" s="32"/>
      <c r="E568" s="19" t="n">
        <f aca="false">+F568*0.03</f>
        <v>0</v>
      </c>
      <c r="F568" s="33" t="n">
        <v>0</v>
      </c>
      <c r="G568" s="62"/>
      <c r="H568" s="35" t="n">
        <v>0</v>
      </c>
      <c r="I568" s="34" t="n">
        <f aca="false">+IF(E568=0,0,E568*0.03)</f>
        <v>0</v>
      </c>
    </row>
    <row r="569" customFormat="false" ht="15.75" hidden="false" customHeight="true" outlineLevel="0" collapsed="false">
      <c r="A569" s="30" t="n">
        <v>45444</v>
      </c>
      <c r="B569" s="31" t="s">
        <v>153</v>
      </c>
      <c r="C569" s="32"/>
      <c r="D569" s="32"/>
      <c r="E569" s="19" t="n">
        <f aca="false">+F569*0.03</f>
        <v>0</v>
      </c>
      <c r="F569" s="33" t="n">
        <v>0</v>
      </c>
      <c r="G569" s="62"/>
      <c r="H569" s="35" t="n">
        <v>0</v>
      </c>
      <c r="I569" s="34" t="n">
        <f aca="false">+IF(E569=0,0,E569*0.03)</f>
        <v>0</v>
      </c>
    </row>
    <row r="570" customFormat="false" ht="15.75" hidden="false" customHeight="true" outlineLevel="0" collapsed="false">
      <c r="A570" s="30" t="n">
        <v>45444</v>
      </c>
      <c r="B570" s="31" t="s">
        <v>153</v>
      </c>
      <c r="C570" s="32"/>
      <c r="D570" s="32"/>
      <c r="E570" s="19" t="n">
        <f aca="false">+F570*0.03</f>
        <v>0</v>
      </c>
      <c r="F570" s="33" t="n">
        <v>0</v>
      </c>
      <c r="G570" s="62"/>
      <c r="H570" s="35" t="n">
        <v>0</v>
      </c>
      <c r="I570" s="34" t="n">
        <f aca="false">+IF(E570=0,0,E570*0.03)</f>
        <v>0</v>
      </c>
    </row>
    <row r="571" customFormat="false" ht="15.75" hidden="false" customHeight="true" outlineLevel="0" collapsed="false">
      <c r="A571" s="30" t="n">
        <v>45444</v>
      </c>
      <c r="B571" s="31" t="s">
        <v>153</v>
      </c>
      <c r="C571" s="32"/>
      <c r="D571" s="32"/>
      <c r="E571" s="19" t="n">
        <f aca="false">+F571*0.03</f>
        <v>0</v>
      </c>
      <c r="F571" s="33" t="n">
        <v>0</v>
      </c>
      <c r="G571" s="62"/>
      <c r="H571" s="35" t="n">
        <v>0</v>
      </c>
      <c r="I571" s="34" t="n">
        <f aca="false">+IF(E571=0,0,E571*0.03)</f>
        <v>0</v>
      </c>
    </row>
    <row r="572" customFormat="false" ht="15.75" hidden="false" customHeight="true" outlineLevel="0" collapsed="false">
      <c r="A572" s="30" t="n">
        <v>45444</v>
      </c>
      <c r="B572" s="31" t="s">
        <v>153</v>
      </c>
      <c r="C572" s="32"/>
      <c r="D572" s="32"/>
      <c r="E572" s="19" t="n">
        <f aca="false">+F572*0.03</f>
        <v>0</v>
      </c>
      <c r="F572" s="33" t="n">
        <v>0</v>
      </c>
      <c r="G572" s="62"/>
      <c r="H572" s="35" t="n">
        <v>0</v>
      </c>
      <c r="I572" s="34" t="n">
        <f aca="false">+IF(E572=0,0,E572*0.03)</f>
        <v>0</v>
      </c>
    </row>
    <row r="573" customFormat="false" ht="15.75" hidden="false" customHeight="true" outlineLevel="0" collapsed="false">
      <c r="A573" s="30" t="n">
        <v>45444</v>
      </c>
      <c r="B573" s="31" t="s">
        <v>153</v>
      </c>
      <c r="C573" s="32"/>
      <c r="D573" s="32"/>
      <c r="E573" s="19" t="n">
        <f aca="false">+F573*0.03</f>
        <v>0</v>
      </c>
      <c r="F573" s="33" t="n">
        <v>0</v>
      </c>
      <c r="G573" s="62"/>
      <c r="H573" s="35" t="n">
        <v>0</v>
      </c>
      <c r="I573" s="34" t="n">
        <f aca="false">+IF(E573=0,0,E573*0.03)</f>
        <v>0</v>
      </c>
    </row>
    <row r="574" customFormat="false" ht="15.75" hidden="false" customHeight="true" outlineLevel="0" collapsed="false">
      <c r="A574" s="30" t="n">
        <v>45444</v>
      </c>
      <c r="B574" s="31" t="s">
        <v>153</v>
      </c>
      <c r="C574" s="32"/>
      <c r="D574" s="32"/>
      <c r="E574" s="19" t="n">
        <f aca="false">+F574*0.03</f>
        <v>0</v>
      </c>
      <c r="F574" s="33" t="n">
        <v>0</v>
      </c>
      <c r="G574" s="62"/>
      <c r="H574" s="35" t="n">
        <v>0</v>
      </c>
      <c r="I574" s="34" t="n">
        <f aca="false">+IF(E574=0,0,E574*0.03)</f>
        <v>0</v>
      </c>
    </row>
    <row r="575" customFormat="false" ht="15.75" hidden="false" customHeight="true" outlineLevel="0" collapsed="false">
      <c r="A575" s="30" t="n">
        <v>45444</v>
      </c>
      <c r="B575" s="31" t="s">
        <v>153</v>
      </c>
      <c r="C575" s="32"/>
      <c r="D575" s="32"/>
      <c r="E575" s="19" t="n">
        <f aca="false">+F575*0.03</f>
        <v>0</v>
      </c>
      <c r="F575" s="33" t="n">
        <v>0</v>
      </c>
      <c r="G575" s="62"/>
      <c r="H575" s="35" t="n">
        <v>0</v>
      </c>
      <c r="I575" s="34" t="n">
        <f aca="false">+IF(E575=0,0,E575*0.03)</f>
        <v>0</v>
      </c>
    </row>
    <row r="576" customFormat="false" ht="15.75" hidden="false" customHeight="true" outlineLevel="0" collapsed="false">
      <c r="A576" s="30" t="n">
        <v>45444</v>
      </c>
      <c r="B576" s="31" t="s">
        <v>153</v>
      </c>
      <c r="C576" s="32"/>
      <c r="D576" s="32"/>
      <c r="E576" s="19" t="n">
        <f aca="false">+F576*0.03</f>
        <v>0</v>
      </c>
      <c r="F576" s="33" t="n">
        <v>0</v>
      </c>
      <c r="G576" s="62"/>
      <c r="H576" s="35" t="n">
        <v>0</v>
      </c>
      <c r="I576" s="34" t="n">
        <f aca="false">+IF(E576=0,0,E576*0.03)</f>
        <v>0</v>
      </c>
    </row>
    <row r="577" customFormat="false" ht="15.75" hidden="false" customHeight="true" outlineLevel="0" collapsed="false">
      <c r="A577" s="30" t="n">
        <v>45444</v>
      </c>
      <c r="B577" s="31" t="s">
        <v>153</v>
      </c>
      <c r="C577" s="32"/>
      <c r="D577" s="32"/>
      <c r="E577" s="19" t="n">
        <f aca="false">+F577*0.03</f>
        <v>0</v>
      </c>
      <c r="F577" s="33" t="n">
        <v>0</v>
      </c>
      <c r="G577" s="62"/>
      <c r="H577" s="35" t="n">
        <v>0</v>
      </c>
      <c r="I577" s="34" t="n">
        <f aca="false">+IF(E577=0,0,E577*0.03)</f>
        <v>0</v>
      </c>
    </row>
    <row r="578" customFormat="false" ht="15.75" hidden="false" customHeight="true" outlineLevel="0" collapsed="false">
      <c r="A578" s="30" t="n">
        <v>45444</v>
      </c>
      <c r="B578" s="31" t="s">
        <v>153</v>
      </c>
      <c r="C578" s="32"/>
      <c r="D578" s="32"/>
      <c r="E578" s="19" t="n">
        <f aca="false">+F578*0.03</f>
        <v>0</v>
      </c>
      <c r="F578" s="33" t="n">
        <v>0</v>
      </c>
      <c r="G578" s="62"/>
      <c r="H578" s="35" t="n">
        <v>0</v>
      </c>
      <c r="I578" s="34" t="n">
        <f aca="false">+IF(E578=0,0,E578*0.03)</f>
        <v>0</v>
      </c>
    </row>
    <row r="579" customFormat="false" ht="15.75" hidden="false" customHeight="true" outlineLevel="0" collapsed="false">
      <c r="A579" s="30" t="n">
        <v>45444</v>
      </c>
      <c r="B579" s="31" t="s">
        <v>153</v>
      </c>
      <c r="C579" s="32"/>
      <c r="D579" s="32"/>
      <c r="E579" s="19" t="n">
        <f aca="false">+F579*0.03</f>
        <v>0</v>
      </c>
      <c r="F579" s="33" t="n">
        <v>0</v>
      </c>
      <c r="G579" s="62"/>
      <c r="H579" s="35" t="n">
        <v>0</v>
      </c>
      <c r="I579" s="34" t="n">
        <f aca="false">+IF(E579=0,0,E579*0.03)</f>
        <v>0</v>
      </c>
    </row>
    <row r="580" customFormat="false" ht="15.75" hidden="false" customHeight="true" outlineLevel="0" collapsed="false">
      <c r="A580" s="30" t="n">
        <v>45444</v>
      </c>
      <c r="B580" s="31" t="s">
        <v>153</v>
      </c>
      <c r="C580" s="32"/>
      <c r="D580" s="32"/>
      <c r="E580" s="19" t="n">
        <f aca="false">+F580*0.03</f>
        <v>0</v>
      </c>
      <c r="F580" s="33" t="n">
        <v>0</v>
      </c>
      <c r="G580" s="62"/>
      <c r="H580" s="35" t="n">
        <v>0</v>
      </c>
      <c r="I580" s="34" t="n">
        <f aca="false">+IF(E580=0,0,E580*0.03)</f>
        <v>0</v>
      </c>
    </row>
    <row r="581" customFormat="false" ht="15.75" hidden="false" customHeight="true" outlineLevel="0" collapsed="false">
      <c r="A581" s="30" t="n">
        <v>45444</v>
      </c>
      <c r="B581" s="31" t="s">
        <v>153</v>
      </c>
      <c r="C581" s="32"/>
      <c r="D581" s="32"/>
      <c r="E581" s="19" t="n">
        <f aca="false">+F581*0.03</f>
        <v>0</v>
      </c>
      <c r="F581" s="33" t="n">
        <v>0</v>
      </c>
      <c r="G581" s="62"/>
      <c r="H581" s="35" t="n">
        <v>0</v>
      </c>
      <c r="I581" s="34" t="n">
        <f aca="false">+IF(E581=0,0,E581*0.03)</f>
        <v>0</v>
      </c>
    </row>
    <row r="582" customFormat="false" ht="15.75" hidden="false" customHeight="true" outlineLevel="0" collapsed="false">
      <c r="A582" s="30" t="n">
        <v>45444</v>
      </c>
      <c r="B582" s="31" t="s">
        <v>153</v>
      </c>
      <c r="C582" s="32"/>
      <c r="D582" s="32"/>
      <c r="E582" s="19" t="n">
        <f aca="false">+F582*0.03</f>
        <v>0</v>
      </c>
      <c r="F582" s="33" t="n">
        <v>0</v>
      </c>
      <c r="G582" s="62"/>
      <c r="H582" s="35" t="n">
        <v>0</v>
      </c>
      <c r="I582" s="34" t="n">
        <f aca="false">+IF(E582=0,0,E582*0.03)</f>
        <v>0</v>
      </c>
    </row>
    <row r="583" customFormat="false" ht="15.75" hidden="false" customHeight="true" outlineLevel="0" collapsed="false">
      <c r="A583" s="30" t="n">
        <v>45444</v>
      </c>
      <c r="B583" s="31" t="s">
        <v>153</v>
      </c>
      <c r="C583" s="32"/>
      <c r="D583" s="32"/>
      <c r="E583" s="19" t="n">
        <f aca="false">+F583*0.03</f>
        <v>0</v>
      </c>
      <c r="F583" s="33" t="n">
        <v>0</v>
      </c>
      <c r="G583" s="62"/>
      <c r="H583" s="35" t="n">
        <v>0</v>
      </c>
      <c r="I583" s="34" t="n">
        <f aca="false">+IF(E583=0,0,E583*0.03)</f>
        <v>0</v>
      </c>
    </row>
    <row r="584" customFormat="false" ht="15.75" hidden="false" customHeight="true" outlineLevel="0" collapsed="false">
      <c r="A584" s="30" t="n">
        <v>45444</v>
      </c>
      <c r="B584" s="31" t="s">
        <v>153</v>
      </c>
      <c r="C584" s="32"/>
      <c r="D584" s="32"/>
      <c r="E584" s="19" t="n">
        <f aca="false">+F584*0.03</f>
        <v>0</v>
      </c>
      <c r="F584" s="33" t="n">
        <v>0</v>
      </c>
      <c r="G584" s="62"/>
      <c r="H584" s="35" t="n">
        <v>0</v>
      </c>
      <c r="I584" s="34" t="n">
        <f aca="false">+IF(E584=0,0,E584*0.03)</f>
        <v>0</v>
      </c>
    </row>
    <row r="585" customFormat="false" ht="15.75" hidden="false" customHeight="true" outlineLevel="0" collapsed="false">
      <c r="A585" s="30" t="n">
        <v>45444</v>
      </c>
      <c r="B585" s="31" t="s">
        <v>153</v>
      </c>
      <c r="C585" s="32"/>
      <c r="D585" s="32"/>
      <c r="E585" s="19" t="n">
        <f aca="false">+F585*0.03</f>
        <v>0</v>
      </c>
      <c r="F585" s="33" t="n">
        <v>0</v>
      </c>
      <c r="G585" s="62"/>
      <c r="H585" s="35" t="n">
        <v>0</v>
      </c>
      <c r="I585" s="34" t="n">
        <f aca="false">+IF(E585=0,0,E585*0.03)</f>
        <v>0</v>
      </c>
    </row>
    <row r="586" customFormat="false" ht="15.75" hidden="false" customHeight="true" outlineLevel="0" collapsed="false">
      <c r="A586" s="30" t="n">
        <v>45444</v>
      </c>
      <c r="B586" s="31" t="s">
        <v>153</v>
      </c>
      <c r="C586" s="32"/>
      <c r="D586" s="32"/>
      <c r="E586" s="19" t="n">
        <f aca="false">+F586*0.03</f>
        <v>0</v>
      </c>
      <c r="F586" s="33" t="n">
        <v>0</v>
      </c>
      <c r="G586" s="62"/>
      <c r="H586" s="35" t="n">
        <v>0</v>
      </c>
      <c r="I586" s="34" t="n">
        <f aca="false">+IF(E586=0,0,E586*0.03)</f>
        <v>0</v>
      </c>
    </row>
    <row r="587" customFormat="false" ht="15.75" hidden="false" customHeight="true" outlineLevel="0" collapsed="false">
      <c r="A587" s="30" t="n">
        <v>45444</v>
      </c>
      <c r="B587" s="31" t="s">
        <v>153</v>
      </c>
      <c r="C587" s="32"/>
      <c r="D587" s="32"/>
      <c r="E587" s="19" t="n">
        <f aca="false">+F587*0.03</f>
        <v>0</v>
      </c>
      <c r="F587" s="33" t="n">
        <v>0</v>
      </c>
      <c r="G587" s="62"/>
      <c r="H587" s="35" t="n">
        <v>0</v>
      </c>
      <c r="I587" s="34" t="n">
        <f aca="false">+IF(E587=0,0,E587*0.03)</f>
        <v>0</v>
      </c>
    </row>
    <row r="588" customFormat="false" ht="15.75" hidden="false" customHeight="true" outlineLevel="0" collapsed="false">
      <c r="A588" s="30" t="n">
        <v>45444</v>
      </c>
      <c r="B588" s="31" t="s">
        <v>153</v>
      </c>
      <c r="C588" s="32"/>
      <c r="D588" s="32"/>
      <c r="E588" s="19" t="n">
        <f aca="false">+F588*0.03</f>
        <v>0</v>
      </c>
      <c r="F588" s="33" t="n">
        <v>0</v>
      </c>
      <c r="G588" s="62"/>
      <c r="H588" s="35" t="n">
        <v>0</v>
      </c>
      <c r="I588" s="34" t="n">
        <f aca="false">+IF(E588=0,0,E588*0.03)</f>
        <v>0</v>
      </c>
    </row>
    <row r="589" customFormat="false" ht="15.75" hidden="false" customHeight="true" outlineLevel="0" collapsed="false">
      <c r="A589" s="30" t="n">
        <v>45444</v>
      </c>
      <c r="B589" s="31" t="s">
        <v>153</v>
      </c>
      <c r="C589" s="32"/>
      <c r="D589" s="32"/>
      <c r="E589" s="19" t="n">
        <f aca="false">+F589*0.03</f>
        <v>0</v>
      </c>
      <c r="F589" s="33" t="n">
        <v>0</v>
      </c>
      <c r="G589" s="62"/>
      <c r="H589" s="35" t="n">
        <v>0</v>
      </c>
      <c r="I589" s="34" t="n">
        <f aca="false">+IF(E589=0,0,E589*0.03)</f>
        <v>0</v>
      </c>
    </row>
    <row r="590" customFormat="false" ht="15.75" hidden="false" customHeight="true" outlineLevel="0" collapsed="false">
      <c r="A590" s="30" t="n">
        <v>45444</v>
      </c>
      <c r="B590" s="31" t="s">
        <v>153</v>
      </c>
      <c r="C590" s="32"/>
      <c r="D590" s="32"/>
      <c r="E590" s="19" t="n">
        <f aca="false">+F590*0.03</f>
        <v>0</v>
      </c>
      <c r="F590" s="33" t="n">
        <v>0</v>
      </c>
      <c r="G590" s="62"/>
      <c r="H590" s="35" t="n">
        <v>0</v>
      </c>
      <c r="I590" s="34" t="n">
        <f aca="false">+IF(E590=0,0,E590*0.03)</f>
        <v>0</v>
      </c>
    </row>
    <row r="591" customFormat="false" ht="15.75" hidden="false" customHeight="true" outlineLevel="0" collapsed="false">
      <c r="A591" s="30" t="n">
        <v>45444</v>
      </c>
      <c r="B591" s="31" t="s">
        <v>153</v>
      </c>
      <c r="C591" s="32"/>
      <c r="D591" s="32"/>
      <c r="E591" s="19" t="n">
        <f aca="false">+F591*0.03</f>
        <v>0</v>
      </c>
      <c r="F591" s="33" t="n">
        <v>0</v>
      </c>
      <c r="G591" s="62"/>
      <c r="H591" s="35" t="n">
        <v>0</v>
      </c>
      <c r="I591" s="34" t="n">
        <f aca="false">+IF(E591=0,0,E591*0.03)</f>
        <v>0</v>
      </c>
    </row>
    <row r="592" customFormat="false" ht="15.75" hidden="false" customHeight="true" outlineLevel="0" collapsed="false">
      <c r="A592" s="30" t="n">
        <v>45444</v>
      </c>
      <c r="B592" s="31" t="s">
        <v>153</v>
      </c>
      <c r="C592" s="32"/>
      <c r="D592" s="32"/>
      <c r="E592" s="19" t="n">
        <f aca="false">+F592*0.03</f>
        <v>0</v>
      </c>
      <c r="F592" s="33" t="n">
        <v>0</v>
      </c>
      <c r="G592" s="62"/>
      <c r="H592" s="35" t="n">
        <v>0</v>
      </c>
      <c r="I592" s="34" t="n">
        <f aca="false">+IF(E592=0,0,E592*0.03)</f>
        <v>0</v>
      </c>
    </row>
    <row r="593" customFormat="false" ht="15.75" hidden="false" customHeight="true" outlineLevel="0" collapsed="false">
      <c r="A593" s="30" t="n">
        <v>45444</v>
      </c>
      <c r="B593" s="31" t="s">
        <v>153</v>
      </c>
      <c r="C593" s="32"/>
      <c r="D593" s="32"/>
      <c r="E593" s="19" t="n">
        <f aca="false">+F593*0.03</f>
        <v>0</v>
      </c>
      <c r="F593" s="33" t="n">
        <v>0</v>
      </c>
      <c r="G593" s="62"/>
      <c r="H593" s="35" t="n">
        <v>0</v>
      </c>
      <c r="I593" s="34" t="n">
        <f aca="false">+IF(E593=0,0,E593*0.03)</f>
        <v>0</v>
      </c>
    </row>
    <row r="594" customFormat="false" ht="15.75" hidden="false" customHeight="true" outlineLevel="0" collapsed="false">
      <c r="A594" s="30" t="n">
        <v>45444</v>
      </c>
      <c r="B594" s="31" t="s">
        <v>153</v>
      </c>
      <c r="C594" s="32"/>
      <c r="D594" s="32"/>
      <c r="E594" s="19" t="n">
        <f aca="false">+F594*0.03</f>
        <v>0</v>
      </c>
      <c r="F594" s="33" t="n">
        <v>0</v>
      </c>
      <c r="G594" s="62"/>
      <c r="H594" s="35" t="n">
        <v>0</v>
      </c>
      <c r="I594" s="34" t="n">
        <f aca="false">+IF(E594=0,0,E594*0.03)</f>
        <v>0</v>
      </c>
    </row>
    <row r="595" customFormat="false" ht="15.75" hidden="false" customHeight="true" outlineLevel="0" collapsed="false">
      <c r="A595" s="30" t="n">
        <v>45444</v>
      </c>
      <c r="B595" s="31" t="s">
        <v>153</v>
      </c>
      <c r="C595" s="32"/>
      <c r="D595" s="32"/>
      <c r="E595" s="19" t="n">
        <f aca="false">+F595*0.03</f>
        <v>0</v>
      </c>
      <c r="F595" s="33" t="n">
        <v>0</v>
      </c>
      <c r="G595" s="62"/>
      <c r="H595" s="35" t="n">
        <v>0</v>
      </c>
      <c r="I595" s="34" t="n">
        <f aca="false">+IF(E595=0,0,E595*0.03)</f>
        <v>0</v>
      </c>
    </row>
    <row r="596" customFormat="false" ht="15.75" hidden="false" customHeight="true" outlineLevel="0" collapsed="false">
      <c r="A596" s="30" t="n">
        <v>45444</v>
      </c>
      <c r="B596" s="31" t="s">
        <v>153</v>
      </c>
      <c r="C596" s="32"/>
      <c r="D596" s="32"/>
      <c r="E596" s="19" t="n">
        <f aca="false">+F596*0.03</f>
        <v>0</v>
      </c>
      <c r="F596" s="33" t="n">
        <v>0</v>
      </c>
      <c r="G596" s="62"/>
      <c r="H596" s="35" t="n">
        <v>0</v>
      </c>
      <c r="I596" s="34" t="n">
        <f aca="false">+IF(E596=0,0,E596*0.03)</f>
        <v>0</v>
      </c>
    </row>
    <row r="597" customFormat="false" ht="15.75" hidden="false" customHeight="true" outlineLevel="0" collapsed="false">
      <c r="A597" s="30" t="n">
        <v>45444</v>
      </c>
      <c r="B597" s="31" t="s">
        <v>153</v>
      </c>
      <c r="C597" s="32"/>
      <c r="D597" s="32"/>
      <c r="E597" s="19" t="n">
        <f aca="false">+F597*0.03</f>
        <v>0</v>
      </c>
      <c r="F597" s="33" t="n">
        <v>0</v>
      </c>
      <c r="G597" s="62"/>
      <c r="H597" s="35" t="n">
        <v>0</v>
      </c>
      <c r="I597" s="34" t="n">
        <f aca="false">+IF(E597=0,0,E597*0.03)</f>
        <v>0</v>
      </c>
    </row>
    <row r="598" customFormat="false" ht="15.75" hidden="false" customHeight="true" outlineLevel="0" collapsed="false">
      <c r="A598" s="30" t="n">
        <v>45444</v>
      </c>
      <c r="B598" s="31" t="s">
        <v>153</v>
      </c>
      <c r="C598" s="32"/>
      <c r="D598" s="32"/>
      <c r="E598" s="19" t="n">
        <f aca="false">+F598*0.03</f>
        <v>0</v>
      </c>
      <c r="F598" s="33" t="n">
        <v>0</v>
      </c>
      <c r="G598" s="62"/>
      <c r="H598" s="35" t="n">
        <v>0</v>
      </c>
      <c r="I598" s="34" t="n">
        <f aca="false">+IF(E598=0,0,E598*0.03)</f>
        <v>0</v>
      </c>
    </row>
    <row r="599" customFormat="false" ht="15.75" hidden="false" customHeight="true" outlineLevel="0" collapsed="false">
      <c r="A599" s="30" t="n">
        <v>45444</v>
      </c>
      <c r="B599" s="31" t="s">
        <v>153</v>
      </c>
      <c r="C599" s="32"/>
      <c r="D599" s="32"/>
      <c r="E599" s="19" t="n">
        <f aca="false">+F599*0.03</f>
        <v>0</v>
      </c>
      <c r="F599" s="33" t="n">
        <v>0</v>
      </c>
      <c r="G599" s="62"/>
      <c r="H599" s="35" t="n">
        <v>0</v>
      </c>
      <c r="I599" s="34" t="n">
        <f aca="false">+IF(E599=0,0,E599*0.03)</f>
        <v>0</v>
      </c>
    </row>
    <row r="600" customFormat="false" ht="15.75" hidden="false" customHeight="true" outlineLevel="0" collapsed="false">
      <c r="A600" s="30" t="n">
        <v>45444</v>
      </c>
      <c r="B600" s="31" t="s">
        <v>153</v>
      </c>
      <c r="C600" s="32"/>
      <c r="D600" s="32"/>
      <c r="E600" s="19" t="n">
        <f aca="false">+F600*0.03</f>
        <v>0</v>
      </c>
      <c r="F600" s="33" t="n">
        <v>0</v>
      </c>
      <c r="G600" s="62"/>
      <c r="H600" s="35" t="n">
        <v>0</v>
      </c>
      <c r="I600" s="34" t="n">
        <f aca="false">+IF(E600=0,0,E600*0.03)</f>
        <v>0</v>
      </c>
    </row>
    <row r="601" customFormat="false" ht="15.75" hidden="false" customHeight="true" outlineLevel="0" collapsed="false">
      <c r="A601" s="30" t="n">
        <v>45444</v>
      </c>
      <c r="B601" s="31" t="s">
        <v>153</v>
      </c>
      <c r="C601" s="32"/>
      <c r="D601" s="32"/>
      <c r="E601" s="19" t="n">
        <f aca="false">+F601*0.03</f>
        <v>0</v>
      </c>
      <c r="F601" s="33" t="n">
        <v>0</v>
      </c>
      <c r="G601" s="62"/>
      <c r="H601" s="35" t="n">
        <v>0</v>
      </c>
      <c r="I601" s="34" t="n">
        <f aca="false">+IF(E601=0,0,E601*0.03)</f>
        <v>0</v>
      </c>
    </row>
    <row r="602" customFormat="false" ht="15.75" hidden="false" customHeight="true" outlineLevel="0" collapsed="false">
      <c r="A602" s="30" t="n">
        <v>45444</v>
      </c>
      <c r="B602" s="31" t="s">
        <v>153</v>
      </c>
      <c r="C602" s="32"/>
      <c r="D602" s="32"/>
      <c r="E602" s="19" t="n">
        <f aca="false">+F602*0.03</f>
        <v>0</v>
      </c>
      <c r="F602" s="33" t="n">
        <v>0</v>
      </c>
      <c r="G602" s="62"/>
      <c r="H602" s="35" t="n">
        <v>0</v>
      </c>
      <c r="I602" s="34" t="n">
        <f aca="false">+IF(E602=0,0,E602*0.03)</f>
        <v>0</v>
      </c>
    </row>
    <row r="603" customFormat="false" ht="15.75" hidden="false" customHeight="true" outlineLevel="0" collapsed="false">
      <c r="A603" s="30" t="n">
        <v>45444</v>
      </c>
      <c r="B603" s="31" t="s">
        <v>153</v>
      </c>
      <c r="C603" s="32"/>
      <c r="D603" s="32"/>
      <c r="E603" s="19" t="n">
        <f aca="false">+F603*0.03</f>
        <v>0</v>
      </c>
      <c r="F603" s="33" t="n">
        <v>0</v>
      </c>
      <c r="G603" s="62"/>
      <c r="H603" s="35" t="n">
        <v>0</v>
      </c>
      <c r="I603" s="34" t="n">
        <f aca="false">+IF(E603=0,0,E603*0.03)</f>
        <v>0</v>
      </c>
    </row>
    <row r="604" customFormat="false" ht="15.75" hidden="false" customHeight="true" outlineLevel="0" collapsed="false">
      <c r="A604" s="30" t="n">
        <v>45444</v>
      </c>
      <c r="B604" s="31" t="s">
        <v>153</v>
      </c>
      <c r="C604" s="32"/>
      <c r="D604" s="32"/>
      <c r="E604" s="19" t="n">
        <f aca="false">+F604*0.03</f>
        <v>0</v>
      </c>
      <c r="F604" s="33" t="n">
        <v>0</v>
      </c>
      <c r="G604" s="62"/>
      <c r="H604" s="35" t="n">
        <v>0</v>
      </c>
      <c r="I604" s="34" t="n">
        <f aca="false">+IF(E604=0,0,E604*0.03)</f>
        <v>0</v>
      </c>
    </row>
    <row r="605" customFormat="false" ht="15.75" hidden="false" customHeight="true" outlineLevel="0" collapsed="false">
      <c r="A605" s="30" t="n">
        <v>45444</v>
      </c>
      <c r="B605" s="31" t="s">
        <v>153</v>
      </c>
      <c r="C605" s="32"/>
      <c r="D605" s="32"/>
      <c r="E605" s="19" t="n">
        <f aca="false">+F605*0.03</f>
        <v>0</v>
      </c>
      <c r="F605" s="33" t="n">
        <v>0</v>
      </c>
      <c r="G605" s="62"/>
      <c r="H605" s="35" t="n">
        <v>0</v>
      </c>
      <c r="I605" s="34" t="n">
        <f aca="false">+IF(E605=0,0,E605*0.03)</f>
        <v>0</v>
      </c>
    </row>
    <row r="606" customFormat="false" ht="15.75" hidden="false" customHeight="true" outlineLevel="0" collapsed="false">
      <c r="A606" s="30" t="n">
        <v>45444</v>
      </c>
      <c r="B606" s="31" t="s">
        <v>153</v>
      </c>
      <c r="C606" s="32"/>
      <c r="D606" s="32"/>
      <c r="E606" s="19" t="n">
        <f aca="false">+F606*0.03</f>
        <v>0</v>
      </c>
      <c r="F606" s="33" t="n">
        <v>0</v>
      </c>
      <c r="G606" s="62"/>
      <c r="H606" s="35" t="n">
        <v>0</v>
      </c>
      <c r="I606" s="34" t="n">
        <f aca="false">+IF(E606=0,0,E606*0.03)</f>
        <v>0</v>
      </c>
    </row>
    <row r="607" customFormat="false" ht="15.75" hidden="false" customHeight="true" outlineLevel="0" collapsed="false">
      <c r="A607" s="30" t="n">
        <v>45444</v>
      </c>
      <c r="B607" s="31" t="s">
        <v>153</v>
      </c>
      <c r="C607" s="32"/>
      <c r="D607" s="32"/>
      <c r="E607" s="19" t="n">
        <f aca="false">+F607*0.03</f>
        <v>0</v>
      </c>
      <c r="F607" s="33" t="n">
        <v>0</v>
      </c>
      <c r="G607" s="62"/>
      <c r="H607" s="35" t="n">
        <v>0</v>
      </c>
      <c r="I607" s="34" t="n">
        <f aca="false">+IF(E607=0,0,E607*0.03)</f>
        <v>0</v>
      </c>
    </row>
    <row r="608" customFormat="false" ht="15.75" hidden="false" customHeight="true" outlineLevel="0" collapsed="false">
      <c r="A608" s="30" t="n">
        <v>45444</v>
      </c>
      <c r="B608" s="31" t="s">
        <v>153</v>
      </c>
      <c r="C608" s="32"/>
      <c r="D608" s="32"/>
      <c r="E608" s="19" t="n">
        <f aca="false">+F608*0.03</f>
        <v>0</v>
      </c>
      <c r="F608" s="33" t="n">
        <v>0</v>
      </c>
      <c r="G608" s="62"/>
      <c r="H608" s="35" t="n">
        <v>0</v>
      </c>
      <c r="I608" s="34" t="n">
        <f aca="false">+IF(E608=0,0,E608*0.03)</f>
        <v>0</v>
      </c>
    </row>
    <row r="609" customFormat="false" ht="15.75" hidden="false" customHeight="true" outlineLevel="0" collapsed="false">
      <c r="A609" s="30" t="n">
        <v>45444</v>
      </c>
      <c r="B609" s="31" t="s">
        <v>153</v>
      </c>
      <c r="C609" s="32"/>
      <c r="D609" s="32"/>
      <c r="E609" s="19" t="n">
        <f aca="false">+F609*0.03</f>
        <v>0</v>
      </c>
      <c r="F609" s="33" t="n">
        <v>0</v>
      </c>
      <c r="G609" s="62"/>
      <c r="H609" s="35" t="n">
        <v>0</v>
      </c>
      <c r="I609" s="34" t="n">
        <f aca="false">+IF(E609=0,0,E609*0.03)</f>
        <v>0</v>
      </c>
    </row>
    <row r="610" customFormat="false" ht="15.75" hidden="false" customHeight="true" outlineLevel="0" collapsed="false">
      <c r="A610" s="30" t="n">
        <v>45444</v>
      </c>
      <c r="B610" s="31" t="s">
        <v>153</v>
      </c>
      <c r="C610" s="32"/>
      <c r="D610" s="32"/>
      <c r="E610" s="19" t="n">
        <f aca="false">+F610*0.03</f>
        <v>0</v>
      </c>
      <c r="F610" s="33" t="n">
        <v>0</v>
      </c>
      <c r="G610" s="62"/>
      <c r="H610" s="35" t="n">
        <v>0</v>
      </c>
      <c r="I610" s="34" t="n">
        <f aca="false">+IF(E610=0,0,E610*0.03)</f>
        <v>0</v>
      </c>
    </row>
    <row r="611" customFormat="false" ht="15.75" hidden="false" customHeight="true" outlineLevel="0" collapsed="false">
      <c r="A611" s="30" t="n">
        <v>45444</v>
      </c>
      <c r="B611" s="31" t="s">
        <v>153</v>
      </c>
      <c r="C611" s="32"/>
      <c r="D611" s="32"/>
      <c r="E611" s="19" t="n">
        <f aca="false">+F611*0.03</f>
        <v>0</v>
      </c>
      <c r="F611" s="33" t="n">
        <v>0</v>
      </c>
      <c r="G611" s="62"/>
      <c r="H611" s="35" t="n">
        <v>0</v>
      </c>
      <c r="I611" s="34" t="n">
        <f aca="false">+IF(E611=0,0,E611*0.03)</f>
        <v>0</v>
      </c>
    </row>
    <row r="612" customFormat="false" ht="15.75" hidden="false" customHeight="true" outlineLevel="0" collapsed="false">
      <c r="A612" s="30" t="n">
        <v>45444</v>
      </c>
      <c r="B612" s="31" t="s">
        <v>153</v>
      </c>
      <c r="C612" s="32"/>
      <c r="D612" s="32"/>
      <c r="E612" s="19" t="n">
        <f aca="false">+F612*0.03</f>
        <v>0</v>
      </c>
      <c r="F612" s="33" t="n">
        <v>0</v>
      </c>
      <c r="G612" s="62"/>
      <c r="H612" s="35" t="n">
        <v>0</v>
      </c>
      <c r="I612" s="34" t="n">
        <f aca="false">+IF(E612=0,0,E612*0.03)</f>
        <v>0</v>
      </c>
    </row>
    <row r="613" customFormat="false" ht="15.75" hidden="false" customHeight="true" outlineLevel="0" collapsed="false">
      <c r="A613" s="30" t="n">
        <v>45444</v>
      </c>
      <c r="B613" s="31" t="s">
        <v>153</v>
      </c>
      <c r="C613" s="32"/>
      <c r="D613" s="32"/>
      <c r="E613" s="19" t="n">
        <f aca="false">+F613*0.03</f>
        <v>0</v>
      </c>
      <c r="F613" s="33" t="n">
        <v>0</v>
      </c>
      <c r="G613" s="62"/>
      <c r="H613" s="35" t="n">
        <v>0</v>
      </c>
      <c r="I613" s="34" t="n">
        <f aca="false">+IF(E613=0,0,E613*0.03)</f>
        <v>0</v>
      </c>
    </row>
    <row r="614" customFormat="false" ht="15.75" hidden="false" customHeight="true" outlineLevel="0" collapsed="false">
      <c r="A614" s="30" t="n">
        <v>45444</v>
      </c>
      <c r="B614" s="31" t="s">
        <v>153</v>
      </c>
      <c r="C614" s="32"/>
      <c r="D614" s="32"/>
      <c r="E614" s="19" t="n">
        <f aca="false">+F614*0.03</f>
        <v>0</v>
      </c>
      <c r="F614" s="33" t="n">
        <v>0</v>
      </c>
      <c r="G614" s="62"/>
      <c r="H614" s="35" t="n">
        <v>0</v>
      </c>
      <c r="I614" s="34" t="n">
        <f aca="false">+IF(E614=0,0,E614*0.03)</f>
        <v>0</v>
      </c>
    </row>
    <row r="615" customFormat="false" ht="15.75" hidden="false" customHeight="true" outlineLevel="0" collapsed="false">
      <c r="A615" s="30" t="n">
        <v>45444</v>
      </c>
      <c r="B615" s="31" t="s">
        <v>153</v>
      </c>
      <c r="C615" s="32"/>
      <c r="D615" s="32"/>
      <c r="E615" s="19" t="n">
        <f aca="false">+F615*0.03</f>
        <v>0</v>
      </c>
      <c r="F615" s="33" t="n">
        <v>0</v>
      </c>
      <c r="G615" s="62"/>
      <c r="H615" s="35" t="n">
        <v>0</v>
      </c>
      <c r="I615" s="34" t="n">
        <f aca="false">+IF(E615=0,0,E615*0.03)</f>
        <v>0</v>
      </c>
    </row>
    <row r="616" customFormat="false" ht="15.75" hidden="false" customHeight="true" outlineLevel="0" collapsed="false">
      <c r="A616" s="30" t="n">
        <v>45444</v>
      </c>
      <c r="B616" s="31" t="s">
        <v>153</v>
      </c>
      <c r="C616" s="32"/>
      <c r="D616" s="32"/>
      <c r="E616" s="19" t="n">
        <f aca="false">+F616*0.03</f>
        <v>0</v>
      </c>
      <c r="F616" s="33" t="n">
        <v>0</v>
      </c>
      <c r="G616" s="62"/>
      <c r="H616" s="35" t="n">
        <v>0</v>
      </c>
      <c r="I616" s="34" t="n">
        <f aca="false">+IF(E616=0,0,E616*0.03)</f>
        <v>0</v>
      </c>
    </row>
    <row r="617" customFormat="false" ht="15.75" hidden="false" customHeight="true" outlineLevel="0" collapsed="false">
      <c r="A617" s="30" t="n">
        <v>45444</v>
      </c>
      <c r="B617" s="31" t="s">
        <v>153</v>
      </c>
      <c r="C617" s="32"/>
      <c r="D617" s="32"/>
      <c r="E617" s="19" t="n">
        <f aca="false">+F617*0.03</f>
        <v>0</v>
      </c>
      <c r="F617" s="33" t="n">
        <v>0</v>
      </c>
      <c r="G617" s="62"/>
      <c r="H617" s="35" t="n">
        <v>0</v>
      </c>
      <c r="I617" s="34" t="n">
        <f aca="false">+IF(E617=0,0,E617*0.03)</f>
        <v>0</v>
      </c>
    </row>
    <row r="618" customFormat="false" ht="15.75" hidden="false" customHeight="true" outlineLevel="0" collapsed="false">
      <c r="A618" s="30" t="n">
        <v>45444</v>
      </c>
      <c r="B618" s="31" t="s">
        <v>153</v>
      </c>
      <c r="C618" s="32"/>
      <c r="D618" s="32"/>
      <c r="E618" s="19" t="n">
        <f aca="false">+F618*0.03</f>
        <v>0</v>
      </c>
      <c r="F618" s="33" t="n">
        <v>0</v>
      </c>
      <c r="G618" s="62"/>
      <c r="H618" s="35" t="n">
        <v>0</v>
      </c>
      <c r="I618" s="34" t="n">
        <f aca="false">+IF(E618=0,0,E618*0.03)</f>
        <v>0</v>
      </c>
    </row>
    <row r="619" customFormat="false" ht="15.75" hidden="false" customHeight="true" outlineLevel="0" collapsed="false">
      <c r="A619" s="30" t="n">
        <v>45444</v>
      </c>
      <c r="B619" s="31" t="s">
        <v>153</v>
      </c>
      <c r="C619" s="32"/>
      <c r="D619" s="32"/>
      <c r="E619" s="19" t="n">
        <f aca="false">+F619*0.03</f>
        <v>0</v>
      </c>
      <c r="F619" s="33" t="n">
        <v>0</v>
      </c>
      <c r="G619" s="62"/>
      <c r="H619" s="35" t="n">
        <v>0</v>
      </c>
      <c r="I619" s="34" t="n">
        <f aca="false">+IF(E619=0,0,E619*0.03)</f>
        <v>0</v>
      </c>
    </row>
    <row r="620" customFormat="false" ht="15.75" hidden="false" customHeight="true" outlineLevel="0" collapsed="false">
      <c r="A620" s="30" t="n">
        <v>45444</v>
      </c>
      <c r="B620" s="31" t="s">
        <v>153</v>
      </c>
      <c r="C620" s="32"/>
      <c r="D620" s="32"/>
      <c r="E620" s="19" t="n">
        <f aca="false">+F620*0.03</f>
        <v>0</v>
      </c>
      <c r="F620" s="33" t="n">
        <v>0</v>
      </c>
      <c r="G620" s="62"/>
      <c r="H620" s="35" t="n">
        <v>0</v>
      </c>
      <c r="I620" s="34" t="n">
        <f aca="false">+IF(E620=0,0,E620*0.03)</f>
        <v>0</v>
      </c>
    </row>
    <row r="621" customFormat="false" ht="15.75" hidden="false" customHeight="true" outlineLevel="0" collapsed="false">
      <c r="A621" s="30" t="n">
        <v>45444</v>
      </c>
      <c r="B621" s="31" t="s">
        <v>153</v>
      </c>
      <c r="C621" s="32"/>
      <c r="D621" s="32"/>
      <c r="E621" s="19" t="n">
        <f aca="false">+F621*0.03</f>
        <v>0</v>
      </c>
      <c r="F621" s="33" t="n">
        <v>0</v>
      </c>
      <c r="G621" s="62"/>
      <c r="H621" s="35" t="n">
        <v>0</v>
      </c>
      <c r="I621" s="34" t="n">
        <f aca="false">+IF(E621=0,0,E621*0.03)</f>
        <v>0</v>
      </c>
    </row>
    <row r="622" customFormat="false" ht="15.75" hidden="false" customHeight="true" outlineLevel="0" collapsed="false">
      <c r="A622" s="30" t="n">
        <v>45444</v>
      </c>
      <c r="B622" s="31" t="s">
        <v>153</v>
      </c>
      <c r="C622" s="32"/>
      <c r="D622" s="32"/>
      <c r="E622" s="19" t="n">
        <f aca="false">+F622*0.03</f>
        <v>0</v>
      </c>
      <c r="F622" s="33" t="n">
        <v>0</v>
      </c>
      <c r="G622" s="62"/>
      <c r="H622" s="35" t="n">
        <v>0</v>
      </c>
      <c r="I622" s="34" t="n">
        <f aca="false">+IF(E622=0,0,E622*0.03)</f>
        <v>0</v>
      </c>
    </row>
    <row r="623" customFormat="false" ht="15.75" hidden="false" customHeight="true" outlineLevel="0" collapsed="false">
      <c r="A623" s="30" t="n">
        <v>45444</v>
      </c>
      <c r="B623" s="31" t="s">
        <v>153</v>
      </c>
      <c r="C623" s="32"/>
      <c r="D623" s="32"/>
      <c r="E623" s="19" t="n">
        <f aca="false">+F623*0.03</f>
        <v>0</v>
      </c>
      <c r="F623" s="33" t="n">
        <v>0</v>
      </c>
      <c r="G623" s="62"/>
      <c r="H623" s="35" t="n">
        <v>0</v>
      </c>
      <c r="I623" s="34" t="n">
        <f aca="false">+IF(E623=0,0,E623*0.03)</f>
        <v>0</v>
      </c>
    </row>
    <row r="624" customFormat="false" ht="15.75" hidden="false" customHeight="true" outlineLevel="0" collapsed="false">
      <c r="A624" s="30" t="n">
        <v>45444</v>
      </c>
      <c r="B624" s="31" t="s">
        <v>153</v>
      </c>
      <c r="C624" s="32"/>
      <c r="D624" s="32"/>
      <c r="E624" s="19" t="n">
        <f aca="false">+F624*0.03</f>
        <v>0</v>
      </c>
      <c r="F624" s="33" t="n">
        <v>0</v>
      </c>
      <c r="G624" s="62"/>
      <c r="H624" s="35" t="n">
        <v>0</v>
      </c>
      <c r="I624" s="34" t="n">
        <f aca="false">+IF(E624=0,0,E624*0.03)</f>
        <v>0</v>
      </c>
    </row>
    <row r="625" customFormat="false" ht="15.75" hidden="false" customHeight="true" outlineLevel="0" collapsed="false">
      <c r="A625" s="30" t="n">
        <v>45444</v>
      </c>
      <c r="B625" s="31" t="s">
        <v>153</v>
      </c>
      <c r="C625" s="32"/>
      <c r="D625" s="32"/>
      <c r="E625" s="19" t="n">
        <f aca="false">+F625*0.03</f>
        <v>0</v>
      </c>
      <c r="F625" s="33" t="n">
        <v>0</v>
      </c>
      <c r="G625" s="62"/>
      <c r="H625" s="35" t="n">
        <v>0</v>
      </c>
      <c r="I625" s="34" t="n">
        <f aca="false">+IF(E625=0,0,E625*0.03)</f>
        <v>0</v>
      </c>
    </row>
    <row r="626" customFormat="false" ht="15.75" hidden="false" customHeight="true" outlineLevel="0" collapsed="false">
      <c r="A626" s="30" t="n">
        <v>45444</v>
      </c>
      <c r="B626" s="31" t="s">
        <v>153</v>
      </c>
      <c r="C626" s="32"/>
      <c r="D626" s="32"/>
      <c r="E626" s="19" t="n">
        <f aca="false">+F626*0.03</f>
        <v>0</v>
      </c>
      <c r="F626" s="33" t="n">
        <v>0</v>
      </c>
      <c r="G626" s="62"/>
      <c r="H626" s="35" t="n">
        <v>0</v>
      </c>
      <c r="I626" s="34" t="n">
        <f aca="false">+IF(E626=0,0,E626*0.03)</f>
        <v>0</v>
      </c>
    </row>
    <row r="627" customFormat="false" ht="15.75" hidden="false" customHeight="true" outlineLevel="0" collapsed="false">
      <c r="A627" s="30" t="n">
        <v>45444</v>
      </c>
      <c r="B627" s="31" t="s">
        <v>153</v>
      </c>
      <c r="C627" s="32"/>
      <c r="D627" s="32"/>
      <c r="E627" s="19" t="n">
        <f aca="false">+F627*0.03</f>
        <v>0</v>
      </c>
      <c r="F627" s="33" t="n">
        <v>0</v>
      </c>
      <c r="G627" s="62"/>
      <c r="H627" s="35" t="n">
        <v>0</v>
      </c>
      <c r="I627" s="34" t="n">
        <f aca="false">+IF(E627=0,0,E627*0.03)</f>
        <v>0</v>
      </c>
    </row>
    <row r="628" customFormat="false" ht="15.75" hidden="false" customHeight="true" outlineLevel="0" collapsed="false">
      <c r="A628" s="30" t="n">
        <v>45444</v>
      </c>
      <c r="B628" s="31" t="s">
        <v>153</v>
      </c>
      <c r="C628" s="32"/>
      <c r="D628" s="32"/>
      <c r="E628" s="19" t="n">
        <f aca="false">+F628*0.03</f>
        <v>0</v>
      </c>
      <c r="F628" s="33" t="n">
        <v>0</v>
      </c>
      <c r="G628" s="62"/>
      <c r="H628" s="35" t="n">
        <v>0</v>
      </c>
      <c r="I628" s="34" t="n">
        <f aca="false">+IF(E628=0,0,E628*0.03)</f>
        <v>0</v>
      </c>
    </row>
    <row r="629" customFormat="false" ht="15.75" hidden="false" customHeight="true" outlineLevel="0" collapsed="false">
      <c r="A629" s="30" t="n">
        <v>45444</v>
      </c>
      <c r="B629" s="31" t="s">
        <v>153</v>
      </c>
      <c r="C629" s="32"/>
      <c r="D629" s="32"/>
      <c r="E629" s="19" t="n">
        <f aca="false">+F629*0.03</f>
        <v>0</v>
      </c>
      <c r="F629" s="33" t="n">
        <v>0</v>
      </c>
      <c r="G629" s="62"/>
      <c r="H629" s="35" t="n">
        <v>0</v>
      </c>
      <c r="I629" s="34" t="n">
        <f aca="false">+IF(E629=0,0,E629*0.03)</f>
        <v>0</v>
      </c>
    </row>
    <row r="630" customFormat="false" ht="15.75" hidden="false" customHeight="true" outlineLevel="0" collapsed="false">
      <c r="A630" s="30" t="n">
        <v>45444</v>
      </c>
      <c r="B630" s="31" t="s">
        <v>153</v>
      </c>
      <c r="C630" s="32"/>
      <c r="D630" s="32"/>
      <c r="E630" s="19" t="n">
        <f aca="false">+F630*0.03</f>
        <v>0</v>
      </c>
      <c r="F630" s="33" t="n">
        <v>0</v>
      </c>
      <c r="G630" s="62"/>
      <c r="H630" s="35" t="n">
        <v>0</v>
      </c>
      <c r="I630" s="34" t="n">
        <f aca="false">+IF(E630=0,0,E630*0.03)</f>
        <v>0</v>
      </c>
    </row>
    <row r="631" customFormat="false" ht="15.75" hidden="false" customHeight="true" outlineLevel="0" collapsed="false">
      <c r="A631" s="30" t="n">
        <v>45444</v>
      </c>
      <c r="B631" s="31" t="s">
        <v>153</v>
      </c>
      <c r="C631" s="32"/>
      <c r="D631" s="32"/>
      <c r="E631" s="19" t="n">
        <f aca="false">+F631*0.03</f>
        <v>0</v>
      </c>
      <c r="F631" s="33" t="n">
        <v>0</v>
      </c>
      <c r="G631" s="62"/>
      <c r="H631" s="35" t="n">
        <v>0</v>
      </c>
      <c r="I631" s="34" t="n">
        <f aca="false">+IF(E631=0,0,E631*0.03)</f>
        <v>0</v>
      </c>
    </row>
    <row r="632" customFormat="false" ht="15.75" hidden="false" customHeight="true" outlineLevel="0" collapsed="false">
      <c r="A632" s="30" t="n">
        <v>45444</v>
      </c>
      <c r="B632" s="31" t="s">
        <v>153</v>
      </c>
      <c r="C632" s="32"/>
      <c r="D632" s="32"/>
      <c r="E632" s="19" t="n">
        <f aca="false">+F632*0.03</f>
        <v>0</v>
      </c>
      <c r="F632" s="33" t="n">
        <v>0</v>
      </c>
      <c r="G632" s="62"/>
      <c r="H632" s="35" t="n">
        <v>0</v>
      </c>
      <c r="I632" s="34" t="n">
        <f aca="false">+IF(E632=0,0,E632*0.03)</f>
        <v>0</v>
      </c>
    </row>
    <row r="633" customFormat="false" ht="15.75" hidden="false" customHeight="true" outlineLevel="0" collapsed="false">
      <c r="A633" s="30" t="n">
        <v>45444</v>
      </c>
      <c r="B633" s="31" t="s">
        <v>153</v>
      </c>
      <c r="C633" s="32"/>
      <c r="D633" s="32"/>
      <c r="E633" s="19" t="n">
        <f aca="false">+F633*0.03</f>
        <v>0</v>
      </c>
      <c r="F633" s="33" t="n">
        <v>0</v>
      </c>
      <c r="G633" s="62"/>
      <c r="H633" s="35" t="n">
        <v>0</v>
      </c>
      <c r="I633" s="34" t="n">
        <f aca="false">+IF(E633=0,0,E633*0.03)</f>
        <v>0</v>
      </c>
    </row>
    <row r="634" customFormat="false" ht="15.75" hidden="false" customHeight="true" outlineLevel="0" collapsed="false">
      <c r="A634" s="30" t="n">
        <v>45444</v>
      </c>
      <c r="B634" s="31" t="s">
        <v>153</v>
      </c>
      <c r="C634" s="32"/>
      <c r="D634" s="32"/>
      <c r="E634" s="19" t="n">
        <f aca="false">+F634*0.03</f>
        <v>0</v>
      </c>
      <c r="F634" s="33" t="n">
        <v>0</v>
      </c>
      <c r="G634" s="62"/>
      <c r="H634" s="35" t="n">
        <v>0</v>
      </c>
      <c r="I634" s="34" t="n">
        <f aca="false">+IF(E634=0,0,E634*0.03)</f>
        <v>0</v>
      </c>
    </row>
    <row r="635" customFormat="false" ht="15.75" hidden="false" customHeight="true" outlineLevel="0" collapsed="false">
      <c r="A635" s="30" t="n">
        <v>45444</v>
      </c>
      <c r="B635" s="31" t="s">
        <v>153</v>
      </c>
      <c r="C635" s="32"/>
      <c r="D635" s="32"/>
      <c r="E635" s="19" t="n">
        <f aca="false">+F635*0.03</f>
        <v>0</v>
      </c>
      <c r="F635" s="33" t="n">
        <v>0</v>
      </c>
      <c r="G635" s="62"/>
      <c r="H635" s="35" t="n">
        <v>0</v>
      </c>
      <c r="I635" s="34" t="n">
        <f aca="false">+IF(E635=0,0,E635*0.03)</f>
        <v>0</v>
      </c>
    </row>
    <row r="636" customFormat="false" ht="15.75" hidden="false" customHeight="true" outlineLevel="0" collapsed="false">
      <c r="A636" s="30" t="n">
        <v>45444</v>
      </c>
      <c r="B636" s="31" t="s">
        <v>153</v>
      </c>
      <c r="C636" s="32"/>
      <c r="D636" s="32"/>
      <c r="E636" s="19" t="n">
        <f aca="false">+F636*0.03</f>
        <v>0</v>
      </c>
      <c r="F636" s="33" t="n">
        <v>0</v>
      </c>
      <c r="G636" s="62"/>
      <c r="H636" s="35" t="n">
        <v>0</v>
      </c>
      <c r="I636" s="34" t="n">
        <f aca="false">+IF(E636=0,0,E636*0.03)</f>
        <v>0</v>
      </c>
    </row>
    <row r="637" customFormat="false" ht="15.75" hidden="false" customHeight="true" outlineLevel="0" collapsed="false">
      <c r="A637" s="30" t="n">
        <v>45444</v>
      </c>
      <c r="B637" s="31" t="s">
        <v>153</v>
      </c>
      <c r="C637" s="32"/>
      <c r="D637" s="32"/>
      <c r="E637" s="19" t="n">
        <f aca="false">+F637*0.03</f>
        <v>0</v>
      </c>
      <c r="F637" s="33" t="n">
        <v>0</v>
      </c>
      <c r="G637" s="62"/>
      <c r="H637" s="35" t="n">
        <v>0</v>
      </c>
      <c r="I637" s="34" t="n">
        <f aca="false">+IF(E637=0,0,E637*0.03)</f>
        <v>0</v>
      </c>
    </row>
    <row r="638" customFormat="false" ht="15.75" hidden="false" customHeight="true" outlineLevel="0" collapsed="false">
      <c r="A638" s="30" t="n">
        <v>45444</v>
      </c>
      <c r="B638" s="31" t="s">
        <v>153</v>
      </c>
      <c r="C638" s="32"/>
      <c r="D638" s="32"/>
      <c r="E638" s="19" t="n">
        <f aca="false">+F638*0.03</f>
        <v>0</v>
      </c>
      <c r="F638" s="33" t="n">
        <v>0</v>
      </c>
      <c r="G638" s="62"/>
      <c r="H638" s="35" t="n">
        <v>0</v>
      </c>
      <c r="I638" s="34" t="n">
        <f aca="false">+IF(E638=0,0,E638*0.03)</f>
        <v>0</v>
      </c>
    </row>
    <row r="639" customFormat="false" ht="15.75" hidden="false" customHeight="true" outlineLevel="0" collapsed="false">
      <c r="A639" s="30" t="n">
        <v>45444</v>
      </c>
      <c r="B639" s="31" t="s">
        <v>153</v>
      </c>
      <c r="C639" s="32"/>
      <c r="D639" s="32"/>
      <c r="E639" s="19" t="n">
        <f aca="false">+F639*0.03</f>
        <v>0</v>
      </c>
      <c r="F639" s="33" t="n">
        <v>0</v>
      </c>
      <c r="G639" s="62"/>
      <c r="H639" s="35" t="n">
        <v>0</v>
      </c>
      <c r="I639" s="34" t="n">
        <f aca="false">+IF(E639=0,0,E639*0.03)</f>
        <v>0</v>
      </c>
    </row>
    <row r="640" customFormat="false" ht="15.75" hidden="false" customHeight="true" outlineLevel="0" collapsed="false">
      <c r="A640" s="30" t="n">
        <v>45444</v>
      </c>
      <c r="B640" s="31" t="s">
        <v>153</v>
      </c>
      <c r="C640" s="32"/>
      <c r="D640" s="32"/>
      <c r="E640" s="19" t="n">
        <f aca="false">+F640*0.03</f>
        <v>0</v>
      </c>
      <c r="F640" s="33" t="n">
        <v>0</v>
      </c>
      <c r="G640" s="62"/>
      <c r="H640" s="35" t="n">
        <v>0</v>
      </c>
      <c r="I640" s="34" t="n">
        <f aca="false">+IF(E640=0,0,E640*0.03)</f>
        <v>0</v>
      </c>
    </row>
    <row r="641" customFormat="false" ht="15.75" hidden="false" customHeight="true" outlineLevel="0" collapsed="false">
      <c r="A641" s="30" t="n">
        <v>45444</v>
      </c>
      <c r="B641" s="31" t="s">
        <v>153</v>
      </c>
      <c r="C641" s="32"/>
      <c r="D641" s="32"/>
      <c r="E641" s="19" t="n">
        <f aca="false">+F641*0.03</f>
        <v>0</v>
      </c>
      <c r="F641" s="33" t="n">
        <v>0</v>
      </c>
      <c r="G641" s="62"/>
      <c r="H641" s="35" t="n">
        <v>0</v>
      </c>
      <c r="I641" s="34" t="n">
        <f aca="false">+IF(E641=0,0,E641*0.03)</f>
        <v>0</v>
      </c>
    </row>
    <row r="642" customFormat="false" ht="15.75" hidden="false" customHeight="true" outlineLevel="0" collapsed="false">
      <c r="A642" s="30" t="n">
        <v>45444</v>
      </c>
      <c r="B642" s="31" t="s">
        <v>153</v>
      </c>
      <c r="C642" s="32"/>
      <c r="D642" s="32"/>
      <c r="E642" s="19" t="n">
        <f aca="false">+F642*0.03</f>
        <v>0</v>
      </c>
      <c r="F642" s="33" t="n">
        <v>0</v>
      </c>
      <c r="G642" s="62"/>
      <c r="H642" s="35" t="n">
        <v>0</v>
      </c>
      <c r="I642" s="34" t="n">
        <f aca="false">+IF(E642=0,0,E642*0.03)</f>
        <v>0</v>
      </c>
    </row>
    <row r="643" customFormat="false" ht="15.75" hidden="false" customHeight="true" outlineLevel="0" collapsed="false">
      <c r="A643" s="30" t="n">
        <v>45444</v>
      </c>
      <c r="B643" s="31" t="s">
        <v>153</v>
      </c>
      <c r="C643" s="32"/>
      <c r="D643" s="32"/>
      <c r="E643" s="19" t="n">
        <f aca="false">+F643*0.03</f>
        <v>0</v>
      </c>
      <c r="F643" s="33" t="n">
        <v>0</v>
      </c>
      <c r="G643" s="62"/>
      <c r="H643" s="35" t="n">
        <v>0</v>
      </c>
      <c r="I643" s="34" t="n">
        <f aca="false">+IF(E643=0,0,E643*0.03)</f>
        <v>0</v>
      </c>
    </row>
    <row r="644" customFormat="false" ht="15.75" hidden="false" customHeight="true" outlineLevel="0" collapsed="false">
      <c r="A644" s="30" t="n">
        <v>45444</v>
      </c>
      <c r="B644" s="31" t="s">
        <v>153</v>
      </c>
      <c r="C644" s="32"/>
      <c r="D644" s="32"/>
      <c r="E644" s="19" t="n">
        <f aca="false">+F644*0.03</f>
        <v>0</v>
      </c>
      <c r="F644" s="33" t="n">
        <v>0</v>
      </c>
      <c r="G644" s="62"/>
      <c r="H644" s="35" t="n">
        <v>0</v>
      </c>
      <c r="I644" s="34" t="n">
        <f aca="false">+IF(E644=0,0,E644*0.03)</f>
        <v>0</v>
      </c>
    </row>
    <row r="645" customFormat="false" ht="15.75" hidden="false" customHeight="true" outlineLevel="0" collapsed="false">
      <c r="A645" s="30" t="n">
        <v>45444</v>
      </c>
      <c r="B645" s="31" t="s">
        <v>153</v>
      </c>
      <c r="C645" s="32"/>
      <c r="D645" s="32"/>
      <c r="E645" s="19" t="n">
        <f aca="false">+F645*0.03</f>
        <v>0</v>
      </c>
      <c r="F645" s="33" t="n">
        <v>0</v>
      </c>
      <c r="G645" s="62"/>
      <c r="H645" s="35" t="n">
        <v>0</v>
      </c>
      <c r="I645" s="34" t="n">
        <f aca="false">+IF(E645=0,0,E645*0.03)</f>
        <v>0</v>
      </c>
    </row>
    <row r="646" customFormat="false" ht="15.75" hidden="false" customHeight="true" outlineLevel="0" collapsed="false">
      <c r="A646" s="30" t="n">
        <v>45444</v>
      </c>
      <c r="B646" s="31" t="s">
        <v>153</v>
      </c>
      <c r="C646" s="32"/>
      <c r="D646" s="32"/>
      <c r="E646" s="19" t="n">
        <f aca="false">+F646*0.03</f>
        <v>0</v>
      </c>
      <c r="F646" s="33" t="n">
        <v>0</v>
      </c>
      <c r="G646" s="62"/>
      <c r="H646" s="35" t="n">
        <v>0</v>
      </c>
      <c r="I646" s="34" t="n">
        <f aca="false">+IF(E646=0,0,E646*0.03)</f>
        <v>0</v>
      </c>
    </row>
    <row r="647" customFormat="false" ht="15.75" hidden="false" customHeight="true" outlineLevel="0" collapsed="false">
      <c r="A647" s="30" t="n">
        <v>45444</v>
      </c>
      <c r="B647" s="31" t="s">
        <v>153</v>
      </c>
      <c r="C647" s="32"/>
      <c r="D647" s="32"/>
      <c r="E647" s="19" t="n">
        <f aca="false">+F647*0.03</f>
        <v>0</v>
      </c>
      <c r="F647" s="33" t="n">
        <v>0</v>
      </c>
      <c r="G647" s="62"/>
      <c r="H647" s="35" t="n">
        <v>0</v>
      </c>
      <c r="I647" s="34" t="n">
        <f aca="false">+IF(E647=0,0,E647*0.03)</f>
        <v>0</v>
      </c>
    </row>
    <row r="648" customFormat="false" ht="15.75" hidden="false" customHeight="true" outlineLevel="0" collapsed="false">
      <c r="A648" s="30" t="n">
        <v>45444</v>
      </c>
      <c r="B648" s="31" t="s">
        <v>153</v>
      </c>
      <c r="C648" s="32"/>
      <c r="D648" s="32"/>
      <c r="E648" s="19" t="n">
        <f aca="false">+F648*0.03</f>
        <v>0</v>
      </c>
      <c r="F648" s="33" t="n">
        <v>0</v>
      </c>
      <c r="G648" s="62"/>
      <c r="H648" s="35" t="n">
        <v>0</v>
      </c>
      <c r="I648" s="34" t="n">
        <f aca="false">+IF(E648=0,0,E648*0.03)</f>
        <v>0</v>
      </c>
    </row>
    <row r="649" customFormat="false" ht="15.75" hidden="false" customHeight="true" outlineLevel="0" collapsed="false">
      <c r="A649" s="30" t="n">
        <v>45444</v>
      </c>
      <c r="B649" s="31" t="s">
        <v>153</v>
      </c>
      <c r="C649" s="32"/>
      <c r="D649" s="32"/>
      <c r="E649" s="19" t="n">
        <f aca="false">+F649*0.03</f>
        <v>0</v>
      </c>
      <c r="F649" s="33" t="n">
        <v>0</v>
      </c>
      <c r="G649" s="62"/>
      <c r="H649" s="35" t="n">
        <v>0</v>
      </c>
      <c r="I649" s="34" t="n">
        <f aca="false">+IF(E649=0,0,E649*0.03)</f>
        <v>0</v>
      </c>
    </row>
    <row r="650" customFormat="false" ht="15.75" hidden="false" customHeight="true" outlineLevel="0" collapsed="false">
      <c r="A650" s="30" t="n">
        <v>45444</v>
      </c>
      <c r="B650" s="31" t="s">
        <v>153</v>
      </c>
      <c r="C650" s="32"/>
      <c r="D650" s="32"/>
      <c r="E650" s="19" t="n">
        <f aca="false">+F650*0.03</f>
        <v>0</v>
      </c>
      <c r="F650" s="33" t="n">
        <v>0</v>
      </c>
      <c r="G650" s="62"/>
      <c r="H650" s="35" t="n">
        <v>0</v>
      </c>
      <c r="I650" s="34" t="n">
        <f aca="false">+IF(E650=0,0,E650*0.03)</f>
        <v>0</v>
      </c>
    </row>
    <row r="651" customFormat="false" ht="15.75" hidden="false" customHeight="true" outlineLevel="0" collapsed="false">
      <c r="A651" s="30" t="n">
        <v>45444</v>
      </c>
      <c r="B651" s="31" t="s">
        <v>153</v>
      </c>
      <c r="C651" s="32"/>
      <c r="D651" s="32"/>
      <c r="E651" s="19" t="n">
        <f aca="false">+F651*0.03</f>
        <v>0</v>
      </c>
      <c r="F651" s="33" t="n">
        <v>0</v>
      </c>
      <c r="G651" s="62"/>
      <c r="H651" s="35" t="n">
        <v>0</v>
      </c>
      <c r="I651" s="34" t="n">
        <f aca="false">+IF(E651=0,0,E651*0.03)</f>
        <v>0</v>
      </c>
    </row>
    <row r="652" customFormat="false" ht="15.75" hidden="false" customHeight="true" outlineLevel="0" collapsed="false">
      <c r="A652" s="30" t="n">
        <v>45444</v>
      </c>
      <c r="B652" s="31" t="s">
        <v>153</v>
      </c>
      <c r="C652" s="32"/>
      <c r="D652" s="32"/>
      <c r="E652" s="19" t="n">
        <f aca="false">+F652*0.03</f>
        <v>0</v>
      </c>
      <c r="F652" s="33" t="n">
        <v>0</v>
      </c>
      <c r="G652" s="62"/>
      <c r="H652" s="35" t="n">
        <v>0</v>
      </c>
      <c r="I652" s="34" t="n">
        <f aca="false">+IF(E652=0,0,E652*0.03)</f>
        <v>0</v>
      </c>
    </row>
    <row r="653" customFormat="false" ht="15.75" hidden="false" customHeight="true" outlineLevel="0" collapsed="false">
      <c r="A653" s="30" t="n">
        <v>45444</v>
      </c>
      <c r="B653" s="31" t="s">
        <v>153</v>
      </c>
      <c r="C653" s="32"/>
      <c r="D653" s="32"/>
      <c r="E653" s="19" t="n">
        <f aca="false">+F653*0.03</f>
        <v>0</v>
      </c>
      <c r="F653" s="33" t="n">
        <v>0</v>
      </c>
      <c r="G653" s="62"/>
      <c r="H653" s="35" t="n">
        <v>0</v>
      </c>
      <c r="I653" s="34" t="n">
        <f aca="false">+IF(E653=0,0,E653*0.03)</f>
        <v>0</v>
      </c>
    </row>
    <row r="654" customFormat="false" ht="15.75" hidden="false" customHeight="true" outlineLevel="0" collapsed="false">
      <c r="A654" s="30" t="n">
        <v>45444</v>
      </c>
      <c r="B654" s="31" t="s">
        <v>153</v>
      </c>
      <c r="C654" s="32"/>
      <c r="D654" s="32"/>
      <c r="E654" s="19" t="n">
        <f aca="false">+F654*0.03</f>
        <v>0</v>
      </c>
      <c r="F654" s="33" t="n">
        <v>0</v>
      </c>
      <c r="G654" s="62"/>
      <c r="H654" s="35" t="n">
        <v>0</v>
      </c>
      <c r="I654" s="34" t="n">
        <f aca="false">+IF(E654=0,0,E654*0.03)</f>
        <v>0</v>
      </c>
    </row>
    <row r="655" customFormat="false" ht="15.75" hidden="false" customHeight="true" outlineLevel="0" collapsed="false">
      <c r="A655" s="30" t="n">
        <v>45444</v>
      </c>
      <c r="B655" s="31" t="s">
        <v>153</v>
      </c>
      <c r="C655" s="32"/>
      <c r="D655" s="32"/>
      <c r="E655" s="19" t="n">
        <f aca="false">+F655*0.03</f>
        <v>0</v>
      </c>
      <c r="F655" s="33" t="n">
        <v>0</v>
      </c>
      <c r="G655" s="62"/>
      <c r="H655" s="35" t="n">
        <v>0</v>
      </c>
      <c r="I655" s="34" t="n">
        <f aca="false">+IF(E655=0,0,E655*0.03)</f>
        <v>0</v>
      </c>
    </row>
    <row r="656" customFormat="false" ht="15.75" hidden="false" customHeight="true" outlineLevel="0" collapsed="false">
      <c r="A656" s="30" t="n">
        <v>45444</v>
      </c>
      <c r="B656" s="31" t="s">
        <v>153</v>
      </c>
      <c r="C656" s="32"/>
      <c r="D656" s="32"/>
      <c r="E656" s="19" t="n">
        <f aca="false">+F656*0.03</f>
        <v>0</v>
      </c>
      <c r="F656" s="33" t="n">
        <v>0</v>
      </c>
      <c r="G656" s="62"/>
      <c r="H656" s="35" t="n">
        <v>0</v>
      </c>
      <c r="I656" s="34" t="n">
        <f aca="false">+IF(E656=0,0,E656*0.03)</f>
        <v>0</v>
      </c>
    </row>
    <row r="657" customFormat="false" ht="15.75" hidden="false" customHeight="true" outlineLevel="0" collapsed="false">
      <c r="A657" s="30" t="n">
        <v>45444</v>
      </c>
      <c r="B657" s="31" t="s">
        <v>153</v>
      </c>
      <c r="C657" s="32"/>
      <c r="D657" s="32"/>
      <c r="E657" s="19" t="n">
        <f aca="false">+F657*0.03</f>
        <v>0</v>
      </c>
      <c r="F657" s="33" t="n">
        <v>0</v>
      </c>
      <c r="G657" s="62"/>
      <c r="H657" s="35" t="n">
        <v>0</v>
      </c>
      <c r="I657" s="34" t="n">
        <f aca="false">+IF(E657=0,0,E657*0.03)</f>
        <v>0</v>
      </c>
    </row>
    <row r="658" customFormat="false" ht="15.75" hidden="false" customHeight="true" outlineLevel="0" collapsed="false">
      <c r="A658" s="30" t="n">
        <v>45444</v>
      </c>
      <c r="B658" s="31" t="s">
        <v>153</v>
      </c>
      <c r="C658" s="32"/>
      <c r="D658" s="32"/>
      <c r="E658" s="19" t="n">
        <f aca="false">+F658*0.03</f>
        <v>0</v>
      </c>
      <c r="F658" s="33" t="n">
        <v>0</v>
      </c>
      <c r="G658" s="62"/>
      <c r="H658" s="35" t="n">
        <v>0</v>
      </c>
      <c r="I658" s="34" t="n">
        <f aca="false">+IF(E658=0,0,E658*0.03)</f>
        <v>0</v>
      </c>
    </row>
    <row r="659" customFormat="false" ht="15.75" hidden="false" customHeight="true" outlineLevel="0" collapsed="false">
      <c r="A659" s="30" t="n">
        <v>45444</v>
      </c>
      <c r="B659" s="31" t="s">
        <v>153</v>
      </c>
      <c r="C659" s="32"/>
      <c r="D659" s="32"/>
      <c r="E659" s="19" t="n">
        <f aca="false">+F659*0.03</f>
        <v>0</v>
      </c>
      <c r="F659" s="33" t="n">
        <v>0</v>
      </c>
      <c r="G659" s="62"/>
      <c r="H659" s="35" t="n">
        <v>0</v>
      </c>
      <c r="I659" s="34" t="n">
        <f aca="false">+IF(E659=0,0,E659*0.03)</f>
        <v>0</v>
      </c>
    </row>
    <row r="660" customFormat="false" ht="15.75" hidden="false" customHeight="true" outlineLevel="0" collapsed="false">
      <c r="A660" s="30" t="n">
        <v>45444</v>
      </c>
      <c r="B660" s="31" t="s">
        <v>153</v>
      </c>
      <c r="C660" s="32"/>
      <c r="D660" s="32"/>
      <c r="E660" s="19" t="n">
        <f aca="false">+F660*0.03</f>
        <v>0</v>
      </c>
      <c r="F660" s="33" t="n">
        <v>0</v>
      </c>
      <c r="G660" s="62"/>
      <c r="H660" s="35" t="n">
        <v>0</v>
      </c>
      <c r="I660" s="34" t="n">
        <f aca="false">+IF(E660=0,0,E660*0.03)</f>
        <v>0</v>
      </c>
    </row>
    <row r="661" customFormat="false" ht="15.75" hidden="false" customHeight="true" outlineLevel="0" collapsed="false">
      <c r="A661" s="30" t="n">
        <v>45444</v>
      </c>
      <c r="B661" s="31" t="s">
        <v>153</v>
      </c>
      <c r="C661" s="32"/>
      <c r="D661" s="32"/>
      <c r="E661" s="19" t="n">
        <f aca="false">+F661*0.03</f>
        <v>0</v>
      </c>
      <c r="F661" s="33" t="n">
        <v>0</v>
      </c>
      <c r="G661" s="62"/>
      <c r="H661" s="35" t="n">
        <v>0</v>
      </c>
      <c r="I661" s="34" t="n">
        <f aca="false">+IF(E661=0,0,E661*0.03)</f>
        <v>0</v>
      </c>
    </row>
    <row r="662" customFormat="false" ht="15.75" hidden="false" customHeight="true" outlineLevel="0" collapsed="false">
      <c r="A662" s="30" t="n">
        <v>45444</v>
      </c>
      <c r="B662" s="31" t="s">
        <v>153</v>
      </c>
      <c r="C662" s="32"/>
      <c r="D662" s="32"/>
      <c r="E662" s="19" t="n">
        <f aca="false">+F662*0.03</f>
        <v>0</v>
      </c>
      <c r="F662" s="33" t="n">
        <v>0</v>
      </c>
      <c r="G662" s="62"/>
      <c r="H662" s="35" t="n">
        <v>0</v>
      </c>
      <c r="I662" s="34" t="n">
        <f aca="false">+IF(E662=0,0,E662*0.03)</f>
        <v>0</v>
      </c>
    </row>
    <row r="663" customFormat="false" ht="15.75" hidden="false" customHeight="true" outlineLevel="0" collapsed="false">
      <c r="A663" s="30" t="n">
        <v>45444</v>
      </c>
      <c r="B663" s="31" t="s">
        <v>153</v>
      </c>
      <c r="C663" s="32"/>
      <c r="D663" s="32"/>
      <c r="E663" s="19" t="n">
        <f aca="false">+F663*0.03</f>
        <v>0</v>
      </c>
      <c r="F663" s="33" t="n">
        <v>0</v>
      </c>
      <c r="G663" s="62"/>
      <c r="H663" s="35" t="n">
        <v>0</v>
      </c>
      <c r="I663" s="34" t="n">
        <f aca="false">+IF(E663=0,0,E663*0.03)</f>
        <v>0</v>
      </c>
    </row>
    <row r="664" customFormat="false" ht="15.75" hidden="false" customHeight="true" outlineLevel="0" collapsed="false">
      <c r="A664" s="30" t="n">
        <v>45444</v>
      </c>
      <c r="B664" s="31" t="s">
        <v>153</v>
      </c>
      <c r="C664" s="32"/>
      <c r="D664" s="32"/>
      <c r="E664" s="19" t="n">
        <f aca="false">+F664*0.03</f>
        <v>0</v>
      </c>
      <c r="F664" s="33" t="n">
        <v>0</v>
      </c>
      <c r="G664" s="62"/>
      <c r="H664" s="35" t="n">
        <v>0</v>
      </c>
      <c r="I664" s="34" t="n">
        <f aca="false">+IF(E664=0,0,E664*0.03)</f>
        <v>0</v>
      </c>
    </row>
    <row r="665" customFormat="false" ht="15.75" hidden="false" customHeight="true" outlineLevel="0" collapsed="false">
      <c r="A665" s="30" t="n">
        <v>45444</v>
      </c>
      <c r="B665" s="31" t="s">
        <v>153</v>
      </c>
      <c r="C665" s="32"/>
      <c r="D665" s="32"/>
      <c r="E665" s="19" t="n">
        <f aca="false">+F665*0.03</f>
        <v>0</v>
      </c>
      <c r="F665" s="33" t="n">
        <v>0</v>
      </c>
      <c r="G665" s="62"/>
      <c r="H665" s="35" t="n">
        <v>0</v>
      </c>
      <c r="I665" s="34" t="n">
        <f aca="false">+IF(E665=0,0,E665*0.03)</f>
        <v>0</v>
      </c>
    </row>
    <row r="666" customFormat="false" ht="15.75" hidden="false" customHeight="true" outlineLevel="0" collapsed="false">
      <c r="A666" s="30" t="n">
        <v>45444</v>
      </c>
      <c r="B666" s="31" t="s">
        <v>153</v>
      </c>
      <c r="C666" s="32"/>
      <c r="D666" s="32"/>
      <c r="E666" s="19" t="n">
        <f aca="false">+F666*0.03</f>
        <v>0</v>
      </c>
      <c r="F666" s="33" t="n">
        <v>0</v>
      </c>
      <c r="G666" s="62"/>
      <c r="H666" s="35" t="n">
        <v>0</v>
      </c>
      <c r="I666" s="34" t="n">
        <f aca="false">+IF(E666=0,0,E666*0.03)</f>
        <v>0</v>
      </c>
    </row>
    <row r="667" customFormat="false" ht="15.75" hidden="false" customHeight="true" outlineLevel="0" collapsed="false">
      <c r="A667" s="30" t="n">
        <v>45444</v>
      </c>
      <c r="B667" s="31" t="s">
        <v>153</v>
      </c>
      <c r="C667" s="32"/>
      <c r="D667" s="32"/>
      <c r="E667" s="19" t="n">
        <f aca="false">+F667*0.03</f>
        <v>0</v>
      </c>
      <c r="F667" s="33" t="n">
        <v>0</v>
      </c>
      <c r="G667" s="62"/>
      <c r="H667" s="35" t="n">
        <v>0</v>
      </c>
      <c r="I667" s="34" t="n">
        <f aca="false">+IF(E667=0,0,E667*0.03)</f>
        <v>0</v>
      </c>
    </row>
    <row r="668" customFormat="false" ht="15.75" hidden="false" customHeight="true" outlineLevel="0" collapsed="false">
      <c r="A668" s="30" t="n">
        <v>45444</v>
      </c>
      <c r="B668" s="31" t="s">
        <v>153</v>
      </c>
      <c r="C668" s="32"/>
      <c r="D668" s="32"/>
      <c r="E668" s="19" t="n">
        <f aca="false">+F668*0.03</f>
        <v>0</v>
      </c>
      <c r="F668" s="33" t="n">
        <v>0</v>
      </c>
      <c r="G668" s="62"/>
      <c r="H668" s="35" t="n">
        <v>0</v>
      </c>
      <c r="I668" s="34" t="n">
        <f aca="false">+IF(E668=0,0,E668*0.03)</f>
        <v>0</v>
      </c>
    </row>
    <row r="669" customFormat="false" ht="15.75" hidden="false" customHeight="true" outlineLevel="0" collapsed="false">
      <c r="A669" s="30" t="n">
        <v>45444</v>
      </c>
      <c r="B669" s="31" t="s">
        <v>153</v>
      </c>
      <c r="C669" s="32"/>
      <c r="D669" s="32"/>
      <c r="E669" s="19" t="n">
        <f aca="false">+F669*0.03</f>
        <v>0</v>
      </c>
      <c r="F669" s="33" t="n">
        <v>0</v>
      </c>
      <c r="G669" s="62"/>
      <c r="H669" s="35" t="n">
        <v>0</v>
      </c>
      <c r="I669" s="34" t="n">
        <f aca="false">+IF(E669=0,0,E669*0.03)</f>
        <v>0</v>
      </c>
    </row>
    <row r="670" customFormat="false" ht="15.75" hidden="false" customHeight="true" outlineLevel="0" collapsed="false">
      <c r="A670" s="30" t="n">
        <v>45444</v>
      </c>
      <c r="B670" s="31" t="s">
        <v>153</v>
      </c>
      <c r="C670" s="32"/>
      <c r="D670" s="32"/>
      <c r="E670" s="19" t="n">
        <f aca="false">+F670*0.03</f>
        <v>0</v>
      </c>
      <c r="F670" s="33" t="n">
        <v>0</v>
      </c>
      <c r="G670" s="62"/>
      <c r="H670" s="35" t="n">
        <v>0</v>
      </c>
      <c r="I670" s="34" t="n">
        <f aca="false">+IF(E670=0,0,E670*0.03)</f>
        <v>0</v>
      </c>
    </row>
    <row r="671" customFormat="false" ht="15.75" hidden="false" customHeight="true" outlineLevel="0" collapsed="false">
      <c r="A671" s="30" t="n">
        <v>45444</v>
      </c>
      <c r="B671" s="31" t="s">
        <v>153</v>
      </c>
      <c r="C671" s="32"/>
      <c r="D671" s="32"/>
      <c r="E671" s="19" t="n">
        <f aca="false">+F671*0.03</f>
        <v>0</v>
      </c>
      <c r="F671" s="33" t="n">
        <v>0</v>
      </c>
      <c r="G671" s="62"/>
      <c r="H671" s="35" t="n">
        <v>0</v>
      </c>
      <c r="I671" s="34" t="n">
        <f aca="false">+IF(E671=0,0,E671*0.03)</f>
        <v>0</v>
      </c>
    </row>
    <row r="672" customFormat="false" ht="15.75" hidden="false" customHeight="true" outlineLevel="0" collapsed="false">
      <c r="A672" s="30" t="n">
        <v>45444</v>
      </c>
      <c r="B672" s="31" t="s">
        <v>153</v>
      </c>
      <c r="C672" s="32"/>
      <c r="D672" s="32"/>
      <c r="E672" s="19" t="n">
        <f aca="false">+F672*0.03</f>
        <v>0</v>
      </c>
      <c r="F672" s="33" t="n">
        <v>0</v>
      </c>
      <c r="G672" s="62"/>
      <c r="H672" s="35" t="n">
        <v>0</v>
      </c>
      <c r="I672" s="34" t="n">
        <f aca="false">+IF(E672=0,0,E672*0.03)</f>
        <v>0</v>
      </c>
    </row>
    <row r="673" customFormat="false" ht="15.75" hidden="false" customHeight="true" outlineLevel="0" collapsed="false">
      <c r="A673" s="30" t="n">
        <v>45444</v>
      </c>
      <c r="B673" s="31" t="s">
        <v>153</v>
      </c>
      <c r="C673" s="32"/>
      <c r="D673" s="32"/>
      <c r="E673" s="19" t="n">
        <f aca="false">+F673*0.03</f>
        <v>0</v>
      </c>
      <c r="F673" s="33" t="n">
        <v>0</v>
      </c>
      <c r="G673" s="62"/>
      <c r="H673" s="35" t="n">
        <v>0</v>
      </c>
      <c r="I673" s="34" t="n">
        <f aca="false">+IF(E673=0,0,E673*0.03)</f>
        <v>0</v>
      </c>
    </row>
    <row r="674" customFormat="false" ht="15.75" hidden="false" customHeight="true" outlineLevel="0" collapsed="false">
      <c r="A674" s="30" t="n">
        <v>45444</v>
      </c>
      <c r="B674" s="31" t="s">
        <v>153</v>
      </c>
      <c r="C674" s="32"/>
      <c r="D674" s="32"/>
      <c r="E674" s="19" t="n">
        <f aca="false">+F674*0.03</f>
        <v>0</v>
      </c>
      <c r="F674" s="33" t="n">
        <v>0</v>
      </c>
      <c r="G674" s="62"/>
      <c r="H674" s="35" t="n">
        <v>0</v>
      </c>
      <c r="I674" s="34" t="n">
        <f aca="false">+IF(E674=0,0,E674*0.03)</f>
        <v>0</v>
      </c>
    </row>
    <row r="675" customFormat="false" ht="15.75" hidden="false" customHeight="true" outlineLevel="0" collapsed="false">
      <c r="A675" s="30" t="n">
        <v>45444</v>
      </c>
      <c r="B675" s="31" t="s">
        <v>153</v>
      </c>
      <c r="C675" s="32"/>
      <c r="D675" s="32"/>
      <c r="E675" s="19" t="n">
        <f aca="false">+F675*0.03</f>
        <v>0</v>
      </c>
      <c r="F675" s="33" t="n">
        <v>0</v>
      </c>
      <c r="G675" s="62"/>
      <c r="H675" s="35" t="n">
        <v>0</v>
      </c>
      <c r="I675" s="34" t="n">
        <f aca="false">+IF(E675=0,0,E675*0.03)</f>
        <v>0</v>
      </c>
    </row>
    <row r="676" customFormat="false" ht="15.75" hidden="false" customHeight="true" outlineLevel="0" collapsed="false">
      <c r="A676" s="30" t="n">
        <v>45444</v>
      </c>
      <c r="B676" s="31" t="s">
        <v>153</v>
      </c>
      <c r="C676" s="32"/>
      <c r="D676" s="32"/>
      <c r="E676" s="19" t="n">
        <f aca="false">+F676*0.03</f>
        <v>0</v>
      </c>
      <c r="F676" s="33" t="n">
        <v>0</v>
      </c>
      <c r="G676" s="62"/>
      <c r="H676" s="35" t="n">
        <v>0</v>
      </c>
      <c r="I676" s="34" t="n">
        <f aca="false">+IF(E676=0,0,E676*0.03)</f>
        <v>0</v>
      </c>
    </row>
    <row r="677" customFormat="false" ht="15.75" hidden="false" customHeight="true" outlineLevel="0" collapsed="false">
      <c r="A677" s="30" t="n">
        <v>45444</v>
      </c>
      <c r="B677" s="31" t="s">
        <v>153</v>
      </c>
      <c r="C677" s="32"/>
      <c r="D677" s="32"/>
      <c r="E677" s="19" t="n">
        <f aca="false">+F677*0.03</f>
        <v>0</v>
      </c>
      <c r="F677" s="33" t="n">
        <v>0</v>
      </c>
      <c r="G677" s="62"/>
      <c r="H677" s="35" t="n">
        <v>0</v>
      </c>
      <c r="I677" s="34" t="n">
        <f aca="false">+IF(E677=0,0,E677*0.03)</f>
        <v>0</v>
      </c>
    </row>
    <row r="678" customFormat="false" ht="15.75" hidden="false" customHeight="true" outlineLevel="0" collapsed="false">
      <c r="A678" s="30" t="n">
        <v>45444</v>
      </c>
      <c r="B678" s="31" t="s">
        <v>153</v>
      </c>
      <c r="C678" s="32"/>
      <c r="D678" s="32"/>
      <c r="E678" s="19" t="n">
        <f aca="false">+F678*0.03</f>
        <v>0</v>
      </c>
      <c r="F678" s="33" t="n">
        <v>0</v>
      </c>
      <c r="G678" s="62"/>
      <c r="H678" s="35" t="n">
        <v>0</v>
      </c>
      <c r="I678" s="34" t="n">
        <f aca="false">+IF(E678=0,0,E678*0.03)</f>
        <v>0</v>
      </c>
    </row>
    <row r="679" customFormat="false" ht="15.75" hidden="false" customHeight="true" outlineLevel="0" collapsed="false">
      <c r="A679" s="30" t="n">
        <v>45444</v>
      </c>
      <c r="B679" s="31" t="s">
        <v>153</v>
      </c>
      <c r="C679" s="32"/>
      <c r="D679" s="32"/>
      <c r="E679" s="19" t="n">
        <f aca="false">+F679*0.03</f>
        <v>0</v>
      </c>
      <c r="F679" s="33" t="n">
        <v>0</v>
      </c>
      <c r="G679" s="62"/>
      <c r="H679" s="35" t="n">
        <v>0</v>
      </c>
      <c r="I679" s="34" t="n">
        <f aca="false">+IF(E679=0,0,E679*0.03)</f>
        <v>0</v>
      </c>
    </row>
    <row r="680" customFormat="false" ht="15.75" hidden="false" customHeight="true" outlineLevel="0" collapsed="false">
      <c r="A680" s="30" t="n">
        <v>45444</v>
      </c>
      <c r="B680" s="31" t="s">
        <v>153</v>
      </c>
      <c r="C680" s="32"/>
      <c r="D680" s="32"/>
      <c r="E680" s="19" t="n">
        <f aca="false">+F680*0.03</f>
        <v>0</v>
      </c>
      <c r="F680" s="33" t="n">
        <v>0</v>
      </c>
      <c r="G680" s="62"/>
      <c r="H680" s="35" t="n">
        <v>0</v>
      </c>
      <c r="I680" s="34" t="n">
        <f aca="false">+IF(E680=0,0,E680*0.03)</f>
        <v>0</v>
      </c>
    </row>
    <row r="681" customFormat="false" ht="15.75" hidden="false" customHeight="true" outlineLevel="0" collapsed="false">
      <c r="A681" s="30" t="n">
        <v>45444</v>
      </c>
      <c r="B681" s="31" t="s">
        <v>153</v>
      </c>
      <c r="C681" s="32"/>
      <c r="D681" s="32"/>
      <c r="E681" s="19" t="n">
        <f aca="false">+F681*0.03</f>
        <v>0</v>
      </c>
      <c r="F681" s="33" t="n">
        <v>0</v>
      </c>
      <c r="G681" s="62"/>
      <c r="H681" s="35" t="n">
        <v>0</v>
      </c>
      <c r="I681" s="34" t="n">
        <f aca="false">+IF(E681=0,0,E681*0.03)</f>
        <v>0</v>
      </c>
    </row>
    <row r="682" customFormat="false" ht="15.75" hidden="false" customHeight="true" outlineLevel="0" collapsed="false">
      <c r="A682" s="30" t="n">
        <v>45444</v>
      </c>
      <c r="B682" s="31" t="s">
        <v>153</v>
      </c>
      <c r="C682" s="32"/>
      <c r="D682" s="32"/>
      <c r="E682" s="19" t="n">
        <f aca="false">+F682*0.03</f>
        <v>0</v>
      </c>
      <c r="F682" s="33" t="n">
        <v>0</v>
      </c>
      <c r="G682" s="62"/>
      <c r="H682" s="35" t="n">
        <v>0</v>
      </c>
      <c r="I682" s="34" t="n">
        <f aca="false">+IF(E682=0,0,E682*0.03)</f>
        <v>0</v>
      </c>
    </row>
    <row r="683" customFormat="false" ht="15.75" hidden="false" customHeight="true" outlineLevel="0" collapsed="false">
      <c r="A683" s="30" t="n">
        <v>45444</v>
      </c>
      <c r="B683" s="31" t="s">
        <v>153</v>
      </c>
      <c r="C683" s="32"/>
      <c r="D683" s="32"/>
      <c r="E683" s="19" t="n">
        <f aca="false">+F683*0.03</f>
        <v>0</v>
      </c>
      <c r="F683" s="33" t="n">
        <v>0</v>
      </c>
      <c r="G683" s="62"/>
      <c r="H683" s="35" t="n">
        <v>0</v>
      </c>
      <c r="I683" s="34" t="n">
        <f aca="false">+IF(E683=0,0,E683*0.03)</f>
        <v>0</v>
      </c>
    </row>
    <row r="684" customFormat="false" ht="15.75" hidden="false" customHeight="true" outlineLevel="0" collapsed="false">
      <c r="A684" s="30" t="n">
        <v>45444</v>
      </c>
      <c r="B684" s="31" t="s">
        <v>153</v>
      </c>
      <c r="C684" s="32"/>
      <c r="D684" s="32"/>
      <c r="E684" s="19" t="n">
        <f aca="false">+F684*0.03</f>
        <v>0</v>
      </c>
      <c r="F684" s="33" t="n">
        <v>0</v>
      </c>
      <c r="G684" s="62"/>
      <c r="H684" s="35" t="n">
        <v>0</v>
      </c>
      <c r="I684" s="34" t="n">
        <f aca="false">+IF(E684=0,0,E684*0.03)</f>
        <v>0</v>
      </c>
    </row>
    <row r="685" customFormat="false" ht="15.75" hidden="false" customHeight="true" outlineLevel="0" collapsed="false">
      <c r="A685" s="30" t="n">
        <v>45444</v>
      </c>
      <c r="B685" s="31" t="s">
        <v>153</v>
      </c>
      <c r="C685" s="32"/>
      <c r="D685" s="32"/>
      <c r="E685" s="19" t="n">
        <f aca="false">+F685*0.03</f>
        <v>0</v>
      </c>
      <c r="F685" s="33" t="n">
        <v>0</v>
      </c>
      <c r="G685" s="62"/>
      <c r="H685" s="35" t="n">
        <v>0</v>
      </c>
      <c r="I685" s="34" t="n">
        <f aca="false">+IF(E685=0,0,E685*0.03)</f>
        <v>0</v>
      </c>
    </row>
    <row r="686" customFormat="false" ht="15.75" hidden="false" customHeight="true" outlineLevel="0" collapsed="false">
      <c r="A686" s="30" t="n">
        <v>45444</v>
      </c>
      <c r="B686" s="31" t="s">
        <v>153</v>
      </c>
      <c r="C686" s="32"/>
      <c r="D686" s="32"/>
      <c r="E686" s="19" t="n">
        <f aca="false">+F686*0.03</f>
        <v>0</v>
      </c>
      <c r="F686" s="33" t="n">
        <v>0</v>
      </c>
      <c r="G686" s="62"/>
      <c r="H686" s="35" t="n">
        <v>0</v>
      </c>
      <c r="I686" s="34" t="n">
        <f aca="false">+IF(E686=0,0,E686*0.03)</f>
        <v>0</v>
      </c>
    </row>
    <row r="687" customFormat="false" ht="15.75" hidden="false" customHeight="true" outlineLevel="0" collapsed="false">
      <c r="A687" s="30" t="n">
        <v>45444</v>
      </c>
      <c r="B687" s="31" t="s">
        <v>153</v>
      </c>
      <c r="C687" s="32"/>
      <c r="D687" s="32"/>
      <c r="E687" s="19" t="n">
        <f aca="false">+F687*0.03</f>
        <v>0</v>
      </c>
      <c r="F687" s="33" t="n">
        <v>0</v>
      </c>
      <c r="G687" s="62"/>
      <c r="H687" s="35" t="n">
        <v>0</v>
      </c>
      <c r="I687" s="34" t="n">
        <f aca="false">+IF(E687=0,0,E687*0.03)</f>
        <v>0</v>
      </c>
    </row>
    <row r="688" customFormat="false" ht="15.75" hidden="false" customHeight="true" outlineLevel="0" collapsed="false">
      <c r="A688" s="30" t="n">
        <v>45444</v>
      </c>
      <c r="B688" s="31" t="s">
        <v>153</v>
      </c>
      <c r="C688" s="32"/>
      <c r="D688" s="32"/>
      <c r="E688" s="19" t="n">
        <f aca="false">+F688*0.03</f>
        <v>0</v>
      </c>
      <c r="F688" s="33" t="n">
        <v>0</v>
      </c>
      <c r="G688" s="62"/>
      <c r="H688" s="35" t="n">
        <v>0</v>
      </c>
      <c r="I688" s="34" t="n">
        <f aca="false">+IF(E688=0,0,E688*0.03)</f>
        <v>0</v>
      </c>
    </row>
    <row r="689" customFormat="false" ht="15.75" hidden="false" customHeight="true" outlineLevel="0" collapsed="false">
      <c r="A689" s="30" t="n">
        <v>45444</v>
      </c>
      <c r="B689" s="31" t="s">
        <v>153</v>
      </c>
      <c r="C689" s="32"/>
      <c r="D689" s="32"/>
      <c r="E689" s="19" t="n">
        <f aca="false">+F689*0.03</f>
        <v>0</v>
      </c>
      <c r="F689" s="33" t="n">
        <v>0</v>
      </c>
      <c r="G689" s="62"/>
      <c r="H689" s="35" t="n">
        <v>0</v>
      </c>
      <c r="I689" s="34" t="n">
        <f aca="false">+IF(E689=0,0,E689*0.03)</f>
        <v>0</v>
      </c>
    </row>
    <row r="690" customFormat="false" ht="15.75" hidden="false" customHeight="true" outlineLevel="0" collapsed="false">
      <c r="A690" s="30" t="n">
        <v>45444</v>
      </c>
      <c r="B690" s="31" t="s">
        <v>153</v>
      </c>
      <c r="C690" s="32"/>
      <c r="D690" s="32"/>
      <c r="E690" s="19" t="n">
        <f aca="false">+F690*0.03</f>
        <v>0</v>
      </c>
      <c r="F690" s="33" t="n">
        <v>0</v>
      </c>
      <c r="G690" s="62"/>
      <c r="H690" s="35" t="n">
        <v>0</v>
      </c>
      <c r="I690" s="34" t="n">
        <f aca="false">+IF(E690=0,0,E690*0.03)</f>
        <v>0</v>
      </c>
    </row>
    <row r="691" customFormat="false" ht="15.75" hidden="false" customHeight="true" outlineLevel="0" collapsed="false">
      <c r="A691" s="30" t="n">
        <v>45444</v>
      </c>
      <c r="B691" s="31" t="s">
        <v>153</v>
      </c>
      <c r="C691" s="32"/>
      <c r="D691" s="32"/>
      <c r="E691" s="19" t="n">
        <f aca="false">+F691*0.03</f>
        <v>0</v>
      </c>
      <c r="F691" s="33" t="n">
        <v>0</v>
      </c>
      <c r="G691" s="62"/>
      <c r="H691" s="35" t="n">
        <v>0</v>
      </c>
      <c r="I691" s="34" t="n">
        <f aca="false">+IF(E691=0,0,E691*0.03)</f>
        <v>0</v>
      </c>
    </row>
    <row r="692" customFormat="false" ht="15.75" hidden="false" customHeight="true" outlineLevel="0" collapsed="false">
      <c r="A692" s="30" t="n">
        <v>45444</v>
      </c>
      <c r="B692" s="31" t="s">
        <v>153</v>
      </c>
      <c r="C692" s="32"/>
      <c r="D692" s="32"/>
      <c r="E692" s="19" t="n">
        <f aca="false">+F692*0.03</f>
        <v>0</v>
      </c>
      <c r="F692" s="33" t="n">
        <v>0</v>
      </c>
      <c r="G692" s="62"/>
      <c r="H692" s="35" t="n">
        <v>0</v>
      </c>
      <c r="I692" s="34" t="n">
        <f aca="false">+IF(E692=0,0,E692*0.03)</f>
        <v>0</v>
      </c>
    </row>
    <row r="693" customFormat="false" ht="15.75" hidden="false" customHeight="true" outlineLevel="0" collapsed="false">
      <c r="A693" s="30" t="n">
        <v>45444</v>
      </c>
      <c r="B693" s="31" t="s">
        <v>153</v>
      </c>
      <c r="C693" s="32"/>
      <c r="D693" s="32"/>
      <c r="E693" s="19" t="n">
        <f aca="false">+F693*0.03</f>
        <v>0</v>
      </c>
      <c r="F693" s="33" t="n">
        <v>0</v>
      </c>
      <c r="G693" s="62"/>
      <c r="H693" s="35" t="n">
        <v>0</v>
      </c>
      <c r="I693" s="34" t="n">
        <f aca="false">+IF(E693=0,0,E693*0.03)</f>
        <v>0</v>
      </c>
    </row>
    <row r="694" customFormat="false" ht="15.75" hidden="false" customHeight="true" outlineLevel="0" collapsed="false">
      <c r="A694" s="30" t="n">
        <v>45444</v>
      </c>
      <c r="B694" s="31" t="s">
        <v>153</v>
      </c>
      <c r="C694" s="32"/>
      <c r="D694" s="32"/>
      <c r="E694" s="19" t="n">
        <f aca="false">+F694*0.03</f>
        <v>0</v>
      </c>
      <c r="F694" s="33" t="n">
        <v>0</v>
      </c>
      <c r="G694" s="62"/>
      <c r="H694" s="35" t="n">
        <v>0</v>
      </c>
      <c r="I694" s="34" t="n">
        <f aca="false">+IF(E694=0,0,E694*0.03)</f>
        <v>0</v>
      </c>
    </row>
    <row r="695" customFormat="false" ht="15.75" hidden="false" customHeight="true" outlineLevel="0" collapsed="false">
      <c r="A695" s="30" t="n">
        <v>45444</v>
      </c>
      <c r="B695" s="31" t="s">
        <v>153</v>
      </c>
      <c r="C695" s="32"/>
      <c r="D695" s="32"/>
      <c r="E695" s="19" t="n">
        <f aca="false">+F695*0.03</f>
        <v>0</v>
      </c>
      <c r="F695" s="33" t="n">
        <v>0</v>
      </c>
      <c r="G695" s="62"/>
      <c r="H695" s="35" t="n">
        <v>0</v>
      </c>
      <c r="I695" s="34" t="n">
        <f aca="false">+IF(E695=0,0,E695*0.03)</f>
        <v>0</v>
      </c>
    </row>
    <row r="696" customFormat="false" ht="15.75" hidden="false" customHeight="true" outlineLevel="0" collapsed="false">
      <c r="A696" s="30" t="n">
        <v>45444</v>
      </c>
      <c r="B696" s="31" t="s">
        <v>153</v>
      </c>
      <c r="C696" s="32"/>
      <c r="D696" s="32"/>
      <c r="E696" s="19" t="n">
        <f aca="false">+F696*0.03</f>
        <v>0</v>
      </c>
      <c r="F696" s="33" t="n">
        <v>0</v>
      </c>
      <c r="G696" s="62"/>
      <c r="H696" s="35" t="n">
        <v>0</v>
      </c>
      <c r="I696" s="34" t="n">
        <f aca="false">+IF(E696=0,0,E696*0.03)</f>
        <v>0</v>
      </c>
    </row>
    <row r="697" customFormat="false" ht="15.75" hidden="false" customHeight="true" outlineLevel="0" collapsed="false">
      <c r="A697" s="30" t="n">
        <v>45444</v>
      </c>
      <c r="B697" s="31" t="s">
        <v>153</v>
      </c>
      <c r="C697" s="32"/>
      <c r="D697" s="32"/>
      <c r="E697" s="19" t="n">
        <f aca="false">+F697*0.03</f>
        <v>0</v>
      </c>
      <c r="F697" s="33" t="n">
        <v>0</v>
      </c>
      <c r="G697" s="62"/>
      <c r="H697" s="35" t="n">
        <v>0</v>
      </c>
      <c r="I697" s="34" t="n">
        <f aca="false">+IF(E697=0,0,E697*0.03)</f>
        <v>0</v>
      </c>
    </row>
    <row r="698" customFormat="false" ht="15.75" hidden="false" customHeight="true" outlineLevel="0" collapsed="false">
      <c r="A698" s="30" t="n">
        <v>45444</v>
      </c>
      <c r="B698" s="31" t="s">
        <v>153</v>
      </c>
      <c r="C698" s="32"/>
      <c r="D698" s="32"/>
      <c r="E698" s="19" t="n">
        <f aca="false">+F698*0.03</f>
        <v>0</v>
      </c>
      <c r="F698" s="33" t="n">
        <v>0</v>
      </c>
      <c r="G698" s="62"/>
      <c r="H698" s="35" t="n">
        <v>0</v>
      </c>
      <c r="I698" s="34" t="n">
        <f aca="false">+IF(E698=0,0,E698*0.03)</f>
        <v>0</v>
      </c>
    </row>
    <row r="699" customFormat="false" ht="15.75" hidden="false" customHeight="true" outlineLevel="0" collapsed="false">
      <c r="A699" s="30" t="n">
        <v>45444</v>
      </c>
      <c r="B699" s="31" t="s">
        <v>153</v>
      </c>
      <c r="C699" s="32"/>
      <c r="D699" s="32"/>
      <c r="E699" s="19" t="n">
        <f aca="false">+F699*0.03</f>
        <v>0</v>
      </c>
      <c r="F699" s="33" t="n">
        <v>0</v>
      </c>
      <c r="G699" s="62"/>
      <c r="H699" s="35" t="n">
        <v>0</v>
      </c>
      <c r="I699" s="34" t="n">
        <f aca="false">+IF(E699=0,0,E699*0.03)</f>
        <v>0</v>
      </c>
    </row>
    <row r="700" customFormat="false" ht="15.75" hidden="false" customHeight="true" outlineLevel="0" collapsed="false">
      <c r="A700" s="30" t="n">
        <v>45444</v>
      </c>
      <c r="B700" s="31" t="s">
        <v>153</v>
      </c>
      <c r="C700" s="32"/>
      <c r="D700" s="32"/>
      <c r="E700" s="19" t="n">
        <f aca="false">+F700*0.03</f>
        <v>0</v>
      </c>
      <c r="F700" s="33" t="n">
        <v>0</v>
      </c>
      <c r="G700" s="62"/>
      <c r="H700" s="35" t="n">
        <v>0</v>
      </c>
      <c r="I700" s="34" t="n">
        <f aca="false">+IF(E700=0,0,E700*0.03)</f>
        <v>0</v>
      </c>
    </row>
    <row r="701" customFormat="false" ht="15.75" hidden="false" customHeight="true" outlineLevel="0" collapsed="false">
      <c r="A701" s="30" t="n">
        <v>45444</v>
      </c>
      <c r="B701" s="31" t="s">
        <v>153</v>
      </c>
      <c r="C701" s="32"/>
      <c r="D701" s="32"/>
      <c r="E701" s="19" t="n">
        <f aca="false">+F701*0.03</f>
        <v>0</v>
      </c>
      <c r="F701" s="33" t="n">
        <v>0</v>
      </c>
      <c r="G701" s="62"/>
      <c r="H701" s="35" t="n">
        <v>0</v>
      </c>
      <c r="I701" s="34" t="n">
        <f aca="false">+IF(E701=0,0,E701*0.03)</f>
        <v>0</v>
      </c>
    </row>
    <row r="702" customFormat="false" ht="15.75" hidden="false" customHeight="true" outlineLevel="0" collapsed="false">
      <c r="A702" s="30" t="n">
        <v>45444</v>
      </c>
      <c r="B702" s="31" t="s">
        <v>153</v>
      </c>
      <c r="C702" s="32"/>
      <c r="D702" s="32"/>
      <c r="E702" s="19" t="n">
        <f aca="false">+F702*0.03</f>
        <v>0</v>
      </c>
      <c r="F702" s="33" t="n">
        <v>0</v>
      </c>
      <c r="G702" s="62"/>
      <c r="H702" s="35" t="n">
        <v>0</v>
      </c>
      <c r="I702" s="34" t="n">
        <f aca="false">+IF(E702=0,0,E702*0.03)</f>
        <v>0</v>
      </c>
    </row>
    <row r="703" customFormat="false" ht="15.75" hidden="false" customHeight="true" outlineLevel="0" collapsed="false">
      <c r="A703" s="30" t="n">
        <v>45444</v>
      </c>
      <c r="B703" s="31" t="s">
        <v>153</v>
      </c>
      <c r="C703" s="32"/>
      <c r="D703" s="32"/>
      <c r="E703" s="19" t="n">
        <f aca="false">+F703*0.03</f>
        <v>0</v>
      </c>
      <c r="F703" s="33" t="n">
        <v>0</v>
      </c>
      <c r="G703" s="62"/>
      <c r="H703" s="35" t="n">
        <v>0</v>
      </c>
      <c r="I703" s="34" t="n">
        <f aca="false">+IF(E703=0,0,E703*0.03)</f>
        <v>0</v>
      </c>
    </row>
    <row r="704" customFormat="false" ht="15.75" hidden="false" customHeight="true" outlineLevel="0" collapsed="false">
      <c r="A704" s="30" t="n">
        <v>45444</v>
      </c>
      <c r="B704" s="31" t="s">
        <v>153</v>
      </c>
      <c r="C704" s="32"/>
      <c r="D704" s="32"/>
      <c r="E704" s="19" t="n">
        <f aca="false">+F704*0.03</f>
        <v>0</v>
      </c>
      <c r="F704" s="33" t="n">
        <v>0</v>
      </c>
      <c r="G704" s="62"/>
      <c r="H704" s="35" t="n">
        <v>0</v>
      </c>
      <c r="I704" s="34" t="n">
        <f aca="false">+IF(E704=0,0,E704*0.03)</f>
        <v>0</v>
      </c>
    </row>
    <row r="705" customFormat="false" ht="15.75" hidden="false" customHeight="true" outlineLevel="0" collapsed="false">
      <c r="A705" s="30" t="n">
        <v>45444</v>
      </c>
      <c r="B705" s="31" t="s">
        <v>153</v>
      </c>
      <c r="C705" s="32"/>
      <c r="D705" s="32"/>
      <c r="E705" s="19" t="n">
        <f aca="false">+F705*0.03</f>
        <v>0</v>
      </c>
      <c r="F705" s="33" t="n">
        <v>0</v>
      </c>
      <c r="G705" s="62"/>
      <c r="H705" s="35" t="n">
        <v>0</v>
      </c>
      <c r="I705" s="34" t="n">
        <f aca="false">+IF(E705=0,0,E705*0.03)</f>
        <v>0</v>
      </c>
    </row>
    <row r="706" customFormat="false" ht="15.75" hidden="false" customHeight="true" outlineLevel="0" collapsed="false">
      <c r="A706" s="30" t="n">
        <v>45444</v>
      </c>
      <c r="B706" s="31" t="s">
        <v>153</v>
      </c>
      <c r="C706" s="32"/>
      <c r="D706" s="32"/>
      <c r="E706" s="19" t="n">
        <f aca="false">+F706*0.03</f>
        <v>0</v>
      </c>
      <c r="F706" s="33" t="n">
        <v>0</v>
      </c>
      <c r="G706" s="62"/>
      <c r="H706" s="35" t="n">
        <v>0</v>
      </c>
      <c r="I706" s="34" t="n">
        <f aca="false">+IF(E706=0,0,E706*0.03)</f>
        <v>0</v>
      </c>
    </row>
    <row r="707" customFormat="false" ht="15.75" hidden="false" customHeight="true" outlineLevel="0" collapsed="false">
      <c r="A707" s="30" t="n">
        <v>45444</v>
      </c>
      <c r="B707" s="31" t="s">
        <v>153</v>
      </c>
      <c r="C707" s="32"/>
      <c r="D707" s="32"/>
      <c r="E707" s="19" t="n">
        <f aca="false">+F707*0.03</f>
        <v>0</v>
      </c>
      <c r="F707" s="33" t="n">
        <v>0</v>
      </c>
      <c r="G707" s="62"/>
      <c r="H707" s="35" t="n">
        <v>0</v>
      </c>
      <c r="I707" s="34" t="n">
        <f aca="false">+IF(E707=0,0,E707*0.03)</f>
        <v>0</v>
      </c>
    </row>
    <row r="708" customFormat="false" ht="15.75" hidden="false" customHeight="true" outlineLevel="0" collapsed="false">
      <c r="A708" s="30" t="n">
        <v>45444</v>
      </c>
      <c r="B708" s="31" t="s">
        <v>153</v>
      </c>
      <c r="C708" s="32"/>
      <c r="D708" s="32"/>
      <c r="E708" s="19" t="n">
        <f aca="false">+F708*0.03</f>
        <v>0</v>
      </c>
      <c r="F708" s="33" t="n">
        <v>0</v>
      </c>
      <c r="G708" s="62"/>
      <c r="H708" s="35" t="n">
        <v>0</v>
      </c>
      <c r="I708" s="34" t="n">
        <f aca="false">+IF(E708=0,0,E708*0.03)</f>
        <v>0</v>
      </c>
    </row>
    <row r="709" customFormat="false" ht="15.75" hidden="false" customHeight="true" outlineLevel="0" collapsed="false">
      <c r="A709" s="30" t="n">
        <v>45444</v>
      </c>
      <c r="B709" s="31" t="s">
        <v>153</v>
      </c>
      <c r="C709" s="32"/>
      <c r="D709" s="32"/>
      <c r="E709" s="19" t="n">
        <f aca="false">+F709*0.03</f>
        <v>0</v>
      </c>
      <c r="F709" s="33" t="n">
        <v>0</v>
      </c>
      <c r="G709" s="62"/>
      <c r="H709" s="35" t="n">
        <v>0</v>
      </c>
      <c r="I709" s="34" t="n">
        <f aca="false">+IF(E709=0,0,E709*0.03)</f>
        <v>0</v>
      </c>
    </row>
    <row r="710" customFormat="false" ht="15.75" hidden="false" customHeight="true" outlineLevel="0" collapsed="false">
      <c r="A710" s="30" t="n">
        <v>45444</v>
      </c>
      <c r="B710" s="31" t="s">
        <v>153</v>
      </c>
      <c r="C710" s="32"/>
      <c r="D710" s="32"/>
      <c r="E710" s="19" t="n">
        <f aca="false">+F710*0.03</f>
        <v>0</v>
      </c>
      <c r="F710" s="33" t="n">
        <v>0</v>
      </c>
      <c r="G710" s="62"/>
      <c r="H710" s="35" t="n">
        <v>0</v>
      </c>
      <c r="I710" s="34" t="n">
        <f aca="false">+IF(E710=0,0,E710*0.03)</f>
        <v>0</v>
      </c>
    </row>
    <row r="711" customFormat="false" ht="15.75" hidden="false" customHeight="true" outlineLevel="0" collapsed="false">
      <c r="A711" s="30" t="n">
        <v>45444</v>
      </c>
      <c r="B711" s="31" t="s">
        <v>153</v>
      </c>
      <c r="C711" s="32"/>
      <c r="D711" s="32"/>
      <c r="E711" s="19" t="n">
        <f aca="false">+F711*0.03</f>
        <v>0</v>
      </c>
      <c r="F711" s="33" t="n">
        <v>0</v>
      </c>
      <c r="G711" s="62"/>
      <c r="H711" s="35" t="n">
        <v>0</v>
      </c>
      <c r="I711" s="34" t="n">
        <f aca="false">+IF(E711=0,0,E711*0.03)</f>
        <v>0</v>
      </c>
    </row>
    <row r="712" customFormat="false" ht="15.75" hidden="false" customHeight="true" outlineLevel="0" collapsed="false">
      <c r="A712" s="30" t="n">
        <v>45444</v>
      </c>
      <c r="B712" s="31" t="s">
        <v>153</v>
      </c>
      <c r="C712" s="32"/>
      <c r="D712" s="32"/>
      <c r="E712" s="19" t="n">
        <f aca="false">+F712*0.03</f>
        <v>0</v>
      </c>
      <c r="F712" s="33" t="n">
        <v>0</v>
      </c>
      <c r="G712" s="62"/>
      <c r="H712" s="35" t="n">
        <v>0</v>
      </c>
      <c r="I712" s="34" t="n">
        <f aca="false">+IF(E712=0,0,E712*0.03)</f>
        <v>0</v>
      </c>
    </row>
    <row r="713" customFormat="false" ht="15.75" hidden="false" customHeight="true" outlineLevel="0" collapsed="false">
      <c r="A713" s="30" t="n">
        <v>45444</v>
      </c>
      <c r="B713" s="31" t="s">
        <v>153</v>
      </c>
      <c r="C713" s="32"/>
      <c r="D713" s="32"/>
      <c r="E713" s="19" t="n">
        <f aca="false">+F713*0.03</f>
        <v>0</v>
      </c>
      <c r="F713" s="33" t="n">
        <v>0</v>
      </c>
      <c r="G713" s="62"/>
      <c r="H713" s="35" t="n">
        <v>0</v>
      </c>
      <c r="I713" s="34" t="n">
        <f aca="false">+IF(E713=0,0,E713*0.03)</f>
        <v>0</v>
      </c>
    </row>
    <row r="714" customFormat="false" ht="15.75" hidden="false" customHeight="true" outlineLevel="0" collapsed="false">
      <c r="A714" s="30" t="n">
        <v>45444</v>
      </c>
      <c r="B714" s="31" t="s">
        <v>153</v>
      </c>
      <c r="C714" s="32"/>
      <c r="D714" s="32"/>
      <c r="E714" s="19" t="n">
        <f aca="false">+F714*0.03</f>
        <v>0</v>
      </c>
      <c r="F714" s="33" t="n">
        <v>0</v>
      </c>
      <c r="G714" s="62"/>
      <c r="H714" s="35" t="n">
        <v>0</v>
      </c>
      <c r="I714" s="34" t="n">
        <f aca="false">+IF(E714=0,0,E714*0.03)</f>
        <v>0</v>
      </c>
    </row>
    <row r="715" customFormat="false" ht="15.75" hidden="false" customHeight="true" outlineLevel="0" collapsed="false">
      <c r="A715" s="30" t="n">
        <v>45444</v>
      </c>
      <c r="B715" s="31" t="s">
        <v>153</v>
      </c>
      <c r="C715" s="32"/>
      <c r="D715" s="32"/>
      <c r="E715" s="19" t="n">
        <f aca="false">+F715*0.03</f>
        <v>0</v>
      </c>
      <c r="F715" s="33" t="n">
        <v>0</v>
      </c>
      <c r="G715" s="62"/>
      <c r="H715" s="35" t="n">
        <v>0</v>
      </c>
      <c r="I715" s="34" t="n">
        <f aca="false">+IF(E715=0,0,E715*0.03)</f>
        <v>0</v>
      </c>
    </row>
    <row r="716" customFormat="false" ht="15.75" hidden="false" customHeight="true" outlineLevel="0" collapsed="false">
      <c r="A716" s="30" t="n">
        <v>45444</v>
      </c>
      <c r="B716" s="31" t="s">
        <v>153</v>
      </c>
      <c r="C716" s="32"/>
      <c r="D716" s="32"/>
      <c r="E716" s="19" t="n">
        <f aca="false">+F716*0.03</f>
        <v>0</v>
      </c>
      <c r="F716" s="33" t="n">
        <v>0</v>
      </c>
      <c r="G716" s="62"/>
      <c r="H716" s="35" t="n">
        <v>0</v>
      </c>
      <c r="I716" s="34" t="n">
        <f aca="false">+IF(E716=0,0,E716*0.03)</f>
        <v>0</v>
      </c>
    </row>
    <row r="717" customFormat="false" ht="15.75" hidden="false" customHeight="true" outlineLevel="0" collapsed="false">
      <c r="A717" s="30" t="n">
        <v>45444</v>
      </c>
      <c r="B717" s="31" t="s">
        <v>153</v>
      </c>
      <c r="C717" s="32"/>
      <c r="D717" s="32"/>
      <c r="E717" s="19" t="n">
        <f aca="false">+F717*0.03</f>
        <v>0</v>
      </c>
      <c r="F717" s="33" t="n">
        <v>0</v>
      </c>
      <c r="G717" s="62"/>
      <c r="H717" s="35" t="n">
        <v>0</v>
      </c>
      <c r="I717" s="34" t="n">
        <f aca="false">+IF(E717=0,0,E717*0.03)</f>
        <v>0</v>
      </c>
    </row>
    <row r="718" customFormat="false" ht="15.75" hidden="false" customHeight="true" outlineLevel="0" collapsed="false">
      <c r="A718" s="30" t="n">
        <v>45444</v>
      </c>
      <c r="B718" s="31" t="s">
        <v>153</v>
      </c>
      <c r="C718" s="32"/>
      <c r="D718" s="32"/>
      <c r="E718" s="19" t="n">
        <f aca="false">+F718*0.03</f>
        <v>0</v>
      </c>
      <c r="F718" s="33" t="n">
        <v>0</v>
      </c>
      <c r="G718" s="62"/>
      <c r="H718" s="35" t="n">
        <v>0</v>
      </c>
      <c r="I718" s="34" t="n">
        <f aca="false">+IF(E718=0,0,E718*0.03)</f>
        <v>0</v>
      </c>
    </row>
    <row r="719" customFormat="false" ht="15.75" hidden="false" customHeight="true" outlineLevel="0" collapsed="false">
      <c r="A719" s="30" t="n">
        <v>45444</v>
      </c>
      <c r="B719" s="31" t="s">
        <v>153</v>
      </c>
      <c r="C719" s="32"/>
      <c r="D719" s="32"/>
      <c r="E719" s="19" t="n">
        <f aca="false">+F719*0.03</f>
        <v>0</v>
      </c>
      <c r="F719" s="33" t="n">
        <v>0</v>
      </c>
      <c r="G719" s="62"/>
      <c r="H719" s="35" t="n">
        <v>0</v>
      </c>
      <c r="I719" s="34" t="n">
        <f aca="false">+IF(E719=0,0,E719*0.03)</f>
        <v>0</v>
      </c>
    </row>
    <row r="720" customFormat="false" ht="15.75" hidden="false" customHeight="true" outlineLevel="0" collapsed="false">
      <c r="A720" s="30" t="n">
        <v>45444</v>
      </c>
      <c r="B720" s="31" t="s">
        <v>153</v>
      </c>
      <c r="C720" s="32"/>
      <c r="D720" s="32"/>
      <c r="E720" s="19" t="n">
        <f aca="false">+F720*0.03</f>
        <v>0</v>
      </c>
      <c r="F720" s="33" t="n">
        <v>0</v>
      </c>
      <c r="G720" s="62"/>
      <c r="H720" s="35" t="n">
        <v>0</v>
      </c>
      <c r="I720" s="34" t="n">
        <f aca="false">+IF(E720=0,0,E720*0.03)</f>
        <v>0</v>
      </c>
    </row>
    <row r="721" customFormat="false" ht="15.75" hidden="false" customHeight="true" outlineLevel="0" collapsed="false">
      <c r="A721" s="30" t="n">
        <v>45444</v>
      </c>
      <c r="B721" s="31" t="s">
        <v>153</v>
      </c>
      <c r="C721" s="32"/>
      <c r="D721" s="32"/>
      <c r="E721" s="19" t="n">
        <f aca="false">+F721*0.03</f>
        <v>0</v>
      </c>
      <c r="F721" s="33" t="n">
        <v>0</v>
      </c>
      <c r="G721" s="62"/>
      <c r="H721" s="35" t="n">
        <v>0</v>
      </c>
      <c r="I721" s="34" t="n">
        <f aca="false">+IF(E721=0,0,E721*0.03)</f>
        <v>0</v>
      </c>
    </row>
    <row r="722" customFormat="false" ht="15.75" hidden="false" customHeight="true" outlineLevel="0" collapsed="false">
      <c r="A722" s="30" t="n">
        <v>45444</v>
      </c>
      <c r="B722" s="31" t="s">
        <v>153</v>
      </c>
      <c r="C722" s="32"/>
      <c r="D722" s="32"/>
      <c r="E722" s="19" t="n">
        <f aca="false">+F722*0.03</f>
        <v>0</v>
      </c>
      <c r="F722" s="33" t="n">
        <v>0</v>
      </c>
      <c r="G722" s="62"/>
      <c r="H722" s="35" t="n">
        <v>0</v>
      </c>
      <c r="I722" s="34" t="n">
        <f aca="false">+IF(E722=0,0,E722*0.03)</f>
        <v>0</v>
      </c>
    </row>
    <row r="723" customFormat="false" ht="15.75" hidden="false" customHeight="true" outlineLevel="0" collapsed="false">
      <c r="A723" s="30" t="n">
        <v>45444</v>
      </c>
      <c r="B723" s="31" t="s">
        <v>153</v>
      </c>
      <c r="C723" s="32"/>
      <c r="D723" s="32"/>
      <c r="E723" s="19" t="n">
        <f aca="false">+F723*0.03</f>
        <v>0</v>
      </c>
      <c r="F723" s="33" t="n">
        <v>0</v>
      </c>
      <c r="G723" s="62"/>
      <c r="H723" s="35" t="n">
        <v>0</v>
      </c>
      <c r="I723" s="34" t="n">
        <f aca="false">+IF(E723=0,0,E723*0.03)</f>
        <v>0</v>
      </c>
    </row>
    <row r="724" customFormat="false" ht="15.75" hidden="false" customHeight="true" outlineLevel="0" collapsed="false">
      <c r="A724" s="30" t="n">
        <v>45444</v>
      </c>
      <c r="B724" s="31" t="s">
        <v>153</v>
      </c>
      <c r="C724" s="32"/>
      <c r="D724" s="32"/>
      <c r="E724" s="19" t="n">
        <f aca="false">+F724*0.03</f>
        <v>0</v>
      </c>
      <c r="F724" s="33" t="n">
        <v>0</v>
      </c>
      <c r="G724" s="62"/>
      <c r="H724" s="35" t="n">
        <v>0</v>
      </c>
      <c r="I724" s="34" t="n">
        <f aca="false">+IF(E724=0,0,E724*0.03)</f>
        <v>0</v>
      </c>
    </row>
    <row r="725" customFormat="false" ht="15.75" hidden="false" customHeight="true" outlineLevel="0" collapsed="false">
      <c r="A725" s="30" t="n">
        <v>45444</v>
      </c>
      <c r="B725" s="31" t="s">
        <v>153</v>
      </c>
      <c r="C725" s="32"/>
      <c r="D725" s="32"/>
      <c r="E725" s="19" t="n">
        <f aca="false">+F725*0.03</f>
        <v>0</v>
      </c>
      <c r="F725" s="33" t="n">
        <v>0</v>
      </c>
      <c r="G725" s="62"/>
      <c r="H725" s="35" t="n">
        <v>0</v>
      </c>
      <c r="I725" s="34" t="n">
        <f aca="false">+IF(E725=0,0,E725*0.03)</f>
        <v>0</v>
      </c>
    </row>
    <row r="726" customFormat="false" ht="15.75" hidden="false" customHeight="true" outlineLevel="0" collapsed="false">
      <c r="A726" s="30" t="n">
        <v>45444</v>
      </c>
      <c r="B726" s="31" t="s">
        <v>153</v>
      </c>
      <c r="C726" s="32"/>
      <c r="D726" s="32"/>
      <c r="E726" s="19" t="n">
        <f aca="false">+F726*0.03</f>
        <v>0</v>
      </c>
      <c r="F726" s="33" t="n">
        <v>0</v>
      </c>
      <c r="G726" s="62"/>
      <c r="H726" s="35" t="n">
        <v>0</v>
      </c>
      <c r="I726" s="34" t="n">
        <f aca="false">+IF(E726=0,0,E726*0.03)</f>
        <v>0</v>
      </c>
    </row>
    <row r="727" customFormat="false" ht="15.75" hidden="false" customHeight="true" outlineLevel="0" collapsed="false">
      <c r="A727" s="30" t="n">
        <v>45444</v>
      </c>
      <c r="B727" s="31" t="s">
        <v>153</v>
      </c>
      <c r="C727" s="32"/>
      <c r="D727" s="32"/>
      <c r="E727" s="19" t="n">
        <f aca="false">+F727*0.03</f>
        <v>0</v>
      </c>
      <c r="F727" s="33" t="n">
        <v>0</v>
      </c>
      <c r="G727" s="62"/>
      <c r="H727" s="35" t="n">
        <v>0</v>
      </c>
      <c r="I727" s="34" t="n">
        <f aca="false">+IF(E727=0,0,E727*0.03)</f>
        <v>0</v>
      </c>
    </row>
    <row r="728" customFormat="false" ht="15.75" hidden="false" customHeight="true" outlineLevel="0" collapsed="false">
      <c r="A728" s="30" t="n">
        <v>45444</v>
      </c>
      <c r="B728" s="31" t="s">
        <v>153</v>
      </c>
      <c r="C728" s="32"/>
      <c r="D728" s="32"/>
      <c r="E728" s="19" t="n">
        <f aca="false">+F728*0.03</f>
        <v>0</v>
      </c>
      <c r="F728" s="33" t="n">
        <v>0</v>
      </c>
      <c r="G728" s="62"/>
      <c r="H728" s="35" t="n">
        <v>0</v>
      </c>
      <c r="I728" s="34" t="n">
        <f aca="false">+IF(E728=0,0,E728*0.03)</f>
        <v>0</v>
      </c>
    </row>
    <row r="729" customFormat="false" ht="15.75" hidden="false" customHeight="true" outlineLevel="0" collapsed="false">
      <c r="A729" s="30" t="n">
        <v>45444</v>
      </c>
      <c r="B729" s="31" t="s">
        <v>153</v>
      </c>
      <c r="C729" s="32"/>
      <c r="D729" s="32"/>
      <c r="E729" s="19" t="n">
        <f aca="false">+F729*0.03</f>
        <v>0</v>
      </c>
      <c r="F729" s="33" t="n">
        <v>0</v>
      </c>
      <c r="G729" s="62"/>
      <c r="H729" s="35" t="n">
        <v>0</v>
      </c>
      <c r="I729" s="34" t="n">
        <f aca="false">+IF(E729=0,0,E729*0.03)</f>
        <v>0</v>
      </c>
    </row>
    <row r="730" customFormat="false" ht="15.75" hidden="false" customHeight="true" outlineLevel="0" collapsed="false">
      <c r="A730" s="30" t="n">
        <v>45444</v>
      </c>
      <c r="B730" s="31" t="s">
        <v>153</v>
      </c>
      <c r="C730" s="32"/>
      <c r="D730" s="32"/>
      <c r="E730" s="19" t="n">
        <f aca="false">+F730*0.03</f>
        <v>0</v>
      </c>
      <c r="F730" s="33" t="n">
        <v>0</v>
      </c>
      <c r="G730" s="62"/>
      <c r="H730" s="35" t="n">
        <v>0</v>
      </c>
      <c r="I730" s="34" t="n">
        <f aca="false">+IF(E730=0,0,E730*0.03)</f>
        <v>0</v>
      </c>
    </row>
    <row r="731" customFormat="false" ht="15.75" hidden="false" customHeight="true" outlineLevel="0" collapsed="false">
      <c r="A731" s="30" t="n">
        <v>45444</v>
      </c>
      <c r="B731" s="31" t="s">
        <v>153</v>
      </c>
      <c r="C731" s="32"/>
      <c r="D731" s="32"/>
      <c r="E731" s="19" t="n">
        <f aca="false">+F731*0.03</f>
        <v>0</v>
      </c>
      <c r="F731" s="33" t="n">
        <v>0</v>
      </c>
      <c r="G731" s="62"/>
      <c r="H731" s="35" t="n">
        <v>0</v>
      </c>
      <c r="I731" s="34" t="n">
        <f aca="false">+IF(E731=0,0,E731*0.03)</f>
        <v>0</v>
      </c>
    </row>
    <row r="732" customFormat="false" ht="15.75" hidden="false" customHeight="true" outlineLevel="0" collapsed="false">
      <c r="A732" s="30" t="n">
        <v>45444</v>
      </c>
      <c r="B732" s="31" t="s">
        <v>153</v>
      </c>
      <c r="C732" s="32"/>
      <c r="D732" s="32"/>
      <c r="E732" s="19" t="n">
        <f aca="false">+F732*0.03</f>
        <v>0</v>
      </c>
      <c r="F732" s="33" t="n">
        <v>0</v>
      </c>
      <c r="G732" s="62"/>
      <c r="H732" s="35" t="n">
        <v>0</v>
      </c>
      <c r="I732" s="34" t="n">
        <f aca="false">+IF(E732=0,0,E732*0.03)</f>
        <v>0</v>
      </c>
    </row>
    <row r="733" customFormat="false" ht="15.75" hidden="false" customHeight="true" outlineLevel="0" collapsed="false">
      <c r="A733" s="30" t="n">
        <v>45444</v>
      </c>
      <c r="B733" s="31" t="s">
        <v>153</v>
      </c>
      <c r="C733" s="32"/>
      <c r="D733" s="32"/>
      <c r="E733" s="19" t="n">
        <f aca="false">+F733*0.03</f>
        <v>0</v>
      </c>
      <c r="F733" s="33" t="n">
        <v>0</v>
      </c>
      <c r="G733" s="62"/>
      <c r="H733" s="35" t="n">
        <v>0</v>
      </c>
      <c r="I733" s="34" t="n">
        <f aca="false">+IF(E733=0,0,E733*0.03)</f>
        <v>0</v>
      </c>
    </row>
    <row r="734" customFormat="false" ht="15.75" hidden="false" customHeight="true" outlineLevel="0" collapsed="false">
      <c r="A734" s="30" t="n">
        <v>45444</v>
      </c>
      <c r="B734" s="31" t="s">
        <v>153</v>
      </c>
      <c r="C734" s="32"/>
      <c r="D734" s="32"/>
      <c r="E734" s="19" t="n">
        <f aca="false">+F734*0.03</f>
        <v>0</v>
      </c>
      <c r="F734" s="33" t="n">
        <v>0</v>
      </c>
      <c r="G734" s="62"/>
      <c r="H734" s="35" t="n">
        <v>0</v>
      </c>
      <c r="I734" s="34" t="n">
        <f aca="false">+IF(E734=0,0,E734*0.03)</f>
        <v>0</v>
      </c>
    </row>
    <row r="735" customFormat="false" ht="15.75" hidden="false" customHeight="true" outlineLevel="0" collapsed="false">
      <c r="A735" s="30" t="n">
        <v>45444</v>
      </c>
      <c r="B735" s="31" t="s">
        <v>153</v>
      </c>
      <c r="C735" s="32"/>
      <c r="D735" s="32"/>
      <c r="E735" s="19" t="n">
        <f aca="false">+F735*0.03</f>
        <v>0</v>
      </c>
      <c r="F735" s="33" t="n">
        <v>0</v>
      </c>
      <c r="G735" s="62"/>
      <c r="H735" s="35" t="n">
        <v>0</v>
      </c>
      <c r="I735" s="34" t="n">
        <f aca="false">+IF(E735=0,0,E735*0.03)</f>
        <v>0</v>
      </c>
    </row>
    <row r="736" customFormat="false" ht="15.75" hidden="false" customHeight="true" outlineLevel="0" collapsed="false">
      <c r="A736" s="30" t="n">
        <v>45444</v>
      </c>
      <c r="B736" s="31" t="s">
        <v>153</v>
      </c>
      <c r="C736" s="32"/>
      <c r="D736" s="32"/>
      <c r="E736" s="19" t="n">
        <f aca="false">+F736*0.03</f>
        <v>0</v>
      </c>
      <c r="F736" s="33" t="n">
        <v>0</v>
      </c>
      <c r="G736" s="62"/>
      <c r="H736" s="35" t="n">
        <v>0</v>
      </c>
      <c r="I736" s="34" t="n">
        <f aca="false">+IF(E736=0,0,E736*0.03)</f>
        <v>0</v>
      </c>
    </row>
    <row r="737" customFormat="false" ht="15.75" hidden="false" customHeight="true" outlineLevel="0" collapsed="false">
      <c r="A737" s="30" t="n">
        <v>45444</v>
      </c>
      <c r="B737" s="31" t="s">
        <v>153</v>
      </c>
      <c r="C737" s="32"/>
      <c r="D737" s="32"/>
      <c r="E737" s="19" t="n">
        <f aca="false">+F737*0.03</f>
        <v>0</v>
      </c>
      <c r="F737" s="33" t="n">
        <v>0</v>
      </c>
      <c r="G737" s="62"/>
      <c r="H737" s="35" t="n">
        <v>0</v>
      </c>
      <c r="I737" s="34" t="n">
        <f aca="false">+IF(E737=0,0,E737*0.03)</f>
        <v>0</v>
      </c>
    </row>
    <row r="738" customFormat="false" ht="15.75" hidden="false" customHeight="true" outlineLevel="0" collapsed="false">
      <c r="A738" s="30" t="n">
        <v>45444</v>
      </c>
      <c r="B738" s="31" t="s">
        <v>153</v>
      </c>
      <c r="C738" s="32"/>
      <c r="D738" s="32"/>
      <c r="E738" s="19" t="n">
        <f aca="false">+F738*0.03</f>
        <v>0</v>
      </c>
      <c r="F738" s="33" t="n">
        <v>0</v>
      </c>
      <c r="G738" s="62"/>
      <c r="H738" s="35" t="n">
        <v>0</v>
      </c>
      <c r="I738" s="34" t="n">
        <f aca="false">+IF(E738=0,0,E738*0.03)</f>
        <v>0</v>
      </c>
    </row>
    <row r="739" customFormat="false" ht="15.75" hidden="false" customHeight="true" outlineLevel="0" collapsed="false">
      <c r="A739" s="30" t="n">
        <v>45444</v>
      </c>
      <c r="B739" s="31" t="s">
        <v>153</v>
      </c>
      <c r="C739" s="32"/>
      <c r="D739" s="32"/>
      <c r="E739" s="19" t="n">
        <f aca="false">+F739*0.03</f>
        <v>0</v>
      </c>
      <c r="F739" s="33" t="n">
        <v>0</v>
      </c>
      <c r="G739" s="62"/>
      <c r="H739" s="35" t="n">
        <v>0</v>
      </c>
      <c r="I739" s="34" t="n">
        <f aca="false">+IF(E739=0,0,E739*0.03)</f>
        <v>0</v>
      </c>
    </row>
    <row r="740" customFormat="false" ht="15.75" hidden="false" customHeight="true" outlineLevel="0" collapsed="false">
      <c r="A740" s="30" t="n">
        <v>45444</v>
      </c>
      <c r="B740" s="31" t="s">
        <v>153</v>
      </c>
      <c r="C740" s="32"/>
      <c r="D740" s="32"/>
      <c r="E740" s="19" t="n">
        <f aca="false">+F740*0.03</f>
        <v>0</v>
      </c>
      <c r="F740" s="33" t="n">
        <v>0</v>
      </c>
      <c r="G740" s="62"/>
      <c r="H740" s="35" t="n">
        <v>0</v>
      </c>
      <c r="I740" s="34" t="n">
        <f aca="false">+IF(E740=0,0,E740*0.03)</f>
        <v>0</v>
      </c>
    </row>
    <row r="741" customFormat="false" ht="15.75" hidden="false" customHeight="true" outlineLevel="0" collapsed="false">
      <c r="A741" s="30" t="n">
        <v>45444</v>
      </c>
      <c r="B741" s="31" t="s">
        <v>153</v>
      </c>
      <c r="C741" s="32"/>
      <c r="D741" s="32"/>
      <c r="E741" s="19" t="n">
        <f aca="false">+F741*0.03</f>
        <v>0</v>
      </c>
      <c r="F741" s="33" t="n">
        <v>0</v>
      </c>
      <c r="G741" s="62"/>
      <c r="H741" s="35" t="n">
        <v>0</v>
      </c>
      <c r="I741" s="34" t="n">
        <f aca="false">+IF(E741=0,0,E741*0.03)</f>
        <v>0</v>
      </c>
    </row>
    <row r="742" customFormat="false" ht="15.75" hidden="false" customHeight="true" outlineLevel="0" collapsed="false">
      <c r="A742" s="30" t="n">
        <v>45444</v>
      </c>
      <c r="B742" s="31" t="s">
        <v>153</v>
      </c>
      <c r="C742" s="32"/>
      <c r="D742" s="32"/>
      <c r="E742" s="19" t="n">
        <f aca="false">+F742*0.03</f>
        <v>0</v>
      </c>
      <c r="F742" s="33" t="n">
        <v>0</v>
      </c>
      <c r="G742" s="62"/>
      <c r="H742" s="35" t="n">
        <v>0</v>
      </c>
      <c r="I742" s="34" t="n">
        <f aca="false">+IF(E742=0,0,E742*0.03)</f>
        <v>0</v>
      </c>
    </row>
    <row r="743" customFormat="false" ht="15.75" hidden="false" customHeight="true" outlineLevel="0" collapsed="false">
      <c r="A743" s="30" t="n">
        <v>45444</v>
      </c>
      <c r="B743" s="31" t="s">
        <v>153</v>
      </c>
      <c r="C743" s="32"/>
      <c r="D743" s="32"/>
      <c r="E743" s="19" t="n">
        <f aca="false">+F743*0.03</f>
        <v>0</v>
      </c>
      <c r="F743" s="33" t="n">
        <v>0</v>
      </c>
      <c r="G743" s="62"/>
      <c r="H743" s="35" t="n">
        <v>0</v>
      </c>
      <c r="I743" s="34" t="n">
        <f aca="false">+IF(E743=0,0,E743*0.03)</f>
        <v>0</v>
      </c>
    </row>
    <row r="744" customFormat="false" ht="15.75" hidden="false" customHeight="true" outlineLevel="0" collapsed="false">
      <c r="A744" s="30" t="n">
        <v>45444</v>
      </c>
      <c r="B744" s="31" t="s">
        <v>153</v>
      </c>
      <c r="C744" s="32"/>
      <c r="D744" s="32"/>
      <c r="E744" s="19" t="n">
        <f aca="false">+F744*0.03</f>
        <v>0</v>
      </c>
      <c r="F744" s="33" t="n">
        <v>0</v>
      </c>
      <c r="G744" s="62"/>
      <c r="H744" s="35" t="n">
        <v>0</v>
      </c>
      <c r="I744" s="34" t="n">
        <f aca="false">+IF(E744=0,0,E744*0.03)</f>
        <v>0</v>
      </c>
    </row>
    <row r="745" customFormat="false" ht="15.75" hidden="false" customHeight="true" outlineLevel="0" collapsed="false">
      <c r="A745" s="30" t="n">
        <v>45444</v>
      </c>
      <c r="B745" s="31" t="s">
        <v>153</v>
      </c>
      <c r="C745" s="32"/>
      <c r="D745" s="32"/>
      <c r="E745" s="19" t="n">
        <f aca="false">+F745*0.03</f>
        <v>0</v>
      </c>
      <c r="F745" s="33" t="n">
        <v>0</v>
      </c>
      <c r="G745" s="62"/>
      <c r="H745" s="35" t="n">
        <v>0</v>
      </c>
      <c r="I745" s="34" t="n">
        <f aca="false">+IF(E745=0,0,E745*0.03)</f>
        <v>0</v>
      </c>
    </row>
    <row r="746" customFormat="false" ht="15.75" hidden="false" customHeight="true" outlineLevel="0" collapsed="false">
      <c r="A746" s="30" t="n">
        <v>45444</v>
      </c>
      <c r="B746" s="31" t="s">
        <v>153</v>
      </c>
      <c r="C746" s="32"/>
      <c r="D746" s="32"/>
      <c r="E746" s="19" t="n">
        <f aca="false">+F746*0.03</f>
        <v>0</v>
      </c>
      <c r="F746" s="33" t="n">
        <v>0</v>
      </c>
      <c r="G746" s="62"/>
      <c r="H746" s="35" t="n">
        <v>0</v>
      </c>
      <c r="I746" s="34" t="n">
        <f aca="false">+IF(E746=0,0,E746*0.03)</f>
        <v>0</v>
      </c>
    </row>
    <row r="747" customFormat="false" ht="15.75" hidden="false" customHeight="true" outlineLevel="0" collapsed="false">
      <c r="A747" s="30" t="n">
        <v>45444</v>
      </c>
      <c r="B747" s="31" t="s">
        <v>153</v>
      </c>
      <c r="C747" s="32"/>
      <c r="D747" s="32"/>
      <c r="E747" s="19" t="n">
        <f aca="false">+F747*0.03</f>
        <v>0</v>
      </c>
      <c r="F747" s="33" t="n">
        <v>0</v>
      </c>
      <c r="G747" s="62"/>
      <c r="H747" s="35" t="n">
        <v>0</v>
      </c>
      <c r="I747" s="34" t="n">
        <f aca="false">+IF(E747=0,0,E747*0.03)</f>
        <v>0</v>
      </c>
    </row>
    <row r="748" customFormat="false" ht="15.75" hidden="false" customHeight="true" outlineLevel="0" collapsed="false">
      <c r="A748" s="30" t="n">
        <v>45444</v>
      </c>
      <c r="B748" s="31" t="s">
        <v>153</v>
      </c>
      <c r="C748" s="32"/>
      <c r="D748" s="32"/>
      <c r="E748" s="19" t="n">
        <f aca="false">+F748*0.03</f>
        <v>0</v>
      </c>
      <c r="F748" s="33" t="n">
        <v>0</v>
      </c>
      <c r="G748" s="62"/>
      <c r="H748" s="35" t="n">
        <v>0</v>
      </c>
      <c r="I748" s="34" t="n">
        <f aca="false">+IF(E748=0,0,E748*0.03)</f>
        <v>0</v>
      </c>
    </row>
    <row r="749" customFormat="false" ht="15.75" hidden="false" customHeight="true" outlineLevel="0" collapsed="false">
      <c r="A749" s="30" t="n">
        <v>45444</v>
      </c>
      <c r="B749" s="31" t="s">
        <v>153</v>
      </c>
      <c r="C749" s="32"/>
      <c r="D749" s="32"/>
      <c r="E749" s="19" t="n">
        <f aca="false">+F749*0.03</f>
        <v>0</v>
      </c>
      <c r="F749" s="33" t="n">
        <v>0</v>
      </c>
      <c r="G749" s="62"/>
      <c r="H749" s="35" t="n">
        <v>0</v>
      </c>
      <c r="I749" s="34" t="n">
        <f aca="false">+IF(E749=0,0,E749*0.03)</f>
        <v>0</v>
      </c>
    </row>
    <row r="750" customFormat="false" ht="15.75" hidden="false" customHeight="true" outlineLevel="0" collapsed="false">
      <c r="A750" s="30" t="n">
        <v>45444</v>
      </c>
      <c r="B750" s="31" t="s">
        <v>153</v>
      </c>
      <c r="C750" s="32"/>
      <c r="D750" s="32"/>
      <c r="E750" s="19" t="n">
        <f aca="false">+F750*0.03</f>
        <v>0</v>
      </c>
      <c r="F750" s="33" t="n">
        <v>0</v>
      </c>
      <c r="G750" s="62"/>
      <c r="H750" s="35" t="n">
        <v>0</v>
      </c>
      <c r="I750" s="34" t="n">
        <f aca="false">+IF(E750=0,0,E750*0.03)</f>
        <v>0</v>
      </c>
    </row>
    <row r="751" customFormat="false" ht="15.75" hidden="false" customHeight="true" outlineLevel="0" collapsed="false">
      <c r="A751" s="30" t="n">
        <v>45444</v>
      </c>
      <c r="B751" s="31" t="s">
        <v>153</v>
      </c>
      <c r="C751" s="32"/>
      <c r="D751" s="32"/>
      <c r="E751" s="19" t="n">
        <f aca="false">+F751*0.03</f>
        <v>0</v>
      </c>
      <c r="F751" s="33" t="n">
        <v>0</v>
      </c>
      <c r="G751" s="62"/>
      <c r="H751" s="35" t="n">
        <v>0</v>
      </c>
      <c r="I751" s="34" t="n">
        <f aca="false">+IF(E751=0,0,E751*0.03)</f>
        <v>0</v>
      </c>
    </row>
    <row r="752" customFormat="false" ht="15.75" hidden="false" customHeight="true" outlineLevel="0" collapsed="false">
      <c r="A752" s="30" t="n">
        <v>45444</v>
      </c>
      <c r="B752" s="31" t="s">
        <v>153</v>
      </c>
      <c r="C752" s="32"/>
      <c r="D752" s="32"/>
      <c r="E752" s="19" t="n">
        <f aca="false">+F752*0.03</f>
        <v>0</v>
      </c>
      <c r="F752" s="33" t="n">
        <v>0</v>
      </c>
      <c r="G752" s="62"/>
      <c r="H752" s="35" t="n">
        <v>0</v>
      </c>
      <c r="I752" s="34" t="n">
        <f aca="false">+IF(E752=0,0,E752*0.03)</f>
        <v>0</v>
      </c>
    </row>
    <row r="753" customFormat="false" ht="15.75" hidden="false" customHeight="true" outlineLevel="0" collapsed="false">
      <c r="A753" s="30" t="n">
        <v>45444</v>
      </c>
      <c r="B753" s="31" t="s">
        <v>153</v>
      </c>
      <c r="C753" s="32"/>
      <c r="D753" s="32"/>
      <c r="E753" s="19" t="n">
        <f aca="false">+F753*0.03</f>
        <v>0</v>
      </c>
      <c r="F753" s="33" t="n">
        <v>0</v>
      </c>
      <c r="G753" s="62"/>
      <c r="H753" s="35" t="n">
        <v>0</v>
      </c>
      <c r="I753" s="34" t="n">
        <f aca="false">+IF(E753=0,0,E753*0.03)</f>
        <v>0</v>
      </c>
    </row>
    <row r="754" customFormat="false" ht="15.75" hidden="false" customHeight="true" outlineLevel="0" collapsed="false">
      <c r="A754" s="30" t="n">
        <v>45444</v>
      </c>
      <c r="B754" s="31" t="s">
        <v>153</v>
      </c>
      <c r="C754" s="32"/>
      <c r="D754" s="32"/>
      <c r="E754" s="19" t="n">
        <f aca="false">+F754*0.03</f>
        <v>0</v>
      </c>
      <c r="F754" s="33" t="n">
        <v>0</v>
      </c>
      <c r="G754" s="62"/>
      <c r="H754" s="35" t="n">
        <v>0</v>
      </c>
      <c r="I754" s="34" t="n">
        <f aca="false">+IF(E754=0,0,E754*0.03)</f>
        <v>0</v>
      </c>
    </row>
    <row r="755" customFormat="false" ht="15.75" hidden="false" customHeight="true" outlineLevel="0" collapsed="false">
      <c r="A755" s="30" t="n">
        <v>45444</v>
      </c>
      <c r="B755" s="31" t="s">
        <v>153</v>
      </c>
      <c r="C755" s="32"/>
      <c r="D755" s="32"/>
      <c r="E755" s="19" t="n">
        <f aca="false">+F755*0.03</f>
        <v>0</v>
      </c>
      <c r="F755" s="33" t="n">
        <v>0</v>
      </c>
      <c r="G755" s="62"/>
      <c r="H755" s="35" t="n">
        <v>0</v>
      </c>
      <c r="I755" s="34" t="n">
        <f aca="false">+IF(E755=0,0,E755*0.03)</f>
        <v>0</v>
      </c>
    </row>
    <row r="756" customFormat="false" ht="15.75" hidden="false" customHeight="true" outlineLevel="0" collapsed="false">
      <c r="A756" s="30" t="n">
        <v>45444</v>
      </c>
      <c r="B756" s="31" t="s">
        <v>153</v>
      </c>
      <c r="C756" s="32"/>
      <c r="D756" s="32"/>
      <c r="E756" s="19" t="n">
        <f aca="false">+F756*0.03</f>
        <v>0</v>
      </c>
      <c r="F756" s="33" t="n">
        <v>0</v>
      </c>
      <c r="G756" s="62"/>
      <c r="H756" s="35" t="n">
        <v>0</v>
      </c>
      <c r="I756" s="34" t="n">
        <f aca="false">+IF(E756=0,0,E756*0.03)</f>
        <v>0</v>
      </c>
    </row>
    <row r="757" customFormat="false" ht="15.75" hidden="false" customHeight="true" outlineLevel="0" collapsed="false">
      <c r="A757" s="30" t="n">
        <v>45444</v>
      </c>
      <c r="B757" s="31" t="s">
        <v>153</v>
      </c>
      <c r="C757" s="32"/>
      <c r="D757" s="32"/>
      <c r="E757" s="19" t="n">
        <f aca="false">+F757*0.03</f>
        <v>0</v>
      </c>
      <c r="F757" s="33" t="n">
        <v>0</v>
      </c>
      <c r="G757" s="62"/>
      <c r="H757" s="35" t="n">
        <v>0</v>
      </c>
      <c r="I757" s="34" t="n">
        <f aca="false">+IF(E757=0,0,E757*0.03)</f>
        <v>0</v>
      </c>
    </row>
    <row r="758" customFormat="false" ht="15.75" hidden="false" customHeight="true" outlineLevel="0" collapsed="false">
      <c r="A758" s="30" t="n">
        <v>45444</v>
      </c>
      <c r="B758" s="31" t="s">
        <v>153</v>
      </c>
      <c r="C758" s="32"/>
      <c r="D758" s="32"/>
      <c r="E758" s="19" t="n">
        <f aca="false">+F758*0.03</f>
        <v>0</v>
      </c>
      <c r="F758" s="33" t="n">
        <v>0</v>
      </c>
      <c r="G758" s="62"/>
      <c r="H758" s="35" t="n">
        <v>0</v>
      </c>
      <c r="I758" s="34" t="n">
        <f aca="false">+IF(E758=0,0,E758*0.03)</f>
        <v>0</v>
      </c>
    </row>
    <row r="759" customFormat="false" ht="15.75" hidden="false" customHeight="true" outlineLevel="0" collapsed="false">
      <c r="A759" s="30" t="n">
        <v>45444</v>
      </c>
      <c r="B759" s="31" t="s">
        <v>153</v>
      </c>
      <c r="C759" s="32"/>
      <c r="D759" s="32"/>
      <c r="E759" s="19" t="n">
        <f aca="false">+F759*0.03</f>
        <v>0</v>
      </c>
      <c r="F759" s="33" t="n">
        <v>0</v>
      </c>
      <c r="G759" s="62"/>
      <c r="H759" s="35" t="n">
        <v>0</v>
      </c>
      <c r="I759" s="34" t="n">
        <f aca="false">+IF(E759=0,0,E759*0.03)</f>
        <v>0</v>
      </c>
    </row>
    <row r="760" customFormat="false" ht="15.75" hidden="false" customHeight="true" outlineLevel="0" collapsed="false">
      <c r="A760" s="30" t="n">
        <v>45444</v>
      </c>
      <c r="B760" s="31" t="s">
        <v>153</v>
      </c>
      <c r="C760" s="32"/>
      <c r="D760" s="32"/>
      <c r="E760" s="19" t="n">
        <f aca="false">+F760*0.03</f>
        <v>0</v>
      </c>
      <c r="F760" s="33" t="n">
        <v>0</v>
      </c>
      <c r="G760" s="62"/>
      <c r="H760" s="35" t="n">
        <v>0</v>
      </c>
      <c r="I760" s="34" t="n">
        <f aca="false">+IF(E760=0,0,E760*0.03)</f>
        <v>0</v>
      </c>
    </row>
    <row r="761" customFormat="false" ht="15.75" hidden="false" customHeight="true" outlineLevel="0" collapsed="false">
      <c r="A761" s="30" t="n">
        <v>45444</v>
      </c>
      <c r="B761" s="31" t="s">
        <v>153</v>
      </c>
      <c r="C761" s="32"/>
      <c r="D761" s="32"/>
      <c r="E761" s="19" t="n">
        <f aca="false">+F761*0.03</f>
        <v>0</v>
      </c>
      <c r="F761" s="33" t="n">
        <v>0</v>
      </c>
      <c r="G761" s="62"/>
      <c r="H761" s="35" t="n">
        <v>0</v>
      </c>
      <c r="I761" s="34" t="n">
        <f aca="false">+IF(E761=0,0,E761*0.03)</f>
        <v>0</v>
      </c>
    </row>
    <row r="762" customFormat="false" ht="15.75" hidden="false" customHeight="true" outlineLevel="0" collapsed="false">
      <c r="A762" s="30" t="n">
        <v>45444</v>
      </c>
      <c r="B762" s="31" t="s">
        <v>153</v>
      </c>
      <c r="C762" s="32"/>
      <c r="D762" s="32"/>
      <c r="E762" s="19" t="n">
        <f aca="false">+F762*0.03</f>
        <v>0</v>
      </c>
      <c r="F762" s="33" t="n">
        <v>0</v>
      </c>
      <c r="G762" s="62"/>
      <c r="H762" s="35" t="n">
        <v>0</v>
      </c>
      <c r="I762" s="34" t="n">
        <f aca="false">+IF(E762=0,0,E762*0.03)</f>
        <v>0</v>
      </c>
    </row>
    <row r="763" customFormat="false" ht="15.75" hidden="false" customHeight="true" outlineLevel="0" collapsed="false">
      <c r="A763" s="30" t="n">
        <v>45444</v>
      </c>
      <c r="B763" s="31" t="s">
        <v>153</v>
      </c>
      <c r="C763" s="32"/>
      <c r="D763" s="32"/>
      <c r="E763" s="19" t="n">
        <f aca="false">+F763*0.03</f>
        <v>0</v>
      </c>
      <c r="F763" s="33" t="n">
        <v>0</v>
      </c>
      <c r="G763" s="62"/>
      <c r="H763" s="35" t="n">
        <v>0</v>
      </c>
      <c r="I763" s="34" t="n">
        <f aca="false">+IF(E763=0,0,E763*0.03)</f>
        <v>0</v>
      </c>
    </row>
    <row r="764" customFormat="false" ht="15.75" hidden="false" customHeight="true" outlineLevel="0" collapsed="false">
      <c r="A764" s="30" t="n">
        <v>45444</v>
      </c>
      <c r="B764" s="31" t="s">
        <v>153</v>
      </c>
      <c r="C764" s="32"/>
      <c r="D764" s="32"/>
      <c r="E764" s="19" t="n">
        <f aca="false">+F764*0.03</f>
        <v>0</v>
      </c>
      <c r="F764" s="33" t="n">
        <v>0</v>
      </c>
      <c r="G764" s="62"/>
      <c r="H764" s="35" t="n">
        <v>0</v>
      </c>
      <c r="I764" s="34" t="n">
        <f aca="false">+IF(E764=0,0,E764*0.03)</f>
        <v>0</v>
      </c>
    </row>
    <row r="765" customFormat="false" ht="15.75" hidden="false" customHeight="true" outlineLevel="0" collapsed="false">
      <c r="A765" s="30" t="n">
        <v>45444</v>
      </c>
      <c r="B765" s="31" t="s">
        <v>153</v>
      </c>
      <c r="C765" s="32"/>
      <c r="D765" s="32"/>
      <c r="E765" s="19" t="n">
        <f aca="false">+F765*0.03</f>
        <v>0</v>
      </c>
      <c r="F765" s="33" t="n">
        <v>0</v>
      </c>
      <c r="G765" s="62"/>
      <c r="H765" s="35" t="n">
        <v>0</v>
      </c>
      <c r="I765" s="34" t="n">
        <f aca="false">+IF(E765=0,0,E765*0.03)</f>
        <v>0</v>
      </c>
    </row>
    <row r="766" customFormat="false" ht="15.75" hidden="false" customHeight="true" outlineLevel="0" collapsed="false">
      <c r="A766" s="30" t="n">
        <v>45444</v>
      </c>
      <c r="B766" s="31" t="s">
        <v>153</v>
      </c>
      <c r="C766" s="32"/>
      <c r="D766" s="32"/>
      <c r="E766" s="19" t="n">
        <f aca="false">+F766*0.03</f>
        <v>0</v>
      </c>
      <c r="F766" s="33" t="n">
        <v>0</v>
      </c>
      <c r="G766" s="62"/>
      <c r="H766" s="35" t="n">
        <v>0</v>
      </c>
      <c r="I766" s="34" t="n">
        <f aca="false">+IF(E766=0,0,E766*0.03)</f>
        <v>0</v>
      </c>
    </row>
    <row r="767" customFormat="false" ht="15.75" hidden="false" customHeight="true" outlineLevel="0" collapsed="false">
      <c r="A767" s="30" t="n">
        <v>45444</v>
      </c>
      <c r="B767" s="31" t="s">
        <v>153</v>
      </c>
      <c r="C767" s="32"/>
      <c r="D767" s="32"/>
      <c r="E767" s="19" t="n">
        <f aca="false">+F767*0.03</f>
        <v>0</v>
      </c>
      <c r="F767" s="33" t="n">
        <v>0</v>
      </c>
      <c r="G767" s="62"/>
      <c r="H767" s="35" t="n">
        <v>0</v>
      </c>
      <c r="I767" s="34" t="n">
        <f aca="false">+IF(E767=0,0,E767*0.03)</f>
        <v>0</v>
      </c>
    </row>
    <row r="768" customFormat="false" ht="15.75" hidden="false" customHeight="true" outlineLevel="0" collapsed="false">
      <c r="A768" s="30" t="n">
        <v>45444</v>
      </c>
      <c r="B768" s="31" t="s">
        <v>153</v>
      </c>
      <c r="C768" s="32"/>
      <c r="D768" s="32"/>
      <c r="E768" s="19" t="n">
        <f aca="false">+F768*0.03</f>
        <v>0</v>
      </c>
      <c r="F768" s="33" t="n">
        <v>0</v>
      </c>
      <c r="G768" s="62"/>
      <c r="H768" s="35" t="n">
        <v>0</v>
      </c>
      <c r="I768" s="34" t="n">
        <f aca="false">+IF(E768=0,0,E768*0.03)</f>
        <v>0</v>
      </c>
    </row>
    <row r="769" customFormat="false" ht="15.75" hidden="false" customHeight="true" outlineLevel="0" collapsed="false">
      <c r="A769" s="30" t="n">
        <v>45444</v>
      </c>
      <c r="B769" s="31" t="s">
        <v>153</v>
      </c>
      <c r="C769" s="32"/>
      <c r="D769" s="32"/>
      <c r="E769" s="19" t="n">
        <f aca="false">+F769*0.03</f>
        <v>0</v>
      </c>
      <c r="F769" s="33" t="n">
        <v>0</v>
      </c>
      <c r="G769" s="62"/>
      <c r="H769" s="35" t="n">
        <v>0</v>
      </c>
      <c r="I769" s="34" t="n">
        <f aca="false">+IF(E769=0,0,E769*0.03)</f>
        <v>0</v>
      </c>
    </row>
    <row r="770" customFormat="false" ht="15.75" hidden="false" customHeight="true" outlineLevel="0" collapsed="false">
      <c r="A770" s="30" t="n">
        <v>45444</v>
      </c>
      <c r="B770" s="31" t="s">
        <v>153</v>
      </c>
      <c r="C770" s="32"/>
      <c r="D770" s="32"/>
      <c r="E770" s="19" t="n">
        <f aca="false">+F770*0.03</f>
        <v>0</v>
      </c>
      <c r="F770" s="33" t="n">
        <v>0</v>
      </c>
      <c r="G770" s="62"/>
      <c r="H770" s="35" t="n">
        <v>0</v>
      </c>
      <c r="I770" s="34" t="n">
        <f aca="false">+IF(E770=0,0,E770*0.03)</f>
        <v>0</v>
      </c>
    </row>
    <row r="771" customFormat="false" ht="15.75" hidden="false" customHeight="true" outlineLevel="0" collapsed="false">
      <c r="A771" s="30" t="n">
        <v>45444</v>
      </c>
      <c r="B771" s="31" t="s">
        <v>153</v>
      </c>
      <c r="C771" s="32"/>
      <c r="D771" s="32"/>
      <c r="E771" s="19" t="n">
        <f aca="false">+F771*0.03</f>
        <v>0</v>
      </c>
      <c r="F771" s="33" t="n">
        <v>0</v>
      </c>
      <c r="G771" s="62"/>
      <c r="H771" s="35" t="n">
        <v>0</v>
      </c>
      <c r="I771" s="34" t="n">
        <f aca="false">+IF(E771=0,0,E771*0.03)</f>
        <v>0</v>
      </c>
    </row>
    <row r="772" customFormat="false" ht="15.75" hidden="false" customHeight="true" outlineLevel="0" collapsed="false">
      <c r="A772" s="30" t="n">
        <v>45444</v>
      </c>
      <c r="B772" s="31" t="s">
        <v>153</v>
      </c>
      <c r="C772" s="32"/>
      <c r="D772" s="32"/>
      <c r="E772" s="19" t="n">
        <f aca="false">+F772*0.03</f>
        <v>0</v>
      </c>
      <c r="F772" s="33" t="n">
        <v>0</v>
      </c>
      <c r="G772" s="62"/>
      <c r="H772" s="35" t="n">
        <v>0</v>
      </c>
      <c r="I772" s="34" t="n">
        <f aca="false">+IF(E772=0,0,E772*0.03)</f>
        <v>0</v>
      </c>
    </row>
    <row r="773" customFormat="false" ht="15.75" hidden="false" customHeight="true" outlineLevel="0" collapsed="false">
      <c r="A773" s="30" t="n">
        <v>45444</v>
      </c>
      <c r="B773" s="31" t="s">
        <v>153</v>
      </c>
      <c r="C773" s="32"/>
      <c r="D773" s="32"/>
      <c r="E773" s="19" t="n">
        <f aca="false">+F773*0.03</f>
        <v>0</v>
      </c>
      <c r="F773" s="33" t="n">
        <v>0</v>
      </c>
      <c r="G773" s="62"/>
      <c r="H773" s="35" t="n">
        <v>0</v>
      </c>
      <c r="I773" s="34" t="n">
        <f aca="false">+IF(E773=0,0,E773*0.03)</f>
        <v>0</v>
      </c>
    </row>
    <row r="774" customFormat="false" ht="15.75" hidden="false" customHeight="true" outlineLevel="0" collapsed="false">
      <c r="A774" s="30" t="n">
        <v>45444</v>
      </c>
      <c r="B774" s="31" t="s">
        <v>153</v>
      </c>
      <c r="C774" s="32"/>
      <c r="D774" s="32"/>
      <c r="E774" s="19" t="n">
        <f aca="false">+F774*0.03</f>
        <v>0</v>
      </c>
      <c r="F774" s="33" t="n">
        <v>0</v>
      </c>
      <c r="G774" s="62"/>
      <c r="H774" s="35" t="n">
        <v>0</v>
      </c>
      <c r="I774" s="34" t="n">
        <f aca="false">+IF(E774=0,0,E774*0.03)</f>
        <v>0</v>
      </c>
    </row>
    <row r="775" customFormat="false" ht="15.75" hidden="false" customHeight="true" outlineLevel="0" collapsed="false">
      <c r="A775" s="30" t="n">
        <v>45444</v>
      </c>
      <c r="B775" s="31" t="s">
        <v>153</v>
      </c>
      <c r="C775" s="32"/>
      <c r="D775" s="32"/>
      <c r="E775" s="19" t="n">
        <f aca="false">+F775*0.03</f>
        <v>0</v>
      </c>
      <c r="F775" s="33" t="n">
        <v>0</v>
      </c>
      <c r="G775" s="62"/>
      <c r="H775" s="35" t="n">
        <v>0</v>
      </c>
      <c r="I775" s="34" t="n">
        <f aca="false">+IF(E775=0,0,E775*0.03)</f>
        <v>0</v>
      </c>
    </row>
    <row r="776" customFormat="false" ht="15.75" hidden="false" customHeight="true" outlineLevel="0" collapsed="false">
      <c r="A776" s="30" t="n">
        <v>45444</v>
      </c>
      <c r="B776" s="31" t="s">
        <v>153</v>
      </c>
      <c r="C776" s="32"/>
      <c r="D776" s="32"/>
      <c r="E776" s="19" t="n">
        <f aca="false">+F776*0.03</f>
        <v>0</v>
      </c>
      <c r="F776" s="33" t="n">
        <v>0</v>
      </c>
      <c r="G776" s="62"/>
      <c r="H776" s="35" t="n">
        <v>0</v>
      </c>
      <c r="I776" s="34" t="n">
        <f aca="false">+IF(E776=0,0,E776*0.03)</f>
        <v>0</v>
      </c>
    </row>
    <row r="777" customFormat="false" ht="15.75" hidden="false" customHeight="true" outlineLevel="0" collapsed="false">
      <c r="A777" s="30" t="n">
        <v>45444</v>
      </c>
      <c r="B777" s="31" t="s">
        <v>153</v>
      </c>
      <c r="C777" s="32"/>
      <c r="D777" s="32"/>
      <c r="E777" s="19" t="n">
        <f aca="false">+F777*0.03</f>
        <v>0</v>
      </c>
      <c r="F777" s="33" t="n">
        <v>0</v>
      </c>
      <c r="G777" s="62"/>
      <c r="H777" s="35" t="n">
        <v>0</v>
      </c>
      <c r="I777" s="34" t="n">
        <f aca="false">+IF(E777=0,0,E777*0.03)</f>
        <v>0</v>
      </c>
    </row>
    <row r="778" customFormat="false" ht="15.75" hidden="false" customHeight="true" outlineLevel="0" collapsed="false">
      <c r="A778" s="30" t="n">
        <v>45444</v>
      </c>
      <c r="B778" s="31" t="s">
        <v>153</v>
      </c>
      <c r="C778" s="32"/>
      <c r="D778" s="32"/>
      <c r="E778" s="19" t="n">
        <f aca="false">+F778*0.03</f>
        <v>0</v>
      </c>
      <c r="F778" s="33" t="n">
        <v>0</v>
      </c>
      <c r="G778" s="62"/>
      <c r="H778" s="35" t="n">
        <v>0</v>
      </c>
      <c r="I778" s="34" t="n">
        <f aca="false">+IF(E778=0,0,E778*0.03)</f>
        <v>0</v>
      </c>
    </row>
    <row r="779" customFormat="false" ht="15.75" hidden="false" customHeight="true" outlineLevel="0" collapsed="false">
      <c r="A779" s="30" t="n">
        <v>45444</v>
      </c>
      <c r="B779" s="31" t="s">
        <v>153</v>
      </c>
      <c r="C779" s="32"/>
      <c r="D779" s="32"/>
      <c r="E779" s="19" t="n">
        <f aca="false">+F779*0.03</f>
        <v>0</v>
      </c>
      <c r="F779" s="33" t="n">
        <v>0</v>
      </c>
      <c r="G779" s="62"/>
      <c r="H779" s="35" t="n">
        <v>0</v>
      </c>
      <c r="I779" s="34" t="n">
        <f aca="false">+IF(E779=0,0,E779*0.03)</f>
        <v>0</v>
      </c>
    </row>
    <row r="780" customFormat="false" ht="15.75" hidden="false" customHeight="true" outlineLevel="0" collapsed="false">
      <c r="A780" s="30" t="n">
        <v>45444</v>
      </c>
      <c r="B780" s="31" t="s">
        <v>153</v>
      </c>
      <c r="C780" s="32"/>
      <c r="D780" s="32"/>
      <c r="E780" s="19" t="n">
        <f aca="false">+F780*0.03</f>
        <v>0</v>
      </c>
      <c r="F780" s="33" t="n">
        <v>0</v>
      </c>
      <c r="G780" s="62"/>
      <c r="H780" s="35" t="n">
        <v>0</v>
      </c>
      <c r="I780" s="34" t="n">
        <f aca="false">+IF(E780=0,0,E780*0.03)</f>
        <v>0</v>
      </c>
    </row>
    <row r="781" customFormat="false" ht="15.75" hidden="false" customHeight="true" outlineLevel="0" collapsed="false">
      <c r="A781" s="30" t="n">
        <v>45444</v>
      </c>
      <c r="B781" s="31" t="s">
        <v>153</v>
      </c>
      <c r="C781" s="32"/>
      <c r="D781" s="32"/>
      <c r="E781" s="19" t="n">
        <f aca="false">+F781*0.03</f>
        <v>0</v>
      </c>
      <c r="F781" s="33" t="n">
        <v>0</v>
      </c>
      <c r="G781" s="62"/>
      <c r="H781" s="35" t="n">
        <v>0</v>
      </c>
      <c r="I781" s="34" t="n">
        <f aca="false">+IF(E781=0,0,E781*0.03)</f>
        <v>0</v>
      </c>
    </row>
    <row r="782" customFormat="false" ht="15.75" hidden="false" customHeight="true" outlineLevel="0" collapsed="false">
      <c r="A782" s="30" t="n">
        <v>45444</v>
      </c>
      <c r="B782" s="31" t="s">
        <v>153</v>
      </c>
      <c r="C782" s="32"/>
      <c r="D782" s="32"/>
      <c r="E782" s="19" t="n">
        <f aca="false">+F782*0.03</f>
        <v>0</v>
      </c>
      <c r="F782" s="33" t="n">
        <v>0</v>
      </c>
      <c r="G782" s="62"/>
      <c r="H782" s="35" t="n">
        <v>0</v>
      </c>
      <c r="I782" s="34" t="n">
        <f aca="false">+IF(E782=0,0,E782*0.03)</f>
        <v>0</v>
      </c>
    </row>
    <row r="783" customFormat="false" ht="15.75" hidden="false" customHeight="true" outlineLevel="0" collapsed="false">
      <c r="A783" s="30" t="n">
        <v>45444</v>
      </c>
      <c r="B783" s="31" t="s">
        <v>153</v>
      </c>
      <c r="C783" s="32"/>
      <c r="D783" s="32"/>
      <c r="E783" s="19" t="n">
        <f aca="false">+F783*0.03</f>
        <v>0</v>
      </c>
      <c r="F783" s="33" t="n">
        <v>0</v>
      </c>
      <c r="G783" s="62"/>
      <c r="H783" s="35" t="n">
        <v>0</v>
      </c>
      <c r="I783" s="34" t="n">
        <f aca="false">+IF(E783=0,0,E783*0.03)</f>
        <v>0</v>
      </c>
    </row>
    <row r="784" customFormat="false" ht="15.75" hidden="false" customHeight="true" outlineLevel="0" collapsed="false">
      <c r="A784" s="30" t="n">
        <v>45444</v>
      </c>
      <c r="B784" s="31" t="s">
        <v>153</v>
      </c>
      <c r="C784" s="32"/>
      <c r="D784" s="32"/>
      <c r="E784" s="19" t="n">
        <f aca="false">+F784*0.03</f>
        <v>0</v>
      </c>
      <c r="F784" s="33" t="n">
        <v>0</v>
      </c>
      <c r="G784" s="62"/>
      <c r="H784" s="35" t="n">
        <v>0</v>
      </c>
      <c r="I784" s="34" t="n">
        <f aca="false">+IF(E784=0,0,E784*0.03)</f>
        <v>0</v>
      </c>
    </row>
    <row r="785" customFormat="false" ht="15.75" hidden="false" customHeight="true" outlineLevel="0" collapsed="false">
      <c r="A785" s="30" t="n">
        <v>45444</v>
      </c>
      <c r="B785" s="31" t="s">
        <v>153</v>
      </c>
      <c r="C785" s="32"/>
      <c r="D785" s="32"/>
      <c r="E785" s="19" t="n">
        <f aca="false">+F785*0.03</f>
        <v>0</v>
      </c>
      <c r="F785" s="33" t="n">
        <v>0</v>
      </c>
      <c r="G785" s="62"/>
      <c r="H785" s="35" t="n">
        <v>0</v>
      </c>
      <c r="I785" s="34" t="n">
        <f aca="false">+IF(E785=0,0,E785*0.03)</f>
        <v>0</v>
      </c>
    </row>
    <row r="786" customFormat="false" ht="15.75" hidden="false" customHeight="true" outlineLevel="0" collapsed="false">
      <c r="A786" s="30" t="n">
        <v>45444</v>
      </c>
      <c r="B786" s="31" t="s">
        <v>153</v>
      </c>
      <c r="C786" s="32"/>
      <c r="D786" s="32"/>
      <c r="E786" s="19" t="n">
        <f aca="false">+F786*0.03</f>
        <v>0</v>
      </c>
      <c r="F786" s="33" t="n">
        <v>0</v>
      </c>
      <c r="G786" s="62"/>
      <c r="H786" s="35" t="n">
        <v>0</v>
      </c>
      <c r="I786" s="34" t="n">
        <f aca="false">+IF(E786=0,0,E786*0.03)</f>
        <v>0</v>
      </c>
    </row>
    <row r="787" customFormat="false" ht="15.75" hidden="false" customHeight="true" outlineLevel="0" collapsed="false">
      <c r="A787" s="30" t="n">
        <v>45444</v>
      </c>
      <c r="B787" s="31" t="s">
        <v>153</v>
      </c>
      <c r="C787" s="32"/>
      <c r="D787" s="32"/>
      <c r="E787" s="19" t="n">
        <f aca="false">+F787*0.03</f>
        <v>0</v>
      </c>
      <c r="F787" s="33" t="n">
        <v>0</v>
      </c>
      <c r="G787" s="62"/>
      <c r="H787" s="35" t="n">
        <v>0</v>
      </c>
      <c r="I787" s="34" t="n">
        <f aca="false">+IF(E787=0,0,E787*0.03)</f>
        <v>0</v>
      </c>
    </row>
    <row r="788" customFormat="false" ht="15.75" hidden="false" customHeight="true" outlineLevel="0" collapsed="false">
      <c r="A788" s="30" t="n">
        <v>45444</v>
      </c>
      <c r="B788" s="31" t="s">
        <v>153</v>
      </c>
      <c r="C788" s="32"/>
      <c r="D788" s="32"/>
      <c r="E788" s="19" t="n">
        <f aca="false">+F788*0.03</f>
        <v>0</v>
      </c>
      <c r="F788" s="33" t="n">
        <v>0</v>
      </c>
      <c r="G788" s="62"/>
      <c r="H788" s="35" t="n">
        <v>0</v>
      </c>
      <c r="I788" s="34" t="n">
        <f aca="false">+IF(E788=0,0,E788*0.03)</f>
        <v>0</v>
      </c>
    </row>
    <row r="789" customFormat="false" ht="15.75" hidden="false" customHeight="true" outlineLevel="0" collapsed="false">
      <c r="A789" s="30" t="n">
        <v>45444</v>
      </c>
      <c r="B789" s="31" t="s">
        <v>153</v>
      </c>
      <c r="C789" s="32"/>
      <c r="D789" s="32"/>
      <c r="E789" s="19" t="n">
        <f aca="false">+F789*0.03</f>
        <v>0</v>
      </c>
      <c r="F789" s="33" t="n">
        <v>0</v>
      </c>
      <c r="G789" s="62"/>
      <c r="H789" s="35" t="n">
        <v>0</v>
      </c>
      <c r="I789" s="34" t="n">
        <f aca="false">+IF(E789=0,0,E789*0.03)</f>
        <v>0</v>
      </c>
    </row>
    <row r="790" customFormat="false" ht="15.75" hidden="false" customHeight="true" outlineLevel="0" collapsed="false">
      <c r="A790" s="30" t="n">
        <v>45444</v>
      </c>
      <c r="B790" s="31" t="s">
        <v>153</v>
      </c>
      <c r="C790" s="32"/>
      <c r="D790" s="32"/>
      <c r="E790" s="19" t="n">
        <f aca="false">+F790*0.03</f>
        <v>0</v>
      </c>
      <c r="F790" s="33" t="n">
        <v>0</v>
      </c>
      <c r="G790" s="62"/>
      <c r="H790" s="35" t="n">
        <v>0</v>
      </c>
      <c r="I790" s="34" t="n">
        <f aca="false">+IF(E790=0,0,E790*0.03)</f>
        <v>0</v>
      </c>
    </row>
    <row r="791" customFormat="false" ht="15.75" hidden="false" customHeight="true" outlineLevel="0" collapsed="false">
      <c r="A791" s="30" t="n">
        <v>45444</v>
      </c>
      <c r="B791" s="31" t="s">
        <v>153</v>
      </c>
      <c r="C791" s="32"/>
      <c r="D791" s="32"/>
      <c r="E791" s="19" t="n">
        <f aca="false">+F791*0.03</f>
        <v>0</v>
      </c>
      <c r="F791" s="33" t="n">
        <v>0</v>
      </c>
      <c r="G791" s="62"/>
      <c r="H791" s="35" t="n">
        <v>0</v>
      </c>
      <c r="I791" s="34" t="n">
        <f aca="false">+IF(E791=0,0,E791*0.03)</f>
        <v>0</v>
      </c>
    </row>
    <row r="792" customFormat="false" ht="15.75" hidden="false" customHeight="true" outlineLevel="0" collapsed="false">
      <c r="A792" s="30" t="n">
        <v>45444</v>
      </c>
      <c r="B792" s="31" t="s">
        <v>153</v>
      </c>
      <c r="C792" s="32"/>
      <c r="D792" s="32"/>
      <c r="E792" s="19" t="n">
        <f aca="false">+F792*0.03</f>
        <v>0</v>
      </c>
      <c r="F792" s="33" t="n">
        <v>0</v>
      </c>
      <c r="G792" s="62"/>
      <c r="H792" s="35" t="n">
        <v>0</v>
      </c>
      <c r="I792" s="34" t="n">
        <f aca="false">+IF(E792=0,0,E792*0.03)</f>
        <v>0</v>
      </c>
    </row>
    <row r="793" customFormat="false" ht="15.75" hidden="false" customHeight="true" outlineLevel="0" collapsed="false">
      <c r="A793" s="30" t="n">
        <v>45444</v>
      </c>
      <c r="B793" s="31" t="s">
        <v>153</v>
      </c>
      <c r="C793" s="32"/>
      <c r="D793" s="32"/>
      <c r="E793" s="19" t="n">
        <f aca="false">+F793*0.03</f>
        <v>0</v>
      </c>
      <c r="F793" s="33" t="n">
        <v>0</v>
      </c>
      <c r="G793" s="62"/>
      <c r="H793" s="35" t="n">
        <v>0</v>
      </c>
      <c r="I793" s="34" t="n">
        <f aca="false">+IF(E793=0,0,E793*0.03)</f>
        <v>0</v>
      </c>
    </row>
    <row r="794" customFormat="false" ht="15.75" hidden="false" customHeight="true" outlineLevel="0" collapsed="false">
      <c r="A794" s="30" t="n">
        <v>45444</v>
      </c>
      <c r="B794" s="31" t="s">
        <v>153</v>
      </c>
      <c r="C794" s="32"/>
      <c r="D794" s="32"/>
      <c r="E794" s="19" t="n">
        <f aca="false">+F794*0.03</f>
        <v>0</v>
      </c>
      <c r="F794" s="33" t="n">
        <v>0</v>
      </c>
      <c r="G794" s="62"/>
      <c r="H794" s="35" t="n">
        <v>0</v>
      </c>
      <c r="I794" s="34" t="n">
        <f aca="false">+IF(E794=0,0,E794*0.03)</f>
        <v>0</v>
      </c>
    </row>
    <row r="795" customFormat="false" ht="15.75" hidden="false" customHeight="true" outlineLevel="0" collapsed="false">
      <c r="A795" s="30" t="n">
        <v>45444</v>
      </c>
      <c r="B795" s="31" t="s">
        <v>153</v>
      </c>
      <c r="C795" s="32"/>
      <c r="D795" s="32"/>
      <c r="E795" s="19" t="n">
        <f aca="false">+F795*0.03</f>
        <v>0</v>
      </c>
      <c r="F795" s="33" t="n">
        <v>0</v>
      </c>
      <c r="G795" s="62"/>
      <c r="H795" s="35" t="n">
        <v>0</v>
      </c>
      <c r="I795" s="34" t="n">
        <f aca="false">+IF(E795=0,0,E795*0.03)</f>
        <v>0</v>
      </c>
    </row>
    <row r="796" customFormat="false" ht="15.75" hidden="false" customHeight="true" outlineLevel="0" collapsed="false">
      <c r="A796" s="30" t="n">
        <v>45444</v>
      </c>
      <c r="B796" s="31" t="s">
        <v>153</v>
      </c>
      <c r="C796" s="32"/>
      <c r="D796" s="32"/>
      <c r="E796" s="19" t="n">
        <f aca="false">+F796*0.03</f>
        <v>0</v>
      </c>
      <c r="F796" s="33" t="n">
        <v>0</v>
      </c>
      <c r="G796" s="62"/>
      <c r="H796" s="35" t="n">
        <v>0</v>
      </c>
      <c r="I796" s="34" t="n">
        <f aca="false">+IF(E796=0,0,E796*0.03)</f>
        <v>0</v>
      </c>
    </row>
    <row r="797" customFormat="false" ht="15.75" hidden="false" customHeight="true" outlineLevel="0" collapsed="false">
      <c r="A797" s="30" t="n">
        <v>45444</v>
      </c>
      <c r="B797" s="31" t="s">
        <v>153</v>
      </c>
      <c r="C797" s="32"/>
      <c r="D797" s="32"/>
      <c r="E797" s="19" t="n">
        <f aca="false">+F797*0.03</f>
        <v>0</v>
      </c>
      <c r="F797" s="33" t="n">
        <v>0</v>
      </c>
      <c r="G797" s="62"/>
      <c r="H797" s="35" t="n">
        <v>0</v>
      </c>
      <c r="I797" s="34" t="n">
        <f aca="false">+IF(E797=0,0,E797*0.03)</f>
        <v>0</v>
      </c>
    </row>
    <row r="798" customFormat="false" ht="15.75" hidden="false" customHeight="true" outlineLevel="0" collapsed="false">
      <c r="A798" s="30" t="n">
        <v>45444</v>
      </c>
      <c r="B798" s="31" t="s">
        <v>153</v>
      </c>
      <c r="C798" s="32"/>
      <c r="D798" s="32"/>
      <c r="E798" s="19" t="n">
        <f aca="false">+F798*0.03</f>
        <v>0</v>
      </c>
      <c r="F798" s="33" t="n">
        <v>0</v>
      </c>
      <c r="G798" s="62"/>
      <c r="H798" s="35" t="n">
        <v>0</v>
      </c>
      <c r="I798" s="34" t="n">
        <f aca="false">+IF(E798=0,0,E798*0.03)</f>
        <v>0</v>
      </c>
    </row>
    <row r="799" customFormat="false" ht="15.75" hidden="false" customHeight="true" outlineLevel="0" collapsed="false">
      <c r="A799" s="30" t="n">
        <v>45444</v>
      </c>
      <c r="B799" s="31" t="s">
        <v>153</v>
      </c>
      <c r="C799" s="32"/>
      <c r="D799" s="32"/>
      <c r="E799" s="19" t="n">
        <f aca="false">+F799*0.03</f>
        <v>0</v>
      </c>
      <c r="F799" s="33" t="n">
        <v>0</v>
      </c>
      <c r="G799" s="62"/>
      <c r="H799" s="35" t="n">
        <v>0</v>
      </c>
      <c r="I799" s="34" t="n">
        <f aca="false">+IF(E799=0,0,E799*0.03)</f>
        <v>0</v>
      </c>
    </row>
    <row r="800" customFormat="false" ht="15.75" hidden="false" customHeight="true" outlineLevel="0" collapsed="false">
      <c r="A800" s="30" t="n">
        <v>45444</v>
      </c>
      <c r="B800" s="31" t="s">
        <v>153</v>
      </c>
      <c r="C800" s="32"/>
      <c r="D800" s="32"/>
      <c r="E800" s="19" t="n">
        <f aca="false">+F800*0.03</f>
        <v>0</v>
      </c>
      <c r="F800" s="33" t="n">
        <v>0</v>
      </c>
      <c r="G800" s="62"/>
      <c r="H800" s="35" t="n">
        <v>0</v>
      </c>
      <c r="I800" s="34" t="n">
        <f aca="false">+IF(E800=0,0,E800*0.03)</f>
        <v>0</v>
      </c>
    </row>
    <row r="801" customFormat="false" ht="15.75" hidden="false" customHeight="true" outlineLevel="0" collapsed="false">
      <c r="A801" s="30" t="n">
        <v>45444</v>
      </c>
      <c r="B801" s="31" t="s">
        <v>153</v>
      </c>
      <c r="C801" s="32"/>
      <c r="D801" s="32"/>
      <c r="E801" s="19" t="n">
        <f aca="false">+F801*0.03</f>
        <v>0</v>
      </c>
      <c r="F801" s="33" t="n">
        <v>0</v>
      </c>
      <c r="G801" s="62"/>
      <c r="H801" s="35" t="n">
        <v>0</v>
      </c>
      <c r="I801" s="34" t="n">
        <f aca="false">+IF(E801=0,0,E801*0.03)</f>
        <v>0</v>
      </c>
    </row>
    <row r="802" customFormat="false" ht="15.75" hidden="false" customHeight="true" outlineLevel="0" collapsed="false">
      <c r="A802" s="30" t="n">
        <v>45444</v>
      </c>
      <c r="B802" s="31" t="s">
        <v>153</v>
      </c>
      <c r="C802" s="32"/>
      <c r="D802" s="32"/>
      <c r="E802" s="19" t="n">
        <f aca="false">+F802*0.03</f>
        <v>0</v>
      </c>
      <c r="F802" s="33" t="n">
        <v>0</v>
      </c>
      <c r="G802" s="62"/>
      <c r="H802" s="35" t="n">
        <v>0</v>
      </c>
      <c r="I802" s="34" t="n">
        <f aca="false">+IF(E802=0,0,E802*0.03)</f>
        <v>0</v>
      </c>
    </row>
    <row r="803" customFormat="false" ht="15.75" hidden="false" customHeight="true" outlineLevel="0" collapsed="false">
      <c r="A803" s="30" t="n">
        <v>45444</v>
      </c>
      <c r="B803" s="31" t="s">
        <v>153</v>
      </c>
      <c r="C803" s="32"/>
      <c r="D803" s="32"/>
      <c r="E803" s="19" t="n">
        <f aca="false">+F803*0.03</f>
        <v>0</v>
      </c>
      <c r="F803" s="33" t="n">
        <v>0</v>
      </c>
      <c r="G803" s="62"/>
      <c r="H803" s="35" t="n">
        <v>0</v>
      </c>
      <c r="I803" s="34" t="n">
        <f aca="false">+IF(E803=0,0,E803*0.03)</f>
        <v>0</v>
      </c>
    </row>
    <row r="804" customFormat="false" ht="15.75" hidden="false" customHeight="true" outlineLevel="0" collapsed="false">
      <c r="A804" s="30" t="n">
        <v>45444</v>
      </c>
      <c r="B804" s="31" t="s">
        <v>153</v>
      </c>
      <c r="C804" s="32"/>
      <c r="D804" s="32"/>
      <c r="E804" s="19" t="n">
        <f aca="false">+F804*0.03</f>
        <v>0</v>
      </c>
      <c r="F804" s="33" t="n">
        <v>0</v>
      </c>
      <c r="G804" s="62"/>
      <c r="H804" s="35" t="n">
        <v>0</v>
      </c>
      <c r="I804" s="34" t="n">
        <f aca="false">+IF(E804=0,0,E804*0.03)</f>
        <v>0</v>
      </c>
    </row>
    <row r="805" customFormat="false" ht="15.75" hidden="false" customHeight="true" outlineLevel="0" collapsed="false">
      <c r="A805" s="30" t="n">
        <v>45444</v>
      </c>
      <c r="B805" s="31" t="s">
        <v>153</v>
      </c>
      <c r="C805" s="32"/>
      <c r="D805" s="32"/>
      <c r="E805" s="19" t="n">
        <f aca="false">+F805*0.03</f>
        <v>0</v>
      </c>
      <c r="F805" s="33" t="n">
        <v>0</v>
      </c>
      <c r="G805" s="62"/>
      <c r="H805" s="35" t="n">
        <v>0</v>
      </c>
      <c r="I805" s="34" t="n">
        <f aca="false">+IF(E805=0,0,E805*0.03)</f>
        <v>0</v>
      </c>
    </row>
    <row r="806" customFormat="false" ht="15.75" hidden="false" customHeight="true" outlineLevel="0" collapsed="false">
      <c r="A806" s="30" t="n">
        <v>45444</v>
      </c>
      <c r="B806" s="31" t="s">
        <v>153</v>
      </c>
      <c r="C806" s="32"/>
      <c r="D806" s="32"/>
      <c r="E806" s="19" t="n">
        <f aca="false">+F806*0.03</f>
        <v>0</v>
      </c>
      <c r="F806" s="33" t="n">
        <v>0</v>
      </c>
      <c r="G806" s="62"/>
      <c r="H806" s="35" t="n">
        <v>0</v>
      </c>
      <c r="I806" s="34" t="n">
        <f aca="false">+IF(E806=0,0,E806*0.03)</f>
        <v>0</v>
      </c>
    </row>
    <row r="807" customFormat="false" ht="15.75" hidden="false" customHeight="true" outlineLevel="0" collapsed="false">
      <c r="A807" s="30" t="n">
        <v>45444</v>
      </c>
      <c r="B807" s="31" t="s">
        <v>153</v>
      </c>
      <c r="C807" s="32"/>
      <c r="D807" s="32"/>
      <c r="E807" s="19" t="n">
        <f aca="false">+F807*0.03</f>
        <v>0</v>
      </c>
      <c r="F807" s="33" t="n">
        <v>0</v>
      </c>
      <c r="G807" s="62"/>
      <c r="H807" s="35" t="n">
        <v>0</v>
      </c>
      <c r="I807" s="34" t="n">
        <f aca="false">+IF(E807=0,0,E807*0.03)</f>
        <v>0</v>
      </c>
    </row>
    <row r="808" customFormat="false" ht="15.75" hidden="false" customHeight="true" outlineLevel="0" collapsed="false">
      <c r="A808" s="30" t="n">
        <v>45444</v>
      </c>
      <c r="B808" s="31" t="s">
        <v>153</v>
      </c>
      <c r="C808" s="32"/>
      <c r="D808" s="32"/>
      <c r="E808" s="19" t="n">
        <f aca="false">+F808*0.03</f>
        <v>0</v>
      </c>
      <c r="F808" s="33" t="n">
        <v>0</v>
      </c>
      <c r="G808" s="62"/>
      <c r="H808" s="35" t="n">
        <v>0</v>
      </c>
      <c r="I808" s="34" t="n">
        <f aca="false">+IF(E808=0,0,E808*0.03)</f>
        <v>0</v>
      </c>
    </row>
    <row r="809" customFormat="false" ht="15.75" hidden="false" customHeight="true" outlineLevel="0" collapsed="false">
      <c r="A809" s="30" t="n">
        <v>45444</v>
      </c>
      <c r="B809" s="31" t="s">
        <v>153</v>
      </c>
      <c r="C809" s="32"/>
      <c r="D809" s="32"/>
      <c r="E809" s="19" t="n">
        <f aca="false">+F809*0.03</f>
        <v>0</v>
      </c>
      <c r="F809" s="33" t="n">
        <v>0</v>
      </c>
      <c r="G809" s="62"/>
      <c r="H809" s="35" t="n">
        <v>0</v>
      </c>
      <c r="I809" s="34" t="n">
        <f aca="false">+IF(E809=0,0,E809*0.03)</f>
        <v>0</v>
      </c>
    </row>
    <row r="810" customFormat="false" ht="15.75" hidden="false" customHeight="true" outlineLevel="0" collapsed="false">
      <c r="A810" s="30" t="n">
        <v>45444</v>
      </c>
      <c r="B810" s="31" t="s">
        <v>153</v>
      </c>
      <c r="C810" s="32"/>
      <c r="D810" s="32"/>
      <c r="E810" s="19" t="n">
        <f aca="false">+F810*0.03</f>
        <v>0</v>
      </c>
      <c r="F810" s="33" t="n">
        <v>0</v>
      </c>
      <c r="G810" s="62"/>
      <c r="H810" s="35" t="n">
        <v>0</v>
      </c>
      <c r="I810" s="34" t="n">
        <f aca="false">+IF(E810=0,0,E810*0.03)</f>
        <v>0</v>
      </c>
    </row>
    <row r="811" customFormat="false" ht="15.75" hidden="false" customHeight="true" outlineLevel="0" collapsed="false">
      <c r="A811" s="30" t="n">
        <v>45444</v>
      </c>
      <c r="B811" s="31" t="s">
        <v>153</v>
      </c>
      <c r="C811" s="32"/>
      <c r="D811" s="32"/>
      <c r="E811" s="19" t="n">
        <f aca="false">+F811*0.03</f>
        <v>0</v>
      </c>
      <c r="F811" s="33" t="n">
        <v>0</v>
      </c>
      <c r="G811" s="62"/>
      <c r="H811" s="35" t="n">
        <v>0</v>
      </c>
      <c r="I811" s="34" t="n">
        <f aca="false">+IF(E811=0,0,E811*0.03)</f>
        <v>0</v>
      </c>
    </row>
    <row r="812" customFormat="false" ht="15.75" hidden="false" customHeight="true" outlineLevel="0" collapsed="false">
      <c r="A812" s="30" t="n">
        <v>45444</v>
      </c>
      <c r="B812" s="31" t="s">
        <v>153</v>
      </c>
      <c r="C812" s="32"/>
      <c r="D812" s="32"/>
      <c r="E812" s="19" t="n">
        <f aca="false">+F812*0.03</f>
        <v>0</v>
      </c>
      <c r="F812" s="33" t="n">
        <v>0</v>
      </c>
      <c r="G812" s="62"/>
      <c r="H812" s="35" t="n">
        <v>0</v>
      </c>
      <c r="I812" s="34" t="n">
        <f aca="false">+IF(E812=0,0,E812*0.03)</f>
        <v>0</v>
      </c>
    </row>
    <row r="813" customFormat="false" ht="15.75" hidden="false" customHeight="true" outlineLevel="0" collapsed="false">
      <c r="A813" s="30" t="n">
        <v>45444</v>
      </c>
      <c r="B813" s="31" t="s">
        <v>153</v>
      </c>
      <c r="C813" s="32"/>
      <c r="D813" s="32"/>
      <c r="E813" s="19" t="n">
        <f aca="false">+F813*0.03</f>
        <v>0</v>
      </c>
      <c r="F813" s="33" t="n">
        <v>0</v>
      </c>
      <c r="G813" s="62"/>
      <c r="H813" s="35" t="n">
        <v>0</v>
      </c>
      <c r="I813" s="34" t="n">
        <f aca="false">+IF(E813=0,0,E813*0.03)</f>
        <v>0</v>
      </c>
    </row>
    <row r="814" customFormat="false" ht="15.75" hidden="false" customHeight="true" outlineLevel="0" collapsed="false">
      <c r="A814" s="30" t="n">
        <v>45444</v>
      </c>
      <c r="B814" s="31" t="s">
        <v>153</v>
      </c>
      <c r="C814" s="32"/>
      <c r="D814" s="32"/>
      <c r="E814" s="19" t="n">
        <f aca="false">+F814*0.03</f>
        <v>0</v>
      </c>
      <c r="F814" s="33" t="n">
        <v>0</v>
      </c>
      <c r="G814" s="62"/>
      <c r="H814" s="35" t="n">
        <v>0</v>
      </c>
      <c r="I814" s="34" t="n">
        <f aca="false">+IF(E814=0,0,E814*0.03)</f>
        <v>0</v>
      </c>
    </row>
    <row r="815" customFormat="false" ht="15.75" hidden="false" customHeight="true" outlineLevel="0" collapsed="false">
      <c r="A815" s="30" t="n">
        <v>45444</v>
      </c>
      <c r="B815" s="31" t="s">
        <v>153</v>
      </c>
      <c r="C815" s="32"/>
      <c r="D815" s="32"/>
      <c r="E815" s="19" t="n">
        <f aca="false">+F815*0.03</f>
        <v>0</v>
      </c>
      <c r="F815" s="33" t="n">
        <v>0</v>
      </c>
      <c r="G815" s="62"/>
      <c r="H815" s="35" t="n">
        <v>0</v>
      </c>
      <c r="I815" s="34" t="n">
        <f aca="false">+IF(E815=0,0,E815*0.03)</f>
        <v>0</v>
      </c>
    </row>
    <row r="816" customFormat="false" ht="15.75" hidden="false" customHeight="true" outlineLevel="0" collapsed="false">
      <c r="A816" s="30" t="n">
        <v>45444</v>
      </c>
      <c r="B816" s="31" t="s">
        <v>153</v>
      </c>
      <c r="C816" s="32"/>
      <c r="D816" s="32"/>
      <c r="E816" s="19" t="n">
        <f aca="false">+F816*0.03</f>
        <v>0</v>
      </c>
      <c r="F816" s="33" t="n">
        <v>0</v>
      </c>
      <c r="G816" s="62"/>
      <c r="H816" s="35" t="n">
        <v>0</v>
      </c>
      <c r="I816" s="34" t="n">
        <f aca="false">+IF(E816=0,0,E816*0.03)</f>
        <v>0</v>
      </c>
    </row>
    <row r="817" customFormat="false" ht="15.75" hidden="false" customHeight="true" outlineLevel="0" collapsed="false">
      <c r="A817" s="30" t="n">
        <v>45444</v>
      </c>
      <c r="B817" s="31" t="s">
        <v>153</v>
      </c>
      <c r="C817" s="32"/>
      <c r="D817" s="32"/>
      <c r="E817" s="19" t="n">
        <f aca="false">+F817*0.03</f>
        <v>0</v>
      </c>
      <c r="F817" s="33" t="n">
        <v>0</v>
      </c>
      <c r="G817" s="62"/>
      <c r="H817" s="35" t="n">
        <v>0</v>
      </c>
      <c r="I817" s="34" t="n">
        <f aca="false">+IF(E817=0,0,E817*0.03)</f>
        <v>0</v>
      </c>
    </row>
    <row r="818" customFormat="false" ht="15.75" hidden="false" customHeight="true" outlineLevel="0" collapsed="false">
      <c r="A818" s="30" t="n">
        <v>45444</v>
      </c>
      <c r="B818" s="31" t="s">
        <v>153</v>
      </c>
      <c r="C818" s="32"/>
      <c r="D818" s="32"/>
      <c r="E818" s="19" t="n">
        <f aca="false">+F818*0.03</f>
        <v>0</v>
      </c>
      <c r="F818" s="33" t="n">
        <v>0</v>
      </c>
      <c r="G818" s="62"/>
      <c r="H818" s="35" t="n">
        <v>0</v>
      </c>
      <c r="I818" s="34" t="n">
        <f aca="false">+IF(E818=0,0,E818*0.03)</f>
        <v>0</v>
      </c>
    </row>
    <row r="819" customFormat="false" ht="15.75" hidden="false" customHeight="true" outlineLevel="0" collapsed="false">
      <c r="A819" s="30" t="n">
        <v>45444</v>
      </c>
      <c r="B819" s="31" t="s">
        <v>153</v>
      </c>
      <c r="C819" s="32"/>
      <c r="D819" s="32"/>
      <c r="E819" s="19" t="n">
        <f aca="false">+F819*0.03</f>
        <v>0</v>
      </c>
      <c r="F819" s="33" t="n">
        <v>0</v>
      </c>
      <c r="G819" s="62"/>
      <c r="H819" s="35" t="n">
        <v>0</v>
      </c>
      <c r="I819" s="34" t="n">
        <f aca="false">+IF(E819=0,0,E819*0.03)</f>
        <v>0</v>
      </c>
    </row>
    <row r="820" customFormat="false" ht="15.75" hidden="false" customHeight="true" outlineLevel="0" collapsed="false">
      <c r="A820" s="30" t="n">
        <v>45444</v>
      </c>
      <c r="B820" s="31" t="s">
        <v>153</v>
      </c>
      <c r="C820" s="32"/>
      <c r="D820" s="32"/>
      <c r="E820" s="19" t="n">
        <f aca="false">+F820*0.03</f>
        <v>0</v>
      </c>
      <c r="F820" s="33" t="n">
        <v>0</v>
      </c>
      <c r="G820" s="62"/>
      <c r="H820" s="35" t="n">
        <v>0</v>
      </c>
      <c r="I820" s="34" t="n">
        <f aca="false">+IF(E820=0,0,E820*0.03)</f>
        <v>0</v>
      </c>
    </row>
    <row r="821" customFormat="false" ht="15.75" hidden="false" customHeight="true" outlineLevel="0" collapsed="false">
      <c r="A821" s="30" t="n">
        <v>45444</v>
      </c>
      <c r="B821" s="31" t="s">
        <v>153</v>
      </c>
      <c r="C821" s="32"/>
      <c r="D821" s="32"/>
      <c r="E821" s="19" t="n">
        <f aca="false">+F821*0.03</f>
        <v>0</v>
      </c>
      <c r="F821" s="33" t="n">
        <v>0</v>
      </c>
      <c r="G821" s="62"/>
      <c r="H821" s="35" t="n">
        <v>0</v>
      </c>
      <c r="I821" s="34" t="n">
        <f aca="false">+IF(E821=0,0,E821*0.03)</f>
        <v>0</v>
      </c>
    </row>
    <row r="822" customFormat="false" ht="15.75" hidden="false" customHeight="true" outlineLevel="0" collapsed="false">
      <c r="A822" s="30" t="n">
        <v>45444</v>
      </c>
      <c r="B822" s="31" t="s">
        <v>153</v>
      </c>
      <c r="C822" s="32"/>
      <c r="D822" s="32"/>
      <c r="E822" s="19" t="n">
        <f aca="false">+F822*0.03</f>
        <v>0</v>
      </c>
      <c r="F822" s="33" t="n">
        <v>0</v>
      </c>
      <c r="G822" s="62"/>
      <c r="H822" s="35" t="n">
        <v>0</v>
      </c>
      <c r="I822" s="34" t="n">
        <f aca="false">+IF(E822=0,0,E822*0.03)</f>
        <v>0</v>
      </c>
    </row>
    <row r="823" customFormat="false" ht="15.75" hidden="false" customHeight="true" outlineLevel="0" collapsed="false">
      <c r="A823" s="30" t="n">
        <v>45444</v>
      </c>
      <c r="B823" s="31" t="s">
        <v>153</v>
      </c>
      <c r="C823" s="32"/>
      <c r="D823" s="32"/>
      <c r="E823" s="19" t="n">
        <f aca="false">+F823*0.03</f>
        <v>0</v>
      </c>
      <c r="F823" s="33" t="n">
        <v>0</v>
      </c>
      <c r="G823" s="62"/>
      <c r="H823" s="35" t="n">
        <v>0</v>
      </c>
      <c r="I823" s="34" t="n">
        <f aca="false">+IF(E823=0,0,E823*0.03)</f>
        <v>0</v>
      </c>
    </row>
    <row r="824" customFormat="false" ht="15.75" hidden="false" customHeight="true" outlineLevel="0" collapsed="false">
      <c r="A824" s="30" t="n">
        <v>45444</v>
      </c>
      <c r="B824" s="31" t="s">
        <v>153</v>
      </c>
      <c r="C824" s="32"/>
      <c r="D824" s="32"/>
      <c r="E824" s="19" t="n">
        <f aca="false">+F824*0.03</f>
        <v>0</v>
      </c>
      <c r="F824" s="33" t="n">
        <v>0</v>
      </c>
      <c r="G824" s="62"/>
      <c r="H824" s="35" t="n">
        <v>0</v>
      </c>
      <c r="I824" s="34" t="n">
        <f aca="false">+IF(E824=0,0,E824*0.03)</f>
        <v>0</v>
      </c>
    </row>
    <row r="825" customFormat="false" ht="15.75" hidden="false" customHeight="true" outlineLevel="0" collapsed="false">
      <c r="A825" s="30" t="n">
        <v>45444</v>
      </c>
      <c r="B825" s="31" t="s">
        <v>153</v>
      </c>
      <c r="C825" s="32"/>
      <c r="D825" s="32"/>
      <c r="E825" s="19" t="n">
        <f aca="false">+F825*0.03</f>
        <v>0</v>
      </c>
      <c r="F825" s="33" t="n">
        <v>0</v>
      </c>
      <c r="G825" s="62"/>
      <c r="H825" s="35" t="n">
        <v>0</v>
      </c>
      <c r="I825" s="34" t="n">
        <f aca="false">+IF(E825=0,0,E825*0.03)</f>
        <v>0</v>
      </c>
    </row>
    <row r="826" customFormat="false" ht="15.75" hidden="false" customHeight="true" outlineLevel="0" collapsed="false">
      <c r="A826" s="30" t="n">
        <v>45444</v>
      </c>
      <c r="B826" s="31" t="s">
        <v>153</v>
      </c>
      <c r="C826" s="32"/>
      <c r="D826" s="32"/>
      <c r="E826" s="19" t="n">
        <f aca="false">+F826*0.03</f>
        <v>0</v>
      </c>
      <c r="F826" s="33" t="n">
        <v>0</v>
      </c>
      <c r="G826" s="62"/>
      <c r="H826" s="35" t="n">
        <v>0</v>
      </c>
      <c r="I826" s="34" t="n">
        <f aca="false">+IF(E826=0,0,E826*0.03)</f>
        <v>0</v>
      </c>
    </row>
    <row r="827" customFormat="false" ht="15.75" hidden="false" customHeight="true" outlineLevel="0" collapsed="false">
      <c r="A827" s="30" t="n">
        <v>45444</v>
      </c>
      <c r="B827" s="31" t="s">
        <v>153</v>
      </c>
      <c r="C827" s="32"/>
      <c r="D827" s="32"/>
      <c r="E827" s="19" t="n">
        <f aca="false">+F827*0.03</f>
        <v>0</v>
      </c>
      <c r="F827" s="33" t="n">
        <v>0</v>
      </c>
      <c r="G827" s="62"/>
      <c r="H827" s="35" t="n">
        <v>0</v>
      </c>
      <c r="I827" s="34" t="n">
        <f aca="false">+IF(E827=0,0,E827*0.03)</f>
        <v>0</v>
      </c>
    </row>
    <row r="828" customFormat="false" ht="15.75" hidden="false" customHeight="true" outlineLevel="0" collapsed="false">
      <c r="A828" s="30" t="n">
        <v>45444</v>
      </c>
      <c r="B828" s="31" t="s">
        <v>153</v>
      </c>
      <c r="C828" s="32"/>
      <c r="D828" s="32"/>
      <c r="E828" s="19" t="n">
        <f aca="false">+F828*0.03</f>
        <v>0</v>
      </c>
      <c r="F828" s="33" t="n">
        <v>0</v>
      </c>
      <c r="G828" s="62"/>
      <c r="H828" s="35" t="n">
        <v>0</v>
      </c>
      <c r="I828" s="34" t="n">
        <f aca="false">+IF(E828=0,0,E828*0.03)</f>
        <v>0</v>
      </c>
    </row>
    <row r="829" customFormat="false" ht="15.75" hidden="false" customHeight="true" outlineLevel="0" collapsed="false">
      <c r="A829" s="30" t="n">
        <v>45444</v>
      </c>
      <c r="B829" s="31" t="s">
        <v>153</v>
      </c>
      <c r="C829" s="32"/>
      <c r="D829" s="32"/>
      <c r="E829" s="19" t="n">
        <f aca="false">+F829*0.03</f>
        <v>0</v>
      </c>
      <c r="F829" s="33" t="n">
        <v>0</v>
      </c>
      <c r="G829" s="62"/>
      <c r="H829" s="35" t="n">
        <v>0</v>
      </c>
      <c r="I829" s="34" t="n">
        <f aca="false">+IF(E829=0,0,E829*0.03)</f>
        <v>0</v>
      </c>
    </row>
    <row r="830" customFormat="false" ht="15.75" hidden="false" customHeight="true" outlineLevel="0" collapsed="false">
      <c r="A830" s="30" t="n">
        <v>45444</v>
      </c>
      <c r="B830" s="31" t="s">
        <v>153</v>
      </c>
      <c r="C830" s="32"/>
      <c r="D830" s="32"/>
      <c r="E830" s="19" t="n">
        <f aca="false">+F830*0.03</f>
        <v>0</v>
      </c>
      <c r="F830" s="33" t="n">
        <v>0</v>
      </c>
      <c r="G830" s="62"/>
      <c r="H830" s="35" t="n">
        <v>0</v>
      </c>
      <c r="I830" s="34" t="n">
        <f aca="false">+IF(E830=0,0,E830*0.03)</f>
        <v>0</v>
      </c>
    </row>
    <row r="831" customFormat="false" ht="15.75" hidden="false" customHeight="true" outlineLevel="0" collapsed="false">
      <c r="A831" s="30" t="n">
        <v>45444</v>
      </c>
      <c r="B831" s="31" t="s">
        <v>153</v>
      </c>
      <c r="C831" s="32"/>
      <c r="D831" s="32"/>
      <c r="E831" s="19" t="n">
        <f aca="false">+F831*0.03</f>
        <v>0</v>
      </c>
      <c r="F831" s="33" t="n">
        <v>0</v>
      </c>
      <c r="G831" s="62"/>
      <c r="H831" s="35" t="n">
        <v>0</v>
      </c>
      <c r="I831" s="34" t="n">
        <f aca="false">+IF(E831=0,0,E831*0.03)</f>
        <v>0</v>
      </c>
    </row>
    <row r="832" customFormat="false" ht="15.75" hidden="false" customHeight="true" outlineLevel="0" collapsed="false">
      <c r="A832" s="30" t="n">
        <v>45444</v>
      </c>
      <c r="B832" s="31" t="s">
        <v>153</v>
      </c>
      <c r="C832" s="32"/>
      <c r="D832" s="32"/>
      <c r="E832" s="19" t="n">
        <f aca="false">+F832*0.03</f>
        <v>0</v>
      </c>
      <c r="F832" s="33" t="n">
        <v>0</v>
      </c>
      <c r="G832" s="62"/>
      <c r="H832" s="35" t="n">
        <v>0</v>
      </c>
      <c r="I832" s="34" t="n">
        <f aca="false">+IF(E832=0,0,E832*0.03)</f>
        <v>0</v>
      </c>
    </row>
    <row r="833" customFormat="false" ht="15.75" hidden="false" customHeight="true" outlineLevel="0" collapsed="false">
      <c r="A833" s="30" t="n">
        <v>45444</v>
      </c>
      <c r="B833" s="31" t="s">
        <v>153</v>
      </c>
      <c r="C833" s="32"/>
      <c r="D833" s="32"/>
      <c r="E833" s="19" t="n">
        <f aca="false">+F833*0.03</f>
        <v>0</v>
      </c>
      <c r="F833" s="33" t="n">
        <v>0</v>
      </c>
      <c r="G833" s="62"/>
      <c r="H833" s="35" t="n">
        <v>0</v>
      </c>
      <c r="I833" s="34" t="n">
        <f aca="false">+IF(E833=0,0,E833*0.03)</f>
        <v>0</v>
      </c>
    </row>
    <row r="834" customFormat="false" ht="15.75" hidden="false" customHeight="true" outlineLevel="0" collapsed="false">
      <c r="A834" s="30" t="n">
        <v>45444</v>
      </c>
      <c r="B834" s="31" t="s">
        <v>153</v>
      </c>
      <c r="C834" s="32"/>
      <c r="D834" s="32"/>
      <c r="E834" s="19" t="n">
        <f aca="false">+F834*0.03</f>
        <v>0</v>
      </c>
      <c r="F834" s="33" t="n">
        <v>0</v>
      </c>
      <c r="G834" s="62"/>
      <c r="H834" s="35" t="n">
        <v>0</v>
      </c>
      <c r="I834" s="34" t="n">
        <f aca="false">+IF(E834=0,0,E834*0.03)</f>
        <v>0</v>
      </c>
    </row>
    <row r="835" customFormat="false" ht="15.75" hidden="false" customHeight="true" outlineLevel="0" collapsed="false">
      <c r="A835" s="30" t="n">
        <v>45444</v>
      </c>
      <c r="B835" s="31" t="s">
        <v>153</v>
      </c>
      <c r="C835" s="32"/>
      <c r="D835" s="32"/>
      <c r="E835" s="19" t="n">
        <f aca="false">+F835*0.03</f>
        <v>0</v>
      </c>
      <c r="F835" s="33" t="n">
        <v>0</v>
      </c>
      <c r="G835" s="62"/>
      <c r="H835" s="35" t="n">
        <v>0</v>
      </c>
      <c r="I835" s="34" t="n">
        <f aca="false">+IF(E835=0,0,E835*0.03)</f>
        <v>0</v>
      </c>
    </row>
    <row r="836" customFormat="false" ht="15.75" hidden="false" customHeight="true" outlineLevel="0" collapsed="false">
      <c r="A836" s="30" t="n">
        <v>45444</v>
      </c>
      <c r="B836" s="31" t="s">
        <v>153</v>
      </c>
      <c r="C836" s="32"/>
      <c r="D836" s="32"/>
      <c r="E836" s="19" t="n">
        <f aca="false">+F836*0.03</f>
        <v>0</v>
      </c>
      <c r="F836" s="33" t="n">
        <v>0</v>
      </c>
      <c r="G836" s="62"/>
      <c r="H836" s="35" t="n">
        <v>0</v>
      </c>
      <c r="I836" s="34" t="n">
        <f aca="false">+IF(E836=0,0,E836*0.03)</f>
        <v>0</v>
      </c>
    </row>
    <row r="837" customFormat="false" ht="15.75" hidden="false" customHeight="true" outlineLevel="0" collapsed="false">
      <c r="A837" s="30" t="n">
        <v>45444</v>
      </c>
      <c r="B837" s="31" t="s">
        <v>153</v>
      </c>
      <c r="C837" s="32"/>
      <c r="D837" s="32"/>
      <c r="E837" s="19" t="n">
        <f aca="false">+F837*0.03</f>
        <v>0</v>
      </c>
      <c r="F837" s="33" t="n">
        <v>0</v>
      </c>
      <c r="G837" s="62"/>
      <c r="H837" s="35" t="n">
        <v>0</v>
      </c>
      <c r="I837" s="34" t="n">
        <f aca="false">+IF(E837=0,0,E837*0.03)</f>
        <v>0</v>
      </c>
    </row>
    <row r="838" customFormat="false" ht="15.75" hidden="false" customHeight="true" outlineLevel="0" collapsed="false">
      <c r="A838" s="30" t="n">
        <v>45444</v>
      </c>
      <c r="B838" s="31" t="s">
        <v>153</v>
      </c>
      <c r="C838" s="32"/>
      <c r="D838" s="32"/>
      <c r="E838" s="19" t="n">
        <f aca="false">+F838*0.03</f>
        <v>0</v>
      </c>
      <c r="F838" s="33" t="n">
        <v>0</v>
      </c>
      <c r="G838" s="62"/>
      <c r="H838" s="35" t="n">
        <v>0</v>
      </c>
      <c r="I838" s="34" t="n">
        <f aca="false">+IF(E838=0,0,E838*0.03)</f>
        <v>0</v>
      </c>
    </row>
    <row r="839" customFormat="false" ht="15.75" hidden="false" customHeight="true" outlineLevel="0" collapsed="false">
      <c r="A839" s="30" t="n">
        <v>45444</v>
      </c>
      <c r="B839" s="31" t="s">
        <v>153</v>
      </c>
      <c r="C839" s="32"/>
      <c r="D839" s="32"/>
      <c r="E839" s="19" t="n">
        <f aca="false">+F839*0.03</f>
        <v>0</v>
      </c>
      <c r="F839" s="33" t="n">
        <v>0</v>
      </c>
      <c r="G839" s="62"/>
      <c r="H839" s="35" t="n">
        <v>0</v>
      </c>
      <c r="I839" s="34" t="n">
        <f aca="false">+IF(E839=0,0,E839*0.03)</f>
        <v>0</v>
      </c>
    </row>
    <row r="840" customFormat="false" ht="15.75" hidden="false" customHeight="true" outlineLevel="0" collapsed="false">
      <c r="A840" s="30" t="n">
        <v>45444</v>
      </c>
      <c r="B840" s="31" t="s">
        <v>153</v>
      </c>
      <c r="C840" s="32"/>
      <c r="D840" s="32"/>
      <c r="E840" s="19" t="n">
        <f aca="false">+F840*0.03</f>
        <v>0</v>
      </c>
      <c r="F840" s="33" t="n">
        <v>0</v>
      </c>
      <c r="G840" s="62"/>
      <c r="H840" s="35" t="n">
        <v>0</v>
      </c>
      <c r="I840" s="34" t="n">
        <f aca="false">+IF(E840=0,0,E840*0.03)</f>
        <v>0</v>
      </c>
    </row>
    <row r="841" customFormat="false" ht="15.75" hidden="false" customHeight="true" outlineLevel="0" collapsed="false">
      <c r="A841" s="30" t="n">
        <v>45444</v>
      </c>
      <c r="B841" s="31" t="s">
        <v>153</v>
      </c>
      <c r="C841" s="32"/>
      <c r="D841" s="32"/>
      <c r="E841" s="19" t="n">
        <f aca="false">+F841*0.03</f>
        <v>0</v>
      </c>
      <c r="F841" s="33" t="n">
        <v>0</v>
      </c>
      <c r="G841" s="62"/>
      <c r="H841" s="35" t="n">
        <v>0</v>
      </c>
      <c r="I841" s="34" t="n">
        <f aca="false">+IF(E841=0,0,E841*0.03)</f>
        <v>0</v>
      </c>
    </row>
    <row r="842" customFormat="false" ht="15.75" hidden="false" customHeight="true" outlineLevel="0" collapsed="false">
      <c r="A842" s="30" t="n">
        <v>45444</v>
      </c>
      <c r="B842" s="31" t="s">
        <v>153</v>
      </c>
      <c r="C842" s="32"/>
      <c r="D842" s="32"/>
      <c r="E842" s="19" t="n">
        <f aca="false">+F842*0.03</f>
        <v>0</v>
      </c>
      <c r="F842" s="33" t="n">
        <v>0</v>
      </c>
      <c r="G842" s="62"/>
      <c r="H842" s="35" t="n">
        <v>0</v>
      </c>
      <c r="I842" s="34" t="n">
        <f aca="false">+IF(E842=0,0,E842*0.03)</f>
        <v>0</v>
      </c>
    </row>
    <row r="843" customFormat="false" ht="15.75" hidden="false" customHeight="true" outlineLevel="0" collapsed="false">
      <c r="A843" s="30" t="n">
        <v>45444</v>
      </c>
      <c r="B843" s="31" t="s">
        <v>153</v>
      </c>
      <c r="C843" s="32"/>
      <c r="D843" s="32"/>
      <c r="E843" s="19" t="n">
        <f aca="false">+F843*0.03</f>
        <v>0</v>
      </c>
      <c r="F843" s="33" t="n">
        <v>0</v>
      </c>
      <c r="G843" s="62"/>
      <c r="H843" s="35" t="n">
        <v>0</v>
      </c>
      <c r="I843" s="34" t="n">
        <f aca="false">+IF(E843=0,0,E843*0.03)</f>
        <v>0</v>
      </c>
    </row>
    <row r="844" customFormat="false" ht="15.75" hidden="false" customHeight="true" outlineLevel="0" collapsed="false">
      <c r="A844" s="30" t="n">
        <v>45444</v>
      </c>
      <c r="B844" s="31" t="s">
        <v>153</v>
      </c>
      <c r="C844" s="32"/>
      <c r="D844" s="32"/>
      <c r="E844" s="19" t="n">
        <f aca="false">+F844*0.03</f>
        <v>0</v>
      </c>
      <c r="F844" s="33" t="n">
        <v>0</v>
      </c>
      <c r="G844" s="62"/>
      <c r="H844" s="35" t="n">
        <v>0</v>
      </c>
      <c r="I844" s="34" t="n">
        <f aca="false">+IF(E844=0,0,E844*0.03)</f>
        <v>0</v>
      </c>
    </row>
    <row r="845" customFormat="false" ht="15.75" hidden="false" customHeight="true" outlineLevel="0" collapsed="false">
      <c r="A845" s="30" t="n">
        <v>45444</v>
      </c>
      <c r="B845" s="31" t="s">
        <v>153</v>
      </c>
      <c r="C845" s="32"/>
      <c r="D845" s="32"/>
      <c r="E845" s="19" t="n">
        <f aca="false">+F845*0.03</f>
        <v>0</v>
      </c>
      <c r="F845" s="33" t="n">
        <v>0</v>
      </c>
      <c r="G845" s="62"/>
      <c r="H845" s="35" t="n">
        <v>0</v>
      </c>
      <c r="I845" s="34" t="n">
        <f aca="false">+IF(E845=0,0,E845*0.03)</f>
        <v>0</v>
      </c>
    </row>
    <row r="846" customFormat="false" ht="15.75" hidden="false" customHeight="true" outlineLevel="0" collapsed="false">
      <c r="A846" s="30" t="n">
        <v>45444</v>
      </c>
      <c r="B846" s="31" t="s">
        <v>153</v>
      </c>
      <c r="C846" s="32"/>
      <c r="D846" s="32"/>
      <c r="E846" s="19" t="n">
        <f aca="false">+F846*0.03</f>
        <v>0</v>
      </c>
      <c r="F846" s="33" t="n">
        <v>0</v>
      </c>
      <c r="G846" s="62"/>
      <c r="H846" s="35" t="n">
        <v>0</v>
      </c>
      <c r="I846" s="34" t="n">
        <f aca="false">+IF(E846=0,0,E846*0.03)</f>
        <v>0</v>
      </c>
    </row>
    <row r="847" customFormat="false" ht="15.75" hidden="false" customHeight="true" outlineLevel="0" collapsed="false">
      <c r="A847" s="30" t="n">
        <v>45444</v>
      </c>
      <c r="B847" s="31" t="s">
        <v>153</v>
      </c>
      <c r="C847" s="32"/>
      <c r="D847" s="32"/>
      <c r="E847" s="19" t="n">
        <f aca="false">+F847*0.03</f>
        <v>0</v>
      </c>
      <c r="F847" s="33" t="n">
        <v>0</v>
      </c>
      <c r="G847" s="62"/>
      <c r="H847" s="35" t="n">
        <v>0</v>
      </c>
      <c r="I847" s="34" t="n">
        <f aca="false">+IF(E847=0,0,E847*0.03)</f>
        <v>0</v>
      </c>
    </row>
    <row r="848" customFormat="false" ht="15.75" hidden="false" customHeight="true" outlineLevel="0" collapsed="false">
      <c r="A848" s="30" t="n">
        <v>45444</v>
      </c>
      <c r="B848" s="31" t="s">
        <v>153</v>
      </c>
      <c r="C848" s="32"/>
      <c r="D848" s="32"/>
      <c r="E848" s="19" t="n">
        <f aca="false">+F848*0.03</f>
        <v>0</v>
      </c>
      <c r="F848" s="33" t="n">
        <v>0</v>
      </c>
      <c r="G848" s="62"/>
      <c r="H848" s="35" t="n">
        <v>0</v>
      </c>
      <c r="I848" s="34" t="n">
        <f aca="false">+IF(E848=0,0,E848*0.03)</f>
        <v>0</v>
      </c>
    </row>
    <row r="849" customFormat="false" ht="15.75" hidden="false" customHeight="true" outlineLevel="0" collapsed="false">
      <c r="A849" s="30" t="n">
        <v>45444</v>
      </c>
      <c r="B849" s="31" t="s">
        <v>153</v>
      </c>
      <c r="C849" s="32"/>
      <c r="D849" s="32"/>
      <c r="E849" s="19" t="n">
        <f aca="false">+F849*0.03</f>
        <v>0</v>
      </c>
      <c r="F849" s="33" t="n">
        <v>0</v>
      </c>
      <c r="G849" s="62"/>
      <c r="H849" s="35" t="n">
        <v>0</v>
      </c>
      <c r="I849" s="34" t="n">
        <f aca="false">+IF(E849=0,0,E849*0.03)</f>
        <v>0</v>
      </c>
    </row>
    <row r="850" customFormat="false" ht="15.75" hidden="false" customHeight="true" outlineLevel="0" collapsed="false">
      <c r="A850" s="30" t="n">
        <v>45444</v>
      </c>
      <c r="B850" s="31" t="s">
        <v>153</v>
      </c>
      <c r="C850" s="32"/>
      <c r="D850" s="32"/>
      <c r="E850" s="19" t="n">
        <f aca="false">+F850*0.03</f>
        <v>0</v>
      </c>
      <c r="F850" s="33" t="n">
        <v>0</v>
      </c>
      <c r="G850" s="62"/>
      <c r="H850" s="35" t="n">
        <v>0</v>
      </c>
      <c r="I850" s="34" t="n">
        <f aca="false">+IF(E850=0,0,E850*0.03)</f>
        <v>0</v>
      </c>
    </row>
    <row r="851" customFormat="false" ht="15.75" hidden="false" customHeight="true" outlineLevel="0" collapsed="false">
      <c r="A851" s="30" t="n">
        <v>45444</v>
      </c>
      <c r="B851" s="31" t="s">
        <v>153</v>
      </c>
      <c r="C851" s="32"/>
      <c r="D851" s="32"/>
      <c r="E851" s="19" t="n">
        <f aca="false">+F851*0.03</f>
        <v>0</v>
      </c>
      <c r="F851" s="33" t="n">
        <v>0</v>
      </c>
      <c r="G851" s="62"/>
      <c r="H851" s="35" t="n">
        <v>0</v>
      </c>
      <c r="I851" s="34" t="n">
        <f aca="false">+IF(E851=0,0,E851*0.03)</f>
        <v>0</v>
      </c>
    </row>
    <row r="852" customFormat="false" ht="15.75" hidden="false" customHeight="true" outlineLevel="0" collapsed="false">
      <c r="A852" s="30" t="n">
        <v>45444</v>
      </c>
      <c r="B852" s="31" t="s">
        <v>153</v>
      </c>
      <c r="C852" s="32"/>
      <c r="D852" s="32"/>
      <c r="E852" s="19" t="n">
        <f aca="false">+F852*0.03</f>
        <v>0</v>
      </c>
      <c r="F852" s="33" t="n">
        <v>0</v>
      </c>
      <c r="G852" s="62"/>
      <c r="H852" s="35" t="n">
        <v>0</v>
      </c>
      <c r="I852" s="34" t="n">
        <f aca="false">+IF(E852=0,0,E852*0.03)</f>
        <v>0</v>
      </c>
    </row>
    <row r="853" customFormat="false" ht="15.75" hidden="false" customHeight="true" outlineLevel="0" collapsed="false">
      <c r="A853" s="30" t="n">
        <v>45444</v>
      </c>
      <c r="B853" s="31" t="s">
        <v>153</v>
      </c>
      <c r="C853" s="32"/>
      <c r="D853" s="32"/>
      <c r="E853" s="19" t="n">
        <f aca="false">+F853*0.03</f>
        <v>0</v>
      </c>
      <c r="F853" s="33" t="n">
        <v>0</v>
      </c>
      <c r="G853" s="62"/>
      <c r="H853" s="35" t="n">
        <v>0</v>
      </c>
      <c r="I853" s="34" t="n">
        <f aca="false">+IF(E853=0,0,E853*0.03)</f>
        <v>0</v>
      </c>
    </row>
    <row r="854" customFormat="false" ht="15.75" hidden="false" customHeight="true" outlineLevel="0" collapsed="false">
      <c r="A854" s="30" t="n">
        <v>45444</v>
      </c>
      <c r="B854" s="31" t="s">
        <v>153</v>
      </c>
      <c r="C854" s="32"/>
      <c r="D854" s="32"/>
      <c r="E854" s="19" t="n">
        <f aca="false">+F854*0.03</f>
        <v>0</v>
      </c>
      <c r="F854" s="33" t="n">
        <v>0</v>
      </c>
      <c r="G854" s="62"/>
      <c r="H854" s="35" t="n">
        <v>0</v>
      </c>
      <c r="I854" s="34" t="n">
        <f aca="false">+IF(E854=0,0,E854*0.03)</f>
        <v>0</v>
      </c>
    </row>
    <row r="855" customFormat="false" ht="15.75" hidden="false" customHeight="true" outlineLevel="0" collapsed="false">
      <c r="A855" s="30" t="n">
        <v>45444</v>
      </c>
      <c r="B855" s="31" t="s">
        <v>153</v>
      </c>
      <c r="C855" s="32"/>
      <c r="D855" s="32"/>
      <c r="E855" s="19" t="n">
        <f aca="false">+F855*0.03</f>
        <v>0</v>
      </c>
      <c r="F855" s="33" t="n">
        <v>0</v>
      </c>
      <c r="G855" s="62"/>
      <c r="H855" s="35" t="n">
        <v>0</v>
      </c>
      <c r="I855" s="34" t="n">
        <f aca="false">+IF(E855=0,0,E855*0.03)</f>
        <v>0</v>
      </c>
    </row>
    <row r="856" customFormat="false" ht="15.75" hidden="false" customHeight="true" outlineLevel="0" collapsed="false">
      <c r="A856" s="30" t="n">
        <v>45444</v>
      </c>
      <c r="B856" s="31" t="s">
        <v>153</v>
      </c>
      <c r="C856" s="32"/>
      <c r="D856" s="32"/>
      <c r="E856" s="19" t="n">
        <f aca="false">+F856*0.03</f>
        <v>0</v>
      </c>
      <c r="F856" s="33" t="n">
        <v>0</v>
      </c>
      <c r="G856" s="62"/>
      <c r="H856" s="35" t="n">
        <v>0</v>
      </c>
      <c r="I856" s="34" t="n">
        <f aca="false">+IF(E856=0,0,E856*0.03)</f>
        <v>0</v>
      </c>
    </row>
    <row r="857" customFormat="false" ht="15.75" hidden="false" customHeight="true" outlineLevel="0" collapsed="false">
      <c r="A857" s="30" t="n">
        <v>45444</v>
      </c>
      <c r="B857" s="31" t="s">
        <v>153</v>
      </c>
      <c r="C857" s="32"/>
      <c r="D857" s="32"/>
      <c r="E857" s="19" t="n">
        <f aca="false">+F857*0.03</f>
        <v>0</v>
      </c>
      <c r="F857" s="33" t="n">
        <v>0</v>
      </c>
      <c r="G857" s="62"/>
      <c r="H857" s="35" t="n">
        <v>0</v>
      </c>
      <c r="I857" s="34" t="n">
        <f aca="false">+IF(E857=0,0,E857*0.03)</f>
        <v>0</v>
      </c>
    </row>
    <row r="858" customFormat="false" ht="15.75" hidden="false" customHeight="true" outlineLevel="0" collapsed="false">
      <c r="A858" s="30" t="n">
        <v>45444</v>
      </c>
      <c r="B858" s="31" t="s">
        <v>153</v>
      </c>
      <c r="C858" s="32"/>
      <c r="D858" s="32"/>
      <c r="E858" s="19" t="n">
        <f aca="false">+F858*0.03</f>
        <v>0</v>
      </c>
      <c r="F858" s="33" t="n">
        <v>0</v>
      </c>
      <c r="G858" s="62"/>
      <c r="H858" s="35" t="n">
        <v>0</v>
      </c>
      <c r="I858" s="34" t="n">
        <f aca="false">+IF(E858=0,0,E858*0.03)</f>
        <v>0</v>
      </c>
    </row>
    <row r="859" customFormat="false" ht="15.75" hidden="false" customHeight="true" outlineLevel="0" collapsed="false">
      <c r="A859" s="30" t="n">
        <v>45444</v>
      </c>
      <c r="B859" s="31" t="s">
        <v>153</v>
      </c>
      <c r="C859" s="32"/>
      <c r="D859" s="32"/>
      <c r="E859" s="19" t="n">
        <f aca="false">+F859*0.03</f>
        <v>0</v>
      </c>
      <c r="F859" s="33" t="n">
        <v>0</v>
      </c>
      <c r="G859" s="62"/>
      <c r="H859" s="35" t="n">
        <v>0</v>
      </c>
      <c r="I859" s="34" t="n">
        <f aca="false">+IF(E859=0,0,E859*0.03)</f>
        <v>0</v>
      </c>
    </row>
    <row r="860" customFormat="false" ht="15.75" hidden="false" customHeight="true" outlineLevel="0" collapsed="false">
      <c r="A860" s="30" t="n">
        <v>45444</v>
      </c>
      <c r="B860" s="31" t="s">
        <v>153</v>
      </c>
      <c r="C860" s="32"/>
      <c r="D860" s="32"/>
      <c r="E860" s="19" t="n">
        <f aca="false">+F860*0.03</f>
        <v>0</v>
      </c>
      <c r="F860" s="33" t="n">
        <v>0</v>
      </c>
      <c r="G860" s="62"/>
      <c r="H860" s="35" t="n">
        <v>0</v>
      </c>
      <c r="I860" s="34" t="n">
        <f aca="false">+IF(E860=0,0,E860*0.03)</f>
        <v>0</v>
      </c>
    </row>
    <row r="861" customFormat="false" ht="15.75" hidden="false" customHeight="true" outlineLevel="0" collapsed="false">
      <c r="A861" s="30" t="n">
        <v>45444</v>
      </c>
      <c r="B861" s="31" t="s">
        <v>153</v>
      </c>
      <c r="C861" s="32"/>
      <c r="D861" s="32"/>
      <c r="E861" s="19" t="n">
        <f aca="false">+F861*0.03</f>
        <v>0</v>
      </c>
      <c r="F861" s="33" t="n">
        <v>0</v>
      </c>
      <c r="G861" s="62"/>
      <c r="H861" s="35" t="n">
        <v>0</v>
      </c>
      <c r="I861" s="34" t="n">
        <f aca="false">+IF(E861=0,0,E861*0.03)</f>
        <v>0</v>
      </c>
    </row>
    <row r="862" customFormat="false" ht="15.75" hidden="false" customHeight="true" outlineLevel="0" collapsed="false">
      <c r="A862" s="30" t="n">
        <v>45444</v>
      </c>
      <c r="B862" s="31" t="s">
        <v>153</v>
      </c>
      <c r="C862" s="32"/>
      <c r="D862" s="32"/>
      <c r="E862" s="19" t="n">
        <f aca="false">+F862*0.03</f>
        <v>0</v>
      </c>
      <c r="F862" s="33" t="n">
        <v>0</v>
      </c>
      <c r="G862" s="62"/>
      <c r="H862" s="35" t="n">
        <v>0</v>
      </c>
      <c r="I862" s="34" t="n">
        <f aca="false">+IF(E862=0,0,E862*0.03)</f>
        <v>0</v>
      </c>
    </row>
    <row r="863" customFormat="false" ht="15.75" hidden="false" customHeight="true" outlineLevel="0" collapsed="false">
      <c r="A863" s="30" t="n">
        <v>45444</v>
      </c>
      <c r="B863" s="31" t="s">
        <v>153</v>
      </c>
      <c r="C863" s="32"/>
      <c r="D863" s="32"/>
      <c r="E863" s="19" t="n">
        <f aca="false">+F863*0.03</f>
        <v>0</v>
      </c>
      <c r="F863" s="33" t="n">
        <v>0</v>
      </c>
      <c r="G863" s="62"/>
      <c r="H863" s="35" t="n">
        <v>0</v>
      </c>
      <c r="I863" s="34" t="n">
        <f aca="false">+IF(E863=0,0,E863*0.03)</f>
        <v>0</v>
      </c>
    </row>
    <row r="864" customFormat="false" ht="15.75" hidden="false" customHeight="true" outlineLevel="0" collapsed="false">
      <c r="A864" s="30" t="n">
        <v>45444</v>
      </c>
      <c r="B864" s="31" t="s">
        <v>153</v>
      </c>
      <c r="C864" s="32"/>
      <c r="D864" s="32"/>
      <c r="E864" s="19" t="n">
        <f aca="false">+F864*0.03</f>
        <v>0</v>
      </c>
      <c r="F864" s="33" t="n">
        <v>0</v>
      </c>
      <c r="G864" s="62"/>
      <c r="H864" s="35" t="n">
        <v>0</v>
      </c>
      <c r="I864" s="34" t="n">
        <f aca="false">+IF(E864=0,0,E864*0.03)</f>
        <v>0</v>
      </c>
    </row>
    <row r="865" customFormat="false" ht="15.75" hidden="false" customHeight="true" outlineLevel="0" collapsed="false">
      <c r="A865" s="30" t="n">
        <v>45444</v>
      </c>
      <c r="B865" s="31" t="s">
        <v>153</v>
      </c>
      <c r="C865" s="32"/>
      <c r="D865" s="32"/>
      <c r="E865" s="19" t="n">
        <f aca="false">+F865*0.03</f>
        <v>0</v>
      </c>
      <c r="F865" s="33" t="n">
        <v>0</v>
      </c>
      <c r="G865" s="62"/>
      <c r="H865" s="35" t="n">
        <v>0</v>
      </c>
      <c r="I865" s="34" t="n">
        <f aca="false">+IF(E865=0,0,E865*0.03)</f>
        <v>0</v>
      </c>
    </row>
    <row r="866" customFormat="false" ht="15.75" hidden="false" customHeight="true" outlineLevel="0" collapsed="false">
      <c r="A866" s="30" t="n">
        <v>45444</v>
      </c>
      <c r="B866" s="31" t="s">
        <v>153</v>
      </c>
      <c r="C866" s="32"/>
      <c r="D866" s="32"/>
      <c r="E866" s="19" t="n">
        <f aca="false">+F866*0.03</f>
        <v>0</v>
      </c>
      <c r="F866" s="33" t="n">
        <v>0</v>
      </c>
      <c r="G866" s="62"/>
      <c r="H866" s="35" t="n">
        <v>0</v>
      </c>
      <c r="I866" s="34" t="n">
        <f aca="false">+IF(E866=0,0,E866*0.03)</f>
        <v>0</v>
      </c>
    </row>
    <row r="867" customFormat="false" ht="15.75" hidden="false" customHeight="true" outlineLevel="0" collapsed="false">
      <c r="A867" s="30" t="n">
        <v>45444</v>
      </c>
      <c r="B867" s="31" t="s">
        <v>153</v>
      </c>
      <c r="C867" s="32"/>
      <c r="D867" s="32"/>
      <c r="E867" s="19" t="n">
        <f aca="false">+F867*0.03</f>
        <v>0</v>
      </c>
      <c r="F867" s="33" t="n">
        <v>0</v>
      </c>
      <c r="G867" s="62"/>
      <c r="H867" s="35" t="n">
        <v>0</v>
      </c>
      <c r="I867" s="34" t="n">
        <f aca="false">+IF(E867=0,0,E867*0.03)</f>
        <v>0</v>
      </c>
    </row>
    <row r="868" customFormat="false" ht="15.75" hidden="false" customHeight="true" outlineLevel="0" collapsed="false">
      <c r="A868" s="30" t="n">
        <v>45444</v>
      </c>
      <c r="B868" s="31" t="s">
        <v>153</v>
      </c>
      <c r="C868" s="32"/>
      <c r="D868" s="32"/>
      <c r="E868" s="19" t="n">
        <f aca="false">+F868*0.03</f>
        <v>0</v>
      </c>
      <c r="F868" s="33" t="n">
        <v>0</v>
      </c>
      <c r="G868" s="62"/>
      <c r="H868" s="35" t="n">
        <v>0</v>
      </c>
      <c r="I868" s="34" t="n">
        <f aca="false">+IF(E868=0,0,E868*0.03)</f>
        <v>0</v>
      </c>
    </row>
    <row r="869" customFormat="false" ht="15.75" hidden="false" customHeight="true" outlineLevel="0" collapsed="false">
      <c r="A869" s="30" t="n">
        <v>45444</v>
      </c>
      <c r="B869" s="31" t="s">
        <v>153</v>
      </c>
      <c r="C869" s="32"/>
      <c r="D869" s="32"/>
      <c r="E869" s="19" t="n">
        <f aca="false">+F869*0.03</f>
        <v>0</v>
      </c>
      <c r="F869" s="33" t="n">
        <v>0</v>
      </c>
      <c r="G869" s="62"/>
      <c r="H869" s="35" t="n">
        <v>0</v>
      </c>
      <c r="I869" s="34" t="n">
        <f aca="false">+IF(E869=0,0,E869*0.03)</f>
        <v>0</v>
      </c>
    </row>
    <row r="870" customFormat="false" ht="15.75" hidden="false" customHeight="true" outlineLevel="0" collapsed="false">
      <c r="A870" s="30" t="n">
        <v>45444</v>
      </c>
      <c r="B870" s="31" t="s">
        <v>153</v>
      </c>
      <c r="C870" s="32"/>
      <c r="D870" s="32"/>
      <c r="E870" s="19" t="n">
        <f aca="false">+F870*0.03</f>
        <v>0</v>
      </c>
      <c r="F870" s="33" t="n">
        <v>0</v>
      </c>
      <c r="G870" s="62"/>
      <c r="H870" s="35" t="n">
        <v>0</v>
      </c>
      <c r="I870" s="34" t="n">
        <f aca="false">+IF(E870=0,0,E870*0.03)</f>
        <v>0</v>
      </c>
    </row>
    <row r="871" customFormat="false" ht="15.75" hidden="false" customHeight="true" outlineLevel="0" collapsed="false">
      <c r="A871" s="30" t="n">
        <v>45444</v>
      </c>
      <c r="B871" s="31" t="s">
        <v>153</v>
      </c>
      <c r="C871" s="32"/>
      <c r="D871" s="32"/>
      <c r="E871" s="19" t="n">
        <f aca="false">+F871*0.03</f>
        <v>0</v>
      </c>
      <c r="F871" s="33" t="n">
        <v>0</v>
      </c>
      <c r="G871" s="62"/>
      <c r="H871" s="35" t="n">
        <v>0</v>
      </c>
      <c r="I871" s="34" t="n">
        <f aca="false">+IF(E871=0,0,E871*0.03)</f>
        <v>0</v>
      </c>
    </row>
    <row r="872" customFormat="false" ht="15.75" hidden="false" customHeight="true" outlineLevel="0" collapsed="false">
      <c r="A872" s="30" t="n">
        <v>45444</v>
      </c>
      <c r="B872" s="31" t="s">
        <v>153</v>
      </c>
      <c r="C872" s="32"/>
      <c r="D872" s="32"/>
      <c r="E872" s="19" t="n">
        <f aca="false">+F872*0.03</f>
        <v>0</v>
      </c>
      <c r="F872" s="33" t="n">
        <v>0</v>
      </c>
      <c r="G872" s="62"/>
      <c r="H872" s="35" t="n">
        <v>0</v>
      </c>
      <c r="I872" s="34" t="n">
        <f aca="false">+IF(E872=0,0,E872*0.03)</f>
        <v>0</v>
      </c>
    </row>
    <row r="873" customFormat="false" ht="15.75" hidden="false" customHeight="true" outlineLevel="0" collapsed="false">
      <c r="A873" s="30" t="n">
        <v>45444</v>
      </c>
      <c r="B873" s="31" t="s">
        <v>153</v>
      </c>
      <c r="C873" s="32"/>
      <c r="D873" s="32"/>
      <c r="E873" s="19" t="n">
        <f aca="false">+F873*0.03</f>
        <v>0</v>
      </c>
      <c r="F873" s="33" t="n">
        <v>0</v>
      </c>
      <c r="G873" s="62"/>
      <c r="H873" s="35" t="n">
        <v>0</v>
      </c>
      <c r="I873" s="34" t="n">
        <f aca="false">+IF(E873=0,0,E873*0.03)</f>
        <v>0</v>
      </c>
    </row>
    <row r="874" customFormat="false" ht="15.75" hidden="false" customHeight="true" outlineLevel="0" collapsed="false">
      <c r="A874" s="30" t="n">
        <v>45444</v>
      </c>
      <c r="B874" s="31" t="s">
        <v>153</v>
      </c>
      <c r="C874" s="32"/>
      <c r="D874" s="32"/>
      <c r="E874" s="19" t="n">
        <f aca="false">+F874*0.03</f>
        <v>0</v>
      </c>
      <c r="F874" s="33" t="n">
        <v>0</v>
      </c>
      <c r="G874" s="62"/>
      <c r="H874" s="35" t="n">
        <v>0</v>
      </c>
      <c r="I874" s="34" t="n">
        <f aca="false">+IF(E874=0,0,E874*0.03)</f>
        <v>0</v>
      </c>
    </row>
    <row r="875" customFormat="false" ht="15.75" hidden="false" customHeight="true" outlineLevel="0" collapsed="false">
      <c r="A875" s="30" t="n">
        <v>45444</v>
      </c>
      <c r="B875" s="31" t="s">
        <v>153</v>
      </c>
      <c r="C875" s="32"/>
      <c r="D875" s="32"/>
      <c r="E875" s="19" t="n">
        <f aca="false">+F875*0.03</f>
        <v>0</v>
      </c>
      <c r="F875" s="33" t="n">
        <v>0</v>
      </c>
      <c r="G875" s="62"/>
      <c r="H875" s="35" t="n">
        <v>0</v>
      </c>
      <c r="I875" s="34" t="n">
        <f aca="false">+IF(E875=0,0,E875*0.03)</f>
        <v>0</v>
      </c>
    </row>
    <row r="876" customFormat="false" ht="15.75" hidden="false" customHeight="true" outlineLevel="0" collapsed="false">
      <c r="A876" s="30" t="n">
        <v>45444</v>
      </c>
      <c r="B876" s="31" t="s">
        <v>153</v>
      </c>
      <c r="C876" s="32"/>
      <c r="D876" s="32"/>
      <c r="E876" s="19" t="n">
        <f aca="false">+F876*0.03</f>
        <v>0</v>
      </c>
      <c r="F876" s="33" t="n">
        <v>0</v>
      </c>
      <c r="G876" s="62"/>
      <c r="H876" s="35" t="n">
        <v>0</v>
      </c>
      <c r="I876" s="34" t="n">
        <f aca="false">+IF(E876=0,0,E876*0.03)</f>
        <v>0</v>
      </c>
    </row>
    <row r="877" customFormat="false" ht="15.75" hidden="false" customHeight="true" outlineLevel="0" collapsed="false">
      <c r="A877" s="30" t="n">
        <v>45444</v>
      </c>
      <c r="B877" s="31" t="s">
        <v>153</v>
      </c>
      <c r="C877" s="32"/>
      <c r="D877" s="32"/>
      <c r="E877" s="19" t="n">
        <f aca="false">+F877*0.03</f>
        <v>0</v>
      </c>
      <c r="F877" s="33" t="n">
        <v>0</v>
      </c>
      <c r="G877" s="62"/>
      <c r="H877" s="35" t="n">
        <v>0</v>
      </c>
      <c r="I877" s="34" t="n">
        <f aca="false">+IF(E877=0,0,E877*0.03)</f>
        <v>0</v>
      </c>
    </row>
    <row r="878" customFormat="false" ht="15.75" hidden="false" customHeight="true" outlineLevel="0" collapsed="false">
      <c r="A878" s="30" t="n">
        <v>45444</v>
      </c>
      <c r="B878" s="31" t="s">
        <v>153</v>
      </c>
      <c r="C878" s="32"/>
      <c r="D878" s="32"/>
      <c r="E878" s="19" t="n">
        <f aca="false">+F878*0.03</f>
        <v>0</v>
      </c>
      <c r="F878" s="33" t="n">
        <v>0</v>
      </c>
      <c r="G878" s="62"/>
      <c r="H878" s="35" t="n">
        <v>0</v>
      </c>
      <c r="I878" s="34" t="n">
        <f aca="false">+IF(E878=0,0,E878*0.03)</f>
        <v>0</v>
      </c>
    </row>
    <row r="879" customFormat="false" ht="15.75" hidden="false" customHeight="true" outlineLevel="0" collapsed="false">
      <c r="A879" s="30" t="n">
        <v>45444</v>
      </c>
      <c r="B879" s="31" t="s">
        <v>153</v>
      </c>
      <c r="C879" s="32"/>
      <c r="D879" s="32"/>
      <c r="E879" s="19" t="n">
        <f aca="false">+F879*0.03</f>
        <v>0</v>
      </c>
      <c r="F879" s="33" t="n">
        <v>0</v>
      </c>
      <c r="G879" s="62"/>
      <c r="H879" s="35" t="n">
        <v>0</v>
      </c>
      <c r="I879" s="34" t="n">
        <f aca="false">+IF(E879=0,0,E879*0.03)</f>
        <v>0</v>
      </c>
    </row>
    <row r="880" customFormat="false" ht="15.75" hidden="false" customHeight="true" outlineLevel="0" collapsed="false">
      <c r="A880" s="30" t="n">
        <v>45444</v>
      </c>
      <c r="B880" s="31" t="s">
        <v>153</v>
      </c>
      <c r="C880" s="32"/>
      <c r="D880" s="32"/>
      <c r="E880" s="19" t="n">
        <f aca="false">+F880*0.03</f>
        <v>0</v>
      </c>
      <c r="F880" s="33" t="n">
        <v>0</v>
      </c>
      <c r="G880" s="62"/>
      <c r="H880" s="35" t="n">
        <v>0</v>
      </c>
      <c r="I880" s="34" t="n">
        <f aca="false">+IF(E880=0,0,E880*0.03)</f>
        <v>0</v>
      </c>
    </row>
    <row r="881" customFormat="false" ht="15.75" hidden="false" customHeight="true" outlineLevel="0" collapsed="false">
      <c r="A881" s="30" t="n">
        <v>45444</v>
      </c>
      <c r="B881" s="31" t="s">
        <v>153</v>
      </c>
      <c r="C881" s="32"/>
      <c r="D881" s="32"/>
      <c r="E881" s="19" t="n">
        <f aca="false">+F881*0.03</f>
        <v>0</v>
      </c>
      <c r="F881" s="33" t="n">
        <v>0</v>
      </c>
      <c r="G881" s="62"/>
      <c r="H881" s="35" t="n">
        <v>0</v>
      </c>
      <c r="I881" s="34" t="n">
        <f aca="false">+IF(E881=0,0,E881*0.03)</f>
        <v>0</v>
      </c>
    </row>
    <row r="882" customFormat="false" ht="15.75" hidden="false" customHeight="true" outlineLevel="0" collapsed="false">
      <c r="A882" s="30" t="n">
        <v>45444</v>
      </c>
      <c r="B882" s="31" t="s">
        <v>153</v>
      </c>
      <c r="C882" s="32"/>
      <c r="D882" s="32"/>
      <c r="E882" s="19" t="n">
        <f aca="false">+F882*0.03</f>
        <v>0</v>
      </c>
      <c r="F882" s="33" t="n">
        <v>0</v>
      </c>
      <c r="G882" s="62"/>
      <c r="H882" s="35" t="n">
        <v>0</v>
      </c>
      <c r="I882" s="34" t="n">
        <f aca="false">+IF(E882=0,0,E882*0.03)</f>
        <v>0</v>
      </c>
    </row>
    <row r="883" customFormat="false" ht="15.75" hidden="false" customHeight="true" outlineLevel="0" collapsed="false">
      <c r="A883" s="30" t="n">
        <v>45444</v>
      </c>
      <c r="B883" s="31" t="s">
        <v>153</v>
      </c>
      <c r="C883" s="32"/>
      <c r="D883" s="32"/>
      <c r="E883" s="19" t="n">
        <f aca="false">+F883*0.03</f>
        <v>0</v>
      </c>
      <c r="F883" s="33" t="n">
        <v>0</v>
      </c>
      <c r="G883" s="62"/>
      <c r="H883" s="35" t="n">
        <v>0</v>
      </c>
      <c r="I883" s="34" t="n">
        <f aca="false">+IF(E883=0,0,E883*0.03)</f>
        <v>0</v>
      </c>
    </row>
    <row r="884" customFormat="false" ht="15.75" hidden="false" customHeight="true" outlineLevel="0" collapsed="false">
      <c r="A884" s="30" t="n">
        <v>45444</v>
      </c>
      <c r="B884" s="31" t="s">
        <v>153</v>
      </c>
      <c r="C884" s="32"/>
      <c r="D884" s="32"/>
      <c r="E884" s="19" t="n">
        <f aca="false">+F884*0.03</f>
        <v>0</v>
      </c>
      <c r="F884" s="33" t="n">
        <v>0</v>
      </c>
      <c r="G884" s="62"/>
      <c r="H884" s="35" t="n">
        <v>0</v>
      </c>
      <c r="I884" s="34" t="n">
        <f aca="false">+IF(E884=0,0,E884*0.03)</f>
        <v>0</v>
      </c>
    </row>
    <row r="885" customFormat="false" ht="15.75" hidden="false" customHeight="true" outlineLevel="0" collapsed="false">
      <c r="A885" s="30" t="n">
        <v>45444</v>
      </c>
      <c r="B885" s="31" t="s">
        <v>153</v>
      </c>
      <c r="C885" s="32"/>
      <c r="D885" s="32"/>
      <c r="E885" s="19" t="n">
        <f aca="false">+F885*0.03</f>
        <v>0</v>
      </c>
      <c r="F885" s="33" t="n">
        <v>0</v>
      </c>
      <c r="G885" s="62"/>
      <c r="H885" s="35" t="n">
        <v>0</v>
      </c>
      <c r="I885" s="34" t="n">
        <f aca="false">+IF(E885=0,0,E885*0.03)</f>
        <v>0</v>
      </c>
    </row>
    <row r="886" customFormat="false" ht="15.75" hidden="false" customHeight="true" outlineLevel="0" collapsed="false">
      <c r="A886" s="30" t="n">
        <v>45444</v>
      </c>
      <c r="B886" s="31" t="s">
        <v>153</v>
      </c>
      <c r="C886" s="32"/>
      <c r="D886" s="32"/>
      <c r="E886" s="19" t="n">
        <f aca="false">+F886*0.03</f>
        <v>0</v>
      </c>
      <c r="F886" s="33" t="n">
        <v>0</v>
      </c>
      <c r="G886" s="62"/>
      <c r="H886" s="35" t="n">
        <v>0</v>
      </c>
      <c r="I886" s="34" t="n">
        <f aca="false">+IF(E886=0,0,E886*0.03)</f>
        <v>0</v>
      </c>
    </row>
    <row r="887" customFormat="false" ht="15.75" hidden="false" customHeight="true" outlineLevel="0" collapsed="false">
      <c r="A887" s="30" t="n">
        <v>45444</v>
      </c>
      <c r="B887" s="31" t="s">
        <v>153</v>
      </c>
      <c r="C887" s="32"/>
      <c r="D887" s="32"/>
      <c r="E887" s="19" t="n">
        <f aca="false">+F887*0.03</f>
        <v>0</v>
      </c>
      <c r="F887" s="33" t="n">
        <v>0</v>
      </c>
      <c r="G887" s="62"/>
      <c r="H887" s="35" t="n">
        <v>0</v>
      </c>
      <c r="I887" s="34" t="n">
        <f aca="false">+IF(E887=0,0,E887*0.03)</f>
        <v>0</v>
      </c>
    </row>
    <row r="888" customFormat="false" ht="15.75" hidden="false" customHeight="true" outlineLevel="0" collapsed="false">
      <c r="A888" s="30" t="n">
        <v>45444</v>
      </c>
      <c r="B888" s="31" t="s">
        <v>153</v>
      </c>
      <c r="C888" s="32"/>
      <c r="D888" s="32"/>
      <c r="E888" s="19" t="n">
        <f aca="false">+F888*0.03</f>
        <v>0</v>
      </c>
      <c r="F888" s="33" t="n">
        <v>0</v>
      </c>
      <c r="G888" s="62"/>
      <c r="H888" s="35" t="n">
        <v>0</v>
      </c>
      <c r="I888" s="34" t="n">
        <f aca="false">+IF(E888=0,0,E888*0.03)</f>
        <v>0</v>
      </c>
    </row>
    <row r="889" customFormat="false" ht="15.75" hidden="false" customHeight="true" outlineLevel="0" collapsed="false">
      <c r="A889" s="30" t="n">
        <v>45444</v>
      </c>
      <c r="B889" s="31" t="s">
        <v>153</v>
      </c>
      <c r="C889" s="32"/>
      <c r="D889" s="32"/>
      <c r="E889" s="19" t="n">
        <f aca="false">+F889*0.03</f>
        <v>0</v>
      </c>
      <c r="F889" s="33" t="n">
        <v>0</v>
      </c>
      <c r="G889" s="62"/>
      <c r="H889" s="35" t="n">
        <v>0</v>
      </c>
      <c r="I889" s="34" t="n">
        <f aca="false">+IF(E889=0,0,E889*0.03)</f>
        <v>0</v>
      </c>
    </row>
    <row r="890" customFormat="false" ht="15.75" hidden="false" customHeight="true" outlineLevel="0" collapsed="false">
      <c r="A890" s="30" t="n">
        <v>45444</v>
      </c>
      <c r="B890" s="31" t="s">
        <v>153</v>
      </c>
      <c r="C890" s="32"/>
      <c r="D890" s="32"/>
      <c r="E890" s="19" t="n">
        <f aca="false">+F890*0.03</f>
        <v>0</v>
      </c>
      <c r="F890" s="33" t="n">
        <v>0</v>
      </c>
      <c r="G890" s="62"/>
      <c r="H890" s="35" t="n">
        <v>0</v>
      </c>
      <c r="I890" s="34" t="n">
        <f aca="false">+IF(E890=0,0,E890*0.03)</f>
        <v>0</v>
      </c>
    </row>
    <row r="891" customFormat="false" ht="15.75" hidden="false" customHeight="true" outlineLevel="0" collapsed="false">
      <c r="A891" s="30" t="n">
        <v>45444</v>
      </c>
      <c r="B891" s="31" t="s">
        <v>153</v>
      </c>
      <c r="C891" s="32"/>
      <c r="D891" s="32"/>
      <c r="E891" s="19" t="n">
        <f aca="false">+F891*0.03</f>
        <v>0</v>
      </c>
      <c r="F891" s="33" t="n">
        <v>0</v>
      </c>
      <c r="G891" s="62"/>
      <c r="H891" s="35" t="n">
        <v>0</v>
      </c>
      <c r="I891" s="34" t="n">
        <f aca="false">+IF(E891=0,0,E891*0.03)</f>
        <v>0</v>
      </c>
    </row>
    <row r="892" customFormat="false" ht="15.75" hidden="false" customHeight="true" outlineLevel="0" collapsed="false">
      <c r="A892" s="30" t="n">
        <v>45444</v>
      </c>
      <c r="B892" s="31" t="s">
        <v>153</v>
      </c>
      <c r="C892" s="32"/>
      <c r="D892" s="32"/>
      <c r="E892" s="19" t="n">
        <f aca="false">+F892*0.03</f>
        <v>0</v>
      </c>
      <c r="F892" s="33" t="n">
        <v>0</v>
      </c>
      <c r="G892" s="62"/>
      <c r="H892" s="35" t="n">
        <v>0</v>
      </c>
      <c r="I892" s="34" t="n">
        <f aca="false">+IF(E892=0,0,E892*0.03)</f>
        <v>0</v>
      </c>
    </row>
    <row r="893" customFormat="false" ht="15.75" hidden="false" customHeight="true" outlineLevel="0" collapsed="false">
      <c r="A893" s="30" t="n">
        <v>45444</v>
      </c>
      <c r="B893" s="31" t="s">
        <v>153</v>
      </c>
      <c r="C893" s="32"/>
      <c r="D893" s="32"/>
      <c r="E893" s="19" t="n">
        <f aca="false">+F893*0.03</f>
        <v>0</v>
      </c>
      <c r="F893" s="33" t="n">
        <v>0</v>
      </c>
      <c r="G893" s="62"/>
      <c r="H893" s="35" t="n">
        <v>0</v>
      </c>
      <c r="I893" s="34" t="n">
        <f aca="false">+IF(E893=0,0,E893*0.03)</f>
        <v>0</v>
      </c>
    </row>
    <row r="894" customFormat="false" ht="15.75" hidden="false" customHeight="true" outlineLevel="0" collapsed="false">
      <c r="A894" s="30" t="n">
        <v>45444</v>
      </c>
      <c r="B894" s="31" t="s">
        <v>153</v>
      </c>
      <c r="C894" s="32"/>
      <c r="D894" s="32"/>
      <c r="E894" s="19" t="n">
        <f aca="false">+F894*0.03</f>
        <v>0</v>
      </c>
      <c r="F894" s="33" t="n">
        <v>0</v>
      </c>
      <c r="G894" s="62"/>
      <c r="H894" s="35" t="n">
        <v>0</v>
      </c>
      <c r="I894" s="34" t="n">
        <f aca="false">+IF(E894=0,0,E894*0.03)</f>
        <v>0</v>
      </c>
    </row>
    <row r="895" customFormat="false" ht="15.75" hidden="false" customHeight="true" outlineLevel="0" collapsed="false">
      <c r="A895" s="30" t="n">
        <v>45444</v>
      </c>
      <c r="B895" s="31" t="s">
        <v>153</v>
      </c>
      <c r="C895" s="32"/>
      <c r="D895" s="32"/>
      <c r="E895" s="19" t="n">
        <f aca="false">+F895*0.03</f>
        <v>0</v>
      </c>
      <c r="F895" s="33" t="n">
        <v>0</v>
      </c>
      <c r="G895" s="62"/>
      <c r="H895" s="35" t="n">
        <v>0</v>
      </c>
      <c r="I895" s="34" t="n">
        <f aca="false">+IF(E895=0,0,E895*0.03)</f>
        <v>0</v>
      </c>
    </row>
    <row r="896" customFormat="false" ht="15.75" hidden="false" customHeight="true" outlineLevel="0" collapsed="false">
      <c r="A896" s="30" t="n">
        <v>45444</v>
      </c>
      <c r="B896" s="31" t="s">
        <v>153</v>
      </c>
      <c r="C896" s="32"/>
      <c r="D896" s="32"/>
      <c r="E896" s="19" t="n">
        <f aca="false">+F896*0.03</f>
        <v>0</v>
      </c>
      <c r="F896" s="33" t="n">
        <v>0</v>
      </c>
      <c r="G896" s="62"/>
      <c r="H896" s="35" t="n">
        <v>0</v>
      </c>
      <c r="I896" s="34" t="n">
        <f aca="false">+IF(E896=0,0,E896*0.03)</f>
        <v>0</v>
      </c>
    </row>
    <row r="897" customFormat="false" ht="15.75" hidden="false" customHeight="true" outlineLevel="0" collapsed="false">
      <c r="A897" s="30" t="n">
        <v>45444</v>
      </c>
      <c r="B897" s="31" t="s">
        <v>153</v>
      </c>
      <c r="C897" s="32"/>
      <c r="D897" s="32"/>
      <c r="E897" s="19" t="n">
        <f aca="false">+F897*0.03</f>
        <v>0</v>
      </c>
      <c r="F897" s="33" t="n">
        <v>0</v>
      </c>
      <c r="G897" s="62"/>
      <c r="H897" s="35" t="n">
        <v>0</v>
      </c>
      <c r="I897" s="34" t="n">
        <f aca="false">+IF(E897=0,0,E897*0.03)</f>
        <v>0</v>
      </c>
    </row>
    <row r="898" customFormat="false" ht="15.75" hidden="false" customHeight="true" outlineLevel="0" collapsed="false">
      <c r="A898" s="30" t="n">
        <v>45444</v>
      </c>
      <c r="B898" s="31" t="s">
        <v>153</v>
      </c>
      <c r="C898" s="32"/>
      <c r="D898" s="32"/>
      <c r="E898" s="19" t="n">
        <f aca="false">+F898*0.03</f>
        <v>0</v>
      </c>
      <c r="F898" s="33" t="n">
        <v>0</v>
      </c>
      <c r="G898" s="62"/>
      <c r="H898" s="35" t="n">
        <v>0</v>
      </c>
      <c r="I898" s="34" t="n">
        <f aca="false">+IF(E898=0,0,E898*0.03)</f>
        <v>0</v>
      </c>
    </row>
    <row r="899" customFormat="false" ht="15.75" hidden="false" customHeight="true" outlineLevel="0" collapsed="false">
      <c r="A899" s="30" t="n">
        <v>45444</v>
      </c>
      <c r="B899" s="31" t="s">
        <v>153</v>
      </c>
      <c r="C899" s="32"/>
      <c r="D899" s="32"/>
      <c r="E899" s="19" t="n">
        <f aca="false">+F899*0.03</f>
        <v>0</v>
      </c>
      <c r="F899" s="33" t="n">
        <v>0</v>
      </c>
      <c r="G899" s="62"/>
      <c r="H899" s="35" t="n">
        <v>0</v>
      </c>
      <c r="I899" s="34" t="n">
        <f aca="false">+IF(E899=0,0,E899*0.03)</f>
        <v>0</v>
      </c>
    </row>
    <row r="900" customFormat="false" ht="15.75" hidden="false" customHeight="true" outlineLevel="0" collapsed="false">
      <c r="A900" s="30" t="n">
        <v>45444</v>
      </c>
      <c r="B900" s="31" t="s">
        <v>153</v>
      </c>
      <c r="C900" s="32"/>
      <c r="D900" s="32"/>
      <c r="E900" s="19" t="n">
        <f aca="false">+F900*0.03</f>
        <v>0</v>
      </c>
      <c r="F900" s="33" t="n">
        <v>0</v>
      </c>
      <c r="G900" s="62"/>
      <c r="H900" s="35" t="n">
        <v>0</v>
      </c>
      <c r="I900" s="34" t="n">
        <f aca="false">+IF(E900=0,0,E900*0.03)</f>
        <v>0</v>
      </c>
    </row>
    <row r="901" customFormat="false" ht="15.75" hidden="false" customHeight="true" outlineLevel="0" collapsed="false">
      <c r="A901" s="30" t="n">
        <v>45444</v>
      </c>
      <c r="B901" s="31" t="s">
        <v>153</v>
      </c>
      <c r="C901" s="32"/>
      <c r="D901" s="32"/>
      <c r="E901" s="19" t="n">
        <f aca="false">+F901*0.03</f>
        <v>0</v>
      </c>
      <c r="F901" s="33" t="n">
        <v>0</v>
      </c>
      <c r="G901" s="62"/>
      <c r="H901" s="35" t="n">
        <v>0</v>
      </c>
      <c r="I901" s="34" t="n">
        <f aca="false">+IF(E901=0,0,E901*0.03)</f>
        <v>0</v>
      </c>
    </row>
    <row r="902" customFormat="false" ht="15.75" hidden="false" customHeight="true" outlineLevel="0" collapsed="false">
      <c r="A902" s="30" t="n">
        <v>45444</v>
      </c>
      <c r="B902" s="31" t="s">
        <v>153</v>
      </c>
      <c r="C902" s="32"/>
      <c r="D902" s="32"/>
      <c r="E902" s="19" t="n">
        <f aca="false">+F902*0.03</f>
        <v>0</v>
      </c>
      <c r="F902" s="33" t="n">
        <v>0</v>
      </c>
      <c r="G902" s="62"/>
      <c r="H902" s="35" t="n">
        <v>0</v>
      </c>
      <c r="I902" s="34" t="n">
        <f aca="false">+IF(E902=0,0,E902*0.03)</f>
        <v>0</v>
      </c>
    </row>
    <row r="903" customFormat="false" ht="15.75" hidden="false" customHeight="true" outlineLevel="0" collapsed="false">
      <c r="A903" s="30" t="n">
        <v>45444</v>
      </c>
      <c r="B903" s="31" t="s">
        <v>153</v>
      </c>
      <c r="C903" s="32"/>
      <c r="D903" s="32"/>
      <c r="E903" s="19" t="n">
        <f aca="false">+F903*0.03</f>
        <v>0</v>
      </c>
      <c r="F903" s="33" t="n">
        <v>0</v>
      </c>
      <c r="G903" s="62"/>
      <c r="H903" s="35" t="n">
        <v>0</v>
      </c>
      <c r="I903" s="34" t="n">
        <f aca="false">+IF(E903=0,0,E903*0.03)</f>
        <v>0</v>
      </c>
    </row>
    <row r="904" customFormat="false" ht="15.75" hidden="false" customHeight="true" outlineLevel="0" collapsed="false">
      <c r="A904" s="30" t="n">
        <v>45444</v>
      </c>
      <c r="B904" s="31" t="s">
        <v>153</v>
      </c>
      <c r="C904" s="32"/>
      <c r="D904" s="32"/>
      <c r="E904" s="19" t="n">
        <f aca="false">+F904*0.03</f>
        <v>0</v>
      </c>
      <c r="F904" s="33" t="n">
        <v>0</v>
      </c>
      <c r="G904" s="62"/>
      <c r="H904" s="35" t="n">
        <v>0</v>
      </c>
      <c r="I904" s="34" t="n">
        <f aca="false">+IF(E904=0,0,E904*0.03)</f>
        <v>0</v>
      </c>
    </row>
    <row r="905" customFormat="false" ht="15.75" hidden="false" customHeight="true" outlineLevel="0" collapsed="false">
      <c r="A905" s="30" t="n">
        <v>45444</v>
      </c>
      <c r="B905" s="31" t="s">
        <v>153</v>
      </c>
      <c r="C905" s="32"/>
      <c r="D905" s="32"/>
      <c r="E905" s="19" t="n">
        <f aca="false">+F905*0.03</f>
        <v>0</v>
      </c>
      <c r="F905" s="33" t="n">
        <v>0</v>
      </c>
      <c r="G905" s="62"/>
      <c r="H905" s="35" t="n">
        <v>0</v>
      </c>
      <c r="I905" s="34" t="n">
        <f aca="false">+IF(E905=0,0,E905*0.03)</f>
        <v>0</v>
      </c>
    </row>
    <row r="906" customFormat="false" ht="15.75" hidden="false" customHeight="true" outlineLevel="0" collapsed="false">
      <c r="A906" s="30" t="n">
        <v>45444</v>
      </c>
      <c r="B906" s="31" t="s">
        <v>153</v>
      </c>
      <c r="C906" s="32"/>
      <c r="D906" s="32"/>
      <c r="E906" s="19" t="n">
        <f aca="false">+F906*0.03</f>
        <v>0</v>
      </c>
      <c r="F906" s="33" t="n">
        <v>0</v>
      </c>
      <c r="G906" s="62"/>
      <c r="H906" s="35" t="n">
        <v>0</v>
      </c>
      <c r="I906" s="34" t="n">
        <f aca="false">+IF(E906=0,0,E906*0.03)</f>
        <v>0</v>
      </c>
    </row>
    <row r="907" customFormat="false" ht="15.75" hidden="false" customHeight="true" outlineLevel="0" collapsed="false">
      <c r="A907" s="30" t="n">
        <v>45444</v>
      </c>
      <c r="B907" s="31" t="s">
        <v>153</v>
      </c>
      <c r="C907" s="32"/>
      <c r="D907" s="32"/>
      <c r="E907" s="19" t="n">
        <f aca="false">+F907*0.03</f>
        <v>0</v>
      </c>
      <c r="F907" s="33" t="n">
        <v>0</v>
      </c>
      <c r="G907" s="62"/>
      <c r="H907" s="35" t="n">
        <v>0</v>
      </c>
      <c r="I907" s="34" t="n">
        <f aca="false">+IF(E907=0,0,E907*0.03)</f>
        <v>0</v>
      </c>
    </row>
    <row r="908" customFormat="false" ht="15.75" hidden="false" customHeight="true" outlineLevel="0" collapsed="false">
      <c r="A908" s="30" t="n">
        <v>45444</v>
      </c>
      <c r="B908" s="31" t="s">
        <v>153</v>
      </c>
      <c r="C908" s="32"/>
      <c r="D908" s="32"/>
      <c r="E908" s="19" t="n">
        <f aca="false">+F908*0.03</f>
        <v>0</v>
      </c>
      <c r="F908" s="33" t="n">
        <v>0</v>
      </c>
      <c r="G908" s="62"/>
      <c r="H908" s="35" t="n">
        <v>0</v>
      </c>
      <c r="I908" s="34" t="n">
        <f aca="false">+IF(E908=0,0,E908*0.03)</f>
        <v>0</v>
      </c>
    </row>
    <row r="909" customFormat="false" ht="15.75" hidden="false" customHeight="true" outlineLevel="0" collapsed="false">
      <c r="A909" s="30" t="n">
        <v>45444</v>
      </c>
      <c r="B909" s="31" t="s">
        <v>153</v>
      </c>
      <c r="C909" s="32"/>
      <c r="D909" s="32"/>
      <c r="E909" s="19" t="n">
        <f aca="false">+F909*0.03</f>
        <v>0</v>
      </c>
      <c r="F909" s="33" t="n">
        <v>0</v>
      </c>
      <c r="G909" s="62"/>
      <c r="H909" s="35" t="n">
        <v>0</v>
      </c>
      <c r="I909" s="34" t="n">
        <f aca="false">+IF(E909=0,0,E909*0.03)</f>
        <v>0</v>
      </c>
    </row>
    <row r="910" customFormat="false" ht="15.75" hidden="false" customHeight="true" outlineLevel="0" collapsed="false">
      <c r="A910" s="30" t="n">
        <v>45444</v>
      </c>
      <c r="B910" s="31" t="s">
        <v>153</v>
      </c>
      <c r="C910" s="32"/>
      <c r="D910" s="32"/>
      <c r="E910" s="19" t="n">
        <f aca="false">+F910*0.03</f>
        <v>0</v>
      </c>
      <c r="F910" s="33" t="n">
        <v>0</v>
      </c>
      <c r="G910" s="62"/>
      <c r="H910" s="35" t="n">
        <v>0</v>
      </c>
      <c r="I910" s="34" t="n">
        <f aca="false">+IF(E910=0,0,E910*0.03)</f>
        <v>0</v>
      </c>
    </row>
    <row r="911" customFormat="false" ht="15.75" hidden="false" customHeight="true" outlineLevel="0" collapsed="false">
      <c r="A911" s="30" t="n">
        <v>45444</v>
      </c>
      <c r="B911" s="31" t="s">
        <v>153</v>
      </c>
      <c r="C911" s="32"/>
      <c r="D911" s="32"/>
      <c r="E911" s="19" t="n">
        <f aca="false">+F911*0.03</f>
        <v>0</v>
      </c>
      <c r="F911" s="33" t="n">
        <v>0</v>
      </c>
      <c r="G911" s="62"/>
      <c r="H911" s="35" t="n">
        <v>0</v>
      </c>
      <c r="I911" s="34" t="n">
        <f aca="false">+IF(E911=0,0,E911*0.03)</f>
        <v>0</v>
      </c>
    </row>
    <row r="912" customFormat="false" ht="15.75" hidden="false" customHeight="true" outlineLevel="0" collapsed="false">
      <c r="A912" s="30" t="n">
        <v>45444</v>
      </c>
      <c r="B912" s="31" t="s">
        <v>153</v>
      </c>
      <c r="C912" s="32"/>
      <c r="D912" s="32"/>
      <c r="E912" s="19" t="n">
        <f aca="false">+F912*0.03</f>
        <v>0</v>
      </c>
      <c r="F912" s="33" t="n">
        <v>0</v>
      </c>
      <c r="G912" s="62"/>
      <c r="H912" s="35" t="n">
        <v>0</v>
      </c>
      <c r="I912" s="34" t="n">
        <f aca="false">+IF(E912=0,0,E912*0.03)</f>
        <v>0</v>
      </c>
    </row>
    <row r="913" customFormat="false" ht="15.75" hidden="false" customHeight="true" outlineLevel="0" collapsed="false">
      <c r="A913" s="30" t="n">
        <v>45444</v>
      </c>
      <c r="B913" s="31" t="s">
        <v>153</v>
      </c>
      <c r="C913" s="32"/>
      <c r="D913" s="32"/>
      <c r="E913" s="19" t="n">
        <f aca="false">+F913*0.03</f>
        <v>0</v>
      </c>
      <c r="F913" s="33" t="n">
        <v>0</v>
      </c>
      <c r="G913" s="62"/>
      <c r="H913" s="35" t="n">
        <v>0</v>
      </c>
      <c r="I913" s="34" t="n">
        <f aca="false">+IF(E913=0,0,E913*0.03)</f>
        <v>0</v>
      </c>
    </row>
    <row r="914" customFormat="false" ht="15.75" hidden="false" customHeight="true" outlineLevel="0" collapsed="false">
      <c r="A914" s="30" t="n">
        <v>45444</v>
      </c>
      <c r="B914" s="31" t="s">
        <v>153</v>
      </c>
      <c r="C914" s="32"/>
      <c r="D914" s="32"/>
      <c r="E914" s="19" t="n">
        <f aca="false">+F914*0.03</f>
        <v>0</v>
      </c>
      <c r="F914" s="33" t="n">
        <v>0</v>
      </c>
      <c r="G914" s="62"/>
      <c r="H914" s="35" t="n">
        <v>0</v>
      </c>
      <c r="I914" s="34" t="n">
        <f aca="false">+IF(E914=0,0,E914*0.03)</f>
        <v>0</v>
      </c>
    </row>
    <row r="915" customFormat="false" ht="15.75" hidden="false" customHeight="true" outlineLevel="0" collapsed="false">
      <c r="A915" s="30" t="n">
        <v>45444</v>
      </c>
      <c r="B915" s="31" t="s">
        <v>153</v>
      </c>
      <c r="C915" s="32"/>
      <c r="D915" s="32"/>
      <c r="E915" s="19" t="n">
        <f aca="false">+F915*0.03</f>
        <v>0</v>
      </c>
      <c r="F915" s="33" t="n">
        <v>0</v>
      </c>
      <c r="G915" s="62"/>
      <c r="H915" s="35" t="n">
        <v>0</v>
      </c>
      <c r="I915" s="34" t="n">
        <f aca="false">+IF(E915=0,0,E915*0.03)</f>
        <v>0</v>
      </c>
    </row>
    <row r="916" customFormat="false" ht="15.75" hidden="false" customHeight="true" outlineLevel="0" collapsed="false">
      <c r="A916" s="30" t="n">
        <v>45444</v>
      </c>
      <c r="B916" s="31" t="s">
        <v>153</v>
      </c>
      <c r="C916" s="32"/>
      <c r="D916" s="32"/>
      <c r="E916" s="19" t="n">
        <f aca="false">+F916*0.03</f>
        <v>0</v>
      </c>
      <c r="F916" s="33" t="n">
        <v>0</v>
      </c>
      <c r="G916" s="62"/>
      <c r="H916" s="35" t="n">
        <v>0</v>
      </c>
      <c r="I916" s="34" t="n">
        <f aca="false">+IF(E916=0,0,E916*0.03)</f>
        <v>0</v>
      </c>
    </row>
    <row r="917" customFormat="false" ht="15.75" hidden="false" customHeight="true" outlineLevel="0" collapsed="false">
      <c r="A917" s="30" t="n">
        <v>45444</v>
      </c>
      <c r="B917" s="31" t="s">
        <v>153</v>
      </c>
      <c r="C917" s="32"/>
      <c r="D917" s="32"/>
      <c r="E917" s="19" t="n">
        <f aca="false">+F917*0.03</f>
        <v>0</v>
      </c>
      <c r="F917" s="33" t="n">
        <v>0</v>
      </c>
      <c r="G917" s="62"/>
      <c r="H917" s="35" t="n">
        <v>0</v>
      </c>
      <c r="I917" s="34" t="n">
        <f aca="false">+IF(E917=0,0,E917*0.03)</f>
        <v>0</v>
      </c>
    </row>
    <row r="918" customFormat="false" ht="15.75" hidden="false" customHeight="true" outlineLevel="0" collapsed="false">
      <c r="A918" s="30" t="n">
        <v>45444</v>
      </c>
      <c r="B918" s="31" t="s">
        <v>153</v>
      </c>
      <c r="C918" s="32"/>
      <c r="D918" s="32"/>
      <c r="E918" s="19" t="n">
        <f aca="false">+F918*0.03</f>
        <v>0</v>
      </c>
      <c r="F918" s="33" t="n">
        <v>0</v>
      </c>
      <c r="G918" s="62"/>
      <c r="H918" s="35" t="n">
        <v>0</v>
      </c>
      <c r="I918" s="34" t="n">
        <f aca="false">+IF(E918=0,0,E918*0.03)</f>
        <v>0</v>
      </c>
    </row>
    <row r="919" customFormat="false" ht="15.75" hidden="false" customHeight="true" outlineLevel="0" collapsed="false">
      <c r="A919" s="30" t="n">
        <v>45444</v>
      </c>
      <c r="B919" s="31" t="s">
        <v>153</v>
      </c>
      <c r="C919" s="32"/>
      <c r="D919" s="32"/>
      <c r="E919" s="19" t="n">
        <f aca="false">+F919*0.03</f>
        <v>0</v>
      </c>
      <c r="F919" s="33" t="n">
        <v>0</v>
      </c>
      <c r="G919" s="62"/>
      <c r="H919" s="35" t="n">
        <v>0</v>
      </c>
      <c r="I919" s="34" t="n">
        <f aca="false">+IF(E919=0,0,E919*0.03)</f>
        <v>0</v>
      </c>
    </row>
    <row r="920" customFormat="false" ht="15.75" hidden="false" customHeight="true" outlineLevel="0" collapsed="false">
      <c r="A920" s="30" t="n">
        <v>45444</v>
      </c>
      <c r="B920" s="31" t="s">
        <v>153</v>
      </c>
      <c r="C920" s="32"/>
      <c r="D920" s="32"/>
      <c r="E920" s="19" t="n">
        <f aca="false">+F920*0.03</f>
        <v>0</v>
      </c>
      <c r="F920" s="33" t="n">
        <v>0</v>
      </c>
      <c r="G920" s="62"/>
      <c r="H920" s="35" t="n">
        <v>0</v>
      </c>
      <c r="I920" s="34" t="n">
        <f aca="false">+IF(E920=0,0,E920*0.03)</f>
        <v>0</v>
      </c>
    </row>
    <row r="921" customFormat="false" ht="15.75" hidden="false" customHeight="true" outlineLevel="0" collapsed="false">
      <c r="A921" s="30" t="n">
        <v>45444</v>
      </c>
      <c r="B921" s="31" t="s">
        <v>153</v>
      </c>
      <c r="C921" s="32"/>
      <c r="D921" s="32"/>
      <c r="E921" s="19" t="n">
        <f aca="false">+F921*0.03</f>
        <v>0</v>
      </c>
      <c r="F921" s="33" t="n">
        <v>0</v>
      </c>
      <c r="G921" s="62"/>
      <c r="H921" s="35" t="n">
        <v>0</v>
      </c>
      <c r="I921" s="34" t="n">
        <f aca="false">+IF(E921=0,0,E921*0.03)</f>
        <v>0</v>
      </c>
    </row>
    <row r="922" customFormat="false" ht="15.75" hidden="false" customHeight="true" outlineLevel="0" collapsed="false">
      <c r="A922" s="30" t="n">
        <v>45444</v>
      </c>
      <c r="B922" s="31" t="s">
        <v>153</v>
      </c>
      <c r="C922" s="32"/>
      <c r="D922" s="32"/>
      <c r="E922" s="19" t="n">
        <f aca="false">+F922*0.03</f>
        <v>0</v>
      </c>
      <c r="F922" s="33" t="n">
        <v>0</v>
      </c>
      <c r="G922" s="62"/>
      <c r="H922" s="35" t="n">
        <v>0</v>
      </c>
      <c r="I922" s="34" t="n">
        <f aca="false">+IF(E922=0,0,E922*0.03)</f>
        <v>0</v>
      </c>
    </row>
    <row r="923" customFormat="false" ht="15.75" hidden="false" customHeight="true" outlineLevel="0" collapsed="false">
      <c r="A923" s="30" t="n">
        <v>45444</v>
      </c>
      <c r="B923" s="31" t="s">
        <v>153</v>
      </c>
      <c r="C923" s="32"/>
      <c r="D923" s="32"/>
      <c r="E923" s="19" t="n">
        <f aca="false">+F923*0.03</f>
        <v>0</v>
      </c>
      <c r="F923" s="33" t="n">
        <v>0</v>
      </c>
      <c r="G923" s="62"/>
      <c r="H923" s="35" t="n">
        <v>0</v>
      </c>
      <c r="I923" s="34" t="n">
        <f aca="false">+IF(E923=0,0,E923*0.03)</f>
        <v>0</v>
      </c>
    </row>
    <row r="924" customFormat="false" ht="15.75" hidden="false" customHeight="true" outlineLevel="0" collapsed="false">
      <c r="A924" s="30" t="n">
        <v>45444</v>
      </c>
      <c r="B924" s="31" t="s">
        <v>153</v>
      </c>
      <c r="C924" s="32"/>
      <c r="D924" s="32"/>
      <c r="E924" s="19" t="n">
        <f aca="false">+F924*0.03</f>
        <v>0</v>
      </c>
      <c r="F924" s="33" t="n">
        <v>0</v>
      </c>
      <c r="G924" s="62"/>
      <c r="H924" s="35" t="n">
        <v>0</v>
      </c>
      <c r="I924" s="34" t="n">
        <f aca="false">+IF(E924=0,0,E924*0.03)</f>
        <v>0</v>
      </c>
    </row>
    <row r="925" customFormat="false" ht="15.75" hidden="false" customHeight="true" outlineLevel="0" collapsed="false">
      <c r="A925" s="30" t="n">
        <v>45444</v>
      </c>
      <c r="B925" s="31" t="s">
        <v>153</v>
      </c>
      <c r="C925" s="32"/>
      <c r="D925" s="32"/>
      <c r="E925" s="19" t="n">
        <f aca="false">+F925*0.03</f>
        <v>0</v>
      </c>
      <c r="F925" s="33" t="n">
        <v>0</v>
      </c>
      <c r="G925" s="62"/>
      <c r="H925" s="35" t="n">
        <v>0</v>
      </c>
      <c r="I925" s="34" t="n">
        <f aca="false">+IF(E925=0,0,E925*0.03)</f>
        <v>0</v>
      </c>
    </row>
    <row r="926" customFormat="false" ht="15.75" hidden="false" customHeight="true" outlineLevel="0" collapsed="false">
      <c r="A926" s="30" t="n">
        <v>45444</v>
      </c>
      <c r="B926" s="31" t="s">
        <v>153</v>
      </c>
      <c r="C926" s="32"/>
      <c r="D926" s="32"/>
      <c r="E926" s="19" t="n">
        <f aca="false">+F926*0.03</f>
        <v>0</v>
      </c>
      <c r="F926" s="33" t="n">
        <v>0</v>
      </c>
      <c r="G926" s="62"/>
      <c r="H926" s="35" t="n">
        <v>0</v>
      </c>
      <c r="I926" s="34" t="n">
        <f aca="false">+IF(E926=0,0,E926*0.03)</f>
        <v>0</v>
      </c>
    </row>
    <row r="927" customFormat="false" ht="15.75" hidden="false" customHeight="true" outlineLevel="0" collapsed="false">
      <c r="A927" s="30" t="n">
        <v>45444</v>
      </c>
      <c r="B927" s="31" t="s">
        <v>153</v>
      </c>
      <c r="C927" s="32"/>
      <c r="D927" s="32"/>
      <c r="E927" s="19" t="n">
        <f aca="false">+F927*0.03</f>
        <v>0</v>
      </c>
      <c r="F927" s="33" t="n">
        <v>0</v>
      </c>
      <c r="G927" s="62"/>
      <c r="H927" s="35" t="n">
        <v>0</v>
      </c>
      <c r="I927" s="34" t="n">
        <f aca="false">+IF(E927=0,0,E927*0.03)</f>
        <v>0</v>
      </c>
    </row>
    <row r="928" customFormat="false" ht="15.75" hidden="false" customHeight="true" outlineLevel="0" collapsed="false">
      <c r="A928" s="30" t="n">
        <v>45444</v>
      </c>
      <c r="B928" s="31" t="s">
        <v>153</v>
      </c>
      <c r="C928" s="32"/>
      <c r="D928" s="32"/>
      <c r="E928" s="19" t="n">
        <f aca="false">+F928*0.03</f>
        <v>0</v>
      </c>
      <c r="F928" s="33" t="n">
        <v>0</v>
      </c>
      <c r="G928" s="62"/>
      <c r="H928" s="35" t="n">
        <v>0</v>
      </c>
      <c r="I928" s="34" t="n">
        <f aca="false">+IF(E928=0,0,E928*0.03)</f>
        <v>0</v>
      </c>
    </row>
    <row r="929" customFormat="false" ht="15.75" hidden="false" customHeight="true" outlineLevel="0" collapsed="false">
      <c r="A929" s="30" t="n">
        <v>45444</v>
      </c>
      <c r="B929" s="31" t="s">
        <v>153</v>
      </c>
      <c r="C929" s="32"/>
      <c r="D929" s="32"/>
      <c r="E929" s="19" t="n">
        <f aca="false">+F929*0.03</f>
        <v>0</v>
      </c>
      <c r="F929" s="33" t="n">
        <v>0</v>
      </c>
      <c r="G929" s="62"/>
      <c r="H929" s="35" t="n">
        <v>0</v>
      </c>
      <c r="I929" s="34" t="n">
        <f aca="false">+IF(E929=0,0,E929*0.03)</f>
        <v>0</v>
      </c>
    </row>
    <row r="930" customFormat="false" ht="15.75" hidden="false" customHeight="true" outlineLevel="0" collapsed="false">
      <c r="A930" s="30" t="n">
        <v>45444</v>
      </c>
      <c r="B930" s="31" t="s">
        <v>153</v>
      </c>
      <c r="C930" s="32"/>
      <c r="D930" s="32"/>
      <c r="E930" s="19" t="n">
        <f aca="false">+F930*0.03</f>
        <v>0</v>
      </c>
      <c r="F930" s="33" t="n">
        <v>0</v>
      </c>
      <c r="G930" s="62"/>
      <c r="H930" s="35" t="n">
        <v>0</v>
      </c>
      <c r="I930" s="34" t="n">
        <f aca="false">+IF(E930=0,0,E930*0.03)</f>
        <v>0</v>
      </c>
    </row>
    <row r="931" customFormat="false" ht="15.75" hidden="false" customHeight="true" outlineLevel="0" collapsed="false">
      <c r="A931" s="30" t="n">
        <v>45444</v>
      </c>
      <c r="B931" s="31" t="s">
        <v>153</v>
      </c>
      <c r="C931" s="32"/>
      <c r="D931" s="32"/>
      <c r="E931" s="19" t="n">
        <f aca="false">+F931*0.03</f>
        <v>0</v>
      </c>
      <c r="F931" s="33" t="n">
        <v>0</v>
      </c>
      <c r="G931" s="62"/>
      <c r="H931" s="35" t="n">
        <v>0</v>
      </c>
      <c r="I931" s="34" t="n">
        <f aca="false">+IF(E931=0,0,E931*0.03)</f>
        <v>0</v>
      </c>
    </row>
    <row r="932" customFormat="false" ht="15.75" hidden="false" customHeight="true" outlineLevel="0" collapsed="false">
      <c r="A932" s="30" t="n">
        <v>45444</v>
      </c>
      <c r="B932" s="31" t="s">
        <v>153</v>
      </c>
      <c r="C932" s="32"/>
      <c r="D932" s="32"/>
      <c r="E932" s="19" t="n">
        <f aca="false">+F932*0.03</f>
        <v>0</v>
      </c>
      <c r="F932" s="33" t="n">
        <v>0</v>
      </c>
      <c r="G932" s="62"/>
      <c r="H932" s="35" t="n">
        <v>0</v>
      </c>
      <c r="I932" s="34" t="n">
        <f aca="false">+IF(E932=0,0,E932*0.03)</f>
        <v>0</v>
      </c>
    </row>
    <row r="933" customFormat="false" ht="15.75" hidden="false" customHeight="true" outlineLevel="0" collapsed="false">
      <c r="A933" s="30" t="n">
        <v>45444</v>
      </c>
      <c r="B933" s="31" t="s">
        <v>153</v>
      </c>
      <c r="C933" s="32"/>
      <c r="D933" s="32"/>
      <c r="E933" s="19" t="n">
        <f aca="false">+F933*0.03</f>
        <v>0</v>
      </c>
      <c r="F933" s="33" t="n">
        <v>0</v>
      </c>
      <c r="G933" s="62"/>
      <c r="H933" s="35" t="n">
        <v>0</v>
      </c>
      <c r="I933" s="34" t="n">
        <f aca="false">+IF(E933=0,0,E933*0.03)</f>
        <v>0</v>
      </c>
    </row>
    <row r="934" customFormat="false" ht="15.75" hidden="false" customHeight="true" outlineLevel="0" collapsed="false">
      <c r="A934" s="30" t="n">
        <v>45444</v>
      </c>
      <c r="B934" s="31" t="s">
        <v>153</v>
      </c>
      <c r="C934" s="32"/>
      <c r="D934" s="32"/>
      <c r="E934" s="19" t="n">
        <f aca="false">+F934*0.03</f>
        <v>0</v>
      </c>
      <c r="F934" s="33" t="n">
        <v>0</v>
      </c>
      <c r="G934" s="62"/>
      <c r="H934" s="35" t="n">
        <v>0</v>
      </c>
      <c r="I934" s="34" t="n">
        <f aca="false">+IF(E934=0,0,E934*0.03)</f>
        <v>0</v>
      </c>
    </row>
    <row r="935" customFormat="false" ht="15.75" hidden="false" customHeight="true" outlineLevel="0" collapsed="false">
      <c r="A935" s="30" t="n">
        <v>45444</v>
      </c>
      <c r="B935" s="31" t="s">
        <v>153</v>
      </c>
      <c r="C935" s="32"/>
      <c r="D935" s="32"/>
      <c r="E935" s="19" t="n">
        <f aca="false">+F935*0.03</f>
        <v>0</v>
      </c>
      <c r="F935" s="33" t="n">
        <v>0</v>
      </c>
      <c r="G935" s="62"/>
      <c r="H935" s="35" t="n">
        <v>0</v>
      </c>
      <c r="I935" s="34" t="n">
        <f aca="false">+IF(E935=0,0,E935*0.03)</f>
        <v>0</v>
      </c>
    </row>
    <row r="936" customFormat="false" ht="15.75" hidden="false" customHeight="true" outlineLevel="0" collapsed="false">
      <c r="A936" s="30" t="n">
        <v>45444</v>
      </c>
      <c r="B936" s="31" t="s">
        <v>153</v>
      </c>
      <c r="C936" s="32"/>
      <c r="D936" s="32"/>
      <c r="E936" s="19" t="n">
        <f aca="false">+F936*0.03</f>
        <v>0</v>
      </c>
      <c r="F936" s="33" t="n">
        <v>0</v>
      </c>
      <c r="G936" s="62"/>
      <c r="H936" s="35" t="n">
        <v>0</v>
      </c>
      <c r="I936" s="34" t="n">
        <f aca="false">+IF(E936=0,0,E936*0.03)</f>
        <v>0</v>
      </c>
    </row>
    <row r="937" customFormat="false" ht="15.75" hidden="false" customHeight="true" outlineLevel="0" collapsed="false">
      <c r="A937" s="30" t="n">
        <v>45444</v>
      </c>
      <c r="B937" s="31" t="s">
        <v>153</v>
      </c>
      <c r="C937" s="32"/>
      <c r="D937" s="32"/>
      <c r="E937" s="19" t="n">
        <f aca="false">+F937*0.03</f>
        <v>0</v>
      </c>
      <c r="F937" s="33" t="n">
        <v>0</v>
      </c>
      <c r="G937" s="62"/>
      <c r="H937" s="35" t="n">
        <v>0</v>
      </c>
      <c r="I937" s="34" t="n">
        <f aca="false">+IF(E937=0,0,E937*0.03)</f>
        <v>0</v>
      </c>
    </row>
    <row r="938" customFormat="false" ht="15.75" hidden="false" customHeight="true" outlineLevel="0" collapsed="false">
      <c r="A938" s="30" t="n">
        <v>45444</v>
      </c>
      <c r="B938" s="31" t="s">
        <v>153</v>
      </c>
      <c r="C938" s="32"/>
      <c r="D938" s="32"/>
      <c r="E938" s="19" t="n">
        <f aca="false">+F938*0.03</f>
        <v>0</v>
      </c>
      <c r="F938" s="33" t="n">
        <v>0</v>
      </c>
      <c r="G938" s="62"/>
      <c r="H938" s="35" t="n">
        <v>0</v>
      </c>
      <c r="I938" s="34" t="n">
        <f aca="false">+IF(E938=0,0,E938*0.03)</f>
        <v>0</v>
      </c>
    </row>
    <row r="939" customFormat="false" ht="15.75" hidden="false" customHeight="true" outlineLevel="0" collapsed="false">
      <c r="A939" s="30" t="n">
        <v>45444</v>
      </c>
      <c r="B939" s="31" t="s">
        <v>153</v>
      </c>
      <c r="C939" s="32"/>
      <c r="D939" s="32"/>
      <c r="E939" s="19" t="n">
        <f aca="false">+F939*0.03</f>
        <v>0</v>
      </c>
      <c r="F939" s="33" t="n">
        <v>0</v>
      </c>
      <c r="G939" s="62"/>
      <c r="H939" s="35" t="n">
        <v>0</v>
      </c>
      <c r="I939" s="34" t="n">
        <f aca="false">+IF(E939=0,0,E939*0.03)</f>
        <v>0</v>
      </c>
    </row>
    <row r="940" customFormat="false" ht="15.75" hidden="false" customHeight="true" outlineLevel="0" collapsed="false">
      <c r="A940" s="30" t="n">
        <v>45444</v>
      </c>
      <c r="B940" s="31" t="s">
        <v>153</v>
      </c>
      <c r="C940" s="32"/>
      <c r="D940" s="32"/>
      <c r="E940" s="19" t="n">
        <f aca="false">+F940*0.03</f>
        <v>0</v>
      </c>
      <c r="F940" s="33" t="n">
        <v>0</v>
      </c>
      <c r="G940" s="62"/>
      <c r="H940" s="35" t="n">
        <v>0</v>
      </c>
      <c r="I940" s="34" t="n">
        <f aca="false">+IF(E940=0,0,E940*0.03)</f>
        <v>0</v>
      </c>
    </row>
    <row r="941" customFormat="false" ht="15.75" hidden="false" customHeight="true" outlineLevel="0" collapsed="false">
      <c r="A941" s="30" t="n">
        <v>45444</v>
      </c>
      <c r="B941" s="31" t="s">
        <v>153</v>
      </c>
      <c r="C941" s="32"/>
      <c r="D941" s="32"/>
      <c r="E941" s="19" t="n">
        <f aca="false">+F941*0.03</f>
        <v>0</v>
      </c>
      <c r="F941" s="33" t="n">
        <v>0</v>
      </c>
      <c r="G941" s="62"/>
      <c r="H941" s="35" t="n">
        <v>0</v>
      </c>
      <c r="I941" s="34" t="n">
        <f aca="false">+IF(E941=0,0,E941*0.03)</f>
        <v>0</v>
      </c>
    </row>
    <row r="942" customFormat="false" ht="15.75" hidden="false" customHeight="true" outlineLevel="0" collapsed="false">
      <c r="A942" s="30" t="n">
        <v>45444</v>
      </c>
      <c r="B942" s="31" t="s">
        <v>153</v>
      </c>
      <c r="C942" s="32"/>
      <c r="D942" s="32"/>
      <c r="E942" s="19" t="n">
        <f aca="false">+F942*0.03</f>
        <v>0</v>
      </c>
      <c r="F942" s="33" t="n">
        <v>0</v>
      </c>
      <c r="G942" s="62"/>
      <c r="H942" s="35" t="n">
        <v>0</v>
      </c>
      <c r="I942" s="34" t="n">
        <f aca="false">+IF(E942=0,0,E942*0.03)</f>
        <v>0</v>
      </c>
    </row>
    <row r="943" customFormat="false" ht="15.75" hidden="false" customHeight="true" outlineLevel="0" collapsed="false">
      <c r="A943" s="30" t="n">
        <v>45444</v>
      </c>
      <c r="B943" s="31" t="s">
        <v>153</v>
      </c>
      <c r="C943" s="32"/>
      <c r="D943" s="32"/>
      <c r="E943" s="19" t="n">
        <f aca="false">+F943*0.03</f>
        <v>0</v>
      </c>
      <c r="F943" s="33" t="n">
        <v>0</v>
      </c>
      <c r="G943" s="62"/>
      <c r="H943" s="35" t="n">
        <v>0</v>
      </c>
      <c r="I943" s="34" t="n">
        <f aca="false">+IF(E943=0,0,E943*0.03)</f>
        <v>0</v>
      </c>
    </row>
    <row r="944" customFormat="false" ht="15.75" hidden="false" customHeight="true" outlineLevel="0" collapsed="false">
      <c r="A944" s="30" t="n">
        <v>45444</v>
      </c>
      <c r="B944" s="31" t="s">
        <v>153</v>
      </c>
      <c r="C944" s="32"/>
      <c r="D944" s="32"/>
      <c r="E944" s="19" t="n">
        <f aca="false">+F944*0.03</f>
        <v>0</v>
      </c>
      <c r="F944" s="33" t="n">
        <v>0</v>
      </c>
      <c r="G944" s="62"/>
      <c r="H944" s="35" t="n">
        <v>0</v>
      </c>
      <c r="I944" s="34" t="n">
        <f aca="false">+IF(E944=0,0,E944*0.03)</f>
        <v>0</v>
      </c>
    </row>
    <row r="945" customFormat="false" ht="15.75" hidden="false" customHeight="true" outlineLevel="0" collapsed="false">
      <c r="A945" s="30" t="n">
        <v>45444</v>
      </c>
      <c r="B945" s="31" t="s">
        <v>153</v>
      </c>
      <c r="C945" s="32"/>
      <c r="D945" s="32"/>
      <c r="E945" s="19" t="n">
        <f aca="false">+F945*0.03</f>
        <v>0</v>
      </c>
      <c r="F945" s="33" t="n">
        <v>0</v>
      </c>
      <c r="G945" s="62"/>
      <c r="H945" s="35" t="n">
        <v>0</v>
      </c>
      <c r="I945" s="34" t="n">
        <f aca="false">+IF(E945=0,0,E945*0.03)</f>
        <v>0</v>
      </c>
    </row>
    <row r="946" customFormat="false" ht="15.75" hidden="false" customHeight="true" outlineLevel="0" collapsed="false">
      <c r="A946" s="30" t="n">
        <v>45444</v>
      </c>
      <c r="B946" s="31" t="s">
        <v>153</v>
      </c>
      <c r="C946" s="32"/>
      <c r="D946" s="32"/>
      <c r="E946" s="19" t="n">
        <f aca="false">+F946*0.03</f>
        <v>0</v>
      </c>
      <c r="F946" s="33" t="n">
        <v>0</v>
      </c>
      <c r="G946" s="62"/>
      <c r="H946" s="35" t="n">
        <v>0</v>
      </c>
      <c r="I946" s="34" t="n">
        <f aca="false">+IF(E946=0,0,E946*0.03)</f>
        <v>0</v>
      </c>
    </row>
    <row r="947" customFormat="false" ht="15.75" hidden="false" customHeight="true" outlineLevel="0" collapsed="false">
      <c r="A947" s="30" t="n">
        <v>45444</v>
      </c>
      <c r="B947" s="31" t="s">
        <v>153</v>
      </c>
      <c r="C947" s="32"/>
      <c r="D947" s="32"/>
      <c r="E947" s="19" t="n">
        <f aca="false">+F947*0.03</f>
        <v>0</v>
      </c>
      <c r="F947" s="33" t="n">
        <v>0</v>
      </c>
      <c r="G947" s="62"/>
      <c r="H947" s="35" t="n">
        <v>0</v>
      </c>
      <c r="I947" s="34" t="n">
        <f aca="false">+IF(E947=0,0,E947*0.03)</f>
        <v>0</v>
      </c>
    </row>
    <row r="948" customFormat="false" ht="15.75" hidden="false" customHeight="true" outlineLevel="0" collapsed="false">
      <c r="A948" s="30" t="n">
        <v>45444</v>
      </c>
      <c r="B948" s="31" t="s">
        <v>153</v>
      </c>
      <c r="C948" s="32"/>
      <c r="D948" s="32"/>
      <c r="E948" s="19" t="n">
        <f aca="false">+F948*0.03</f>
        <v>0</v>
      </c>
      <c r="F948" s="33" t="n">
        <v>0</v>
      </c>
      <c r="G948" s="62"/>
      <c r="H948" s="35" t="n">
        <v>0</v>
      </c>
      <c r="I948" s="34" t="n">
        <f aca="false">+IF(E948=0,0,E948*0.03)</f>
        <v>0</v>
      </c>
    </row>
    <row r="949" customFormat="false" ht="15.75" hidden="false" customHeight="true" outlineLevel="0" collapsed="false">
      <c r="A949" s="30" t="n">
        <v>45444</v>
      </c>
      <c r="B949" s="31" t="s">
        <v>153</v>
      </c>
      <c r="C949" s="32"/>
      <c r="D949" s="32"/>
      <c r="E949" s="19" t="n">
        <f aca="false">+F949*0.03</f>
        <v>0</v>
      </c>
      <c r="F949" s="33" t="n">
        <v>0</v>
      </c>
      <c r="G949" s="62"/>
      <c r="H949" s="35" t="n">
        <v>0</v>
      </c>
      <c r="I949" s="34" t="n">
        <f aca="false">+IF(E949=0,0,E949*0.03)</f>
        <v>0</v>
      </c>
    </row>
    <row r="950" customFormat="false" ht="15.75" hidden="false" customHeight="true" outlineLevel="0" collapsed="false">
      <c r="A950" s="30" t="n">
        <v>45444</v>
      </c>
      <c r="B950" s="31" t="s">
        <v>153</v>
      </c>
      <c r="C950" s="32"/>
      <c r="D950" s="32"/>
      <c r="E950" s="19" t="n">
        <f aca="false">+F950*0.03</f>
        <v>0</v>
      </c>
      <c r="F950" s="33" t="n">
        <v>0</v>
      </c>
      <c r="G950" s="62"/>
      <c r="H950" s="35" t="n">
        <v>0</v>
      </c>
      <c r="I950" s="34" t="n">
        <f aca="false">+IF(E950=0,0,E950*0.03)</f>
        <v>0</v>
      </c>
    </row>
    <row r="951" customFormat="false" ht="15.75" hidden="false" customHeight="true" outlineLevel="0" collapsed="false">
      <c r="A951" s="30" t="n">
        <v>45444</v>
      </c>
      <c r="B951" s="31" t="s">
        <v>153</v>
      </c>
      <c r="C951" s="32"/>
      <c r="D951" s="32"/>
      <c r="E951" s="19" t="n">
        <f aca="false">+F951*0.03</f>
        <v>0</v>
      </c>
      <c r="F951" s="33" t="n">
        <v>0</v>
      </c>
      <c r="G951" s="62"/>
      <c r="H951" s="35" t="n">
        <v>0</v>
      </c>
      <c r="I951" s="34" t="n">
        <f aca="false">+IF(E951=0,0,E951*0.03)</f>
        <v>0</v>
      </c>
    </row>
    <row r="952" customFormat="false" ht="15.75" hidden="false" customHeight="true" outlineLevel="0" collapsed="false">
      <c r="A952" s="30" t="n">
        <v>45444</v>
      </c>
      <c r="B952" s="31" t="s">
        <v>153</v>
      </c>
      <c r="C952" s="32"/>
      <c r="D952" s="32"/>
      <c r="E952" s="19" t="n">
        <f aca="false">+F952*0.03</f>
        <v>0</v>
      </c>
      <c r="F952" s="33" t="n">
        <v>0</v>
      </c>
      <c r="G952" s="62"/>
      <c r="H952" s="35" t="n">
        <v>0</v>
      </c>
      <c r="I952" s="34" t="n">
        <f aca="false">+IF(E952=0,0,E952*0.03)</f>
        <v>0</v>
      </c>
    </row>
    <row r="953" customFormat="false" ht="15.75" hidden="false" customHeight="true" outlineLevel="0" collapsed="false">
      <c r="A953" s="30" t="n">
        <v>45444</v>
      </c>
      <c r="B953" s="31" t="s">
        <v>153</v>
      </c>
      <c r="C953" s="32"/>
      <c r="D953" s="32"/>
      <c r="E953" s="19" t="n">
        <f aca="false">+F953*0.03</f>
        <v>0</v>
      </c>
      <c r="F953" s="33" t="n">
        <v>0</v>
      </c>
      <c r="G953" s="62"/>
      <c r="H953" s="35" t="n">
        <v>0</v>
      </c>
      <c r="I953" s="34" t="n">
        <f aca="false">+IF(E953=0,0,E953*0.03)</f>
        <v>0</v>
      </c>
    </row>
    <row r="954" customFormat="false" ht="15.75" hidden="false" customHeight="true" outlineLevel="0" collapsed="false">
      <c r="A954" s="30" t="n">
        <v>45444</v>
      </c>
      <c r="B954" s="31" t="s">
        <v>153</v>
      </c>
      <c r="C954" s="32"/>
      <c r="D954" s="32"/>
      <c r="E954" s="19" t="n">
        <f aca="false">+F954*0.03</f>
        <v>0</v>
      </c>
      <c r="F954" s="33" t="n">
        <v>0</v>
      </c>
      <c r="G954" s="62"/>
      <c r="H954" s="35" t="n">
        <v>0</v>
      </c>
      <c r="I954" s="34" t="n">
        <f aca="false">+IF(E954=0,0,E954*0.03)</f>
        <v>0</v>
      </c>
    </row>
    <row r="955" customFormat="false" ht="15.75" hidden="false" customHeight="true" outlineLevel="0" collapsed="false">
      <c r="A955" s="30" t="n">
        <v>45444</v>
      </c>
      <c r="B955" s="31" t="s">
        <v>153</v>
      </c>
      <c r="C955" s="32"/>
      <c r="D955" s="32"/>
      <c r="E955" s="19" t="n">
        <f aca="false">+F955*0.03</f>
        <v>0</v>
      </c>
      <c r="F955" s="33" t="n">
        <v>0</v>
      </c>
      <c r="G955" s="62"/>
      <c r="H955" s="35" t="n">
        <v>0</v>
      </c>
      <c r="I955" s="34" t="n">
        <f aca="false">+IF(E955=0,0,E955*0.03)</f>
        <v>0</v>
      </c>
    </row>
    <row r="956" customFormat="false" ht="15.75" hidden="false" customHeight="true" outlineLevel="0" collapsed="false">
      <c r="A956" s="30" t="n">
        <v>45444</v>
      </c>
      <c r="B956" s="31" t="s">
        <v>153</v>
      </c>
      <c r="C956" s="32"/>
      <c r="D956" s="32"/>
      <c r="E956" s="19" t="n">
        <f aca="false">+F956*0.03</f>
        <v>0</v>
      </c>
      <c r="F956" s="33" t="n">
        <v>0</v>
      </c>
      <c r="G956" s="62"/>
      <c r="H956" s="35" t="n">
        <v>0</v>
      </c>
      <c r="I956" s="34" t="n">
        <f aca="false">+IF(E956=0,0,E956*0.03)</f>
        <v>0</v>
      </c>
    </row>
    <row r="957" customFormat="false" ht="15.75" hidden="false" customHeight="true" outlineLevel="0" collapsed="false">
      <c r="A957" s="30" t="n">
        <v>45444</v>
      </c>
      <c r="B957" s="31" t="s">
        <v>153</v>
      </c>
      <c r="C957" s="32"/>
      <c r="D957" s="32"/>
      <c r="E957" s="19" t="n">
        <f aca="false">+F957*0.03</f>
        <v>0</v>
      </c>
      <c r="F957" s="33" t="n">
        <v>0</v>
      </c>
      <c r="G957" s="62"/>
      <c r="H957" s="35" t="n">
        <v>0</v>
      </c>
      <c r="I957" s="34" t="n">
        <f aca="false">+IF(E957=0,0,E957*0.03)</f>
        <v>0</v>
      </c>
    </row>
    <row r="958" customFormat="false" ht="15.75" hidden="false" customHeight="true" outlineLevel="0" collapsed="false">
      <c r="A958" s="30" t="n">
        <v>45444</v>
      </c>
      <c r="B958" s="31" t="s">
        <v>153</v>
      </c>
      <c r="C958" s="32"/>
      <c r="D958" s="32"/>
      <c r="E958" s="19" t="n">
        <f aca="false">+F958*0.03</f>
        <v>0</v>
      </c>
      <c r="F958" s="33" t="n">
        <v>0</v>
      </c>
      <c r="G958" s="62"/>
      <c r="H958" s="35" t="n">
        <v>0</v>
      </c>
      <c r="I958" s="34" t="n">
        <f aca="false">+IF(E958=0,0,E958*0.03)</f>
        <v>0</v>
      </c>
    </row>
    <row r="959" customFormat="false" ht="15.75" hidden="false" customHeight="true" outlineLevel="0" collapsed="false">
      <c r="A959" s="30" t="n">
        <v>45444</v>
      </c>
      <c r="B959" s="31" t="s">
        <v>153</v>
      </c>
      <c r="C959" s="32"/>
      <c r="D959" s="32"/>
      <c r="E959" s="19" t="n">
        <f aca="false">+F959*0.03</f>
        <v>0</v>
      </c>
      <c r="F959" s="33" t="n">
        <v>0</v>
      </c>
      <c r="G959" s="62"/>
      <c r="H959" s="35" t="n">
        <v>0</v>
      </c>
      <c r="I959" s="34" t="n">
        <f aca="false">+IF(E959=0,0,E959*0.03)</f>
        <v>0</v>
      </c>
    </row>
    <row r="960" customFormat="false" ht="15.75" hidden="false" customHeight="true" outlineLevel="0" collapsed="false">
      <c r="A960" s="30" t="n">
        <v>45444</v>
      </c>
      <c r="B960" s="31" t="s">
        <v>153</v>
      </c>
      <c r="C960" s="32"/>
      <c r="D960" s="32"/>
      <c r="E960" s="19" t="n">
        <f aca="false">+F960*0.03</f>
        <v>0</v>
      </c>
      <c r="F960" s="33" t="n">
        <v>0</v>
      </c>
      <c r="G960" s="62"/>
      <c r="H960" s="35" t="n">
        <v>0</v>
      </c>
      <c r="I960" s="34" t="n">
        <f aca="false">+IF(E960=0,0,E960*0.03)</f>
        <v>0</v>
      </c>
    </row>
    <row r="961" customFormat="false" ht="15.75" hidden="false" customHeight="true" outlineLevel="0" collapsed="false">
      <c r="A961" s="30" t="n">
        <v>45444</v>
      </c>
      <c r="B961" s="31" t="s">
        <v>153</v>
      </c>
      <c r="C961" s="32"/>
      <c r="D961" s="32"/>
      <c r="E961" s="19" t="n">
        <f aca="false">+F961*0.03</f>
        <v>0</v>
      </c>
      <c r="F961" s="33" t="n">
        <v>0</v>
      </c>
      <c r="G961" s="62"/>
      <c r="H961" s="35" t="n">
        <v>0</v>
      </c>
      <c r="I961" s="34" t="n">
        <f aca="false">+IF(E961=0,0,E961*0.03)</f>
        <v>0</v>
      </c>
    </row>
    <row r="962" customFormat="false" ht="15.75" hidden="false" customHeight="true" outlineLevel="0" collapsed="false">
      <c r="A962" s="30" t="n">
        <v>45444</v>
      </c>
      <c r="B962" s="31" t="s">
        <v>153</v>
      </c>
      <c r="C962" s="32"/>
      <c r="D962" s="32"/>
      <c r="E962" s="19" t="n">
        <f aca="false">+F962*0.03</f>
        <v>0</v>
      </c>
      <c r="F962" s="33" t="n">
        <v>0</v>
      </c>
      <c r="G962" s="62"/>
      <c r="H962" s="35" t="n">
        <v>0</v>
      </c>
      <c r="I962" s="34" t="n">
        <f aca="false">+IF(E962=0,0,E962*0.03)</f>
        <v>0</v>
      </c>
    </row>
    <row r="963" customFormat="false" ht="15.75" hidden="false" customHeight="true" outlineLevel="0" collapsed="false">
      <c r="A963" s="30" t="n">
        <v>45444</v>
      </c>
      <c r="B963" s="31" t="s">
        <v>153</v>
      </c>
      <c r="C963" s="32"/>
      <c r="D963" s="32"/>
      <c r="E963" s="19" t="n">
        <f aca="false">+F963*0.03</f>
        <v>0</v>
      </c>
      <c r="F963" s="33" t="n">
        <v>0</v>
      </c>
      <c r="G963" s="62"/>
      <c r="H963" s="35" t="n">
        <v>0</v>
      </c>
      <c r="I963" s="34" t="n">
        <f aca="false">+IF(E963=0,0,E963*0.03)</f>
        <v>0</v>
      </c>
    </row>
    <row r="964" customFormat="false" ht="15.75" hidden="false" customHeight="true" outlineLevel="0" collapsed="false">
      <c r="A964" s="30" t="n">
        <v>45444</v>
      </c>
      <c r="B964" s="31" t="s">
        <v>153</v>
      </c>
      <c r="C964" s="32"/>
      <c r="D964" s="32"/>
      <c r="E964" s="19" t="n">
        <f aca="false">+F964*0.03</f>
        <v>0</v>
      </c>
      <c r="F964" s="33" t="n">
        <v>0</v>
      </c>
      <c r="G964" s="62"/>
      <c r="H964" s="35" t="n">
        <v>0</v>
      </c>
      <c r="I964" s="34" t="n">
        <f aca="false">+IF(E964=0,0,E964*0.03)</f>
        <v>0</v>
      </c>
    </row>
    <row r="965" customFormat="false" ht="15.75" hidden="false" customHeight="true" outlineLevel="0" collapsed="false">
      <c r="A965" s="30" t="n">
        <v>45444</v>
      </c>
      <c r="B965" s="31" t="s">
        <v>153</v>
      </c>
      <c r="C965" s="32"/>
      <c r="D965" s="32"/>
      <c r="E965" s="19" t="n">
        <f aca="false">+F965*0.03</f>
        <v>0</v>
      </c>
      <c r="F965" s="33" t="n">
        <v>0</v>
      </c>
      <c r="G965" s="62"/>
      <c r="H965" s="35" t="n">
        <v>0</v>
      </c>
      <c r="I965" s="34" t="n">
        <f aca="false">+IF(E965=0,0,E965*0.03)</f>
        <v>0</v>
      </c>
    </row>
    <row r="966" customFormat="false" ht="15.75" hidden="false" customHeight="true" outlineLevel="0" collapsed="false">
      <c r="A966" s="30" t="n">
        <v>45444</v>
      </c>
      <c r="B966" s="31" t="s">
        <v>153</v>
      </c>
      <c r="C966" s="32"/>
      <c r="D966" s="32"/>
      <c r="E966" s="19" t="n">
        <f aca="false">+F966*0.03</f>
        <v>0</v>
      </c>
      <c r="F966" s="33" t="n">
        <v>0</v>
      </c>
      <c r="G966" s="62"/>
      <c r="H966" s="35" t="n">
        <v>0</v>
      </c>
      <c r="I966" s="34" t="n">
        <f aca="false">+IF(E966=0,0,E966*0.03)</f>
        <v>0</v>
      </c>
    </row>
    <row r="967" customFormat="false" ht="15.75" hidden="false" customHeight="true" outlineLevel="0" collapsed="false">
      <c r="A967" s="30" t="n">
        <v>45444</v>
      </c>
      <c r="B967" s="31" t="s">
        <v>153</v>
      </c>
      <c r="C967" s="32"/>
      <c r="D967" s="32"/>
      <c r="E967" s="19" t="n">
        <f aca="false">+F967*0.03</f>
        <v>0</v>
      </c>
      <c r="F967" s="33" t="n">
        <v>0</v>
      </c>
      <c r="G967" s="62"/>
      <c r="H967" s="35" t="n">
        <v>0</v>
      </c>
      <c r="I967" s="34" t="n">
        <f aca="false">+IF(E967=0,0,E967*0.03)</f>
        <v>0</v>
      </c>
    </row>
    <row r="968" customFormat="false" ht="15.75" hidden="false" customHeight="true" outlineLevel="0" collapsed="false">
      <c r="A968" s="30" t="n">
        <v>45444</v>
      </c>
      <c r="B968" s="31" t="s">
        <v>153</v>
      </c>
      <c r="C968" s="32"/>
      <c r="D968" s="32"/>
      <c r="E968" s="19" t="n">
        <f aca="false">+F968*0.03</f>
        <v>0</v>
      </c>
      <c r="F968" s="33" t="n">
        <v>0</v>
      </c>
      <c r="G968" s="62"/>
      <c r="H968" s="35" t="n">
        <v>0</v>
      </c>
      <c r="I968" s="34" t="n">
        <f aca="false">+IF(E968=0,0,E968*0.03)</f>
        <v>0</v>
      </c>
    </row>
    <row r="969" customFormat="false" ht="15.75" hidden="false" customHeight="true" outlineLevel="0" collapsed="false">
      <c r="A969" s="30" t="n">
        <v>45444</v>
      </c>
      <c r="B969" s="31" t="s">
        <v>153</v>
      </c>
      <c r="C969" s="32"/>
      <c r="D969" s="32"/>
      <c r="E969" s="19" t="n">
        <f aca="false">+F969*0.03</f>
        <v>0</v>
      </c>
      <c r="F969" s="33" t="n">
        <v>0</v>
      </c>
      <c r="G969" s="62"/>
      <c r="H969" s="35" t="n">
        <v>0</v>
      </c>
      <c r="I969" s="34" t="n">
        <f aca="false">+IF(E969=0,0,E969*0.03)</f>
        <v>0</v>
      </c>
    </row>
    <row r="970" customFormat="false" ht="15.75" hidden="false" customHeight="true" outlineLevel="0" collapsed="false">
      <c r="A970" s="30" t="n">
        <v>45444</v>
      </c>
      <c r="B970" s="31" t="s">
        <v>153</v>
      </c>
      <c r="C970" s="32"/>
      <c r="D970" s="32"/>
      <c r="E970" s="19" t="n">
        <f aca="false">+F970*0.03</f>
        <v>0</v>
      </c>
      <c r="F970" s="33" t="n">
        <v>0</v>
      </c>
      <c r="G970" s="62"/>
      <c r="H970" s="35" t="n">
        <v>0</v>
      </c>
      <c r="I970" s="34" t="n">
        <f aca="false">+IF(E970=0,0,E970*0.03)</f>
        <v>0</v>
      </c>
    </row>
    <row r="971" customFormat="false" ht="15.75" hidden="false" customHeight="true" outlineLevel="0" collapsed="false">
      <c r="A971" s="30" t="n">
        <v>45444</v>
      </c>
      <c r="B971" s="31" t="s">
        <v>153</v>
      </c>
      <c r="C971" s="32"/>
      <c r="D971" s="32"/>
      <c r="E971" s="19" t="n">
        <f aca="false">+F971*0.03</f>
        <v>0</v>
      </c>
      <c r="F971" s="33" t="n">
        <v>0</v>
      </c>
      <c r="G971" s="62"/>
      <c r="H971" s="35" t="n">
        <v>0</v>
      </c>
      <c r="I971" s="34" t="n">
        <f aca="false">+IF(E971=0,0,E971*0.03)</f>
        <v>0</v>
      </c>
    </row>
    <row r="972" customFormat="false" ht="15.75" hidden="false" customHeight="true" outlineLevel="0" collapsed="false">
      <c r="A972" s="30" t="n">
        <v>45444</v>
      </c>
      <c r="B972" s="31" t="s">
        <v>153</v>
      </c>
      <c r="C972" s="32"/>
      <c r="D972" s="32"/>
      <c r="E972" s="19" t="n">
        <f aca="false">+F972*0.03</f>
        <v>0</v>
      </c>
      <c r="F972" s="33" t="n">
        <v>0</v>
      </c>
      <c r="G972" s="62"/>
      <c r="H972" s="35" t="n">
        <v>0</v>
      </c>
      <c r="I972" s="34" t="n">
        <f aca="false">+IF(E972=0,0,E972*0.03)</f>
        <v>0</v>
      </c>
    </row>
    <row r="973" customFormat="false" ht="15.75" hidden="false" customHeight="true" outlineLevel="0" collapsed="false">
      <c r="A973" s="30" t="n">
        <v>45444</v>
      </c>
      <c r="B973" s="31" t="s">
        <v>153</v>
      </c>
      <c r="C973" s="32"/>
      <c r="D973" s="32"/>
      <c r="E973" s="19" t="n">
        <f aca="false">+F973*0.03</f>
        <v>0</v>
      </c>
      <c r="F973" s="33" t="n">
        <v>0</v>
      </c>
      <c r="G973" s="62"/>
      <c r="H973" s="35" t="n">
        <v>0</v>
      </c>
      <c r="I973" s="34" t="n">
        <f aca="false">+IF(E973=0,0,E973*0.03)</f>
        <v>0</v>
      </c>
    </row>
    <row r="974" customFormat="false" ht="15.75" hidden="false" customHeight="true" outlineLevel="0" collapsed="false">
      <c r="A974" s="30" t="n">
        <v>45444</v>
      </c>
      <c r="B974" s="31" t="s">
        <v>153</v>
      </c>
      <c r="C974" s="32"/>
      <c r="D974" s="32"/>
      <c r="E974" s="19" t="n">
        <f aca="false">+F974*0.03</f>
        <v>0</v>
      </c>
      <c r="F974" s="33" t="n">
        <v>0</v>
      </c>
      <c r="G974" s="62"/>
      <c r="H974" s="35" t="n">
        <v>0</v>
      </c>
      <c r="I974" s="34" t="n">
        <f aca="false">+IF(E974=0,0,E974*0.03)</f>
        <v>0</v>
      </c>
    </row>
    <row r="975" customFormat="false" ht="15.75" hidden="false" customHeight="true" outlineLevel="0" collapsed="false">
      <c r="A975" s="30" t="n">
        <v>45444</v>
      </c>
      <c r="B975" s="31" t="s">
        <v>153</v>
      </c>
      <c r="C975" s="32"/>
      <c r="D975" s="32"/>
      <c r="E975" s="19" t="n">
        <f aca="false">+F975*0.03</f>
        <v>0</v>
      </c>
      <c r="F975" s="33" t="n">
        <v>0</v>
      </c>
      <c r="G975" s="62"/>
      <c r="H975" s="35" t="n">
        <v>0</v>
      </c>
      <c r="I975" s="34" t="n">
        <f aca="false">+IF(E975=0,0,E975*0.03)</f>
        <v>0</v>
      </c>
    </row>
    <row r="976" customFormat="false" ht="15.75" hidden="false" customHeight="true" outlineLevel="0" collapsed="false">
      <c r="A976" s="30" t="n">
        <v>45444</v>
      </c>
      <c r="B976" s="31" t="s">
        <v>153</v>
      </c>
      <c r="C976" s="32"/>
      <c r="D976" s="32"/>
      <c r="E976" s="19" t="n">
        <f aca="false">+F976*0.03</f>
        <v>0</v>
      </c>
      <c r="F976" s="33" t="n">
        <v>0</v>
      </c>
      <c r="G976" s="62"/>
      <c r="H976" s="35" t="n">
        <v>0</v>
      </c>
      <c r="I976" s="34" t="n">
        <f aca="false">+IF(E976=0,0,E976*0.03)</f>
        <v>0</v>
      </c>
    </row>
    <row r="977" customFormat="false" ht="15.75" hidden="false" customHeight="true" outlineLevel="0" collapsed="false">
      <c r="A977" s="30" t="n">
        <v>45444</v>
      </c>
      <c r="B977" s="31" t="s">
        <v>153</v>
      </c>
      <c r="C977" s="32"/>
      <c r="D977" s="32"/>
      <c r="E977" s="19" t="n">
        <f aca="false">+F977*0.03</f>
        <v>0</v>
      </c>
      <c r="F977" s="33" t="n">
        <v>0</v>
      </c>
      <c r="G977" s="62"/>
      <c r="H977" s="35" t="n">
        <v>0</v>
      </c>
      <c r="I977" s="34" t="n">
        <f aca="false">+IF(E977=0,0,E977*0.03)</f>
        <v>0</v>
      </c>
    </row>
    <row r="978" customFormat="false" ht="15.75" hidden="false" customHeight="true" outlineLevel="0" collapsed="false">
      <c r="A978" s="30" t="n">
        <v>45444</v>
      </c>
      <c r="B978" s="31" t="s">
        <v>153</v>
      </c>
      <c r="C978" s="32"/>
      <c r="D978" s="32"/>
      <c r="E978" s="19" t="n">
        <f aca="false">+F978*0.03</f>
        <v>0</v>
      </c>
      <c r="F978" s="33" t="n">
        <v>0</v>
      </c>
      <c r="G978" s="62"/>
      <c r="H978" s="35" t="n">
        <v>0</v>
      </c>
      <c r="I978" s="34" t="n">
        <f aca="false">+IF(E978=0,0,E978*0.03)</f>
        <v>0</v>
      </c>
    </row>
    <row r="979" customFormat="false" ht="15.75" hidden="false" customHeight="true" outlineLevel="0" collapsed="false">
      <c r="A979" s="30" t="n">
        <v>45444</v>
      </c>
      <c r="B979" s="31" t="s">
        <v>153</v>
      </c>
      <c r="C979" s="32"/>
      <c r="D979" s="32"/>
      <c r="E979" s="19" t="n">
        <f aca="false">+F979*0.03</f>
        <v>0</v>
      </c>
      <c r="F979" s="33" t="n">
        <v>0</v>
      </c>
      <c r="G979" s="62"/>
      <c r="H979" s="35" t="n">
        <v>0</v>
      </c>
      <c r="I979" s="34" t="n">
        <f aca="false">+IF(E979=0,0,E979*0.03)</f>
        <v>0</v>
      </c>
    </row>
    <row r="980" customFormat="false" ht="15.75" hidden="false" customHeight="true" outlineLevel="0" collapsed="false">
      <c r="A980" s="30" t="n">
        <v>45444</v>
      </c>
      <c r="B980" s="31" t="s">
        <v>153</v>
      </c>
      <c r="C980" s="32"/>
      <c r="D980" s="32"/>
      <c r="E980" s="19" t="n">
        <f aca="false">+F980*0.03</f>
        <v>0</v>
      </c>
      <c r="F980" s="33" t="n">
        <v>0</v>
      </c>
      <c r="G980" s="62"/>
      <c r="H980" s="35" t="n">
        <v>0</v>
      </c>
      <c r="I980" s="34" t="n">
        <f aca="false">+IF(E980=0,0,E980*0.03)</f>
        <v>0</v>
      </c>
    </row>
    <row r="981" customFormat="false" ht="15.75" hidden="false" customHeight="true" outlineLevel="0" collapsed="false">
      <c r="A981" s="30" t="n">
        <v>45444</v>
      </c>
      <c r="B981" s="31" t="s">
        <v>153</v>
      </c>
      <c r="C981" s="32"/>
      <c r="D981" s="32"/>
      <c r="E981" s="19" t="n">
        <f aca="false">+F981*0.03</f>
        <v>0</v>
      </c>
      <c r="F981" s="33" t="n">
        <v>0</v>
      </c>
      <c r="G981" s="62"/>
      <c r="H981" s="35" t="n">
        <v>0</v>
      </c>
      <c r="I981" s="34" t="n">
        <f aca="false">+IF(E981=0,0,E981*0.03)</f>
        <v>0</v>
      </c>
    </row>
    <row r="982" customFormat="false" ht="15.75" hidden="false" customHeight="true" outlineLevel="0" collapsed="false">
      <c r="A982" s="30" t="n">
        <v>45444</v>
      </c>
      <c r="B982" s="31" t="s">
        <v>153</v>
      </c>
      <c r="C982" s="32"/>
      <c r="D982" s="32"/>
      <c r="E982" s="19" t="n">
        <f aca="false">+F982*0.03</f>
        <v>0</v>
      </c>
      <c r="F982" s="33" t="n">
        <v>0</v>
      </c>
      <c r="G982" s="62"/>
      <c r="H982" s="35" t="n">
        <v>0</v>
      </c>
      <c r="I982" s="34" t="n">
        <f aca="false">+IF(E982=0,0,E982*0.03)</f>
        <v>0</v>
      </c>
    </row>
    <row r="983" customFormat="false" ht="15.75" hidden="false" customHeight="true" outlineLevel="0" collapsed="false">
      <c r="A983" s="30" t="n">
        <v>45444</v>
      </c>
      <c r="B983" s="31" t="s">
        <v>153</v>
      </c>
      <c r="C983" s="32"/>
      <c r="D983" s="32"/>
      <c r="E983" s="19" t="n">
        <f aca="false">+F983*0.03</f>
        <v>0</v>
      </c>
      <c r="F983" s="33" t="n">
        <v>0</v>
      </c>
      <c r="G983" s="62"/>
      <c r="H983" s="35" t="n">
        <v>0</v>
      </c>
      <c r="I983" s="34" t="n">
        <f aca="false">+IF(E983=0,0,E983*0.03)</f>
        <v>0</v>
      </c>
    </row>
    <row r="984" customFormat="false" ht="15.75" hidden="false" customHeight="true" outlineLevel="0" collapsed="false">
      <c r="A984" s="30" t="n">
        <v>45444</v>
      </c>
      <c r="B984" s="31" t="s">
        <v>153</v>
      </c>
      <c r="C984" s="32"/>
      <c r="D984" s="32"/>
      <c r="E984" s="19" t="n">
        <f aca="false">+F984*0.03</f>
        <v>0</v>
      </c>
      <c r="F984" s="33" t="n">
        <v>0</v>
      </c>
      <c r="G984" s="62"/>
      <c r="H984" s="35" t="n">
        <v>0</v>
      </c>
      <c r="I984" s="34" t="n">
        <f aca="false">+IF(E984=0,0,E984*0.03)</f>
        <v>0</v>
      </c>
    </row>
    <row r="985" customFormat="false" ht="15.75" hidden="false" customHeight="true" outlineLevel="0" collapsed="false">
      <c r="A985" s="30" t="n">
        <v>45444</v>
      </c>
      <c r="B985" s="31" t="s">
        <v>153</v>
      </c>
      <c r="C985" s="32"/>
      <c r="D985" s="32"/>
      <c r="E985" s="19" t="n">
        <f aca="false">+F985*0.03</f>
        <v>0</v>
      </c>
      <c r="F985" s="33" t="n">
        <v>0</v>
      </c>
      <c r="G985" s="62"/>
      <c r="H985" s="35" t="n">
        <v>0</v>
      </c>
      <c r="I985" s="34" t="n">
        <f aca="false">+IF(E985=0,0,E985*0.03)</f>
        <v>0</v>
      </c>
    </row>
    <row r="986" customFormat="false" ht="15.75" hidden="false" customHeight="true" outlineLevel="0" collapsed="false">
      <c r="A986" s="30" t="n">
        <v>45444</v>
      </c>
      <c r="B986" s="31" t="s">
        <v>153</v>
      </c>
      <c r="C986" s="32"/>
      <c r="D986" s="32"/>
      <c r="E986" s="19" t="n">
        <f aca="false">+F986*0.03</f>
        <v>0</v>
      </c>
      <c r="F986" s="33" t="n">
        <v>0</v>
      </c>
      <c r="G986" s="62"/>
      <c r="H986" s="35" t="n">
        <v>0</v>
      </c>
      <c r="I986" s="34" t="n">
        <f aca="false">+IF(E986=0,0,E986*0.03)</f>
        <v>0</v>
      </c>
    </row>
    <row r="987" customFormat="false" ht="15.75" hidden="false" customHeight="true" outlineLevel="0" collapsed="false">
      <c r="A987" s="30" t="n">
        <v>45444</v>
      </c>
      <c r="B987" s="31" t="s">
        <v>153</v>
      </c>
      <c r="C987" s="32"/>
      <c r="D987" s="32"/>
      <c r="E987" s="19" t="n">
        <f aca="false">+F987*0.03</f>
        <v>0</v>
      </c>
      <c r="F987" s="33" t="n">
        <v>0</v>
      </c>
      <c r="G987" s="62"/>
      <c r="H987" s="35" t="n">
        <v>0</v>
      </c>
      <c r="I987" s="34" t="n">
        <f aca="false">+IF(E987=0,0,E987*0.03)</f>
        <v>0</v>
      </c>
    </row>
    <row r="988" customFormat="false" ht="15.75" hidden="false" customHeight="true" outlineLevel="0" collapsed="false">
      <c r="A988" s="30" t="n">
        <v>45444</v>
      </c>
      <c r="B988" s="31" t="s">
        <v>153</v>
      </c>
      <c r="C988" s="32"/>
      <c r="D988" s="32"/>
      <c r="E988" s="19" t="n">
        <f aca="false">+F988*0.03</f>
        <v>0</v>
      </c>
      <c r="F988" s="33" t="n">
        <v>0</v>
      </c>
      <c r="G988" s="62"/>
      <c r="H988" s="35" t="n">
        <v>0</v>
      </c>
      <c r="I988" s="34" t="n">
        <f aca="false">+IF(E988=0,0,E988*0.03)</f>
        <v>0</v>
      </c>
    </row>
    <row r="989" customFormat="false" ht="15.75" hidden="false" customHeight="true" outlineLevel="0" collapsed="false">
      <c r="A989" s="30" t="n">
        <v>45444</v>
      </c>
      <c r="B989" s="31" t="s">
        <v>153</v>
      </c>
      <c r="C989" s="32"/>
      <c r="D989" s="32"/>
      <c r="E989" s="19" t="n">
        <f aca="false">+F989*0.03</f>
        <v>0</v>
      </c>
      <c r="F989" s="33" t="n">
        <v>0</v>
      </c>
      <c r="G989" s="62"/>
      <c r="H989" s="35" t="n">
        <v>0</v>
      </c>
      <c r="I989" s="34" t="n">
        <f aca="false">+IF(E989=0,0,E989*0.03)</f>
        <v>0</v>
      </c>
    </row>
    <row r="990" customFormat="false" ht="15.75" hidden="false" customHeight="true" outlineLevel="0" collapsed="false">
      <c r="A990" s="30" t="n">
        <v>45444</v>
      </c>
      <c r="B990" s="31" t="s">
        <v>153</v>
      </c>
      <c r="C990" s="32"/>
      <c r="D990" s="32"/>
      <c r="E990" s="19" t="n">
        <f aca="false">+F990*0.03</f>
        <v>0</v>
      </c>
      <c r="F990" s="33" t="n">
        <v>0</v>
      </c>
      <c r="G990" s="62"/>
      <c r="H990" s="35" t="n">
        <v>0</v>
      </c>
      <c r="I990" s="34" t="n">
        <f aca="false">+IF(E990=0,0,E990*0.03)</f>
        <v>0</v>
      </c>
    </row>
    <row r="991" customFormat="false" ht="15.75" hidden="false" customHeight="true" outlineLevel="0" collapsed="false">
      <c r="A991" s="30" t="n">
        <v>45444</v>
      </c>
      <c r="B991" s="31" t="s">
        <v>153</v>
      </c>
      <c r="C991" s="32"/>
      <c r="D991" s="32"/>
      <c r="E991" s="19" t="n">
        <f aca="false">+F991*0.03</f>
        <v>0</v>
      </c>
      <c r="F991" s="33" t="n">
        <v>0</v>
      </c>
      <c r="G991" s="62"/>
      <c r="H991" s="35" t="n">
        <v>0</v>
      </c>
      <c r="I991" s="34" t="n">
        <f aca="false">+IF(E991=0,0,E991*0.03)</f>
        <v>0</v>
      </c>
    </row>
    <row r="992" customFormat="false" ht="15.75" hidden="false" customHeight="true" outlineLevel="0" collapsed="false">
      <c r="A992" s="30" t="n">
        <v>45444</v>
      </c>
      <c r="B992" s="31" t="s">
        <v>153</v>
      </c>
      <c r="C992" s="32"/>
      <c r="D992" s="32"/>
      <c r="E992" s="19" t="n">
        <f aca="false">+F992*0.03</f>
        <v>0</v>
      </c>
      <c r="F992" s="33" t="n">
        <v>0</v>
      </c>
      <c r="G992" s="62"/>
      <c r="H992" s="35" t="n">
        <v>0</v>
      </c>
      <c r="I992" s="34" t="n">
        <f aca="false">+IF(E992=0,0,E992*0.03)</f>
        <v>0</v>
      </c>
    </row>
    <row r="993" customFormat="false" ht="15.75" hidden="false" customHeight="true" outlineLevel="0" collapsed="false">
      <c r="A993" s="30" t="n">
        <v>45444</v>
      </c>
      <c r="B993" s="31" t="s">
        <v>153</v>
      </c>
      <c r="C993" s="32"/>
      <c r="D993" s="32"/>
      <c r="E993" s="19" t="n">
        <f aca="false">+F993*0.03</f>
        <v>0</v>
      </c>
      <c r="F993" s="33" t="n">
        <v>0</v>
      </c>
      <c r="G993" s="62"/>
      <c r="H993" s="35" t="n">
        <v>0</v>
      </c>
      <c r="I993" s="34" t="n">
        <f aca="false">+IF(E993=0,0,E993*0.03)</f>
        <v>0</v>
      </c>
    </row>
    <row r="994" customFormat="false" ht="15.75" hidden="false" customHeight="true" outlineLevel="0" collapsed="false">
      <c r="A994" s="30" t="n">
        <v>45444</v>
      </c>
      <c r="B994" s="31" t="s">
        <v>153</v>
      </c>
      <c r="C994" s="32"/>
      <c r="D994" s="32"/>
      <c r="E994" s="19" t="n">
        <f aca="false">+F994*0.03</f>
        <v>0</v>
      </c>
      <c r="F994" s="33" t="n">
        <v>0</v>
      </c>
      <c r="G994" s="62"/>
      <c r="H994" s="35" t="n">
        <v>0</v>
      </c>
      <c r="I994" s="34" t="n">
        <f aca="false">+IF(E994=0,0,E994*0.03)</f>
        <v>0</v>
      </c>
    </row>
    <row r="995" customFormat="false" ht="15.75" hidden="false" customHeight="true" outlineLevel="0" collapsed="false">
      <c r="A995" s="30" t="n">
        <v>45444</v>
      </c>
      <c r="B995" s="31" t="s">
        <v>153</v>
      </c>
      <c r="C995" s="32"/>
      <c r="D995" s="32"/>
      <c r="E995" s="19" t="n">
        <f aca="false">+F995*0.03</f>
        <v>0</v>
      </c>
      <c r="F995" s="33" t="n">
        <v>0</v>
      </c>
      <c r="G995" s="62"/>
      <c r="H995" s="35" t="n">
        <v>0</v>
      </c>
      <c r="I995" s="34" t="n">
        <f aca="false">+IF(E995=0,0,E995*0.03)</f>
        <v>0</v>
      </c>
    </row>
    <row r="996" customFormat="false" ht="15.75" hidden="false" customHeight="true" outlineLevel="0" collapsed="false">
      <c r="A996" s="30" t="n">
        <v>45444</v>
      </c>
      <c r="B996" s="31" t="s">
        <v>153</v>
      </c>
      <c r="C996" s="32"/>
      <c r="D996" s="32"/>
      <c r="E996" s="19" t="n">
        <f aca="false">+F996*0.03</f>
        <v>0</v>
      </c>
      <c r="F996" s="33" t="n">
        <v>0</v>
      </c>
      <c r="G996" s="62"/>
      <c r="H996" s="35" t="n">
        <v>0</v>
      </c>
      <c r="I996" s="34" t="n">
        <f aca="false">+IF(E996=0,0,E996*0.03)</f>
        <v>0</v>
      </c>
    </row>
    <row r="997" customFormat="false" ht="15.75" hidden="false" customHeight="true" outlineLevel="0" collapsed="false">
      <c r="A997" s="30" t="n">
        <v>45444</v>
      </c>
      <c r="B997" s="31" t="s">
        <v>153</v>
      </c>
      <c r="C997" s="32"/>
      <c r="D997" s="32"/>
      <c r="E997" s="19" t="n">
        <f aca="false">+F997*0.03</f>
        <v>0</v>
      </c>
      <c r="F997" s="33" t="n">
        <v>0</v>
      </c>
      <c r="G997" s="62"/>
      <c r="H997" s="35" t="n">
        <v>0</v>
      </c>
      <c r="I997" s="34" t="n">
        <f aca="false">+IF(E997=0,0,E997*0.03)</f>
        <v>0</v>
      </c>
    </row>
    <row r="998" customFormat="false" ht="15.75" hidden="false" customHeight="true" outlineLevel="0" collapsed="false">
      <c r="A998" s="30" t="n">
        <v>45444</v>
      </c>
      <c r="B998" s="31" t="s">
        <v>153</v>
      </c>
      <c r="C998" s="32"/>
      <c r="D998" s="32"/>
      <c r="E998" s="19" t="n">
        <f aca="false">+F998*0.03</f>
        <v>0</v>
      </c>
      <c r="F998" s="33" t="n">
        <v>0</v>
      </c>
      <c r="G998" s="62"/>
      <c r="H998" s="35" t="n">
        <v>0</v>
      </c>
      <c r="I998" s="34" t="n">
        <f aca="false">+IF(E998=0,0,E998*0.03)</f>
        <v>0</v>
      </c>
    </row>
    <row r="999" customFormat="false" ht="15.75" hidden="false" customHeight="true" outlineLevel="0" collapsed="false">
      <c r="A999" s="30" t="n">
        <v>45444</v>
      </c>
      <c r="B999" s="31" t="s">
        <v>153</v>
      </c>
      <c r="C999" s="32"/>
      <c r="D999" s="32"/>
      <c r="E999" s="19" t="n">
        <f aca="false">+F999*0.03</f>
        <v>0</v>
      </c>
      <c r="F999" s="33" t="n">
        <v>0</v>
      </c>
      <c r="G999" s="62"/>
      <c r="H999" s="35" t="n">
        <v>0</v>
      </c>
      <c r="I999" s="34" t="n">
        <f aca="false">+IF(E999=0,0,E999*0.03)</f>
        <v>0</v>
      </c>
    </row>
    <row r="1000" customFormat="false" ht="15.75" hidden="false" customHeight="true" outlineLevel="0" collapsed="false">
      <c r="A1000" s="30" t="n">
        <v>45444</v>
      </c>
      <c r="B1000" s="31" t="s">
        <v>153</v>
      </c>
      <c r="C1000" s="32"/>
      <c r="D1000" s="32"/>
      <c r="E1000" s="19" t="n">
        <f aca="false">+F1000*0.03</f>
        <v>0</v>
      </c>
      <c r="F1000" s="33" t="n">
        <v>0</v>
      </c>
      <c r="G1000" s="62"/>
      <c r="H1000" s="35" t="n">
        <v>0</v>
      </c>
      <c r="I1000" s="34" t="n">
        <f aca="false">+IF(E1000=0,0,E1000*0.03)</f>
        <v>0</v>
      </c>
    </row>
    <row r="1001" customFormat="false" ht="15.75" hidden="false" customHeight="true" outlineLevel="0" collapsed="false">
      <c r="A1001" s="30" t="n">
        <v>45444</v>
      </c>
      <c r="B1001" s="31" t="s">
        <v>153</v>
      </c>
      <c r="C1001" s="32"/>
      <c r="D1001" s="32"/>
      <c r="E1001" s="19" t="n">
        <f aca="false">+F1001*0.03</f>
        <v>0</v>
      </c>
      <c r="F1001" s="33" t="n">
        <v>0</v>
      </c>
      <c r="G1001" s="62"/>
      <c r="H1001" s="35" t="n">
        <v>0</v>
      </c>
      <c r="I1001" s="34" t="n">
        <f aca="false">+IF(E1001=0,0,E1001*0.03)</f>
        <v>0</v>
      </c>
    </row>
    <row r="1002" customFormat="false" ht="15.75" hidden="false" customHeight="true" outlineLevel="0" collapsed="false">
      <c r="A1002" s="30" t="n">
        <v>45444</v>
      </c>
      <c r="B1002" s="31" t="s">
        <v>153</v>
      </c>
      <c r="C1002" s="32"/>
      <c r="D1002" s="32"/>
      <c r="E1002" s="19" t="n">
        <f aca="false">+F1002*0.03</f>
        <v>0</v>
      </c>
      <c r="F1002" s="33" t="n">
        <v>0</v>
      </c>
      <c r="G1002" s="62"/>
      <c r="H1002" s="35" t="n">
        <v>0</v>
      </c>
      <c r="I1002" s="34" t="n">
        <f aca="false">+IF(E1002=0,0,E1002*0.03)</f>
        <v>0</v>
      </c>
    </row>
    <row r="1003" customFormat="false" ht="15.75" hidden="false" customHeight="true" outlineLevel="0" collapsed="false">
      <c r="A1003" s="30" t="n">
        <v>45444</v>
      </c>
      <c r="B1003" s="31" t="s">
        <v>153</v>
      </c>
      <c r="C1003" s="32"/>
      <c r="D1003" s="32"/>
      <c r="E1003" s="19" t="n">
        <f aca="false">+F1003*0.03</f>
        <v>0</v>
      </c>
      <c r="F1003" s="33" t="n">
        <v>0</v>
      </c>
      <c r="G1003" s="62"/>
      <c r="H1003" s="35" t="n">
        <v>0</v>
      </c>
      <c r="I1003" s="34" t="n">
        <f aca="false">+IF(E1003=0,0,E1003*0.03)</f>
        <v>0</v>
      </c>
    </row>
    <row r="1004" customFormat="false" ht="15.75" hidden="false" customHeight="true" outlineLevel="0" collapsed="false">
      <c r="A1004" s="30" t="n">
        <v>45444</v>
      </c>
      <c r="B1004" s="31" t="s">
        <v>153</v>
      </c>
      <c r="C1004" s="32"/>
      <c r="D1004" s="32"/>
      <c r="E1004" s="19" t="n">
        <f aca="false">+F1004*0.03</f>
        <v>0</v>
      </c>
      <c r="F1004" s="33" t="n">
        <v>0</v>
      </c>
      <c r="G1004" s="62"/>
      <c r="H1004" s="35" t="n">
        <v>0</v>
      </c>
      <c r="I1004" s="34" t="n">
        <f aca="false">+IF(E1004=0,0,E1004*0.03)</f>
        <v>0</v>
      </c>
    </row>
    <row r="1005" customFormat="false" ht="15.75" hidden="false" customHeight="true" outlineLevel="0" collapsed="false">
      <c r="A1005" s="30" t="n">
        <v>45444</v>
      </c>
      <c r="B1005" s="31" t="s">
        <v>153</v>
      </c>
      <c r="C1005" s="32"/>
      <c r="D1005" s="32"/>
      <c r="E1005" s="19" t="n">
        <f aca="false">+F1005*0.03</f>
        <v>0</v>
      </c>
      <c r="F1005" s="33" t="n">
        <v>0</v>
      </c>
      <c r="G1005" s="62"/>
      <c r="H1005" s="35" t="n">
        <v>0</v>
      </c>
      <c r="I1005" s="34" t="n">
        <f aca="false">+IF(E1005=0,0,E1005*0.03)</f>
        <v>0</v>
      </c>
    </row>
    <row r="1006" customFormat="false" ht="15.75" hidden="false" customHeight="true" outlineLevel="0" collapsed="false">
      <c r="A1006" s="30" t="n">
        <v>45444</v>
      </c>
      <c r="B1006" s="31" t="s">
        <v>153</v>
      </c>
      <c r="C1006" s="32"/>
      <c r="D1006" s="32"/>
      <c r="E1006" s="19" t="n">
        <f aca="false">+F1006*0.03</f>
        <v>0</v>
      </c>
      <c r="F1006" s="33" t="n">
        <v>0</v>
      </c>
      <c r="G1006" s="62"/>
      <c r="H1006" s="35" t="n">
        <v>0</v>
      </c>
      <c r="I1006" s="34" t="n">
        <f aca="false">+IF(E1006=0,0,E1006*0.03)</f>
        <v>0</v>
      </c>
    </row>
    <row r="1007" customFormat="false" ht="15.75" hidden="false" customHeight="true" outlineLevel="0" collapsed="false">
      <c r="A1007" s="30" t="n">
        <v>45444</v>
      </c>
      <c r="B1007" s="31" t="s">
        <v>153</v>
      </c>
      <c r="C1007" s="32"/>
      <c r="D1007" s="32"/>
      <c r="E1007" s="19" t="n">
        <f aca="false">+F1007*0.03</f>
        <v>0</v>
      </c>
      <c r="F1007" s="33" t="n">
        <v>0</v>
      </c>
      <c r="G1007" s="62"/>
      <c r="H1007" s="35" t="n">
        <v>0</v>
      </c>
      <c r="I1007" s="34" t="n">
        <f aca="false">+IF(E1007=0,0,E1007*0.03)</f>
        <v>0</v>
      </c>
    </row>
    <row r="1008" customFormat="false" ht="15.75" hidden="false" customHeight="true" outlineLevel="0" collapsed="false">
      <c r="A1008" s="30" t="n">
        <v>45444</v>
      </c>
      <c r="B1008" s="31" t="s">
        <v>153</v>
      </c>
      <c r="C1008" s="32"/>
      <c r="D1008" s="32"/>
      <c r="E1008" s="19" t="n">
        <f aca="false">+F1008*0.03</f>
        <v>0</v>
      </c>
      <c r="F1008" s="33" t="n">
        <v>0</v>
      </c>
      <c r="G1008" s="62"/>
      <c r="H1008" s="35" t="n">
        <v>0</v>
      </c>
      <c r="I1008" s="34" t="n">
        <f aca="false">+IF(E1008=0,0,E1008*0.03)</f>
        <v>0</v>
      </c>
    </row>
    <row r="1009" customFormat="false" ht="15.75" hidden="false" customHeight="true" outlineLevel="0" collapsed="false">
      <c r="A1009" s="30" t="n">
        <v>45444</v>
      </c>
      <c r="B1009" s="31" t="s">
        <v>153</v>
      </c>
      <c r="C1009" s="32"/>
      <c r="D1009" s="32"/>
      <c r="E1009" s="19" t="n">
        <f aca="false">+F1009*0.03</f>
        <v>0</v>
      </c>
      <c r="F1009" s="33" t="n">
        <v>0</v>
      </c>
      <c r="G1009" s="62"/>
      <c r="H1009" s="35" t="n">
        <v>0</v>
      </c>
      <c r="I1009" s="34" t="n">
        <f aca="false">+IF(E1009=0,0,E1009*0.03)</f>
        <v>0</v>
      </c>
    </row>
    <row r="1010" customFormat="false" ht="15.75" hidden="false" customHeight="true" outlineLevel="0" collapsed="false">
      <c r="A1010" s="30" t="n">
        <v>45444</v>
      </c>
      <c r="B1010" s="31" t="s">
        <v>153</v>
      </c>
      <c r="C1010" s="32"/>
      <c r="D1010" s="32"/>
      <c r="E1010" s="19" t="n">
        <f aca="false">+F1010*0.03</f>
        <v>0</v>
      </c>
      <c r="F1010" s="33" t="n">
        <v>0</v>
      </c>
      <c r="G1010" s="62"/>
      <c r="H1010" s="35" t="n">
        <v>0</v>
      </c>
      <c r="I1010" s="34" t="n">
        <f aca="false">+IF(E1010=0,0,E1010*0.03)</f>
        <v>0</v>
      </c>
    </row>
    <row r="1011" customFormat="false" ht="15.75" hidden="false" customHeight="true" outlineLevel="0" collapsed="false">
      <c r="A1011" s="30" t="n">
        <v>45444</v>
      </c>
      <c r="B1011" s="31" t="s">
        <v>153</v>
      </c>
      <c r="C1011" s="32"/>
      <c r="D1011" s="32"/>
      <c r="E1011" s="19" t="n">
        <f aca="false">+F1011*0.03</f>
        <v>0</v>
      </c>
      <c r="F1011" s="33" t="n">
        <v>0</v>
      </c>
      <c r="G1011" s="62"/>
      <c r="H1011" s="35" t="n">
        <v>0</v>
      </c>
      <c r="I1011" s="34" t="n">
        <f aca="false">+IF(E1011=0,0,E1011*0.03)</f>
        <v>0</v>
      </c>
    </row>
    <row r="1012" customFormat="false" ht="15.75" hidden="false" customHeight="true" outlineLevel="0" collapsed="false">
      <c r="A1012" s="30" t="n">
        <v>45444</v>
      </c>
      <c r="B1012" s="31" t="s">
        <v>153</v>
      </c>
      <c r="C1012" s="32"/>
      <c r="D1012" s="32"/>
      <c r="E1012" s="19" t="n">
        <f aca="false">+F1012*0.03</f>
        <v>0</v>
      </c>
      <c r="F1012" s="33" t="n">
        <v>0</v>
      </c>
      <c r="G1012" s="62"/>
      <c r="H1012" s="35" t="n">
        <v>0</v>
      </c>
      <c r="I1012" s="34" t="n">
        <f aca="false">+IF(E1012=0,0,E1012*0.03)</f>
        <v>0</v>
      </c>
    </row>
    <row r="1013" customFormat="false" ht="15.75" hidden="false" customHeight="true" outlineLevel="0" collapsed="false">
      <c r="A1013" s="30" t="n">
        <v>45444</v>
      </c>
      <c r="B1013" s="31" t="s">
        <v>153</v>
      </c>
      <c r="C1013" s="32"/>
      <c r="D1013" s="32"/>
      <c r="E1013" s="19" t="n">
        <f aca="false">+F1013*0.03</f>
        <v>0</v>
      </c>
      <c r="F1013" s="33" t="n">
        <v>0</v>
      </c>
      <c r="G1013" s="62"/>
      <c r="H1013" s="35" t="n">
        <v>0</v>
      </c>
      <c r="I1013" s="34" t="n">
        <f aca="false">+IF(E1013=0,0,E1013*0.03)</f>
        <v>0</v>
      </c>
    </row>
    <row r="1014" customFormat="false" ht="15.75" hidden="false" customHeight="true" outlineLevel="0" collapsed="false">
      <c r="A1014" s="30" t="n">
        <v>45444</v>
      </c>
      <c r="B1014" s="31" t="s">
        <v>153</v>
      </c>
      <c r="C1014" s="32"/>
      <c r="D1014" s="32"/>
      <c r="E1014" s="19" t="n">
        <f aca="false">+F1014*0.03</f>
        <v>0</v>
      </c>
      <c r="F1014" s="33" t="n">
        <v>0</v>
      </c>
      <c r="G1014" s="62"/>
      <c r="H1014" s="35" t="n">
        <v>0</v>
      </c>
      <c r="I1014" s="34" t="n">
        <f aca="false">+IF(E1014=0,0,E1014*0.03)</f>
        <v>0</v>
      </c>
    </row>
    <row r="1015" customFormat="false" ht="15.75" hidden="false" customHeight="true" outlineLevel="0" collapsed="false">
      <c r="A1015" s="30" t="n">
        <v>45444</v>
      </c>
      <c r="B1015" s="31" t="s">
        <v>153</v>
      </c>
      <c r="C1015" s="32"/>
      <c r="D1015" s="32"/>
      <c r="E1015" s="19" t="n">
        <f aca="false">+F1015*0.03</f>
        <v>0</v>
      </c>
      <c r="F1015" s="33" t="n">
        <v>0</v>
      </c>
      <c r="G1015" s="62"/>
      <c r="H1015" s="35" t="n">
        <v>0</v>
      </c>
      <c r="I1015" s="34" t="n">
        <f aca="false">+IF(E1015=0,0,E1015*0.03)</f>
        <v>0</v>
      </c>
    </row>
    <row r="1016" customFormat="false" ht="15.75" hidden="false" customHeight="true" outlineLevel="0" collapsed="false">
      <c r="A1016" s="30" t="n">
        <v>45444</v>
      </c>
      <c r="B1016" s="31" t="s">
        <v>153</v>
      </c>
      <c r="C1016" s="32"/>
      <c r="D1016" s="32"/>
      <c r="E1016" s="19" t="n">
        <f aca="false">+F1016*0.03</f>
        <v>0</v>
      </c>
      <c r="F1016" s="33" t="n">
        <v>0</v>
      </c>
      <c r="G1016" s="62"/>
      <c r="H1016" s="35" t="n">
        <v>0</v>
      </c>
      <c r="I1016" s="34" t="n">
        <f aca="false">+IF(E1016=0,0,E1016*0.03)</f>
        <v>0</v>
      </c>
    </row>
    <row r="1017" customFormat="false" ht="15.75" hidden="false" customHeight="true" outlineLevel="0" collapsed="false">
      <c r="A1017" s="30" t="n">
        <v>45444</v>
      </c>
      <c r="B1017" s="31" t="s">
        <v>153</v>
      </c>
      <c r="C1017" s="32"/>
      <c r="D1017" s="32"/>
      <c r="E1017" s="19" t="n">
        <f aca="false">+F1017*0.03</f>
        <v>0</v>
      </c>
      <c r="F1017" s="33" t="n">
        <v>0</v>
      </c>
      <c r="G1017" s="62"/>
      <c r="H1017" s="35" t="n">
        <v>0</v>
      </c>
      <c r="I1017" s="34" t="n">
        <f aca="false">+IF(E1017=0,0,E1017*0.03)</f>
        <v>0</v>
      </c>
    </row>
    <row r="1018" customFormat="false" ht="15.75" hidden="false" customHeight="true" outlineLevel="0" collapsed="false">
      <c r="A1018" s="30" t="n">
        <v>45444</v>
      </c>
      <c r="B1018" s="31" t="s">
        <v>153</v>
      </c>
      <c r="C1018" s="32"/>
      <c r="D1018" s="32"/>
      <c r="E1018" s="19" t="n">
        <f aca="false">+F1018*0.03</f>
        <v>0</v>
      </c>
      <c r="F1018" s="33" t="n">
        <v>0</v>
      </c>
      <c r="G1018" s="62"/>
      <c r="H1018" s="35" t="n">
        <v>0</v>
      </c>
      <c r="I1018" s="34" t="n">
        <f aca="false">+IF(E1018=0,0,E1018*0.03)</f>
        <v>0</v>
      </c>
    </row>
    <row r="1019" customFormat="false" ht="15.75" hidden="false" customHeight="true" outlineLevel="0" collapsed="false">
      <c r="A1019" s="30" t="n">
        <v>45444</v>
      </c>
      <c r="B1019" s="31" t="s">
        <v>153</v>
      </c>
      <c r="C1019" s="32"/>
      <c r="D1019" s="32"/>
      <c r="E1019" s="19" t="n">
        <f aca="false">+F1019*0.03</f>
        <v>0</v>
      </c>
      <c r="F1019" s="33" t="n">
        <v>0</v>
      </c>
      <c r="G1019" s="62"/>
      <c r="H1019" s="35" t="n">
        <v>0</v>
      </c>
      <c r="I1019" s="34" t="n">
        <f aca="false">+IF(E1019=0,0,E1019*0.03)</f>
        <v>0</v>
      </c>
    </row>
    <row r="1020" customFormat="false" ht="15.75" hidden="false" customHeight="true" outlineLevel="0" collapsed="false">
      <c r="A1020" s="30" t="n">
        <v>45444</v>
      </c>
      <c r="B1020" s="31" t="s">
        <v>153</v>
      </c>
      <c r="C1020" s="32"/>
      <c r="D1020" s="32"/>
      <c r="E1020" s="19" t="n">
        <f aca="false">+F1020*0.03</f>
        <v>0</v>
      </c>
      <c r="F1020" s="33" t="n">
        <v>0</v>
      </c>
      <c r="G1020" s="62"/>
      <c r="H1020" s="35" t="n">
        <v>0</v>
      </c>
      <c r="I1020" s="34" t="n">
        <f aca="false">+IF(E1020=0,0,E1020*0.03)</f>
        <v>0</v>
      </c>
    </row>
    <row r="1021" customFormat="false" ht="15.75" hidden="false" customHeight="true" outlineLevel="0" collapsed="false">
      <c r="A1021" s="30" t="n">
        <v>45444</v>
      </c>
      <c r="B1021" s="31" t="s">
        <v>153</v>
      </c>
      <c r="C1021" s="32"/>
      <c r="D1021" s="32"/>
      <c r="E1021" s="19" t="n">
        <f aca="false">+F1021*0.03</f>
        <v>0</v>
      </c>
      <c r="F1021" s="33" t="n">
        <v>0</v>
      </c>
      <c r="G1021" s="62"/>
      <c r="H1021" s="35" t="n">
        <v>0</v>
      </c>
      <c r="I1021" s="34" t="n">
        <f aca="false">+IF(E1021=0,0,E1021*0.03)</f>
        <v>0</v>
      </c>
    </row>
    <row r="1022" customFormat="false" ht="15.75" hidden="false" customHeight="true" outlineLevel="0" collapsed="false">
      <c r="A1022" s="30" t="n">
        <v>45444</v>
      </c>
      <c r="B1022" s="31" t="s">
        <v>153</v>
      </c>
      <c r="C1022" s="32"/>
      <c r="D1022" s="32"/>
      <c r="E1022" s="19" t="n">
        <f aca="false">+F1022*0.03</f>
        <v>0</v>
      </c>
      <c r="F1022" s="33" t="n">
        <v>0</v>
      </c>
      <c r="G1022" s="62"/>
      <c r="H1022" s="35" t="n">
        <v>0</v>
      </c>
      <c r="I1022" s="34" t="n">
        <f aca="false">+IF(E1022=0,0,E1022*0.03)</f>
        <v>0</v>
      </c>
    </row>
    <row r="1023" customFormat="false" ht="15.75" hidden="false" customHeight="true" outlineLevel="0" collapsed="false">
      <c r="A1023" s="30" t="n">
        <v>45444</v>
      </c>
      <c r="B1023" s="31" t="s">
        <v>153</v>
      </c>
      <c r="C1023" s="32"/>
      <c r="D1023" s="32"/>
      <c r="E1023" s="19" t="n">
        <f aca="false">+F1023*0.03</f>
        <v>0</v>
      </c>
      <c r="F1023" s="33" t="n">
        <v>0</v>
      </c>
      <c r="G1023" s="62"/>
      <c r="H1023" s="35" t="n">
        <v>0</v>
      </c>
      <c r="I1023" s="34" t="n">
        <f aca="false">+IF(E1023=0,0,E1023*0.03)</f>
        <v>0</v>
      </c>
    </row>
    <row r="1024" customFormat="false" ht="15.75" hidden="false" customHeight="true" outlineLevel="0" collapsed="false">
      <c r="A1024" s="30" t="n">
        <v>45444</v>
      </c>
      <c r="B1024" s="31" t="s">
        <v>153</v>
      </c>
      <c r="C1024" s="32"/>
      <c r="D1024" s="32"/>
      <c r="E1024" s="19" t="n">
        <f aca="false">+F1024*0.03</f>
        <v>0</v>
      </c>
      <c r="F1024" s="33" t="n">
        <v>0</v>
      </c>
      <c r="G1024" s="62"/>
      <c r="H1024" s="35" t="n">
        <v>0</v>
      </c>
      <c r="I1024" s="34" t="n">
        <f aca="false">+IF(E1024=0,0,E1024*0.03)</f>
        <v>0</v>
      </c>
    </row>
    <row r="1025" customFormat="false" ht="15.75" hidden="false" customHeight="true" outlineLevel="0" collapsed="false">
      <c r="A1025" s="30" t="n">
        <v>45444</v>
      </c>
      <c r="B1025" s="31" t="s">
        <v>153</v>
      </c>
      <c r="C1025" s="32"/>
      <c r="D1025" s="32"/>
      <c r="E1025" s="19" t="n">
        <f aca="false">+F1025*0.03</f>
        <v>0</v>
      </c>
      <c r="F1025" s="33" t="n">
        <v>0</v>
      </c>
      <c r="G1025" s="62"/>
      <c r="H1025" s="35" t="n">
        <v>0</v>
      </c>
      <c r="I1025" s="34" t="n">
        <f aca="false">+IF(E1025=0,0,E1025*0.03)</f>
        <v>0</v>
      </c>
    </row>
    <row r="1026" customFormat="false" ht="15.75" hidden="false" customHeight="true" outlineLevel="0" collapsed="false">
      <c r="A1026" s="30" t="n">
        <v>45444</v>
      </c>
      <c r="B1026" s="31" t="s">
        <v>153</v>
      </c>
      <c r="C1026" s="32"/>
      <c r="D1026" s="32"/>
      <c r="E1026" s="19" t="n">
        <f aca="false">+F1026*0.03</f>
        <v>0</v>
      </c>
      <c r="F1026" s="33" t="n">
        <v>0</v>
      </c>
      <c r="G1026" s="62"/>
      <c r="H1026" s="35" t="n">
        <v>0</v>
      </c>
      <c r="I1026" s="34" t="n">
        <f aca="false">+IF(E1026=0,0,E1026*0.03)</f>
        <v>0</v>
      </c>
    </row>
    <row r="1027" customFormat="false" ht="15.75" hidden="false" customHeight="true" outlineLevel="0" collapsed="false">
      <c r="A1027" s="30" t="n">
        <v>45444</v>
      </c>
      <c r="B1027" s="31" t="s">
        <v>153</v>
      </c>
      <c r="C1027" s="32"/>
      <c r="D1027" s="32"/>
      <c r="E1027" s="19" t="n">
        <f aca="false">+F1027*0.03</f>
        <v>0</v>
      </c>
      <c r="F1027" s="33" t="n">
        <v>0</v>
      </c>
      <c r="G1027" s="62"/>
      <c r="H1027" s="35" t="n">
        <v>0</v>
      </c>
      <c r="I1027" s="34" t="n">
        <f aca="false">+IF(E1027=0,0,E1027*0.03)</f>
        <v>0</v>
      </c>
    </row>
    <row r="1028" customFormat="false" ht="15.75" hidden="false" customHeight="true" outlineLevel="0" collapsed="false">
      <c r="A1028" s="30" t="n">
        <v>45444</v>
      </c>
      <c r="B1028" s="31" t="s">
        <v>153</v>
      </c>
      <c r="C1028" s="32"/>
      <c r="D1028" s="32"/>
      <c r="E1028" s="19" t="n">
        <f aca="false">+F1028*0.03</f>
        <v>0</v>
      </c>
      <c r="F1028" s="33" t="n">
        <v>0</v>
      </c>
      <c r="G1028" s="62"/>
      <c r="H1028" s="35" t="n">
        <v>0</v>
      </c>
      <c r="I1028" s="34" t="n">
        <f aca="false">+IF(E1028=0,0,E1028*0.03)</f>
        <v>0</v>
      </c>
    </row>
    <row r="1029" customFormat="false" ht="15.75" hidden="false" customHeight="true" outlineLevel="0" collapsed="false">
      <c r="A1029" s="30" t="n">
        <v>45444</v>
      </c>
      <c r="B1029" s="31" t="s">
        <v>153</v>
      </c>
      <c r="C1029" s="32"/>
      <c r="D1029" s="32"/>
      <c r="E1029" s="19" t="n">
        <f aca="false">+F1029*0.03</f>
        <v>0</v>
      </c>
      <c r="F1029" s="33" t="n">
        <v>0</v>
      </c>
      <c r="G1029" s="62"/>
      <c r="H1029" s="35" t="n">
        <v>0</v>
      </c>
      <c r="I1029" s="34" t="n">
        <f aca="false">+IF(E1029=0,0,E1029*0.03)</f>
        <v>0</v>
      </c>
    </row>
    <row r="1030" customFormat="false" ht="15.75" hidden="false" customHeight="true" outlineLevel="0" collapsed="false">
      <c r="A1030" s="30" t="n">
        <v>45444</v>
      </c>
      <c r="B1030" s="31" t="s">
        <v>153</v>
      </c>
      <c r="C1030" s="32"/>
      <c r="D1030" s="32"/>
      <c r="E1030" s="19" t="n">
        <f aca="false">+F1030*0.03</f>
        <v>0</v>
      </c>
      <c r="F1030" s="33" t="n">
        <v>0</v>
      </c>
      <c r="G1030" s="62"/>
      <c r="H1030" s="35" t="n">
        <v>0</v>
      </c>
      <c r="I1030" s="34" t="n">
        <f aca="false">+IF(E1030=0,0,E1030*0.03)</f>
        <v>0</v>
      </c>
    </row>
    <row r="1031" customFormat="false" ht="15.75" hidden="false" customHeight="true" outlineLevel="0" collapsed="false">
      <c r="A1031" s="30" t="n">
        <v>45444</v>
      </c>
      <c r="B1031" s="31" t="s">
        <v>153</v>
      </c>
      <c r="C1031" s="32"/>
      <c r="D1031" s="32"/>
      <c r="E1031" s="19" t="n">
        <f aca="false">+F1031*0.03</f>
        <v>0</v>
      </c>
      <c r="F1031" s="33" t="n">
        <v>0</v>
      </c>
      <c r="G1031" s="62"/>
      <c r="H1031" s="35" t="n">
        <v>0</v>
      </c>
      <c r="I1031" s="34" t="n">
        <f aca="false">+IF(E1031=0,0,E1031*0.03)</f>
        <v>0</v>
      </c>
    </row>
    <row r="1032" customFormat="false" ht="15.75" hidden="false" customHeight="true" outlineLevel="0" collapsed="false">
      <c r="A1032" s="30" t="n">
        <v>45444</v>
      </c>
      <c r="B1032" s="31" t="s">
        <v>153</v>
      </c>
      <c r="C1032" s="32"/>
      <c r="D1032" s="32"/>
      <c r="E1032" s="19" t="n">
        <f aca="false">+F1032*0.03</f>
        <v>0</v>
      </c>
      <c r="F1032" s="33" t="n">
        <v>0</v>
      </c>
      <c r="G1032" s="62"/>
      <c r="H1032" s="35" t="n">
        <v>0</v>
      </c>
      <c r="I1032" s="34" t="n">
        <f aca="false">+IF(E1032=0,0,E1032*0.03)</f>
        <v>0</v>
      </c>
    </row>
    <row r="1033" customFormat="false" ht="15.75" hidden="false" customHeight="true" outlineLevel="0" collapsed="false">
      <c r="A1033" s="30" t="n">
        <v>45444</v>
      </c>
      <c r="B1033" s="31" t="s">
        <v>153</v>
      </c>
      <c r="C1033" s="32"/>
      <c r="D1033" s="32"/>
      <c r="E1033" s="19" t="n">
        <f aca="false">+F1033*0.03</f>
        <v>0</v>
      </c>
      <c r="F1033" s="33" t="n">
        <v>0</v>
      </c>
      <c r="G1033" s="62"/>
      <c r="H1033" s="35" t="n">
        <v>0</v>
      </c>
      <c r="I1033" s="34" t="n">
        <f aca="false">+IF(E1033=0,0,E1033*0.03)</f>
        <v>0</v>
      </c>
    </row>
    <row r="1034" customFormat="false" ht="15.75" hidden="false" customHeight="true" outlineLevel="0" collapsed="false">
      <c r="A1034" s="30" t="n">
        <v>45444</v>
      </c>
      <c r="B1034" s="31" t="s">
        <v>153</v>
      </c>
      <c r="C1034" s="32"/>
      <c r="D1034" s="32"/>
      <c r="E1034" s="19" t="n">
        <f aca="false">+F1034*0.03</f>
        <v>0</v>
      </c>
      <c r="F1034" s="33" t="n">
        <v>0</v>
      </c>
      <c r="G1034" s="62"/>
      <c r="H1034" s="35" t="n">
        <v>0</v>
      </c>
      <c r="I1034" s="34" t="n">
        <f aca="false">+IF(E1034=0,0,E1034*0.03)</f>
        <v>0</v>
      </c>
    </row>
    <row r="1035" customFormat="false" ht="15.75" hidden="false" customHeight="true" outlineLevel="0" collapsed="false">
      <c r="A1035" s="30" t="n">
        <v>45444</v>
      </c>
      <c r="B1035" s="31" t="s">
        <v>153</v>
      </c>
      <c r="C1035" s="32"/>
      <c r="D1035" s="32"/>
      <c r="E1035" s="19" t="n">
        <f aca="false">+F1035*0.03</f>
        <v>0</v>
      </c>
      <c r="F1035" s="33" t="n">
        <v>0</v>
      </c>
      <c r="G1035" s="62"/>
      <c r="H1035" s="35" t="n">
        <v>0</v>
      </c>
      <c r="I1035" s="34" t="n">
        <f aca="false">+IF(E1035=0,0,E1035*0.03)</f>
        <v>0</v>
      </c>
    </row>
    <row r="1036" customFormat="false" ht="15.75" hidden="false" customHeight="true" outlineLevel="0" collapsed="false">
      <c r="A1036" s="30" t="n">
        <v>45444</v>
      </c>
      <c r="B1036" s="31" t="s">
        <v>153</v>
      </c>
      <c r="C1036" s="32"/>
      <c r="D1036" s="32"/>
      <c r="E1036" s="19" t="n">
        <f aca="false">+F1036*0.03</f>
        <v>0</v>
      </c>
      <c r="F1036" s="33" t="n">
        <v>0</v>
      </c>
      <c r="G1036" s="62"/>
      <c r="H1036" s="35" t="n">
        <v>0</v>
      </c>
      <c r="I1036" s="34" t="n">
        <f aca="false">+IF(E1036=0,0,E1036*0.03)</f>
        <v>0</v>
      </c>
    </row>
    <row r="1037" customFormat="false" ht="15.75" hidden="false" customHeight="true" outlineLevel="0" collapsed="false">
      <c r="A1037" s="30" t="n">
        <v>45444</v>
      </c>
      <c r="B1037" s="31" t="s">
        <v>153</v>
      </c>
      <c r="C1037" s="32"/>
      <c r="D1037" s="32"/>
      <c r="E1037" s="19" t="n">
        <f aca="false">+F1037*0.03</f>
        <v>0</v>
      </c>
      <c r="F1037" s="33" t="n">
        <v>0</v>
      </c>
      <c r="G1037" s="62"/>
      <c r="H1037" s="35" t="n">
        <v>0</v>
      </c>
      <c r="I1037" s="34" t="n">
        <f aca="false">+IF(E1037=0,0,E1037*0.03)</f>
        <v>0</v>
      </c>
    </row>
    <row r="1038" customFormat="false" ht="15.75" hidden="false" customHeight="true" outlineLevel="0" collapsed="false">
      <c r="A1038" s="30" t="n">
        <v>45444</v>
      </c>
      <c r="B1038" s="31" t="s">
        <v>153</v>
      </c>
      <c r="C1038" s="32"/>
      <c r="D1038" s="32"/>
      <c r="E1038" s="19" t="n">
        <f aca="false">+F1038*0.03</f>
        <v>0</v>
      </c>
      <c r="F1038" s="33" t="n">
        <v>0</v>
      </c>
      <c r="G1038" s="62"/>
      <c r="H1038" s="35" t="n">
        <v>0</v>
      </c>
      <c r="I1038" s="34" t="n">
        <f aca="false">+IF(E1038=0,0,E1038*0.03)</f>
        <v>0</v>
      </c>
    </row>
    <row r="1039" customFormat="false" ht="15.75" hidden="false" customHeight="true" outlineLevel="0" collapsed="false">
      <c r="A1039" s="30" t="n">
        <v>45444</v>
      </c>
      <c r="B1039" s="31" t="s">
        <v>153</v>
      </c>
      <c r="C1039" s="32"/>
      <c r="D1039" s="32"/>
      <c r="E1039" s="19" t="n">
        <f aca="false">+F1039*0.03</f>
        <v>0</v>
      </c>
      <c r="F1039" s="33" t="n">
        <v>0</v>
      </c>
      <c r="G1039" s="62"/>
      <c r="H1039" s="35" t="n">
        <v>0</v>
      </c>
      <c r="I1039" s="34" t="n">
        <f aca="false">+IF(E1039=0,0,E1039*0.03)</f>
        <v>0</v>
      </c>
    </row>
    <row r="1040" customFormat="false" ht="15.75" hidden="false" customHeight="true" outlineLevel="0" collapsed="false">
      <c r="A1040" s="30" t="n">
        <v>45444</v>
      </c>
      <c r="B1040" s="31" t="s">
        <v>153</v>
      </c>
      <c r="C1040" s="32"/>
      <c r="D1040" s="32"/>
      <c r="E1040" s="19" t="n">
        <f aca="false">+F1040*0.03</f>
        <v>0</v>
      </c>
      <c r="F1040" s="33" t="n">
        <v>0</v>
      </c>
      <c r="G1040" s="62"/>
      <c r="H1040" s="35" t="n">
        <v>0</v>
      </c>
      <c r="I1040" s="34" t="n">
        <f aca="false">+IF(E1040=0,0,E1040*0.03)</f>
        <v>0</v>
      </c>
    </row>
    <row r="1041" customFormat="false" ht="15.75" hidden="false" customHeight="true" outlineLevel="0" collapsed="false">
      <c r="A1041" s="30" t="n">
        <v>45444</v>
      </c>
      <c r="B1041" s="31" t="s">
        <v>153</v>
      </c>
      <c r="C1041" s="32"/>
      <c r="D1041" s="32"/>
      <c r="E1041" s="19" t="n">
        <f aca="false">+F1041*0.03</f>
        <v>0</v>
      </c>
      <c r="F1041" s="33" t="n">
        <v>0</v>
      </c>
      <c r="G1041" s="62"/>
      <c r="H1041" s="35" t="n">
        <v>0</v>
      </c>
      <c r="I1041" s="34" t="n">
        <f aca="false">+IF(E1041=0,0,E1041*0.03)</f>
        <v>0</v>
      </c>
    </row>
    <row r="1042" customFormat="false" ht="15.75" hidden="false" customHeight="true" outlineLevel="0" collapsed="false">
      <c r="A1042" s="30" t="n">
        <v>45444</v>
      </c>
      <c r="B1042" s="31" t="s">
        <v>153</v>
      </c>
      <c r="C1042" s="32"/>
      <c r="D1042" s="32"/>
      <c r="E1042" s="19" t="n">
        <f aca="false">+F1042*0.03</f>
        <v>0</v>
      </c>
      <c r="F1042" s="33" t="n">
        <v>0</v>
      </c>
      <c r="G1042" s="62"/>
      <c r="H1042" s="35" t="n">
        <v>0</v>
      </c>
      <c r="I1042" s="34" t="n">
        <f aca="false">+IF(E1042=0,0,E1042*0.03)</f>
        <v>0</v>
      </c>
    </row>
    <row r="1043" customFormat="false" ht="15.75" hidden="false" customHeight="true" outlineLevel="0" collapsed="false">
      <c r="A1043" s="30" t="n">
        <v>45444</v>
      </c>
      <c r="B1043" s="31" t="s">
        <v>153</v>
      </c>
      <c r="C1043" s="32"/>
      <c r="D1043" s="32"/>
      <c r="E1043" s="19" t="n">
        <f aca="false">+F1043*0.03</f>
        <v>0</v>
      </c>
      <c r="F1043" s="33" t="n">
        <v>0</v>
      </c>
      <c r="G1043" s="62"/>
      <c r="H1043" s="35" t="n">
        <v>0</v>
      </c>
      <c r="I1043" s="34" t="n">
        <f aca="false">+IF(E1043=0,0,E1043*0.03)</f>
        <v>0</v>
      </c>
    </row>
    <row r="1044" customFormat="false" ht="15.75" hidden="false" customHeight="true" outlineLevel="0" collapsed="false">
      <c r="A1044" s="30" t="n">
        <v>45444</v>
      </c>
      <c r="B1044" s="31" t="s">
        <v>153</v>
      </c>
      <c r="C1044" s="32"/>
      <c r="D1044" s="32"/>
      <c r="E1044" s="19" t="n">
        <f aca="false">+F1044*0.03</f>
        <v>0</v>
      </c>
      <c r="F1044" s="33" t="n">
        <v>0</v>
      </c>
      <c r="G1044" s="62"/>
      <c r="H1044" s="35" t="n">
        <v>0</v>
      </c>
      <c r="I1044" s="34" t="n">
        <f aca="false">+IF(E1044=0,0,E1044*0.03)</f>
        <v>0</v>
      </c>
    </row>
    <row r="1045" customFormat="false" ht="15.75" hidden="false" customHeight="true" outlineLevel="0" collapsed="false">
      <c r="A1045" s="30" t="n">
        <v>45444</v>
      </c>
      <c r="B1045" s="31" t="s">
        <v>153</v>
      </c>
      <c r="C1045" s="32"/>
      <c r="D1045" s="32"/>
      <c r="E1045" s="19" t="n">
        <f aca="false">+F1045*0.03</f>
        <v>0</v>
      </c>
      <c r="F1045" s="33" t="n">
        <v>0</v>
      </c>
      <c r="G1045" s="62"/>
      <c r="H1045" s="35" t="n">
        <v>0</v>
      </c>
      <c r="I1045" s="34" t="n">
        <f aca="false">+IF(E1045=0,0,E1045*0.03)</f>
        <v>0</v>
      </c>
    </row>
    <row r="1046" customFormat="false" ht="15.75" hidden="false" customHeight="true" outlineLevel="0" collapsed="false">
      <c r="A1046" s="30" t="n">
        <v>45444</v>
      </c>
      <c r="B1046" s="31" t="s">
        <v>153</v>
      </c>
      <c r="C1046" s="32"/>
      <c r="D1046" s="32"/>
      <c r="E1046" s="19" t="n">
        <f aca="false">+F1046*0.03</f>
        <v>0</v>
      </c>
      <c r="F1046" s="33" t="n">
        <v>0</v>
      </c>
      <c r="G1046" s="62"/>
      <c r="H1046" s="35" t="n">
        <v>0</v>
      </c>
      <c r="I1046" s="34" t="n">
        <f aca="false">+IF(E1046=0,0,E1046*0.03)</f>
        <v>0</v>
      </c>
    </row>
    <row r="1047" customFormat="false" ht="15.75" hidden="false" customHeight="true" outlineLevel="0" collapsed="false">
      <c r="A1047" s="30" t="n">
        <v>45444</v>
      </c>
      <c r="B1047" s="31" t="s">
        <v>153</v>
      </c>
      <c r="C1047" s="32"/>
      <c r="D1047" s="32"/>
      <c r="E1047" s="19" t="n">
        <f aca="false">+F1047*0.03</f>
        <v>0</v>
      </c>
      <c r="F1047" s="33" t="n">
        <v>0</v>
      </c>
      <c r="G1047" s="62"/>
      <c r="H1047" s="35" t="n">
        <v>0</v>
      </c>
      <c r="I1047" s="34" t="n">
        <f aca="false">+IF(E1047=0,0,E1047*0.03)</f>
        <v>0</v>
      </c>
    </row>
    <row r="1048" customFormat="false" ht="15.75" hidden="false" customHeight="true" outlineLevel="0" collapsed="false">
      <c r="A1048" s="30" t="n">
        <v>45444</v>
      </c>
      <c r="B1048" s="31" t="s">
        <v>153</v>
      </c>
      <c r="C1048" s="32"/>
      <c r="D1048" s="32"/>
      <c r="E1048" s="19" t="n">
        <f aca="false">+F1048*0.03</f>
        <v>0</v>
      </c>
      <c r="F1048" s="33" t="n">
        <v>0</v>
      </c>
      <c r="G1048" s="62"/>
      <c r="H1048" s="35" t="n">
        <v>0</v>
      </c>
      <c r="I1048" s="34" t="n">
        <f aca="false">+IF(E1048=0,0,E1048*0.03)</f>
        <v>0</v>
      </c>
    </row>
    <row r="1049" customFormat="false" ht="15.75" hidden="false" customHeight="true" outlineLevel="0" collapsed="false">
      <c r="A1049" s="30" t="n">
        <v>45444</v>
      </c>
      <c r="B1049" s="31" t="s">
        <v>153</v>
      </c>
      <c r="C1049" s="32"/>
      <c r="D1049" s="32"/>
      <c r="E1049" s="19" t="n">
        <f aca="false">+F1049*0.03</f>
        <v>0</v>
      </c>
      <c r="F1049" s="33" t="n">
        <v>0</v>
      </c>
      <c r="G1049" s="62"/>
      <c r="H1049" s="35" t="n">
        <v>0</v>
      </c>
      <c r="I1049" s="34" t="n">
        <f aca="false">+IF(E1049=0,0,E1049*0.03)</f>
        <v>0</v>
      </c>
    </row>
    <row r="1050" customFormat="false" ht="15.75" hidden="false" customHeight="true" outlineLevel="0" collapsed="false">
      <c r="A1050" s="30" t="n">
        <v>45444</v>
      </c>
      <c r="B1050" s="31" t="s">
        <v>153</v>
      </c>
      <c r="C1050" s="32"/>
      <c r="D1050" s="32"/>
      <c r="E1050" s="19" t="n">
        <f aca="false">+F1050*0.03</f>
        <v>0</v>
      </c>
      <c r="F1050" s="33" t="n">
        <v>0</v>
      </c>
      <c r="G1050" s="62"/>
      <c r="H1050" s="35" t="n">
        <v>0</v>
      </c>
      <c r="I1050" s="34" t="n">
        <f aca="false">+IF(E1050=0,0,E1050*0.03)</f>
        <v>0</v>
      </c>
    </row>
    <row r="1051" customFormat="false" ht="15.75" hidden="false" customHeight="true" outlineLevel="0" collapsed="false">
      <c r="A1051" s="30" t="n">
        <v>45444</v>
      </c>
      <c r="B1051" s="31" t="s">
        <v>153</v>
      </c>
      <c r="C1051" s="32"/>
      <c r="D1051" s="32"/>
      <c r="E1051" s="19" t="n">
        <f aca="false">+F1051*0.03</f>
        <v>0</v>
      </c>
      <c r="F1051" s="33" t="n">
        <v>0</v>
      </c>
      <c r="G1051" s="62"/>
      <c r="H1051" s="35" t="n">
        <v>0</v>
      </c>
      <c r="I1051" s="34" t="n">
        <f aca="false">+IF(E1051=0,0,E1051*0.03)</f>
        <v>0</v>
      </c>
    </row>
    <row r="1052" customFormat="false" ht="15.75" hidden="false" customHeight="true" outlineLevel="0" collapsed="false">
      <c r="A1052" s="30" t="n">
        <v>45444</v>
      </c>
      <c r="B1052" s="31" t="s">
        <v>153</v>
      </c>
      <c r="C1052" s="32"/>
      <c r="D1052" s="32"/>
      <c r="E1052" s="19" t="n">
        <f aca="false">+F1052*0.03</f>
        <v>0</v>
      </c>
      <c r="F1052" s="33" t="n">
        <v>0</v>
      </c>
      <c r="G1052" s="62"/>
      <c r="H1052" s="35" t="n">
        <v>0</v>
      </c>
      <c r="I1052" s="34" t="n">
        <f aca="false">+IF(E1052=0,0,E1052*0.03)</f>
        <v>0</v>
      </c>
    </row>
    <row r="1053" customFormat="false" ht="15.75" hidden="false" customHeight="true" outlineLevel="0" collapsed="false">
      <c r="A1053" s="30" t="n">
        <v>45444</v>
      </c>
      <c r="B1053" s="31" t="s">
        <v>153</v>
      </c>
      <c r="C1053" s="32"/>
      <c r="D1053" s="32"/>
      <c r="E1053" s="19" t="n">
        <f aca="false">+F1053*0.03</f>
        <v>0</v>
      </c>
      <c r="F1053" s="33" t="n">
        <v>0</v>
      </c>
      <c r="G1053" s="62"/>
      <c r="H1053" s="35" t="n">
        <v>0</v>
      </c>
      <c r="I1053" s="34" t="n">
        <f aca="false">+IF(E1053=0,0,E1053*0.03)</f>
        <v>0</v>
      </c>
    </row>
    <row r="1054" customFormat="false" ht="15.75" hidden="false" customHeight="true" outlineLevel="0" collapsed="false">
      <c r="A1054" s="30" t="n">
        <v>45444</v>
      </c>
      <c r="B1054" s="31" t="s">
        <v>153</v>
      </c>
      <c r="C1054" s="32"/>
      <c r="D1054" s="32"/>
      <c r="E1054" s="19" t="n">
        <f aca="false">+F1054*0.03</f>
        <v>0</v>
      </c>
      <c r="F1054" s="33" t="n">
        <v>0</v>
      </c>
      <c r="G1054" s="62"/>
      <c r="H1054" s="35" t="n">
        <v>0</v>
      </c>
      <c r="I1054" s="34" t="n">
        <f aca="false">+IF(E1054=0,0,E1054*0.03)</f>
        <v>0</v>
      </c>
    </row>
    <row r="1055" customFormat="false" ht="15.75" hidden="false" customHeight="true" outlineLevel="0" collapsed="false">
      <c r="A1055" s="30" t="n">
        <v>45444</v>
      </c>
      <c r="B1055" s="31" t="s">
        <v>153</v>
      </c>
      <c r="C1055" s="32"/>
      <c r="D1055" s="32"/>
      <c r="E1055" s="19" t="n">
        <f aca="false">+F1055*0.03</f>
        <v>0</v>
      </c>
      <c r="F1055" s="33" t="n">
        <v>0</v>
      </c>
      <c r="G1055" s="62"/>
      <c r="H1055" s="35" t="n">
        <v>0</v>
      </c>
      <c r="I1055" s="34" t="n">
        <f aca="false">+IF(E1055=0,0,E1055*0.03)</f>
        <v>0</v>
      </c>
    </row>
    <row r="1056" customFormat="false" ht="15.75" hidden="false" customHeight="true" outlineLevel="0" collapsed="false">
      <c r="A1056" s="30" t="n">
        <v>45444</v>
      </c>
      <c r="B1056" s="31" t="s">
        <v>153</v>
      </c>
      <c r="C1056" s="32"/>
      <c r="D1056" s="32"/>
      <c r="E1056" s="19" t="n">
        <f aca="false">+F1056*0.03</f>
        <v>0</v>
      </c>
      <c r="F1056" s="33" t="n">
        <v>0</v>
      </c>
      <c r="G1056" s="62"/>
      <c r="H1056" s="35" t="n">
        <v>0</v>
      </c>
      <c r="I1056" s="34" t="n">
        <f aca="false">+IF(E1056=0,0,E1056*0.03)</f>
        <v>0</v>
      </c>
    </row>
    <row r="1057" customFormat="false" ht="15.75" hidden="false" customHeight="true" outlineLevel="0" collapsed="false">
      <c r="A1057" s="30" t="n">
        <v>45444</v>
      </c>
      <c r="B1057" s="31" t="s">
        <v>153</v>
      </c>
      <c r="C1057" s="32"/>
      <c r="D1057" s="32"/>
      <c r="E1057" s="19" t="n">
        <f aca="false">+F1057*0.03</f>
        <v>0</v>
      </c>
      <c r="F1057" s="33" t="n">
        <v>0</v>
      </c>
      <c r="G1057" s="62"/>
      <c r="H1057" s="35" t="n">
        <v>0</v>
      </c>
      <c r="I1057" s="34" t="n">
        <f aca="false">+IF(E1057=0,0,E1057*0.03)</f>
        <v>0</v>
      </c>
    </row>
    <row r="1058" customFormat="false" ht="15.75" hidden="false" customHeight="true" outlineLevel="0" collapsed="false">
      <c r="A1058" s="30" t="n">
        <v>45444</v>
      </c>
      <c r="B1058" s="31" t="s">
        <v>153</v>
      </c>
      <c r="C1058" s="32"/>
      <c r="D1058" s="32"/>
      <c r="E1058" s="19" t="n">
        <f aca="false">+F1058*0.03</f>
        <v>0</v>
      </c>
      <c r="F1058" s="33" t="n">
        <v>0</v>
      </c>
      <c r="G1058" s="62"/>
      <c r="H1058" s="35" t="n">
        <v>0</v>
      </c>
      <c r="I1058" s="34" t="n">
        <f aca="false">+IF(E1058=0,0,E1058*0.03)</f>
        <v>0</v>
      </c>
    </row>
    <row r="1059" customFormat="false" ht="15.75" hidden="false" customHeight="true" outlineLevel="0" collapsed="false">
      <c r="A1059" s="30" t="n">
        <v>45444</v>
      </c>
      <c r="B1059" s="31" t="s">
        <v>153</v>
      </c>
      <c r="C1059" s="32"/>
      <c r="D1059" s="32"/>
      <c r="E1059" s="19" t="n">
        <f aca="false">+F1059*0.03</f>
        <v>0</v>
      </c>
      <c r="F1059" s="33" t="n">
        <v>0</v>
      </c>
      <c r="G1059" s="62"/>
      <c r="H1059" s="35" t="n">
        <v>0</v>
      </c>
      <c r="I1059" s="34" t="n">
        <f aca="false">+IF(E1059=0,0,E1059*0.03)</f>
        <v>0</v>
      </c>
    </row>
    <row r="1060" customFormat="false" ht="15.75" hidden="false" customHeight="true" outlineLevel="0" collapsed="false">
      <c r="A1060" s="30" t="n">
        <v>45444</v>
      </c>
      <c r="B1060" s="31" t="s">
        <v>153</v>
      </c>
      <c r="C1060" s="32"/>
      <c r="D1060" s="32"/>
      <c r="E1060" s="19" t="n">
        <f aca="false">+F1060*0.03</f>
        <v>0</v>
      </c>
      <c r="F1060" s="33" t="n">
        <v>0</v>
      </c>
      <c r="G1060" s="62"/>
      <c r="H1060" s="35" t="n">
        <v>0</v>
      </c>
      <c r="I1060" s="34" t="n">
        <f aca="false">+IF(E1060=0,0,E1060*0.03)</f>
        <v>0</v>
      </c>
    </row>
    <row r="1061" customFormat="false" ht="15.75" hidden="false" customHeight="true" outlineLevel="0" collapsed="false">
      <c r="A1061" s="30" t="n">
        <v>45444</v>
      </c>
      <c r="B1061" s="31" t="s">
        <v>153</v>
      </c>
      <c r="C1061" s="32"/>
      <c r="D1061" s="32"/>
      <c r="E1061" s="19" t="n">
        <f aca="false">+F1061*0.03</f>
        <v>0</v>
      </c>
      <c r="F1061" s="33" t="n">
        <v>0</v>
      </c>
      <c r="G1061" s="62"/>
      <c r="H1061" s="35" t="n">
        <v>0</v>
      </c>
      <c r="I1061" s="34" t="n">
        <f aca="false">+IF(E1061=0,0,E1061*0.03)</f>
        <v>0</v>
      </c>
    </row>
    <row r="1062" customFormat="false" ht="15.75" hidden="false" customHeight="true" outlineLevel="0" collapsed="false">
      <c r="A1062" s="30" t="n">
        <v>45444</v>
      </c>
      <c r="B1062" s="31" t="s">
        <v>153</v>
      </c>
      <c r="C1062" s="32"/>
      <c r="D1062" s="32"/>
      <c r="E1062" s="19" t="n">
        <f aca="false">+F1062*0.03</f>
        <v>0</v>
      </c>
      <c r="F1062" s="33" t="n">
        <v>0</v>
      </c>
      <c r="G1062" s="62"/>
      <c r="H1062" s="35" t="n">
        <v>0</v>
      </c>
      <c r="I1062" s="34" t="n">
        <f aca="false">+IF(E1062=0,0,E1062*0.03)</f>
        <v>0</v>
      </c>
    </row>
    <row r="1063" customFormat="false" ht="15.75" hidden="false" customHeight="true" outlineLevel="0" collapsed="false">
      <c r="A1063" s="30" t="n">
        <v>45444</v>
      </c>
      <c r="B1063" s="31" t="s">
        <v>153</v>
      </c>
      <c r="C1063" s="32"/>
      <c r="D1063" s="32"/>
      <c r="E1063" s="19" t="n">
        <f aca="false">+F1063*0.03</f>
        <v>0</v>
      </c>
      <c r="F1063" s="33" t="n">
        <v>0</v>
      </c>
      <c r="G1063" s="62"/>
      <c r="H1063" s="35" t="n">
        <v>0</v>
      </c>
      <c r="I1063" s="34" t="n">
        <f aca="false">+IF(E1063=0,0,E1063*0.03)</f>
        <v>0</v>
      </c>
    </row>
    <row r="1064" customFormat="false" ht="15.75" hidden="false" customHeight="true" outlineLevel="0" collapsed="false">
      <c r="A1064" s="30" t="n">
        <v>45444</v>
      </c>
      <c r="B1064" s="31" t="s">
        <v>153</v>
      </c>
      <c r="C1064" s="32"/>
      <c r="D1064" s="32"/>
      <c r="E1064" s="19" t="n">
        <f aca="false">+F1064*0.03</f>
        <v>0</v>
      </c>
      <c r="F1064" s="33" t="n">
        <v>0</v>
      </c>
      <c r="G1064" s="62"/>
      <c r="H1064" s="35" t="n">
        <v>0</v>
      </c>
      <c r="I1064" s="34" t="n">
        <f aca="false">+IF(E1064=0,0,E1064*0.03)</f>
        <v>0</v>
      </c>
    </row>
    <row r="1065" customFormat="false" ht="15.75" hidden="false" customHeight="true" outlineLevel="0" collapsed="false">
      <c r="A1065" s="30" t="n">
        <v>45444</v>
      </c>
      <c r="B1065" s="31" t="s">
        <v>153</v>
      </c>
      <c r="C1065" s="32"/>
      <c r="D1065" s="32"/>
      <c r="E1065" s="19" t="n">
        <f aca="false">+F1065*0.03</f>
        <v>0</v>
      </c>
      <c r="F1065" s="33" t="n">
        <v>0</v>
      </c>
      <c r="G1065" s="62"/>
      <c r="H1065" s="35" t="n">
        <v>0</v>
      </c>
      <c r="I1065" s="34" t="n">
        <f aca="false">+IF(E1065=0,0,E1065*0.03)</f>
        <v>0</v>
      </c>
    </row>
    <row r="1066" customFormat="false" ht="15.75" hidden="false" customHeight="true" outlineLevel="0" collapsed="false">
      <c r="A1066" s="30" t="n">
        <v>45444</v>
      </c>
      <c r="B1066" s="31" t="s">
        <v>153</v>
      </c>
      <c r="C1066" s="32"/>
      <c r="D1066" s="32"/>
      <c r="E1066" s="19" t="n">
        <f aca="false">+F1066*0.03</f>
        <v>0</v>
      </c>
      <c r="F1066" s="33" t="n">
        <v>0</v>
      </c>
      <c r="G1066" s="62"/>
      <c r="H1066" s="35" t="n">
        <v>0</v>
      </c>
      <c r="I1066" s="34" t="n">
        <f aca="false">+IF(E1066=0,0,E1066*0.03)</f>
        <v>0</v>
      </c>
    </row>
    <row r="1067" customFormat="false" ht="15.75" hidden="false" customHeight="true" outlineLevel="0" collapsed="false">
      <c r="A1067" s="30" t="n">
        <v>45444</v>
      </c>
      <c r="B1067" s="31" t="s">
        <v>153</v>
      </c>
      <c r="C1067" s="32"/>
      <c r="D1067" s="32"/>
      <c r="E1067" s="19" t="n">
        <f aca="false">+F1067*0.03</f>
        <v>0</v>
      </c>
      <c r="F1067" s="33" t="n">
        <v>0</v>
      </c>
      <c r="G1067" s="62"/>
      <c r="H1067" s="35" t="n">
        <v>0</v>
      </c>
      <c r="I1067" s="34" t="n">
        <f aca="false">+IF(E1067=0,0,E1067*0.03)</f>
        <v>0</v>
      </c>
    </row>
    <row r="1068" customFormat="false" ht="15.75" hidden="false" customHeight="true" outlineLevel="0" collapsed="false">
      <c r="A1068" s="30" t="n">
        <v>45444</v>
      </c>
      <c r="B1068" s="31" t="s">
        <v>153</v>
      </c>
      <c r="C1068" s="32"/>
      <c r="D1068" s="32"/>
      <c r="E1068" s="19" t="n">
        <f aca="false">+F1068*0.03</f>
        <v>0</v>
      </c>
      <c r="F1068" s="33" t="n">
        <v>0</v>
      </c>
      <c r="G1068" s="62"/>
      <c r="H1068" s="35" t="n">
        <v>0</v>
      </c>
      <c r="I1068" s="34" t="n">
        <f aca="false">+IF(E1068=0,0,E1068*0.03)</f>
        <v>0</v>
      </c>
    </row>
    <row r="1069" customFormat="false" ht="15.75" hidden="false" customHeight="true" outlineLevel="0" collapsed="false">
      <c r="A1069" s="30" t="n">
        <v>45444</v>
      </c>
      <c r="B1069" s="31" t="s">
        <v>153</v>
      </c>
      <c r="C1069" s="32"/>
      <c r="D1069" s="32"/>
      <c r="E1069" s="19" t="n">
        <f aca="false">+F1069*0.03</f>
        <v>0</v>
      </c>
      <c r="F1069" s="33" t="n">
        <v>0</v>
      </c>
      <c r="G1069" s="62"/>
      <c r="H1069" s="35" t="n">
        <v>0</v>
      </c>
      <c r="I1069" s="34" t="n">
        <f aca="false">+IF(E1069=0,0,E1069*0.03)</f>
        <v>0</v>
      </c>
    </row>
    <row r="1070" customFormat="false" ht="15.75" hidden="false" customHeight="true" outlineLevel="0" collapsed="false">
      <c r="A1070" s="30" t="n">
        <v>45444</v>
      </c>
      <c r="B1070" s="31" t="s">
        <v>153</v>
      </c>
      <c r="C1070" s="32"/>
      <c r="D1070" s="32"/>
      <c r="E1070" s="19" t="n">
        <f aca="false">+F1070*0.03</f>
        <v>0</v>
      </c>
      <c r="F1070" s="33" t="n">
        <v>0</v>
      </c>
      <c r="G1070" s="62"/>
      <c r="H1070" s="35" t="n">
        <v>0</v>
      </c>
      <c r="I1070" s="34" t="n">
        <f aca="false">+IF(E1070=0,0,E1070*0.03)</f>
        <v>0</v>
      </c>
    </row>
    <row r="1071" customFormat="false" ht="15.75" hidden="false" customHeight="true" outlineLevel="0" collapsed="false">
      <c r="A1071" s="30" t="n">
        <v>45444</v>
      </c>
      <c r="B1071" s="31" t="s">
        <v>153</v>
      </c>
      <c r="C1071" s="32"/>
      <c r="D1071" s="32"/>
      <c r="E1071" s="19" t="n">
        <f aca="false">+F1071*0.03</f>
        <v>0</v>
      </c>
      <c r="F1071" s="33" t="n">
        <v>0</v>
      </c>
      <c r="G1071" s="62"/>
      <c r="H1071" s="35" t="n">
        <v>0</v>
      </c>
      <c r="I1071" s="34" t="n">
        <f aca="false">+IF(E1071=0,0,E1071*0.03)</f>
        <v>0</v>
      </c>
    </row>
    <row r="1072" customFormat="false" ht="15.75" hidden="false" customHeight="true" outlineLevel="0" collapsed="false">
      <c r="A1072" s="30" t="n">
        <v>45444</v>
      </c>
      <c r="B1072" s="31" t="s">
        <v>153</v>
      </c>
      <c r="C1072" s="32"/>
      <c r="D1072" s="32"/>
      <c r="E1072" s="19" t="n">
        <f aca="false">+F1072*0.03</f>
        <v>0</v>
      </c>
      <c r="F1072" s="33" t="n">
        <v>0</v>
      </c>
      <c r="G1072" s="62"/>
      <c r="H1072" s="35" t="n">
        <v>0</v>
      </c>
      <c r="I1072" s="34" t="n">
        <f aca="false">+IF(E1072=0,0,E1072*0.03)</f>
        <v>0</v>
      </c>
    </row>
    <row r="1073" customFormat="false" ht="15.75" hidden="false" customHeight="true" outlineLevel="0" collapsed="false">
      <c r="A1073" s="30" t="n">
        <v>45444</v>
      </c>
      <c r="B1073" s="31" t="s">
        <v>153</v>
      </c>
      <c r="C1073" s="32"/>
      <c r="D1073" s="32"/>
      <c r="E1073" s="19" t="n">
        <f aca="false">+F1073*0.03</f>
        <v>0</v>
      </c>
      <c r="F1073" s="33" t="n">
        <v>0</v>
      </c>
      <c r="G1073" s="62"/>
      <c r="H1073" s="35" t="n">
        <v>0</v>
      </c>
      <c r="I1073" s="34" t="n">
        <f aca="false">+IF(E1073=0,0,E1073*0.03)</f>
        <v>0</v>
      </c>
    </row>
    <row r="1074" customFormat="false" ht="15.75" hidden="false" customHeight="true" outlineLevel="0" collapsed="false">
      <c r="A1074" s="30" t="n">
        <v>45444</v>
      </c>
      <c r="B1074" s="31" t="s">
        <v>153</v>
      </c>
      <c r="C1074" s="32"/>
      <c r="D1074" s="32"/>
      <c r="E1074" s="19" t="n">
        <f aca="false">+F1074*0.03</f>
        <v>0</v>
      </c>
      <c r="F1074" s="33" t="n">
        <v>0</v>
      </c>
      <c r="G1074" s="62"/>
      <c r="H1074" s="35" t="n">
        <v>0</v>
      </c>
      <c r="I1074" s="34" t="n">
        <f aca="false">+IF(E1074=0,0,E1074*0.03)</f>
        <v>0</v>
      </c>
    </row>
    <row r="1075" customFormat="false" ht="15.75" hidden="false" customHeight="true" outlineLevel="0" collapsed="false">
      <c r="A1075" s="30" t="n">
        <v>45444</v>
      </c>
      <c r="B1075" s="31" t="s">
        <v>153</v>
      </c>
      <c r="C1075" s="32"/>
      <c r="D1075" s="32"/>
      <c r="E1075" s="19" t="n">
        <f aca="false">+F1075*0.03</f>
        <v>0</v>
      </c>
      <c r="F1075" s="33" t="n">
        <v>0</v>
      </c>
      <c r="G1075" s="62"/>
      <c r="H1075" s="35" t="n">
        <v>0</v>
      </c>
      <c r="I1075" s="34" t="n">
        <f aca="false">+IF(E1075=0,0,E1075*0.03)</f>
        <v>0</v>
      </c>
    </row>
    <row r="1076" customFormat="false" ht="15.75" hidden="false" customHeight="true" outlineLevel="0" collapsed="false">
      <c r="A1076" s="30" t="n">
        <v>45444</v>
      </c>
      <c r="B1076" s="31" t="s">
        <v>153</v>
      </c>
      <c r="C1076" s="32"/>
      <c r="D1076" s="32"/>
      <c r="E1076" s="19" t="n">
        <f aca="false">+F1076*0.03</f>
        <v>0</v>
      </c>
      <c r="F1076" s="33" t="n">
        <v>0</v>
      </c>
      <c r="G1076" s="62"/>
      <c r="H1076" s="35" t="n">
        <v>0</v>
      </c>
      <c r="I1076" s="34" t="n">
        <f aca="false">+IF(E1076=0,0,E1076*0.03)</f>
        <v>0</v>
      </c>
    </row>
    <row r="1077" customFormat="false" ht="15.75" hidden="false" customHeight="true" outlineLevel="0" collapsed="false">
      <c r="A1077" s="30" t="n">
        <v>45444</v>
      </c>
      <c r="B1077" s="31" t="s">
        <v>153</v>
      </c>
      <c r="C1077" s="32"/>
      <c r="D1077" s="32"/>
      <c r="E1077" s="19" t="n">
        <f aca="false">+F1077*0.03</f>
        <v>0</v>
      </c>
      <c r="F1077" s="33" t="n">
        <v>0</v>
      </c>
      <c r="G1077" s="62"/>
      <c r="H1077" s="35" t="n">
        <v>0</v>
      </c>
      <c r="I1077" s="34" t="n">
        <f aca="false">+IF(E1077=0,0,E1077*0.03)</f>
        <v>0</v>
      </c>
    </row>
    <row r="1078" customFormat="false" ht="15.75" hidden="false" customHeight="true" outlineLevel="0" collapsed="false">
      <c r="A1078" s="30" t="n">
        <v>45444</v>
      </c>
      <c r="B1078" s="31" t="s">
        <v>153</v>
      </c>
      <c r="C1078" s="32"/>
      <c r="D1078" s="32"/>
      <c r="E1078" s="19" t="n">
        <f aca="false">+F1078*0.03</f>
        <v>0</v>
      </c>
      <c r="F1078" s="33" t="n">
        <v>0</v>
      </c>
      <c r="G1078" s="62"/>
      <c r="H1078" s="35" t="n">
        <v>0</v>
      </c>
      <c r="I1078" s="34" t="n">
        <f aca="false">+IF(E1078=0,0,E1078*0.03)</f>
        <v>0</v>
      </c>
    </row>
    <row r="1079" customFormat="false" ht="15.75" hidden="false" customHeight="true" outlineLevel="0" collapsed="false">
      <c r="A1079" s="30" t="n">
        <v>45444</v>
      </c>
      <c r="B1079" s="31" t="s">
        <v>153</v>
      </c>
      <c r="C1079" s="32"/>
      <c r="D1079" s="32"/>
      <c r="E1079" s="19" t="n">
        <f aca="false">+F1079*0.03</f>
        <v>0</v>
      </c>
      <c r="F1079" s="33" t="n">
        <v>0</v>
      </c>
      <c r="G1079" s="62"/>
      <c r="H1079" s="35" t="n">
        <v>0</v>
      </c>
      <c r="I1079" s="34" t="n">
        <f aca="false">+IF(E1079=0,0,E1079*0.03)</f>
        <v>0</v>
      </c>
    </row>
    <row r="1080" customFormat="false" ht="15.75" hidden="false" customHeight="true" outlineLevel="0" collapsed="false">
      <c r="A1080" s="30" t="n">
        <v>45444</v>
      </c>
      <c r="B1080" s="31" t="s">
        <v>153</v>
      </c>
      <c r="C1080" s="32"/>
      <c r="D1080" s="32"/>
      <c r="E1080" s="19" t="n">
        <f aca="false">+F1080*0.03</f>
        <v>0</v>
      </c>
      <c r="F1080" s="33" t="n">
        <v>0</v>
      </c>
      <c r="G1080" s="62"/>
      <c r="H1080" s="35" t="n">
        <v>0</v>
      </c>
      <c r="I1080" s="34" t="n">
        <f aca="false">+IF(E1080=0,0,E1080*0.03)</f>
        <v>0</v>
      </c>
    </row>
    <row r="1081" customFormat="false" ht="15.75" hidden="false" customHeight="true" outlineLevel="0" collapsed="false">
      <c r="A1081" s="30" t="n">
        <v>45444</v>
      </c>
      <c r="B1081" s="31" t="s">
        <v>153</v>
      </c>
      <c r="C1081" s="32"/>
      <c r="D1081" s="32"/>
      <c r="E1081" s="19" t="n">
        <f aca="false">+F1081*0.03</f>
        <v>0</v>
      </c>
      <c r="F1081" s="33" t="n">
        <v>0</v>
      </c>
      <c r="G1081" s="62"/>
      <c r="H1081" s="35" t="n">
        <v>0</v>
      </c>
      <c r="I1081" s="34" t="n">
        <f aca="false">+IF(E1081=0,0,E1081*0.03)</f>
        <v>0</v>
      </c>
    </row>
    <row r="1082" customFormat="false" ht="15.75" hidden="false" customHeight="true" outlineLevel="0" collapsed="false">
      <c r="A1082" s="30" t="n">
        <v>45444</v>
      </c>
      <c r="B1082" s="31" t="s">
        <v>153</v>
      </c>
      <c r="C1082" s="32"/>
      <c r="D1082" s="32"/>
      <c r="E1082" s="19" t="n">
        <f aca="false">+F1082*0.03</f>
        <v>0</v>
      </c>
      <c r="F1082" s="33" t="n">
        <v>0</v>
      </c>
      <c r="G1082" s="62"/>
      <c r="H1082" s="35" t="n">
        <v>0</v>
      </c>
      <c r="I1082" s="34" t="n">
        <f aca="false">+IF(E1082=0,0,E1082*0.03)</f>
        <v>0</v>
      </c>
    </row>
    <row r="1083" customFormat="false" ht="15.75" hidden="false" customHeight="true" outlineLevel="0" collapsed="false">
      <c r="A1083" s="30" t="n">
        <v>45444</v>
      </c>
      <c r="B1083" s="31" t="s">
        <v>153</v>
      </c>
      <c r="C1083" s="32"/>
      <c r="D1083" s="32"/>
      <c r="E1083" s="19" t="n">
        <f aca="false">+F1083*0.03</f>
        <v>0</v>
      </c>
      <c r="F1083" s="33" t="n">
        <v>0</v>
      </c>
      <c r="G1083" s="62"/>
      <c r="H1083" s="35" t="n">
        <v>0</v>
      </c>
      <c r="I1083" s="34" t="n">
        <f aca="false">+IF(E1083=0,0,E1083*0.03)</f>
        <v>0</v>
      </c>
    </row>
    <row r="1084" customFormat="false" ht="15.75" hidden="false" customHeight="true" outlineLevel="0" collapsed="false">
      <c r="A1084" s="30" t="n">
        <v>45444</v>
      </c>
      <c r="B1084" s="31" t="s">
        <v>153</v>
      </c>
      <c r="C1084" s="32"/>
      <c r="D1084" s="32"/>
      <c r="E1084" s="19" t="n">
        <f aca="false">+F1084*0.03</f>
        <v>0</v>
      </c>
      <c r="F1084" s="33" t="n">
        <v>0</v>
      </c>
      <c r="G1084" s="62"/>
      <c r="H1084" s="35" t="n">
        <v>0</v>
      </c>
      <c r="I1084" s="34" t="n">
        <f aca="false">+IF(E1084=0,0,E1084*0.03)</f>
        <v>0</v>
      </c>
    </row>
    <row r="1085" customFormat="false" ht="15.75" hidden="false" customHeight="true" outlineLevel="0" collapsed="false">
      <c r="A1085" s="30" t="n">
        <v>45444</v>
      </c>
      <c r="B1085" s="31" t="s">
        <v>153</v>
      </c>
      <c r="C1085" s="32"/>
      <c r="D1085" s="32"/>
      <c r="E1085" s="19" t="n">
        <f aca="false">+F1085*0.03</f>
        <v>0</v>
      </c>
      <c r="F1085" s="33" t="n">
        <v>0</v>
      </c>
      <c r="G1085" s="62"/>
      <c r="H1085" s="35" t="n">
        <v>0</v>
      </c>
      <c r="I1085" s="34" t="n">
        <f aca="false">+IF(E1085=0,0,E1085*0.03)</f>
        <v>0</v>
      </c>
    </row>
    <row r="1086" customFormat="false" ht="15.75" hidden="false" customHeight="true" outlineLevel="0" collapsed="false">
      <c r="A1086" s="30" t="n">
        <v>45444</v>
      </c>
      <c r="B1086" s="31" t="s">
        <v>153</v>
      </c>
      <c r="C1086" s="32"/>
      <c r="D1086" s="32"/>
      <c r="E1086" s="19" t="n">
        <f aca="false">+F1086*0.03</f>
        <v>0</v>
      </c>
      <c r="F1086" s="33" t="n">
        <v>0</v>
      </c>
      <c r="G1086" s="62"/>
      <c r="H1086" s="35" t="n">
        <v>0</v>
      </c>
      <c r="I1086" s="34" t="n">
        <f aca="false">+IF(E1086=0,0,E1086*0.03)</f>
        <v>0</v>
      </c>
    </row>
    <row r="1087" customFormat="false" ht="15.75" hidden="false" customHeight="true" outlineLevel="0" collapsed="false">
      <c r="A1087" s="30" t="n">
        <v>45444</v>
      </c>
      <c r="B1087" s="31" t="s">
        <v>153</v>
      </c>
      <c r="C1087" s="32"/>
      <c r="D1087" s="32"/>
      <c r="E1087" s="19" t="n">
        <f aca="false">+F1087*0.03</f>
        <v>0</v>
      </c>
      <c r="F1087" s="33" t="n">
        <v>0</v>
      </c>
      <c r="G1087" s="62"/>
      <c r="H1087" s="35" t="n">
        <v>0</v>
      </c>
      <c r="I1087" s="34" t="n">
        <f aca="false">+IF(E1087=0,0,E1087*0.03)</f>
        <v>0</v>
      </c>
    </row>
    <row r="1088" customFormat="false" ht="15.75" hidden="false" customHeight="true" outlineLevel="0" collapsed="false">
      <c r="A1088" s="30" t="n">
        <v>45444</v>
      </c>
      <c r="B1088" s="31" t="s">
        <v>153</v>
      </c>
      <c r="C1088" s="32"/>
      <c r="D1088" s="32"/>
      <c r="E1088" s="19" t="n">
        <f aca="false">+F1088*0.03</f>
        <v>0</v>
      </c>
      <c r="F1088" s="33" t="n">
        <v>0</v>
      </c>
      <c r="G1088" s="62"/>
      <c r="H1088" s="35" t="n">
        <v>0</v>
      </c>
      <c r="I1088" s="34" t="n">
        <f aca="false">+IF(E1088=0,0,E1088*0.03)</f>
        <v>0</v>
      </c>
    </row>
    <row r="1089" customFormat="false" ht="15.75" hidden="false" customHeight="true" outlineLevel="0" collapsed="false">
      <c r="A1089" s="30" t="n">
        <v>45444</v>
      </c>
      <c r="B1089" s="31" t="s">
        <v>153</v>
      </c>
      <c r="C1089" s="32"/>
      <c r="D1089" s="32"/>
      <c r="E1089" s="19" t="n">
        <f aca="false">+F1089*0.03</f>
        <v>0</v>
      </c>
      <c r="F1089" s="33" t="n">
        <v>0</v>
      </c>
      <c r="G1089" s="62"/>
      <c r="H1089" s="35" t="n">
        <v>0</v>
      </c>
      <c r="I1089" s="34" t="n">
        <f aca="false">+IF(E1089=0,0,E1089*0.03)</f>
        <v>0</v>
      </c>
    </row>
    <row r="1090" customFormat="false" ht="15.75" hidden="false" customHeight="true" outlineLevel="0" collapsed="false">
      <c r="A1090" s="30" t="n">
        <v>45444</v>
      </c>
      <c r="B1090" s="31" t="s">
        <v>153</v>
      </c>
      <c r="C1090" s="32"/>
      <c r="D1090" s="32"/>
      <c r="E1090" s="19" t="n">
        <f aca="false">+F1090*0.03</f>
        <v>0</v>
      </c>
      <c r="F1090" s="33" t="n">
        <v>0</v>
      </c>
      <c r="G1090" s="62"/>
      <c r="H1090" s="35" t="n">
        <v>0</v>
      </c>
      <c r="I1090" s="34" t="n">
        <f aca="false">+IF(E1090=0,0,E1090*0.03)</f>
        <v>0</v>
      </c>
    </row>
    <row r="1091" customFormat="false" ht="15.75" hidden="false" customHeight="true" outlineLevel="0" collapsed="false">
      <c r="A1091" s="30" t="n">
        <v>45444</v>
      </c>
      <c r="B1091" s="31" t="s">
        <v>153</v>
      </c>
      <c r="C1091" s="32"/>
      <c r="D1091" s="32"/>
      <c r="E1091" s="19" t="n">
        <f aca="false">+F1091*0.03</f>
        <v>0</v>
      </c>
      <c r="F1091" s="33" t="n">
        <v>0</v>
      </c>
      <c r="G1091" s="62"/>
      <c r="H1091" s="35" t="n">
        <v>0</v>
      </c>
      <c r="I1091" s="34" t="n">
        <f aca="false">+IF(E1091=0,0,E1091*0.03)</f>
        <v>0</v>
      </c>
    </row>
    <row r="1092" customFormat="false" ht="15.75" hidden="false" customHeight="true" outlineLevel="0" collapsed="false">
      <c r="A1092" s="30" t="n">
        <v>45444</v>
      </c>
      <c r="B1092" s="31" t="s">
        <v>153</v>
      </c>
      <c r="C1092" s="32"/>
      <c r="D1092" s="32"/>
      <c r="E1092" s="19" t="n">
        <f aca="false">+F1092*0.03</f>
        <v>0</v>
      </c>
      <c r="F1092" s="33" t="n">
        <v>0</v>
      </c>
      <c r="G1092" s="62"/>
      <c r="H1092" s="35" t="n">
        <v>0</v>
      </c>
      <c r="I1092" s="34" t="n">
        <f aca="false">+IF(E1092=0,0,E1092*0.03)</f>
        <v>0</v>
      </c>
    </row>
    <row r="1093" customFormat="false" ht="15.75" hidden="false" customHeight="true" outlineLevel="0" collapsed="false">
      <c r="A1093" s="30" t="n">
        <v>45444</v>
      </c>
      <c r="B1093" s="31" t="s">
        <v>153</v>
      </c>
      <c r="C1093" s="32"/>
      <c r="D1093" s="32"/>
      <c r="E1093" s="19" t="n">
        <f aca="false">+F1093*0.03</f>
        <v>0</v>
      </c>
      <c r="F1093" s="33" t="n">
        <v>0</v>
      </c>
      <c r="G1093" s="62"/>
      <c r="H1093" s="35" t="n">
        <v>0</v>
      </c>
      <c r="I1093" s="34" t="n">
        <f aca="false">+IF(E1093=0,0,E1093*0.03)</f>
        <v>0</v>
      </c>
    </row>
    <row r="1094" customFormat="false" ht="15.75" hidden="false" customHeight="true" outlineLevel="0" collapsed="false">
      <c r="A1094" s="30" t="n">
        <v>45444</v>
      </c>
      <c r="B1094" s="31" t="s">
        <v>153</v>
      </c>
      <c r="C1094" s="32"/>
      <c r="D1094" s="32"/>
      <c r="E1094" s="19" t="n">
        <f aca="false">+F1094*0.03</f>
        <v>0</v>
      </c>
      <c r="F1094" s="33" t="n">
        <v>0</v>
      </c>
      <c r="G1094" s="62"/>
      <c r="H1094" s="35" t="n">
        <v>0</v>
      </c>
      <c r="I1094" s="34" t="n">
        <f aca="false">+IF(E1094=0,0,E1094*0.03)</f>
        <v>0</v>
      </c>
    </row>
    <row r="1095" customFormat="false" ht="15.75" hidden="false" customHeight="true" outlineLevel="0" collapsed="false">
      <c r="A1095" s="30" t="n">
        <v>45444</v>
      </c>
      <c r="B1095" s="31" t="s">
        <v>153</v>
      </c>
      <c r="C1095" s="32"/>
      <c r="D1095" s="32"/>
      <c r="E1095" s="19" t="n">
        <f aca="false">+F1095*0.03</f>
        <v>0</v>
      </c>
      <c r="F1095" s="33" t="n">
        <v>0</v>
      </c>
      <c r="G1095" s="62"/>
      <c r="H1095" s="35" t="n">
        <v>0</v>
      </c>
      <c r="I1095" s="34" t="n">
        <f aca="false">+IF(E1095=0,0,E1095*0.03)</f>
        <v>0</v>
      </c>
    </row>
    <row r="1096" customFormat="false" ht="15.75" hidden="false" customHeight="true" outlineLevel="0" collapsed="false">
      <c r="A1096" s="30" t="n">
        <v>45444</v>
      </c>
      <c r="B1096" s="31" t="s">
        <v>153</v>
      </c>
      <c r="C1096" s="32"/>
      <c r="D1096" s="32"/>
      <c r="E1096" s="19" t="n">
        <f aca="false">+F1096*0.03</f>
        <v>0</v>
      </c>
      <c r="F1096" s="33" t="n">
        <v>0</v>
      </c>
      <c r="G1096" s="62"/>
      <c r="H1096" s="35" t="n">
        <v>0</v>
      </c>
      <c r="I1096" s="34" t="n">
        <f aca="false">+IF(E1096=0,0,E1096*0.03)</f>
        <v>0</v>
      </c>
    </row>
    <row r="1097" customFormat="false" ht="15.75" hidden="false" customHeight="true" outlineLevel="0" collapsed="false">
      <c r="A1097" s="30" t="n">
        <v>45444</v>
      </c>
      <c r="B1097" s="31" t="s">
        <v>153</v>
      </c>
      <c r="C1097" s="32"/>
      <c r="D1097" s="32"/>
      <c r="E1097" s="19" t="n">
        <f aca="false">+F1097*0.03</f>
        <v>0</v>
      </c>
      <c r="F1097" s="33" t="n">
        <v>0</v>
      </c>
      <c r="G1097" s="62"/>
      <c r="H1097" s="35" t="n">
        <v>0</v>
      </c>
      <c r="I1097" s="34" t="n">
        <f aca="false">+IF(E1097=0,0,E1097*0.03)</f>
        <v>0</v>
      </c>
    </row>
    <row r="1098" customFormat="false" ht="15.75" hidden="false" customHeight="true" outlineLevel="0" collapsed="false">
      <c r="A1098" s="30" t="n">
        <v>45444</v>
      </c>
      <c r="B1098" s="31" t="s">
        <v>153</v>
      </c>
      <c r="C1098" s="32"/>
      <c r="D1098" s="32"/>
      <c r="E1098" s="19" t="n">
        <f aca="false">+F1098*0.03</f>
        <v>0</v>
      </c>
      <c r="F1098" s="33" t="n">
        <v>0</v>
      </c>
      <c r="G1098" s="62"/>
      <c r="H1098" s="35" t="n">
        <v>0</v>
      </c>
      <c r="I1098" s="34" t="n">
        <f aca="false">+IF(E1098=0,0,E1098*0.03)</f>
        <v>0</v>
      </c>
    </row>
    <row r="1099" customFormat="false" ht="15.75" hidden="false" customHeight="true" outlineLevel="0" collapsed="false">
      <c r="A1099" s="30" t="n">
        <v>45444</v>
      </c>
      <c r="B1099" s="31" t="s">
        <v>153</v>
      </c>
      <c r="C1099" s="32"/>
      <c r="D1099" s="32"/>
      <c r="E1099" s="19" t="n">
        <f aca="false">+F1099*0.03</f>
        <v>0</v>
      </c>
      <c r="F1099" s="33" t="n">
        <v>0</v>
      </c>
      <c r="G1099" s="62"/>
      <c r="H1099" s="35" t="n">
        <v>0</v>
      </c>
      <c r="I1099" s="34" t="n">
        <f aca="false">+IF(E1099=0,0,E1099*0.03)</f>
        <v>0</v>
      </c>
    </row>
    <row r="1100" customFormat="false" ht="15.75" hidden="false" customHeight="true" outlineLevel="0" collapsed="false">
      <c r="A1100" s="30" t="n">
        <v>45444</v>
      </c>
      <c r="B1100" s="31" t="s">
        <v>153</v>
      </c>
      <c r="C1100" s="32"/>
      <c r="D1100" s="32"/>
      <c r="E1100" s="19" t="n">
        <f aca="false">+F1100*0.03</f>
        <v>0</v>
      </c>
      <c r="F1100" s="33" t="n">
        <v>0</v>
      </c>
      <c r="G1100" s="62"/>
      <c r="H1100" s="35" t="n">
        <v>0</v>
      </c>
      <c r="I1100" s="34" t="n">
        <f aca="false">+IF(E1100=0,0,E1100*0.03)</f>
        <v>0</v>
      </c>
    </row>
    <row r="1101" customFormat="false" ht="15.75" hidden="false" customHeight="true" outlineLevel="0" collapsed="false">
      <c r="A1101" s="30" t="n">
        <v>45444</v>
      </c>
      <c r="B1101" s="31" t="s">
        <v>153</v>
      </c>
      <c r="C1101" s="32"/>
      <c r="D1101" s="32"/>
      <c r="E1101" s="19" t="n">
        <f aca="false">+F1101*0.03</f>
        <v>0</v>
      </c>
      <c r="F1101" s="33" t="n">
        <v>0</v>
      </c>
      <c r="G1101" s="62"/>
      <c r="H1101" s="35" t="n">
        <v>0</v>
      </c>
      <c r="I1101" s="34" t="n">
        <f aca="false">+IF(E1101=0,0,E1101*0.03)</f>
        <v>0</v>
      </c>
    </row>
    <row r="1102" customFormat="false" ht="15.75" hidden="false" customHeight="true" outlineLevel="0" collapsed="false">
      <c r="A1102" s="30" t="n">
        <v>45444</v>
      </c>
      <c r="B1102" s="31" t="s">
        <v>153</v>
      </c>
      <c r="C1102" s="32"/>
      <c r="D1102" s="32"/>
      <c r="E1102" s="19" t="n">
        <f aca="false">+F1102*0.03</f>
        <v>0</v>
      </c>
      <c r="F1102" s="33" t="n">
        <v>0</v>
      </c>
      <c r="G1102" s="62"/>
      <c r="H1102" s="35" t="n">
        <v>0</v>
      </c>
      <c r="I1102" s="34" t="n">
        <f aca="false">+IF(E1102=0,0,E1102*0.03)</f>
        <v>0</v>
      </c>
    </row>
    <row r="1103" customFormat="false" ht="15.75" hidden="false" customHeight="true" outlineLevel="0" collapsed="false">
      <c r="A1103" s="30" t="n">
        <v>45444</v>
      </c>
      <c r="B1103" s="31" t="s">
        <v>153</v>
      </c>
      <c r="C1103" s="32"/>
      <c r="D1103" s="32"/>
      <c r="E1103" s="19" t="n">
        <f aca="false">+F1103*0.03</f>
        <v>0</v>
      </c>
      <c r="F1103" s="33" t="n">
        <v>0</v>
      </c>
      <c r="G1103" s="62"/>
      <c r="H1103" s="35" t="n">
        <v>0</v>
      </c>
      <c r="I1103" s="34" t="n">
        <f aca="false">+IF(E1103=0,0,E1103*0.03)</f>
        <v>0</v>
      </c>
    </row>
    <row r="1104" customFormat="false" ht="15.75" hidden="false" customHeight="true" outlineLevel="0" collapsed="false">
      <c r="A1104" s="30" t="n">
        <v>45444</v>
      </c>
      <c r="B1104" s="31" t="s">
        <v>153</v>
      </c>
      <c r="C1104" s="32"/>
      <c r="D1104" s="32"/>
      <c r="E1104" s="19" t="n">
        <f aca="false">+F1104*0.03</f>
        <v>0</v>
      </c>
      <c r="F1104" s="33" t="n">
        <v>0</v>
      </c>
      <c r="G1104" s="62"/>
      <c r="H1104" s="35" t="n">
        <v>0</v>
      </c>
      <c r="I1104" s="34" t="n">
        <f aca="false">+IF(E1104=0,0,E1104*0.03)</f>
        <v>0</v>
      </c>
    </row>
    <row r="1105" customFormat="false" ht="15.75" hidden="false" customHeight="true" outlineLevel="0" collapsed="false">
      <c r="A1105" s="30" t="n">
        <v>45444</v>
      </c>
      <c r="B1105" s="31" t="s">
        <v>153</v>
      </c>
      <c r="C1105" s="32"/>
      <c r="D1105" s="32"/>
      <c r="E1105" s="19" t="n">
        <f aca="false">+F1105*0.03</f>
        <v>0</v>
      </c>
      <c r="F1105" s="33" t="n">
        <v>0</v>
      </c>
      <c r="G1105" s="62"/>
      <c r="H1105" s="35" t="n">
        <v>0</v>
      </c>
      <c r="I1105" s="34" t="n">
        <f aca="false">+IF(E1105=0,0,E1105*0.03)</f>
        <v>0</v>
      </c>
    </row>
    <row r="1106" customFormat="false" ht="15.75" hidden="false" customHeight="true" outlineLevel="0" collapsed="false">
      <c r="A1106" s="30" t="n">
        <v>45444</v>
      </c>
      <c r="B1106" s="31" t="s">
        <v>153</v>
      </c>
      <c r="C1106" s="32"/>
      <c r="D1106" s="32"/>
      <c r="E1106" s="19" t="n">
        <f aca="false">+F1106*0.03</f>
        <v>0</v>
      </c>
      <c r="F1106" s="33" t="n">
        <v>0</v>
      </c>
      <c r="G1106" s="62"/>
      <c r="H1106" s="35" t="n">
        <v>0</v>
      </c>
      <c r="I1106" s="34" t="n">
        <f aca="false">+IF(E1106=0,0,E1106*0.03)</f>
        <v>0</v>
      </c>
    </row>
    <row r="1107" customFormat="false" ht="15.75" hidden="false" customHeight="true" outlineLevel="0" collapsed="false">
      <c r="A1107" s="30" t="n">
        <v>45444</v>
      </c>
      <c r="B1107" s="31" t="s">
        <v>153</v>
      </c>
      <c r="C1107" s="32"/>
      <c r="D1107" s="32"/>
      <c r="E1107" s="19" t="n">
        <f aca="false">+F1107*0.03</f>
        <v>0</v>
      </c>
      <c r="F1107" s="33" t="n">
        <v>0</v>
      </c>
      <c r="G1107" s="62"/>
      <c r="H1107" s="35" t="n">
        <v>0</v>
      </c>
      <c r="I1107" s="34" t="n">
        <f aca="false">+IF(E1107=0,0,E1107*0.03)</f>
        <v>0</v>
      </c>
    </row>
    <row r="1108" customFormat="false" ht="15.75" hidden="false" customHeight="true" outlineLevel="0" collapsed="false">
      <c r="A1108" s="30" t="n">
        <v>45444</v>
      </c>
      <c r="B1108" s="31" t="s">
        <v>153</v>
      </c>
      <c r="C1108" s="32"/>
      <c r="D1108" s="32"/>
      <c r="E1108" s="19" t="n">
        <f aca="false">+F1108*0.03</f>
        <v>0</v>
      </c>
      <c r="F1108" s="33" t="n">
        <v>0</v>
      </c>
      <c r="G1108" s="62"/>
      <c r="H1108" s="35" t="n">
        <v>0</v>
      </c>
      <c r="I1108" s="34" t="n">
        <f aca="false">+IF(E1108=0,0,E1108*0.03)</f>
        <v>0</v>
      </c>
    </row>
    <row r="1109" customFormat="false" ht="15.75" hidden="false" customHeight="true" outlineLevel="0" collapsed="false">
      <c r="A1109" s="30" t="n">
        <v>45444</v>
      </c>
      <c r="B1109" s="31" t="s">
        <v>153</v>
      </c>
      <c r="C1109" s="32"/>
      <c r="D1109" s="32"/>
      <c r="E1109" s="19" t="n">
        <f aca="false">+F1109*0.03</f>
        <v>0</v>
      </c>
      <c r="F1109" s="33" t="n">
        <v>0</v>
      </c>
      <c r="G1109" s="62"/>
      <c r="H1109" s="35" t="n">
        <v>0</v>
      </c>
      <c r="I1109" s="34" t="n">
        <f aca="false">+IF(E1109=0,0,E1109*0.03)</f>
        <v>0</v>
      </c>
    </row>
    <row r="1110" customFormat="false" ht="15.75" hidden="false" customHeight="true" outlineLevel="0" collapsed="false">
      <c r="A1110" s="30" t="n">
        <v>45444</v>
      </c>
      <c r="B1110" s="31" t="s">
        <v>153</v>
      </c>
      <c r="C1110" s="32"/>
      <c r="D1110" s="32"/>
      <c r="E1110" s="19" t="n">
        <f aca="false">+F1110*0.03</f>
        <v>0</v>
      </c>
      <c r="F1110" s="33" t="n">
        <v>0</v>
      </c>
      <c r="G1110" s="62"/>
      <c r="H1110" s="35" t="n">
        <v>0</v>
      </c>
      <c r="I1110" s="34" t="n">
        <f aca="false">+IF(E1110=0,0,E1110*0.03)</f>
        <v>0</v>
      </c>
    </row>
    <row r="1111" customFormat="false" ht="15.75" hidden="false" customHeight="true" outlineLevel="0" collapsed="false">
      <c r="A1111" s="30" t="n">
        <v>45444</v>
      </c>
      <c r="B1111" s="31" t="s">
        <v>153</v>
      </c>
      <c r="C1111" s="32"/>
      <c r="D1111" s="32"/>
      <c r="E1111" s="19" t="n">
        <f aca="false">+F1111*0.03</f>
        <v>0</v>
      </c>
      <c r="F1111" s="33" t="n">
        <v>0</v>
      </c>
      <c r="G1111" s="62"/>
      <c r="H1111" s="35" t="n">
        <v>0</v>
      </c>
      <c r="I1111" s="34" t="n">
        <f aca="false">+IF(E1111=0,0,E1111*0.03)</f>
        <v>0</v>
      </c>
    </row>
    <row r="1112" customFormat="false" ht="15.75" hidden="false" customHeight="true" outlineLevel="0" collapsed="false">
      <c r="A1112" s="30" t="n">
        <v>45444</v>
      </c>
      <c r="B1112" s="31" t="s">
        <v>153</v>
      </c>
      <c r="C1112" s="32"/>
      <c r="D1112" s="32"/>
      <c r="E1112" s="19" t="n">
        <f aca="false">+F1112*0.03</f>
        <v>0</v>
      </c>
      <c r="F1112" s="33" t="n">
        <v>0</v>
      </c>
      <c r="G1112" s="62"/>
      <c r="H1112" s="35" t="n">
        <v>0</v>
      </c>
      <c r="I1112" s="34" t="n">
        <f aca="false">+IF(E1112=0,0,E1112*0.03)</f>
        <v>0</v>
      </c>
    </row>
    <row r="1113" customFormat="false" ht="15.75" hidden="false" customHeight="true" outlineLevel="0" collapsed="false">
      <c r="A1113" s="30" t="n">
        <v>45444</v>
      </c>
      <c r="B1113" s="31" t="s">
        <v>153</v>
      </c>
      <c r="C1113" s="32"/>
      <c r="D1113" s="32"/>
      <c r="E1113" s="19" t="n">
        <f aca="false">+F1113*0.03</f>
        <v>0</v>
      </c>
      <c r="F1113" s="33" t="n">
        <v>0</v>
      </c>
      <c r="G1113" s="62"/>
      <c r="H1113" s="35" t="n">
        <v>0</v>
      </c>
      <c r="I1113" s="34" t="n">
        <f aca="false">+IF(E1113=0,0,E1113*0.03)</f>
        <v>0</v>
      </c>
    </row>
    <row r="1114" customFormat="false" ht="15.75" hidden="false" customHeight="true" outlineLevel="0" collapsed="false">
      <c r="A1114" s="30" t="n">
        <v>45444</v>
      </c>
      <c r="B1114" s="31" t="s">
        <v>153</v>
      </c>
      <c r="C1114" s="32"/>
      <c r="D1114" s="32"/>
      <c r="E1114" s="19" t="n">
        <f aca="false">+F1114*0.03</f>
        <v>0</v>
      </c>
      <c r="F1114" s="33" t="n">
        <v>0</v>
      </c>
      <c r="G1114" s="62"/>
      <c r="H1114" s="35" t="n">
        <v>0</v>
      </c>
      <c r="I1114" s="34" t="n">
        <f aca="false">+IF(E1114=0,0,E1114*0.03)</f>
        <v>0</v>
      </c>
    </row>
    <row r="1115" customFormat="false" ht="15.75" hidden="false" customHeight="true" outlineLevel="0" collapsed="false">
      <c r="A1115" s="30" t="n">
        <v>45444</v>
      </c>
      <c r="B1115" s="31" t="s">
        <v>153</v>
      </c>
      <c r="C1115" s="32"/>
      <c r="D1115" s="32"/>
      <c r="E1115" s="19" t="n">
        <f aca="false">+F1115*0.03</f>
        <v>0</v>
      </c>
      <c r="F1115" s="33" t="n">
        <v>0</v>
      </c>
      <c r="G1115" s="62"/>
      <c r="H1115" s="35" t="n">
        <v>0</v>
      </c>
      <c r="I1115" s="34" t="n">
        <f aca="false">+IF(E1115=0,0,E1115*0.03)</f>
        <v>0</v>
      </c>
    </row>
    <row r="1116" customFormat="false" ht="15.75" hidden="false" customHeight="true" outlineLevel="0" collapsed="false">
      <c r="A1116" s="30" t="n">
        <v>45444</v>
      </c>
      <c r="B1116" s="31" t="s">
        <v>153</v>
      </c>
      <c r="C1116" s="32"/>
      <c r="D1116" s="32"/>
      <c r="E1116" s="19" t="n">
        <f aca="false">+F1116*0.03</f>
        <v>0</v>
      </c>
      <c r="F1116" s="33" t="n">
        <v>0</v>
      </c>
      <c r="G1116" s="62"/>
      <c r="H1116" s="35" t="n">
        <v>0</v>
      </c>
      <c r="I1116" s="34" t="n">
        <f aca="false">+IF(E1116=0,0,E1116*0.03)</f>
        <v>0</v>
      </c>
    </row>
    <row r="1117" customFormat="false" ht="15.75" hidden="false" customHeight="true" outlineLevel="0" collapsed="false">
      <c r="A1117" s="30" t="n">
        <v>45444</v>
      </c>
      <c r="B1117" s="31" t="s">
        <v>153</v>
      </c>
      <c r="C1117" s="32"/>
      <c r="D1117" s="32"/>
      <c r="E1117" s="19" t="n">
        <f aca="false">+F1117*0.03</f>
        <v>0</v>
      </c>
      <c r="F1117" s="33" t="n">
        <v>0</v>
      </c>
      <c r="G1117" s="62"/>
      <c r="H1117" s="35" t="n">
        <v>0</v>
      </c>
      <c r="I1117" s="34" t="n">
        <f aca="false">+IF(E1117=0,0,E1117*0.03)</f>
        <v>0</v>
      </c>
    </row>
    <row r="1118" customFormat="false" ht="15.75" hidden="false" customHeight="true" outlineLevel="0" collapsed="false">
      <c r="A1118" s="30" t="n">
        <v>45444</v>
      </c>
      <c r="B1118" s="31" t="s">
        <v>153</v>
      </c>
      <c r="C1118" s="32"/>
      <c r="D1118" s="32"/>
      <c r="E1118" s="19" t="n">
        <f aca="false">+F1118*0.03</f>
        <v>0</v>
      </c>
      <c r="F1118" s="33" t="n">
        <v>0</v>
      </c>
      <c r="G1118" s="62"/>
      <c r="H1118" s="35" t="n">
        <v>0</v>
      </c>
      <c r="I1118" s="34" t="n">
        <f aca="false">+IF(E1118=0,0,E1118*0.03)</f>
        <v>0</v>
      </c>
    </row>
    <row r="1119" customFormat="false" ht="15.75" hidden="false" customHeight="true" outlineLevel="0" collapsed="false">
      <c r="A1119" s="30" t="n">
        <v>45444</v>
      </c>
      <c r="B1119" s="31" t="s">
        <v>153</v>
      </c>
      <c r="C1119" s="32"/>
      <c r="D1119" s="32"/>
      <c r="E1119" s="19" t="n">
        <f aca="false">+F1119*0.03</f>
        <v>0</v>
      </c>
      <c r="F1119" s="33" t="n">
        <v>0</v>
      </c>
      <c r="G1119" s="62"/>
      <c r="H1119" s="35" t="n">
        <v>0</v>
      </c>
      <c r="I1119" s="34" t="n">
        <f aca="false">+IF(E1119=0,0,E1119*0.03)</f>
        <v>0</v>
      </c>
    </row>
    <row r="1120" customFormat="false" ht="15.75" hidden="false" customHeight="true" outlineLevel="0" collapsed="false">
      <c r="A1120" s="30" t="n">
        <v>45444</v>
      </c>
      <c r="B1120" s="31" t="s">
        <v>153</v>
      </c>
      <c r="C1120" s="32"/>
      <c r="D1120" s="32"/>
      <c r="E1120" s="19" t="n">
        <f aca="false">+F1120*0.03</f>
        <v>0</v>
      </c>
      <c r="F1120" s="33" t="n">
        <v>0</v>
      </c>
      <c r="G1120" s="62"/>
      <c r="H1120" s="35" t="n">
        <v>0</v>
      </c>
      <c r="I1120" s="34" t="n">
        <f aca="false">+IF(E1120=0,0,E1120*0.03)</f>
        <v>0</v>
      </c>
    </row>
    <row r="1121" customFormat="false" ht="15.75" hidden="false" customHeight="true" outlineLevel="0" collapsed="false">
      <c r="A1121" s="30" t="n">
        <v>45444</v>
      </c>
      <c r="B1121" s="31" t="s">
        <v>153</v>
      </c>
      <c r="C1121" s="32"/>
      <c r="D1121" s="32"/>
      <c r="E1121" s="19" t="n">
        <f aca="false">+F1121*0.03</f>
        <v>0</v>
      </c>
      <c r="F1121" s="33" t="n">
        <v>0</v>
      </c>
      <c r="G1121" s="62"/>
      <c r="H1121" s="35" t="n">
        <v>0</v>
      </c>
      <c r="I1121" s="34" t="n">
        <f aca="false">+IF(E1121=0,0,E1121*0.03)</f>
        <v>0</v>
      </c>
    </row>
    <row r="1122" customFormat="false" ht="15.75" hidden="false" customHeight="true" outlineLevel="0" collapsed="false">
      <c r="A1122" s="30" t="n">
        <v>45444</v>
      </c>
      <c r="B1122" s="31" t="s">
        <v>153</v>
      </c>
      <c r="C1122" s="32"/>
      <c r="D1122" s="32"/>
      <c r="E1122" s="19" t="n">
        <f aca="false">+F1122*0.03</f>
        <v>0</v>
      </c>
      <c r="F1122" s="33" t="n">
        <v>0</v>
      </c>
      <c r="G1122" s="62"/>
      <c r="H1122" s="35" t="n">
        <v>0</v>
      </c>
      <c r="I1122" s="34" t="n">
        <f aca="false">+IF(E1122=0,0,E1122*0.03)</f>
        <v>0</v>
      </c>
    </row>
    <row r="1123" customFormat="false" ht="15.75" hidden="false" customHeight="true" outlineLevel="0" collapsed="false">
      <c r="A1123" s="30" t="n">
        <v>45444</v>
      </c>
      <c r="B1123" s="31" t="s">
        <v>153</v>
      </c>
      <c r="C1123" s="32"/>
      <c r="D1123" s="32"/>
      <c r="E1123" s="19" t="n">
        <f aca="false">+F1123*0.03</f>
        <v>0</v>
      </c>
      <c r="F1123" s="33" t="n">
        <v>0</v>
      </c>
      <c r="G1123" s="62"/>
      <c r="H1123" s="35" t="n">
        <v>0</v>
      </c>
      <c r="I1123" s="34" t="n">
        <f aca="false">+IF(E1123=0,0,E1123*0.03)</f>
        <v>0</v>
      </c>
    </row>
    <row r="1124" customFormat="false" ht="15.75" hidden="false" customHeight="true" outlineLevel="0" collapsed="false">
      <c r="A1124" s="30" t="n">
        <v>45444</v>
      </c>
      <c r="B1124" s="31" t="s">
        <v>153</v>
      </c>
      <c r="C1124" s="32"/>
      <c r="D1124" s="32"/>
      <c r="E1124" s="19" t="n">
        <f aca="false">+F1124*0.03</f>
        <v>0</v>
      </c>
      <c r="F1124" s="33" t="n">
        <v>0</v>
      </c>
      <c r="G1124" s="62"/>
      <c r="H1124" s="35" t="n">
        <v>0</v>
      </c>
      <c r="I1124" s="34" t="n">
        <f aca="false">+IF(E1124=0,0,E1124*0.03)</f>
        <v>0</v>
      </c>
    </row>
    <row r="1125" customFormat="false" ht="15.75" hidden="false" customHeight="true" outlineLevel="0" collapsed="false">
      <c r="A1125" s="30" t="n">
        <v>45444</v>
      </c>
      <c r="B1125" s="31" t="s">
        <v>153</v>
      </c>
      <c r="C1125" s="32"/>
      <c r="D1125" s="32"/>
      <c r="E1125" s="19" t="n">
        <f aca="false">+F1125*0.03</f>
        <v>0</v>
      </c>
      <c r="F1125" s="33" t="n">
        <v>0</v>
      </c>
      <c r="G1125" s="62"/>
      <c r="H1125" s="35" t="n">
        <v>0</v>
      </c>
      <c r="I1125" s="34" t="n">
        <f aca="false">+IF(E1125=0,0,E1125*0.03)</f>
        <v>0</v>
      </c>
    </row>
    <row r="1126" customFormat="false" ht="15.75" hidden="false" customHeight="true" outlineLevel="0" collapsed="false">
      <c r="A1126" s="30" t="n">
        <v>45444</v>
      </c>
      <c r="B1126" s="31" t="s">
        <v>153</v>
      </c>
      <c r="C1126" s="32"/>
      <c r="D1126" s="32"/>
      <c r="E1126" s="19" t="n">
        <f aca="false">+F1126*0.03</f>
        <v>0</v>
      </c>
      <c r="F1126" s="33" t="n">
        <v>0</v>
      </c>
      <c r="G1126" s="62"/>
      <c r="H1126" s="35" t="n">
        <v>0</v>
      </c>
      <c r="I1126" s="34" t="n">
        <f aca="false">+IF(E1126=0,0,E1126*0.03)</f>
        <v>0</v>
      </c>
    </row>
    <row r="1127" customFormat="false" ht="15.75" hidden="false" customHeight="true" outlineLevel="0" collapsed="false">
      <c r="A1127" s="30" t="n">
        <v>45444</v>
      </c>
      <c r="B1127" s="31" t="s">
        <v>153</v>
      </c>
      <c r="C1127" s="32"/>
      <c r="D1127" s="32"/>
      <c r="E1127" s="19" t="n">
        <f aca="false">+F1127*0.03</f>
        <v>0</v>
      </c>
      <c r="F1127" s="33" t="n">
        <v>0</v>
      </c>
      <c r="G1127" s="62"/>
      <c r="H1127" s="35" t="n">
        <v>0</v>
      </c>
      <c r="I1127" s="34" t="n">
        <f aca="false">+IF(E1127=0,0,E1127*0.03)</f>
        <v>0</v>
      </c>
    </row>
    <row r="1128" customFormat="false" ht="15.75" hidden="false" customHeight="true" outlineLevel="0" collapsed="false">
      <c r="A1128" s="30" t="n">
        <v>45444</v>
      </c>
      <c r="B1128" s="31" t="s">
        <v>153</v>
      </c>
      <c r="C1128" s="32"/>
      <c r="D1128" s="32"/>
      <c r="E1128" s="19" t="n">
        <f aca="false">+F1128*0.03</f>
        <v>0</v>
      </c>
      <c r="F1128" s="33" t="n">
        <v>0</v>
      </c>
      <c r="G1128" s="62"/>
      <c r="H1128" s="35" t="n">
        <v>0</v>
      </c>
      <c r="I1128" s="34" t="n">
        <f aca="false">+IF(E1128=0,0,E1128*0.03)</f>
        <v>0</v>
      </c>
    </row>
    <row r="1129" customFormat="false" ht="15.75" hidden="false" customHeight="true" outlineLevel="0" collapsed="false">
      <c r="A1129" s="30" t="n">
        <v>45444</v>
      </c>
      <c r="B1129" s="31" t="s">
        <v>153</v>
      </c>
      <c r="C1129" s="32"/>
      <c r="D1129" s="32"/>
      <c r="E1129" s="19" t="n">
        <f aca="false">+F1129*0.03</f>
        <v>0</v>
      </c>
      <c r="F1129" s="33" t="n">
        <v>0</v>
      </c>
      <c r="G1129" s="62"/>
      <c r="H1129" s="35" t="n">
        <v>0</v>
      </c>
      <c r="I1129" s="34" t="n">
        <f aca="false">+IF(E1129=0,0,E1129*0.03)</f>
        <v>0</v>
      </c>
    </row>
    <row r="1130" customFormat="false" ht="15.75" hidden="false" customHeight="true" outlineLevel="0" collapsed="false">
      <c r="A1130" s="30" t="n">
        <v>45444</v>
      </c>
      <c r="B1130" s="31" t="s">
        <v>153</v>
      </c>
      <c r="C1130" s="32"/>
      <c r="D1130" s="32"/>
      <c r="E1130" s="19" t="n">
        <f aca="false">+F1130*0.03</f>
        <v>0</v>
      </c>
      <c r="F1130" s="33" t="n">
        <v>0</v>
      </c>
      <c r="G1130" s="62"/>
      <c r="H1130" s="35" t="n">
        <v>0</v>
      </c>
      <c r="I1130" s="34" t="n">
        <f aca="false">+IF(E1130=0,0,E1130*0.03)</f>
        <v>0</v>
      </c>
    </row>
    <row r="1131" customFormat="false" ht="15.75" hidden="false" customHeight="true" outlineLevel="0" collapsed="false">
      <c r="A1131" s="30" t="n">
        <v>45444</v>
      </c>
      <c r="B1131" s="31" t="s">
        <v>153</v>
      </c>
      <c r="C1131" s="32"/>
      <c r="D1131" s="32"/>
      <c r="E1131" s="19" t="n">
        <f aca="false">+F1131*0.03</f>
        <v>0</v>
      </c>
      <c r="F1131" s="33" t="n">
        <v>0</v>
      </c>
      <c r="G1131" s="62"/>
      <c r="H1131" s="35" t="n">
        <v>0</v>
      </c>
      <c r="I1131" s="34" t="n">
        <f aca="false">+IF(E1131=0,0,E1131*0.03)</f>
        <v>0</v>
      </c>
    </row>
    <row r="1132" customFormat="false" ht="15.75" hidden="false" customHeight="true" outlineLevel="0" collapsed="false">
      <c r="A1132" s="30" t="n">
        <v>45444</v>
      </c>
      <c r="B1132" s="31" t="s">
        <v>153</v>
      </c>
      <c r="C1132" s="32"/>
      <c r="D1132" s="32"/>
      <c r="E1132" s="19" t="n">
        <f aca="false">+F1132*0.03</f>
        <v>0</v>
      </c>
      <c r="F1132" s="33" t="n">
        <v>0</v>
      </c>
      <c r="G1132" s="62"/>
      <c r="H1132" s="35" t="n">
        <v>0</v>
      </c>
      <c r="I1132" s="34" t="n">
        <f aca="false">+IF(E1132=0,0,E1132*0.03)</f>
        <v>0</v>
      </c>
    </row>
    <row r="1133" customFormat="false" ht="15.75" hidden="false" customHeight="true" outlineLevel="0" collapsed="false">
      <c r="A1133" s="30" t="n">
        <v>45444</v>
      </c>
      <c r="B1133" s="31" t="s">
        <v>153</v>
      </c>
      <c r="C1133" s="32"/>
      <c r="D1133" s="32"/>
      <c r="E1133" s="19" t="n">
        <f aca="false">+F1133*0.03</f>
        <v>0</v>
      </c>
      <c r="F1133" s="33" t="n">
        <v>0</v>
      </c>
      <c r="G1133" s="62"/>
      <c r="H1133" s="35" t="n">
        <v>0</v>
      </c>
      <c r="I1133" s="34" t="n">
        <f aca="false">+IF(E1133=0,0,E1133*0.03)</f>
        <v>0</v>
      </c>
    </row>
    <row r="1134" customFormat="false" ht="15.75" hidden="false" customHeight="true" outlineLevel="0" collapsed="false">
      <c r="A1134" s="30" t="n">
        <v>45444</v>
      </c>
      <c r="B1134" s="31" t="s">
        <v>153</v>
      </c>
      <c r="C1134" s="32"/>
      <c r="D1134" s="32"/>
      <c r="E1134" s="19" t="n">
        <f aca="false">+F1134*0.03</f>
        <v>0</v>
      </c>
      <c r="F1134" s="33" t="n">
        <v>0</v>
      </c>
      <c r="G1134" s="62"/>
      <c r="H1134" s="35" t="n">
        <v>0</v>
      </c>
      <c r="I1134" s="34" t="n">
        <f aca="false">+IF(E1134=0,0,E1134*0.03)</f>
        <v>0</v>
      </c>
    </row>
    <row r="1135" customFormat="false" ht="15.75" hidden="false" customHeight="true" outlineLevel="0" collapsed="false">
      <c r="A1135" s="30" t="n">
        <v>45444</v>
      </c>
      <c r="B1135" s="31" t="s">
        <v>153</v>
      </c>
      <c r="C1135" s="32"/>
      <c r="D1135" s="32"/>
      <c r="E1135" s="19" t="n">
        <f aca="false">+F1135*0.03</f>
        <v>0</v>
      </c>
      <c r="F1135" s="33" t="n">
        <v>0</v>
      </c>
      <c r="G1135" s="62"/>
      <c r="H1135" s="35" t="n">
        <v>0</v>
      </c>
      <c r="I1135" s="34" t="n">
        <f aca="false">+IF(E1135=0,0,E1135*0.03)</f>
        <v>0</v>
      </c>
    </row>
    <row r="1136" customFormat="false" ht="15.75" hidden="false" customHeight="true" outlineLevel="0" collapsed="false">
      <c r="A1136" s="30" t="n">
        <v>45444</v>
      </c>
      <c r="B1136" s="31" t="s">
        <v>153</v>
      </c>
      <c r="C1136" s="32"/>
      <c r="D1136" s="32"/>
      <c r="E1136" s="19" t="n">
        <f aca="false">+F1136*0.03</f>
        <v>0</v>
      </c>
      <c r="F1136" s="33" t="n">
        <v>0</v>
      </c>
      <c r="G1136" s="62"/>
      <c r="H1136" s="35" t="n">
        <v>0</v>
      </c>
      <c r="I1136" s="34" t="n">
        <f aca="false">+IF(E1136=0,0,E1136*0.03)</f>
        <v>0</v>
      </c>
    </row>
    <row r="1137" customFormat="false" ht="15.75" hidden="false" customHeight="true" outlineLevel="0" collapsed="false">
      <c r="A1137" s="30" t="n">
        <v>45444</v>
      </c>
      <c r="B1137" s="31" t="s">
        <v>153</v>
      </c>
      <c r="C1137" s="32"/>
      <c r="D1137" s="32"/>
      <c r="E1137" s="19" t="n">
        <f aca="false">+F1137*0.03</f>
        <v>0</v>
      </c>
      <c r="F1137" s="33" t="n">
        <v>0</v>
      </c>
      <c r="G1137" s="62"/>
      <c r="H1137" s="35" t="n">
        <v>0</v>
      </c>
      <c r="I1137" s="34" t="n">
        <f aca="false">+IF(E1137=0,0,E1137*0.03)</f>
        <v>0</v>
      </c>
    </row>
    <row r="1138" customFormat="false" ht="15.75" hidden="false" customHeight="true" outlineLevel="0" collapsed="false">
      <c r="A1138" s="30" t="n">
        <v>45444</v>
      </c>
      <c r="B1138" s="31" t="s">
        <v>153</v>
      </c>
      <c r="C1138" s="32"/>
      <c r="D1138" s="32"/>
      <c r="E1138" s="19" t="n">
        <f aca="false">+F1138*0.03</f>
        <v>0</v>
      </c>
      <c r="F1138" s="33" t="n">
        <v>0</v>
      </c>
      <c r="G1138" s="62"/>
      <c r="H1138" s="35" t="n">
        <v>0</v>
      </c>
      <c r="I1138" s="34" t="n">
        <f aca="false">+IF(E1138=0,0,E1138*0.03)</f>
        <v>0</v>
      </c>
    </row>
    <row r="1139" customFormat="false" ht="15.75" hidden="false" customHeight="true" outlineLevel="0" collapsed="false">
      <c r="A1139" s="30" t="n">
        <v>45444</v>
      </c>
      <c r="B1139" s="31" t="s">
        <v>153</v>
      </c>
      <c r="C1139" s="32"/>
      <c r="D1139" s="32"/>
      <c r="E1139" s="19" t="n">
        <f aca="false">+F1139*0.03</f>
        <v>0</v>
      </c>
      <c r="F1139" s="33" t="n">
        <v>0</v>
      </c>
      <c r="G1139" s="62"/>
      <c r="H1139" s="35" t="n">
        <v>0</v>
      </c>
      <c r="I1139" s="34" t="n">
        <f aca="false">+IF(E1139=0,0,E1139*0.03)</f>
        <v>0</v>
      </c>
    </row>
    <row r="1140" customFormat="false" ht="15.75" hidden="false" customHeight="true" outlineLevel="0" collapsed="false">
      <c r="A1140" s="30" t="n">
        <v>45444</v>
      </c>
      <c r="B1140" s="31" t="s">
        <v>153</v>
      </c>
      <c r="C1140" s="32"/>
      <c r="D1140" s="32"/>
      <c r="E1140" s="19" t="n">
        <f aca="false">+F1140*0.03</f>
        <v>0</v>
      </c>
      <c r="F1140" s="33" t="n">
        <v>0</v>
      </c>
      <c r="G1140" s="62"/>
      <c r="H1140" s="35" t="n">
        <v>0</v>
      </c>
      <c r="I1140" s="34" t="n">
        <f aca="false">+IF(E1140=0,0,E1140*0.03)</f>
        <v>0</v>
      </c>
    </row>
    <row r="1141" customFormat="false" ht="15.75" hidden="false" customHeight="true" outlineLevel="0" collapsed="false">
      <c r="A1141" s="30" t="n">
        <v>45444</v>
      </c>
      <c r="B1141" s="31" t="s">
        <v>153</v>
      </c>
      <c r="C1141" s="32"/>
      <c r="D1141" s="32"/>
      <c r="E1141" s="19" t="n">
        <f aca="false">+F1141*0.03</f>
        <v>0</v>
      </c>
      <c r="F1141" s="33" t="n">
        <v>0</v>
      </c>
      <c r="G1141" s="62"/>
      <c r="H1141" s="35" t="n">
        <v>0</v>
      </c>
      <c r="I1141" s="34" t="n">
        <f aca="false">+IF(E1141=0,0,E1141*0.03)</f>
        <v>0</v>
      </c>
    </row>
    <row r="1142" customFormat="false" ht="15.75" hidden="false" customHeight="true" outlineLevel="0" collapsed="false">
      <c r="A1142" s="30" t="n">
        <v>45444</v>
      </c>
      <c r="B1142" s="31" t="s">
        <v>153</v>
      </c>
      <c r="C1142" s="32"/>
      <c r="D1142" s="32"/>
      <c r="E1142" s="19" t="n">
        <f aca="false">+F1142*0.03</f>
        <v>0</v>
      </c>
      <c r="F1142" s="33" t="n">
        <v>0</v>
      </c>
      <c r="G1142" s="62"/>
      <c r="H1142" s="35" t="n">
        <v>0</v>
      </c>
      <c r="I1142" s="34" t="n">
        <f aca="false">+IF(E1142=0,0,E1142*0.03)</f>
        <v>0</v>
      </c>
    </row>
    <row r="1143" customFormat="false" ht="15.75" hidden="false" customHeight="true" outlineLevel="0" collapsed="false">
      <c r="A1143" s="30" t="n">
        <v>45444</v>
      </c>
      <c r="B1143" s="31" t="s">
        <v>153</v>
      </c>
      <c r="C1143" s="32"/>
      <c r="D1143" s="32"/>
      <c r="E1143" s="19" t="n">
        <f aca="false">+F1143*0.03</f>
        <v>0</v>
      </c>
      <c r="F1143" s="33" t="n">
        <v>0</v>
      </c>
      <c r="G1143" s="62"/>
      <c r="H1143" s="35" t="n">
        <v>0</v>
      </c>
      <c r="I1143" s="34" t="n">
        <f aca="false">+IF(E1143=0,0,E1143*0.03)</f>
        <v>0</v>
      </c>
    </row>
    <row r="1144" customFormat="false" ht="15.75" hidden="false" customHeight="true" outlineLevel="0" collapsed="false">
      <c r="A1144" s="30" t="n">
        <v>45444</v>
      </c>
      <c r="B1144" s="31" t="s">
        <v>153</v>
      </c>
      <c r="C1144" s="32"/>
      <c r="D1144" s="32"/>
      <c r="E1144" s="19" t="n">
        <f aca="false">+F1144*0.03</f>
        <v>0</v>
      </c>
      <c r="F1144" s="33" t="n">
        <v>0</v>
      </c>
      <c r="G1144" s="62"/>
      <c r="H1144" s="35" t="n">
        <v>0</v>
      </c>
      <c r="I1144" s="34" t="n">
        <f aca="false">+IF(E1144=0,0,E1144*0.03)</f>
        <v>0</v>
      </c>
    </row>
    <row r="1145" customFormat="false" ht="15.75" hidden="false" customHeight="true" outlineLevel="0" collapsed="false">
      <c r="A1145" s="30" t="n">
        <v>45444</v>
      </c>
      <c r="B1145" s="31" t="s">
        <v>153</v>
      </c>
      <c r="C1145" s="32"/>
      <c r="D1145" s="32"/>
      <c r="E1145" s="19" t="n">
        <f aca="false">+F1145*0.03</f>
        <v>0</v>
      </c>
      <c r="F1145" s="33" t="n">
        <v>0</v>
      </c>
      <c r="G1145" s="62"/>
      <c r="H1145" s="35" t="n">
        <v>0</v>
      </c>
      <c r="I1145" s="34" t="n">
        <f aca="false">+IF(E1145=0,0,E1145*0.03)</f>
        <v>0</v>
      </c>
    </row>
    <row r="1146" customFormat="false" ht="15.75" hidden="false" customHeight="true" outlineLevel="0" collapsed="false">
      <c r="A1146" s="30" t="n">
        <v>45444</v>
      </c>
      <c r="B1146" s="31" t="s">
        <v>153</v>
      </c>
      <c r="C1146" s="32"/>
      <c r="D1146" s="32"/>
      <c r="E1146" s="19" t="n">
        <f aca="false">+F1146*0.03</f>
        <v>0</v>
      </c>
      <c r="F1146" s="33" t="n">
        <v>0</v>
      </c>
      <c r="G1146" s="62"/>
      <c r="H1146" s="35" t="n">
        <v>0</v>
      </c>
      <c r="I1146" s="34" t="n">
        <f aca="false">+IF(E1146=0,0,E1146*0.03)</f>
        <v>0</v>
      </c>
    </row>
    <row r="1147" customFormat="false" ht="15.75" hidden="false" customHeight="true" outlineLevel="0" collapsed="false">
      <c r="A1147" s="30" t="n">
        <v>45444</v>
      </c>
      <c r="B1147" s="31" t="s">
        <v>153</v>
      </c>
      <c r="C1147" s="32"/>
      <c r="D1147" s="32"/>
      <c r="E1147" s="19" t="n">
        <f aca="false">+F1147*0.03</f>
        <v>0</v>
      </c>
      <c r="F1147" s="33" t="n">
        <v>0</v>
      </c>
      <c r="G1147" s="62"/>
      <c r="H1147" s="35" t="n">
        <v>0</v>
      </c>
      <c r="I1147" s="34" t="n">
        <f aca="false">+IF(E1147=0,0,E1147*0.03)</f>
        <v>0</v>
      </c>
    </row>
    <row r="1148" customFormat="false" ht="15.75" hidden="false" customHeight="true" outlineLevel="0" collapsed="false">
      <c r="A1148" s="30" t="n">
        <v>45444</v>
      </c>
      <c r="B1148" s="31" t="s">
        <v>153</v>
      </c>
      <c r="C1148" s="32"/>
      <c r="D1148" s="32"/>
      <c r="E1148" s="19" t="n">
        <f aca="false">+F1148*0.03</f>
        <v>0</v>
      </c>
      <c r="F1148" s="33" t="n">
        <v>0</v>
      </c>
      <c r="G1148" s="62"/>
      <c r="H1148" s="35" t="n">
        <v>0</v>
      </c>
      <c r="I1148" s="34" t="n">
        <f aca="false">+IF(E1148=0,0,E1148*0.03)</f>
        <v>0</v>
      </c>
    </row>
    <row r="1149" customFormat="false" ht="15.75" hidden="false" customHeight="true" outlineLevel="0" collapsed="false">
      <c r="A1149" s="30" t="n">
        <v>45444</v>
      </c>
      <c r="B1149" s="31" t="s">
        <v>153</v>
      </c>
      <c r="C1149" s="32"/>
      <c r="D1149" s="32"/>
      <c r="E1149" s="19" t="n">
        <f aca="false">+F1149*0.03</f>
        <v>0</v>
      </c>
      <c r="F1149" s="33" t="n">
        <v>0</v>
      </c>
      <c r="G1149" s="62"/>
      <c r="H1149" s="35" t="n">
        <v>0</v>
      </c>
      <c r="I1149" s="34" t="n">
        <f aca="false">+IF(E1149=0,0,E1149*0.03)</f>
        <v>0</v>
      </c>
    </row>
    <row r="1150" customFormat="false" ht="15.75" hidden="false" customHeight="true" outlineLevel="0" collapsed="false">
      <c r="A1150" s="30" t="n">
        <v>45444</v>
      </c>
      <c r="B1150" s="31" t="s">
        <v>153</v>
      </c>
      <c r="C1150" s="32"/>
      <c r="D1150" s="32"/>
      <c r="E1150" s="19" t="n">
        <f aca="false">+F1150*0.03</f>
        <v>0</v>
      </c>
      <c r="F1150" s="33" t="n">
        <v>0</v>
      </c>
      <c r="G1150" s="62"/>
      <c r="H1150" s="35" t="n">
        <v>0</v>
      </c>
      <c r="I1150" s="34" t="n">
        <f aca="false">+IF(E1150=0,0,E1150*0.03)</f>
        <v>0</v>
      </c>
    </row>
    <row r="1151" customFormat="false" ht="15.75" hidden="false" customHeight="true" outlineLevel="0" collapsed="false">
      <c r="A1151" s="30" t="n">
        <v>45444</v>
      </c>
      <c r="B1151" s="31" t="s">
        <v>153</v>
      </c>
      <c r="C1151" s="32"/>
      <c r="D1151" s="32"/>
      <c r="E1151" s="19" t="n">
        <f aca="false">+F1151*0.03</f>
        <v>0</v>
      </c>
      <c r="F1151" s="33" t="n">
        <v>0</v>
      </c>
      <c r="G1151" s="62"/>
      <c r="H1151" s="35" t="n">
        <v>0</v>
      </c>
      <c r="I1151" s="34" t="n">
        <f aca="false">+IF(E1151=0,0,E1151*0.03)</f>
        <v>0</v>
      </c>
    </row>
    <row r="1152" customFormat="false" ht="15.75" hidden="false" customHeight="true" outlineLevel="0" collapsed="false">
      <c r="A1152" s="30" t="n">
        <v>45444</v>
      </c>
      <c r="B1152" s="31" t="s">
        <v>153</v>
      </c>
      <c r="C1152" s="32"/>
      <c r="D1152" s="32"/>
      <c r="E1152" s="19" t="n">
        <f aca="false">+F1152*0.03</f>
        <v>0</v>
      </c>
      <c r="F1152" s="33" t="n">
        <v>0</v>
      </c>
      <c r="G1152" s="62"/>
      <c r="H1152" s="35" t="n">
        <v>0</v>
      </c>
      <c r="I1152" s="34" t="n">
        <f aca="false">+IF(E1152=0,0,E1152*0.03)</f>
        <v>0</v>
      </c>
    </row>
    <row r="1153" customFormat="false" ht="15.75" hidden="false" customHeight="true" outlineLevel="0" collapsed="false">
      <c r="A1153" s="30" t="n">
        <v>45444</v>
      </c>
      <c r="B1153" s="31" t="s">
        <v>153</v>
      </c>
      <c r="C1153" s="32"/>
      <c r="D1153" s="32"/>
      <c r="E1153" s="19" t="n">
        <f aca="false">+F1153*0.03</f>
        <v>0</v>
      </c>
      <c r="F1153" s="33" t="n">
        <v>0</v>
      </c>
      <c r="G1153" s="62"/>
      <c r="H1153" s="35" t="n">
        <v>0</v>
      </c>
      <c r="I1153" s="34" t="n">
        <f aca="false">+IF(E1153=0,0,E1153*0.03)</f>
        <v>0</v>
      </c>
    </row>
    <row r="1154" customFormat="false" ht="15.75" hidden="false" customHeight="true" outlineLevel="0" collapsed="false">
      <c r="A1154" s="30" t="n">
        <v>45444</v>
      </c>
      <c r="B1154" s="31" t="s">
        <v>153</v>
      </c>
      <c r="C1154" s="32"/>
      <c r="D1154" s="32"/>
      <c r="E1154" s="19" t="n">
        <f aca="false">+F1154*0.03</f>
        <v>0</v>
      </c>
      <c r="F1154" s="33" t="n">
        <v>0</v>
      </c>
      <c r="G1154" s="62"/>
      <c r="H1154" s="35" t="n">
        <v>0</v>
      </c>
      <c r="I1154" s="34" t="n">
        <f aca="false">+IF(E1154=0,0,E1154*0.03)</f>
        <v>0</v>
      </c>
    </row>
    <row r="1155" customFormat="false" ht="15.75" hidden="false" customHeight="true" outlineLevel="0" collapsed="false">
      <c r="A1155" s="30" t="n">
        <v>45444</v>
      </c>
      <c r="B1155" s="31" t="s">
        <v>153</v>
      </c>
      <c r="C1155" s="32"/>
      <c r="D1155" s="32"/>
      <c r="E1155" s="19" t="n">
        <f aca="false">+F1155*0.03</f>
        <v>0</v>
      </c>
      <c r="F1155" s="33" t="n">
        <v>0</v>
      </c>
      <c r="G1155" s="62"/>
      <c r="H1155" s="35" t="n">
        <v>0</v>
      </c>
      <c r="I1155" s="34" t="n">
        <f aca="false">+IF(E1155=0,0,E1155*0.03)</f>
        <v>0</v>
      </c>
    </row>
    <row r="1156" customFormat="false" ht="15.75" hidden="false" customHeight="true" outlineLevel="0" collapsed="false">
      <c r="A1156" s="30" t="n">
        <v>45444</v>
      </c>
      <c r="B1156" s="31" t="s">
        <v>153</v>
      </c>
      <c r="C1156" s="32"/>
      <c r="D1156" s="32"/>
      <c r="E1156" s="19" t="n">
        <f aca="false">+F1156*0.03</f>
        <v>0</v>
      </c>
      <c r="F1156" s="33" t="n">
        <v>0</v>
      </c>
      <c r="G1156" s="62"/>
      <c r="H1156" s="35" t="n">
        <v>0</v>
      </c>
      <c r="I1156" s="34" t="n">
        <f aca="false">+IF(E1156=0,0,E1156*0.03)</f>
        <v>0</v>
      </c>
    </row>
    <row r="1157" customFormat="false" ht="15.75" hidden="false" customHeight="true" outlineLevel="0" collapsed="false">
      <c r="A1157" s="30" t="n">
        <v>45444</v>
      </c>
      <c r="B1157" s="31" t="s">
        <v>153</v>
      </c>
      <c r="C1157" s="32"/>
      <c r="D1157" s="32"/>
      <c r="E1157" s="19" t="n">
        <f aca="false">+F1157*0.03</f>
        <v>0</v>
      </c>
      <c r="F1157" s="33" t="n">
        <v>0</v>
      </c>
      <c r="G1157" s="62"/>
      <c r="H1157" s="35" t="n">
        <v>0</v>
      </c>
      <c r="I1157" s="34" t="n">
        <f aca="false">+IF(E1157=0,0,E1157*0.03)</f>
        <v>0</v>
      </c>
    </row>
    <row r="1158" customFormat="false" ht="15.75" hidden="false" customHeight="true" outlineLevel="0" collapsed="false">
      <c r="A1158" s="30" t="n">
        <v>45444</v>
      </c>
      <c r="B1158" s="31" t="s">
        <v>153</v>
      </c>
      <c r="C1158" s="32"/>
      <c r="D1158" s="32"/>
      <c r="E1158" s="19" t="n">
        <f aca="false">+F1158*0.03</f>
        <v>0</v>
      </c>
      <c r="F1158" s="33" t="n">
        <v>0</v>
      </c>
      <c r="G1158" s="62"/>
      <c r="H1158" s="35" t="n">
        <v>0</v>
      </c>
      <c r="I1158" s="34" t="n">
        <f aca="false">+IF(E1158=0,0,E1158*0.03)</f>
        <v>0</v>
      </c>
    </row>
    <row r="1159" customFormat="false" ht="15.75" hidden="false" customHeight="true" outlineLevel="0" collapsed="false">
      <c r="A1159" s="30" t="n">
        <v>45444</v>
      </c>
      <c r="B1159" s="31" t="s">
        <v>153</v>
      </c>
      <c r="C1159" s="32"/>
      <c r="D1159" s="32"/>
      <c r="E1159" s="19" t="n">
        <f aca="false">+F1159*0.03</f>
        <v>0</v>
      </c>
      <c r="F1159" s="33" t="n">
        <v>0</v>
      </c>
      <c r="G1159" s="62"/>
      <c r="H1159" s="35" t="n">
        <v>0</v>
      </c>
      <c r="I1159" s="34" t="n">
        <f aca="false">+IF(E1159=0,0,E1159*0.03)</f>
        <v>0</v>
      </c>
    </row>
    <row r="1160" customFormat="false" ht="15.75" hidden="false" customHeight="true" outlineLevel="0" collapsed="false">
      <c r="A1160" s="30" t="n">
        <v>45444</v>
      </c>
      <c r="B1160" s="31" t="s">
        <v>153</v>
      </c>
      <c r="C1160" s="32"/>
      <c r="D1160" s="32"/>
      <c r="E1160" s="19" t="n">
        <f aca="false">+F1160*0.03</f>
        <v>0</v>
      </c>
      <c r="F1160" s="33" t="n">
        <v>0</v>
      </c>
      <c r="G1160" s="62"/>
      <c r="H1160" s="35" t="n">
        <v>0</v>
      </c>
      <c r="I1160" s="34" t="n">
        <f aca="false">+IF(E1160=0,0,E1160*0.03)</f>
        <v>0</v>
      </c>
    </row>
    <row r="1161" customFormat="false" ht="15.75" hidden="false" customHeight="true" outlineLevel="0" collapsed="false">
      <c r="A1161" s="30" t="n">
        <v>45444</v>
      </c>
      <c r="B1161" s="31" t="s">
        <v>153</v>
      </c>
      <c r="C1161" s="32"/>
      <c r="D1161" s="32"/>
      <c r="E1161" s="19" t="n">
        <f aca="false">+F1161*0.03</f>
        <v>0</v>
      </c>
      <c r="F1161" s="33" t="n">
        <v>0</v>
      </c>
      <c r="G1161" s="62"/>
      <c r="H1161" s="35" t="n">
        <v>0</v>
      </c>
      <c r="I1161" s="34" t="n">
        <f aca="false">+IF(E1161=0,0,E1161*0.03)</f>
        <v>0</v>
      </c>
    </row>
    <row r="1162" customFormat="false" ht="15.75" hidden="false" customHeight="true" outlineLevel="0" collapsed="false">
      <c r="A1162" s="30" t="n">
        <v>45444</v>
      </c>
      <c r="B1162" s="31" t="s">
        <v>153</v>
      </c>
      <c r="C1162" s="32"/>
      <c r="D1162" s="32"/>
      <c r="E1162" s="19" t="n">
        <f aca="false">+F1162*0.03</f>
        <v>0</v>
      </c>
      <c r="F1162" s="33" t="n">
        <v>0</v>
      </c>
      <c r="G1162" s="62"/>
      <c r="H1162" s="35" t="n">
        <v>0</v>
      </c>
      <c r="I1162" s="34" t="n">
        <f aca="false">+IF(E1162=0,0,E1162*0.03)</f>
        <v>0</v>
      </c>
    </row>
    <row r="1163" customFormat="false" ht="15.75" hidden="false" customHeight="true" outlineLevel="0" collapsed="false">
      <c r="A1163" s="30" t="n">
        <v>45444</v>
      </c>
      <c r="B1163" s="31" t="s">
        <v>153</v>
      </c>
      <c r="C1163" s="32"/>
      <c r="D1163" s="32"/>
      <c r="E1163" s="19" t="n">
        <f aca="false">+F1163*0.03</f>
        <v>0</v>
      </c>
      <c r="F1163" s="33" t="n">
        <v>0</v>
      </c>
      <c r="G1163" s="62"/>
      <c r="H1163" s="35" t="n">
        <v>0</v>
      </c>
      <c r="I1163" s="34" t="n">
        <f aca="false">+IF(E1163=0,0,E1163*0.03)</f>
        <v>0</v>
      </c>
    </row>
    <row r="1164" customFormat="false" ht="15.75" hidden="false" customHeight="true" outlineLevel="0" collapsed="false">
      <c r="A1164" s="30" t="n">
        <v>45444</v>
      </c>
      <c r="B1164" s="31" t="s">
        <v>153</v>
      </c>
      <c r="C1164" s="32"/>
      <c r="D1164" s="32"/>
      <c r="E1164" s="19" t="n">
        <f aca="false">+F1164*0.03</f>
        <v>0</v>
      </c>
      <c r="F1164" s="33" t="n">
        <v>0</v>
      </c>
      <c r="G1164" s="62"/>
      <c r="H1164" s="35" t="n">
        <v>0</v>
      </c>
      <c r="I1164" s="34" t="n">
        <f aca="false">+IF(E1164=0,0,E1164*0.03)</f>
        <v>0</v>
      </c>
    </row>
    <row r="1165" customFormat="false" ht="15.75" hidden="false" customHeight="true" outlineLevel="0" collapsed="false">
      <c r="A1165" s="30" t="n">
        <v>45444</v>
      </c>
      <c r="B1165" s="31" t="s">
        <v>153</v>
      </c>
      <c r="C1165" s="32"/>
      <c r="D1165" s="32"/>
      <c r="E1165" s="19" t="n">
        <f aca="false">+F1165*0.03</f>
        <v>0</v>
      </c>
      <c r="F1165" s="33" t="n">
        <v>0</v>
      </c>
      <c r="G1165" s="62"/>
      <c r="H1165" s="35" t="n">
        <v>0</v>
      </c>
      <c r="I1165" s="34" t="n">
        <f aca="false">+IF(E1165=0,0,E1165*0.03)</f>
        <v>0</v>
      </c>
    </row>
    <row r="1166" customFormat="false" ht="15.75" hidden="false" customHeight="true" outlineLevel="0" collapsed="false">
      <c r="A1166" s="30" t="n">
        <v>45444</v>
      </c>
      <c r="B1166" s="31" t="s">
        <v>153</v>
      </c>
      <c r="C1166" s="32"/>
      <c r="D1166" s="32"/>
      <c r="E1166" s="19" t="n">
        <f aca="false">+F1166*0.03</f>
        <v>0</v>
      </c>
      <c r="F1166" s="33" t="n">
        <v>0</v>
      </c>
      <c r="G1166" s="62"/>
      <c r="H1166" s="35" t="n">
        <v>0</v>
      </c>
      <c r="I1166" s="34" t="n">
        <f aca="false">+IF(E1166=0,0,E1166*0.03)</f>
        <v>0</v>
      </c>
    </row>
    <row r="1167" customFormat="false" ht="15.75" hidden="false" customHeight="true" outlineLevel="0" collapsed="false">
      <c r="A1167" s="30" t="n">
        <v>45444</v>
      </c>
      <c r="B1167" s="31" t="s">
        <v>153</v>
      </c>
      <c r="C1167" s="32"/>
      <c r="D1167" s="32"/>
      <c r="E1167" s="19" t="n">
        <f aca="false">+F1167*0.03</f>
        <v>0</v>
      </c>
      <c r="F1167" s="33" t="n">
        <v>0</v>
      </c>
      <c r="G1167" s="62"/>
      <c r="H1167" s="35" t="n">
        <v>0</v>
      </c>
      <c r="I1167" s="34" t="n">
        <f aca="false">+IF(E1167=0,0,E1167*0.03)</f>
        <v>0</v>
      </c>
    </row>
    <row r="1168" customFormat="false" ht="15.75" hidden="false" customHeight="true" outlineLevel="0" collapsed="false">
      <c r="A1168" s="30" t="n">
        <v>45444</v>
      </c>
      <c r="B1168" s="31" t="s">
        <v>153</v>
      </c>
      <c r="C1168" s="32"/>
      <c r="D1168" s="32"/>
      <c r="E1168" s="19" t="n">
        <f aca="false">+F1168*0.03</f>
        <v>0</v>
      </c>
      <c r="F1168" s="33" t="n">
        <v>0</v>
      </c>
      <c r="G1168" s="62"/>
      <c r="H1168" s="35" t="n">
        <v>0</v>
      </c>
      <c r="I1168" s="34" t="n">
        <f aca="false">+IF(E1168=0,0,E1168*0.03)</f>
        <v>0</v>
      </c>
    </row>
    <row r="1169" customFormat="false" ht="15.75" hidden="false" customHeight="true" outlineLevel="0" collapsed="false">
      <c r="A1169" s="30" t="n">
        <v>45444</v>
      </c>
      <c r="B1169" s="31" t="s">
        <v>153</v>
      </c>
      <c r="C1169" s="32"/>
      <c r="D1169" s="32"/>
      <c r="E1169" s="19" t="n">
        <f aca="false">+F1169*0.03</f>
        <v>0</v>
      </c>
      <c r="F1169" s="33" t="n">
        <v>0</v>
      </c>
      <c r="G1169" s="62"/>
      <c r="H1169" s="35" t="n">
        <v>0</v>
      </c>
      <c r="I1169" s="34" t="n">
        <f aca="false">+IF(E1169=0,0,E1169*0.03)</f>
        <v>0</v>
      </c>
    </row>
    <row r="1170" customFormat="false" ht="15.75" hidden="false" customHeight="true" outlineLevel="0" collapsed="false">
      <c r="A1170" s="30" t="n">
        <v>45444</v>
      </c>
      <c r="B1170" s="31" t="s">
        <v>153</v>
      </c>
      <c r="C1170" s="32"/>
      <c r="D1170" s="32"/>
      <c r="E1170" s="19" t="n">
        <f aca="false">+F1170*0.03</f>
        <v>0</v>
      </c>
      <c r="F1170" s="33" t="n">
        <v>0</v>
      </c>
      <c r="G1170" s="62"/>
      <c r="H1170" s="35" t="n">
        <v>0</v>
      </c>
      <c r="I1170" s="34" t="n">
        <f aca="false">+IF(E1170=0,0,E1170*0.03)</f>
        <v>0</v>
      </c>
    </row>
    <row r="1171" customFormat="false" ht="15.75" hidden="false" customHeight="true" outlineLevel="0" collapsed="false">
      <c r="A1171" s="30" t="n">
        <v>45444</v>
      </c>
      <c r="B1171" s="31" t="s">
        <v>153</v>
      </c>
      <c r="C1171" s="32"/>
      <c r="D1171" s="32"/>
      <c r="E1171" s="19" t="n">
        <f aca="false">+F1171*0.03</f>
        <v>0</v>
      </c>
      <c r="F1171" s="33" t="n">
        <v>0</v>
      </c>
      <c r="G1171" s="62"/>
      <c r="H1171" s="35" t="n">
        <v>0</v>
      </c>
      <c r="I1171" s="34" t="n">
        <f aca="false">+IF(E1171=0,0,E1171*0.03)</f>
        <v>0</v>
      </c>
    </row>
    <row r="1172" customFormat="false" ht="15.75" hidden="false" customHeight="true" outlineLevel="0" collapsed="false">
      <c r="A1172" s="30" t="n">
        <v>45444</v>
      </c>
      <c r="B1172" s="31" t="s">
        <v>153</v>
      </c>
      <c r="C1172" s="32"/>
      <c r="D1172" s="32"/>
      <c r="E1172" s="19" t="n">
        <f aca="false">+F1172*0.03</f>
        <v>0</v>
      </c>
      <c r="F1172" s="33" t="n">
        <v>0</v>
      </c>
      <c r="G1172" s="62"/>
      <c r="H1172" s="35" t="n">
        <v>0</v>
      </c>
      <c r="I1172" s="34" t="n">
        <f aca="false">+IF(E1172=0,0,E1172*0.03)</f>
        <v>0</v>
      </c>
    </row>
    <row r="1173" customFormat="false" ht="15.75" hidden="false" customHeight="true" outlineLevel="0" collapsed="false">
      <c r="A1173" s="30" t="n">
        <v>45444</v>
      </c>
      <c r="B1173" s="31" t="s">
        <v>153</v>
      </c>
      <c r="C1173" s="32"/>
      <c r="D1173" s="32"/>
      <c r="E1173" s="19" t="n">
        <f aca="false">+F1173*0.03</f>
        <v>0</v>
      </c>
      <c r="F1173" s="33" t="n">
        <v>0</v>
      </c>
      <c r="G1173" s="62"/>
      <c r="H1173" s="35" t="n">
        <v>0</v>
      </c>
      <c r="I1173" s="34" t="n">
        <f aca="false">+IF(E1173=0,0,E1173*0.03)</f>
        <v>0</v>
      </c>
    </row>
    <row r="1174" customFormat="false" ht="15.75" hidden="false" customHeight="true" outlineLevel="0" collapsed="false">
      <c r="A1174" s="30" t="n">
        <v>45444</v>
      </c>
      <c r="B1174" s="31" t="s">
        <v>153</v>
      </c>
      <c r="C1174" s="32"/>
      <c r="D1174" s="32"/>
      <c r="E1174" s="19" t="n">
        <f aca="false">+F1174*0.03</f>
        <v>0</v>
      </c>
      <c r="F1174" s="33" t="n">
        <v>0</v>
      </c>
      <c r="G1174" s="62"/>
      <c r="H1174" s="35" t="n">
        <v>0</v>
      </c>
      <c r="I1174" s="34" t="n">
        <f aca="false">+IF(E1174=0,0,E1174*0.03)</f>
        <v>0</v>
      </c>
    </row>
    <row r="1175" customFormat="false" ht="15.75" hidden="false" customHeight="true" outlineLevel="0" collapsed="false">
      <c r="A1175" s="30" t="n">
        <v>45444</v>
      </c>
      <c r="B1175" s="31" t="s">
        <v>153</v>
      </c>
      <c r="C1175" s="32"/>
      <c r="D1175" s="32"/>
      <c r="E1175" s="19" t="n">
        <f aca="false">+F1175*0.03</f>
        <v>0</v>
      </c>
      <c r="F1175" s="33" t="n">
        <v>0</v>
      </c>
      <c r="G1175" s="62"/>
      <c r="H1175" s="35" t="n">
        <v>0</v>
      </c>
      <c r="I1175" s="34" t="n">
        <f aca="false">+IF(E1175=0,0,E1175*0.03)</f>
        <v>0</v>
      </c>
    </row>
    <row r="1176" customFormat="false" ht="15.75" hidden="false" customHeight="true" outlineLevel="0" collapsed="false">
      <c r="A1176" s="30" t="n">
        <v>45444</v>
      </c>
      <c r="B1176" s="31" t="s">
        <v>153</v>
      </c>
      <c r="C1176" s="32"/>
      <c r="D1176" s="32"/>
      <c r="E1176" s="19" t="n">
        <f aca="false">+F1176*0.03</f>
        <v>0</v>
      </c>
      <c r="F1176" s="33" t="n">
        <v>0</v>
      </c>
      <c r="G1176" s="62"/>
      <c r="H1176" s="35" t="n">
        <v>0</v>
      </c>
      <c r="I1176" s="34" t="n">
        <f aca="false">+IF(E1176=0,0,E1176*0.03)</f>
        <v>0</v>
      </c>
    </row>
    <row r="1177" customFormat="false" ht="15.75" hidden="false" customHeight="true" outlineLevel="0" collapsed="false">
      <c r="A1177" s="30" t="n">
        <v>45444</v>
      </c>
      <c r="B1177" s="31" t="s">
        <v>153</v>
      </c>
      <c r="C1177" s="32"/>
      <c r="D1177" s="32"/>
      <c r="E1177" s="19" t="n">
        <f aca="false">+F1177*0.03</f>
        <v>0</v>
      </c>
      <c r="F1177" s="33" t="n">
        <v>0</v>
      </c>
      <c r="G1177" s="62"/>
      <c r="H1177" s="35" t="n">
        <v>0</v>
      </c>
      <c r="I1177" s="34" t="n">
        <f aca="false">+IF(E1177=0,0,E1177*0.03)</f>
        <v>0</v>
      </c>
    </row>
    <row r="1178" customFormat="false" ht="15.75" hidden="false" customHeight="true" outlineLevel="0" collapsed="false">
      <c r="A1178" s="30" t="n">
        <v>45444</v>
      </c>
      <c r="B1178" s="31" t="s">
        <v>153</v>
      </c>
      <c r="C1178" s="32"/>
      <c r="D1178" s="32"/>
      <c r="E1178" s="19" t="n">
        <f aca="false">+F1178*0.03</f>
        <v>0</v>
      </c>
      <c r="F1178" s="33" t="n">
        <v>0</v>
      </c>
      <c r="G1178" s="62"/>
      <c r="H1178" s="35" t="n">
        <v>0</v>
      </c>
      <c r="I1178" s="34" t="n">
        <f aca="false">+IF(E1178=0,0,E1178*0.03)</f>
        <v>0</v>
      </c>
    </row>
    <row r="1179" customFormat="false" ht="15.75" hidden="false" customHeight="true" outlineLevel="0" collapsed="false">
      <c r="A1179" s="30" t="n">
        <v>45444</v>
      </c>
      <c r="B1179" s="31" t="s">
        <v>153</v>
      </c>
      <c r="C1179" s="32"/>
      <c r="D1179" s="32"/>
      <c r="E1179" s="19" t="n">
        <f aca="false">+F1179*0.03</f>
        <v>0</v>
      </c>
      <c r="F1179" s="33" t="n">
        <v>0</v>
      </c>
      <c r="G1179" s="62"/>
      <c r="H1179" s="35" t="n">
        <v>0</v>
      </c>
      <c r="I1179" s="34" t="n">
        <f aca="false">+IF(E1179=0,0,E1179*0.03)</f>
        <v>0</v>
      </c>
    </row>
    <row r="1180" customFormat="false" ht="15.75" hidden="false" customHeight="true" outlineLevel="0" collapsed="false">
      <c r="A1180" s="30" t="n">
        <v>45444</v>
      </c>
      <c r="B1180" s="31" t="s">
        <v>153</v>
      </c>
      <c r="C1180" s="32"/>
      <c r="D1180" s="32"/>
      <c r="E1180" s="19" t="n">
        <f aca="false">+F1180*0.03</f>
        <v>0</v>
      </c>
      <c r="F1180" s="33" t="n">
        <v>0</v>
      </c>
      <c r="G1180" s="62"/>
      <c r="H1180" s="35" t="n">
        <v>0</v>
      </c>
      <c r="I1180" s="34" t="n">
        <f aca="false">+IF(E1180=0,0,E1180*0.03)</f>
        <v>0</v>
      </c>
    </row>
    <row r="1181" customFormat="false" ht="15.75" hidden="false" customHeight="true" outlineLevel="0" collapsed="false">
      <c r="A1181" s="30" t="n">
        <v>45444</v>
      </c>
      <c r="B1181" s="31" t="s">
        <v>153</v>
      </c>
      <c r="C1181" s="32"/>
      <c r="D1181" s="32"/>
      <c r="E1181" s="19" t="n">
        <f aca="false">+F1181*0.03</f>
        <v>0</v>
      </c>
      <c r="F1181" s="33" t="n">
        <v>0</v>
      </c>
      <c r="G1181" s="62"/>
      <c r="H1181" s="35" t="n">
        <v>0</v>
      </c>
      <c r="I1181" s="34" t="n">
        <f aca="false">+IF(E1181=0,0,E1181*0.03)</f>
        <v>0</v>
      </c>
    </row>
    <row r="1182" customFormat="false" ht="15.75" hidden="false" customHeight="true" outlineLevel="0" collapsed="false">
      <c r="A1182" s="30" t="n">
        <v>45444</v>
      </c>
      <c r="B1182" s="31" t="s">
        <v>153</v>
      </c>
      <c r="C1182" s="32"/>
      <c r="D1182" s="32"/>
      <c r="E1182" s="19" t="n">
        <f aca="false">+F1182*0.03</f>
        <v>0</v>
      </c>
      <c r="F1182" s="33" t="n">
        <v>0</v>
      </c>
      <c r="G1182" s="62"/>
      <c r="H1182" s="35" t="n">
        <v>0</v>
      </c>
      <c r="I1182" s="34" t="n">
        <f aca="false">+IF(E1182=0,0,E1182*0.03)</f>
        <v>0</v>
      </c>
    </row>
    <row r="1183" customFormat="false" ht="15.75" hidden="false" customHeight="true" outlineLevel="0" collapsed="false">
      <c r="A1183" s="30" t="n">
        <v>45444</v>
      </c>
      <c r="B1183" s="31" t="s">
        <v>153</v>
      </c>
      <c r="C1183" s="32"/>
      <c r="D1183" s="32"/>
      <c r="E1183" s="19" t="n">
        <f aca="false">+F1183*0.03</f>
        <v>0</v>
      </c>
      <c r="F1183" s="33" t="n">
        <v>0</v>
      </c>
      <c r="G1183" s="62"/>
      <c r="H1183" s="35" t="n">
        <v>0</v>
      </c>
      <c r="I1183" s="34" t="n">
        <f aca="false">+IF(E1183=0,0,E1183*0.03)</f>
        <v>0</v>
      </c>
    </row>
    <row r="1184" customFormat="false" ht="15.75" hidden="false" customHeight="true" outlineLevel="0" collapsed="false">
      <c r="A1184" s="30" t="n">
        <v>45444</v>
      </c>
      <c r="B1184" s="31" t="s">
        <v>153</v>
      </c>
      <c r="C1184" s="32"/>
      <c r="D1184" s="32"/>
      <c r="E1184" s="19" t="n">
        <f aca="false">+F1184*0.03</f>
        <v>0</v>
      </c>
      <c r="F1184" s="33" t="n">
        <v>0</v>
      </c>
      <c r="G1184" s="62"/>
      <c r="H1184" s="35" t="n">
        <v>0</v>
      </c>
      <c r="I1184" s="34" t="n">
        <f aca="false">+IF(E1184=0,0,E1184*0.03)</f>
        <v>0</v>
      </c>
    </row>
    <row r="1185" customFormat="false" ht="15.75" hidden="false" customHeight="true" outlineLevel="0" collapsed="false">
      <c r="A1185" s="30" t="n">
        <v>45444</v>
      </c>
      <c r="B1185" s="31" t="s">
        <v>153</v>
      </c>
      <c r="C1185" s="32"/>
      <c r="D1185" s="32"/>
      <c r="E1185" s="19" t="n">
        <f aca="false">+F1185*0.03</f>
        <v>0</v>
      </c>
      <c r="F1185" s="33" t="n">
        <v>0</v>
      </c>
      <c r="G1185" s="62"/>
      <c r="H1185" s="35" t="n">
        <v>0</v>
      </c>
      <c r="I1185" s="34" t="n">
        <f aca="false">+IF(E1185=0,0,E1185*0.03)</f>
        <v>0</v>
      </c>
    </row>
    <row r="1186" customFormat="false" ht="15.75" hidden="false" customHeight="true" outlineLevel="0" collapsed="false">
      <c r="A1186" s="30" t="n">
        <v>45444</v>
      </c>
      <c r="B1186" s="31" t="s">
        <v>153</v>
      </c>
      <c r="C1186" s="32"/>
      <c r="D1186" s="32"/>
      <c r="E1186" s="19" t="n">
        <f aca="false">+F1186*0.03</f>
        <v>0</v>
      </c>
      <c r="F1186" s="33" t="n">
        <v>0</v>
      </c>
      <c r="G1186" s="62"/>
      <c r="H1186" s="35" t="n">
        <v>0</v>
      </c>
      <c r="I1186" s="34" t="n">
        <f aca="false">+IF(E1186=0,0,E1186*0.03)</f>
        <v>0</v>
      </c>
    </row>
    <row r="1187" customFormat="false" ht="15.75" hidden="false" customHeight="true" outlineLevel="0" collapsed="false">
      <c r="A1187" s="30" t="n">
        <v>45444</v>
      </c>
      <c r="B1187" s="31" t="s">
        <v>153</v>
      </c>
      <c r="C1187" s="32"/>
      <c r="D1187" s="32"/>
      <c r="E1187" s="19" t="n">
        <f aca="false">+F1187*0.03</f>
        <v>0</v>
      </c>
      <c r="F1187" s="33" t="n">
        <v>0</v>
      </c>
      <c r="G1187" s="62"/>
      <c r="H1187" s="35" t="n">
        <v>0</v>
      </c>
      <c r="I1187" s="34" t="n">
        <f aca="false">+IF(E1187=0,0,E1187*0.03)</f>
        <v>0</v>
      </c>
    </row>
    <row r="1188" customFormat="false" ht="15.75" hidden="false" customHeight="true" outlineLevel="0" collapsed="false">
      <c r="A1188" s="30" t="n">
        <v>45444</v>
      </c>
      <c r="B1188" s="31" t="s">
        <v>153</v>
      </c>
      <c r="C1188" s="32"/>
      <c r="D1188" s="32"/>
      <c r="E1188" s="19" t="n">
        <f aca="false">+F1188*0.03</f>
        <v>0</v>
      </c>
      <c r="F1188" s="33" t="n">
        <v>0</v>
      </c>
      <c r="G1188" s="62"/>
      <c r="H1188" s="35" t="n">
        <v>0</v>
      </c>
      <c r="I1188" s="34" t="n">
        <f aca="false">+IF(E1188=0,0,E1188*0.03)</f>
        <v>0</v>
      </c>
    </row>
    <row r="1189" customFormat="false" ht="15.75" hidden="false" customHeight="true" outlineLevel="0" collapsed="false">
      <c r="A1189" s="30" t="n">
        <v>45444</v>
      </c>
      <c r="B1189" s="31" t="s">
        <v>153</v>
      </c>
      <c r="C1189" s="32"/>
      <c r="D1189" s="32"/>
      <c r="E1189" s="19" t="n">
        <f aca="false">+F1189*0.03</f>
        <v>0</v>
      </c>
      <c r="F1189" s="33" t="n">
        <v>0</v>
      </c>
      <c r="G1189" s="62"/>
      <c r="H1189" s="35" t="n">
        <v>0</v>
      </c>
      <c r="I1189" s="34" t="n">
        <f aca="false">+IF(E1189=0,0,E1189*0.03)</f>
        <v>0</v>
      </c>
    </row>
    <row r="1190" customFormat="false" ht="15.75" hidden="false" customHeight="true" outlineLevel="0" collapsed="false">
      <c r="A1190" s="30" t="n">
        <v>45444</v>
      </c>
      <c r="B1190" s="31" t="s">
        <v>153</v>
      </c>
      <c r="C1190" s="32"/>
      <c r="D1190" s="32"/>
      <c r="E1190" s="19" t="n">
        <f aca="false">+F1190*0.03</f>
        <v>0</v>
      </c>
      <c r="F1190" s="33" t="n">
        <v>0</v>
      </c>
      <c r="G1190" s="62"/>
      <c r="H1190" s="35" t="n">
        <v>0</v>
      </c>
      <c r="I1190" s="34" t="n">
        <f aca="false">+IF(E1190=0,0,E1190*0.03)</f>
        <v>0</v>
      </c>
    </row>
    <row r="1191" customFormat="false" ht="15.75" hidden="false" customHeight="true" outlineLevel="0" collapsed="false">
      <c r="A1191" s="30" t="n">
        <v>45444</v>
      </c>
      <c r="B1191" s="31" t="s">
        <v>153</v>
      </c>
      <c r="C1191" s="32"/>
      <c r="D1191" s="32"/>
      <c r="E1191" s="19" t="n">
        <f aca="false">+F1191*0.03</f>
        <v>0</v>
      </c>
      <c r="F1191" s="33" t="n">
        <v>0</v>
      </c>
      <c r="G1191" s="62"/>
      <c r="H1191" s="35" t="n">
        <v>0</v>
      </c>
      <c r="I1191" s="34" t="n">
        <f aca="false">+IF(E1191=0,0,E1191*0.03)</f>
        <v>0</v>
      </c>
    </row>
    <row r="1192" customFormat="false" ht="15.75" hidden="false" customHeight="true" outlineLevel="0" collapsed="false">
      <c r="A1192" s="30" t="n">
        <v>45444</v>
      </c>
      <c r="B1192" s="31" t="s">
        <v>153</v>
      </c>
      <c r="C1192" s="32"/>
      <c r="D1192" s="32"/>
      <c r="E1192" s="19" t="n">
        <f aca="false">+F1192*0.03</f>
        <v>0</v>
      </c>
      <c r="F1192" s="33" t="n">
        <v>0</v>
      </c>
      <c r="G1192" s="62"/>
      <c r="H1192" s="35" t="n">
        <v>0</v>
      </c>
      <c r="I1192" s="34" t="n">
        <f aca="false">+IF(E1192=0,0,E1192*0.03)</f>
        <v>0</v>
      </c>
    </row>
    <row r="1193" customFormat="false" ht="15.75" hidden="false" customHeight="true" outlineLevel="0" collapsed="false">
      <c r="A1193" s="30" t="n">
        <v>45444</v>
      </c>
      <c r="B1193" s="31" t="s">
        <v>153</v>
      </c>
      <c r="C1193" s="32"/>
      <c r="D1193" s="32"/>
      <c r="E1193" s="19" t="n">
        <f aca="false">+F1193*0.03</f>
        <v>0</v>
      </c>
      <c r="F1193" s="33" t="n">
        <v>0</v>
      </c>
      <c r="G1193" s="62"/>
      <c r="H1193" s="35" t="n">
        <v>0</v>
      </c>
      <c r="I1193" s="34" t="n">
        <f aca="false">+IF(E1193=0,0,E1193*0.03)</f>
        <v>0</v>
      </c>
    </row>
    <row r="1194" customFormat="false" ht="15.75" hidden="false" customHeight="true" outlineLevel="0" collapsed="false">
      <c r="A1194" s="30" t="n">
        <v>45444</v>
      </c>
      <c r="B1194" s="31" t="s">
        <v>153</v>
      </c>
      <c r="C1194" s="32"/>
      <c r="D1194" s="32"/>
      <c r="E1194" s="19" t="n">
        <f aca="false">+F1194*0.03</f>
        <v>0</v>
      </c>
      <c r="F1194" s="33" t="n">
        <v>0</v>
      </c>
      <c r="G1194" s="62"/>
      <c r="H1194" s="35" t="n">
        <v>0</v>
      </c>
      <c r="I1194" s="34" t="n">
        <f aca="false">+IF(E1194=0,0,E1194*0.03)</f>
        <v>0</v>
      </c>
    </row>
    <row r="1195" customFormat="false" ht="15.75" hidden="false" customHeight="true" outlineLevel="0" collapsed="false">
      <c r="A1195" s="30" t="n">
        <v>45444</v>
      </c>
      <c r="B1195" s="31" t="s">
        <v>153</v>
      </c>
      <c r="C1195" s="32"/>
      <c r="D1195" s="32"/>
      <c r="E1195" s="19" t="n">
        <f aca="false">+F1195*0.03</f>
        <v>0</v>
      </c>
      <c r="F1195" s="33" t="n">
        <v>0</v>
      </c>
      <c r="G1195" s="62"/>
      <c r="H1195" s="35" t="n">
        <v>0</v>
      </c>
      <c r="I1195" s="34" t="n">
        <f aca="false">+IF(E1195=0,0,E1195*0.03)</f>
        <v>0</v>
      </c>
    </row>
    <row r="1196" customFormat="false" ht="15.75" hidden="false" customHeight="true" outlineLevel="0" collapsed="false">
      <c r="A1196" s="30" t="n">
        <v>45444</v>
      </c>
      <c r="B1196" s="31" t="s">
        <v>153</v>
      </c>
      <c r="C1196" s="32"/>
      <c r="D1196" s="32"/>
      <c r="E1196" s="19" t="n">
        <f aca="false">+F1196*0.03</f>
        <v>0</v>
      </c>
      <c r="F1196" s="33" t="n">
        <v>0</v>
      </c>
      <c r="G1196" s="62"/>
      <c r="H1196" s="35" t="n">
        <v>0</v>
      </c>
      <c r="I1196" s="34" t="n">
        <f aca="false">+IF(E1196=0,0,E1196*0.03)</f>
        <v>0</v>
      </c>
    </row>
    <row r="1197" customFormat="false" ht="15.75" hidden="false" customHeight="true" outlineLevel="0" collapsed="false">
      <c r="A1197" s="30" t="n">
        <v>45444</v>
      </c>
      <c r="B1197" s="31" t="s">
        <v>153</v>
      </c>
      <c r="C1197" s="32"/>
      <c r="D1197" s="32"/>
      <c r="E1197" s="19" t="n">
        <f aca="false">+F1197*0.03</f>
        <v>0</v>
      </c>
      <c r="F1197" s="33" t="n">
        <v>0</v>
      </c>
      <c r="G1197" s="62"/>
      <c r="H1197" s="35" t="n">
        <v>0</v>
      </c>
      <c r="I1197" s="34" t="n">
        <f aca="false">+IF(E1197=0,0,E1197*0.03)</f>
        <v>0</v>
      </c>
    </row>
    <row r="1198" customFormat="false" ht="15.75" hidden="false" customHeight="true" outlineLevel="0" collapsed="false">
      <c r="A1198" s="30" t="n">
        <v>45444</v>
      </c>
      <c r="B1198" s="31" t="s">
        <v>153</v>
      </c>
      <c r="C1198" s="32"/>
      <c r="D1198" s="32"/>
      <c r="E1198" s="19" t="n">
        <f aca="false">+F1198*0.03</f>
        <v>0</v>
      </c>
      <c r="F1198" s="33" t="n">
        <v>0</v>
      </c>
      <c r="G1198" s="62"/>
      <c r="H1198" s="35" t="n">
        <v>0</v>
      </c>
      <c r="I1198" s="34" t="n">
        <f aca="false">+IF(E1198=0,0,E1198*0.03)</f>
        <v>0</v>
      </c>
    </row>
    <row r="1199" customFormat="false" ht="15.75" hidden="false" customHeight="true" outlineLevel="0" collapsed="false">
      <c r="A1199" s="30" t="n">
        <v>45444</v>
      </c>
      <c r="B1199" s="31" t="s">
        <v>153</v>
      </c>
      <c r="C1199" s="32"/>
      <c r="D1199" s="32"/>
      <c r="E1199" s="19" t="n">
        <f aca="false">+F1199*0.03</f>
        <v>0</v>
      </c>
      <c r="F1199" s="33" t="n">
        <v>0</v>
      </c>
      <c r="G1199" s="62"/>
      <c r="H1199" s="35" t="n">
        <v>0</v>
      </c>
      <c r="I1199" s="34" t="n">
        <f aca="false">+IF(E1199=0,0,E1199*0.03)</f>
        <v>0</v>
      </c>
    </row>
    <row r="1200" customFormat="false" ht="15.75" hidden="false" customHeight="true" outlineLevel="0" collapsed="false">
      <c r="A1200" s="30" t="n">
        <v>45444</v>
      </c>
      <c r="B1200" s="31" t="s">
        <v>153</v>
      </c>
      <c r="C1200" s="32"/>
      <c r="D1200" s="32"/>
      <c r="E1200" s="19" t="n">
        <f aca="false">+F1200*0.03</f>
        <v>0</v>
      </c>
      <c r="F1200" s="33" t="n">
        <v>0</v>
      </c>
      <c r="G1200" s="62"/>
      <c r="H1200" s="35" t="n">
        <v>0</v>
      </c>
      <c r="I1200" s="34" t="n">
        <f aca="false">+IF(E1200=0,0,E1200*0.03)</f>
        <v>0</v>
      </c>
    </row>
    <row r="1201" customFormat="false" ht="15.75" hidden="false" customHeight="true" outlineLevel="0" collapsed="false">
      <c r="A1201" s="30" t="n">
        <v>45444</v>
      </c>
      <c r="B1201" s="31" t="s">
        <v>153</v>
      </c>
      <c r="C1201" s="32"/>
      <c r="D1201" s="32"/>
      <c r="E1201" s="19" t="n">
        <f aca="false">+F1201*0.03</f>
        <v>0</v>
      </c>
      <c r="F1201" s="33" t="n">
        <v>0</v>
      </c>
      <c r="G1201" s="62"/>
      <c r="H1201" s="35" t="n">
        <v>0</v>
      </c>
      <c r="I1201" s="34" t="n">
        <f aca="false">+IF(E1201=0,0,E1201*0.03)</f>
        <v>0</v>
      </c>
    </row>
    <row r="1202" customFormat="false" ht="15.75" hidden="false" customHeight="true" outlineLevel="0" collapsed="false">
      <c r="A1202" s="30" t="n">
        <v>45444</v>
      </c>
      <c r="B1202" s="31" t="s">
        <v>153</v>
      </c>
      <c r="C1202" s="32"/>
      <c r="D1202" s="32"/>
      <c r="E1202" s="19" t="n">
        <f aca="false">+F1202*0.03</f>
        <v>0</v>
      </c>
      <c r="F1202" s="33" t="n">
        <v>0</v>
      </c>
      <c r="G1202" s="62"/>
      <c r="H1202" s="35" t="n">
        <v>0</v>
      </c>
      <c r="I1202" s="34" t="n">
        <f aca="false">+IF(E1202=0,0,E1202*0.03)</f>
        <v>0</v>
      </c>
    </row>
    <row r="1203" customFormat="false" ht="15.75" hidden="false" customHeight="true" outlineLevel="0" collapsed="false">
      <c r="A1203" s="30" t="n">
        <v>45444</v>
      </c>
      <c r="B1203" s="31" t="s">
        <v>153</v>
      </c>
      <c r="C1203" s="32"/>
      <c r="D1203" s="32"/>
      <c r="E1203" s="19" t="n">
        <f aca="false">+F1203*0.03</f>
        <v>0</v>
      </c>
      <c r="F1203" s="33" t="n">
        <v>0</v>
      </c>
      <c r="G1203" s="62"/>
      <c r="H1203" s="35" t="n">
        <v>0</v>
      </c>
      <c r="I1203" s="34" t="n">
        <f aca="false">+IF(E1203=0,0,E1203*0.03)</f>
        <v>0</v>
      </c>
    </row>
    <row r="1204" customFormat="false" ht="15.75" hidden="false" customHeight="true" outlineLevel="0" collapsed="false">
      <c r="A1204" s="30" t="n">
        <v>45444</v>
      </c>
      <c r="B1204" s="31" t="s">
        <v>153</v>
      </c>
      <c r="C1204" s="32"/>
      <c r="D1204" s="32"/>
      <c r="E1204" s="19" t="n">
        <f aca="false">+F1204*0.03</f>
        <v>0</v>
      </c>
      <c r="F1204" s="33" t="n">
        <v>0</v>
      </c>
      <c r="G1204" s="62"/>
      <c r="H1204" s="35" t="n">
        <v>0</v>
      </c>
      <c r="I1204" s="34" t="n">
        <f aca="false">+IF(E1204=0,0,E1204*0.03)</f>
        <v>0</v>
      </c>
    </row>
    <row r="1205" customFormat="false" ht="15.75" hidden="false" customHeight="true" outlineLevel="0" collapsed="false">
      <c r="A1205" s="30" t="n">
        <v>45444</v>
      </c>
      <c r="B1205" s="31" t="s">
        <v>153</v>
      </c>
      <c r="C1205" s="32"/>
      <c r="D1205" s="32"/>
      <c r="E1205" s="19" t="n">
        <f aca="false">+F1205*0.03</f>
        <v>0</v>
      </c>
      <c r="F1205" s="33" t="n">
        <v>0</v>
      </c>
      <c r="G1205" s="62"/>
      <c r="H1205" s="35" t="n">
        <v>0</v>
      </c>
      <c r="I1205" s="34" t="n">
        <f aca="false">+IF(E1205=0,0,E1205*0.03)</f>
        <v>0</v>
      </c>
    </row>
    <row r="1206" customFormat="false" ht="15.75" hidden="false" customHeight="true" outlineLevel="0" collapsed="false">
      <c r="A1206" s="30" t="n">
        <v>45444</v>
      </c>
      <c r="B1206" s="31" t="s">
        <v>153</v>
      </c>
      <c r="C1206" s="32"/>
      <c r="D1206" s="32"/>
      <c r="E1206" s="19" t="n">
        <f aca="false">+F1206*0.03</f>
        <v>0</v>
      </c>
      <c r="F1206" s="33" t="n">
        <v>0</v>
      </c>
      <c r="G1206" s="62"/>
      <c r="H1206" s="35" t="n">
        <v>0</v>
      </c>
      <c r="I1206" s="34" t="n">
        <f aca="false">+IF(E1206=0,0,E1206*0.03)</f>
        <v>0</v>
      </c>
    </row>
    <row r="1207" customFormat="false" ht="15.75" hidden="false" customHeight="true" outlineLevel="0" collapsed="false">
      <c r="A1207" s="30" t="n">
        <v>45444</v>
      </c>
      <c r="B1207" s="31" t="s">
        <v>153</v>
      </c>
      <c r="C1207" s="32"/>
      <c r="D1207" s="32"/>
      <c r="E1207" s="19" t="n">
        <f aca="false">+F1207*0.03</f>
        <v>0</v>
      </c>
      <c r="F1207" s="33" t="n">
        <v>0</v>
      </c>
      <c r="G1207" s="62"/>
      <c r="H1207" s="35" t="n">
        <v>0</v>
      </c>
      <c r="I1207" s="34" t="n">
        <f aca="false">+IF(E1207=0,0,E1207*0.03)</f>
        <v>0</v>
      </c>
    </row>
    <row r="1208" customFormat="false" ht="15.75" hidden="false" customHeight="true" outlineLevel="0" collapsed="false">
      <c r="A1208" s="30" t="n">
        <v>45444</v>
      </c>
      <c r="B1208" s="31" t="s">
        <v>153</v>
      </c>
      <c r="C1208" s="32"/>
      <c r="D1208" s="32"/>
      <c r="E1208" s="19" t="n">
        <f aca="false">+F1208*0.03</f>
        <v>0</v>
      </c>
      <c r="F1208" s="33" t="n">
        <v>0</v>
      </c>
      <c r="G1208" s="62"/>
      <c r="H1208" s="35" t="n">
        <v>0</v>
      </c>
      <c r="I1208" s="34" t="n">
        <f aca="false">+IF(E1208=0,0,E1208*0.03)</f>
        <v>0</v>
      </c>
    </row>
    <row r="1209" customFormat="false" ht="15.75" hidden="false" customHeight="true" outlineLevel="0" collapsed="false">
      <c r="A1209" s="30" t="n">
        <v>45444</v>
      </c>
      <c r="B1209" s="31" t="s">
        <v>153</v>
      </c>
      <c r="C1209" s="32"/>
      <c r="D1209" s="32"/>
      <c r="E1209" s="19" t="n">
        <f aca="false">+F1209*0.03</f>
        <v>0</v>
      </c>
      <c r="F1209" s="33" t="n">
        <v>0</v>
      </c>
      <c r="G1209" s="62"/>
      <c r="H1209" s="35" t="n">
        <v>0</v>
      </c>
      <c r="I1209" s="34" t="n">
        <f aca="false">+IF(E1209=0,0,E1209*0.03)</f>
        <v>0</v>
      </c>
    </row>
    <row r="1210" customFormat="false" ht="15.75" hidden="false" customHeight="true" outlineLevel="0" collapsed="false">
      <c r="A1210" s="30" t="n">
        <v>45444</v>
      </c>
      <c r="B1210" s="31" t="s">
        <v>153</v>
      </c>
      <c r="C1210" s="32"/>
      <c r="D1210" s="32"/>
      <c r="E1210" s="19" t="n">
        <f aca="false">+F1210*0.03</f>
        <v>0</v>
      </c>
      <c r="F1210" s="33" t="n">
        <v>0</v>
      </c>
      <c r="G1210" s="62"/>
      <c r="H1210" s="35" t="n">
        <v>0</v>
      </c>
      <c r="I1210" s="34" t="n">
        <f aca="false">+IF(E1210=0,0,E1210*0.03)</f>
        <v>0</v>
      </c>
    </row>
    <row r="1211" customFormat="false" ht="15.75" hidden="false" customHeight="true" outlineLevel="0" collapsed="false">
      <c r="A1211" s="30" t="n">
        <v>45444</v>
      </c>
      <c r="B1211" s="31" t="s">
        <v>153</v>
      </c>
      <c r="C1211" s="32"/>
      <c r="D1211" s="32"/>
      <c r="E1211" s="19" t="n">
        <f aca="false">+F1211*0.03</f>
        <v>0</v>
      </c>
      <c r="F1211" s="33" t="n">
        <v>0</v>
      </c>
      <c r="G1211" s="62"/>
      <c r="H1211" s="35" t="n">
        <v>0</v>
      </c>
      <c r="I1211" s="34" t="n">
        <f aca="false">+IF(E1211=0,0,E1211*0.03)</f>
        <v>0</v>
      </c>
    </row>
    <row r="1212" customFormat="false" ht="15.75" hidden="false" customHeight="true" outlineLevel="0" collapsed="false">
      <c r="A1212" s="30" t="n">
        <v>45444</v>
      </c>
      <c r="B1212" s="31" t="s">
        <v>153</v>
      </c>
      <c r="C1212" s="32"/>
      <c r="D1212" s="32"/>
      <c r="E1212" s="19" t="n">
        <f aca="false">+F1212*0.03</f>
        <v>0</v>
      </c>
      <c r="F1212" s="33" t="n">
        <v>0</v>
      </c>
      <c r="G1212" s="62"/>
      <c r="H1212" s="35" t="n">
        <v>0</v>
      </c>
      <c r="I1212" s="34" t="n">
        <f aca="false">+IF(E1212=0,0,E1212*0.03)</f>
        <v>0</v>
      </c>
    </row>
    <row r="1213" customFormat="false" ht="15.75" hidden="false" customHeight="true" outlineLevel="0" collapsed="false">
      <c r="A1213" s="30" t="n">
        <v>45444</v>
      </c>
      <c r="B1213" s="31" t="s">
        <v>153</v>
      </c>
      <c r="C1213" s="32"/>
      <c r="D1213" s="32"/>
      <c r="E1213" s="19" t="n">
        <f aca="false">+F1213*0.03</f>
        <v>0</v>
      </c>
      <c r="F1213" s="33" t="n">
        <v>0</v>
      </c>
      <c r="G1213" s="62"/>
      <c r="H1213" s="35" t="n">
        <v>0</v>
      </c>
      <c r="I1213" s="34" t="n">
        <f aca="false">+IF(E1213=0,0,E1213*0.03)</f>
        <v>0</v>
      </c>
    </row>
    <row r="1214" customFormat="false" ht="15.75" hidden="false" customHeight="true" outlineLevel="0" collapsed="false">
      <c r="A1214" s="30" t="n">
        <v>45444</v>
      </c>
      <c r="B1214" s="31" t="s">
        <v>153</v>
      </c>
      <c r="C1214" s="32"/>
      <c r="D1214" s="32"/>
      <c r="E1214" s="19" t="n">
        <f aca="false">+F1214*0.03</f>
        <v>0</v>
      </c>
      <c r="F1214" s="33" t="n">
        <v>0</v>
      </c>
      <c r="G1214" s="62"/>
      <c r="H1214" s="35" t="n">
        <v>0</v>
      </c>
      <c r="I1214" s="34" t="n">
        <f aca="false">+IF(E1214=0,0,E1214*0.03)</f>
        <v>0</v>
      </c>
    </row>
    <row r="1215" customFormat="false" ht="15.75" hidden="false" customHeight="true" outlineLevel="0" collapsed="false">
      <c r="A1215" s="30" t="n">
        <v>45444</v>
      </c>
      <c r="B1215" s="31" t="s">
        <v>153</v>
      </c>
      <c r="C1215" s="32"/>
      <c r="D1215" s="32"/>
      <c r="E1215" s="19" t="n">
        <f aca="false">+F1215*0.03</f>
        <v>0</v>
      </c>
      <c r="F1215" s="33" t="n">
        <v>0</v>
      </c>
      <c r="G1215" s="62"/>
      <c r="H1215" s="35" t="n">
        <v>0</v>
      </c>
      <c r="I1215" s="34" t="n">
        <f aca="false">+IF(E1215=0,0,E1215*0.03)</f>
        <v>0</v>
      </c>
    </row>
    <row r="1216" customFormat="false" ht="15.75" hidden="false" customHeight="true" outlineLevel="0" collapsed="false">
      <c r="A1216" s="30" t="n">
        <v>45444</v>
      </c>
      <c r="B1216" s="31" t="s">
        <v>153</v>
      </c>
      <c r="C1216" s="32"/>
      <c r="D1216" s="32"/>
      <c r="E1216" s="19" t="n">
        <f aca="false">+F1216*0.03</f>
        <v>0</v>
      </c>
      <c r="F1216" s="33" t="n">
        <v>0</v>
      </c>
      <c r="G1216" s="62"/>
      <c r="H1216" s="35" t="n">
        <v>0</v>
      </c>
      <c r="I1216" s="34" t="n">
        <f aca="false">+IF(E1216=0,0,E1216*0.03)</f>
        <v>0</v>
      </c>
    </row>
    <row r="1217" customFormat="false" ht="15.75" hidden="false" customHeight="true" outlineLevel="0" collapsed="false">
      <c r="A1217" s="30" t="n">
        <v>45444</v>
      </c>
      <c r="B1217" s="31" t="s">
        <v>153</v>
      </c>
      <c r="C1217" s="32"/>
      <c r="D1217" s="32"/>
      <c r="E1217" s="19" t="n">
        <f aca="false">+F1217*0.03</f>
        <v>0</v>
      </c>
      <c r="F1217" s="33" t="n">
        <v>0</v>
      </c>
      <c r="G1217" s="62"/>
      <c r="H1217" s="35" t="n">
        <v>0</v>
      </c>
      <c r="I1217" s="34" t="n">
        <f aca="false">+IF(E1217=0,0,E1217*0.03)</f>
        <v>0</v>
      </c>
    </row>
    <row r="1218" customFormat="false" ht="15.75" hidden="false" customHeight="true" outlineLevel="0" collapsed="false">
      <c r="A1218" s="30" t="n">
        <v>45444</v>
      </c>
      <c r="B1218" s="31" t="s">
        <v>153</v>
      </c>
      <c r="C1218" s="32"/>
      <c r="D1218" s="32"/>
      <c r="E1218" s="19" t="n">
        <f aca="false">+F1218*0.03</f>
        <v>0</v>
      </c>
      <c r="F1218" s="33" t="n">
        <v>0</v>
      </c>
      <c r="G1218" s="62"/>
      <c r="H1218" s="35" t="n">
        <v>0</v>
      </c>
      <c r="I1218" s="34" t="n">
        <f aca="false">+IF(E1218=0,0,E1218*0.03)</f>
        <v>0</v>
      </c>
    </row>
    <row r="1219" customFormat="false" ht="15.75" hidden="false" customHeight="true" outlineLevel="0" collapsed="false">
      <c r="A1219" s="30" t="n">
        <v>45444</v>
      </c>
      <c r="B1219" s="31" t="s">
        <v>153</v>
      </c>
      <c r="C1219" s="32"/>
      <c r="D1219" s="32"/>
      <c r="E1219" s="19" t="n">
        <f aca="false">+F1219*0.03</f>
        <v>0</v>
      </c>
      <c r="F1219" s="33" t="n">
        <v>0</v>
      </c>
      <c r="G1219" s="62"/>
      <c r="H1219" s="35" t="n">
        <v>0</v>
      </c>
      <c r="I1219" s="34" t="n">
        <f aca="false">+IF(E1219=0,0,E1219*0.03)</f>
        <v>0</v>
      </c>
    </row>
    <row r="1220" customFormat="false" ht="15.75" hidden="false" customHeight="true" outlineLevel="0" collapsed="false">
      <c r="A1220" s="30" t="n">
        <v>45444</v>
      </c>
      <c r="B1220" s="31" t="s">
        <v>153</v>
      </c>
      <c r="C1220" s="32"/>
      <c r="D1220" s="32"/>
      <c r="E1220" s="19" t="n">
        <f aca="false">+F1220*0.03</f>
        <v>0</v>
      </c>
      <c r="F1220" s="33" t="n">
        <v>0</v>
      </c>
      <c r="G1220" s="62"/>
      <c r="H1220" s="35" t="n">
        <v>0</v>
      </c>
      <c r="I1220" s="34" t="n">
        <f aca="false">+IF(E1220=0,0,E1220*0.03)</f>
        <v>0</v>
      </c>
    </row>
    <row r="1221" customFormat="false" ht="15.75" hidden="false" customHeight="true" outlineLevel="0" collapsed="false">
      <c r="A1221" s="30" t="n">
        <v>45444</v>
      </c>
      <c r="B1221" s="31" t="s">
        <v>153</v>
      </c>
      <c r="C1221" s="32"/>
      <c r="D1221" s="32"/>
      <c r="E1221" s="19" t="n">
        <f aca="false">+F1221*0.03</f>
        <v>0</v>
      </c>
      <c r="F1221" s="33" t="n">
        <v>0</v>
      </c>
      <c r="G1221" s="62"/>
      <c r="H1221" s="35" t="n">
        <v>0</v>
      </c>
      <c r="I1221" s="34" t="n">
        <f aca="false">+IF(E1221=0,0,E1221*0.03)</f>
        <v>0</v>
      </c>
    </row>
    <row r="1222" customFormat="false" ht="15.75" hidden="false" customHeight="true" outlineLevel="0" collapsed="false">
      <c r="A1222" s="30" t="n">
        <v>45444</v>
      </c>
      <c r="B1222" s="31" t="s">
        <v>153</v>
      </c>
      <c r="C1222" s="32"/>
      <c r="D1222" s="32"/>
      <c r="E1222" s="19" t="n">
        <f aca="false">+F1222*0.03</f>
        <v>0</v>
      </c>
      <c r="F1222" s="33" t="n">
        <v>0</v>
      </c>
      <c r="G1222" s="62"/>
      <c r="H1222" s="35" t="n">
        <v>0</v>
      </c>
      <c r="I1222" s="34" t="n">
        <f aca="false">+IF(E1222=0,0,E1222*0.03)</f>
        <v>0</v>
      </c>
    </row>
    <row r="1223" customFormat="false" ht="15.75" hidden="false" customHeight="true" outlineLevel="0" collapsed="false">
      <c r="A1223" s="30" t="n">
        <v>45444</v>
      </c>
      <c r="B1223" s="31" t="s">
        <v>153</v>
      </c>
      <c r="C1223" s="32"/>
      <c r="D1223" s="32"/>
      <c r="E1223" s="19" t="n">
        <f aca="false">+F1223*0.03</f>
        <v>0</v>
      </c>
      <c r="F1223" s="33" t="n">
        <v>0</v>
      </c>
      <c r="G1223" s="62"/>
      <c r="H1223" s="35" t="n">
        <v>0</v>
      </c>
      <c r="I1223" s="34" t="n">
        <f aca="false">+IF(E1223=0,0,E1223*0.03)</f>
        <v>0</v>
      </c>
    </row>
    <row r="1224" customFormat="false" ht="15.75" hidden="false" customHeight="true" outlineLevel="0" collapsed="false">
      <c r="A1224" s="30" t="n">
        <v>45444</v>
      </c>
      <c r="B1224" s="31" t="s">
        <v>153</v>
      </c>
      <c r="C1224" s="32"/>
      <c r="D1224" s="32"/>
      <c r="E1224" s="19" t="n">
        <f aca="false">+F1224*0.03</f>
        <v>0</v>
      </c>
      <c r="F1224" s="33" t="n">
        <v>0</v>
      </c>
      <c r="G1224" s="62"/>
      <c r="H1224" s="35" t="n">
        <v>0</v>
      </c>
      <c r="I1224" s="34" t="n">
        <f aca="false">+IF(E1224=0,0,E1224*0.03)</f>
        <v>0</v>
      </c>
    </row>
    <row r="1225" customFormat="false" ht="15.75" hidden="false" customHeight="true" outlineLevel="0" collapsed="false">
      <c r="A1225" s="30" t="n">
        <v>45444</v>
      </c>
      <c r="B1225" s="31" t="s">
        <v>153</v>
      </c>
      <c r="C1225" s="32"/>
      <c r="D1225" s="32"/>
      <c r="E1225" s="19" t="n">
        <f aca="false">+F1225*0.03</f>
        <v>0</v>
      </c>
      <c r="F1225" s="33" t="n">
        <v>0</v>
      </c>
      <c r="G1225" s="62"/>
      <c r="H1225" s="35" t="n">
        <v>0</v>
      </c>
      <c r="I1225" s="34" t="n">
        <f aca="false">+IF(E1225=0,0,E1225*0.03)</f>
        <v>0</v>
      </c>
    </row>
    <row r="1226" customFormat="false" ht="15.75" hidden="false" customHeight="true" outlineLevel="0" collapsed="false">
      <c r="A1226" s="30" t="n">
        <v>45444</v>
      </c>
      <c r="B1226" s="31" t="s">
        <v>153</v>
      </c>
      <c r="C1226" s="32"/>
      <c r="D1226" s="32"/>
      <c r="E1226" s="19" t="n">
        <f aca="false">+F1226*0.03</f>
        <v>0</v>
      </c>
      <c r="F1226" s="33" t="n">
        <v>0</v>
      </c>
      <c r="G1226" s="62"/>
      <c r="H1226" s="35" t="n">
        <v>0</v>
      </c>
      <c r="I1226" s="34" t="n">
        <f aca="false">+IF(E1226=0,0,E1226*0.03)</f>
        <v>0</v>
      </c>
    </row>
    <row r="1227" customFormat="false" ht="15.75" hidden="false" customHeight="true" outlineLevel="0" collapsed="false">
      <c r="A1227" s="30" t="n">
        <v>45444</v>
      </c>
      <c r="B1227" s="31" t="s">
        <v>153</v>
      </c>
      <c r="C1227" s="32"/>
      <c r="D1227" s="32"/>
      <c r="E1227" s="19" t="n">
        <f aca="false">+F1227*0.03</f>
        <v>0</v>
      </c>
      <c r="F1227" s="33" t="n">
        <v>0</v>
      </c>
      <c r="G1227" s="62"/>
      <c r="H1227" s="35" t="n">
        <v>0</v>
      </c>
      <c r="I1227" s="34" t="n">
        <f aca="false">+IF(E1227=0,0,E1227*0.03)</f>
        <v>0</v>
      </c>
    </row>
    <row r="1228" customFormat="false" ht="15.75" hidden="false" customHeight="true" outlineLevel="0" collapsed="false">
      <c r="A1228" s="30" t="n">
        <v>45444</v>
      </c>
      <c r="B1228" s="31" t="s">
        <v>153</v>
      </c>
      <c r="C1228" s="32"/>
      <c r="D1228" s="32"/>
      <c r="E1228" s="19" t="n">
        <f aca="false">+F1228*0.03</f>
        <v>0</v>
      </c>
      <c r="F1228" s="33" t="n">
        <v>0</v>
      </c>
      <c r="G1228" s="62"/>
      <c r="H1228" s="35" t="n">
        <v>0</v>
      </c>
      <c r="I1228" s="34" t="n">
        <f aca="false">+IF(E1228=0,0,E1228*0.03)</f>
        <v>0</v>
      </c>
    </row>
    <row r="1229" customFormat="false" ht="15.75" hidden="false" customHeight="true" outlineLevel="0" collapsed="false">
      <c r="A1229" s="30" t="n">
        <v>45444</v>
      </c>
      <c r="B1229" s="31" t="s">
        <v>153</v>
      </c>
      <c r="C1229" s="32"/>
      <c r="D1229" s="32"/>
      <c r="E1229" s="19" t="n">
        <f aca="false">+F1229*0.03</f>
        <v>0</v>
      </c>
      <c r="F1229" s="33" t="n">
        <v>0</v>
      </c>
      <c r="G1229" s="62"/>
      <c r="H1229" s="35" t="n">
        <v>0</v>
      </c>
      <c r="I1229" s="34" t="n">
        <f aca="false">+IF(E1229=0,0,E1229*0.03)</f>
        <v>0</v>
      </c>
    </row>
    <row r="1230" customFormat="false" ht="15.75" hidden="false" customHeight="true" outlineLevel="0" collapsed="false">
      <c r="A1230" s="30" t="n">
        <v>45444</v>
      </c>
      <c r="B1230" s="31" t="s">
        <v>153</v>
      </c>
      <c r="C1230" s="32"/>
      <c r="D1230" s="32"/>
      <c r="E1230" s="19" t="n">
        <f aca="false">+F1230*0.03</f>
        <v>0</v>
      </c>
      <c r="F1230" s="33" t="n">
        <v>0</v>
      </c>
      <c r="G1230" s="62"/>
      <c r="H1230" s="35" t="n">
        <v>0</v>
      </c>
      <c r="I1230" s="34" t="n">
        <f aca="false">+IF(E1230=0,0,E1230*0.03)</f>
        <v>0</v>
      </c>
    </row>
    <row r="1231" customFormat="false" ht="15.75" hidden="false" customHeight="true" outlineLevel="0" collapsed="false">
      <c r="A1231" s="30" t="n">
        <v>45444</v>
      </c>
      <c r="B1231" s="31" t="s">
        <v>153</v>
      </c>
      <c r="C1231" s="32"/>
      <c r="D1231" s="32"/>
      <c r="E1231" s="19" t="n">
        <f aca="false">+F1231*0.03</f>
        <v>0</v>
      </c>
      <c r="F1231" s="33" t="n">
        <v>0</v>
      </c>
      <c r="G1231" s="62"/>
      <c r="H1231" s="35" t="n">
        <v>0</v>
      </c>
      <c r="I1231" s="34" t="n">
        <f aca="false">+IF(E1231=0,0,E1231*0.03)</f>
        <v>0</v>
      </c>
    </row>
    <row r="1232" customFormat="false" ht="15.75" hidden="false" customHeight="true" outlineLevel="0" collapsed="false">
      <c r="A1232" s="30" t="n">
        <v>45444</v>
      </c>
      <c r="B1232" s="31" t="s">
        <v>153</v>
      </c>
      <c r="C1232" s="32"/>
      <c r="D1232" s="32"/>
      <c r="E1232" s="19" t="n">
        <f aca="false">+F1232*0.03</f>
        <v>0</v>
      </c>
      <c r="F1232" s="33" t="n">
        <v>0</v>
      </c>
      <c r="G1232" s="62"/>
      <c r="H1232" s="35" t="n">
        <v>0</v>
      </c>
      <c r="I1232" s="34" t="n">
        <f aca="false">+IF(E1232=0,0,E1232*0.03)</f>
        <v>0</v>
      </c>
    </row>
    <row r="1233" customFormat="false" ht="15.75" hidden="false" customHeight="true" outlineLevel="0" collapsed="false">
      <c r="A1233" s="30" t="n">
        <v>45444</v>
      </c>
      <c r="B1233" s="31" t="s">
        <v>153</v>
      </c>
      <c r="C1233" s="32"/>
      <c r="D1233" s="32"/>
      <c r="E1233" s="19" t="n">
        <f aca="false">+F1233*0.03</f>
        <v>0</v>
      </c>
      <c r="F1233" s="33" t="n">
        <v>0</v>
      </c>
      <c r="G1233" s="62"/>
      <c r="H1233" s="35" t="n">
        <v>0</v>
      </c>
      <c r="I1233" s="34" t="n">
        <f aca="false">+IF(E1233=0,0,E1233*0.03)</f>
        <v>0</v>
      </c>
    </row>
    <row r="1234" customFormat="false" ht="15.75" hidden="false" customHeight="true" outlineLevel="0" collapsed="false">
      <c r="A1234" s="30" t="n">
        <v>45444</v>
      </c>
      <c r="B1234" s="31" t="s">
        <v>153</v>
      </c>
      <c r="C1234" s="32"/>
      <c r="D1234" s="32"/>
      <c r="E1234" s="19" t="n">
        <f aca="false">+F1234*0.03</f>
        <v>0</v>
      </c>
      <c r="F1234" s="33" t="n">
        <v>0</v>
      </c>
      <c r="G1234" s="62"/>
      <c r="H1234" s="35" t="n">
        <v>0</v>
      </c>
      <c r="I1234" s="34" t="n">
        <f aca="false">+IF(E1234=0,0,E1234*0.03)</f>
        <v>0</v>
      </c>
    </row>
    <row r="1235" customFormat="false" ht="15.75" hidden="false" customHeight="true" outlineLevel="0" collapsed="false">
      <c r="A1235" s="30" t="n">
        <v>45444</v>
      </c>
      <c r="B1235" s="31" t="s">
        <v>153</v>
      </c>
      <c r="C1235" s="32"/>
      <c r="D1235" s="32"/>
      <c r="E1235" s="19" t="n">
        <f aca="false">+F1235*0.03</f>
        <v>0</v>
      </c>
      <c r="F1235" s="33" t="n">
        <v>0</v>
      </c>
      <c r="G1235" s="62"/>
      <c r="H1235" s="35" t="n">
        <v>0</v>
      </c>
      <c r="I1235" s="34" t="n">
        <f aca="false">+IF(E1235=0,0,E1235*0.03)</f>
        <v>0</v>
      </c>
    </row>
    <row r="1236" customFormat="false" ht="15.75" hidden="false" customHeight="true" outlineLevel="0" collapsed="false">
      <c r="A1236" s="30" t="n">
        <v>45444</v>
      </c>
      <c r="B1236" s="31" t="s">
        <v>153</v>
      </c>
      <c r="C1236" s="32"/>
      <c r="D1236" s="32"/>
      <c r="E1236" s="19" t="n">
        <f aca="false">+F1236*0.03</f>
        <v>0</v>
      </c>
      <c r="F1236" s="33" t="n">
        <v>0</v>
      </c>
      <c r="G1236" s="62"/>
      <c r="H1236" s="35" t="n">
        <v>0</v>
      </c>
      <c r="I1236" s="34" t="n">
        <f aca="false">+IF(E1236=0,0,E1236*0.03)</f>
        <v>0</v>
      </c>
    </row>
    <row r="1237" customFormat="false" ht="15.75" hidden="false" customHeight="true" outlineLevel="0" collapsed="false">
      <c r="A1237" s="30" t="n">
        <v>45444</v>
      </c>
      <c r="B1237" s="31" t="s">
        <v>153</v>
      </c>
      <c r="C1237" s="32"/>
      <c r="D1237" s="32"/>
      <c r="E1237" s="19" t="n">
        <f aca="false">+F1237*0.03</f>
        <v>0</v>
      </c>
      <c r="F1237" s="33" t="n">
        <v>0</v>
      </c>
      <c r="G1237" s="62"/>
      <c r="H1237" s="35" t="n">
        <v>0</v>
      </c>
      <c r="I1237" s="34" t="n">
        <f aca="false">+IF(E1237=0,0,E1237*0.03)</f>
        <v>0</v>
      </c>
    </row>
    <row r="1238" customFormat="false" ht="15.75" hidden="false" customHeight="true" outlineLevel="0" collapsed="false">
      <c r="A1238" s="30" t="n">
        <v>45444</v>
      </c>
      <c r="B1238" s="31" t="s">
        <v>153</v>
      </c>
      <c r="C1238" s="32"/>
      <c r="D1238" s="32"/>
      <c r="E1238" s="19" t="n">
        <f aca="false">+F1238*0.03</f>
        <v>0</v>
      </c>
      <c r="F1238" s="33" t="n">
        <v>0</v>
      </c>
      <c r="G1238" s="62"/>
      <c r="H1238" s="35" t="n">
        <v>0</v>
      </c>
      <c r="I1238" s="34" t="n">
        <f aca="false">+IF(E1238=0,0,E1238*0.03)</f>
        <v>0</v>
      </c>
    </row>
    <row r="1239" customFormat="false" ht="15.75" hidden="false" customHeight="true" outlineLevel="0" collapsed="false">
      <c r="A1239" s="30" t="n">
        <v>45444</v>
      </c>
      <c r="B1239" s="31" t="s">
        <v>153</v>
      </c>
      <c r="C1239" s="32"/>
      <c r="D1239" s="32"/>
      <c r="E1239" s="19" t="n">
        <f aca="false">+F1239*0.03</f>
        <v>0</v>
      </c>
      <c r="F1239" s="33" t="n">
        <v>0</v>
      </c>
      <c r="G1239" s="62"/>
      <c r="H1239" s="35" t="n">
        <v>0</v>
      </c>
      <c r="I1239" s="34" t="n">
        <f aca="false">+IF(E1239=0,0,E1239*0.03)</f>
        <v>0</v>
      </c>
    </row>
    <row r="1240" customFormat="false" ht="15.75" hidden="false" customHeight="true" outlineLevel="0" collapsed="false">
      <c r="A1240" s="30" t="n">
        <v>45444</v>
      </c>
      <c r="B1240" s="31" t="s">
        <v>153</v>
      </c>
      <c r="C1240" s="32"/>
      <c r="D1240" s="32"/>
      <c r="E1240" s="19" t="n">
        <f aca="false">+F1240*0.03</f>
        <v>0</v>
      </c>
      <c r="F1240" s="33" t="n">
        <v>0</v>
      </c>
      <c r="G1240" s="62"/>
      <c r="H1240" s="35" t="n">
        <v>0</v>
      </c>
      <c r="I1240" s="34" t="n">
        <f aca="false">+IF(E1240=0,0,E1240*0.03)</f>
        <v>0</v>
      </c>
    </row>
    <row r="1241" customFormat="false" ht="15.75" hidden="false" customHeight="true" outlineLevel="0" collapsed="false">
      <c r="A1241" s="30" t="n">
        <v>45444</v>
      </c>
      <c r="B1241" s="31" t="s">
        <v>153</v>
      </c>
      <c r="C1241" s="32"/>
      <c r="D1241" s="32"/>
      <c r="E1241" s="19" t="n">
        <f aca="false">+F1241*0.03</f>
        <v>0</v>
      </c>
      <c r="F1241" s="33" t="n">
        <v>0</v>
      </c>
      <c r="G1241" s="62"/>
      <c r="H1241" s="35" t="n">
        <v>0</v>
      </c>
      <c r="I1241" s="34" t="n">
        <f aca="false">+IF(E1241=0,0,E1241*0.03)</f>
        <v>0</v>
      </c>
    </row>
    <row r="1242" customFormat="false" ht="15.75" hidden="false" customHeight="true" outlineLevel="0" collapsed="false">
      <c r="A1242" s="30" t="n">
        <v>45444</v>
      </c>
      <c r="B1242" s="31" t="s">
        <v>153</v>
      </c>
      <c r="C1242" s="32"/>
      <c r="D1242" s="32"/>
      <c r="E1242" s="19" t="n">
        <f aca="false">+F1242*0.03</f>
        <v>0</v>
      </c>
      <c r="F1242" s="33" t="n">
        <v>0</v>
      </c>
      <c r="G1242" s="62"/>
      <c r="H1242" s="35" t="n">
        <v>0</v>
      </c>
      <c r="I1242" s="34" t="n">
        <f aca="false">+IF(E1242=0,0,E1242*0.03)</f>
        <v>0</v>
      </c>
    </row>
    <row r="1243" customFormat="false" ht="15.75" hidden="false" customHeight="true" outlineLevel="0" collapsed="false">
      <c r="A1243" s="30" t="n">
        <v>45444</v>
      </c>
      <c r="B1243" s="31" t="s">
        <v>153</v>
      </c>
      <c r="C1243" s="32"/>
      <c r="D1243" s="32"/>
      <c r="E1243" s="19" t="n">
        <f aca="false">+F1243*0.03</f>
        <v>0</v>
      </c>
      <c r="F1243" s="33" t="n">
        <v>0</v>
      </c>
      <c r="G1243" s="62"/>
      <c r="H1243" s="35" t="n">
        <v>0</v>
      </c>
      <c r="I1243" s="34" t="n">
        <f aca="false">+IF(E1243=0,0,E1243*0.03)</f>
        <v>0</v>
      </c>
    </row>
    <row r="1244" customFormat="false" ht="15.75" hidden="false" customHeight="true" outlineLevel="0" collapsed="false">
      <c r="A1244" s="30" t="n">
        <v>45444</v>
      </c>
      <c r="B1244" s="31" t="s">
        <v>153</v>
      </c>
      <c r="C1244" s="32"/>
      <c r="D1244" s="32"/>
      <c r="E1244" s="19" t="n">
        <f aca="false">+F1244*0.03</f>
        <v>0</v>
      </c>
      <c r="F1244" s="33" t="n">
        <v>0</v>
      </c>
      <c r="G1244" s="62"/>
      <c r="H1244" s="35" t="n">
        <v>0</v>
      </c>
      <c r="I1244" s="34" t="n">
        <f aca="false">+IF(E1244=0,0,E1244*0.03)</f>
        <v>0</v>
      </c>
    </row>
    <row r="1245" customFormat="false" ht="15.75" hidden="false" customHeight="true" outlineLevel="0" collapsed="false">
      <c r="A1245" s="30" t="n">
        <v>45444</v>
      </c>
      <c r="B1245" s="31" t="s">
        <v>153</v>
      </c>
      <c r="C1245" s="32"/>
      <c r="D1245" s="32"/>
      <c r="E1245" s="19" t="n">
        <f aca="false">+F1245*0.03</f>
        <v>0</v>
      </c>
      <c r="F1245" s="33" t="n">
        <v>0</v>
      </c>
      <c r="G1245" s="62"/>
      <c r="H1245" s="35" t="n">
        <v>0</v>
      </c>
      <c r="I1245" s="34" t="n">
        <f aca="false">+IF(E1245=0,0,E1245*0.03)</f>
        <v>0</v>
      </c>
    </row>
    <row r="1246" customFormat="false" ht="15.75" hidden="false" customHeight="true" outlineLevel="0" collapsed="false">
      <c r="A1246" s="30" t="n">
        <v>45444</v>
      </c>
      <c r="B1246" s="31" t="s">
        <v>153</v>
      </c>
      <c r="C1246" s="32"/>
      <c r="D1246" s="32"/>
      <c r="E1246" s="19" t="n">
        <f aca="false">+F1246*0.03</f>
        <v>0</v>
      </c>
      <c r="F1246" s="33" t="n">
        <v>0</v>
      </c>
      <c r="G1246" s="62"/>
      <c r="H1246" s="35" t="n">
        <v>0</v>
      </c>
      <c r="I1246" s="34" t="n">
        <f aca="false">+IF(E1246=0,0,E1246*0.03)</f>
        <v>0</v>
      </c>
    </row>
    <row r="1247" customFormat="false" ht="15.75" hidden="false" customHeight="true" outlineLevel="0" collapsed="false">
      <c r="A1247" s="30" t="n">
        <v>45444</v>
      </c>
      <c r="B1247" s="31" t="s">
        <v>153</v>
      </c>
      <c r="C1247" s="32"/>
      <c r="D1247" s="32"/>
      <c r="E1247" s="19" t="n">
        <f aca="false">+F1247*0.03</f>
        <v>0</v>
      </c>
      <c r="F1247" s="33" t="n">
        <v>0</v>
      </c>
      <c r="G1247" s="62"/>
      <c r="H1247" s="35" t="n">
        <v>0</v>
      </c>
      <c r="I1247" s="34" t="n">
        <f aca="false">+IF(E1247=0,0,E1247*0.03)</f>
        <v>0</v>
      </c>
    </row>
    <row r="1248" customFormat="false" ht="15.75" hidden="false" customHeight="true" outlineLevel="0" collapsed="false">
      <c r="A1248" s="30" t="n">
        <v>45444</v>
      </c>
      <c r="B1248" s="31" t="s">
        <v>153</v>
      </c>
      <c r="C1248" s="32"/>
      <c r="D1248" s="32"/>
      <c r="E1248" s="19" t="n">
        <f aca="false">+F1248*0.03</f>
        <v>0</v>
      </c>
      <c r="F1248" s="33" t="n">
        <v>0</v>
      </c>
      <c r="G1248" s="62"/>
      <c r="H1248" s="35" t="n">
        <v>0</v>
      </c>
      <c r="I1248" s="34" t="n">
        <f aca="false">+IF(E1248=0,0,E1248*0.03)</f>
        <v>0</v>
      </c>
    </row>
    <row r="1249" customFormat="false" ht="15.75" hidden="false" customHeight="true" outlineLevel="0" collapsed="false">
      <c r="A1249" s="30" t="n">
        <v>45444</v>
      </c>
      <c r="B1249" s="31" t="s">
        <v>153</v>
      </c>
      <c r="C1249" s="32"/>
      <c r="D1249" s="32"/>
      <c r="E1249" s="19" t="n">
        <f aca="false">+F1249*0.03</f>
        <v>0</v>
      </c>
      <c r="F1249" s="33" t="n">
        <v>0</v>
      </c>
      <c r="G1249" s="62"/>
      <c r="H1249" s="35" t="n">
        <v>0</v>
      </c>
      <c r="I1249" s="34" t="n">
        <f aca="false">+IF(E1249=0,0,E1249*0.03)</f>
        <v>0</v>
      </c>
    </row>
    <row r="1250" customFormat="false" ht="15.75" hidden="false" customHeight="true" outlineLevel="0" collapsed="false">
      <c r="A1250" s="30" t="n">
        <v>45444</v>
      </c>
      <c r="B1250" s="31" t="s">
        <v>153</v>
      </c>
      <c r="C1250" s="32"/>
      <c r="D1250" s="32"/>
      <c r="E1250" s="19" t="n">
        <f aca="false">+F1250*0.03</f>
        <v>0</v>
      </c>
      <c r="F1250" s="33" t="n">
        <v>0</v>
      </c>
      <c r="G1250" s="62"/>
      <c r="H1250" s="35" t="n">
        <v>0</v>
      </c>
      <c r="I1250" s="34" t="n">
        <f aca="false">+IF(E1250=0,0,E1250*0.03)</f>
        <v>0</v>
      </c>
    </row>
    <row r="1251" customFormat="false" ht="15.75" hidden="false" customHeight="true" outlineLevel="0" collapsed="false">
      <c r="A1251" s="30" t="n">
        <v>45444</v>
      </c>
      <c r="B1251" s="31" t="s">
        <v>153</v>
      </c>
      <c r="C1251" s="32"/>
      <c r="D1251" s="32"/>
      <c r="E1251" s="19" t="n">
        <f aca="false">+F1251*0.03</f>
        <v>0</v>
      </c>
      <c r="F1251" s="33" t="n">
        <v>0</v>
      </c>
      <c r="G1251" s="62"/>
      <c r="H1251" s="35" t="n">
        <v>0</v>
      </c>
      <c r="I1251" s="34" t="n">
        <f aca="false">+IF(E1251=0,0,E1251*0.03)</f>
        <v>0</v>
      </c>
    </row>
    <row r="1252" customFormat="false" ht="15.75" hidden="false" customHeight="true" outlineLevel="0" collapsed="false">
      <c r="A1252" s="30" t="n">
        <v>45444</v>
      </c>
      <c r="B1252" s="31" t="s">
        <v>153</v>
      </c>
      <c r="C1252" s="32"/>
      <c r="D1252" s="32"/>
      <c r="E1252" s="19" t="n">
        <f aca="false">+F1252*0.03</f>
        <v>0</v>
      </c>
      <c r="F1252" s="33" t="n">
        <v>0</v>
      </c>
      <c r="G1252" s="62"/>
      <c r="H1252" s="35" t="n">
        <v>0</v>
      </c>
      <c r="I1252" s="34" t="n">
        <f aca="false">+IF(E1252=0,0,E1252*0.03)</f>
        <v>0</v>
      </c>
    </row>
    <row r="1253" customFormat="false" ht="15.75" hidden="false" customHeight="true" outlineLevel="0" collapsed="false">
      <c r="A1253" s="30" t="n">
        <v>45444</v>
      </c>
      <c r="B1253" s="31" t="s">
        <v>153</v>
      </c>
      <c r="C1253" s="32"/>
      <c r="D1253" s="32"/>
      <c r="E1253" s="19" t="n">
        <f aca="false">+F1253*0.03</f>
        <v>0</v>
      </c>
      <c r="F1253" s="33" t="n">
        <v>0</v>
      </c>
      <c r="G1253" s="62"/>
      <c r="H1253" s="35" t="n">
        <v>0</v>
      </c>
      <c r="I1253" s="34" t="n">
        <f aca="false">+IF(E1253=0,0,E1253*0.03)</f>
        <v>0</v>
      </c>
    </row>
    <row r="1254" customFormat="false" ht="15.75" hidden="false" customHeight="true" outlineLevel="0" collapsed="false">
      <c r="A1254" s="30" t="n">
        <v>45444</v>
      </c>
      <c r="B1254" s="31" t="s">
        <v>153</v>
      </c>
      <c r="C1254" s="32"/>
      <c r="D1254" s="32"/>
      <c r="E1254" s="19" t="n">
        <f aca="false">+F1254*0.03</f>
        <v>0</v>
      </c>
      <c r="F1254" s="33" t="n">
        <v>0</v>
      </c>
      <c r="G1254" s="62"/>
      <c r="H1254" s="35" t="n">
        <v>0</v>
      </c>
      <c r="I1254" s="34" t="n">
        <f aca="false">+IF(E1254=0,0,E1254*0.03)</f>
        <v>0</v>
      </c>
    </row>
    <row r="1255" customFormat="false" ht="15.75" hidden="false" customHeight="true" outlineLevel="0" collapsed="false">
      <c r="A1255" s="30" t="n">
        <v>45444</v>
      </c>
      <c r="B1255" s="31" t="s">
        <v>153</v>
      </c>
      <c r="C1255" s="32"/>
      <c r="D1255" s="32"/>
      <c r="E1255" s="19" t="n">
        <f aca="false">+F1255*0.03</f>
        <v>0</v>
      </c>
      <c r="F1255" s="33" t="n">
        <v>0</v>
      </c>
      <c r="G1255" s="62"/>
      <c r="H1255" s="35" t="n">
        <v>0</v>
      </c>
      <c r="I1255" s="34" t="n">
        <f aca="false">+IF(E1255=0,0,E1255*0.03)</f>
        <v>0</v>
      </c>
    </row>
    <row r="1256" customFormat="false" ht="15.75" hidden="false" customHeight="true" outlineLevel="0" collapsed="false">
      <c r="A1256" s="30" t="n">
        <v>45444</v>
      </c>
      <c r="B1256" s="31" t="s">
        <v>153</v>
      </c>
      <c r="C1256" s="32"/>
      <c r="D1256" s="32"/>
      <c r="E1256" s="19" t="n">
        <f aca="false">+F1256*0.03</f>
        <v>0</v>
      </c>
      <c r="F1256" s="33" t="n">
        <v>0</v>
      </c>
      <c r="G1256" s="62"/>
      <c r="H1256" s="35" t="n">
        <v>0</v>
      </c>
      <c r="I1256" s="34" t="n">
        <f aca="false">+IF(E1256=0,0,E1256*0.03)</f>
        <v>0</v>
      </c>
    </row>
    <row r="1257" customFormat="false" ht="15.75" hidden="false" customHeight="true" outlineLevel="0" collapsed="false">
      <c r="A1257" s="30" t="n">
        <v>45444</v>
      </c>
      <c r="B1257" s="31" t="s">
        <v>153</v>
      </c>
      <c r="C1257" s="32"/>
      <c r="D1257" s="32"/>
      <c r="E1257" s="19" t="n">
        <f aca="false">+F1257*0.03</f>
        <v>0</v>
      </c>
      <c r="F1257" s="33" t="n">
        <v>0</v>
      </c>
      <c r="G1257" s="62"/>
      <c r="H1257" s="35" t="n">
        <v>0</v>
      </c>
      <c r="I1257" s="34" t="n">
        <f aca="false">+IF(E1257=0,0,E1257*0.03)</f>
        <v>0</v>
      </c>
    </row>
    <row r="1258" customFormat="false" ht="15.75" hidden="false" customHeight="true" outlineLevel="0" collapsed="false">
      <c r="A1258" s="30" t="n">
        <v>45444</v>
      </c>
      <c r="B1258" s="31" t="s">
        <v>153</v>
      </c>
      <c r="C1258" s="32"/>
      <c r="D1258" s="32"/>
      <c r="E1258" s="19" t="n">
        <f aca="false">+F1258*0.03</f>
        <v>0</v>
      </c>
      <c r="F1258" s="33" t="n">
        <v>0</v>
      </c>
      <c r="G1258" s="62"/>
      <c r="H1258" s="35" t="n">
        <v>0</v>
      </c>
      <c r="I1258" s="34" t="n">
        <f aca="false">+IF(E1258=0,0,E1258*0.03)</f>
        <v>0</v>
      </c>
    </row>
    <row r="1259" customFormat="false" ht="15.75" hidden="false" customHeight="true" outlineLevel="0" collapsed="false">
      <c r="A1259" s="30" t="n">
        <v>45444</v>
      </c>
      <c r="B1259" s="31" t="s">
        <v>153</v>
      </c>
      <c r="C1259" s="32"/>
      <c r="D1259" s="32"/>
      <c r="E1259" s="19" t="n">
        <f aca="false">+F1259*0.03</f>
        <v>0</v>
      </c>
      <c r="F1259" s="33" t="n">
        <v>0</v>
      </c>
      <c r="G1259" s="62"/>
      <c r="H1259" s="35" t="n">
        <v>0</v>
      </c>
      <c r="I1259" s="34" t="n">
        <f aca="false">+IF(E1259=0,0,E1259*0.03)</f>
        <v>0</v>
      </c>
    </row>
    <row r="1260" customFormat="false" ht="15.75" hidden="false" customHeight="true" outlineLevel="0" collapsed="false">
      <c r="A1260" s="30" t="n">
        <v>45444</v>
      </c>
      <c r="B1260" s="31" t="s">
        <v>153</v>
      </c>
      <c r="C1260" s="32"/>
      <c r="D1260" s="32"/>
      <c r="E1260" s="19" t="n">
        <f aca="false">+F1260*0.03</f>
        <v>0</v>
      </c>
      <c r="F1260" s="33" t="n">
        <v>0</v>
      </c>
      <c r="G1260" s="62"/>
      <c r="H1260" s="35" t="n">
        <v>0</v>
      </c>
      <c r="I1260" s="34" t="n">
        <f aca="false">+IF(E1260=0,0,E1260*0.03)</f>
        <v>0</v>
      </c>
    </row>
    <row r="1261" customFormat="false" ht="15.75" hidden="false" customHeight="true" outlineLevel="0" collapsed="false">
      <c r="A1261" s="30" t="n">
        <v>45444</v>
      </c>
      <c r="B1261" s="31" t="s">
        <v>153</v>
      </c>
      <c r="C1261" s="32"/>
      <c r="D1261" s="32"/>
      <c r="E1261" s="19" t="n">
        <f aca="false">+F1261*0.03</f>
        <v>0</v>
      </c>
      <c r="F1261" s="33" t="n">
        <v>0</v>
      </c>
      <c r="G1261" s="62"/>
      <c r="H1261" s="35" t="n">
        <v>0</v>
      </c>
      <c r="I1261" s="34" t="n">
        <f aca="false">+IF(E1261=0,0,E1261*0.03)</f>
        <v>0</v>
      </c>
    </row>
    <row r="1262" customFormat="false" ht="15.75" hidden="false" customHeight="true" outlineLevel="0" collapsed="false">
      <c r="A1262" s="30" t="n">
        <v>45444</v>
      </c>
      <c r="B1262" s="31" t="s">
        <v>153</v>
      </c>
      <c r="C1262" s="32"/>
      <c r="D1262" s="32"/>
      <c r="E1262" s="19" t="n">
        <f aca="false">+F1262*0.03</f>
        <v>0</v>
      </c>
      <c r="F1262" s="33" t="n">
        <v>0</v>
      </c>
      <c r="G1262" s="62"/>
      <c r="H1262" s="35" t="n">
        <v>0</v>
      </c>
      <c r="I1262" s="34" t="n">
        <f aca="false">+IF(E1262=0,0,E1262*0.03)</f>
        <v>0</v>
      </c>
    </row>
    <row r="1263" customFormat="false" ht="15.75" hidden="false" customHeight="true" outlineLevel="0" collapsed="false">
      <c r="A1263" s="30" t="n">
        <v>45444</v>
      </c>
      <c r="B1263" s="31" t="s">
        <v>153</v>
      </c>
      <c r="C1263" s="32"/>
      <c r="D1263" s="32"/>
      <c r="E1263" s="19" t="n">
        <f aca="false">+F1263*0.03</f>
        <v>0</v>
      </c>
      <c r="F1263" s="33" t="n">
        <v>0</v>
      </c>
      <c r="G1263" s="62"/>
      <c r="H1263" s="35" t="n">
        <v>0</v>
      </c>
      <c r="I1263" s="34" t="n">
        <f aca="false">+IF(E1263=0,0,E1263*0.03)</f>
        <v>0</v>
      </c>
    </row>
    <row r="1264" customFormat="false" ht="15.75" hidden="false" customHeight="true" outlineLevel="0" collapsed="false">
      <c r="A1264" s="30" t="n">
        <v>45444</v>
      </c>
      <c r="B1264" s="31" t="s">
        <v>153</v>
      </c>
      <c r="C1264" s="32"/>
      <c r="D1264" s="32"/>
      <c r="E1264" s="19" t="n">
        <f aca="false">+F1264*0.03</f>
        <v>0</v>
      </c>
      <c r="F1264" s="33" t="n">
        <v>0</v>
      </c>
      <c r="G1264" s="62"/>
      <c r="H1264" s="35" t="n">
        <v>0</v>
      </c>
      <c r="I1264" s="34" t="n">
        <f aca="false">+IF(E1264=0,0,E1264*0.03)</f>
        <v>0</v>
      </c>
    </row>
    <row r="1265" customFormat="false" ht="15.75" hidden="false" customHeight="true" outlineLevel="0" collapsed="false">
      <c r="A1265" s="30" t="n">
        <v>45444</v>
      </c>
      <c r="B1265" s="31" t="s">
        <v>153</v>
      </c>
      <c r="C1265" s="32"/>
      <c r="D1265" s="32"/>
      <c r="E1265" s="19" t="n">
        <f aca="false">+F1265*0.03</f>
        <v>0</v>
      </c>
      <c r="F1265" s="33" t="n">
        <v>0</v>
      </c>
      <c r="G1265" s="62"/>
      <c r="H1265" s="35" t="n">
        <v>0</v>
      </c>
      <c r="I1265" s="34" t="n">
        <f aca="false">+IF(E1265=0,0,E1265*0.03)</f>
        <v>0</v>
      </c>
    </row>
    <row r="1266" customFormat="false" ht="15.75" hidden="false" customHeight="true" outlineLevel="0" collapsed="false">
      <c r="A1266" s="30" t="n">
        <v>45444</v>
      </c>
      <c r="B1266" s="31" t="s">
        <v>153</v>
      </c>
      <c r="C1266" s="32"/>
      <c r="D1266" s="32"/>
      <c r="E1266" s="19" t="n">
        <f aca="false">+F1266*0.03</f>
        <v>0</v>
      </c>
      <c r="F1266" s="33" t="n">
        <v>0</v>
      </c>
      <c r="G1266" s="62"/>
      <c r="H1266" s="35" t="n">
        <v>0</v>
      </c>
      <c r="I1266" s="34" t="n">
        <f aca="false">+IF(E1266=0,0,E1266*0.03)</f>
        <v>0</v>
      </c>
    </row>
    <row r="1267" customFormat="false" ht="15.75" hidden="false" customHeight="true" outlineLevel="0" collapsed="false">
      <c r="A1267" s="30" t="n">
        <v>45444</v>
      </c>
      <c r="B1267" s="31" t="s">
        <v>153</v>
      </c>
      <c r="C1267" s="32"/>
      <c r="D1267" s="32"/>
      <c r="E1267" s="19" t="n">
        <f aca="false">+F1267*0.03</f>
        <v>0</v>
      </c>
      <c r="F1267" s="33" t="n">
        <v>0</v>
      </c>
      <c r="G1267" s="62"/>
      <c r="H1267" s="35" t="n">
        <v>0</v>
      </c>
      <c r="I1267" s="34" t="n">
        <f aca="false">+IF(E1267=0,0,E1267*0.03)</f>
        <v>0</v>
      </c>
    </row>
    <row r="1268" customFormat="false" ht="15.75" hidden="false" customHeight="true" outlineLevel="0" collapsed="false">
      <c r="A1268" s="30" t="n">
        <v>45444</v>
      </c>
      <c r="B1268" s="31" t="s">
        <v>153</v>
      </c>
      <c r="C1268" s="32"/>
      <c r="D1268" s="32"/>
      <c r="E1268" s="19" t="n">
        <f aca="false">+F1268*0.03</f>
        <v>0</v>
      </c>
      <c r="F1268" s="33" t="n">
        <v>0</v>
      </c>
      <c r="G1268" s="62"/>
      <c r="H1268" s="35" t="n">
        <v>0</v>
      </c>
      <c r="I1268" s="34" t="n">
        <f aca="false">+IF(E1268=0,0,E1268*0.03)</f>
        <v>0</v>
      </c>
    </row>
    <row r="1269" customFormat="false" ht="15.75" hidden="false" customHeight="true" outlineLevel="0" collapsed="false">
      <c r="A1269" s="30" t="n">
        <v>45444</v>
      </c>
      <c r="B1269" s="31" t="s">
        <v>153</v>
      </c>
      <c r="C1269" s="32"/>
      <c r="D1269" s="32"/>
      <c r="E1269" s="19" t="n">
        <f aca="false">+F1269*0.03</f>
        <v>0</v>
      </c>
      <c r="F1269" s="33" t="n">
        <v>0</v>
      </c>
      <c r="G1269" s="62"/>
      <c r="H1269" s="35" t="n">
        <v>0</v>
      </c>
      <c r="I1269" s="34" t="n">
        <f aca="false">+IF(E1269=0,0,E1269*0.03)</f>
        <v>0</v>
      </c>
    </row>
    <row r="1270" customFormat="false" ht="15.75" hidden="false" customHeight="true" outlineLevel="0" collapsed="false">
      <c r="A1270" s="30" t="n">
        <v>45444</v>
      </c>
      <c r="B1270" s="31" t="s">
        <v>153</v>
      </c>
      <c r="C1270" s="32"/>
      <c r="D1270" s="32"/>
      <c r="E1270" s="19" t="n">
        <f aca="false">+F1270*0.03</f>
        <v>0</v>
      </c>
      <c r="F1270" s="33" t="n">
        <v>0</v>
      </c>
      <c r="G1270" s="62"/>
      <c r="H1270" s="35" t="n">
        <v>0</v>
      </c>
      <c r="I1270" s="34" t="n">
        <f aca="false">+IF(E1270=0,0,E1270*0.03)</f>
        <v>0</v>
      </c>
    </row>
    <row r="1271" customFormat="false" ht="15.75" hidden="false" customHeight="true" outlineLevel="0" collapsed="false">
      <c r="A1271" s="30" t="n">
        <v>45444</v>
      </c>
      <c r="B1271" s="31" t="s">
        <v>153</v>
      </c>
      <c r="C1271" s="32"/>
      <c r="D1271" s="32"/>
      <c r="E1271" s="19" t="n">
        <f aca="false">+F1271*0.03</f>
        <v>0</v>
      </c>
      <c r="F1271" s="33" t="n">
        <v>0</v>
      </c>
      <c r="G1271" s="62"/>
      <c r="H1271" s="35" t="n">
        <v>0</v>
      </c>
      <c r="I1271" s="34" t="n">
        <f aca="false">+IF(E1271=0,0,E1271*0.03)</f>
        <v>0</v>
      </c>
    </row>
    <row r="1272" customFormat="false" ht="15.75" hidden="false" customHeight="true" outlineLevel="0" collapsed="false">
      <c r="A1272" s="30" t="n">
        <v>45444</v>
      </c>
      <c r="B1272" s="31" t="s">
        <v>153</v>
      </c>
      <c r="C1272" s="32"/>
      <c r="D1272" s="32"/>
      <c r="E1272" s="19" t="n">
        <f aca="false">+F1272*0.03</f>
        <v>0</v>
      </c>
      <c r="F1272" s="33" t="n">
        <v>0</v>
      </c>
      <c r="G1272" s="62"/>
      <c r="H1272" s="35" t="n">
        <v>0</v>
      </c>
      <c r="I1272" s="34" t="n">
        <f aca="false">+IF(E1272=0,0,E1272*0.03)</f>
        <v>0</v>
      </c>
    </row>
    <row r="1273" customFormat="false" ht="15.75" hidden="false" customHeight="true" outlineLevel="0" collapsed="false">
      <c r="A1273" s="30" t="n">
        <v>45444</v>
      </c>
      <c r="B1273" s="31" t="s">
        <v>153</v>
      </c>
      <c r="C1273" s="32"/>
      <c r="D1273" s="32"/>
      <c r="E1273" s="19" t="n">
        <f aca="false">+F1273*0.03</f>
        <v>0</v>
      </c>
      <c r="F1273" s="33" t="n">
        <v>0</v>
      </c>
      <c r="G1273" s="62"/>
      <c r="H1273" s="35" t="n">
        <v>0</v>
      </c>
      <c r="I1273" s="34" t="n">
        <f aca="false">+IF(E1273=0,0,E1273*0.03)</f>
        <v>0</v>
      </c>
    </row>
    <row r="1274" customFormat="false" ht="15.75" hidden="false" customHeight="true" outlineLevel="0" collapsed="false">
      <c r="A1274" s="30" t="n">
        <v>45444</v>
      </c>
      <c r="B1274" s="31" t="s">
        <v>153</v>
      </c>
      <c r="C1274" s="32"/>
      <c r="D1274" s="32"/>
      <c r="E1274" s="19" t="n">
        <f aca="false">+F1274*0.03</f>
        <v>0</v>
      </c>
      <c r="F1274" s="33" t="n">
        <v>0</v>
      </c>
      <c r="G1274" s="62"/>
      <c r="H1274" s="35" t="n">
        <v>0</v>
      </c>
      <c r="I1274" s="34" t="n">
        <f aca="false">+IF(E1274=0,0,E1274*0.03)</f>
        <v>0</v>
      </c>
    </row>
    <row r="1275" customFormat="false" ht="15.75" hidden="false" customHeight="true" outlineLevel="0" collapsed="false">
      <c r="A1275" s="30" t="n">
        <v>45444</v>
      </c>
      <c r="B1275" s="31" t="s">
        <v>153</v>
      </c>
      <c r="C1275" s="32"/>
      <c r="D1275" s="32"/>
      <c r="E1275" s="19" t="n">
        <f aca="false">+F1275*0.03</f>
        <v>0</v>
      </c>
      <c r="F1275" s="33" t="n">
        <v>0</v>
      </c>
      <c r="G1275" s="62"/>
      <c r="H1275" s="35" t="n">
        <v>0</v>
      </c>
      <c r="I1275" s="34" t="n">
        <f aca="false">+IF(E1275=0,0,E1275*0.03)</f>
        <v>0</v>
      </c>
    </row>
    <row r="1276" customFormat="false" ht="15.75" hidden="false" customHeight="true" outlineLevel="0" collapsed="false">
      <c r="A1276" s="30" t="n">
        <v>45444</v>
      </c>
      <c r="B1276" s="31" t="s">
        <v>153</v>
      </c>
      <c r="C1276" s="32"/>
      <c r="D1276" s="32"/>
      <c r="E1276" s="19" t="n">
        <f aca="false">+F1276*0.03</f>
        <v>0</v>
      </c>
      <c r="F1276" s="33" t="n">
        <v>0</v>
      </c>
      <c r="G1276" s="62"/>
      <c r="H1276" s="35" t="n">
        <v>0</v>
      </c>
      <c r="I1276" s="34" t="n">
        <f aca="false">+IF(E1276=0,0,E1276*0.03)</f>
        <v>0</v>
      </c>
    </row>
    <row r="1277" customFormat="false" ht="15.75" hidden="false" customHeight="true" outlineLevel="0" collapsed="false">
      <c r="A1277" s="30" t="n">
        <v>45444</v>
      </c>
      <c r="B1277" s="31" t="s">
        <v>153</v>
      </c>
      <c r="C1277" s="32"/>
      <c r="D1277" s="32"/>
      <c r="E1277" s="19" t="n">
        <f aca="false">+F1277*0.03</f>
        <v>0</v>
      </c>
      <c r="F1277" s="33" t="n">
        <v>0</v>
      </c>
      <c r="G1277" s="62"/>
      <c r="H1277" s="35" t="n">
        <v>0</v>
      </c>
      <c r="I1277" s="34" t="n">
        <f aca="false">+IF(E1277=0,0,E1277*0.03)</f>
        <v>0</v>
      </c>
    </row>
    <row r="1278" customFormat="false" ht="15.75" hidden="false" customHeight="true" outlineLevel="0" collapsed="false">
      <c r="A1278" s="30" t="n">
        <v>45444</v>
      </c>
      <c r="B1278" s="31" t="s">
        <v>153</v>
      </c>
      <c r="C1278" s="32"/>
      <c r="D1278" s="32"/>
      <c r="E1278" s="19" t="n">
        <f aca="false">+F1278*0.03</f>
        <v>0</v>
      </c>
      <c r="F1278" s="33" t="n">
        <v>0</v>
      </c>
      <c r="G1278" s="62"/>
      <c r="H1278" s="35" t="n">
        <v>0</v>
      </c>
      <c r="I1278" s="34" t="n">
        <f aca="false">+IF(E1278=0,0,E1278*0.03)</f>
        <v>0</v>
      </c>
    </row>
    <row r="1279" customFormat="false" ht="15.75" hidden="false" customHeight="true" outlineLevel="0" collapsed="false">
      <c r="A1279" s="30" t="n">
        <v>45444</v>
      </c>
      <c r="B1279" s="31" t="s">
        <v>153</v>
      </c>
      <c r="C1279" s="32"/>
      <c r="D1279" s="32"/>
      <c r="E1279" s="19" t="n">
        <f aca="false">+F1279*0.03</f>
        <v>0</v>
      </c>
      <c r="F1279" s="33" t="n">
        <v>0</v>
      </c>
      <c r="G1279" s="62"/>
      <c r="H1279" s="35" t="n">
        <v>0</v>
      </c>
      <c r="I1279" s="34" t="n">
        <f aca="false">+IF(E1279=0,0,E1279*0.03)</f>
        <v>0</v>
      </c>
    </row>
    <row r="1280" customFormat="false" ht="15.75" hidden="false" customHeight="true" outlineLevel="0" collapsed="false">
      <c r="A1280" s="30" t="n">
        <v>45444</v>
      </c>
      <c r="B1280" s="31" t="s">
        <v>153</v>
      </c>
      <c r="C1280" s="32"/>
      <c r="D1280" s="32"/>
      <c r="E1280" s="19" t="n">
        <f aca="false">+F1280*0.03</f>
        <v>0</v>
      </c>
      <c r="F1280" s="33" t="n">
        <v>0</v>
      </c>
      <c r="G1280" s="62"/>
      <c r="H1280" s="35" t="n">
        <v>0</v>
      </c>
      <c r="I1280" s="34" t="n">
        <f aca="false">+IF(E1280=0,0,E1280*0.03)</f>
        <v>0</v>
      </c>
    </row>
    <row r="1281" customFormat="false" ht="15.75" hidden="false" customHeight="true" outlineLevel="0" collapsed="false">
      <c r="A1281" s="30" t="n">
        <v>45444</v>
      </c>
      <c r="B1281" s="31" t="s">
        <v>153</v>
      </c>
      <c r="C1281" s="32"/>
      <c r="D1281" s="32"/>
      <c r="E1281" s="19" t="n">
        <f aca="false">+F1281*0.03</f>
        <v>0</v>
      </c>
      <c r="F1281" s="33" t="n">
        <v>0</v>
      </c>
      <c r="G1281" s="62"/>
      <c r="H1281" s="35" t="n">
        <v>0</v>
      </c>
      <c r="I1281" s="34" t="n">
        <f aca="false">+IF(E1281=0,0,E1281*0.03)</f>
        <v>0</v>
      </c>
    </row>
    <row r="1282" customFormat="false" ht="15.75" hidden="false" customHeight="true" outlineLevel="0" collapsed="false">
      <c r="A1282" s="30" t="n">
        <v>45444</v>
      </c>
      <c r="B1282" s="31" t="s">
        <v>153</v>
      </c>
      <c r="C1282" s="32"/>
      <c r="D1282" s="32"/>
      <c r="E1282" s="19" t="n">
        <f aca="false">+F1282*0.03</f>
        <v>0</v>
      </c>
      <c r="F1282" s="33" t="n">
        <v>0</v>
      </c>
      <c r="G1282" s="62"/>
      <c r="H1282" s="35" t="n">
        <v>0</v>
      </c>
      <c r="I1282" s="34" t="n">
        <f aca="false">+IF(E1282=0,0,E1282*0.03)</f>
        <v>0</v>
      </c>
    </row>
    <row r="1283" customFormat="false" ht="15.75" hidden="false" customHeight="true" outlineLevel="0" collapsed="false">
      <c r="A1283" s="30" t="n">
        <v>45444</v>
      </c>
      <c r="B1283" s="31" t="s">
        <v>153</v>
      </c>
      <c r="C1283" s="32"/>
      <c r="D1283" s="32"/>
      <c r="E1283" s="19" t="n">
        <f aca="false">+F1283*0.03</f>
        <v>0</v>
      </c>
      <c r="F1283" s="33" t="n">
        <v>0</v>
      </c>
      <c r="G1283" s="62"/>
      <c r="H1283" s="35" t="n">
        <v>0</v>
      </c>
      <c r="I1283" s="34" t="n">
        <f aca="false">+IF(E1283=0,0,E1283*0.03)</f>
        <v>0</v>
      </c>
    </row>
    <row r="1284" customFormat="false" ht="15.75" hidden="false" customHeight="true" outlineLevel="0" collapsed="false">
      <c r="A1284" s="30" t="n">
        <v>45444</v>
      </c>
      <c r="B1284" s="31" t="s">
        <v>153</v>
      </c>
      <c r="C1284" s="32"/>
      <c r="D1284" s="32"/>
      <c r="E1284" s="19" t="n">
        <f aca="false">+F1284*0.03</f>
        <v>0</v>
      </c>
      <c r="F1284" s="33" t="n">
        <v>0</v>
      </c>
      <c r="G1284" s="62"/>
      <c r="H1284" s="35" t="n">
        <v>0</v>
      </c>
      <c r="I1284" s="34" t="n">
        <f aca="false">+IF(E1284=0,0,E1284*0.03)</f>
        <v>0</v>
      </c>
    </row>
    <row r="1285" customFormat="false" ht="15.75" hidden="false" customHeight="true" outlineLevel="0" collapsed="false">
      <c r="A1285" s="30" t="n">
        <v>45444</v>
      </c>
      <c r="B1285" s="31" t="s">
        <v>153</v>
      </c>
      <c r="C1285" s="32"/>
      <c r="D1285" s="32"/>
      <c r="E1285" s="19" t="n">
        <f aca="false">+F1285*0.03</f>
        <v>0</v>
      </c>
      <c r="F1285" s="33" t="n">
        <v>0</v>
      </c>
      <c r="G1285" s="62"/>
      <c r="H1285" s="35" t="n">
        <v>0</v>
      </c>
      <c r="I1285" s="34" t="n">
        <f aca="false">+IF(E1285=0,0,E1285*0.03)</f>
        <v>0</v>
      </c>
    </row>
    <row r="1286" customFormat="false" ht="15.75" hidden="false" customHeight="true" outlineLevel="0" collapsed="false">
      <c r="A1286" s="30" t="n">
        <v>45444</v>
      </c>
      <c r="B1286" s="31" t="s">
        <v>153</v>
      </c>
      <c r="C1286" s="32"/>
      <c r="D1286" s="32"/>
      <c r="E1286" s="19" t="n">
        <f aca="false">+F1286*0.03</f>
        <v>0</v>
      </c>
      <c r="F1286" s="33" t="n">
        <v>0</v>
      </c>
      <c r="G1286" s="62"/>
      <c r="H1286" s="35" t="n">
        <v>0</v>
      </c>
      <c r="I1286" s="34" t="n">
        <f aca="false">+IF(E1286=0,0,E1286*0.03)</f>
        <v>0</v>
      </c>
    </row>
    <row r="1287" customFormat="false" ht="15.75" hidden="false" customHeight="true" outlineLevel="0" collapsed="false">
      <c r="A1287" s="30" t="n">
        <v>45444</v>
      </c>
      <c r="B1287" s="31" t="s">
        <v>153</v>
      </c>
      <c r="C1287" s="32"/>
      <c r="D1287" s="32"/>
      <c r="E1287" s="19" t="n">
        <f aca="false">+F1287*0.03</f>
        <v>0</v>
      </c>
      <c r="F1287" s="33" t="n">
        <v>0</v>
      </c>
      <c r="G1287" s="62"/>
      <c r="H1287" s="35" t="n">
        <v>0</v>
      </c>
      <c r="I1287" s="34" t="n">
        <f aca="false">+IF(E1287=0,0,E1287*0.03)</f>
        <v>0</v>
      </c>
    </row>
    <row r="1288" customFormat="false" ht="15.75" hidden="false" customHeight="true" outlineLevel="0" collapsed="false">
      <c r="A1288" s="30" t="n">
        <v>45444</v>
      </c>
      <c r="B1288" s="31" t="s">
        <v>153</v>
      </c>
      <c r="C1288" s="32"/>
      <c r="D1288" s="32"/>
      <c r="E1288" s="19" t="n">
        <f aca="false">+F1288*0.03</f>
        <v>0</v>
      </c>
      <c r="F1288" s="33" t="n">
        <v>0</v>
      </c>
      <c r="G1288" s="62"/>
      <c r="H1288" s="35" t="n">
        <v>0</v>
      </c>
      <c r="I1288" s="34" t="n">
        <f aca="false">+IF(E1288=0,0,E1288*0.03)</f>
        <v>0</v>
      </c>
    </row>
    <row r="1289" customFormat="false" ht="15.75" hidden="false" customHeight="true" outlineLevel="0" collapsed="false">
      <c r="A1289" s="30" t="n">
        <v>45444</v>
      </c>
      <c r="B1289" s="31" t="s">
        <v>153</v>
      </c>
      <c r="C1289" s="32"/>
      <c r="D1289" s="32"/>
      <c r="E1289" s="19" t="n">
        <f aca="false">+F1289*0.03</f>
        <v>0</v>
      </c>
      <c r="F1289" s="33" t="n">
        <v>0</v>
      </c>
      <c r="G1289" s="62"/>
      <c r="H1289" s="35" t="n">
        <v>0</v>
      </c>
      <c r="I1289" s="34" t="n">
        <f aca="false">+IF(E1289=0,0,E1289*0.03)</f>
        <v>0</v>
      </c>
    </row>
    <row r="1290" customFormat="false" ht="15.75" hidden="false" customHeight="true" outlineLevel="0" collapsed="false">
      <c r="A1290" s="30" t="n">
        <v>45444</v>
      </c>
      <c r="B1290" s="31" t="s">
        <v>153</v>
      </c>
      <c r="C1290" s="32"/>
      <c r="D1290" s="32"/>
      <c r="E1290" s="19" t="n">
        <f aca="false">+F1290*0.03</f>
        <v>0</v>
      </c>
      <c r="F1290" s="33" t="n">
        <v>0</v>
      </c>
      <c r="G1290" s="62"/>
      <c r="H1290" s="35" t="n">
        <v>0</v>
      </c>
      <c r="I1290" s="34" t="n">
        <f aca="false">+IF(E1290=0,0,E1290*0.03)</f>
        <v>0</v>
      </c>
    </row>
    <row r="1291" customFormat="false" ht="15.75" hidden="false" customHeight="true" outlineLevel="0" collapsed="false">
      <c r="A1291" s="30" t="n">
        <v>45444</v>
      </c>
      <c r="B1291" s="31" t="s">
        <v>153</v>
      </c>
      <c r="C1291" s="32"/>
      <c r="D1291" s="32"/>
      <c r="E1291" s="19" t="n">
        <f aca="false">+F1291*0.03</f>
        <v>0</v>
      </c>
      <c r="F1291" s="33" t="n">
        <v>0</v>
      </c>
      <c r="G1291" s="62"/>
      <c r="H1291" s="35" t="n">
        <v>0</v>
      </c>
      <c r="I1291" s="34" t="n">
        <f aca="false">+IF(E1291=0,0,E1291*0.03)</f>
        <v>0</v>
      </c>
    </row>
    <row r="1292" customFormat="false" ht="15.75" hidden="false" customHeight="true" outlineLevel="0" collapsed="false">
      <c r="A1292" s="30" t="n">
        <v>45444</v>
      </c>
      <c r="B1292" s="31" t="s">
        <v>153</v>
      </c>
      <c r="C1292" s="32"/>
      <c r="D1292" s="32"/>
      <c r="E1292" s="19" t="n">
        <f aca="false">+F1292*0.03</f>
        <v>0</v>
      </c>
      <c r="F1292" s="33" t="n">
        <v>0</v>
      </c>
      <c r="G1292" s="62"/>
      <c r="H1292" s="35" t="n">
        <v>0</v>
      </c>
      <c r="I1292" s="34" t="n">
        <f aca="false">+IF(E1292=0,0,E1292*0.03)</f>
        <v>0</v>
      </c>
    </row>
    <row r="1293" customFormat="false" ht="15.75" hidden="false" customHeight="true" outlineLevel="0" collapsed="false">
      <c r="A1293" s="30" t="n">
        <v>45444</v>
      </c>
      <c r="B1293" s="31" t="s">
        <v>153</v>
      </c>
      <c r="C1293" s="32"/>
      <c r="D1293" s="32"/>
      <c r="E1293" s="19" t="n">
        <f aca="false">+F1293*0.03</f>
        <v>0</v>
      </c>
      <c r="F1293" s="33" t="n">
        <v>0</v>
      </c>
      <c r="G1293" s="62"/>
      <c r="H1293" s="35" t="n">
        <v>0</v>
      </c>
      <c r="I1293" s="34" t="n">
        <f aca="false">+IF(E1293=0,0,E1293*0.03)</f>
        <v>0</v>
      </c>
    </row>
    <row r="1294" customFormat="false" ht="15.75" hidden="false" customHeight="true" outlineLevel="0" collapsed="false">
      <c r="A1294" s="30" t="n">
        <v>45444</v>
      </c>
      <c r="B1294" s="31" t="s">
        <v>153</v>
      </c>
      <c r="C1294" s="32"/>
      <c r="D1294" s="32"/>
      <c r="E1294" s="19" t="n">
        <f aca="false">+F1294*0.03</f>
        <v>0</v>
      </c>
      <c r="F1294" s="33" t="n">
        <v>0</v>
      </c>
      <c r="G1294" s="62"/>
      <c r="H1294" s="35" t="n">
        <v>0</v>
      </c>
      <c r="I1294" s="34" t="n">
        <f aca="false">+IF(E1294=0,0,E1294*0.03)</f>
        <v>0</v>
      </c>
    </row>
    <row r="1295" customFormat="false" ht="15.75" hidden="false" customHeight="true" outlineLevel="0" collapsed="false">
      <c r="A1295" s="30" t="n">
        <v>45444</v>
      </c>
      <c r="B1295" s="31" t="s">
        <v>153</v>
      </c>
      <c r="C1295" s="32"/>
      <c r="D1295" s="32"/>
      <c r="E1295" s="19" t="n">
        <f aca="false">+F1295*0.03</f>
        <v>0</v>
      </c>
      <c r="F1295" s="33" t="n">
        <v>0</v>
      </c>
      <c r="G1295" s="62"/>
      <c r="H1295" s="35" t="n">
        <v>0</v>
      </c>
      <c r="I1295" s="34" t="n">
        <f aca="false">+IF(E1295=0,0,E1295*0.03)</f>
        <v>0</v>
      </c>
    </row>
    <row r="1296" customFormat="false" ht="15.75" hidden="false" customHeight="true" outlineLevel="0" collapsed="false">
      <c r="A1296" s="30" t="n">
        <v>45444</v>
      </c>
      <c r="B1296" s="31" t="s">
        <v>153</v>
      </c>
      <c r="C1296" s="32"/>
      <c r="D1296" s="32"/>
      <c r="E1296" s="19" t="n">
        <f aca="false">+F1296*0.03</f>
        <v>0</v>
      </c>
      <c r="F1296" s="33" t="n">
        <v>0</v>
      </c>
      <c r="G1296" s="62"/>
      <c r="H1296" s="35" t="n">
        <v>0</v>
      </c>
      <c r="I1296" s="34" t="n">
        <f aca="false">+IF(E1296=0,0,E1296*0.03)</f>
        <v>0</v>
      </c>
    </row>
    <row r="1297" customFormat="false" ht="15.75" hidden="false" customHeight="true" outlineLevel="0" collapsed="false">
      <c r="A1297" s="30" t="n">
        <v>45444</v>
      </c>
      <c r="B1297" s="31" t="s">
        <v>153</v>
      </c>
      <c r="C1297" s="32"/>
      <c r="D1297" s="32"/>
      <c r="E1297" s="19" t="n">
        <f aca="false">+F1297*0.03</f>
        <v>0</v>
      </c>
      <c r="F1297" s="33" t="n">
        <v>0</v>
      </c>
      <c r="G1297" s="62"/>
      <c r="H1297" s="35" t="n">
        <v>0</v>
      </c>
      <c r="I1297" s="34" t="n">
        <f aca="false">+IF(E1297=0,0,E1297*0.03)</f>
        <v>0</v>
      </c>
    </row>
    <row r="1298" customFormat="false" ht="15.75" hidden="false" customHeight="true" outlineLevel="0" collapsed="false">
      <c r="A1298" s="30" t="n">
        <v>45444</v>
      </c>
      <c r="B1298" s="31" t="s">
        <v>153</v>
      </c>
      <c r="C1298" s="32"/>
      <c r="D1298" s="32"/>
      <c r="E1298" s="19" t="n">
        <f aca="false">+F1298*0.03</f>
        <v>0</v>
      </c>
      <c r="F1298" s="33" t="n">
        <v>0</v>
      </c>
      <c r="G1298" s="62"/>
      <c r="H1298" s="35" t="n">
        <v>0</v>
      </c>
      <c r="I1298" s="34" t="n">
        <f aca="false">+IF(E1298=0,0,E1298*0.03)</f>
        <v>0</v>
      </c>
    </row>
    <row r="1299" customFormat="false" ht="15.75" hidden="false" customHeight="true" outlineLevel="0" collapsed="false">
      <c r="A1299" s="30" t="n">
        <v>45444</v>
      </c>
      <c r="B1299" s="31" t="s">
        <v>153</v>
      </c>
      <c r="C1299" s="32"/>
      <c r="D1299" s="32"/>
      <c r="E1299" s="19" t="n">
        <f aca="false">+F1299*0.03</f>
        <v>0</v>
      </c>
      <c r="F1299" s="33" t="n">
        <v>0</v>
      </c>
      <c r="G1299" s="62"/>
      <c r="H1299" s="35" t="n">
        <v>0</v>
      </c>
      <c r="I1299" s="34" t="n">
        <f aca="false">+IF(E1299=0,0,E1299*0.03)</f>
        <v>0</v>
      </c>
    </row>
    <row r="1300" customFormat="false" ht="15.75" hidden="false" customHeight="true" outlineLevel="0" collapsed="false">
      <c r="A1300" s="30" t="n">
        <v>45444</v>
      </c>
      <c r="B1300" s="31" t="s">
        <v>153</v>
      </c>
      <c r="C1300" s="32"/>
      <c r="D1300" s="32"/>
      <c r="E1300" s="19" t="n">
        <f aca="false">+F1300*0.03</f>
        <v>0</v>
      </c>
      <c r="F1300" s="33" t="n">
        <v>0</v>
      </c>
      <c r="G1300" s="62"/>
      <c r="H1300" s="35" t="n">
        <v>0</v>
      </c>
      <c r="I1300" s="34" t="n">
        <f aca="false">+IF(E1300=0,0,E1300*0.03)</f>
        <v>0</v>
      </c>
    </row>
    <row r="1301" customFormat="false" ht="15.75" hidden="false" customHeight="true" outlineLevel="0" collapsed="false">
      <c r="A1301" s="30" t="n">
        <v>45444</v>
      </c>
      <c r="B1301" s="31" t="s">
        <v>153</v>
      </c>
      <c r="C1301" s="32"/>
      <c r="D1301" s="32"/>
      <c r="E1301" s="19" t="n">
        <f aca="false">+F1301*0.03</f>
        <v>0</v>
      </c>
      <c r="F1301" s="33" t="n">
        <v>0</v>
      </c>
      <c r="G1301" s="62"/>
      <c r="H1301" s="35" t="n">
        <v>0</v>
      </c>
      <c r="I1301" s="34" t="n">
        <f aca="false">+IF(E1301=0,0,E1301*0.03)</f>
        <v>0</v>
      </c>
    </row>
    <row r="1302" customFormat="false" ht="15.75" hidden="false" customHeight="true" outlineLevel="0" collapsed="false">
      <c r="A1302" s="30" t="n">
        <v>45444</v>
      </c>
      <c r="B1302" s="31" t="s">
        <v>153</v>
      </c>
      <c r="C1302" s="32"/>
      <c r="D1302" s="32"/>
      <c r="E1302" s="19" t="n">
        <f aca="false">+F1302*0.03</f>
        <v>0</v>
      </c>
      <c r="F1302" s="33" t="n">
        <v>0</v>
      </c>
      <c r="G1302" s="62"/>
      <c r="H1302" s="35" t="n">
        <v>0</v>
      </c>
      <c r="I1302" s="34" t="n">
        <f aca="false">+IF(E1302=0,0,E1302*0.03)</f>
        <v>0</v>
      </c>
    </row>
    <row r="1303" customFormat="false" ht="15.75" hidden="false" customHeight="true" outlineLevel="0" collapsed="false">
      <c r="A1303" s="30" t="n">
        <v>45444</v>
      </c>
      <c r="B1303" s="31" t="s">
        <v>153</v>
      </c>
      <c r="C1303" s="32"/>
      <c r="D1303" s="32"/>
      <c r="E1303" s="19" t="n">
        <f aca="false">+F1303*0.03</f>
        <v>0</v>
      </c>
      <c r="F1303" s="33" t="n">
        <v>0</v>
      </c>
      <c r="G1303" s="62"/>
      <c r="H1303" s="35" t="n">
        <v>0</v>
      </c>
      <c r="I1303" s="34" t="n">
        <f aca="false">+IF(E1303=0,0,E1303*0.03)</f>
        <v>0</v>
      </c>
    </row>
    <row r="1304" customFormat="false" ht="15.75" hidden="false" customHeight="true" outlineLevel="0" collapsed="false">
      <c r="A1304" s="30" t="n">
        <v>45444</v>
      </c>
      <c r="B1304" s="31" t="s">
        <v>153</v>
      </c>
      <c r="C1304" s="32"/>
      <c r="D1304" s="32"/>
      <c r="E1304" s="19" t="n">
        <f aca="false">+F1304*0.03</f>
        <v>0</v>
      </c>
      <c r="F1304" s="33" t="n">
        <v>0</v>
      </c>
      <c r="G1304" s="62"/>
      <c r="H1304" s="35" t="n">
        <v>0</v>
      </c>
      <c r="I1304" s="34" t="n">
        <f aca="false">+IF(E1304=0,0,E1304*0.03)</f>
        <v>0</v>
      </c>
    </row>
    <row r="1305" customFormat="false" ht="15.75" hidden="false" customHeight="true" outlineLevel="0" collapsed="false">
      <c r="A1305" s="30" t="n">
        <v>45444</v>
      </c>
      <c r="B1305" s="31" t="s">
        <v>153</v>
      </c>
      <c r="C1305" s="32"/>
      <c r="D1305" s="32"/>
      <c r="E1305" s="19" t="n">
        <f aca="false">+F1305*0.03</f>
        <v>0</v>
      </c>
      <c r="F1305" s="33" t="n">
        <v>0</v>
      </c>
      <c r="G1305" s="62"/>
      <c r="H1305" s="35" t="n">
        <v>0</v>
      </c>
      <c r="I1305" s="34" t="n">
        <f aca="false">+IF(E1305=0,0,E1305*0.03)</f>
        <v>0</v>
      </c>
    </row>
    <row r="1306" customFormat="false" ht="15.75" hidden="false" customHeight="true" outlineLevel="0" collapsed="false">
      <c r="A1306" s="30" t="n">
        <v>45444</v>
      </c>
      <c r="B1306" s="31" t="s">
        <v>153</v>
      </c>
      <c r="C1306" s="32"/>
      <c r="D1306" s="32"/>
      <c r="E1306" s="19" t="n">
        <f aca="false">+F1306*0.03</f>
        <v>0</v>
      </c>
      <c r="F1306" s="33" t="n">
        <v>0</v>
      </c>
      <c r="G1306" s="62"/>
      <c r="H1306" s="35" t="n">
        <v>0</v>
      </c>
      <c r="I1306" s="34" t="n">
        <f aca="false">+IF(E1306=0,0,E1306*0.03)</f>
        <v>0</v>
      </c>
    </row>
    <row r="1307" customFormat="false" ht="15.75" hidden="false" customHeight="true" outlineLevel="0" collapsed="false">
      <c r="A1307" s="30" t="n">
        <v>45444</v>
      </c>
      <c r="B1307" s="31" t="s">
        <v>153</v>
      </c>
      <c r="C1307" s="32"/>
      <c r="D1307" s="32"/>
      <c r="E1307" s="19" t="n">
        <f aca="false">+F1307*0.03</f>
        <v>0</v>
      </c>
      <c r="F1307" s="33" t="n">
        <v>0</v>
      </c>
      <c r="G1307" s="62"/>
      <c r="H1307" s="35" t="n">
        <v>0</v>
      </c>
      <c r="I1307" s="34" t="n">
        <f aca="false">+IF(E1307=0,0,E1307*0.03)</f>
        <v>0</v>
      </c>
    </row>
    <row r="1308" customFormat="false" ht="15.75" hidden="false" customHeight="true" outlineLevel="0" collapsed="false">
      <c r="A1308" s="30" t="n">
        <v>45444</v>
      </c>
      <c r="B1308" s="31" t="s">
        <v>153</v>
      </c>
      <c r="C1308" s="32"/>
      <c r="D1308" s="32"/>
      <c r="E1308" s="19" t="n">
        <f aca="false">+F1308*0.03</f>
        <v>0</v>
      </c>
      <c r="F1308" s="33" t="n">
        <v>0</v>
      </c>
      <c r="G1308" s="62"/>
      <c r="H1308" s="35" t="n">
        <v>0</v>
      </c>
      <c r="I1308" s="34" t="n">
        <f aca="false">+IF(E1308=0,0,E1308*0.03)</f>
        <v>0</v>
      </c>
    </row>
    <row r="1309" customFormat="false" ht="15.75" hidden="false" customHeight="true" outlineLevel="0" collapsed="false">
      <c r="A1309" s="30" t="n">
        <v>45444</v>
      </c>
      <c r="B1309" s="31" t="s">
        <v>153</v>
      </c>
      <c r="C1309" s="32"/>
      <c r="D1309" s="32"/>
      <c r="E1309" s="19" t="n">
        <f aca="false">+F1309*0.03</f>
        <v>0</v>
      </c>
      <c r="F1309" s="33" t="n">
        <v>0</v>
      </c>
      <c r="G1309" s="62"/>
      <c r="H1309" s="35" t="n">
        <v>0</v>
      </c>
      <c r="I1309" s="34" t="n">
        <f aca="false">+IF(E1309=0,0,E1309*0.03)</f>
        <v>0</v>
      </c>
    </row>
    <row r="1310" customFormat="false" ht="15.75" hidden="false" customHeight="true" outlineLevel="0" collapsed="false">
      <c r="A1310" s="30" t="n">
        <v>45444</v>
      </c>
      <c r="B1310" s="31" t="s">
        <v>153</v>
      </c>
      <c r="C1310" s="32"/>
      <c r="D1310" s="32"/>
      <c r="E1310" s="19" t="n">
        <f aca="false">+F1310*0.03</f>
        <v>0</v>
      </c>
      <c r="F1310" s="33" t="n">
        <v>0</v>
      </c>
      <c r="G1310" s="62"/>
      <c r="H1310" s="35" t="n">
        <v>0</v>
      </c>
      <c r="I1310" s="34" t="n">
        <f aca="false">+IF(E1310=0,0,E1310*0.03)</f>
        <v>0</v>
      </c>
    </row>
    <row r="1311" customFormat="false" ht="15.75" hidden="false" customHeight="true" outlineLevel="0" collapsed="false">
      <c r="A1311" s="30" t="n">
        <v>45444</v>
      </c>
      <c r="B1311" s="31" t="s">
        <v>153</v>
      </c>
      <c r="C1311" s="32"/>
      <c r="D1311" s="32"/>
      <c r="E1311" s="19" t="n">
        <f aca="false">+F1311*0.03</f>
        <v>0</v>
      </c>
      <c r="F1311" s="33" t="n">
        <v>0</v>
      </c>
      <c r="G1311" s="62"/>
      <c r="H1311" s="35" t="n">
        <v>0</v>
      </c>
      <c r="I1311" s="34" t="n">
        <f aca="false">+IF(E1311=0,0,E1311*0.03)</f>
        <v>0</v>
      </c>
    </row>
    <row r="1312" customFormat="false" ht="15.75" hidden="false" customHeight="true" outlineLevel="0" collapsed="false">
      <c r="A1312" s="30" t="n">
        <v>45444</v>
      </c>
      <c r="B1312" s="31" t="s">
        <v>153</v>
      </c>
      <c r="C1312" s="32"/>
      <c r="D1312" s="32"/>
      <c r="E1312" s="19" t="n">
        <f aca="false">+F1312*0.03</f>
        <v>0</v>
      </c>
      <c r="F1312" s="33" t="n">
        <v>0</v>
      </c>
      <c r="G1312" s="62"/>
      <c r="H1312" s="35" t="n">
        <v>0</v>
      </c>
      <c r="I1312" s="34" t="n">
        <f aca="false">+IF(E1312=0,0,E1312*0.03)</f>
        <v>0</v>
      </c>
    </row>
    <row r="1313" customFormat="false" ht="15.75" hidden="false" customHeight="true" outlineLevel="0" collapsed="false">
      <c r="A1313" s="30" t="n">
        <v>45444</v>
      </c>
      <c r="B1313" s="31" t="s">
        <v>153</v>
      </c>
      <c r="C1313" s="32"/>
      <c r="D1313" s="32"/>
      <c r="E1313" s="19" t="n">
        <f aca="false">+F1313*0.03</f>
        <v>0</v>
      </c>
      <c r="F1313" s="33" t="n">
        <v>0</v>
      </c>
      <c r="G1313" s="62"/>
      <c r="H1313" s="35" t="n">
        <v>0</v>
      </c>
      <c r="I1313" s="34" t="n">
        <f aca="false">+IF(E1313=0,0,E1313*0.03)</f>
        <v>0</v>
      </c>
    </row>
    <row r="1314" customFormat="false" ht="15.75" hidden="false" customHeight="true" outlineLevel="0" collapsed="false">
      <c r="A1314" s="30" t="n">
        <v>45444</v>
      </c>
      <c r="B1314" s="31" t="s">
        <v>153</v>
      </c>
      <c r="C1314" s="32"/>
      <c r="D1314" s="32"/>
      <c r="E1314" s="19" t="n">
        <f aca="false">+F1314*0.03</f>
        <v>0</v>
      </c>
      <c r="F1314" s="33" t="n">
        <v>0</v>
      </c>
      <c r="G1314" s="62"/>
      <c r="H1314" s="35" t="n">
        <v>0</v>
      </c>
      <c r="I1314" s="34" t="n">
        <f aca="false">+IF(E1314=0,0,E1314*0.03)</f>
        <v>0</v>
      </c>
    </row>
    <row r="1315" customFormat="false" ht="15.75" hidden="false" customHeight="true" outlineLevel="0" collapsed="false">
      <c r="A1315" s="30" t="n">
        <v>45444</v>
      </c>
      <c r="B1315" s="31" t="s">
        <v>153</v>
      </c>
      <c r="C1315" s="32"/>
      <c r="D1315" s="32"/>
      <c r="E1315" s="19" t="n">
        <f aca="false">+F1315*0.03</f>
        <v>0</v>
      </c>
      <c r="F1315" s="33" t="n">
        <v>0</v>
      </c>
      <c r="G1315" s="62"/>
      <c r="H1315" s="35" t="n">
        <v>0</v>
      </c>
      <c r="I1315" s="34" t="n">
        <f aca="false">+IF(E1315=0,0,E1315*0.03)</f>
        <v>0</v>
      </c>
    </row>
    <row r="1316" customFormat="false" ht="15.75" hidden="false" customHeight="true" outlineLevel="0" collapsed="false">
      <c r="A1316" s="30" t="n">
        <v>45444</v>
      </c>
      <c r="B1316" s="31" t="s">
        <v>153</v>
      </c>
      <c r="C1316" s="32"/>
      <c r="D1316" s="32"/>
      <c r="E1316" s="19" t="n">
        <f aca="false">+F1316*0.03</f>
        <v>0</v>
      </c>
      <c r="F1316" s="33" t="n">
        <v>0</v>
      </c>
      <c r="G1316" s="62"/>
      <c r="H1316" s="35" t="n">
        <v>0</v>
      </c>
      <c r="I1316" s="34" t="n">
        <f aca="false">+IF(E1316=0,0,E1316*0.03)</f>
        <v>0</v>
      </c>
    </row>
    <row r="1317" customFormat="false" ht="15.75" hidden="false" customHeight="true" outlineLevel="0" collapsed="false">
      <c r="A1317" s="30" t="n">
        <v>45444</v>
      </c>
      <c r="B1317" s="31" t="s">
        <v>153</v>
      </c>
      <c r="C1317" s="32"/>
      <c r="D1317" s="32"/>
      <c r="E1317" s="19" t="n">
        <f aca="false">+F1317*0.03</f>
        <v>0</v>
      </c>
      <c r="F1317" s="33" t="n">
        <v>0</v>
      </c>
      <c r="G1317" s="62"/>
      <c r="H1317" s="35" t="n">
        <v>0</v>
      </c>
      <c r="I1317" s="34" t="n">
        <f aca="false">+IF(E1317=0,0,E1317*0.03)</f>
        <v>0</v>
      </c>
    </row>
    <row r="1318" customFormat="false" ht="15.75" hidden="false" customHeight="true" outlineLevel="0" collapsed="false">
      <c r="A1318" s="30" t="n">
        <v>45444</v>
      </c>
      <c r="B1318" s="31" t="s">
        <v>153</v>
      </c>
      <c r="C1318" s="32"/>
      <c r="D1318" s="32"/>
      <c r="E1318" s="19" t="n">
        <f aca="false">+F1318*0.03</f>
        <v>0</v>
      </c>
      <c r="F1318" s="33" t="n">
        <v>0</v>
      </c>
      <c r="G1318" s="62"/>
      <c r="H1318" s="35" t="n">
        <v>0</v>
      </c>
      <c r="I1318" s="34" t="n">
        <f aca="false">+IF(E1318=0,0,E1318*0.03)</f>
        <v>0</v>
      </c>
    </row>
    <row r="1319" customFormat="false" ht="15.75" hidden="false" customHeight="true" outlineLevel="0" collapsed="false">
      <c r="A1319" s="30" t="n">
        <v>45444</v>
      </c>
      <c r="B1319" s="31" t="s">
        <v>153</v>
      </c>
      <c r="C1319" s="32"/>
      <c r="D1319" s="32"/>
      <c r="E1319" s="19" t="n">
        <f aca="false">+F1319*0.03</f>
        <v>0</v>
      </c>
      <c r="F1319" s="33" t="n">
        <v>0</v>
      </c>
      <c r="G1319" s="62"/>
      <c r="H1319" s="35" t="n">
        <v>0</v>
      </c>
      <c r="I1319" s="34" t="n">
        <f aca="false">+IF(E1319=0,0,E1319*0.03)</f>
        <v>0</v>
      </c>
    </row>
    <row r="1320" customFormat="false" ht="15.75" hidden="false" customHeight="true" outlineLevel="0" collapsed="false">
      <c r="A1320" s="30" t="n">
        <v>45444</v>
      </c>
      <c r="B1320" s="31" t="s">
        <v>153</v>
      </c>
      <c r="C1320" s="32"/>
      <c r="D1320" s="32"/>
      <c r="E1320" s="19" t="n">
        <f aca="false">+F1320*0.03</f>
        <v>0</v>
      </c>
      <c r="F1320" s="33" t="n">
        <v>0</v>
      </c>
      <c r="G1320" s="62"/>
      <c r="H1320" s="35" t="n">
        <v>0</v>
      </c>
      <c r="I1320" s="34" t="n">
        <f aca="false">+IF(E1320=0,0,E1320*0.03)</f>
        <v>0</v>
      </c>
    </row>
    <row r="1321" customFormat="false" ht="15.75" hidden="false" customHeight="true" outlineLevel="0" collapsed="false">
      <c r="A1321" s="30" t="n">
        <v>45444</v>
      </c>
      <c r="B1321" s="31" t="s">
        <v>153</v>
      </c>
      <c r="C1321" s="32"/>
      <c r="D1321" s="32"/>
      <c r="E1321" s="19" t="n">
        <f aca="false">+F1321*0.03</f>
        <v>0</v>
      </c>
      <c r="F1321" s="33" t="n">
        <v>0</v>
      </c>
      <c r="G1321" s="62"/>
      <c r="H1321" s="35" t="n">
        <v>0</v>
      </c>
      <c r="I1321" s="34" t="n">
        <f aca="false">+IF(E1321=0,0,E1321*0.03)</f>
        <v>0</v>
      </c>
    </row>
    <row r="1322" customFormat="false" ht="15.75" hidden="false" customHeight="true" outlineLevel="0" collapsed="false">
      <c r="A1322" s="30" t="n">
        <v>45444</v>
      </c>
      <c r="B1322" s="31" t="s">
        <v>153</v>
      </c>
      <c r="C1322" s="32"/>
      <c r="D1322" s="32"/>
      <c r="E1322" s="19" t="n">
        <f aca="false">+F1322*0.03</f>
        <v>0</v>
      </c>
      <c r="F1322" s="33" t="n">
        <v>0</v>
      </c>
      <c r="G1322" s="62"/>
      <c r="H1322" s="35" t="n">
        <v>0</v>
      </c>
      <c r="I1322" s="34" t="n">
        <f aca="false">+IF(E1322=0,0,E1322*0.03)</f>
        <v>0</v>
      </c>
    </row>
    <row r="1323" customFormat="false" ht="15.75" hidden="false" customHeight="true" outlineLevel="0" collapsed="false">
      <c r="A1323" s="30" t="n">
        <v>45444</v>
      </c>
      <c r="B1323" s="31" t="s">
        <v>153</v>
      </c>
      <c r="C1323" s="32"/>
      <c r="D1323" s="32"/>
      <c r="E1323" s="19" t="n">
        <f aca="false">+F1323*0.03</f>
        <v>0</v>
      </c>
      <c r="F1323" s="33" t="n">
        <v>0</v>
      </c>
      <c r="G1323" s="62"/>
      <c r="H1323" s="35" t="n">
        <v>0</v>
      </c>
      <c r="I1323" s="34" t="n">
        <f aca="false">+IF(E1323=0,0,E1323*0.03)</f>
        <v>0</v>
      </c>
    </row>
    <row r="1324" customFormat="false" ht="15.75" hidden="false" customHeight="true" outlineLevel="0" collapsed="false">
      <c r="A1324" s="30" t="n">
        <v>45444</v>
      </c>
      <c r="B1324" s="31" t="s">
        <v>153</v>
      </c>
      <c r="C1324" s="32"/>
      <c r="D1324" s="32"/>
      <c r="E1324" s="19" t="n">
        <f aca="false">+F1324*0.03</f>
        <v>0</v>
      </c>
      <c r="F1324" s="33" t="n">
        <v>0</v>
      </c>
      <c r="G1324" s="62"/>
      <c r="H1324" s="35" t="n">
        <v>0</v>
      </c>
      <c r="I1324" s="34" t="n">
        <f aca="false">+IF(E1324=0,0,E1324*0.03)</f>
        <v>0</v>
      </c>
    </row>
    <row r="1325" customFormat="false" ht="15.75" hidden="false" customHeight="true" outlineLevel="0" collapsed="false">
      <c r="A1325" s="30" t="n">
        <v>45444</v>
      </c>
      <c r="B1325" s="31" t="s">
        <v>153</v>
      </c>
      <c r="C1325" s="32"/>
      <c r="D1325" s="32"/>
      <c r="E1325" s="19" t="n">
        <f aca="false">+F1325*0.03</f>
        <v>0</v>
      </c>
      <c r="F1325" s="33" t="n">
        <v>0</v>
      </c>
      <c r="G1325" s="62"/>
      <c r="H1325" s="35" t="n">
        <v>0</v>
      </c>
      <c r="I1325" s="34" t="n">
        <f aca="false">+IF(E1325=0,0,E1325*0.03)</f>
        <v>0</v>
      </c>
    </row>
    <row r="1326" customFormat="false" ht="15.75" hidden="false" customHeight="true" outlineLevel="0" collapsed="false">
      <c r="A1326" s="30" t="n">
        <v>45444</v>
      </c>
      <c r="B1326" s="31" t="s">
        <v>153</v>
      </c>
      <c r="C1326" s="32"/>
      <c r="D1326" s="32"/>
      <c r="E1326" s="19" t="n">
        <f aca="false">+F1326*0.03</f>
        <v>0</v>
      </c>
      <c r="F1326" s="33" t="n">
        <v>0</v>
      </c>
      <c r="G1326" s="62"/>
      <c r="H1326" s="35" t="n">
        <v>0</v>
      </c>
      <c r="I1326" s="34" t="n">
        <f aca="false">+IF(E1326=0,0,E1326*0.03)</f>
        <v>0</v>
      </c>
    </row>
    <row r="1327" customFormat="false" ht="15.75" hidden="false" customHeight="true" outlineLevel="0" collapsed="false">
      <c r="A1327" s="30" t="n">
        <v>45444</v>
      </c>
      <c r="B1327" s="31" t="s">
        <v>153</v>
      </c>
      <c r="C1327" s="32"/>
      <c r="D1327" s="32"/>
      <c r="E1327" s="19" t="n">
        <f aca="false">+F1327*0.03</f>
        <v>0</v>
      </c>
      <c r="F1327" s="33" t="n">
        <v>0</v>
      </c>
      <c r="G1327" s="62"/>
      <c r="H1327" s="35" t="n">
        <v>0</v>
      </c>
      <c r="I1327" s="34" t="n">
        <f aca="false">+IF(E1327=0,0,E1327*0.03)</f>
        <v>0</v>
      </c>
    </row>
    <row r="1328" customFormat="false" ht="15.75" hidden="false" customHeight="true" outlineLevel="0" collapsed="false">
      <c r="A1328" s="30" t="n">
        <v>45444</v>
      </c>
      <c r="B1328" s="31" t="s">
        <v>153</v>
      </c>
      <c r="C1328" s="32"/>
      <c r="D1328" s="32"/>
      <c r="E1328" s="19" t="n">
        <f aca="false">+F1328*0.03</f>
        <v>0</v>
      </c>
      <c r="F1328" s="33" t="n">
        <v>0</v>
      </c>
      <c r="G1328" s="62"/>
      <c r="H1328" s="35" t="n">
        <v>0</v>
      </c>
      <c r="I1328" s="34" t="n">
        <f aca="false">+IF(E1328=0,0,E1328*0.03)</f>
        <v>0</v>
      </c>
    </row>
    <row r="1329" customFormat="false" ht="15.75" hidden="false" customHeight="true" outlineLevel="0" collapsed="false">
      <c r="A1329" s="30" t="n">
        <v>45444</v>
      </c>
      <c r="B1329" s="31" t="s">
        <v>153</v>
      </c>
      <c r="C1329" s="32"/>
      <c r="D1329" s="32"/>
      <c r="E1329" s="19" t="n">
        <f aca="false">+F1329*0.03</f>
        <v>0</v>
      </c>
      <c r="F1329" s="33" t="n">
        <v>0</v>
      </c>
      <c r="G1329" s="62"/>
      <c r="H1329" s="35" t="n">
        <v>0</v>
      </c>
      <c r="I1329" s="34" t="n">
        <f aca="false">+IF(E1329=0,0,E1329*0.03)</f>
        <v>0</v>
      </c>
    </row>
    <row r="1330" customFormat="false" ht="15.75" hidden="false" customHeight="true" outlineLevel="0" collapsed="false">
      <c r="A1330" s="30" t="n">
        <v>45444</v>
      </c>
      <c r="B1330" s="31" t="s">
        <v>153</v>
      </c>
      <c r="C1330" s="32"/>
      <c r="D1330" s="32"/>
      <c r="E1330" s="19" t="n">
        <f aca="false">+F1330*0.03</f>
        <v>0</v>
      </c>
      <c r="F1330" s="33" t="n">
        <v>0</v>
      </c>
      <c r="G1330" s="62"/>
      <c r="H1330" s="35" t="n">
        <v>0</v>
      </c>
      <c r="I1330" s="34" t="n">
        <f aca="false">+IF(E1330=0,0,E1330*0.03)</f>
        <v>0</v>
      </c>
    </row>
    <row r="1331" customFormat="false" ht="15.75" hidden="false" customHeight="true" outlineLevel="0" collapsed="false">
      <c r="A1331" s="30" t="n">
        <v>45444</v>
      </c>
      <c r="B1331" s="31" t="s">
        <v>153</v>
      </c>
      <c r="C1331" s="32"/>
      <c r="D1331" s="32"/>
      <c r="E1331" s="19" t="n">
        <f aca="false">+F1331*0.03</f>
        <v>0</v>
      </c>
      <c r="F1331" s="33" t="n">
        <v>0</v>
      </c>
      <c r="G1331" s="62"/>
      <c r="H1331" s="35" t="n">
        <v>0</v>
      </c>
      <c r="I1331" s="34" t="n">
        <f aca="false">+IF(E1331=0,0,E1331*0.03)</f>
        <v>0</v>
      </c>
    </row>
    <row r="1332" customFormat="false" ht="15.75" hidden="false" customHeight="true" outlineLevel="0" collapsed="false">
      <c r="A1332" s="30" t="n">
        <v>45444</v>
      </c>
      <c r="B1332" s="31" t="s">
        <v>153</v>
      </c>
      <c r="C1332" s="32"/>
      <c r="D1332" s="32"/>
      <c r="E1332" s="19" t="n">
        <f aca="false">+F1332*0.03</f>
        <v>0</v>
      </c>
      <c r="F1332" s="33" t="n">
        <v>0</v>
      </c>
      <c r="G1332" s="62"/>
      <c r="H1332" s="35" t="n">
        <v>0</v>
      </c>
      <c r="I1332" s="34" t="n">
        <f aca="false">+IF(E1332=0,0,E1332*0.03)</f>
        <v>0</v>
      </c>
    </row>
    <row r="1333" customFormat="false" ht="15.75" hidden="false" customHeight="true" outlineLevel="0" collapsed="false">
      <c r="A1333" s="30" t="n">
        <v>45444</v>
      </c>
      <c r="B1333" s="31" t="s">
        <v>153</v>
      </c>
      <c r="C1333" s="32"/>
      <c r="D1333" s="32"/>
      <c r="E1333" s="19" t="n">
        <f aca="false">+F1333*0.03</f>
        <v>0</v>
      </c>
      <c r="F1333" s="33" t="n">
        <v>0</v>
      </c>
      <c r="G1333" s="62"/>
      <c r="H1333" s="35" t="n">
        <v>0</v>
      </c>
      <c r="I1333" s="34" t="n">
        <f aca="false">+IF(E1333=0,0,E1333*0.03)</f>
        <v>0</v>
      </c>
    </row>
    <row r="1334" customFormat="false" ht="15.75" hidden="false" customHeight="true" outlineLevel="0" collapsed="false">
      <c r="A1334" s="30" t="n">
        <v>45444</v>
      </c>
      <c r="B1334" s="31" t="s">
        <v>153</v>
      </c>
      <c r="C1334" s="32"/>
      <c r="D1334" s="32"/>
      <c r="E1334" s="19" t="n">
        <f aca="false">+F1334*0.03</f>
        <v>0</v>
      </c>
      <c r="F1334" s="33" t="n">
        <v>0</v>
      </c>
      <c r="G1334" s="62"/>
      <c r="H1334" s="35" t="n">
        <v>0</v>
      </c>
      <c r="I1334" s="34" t="n">
        <f aca="false">+IF(E1334=0,0,E1334*0.03)</f>
        <v>0</v>
      </c>
    </row>
    <row r="1335" customFormat="false" ht="15.75" hidden="false" customHeight="true" outlineLevel="0" collapsed="false">
      <c r="A1335" s="30" t="n">
        <v>45444</v>
      </c>
      <c r="B1335" s="31" t="s">
        <v>153</v>
      </c>
      <c r="C1335" s="32"/>
      <c r="D1335" s="32"/>
      <c r="E1335" s="19" t="n">
        <f aca="false">+F1335*0.03</f>
        <v>0</v>
      </c>
      <c r="F1335" s="33" t="n">
        <v>0</v>
      </c>
      <c r="G1335" s="62"/>
      <c r="H1335" s="35" t="n">
        <v>0</v>
      </c>
      <c r="I1335" s="34" t="n">
        <f aca="false">+IF(E1335=0,0,E1335*0.03)</f>
        <v>0</v>
      </c>
    </row>
    <row r="1336" customFormat="false" ht="15.75" hidden="false" customHeight="true" outlineLevel="0" collapsed="false">
      <c r="A1336" s="30" t="n">
        <v>45444</v>
      </c>
      <c r="B1336" s="31" t="s">
        <v>153</v>
      </c>
      <c r="C1336" s="32"/>
      <c r="D1336" s="32"/>
      <c r="E1336" s="19" t="n">
        <f aca="false">+F1336*0.03</f>
        <v>0</v>
      </c>
      <c r="F1336" s="33" t="n">
        <v>0</v>
      </c>
      <c r="G1336" s="62"/>
      <c r="H1336" s="35" t="n">
        <v>0</v>
      </c>
      <c r="I1336" s="34" t="n">
        <f aca="false">+IF(E1336=0,0,E1336*0.03)</f>
        <v>0</v>
      </c>
    </row>
    <row r="1337" customFormat="false" ht="15.75" hidden="false" customHeight="true" outlineLevel="0" collapsed="false">
      <c r="A1337" s="30" t="n">
        <v>45444</v>
      </c>
      <c r="B1337" s="31" t="s">
        <v>153</v>
      </c>
      <c r="C1337" s="32"/>
      <c r="D1337" s="32"/>
      <c r="E1337" s="19" t="n">
        <f aca="false">+F1337*0.03</f>
        <v>0</v>
      </c>
      <c r="F1337" s="33" t="n">
        <v>0</v>
      </c>
      <c r="G1337" s="62"/>
      <c r="H1337" s="35" t="n">
        <v>0</v>
      </c>
      <c r="I1337" s="34" t="n">
        <f aca="false">+IF(E1337=0,0,E1337*0.03)</f>
        <v>0</v>
      </c>
    </row>
    <row r="1338" customFormat="false" ht="15.75" hidden="false" customHeight="true" outlineLevel="0" collapsed="false">
      <c r="A1338" s="30" t="n">
        <v>45444</v>
      </c>
      <c r="B1338" s="31" t="s">
        <v>153</v>
      </c>
      <c r="C1338" s="32"/>
      <c r="D1338" s="32"/>
      <c r="E1338" s="19" t="n">
        <f aca="false">+F1338*0.03</f>
        <v>0</v>
      </c>
      <c r="F1338" s="33" t="n">
        <v>0</v>
      </c>
      <c r="G1338" s="62"/>
      <c r="H1338" s="35" t="n">
        <v>0</v>
      </c>
      <c r="I1338" s="34" t="n">
        <f aca="false">+IF(E1338=0,0,E1338*0.03)</f>
        <v>0</v>
      </c>
    </row>
    <row r="1339" customFormat="false" ht="15.75" hidden="false" customHeight="true" outlineLevel="0" collapsed="false">
      <c r="A1339" s="30" t="n">
        <v>45444</v>
      </c>
      <c r="B1339" s="31" t="s">
        <v>153</v>
      </c>
      <c r="C1339" s="32"/>
      <c r="D1339" s="32"/>
      <c r="E1339" s="19" t="n">
        <f aca="false">+F1339*0.03</f>
        <v>0</v>
      </c>
      <c r="F1339" s="33" t="n">
        <v>0</v>
      </c>
      <c r="G1339" s="62"/>
      <c r="H1339" s="35" t="n">
        <v>0</v>
      </c>
      <c r="I1339" s="34" t="n">
        <f aca="false">+IF(E1339=0,0,E1339*0.03)</f>
        <v>0</v>
      </c>
    </row>
    <row r="1340" customFormat="false" ht="15.75" hidden="false" customHeight="true" outlineLevel="0" collapsed="false">
      <c r="A1340" s="30" t="n">
        <v>45444</v>
      </c>
      <c r="B1340" s="31" t="s">
        <v>153</v>
      </c>
      <c r="C1340" s="32"/>
      <c r="D1340" s="32"/>
      <c r="E1340" s="19" t="n">
        <f aca="false">+F1340*0.03</f>
        <v>0</v>
      </c>
      <c r="F1340" s="33" t="n">
        <v>0</v>
      </c>
      <c r="G1340" s="62"/>
      <c r="H1340" s="35" t="n">
        <v>0</v>
      </c>
      <c r="I1340" s="34" t="n">
        <f aca="false">+IF(E1340=0,0,E1340*0.03)</f>
        <v>0</v>
      </c>
    </row>
    <row r="1341" customFormat="false" ht="15.75" hidden="false" customHeight="true" outlineLevel="0" collapsed="false">
      <c r="A1341" s="30" t="n">
        <v>45444</v>
      </c>
      <c r="B1341" s="31" t="s">
        <v>153</v>
      </c>
      <c r="C1341" s="32"/>
      <c r="D1341" s="32"/>
      <c r="E1341" s="19" t="n">
        <f aca="false">+F1341*0.03</f>
        <v>0</v>
      </c>
      <c r="F1341" s="33" t="n">
        <v>0</v>
      </c>
      <c r="G1341" s="62"/>
      <c r="H1341" s="35" t="n">
        <v>0</v>
      </c>
      <c r="I1341" s="34" t="n">
        <f aca="false">+IF(E1341=0,0,E1341*0.03)</f>
        <v>0</v>
      </c>
    </row>
    <row r="1342" customFormat="false" ht="15.75" hidden="false" customHeight="true" outlineLevel="0" collapsed="false">
      <c r="A1342" s="30" t="n">
        <v>45444</v>
      </c>
      <c r="B1342" s="31" t="s">
        <v>153</v>
      </c>
      <c r="C1342" s="32"/>
      <c r="D1342" s="32"/>
      <c r="E1342" s="19" t="n">
        <f aca="false">+F1342*0.03</f>
        <v>0</v>
      </c>
      <c r="F1342" s="33" t="n">
        <v>0</v>
      </c>
      <c r="G1342" s="62"/>
      <c r="H1342" s="35" t="n">
        <v>0</v>
      </c>
      <c r="I1342" s="34" t="n">
        <f aca="false">+IF(E1342=0,0,E1342*0.03)</f>
        <v>0</v>
      </c>
    </row>
    <row r="1343" customFormat="false" ht="15.75" hidden="false" customHeight="true" outlineLevel="0" collapsed="false">
      <c r="A1343" s="30" t="n">
        <v>45444</v>
      </c>
      <c r="B1343" s="31" t="s">
        <v>153</v>
      </c>
      <c r="C1343" s="32"/>
      <c r="D1343" s="32"/>
      <c r="E1343" s="19" t="n">
        <f aca="false">+F1343*0.03</f>
        <v>0</v>
      </c>
      <c r="F1343" s="33" t="n">
        <v>0</v>
      </c>
      <c r="G1343" s="62"/>
      <c r="H1343" s="35" t="n">
        <v>0</v>
      </c>
      <c r="I1343" s="34" t="n">
        <f aca="false">+IF(E1343=0,0,E1343*0.03)</f>
        <v>0</v>
      </c>
    </row>
    <row r="1344" customFormat="false" ht="15.75" hidden="false" customHeight="true" outlineLevel="0" collapsed="false">
      <c r="A1344" s="30" t="n">
        <v>45444</v>
      </c>
      <c r="B1344" s="31" t="s">
        <v>153</v>
      </c>
      <c r="C1344" s="32"/>
      <c r="D1344" s="32"/>
      <c r="E1344" s="19" t="n">
        <f aca="false">+F1344*0.03</f>
        <v>0</v>
      </c>
      <c r="F1344" s="33" t="n">
        <v>0</v>
      </c>
      <c r="G1344" s="62"/>
      <c r="H1344" s="35" t="n">
        <v>0</v>
      </c>
      <c r="I1344" s="34" t="n">
        <f aca="false">+IF(E1344=0,0,E1344*0.03)</f>
        <v>0</v>
      </c>
    </row>
    <row r="1345" customFormat="false" ht="15.75" hidden="false" customHeight="true" outlineLevel="0" collapsed="false">
      <c r="A1345" s="30" t="n">
        <v>45444</v>
      </c>
      <c r="B1345" s="31" t="s">
        <v>153</v>
      </c>
      <c r="C1345" s="32"/>
      <c r="D1345" s="32"/>
      <c r="E1345" s="19" t="n">
        <f aca="false">+F1345*0.03</f>
        <v>0</v>
      </c>
      <c r="F1345" s="33" t="n">
        <v>0</v>
      </c>
      <c r="G1345" s="62"/>
      <c r="H1345" s="35" t="n">
        <v>0</v>
      </c>
      <c r="I1345" s="34" t="n">
        <f aca="false">+IF(E1345=0,0,E1345*0.03)</f>
        <v>0</v>
      </c>
    </row>
    <row r="1346" customFormat="false" ht="15.75" hidden="false" customHeight="true" outlineLevel="0" collapsed="false">
      <c r="A1346" s="30" t="n">
        <v>45444</v>
      </c>
      <c r="B1346" s="31" t="s">
        <v>153</v>
      </c>
      <c r="C1346" s="32"/>
      <c r="D1346" s="32"/>
      <c r="E1346" s="19" t="n">
        <f aca="false">+F1346*0.03</f>
        <v>0</v>
      </c>
      <c r="F1346" s="33" t="n">
        <v>0</v>
      </c>
      <c r="G1346" s="62"/>
      <c r="H1346" s="35" t="n">
        <v>0</v>
      </c>
      <c r="I1346" s="34" t="n">
        <f aca="false">+IF(E1346=0,0,E1346*0.03)</f>
        <v>0</v>
      </c>
    </row>
    <row r="1347" customFormat="false" ht="15.75" hidden="false" customHeight="true" outlineLevel="0" collapsed="false">
      <c r="A1347" s="30" t="n">
        <v>45444</v>
      </c>
      <c r="B1347" s="31" t="s">
        <v>153</v>
      </c>
      <c r="C1347" s="32"/>
      <c r="D1347" s="32"/>
      <c r="E1347" s="19" t="n">
        <f aca="false">+F1347*0.03</f>
        <v>0</v>
      </c>
      <c r="F1347" s="33" t="n">
        <v>0</v>
      </c>
      <c r="G1347" s="62"/>
      <c r="H1347" s="35" t="n">
        <v>0</v>
      </c>
      <c r="I1347" s="34" t="n">
        <f aca="false">+IF(E1347=0,0,E1347*0.03)</f>
        <v>0</v>
      </c>
    </row>
    <row r="1348" customFormat="false" ht="15.75" hidden="false" customHeight="true" outlineLevel="0" collapsed="false">
      <c r="A1348" s="30" t="n">
        <v>45444</v>
      </c>
      <c r="B1348" s="31" t="s">
        <v>153</v>
      </c>
      <c r="C1348" s="32"/>
      <c r="D1348" s="32"/>
      <c r="E1348" s="19" t="n">
        <f aca="false">+F1348*0.03</f>
        <v>0</v>
      </c>
      <c r="F1348" s="33" t="n">
        <v>0</v>
      </c>
      <c r="G1348" s="62"/>
      <c r="H1348" s="35" t="n">
        <v>0</v>
      </c>
      <c r="I1348" s="34" t="n">
        <f aca="false">+IF(E1348=0,0,E1348*0.03)</f>
        <v>0</v>
      </c>
    </row>
    <row r="1349" customFormat="false" ht="15.75" hidden="false" customHeight="true" outlineLevel="0" collapsed="false">
      <c r="A1349" s="30" t="n">
        <v>45444</v>
      </c>
      <c r="B1349" s="31" t="s">
        <v>153</v>
      </c>
      <c r="C1349" s="32"/>
      <c r="D1349" s="32"/>
      <c r="E1349" s="19" t="n">
        <f aca="false">+F1349*0.03</f>
        <v>0</v>
      </c>
      <c r="F1349" s="33" t="n">
        <v>0</v>
      </c>
      <c r="G1349" s="62"/>
      <c r="H1349" s="35" t="n">
        <v>0</v>
      </c>
      <c r="I1349" s="34" t="n">
        <f aca="false">+IF(E1349=0,0,E1349*0.03)</f>
        <v>0</v>
      </c>
    </row>
    <row r="1350" customFormat="false" ht="15.75" hidden="false" customHeight="true" outlineLevel="0" collapsed="false">
      <c r="A1350" s="30" t="n">
        <v>45444</v>
      </c>
      <c r="B1350" s="31" t="s">
        <v>153</v>
      </c>
      <c r="C1350" s="32"/>
      <c r="D1350" s="32"/>
      <c r="E1350" s="19" t="n">
        <f aca="false">+F1350*0.03</f>
        <v>0</v>
      </c>
      <c r="F1350" s="33" t="n">
        <v>0</v>
      </c>
      <c r="G1350" s="62"/>
      <c r="H1350" s="35" t="n">
        <v>0</v>
      </c>
      <c r="I1350" s="34" t="n">
        <f aca="false">+IF(E1350=0,0,E1350*0.03)</f>
        <v>0</v>
      </c>
    </row>
    <row r="1351" customFormat="false" ht="15.75" hidden="false" customHeight="true" outlineLevel="0" collapsed="false">
      <c r="A1351" s="30" t="n">
        <v>45444</v>
      </c>
      <c r="B1351" s="31" t="s">
        <v>153</v>
      </c>
      <c r="C1351" s="32"/>
      <c r="D1351" s="32"/>
      <c r="E1351" s="19" t="n">
        <f aca="false">+F1351*0.03</f>
        <v>0</v>
      </c>
      <c r="F1351" s="33" t="n">
        <v>0</v>
      </c>
      <c r="G1351" s="62"/>
      <c r="H1351" s="35" t="n">
        <v>0</v>
      </c>
      <c r="I1351" s="34" t="n">
        <f aca="false">+IF(E1351=0,0,E1351*0.03)</f>
        <v>0</v>
      </c>
    </row>
    <row r="1352" customFormat="false" ht="15.75" hidden="false" customHeight="true" outlineLevel="0" collapsed="false">
      <c r="A1352" s="30" t="n">
        <v>45444</v>
      </c>
      <c r="B1352" s="31" t="s">
        <v>153</v>
      </c>
      <c r="C1352" s="32"/>
      <c r="D1352" s="32"/>
      <c r="E1352" s="19" t="n">
        <f aca="false">+F1352*0.03</f>
        <v>0</v>
      </c>
      <c r="F1352" s="33" t="n">
        <v>0</v>
      </c>
      <c r="G1352" s="62"/>
      <c r="H1352" s="35" t="n">
        <v>0</v>
      </c>
      <c r="I1352" s="34" t="n">
        <f aca="false">+IF(E1352=0,0,E1352*0.03)</f>
        <v>0</v>
      </c>
    </row>
    <row r="1353" customFormat="false" ht="15.75" hidden="false" customHeight="true" outlineLevel="0" collapsed="false">
      <c r="A1353" s="30" t="n">
        <v>45444</v>
      </c>
      <c r="B1353" s="31" t="s">
        <v>153</v>
      </c>
      <c r="C1353" s="32"/>
      <c r="D1353" s="32"/>
      <c r="E1353" s="19" t="n">
        <f aca="false">+F1353*0.03</f>
        <v>0</v>
      </c>
      <c r="F1353" s="33" t="n">
        <v>0</v>
      </c>
      <c r="G1353" s="62"/>
      <c r="H1353" s="35" t="n">
        <v>0</v>
      </c>
      <c r="I1353" s="34" t="n">
        <f aca="false">+IF(E1353=0,0,E1353*0.03)</f>
        <v>0</v>
      </c>
    </row>
    <row r="1354" customFormat="false" ht="15.75" hidden="false" customHeight="true" outlineLevel="0" collapsed="false">
      <c r="A1354" s="30" t="n">
        <v>45444</v>
      </c>
      <c r="B1354" s="31" t="s">
        <v>153</v>
      </c>
      <c r="C1354" s="32"/>
      <c r="D1354" s="32"/>
      <c r="E1354" s="19" t="n">
        <f aca="false">+F1354*0.03</f>
        <v>0</v>
      </c>
      <c r="F1354" s="33" t="n">
        <v>0</v>
      </c>
      <c r="G1354" s="62"/>
      <c r="H1354" s="35" t="n">
        <v>0</v>
      </c>
      <c r="I1354" s="34" t="n">
        <f aca="false">+IF(E1354=0,0,E1354*0.03)</f>
        <v>0</v>
      </c>
    </row>
    <row r="1355" customFormat="false" ht="15.75" hidden="false" customHeight="true" outlineLevel="0" collapsed="false">
      <c r="A1355" s="30" t="n">
        <v>45444</v>
      </c>
      <c r="B1355" s="31" t="s">
        <v>153</v>
      </c>
      <c r="C1355" s="32"/>
      <c r="D1355" s="32"/>
      <c r="E1355" s="19" t="n">
        <f aca="false">+F1355*0.03</f>
        <v>0</v>
      </c>
      <c r="F1355" s="33" t="n">
        <v>0</v>
      </c>
      <c r="G1355" s="62"/>
      <c r="H1355" s="35" t="n">
        <v>0</v>
      </c>
      <c r="I1355" s="34" t="n">
        <f aca="false">+IF(E1355=0,0,E1355*0.03)</f>
        <v>0</v>
      </c>
    </row>
    <row r="1356" customFormat="false" ht="15.75" hidden="false" customHeight="true" outlineLevel="0" collapsed="false">
      <c r="A1356" s="30" t="n">
        <v>45444</v>
      </c>
      <c r="B1356" s="31" t="s">
        <v>153</v>
      </c>
      <c r="C1356" s="32"/>
      <c r="D1356" s="32"/>
      <c r="E1356" s="19" t="n">
        <f aca="false">+F1356*0.03</f>
        <v>0</v>
      </c>
      <c r="F1356" s="33" t="n">
        <v>0</v>
      </c>
      <c r="G1356" s="62"/>
      <c r="H1356" s="35" t="n">
        <v>0</v>
      </c>
      <c r="I1356" s="34" t="n">
        <f aca="false">+IF(E1356=0,0,E1356*0.03)</f>
        <v>0</v>
      </c>
    </row>
    <row r="1357" customFormat="false" ht="15.75" hidden="false" customHeight="true" outlineLevel="0" collapsed="false">
      <c r="A1357" s="30" t="n">
        <v>45444</v>
      </c>
      <c r="B1357" s="31" t="s">
        <v>153</v>
      </c>
      <c r="C1357" s="32"/>
      <c r="D1357" s="32"/>
      <c r="E1357" s="19" t="n">
        <f aca="false">+F1357*0.03</f>
        <v>0</v>
      </c>
      <c r="F1357" s="33" t="n">
        <v>0</v>
      </c>
      <c r="G1357" s="62"/>
      <c r="H1357" s="35" t="n">
        <v>0</v>
      </c>
      <c r="I1357" s="34" t="n">
        <f aca="false">+IF(E1357=0,0,E1357*0.03)</f>
        <v>0</v>
      </c>
    </row>
    <row r="1358" customFormat="false" ht="15.75" hidden="false" customHeight="true" outlineLevel="0" collapsed="false">
      <c r="A1358" s="30" t="n">
        <v>45444</v>
      </c>
      <c r="B1358" s="31" t="s">
        <v>153</v>
      </c>
      <c r="C1358" s="32"/>
      <c r="D1358" s="32"/>
      <c r="E1358" s="19" t="n">
        <f aca="false">+F1358*0.03</f>
        <v>0</v>
      </c>
      <c r="F1358" s="33" t="n">
        <v>0</v>
      </c>
      <c r="G1358" s="62"/>
      <c r="H1358" s="35" t="n">
        <v>0</v>
      </c>
      <c r="I1358" s="34" t="n">
        <f aca="false">+IF(E1358=0,0,E1358*0.03)</f>
        <v>0</v>
      </c>
    </row>
    <row r="1359" customFormat="false" ht="15.75" hidden="false" customHeight="true" outlineLevel="0" collapsed="false">
      <c r="A1359" s="30" t="n">
        <v>45444</v>
      </c>
      <c r="B1359" s="31" t="s">
        <v>153</v>
      </c>
      <c r="C1359" s="32"/>
      <c r="D1359" s="32"/>
      <c r="E1359" s="19" t="n">
        <f aca="false">+F1359*0.03</f>
        <v>0</v>
      </c>
      <c r="F1359" s="33" t="n">
        <v>0</v>
      </c>
      <c r="G1359" s="62"/>
      <c r="H1359" s="35" t="n">
        <v>0</v>
      </c>
      <c r="I1359" s="34" t="n">
        <f aca="false">+IF(E1359=0,0,E1359*0.03)</f>
        <v>0</v>
      </c>
    </row>
    <row r="1360" customFormat="false" ht="15.75" hidden="false" customHeight="true" outlineLevel="0" collapsed="false">
      <c r="A1360" s="30" t="n">
        <v>45444</v>
      </c>
      <c r="B1360" s="31" t="s">
        <v>153</v>
      </c>
      <c r="C1360" s="32"/>
      <c r="D1360" s="32"/>
      <c r="E1360" s="19" t="n">
        <f aca="false">+F1360*0.03</f>
        <v>0</v>
      </c>
      <c r="F1360" s="33" t="n">
        <v>0</v>
      </c>
      <c r="G1360" s="62"/>
      <c r="H1360" s="35" t="n">
        <v>0</v>
      </c>
      <c r="I1360" s="34" t="n">
        <f aca="false">+IF(E1360=0,0,E1360*0.03)</f>
        <v>0</v>
      </c>
    </row>
    <row r="1361" customFormat="false" ht="15.75" hidden="false" customHeight="true" outlineLevel="0" collapsed="false">
      <c r="A1361" s="30" t="n">
        <v>45444</v>
      </c>
      <c r="B1361" s="31" t="s">
        <v>153</v>
      </c>
      <c r="C1361" s="32"/>
      <c r="D1361" s="32"/>
      <c r="E1361" s="19" t="n">
        <f aca="false">+F1361*0.03</f>
        <v>0</v>
      </c>
      <c r="F1361" s="33" t="n">
        <v>0</v>
      </c>
      <c r="G1361" s="62"/>
      <c r="H1361" s="35" t="n">
        <v>0</v>
      </c>
      <c r="I1361" s="34" t="n">
        <f aca="false">+IF(E1361=0,0,E1361*0.03)</f>
        <v>0</v>
      </c>
    </row>
    <row r="1362" customFormat="false" ht="15.75" hidden="false" customHeight="true" outlineLevel="0" collapsed="false">
      <c r="A1362" s="30" t="n">
        <v>45444</v>
      </c>
      <c r="B1362" s="31" t="s">
        <v>153</v>
      </c>
      <c r="C1362" s="32"/>
      <c r="D1362" s="32"/>
      <c r="E1362" s="19" t="n">
        <f aca="false">+F1362*0.03</f>
        <v>0</v>
      </c>
      <c r="F1362" s="33" t="n">
        <v>0</v>
      </c>
      <c r="G1362" s="62"/>
      <c r="H1362" s="35" t="n">
        <v>0</v>
      </c>
      <c r="I1362" s="34" t="n">
        <f aca="false">+IF(E1362=0,0,E1362*0.03)</f>
        <v>0</v>
      </c>
    </row>
    <row r="1363" customFormat="false" ht="15.75" hidden="false" customHeight="true" outlineLevel="0" collapsed="false">
      <c r="A1363" s="30" t="n">
        <v>45444</v>
      </c>
      <c r="B1363" s="31" t="s">
        <v>153</v>
      </c>
      <c r="C1363" s="32"/>
      <c r="D1363" s="32"/>
      <c r="E1363" s="19" t="n">
        <f aca="false">+F1363*0.03</f>
        <v>0</v>
      </c>
      <c r="F1363" s="33" t="n">
        <v>0</v>
      </c>
      <c r="G1363" s="62"/>
      <c r="H1363" s="35" t="n">
        <v>0</v>
      </c>
      <c r="I1363" s="34" t="n">
        <f aca="false">+IF(E1363=0,0,E1363*0.03)</f>
        <v>0</v>
      </c>
    </row>
    <row r="1364" customFormat="false" ht="15.75" hidden="false" customHeight="true" outlineLevel="0" collapsed="false">
      <c r="A1364" s="30" t="n">
        <v>45444</v>
      </c>
      <c r="B1364" s="31" t="s">
        <v>153</v>
      </c>
      <c r="C1364" s="32"/>
      <c r="D1364" s="32"/>
      <c r="E1364" s="19" t="n">
        <f aca="false">+F1364*0.03</f>
        <v>0</v>
      </c>
      <c r="F1364" s="33" t="n">
        <v>0</v>
      </c>
      <c r="G1364" s="62"/>
      <c r="H1364" s="35" t="n">
        <v>0</v>
      </c>
      <c r="I1364" s="34" t="n">
        <f aca="false">+IF(E1364=0,0,E1364*0.03)</f>
        <v>0</v>
      </c>
    </row>
    <row r="1365" customFormat="false" ht="15.75" hidden="false" customHeight="true" outlineLevel="0" collapsed="false">
      <c r="A1365" s="30" t="n">
        <v>45444</v>
      </c>
      <c r="B1365" s="31" t="s">
        <v>153</v>
      </c>
      <c r="C1365" s="32"/>
      <c r="D1365" s="32"/>
      <c r="E1365" s="19" t="n">
        <f aca="false">+F1365*0.03</f>
        <v>0</v>
      </c>
      <c r="F1365" s="33" t="n">
        <v>0</v>
      </c>
      <c r="G1365" s="62"/>
      <c r="H1365" s="35" t="n">
        <v>0</v>
      </c>
      <c r="I1365" s="34" t="n">
        <f aca="false">+IF(E1365=0,0,E1365*0.03)</f>
        <v>0</v>
      </c>
    </row>
    <row r="1366" customFormat="false" ht="15.75" hidden="false" customHeight="true" outlineLevel="0" collapsed="false">
      <c r="A1366" s="30" t="n">
        <v>45444</v>
      </c>
      <c r="B1366" s="31" t="s">
        <v>153</v>
      </c>
      <c r="C1366" s="32"/>
      <c r="D1366" s="32"/>
      <c r="E1366" s="19" t="n">
        <f aca="false">+F1366*0.03</f>
        <v>0</v>
      </c>
      <c r="F1366" s="33" t="n">
        <v>0</v>
      </c>
      <c r="G1366" s="62"/>
      <c r="H1366" s="35" t="n">
        <v>0</v>
      </c>
      <c r="I1366" s="34" t="n">
        <f aca="false">+IF(E1366=0,0,E1366*0.03)</f>
        <v>0</v>
      </c>
    </row>
    <row r="1367" customFormat="false" ht="15.75" hidden="false" customHeight="true" outlineLevel="0" collapsed="false">
      <c r="A1367" s="30" t="n">
        <v>45444</v>
      </c>
      <c r="B1367" s="31" t="s">
        <v>153</v>
      </c>
      <c r="C1367" s="32"/>
      <c r="D1367" s="32"/>
      <c r="E1367" s="19" t="n">
        <f aca="false">+F1367*0.03</f>
        <v>0</v>
      </c>
      <c r="F1367" s="33" t="n">
        <v>0</v>
      </c>
      <c r="G1367" s="62"/>
      <c r="H1367" s="35" t="n">
        <v>0</v>
      </c>
      <c r="I1367" s="34" t="n">
        <f aca="false">+IF(E1367=0,0,E1367*0.03)</f>
        <v>0</v>
      </c>
    </row>
    <row r="1368" customFormat="false" ht="15.75" hidden="false" customHeight="true" outlineLevel="0" collapsed="false">
      <c r="A1368" s="30" t="n">
        <v>45444</v>
      </c>
      <c r="B1368" s="31" t="s">
        <v>153</v>
      </c>
      <c r="C1368" s="32"/>
      <c r="D1368" s="32"/>
      <c r="E1368" s="19" t="n">
        <f aca="false">+F1368*0.03</f>
        <v>0</v>
      </c>
      <c r="F1368" s="33" t="n">
        <v>0</v>
      </c>
      <c r="G1368" s="62"/>
      <c r="H1368" s="35" t="n">
        <v>0</v>
      </c>
      <c r="I1368" s="34" t="n">
        <f aca="false">+IF(E1368=0,0,E1368*0.03)</f>
        <v>0</v>
      </c>
    </row>
    <row r="1369" customFormat="false" ht="15.75" hidden="false" customHeight="true" outlineLevel="0" collapsed="false">
      <c r="A1369" s="30" t="n">
        <v>45444</v>
      </c>
      <c r="B1369" s="31" t="s">
        <v>153</v>
      </c>
      <c r="C1369" s="32"/>
      <c r="D1369" s="32"/>
      <c r="E1369" s="19" t="n">
        <f aca="false">+F1369*0.03</f>
        <v>0</v>
      </c>
      <c r="F1369" s="33" t="n">
        <v>0</v>
      </c>
      <c r="G1369" s="62"/>
      <c r="H1369" s="35" t="n">
        <v>0</v>
      </c>
      <c r="I1369" s="34" t="n">
        <f aca="false">+IF(E1369=0,0,E1369*0.03)</f>
        <v>0</v>
      </c>
    </row>
    <row r="1370" customFormat="false" ht="15.75" hidden="false" customHeight="true" outlineLevel="0" collapsed="false">
      <c r="A1370" s="30" t="n">
        <v>45444</v>
      </c>
      <c r="B1370" s="31" t="s">
        <v>153</v>
      </c>
      <c r="C1370" s="32"/>
      <c r="D1370" s="32"/>
      <c r="E1370" s="19" t="n">
        <f aca="false">+F1370*0.03</f>
        <v>0</v>
      </c>
      <c r="F1370" s="33" t="n">
        <v>0</v>
      </c>
      <c r="G1370" s="62"/>
      <c r="H1370" s="35" t="n">
        <v>0</v>
      </c>
      <c r="I1370" s="34" t="n">
        <f aca="false">+IF(E1370=0,0,E1370*0.03)</f>
        <v>0</v>
      </c>
    </row>
    <row r="1371" customFormat="false" ht="15.75" hidden="false" customHeight="true" outlineLevel="0" collapsed="false">
      <c r="A1371" s="30" t="n">
        <v>45444</v>
      </c>
      <c r="B1371" s="31" t="s">
        <v>153</v>
      </c>
      <c r="C1371" s="32"/>
      <c r="D1371" s="32"/>
      <c r="E1371" s="19" t="n">
        <f aca="false">+F1371*0.03</f>
        <v>0</v>
      </c>
      <c r="F1371" s="33" t="n">
        <v>0</v>
      </c>
      <c r="G1371" s="62"/>
      <c r="H1371" s="35" t="n">
        <v>0</v>
      </c>
      <c r="I1371" s="34" t="n">
        <f aca="false">+IF(E1371=0,0,E1371*0.03)</f>
        <v>0</v>
      </c>
    </row>
    <row r="1372" customFormat="false" ht="15.75" hidden="false" customHeight="true" outlineLevel="0" collapsed="false">
      <c r="A1372" s="30" t="n">
        <v>45444</v>
      </c>
      <c r="B1372" s="31" t="s">
        <v>153</v>
      </c>
      <c r="C1372" s="32"/>
      <c r="D1372" s="32"/>
      <c r="E1372" s="19" t="n">
        <f aca="false">+F1372*0.03</f>
        <v>0</v>
      </c>
      <c r="F1372" s="33" t="n">
        <v>0</v>
      </c>
      <c r="G1372" s="62"/>
      <c r="H1372" s="35" t="n">
        <v>0</v>
      </c>
      <c r="I1372" s="34" t="n">
        <f aca="false">+IF(E1372=0,0,E1372*0.03)</f>
        <v>0</v>
      </c>
    </row>
    <row r="1373" customFormat="false" ht="15.75" hidden="false" customHeight="true" outlineLevel="0" collapsed="false">
      <c r="A1373" s="30" t="n">
        <v>45444</v>
      </c>
      <c r="B1373" s="31" t="s">
        <v>153</v>
      </c>
      <c r="C1373" s="32"/>
      <c r="D1373" s="32"/>
      <c r="E1373" s="19" t="n">
        <f aca="false">+F1373*0.03</f>
        <v>0</v>
      </c>
      <c r="F1373" s="33" t="n">
        <v>0</v>
      </c>
      <c r="G1373" s="62"/>
      <c r="H1373" s="35" t="n">
        <v>0</v>
      </c>
      <c r="I1373" s="34" t="n">
        <f aca="false">+IF(E1373=0,0,E1373*0.03)</f>
        <v>0</v>
      </c>
    </row>
    <row r="1374" customFormat="false" ht="15.75" hidden="false" customHeight="true" outlineLevel="0" collapsed="false">
      <c r="A1374" s="30" t="n">
        <v>45444</v>
      </c>
      <c r="B1374" s="31" t="s">
        <v>153</v>
      </c>
      <c r="C1374" s="32"/>
      <c r="D1374" s="32"/>
      <c r="E1374" s="19" t="n">
        <f aca="false">+F1374*0.03</f>
        <v>0</v>
      </c>
      <c r="F1374" s="33" t="n">
        <v>0</v>
      </c>
      <c r="G1374" s="62"/>
      <c r="H1374" s="35" t="n">
        <v>0</v>
      </c>
      <c r="I1374" s="34" t="n">
        <f aca="false">+IF(E1374=0,0,E1374*0.03)</f>
        <v>0</v>
      </c>
    </row>
    <row r="1375" customFormat="false" ht="15.75" hidden="false" customHeight="true" outlineLevel="0" collapsed="false">
      <c r="A1375" s="30" t="n">
        <v>45444</v>
      </c>
      <c r="B1375" s="31" t="s">
        <v>153</v>
      </c>
      <c r="C1375" s="32"/>
      <c r="D1375" s="32"/>
      <c r="E1375" s="19" t="n">
        <f aca="false">+F1375*0.03</f>
        <v>0</v>
      </c>
      <c r="F1375" s="33" t="n">
        <v>0</v>
      </c>
      <c r="G1375" s="62"/>
      <c r="H1375" s="35" t="n">
        <v>0</v>
      </c>
      <c r="I1375" s="34" t="n">
        <f aca="false">+IF(E1375=0,0,E1375*0.03)</f>
        <v>0</v>
      </c>
    </row>
    <row r="1376" customFormat="false" ht="15.75" hidden="false" customHeight="true" outlineLevel="0" collapsed="false">
      <c r="A1376" s="30" t="n">
        <v>45444</v>
      </c>
      <c r="B1376" s="31" t="s">
        <v>153</v>
      </c>
      <c r="C1376" s="32"/>
      <c r="D1376" s="32"/>
      <c r="E1376" s="19" t="n">
        <f aca="false">+F1376*0.03</f>
        <v>0</v>
      </c>
      <c r="F1376" s="33" t="n">
        <v>0</v>
      </c>
      <c r="G1376" s="62"/>
      <c r="H1376" s="35" t="n">
        <v>0</v>
      </c>
      <c r="I1376" s="34" t="n">
        <f aca="false">+IF(E1376=0,0,E1376*0.03)</f>
        <v>0</v>
      </c>
    </row>
    <row r="1377" customFormat="false" ht="15.75" hidden="false" customHeight="true" outlineLevel="0" collapsed="false">
      <c r="A1377" s="30" t="n">
        <v>45444</v>
      </c>
      <c r="B1377" s="31" t="s">
        <v>153</v>
      </c>
      <c r="C1377" s="32"/>
      <c r="D1377" s="32"/>
      <c r="E1377" s="19" t="n">
        <f aca="false">+F1377*0.03</f>
        <v>0</v>
      </c>
      <c r="F1377" s="33" t="n">
        <v>0</v>
      </c>
      <c r="G1377" s="62"/>
      <c r="H1377" s="35" t="n">
        <v>0</v>
      </c>
      <c r="I1377" s="34" t="n">
        <f aca="false">+IF(E1377=0,0,E1377*0.03)</f>
        <v>0</v>
      </c>
    </row>
    <row r="1378" customFormat="false" ht="15.75" hidden="false" customHeight="true" outlineLevel="0" collapsed="false">
      <c r="A1378" s="30" t="n">
        <v>45444</v>
      </c>
      <c r="B1378" s="31" t="s">
        <v>153</v>
      </c>
      <c r="C1378" s="32"/>
      <c r="D1378" s="32"/>
      <c r="E1378" s="19" t="n">
        <f aca="false">+F1378*0.03</f>
        <v>0</v>
      </c>
      <c r="F1378" s="33" t="n">
        <v>0</v>
      </c>
      <c r="G1378" s="62"/>
      <c r="H1378" s="35" t="n">
        <v>0</v>
      </c>
      <c r="I1378" s="34" t="n">
        <f aca="false">+IF(E1378=0,0,E1378*0.03)</f>
        <v>0</v>
      </c>
    </row>
    <row r="1379" customFormat="false" ht="15.75" hidden="false" customHeight="true" outlineLevel="0" collapsed="false">
      <c r="A1379" s="30" t="n">
        <v>45444</v>
      </c>
      <c r="B1379" s="31" t="s">
        <v>153</v>
      </c>
      <c r="C1379" s="32"/>
      <c r="D1379" s="32"/>
      <c r="E1379" s="19" t="n">
        <f aca="false">+F1379*0.03</f>
        <v>0</v>
      </c>
      <c r="F1379" s="33" t="n">
        <v>0</v>
      </c>
      <c r="G1379" s="62"/>
      <c r="H1379" s="35" t="n">
        <v>0</v>
      </c>
      <c r="I1379" s="34" t="n">
        <f aca="false">+IF(E1379=0,0,E1379*0.03)</f>
        <v>0</v>
      </c>
    </row>
    <row r="1380" customFormat="false" ht="15.75" hidden="false" customHeight="true" outlineLevel="0" collapsed="false">
      <c r="A1380" s="30" t="n">
        <v>45444</v>
      </c>
      <c r="B1380" s="31" t="s">
        <v>153</v>
      </c>
      <c r="C1380" s="32"/>
      <c r="D1380" s="32"/>
      <c r="E1380" s="19" t="n">
        <f aca="false">+F1380*0.03</f>
        <v>0</v>
      </c>
      <c r="F1380" s="33" t="n">
        <v>0</v>
      </c>
      <c r="G1380" s="62"/>
      <c r="H1380" s="35" t="n">
        <v>0</v>
      </c>
      <c r="I1380" s="34" t="n">
        <f aca="false">+IF(E1380=0,0,E1380*0.03)</f>
        <v>0</v>
      </c>
    </row>
    <row r="1381" customFormat="false" ht="15.75" hidden="false" customHeight="true" outlineLevel="0" collapsed="false">
      <c r="A1381" s="30" t="n">
        <v>45444</v>
      </c>
      <c r="B1381" s="31" t="s">
        <v>153</v>
      </c>
      <c r="C1381" s="32"/>
      <c r="D1381" s="32"/>
      <c r="E1381" s="19" t="n">
        <f aca="false">+F1381*0.03</f>
        <v>0</v>
      </c>
      <c r="F1381" s="33" t="n">
        <v>0</v>
      </c>
      <c r="G1381" s="62"/>
      <c r="H1381" s="35" t="n">
        <v>0</v>
      </c>
      <c r="I1381" s="34" t="n">
        <f aca="false">+IF(E1381=0,0,E1381*0.03)</f>
        <v>0</v>
      </c>
    </row>
    <row r="1382" customFormat="false" ht="15.75" hidden="false" customHeight="true" outlineLevel="0" collapsed="false">
      <c r="A1382" s="30" t="n">
        <v>45444</v>
      </c>
      <c r="B1382" s="31" t="s">
        <v>153</v>
      </c>
      <c r="C1382" s="32"/>
      <c r="D1382" s="32"/>
      <c r="E1382" s="19" t="n">
        <f aca="false">+F1382*0.03</f>
        <v>0</v>
      </c>
      <c r="F1382" s="33" t="n">
        <v>0</v>
      </c>
      <c r="G1382" s="62"/>
      <c r="H1382" s="35" t="n">
        <v>0</v>
      </c>
      <c r="I1382" s="34" t="n">
        <f aca="false">+IF(E1382=0,0,E1382*0.03)</f>
        <v>0</v>
      </c>
    </row>
    <row r="1383" customFormat="false" ht="15.75" hidden="false" customHeight="true" outlineLevel="0" collapsed="false">
      <c r="A1383" s="30" t="n">
        <v>45444</v>
      </c>
      <c r="B1383" s="31" t="s">
        <v>153</v>
      </c>
      <c r="C1383" s="32"/>
      <c r="D1383" s="32"/>
      <c r="E1383" s="19" t="n">
        <f aca="false">+F1383*0.03</f>
        <v>0</v>
      </c>
      <c r="F1383" s="33" t="n">
        <v>0</v>
      </c>
      <c r="G1383" s="62"/>
      <c r="H1383" s="35" t="n">
        <v>0</v>
      </c>
      <c r="I1383" s="34" t="n">
        <f aca="false">+IF(E1383=0,0,E1383*0.03)</f>
        <v>0</v>
      </c>
    </row>
    <row r="1384" customFormat="false" ht="15.75" hidden="false" customHeight="true" outlineLevel="0" collapsed="false">
      <c r="A1384" s="30" t="n">
        <v>45444</v>
      </c>
      <c r="B1384" s="31" t="s">
        <v>153</v>
      </c>
      <c r="C1384" s="32"/>
      <c r="D1384" s="32"/>
      <c r="E1384" s="19" t="n">
        <f aca="false">+F1384*0.03</f>
        <v>0</v>
      </c>
      <c r="F1384" s="33" t="n">
        <v>0</v>
      </c>
      <c r="G1384" s="62"/>
      <c r="H1384" s="35" t="n">
        <v>0</v>
      </c>
      <c r="I1384" s="34" t="n">
        <f aca="false">+IF(E1384=0,0,E1384*0.03)</f>
        <v>0</v>
      </c>
    </row>
    <row r="1385" customFormat="false" ht="15.75" hidden="false" customHeight="true" outlineLevel="0" collapsed="false">
      <c r="A1385" s="30" t="n">
        <v>45444</v>
      </c>
      <c r="B1385" s="31" t="s">
        <v>153</v>
      </c>
      <c r="C1385" s="32"/>
      <c r="D1385" s="32"/>
      <c r="E1385" s="19" t="n">
        <f aca="false">+F1385*0.03</f>
        <v>0</v>
      </c>
      <c r="F1385" s="33" t="n">
        <v>0</v>
      </c>
      <c r="G1385" s="62"/>
      <c r="H1385" s="35" t="n">
        <v>0</v>
      </c>
      <c r="I1385" s="34" t="n">
        <f aca="false">+IF(E1385=0,0,E1385*0.03)</f>
        <v>0</v>
      </c>
    </row>
    <row r="1386" customFormat="false" ht="15.75" hidden="false" customHeight="true" outlineLevel="0" collapsed="false">
      <c r="A1386" s="30" t="n">
        <v>45444</v>
      </c>
      <c r="B1386" s="31" t="s">
        <v>153</v>
      </c>
      <c r="C1386" s="32"/>
      <c r="D1386" s="32"/>
      <c r="E1386" s="19" t="n">
        <f aca="false">+F1386*0.03</f>
        <v>0</v>
      </c>
      <c r="F1386" s="33" t="n">
        <v>0</v>
      </c>
      <c r="G1386" s="62"/>
      <c r="H1386" s="35" t="n">
        <v>0</v>
      </c>
      <c r="I1386" s="34" t="n">
        <f aca="false">+IF(E1386=0,0,E1386*0.03)</f>
        <v>0</v>
      </c>
    </row>
    <row r="1387" customFormat="false" ht="15.75" hidden="false" customHeight="true" outlineLevel="0" collapsed="false">
      <c r="A1387" s="30" t="n">
        <v>45444</v>
      </c>
      <c r="B1387" s="31" t="s">
        <v>153</v>
      </c>
      <c r="C1387" s="32"/>
      <c r="D1387" s="32"/>
      <c r="E1387" s="19" t="n">
        <f aca="false">+F1387*0.03</f>
        <v>0</v>
      </c>
      <c r="F1387" s="33" t="n">
        <v>0</v>
      </c>
      <c r="G1387" s="62"/>
      <c r="H1387" s="35" t="n">
        <v>0</v>
      </c>
      <c r="I1387" s="34" t="n">
        <f aca="false">+IF(E1387=0,0,E1387*0.03)</f>
        <v>0</v>
      </c>
    </row>
    <row r="1388" customFormat="false" ht="15.75" hidden="false" customHeight="true" outlineLevel="0" collapsed="false">
      <c r="A1388" s="30" t="n">
        <v>45444</v>
      </c>
      <c r="B1388" s="31" t="s">
        <v>153</v>
      </c>
      <c r="C1388" s="32"/>
      <c r="D1388" s="32"/>
      <c r="E1388" s="19" t="n">
        <f aca="false">+F1388*0.03</f>
        <v>0</v>
      </c>
      <c r="F1388" s="33" t="n">
        <v>0</v>
      </c>
      <c r="G1388" s="62"/>
      <c r="H1388" s="35" t="n">
        <v>0</v>
      </c>
      <c r="I1388" s="34" t="n">
        <f aca="false">+IF(E1388=0,0,E1388*0.03)</f>
        <v>0</v>
      </c>
    </row>
    <row r="1389" customFormat="false" ht="15.75" hidden="false" customHeight="true" outlineLevel="0" collapsed="false">
      <c r="A1389" s="30" t="n">
        <v>45444</v>
      </c>
      <c r="B1389" s="31" t="s">
        <v>153</v>
      </c>
      <c r="C1389" s="32"/>
      <c r="D1389" s="32"/>
      <c r="E1389" s="19" t="n">
        <f aca="false">+F1389*0.03</f>
        <v>0</v>
      </c>
      <c r="F1389" s="33" t="n">
        <v>0</v>
      </c>
      <c r="G1389" s="62"/>
      <c r="H1389" s="35" t="n">
        <v>0</v>
      </c>
      <c r="I1389" s="34" t="n">
        <f aca="false">+IF(E1389=0,0,E1389*0.03)</f>
        <v>0</v>
      </c>
    </row>
    <row r="1390" customFormat="false" ht="15.75" hidden="false" customHeight="true" outlineLevel="0" collapsed="false">
      <c r="A1390" s="30" t="n">
        <v>45444</v>
      </c>
      <c r="B1390" s="31" t="s">
        <v>153</v>
      </c>
      <c r="C1390" s="32"/>
      <c r="D1390" s="32"/>
      <c r="E1390" s="19" t="n">
        <f aca="false">+F1390*0.03</f>
        <v>0</v>
      </c>
      <c r="F1390" s="33" t="n">
        <v>0</v>
      </c>
      <c r="G1390" s="62"/>
      <c r="H1390" s="35" t="n">
        <v>0</v>
      </c>
      <c r="I1390" s="34" t="n">
        <f aca="false">+IF(E1390=0,0,E1390*0.03)</f>
        <v>0</v>
      </c>
    </row>
    <row r="1391" customFormat="false" ht="15.75" hidden="false" customHeight="true" outlineLevel="0" collapsed="false">
      <c r="A1391" s="30" t="n">
        <v>45444</v>
      </c>
      <c r="B1391" s="31" t="s">
        <v>153</v>
      </c>
      <c r="C1391" s="32"/>
      <c r="D1391" s="32"/>
      <c r="E1391" s="19" t="n">
        <f aca="false">+F1391*0.03</f>
        <v>0</v>
      </c>
      <c r="F1391" s="33" t="n">
        <v>0</v>
      </c>
      <c r="G1391" s="62"/>
      <c r="H1391" s="35" t="n">
        <v>0</v>
      </c>
      <c r="I1391" s="34" t="n">
        <f aca="false">+IF(E1391=0,0,E1391*0.03)</f>
        <v>0</v>
      </c>
    </row>
    <row r="1392" customFormat="false" ht="15.75" hidden="false" customHeight="true" outlineLevel="0" collapsed="false">
      <c r="A1392" s="30" t="n">
        <v>45444</v>
      </c>
      <c r="B1392" s="31" t="s">
        <v>153</v>
      </c>
      <c r="C1392" s="32"/>
      <c r="D1392" s="32"/>
      <c r="E1392" s="19" t="n">
        <f aca="false">+F1392*0.03</f>
        <v>0</v>
      </c>
      <c r="F1392" s="33" t="n">
        <v>0</v>
      </c>
      <c r="G1392" s="62"/>
      <c r="H1392" s="35" t="n">
        <v>0</v>
      </c>
      <c r="I1392" s="34" t="n">
        <f aca="false">+IF(E1392=0,0,E1392*0.03)</f>
        <v>0</v>
      </c>
    </row>
    <row r="1393" customFormat="false" ht="15.75" hidden="false" customHeight="true" outlineLevel="0" collapsed="false">
      <c r="A1393" s="30" t="n">
        <v>45444</v>
      </c>
      <c r="B1393" s="31" t="s">
        <v>153</v>
      </c>
      <c r="C1393" s="32"/>
      <c r="D1393" s="32"/>
      <c r="E1393" s="19" t="n">
        <f aca="false">+F1393*0.03</f>
        <v>0</v>
      </c>
      <c r="F1393" s="33" t="n">
        <v>0</v>
      </c>
      <c r="G1393" s="62"/>
      <c r="H1393" s="35" t="n">
        <v>0</v>
      </c>
      <c r="I1393" s="34" t="n">
        <f aca="false">+IF(E1393=0,0,E1393*0.03)</f>
        <v>0</v>
      </c>
    </row>
    <row r="1394" customFormat="false" ht="15.75" hidden="false" customHeight="true" outlineLevel="0" collapsed="false">
      <c r="A1394" s="30" t="n">
        <v>45444</v>
      </c>
      <c r="B1394" s="31" t="s">
        <v>153</v>
      </c>
      <c r="C1394" s="32"/>
      <c r="D1394" s="32"/>
      <c r="E1394" s="19" t="n">
        <f aca="false">+F1394*0.03</f>
        <v>0</v>
      </c>
      <c r="F1394" s="33" t="n">
        <v>0</v>
      </c>
      <c r="G1394" s="62"/>
      <c r="H1394" s="35" t="n">
        <v>0</v>
      </c>
      <c r="I1394" s="34" t="n">
        <f aca="false">+IF(E1394=0,0,E1394*0.03)</f>
        <v>0</v>
      </c>
    </row>
    <row r="1395" customFormat="false" ht="15.75" hidden="false" customHeight="true" outlineLevel="0" collapsed="false">
      <c r="A1395" s="30" t="n">
        <v>45444</v>
      </c>
      <c r="B1395" s="31" t="s">
        <v>153</v>
      </c>
      <c r="C1395" s="32"/>
      <c r="D1395" s="32"/>
      <c r="E1395" s="19" t="n">
        <f aca="false">+F1395*0.03</f>
        <v>0</v>
      </c>
      <c r="F1395" s="33" t="n">
        <v>0</v>
      </c>
      <c r="G1395" s="62"/>
      <c r="H1395" s="35" t="n">
        <v>0</v>
      </c>
      <c r="I1395" s="34" t="n">
        <f aca="false">+IF(E1395=0,0,E1395*0.03)</f>
        <v>0</v>
      </c>
    </row>
    <row r="1396" customFormat="false" ht="15.75" hidden="false" customHeight="true" outlineLevel="0" collapsed="false">
      <c r="A1396" s="30" t="n">
        <v>45444</v>
      </c>
      <c r="B1396" s="31" t="s">
        <v>153</v>
      </c>
      <c r="C1396" s="32"/>
      <c r="D1396" s="32"/>
      <c r="E1396" s="19" t="n">
        <f aca="false">+F1396*0.03</f>
        <v>0</v>
      </c>
      <c r="F1396" s="33" t="n">
        <v>0</v>
      </c>
      <c r="G1396" s="62"/>
      <c r="H1396" s="35" t="n">
        <v>0</v>
      </c>
      <c r="I1396" s="34" t="n">
        <f aca="false">+IF(E1396=0,0,E1396*0.03)</f>
        <v>0</v>
      </c>
    </row>
    <row r="1397" customFormat="false" ht="15.75" hidden="false" customHeight="true" outlineLevel="0" collapsed="false">
      <c r="A1397" s="30" t="n">
        <v>45444</v>
      </c>
      <c r="B1397" s="31" t="s">
        <v>153</v>
      </c>
      <c r="C1397" s="32"/>
      <c r="D1397" s="32"/>
      <c r="E1397" s="19" t="n">
        <f aca="false">+F1397*0.03</f>
        <v>0</v>
      </c>
      <c r="F1397" s="33" t="n">
        <v>0</v>
      </c>
      <c r="G1397" s="62"/>
      <c r="H1397" s="35" t="n">
        <v>0</v>
      </c>
      <c r="I1397" s="34" t="n">
        <f aca="false">+IF(E1397=0,0,E1397*0.03)</f>
        <v>0</v>
      </c>
    </row>
    <row r="1398" customFormat="false" ht="15.75" hidden="false" customHeight="true" outlineLevel="0" collapsed="false">
      <c r="A1398" s="30" t="n">
        <v>45444</v>
      </c>
      <c r="B1398" s="31" t="s">
        <v>153</v>
      </c>
      <c r="C1398" s="32"/>
      <c r="D1398" s="32"/>
      <c r="E1398" s="19" t="n">
        <f aca="false">+F1398*0.03</f>
        <v>0</v>
      </c>
      <c r="F1398" s="33" t="n">
        <v>0</v>
      </c>
      <c r="G1398" s="62"/>
      <c r="H1398" s="35" t="n">
        <v>0</v>
      </c>
      <c r="I1398" s="34" t="n">
        <f aca="false">+IF(E1398=0,0,E1398*0.03)</f>
        <v>0</v>
      </c>
    </row>
    <row r="1399" customFormat="false" ht="15.75" hidden="false" customHeight="true" outlineLevel="0" collapsed="false">
      <c r="A1399" s="30" t="n">
        <v>45444</v>
      </c>
      <c r="B1399" s="31" t="s">
        <v>153</v>
      </c>
      <c r="C1399" s="32"/>
      <c r="D1399" s="32"/>
      <c r="E1399" s="19" t="n">
        <f aca="false">+F1399*0.03</f>
        <v>0</v>
      </c>
      <c r="F1399" s="33" t="n">
        <v>0</v>
      </c>
      <c r="G1399" s="62"/>
      <c r="H1399" s="35" t="n">
        <v>0</v>
      </c>
      <c r="I1399" s="34" t="n">
        <f aca="false">+IF(E1399=0,0,E1399*0.03)</f>
        <v>0</v>
      </c>
    </row>
    <row r="1400" customFormat="false" ht="15.75" hidden="false" customHeight="true" outlineLevel="0" collapsed="false">
      <c r="A1400" s="30" t="n">
        <v>45444</v>
      </c>
      <c r="B1400" s="31" t="s">
        <v>153</v>
      </c>
      <c r="C1400" s="32"/>
      <c r="D1400" s="32"/>
      <c r="E1400" s="19" t="n">
        <f aca="false">+F1400*0.03</f>
        <v>0</v>
      </c>
      <c r="F1400" s="33" t="n">
        <v>0</v>
      </c>
      <c r="G1400" s="62"/>
      <c r="H1400" s="35" t="n">
        <v>0</v>
      </c>
      <c r="I1400" s="34" t="n">
        <f aca="false">+IF(E1400=0,0,E1400*0.03)</f>
        <v>0</v>
      </c>
    </row>
    <row r="1401" customFormat="false" ht="15.75" hidden="false" customHeight="true" outlineLevel="0" collapsed="false">
      <c r="A1401" s="30" t="n">
        <v>45444</v>
      </c>
      <c r="B1401" s="31" t="s">
        <v>153</v>
      </c>
      <c r="C1401" s="32"/>
      <c r="D1401" s="32"/>
      <c r="E1401" s="19" t="n">
        <f aca="false">+F1401*0.03</f>
        <v>0</v>
      </c>
      <c r="F1401" s="33" t="n">
        <v>0</v>
      </c>
      <c r="G1401" s="62"/>
      <c r="H1401" s="35" t="n">
        <v>0</v>
      </c>
      <c r="I1401" s="34" t="n">
        <f aca="false">+IF(E1401=0,0,E1401*0.03)</f>
        <v>0</v>
      </c>
    </row>
    <row r="1402" customFormat="false" ht="15.75" hidden="false" customHeight="true" outlineLevel="0" collapsed="false">
      <c r="A1402" s="30" t="n">
        <v>45444</v>
      </c>
      <c r="B1402" s="31" t="s">
        <v>153</v>
      </c>
      <c r="C1402" s="32"/>
      <c r="D1402" s="32"/>
      <c r="E1402" s="19" t="n">
        <f aca="false">+F1402*0.03</f>
        <v>0</v>
      </c>
      <c r="F1402" s="33" t="n">
        <v>0</v>
      </c>
      <c r="G1402" s="62"/>
      <c r="H1402" s="35" t="n">
        <v>0</v>
      </c>
      <c r="I1402" s="34" t="n">
        <f aca="false">+IF(E1402=0,0,E1402*0.03)</f>
        <v>0</v>
      </c>
    </row>
    <row r="1403" customFormat="false" ht="15.75" hidden="false" customHeight="true" outlineLevel="0" collapsed="false">
      <c r="A1403" s="30" t="n">
        <v>45444</v>
      </c>
      <c r="B1403" s="31" t="s">
        <v>153</v>
      </c>
      <c r="C1403" s="32"/>
      <c r="D1403" s="32"/>
      <c r="E1403" s="19" t="n">
        <f aca="false">+F1403*0.03</f>
        <v>0</v>
      </c>
      <c r="F1403" s="33" t="n">
        <v>0</v>
      </c>
      <c r="G1403" s="62"/>
      <c r="H1403" s="35" t="n">
        <v>0</v>
      </c>
      <c r="I1403" s="34" t="n">
        <f aca="false">+IF(E1403=0,0,E1403*0.03)</f>
        <v>0</v>
      </c>
    </row>
    <row r="1404" customFormat="false" ht="15.75" hidden="false" customHeight="true" outlineLevel="0" collapsed="false">
      <c r="A1404" s="30" t="n">
        <v>45444</v>
      </c>
      <c r="B1404" s="31" t="s">
        <v>153</v>
      </c>
      <c r="C1404" s="32"/>
      <c r="D1404" s="32"/>
      <c r="E1404" s="19" t="n">
        <f aca="false">+F1404*0.03</f>
        <v>0</v>
      </c>
      <c r="F1404" s="33" t="n">
        <v>0</v>
      </c>
      <c r="G1404" s="62"/>
      <c r="H1404" s="35" t="n">
        <v>0</v>
      </c>
      <c r="I1404" s="34" t="n">
        <f aca="false">+IF(E1404=0,0,E1404*0.03)</f>
        <v>0</v>
      </c>
    </row>
    <row r="1405" customFormat="false" ht="15.75" hidden="false" customHeight="true" outlineLevel="0" collapsed="false">
      <c r="A1405" s="30" t="n">
        <v>45444</v>
      </c>
      <c r="B1405" s="31" t="s">
        <v>153</v>
      </c>
      <c r="C1405" s="32"/>
      <c r="D1405" s="32"/>
      <c r="E1405" s="19" t="n">
        <f aca="false">+F1405*0.03</f>
        <v>0</v>
      </c>
      <c r="F1405" s="33" t="n">
        <v>0</v>
      </c>
      <c r="G1405" s="62"/>
      <c r="H1405" s="35" t="n">
        <v>0</v>
      </c>
      <c r="I1405" s="34" t="n">
        <f aca="false">+IF(E1405=0,0,E1405*0.03)</f>
        <v>0</v>
      </c>
    </row>
    <row r="1406" customFormat="false" ht="15.75" hidden="false" customHeight="true" outlineLevel="0" collapsed="false">
      <c r="A1406" s="30" t="n">
        <v>45444</v>
      </c>
      <c r="B1406" s="31" t="s">
        <v>153</v>
      </c>
      <c r="C1406" s="32"/>
      <c r="D1406" s="32"/>
      <c r="E1406" s="19" t="n">
        <f aca="false">+F1406*0.03</f>
        <v>0</v>
      </c>
      <c r="F1406" s="33" t="n">
        <v>0</v>
      </c>
      <c r="G1406" s="62"/>
      <c r="H1406" s="35" t="n">
        <v>0</v>
      </c>
      <c r="I1406" s="34" t="n">
        <f aca="false">+IF(E1406=0,0,E1406*0.03)</f>
        <v>0</v>
      </c>
    </row>
    <row r="1407" customFormat="false" ht="15.75" hidden="false" customHeight="true" outlineLevel="0" collapsed="false">
      <c r="A1407" s="30" t="n">
        <v>45444</v>
      </c>
      <c r="B1407" s="31" t="s">
        <v>153</v>
      </c>
      <c r="C1407" s="32"/>
      <c r="D1407" s="32"/>
      <c r="E1407" s="19" t="n">
        <f aca="false">+F1407*0.03</f>
        <v>0</v>
      </c>
      <c r="F1407" s="33" t="n">
        <v>0</v>
      </c>
      <c r="G1407" s="62"/>
      <c r="H1407" s="35" t="n">
        <v>0</v>
      </c>
      <c r="I1407" s="34" t="n">
        <f aca="false">+IF(E1407=0,0,E1407*0.03)</f>
        <v>0</v>
      </c>
    </row>
    <row r="1408" customFormat="false" ht="15.75" hidden="false" customHeight="true" outlineLevel="0" collapsed="false">
      <c r="A1408" s="30" t="n">
        <v>45444</v>
      </c>
      <c r="B1408" s="31" t="s">
        <v>153</v>
      </c>
      <c r="C1408" s="32"/>
      <c r="D1408" s="32"/>
      <c r="E1408" s="19" t="n">
        <f aca="false">+F1408*0.03</f>
        <v>0</v>
      </c>
      <c r="F1408" s="33" t="n">
        <v>0</v>
      </c>
      <c r="G1408" s="62"/>
      <c r="H1408" s="35" t="n">
        <v>0</v>
      </c>
      <c r="I1408" s="34" t="n">
        <f aca="false">+IF(E1408=0,0,E1408*0.03)</f>
        <v>0</v>
      </c>
    </row>
    <row r="1409" customFormat="false" ht="15.75" hidden="false" customHeight="true" outlineLevel="0" collapsed="false">
      <c r="A1409" s="30" t="n">
        <v>45444</v>
      </c>
      <c r="B1409" s="31" t="s">
        <v>153</v>
      </c>
      <c r="C1409" s="32"/>
      <c r="D1409" s="32"/>
      <c r="E1409" s="19" t="n">
        <f aca="false">+F1409*0.03</f>
        <v>0</v>
      </c>
      <c r="F1409" s="33" t="n">
        <v>0</v>
      </c>
      <c r="G1409" s="62"/>
      <c r="H1409" s="35" t="n">
        <v>0</v>
      </c>
      <c r="I1409" s="34" t="n">
        <f aca="false">+IF(E1409=0,0,E1409*0.03)</f>
        <v>0</v>
      </c>
    </row>
    <row r="1410" customFormat="false" ht="15.75" hidden="false" customHeight="true" outlineLevel="0" collapsed="false">
      <c r="A1410" s="30" t="n">
        <v>45444</v>
      </c>
      <c r="B1410" s="31" t="s">
        <v>153</v>
      </c>
      <c r="C1410" s="32"/>
      <c r="D1410" s="32"/>
      <c r="E1410" s="19" t="n">
        <f aca="false">+F1410*0.03</f>
        <v>0</v>
      </c>
      <c r="F1410" s="33" t="n">
        <v>0</v>
      </c>
      <c r="G1410" s="62"/>
      <c r="H1410" s="35" t="n">
        <v>0</v>
      </c>
      <c r="I1410" s="34" t="n">
        <f aca="false">+IF(E1410=0,0,E1410*0.03)</f>
        <v>0</v>
      </c>
    </row>
    <row r="1411" customFormat="false" ht="15.75" hidden="false" customHeight="true" outlineLevel="0" collapsed="false">
      <c r="A1411" s="30" t="n">
        <v>45444</v>
      </c>
      <c r="B1411" s="31" t="s">
        <v>153</v>
      </c>
      <c r="C1411" s="32"/>
      <c r="D1411" s="32"/>
      <c r="E1411" s="19" t="n">
        <f aca="false">+F1411*0.03</f>
        <v>0</v>
      </c>
      <c r="F1411" s="33" t="n">
        <v>0</v>
      </c>
      <c r="G1411" s="62"/>
      <c r="H1411" s="35" t="n">
        <v>0</v>
      </c>
      <c r="I1411" s="34" t="n">
        <f aca="false">+IF(E1411=0,0,E1411*0.03)</f>
        <v>0</v>
      </c>
    </row>
    <row r="1412" customFormat="false" ht="15.75" hidden="false" customHeight="true" outlineLevel="0" collapsed="false">
      <c r="A1412" s="30" t="n">
        <v>45444</v>
      </c>
      <c r="B1412" s="31" t="s">
        <v>153</v>
      </c>
      <c r="C1412" s="32"/>
      <c r="D1412" s="32"/>
      <c r="E1412" s="19" t="n">
        <f aca="false">+F1412*0.03</f>
        <v>0</v>
      </c>
      <c r="F1412" s="33" t="n">
        <v>0</v>
      </c>
      <c r="G1412" s="62"/>
      <c r="H1412" s="35" t="n">
        <v>0</v>
      </c>
      <c r="I1412" s="34" t="n">
        <f aca="false">+IF(E1412=0,0,E1412*0.03)</f>
        <v>0</v>
      </c>
    </row>
    <row r="1413" customFormat="false" ht="15.75" hidden="false" customHeight="true" outlineLevel="0" collapsed="false">
      <c r="A1413" s="30" t="n">
        <v>45444</v>
      </c>
      <c r="B1413" s="31" t="s">
        <v>153</v>
      </c>
      <c r="C1413" s="32"/>
      <c r="D1413" s="32"/>
      <c r="E1413" s="19" t="n">
        <f aca="false">+F1413*0.03</f>
        <v>0</v>
      </c>
      <c r="F1413" s="33" t="n">
        <v>0</v>
      </c>
      <c r="G1413" s="62"/>
      <c r="H1413" s="35" t="n">
        <v>0</v>
      </c>
      <c r="I1413" s="34" t="n">
        <f aca="false">+IF(E1413=0,0,E1413*0.03)</f>
        <v>0</v>
      </c>
    </row>
    <row r="1414" customFormat="false" ht="15.75" hidden="false" customHeight="true" outlineLevel="0" collapsed="false">
      <c r="A1414" s="30" t="n">
        <v>45444</v>
      </c>
      <c r="B1414" s="31" t="s">
        <v>153</v>
      </c>
      <c r="C1414" s="32"/>
      <c r="D1414" s="32"/>
      <c r="E1414" s="19" t="n">
        <f aca="false">+F1414*0.03</f>
        <v>0</v>
      </c>
      <c r="F1414" s="33" t="n">
        <v>0</v>
      </c>
      <c r="G1414" s="62"/>
      <c r="H1414" s="35" t="n">
        <v>0</v>
      </c>
      <c r="I1414" s="34" t="n">
        <f aca="false">+IF(E1414=0,0,E1414*0.03)</f>
        <v>0</v>
      </c>
    </row>
    <row r="1415" customFormat="false" ht="15.75" hidden="false" customHeight="true" outlineLevel="0" collapsed="false">
      <c r="A1415" s="30" t="n">
        <v>45444</v>
      </c>
      <c r="B1415" s="31" t="s">
        <v>153</v>
      </c>
      <c r="C1415" s="32"/>
      <c r="D1415" s="32"/>
      <c r="E1415" s="19" t="n">
        <f aca="false">+F1415*0.03</f>
        <v>0</v>
      </c>
      <c r="F1415" s="33" t="n">
        <v>0</v>
      </c>
      <c r="G1415" s="62"/>
      <c r="H1415" s="35" t="n">
        <v>0</v>
      </c>
      <c r="I1415" s="34" t="n">
        <f aca="false">+IF(E1415=0,0,E1415*0.03)</f>
        <v>0</v>
      </c>
    </row>
    <row r="1416" customFormat="false" ht="15.75" hidden="false" customHeight="true" outlineLevel="0" collapsed="false">
      <c r="A1416" s="30" t="n">
        <v>45444</v>
      </c>
      <c r="B1416" s="31" t="s">
        <v>153</v>
      </c>
      <c r="C1416" s="32"/>
      <c r="D1416" s="32"/>
      <c r="E1416" s="19" t="n">
        <f aca="false">+F1416*0.03</f>
        <v>0</v>
      </c>
      <c r="F1416" s="33" t="n">
        <v>0</v>
      </c>
      <c r="G1416" s="62"/>
      <c r="H1416" s="35" t="n">
        <v>0</v>
      </c>
      <c r="I1416" s="34" t="n">
        <f aca="false">+IF(E1416=0,0,E1416*0.03)</f>
        <v>0</v>
      </c>
    </row>
    <row r="1417" customFormat="false" ht="15.75" hidden="false" customHeight="true" outlineLevel="0" collapsed="false">
      <c r="A1417" s="30" t="n">
        <v>45444</v>
      </c>
      <c r="B1417" s="31" t="s">
        <v>153</v>
      </c>
      <c r="C1417" s="32"/>
      <c r="D1417" s="32"/>
      <c r="E1417" s="19" t="n">
        <f aca="false">+F1417*0.03</f>
        <v>0</v>
      </c>
      <c r="F1417" s="33" t="n">
        <v>0</v>
      </c>
      <c r="G1417" s="62"/>
      <c r="H1417" s="35" t="n">
        <v>0</v>
      </c>
      <c r="I1417" s="34" t="n">
        <f aca="false">+IF(E1417=0,0,E1417*0.03)</f>
        <v>0</v>
      </c>
    </row>
    <row r="1418" customFormat="false" ht="15.75" hidden="false" customHeight="true" outlineLevel="0" collapsed="false">
      <c r="A1418" s="30" t="n">
        <v>45444</v>
      </c>
      <c r="B1418" s="31" t="s">
        <v>153</v>
      </c>
      <c r="C1418" s="32"/>
      <c r="D1418" s="32"/>
      <c r="E1418" s="19" t="n">
        <f aca="false">+F1418*0.03</f>
        <v>0</v>
      </c>
      <c r="F1418" s="33" t="n">
        <v>0</v>
      </c>
      <c r="G1418" s="62"/>
      <c r="H1418" s="35" t="n">
        <v>0</v>
      </c>
      <c r="I1418" s="34" t="n">
        <f aca="false">+IF(E1418=0,0,E1418*0.03)</f>
        <v>0</v>
      </c>
    </row>
    <row r="1419" customFormat="false" ht="15.75" hidden="false" customHeight="true" outlineLevel="0" collapsed="false">
      <c r="A1419" s="30" t="n">
        <v>45444</v>
      </c>
      <c r="B1419" s="31" t="s">
        <v>153</v>
      </c>
      <c r="C1419" s="32"/>
      <c r="D1419" s="32"/>
      <c r="E1419" s="19" t="n">
        <f aca="false">+F1419*0.03</f>
        <v>0</v>
      </c>
      <c r="F1419" s="33" t="n">
        <v>0</v>
      </c>
      <c r="G1419" s="62"/>
      <c r="H1419" s="35" t="n">
        <v>0</v>
      </c>
      <c r="I1419" s="34" t="n">
        <f aca="false">+IF(E1419=0,0,E1419*0.03)</f>
        <v>0</v>
      </c>
    </row>
    <row r="1420" customFormat="false" ht="15.75" hidden="false" customHeight="true" outlineLevel="0" collapsed="false">
      <c r="A1420" s="30" t="n">
        <v>45444</v>
      </c>
      <c r="B1420" s="31" t="s">
        <v>153</v>
      </c>
      <c r="C1420" s="32"/>
      <c r="D1420" s="32"/>
      <c r="E1420" s="19" t="n">
        <f aca="false">+F1420*0.03</f>
        <v>0</v>
      </c>
      <c r="F1420" s="33" t="n">
        <v>0</v>
      </c>
      <c r="G1420" s="62"/>
      <c r="H1420" s="35" t="n">
        <v>0</v>
      </c>
      <c r="I1420" s="34" t="n">
        <f aca="false">+IF(E1420=0,0,E1420*0.03)</f>
        <v>0</v>
      </c>
    </row>
    <row r="1421" customFormat="false" ht="15.75" hidden="false" customHeight="true" outlineLevel="0" collapsed="false">
      <c r="A1421" s="30" t="n">
        <v>45444</v>
      </c>
      <c r="B1421" s="31" t="s">
        <v>153</v>
      </c>
      <c r="C1421" s="32"/>
      <c r="D1421" s="32"/>
      <c r="E1421" s="19" t="n">
        <f aca="false">+F1421*0.03</f>
        <v>0</v>
      </c>
      <c r="F1421" s="33" t="n">
        <v>0</v>
      </c>
      <c r="G1421" s="62"/>
      <c r="H1421" s="35" t="n">
        <v>0</v>
      </c>
      <c r="I1421" s="34" t="n">
        <f aca="false">+IF(E1421=0,0,E1421*0.03)</f>
        <v>0</v>
      </c>
    </row>
    <row r="1422" customFormat="false" ht="15.75" hidden="false" customHeight="true" outlineLevel="0" collapsed="false">
      <c r="A1422" s="30" t="n">
        <v>45444</v>
      </c>
      <c r="B1422" s="31" t="s">
        <v>153</v>
      </c>
      <c r="C1422" s="32"/>
      <c r="D1422" s="32"/>
      <c r="E1422" s="19" t="n">
        <f aca="false">+F1422*0.03</f>
        <v>0</v>
      </c>
      <c r="F1422" s="33" t="n">
        <v>0</v>
      </c>
      <c r="G1422" s="62"/>
      <c r="H1422" s="35" t="n">
        <v>0</v>
      </c>
      <c r="I1422" s="34" t="n">
        <f aca="false">+IF(E1422=0,0,E1422*0.03)</f>
        <v>0</v>
      </c>
    </row>
    <row r="1423" customFormat="false" ht="15.75" hidden="false" customHeight="true" outlineLevel="0" collapsed="false">
      <c r="A1423" s="30" t="n">
        <v>45444</v>
      </c>
      <c r="B1423" s="31" t="s">
        <v>153</v>
      </c>
      <c r="C1423" s="32"/>
      <c r="D1423" s="32"/>
      <c r="E1423" s="19" t="n">
        <f aca="false">+F1423*0.03</f>
        <v>0</v>
      </c>
      <c r="F1423" s="33" t="n">
        <v>0</v>
      </c>
      <c r="G1423" s="62"/>
      <c r="H1423" s="35" t="n">
        <v>0</v>
      </c>
      <c r="I1423" s="34" t="n">
        <f aca="false">+IF(E1423=0,0,E1423*0.03)</f>
        <v>0</v>
      </c>
    </row>
    <row r="1424" customFormat="false" ht="15.75" hidden="false" customHeight="true" outlineLevel="0" collapsed="false">
      <c r="A1424" s="30" t="n">
        <v>45444</v>
      </c>
      <c r="B1424" s="31" t="s">
        <v>153</v>
      </c>
      <c r="C1424" s="32"/>
      <c r="D1424" s="32"/>
      <c r="E1424" s="19" t="n">
        <f aca="false">+F1424*0.03</f>
        <v>0</v>
      </c>
      <c r="F1424" s="33" t="n">
        <v>0</v>
      </c>
      <c r="G1424" s="62"/>
      <c r="H1424" s="35" t="n">
        <v>0</v>
      </c>
      <c r="I1424" s="34" t="n">
        <f aca="false">+IF(E1424=0,0,E1424*0.03)</f>
        <v>0</v>
      </c>
    </row>
    <row r="1425" customFormat="false" ht="15.75" hidden="false" customHeight="true" outlineLevel="0" collapsed="false">
      <c r="A1425" s="30" t="n">
        <v>45444</v>
      </c>
      <c r="B1425" s="31" t="s">
        <v>153</v>
      </c>
      <c r="C1425" s="32"/>
      <c r="D1425" s="32"/>
      <c r="E1425" s="19" t="n">
        <f aca="false">+F1425*0.03</f>
        <v>0</v>
      </c>
      <c r="F1425" s="33" t="n">
        <v>0</v>
      </c>
      <c r="G1425" s="62"/>
      <c r="H1425" s="35" t="n">
        <v>0</v>
      </c>
      <c r="I1425" s="34" t="n">
        <f aca="false">+IF(E1425=0,0,E1425*0.03)</f>
        <v>0</v>
      </c>
    </row>
    <row r="1426" customFormat="false" ht="15.75" hidden="false" customHeight="true" outlineLevel="0" collapsed="false">
      <c r="A1426" s="30" t="n">
        <v>45444</v>
      </c>
      <c r="B1426" s="31" t="s">
        <v>153</v>
      </c>
      <c r="C1426" s="32"/>
      <c r="D1426" s="32"/>
      <c r="E1426" s="19" t="n">
        <f aca="false">+F1426*0.03</f>
        <v>0</v>
      </c>
      <c r="F1426" s="33" t="n">
        <v>0</v>
      </c>
      <c r="G1426" s="62"/>
      <c r="H1426" s="35" t="n">
        <v>0</v>
      </c>
      <c r="I1426" s="34" t="n">
        <f aca="false">+IF(E1426=0,0,E1426*0.03)</f>
        <v>0</v>
      </c>
    </row>
    <row r="1427" customFormat="false" ht="15.75" hidden="false" customHeight="true" outlineLevel="0" collapsed="false">
      <c r="A1427" s="30" t="n">
        <v>45444</v>
      </c>
      <c r="B1427" s="31" t="s">
        <v>153</v>
      </c>
      <c r="C1427" s="32"/>
      <c r="D1427" s="32"/>
      <c r="E1427" s="19" t="n">
        <f aca="false">+F1427*0.03</f>
        <v>0</v>
      </c>
      <c r="F1427" s="33" t="n">
        <v>0</v>
      </c>
      <c r="G1427" s="62"/>
      <c r="H1427" s="35" t="n">
        <v>0</v>
      </c>
      <c r="I1427" s="34" t="n">
        <f aca="false">+IF(E1427=0,0,E1427*0.03)</f>
        <v>0</v>
      </c>
    </row>
    <row r="1428" customFormat="false" ht="15.75" hidden="false" customHeight="true" outlineLevel="0" collapsed="false">
      <c r="A1428" s="30" t="n">
        <v>45444</v>
      </c>
      <c r="B1428" s="31" t="s">
        <v>153</v>
      </c>
      <c r="C1428" s="32"/>
      <c r="D1428" s="32"/>
      <c r="E1428" s="19" t="n">
        <f aca="false">+F1428*0.03</f>
        <v>0</v>
      </c>
      <c r="F1428" s="33" t="n">
        <v>0</v>
      </c>
      <c r="G1428" s="62"/>
      <c r="H1428" s="35" t="n">
        <v>0</v>
      </c>
      <c r="I1428" s="34" t="n">
        <f aca="false">+IF(E1428=0,0,E1428*0.03)</f>
        <v>0</v>
      </c>
    </row>
    <row r="1429" customFormat="false" ht="15.75" hidden="false" customHeight="true" outlineLevel="0" collapsed="false">
      <c r="A1429" s="30" t="n">
        <v>45444</v>
      </c>
      <c r="B1429" s="31" t="s">
        <v>153</v>
      </c>
      <c r="C1429" s="32"/>
      <c r="D1429" s="32"/>
      <c r="E1429" s="19" t="n">
        <f aca="false">+F1429*0.03</f>
        <v>0</v>
      </c>
      <c r="F1429" s="33" t="n">
        <v>0</v>
      </c>
      <c r="G1429" s="62"/>
      <c r="H1429" s="35" t="n">
        <v>0</v>
      </c>
      <c r="I1429" s="34" t="n">
        <f aca="false">+IF(E1429=0,0,E1429*0.03)</f>
        <v>0</v>
      </c>
    </row>
    <row r="1430" customFormat="false" ht="15.75" hidden="false" customHeight="true" outlineLevel="0" collapsed="false">
      <c r="A1430" s="30" t="n">
        <v>45444</v>
      </c>
      <c r="B1430" s="31" t="s">
        <v>153</v>
      </c>
      <c r="C1430" s="32"/>
      <c r="D1430" s="32"/>
      <c r="E1430" s="19" t="n">
        <f aca="false">+F1430*0.03</f>
        <v>0</v>
      </c>
      <c r="F1430" s="33" t="n">
        <v>0</v>
      </c>
      <c r="G1430" s="62"/>
      <c r="H1430" s="35" t="n">
        <v>0</v>
      </c>
      <c r="I1430" s="34" t="n">
        <f aca="false">+IF(E1430=0,0,E1430*0.03)</f>
        <v>0</v>
      </c>
    </row>
    <row r="1431" customFormat="false" ht="15.75" hidden="false" customHeight="true" outlineLevel="0" collapsed="false">
      <c r="A1431" s="30" t="n">
        <v>45444</v>
      </c>
      <c r="B1431" s="31" t="s">
        <v>153</v>
      </c>
      <c r="C1431" s="32"/>
      <c r="D1431" s="32"/>
      <c r="E1431" s="19" t="n">
        <f aca="false">+F1431*0.03</f>
        <v>0</v>
      </c>
      <c r="F1431" s="33" t="n">
        <v>0</v>
      </c>
      <c r="G1431" s="62"/>
      <c r="H1431" s="35" t="n">
        <v>0</v>
      </c>
      <c r="I1431" s="34" t="n">
        <f aca="false">+IF(E1431=0,0,E1431*0.03)</f>
        <v>0</v>
      </c>
    </row>
    <row r="1432" customFormat="false" ht="15.75" hidden="false" customHeight="true" outlineLevel="0" collapsed="false">
      <c r="A1432" s="30" t="n">
        <v>45444</v>
      </c>
      <c r="B1432" s="31" t="s">
        <v>153</v>
      </c>
      <c r="C1432" s="32"/>
      <c r="D1432" s="32"/>
      <c r="E1432" s="19" t="n">
        <f aca="false">+F1432*0.03</f>
        <v>0</v>
      </c>
      <c r="F1432" s="33" t="n">
        <v>0</v>
      </c>
      <c r="G1432" s="62"/>
      <c r="H1432" s="35" t="n">
        <v>0</v>
      </c>
      <c r="I1432" s="34" t="n">
        <f aca="false">+IF(E1432=0,0,E1432*0.03)</f>
        <v>0</v>
      </c>
    </row>
    <row r="1433" customFormat="false" ht="15.75" hidden="false" customHeight="true" outlineLevel="0" collapsed="false">
      <c r="A1433" s="30" t="n">
        <v>45444</v>
      </c>
      <c r="B1433" s="31" t="s">
        <v>153</v>
      </c>
      <c r="C1433" s="32"/>
      <c r="D1433" s="32"/>
      <c r="E1433" s="19" t="n">
        <f aca="false">+F1433*0.03</f>
        <v>0</v>
      </c>
      <c r="F1433" s="33" t="n">
        <v>0</v>
      </c>
      <c r="G1433" s="62"/>
      <c r="H1433" s="35" t="n">
        <v>0</v>
      </c>
      <c r="I1433" s="34" t="n">
        <f aca="false">+IF(E1433=0,0,E1433*0.03)</f>
        <v>0</v>
      </c>
    </row>
    <row r="1434" customFormat="false" ht="15.75" hidden="false" customHeight="true" outlineLevel="0" collapsed="false">
      <c r="A1434" s="30" t="n">
        <v>45444</v>
      </c>
      <c r="B1434" s="31" t="s">
        <v>153</v>
      </c>
      <c r="C1434" s="32"/>
      <c r="D1434" s="32"/>
      <c r="E1434" s="19" t="n">
        <f aca="false">+F1434*0.03</f>
        <v>0</v>
      </c>
      <c r="F1434" s="33" t="n">
        <v>0</v>
      </c>
      <c r="G1434" s="62"/>
      <c r="H1434" s="35" t="n">
        <v>0</v>
      </c>
      <c r="I1434" s="34" t="n">
        <f aca="false">+IF(E1434=0,0,E1434*0.03)</f>
        <v>0</v>
      </c>
    </row>
    <row r="1435" customFormat="false" ht="15.75" hidden="false" customHeight="true" outlineLevel="0" collapsed="false">
      <c r="A1435" s="30" t="n">
        <v>45444</v>
      </c>
      <c r="B1435" s="31" t="s">
        <v>153</v>
      </c>
      <c r="C1435" s="32"/>
      <c r="D1435" s="32"/>
      <c r="E1435" s="19" t="n">
        <f aca="false">+F1435*0.03</f>
        <v>0</v>
      </c>
      <c r="F1435" s="33" t="n">
        <v>0</v>
      </c>
      <c r="G1435" s="62"/>
      <c r="H1435" s="35" t="n">
        <v>0</v>
      </c>
      <c r="I1435" s="34" t="n">
        <f aca="false">+IF(E1435=0,0,E1435*0.03)</f>
        <v>0</v>
      </c>
    </row>
    <row r="1436" customFormat="false" ht="15.75" hidden="false" customHeight="true" outlineLevel="0" collapsed="false">
      <c r="A1436" s="30" t="n">
        <v>45444</v>
      </c>
      <c r="B1436" s="31" t="s">
        <v>153</v>
      </c>
      <c r="C1436" s="32"/>
      <c r="D1436" s="32"/>
      <c r="E1436" s="19" t="n">
        <f aca="false">+F1436*0.03</f>
        <v>0</v>
      </c>
      <c r="F1436" s="33" t="n">
        <v>0</v>
      </c>
      <c r="G1436" s="62"/>
      <c r="H1436" s="35" t="n">
        <v>0</v>
      </c>
      <c r="I1436" s="34" t="n">
        <f aca="false">+IF(E1436=0,0,E1436*0.03)</f>
        <v>0</v>
      </c>
    </row>
    <row r="1437" customFormat="false" ht="15.75" hidden="false" customHeight="true" outlineLevel="0" collapsed="false">
      <c r="A1437" s="30" t="n">
        <v>45444</v>
      </c>
      <c r="B1437" s="31" t="s">
        <v>153</v>
      </c>
      <c r="C1437" s="32"/>
      <c r="D1437" s="32"/>
      <c r="E1437" s="19" t="n">
        <f aca="false">+F1437*0.03</f>
        <v>0</v>
      </c>
      <c r="F1437" s="33" t="n">
        <v>0</v>
      </c>
      <c r="G1437" s="62"/>
      <c r="H1437" s="35" t="n">
        <v>0</v>
      </c>
      <c r="I1437" s="34" t="n">
        <f aca="false">+IF(E1437=0,0,E1437*0.03)</f>
        <v>0</v>
      </c>
    </row>
    <row r="1438" customFormat="false" ht="15.75" hidden="false" customHeight="true" outlineLevel="0" collapsed="false">
      <c r="A1438" s="30" t="n">
        <v>45444</v>
      </c>
      <c r="B1438" s="31" t="s">
        <v>153</v>
      </c>
      <c r="C1438" s="32"/>
      <c r="D1438" s="32"/>
      <c r="E1438" s="19" t="n">
        <f aca="false">+F1438*0.03</f>
        <v>0</v>
      </c>
      <c r="F1438" s="33" t="n">
        <v>0</v>
      </c>
      <c r="G1438" s="62"/>
      <c r="H1438" s="35" t="n">
        <v>0</v>
      </c>
      <c r="I1438" s="34" t="n">
        <f aca="false">+IF(E1438=0,0,E1438*0.03)</f>
        <v>0</v>
      </c>
    </row>
    <row r="1439" customFormat="false" ht="15.75" hidden="false" customHeight="true" outlineLevel="0" collapsed="false">
      <c r="A1439" s="30" t="n">
        <v>45444</v>
      </c>
      <c r="B1439" s="31" t="s">
        <v>153</v>
      </c>
      <c r="C1439" s="32"/>
      <c r="D1439" s="32"/>
      <c r="E1439" s="19" t="n">
        <f aca="false">+F1439*0.03</f>
        <v>0</v>
      </c>
      <c r="F1439" s="33" t="n">
        <v>0</v>
      </c>
      <c r="G1439" s="62"/>
      <c r="H1439" s="35" t="n">
        <v>0</v>
      </c>
      <c r="I1439" s="34" t="n">
        <f aca="false">+IF(E1439=0,0,E1439*0.03)</f>
        <v>0</v>
      </c>
    </row>
    <row r="1440" customFormat="false" ht="15.75" hidden="false" customHeight="true" outlineLevel="0" collapsed="false">
      <c r="A1440" s="30" t="n">
        <v>45444</v>
      </c>
      <c r="B1440" s="31" t="s">
        <v>153</v>
      </c>
      <c r="C1440" s="32"/>
      <c r="D1440" s="32"/>
      <c r="E1440" s="19" t="n">
        <f aca="false">+F1440*0.03</f>
        <v>0</v>
      </c>
      <c r="F1440" s="33" t="n">
        <v>0</v>
      </c>
      <c r="G1440" s="62"/>
      <c r="H1440" s="35" t="n">
        <v>0</v>
      </c>
      <c r="I1440" s="34" t="n">
        <f aca="false">+IF(E1440=0,0,E1440*0.03)</f>
        <v>0</v>
      </c>
    </row>
    <row r="1441" customFormat="false" ht="15.75" hidden="false" customHeight="true" outlineLevel="0" collapsed="false">
      <c r="A1441" s="30" t="n">
        <v>45444</v>
      </c>
      <c r="B1441" s="31" t="s">
        <v>153</v>
      </c>
      <c r="C1441" s="32"/>
      <c r="D1441" s="32"/>
      <c r="E1441" s="19" t="n">
        <f aca="false">+F1441*0.03</f>
        <v>0</v>
      </c>
      <c r="F1441" s="33" t="n">
        <v>0</v>
      </c>
      <c r="G1441" s="62"/>
      <c r="H1441" s="35" t="n">
        <v>0</v>
      </c>
      <c r="I1441" s="34" t="n">
        <f aca="false">+IF(E1441=0,0,E1441*0.03)</f>
        <v>0</v>
      </c>
    </row>
    <row r="1442" customFormat="false" ht="15.75" hidden="false" customHeight="true" outlineLevel="0" collapsed="false">
      <c r="A1442" s="30" t="n">
        <v>45444</v>
      </c>
      <c r="B1442" s="31" t="s">
        <v>153</v>
      </c>
      <c r="C1442" s="32"/>
      <c r="D1442" s="32"/>
      <c r="E1442" s="19" t="n">
        <f aca="false">+F1442*0.03</f>
        <v>0</v>
      </c>
      <c r="F1442" s="33" t="n">
        <v>0</v>
      </c>
      <c r="G1442" s="62"/>
      <c r="H1442" s="35" t="n">
        <v>0</v>
      </c>
      <c r="I1442" s="34" t="n">
        <f aca="false">+IF(E1442=0,0,E1442*0.03)</f>
        <v>0</v>
      </c>
    </row>
    <row r="1443" customFormat="false" ht="15.75" hidden="false" customHeight="true" outlineLevel="0" collapsed="false">
      <c r="A1443" s="30" t="n">
        <v>45444</v>
      </c>
      <c r="B1443" s="31" t="s">
        <v>153</v>
      </c>
      <c r="C1443" s="32"/>
      <c r="D1443" s="32"/>
      <c r="E1443" s="19" t="n">
        <f aca="false">+F1443*0.03</f>
        <v>0</v>
      </c>
      <c r="F1443" s="33" t="n">
        <v>0</v>
      </c>
      <c r="G1443" s="62"/>
      <c r="H1443" s="35" t="n">
        <v>0</v>
      </c>
      <c r="I1443" s="34" t="n">
        <f aca="false">+IF(E1443=0,0,E1443*0.03)</f>
        <v>0</v>
      </c>
    </row>
    <row r="1444" customFormat="false" ht="15.75" hidden="false" customHeight="true" outlineLevel="0" collapsed="false">
      <c r="A1444" s="30" t="n">
        <v>45444</v>
      </c>
      <c r="B1444" s="31" t="s">
        <v>153</v>
      </c>
      <c r="C1444" s="32"/>
      <c r="D1444" s="32"/>
      <c r="E1444" s="19" t="n">
        <f aca="false">+F1444*0.03</f>
        <v>0</v>
      </c>
      <c r="F1444" s="33" t="n">
        <v>0</v>
      </c>
      <c r="G1444" s="62"/>
      <c r="H1444" s="35" t="n">
        <v>0</v>
      </c>
      <c r="I1444" s="34" t="n">
        <f aca="false">+IF(E1444=0,0,E1444*0.03)</f>
        <v>0</v>
      </c>
    </row>
    <row r="1445" customFormat="false" ht="15.75" hidden="false" customHeight="true" outlineLevel="0" collapsed="false">
      <c r="A1445" s="30" t="n">
        <v>45444</v>
      </c>
      <c r="B1445" s="31" t="s">
        <v>153</v>
      </c>
      <c r="C1445" s="32"/>
      <c r="D1445" s="32"/>
      <c r="E1445" s="19" t="n">
        <f aca="false">+F1445*0.03</f>
        <v>0</v>
      </c>
      <c r="F1445" s="33" t="n">
        <v>0</v>
      </c>
      <c r="G1445" s="62"/>
      <c r="H1445" s="35" t="n">
        <v>0</v>
      </c>
      <c r="I1445" s="34" t="n">
        <f aca="false">+IF(E1445=0,0,E1445*0.03)</f>
        <v>0</v>
      </c>
    </row>
    <row r="1446" customFormat="false" ht="15.75" hidden="false" customHeight="true" outlineLevel="0" collapsed="false">
      <c r="A1446" s="30" t="n">
        <v>45444</v>
      </c>
      <c r="B1446" s="31" t="s">
        <v>153</v>
      </c>
      <c r="C1446" s="32"/>
      <c r="D1446" s="32"/>
      <c r="E1446" s="19" t="n">
        <f aca="false">+F1446*0.03</f>
        <v>0</v>
      </c>
      <c r="F1446" s="33" t="n">
        <v>0</v>
      </c>
      <c r="G1446" s="62"/>
      <c r="H1446" s="35" t="n">
        <v>0</v>
      </c>
      <c r="I1446" s="34" t="n">
        <f aca="false">+IF(E1446=0,0,E1446*0.03)</f>
        <v>0</v>
      </c>
    </row>
    <row r="1447" customFormat="false" ht="15.75" hidden="false" customHeight="true" outlineLevel="0" collapsed="false">
      <c r="A1447" s="30" t="n">
        <v>45444</v>
      </c>
      <c r="B1447" s="31" t="s">
        <v>153</v>
      </c>
      <c r="C1447" s="32"/>
      <c r="D1447" s="32"/>
      <c r="E1447" s="19" t="n">
        <f aca="false">+F1447*0.03</f>
        <v>0</v>
      </c>
      <c r="F1447" s="33" t="n">
        <v>0</v>
      </c>
      <c r="G1447" s="62"/>
      <c r="H1447" s="35" t="n">
        <v>0</v>
      </c>
      <c r="I1447" s="34" t="n">
        <f aca="false">+IF(E1447=0,0,E1447*0.03)</f>
        <v>0</v>
      </c>
    </row>
    <row r="1448" customFormat="false" ht="15.75" hidden="false" customHeight="true" outlineLevel="0" collapsed="false">
      <c r="A1448" s="30" t="n">
        <v>45444</v>
      </c>
      <c r="B1448" s="31" t="s">
        <v>153</v>
      </c>
      <c r="C1448" s="32"/>
      <c r="D1448" s="32"/>
      <c r="E1448" s="19" t="n">
        <f aca="false">+F1448*0.03</f>
        <v>0</v>
      </c>
      <c r="F1448" s="33" t="n">
        <v>0</v>
      </c>
      <c r="G1448" s="62"/>
      <c r="H1448" s="35" t="n">
        <v>0</v>
      </c>
      <c r="I1448" s="34" t="n">
        <f aca="false">+IF(E1448=0,0,E1448*0.03)</f>
        <v>0</v>
      </c>
    </row>
    <row r="1449" customFormat="false" ht="15.75" hidden="false" customHeight="true" outlineLevel="0" collapsed="false">
      <c r="A1449" s="30" t="n">
        <v>45444</v>
      </c>
      <c r="B1449" s="31" t="s">
        <v>153</v>
      </c>
      <c r="C1449" s="32"/>
      <c r="D1449" s="32"/>
      <c r="E1449" s="19" t="n">
        <f aca="false">+F1449*0.03</f>
        <v>0</v>
      </c>
      <c r="F1449" s="33" t="n">
        <v>0</v>
      </c>
      <c r="G1449" s="62"/>
      <c r="H1449" s="35" t="n">
        <v>0</v>
      </c>
      <c r="I1449" s="34" t="n">
        <f aca="false">+IF(E1449=0,0,E1449*0.03)</f>
        <v>0</v>
      </c>
    </row>
    <row r="1450" customFormat="false" ht="15.75" hidden="false" customHeight="true" outlineLevel="0" collapsed="false">
      <c r="A1450" s="30" t="n">
        <v>45444</v>
      </c>
      <c r="B1450" s="31" t="s">
        <v>153</v>
      </c>
      <c r="C1450" s="32"/>
      <c r="D1450" s="32"/>
      <c r="E1450" s="19" t="n">
        <f aca="false">+F1450*0.03</f>
        <v>0</v>
      </c>
      <c r="F1450" s="33" t="n">
        <v>0</v>
      </c>
      <c r="G1450" s="62"/>
      <c r="H1450" s="35" t="n">
        <v>0</v>
      </c>
      <c r="I1450" s="34" t="n">
        <f aca="false">+IF(E1450=0,0,E1450*0.03)</f>
        <v>0</v>
      </c>
    </row>
    <row r="1451" customFormat="false" ht="15.75" hidden="false" customHeight="true" outlineLevel="0" collapsed="false">
      <c r="A1451" s="30" t="n">
        <v>45444</v>
      </c>
      <c r="B1451" s="31" t="s">
        <v>153</v>
      </c>
      <c r="C1451" s="32"/>
      <c r="D1451" s="32"/>
      <c r="E1451" s="19" t="n">
        <f aca="false">+F1451*0.03</f>
        <v>0</v>
      </c>
      <c r="F1451" s="33" t="n">
        <v>0</v>
      </c>
      <c r="G1451" s="62"/>
      <c r="H1451" s="35" t="n">
        <v>0</v>
      </c>
      <c r="I1451" s="34" t="n">
        <f aca="false">+IF(E1451=0,0,E1451*0.03)</f>
        <v>0</v>
      </c>
    </row>
    <row r="1452" customFormat="false" ht="15.75" hidden="false" customHeight="true" outlineLevel="0" collapsed="false">
      <c r="A1452" s="30" t="n">
        <v>45444</v>
      </c>
      <c r="B1452" s="31" t="s">
        <v>153</v>
      </c>
      <c r="C1452" s="32"/>
      <c r="D1452" s="32"/>
      <c r="E1452" s="19" t="n">
        <f aca="false">+F1452*0.03</f>
        <v>0</v>
      </c>
      <c r="F1452" s="33" t="n">
        <v>0</v>
      </c>
      <c r="G1452" s="62"/>
      <c r="H1452" s="35" t="n">
        <v>0</v>
      </c>
      <c r="I1452" s="34" t="n">
        <f aca="false">+IF(E1452=0,0,E1452*0.03)</f>
        <v>0</v>
      </c>
    </row>
    <row r="1453" customFormat="false" ht="15.75" hidden="false" customHeight="true" outlineLevel="0" collapsed="false">
      <c r="A1453" s="30" t="n">
        <v>45444</v>
      </c>
      <c r="B1453" s="31" t="s">
        <v>153</v>
      </c>
      <c r="C1453" s="32"/>
      <c r="D1453" s="32"/>
      <c r="E1453" s="19" t="n">
        <f aca="false">+F1453*0.03</f>
        <v>0</v>
      </c>
      <c r="F1453" s="33" t="n">
        <v>0</v>
      </c>
      <c r="G1453" s="62"/>
      <c r="H1453" s="35" t="n">
        <v>0</v>
      </c>
      <c r="I1453" s="34" t="n">
        <f aca="false">+IF(E1453=0,0,E1453*0.03)</f>
        <v>0</v>
      </c>
    </row>
    <row r="1454" customFormat="false" ht="15.75" hidden="false" customHeight="true" outlineLevel="0" collapsed="false">
      <c r="A1454" s="30" t="n">
        <v>45444</v>
      </c>
      <c r="B1454" s="31" t="s">
        <v>153</v>
      </c>
      <c r="C1454" s="32"/>
      <c r="D1454" s="32"/>
      <c r="E1454" s="19" t="n">
        <f aca="false">+F1454*0.03</f>
        <v>0</v>
      </c>
      <c r="F1454" s="33" t="n">
        <v>0</v>
      </c>
      <c r="G1454" s="62"/>
      <c r="H1454" s="35" t="n">
        <v>0</v>
      </c>
      <c r="I1454" s="34" t="n">
        <f aca="false">+IF(E1454=0,0,E1454*0.03)</f>
        <v>0</v>
      </c>
    </row>
    <row r="1455" customFormat="false" ht="15.75" hidden="false" customHeight="true" outlineLevel="0" collapsed="false">
      <c r="A1455" s="30" t="n">
        <v>45444</v>
      </c>
      <c r="B1455" s="31" t="s">
        <v>153</v>
      </c>
      <c r="C1455" s="32"/>
      <c r="D1455" s="32"/>
      <c r="E1455" s="19" t="n">
        <f aca="false">+F1455*0.03</f>
        <v>0</v>
      </c>
      <c r="F1455" s="33" t="n">
        <v>0</v>
      </c>
      <c r="G1455" s="62"/>
      <c r="H1455" s="35" t="n">
        <v>0</v>
      </c>
      <c r="I1455" s="34" t="n">
        <f aca="false">+IF(E1455=0,0,E1455*0.03)</f>
        <v>0</v>
      </c>
    </row>
    <row r="1456" customFormat="false" ht="15.75" hidden="false" customHeight="true" outlineLevel="0" collapsed="false">
      <c r="A1456" s="30" t="n">
        <v>45444</v>
      </c>
      <c r="B1456" s="31" t="s">
        <v>153</v>
      </c>
      <c r="C1456" s="32"/>
      <c r="D1456" s="32"/>
      <c r="E1456" s="19" t="n">
        <f aca="false">+F1456*0.03</f>
        <v>0</v>
      </c>
      <c r="F1456" s="33" t="n">
        <v>0</v>
      </c>
      <c r="G1456" s="62"/>
      <c r="H1456" s="35" t="n">
        <v>0</v>
      </c>
      <c r="I1456" s="34" t="n">
        <f aca="false">+IF(E1456=0,0,E1456*0.03)</f>
        <v>0</v>
      </c>
    </row>
    <row r="1457" customFormat="false" ht="15.75" hidden="false" customHeight="true" outlineLevel="0" collapsed="false">
      <c r="A1457" s="30" t="n">
        <v>45444</v>
      </c>
      <c r="B1457" s="31" t="s">
        <v>153</v>
      </c>
      <c r="C1457" s="32"/>
      <c r="D1457" s="32"/>
      <c r="E1457" s="19" t="n">
        <f aca="false">+F1457*0.03</f>
        <v>0</v>
      </c>
      <c r="F1457" s="33" t="n">
        <v>0</v>
      </c>
      <c r="G1457" s="62"/>
      <c r="H1457" s="35" t="n">
        <v>0</v>
      </c>
      <c r="I1457" s="34" t="n">
        <f aca="false">+IF(E1457=0,0,E1457*0.03)</f>
        <v>0</v>
      </c>
    </row>
    <row r="1458" customFormat="false" ht="15.75" hidden="false" customHeight="true" outlineLevel="0" collapsed="false">
      <c r="A1458" s="30" t="n">
        <v>45444</v>
      </c>
      <c r="B1458" s="31" t="s">
        <v>153</v>
      </c>
      <c r="C1458" s="32"/>
      <c r="D1458" s="32"/>
      <c r="E1458" s="19" t="n">
        <f aca="false">+F1458*0.03</f>
        <v>0</v>
      </c>
      <c r="F1458" s="33" t="n">
        <v>0</v>
      </c>
      <c r="G1458" s="62"/>
      <c r="H1458" s="35" t="n">
        <v>0</v>
      </c>
      <c r="I1458" s="34" t="n">
        <f aca="false">+IF(E1458=0,0,E1458*0.03)</f>
        <v>0</v>
      </c>
    </row>
    <row r="1459" customFormat="false" ht="15.75" hidden="false" customHeight="true" outlineLevel="0" collapsed="false">
      <c r="A1459" s="30" t="n">
        <v>45444</v>
      </c>
      <c r="B1459" s="31" t="s">
        <v>153</v>
      </c>
      <c r="C1459" s="32"/>
      <c r="D1459" s="32"/>
      <c r="E1459" s="19" t="n">
        <f aca="false">+F1459*0.03</f>
        <v>0</v>
      </c>
      <c r="F1459" s="33" t="n">
        <v>0</v>
      </c>
      <c r="G1459" s="62"/>
      <c r="H1459" s="35" t="n">
        <v>0</v>
      </c>
      <c r="I1459" s="34" t="n">
        <f aca="false">+IF(E1459=0,0,E1459*0.03)</f>
        <v>0</v>
      </c>
    </row>
    <row r="1460" customFormat="false" ht="15.75" hidden="false" customHeight="true" outlineLevel="0" collapsed="false">
      <c r="A1460" s="30" t="n">
        <v>45444</v>
      </c>
      <c r="B1460" s="31" t="s">
        <v>153</v>
      </c>
      <c r="C1460" s="32"/>
      <c r="D1460" s="32"/>
      <c r="E1460" s="19" t="n">
        <f aca="false">+F1460*0.03</f>
        <v>0</v>
      </c>
      <c r="F1460" s="33" t="n">
        <v>0</v>
      </c>
      <c r="G1460" s="62"/>
      <c r="H1460" s="35" t="n">
        <v>0</v>
      </c>
      <c r="I1460" s="34" t="n">
        <f aca="false">+IF(E1460=0,0,E1460*0.03)</f>
        <v>0</v>
      </c>
    </row>
    <row r="1461" customFormat="false" ht="15.75" hidden="false" customHeight="true" outlineLevel="0" collapsed="false">
      <c r="A1461" s="30" t="n">
        <v>45444</v>
      </c>
      <c r="B1461" s="31" t="s">
        <v>153</v>
      </c>
      <c r="C1461" s="32"/>
      <c r="D1461" s="32"/>
      <c r="E1461" s="19" t="n">
        <f aca="false">+F1461*0.03</f>
        <v>0</v>
      </c>
      <c r="F1461" s="33" t="n">
        <v>0</v>
      </c>
      <c r="G1461" s="62"/>
      <c r="H1461" s="35" t="n">
        <v>0</v>
      </c>
      <c r="I1461" s="34" t="n">
        <f aca="false">+IF(E1461=0,0,E1461*0.03)</f>
        <v>0</v>
      </c>
    </row>
    <row r="1462" customFormat="false" ht="15.75" hidden="false" customHeight="true" outlineLevel="0" collapsed="false">
      <c r="A1462" s="30" t="n">
        <v>45444</v>
      </c>
      <c r="B1462" s="31" t="s">
        <v>153</v>
      </c>
      <c r="C1462" s="32"/>
      <c r="D1462" s="32"/>
      <c r="E1462" s="19" t="n">
        <f aca="false">+F1462*0.03</f>
        <v>0</v>
      </c>
      <c r="F1462" s="33" t="n">
        <v>0</v>
      </c>
      <c r="G1462" s="62"/>
      <c r="H1462" s="35" t="n">
        <v>0</v>
      </c>
      <c r="I1462" s="34" t="n">
        <f aca="false">+IF(E1462=0,0,E1462*0.03)</f>
        <v>0</v>
      </c>
    </row>
    <row r="1463" customFormat="false" ht="15.75" hidden="false" customHeight="true" outlineLevel="0" collapsed="false">
      <c r="A1463" s="30" t="n">
        <v>45444</v>
      </c>
      <c r="B1463" s="31" t="s">
        <v>153</v>
      </c>
      <c r="C1463" s="32"/>
      <c r="D1463" s="32"/>
      <c r="E1463" s="19" t="n">
        <f aca="false">+F1463*0.03</f>
        <v>0</v>
      </c>
      <c r="F1463" s="33" t="n">
        <v>0</v>
      </c>
      <c r="G1463" s="62"/>
      <c r="H1463" s="35" t="n">
        <v>0</v>
      </c>
      <c r="I1463" s="34" t="n">
        <f aca="false">+IF(E1463=0,0,E1463*0.03)</f>
        <v>0</v>
      </c>
    </row>
    <row r="1464" customFormat="false" ht="15.75" hidden="false" customHeight="true" outlineLevel="0" collapsed="false">
      <c r="A1464" s="30" t="n">
        <v>45444</v>
      </c>
      <c r="B1464" s="31" t="s">
        <v>153</v>
      </c>
      <c r="C1464" s="32"/>
      <c r="D1464" s="32"/>
      <c r="E1464" s="19" t="n">
        <f aca="false">+F1464*0.03</f>
        <v>0</v>
      </c>
      <c r="F1464" s="33" t="n">
        <v>0</v>
      </c>
      <c r="G1464" s="62"/>
      <c r="H1464" s="35" t="n">
        <v>0</v>
      </c>
      <c r="I1464" s="34" t="n">
        <f aca="false">+IF(E1464=0,0,E1464*0.03)</f>
        <v>0</v>
      </c>
    </row>
    <row r="1465" customFormat="false" ht="15.75" hidden="false" customHeight="true" outlineLevel="0" collapsed="false">
      <c r="A1465" s="30" t="n">
        <v>45444</v>
      </c>
      <c r="B1465" s="31" t="s">
        <v>153</v>
      </c>
      <c r="C1465" s="32"/>
      <c r="D1465" s="32"/>
      <c r="E1465" s="19" t="n">
        <f aca="false">+F1465*0.03</f>
        <v>0</v>
      </c>
      <c r="F1465" s="33" t="n">
        <v>0</v>
      </c>
      <c r="G1465" s="62"/>
      <c r="H1465" s="35" t="n">
        <v>0</v>
      </c>
      <c r="I1465" s="34" t="n">
        <f aca="false">+IF(E1465=0,0,E1465*0.03)</f>
        <v>0</v>
      </c>
    </row>
    <row r="1466" customFormat="false" ht="15.75" hidden="false" customHeight="true" outlineLevel="0" collapsed="false">
      <c r="A1466" s="30" t="n">
        <v>45444</v>
      </c>
      <c r="B1466" s="31" t="s">
        <v>153</v>
      </c>
      <c r="C1466" s="32"/>
      <c r="D1466" s="32"/>
      <c r="E1466" s="19" t="n">
        <f aca="false">+F1466*0.03</f>
        <v>0</v>
      </c>
      <c r="F1466" s="33" t="n">
        <v>0</v>
      </c>
      <c r="G1466" s="62"/>
      <c r="H1466" s="35" t="n">
        <v>0</v>
      </c>
      <c r="I1466" s="34" t="n">
        <f aca="false">+IF(E1466=0,0,E1466*0.03)</f>
        <v>0</v>
      </c>
    </row>
    <row r="1467" customFormat="false" ht="15.75" hidden="false" customHeight="true" outlineLevel="0" collapsed="false">
      <c r="A1467" s="30" t="n">
        <v>45444</v>
      </c>
      <c r="B1467" s="31" t="s">
        <v>153</v>
      </c>
      <c r="C1467" s="32"/>
      <c r="D1467" s="32"/>
      <c r="E1467" s="19" t="n">
        <f aca="false">+F1467*0.03</f>
        <v>0</v>
      </c>
      <c r="F1467" s="33" t="n">
        <v>0</v>
      </c>
      <c r="G1467" s="62"/>
      <c r="H1467" s="35" t="n">
        <v>0</v>
      </c>
      <c r="I1467" s="34" t="n">
        <f aca="false">+IF(E1467=0,0,E1467*0.03)</f>
        <v>0</v>
      </c>
    </row>
    <row r="1468" customFormat="false" ht="15.75" hidden="false" customHeight="true" outlineLevel="0" collapsed="false">
      <c r="A1468" s="30" t="n">
        <v>45444</v>
      </c>
      <c r="B1468" s="31" t="s">
        <v>153</v>
      </c>
      <c r="C1468" s="32"/>
      <c r="D1468" s="32"/>
      <c r="E1468" s="19" t="n">
        <f aca="false">+F1468*0.03</f>
        <v>0</v>
      </c>
      <c r="F1468" s="33" t="n">
        <v>0</v>
      </c>
      <c r="G1468" s="62"/>
      <c r="H1468" s="35" t="n">
        <v>0</v>
      </c>
      <c r="I1468" s="34" t="n">
        <f aca="false">+IF(E1468=0,0,E1468*0.03)</f>
        <v>0</v>
      </c>
    </row>
    <row r="1469" customFormat="false" ht="15.75" hidden="false" customHeight="true" outlineLevel="0" collapsed="false">
      <c r="A1469" s="30" t="n">
        <v>45444</v>
      </c>
      <c r="B1469" s="31" t="s">
        <v>153</v>
      </c>
      <c r="C1469" s="32"/>
      <c r="D1469" s="32"/>
      <c r="E1469" s="19" t="n">
        <f aca="false">+F1469*0.03</f>
        <v>0</v>
      </c>
      <c r="F1469" s="33" t="n">
        <v>0</v>
      </c>
      <c r="G1469" s="62"/>
      <c r="H1469" s="35" t="n">
        <v>0</v>
      </c>
      <c r="I1469" s="34" t="n">
        <f aca="false">+IF(E1469=0,0,E1469*0.03)</f>
        <v>0</v>
      </c>
    </row>
    <row r="1470" customFormat="false" ht="15.75" hidden="false" customHeight="true" outlineLevel="0" collapsed="false">
      <c r="A1470" s="30" t="n">
        <v>45444</v>
      </c>
      <c r="B1470" s="31" t="s">
        <v>153</v>
      </c>
      <c r="C1470" s="32"/>
      <c r="D1470" s="32"/>
      <c r="E1470" s="19" t="n">
        <f aca="false">+F1470*0.03</f>
        <v>0</v>
      </c>
      <c r="F1470" s="33" t="n">
        <v>0</v>
      </c>
      <c r="G1470" s="62"/>
      <c r="H1470" s="35" t="n">
        <v>0</v>
      </c>
      <c r="I1470" s="34" t="n">
        <f aca="false">+IF(E1470=0,0,E1470*0.03)</f>
        <v>0</v>
      </c>
    </row>
    <row r="1471" customFormat="false" ht="15.75" hidden="false" customHeight="true" outlineLevel="0" collapsed="false">
      <c r="A1471" s="30" t="n">
        <v>45444</v>
      </c>
      <c r="B1471" s="31" t="s">
        <v>153</v>
      </c>
      <c r="C1471" s="32"/>
      <c r="D1471" s="32"/>
      <c r="E1471" s="19" t="n">
        <f aca="false">+F1471*0.03</f>
        <v>0</v>
      </c>
      <c r="F1471" s="33" t="n">
        <v>0</v>
      </c>
      <c r="G1471" s="62"/>
      <c r="H1471" s="35" t="n">
        <v>0</v>
      </c>
      <c r="I1471" s="34" t="n">
        <f aca="false">+IF(E1471=0,0,E1471*0.03)</f>
        <v>0</v>
      </c>
    </row>
    <row r="1472" customFormat="false" ht="15.75" hidden="false" customHeight="true" outlineLevel="0" collapsed="false">
      <c r="A1472" s="30" t="n">
        <v>45444</v>
      </c>
      <c r="B1472" s="31" t="s">
        <v>153</v>
      </c>
      <c r="C1472" s="32"/>
      <c r="D1472" s="32"/>
      <c r="E1472" s="19" t="n">
        <f aca="false">+F1472*0.03</f>
        <v>0</v>
      </c>
      <c r="F1472" s="33" t="n">
        <v>0</v>
      </c>
      <c r="G1472" s="62"/>
      <c r="H1472" s="35" t="n">
        <v>0</v>
      </c>
      <c r="I1472" s="34" t="n">
        <f aca="false">+IF(E1472=0,0,E1472*0.03)</f>
        <v>0</v>
      </c>
    </row>
    <row r="1473" customFormat="false" ht="15.75" hidden="false" customHeight="true" outlineLevel="0" collapsed="false">
      <c r="A1473" s="30" t="n">
        <v>45444</v>
      </c>
      <c r="B1473" s="31" t="s">
        <v>153</v>
      </c>
      <c r="C1473" s="32"/>
      <c r="D1473" s="32"/>
      <c r="E1473" s="19" t="n">
        <f aca="false">+F1473*0.03</f>
        <v>0</v>
      </c>
      <c r="F1473" s="33" t="n">
        <v>0</v>
      </c>
      <c r="G1473" s="62"/>
      <c r="H1473" s="35" t="n">
        <v>0</v>
      </c>
      <c r="I1473" s="34" t="n">
        <f aca="false">+IF(E1473=0,0,E1473*0.03)</f>
        <v>0</v>
      </c>
    </row>
    <row r="1474" customFormat="false" ht="15.75" hidden="false" customHeight="true" outlineLevel="0" collapsed="false">
      <c r="A1474" s="30" t="n">
        <v>45444</v>
      </c>
      <c r="B1474" s="31" t="s">
        <v>153</v>
      </c>
      <c r="C1474" s="32"/>
      <c r="D1474" s="32"/>
      <c r="E1474" s="19" t="n">
        <f aca="false">+F1474*0.03</f>
        <v>0</v>
      </c>
      <c r="F1474" s="33" t="n">
        <v>0</v>
      </c>
      <c r="G1474" s="62"/>
      <c r="H1474" s="35" t="n">
        <v>0</v>
      </c>
      <c r="I1474" s="34" t="n">
        <f aca="false">+IF(E1474=0,0,E1474*0.03)</f>
        <v>0</v>
      </c>
    </row>
    <row r="1475" customFormat="false" ht="15.75" hidden="false" customHeight="true" outlineLevel="0" collapsed="false">
      <c r="A1475" s="30" t="n">
        <v>45444</v>
      </c>
      <c r="B1475" s="31" t="s">
        <v>153</v>
      </c>
      <c r="C1475" s="32"/>
      <c r="D1475" s="32"/>
      <c r="E1475" s="19" t="n">
        <f aca="false">+F1475*0.03</f>
        <v>0</v>
      </c>
      <c r="F1475" s="33" t="n">
        <v>0</v>
      </c>
      <c r="G1475" s="62"/>
      <c r="H1475" s="35" t="n">
        <v>0</v>
      </c>
      <c r="I1475" s="34" t="n">
        <f aca="false">+IF(E1475=0,0,E1475*0.03)</f>
        <v>0</v>
      </c>
    </row>
    <row r="1476" customFormat="false" ht="15.75" hidden="false" customHeight="true" outlineLevel="0" collapsed="false">
      <c r="A1476" s="30" t="n">
        <v>45444</v>
      </c>
      <c r="B1476" s="31" t="s">
        <v>153</v>
      </c>
      <c r="C1476" s="32"/>
      <c r="D1476" s="32"/>
      <c r="E1476" s="19" t="n">
        <f aca="false">+F1476*0.03</f>
        <v>0</v>
      </c>
      <c r="F1476" s="33" t="n">
        <v>0</v>
      </c>
      <c r="G1476" s="62"/>
      <c r="H1476" s="35" t="n">
        <v>0</v>
      </c>
      <c r="I1476" s="34" t="n">
        <f aca="false">+IF(E1476=0,0,E1476*0.03)</f>
        <v>0</v>
      </c>
    </row>
    <row r="1477" customFormat="false" ht="15.75" hidden="false" customHeight="true" outlineLevel="0" collapsed="false">
      <c r="A1477" s="30" t="n">
        <v>45444</v>
      </c>
      <c r="B1477" s="31" t="s">
        <v>153</v>
      </c>
      <c r="C1477" s="32"/>
      <c r="D1477" s="32"/>
      <c r="E1477" s="19" t="n">
        <f aca="false">+F1477*0.03</f>
        <v>0</v>
      </c>
      <c r="F1477" s="33" t="n">
        <v>0</v>
      </c>
      <c r="G1477" s="62"/>
      <c r="H1477" s="35" t="n">
        <v>0</v>
      </c>
      <c r="I1477" s="34" t="n">
        <f aca="false">+IF(E1477=0,0,E1477*0.03)</f>
        <v>0</v>
      </c>
    </row>
    <row r="1478" customFormat="false" ht="15.75" hidden="false" customHeight="true" outlineLevel="0" collapsed="false">
      <c r="A1478" s="30" t="n">
        <v>45444</v>
      </c>
      <c r="B1478" s="31" t="s">
        <v>153</v>
      </c>
      <c r="C1478" s="32"/>
      <c r="D1478" s="32"/>
      <c r="E1478" s="19" t="n">
        <f aca="false">+F1478*0.03</f>
        <v>0</v>
      </c>
      <c r="F1478" s="33" t="n">
        <v>0</v>
      </c>
      <c r="G1478" s="62"/>
      <c r="H1478" s="35" t="n">
        <v>0</v>
      </c>
      <c r="I1478" s="34" t="n">
        <f aca="false">+IF(E1478=0,0,E1478*0.03)</f>
        <v>0</v>
      </c>
    </row>
    <row r="1479" customFormat="false" ht="15.75" hidden="false" customHeight="true" outlineLevel="0" collapsed="false">
      <c r="A1479" s="30" t="n">
        <v>45444</v>
      </c>
      <c r="B1479" s="31" t="s">
        <v>153</v>
      </c>
      <c r="C1479" s="32"/>
      <c r="D1479" s="32"/>
      <c r="E1479" s="19" t="n">
        <f aca="false">+F1479*0.03</f>
        <v>0</v>
      </c>
      <c r="F1479" s="33" t="n">
        <v>0</v>
      </c>
      <c r="G1479" s="62"/>
      <c r="H1479" s="35" t="n">
        <v>0</v>
      </c>
      <c r="I1479" s="34" t="n">
        <f aca="false">+IF(E1479=0,0,E1479*0.03)</f>
        <v>0</v>
      </c>
    </row>
    <row r="1480" customFormat="false" ht="15.75" hidden="false" customHeight="true" outlineLevel="0" collapsed="false">
      <c r="A1480" s="30" t="n">
        <v>45444</v>
      </c>
      <c r="B1480" s="31" t="s">
        <v>153</v>
      </c>
      <c r="C1480" s="32"/>
      <c r="D1480" s="32"/>
      <c r="E1480" s="19" t="n">
        <f aca="false">+F1480*0.03</f>
        <v>0</v>
      </c>
      <c r="F1480" s="33" t="n">
        <v>0</v>
      </c>
      <c r="G1480" s="62"/>
      <c r="H1480" s="35" t="n">
        <v>0</v>
      </c>
      <c r="I1480" s="34" t="n">
        <f aca="false">+IF(E1480=0,0,E1480*0.03)</f>
        <v>0</v>
      </c>
    </row>
    <row r="1481" customFormat="false" ht="15.75" hidden="false" customHeight="true" outlineLevel="0" collapsed="false">
      <c r="A1481" s="30" t="n">
        <v>45444</v>
      </c>
      <c r="B1481" s="31" t="s">
        <v>153</v>
      </c>
      <c r="C1481" s="32"/>
      <c r="D1481" s="32"/>
      <c r="E1481" s="19" t="n">
        <f aca="false">+F1481*0.03</f>
        <v>0</v>
      </c>
      <c r="F1481" s="33" t="n">
        <v>0</v>
      </c>
      <c r="G1481" s="62"/>
      <c r="H1481" s="35" t="n">
        <v>0</v>
      </c>
      <c r="I1481" s="34" t="n">
        <f aca="false">+IF(E1481=0,0,E1481*0.03)</f>
        <v>0</v>
      </c>
    </row>
    <row r="1482" customFormat="false" ht="15.75" hidden="false" customHeight="true" outlineLevel="0" collapsed="false">
      <c r="A1482" s="30" t="n">
        <v>45444</v>
      </c>
      <c r="B1482" s="31" t="s">
        <v>153</v>
      </c>
      <c r="C1482" s="32"/>
      <c r="D1482" s="32"/>
      <c r="E1482" s="19" t="n">
        <f aca="false">+F1482*0.03</f>
        <v>0</v>
      </c>
      <c r="F1482" s="33" t="n">
        <v>0</v>
      </c>
      <c r="G1482" s="62"/>
      <c r="H1482" s="35" t="n">
        <v>0</v>
      </c>
      <c r="I1482" s="34" t="n">
        <f aca="false">+IF(E1482=0,0,E1482*0.03)</f>
        <v>0</v>
      </c>
    </row>
    <row r="1483" customFormat="false" ht="15.75" hidden="false" customHeight="true" outlineLevel="0" collapsed="false">
      <c r="A1483" s="30" t="n">
        <v>45444</v>
      </c>
      <c r="B1483" s="31" t="s">
        <v>153</v>
      </c>
      <c r="C1483" s="32"/>
      <c r="D1483" s="32"/>
      <c r="E1483" s="19" t="n">
        <f aca="false">+F1483*0.03</f>
        <v>0</v>
      </c>
      <c r="F1483" s="33" t="n">
        <v>0</v>
      </c>
      <c r="G1483" s="62"/>
      <c r="H1483" s="35" t="n">
        <v>0</v>
      </c>
      <c r="I1483" s="34" t="n">
        <f aca="false">+IF(E1483=0,0,E1483*0.03)</f>
        <v>0</v>
      </c>
    </row>
    <row r="1484" customFormat="false" ht="15.75" hidden="false" customHeight="true" outlineLevel="0" collapsed="false">
      <c r="A1484" s="30" t="n">
        <v>45444</v>
      </c>
      <c r="B1484" s="31" t="s">
        <v>153</v>
      </c>
      <c r="C1484" s="32"/>
      <c r="D1484" s="32"/>
      <c r="E1484" s="19" t="n">
        <f aca="false">+F1484*0.03</f>
        <v>0</v>
      </c>
      <c r="F1484" s="33" t="n">
        <v>0</v>
      </c>
      <c r="G1484" s="62"/>
      <c r="H1484" s="35" t="n">
        <v>0</v>
      </c>
      <c r="I1484" s="34" t="n">
        <f aca="false">+IF(E1484=0,0,E1484*0.03)</f>
        <v>0</v>
      </c>
    </row>
    <row r="1485" customFormat="false" ht="15.75" hidden="false" customHeight="true" outlineLevel="0" collapsed="false">
      <c r="A1485" s="30" t="n">
        <v>45444</v>
      </c>
      <c r="B1485" s="31" t="s">
        <v>153</v>
      </c>
      <c r="C1485" s="32"/>
      <c r="D1485" s="32"/>
      <c r="E1485" s="19" t="n">
        <f aca="false">+F1485*0.03</f>
        <v>0</v>
      </c>
      <c r="F1485" s="33" t="n">
        <v>0</v>
      </c>
      <c r="G1485" s="62"/>
      <c r="H1485" s="35" t="n">
        <v>0</v>
      </c>
      <c r="I1485" s="34" t="n">
        <f aca="false">+IF(E1485=0,0,E1485*0.03)</f>
        <v>0</v>
      </c>
    </row>
    <row r="1486" customFormat="false" ht="15.75" hidden="false" customHeight="true" outlineLevel="0" collapsed="false">
      <c r="A1486" s="30" t="n">
        <v>45444</v>
      </c>
      <c r="B1486" s="31" t="s">
        <v>153</v>
      </c>
      <c r="C1486" s="32"/>
      <c r="D1486" s="32"/>
      <c r="E1486" s="19" t="n">
        <f aca="false">+F1486*0.03</f>
        <v>0</v>
      </c>
      <c r="F1486" s="33" t="n">
        <v>0</v>
      </c>
      <c r="G1486" s="62"/>
      <c r="H1486" s="35" t="n">
        <v>0</v>
      </c>
      <c r="I1486" s="34" t="n">
        <f aca="false">+IF(E1486=0,0,E1486*0.03)</f>
        <v>0</v>
      </c>
    </row>
    <row r="1487" customFormat="false" ht="15.75" hidden="false" customHeight="true" outlineLevel="0" collapsed="false">
      <c r="A1487" s="30" t="n">
        <v>45444</v>
      </c>
      <c r="B1487" s="31" t="s">
        <v>153</v>
      </c>
      <c r="C1487" s="32"/>
      <c r="D1487" s="32"/>
      <c r="E1487" s="19" t="n">
        <f aca="false">+F1487*0.03</f>
        <v>0</v>
      </c>
      <c r="F1487" s="33" t="n">
        <v>0</v>
      </c>
      <c r="G1487" s="62"/>
      <c r="H1487" s="35" t="n">
        <v>0</v>
      </c>
      <c r="I1487" s="34" t="n">
        <f aca="false">+IF(E1487=0,0,E1487*0.03)</f>
        <v>0</v>
      </c>
    </row>
    <row r="1488" customFormat="false" ht="15.75" hidden="false" customHeight="true" outlineLevel="0" collapsed="false">
      <c r="A1488" s="30" t="n">
        <v>45444</v>
      </c>
      <c r="B1488" s="31" t="s">
        <v>153</v>
      </c>
      <c r="C1488" s="32"/>
      <c r="D1488" s="32"/>
      <c r="E1488" s="19" t="n">
        <f aca="false">+F1488*0.03</f>
        <v>0</v>
      </c>
      <c r="F1488" s="33" t="n">
        <v>0</v>
      </c>
      <c r="G1488" s="62"/>
      <c r="H1488" s="35" t="n">
        <v>0</v>
      </c>
      <c r="I1488" s="34" t="n">
        <f aca="false">+IF(E1488=0,0,E1488*0.03)</f>
        <v>0</v>
      </c>
    </row>
    <row r="1489" customFormat="false" ht="15.75" hidden="false" customHeight="true" outlineLevel="0" collapsed="false">
      <c r="A1489" s="30" t="n">
        <v>45444</v>
      </c>
      <c r="B1489" s="31" t="s">
        <v>153</v>
      </c>
      <c r="C1489" s="32"/>
      <c r="D1489" s="32"/>
      <c r="E1489" s="19" t="n">
        <f aca="false">+F1489*0.03</f>
        <v>0</v>
      </c>
      <c r="F1489" s="33" t="n">
        <v>0</v>
      </c>
      <c r="G1489" s="62"/>
      <c r="H1489" s="35" t="n">
        <v>0</v>
      </c>
      <c r="I1489" s="34" t="n">
        <f aca="false">+IF(E1489=0,0,E1489*0.03)</f>
        <v>0</v>
      </c>
    </row>
    <row r="1490" customFormat="false" ht="15.75" hidden="false" customHeight="true" outlineLevel="0" collapsed="false">
      <c r="A1490" s="30" t="n">
        <v>45444</v>
      </c>
      <c r="B1490" s="31" t="s">
        <v>153</v>
      </c>
      <c r="C1490" s="32"/>
      <c r="D1490" s="32"/>
      <c r="E1490" s="19" t="n">
        <f aca="false">+F1490*0.03</f>
        <v>0</v>
      </c>
      <c r="F1490" s="33" t="n">
        <v>0</v>
      </c>
      <c r="G1490" s="62"/>
      <c r="H1490" s="35" t="n">
        <v>0</v>
      </c>
      <c r="I1490" s="34" t="n">
        <f aca="false">+IF(E1490=0,0,E1490*0.03)</f>
        <v>0</v>
      </c>
    </row>
    <row r="1491" customFormat="false" ht="15.75" hidden="false" customHeight="true" outlineLevel="0" collapsed="false">
      <c r="A1491" s="30" t="n">
        <v>45444</v>
      </c>
      <c r="B1491" s="31" t="s">
        <v>153</v>
      </c>
      <c r="C1491" s="32"/>
      <c r="D1491" s="32"/>
      <c r="E1491" s="19" t="n">
        <f aca="false">+F1491*0.03</f>
        <v>0</v>
      </c>
      <c r="F1491" s="33" t="n">
        <v>0</v>
      </c>
      <c r="G1491" s="62"/>
      <c r="H1491" s="35" t="n">
        <v>0</v>
      </c>
      <c r="I1491" s="34" t="n">
        <f aca="false">+IF(E1491=0,0,E1491*0.03)</f>
        <v>0</v>
      </c>
    </row>
    <row r="1492" customFormat="false" ht="15.75" hidden="false" customHeight="true" outlineLevel="0" collapsed="false">
      <c r="A1492" s="30" t="n">
        <v>45444</v>
      </c>
      <c r="B1492" s="31" t="s">
        <v>153</v>
      </c>
      <c r="C1492" s="32"/>
      <c r="D1492" s="32"/>
      <c r="E1492" s="19" t="n">
        <f aca="false">+F1492*0.03</f>
        <v>0</v>
      </c>
      <c r="F1492" s="33" t="n">
        <v>0</v>
      </c>
      <c r="G1492" s="62"/>
      <c r="H1492" s="35" t="n">
        <v>0</v>
      </c>
      <c r="I1492" s="34" t="n">
        <f aca="false">+IF(E1492=0,0,E1492*0.03)</f>
        <v>0</v>
      </c>
    </row>
    <row r="1493" customFormat="false" ht="15.75" hidden="false" customHeight="true" outlineLevel="0" collapsed="false">
      <c r="A1493" s="30" t="n">
        <v>45444</v>
      </c>
      <c r="B1493" s="31" t="s">
        <v>153</v>
      </c>
      <c r="C1493" s="32"/>
      <c r="D1493" s="32"/>
      <c r="E1493" s="19" t="n">
        <f aca="false">+F1493*0.03</f>
        <v>0</v>
      </c>
      <c r="F1493" s="33" t="n">
        <v>0</v>
      </c>
      <c r="G1493" s="62"/>
      <c r="H1493" s="35" t="n">
        <v>0</v>
      </c>
      <c r="I1493" s="34" t="n">
        <f aca="false">+IF(E1493=0,0,E1493*0.03)</f>
        <v>0</v>
      </c>
    </row>
    <row r="1494" customFormat="false" ht="15.75" hidden="false" customHeight="true" outlineLevel="0" collapsed="false">
      <c r="A1494" s="30" t="n">
        <v>45444</v>
      </c>
      <c r="B1494" s="31" t="s">
        <v>153</v>
      </c>
      <c r="C1494" s="32"/>
      <c r="D1494" s="32"/>
      <c r="E1494" s="19" t="n">
        <f aca="false">+F1494*0.03</f>
        <v>0</v>
      </c>
      <c r="F1494" s="33" t="n">
        <v>0</v>
      </c>
      <c r="G1494" s="62"/>
      <c r="H1494" s="35" t="n">
        <v>0</v>
      </c>
      <c r="I1494" s="34" t="n">
        <f aca="false">+IF(E1494=0,0,E1494*0.03)</f>
        <v>0</v>
      </c>
    </row>
    <row r="1495" customFormat="false" ht="15.75" hidden="false" customHeight="true" outlineLevel="0" collapsed="false">
      <c r="A1495" s="30" t="n">
        <v>45444</v>
      </c>
      <c r="B1495" s="31" t="s">
        <v>153</v>
      </c>
      <c r="C1495" s="32"/>
      <c r="D1495" s="32"/>
      <c r="E1495" s="19" t="n">
        <f aca="false">+F1495*0.03</f>
        <v>0</v>
      </c>
      <c r="F1495" s="33" t="n">
        <v>0</v>
      </c>
      <c r="G1495" s="62"/>
      <c r="H1495" s="35" t="n">
        <v>0</v>
      </c>
      <c r="I1495" s="34" t="n">
        <f aca="false">+IF(E1495=0,0,E1495*0.03)</f>
        <v>0</v>
      </c>
    </row>
    <row r="1496" customFormat="false" ht="15.75" hidden="false" customHeight="true" outlineLevel="0" collapsed="false">
      <c r="A1496" s="30" t="n">
        <v>45444</v>
      </c>
      <c r="B1496" s="31" t="s">
        <v>153</v>
      </c>
      <c r="C1496" s="32"/>
      <c r="D1496" s="32"/>
      <c r="E1496" s="19" t="n">
        <f aca="false">+F1496*0.03</f>
        <v>0</v>
      </c>
      <c r="F1496" s="33" t="n">
        <v>0</v>
      </c>
      <c r="G1496" s="62"/>
      <c r="H1496" s="35" t="n">
        <v>0</v>
      </c>
      <c r="I1496" s="34" t="n">
        <f aca="false">+IF(E1496=0,0,E1496*0.03)</f>
        <v>0</v>
      </c>
    </row>
    <row r="1497" customFormat="false" ht="15.75" hidden="false" customHeight="true" outlineLevel="0" collapsed="false">
      <c r="A1497" s="30" t="n">
        <v>45444</v>
      </c>
      <c r="B1497" s="31" t="s">
        <v>153</v>
      </c>
      <c r="C1497" s="32"/>
      <c r="D1497" s="32"/>
      <c r="E1497" s="19" t="n">
        <f aca="false">+F1497*0.03</f>
        <v>0</v>
      </c>
      <c r="F1497" s="33" t="n">
        <v>0</v>
      </c>
      <c r="G1497" s="62"/>
      <c r="H1497" s="35" t="n">
        <v>0</v>
      </c>
      <c r="I1497" s="34" t="n">
        <f aca="false">+IF(E1497=0,0,E1497*0.03)</f>
        <v>0</v>
      </c>
    </row>
    <row r="1498" customFormat="false" ht="15.75" hidden="false" customHeight="true" outlineLevel="0" collapsed="false">
      <c r="A1498" s="30" t="n">
        <v>45444</v>
      </c>
      <c r="B1498" s="31" t="s">
        <v>153</v>
      </c>
      <c r="C1498" s="32"/>
      <c r="D1498" s="32"/>
      <c r="E1498" s="19" t="n">
        <f aca="false">+F1498*0.03</f>
        <v>0</v>
      </c>
      <c r="F1498" s="33" t="n">
        <v>0</v>
      </c>
      <c r="G1498" s="62"/>
      <c r="H1498" s="35" t="n">
        <v>0</v>
      </c>
      <c r="I1498" s="34" t="n">
        <f aca="false">+IF(E1498=0,0,E1498*0.03)</f>
        <v>0</v>
      </c>
    </row>
    <row r="1499" customFormat="false" ht="15.75" hidden="false" customHeight="true" outlineLevel="0" collapsed="false">
      <c r="A1499" s="30" t="n">
        <v>45444</v>
      </c>
      <c r="B1499" s="31" t="s">
        <v>153</v>
      </c>
      <c r="C1499" s="32"/>
      <c r="D1499" s="32"/>
      <c r="E1499" s="19" t="n">
        <f aca="false">+F1499*0.03</f>
        <v>0</v>
      </c>
      <c r="F1499" s="33" t="n">
        <v>0</v>
      </c>
      <c r="G1499" s="62"/>
      <c r="H1499" s="35" t="n">
        <v>0</v>
      </c>
      <c r="I1499" s="34" t="n">
        <f aca="false">+IF(E1499=0,0,E1499*0.03)</f>
        <v>0</v>
      </c>
    </row>
    <row r="1500" customFormat="false" ht="15.75" hidden="false" customHeight="true" outlineLevel="0" collapsed="false">
      <c r="A1500" s="30" t="n">
        <v>45444</v>
      </c>
      <c r="B1500" s="31" t="s">
        <v>153</v>
      </c>
      <c r="C1500" s="32"/>
      <c r="D1500" s="32"/>
      <c r="E1500" s="19" t="n">
        <f aca="false">+F1500*0.03</f>
        <v>0</v>
      </c>
      <c r="F1500" s="33" t="n">
        <v>0</v>
      </c>
      <c r="G1500" s="62"/>
      <c r="H1500" s="35" t="n">
        <v>0</v>
      </c>
      <c r="I1500" s="34" t="n">
        <f aca="false">+IF(E1500=0,0,E1500*0.03)</f>
        <v>0</v>
      </c>
    </row>
    <row r="1501" customFormat="false" ht="15.75" hidden="false" customHeight="true" outlineLevel="0" collapsed="false">
      <c r="A1501" s="30" t="n">
        <v>45444</v>
      </c>
      <c r="B1501" s="31" t="s">
        <v>153</v>
      </c>
      <c r="C1501" s="32"/>
      <c r="D1501" s="32"/>
      <c r="E1501" s="19" t="n">
        <f aca="false">+F1501*0.03</f>
        <v>0</v>
      </c>
      <c r="F1501" s="33" t="n">
        <v>0</v>
      </c>
      <c r="G1501" s="62"/>
      <c r="H1501" s="35" t="n">
        <v>0</v>
      </c>
      <c r="I1501" s="34" t="n">
        <f aca="false">+IF(E1501=0,0,E1501*0.03)</f>
        <v>0</v>
      </c>
    </row>
    <row r="1502" customFormat="false" ht="15.75" hidden="false" customHeight="true" outlineLevel="0" collapsed="false">
      <c r="A1502" s="30" t="n">
        <v>45444</v>
      </c>
      <c r="B1502" s="31" t="s">
        <v>153</v>
      </c>
      <c r="C1502" s="32"/>
      <c r="D1502" s="32"/>
      <c r="E1502" s="19" t="n">
        <f aca="false">+F1502*0.03</f>
        <v>0</v>
      </c>
      <c r="F1502" s="33" t="n">
        <v>0</v>
      </c>
      <c r="G1502" s="62"/>
      <c r="H1502" s="35" t="n">
        <v>0</v>
      </c>
      <c r="I1502" s="34" t="n">
        <f aca="false">+IF(E1502=0,0,E1502*0.03)</f>
        <v>0</v>
      </c>
    </row>
    <row r="1503" customFormat="false" ht="15.75" hidden="false" customHeight="true" outlineLevel="0" collapsed="false">
      <c r="A1503" s="30" t="n">
        <v>45444</v>
      </c>
      <c r="B1503" s="31" t="s">
        <v>153</v>
      </c>
      <c r="C1503" s="32"/>
      <c r="D1503" s="32"/>
      <c r="E1503" s="19" t="n">
        <f aca="false">+F1503*0.03</f>
        <v>0</v>
      </c>
      <c r="F1503" s="33" t="n">
        <v>0</v>
      </c>
      <c r="G1503" s="62"/>
      <c r="H1503" s="35" t="n">
        <v>0</v>
      </c>
      <c r="I1503" s="34" t="n">
        <f aca="false">+IF(E1503=0,0,E1503*0.03)</f>
        <v>0</v>
      </c>
    </row>
    <row r="1504" customFormat="false" ht="15.75" hidden="false" customHeight="true" outlineLevel="0" collapsed="false">
      <c r="A1504" s="30" t="n">
        <v>45444</v>
      </c>
      <c r="B1504" s="31" t="s">
        <v>153</v>
      </c>
      <c r="C1504" s="32"/>
      <c r="D1504" s="32"/>
      <c r="E1504" s="19" t="n">
        <f aca="false">+F1504*0.03</f>
        <v>0</v>
      </c>
      <c r="F1504" s="33" t="n">
        <v>0</v>
      </c>
      <c r="G1504" s="62"/>
      <c r="H1504" s="35" t="n">
        <v>0</v>
      </c>
      <c r="I1504" s="34" t="n">
        <f aca="false">+IF(E1504=0,0,E1504*0.03)</f>
        <v>0</v>
      </c>
    </row>
    <row r="1505" customFormat="false" ht="15.75" hidden="false" customHeight="true" outlineLevel="0" collapsed="false">
      <c r="A1505" s="30" t="n">
        <v>45444</v>
      </c>
      <c r="B1505" s="31" t="s">
        <v>153</v>
      </c>
      <c r="C1505" s="32"/>
      <c r="D1505" s="32"/>
      <c r="E1505" s="19" t="n">
        <f aca="false">+F1505*0.03</f>
        <v>0</v>
      </c>
      <c r="F1505" s="33" t="n">
        <v>0</v>
      </c>
      <c r="G1505" s="62"/>
      <c r="H1505" s="35" t="n">
        <v>0</v>
      </c>
      <c r="I1505" s="34" t="n">
        <f aca="false">+IF(E1505=0,0,E1505*0.03)</f>
        <v>0</v>
      </c>
    </row>
    <row r="1506" customFormat="false" ht="15.75" hidden="false" customHeight="true" outlineLevel="0" collapsed="false">
      <c r="A1506" s="30" t="n">
        <v>45444</v>
      </c>
      <c r="B1506" s="31" t="s">
        <v>153</v>
      </c>
      <c r="C1506" s="32"/>
      <c r="D1506" s="32"/>
      <c r="E1506" s="19" t="n">
        <f aca="false">+F1506*0.03</f>
        <v>0</v>
      </c>
      <c r="F1506" s="33" t="n">
        <v>0</v>
      </c>
      <c r="G1506" s="62"/>
      <c r="H1506" s="35" t="n">
        <v>0</v>
      </c>
      <c r="I1506" s="34" t="n">
        <f aca="false">+IF(E1506=0,0,E1506*0.03)</f>
        <v>0</v>
      </c>
    </row>
    <row r="1507" customFormat="false" ht="15.75" hidden="false" customHeight="true" outlineLevel="0" collapsed="false">
      <c r="A1507" s="30" t="n">
        <v>45444</v>
      </c>
      <c r="B1507" s="31" t="s">
        <v>153</v>
      </c>
      <c r="C1507" s="32"/>
      <c r="D1507" s="32"/>
      <c r="E1507" s="19" t="n">
        <f aca="false">+F1507*0.03</f>
        <v>0</v>
      </c>
      <c r="F1507" s="33" t="n">
        <v>0</v>
      </c>
      <c r="G1507" s="62"/>
      <c r="H1507" s="35" t="n">
        <v>0</v>
      </c>
      <c r="I1507" s="34" t="n">
        <f aca="false">+IF(E1507=0,0,E1507*0.03)</f>
        <v>0</v>
      </c>
    </row>
    <row r="1508" customFormat="false" ht="15.75" hidden="false" customHeight="true" outlineLevel="0" collapsed="false">
      <c r="A1508" s="30" t="n">
        <v>45444</v>
      </c>
      <c r="B1508" s="31" t="s">
        <v>153</v>
      </c>
      <c r="C1508" s="32"/>
      <c r="D1508" s="32"/>
      <c r="E1508" s="19" t="n">
        <f aca="false">+F1508*0.03</f>
        <v>0</v>
      </c>
      <c r="F1508" s="33" t="n">
        <v>0</v>
      </c>
      <c r="G1508" s="62"/>
      <c r="H1508" s="35" t="n">
        <v>0</v>
      </c>
      <c r="I1508" s="34" t="n">
        <f aca="false">+IF(E1508=0,0,E1508*0.03)</f>
        <v>0</v>
      </c>
    </row>
    <row r="1509" customFormat="false" ht="15.75" hidden="false" customHeight="true" outlineLevel="0" collapsed="false">
      <c r="A1509" s="30" t="n">
        <v>45444</v>
      </c>
      <c r="B1509" s="31" t="s">
        <v>153</v>
      </c>
      <c r="C1509" s="32"/>
      <c r="D1509" s="32"/>
      <c r="E1509" s="19" t="n">
        <f aca="false">+F1509*0.03</f>
        <v>0</v>
      </c>
      <c r="F1509" s="33" t="n">
        <v>0</v>
      </c>
      <c r="G1509" s="62"/>
      <c r="H1509" s="35" t="n">
        <v>0</v>
      </c>
      <c r="I1509" s="34" t="n">
        <f aca="false">+IF(E1509=0,0,E1509*0.03)</f>
        <v>0</v>
      </c>
    </row>
    <row r="1510" customFormat="false" ht="15.75" hidden="false" customHeight="true" outlineLevel="0" collapsed="false">
      <c r="A1510" s="30" t="n">
        <v>45444</v>
      </c>
      <c r="B1510" s="31" t="s">
        <v>153</v>
      </c>
      <c r="C1510" s="32"/>
      <c r="D1510" s="32"/>
      <c r="E1510" s="19" t="n">
        <f aca="false">+F1510*0.03</f>
        <v>0</v>
      </c>
      <c r="F1510" s="33" t="n">
        <v>0</v>
      </c>
      <c r="G1510" s="62"/>
      <c r="H1510" s="35" t="n">
        <v>0</v>
      </c>
      <c r="I1510" s="34" t="n">
        <f aca="false">+IF(E1510=0,0,E1510*0.03)</f>
        <v>0</v>
      </c>
    </row>
    <row r="1511" customFormat="false" ht="15.75" hidden="false" customHeight="true" outlineLevel="0" collapsed="false">
      <c r="A1511" s="30" t="n">
        <v>45444</v>
      </c>
      <c r="B1511" s="31" t="s">
        <v>153</v>
      </c>
      <c r="C1511" s="32"/>
      <c r="D1511" s="32"/>
      <c r="E1511" s="19" t="n">
        <f aca="false">+F1511*0.03</f>
        <v>0</v>
      </c>
      <c r="F1511" s="33" t="n">
        <v>0</v>
      </c>
      <c r="G1511" s="62"/>
      <c r="H1511" s="35" t="n">
        <v>0</v>
      </c>
      <c r="I1511" s="34" t="n">
        <f aca="false">+IF(E1511=0,0,E1511*0.03)</f>
        <v>0</v>
      </c>
    </row>
    <row r="1512" customFormat="false" ht="15.75" hidden="false" customHeight="true" outlineLevel="0" collapsed="false">
      <c r="A1512" s="30" t="n">
        <v>45444</v>
      </c>
      <c r="B1512" s="31" t="s">
        <v>153</v>
      </c>
      <c r="C1512" s="32"/>
      <c r="D1512" s="32"/>
      <c r="E1512" s="19" t="n">
        <f aca="false">+F1512*0.03</f>
        <v>0</v>
      </c>
      <c r="F1512" s="33" t="n">
        <v>0</v>
      </c>
      <c r="G1512" s="62"/>
      <c r="H1512" s="35" t="n">
        <v>0</v>
      </c>
      <c r="I1512" s="34" t="n">
        <f aca="false">+IF(E1512=0,0,E1512*0.03)</f>
        <v>0</v>
      </c>
    </row>
    <row r="1513" customFormat="false" ht="15.75" hidden="false" customHeight="true" outlineLevel="0" collapsed="false">
      <c r="A1513" s="30" t="n">
        <v>45444</v>
      </c>
      <c r="B1513" s="31" t="s">
        <v>153</v>
      </c>
      <c r="C1513" s="32"/>
      <c r="D1513" s="32"/>
      <c r="E1513" s="19" t="n">
        <f aca="false">+F1513*0.03</f>
        <v>0</v>
      </c>
      <c r="F1513" s="33" t="n">
        <v>0</v>
      </c>
      <c r="G1513" s="62"/>
      <c r="H1513" s="35" t="n">
        <v>0</v>
      </c>
      <c r="I1513" s="34" t="n">
        <f aca="false">+IF(E1513=0,0,E1513*0.03)</f>
        <v>0</v>
      </c>
    </row>
    <row r="1514" customFormat="false" ht="15.75" hidden="false" customHeight="true" outlineLevel="0" collapsed="false">
      <c r="A1514" s="30" t="n">
        <v>45444</v>
      </c>
      <c r="B1514" s="31" t="s">
        <v>153</v>
      </c>
      <c r="C1514" s="32"/>
      <c r="D1514" s="32"/>
      <c r="E1514" s="19" t="n">
        <f aca="false">+F1514*0.03</f>
        <v>0</v>
      </c>
      <c r="F1514" s="33" t="n">
        <v>0</v>
      </c>
      <c r="G1514" s="62"/>
      <c r="H1514" s="35" t="n">
        <v>0</v>
      </c>
      <c r="I1514" s="34" t="n">
        <f aca="false">+IF(E1514=0,0,E1514*0.03)</f>
        <v>0</v>
      </c>
    </row>
    <row r="1515" customFormat="false" ht="15.75" hidden="false" customHeight="true" outlineLevel="0" collapsed="false">
      <c r="A1515" s="30" t="n">
        <v>45444</v>
      </c>
      <c r="B1515" s="31" t="s">
        <v>153</v>
      </c>
      <c r="C1515" s="32"/>
      <c r="D1515" s="32"/>
      <c r="E1515" s="19" t="n">
        <f aca="false">+F1515*0.03</f>
        <v>0</v>
      </c>
      <c r="F1515" s="33" t="n">
        <v>0</v>
      </c>
      <c r="G1515" s="62"/>
      <c r="H1515" s="35" t="n">
        <v>0</v>
      </c>
      <c r="I1515" s="34" t="n">
        <f aca="false">+IF(E1515=0,0,E1515*0.03)</f>
        <v>0</v>
      </c>
    </row>
    <row r="1516" customFormat="false" ht="15.75" hidden="false" customHeight="true" outlineLevel="0" collapsed="false">
      <c r="A1516" s="30" t="n">
        <v>45444</v>
      </c>
      <c r="B1516" s="31" t="s">
        <v>153</v>
      </c>
      <c r="C1516" s="32"/>
      <c r="D1516" s="32"/>
      <c r="E1516" s="19" t="n">
        <f aca="false">+F1516*0.03</f>
        <v>0</v>
      </c>
      <c r="F1516" s="33" t="n">
        <v>0</v>
      </c>
      <c r="G1516" s="62"/>
      <c r="H1516" s="35" t="n">
        <v>0</v>
      </c>
      <c r="I1516" s="34" t="n">
        <f aca="false">+IF(E1516=0,0,E1516*0.03)</f>
        <v>0</v>
      </c>
    </row>
    <row r="1517" customFormat="false" ht="15.75" hidden="false" customHeight="true" outlineLevel="0" collapsed="false">
      <c r="A1517" s="30" t="n">
        <v>45444</v>
      </c>
      <c r="B1517" s="31" t="s">
        <v>153</v>
      </c>
      <c r="C1517" s="32"/>
      <c r="D1517" s="32"/>
      <c r="E1517" s="19" t="n">
        <f aca="false">+F1517*0.03</f>
        <v>0</v>
      </c>
      <c r="F1517" s="33" t="n">
        <v>0</v>
      </c>
      <c r="G1517" s="62"/>
      <c r="H1517" s="35" t="n">
        <v>0</v>
      </c>
      <c r="I1517" s="34" t="n">
        <f aca="false">+IF(E1517=0,0,E1517*0.03)</f>
        <v>0</v>
      </c>
    </row>
    <row r="1518" customFormat="false" ht="15.75" hidden="false" customHeight="true" outlineLevel="0" collapsed="false">
      <c r="A1518" s="30" t="n">
        <v>45444</v>
      </c>
      <c r="B1518" s="31" t="s">
        <v>153</v>
      </c>
      <c r="C1518" s="32"/>
      <c r="D1518" s="32"/>
      <c r="E1518" s="19" t="n">
        <f aca="false">+F1518*0.03</f>
        <v>0</v>
      </c>
      <c r="F1518" s="33" t="n">
        <v>0</v>
      </c>
      <c r="G1518" s="62"/>
      <c r="H1518" s="35" t="n">
        <v>0</v>
      </c>
      <c r="I1518" s="34" t="n">
        <f aca="false">+IF(E1518=0,0,E1518*0.03)</f>
        <v>0</v>
      </c>
    </row>
    <row r="1519" customFormat="false" ht="15.75" hidden="false" customHeight="true" outlineLevel="0" collapsed="false">
      <c r="A1519" s="30" t="n">
        <v>45444</v>
      </c>
      <c r="B1519" s="31" t="s">
        <v>153</v>
      </c>
      <c r="C1519" s="32"/>
      <c r="D1519" s="32"/>
      <c r="E1519" s="19" t="n">
        <f aca="false">+F1519*0.03</f>
        <v>0</v>
      </c>
      <c r="F1519" s="33" t="n">
        <v>0</v>
      </c>
      <c r="G1519" s="62"/>
      <c r="H1519" s="35" t="n">
        <v>0</v>
      </c>
      <c r="I1519" s="34" t="n">
        <f aca="false">+IF(E1519=0,0,E1519*0.03)</f>
        <v>0</v>
      </c>
    </row>
    <row r="1520" customFormat="false" ht="15.75" hidden="false" customHeight="true" outlineLevel="0" collapsed="false">
      <c r="A1520" s="30" t="n">
        <v>45444</v>
      </c>
      <c r="B1520" s="31" t="s">
        <v>153</v>
      </c>
      <c r="C1520" s="32"/>
      <c r="D1520" s="32"/>
      <c r="E1520" s="19" t="n">
        <f aca="false">+F1520*0.03</f>
        <v>0</v>
      </c>
      <c r="F1520" s="33" t="n">
        <v>0</v>
      </c>
      <c r="G1520" s="62"/>
      <c r="H1520" s="35" t="n">
        <v>0</v>
      </c>
      <c r="I1520" s="34" t="n">
        <f aca="false">+IF(E1520=0,0,E1520*0.03)</f>
        <v>0</v>
      </c>
    </row>
    <row r="1521" customFormat="false" ht="15.75" hidden="false" customHeight="true" outlineLevel="0" collapsed="false">
      <c r="A1521" s="30" t="n">
        <v>45444</v>
      </c>
      <c r="B1521" s="31" t="s">
        <v>153</v>
      </c>
      <c r="C1521" s="32"/>
      <c r="D1521" s="32"/>
      <c r="E1521" s="19" t="n">
        <f aca="false">+F1521*0.03</f>
        <v>0</v>
      </c>
      <c r="F1521" s="33" t="n">
        <v>0</v>
      </c>
      <c r="G1521" s="62"/>
      <c r="H1521" s="35" t="n">
        <v>0</v>
      </c>
      <c r="I1521" s="34" t="n">
        <f aca="false">+IF(E1521=0,0,E1521*0.03)</f>
        <v>0</v>
      </c>
    </row>
    <row r="1522" customFormat="false" ht="15.75" hidden="false" customHeight="true" outlineLevel="0" collapsed="false">
      <c r="A1522" s="30" t="n">
        <v>45444</v>
      </c>
      <c r="B1522" s="31" t="s">
        <v>153</v>
      </c>
      <c r="C1522" s="32"/>
      <c r="D1522" s="32"/>
      <c r="E1522" s="19" t="n">
        <f aca="false">+F1522*0.03</f>
        <v>0</v>
      </c>
      <c r="F1522" s="33" t="n">
        <v>0</v>
      </c>
      <c r="G1522" s="62"/>
      <c r="H1522" s="35" t="n">
        <v>0</v>
      </c>
      <c r="I1522" s="34" t="n">
        <f aca="false">+IF(E1522=0,0,E1522*0.03)</f>
        <v>0</v>
      </c>
    </row>
    <row r="1523" customFormat="false" ht="15.75" hidden="false" customHeight="true" outlineLevel="0" collapsed="false">
      <c r="A1523" s="30" t="n">
        <v>45444</v>
      </c>
      <c r="B1523" s="31" t="s">
        <v>153</v>
      </c>
      <c r="C1523" s="32"/>
      <c r="D1523" s="32"/>
      <c r="E1523" s="19" t="n">
        <f aca="false">+F1523*0.03</f>
        <v>0</v>
      </c>
      <c r="F1523" s="33" t="n">
        <v>0</v>
      </c>
      <c r="G1523" s="62"/>
      <c r="H1523" s="35" t="n">
        <v>0</v>
      </c>
      <c r="I1523" s="34" t="n">
        <f aca="false">+IF(E1523=0,0,E1523*0.03)</f>
        <v>0</v>
      </c>
    </row>
    <row r="1524" customFormat="false" ht="15.75" hidden="false" customHeight="true" outlineLevel="0" collapsed="false">
      <c r="A1524" s="30" t="n">
        <v>45444</v>
      </c>
      <c r="B1524" s="31" t="s">
        <v>153</v>
      </c>
      <c r="C1524" s="32"/>
      <c r="D1524" s="32"/>
      <c r="E1524" s="19" t="n">
        <f aca="false">+F1524*0.03</f>
        <v>0</v>
      </c>
      <c r="F1524" s="33" t="n">
        <v>0</v>
      </c>
      <c r="G1524" s="62"/>
      <c r="H1524" s="35" t="n">
        <v>0</v>
      </c>
      <c r="I1524" s="34" t="n">
        <f aca="false">+IF(E1524=0,0,E1524*0.03)</f>
        <v>0</v>
      </c>
    </row>
    <row r="1525" customFormat="false" ht="15.75" hidden="false" customHeight="true" outlineLevel="0" collapsed="false">
      <c r="A1525" s="30" t="n">
        <v>45444</v>
      </c>
      <c r="B1525" s="31" t="s">
        <v>153</v>
      </c>
      <c r="C1525" s="32"/>
      <c r="D1525" s="32"/>
      <c r="E1525" s="19" t="n">
        <f aca="false">+F1525*0.03</f>
        <v>0</v>
      </c>
      <c r="F1525" s="33" t="n">
        <v>0</v>
      </c>
      <c r="G1525" s="62"/>
      <c r="H1525" s="35" t="n">
        <v>0</v>
      </c>
      <c r="I1525" s="34" t="n">
        <f aca="false">+IF(E1525=0,0,E1525*0.03)</f>
        <v>0</v>
      </c>
    </row>
    <row r="1526" customFormat="false" ht="15.75" hidden="false" customHeight="true" outlineLevel="0" collapsed="false">
      <c r="A1526" s="30" t="n">
        <v>45444</v>
      </c>
      <c r="B1526" s="31" t="s">
        <v>153</v>
      </c>
      <c r="C1526" s="32"/>
      <c r="D1526" s="32"/>
      <c r="E1526" s="19" t="n">
        <f aca="false">+F1526*0.03</f>
        <v>0</v>
      </c>
      <c r="F1526" s="33" t="n">
        <v>0</v>
      </c>
      <c r="G1526" s="62"/>
      <c r="H1526" s="35" t="n">
        <v>0</v>
      </c>
      <c r="I1526" s="34" t="n">
        <f aca="false">+IF(E1526=0,0,E1526*0.03)</f>
        <v>0</v>
      </c>
    </row>
    <row r="1527" customFormat="false" ht="15.75" hidden="false" customHeight="true" outlineLevel="0" collapsed="false">
      <c r="A1527" s="30" t="n">
        <v>45444</v>
      </c>
      <c r="B1527" s="31" t="s">
        <v>153</v>
      </c>
      <c r="C1527" s="32"/>
      <c r="D1527" s="32"/>
      <c r="E1527" s="19" t="n">
        <f aca="false">+F1527*0.03</f>
        <v>0</v>
      </c>
      <c r="F1527" s="33" t="n">
        <v>0</v>
      </c>
      <c r="G1527" s="62"/>
      <c r="H1527" s="35" t="n">
        <v>0</v>
      </c>
      <c r="I1527" s="34" t="n">
        <f aca="false">+IF(E1527=0,0,E1527*0.03)</f>
        <v>0</v>
      </c>
    </row>
    <row r="1528" customFormat="false" ht="15.75" hidden="false" customHeight="true" outlineLevel="0" collapsed="false">
      <c r="A1528" s="30" t="n">
        <v>45444</v>
      </c>
      <c r="B1528" s="31" t="s">
        <v>153</v>
      </c>
      <c r="C1528" s="32"/>
      <c r="D1528" s="32"/>
      <c r="E1528" s="19" t="n">
        <f aca="false">+F1528*0.03</f>
        <v>0</v>
      </c>
      <c r="F1528" s="33" t="n">
        <v>0</v>
      </c>
      <c r="G1528" s="62"/>
      <c r="H1528" s="35" t="n">
        <v>0</v>
      </c>
      <c r="I1528" s="34" t="n">
        <f aca="false">+IF(E1528=0,0,E1528*0.03)</f>
        <v>0</v>
      </c>
    </row>
    <row r="1529" customFormat="false" ht="15.75" hidden="false" customHeight="true" outlineLevel="0" collapsed="false">
      <c r="A1529" s="30" t="n">
        <v>45444</v>
      </c>
      <c r="B1529" s="31" t="s">
        <v>153</v>
      </c>
      <c r="C1529" s="32"/>
      <c r="D1529" s="32"/>
      <c r="E1529" s="19" t="n">
        <f aca="false">+F1529*0.03</f>
        <v>0</v>
      </c>
      <c r="F1529" s="33" t="n">
        <v>0</v>
      </c>
      <c r="G1529" s="62"/>
      <c r="H1529" s="35" t="n">
        <v>0</v>
      </c>
      <c r="I1529" s="34" t="n">
        <f aca="false">+IF(E1529=0,0,E1529*0.03)</f>
        <v>0</v>
      </c>
    </row>
    <row r="1530" customFormat="false" ht="15.75" hidden="false" customHeight="true" outlineLevel="0" collapsed="false">
      <c r="A1530" s="30" t="n">
        <v>45444</v>
      </c>
      <c r="B1530" s="31" t="s">
        <v>153</v>
      </c>
      <c r="C1530" s="32"/>
      <c r="D1530" s="32"/>
      <c r="E1530" s="19" t="n">
        <f aca="false">+F1530*0.03</f>
        <v>0</v>
      </c>
      <c r="F1530" s="33" t="n">
        <v>0</v>
      </c>
      <c r="G1530" s="62"/>
      <c r="H1530" s="35" t="n">
        <v>0</v>
      </c>
      <c r="I1530" s="34" t="n">
        <f aca="false">+IF(E1530=0,0,E1530*0.03)</f>
        <v>0</v>
      </c>
    </row>
    <row r="1531" customFormat="false" ht="15.75" hidden="false" customHeight="true" outlineLevel="0" collapsed="false">
      <c r="A1531" s="30" t="n">
        <v>45444</v>
      </c>
      <c r="B1531" s="31" t="s">
        <v>153</v>
      </c>
      <c r="C1531" s="32"/>
      <c r="D1531" s="32"/>
      <c r="E1531" s="19" t="n">
        <f aca="false">+F1531*0.03</f>
        <v>0</v>
      </c>
      <c r="F1531" s="33" t="n">
        <v>0</v>
      </c>
      <c r="G1531" s="62"/>
      <c r="H1531" s="35" t="n">
        <v>0</v>
      </c>
      <c r="I1531" s="34" t="n">
        <f aca="false">+IF(E1531=0,0,E1531*0.03)</f>
        <v>0</v>
      </c>
    </row>
    <row r="1532" customFormat="false" ht="15.75" hidden="false" customHeight="true" outlineLevel="0" collapsed="false">
      <c r="A1532" s="30" t="n">
        <v>45444</v>
      </c>
      <c r="B1532" s="31" t="s">
        <v>153</v>
      </c>
      <c r="C1532" s="32"/>
      <c r="D1532" s="32"/>
      <c r="E1532" s="19" t="n">
        <f aca="false">+F1532*0.03</f>
        <v>0</v>
      </c>
      <c r="F1532" s="33" t="n">
        <v>0</v>
      </c>
      <c r="G1532" s="62"/>
      <c r="H1532" s="35" t="n">
        <v>0</v>
      </c>
      <c r="I1532" s="34" t="n">
        <f aca="false">+IF(E1532=0,0,E1532*0.03)</f>
        <v>0</v>
      </c>
    </row>
    <row r="1533" customFormat="false" ht="15.75" hidden="false" customHeight="true" outlineLevel="0" collapsed="false">
      <c r="A1533" s="30" t="n">
        <v>45444</v>
      </c>
      <c r="B1533" s="31" t="s">
        <v>153</v>
      </c>
      <c r="C1533" s="32"/>
      <c r="D1533" s="32"/>
      <c r="E1533" s="19" t="n">
        <f aca="false">+F1533*0.03</f>
        <v>0</v>
      </c>
      <c r="F1533" s="33" t="n">
        <v>0</v>
      </c>
      <c r="G1533" s="62"/>
      <c r="H1533" s="35" t="n">
        <v>0</v>
      </c>
      <c r="I1533" s="34" t="n">
        <f aca="false">+IF(E1533=0,0,E1533*0.03)</f>
        <v>0</v>
      </c>
    </row>
    <row r="1534" customFormat="false" ht="15.75" hidden="false" customHeight="true" outlineLevel="0" collapsed="false">
      <c r="A1534" s="30" t="n">
        <v>45444</v>
      </c>
      <c r="B1534" s="31" t="s">
        <v>153</v>
      </c>
      <c r="C1534" s="32"/>
      <c r="D1534" s="32"/>
      <c r="E1534" s="19" t="n">
        <f aca="false">+F1534*0.03</f>
        <v>0</v>
      </c>
      <c r="F1534" s="33" t="n">
        <v>0</v>
      </c>
      <c r="G1534" s="62"/>
      <c r="H1534" s="35" t="n">
        <v>0</v>
      </c>
      <c r="I1534" s="34" t="n">
        <f aca="false">+IF(E1534=0,0,E1534*0.03)</f>
        <v>0</v>
      </c>
    </row>
    <row r="1535" customFormat="false" ht="15.75" hidden="false" customHeight="true" outlineLevel="0" collapsed="false">
      <c r="A1535" s="30" t="n">
        <v>45444</v>
      </c>
      <c r="B1535" s="31" t="s">
        <v>153</v>
      </c>
      <c r="C1535" s="32"/>
      <c r="D1535" s="32"/>
      <c r="E1535" s="19" t="n">
        <f aca="false">+F1535*0.03</f>
        <v>0</v>
      </c>
      <c r="F1535" s="33" t="n">
        <v>0</v>
      </c>
      <c r="G1535" s="62"/>
      <c r="H1535" s="35" t="n">
        <v>0</v>
      </c>
      <c r="I1535" s="34" t="n">
        <f aca="false">+IF(E1535=0,0,E1535*0.03)</f>
        <v>0</v>
      </c>
    </row>
    <row r="1536" customFormat="false" ht="15.75" hidden="false" customHeight="true" outlineLevel="0" collapsed="false">
      <c r="A1536" s="30" t="n">
        <v>45444</v>
      </c>
      <c r="B1536" s="31" t="s">
        <v>153</v>
      </c>
      <c r="C1536" s="32"/>
      <c r="D1536" s="32"/>
      <c r="E1536" s="19" t="n">
        <f aca="false">+F1536*0.03</f>
        <v>0</v>
      </c>
      <c r="F1536" s="33" t="n">
        <v>0</v>
      </c>
      <c r="G1536" s="62"/>
      <c r="H1536" s="35" t="n">
        <v>0</v>
      </c>
      <c r="I1536" s="34" t="n">
        <f aca="false">+IF(E1536=0,0,E1536*0.03)</f>
        <v>0</v>
      </c>
    </row>
    <row r="1537" customFormat="false" ht="15.75" hidden="false" customHeight="true" outlineLevel="0" collapsed="false">
      <c r="A1537" s="30" t="n">
        <v>45444</v>
      </c>
      <c r="B1537" s="31" t="s">
        <v>153</v>
      </c>
      <c r="C1537" s="32"/>
      <c r="D1537" s="32"/>
      <c r="E1537" s="19" t="n">
        <f aca="false">+F1537*0.03</f>
        <v>0</v>
      </c>
      <c r="F1537" s="33" t="n">
        <v>0</v>
      </c>
      <c r="G1537" s="62"/>
      <c r="H1537" s="35" t="n">
        <v>0</v>
      </c>
      <c r="I1537" s="34" t="n">
        <f aca="false">+IF(E1537=0,0,E1537*0.03)</f>
        <v>0</v>
      </c>
    </row>
    <row r="1538" customFormat="false" ht="15.75" hidden="false" customHeight="true" outlineLevel="0" collapsed="false">
      <c r="A1538" s="30" t="n">
        <v>45444</v>
      </c>
      <c r="B1538" s="31" t="s">
        <v>153</v>
      </c>
      <c r="C1538" s="32"/>
      <c r="D1538" s="32"/>
      <c r="E1538" s="19" t="n">
        <f aca="false">+F1538*0.03</f>
        <v>0</v>
      </c>
      <c r="F1538" s="33" t="n">
        <v>0</v>
      </c>
      <c r="G1538" s="62"/>
      <c r="H1538" s="35" t="n">
        <v>0</v>
      </c>
      <c r="I1538" s="34" t="n">
        <f aca="false">+IF(E1538=0,0,E1538*0.03)</f>
        <v>0</v>
      </c>
    </row>
    <row r="1539" customFormat="false" ht="15.75" hidden="false" customHeight="true" outlineLevel="0" collapsed="false">
      <c r="A1539" s="30" t="n">
        <v>45444</v>
      </c>
      <c r="B1539" s="31" t="s">
        <v>153</v>
      </c>
      <c r="C1539" s="32"/>
      <c r="D1539" s="32"/>
      <c r="E1539" s="19" t="n">
        <f aca="false">+F1539*0.03</f>
        <v>0</v>
      </c>
      <c r="F1539" s="33" t="n">
        <v>0</v>
      </c>
      <c r="G1539" s="62"/>
      <c r="H1539" s="35" t="n">
        <v>0</v>
      </c>
      <c r="I1539" s="34" t="n">
        <f aca="false">+IF(E1539=0,0,E1539*0.03)</f>
        <v>0</v>
      </c>
    </row>
    <row r="1540" customFormat="false" ht="15.75" hidden="false" customHeight="true" outlineLevel="0" collapsed="false">
      <c r="A1540" s="30" t="n">
        <v>45444</v>
      </c>
      <c r="B1540" s="31" t="s">
        <v>153</v>
      </c>
      <c r="C1540" s="32"/>
      <c r="D1540" s="32"/>
      <c r="E1540" s="19" t="n">
        <f aca="false">+F1540*0.03</f>
        <v>0</v>
      </c>
      <c r="F1540" s="33" t="n">
        <v>0</v>
      </c>
      <c r="G1540" s="62"/>
      <c r="H1540" s="35" t="n">
        <v>0</v>
      </c>
      <c r="I1540" s="34" t="n">
        <f aca="false">+IF(E1540=0,0,E1540*0.03)</f>
        <v>0</v>
      </c>
    </row>
    <row r="1541" customFormat="false" ht="15.75" hidden="false" customHeight="true" outlineLevel="0" collapsed="false">
      <c r="A1541" s="30" t="n">
        <v>45444</v>
      </c>
      <c r="B1541" s="31" t="s">
        <v>153</v>
      </c>
      <c r="C1541" s="32"/>
      <c r="D1541" s="32"/>
      <c r="E1541" s="19" t="n">
        <f aca="false">+F1541*0.03</f>
        <v>0</v>
      </c>
      <c r="F1541" s="33" t="n">
        <v>0</v>
      </c>
      <c r="G1541" s="62"/>
      <c r="H1541" s="35" t="n">
        <v>0</v>
      </c>
      <c r="I1541" s="34" t="n">
        <f aca="false">+IF(E1541=0,0,E1541*0.03)</f>
        <v>0</v>
      </c>
    </row>
    <row r="1542" customFormat="false" ht="15.75" hidden="false" customHeight="true" outlineLevel="0" collapsed="false">
      <c r="A1542" s="30" t="n">
        <v>45444</v>
      </c>
      <c r="B1542" s="31" t="s">
        <v>153</v>
      </c>
      <c r="C1542" s="32"/>
      <c r="D1542" s="32"/>
      <c r="E1542" s="19" t="n">
        <f aca="false">+F1542*0.03</f>
        <v>0</v>
      </c>
      <c r="F1542" s="33" t="n">
        <v>0</v>
      </c>
      <c r="G1542" s="62"/>
      <c r="H1542" s="35" t="n">
        <v>0</v>
      </c>
      <c r="I1542" s="34" t="n">
        <f aca="false">+IF(E1542=0,0,E1542*0.03)</f>
        <v>0</v>
      </c>
    </row>
    <row r="1543" customFormat="false" ht="15.75" hidden="false" customHeight="true" outlineLevel="0" collapsed="false">
      <c r="A1543" s="30" t="n">
        <v>45444</v>
      </c>
      <c r="B1543" s="31" t="s">
        <v>153</v>
      </c>
      <c r="C1543" s="32"/>
      <c r="D1543" s="32"/>
      <c r="E1543" s="19" t="n">
        <f aca="false">+F1543*0.03</f>
        <v>0</v>
      </c>
      <c r="F1543" s="33" t="n">
        <v>0</v>
      </c>
      <c r="G1543" s="62"/>
      <c r="H1543" s="35" t="n">
        <v>0</v>
      </c>
      <c r="I1543" s="34" t="n">
        <f aca="false">+IF(E1543=0,0,E1543*0.03)</f>
        <v>0</v>
      </c>
    </row>
    <row r="1544" customFormat="false" ht="15.75" hidden="false" customHeight="true" outlineLevel="0" collapsed="false">
      <c r="A1544" s="30" t="n">
        <v>45444</v>
      </c>
      <c r="B1544" s="31" t="s">
        <v>153</v>
      </c>
      <c r="C1544" s="32"/>
      <c r="D1544" s="32"/>
      <c r="E1544" s="19" t="n">
        <f aca="false">+F1544*0.03</f>
        <v>0</v>
      </c>
      <c r="F1544" s="33" t="n">
        <v>0</v>
      </c>
      <c r="G1544" s="62"/>
      <c r="H1544" s="35" t="n">
        <v>0</v>
      </c>
      <c r="I1544" s="34" t="n">
        <f aca="false">+IF(E1544=0,0,E1544*0.03)</f>
        <v>0</v>
      </c>
    </row>
    <row r="1545" customFormat="false" ht="15.75" hidden="false" customHeight="true" outlineLevel="0" collapsed="false">
      <c r="A1545" s="30" t="n">
        <v>45444</v>
      </c>
      <c r="B1545" s="31" t="s">
        <v>153</v>
      </c>
      <c r="C1545" s="32"/>
      <c r="D1545" s="32"/>
      <c r="E1545" s="19" t="n">
        <f aca="false">+F1545*0.03</f>
        <v>0</v>
      </c>
      <c r="F1545" s="33" t="n">
        <v>0</v>
      </c>
      <c r="G1545" s="62"/>
      <c r="H1545" s="35" t="n">
        <v>0</v>
      </c>
      <c r="I1545" s="34" t="n">
        <f aca="false">+IF(E1545=0,0,E1545*0.03)</f>
        <v>0</v>
      </c>
    </row>
    <row r="1546" customFormat="false" ht="15.75" hidden="false" customHeight="true" outlineLevel="0" collapsed="false">
      <c r="A1546" s="30" t="n">
        <v>45444</v>
      </c>
      <c r="B1546" s="31" t="s">
        <v>153</v>
      </c>
      <c r="C1546" s="32"/>
      <c r="D1546" s="32"/>
      <c r="E1546" s="19" t="n">
        <f aca="false">+F1546*0.03</f>
        <v>0</v>
      </c>
      <c r="F1546" s="33" t="n">
        <v>0</v>
      </c>
      <c r="G1546" s="62"/>
      <c r="H1546" s="35" t="n">
        <v>0</v>
      </c>
      <c r="I1546" s="34" t="n">
        <f aca="false">+IF(E1546=0,0,E1546*0.03)</f>
        <v>0</v>
      </c>
    </row>
    <row r="1547" customFormat="false" ht="15.75" hidden="false" customHeight="true" outlineLevel="0" collapsed="false">
      <c r="A1547" s="30" t="n">
        <v>45444</v>
      </c>
      <c r="B1547" s="31" t="s">
        <v>153</v>
      </c>
      <c r="C1547" s="32"/>
      <c r="D1547" s="32"/>
      <c r="E1547" s="19" t="n">
        <f aca="false">+F1547*0.03</f>
        <v>0</v>
      </c>
      <c r="F1547" s="33" t="n">
        <v>0</v>
      </c>
      <c r="G1547" s="62"/>
      <c r="H1547" s="35" t="n">
        <v>0</v>
      </c>
      <c r="I1547" s="34" t="n">
        <f aca="false">+IF(E1547=0,0,E1547*0.03)</f>
        <v>0</v>
      </c>
    </row>
    <row r="1548" customFormat="false" ht="15.75" hidden="false" customHeight="true" outlineLevel="0" collapsed="false">
      <c r="A1548" s="30" t="n">
        <v>45444</v>
      </c>
      <c r="B1548" s="31" t="s">
        <v>153</v>
      </c>
      <c r="C1548" s="32"/>
      <c r="D1548" s="32"/>
      <c r="E1548" s="19" t="n">
        <f aca="false">+F1548*0.03</f>
        <v>0</v>
      </c>
      <c r="F1548" s="33" t="n">
        <v>0</v>
      </c>
      <c r="G1548" s="62"/>
      <c r="H1548" s="35" t="n">
        <v>0</v>
      </c>
      <c r="I1548" s="34" t="n">
        <f aca="false">+IF(E1548=0,0,E1548*0.03)</f>
        <v>0</v>
      </c>
    </row>
    <row r="1549" customFormat="false" ht="15.75" hidden="false" customHeight="true" outlineLevel="0" collapsed="false">
      <c r="A1549" s="30" t="n">
        <v>45444</v>
      </c>
      <c r="B1549" s="31" t="s">
        <v>153</v>
      </c>
      <c r="C1549" s="32"/>
      <c r="D1549" s="32"/>
      <c r="E1549" s="19" t="n">
        <f aca="false">+F1549*0.03</f>
        <v>0</v>
      </c>
      <c r="F1549" s="33" t="n">
        <v>0</v>
      </c>
      <c r="G1549" s="62"/>
      <c r="H1549" s="35" t="n">
        <v>0</v>
      </c>
      <c r="I1549" s="34" t="n">
        <f aca="false">+IF(E1549=0,0,E1549*0.03)</f>
        <v>0</v>
      </c>
    </row>
    <row r="1550" customFormat="false" ht="15.75" hidden="false" customHeight="true" outlineLevel="0" collapsed="false">
      <c r="A1550" s="30" t="n">
        <v>45444</v>
      </c>
      <c r="B1550" s="31" t="s">
        <v>153</v>
      </c>
      <c r="C1550" s="32"/>
      <c r="D1550" s="32"/>
      <c r="E1550" s="19" t="n">
        <f aca="false">+F1550*0.03</f>
        <v>0</v>
      </c>
      <c r="F1550" s="33" t="n">
        <v>0</v>
      </c>
      <c r="G1550" s="62"/>
      <c r="H1550" s="35" t="n">
        <v>0</v>
      </c>
      <c r="I1550" s="34" t="n">
        <f aca="false">+IF(E1550=0,0,E1550*0.03)</f>
        <v>0</v>
      </c>
    </row>
    <row r="1551" customFormat="false" ht="15.75" hidden="false" customHeight="true" outlineLevel="0" collapsed="false">
      <c r="A1551" s="30" t="n">
        <v>45444</v>
      </c>
      <c r="B1551" s="31" t="s">
        <v>153</v>
      </c>
      <c r="C1551" s="32"/>
      <c r="D1551" s="32"/>
      <c r="E1551" s="19" t="n">
        <f aca="false">+F1551*0.03</f>
        <v>0</v>
      </c>
      <c r="F1551" s="33" t="n">
        <v>0</v>
      </c>
      <c r="G1551" s="62"/>
      <c r="H1551" s="35" t="n">
        <v>0</v>
      </c>
      <c r="I1551" s="34" t="n">
        <f aca="false">+IF(E1551=0,0,E1551*0.03)</f>
        <v>0</v>
      </c>
    </row>
    <row r="1552" customFormat="false" ht="15.75" hidden="false" customHeight="true" outlineLevel="0" collapsed="false">
      <c r="A1552" s="30" t="n">
        <v>45444</v>
      </c>
      <c r="B1552" s="31" t="s">
        <v>153</v>
      </c>
      <c r="C1552" s="32"/>
      <c r="D1552" s="32"/>
      <c r="E1552" s="19" t="n">
        <f aca="false">+F1552*0.03</f>
        <v>0</v>
      </c>
      <c r="F1552" s="33" t="n">
        <v>0</v>
      </c>
      <c r="G1552" s="62"/>
      <c r="H1552" s="35" t="n">
        <v>0</v>
      </c>
      <c r="I1552" s="34" t="n">
        <f aca="false">+IF(E1552=0,0,E1552*0.03)</f>
        <v>0</v>
      </c>
    </row>
    <row r="1553" customFormat="false" ht="15.75" hidden="false" customHeight="true" outlineLevel="0" collapsed="false">
      <c r="A1553" s="30" t="n">
        <v>45444</v>
      </c>
      <c r="B1553" s="31" t="s">
        <v>153</v>
      </c>
      <c r="C1553" s="32"/>
      <c r="D1553" s="32"/>
      <c r="E1553" s="19" t="n">
        <f aca="false">+F1553*0.03</f>
        <v>0</v>
      </c>
      <c r="F1553" s="33" t="n">
        <v>0</v>
      </c>
      <c r="G1553" s="62"/>
      <c r="H1553" s="35" t="n">
        <v>0</v>
      </c>
      <c r="I1553" s="34" t="n">
        <f aca="false">+IF(E1553=0,0,E1553*0.03)</f>
        <v>0</v>
      </c>
    </row>
    <row r="1554" customFormat="false" ht="15.75" hidden="false" customHeight="true" outlineLevel="0" collapsed="false">
      <c r="A1554" s="30" t="n">
        <v>45444</v>
      </c>
      <c r="B1554" s="31" t="s">
        <v>153</v>
      </c>
      <c r="C1554" s="32"/>
      <c r="D1554" s="32"/>
      <c r="E1554" s="19" t="n">
        <f aca="false">+F1554*0.03</f>
        <v>0</v>
      </c>
      <c r="F1554" s="33" t="n">
        <v>0</v>
      </c>
      <c r="G1554" s="62"/>
      <c r="H1554" s="35" t="n">
        <v>0</v>
      </c>
      <c r="I1554" s="34" t="n">
        <f aca="false">+IF(E1554=0,0,E1554*0.03)</f>
        <v>0</v>
      </c>
    </row>
    <row r="1555" customFormat="false" ht="15.75" hidden="false" customHeight="true" outlineLevel="0" collapsed="false">
      <c r="A1555" s="30" t="n">
        <v>45444</v>
      </c>
      <c r="B1555" s="31" t="s">
        <v>153</v>
      </c>
      <c r="C1555" s="32"/>
      <c r="D1555" s="32"/>
      <c r="E1555" s="19" t="n">
        <f aca="false">+F1555*0.03</f>
        <v>0</v>
      </c>
      <c r="F1555" s="33" t="n">
        <v>0</v>
      </c>
      <c r="G1555" s="62"/>
      <c r="H1555" s="35" t="n">
        <v>0</v>
      </c>
      <c r="I1555" s="34" t="n">
        <f aca="false">+IF(E1555=0,0,E1555*0.03)</f>
        <v>0</v>
      </c>
    </row>
    <row r="1556" customFormat="false" ht="15.75" hidden="false" customHeight="true" outlineLevel="0" collapsed="false">
      <c r="A1556" s="30" t="n">
        <v>45444</v>
      </c>
      <c r="B1556" s="31" t="s">
        <v>153</v>
      </c>
      <c r="C1556" s="32"/>
      <c r="D1556" s="32"/>
      <c r="E1556" s="19" t="n">
        <f aca="false">+F1556*0.03</f>
        <v>0</v>
      </c>
      <c r="F1556" s="33" t="n">
        <v>0</v>
      </c>
      <c r="G1556" s="62"/>
      <c r="H1556" s="35" t="n">
        <v>0</v>
      </c>
      <c r="I1556" s="34" t="n">
        <f aca="false">+IF(E1556=0,0,E1556*0.03)</f>
        <v>0</v>
      </c>
    </row>
    <row r="1557" customFormat="false" ht="15.75" hidden="false" customHeight="true" outlineLevel="0" collapsed="false">
      <c r="A1557" s="30" t="n">
        <v>45444</v>
      </c>
      <c r="B1557" s="31" t="s">
        <v>153</v>
      </c>
      <c r="C1557" s="32"/>
      <c r="D1557" s="32"/>
      <c r="E1557" s="19" t="n">
        <f aca="false">+F1557*0.03</f>
        <v>0</v>
      </c>
      <c r="F1557" s="33" t="n">
        <v>0</v>
      </c>
      <c r="G1557" s="62"/>
      <c r="H1557" s="35" t="n">
        <v>0</v>
      </c>
      <c r="I1557" s="34" t="n">
        <f aca="false">+IF(E1557=0,0,E1557*0.03)</f>
        <v>0</v>
      </c>
    </row>
    <row r="1558" customFormat="false" ht="15.75" hidden="false" customHeight="true" outlineLevel="0" collapsed="false">
      <c r="A1558" s="30" t="n">
        <v>45444</v>
      </c>
      <c r="B1558" s="31" t="s">
        <v>153</v>
      </c>
      <c r="C1558" s="32"/>
      <c r="D1558" s="32"/>
      <c r="E1558" s="19" t="n">
        <f aca="false">+F1558*0.03</f>
        <v>0</v>
      </c>
      <c r="F1558" s="33" t="n">
        <v>0</v>
      </c>
      <c r="G1558" s="62"/>
      <c r="H1558" s="35" t="n">
        <v>0</v>
      </c>
      <c r="I1558" s="34" t="n">
        <f aca="false">+IF(E1558=0,0,E1558*0.03)</f>
        <v>0</v>
      </c>
    </row>
    <row r="1559" customFormat="false" ht="15.75" hidden="false" customHeight="true" outlineLevel="0" collapsed="false">
      <c r="A1559" s="30" t="n">
        <v>45444</v>
      </c>
      <c r="B1559" s="31" t="s">
        <v>153</v>
      </c>
      <c r="C1559" s="32"/>
      <c r="D1559" s="32"/>
      <c r="E1559" s="19" t="n">
        <f aca="false">+F1559*0.03</f>
        <v>0</v>
      </c>
      <c r="F1559" s="33" t="n">
        <v>0</v>
      </c>
      <c r="G1559" s="62"/>
      <c r="H1559" s="35" t="n">
        <v>0</v>
      </c>
      <c r="I1559" s="34" t="n">
        <f aca="false">+IF(E1559=0,0,E1559*0.03)</f>
        <v>0</v>
      </c>
    </row>
    <row r="1560" customFormat="false" ht="15.75" hidden="false" customHeight="true" outlineLevel="0" collapsed="false">
      <c r="A1560" s="30" t="n">
        <v>45444</v>
      </c>
      <c r="B1560" s="31" t="s">
        <v>153</v>
      </c>
      <c r="C1560" s="32"/>
      <c r="D1560" s="32"/>
      <c r="E1560" s="19" t="n">
        <f aca="false">+F1560*0.03</f>
        <v>0</v>
      </c>
      <c r="F1560" s="33" t="n">
        <v>0</v>
      </c>
      <c r="G1560" s="62"/>
      <c r="H1560" s="35" t="n">
        <v>0</v>
      </c>
      <c r="I1560" s="34" t="n">
        <f aca="false">+IF(E1560=0,0,E1560*0.03)</f>
        <v>0</v>
      </c>
    </row>
    <row r="1561" customFormat="false" ht="15.75" hidden="false" customHeight="true" outlineLevel="0" collapsed="false">
      <c r="A1561" s="30" t="n">
        <v>45444</v>
      </c>
      <c r="B1561" s="31" t="s">
        <v>153</v>
      </c>
      <c r="C1561" s="32"/>
      <c r="D1561" s="32"/>
      <c r="E1561" s="19" t="n">
        <f aca="false">+F1561*0.03</f>
        <v>0</v>
      </c>
      <c r="F1561" s="33" t="n">
        <v>0</v>
      </c>
      <c r="G1561" s="62"/>
      <c r="H1561" s="35" t="n">
        <v>0</v>
      </c>
      <c r="I1561" s="34" t="n">
        <f aca="false">+IF(E1561=0,0,E1561*0.03)</f>
        <v>0</v>
      </c>
    </row>
    <row r="1562" customFormat="false" ht="15.75" hidden="false" customHeight="true" outlineLevel="0" collapsed="false">
      <c r="A1562" s="30" t="n">
        <v>45444</v>
      </c>
      <c r="B1562" s="31" t="s">
        <v>153</v>
      </c>
      <c r="C1562" s="32"/>
      <c r="D1562" s="32"/>
      <c r="E1562" s="19" t="n">
        <f aca="false">+F1562*0.03</f>
        <v>0</v>
      </c>
      <c r="F1562" s="33" t="n">
        <v>0</v>
      </c>
      <c r="G1562" s="62"/>
      <c r="H1562" s="35" t="n">
        <v>0</v>
      </c>
      <c r="I1562" s="34" t="n">
        <f aca="false">+IF(E1562=0,0,E1562*0.03)</f>
        <v>0</v>
      </c>
    </row>
    <row r="1563" customFormat="false" ht="15.75" hidden="false" customHeight="true" outlineLevel="0" collapsed="false">
      <c r="A1563" s="30" t="n">
        <v>45444</v>
      </c>
      <c r="B1563" s="31" t="s">
        <v>153</v>
      </c>
      <c r="C1563" s="32"/>
      <c r="D1563" s="32"/>
      <c r="E1563" s="19" t="n">
        <f aca="false">+F1563*0.03</f>
        <v>0</v>
      </c>
      <c r="F1563" s="33" t="n">
        <v>0</v>
      </c>
      <c r="G1563" s="62"/>
      <c r="H1563" s="35" t="n">
        <v>0</v>
      </c>
      <c r="I1563" s="34" t="n">
        <f aca="false">+IF(E1563=0,0,E1563*0.03)</f>
        <v>0</v>
      </c>
    </row>
    <row r="1564" customFormat="false" ht="15.75" hidden="false" customHeight="true" outlineLevel="0" collapsed="false">
      <c r="A1564" s="30" t="n">
        <v>45444</v>
      </c>
      <c r="B1564" s="31" t="s">
        <v>153</v>
      </c>
      <c r="C1564" s="32"/>
      <c r="D1564" s="32"/>
      <c r="E1564" s="19" t="n">
        <f aca="false">+F1564*0.03</f>
        <v>0</v>
      </c>
      <c r="F1564" s="33" t="n">
        <v>0</v>
      </c>
      <c r="G1564" s="62"/>
      <c r="H1564" s="35" t="n">
        <v>0</v>
      </c>
      <c r="I1564" s="34" t="n">
        <f aca="false">+IF(E1564=0,0,E1564*0.03)</f>
        <v>0</v>
      </c>
    </row>
    <row r="1565" customFormat="false" ht="15.75" hidden="false" customHeight="true" outlineLevel="0" collapsed="false">
      <c r="A1565" s="30" t="n">
        <v>45444</v>
      </c>
      <c r="B1565" s="31" t="s">
        <v>153</v>
      </c>
      <c r="C1565" s="32"/>
      <c r="D1565" s="32"/>
      <c r="E1565" s="19" t="n">
        <f aca="false">+F1565*0.03</f>
        <v>0</v>
      </c>
      <c r="F1565" s="33" t="n">
        <v>0</v>
      </c>
      <c r="G1565" s="62"/>
      <c r="H1565" s="35" t="n">
        <v>0</v>
      </c>
      <c r="I1565" s="34" t="n">
        <f aca="false">+IF(E1565=0,0,E1565*0.03)</f>
        <v>0</v>
      </c>
    </row>
    <row r="1566" customFormat="false" ht="15.75" hidden="false" customHeight="true" outlineLevel="0" collapsed="false">
      <c r="A1566" s="30" t="n">
        <v>45444</v>
      </c>
      <c r="B1566" s="31" t="s">
        <v>153</v>
      </c>
      <c r="C1566" s="32"/>
      <c r="D1566" s="32"/>
      <c r="E1566" s="19" t="n">
        <f aca="false">+F1566*0.03</f>
        <v>0</v>
      </c>
      <c r="F1566" s="33" t="n">
        <v>0</v>
      </c>
      <c r="G1566" s="62"/>
      <c r="H1566" s="35" t="n">
        <v>0</v>
      </c>
      <c r="I1566" s="34" t="n">
        <f aca="false">+IF(E1566=0,0,E1566*0.03)</f>
        <v>0</v>
      </c>
    </row>
    <row r="1567" customFormat="false" ht="15.75" hidden="false" customHeight="true" outlineLevel="0" collapsed="false">
      <c r="A1567" s="30" t="n">
        <v>45444</v>
      </c>
      <c r="B1567" s="31" t="s">
        <v>153</v>
      </c>
      <c r="C1567" s="32"/>
      <c r="D1567" s="32"/>
      <c r="E1567" s="19" t="n">
        <f aca="false">+F1567*0.03</f>
        <v>0</v>
      </c>
      <c r="F1567" s="33" t="n">
        <v>0</v>
      </c>
      <c r="G1567" s="62"/>
      <c r="H1567" s="35" t="n">
        <v>0</v>
      </c>
      <c r="I1567" s="34" t="n">
        <f aca="false">+IF(E1567=0,0,E1567*0.03)</f>
        <v>0</v>
      </c>
    </row>
    <row r="1568" customFormat="false" ht="15.75" hidden="false" customHeight="true" outlineLevel="0" collapsed="false">
      <c r="A1568" s="30" t="n">
        <v>45444</v>
      </c>
      <c r="B1568" s="31" t="s">
        <v>153</v>
      </c>
      <c r="C1568" s="32"/>
      <c r="D1568" s="32"/>
      <c r="E1568" s="19" t="n">
        <f aca="false">+F1568*0.03</f>
        <v>0</v>
      </c>
      <c r="F1568" s="33" t="n">
        <v>0</v>
      </c>
      <c r="G1568" s="62"/>
      <c r="H1568" s="35" t="n">
        <v>0</v>
      </c>
      <c r="I1568" s="34" t="n">
        <f aca="false">+IF(E1568=0,0,E1568*0.03)</f>
        <v>0</v>
      </c>
    </row>
    <row r="1569" customFormat="false" ht="15.75" hidden="false" customHeight="true" outlineLevel="0" collapsed="false">
      <c r="A1569" s="30" t="n">
        <v>45444</v>
      </c>
      <c r="B1569" s="31" t="s">
        <v>153</v>
      </c>
      <c r="C1569" s="32"/>
      <c r="D1569" s="32"/>
      <c r="E1569" s="19" t="n">
        <f aca="false">+F1569*0.03</f>
        <v>0</v>
      </c>
      <c r="F1569" s="33" t="n">
        <v>0</v>
      </c>
      <c r="G1569" s="62"/>
      <c r="H1569" s="35" t="n">
        <v>0</v>
      </c>
      <c r="I1569" s="34" t="n">
        <f aca="false">+IF(E1569=0,0,E1569*0.03)</f>
        <v>0</v>
      </c>
    </row>
    <row r="1570" customFormat="false" ht="15.75" hidden="false" customHeight="true" outlineLevel="0" collapsed="false">
      <c r="A1570" s="30" t="n">
        <v>45444</v>
      </c>
      <c r="B1570" s="31" t="s">
        <v>153</v>
      </c>
      <c r="C1570" s="32"/>
      <c r="D1570" s="32"/>
      <c r="E1570" s="19" t="n">
        <f aca="false">+F1570*0.03</f>
        <v>0</v>
      </c>
      <c r="F1570" s="33" t="n">
        <v>0</v>
      </c>
      <c r="G1570" s="62"/>
      <c r="H1570" s="35" t="n">
        <v>0</v>
      </c>
      <c r="I1570" s="34" t="n">
        <f aca="false">+IF(E1570=0,0,E1570*0.03)</f>
        <v>0</v>
      </c>
    </row>
    <row r="1571" customFormat="false" ht="15.75" hidden="false" customHeight="true" outlineLevel="0" collapsed="false">
      <c r="A1571" s="30" t="n">
        <v>45444</v>
      </c>
      <c r="B1571" s="31" t="s">
        <v>153</v>
      </c>
      <c r="C1571" s="32"/>
      <c r="D1571" s="32"/>
      <c r="E1571" s="19" t="n">
        <f aca="false">+F1571*0.03</f>
        <v>0</v>
      </c>
      <c r="F1571" s="33" t="n">
        <v>0</v>
      </c>
      <c r="G1571" s="62"/>
      <c r="H1571" s="35" t="n">
        <v>0</v>
      </c>
      <c r="I1571" s="34" t="n">
        <f aca="false">+IF(E1571=0,0,E1571*0.03)</f>
        <v>0</v>
      </c>
    </row>
    <row r="1572" customFormat="false" ht="15.75" hidden="false" customHeight="true" outlineLevel="0" collapsed="false">
      <c r="A1572" s="30" t="n">
        <v>45444</v>
      </c>
      <c r="B1572" s="31" t="s">
        <v>153</v>
      </c>
      <c r="C1572" s="32"/>
      <c r="D1572" s="32"/>
      <c r="E1572" s="19" t="n">
        <f aca="false">+F1572*0.03</f>
        <v>0</v>
      </c>
      <c r="F1572" s="33" t="n">
        <v>0</v>
      </c>
      <c r="G1572" s="62"/>
      <c r="H1572" s="35" t="n">
        <v>0</v>
      </c>
      <c r="I1572" s="34" t="n">
        <f aca="false">+IF(E1572=0,0,E1572*0.03)</f>
        <v>0</v>
      </c>
    </row>
    <row r="1573" customFormat="false" ht="15.75" hidden="false" customHeight="true" outlineLevel="0" collapsed="false">
      <c r="A1573" s="30" t="n">
        <v>45444</v>
      </c>
      <c r="B1573" s="31" t="s">
        <v>153</v>
      </c>
      <c r="C1573" s="32"/>
      <c r="D1573" s="32"/>
      <c r="E1573" s="19" t="n">
        <f aca="false">+F1573*0.03</f>
        <v>0</v>
      </c>
      <c r="F1573" s="33" t="n">
        <v>0</v>
      </c>
      <c r="G1573" s="62"/>
      <c r="H1573" s="35" t="n">
        <v>0</v>
      </c>
      <c r="I1573" s="34" t="n">
        <f aca="false">+IF(E1573=0,0,E1573*0.03)</f>
        <v>0</v>
      </c>
    </row>
    <row r="1574" customFormat="false" ht="15.75" hidden="false" customHeight="true" outlineLevel="0" collapsed="false">
      <c r="A1574" s="30" t="n">
        <v>45444</v>
      </c>
      <c r="B1574" s="31" t="s">
        <v>153</v>
      </c>
      <c r="C1574" s="32"/>
      <c r="D1574" s="32"/>
      <c r="E1574" s="19" t="n">
        <f aca="false">+F1574*0.03</f>
        <v>0</v>
      </c>
      <c r="F1574" s="33" t="n">
        <v>0</v>
      </c>
      <c r="G1574" s="62"/>
      <c r="H1574" s="35" t="n">
        <v>0</v>
      </c>
      <c r="I1574" s="34" t="n">
        <f aca="false">+IF(E1574=0,0,E1574*0.03)</f>
        <v>0</v>
      </c>
    </row>
    <row r="1575" customFormat="false" ht="15.75" hidden="false" customHeight="true" outlineLevel="0" collapsed="false">
      <c r="A1575" s="30" t="n">
        <v>45444</v>
      </c>
      <c r="B1575" s="31" t="s">
        <v>153</v>
      </c>
      <c r="C1575" s="32"/>
      <c r="D1575" s="32"/>
      <c r="E1575" s="19" t="n">
        <f aca="false">+F1575*0.03</f>
        <v>0</v>
      </c>
      <c r="F1575" s="33" t="n">
        <v>0</v>
      </c>
      <c r="G1575" s="62"/>
      <c r="H1575" s="35" t="n">
        <v>0</v>
      </c>
      <c r="I1575" s="34" t="n">
        <f aca="false">+IF(E1575=0,0,E1575*0.03)</f>
        <v>0</v>
      </c>
    </row>
    <row r="1576" customFormat="false" ht="15.75" hidden="false" customHeight="true" outlineLevel="0" collapsed="false">
      <c r="A1576" s="30" t="n">
        <v>45444</v>
      </c>
      <c r="B1576" s="31" t="s">
        <v>153</v>
      </c>
      <c r="C1576" s="32"/>
      <c r="D1576" s="32"/>
      <c r="E1576" s="19" t="n">
        <f aca="false">+F1576*0.03</f>
        <v>0</v>
      </c>
      <c r="F1576" s="33" t="n">
        <v>0</v>
      </c>
      <c r="G1576" s="62"/>
      <c r="H1576" s="35" t="n">
        <v>0</v>
      </c>
      <c r="I1576" s="34" t="n">
        <f aca="false">+IF(E1576=0,0,E1576*0.03)</f>
        <v>0</v>
      </c>
    </row>
    <row r="1577" customFormat="false" ht="15.75" hidden="false" customHeight="true" outlineLevel="0" collapsed="false">
      <c r="A1577" s="30" t="n">
        <v>45444</v>
      </c>
      <c r="B1577" s="31" t="s">
        <v>153</v>
      </c>
      <c r="C1577" s="32"/>
      <c r="D1577" s="32"/>
      <c r="E1577" s="19" t="n">
        <f aca="false">+F1577*0.03</f>
        <v>0</v>
      </c>
      <c r="F1577" s="33" t="n">
        <v>0</v>
      </c>
      <c r="G1577" s="62"/>
      <c r="H1577" s="35" t="n">
        <v>0</v>
      </c>
      <c r="I1577" s="34" t="n">
        <f aca="false">+IF(E1577=0,0,E1577*0.03)</f>
        <v>0</v>
      </c>
    </row>
    <row r="1578" customFormat="false" ht="15.75" hidden="false" customHeight="true" outlineLevel="0" collapsed="false">
      <c r="A1578" s="30" t="n">
        <v>45444</v>
      </c>
      <c r="B1578" s="31" t="s">
        <v>153</v>
      </c>
      <c r="C1578" s="32"/>
      <c r="D1578" s="32"/>
      <c r="E1578" s="19" t="n">
        <f aca="false">+F1578*0.03</f>
        <v>0</v>
      </c>
      <c r="F1578" s="33" t="n">
        <v>0</v>
      </c>
      <c r="G1578" s="62"/>
      <c r="H1578" s="35" t="n">
        <v>0</v>
      </c>
      <c r="I1578" s="34" t="n">
        <f aca="false">+IF(E1578=0,0,E1578*0.03)</f>
        <v>0</v>
      </c>
    </row>
    <row r="1579" customFormat="false" ht="15.75" hidden="false" customHeight="true" outlineLevel="0" collapsed="false">
      <c r="A1579" s="30" t="n">
        <v>45444</v>
      </c>
      <c r="B1579" s="31" t="s">
        <v>153</v>
      </c>
      <c r="C1579" s="32"/>
      <c r="D1579" s="32"/>
      <c r="E1579" s="19" t="n">
        <f aca="false">+F1579*0.03</f>
        <v>0</v>
      </c>
      <c r="F1579" s="33" t="n">
        <v>0</v>
      </c>
      <c r="G1579" s="62"/>
      <c r="H1579" s="35" t="n">
        <v>0</v>
      </c>
      <c r="I1579" s="34" t="n">
        <f aca="false">+IF(E1579=0,0,E1579*0.03)</f>
        <v>0</v>
      </c>
    </row>
    <row r="1580" customFormat="false" ht="15.75" hidden="false" customHeight="true" outlineLevel="0" collapsed="false">
      <c r="A1580" s="30" t="n">
        <v>45444</v>
      </c>
      <c r="B1580" s="31" t="s">
        <v>153</v>
      </c>
      <c r="C1580" s="32"/>
      <c r="D1580" s="32"/>
      <c r="E1580" s="19" t="n">
        <f aca="false">+F1580*0.03</f>
        <v>0</v>
      </c>
      <c r="F1580" s="33" t="n">
        <v>0</v>
      </c>
      <c r="G1580" s="62"/>
      <c r="H1580" s="35" t="n">
        <v>0</v>
      </c>
      <c r="I1580" s="34" t="n">
        <f aca="false">+IF(E1580=0,0,E1580*0.03)</f>
        <v>0</v>
      </c>
    </row>
    <row r="1581" customFormat="false" ht="15.75" hidden="false" customHeight="true" outlineLevel="0" collapsed="false">
      <c r="A1581" s="30" t="n">
        <v>45444</v>
      </c>
      <c r="B1581" s="31" t="s">
        <v>153</v>
      </c>
      <c r="C1581" s="32"/>
      <c r="D1581" s="32"/>
      <c r="E1581" s="19" t="n">
        <f aca="false">+F1581*0.03</f>
        <v>0</v>
      </c>
      <c r="F1581" s="33" t="n">
        <v>0</v>
      </c>
      <c r="G1581" s="62"/>
      <c r="H1581" s="35" t="n">
        <v>0</v>
      </c>
      <c r="I1581" s="34" t="n">
        <f aca="false">+IF(E1581=0,0,E1581*0.03)</f>
        <v>0</v>
      </c>
    </row>
    <row r="1582" customFormat="false" ht="15.75" hidden="false" customHeight="true" outlineLevel="0" collapsed="false">
      <c r="A1582" s="30" t="n">
        <v>45444</v>
      </c>
      <c r="B1582" s="31" t="s">
        <v>153</v>
      </c>
      <c r="C1582" s="32"/>
      <c r="D1582" s="32"/>
      <c r="E1582" s="19" t="n">
        <f aca="false">+F1582*0.03</f>
        <v>0</v>
      </c>
      <c r="F1582" s="33" t="n">
        <v>0</v>
      </c>
      <c r="G1582" s="62"/>
      <c r="H1582" s="35" t="n">
        <v>0</v>
      </c>
      <c r="I1582" s="34" t="n">
        <f aca="false">+IF(E1582=0,0,E1582*0.03)</f>
        <v>0</v>
      </c>
    </row>
    <row r="1583" customFormat="false" ht="15.75" hidden="false" customHeight="true" outlineLevel="0" collapsed="false">
      <c r="A1583" s="30" t="n">
        <v>45444</v>
      </c>
      <c r="B1583" s="31" t="s">
        <v>153</v>
      </c>
      <c r="C1583" s="32"/>
      <c r="D1583" s="32"/>
      <c r="E1583" s="19" t="n">
        <f aca="false">+F1583*0.03</f>
        <v>0</v>
      </c>
      <c r="F1583" s="33" t="n">
        <v>0</v>
      </c>
      <c r="G1583" s="62"/>
      <c r="H1583" s="35" t="n">
        <v>0</v>
      </c>
      <c r="I1583" s="34" t="n">
        <f aca="false">+IF(E1583=0,0,E1583*0.03)</f>
        <v>0</v>
      </c>
    </row>
    <row r="1584" customFormat="false" ht="15.75" hidden="false" customHeight="true" outlineLevel="0" collapsed="false">
      <c r="A1584" s="30" t="n">
        <v>45444</v>
      </c>
      <c r="B1584" s="31" t="s">
        <v>153</v>
      </c>
      <c r="C1584" s="32"/>
      <c r="D1584" s="32"/>
      <c r="E1584" s="19" t="n">
        <f aca="false">+F1584*0.03</f>
        <v>0</v>
      </c>
      <c r="F1584" s="33" t="n">
        <v>0</v>
      </c>
      <c r="G1584" s="62"/>
      <c r="H1584" s="35" t="n">
        <v>0</v>
      </c>
      <c r="I1584" s="34" t="n">
        <f aca="false">+IF(E1584=0,0,E1584*0.03)</f>
        <v>0</v>
      </c>
    </row>
    <row r="1585" customFormat="false" ht="15.75" hidden="false" customHeight="true" outlineLevel="0" collapsed="false">
      <c r="A1585" s="30" t="n">
        <v>45444</v>
      </c>
      <c r="B1585" s="31" t="s">
        <v>153</v>
      </c>
      <c r="C1585" s="32"/>
      <c r="D1585" s="32"/>
      <c r="E1585" s="19" t="n">
        <f aca="false">+F1585*0.03</f>
        <v>0</v>
      </c>
      <c r="F1585" s="33" t="n">
        <v>0</v>
      </c>
      <c r="G1585" s="62"/>
      <c r="H1585" s="35" t="n">
        <v>0</v>
      </c>
      <c r="I1585" s="34" t="n">
        <f aca="false">+IF(E1585=0,0,E1585*0.03)</f>
        <v>0</v>
      </c>
    </row>
    <row r="1586" customFormat="false" ht="15.75" hidden="false" customHeight="true" outlineLevel="0" collapsed="false">
      <c r="A1586" s="30" t="n">
        <v>45444</v>
      </c>
      <c r="B1586" s="31" t="s">
        <v>153</v>
      </c>
      <c r="C1586" s="32"/>
      <c r="D1586" s="32"/>
      <c r="E1586" s="19" t="n">
        <f aca="false">+F1586*0.03</f>
        <v>0</v>
      </c>
      <c r="F1586" s="33" t="n">
        <v>0</v>
      </c>
      <c r="G1586" s="62"/>
      <c r="H1586" s="35" t="n">
        <v>0</v>
      </c>
      <c r="I1586" s="34" t="n">
        <f aca="false">+IF(E1586=0,0,E1586*0.03)</f>
        <v>0</v>
      </c>
    </row>
    <row r="1587" customFormat="false" ht="15.75" hidden="false" customHeight="true" outlineLevel="0" collapsed="false">
      <c r="A1587" s="30" t="n">
        <v>45444</v>
      </c>
      <c r="B1587" s="31" t="s">
        <v>153</v>
      </c>
      <c r="C1587" s="32"/>
      <c r="D1587" s="32"/>
      <c r="E1587" s="19" t="n">
        <f aca="false">+F1587*0.03</f>
        <v>0</v>
      </c>
      <c r="F1587" s="33" t="n">
        <v>0</v>
      </c>
      <c r="G1587" s="62"/>
      <c r="H1587" s="35" t="n">
        <v>0</v>
      </c>
      <c r="I1587" s="34" t="n">
        <f aca="false">+IF(E1587=0,0,E1587*0.03)</f>
        <v>0</v>
      </c>
    </row>
    <row r="1588" customFormat="false" ht="15.75" hidden="false" customHeight="true" outlineLevel="0" collapsed="false">
      <c r="A1588" s="30" t="n">
        <v>45444</v>
      </c>
      <c r="B1588" s="31" t="s">
        <v>153</v>
      </c>
      <c r="C1588" s="32"/>
      <c r="D1588" s="32"/>
      <c r="E1588" s="19" t="n">
        <f aca="false">+F1588*0.03</f>
        <v>0</v>
      </c>
      <c r="F1588" s="33" t="n">
        <v>0</v>
      </c>
      <c r="G1588" s="62"/>
      <c r="H1588" s="35" t="n">
        <v>0</v>
      </c>
      <c r="I1588" s="34" t="n">
        <f aca="false">+IF(E1588=0,0,E1588*0.03)</f>
        <v>0</v>
      </c>
    </row>
    <row r="1589" customFormat="false" ht="15.75" hidden="false" customHeight="true" outlineLevel="0" collapsed="false">
      <c r="A1589" s="30" t="n">
        <v>45444</v>
      </c>
      <c r="B1589" s="31" t="s">
        <v>153</v>
      </c>
      <c r="C1589" s="32"/>
      <c r="D1589" s="32"/>
      <c r="E1589" s="19" t="n">
        <f aca="false">+F1589*0.03</f>
        <v>0</v>
      </c>
      <c r="F1589" s="33" t="n">
        <v>0</v>
      </c>
      <c r="G1589" s="62"/>
      <c r="H1589" s="35" t="n">
        <v>0</v>
      </c>
      <c r="I1589" s="34" t="n">
        <f aca="false">+IF(E1589=0,0,E1589*0.03)</f>
        <v>0</v>
      </c>
    </row>
    <row r="1590" customFormat="false" ht="15.75" hidden="false" customHeight="true" outlineLevel="0" collapsed="false">
      <c r="A1590" s="30" t="n">
        <v>45444</v>
      </c>
      <c r="B1590" s="31" t="s">
        <v>153</v>
      </c>
      <c r="C1590" s="32"/>
      <c r="D1590" s="32"/>
      <c r="E1590" s="19" t="n">
        <f aca="false">+F1590*0.03</f>
        <v>0</v>
      </c>
      <c r="F1590" s="33" t="n">
        <v>0</v>
      </c>
      <c r="G1590" s="62"/>
      <c r="H1590" s="35" t="n">
        <v>0</v>
      </c>
      <c r="I1590" s="34" t="n">
        <f aca="false">+IF(E1590=0,0,E1590*0.03)</f>
        <v>0</v>
      </c>
    </row>
    <row r="1591" customFormat="false" ht="15.75" hidden="false" customHeight="true" outlineLevel="0" collapsed="false">
      <c r="A1591" s="30" t="n">
        <v>45444</v>
      </c>
      <c r="B1591" s="31" t="s">
        <v>153</v>
      </c>
      <c r="C1591" s="32"/>
      <c r="D1591" s="32"/>
      <c r="E1591" s="19" t="n">
        <f aca="false">+F1591*0.03</f>
        <v>0</v>
      </c>
      <c r="F1591" s="33" t="n">
        <v>0</v>
      </c>
      <c r="G1591" s="62"/>
      <c r="H1591" s="35" t="n">
        <v>0</v>
      </c>
      <c r="I1591" s="34" t="n">
        <f aca="false">+IF(E1591=0,0,E1591*0.03)</f>
        <v>0</v>
      </c>
    </row>
    <row r="1592" customFormat="false" ht="15.75" hidden="false" customHeight="true" outlineLevel="0" collapsed="false">
      <c r="A1592" s="30" t="n">
        <v>45444</v>
      </c>
      <c r="B1592" s="31" t="s">
        <v>153</v>
      </c>
      <c r="C1592" s="32"/>
      <c r="D1592" s="32"/>
      <c r="E1592" s="19" t="n">
        <f aca="false">+F1592*0.03</f>
        <v>0</v>
      </c>
      <c r="F1592" s="33" t="n">
        <v>0</v>
      </c>
      <c r="G1592" s="62"/>
      <c r="H1592" s="35" t="n">
        <v>0</v>
      </c>
      <c r="I1592" s="34" t="n">
        <f aca="false">+IF(E1592=0,0,E1592*0.03)</f>
        <v>0</v>
      </c>
    </row>
    <row r="1593" customFormat="false" ht="15.75" hidden="false" customHeight="true" outlineLevel="0" collapsed="false">
      <c r="A1593" s="30" t="n">
        <v>45444</v>
      </c>
      <c r="B1593" s="31" t="s">
        <v>153</v>
      </c>
      <c r="C1593" s="32"/>
      <c r="D1593" s="32"/>
      <c r="E1593" s="19" t="n">
        <f aca="false">+F1593*0.03</f>
        <v>0</v>
      </c>
      <c r="F1593" s="33" t="n">
        <v>0</v>
      </c>
      <c r="G1593" s="62"/>
      <c r="H1593" s="35" t="n">
        <v>0</v>
      </c>
      <c r="I1593" s="34" t="n">
        <f aca="false">+IF(E1593=0,0,E1593*0.03)</f>
        <v>0</v>
      </c>
    </row>
    <row r="1594" customFormat="false" ht="15.75" hidden="false" customHeight="true" outlineLevel="0" collapsed="false">
      <c r="A1594" s="30" t="n">
        <v>45444</v>
      </c>
      <c r="B1594" s="31" t="s">
        <v>153</v>
      </c>
      <c r="C1594" s="32"/>
      <c r="D1594" s="32"/>
      <c r="E1594" s="19" t="n">
        <f aca="false">+F1594*0.03</f>
        <v>0</v>
      </c>
      <c r="F1594" s="33" t="n">
        <v>0</v>
      </c>
      <c r="G1594" s="62"/>
      <c r="H1594" s="35" t="n">
        <v>0</v>
      </c>
      <c r="I1594" s="34" t="n">
        <f aca="false">+IF(E1594=0,0,E1594*0.03)</f>
        <v>0</v>
      </c>
    </row>
    <row r="1595" customFormat="false" ht="15.75" hidden="false" customHeight="true" outlineLevel="0" collapsed="false">
      <c r="A1595" s="30" t="n">
        <v>45444</v>
      </c>
      <c r="B1595" s="31" t="s">
        <v>153</v>
      </c>
      <c r="C1595" s="32"/>
      <c r="D1595" s="32"/>
      <c r="E1595" s="19" t="n">
        <f aca="false">+F1595*0.03</f>
        <v>0</v>
      </c>
      <c r="F1595" s="33" t="n">
        <v>0</v>
      </c>
      <c r="G1595" s="62"/>
      <c r="H1595" s="35" t="n">
        <v>0</v>
      </c>
      <c r="I1595" s="34" t="n">
        <f aca="false">+IF(E1595=0,0,E1595*0.03)</f>
        <v>0</v>
      </c>
    </row>
    <row r="1596" customFormat="false" ht="15.75" hidden="false" customHeight="true" outlineLevel="0" collapsed="false">
      <c r="A1596" s="30" t="n">
        <v>45444</v>
      </c>
      <c r="B1596" s="31" t="s">
        <v>153</v>
      </c>
      <c r="C1596" s="32"/>
      <c r="D1596" s="32"/>
      <c r="E1596" s="19" t="n">
        <f aca="false">+F1596*0.03</f>
        <v>0</v>
      </c>
      <c r="F1596" s="33" t="n">
        <v>0</v>
      </c>
      <c r="G1596" s="62"/>
      <c r="H1596" s="35" t="n">
        <v>0</v>
      </c>
      <c r="I1596" s="34" t="n">
        <f aca="false">+IF(E1596=0,0,E1596*0.03)</f>
        <v>0</v>
      </c>
    </row>
    <row r="1597" customFormat="false" ht="15.75" hidden="false" customHeight="true" outlineLevel="0" collapsed="false">
      <c r="A1597" s="30" t="n">
        <v>45444</v>
      </c>
      <c r="B1597" s="31" t="s">
        <v>153</v>
      </c>
      <c r="C1597" s="32"/>
      <c r="D1597" s="32"/>
      <c r="E1597" s="19" t="n">
        <f aca="false">+F1597*0.03</f>
        <v>0</v>
      </c>
      <c r="F1597" s="33" t="n">
        <v>0</v>
      </c>
      <c r="G1597" s="62"/>
      <c r="H1597" s="35" t="n">
        <v>0</v>
      </c>
      <c r="I1597" s="34" t="n">
        <f aca="false">+IF(E1597=0,0,E1597*0.03)</f>
        <v>0</v>
      </c>
    </row>
    <row r="1598" customFormat="false" ht="15.75" hidden="false" customHeight="true" outlineLevel="0" collapsed="false">
      <c r="A1598" s="30" t="n">
        <v>45444</v>
      </c>
      <c r="B1598" s="31" t="s">
        <v>153</v>
      </c>
      <c r="C1598" s="32"/>
      <c r="D1598" s="32"/>
      <c r="E1598" s="19" t="n">
        <f aca="false">+F1598*0.03</f>
        <v>0</v>
      </c>
      <c r="F1598" s="33" t="n">
        <v>0</v>
      </c>
      <c r="G1598" s="62"/>
      <c r="H1598" s="35" t="n">
        <v>0</v>
      </c>
      <c r="I1598" s="34" t="n">
        <f aca="false">+IF(E1598=0,0,E1598*0.03)</f>
        <v>0</v>
      </c>
    </row>
    <row r="1599" customFormat="false" ht="15.75" hidden="false" customHeight="true" outlineLevel="0" collapsed="false">
      <c r="A1599" s="30" t="n">
        <v>45444</v>
      </c>
      <c r="B1599" s="31" t="s">
        <v>153</v>
      </c>
      <c r="C1599" s="32"/>
      <c r="D1599" s="32"/>
      <c r="E1599" s="19" t="n">
        <f aca="false">+F1599*0.03</f>
        <v>0</v>
      </c>
      <c r="F1599" s="33" t="n">
        <v>0</v>
      </c>
      <c r="G1599" s="62"/>
      <c r="H1599" s="35" t="n">
        <v>0</v>
      </c>
      <c r="I1599" s="34" t="n">
        <f aca="false">+IF(E1599=0,0,E1599*0.03)</f>
        <v>0</v>
      </c>
    </row>
    <row r="1600" customFormat="false" ht="15.75" hidden="false" customHeight="true" outlineLevel="0" collapsed="false">
      <c r="A1600" s="30" t="n">
        <v>45444</v>
      </c>
      <c r="B1600" s="31" t="s">
        <v>153</v>
      </c>
      <c r="C1600" s="32"/>
      <c r="D1600" s="32"/>
      <c r="E1600" s="19" t="n">
        <f aca="false">+F1600*0.03</f>
        <v>0</v>
      </c>
      <c r="F1600" s="33" t="n">
        <v>0</v>
      </c>
      <c r="G1600" s="62"/>
      <c r="H1600" s="35" t="n">
        <v>0</v>
      </c>
      <c r="I1600" s="34" t="n">
        <f aca="false">+IF(E1600=0,0,E1600*0.03)</f>
        <v>0</v>
      </c>
    </row>
    <row r="1601" customFormat="false" ht="15.75" hidden="false" customHeight="true" outlineLevel="0" collapsed="false">
      <c r="A1601" s="30" t="n">
        <v>45444</v>
      </c>
      <c r="B1601" s="31" t="s">
        <v>153</v>
      </c>
      <c r="C1601" s="32"/>
      <c r="D1601" s="32"/>
      <c r="E1601" s="19" t="n">
        <f aca="false">+F1601*0.03</f>
        <v>0</v>
      </c>
      <c r="F1601" s="33" t="n">
        <v>0</v>
      </c>
      <c r="G1601" s="62"/>
      <c r="H1601" s="35" t="n">
        <v>0</v>
      </c>
      <c r="I1601" s="34" t="n">
        <f aca="false">+IF(E1601=0,0,E1601*0.03)</f>
        <v>0</v>
      </c>
    </row>
    <row r="1602" customFormat="false" ht="15.75" hidden="false" customHeight="true" outlineLevel="0" collapsed="false">
      <c r="A1602" s="30" t="n">
        <v>45444</v>
      </c>
      <c r="B1602" s="31" t="s">
        <v>153</v>
      </c>
      <c r="C1602" s="32"/>
      <c r="D1602" s="32"/>
      <c r="E1602" s="19" t="n">
        <f aca="false">+F1602*0.03</f>
        <v>0</v>
      </c>
      <c r="F1602" s="33" t="n">
        <v>0</v>
      </c>
      <c r="G1602" s="62"/>
      <c r="H1602" s="35" t="n">
        <v>0</v>
      </c>
      <c r="I1602" s="34" t="n">
        <f aca="false">+IF(E1602=0,0,E1602*0.03)</f>
        <v>0</v>
      </c>
    </row>
    <row r="1603" customFormat="false" ht="15.75" hidden="false" customHeight="true" outlineLevel="0" collapsed="false">
      <c r="A1603" s="30" t="n">
        <v>45444</v>
      </c>
      <c r="B1603" s="31" t="s">
        <v>153</v>
      </c>
      <c r="C1603" s="32"/>
      <c r="D1603" s="32"/>
      <c r="E1603" s="19" t="n">
        <f aca="false">+F1603*0.03</f>
        <v>0</v>
      </c>
      <c r="F1603" s="33" t="n">
        <v>0</v>
      </c>
      <c r="G1603" s="62"/>
      <c r="H1603" s="35" t="n">
        <v>0</v>
      </c>
      <c r="I1603" s="34" t="n">
        <f aca="false">+IF(E1603=0,0,E1603*0.03)</f>
        <v>0</v>
      </c>
    </row>
    <row r="1604" customFormat="false" ht="15.75" hidden="false" customHeight="true" outlineLevel="0" collapsed="false">
      <c r="A1604" s="30" t="n">
        <v>45444</v>
      </c>
      <c r="B1604" s="31" t="s">
        <v>153</v>
      </c>
      <c r="C1604" s="32"/>
      <c r="D1604" s="32"/>
      <c r="E1604" s="19" t="n">
        <f aca="false">+F1604*0.03</f>
        <v>0</v>
      </c>
      <c r="F1604" s="33" t="n">
        <v>0</v>
      </c>
      <c r="G1604" s="62"/>
      <c r="H1604" s="35" t="n">
        <v>0</v>
      </c>
      <c r="I1604" s="34" t="n">
        <f aca="false">+IF(E1604=0,0,E1604*0.03)</f>
        <v>0</v>
      </c>
    </row>
    <row r="1605" customFormat="false" ht="15.75" hidden="false" customHeight="true" outlineLevel="0" collapsed="false">
      <c r="A1605" s="30" t="n">
        <v>45444</v>
      </c>
      <c r="B1605" s="31" t="s">
        <v>153</v>
      </c>
      <c r="C1605" s="32"/>
      <c r="D1605" s="32"/>
      <c r="E1605" s="19" t="n">
        <f aca="false">+F1605*0.03</f>
        <v>0</v>
      </c>
      <c r="F1605" s="33" t="n">
        <v>0</v>
      </c>
      <c r="G1605" s="62"/>
      <c r="H1605" s="35" t="n">
        <v>0</v>
      </c>
      <c r="I1605" s="34" t="n">
        <f aca="false">+IF(E1605=0,0,E1605*0.03)</f>
        <v>0</v>
      </c>
    </row>
    <row r="1606" customFormat="false" ht="15.75" hidden="false" customHeight="true" outlineLevel="0" collapsed="false">
      <c r="A1606" s="30" t="n">
        <v>45444</v>
      </c>
      <c r="B1606" s="31" t="s">
        <v>153</v>
      </c>
      <c r="C1606" s="32"/>
      <c r="D1606" s="32"/>
      <c r="E1606" s="19" t="n">
        <f aca="false">+F1606*0.03</f>
        <v>0</v>
      </c>
      <c r="F1606" s="33" t="n">
        <v>0</v>
      </c>
      <c r="G1606" s="62"/>
      <c r="H1606" s="35" t="n">
        <v>0</v>
      </c>
      <c r="I1606" s="34" t="n">
        <f aca="false">+IF(E1606=0,0,E1606*0.03)</f>
        <v>0</v>
      </c>
    </row>
    <row r="1607" customFormat="false" ht="15.75" hidden="false" customHeight="true" outlineLevel="0" collapsed="false">
      <c r="A1607" s="30" t="n">
        <v>45444</v>
      </c>
      <c r="B1607" s="31" t="s">
        <v>153</v>
      </c>
      <c r="C1607" s="32"/>
      <c r="D1607" s="32"/>
      <c r="E1607" s="19" t="n">
        <f aca="false">+F1607*0.03</f>
        <v>0</v>
      </c>
      <c r="F1607" s="33" t="n">
        <v>0</v>
      </c>
      <c r="G1607" s="62"/>
      <c r="H1607" s="35" t="n">
        <v>0</v>
      </c>
      <c r="I1607" s="34" t="n">
        <f aca="false">+IF(E1607=0,0,E1607*0.03)</f>
        <v>0</v>
      </c>
    </row>
    <row r="1608" customFormat="false" ht="15.75" hidden="false" customHeight="true" outlineLevel="0" collapsed="false">
      <c r="A1608" s="30" t="n">
        <v>45444</v>
      </c>
      <c r="B1608" s="31" t="s">
        <v>153</v>
      </c>
      <c r="C1608" s="32"/>
      <c r="D1608" s="32"/>
      <c r="E1608" s="19" t="n">
        <f aca="false">+F1608*0.03</f>
        <v>0</v>
      </c>
      <c r="F1608" s="33" t="n">
        <v>0</v>
      </c>
      <c r="G1608" s="62"/>
      <c r="H1608" s="35" t="n">
        <v>0</v>
      </c>
      <c r="I1608" s="34" t="n">
        <f aca="false">+IF(E1608=0,0,E1608*0.03)</f>
        <v>0</v>
      </c>
    </row>
    <row r="1609" customFormat="false" ht="15.75" hidden="false" customHeight="true" outlineLevel="0" collapsed="false">
      <c r="A1609" s="30" t="n">
        <v>45444</v>
      </c>
      <c r="B1609" s="31" t="s">
        <v>153</v>
      </c>
      <c r="C1609" s="32"/>
      <c r="D1609" s="32"/>
      <c r="E1609" s="19" t="n">
        <f aca="false">+F1609*0.03</f>
        <v>0</v>
      </c>
      <c r="F1609" s="33" t="n">
        <v>0</v>
      </c>
      <c r="G1609" s="62"/>
      <c r="H1609" s="35" t="n">
        <v>0</v>
      </c>
      <c r="I1609" s="34" t="n">
        <f aca="false">+IF(E1609=0,0,E1609*0.03)</f>
        <v>0</v>
      </c>
    </row>
    <row r="1610" customFormat="false" ht="15.75" hidden="false" customHeight="true" outlineLevel="0" collapsed="false">
      <c r="A1610" s="30" t="n">
        <v>45444</v>
      </c>
      <c r="B1610" s="31" t="s">
        <v>153</v>
      </c>
      <c r="C1610" s="32"/>
      <c r="D1610" s="32"/>
      <c r="E1610" s="19" t="n">
        <f aca="false">+F1610*0.03</f>
        <v>0</v>
      </c>
      <c r="F1610" s="33" t="n">
        <v>0</v>
      </c>
      <c r="G1610" s="62"/>
      <c r="H1610" s="35" t="n">
        <v>0</v>
      </c>
      <c r="I1610" s="34" t="n">
        <f aca="false">+IF(E1610=0,0,E1610*0.03)</f>
        <v>0</v>
      </c>
    </row>
    <row r="1611" customFormat="false" ht="15.75" hidden="false" customHeight="true" outlineLevel="0" collapsed="false">
      <c r="A1611" s="30" t="n">
        <v>45444</v>
      </c>
      <c r="B1611" s="31" t="s">
        <v>153</v>
      </c>
      <c r="C1611" s="32"/>
      <c r="D1611" s="32"/>
      <c r="E1611" s="19" t="n">
        <f aca="false">+F1611*0.03</f>
        <v>0</v>
      </c>
      <c r="F1611" s="33" t="n">
        <v>0</v>
      </c>
      <c r="G1611" s="62"/>
      <c r="H1611" s="35" t="n">
        <v>0</v>
      </c>
      <c r="I1611" s="34" t="n">
        <f aca="false">+IF(E1611=0,0,E1611*0.03)</f>
        <v>0</v>
      </c>
    </row>
    <row r="1612" customFormat="false" ht="15.75" hidden="false" customHeight="true" outlineLevel="0" collapsed="false">
      <c r="A1612" s="30" t="n">
        <v>45444</v>
      </c>
      <c r="B1612" s="31" t="s">
        <v>153</v>
      </c>
      <c r="C1612" s="32"/>
      <c r="D1612" s="32"/>
      <c r="E1612" s="19" t="n">
        <f aca="false">+F1612*0.03</f>
        <v>0</v>
      </c>
      <c r="F1612" s="33" t="n">
        <v>0</v>
      </c>
      <c r="G1612" s="62"/>
      <c r="H1612" s="35" t="n">
        <v>0</v>
      </c>
      <c r="I1612" s="34" t="n">
        <f aca="false">+IF(E1612=0,0,E1612*0.03)</f>
        <v>0</v>
      </c>
    </row>
    <row r="1613" customFormat="false" ht="15.75" hidden="false" customHeight="true" outlineLevel="0" collapsed="false">
      <c r="A1613" s="30" t="n">
        <v>45444</v>
      </c>
      <c r="B1613" s="31" t="s">
        <v>153</v>
      </c>
      <c r="C1613" s="32"/>
      <c r="D1613" s="32"/>
      <c r="E1613" s="19" t="n">
        <f aca="false">+F1613*0.03</f>
        <v>0</v>
      </c>
      <c r="F1613" s="33" t="n">
        <v>0</v>
      </c>
      <c r="G1613" s="62"/>
      <c r="H1613" s="35" t="n">
        <v>0</v>
      </c>
      <c r="I1613" s="34" t="n">
        <f aca="false">+IF(E1613=0,0,E1613*0.03)</f>
        <v>0</v>
      </c>
    </row>
    <row r="1614" customFormat="false" ht="15.75" hidden="false" customHeight="true" outlineLevel="0" collapsed="false">
      <c r="A1614" s="30" t="n">
        <v>45444</v>
      </c>
      <c r="B1614" s="31" t="s">
        <v>153</v>
      </c>
      <c r="C1614" s="32"/>
      <c r="D1614" s="32"/>
      <c r="E1614" s="19" t="n">
        <f aca="false">+F1614*0.03</f>
        <v>0</v>
      </c>
      <c r="F1614" s="33" t="n">
        <v>0</v>
      </c>
      <c r="G1614" s="62"/>
      <c r="H1614" s="35" t="n">
        <v>0</v>
      </c>
      <c r="I1614" s="34" t="n">
        <f aca="false">+IF(E1614=0,0,E1614*0.03)</f>
        <v>0</v>
      </c>
    </row>
    <row r="1615" customFormat="false" ht="15.75" hidden="false" customHeight="true" outlineLevel="0" collapsed="false">
      <c r="A1615" s="30" t="n">
        <v>45444</v>
      </c>
      <c r="B1615" s="31" t="s">
        <v>153</v>
      </c>
      <c r="C1615" s="32"/>
      <c r="D1615" s="32"/>
      <c r="E1615" s="19" t="n">
        <f aca="false">+F1615*0.03</f>
        <v>0</v>
      </c>
      <c r="F1615" s="33" t="n">
        <v>0</v>
      </c>
      <c r="G1615" s="62"/>
      <c r="H1615" s="35" t="n">
        <v>0</v>
      </c>
      <c r="I1615" s="34" t="n">
        <f aca="false">+IF(E1615=0,0,E1615*0.03)</f>
        <v>0</v>
      </c>
    </row>
    <row r="1616" customFormat="false" ht="15.75" hidden="false" customHeight="true" outlineLevel="0" collapsed="false">
      <c r="A1616" s="30" t="n">
        <v>45444</v>
      </c>
      <c r="B1616" s="31" t="s">
        <v>153</v>
      </c>
      <c r="C1616" s="32"/>
      <c r="D1616" s="32"/>
      <c r="E1616" s="19" t="n">
        <f aca="false">+F1616*0.03</f>
        <v>0</v>
      </c>
      <c r="F1616" s="33" t="n">
        <v>0</v>
      </c>
      <c r="G1616" s="62"/>
      <c r="H1616" s="35" t="n">
        <v>0</v>
      </c>
      <c r="I1616" s="34" t="n">
        <f aca="false">+IF(E1616=0,0,E1616*0.03)</f>
        <v>0</v>
      </c>
    </row>
    <row r="1617" customFormat="false" ht="15.75" hidden="false" customHeight="true" outlineLevel="0" collapsed="false">
      <c r="A1617" s="30" t="n">
        <v>45444</v>
      </c>
      <c r="B1617" s="31" t="s">
        <v>153</v>
      </c>
      <c r="C1617" s="32"/>
      <c r="D1617" s="32"/>
      <c r="E1617" s="19" t="n">
        <f aca="false">+F1617*0.03</f>
        <v>0</v>
      </c>
      <c r="F1617" s="33" t="n">
        <v>0</v>
      </c>
      <c r="G1617" s="62"/>
      <c r="H1617" s="35" t="n">
        <v>0</v>
      </c>
      <c r="I1617" s="34" t="n">
        <f aca="false">+IF(E1617=0,0,E1617*0.03)</f>
        <v>0</v>
      </c>
    </row>
    <row r="1618" customFormat="false" ht="15.75" hidden="false" customHeight="true" outlineLevel="0" collapsed="false">
      <c r="A1618" s="30" t="n">
        <v>45444</v>
      </c>
      <c r="B1618" s="31" t="s">
        <v>153</v>
      </c>
      <c r="C1618" s="32"/>
      <c r="D1618" s="32"/>
      <c r="E1618" s="19" t="n">
        <f aca="false">+F1618*0.03</f>
        <v>0</v>
      </c>
      <c r="F1618" s="33" t="n">
        <v>0</v>
      </c>
      <c r="G1618" s="62"/>
      <c r="H1618" s="35" t="n">
        <v>0</v>
      </c>
      <c r="I1618" s="34" t="n">
        <f aca="false">+IF(E1618=0,0,E1618*0.03)</f>
        <v>0</v>
      </c>
    </row>
    <row r="1619" customFormat="false" ht="15.75" hidden="false" customHeight="true" outlineLevel="0" collapsed="false">
      <c r="A1619" s="30" t="n">
        <v>45444</v>
      </c>
      <c r="B1619" s="31" t="s">
        <v>153</v>
      </c>
      <c r="C1619" s="32"/>
      <c r="D1619" s="32"/>
      <c r="E1619" s="19" t="n">
        <f aca="false">+F1619*0.03</f>
        <v>0</v>
      </c>
      <c r="F1619" s="33" t="n">
        <v>0</v>
      </c>
      <c r="G1619" s="62"/>
      <c r="H1619" s="35" t="n">
        <v>0</v>
      </c>
      <c r="I1619" s="34" t="n">
        <f aca="false">+IF(E1619=0,0,E1619*0.03)</f>
        <v>0</v>
      </c>
    </row>
    <row r="1620" customFormat="false" ht="15.75" hidden="false" customHeight="true" outlineLevel="0" collapsed="false">
      <c r="A1620" s="30" t="n">
        <v>45444</v>
      </c>
      <c r="B1620" s="31" t="s">
        <v>153</v>
      </c>
      <c r="C1620" s="32"/>
      <c r="D1620" s="32"/>
      <c r="E1620" s="19" t="n">
        <f aca="false">+F1620*0.03</f>
        <v>0</v>
      </c>
      <c r="F1620" s="33" t="n">
        <v>0</v>
      </c>
      <c r="G1620" s="62"/>
      <c r="H1620" s="35" t="n">
        <v>0</v>
      </c>
      <c r="I1620" s="34" t="n">
        <f aca="false">+IF(E1620=0,0,E1620*0.03)</f>
        <v>0</v>
      </c>
    </row>
    <row r="1621" customFormat="false" ht="15.75" hidden="false" customHeight="true" outlineLevel="0" collapsed="false">
      <c r="A1621" s="30" t="n">
        <v>45444</v>
      </c>
      <c r="B1621" s="31" t="s">
        <v>153</v>
      </c>
      <c r="C1621" s="32"/>
      <c r="D1621" s="32"/>
      <c r="E1621" s="19" t="n">
        <f aca="false">+F1621*0.03</f>
        <v>0</v>
      </c>
      <c r="F1621" s="33" t="n">
        <v>0</v>
      </c>
      <c r="G1621" s="62"/>
      <c r="H1621" s="35" t="n">
        <v>0</v>
      </c>
      <c r="I1621" s="34" t="n">
        <f aca="false">+IF(E1621=0,0,E1621*0.03)</f>
        <v>0</v>
      </c>
    </row>
    <row r="1622" customFormat="false" ht="15.75" hidden="false" customHeight="true" outlineLevel="0" collapsed="false">
      <c r="A1622" s="30" t="n">
        <v>45444</v>
      </c>
      <c r="B1622" s="31" t="s">
        <v>153</v>
      </c>
      <c r="C1622" s="32"/>
      <c r="D1622" s="32"/>
      <c r="E1622" s="19" t="n">
        <f aca="false">+F1622*0.03</f>
        <v>0</v>
      </c>
      <c r="F1622" s="33" t="n">
        <v>0</v>
      </c>
      <c r="G1622" s="62"/>
      <c r="H1622" s="35" t="n">
        <v>0</v>
      </c>
      <c r="I1622" s="34" t="n">
        <f aca="false">+IF(E1622=0,0,E1622*0.03)</f>
        <v>0</v>
      </c>
    </row>
    <row r="1623" customFormat="false" ht="15.75" hidden="false" customHeight="true" outlineLevel="0" collapsed="false">
      <c r="A1623" s="30" t="n">
        <v>45444</v>
      </c>
      <c r="B1623" s="31" t="s">
        <v>153</v>
      </c>
      <c r="C1623" s="32"/>
      <c r="D1623" s="32"/>
      <c r="E1623" s="19" t="n">
        <f aca="false">+F1623*0.03</f>
        <v>0</v>
      </c>
      <c r="F1623" s="33" t="n">
        <v>0</v>
      </c>
      <c r="G1623" s="62"/>
      <c r="H1623" s="35" t="n">
        <v>0</v>
      </c>
      <c r="I1623" s="34" t="n">
        <f aca="false">+IF(E1623=0,0,E1623*0.03)</f>
        <v>0</v>
      </c>
    </row>
    <row r="1624" customFormat="false" ht="15.75" hidden="false" customHeight="true" outlineLevel="0" collapsed="false">
      <c r="A1624" s="30" t="n">
        <v>45444</v>
      </c>
      <c r="B1624" s="31" t="s">
        <v>153</v>
      </c>
      <c r="C1624" s="32"/>
      <c r="D1624" s="32"/>
      <c r="E1624" s="19" t="n">
        <f aca="false">+F1624*0.03</f>
        <v>0</v>
      </c>
      <c r="F1624" s="33" t="n">
        <v>0</v>
      </c>
      <c r="G1624" s="62"/>
      <c r="H1624" s="35" t="n">
        <v>0</v>
      </c>
      <c r="I1624" s="34" t="n">
        <f aca="false">+IF(E1624=0,0,E1624*0.03)</f>
        <v>0</v>
      </c>
    </row>
    <row r="1625" customFormat="false" ht="15.75" hidden="false" customHeight="true" outlineLevel="0" collapsed="false">
      <c r="A1625" s="30" t="n">
        <v>45444</v>
      </c>
      <c r="B1625" s="31" t="s">
        <v>153</v>
      </c>
      <c r="C1625" s="32"/>
      <c r="D1625" s="32"/>
      <c r="E1625" s="19" t="n">
        <f aca="false">+F1625*0.03</f>
        <v>0</v>
      </c>
      <c r="F1625" s="33" t="n">
        <v>0</v>
      </c>
      <c r="G1625" s="62"/>
      <c r="H1625" s="35" t="n">
        <v>0</v>
      </c>
      <c r="I1625" s="34" t="n">
        <f aca="false">+IF(E1625=0,0,E1625*0.03)</f>
        <v>0</v>
      </c>
    </row>
    <row r="1626" customFormat="false" ht="15.75" hidden="false" customHeight="true" outlineLevel="0" collapsed="false">
      <c r="A1626" s="30" t="n">
        <v>45444</v>
      </c>
      <c r="B1626" s="31" t="s">
        <v>153</v>
      </c>
      <c r="C1626" s="32"/>
      <c r="D1626" s="32"/>
      <c r="E1626" s="19" t="n">
        <f aca="false">+F1626*0.03</f>
        <v>0</v>
      </c>
      <c r="F1626" s="33" t="n">
        <v>0</v>
      </c>
      <c r="G1626" s="62"/>
      <c r="H1626" s="35" t="n">
        <v>0</v>
      </c>
      <c r="I1626" s="34" t="n">
        <f aca="false">+IF(E1626=0,0,E1626*0.03)</f>
        <v>0</v>
      </c>
    </row>
    <row r="1627" customFormat="false" ht="15.75" hidden="false" customHeight="true" outlineLevel="0" collapsed="false">
      <c r="A1627" s="30" t="n">
        <v>45444</v>
      </c>
      <c r="B1627" s="31" t="s">
        <v>153</v>
      </c>
      <c r="C1627" s="32"/>
      <c r="D1627" s="32"/>
      <c r="E1627" s="19" t="n">
        <f aca="false">+F1627*0.03</f>
        <v>0</v>
      </c>
      <c r="F1627" s="33" t="n">
        <v>0</v>
      </c>
      <c r="G1627" s="62"/>
      <c r="H1627" s="35" t="n">
        <v>0</v>
      </c>
      <c r="I1627" s="34" t="n">
        <f aca="false">+IF(E1627=0,0,E1627*0.03)</f>
        <v>0</v>
      </c>
    </row>
    <row r="1628" customFormat="false" ht="15.75" hidden="false" customHeight="true" outlineLevel="0" collapsed="false">
      <c r="A1628" s="30" t="n">
        <v>45444</v>
      </c>
      <c r="B1628" s="31" t="s">
        <v>153</v>
      </c>
      <c r="C1628" s="32"/>
      <c r="D1628" s="32"/>
      <c r="E1628" s="19" t="n">
        <f aca="false">+F1628*0.03</f>
        <v>0</v>
      </c>
      <c r="F1628" s="33" t="n">
        <v>0</v>
      </c>
      <c r="G1628" s="62"/>
      <c r="H1628" s="35" t="n">
        <v>0</v>
      </c>
      <c r="I1628" s="34" t="n">
        <f aca="false">+IF(E1628=0,0,E1628*0.03)</f>
        <v>0</v>
      </c>
    </row>
    <row r="1629" customFormat="false" ht="15.75" hidden="false" customHeight="true" outlineLevel="0" collapsed="false">
      <c r="A1629" s="30" t="n">
        <v>45444</v>
      </c>
      <c r="B1629" s="31" t="s">
        <v>153</v>
      </c>
      <c r="C1629" s="32"/>
      <c r="D1629" s="32"/>
      <c r="E1629" s="19" t="n">
        <f aca="false">+F1629*0.03</f>
        <v>0</v>
      </c>
      <c r="F1629" s="33" t="n">
        <v>0</v>
      </c>
      <c r="G1629" s="62"/>
      <c r="H1629" s="35" t="n">
        <v>0</v>
      </c>
      <c r="I1629" s="34" t="n">
        <f aca="false">+IF(E1629=0,0,E1629*0.03)</f>
        <v>0</v>
      </c>
    </row>
    <row r="1630" customFormat="false" ht="15.75" hidden="false" customHeight="true" outlineLevel="0" collapsed="false">
      <c r="A1630" s="30" t="n">
        <v>45444</v>
      </c>
      <c r="B1630" s="31" t="s">
        <v>153</v>
      </c>
      <c r="C1630" s="32"/>
      <c r="D1630" s="32"/>
      <c r="E1630" s="19" t="n">
        <f aca="false">+F1630*0.03</f>
        <v>0</v>
      </c>
      <c r="F1630" s="33" t="n">
        <v>0</v>
      </c>
      <c r="G1630" s="62"/>
      <c r="H1630" s="35" t="n">
        <v>0</v>
      </c>
      <c r="I1630" s="34" t="n">
        <f aca="false">+IF(E1630=0,0,E1630*0.03)</f>
        <v>0</v>
      </c>
    </row>
    <row r="1631" customFormat="false" ht="15.75" hidden="false" customHeight="true" outlineLevel="0" collapsed="false">
      <c r="A1631" s="30" t="n">
        <v>45444</v>
      </c>
      <c r="B1631" s="31" t="s">
        <v>153</v>
      </c>
      <c r="C1631" s="32"/>
      <c r="D1631" s="32"/>
      <c r="E1631" s="19" t="n">
        <f aca="false">+F1631*0.03</f>
        <v>0</v>
      </c>
      <c r="F1631" s="33" t="n">
        <v>0</v>
      </c>
      <c r="G1631" s="62"/>
      <c r="H1631" s="35" t="n">
        <v>0</v>
      </c>
      <c r="I1631" s="34" t="n">
        <f aca="false">+IF(E1631=0,0,E1631*0.03)</f>
        <v>0</v>
      </c>
    </row>
    <row r="1632" customFormat="false" ht="15.75" hidden="false" customHeight="true" outlineLevel="0" collapsed="false">
      <c r="A1632" s="30" t="n">
        <v>45444</v>
      </c>
      <c r="B1632" s="31" t="s">
        <v>153</v>
      </c>
      <c r="C1632" s="32"/>
      <c r="D1632" s="32"/>
      <c r="E1632" s="19" t="n">
        <f aca="false">+F1632*0.03</f>
        <v>0</v>
      </c>
      <c r="F1632" s="33" t="n">
        <v>0</v>
      </c>
      <c r="G1632" s="62"/>
      <c r="H1632" s="35" t="n">
        <v>0</v>
      </c>
      <c r="I1632" s="34" t="n">
        <f aca="false">+IF(E1632=0,0,E1632*0.03)</f>
        <v>0</v>
      </c>
    </row>
    <row r="1633" customFormat="false" ht="15.75" hidden="false" customHeight="true" outlineLevel="0" collapsed="false">
      <c r="A1633" s="30" t="n">
        <v>45444</v>
      </c>
      <c r="B1633" s="31" t="s">
        <v>153</v>
      </c>
      <c r="C1633" s="32"/>
      <c r="D1633" s="32"/>
      <c r="E1633" s="19" t="n">
        <f aca="false">+F1633*0.03</f>
        <v>0</v>
      </c>
      <c r="F1633" s="33" t="n">
        <v>0</v>
      </c>
      <c r="G1633" s="62"/>
      <c r="H1633" s="35" t="n">
        <v>0</v>
      </c>
      <c r="I1633" s="34" t="n">
        <f aca="false">+IF(E1633=0,0,E1633*0.03)</f>
        <v>0</v>
      </c>
    </row>
    <row r="1634" customFormat="false" ht="15.75" hidden="false" customHeight="true" outlineLevel="0" collapsed="false">
      <c r="A1634" s="30" t="n">
        <v>45444</v>
      </c>
      <c r="B1634" s="31" t="s">
        <v>153</v>
      </c>
      <c r="C1634" s="32"/>
      <c r="D1634" s="32"/>
      <c r="E1634" s="19" t="n">
        <f aca="false">+F1634*0.03</f>
        <v>0</v>
      </c>
      <c r="F1634" s="33" t="n">
        <v>0</v>
      </c>
      <c r="G1634" s="62"/>
      <c r="H1634" s="35" t="n">
        <v>0</v>
      </c>
      <c r="I1634" s="34" t="n">
        <f aca="false">+IF(E1634=0,0,E1634*0.03)</f>
        <v>0</v>
      </c>
    </row>
    <row r="1635" customFormat="false" ht="15.75" hidden="false" customHeight="true" outlineLevel="0" collapsed="false">
      <c r="A1635" s="30" t="n">
        <v>45444</v>
      </c>
      <c r="B1635" s="31" t="s">
        <v>153</v>
      </c>
      <c r="C1635" s="32"/>
      <c r="D1635" s="32"/>
      <c r="E1635" s="19" t="n">
        <f aca="false">+F1635*0.03</f>
        <v>0</v>
      </c>
      <c r="F1635" s="33" t="n">
        <v>0</v>
      </c>
      <c r="G1635" s="62"/>
      <c r="H1635" s="35" t="n">
        <v>0</v>
      </c>
      <c r="I1635" s="34" t="n">
        <f aca="false">+IF(E1635=0,0,E1635*0.03)</f>
        <v>0</v>
      </c>
    </row>
    <row r="1636" customFormat="false" ht="15.75" hidden="false" customHeight="true" outlineLevel="0" collapsed="false">
      <c r="A1636" s="30" t="n">
        <v>45444</v>
      </c>
      <c r="B1636" s="31" t="s">
        <v>153</v>
      </c>
      <c r="C1636" s="32"/>
      <c r="D1636" s="32"/>
      <c r="E1636" s="19" t="n">
        <f aca="false">+F1636*0.03</f>
        <v>0</v>
      </c>
      <c r="F1636" s="33" t="n">
        <v>0</v>
      </c>
      <c r="G1636" s="62"/>
      <c r="H1636" s="35" t="n">
        <v>0</v>
      </c>
      <c r="I1636" s="34" t="n">
        <f aca="false">+IF(E1636=0,0,E1636*0.03)</f>
        <v>0</v>
      </c>
    </row>
    <row r="1637" customFormat="false" ht="15.75" hidden="false" customHeight="true" outlineLevel="0" collapsed="false">
      <c r="A1637" s="30" t="n">
        <v>45444</v>
      </c>
      <c r="B1637" s="31" t="s">
        <v>153</v>
      </c>
      <c r="C1637" s="32"/>
      <c r="D1637" s="32"/>
      <c r="E1637" s="19" t="n">
        <f aca="false">+F1637*0.03</f>
        <v>0</v>
      </c>
      <c r="F1637" s="33" t="n">
        <v>0</v>
      </c>
      <c r="G1637" s="62"/>
      <c r="H1637" s="35" t="n">
        <v>0</v>
      </c>
      <c r="I1637" s="34" t="n">
        <f aca="false">+IF(E1637=0,0,E1637*0.03)</f>
        <v>0</v>
      </c>
    </row>
    <row r="1638" customFormat="false" ht="15.75" hidden="false" customHeight="true" outlineLevel="0" collapsed="false">
      <c r="A1638" s="30" t="n">
        <v>45444</v>
      </c>
      <c r="B1638" s="31" t="s">
        <v>153</v>
      </c>
      <c r="C1638" s="32"/>
      <c r="D1638" s="32"/>
      <c r="E1638" s="19" t="n">
        <f aca="false">+F1638*0.03</f>
        <v>0</v>
      </c>
      <c r="F1638" s="33" t="n">
        <v>0</v>
      </c>
      <c r="G1638" s="62"/>
      <c r="H1638" s="35" t="n">
        <v>0</v>
      </c>
      <c r="I1638" s="34" t="n">
        <f aca="false">+IF(E1638=0,0,E1638*0.03)</f>
        <v>0</v>
      </c>
    </row>
    <row r="1639" customFormat="false" ht="15.75" hidden="false" customHeight="true" outlineLevel="0" collapsed="false">
      <c r="A1639" s="30" t="n">
        <v>45444</v>
      </c>
      <c r="B1639" s="31" t="s">
        <v>153</v>
      </c>
      <c r="C1639" s="32"/>
      <c r="D1639" s="32"/>
      <c r="E1639" s="19" t="n">
        <f aca="false">+F1639*0.03</f>
        <v>0</v>
      </c>
      <c r="F1639" s="33" t="n">
        <v>0</v>
      </c>
      <c r="G1639" s="62"/>
      <c r="H1639" s="35" t="n">
        <v>0</v>
      </c>
      <c r="I1639" s="34" t="n">
        <f aca="false">+IF(E1639=0,0,E1639*0.03)</f>
        <v>0</v>
      </c>
    </row>
    <row r="1640" customFormat="false" ht="15.75" hidden="false" customHeight="true" outlineLevel="0" collapsed="false">
      <c r="A1640" s="30" t="n">
        <v>45444</v>
      </c>
      <c r="B1640" s="31" t="s">
        <v>153</v>
      </c>
      <c r="C1640" s="32"/>
      <c r="D1640" s="32"/>
      <c r="E1640" s="19" t="n">
        <f aca="false">+F1640*0.03</f>
        <v>0</v>
      </c>
      <c r="F1640" s="33" t="n">
        <v>0</v>
      </c>
      <c r="G1640" s="62"/>
      <c r="H1640" s="35" t="n">
        <v>0</v>
      </c>
      <c r="I1640" s="34" t="n">
        <f aca="false">+IF(E1640=0,0,E1640*0.03)</f>
        <v>0</v>
      </c>
    </row>
    <row r="1641" customFormat="false" ht="15.75" hidden="false" customHeight="true" outlineLevel="0" collapsed="false">
      <c r="A1641" s="30" t="n">
        <v>45444</v>
      </c>
      <c r="B1641" s="31" t="s">
        <v>153</v>
      </c>
      <c r="C1641" s="32"/>
      <c r="D1641" s="32"/>
      <c r="E1641" s="19" t="n">
        <f aca="false">+F1641*0.03</f>
        <v>0</v>
      </c>
      <c r="F1641" s="33" t="n">
        <v>0</v>
      </c>
      <c r="G1641" s="62"/>
      <c r="H1641" s="35" t="n">
        <v>0</v>
      </c>
      <c r="I1641" s="34" t="n">
        <f aca="false">+IF(E1641=0,0,E1641*0.03)</f>
        <v>0</v>
      </c>
    </row>
    <row r="1642" customFormat="false" ht="15.75" hidden="false" customHeight="true" outlineLevel="0" collapsed="false">
      <c r="A1642" s="30" t="n">
        <v>45444</v>
      </c>
      <c r="B1642" s="31" t="s">
        <v>153</v>
      </c>
      <c r="C1642" s="32"/>
      <c r="D1642" s="32"/>
      <c r="E1642" s="19" t="n">
        <f aca="false">+F1642*0.03</f>
        <v>0</v>
      </c>
      <c r="F1642" s="33" t="n">
        <v>0</v>
      </c>
      <c r="G1642" s="62"/>
      <c r="H1642" s="35" t="n">
        <v>0</v>
      </c>
      <c r="I1642" s="34" t="n">
        <f aca="false">+IF(E1642=0,0,E1642*0.03)</f>
        <v>0</v>
      </c>
    </row>
    <row r="1643" customFormat="false" ht="15.75" hidden="false" customHeight="true" outlineLevel="0" collapsed="false">
      <c r="A1643" s="30" t="n">
        <v>45444</v>
      </c>
      <c r="B1643" s="31" t="s">
        <v>153</v>
      </c>
      <c r="C1643" s="32"/>
      <c r="D1643" s="32"/>
      <c r="E1643" s="19" t="n">
        <f aca="false">+F1643*0.03</f>
        <v>0</v>
      </c>
      <c r="F1643" s="33" t="n">
        <v>0</v>
      </c>
      <c r="G1643" s="62"/>
      <c r="H1643" s="35" t="n">
        <v>0</v>
      </c>
      <c r="I1643" s="34" t="n">
        <f aca="false">+IF(E1643=0,0,E1643*0.03)</f>
        <v>0</v>
      </c>
    </row>
    <row r="1644" customFormat="false" ht="15.75" hidden="false" customHeight="true" outlineLevel="0" collapsed="false">
      <c r="A1644" s="30" t="n">
        <v>45444</v>
      </c>
      <c r="B1644" s="31" t="s">
        <v>153</v>
      </c>
      <c r="C1644" s="32"/>
      <c r="D1644" s="32"/>
      <c r="E1644" s="19" t="n">
        <f aca="false">+F1644*0.03</f>
        <v>0</v>
      </c>
      <c r="F1644" s="33" t="n">
        <v>0</v>
      </c>
      <c r="G1644" s="62"/>
      <c r="H1644" s="35" t="n">
        <v>0</v>
      </c>
      <c r="I1644" s="34" t="n">
        <f aca="false">+IF(E1644=0,0,E1644*0.03)</f>
        <v>0</v>
      </c>
    </row>
    <row r="1645" customFormat="false" ht="15.75" hidden="false" customHeight="true" outlineLevel="0" collapsed="false">
      <c r="A1645" s="30" t="n">
        <v>45444</v>
      </c>
      <c r="B1645" s="31" t="s">
        <v>153</v>
      </c>
      <c r="C1645" s="32"/>
      <c r="D1645" s="32"/>
      <c r="E1645" s="19" t="n">
        <f aca="false">+F1645*0.03</f>
        <v>0</v>
      </c>
      <c r="F1645" s="33" t="n">
        <v>0</v>
      </c>
      <c r="G1645" s="62"/>
      <c r="H1645" s="35" t="n">
        <v>0</v>
      </c>
      <c r="I1645" s="34" t="n">
        <f aca="false">+IF(E1645=0,0,E1645*0.03)</f>
        <v>0</v>
      </c>
    </row>
    <row r="1646" customFormat="false" ht="15.75" hidden="false" customHeight="true" outlineLevel="0" collapsed="false">
      <c r="A1646" s="30" t="n">
        <v>45444</v>
      </c>
      <c r="B1646" s="31" t="s">
        <v>153</v>
      </c>
      <c r="C1646" s="32"/>
      <c r="D1646" s="32"/>
      <c r="E1646" s="19" t="n">
        <f aca="false">+F1646*0.03</f>
        <v>0</v>
      </c>
      <c r="F1646" s="33" t="n">
        <v>0</v>
      </c>
      <c r="G1646" s="62"/>
      <c r="H1646" s="35" t="n">
        <v>0</v>
      </c>
      <c r="I1646" s="34" t="n">
        <f aca="false">+IF(E1646=0,0,E1646*0.03)</f>
        <v>0</v>
      </c>
    </row>
    <row r="1647" customFormat="false" ht="15.75" hidden="false" customHeight="true" outlineLevel="0" collapsed="false">
      <c r="A1647" s="30" t="n">
        <v>45444</v>
      </c>
      <c r="B1647" s="31" t="s">
        <v>153</v>
      </c>
      <c r="C1647" s="32"/>
      <c r="D1647" s="32"/>
      <c r="E1647" s="19" t="n">
        <f aca="false">+F1647*0.03</f>
        <v>0</v>
      </c>
      <c r="F1647" s="33" t="n">
        <v>0</v>
      </c>
      <c r="G1647" s="62"/>
      <c r="H1647" s="35" t="n">
        <v>0</v>
      </c>
      <c r="I1647" s="34" t="n">
        <f aca="false">+IF(E1647=0,0,E1647*0.03)</f>
        <v>0</v>
      </c>
    </row>
    <row r="1648" customFormat="false" ht="15.75" hidden="false" customHeight="true" outlineLevel="0" collapsed="false">
      <c r="A1648" s="30" t="n">
        <v>45444</v>
      </c>
      <c r="B1648" s="31" t="s">
        <v>153</v>
      </c>
      <c r="C1648" s="32"/>
      <c r="D1648" s="32"/>
      <c r="E1648" s="19" t="n">
        <f aca="false">+F1648*0.03</f>
        <v>0</v>
      </c>
      <c r="F1648" s="33" t="n">
        <v>0</v>
      </c>
      <c r="G1648" s="62"/>
      <c r="H1648" s="35" t="n">
        <v>0</v>
      </c>
      <c r="I1648" s="34" t="n">
        <f aca="false">+IF(E1648=0,0,E1648*0.03)</f>
        <v>0</v>
      </c>
    </row>
    <row r="1649" customFormat="false" ht="15.75" hidden="false" customHeight="true" outlineLevel="0" collapsed="false">
      <c r="A1649" s="30" t="n">
        <v>45444</v>
      </c>
      <c r="B1649" s="31" t="s">
        <v>153</v>
      </c>
      <c r="C1649" s="32"/>
      <c r="D1649" s="32"/>
      <c r="E1649" s="19" t="n">
        <f aca="false">+F1649*0.03</f>
        <v>0</v>
      </c>
      <c r="F1649" s="33" t="n">
        <v>0</v>
      </c>
      <c r="G1649" s="62"/>
      <c r="H1649" s="35" t="n">
        <v>0</v>
      </c>
      <c r="I1649" s="34" t="n">
        <f aca="false">+IF(E1649=0,0,E1649*0.03)</f>
        <v>0</v>
      </c>
    </row>
    <row r="1650" customFormat="false" ht="15.75" hidden="false" customHeight="true" outlineLevel="0" collapsed="false">
      <c r="A1650" s="30" t="n">
        <v>45444</v>
      </c>
      <c r="B1650" s="31" t="s">
        <v>153</v>
      </c>
      <c r="C1650" s="32"/>
      <c r="D1650" s="32"/>
      <c r="E1650" s="19" t="n">
        <f aca="false">+F1650*0.03</f>
        <v>0</v>
      </c>
      <c r="F1650" s="33" t="n">
        <v>0</v>
      </c>
      <c r="G1650" s="62"/>
      <c r="H1650" s="35" t="n">
        <v>0</v>
      </c>
      <c r="I1650" s="34" t="n">
        <f aca="false">+IF(E1650=0,0,E1650*0.03)</f>
        <v>0</v>
      </c>
    </row>
    <row r="1651" customFormat="false" ht="15.75" hidden="false" customHeight="true" outlineLevel="0" collapsed="false">
      <c r="A1651" s="30" t="n">
        <v>45444</v>
      </c>
      <c r="B1651" s="31" t="s">
        <v>153</v>
      </c>
      <c r="C1651" s="32"/>
      <c r="D1651" s="32"/>
      <c r="E1651" s="19" t="n">
        <f aca="false">+F1651*0.03</f>
        <v>0</v>
      </c>
      <c r="F1651" s="33" t="n">
        <v>0</v>
      </c>
      <c r="G1651" s="62"/>
      <c r="H1651" s="35" t="n">
        <v>0</v>
      </c>
      <c r="I1651" s="34" t="n">
        <f aca="false">+IF(E1651=0,0,E1651*0.03)</f>
        <v>0</v>
      </c>
    </row>
    <row r="1652" customFormat="false" ht="15.75" hidden="false" customHeight="true" outlineLevel="0" collapsed="false">
      <c r="A1652" s="30" t="n">
        <v>45444</v>
      </c>
      <c r="B1652" s="31" t="s">
        <v>153</v>
      </c>
      <c r="C1652" s="32"/>
      <c r="D1652" s="32"/>
      <c r="E1652" s="19" t="n">
        <f aca="false">+F1652*0.03</f>
        <v>0</v>
      </c>
      <c r="F1652" s="33" t="n">
        <v>0</v>
      </c>
      <c r="G1652" s="62"/>
      <c r="H1652" s="35" t="n">
        <v>0</v>
      </c>
      <c r="I1652" s="34" t="n">
        <f aca="false">+IF(E1652=0,0,E1652*0.03)</f>
        <v>0</v>
      </c>
    </row>
    <row r="1653" customFormat="false" ht="15.75" hidden="false" customHeight="true" outlineLevel="0" collapsed="false">
      <c r="A1653" s="30" t="n">
        <v>45444</v>
      </c>
      <c r="B1653" s="31" t="s">
        <v>153</v>
      </c>
      <c r="C1653" s="32"/>
      <c r="D1653" s="32"/>
      <c r="E1653" s="19" t="n">
        <f aca="false">+F1653*0.03</f>
        <v>0</v>
      </c>
      <c r="F1653" s="33" t="n">
        <v>0</v>
      </c>
      <c r="G1653" s="62"/>
      <c r="H1653" s="35" t="n">
        <v>0</v>
      </c>
      <c r="I1653" s="34" t="n">
        <f aca="false">+IF(E1653=0,0,E1653*0.03)</f>
        <v>0</v>
      </c>
    </row>
    <row r="1654" customFormat="false" ht="15.75" hidden="false" customHeight="true" outlineLevel="0" collapsed="false">
      <c r="A1654" s="30" t="n">
        <v>45444</v>
      </c>
      <c r="B1654" s="31" t="s">
        <v>153</v>
      </c>
      <c r="C1654" s="32"/>
      <c r="D1654" s="32"/>
      <c r="E1654" s="19" t="n">
        <f aca="false">+F1654*0.03</f>
        <v>0</v>
      </c>
      <c r="F1654" s="33" t="n">
        <v>0</v>
      </c>
      <c r="G1654" s="62"/>
      <c r="H1654" s="35" t="n">
        <v>0</v>
      </c>
      <c r="I1654" s="34" t="n">
        <f aca="false">+IF(E1654=0,0,E1654*0.03)</f>
        <v>0</v>
      </c>
    </row>
    <row r="1655" customFormat="false" ht="15.75" hidden="false" customHeight="true" outlineLevel="0" collapsed="false">
      <c r="A1655" s="30" t="n">
        <v>45444</v>
      </c>
      <c r="B1655" s="31" t="s">
        <v>153</v>
      </c>
      <c r="C1655" s="32"/>
      <c r="D1655" s="32"/>
      <c r="E1655" s="19" t="n">
        <f aca="false">+F1655*0.03</f>
        <v>0</v>
      </c>
      <c r="F1655" s="33" t="n">
        <v>0</v>
      </c>
      <c r="G1655" s="62"/>
      <c r="H1655" s="35" t="n">
        <v>0</v>
      </c>
      <c r="I1655" s="34" t="n">
        <f aca="false">+IF(E1655=0,0,E1655*0.03)</f>
        <v>0</v>
      </c>
    </row>
    <row r="1656" customFormat="false" ht="15.75" hidden="false" customHeight="true" outlineLevel="0" collapsed="false">
      <c r="A1656" s="30" t="n">
        <v>45444</v>
      </c>
      <c r="B1656" s="31" t="s">
        <v>153</v>
      </c>
      <c r="C1656" s="32"/>
      <c r="D1656" s="32"/>
      <c r="E1656" s="19" t="n">
        <f aca="false">+F1656*0.03</f>
        <v>0</v>
      </c>
      <c r="F1656" s="33" t="n">
        <v>0</v>
      </c>
      <c r="G1656" s="62"/>
      <c r="H1656" s="35" t="n">
        <v>0</v>
      </c>
      <c r="I1656" s="34" t="n">
        <f aca="false">+IF(E1656=0,0,E1656*0.03)</f>
        <v>0</v>
      </c>
    </row>
    <row r="1657" customFormat="false" ht="15.75" hidden="false" customHeight="true" outlineLevel="0" collapsed="false">
      <c r="A1657" s="30" t="n">
        <v>45444</v>
      </c>
      <c r="B1657" s="31" t="s">
        <v>153</v>
      </c>
      <c r="C1657" s="32"/>
      <c r="D1657" s="32"/>
      <c r="E1657" s="19" t="n">
        <f aca="false">+F1657*0.03</f>
        <v>0</v>
      </c>
      <c r="F1657" s="33" t="n">
        <v>0</v>
      </c>
      <c r="G1657" s="62"/>
      <c r="H1657" s="35" t="n">
        <v>0</v>
      </c>
      <c r="I1657" s="34" t="n">
        <f aca="false">+IF(E1657=0,0,E1657*0.03)</f>
        <v>0</v>
      </c>
    </row>
    <row r="1658" customFormat="false" ht="15.75" hidden="false" customHeight="true" outlineLevel="0" collapsed="false">
      <c r="A1658" s="30" t="n">
        <v>45444</v>
      </c>
      <c r="B1658" s="31" t="s">
        <v>153</v>
      </c>
      <c r="C1658" s="32"/>
      <c r="D1658" s="32"/>
      <c r="E1658" s="19" t="n">
        <f aca="false">+F1658*0.03</f>
        <v>0</v>
      </c>
      <c r="F1658" s="33" t="n">
        <v>0</v>
      </c>
      <c r="G1658" s="62"/>
      <c r="H1658" s="35" t="n">
        <v>0</v>
      </c>
      <c r="I1658" s="34" t="n">
        <f aca="false">+IF(E1658=0,0,E1658*0.03)</f>
        <v>0</v>
      </c>
    </row>
    <row r="1659" customFormat="false" ht="15.75" hidden="false" customHeight="true" outlineLevel="0" collapsed="false">
      <c r="A1659" s="30" t="n">
        <v>45444</v>
      </c>
      <c r="B1659" s="31" t="s">
        <v>153</v>
      </c>
      <c r="C1659" s="32"/>
      <c r="D1659" s="32"/>
      <c r="E1659" s="19" t="n">
        <f aca="false">+F1659*0.03</f>
        <v>0</v>
      </c>
      <c r="F1659" s="33" t="n">
        <v>0</v>
      </c>
      <c r="G1659" s="62"/>
      <c r="H1659" s="35" t="n">
        <v>0</v>
      </c>
      <c r="I1659" s="34" t="n">
        <f aca="false">+IF(E1659=0,0,E1659*0.03)</f>
        <v>0</v>
      </c>
    </row>
    <row r="1660" customFormat="false" ht="15.75" hidden="false" customHeight="true" outlineLevel="0" collapsed="false">
      <c r="A1660" s="30" t="n">
        <v>45444</v>
      </c>
      <c r="B1660" s="31" t="s">
        <v>153</v>
      </c>
      <c r="C1660" s="32"/>
      <c r="D1660" s="32"/>
      <c r="E1660" s="19" t="n">
        <f aca="false">+F1660*0.03</f>
        <v>0</v>
      </c>
      <c r="F1660" s="33" t="n">
        <v>0</v>
      </c>
      <c r="G1660" s="62"/>
      <c r="H1660" s="35" t="n">
        <v>0</v>
      </c>
      <c r="I1660" s="34" t="n">
        <f aca="false">+IF(E1660=0,0,E1660*0.03)</f>
        <v>0</v>
      </c>
    </row>
    <row r="1661" customFormat="false" ht="15.75" hidden="false" customHeight="true" outlineLevel="0" collapsed="false">
      <c r="A1661" s="30" t="n">
        <v>45444</v>
      </c>
      <c r="B1661" s="31" t="s">
        <v>153</v>
      </c>
      <c r="C1661" s="32"/>
      <c r="D1661" s="32"/>
      <c r="E1661" s="19" t="n">
        <f aca="false">+F1661*0.03</f>
        <v>0</v>
      </c>
      <c r="F1661" s="33" t="n">
        <v>0</v>
      </c>
      <c r="G1661" s="62"/>
      <c r="H1661" s="35" t="n">
        <v>0</v>
      </c>
      <c r="I1661" s="34" t="n">
        <f aca="false">+IF(E1661=0,0,E1661*0.03)</f>
        <v>0</v>
      </c>
    </row>
    <row r="1662" customFormat="false" ht="15.75" hidden="false" customHeight="true" outlineLevel="0" collapsed="false">
      <c r="A1662" s="30" t="n">
        <v>45444</v>
      </c>
      <c r="B1662" s="31" t="s">
        <v>153</v>
      </c>
      <c r="C1662" s="32"/>
      <c r="D1662" s="32"/>
      <c r="E1662" s="19" t="n">
        <f aca="false">+F1662*0.03</f>
        <v>0</v>
      </c>
      <c r="F1662" s="33" t="n">
        <v>0</v>
      </c>
      <c r="G1662" s="62"/>
      <c r="H1662" s="35" t="n">
        <v>0</v>
      </c>
      <c r="I1662" s="34" t="n">
        <f aca="false">+IF(E1662=0,0,E1662*0.03)</f>
        <v>0</v>
      </c>
    </row>
    <row r="1663" customFormat="false" ht="15.75" hidden="false" customHeight="true" outlineLevel="0" collapsed="false">
      <c r="A1663" s="30" t="n">
        <v>45444</v>
      </c>
      <c r="B1663" s="31" t="s">
        <v>153</v>
      </c>
      <c r="C1663" s="32"/>
      <c r="D1663" s="32"/>
      <c r="E1663" s="19" t="n">
        <f aca="false">+F1663*0.03</f>
        <v>0</v>
      </c>
      <c r="F1663" s="33" t="n">
        <v>0</v>
      </c>
      <c r="G1663" s="62"/>
      <c r="H1663" s="35" t="n">
        <v>0</v>
      </c>
      <c r="I1663" s="34" t="n">
        <f aca="false">+IF(E1663=0,0,E1663*0.03)</f>
        <v>0</v>
      </c>
    </row>
    <row r="1664" customFormat="false" ht="15.75" hidden="false" customHeight="true" outlineLevel="0" collapsed="false">
      <c r="A1664" s="30" t="n">
        <v>45444</v>
      </c>
      <c r="B1664" s="31" t="s">
        <v>153</v>
      </c>
      <c r="C1664" s="32"/>
      <c r="D1664" s="32"/>
      <c r="E1664" s="19" t="n">
        <f aca="false">+F1664*0.03</f>
        <v>0</v>
      </c>
      <c r="F1664" s="33" t="n">
        <v>0</v>
      </c>
      <c r="G1664" s="62"/>
      <c r="H1664" s="35" t="n">
        <v>0</v>
      </c>
      <c r="I1664" s="34" t="n">
        <f aca="false">+IF(E1664=0,0,E1664*0.03)</f>
        <v>0</v>
      </c>
    </row>
    <row r="1665" customFormat="false" ht="15.75" hidden="false" customHeight="true" outlineLevel="0" collapsed="false">
      <c r="A1665" s="30" t="n">
        <v>45444</v>
      </c>
      <c r="B1665" s="31" t="s">
        <v>153</v>
      </c>
      <c r="C1665" s="32"/>
      <c r="D1665" s="32"/>
      <c r="E1665" s="19" t="n">
        <f aca="false">+F1665*0.03</f>
        <v>0</v>
      </c>
      <c r="F1665" s="33" t="n">
        <v>0</v>
      </c>
      <c r="G1665" s="62"/>
      <c r="H1665" s="35" t="n">
        <v>0</v>
      </c>
      <c r="I1665" s="34" t="n">
        <f aca="false">+IF(E1665=0,0,E1665*0.03)</f>
        <v>0</v>
      </c>
    </row>
    <row r="1666" customFormat="false" ht="15.75" hidden="false" customHeight="true" outlineLevel="0" collapsed="false">
      <c r="A1666" s="30" t="n">
        <v>45444</v>
      </c>
      <c r="B1666" s="31" t="s">
        <v>153</v>
      </c>
      <c r="C1666" s="32"/>
      <c r="D1666" s="32"/>
      <c r="E1666" s="19" t="n">
        <f aca="false">+F1666*0.03</f>
        <v>0</v>
      </c>
      <c r="F1666" s="33" t="n">
        <v>0</v>
      </c>
      <c r="G1666" s="62"/>
      <c r="H1666" s="35" t="n">
        <v>0</v>
      </c>
      <c r="I1666" s="34" t="n">
        <f aca="false">+IF(E1666=0,0,E1666*0.03)</f>
        <v>0</v>
      </c>
    </row>
    <row r="1667" customFormat="false" ht="15.75" hidden="false" customHeight="true" outlineLevel="0" collapsed="false">
      <c r="A1667" s="30" t="n">
        <v>45444</v>
      </c>
      <c r="B1667" s="31" t="s">
        <v>153</v>
      </c>
      <c r="C1667" s="32"/>
      <c r="D1667" s="32"/>
      <c r="E1667" s="19" t="n">
        <f aca="false">+F1667*0.03</f>
        <v>0</v>
      </c>
      <c r="F1667" s="33" t="n">
        <v>0</v>
      </c>
      <c r="G1667" s="62"/>
      <c r="H1667" s="35" t="n">
        <v>0</v>
      </c>
      <c r="I1667" s="34" t="n">
        <f aca="false">+IF(E1667=0,0,E1667*0.03)</f>
        <v>0</v>
      </c>
    </row>
    <row r="1668" customFormat="false" ht="15.75" hidden="false" customHeight="true" outlineLevel="0" collapsed="false">
      <c r="A1668" s="30" t="n">
        <v>45444</v>
      </c>
      <c r="B1668" s="31" t="s">
        <v>153</v>
      </c>
      <c r="C1668" s="32"/>
      <c r="D1668" s="32"/>
      <c r="E1668" s="19" t="n">
        <f aca="false">+F1668*0.03</f>
        <v>0</v>
      </c>
      <c r="F1668" s="33" t="n">
        <v>0</v>
      </c>
      <c r="G1668" s="62"/>
      <c r="H1668" s="35" t="n">
        <v>0</v>
      </c>
      <c r="I1668" s="34" t="n">
        <f aca="false">+IF(E1668=0,0,E1668*0.03)</f>
        <v>0</v>
      </c>
    </row>
    <row r="1669" customFormat="false" ht="15.75" hidden="false" customHeight="true" outlineLevel="0" collapsed="false">
      <c r="A1669" s="30" t="n">
        <v>45444</v>
      </c>
      <c r="B1669" s="31" t="s">
        <v>153</v>
      </c>
      <c r="C1669" s="32"/>
      <c r="D1669" s="32"/>
      <c r="E1669" s="19" t="n">
        <f aca="false">+F1669*0.03</f>
        <v>0</v>
      </c>
      <c r="F1669" s="33" t="n">
        <v>0</v>
      </c>
      <c r="G1669" s="62"/>
      <c r="H1669" s="35" t="n">
        <v>0</v>
      </c>
      <c r="I1669" s="34" t="n">
        <f aca="false">+IF(E1669=0,0,E1669*0.03)</f>
        <v>0</v>
      </c>
    </row>
    <row r="1670" customFormat="false" ht="15.75" hidden="false" customHeight="true" outlineLevel="0" collapsed="false">
      <c r="A1670" s="30" t="n">
        <v>45444</v>
      </c>
      <c r="B1670" s="31" t="s">
        <v>153</v>
      </c>
      <c r="C1670" s="32"/>
      <c r="D1670" s="32"/>
      <c r="E1670" s="19" t="n">
        <f aca="false">+F1670*0.03</f>
        <v>0</v>
      </c>
      <c r="F1670" s="33" t="n">
        <v>0</v>
      </c>
      <c r="G1670" s="62"/>
      <c r="H1670" s="35" t="n">
        <v>0</v>
      </c>
      <c r="I1670" s="34" t="n">
        <f aca="false">+IF(E1670=0,0,E1670*0.03)</f>
        <v>0</v>
      </c>
    </row>
    <row r="1671" customFormat="false" ht="15.75" hidden="false" customHeight="true" outlineLevel="0" collapsed="false">
      <c r="A1671" s="30" t="n">
        <v>45444</v>
      </c>
      <c r="B1671" s="31" t="s">
        <v>153</v>
      </c>
      <c r="C1671" s="32"/>
      <c r="D1671" s="32"/>
      <c r="E1671" s="19" t="n">
        <f aca="false">+F1671*0.03</f>
        <v>0</v>
      </c>
      <c r="F1671" s="33" t="n">
        <v>0</v>
      </c>
      <c r="G1671" s="62"/>
      <c r="H1671" s="35" t="n">
        <v>0</v>
      </c>
      <c r="I1671" s="34" t="n">
        <f aca="false">+IF(E1671=0,0,E1671*0.03)</f>
        <v>0</v>
      </c>
    </row>
    <row r="1672" customFormat="false" ht="15.75" hidden="false" customHeight="true" outlineLevel="0" collapsed="false">
      <c r="A1672" s="30" t="n">
        <v>45444</v>
      </c>
      <c r="B1672" s="31" t="s">
        <v>153</v>
      </c>
      <c r="C1672" s="32"/>
      <c r="D1672" s="32"/>
      <c r="E1672" s="19" t="n">
        <f aca="false">+F1672*0.03</f>
        <v>0</v>
      </c>
      <c r="F1672" s="33" t="n">
        <v>0</v>
      </c>
      <c r="G1672" s="62"/>
      <c r="H1672" s="35" t="n">
        <v>0</v>
      </c>
      <c r="I1672" s="34" t="n">
        <f aca="false">+IF(E1672=0,0,E1672*0.03)</f>
        <v>0</v>
      </c>
    </row>
    <row r="1673" customFormat="false" ht="15.75" hidden="false" customHeight="true" outlineLevel="0" collapsed="false">
      <c r="A1673" s="30" t="n">
        <v>45444</v>
      </c>
      <c r="B1673" s="31" t="s">
        <v>153</v>
      </c>
      <c r="C1673" s="32"/>
      <c r="D1673" s="32"/>
      <c r="E1673" s="19" t="n">
        <f aca="false">+F1673*0.03</f>
        <v>0</v>
      </c>
      <c r="F1673" s="33" t="n">
        <v>0</v>
      </c>
      <c r="G1673" s="62"/>
      <c r="H1673" s="35" t="n">
        <v>0</v>
      </c>
      <c r="I1673" s="34" t="n">
        <f aca="false">+IF(E1673=0,0,E1673*0.03)</f>
        <v>0</v>
      </c>
    </row>
    <row r="1674" customFormat="false" ht="15.75" hidden="false" customHeight="true" outlineLevel="0" collapsed="false">
      <c r="A1674" s="30" t="n">
        <v>45444</v>
      </c>
      <c r="B1674" s="31" t="s">
        <v>153</v>
      </c>
      <c r="C1674" s="32"/>
      <c r="D1674" s="32"/>
      <c r="E1674" s="19" t="n">
        <f aca="false">+F1674*0.03</f>
        <v>0</v>
      </c>
      <c r="F1674" s="33" t="n">
        <v>0</v>
      </c>
      <c r="G1674" s="62"/>
      <c r="H1674" s="35" t="n">
        <v>0</v>
      </c>
      <c r="I1674" s="34" t="n">
        <f aca="false">+IF(E1674=0,0,E1674*0.03)</f>
        <v>0</v>
      </c>
    </row>
    <row r="1675" customFormat="false" ht="15.75" hidden="false" customHeight="true" outlineLevel="0" collapsed="false">
      <c r="A1675" s="30" t="n">
        <v>45444</v>
      </c>
      <c r="B1675" s="31" t="s">
        <v>153</v>
      </c>
      <c r="C1675" s="32"/>
      <c r="D1675" s="32"/>
      <c r="E1675" s="19" t="n">
        <f aca="false">+F1675*0.03</f>
        <v>0</v>
      </c>
      <c r="F1675" s="33" t="n">
        <v>0</v>
      </c>
      <c r="G1675" s="62"/>
      <c r="H1675" s="35" t="n">
        <v>0</v>
      </c>
      <c r="I1675" s="34" t="n">
        <f aca="false">+IF(E1675=0,0,E1675*0.03)</f>
        <v>0</v>
      </c>
    </row>
    <row r="1676" customFormat="false" ht="15.75" hidden="false" customHeight="true" outlineLevel="0" collapsed="false">
      <c r="A1676" s="30" t="n">
        <v>45444</v>
      </c>
      <c r="B1676" s="31" t="s">
        <v>153</v>
      </c>
      <c r="C1676" s="32"/>
      <c r="D1676" s="32"/>
      <c r="E1676" s="19" t="n">
        <f aca="false">+F1676*0.03</f>
        <v>0</v>
      </c>
      <c r="F1676" s="33" t="n">
        <v>0</v>
      </c>
      <c r="G1676" s="62"/>
      <c r="H1676" s="35" t="n">
        <v>0</v>
      </c>
      <c r="I1676" s="34" t="n">
        <f aca="false">+IF(E1676=0,0,E1676*0.03)</f>
        <v>0</v>
      </c>
    </row>
    <row r="1677" customFormat="false" ht="15.75" hidden="false" customHeight="true" outlineLevel="0" collapsed="false">
      <c r="A1677" s="30" t="n">
        <v>45444</v>
      </c>
      <c r="B1677" s="31" t="s">
        <v>153</v>
      </c>
      <c r="C1677" s="32"/>
      <c r="D1677" s="32"/>
      <c r="E1677" s="19" t="n">
        <f aca="false">+F1677*0.03</f>
        <v>0</v>
      </c>
      <c r="F1677" s="33" t="n">
        <v>0</v>
      </c>
      <c r="G1677" s="62"/>
      <c r="H1677" s="35" t="n">
        <v>0</v>
      </c>
      <c r="I1677" s="34" t="n">
        <f aca="false">+IF(E1677=0,0,E1677*0.03)</f>
        <v>0</v>
      </c>
    </row>
    <row r="1678" customFormat="false" ht="15.75" hidden="false" customHeight="true" outlineLevel="0" collapsed="false">
      <c r="A1678" s="30" t="n">
        <v>45444</v>
      </c>
      <c r="B1678" s="31" t="s">
        <v>153</v>
      </c>
      <c r="C1678" s="32"/>
      <c r="D1678" s="32"/>
      <c r="E1678" s="19" t="n">
        <f aca="false">+F1678*0.03</f>
        <v>0</v>
      </c>
      <c r="F1678" s="33" t="n">
        <v>0</v>
      </c>
      <c r="G1678" s="62"/>
      <c r="H1678" s="35" t="n">
        <v>0</v>
      </c>
      <c r="I1678" s="34" t="n">
        <f aca="false">+IF(E1678=0,0,E1678*0.03)</f>
        <v>0</v>
      </c>
    </row>
    <row r="1679" customFormat="false" ht="15.75" hidden="false" customHeight="true" outlineLevel="0" collapsed="false">
      <c r="A1679" s="30" t="n">
        <v>45444</v>
      </c>
      <c r="B1679" s="31" t="s">
        <v>153</v>
      </c>
      <c r="C1679" s="32"/>
      <c r="D1679" s="32"/>
      <c r="E1679" s="19" t="n">
        <f aca="false">+F1679*0.03</f>
        <v>0</v>
      </c>
      <c r="F1679" s="33" t="n">
        <v>0</v>
      </c>
      <c r="G1679" s="62"/>
      <c r="H1679" s="35" t="n">
        <v>0</v>
      </c>
      <c r="I1679" s="34" t="n">
        <f aca="false">+IF(E1679=0,0,E1679*0.03)</f>
        <v>0</v>
      </c>
    </row>
    <row r="1680" customFormat="false" ht="15.75" hidden="false" customHeight="true" outlineLevel="0" collapsed="false">
      <c r="A1680" s="30" t="n">
        <v>45444</v>
      </c>
      <c r="B1680" s="31" t="s">
        <v>153</v>
      </c>
      <c r="C1680" s="32"/>
      <c r="D1680" s="32"/>
      <c r="E1680" s="19" t="n">
        <f aca="false">+F1680*0.03</f>
        <v>0</v>
      </c>
      <c r="F1680" s="33" t="n">
        <v>0</v>
      </c>
      <c r="G1680" s="62"/>
      <c r="H1680" s="35" t="n">
        <v>0</v>
      </c>
      <c r="I1680" s="34" t="n">
        <f aca="false">+IF(E1680=0,0,E1680*0.03)</f>
        <v>0</v>
      </c>
    </row>
    <row r="1681" customFormat="false" ht="15.75" hidden="false" customHeight="true" outlineLevel="0" collapsed="false">
      <c r="A1681" s="30" t="n">
        <v>45444</v>
      </c>
      <c r="B1681" s="31" t="s">
        <v>153</v>
      </c>
      <c r="C1681" s="32"/>
      <c r="D1681" s="32"/>
      <c r="E1681" s="19" t="n">
        <f aca="false">+F1681*0.03</f>
        <v>0</v>
      </c>
      <c r="F1681" s="33" t="n">
        <v>0</v>
      </c>
      <c r="G1681" s="62"/>
      <c r="H1681" s="35" t="n">
        <v>0</v>
      </c>
      <c r="I1681" s="34" t="n">
        <f aca="false">+IF(E1681=0,0,E1681*0.03)</f>
        <v>0</v>
      </c>
    </row>
    <row r="1682" customFormat="false" ht="15.75" hidden="false" customHeight="true" outlineLevel="0" collapsed="false">
      <c r="A1682" s="30" t="n">
        <v>45444</v>
      </c>
      <c r="B1682" s="31" t="s">
        <v>153</v>
      </c>
      <c r="C1682" s="32"/>
      <c r="D1682" s="32"/>
      <c r="E1682" s="19" t="n">
        <f aca="false">+F1682*0.03</f>
        <v>0</v>
      </c>
      <c r="F1682" s="33" t="n">
        <v>0</v>
      </c>
      <c r="G1682" s="62"/>
      <c r="H1682" s="35" t="n">
        <v>0</v>
      </c>
      <c r="I1682" s="34" t="n">
        <f aca="false">+IF(E1682=0,0,E1682*0.03)</f>
        <v>0</v>
      </c>
    </row>
    <row r="1683" customFormat="false" ht="15.75" hidden="false" customHeight="true" outlineLevel="0" collapsed="false">
      <c r="A1683" s="30" t="n">
        <v>45444</v>
      </c>
      <c r="B1683" s="31" t="s">
        <v>153</v>
      </c>
      <c r="C1683" s="32"/>
      <c r="D1683" s="32"/>
      <c r="E1683" s="19" t="n">
        <f aca="false">+F1683*0.03</f>
        <v>0</v>
      </c>
      <c r="F1683" s="33" t="n">
        <v>0</v>
      </c>
      <c r="G1683" s="62"/>
      <c r="H1683" s="35" t="n">
        <v>0</v>
      </c>
      <c r="I1683" s="34" t="n">
        <f aca="false">+IF(E1683=0,0,E1683*0.03)</f>
        <v>0</v>
      </c>
    </row>
    <row r="1684" customFormat="false" ht="15.75" hidden="false" customHeight="true" outlineLevel="0" collapsed="false">
      <c r="A1684" s="30" t="n">
        <v>45444</v>
      </c>
      <c r="B1684" s="31" t="s">
        <v>153</v>
      </c>
      <c r="C1684" s="32"/>
      <c r="D1684" s="32"/>
      <c r="E1684" s="19" t="n">
        <f aca="false">+F1684*0.03</f>
        <v>0</v>
      </c>
      <c r="F1684" s="33" t="n">
        <v>0</v>
      </c>
      <c r="G1684" s="62"/>
      <c r="H1684" s="35" t="n">
        <v>0</v>
      </c>
      <c r="I1684" s="34" t="n">
        <f aca="false">+IF(E1684=0,0,E1684*0.03)</f>
        <v>0</v>
      </c>
    </row>
    <row r="1685" customFormat="false" ht="15.75" hidden="false" customHeight="true" outlineLevel="0" collapsed="false">
      <c r="A1685" s="30" t="n">
        <v>45444</v>
      </c>
      <c r="B1685" s="31" t="s">
        <v>153</v>
      </c>
      <c r="C1685" s="32"/>
      <c r="D1685" s="32"/>
      <c r="E1685" s="19" t="n">
        <f aca="false">+F1685*0.03</f>
        <v>0</v>
      </c>
      <c r="F1685" s="33" t="n">
        <v>0</v>
      </c>
      <c r="G1685" s="62"/>
      <c r="H1685" s="35" t="n">
        <v>0</v>
      </c>
      <c r="I1685" s="34" t="n">
        <f aca="false">+IF(E1685=0,0,E1685*0.03)</f>
        <v>0</v>
      </c>
    </row>
    <row r="1686" customFormat="false" ht="15.75" hidden="false" customHeight="true" outlineLevel="0" collapsed="false">
      <c r="A1686" s="30" t="n">
        <v>45444</v>
      </c>
      <c r="B1686" s="31" t="s">
        <v>153</v>
      </c>
      <c r="C1686" s="32"/>
      <c r="D1686" s="32"/>
      <c r="E1686" s="19" t="n">
        <f aca="false">+F1686*0.03</f>
        <v>0</v>
      </c>
      <c r="F1686" s="33" t="n">
        <v>0</v>
      </c>
      <c r="G1686" s="62"/>
      <c r="H1686" s="35" t="n">
        <v>0</v>
      </c>
      <c r="I1686" s="34" t="n">
        <f aca="false">+IF(E1686=0,0,E1686*0.03)</f>
        <v>0</v>
      </c>
    </row>
    <row r="1687" customFormat="false" ht="15.75" hidden="false" customHeight="true" outlineLevel="0" collapsed="false">
      <c r="A1687" s="30" t="n">
        <v>45444</v>
      </c>
      <c r="B1687" s="31" t="s">
        <v>153</v>
      </c>
      <c r="C1687" s="32"/>
      <c r="D1687" s="32"/>
      <c r="E1687" s="19" t="n">
        <f aca="false">+F1687*0.03</f>
        <v>0</v>
      </c>
      <c r="F1687" s="33" t="n">
        <v>0</v>
      </c>
      <c r="G1687" s="62"/>
      <c r="H1687" s="35" t="n">
        <v>0</v>
      </c>
      <c r="I1687" s="34" t="n">
        <f aca="false">+IF(E1687=0,0,E1687*0.03)</f>
        <v>0</v>
      </c>
    </row>
    <row r="1688" customFormat="false" ht="15.75" hidden="false" customHeight="true" outlineLevel="0" collapsed="false">
      <c r="A1688" s="30" t="n">
        <v>45444</v>
      </c>
      <c r="B1688" s="31" t="s">
        <v>153</v>
      </c>
      <c r="C1688" s="32"/>
      <c r="D1688" s="32"/>
      <c r="E1688" s="19" t="n">
        <f aca="false">+F1688*0.03</f>
        <v>0</v>
      </c>
      <c r="F1688" s="33" t="n">
        <v>0</v>
      </c>
      <c r="G1688" s="62"/>
      <c r="H1688" s="35" t="n">
        <v>0</v>
      </c>
      <c r="I1688" s="34" t="n">
        <f aca="false">+IF(E1688=0,0,E1688*0.03)</f>
        <v>0</v>
      </c>
    </row>
    <row r="1689" customFormat="false" ht="15.75" hidden="false" customHeight="true" outlineLevel="0" collapsed="false">
      <c r="A1689" s="30" t="n">
        <v>45444</v>
      </c>
      <c r="B1689" s="31" t="s">
        <v>153</v>
      </c>
      <c r="C1689" s="32"/>
      <c r="D1689" s="32"/>
      <c r="E1689" s="19" t="n">
        <f aca="false">+F1689*0.03</f>
        <v>0</v>
      </c>
      <c r="F1689" s="33" t="n">
        <v>0</v>
      </c>
      <c r="G1689" s="62"/>
      <c r="H1689" s="35" t="n">
        <v>0</v>
      </c>
      <c r="I1689" s="34" t="n">
        <f aca="false">+IF(E1689=0,0,E1689*0.03)</f>
        <v>0</v>
      </c>
    </row>
    <row r="1690" customFormat="false" ht="15.75" hidden="false" customHeight="true" outlineLevel="0" collapsed="false">
      <c r="A1690" s="30" t="n">
        <v>45444</v>
      </c>
      <c r="B1690" s="31" t="s">
        <v>153</v>
      </c>
      <c r="C1690" s="32"/>
      <c r="D1690" s="32"/>
      <c r="E1690" s="19" t="n">
        <f aca="false">+F1690*0.03</f>
        <v>0</v>
      </c>
      <c r="F1690" s="33" t="n">
        <v>0</v>
      </c>
      <c r="G1690" s="62"/>
      <c r="H1690" s="35" t="n">
        <v>0</v>
      </c>
      <c r="I1690" s="34" t="n">
        <f aca="false">+IF(E1690=0,0,E1690*0.03)</f>
        <v>0</v>
      </c>
    </row>
    <row r="1691" customFormat="false" ht="15.75" hidden="false" customHeight="true" outlineLevel="0" collapsed="false">
      <c r="A1691" s="30" t="n">
        <v>45444</v>
      </c>
      <c r="B1691" s="31" t="s">
        <v>153</v>
      </c>
      <c r="C1691" s="32"/>
      <c r="D1691" s="32"/>
      <c r="E1691" s="19" t="n">
        <f aca="false">+F1691*0.03</f>
        <v>0</v>
      </c>
      <c r="F1691" s="33" t="n">
        <v>0</v>
      </c>
      <c r="G1691" s="62"/>
      <c r="H1691" s="35" t="n">
        <v>0</v>
      </c>
      <c r="I1691" s="34" t="n">
        <f aca="false">+IF(E1691=0,0,E1691*0.03)</f>
        <v>0</v>
      </c>
    </row>
    <row r="1692" customFormat="false" ht="15.75" hidden="false" customHeight="true" outlineLevel="0" collapsed="false">
      <c r="A1692" s="30" t="n">
        <v>45444</v>
      </c>
      <c r="B1692" s="31" t="s">
        <v>153</v>
      </c>
      <c r="C1692" s="32"/>
      <c r="D1692" s="32"/>
      <c r="E1692" s="19" t="n">
        <f aca="false">+F1692*0.03</f>
        <v>0</v>
      </c>
      <c r="F1692" s="33" t="n">
        <v>0</v>
      </c>
      <c r="G1692" s="62"/>
      <c r="H1692" s="35" t="n">
        <v>0</v>
      </c>
      <c r="I1692" s="34" t="n">
        <f aca="false">+IF(E1692=0,0,E1692*0.03)</f>
        <v>0</v>
      </c>
    </row>
    <row r="1693" customFormat="false" ht="15.75" hidden="false" customHeight="true" outlineLevel="0" collapsed="false">
      <c r="A1693" s="30" t="n">
        <v>45444</v>
      </c>
      <c r="B1693" s="31" t="s">
        <v>153</v>
      </c>
      <c r="C1693" s="32"/>
      <c r="D1693" s="32"/>
      <c r="E1693" s="19" t="n">
        <f aca="false">+F1693*0.03</f>
        <v>0</v>
      </c>
      <c r="F1693" s="33" t="n">
        <v>0</v>
      </c>
      <c r="G1693" s="62"/>
      <c r="H1693" s="35" t="n">
        <v>0</v>
      </c>
      <c r="I1693" s="34" t="n">
        <f aca="false">+IF(E1693=0,0,E1693*0.03)</f>
        <v>0</v>
      </c>
    </row>
    <row r="1694" customFormat="false" ht="15.75" hidden="false" customHeight="true" outlineLevel="0" collapsed="false">
      <c r="A1694" s="30" t="n">
        <v>45444</v>
      </c>
      <c r="B1694" s="31" t="s">
        <v>153</v>
      </c>
      <c r="C1694" s="32"/>
      <c r="D1694" s="32"/>
      <c r="E1694" s="19" t="n">
        <f aca="false">+F1694*0.03</f>
        <v>0</v>
      </c>
      <c r="F1694" s="33" t="n">
        <v>0</v>
      </c>
      <c r="G1694" s="62"/>
      <c r="H1694" s="35" t="n">
        <v>0</v>
      </c>
      <c r="I1694" s="34" t="n">
        <f aca="false">+IF(E1694=0,0,E1694*0.03)</f>
        <v>0</v>
      </c>
    </row>
    <row r="1695" customFormat="false" ht="15.75" hidden="false" customHeight="true" outlineLevel="0" collapsed="false">
      <c r="A1695" s="30" t="n">
        <v>45444</v>
      </c>
      <c r="B1695" s="31" t="s">
        <v>153</v>
      </c>
      <c r="C1695" s="32"/>
      <c r="D1695" s="32"/>
      <c r="E1695" s="19" t="n">
        <f aca="false">+F1695*0.03</f>
        <v>0</v>
      </c>
      <c r="F1695" s="33" t="n">
        <v>0</v>
      </c>
      <c r="G1695" s="62"/>
      <c r="H1695" s="35" t="n">
        <v>0</v>
      </c>
      <c r="I1695" s="34" t="n">
        <f aca="false">+IF(E1695=0,0,E1695*0.03)</f>
        <v>0</v>
      </c>
    </row>
    <row r="1696" customFormat="false" ht="15.75" hidden="false" customHeight="true" outlineLevel="0" collapsed="false">
      <c r="A1696" s="30" t="n">
        <v>45444</v>
      </c>
      <c r="B1696" s="31" t="s">
        <v>153</v>
      </c>
      <c r="C1696" s="32"/>
      <c r="D1696" s="32"/>
      <c r="E1696" s="19" t="n">
        <f aca="false">+F1696*0.03</f>
        <v>0</v>
      </c>
      <c r="F1696" s="33" t="n">
        <v>0</v>
      </c>
      <c r="G1696" s="62"/>
      <c r="H1696" s="35" t="n">
        <v>0</v>
      </c>
      <c r="I1696" s="34" t="n">
        <f aca="false">+IF(E1696=0,0,E1696*0.03)</f>
        <v>0</v>
      </c>
    </row>
    <row r="1697" customFormat="false" ht="15.75" hidden="false" customHeight="true" outlineLevel="0" collapsed="false">
      <c r="A1697" s="30" t="n">
        <v>45444</v>
      </c>
      <c r="B1697" s="31" t="s">
        <v>153</v>
      </c>
      <c r="C1697" s="32"/>
      <c r="D1697" s="32"/>
      <c r="E1697" s="19" t="n">
        <f aca="false">+F1697*0.03</f>
        <v>0</v>
      </c>
      <c r="F1697" s="33" t="n">
        <v>0</v>
      </c>
      <c r="G1697" s="62"/>
      <c r="H1697" s="35" t="n">
        <v>0</v>
      </c>
      <c r="I1697" s="34" t="n">
        <f aca="false">+IF(E1697=0,0,E1697*0.03)</f>
        <v>0</v>
      </c>
    </row>
    <row r="1698" customFormat="false" ht="15.75" hidden="false" customHeight="true" outlineLevel="0" collapsed="false">
      <c r="A1698" s="30" t="n">
        <v>45444</v>
      </c>
      <c r="B1698" s="31" t="s">
        <v>153</v>
      </c>
      <c r="C1698" s="32"/>
      <c r="D1698" s="32"/>
      <c r="E1698" s="19" t="n">
        <f aca="false">+F1698*0.03</f>
        <v>0</v>
      </c>
      <c r="F1698" s="33" t="n">
        <v>0</v>
      </c>
      <c r="G1698" s="62"/>
      <c r="H1698" s="35" t="n">
        <v>0</v>
      </c>
      <c r="I1698" s="34" t="n">
        <f aca="false">+IF(E1698=0,0,E1698*0.03)</f>
        <v>0</v>
      </c>
    </row>
    <row r="1699" customFormat="false" ht="15.75" hidden="false" customHeight="true" outlineLevel="0" collapsed="false">
      <c r="A1699" s="30" t="n">
        <v>45444</v>
      </c>
      <c r="B1699" s="31" t="s">
        <v>153</v>
      </c>
      <c r="C1699" s="32"/>
      <c r="D1699" s="32"/>
      <c r="E1699" s="19" t="n">
        <f aca="false">+F1699*0.03</f>
        <v>0</v>
      </c>
      <c r="F1699" s="33" t="n">
        <v>0</v>
      </c>
      <c r="G1699" s="62"/>
      <c r="H1699" s="35" t="n">
        <v>0</v>
      </c>
      <c r="I1699" s="34" t="n">
        <f aca="false">+IF(E1699=0,0,E1699*0.03)</f>
        <v>0</v>
      </c>
    </row>
    <row r="1700" customFormat="false" ht="15.75" hidden="false" customHeight="true" outlineLevel="0" collapsed="false">
      <c r="A1700" s="30" t="n">
        <v>45444</v>
      </c>
      <c r="B1700" s="31" t="s">
        <v>153</v>
      </c>
      <c r="C1700" s="32"/>
      <c r="D1700" s="32"/>
      <c r="E1700" s="19" t="n">
        <f aca="false">+F1700*0.03</f>
        <v>0</v>
      </c>
      <c r="F1700" s="33" t="n">
        <v>0</v>
      </c>
      <c r="G1700" s="62"/>
      <c r="H1700" s="35" t="n">
        <v>0</v>
      </c>
      <c r="I1700" s="34" t="n">
        <f aca="false">+IF(E1700=0,0,E1700*0.03)</f>
        <v>0</v>
      </c>
    </row>
    <row r="1701" customFormat="false" ht="15.75" hidden="false" customHeight="true" outlineLevel="0" collapsed="false">
      <c r="A1701" s="30" t="n">
        <v>45444</v>
      </c>
      <c r="B1701" s="31" t="s">
        <v>153</v>
      </c>
      <c r="C1701" s="32"/>
      <c r="D1701" s="32"/>
      <c r="E1701" s="19" t="n">
        <f aca="false">+F1701*0.03</f>
        <v>0</v>
      </c>
      <c r="F1701" s="33" t="n">
        <v>0</v>
      </c>
      <c r="G1701" s="62"/>
      <c r="H1701" s="35" t="n">
        <v>0</v>
      </c>
      <c r="I1701" s="34" t="n">
        <f aca="false">+IF(E1701=0,0,E1701*0.03)</f>
        <v>0</v>
      </c>
    </row>
    <row r="1702" customFormat="false" ht="15.75" hidden="false" customHeight="true" outlineLevel="0" collapsed="false">
      <c r="A1702" s="30" t="n">
        <v>45444</v>
      </c>
      <c r="B1702" s="31" t="s">
        <v>153</v>
      </c>
      <c r="C1702" s="32"/>
      <c r="D1702" s="32"/>
      <c r="E1702" s="19" t="n">
        <f aca="false">+F1702*0.03</f>
        <v>0</v>
      </c>
      <c r="F1702" s="33" t="n">
        <v>0</v>
      </c>
      <c r="G1702" s="62"/>
      <c r="H1702" s="35" t="n">
        <v>0</v>
      </c>
      <c r="I1702" s="34" t="n">
        <f aca="false">+IF(E1702=0,0,E1702*0.03)</f>
        <v>0</v>
      </c>
    </row>
    <row r="1703" customFormat="false" ht="15.75" hidden="false" customHeight="true" outlineLevel="0" collapsed="false">
      <c r="A1703" s="30" t="n">
        <v>45444</v>
      </c>
      <c r="B1703" s="31" t="s">
        <v>153</v>
      </c>
      <c r="C1703" s="32"/>
      <c r="D1703" s="32"/>
      <c r="E1703" s="19" t="n">
        <f aca="false">+F1703*0.03</f>
        <v>0</v>
      </c>
      <c r="F1703" s="33" t="n">
        <v>0</v>
      </c>
      <c r="G1703" s="62"/>
      <c r="H1703" s="35" t="n">
        <v>0</v>
      </c>
      <c r="I1703" s="34" t="n">
        <f aca="false">+IF(E1703=0,0,E1703*0.03)</f>
        <v>0</v>
      </c>
    </row>
    <row r="1704" customFormat="false" ht="15.75" hidden="false" customHeight="true" outlineLevel="0" collapsed="false">
      <c r="A1704" s="30" t="n">
        <v>45444</v>
      </c>
      <c r="B1704" s="31" t="s">
        <v>153</v>
      </c>
      <c r="C1704" s="32"/>
      <c r="D1704" s="32"/>
      <c r="E1704" s="19" t="n">
        <f aca="false">+F1704*0.03</f>
        <v>0</v>
      </c>
      <c r="F1704" s="33" t="n">
        <v>0</v>
      </c>
      <c r="G1704" s="62"/>
      <c r="H1704" s="35" t="n">
        <v>0</v>
      </c>
      <c r="I1704" s="34" t="n">
        <f aca="false">+IF(E1704=0,0,E1704*0.03)</f>
        <v>0</v>
      </c>
    </row>
    <row r="1705" customFormat="false" ht="15.75" hidden="false" customHeight="true" outlineLevel="0" collapsed="false">
      <c r="A1705" s="30" t="n">
        <v>45444</v>
      </c>
      <c r="B1705" s="31" t="s">
        <v>153</v>
      </c>
      <c r="C1705" s="32"/>
      <c r="D1705" s="32"/>
      <c r="E1705" s="19" t="n">
        <f aca="false">+F1705*0.03</f>
        <v>0</v>
      </c>
      <c r="F1705" s="33" t="n">
        <v>0</v>
      </c>
      <c r="G1705" s="62"/>
      <c r="H1705" s="35" t="n">
        <v>0</v>
      </c>
      <c r="I1705" s="34" t="n">
        <f aca="false">+IF(E1705=0,0,E1705*0.03)</f>
        <v>0</v>
      </c>
    </row>
    <row r="1706" customFormat="false" ht="15.75" hidden="false" customHeight="true" outlineLevel="0" collapsed="false">
      <c r="A1706" s="30" t="n">
        <v>45444</v>
      </c>
      <c r="B1706" s="31" t="s">
        <v>153</v>
      </c>
      <c r="C1706" s="32"/>
      <c r="D1706" s="32"/>
      <c r="E1706" s="19" t="n">
        <f aca="false">+F1706*0.03</f>
        <v>0</v>
      </c>
      <c r="F1706" s="33" t="n">
        <v>0</v>
      </c>
      <c r="G1706" s="62"/>
      <c r="H1706" s="35" t="n">
        <v>0</v>
      </c>
      <c r="I1706" s="34" t="n">
        <f aca="false">+IF(E1706=0,0,E1706*0.03)</f>
        <v>0</v>
      </c>
    </row>
    <row r="1707" customFormat="false" ht="15.75" hidden="false" customHeight="true" outlineLevel="0" collapsed="false">
      <c r="A1707" s="30" t="n">
        <v>45444</v>
      </c>
      <c r="B1707" s="31" t="s">
        <v>153</v>
      </c>
      <c r="C1707" s="32"/>
      <c r="D1707" s="32"/>
      <c r="E1707" s="19" t="n">
        <f aca="false">+F1707*0.03</f>
        <v>0</v>
      </c>
      <c r="F1707" s="33" t="n">
        <v>0</v>
      </c>
      <c r="G1707" s="62"/>
      <c r="H1707" s="35" t="n">
        <v>0</v>
      </c>
      <c r="I1707" s="34" t="n">
        <f aca="false">+IF(E1707=0,0,E1707*0.03)</f>
        <v>0</v>
      </c>
    </row>
    <row r="1708" customFormat="false" ht="15.75" hidden="false" customHeight="true" outlineLevel="0" collapsed="false">
      <c r="A1708" s="30" t="n">
        <v>45444</v>
      </c>
      <c r="B1708" s="31" t="s">
        <v>153</v>
      </c>
      <c r="C1708" s="32"/>
      <c r="D1708" s="32"/>
      <c r="E1708" s="19" t="n">
        <f aca="false">+F1708*0.03</f>
        <v>0</v>
      </c>
      <c r="F1708" s="33" t="n">
        <v>0</v>
      </c>
      <c r="G1708" s="62"/>
      <c r="H1708" s="35" t="n">
        <v>0</v>
      </c>
      <c r="I1708" s="34" t="n">
        <f aca="false">+IF(E1708=0,0,E1708*0.03)</f>
        <v>0</v>
      </c>
    </row>
    <row r="1709" customFormat="false" ht="15.75" hidden="false" customHeight="true" outlineLevel="0" collapsed="false">
      <c r="A1709" s="30" t="n">
        <v>45444</v>
      </c>
      <c r="B1709" s="31" t="s">
        <v>153</v>
      </c>
      <c r="C1709" s="32"/>
      <c r="D1709" s="32"/>
      <c r="E1709" s="19" t="n">
        <f aca="false">+F1709*0.03</f>
        <v>0</v>
      </c>
      <c r="F1709" s="33" t="n">
        <v>0</v>
      </c>
      <c r="G1709" s="62"/>
      <c r="H1709" s="35" t="n">
        <v>0</v>
      </c>
      <c r="I1709" s="34" t="n">
        <f aca="false">+IF(E1709=0,0,E1709*0.03)</f>
        <v>0</v>
      </c>
    </row>
    <row r="1710" customFormat="false" ht="15.75" hidden="false" customHeight="true" outlineLevel="0" collapsed="false">
      <c r="A1710" s="30" t="n">
        <v>45444</v>
      </c>
      <c r="B1710" s="31" t="s">
        <v>153</v>
      </c>
      <c r="C1710" s="32"/>
      <c r="D1710" s="32"/>
      <c r="E1710" s="19" t="n">
        <f aca="false">+F1710*0.03</f>
        <v>0</v>
      </c>
      <c r="F1710" s="33" t="n">
        <v>0</v>
      </c>
      <c r="G1710" s="62"/>
      <c r="H1710" s="35" t="n">
        <v>0</v>
      </c>
      <c r="I1710" s="34" t="n">
        <f aca="false">+IF(E1710=0,0,E1710*0.03)</f>
        <v>0</v>
      </c>
    </row>
    <row r="1711" customFormat="false" ht="15.75" hidden="false" customHeight="true" outlineLevel="0" collapsed="false">
      <c r="A1711" s="30" t="n">
        <v>45444</v>
      </c>
      <c r="B1711" s="31" t="s">
        <v>153</v>
      </c>
      <c r="C1711" s="32"/>
      <c r="D1711" s="32"/>
      <c r="E1711" s="19" t="n">
        <f aca="false">+F1711*0.03</f>
        <v>0</v>
      </c>
      <c r="F1711" s="33" t="n">
        <v>0</v>
      </c>
      <c r="G1711" s="62"/>
      <c r="H1711" s="35" t="n">
        <v>0</v>
      </c>
      <c r="I1711" s="34" t="n">
        <f aca="false">+IF(E1711=0,0,E1711*0.03)</f>
        <v>0</v>
      </c>
    </row>
    <row r="1712" customFormat="false" ht="15.75" hidden="false" customHeight="true" outlineLevel="0" collapsed="false">
      <c r="A1712" s="30" t="n">
        <v>45444</v>
      </c>
      <c r="B1712" s="31" t="s">
        <v>153</v>
      </c>
      <c r="C1712" s="32"/>
      <c r="D1712" s="32"/>
      <c r="E1712" s="19" t="n">
        <f aca="false">+F1712*0.03</f>
        <v>0</v>
      </c>
      <c r="F1712" s="33" t="n">
        <v>0</v>
      </c>
      <c r="G1712" s="62"/>
      <c r="H1712" s="35" t="n">
        <v>0</v>
      </c>
      <c r="I1712" s="34" t="n">
        <f aca="false">+IF(E1712=0,0,E1712*0.03)</f>
        <v>0</v>
      </c>
    </row>
    <row r="1713" customFormat="false" ht="15.75" hidden="false" customHeight="true" outlineLevel="0" collapsed="false">
      <c r="A1713" s="30" t="n">
        <v>45444</v>
      </c>
      <c r="B1713" s="31" t="s">
        <v>153</v>
      </c>
      <c r="C1713" s="32"/>
      <c r="D1713" s="32"/>
      <c r="E1713" s="19" t="n">
        <f aca="false">+F1713*0.03</f>
        <v>0</v>
      </c>
      <c r="F1713" s="33" t="n">
        <v>0</v>
      </c>
      <c r="G1713" s="62"/>
      <c r="H1713" s="35" t="n">
        <v>0</v>
      </c>
      <c r="I1713" s="34" t="n">
        <f aca="false">+IF(E1713=0,0,E1713*0.03)</f>
        <v>0</v>
      </c>
    </row>
    <row r="1714" customFormat="false" ht="15.75" hidden="false" customHeight="true" outlineLevel="0" collapsed="false">
      <c r="A1714" s="30" t="n">
        <v>45444</v>
      </c>
      <c r="B1714" s="31" t="s">
        <v>153</v>
      </c>
      <c r="C1714" s="32"/>
      <c r="D1714" s="32"/>
      <c r="E1714" s="19" t="n">
        <f aca="false">+F1714*0.03</f>
        <v>0</v>
      </c>
      <c r="F1714" s="33" t="n">
        <v>0</v>
      </c>
      <c r="G1714" s="62"/>
      <c r="H1714" s="35" t="n">
        <v>0</v>
      </c>
      <c r="I1714" s="34" t="n">
        <f aca="false">+IF(E1714=0,0,E1714*0.03)</f>
        <v>0</v>
      </c>
    </row>
    <row r="1715" customFormat="false" ht="15.75" hidden="false" customHeight="true" outlineLevel="0" collapsed="false">
      <c r="A1715" s="30" t="n">
        <v>45444</v>
      </c>
      <c r="B1715" s="31" t="s">
        <v>153</v>
      </c>
      <c r="C1715" s="32"/>
      <c r="D1715" s="32"/>
      <c r="E1715" s="19" t="n">
        <f aca="false">+F1715*0.03</f>
        <v>0</v>
      </c>
      <c r="F1715" s="33" t="n">
        <v>0</v>
      </c>
      <c r="G1715" s="62"/>
      <c r="H1715" s="35" t="n">
        <v>0</v>
      </c>
      <c r="I1715" s="34" t="n">
        <f aca="false">+IF(E1715=0,0,E1715*0.03)</f>
        <v>0</v>
      </c>
    </row>
    <row r="1716" customFormat="false" ht="15.75" hidden="false" customHeight="true" outlineLevel="0" collapsed="false">
      <c r="A1716" s="30" t="n">
        <v>45444</v>
      </c>
      <c r="B1716" s="31" t="s">
        <v>153</v>
      </c>
      <c r="C1716" s="32"/>
      <c r="D1716" s="32"/>
      <c r="E1716" s="19" t="n">
        <f aca="false">+F1716*0.03</f>
        <v>0</v>
      </c>
      <c r="F1716" s="33" t="n">
        <v>0</v>
      </c>
      <c r="G1716" s="62"/>
      <c r="H1716" s="35" t="n">
        <v>0</v>
      </c>
      <c r="I1716" s="34" t="n">
        <f aca="false">+IF(E1716=0,0,E1716*0.03)</f>
        <v>0</v>
      </c>
    </row>
    <row r="1717" customFormat="false" ht="15.75" hidden="false" customHeight="true" outlineLevel="0" collapsed="false">
      <c r="A1717" s="30" t="n">
        <v>45444</v>
      </c>
      <c r="B1717" s="31" t="s">
        <v>153</v>
      </c>
      <c r="C1717" s="32"/>
      <c r="D1717" s="32"/>
      <c r="E1717" s="19" t="n">
        <f aca="false">+F1717*0.03</f>
        <v>0</v>
      </c>
      <c r="F1717" s="33" t="n">
        <v>0</v>
      </c>
      <c r="G1717" s="62"/>
      <c r="H1717" s="35" t="n">
        <v>0</v>
      </c>
      <c r="I1717" s="34" t="n">
        <f aca="false">+IF(E1717=0,0,E1717*0.03)</f>
        <v>0</v>
      </c>
    </row>
    <row r="1718" customFormat="false" ht="15.75" hidden="false" customHeight="true" outlineLevel="0" collapsed="false">
      <c r="A1718" s="30" t="n">
        <v>45444</v>
      </c>
      <c r="B1718" s="31" t="s">
        <v>153</v>
      </c>
      <c r="C1718" s="32"/>
      <c r="D1718" s="32"/>
      <c r="E1718" s="19" t="n">
        <f aca="false">+F1718*0.03</f>
        <v>0</v>
      </c>
      <c r="F1718" s="33" t="n">
        <v>0</v>
      </c>
      <c r="G1718" s="62"/>
      <c r="H1718" s="35" t="n">
        <v>0</v>
      </c>
      <c r="I1718" s="34" t="n">
        <f aca="false">+IF(E1718=0,0,E1718*0.03)</f>
        <v>0</v>
      </c>
    </row>
    <row r="1719" customFormat="false" ht="15.75" hidden="false" customHeight="true" outlineLevel="0" collapsed="false">
      <c r="A1719" s="30" t="n">
        <v>45444</v>
      </c>
      <c r="B1719" s="31" t="s">
        <v>153</v>
      </c>
      <c r="C1719" s="32"/>
      <c r="D1719" s="32"/>
      <c r="E1719" s="19" t="n">
        <f aca="false">+F1719*0.03</f>
        <v>0</v>
      </c>
      <c r="F1719" s="33" t="n">
        <v>0</v>
      </c>
      <c r="G1719" s="62"/>
      <c r="H1719" s="35" t="n">
        <v>0</v>
      </c>
      <c r="I1719" s="34" t="n">
        <f aca="false">+IF(E1719=0,0,E1719*0.03)</f>
        <v>0</v>
      </c>
    </row>
    <row r="1720" customFormat="false" ht="15.75" hidden="false" customHeight="true" outlineLevel="0" collapsed="false">
      <c r="A1720" s="30" t="n">
        <v>45444</v>
      </c>
      <c r="B1720" s="31" t="s">
        <v>153</v>
      </c>
      <c r="C1720" s="32"/>
      <c r="D1720" s="32"/>
      <c r="E1720" s="19" t="n">
        <f aca="false">+F1720*0.03</f>
        <v>0</v>
      </c>
      <c r="F1720" s="33" t="n">
        <v>0</v>
      </c>
      <c r="G1720" s="62"/>
      <c r="H1720" s="35" t="n">
        <v>0</v>
      </c>
      <c r="I1720" s="34" t="n">
        <f aca="false">+IF(E1720=0,0,E1720*0.03)</f>
        <v>0</v>
      </c>
    </row>
    <row r="1721" customFormat="false" ht="15.75" hidden="false" customHeight="true" outlineLevel="0" collapsed="false">
      <c r="A1721" s="30" t="n">
        <v>45444</v>
      </c>
      <c r="B1721" s="31" t="s">
        <v>153</v>
      </c>
      <c r="C1721" s="32"/>
      <c r="D1721" s="32"/>
      <c r="E1721" s="19" t="n">
        <f aca="false">+F1721*0.03</f>
        <v>0</v>
      </c>
      <c r="F1721" s="33" t="n">
        <v>0</v>
      </c>
      <c r="G1721" s="62"/>
      <c r="H1721" s="35" t="n">
        <v>0</v>
      </c>
      <c r="I1721" s="34" t="n">
        <f aca="false">+IF(E1721=0,0,E1721*0.03)</f>
        <v>0</v>
      </c>
    </row>
    <row r="1722" customFormat="false" ht="15.75" hidden="false" customHeight="true" outlineLevel="0" collapsed="false">
      <c r="A1722" s="30" t="n">
        <v>45444</v>
      </c>
      <c r="B1722" s="31" t="s">
        <v>153</v>
      </c>
      <c r="C1722" s="32"/>
      <c r="D1722" s="32"/>
      <c r="E1722" s="19" t="n">
        <f aca="false">+F1722*0.03</f>
        <v>0</v>
      </c>
      <c r="F1722" s="33" t="n">
        <v>0</v>
      </c>
      <c r="G1722" s="62"/>
      <c r="H1722" s="35" t="n">
        <v>0</v>
      </c>
      <c r="I1722" s="34" t="n">
        <f aca="false">+IF(E1722=0,0,E1722*0.03)</f>
        <v>0</v>
      </c>
    </row>
    <row r="1723" customFormat="false" ht="15.75" hidden="false" customHeight="true" outlineLevel="0" collapsed="false">
      <c r="A1723" s="30" t="n">
        <v>45444</v>
      </c>
      <c r="B1723" s="31" t="s">
        <v>153</v>
      </c>
      <c r="C1723" s="32"/>
      <c r="D1723" s="32"/>
      <c r="E1723" s="19" t="n">
        <f aca="false">+F1723*0.03</f>
        <v>0</v>
      </c>
      <c r="F1723" s="33" t="n">
        <v>0</v>
      </c>
      <c r="G1723" s="62"/>
      <c r="H1723" s="35" t="n">
        <v>0</v>
      </c>
      <c r="I1723" s="34" t="n">
        <f aca="false">+IF(E1723=0,0,E1723*0.03)</f>
        <v>0</v>
      </c>
    </row>
    <row r="1724" customFormat="false" ht="15.75" hidden="false" customHeight="true" outlineLevel="0" collapsed="false">
      <c r="A1724" s="30" t="n">
        <v>45444</v>
      </c>
      <c r="B1724" s="31" t="s">
        <v>153</v>
      </c>
      <c r="C1724" s="32"/>
      <c r="D1724" s="32"/>
      <c r="E1724" s="19" t="n">
        <f aca="false">+F1724*0.03</f>
        <v>0</v>
      </c>
      <c r="F1724" s="33" t="n">
        <v>0</v>
      </c>
      <c r="G1724" s="62"/>
      <c r="H1724" s="35" t="n">
        <v>0</v>
      </c>
      <c r="I1724" s="34" t="n">
        <f aca="false">+IF(E1724=0,0,E1724*0.03)</f>
        <v>0</v>
      </c>
    </row>
    <row r="1725" customFormat="false" ht="15.75" hidden="false" customHeight="true" outlineLevel="0" collapsed="false">
      <c r="A1725" s="30" t="n">
        <v>45444</v>
      </c>
      <c r="B1725" s="31" t="s">
        <v>153</v>
      </c>
      <c r="C1725" s="32"/>
      <c r="D1725" s="32"/>
      <c r="E1725" s="19" t="n">
        <f aca="false">+F1725*0.03</f>
        <v>0</v>
      </c>
      <c r="F1725" s="33" t="n">
        <v>0</v>
      </c>
      <c r="G1725" s="62"/>
      <c r="H1725" s="35" t="n">
        <v>0</v>
      </c>
      <c r="I1725" s="34" t="n">
        <f aca="false">+IF(E1725=0,0,E1725*0.03)</f>
        <v>0</v>
      </c>
    </row>
    <row r="1726" customFormat="false" ht="15.75" hidden="false" customHeight="true" outlineLevel="0" collapsed="false">
      <c r="A1726" s="30" t="n">
        <v>45444</v>
      </c>
      <c r="B1726" s="31" t="s">
        <v>153</v>
      </c>
      <c r="C1726" s="32"/>
      <c r="D1726" s="32"/>
      <c r="E1726" s="19" t="n">
        <f aca="false">+F1726*0.03</f>
        <v>0</v>
      </c>
      <c r="F1726" s="33" t="n">
        <v>0</v>
      </c>
      <c r="G1726" s="62"/>
      <c r="H1726" s="35" t="n">
        <v>0</v>
      </c>
      <c r="I1726" s="34" t="n">
        <f aca="false">+IF(E1726=0,0,E1726*0.03)</f>
        <v>0</v>
      </c>
    </row>
    <row r="1727" customFormat="false" ht="15.75" hidden="false" customHeight="true" outlineLevel="0" collapsed="false">
      <c r="A1727" s="30" t="n">
        <v>45444</v>
      </c>
      <c r="B1727" s="31" t="s">
        <v>153</v>
      </c>
      <c r="C1727" s="32"/>
      <c r="D1727" s="32"/>
      <c r="E1727" s="19" t="n">
        <f aca="false">+F1727*0.03</f>
        <v>0</v>
      </c>
      <c r="F1727" s="33" t="n">
        <v>0</v>
      </c>
      <c r="G1727" s="62"/>
      <c r="H1727" s="35" t="n">
        <v>0</v>
      </c>
      <c r="I1727" s="34" t="n">
        <f aca="false">+IF(E1727=0,0,E1727*0.03)</f>
        <v>0</v>
      </c>
    </row>
    <row r="1728" customFormat="false" ht="15.75" hidden="false" customHeight="true" outlineLevel="0" collapsed="false">
      <c r="A1728" s="30" t="n">
        <v>45444</v>
      </c>
      <c r="B1728" s="31" t="s">
        <v>153</v>
      </c>
      <c r="C1728" s="32"/>
      <c r="D1728" s="32"/>
      <c r="E1728" s="19" t="n">
        <f aca="false">+F1728*0.03</f>
        <v>0</v>
      </c>
      <c r="F1728" s="33" t="n">
        <v>0</v>
      </c>
      <c r="G1728" s="62"/>
      <c r="H1728" s="35" t="n">
        <v>0</v>
      </c>
      <c r="I1728" s="34" t="n">
        <f aca="false">+IF(E1728=0,0,E1728*0.03)</f>
        <v>0</v>
      </c>
    </row>
    <row r="1729" customFormat="false" ht="15.75" hidden="false" customHeight="true" outlineLevel="0" collapsed="false">
      <c r="A1729" s="30" t="n">
        <v>45444</v>
      </c>
      <c r="B1729" s="31" t="s">
        <v>153</v>
      </c>
      <c r="C1729" s="32"/>
      <c r="D1729" s="32"/>
      <c r="E1729" s="19" t="n">
        <f aca="false">+F1729*0.03</f>
        <v>0</v>
      </c>
      <c r="F1729" s="33" t="n">
        <v>0</v>
      </c>
      <c r="G1729" s="62"/>
      <c r="H1729" s="35" t="n">
        <v>0</v>
      </c>
      <c r="I1729" s="34" t="n">
        <f aca="false">+IF(E1729=0,0,E1729*0.03)</f>
        <v>0</v>
      </c>
    </row>
    <row r="1730" customFormat="false" ht="15.75" hidden="false" customHeight="true" outlineLevel="0" collapsed="false">
      <c r="A1730" s="30" t="n">
        <v>45444</v>
      </c>
      <c r="B1730" s="31" t="s">
        <v>153</v>
      </c>
      <c r="C1730" s="32"/>
      <c r="D1730" s="32"/>
      <c r="E1730" s="19" t="n">
        <f aca="false">+F1730*0.03</f>
        <v>0</v>
      </c>
      <c r="F1730" s="33" t="n">
        <v>0</v>
      </c>
      <c r="G1730" s="62"/>
      <c r="H1730" s="35" t="n">
        <v>0</v>
      </c>
      <c r="I1730" s="34" t="n">
        <f aca="false">+IF(E1730=0,0,E1730*0.03)</f>
        <v>0</v>
      </c>
    </row>
    <row r="1731" customFormat="false" ht="15.75" hidden="false" customHeight="true" outlineLevel="0" collapsed="false">
      <c r="A1731" s="30" t="n">
        <v>45444</v>
      </c>
      <c r="B1731" s="31" t="s">
        <v>153</v>
      </c>
      <c r="C1731" s="32"/>
      <c r="D1731" s="32"/>
      <c r="E1731" s="19" t="n">
        <f aca="false">+F1731*0.03</f>
        <v>0</v>
      </c>
      <c r="F1731" s="33" t="n">
        <v>0</v>
      </c>
      <c r="G1731" s="62"/>
      <c r="H1731" s="35" t="n">
        <v>0</v>
      </c>
      <c r="I1731" s="34" t="n">
        <f aca="false">+IF(E1731=0,0,E1731*0.03)</f>
        <v>0</v>
      </c>
    </row>
    <row r="1732" customFormat="false" ht="15.75" hidden="false" customHeight="true" outlineLevel="0" collapsed="false">
      <c r="A1732" s="30" t="n">
        <v>45444</v>
      </c>
      <c r="B1732" s="31" t="s">
        <v>153</v>
      </c>
      <c r="C1732" s="32"/>
      <c r="D1732" s="32"/>
      <c r="E1732" s="19" t="n">
        <f aca="false">+F1732*0.03</f>
        <v>0</v>
      </c>
      <c r="F1732" s="33" t="n">
        <v>0</v>
      </c>
      <c r="G1732" s="62"/>
      <c r="H1732" s="35" t="n">
        <v>0</v>
      </c>
      <c r="I1732" s="34" t="n">
        <f aca="false">+IF(E1732=0,0,E1732*0.03)</f>
        <v>0</v>
      </c>
    </row>
    <row r="1733" customFormat="false" ht="15.75" hidden="false" customHeight="true" outlineLevel="0" collapsed="false">
      <c r="A1733" s="30" t="n">
        <v>45444</v>
      </c>
      <c r="B1733" s="31" t="s">
        <v>153</v>
      </c>
      <c r="C1733" s="32"/>
      <c r="D1733" s="32"/>
      <c r="E1733" s="19" t="n">
        <f aca="false">+F1733*0.03</f>
        <v>0</v>
      </c>
      <c r="F1733" s="33" t="n">
        <v>0</v>
      </c>
      <c r="G1733" s="62"/>
      <c r="H1733" s="35" t="n">
        <v>0</v>
      </c>
      <c r="I1733" s="34" t="n">
        <f aca="false">+IF(E1733=0,0,E1733*0.03)</f>
        <v>0</v>
      </c>
    </row>
    <row r="1734" customFormat="false" ht="15.75" hidden="false" customHeight="true" outlineLevel="0" collapsed="false">
      <c r="A1734" s="30" t="n">
        <v>45444</v>
      </c>
      <c r="B1734" s="31" t="s">
        <v>153</v>
      </c>
      <c r="C1734" s="32"/>
      <c r="D1734" s="32"/>
      <c r="E1734" s="19" t="n">
        <f aca="false">+F1734*0.03</f>
        <v>0</v>
      </c>
      <c r="F1734" s="33" t="n">
        <v>0</v>
      </c>
      <c r="G1734" s="62"/>
      <c r="H1734" s="35" t="n">
        <v>0</v>
      </c>
      <c r="I1734" s="34" t="n">
        <f aca="false">+IF(E1734=0,0,E1734*0.03)</f>
        <v>0</v>
      </c>
    </row>
    <row r="1735" customFormat="false" ht="15.75" hidden="false" customHeight="true" outlineLevel="0" collapsed="false">
      <c r="A1735" s="30" t="n">
        <v>45444</v>
      </c>
      <c r="B1735" s="31" t="s">
        <v>153</v>
      </c>
      <c r="C1735" s="32"/>
      <c r="D1735" s="32"/>
      <c r="E1735" s="19" t="n">
        <f aca="false">+F1735*0.03</f>
        <v>0</v>
      </c>
      <c r="F1735" s="33" t="n">
        <v>0</v>
      </c>
      <c r="G1735" s="62"/>
      <c r="H1735" s="35" t="n">
        <v>0</v>
      </c>
      <c r="I1735" s="34" t="n">
        <f aca="false">+IF(E1735=0,0,E1735*0.03)</f>
        <v>0</v>
      </c>
    </row>
    <row r="1736" customFormat="false" ht="15.75" hidden="false" customHeight="true" outlineLevel="0" collapsed="false">
      <c r="A1736" s="30" t="n">
        <v>45444</v>
      </c>
      <c r="B1736" s="31" t="s">
        <v>153</v>
      </c>
      <c r="C1736" s="32"/>
      <c r="D1736" s="32"/>
      <c r="E1736" s="19" t="n">
        <f aca="false">+F1736*0.03</f>
        <v>0</v>
      </c>
      <c r="F1736" s="33" t="n">
        <v>0</v>
      </c>
      <c r="G1736" s="62"/>
      <c r="H1736" s="35" t="n">
        <v>0</v>
      </c>
      <c r="I1736" s="34" t="n">
        <f aca="false">+IF(E1736=0,0,E1736*0.03)</f>
        <v>0</v>
      </c>
    </row>
    <row r="1737" customFormat="false" ht="15.75" hidden="false" customHeight="true" outlineLevel="0" collapsed="false">
      <c r="A1737" s="30" t="n">
        <v>45444</v>
      </c>
      <c r="B1737" s="31" t="s">
        <v>153</v>
      </c>
      <c r="C1737" s="32"/>
      <c r="D1737" s="32"/>
      <c r="E1737" s="19" t="n">
        <f aca="false">+F1737*0.03</f>
        <v>0</v>
      </c>
      <c r="F1737" s="33" t="n">
        <v>0</v>
      </c>
      <c r="G1737" s="62"/>
      <c r="H1737" s="35" t="n">
        <v>0</v>
      </c>
      <c r="I1737" s="34" t="n">
        <f aca="false">+IF(E1737=0,0,E1737*0.03)</f>
        <v>0</v>
      </c>
    </row>
    <row r="1738" customFormat="false" ht="15.75" hidden="false" customHeight="true" outlineLevel="0" collapsed="false">
      <c r="A1738" s="30" t="n">
        <v>45444</v>
      </c>
      <c r="B1738" s="31" t="s">
        <v>153</v>
      </c>
      <c r="C1738" s="32"/>
      <c r="D1738" s="32"/>
      <c r="E1738" s="19" t="n">
        <f aca="false">+F1738*0.03</f>
        <v>0</v>
      </c>
      <c r="F1738" s="33" t="n">
        <v>0</v>
      </c>
      <c r="G1738" s="62"/>
      <c r="H1738" s="35" t="n">
        <v>0</v>
      </c>
      <c r="I1738" s="34" t="n">
        <f aca="false">+IF(E1738=0,0,E1738*0.03)</f>
        <v>0</v>
      </c>
    </row>
    <row r="1739" customFormat="false" ht="15.75" hidden="false" customHeight="true" outlineLevel="0" collapsed="false">
      <c r="A1739" s="30" t="n">
        <v>45444</v>
      </c>
      <c r="B1739" s="31" t="s">
        <v>153</v>
      </c>
      <c r="C1739" s="32"/>
      <c r="D1739" s="32"/>
      <c r="E1739" s="19" t="n">
        <f aca="false">+F1739*0.03</f>
        <v>0</v>
      </c>
      <c r="F1739" s="33" t="n">
        <v>0</v>
      </c>
      <c r="G1739" s="62"/>
      <c r="H1739" s="35" t="n">
        <v>0</v>
      </c>
      <c r="I1739" s="34" t="n">
        <f aca="false">+IF(E1739=0,0,E1739*0.03)</f>
        <v>0</v>
      </c>
    </row>
    <row r="1740" customFormat="false" ht="15.75" hidden="false" customHeight="true" outlineLevel="0" collapsed="false">
      <c r="A1740" s="30" t="n">
        <v>45444</v>
      </c>
      <c r="B1740" s="31" t="s">
        <v>153</v>
      </c>
      <c r="C1740" s="32"/>
      <c r="D1740" s="32"/>
      <c r="E1740" s="19" t="n">
        <f aca="false">+F1740*0.03</f>
        <v>0</v>
      </c>
      <c r="F1740" s="33" t="n">
        <v>0</v>
      </c>
      <c r="G1740" s="62"/>
      <c r="H1740" s="35" t="n">
        <v>0</v>
      </c>
      <c r="I1740" s="34" t="n">
        <f aca="false">+IF(E1740=0,0,E1740*0.03)</f>
        <v>0</v>
      </c>
    </row>
    <row r="1741" customFormat="false" ht="15.75" hidden="false" customHeight="true" outlineLevel="0" collapsed="false">
      <c r="A1741" s="30" t="n">
        <v>45444</v>
      </c>
      <c r="B1741" s="31" t="s">
        <v>153</v>
      </c>
      <c r="C1741" s="32"/>
      <c r="D1741" s="32"/>
      <c r="E1741" s="19" t="n">
        <f aca="false">+F1741*0.03</f>
        <v>0</v>
      </c>
      <c r="F1741" s="33" t="n">
        <v>0</v>
      </c>
      <c r="G1741" s="62"/>
      <c r="H1741" s="35" t="n">
        <v>0</v>
      </c>
      <c r="I1741" s="34" t="n">
        <f aca="false">+IF(E1741=0,0,E1741*0.03)</f>
        <v>0</v>
      </c>
    </row>
    <row r="1742" customFormat="false" ht="15.75" hidden="false" customHeight="true" outlineLevel="0" collapsed="false">
      <c r="A1742" s="30" t="n">
        <v>45444</v>
      </c>
      <c r="B1742" s="31" t="s">
        <v>153</v>
      </c>
      <c r="C1742" s="32"/>
      <c r="D1742" s="32"/>
      <c r="E1742" s="19" t="n">
        <f aca="false">+F1742*0.03</f>
        <v>0</v>
      </c>
      <c r="F1742" s="33" t="n">
        <v>0</v>
      </c>
      <c r="G1742" s="62"/>
      <c r="H1742" s="35" t="n">
        <v>0</v>
      </c>
      <c r="I1742" s="34" t="n">
        <f aca="false">+IF(E1742=0,0,E1742*0.03)</f>
        <v>0</v>
      </c>
    </row>
    <row r="1743" customFormat="false" ht="15.75" hidden="false" customHeight="true" outlineLevel="0" collapsed="false">
      <c r="A1743" s="30" t="n">
        <v>45444</v>
      </c>
      <c r="B1743" s="31" t="s">
        <v>153</v>
      </c>
      <c r="C1743" s="32"/>
      <c r="D1743" s="32"/>
      <c r="E1743" s="19" t="n">
        <f aca="false">+F1743*0.03</f>
        <v>0</v>
      </c>
      <c r="F1743" s="33" t="n">
        <v>0</v>
      </c>
      <c r="G1743" s="62"/>
      <c r="H1743" s="35" t="n">
        <v>0</v>
      </c>
      <c r="I1743" s="34" t="n">
        <f aca="false">+IF(E1743=0,0,E1743*0.03)</f>
        <v>0</v>
      </c>
    </row>
    <row r="1744" customFormat="false" ht="15.75" hidden="false" customHeight="true" outlineLevel="0" collapsed="false">
      <c r="A1744" s="30" t="n">
        <v>45444</v>
      </c>
      <c r="B1744" s="31" t="s">
        <v>153</v>
      </c>
      <c r="C1744" s="32"/>
      <c r="D1744" s="32"/>
      <c r="E1744" s="19" t="n">
        <f aca="false">+F1744*0.03</f>
        <v>0</v>
      </c>
      <c r="F1744" s="33" t="n">
        <v>0</v>
      </c>
      <c r="G1744" s="62"/>
      <c r="H1744" s="35" t="n">
        <v>0</v>
      </c>
      <c r="I1744" s="34" t="n">
        <f aca="false">+IF(E1744=0,0,E1744*0.03)</f>
        <v>0</v>
      </c>
    </row>
    <row r="1745" customFormat="false" ht="15.75" hidden="false" customHeight="true" outlineLevel="0" collapsed="false">
      <c r="A1745" s="30" t="n">
        <v>45444</v>
      </c>
      <c r="B1745" s="31" t="s">
        <v>153</v>
      </c>
      <c r="C1745" s="32"/>
      <c r="D1745" s="32"/>
      <c r="E1745" s="19" t="n">
        <f aca="false">+F1745*0.03</f>
        <v>0</v>
      </c>
      <c r="F1745" s="33" t="n">
        <v>0</v>
      </c>
      <c r="G1745" s="62"/>
      <c r="H1745" s="35" t="n">
        <v>0</v>
      </c>
      <c r="I1745" s="34" t="n">
        <f aca="false">+IF(E1745=0,0,E1745*0.03)</f>
        <v>0</v>
      </c>
    </row>
    <row r="1746" customFormat="false" ht="15.75" hidden="false" customHeight="true" outlineLevel="0" collapsed="false">
      <c r="A1746" s="30" t="n">
        <v>45444</v>
      </c>
      <c r="B1746" s="31" t="s">
        <v>153</v>
      </c>
      <c r="C1746" s="32"/>
      <c r="D1746" s="32"/>
      <c r="E1746" s="19" t="n">
        <f aca="false">+F1746*0.03</f>
        <v>0</v>
      </c>
      <c r="F1746" s="33" t="n">
        <v>0</v>
      </c>
      <c r="G1746" s="62"/>
      <c r="H1746" s="35" t="n">
        <v>0</v>
      </c>
      <c r="I1746" s="34" t="n">
        <f aca="false">+IF(E1746=0,0,E1746*0.03)</f>
        <v>0</v>
      </c>
    </row>
    <row r="1747" customFormat="false" ht="15.75" hidden="false" customHeight="true" outlineLevel="0" collapsed="false">
      <c r="A1747" s="30" t="n">
        <v>45444</v>
      </c>
      <c r="B1747" s="31" t="s">
        <v>153</v>
      </c>
      <c r="C1747" s="32"/>
      <c r="D1747" s="32"/>
      <c r="E1747" s="19" t="n">
        <f aca="false">+F1747*0.03</f>
        <v>0</v>
      </c>
      <c r="F1747" s="33" t="n">
        <v>0</v>
      </c>
      <c r="G1747" s="62"/>
      <c r="H1747" s="35" t="n">
        <v>0</v>
      </c>
      <c r="I1747" s="34" t="n">
        <f aca="false">+IF(E1747=0,0,E1747*0.03)</f>
        <v>0</v>
      </c>
    </row>
    <row r="1748" customFormat="false" ht="15.75" hidden="false" customHeight="true" outlineLevel="0" collapsed="false">
      <c r="A1748" s="30" t="n">
        <v>45444</v>
      </c>
      <c r="B1748" s="31" t="s">
        <v>153</v>
      </c>
      <c r="C1748" s="32"/>
      <c r="D1748" s="32"/>
      <c r="E1748" s="19" t="n">
        <f aca="false">+F1748*0.03</f>
        <v>0</v>
      </c>
      <c r="F1748" s="33" t="n">
        <v>0</v>
      </c>
      <c r="G1748" s="62"/>
      <c r="H1748" s="35" t="n">
        <v>0</v>
      </c>
      <c r="I1748" s="34" t="n">
        <f aca="false">+IF(E1748=0,0,E1748*0.03)</f>
        <v>0</v>
      </c>
    </row>
    <row r="1749" customFormat="false" ht="15.75" hidden="false" customHeight="true" outlineLevel="0" collapsed="false">
      <c r="A1749" s="30" t="n">
        <v>45444</v>
      </c>
      <c r="B1749" s="31" t="s">
        <v>153</v>
      </c>
      <c r="C1749" s="32"/>
      <c r="D1749" s="32"/>
      <c r="E1749" s="19" t="n">
        <f aca="false">+F1749*0.03</f>
        <v>0</v>
      </c>
      <c r="F1749" s="33" t="n">
        <v>0</v>
      </c>
      <c r="G1749" s="62"/>
      <c r="H1749" s="35" t="n">
        <v>0</v>
      </c>
      <c r="I1749" s="34" t="n">
        <f aca="false">+IF(E1749=0,0,E1749*0.03)</f>
        <v>0</v>
      </c>
    </row>
    <row r="1750" customFormat="false" ht="15.75" hidden="false" customHeight="true" outlineLevel="0" collapsed="false">
      <c r="A1750" s="30" t="n">
        <v>45444</v>
      </c>
      <c r="B1750" s="31" t="s">
        <v>153</v>
      </c>
      <c r="C1750" s="32"/>
      <c r="D1750" s="32"/>
      <c r="E1750" s="19" t="n">
        <f aca="false">+F1750*0.03</f>
        <v>0</v>
      </c>
      <c r="F1750" s="33" t="n">
        <v>0</v>
      </c>
      <c r="G1750" s="62"/>
      <c r="H1750" s="35" t="n">
        <v>0</v>
      </c>
      <c r="I1750" s="34" t="n">
        <f aca="false">+IF(E1750=0,0,E1750*0.03)</f>
        <v>0</v>
      </c>
    </row>
    <row r="1751" customFormat="false" ht="15.75" hidden="false" customHeight="true" outlineLevel="0" collapsed="false">
      <c r="A1751" s="30" t="n">
        <v>45444</v>
      </c>
      <c r="B1751" s="31" t="s">
        <v>153</v>
      </c>
      <c r="C1751" s="32"/>
      <c r="D1751" s="32"/>
      <c r="E1751" s="19" t="n">
        <f aca="false">+F1751*0.03</f>
        <v>0</v>
      </c>
      <c r="F1751" s="33" t="n">
        <v>0</v>
      </c>
      <c r="G1751" s="62"/>
      <c r="H1751" s="35" t="n">
        <v>0</v>
      </c>
      <c r="I1751" s="34" t="n">
        <f aca="false">+IF(E1751=0,0,E1751*0.03)</f>
        <v>0</v>
      </c>
    </row>
    <row r="1752" customFormat="false" ht="15.75" hidden="false" customHeight="true" outlineLevel="0" collapsed="false">
      <c r="A1752" s="30" t="n">
        <v>45444</v>
      </c>
      <c r="B1752" s="31" t="s">
        <v>153</v>
      </c>
      <c r="C1752" s="32"/>
      <c r="D1752" s="32"/>
      <c r="E1752" s="19" t="n">
        <f aca="false">+F1752*0.03</f>
        <v>0</v>
      </c>
      <c r="F1752" s="33" t="n">
        <v>0</v>
      </c>
      <c r="G1752" s="62"/>
      <c r="H1752" s="35" t="n">
        <v>0</v>
      </c>
      <c r="I1752" s="34" t="n">
        <f aca="false">+IF(E1752=0,0,E1752*0.03)</f>
        <v>0</v>
      </c>
    </row>
    <row r="1753" customFormat="false" ht="15.75" hidden="false" customHeight="true" outlineLevel="0" collapsed="false">
      <c r="A1753" s="30" t="n">
        <v>45444</v>
      </c>
      <c r="B1753" s="31" t="s">
        <v>153</v>
      </c>
      <c r="C1753" s="32"/>
      <c r="D1753" s="32"/>
      <c r="E1753" s="19" t="n">
        <f aca="false">+F1753*0.03</f>
        <v>0</v>
      </c>
      <c r="F1753" s="33" t="n">
        <v>0</v>
      </c>
      <c r="G1753" s="62"/>
      <c r="H1753" s="35" t="n">
        <v>0</v>
      </c>
      <c r="I1753" s="34" t="n">
        <f aca="false">+IF(E1753=0,0,E1753*0.03)</f>
        <v>0</v>
      </c>
    </row>
    <row r="1754" customFormat="false" ht="15.75" hidden="false" customHeight="true" outlineLevel="0" collapsed="false">
      <c r="A1754" s="30" t="n">
        <v>45444</v>
      </c>
      <c r="B1754" s="31" t="s">
        <v>153</v>
      </c>
      <c r="C1754" s="32"/>
      <c r="D1754" s="32"/>
      <c r="E1754" s="19" t="n">
        <f aca="false">+F1754*0.03</f>
        <v>0</v>
      </c>
      <c r="F1754" s="33" t="n">
        <v>0</v>
      </c>
      <c r="G1754" s="62"/>
      <c r="H1754" s="35" t="n">
        <v>0</v>
      </c>
      <c r="I1754" s="34" t="n">
        <f aca="false">+IF(E1754=0,0,E1754*0.03)</f>
        <v>0</v>
      </c>
    </row>
    <row r="1755" customFormat="false" ht="15.75" hidden="false" customHeight="true" outlineLevel="0" collapsed="false">
      <c r="A1755" s="30" t="n">
        <v>45444</v>
      </c>
      <c r="B1755" s="31" t="s">
        <v>153</v>
      </c>
      <c r="C1755" s="32"/>
      <c r="D1755" s="32"/>
      <c r="E1755" s="19" t="n">
        <f aca="false">+F1755*0.03</f>
        <v>0</v>
      </c>
      <c r="F1755" s="33" t="n">
        <v>0</v>
      </c>
      <c r="G1755" s="62"/>
      <c r="H1755" s="35" t="n">
        <v>0</v>
      </c>
      <c r="I1755" s="34" t="n">
        <f aca="false">+IF(E1755=0,0,E1755*0.03)</f>
        <v>0</v>
      </c>
    </row>
    <row r="1756" customFormat="false" ht="15.75" hidden="false" customHeight="true" outlineLevel="0" collapsed="false">
      <c r="A1756" s="30" t="n">
        <v>45444</v>
      </c>
      <c r="B1756" s="31" t="s">
        <v>153</v>
      </c>
      <c r="C1756" s="32"/>
      <c r="D1756" s="32"/>
      <c r="E1756" s="19" t="n">
        <f aca="false">+F1756*0.03</f>
        <v>0</v>
      </c>
      <c r="F1756" s="33" t="n">
        <v>0</v>
      </c>
      <c r="G1756" s="62"/>
      <c r="H1756" s="35" t="n">
        <v>0</v>
      </c>
      <c r="I1756" s="34" t="n">
        <f aca="false">+IF(E1756=0,0,E1756*0.03)</f>
        <v>0</v>
      </c>
    </row>
    <row r="1757" customFormat="false" ht="15.75" hidden="false" customHeight="true" outlineLevel="0" collapsed="false">
      <c r="A1757" s="30" t="n">
        <v>45444</v>
      </c>
      <c r="B1757" s="31" t="s">
        <v>153</v>
      </c>
      <c r="C1757" s="32"/>
      <c r="D1757" s="32"/>
      <c r="E1757" s="19" t="n">
        <f aca="false">+F1757*0.03</f>
        <v>0</v>
      </c>
      <c r="F1757" s="33" t="n">
        <v>0</v>
      </c>
      <c r="G1757" s="62"/>
      <c r="H1757" s="35" t="n">
        <v>0</v>
      </c>
      <c r="I1757" s="34" t="n">
        <f aca="false">+IF(E1757=0,0,E1757*0.03)</f>
        <v>0</v>
      </c>
    </row>
    <row r="1758" customFormat="false" ht="15.75" hidden="false" customHeight="true" outlineLevel="0" collapsed="false">
      <c r="A1758" s="30" t="n">
        <v>45444</v>
      </c>
      <c r="B1758" s="31" t="s">
        <v>153</v>
      </c>
      <c r="C1758" s="32"/>
      <c r="D1758" s="32"/>
      <c r="E1758" s="19" t="n">
        <f aca="false">+F1758*0.03</f>
        <v>0</v>
      </c>
      <c r="F1758" s="33" t="n">
        <v>0</v>
      </c>
      <c r="G1758" s="62"/>
      <c r="H1758" s="35" t="n">
        <v>0</v>
      </c>
      <c r="I1758" s="34" t="n">
        <f aca="false">+IF(E1758=0,0,E1758*0.03)</f>
        <v>0</v>
      </c>
    </row>
    <row r="1759" customFormat="false" ht="15.75" hidden="false" customHeight="true" outlineLevel="0" collapsed="false">
      <c r="A1759" s="30" t="n">
        <v>45444</v>
      </c>
      <c r="B1759" s="31" t="s">
        <v>153</v>
      </c>
      <c r="C1759" s="32"/>
      <c r="D1759" s="32"/>
      <c r="E1759" s="19" t="n">
        <f aca="false">+F1759*0.03</f>
        <v>0</v>
      </c>
      <c r="F1759" s="33" t="n">
        <v>0</v>
      </c>
      <c r="G1759" s="62"/>
      <c r="H1759" s="35" t="n">
        <v>0</v>
      </c>
      <c r="I1759" s="34" t="n">
        <f aca="false">+IF(E1759=0,0,E1759*0.03)</f>
        <v>0</v>
      </c>
    </row>
    <row r="1760" customFormat="false" ht="15.75" hidden="false" customHeight="true" outlineLevel="0" collapsed="false">
      <c r="A1760" s="30" t="n">
        <v>45444</v>
      </c>
      <c r="B1760" s="31" t="s">
        <v>153</v>
      </c>
      <c r="C1760" s="32"/>
      <c r="D1760" s="32"/>
      <c r="E1760" s="19" t="n">
        <f aca="false">+F1760*0.03</f>
        <v>0</v>
      </c>
      <c r="F1760" s="33" t="n">
        <v>0</v>
      </c>
      <c r="G1760" s="62"/>
      <c r="H1760" s="35" t="n">
        <v>0</v>
      </c>
      <c r="I1760" s="34" t="n">
        <f aca="false">+IF(E1760=0,0,E1760*0.03)</f>
        <v>0</v>
      </c>
    </row>
    <row r="1761" customFormat="false" ht="15.75" hidden="false" customHeight="true" outlineLevel="0" collapsed="false">
      <c r="A1761" s="30" t="n">
        <v>45444</v>
      </c>
      <c r="B1761" s="31" t="s">
        <v>153</v>
      </c>
      <c r="C1761" s="32"/>
      <c r="D1761" s="32"/>
      <c r="E1761" s="19" t="n">
        <f aca="false">+F1761*0.03</f>
        <v>0</v>
      </c>
      <c r="F1761" s="33" t="n">
        <v>0</v>
      </c>
      <c r="G1761" s="62"/>
      <c r="H1761" s="35" t="n">
        <v>0</v>
      </c>
      <c r="I1761" s="34" t="n">
        <f aca="false">+IF(E1761=0,0,E1761*0.03)</f>
        <v>0</v>
      </c>
    </row>
    <row r="1762" customFormat="false" ht="15.75" hidden="false" customHeight="true" outlineLevel="0" collapsed="false">
      <c r="A1762" s="30" t="n">
        <v>45444</v>
      </c>
      <c r="B1762" s="31" t="s">
        <v>153</v>
      </c>
      <c r="C1762" s="32"/>
      <c r="D1762" s="32"/>
      <c r="E1762" s="19" t="n">
        <f aca="false">+F1762*0.03</f>
        <v>0</v>
      </c>
      <c r="F1762" s="33" t="n">
        <v>0</v>
      </c>
      <c r="G1762" s="62"/>
      <c r="H1762" s="35" t="n">
        <v>0</v>
      </c>
      <c r="I1762" s="34" t="n">
        <f aca="false">+IF(E1762=0,0,E1762*0.03)</f>
        <v>0</v>
      </c>
    </row>
    <row r="1763" customFormat="false" ht="15.75" hidden="false" customHeight="true" outlineLevel="0" collapsed="false">
      <c r="A1763" s="30" t="n">
        <v>45444</v>
      </c>
      <c r="B1763" s="31" t="s">
        <v>153</v>
      </c>
      <c r="C1763" s="32"/>
      <c r="D1763" s="32"/>
      <c r="E1763" s="19" t="n">
        <f aca="false">+F1763*0.03</f>
        <v>0</v>
      </c>
      <c r="F1763" s="33" t="n">
        <v>0</v>
      </c>
      <c r="G1763" s="62"/>
      <c r="H1763" s="35" t="n">
        <v>0</v>
      </c>
      <c r="I1763" s="34" t="n">
        <f aca="false">+IF(E1763=0,0,E1763*0.03)</f>
        <v>0</v>
      </c>
    </row>
    <row r="1764" customFormat="false" ht="15.75" hidden="false" customHeight="true" outlineLevel="0" collapsed="false">
      <c r="A1764" s="30" t="n">
        <v>45444</v>
      </c>
      <c r="B1764" s="31" t="s">
        <v>153</v>
      </c>
      <c r="C1764" s="32"/>
      <c r="D1764" s="32"/>
      <c r="E1764" s="19" t="n">
        <f aca="false">+F1764*0.03</f>
        <v>0</v>
      </c>
      <c r="F1764" s="33" t="n">
        <v>0</v>
      </c>
      <c r="G1764" s="62"/>
      <c r="H1764" s="35" t="n">
        <v>0</v>
      </c>
      <c r="I1764" s="34" t="n">
        <f aca="false">+IF(E1764=0,0,E1764*0.03)</f>
        <v>0</v>
      </c>
    </row>
    <row r="1765" customFormat="false" ht="15.75" hidden="false" customHeight="true" outlineLevel="0" collapsed="false">
      <c r="A1765" s="30" t="n">
        <v>45444</v>
      </c>
      <c r="B1765" s="31" t="s">
        <v>153</v>
      </c>
      <c r="C1765" s="32"/>
      <c r="D1765" s="32"/>
      <c r="E1765" s="19" t="n">
        <f aca="false">+F1765*0.03</f>
        <v>0</v>
      </c>
      <c r="F1765" s="33" t="n">
        <v>0</v>
      </c>
      <c r="G1765" s="62"/>
      <c r="H1765" s="35" t="n">
        <v>0</v>
      </c>
      <c r="I1765" s="34" t="n">
        <f aca="false">+IF(E1765=0,0,E1765*0.03)</f>
        <v>0</v>
      </c>
    </row>
    <row r="1766" customFormat="false" ht="15.75" hidden="false" customHeight="true" outlineLevel="0" collapsed="false">
      <c r="A1766" s="30" t="n">
        <v>45444</v>
      </c>
      <c r="B1766" s="31" t="s">
        <v>153</v>
      </c>
      <c r="C1766" s="32"/>
      <c r="D1766" s="32"/>
      <c r="E1766" s="19" t="n">
        <f aca="false">+F1766*0.03</f>
        <v>0</v>
      </c>
      <c r="F1766" s="33" t="n">
        <v>0</v>
      </c>
      <c r="G1766" s="62"/>
      <c r="H1766" s="35" t="n">
        <v>0</v>
      </c>
      <c r="I1766" s="34" t="n">
        <f aca="false">+IF(E1766=0,0,E1766*0.03)</f>
        <v>0</v>
      </c>
    </row>
    <row r="1767" customFormat="false" ht="15.75" hidden="false" customHeight="true" outlineLevel="0" collapsed="false">
      <c r="A1767" s="30" t="n">
        <v>45444</v>
      </c>
      <c r="B1767" s="31" t="s">
        <v>153</v>
      </c>
      <c r="C1767" s="32"/>
      <c r="D1767" s="32"/>
      <c r="E1767" s="19" t="n">
        <f aca="false">+F1767*0.03</f>
        <v>0</v>
      </c>
      <c r="F1767" s="33" t="n">
        <v>0</v>
      </c>
      <c r="G1767" s="62"/>
      <c r="H1767" s="35" t="n">
        <v>0</v>
      </c>
      <c r="I1767" s="34" t="n">
        <f aca="false">+IF(E1767=0,0,E1767*0.03)</f>
        <v>0</v>
      </c>
    </row>
    <row r="1768" customFormat="false" ht="15.75" hidden="false" customHeight="true" outlineLevel="0" collapsed="false">
      <c r="A1768" s="30" t="n">
        <v>45444</v>
      </c>
      <c r="B1768" s="31" t="s">
        <v>153</v>
      </c>
      <c r="C1768" s="32"/>
      <c r="D1768" s="32"/>
      <c r="E1768" s="19" t="n">
        <f aca="false">+F1768*0.03</f>
        <v>0</v>
      </c>
      <c r="F1768" s="33" t="n">
        <v>0</v>
      </c>
      <c r="G1768" s="62"/>
      <c r="H1768" s="35" t="n">
        <v>0</v>
      </c>
      <c r="I1768" s="34" t="n">
        <f aca="false">+IF(E1768=0,0,E1768*0.03)</f>
        <v>0</v>
      </c>
    </row>
    <row r="1769" customFormat="false" ht="15.75" hidden="false" customHeight="true" outlineLevel="0" collapsed="false">
      <c r="A1769" s="30" t="n">
        <v>45444</v>
      </c>
      <c r="B1769" s="31" t="s">
        <v>153</v>
      </c>
      <c r="C1769" s="32"/>
      <c r="D1769" s="32"/>
      <c r="E1769" s="19" t="n">
        <f aca="false">+F1769*0.03</f>
        <v>0</v>
      </c>
      <c r="F1769" s="33" t="n">
        <v>0</v>
      </c>
      <c r="G1769" s="62"/>
      <c r="H1769" s="35" t="n">
        <v>0</v>
      </c>
      <c r="I1769" s="34" t="n">
        <f aca="false">+IF(E1769=0,0,E1769*0.03)</f>
        <v>0</v>
      </c>
    </row>
    <row r="1770" customFormat="false" ht="15.75" hidden="false" customHeight="true" outlineLevel="0" collapsed="false">
      <c r="A1770" s="30" t="n">
        <v>45444</v>
      </c>
      <c r="B1770" s="31" t="s">
        <v>153</v>
      </c>
      <c r="C1770" s="32"/>
      <c r="D1770" s="32"/>
      <c r="E1770" s="19" t="n">
        <f aca="false">+F1770*0.03</f>
        <v>0</v>
      </c>
      <c r="F1770" s="33" t="n">
        <v>0</v>
      </c>
      <c r="G1770" s="62"/>
      <c r="H1770" s="35" t="n">
        <v>0</v>
      </c>
      <c r="I1770" s="34" t="n">
        <f aca="false">+IF(E1770=0,0,E1770*0.03)</f>
        <v>0</v>
      </c>
    </row>
    <row r="1771" customFormat="false" ht="15.75" hidden="false" customHeight="true" outlineLevel="0" collapsed="false">
      <c r="A1771" s="30" t="n">
        <v>45444</v>
      </c>
      <c r="B1771" s="31" t="s">
        <v>153</v>
      </c>
      <c r="C1771" s="32"/>
      <c r="D1771" s="32"/>
      <c r="E1771" s="19" t="n">
        <f aca="false">+F1771*0.03</f>
        <v>0</v>
      </c>
      <c r="F1771" s="33" t="n">
        <v>0</v>
      </c>
      <c r="G1771" s="62"/>
      <c r="H1771" s="35" t="n">
        <v>0</v>
      </c>
      <c r="I1771" s="34" t="n">
        <f aca="false">+IF(E1771=0,0,E1771*0.03)</f>
        <v>0</v>
      </c>
    </row>
    <row r="1772" customFormat="false" ht="15.75" hidden="false" customHeight="true" outlineLevel="0" collapsed="false">
      <c r="A1772" s="30" t="n">
        <v>45444</v>
      </c>
      <c r="B1772" s="31" t="s">
        <v>153</v>
      </c>
      <c r="C1772" s="32"/>
      <c r="D1772" s="32"/>
      <c r="E1772" s="19" t="n">
        <f aca="false">+F1772*0.03</f>
        <v>0</v>
      </c>
      <c r="F1772" s="33" t="n">
        <v>0</v>
      </c>
      <c r="G1772" s="62"/>
      <c r="H1772" s="35" t="n">
        <v>0</v>
      </c>
      <c r="I1772" s="34" t="n">
        <f aca="false">+IF(E1772=0,0,E1772*0.03)</f>
        <v>0</v>
      </c>
    </row>
    <row r="1773" customFormat="false" ht="15.75" hidden="false" customHeight="true" outlineLevel="0" collapsed="false">
      <c r="A1773" s="30" t="n">
        <v>45444</v>
      </c>
      <c r="B1773" s="31" t="s">
        <v>153</v>
      </c>
      <c r="C1773" s="32"/>
      <c r="D1773" s="32"/>
      <c r="E1773" s="19" t="n">
        <f aca="false">+F1773*0.03</f>
        <v>0</v>
      </c>
      <c r="F1773" s="33" t="n">
        <v>0</v>
      </c>
      <c r="G1773" s="62"/>
      <c r="H1773" s="35" t="n">
        <v>0</v>
      </c>
      <c r="I1773" s="34" t="n">
        <f aca="false">+IF(E1773=0,0,E1773*0.03)</f>
        <v>0</v>
      </c>
    </row>
    <row r="1774" customFormat="false" ht="15.75" hidden="false" customHeight="true" outlineLevel="0" collapsed="false">
      <c r="A1774" s="30" t="n">
        <v>45444</v>
      </c>
      <c r="B1774" s="31" t="s">
        <v>153</v>
      </c>
      <c r="C1774" s="32"/>
      <c r="D1774" s="32"/>
      <c r="E1774" s="19" t="n">
        <f aca="false">+F1774*0.03</f>
        <v>0</v>
      </c>
      <c r="F1774" s="33" t="n">
        <v>0</v>
      </c>
      <c r="G1774" s="62"/>
      <c r="H1774" s="35" t="n">
        <v>0</v>
      </c>
      <c r="I1774" s="34" t="n">
        <f aca="false">+IF(E1774=0,0,E1774*0.03)</f>
        <v>0</v>
      </c>
    </row>
    <row r="1775" customFormat="false" ht="15.75" hidden="false" customHeight="true" outlineLevel="0" collapsed="false">
      <c r="A1775" s="30" t="n">
        <v>45444</v>
      </c>
      <c r="B1775" s="31" t="s">
        <v>153</v>
      </c>
      <c r="C1775" s="32"/>
      <c r="D1775" s="32"/>
      <c r="E1775" s="19" t="n">
        <f aca="false">+F1775*0.03</f>
        <v>0</v>
      </c>
      <c r="F1775" s="33" t="n">
        <v>0</v>
      </c>
      <c r="G1775" s="62"/>
      <c r="H1775" s="35" t="n">
        <v>0</v>
      </c>
      <c r="I1775" s="34" t="n">
        <f aca="false">+IF(E1775=0,0,E1775*0.03)</f>
        <v>0</v>
      </c>
    </row>
    <row r="1776" customFormat="false" ht="15.75" hidden="false" customHeight="true" outlineLevel="0" collapsed="false">
      <c r="A1776" s="30" t="n">
        <v>45444</v>
      </c>
      <c r="B1776" s="31" t="s">
        <v>153</v>
      </c>
      <c r="C1776" s="32"/>
      <c r="D1776" s="32"/>
      <c r="E1776" s="19" t="n">
        <f aca="false">+F1776*0.03</f>
        <v>0</v>
      </c>
      <c r="F1776" s="33" t="n">
        <v>0</v>
      </c>
      <c r="G1776" s="62"/>
      <c r="H1776" s="35" t="n">
        <v>0</v>
      </c>
      <c r="I1776" s="34" t="n">
        <f aca="false">+IF(E1776=0,0,E1776*0.03)</f>
        <v>0</v>
      </c>
    </row>
    <row r="1777" customFormat="false" ht="15.75" hidden="false" customHeight="true" outlineLevel="0" collapsed="false">
      <c r="A1777" s="30" t="n">
        <v>45444</v>
      </c>
      <c r="B1777" s="31" t="s">
        <v>153</v>
      </c>
      <c r="C1777" s="32"/>
      <c r="D1777" s="32"/>
      <c r="E1777" s="19" t="n">
        <f aca="false">+F1777*0.03</f>
        <v>0</v>
      </c>
      <c r="F1777" s="33" t="n">
        <v>0</v>
      </c>
      <c r="G1777" s="62"/>
      <c r="H1777" s="35" t="n">
        <v>0</v>
      </c>
      <c r="I1777" s="34" t="n">
        <f aca="false">+IF(E1777=0,0,E1777*0.03)</f>
        <v>0</v>
      </c>
    </row>
    <row r="1778" customFormat="false" ht="15.75" hidden="false" customHeight="true" outlineLevel="0" collapsed="false">
      <c r="A1778" s="30" t="n">
        <v>45444</v>
      </c>
      <c r="B1778" s="31" t="s">
        <v>153</v>
      </c>
      <c r="C1778" s="32"/>
      <c r="D1778" s="32"/>
      <c r="E1778" s="19" t="n">
        <f aca="false">+F1778*0.03</f>
        <v>0</v>
      </c>
      <c r="F1778" s="33" t="n">
        <v>0</v>
      </c>
      <c r="G1778" s="62"/>
      <c r="H1778" s="35" t="n">
        <v>0</v>
      </c>
      <c r="I1778" s="34" t="n">
        <f aca="false">+IF(E1778=0,0,E1778*0.03)</f>
        <v>0</v>
      </c>
    </row>
    <row r="1779" customFormat="false" ht="15.75" hidden="false" customHeight="true" outlineLevel="0" collapsed="false">
      <c r="A1779" s="30" t="n">
        <v>45444</v>
      </c>
      <c r="B1779" s="31" t="s">
        <v>153</v>
      </c>
      <c r="C1779" s="32"/>
      <c r="D1779" s="32"/>
      <c r="E1779" s="19" t="n">
        <f aca="false">+F1779*0.03</f>
        <v>0</v>
      </c>
      <c r="F1779" s="33" t="n">
        <v>0</v>
      </c>
      <c r="G1779" s="62"/>
      <c r="H1779" s="35" t="n">
        <v>0</v>
      </c>
      <c r="I1779" s="34" t="n">
        <f aca="false">+IF(E1779=0,0,E1779*0.03)</f>
        <v>0</v>
      </c>
    </row>
    <row r="1780" customFormat="false" ht="15.75" hidden="false" customHeight="true" outlineLevel="0" collapsed="false">
      <c r="A1780" s="30" t="n">
        <v>45444</v>
      </c>
      <c r="B1780" s="31" t="s">
        <v>153</v>
      </c>
      <c r="C1780" s="32"/>
      <c r="D1780" s="32"/>
      <c r="E1780" s="19" t="n">
        <f aca="false">+F1780*0.03</f>
        <v>0</v>
      </c>
      <c r="F1780" s="33" t="n">
        <v>0</v>
      </c>
      <c r="G1780" s="62"/>
      <c r="H1780" s="35" t="n">
        <v>0</v>
      </c>
      <c r="I1780" s="34" t="n">
        <f aca="false">+IF(E1780=0,0,E1780*0.03)</f>
        <v>0</v>
      </c>
    </row>
    <row r="1781" customFormat="false" ht="15.75" hidden="false" customHeight="true" outlineLevel="0" collapsed="false">
      <c r="A1781" s="30" t="n">
        <v>45444</v>
      </c>
      <c r="B1781" s="31" t="s">
        <v>153</v>
      </c>
      <c r="C1781" s="32"/>
      <c r="D1781" s="32"/>
      <c r="E1781" s="19" t="n">
        <f aca="false">+F1781*0.03</f>
        <v>0</v>
      </c>
      <c r="F1781" s="33" t="n">
        <v>0</v>
      </c>
      <c r="G1781" s="62"/>
      <c r="H1781" s="35" t="n">
        <v>0</v>
      </c>
      <c r="I1781" s="34" t="n">
        <f aca="false">+IF(E1781=0,0,E1781*0.03)</f>
        <v>0</v>
      </c>
    </row>
    <row r="1782" customFormat="false" ht="15.75" hidden="false" customHeight="true" outlineLevel="0" collapsed="false">
      <c r="A1782" s="30" t="n">
        <v>45444</v>
      </c>
      <c r="B1782" s="31" t="s">
        <v>153</v>
      </c>
      <c r="C1782" s="32"/>
      <c r="D1782" s="32"/>
      <c r="E1782" s="19" t="n">
        <f aca="false">+F1782*0.03</f>
        <v>0</v>
      </c>
      <c r="F1782" s="33" t="n">
        <v>0</v>
      </c>
      <c r="G1782" s="62"/>
      <c r="H1782" s="35" t="n">
        <v>0</v>
      </c>
      <c r="I1782" s="34" t="n">
        <f aca="false">+IF(E1782=0,0,E1782*0.03)</f>
        <v>0</v>
      </c>
    </row>
    <row r="1783" customFormat="false" ht="15.75" hidden="false" customHeight="true" outlineLevel="0" collapsed="false">
      <c r="A1783" s="30" t="n">
        <v>45444</v>
      </c>
      <c r="B1783" s="31" t="s">
        <v>153</v>
      </c>
      <c r="C1783" s="32"/>
      <c r="D1783" s="32"/>
      <c r="E1783" s="19" t="n">
        <f aca="false">+F1783*0.03</f>
        <v>0</v>
      </c>
      <c r="F1783" s="33" t="n">
        <v>0</v>
      </c>
      <c r="G1783" s="62"/>
      <c r="H1783" s="35" t="n">
        <v>0</v>
      </c>
      <c r="I1783" s="34" t="n">
        <f aca="false">+IF(E1783=0,0,E1783*0.03)</f>
        <v>0</v>
      </c>
    </row>
    <row r="1784" customFormat="false" ht="15.75" hidden="false" customHeight="true" outlineLevel="0" collapsed="false">
      <c r="A1784" s="30" t="n">
        <v>45444</v>
      </c>
      <c r="B1784" s="31" t="s">
        <v>153</v>
      </c>
      <c r="C1784" s="32"/>
      <c r="D1784" s="32"/>
      <c r="E1784" s="19" t="n">
        <f aca="false">+F1784*0.03</f>
        <v>0</v>
      </c>
      <c r="F1784" s="33" t="n">
        <v>0</v>
      </c>
      <c r="G1784" s="62"/>
      <c r="H1784" s="35" t="n">
        <v>0</v>
      </c>
      <c r="I1784" s="34" t="n">
        <f aca="false">+IF(E1784=0,0,E1784*0.03)</f>
        <v>0</v>
      </c>
    </row>
    <row r="1785" customFormat="false" ht="15.75" hidden="false" customHeight="true" outlineLevel="0" collapsed="false">
      <c r="A1785" s="30" t="n">
        <v>45444</v>
      </c>
      <c r="B1785" s="31" t="s">
        <v>153</v>
      </c>
      <c r="C1785" s="32"/>
      <c r="D1785" s="32"/>
      <c r="E1785" s="19" t="n">
        <f aca="false">+F1785*0.03</f>
        <v>0</v>
      </c>
      <c r="F1785" s="33" t="n">
        <v>0</v>
      </c>
      <c r="G1785" s="62"/>
      <c r="H1785" s="35" t="n">
        <v>0</v>
      </c>
      <c r="I1785" s="34" t="n">
        <f aca="false">+IF(E1785=0,0,E1785*0.03)</f>
        <v>0</v>
      </c>
    </row>
    <row r="1786" customFormat="false" ht="15.75" hidden="false" customHeight="true" outlineLevel="0" collapsed="false">
      <c r="A1786" s="30" t="n">
        <v>45444</v>
      </c>
      <c r="B1786" s="31" t="s">
        <v>153</v>
      </c>
      <c r="C1786" s="32"/>
      <c r="D1786" s="32"/>
      <c r="E1786" s="19" t="n">
        <f aca="false">+F1786*0.03</f>
        <v>0</v>
      </c>
      <c r="F1786" s="33" t="n">
        <v>0</v>
      </c>
      <c r="G1786" s="62"/>
      <c r="H1786" s="35" t="n">
        <v>0</v>
      </c>
      <c r="I1786" s="34" t="n">
        <f aca="false">+IF(E1786=0,0,E1786*0.03)</f>
        <v>0</v>
      </c>
    </row>
    <row r="1787" customFormat="false" ht="15.75" hidden="false" customHeight="true" outlineLevel="0" collapsed="false">
      <c r="A1787" s="30" t="n">
        <v>45444</v>
      </c>
      <c r="B1787" s="31" t="s">
        <v>153</v>
      </c>
      <c r="C1787" s="32"/>
      <c r="D1787" s="32"/>
      <c r="E1787" s="19" t="n">
        <f aca="false">+F1787*0.03</f>
        <v>0</v>
      </c>
      <c r="F1787" s="33" t="n">
        <v>0</v>
      </c>
      <c r="G1787" s="62"/>
      <c r="H1787" s="35" t="n">
        <v>0</v>
      </c>
      <c r="I1787" s="34" t="n">
        <f aca="false">+IF(E1787=0,0,E1787*0.03)</f>
        <v>0</v>
      </c>
    </row>
    <row r="1788" customFormat="false" ht="15.75" hidden="false" customHeight="true" outlineLevel="0" collapsed="false">
      <c r="A1788" s="30" t="n">
        <v>45444</v>
      </c>
      <c r="B1788" s="31" t="s">
        <v>153</v>
      </c>
      <c r="C1788" s="32"/>
      <c r="D1788" s="32"/>
      <c r="E1788" s="19" t="n">
        <f aca="false">+F1788*0.03</f>
        <v>0</v>
      </c>
      <c r="F1788" s="33" t="n">
        <v>0</v>
      </c>
      <c r="G1788" s="62"/>
      <c r="H1788" s="35" t="n">
        <v>0</v>
      </c>
      <c r="I1788" s="34" t="n">
        <f aca="false">+IF(E1788=0,0,E1788*0.03)</f>
        <v>0</v>
      </c>
    </row>
    <row r="1789" customFormat="false" ht="15.75" hidden="false" customHeight="true" outlineLevel="0" collapsed="false">
      <c r="A1789" s="30" t="n">
        <v>45444</v>
      </c>
      <c r="B1789" s="31" t="s">
        <v>153</v>
      </c>
      <c r="C1789" s="32"/>
      <c r="D1789" s="32"/>
      <c r="E1789" s="19" t="n">
        <f aca="false">+F1789*0.03</f>
        <v>0</v>
      </c>
      <c r="F1789" s="33" t="n">
        <v>0</v>
      </c>
      <c r="G1789" s="62"/>
      <c r="H1789" s="35" t="n">
        <v>0</v>
      </c>
      <c r="I1789" s="34" t="n">
        <f aca="false">+IF(E1789=0,0,E1789*0.03)</f>
        <v>0</v>
      </c>
    </row>
    <row r="1790" customFormat="false" ht="15.75" hidden="false" customHeight="true" outlineLevel="0" collapsed="false">
      <c r="A1790" s="30" t="n">
        <v>45444</v>
      </c>
      <c r="B1790" s="31" t="s">
        <v>153</v>
      </c>
      <c r="C1790" s="32"/>
      <c r="D1790" s="32"/>
      <c r="E1790" s="19" t="n">
        <f aca="false">+F1790*0.03</f>
        <v>0</v>
      </c>
      <c r="F1790" s="33" t="n">
        <v>0</v>
      </c>
      <c r="G1790" s="62"/>
      <c r="H1790" s="35" t="n">
        <v>0</v>
      </c>
      <c r="I1790" s="34" t="n">
        <f aca="false">+IF(E1790=0,0,E1790*0.03)</f>
        <v>0</v>
      </c>
    </row>
    <row r="1791" customFormat="false" ht="15.75" hidden="false" customHeight="true" outlineLevel="0" collapsed="false">
      <c r="A1791" s="30" t="n">
        <v>45444</v>
      </c>
      <c r="B1791" s="31" t="s">
        <v>153</v>
      </c>
      <c r="C1791" s="32"/>
      <c r="D1791" s="32"/>
      <c r="E1791" s="19" t="n">
        <f aca="false">+F1791*0.03</f>
        <v>0</v>
      </c>
      <c r="F1791" s="33" t="n">
        <v>0</v>
      </c>
      <c r="G1791" s="62"/>
      <c r="H1791" s="35" t="n">
        <v>0</v>
      </c>
      <c r="I1791" s="34" t="n">
        <f aca="false">+IF(E1791=0,0,E1791*0.03)</f>
        <v>0</v>
      </c>
    </row>
    <row r="1792" customFormat="false" ht="15.75" hidden="false" customHeight="true" outlineLevel="0" collapsed="false">
      <c r="A1792" s="30" t="n">
        <v>45444</v>
      </c>
      <c r="B1792" s="31" t="s">
        <v>153</v>
      </c>
      <c r="C1792" s="32"/>
      <c r="D1792" s="32"/>
      <c r="E1792" s="19" t="n">
        <f aca="false">+F1792*0.03</f>
        <v>0</v>
      </c>
      <c r="F1792" s="33" t="n">
        <v>0</v>
      </c>
      <c r="G1792" s="62"/>
      <c r="H1792" s="35" t="n">
        <v>0</v>
      </c>
      <c r="I1792" s="34" t="n">
        <f aca="false">+IF(E1792=0,0,E1792*0.03)</f>
        <v>0</v>
      </c>
    </row>
    <row r="1793" customFormat="false" ht="15.75" hidden="false" customHeight="true" outlineLevel="0" collapsed="false">
      <c r="A1793" s="30" t="n">
        <v>45444</v>
      </c>
      <c r="B1793" s="31" t="s">
        <v>153</v>
      </c>
      <c r="C1793" s="32"/>
      <c r="D1793" s="32"/>
      <c r="E1793" s="19" t="n">
        <f aca="false">+F1793*0.03</f>
        <v>0</v>
      </c>
      <c r="F1793" s="33" t="n">
        <v>0</v>
      </c>
      <c r="G1793" s="62"/>
      <c r="H1793" s="35" t="n">
        <v>0</v>
      </c>
      <c r="I1793" s="34" t="n">
        <f aca="false">+IF(E1793=0,0,E1793*0.03)</f>
        <v>0</v>
      </c>
    </row>
    <row r="1794" customFormat="false" ht="15.75" hidden="false" customHeight="true" outlineLevel="0" collapsed="false">
      <c r="A1794" s="30" t="n">
        <v>45444</v>
      </c>
      <c r="B1794" s="31" t="s">
        <v>153</v>
      </c>
      <c r="C1794" s="32"/>
      <c r="D1794" s="32"/>
      <c r="E1794" s="19" t="n">
        <f aca="false">+F1794*0.03</f>
        <v>0</v>
      </c>
      <c r="F1794" s="33" t="n">
        <v>0</v>
      </c>
      <c r="G1794" s="62"/>
      <c r="H1794" s="35" t="n">
        <v>0</v>
      </c>
      <c r="I1794" s="34" t="n">
        <f aca="false">+IF(E1794=0,0,E1794*0.03)</f>
        <v>0</v>
      </c>
    </row>
    <row r="1795" customFormat="false" ht="15.75" hidden="false" customHeight="true" outlineLevel="0" collapsed="false">
      <c r="A1795" s="30" t="n">
        <v>45444</v>
      </c>
      <c r="B1795" s="31" t="s">
        <v>153</v>
      </c>
      <c r="C1795" s="32"/>
      <c r="D1795" s="32"/>
      <c r="E1795" s="19" t="n">
        <f aca="false">+F1795*0.03</f>
        <v>0</v>
      </c>
      <c r="F1795" s="33" t="n">
        <v>0</v>
      </c>
      <c r="G1795" s="62"/>
      <c r="H1795" s="35" t="n">
        <v>0</v>
      </c>
      <c r="I1795" s="34" t="n">
        <f aca="false">+IF(E1795=0,0,E1795*0.03)</f>
        <v>0</v>
      </c>
    </row>
    <row r="1796" customFormat="false" ht="15.75" hidden="false" customHeight="true" outlineLevel="0" collapsed="false">
      <c r="A1796" s="30" t="n">
        <v>45444</v>
      </c>
      <c r="B1796" s="31" t="s">
        <v>153</v>
      </c>
      <c r="C1796" s="32"/>
      <c r="D1796" s="32"/>
      <c r="E1796" s="19" t="n">
        <f aca="false">+F1796*0.03</f>
        <v>0</v>
      </c>
      <c r="F1796" s="33" t="n">
        <v>0</v>
      </c>
      <c r="G1796" s="62"/>
      <c r="H1796" s="35" t="n">
        <v>0</v>
      </c>
      <c r="I1796" s="34" t="n">
        <f aca="false">+IF(E1796=0,0,E1796*0.03)</f>
        <v>0</v>
      </c>
    </row>
    <row r="1797" customFormat="false" ht="15.75" hidden="false" customHeight="true" outlineLevel="0" collapsed="false">
      <c r="A1797" s="30" t="n">
        <v>45444</v>
      </c>
      <c r="B1797" s="31" t="s">
        <v>153</v>
      </c>
      <c r="C1797" s="32"/>
      <c r="D1797" s="32"/>
      <c r="E1797" s="19" t="n">
        <f aca="false">+F1797*0.03</f>
        <v>0</v>
      </c>
      <c r="F1797" s="33" t="n">
        <v>0</v>
      </c>
      <c r="G1797" s="62"/>
      <c r="H1797" s="35" t="n">
        <v>0</v>
      </c>
      <c r="I1797" s="34" t="n">
        <f aca="false">+IF(E1797=0,0,E1797*0.03)</f>
        <v>0</v>
      </c>
    </row>
    <row r="1798" customFormat="false" ht="15.75" hidden="false" customHeight="true" outlineLevel="0" collapsed="false">
      <c r="A1798" s="30" t="n">
        <v>45444</v>
      </c>
      <c r="B1798" s="31" t="s">
        <v>153</v>
      </c>
      <c r="C1798" s="32"/>
      <c r="D1798" s="32"/>
      <c r="E1798" s="19" t="n">
        <f aca="false">+F1798*0.03</f>
        <v>0</v>
      </c>
      <c r="F1798" s="33" t="n">
        <v>0</v>
      </c>
      <c r="G1798" s="62"/>
      <c r="H1798" s="35" t="n">
        <v>0</v>
      </c>
      <c r="I1798" s="34" t="n">
        <f aca="false">+IF(E1798=0,0,E1798*0.03)</f>
        <v>0</v>
      </c>
    </row>
    <row r="1799" customFormat="false" ht="15.75" hidden="false" customHeight="true" outlineLevel="0" collapsed="false">
      <c r="A1799" s="30" t="n">
        <v>45444</v>
      </c>
      <c r="B1799" s="31" t="s">
        <v>153</v>
      </c>
      <c r="C1799" s="32"/>
      <c r="D1799" s="32"/>
      <c r="E1799" s="19" t="n">
        <f aca="false">+F1799*0.03</f>
        <v>0</v>
      </c>
      <c r="F1799" s="33" t="n">
        <v>0</v>
      </c>
      <c r="G1799" s="62"/>
      <c r="H1799" s="35" t="n">
        <v>0</v>
      </c>
      <c r="I1799" s="34" t="n">
        <f aca="false">+IF(E1799=0,0,E1799*0.03)</f>
        <v>0</v>
      </c>
    </row>
    <row r="1800" customFormat="false" ht="15.75" hidden="false" customHeight="true" outlineLevel="0" collapsed="false">
      <c r="A1800" s="30" t="n">
        <v>45444</v>
      </c>
      <c r="B1800" s="31" t="s">
        <v>153</v>
      </c>
      <c r="C1800" s="32"/>
      <c r="D1800" s="32"/>
      <c r="E1800" s="19" t="n">
        <f aca="false">+F1800*0.03</f>
        <v>0</v>
      </c>
      <c r="F1800" s="33" t="n">
        <v>0</v>
      </c>
      <c r="G1800" s="62"/>
      <c r="H1800" s="35" t="n">
        <v>0</v>
      </c>
      <c r="I1800" s="34" t="n">
        <f aca="false">+IF(E1800=0,0,E1800*0.03)</f>
        <v>0</v>
      </c>
    </row>
    <row r="1801" customFormat="false" ht="15.75" hidden="false" customHeight="true" outlineLevel="0" collapsed="false">
      <c r="A1801" s="30" t="n">
        <v>45444</v>
      </c>
      <c r="B1801" s="31" t="s">
        <v>153</v>
      </c>
      <c r="C1801" s="32"/>
      <c r="D1801" s="32"/>
      <c r="E1801" s="19" t="n">
        <f aca="false">+F1801*0.03</f>
        <v>0</v>
      </c>
      <c r="F1801" s="33" t="n">
        <v>0</v>
      </c>
      <c r="G1801" s="62"/>
      <c r="H1801" s="35" t="n">
        <v>0</v>
      </c>
      <c r="I1801" s="34" t="n">
        <f aca="false">+IF(E1801=0,0,E1801*0.03)</f>
        <v>0</v>
      </c>
    </row>
    <row r="1802" customFormat="false" ht="15.75" hidden="false" customHeight="true" outlineLevel="0" collapsed="false">
      <c r="A1802" s="30" t="n">
        <v>45444</v>
      </c>
      <c r="B1802" s="31" t="s">
        <v>153</v>
      </c>
      <c r="C1802" s="32"/>
      <c r="D1802" s="32"/>
      <c r="E1802" s="19" t="n">
        <f aca="false">+F1802*0.03</f>
        <v>0</v>
      </c>
      <c r="F1802" s="33" t="n">
        <v>0</v>
      </c>
      <c r="G1802" s="62"/>
      <c r="H1802" s="35" t="n">
        <v>0</v>
      </c>
      <c r="I1802" s="34" t="n">
        <f aca="false">+IF(E1802=0,0,E1802*0.03)</f>
        <v>0</v>
      </c>
    </row>
    <row r="1803" customFormat="false" ht="15.75" hidden="false" customHeight="true" outlineLevel="0" collapsed="false">
      <c r="A1803" s="30" t="n">
        <v>45444</v>
      </c>
      <c r="B1803" s="31" t="s">
        <v>153</v>
      </c>
      <c r="C1803" s="32"/>
      <c r="D1803" s="32"/>
      <c r="E1803" s="19" t="n">
        <f aca="false">+F1803*0.03</f>
        <v>0</v>
      </c>
      <c r="F1803" s="33" t="n">
        <v>0</v>
      </c>
      <c r="G1803" s="62"/>
      <c r="H1803" s="35" t="n">
        <v>0</v>
      </c>
      <c r="I1803" s="34" t="n">
        <f aca="false">+IF(E1803=0,0,E1803*0.03)</f>
        <v>0</v>
      </c>
    </row>
    <row r="1804" customFormat="false" ht="15.75" hidden="false" customHeight="true" outlineLevel="0" collapsed="false">
      <c r="A1804" s="30" t="n">
        <v>45444</v>
      </c>
      <c r="B1804" s="31" t="s">
        <v>153</v>
      </c>
      <c r="C1804" s="32"/>
      <c r="D1804" s="32"/>
      <c r="E1804" s="19" t="n">
        <f aca="false">+F1804*0.03</f>
        <v>0</v>
      </c>
      <c r="F1804" s="33" t="n">
        <v>0</v>
      </c>
      <c r="G1804" s="62"/>
      <c r="H1804" s="35" t="n">
        <v>0</v>
      </c>
      <c r="I1804" s="34" t="n">
        <f aca="false">+IF(E1804=0,0,E1804*0.03)</f>
        <v>0</v>
      </c>
    </row>
    <row r="1805" customFormat="false" ht="15.75" hidden="false" customHeight="true" outlineLevel="0" collapsed="false">
      <c r="A1805" s="30" t="n">
        <v>45444</v>
      </c>
      <c r="B1805" s="31" t="s">
        <v>153</v>
      </c>
      <c r="C1805" s="32"/>
      <c r="D1805" s="32"/>
      <c r="E1805" s="19" t="n">
        <f aca="false">+F1805*0.03</f>
        <v>0</v>
      </c>
      <c r="F1805" s="33" t="n">
        <v>0</v>
      </c>
      <c r="G1805" s="62"/>
      <c r="H1805" s="35" t="n">
        <v>0</v>
      </c>
      <c r="I1805" s="34" t="n">
        <f aca="false">+IF(E1805=0,0,E1805*0.03)</f>
        <v>0</v>
      </c>
    </row>
    <row r="1806" customFormat="false" ht="15.75" hidden="false" customHeight="true" outlineLevel="0" collapsed="false">
      <c r="A1806" s="30" t="n">
        <v>45444</v>
      </c>
      <c r="B1806" s="31" t="s">
        <v>153</v>
      </c>
      <c r="C1806" s="32"/>
      <c r="D1806" s="32"/>
      <c r="E1806" s="19" t="n">
        <f aca="false">+F1806*0.03</f>
        <v>0</v>
      </c>
      <c r="F1806" s="33" t="n">
        <v>0</v>
      </c>
      <c r="G1806" s="62"/>
      <c r="H1806" s="35" t="n">
        <v>0</v>
      </c>
      <c r="I1806" s="34" t="n">
        <f aca="false">+IF(E1806=0,0,E1806*0.03)</f>
        <v>0</v>
      </c>
    </row>
    <row r="1807" customFormat="false" ht="15.75" hidden="false" customHeight="true" outlineLevel="0" collapsed="false">
      <c r="A1807" s="30" t="n">
        <v>45444</v>
      </c>
      <c r="B1807" s="31" t="s">
        <v>153</v>
      </c>
      <c r="C1807" s="32"/>
      <c r="D1807" s="32"/>
      <c r="E1807" s="19" t="n">
        <f aca="false">+F1807*0.03</f>
        <v>0</v>
      </c>
      <c r="F1807" s="33" t="n">
        <v>0</v>
      </c>
      <c r="G1807" s="62"/>
      <c r="H1807" s="35" t="n">
        <v>0</v>
      </c>
      <c r="I1807" s="34" t="n">
        <f aca="false">+IF(E1807=0,0,E1807*0.03)</f>
        <v>0</v>
      </c>
    </row>
    <row r="1808" customFormat="false" ht="15.75" hidden="false" customHeight="true" outlineLevel="0" collapsed="false">
      <c r="A1808" s="30" t="n">
        <v>45444</v>
      </c>
      <c r="B1808" s="31" t="s">
        <v>153</v>
      </c>
      <c r="C1808" s="32"/>
      <c r="D1808" s="32"/>
      <c r="E1808" s="19" t="n">
        <f aca="false">+F1808*0.03</f>
        <v>0</v>
      </c>
      <c r="F1808" s="33" t="n">
        <v>0</v>
      </c>
      <c r="G1808" s="62"/>
      <c r="H1808" s="35" t="n">
        <v>0</v>
      </c>
      <c r="I1808" s="34" t="n">
        <f aca="false">+IF(E1808=0,0,E1808*0.03)</f>
        <v>0</v>
      </c>
    </row>
    <row r="1809" customFormat="false" ht="15.75" hidden="false" customHeight="true" outlineLevel="0" collapsed="false">
      <c r="A1809" s="30" t="n">
        <v>45444</v>
      </c>
      <c r="B1809" s="31" t="s">
        <v>153</v>
      </c>
      <c r="C1809" s="32"/>
      <c r="D1809" s="32"/>
      <c r="E1809" s="19" t="n">
        <f aca="false">+F1809*0.03</f>
        <v>0</v>
      </c>
      <c r="F1809" s="33" t="n">
        <v>0</v>
      </c>
      <c r="G1809" s="62"/>
      <c r="H1809" s="35" t="n">
        <v>0</v>
      </c>
      <c r="I1809" s="34" t="n">
        <f aca="false">+IF(E1809=0,0,E1809*0.03)</f>
        <v>0</v>
      </c>
    </row>
    <row r="1810" customFormat="false" ht="15.75" hidden="false" customHeight="true" outlineLevel="0" collapsed="false">
      <c r="A1810" s="30" t="n">
        <v>45444</v>
      </c>
      <c r="B1810" s="31" t="s">
        <v>153</v>
      </c>
      <c r="C1810" s="32"/>
      <c r="D1810" s="32"/>
      <c r="E1810" s="19" t="n">
        <f aca="false">+F1810*0.03</f>
        <v>0</v>
      </c>
      <c r="F1810" s="33" t="n">
        <v>0</v>
      </c>
      <c r="G1810" s="62"/>
      <c r="H1810" s="35" t="n">
        <v>0</v>
      </c>
      <c r="I1810" s="34" t="n">
        <f aca="false">+IF(E1810=0,0,E1810*0.03)</f>
        <v>0</v>
      </c>
    </row>
    <row r="1811" customFormat="false" ht="15.75" hidden="false" customHeight="true" outlineLevel="0" collapsed="false">
      <c r="A1811" s="30" t="n">
        <v>45444</v>
      </c>
      <c r="B1811" s="31" t="s">
        <v>153</v>
      </c>
      <c r="C1811" s="32"/>
      <c r="D1811" s="32"/>
      <c r="E1811" s="19" t="n">
        <f aca="false">+F1811*0.03</f>
        <v>0</v>
      </c>
      <c r="F1811" s="33" t="n">
        <v>0</v>
      </c>
      <c r="G1811" s="62"/>
      <c r="H1811" s="35" t="n">
        <v>0</v>
      </c>
      <c r="I1811" s="34" t="n">
        <f aca="false">+IF(E1811=0,0,E1811*0.03)</f>
        <v>0</v>
      </c>
    </row>
    <row r="1812" customFormat="false" ht="15.75" hidden="false" customHeight="true" outlineLevel="0" collapsed="false">
      <c r="A1812" s="30" t="n">
        <v>45444</v>
      </c>
      <c r="B1812" s="31" t="s">
        <v>153</v>
      </c>
      <c r="C1812" s="32"/>
      <c r="D1812" s="32"/>
      <c r="E1812" s="19" t="n">
        <f aca="false">+F1812*0.03</f>
        <v>0</v>
      </c>
      <c r="F1812" s="33" t="n">
        <v>0</v>
      </c>
      <c r="G1812" s="62"/>
      <c r="H1812" s="35" t="n">
        <v>0</v>
      </c>
      <c r="I1812" s="34" t="n">
        <f aca="false">+IF(E1812=0,0,E1812*0.03)</f>
        <v>0</v>
      </c>
    </row>
    <row r="1813" customFormat="false" ht="15.75" hidden="false" customHeight="true" outlineLevel="0" collapsed="false">
      <c r="A1813" s="30" t="n">
        <v>45444</v>
      </c>
      <c r="B1813" s="31" t="s">
        <v>153</v>
      </c>
      <c r="C1813" s="32"/>
      <c r="D1813" s="32"/>
      <c r="E1813" s="19" t="n">
        <f aca="false">+F1813*0.03</f>
        <v>0</v>
      </c>
      <c r="F1813" s="33" t="n">
        <v>0</v>
      </c>
      <c r="G1813" s="62"/>
      <c r="H1813" s="35" t="n">
        <v>0</v>
      </c>
      <c r="I1813" s="34" t="n">
        <f aca="false">+IF(E1813=0,0,E1813*0.03)</f>
        <v>0</v>
      </c>
    </row>
    <row r="1814" customFormat="false" ht="15.75" hidden="false" customHeight="true" outlineLevel="0" collapsed="false">
      <c r="A1814" s="30" t="n">
        <v>45444</v>
      </c>
      <c r="B1814" s="31" t="s">
        <v>153</v>
      </c>
      <c r="C1814" s="32"/>
      <c r="D1814" s="32"/>
      <c r="E1814" s="19" t="n">
        <f aca="false">+F1814*0.03</f>
        <v>0</v>
      </c>
      <c r="F1814" s="33" t="n">
        <v>0</v>
      </c>
      <c r="G1814" s="62"/>
      <c r="H1814" s="35" t="n">
        <v>0</v>
      </c>
      <c r="I1814" s="34" t="n">
        <f aca="false">+IF(E1814=0,0,E1814*0.03)</f>
        <v>0</v>
      </c>
    </row>
    <row r="1815" customFormat="false" ht="15.75" hidden="false" customHeight="true" outlineLevel="0" collapsed="false">
      <c r="A1815" s="30" t="n">
        <v>45444</v>
      </c>
      <c r="B1815" s="31" t="s">
        <v>153</v>
      </c>
      <c r="C1815" s="32"/>
      <c r="D1815" s="32"/>
      <c r="E1815" s="19" t="n">
        <f aca="false">+F1815*0.03</f>
        <v>0</v>
      </c>
      <c r="F1815" s="33" t="n">
        <v>0</v>
      </c>
      <c r="G1815" s="62"/>
      <c r="H1815" s="35" t="n">
        <v>0</v>
      </c>
      <c r="I1815" s="34" t="n">
        <f aca="false">+IF(E1815=0,0,E1815*0.03)</f>
        <v>0</v>
      </c>
    </row>
    <row r="1816" customFormat="false" ht="15.75" hidden="false" customHeight="true" outlineLevel="0" collapsed="false">
      <c r="A1816" s="30" t="n">
        <v>45444</v>
      </c>
      <c r="B1816" s="31" t="s">
        <v>153</v>
      </c>
      <c r="C1816" s="32"/>
      <c r="D1816" s="32"/>
      <c r="E1816" s="19" t="n">
        <f aca="false">+F1816*0.03</f>
        <v>0</v>
      </c>
      <c r="F1816" s="33" t="n">
        <v>0</v>
      </c>
      <c r="G1816" s="62"/>
      <c r="H1816" s="35" t="n">
        <v>0</v>
      </c>
      <c r="I1816" s="34" t="n">
        <f aca="false">+IF(E1816=0,0,E1816*0.03)</f>
        <v>0</v>
      </c>
    </row>
    <row r="1817" customFormat="false" ht="15.75" hidden="false" customHeight="true" outlineLevel="0" collapsed="false">
      <c r="A1817" s="30" t="n">
        <v>45444</v>
      </c>
      <c r="B1817" s="31" t="s">
        <v>153</v>
      </c>
      <c r="C1817" s="32"/>
      <c r="D1817" s="32"/>
      <c r="E1817" s="19" t="n">
        <f aca="false">+F1817*0.03</f>
        <v>0</v>
      </c>
      <c r="F1817" s="33" t="n">
        <v>0</v>
      </c>
      <c r="G1817" s="62"/>
      <c r="H1817" s="35" t="n">
        <v>0</v>
      </c>
      <c r="I1817" s="34" t="n">
        <f aca="false">+IF(E1817=0,0,E1817*0.03)</f>
        <v>0</v>
      </c>
    </row>
    <row r="1818" customFormat="false" ht="15.75" hidden="false" customHeight="true" outlineLevel="0" collapsed="false">
      <c r="A1818" s="30" t="n">
        <v>45444</v>
      </c>
      <c r="B1818" s="31" t="s">
        <v>153</v>
      </c>
      <c r="C1818" s="32"/>
      <c r="D1818" s="32"/>
      <c r="E1818" s="19" t="n">
        <f aca="false">+F1818*0.03</f>
        <v>0</v>
      </c>
      <c r="F1818" s="33" t="n">
        <v>0</v>
      </c>
      <c r="G1818" s="62"/>
      <c r="H1818" s="35" t="n">
        <v>0</v>
      </c>
      <c r="I1818" s="34" t="n">
        <f aca="false">+IF(E1818=0,0,E1818*0.03)</f>
        <v>0</v>
      </c>
    </row>
    <row r="1819" customFormat="false" ht="15.75" hidden="false" customHeight="true" outlineLevel="0" collapsed="false">
      <c r="A1819" s="30" t="n">
        <v>45444</v>
      </c>
      <c r="B1819" s="31" t="s">
        <v>153</v>
      </c>
      <c r="C1819" s="32"/>
      <c r="D1819" s="32"/>
      <c r="E1819" s="19" t="n">
        <f aca="false">+F1819*0.03</f>
        <v>0</v>
      </c>
      <c r="F1819" s="33" t="n">
        <v>0</v>
      </c>
      <c r="G1819" s="62"/>
      <c r="H1819" s="35" t="n">
        <v>0</v>
      </c>
      <c r="I1819" s="34" t="n">
        <f aca="false">+IF(E1819=0,0,E1819*0.03)</f>
        <v>0</v>
      </c>
    </row>
    <row r="1820" customFormat="false" ht="15.75" hidden="false" customHeight="true" outlineLevel="0" collapsed="false">
      <c r="A1820" s="30" t="n">
        <v>45444</v>
      </c>
      <c r="B1820" s="31" t="s">
        <v>153</v>
      </c>
      <c r="C1820" s="32"/>
      <c r="D1820" s="32"/>
      <c r="E1820" s="19" t="n">
        <f aca="false">+F1820*0.03</f>
        <v>0</v>
      </c>
      <c r="F1820" s="33" t="n">
        <v>0</v>
      </c>
      <c r="G1820" s="62"/>
      <c r="H1820" s="35" t="n">
        <v>0</v>
      </c>
      <c r="I1820" s="34" t="n">
        <f aca="false">+IF(E1820=0,0,E1820*0.03)</f>
        <v>0</v>
      </c>
    </row>
    <row r="1821" customFormat="false" ht="15.75" hidden="false" customHeight="true" outlineLevel="0" collapsed="false">
      <c r="A1821" s="30" t="n">
        <v>45444</v>
      </c>
      <c r="B1821" s="31" t="s">
        <v>153</v>
      </c>
      <c r="C1821" s="32"/>
      <c r="D1821" s="32"/>
      <c r="E1821" s="19" t="n">
        <f aca="false">+F1821*0.03</f>
        <v>0</v>
      </c>
      <c r="F1821" s="33" t="n">
        <v>0</v>
      </c>
      <c r="G1821" s="62"/>
      <c r="H1821" s="35" t="n">
        <v>0</v>
      </c>
      <c r="I1821" s="34" t="n">
        <f aca="false">+IF(E1821=0,0,E1821*0.03)</f>
        <v>0</v>
      </c>
    </row>
    <row r="1822" customFormat="false" ht="15.75" hidden="false" customHeight="true" outlineLevel="0" collapsed="false">
      <c r="A1822" s="30" t="n">
        <v>45444</v>
      </c>
      <c r="B1822" s="31" t="s">
        <v>153</v>
      </c>
      <c r="C1822" s="32"/>
      <c r="D1822" s="32"/>
      <c r="E1822" s="19" t="n">
        <f aca="false">+F1822*0.03</f>
        <v>0</v>
      </c>
      <c r="F1822" s="33" t="n">
        <v>0</v>
      </c>
      <c r="G1822" s="62"/>
      <c r="H1822" s="35" t="n">
        <v>0</v>
      </c>
      <c r="I1822" s="34" t="n">
        <f aca="false">+IF(E1822=0,0,E1822*0.03)</f>
        <v>0</v>
      </c>
    </row>
    <row r="1823" customFormat="false" ht="15.75" hidden="false" customHeight="true" outlineLevel="0" collapsed="false">
      <c r="A1823" s="30" t="n">
        <v>45444</v>
      </c>
      <c r="B1823" s="31" t="s">
        <v>153</v>
      </c>
      <c r="C1823" s="32"/>
      <c r="D1823" s="32"/>
      <c r="E1823" s="19" t="n">
        <f aca="false">+F1823*0.03</f>
        <v>0</v>
      </c>
      <c r="F1823" s="33" t="n">
        <v>0</v>
      </c>
      <c r="G1823" s="62"/>
      <c r="H1823" s="35" t="n">
        <v>0</v>
      </c>
      <c r="I1823" s="34" t="n">
        <f aca="false">+IF(E1823=0,0,E1823*0.03)</f>
        <v>0</v>
      </c>
    </row>
    <row r="1824" customFormat="false" ht="15.75" hidden="false" customHeight="true" outlineLevel="0" collapsed="false">
      <c r="A1824" s="30" t="n">
        <v>45444</v>
      </c>
      <c r="B1824" s="31" t="s">
        <v>153</v>
      </c>
      <c r="C1824" s="32"/>
      <c r="D1824" s="32"/>
      <c r="E1824" s="19" t="n">
        <f aca="false">+F1824*0.03</f>
        <v>0</v>
      </c>
      <c r="F1824" s="33" t="n">
        <v>0</v>
      </c>
      <c r="G1824" s="62"/>
      <c r="H1824" s="35" t="n">
        <v>0</v>
      </c>
      <c r="I1824" s="34" t="n">
        <f aca="false">+IF(E1824=0,0,E1824*0.03)</f>
        <v>0</v>
      </c>
    </row>
    <row r="1825" customFormat="false" ht="15.75" hidden="false" customHeight="true" outlineLevel="0" collapsed="false">
      <c r="A1825" s="30" t="n">
        <v>45444</v>
      </c>
      <c r="B1825" s="31" t="s">
        <v>153</v>
      </c>
      <c r="C1825" s="32"/>
      <c r="D1825" s="32"/>
      <c r="E1825" s="19" t="n">
        <f aca="false">+F1825*0.03</f>
        <v>0</v>
      </c>
      <c r="F1825" s="33" t="n">
        <v>0</v>
      </c>
      <c r="G1825" s="62"/>
      <c r="H1825" s="35" t="n">
        <v>0</v>
      </c>
      <c r="I1825" s="34" t="n">
        <f aca="false">+IF(E1825=0,0,E1825*0.03)</f>
        <v>0</v>
      </c>
    </row>
    <row r="1826" customFormat="false" ht="15.75" hidden="false" customHeight="true" outlineLevel="0" collapsed="false">
      <c r="A1826" s="30" t="n">
        <v>45444</v>
      </c>
      <c r="B1826" s="31" t="s">
        <v>153</v>
      </c>
      <c r="C1826" s="32"/>
      <c r="D1826" s="32"/>
      <c r="E1826" s="19" t="n">
        <f aca="false">+F1826*0.03</f>
        <v>0</v>
      </c>
      <c r="F1826" s="33" t="n">
        <v>0</v>
      </c>
      <c r="G1826" s="62"/>
      <c r="H1826" s="35" t="n">
        <v>0</v>
      </c>
      <c r="I1826" s="34" t="n">
        <f aca="false">+IF(E1826=0,0,E1826*0.03)</f>
        <v>0</v>
      </c>
    </row>
    <row r="1827" customFormat="false" ht="15.75" hidden="false" customHeight="true" outlineLevel="0" collapsed="false">
      <c r="A1827" s="30" t="n">
        <v>45444</v>
      </c>
      <c r="B1827" s="31" t="s">
        <v>153</v>
      </c>
      <c r="C1827" s="32"/>
      <c r="D1827" s="32"/>
      <c r="E1827" s="19" t="n">
        <f aca="false">+F1827*0.03</f>
        <v>0</v>
      </c>
      <c r="F1827" s="33" t="n">
        <v>0</v>
      </c>
      <c r="G1827" s="62"/>
      <c r="H1827" s="35" t="n">
        <v>0</v>
      </c>
      <c r="I1827" s="34" t="n">
        <f aca="false">+IF(E1827=0,0,E1827*0.03)</f>
        <v>0</v>
      </c>
    </row>
    <row r="1828" customFormat="false" ht="15.75" hidden="false" customHeight="true" outlineLevel="0" collapsed="false">
      <c r="A1828" s="30" t="n">
        <v>45444</v>
      </c>
      <c r="B1828" s="31" t="s">
        <v>153</v>
      </c>
      <c r="C1828" s="32"/>
      <c r="D1828" s="32"/>
      <c r="E1828" s="19" t="n">
        <f aca="false">+F1828*0.03</f>
        <v>0</v>
      </c>
      <c r="F1828" s="33" t="n">
        <v>0</v>
      </c>
      <c r="G1828" s="62"/>
      <c r="H1828" s="35" t="n">
        <v>0</v>
      </c>
      <c r="I1828" s="34" t="n">
        <f aca="false">+IF(E1828=0,0,E1828*0.03)</f>
        <v>0</v>
      </c>
    </row>
    <row r="1829" customFormat="false" ht="15.75" hidden="false" customHeight="true" outlineLevel="0" collapsed="false">
      <c r="A1829" s="30" t="n">
        <v>45444</v>
      </c>
      <c r="B1829" s="31" t="s">
        <v>153</v>
      </c>
      <c r="C1829" s="32"/>
      <c r="D1829" s="32"/>
      <c r="E1829" s="19" t="n">
        <f aca="false">+F1829*0.03</f>
        <v>0</v>
      </c>
      <c r="F1829" s="33" t="n">
        <v>0</v>
      </c>
      <c r="G1829" s="62"/>
      <c r="H1829" s="35" t="n">
        <v>0</v>
      </c>
      <c r="I1829" s="34" t="n">
        <f aca="false">+IF(E1829=0,0,E1829*0.03)</f>
        <v>0</v>
      </c>
    </row>
    <row r="1830" customFormat="false" ht="15.75" hidden="false" customHeight="true" outlineLevel="0" collapsed="false">
      <c r="A1830" s="30" t="n">
        <v>45444</v>
      </c>
      <c r="B1830" s="31" t="s">
        <v>153</v>
      </c>
      <c r="C1830" s="32"/>
      <c r="D1830" s="32"/>
      <c r="E1830" s="19" t="n">
        <f aca="false">+F1830*0.03</f>
        <v>0</v>
      </c>
      <c r="F1830" s="33" t="n">
        <v>0</v>
      </c>
      <c r="G1830" s="62"/>
      <c r="H1830" s="35" t="n">
        <v>0</v>
      </c>
      <c r="I1830" s="34" t="n">
        <f aca="false">+IF(E1830=0,0,E1830*0.03)</f>
        <v>0</v>
      </c>
    </row>
    <row r="1831" customFormat="false" ht="15.75" hidden="false" customHeight="true" outlineLevel="0" collapsed="false">
      <c r="A1831" s="30" t="n">
        <v>45444</v>
      </c>
      <c r="B1831" s="31" t="s">
        <v>153</v>
      </c>
      <c r="C1831" s="32"/>
      <c r="D1831" s="32"/>
      <c r="E1831" s="19" t="n">
        <f aca="false">+F1831*0.03</f>
        <v>0</v>
      </c>
      <c r="F1831" s="33" t="n">
        <v>0</v>
      </c>
      <c r="G1831" s="62"/>
      <c r="H1831" s="35" t="n">
        <v>0</v>
      </c>
      <c r="I1831" s="34" t="n">
        <f aca="false">+IF(E1831=0,0,E1831*0.03)</f>
        <v>0</v>
      </c>
    </row>
    <row r="1832" customFormat="false" ht="15.75" hidden="false" customHeight="true" outlineLevel="0" collapsed="false">
      <c r="A1832" s="30" t="n">
        <v>45444</v>
      </c>
      <c r="B1832" s="31" t="s">
        <v>153</v>
      </c>
      <c r="C1832" s="32"/>
      <c r="D1832" s="32"/>
      <c r="E1832" s="19" t="n">
        <f aca="false">+F1832*0.03</f>
        <v>0</v>
      </c>
      <c r="F1832" s="33" t="n">
        <v>0</v>
      </c>
      <c r="G1832" s="62"/>
      <c r="H1832" s="35" t="n">
        <v>0</v>
      </c>
      <c r="I1832" s="34" t="n">
        <f aca="false">+IF(E1832=0,0,E1832*0.03)</f>
        <v>0</v>
      </c>
    </row>
    <row r="1833" customFormat="false" ht="15.75" hidden="false" customHeight="true" outlineLevel="0" collapsed="false">
      <c r="A1833" s="30" t="n">
        <v>45444</v>
      </c>
      <c r="B1833" s="31" t="s">
        <v>153</v>
      </c>
      <c r="C1833" s="32"/>
      <c r="D1833" s="32"/>
      <c r="E1833" s="19" t="n">
        <f aca="false">+F1833*0.03</f>
        <v>0</v>
      </c>
      <c r="F1833" s="33" t="n">
        <v>0</v>
      </c>
      <c r="G1833" s="62"/>
      <c r="H1833" s="35" t="n">
        <v>0</v>
      </c>
      <c r="I1833" s="34" t="n">
        <f aca="false">+IF(E1833=0,0,E1833*0.03)</f>
        <v>0</v>
      </c>
    </row>
    <row r="1834" customFormat="false" ht="15.75" hidden="false" customHeight="true" outlineLevel="0" collapsed="false">
      <c r="A1834" s="30" t="n">
        <v>45444</v>
      </c>
      <c r="B1834" s="31" t="s">
        <v>153</v>
      </c>
      <c r="C1834" s="32"/>
      <c r="D1834" s="32"/>
      <c r="E1834" s="19" t="n">
        <f aca="false">+F1834*0.03</f>
        <v>0</v>
      </c>
      <c r="F1834" s="33" t="n">
        <v>0</v>
      </c>
      <c r="G1834" s="62"/>
      <c r="H1834" s="35" t="n">
        <v>0</v>
      </c>
      <c r="I1834" s="34" t="n">
        <f aca="false">+IF(E1834=0,0,E1834*0.03)</f>
        <v>0</v>
      </c>
    </row>
    <row r="1835" customFormat="false" ht="15.75" hidden="false" customHeight="true" outlineLevel="0" collapsed="false">
      <c r="A1835" s="30" t="n">
        <v>45444</v>
      </c>
      <c r="B1835" s="31" t="s">
        <v>153</v>
      </c>
      <c r="C1835" s="32"/>
      <c r="D1835" s="32"/>
      <c r="E1835" s="19" t="n">
        <f aca="false">+F1835*0.03</f>
        <v>0</v>
      </c>
      <c r="F1835" s="33" t="n">
        <v>0</v>
      </c>
      <c r="G1835" s="62"/>
      <c r="H1835" s="35" t="n">
        <v>0</v>
      </c>
      <c r="I1835" s="34" t="n">
        <f aca="false">+IF(E1835=0,0,E1835*0.03)</f>
        <v>0</v>
      </c>
    </row>
    <row r="1836" customFormat="false" ht="15.75" hidden="false" customHeight="true" outlineLevel="0" collapsed="false">
      <c r="A1836" s="30" t="n">
        <v>45444</v>
      </c>
      <c r="B1836" s="31" t="s">
        <v>153</v>
      </c>
      <c r="C1836" s="32"/>
      <c r="D1836" s="32"/>
      <c r="E1836" s="19" t="n">
        <f aca="false">+F1836*0.03</f>
        <v>0</v>
      </c>
      <c r="F1836" s="33" t="n">
        <v>0</v>
      </c>
      <c r="G1836" s="62"/>
      <c r="H1836" s="35" t="n">
        <v>0</v>
      </c>
      <c r="I1836" s="34" t="n">
        <f aca="false">+IF(E1836=0,0,E1836*0.03)</f>
        <v>0</v>
      </c>
    </row>
    <row r="1837" customFormat="false" ht="15.75" hidden="false" customHeight="true" outlineLevel="0" collapsed="false">
      <c r="A1837" s="30" t="n">
        <v>45444</v>
      </c>
      <c r="B1837" s="31" t="s">
        <v>153</v>
      </c>
      <c r="C1837" s="32"/>
      <c r="D1837" s="32"/>
      <c r="E1837" s="19" t="n">
        <f aca="false">+F1837*0.03</f>
        <v>0</v>
      </c>
      <c r="F1837" s="33" t="n">
        <v>0</v>
      </c>
      <c r="G1837" s="62"/>
      <c r="H1837" s="35" t="n">
        <v>0</v>
      </c>
      <c r="I1837" s="34" t="n">
        <f aca="false">+IF(E1837=0,0,E1837*0.03)</f>
        <v>0</v>
      </c>
    </row>
    <row r="1838" customFormat="false" ht="15.75" hidden="false" customHeight="true" outlineLevel="0" collapsed="false">
      <c r="A1838" s="30" t="n">
        <v>45444</v>
      </c>
      <c r="B1838" s="31" t="s">
        <v>153</v>
      </c>
      <c r="C1838" s="32"/>
      <c r="D1838" s="32"/>
      <c r="E1838" s="19" t="n">
        <f aca="false">+F1838*0.03</f>
        <v>0</v>
      </c>
      <c r="F1838" s="33" t="n">
        <v>0</v>
      </c>
      <c r="G1838" s="62"/>
      <c r="H1838" s="35" t="n">
        <v>0</v>
      </c>
      <c r="I1838" s="34" t="n">
        <f aca="false">+IF(E1838=0,0,E1838*0.03)</f>
        <v>0</v>
      </c>
    </row>
    <row r="1839" customFormat="false" ht="15.75" hidden="false" customHeight="true" outlineLevel="0" collapsed="false">
      <c r="A1839" s="30" t="n">
        <v>45444</v>
      </c>
      <c r="B1839" s="31" t="s">
        <v>153</v>
      </c>
      <c r="C1839" s="32"/>
      <c r="D1839" s="32"/>
      <c r="E1839" s="19" t="n">
        <f aca="false">+F1839*0.03</f>
        <v>0</v>
      </c>
      <c r="F1839" s="33" t="n">
        <v>0</v>
      </c>
      <c r="G1839" s="62"/>
      <c r="H1839" s="35" t="n">
        <v>0</v>
      </c>
      <c r="I1839" s="34" t="n">
        <f aca="false">+IF(E1839=0,0,E1839*0.03)</f>
        <v>0</v>
      </c>
    </row>
    <row r="1840" customFormat="false" ht="15.75" hidden="false" customHeight="true" outlineLevel="0" collapsed="false">
      <c r="A1840" s="30" t="n">
        <v>45444</v>
      </c>
      <c r="B1840" s="31" t="s">
        <v>153</v>
      </c>
      <c r="C1840" s="32"/>
      <c r="D1840" s="32"/>
      <c r="E1840" s="19" t="n">
        <f aca="false">+F1840*0.03</f>
        <v>0</v>
      </c>
      <c r="F1840" s="33" t="n">
        <v>0</v>
      </c>
      <c r="G1840" s="62"/>
      <c r="H1840" s="35" t="n">
        <v>0</v>
      </c>
      <c r="I1840" s="34" t="n">
        <f aca="false">+IF(E1840=0,0,E1840*0.03)</f>
        <v>0</v>
      </c>
    </row>
    <row r="1841" customFormat="false" ht="15.75" hidden="false" customHeight="true" outlineLevel="0" collapsed="false">
      <c r="A1841" s="30" t="n">
        <v>45444</v>
      </c>
      <c r="B1841" s="31" t="s">
        <v>153</v>
      </c>
      <c r="C1841" s="32"/>
      <c r="D1841" s="32"/>
      <c r="E1841" s="19" t="n">
        <f aca="false">+F1841*0.03</f>
        <v>0</v>
      </c>
      <c r="F1841" s="33" t="n">
        <v>0</v>
      </c>
      <c r="G1841" s="62"/>
      <c r="H1841" s="35" t="n">
        <v>0</v>
      </c>
      <c r="I1841" s="34" t="n">
        <f aca="false">+IF(E1841=0,0,E1841*0.03)</f>
        <v>0</v>
      </c>
    </row>
    <row r="1842" customFormat="false" ht="15.75" hidden="false" customHeight="true" outlineLevel="0" collapsed="false">
      <c r="A1842" s="30" t="n">
        <v>45444</v>
      </c>
      <c r="B1842" s="31" t="s">
        <v>153</v>
      </c>
      <c r="C1842" s="32"/>
      <c r="D1842" s="32"/>
      <c r="E1842" s="19" t="n">
        <f aca="false">+F1842*0.03</f>
        <v>0</v>
      </c>
      <c r="F1842" s="33" t="n">
        <v>0</v>
      </c>
      <c r="G1842" s="62"/>
      <c r="H1842" s="35" t="n">
        <v>0</v>
      </c>
      <c r="I1842" s="34" t="n">
        <f aca="false">+IF(E1842=0,0,E1842*0.03)</f>
        <v>0</v>
      </c>
    </row>
    <row r="1843" customFormat="false" ht="15.75" hidden="false" customHeight="true" outlineLevel="0" collapsed="false">
      <c r="A1843" s="30" t="n">
        <v>45444</v>
      </c>
      <c r="B1843" s="31" t="s">
        <v>153</v>
      </c>
      <c r="C1843" s="32"/>
      <c r="D1843" s="32"/>
      <c r="E1843" s="19" t="n">
        <f aca="false">+F1843*0.03</f>
        <v>0</v>
      </c>
      <c r="F1843" s="33" t="n">
        <v>0</v>
      </c>
      <c r="G1843" s="62"/>
      <c r="H1843" s="35" t="n">
        <v>0</v>
      </c>
      <c r="I1843" s="34" t="n">
        <f aca="false">+IF(E1843=0,0,E1843*0.03)</f>
        <v>0</v>
      </c>
    </row>
    <row r="1844" customFormat="false" ht="15.75" hidden="false" customHeight="true" outlineLevel="0" collapsed="false">
      <c r="A1844" s="30" t="n">
        <v>45444</v>
      </c>
      <c r="B1844" s="31" t="s">
        <v>153</v>
      </c>
      <c r="C1844" s="32"/>
      <c r="D1844" s="32"/>
      <c r="E1844" s="19" t="n">
        <f aca="false">+F1844*0.03</f>
        <v>0</v>
      </c>
      <c r="F1844" s="33" t="n">
        <v>0</v>
      </c>
      <c r="G1844" s="62"/>
      <c r="H1844" s="35" t="n">
        <v>0</v>
      </c>
      <c r="I1844" s="34" t="n">
        <f aca="false">+IF(E1844=0,0,E1844*0.03)</f>
        <v>0</v>
      </c>
    </row>
    <row r="1845" customFormat="false" ht="15.75" hidden="false" customHeight="true" outlineLevel="0" collapsed="false">
      <c r="A1845" s="30" t="n">
        <v>45444</v>
      </c>
      <c r="B1845" s="31" t="s">
        <v>153</v>
      </c>
      <c r="C1845" s="32"/>
      <c r="D1845" s="32"/>
      <c r="E1845" s="19" t="n">
        <f aca="false">+F1845*0.03</f>
        <v>0</v>
      </c>
      <c r="F1845" s="33" t="n">
        <v>0</v>
      </c>
      <c r="G1845" s="62"/>
      <c r="H1845" s="35" t="n">
        <v>0</v>
      </c>
      <c r="I1845" s="34" t="n">
        <f aca="false">+IF(E1845=0,0,E1845*0.03)</f>
        <v>0</v>
      </c>
    </row>
    <row r="1846" customFormat="false" ht="15.75" hidden="false" customHeight="true" outlineLevel="0" collapsed="false">
      <c r="A1846" s="30" t="n">
        <v>45444</v>
      </c>
      <c r="B1846" s="31" t="s">
        <v>153</v>
      </c>
      <c r="C1846" s="32"/>
      <c r="D1846" s="32"/>
      <c r="E1846" s="19" t="n">
        <f aca="false">+F1846*0.03</f>
        <v>0</v>
      </c>
      <c r="F1846" s="33" t="n">
        <v>0</v>
      </c>
      <c r="G1846" s="62"/>
      <c r="H1846" s="35" t="n">
        <v>0</v>
      </c>
      <c r="I1846" s="34" t="n">
        <f aca="false">+IF(E1846=0,0,E1846*0.03)</f>
        <v>0</v>
      </c>
    </row>
    <row r="1847" customFormat="false" ht="15.75" hidden="false" customHeight="true" outlineLevel="0" collapsed="false">
      <c r="A1847" s="30" t="n">
        <v>45444</v>
      </c>
      <c r="B1847" s="31" t="s">
        <v>153</v>
      </c>
      <c r="C1847" s="32"/>
      <c r="D1847" s="32"/>
      <c r="E1847" s="19" t="n">
        <f aca="false">+F1847*0.03</f>
        <v>0</v>
      </c>
      <c r="F1847" s="33" t="n">
        <v>0</v>
      </c>
      <c r="G1847" s="62"/>
      <c r="H1847" s="35" t="n">
        <v>0</v>
      </c>
      <c r="I1847" s="34" t="n">
        <f aca="false">+IF(E1847=0,0,E1847*0.03)</f>
        <v>0</v>
      </c>
    </row>
    <row r="1848" customFormat="false" ht="15.75" hidden="false" customHeight="true" outlineLevel="0" collapsed="false">
      <c r="A1848" s="30" t="n">
        <v>45444</v>
      </c>
      <c r="B1848" s="31" t="s">
        <v>153</v>
      </c>
      <c r="C1848" s="32"/>
      <c r="D1848" s="32"/>
      <c r="E1848" s="19" t="n">
        <f aca="false">+F1848*0.03</f>
        <v>0</v>
      </c>
      <c r="F1848" s="33" t="n">
        <v>0</v>
      </c>
      <c r="G1848" s="62"/>
      <c r="H1848" s="35" t="n">
        <v>0</v>
      </c>
      <c r="I1848" s="34" t="n">
        <f aca="false">+IF(E1848=0,0,E1848*0.03)</f>
        <v>0</v>
      </c>
    </row>
    <row r="1849" customFormat="false" ht="15.75" hidden="false" customHeight="true" outlineLevel="0" collapsed="false">
      <c r="A1849" s="30" t="n">
        <v>45444</v>
      </c>
      <c r="B1849" s="31" t="s">
        <v>153</v>
      </c>
      <c r="C1849" s="32"/>
      <c r="D1849" s="32"/>
      <c r="E1849" s="19" t="n">
        <f aca="false">+F1849*0.03</f>
        <v>0</v>
      </c>
      <c r="F1849" s="33" t="n">
        <v>0</v>
      </c>
      <c r="G1849" s="62"/>
      <c r="H1849" s="35" t="n">
        <v>0</v>
      </c>
      <c r="I1849" s="34" t="n">
        <f aca="false">+IF(E1849=0,0,E1849*0.03)</f>
        <v>0</v>
      </c>
    </row>
    <row r="1850" customFormat="false" ht="15.75" hidden="false" customHeight="true" outlineLevel="0" collapsed="false">
      <c r="A1850" s="30" t="n">
        <v>45444</v>
      </c>
      <c r="B1850" s="31" t="s">
        <v>153</v>
      </c>
      <c r="C1850" s="32"/>
      <c r="D1850" s="32"/>
      <c r="E1850" s="19" t="n">
        <f aca="false">+F1850*0.03</f>
        <v>0</v>
      </c>
      <c r="F1850" s="33" t="n">
        <v>0</v>
      </c>
      <c r="G1850" s="62"/>
      <c r="H1850" s="35" t="n">
        <v>0</v>
      </c>
      <c r="I1850" s="34" t="n">
        <f aca="false">+IF(E1850=0,0,E1850*0.03)</f>
        <v>0</v>
      </c>
    </row>
    <row r="1851" customFormat="false" ht="15.75" hidden="false" customHeight="true" outlineLevel="0" collapsed="false">
      <c r="A1851" s="30" t="n">
        <v>45444</v>
      </c>
      <c r="B1851" s="31" t="s">
        <v>153</v>
      </c>
      <c r="C1851" s="32"/>
      <c r="D1851" s="32"/>
      <c r="E1851" s="19" t="n">
        <f aca="false">+F1851*0.03</f>
        <v>0</v>
      </c>
      <c r="F1851" s="33" t="n">
        <v>0</v>
      </c>
      <c r="G1851" s="62"/>
      <c r="H1851" s="35" t="n">
        <v>0</v>
      </c>
      <c r="I1851" s="34" t="n">
        <f aca="false">+IF(E1851=0,0,E1851*0.03)</f>
        <v>0</v>
      </c>
    </row>
    <row r="1852" customFormat="false" ht="15.75" hidden="false" customHeight="true" outlineLevel="0" collapsed="false">
      <c r="A1852" s="30" t="n">
        <v>45444</v>
      </c>
      <c r="B1852" s="31" t="s">
        <v>153</v>
      </c>
      <c r="C1852" s="32"/>
      <c r="D1852" s="32"/>
      <c r="E1852" s="19" t="n">
        <f aca="false">+F1852*0.03</f>
        <v>0</v>
      </c>
      <c r="F1852" s="33" t="n">
        <v>0</v>
      </c>
      <c r="G1852" s="62"/>
      <c r="H1852" s="35" t="n">
        <v>0</v>
      </c>
      <c r="I1852" s="34" t="n">
        <f aca="false">+IF(E1852=0,0,E1852*0.03)</f>
        <v>0</v>
      </c>
    </row>
    <row r="1853" customFormat="false" ht="15.75" hidden="false" customHeight="true" outlineLevel="0" collapsed="false">
      <c r="A1853" s="30" t="n">
        <v>45444</v>
      </c>
      <c r="B1853" s="31" t="s">
        <v>153</v>
      </c>
      <c r="C1853" s="32"/>
      <c r="D1853" s="32"/>
      <c r="E1853" s="19" t="n">
        <f aca="false">+F1853*0.03</f>
        <v>0</v>
      </c>
      <c r="F1853" s="33" t="n">
        <v>0</v>
      </c>
      <c r="G1853" s="62"/>
      <c r="H1853" s="35" t="n">
        <v>0</v>
      </c>
      <c r="I1853" s="34" t="n">
        <f aca="false">+IF(E1853=0,0,E1853*0.03)</f>
        <v>0</v>
      </c>
    </row>
    <row r="1854" customFormat="false" ht="15.75" hidden="false" customHeight="true" outlineLevel="0" collapsed="false">
      <c r="A1854" s="30" t="n">
        <v>45444</v>
      </c>
      <c r="B1854" s="31" t="s">
        <v>153</v>
      </c>
      <c r="C1854" s="32"/>
      <c r="D1854" s="32"/>
      <c r="E1854" s="19" t="n">
        <f aca="false">+F1854*0.03</f>
        <v>0</v>
      </c>
      <c r="F1854" s="33" t="n">
        <v>0</v>
      </c>
      <c r="G1854" s="62"/>
      <c r="H1854" s="35" t="n">
        <v>0</v>
      </c>
      <c r="I1854" s="34" t="n">
        <f aca="false">+IF(E1854=0,0,E1854*0.03)</f>
        <v>0</v>
      </c>
    </row>
    <row r="1855" customFormat="false" ht="15.75" hidden="false" customHeight="true" outlineLevel="0" collapsed="false">
      <c r="A1855" s="30" t="n">
        <v>45444</v>
      </c>
      <c r="B1855" s="31" t="s">
        <v>153</v>
      </c>
      <c r="C1855" s="32"/>
      <c r="D1855" s="32"/>
      <c r="E1855" s="19" t="n">
        <f aca="false">+F1855*0.03</f>
        <v>0</v>
      </c>
      <c r="F1855" s="33" t="n">
        <v>0</v>
      </c>
      <c r="G1855" s="62"/>
      <c r="H1855" s="35" t="n">
        <v>0</v>
      </c>
      <c r="I1855" s="34" t="n">
        <f aca="false">+IF(E1855=0,0,E1855*0.03)</f>
        <v>0</v>
      </c>
    </row>
    <row r="1856" customFormat="false" ht="15.75" hidden="false" customHeight="true" outlineLevel="0" collapsed="false">
      <c r="A1856" s="30" t="n">
        <v>45444</v>
      </c>
      <c r="B1856" s="31" t="s">
        <v>153</v>
      </c>
      <c r="C1856" s="32"/>
      <c r="D1856" s="32"/>
      <c r="E1856" s="19" t="n">
        <f aca="false">+F1856*0.03</f>
        <v>0</v>
      </c>
      <c r="F1856" s="33" t="n">
        <v>0</v>
      </c>
      <c r="G1856" s="62"/>
      <c r="H1856" s="35" t="n">
        <v>0</v>
      </c>
      <c r="I1856" s="34" t="n">
        <f aca="false">+IF(E1856=0,0,E1856*0.03)</f>
        <v>0</v>
      </c>
    </row>
    <row r="1857" customFormat="false" ht="15.75" hidden="false" customHeight="true" outlineLevel="0" collapsed="false">
      <c r="A1857" s="30" t="n">
        <v>45444</v>
      </c>
      <c r="B1857" s="31" t="s">
        <v>153</v>
      </c>
      <c r="C1857" s="32"/>
      <c r="D1857" s="32"/>
      <c r="E1857" s="19" t="n">
        <f aca="false">+F1857*0.03</f>
        <v>0</v>
      </c>
      <c r="F1857" s="33" t="n">
        <v>0</v>
      </c>
      <c r="G1857" s="62"/>
      <c r="H1857" s="35" t="n">
        <v>0</v>
      </c>
      <c r="I1857" s="34" t="n">
        <f aca="false">+IF(E1857=0,0,E1857*0.03)</f>
        <v>0</v>
      </c>
    </row>
    <row r="1858" customFormat="false" ht="15.75" hidden="false" customHeight="true" outlineLevel="0" collapsed="false">
      <c r="A1858" s="30" t="n">
        <v>45444</v>
      </c>
      <c r="B1858" s="31" t="s">
        <v>153</v>
      </c>
      <c r="C1858" s="32"/>
      <c r="D1858" s="32"/>
      <c r="E1858" s="19" t="n">
        <f aca="false">+F1858*0.03</f>
        <v>0</v>
      </c>
      <c r="F1858" s="33" t="n">
        <v>0</v>
      </c>
      <c r="G1858" s="62"/>
      <c r="H1858" s="35" t="n">
        <v>0</v>
      </c>
      <c r="I1858" s="34" t="n">
        <f aca="false">+IF(E1858=0,0,E1858*0.03)</f>
        <v>0</v>
      </c>
    </row>
    <row r="1859" customFormat="false" ht="15.75" hidden="false" customHeight="true" outlineLevel="0" collapsed="false">
      <c r="A1859" s="30" t="n">
        <v>45444</v>
      </c>
      <c r="B1859" s="31" t="s">
        <v>153</v>
      </c>
      <c r="C1859" s="32"/>
      <c r="D1859" s="32"/>
      <c r="E1859" s="19" t="n">
        <f aca="false">+F1859*0.03</f>
        <v>0</v>
      </c>
      <c r="F1859" s="33" t="n">
        <v>0</v>
      </c>
      <c r="G1859" s="62"/>
      <c r="H1859" s="35" t="n">
        <v>0</v>
      </c>
      <c r="I1859" s="34" t="n">
        <f aca="false">+IF(E1859=0,0,E1859*0.03)</f>
        <v>0</v>
      </c>
    </row>
    <row r="1860" customFormat="false" ht="15.75" hidden="false" customHeight="true" outlineLevel="0" collapsed="false">
      <c r="A1860" s="30" t="n">
        <v>45444</v>
      </c>
      <c r="B1860" s="31" t="s">
        <v>153</v>
      </c>
      <c r="C1860" s="32"/>
      <c r="D1860" s="32"/>
      <c r="E1860" s="19" t="n">
        <f aca="false">+F1860*0.03</f>
        <v>0</v>
      </c>
      <c r="F1860" s="33" t="n">
        <v>0</v>
      </c>
      <c r="G1860" s="62"/>
      <c r="H1860" s="35" t="n">
        <v>0</v>
      </c>
      <c r="I1860" s="34" t="n">
        <f aca="false">+IF(E1860=0,0,E1860*0.03)</f>
        <v>0</v>
      </c>
    </row>
    <row r="1861" customFormat="false" ht="15.75" hidden="false" customHeight="true" outlineLevel="0" collapsed="false">
      <c r="A1861" s="30" t="n">
        <v>45444</v>
      </c>
      <c r="B1861" s="31" t="s">
        <v>153</v>
      </c>
      <c r="C1861" s="32"/>
      <c r="D1861" s="32"/>
      <c r="E1861" s="19" t="n">
        <f aca="false">+F1861*0.03</f>
        <v>0</v>
      </c>
      <c r="F1861" s="33" t="n">
        <v>0</v>
      </c>
      <c r="G1861" s="62"/>
      <c r="H1861" s="35" t="n">
        <v>0</v>
      </c>
      <c r="I1861" s="34" t="n">
        <f aca="false">+IF(E1861=0,0,E1861*0.03)</f>
        <v>0</v>
      </c>
    </row>
    <row r="1862" customFormat="false" ht="15.75" hidden="false" customHeight="true" outlineLevel="0" collapsed="false">
      <c r="A1862" s="30" t="n">
        <v>45444</v>
      </c>
      <c r="B1862" s="31" t="s">
        <v>153</v>
      </c>
      <c r="C1862" s="32"/>
      <c r="D1862" s="32"/>
      <c r="E1862" s="19" t="n">
        <f aca="false">+F1862*0.03</f>
        <v>0</v>
      </c>
      <c r="F1862" s="33" t="n">
        <v>0</v>
      </c>
      <c r="G1862" s="62"/>
      <c r="H1862" s="35" t="n">
        <v>0</v>
      </c>
      <c r="I1862" s="34" t="n">
        <f aca="false">+IF(E1862=0,0,E1862*0.03)</f>
        <v>0</v>
      </c>
    </row>
    <row r="1863" customFormat="false" ht="15.75" hidden="false" customHeight="true" outlineLevel="0" collapsed="false">
      <c r="A1863" s="30" t="n">
        <v>45444</v>
      </c>
      <c r="B1863" s="31" t="s">
        <v>153</v>
      </c>
      <c r="C1863" s="32"/>
      <c r="D1863" s="32"/>
      <c r="E1863" s="19" t="n">
        <f aca="false">+F1863*0.03</f>
        <v>0</v>
      </c>
      <c r="F1863" s="33" t="n">
        <v>0</v>
      </c>
      <c r="G1863" s="62"/>
      <c r="H1863" s="35" t="n">
        <v>0</v>
      </c>
      <c r="I1863" s="34" t="n">
        <f aca="false">+IF(E1863=0,0,E1863*0.03)</f>
        <v>0</v>
      </c>
    </row>
    <row r="1864" customFormat="false" ht="15.75" hidden="false" customHeight="true" outlineLevel="0" collapsed="false">
      <c r="A1864" s="30" t="n">
        <v>45444</v>
      </c>
      <c r="B1864" s="31" t="s">
        <v>153</v>
      </c>
      <c r="C1864" s="32"/>
      <c r="D1864" s="32"/>
      <c r="E1864" s="19" t="n">
        <f aca="false">+F1864*0.03</f>
        <v>0</v>
      </c>
      <c r="F1864" s="33" t="n">
        <v>0</v>
      </c>
      <c r="G1864" s="62"/>
      <c r="H1864" s="35" t="n">
        <v>0</v>
      </c>
      <c r="I1864" s="34" t="n">
        <f aca="false">+IF(E1864=0,0,E1864*0.03)</f>
        <v>0</v>
      </c>
    </row>
    <row r="1865" customFormat="false" ht="15.75" hidden="false" customHeight="true" outlineLevel="0" collapsed="false">
      <c r="A1865" s="30" t="n">
        <v>45444</v>
      </c>
      <c r="B1865" s="31" t="s">
        <v>153</v>
      </c>
      <c r="C1865" s="32"/>
      <c r="D1865" s="32"/>
      <c r="E1865" s="19" t="n">
        <f aca="false">+F1865*0.03</f>
        <v>0</v>
      </c>
      <c r="F1865" s="33" t="n">
        <v>0</v>
      </c>
      <c r="G1865" s="62"/>
      <c r="H1865" s="35" t="n">
        <v>0</v>
      </c>
      <c r="I1865" s="34" t="n">
        <f aca="false">+IF(E1865=0,0,E1865*0.03)</f>
        <v>0</v>
      </c>
    </row>
    <row r="1866" customFormat="false" ht="15.75" hidden="false" customHeight="true" outlineLevel="0" collapsed="false">
      <c r="A1866" s="30" t="n">
        <v>45444</v>
      </c>
      <c r="B1866" s="31" t="s">
        <v>153</v>
      </c>
      <c r="C1866" s="32"/>
      <c r="D1866" s="32"/>
      <c r="E1866" s="19" t="n">
        <f aca="false">+F1866*0.03</f>
        <v>0</v>
      </c>
      <c r="F1866" s="33" t="n">
        <v>0</v>
      </c>
      <c r="G1866" s="62"/>
      <c r="H1866" s="35" t="n">
        <v>0</v>
      </c>
      <c r="I1866" s="34" t="n">
        <f aca="false">+IF(E1866=0,0,E1866*0.03)</f>
        <v>0</v>
      </c>
    </row>
    <row r="1867" customFormat="false" ht="15.75" hidden="false" customHeight="true" outlineLevel="0" collapsed="false">
      <c r="A1867" s="30" t="n">
        <v>45444</v>
      </c>
      <c r="B1867" s="31" t="s">
        <v>153</v>
      </c>
      <c r="C1867" s="32"/>
      <c r="D1867" s="32"/>
      <c r="E1867" s="19" t="n">
        <f aca="false">+F1867*0.03</f>
        <v>0</v>
      </c>
      <c r="F1867" s="33" t="n">
        <v>0</v>
      </c>
      <c r="G1867" s="62"/>
      <c r="H1867" s="35" t="n">
        <v>0</v>
      </c>
      <c r="I1867" s="34" t="n">
        <f aca="false">+IF(E1867=0,0,E1867*0.03)</f>
        <v>0</v>
      </c>
    </row>
    <row r="1868" customFormat="false" ht="15.75" hidden="false" customHeight="true" outlineLevel="0" collapsed="false">
      <c r="A1868" s="30" t="n">
        <v>45444</v>
      </c>
      <c r="B1868" s="31" t="s">
        <v>153</v>
      </c>
      <c r="C1868" s="32"/>
      <c r="D1868" s="32"/>
      <c r="E1868" s="19" t="n">
        <f aca="false">+F1868*0.03</f>
        <v>0</v>
      </c>
      <c r="F1868" s="33" t="n">
        <v>0</v>
      </c>
      <c r="G1868" s="62"/>
      <c r="H1868" s="35" t="n">
        <v>0</v>
      </c>
      <c r="I1868" s="34" t="n">
        <f aca="false">+IF(E1868=0,0,E1868*0.03)</f>
        <v>0</v>
      </c>
    </row>
    <row r="1869" customFormat="false" ht="15.75" hidden="false" customHeight="true" outlineLevel="0" collapsed="false">
      <c r="A1869" s="30" t="n">
        <v>45444</v>
      </c>
      <c r="B1869" s="31" t="s">
        <v>153</v>
      </c>
      <c r="C1869" s="32"/>
      <c r="D1869" s="32"/>
      <c r="E1869" s="19" t="n">
        <f aca="false">+F1869*0.03</f>
        <v>0</v>
      </c>
      <c r="F1869" s="33" t="n">
        <v>0</v>
      </c>
      <c r="G1869" s="62"/>
      <c r="H1869" s="35" t="n">
        <v>0</v>
      </c>
      <c r="I1869" s="34" t="n">
        <f aca="false">+IF(E1869=0,0,E1869*0.03)</f>
        <v>0</v>
      </c>
    </row>
    <row r="1870" customFormat="false" ht="15.75" hidden="false" customHeight="true" outlineLevel="0" collapsed="false">
      <c r="A1870" s="30" t="n">
        <v>45444</v>
      </c>
      <c r="B1870" s="31" t="s">
        <v>153</v>
      </c>
      <c r="C1870" s="32"/>
      <c r="D1870" s="32"/>
      <c r="E1870" s="19" t="n">
        <f aca="false">+F1870*0.03</f>
        <v>0</v>
      </c>
      <c r="F1870" s="33" t="n">
        <v>0</v>
      </c>
      <c r="G1870" s="62"/>
      <c r="H1870" s="35" t="n">
        <v>0</v>
      </c>
      <c r="I1870" s="34" t="n">
        <f aca="false">+IF(E1870=0,0,E1870*0.03)</f>
        <v>0</v>
      </c>
    </row>
    <row r="1871" customFormat="false" ht="15.75" hidden="false" customHeight="true" outlineLevel="0" collapsed="false">
      <c r="A1871" s="30" t="n">
        <v>45444</v>
      </c>
      <c r="B1871" s="31" t="s">
        <v>153</v>
      </c>
      <c r="C1871" s="32"/>
      <c r="D1871" s="32"/>
      <c r="E1871" s="19" t="n">
        <f aca="false">+F1871*0.03</f>
        <v>0</v>
      </c>
      <c r="F1871" s="33" t="n">
        <v>0</v>
      </c>
      <c r="G1871" s="62"/>
      <c r="H1871" s="35" t="n">
        <v>0</v>
      </c>
      <c r="I1871" s="34" t="n">
        <f aca="false">+IF(E1871=0,0,E1871*0.03)</f>
        <v>0</v>
      </c>
    </row>
    <row r="1872" customFormat="false" ht="15.75" hidden="false" customHeight="true" outlineLevel="0" collapsed="false">
      <c r="A1872" s="30" t="n">
        <v>45444</v>
      </c>
      <c r="B1872" s="31" t="s">
        <v>153</v>
      </c>
      <c r="C1872" s="32"/>
      <c r="D1872" s="32"/>
      <c r="E1872" s="19" t="n">
        <f aca="false">+F1872*0.03</f>
        <v>0</v>
      </c>
      <c r="F1872" s="33" t="n">
        <v>0</v>
      </c>
      <c r="G1872" s="62"/>
      <c r="H1872" s="35" t="n">
        <v>0</v>
      </c>
      <c r="I1872" s="34" t="n">
        <f aca="false">+IF(E1872=0,0,E1872*0.03)</f>
        <v>0</v>
      </c>
    </row>
    <row r="1873" customFormat="false" ht="15.75" hidden="false" customHeight="true" outlineLevel="0" collapsed="false">
      <c r="A1873" s="30" t="n">
        <v>45444</v>
      </c>
      <c r="B1873" s="31" t="s">
        <v>153</v>
      </c>
      <c r="C1873" s="32"/>
      <c r="D1873" s="32"/>
      <c r="E1873" s="19" t="n">
        <f aca="false">+F1873*0.03</f>
        <v>0</v>
      </c>
      <c r="F1873" s="33" t="n">
        <v>0</v>
      </c>
      <c r="G1873" s="62"/>
      <c r="H1873" s="35" t="n">
        <v>0</v>
      </c>
      <c r="I1873" s="34" t="n">
        <f aca="false">+IF(E1873=0,0,E1873*0.03)</f>
        <v>0</v>
      </c>
    </row>
    <row r="1874" customFormat="false" ht="15.75" hidden="false" customHeight="true" outlineLevel="0" collapsed="false">
      <c r="A1874" s="30" t="n">
        <v>45444</v>
      </c>
      <c r="B1874" s="31" t="s">
        <v>153</v>
      </c>
      <c r="C1874" s="32"/>
      <c r="D1874" s="32"/>
      <c r="E1874" s="19" t="n">
        <f aca="false">+F1874*0.03</f>
        <v>0</v>
      </c>
      <c r="F1874" s="33" t="n">
        <v>0</v>
      </c>
      <c r="G1874" s="62"/>
      <c r="H1874" s="35" t="n">
        <v>0</v>
      </c>
      <c r="I1874" s="34" t="n">
        <f aca="false">+IF(E1874=0,0,E1874*0.03)</f>
        <v>0</v>
      </c>
    </row>
    <row r="1875" customFormat="false" ht="15.75" hidden="false" customHeight="true" outlineLevel="0" collapsed="false">
      <c r="A1875" s="30" t="n">
        <v>45444</v>
      </c>
      <c r="B1875" s="31" t="s">
        <v>153</v>
      </c>
      <c r="C1875" s="32"/>
      <c r="D1875" s="32"/>
      <c r="E1875" s="19" t="n">
        <f aca="false">+F1875*0.03</f>
        <v>0</v>
      </c>
      <c r="F1875" s="33" t="n">
        <v>0</v>
      </c>
      <c r="G1875" s="62"/>
      <c r="H1875" s="35" t="n">
        <v>0</v>
      </c>
      <c r="I1875" s="34" t="n">
        <f aca="false">+IF(E1875=0,0,E1875*0.03)</f>
        <v>0</v>
      </c>
    </row>
    <row r="1876" customFormat="false" ht="15.75" hidden="false" customHeight="true" outlineLevel="0" collapsed="false">
      <c r="A1876" s="30" t="n">
        <v>45444</v>
      </c>
      <c r="B1876" s="31" t="s">
        <v>153</v>
      </c>
      <c r="C1876" s="32"/>
      <c r="D1876" s="32"/>
      <c r="E1876" s="19" t="n">
        <f aca="false">+F1876*0.03</f>
        <v>0</v>
      </c>
      <c r="F1876" s="33" t="n">
        <v>0</v>
      </c>
      <c r="G1876" s="62"/>
      <c r="H1876" s="35" t="n">
        <v>0</v>
      </c>
      <c r="I1876" s="34" t="n">
        <f aca="false">+IF(E1876=0,0,E1876*0.03)</f>
        <v>0</v>
      </c>
    </row>
    <row r="1877" customFormat="false" ht="15.75" hidden="false" customHeight="true" outlineLevel="0" collapsed="false">
      <c r="A1877" s="30" t="n">
        <v>45444</v>
      </c>
      <c r="B1877" s="31" t="s">
        <v>153</v>
      </c>
      <c r="C1877" s="32"/>
      <c r="D1877" s="32"/>
      <c r="E1877" s="19" t="n">
        <f aca="false">+F1877*0.03</f>
        <v>0</v>
      </c>
      <c r="F1877" s="33" t="n">
        <v>0</v>
      </c>
      <c r="G1877" s="62"/>
      <c r="H1877" s="35" t="n">
        <v>0</v>
      </c>
      <c r="I1877" s="34" t="n">
        <f aca="false">+IF(E1877=0,0,E1877*0.03)</f>
        <v>0</v>
      </c>
    </row>
    <row r="1878" customFormat="false" ht="15.75" hidden="false" customHeight="true" outlineLevel="0" collapsed="false">
      <c r="A1878" s="30" t="n">
        <v>45444</v>
      </c>
      <c r="B1878" s="31" t="s">
        <v>153</v>
      </c>
      <c r="C1878" s="32"/>
      <c r="D1878" s="32"/>
      <c r="E1878" s="19" t="n">
        <f aca="false">+F1878*0.03</f>
        <v>0</v>
      </c>
      <c r="F1878" s="33" t="n">
        <v>0</v>
      </c>
      <c r="G1878" s="62"/>
      <c r="H1878" s="35" t="n">
        <v>0</v>
      </c>
      <c r="I1878" s="34" t="n">
        <f aca="false">+IF(E1878=0,0,E1878*0.03)</f>
        <v>0</v>
      </c>
    </row>
    <row r="1879" customFormat="false" ht="15.75" hidden="false" customHeight="true" outlineLevel="0" collapsed="false">
      <c r="A1879" s="30" t="n">
        <v>45444</v>
      </c>
      <c r="B1879" s="31" t="s">
        <v>153</v>
      </c>
      <c r="C1879" s="32"/>
      <c r="D1879" s="32"/>
      <c r="E1879" s="19" t="n">
        <f aca="false">+F1879*0.03</f>
        <v>0</v>
      </c>
      <c r="F1879" s="33" t="n">
        <v>0</v>
      </c>
      <c r="G1879" s="62"/>
      <c r="H1879" s="35" t="n">
        <v>0</v>
      </c>
      <c r="I1879" s="34" t="n">
        <f aca="false">+IF(E1879=0,0,E1879*0.03)</f>
        <v>0</v>
      </c>
    </row>
    <row r="1880" customFormat="false" ht="15.75" hidden="false" customHeight="true" outlineLevel="0" collapsed="false">
      <c r="A1880" s="30" t="n">
        <v>45444</v>
      </c>
      <c r="B1880" s="31" t="s">
        <v>153</v>
      </c>
      <c r="C1880" s="32"/>
      <c r="D1880" s="32"/>
      <c r="E1880" s="19" t="n">
        <f aca="false">+F1880*0.03</f>
        <v>0</v>
      </c>
      <c r="F1880" s="33" t="n">
        <v>0</v>
      </c>
      <c r="G1880" s="62"/>
      <c r="H1880" s="35" t="n">
        <v>0</v>
      </c>
      <c r="I1880" s="34" t="n">
        <f aca="false">+IF(E1880=0,0,E1880*0.03)</f>
        <v>0</v>
      </c>
    </row>
    <row r="1881" customFormat="false" ht="15.75" hidden="false" customHeight="true" outlineLevel="0" collapsed="false">
      <c r="A1881" s="30" t="n">
        <v>45444</v>
      </c>
      <c r="B1881" s="31" t="s">
        <v>153</v>
      </c>
      <c r="C1881" s="32"/>
      <c r="D1881" s="32"/>
      <c r="E1881" s="19" t="n">
        <f aca="false">+F1881*0.03</f>
        <v>0</v>
      </c>
      <c r="F1881" s="33" t="n">
        <v>0</v>
      </c>
      <c r="G1881" s="62"/>
      <c r="H1881" s="35" t="n">
        <v>0</v>
      </c>
      <c r="I1881" s="34" t="n">
        <f aca="false">+IF(E1881=0,0,E1881*0.03)</f>
        <v>0</v>
      </c>
    </row>
    <row r="1882" customFormat="false" ht="15.75" hidden="false" customHeight="true" outlineLevel="0" collapsed="false">
      <c r="A1882" s="30" t="n">
        <v>45444</v>
      </c>
      <c r="B1882" s="31" t="s">
        <v>153</v>
      </c>
      <c r="C1882" s="32"/>
      <c r="D1882" s="32"/>
      <c r="E1882" s="19" t="n">
        <f aca="false">+F1882*0.03</f>
        <v>0</v>
      </c>
      <c r="F1882" s="33" t="n">
        <v>0</v>
      </c>
      <c r="G1882" s="62"/>
      <c r="H1882" s="35" t="n">
        <v>0</v>
      </c>
      <c r="I1882" s="34" t="n">
        <f aca="false">+IF(E1882=0,0,E1882*0.03)</f>
        <v>0</v>
      </c>
    </row>
    <row r="1883" customFormat="false" ht="15.75" hidden="false" customHeight="true" outlineLevel="0" collapsed="false">
      <c r="A1883" s="30" t="n">
        <v>45444</v>
      </c>
      <c r="B1883" s="31" t="s">
        <v>153</v>
      </c>
      <c r="C1883" s="32"/>
      <c r="D1883" s="32"/>
      <c r="E1883" s="19" t="n">
        <f aca="false">+F1883*0.03</f>
        <v>0</v>
      </c>
      <c r="F1883" s="33" t="n">
        <v>0</v>
      </c>
      <c r="G1883" s="62"/>
      <c r="H1883" s="35" t="n">
        <v>0</v>
      </c>
      <c r="I1883" s="34" t="n">
        <f aca="false">+IF(E1883=0,0,E1883*0.03)</f>
        <v>0</v>
      </c>
    </row>
    <row r="1884" customFormat="false" ht="15.75" hidden="false" customHeight="true" outlineLevel="0" collapsed="false">
      <c r="A1884" s="30" t="n">
        <v>45444</v>
      </c>
      <c r="B1884" s="31" t="s">
        <v>153</v>
      </c>
      <c r="C1884" s="32"/>
      <c r="D1884" s="32"/>
      <c r="E1884" s="19" t="n">
        <f aca="false">+F1884*0.03</f>
        <v>0</v>
      </c>
      <c r="F1884" s="33" t="n">
        <v>0</v>
      </c>
      <c r="G1884" s="62"/>
      <c r="H1884" s="35" t="n">
        <v>0</v>
      </c>
      <c r="I1884" s="34" t="n">
        <f aca="false">+IF(E1884=0,0,E1884*0.03)</f>
        <v>0</v>
      </c>
    </row>
    <row r="1885" customFormat="false" ht="15.75" hidden="false" customHeight="true" outlineLevel="0" collapsed="false">
      <c r="A1885" s="30" t="n">
        <v>45444</v>
      </c>
      <c r="B1885" s="31" t="s">
        <v>153</v>
      </c>
      <c r="C1885" s="32"/>
      <c r="D1885" s="32"/>
      <c r="E1885" s="19" t="n">
        <f aca="false">+F1885*0.03</f>
        <v>0</v>
      </c>
      <c r="F1885" s="33" t="n">
        <v>0</v>
      </c>
      <c r="G1885" s="62"/>
      <c r="H1885" s="35" t="n">
        <v>0</v>
      </c>
      <c r="I1885" s="34" t="n">
        <f aca="false">+IF(E1885=0,0,E1885*0.03)</f>
        <v>0</v>
      </c>
    </row>
    <row r="1886" customFormat="false" ht="15.75" hidden="false" customHeight="true" outlineLevel="0" collapsed="false">
      <c r="A1886" s="30" t="n">
        <v>45444</v>
      </c>
      <c r="B1886" s="31" t="s">
        <v>153</v>
      </c>
      <c r="C1886" s="32"/>
      <c r="D1886" s="32"/>
      <c r="E1886" s="19" t="n">
        <f aca="false">+F1886*0.03</f>
        <v>0</v>
      </c>
      <c r="F1886" s="33" t="n">
        <v>0</v>
      </c>
      <c r="G1886" s="62"/>
      <c r="H1886" s="35" t="n">
        <v>0</v>
      </c>
      <c r="I1886" s="34" t="n">
        <f aca="false">+IF(E1886=0,0,E1886*0.03)</f>
        <v>0</v>
      </c>
    </row>
    <row r="1887" customFormat="false" ht="15.75" hidden="false" customHeight="true" outlineLevel="0" collapsed="false">
      <c r="A1887" s="30" t="n">
        <v>45444</v>
      </c>
      <c r="B1887" s="31" t="s">
        <v>153</v>
      </c>
      <c r="C1887" s="32"/>
      <c r="D1887" s="32"/>
      <c r="E1887" s="19" t="n">
        <f aca="false">+F1887*0.03</f>
        <v>0</v>
      </c>
      <c r="F1887" s="33" t="n">
        <v>0</v>
      </c>
      <c r="G1887" s="62"/>
      <c r="H1887" s="35" t="n">
        <v>0</v>
      </c>
      <c r="I1887" s="34" t="n">
        <f aca="false">+IF(E1887=0,0,E1887*0.03)</f>
        <v>0</v>
      </c>
    </row>
    <row r="1888" customFormat="false" ht="15.75" hidden="false" customHeight="true" outlineLevel="0" collapsed="false">
      <c r="A1888" s="30" t="n">
        <v>45444</v>
      </c>
      <c r="B1888" s="31" t="s">
        <v>153</v>
      </c>
      <c r="C1888" s="32"/>
      <c r="D1888" s="32"/>
      <c r="E1888" s="19" t="n">
        <f aca="false">+F1888*0.03</f>
        <v>0</v>
      </c>
      <c r="F1888" s="33" t="n">
        <v>0</v>
      </c>
      <c r="G1888" s="62"/>
      <c r="H1888" s="35" t="n">
        <v>0</v>
      </c>
      <c r="I1888" s="34" t="n">
        <f aca="false">+IF(E1888=0,0,E1888*0.03)</f>
        <v>0</v>
      </c>
    </row>
    <row r="1889" customFormat="false" ht="15.75" hidden="false" customHeight="true" outlineLevel="0" collapsed="false">
      <c r="A1889" s="30" t="n">
        <v>45444</v>
      </c>
      <c r="B1889" s="31" t="s">
        <v>153</v>
      </c>
      <c r="C1889" s="32"/>
      <c r="D1889" s="32"/>
      <c r="E1889" s="19" t="n">
        <f aca="false">+F1889*0.03</f>
        <v>0</v>
      </c>
      <c r="F1889" s="33" t="n">
        <v>0</v>
      </c>
      <c r="G1889" s="62"/>
      <c r="H1889" s="35" t="n">
        <v>0</v>
      </c>
      <c r="I1889" s="34" t="n">
        <f aca="false">+IF(E1889=0,0,E1889*0.03)</f>
        <v>0</v>
      </c>
    </row>
    <row r="1890" customFormat="false" ht="15.75" hidden="false" customHeight="true" outlineLevel="0" collapsed="false">
      <c r="A1890" s="30" t="n">
        <v>45444</v>
      </c>
      <c r="B1890" s="31" t="s">
        <v>153</v>
      </c>
      <c r="C1890" s="32"/>
      <c r="D1890" s="32"/>
      <c r="E1890" s="19" t="n">
        <f aca="false">+F1890*0.03</f>
        <v>0</v>
      </c>
      <c r="F1890" s="33" t="n">
        <v>0</v>
      </c>
      <c r="G1890" s="62"/>
      <c r="H1890" s="35" t="n">
        <v>0</v>
      </c>
      <c r="I1890" s="34" t="n">
        <f aca="false">+IF(E1890=0,0,E1890*0.03)</f>
        <v>0</v>
      </c>
    </row>
    <row r="1891" customFormat="false" ht="15.75" hidden="false" customHeight="true" outlineLevel="0" collapsed="false">
      <c r="A1891" s="30" t="n">
        <v>45444</v>
      </c>
      <c r="B1891" s="31" t="s">
        <v>153</v>
      </c>
      <c r="C1891" s="32"/>
      <c r="D1891" s="32"/>
      <c r="E1891" s="19" t="n">
        <f aca="false">+F1891*0.03</f>
        <v>0</v>
      </c>
      <c r="F1891" s="33" t="n">
        <v>0</v>
      </c>
      <c r="G1891" s="62"/>
      <c r="H1891" s="35" t="n">
        <v>0</v>
      </c>
      <c r="I1891" s="34" t="n">
        <f aca="false">+IF(E1891=0,0,E1891*0.03)</f>
        <v>0</v>
      </c>
    </row>
    <row r="1892" customFormat="false" ht="15.75" hidden="false" customHeight="true" outlineLevel="0" collapsed="false">
      <c r="A1892" s="30" t="n">
        <v>45444</v>
      </c>
      <c r="B1892" s="31" t="s">
        <v>153</v>
      </c>
      <c r="C1892" s="32"/>
      <c r="D1892" s="32"/>
      <c r="E1892" s="19" t="n">
        <f aca="false">+F1892*0.03</f>
        <v>0</v>
      </c>
      <c r="F1892" s="33" t="n">
        <v>0</v>
      </c>
      <c r="G1892" s="62"/>
      <c r="H1892" s="35" t="n">
        <v>0</v>
      </c>
      <c r="I1892" s="34" t="n">
        <f aca="false">+IF(E1892=0,0,E1892*0.03)</f>
        <v>0</v>
      </c>
    </row>
    <row r="1893" customFormat="false" ht="15.75" hidden="false" customHeight="true" outlineLevel="0" collapsed="false">
      <c r="A1893" s="30" t="n">
        <v>45444</v>
      </c>
      <c r="B1893" s="31" t="s">
        <v>153</v>
      </c>
      <c r="C1893" s="32"/>
      <c r="D1893" s="32"/>
      <c r="E1893" s="19" t="n">
        <f aca="false">+F1893*0.03</f>
        <v>0</v>
      </c>
      <c r="F1893" s="33" t="n">
        <v>0</v>
      </c>
      <c r="G1893" s="62"/>
      <c r="H1893" s="35" t="n">
        <v>0</v>
      </c>
      <c r="I1893" s="34" t="n">
        <f aca="false">+IF(E1893=0,0,E1893*0.03)</f>
        <v>0</v>
      </c>
    </row>
    <row r="1894" customFormat="false" ht="15.75" hidden="false" customHeight="true" outlineLevel="0" collapsed="false">
      <c r="A1894" s="30" t="n">
        <v>45444</v>
      </c>
      <c r="B1894" s="31" t="s">
        <v>153</v>
      </c>
      <c r="C1894" s="32"/>
      <c r="D1894" s="32"/>
      <c r="E1894" s="19" t="n">
        <f aca="false">+F1894*0.03</f>
        <v>0</v>
      </c>
      <c r="F1894" s="33" t="n">
        <v>0</v>
      </c>
      <c r="G1894" s="62"/>
      <c r="H1894" s="35" t="n">
        <v>0</v>
      </c>
      <c r="I1894" s="34" t="n">
        <f aca="false">+IF(E1894=0,0,E1894*0.03)</f>
        <v>0</v>
      </c>
    </row>
    <row r="1895" customFormat="false" ht="15.75" hidden="false" customHeight="true" outlineLevel="0" collapsed="false">
      <c r="A1895" s="30" t="n">
        <v>45444</v>
      </c>
      <c r="B1895" s="31" t="s">
        <v>153</v>
      </c>
      <c r="C1895" s="32"/>
      <c r="D1895" s="32"/>
      <c r="E1895" s="19" t="n">
        <f aca="false">+F1895*0.03</f>
        <v>0</v>
      </c>
      <c r="F1895" s="33" t="n">
        <v>0</v>
      </c>
      <c r="G1895" s="62"/>
      <c r="H1895" s="35" t="n">
        <v>0</v>
      </c>
      <c r="I1895" s="34" t="n">
        <f aca="false">+IF(E1895=0,0,E1895*0.03)</f>
        <v>0</v>
      </c>
    </row>
    <row r="1896" customFormat="false" ht="15.75" hidden="false" customHeight="true" outlineLevel="0" collapsed="false">
      <c r="A1896" s="30" t="n">
        <v>45444</v>
      </c>
      <c r="B1896" s="31" t="s">
        <v>153</v>
      </c>
      <c r="C1896" s="32"/>
      <c r="D1896" s="32"/>
      <c r="E1896" s="19" t="n">
        <f aca="false">+F1896*0.03</f>
        <v>0</v>
      </c>
      <c r="F1896" s="33" t="n">
        <v>0</v>
      </c>
      <c r="G1896" s="62"/>
      <c r="H1896" s="35" t="n">
        <v>0</v>
      </c>
      <c r="I1896" s="34" t="n">
        <f aca="false">+IF(E1896=0,0,E1896*0.03)</f>
        <v>0</v>
      </c>
    </row>
    <row r="1897" customFormat="false" ht="15.75" hidden="false" customHeight="true" outlineLevel="0" collapsed="false">
      <c r="A1897" s="30" t="n">
        <v>45444</v>
      </c>
      <c r="B1897" s="31" t="s">
        <v>153</v>
      </c>
      <c r="C1897" s="32"/>
      <c r="D1897" s="32"/>
      <c r="E1897" s="19" t="n">
        <f aca="false">+F1897*0.03</f>
        <v>0</v>
      </c>
      <c r="F1897" s="33" t="n">
        <v>0</v>
      </c>
      <c r="G1897" s="62"/>
      <c r="H1897" s="35" t="n">
        <v>0</v>
      </c>
      <c r="I1897" s="34" t="n">
        <f aca="false">+IF(E1897=0,0,E1897*0.03)</f>
        <v>0</v>
      </c>
    </row>
    <row r="1898" customFormat="false" ht="15.75" hidden="false" customHeight="true" outlineLevel="0" collapsed="false">
      <c r="A1898" s="30" t="n">
        <v>45444</v>
      </c>
      <c r="B1898" s="31" t="s">
        <v>153</v>
      </c>
      <c r="C1898" s="32"/>
      <c r="D1898" s="32"/>
      <c r="E1898" s="19" t="n">
        <f aca="false">+F1898*0.03</f>
        <v>0</v>
      </c>
      <c r="F1898" s="33" t="n">
        <v>0</v>
      </c>
      <c r="G1898" s="62"/>
      <c r="H1898" s="35" t="n">
        <v>0</v>
      </c>
      <c r="I1898" s="34" t="n">
        <f aca="false">+IF(E1898=0,0,E1898*0.03)</f>
        <v>0</v>
      </c>
    </row>
    <row r="1899" customFormat="false" ht="15.75" hidden="false" customHeight="true" outlineLevel="0" collapsed="false">
      <c r="A1899" s="30" t="n">
        <v>45444</v>
      </c>
      <c r="B1899" s="31" t="s">
        <v>153</v>
      </c>
      <c r="C1899" s="32"/>
      <c r="D1899" s="32"/>
      <c r="E1899" s="19" t="n">
        <f aca="false">+F1899*0.03</f>
        <v>0</v>
      </c>
      <c r="F1899" s="33" t="n">
        <v>0</v>
      </c>
      <c r="G1899" s="62"/>
      <c r="H1899" s="35" t="n">
        <v>0</v>
      </c>
      <c r="I1899" s="34" t="n">
        <f aca="false">+IF(E1899=0,0,E1899*0.03)</f>
        <v>0</v>
      </c>
    </row>
    <row r="1900" customFormat="false" ht="15.75" hidden="false" customHeight="true" outlineLevel="0" collapsed="false">
      <c r="A1900" s="30" t="n">
        <v>45444</v>
      </c>
      <c r="B1900" s="31" t="s">
        <v>153</v>
      </c>
      <c r="C1900" s="32"/>
      <c r="D1900" s="32"/>
      <c r="E1900" s="19" t="n">
        <f aca="false">+F1900*0.03</f>
        <v>0</v>
      </c>
      <c r="F1900" s="33" t="n">
        <v>0</v>
      </c>
      <c r="G1900" s="62"/>
      <c r="H1900" s="35" t="n">
        <v>0</v>
      </c>
      <c r="I1900" s="34" t="n">
        <f aca="false">+IF(E1900=0,0,E1900*0.03)</f>
        <v>0</v>
      </c>
    </row>
    <row r="1901" customFormat="false" ht="15.75" hidden="false" customHeight="true" outlineLevel="0" collapsed="false">
      <c r="A1901" s="30" t="n">
        <v>45444</v>
      </c>
      <c r="B1901" s="31" t="s">
        <v>153</v>
      </c>
      <c r="C1901" s="32"/>
      <c r="D1901" s="32"/>
      <c r="E1901" s="19" t="n">
        <f aca="false">+F1901*0.03</f>
        <v>0</v>
      </c>
      <c r="F1901" s="33" t="n">
        <v>0</v>
      </c>
      <c r="G1901" s="62"/>
      <c r="H1901" s="35" t="n">
        <v>0</v>
      </c>
      <c r="I1901" s="34" t="n">
        <f aca="false">+IF(E1901=0,0,E1901*0.03)</f>
        <v>0</v>
      </c>
    </row>
    <row r="1902" customFormat="false" ht="15.75" hidden="false" customHeight="true" outlineLevel="0" collapsed="false">
      <c r="A1902" s="30" t="n">
        <v>45444</v>
      </c>
      <c r="B1902" s="31" t="s">
        <v>153</v>
      </c>
      <c r="C1902" s="32"/>
      <c r="D1902" s="32"/>
      <c r="E1902" s="19" t="n">
        <f aca="false">+F1902*0.03</f>
        <v>0</v>
      </c>
      <c r="F1902" s="33" t="n">
        <v>0</v>
      </c>
      <c r="G1902" s="62"/>
      <c r="H1902" s="35" t="n">
        <v>0</v>
      </c>
      <c r="I1902" s="34" t="n">
        <f aca="false">+IF(E1902=0,0,E1902*0.03)</f>
        <v>0</v>
      </c>
    </row>
    <row r="1903" customFormat="false" ht="15.75" hidden="false" customHeight="true" outlineLevel="0" collapsed="false">
      <c r="A1903" s="30" t="n">
        <v>45444</v>
      </c>
      <c r="B1903" s="31" t="s">
        <v>153</v>
      </c>
      <c r="C1903" s="32"/>
      <c r="D1903" s="32"/>
      <c r="E1903" s="19" t="n">
        <f aca="false">+F1903*0.03</f>
        <v>0</v>
      </c>
      <c r="F1903" s="33" t="n">
        <v>0</v>
      </c>
      <c r="G1903" s="62"/>
      <c r="H1903" s="35" t="n">
        <v>0</v>
      </c>
      <c r="I1903" s="34" t="n">
        <f aca="false">+IF(E1903=0,0,E1903*0.03)</f>
        <v>0</v>
      </c>
    </row>
    <row r="1904" customFormat="false" ht="15.75" hidden="false" customHeight="true" outlineLevel="0" collapsed="false">
      <c r="A1904" s="30" t="n">
        <v>45444</v>
      </c>
      <c r="B1904" s="31" t="s">
        <v>153</v>
      </c>
      <c r="C1904" s="32"/>
      <c r="D1904" s="32"/>
      <c r="E1904" s="19" t="n">
        <f aca="false">+F1904*0.03</f>
        <v>0</v>
      </c>
      <c r="F1904" s="33" t="n">
        <v>0</v>
      </c>
      <c r="G1904" s="62"/>
      <c r="H1904" s="35" t="n">
        <v>0</v>
      </c>
      <c r="I1904" s="34" t="n">
        <f aca="false">+IF(E1904=0,0,E1904*0.03)</f>
        <v>0</v>
      </c>
    </row>
    <row r="1905" customFormat="false" ht="15.75" hidden="false" customHeight="true" outlineLevel="0" collapsed="false">
      <c r="A1905" s="30" t="n">
        <v>45444</v>
      </c>
      <c r="B1905" s="31" t="s">
        <v>153</v>
      </c>
      <c r="C1905" s="32"/>
      <c r="D1905" s="32"/>
      <c r="E1905" s="19" t="n">
        <f aca="false">+F1905*0.03</f>
        <v>0</v>
      </c>
      <c r="F1905" s="33" t="n">
        <v>0</v>
      </c>
      <c r="G1905" s="62"/>
      <c r="H1905" s="35" t="n">
        <v>0</v>
      </c>
      <c r="I1905" s="34" t="n">
        <f aca="false">+IF(E1905=0,0,E1905*0.03)</f>
        <v>0</v>
      </c>
    </row>
    <row r="1906" customFormat="false" ht="15.75" hidden="false" customHeight="true" outlineLevel="0" collapsed="false">
      <c r="A1906" s="30" t="n">
        <v>45444</v>
      </c>
      <c r="B1906" s="31" t="s">
        <v>153</v>
      </c>
      <c r="C1906" s="32"/>
      <c r="D1906" s="32"/>
      <c r="E1906" s="19" t="n">
        <f aca="false">+F1906*0.03</f>
        <v>0</v>
      </c>
      <c r="F1906" s="33" t="n">
        <v>0</v>
      </c>
      <c r="G1906" s="62"/>
      <c r="H1906" s="35" t="n">
        <v>0</v>
      </c>
      <c r="I1906" s="34" t="n">
        <f aca="false">+IF(E1906=0,0,E1906*0.03)</f>
        <v>0</v>
      </c>
    </row>
    <row r="1907" customFormat="false" ht="15.75" hidden="false" customHeight="true" outlineLevel="0" collapsed="false">
      <c r="A1907" s="30" t="n">
        <v>45444</v>
      </c>
      <c r="B1907" s="31" t="s">
        <v>153</v>
      </c>
      <c r="C1907" s="32"/>
      <c r="D1907" s="32"/>
      <c r="E1907" s="19" t="n">
        <f aca="false">+F1907*0.03</f>
        <v>0</v>
      </c>
      <c r="F1907" s="33" t="n">
        <v>0</v>
      </c>
      <c r="G1907" s="62"/>
      <c r="H1907" s="35" t="n">
        <v>0</v>
      </c>
      <c r="I1907" s="34" t="n">
        <f aca="false">+IF(E1907=0,0,E1907*0.03)</f>
        <v>0</v>
      </c>
    </row>
    <row r="1908" customFormat="false" ht="15.75" hidden="false" customHeight="true" outlineLevel="0" collapsed="false">
      <c r="A1908" s="30" t="n">
        <v>45444</v>
      </c>
      <c r="B1908" s="31" t="s">
        <v>153</v>
      </c>
      <c r="C1908" s="32"/>
      <c r="D1908" s="32"/>
      <c r="E1908" s="19" t="n">
        <f aca="false">+F1908*0.03</f>
        <v>0</v>
      </c>
      <c r="F1908" s="33" t="n">
        <v>0</v>
      </c>
      <c r="G1908" s="62"/>
      <c r="H1908" s="35" t="n">
        <v>0</v>
      </c>
      <c r="I1908" s="34" t="n">
        <f aca="false">+IF(E1908=0,0,E1908*0.03)</f>
        <v>0</v>
      </c>
    </row>
    <row r="1909" customFormat="false" ht="15.75" hidden="false" customHeight="true" outlineLevel="0" collapsed="false">
      <c r="A1909" s="30" t="n">
        <v>45444</v>
      </c>
      <c r="B1909" s="31" t="s">
        <v>153</v>
      </c>
      <c r="C1909" s="32"/>
      <c r="D1909" s="32"/>
      <c r="E1909" s="19" t="n">
        <f aca="false">+F1909*0.03</f>
        <v>0</v>
      </c>
      <c r="F1909" s="33" t="n">
        <v>0</v>
      </c>
      <c r="G1909" s="62"/>
      <c r="H1909" s="35" t="n">
        <v>0</v>
      </c>
      <c r="I1909" s="34" t="n">
        <f aca="false">+IF(E1909=0,0,E1909*0.03)</f>
        <v>0</v>
      </c>
    </row>
    <row r="1910" customFormat="false" ht="15.75" hidden="false" customHeight="true" outlineLevel="0" collapsed="false">
      <c r="A1910" s="30" t="n">
        <v>45444</v>
      </c>
      <c r="B1910" s="31" t="s">
        <v>153</v>
      </c>
      <c r="C1910" s="32"/>
      <c r="D1910" s="32"/>
      <c r="E1910" s="19" t="n">
        <f aca="false">+F1910*0.03</f>
        <v>0</v>
      </c>
      <c r="F1910" s="33" t="n">
        <v>0</v>
      </c>
      <c r="G1910" s="62"/>
      <c r="H1910" s="35" t="n">
        <v>0</v>
      </c>
      <c r="I1910" s="34" t="n">
        <f aca="false">+IF(E1910=0,0,E1910*0.03)</f>
        <v>0</v>
      </c>
    </row>
    <row r="1911" customFormat="false" ht="15.75" hidden="false" customHeight="true" outlineLevel="0" collapsed="false">
      <c r="A1911" s="30" t="n">
        <v>45444</v>
      </c>
      <c r="B1911" s="31" t="s">
        <v>153</v>
      </c>
      <c r="C1911" s="32"/>
      <c r="D1911" s="32"/>
      <c r="E1911" s="19" t="n">
        <f aca="false">+F1911*0.03</f>
        <v>0</v>
      </c>
      <c r="F1911" s="33" t="n">
        <v>0</v>
      </c>
      <c r="G1911" s="62"/>
      <c r="H1911" s="35" t="n">
        <v>0</v>
      </c>
      <c r="I1911" s="34" t="n">
        <f aca="false">+IF(E1911=0,0,E1911*0.03)</f>
        <v>0</v>
      </c>
    </row>
    <row r="1912" customFormat="false" ht="15.75" hidden="false" customHeight="true" outlineLevel="0" collapsed="false">
      <c r="A1912" s="30" t="n">
        <v>45444</v>
      </c>
      <c r="B1912" s="31" t="s">
        <v>153</v>
      </c>
      <c r="C1912" s="32"/>
      <c r="D1912" s="32"/>
      <c r="E1912" s="19" t="n">
        <f aca="false">+F1912*0.03</f>
        <v>0</v>
      </c>
      <c r="F1912" s="33" t="n">
        <v>0</v>
      </c>
      <c r="G1912" s="62"/>
      <c r="H1912" s="35" t="n">
        <v>0</v>
      </c>
      <c r="I1912" s="34" t="n">
        <f aca="false">+IF(E1912=0,0,E1912*0.03)</f>
        <v>0</v>
      </c>
    </row>
    <row r="1913" customFormat="false" ht="15.75" hidden="false" customHeight="true" outlineLevel="0" collapsed="false">
      <c r="A1913" s="30" t="n">
        <v>45444</v>
      </c>
      <c r="B1913" s="31" t="s">
        <v>153</v>
      </c>
      <c r="C1913" s="32"/>
      <c r="D1913" s="32"/>
      <c r="E1913" s="19" t="n">
        <f aca="false">+F1913*0.03</f>
        <v>0</v>
      </c>
      <c r="F1913" s="33" t="n">
        <v>0</v>
      </c>
      <c r="G1913" s="62"/>
      <c r="H1913" s="35" t="n">
        <v>0</v>
      </c>
      <c r="I1913" s="34" t="n">
        <f aca="false">+IF(E1913=0,0,E1913*0.03)</f>
        <v>0</v>
      </c>
    </row>
    <row r="1914" customFormat="false" ht="15.75" hidden="false" customHeight="true" outlineLevel="0" collapsed="false">
      <c r="A1914" s="30" t="n">
        <v>45444</v>
      </c>
      <c r="B1914" s="31" t="s">
        <v>153</v>
      </c>
      <c r="C1914" s="32"/>
      <c r="D1914" s="32"/>
      <c r="E1914" s="19" t="n">
        <f aca="false">+F1914*0.03</f>
        <v>0</v>
      </c>
      <c r="F1914" s="33" t="n">
        <v>0</v>
      </c>
      <c r="G1914" s="62"/>
      <c r="H1914" s="35" t="n">
        <v>0</v>
      </c>
      <c r="I1914" s="34" t="n">
        <f aca="false">+IF(E1914=0,0,E1914*0.03)</f>
        <v>0</v>
      </c>
    </row>
    <row r="1915" customFormat="false" ht="15.75" hidden="false" customHeight="true" outlineLevel="0" collapsed="false">
      <c r="A1915" s="30" t="n">
        <v>45444</v>
      </c>
      <c r="B1915" s="31" t="s">
        <v>153</v>
      </c>
      <c r="C1915" s="32"/>
      <c r="D1915" s="32"/>
      <c r="E1915" s="19" t="n">
        <f aca="false">+F1915*0.03</f>
        <v>0</v>
      </c>
      <c r="F1915" s="33" t="n">
        <v>0</v>
      </c>
      <c r="G1915" s="62"/>
      <c r="H1915" s="35" t="n">
        <v>0</v>
      </c>
      <c r="I1915" s="34" t="n">
        <f aca="false">+IF(E1915=0,0,E1915*0.03)</f>
        <v>0</v>
      </c>
    </row>
    <row r="1916" customFormat="false" ht="15.75" hidden="false" customHeight="true" outlineLevel="0" collapsed="false">
      <c r="A1916" s="30" t="n">
        <v>45444</v>
      </c>
      <c r="B1916" s="31" t="s">
        <v>153</v>
      </c>
      <c r="C1916" s="32"/>
      <c r="D1916" s="32"/>
      <c r="E1916" s="19" t="n">
        <f aca="false">+F1916*0.03</f>
        <v>0</v>
      </c>
      <c r="F1916" s="33" t="n">
        <v>0</v>
      </c>
      <c r="G1916" s="62"/>
      <c r="H1916" s="35" t="n">
        <v>0</v>
      </c>
      <c r="I1916" s="34" t="n">
        <f aca="false">+IF(E1916=0,0,E1916*0.03)</f>
        <v>0</v>
      </c>
    </row>
    <row r="1917" customFormat="false" ht="15.75" hidden="false" customHeight="true" outlineLevel="0" collapsed="false">
      <c r="A1917" s="30" t="n">
        <v>45444</v>
      </c>
      <c r="B1917" s="31" t="s">
        <v>153</v>
      </c>
      <c r="C1917" s="32"/>
      <c r="D1917" s="32"/>
      <c r="E1917" s="19" t="n">
        <f aca="false">+F1917*0.03</f>
        <v>0</v>
      </c>
      <c r="F1917" s="33" t="n">
        <v>0</v>
      </c>
      <c r="G1917" s="62"/>
      <c r="H1917" s="35" t="n">
        <v>0</v>
      </c>
      <c r="I1917" s="34" t="n">
        <f aca="false">+IF(E1917=0,0,E1917*0.03)</f>
        <v>0</v>
      </c>
    </row>
    <row r="1918" customFormat="false" ht="15.75" hidden="false" customHeight="true" outlineLevel="0" collapsed="false">
      <c r="A1918" s="30" t="n">
        <v>45444</v>
      </c>
      <c r="B1918" s="31" t="s">
        <v>153</v>
      </c>
      <c r="C1918" s="32"/>
      <c r="D1918" s="32"/>
      <c r="E1918" s="19" t="n">
        <f aca="false">+F1918*0.03</f>
        <v>0</v>
      </c>
      <c r="F1918" s="33" t="n">
        <v>0</v>
      </c>
      <c r="G1918" s="62"/>
      <c r="H1918" s="35" t="n">
        <v>0</v>
      </c>
      <c r="I1918" s="34" t="n">
        <f aca="false">+IF(E1918=0,0,E1918*0.03)</f>
        <v>0</v>
      </c>
    </row>
    <row r="1919" customFormat="false" ht="15.75" hidden="false" customHeight="true" outlineLevel="0" collapsed="false">
      <c r="A1919" s="30" t="n">
        <v>45444</v>
      </c>
      <c r="B1919" s="31" t="s">
        <v>153</v>
      </c>
      <c r="C1919" s="32"/>
      <c r="D1919" s="32"/>
      <c r="E1919" s="19" t="n">
        <f aca="false">+F1919*0.03</f>
        <v>0</v>
      </c>
      <c r="F1919" s="33" t="n">
        <v>0</v>
      </c>
      <c r="G1919" s="62"/>
      <c r="H1919" s="35" t="n">
        <v>0</v>
      </c>
      <c r="I1919" s="34" t="n">
        <f aca="false">+IF(E1919=0,0,E1919*0.03)</f>
        <v>0</v>
      </c>
    </row>
    <row r="1920" customFormat="false" ht="15.75" hidden="false" customHeight="true" outlineLevel="0" collapsed="false">
      <c r="A1920" s="30" t="n">
        <v>45444</v>
      </c>
      <c r="B1920" s="31" t="s">
        <v>153</v>
      </c>
      <c r="C1920" s="32"/>
      <c r="D1920" s="32"/>
      <c r="E1920" s="19" t="n">
        <f aca="false">+F1920*0.03</f>
        <v>0</v>
      </c>
      <c r="F1920" s="33" t="n">
        <v>0</v>
      </c>
      <c r="G1920" s="62"/>
      <c r="H1920" s="35" t="n">
        <v>0</v>
      </c>
      <c r="I1920" s="34" t="n">
        <f aca="false">+IF(E1920=0,0,E1920*0.03)</f>
        <v>0</v>
      </c>
    </row>
    <row r="1921" customFormat="false" ht="15.75" hidden="false" customHeight="true" outlineLevel="0" collapsed="false">
      <c r="A1921" s="30" t="n">
        <v>45444</v>
      </c>
      <c r="B1921" s="31" t="s">
        <v>153</v>
      </c>
      <c r="C1921" s="32"/>
      <c r="D1921" s="32"/>
      <c r="E1921" s="19" t="n">
        <f aca="false">+F1921*0.03</f>
        <v>0</v>
      </c>
      <c r="F1921" s="33" t="n">
        <v>0</v>
      </c>
      <c r="G1921" s="62"/>
      <c r="H1921" s="35" t="n">
        <v>0</v>
      </c>
      <c r="I1921" s="34" t="n">
        <f aca="false">+IF(E1921=0,0,E1921*0.03)</f>
        <v>0</v>
      </c>
    </row>
    <row r="1922" customFormat="false" ht="15.75" hidden="false" customHeight="true" outlineLevel="0" collapsed="false">
      <c r="A1922" s="30" t="n">
        <v>45444</v>
      </c>
      <c r="B1922" s="31" t="s">
        <v>153</v>
      </c>
      <c r="C1922" s="32"/>
      <c r="D1922" s="32"/>
      <c r="E1922" s="19" t="n">
        <f aca="false">+F1922*0.03</f>
        <v>0</v>
      </c>
      <c r="F1922" s="33" t="n">
        <v>0</v>
      </c>
      <c r="G1922" s="62"/>
      <c r="H1922" s="35" t="n">
        <v>0</v>
      </c>
      <c r="I1922" s="34" t="n">
        <f aca="false">+IF(E1922=0,0,E1922*0.03)</f>
        <v>0</v>
      </c>
    </row>
    <row r="1923" customFormat="false" ht="15.75" hidden="false" customHeight="true" outlineLevel="0" collapsed="false">
      <c r="A1923" s="30" t="n">
        <v>45444</v>
      </c>
      <c r="B1923" s="31" t="s">
        <v>153</v>
      </c>
      <c r="C1923" s="32"/>
      <c r="D1923" s="32"/>
      <c r="E1923" s="19" t="n">
        <f aca="false">+F1923*0.03</f>
        <v>0</v>
      </c>
      <c r="F1923" s="33" t="n">
        <v>0</v>
      </c>
      <c r="G1923" s="62"/>
      <c r="H1923" s="35" t="n">
        <v>0</v>
      </c>
      <c r="I1923" s="34" t="n">
        <f aca="false">+IF(E1923=0,0,E1923*0.03)</f>
        <v>0</v>
      </c>
    </row>
    <row r="1924" customFormat="false" ht="15.75" hidden="false" customHeight="true" outlineLevel="0" collapsed="false">
      <c r="A1924" s="30" t="n">
        <v>45444</v>
      </c>
      <c r="B1924" s="31" t="s">
        <v>153</v>
      </c>
      <c r="C1924" s="32"/>
      <c r="D1924" s="32"/>
      <c r="E1924" s="19" t="n">
        <f aca="false">+F1924*0.03</f>
        <v>0</v>
      </c>
      <c r="F1924" s="33" t="n">
        <v>0</v>
      </c>
      <c r="G1924" s="62"/>
      <c r="H1924" s="35" t="n">
        <v>0</v>
      </c>
      <c r="I1924" s="34" t="n">
        <f aca="false">+IF(E1924=0,0,E1924*0.03)</f>
        <v>0</v>
      </c>
    </row>
    <row r="1925" customFormat="false" ht="15.75" hidden="false" customHeight="true" outlineLevel="0" collapsed="false">
      <c r="A1925" s="30" t="n">
        <v>45444</v>
      </c>
      <c r="B1925" s="31" t="s">
        <v>153</v>
      </c>
      <c r="C1925" s="32"/>
      <c r="D1925" s="32"/>
      <c r="E1925" s="19" t="n">
        <f aca="false">+F1925*0.03</f>
        <v>0</v>
      </c>
      <c r="F1925" s="33" t="n">
        <v>0</v>
      </c>
      <c r="G1925" s="62"/>
      <c r="H1925" s="35" t="n">
        <v>0</v>
      </c>
      <c r="I1925" s="34" t="n">
        <f aca="false">+IF(E1925=0,0,E1925*0.03)</f>
        <v>0</v>
      </c>
    </row>
    <row r="1926" customFormat="false" ht="15.75" hidden="false" customHeight="true" outlineLevel="0" collapsed="false">
      <c r="A1926" s="30" t="n">
        <v>45444</v>
      </c>
      <c r="B1926" s="31" t="s">
        <v>153</v>
      </c>
      <c r="C1926" s="32"/>
      <c r="D1926" s="32"/>
      <c r="E1926" s="19" t="n">
        <f aca="false">+F1926*0.03</f>
        <v>0</v>
      </c>
      <c r="F1926" s="33" t="n">
        <v>0</v>
      </c>
      <c r="G1926" s="62"/>
      <c r="H1926" s="35" t="n">
        <v>0</v>
      </c>
      <c r="I1926" s="34" t="n">
        <f aca="false">+IF(E1926=0,0,E1926*0.03)</f>
        <v>0</v>
      </c>
    </row>
    <row r="1927" customFormat="false" ht="15.75" hidden="false" customHeight="true" outlineLevel="0" collapsed="false">
      <c r="A1927" s="30" t="n">
        <v>45444</v>
      </c>
      <c r="B1927" s="31" t="s">
        <v>153</v>
      </c>
      <c r="C1927" s="32"/>
      <c r="D1927" s="32"/>
      <c r="E1927" s="19" t="n">
        <f aca="false">+F1927*0.03</f>
        <v>0</v>
      </c>
      <c r="F1927" s="33" t="n">
        <v>0</v>
      </c>
      <c r="G1927" s="62"/>
      <c r="H1927" s="35" t="n">
        <v>0</v>
      </c>
      <c r="I1927" s="34" t="n">
        <f aca="false">+IF(E1927=0,0,E1927*0.03)</f>
        <v>0</v>
      </c>
    </row>
    <row r="1928" customFormat="false" ht="15.75" hidden="false" customHeight="true" outlineLevel="0" collapsed="false">
      <c r="A1928" s="30" t="n">
        <v>45444</v>
      </c>
      <c r="B1928" s="31" t="s">
        <v>153</v>
      </c>
      <c r="C1928" s="32"/>
      <c r="D1928" s="32"/>
      <c r="E1928" s="19" t="n">
        <f aca="false">+F1928*0.03</f>
        <v>0</v>
      </c>
      <c r="F1928" s="33" t="n">
        <v>0</v>
      </c>
      <c r="G1928" s="62"/>
      <c r="H1928" s="35" t="n">
        <v>0</v>
      </c>
      <c r="I1928" s="34" t="n">
        <f aca="false">+IF(E1928=0,0,E1928*0.03)</f>
        <v>0</v>
      </c>
    </row>
    <row r="1929" customFormat="false" ht="15.75" hidden="false" customHeight="true" outlineLevel="0" collapsed="false">
      <c r="A1929" s="30" t="n">
        <v>45444</v>
      </c>
      <c r="B1929" s="31" t="s">
        <v>153</v>
      </c>
      <c r="C1929" s="32"/>
      <c r="D1929" s="32"/>
      <c r="E1929" s="19" t="n">
        <f aca="false">+F1929*0.03</f>
        <v>0</v>
      </c>
      <c r="F1929" s="33" t="n">
        <v>0</v>
      </c>
      <c r="G1929" s="62"/>
      <c r="H1929" s="35" t="n">
        <v>0</v>
      </c>
      <c r="I1929" s="34" t="n">
        <f aca="false">+IF(E1929=0,0,E1929*0.03)</f>
        <v>0</v>
      </c>
    </row>
    <row r="1930" customFormat="false" ht="15.75" hidden="false" customHeight="true" outlineLevel="0" collapsed="false">
      <c r="A1930" s="30" t="n">
        <v>45444</v>
      </c>
      <c r="B1930" s="31" t="s">
        <v>153</v>
      </c>
      <c r="C1930" s="32"/>
      <c r="D1930" s="32"/>
      <c r="E1930" s="19" t="n">
        <f aca="false">+F1930*0.03</f>
        <v>0</v>
      </c>
      <c r="F1930" s="33" t="n">
        <v>0</v>
      </c>
      <c r="G1930" s="62"/>
      <c r="H1930" s="35" t="n">
        <v>0</v>
      </c>
      <c r="I1930" s="34" t="n">
        <f aca="false">+IF(E1930=0,0,E1930*0.03)</f>
        <v>0</v>
      </c>
    </row>
    <row r="1931" customFormat="false" ht="15.75" hidden="false" customHeight="true" outlineLevel="0" collapsed="false">
      <c r="A1931" s="30" t="n">
        <v>45444</v>
      </c>
      <c r="B1931" s="31" t="s">
        <v>153</v>
      </c>
      <c r="C1931" s="32"/>
      <c r="D1931" s="32"/>
      <c r="E1931" s="19" t="n">
        <f aca="false">+F1931*0.03</f>
        <v>0</v>
      </c>
      <c r="F1931" s="33" t="n">
        <v>0</v>
      </c>
      <c r="G1931" s="62"/>
      <c r="H1931" s="35" t="n">
        <v>0</v>
      </c>
      <c r="I1931" s="34" t="n">
        <f aca="false">+IF(E1931=0,0,E1931*0.03)</f>
        <v>0</v>
      </c>
    </row>
    <row r="1932" customFormat="false" ht="15.75" hidden="false" customHeight="true" outlineLevel="0" collapsed="false">
      <c r="A1932" s="30" t="n">
        <v>45444</v>
      </c>
      <c r="B1932" s="31" t="s">
        <v>153</v>
      </c>
      <c r="C1932" s="32"/>
      <c r="D1932" s="32"/>
      <c r="E1932" s="19" t="n">
        <f aca="false">+F1932*0.03</f>
        <v>0</v>
      </c>
      <c r="F1932" s="33" t="n">
        <v>0</v>
      </c>
      <c r="G1932" s="62"/>
      <c r="H1932" s="35" t="n">
        <v>0</v>
      </c>
      <c r="I1932" s="34" t="n">
        <f aca="false">+IF(E1932=0,0,E1932*0.03)</f>
        <v>0</v>
      </c>
    </row>
    <row r="1933" customFormat="false" ht="15.75" hidden="false" customHeight="true" outlineLevel="0" collapsed="false">
      <c r="A1933" s="30" t="n">
        <v>45444</v>
      </c>
      <c r="B1933" s="31" t="s">
        <v>153</v>
      </c>
      <c r="C1933" s="32"/>
      <c r="D1933" s="32"/>
      <c r="E1933" s="19" t="n">
        <f aca="false">+F1933*0.03</f>
        <v>0</v>
      </c>
      <c r="F1933" s="33" t="n">
        <v>0</v>
      </c>
      <c r="G1933" s="62"/>
      <c r="H1933" s="35" t="n">
        <v>0</v>
      </c>
      <c r="I1933" s="34" t="n">
        <f aca="false">+IF(E1933=0,0,E1933*0.03)</f>
        <v>0</v>
      </c>
    </row>
    <row r="1934" customFormat="false" ht="15.75" hidden="false" customHeight="true" outlineLevel="0" collapsed="false">
      <c r="A1934" s="30" t="n">
        <v>45444</v>
      </c>
      <c r="B1934" s="31" t="s">
        <v>153</v>
      </c>
      <c r="C1934" s="32"/>
      <c r="D1934" s="32"/>
      <c r="E1934" s="19" t="n">
        <f aca="false">+F1934*0.03</f>
        <v>0</v>
      </c>
      <c r="F1934" s="33" t="n">
        <v>0</v>
      </c>
      <c r="G1934" s="62"/>
      <c r="H1934" s="35" t="n">
        <v>0</v>
      </c>
      <c r="I1934" s="34" t="n">
        <f aca="false">+IF(E1934=0,0,E1934*0.03)</f>
        <v>0</v>
      </c>
    </row>
    <row r="1935" customFormat="false" ht="15.75" hidden="false" customHeight="true" outlineLevel="0" collapsed="false">
      <c r="A1935" s="30" t="n">
        <v>45444</v>
      </c>
      <c r="B1935" s="31" t="s">
        <v>153</v>
      </c>
      <c r="C1935" s="32"/>
      <c r="D1935" s="32"/>
      <c r="E1935" s="19" t="n">
        <f aca="false">+F1935*0.03</f>
        <v>0</v>
      </c>
      <c r="F1935" s="33" t="n">
        <v>0</v>
      </c>
      <c r="G1935" s="62"/>
      <c r="H1935" s="35" t="n">
        <v>0</v>
      </c>
      <c r="I1935" s="34" t="n">
        <f aca="false">+IF(E1935=0,0,E1935*0.03)</f>
        <v>0</v>
      </c>
    </row>
    <row r="1936" customFormat="false" ht="15.75" hidden="false" customHeight="true" outlineLevel="0" collapsed="false">
      <c r="A1936" s="30" t="n">
        <v>45444</v>
      </c>
      <c r="B1936" s="31" t="s">
        <v>153</v>
      </c>
      <c r="C1936" s="32"/>
      <c r="D1936" s="32"/>
      <c r="E1936" s="19" t="n">
        <f aca="false">+F1936*0.03</f>
        <v>0</v>
      </c>
      <c r="F1936" s="33" t="n">
        <v>0</v>
      </c>
      <c r="G1936" s="62"/>
      <c r="H1936" s="35" t="n">
        <v>0</v>
      </c>
      <c r="I1936" s="34" t="n">
        <f aca="false">+IF(E1936=0,0,E1936*0.03)</f>
        <v>0</v>
      </c>
    </row>
    <row r="1937" customFormat="false" ht="15.75" hidden="false" customHeight="true" outlineLevel="0" collapsed="false">
      <c r="A1937" s="30" t="n">
        <v>45444</v>
      </c>
      <c r="B1937" s="31" t="s">
        <v>153</v>
      </c>
      <c r="C1937" s="32"/>
      <c r="D1937" s="32"/>
      <c r="E1937" s="19" t="n">
        <f aca="false">+F1937*0.03</f>
        <v>0</v>
      </c>
      <c r="F1937" s="33" t="n">
        <v>0</v>
      </c>
      <c r="G1937" s="62"/>
      <c r="H1937" s="35" t="n">
        <v>0</v>
      </c>
      <c r="I1937" s="34" t="n">
        <f aca="false">+IF(E1937=0,0,E1937*0.03)</f>
        <v>0</v>
      </c>
    </row>
    <row r="1938" customFormat="false" ht="15.75" hidden="false" customHeight="true" outlineLevel="0" collapsed="false">
      <c r="A1938" s="30" t="n">
        <v>45444</v>
      </c>
      <c r="B1938" s="31" t="s">
        <v>153</v>
      </c>
      <c r="C1938" s="32"/>
      <c r="D1938" s="32"/>
      <c r="E1938" s="19" t="n">
        <f aca="false">+F1938*0.03</f>
        <v>0</v>
      </c>
      <c r="F1938" s="33" t="n">
        <v>0</v>
      </c>
      <c r="G1938" s="62"/>
      <c r="H1938" s="35" t="n">
        <v>0</v>
      </c>
      <c r="I1938" s="34" t="n">
        <f aca="false">+IF(E1938=0,0,E1938*0.03)</f>
        <v>0</v>
      </c>
    </row>
    <row r="1939" customFormat="false" ht="15.75" hidden="false" customHeight="true" outlineLevel="0" collapsed="false">
      <c r="A1939" s="30" t="n">
        <v>45444</v>
      </c>
      <c r="B1939" s="31" t="s">
        <v>153</v>
      </c>
      <c r="C1939" s="32"/>
      <c r="D1939" s="32"/>
      <c r="E1939" s="19" t="n">
        <f aca="false">+F1939*0.03</f>
        <v>0</v>
      </c>
      <c r="F1939" s="33" t="n">
        <v>0</v>
      </c>
      <c r="G1939" s="62"/>
      <c r="H1939" s="35" t="n">
        <v>0</v>
      </c>
      <c r="I1939" s="34" t="n">
        <f aca="false">+IF(E1939=0,0,E1939*0.03)</f>
        <v>0</v>
      </c>
    </row>
    <row r="1940" customFormat="false" ht="15.75" hidden="false" customHeight="true" outlineLevel="0" collapsed="false">
      <c r="A1940" s="30" t="n">
        <v>45444</v>
      </c>
      <c r="B1940" s="31" t="s">
        <v>153</v>
      </c>
      <c r="C1940" s="32"/>
      <c r="D1940" s="32"/>
      <c r="E1940" s="19" t="n">
        <f aca="false">+F1940*0.03</f>
        <v>0</v>
      </c>
      <c r="F1940" s="33" t="n">
        <v>0</v>
      </c>
      <c r="G1940" s="62"/>
      <c r="H1940" s="35" t="n">
        <v>0</v>
      </c>
      <c r="I1940" s="34" t="n">
        <f aca="false">+IF(E1940=0,0,E1940*0.03)</f>
        <v>0</v>
      </c>
    </row>
    <row r="1941" customFormat="false" ht="15.75" hidden="false" customHeight="true" outlineLevel="0" collapsed="false">
      <c r="A1941" s="30" t="n">
        <v>45444</v>
      </c>
      <c r="B1941" s="31" t="s">
        <v>153</v>
      </c>
      <c r="C1941" s="32"/>
      <c r="D1941" s="32"/>
      <c r="E1941" s="19" t="n">
        <f aca="false">+F1941*0.03</f>
        <v>0</v>
      </c>
      <c r="F1941" s="33" t="n">
        <v>0</v>
      </c>
      <c r="G1941" s="62"/>
      <c r="H1941" s="35" t="n">
        <v>0</v>
      </c>
      <c r="I1941" s="34" t="n">
        <f aca="false">+IF(E1941=0,0,E1941*0.03)</f>
        <v>0</v>
      </c>
    </row>
    <row r="1942" customFormat="false" ht="15.75" hidden="false" customHeight="true" outlineLevel="0" collapsed="false">
      <c r="A1942" s="30" t="n">
        <v>45444</v>
      </c>
      <c r="B1942" s="31" t="s">
        <v>153</v>
      </c>
      <c r="C1942" s="32"/>
      <c r="D1942" s="32"/>
      <c r="E1942" s="19" t="n">
        <f aca="false">+F1942*0.03</f>
        <v>0</v>
      </c>
      <c r="F1942" s="33" t="n">
        <v>0</v>
      </c>
      <c r="G1942" s="62"/>
      <c r="H1942" s="35" t="n">
        <v>0</v>
      </c>
      <c r="I1942" s="34" t="n">
        <f aca="false">+IF(E1942=0,0,E1942*0.03)</f>
        <v>0</v>
      </c>
    </row>
    <row r="1943" customFormat="false" ht="15.75" hidden="false" customHeight="true" outlineLevel="0" collapsed="false">
      <c r="A1943" s="30" t="n">
        <v>45444</v>
      </c>
      <c r="B1943" s="31" t="s">
        <v>153</v>
      </c>
      <c r="C1943" s="32"/>
      <c r="D1943" s="32"/>
      <c r="E1943" s="19" t="n">
        <f aca="false">+F1943*0.03</f>
        <v>0</v>
      </c>
      <c r="F1943" s="33" t="n">
        <v>0</v>
      </c>
      <c r="G1943" s="62"/>
      <c r="H1943" s="35" t="n">
        <v>0</v>
      </c>
      <c r="I1943" s="34" t="n">
        <f aca="false">+IF(E1943=0,0,E1943*0.03)</f>
        <v>0</v>
      </c>
    </row>
    <row r="1944" customFormat="false" ht="15.75" hidden="false" customHeight="true" outlineLevel="0" collapsed="false">
      <c r="A1944" s="30" t="n">
        <v>45444</v>
      </c>
      <c r="B1944" s="31" t="s">
        <v>153</v>
      </c>
      <c r="C1944" s="32"/>
      <c r="D1944" s="32"/>
      <c r="E1944" s="19" t="n">
        <f aca="false">+F1944*0.03</f>
        <v>0</v>
      </c>
      <c r="F1944" s="33" t="n">
        <v>0</v>
      </c>
      <c r="G1944" s="62"/>
      <c r="H1944" s="35" t="n">
        <v>0</v>
      </c>
      <c r="I1944" s="34" t="n">
        <f aca="false">+IF(E1944=0,0,E1944*0.03)</f>
        <v>0</v>
      </c>
    </row>
    <row r="1945" customFormat="false" ht="15.75" hidden="false" customHeight="true" outlineLevel="0" collapsed="false">
      <c r="A1945" s="30" t="n">
        <v>45444</v>
      </c>
      <c r="B1945" s="31" t="s">
        <v>153</v>
      </c>
      <c r="C1945" s="32"/>
      <c r="D1945" s="32"/>
      <c r="E1945" s="19" t="n">
        <f aca="false">+F1945*0.03</f>
        <v>0</v>
      </c>
      <c r="F1945" s="33" t="n">
        <v>0</v>
      </c>
      <c r="G1945" s="62"/>
      <c r="H1945" s="35" t="n">
        <v>0</v>
      </c>
      <c r="I1945" s="34" t="n">
        <f aca="false">+IF(E1945=0,0,E1945*0.03)</f>
        <v>0</v>
      </c>
    </row>
    <row r="1946" customFormat="false" ht="15.75" hidden="false" customHeight="true" outlineLevel="0" collapsed="false">
      <c r="A1946" s="30" t="n">
        <v>45444</v>
      </c>
      <c r="B1946" s="31" t="s">
        <v>153</v>
      </c>
      <c r="C1946" s="32"/>
      <c r="D1946" s="32"/>
      <c r="E1946" s="19" t="n">
        <f aca="false">+F1946*0.03</f>
        <v>0</v>
      </c>
      <c r="F1946" s="33" t="n">
        <v>0</v>
      </c>
      <c r="G1946" s="62"/>
      <c r="H1946" s="35" t="n">
        <v>0</v>
      </c>
      <c r="I1946" s="34" t="n">
        <f aca="false">+IF(E1946=0,0,E1946*0.03)</f>
        <v>0</v>
      </c>
    </row>
    <row r="1947" customFormat="false" ht="15.75" hidden="false" customHeight="true" outlineLevel="0" collapsed="false">
      <c r="A1947" s="30" t="n">
        <v>45444</v>
      </c>
      <c r="B1947" s="31" t="s">
        <v>153</v>
      </c>
      <c r="C1947" s="32"/>
      <c r="D1947" s="32"/>
      <c r="E1947" s="19" t="n">
        <f aca="false">+F1947*0.03</f>
        <v>0</v>
      </c>
      <c r="F1947" s="33" t="n">
        <v>0</v>
      </c>
      <c r="G1947" s="62"/>
      <c r="H1947" s="35" t="n">
        <v>0</v>
      </c>
      <c r="I1947" s="34" t="n">
        <f aca="false">+IF(E1947=0,0,E1947*0.03)</f>
        <v>0</v>
      </c>
    </row>
    <row r="1948" customFormat="false" ht="15.75" hidden="false" customHeight="true" outlineLevel="0" collapsed="false">
      <c r="A1948" s="30" t="n">
        <v>45444</v>
      </c>
      <c r="B1948" s="31" t="s">
        <v>153</v>
      </c>
      <c r="C1948" s="32"/>
      <c r="D1948" s="32"/>
      <c r="E1948" s="19" t="n">
        <f aca="false">+F1948*0.03</f>
        <v>0</v>
      </c>
      <c r="F1948" s="33" t="n">
        <v>0</v>
      </c>
      <c r="G1948" s="62"/>
      <c r="H1948" s="35" t="n">
        <v>0</v>
      </c>
      <c r="I1948" s="34" t="n">
        <f aca="false">+IF(E1948=0,0,E1948*0.03)</f>
        <v>0</v>
      </c>
    </row>
    <row r="1949" customFormat="false" ht="15.75" hidden="false" customHeight="true" outlineLevel="0" collapsed="false">
      <c r="A1949" s="30" t="n">
        <v>45444</v>
      </c>
      <c r="B1949" s="31" t="s">
        <v>153</v>
      </c>
      <c r="C1949" s="32"/>
      <c r="D1949" s="32"/>
      <c r="E1949" s="19" t="n">
        <f aca="false">+F1949*0.03</f>
        <v>0</v>
      </c>
      <c r="F1949" s="33" t="n">
        <v>0</v>
      </c>
      <c r="G1949" s="62"/>
      <c r="H1949" s="35" t="n">
        <v>0</v>
      </c>
      <c r="I1949" s="34" t="n">
        <f aca="false">+IF(E1949=0,0,E1949*0.03)</f>
        <v>0</v>
      </c>
    </row>
    <row r="1950" customFormat="false" ht="15.75" hidden="false" customHeight="true" outlineLevel="0" collapsed="false">
      <c r="A1950" s="30" t="n">
        <v>45444</v>
      </c>
      <c r="B1950" s="31" t="s">
        <v>153</v>
      </c>
      <c r="C1950" s="32"/>
      <c r="D1950" s="32"/>
      <c r="E1950" s="19" t="n">
        <f aca="false">+F1950*0.03</f>
        <v>0</v>
      </c>
      <c r="F1950" s="33" t="n">
        <v>0</v>
      </c>
      <c r="G1950" s="62"/>
      <c r="H1950" s="35" t="n">
        <v>0</v>
      </c>
      <c r="I1950" s="34" t="n">
        <f aca="false">+IF(E1950=0,0,E1950*0.03)</f>
        <v>0</v>
      </c>
    </row>
    <row r="1951" customFormat="false" ht="15.75" hidden="false" customHeight="true" outlineLevel="0" collapsed="false">
      <c r="A1951" s="30" t="n">
        <v>45444</v>
      </c>
      <c r="B1951" s="31" t="s">
        <v>153</v>
      </c>
      <c r="C1951" s="32"/>
      <c r="D1951" s="32"/>
      <c r="E1951" s="19" t="n">
        <f aca="false">+F1951*0.03</f>
        <v>0</v>
      </c>
      <c r="F1951" s="33" t="n">
        <v>0</v>
      </c>
      <c r="G1951" s="62"/>
      <c r="H1951" s="35" t="n">
        <v>0</v>
      </c>
      <c r="I1951" s="34" t="n">
        <f aca="false">+IF(E1951=0,0,E1951*0.03)</f>
        <v>0</v>
      </c>
    </row>
    <row r="1952" customFormat="false" ht="15.75" hidden="false" customHeight="true" outlineLevel="0" collapsed="false">
      <c r="A1952" s="30" t="n">
        <v>45444</v>
      </c>
      <c r="B1952" s="31" t="s">
        <v>153</v>
      </c>
      <c r="C1952" s="32"/>
      <c r="D1952" s="32"/>
      <c r="E1952" s="19" t="n">
        <f aca="false">+F1952*0.03</f>
        <v>0</v>
      </c>
      <c r="F1952" s="33" t="n">
        <v>0</v>
      </c>
      <c r="G1952" s="62"/>
      <c r="H1952" s="35" t="n">
        <v>0</v>
      </c>
      <c r="I1952" s="34" t="n">
        <f aca="false">+IF(E1952=0,0,E1952*0.03)</f>
        <v>0</v>
      </c>
    </row>
    <row r="1953" customFormat="false" ht="15.75" hidden="false" customHeight="true" outlineLevel="0" collapsed="false">
      <c r="A1953" s="30" t="n">
        <v>45444</v>
      </c>
      <c r="B1953" s="31" t="s">
        <v>153</v>
      </c>
      <c r="C1953" s="32"/>
      <c r="D1953" s="32"/>
      <c r="E1953" s="19" t="n">
        <f aca="false">+F1953*0.03</f>
        <v>0</v>
      </c>
      <c r="F1953" s="33" t="n">
        <v>0</v>
      </c>
      <c r="G1953" s="62"/>
      <c r="H1953" s="35" t="n">
        <v>0</v>
      </c>
      <c r="I1953" s="34" t="n">
        <f aca="false">+IF(E1953=0,0,E1953*0.03)</f>
        <v>0</v>
      </c>
    </row>
    <row r="1954" customFormat="false" ht="15.75" hidden="false" customHeight="true" outlineLevel="0" collapsed="false">
      <c r="A1954" s="30" t="n">
        <v>45444</v>
      </c>
      <c r="B1954" s="31" t="s">
        <v>153</v>
      </c>
      <c r="C1954" s="32"/>
      <c r="D1954" s="32"/>
      <c r="E1954" s="19" t="n">
        <f aca="false">+F1954*0.03</f>
        <v>0</v>
      </c>
      <c r="F1954" s="33" t="n">
        <v>0</v>
      </c>
      <c r="G1954" s="62"/>
      <c r="H1954" s="35" t="n">
        <v>0</v>
      </c>
      <c r="I1954" s="34" t="n">
        <f aca="false">+IF(E1954=0,0,E1954*0.03)</f>
        <v>0</v>
      </c>
    </row>
    <row r="1955" customFormat="false" ht="15.75" hidden="false" customHeight="true" outlineLevel="0" collapsed="false">
      <c r="A1955" s="30" t="n">
        <v>45444</v>
      </c>
      <c r="B1955" s="31" t="s">
        <v>153</v>
      </c>
      <c r="C1955" s="32"/>
      <c r="D1955" s="32"/>
      <c r="E1955" s="19" t="n">
        <f aca="false">+F1955*0.03</f>
        <v>0</v>
      </c>
      <c r="F1955" s="33" t="n">
        <v>0</v>
      </c>
      <c r="G1955" s="62"/>
      <c r="H1955" s="35" t="n">
        <v>0</v>
      </c>
      <c r="I1955" s="34" t="n">
        <f aca="false">+IF(E1955=0,0,E1955*0.03)</f>
        <v>0</v>
      </c>
    </row>
    <row r="1956" customFormat="false" ht="15.75" hidden="false" customHeight="true" outlineLevel="0" collapsed="false">
      <c r="A1956" s="30" t="n">
        <v>45444</v>
      </c>
      <c r="B1956" s="31" t="s">
        <v>153</v>
      </c>
      <c r="C1956" s="32"/>
      <c r="D1956" s="32"/>
      <c r="E1956" s="19" t="n">
        <f aca="false">+F1956*0.03</f>
        <v>0</v>
      </c>
      <c r="F1956" s="33" t="n">
        <v>0</v>
      </c>
      <c r="G1956" s="62"/>
      <c r="H1956" s="35" t="n">
        <v>0</v>
      </c>
      <c r="I1956" s="34" t="n">
        <f aca="false">+IF(E1956=0,0,E1956*0.03)</f>
        <v>0</v>
      </c>
    </row>
    <row r="1957" customFormat="false" ht="15.75" hidden="false" customHeight="true" outlineLevel="0" collapsed="false">
      <c r="A1957" s="30" t="n">
        <v>45444</v>
      </c>
      <c r="B1957" s="31" t="s">
        <v>153</v>
      </c>
      <c r="C1957" s="32"/>
      <c r="D1957" s="32"/>
      <c r="E1957" s="19" t="n">
        <f aca="false">+F1957*0.03</f>
        <v>0</v>
      </c>
      <c r="F1957" s="33" t="n">
        <v>0</v>
      </c>
      <c r="G1957" s="62"/>
      <c r="H1957" s="35" t="n">
        <v>0</v>
      </c>
      <c r="I1957" s="34" t="n">
        <f aca="false">+IF(E1957=0,0,E1957*0.03)</f>
        <v>0</v>
      </c>
    </row>
    <row r="1958" customFormat="false" ht="15.75" hidden="false" customHeight="true" outlineLevel="0" collapsed="false">
      <c r="A1958" s="30" t="n">
        <v>45444</v>
      </c>
      <c r="B1958" s="31" t="s">
        <v>153</v>
      </c>
      <c r="C1958" s="32"/>
      <c r="D1958" s="32"/>
      <c r="E1958" s="19" t="n">
        <f aca="false">+F1958*0.03</f>
        <v>0</v>
      </c>
      <c r="F1958" s="33" t="n">
        <v>0</v>
      </c>
      <c r="G1958" s="62"/>
      <c r="H1958" s="35" t="n">
        <v>0</v>
      </c>
      <c r="I1958" s="34" t="n">
        <f aca="false">+IF(E1958=0,0,E1958*0.03)</f>
        <v>0</v>
      </c>
    </row>
    <row r="1959" customFormat="false" ht="15.75" hidden="false" customHeight="true" outlineLevel="0" collapsed="false">
      <c r="A1959" s="30" t="n">
        <v>45444</v>
      </c>
      <c r="B1959" s="31" t="s">
        <v>153</v>
      </c>
      <c r="C1959" s="32"/>
      <c r="D1959" s="32"/>
      <c r="E1959" s="19" t="n">
        <f aca="false">+F1959*0.03</f>
        <v>0</v>
      </c>
      <c r="F1959" s="33" t="n">
        <v>0</v>
      </c>
      <c r="G1959" s="62"/>
      <c r="H1959" s="35" t="n">
        <v>0</v>
      </c>
      <c r="I1959" s="34" t="n">
        <f aca="false">+IF(E1959=0,0,E1959*0.03)</f>
        <v>0</v>
      </c>
    </row>
    <row r="1960" customFormat="false" ht="15.75" hidden="false" customHeight="true" outlineLevel="0" collapsed="false">
      <c r="A1960" s="30" t="n">
        <v>45444</v>
      </c>
      <c r="B1960" s="31" t="s">
        <v>153</v>
      </c>
      <c r="C1960" s="32"/>
      <c r="D1960" s="32"/>
      <c r="E1960" s="19" t="n">
        <f aca="false">+F1960*0.03</f>
        <v>0</v>
      </c>
      <c r="F1960" s="33" t="n">
        <v>0</v>
      </c>
      <c r="G1960" s="62"/>
      <c r="H1960" s="35" t="n">
        <v>0</v>
      </c>
      <c r="I1960" s="34" t="n">
        <f aca="false">+IF(E1960=0,0,E1960*0.03)</f>
        <v>0</v>
      </c>
    </row>
    <row r="1961" customFormat="false" ht="15.75" hidden="false" customHeight="true" outlineLevel="0" collapsed="false">
      <c r="A1961" s="30" t="n">
        <v>45444</v>
      </c>
      <c r="B1961" s="31" t="s">
        <v>153</v>
      </c>
      <c r="C1961" s="32"/>
      <c r="D1961" s="32"/>
      <c r="E1961" s="19" t="n">
        <f aca="false">+F1961*0.03</f>
        <v>0</v>
      </c>
      <c r="F1961" s="33" t="n">
        <v>0</v>
      </c>
      <c r="G1961" s="62"/>
      <c r="H1961" s="35" t="n">
        <v>0</v>
      </c>
      <c r="I1961" s="34" t="n">
        <f aca="false">+IF(E1961=0,0,E1961*0.03)</f>
        <v>0</v>
      </c>
    </row>
    <row r="1962" customFormat="false" ht="15.75" hidden="false" customHeight="true" outlineLevel="0" collapsed="false">
      <c r="A1962" s="30" t="n">
        <v>45444</v>
      </c>
      <c r="B1962" s="31" t="s">
        <v>153</v>
      </c>
      <c r="C1962" s="32"/>
      <c r="D1962" s="32"/>
      <c r="E1962" s="19" t="n">
        <f aca="false">+F1962*0.03</f>
        <v>0</v>
      </c>
      <c r="F1962" s="33" t="n">
        <v>0</v>
      </c>
      <c r="G1962" s="62"/>
      <c r="H1962" s="35" t="n">
        <v>0</v>
      </c>
      <c r="I1962" s="34" t="n">
        <f aca="false">+IF(E1962=0,0,E1962*0.03)</f>
        <v>0</v>
      </c>
    </row>
    <row r="1963" customFormat="false" ht="15.75" hidden="false" customHeight="true" outlineLevel="0" collapsed="false">
      <c r="A1963" s="30" t="n">
        <v>45444</v>
      </c>
      <c r="B1963" s="31" t="s">
        <v>153</v>
      </c>
      <c r="C1963" s="32"/>
      <c r="D1963" s="32"/>
      <c r="E1963" s="19" t="n">
        <f aca="false">+F1963*0.03</f>
        <v>0</v>
      </c>
      <c r="F1963" s="33" t="n">
        <v>0</v>
      </c>
      <c r="G1963" s="62"/>
      <c r="H1963" s="35" t="n">
        <v>0</v>
      </c>
      <c r="I1963" s="34" t="n">
        <f aca="false">+IF(E1963=0,0,E1963*0.03)</f>
        <v>0</v>
      </c>
    </row>
    <row r="1964" customFormat="false" ht="15.75" hidden="false" customHeight="true" outlineLevel="0" collapsed="false">
      <c r="A1964" s="30" t="n">
        <v>45444</v>
      </c>
      <c r="B1964" s="31" t="s">
        <v>153</v>
      </c>
      <c r="C1964" s="32"/>
      <c r="D1964" s="32"/>
      <c r="E1964" s="19" t="n">
        <f aca="false">+F1964*0.03</f>
        <v>0</v>
      </c>
      <c r="F1964" s="33" t="n">
        <v>0</v>
      </c>
      <c r="G1964" s="62"/>
      <c r="H1964" s="35" t="n">
        <v>0</v>
      </c>
      <c r="I1964" s="34" t="n">
        <f aca="false">+IF(E1964=0,0,E1964*0.03)</f>
        <v>0</v>
      </c>
    </row>
    <row r="1965" customFormat="false" ht="15.75" hidden="false" customHeight="true" outlineLevel="0" collapsed="false">
      <c r="A1965" s="30" t="n">
        <v>45444</v>
      </c>
      <c r="B1965" s="31" t="s">
        <v>153</v>
      </c>
      <c r="C1965" s="32"/>
      <c r="D1965" s="32"/>
      <c r="E1965" s="19" t="n">
        <f aca="false">+F1965*0.03</f>
        <v>0</v>
      </c>
      <c r="F1965" s="33" t="n">
        <v>0</v>
      </c>
      <c r="G1965" s="62"/>
      <c r="H1965" s="35" t="n">
        <v>0</v>
      </c>
      <c r="I1965" s="34" t="n">
        <f aca="false">+IF(E1965=0,0,E1965*0.03)</f>
        <v>0</v>
      </c>
    </row>
    <row r="1966" customFormat="false" ht="15.75" hidden="false" customHeight="true" outlineLevel="0" collapsed="false">
      <c r="A1966" s="30" t="n">
        <v>45444</v>
      </c>
      <c r="B1966" s="31" t="s">
        <v>153</v>
      </c>
      <c r="C1966" s="32"/>
      <c r="D1966" s="32"/>
      <c r="E1966" s="19" t="n">
        <f aca="false">+F1966*0.03</f>
        <v>0</v>
      </c>
      <c r="F1966" s="33" t="n">
        <v>0</v>
      </c>
      <c r="G1966" s="62"/>
      <c r="H1966" s="35" t="n">
        <v>0</v>
      </c>
      <c r="I1966" s="34" t="n">
        <f aca="false">+IF(E1966=0,0,E1966*0.03)</f>
        <v>0</v>
      </c>
    </row>
    <row r="1967" customFormat="false" ht="15.75" hidden="false" customHeight="true" outlineLevel="0" collapsed="false">
      <c r="A1967" s="30" t="n">
        <v>45444</v>
      </c>
      <c r="B1967" s="31" t="s">
        <v>153</v>
      </c>
      <c r="C1967" s="32"/>
      <c r="D1967" s="32"/>
      <c r="E1967" s="19" t="n">
        <f aca="false">+F1967*0.03</f>
        <v>0</v>
      </c>
      <c r="F1967" s="33" t="n">
        <v>0</v>
      </c>
      <c r="G1967" s="62"/>
      <c r="H1967" s="35" t="n">
        <v>0</v>
      </c>
      <c r="I1967" s="34" t="n">
        <f aca="false">+IF(E1967=0,0,E1967*0.03)</f>
        <v>0</v>
      </c>
    </row>
    <row r="1968" customFormat="false" ht="15.75" hidden="false" customHeight="true" outlineLevel="0" collapsed="false">
      <c r="A1968" s="30" t="n">
        <v>45444</v>
      </c>
      <c r="B1968" s="31" t="s">
        <v>153</v>
      </c>
      <c r="C1968" s="32"/>
      <c r="D1968" s="32"/>
      <c r="E1968" s="19" t="n">
        <f aca="false">+F1968*0.03</f>
        <v>0</v>
      </c>
      <c r="F1968" s="33" t="n">
        <v>0</v>
      </c>
      <c r="G1968" s="62"/>
      <c r="H1968" s="35" t="n">
        <v>0</v>
      </c>
      <c r="I1968" s="34" t="n">
        <f aca="false">+IF(E1968=0,0,E1968*0.03)</f>
        <v>0</v>
      </c>
    </row>
    <row r="1969" customFormat="false" ht="15.75" hidden="false" customHeight="true" outlineLevel="0" collapsed="false">
      <c r="A1969" s="30" t="n">
        <v>45444</v>
      </c>
      <c r="B1969" s="31" t="s">
        <v>153</v>
      </c>
      <c r="C1969" s="32"/>
      <c r="D1969" s="32"/>
      <c r="E1969" s="19" t="n">
        <f aca="false">+F1969*0.03</f>
        <v>0</v>
      </c>
      <c r="F1969" s="33" t="n">
        <v>0</v>
      </c>
      <c r="G1969" s="62"/>
      <c r="H1969" s="35" t="n">
        <v>0</v>
      </c>
      <c r="I1969" s="34" t="n">
        <f aca="false">+IF(E1969=0,0,E1969*0.03)</f>
        <v>0</v>
      </c>
    </row>
    <row r="1970" customFormat="false" ht="15.75" hidden="false" customHeight="true" outlineLevel="0" collapsed="false">
      <c r="A1970" s="30" t="n">
        <v>45444</v>
      </c>
      <c r="B1970" s="31" t="s">
        <v>153</v>
      </c>
      <c r="C1970" s="32"/>
      <c r="D1970" s="32"/>
      <c r="E1970" s="19" t="n">
        <f aca="false">+F1970*0.03</f>
        <v>0</v>
      </c>
      <c r="F1970" s="33" t="n">
        <v>0</v>
      </c>
      <c r="G1970" s="62"/>
      <c r="H1970" s="35" t="n">
        <v>0</v>
      </c>
      <c r="I1970" s="34" t="n">
        <f aca="false">+IF(E1970=0,0,E1970*0.03)</f>
        <v>0</v>
      </c>
    </row>
    <row r="1971" customFormat="false" ht="15.75" hidden="false" customHeight="true" outlineLevel="0" collapsed="false">
      <c r="A1971" s="30" t="n">
        <v>45444</v>
      </c>
      <c r="B1971" s="31" t="s">
        <v>153</v>
      </c>
      <c r="C1971" s="32"/>
      <c r="D1971" s="32"/>
      <c r="E1971" s="19" t="n">
        <f aca="false">+F1971*0.03</f>
        <v>0</v>
      </c>
      <c r="F1971" s="33" t="n">
        <v>0</v>
      </c>
      <c r="G1971" s="62"/>
      <c r="H1971" s="35" t="n">
        <v>0</v>
      </c>
      <c r="I1971" s="34" t="n">
        <f aca="false">+IF(E1971=0,0,E1971*0.03)</f>
        <v>0</v>
      </c>
    </row>
    <row r="1972" customFormat="false" ht="15.75" hidden="false" customHeight="true" outlineLevel="0" collapsed="false">
      <c r="A1972" s="30" t="n">
        <v>45444</v>
      </c>
      <c r="B1972" s="31" t="s">
        <v>153</v>
      </c>
      <c r="C1972" s="32"/>
      <c r="D1972" s="32"/>
      <c r="E1972" s="19" t="n">
        <f aca="false">+F1972*0.03</f>
        <v>0</v>
      </c>
      <c r="F1972" s="33" t="n">
        <v>0</v>
      </c>
      <c r="G1972" s="62"/>
      <c r="H1972" s="35" t="n">
        <v>0</v>
      </c>
      <c r="I1972" s="34" t="n">
        <f aca="false">+IF(E1972=0,0,E1972*0.03)</f>
        <v>0</v>
      </c>
    </row>
    <row r="1973" customFormat="false" ht="15.75" hidden="false" customHeight="true" outlineLevel="0" collapsed="false">
      <c r="A1973" s="30" t="n">
        <v>45444</v>
      </c>
      <c r="B1973" s="31" t="s">
        <v>153</v>
      </c>
      <c r="C1973" s="32"/>
      <c r="D1973" s="32"/>
      <c r="E1973" s="19" t="n">
        <f aca="false">+F1973*0.03</f>
        <v>0</v>
      </c>
      <c r="F1973" s="33" t="n">
        <v>0</v>
      </c>
      <c r="G1973" s="62"/>
      <c r="H1973" s="35" t="n">
        <v>0</v>
      </c>
      <c r="I1973" s="34" t="n">
        <f aca="false">+IF(E1973=0,0,E1973*0.03)</f>
        <v>0</v>
      </c>
    </row>
    <row r="1974" customFormat="false" ht="15.75" hidden="false" customHeight="true" outlineLevel="0" collapsed="false">
      <c r="A1974" s="30" t="n">
        <v>45444</v>
      </c>
      <c r="B1974" s="31" t="s">
        <v>153</v>
      </c>
      <c r="C1974" s="32"/>
      <c r="D1974" s="32"/>
      <c r="E1974" s="19" t="n">
        <f aca="false">+F1974*0.03</f>
        <v>0</v>
      </c>
      <c r="F1974" s="33" t="n">
        <v>0</v>
      </c>
      <c r="G1974" s="62"/>
      <c r="H1974" s="35" t="n">
        <v>0</v>
      </c>
      <c r="I1974" s="34" t="n">
        <f aca="false">+IF(E1974=0,0,E1974*0.03)</f>
        <v>0</v>
      </c>
    </row>
    <row r="1975" customFormat="false" ht="15.75" hidden="false" customHeight="true" outlineLevel="0" collapsed="false">
      <c r="A1975" s="30" t="n">
        <v>45444</v>
      </c>
      <c r="B1975" s="31" t="s">
        <v>153</v>
      </c>
      <c r="C1975" s="32"/>
      <c r="D1975" s="32"/>
      <c r="E1975" s="19" t="n">
        <f aca="false">+F1975*0.03</f>
        <v>0</v>
      </c>
      <c r="F1975" s="33" t="n">
        <v>0</v>
      </c>
      <c r="G1975" s="62"/>
      <c r="H1975" s="35" t="n">
        <v>0</v>
      </c>
      <c r="I1975" s="34" t="n">
        <f aca="false">+IF(E1975=0,0,E1975*0.03)</f>
        <v>0</v>
      </c>
    </row>
    <row r="1976" customFormat="false" ht="15.75" hidden="false" customHeight="true" outlineLevel="0" collapsed="false">
      <c r="A1976" s="30" t="n">
        <v>45444</v>
      </c>
      <c r="B1976" s="31" t="s">
        <v>153</v>
      </c>
      <c r="C1976" s="32"/>
      <c r="D1976" s="32"/>
      <c r="E1976" s="19" t="n">
        <f aca="false">+F1976*0.03</f>
        <v>0</v>
      </c>
      <c r="F1976" s="33" t="n">
        <v>0</v>
      </c>
      <c r="G1976" s="62"/>
      <c r="H1976" s="35" t="n">
        <v>0</v>
      </c>
      <c r="I1976" s="34" t="n">
        <f aca="false">+IF(E1976=0,0,E1976*0.03)</f>
        <v>0</v>
      </c>
    </row>
    <row r="1977" customFormat="false" ht="15.75" hidden="false" customHeight="true" outlineLevel="0" collapsed="false">
      <c r="A1977" s="30" t="n">
        <v>45444</v>
      </c>
      <c r="B1977" s="31" t="s">
        <v>153</v>
      </c>
      <c r="C1977" s="32"/>
      <c r="D1977" s="32"/>
      <c r="E1977" s="19" t="n">
        <f aca="false">+F1977*0.03</f>
        <v>0</v>
      </c>
      <c r="F1977" s="33" t="n">
        <v>0</v>
      </c>
      <c r="G1977" s="62"/>
      <c r="H1977" s="35" t="n">
        <v>0</v>
      </c>
      <c r="I1977" s="34" t="n">
        <f aca="false">+IF(E1977=0,0,E1977*0.03)</f>
        <v>0</v>
      </c>
    </row>
    <row r="1978" customFormat="false" ht="15.75" hidden="false" customHeight="true" outlineLevel="0" collapsed="false">
      <c r="A1978" s="30" t="n">
        <v>45444</v>
      </c>
      <c r="B1978" s="31" t="s">
        <v>153</v>
      </c>
      <c r="C1978" s="32"/>
      <c r="D1978" s="32"/>
      <c r="E1978" s="19" t="n">
        <f aca="false">+F1978*0.03</f>
        <v>0</v>
      </c>
      <c r="F1978" s="33" t="n">
        <v>0</v>
      </c>
      <c r="G1978" s="62"/>
      <c r="H1978" s="35" t="n">
        <v>0</v>
      </c>
      <c r="I1978" s="34" t="n">
        <f aca="false">+IF(E1978=0,0,E1978*0.03)</f>
        <v>0</v>
      </c>
    </row>
    <row r="1979" customFormat="false" ht="15.75" hidden="false" customHeight="true" outlineLevel="0" collapsed="false">
      <c r="A1979" s="30" t="n">
        <v>45444</v>
      </c>
      <c r="B1979" s="31" t="s">
        <v>153</v>
      </c>
      <c r="C1979" s="32"/>
      <c r="D1979" s="32"/>
      <c r="E1979" s="19" t="n">
        <f aca="false">+F1979*0.03</f>
        <v>0</v>
      </c>
      <c r="F1979" s="33" t="n">
        <v>0</v>
      </c>
      <c r="G1979" s="62"/>
      <c r="H1979" s="35" t="n">
        <v>0</v>
      </c>
      <c r="I1979" s="34" t="n">
        <f aca="false">+IF(E1979=0,0,E1979*0.03)</f>
        <v>0</v>
      </c>
    </row>
    <row r="1980" customFormat="false" ht="15.75" hidden="false" customHeight="true" outlineLevel="0" collapsed="false">
      <c r="A1980" s="30" t="n">
        <v>45444</v>
      </c>
      <c r="B1980" s="31" t="s">
        <v>153</v>
      </c>
      <c r="C1980" s="32"/>
      <c r="D1980" s="32"/>
      <c r="E1980" s="19" t="n">
        <f aca="false">+F1980*0.03</f>
        <v>0</v>
      </c>
      <c r="F1980" s="33" t="n">
        <v>0</v>
      </c>
      <c r="G1980" s="62"/>
      <c r="H1980" s="35" t="n">
        <v>0</v>
      </c>
      <c r="I1980" s="34" t="n">
        <f aca="false">+IF(E1980=0,0,E1980*0.03)</f>
        <v>0</v>
      </c>
    </row>
    <row r="1981" customFormat="false" ht="15.75" hidden="false" customHeight="true" outlineLevel="0" collapsed="false">
      <c r="A1981" s="30" t="n">
        <v>45444</v>
      </c>
      <c r="B1981" s="31" t="s">
        <v>153</v>
      </c>
      <c r="C1981" s="32"/>
      <c r="D1981" s="32"/>
      <c r="E1981" s="19" t="n">
        <f aca="false">+F1981*0.03</f>
        <v>0</v>
      </c>
      <c r="F1981" s="33" t="n">
        <v>0</v>
      </c>
      <c r="G1981" s="62"/>
      <c r="H1981" s="35" t="n">
        <v>0</v>
      </c>
      <c r="I1981" s="34" t="n">
        <f aca="false">+IF(E1981=0,0,E1981*0.03)</f>
        <v>0</v>
      </c>
    </row>
    <row r="1982" customFormat="false" ht="15.75" hidden="false" customHeight="true" outlineLevel="0" collapsed="false">
      <c r="B1982" s="31"/>
      <c r="C1982" s="32"/>
      <c r="D1982" s="32" t="s">
        <v>26</v>
      </c>
      <c r="E1982" s="19" t="n">
        <f aca="false">SUM(E7:E1981)</f>
        <v>215760</v>
      </c>
      <c r="F1982" s="33" t="n">
        <f aca="false">SUM(F7:F1981)</f>
        <v>7192000</v>
      </c>
      <c r="G1982" s="19"/>
      <c r="H1982" s="37" t="n">
        <f aca="false">SUM(H7:H1981)</f>
        <v>0</v>
      </c>
      <c r="I1982" s="38" t="n">
        <f aca="false">SUM(I7:I1981)</f>
        <v>6472.8</v>
      </c>
    </row>
    <row r="1983" customFormat="false" ht="15.75" hidden="false" customHeight="true" outlineLevel="0" collapsed="false">
      <c r="D1983" s="31"/>
    </row>
    <row r="1984" customFormat="false" ht="15.75" hidden="false" customHeight="true" outlineLevel="0" collapsed="false">
      <c r="D1984" s="31"/>
    </row>
    <row r="1985" customFormat="false" ht="15.75" hidden="false" customHeight="true" outlineLevel="0" collapsed="false">
      <c r="D1985" s="31"/>
    </row>
    <row r="1986" customFormat="false" ht="15.75" hidden="false" customHeight="true" outlineLevel="0" collapsed="false">
      <c r="D1986" s="31"/>
    </row>
    <row r="1987" customFormat="false" ht="15.75" hidden="false" customHeight="true" outlineLevel="0" collapsed="false">
      <c r="D1987" s="31"/>
    </row>
    <row r="1988" customFormat="false" ht="15.75" hidden="false" customHeight="true" outlineLevel="0" collapsed="false">
      <c r="D1988" s="31"/>
      <c r="P1988" s="36"/>
    </row>
    <row r="1989" customFormat="false" ht="15.75" hidden="false" customHeight="true" outlineLevel="0" collapsed="false">
      <c r="D1989" s="31"/>
    </row>
    <row r="1990" customFormat="false" ht="15.75" hidden="false" customHeight="true" outlineLevel="0" collapsed="false">
      <c r="D1990" s="31"/>
      <c r="O1990" s="36"/>
      <c r="P1990" s="36"/>
    </row>
  </sheetData>
  <mergeCells count="4">
    <mergeCell ref="A1:A5"/>
    <mergeCell ref="H1:I1"/>
    <mergeCell ref="H2:I2"/>
    <mergeCell ref="C5:I5"/>
  </mergeCells>
  <dataValidations count="2">
    <dataValidation allowBlank="true" errorStyle="stop" operator="between" showDropDown="false" showErrorMessage="true" showInputMessage="false" sqref="G7:G1981" type="list">
      <formula1>$G$2:$G$4</formula1>
      <formula2>0</formula2>
    </dataValidation>
    <dataValidation allowBlank="true" errorStyle="stop" operator="between" showDropDown="false" showErrorMessage="true" showInputMessage="false" sqref="B7:B1982" type="list">
      <formula1>$B$1:$B$4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3" min="3" style="0" width="25.86"/>
    <col collapsed="false" customWidth="true" hidden="false" outlineLevel="0" max="4" min="4" style="0" width="28.57"/>
    <col collapsed="false" customWidth="true" hidden="false" outlineLevel="0" max="5" min="5" style="0" width="26.57"/>
    <col collapsed="false" customWidth="true" hidden="false" outlineLevel="0" max="7" min="6" style="0" width="32.43"/>
  </cols>
  <sheetData>
    <row r="1" customFormat="false" ht="46.25" hidden="false" customHeight="true" outlineLevel="0" collapsed="false">
      <c r="A1" s="85"/>
      <c r="B1" s="86" t="s">
        <v>235</v>
      </c>
      <c r="C1" s="87" t="s">
        <v>2</v>
      </c>
      <c r="D1" s="88" t="s">
        <v>3</v>
      </c>
      <c r="E1" s="89" t="s">
        <v>236</v>
      </c>
      <c r="F1" s="90" t="s">
        <v>4</v>
      </c>
      <c r="G1" s="91" t="s">
        <v>28</v>
      </c>
      <c r="H1" s="92" t="s">
        <v>29</v>
      </c>
      <c r="I1" s="92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customFormat="false" ht="16.4" hidden="false" customHeight="false" outlineLevel="0" collapsed="false">
      <c r="B2" s="94"/>
      <c r="C2" s="95" t="n">
        <f aca="false">+E1983</f>
        <v>0</v>
      </c>
      <c r="D2" s="96" t="n">
        <f aca="false">+F1983</f>
        <v>0</v>
      </c>
      <c r="E2" s="97" t="n">
        <f aca="false">D2-C2</f>
        <v>0</v>
      </c>
      <c r="F2" s="98" t="n">
        <f aca="false">+D2-(C2+E2)</f>
        <v>0</v>
      </c>
      <c r="G2" s="99" t="s">
        <v>30</v>
      </c>
      <c r="H2" s="100" t="n">
        <f aca="false">C2/6</f>
        <v>0</v>
      </c>
      <c r="I2" s="100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customFormat="false" ht="31.3" hidden="false" customHeight="false" outlineLevel="0" collapsed="false">
      <c r="A3" s="101" t="s">
        <v>237</v>
      </c>
      <c r="B3" s="102" t="s">
        <v>238</v>
      </c>
      <c r="C3" s="103" t="s">
        <v>8</v>
      </c>
      <c r="D3" s="104" t="s">
        <v>9</v>
      </c>
      <c r="E3" s="105" t="s">
        <v>80</v>
      </c>
      <c r="F3" s="106" t="s">
        <v>154</v>
      </c>
      <c r="G3" s="107" t="s">
        <v>31</v>
      </c>
      <c r="H3" s="108"/>
      <c r="I3" s="109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customFormat="false" ht="16.4" hidden="false" customHeight="false" outlineLevel="0" collapsed="false">
      <c r="A4" s="110" t="n">
        <f aca="false">H2</f>
        <v>0</v>
      </c>
      <c r="B4" s="111" t="n">
        <f aca="false">H2</f>
        <v>0</v>
      </c>
      <c r="C4" s="20" t="n">
        <f aca="false">H2</f>
        <v>0</v>
      </c>
      <c r="D4" s="112" t="n">
        <f aca="false">H2</f>
        <v>0</v>
      </c>
      <c r="E4" s="113" t="n">
        <f aca="false">H2</f>
        <v>0</v>
      </c>
      <c r="F4" s="114" t="n">
        <f aca="false">H2</f>
        <v>0</v>
      </c>
      <c r="G4" s="115" t="s">
        <v>32</v>
      </c>
      <c r="H4" s="116" t="n">
        <f aca="false">+C2*H3</f>
        <v>0</v>
      </c>
      <c r="I4" s="80" t="n">
        <v>0</v>
      </c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customFormat="false" ht="31.3" hidden="false" customHeight="false" outlineLevel="0" collapsed="false">
      <c r="A5" s="117"/>
      <c r="B5" s="118" t="s">
        <v>12</v>
      </c>
      <c r="C5" s="119"/>
      <c r="D5" s="119"/>
      <c r="E5" s="119"/>
      <c r="F5" s="119"/>
      <c r="G5" s="119"/>
      <c r="H5" s="119"/>
      <c r="I5" s="119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customFormat="false" ht="31.3" hidden="false" customHeight="false" outlineLevel="0" collapsed="false">
      <c r="A6" s="25" t="s">
        <v>13</v>
      </c>
      <c r="B6" s="25" t="s">
        <v>14</v>
      </c>
      <c r="C6" s="25" t="s">
        <v>113</v>
      </c>
      <c r="D6" s="26" t="s">
        <v>16</v>
      </c>
      <c r="E6" s="120" t="s">
        <v>17</v>
      </c>
      <c r="F6" s="27" t="s">
        <v>83</v>
      </c>
      <c r="G6" s="27" t="s">
        <v>28</v>
      </c>
      <c r="H6" s="28" t="s">
        <v>19</v>
      </c>
      <c r="I6" s="29" t="s">
        <v>20</v>
      </c>
      <c r="J6" s="93"/>
      <c r="K6" s="93"/>
      <c r="L6" s="93"/>
      <c r="M6" s="93"/>
      <c r="N6" s="93"/>
      <c r="O6" s="11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customFormat="false" ht="16.4" hidden="false" customHeight="false" outlineLevel="0" collapsed="false">
      <c r="A7" s="121" t="n">
        <v>45506</v>
      </c>
      <c r="B7" s="31" t="s">
        <v>239</v>
      </c>
      <c r="C7" s="82"/>
      <c r="D7" s="32"/>
      <c r="E7" s="19" t="n">
        <f aca="false">F7*0.03</f>
        <v>0</v>
      </c>
      <c r="F7" s="33" t="n">
        <v>0</v>
      </c>
      <c r="G7" s="62" t="s">
        <v>30</v>
      </c>
      <c r="H7" s="34"/>
      <c r="I7" s="34"/>
      <c r="J7" s="93"/>
      <c r="K7" s="93"/>
      <c r="L7" s="93"/>
      <c r="M7" s="93"/>
      <c r="N7" s="93"/>
      <c r="O7" s="110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customFormat="false" ht="63.75" hidden="false" customHeight="true" outlineLevel="0" collapsed="false">
      <c r="A8" s="121" t="n">
        <v>45507</v>
      </c>
      <c r="B8" s="31" t="s">
        <v>7</v>
      </c>
      <c r="C8" s="82"/>
      <c r="D8" s="32"/>
      <c r="E8" s="19" t="n">
        <f aca="false">F8*0.03</f>
        <v>0</v>
      </c>
      <c r="F8" s="33" t="n">
        <v>0</v>
      </c>
      <c r="G8" s="62" t="s">
        <v>32</v>
      </c>
      <c r="H8" s="34"/>
      <c r="I8" s="34"/>
      <c r="J8" s="93"/>
      <c r="K8" s="93"/>
      <c r="L8" s="93"/>
      <c r="M8" s="122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customFormat="false" ht="16.4" hidden="false" customHeight="false" outlineLevel="0" collapsed="false">
      <c r="A9" s="123" t="n">
        <v>45509</v>
      </c>
      <c r="B9" s="31" t="s">
        <v>240</v>
      </c>
      <c r="C9" s="82"/>
      <c r="D9" s="32"/>
      <c r="E9" s="19" t="n">
        <f aca="false">F9*0.03</f>
        <v>0</v>
      </c>
      <c r="F9" s="33" t="n">
        <v>0</v>
      </c>
      <c r="G9" s="62" t="s">
        <v>31</v>
      </c>
      <c r="H9" s="34"/>
      <c r="I9" s="34"/>
      <c r="J9" s="93"/>
      <c r="K9" s="93"/>
      <c r="L9" s="93"/>
      <c r="M9" s="124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customFormat="false" ht="16.4" hidden="false" customHeight="false" outlineLevel="0" collapsed="false">
      <c r="A10" s="123" t="n">
        <v>45516</v>
      </c>
      <c r="B10" s="31" t="s">
        <v>7</v>
      </c>
      <c r="C10" s="82"/>
      <c r="D10" s="32"/>
      <c r="E10" s="19" t="n">
        <f aca="false">F10*0.03</f>
        <v>0</v>
      </c>
      <c r="F10" s="33" t="n">
        <v>0</v>
      </c>
      <c r="G10" s="62" t="s">
        <v>31</v>
      </c>
      <c r="H10" s="34"/>
      <c r="I10" s="34"/>
      <c r="J10" s="93"/>
      <c r="K10" s="93"/>
      <c r="L10" s="93"/>
      <c r="M10" s="124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customFormat="false" ht="16.4" hidden="false" customHeight="false" outlineLevel="0" collapsed="false">
      <c r="A11" s="125" t="n">
        <v>45518</v>
      </c>
      <c r="B11" s="31" t="s">
        <v>7</v>
      </c>
      <c r="C11" s="82"/>
      <c r="D11" s="32"/>
      <c r="E11" s="19" t="n">
        <f aca="false">F11*0.03</f>
        <v>0</v>
      </c>
      <c r="F11" s="33" t="n">
        <v>0</v>
      </c>
      <c r="G11" s="62" t="s">
        <v>31</v>
      </c>
      <c r="H11" s="34"/>
      <c r="I11" s="34"/>
      <c r="J11" s="93"/>
      <c r="K11" s="93"/>
      <c r="L11" s="93"/>
      <c r="M11" s="126"/>
      <c r="N11" s="93"/>
      <c r="O11" s="127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customFormat="false" ht="16.4" hidden="false" customHeight="false" outlineLevel="0" collapsed="false">
      <c r="A12" s="125" t="n">
        <v>45519</v>
      </c>
      <c r="B12" s="31" t="s">
        <v>7</v>
      </c>
      <c r="C12" s="82"/>
      <c r="D12" s="32"/>
      <c r="E12" s="19" t="n">
        <f aca="false">F12*0.03</f>
        <v>0</v>
      </c>
      <c r="F12" s="33" t="n">
        <v>0</v>
      </c>
      <c r="G12" s="62" t="s">
        <v>32</v>
      </c>
      <c r="H12" s="34"/>
      <c r="I12" s="34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customFormat="false" ht="16.4" hidden="false" customHeight="false" outlineLevel="0" collapsed="false">
      <c r="A13" s="125" t="n">
        <v>45523</v>
      </c>
      <c r="B13" s="31" t="s">
        <v>7</v>
      </c>
      <c r="C13" s="82"/>
      <c r="D13" s="32"/>
      <c r="E13" s="19" t="n">
        <f aca="false">F13*0.03</f>
        <v>0</v>
      </c>
      <c r="F13" s="33" t="n">
        <v>0</v>
      </c>
      <c r="G13" s="62" t="s">
        <v>30</v>
      </c>
      <c r="H13" s="34"/>
      <c r="I13" s="34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customFormat="false" ht="16.4" hidden="false" customHeight="false" outlineLevel="0" collapsed="false">
      <c r="A14" s="123" t="n">
        <v>45526</v>
      </c>
      <c r="B14" s="31" t="s">
        <v>7</v>
      </c>
      <c r="C14" s="82" t="n">
        <v>125</v>
      </c>
      <c r="D14" s="32"/>
      <c r="E14" s="19" t="n">
        <f aca="false">F14*0.03</f>
        <v>0</v>
      </c>
      <c r="F14" s="33" t="n">
        <v>0</v>
      </c>
      <c r="G14" s="62" t="s">
        <v>30</v>
      </c>
      <c r="H14" s="34"/>
      <c r="I14" s="34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customFormat="false" ht="16.4" hidden="false" customHeight="false" outlineLevel="0" collapsed="false">
      <c r="A15" s="123" t="n">
        <v>45526</v>
      </c>
      <c r="B15" s="31" t="s">
        <v>7</v>
      </c>
      <c r="C15" s="82"/>
      <c r="D15" s="32"/>
      <c r="E15" s="19" t="n">
        <f aca="false">F15*0.03</f>
        <v>0</v>
      </c>
      <c r="F15" s="33" t="n">
        <v>0</v>
      </c>
      <c r="G15" s="62" t="s">
        <v>31</v>
      </c>
      <c r="H15" s="34"/>
      <c r="I15" s="34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customFormat="false" ht="16.4" hidden="false" customHeight="false" outlineLevel="0" collapsed="false">
      <c r="A16" s="123" t="n">
        <v>45526</v>
      </c>
      <c r="B16" s="31" t="s">
        <v>7</v>
      </c>
      <c r="C16" s="82"/>
      <c r="D16" s="32"/>
      <c r="E16" s="19" t="n">
        <f aca="false">F16*0.03</f>
        <v>0</v>
      </c>
      <c r="F16" s="33" t="n">
        <v>0</v>
      </c>
      <c r="G16" s="62" t="s">
        <v>31</v>
      </c>
      <c r="H16" s="34"/>
      <c r="I16" s="34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customFormat="false" ht="16.4" hidden="false" customHeight="false" outlineLevel="0" collapsed="false">
      <c r="A17" s="123" t="n">
        <v>45533</v>
      </c>
      <c r="B17" s="31" t="s">
        <v>7</v>
      </c>
      <c r="C17" s="82"/>
      <c r="D17" s="32"/>
      <c r="E17" s="19" t="n">
        <f aca="false">F17*0.03</f>
        <v>0</v>
      </c>
      <c r="F17" s="33" t="n">
        <v>0</v>
      </c>
      <c r="G17" s="62" t="s">
        <v>30</v>
      </c>
      <c r="H17" s="34"/>
      <c r="I17" s="34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customFormat="false" ht="16.4" hidden="false" customHeight="false" outlineLevel="0" collapsed="false">
      <c r="A18" s="123" t="n">
        <v>45533</v>
      </c>
      <c r="B18" s="31" t="s">
        <v>7</v>
      </c>
      <c r="C18" s="82"/>
      <c r="D18" s="32"/>
      <c r="E18" s="19" t="n">
        <f aca="false">F18*0.03</f>
        <v>0</v>
      </c>
      <c r="F18" s="33" t="n">
        <v>0</v>
      </c>
      <c r="G18" s="62" t="s">
        <v>30</v>
      </c>
      <c r="H18" s="34"/>
      <c r="I18" s="34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customFormat="false" ht="16.4" hidden="false" customHeight="false" outlineLevel="0" collapsed="false">
      <c r="A19" s="123" t="n">
        <v>45512</v>
      </c>
      <c r="B19" s="31" t="s">
        <v>7</v>
      </c>
      <c r="C19" s="82"/>
      <c r="D19" s="32"/>
      <c r="E19" s="19" t="n">
        <f aca="false">F19*0.03</f>
        <v>0</v>
      </c>
      <c r="F19" s="33" t="n">
        <v>0</v>
      </c>
      <c r="G19" s="62" t="s">
        <v>30</v>
      </c>
      <c r="H19" s="34"/>
      <c r="I19" s="34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customFormat="false" ht="16.4" hidden="false" customHeight="false" outlineLevel="0" collapsed="false">
      <c r="A20" s="123" t="n">
        <v>45512</v>
      </c>
      <c r="B20" s="31" t="s">
        <v>239</v>
      </c>
      <c r="C20" s="82"/>
      <c r="D20" s="32"/>
      <c r="E20" s="19" t="n">
        <f aca="false">F20*0.03</f>
        <v>0</v>
      </c>
      <c r="F20" s="33" t="n">
        <v>0</v>
      </c>
      <c r="G20" s="62" t="s">
        <v>32</v>
      </c>
      <c r="H20" s="34"/>
      <c r="I20" s="34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customFormat="false" ht="16.4" hidden="false" customHeight="false" outlineLevel="0" collapsed="false">
      <c r="A21" s="128" t="n">
        <v>45516</v>
      </c>
      <c r="B21" s="31" t="s">
        <v>240</v>
      </c>
      <c r="C21" s="82"/>
      <c r="D21" s="32"/>
      <c r="E21" s="19" t="n">
        <f aca="false">F21*0.03</f>
        <v>0</v>
      </c>
      <c r="F21" s="33" t="n">
        <v>0</v>
      </c>
      <c r="G21" s="62"/>
      <c r="H21" s="34"/>
      <c r="I21" s="34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customFormat="false" ht="16.4" hidden="false" customHeight="false" outlineLevel="0" collapsed="false">
      <c r="A22" s="123" t="n">
        <v>45520</v>
      </c>
      <c r="B22" s="31" t="s">
        <v>239</v>
      </c>
      <c r="C22" s="82"/>
      <c r="D22" s="32"/>
      <c r="E22" s="19" t="n">
        <f aca="false">F22*0.03</f>
        <v>0</v>
      </c>
      <c r="F22" s="33" t="n">
        <v>0</v>
      </c>
      <c r="G22" s="62" t="s">
        <v>31</v>
      </c>
      <c r="H22" s="34"/>
      <c r="I22" s="34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customFormat="false" ht="16.4" hidden="false" customHeight="false" outlineLevel="0" collapsed="false">
      <c r="A23" s="123" t="n">
        <v>45520</v>
      </c>
      <c r="B23" s="31" t="s">
        <v>239</v>
      </c>
      <c r="C23" s="82"/>
      <c r="D23" s="32"/>
      <c r="E23" s="19" t="n">
        <f aca="false">F23*0.03</f>
        <v>0</v>
      </c>
      <c r="F23" s="33" t="n">
        <v>0</v>
      </c>
      <c r="G23" s="62" t="s">
        <v>31</v>
      </c>
      <c r="H23" s="34"/>
      <c r="I23" s="34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customFormat="false" ht="16.4" hidden="false" customHeight="false" outlineLevel="0" collapsed="false">
      <c r="A24" s="123" t="n">
        <v>45521</v>
      </c>
      <c r="B24" s="31" t="s">
        <v>7</v>
      </c>
      <c r="C24" s="82"/>
      <c r="D24" s="32"/>
      <c r="E24" s="19" t="n">
        <f aca="false">F24*0.03</f>
        <v>0</v>
      </c>
      <c r="F24" s="33" t="n">
        <v>0</v>
      </c>
      <c r="G24" s="62" t="s">
        <v>30</v>
      </c>
      <c r="H24" s="34"/>
      <c r="I24" s="34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customFormat="false" ht="16.4" hidden="false" customHeight="false" outlineLevel="0" collapsed="false">
      <c r="A25" s="123" t="n">
        <v>45524</v>
      </c>
      <c r="B25" s="31" t="s">
        <v>153</v>
      </c>
      <c r="C25" s="82"/>
      <c r="D25" s="32"/>
      <c r="E25" s="19" t="n">
        <f aca="false">F25*0.03</f>
        <v>0</v>
      </c>
      <c r="F25" s="33" t="n">
        <v>0</v>
      </c>
      <c r="G25" s="62" t="s">
        <v>32</v>
      </c>
      <c r="H25" s="34"/>
      <c r="I25" s="34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customFormat="false" ht="16.4" hidden="false" customHeight="false" outlineLevel="0" collapsed="false">
      <c r="A26" s="123" t="n">
        <v>45524</v>
      </c>
      <c r="B26" s="31" t="s">
        <v>239</v>
      </c>
      <c r="C26" s="82"/>
      <c r="D26" s="32"/>
      <c r="E26" s="19" t="n">
        <f aca="false">F26*0.03</f>
        <v>0</v>
      </c>
      <c r="F26" s="33" t="n">
        <v>0</v>
      </c>
      <c r="G26" s="62" t="s">
        <v>32</v>
      </c>
      <c r="H26" s="34"/>
      <c r="I26" s="34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customFormat="false" ht="16.4" hidden="false" customHeight="false" outlineLevel="0" collapsed="false">
      <c r="A27" s="123" t="n">
        <v>45524</v>
      </c>
      <c r="B27" s="31" t="s">
        <v>239</v>
      </c>
      <c r="C27" s="82"/>
      <c r="D27" s="32"/>
      <c r="E27" s="19" t="n">
        <f aca="false">F27*0.03</f>
        <v>0</v>
      </c>
      <c r="F27" s="33" t="n">
        <v>0</v>
      </c>
      <c r="G27" s="62" t="s">
        <v>31</v>
      </c>
      <c r="H27" s="34"/>
      <c r="I27" s="34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customFormat="false" ht="16.4" hidden="false" customHeight="false" outlineLevel="0" collapsed="false">
      <c r="A28" s="123" t="n">
        <v>45524</v>
      </c>
      <c r="B28" s="31" t="s">
        <v>239</v>
      </c>
      <c r="C28" s="82"/>
      <c r="D28" s="32"/>
      <c r="E28" s="19" t="n">
        <f aca="false">F28*0.03</f>
        <v>0</v>
      </c>
      <c r="F28" s="33" t="n">
        <v>0</v>
      </c>
      <c r="G28" s="62" t="s">
        <v>32</v>
      </c>
      <c r="H28" s="34"/>
      <c r="I28" s="34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customFormat="false" ht="16.4" hidden="false" customHeight="false" outlineLevel="0" collapsed="false">
      <c r="A29" s="123" t="n">
        <v>45525</v>
      </c>
      <c r="B29" s="31" t="s">
        <v>239</v>
      </c>
      <c r="C29" s="82"/>
      <c r="D29" s="32"/>
      <c r="E29" s="19" t="n">
        <f aca="false">F29*0.03</f>
        <v>0</v>
      </c>
      <c r="F29" s="33" t="n">
        <v>0</v>
      </c>
      <c r="G29" s="62" t="s">
        <v>31</v>
      </c>
      <c r="H29" s="34"/>
      <c r="I29" s="34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customFormat="false" ht="16.4" hidden="false" customHeight="false" outlineLevel="0" collapsed="false">
      <c r="A30" s="123" t="n">
        <v>45526</v>
      </c>
      <c r="B30" s="31" t="s">
        <v>239</v>
      </c>
      <c r="C30" s="82"/>
      <c r="D30" s="32"/>
      <c r="E30" s="19" t="n">
        <f aca="false">F30*0.03</f>
        <v>0</v>
      </c>
      <c r="F30" s="33" t="n">
        <v>0</v>
      </c>
      <c r="G30" s="62"/>
      <c r="H30" s="34"/>
      <c r="I30" s="34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customFormat="false" ht="16.4" hidden="false" customHeight="false" outlineLevel="0" collapsed="false">
      <c r="A31" s="123" t="n">
        <v>45531</v>
      </c>
      <c r="B31" s="31" t="s">
        <v>239</v>
      </c>
      <c r="C31" s="82"/>
      <c r="D31" s="32"/>
      <c r="E31" s="19" t="n">
        <f aca="false">F31*0.03</f>
        <v>0</v>
      </c>
      <c r="F31" s="33" t="n">
        <v>0</v>
      </c>
      <c r="G31" s="62" t="s">
        <v>30</v>
      </c>
      <c r="H31" s="34"/>
      <c r="I31" s="34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customFormat="false" ht="16.4" hidden="false" customHeight="false" outlineLevel="0" collapsed="false">
      <c r="A32" s="123" t="n">
        <v>45531</v>
      </c>
      <c r="B32" s="31" t="s">
        <v>239</v>
      </c>
      <c r="C32" s="82"/>
      <c r="D32" s="32"/>
      <c r="E32" s="19" t="n">
        <f aca="false">F32*0.03</f>
        <v>0</v>
      </c>
      <c r="F32" s="33" t="n">
        <v>0</v>
      </c>
      <c r="G32" s="62" t="s">
        <v>30</v>
      </c>
      <c r="H32" s="34"/>
      <c r="I32" s="34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customFormat="false" ht="16.4" hidden="false" customHeight="false" outlineLevel="0" collapsed="false">
      <c r="A33" s="123" t="n">
        <v>45531</v>
      </c>
      <c r="B33" s="31" t="s">
        <v>239</v>
      </c>
      <c r="C33" s="82"/>
      <c r="D33" s="32"/>
      <c r="E33" s="19" t="n">
        <f aca="false">F33*0.03</f>
        <v>0</v>
      </c>
      <c r="F33" s="33" t="n">
        <v>0</v>
      </c>
      <c r="G33" s="62" t="s">
        <v>31</v>
      </c>
      <c r="H33" s="34"/>
      <c r="I33" s="34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customFormat="false" ht="16.4" hidden="false" customHeight="false" outlineLevel="0" collapsed="false">
      <c r="A34" s="123" t="n">
        <v>45518</v>
      </c>
      <c r="B34" s="31" t="s">
        <v>153</v>
      </c>
      <c r="C34" s="82"/>
      <c r="D34" s="32"/>
      <c r="E34" s="19" t="n">
        <f aca="false">F34*0.03</f>
        <v>0</v>
      </c>
      <c r="F34" s="33" t="n">
        <v>0</v>
      </c>
      <c r="G34" s="62" t="s">
        <v>241</v>
      </c>
      <c r="H34" s="34"/>
      <c r="I34" s="34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customFormat="false" ht="16.4" hidden="false" customHeight="false" outlineLevel="0" collapsed="false">
      <c r="A35" s="123"/>
      <c r="B35" s="31" t="s">
        <v>239</v>
      </c>
      <c r="C35" s="82"/>
      <c r="D35" s="32"/>
      <c r="E35" s="19" t="n">
        <f aca="false">F35*0.03</f>
        <v>0</v>
      </c>
      <c r="F35" s="33" t="n">
        <v>0</v>
      </c>
      <c r="G35" s="62" t="s">
        <v>242</v>
      </c>
      <c r="H35" s="34"/>
      <c r="I35" s="34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customFormat="false" ht="16.4" hidden="false" customHeight="false" outlineLevel="0" collapsed="false">
      <c r="A36" s="123"/>
      <c r="B36" s="31" t="s">
        <v>153</v>
      </c>
      <c r="C36" s="82"/>
      <c r="D36" s="32"/>
      <c r="E36" s="19" t="n">
        <f aca="false">F36*0.03</f>
        <v>0</v>
      </c>
      <c r="F36" s="33" t="n">
        <v>0</v>
      </c>
      <c r="G36" s="62" t="s">
        <v>243</v>
      </c>
      <c r="H36" s="34"/>
      <c r="I36" s="34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customFormat="false" ht="16.4" hidden="false" customHeight="false" outlineLevel="0" collapsed="false">
      <c r="A37" s="123" t="n">
        <v>45533</v>
      </c>
      <c r="B37" s="31" t="s">
        <v>239</v>
      </c>
      <c r="C37" s="82"/>
      <c r="D37" s="32"/>
      <c r="E37" s="19" t="n">
        <f aca="false">F37*0.03</f>
        <v>0</v>
      </c>
      <c r="F37" s="33" t="n">
        <v>0</v>
      </c>
      <c r="G37" s="62" t="s">
        <v>244</v>
      </c>
      <c r="H37" s="34"/>
      <c r="I37" s="34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customFormat="false" ht="16.4" hidden="false" customHeight="false" outlineLevel="0" collapsed="false">
      <c r="A38" s="123" t="n">
        <v>45533</v>
      </c>
      <c r="B38" s="31" t="s">
        <v>239</v>
      </c>
      <c r="C38" s="82"/>
      <c r="D38" s="32"/>
      <c r="E38" s="19" t="n">
        <f aca="false">F38*0.03</f>
        <v>0</v>
      </c>
      <c r="F38" s="33" t="n">
        <v>0</v>
      </c>
      <c r="G38" s="62" t="s">
        <v>30</v>
      </c>
      <c r="H38" s="34"/>
      <c r="I38" s="34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customFormat="false" ht="16.4" hidden="false" customHeight="false" outlineLevel="0" collapsed="false">
      <c r="A39" s="123" t="n">
        <v>45533</v>
      </c>
      <c r="B39" s="31" t="s">
        <v>240</v>
      </c>
      <c r="C39" s="82"/>
      <c r="D39" s="32"/>
      <c r="E39" s="19" t="n">
        <f aca="false">F39*0.03</f>
        <v>0</v>
      </c>
      <c r="F39" s="33" t="n">
        <v>0</v>
      </c>
      <c r="G39" s="62" t="s">
        <v>31</v>
      </c>
      <c r="H39" s="34"/>
      <c r="I39" s="34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customFormat="false" ht="16.4" hidden="false" customHeight="false" outlineLevel="0" collapsed="false">
      <c r="A40" s="123" t="n">
        <v>45533</v>
      </c>
      <c r="B40" s="31" t="s">
        <v>7</v>
      </c>
      <c r="C40" s="82"/>
      <c r="D40" s="32"/>
      <c r="E40" s="19" t="n">
        <f aca="false">F40*0.03</f>
        <v>0</v>
      </c>
      <c r="F40" s="33" t="n">
        <v>0</v>
      </c>
      <c r="G40" s="62" t="s">
        <v>30</v>
      </c>
      <c r="H40" s="34"/>
      <c r="I40" s="34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customFormat="false" ht="16.4" hidden="false" customHeight="false" outlineLevel="0" collapsed="false">
      <c r="A41" s="123"/>
      <c r="B41" s="31" t="s">
        <v>239</v>
      </c>
      <c r="C41" s="82"/>
      <c r="D41" s="32"/>
      <c r="E41" s="19" t="n">
        <f aca="false">F41*0.03</f>
        <v>0</v>
      </c>
      <c r="F41" s="33" t="n">
        <v>0</v>
      </c>
      <c r="G41" s="62" t="s">
        <v>245</v>
      </c>
      <c r="H41" s="34"/>
      <c r="I41" s="34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customFormat="false" ht="16.4" hidden="false" customHeight="false" outlineLevel="0" collapsed="false">
      <c r="A42" s="123"/>
      <c r="B42" s="31" t="s">
        <v>246</v>
      </c>
      <c r="C42" s="82"/>
      <c r="D42" s="32"/>
      <c r="E42" s="19" t="n">
        <f aca="false">F42*0.03</f>
        <v>0</v>
      </c>
      <c r="F42" s="33" t="n">
        <v>0</v>
      </c>
      <c r="G42" s="62"/>
      <c r="H42" s="34"/>
      <c r="I42" s="34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customFormat="false" ht="16.4" hidden="false" customHeight="false" outlineLevel="0" collapsed="false">
      <c r="A43" s="123"/>
      <c r="B43" s="31" t="s">
        <v>239</v>
      </c>
      <c r="C43" s="82"/>
      <c r="D43" s="129"/>
      <c r="E43" s="19" t="n">
        <f aca="false">F43*0.03</f>
        <v>0</v>
      </c>
      <c r="F43" s="33" t="n">
        <v>0</v>
      </c>
      <c r="G43" s="62"/>
      <c r="H43" s="34"/>
      <c r="I43" s="34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customFormat="false" ht="16.4" hidden="false" customHeight="false" outlineLevel="0" collapsed="false">
      <c r="A44" s="123" t="n">
        <v>45444</v>
      </c>
      <c r="B44" s="31" t="s">
        <v>7</v>
      </c>
      <c r="C44" s="130"/>
      <c r="D44" s="129"/>
      <c r="E44" s="19" t="n">
        <f aca="false">F44*0.03</f>
        <v>0</v>
      </c>
      <c r="F44" s="33" t="n">
        <v>0</v>
      </c>
      <c r="G44" s="62" t="s">
        <v>30</v>
      </c>
      <c r="H44" s="34" t="n">
        <v>0</v>
      </c>
      <c r="I44" s="34" t="n">
        <f aca="false">+IF(E44=0,0,E44*0.03)</f>
        <v>0</v>
      </c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customFormat="false" ht="16.4" hidden="false" customHeight="false" outlineLevel="0" collapsed="false">
      <c r="A45" s="123" t="n">
        <v>45444</v>
      </c>
      <c r="B45" s="31" t="s">
        <v>240</v>
      </c>
      <c r="C45" s="130"/>
      <c r="D45" s="129"/>
      <c r="E45" s="19" t="n">
        <f aca="false">F45*0.03</f>
        <v>0</v>
      </c>
      <c r="F45" s="33" t="n">
        <v>0</v>
      </c>
      <c r="G45" s="62" t="s">
        <v>31</v>
      </c>
      <c r="H45" s="34" t="n">
        <v>0</v>
      </c>
      <c r="I45" s="34" t="n">
        <f aca="false">+IF(E45=0,0,E45*0.03)</f>
        <v>0</v>
      </c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customFormat="false" ht="16.4" hidden="false" customHeight="false" outlineLevel="0" collapsed="false">
      <c r="A46" s="123" t="n">
        <v>45444</v>
      </c>
      <c r="B46" s="31" t="s">
        <v>153</v>
      </c>
      <c r="C46" s="130"/>
      <c r="D46" s="129"/>
      <c r="E46" s="19" t="n">
        <f aca="false">F46*0.03</f>
        <v>0</v>
      </c>
      <c r="F46" s="33" t="n">
        <v>0</v>
      </c>
      <c r="G46" s="62" t="s">
        <v>31</v>
      </c>
      <c r="H46" s="34" t="n">
        <v>0</v>
      </c>
      <c r="I46" s="34" t="n">
        <f aca="false">+IF(E46=0,0,E46*0.03)</f>
        <v>0</v>
      </c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customFormat="false" ht="16.4" hidden="false" customHeight="false" outlineLevel="0" collapsed="false">
      <c r="A47" s="123" t="n">
        <v>45444</v>
      </c>
      <c r="B47" s="31" t="s">
        <v>247</v>
      </c>
      <c r="C47" s="130"/>
      <c r="D47" s="129"/>
      <c r="E47" s="19" t="n">
        <f aca="false">F47*0.03</f>
        <v>0</v>
      </c>
      <c r="F47" s="33" t="n">
        <v>0</v>
      </c>
      <c r="G47" s="62" t="s">
        <v>31</v>
      </c>
      <c r="H47" s="34" t="n">
        <v>0</v>
      </c>
      <c r="I47" s="34" t="n">
        <f aca="false">+IF(E47=0,0,E47*0.03)</f>
        <v>0</v>
      </c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customFormat="false" ht="16.4" hidden="false" customHeight="false" outlineLevel="0" collapsed="false">
      <c r="A48" s="123" t="n">
        <v>45444</v>
      </c>
      <c r="B48" s="31" t="s">
        <v>246</v>
      </c>
      <c r="C48" s="130"/>
      <c r="D48" s="129"/>
      <c r="E48" s="19" t="n">
        <f aca="false">F48*0.03</f>
        <v>0</v>
      </c>
      <c r="F48" s="33" t="n">
        <v>0</v>
      </c>
      <c r="G48" s="62" t="s">
        <v>31</v>
      </c>
      <c r="H48" s="34" t="n">
        <v>0</v>
      </c>
      <c r="I48" s="34" t="n">
        <f aca="false">+IF(E48=0,0,E48*0.03)</f>
        <v>0</v>
      </c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customFormat="false" ht="16.4" hidden="false" customHeight="false" outlineLevel="0" collapsed="false">
      <c r="A49" s="123" t="n">
        <v>45444</v>
      </c>
      <c r="B49" s="31" t="s">
        <v>239</v>
      </c>
      <c r="C49" s="130"/>
      <c r="D49" s="129"/>
      <c r="E49" s="19" t="n">
        <f aca="false">F49*0.03</f>
        <v>0</v>
      </c>
      <c r="F49" s="33" t="n">
        <v>0</v>
      </c>
      <c r="G49" s="62" t="s">
        <v>30</v>
      </c>
      <c r="H49" s="34" t="n">
        <v>0</v>
      </c>
      <c r="I49" s="34" t="n">
        <f aca="false">+IF(E49=0,0,E49*0.03)</f>
        <v>0</v>
      </c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customFormat="false" ht="16.4" hidden="false" customHeight="false" outlineLevel="0" collapsed="false">
      <c r="A50" s="123" t="n">
        <v>45444</v>
      </c>
      <c r="B50" s="31" t="s">
        <v>7</v>
      </c>
      <c r="C50" s="130"/>
      <c r="D50" s="129"/>
      <c r="E50" s="19" t="n">
        <f aca="false">F50*0.03</f>
        <v>0</v>
      </c>
      <c r="F50" s="33" t="n">
        <v>0</v>
      </c>
      <c r="G50" s="62" t="s">
        <v>31</v>
      </c>
      <c r="H50" s="34" t="n">
        <v>0</v>
      </c>
      <c r="I50" s="34" t="n">
        <f aca="false">+IF(E50=0,0,E50*0.03)</f>
        <v>0</v>
      </c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customFormat="false" ht="16.4" hidden="false" customHeight="false" outlineLevel="0" collapsed="false">
      <c r="A51" s="123" t="n">
        <v>45444</v>
      </c>
      <c r="B51" s="31" t="s">
        <v>240</v>
      </c>
      <c r="C51" s="130"/>
      <c r="D51" s="129"/>
      <c r="E51" s="19" t="n">
        <f aca="false">F51*0.03</f>
        <v>0</v>
      </c>
      <c r="F51" s="33" t="n">
        <v>0</v>
      </c>
      <c r="G51" s="62" t="s">
        <v>31</v>
      </c>
      <c r="H51" s="34" t="n">
        <v>0</v>
      </c>
      <c r="I51" s="34" t="n">
        <f aca="false">+IF(E51=0,0,E51*0.03)</f>
        <v>0</v>
      </c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customFormat="false" ht="16.4" hidden="false" customHeight="false" outlineLevel="0" collapsed="false">
      <c r="A52" s="123" t="n">
        <v>45444</v>
      </c>
      <c r="B52" s="31" t="s">
        <v>153</v>
      </c>
      <c r="C52" s="130"/>
      <c r="D52" s="129"/>
      <c r="E52" s="19" t="n">
        <f aca="false">F52*0.03</f>
        <v>0</v>
      </c>
      <c r="F52" s="33" t="n">
        <v>0</v>
      </c>
      <c r="G52" s="62" t="s">
        <v>31</v>
      </c>
      <c r="H52" s="34" t="n">
        <v>0</v>
      </c>
      <c r="I52" s="34" t="n">
        <f aca="false">+IF(E52=0,0,E52*0.03)</f>
        <v>0</v>
      </c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customFormat="false" ht="16.4" hidden="false" customHeight="false" outlineLevel="0" collapsed="false">
      <c r="A53" s="123" t="n">
        <v>45444</v>
      </c>
      <c r="B53" s="31" t="s">
        <v>247</v>
      </c>
      <c r="C53" s="130"/>
      <c r="D53" s="129"/>
      <c r="E53" s="19" t="n">
        <f aca="false">F53*0.03</f>
        <v>0</v>
      </c>
      <c r="F53" s="33" t="n">
        <v>0</v>
      </c>
      <c r="G53" s="62" t="s">
        <v>31</v>
      </c>
      <c r="H53" s="34" t="n">
        <v>0</v>
      </c>
      <c r="I53" s="34" t="n">
        <f aca="false">+IF(E53=0,0,E53*0.03)</f>
        <v>0</v>
      </c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customFormat="false" ht="16.4" hidden="false" customHeight="false" outlineLevel="0" collapsed="false">
      <c r="A54" s="123" t="n">
        <v>45444</v>
      </c>
      <c r="B54" s="31" t="s">
        <v>246</v>
      </c>
      <c r="C54" s="130"/>
      <c r="D54" s="129"/>
      <c r="E54" s="19" t="n">
        <f aca="false">F54*0.03</f>
        <v>0</v>
      </c>
      <c r="F54" s="33" t="n">
        <v>0</v>
      </c>
      <c r="G54" s="62" t="s">
        <v>31</v>
      </c>
      <c r="H54" s="34" t="n">
        <v>0</v>
      </c>
      <c r="I54" s="34" t="n">
        <f aca="false">+IF(E54=0,0,E54*0.03)</f>
        <v>0</v>
      </c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customFormat="false" ht="16.4" hidden="false" customHeight="false" outlineLevel="0" collapsed="false">
      <c r="A55" s="123" t="n">
        <v>45444</v>
      </c>
      <c r="B55" s="31" t="s">
        <v>239</v>
      </c>
      <c r="C55" s="130"/>
      <c r="D55" s="129"/>
      <c r="E55" s="19" t="n">
        <f aca="false">F55*0.03</f>
        <v>0</v>
      </c>
      <c r="F55" s="33" t="n">
        <v>0</v>
      </c>
      <c r="G55" s="62" t="s">
        <v>30</v>
      </c>
      <c r="H55" s="34" t="n">
        <v>0</v>
      </c>
      <c r="I55" s="34" t="n">
        <f aca="false">+IF(E55=0,0,E55*0.03)</f>
        <v>0</v>
      </c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customFormat="false" ht="16.4" hidden="false" customHeight="false" outlineLevel="0" collapsed="false">
      <c r="A56" s="123" t="n">
        <v>45444</v>
      </c>
      <c r="B56" s="31" t="s">
        <v>7</v>
      </c>
      <c r="C56" s="130"/>
      <c r="D56" s="129"/>
      <c r="E56" s="19" t="n">
        <f aca="false">F56*0.03</f>
        <v>0</v>
      </c>
      <c r="F56" s="33" t="n">
        <v>0</v>
      </c>
      <c r="G56" s="131"/>
      <c r="H56" s="34" t="n">
        <v>0</v>
      </c>
      <c r="I56" s="34" t="n">
        <f aca="false">+IF(E56=0,0,E56*0.03)</f>
        <v>0</v>
      </c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customFormat="false" ht="16.4" hidden="false" customHeight="false" outlineLevel="0" collapsed="false">
      <c r="A57" s="123" t="n">
        <v>45444</v>
      </c>
      <c r="B57" s="31" t="s">
        <v>240</v>
      </c>
      <c r="C57" s="130"/>
      <c r="D57" s="129"/>
      <c r="E57" s="19" t="n">
        <f aca="false">F57*0.03</f>
        <v>0</v>
      </c>
      <c r="F57" s="33" t="n">
        <v>0</v>
      </c>
      <c r="G57" s="131"/>
      <c r="H57" s="34" t="n">
        <v>0</v>
      </c>
      <c r="I57" s="34" t="n">
        <f aca="false">+IF(E57=0,0,E57*0.03)</f>
        <v>0</v>
      </c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customFormat="false" ht="16.4" hidden="false" customHeight="false" outlineLevel="0" collapsed="false">
      <c r="A58" s="123" t="n">
        <v>45444</v>
      </c>
      <c r="B58" s="31" t="s">
        <v>153</v>
      </c>
      <c r="C58" s="130"/>
      <c r="D58" s="129"/>
      <c r="E58" s="19" t="n">
        <f aca="false">F58*0.03</f>
        <v>0</v>
      </c>
      <c r="F58" s="33" t="n">
        <v>0</v>
      </c>
      <c r="G58" s="131"/>
      <c r="H58" s="34" t="n">
        <v>0</v>
      </c>
      <c r="I58" s="34" t="n">
        <f aca="false">+IF(E58=0,0,E58*0.03)</f>
        <v>0</v>
      </c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customFormat="false" ht="16.4" hidden="false" customHeight="false" outlineLevel="0" collapsed="false">
      <c r="A59" s="123" t="n">
        <v>45444</v>
      </c>
      <c r="B59" s="31" t="s">
        <v>247</v>
      </c>
      <c r="C59" s="130"/>
      <c r="D59" s="129"/>
      <c r="E59" s="19" t="n">
        <f aca="false">F59*0.03</f>
        <v>0</v>
      </c>
      <c r="F59" s="33" t="n">
        <v>0</v>
      </c>
      <c r="G59" s="131"/>
      <c r="H59" s="34" t="n">
        <v>0</v>
      </c>
      <c r="I59" s="34" t="n">
        <f aca="false">+IF(E59=0,0,E59*0.03)</f>
        <v>0</v>
      </c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customFormat="false" ht="16.4" hidden="false" customHeight="false" outlineLevel="0" collapsed="false">
      <c r="A60" s="123" t="n">
        <v>45444</v>
      </c>
      <c r="B60" s="31" t="s">
        <v>246</v>
      </c>
      <c r="C60" s="130"/>
      <c r="D60" s="129"/>
      <c r="E60" s="19" t="n">
        <f aca="false">F60*0.03</f>
        <v>0</v>
      </c>
      <c r="F60" s="33" t="n">
        <v>0</v>
      </c>
      <c r="G60" s="131"/>
      <c r="H60" s="34" t="n">
        <v>0</v>
      </c>
      <c r="I60" s="34" t="n">
        <f aca="false">+IF(E60=0,0,E60*0.03)</f>
        <v>0</v>
      </c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customFormat="false" ht="16.4" hidden="false" customHeight="false" outlineLevel="0" collapsed="false">
      <c r="A61" s="123" t="n">
        <v>45444</v>
      </c>
      <c r="B61" s="31" t="s">
        <v>239</v>
      </c>
      <c r="C61" s="130"/>
      <c r="D61" s="129"/>
      <c r="E61" s="19" t="n">
        <f aca="false">F61*0.03</f>
        <v>0</v>
      </c>
      <c r="F61" s="33" t="n">
        <v>0</v>
      </c>
      <c r="G61" s="131"/>
      <c r="H61" s="34" t="n">
        <v>0</v>
      </c>
      <c r="I61" s="34" t="n">
        <f aca="false">+IF(E61=0,0,E61*0.03)</f>
        <v>0</v>
      </c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customFormat="false" ht="16.4" hidden="false" customHeight="false" outlineLevel="0" collapsed="false">
      <c r="A62" s="123" t="n">
        <v>45444</v>
      </c>
      <c r="B62" s="31" t="s">
        <v>7</v>
      </c>
      <c r="C62" s="130"/>
      <c r="D62" s="129"/>
      <c r="E62" s="19" t="n">
        <f aca="false">F62*0.03</f>
        <v>0</v>
      </c>
      <c r="F62" s="33" t="n">
        <v>0</v>
      </c>
      <c r="G62" s="131"/>
      <c r="H62" s="34" t="n">
        <v>0</v>
      </c>
      <c r="I62" s="34" t="n">
        <f aca="false">+IF(E62=0,0,E62*0.03)</f>
        <v>0</v>
      </c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customFormat="false" ht="16.4" hidden="false" customHeight="false" outlineLevel="0" collapsed="false">
      <c r="A63" s="123" t="n">
        <v>45444</v>
      </c>
      <c r="B63" s="31" t="s">
        <v>240</v>
      </c>
      <c r="C63" s="130"/>
      <c r="D63" s="129"/>
      <c r="E63" s="19" t="n">
        <f aca="false">F63*0.03</f>
        <v>0</v>
      </c>
      <c r="F63" s="33" t="n">
        <v>0</v>
      </c>
      <c r="G63" s="131"/>
      <c r="H63" s="34" t="n">
        <v>0</v>
      </c>
      <c r="I63" s="34" t="n">
        <f aca="false">+IF(E63=0,0,E63*0.03)</f>
        <v>0</v>
      </c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customFormat="false" ht="16.4" hidden="false" customHeight="false" outlineLevel="0" collapsed="false">
      <c r="A64" s="123" t="n">
        <v>45444</v>
      </c>
      <c r="B64" s="31" t="s">
        <v>153</v>
      </c>
      <c r="C64" s="130"/>
      <c r="D64" s="129"/>
      <c r="E64" s="19" t="n">
        <f aca="false">F64*0.03</f>
        <v>0</v>
      </c>
      <c r="F64" s="33" t="n">
        <v>0</v>
      </c>
      <c r="G64" s="131"/>
      <c r="H64" s="34" t="n">
        <v>0</v>
      </c>
      <c r="I64" s="34" t="n">
        <f aca="false">+IF(E64=0,0,E64*0.03)</f>
        <v>0</v>
      </c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customFormat="false" ht="16.4" hidden="false" customHeight="false" outlineLevel="0" collapsed="false">
      <c r="A65" s="123" t="n">
        <v>45444</v>
      </c>
      <c r="B65" s="31" t="s">
        <v>247</v>
      </c>
      <c r="C65" s="130"/>
      <c r="D65" s="129"/>
      <c r="E65" s="19" t="n">
        <f aca="false">F65*0.03</f>
        <v>0</v>
      </c>
      <c r="F65" s="33" t="n">
        <v>0</v>
      </c>
      <c r="G65" s="131"/>
      <c r="H65" s="34" t="n">
        <v>0</v>
      </c>
      <c r="I65" s="34" t="n">
        <f aca="false">+IF(E65=0,0,E65*0.03)</f>
        <v>0</v>
      </c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customFormat="false" ht="16.4" hidden="false" customHeight="false" outlineLevel="0" collapsed="false">
      <c r="A66" s="123" t="n">
        <v>45444</v>
      </c>
      <c r="B66" s="31" t="s">
        <v>246</v>
      </c>
      <c r="C66" s="130"/>
      <c r="D66" s="129"/>
      <c r="E66" s="19" t="n">
        <f aca="false">F66*0.03</f>
        <v>0</v>
      </c>
      <c r="F66" s="33" t="n">
        <v>0</v>
      </c>
      <c r="G66" s="131"/>
      <c r="H66" s="34" t="n">
        <v>0</v>
      </c>
      <c r="I66" s="34" t="n">
        <f aca="false">+IF(E66=0,0,E66*0.03)</f>
        <v>0</v>
      </c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customFormat="false" ht="16.4" hidden="false" customHeight="false" outlineLevel="0" collapsed="false">
      <c r="A67" s="123" t="n">
        <v>45444</v>
      </c>
      <c r="B67" s="31" t="s">
        <v>239</v>
      </c>
      <c r="C67" s="130"/>
      <c r="D67" s="129"/>
      <c r="E67" s="19" t="n">
        <f aca="false">F67*0.03</f>
        <v>0</v>
      </c>
      <c r="F67" s="33" t="n">
        <v>0</v>
      </c>
      <c r="G67" s="131"/>
      <c r="H67" s="34" t="n">
        <v>0</v>
      </c>
      <c r="I67" s="34" t="n">
        <f aca="false">+IF(E67=0,0,E67*0.03)</f>
        <v>0</v>
      </c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customFormat="false" ht="16.4" hidden="false" customHeight="false" outlineLevel="0" collapsed="false">
      <c r="A68" s="123" t="n">
        <v>45444</v>
      </c>
      <c r="B68" s="31" t="s">
        <v>7</v>
      </c>
      <c r="C68" s="130"/>
      <c r="D68" s="129"/>
      <c r="E68" s="19" t="n">
        <f aca="false">F68*0.03</f>
        <v>0</v>
      </c>
      <c r="F68" s="33" t="n">
        <v>0</v>
      </c>
      <c r="G68" s="131"/>
      <c r="H68" s="34" t="n">
        <v>0</v>
      </c>
      <c r="I68" s="34" t="n">
        <f aca="false">+IF(E68=0,0,E68*0.03)</f>
        <v>0</v>
      </c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customFormat="false" ht="16.4" hidden="false" customHeight="false" outlineLevel="0" collapsed="false">
      <c r="A69" s="123" t="n">
        <v>45444</v>
      </c>
      <c r="B69" s="31" t="s">
        <v>240</v>
      </c>
      <c r="C69" s="130"/>
      <c r="D69" s="129"/>
      <c r="E69" s="19" t="n">
        <f aca="false">F69*0.03</f>
        <v>0</v>
      </c>
      <c r="F69" s="33" t="n">
        <v>0</v>
      </c>
      <c r="G69" s="131"/>
      <c r="H69" s="34" t="n">
        <v>0</v>
      </c>
      <c r="I69" s="34" t="n">
        <f aca="false">+IF(E69=0,0,E69*0.03)</f>
        <v>0</v>
      </c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customFormat="false" ht="16.4" hidden="false" customHeight="false" outlineLevel="0" collapsed="false">
      <c r="A70" s="123" t="n">
        <v>45444</v>
      </c>
      <c r="B70" s="31" t="s">
        <v>153</v>
      </c>
      <c r="C70" s="130"/>
      <c r="D70" s="129"/>
      <c r="E70" s="19" t="n">
        <f aca="false">F70*0.03</f>
        <v>0</v>
      </c>
      <c r="F70" s="33" t="n">
        <v>0</v>
      </c>
      <c r="G70" s="131"/>
      <c r="H70" s="34" t="n">
        <v>0</v>
      </c>
      <c r="I70" s="34" t="n">
        <f aca="false">+IF(E70=0,0,E70*0.03)</f>
        <v>0</v>
      </c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customFormat="false" ht="16.4" hidden="false" customHeight="false" outlineLevel="0" collapsed="false">
      <c r="A71" s="123" t="n">
        <v>45444</v>
      </c>
      <c r="B71" s="31" t="s">
        <v>247</v>
      </c>
      <c r="C71" s="130"/>
      <c r="D71" s="129"/>
      <c r="E71" s="19" t="n">
        <f aca="false">F71*0.03</f>
        <v>0</v>
      </c>
      <c r="F71" s="33" t="n">
        <v>0</v>
      </c>
      <c r="G71" s="131"/>
      <c r="H71" s="34" t="n">
        <v>0</v>
      </c>
      <c r="I71" s="34" t="n">
        <f aca="false">+IF(E71=0,0,E71*0.03)</f>
        <v>0</v>
      </c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customFormat="false" ht="16.4" hidden="false" customHeight="false" outlineLevel="0" collapsed="false">
      <c r="A72" s="123" t="n">
        <v>45444</v>
      </c>
      <c r="B72" s="31" t="s">
        <v>246</v>
      </c>
      <c r="C72" s="130"/>
      <c r="D72" s="129"/>
      <c r="E72" s="19" t="n">
        <f aca="false">F72*0.03</f>
        <v>0</v>
      </c>
      <c r="F72" s="33" t="n">
        <v>0</v>
      </c>
      <c r="G72" s="131"/>
      <c r="H72" s="34" t="n">
        <v>0</v>
      </c>
      <c r="I72" s="34" t="n">
        <f aca="false">+IF(E72=0,0,E72*0.03)</f>
        <v>0</v>
      </c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customFormat="false" ht="16.4" hidden="false" customHeight="false" outlineLevel="0" collapsed="false">
      <c r="A73" s="123" t="n">
        <v>45444</v>
      </c>
      <c r="B73" s="31" t="s">
        <v>239</v>
      </c>
      <c r="C73" s="130"/>
      <c r="D73" s="129"/>
      <c r="E73" s="19" t="n">
        <f aca="false">F73*0.03</f>
        <v>0</v>
      </c>
      <c r="F73" s="33" t="n">
        <v>0</v>
      </c>
      <c r="G73" s="131"/>
      <c r="H73" s="34" t="n">
        <v>0</v>
      </c>
      <c r="I73" s="34" t="n">
        <f aca="false">+IF(E73=0,0,E73*0.03)</f>
        <v>0</v>
      </c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customFormat="false" ht="16.4" hidden="false" customHeight="false" outlineLevel="0" collapsed="false">
      <c r="A74" s="123" t="n">
        <v>45444</v>
      </c>
      <c r="B74" s="31" t="s">
        <v>7</v>
      </c>
      <c r="C74" s="130"/>
      <c r="D74" s="129"/>
      <c r="E74" s="19" t="n">
        <f aca="false">F74*0.03</f>
        <v>0</v>
      </c>
      <c r="F74" s="33" t="n">
        <v>0</v>
      </c>
      <c r="G74" s="131"/>
      <c r="H74" s="34" t="n">
        <v>0</v>
      </c>
      <c r="I74" s="34" t="n">
        <f aca="false">+IF(E74=0,0,E74*0.03)</f>
        <v>0</v>
      </c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customFormat="false" ht="16.4" hidden="false" customHeight="false" outlineLevel="0" collapsed="false">
      <c r="A75" s="123" t="n">
        <v>45444</v>
      </c>
      <c r="B75" s="31" t="s">
        <v>240</v>
      </c>
      <c r="C75" s="130"/>
      <c r="D75" s="129"/>
      <c r="E75" s="19" t="n">
        <f aca="false">F75*0.03</f>
        <v>0</v>
      </c>
      <c r="F75" s="33" t="n">
        <v>0</v>
      </c>
      <c r="G75" s="131"/>
      <c r="H75" s="34" t="n">
        <v>0</v>
      </c>
      <c r="I75" s="34" t="n">
        <f aca="false">+IF(E75=0,0,E75*0.03)</f>
        <v>0</v>
      </c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customFormat="false" ht="16.4" hidden="false" customHeight="false" outlineLevel="0" collapsed="false">
      <c r="A76" s="123" t="n">
        <v>45444</v>
      </c>
      <c r="B76" s="31" t="s">
        <v>153</v>
      </c>
      <c r="C76" s="130"/>
      <c r="D76" s="129"/>
      <c r="E76" s="19" t="n">
        <f aca="false">F76*0.03</f>
        <v>0</v>
      </c>
      <c r="F76" s="33" t="n">
        <v>0</v>
      </c>
      <c r="G76" s="131"/>
      <c r="H76" s="34" t="n">
        <v>0</v>
      </c>
      <c r="I76" s="34" t="n">
        <f aca="false">+IF(E76=0,0,E76*0.03)</f>
        <v>0</v>
      </c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customFormat="false" ht="16.4" hidden="false" customHeight="false" outlineLevel="0" collapsed="false">
      <c r="A77" s="123" t="n">
        <v>45444</v>
      </c>
      <c r="B77" s="31" t="s">
        <v>247</v>
      </c>
      <c r="C77" s="130"/>
      <c r="D77" s="129"/>
      <c r="E77" s="19" t="n">
        <f aca="false">F77*0.03</f>
        <v>0</v>
      </c>
      <c r="F77" s="33" t="n">
        <v>0</v>
      </c>
      <c r="G77" s="131"/>
      <c r="H77" s="34" t="n">
        <v>0</v>
      </c>
      <c r="I77" s="34" t="n">
        <f aca="false">+IF(E77=0,0,E77*0.03)</f>
        <v>0</v>
      </c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customFormat="false" ht="16.4" hidden="false" customHeight="false" outlineLevel="0" collapsed="false">
      <c r="A78" s="123" t="n">
        <v>45444</v>
      </c>
      <c r="B78" s="31" t="s">
        <v>246</v>
      </c>
      <c r="C78" s="130"/>
      <c r="D78" s="129"/>
      <c r="E78" s="19" t="n">
        <f aca="false">F78*0.03</f>
        <v>0</v>
      </c>
      <c r="F78" s="33" t="n">
        <v>0</v>
      </c>
      <c r="G78" s="131"/>
      <c r="H78" s="34" t="n">
        <v>0</v>
      </c>
      <c r="I78" s="34" t="n">
        <f aca="false">+IF(E78=0,0,E78*0.03)</f>
        <v>0</v>
      </c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customFormat="false" ht="16.4" hidden="false" customHeight="false" outlineLevel="0" collapsed="false">
      <c r="A79" s="123" t="n">
        <v>45444</v>
      </c>
      <c r="B79" s="31" t="s">
        <v>239</v>
      </c>
      <c r="C79" s="130"/>
      <c r="D79" s="129"/>
      <c r="E79" s="19" t="n">
        <f aca="false">F79*0.03</f>
        <v>0</v>
      </c>
      <c r="F79" s="33" t="n">
        <v>0</v>
      </c>
      <c r="G79" s="131"/>
      <c r="H79" s="34" t="n">
        <v>0</v>
      </c>
      <c r="I79" s="34" t="n">
        <f aca="false">+IF(E79=0,0,E79*0.03)</f>
        <v>0</v>
      </c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customFormat="false" ht="16.4" hidden="false" customHeight="false" outlineLevel="0" collapsed="false">
      <c r="A80" s="123" t="n">
        <v>45444</v>
      </c>
      <c r="B80" s="31" t="s">
        <v>7</v>
      </c>
      <c r="C80" s="130"/>
      <c r="D80" s="129"/>
      <c r="E80" s="19" t="n">
        <f aca="false">F80*0.03</f>
        <v>0</v>
      </c>
      <c r="F80" s="33" t="n">
        <v>0</v>
      </c>
      <c r="G80" s="131"/>
      <c r="H80" s="34" t="n">
        <v>0</v>
      </c>
      <c r="I80" s="34" t="n">
        <f aca="false">+IF(E80=0,0,E80*0.03)</f>
        <v>0</v>
      </c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customFormat="false" ht="16.4" hidden="false" customHeight="false" outlineLevel="0" collapsed="false">
      <c r="A81" s="123" t="n">
        <v>45444</v>
      </c>
      <c r="B81" s="31" t="s">
        <v>240</v>
      </c>
      <c r="C81" s="130"/>
      <c r="D81" s="129"/>
      <c r="E81" s="19" t="n">
        <f aca="false">F81*0.03</f>
        <v>0</v>
      </c>
      <c r="F81" s="33" t="n">
        <v>0</v>
      </c>
      <c r="G81" s="131"/>
      <c r="H81" s="34" t="n">
        <v>0</v>
      </c>
      <c r="I81" s="34" t="n">
        <f aca="false">+IF(E81=0,0,E81*0.03)</f>
        <v>0</v>
      </c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customFormat="false" ht="16.4" hidden="false" customHeight="false" outlineLevel="0" collapsed="false">
      <c r="A82" s="123" t="n">
        <v>45444</v>
      </c>
      <c r="B82" s="31" t="s">
        <v>153</v>
      </c>
      <c r="C82" s="130"/>
      <c r="D82" s="129"/>
      <c r="E82" s="19" t="n">
        <f aca="false">F82*0.03</f>
        <v>0</v>
      </c>
      <c r="F82" s="33" t="n">
        <v>0</v>
      </c>
      <c r="G82" s="131"/>
      <c r="H82" s="34" t="n">
        <v>0</v>
      </c>
      <c r="I82" s="34" t="n">
        <f aca="false">+IF(E82=0,0,E82*0.03)</f>
        <v>0</v>
      </c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customFormat="false" ht="16.4" hidden="false" customHeight="false" outlineLevel="0" collapsed="false">
      <c r="A83" s="123" t="n">
        <v>45444</v>
      </c>
      <c r="B83" s="31" t="s">
        <v>247</v>
      </c>
      <c r="C83" s="130"/>
      <c r="D83" s="129"/>
      <c r="E83" s="19" t="n">
        <f aca="false">F83*0.03</f>
        <v>0</v>
      </c>
      <c r="F83" s="33" t="n">
        <v>0</v>
      </c>
      <c r="G83" s="131"/>
      <c r="H83" s="34" t="n">
        <v>0</v>
      </c>
      <c r="I83" s="34" t="n">
        <f aca="false">+IF(E83=0,0,E83*0.03)</f>
        <v>0</v>
      </c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customFormat="false" ht="16.4" hidden="false" customHeight="false" outlineLevel="0" collapsed="false">
      <c r="A84" s="123" t="n">
        <v>45444</v>
      </c>
      <c r="B84" s="31" t="s">
        <v>246</v>
      </c>
      <c r="C84" s="130"/>
      <c r="D84" s="129"/>
      <c r="E84" s="19" t="n">
        <f aca="false">F84*0.03</f>
        <v>0</v>
      </c>
      <c r="F84" s="33" t="n">
        <v>0</v>
      </c>
      <c r="G84" s="131"/>
      <c r="H84" s="34" t="n">
        <v>0</v>
      </c>
      <c r="I84" s="34" t="n">
        <f aca="false">+IF(E84=0,0,E84*0.03)</f>
        <v>0</v>
      </c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customFormat="false" ht="16.4" hidden="false" customHeight="false" outlineLevel="0" collapsed="false">
      <c r="A85" s="123" t="n">
        <v>45444</v>
      </c>
      <c r="B85" s="31" t="s">
        <v>239</v>
      </c>
      <c r="C85" s="130"/>
      <c r="D85" s="129"/>
      <c r="E85" s="19" t="n">
        <f aca="false">F85*0.03</f>
        <v>0</v>
      </c>
      <c r="F85" s="33" t="n">
        <v>0</v>
      </c>
      <c r="G85" s="131"/>
      <c r="H85" s="34" t="n">
        <v>0</v>
      </c>
      <c r="I85" s="34" t="n">
        <f aca="false">+IF(E85=0,0,E85*0.03)</f>
        <v>0</v>
      </c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customFormat="false" ht="16.4" hidden="false" customHeight="false" outlineLevel="0" collapsed="false">
      <c r="A86" s="123" t="n">
        <v>45444</v>
      </c>
      <c r="B86" s="31" t="s">
        <v>7</v>
      </c>
      <c r="C86" s="130"/>
      <c r="D86" s="129"/>
      <c r="E86" s="19" t="n">
        <f aca="false">F86*0.03</f>
        <v>0</v>
      </c>
      <c r="F86" s="33" t="n">
        <v>0</v>
      </c>
      <c r="G86" s="131"/>
      <c r="H86" s="34" t="n">
        <v>0</v>
      </c>
      <c r="I86" s="34" t="n">
        <f aca="false">+IF(E86=0,0,E86*0.03)</f>
        <v>0</v>
      </c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customFormat="false" ht="16.4" hidden="false" customHeight="false" outlineLevel="0" collapsed="false">
      <c r="A87" s="123" t="n">
        <v>45444</v>
      </c>
      <c r="B87" s="31" t="s">
        <v>240</v>
      </c>
      <c r="C87" s="130"/>
      <c r="D87" s="129"/>
      <c r="E87" s="19" t="n">
        <f aca="false">F87*0.03</f>
        <v>0</v>
      </c>
      <c r="F87" s="33" t="n">
        <v>0</v>
      </c>
      <c r="G87" s="131"/>
      <c r="H87" s="34" t="n">
        <v>0</v>
      </c>
      <c r="I87" s="34" t="n">
        <f aca="false">+IF(E87=0,0,E87*0.03)</f>
        <v>0</v>
      </c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customFormat="false" ht="16.4" hidden="false" customHeight="false" outlineLevel="0" collapsed="false">
      <c r="A88" s="123" t="n">
        <v>45444</v>
      </c>
      <c r="B88" s="31" t="s">
        <v>153</v>
      </c>
      <c r="C88" s="130"/>
      <c r="D88" s="129"/>
      <c r="E88" s="19" t="n">
        <f aca="false">F88*0.03</f>
        <v>0</v>
      </c>
      <c r="F88" s="33" t="n">
        <v>0</v>
      </c>
      <c r="G88" s="131"/>
      <c r="H88" s="34" t="n">
        <v>0</v>
      </c>
      <c r="I88" s="34" t="n">
        <f aca="false">+IF(E88=0,0,E88*0.03)</f>
        <v>0</v>
      </c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customFormat="false" ht="16.4" hidden="false" customHeight="false" outlineLevel="0" collapsed="false">
      <c r="A89" s="123" t="n">
        <v>45444</v>
      </c>
      <c r="B89" s="31" t="s">
        <v>247</v>
      </c>
      <c r="C89" s="130"/>
      <c r="D89" s="129"/>
      <c r="E89" s="19" t="n">
        <f aca="false">F89*0.03</f>
        <v>0</v>
      </c>
      <c r="F89" s="33" t="n">
        <v>0</v>
      </c>
      <c r="G89" s="131"/>
      <c r="H89" s="34" t="n">
        <v>0</v>
      </c>
      <c r="I89" s="34" t="n">
        <f aca="false">+IF(E89=0,0,E89*0.03)</f>
        <v>0</v>
      </c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customFormat="false" ht="16.4" hidden="false" customHeight="false" outlineLevel="0" collapsed="false">
      <c r="A90" s="123" t="n">
        <v>45444</v>
      </c>
      <c r="B90" s="31" t="s">
        <v>246</v>
      </c>
      <c r="C90" s="130"/>
      <c r="D90" s="129"/>
      <c r="E90" s="19" t="n">
        <f aca="false">F90*0.03</f>
        <v>0</v>
      </c>
      <c r="F90" s="33" t="n">
        <v>0</v>
      </c>
      <c r="G90" s="131"/>
      <c r="H90" s="34" t="n">
        <v>0</v>
      </c>
      <c r="I90" s="34" t="n">
        <f aca="false">+IF(E90=0,0,E90*0.03)</f>
        <v>0</v>
      </c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customFormat="false" ht="16.4" hidden="false" customHeight="false" outlineLevel="0" collapsed="false">
      <c r="A91" s="123" t="n">
        <v>45444</v>
      </c>
      <c r="B91" s="31" t="s">
        <v>239</v>
      </c>
      <c r="C91" s="130"/>
      <c r="D91" s="129"/>
      <c r="E91" s="19" t="n">
        <f aca="false">F91*0.03</f>
        <v>0</v>
      </c>
      <c r="F91" s="33" t="n">
        <v>0</v>
      </c>
      <c r="G91" s="131"/>
      <c r="H91" s="34" t="n">
        <v>0</v>
      </c>
      <c r="I91" s="34" t="n">
        <f aca="false">+IF(E91=0,0,E91*0.03)</f>
        <v>0</v>
      </c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customFormat="false" ht="16.4" hidden="false" customHeight="false" outlineLevel="0" collapsed="false">
      <c r="A92" s="123" t="n">
        <v>45444</v>
      </c>
      <c r="B92" s="31" t="s">
        <v>7</v>
      </c>
      <c r="C92" s="130"/>
      <c r="D92" s="129"/>
      <c r="E92" s="19" t="n">
        <f aca="false">F92*0.03</f>
        <v>0</v>
      </c>
      <c r="F92" s="33" t="n">
        <v>0</v>
      </c>
      <c r="G92" s="131"/>
      <c r="H92" s="34" t="n">
        <v>0</v>
      </c>
      <c r="I92" s="34" t="n">
        <f aca="false">+IF(E92=0,0,E92*0.03)</f>
        <v>0</v>
      </c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customFormat="false" ht="16.4" hidden="false" customHeight="false" outlineLevel="0" collapsed="false">
      <c r="A93" s="123" t="n">
        <v>45444</v>
      </c>
      <c r="B93" s="31" t="s">
        <v>240</v>
      </c>
      <c r="C93" s="130"/>
      <c r="D93" s="129"/>
      <c r="E93" s="19" t="n">
        <f aca="false">F93*0.03</f>
        <v>0</v>
      </c>
      <c r="F93" s="33" t="n">
        <v>0</v>
      </c>
      <c r="G93" s="131"/>
      <c r="H93" s="34" t="n">
        <v>0</v>
      </c>
      <c r="I93" s="34" t="n">
        <f aca="false">+IF(E93=0,0,E93*0.03)</f>
        <v>0</v>
      </c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customFormat="false" ht="16.4" hidden="false" customHeight="false" outlineLevel="0" collapsed="false">
      <c r="A94" s="123" t="n">
        <v>45444</v>
      </c>
      <c r="B94" s="31" t="s">
        <v>153</v>
      </c>
      <c r="C94" s="130"/>
      <c r="D94" s="129"/>
      <c r="E94" s="19" t="n">
        <f aca="false">F94*0.03</f>
        <v>0</v>
      </c>
      <c r="F94" s="33" t="n">
        <v>0</v>
      </c>
      <c r="G94" s="131"/>
      <c r="H94" s="34" t="n">
        <v>0</v>
      </c>
      <c r="I94" s="34" t="n">
        <f aca="false">+IF(E94=0,0,E94*0.03)</f>
        <v>0</v>
      </c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customFormat="false" ht="16.4" hidden="false" customHeight="false" outlineLevel="0" collapsed="false">
      <c r="A95" s="123" t="n">
        <v>45444</v>
      </c>
      <c r="B95" s="31" t="s">
        <v>247</v>
      </c>
      <c r="C95" s="130"/>
      <c r="D95" s="129"/>
      <c r="E95" s="19" t="n">
        <f aca="false">F95*0.03</f>
        <v>0</v>
      </c>
      <c r="F95" s="33" t="n">
        <v>0</v>
      </c>
      <c r="G95" s="131"/>
      <c r="H95" s="34" t="n">
        <v>0</v>
      </c>
      <c r="I95" s="34" t="n">
        <f aca="false">+IF(E95=0,0,E95*0.03)</f>
        <v>0</v>
      </c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customFormat="false" ht="16.4" hidden="false" customHeight="false" outlineLevel="0" collapsed="false">
      <c r="A96" s="123" t="n">
        <v>45444</v>
      </c>
      <c r="B96" s="31" t="s">
        <v>246</v>
      </c>
      <c r="C96" s="130"/>
      <c r="D96" s="129"/>
      <c r="E96" s="19" t="n">
        <f aca="false">F96*0.03</f>
        <v>0</v>
      </c>
      <c r="F96" s="33" t="n">
        <v>0</v>
      </c>
      <c r="G96" s="131"/>
      <c r="H96" s="34" t="n">
        <v>0</v>
      </c>
      <c r="I96" s="34" t="n">
        <f aca="false">+IF(E96=0,0,E96*0.03)</f>
        <v>0</v>
      </c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customFormat="false" ht="16.4" hidden="false" customHeight="false" outlineLevel="0" collapsed="false">
      <c r="A97" s="123" t="n">
        <v>45444</v>
      </c>
      <c r="B97" s="31" t="s">
        <v>239</v>
      </c>
      <c r="C97" s="130"/>
      <c r="D97" s="129"/>
      <c r="E97" s="19" t="n">
        <f aca="false">F97*0.03</f>
        <v>0</v>
      </c>
      <c r="F97" s="33" t="n">
        <v>0</v>
      </c>
      <c r="G97" s="131"/>
      <c r="H97" s="34" t="n">
        <v>0</v>
      </c>
      <c r="I97" s="34" t="n">
        <f aca="false">+IF(E97=0,0,E97*0.03)</f>
        <v>0</v>
      </c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customFormat="false" ht="16.4" hidden="false" customHeight="false" outlineLevel="0" collapsed="false">
      <c r="A98" s="123" t="n">
        <v>45444</v>
      </c>
      <c r="B98" s="31" t="s">
        <v>7</v>
      </c>
      <c r="C98" s="130"/>
      <c r="D98" s="129"/>
      <c r="E98" s="19" t="n">
        <f aca="false">F98*0.03</f>
        <v>0</v>
      </c>
      <c r="F98" s="33" t="n">
        <v>0</v>
      </c>
      <c r="G98" s="131"/>
      <c r="H98" s="34" t="n">
        <v>0</v>
      </c>
      <c r="I98" s="34" t="n">
        <f aca="false">+IF(E98=0,0,E98*0.03)</f>
        <v>0</v>
      </c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customFormat="false" ht="16.4" hidden="false" customHeight="false" outlineLevel="0" collapsed="false">
      <c r="A99" s="123" t="n">
        <v>45444</v>
      </c>
      <c r="B99" s="31" t="s">
        <v>240</v>
      </c>
      <c r="C99" s="130"/>
      <c r="D99" s="129"/>
      <c r="E99" s="19" t="n">
        <f aca="false">F99*0.03</f>
        <v>0</v>
      </c>
      <c r="F99" s="33" t="n">
        <v>0</v>
      </c>
      <c r="G99" s="131"/>
      <c r="H99" s="34" t="n">
        <v>0</v>
      </c>
      <c r="I99" s="34" t="n">
        <f aca="false">+IF(E99=0,0,E99*0.03)</f>
        <v>0</v>
      </c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customFormat="false" ht="16.4" hidden="false" customHeight="false" outlineLevel="0" collapsed="false">
      <c r="A100" s="123" t="n">
        <v>45444</v>
      </c>
      <c r="B100" s="31" t="s">
        <v>153</v>
      </c>
      <c r="C100" s="130"/>
      <c r="D100" s="129"/>
      <c r="E100" s="19" t="n">
        <f aca="false">F100*0.03</f>
        <v>0</v>
      </c>
      <c r="F100" s="33" t="n">
        <v>0</v>
      </c>
      <c r="G100" s="131"/>
      <c r="H100" s="34" t="n">
        <v>0</v>
      </c>
      <c r="I100" s="34" t="n">
        <f aca="false">+IF(E100=0,0,E100*0.03)</f>
        <v>0</v>
      </c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customFormat="false" ht="16.4" hidden="false" customHeight="false" outlineLevel="0" collapsed="false">
      <c r="A101" s="123" t="n">
        <v>45444</v>
      </c>
      <c r="B101" s="31" t="s">
        <v>247</v>
      </c>
      <c r="C101" s="130"/>
      <c r="D101" s="129"/>
      <c r="E101" s="19" t="n">
        <f aca="false">F101*0.03</f>
        <v>0</v>
      </c>
      <c r="F101" s="33" t="n">
        <v>0</v>
      </c>
      <c r="G101" s="131"/>
      <c r="H101" s="34" t="n">
        <v>0</v>
      </c>
      <c r="I101" s="34" t="n">
        <f aca="false">+IF(E101=0,0,E101*0.03)</f>
        <v>0</v>
      </c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customFormat="false" ht="16.4" hidden="false" customHeight="false" outlineLevel="0" collapsed="false">
      <c r="A102" s="123" t="n">
        <v>45444</v>
      </c>
      <c r="B102" s="31" t="s">
        <v>246</v>
      </c>
      <c r="C102" s="130"/>
      <c r="D102" s="129"/>
      <c r="E102" s="19" t="n">
        <f aca="false">F102*0.03</f>
        <v>0</v>
      </c>
      <c r="F102" s="33" t="n">
        <v>0</v>
      </c>
      <c r="G102" s="131"/>
      <c r="H102" s="34" t="n">
        <v>0</v>
      </c>
      <c r="I102" s="34" t="n">
        <f aca="false">+IF(E102=0,0,E102*0.03)</f>
        <v>0</v>
      </c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customFormat="false" ht="16.4" hidden="false" customHeight="false" outlineLevel="0" collapsed="false">
      <c r="A103" s="123" t="n">
        <v>45444</v>
      </c>
      <c r="B103" s="31" t="s">
        <v>239</v>
      </c>
      <c r="C103" s="130"/>
      <c r="D103" s="129"/>
      <c r="E103" s="19" t="n">
        <f aca="false">F103*0.03</f>
        <v>0</v>
      </c>
      <c r="F103" s="33" t="n">
        <v>0</v>
      </c>
      <c r="G103" s="131"/>
      <c r="H103" s="34" t="n">
        <v>0</v>
      </c>
      <c r="I103" s="34" t="n">
        <f aca="false">+IF(E103=0,0,E103*0.03)</f>
        <v>0</v>
      </c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customFormat="false" ht="16.4" hidden="false" customHeight="false" outlineLevel="0" collapsed="false">
      <c r="A104" s="123" t="n">
        <v>45444</v>
      </c>
      <c r="B104" s="31" t="s">
        <v>7</v>
      </c>
      <c r="C104" s="130"/>
      <c r="D104" s="129"/>
      <c r="E104" s="19" t="n">
        <f aca="false">F104*0.03</f>
        <v>0</v>
      </c>
      <c r="F104" s="33" t="n">
        <v>0</v>
      </c>
      <c r="G104" s="131"/>
      <c r="H104" s="34" t="n">
        <v>0</v>
      </c>
      <c r="I104" s="34" t="n">
        <f aca="false">+IF(E104=0,0,E104*0.03)</f>
        <v>0</v>
      </c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customFormat="false" ht="16.4" hidden="false" customHeight="false" outlineLevel="0" collapsed="false">
      <c r="A105" s="123" t="n">
        <v>45444</v>
      </c>
      <c r="B105" s="31" t="s">
        <v>240</v>
      </c>
      <c r="C105" s="130"/>
      <c r="D105" s="129"/>
      <c r="E105" s="19" t="n">
        <f aca="false">F105*0.03</f>
        <v>0</v>
      </c>
      <c r="F105" s="33" t="n">
        <v>0</v>
      </c>
      <c r="G105" s="131"/>
      <c r="H105" s="34" t="n">
        <v>0</v>
      </c>
      <c r="I105" s="34" t="n">
        <f aca="false">+IF(E105=0,0,E105*0.03)</f>
        <v>0</v>
      </c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customFormat="false" ht="16.4" hidden="false" customHeight="false" outlineLevel="0" collapsed="false">
      <c r="A106" s="123" t="n">
        <v>45444</v>
      </c>
      <c r="B106" s="31" t="s">
        <v>153</v>
      </c>
      <c r="C106" s="130"/>
      <c r="D106" s="129"/>
      <c r="E106" s="19" t="n">
        <f aca="false">F106*0.03</f>
        <v>0</v>
      </c>
      <c r="F106" s="33" t="n">
        <v>0</v>
      </c>
      <c r="G106" s="131"/>
      <c r="H106" s="34" t="n">
        <v>0</v>
      </c>
      <c r="I106" s="34" t="n">
        <f aca="false">+IF(E106=0,0,E106*0.03)</f>
        <v>0</v>
      </c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customFormat="false" ht="16.4" hidden="false" customHeight="false" outlineLevel="0" collapsed="false">
      <c r="A107" s="123" t="n">
        <v>45444</v>
      </c>
      <c r="B107" s="31" t="s">
        <v>247</v>
      </c>
      <c r="C107" s="130"/>
      <c r="D107" s="129"/>
      <c r="E107" s="19" t="n">
        <f aca="false">F107*0.03</f>
        <v>0</v>
      </c>
      <c r="F107" s="33" t="n">
        <v>0</v>
      </c>
      <c r="G107" s="131"/>
      <c r="H107" s="34" t="n">
        <v>0</v>
      </c>
      <c r="I107" s="34" t="n">
        <f aca="false">+IF(E107=0,0,E107*0.03)</f>
        <v>0</v>
      </c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customFormat="false" ht="16.4" hidden="false" customHeight="false" outlineLevel="0" collapsed="false">
      <c r="A108" s="123" t="n">
        <v>45444</v>
      </c>
      <c r="B108" s="31" t="s">
        <v>246</v>
      </c>
      <c r="C108" s="130"/>
      <c r="D108" s="129"/>
      <c r="E108" s="19" t="n">
        <f aca="false">F108*0.03</f>
        <v>0</v>
      </c>
      <c r="F108" s="33" t="n">
        <v>0</v>
      </c>
      <c r="G108" s="131"/>
      <c r="H108" s="34" t="n">
        <v>0</v>
      </c>
      <c r="I108" s="34" t="n">
        <f aca="false">+IF(E108=0,0,E108*0.03)</f>
        <v>0</v>
      </c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customFormat="false" ht="16.4" hidden="false" customHeight="false" outlineLevel="0" collapsed="false">
      <c r="A109" s="123" t="n">
        <v>45444</v>
      </c>
      <c r="B109" s="31" t="s">
        <v>239</v>
      </c>
      <c r="C109" s="130"/>
      <c r="D109" s="129"/>
      <c r="E109" s="19" t="n">
        <f aca="false">F109*0.03</f>
        <v>0</v>
      </c>
      <c r="F109" s="33" t="n">
        <v>0</v>
      </c>
      <c r="G109" s="131"/>
      <c r="H109" s="34" t="n">
        <v>0</v>
      </c>
      <c r="I109" s="34" t="n">
        <f aca="false">+IF(E109=0,0,E109*0.03)</f>
        <v>0</v>
      </c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customFormat="false" ht="16.4" hidden="false" customHeight="false" outlineLevel="0" collapsed="false">
      <c r="A110" s="123" t="n">
        <v>45444</v>
      </c>
      <c r="B110" s="31" t="s">
        <v>7</v>
      </c>
      <c r="C110" s="130"/>
      <c r="D110" s="129"/>
      <c r="E110" s="19" t="n">
        <f aca="false">F110*0.03</f>
        <v>0</v>
      </c>
      <c r="F110" s="33" t="n">
        <v>0</v>
      </c>
      <c r="G110" s="131"/>
      <c r="H110" s="34" t="n">
        <v>0</v>
      </c>
      <c r="I110" s="34" t="n">
        <f aca="false">+IF(E110=0,0,E110*0.03)</f>
        <v>0</v>
      </c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customFormat="false" ht="16.4" hidden="false" customHeight="false" outlineLevel="0" collapsed="false">
      <c r="A111" s="123" t="n">
        <v>45444</v>
      </c>
      <c r="B111" s="31" t="s">
        <v>240</v>
      </c>
      <c r="C111" s="130"/>
      <c r="D111" s="129"/>
      <c r="E111" s="19" t="n">
        <f aca="false">F111*0.03</f>
        <v>0</v>
      </c>
      <c r="F111" s="33" t="n">
        <v>0</v>
      </c>
      <c r="G111" s="131"/>
      <c r="H111" s="34" t="n">
        <v>0</v>
      </c>
      <c r="I111" s="34" t="n">
        <f aca="false">+IF(E111=0,0,E111*0.03)</f>
        <v>0</v>
      </c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customFormat="false" ht="16.4" hidden="false" customHeight="false" outlineLevel="0" collapsed="false">
      <c r="A112" s="123" t="n">
        <v>45444</v>
      </c>
      <c r="B112" s="31" t="s">
        <v>153</v>
      </c>
      <c r="C112" s="130"/>
      <c r="D112" s="129"/>
      <c r="E112" s="19" t="n">
        <f aca="false">F112*0.03</f>
        <v>0</v>
      </c>
      <c r="F112" s="33" t="n">
        <v>0</v>
      </c>
      <c r="G112" s="131"/>
      <c r="H112" s="34" t="n">
        <v>0</v>
      </c>
      <c r="I112" s="34" t="n">
        <f aca="false">+IF(E112=0,0,E112*0.03)</f>
        <v>0</v>
      </c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customFormat="false" ht="16.4" hidden="false" customHeight="false" outlineLevel="0" collapsed="false">
      <c r="A113" s="123" t="n">
        <v>45444</v>
      </c>
      <c r="B113" s="31" t="s">
        <v>247</v>
      </c>
      <c r="C113" s="130"/>
      <c r="D113" s="129"/>
      <c r="E113" s="19" t="n">
        <f aca="false">F113*0.03</f>
        <v>0</v>
      </c>
      <c r="F113" s="33" t="n">
        <v>0</v>
      </c>
      <c r="G113" s="131"/>
      <c r="H113" s="34" t="n">
        <v>0</v>
      </c>
      <c r="I113" s="34" t="n">
        <f aca="false">+IF(E113=0,0,E113*0.03)</f>
        <v>0</v>
      </c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customFormat="false" ht="16.4" hidden="false" customHeight="false" outlineLevel="0" collapsed="false">
      <c r="A114" s="123" t="n">
        <v>45444</v>
      </c>
      <c r="B114" s="31" t="s">
        <v>246</v>
      </c>
      <c r="C114" s="130"/>
      <c r="D114" s="129"/>
      <c r="E114" s="19" t="n">
        <f aca="false">F114*0.03</f>
        <v>0</v>
      </c>
      <c r="F114" s="33" t="n">
        <v>0</v>
      </c>
      <c r="G114" s="131"/>
      <c r="H114" s="34" t="n">
        <v>0</v>
      </c>
      <c r="I114" s="34" t="n">
        <f aca="false">+IF(E114=0,0,E114*0.03)</f>
        <v>0</v>
      </c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customFormat="false" ht="16.4" hidden="false" customHeight="false" outlineLevel="0" collapsed="false">
      <c r="A115" s="123" t="n">
        <v>45444</v>
      </c>
      <c r="B115" s="31" t="s">
        <v>239</v>
      </c>
      <c r="C115" s="130"/>
      <c r="D115" s="129"/>
      <c r="E115" s="19" t="n">
        <f aca="false">F115*0.03</f>
        <v>0</v>
      </c>
      <c r="F115" s="33" t="n">
        <v>0</v>
      </c>
      <c r="G115" s="131"/>
      <c r="H115" s="34" t="n">
        <v>0</v>
      </c>
      <c r="I115" s="34" t="n">
        <f aca="false">+IF(E115=0,0,E115*0.03)</f>
        <v>0</v>
      </c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customFormat="false" ht="16.4" hidden="false" customHeight="false" outlineLevel="0" collapsed="false">
      <c r="A116" s="123" t="n">
        <v>45444</v>
      </c>
      <c r="B116" s="31" t="s">
        <v>7</v>
      </c>
      <c r="C116" s="130"/>
      <c r="D116" s="129"/>
      <c r="E116" s="19" t="n">
        <f aca="false">F116*0.03</f>
        <v>0</v>
      </c>
      <c r="F116" s="33" t="n">
        <v>0</v>
      </c>
      <c r="G116" s="131"/>
      <c r="H116" s="34" t="n">
        <v>0</v>
      </c>
      <c r="I116" s="34" t="n">
        <f aca="false">+IF(E116=0,0,E116*0.03)</f>
        <v>0</v>
      </c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customFormat="false" ht="16.4" hidden="false" customHeight="false" outlineLevel="0" collapsed="false">
      <c r="A117" s="123" t="n">
        <v>45444</v>
      </c>
      <c r="B117" s="31" t="s">
        <v>240</v>
      </c>
      <c r="C117" s="130"/>
      <c r="D117" s="129"/>
      <c r="E117" s="19" t="n">
        <f aca="false">F117*0.03</f>
        <v>0</v>
      </c>
      <c r="F117" s="33" t="n">
        <v>0</v>
      </c>
      <c r="G117" s="131"/>
      <c r="H117" s="34" t="n">
        <v>0</v>
      </c>
      <c r="I117" s="34" t="n">
        <f aca="false">+IF(E117=0,0,E117*0.03)</f>
        <v>0</v>
      </c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customFormat="false" ht="16.4" hidden="false" customHeight="false" outlineLevel="0" collapsed="false">
      <c r="A118" s="123" t="n">
        <v>45444</v>
      </c>
      <c r="B118" s="31" t="s">
        <v>153</v>
      </c>
      <c r="C118" s="130"/>
      <c r="D118" s="129"/>
      <c r="E118" s="19" t="n">
        <f aca="false">F118*0.03</f>
        <v>0</v>
      </c>
      <c r="F118" s="33" t="n">
        <v>0</v>
      </c>
      <c r="G118" s="131"/>
      <c r="H118" s="34" t="n">
        <v>0</v>
      </c>
      <c r="I118" s="34" t="n">
        <f aca="false">+IF(E118=0,0,E118*0.03)</f>
        <v>0</v>
      </c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customFormat="false" ht="16.4" hidden="false" customHeight="false" outlineLevel="0" collapsed="false">
      <c r="A119" s="123" t="n">
        <v>45444</v>
      </c>
      <c r="B119" s="31" t="s">
        <v>247</v>
      </c>
      <c r="C119" s="130"/>
      <c r="D119" s="129"/>
      <c r="E119" s="19" t="n">
        <f aca="false">F119*0.03</f>
        <v>0</v>
      </c>
      <c r="F119" s="33" t="n">
        <v>0</v>
      </c>
      <c r="G119" s="131"/>
      <c r="H119" s="34" t="n">
        <v>0</v>
      </c>
      <c r="I119" s="34" t="n">
        <f aca="false">+IF(E119=0,0,E119*0.03)</f>
        <v>0</v>
      </c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customFormat="false" ht="16.4" hidden="false" customHeight="false" outlineLevel="0" collapsed="false">
      <c r="A120" s="123" t="n">
        <v>45444</v>
      </c>
      <c r="B120" s="31" t="s">
        <v>246</v>
      </c>
      <c r="C120" s="129"/>
      <c r="D120" s="129"/>
      <c r="E120" s="19" t="n">
        <f aca="false">F120*0.03</f>
        <v>0</v>
      </c>
      <c r="F120" s="33" t="n">
        <v>0</v>
      </c>
      <c r="G120" s="131"/>
      <c r="H120" s="34" t="n">
        <v>0</v>
      </c>
      <c r="I120" s="34" t="n">
        <f aca="false">+IF(E120=0,0,E120*0.03)</f>
        <v>0</v>
      </c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customFormat="false" ht="16.4" hidden="false" customHeight="false" outlineLevel="0" collapsed="false">
      <c r="A121" s="123" t="n">
        <v>45444</v>
      </c>
      <c r="B121" s="31" t="s">
        <v>239</v>
      </c>
      <c r="C121" s="129"/>
      <c r="D121" s="129"/>
      <c r="E121" s="19" t="n">
        <f aca="false">F121*0.03</f>
        <v>0</v>
      </c>
      <c r="F121" s="33" t="n">
        <v>0</v>
      </c>
      <c r="G121" s="131"/>
      <c r="H121" s="34" t="n">
        <v>0</v>
      </c>
      <c r="I121" s="34" t="n">
        <f aca="false">+IF(E121=0,0,E121*0.03)</f>
        <v>0</v>
      </c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customFormat="false" ht="16.4" hidden="false" customHeight="false" outlineLevel="0" collapsed="false">
      <c r="A122" s="123" t="n">
        <v>45444</v>
      </c>
      <c r="B122" s="31" t="s">
        <v>7</v>
      </c>
      <c r="C122" s="129"/>
      <c r="D122" s="129"/>
      <c r="E122" s="19" t="n">
        <f aca="false">F122*0.03</f>
        <v>0</v>
      </c>
      <c r="F122" s="33" t="n">
        <v>0</v>
      </c>
      <c r="G122" s="131"/>
      <c r="H122" s="34" t="n">
        <v>0</v>
      </c>
      <c r="I122" s="34" t="n">
        <f aca="false">+IF(E122=0,0,E122*0.03)</f>
        <v>0</v>
      </c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customFormat="false" ht="16.4" hidden="false" customHeight="false" outlineLevel="0" collapsed="false">
      <c r="A123" s="123" t="n">
        <v>45444</v>
      </c>
      <c r="B123" s="31" t="s">
        <v>240</v>
      </c>
      <c r="C123" s="129"/>
      <c r="D123" s="129"/>
      <c r="E123" s="19" t="n">
        <f aca="false">F123*0.03</f>
        <v>0</v>
      </c>
      <c r="F123" s="33" t="n">
        <v>0</v>
      </c>
      <c r="G123" s="131"/>
      <c r="H123" s="34" t="n">
        <v>0</v>
      </c>
      <c r="I123" s="34" t="n">
        <f aca="false">+IF(E123=0,0,E123*0.03)</f>
        <v>0</v>
      </c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customFormat="false" ht="16.4" hidden="false" customHeight="false" outlineLevel="0" collapsed="false">
      <c r="A124" s="123" t="n">
        <v>45444</v>
      </c>
      <c r="B124" s="31" t="s">
        <v>153</v>
      </c>
      <c r="C124" s="129"/>
      <c r="D124" s="129"/>
      <c r="E124" s="19" t="n">
        <f aca="false">F124*0.03</f>
        <v>0</v>
      </c>
      <c r="F124" s="33" t="n">
        <v>0</v>
      </c>
      <c r="G124" s="131"/>
      <c r="H124" s="34" t="n">
        <v>0</v>
      </c>
      <c r="I124" s="34" t="n">
        <f aca="false">+IF(E124=0,0,E124*0.03)</f>
        <v>0</v>
      </c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customFormat="false" ht="16.4" hidden="false" customHeight="false" outlineLevel="0" collapsed="false">
      <c r="A125" s="123" t="n">
        <v>45444</v>
      </c>
      <c r="B125" s="31" t="s">
        <v>247</v>
      </c>
      <c r="C125" s="129"/>
      <c r="D125" s="129"/>
      <c r="E125" s="19" t="n">
        <f aca="false">F125*0.03</f>
        <v>0</v>
      </c>
      <c r="F125" s="33" t="n">
        <v>0</v>
      </c>
      <c r="G125" s="131"/>
      <c r="H125" s="34" t="n">
        <v>0</v>
      </c>
      <c r="I125" s="34" t="n">
        <f aca="false">+IF(E125=0,0,E125*0.03)</f>
        <v>0</v>
      </c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customFormat="false" ht="16.4" hidden="false" customHeight="false" outlineLevel="0" collapsed="false">
      <c r="A126" s="123" t="n">
        <v>45444</v>
      </c>
      <c r="B126" s="31" t="s">
        <v>246</v>
      </c>
      <c r="C126" s="129"/>
      <c r="D126" s="129"/>
      <c r="E126" s="19" t="n">
        <f aca="false">F126*0.03</f>
        <v>0</v>
      </c>
      <c r="F126" s="33" t="n">
        <v>0</v>
      </c>
      <c r="G126" s="131"/>
      <c r="H126" s="34" t="n">
        <v>0</v>
      </c>
      <c r="I126" s="34" t="n">
        <f aca="false">+IF(E126=0,0,E126*0.03)</f>
        <v>0</v>
      </c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customFormat="false" ht="16.4" hidden="false" customHeight="false" outlineLevel="0" collapsed="false">
      <c r="A127" s="123" t="n">
        <v>45444</v>
      </c>
      <c r="B127" s="31" t="s">
        <v>239</v>
      </c>
      <c r="C127" s="129"/>
      <c r="D127" s="129"/>
      <c r="E127" s="19" t="n">
        <f aca="false">F127*0.03</f>
        <v>0</v>
      </c>
      <c r="F127" s="33" t="n">
        <v>0</v>
      </c>
      <c r="G127" s="131"/>
      <c r="H127" s="34" t="n">
        <v>0</v>
      </c>
      <c r="I127" s="34" t="n">
        <f aca="false">+IF(E127=0,0,E127*0.03)</f>
        <v>0</v>
      </c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customFormat="false" ht="16.4" hidden="false" customHeight="false" outlineLevel="0" collapsed="false">
      <c r="A128" s="123" t="n">
        <v>45444</v>
      </c>
      <c r="B128" s="31" t="s">
        <v>7</v>
      </c>
      <c r="C128" s="129"/>
      <c r="D128" s="129"/>
      <c r="E128" s="19" t="n">
        <f aca="false">F128*0.03</f>
        <v>0</v>
      </c>
      <c r="F128" s="33" t="n">
        <v>0</v>
      </c>
      <c r="G128" s="131"/>
      <c r="H128" s="34" t="n">
        <v>0</v>
      </c>
      <c r="I128" s="34" t="n">
        <f aca="false">+IF(E128=0,0,E128*0.03)</f>
        <v>0</v>
      </c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customFormat="false" ht="16.4" hidden="false" customHeight="false" outlineLevel="0" collapsed="false">
      <c r="A129" s="123" t="n">
        <v>45444</v>
      </c>
      <c r="B129" s="31" t="s">
        <v>240</v>
      </c>
      <c r="C129" s="129"/>
      <c r="D129" s="129"/>
      <c r="E129" s="19" t="n">
        <f aca="false">F129*0.03</f>
        <v>0</v>
      </c>
      <c r="F129" s="33" t="n">
        <v>0</v>
      </c>
      <c r="G129" s="131"/>
      <c r="H129" s="34" t="n">
        <v>0</v>
      </c>
      <c r="I129" s="34" t="n">
        <f aca="false">+IF(E129=0,0,E129*0.03)</f>
        <v>0</v>
      </c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customFormat="false" ht="16.4" hidden="false" customHeight="false" outlineLevel="0" collapsed="false">
      <c r="A130" s="123" t="n">
        <v>45444</v>
      </c>
      <c r="B130" s="31" t="s">
        <v>153</v>
      </c>
      <c r="C130" s="129"/>
      <c r="D130" s="129"/>
      <c r="E130" s="19" t="n">
        <f aca="false">F130*0.03</f>
        <v>0</v>
      </c>
      <c r="F130" s="33" t="n">
        <v>0</v>
      </c>
      <c r="G130" s="131"/>
      <c r="H130" s="34" t="n">
        <v>0</v>
      </c>
      <c r="I130" s="34" t="n">
        <f aca="false">+IF(E130=0,0,E130*0.03)</f>
        <v>0</v>
      </c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customFormat="false" ht="16.4" hidden="false" customHeight="false" outlineLevel="0" collapsed="false">
      <c r="A131" s="123" t="n">
        <v>45444</v>
      </c>
      <c r="B131" s="31" t="s">
        <v>247</v>
      </c>
      <c r="C131" s="129"/>
      <c r="D131" s="129"/>
      <c r="E131" s="19" t="n">
        <f aca="false">F131*0.03</f>
        <v>0</v>
      </c>
      <c r="F131" s="33" t="n">
        <v>0</v>
      </c>
      <c r="G131" s="131"/>
      <c r="H131" s="34" t="n">
        <v>0</v>
      </c>
      <c r="I131" s="34" t="n">
        <f aca="false">+IF(E131=0,0,E131*0.03)</f>
        <v>0</v>
      </c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customFormat="false" ht="16.4" hidden="false" customHeight="false" outlineLevel="0" collapsed="false">
      <c r="A132" s="123" t="n">
        <v>45444</v>
      </c>
      <c r="B132" s="31" t="s">
        <v>246</v>
      </c>
      <c r="C132" s="129"/>
      <c r="D132" s="129"/>
      <c r="E132" s="19" t="n">
        <f aca="false">F132*0.03</f>
        <v>0</v>
      </c>
      <c r="F132" s="33" t="n">
        <v>0</v>
      </c>
      <c r="G132" s="131"/>
      <c r="H132" s="34" t="n">
        <v>0</v>
      </c>
      <c r="I132" s="34" t="n">
        <f aca="false">+IF(E132=0,0,E132*0.03)</f>
        <v>0</v>
      </c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customFormat="false" ht="16.4" hidden="false" customHeight="false" outlineLevel="0" collapsed="false">
      <c r="A133" s="123" t="n">
        <v>45444</v>
      </c>
      <c r="B133" s="31" t="s">
        <v>239</v>
      </c>
      <c r="C133" s="129"/>
      <c r="D133" s="129"/>
      <c r="E133" s="19" t="n">
        <f aca="false">F133*0.03</f>
        <v>0</v>
      </c>
      <c r="F133" s="33" t="n">
        <v>0</v>
      </c>
      <c r="G133" s="131"/>
      <c r="H133" s="34" t="n">
        <v>0</v>
      </c>
      <c r="I133" s="34" t="n">
        <f aca="false">+IF(E133=0,0,E133*0.03)</f>
        <v>0</v>
      </c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customFormat="false" ht="16.4" hidden="false" customHeight="false" outlineLevel="0" collapsed="false">
      <c r="A134" s="123" t="n">
        <v>45444</v>
      </c>
      <c r="B134" s="31" t="s">
        <v>7</v>
      </c>
      <c r="C134" s="129"/>
      <c r="D134" s="129"/>
      <c r="E134" s="19" t="n">
        <f aca="false">F134*0.03</f>
        <v>0</v>
      </c>
      <c r="F134" s="33" t="n">
        <v>0</v>
      </c>
      <c r="G134" s="131"/>
      <c r="H134" s="34" t="n">
        <v>0</v>
      </c>
      <c r="I134" s="34" t="n">
        <f aca="false">+IF(E134=0,0,E134*0.03)</f>
        <v>0</v>
      </c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customFormat="false" ht="16.4" hidden="false" customHeight="false" outlineLevel="0" collapsed="false">
      <c r="A135" s="123" t="n">
        <v>45444</v>
      </c>
      <c r="B135" s="31" t="s">
        <v>240</v>
      </c>
      <c r="C135" s="129"/>
      <c r="D135" s="129"/>
      <c r="E135" s="19" t="n">
        <f aca="false">F135*0.03</f>
        <v>0</v>
      </c>
      <c r="F135" s="33" t="n">
        <v>0</v>
      </c>
      <c r="G135" s="131"/>
      <c r="H135" s="34" t="n">
        <v>0</v>
      </c>
      <c r="I135" s="34" t="n">
        <f aca="false">+IF(E135=0,0,E135*0.03)</f>
        <v>0</v>
      </c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customFormat="false" ht="16.4" hidden="false" customHeight="false" outlineLevel="0" collapsed="false">
      <c r="A136" s="123" t="n">
        <v>45444</v>
      </c>
      <c r="B136" s="31" t="s">
        <v>153</v>
      </c>
      <c r="C136" s="129"/>
      <c r="D136" s="129"/>
      <c r="E136" s="19" t="n">
        <f aca="false">F136*0.03</f>
        <v>0</v>
      </c>
      <c r="F136" s="33" t="n">
        <v>0</v>
      </c>
      <c r="G136" s="131"/>
      <c r="H136" s="35" t="n">
        <v>0</v>
      </c>
      <c r="I136" s="34" t="n">
        <f aca="false">+IF(E136=0,0,E136*0.03)</f>
        <v>0</v>
      </c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customFormat="false" ht="16.4" hidden="false" customHeight="false" outlineLevel="0" collapsed="false">
      <c r="A137" s="123" t="n">
        <v>45444</v>
      </c>
      <c r="B137" s="31" t="s">
        <v>247</v>
      </c>
      <c r="C137" s="129"/>
      <c r="D137" s="129"/>
      <c r="E137" s="19" t="n">
        <f aca="false">F137*0.03</f>
        <v>0</v>
      </c>
      <c r="F137" s="33" t="n">
        <v>0</v>
      </c>
      <c r="G137" s="131"/>
      <c r="H137" s="35" t="n">
        <v>0</v>
      </c>
      <c r="I137" s="34" t="n">
        <f aca="false">+IF(E137=0,0,E137*0.03)</f>
        <v>0</v>
      </c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customFormat="false" ht="16.4" hidden="false" customHeight="false" outlineLevel="0" collapsed="false">
      <c r="A138" s="123" t="n">
        <v>45444</v>
      </c>
      <c r="B138" s="31" t="s">
        <v>246</v>
      </c>
      <c r="C138" s="129"/>
      <c r="D138" s="129"/>
      <c r="E138" s="19" t="n">
        <f aca="false">F138*0.03</f>
        <v>0</v>
      </c>
      <c r="F138" s="33" t="n">
        <v>0</v>
      </c>
      <c r="G138" s="131"/>
      <c r="H138" s="35" t="n">
        <v>0</v>
      </c>
      <c r="I138" s="34" t="n">
        <f aca="false">+IF(E138=0,0,E138*0.03)</f>
        <v>0</v>
      </c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customFormat="false" ht="16.4" hidden="false" customHeight="false" outlineLevel="0" collapsed="false">
      <c r="A139" s="123" t="n">
        <v>45444</v>
      </c>
      <c r="B139" s="31" t="s">
        <v>239</v>
      </c>
      <c r="C139" s="129"/>
      <c r="D139" s="129"/>
      <c r="E139" s="19" t="n">
        <f aca="false">F139*0.03</f>
        <v>0</v>
      </c>
      <c r="F139" s="33" t="n">
        <v>0</v>
      </c>
      <c r="G139" s="131"/>
      <c r="H139" s="35" t="n">
        <v>0</v>
      </c>
      <c r="I139" s="34" t="n">
        <f aca="false">+IF(E139=0,0,E139*0.03)</f>
        <v>0</v>
      </c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customFormat="false" ht="16.4" hidden="false" customHeight="false" outlineLevel="0" collapsed="false">
      <c r="A140" s="123" t="n">
        <v>45444</v>
      </c>
      <c r="B140" s="31" t="s">
        <v>7</v>
      </c>
      <c r="C140" s="129"/>
      <c r="D140" s="129"/>
      <c r="E140" s="19" t="n">
        <f aca="false">F140*0.03</f>
        <v>0</v>
      </c>
      <c r="F140" s="33" t="n">
        <v>0</v>
      </c>
      <c r="G140" s="131"/>
      <c r="H140" s="35" t="n">
        <v>0</v>
      </c>
      <c r="I140" s="34" t="n">
        <f aca="false">+IF(E140=0,0,E140*0.03)</f>
        <v>0</v>
      </c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customFormat="false" ht="16.4" hidden="false" customHeight="false" outlineLevel="0" collapsed="false">
      <c r="A141" s="123" t="n">
        <v>45444</v>
      </c>
      <c r="B141" s="31" t="s">
        <v>240</v>
      </c>
      <c r="C141" s="129"/>
      <c r="D141" s="129"/>
      <c r="E141" s="19" t="n">
        <f aca="false">F141*0.03</f>
        <v>0</v>
      </c>
      <c r="F141" s="33" t="n">
        <v>0</v>
      </c>
      <c r="G141" s="131"/>
      <c r="H141" s="35" t="n">
        <v>0</v>
      </c>
      <c r="I141" s="34" t="n">
        <f aca="false">+IF(E141=0,0,E141*0.03)</f>
        <v>0</v>
      </c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customFormat="false" ht="16.4" hidden="false" customHeight="false" outlineLevel="0" collapsed="false">
      <c r="A142" s="123" t="n">
        <v>45444</v>
      </c>
      <c r="B142" s="31" t="s">
        <v>153</v>
      </c>
      <c r="C142" s="129"/>
      <c r="D142" s="129"/>
      <c r="E142" s="19" t="n">
        <f aca="false">F142*0.03</f>
        <v>0</v>
      </c>
      <c r="F142" s="33" t="n">
        <v>0</v>
      </c>
      <c r="G142" s="131"/>
      <c r="H142" s="35" t="n">
        <v>0</v>
      </c>
      <c r="I142" s="34" t="n">
        <f aca="false">+IF(E142=0,0,E142*0.03)</f>
        <v>0</v>
      </c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customFormat="false" ht="16.4" hidden="false" customHeight="false" outlineLevel="0" collapsed="false">
      <c r="A143" s="123" t="n">
        <v>45444</v>
      </c>
      <c r="B143" s="31" t="s">
        <v>247</v>
      </c>
      <c r="C143" s="129"/>
      <c r="D143" s="129"/>
      <c r="E143" s="19" t="n">
        <f aca="false">F143*0.03</f>
        <v>0</v>
      </c>
      <c r="F143" s="33" t="n">
        <v>0</v>
      </c>
      <c r="G143" s="131"/>
      <c r="H143" s="35" t="n">
        <v>0</v>
      </c>
      <c r="I143" s="34" t="n">
        <f aca="false">+IF(E143=0,0,E143*0.03)</f>
        <v>0</v>
      </c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customFormat="false" ht="16.4" hidden="false" customHeight="false" outlineLevel="0" collapsed="false">
      <c r="A144" s="123" t="n">
        <v>45444</v>
      </c>
      <c r="B144" s="31" t="s">
        <v>246</v>
      </c>
      <c r="C144" s="129"/>
      <c r="D144" s="129"/>
      <c r="E144" s="19" t="n">
        <f aca="false">F144*0.03</f>
        <v>0</v>
      </c>
      <c r="F144" s="33" t="n">
        <v>0</v>
      </c>
      <c r="G144" s="131"/>
      <c r="H144" s="35" t="n">
        <v>0</v>
      </c>
      <c r="I144" s="34" t="n">
        <f aca="false">+IF(E144=0,0,E144*0.03)</f>
        <v>0</v>
      </c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customFormat="false" ht="16.4" hidden="false" customHeight="false" outlineLevel="0" collapsed="false">
      <c r="A145" s="123" t="n">
        <v>45444</v>
      </c>
      <c r="B145" s="31" t="s">
        <v>239</v>
      </c>
      <c r="C145" s="129"/>
      <c r="D145" s="129"/>
      <c r="E145" s="19" t="n">
        <f aca="false">F145*0.03</f>
        <v>0</v>
      </c>
      <c r="F145" s="33" t="n">
        <v>0</v>
      </c>
      <c r="G145" s="131"/>
      <c r="H145" s="35" t="n">
        <v>0</v>
      </c>
      <c r="I145" s="34" t="n">
        <f aca="false">+IF(E145=0,0,E145*0.03)</f>
        <v>0</v>
      </c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customFormat="false" ht="16.4" hidden="false" customHeight="false" outlineLevel="0" collapsed="false">
      <c r="A146" s="123" t="n">
        <v>45444</v>
      </c>
      <c r="B146" s="31" t="s">
        <v>7</v>
      </c>
      <c r="C146" s="129"/>
      <c r="D146" s="129"/>
      <c r="E146" s="19" t="n">
        <f aca="false">F146*0.03</f>
        <v>0</v>
      </c>
      <c r="F146" s="33" t="n">
        <v>0</v>
      </c>
      <c r="G146" s="131"/>
      <c r="H146" s="35" t="n">
        <v>0</v>
      </c>
      <c r="I146" s="34" t="n">
        <f aca="false">+IF(E146=0,0,E146*0.03)</f>
        <v>0</v>
      </c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customFormat="false" ht="16.4" hidden="false" customHeight="false" outlineLevel="0" collapsed="false">
      <c r="A147" s="123" t="n">
        <v>45444</v>
      </c>
      <c r="B147" s="31" t="s">
        <v>240</v>
      </c>
      <c r="C147" s="129"/>
      <c r="D147" s="129"/>
      <c r="E147" s="19" t="n">
        <f aca="false">F147*0.03</f>
        <v>0</v>
      </c>
      <c r="F147" s="33" t="n">
        <v>0</v>
      </c>
      <c r="G147" s="131"/>
      <c r="H147" s="35" t="n">
        <v>0</v>
      </c>
      <c r="I147" s="34" t="n">
        <f aca="false">+IF(E147=0,0,E147*0.03)</f>
        <v>0</v>
      </c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customFormat="false" ht="16.4" hidden="false" customHeight="false" outlineLevel="0" collapsed="false">
      <c r="A148" s="123" t="n">
        <v>45444</v>
      </c>
      <c r="B148" s="31" t="s">
        <v>153</v>
      </c>
      <c r="C148" s="129"/>
      <c r="D148" s="129"/>
      <c r="E148" s="19" t="n">
        <f aca="false">F148*0.03</f>
        <v>0</v>
      </c>
      <c r="F148" s="33" t="n">
        <v>0</v>
      </c>
      <c r="G148" s="131"/>
      <c r="H148" s="35" t="n">
        <v>0</v>
      </c>
      <c r="I148" s="34" t="n">
        <f aca="false">+IF(E148=0,0,E148*0.03)</f>
        <v>0</v>
      </c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customFormat="false" ht="16.4" hidden="false" customHeight="false" outlineLevel="0" collapsed="false">
      <c r="A149" s="123" t="n">
        <v>45444</v>
      </c>
      <c r="B149" s="31" t="s">
        <v>247</v>
      </c>
      <c r="C149" s="129"/>
      <c r="D149" s="129"/>
      <c r="E149" s="19" t="n">
        <f aca="false">F149*0.03</f>
        <v>0</v>
      </c>
      <c r="F149" s="33" t="n">
        <v>0</v>
      </c>
      <c r="G149" s="131"/>
      <c r="H149" s="35" t="n">
        <v>0</v>
      </c>
      <c r="I149" s="34" t="n">
        <f aca="false">+IF(E149=0,0,E149*0.03)</f>
        <v>0</v>
      </c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customFormat="false" ht="16.4" hidden="false" customHeight="false" outlineLevel="0" collapsed="false">
      <c r="A150" s="123" t="n">
        <v>45444</v>
      </c>
      <c r="B150" s="31" t="s">
        <v>246</v>
      </c>
      <c r="C150" s="129"/>
      <c r="D150" s="129"/>
      <c r="E150" s="19" t="n">
        <f aca="false">F150*0.03</f>
        <v>0</v>
      </c>
      <c r="F150" s="33" t="n">
        <v>0</v>
      </c>
      <c r="G150" s="131"/>
      <c r="H150" s="35" t="n">
        <v>0</v>
      </c>
      <c r="I150" s="34" t="n">
        <f aca="false">+IF(E150=0,0,E150*0.03)</f>
        <v>0</v>
      </c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customFormat="false" ht="16.4" hidden="false" customHeight="false" outlineLevel="0" collapsed="false">
      <c r="A151" s="123" t="n">
        <v>45444</v>
      </c>
      <c r="B151" s="31" t="s">
        <v>239</v>
      </c>
      <c r="C151" s="129"/>
      <c r="D151" s="129"/>
      <c r="E151" s="19" t="n">
        <f aca="false">F151*0.03</f>
        <v>0</v>
      </c>
      <c r="F151" s="33" t="n">
        <v>0</v>
      </c>
      <c r="G151" s="131"/>
      <c r="H151" s="35" t="n">
        <v>0</v>
      </c>
      <c r="I151" s="34" t="n">
        <f aca="false">+IF(E151=0,0,E151*0.03)</f>
        <v>0</v>
      </c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customFormat="false" ht="16.4" hidden="false" customHeight="false" outlineLevel="0" collapsed="false">
      <c r="A152" s="123" t="n">
        <v>45444</v>
      </c>
      <c r="B152" s="31" t="s">
        <v>7</v>
      </c>
      <c r="C152" s="129"/>
      <c r="D152" s="129"/>
      <c r="E152" s="19" t="n">
        <f aca="false">F152*0.03</f>
        <v>0</v>
      </c>
      <c r="F152" s="33" t="n">
        <v>0</v>
      </c>
      <c r="G152" s="131"/>
      <c r="H152" s="35" t="n">
        <v>0</v>
      </c>
      <c r="I152" s="34" t="n">
        <f aca="false">+IF(E152=0,0,E152*0.03)</f>
        <v>0</v>
      </c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customFormat="false" ht="16.4" hidden="false" customHeight="false" outlineLevel="0" collapsed="false">
      <c r="A153" s="123" t="n">
        <v>45444</v>
      </c>
      <c r="B153" s="31" t="s">
        <v>240</v>
      </c>
      <c r="C153" s="129"/>
      <c r="D153" s="129"/>
      <c r="E153" s="19" t="n">
        <f aca="false">F153*0.03</f>
        <v>0</v>
      </c>
      <c r="F153" s="33" t="n">
        <v>0</v>
      </c>
      <c r="G153" s="131"/>
      <c r="H153" s="35" t="n">
        <v>0</v>
      </c>
      <c r="I153" s="34" t="n">
        <f aca="false">+IF(E153=0,0,E153*0.03)</f>
        <v>0</v>
      </c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customFormat="false" ht="16.4" hidden="false" customHeight="false" outlineLevel="0" collapsed="false">
      <c r="A154" s="123" t="n">
        <v>45444</v>
      </c>
      <c r="B154" s="31" t="s">
        <v>153</v>
      </c>
      <c r="C154" s="129"/>
      <c r="D154" s="129"/>
      <c r="E154" s="19" t="n">
        <f aca="false">F154*0.03</f>
        <v>0</v>
      </c>
      <c r="F154" s="33" t="n">
        <v>0</v>
      </c>
      <c r="G154" s="131"/>
      <c r="H154" s="35" t="n">
        <v>0</v>
      </c>
      <c r="I154" s="34" t="n">
        <f aca="false">+IF(E154=0,0,E154*0.03)</f>
        <v>0</v>
      </c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customFormat="false" ht="16.4" hidden="false" customHeight="false" outlineLevel="0" collapsed="false">
      <c r="A155" s="123" t="n">
        <v>45444</v>
      </c>
      <c r="B155" s="31" t="s">
        <v>247</v>
      </c>
      <c r="C155" s="129"/>
      <c r="D155" s="129"/>
      <c r="E155" s="19" t="n">
        <f aca="false">F155*0.03</f>
        <v>0</v>
      </c>
      <c r="F155" s="33" t="n">
        <v>0</v>
      </c>
      <c r="G155" s="131"/>
      <c r="H155" s="35" t="n">
        <v>0</v>
      </c>
      <c r="I155" s="34" t="n">
        <f aca="false">+IF(E155=0,0,E155*0.03)</f>
        <v>0</v>
      </c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customFormat="false" ht="16.4" hidden="false" customHeight="false" outlineLevel="0" collapsed="false">
      <c r="A156" s="123" t="n">
        <v>45444</v>
      </c>
      <c r="B156" s="31" t="s">
        <v>246</v>
      </c>
      <c r="C156" s="129"/>
      <c r="D156" s="129"/>
      <c r="E156" s="19" t="n">
        <f aca="false">F156*0.03</f>
        <v>0</v>
      </c>
      <c r="F156" s="33" t="n">
        <v>0</v>
      </c>
      <c r="G156" s="131"/>
      <c r="H156" s="35" t="n">
        <v>0</v>
      </c>
      <c r="I156" s="34" t="n">
        <f aca="false">+IF(E156=0,0,E156*0.03)</f>
        <v>0</v>
      </c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customFormat="false" ht="16.4" hidden="false" customHeight="false" outlineLevel="0" collapsed="false">
      <c r="A157" s="123" t="n">
        <v>45444</v>
      </c>
      <c r="B157" s="31" t="s">
        <v>239</v>
      </c>
      <c r="C157" s="129"/>
      <c r="D157" s="129"/>
      <c r="E157" s="19" t="n">
        <f aca="false">F157*0.03</f>
        <v>0</v>
      </c>
      <c r="F157" s="33" t="n">
        <v>0</v>
      </c>
      <c r="G157" s="131"/>
      <c r="H157" s="35" t="n">
        <v>0</v>
      </c>
      <c r="I157" s="34" t="n">
        <f aca="false">+IF(E157=0,0,E157*0.03)</f>
        <v>0</v>
      </c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customFormat="false" ht="16.4" hidden="false" customHeight="false" outlineLevel="0" collapsed="false">
      <c r="A158" s="123" t="n">
        <v>45444</v>
      </c>
      <c r="B158" s="31" t="s">
        <v>7</v>
      </c>
      <c r="C158" s="129"/>
      <c r="D158" s="129"/>
      <c r="E158" s="19" t="n">
        <f aca="false">F158*0.03</f>
        <v>0</v>
      </c>
      <c r="F158" s="33" t="n">
        <v>0</v>
      </c>
      <c r="G158" s="131"/>
      <c r="H158" s="35" t="n">
        <v>0</v>
      </c>
      <c r="I158" s="34" t="n">
        <f aca="false">+IF(E158=0,0,E158*0.03)</f>
        <v>0</v>
      </c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customFormat="false" ht="16.4" hidden="false" customHeight="false" outlineLevel="0" collapsed="false">
      <c r="A159" s="123" t="n">
        <v>45444</v>
      </c>
      <c r="B159" s="31" t="s">
        <v>240</v>
      </c>
      <c r="C159" s="129"/>
      <c r="D159" s="129"/>
      <c r="E159" s="19" t="n">
        <f aca="false">F159*0.03</f>
        <v>0</v>
      </c>
      <c r="F159" s="33" t="n">
        <v>0</v>
      </c>
      <c r="G159" s="131"/>
      <c r="H159" s="35" t="n">
        <v>0</v>
      </c>
      <c r="I159" s="34" t="n">
        <f aca="false">+IF(E159=0,0,E159*0.03)</f>
        <v>0</v>
      </c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customFormat="false" ht="16.4" hidden="false" customHeight="false" outlineLevel="0" collapsed="false">
      <c r="A160" s="123" t="n">
        <v>45444</v>
      </c>
      <c r="B160" s="31" t="s">
        <v>153</v>
      </c>
      <c r="C160" s="129"/>
      <c r="D160" s="129"/>
      <c r="E160" s="19" t="n">
        <f aca="false">F160*0.03</f>
        <v>0</v>
      </c>
      <c r="F160" s="33" t="n">
        <v>0</v>
      </c>
      <c r="G160" s="131"/>
      <c r="H160" s="35" t="n">
        <v>0</v>
      </c>
      <c r="I160" s="34" t="n">
        <f aca="false">+IF(E160=0,0,E160*0.03)</f>
        <v>0</v>
      </c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customFormat="false" ht="16.4" hidden="false" customHeight="false" outlineLevel="0" collapsed="false">
      <c r="A161" s="123" t="n">
        <v>45444</v>
      </c>
      <c r="B161" s="31" t="s">
        <v>247</v>
      </c>
      <c r="C161" s="129"/>
      <c r="D161" s="129"/>
      <c r="E161" s="19" t="n">
        <f aca="false">F161*0.03</f>
        <v>0</v>
      </c>
      <c r="F161" s="33" t="n">
        <v>0</v>
      </c>
      <c r="G161" s="131"/>
      <c r="H161" s="35" t="n">
        <v>0</v>
      </c>
      <c r="I161" s="34" t="n">
        <f aca="false">+IF(E161=0,0,E161*0.03)</f>
        <v>0</v>
      </c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customFormat="false" ht="16.4" hidden="false" customHeight="false" outlineLevel="0" collapsed="false">
      <c r="A162" s="123" t="n">
        <v>45444</v>
      </c>
      <c r="B162" s="31" t="s">
        <v>246</v>
      </c>
      <c r="C162" s="129"/>
      <c r="D162" s="129"/>
      <c r="E162" s="19" t="n">
        <f aca="false">F162*0.03</f>
        <v>0</v>
      </c>
      <c r="F162" s="33" t="n">
        <v>0</v>
      </c>
      <c r="G162" s="131"/>
      <c r="H162" s="35" t="n">
        <v>0</v>
      </c>
      <c r="I162" s="34" t="n">
        <f aca="false">+IF(E162=0,0,E162*0.03)</f>
        <v>0</v>
      </c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customFormat="false" ht="16.4" hidden="false" customHeight="false" outlineLevel="0" collapsed="false">
      <c r="A163" s="123" t="n">
        <v>45444</v>
      </c>
      <c r="B163" s="31" t="s">
        <v>239</v>
      </c>
      <c r="C163" s="129"/>
      <c r="D163" s="129"/>
      <c r="E163" s="19" t="n">
        <f aca="false">F163*0.03</f>
        <v>0</v>
      </c>
      <c r="F163" s="33" t="n">
        <v>0</v>
      </c>
      <c r="G163" s="131"/>
      <c r="H163" s="35" t="n">
        <v>0</v>
      </c>
      <c r="I163" s="34" t="n">
        <f aca="false">+IF(E163=0,0,E163*0.03)</f>
        <v>0</v>
      </c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customFormat="false" ht="16.4" hidden="false" customHeight="false" outlineLevel="0" collapsed="false">
      <c r="A164" s="123" t="n">
        <v>45444</v>
      </c>
      <c r="B164" s="31" t="s">
        <v>7</v>
      </c>
      <c r="C164" s="129"/>
      <c r="D164" s="129"/>
      <c r="E164" s="19" t="n">
        <f aca="false">F164*0.03</f>
        <v>0</v>
      </c>
      <c r="F164" s="33" t="n">
        <v>0</v>
      </c>
      <c r="G164" s="131"/>
      <c r="H164" s="35" t="n">
        <v>0</v>
      </c>
      <c r="I164" s="34" t="n">
        <f aca="false">+IF(E164=0,0,E164*0.03)</f>
        <v>0</v>
      </c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customFormat="false" ht="16.4" hidden="false" customHeight="false" outlineLevel="0" collapsed="false">
      <c r="A165" s="123" t="n">
        <v>45444</v>
      </c>
      <c r="B165" s="31" t="s">
        <v>240</v>
      </c>
      <c r="C165" s="129"/>
      <c r="D165" s="129"/>
      <c r="E165" s="19" t="n">
        <f aca="false">F165*0.03</f>
        <v>0</v>
      </c>
      <c r="F165" s="33" t="n">
        <v>0</v>
      </c>
      <c r="G165" s="131"/>
      <c r="H165" s="35" t="n">
        <v>0</v>
      </c>
      <c r="I165" s="34" t="n">
        <f aca="false">+IF(E165=0,0,E165*0.03)</f>
        <v>0</v>
      </c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customFormat="false" ht="16.4" hidden="false" customHeight="false" outlineLevel="0" collapsed="false">
      <c r="A166" s="123" t="n">
        <v>45444</v>
      </c>
      <c r="B166" s="31" t="s">
        <v>153</v>
      </c>
      <c r="C166" s="129"/>
      <c r="D166" s="129"/>
      <c r="E166" s="19" t="n">
        <f aca="false">F166*0.03</f>
        <v>0</v>
      </c>
      <c r="F166" s="33" t="n">
        <v>0</v>
      </c>
      <c r="G166" s="131"/>
      <c r="H166" s="35" t="n">
        <v>0</v>
      </c>
      <c r="I166" s="34" t="n">
        <f aca="false">+IF(E166=0,0,E166*0.03)</f>
        <v>0</v>
      </c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customFormat="false" ht="16.4" hidden="false" customHeight="false" outlineLevel="0" collapsed="false">
      <c r="A167" s="123" t="n">
        <v>45444</v>
      </c>
      <c r="B167" s="31" t="s">
        <v>247</v>
      </c>
      <c r="C167" s="129"/>
      <c r="D167" s="129"/>
      <c r="E167" s="19" t="n">
        <f aca="false">F167*0.03</f>
        <v>0</v>
      </c>
      <c r="F167" s="33" t="n">
        <v>0</v>
      </c>
      <c r="G167" s="131"/>
      <c r="H167" s="35" t="n">
        <v>0</v>
      </c>
      <c r="I167" s="34" t="n">
        <f aca="false">+IF(E167=0,0,E167*0.03)</f>
        <v>0</v>
      </c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customFormat="false" ht="16.4" hidden="false" customHeight="false" outlineLevel="0" collapsed="false">
      <c r="A168" s="123" t="n">
        <v>45444</v>
      </c>
      <c r="B168" s="31" t="s">
        <v>246</v>
      </c>
      <c r="C168" s="129"/>
      <c r="D168" s="129"/>
      <c r="E168" s="19" t="n">
        <f aca="false">F168*0.03</f>
        <v>0</v>
      </c>
      <c r="F168" s="33" t="n">
        <v>0</v>
      </c>
      <c r="G168" s="131"/>
      <c r="H168" s="35" t="n">
        <v>0</v>
      </c>
      <c r="I168" s="34" t="n">
        <f aca="false">+IF(E168=0,0,E168*0.03)</f>
        <v>0</v>
      </c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customFormat="false" ht="16.4" hidden="false" customHeight="false" outlineLevel="0" collapsed="false">
      <c r="A169" s="123" t="n">
        <v>45444</v>
      </c>
      <c r="B169" s="31" t="s">
        <v>239</v>
      </c>
      <c r="C169" s="129"/>
      <c r="D169" s="129"/>
      <c r="E169" s="19" t="n">
        <f aca="false">F169*0.03</f>
        <v>0</v>
      </c>
      <c r="F169" s="33" t="n">
        <v>0</v>
      </c>
      <c r="G169" s="131"/>
      <c r="H169" s="35" t="n">
        <v>0</v>
      </c>
      <c r="I169" s="34" t="n">
        <f aca="false">+IF(E169=0,0,E169*0.03)</f>
        <v>0</v>
      </c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customFormat="false" ht="16.4" hidden="false" customHeight="false" outlineLevel="0" collapsed="false">
      <c r="A170" s="123" t="n">
        <v>45444</v>
      </c>
      <c r="B170" s="31" t="s">
        <v>7</v>
      </c>
      <c r="C170" s="129"/>
      <c r="D170" s="129"/>
      <c r="E170" s="19" t="n">
        <f aca="false">F170*0.03</f>
        <v>0</v>
      </c>
      <c r="F170" s="33" t="n">
        <v>0</v>
      </c>
      <c r="G170" s="131"/>
      <c r="H170" s="35" t="n">
        <v>0</v>
      </c>
      <c r="I170" s="34" t="n">
        <f aca="false">+IF(E170=0,0,E170*0.03)</f>
        <v>0</v>
      </c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customFormat="false" ht="16.4" hidden="false" customHeight="false" outlineLevel="0" collapsed="false">
      <c r="A171" s="123" t="n">
        <v>45444</v>
      </c>
      <c r="B171" s="31" t="s">
        <v>240</v>
      </c>
      <c r="C171" s="129"/>
      <c r="D171" s="129"/>
      <c r="E171" s="19" t="n">
        <f aca="false">F171*0.03</f>
        <v>0</v>
      </c>
      <c r="F171" s="33" t="n">
        <v>0</v>
      </c>
      <c r="G171" s="131"/>
      <c r="H171" s="35" t="n">
        <v>0</v>
      </c>
      <c r="I171" s="34" t="n">
        <f aca="false">+IF(E171=0,0,E171*0.03)</f>
        <v>0</v>
      </c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customFormat="false" ht="16.4" hidden="false" customHeight="false" outlineLevel="0" collapsed="false">
      <c r="A172" s="123" t="n">
        <v>45444</v>
      </c>
      <c r="B172" s="31" t="s">
        <v>153</v>
      </c>
      <c r="C172" s="129"/>
      <c r="D172" s="129"/>
      <c r="E172" s="19" t="n">
        <f aca="false">F172*0.03</f>
        <v>0</v>
      </c>
      <c r="F172" s="33" t="n">
        <v>0</v>
      </c>
      <c r="G172" s="131"/>
      <c r="H172" s="35" t="n">
        <v>0</v>
      </c>
      <c r="I172" s="34" t="n">
        <f aca="false">+IF(E172=0,0,E172*0.03)</f>
        <v>0</v>
      </c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customFormat="false" ht="16.4" hidden="false" customHeight="false" outlineLevel="0" collapsed="false">
      <c r="A173" s="123" t="n">
        <v>45444</v>
      </c>
      <c r="B173" s="31" t="s">
        <v>247</v>
      </c>
      <c r="C173" s="129"/>
      <c r="D173" s="129"/>
      <c r="E173" s="19" t="n">
        <f aca="false">F173*0.03</f>
        <v>0</v>
      </c>
      <c r="F173" s="33" t="n">
        <v>0</v>
      </c>
      <c r="G173" s="131"/>
      <c r="H173" s="35" t="n">
        <v>0</v>
      </c>
      <c r="I173" s="34" t="n">
        <f aca="false">+IF(E173=0,0,E173*0.03)</f>
        <v>0</v>
      </c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customFormat="false" ht="16.4" hidden="false" customHeight="false" outlineLevel="0" collapsed="false">
      <c r="A174" s="123" t="n">
        <v>45444</v>
      </c>
      <c r="B174" s="31" t="s">
        <v>246</v>
      </c>
      <c r="C174" s="129"/>
      <c r="D174" s="129"/>
      <c r="E174" s="19" t="n">
        <f aca="false">F174*0.03</f>
        <v>0</v>
      </c>
      <c r="F174" s="33" t="n">
        <v>0</v>
      </c>
      <c r="G174" s="131"/>
      <c r="H174" s="35" t="n">
        <v>0</v>
      </c>
      <c r="I174" s="34" t="n">
        <f aca="false">+IF(E174=0,0,E174*0.03)</f>
        <v>0</v>
      </c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customFormat="false" ht="16.4" hidden="false" customHeight="false" outlineLevel="0" collapsed="false">
      <c r="A175" s="123" t="n">
        <v>45444</v>
      </c>
      <c r="B175" s="31" t="s">
        <v>239</v>
      </c>
      <c r="C175" s="129"/>
      <c r="D175" s="129"/>
      <c r="E175" s="19" t="n">
        <f aca="false">F175*0.03</f>
        <v>0</v>
      </c>
      <c r="F175" s="33" t="n">
        <v>0</v>
      </c>
      <c r="G175" s="131"/>
      <c r="H175" s="35" t="n">
        <v>0</v>
      </c>
      <c r="I175" s="34" t="n">
        <f aca="false">+IF(E175=0,0,E175*0.03)</f>
        <v>0</v>
      </c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customFormat="false" ht="16.4" hidden="false" customHeight="false" outlineLevel="0" collapsed="false">
      <c r="A176" s="123" t="n">
        <v>45444</v>
      </c>
      <c r="B176" s="31" t="s">
        <v>7</v>
      </c>
      <c r="C176" s="129"/>
      <c r="D176" s="129"/>
      <c r="E176" s="19" t="n">
        <f aca="false">F176*0.03</f>
        <v>0</v>
      </c>
      <c r="F176" s="33" t="n">
        <v>0</v>
      </c>
      <c r="G176" s="131"/>
      <c r="H176" s="35" t="n">
        <v>0</v>
      </c>
      <c r="I176" s="34" t="n">
        <f aca="false">+IF(E176=0,0,E176*0.03)</f>
        <v>0</v>
      </c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customFormat="false" ht="16.4" hidden="false" customHeight="false" outlineLevel="0" collapsed="false">
      <c r="A177" s="123" t="n">
        <v>45444</v>
      </c>
      <c r="B177" s="31" t="s">
        <v>240</v>
      </c>
      <c r="C177" s="129"/>
      <c r="D177" s="129"/>
      <c r="E177" s="19" t="n">
        <f aca="false">F177*0.03</f>
        <v>0</v>
      </c>
      <c r="F177" s="33" t="n">
        <v>0</v>
      </c>
      <c r="G177" s="131"/>
      <c r="H177" s="35" t="n">
        <v>0</v>
      </c>
      <c r="I177" s="34" t="n">
        <f aca="false">+IF(E177=0,0,E177*0.03)</f>
        <v>0</v>
      </c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customFormat="false" ht="16.4" hidden="false" customHeight="false" outlineLevel="0" collapsed="false">
      <c r="A178" s="123" t="n">
        <v>45444</v>
      </c>
      <c r="B178" s="31" t="s">
        <v>153</v>
      </c>
      <c r="C178" s="129"/>
      <c r="D178" s="129"/>
      <c r="E178" s="19" t="n">
        <f aca="false">F178*0.03</f>
        <v>0</v>
      </c>
      <c r="F178" s="33" t="n">
        <v>0</v>
      </c>
      <c r="G178" s="131"/>
      <c r="H178" s="35" t="n">
        <v>0</v>
      </c>
      <c r="I178" s="34" t="n">
        <f aca="false">+IF(E178=0,0,E178*0.03)</f>
        <v>0</v>
      </c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customFormat="false" ht="16.4" hidden="false" customHeight="false" outlineLevel="0" collapsed="false">
      <c r="A179" s="123" t="n">
        <v>45444</v>
      </c>
      <c r="B179" s="31" t="s">
        <v>247</v>
      </c>
      <c r="C179" s="129"/>
      <c r="D179" s="129"/>
      <c r="E179" s="19" t="n">
        <f aca="false">F179*0.03</f>
        <v>0</v>
      </c>
      <c r="F179" s="33" t="n">
        <v>0</v>
      </c>
      <c r="G179" s="131"/>
      <c r="H179" s="35" t="n">
        <v>0</v>
      </c>
      <c r="I179" s="34" t="n">
        <f aca="false">+IF(E179=0,0,E179*0.03)</f>
        <v>0</v>
      </c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customFormat="false" ht="16.4" hidden="false" customHeight="false" outlineLevel="0" collapsed="false">
      <c r="A180" s="123" t="n">
        <v>45444</v>
      </c>
      <c r="B180" s="31" t="s">
        <v>246</v>
      </c>
      <c r="C180" s="129"/>
      <c r="D180" s="129"/>
      <c r="E180" s="19" t="n">
        <f aca="false">F180*0.03</f>
        <v>0</v>
      </c>
      <c r="F180" s="33" t="n">
        <v>0</v>
      </c>
      <c r="G180" s="131"/>
      <c r="H180" s="35" t="n">
        <v>0</v>
      </c>
      <c r="I180" s="34" t="n">
        <f aca="false">+IF(E180=0,0,E180*0.03)</f>
        <v>0</v>
      </c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customFormat="false" ht="16.4" hidden="false" customHeight="false" outlineLevel="0" collapsed="false">
      <c r="A181" s="123" t="n">
        <v>45444</v>
      </c>
      <c r="B181" s="31" t="s">
        <v>239</v>
      </c>
      <c r="C181" s="129"/>
      <c r="D181" s="129"/>
      <c r="E181" s="19" t="n">
        <f aca="false">F181*0.03</f>
        <v>0</v>
      </c>
      <c r="F181" s="33" t="n">
        <v>0</v>
      </c>
      <c r="G181" s="131"/>
      <c r="H181" s="35" t="n">
        <v>0</v>
      </c>
      <c r="I181" s="34" t="n">
        <f aca="false">+IF(E181=0,0,E181*0.03)</f>
        <v>0</v>
      </c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customFormat="false" ht="16.4" hidden="false" customHeight="false" outlineLevel="0" collapsed="false">
      <c r="A182" s="123" t="n">
        <v>45444</v>
      </c>
      <c r="B182" s="31" t="s">
        <v>7</v>
      </c>
      <c r="C182" s="129"/>
      <c r="D182" s="129"/>
      <c r="E182" s="19" t="n">
        <f aca="false">F182*0.03</f>
        <v>0</v>
      </c>
      <c r="F182" s="33" t="n">
        <v>0</v>
      </c>
      <c r="G182" s="131"/>
      <c r="H182" s="35" t="n">
        <v>0</v>
      </c>
      <c r="I182" s="34" t="n">
        <f aca="false">+IF(E182=0,0,E182*0.03)</f>
        <v>0</v>
      </c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customFormat="false" ht="16.4" hidden="false" customHeight="false" outlineLevel="0" collapsed="false">
      <c r="A183" s="123" t="n">
        <v>45444</v>
      </c>
      <c r="B183" s="31" t="s">
        <v>240</v>
      </c>
      <c r="C183" s="129"/>
      <c r="D183" s="129"/>
      <c r="E183" s="19" t="n">
        <f aca="false">F183*0.03</f>
        <v>0</v>
      </c>
      <c r="F183" s="33" t="n">
        <v>0</v>
      </c>
      <c r="G183" s="131"/>
      <c r="H183" s="35" t="n">
        <v>0</v>
      </c>
      <c r="I183" s="34" t="n">
        <f aca="false">+IF(E183=0,0,E183*0.03)</f>
        <v>0</v>
      </c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customFormat="false" ht="16.4" hidden="false" customHeight="false" outlineLevel="0" collapsed="false">
      <c r="A184" s="123" t="n">
        <v>45444</v>
      </c>
      <c r="B184" s="31" t="s">
        <v>153</v>
      </c>
      <c r="C184" s="129"/>
      <c r="D184" s="129"/>
      <c r="E184" s="19" t="n">
        <f aca="false">F184*0.03</f>
        <v>0</v>
      </c>
      <c r="F184" s="33" t="n">
        <v>0</v>
      </c>
      <c r="G184" s="131"/>
      <c r="H184" s="35" t="n">
        <v>0</v>
      </c>
      <c r="I184" s="34" t="n">
        <f aca="false">+IF(E184=0,0,E184*0.03)</f>
        <v>0</v>
      </c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customFormat="false" ht="16.4" hidden="false" customHeight="false" outlineLevel="0" collapsed="false">
      <c r="A185" s="123" t="n">
        <v>45444</v>
      </c>
      <c r="B185" s="31" t="s">
        <v>247</v>
      </c>
      <c r="C185" s="129"/>
      <c r="D185" s="129"/>
      <c r="E185" s="19" t="n">
        <f aca="false">F185*0.03</f>
        <v>0</v>
      </c>
      <c r="F185" s="33" t="n">
        <v>0</v>
      </c>
      <c r="G185" s="131"/>
      <c r="H185" s="35" t="n">
        <v>0</v>
      </c>
      <c r="I185" s="34" t="n">
        <f aca="false">+IF(E185=0,0,E185*0.03)</f>
        <v>0</v>
      </c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customFormat="false" ht="16.4" hidden="false" customHeight="false" outlineLevel="0" collapsed="false">
      <c r="A186" s="123" t="n">
        <v>45444</v>
      </c>
      <c r="B186" s="31" t="s">
        <v>246</v>
      </c>
      <c r="C186" s="129"/>
      <c r="D186" s="129"/>
      <c r="E186" s="19" t="n">
        <f aca="false">F186*0.03</f>
        <v>0</v>
      </c>
      <c r="F186" s="33" t="n">
        <v>0</v>
      </c>
      <c r="G186" s="131"/>
      <c r="H186" s="35" t="n">
        <v>0</v>
      </c>
      <c r="I186" s="34" t="n">
        <f aca="false">+IF(E186=0,0,E186*0.03)</f>
        <v>0</v>
      </c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customFormat="false" ht="16.4" hidden="false" customHeight="false" outlineLevel="0" collapsed="false">
      <c r="A187" s="123" t="n">
        <v>45444</v>
      </c>
      <c r="B187" s="31" t="s">
        <v>239</v>
      </c>
      <c r="C187" s="129"/>
      <c r="D187" s="129"/>
      <c r="E187" s="19" t="n">
        <f aca="false">F187*0.03</f>
        <v>0</v>
      </c>
      <c r="F187" s="33" t="n">
        <v>0</v>
      </c>
      <c r="G187" s="131"/>
      <c r="H187" s="35" t="n">
        <v>0</v>
      </c>
      <c r="I187" s="34" t="n">
        <f aca="false">+IF(E187=0,0,E187*0.03)</f>
        <v>0</v>
      </c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customFormat="false" ht="16.4" hidden="false" customHeight="false" outlineLevel="0" collapsed="false">
      <c r="A188" s="123" t="n">
        <v>45444</v>
      </c>
      <c r="B188" s="31" t="s">
        <v>7</v>
      </c>
      <c r="C188" s="129"/>
      <c r="D188" s="129"/>
      <c r="E188" s="19" t="n">
        <f aca="false">F188*0.03</f>
        <v>0</v>
      </c>
      <c r="F188" s="33" t="n">
        <v>0</v>
      </c>
      <c r="G188" s="131"/>
      <c r="H188" s="35" t="n">
        <v>0</v>
      </c>
      <c r="I188" s="34" t="n">
        <f aca="false">+IF(E188=0,0,E188*0.03)</f>
        <v>0</v>
      </c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customFormat="false" ht="16.4" hidden="false" customHeight="false" outlineLevel="0" collapsed="false">
      <c r="A189" s="123" t="n">
        <v>45444</v>
      </c>
      <c r="B189" s="31" t="s">
        <v>240</v>
      </c>
      <c r="C189" s="129"/>
      <c r="D189" s="129"/>
      <c r="E189" s="19" t="n">
        <f aca="false">F189*0.03</f>
        <v>0</v>
      </c>
      <c r="F189" s="33" t="n">
        <v>0</v>
      </c>
      <c r="G189" s="131"/>
      <c r="H189" s="35" t="n">
        <v>0</v>
      </c>
      <c r="I189" s="34" t="n">
        <f aca="false">+IF(E189=0,0,E189*0.03)</f>
        <v>0</v>
      </c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customFormat="false" ht="16.4" hidden="false" customHeight="false" outlineLevel="0" collapsed="false">
      <c r="A190" s="123" t="n">
        <v>45444</v>
      </c>
      <c r="B190" s="31" t="s">
        <v>153</v>
      </c>
      <c r="C190" s="129"/>
      <c r="D190" s="129"/>
      <c r="E190" s="19" t="n">
        <f aca="false">F190*0.03</f>
        <v>0</v>
      </c>
      <c r="F190" s="33" t="n">
        <v>0</v>
      </c>
      <c r="G190" s="131"/>
      <c r="H190" s="35" t="n">
        <v>0</v>
      </c>
      <c r="I190" s="34" t="n">
        <f aca="false">+IF(E190=0,0,E190*0.03)</f>
        <v>0</v>
      </c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customFormat="false" ht="16.4" hidden="false" customHeight="false" outlineLevel="0" collapsed="false">
      <c r="A191" s="123" t="n">
        <v>45444</v>
      </c>
      <c r="B191" s="31" t="s">
        <v>247</v>
      </c>
      <c r="C191" s="129"/>
      <c r="D191" s="129"/>
      <c r="E191" s="19" t="n">
        <f aca="false">F191*0.03</f>
        <v>0</v>
      </c>
      <c r="F191" s="33" t="n">
        <v>0</v>
      </c>
      <c r="G191" s="131"/>
      <c r="H191" s="35" t="n">
        <v>0</v>
      </c>
      <c r="I191" s="34" t="n">
        <f aca="false">+IF(E191=0,0,E191*0.03)</f>
        <v>0</v>
      </c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customFormat="false" ht="16.4" hidden="false" customHeight="false" outlineLevel="0" collapsed="false">
      <c r="A192" s="123" t="n">
        <v>45444</v>
      </c>
      <c r="B192" s="31" t="s">
        <v>246</v>
      </c>
      <c r="C192" s="129"/>
      <c r="D192" s="129"/>
      <c r="E192" s="19" t="n">
        <f aca="false">F192*0.03</f>
        <v>0</v>
      </c>
      <c r="F192" s="33" t="n">
        <v>0</v>
      </c>
      <c r="G192" s="131"/>
      <c r="H192" s="35" t="n">
        <v>0</v>
      </c>
      <c r="I192" s="34" t="n">
        <f aca="false">+IF(E192=0,0,E192*0.03)</f>
        <v>0</v>
      </c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customFormat="false" ht="16.4" hidden="false" customHeight="false" outlineLevel="0" collapsed="false">
      <c r="A193" s="123" t="n">
        <v>45444</v>
      </c>
      <c r="B193" s="31" t="s">
        <v>239</v>
      </c>
      <c r="C193" s="129"/>
      <c r="D193" s="129"/>
      <c r="E193" s="19" t="n">
        <f aca="false">F193*0.03</f>
        <v>0</v>
      </c>
      <c r="F193" s="33" t="n">
        <v>0</v>
      </c>
      <c r="G193" s="131"/>
      <c r="H193" s="35" t="n">
        <v>0</v>
      </c>
      <c r="I193" s="34" t="n">
        <f aca="false">+IF(E193=0,0,E193*0.03)</f>
        <v>0</v>
      </c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customFormat="false" ht="16.4" hidden="false" customHeight="false" outlineLevel="0" collapsed="false">
      <c r="A194" s="123" t="n">
        <v>45444</v>
      </c>
      <c r="B194" s="31" t="s">
        <v>7</v>
      </c>
      <c r="C194" s="129"/>
      <c r="D194" s="129"/>
      <c r="E194" s="19" t="n">
        <f aca="false">F194*0.03</f>
        <v>0</v>
      </c>
      <c r="F194" s="33" t="n">
        <v>0</v>
      </c>
      <c r="G194" s="131"/>
      <c r="H194" s="35" t="n">
        <v>0</v>
      </c>
      <c r="I194" s="34" t="n">
        <f aca="false">+IF(E194=0,0,E194*0.03)</f>
        <v>0</v>
      </c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customFormat="false" ht="16.4" hidden="false" customHeight="false" outlineLevel="0" collapsed="false">
      <c r="A195" s="123" t="n">
        <v>45444</v>
      </c>
      <c r="B195" s="31" t="s">
        <v>240</v>
      </c>
      <c r="C195" s="129"/>
      <c r="D195" s="129"/>
      <c r="E195" s="19" t="n">
        <f aca="false">F195*0.03</f>
        <v>0</v>
      </c>
      <c r="F195" s="33" t="n">
        <v>0</v>
      </c>
      <c r="G195" s="131"/>
      <c r="H195" s="35" t="n">
        <v>0</v>
      </c>
      <c r="I195" s="34" t="n">
        <f aca="false">+IF(E195=0,0,E195*0.03)</f>
        <v>0</v>
      </c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customFormat="false" ht="16.4" hidden="false" customHeight="false" outlineLevel="0" collapsed="false">
      <c r="A196" s="123" t="n">
        <v>45444</v>
      </c>
      <c r="B196" s="31" t="s">
        <v>153</v>
      </c>
      <c r="C196" s="129"/>
      <c r="D196" s="129"/>
      <c r="E196" s="19" t="n">
        <f aca="false">F196*0.03</f>
        <v>0</v>
      </c>
      <c r="F196" s="33" t="n">
        <v>0</v>
      </c>
      <c r="G196" s="131"/>
      <c r="H196" s="35" t="n">
        <v>0</v>
      </c>
      <c r="I196" s="34" t="n">
        <f aca="false">+IF(E196=0,0,E196*0.03)</f>
        <v>0</v>
      </c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customFormat="false" ht="16.4" hidden="false" customHeight="false" outlineLevel="0" collapsed="false">
      <c r="A197" s="123" t="n">
        <v>45444</v>
      </c>
      <c r="B197" s="31" t="s">
        <v>247</v>
      </c>
      <c r="C197" s="129"/>
      <c r="D197" s="129"/>
      <c r="E197" s="19" t="n">
        <f aca="false">F197*0.03</f>
        <v>0</v>
      </c>
      <c r="F197" s="33" t="n">
        <v>0</v>
      </c>
      <c r="G197" s="131"/>
      <c r="H197" s="35" t="n">
        <v>0</v>
      </c>
      <c r="I197" s="34" t="n">
        <f aca="false">+IF(E197=0,0,E197*0.03)</f>
        <v>0</v>
      </c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customFormat="false" ht="16.4" hidden="false" customHeight="false" outlineLevel="0" collapsed="false">
      <c r="A198" s="123" t="n">
        <v>45444</v>
      </c>
      <c r="B198" s="31" t="s">
        <v>246</v>
      </c>
      <c r="C198" s="129"/>
      <c r="D198" s="129"/>
      <c r="E198" s="19" t="n">
        <f aca="false">F198*0.03</f>
        <v>0</v>
      </c>
      <c r="F198" s="33" t="n">
        <v>0</v>
      </c>
      <c r="G198" s="131"/>
      <c r="H198" s="35" t="n">
        <v>0</v>
      </c>
      <c r="I198" s="34" t="n">
        <f aca="false">+IF(E198=0,0,E198*0.03)</f>
        <v>0</v>
      </c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customFormat="false" ht="16.4" hidden="false" customHeight="false" outlineLevel="0" collapsed="false">
      <c r="A199" s="123" t="n">
        <v>45444</v>
      </c>
      <c r="B199" s="31" t="s">
        <v>239</v>
      </c>
      <c r="C199" s="129"/>
      <c r="D199" s="129"/>
      <c r="E199" s="19" t="n">
        <f aca="false">F199*0.03</f>
        <v>0</v>
      </c>
      <c r="F199" s="33" t="n">
        <v>0</v>
      </c>
      <c r="G199" s="131"/>
      <c r="H199" s="35" t="n">
        <v>0</v>
      </c>
      <c r="I199" s="34" t="n">
        <f aca="false">+IF(E199=0,0,E199*0.03)</f>
        <v>0</v>
      </c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customFormat="false" ht="16.4" hidden="false" customHeight="false" outlineLevel="0" collapsed="false">
      <c r="A200" s="123" t="n">
        <v>45444</v>
      </c>
      <c r="B200" s="31" t="s">
        <v>7</v>
      </c>
      <c r="C200" s="129"/>
      <c r="D200" s="129"/>
      <c r="E200" s="19" t="n">
        <f aca="false">F200*0.03</f>
        <v>0</v>
      </c>
      <c r="F200" s="33" t="n">
        <v>0</v>
      </c>
      <c r="G200" s="131"/>
      <c r="H200" s="35" t="n">
        <v>0</v>
      </c>
      <c r="I200" s="34" t="n">
        <f aca="false">+IF(E200=0,0,E200*0.03)</f>
        <v>0</v>
      </c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customFormat="false" ht="16.4" hidden="false" customHeight="false" outlineLevel="0" collapsed="false">
      <c r="A201" s="123" t="n">
        <v>45444</v>
      </c>
      <c r="B201" s="31" t="s">
        <v>240</v>
      </c>
      <c r="C201" s="129"/>
      <c r="D201" s="129"/>
      <c r="E201" s="19" t="n">
        <f aca="false">F201*0.03</f>
        <v>0</v>
      </c>
      <c r="F201" s="33" t="n">
        <v>0</v>
      </c>
      <c r="G201" s="131"/>
      <c r="H201" s="35" t="n">
        <v>0</v>
      </c>
      <c r="I201" s="34" t="n">
        <f aca="false">+IF(E201=0,0,E201*0.03)</f>
        <v>0</v>
      </c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customFormat="false" ht="16.4" hidden="false" customHeight="false" outlineLevel="0" collapsed="false">
      <c r="A202" s="123" t="n">
        <v>45444</v>
      </c>
      <c r="B202" s="31" t="s">
        <v>153</v>
      </c>
      <c r="C202" s="129"/>
      <c r="D202" s="129"/>
      <c r="E202" s="19" t="n">
        <f aca="false">F202*0.03</f>
        <v>0</v>
      </c>
      <c r="F202" s="33" t="n">
        <v>0</v>
      </c>
      <c r="G202" s="131"/>
      <c r="H202" s="35" t="n">
        <v>0</v>
      </c>
      <c r="I202" s="34" t="n">
        <f aca="false">+IF(E202=0,0,E202*0.03)</f>
        <v>0</v>
      </c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customFormat="false" ht="16.4" hidden="false" customHeight="false" outlineLevel="0" collapsed="false">
      <c r="A203" s="123" t="n">
        <v>45444</v>
      </c>
      <c r="B203" s="31" t="s">
        <v>247</v>
      </c>
      <c r="C203" s="129"/>
      <c r="D203" s="129"/>
      <c r="E203" s="19" t="n">
        <f aca="false">F203*0.03</f>
        <v>0</v>
      </c>
      <c r="F203" s="33" t="n">
        <v>0</v>
      </c>
      <c r="G203" s="131"/>
      <c r="H203" s="35" t="n">
        <v>0</v>
      </c>
      <c r="I203" s="34" t="n">
        <f aca="false">+IF(E203=0,0,E203*0.03)</f>
        <v>0</v>
      </c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customFormat="false" ht="16.4" hidden="false" customHeight="false" outlineLevel="0" collapsed="false">
      <c r="A204" s="123" t="n">
        <v>45444</v>
      </c>
      <c r="B204" s="31" t="s">
        <v>246</v>
      </c>
      <c r="C204" s="129"/>
      <c r="D204" s="129"/>
      <c r="E204" s="19" t="n">
        <f aca="false">F204*0.03</f>
        <v>0</v>
      </c>
      <c r="F204" s="33" t="n">
        <v>0</v>
      </c>
      <c r="G204" s="131"/>
      <c r="H204" s="35" t="n">
        <v>0</v>
      </c>
      <c r="I204" s="34" t="n">
        <f aca="false">+IF(E204=0,0,E204*0.03)</f>
        <v>0</v>
      </c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customFormat="false" ht="16.4" hidden="false" customHeight="false" outlineLevel="0" collapsed="false">
      <c r="A205" s="123" t="n">
        <v>45444</v>
      </c>
      <c r="B205" s="31" t="s">
        <v>239</v>
      </c>
      <c r="C205" s="129"/>
      <c r="D205" s="129"/>
      <c r="E205" s="19" t="n">
        <f aca="false">F205*0.03</f>
        <v>0</v>
      </c>
      <c r="F205" s="33" t="n">
        <v>0</v>
      </c>
      <c r="G205" s="131"/>
      <c r="H205" s="35" t="n">
        <v>0</v>
      </c>
      <c r="I205" s="34" t="n">
        <f aca="false">+IF(E205=0,0,E205*0.03)</f>
        <v>0</v>
      </c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customFormat="false" ht="16.4" hidden="false" customHeight="false" outlineLevel="0" collapsed="false">
      <c r="A206" s="123" t="n">
        <v>45444</v>
      </c>
      <c r="B206" s="31" t="s">
        <v>7</v>
      </c>
      <c r="C206" s="129"/>
      <c r="D206" s="129"/>
      <c r="E206" s="19" t="n">
        <f aca="false">F206*0.03</f>
        <v>0</v>
      </c>
      <c r="F206" s="33" t="n">
        <v>0</v>
      </c>
      <c r="G206" s="131"/>
      <c r="H206" s="35" t="n">
        <v>0</v>
      </c>
      <c r="I206" s="34" t="n">
        <f aca="false">+IF(E206=0,0,E206*0.03)</f>
        <v>0</v>
      </c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customFormat="false" ht="16.4" hidden="false" customHeight="false" outlineLevel="0" collapsed="false">
      <c r="A207" s="123" t="n">
        <v>45444</v>
      </c>
      <c r="B207" s="31" t="s">
        <v>240</v>
      </c>
      <c r="C207" s="129"/>
      <c r="D207" s="129"/>
      <c r="E207" s="19" t="n">
        <f aca="false">F207*0.03</f>
        <v>0</v>
      </c>
      <c r="F207" s="33" t="n">
        <v>0</v>
      </c>
      <c r="G207" s="131"/>
      <c r="H207" s="35" t="n">
        <v>0</v>
      </c>
      <c r="I207" s="34" t="n">
        <f aca="false">+IF(E207=0,0,E207*0.03)</f>
        <v>0</v>
      </c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customFormat="false" ht="16.4" hidden="false" customHeight="false" outlineLevel="0" collapsed="false">
      <c r="A208" s="123" t="n">
        <v>45444</v>
      </c>
      <c r="B208" s="31" t="s">
        <v>153</v>
      </c>
      <c r="C208" s="129"/>
      <c r="D208" s="129"/>
      <c r="E208" s="19" t="n">
        <f aca="false">F208*0.03</f>
        <v>0</v>
      </c>
      <c r="F208" s="33" t="n">
        <v>0</v>
      </c>
      <c r="G208" s="131"/>
      <c r="H208" s="35" t="n">
        <v>0</v>
      </c>
      <c r="I208" s="34" t="n">
        <f aca="false">+IF(E208=0,0,E208*0.03)</f>
        <v>0</v>
      </c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customFormat="false" ht="16.4" hidden="false" customHeight="false" outlineLevel="0" collapsed="false">
      <c r="A209" s="123" t="n">
        <v>45444</v>
      </c>
      <c r="B209" s="31" t="s">
        <v>247</v>
      </c>
      <c r="C209" s="129"/>
      <c r="D209" s="129"/>
      <c r="E209" s="19" t="n">
        <f aca="false">F209*0.03</f>
        <v>0</v>
      </c>
      <c r="F209" s="33" t="n">
        <v>0</v>
      </c>
      <c r="G209" s="131"/>
      <c r="H209" s="35" t="n">
        <v>0</v>
      </c>
      <c r="I209" s="34" t="n">
        <f aca="false">+IF(E209=0,0,E209*0.03)</f>
        <v>0</v>
      </c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customFormat="false" ht="16.4" hidden="false" customHeight="false" outlineLevel="0" collapsed="false">
      <c r="A210" s="123" t="n">
        <v>45444</v>
      </c>
      <c r="B210" s="31" t="s">
        <v>246</v>
      </c>
      <c r="C210" s="129"/>
      <c r="D210" s="129"/>
      <c r="E210" s="19" t="n">
        <f aca="false">F210*0.03</f>
        <v>0</v>
      </c>
      <c r="F210" s="33" t="n">
        <v>0</v>
      </c>
      <c r="G210" s="131"/>
      <c r="H210" s="35" t="n">
        <v>0</v>
      </c>
      <c r="I210" s="34" t="n">
        <f aca="false">+IF(E210=0,0,E210*0.03)</f>
        <v>0</v>
      </c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customFormat="false" ht="16.4" hidden="false" customHeight="false" outlineLevel="0" collapsed="false">
      <c r="A211" s="123" t="n">
        <v>45444</v>
      </c>
      <c r="B211" s="31" t="s">
        <v>239</v>
      </c>
      <c r="C211" s="129"/>
      <c r="D211" s="129"/>
      <c r="E211" s="19" t="n">
        <f aca="false">F211*0.03</f>
        <v>0</v>
      </c>
      <c r="F211" s="33" t="n">
        <v>0</v>
      </c>
      <c r="G211" s="131"/>
      <c r="H211" s="35" t="n">
        <v>0</v>
      </c>
      <c r="I211" s="34" t="n">
        <f aca="false">+IF(E211=0,0,E211*0.03)</f>
        <v>0</v>
      </c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customFormat="false" ht="16.4" hidden="false" customHeight="false" outlineLevel="0" collapsed="false">
      <c r="A212" s="123" t="n">
        <v>45444</v>
      </c>
      <c r="B212" s="31" t="s">
        <v>7</v>
      </c>
      <c r="C212" s="129"/>
      <c r="D212" s="129"/>
      <c r="E212" s="19" t="n">
        <f aca="false">F212*0.03</f>
        <v>0</v>
      </c>
      <c r="F212" s="33" t="n">
        <v>0</v>
      </c>
      <c r="G212" s="131"/>
      <c r="H212" s="35" t="n">
        <v>0</v>
      </c>
      <c r="I212" s="34" t="n">
        <f aca="false">+IF(E212=0,0,E212*0.03)</f>
        <v>0</v>
      </c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customFormat="false" ht="16.4" hidden="false" customHeight="false" outlineLevel="0" collapsed="false">
      <c r="A213" s="123" t="n">
        <v>45444</v>
      </c>
      <c r="B213" s="31" t="s">
        <v>240</v>
      </c>
      <c r="C213" s="129"/>
      <c r="D213" s="129"/>
      <c r="E213" s="19" t="n">
        <f aca="false">F213*0.03</f>
        <v>0</v>
      </c>
      <c r="F213" s="33" t="n">
        <v>0</v>
      </c>
      <c r="G213" s="131"/>
      <c r="H213" s="35" t="n">
        <v>0</v>
      </c>
      <c r="I213" s="34" t="n">
        <f aca="false">+IF(E213=0,0,E213*0.03)</f>
        <v>0</v>
      </c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customFormat="false" ht="16.4" hidden="false" customHeight="false" outlineLevel="0" collapsed="false">
      <c r="A214" s="123" t="n">
        <v>45444</v>
      </c>
      <c r="B214" s="31" t="s">
        <v>153</v>
      </c>
      <c r="C214" s="129"/>
      <c r="D214" s="129"/>
      <c r="E214" s="19" t="n">
        <f aca="false">F214*0.03</f>
        <v>0</v>
      </c>
      <c r="F214" s="33" t="n">
        <v>0</v>
      </c>
      <c r="G214" s="131"/>
      <c r="H214" s="35" t="n">
        <v>0</v>
      </c>
      <c r="I214" s="34" t="n">
        <f aca="false">+IF(E214=0,0,E214*0.03)</f>
        <v>0</v>
      </c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customFormat="false" ht="16.4" hidden="false" customHeight="false" outlineLevel="0" collapsed="false">
      <c r="A215" s="123" t="n">
        <v>45444</v>
      </c>
      <c r="B215" s="31" t="s">
        <v>247</v>
      </c>
      <c r="C215" s="129"/>
      <c r="D215" s="129"/>
      <c r="E215" s="19" t="n">
        <f aca="false">F215*0.03</f>
        <v>0</v>
      </c>
      <c r="F215" s="33" t="n">
        <v>0</v>
      </c>
      <c r="G215" s="131"/>
      <c r="H215" s="35" t="n">
        <v>0</v>
      </c>
      <c r="I215" s="34" t="n">
        <f aca="false">+IF(E215=0,0,E215*0.03)</f>
        <v>0</v>
      </c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customFormat="false" ht="16.4" hidden="false" customHeight="false" outlineLevel="0" collapsed="false">
      <c r="A216" s="123" t="n">
        <v>45444</v>
      </c>
      <c r="B216" s="31" t="s">
        <v>246</v>
      </c>
      <c r="C216" s="129"/>
      <c r="D216" s="129"/>
      <c r="E216" s="19" t="n">
        <f aca="false">F216*0.03</f>
        <v>0</v>
      </c>
      <c r="F216" s="33" t="n">
        <v>0</v>
      </c>
      <c r="G216" s="131"/>
      <c r="H216" s="35" t="n">
        <v>0</v>
      </c>
      <c r="I216" s="34" t="n">
        <f aca="false">+IF(E216=0,0,E216*0.03)</f>
        <v>0</v>
      </c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customFormat="false" ht="16.4" hidden="false" customHeight="false" outlineLevel="0" collapsed="false">
      <c r="A217" s="123" t="n">
        <v>45444</v>
      </c>
      <c r="B217" s="31" t="s">
        <v>239</v>
      </c>
      <c r="C217" s="129"/>
      <c r="D217" s="129"/>
      <c r="E217" s="19" t="n">
        <f aca="false">F217*0.03</f>
        <v>0</v>
      </c>
      <c r="F217" s="33" t="n">
        <v>0</v>
      </c>
      <c r="G217" s="131"/>
      <c r="H217" s="35" t="n">
        <v>0</v>
      </c>
      <c r="I217" s="34" t="n">
        <f aca="false">+IF(E217=0,0,E217*0.03)</f>
        <v>0</v>
      </c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customFormat="false" ht="16.4" hidden="false" customHeight="false" outlineLevel="0" collapsed="false">
      <c r="A218" s="123" t="n">
        <v>45444</v>
      </c>
      <c r="B218" s="31" t="s">
        <v>7</v>
      </c>
      <c r="C218" s="129"/>
      <c r="D218" s="129"/>
      <c r="E218" s="19" t="n">
        <f aca="false">F218*0.03</f>
        <v>0</v>
      </c>
      <c r="F218" s="33" t="n">
        <v>0</v>
      </c>
      <c r="G218" s="131"/>
      <c r="H218" s="35" t="n">
        <v>0</v>
      </c>
      <c r="I218" s="34" t="n">
        <f aca="false">+IF(E218=0,0,E218*0.03)</f>
        <v>0</v>
      </c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customFormat="false" ht="16.4" hidden="false" customHeight="false" outlineLevel="0" collapsed="false">
      <c r="A219" s="123" t="n">
        <v>45444</v>
      </c>
      <c r="B219" s="31" t="s">
        <v>240</v>
      </c>
      <c r="C219" s="129"/>
      <c r="D219" s="129"/>
      <c r="E219" s="19" t="n">
        <f aca="false">F219*0.03</f>
        <v>0</v>
      </c>
      <c r="F219" s="33" t="n">
        <v>0</v>
      </c>
      <c r="G219" s="131"/>
      <c r="H219" s="35" t="n">
        <v>0</v>
      </c>
      <c r="I219" s="34" t="n">
        <f aca="false">+IF(E219=0,0,E219*0.03)</f>
        <v>0</v>
      </c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customFormat="false" ht="16.4" hidden="false" customHeight="false" outlineLevel="0" collapsed="false">
      <c r="A220" s="123" t="n">
        <v>45444</v>
      </c>
      <c r="B220" s="31" t="s">
        <v>153</v>
      </c>
      <c r="C220" s="129"/>
      <c r="D220" s="129"/>
      <c r="E220" s="19" t="n">
        <f aca="false">F220*0.03</f>
        <v>0</v>
      </c>
      <c r="F220" s="33" t="n">
        <v>0</v>
      </c>
      <c r="G220" s="131"/>
      <c r="H220" s="35" t="n">
        <v>0</v>
      </c>
      <c r="I220" s="34" t="n">
        <f aca="false">+IF(E220=0,0,E220*0.03)</f>
        <v>0</v>
      </c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customFormat="false" ht="16.4" hidden="false" customHeight="false" outlineLevel="0" collapsed="false">
      <c r="A221" s="123" t="n">
        <v>45444</v>
      </c>
      <c r="B221" s="31" t="s">
        <v>247</v>
      </c>
      <c r="C221" s="129"/>
      <c r="D221" s="129"/>
      <c r="E221" s="19" t="n">
        <f aca="false">F221*0.03</f>
        <v>0</v>
      </c>
      <c r="F221" s="33" t="n">
        <v>0</v>
      </c>
      <c r="G221" s="131"/>
      <c r="H221" s="35" t="n">
        <v>0</v>
      </c>
      <c r="I221" s="34" t="n">
        <f aca="false">+IF(E221=0,0,E221*0.03)</f>
        <v>0</v>
      </c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customFormat="false" ht="16.4" hidden="false" customHeight="false" outlineLevel="0" collapsed="false">
      <c r="A222" s="123" t="n">
        <v>45444</v>
      </c>
      <c r="B222" s="31" t="s">
        <v>246</v>
      </c>
      <c r="C222" s="129"/>
      <c r="D222" s="129"/>
      <c r="E222" s="19" t="n">
        <f aca="false">F222*0.03</f>
        <v>0</v>
      </c>
      <c r="F222" s="33" t="n">
        <v>0</v>
      </c>
      <c r="G222" s="131"/>
      <c r="H222" s="35" t="n">
        <v>0</v>
      </c>
      <c r="I222" s="34" t="n">
        <f aca="false">+IF(E222=0,0,E222*0.03)</f>
        <v>0</v>
      </c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customFormat="false" ht="16.4" hidden="false" customHeight="false" outlineLevel="0" collapsed="false">
      <c r="A223" s="123" t="n">
        <v>45444</v>
      </c>
      <c r="B223" s="31" t="s">
        <v>239</v>
      </c>
      <c r="C223" s="129"/>
      <c r="D223" s="129"/>
      <c r="E223" s="19" t="n">
        <f aca="false">F223*0.03</f>
        <v>0</v>
      </c>
      <c r="F223" s="33" t="n">
        <v>0</v>
      </c>
      <c r="G223" s="131"/>
      <c r="H223" s="35" t="n">
        <v>0</v>
      </c>
      <c r="I223" s="34" t="n">
        <f aca="false">+IF(E223=0,0,E223*0.03)</f>
        <v>0</v>
      </c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customFormat="false" ht="16.4" hidden="false" customHeight="false" outlineLevel="0" collapsed="false">
      <c r="A224" s="123" t="n">
        <v>45444</v>
      </c>
      <c r="B224" s="31" t="s">
        <v>7</v>
      </c>
      <c r="C224" s="129"/>
      <c r="D224" s="129"/>
      <c r="E224" s="19" t="n">
        <f aca="false">F224*0.03</f>
        <v>0</v>
      </c>
      <c r="F224" s="33" t="n">
        <v>0</v>
      </c>
      <c r="G224" s="131"/>
      <c r="H224" s="35" t="n">
        <v>0</v>
      </c>
      <c r="I224" s="34" t="n">
        <f aca="false">+IF(E224=0,0,E224*0.03)</f>
        <v>0</v>
      </c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customFormat="false" ht="16.4" hidden="false" customHeight="false" outlineLevel="0" collapsed="false">
      <c r="A225" s="123" t="n">
        <v>45444</v>
      </c>
      <c r="B225" s="31" t="s">
        <v>240</v>
      </c>
      <c r="C225" s="129"/>
      <c r="D225" s="129"/>
      <c r="E225" s="19" t="n">
        <f aca="false">F225*0.03</f>
        <v>0</v>
      </c>
      <c r="F225" s="33" t="n">
        <v>0</v>
      </c>
      <c r="G225" s="131"/>
      <c r="H225" s="35" t="n">
        <v>0</v>
      </c>
      <c r="I225" s="34" t="n">
        <f aca="false">+IF(E225=0,0,E225*0.03)</f>
        <v>0</v>
      </c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customFormat="false" ht="16.4" hidden="false" customHeight="false" outlineLevel="0" collapsed="false">
      <c r="A226" s="123" t="n">
        <v>45444</v>
      </c>
      <c r="B226" s="31" t="s">
        <v>153</v>
      </c>
      <c r="C226" s="129"/>
      <c r="D226" s="129"/>
      <c r="E226" s="19" t="n">
        <f aca="false">F226*0.03</f>
        <v>0</v>
      </c>
      <c r="F226" s="33" t="n">
        <v>0</v>
      </c>
      <c r="G226" s="131"/>
      <c r="H226" s="35" t="n">
        <v>0</v>
      </c>
      <c r="I226" s="34" t="n">
        <f aca="false">+IF(E226=0,0,E226*0.03)</f>
        <v>0</v>
      </c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customFormat="false" ht="16.4" hidden="false" customHeight="false" outlineLevel="0" collapsed="false">
      <c r="A227" s="123" t="n">
        <v>45444</v>
      </c>
      <c r="B227" s="31" t="s">
        <v>247</v>
      </c>
      <c r="C227" s="129"/>
      <c r="D227" s="129"/>
      <c r="E227" s="19" t="n">
        <f aca="false">F227*0.03</f>
        <v>0</v>
      </c>
      <c r="F227" s="33" t="n">
        <v>0</v>
      </c>
      <c r="G227" s="131"/>
      <c r="H227" s="35" t="n">
        <v>0</v>
      </c>
      <c r="I227" s="34" t="n">
        <f aca="false">+IF(E227=0,0,E227*0.03)</f>
        <v>0</v>
      </c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customFormat="false" ht="16.4" hidden="false" customHeight="false" outlineLevel="0" collapsed="false">
      <c r="A228" s="123" t="n">
        <v>45444</v>
      </c>
      <c r="B228" s="31" t="s">
        <v>246</v>
      </c>
      <c r="C228" s="129"/>
      <c r="D228" s="129"/>
      <c r="E228" s="19" t="n">
        <f aca="false">F228*0.03</f>
        <v>0</v>
      </c>
      <c r="F228" s="33" t="n">
        <v>0</v>
      </c>
      <c r="G228" s="131"/>
      <c r="H228" s="35" t="n">
        <v>0</v>
      </c>
      <c r="I228" s="34" t="n">
        <f aca="false">+IF(E228=0,0,E228*0.03)</f>
        <v>0</v>
      </c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customFormat="false" ht="16.4" hidden="false" customHeight="false" outlineLevel="0" collapsed="false">
      <c r="A229" s="123" t="n">
        <v>45444</v>
      </c>
      <c r="B229" s="31" t="s">
        <v>239</v>
      </c>
      <c r="C229" s="129"/>
      <c r="D229" s="129"/>
      <c r="E229" s="19" t="n">
        <f aca="false">F229*0.03</f>
        <v>0</v>
      </c>
      <c r="F229" s="33" t="n">
        <v>0</v>
      </c>
      <c r="G229" s="131"/>
      <c r="H229" s="35" t="n">
        <v>0</v>
      </c>
      <c r="I229" s="34" t="n">
        <f aca="false">+IF(E229=0,0,E229*0.03)</f>
        <v>0</v>
      </c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customFormat="false" ht="16.4" hidden="false" customHeight="false" outlineLevel="0" collapsed="false">
      <c r="A230" s="123" t="n">
        <v>45444</v>
      </c>
      <c r="B230" s="31" t="s">
        <v>7</v>
      </c>
      <c r="C230" s="129"/>
      <c r="D230" s="129"/>
      <c r="E230" s="19" t="n">
        <f aca="false">F230*0.03</f>
        <v>0</v>
      </c>
      <c r="F230" s="33" t="n">
        <v>0</v>
      </c>
      <c r="G230" s="131"/>
      <c r="H230" s="35" t="n">
        <v>0</v>
      </c>
      <c r="I230" s="34" t="n">
        <f aca="false">+IF(E230=0,0,E230*0.03)</f>
        <v>0</v>
      </c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customFormat="false" ht="16.4" hidden="false" customHeight="false" outlineLevel="0" collapsed="false">
      <c r="A231" s="123" t="n">
        <v>45444</v>
      </c>
      <c r="B231" s="31" t="s">
        <v>240</v>
      </c>
      <c r="C231" s="129"/>
      <c r="D231" s="129"/>
      <c r="E231" s="19" t="n">
        <f aca="false">F231*0.03</f>
        <v>0</v>
      </c>
      <c r="F231" s="33" t="n">
        <v>0</v>
      </c>
      <c r="G231" s="131"/>
      <c r="H231" s="35" t="n">
        <v>0</v>
      </c>
      <c r="I231" s="34" t="n">
        <f aca="false">+IF(E231=0,0,E231*0.03)</f>
        <v>0</v>
      </c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customFormat="false" ht="16.4" hidden="false" customHeight="false" outlineLevel="0" collapsed="false">
      <c r="A232" s="123" t="n">
        <v>45444</v>
      </c>
      <c r="B232" s="31" t="s">
        <v>153</v>
      </c>
      <c r="C232" s="129"/>
      <c r="D232" s="129"/>
      <c r="E232" s="19" t="n">
        <f aca="false">F232*0.03</f>
        <v>0</v>
      </c>
      <c r="F232" s="33" t="n">
        <v>0</v>
      </c>
      <c r="G232" s="131"/>
      <c r="H232" s="35" t="n">
        <v>0</v>
      </c>
      <c r="I232" s="34" t="n">
        <f aca="false">+IF(E232=0,0,E232*0.03)</f>
        <v>0</v>
      </c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customFormat="false" ht="16.4" hidden="false" customHeight="false" outlineLevel="0" collapsed="false">
      <c r="A233" s="123" t="n">
        <v>45444</v>
      </c>
      <c r="B233" s="31" t="s">
        <v>247</v>
      </c>
      <c r="C233" s="129"/>
      <c r="D233" s="129"/>
      <c r="E233" s="19" t="n">
        <f aca="false">F233*0.03</f>
        <v>0</v>
      </c>
      <c r="F233" s="33" t="n">
        <v>0</v>
      </c>
      <c r="G233" s="131"/>
      <c r="H233" s="35" t="n">
        <v>0</v>
      </c>
      <c r="I233" s="34" t="n">
        <f aca="false">+IF(E233=0,0,E233*0.03)</f>
        <v>0</v>
      </c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customFormat="false" ht="16.4" hidden="false" customHeight="false" outlineLevel="0" collapsed="false">
      <c r="A234" s="123" t="n">
        <v>45444</v>
      </c>
      <c r="B234" s="31" t="s">
        <v>246</v>
      </c>
      <c r="C234" s="129"/>
      <c r="D234" s="129"/>
      <c r="E234" s="19" t="n">
        <f aca="false">F234*0.03</f>
        <v>0</v>
      </c>
      <c r="F234" s="33" t="n">
        <v>0</v>
      </c>
      <c r="G234" s="131"/>
      <c r="H234" s="35" t="n">
        <v>0</v>
      </c>
      <c r="I234" s="34" t="n">
        <f aca="false">+IF(E234=0,0,E234*0.03)</f>
        <v>0</v>
      </c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customFormat="false" ht="16.4" hidden="false" customHeight="false" outlineLevel="0" collapsed="false">
      <c r="A235" s="123" t="n">
        <v>45444</v>
      </c>
      <c r="B235" s="31" t="s">
        <v>239</v>
      </c>
      <c r="C235" s="129"/>
      <c r="D235" s="129"/>
      <c r="E235" s="19" t="n">
        <f aca="false">F235*0.03</f>
        <v>0</v>
      </c>
      <c r="F235" s="33" t="n">
        <v>0</v>
      </c>
      <c r="G235" s="131"/>
      <c r="H235" s="35" t="n">
        <v>0</v>
      </c>
      <c r="I235" s="34" t="n">
        <f aca="false">+IF(E235=0,0,E235*0.03)</f>
        <v>0</v>
      </c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customFormat="false" ht="16.4" hidden="false" customHeight="false" outlineLevel="0" collapsed="false">
      <c r="A236" s="123" t="n">
        <v>45444</v>
      </c>
      <c r="B236" s="31" t="s">
        <v>7</v>
      </c>
      <c r="C236" s="129"/>
      <c r="D236" s="129"/>
      <c r="E236" s="19" t="n">
        <f aca="false">F236*0.03</f>
        <v>0</v>
      </c>
      <c r="F236" s="33" t="n">
        <v>0</v>
      </c>
      <c r="G236" s="131"/>
      <c r="H236" s="35" t="n">
        <v>0</v>
      </c>
      <c r="I236" s="34" t="n">
        <f aca="false">+IF(E236=0,0,E236*0.03)</f>
        <v>0</v>
      </c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customFormat="false" ht="16.4" hidden="false" customHeight="false" outlineLevel="0" collapsed="false">
      <c r="A237" s="123" t="n">
        <v>45444</v>
      </c>
      <c r="B237" s="31" t="s">
        <v>240</v>
      </c>
      <c r="C237" s="129"/>
      <c r="D237" s="129"/>
      <c r="E237" s="19" t="n">
        <f aca="false">F237*0.03</f>
        <v>0</v>
      </c>
      <c r="F237" s="33" t="n">
        <v>0</v>
      </c>
      <c r="G237" s="131"/>
      <c r="H237" s="35" t="n">
        <v>0</v>
      </c>
      <c r="I237" s="34" t="n">
        <f aca="false">+IF(E237=0,0,E237*0.03)</f>
        <v>0</v>
      </c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customFormat="false" ht="16.4" hidden="false" customHeight="false" outlineLevel="0" collapsed="false">
      <c r="A238" s="123" t="n">
        <v>45444</v>
      </c>
      <c r="B238" s="31" t="s">
        <v>153</v>
      </c>
      <c r="C238" s="129"/>
      <c r="D238" s="129"/>
      <c r="E238" s="19" t="n">
        <f aca="false">F238*0.03</f>
        <v>0</v>
      </c>
      <c r="F238" s="33" t="n">
        <v>0</v>
      </c>
      <c r="G238" s="131"/>
      <c r="H238" s="35" t="n">
        <v>0</v>
      </c>
      <c r="I238" s="34" t="n">
        <f aca="false">+IF(E238=0,0,E238*0.03)</f>
        <v>0</v>
      </c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customFormat="false" ht="16.4" hidden="false" customHeight="false" outlineLevel="0" collapsed="false">
      <c r="A239" s="123" t="n">
        <v>45444</v>
      </c>
      <c r="B239" s="31" t="s">
        <v>247</v>
      </c>
      <c r="C239" s="129"/>
      <c r="D239" s="129"/>
      <c r="E239" s="19" t="n">
        <f aca="false">F239*0.03</f>
        <v>0</v>
      </c>
      <c r="F239" s="33" t="n">
        <v>0</v>
      </c>
      <c r="G239" s="131"/>
      <c r="H239" s="35" t="n">
        <v>0</v>
      </c>
      <c r="I239" s="34" t="n">
        <f aca="false">+IF(E239=0,0,E239*0.03)</f>
        <v>0</v>
      </c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customFormat="false" ht="16.4" hidden="false" customHeight="false" outlineLevel="0" collapsed="false">
      <c r="A240" s="123" t="n">
        <v>45444</v>
      </c>
      <c r="B240" s="31" t="s">
        <v>246</v>
      </c>
      <c r="C240" s="129"/>
      <c r="D240" s="129"/>
      <c r="E240" s="19" t="n">
        <f aca="false">F240*0.03</f>
        <v>0</v>
      </c>
      <c r="F240" s="33" t="n">
        <v>0</v>
      </c>
      <c r="G240" s="131"/>
      <c r="H240" s="35" t="n">
        <v>0</v>
      </c>
      <c r="I240" s="34" t="n">
        <f aca="false">+IF(E240=0,0,E240*0.03)</f>
        <v>0</v>
      </c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customFormat="false" ht="16.4" hidden="false" customHeight="false" outlineLevel="0" collapsed="false">
      <c r="A241" s="123" t="n">
        <v>45444</v>
      </c>
      <c r="B241" s="31" t="s">
        <v>239</v>
      </c>
      <c r="C241" s="129"/>
      <c r="D241" s="129"/>
      <c r="E241" s="19" t="n">
        <f aca="false">F241*0.03</f>
        <v>0</v>
      </c>
      <c r="F241" s="33" t="n">
        <v>0</v>
      </c>
      <c r="G241" s="131"/>
      <c r="H241" s="35" t="n">
        <v>0</v>
      </c>
      <c r="I241" s="34" t="n">
        <f aca="false">+IF(E241=0,0,E241*0.03)</f>
        <v>0</v>
      </c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customFormat="false" ht="16.4" hidden="false" customHeight="false" outlineLevel="0" collapsed="false">
      <c r="A242" s="123" t="n">
        <v>45444</v>
      </c>
      <c r="B242" s="31" t="s">
        <v>7</v>
      </c>
      <c r="C242" s="129"/>
      <c r="D242" s="129"/>
      <c r="E242" s="19" t="n">
        <f aca="false">F242*0.03</f>
        <v>0</v>
      </c>
      <c r="F242" s="33" t="n">
        <v>0</v>
      </c>
      <c r="G242" s="131"/>
      <c r="H242" s="35" t="n">
        <v>0</v>
      </c>
      <c r="I242" s="34" t="n">
        <f aca="false">+IF(E242=0,0,E242*0.03)</f>
        <v>0</v>
      </c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customFormat="false" ht="16.4" hidden="false" customHeight="false" outlineLevel="0" collapsed="false">
      <c r="A243" s="123" t="n">
        <v>45444</v>
      </c>
      <c r="B243" s="31" t="s">
        <v>240</v>
      </c>
      <c r="C243" s="129"/>
      <c r="D243" s="129"/>
      <c r="E243" s="19" t="n">
        <f aca="false">F243*0.03</f>
        <v>0</v>
      </c>
      <c r="F243" s="33" t="n">
        <v>0</v>
      </c>
      <c r="G243" s="131"/>
      <c r="H243" s="35" t="n">
        <v>0</v>
      </c>
      <c r="I243" s="34" t="n">
        <f aca="false">+IF(E243=0,0,E243*0.03)</f>
        <v>0</v>
      </c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customFormat="false" ht="16.4" hidden="false" customHeight="false" outlineLevel="0" collapsed="false">
      <c r="A244" s="123" t="n">
        <v>45444</v>
      </c>
      <c r="B244" s="31" t="s">
        <v>153</v>
      </c>
      <c r="C244" s="129"/>
      <c r="D244" s="129"/>
      <c r="E244" s="19" t="n">
        <f aca="false">F244*0.03</f>
        <v>0</v>
      </c>
      <c r="F244" s="33" t="n">
        <v>0</v>
      </c>
      <c r="G244" s="131"/>
      <c r="H244" s="35" t="n">
        <v>0</v>
      </c>
      <c r="I244" s="34" t="n">
        <f aca="false">+IF(E244=0,0,E244*0.03)</f>
        <v>0</v>
      </c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customFormat="false" ht="16.4" hidden="false" customHeight="false" outlineLevel="0" collapsed="false">
      <c r="A245" s="123" t="n">
        <v>45444</v>
      </c>
      <c r="B245" s="31" t="s">
        <v>247</v>
      </c>
      <c r="C245" s="129"/>
      <c r="D245" s="129"/>
      <c r="E245" s="19" t="n">
        <f aca="false">F245*0.03</f>
        <v>0</v>
      </c>
      <c r="F245" s="33" t="n">
        <v>0</v>
      </c>
      <c r="G245" s="131"/>
      <c r="H245" s="35" t="n">
        <v>0</v>
      </c>
      <c r="I245" s="34" t="n">
        <f aca="false">+IF(E245=0,0,E245*0.03)</f>
        <v>0</v>
      </c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customFormat="false" ht="16.4" hidden="false" customHeight="false" outlineLevel="0" collapsed="false">
      <c r="A246" s="123" t="n">
        <v>45444</v>
      </c>
      <c r="B246" s="31" t="s">
        <v>246</v>
      </c>
      <c r="C246" s="129"/>
      <c r="D246" s="129"/>
      <c r="E246" s="19" t="n">
        <f aca="false">F246*0.03</f>
        <v>0</v>
      </c>
      <c r="F246" s="33" t="n">
        <v>0</v>
      </c>
      <c r="G246" s="131"/>
      <c r="H246" s="35" t="n">
        <v>0</v>
      </c>
      <c r="I246" s="34" t="n">
        <f aca="false">+IF(E246=0,0,E246*0.03)</f>
        <v>0</v>
      </c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customFormat="false" ht="16.4" hidden="false" customHeight="false" outlineLevel="0" collapsed="false">
      <c r="A247" s="123" t="n">
        <v>45444</v>
      </c>
      <c r="B247" s="31" t="s">
        <v>239</v>
      </c>
      <c r="C247" s="129"/>
      <c r="D247" s="129"/>
      <c r="E247" s="19" t="n">
        <f aca="false">F247*0.03</f>
        <v>0</v>
      </c>
      <c r="F247" s="33" t="n">
        <v>0</v>
      </c>
      <c r="G247" s="131"/>
      <c r="H247" s="35" t="n">
        <v>0</v>
      </c>
      <c r="I247" s="34" t="n">
        <f aca="false">+IF(E247=0,0,E247*0.03)</f>
        <v>0</v>
      </c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customFormat="false" ht="16.4" hidden="false" customHeight="false" outlineLevel="0" collapsed="false">
      <c r="A248" s="123" t="n">
        <v>45444</v>
      </c>
      <c r="B248" s="31" t="s">
        <v>7</v>
      </c>
      <c r="C248" s="129"/>
      <c r="D248" s="129"/>
      <c r="E248" s="19" t="n">
        <f aca="false">F248*0.03</f>
        <v>0</v>
      </c>
      <c r="F248" s="33" t="n">
        <v>0</v>
      </c>
      <c r="G248" s="131"/>
      <c r="H248" s="35" t="n">
        <v>0</v>
      </c>
      <c r="I248" s="34" t="n">
        <f aca="false">+IF(E248=0,0,E248*0.03)</f>
        <v>0</v>
      </c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customFormat="false" ht="16.4" hidden="false" customHeight="false" outlineLevel="0" collapsed="false">
      <c r="A249" s="123" t="n">
        <v>45444</v>
      </c>
      <c r="B249" s="31" t="s">
        <v>240</v>
      </c>
      <c r="C249" s="129"/>
      <c r="D249" s="129"/>
      <c r="E249" s="19" t="n">
        <f aca="false">F249*0.03</f>
        <v>0</v>
      </c>
      <c r="F249" s="33" t="n">
        <v>0</v>
      </c>
      <c r="G249" s="131"/>
      <c r="H249" s="35" t="n">
        <v>0</v>
      </c>
      <c r="I249" s="34" t="n">
        <f aca="false">+IF(E249=0,0,E249*0.03)</f>
        <v>0</v>
      </c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customFormat="false" ht="16.4" hidden="false" customHeight="false" outlineLevel="0" collapsed="false">
      <c r="A250" s="123" t="n">
        <v>45444</v>
      </c>
      <c r="B250" s="31" t="s">
        <v>153</v>
      </c>
      <c r="C250" s="129"/>
      <c r="D250" s="129"/>
      <c r="E250" s="19" t="n">
        <f aca="false">F250*0.03</f>
        <v>0</v>
      </c>
      <c r="F250" s="33" t="n">
        <v>0</v>
      </c>
      <c r="G250" s="131"/>
      <c r="H250" s="35" t="n">
        <v>0</v>
      </c>
      <c r="I250" s="34" t="n">
        <f aca="false">+IF(E250=0,0,E250*0.03)</f>
        <v>0</v>
      </c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customFormat="false" ht="16.4" hidden="false" customHeight="false" outlineLevel="0" collapsed="false">
      <c r="A251" s="123" t="n">
        <v>45444</v>
      </c>
      <c r="B251" s="31" t="s">
        <v>247</v>
      </c>
      <c r="C251" s="129"/>
      <c r="D251" s="129"/>
      <c r="E251" s="19" t="n">
        <f aca="false">F251*0.03</f>
        <v>0</v>
      </c>
      <c r="F251" s="33" t="n">
        <v>0</v>
      </c>
      <c r="G251" s="131"/>
      <c r="H251" s="35" t="n">
        <v>0</v>
      </c>
      <c r="I251" s="34" t="n">
        <f aca="false">+IF(E251=0,0,E251*0.03)</f>
        <v>0</v>
      </c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customFormat="false" ht="16.4" hidden="false" customHeight="false" outlineLevel="0" collapsed="false">
      <c r="A252" s="123" t="n">
        <v>45444</v>
      </c>
      <c r="B252" s="31" t="s">
        <v>246</v>
      </c>
      <c r="C252" s="129"/>
      <c r="D252" s="129"/>
      <c r="E252" s="19" t="n">
        <f aca="false">F252*0.03</f>
        <v>0</v>
      </c>
      <c r="F252" s="33" t="n">
        <v>0</v>
      </c>
      <c r="G252" s="131"/>
      <c r="H252" s="35" t="n">
        <v>0</v>
      </c>
      <c r="I252" s="34" t="n">
        <f aca="false">+IF(E252=0,0,E252*0.03)</f>
        <v>0</v>
      </c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customFormat="false" ht="16.4" hidden="false" customHeight="false" outlineLevel="0" collapsed="false">
      <c r="A253" s="123" t="n">
        <v>45444</v>
      </c>
      <c r="B253" s="31" t="s">
        <v>239</v>
      </c>
      <c r="C253" s="129"/>
      <c r="D253" s="129"/>
      <c r="E253" s="19" t="n">
        <f aca="false">F253*0.03</f>
        <v>0</v>
      </c>
      <c r="F253" s="33" t="n">
        <v>0</v>
      </c>
      <c r="G253" s="131"/>
      <c r="H253" s="35" t="n">
        <v>0</v>
      </c>
      <c r="I253" s="34" t="n">
        <f aca="false">+IF(E253=0,0,E253*0.03)</f>
        <v>0</v>
      </c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customFormat="false" ht="16.4" hidden="false" customHeight="false" outlineLevel="0" collapsed="false">
      <c r="A254" s="123" t="n">
        <v>45444</v>
      </c>
      <c r="B254" s="31" t="s">
        <v>7</v>
      </c>
      <c r="C254" s="129"/>
      <c r="D254" s="129"/>
      <c r="E254" s="19" t="n">
        <f aca="false">F254*0.03</f>
        <v>0</v>
      </c>
      <c r="F254" s="33" t="n">
        <v>0</v>
      </c>
      <c r="G254" s="131"/>
      <c r="H254" s="35" t="n">
        <v>0</v>
      </c>
      <c r="I254" s="34" t="n">
        <f aca="false">+IF(E254=0,0,E254*0.03)</f>
        <v>0</v>
      </c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customFormat="false" ht="16.4" hidden="false" customHeight="false" outlineLevel="0" collapsed="false">
      <c r="A255" s="123" t="n">
        <v>45444</v>
      </c>
      <c r="B255" s="31" t="s">
        <v>240</v>
      </c>
      <c r="C255" s="129"/>
      <c r="D255" s="129"/>
      <c r="E255" s="19" t="n">
        <f aca="false">F255*0.03</f>
        <v>0</v>
      </c>
      <c r="F255" s="33" t="n">
        <v>0</v>
      </c>
      <c r="G255" s="131"/>
      <c r="H255" s="35" t="n">
        <v>0</v>
      </c>
      <c r="I255" s="34" t="n">
        <f aca="false">+IF(E255=0,0,E255*0.03)</f>
        <v>0</v>
      </c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customFormat="false" ht="16.4" hidden="false" customHeight="false" outlineLevel="0" collapsed="false">
      <c r="A256" s="123" t="n">
        <v>45444</v>
      </c>
      <c r="B256" s="31" t="s">
        <v>153</v>
      </c>
      <c r="C256" s="129"/>
      <c r="D256" s="129"/>
      <c r="E256" s="19" t="n">
        <f aca="false">F256*0.03</f>
        <v>0</v>
      </c>
      <c r="F256" s="33" t="n">
        <v>0</v>
      </c>
      <c r="G256" s="131"/>
      <c r="H256" s="35" t="n">
        <v>0</v>
      </c>
      <c r="I256" s="34" t="n">
        <f aca="false">+IF(E256=0,0,E256*0.03)</f>
        <v>0</v>
      </c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customFormat="false" ht="16.4" hidden="false" customHeight="false" outlineLevel="0" collapsed="false">
      <c r="A257" s="123" t="n">
        <v>45444</v>
      </c>
      <c r="B257" s="31" t="s">
        <v>247</v>
      </c>
      <c r="C257" s="129"/>
      <c r="D257" s="129"/>
      <c r="E257" s="19" t="n">
        <f aca="false">F257*0.03</f>
        <v>0</v>
      </c>
      <c r="F257" s="33" t="n">
        <v>0</v>
      </c>
      <c r="G257" s="131"/>
      <c r="H257" s="35" t="n">
        <v>0</v>
      </c>
      <c r="I257" s="34" t="n">
        <f aca="false">+IF(E257=0,0,E257*0.03)</f>
        <v>0</v>
      </c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customFormat="false" ht="16.4" hidden="false" customHeight="false" outlineLevel="0" collapsed="false">
      <c r="A258" s="123" t="n">
        <v>45444</v>
      </c>
      <c r="B258" s="31" t="s">
        <v>246</v>
      </c>
      <c r="C258" s="129"/>
      <c r="D258" s="129"/>
      <c r="E258" s="19" t="n">
        <f aca="false">F258*0.03</f>
        <v>0</v>
      </c>
      <c r="F258" s="33" t="n">
        <v>0</v>
      </c>
      <c r="G258" s="131"/>
      <c r="H258" s="35" t="n">
        <v>0</v>
      </c>
      <c r="I258" s="34" t="n">
        <f aca="false">+IF(E258=0,0,E258*0.03)</f>
        <v>0</v>
      </c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customFormat="false" ht="16.4" hidden="false" customHeight="false" outlineLevel="0" collapsed="false">
      <c r="A259" s="123" t="n">
        <v>45444</v>
      </c>
      <c r="B259" s="31" t="s">
        <v>239</v>
      </c>
      <c r="C259" s="129"/>
      <c r="D259" s="129"/>
      <c r="E259" s="19" t="n">
        <f aca="false">F259*0.03</f>
        <v>0</v>
      </c>
      <c r="F259" s="33" t="n">
        <v>0</v>
      </c>
      <c r="G259" s="131"/>
      <c r="H259" s="35" t="n">
        <v>0</v>
      </c>
      <c r="I259" s="34" t="n">
        <f aca="false">+IF(E259=0,0,E259*0.03)</f>
        <v>0</v>
      </c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customFormat="false" ht="16.4" hidden="false" customHeight="false" outlineLevel="0" collapsed="false">
      <c r="A260" s="123" t="n">
        <v>45444</v>
      </c>
      <c r="B260" s="31" t="s">
        <v>7</v>
      </c>
      <c r="C260" s="129"/>
      <c r="D260" s="129"/>
      <c r="E260" s="19" t="n">
        <f aca="false">F260*0.03</f>
        <v>0</v>
      </c>
      <c r="F260" s="33" t="n">
        <v>0</v>
      </c>
      <c r="G260" s="131"/>
      <c r="H260" s="35" t="n">
        <v>0</v>
      </c>
      <c r="I260" s="34" t="n">
        <f aca="false">+IF(E260=0,0,E260*0.03)</f>
        <v>0</v>
      </c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customFormat="false" ht="16.4" hidden="false" customHeight="false" outlineLevel="0" collapsed="false">
      <c r="A261" s="123" t="n">
        <v>45444</v>
      </c>
      <c r="B261" s="31" t="s">
        <v>240</v>
      </c>
      <c r="C261" s="129"/>
      <c r="D261" s="129"/>
      <c r="E261" s="19" t="n">
        <f aca="false">F261*0.03</f>
        <v>0</v>
      </c>
      <c r="F261" s="33" t="n">
        <v>0</v>
      </c>
      <c r="G261" s="131"/>
      <c r="H261" s="35" t="n">
        <v>0</v>
      </c>
      <c r="I261" s="34" t="n">
        <f aca="false">+IF(E261=0,0,E261*0.03)</f>
        <v>0</v>
      </c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customFormat="false" ht="16.4" hidden="false" customHeight="false" outlineLevel="0" collapsed="false">
      <c r="A262" s="123" t="n">
        <v>45444</v>
      </c>
      <c r="B262" s="31" t="s">
        <v>153</v>
      </c>
      <c r="C262" s="129"/>
      <c r="D262" s="129"/>
      <c r="E262" s="19" t="n">
        <f aca="false">F262*0.03</f>
        <v>0</v>
      </c>
      <c r="F262" s="33" t="n">
        <v>0</v>
      </c>
      <c r="G262" s="131"/>
      <c r="H262" s="35" t="n">
        <v>0</v>
      </c>
      <c r="I262" s="34" t="n">
        <f aca="false">+IF(E262=0,0,E262*0.03)</f>
        <v>0</v>
      </c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customFormat="false" ht="16.4" hidden="false" customHeight="false" outlineLevel="0" collapsed="false">
      <c r="A263" s="123" t="n">
        <v>45444</v>
      </c>
      <c r="B263" s="31" t="s">
        <v>247</v>
      </c>
      <c r="C263" s="129"/>
      <c r="D263" s="129"/>
      <c r="E263" s="19" t="n">
        <f aca="false">F263*0.03</f>
        <v>0</v>
      </c>
      <c r="F263" s="33" t="n">
        <v>0</v>
      </c>
      <c r="G263" s="131"/>
      <c r="H263" s="35" t="n">
        <v>0</v>
      </c>
      <c r="I263" s="34" t="n">
        <f aca="false">+IF(E263=0,0,E263*0.03)</f>
        <v>0</v>
      </c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customFormat="false" ht="16.4" hidden="false" customHeight="false" outlineLevel="0" collapsed="false">
      <c r="A264" s="123" t="n">
        <v>45444</v>
      </c>
      <c r="B264" s="31" t="s">
        <v>246</v>
      </c>
      <c r="C264" s="129"/>
      <c r="D264" s="129"/>
      <c r="E264" s="19" t="n">
        <f aca="false">F264*0.03</f>
        <v>0</v>
      </c>
      <c r="F264" s="33" t="n">
        <v>0</v>
      </c>
      <c r="G264" s="131"/>
      <c r="H264" s="35" t="n">
        <v>0</v>
      </c>
      <c r="I264" s="34" t="n">
        <f aca="false">+IF(E264=0,0,E264*0.03)</f>
        <v>0</v>
      </c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customFormat="false" ht="16.4" hidden="false" customHeight="false" outlineLevel="0" collapsed="false">
      <c r="A265" s="123" t="n">
        <v>45444</v>
      </c>
      <c r="B265" s="31" t="s">
        <v>239</v>
      </c>
      <c r="C265" s="129"/>
      <c r="D265" s="129"/>
      <c r="E265" s="19" t="n">
        <f aca="false">F265*0.03</f>
        <v>0</v>
      </c>
      <c r="F265" s="33" t="n">
        <v>0</v>
      </c>
      <c r="G265" s="131"/>
      <c r="H265" s="35" t="n">
        <v>0</v>
      </c>
      <c r="I265" s="34" t="n">
        <f aca="false">+IF(E265=0,0,E265*0.03)</f>
        <v>0</v>
      </c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customFormat="false" ht="16.4" hidden="false" customHeight="false" outlineLevel="0" collapsed="false">
      <c r="A266" s="123" t="n">
        <v>45444</v>
      </c>
      <c r="B266" s="31" t="s">
        <v>7</v>
      </c>
      <c r="C266" s="129"/>
      <c r="D266" s="129"/>
      <c r="E266" s="19" t="n">
        <f aca="false">F266*0.03</f>
        <v>0</v>
      </c>
      <c r="F266" s="33" t="n">
        <v>0</v>
      </c>
      <c r="G266" s="131"/>
      <c r="H266" s="35" t="n">
        <v>0</v>
      </c>
      <c r="I266" s="34" t="n">
        <f aca="false">+IF(E266=0,0,E266*0.03)</f>
        <v>0</v>
      </c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customFormat="false" ht="16.4" hidden="false" customHeight="false" outlineLevel="0" collapsed="false">
      <c r="A267" s="123" t="n">
        <v>45444</v>
      </c>
      <c r="B267" s="31" t="s">
        <v>240</v>
      </c>
      <c r="C267" s="129"/>
      <c r="D267" s="129"/>
      <c r="E267" s="19" t="n">
        <f aca="false">F267*0.03</f>
        <v>0</v>
      </c>
      <c r="F267" s="33" t="n">
        <v>0</v>
      </c>
      <c r="G267" s="131"/>
      <c r="H267" s="35" t="n">
        <v>0</v>
      </c>
      <c r="I267" s="34" t="n">
        <f aca="false">+IF(E267=0,0,E267*0.03)</f>
        <v>0</v>
      </c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customFormat="false" ht="16.4" hidden="false" customHeight="false" outlineLevel="0" collapsed="false">
      <c r="A268" s="123" t="n">
        <v>45444</v>
      </c>
      <c r="B268" s="31" t="s">
        <v>153</v>
      </c>
      <c r="C268" s="129"/>
      <c r="D268" s="129"/>
      <c r="E268" s="19" t="n">
        <f aca="false">F268*0.03</f>
        <v>0</v>
      </c>
      <c r="F268" s="33" t="n">
        <v>0</v>
      </c>
      <c r="G268" s="131"/>
      <c r="H268" s="35" t="n">
        <v>0</v>
      </c>
      <c r="I268" s="34" t="n">
        <f aca="false">+IF(E268=0,0,E268*0.03)</f>
        <v>0</v>
      </c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customFormat="false" ht="16.4" hidden="false" customHeight="false" outlineLevel="0" collapsed="false">
      <c r="A269" s="123" t="n">
        <v>45444</v>
      </c>
      <c r="B269" s="31" t="s">
        <v>247</v>
      </c>
      <c r="C269" s="129"/>
      <c r="D269" s="129"/>
      <c r="E269" s="19" t="n">
        <f aca="false">F269*0.03</f>
        <v>0</v>
      </c>
      <c r="F269" s="33" t="n">
        <v>0</v>
      </c>
      <c r="G269" s="131"/>
      <c r="H269" s="35" t="n">
        <v>0</v>
      </c>
      <c r="I269" s="34" t="n">
        <f aca="false">+IF(E269=0,0,E269*0.03)</f>
        <v>0</v>
      </c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customFormat="false" ht="16.4" hidden="false" customHeight="false" outlineLevel="0" collapsed="false">
      <c r="A270" s="123" t="n">
        <v>45444</v>
      </c>
      <c r="B270" s="31" t="s">
        <v>246</v>
      </c>
      <c r="C270" s="129"/>
      <c r="D270" s="129"/>
      <c r="E270" s="19" t="n">
        <f aca="false">F270*0.03</f>
        <v>0</v>
      </c>
      <c r="F270" s="33" t="n">
        <v>0</v>
      </c>
      <c r="G270" s="131"/>
      <c r="H270" s="35" t="n">
        <v>0</v>
      </c>
      <c r="I270" s="34" t="n">
        <f aca="false">+IF(E270=0,0,E270*0.03)</f>
        <v>0</v>
      </c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customFormat="false" ht="16.4" hidden="false" customHeight="false" outlineLevel="0" collapsed="false">
      <c r="A271" s="123" t="n">
        <v>45444</v>
      </c>
      <c r="B271" s="31" t="s">
        <v>239</v>
      </c>
      <c r="C271" s="129"/>
      <c r="D271" s="129"/>
      <c r="E271" s="19" t="n">
        <f aca="false">F271*0.03</f>
        <v>0</v>
      </c>
      <c r="F271" s="33" t="n">
        <v>0</v>
      </c>
      <c r="G271" s="131"/>
      <c r="H271" s="35" t="n">
        <v>0</v>
      </c>
      <c r="I271" s="34" t="n">
        <f aca="false">+IF(E271=0,0,E271*0.03)</f>
        <v>0</v>
      </c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customFormat="false" ht="16.4" hidden="false" customHeight="false" outlineLevel="0" collapsed="false">
      <c r="A272" s="123" t="n">
        <v>45444</v>
      </c>
      <c r="B272" s="31" t="s">
        <v>7</v>
      </c>
      <c r="C272" s="129"/>
      <c r="D272" s="129"/>
      <c r="E272" s="19" t="n">
        <f aca="false">F272*0.03</f>
        <v>0</v>
      </c>
      <c r="F272" s="33" t="n">
        <v>0</v>
      </c>
      <c r="G272" s="131"/>
      <c r="H272" s="35" t="n">
        <v>0</v>
      </c>
      <c r="I272" s="34" t="n">
        <f aca="false">+IF(E272=0,0,E272*0.03)</f>
        <v>0</v>
      </c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customFormat="false" ht="16.4" hidden="false" customHeight="false" outlineLevel="0" collapsed="false">
      <c r="A273" s="123" t="n">
        <v>45444</v>
      </c>
      <c r="B273" s="31" t="s">
        <v>240</v>
      </c>
      <c r="C273" s="129"/>
      <c r="D273" s="129"/>
      <c r="E273" s="19" t="n">
        <f aca="false">F273*0.03</f>
        <v>0</v>
      </c>
      <c r="F273" s="33" t="n">
        <v>0</v>
      </c>
      <c r="G273" s="131"/>
      <c r="H273" s="35" t="n">
        <v>0</v>
      </c>
      <c r="I273" s="34" t="n">
        <f aca="false">+IF(E273=0,0,E273*0.03)</f>
        <v>0</v>
      </c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customFormat="false" ht="16.4" hidden="false" customHeight="false" outlineLevel="0" collapsed="false">
      <c r="A274" s="123" t="n">
        <v>45444</v>
      </c>
      <c r="B274" s="31" t="s">
        <v>153</v>
      </c>
      <c r="C274" s="129"/>
      <c r="D274" s="129"/>
      <c r="E274" s="19" t="n">
        <f aca="false">F274*0.03</f>
        <v>0</v>
      </c>
      <c r="F274" s="33" t="n">
        <v>0</v>
      </c>
      <c r="G274" s="131"/>
      <c r="H274" s="35" t="n">
        <v>0</v>
      </c>
      <c r="I274" s="34" t="n">
        <f aca="false">+IF(E274=0,0,E274*0.03)</f>
        <v>0</v>
      </c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customFormat="false" ht="16.4" hidden="false" customHeight="false" outlineLevel="0" collapsed="false">
      <c r="A275" s="123" t="n">
        <v>45444</v>
      </c>
      <c r="B275" s="31" t="s">
        <v>247</v>
      </c>
      <c r="C275" s="129"/>
      <c r="D275" s="129"/>
      <c r="E275" s="19" t="n">
        <f aca="false">F275*0.03</f>
        <v>0</v>
      </c>
      <c r="F275" s="33" t="n">
        <v>0</v>
      </c>
      <c r="G275" s="131"/>
      <c r="H275" s="35" t="n">
        <v>0</v>
      </c>
      <c r="I275" s="34" t="n">
        <f aca="false">+IF(E275=0,0,E275*0.03)</f>
        <v>0</v>
      </c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customFormat="false" ht="16.4" hidden="false" customHeight="false" outlineLevel="0" collapsed="false">
      <c r="A276" s="123" t="n">
        <v>45444</v>
      </c>
      <c r="B276" s="31" t="s">
        <v>246</v>
      </c>
      <c r="C276" s="129"/>
      <c r="D276" s="129"/>
      <c r="E276" s="19" t="n">
        <f aca="false">F276*0.03</f>
        <v>0</v>
      </c>
      <c r="F276" s="33" t="n">
        <v>0</v>
      </c>
      <c r="G276" s="131"/>
      <c r="H276" s="35" t="n">
        <v>0</v>
      </c>
      <c r="I276" s="34" t="n">
        <f aca="false">+IF(E276=0,0,E276*0.03)</f>
        <v>0</v>
      </c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customFormat="false" ht="16.4" hidden="false" customHeight="false" outlineLevel="0" collapsed="false">
      <c r="A277" s="123" t="n">
        <v>45444</v>
      </c>
      <c r="B277" s="31" t="s">
        <v>239</v>
      </c>
      <c r="C277" s="129"/>
      <c r="D277" s="129"/>
      <c r="E277" s="19" t="n">
        <f aca="false">F277*0.03</f>
        <v>0</v>
      </c>
      <c r="F277" s="33" t="n">
        <v>0</v>
      </c>
      <c r="G277" s="131"/>
      <c r="H277" s="35" t="n">
        <v>0</v>
      </c>
      <c r="I277" s="34" t="n">
        <f aca="false">+IF(E277=0,0,E277*0.03)</f>
        <v>0</v>
      </c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customFormat="false" ht="16.4" hidden="false" customHeight="false" outlineLevel="0" collapsed="false">
      <c r="A278" s="123" t="n">
        <v>45444</v>
      </c>
      <c r="B278" s="31" t="s">
        <v>7</v>
      </c>
      <c r="C278" s="129"/>
      <c r="D278" s="129"/>
      <c r="E278" s="19" t="n">
        <f aca="false">F278*0.03</f>
        <v>0</v>
      </c>
      <c r="F278" s="33" t="n">
        <v>0</v>
      </c>
      <c r="G278" s="131"/>
      <c r="H278" s="35" t="n">
        <v>0</v>
      </c>
      <c r="I278" s="34" t="n">
        <f aca="false">+IF(E278=0,0,E278*0.03)</f>
        <v>0</v>
      </c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customFormat="false" ht="16.4" hidden="false" customHeight="false" outlineLevel="0" collapsed="false">
      <c r="A279" s="123" t="n">
        <v>45444</v>
      </c>
      <c r="B279" s="31" t="s">
        <v>240</v>
      </c>
      <c r="C279" s="129"/>
      <c r="D279" s="129"/>
      <c r="E279" s="19" t="n">
        <f aca="false">F279*0.03</f>
        <v>0</v>
      </c>
      <c r="F279" s="33" t="n">
        <v>0</v>
      </c>
      <c r="G279" s="131"/>
      <c r="H279" s="35" t="n">
        <v>0</v>
      </c>
      <c r="I279" s="34" t="n">
        <f aca="false">+IF(E279=0,0,E279*0.03)</f>
        <v>0</v>
      </c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customFormat="false" ht="16.4" hidden="false" customHeight="false" outlineLevel="0" collapsed="false">
      <c r="A280" s="123" t="n">
        <v>45444</v>
      </c>
      <c r="B280" s="31" t="s">
        <v>153</v>
      </c>
      <c r="C280" s="129"/>
      <c r="D280" s="129"/>
      <c r="E280" s="19" t="n">
        <f aca="false">F280*0.03</f>
        <v>0</v>
      </c>
      <c r="F280" s="33" t="n">
        <v>0</v>
      </c>
      <c r="G280" s="131"/>
      <c r="H280" s="35" t="n">
        <v>0</v>
      </c>
      <c r="I280" s="34" t="n">
        <f aca="false">+IF(E280=0,0,E280*0.03)</f>
        <v>0</v>
      </c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customFormat="false" ht="16.4" hidden="false" customHeight="false" outlineLevel="0" collapsed="false">
      <c r="A281" s="123" t="n">
        <v>45444</v>
      </c>
      <c r="B281" s="31" t="s">
        <v>247</v>
      </c>
      <c r="C281" s="129"/>
      <c r="D281" s="129"/>
      <c r="E281" s="19" t="n">
        <f aca="false">F281*0.03</f>
        <v>0</v>
      </c>
      <c r="F281" s="33" t="n">
        <v>0</v>
      </c>
      <c r="G281" s="131"/>
      <c r="H281" s="35" t="n">
        <v>0</v>
      </c>
      <c r="I281" s="34" t="n">
        <f aca="false">+IF(E281=0,0,E281*0.03)</f>
        <v>0</v>
      </c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customFormat="false" ht="16.4" hidden="false" customHeight="false" outlineLevel="0" collapsed="false">
      <c r="A282" s="123" t="n">
        <v>45444</v>
      </c>
      <c r="B282" s="31" t="s">
        <v>246</v>
      </c>
      <c r="C282" s="129"/>
      <c r="D282" s="129"/>
      <c r="E282" s="19" t="n">
        <f aca="false">F282*0.03</f>
        <v>0</v>
      </c>
      <c r="F282" s="33" t="n">
        <v>0</v>
      </c>
      <c r="G282" s="131"/>
      <c r="H282" s="35" t="n">
        <v>0</v>
      </c>
      <c r="I282" s="34" t="n">
        <f aca="false">+IF(E282=0,0,E282*0.03)</f>
        <v>0</v>
      </c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customFormat="false" ht="16.4" hidden="false" customHeight="false" outlineLevel="0" collapsed="false">
      <c r="A283" s="123" t="n">
        <v>45444</v>
      </c>
      <c r="B283" s="31" t="s">
        <v>239</v>
      </c>
      <c r="C283" s="129"/>
      <c r="D283" s="129"/>
      <c r="E283" s="19" t="n">
        <f aca="false">F283*0.03</f>
        <v>0</v>
      </c>
      <c r="F283" s="33" t="n">
        <v>0</v>
      </c>
      <c r="G283" s="131"/>
      <c r="H283" s="35" t="n">
        <v>0</v>
      </c>
      <c r="I283" s="34" t="n">
        <f aca="false">+IF(E283=0,0,E283*0.03)</f>
        <v>0</v>
      </c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customFormat="false" ht="16.4" hidden="false" customHeight="false" outlineLevel="0" collapsed="false">
      <c r="A284" s="123" t="n">
        <v>45444</v>
      </c>
      <c r="B284" s="31" t="s">
        <v>7</v>
      </c>
      <c r="C284" s="129"/>
      <c r="D284" s="129"/>
      <c r="E284" s="19" t="n">
        <f aca="false">F284*0.03</f>
        <v>0</v>
      </c>
      <c r="F284" s="33" t="n">
        <v>0</v>
      </c>
      <c r="G284" s="131"/>
      <c r="H284" s="35" t="n">
        <v>0</v>
      </c>
      <c r="I284" s="34" t="n">
        <f aca="false">+IF(E284=0,0,E284*0.03)</f>
        <v>0</v>
      </c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customFormat="false" ht="16.4" hidden="false" customHeight="false" outlineLevel="0" collapsed="false">
      <c r="A285" s="123" t="n">
        <v>45444</v>
      </c>
      <c r="B285" s="31" t="s">
        <v>240</v>
      </c>
      <c r="C285" s="129"/>
      <c r="D285" s="129"/>
      <c r="E285" s="19" t="n">
        <f aca="false">F285*0.03</f>
        <v>0</v>
      </c>
      <c r="F285" s="33" t="n">
        <v>0</v>
      </c>
      <c r="G285" s="131"/>
      <c r="H285" s="35" t="n">
        <v>0</v>
      </c>
      <c r="I285" s="34" t="n">
        <f aca="false">+IF(E285=0,0,E285*0.03)</f>
        <v>0</v>
      </c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customFormat="false" ht="16.4" hidden="false" customHeight="false" outlineLevel="0" collapsed="false">
      <c r="A286" s="123" t="n">
        <v>45444</v>
      </c>
      <c r="B286" s="31" t="s">
        <v>153</v>
      </c>
      <c r="C286" s="129"/>
      <c r="D286" s="129"/>
      <c r="E286" s="19" t="n">
        <f aca="false">F286*0.03</f>
        <v>0</v>
      </c>
      <c r="F286" s="33" t="n">
        <v>0</v>
      </c>
      <c r="G286" s="131"/>
      <c r="H286" s="35" t="n">
        <v>0</v>
      </c>
      <c r="I286" s="34" t="n">
        <f aca="false">+IF(E286=0,0,E286*0.03)</f>
        <v>0</v>
      </c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customFormat="false" ht="16.4" hidden="false" customHeight="false" outlineLevel="0" collapsed="false">
      <c r="A287" s="123" t="n">
        <v>45444</v>
      </c>
      <c r="B287" s="31" t="s">
        <v>247</v>
      </c>
      <c r="C287" s="129"/>
      <c r="D287" s="129"/>
      <c r="E287" s="19" t="n">
        <f aca="false">F287*0.03</f>
        <v>0</v>
      </c>
      <c r="F287" s="33" t="n">
        <v>0</v>
      </c>
      <c r="G287" s="131"/>
      <c r="H287" s="35" t="n">
        <v>0</v>
      </c>
      <c r="I287" s="34" t="n">
        <f aca="false">+IF(E287=0,0,E287*0.03)</f>
        <v>0</v>
      </c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customFormat="false" ht="16.4" hidden="false" customHeight="false" outlineLevel="0" collapsed="false">
      <c r="A288" s="123" t="n">
        <v>45444</v>
      </c>
      <c r="B288" s="31" t="s">
        <v>246</v>
      </c>
      <c r="C288" s="129"/>
      <c r="D288" s="129"/>
      <c r="E288" s="19" t="n">
        <f aca="false">F288*0.03</f>
        <v>0</v>
      </c>
      <c r="F288" s="33" t="n">
        <v>0</v>
      </c>
      <c r="G288" s="131"/>
      <c r="H288" s="35" t="n">
        <v>0</v>
      </c>
      <c r="I288" s="34" t="n">
        <f aca="false">+IF(E288=0,0,E288*0.03)</f>
        <v>0</v>
      </c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customFormat="false" ht="16.4" hidden="false" customHeight="false" outlineLevel="0" collapsed="false">
      <c r="A289" s="123" t="n">
        <v>45444</v>
      </c>
      <c r="B289" s="31" t="s">
        <v>239</v>
      </c>
      <c r="C289" s="129"/>
      <c r="D289" s="129"/>
      <c r="E289" s="19" t="n">
        <f aca="false">F289*0.03</f>
        <v>0</v>
      </c>
      <c r="F289" s="33" t="n">
        <v>0</v>
      </c>
      <c r="G289" s="131"/>
      <c r="H289" s="35" t="n">
        <v>0</v>
      </c>
      <c r="I289" s="34" t="n">
        <f aca="false">+IF(E289=0,0,E289*0.03)</f>
        <v>0</v>
      </c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customFormat="false" ht="16.4" hidden="false" customHeight="false" outlineLevel="0" collapsed="false">
      <c r="A290" s="123" t="n">
        <v>45444</v>
      </c>
      <c r="B290" s="31" t="s">
        <v>7</v>
      </c>
      <c r="C290" s="129"/>
      <c r="D290" s="129"/>
      <c r="E290" s="19" t="n">
        <f aca="false">F290*0.03</f>
        <v>0</v>
      </c>
      <c r="F290" s="33" t="n">
        <v>0</v>
      </c>
      <c r="G290" s="131"/>
      <c r="H290" s="35" t="n">
        <v>0</v>
      </c>
      <c r="I290" s="34" t="n">
        <f aca="false">+IF(E290=0,0,E290*0.03)</f>
        <v>0</v>
      </c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customFormat="false" ht="16.4" hidden="false" customHeight="false" outlineLevel="0" collapsed="false">
      <c r="A291" s="123" t="n">
        <v>45444</v>
      </c>
      <c r="B291" s="31" t="s">
        <v>240</v>
      </c>
      <c r="C291" s="129"/>
      <c r="D291" s="129"/>
      <c r="E291" s="19" t="n">
        <f aca="false">F291*0.03</f>
        <v>0</v>
      </c>
      <c r="F291" s="33" t="n">
        <v>0</v>
      </c>
      <c r="G291" s="131"/>
      <c r="H291" s="35" t="n">
        <v>0</v>
      </c>
      <c r="I291" s="34" t="n">
        <f aca="false">+IF(E291=0,0,E291*0.03)</f>
        <v>0</v>
      </c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customFormat="false" ht="16.4" hidden="false" customHeight="false" outlineLevel="0" collapsed="false">
      <c r="A292" s="123" t="n">
        <v>45444</v>
      </c>
      <c r="B292" s="31" t="s">
        <v>153</v>
      </c>
      <c r="C292" s="129"/>
      <c r="D292" s="129"/>
      <c r="E292" s="19" t="n">
        <f aca="false">F292*0.03</f>
        <v>0</v>
      </c>
      <c r="F292" s="33" t="n">
        <v>0</v>
      </c>
      <c r="G292" s="131"/>
      <c r="H292" s="35" t="n">
        <v>0</v>
      </c>
      <c r="I292" s="34" t="n">
        <f aca="false">+IF(E292=0,0,E292*0.03)</f>
        <v>0</v>
      </c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customFormat="false" ht="16.4" hidden="false" customHeight="false" outlineLevel="0" collapsed="false">
      <c r="A293" s="123" t="n">
        <v>45444</v>
      </c>
      <c r="B293" s="31" t="s">
        <v>247</v>
      </c>
      <c r="C293" s="129"/>
      <c r="D293" s="129"/>
      <c r="E293" s="19" t="n">
        <f aca="false">F293*0.03</f>
        <v>0</v>
      </c>
      <c r="F293" s="33" t="n">
        <v>0</v>
      </c>
      <c r="G293" s="131"/>
      <c r="H293" s="35" t="n">
        <v>0</v>
      </c>
      <c r="I293" s="34" t="n">
        <f aca="false">+IF(E293=0,0,E293*0.03)</f>
        <v>0</v>
      </c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customFormat="false" ht="16.4" hidden="false" customHeight="false" outlineLevel="0" collapsed="false">
      <c r="A294" s="123" t="n">
        <v>45444</v>
      </c>
      <c r="B294" s="31" t="s">
        <v>246</v>
      </c>
      <c r="C294" s="129"/>
      <c r="D294" s="129"/>
      <c r="E294" s="19" t="n">
        <f aca="false">F294*0.03</f>
        <v>0</v>
      </c>
      <c r="F294" s="33" t="n">
        <v>0</v>
      </c>
      <c r="G294" s="131"/>
      <c r="H294" s="35" t="n">
        <v>0</v>
      </c>
      <c r="I294" s="34" t="n">
        <f aca="false">+IF(E294=0,0,E294*0.03)</f>
        <v>0</v>
      </c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customFormat="false" ht="16.4" hidden="false" customHeight="false" outlineLevel="0" collapsed="false">
      <c r="A295" s="123" t="n">
        <v>45444</v>
      </c>
      <c r="B295" s="31" t="s">
        <v>239</v>
      </c>
      <c r="C295" s="129"/>
      <c r="D295" s="129"/>
      <c r="E295" s="19" t="n">
        <f aca="false">F295*0.03</f>
        <v>0</v>
      </c>
      <c r="F295" s="33" t="n">
        <v>0</v>
      </c>
      <c r="G295" s="131"/>
      <c r="H295" s="35" t="n">
        <v>0</v>
      </c>
      <c r="I295" s="34" t="n">
        <f aca="false">+IF(E295=0,0,E295*0.03)</f>
        <v>0</v>
      </c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customFormat="false" ht="16.4" hidden="false" customHeight="false" outlineLevel="0" collapsed="false">
      <c r="A296" s="123" t="n">
        <v>45444</v>
      </c>
      <c r="B296" s="31" t="s">
        <v>7</v>
      </c>
      <c r="C296" s="129"/>
      <c r="D296" s="129"/>
      <c r="E296" s="19" t="n">
        <f aca="false">F296*0.03</f>
        <v>0</v>
      </c>
      <c r="F296" s="33" t="n">
        <v>0</v>
      </c>
      <c r="G296" s="131"/>
      <c r="H296" s="35" t="n">
        <v>0</v>
      </c>
      <c r="I296" s="34" t="n">
        <f aca="false">+IF(E296=0,0,E296*0.03)</f>
        <v>0</v>
      </c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customFormat="false" ht="16.4" hidden="false" customHeight="false" outlineLevel="0" collapsed="false">
      <c r="A297" s="123" t="n">
        <v>45444</v>
      </c>
      <c r="B297" s="31" t="s">
        <v>240</v>
      </c>
      <c r="C297" s="129"/>
      <c r="D297" s="129"/>
      <c r="E297" s="19" t="n">
        <f aca="false">F297*0.03</f>
        <v>0</v>
      </c>
      <c r="F297" s="33" t="n">
        <v>0</v>
      </c>
      <c r="G297" s="131"/>
      <c r="H297" s="35" t="n">
        <v>0</v>
      </c>
      <c r="I297" s="34" t="n">
        <f aca="false">+IF(E297=0,0,E297*0.03)</f>
        <v>0</v>
      </c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customFormat="false" ht="16.4" hidden="false" customHeight="false" outlineLevel="0" collapsed="false">
      <c r="A298" s="123" t="n">
        <v>45444</v>
      </c>
      <c r="B298" s="31" t="s">
        <v>153</v>
      </c>
      <c r="C298" s="129"/>
      <c r="D298" s="129"/>
      <c r="E298" s="19" t="n">
        <f aca="false">F298*0.03</f>
        <v>0</v>
      </c>
      <c r="F298" s="33" t="n">
        <v>0</v>
      </c>
      <c r="G298" s="131"/>
      <c r="H298" s="35" t="n">
        <v>0</v>
      </c>
      <c r="I298" s="34" t="n">
        <f aca="false">+IF(E298=0,0,E298*0.03)</f>
        <v>0</v>
      </c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customFormat="false" ht="16.4" hidden="false" customHeight="false" outlineLevel="0" collapsed="false">
      <c r="A299" s="123" t="n">
        <v>45444</v>
      </c>
      <c r="B299" s="31" t="s">
        <v>247</v>
      </c>
      <c r="C299" s="129"/>
      <c r="D299" s="129"/>
      <c r="E299" s="19" t="n">
        <f aca="false">F299*0.03</f>
        <v>0</v>
      </c>
      <c r="F299" s="33" t="n">
        <v>0</v>
      </c>
      <c r="G299" s="131"/>
      <c r="H299" s="35" t="n">
        <v>0</v>
      </c>
      <c r="I299" s="34" t="n">
        <f aca="false">+IF(E299=0,0,E299*0.03)</f>
        <v>0</v>
      </c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customFormat="false" ht="16.4" hidden="false" customHeight="false" outlineLevel="0" collapsed="false">
      <c r="A300" s="123" t="n">
        <v>45444</v>
      </c>
      <c r="B300" s="31" t="s">
        <v>246</v>
      </c>
      <c r="C300" s="129"/>
      <c r="D300" s="129"/>
      <c r="E300" s="19" t="n">
        <f aca="false">F300*0.03</f>
        <v>0</v>
      </c>
      <c r="F300" s="33" t="n">
        <v>0</v>
      </c>
      <c r="G300" s="131"/>
      <c r="H300" s="35" t="n">
        <v>0</v>
      </c>
      <c r="I300" s="34" t="n">
        <f aca="false">+IF(E300=0,0,E300*0.03)</f>
        <v>0</v>
      </c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customFormat="false" ht="16.4" hidden="false" customHeight="false" outlineLevel="0" collapsed="false">
      <c r="A301" s="123" t="n">
        <v>45444</v>
      </c>
      <c r="B301" s="31" t="s">
        <v>239</v>
      </c>
      <c r="C301" s="129"/>
      <c r="D301" s="129"/>
      <c r="E301" s="19" t="n">
        <f aca="false">F301*0.03</f>
        <v>0</v>
      </c>
      <c r="F301" s="33" t="n">
        <v>0</v>
      </c>
      <c r="G301" s="131"/>
      <c r="H301" s="35" t="n">
        <v>0</v>
      </c>
      <c r="I301" s="34" t="n">
        <f aca="false">+IF(E301=0,0,E301*0.03)</f>
        <v>0</v>
      </c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customFormat="false" ht="16.4" hidden="false" customHeight="false" outlineLevel="0" collapsed="false">
      <c r="A302" s="123" t="n">
        <v>45444</v>
      </c>
      <c r="B302" s="31" t="s">
        <v>7</v>
      </c>
      <c r="C302" s="129"/>
      <c r="D302" s="129"/>
      <c r="E302" s="19" t="n">
        <f aca="false">F302*0.03</f>
        <v>0</v>
      </c>
      <c r="F302" s="33" t="n">
        <v>0</v>
      </c>
      <c r="G302" s="131"/>
      <c r="H302" s="35" t="n">
        <v>0</v>
      </c>
      <c r="I302" s="34" t="n">
        <f aca="false">+IF(E302=0,0,E302*0.03)</f>
        <v>0</v>
      </c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customFormat="false" ht="16.4" hidden="false" customHeight="false" outlineLevel="0" collapsed="false">
      <c r="A303" s="123" t="n">
        <v>45444</v>
      </c>
      <c r="B303" s="31" t="s">
        <v>240</v>
      </c>
      <c r="C303" s="129"/>
      <c r="D303" s="129"/>
      <c r="E303" s="19" t="n">
        <f aca="false">F303*0.03</f>
        <v>0</v>
      </c>
      <c r="F303" s="33" t="n">
        <v>0</v>
      </c>
      <c r="G303" s="131"/>
      <c r="H303" s="35" t="n">
        <v>0</v>
      </c>
      <c r="I303" s="34" t="n">
        <f aca="false">+IF(E303=0,0,E303*0.03)</f>
        <v>0</v>
      </c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customFormat="false" ht="16.4" hidden="false" customHeight="false" outlineLevel="0" collapsed="false">
      <c r="A304" s="123" t="n">
        <v>45444</v>
      </c>
      <c r="B304" s="31" t="s">
        <v>153</v>
      </c>
      <c r="C304" s="129"/>
      <c r="D304" s="129"/>
      <c r="E304" s="19" t="n">
        <f aca="false">F304*0.03</f>
        <v>0</v>
      </c>
      <c r="F304" s="33" t="n">
        <v>0</v>
      </c>
      <c r="G304" s="131"/>
      <c r="H304" s="35" t="n">
        <v>0</v>
      </c>
      <c r="I304" s="34" t="n">
        <f aca="false">+IF(E304=0,0,E304*0.03)</f>
        <v>0</v>
      </c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customFormat="false" ht="16.4" hidden="false" customHeight="false" outlineLevel="0" collapsed="false">
      <c r="A305" s="123" t="n">
        <v>45444</v>
      </c>
      <c r="B305" s="31" t="s">
        <v>247</v>
      </c>
      <c r="C305" s="129"/>
      <c r="D305" s="129"/>
      <c r="E305" s="19" t="n">
        <f aca="false">F305*0.03</f>
        <v>0</v>
      </c>
      <c r="F305" s="33" t="n">
        <v>0</v>
      </c>
      <c r="G305" s="131"/>
      <c r="H305" s="35" t="n">
        <v>0</v>
      </c>
      <c r="I305" s="34" t="n">
        <f aca="false">+IF(E305=0,0,E305*0.03)</f>
        <v>0</v>
      </c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customFormat="false" ht="16.4" hidden="false" customHeight="false" outlineLevel="0" collapsed="false">
      <c r="A306" s="123" t="n">
        <v>45444</v>
      </c>
      <c r="B306" s="31" t="s">
        <v>246</v>
      </c>
      <c r="C306" s="129"/>
      <c r="D306" s="129"/>
      <c r="E306" s="19" t="n">
        <f aca="false">F306*0.03</f>
        <v>0</v>
      </c>
      <c r="F306" s="33" t="n">
        <v>0</v>
      </c>
      <c r="G306" s="131"/>
      <c r="H306" s="35" t="n">
        <v>0</v>
      </c>
      <c r="I306" s="34" t="n">
        <f aca="false">+IF(E306=0,0,E306*0.03)</f>
        <v>0</v>
      </c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customFormat="false" ht="16.4" hidden="false" customHeight="false" outlineLevel="0" collapsed="false">
      <c r="A307" s="123" t="n">
        <v>45444</v>
      </c>
      <c r="B307" s="31" t="s">
        <v>239</v>
      </c>
      <c r="C307" s="129"/>
      <c r="D307" s="129"/>
      <c r="E307" s="19" t="n">
        <f aca="false">F307*0.03</f>
        <v>0</v>
      </c>
      <c r="F307" s="33" t="n">
        <v>0</v>
      </c>
      <c r="G307" s="131"/>
      <c r="H307" s="35" t="n">
        <v>0</v>
      </c>
      <c r="I307" s="34" t="n">
        <f aca="false">+IF(E307=0,0,E307*0.03)</f>
        <v>0</v>
      </c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customFormat="false" ht="16.4" hidden="false" customHeight="false" outlineLevel="0" collapsed="false">
      <c r="A308" s="123" t="n">
        <v>45444</v>
      </c>
      <c r="B308" s="31" t="s">
        <v>7</v>
      </c>
      <c r="C308" s="129"/>
      <c r="D308" s="129"/>
      <c r="E308" s="19" t="n">
        <f aca="false">F308*0.03</f>
        <v>0</v>
      </c>
      <c r="F308" s="33" t="n">
        <v>0</v>
      </c>
      <c r="G308" s="131"/>
      <c r="H308" s="35" t="n">
        <v>0</v>
      </c>
      <c r="I308" s="34" t="n">
        <f aca="false">+IF(E308=0,0,E308*0.03)</f>
        <v>0</v>
      </c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customFormat="false" ht="16.4" hidden="false" customHeight="false" outlineLevel="0" collapsed="false">
      <c r="A309" s="123" t="n">
        <v>45444</v>
      </c>
      <c r="B309" s="31" t="s">
        <v>240</v>
      </c>
      <c r="C309" s="129"/>
      <c r="D309" s="129"/>
      <c r="E309" s="19" t="n">
        <f aca="false">F309*0.03</f>
        <v>0</v>
      </c>
      <c r="F309" s="33" t="n">
        <v>0</v>
      </c>
      <c r="G309" s="131"/>
      <c r="H309" s="35" t="n">
        <v>0</v>
      </c>
      <c r="I309" s="34" t="n">
        <f aca="false">+IF(E309=0,0,E309*0.03)</f>
        <v>0</v>
      </c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customFormat="false" ht="16.4" hidden="false" customHeight="false" outlineLevel="0" collapsed="false">
      <c r="A310" s="123" t="n">
        <v>45444</v>
      </c>
      <c r="B310" s="31" t="s">
        <v>153</v>
      </c>
      <c r="C310" s="129"/>
      <c r="D310" s="129"/>
      <c r="E310" s="19" t="n">
        <f aca="false">F310*0.03</f>
        <v>0</v>
      </c>
      <c r="F310" s="33" t="n">
        <v>0</v>
      </c>
      <c r="G310" s="131"/>
      <c r="H310" s="35" t="n">
        <v>0</v>
      </c>
      <c r="I310" s="34" t="n">
        <f aca="false">+IF(E310=0,0,E310*0.03)</f>
        <v>0</v>
      </c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customFormat="false" ht="16.4" hidden="false" customHeight="false" outlineLevel="0" collapsed="false">
      <c r="A311" s="123" t="n">
        <v>45444</v>
      </c>
      <c r="B311" s="31" t="s">
        <v>247</v>
      </c>
      <c r="C311" s="129"/>
      <c r="D311" s="129"/>
      <c r="E311" s="19" t="n">
        <f aca="false">F311*0.03</f>
        <v>0</v>
      </c>
      <c r="F311" s="33" t="n">
        <v>0</v>
      </c>
      <c r="G311" s="131"/>
      <c r="H311" s="35" t="n">
        <v>0</v>
      </c>
      <c r="I311" s="34" t="n">
        <f aca="false">+IF(E311=0,0,E311*0.03)</f>
        <v>0</v>
      </c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customFormat="false" ht="16.4" hidden="false" customHeight="false" outlineLevel="0" collapsed="false">
      <c r="A312" s="123" t="n">
        <v>45444</v>
      </c>
      <c r="B312" s="31" t="s">
        <v>246</v>
      </c>
      <c r="C312" s="129"/>
      <c r="D312" s="129"/>
      <c r="E312" s="19" t="n">
        <f aca="false">F312*0.03</f>
        <v>0</v>
      </c>
      <c r="F312" s="33" t="n">
        <v>0</v>
      </c>
      <c r="G312" s="131"/>
      <c r="H312" s="35" t="n">
        <v>0</v>
      </c>
      <c r="I312" s="34" t="n">
        <f aca="false">+IF(E312=0,0,E312*0.03)</f>
        <v>0</v>
      </c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customFormat="false" ht="16.4" hidden="false" customHeight="false" outlineLevel="0" collapsed="false">
      <c r="A313" s="123" t="n">
        <v>45444</v>
      </c>
      <c r="B313" s="31" t="s">
        <v>239</v>
      </c>
      <c r="C313" s="129"/>
      <c r="D313" s="129"/>
      <c r="E313" s="19" t="n">
        <f aca="false">F313*0.03</f>
        <v>0</v>
      </c>
      <c r="F313" s="33" t="n">
        <v>0</v>
      </c>
      <c r="G313" s="131"/>
      <c r="H313" s="35" t="n">
        <v>0</v>
      </c>
      <c r="I313" s="34" t="n">
        <f aca="false">+IF(E313=0,0,E313*0.03)</f>
        <v>0</v>
      </c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customFormat="false" ht="16.4" hidden="false" customHeight="false" outlineLevel="0" collapsed="false">
      <c r="A314" s="123" t="n">
        <v>45444</v>
      </c>
      <c r="B314" s="31" t="s">
        <v>7</v>
      </c>
      <c r="C314" s="129"/>
      <c r="D314" s="129"/>
      <c r="E314" s="19" t="n">
        <f aca="false">F314*0.03</f>
        <v>0</v>
      </c>
      <c r="F314" s="33" t="n">
        <v>0</v>
      </c>
      <c r="G314" s="131"/>
      <c r="H314" s="35" t="n">
        <v>0</v>
      </c>
      <c r="I314" s="34" t="n">
        <f aca="false">+IF(E314=0,0,E314*0.03)</f>
        <v>0</v>
      </c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customFormat="false" ht="16.4" hidden="false" customHeight="false" outlineLevel="0" collapsed="false">
      <c r="A315" s="123" t="n">
        <v>45444</v>
      </c>
      <c r="B315" s="31" t="s">
        <v>240</v>
      </c>
      <c r="C315" s="129"/>
      <c r="D315" s="129"/>
      <c r="E315" s="19" t="n">
        <f aca="false">F315*0.03</f>
        <v>0</v>
      </c>
      <c r="F315" s="33" t="n">
        <v>0</v>
      </c>
      <c r="G315" s="131"/>
      <c r="H315" s="35" t="n">
        <v>0</v>
      </c>
      <c r="I315" s="34" t="n">
        <f aca="false">+IF(E315=0,0,E315*0.03)</f>
        <v>0</v>
      </c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customFormat="false" ht="16.4" hidden="false" customHeight="false" outlineLevel="0" collapsed="false">
      <c r="A316" s="123" t="n">
        <v>45444</v>
      </c>
      <c r="B316" s="31" t="s">
        <v>153</v>
      </c>
      <c r="C316" s="129"/>
      <c r="D316" s="129"/>
      <c r="E316" s="19" t="n">
        <f aca="false">F316*0.03</f>
        <v>0</v>
      </c>
      <c r="F316" s="33" t="n">
        <v>0</v>
      </c>
      <c r="G316" s="131"/>
      <c r="H316" s="35" t="n">
        <v>0</v>
      </c>
      <c r="I316" s="34" t="n">
        <f aca="false">+IF(E316=0,0,E316*0.03)</f>
        <v>0</v>
      </c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customFormat="false" ht="16.4" hidden="false" customHeight="false" outlineLevel="0" collapsed="false">
      <c r="A317" s="123" t="n">
        <v>45444</v>
      </c>
      <c r="B317" s="31" t="s">
        <v>247</v>
      </c>
      <c r="C317" s="129"/>
      <c r="D317" s="129"/>
      <c r="E317" s="19" t="n">
        <f aca="false">F317*0.03</f>
        <v>0</v>
      </c>
      <c r="F317" s="33" t="n">
        <v>0</v>
      </c>
      <c r="G317" s="131"/>
      <c r="H317" s="35" t="n">
        <v>0</v>
      </c>
      <c r="I317" s="34" t="n">
        <f aca="false">+IF(E317=0,0,E317*0.03)</f>
        <v>0</v>
      </c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customFormat="false" ht="16.4" hidden="false" customHeight="false" outlineLevel="0" collapsed="false">
      <c r="A318" s="123" t="n">
        <v>45444</v>
      </c>
      <c r="B318" s="31" t="s">
        <v>246</v>
      </c>
      <c r="C318" s="129"/>
      <c r="D318" s="129"/>
      <c r="E318" s="19" t="n">
        <f aca="false">F318*0.03</f>
        <v>0</v>
      </c>
      <c r="F318" s="33" t="n">
        <v>0</v>
      </c>
      <c r="G318" s="131"/>
      <c r="H318" s="35" t="n">
        <v>0</v>
      </c>
      <c r="I318" s="34" t="n">
        <f aca="false">+IF(E318=0,0,E318*0.03)</f>
        <v>0</v>
      </c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customFormat="false" ht="16.4" hidden="false" customHeight="false" outlineLevel="0" collapsed="false">
      <c r="A319" s="123" t="n">
        <v>45444</v>
      </c>
      <c r="B319" s="31" t="s">
        <v>239</v>
      </c>
      <c r="C319" s="129"/>
      <c r="D319" s="129"/>
      <c r="E319" s="19" t="n">
        <f aca="false">F319*0.03</f>
        <v>0</v>
      </c>
      <c r="F319" s="33" t="n">
        <v>0</v>
      </c>
      <c r="G319" s="131"/>
      <c r="H319" s="35" t="n">
        <v>0</v>
      </c>
      <c r="I319" s="34" t="n">
        <f aca="false">+IF(E319=0,0,E319*0.03)</f>
        <v>0</v>
      </c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customFormat="false" ht="16.4" hidden="false" customHeight="false" outlineLevel="0" collapsed="false">
      <c r="A320" s="123" t="n">
        <v>45444</v>
      </c>
      <c r="B320" s="31" t="s">
        <v>7</v>
      </c>
      <c r="C320" s="129"/>
      <c r="D320" s="129"/>
      <c r="E320" s="19" t="n">
        <f aca="false">F320*0.03</f>
        <v>0</v>
      </c>
      <c r="F320" s="33" t="n">
        <v>0</v>
      </c>
      <c r="G320" s="131"/>
      <c r="H320" s="35" t="n">
        <v>0</v>
      </c>
      <c r="I320" s="34" t="n">
        <f aca="false">+IF(E320=0,0,E320*0.03)</f>
        <v>0</v>
      </c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customFormat="false" ht="16.4" hidden="false" customHeight="false" outlineLevel="0" collapsed="false">
      <c r="A321" s="123" t="n">
        <v>45444</v>
      </c>
      <c r="B321" s="31" t="s">
        <v>240</v>
      </c>
      <c r="C321" s="129"/>
      <c r="D321" s="129"/>
      <c r="E321" s="19" t="n">
        <f aca="false">F321*0.03</f>
        <v>0</v>
      </c>
      <c r="F321" s="33" t="n">
        <v>0</v>
      </c>
      <c r="G321" s="131"/>
      <c r="H321" s="35" t="n">
        <v>0</v>
      </c>
      <c r="I321" s="34" t="n">
        <f aca="false">+IF(E321=0,0,E321*0.03)</f>
        <v>0</v>
      </c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customFormat="false" ht="16.4" hidden="false" customHeight="false" outlineLevel="0" collapsed="false">
      <c r="A322" s="123" t="n">
        <v>45444</v>
      </c>
      <c r="B322" s="31" t="s">
        <v>153</v>
      </c>
      <c r="C322" s="129"/>
      <c r="D322" s="129"/>
      <c r="E322" s="19" t="n">
        <f aca="false">F322*0.03</f>
        <v>0</v>
      </c>
      <c r="F322" s="33" t="n">
        <v>0</v>
      </c>
      <c r="G322" s="131"/>
      <c r="H322" s="35" t="n">
        <v>0</v>
      </c>
      <c r="I322" s="34" t="n">
        <f aca="false">+IF(E322=0,0,E322*0.03)</f>
        <v>0</v>
      </c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customFormat="false" ht="16.4" hidden="false" customHeight="false" outlineLevel="0" collapsed="false">
      <c r="A323" s="123" t="n">
        <v>45444</v>
      </c>
      <c r="B323" s="31" t="s">
        <v>247</v>
      </c>
      <c r="C323" s="129"/>
      <c r="D323" s="129"/>
      <c r="E323" s="19" t="n">
        <f aca="false">F323*0.03</f>
        <v>0</v>
      </c>
      <c r="F323" s="33" t="n">
        <v>0</v>
      </c>
      <c r="G323" s="131"/>
      <c r="H323" s="35" t="n">
        <v>0</v>
      </c>
      <c r="I323" s="34" t="n">
        <f aca="false">+IF(E323=0,0,E323*0.03)</f>
        <v>0</v>
      </c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customFormat="false" ht="16.4" hidden="false" customHeight="false" outlineLevel="0" collapsed="false">
      <c r="A324" s="123" t="n">
        <v>45444</v>
      </c>
      <c r="B324" s="31" t="s">
        <v>246</v>
      </c>
      <c r="C324" s="129"/>
      <c r="D324" s="129"/>
      <c r="E324" s="19" t="n">
        <f aca="false">F324*0.03</f>
        <v>0</v>
      </c>
      <c r="F324" s="33" t="n">
        <v>0</v>
      </c>
      <c r="G324" s="131"/>
      <c r="H324" s="35" t="n">
        <v>0</v>
      </c>
      <c r="I324" s="34" t="n">
        <f aca="false">+IF(E324=0,0,E324*0.03)</f>
        <v>0</v>
      </c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customFormat="false" ht="16.4" hidden="false" customHeight="false" outlineLevel="0" collapsed="false">
      <c r="A325" s="123" t="n">
        <v>45444</v>
      </c>
      <c r="B325" s="31" t="s">
        <v>239</v>
      </c>
      <c r="C325" s="129"/>
      <c r="D325" s="129"/>
      <c r="E325" s="19" t="n">
        <f aca="false">F325*0.03</f>
        <v>0</v>
      </c>
      <c r="F325" s="33" t="n">
        <v>0</v>
      </c>
      <c r="G325" s="131"/>
      <c r="H325" s="35" t="n">
        <v>0</v>
      </c>
      <c r="I325" s="34" t="n">
        <f aca="false">+IF(E325=0,0,E325*0.03)</f>
        <v>0</v>
      </c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customFormat="false" ht="16.4" hidden="false" customHeight="false" outlineLevel="0" collapsed="false">
      <c r="A326" s="123" t="n">
        <v>45444</v>
      </c>
      <c r="B326" s="31" t="s">
        <v>7</v>
      </c>
      <c r="C326" s="129"/>
      <c r="D326" s="129"/>
      <c r="E326" s="19" t="n">
        <f aca="false">F326*0.03</f>
        <v>0</v>
      </c>
      <c r="F326" s="33" t="n">
        <v>0</v>
      </c>
      <c r="G326" s="131"/>
      <c r="H326" s="35" t="n">
        <v>0</v>
      </c>
      <c r="I326" s="34" t="n">
        <f aca="false">+IF(E326=0,0,E326*0.03)</f>
        <v>0</v>
      </c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customFormat="false" ht="16.4" hidden="false" customHeight="false" outlineLevel="0" collapsed="false">
      <c r="A327" s="123" t="n">
        <v>45444</v>
      </c>
      <c r="B327" s="31" t="s">
        <v>240</v>
      </c>
      <c r="C327" s="129"/>
      <c r="D327" s="129"/>
      <c r="E327" s="19" t="n">
        <f aca="false">F327*0.03</f>
        <v>0</v>
      </c>
      <c r="F327" s="33" t="n">
        <v>0</v>
      </c>
      <c r="G327" s="131"/>
      <c r="H327" s="35" t="n">
        <v>0</v>
      </c>
      <c r="I327" s="34" t="n">
        <f aca="false">+IF(E327=0,0,E327*0.03)</f>
        <v>0</v>
      </c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customFormat="false" ht="16.4" hidden="false" customHeight="false" outlineLevel="0" collapsed="false">
      <c r="A328" s="123" t="n">
        <v>45444</v>
      </c>
      <c r="B328" s="31" t="s">
        <v>153</v>
      </c>
      <c r="C328" s="129"/>
      <c r="D328" s="129"/>
      <c r="E328" s="19" t="n">
        <f aca="false">F328*0.03</f>
        <v>0</v>
      </c>
      <c r="F328" s="33" t="n">
        <v>0</v>
      </c>
      <c r="G328" s="131"/>
      <c r="H328" s="35" t="n">
        <v>0</v>
      </c>
      <c r="I328" s="34" t="n">
        <f aca="false">+IF(E328=0,0,E328*0.03)</f>
        <v>0</v>
      </c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customFormat="false" ht="16.4" hidden="false" customHeight="false" outlineLevel="0" collapsed="false">
      <c r="A329" s="123" t="n">
        <v>45444</v>
      </c>
      <c r="B329" s="31" t="s">
        <v>247</v>
      </c>
      <c r="C329" s="129"/>
      <c r="D329" s="129"/>
      <c r="E329" s="19" t="n">
        <f aca="false">F329*0.03</f>
        <v>0</v>
      </c>
      <c r="F329" s="33" t="n">
        <v>0</v>
      </c>
      <c r="G329" s="131"/>
      <c r="H329" s="35" t="n">
        <v>0</v>
      </c>
      <c r="I329" s="34" t="n">
        <f aca="false">+IF(E329=0,0,E329*0.03)</f>
        <v>0</v>
      </c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customFormat="false" ht="16.4" hidden="false" customHeight="false" outlineLevel="0" collapsed="false">
      <c r="A330" s="123" t="n">
        <v>45444</v>
      </c>
      <c r="B330" s="31" t="s">
        <v>246</v>
      </c>
      <c r="C330" s="129"/>
      <c r="D330" s="129"/>
      <c r="E330" s="19" t="n">
        <f aca="false">F330*0.03</f>
        <v>0</v>
      </c>
      <c r="F330" s="33" t="n">
        <v>0</v>
      </c>
      <c r="G330" s="131"/>
      <c r="H330" s="35" t="n">
        <v>0</v>
      </c>
      <c r="I330" s="34" t="n">
        <f aca="false">+IF(E330=0,0,E330*0.03)</f>
        <v>0</v>
      </c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customFormat="false" ht="16.4" hidden="false" customHeight="false" outlineLevel="0" collapsed="false">
      <c r="A331" s="123" t="n">
        <v>45444</v>
      </c>
      <c r="B331" s="31" t="s">
        <v>239</v>
      </c>
      <c r="C331" s="129"/>
      <c r="D331" s="129"/>
      <c r="E331" s="19" t="n">
        <f aca="false">F331*0.03</f>
        <v>0</v>
      </c>
      <c r="F331" s="33" t="n">
        <v>0</v>
      </c>
      <c r="G331" s="131"/>
      <c r="H331" s="35" t="n">
        <v>0</v>
      </c>
      <c r="I331" s="34" t="n">
        <f aca="false">+IF(E331=0,0,E331*0.03)</f>
        <v>0</v>
      </c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customFormat="false" ht="16.4" hidden="false" customHeight="false" outlineLevel="0" collapsed="false">
      <c r="A332" s="123" t="n">
        <v>45444</v>
      </c>
      <c r="B332" s="31" t="s">
        <v>7</v>
      </c>
      <c r="C332" s="129"/>
      <c r="D332" s="129"/>
      <c r="E332" s="19" t="n">
        <f aca="false">F332*0.03</f>
        <v>0</v>
      </c>
      <c r="F332" s="33" t="n">
        <v>0</v>
      </c>
      <c r="G332" s="131"/>
      <c r="H332" s="35" t="n">
        <v>0</v>
      </c>
      <c r="I332" s="34" t="n">
        <f aca="false">+IF(E332=0,0,E332*0.03)</f>
        <v>0</v>
      </c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customFormat="false" ht="16.4" hidden="false" customHeight="false" outlineLevel="0" collapsed="false">
      <c r="A333" s="123" t="n">
        <v>45444</v>
      </c>
      <c r="B333" s="31" t="s">
        <v>240</v>
      </c>
      <c r="C333" s="129"/>
      <c r="D333" s="129"/>
      <c r="E333" s="19" t="n">
        <f aca="false">F333*0.03</f>
        <v>0</v>
      </c>
      <c r="F333" s="33" t="n">
        <v>0</v>
      </c>
      <c r="G333" s="131"/>
      <c r="H333" s="35" t="n">
        <v>0</v>
      </c>
      <c r="I333" s="34" t="n">
        <f aca="false">+IF(E333=0,0,E333*0.03)</f>
        <v>0</v>
      </c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customFormat="false" ht="16.4" hidden="false" customHeight="false" outlineLevel="0" collapsed="false">
      <c r="A334" s="123" t="n">
        <v>45444</v>
      </c>
      <c r="B334" s="31" t="s">
        <v>153</v>
      </c>
      <c r="C334" s="129"/>
      <c r="D334" s="129"/>
      <c r="E334" s="19" t="n">
        <f aca="false">F334*0.03</f>
        <v>0</v>
      </c>
      <c r="F334" s="33" t="n">
        <v>0</v>
      </c>
      <c r="G334" s="131"/>
      <c r="H334" s="35" t="n">
        <v>0</v>
      </c>
      <c r="I334" s="34" t="n">
        <f aca="false">+IF(E334=0,0,E334*0.03)</f>
        <v>0</v>
      </c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customFormat="false" ht="16.4" hidden="false" customHeight="false" outlineLevel="0" collapsed="false">
      <c r="A335" s="123" t="n">
        <v>45444</v>
      </c>
      <c r="B335" s="31" t="s">
        <v>247</v>
      </c>
      <c r="C335" s="129"/>
      <c r="D335" s="129"/>
      <c r="E335" s="19" t="n">
        <f aca="false">F335*0.03</f>
        <v>0</v>
      </c>
      <c r="F335" s="33" t="n">
        <v>0</v>
      </c>
      <c r="G335" s="131"/>
      <c r="H335" s="35" t="n">
        <v>0</v>
      </c>
      <c r="I335" s="34" t="n">
        <f aca="false">+IF(E335=0,0,E335*0.03)</f>
        <v>0</v>
      </c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customFormat="false" ht="16.4" hidden="false" customHeight="false" outlineLevel="0" collapsed="false">
      <c r="A336" s="123" t="n">
        <v>45444</v>
      </c>
      <c r="B336" s="31" t="s">
        <v>246</v>
      </c>
      <c r="C336" s="129"/>
      <c r="D336" s="129"/>
      <c r="E336" s="19" t="n">
        <f aca="false">F336*0.03</f>
        <v>0</v>
      </c>
      <c r="F336" s="33" t="n">
        <v>0</v>
      </c>
      <c r="G336" s="131"/>
      <c r="H336" s="35" t="n">
        <v>0</v>
      </c>
      <c r="I336" s="34" t="n">
        <f aca="false">+IF(E336=0,0,E336*0.03)</f>
        <v>0</v>
      </c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customFormat="false" ht="16.4" hidden="false" customHeight="false" outlineLevel="0" collapsed="false">
      <c r="A337" s="123" t="n">
        <v>45444</v>
      </c>
      <c r="B337" s="31" t="s">
        <v>239</v>
      </c>
      <c r="C337" s="129"/>
      <c r="D337" s="129"/>
      <c r="E337" s="19" t="n">
        <f aca="false">F337*0.03</f>
        <v>0</v>
      </c>
      <c r="F337" s="33" t="n">
        <v>0</v>
      </c>
      <c r="G337" s="131"/>
      <c r="H337" s="35" t="n">
        <v>0</v>
      </c>
      <c r="I337" s="34" t="n">
        <f aca="false">+IF(E337=0,0,E337*0.03)</f>
        <v>0</v>
      </c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customFormat="false" ht="16.4" hidden="false" customHeight="false" outlineLevel="0" collapsed="false">
      <c r="A338" s="123" t="n">
        <v>45444</v>
      </c>
      <c r="B338" s="31" t="s">
        <v>7</v>
      </c>
      <c r="C338" s="129"/>
      <c r="D338" s="129"/>
      <c r="E338" s="19" t="n">
        <f aca="false">F338*0.03</f>
        <v>0</v>
      </c>
      <c r="F338" s="33" t="n">
        <v>0</v>
      </c>
      <c r="G338" s="131"/>
      <c r="H338" s="35" t="n">
        <v>0</v>
      </c>
      <c r="I338" s="34" t="n">
        <f aca="false">+IF(E338=0,0,E338*0.03)</f>
        <v>0</v>
      </c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customFormat="false" ht="16.4" hidden="false" customHeight="false" outlineLevel="0" collapsed="false">
      <c r="A339" s="123" t="n">
        <v>45444</v>
      </c>
      <c r="B339" s="31" t="s">
        <v>240</v>
      </c>
      <c r="C339" s="129"/>
      <c r="D339" s="129"/>
      <c r="E339" s="19" t="n">
        <f aca="false">F339*0.03</f>
        <v>0</v>
      </c>
      <c r="F339" s="33" t="n">
        <v>0</v>
      </c>
      <c r="G339" s="131"/>
      <c r="H339" s="35" t="n">
        <v>0</v>
      </c>
      <c r="I339" s="34" t="n">
        <f aca="false">+IF(E339=0,0,E339*0.03)</f>
        <v>0</v>
      </c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customFormat="false" ht="16.4" hidden="false" customHeight="false" outlineLevel="0" collapsed="false">
      <c r="A340" s="123" t="n">
        <v>45444</v>
      </c>
      <c r="B340" s="31" t="s">
        <v>153</v>
      </c>
      <c r="C340" s="129"/>
      <c r="D340" s="129"/>
      <c r="E340" s="19" t="n">
        <f aca="false">F340*0.03</f>
        <v>0</v>
      </c>
      <c r="F340" s="33" t="n">
        <v>0</v>
      </c>
      <c r="G340" s="131"/>
      <c r="H340" s="35" t="n">
        <v>0</v>
      </c>
      <c r="I340" s="34" t="n">
        <f aca="false">+IF(E340=0,0,E340*0.03)</f>
        <v>0</v>
      </c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customFormat="false" ht="16.4" hidden="false" customHeight="false" outlineLevel="0" collapsed="false">
      <c r="A341" s="123" t="n">
        <v>45444</v>
      </c>
      <c r="B341" s="31" t="s">
        <v>247</v>
      </c>
      <c r="C341" s="129"/>
      <c r="D341" s="129"/>
      <c r="E341" s="19" t="n">
        <f aca="false">F341*0.03</f>
        <v>0</v>
      </c>
      <c r="F341" s="33" t="n">
        <v>0</v>
      </c>
      <c r="G341" s="131"/>
      <c r="H341" s="35" t="n">
        <v>0</v>
      </c>
      <c r="I341" s="34" t="n">
        <f aca="false">+IF(E341=0,0,E341*0.03)</f>
        <v>0</v>
      </c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customFormat="false" ht="16.4" hidden="false" customHeight="false" outlineLevel="0" collapsed="false">
      <c r="A342" s="123" t="n">
        <v>45444</v>
      </c>
      <c r="B342" s="31" t="s">
        <v>246</v>
      </c>
      <c r="C342" s="129"/>
      <c r="D342" s="129"/>
      <c r="E342" s="19" t="n">
        <f aca="false">F342*0.03</f>
        <v>0</v>
      </c>
      <c r="F342" s="33" t="n">
        <v>0</v>
      </c>
      <c r="G342" s="131"/>
      <c r="H342" s="35" t="n">
        <v>0</v>
      </c>
      <c r="I342" s="34" t="n">
        <f aca="false">+IF(E342=0,0,E342*0.03)</f>
        <v>0</v>
      </c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customFormat="false" ht="16.4" hidden="false" customHeight="false" outlineLevel="0" collapsed="false">
      <c r="A343" s="123" t="n">
        <v>45444</v>
      </c>
      <c r="B343" s="31" t="s">
        <v>239</v>
      </c>
      <c r="C343" s="129"/>
      <c r="D343" s="129"/>
      <c r="E343" s="19" t="n">
        <f aca="false">F343*0.03</f>
        <v>0</v>
      </c>
      <c r="F343" s="33" t="n">
        <v>0</v>
      </c>
      <c r="G343" s="131"/>
      <c r="H343" s="35" t="n">
        <v>0</v>
      </c>
      <c r="I343" s="34" t="n">
        <f aca="false">+IF(E343=0,0,E343*0.03)</f>
        <v>0</v>
      </c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customFormat="false" ht="16.4" hidden="false" customHeight="false" outlineLevel="0" collapsed="false">
      <c r="A344" s="123" t="n">
        <v>45444</v>
      </c>
      <c r="B344" s="31" t="s">
        <v>7</v>
      </c>
      <c r="C344" s="129"/>
      <c r="D344" s="129"/>
      <c r="E344" s="19" t="n">
        <f aca="false">F344*0.03</f>
        <v>0</v>
      </c>
      <c r="F344" s="33" t="n">
        <v>0</v>
      </c>
      <c r="G344" s="131"/>
      <c r="H344" s="35" t="n">
        <v>0</v>
      </c>
      <c r="I344" s="34" t="n">
        <f aca="false">+IF(E344=0,0,E344*0.03)</f>
        <v>0</v>
      </c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customFormat="false" ht="16.4" hidden="false" customHeight="false" outlineLevel="0" collapsed="false">
      <c r="A345" s="123" t="n">
        <v>45444</v>
      </c>
      <c r="B345" s="31" t="s">
        <v>240</v>
      </c>
      <c r="C345" s="129"/>
      <c r="D345" s="129"/>
      <c r="E345" s="19" t="n">
        <f aca="false">F345*0.03</f>
        <v>0</v>
      </c>
      <c r="F345" s="33" t="n">
        <v>0</v>
      </c>
      <c r="G345" s="131"/>
      <c r="H345" s="35" t="n">
        <v>0</v>
      </c>
      <c r="I345" s="34" t="n">
        <f aca="false">+IF(E345=0,0,E345*0.03)</f>
        <v>0</v>
      </c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customFormat="false" ht="16.4" hidden="false" customHeight="false" outlineLevel="0" collapsed="false">
      <c r="A346" s="123" t="n">
        <v>45444</v>
      </c>
      <c r="B346" s="31" t="s">
        <v>153</v>
      </c>
      <c r="C346" s="129"/>
      <c r="D346" s="129"/>
      <c r="E346" s="19" t="n">
        <f aca="false">F346*0.03</f>
        <v>0</v>
      </c>
      <c r="F346" s="33" t="n">
        <v>0</v>
      </c>
      <c r="G346" s="131"/>
      <c r="H346" s="35" t="n">
        <v>0</v>
      </c>
      <c r="I346" s="34" t="n">
        <f aca="false">+IF(E346=0,0,E346*0.03)</f>
        <v>0</v>
      </c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customFormat="false" ht="16.4" hidden="false" customHeight="false" outlineLevel="0" collapsed="false">
      <c r="A347" s="123" t="n">
        <v>45444</v>
      </c>
      <c r="B347" s="31" t="s">
        <v>247</v>
      </c>
      <c r="C347" s="129"/>
      <c r="D347" s="129"/>
      <c r="E347" s="19" t="n">
        <f aca="false">F347*0.03</f>
        <v>0</v>
      </c>
      <c r="F347" s="33" t="n">
        <v>0</v>
      </c>
      <c r="G347" s="131"/>
      <c r="H347" s="35" t="n">
        <v>0</v>
      </c>
      <c r="I347" s="34" t="n">
        <f aca="false">+IF(E347=0,0,E347*0.03)</f>
        <v>0</v>
      </c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customFormat="false" ht="16.4" hidden="false" customHeight="false" outlineLevel="0" collapsed="false">
      <c r="A348" s="123" t="n">
        <v>45444</v>
      </c>
      <c r="B348" s="31" t="s">
        <v>246</v>
      </c>
      <c r="C348" s="129"/>
      <c r="D348" s="129"/>
      <c r="E348" s="19" t="n">
        <f aca="false">F348*0.03</f>
        <v>0</v>
      </c>
      <c r="F348" s="33" t="n">
        <v>0</v>
      </c>
      <c r="G348" s="131"/>
      <c r="H348" s="35" t="n">
        <v>0</v>
      </c>
      <c r="I348" s="34" t="n">
        <f aca="false">+IF(E348=0,0,E348*0.03)</f>
        <v>0</v>
      </c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customFormat="false" ht="16.4" hidden="false" customHeight="false" outlineLevel="0" collapsed="false">
      <c r="A349" s="123" t="n">
        <v>45444</v>
      </c>
      <c r="B349" s="31" t="s">
        <v>239</v>
      </c>
      <c r="C349" s="129"/>
      <c r="D349" s="129"/>
      <c r="E349" s="19" t="n">
        <f aca="false">F349*0.03</f>
        <v>0</v>
      </c>
      <c r="F349" s="33" t="n">
        <v>0</v>
      </c>
      <c r="G349" s="131"/>
      <c r="H349" s="35" t="n">
        <v>0</v>
      </c>
      <c r="I349" s="34" t="n">
        <f aca="false">+IF(E349=0,0,E349*0.03)</f>
        <v>0</v>
      </c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customFormat="false" ht="16.4" hidden="false" customHeight="false" outlineLevel="0" collapsed="false">
      <c r="A350" s="123" t="n">
        <v>45444</v>
      </c>
      <c r="B350" s="31" t="s">
        <v>7</v>
      </c>
      <c r="C350" s="129"/>
      <c r="D350" s="129"/>
      <c r="E350" s="19" t="n">
        <f aca="false">F350*0.03</f>
        <v>0</v>
      </c>
      <c r="F350" s="33" t="n">
        <v>0</v>
      </c>
      <c r="G350" s="131"/>
      <c r="H350" s="35" t="n">
        <v>0</v>
      </c>
      <c r="I350" s="34" t="n">
        <f aca="false">+IF(E350=0,0,E350*0.03)</f>
        <v>0</v>
      </c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customFormat="false" ht="16.4" hidden="false" customHeight="false" outlineLevel="0" collapsed="false">
      <c r="A351" s="123" t="n">
        <v>45444</v>
      </c>
      <c r="B351" s="31" t="s">
        <v>240</v>
      </c>
      <c r="C351" s="129"/>
      <c r="D351" s="129"/>
      <c r="E351" s="19" t="n">
        <f aca="false">F351*0.03</f>
        <v>0</v>
      </c>
      <c r="F351" s="33" t="n">
        <v>0</v>
      </c>
      <c r="G351" s="131"/>
      <c r="H351" s="35" t="n">
        <v>0</v>
      </c>
      <c r="I351" s="34" t="n">
        <f aca="false">+IF(E351=0,0,E351*0.03)</f>
        <v>0</v>
      </c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customFormat="false" ht="16.4" hidden="false" customHeight="false" outlineLevel="0" collapsed="false">
      <c r="A352" s="123" t="n">
        <v>45444</v>
      </c>
      <c r="B352" s="31" t="s">
        <v>153</v>
      </c>
      <c r="C352" s="129"/>
      <c r="D352" s="129"/>
      <c r="E352" s="19" t="n">
        <f aca="false">F352*0.03</f>
        <v>0</v>
      </c>
      <c r="F352" s="33" t="n">
        <v>0</v>
      </c>
      <c r="G352" s="131"/>
      <c r="H352" s="35" t="n">
        <v>0</v>
      </c>
      <c r="I352" s="34" t="n">
        <f aca="false">+IF(E352=0,0,E352*0.03)</f>
        <v>0</v>
      </c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customFormat="false" ht="16.4" hidden="false" customHeight="false" outlineLevel="0" collapsed="false">
      <c r="A353" s="123" t="n">
        <v>45444</v>
      </c>
      <c r="B353" s="31" t="s">
        <v>247</v>
      </c>
      <c r="C353" s="129"/>
      <c r="D353" s="129"/>
      <c r="E353" s="19" t="n">
        <f aca="false">F353*0.03</f>
        <v>0</v>
      </c>
      <c r="F353" s="33" t="n">
        <v>0</v>
      </c>
      <c r="G353" s="131"/>
      <c r="H353" s="35" t="n">
        <v>0</v>
      </c>
      <c r="I353" s="34" t="n">
        <f aca="false">+IF(E353=0,0,E353*0.03)</f>
        <v>0</v>
      </c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customFormat="false" ht="16.4" hidden="false" customHeight="false" outlineLevel="0" collapsed="false">
      <c r="A354" s="123" t="n">
        <v>45444</v>
      </c>
      <c r="B354" s="31" t="s">
        <v>246</v>
      </c>
      <c r="C354" s="129"/>
      <c r="D354" s="129"/>
      <c r="E354" s="19" t="n">
        <f aca="false">F354*0.03</f>
        <v>0</v>
      </c>
      <c r="F354" s="33" t="n">
        <v>0</v>
      </c>
      <c r="G354" s="131"/>
      <c r="H354" s="35" t="n">
        <v>0</v>
      </c>
      <c r="I354" s="34" t="n">
        <f aca="false">+IF(E354=0,0,E354*0.03)</f>
        <v>0</v>
      </c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customFormat="false" ht="16.4" hidden="false" customHeight="false" outlineLevel="0" collapsed="false">
      <c r="A355" s="123" t="n">
        <v>45444</v>
      </c>
      <c r="B355" s="31" t="s">
        <v>239</v>
      </c>
      <c r="C355" s="129"/>
      <c r="D355" s="129"/>
      <c r="E355" s="19" t="n">
        <f aca="false">F355*0.03</f>
        <v>0</v>
      </c>
      <c r="F355" s="33" t="n">
        <v>0</v>
      </c>
      <c r="G355" s="131"/>
      <c r="H355" s="35" t="n">
        <v>0</v>
      </c>
      <c r="I355" s="34" t="n">
        <f aca="false">+IF(E355=0,0,E355*0.03)</f>
        <v>0</v>
      </c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customFormat="false" ht="16.4" hidden="false" customHeight="false" outlineLevel="0" collapsed="false">
      <c r="A356" s="123" t="n">
        <v>45444</v>
      </c>
      <c r="B356" s="31" t="s">
        <v>7</v>
      </c>
      <c r="C356" s="129"/>
      <c r="D356" s="129"/>
      <c r="E356" s="19" t="n">
        <f aca="false">F356*0.03</f>
        <v>0</v>
      </c>
      <c r="F356" s="33" t="n">
        <v>0</v>
      </c>
      <c r="G356" s="131"/>
      <c r="H356" s="35" t="n">
        <v>0</v>
      </c>
      <c r="I356" s="34" t="n">
        <f aca="false">+IF(E356=0,0,E356*0.03)</f>
        <v>0</v>
      </c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customFormat="false" ht="16.4" hidden="false" customHeight="false" outlineLevel="0" collapsed="false">
      <c r="A357" s="123" t="n">
        <v>45444</v>
      </c>
      <c r="B357" s="31" t="s">
        <v>240</v>
      </c>
      <c r="C357" s="129"/>
      <c r="D357" s="129"/>
      <c r="E357" s="19" t="n">
        <f aca="false">F357*0.03</f>
        <v>0</v>
      </c>
      <c r="F357" s="33" t="n">
        <v>0</v>
      </c>
      <c r="G357" s="131"/>
      <c r="H357" s="35" t="n">
        <v>0</v>
      </c>
      <c r="I357" s="34" t="n">
        <f aca="false">+IF(E357=0,0,E357*0.03)</f>
        <v>0</v>
      </c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customFormat="false" ht="16.4" hidden="false" customHeight="false" outlineLevel="0" collapsed="false">
      <c r="A358" s="123" t="n">
        <v>45444</v>
      </c>
      <c r="B358" s="31" t="s">
        <v>153</v>
      </c>
      <c r="C358" s="129"/>
      <c r="D358" s="129"/>
      <c r="E358" s="19" t="n">
        <f aca="false">F358*0.03</f>
        <v>0</v>
      </c>
      <c r="F358" s="33" t="n">
        <v>0</v>
      </c>
      <c r="G358" s="131"/>
      <c r="H358" s="35" t="n">
        <v>0</v>
      </c>
      <c r="I358" s="34" t="n">
        <f aca="false">+IF(E358=0,0,E358*0.03)</f>
        <v>0</v>
      </c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customFormat="false" ht="16.4" hidden="false" customHeight="false" outlineLevel="0" collapsed="false">
      <c r="A359" s="123" t="n">
        <v>45444</v>
      </c>
      <c r="B359" s="31" t="s">
        <v>247</v>
      </c>
      <c r="C359" s="129"/>
      <c r="D359" s="129"/>
      <c r="E359" s="19" t="n">
        <f aca="false">F359*0.03</f>
        <v>0</v>
      </c>
      <c r="F359" s="33" t="n">
        <v>0</v>
      </c>
      <c r="G359" s="131"/>
      <c r="H359" s="35" t="n">
        <v>0</v>
      </c>
      <c r="I359" s="34" t="n">
        <f aca="false">+IF(E359=0,0,E359*0.03)</f>
        <v>0</v>
      </c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customFormat="false" ht="16.4" hidden="false" customHeight="false" outlineLevel="0" collapsed="false">
      <c r="A360" s="123" t="n">
        <v>45444</v>
      </c>
      <c r="B360" s="31" t="s">
        <v>246</v>
      </c>
      <c r="C360" s="129"/>
      <c r="D360" s="129"/>
      <c r="E360" s="19" t="n">
        <f aca="false">F360*0.03</f>
        <v>0</v>
      </c>
      <c r="F360" s="33" t="n">
        <v>0</v>
      </c>
      <c r="G360" s="131"/>
      <c r="H360" s="35" t="n">
        <v>0</v>
      </c>
      <c r="I360" s="34" t="n">
        <f aca="false">+IF(E360=0,0,E360*0.03)</f>
        <v>0</v>
      </c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customFormat="false" ht="16.4" hidden="false" customHeight="false" outlineLevel="0" collapsed="false">
      <c r="A361" s="123" t="n">
        <v>45444</v>
      </c>
      <c r="B361" s="31" t="s">
        <v>239</v>
      </c>
      <c r="C361" s="129"/>
      <c r="D361" s="129"/>
      <c r="E361" s="19" t="n">
        <f aca="false">F361*0.03</f>
        <v>0</v>
      </c>
      <c r="F361" s="33" t="n">
        <v>0</v>
      </c>
      <c r="G361" s="131"/>
      <c r="H361" s="35" t="n">
        <v>0</v>
      </c>
      <c r="I361" s="34" t="n">
        <f aca="false">+IF(E361=0,0,E361*0.03)</f>
        <v>0</v>
      </c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customFormat="false" ht="16.4" hidden="false" customHeight="false" outlineLevel="0" collapsed="false">
      <c r="A362" s="123" t="n">
        <v>45444</v>
      </c>
      <c r="B362" s="31" t="s">
        <v>7</v>
      </c>
      <c r="C362" s="129"/>
      <c r="D362" s="129"/>
      <c r="E362" s="19" t="n">
        <f aca="false">F362*0.03</f>
        <v>0</v>
      </c>
      <c r="F362" s="33" t="n">
        <v>0</v>
      </c>
      <c r="G362" s="131"/>
      <c r="H362" s="35" t="n">
        <v>0</v>
      </c>
      <c r="I362" s="34" t="n">
        <f aca="false">+IF(E362=0,0,E362*0.03)</f>
        <v>0</v>
      </c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customFormat="false" ht="16.4" hidden="false" customHeight="false" outlineLevel="0" collapsed="false">
      <c r="A363" s="123" t="n">
        <v>45444</v>
      </c>
      <c r="B363" s="31" t="s">
        <v>240</v>
      </c>
      <c r="C363" s="129"/>
      <c r="D363" s="129"/>
      <c r="E363" s="19" t="n">
        <f aca="false">F363*0.03</f>
        <v>0</v>
      </c>
      <c r="F363" s="33" t="n">
        <v>0</v>
      </c>
      <c r="G363" s="131"/>
      <c r="H363" s="35" t="n">
        <v>0</v>
      </c>
      <c r="I363" s="34" t="n">
        <f aca="false">+IF(E363=0,0,E363*0.03)</f>
        <v>0</v>
      </c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customFormat="false" ht="16.4" hidden="false" customHeight="false" outlineLevel="0" collapsed="false">
      <c r="A364" s="123" t="n">
        <v>45444</v>
      </c>
      <c r="B364" s="31" t="s">
        <v>153</v>
      </c>
      <c r="C364" s="129"/>
      <c r="D364" s="129"/>
      <c r="E364" s="19" t="n">
        <f aca="false">F364*0.03</f>
        <v>0</v>
      </c>
      <c r="F364" s="33" t="n">
        <v>0</v>
      </c>
      <c r="G364" s="131"/>
      <c r="H364" s="35" t="n">
        <v>0</v>
      </c>
      <c r="I364" s="34" t="n">
        <f aca="false">+IF(E364=0,0,E364*0.03)</f>
        <v>0</v>
      </c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customFormat="false" ht="16.4" hidden="false" customHeight="false" outlineLevel="0" collapsed="false">
      <c r="A365" s="123" t="n">
        <v>45444</v>
      </c>
      <c r="B365" s="31" t="s">
        <v>247</v>
      </c>
      <c r="C365" s="129"/>
      <c r="D365" s="129"/>
      <c r="E365" s="19" t="n">
        <f aca="false">F365*0.03</f>
        <v>0</v>
      </c>
      <c r="F365" s="33" t="n">
        <v>0</v>
      </c>
      <c r="G365" s="131"/>
      <c r="H365" s="35" t="n">
        <v>0</v>
      </c>
      <c r="I365" s="34" t="n">
        <f aca="false">+IF(E365=0,0,E365*0.03)</f>
        <v>0</v>
      </c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customFormat="false" ht="16.4" hidden="false" customHeight="false" outlineLevel="0" collapsed="false">
      <c r="A366" s="123" t="n">
        <v>45444</v>
      </c>
      <c r="B366" s="31" t="s">
        <v>246</v>
      </c>
      <c r="C366" s="129"/>
      <c r="D366" s="129"/>
      <c r="E366" s="19" t="n">
        <f aca="false">F366*0.03</f>
        <v>0</v>
      </c>
      <c r="F366" s="33" t="n">
        <v>0</v>
      </c>
      <c r="G366" s="131"/>
      <c r="H366" s="35" t="n">
        <v>0</v>
      </c>
      <c r="I366" s="34" t="n">
        <f aca="false">+IF(E366=0,0,E366*0.03)</f>
        <v>0</v>
      </c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customFormat="false" ht="16.4" hidden="false" customHeight="false" outlineLevel="0" collapsed="false">
      <c r="A367" s="123" t="n">
        <v>45444</v>
      </c>
      <c r="B367" s="31" t="s">
        <v>239</v>
      </c>
      <c r="C367" s="129"/>
      <c r="D367" s="129"/>
      <c r="E367" s="19" t="n">
        <f aca="false">F367*0.03</f>
        <v>0</v>
      </c>
      <c r="F367" s="33" t="n">
        <v>0</v>
      </c>
      <c r="G367" s="131"/>
      <c r="H367" s="35" t="n">
        <v>0</v>
      </c>
      <c r="I367" s="34" t="n">
        <f aca="false">+IF(E367=0,0,E367*0.03)</f>
        <v>0</v>
      </c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customFormat="false" ht="16.4" hidden="false" customHeight="false" outlineLevel="0" collapsed="false">
      <c r="A368" s="123" t="n">
        <v>45444</v>
      </c>
      <c r="B368" s="31" t="s">
        <v>7</v>
      </c>
      <c r="C368" s="129"/>
      <c r="D368" s="129"/>
      <c r="E368" s="19" t="n">
        <f aca="false">F368*0.03</f>
        <v>0</v>
      </c>
      <c r="F368" s="33" t="n">
        <v>0</v>
      </c>
      <c r="G368" s="131"/>
      <c r="H368" s="35" t="n">
        <v>0</v>
      </c>
      <c r="I368" s="34" t="n">
        <f aca="false">+IF(E368=0,0,E368*0.03)</f>
        <v>0</v>
      </c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customFormat="false" ht="16.4" hidden="false" customHeight="false" outlineLevel="0" collapsed="false">
      <c r="A369" s="123" t="n">
        <v>45444</v>
      </c>
      <c r="B369" s="31" t="s">
        <v>240</v>
      </c>
      <c r="C369" s="129"/>
      <c r="D369" s="129"/>
      <c r="E369" s="19" t="n">
        <f aca="false">F369*0.03</f>
        <v>0</v>
      </c>
      <c r="F369" s="33" t="n">
        <v>0</v>
      </c>
      <c r="G369" s="131"/>
      <c r="H369" s="35" t="n">
        <v>0</v>
      </c>
      <c r="I369" s="34" t="n">
        <f aca="false">+IF(E369=0,0,E369*0.03)</f>
        <v>0</v>
      </c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customFormat="false" ht="16.4" hidden="false" customHeight="false" outlineLevel="0" collapsed="false">
      <c r="A370" s="123" t="n">
        <v>45444</v>
      </c>
      <c r="B370" s="31" t="s">
        <v>153</v>
      </c>
      <c r="C370" s="129"/>
      <c r="D370" s="129"/>
      <c r="E370" s="19" t="n">
        <f aca="false">F370*0.03</f>
        <v>0</v>
      </c>
      <c r="F370" s="33" t="n">
        <v>0</v>
      </c>
      <c r="G370" s="131"/>
      <c r="H370" s="35" t="n">
        <v>0</v>
      </c>
      <c r="I370" s="34" t="n">
        <f aca="false">+IF(E370=0,0,E370*0.03)</f>
        <v>0</v>
      </c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customFormat="false" ht="16.4" hidden="false" customHeight="false" outlineLevel="0" collapsed="false">
      <c r="A371" s="123" t="n">
        <v>45444</v>
      </c>
      <c r="B371" s="31" t="s">
        <v>247</v>
      </c>
      <c r="C371" s="129"/>
      <c r="D371" s="129"/>
      <c r="E371" s="19" t="n">
        <f aca="false">F371*0.03</f>
        <v>0</v>
      </c>
      <c r="F371" s="33" t="n">
        <v>0</v>
      </c>
      <c r="G371" s="131"/>
      <c r="H371" s="35" t="n">
        <v>0</v>
      </c>
      <c r="I371" s="34" t="n">
        <f aca="false">+IF(E371=0,0,E371*0.03)</f>
        <v>0</v>
      </c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customFormat="false" ht="16.4" hidden="false" customHeight="false" outlineLevel="0" collapsed="false">
      <c r="A372" s="123" t="n">
        <v>45444</v>
      </c>
      <c r="B372" s="31" t="s">
        <v>246</v>
      </c>
      <c r="C372" s="129"/>
      <c r="D372" s="129"/>
      <c r="E372" s="19" t="n">
        <f aca="false">F372*0.03</f>
        <v>0</v>
      </c>
      <c r="F372" s="33" t="n">
        <v>0</v>
      </c>
      <c r="G372" s="131"/>
      <c r="H372" s="35" t="n">
        <v>0</v>
      </c>
      <c r="I372" s="34" t="n">
        <f aca="false">+IF(E372=0,0,E372*0.03)</f>
        <v>0</v>
      </c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customFormat="false" ht="16.4" hidden="false" customHeight="false" outlineLevel="0" collapsed="false">
      <c r="A373" s="123" t="n">
        <v>45444</v>
      </c>
      <c r="B373" s="31" t="s">
        <v>239</v>
      </c>
      <c r="C373" s="129"/>
      <c r="D373" s="129"/>
      <c r="E373" s="19" t="n">
        <f aca="false">F373*0.03</f>
        <v>0</v>
      </c>
      <c r="F373" s="33" t="n">
        <v>0</v>
      </c>
      <c r="G373" s="131"/>
      <c r="H373" s="35" t="n">
        <v>0</v>
      </c>
      <c r="I373" s="34" t="n">
        <f aca="false">+IF(E373=0,0,E373*0.03)</f>
        <v>0</v>
      </c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customFormat="false" ht="16.4" hidden="false" customHeight="false" outlineLevel="0" collapsed="false">
      <c r="A374" s="123" t="n">
        <v>45444</v>
      </c>
      <c r="B374" s="31" t="s">
        <v>7</v>
      </c>
      <c r="C374" s="129"/>
      <c r="D374" s="129"/>
      <c r="E374" s="19" t="n">
        <f aca="false">F374*0.03</f>
        <v>0</v>
      </c>
      <c r="F374" s="33" t="n">
        <v>0</v>
      </c>
      <c r="G374" s="131"/>
      <c r="H374" s="35" t="n">
        <v>0</v>
      </c>
      <c r="I374" s="34" t="n">
        <f aca="false">+IF(E374=0,0,E374*0.03)</f>
        <v>0</v>
      </c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customFormat="false" ht="16.4" hidden="false" customHeight="false" outlineLevel="0" collapsed="false">
      <c r="A375" s="123" t="n">
        <v>45444</v>
      </c>
      <c r="B375" s="31" t="s">
        <v>240</v>
      </c>
      <c r="C375" s="129"/>
      <c r="D375" s="129"/>
      <c r="E375" s="19" t="n">
        <f aca="false">F375*0.03</f>
        <v>0</v>
      </c>
      <c r="F375" s="33" t="n">
        <v>0</v>
      </c>
      <c r="G375" s="131"/>
      <c r="H375" s="35" t="n">
        <v>0</v>
      </c>
      <c r="I375" s="34" t="n">
        <f aca="false">+IF(E375=0,0,E375*0.03)</f>
        <v>0</v>
      </c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customFormat="false" ht="16.4" hidden="false" customHeight="false" outlineLevel="0" collapsed="false">
      <c r="A376" s="123" t="n">
        <v>45444</v>
      </c>
      <c r="B376" s="31" t="s">
        <v>153</v>
      </c>
      <c r="C376" s="129"/>
      <c r="D376" s="129"/>
      <c r="E376" s="19" t="n">
        <f aca="false">F376*0.03</f>
        <v>0</v>
      </c>
      <c r="F376" s="33" t="n">
        <v>0</v>
      </c>
      <c r="G376" s="131"/>
      <c r="H376" s="35" t="n">
        <v>0</v>
      </c>
      <c r="I376" s="34" t="n">
        <f aca="false">+IF(E376=0,0,E376*0.03)</f>
        <v>0</v>
      </c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customFormat="false" ht="16.4" hidden="false" customHeight="false" outlineLevel="0" collapsed="false">
      <c r="A377" s="123" t="n">
        <v>45444</v>
      </c>
      <c r="B377" s="31" t="s">
        <v>247</v>
      </c>
      <c r="C377" s="129"/>
      <c r="D377" s="129"/>
      <c r="E377" s="19" t="n">
        <f aca="false">F377*0.03</f>
        <v>0</v>
      </c>
      <c r="F377" s="33" t="n">
        <v>0</v>
      </c>
      <c r="G377" s="131"/>
      <c r="H377" s="35" t="n">
        <v>0</v>
      </c>
      <c r="I377" s="34" t="n">
        <f aca="false">+IF(E377=0,0,E377*0.03)</f>
        <v>0</v>
      </c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customFormat="false" ht="16.4" hidden="false" customHeight="false" outlineLevel="0" collapsed="false">
      <c r="A378" s="123" t="n">
        <v>45444</v>
      </c>
      <c r="B378" s="31" t="s">
        <v>246</v>
      </c>
      <c r="C378" s="129"/>
      <c r="D378" s="129"/>
      <c r="E378" s="19" t="n">
        <f aca="false">F378*0.03</f>
        <v>0</v>
      </c>
      <c r="F378" s="33" t="n">
        <v>0</v>
      </c>
      <c r="G378" s="131"/>
      <c r="H378" s="35" t="n">
        <v>0</v>
      </c>
      <c r="I378" s="34" t="n">
        <f aca="false">+IF(E378=0,0,E378*0.03)</f>
        <v>0</v>
      </c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customFormat="false" ht="16.4" hidden="false" customHeight="false" outlineLevel="0" collapsed="false">
      <c r="A379" s="123" t="n">
        <v>45444</v>
      </c>
      <c r="B379" s="31" t="s">
        <v>239</v>
      </c>
      <c r="C379" s="129"/>
      <c r="D379" s="129"/>
      <c r="E379" s="19" t="n">
        <f aca="false">F379*0.03</f>
        <v>0</v>
      </c>
      <c r="F379" s="33" t="n">
        <v>0</v>
      </c>
      <c r="G379" s="131"/>
      <c r="H379" s="35" t="n">
        <v>0</v>
      </c>
      <c r="I379" s="34" t="n">
        <f aca="false">+IF(E379=0,0,E379*0.03)</f>
        <v>0</v>
      </c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customFormat="false" ht="16.4" hidden="false" customHeight="false" outlineLevel="0" collapsed="false">
      <c r="A380" s="123" t="n">
        <v>45444</v>
      </c>
      <c r="B380" s="31" t="s">
        <v>7</v>
      </c>
      <c r="C380" s="129"/>
      <c r="D380" s="129"/>
      <c r="E380" s="19" t="n">
        <f aca="false">F380*0.03</f>
        <v>0</v>
      </c>
      <c r="F380" s="33" t="n">
        <v>0</v>
      </c>
      <c r="G380" s="131"/>
      <c r="H380" s="35" t="n">
        <v>0</v>
      </c>
      <c r="I380" s="34" t="n">
        <f aca="false">+IF(E380=0,0,E380*0.03)</f>
        <v>0</v>
      </c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customFormat="false" ht="16.4" hidden="false" customHeight="false" outlineLevel="0" collapsed="false">
      <c r="A381" s="123" t="n">
        <v>45444</v>
      </c>
      <c r="B381" s="31" t="s">
        <v>240</v>
      </c>
      <c r="C381" s="129"/>
      <c r="D381" s="129"/>
      <c r="E381" s="19" t="n">
        <f aca="false">F381*0.03</f>
        <v>0</v>
      </c>
      <c r="F381" s="33" t="n">
        <v>0</v>
      </c>
      <c r="G381" s="131"/>
      <c r="H381" s="35" t="n">
        <v>0</v>
      </c>
      <c r="I381" s="34" t="n">
        <f aca="false">+IF(E381=0,0,E381*0.03)</f>
        <v>0</v>
      </c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customFormat="false" ht="16.4" hidden="false" customHeight="false" outlineLevel="0" collapsed="false">
      <c r="A382" s="123" t="n">
        <v>45444</v>
      </c>
      <c r="B382" s="31" t="s">
        <v>153</v>
      </c>
      <c r="C382" s="129"/>
      <c r="D382" s="129"/>
      <c r="E382" s="19" t="n">
        <f aca="false">F382*0.03</f>
        <v>0</v>
      </c>
      <c r="F382" s="33" t="n">
        <v>0</v>
      </c>
      <c r="G382" s="131"/>
      <c r="H382" s="35" t="n">
        <v>0</v>
      </c>
      <c r="I382" s="34" t="n">
        <f aca="false">+IF(E382=0,0,E382*0.03)</f>
        <v>0</v>
      </c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customFormat="false" ht="16.4" hidden="false" customHeight="false" outlineLevel="0" collapsed="false">
      <c r="A383" s="123" t="n">
        <v>45444</v>
      </c>
      <c r="B383" s="31" t="s">
        <v>247</v>
      </c>
      <c r="C383" s="129"/>
      <c r="D383" s="129"/>
      <c r="E383" s="19" t="n">
        <f aca="false">F383*0.03</f>
        <v>0</v>
      </c>
      <c r="F383" s="33" t="n">
        <v>0</v>
      </c>
      <c r="G383" s="131"/>
      <c r="H383" s="35" t="n">
        <v>0</v>
      </c>
      <c r="I383" s="34" t="n">
        <f aca="false">+IF(E383=0,0,E383*0.03)</f>
        <v>0</v>
      </c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customFormat="false" ht="16.4" hidden="false" customHeight="false" outlineLevel="0" collapsed="false">
      <c r="A384" s="123" t="n">
        <v>45444</v>
      </c>
      <c r="B384" s="31" t="s">
        <v>246</v>
      </c>
      <c r="C384" s="129"/>
      <c r="D384" s="129"/>
      <c r="E384" s="19" t="n">
        <f aca="false">F384*0.03</f>
        <v>0</v>
      </c>
      <c r="F384" s="33" t="n">
        <v>0</v>
      </c>
      <c r="G384" s="131"/>
      <c r="H384" s="35" t="n">
        <v>0</v>
      </c>
      <c r="I384" s="34" t="n">
        <f aca="false">+IF(E384=0,0,E384*0.03)</f>
        <v>0</v>
      </c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customFormat="false" ht="16.4" hidden="false" customHeight="false" outlineLevel="0" collapsed="false">
      <c r="A385" s="123" t="n">
        <v>45444</v>
      </c>
      <c r="B385" s="31" t="s">
        <v>239</v>
      </c>
      <c r="C385" s="129"/>
      <c r="D385" s="129"/>
      <c r="E385" s="19" t="n">
        <f aca="false">F385*0.03</f>
        <v>0</v>
      </c>
      <c r="F385" s="33" t="n">
        <v>0</v>
      </c>
      <c r="G385" s="131"/>
      <c r="H385" s="35" t="n">
        <v>0</v>
      </c>
      <c r="I385" s="34" t="n">
        <f aca="false">+IF(E385=0,0,E385*0.03)</f>
        <v>0</v>
      </c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customFormat="false" ht="16.4" hidden="false" customHeight="false" outlineLevel="0" collapsed="false">
      <c r="A386" s="123" t="n">
        <v>45444</v>
      </c>
      <c r="B386" s="31" t="s">
        <v>7</v>
      </c>
      <c r="C386" s="129"/>
      <c r="D386" s="129"/>
      <c r="E386" s="19" t="n">
        <f aca="false">F386*0.03</f>
        <v>0</v>
      </c>
      <c r="F386" s="33" t="n">
        <v>0</v>
      </c>
      <c r="G386" s="131"/>
      <c r="H386" s="35" t="n">
        <v>0</v>
      </c>
      <c r="I386" s="34" t="n">
        <f aca="false">+IF(E386=0,0,E386*0.03)</f>
        <v>0</v>
      </c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customFormat="false" ht="16.4" hidden="false" customHeight="false" outlineLevel="0" collapsed="false">
      <c r="A387" s="123" t="n">
        <v>45444</v>
      </c>
      <c r="B387" s="31" t="s">
        <v>240</v>
      </c>
      <c r="C387" s="129"/>
      <c r="D387" s="129"/>
      <c r="E387" s="19" t="n">
        <f aca="false">F387*0.03</f>
        <v>0</v>
      </c>
      <c r="F387" s="33" t="n">
        <v>0</v>
      </c>
      <c r="G387" s="131"/>
      <c r="H387" s="35" t="n">
        <v>0</v>
      </c>
      <c r="I387" s="34" t="n">
        <f aca="false">+IF(E387=0,0,E387*0.03)</f>
        <v>0</v>
      </c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customFormat="false" ht="16.4" hidden="false" customHeight="false" outlineLevel="0" collapsed="false">
      <c r="A388" s="123" t="n">
        <v>45444</v>
      </c>
      <c r="B388" s="31" t="s">
        <v>153</v>
      </c>
      <c r="C388" s="129"/>
      <c r="D388" s="129"/>
      <c r="E388" s="19" t="n">
        <f aca="false">F388*0.03</f>
        <v>0</v>
      </c>
      <c r="F388" s="33" t="n">
        <v>0</v>
      </c>
      <c r="G388" s="131"/>
      <c r="H388" s="35" t="n">
        <v>0</v>
      </c>
      <c r="I388" s="34" t="n">
        <f aca="false">+IF(E388=0,0,E388*0.03)</f>
        <v>0</v>
      </c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customFormat="false" ht="16.4" hidden="false" customHeight="false" outlineLevel="0" collapsed="false">
      <c r="A389" s="123" t="n">
        <v>45444</v>
      </c>
      <c r="B389" s="31" t="s">
        <v>247</v>
      </c>
      <c r="C389" s="129"/>
      <c r="D389" s="129"/>
      <c r="E389" s="19" t="n">
        <f aca="false">F389*0.03</f>
        <v>0</v>
      </c>
      <c r="F389" s="33" t="n">
        <v>0</v>
      </c>
      <c r="G389" s="131"/>
      <c r="H389" s="35" t="n">
        <v>0</v>
      </c>
      <c r="I389" s="34" t="n">
        <f aca="false">+IF(E389=0,0,E389*0.03)</f>
        <v>0</v>
      </c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customFormat="false" ht="16.4" hidden="false" customHeight="false" outlineLevel="0" collapsed="false">
      <c r="A390" s="123" t="n">
        <v>45444</v>
      </c>
      <c r="B390" s="31" t="s">
        <v>246</v>
      </c>
      <c r="C390" s="129"/>
      <c r="D390" s="129"/>
      <c r="E390" s="19" t="n">
        <f aca="false">F390*0.03</f>
        <v>0</v>
      </c>
      <c r="F390" s="33" t="n">
        <v>0</v>
      </c>
      <c r="G390" s="131"/>
      <c r="H390" s="35" t="n">
        <v>0</v>
      </c>
      <c r="I390" s="34" t="n">
        <f aca="false">+IF(E390=0,0,E390*0.03)</f>
        <v>0</v>
      </c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customFormat="false" ht="16.4" hidden="false" customHeight="false" outlineLevel="0" collapsed="false">
      <c r="A391" s="123" t="n">
        <v>45444</v>
      </c>
      <c r="B391" s="31" t="s">
        <v>239</v>
      </c>
      <c r="C391" s="129"/>
      <c r="D391" s="129"/>
      <c r="E391" s="19" t="n">
        <f aca="false">F391*0.03</f>
        <v>0</v>
      </c>
      <c r="F391" s="33" t="n">
        <v>0</v>
      </c>
      <c r="G391" s="131"/>
      <c r="H391" s="35" t="n">
        <v>0</v>
      </c>
      <c r="I391" s="34" t="n">
        <f aca="false">+IF(E391=0,0,E391*0.03)</f>
        <v>0</v>
      </c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customFormat="false" ht="16.4" hidden="false" customHeight="false" outlineLevel="0" collapsed="false">
      <c r="A392" s="123" t="n">
        <v>45444</v>
      </c>
      <c r="B392" s="31" t="s">
        <v>7</v>
      </c>
      <c r="C392" s="129"/>
      <c r="D392" s="129"/>
      <c r="E392" s="19" t="n">
        <f aca="false">F392*0.03</f>
        <v>0</v>
      </c>
      <c r="F392" s="33" t="n">
        <v>0</v>
      </c>
      <c r="G392" s="131"/>
      <c r="H392" s="35" t="n">
        <v>0</v>
      </c>
      <c r="I392" s="34" t="n">
        <f aca="false">+IF(E392=0,0,E392*0.03)</f>
        <v>0</v>
      </c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customFormat="false" ht="16.4" hidden="false" customHeight="false" outlineLevel="0" collapsed="false">
      <c r="A393" s="123" t="n">
        <v>45444</v>
      </c>
      <c r="B393" s="31" t="s">
        <v>240</v>
      </c>
      <c r="C393" s="129"/>
      <c r="D393" s="129"/>
      <c r="E393" s="19" t="n">
        <f aca="false">F393*0.03</f>
        <v>0</v>
      </c>
      <c r="F393" s="33" t="n">
        <v>0</v>
      </c>
      <c r="G393" s="131"/>
      <c r="H393" s="35" t="n">
        <v>0</v>
      </c>
      <c r="I393" s="34" t="n">
        <f aca="false">+IF(E393=0,0,E393*0.03)</f>
        <v>0</v>
      </c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customFormat="false" ht="16.4" hidden="false" customHeight="false" outlineLevel="0" collapsed="false">
      <c r="A394" s="123" t="n">
        <v>45444</v>
      </c>
      <c r="B394" s="31" t="s">
        <v>153</v>
      </c>
      <c r="C394" s="129"/>
      <c r="D394" s="129"/>
      <c r="E394" s="19" t="n">
        <f aca="false">F394*0.03</f>
        <v>0</v>
      </c>
      <c r="F394" s="33" t="n">
        <v>0</v>
      </c>
      <c r="G394" s="131"/>
      <c r="H394" s="35" t="n">
        <v>0</v>
      </c>
      <c r="I394" s="34" t="n">
        <f aca="false">+IF(E394=0,0,E394*0.03)</f>
        <v>0</v>
      </c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customFormat="false" ht="16.4" hidden="false" customHeight="false" outlineLevel="0" collapsed="false">
      <c r="A395" s="123" t="n">
        <v>45444</v>
      </c>
      <c r="B395" s="31" t="s">
        <v>247</v>
      </c>
      <c r="C395" s="129"/>
      <c r="D395" s="129"/>
      <c r="E395" s="19" t="n">
        <f aca="false">F395*0.03</f>
        <v>0</v>
      </c>
      <c r="F395" s="33" t="n">
        <v>0</v>
      </c>
      <c r="G395" s="131"/>
      <c r="H395" s="35" t="n">
        <v>0</v>
      </c>
      <c r="I395" s="34" t="n">
        <f aca="false">+IF(E395=0,0,E395*0.03)</f>
        <v>0</v>
      </c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customFormat="false" ht="16.4" hidden="false" customHeight="false" outlineLevel="0" collapsed="false">
      <c r="A396" s="123" t="n">
        <v>45444</v>
      </c>
      <c r="B396" s="31" t="s">
        <v>246</v>
      </c>
      <c r="C396" s="129"/>
      <c r="D396" s="129"/>
      <c r="E396" s="19" t="n">
        <f aca="false">F396*0.03</f>
        <v>0</v>
      </c>
      <c r="F396" s="33" t="n">
        <v>0</v>
      </c>
      <c r="G396" s="131"/>
      <c r="H396" s="35" t="n">
        <v>0</v>
      </c>
      <c r="I396" s="34" t="n">
        <f aca="false">+IF(E396=0,0,E396*0.03)</f>
        <v>0</v>
      </c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customFormat="false" ht="16.4" hidden="false" customHeight="false" outlineLevel="0" collapsed="false">
      <c r="A397" s="123" t="n">
        <v>45444</v>
      </c>
      <c r="B397" s="31" t="s">
        <v>239</v>
      </c>
      <c r="C397" s="129"/>
      <c r="D397" s="129"/>
      <c r="E397" s="19" t="n">
        <f aca="false">F397*0.03</f>
        <v>0</v>
      </c>
      <c r="F397" s="33" t="n">
        <v>0</v>
      </c>
      <c r="G397" s="131"/>
      <c r="H397" s="35" t="n">
        <v>0</v>
      </c>
      <c r="I397" s="34" t="n">
        <f aca="false">+IF(E397=0,0,E397*0.03)</f>
        <v>0</v>
      </c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customFormat="false" ht="16.4" hidden="false" customHeight="false" outlineLevel="0" collapsed="false">
      <c r="A398" s="123" t="n">
        <v>45444</v>
      </c>
      <c r="B398" s="31" t="s">
        <v>7</v>
      </c>
      <c r="C398" s="129"/>
      <c r="D398" s="129"/>
      <c r="E398" s="19" t="n">
        <f aca="false">F398*0.03</f>
        <v>0</v>
      </c>
      <c r="F398" s="33" t="n">
        <v>0</v>
      </c>
      <c r="G398" s="131"/>
      <c r="H398" s="35" t="n">
        <v>0</v>
      </c>
      <c r="I398" s="34" t="n">
        <f aca="false">+IF(E398=0,0,E398*0.03)</f>
        <v>0</v>
      </c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customFormat="false" ht="16.4" hidden="false" customHeight="false" outlineLevel="0" collapsed="false">
      <c r="A399" s="123" t="n">
        <v>45444</v>
      </c>
      <c r="B399" s="31" t="s">
        <v>240</v>
      </c>
      <c r="C399" s="129"/>
      <c r="D399" s="129"/>
      <c r="E399" s="19" t="n">
        <f aca="false">F399*0.03</f>
        <v>0</v>
      </c>
      <c r="F399" s="33" t="n">
        <v>0</v>
      </c>
      <c r="G399" s="131"/>
      <c r="H399" s="35" t="n">
        <v>0</v>
      </c>
      <c r="I399" s="34" t="n">
        <f aca="false">+IF(E399=0,0,E399*0.03)</f>
        <v>0</v>
      </c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customFormat="false" ht="16.4" hidden="false" customHeight="false" outlineLevel="0" collapsed="false">
      <c r="A400" s="123" t="n">
        <v>45444</v>
      </c>
      <c r="B400" s="31" t="s">
        <v>153</v>
      </c>
      <c r="C400" s="129"/>
      <c r="D400" s="129"/>
      <c r="E400" s="19" t="n">
        <f aca="false">F400*0.03</f>
        <v>0</v>
      </c>
      <c r="F400" s="33" t="n">
        <v>0</v>
      </c>
      <c r="G400" s="131"/>
      <c r="H400" s="35" t="n">
        <v>0</v>
      </c>
      <c r="I400" s="34" t="n">
        <f aca="false">+IF(E400=0,0,E400*0.03)</f>
        <v>0</v>
      </c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customFormat="false" ht="16.4" hidden="false" customHeight="false" outlineLevel="0" collapsed="false">
      <c r="A401" s="123" t="n">
        <v>45444</v>
      </c>
      <c r="B401" s="31" t="s">
        <v>247</v>
      </c>
      <c r="C401" s="129"/>
      <c r="D401" s="129"/>
      <c r="E401" s="19" t="n">
        <f aca="false">F401*0.03</f>
        <v>0</v>
      </c>
      <c r="F401" s="33" t="n">
        <v>0</v>
      </c>
      <c r="G401" s="131"/>
      <c r="H401" s="35" t="n">
        <v>0</v>
      </c>
      <c r="I401" s="34" t="n">
        <f aca="false">+IF(E401=0,0,E401*0.03)</f>
        <v>0</v>
      </c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customFormat="false" ht="16.4" hidden="false" customHeight="false" outlineLevel="0" collapsed="false">
      <c r="A402" s="123" t="n">
        <v>45444</v>
      </c>
      <c r="B402" s="31" t="s">
        <v>246</v>
      </c>
      <c r="C402" s="129"/>
      <c r="D402" s="129"/>
      <c r="E402" s="19" t="n">
        <f aca="false">F402*0.03</f>
        <v>0</v>
      </c>
      <c r="F402" s="33" t="n">
        <v>0</v>
      </c>
      <c r="G402" s="131"/>
      <c r="H402" s="35" t="n">
        <v>0</v>
      </c>
      <c r="I402" s="34" t="n">
        <f aca="false">+IF(E402=0,0,E402*0.03)</f>
        <v>0</v>
      </c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customFormat="false" ht="16.4" hidden="false" customHeight="false" outlineLevel="0" collapsed="false">
      <c r="A403" s="123" t="n">
        <v>45444</v>
      </c>
      <c r="B403" s="31" t="s">
        <v>239</v>
      </c>
      <c r="C403" s="129"/>
      <c r="D403" s="129"/>
      <c r="E403" s="19" t="n">
        <f aca="false">F403*0.03</f>
        <v>0</v>
      </c>
      <c r="F403" s="33" t="n">
        <v>0</v>
      </c>
      <c r="G403" s="131"/>
      <c r="H403" s="35" t="n">
        <v>0</v>
      </c>
      <c r="I403" s="34" t="n">
        <f aca="false">+IF(E403=0,0,E403*0.03)</f>
        <v>0</v>
      </c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customFormat="false" ht="16.4" hidden="false" customHeight="false" outlineLevel="0" collapsed="false">
      <c r="A404" s="123" t="n">
        <v>45444</v>
      </c>
      <c r="B404" s="31" t="s">
        <v>7</v>
      </c>
      <c r="C404" s="129"/>
      <c r="D404" s="129"/>
      <c r="E404" s="19" t="n">
        <f aca="false">F404*0.03</f>
        <v>0</v>
      </c>
      <c r="F404" s="33" t="n">
        <v>0</v>
      </c>
      <c r="G404" s="131"/>
      <c r="H404" s="35" t="n">
        <v>0</v>
      </c>
      <c r="I404" s="34" t="n">
        <f aca="false">+IF(E404=0,0,E404*0.03)</f>
        <v>0</v>
      </c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customFormat="false" ht="16.4" hidden="false" customHeight="false" outlineLevel="0" collapsed="false">
      <c r="A405" s="123" t="n">
        <v>45444</v>
      </c>
      <c r="B405" s="31" t="s">
        <v>240</v>
      </c>
      <c r="C405" s="129"/>
      <c r="D405" s="129"/>
      <c r="E405" s="19" t="n">
        <f aca="false">F405*0.03</f>
        <v>0</v>
      </c>
      <c r="F405" s="33" t="n">
        <v>0</v>
      </c>
      <c r="G405" s="131"/>
      <c r="H405" s="35" t="n">
        <v>0</v>
      </c>
      <c r="I405" s="34" t="n">
        <f aca="false">+IF(E405=0,0,E405*0.03)</f>
        <v>0</v>
      </c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customFormat="false" ht="16.4" hidden="false" customHeight="false" outlineLevel="0" collapsed="false">
      <c r="A406" s="123" t="n">
        <v>45444</v>
      </c>
      <c r="B406" s="31" t="s">
        <v>153</v>
      </c>
      <c r="C406" s="129"/>
      <c r="D406" s="129"/>
      <c r="E406" s="19" t="n">
        <f aca="false">F406*0.03</f>
        <v>0</v>
      </c>
      <c r="F406" s="33" t="n">
        <v>0</v>
      </c>
      <c r="G406" s="131"/>
      <c r="H406" s="35" t="n">
        <v>0</v>
      </c>
      <c r="I406" s="34" t="n">
        <f aca="false">+IF(E406=0,0,E406*0.03)</f>
        <v>0</v>
      </c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customFormat="false" ht="16.4" hidden="false" customHeight="false" outlineLevel="0" collapsed="false">
      <c r="A407" s="123" t="n">
        <v>45444</v>
      </c>
      <c r="B407" s="31" t="s">
        <v>247</v>
      </c>
      <c r="C407" s="129"/>
      <c r="D407" s="129"/>
      <c r="E407" s="19" t="n">
        <f aca="false">F407*0.03</f>
        <v>0</v>
      </c>
      <c r="F407" s="33" t="n">
        <v>0</v>
      </c>
      <c r="G407" s="131"/>
      <c r="H407" s="35" t="n">
        <v>0</v>
      </c>
      <c r="I407" s="34" t="n">
        <f aca="false">+IF(E407=0,0,E407*0.03)</f>
        <v>0</v>
      </c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customFormat="false" ht="16.4" hidden="false" customHeight="false" outlineLevel="0" collapsed="false">
      <c r="A408" s="123" t="n">
        <v>45444</v>
      </c>
      <c r="B408" s="31" t="s">
        <v>246</v>
      </c>
      <c r="C408" s="129"/>
      <c r="D408" s="129"/>
      <c r="E408" s="19" t="n">
        <f aca="false">F408*0.03</f>
        <v>0</v>
      </c>
      <c r="F408" s="33" t="n">
        <v>0</v>
      </c>
      <c r="G408" s="131"/>
      <c r="H408" s="35" t="n">
        <v>0</v>
      </c>
      <c r="I408" s="34" t="n">
        <f aca="false">+IF(E408=0,0,E408*0.03)</f>
        <v>0</v>
      </c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customFormat="false" ht="16.4" hidden="false" customHeight="false" outlineLevel="0" collapsed="false">
      <c r="A409" s="123" t="n">
        <v>45444</v>
      </c>
      <c r="B409" s="31" t="s">
        <v>239</v>
      </c>
      <c r="C409" s="129"/>
      <c r="D409" s="129"/>
      <c r="E409" s="19" t="n">
        <f aca="false">F409*0.03</f>
        <v>0</v>
      </c>
      <c r="F409" s="33" t="n">
        <v>0</v>
      </c>
      <c r="G409" s="131"/>
      <c r="H409" s="35" t="n">
        <v>0</v>
      </c>
      <c r="I409" s="34" t="n">
        <f aca="false">+IF(E409=0,0,E409*0.03)</f>
        <v>0</v>
      </c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customFormat="false" ht="16.4" hidden="false" customHeight="false" outlineLevel="0" collapsed="false">
      <c r="A410" s="123" t="n">
        <v>45444</v>
      </c>
      <c r="B410" s="31" t="s">
        <v>7</v>
      </c>
      <c r="C410" s="129"/>
      <c r="D410" s="129"/>
      <c r="E410" s="19" t="n">
        <f aca="false">F410*0.03</f>
        <v>0</v>
      </c>
      <c r="F410" s="33" t="n">
        <v>0</v>
      </c>
      <c r="G410" s="131"/>
      <c r="H410" s="35" t="n">
        <v>0</v>
      </c>
      <c r="I410" s="34" t="n">
        <f aca="false">+IF(E410=0,0,E410*0.03)</f>
        <v>0</v>
      </c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customFormat="false" ht="16.4" hidden="false" customHeight="false" outlineLevel="0" collapsed="false">
      <c r="A411" s="123" t="n">
        <v>45444</v>
      </c>
      <c r="B411" s="31" t="s">
        <v>240</v>
      </c>
      <c r="C411" s="129"/>
      <c r="D411" s="129"/>
      <c r="E411" s="19" t="n">
        <f aca="false">F411*0.03</f>
        <v>0</v>
      </c>
      <c r="F411" s="33" t="n">
        <v>0</v>
      </c>
      <c r="G411" s="131"/>
      <c r="H411" s="35" t="n">
        <v>0</v>
      </c>
      <c r="I411" s="34" t="n">
        <f aca="false">+IF(E411=0,0,E411*0.03)</f>
        <v>0</v>
      </c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customFormat="false" ht="16.4" hidden="false" customHeight="false" outlineLevel="0" collapsed="false">
      <c r="A412" s="123" t="n">
        <v>45444</v>
      </c>
      <c r="B412" s="31" t="s">
        <v>153</v>
      </c>
      <c r="C412" s="129"/>
      <c r="D412" s="129"/>
      <c r="E412" s="19" t="n">
        <f aca="false">F412*0.03</f>
        <v>0</v>
      </c>
      <c r="F412" s="33" t="n">
        <v>0</v>
      </c>
      <c r="G412" s="131"/>
      <c r="H412" s="35" t="n">
        <v>0</v>
      </c>
      <c r="I412" s="34" t="n">
        <f aca="false">+IF(E412=0,0,E412*0.03)</f>
        <v>0</v>
      </c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customFormat="false" ht="16.4" hidden="false" customHeight="false" outlineLevel="0" collapsed="false">
      <c r="A413" s="123" t="n">
        <v>45444</v>
      </c>
      <c r="B413" s="31" t="s">
        <v>247</v>
      </c>
      <c r="C413" s="129"/>
      <c r="D413" s="129"/>
      <c r="E413" s="19" t="n">
        <f aca="false">F413*0.03</f>
        <v>0</v>
      </c>
      <c r="F413" s="33" t="n">
        <v>0</v>
      </c>
      <c r="G413" s="131"/>
      <c r="H413" s="35" t="n">
        <v>0</v>
      </c>
      <c r="I413" s="34" t="n">
        <f aca="false">+IF(E413=0,0,E413*0.03)</f>
        <v>0</v>
      </c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customFormat="false" ht="16.4" hidden="false" customHeight="false" outlineLevel="0" collapsed="false">
      <c r="A414" s="123" t="n">
        <v>45444</v>
      </c>
      <c r="B414" s="31" t="s">
        <v>246</v>
      </c>
      <c r="C414" s="129"/>
      <c r="D414" s="129"/>
      <c r="E414" s="19" t="n">
        <f aca="false">F414*0.03</f>
        <v>0</v>
      </c>
      <c r="F414" s="33" t="n">
        <v>0</v>
      </c>
      <c r="G414" s="131"/>
      <c r="H414" s="35" t="n">
        <v>0</v>
      </c>
      <c r="I414" s="34" t="n">
        <f aca="false">+IF(E414=0,0,E414*0.03)</f>
        <v>0</v>
      </c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customFormat="false" ht="16.4" hidden="false" customHeight="false" outlineLevel="0" collapsed="false">
      <c r="A415" s="123" t="n">
        <v>45444</v>
      </c>
      <c r="B415" s="31" t="s">
        <v>239</v>
      </c>
      <c r="C415" s="129"/>
      <c r="D415" s="129"/>
      <c r="E415" s="19" t="n">
        <f aca="false">F415*0.03</f>
        <v>0</v>
      </c>
      <c r="F415" s="33" t="n">
        <v>0</v>
      </c>
      <c r="G415" s="131"/>
      <c r="H415" s="35" t="n">
        <v>0</v>
      </c>
      <c r="I415" s="34" t="n">
        <f aca="false">+IF(E415=0,0,E415*0.03)</f>
        <v>0</v>
      </c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customFormat="false" ht="16.4" hidden="false" customHeight="false" outlineLevel="0" collapsed="false">
      <c r="A416" s="123" t="n">
        <v>45444</v>
      </c>
      <c r="B416" s="31" t="s">
        <v>7</v>
      </c>
      <c r="C416" s="129"/>
      <c r="D416" s="129"/>
      <c r="E416" s="19" t="n">
        <f aca="false">F416*0.03</f>
        <v>0</v>
      </c>
      <c r="F416" s="33" t="n">
        <v>0</v>
      </c>
      <c r="G416" s="131"/>
      <c r="H416" s="35" t="n">
        <v>0</v>
      </c>
      <c r="I416" s="34" t="n">
        <f aca="false">+IF(E416=0,0,E416*0.03)</f>
        <v>0</v>
      </c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customFormat="false" ht="16.4" hidden="false" customHeight="false" outlineLevel="0" collapsed="false">
      <c r="A417" s="123" t="n">
        <v>45444</v>
      </c>
      <c r="B417" s="31" t="s">
        <v>240</v>
      </c>
      <c r="C417" s="129"/>
      <c r="D417" s="129"/>
      <c r="E417" s="19" t="n">
        <f aca="false">F417*0.03</f>
        <v>0</v>
      </c>
      <c r="F417" s="33" t="n">
        <v>0</v>
      </c>
      <c r="G417" s="131"/>
      <c r="H417" s="35" t="n">
        <v>0</v>
      </c>
      <c r="I417" s="34" t="n">
        <f aca="false">+IF(E417=0,0,E417*0.03)</f>
        <v>0</v>
      </c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customFormat="false" ht="16.4" hidden="false" customHeight="false" outlineLevel="0" collapsed="false">
      <c r="A418" s="123" t="n">
        <v>45444</v>
      </c>
      <c r="B418" s="31" t="s">
        <v>153</v>
      </c>
      <c r="C418" s="129"/>
      <c r="D418" s="129"/>
      <c r="E418" s="19" t="n">
        <f aca="false">F418*0.03</f>
        <v>0</v>
      </c>
      <c r="F418" s="33" t="n">
        <v>0</v>
      </c>
      <c r="G418" s="131"/>
      <c r="H418" s="35" t="n">
        <v>0</v>
      </c>
      <c r="I418" s="34" t="n">
        <f aca="false">+IF(E418=0,0,E418*0.03)</f>
        <v>0</v>
      </c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customFormat="false" ht="16.4" hidden="false" customHeight="false" outlineLevel="0" collapsed="false">
      <c r="A419" s="123" t="n">
        <v>45444</v>
      </c>
      <c r="B419" s="31" t="s">
        <v>247</v>
      </c>
      <c r="C419" s="129"/>
      <c r="D419" s="129"/>
      <c r="E419" s="19" t="n">
        <f aca="false">F419*0.03</f>
        <v>0</v>
      </c>
      <c r="F419" s="33" t="n">
        <v>0</v>
      </c>
      <c r="G419" s="131"/>
      <c r="H419" s="35" t="n">
        <v>0</v>
      </c>
      <c r="I419" s="34" t="n">
        <f aca="false">+IF(E419=0,0,E419*0.03)</f>
        <v>0</v>
      </c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customFormat="false" ht="16.4" hidden="false" customHeight="false" outlineLevel="0" collapsed="false">
      <c r="A420" s="123" t="n">
        <v>45444</v>
      </c>
      <c r="B420" s="31" t="s">
        <v>246</v>
      </c>
      <c r="C420" s="129"/>
      <c r="D420" s="129"/>
      <c r="E420" s="19" t="n">
        <f aca="false">F420*0.03</f>
        <v>0</v>
      </c>
      <c r="F420" s="33" t="n">
        <v>0</v>
      </c>
      <c r="G420" s="131"/>
      <c r="H420" s="35" t="n">
        <v>0</v>
      </c>
      <c r="I420" s="34" t="n">
        <f aca="false">+IF(E420=0,0,E420*0.03)</f>
        <v>0</v>
      </c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customFormat="false" ht="16.4" hidden="false" customHeight="false" outlineLevel="0" collapsed="false">
      <c r="A421" s="123" t="n">
        <v>45444</v>
      </c>
      <c r="B421" s="31" t="s">
        <v>239</v>
      </c>
      <c r="C421" s="129"/>
      <c r="D421" s="129"/>
      <c r="E421" s="19" t="n">
        <f aca="false">F421*0.03</f>
        <v>0</v>
      </c>
      <c r="F421" s="33" t="n">
        <v>0</v>
      </c>
      <c r="G421" s="131"/>
      <c r="H421" s="35" t="n">
        <v>0</v>
      </c>
      <c r="I421" s="34" t="n">
        <f aca="false">+IF(E421=0,0,E421*0.03)</f>
        <v>0</v>
      </c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customFormat="false" ht="16.4" hidden="false" customHeight="false" outlineLevel="0" collapsed="false">
      <c r="A422" s="123" t="n">
        <v>45444</v>
      </c>
      <c r="B422" s="31" t="s">
        <v>7</v>
      </c>
      <c r="C422" s="129"/>
      <c r="D422" s="129"/>
      <c r="E422" s="19" t="n">
        <f aca="false">F422*0.03</f>
        <v>0</v>
      </c>
      <c r="F422" s="33" t="n">
        <v>0</v>
      </c>
      <c r="G422" s="131"/>
      <c r="H422" s="35" t="n">
        <v>0</v>
      </c>
      <c r="I422" s="34" t="n">
        <f aca="false">+IF(E422=0,0,E422*0.03)</f>
        <v>0</v>
      </c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customFormat="false" ht="16.4" hidden="false" customHeight="false" outlineLevel="0" collapsed="false">
      <c r="A423" s="123" t="n">
        <v>45444</v>
      </c>
      <c r="B423" s="31" t="s">
        <v>240</v>
      </c>
      <c r="C423" s="129"/>
      <c r="D423" s="129"/>
      <c r="E423" s="19" t="n">
        <f aca="false">F423*0.03</f>
        <v>0</v>
      </c>
      <c r="F423" s="33" t="n">
        <v>0</v>
      </c>
      <c r="G423" s="131"/>
      <c r="H423" s="35" t="n">
        <v>0</v>
      </c>
      <c r="I423" s="34" t="n">
        <f aca="false">+IF(E423=0,0,E423*0.03)</f>
        <v>0</v>
      </c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customFormat="false" ht="16.4" hidden="false" customHeight="false" outlineLevel="0" collapsed="false">
      <c r="A424" s="123" t="n">
        <v>45444</v>
      </c>
      <c r="B424" s="31" t="s">
        <v>153</v>
      </c>
      <c r="C424" s="129"/>
      <c r="D424" s="129"/>
      <c r="E424" s="19" t="n">
        <f aca="false">F424*0.03</f>
        <v>0</v>
      </c>
      <c r="F424" s="33" t="n">
        <v>0</v>
      </c>
      <c r="G424" s="131"/>
      <c r="H424" s="35" t="n">
        <v>0</v>
      </c>
      <c r="I424" s="34" t="n">
        <f aca="false">+IF(E424=0,0,E424*0.03)</f>
        <v>0</v>
      </c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customFormat="false" ht="16.4" hidden="false" customHeight="false" outlineLevel="0" collapsed="false">
      <c r="A425" s="123" t="n">
        <v>45444</v>
      </c>
      <c r="B425" s="31" t="s">
        <v>247</v>
      </c>
      <c r="C425" s="129"/>
      <c r="D425" s="129"/>
      <c r="E425" s="19" t="n">
        <f aca="false">F425*0.03</f>
        <v>0</v>
      </c>
      <c r="F425" s="33" t="n">
        <v>0</v>
      </c>
      <c r="G425" s="131"/>
      <c r="H425" s="35" t="n">
        <v>0</v>
      </c>
      <c r="I425" s="34" t="n">
        <f aca="false">+IF(E425=0,0,E425*0.03)</f>
        <v>0</v>
      </c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customFormat="false" ht="16.4" hidden="false" customHeight="false" outlineLevel="0" collapsed="false">
      <c r="A426" s="123" t="n">
        <v>45444</v>
      </c>
      <c r="B426" s="31" t="s">
        <v>246</v>
      </c>
      <c r="C426" s="129"/>
      <c r="D426" s="129"/>
      <c r="E426" s="19" t="n">
        <f aca="false">F426*0.03</f>
        <v>0</v>
      </c>
      <c r="F426" s="33" t="n">
        <v>0</v>
      </c>
      <c r="G426" s="131"/>
      <c r="H426" s="35" t="n">
        <v>0</v>
      </c>
      <c r="I426" s="34" t="n">
        <f aca="false">+IF(E426=0,0,E426*0.03)</f>
        <v>0</v>
      </c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customFormat="false" ht="16.4" hidden="false" customHeight="false" outlineLevel="0" collapsed="false">
      <c r="A427" s="123" t="n">
        <v>45444</v>
      </c>
      <c r="B427" s="31" t="s">
        <v>239</v>
      </c>
      <c r="C427" s="129"/>
      <c r="D427" s="129"/>
      <c r="E427" s="19" t="n">
        <f aca="false">F427*0.03</f>
        <v>0</v>
      </c>
      <c r="F427" s="33" t="n">
        <v>0</v>
      </c>
      <c r="G427" s="131"/>
      <c r="H427" s="35" t="n">
        <v>0</v>
      </c>
      <c r="I427" s="34" t="n">
        <f aca="false">+IF(E427=0,0,E427*0.03)</f>
        <v>0</v>
      </c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customFormat="false" ht="16.4" hidden="false" customHeight="false" outlineLevel="0" collapsed="false">
      <c r="A428" s="123" t="n">
        <v>45444</v>
      </c>
      <c r="B428" s="31" t="s">
        <v>7</v>
      </c>
      <c r="C428" s="129"/>
      <c r="D428" s="129"/>
      <c r="E428" s="19" t="n">
        <f aca="false">F428*0.03</f>
        <v>0</v>
      </c>
      <c r="F428" s="33" t="n">
        <v>0</v>
      </c>
      <c r="G428" s="131"/>
      <c r="H428" s="35" t="n">
        <v>0</v>
      </c>
      <c r="I428" s="34" t="n">
        <f aca="false">+IF(E428=0,0,E428*0.03)</f>
        <v>0</v>
      </c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customFormat="false" ht="16.4" hidden="false" customHeight="false" outlineLevel="0" collapsed="false">
      <c r="A429" s="123" t="n">
        <v>45444</v>
      </c>
      <c r="B429" s="31" t="s">
        <v>240</v>
      </c>
      <c r="C429" s="129"/>
      <c r="D429" s="129"/>
      <c r="E429" s="19" t="n">
        <f aca="false">F429*0.03</f>
        <v>0</v>
      </c>
      <c r="F429" s="33" t="n">
        <v>0</v>
      </c>
      <c r="G429" s="131"/>
      <c r="H429" s="35" t="n">
        <v>0</v>
      </c>
      <c r="I429" s="34" t="n">
        <f aca="false">+IF(E429=0,0,E429*0.03)</f>
        <v>0</v>
      </c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customFormat="false" ht="16.4" hidden="false" customHeight="false" outlineLevel="0" collapsed="false">
      <c r="A430" s="123" t="n">
        <v>45444</v>
      </c>
      <c r="B430" s="31" t="s">
        <v>153</v>
      </c>
      <c r="C430" s="129"/>
      <c r="D430" s="129"/>
      <c r="E430" s="19" t="n">
        <f aca="false">F430*0.03</f>
        <v>0</v>
      </c>
      <c r="F430" s="33" t="n">
        <v>0</v>
      </c>
      <c r="G430" s="131"/>
      <c r="H430" s="35" t="n">
        <v>0</v>
      </c>
      <c r="I430" s="34" t="n">
        <f aca="false">+IF(E430=0,0,E430*0.03)</f>
        <v>0</v>
      </c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customFormat="false" ht="16.4" hidden="false" customHeight="false" outlineLevel="0" collapsed="false">
      <c r="A431" s="123" t="n">
        <v>45444</v>
      </c>
      <c r="B431" s="31" t="s">
        <v>247</v>
      </c>
      <c r="C431" s="129"/>
      <c r="D431" s="129"/>
      <c r="E431" s="19" t="n">
        <f aca="false">F431*0.03</f>
        <v>0</v>
      </c>
      <c r="F431" s="33" t="n">
        <v>0</v>
      </c>
      <c r="G431" s="131"/>
      <c r="H431" s="35" t="n">
        <v>0</v>
      </c>
      <c r="I431" s="34" t="n">
        <f aca="false">+IF(E431=0,0,E431*0.03)</f>
        <v>0</v>
      </c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customFormat="false" ht="16.4" hidden="false" customHeight="false" outlineLevel="0" collapsed="false">
      <c r="A432" s="123" t="n">
        <v>45444</v>
      </c>
      <c r="B432" s="31" t="s">
        <v>246</v>
      </c>
      <c r="C432" s="129"/>
      <c r="D432" s="129"/>
      <c r="E432" s="19" t="n">
        <f aca="false">F432*0.03</f>
        <v>0</v>
      </c>
      <c r="F432" s="33" t="n">
        <v>0</v>
      </c>
      <c r="G432" s="131"/>
      <c r="H432" s="35" t="n">
        <v>0</v>
      </c>
      <c r="I432" s="34" t="n">
        <f aca="false">+IF(E432=0,0,E432*0.03)</f>
        <v>0</v>
      </c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customFormat="false" ht="16.4" hidden="false" customHeight="false" outlineLevel="0" collapsed="false">
      <c r="A433" s="123" t="n">
        <v>45444</v>
      </c>
      <c r="B433" s="31" t="s">
        <v>239</v>
      </c>
      <c r="C433" s="129"/>
      <c r="D433" s="129"/>
      <c r="E433" s="19" t="n">
        <f aca="false">F433*0.03</f>
        <v>0</v>
      </c>
      <c r="F433" s="33" t="n">
        <v>0</v>
      </c>
      <c r="G433" s="131"/>
      <c r="H433" s="35" t="n">
        <v>0</v>
      </c>
      <c r="I433" s="34" t="n">
        <f aca="false">+IF(E433=0,0,E433*0.03)</f>
        <v>0</v>
      </c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customFormat="false" ht="16.4" hidden="false" customHeight="false" outlineLevel="0" collapsed="false">
      <c r="A434" s="123" t="n">
        <v>45444</v>
      </c>
      <c r="B434" s="31" t="s">
        <v>7</v>
      </c>
      <c r="C434" s="129"/>
      <c r="D434" s="129"/>
      <c r="E434" s="19" t="n">
        <f aca="false">F434*0.03</f>
        <v>0</v>
      </c>
      <c r="F434" s="33" t="n">
        <v>0</v>
      </c>
      <c r="G434" s="131"/>
      <c r="H434" s="35" t="n">
        <v>0</v>
      </c>
      <c r="I434" s="34" t="n">
        <f aca="false">+IF(E434=0,0,E434*0.03)</f>
        <v>0</v>
      </c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customFormat="false" ht="16.4" hidden="false" customHeight="false" outlineLevel="0" collapsed="false">
      <c r="A435" s="123" t="n">
        <v>45444</v>
      </c>
      <c r="B435" s="31" t="s">
        <v>240</v>
      </c>
      <c r="C435" s="129"/>
      <c r="D435" s="129"/>
      <c r="E435" s="19" t="n">
        <f aca="false">F435*0.03</f>
        <v>0</v>
      </c>
      <c r="F435" s="33" t="n">
        <v>0</v>
      </c>
      <c r="G435" s="131"/>
      <c r="H435" s="35" t="n">
        <v>0</v>
      </c>
      <c r="I435" s="34" t="n">
        <f aca="false">+IF(E435=0,0,E435*0.03)</f>
        <v>0</v>
      </c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customFormat="false" ht="16.4" hidden="false" customHeight="false" outlineLevel="0" collapsed="false">
      <c r="A436" s="123" t="n">
        <v>45444</v>
      </c>
      <c r="B436" s="31" t="s">
        <v>153</v>
      </c>
      <c r="C436" s="129"/>
      <c r="D436" s="129"/>
      <c r="E436" s="19" t="n">
        <f aca="false">F436*0.03</f>
        <v>0</v>
      </c>
      <c r="F436" s="33" t="n">
        <v>0</v>
      </c>
      <c r="G436" s="131"/>
      <c r="H436" s="35" t="n">
        <v>0</v>
      </c>
      <c r="I436" s="34" t="n">
        <f aca="false">+IF(E436=0,0,E436*0.03)</f>
        <v>0</v>
      </c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customFormat="false" ht="16.4" hidden="false" customHeight="false" outlineLevel="0" collapsed="false">
      <c r="A437" s="123" t="n">
        <v>45444</v>
      </c>
      <c r="B437" s="31" t="s">
        <v>247</v>
      </c>
      <c r="C437" s="129"/>
      <c r="D437" s="129"/>
      <c r="E437" s="19" t="n">
        <f aca="false">F437*0.03</f>
        <v>0</v>
      </c>
      <c r="F437" s="33" t="n">
        <v>0</v>
      </c>
      <c r="G437" s="131"/>
      <c r="H437" s="35" t="n">
        <v>0</v>
      </c>
      <c r="I437" s="34" t="n">
        <f aca="false">+IF(E437=0,0,E437*0.03)</f>
        <v>0</v>
      </c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customFormat="false" ht="16.4" hidden="false" customHeight="false" outlineLevel="0" collapsed="false">
      <c r="A438" s="123" t="n">
        <v>45444</v>
      </c>
      <c r="B438" s="31" t="s">
        <v>246</v>
      </c>
      <c r="C438" s="129"/>
      <c r="D438" s="129"/>
      <c r="E438" s="19" t="n">
        <f aca="false">F438*0.03</f>
        <v>0</v>
      </c>
      <c r="F438" s="33" t="n">
        <v>0</v>
      </c>
      <c r="G438" s="131"/>
      <c r="H438" s="35" t="n">
        <v>0</v>
      </c>
      <c r="I438" s="34" t="n">
        <f aca="false">+IF(E438=0,0,E438*0.03)</f>
        <v>0</v>
      </c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customFormat="false" ht="16.4" hidden="false" customHeight="false" outlineLevel="0" collapsed="false">
      <c r="A439" s="123" t="n">
        <v>45444</v>
      </c>
      <c r="B439" s="31" t="s">
        <v>239</v>
      </c>
      <c r="C439" s="129"/>
      <c r="D439" s="129"/>
      <c r="E439" s="19" t="n">
        <f aca="false">F439*0.03</f>
        <v>0</v>
      </c>
      <c r="F439" s="33" t="n">
        <v>0</v>
      </c>
      <c r="G439" s="131"/>
      <c r="H439" s="35" t="n">
        <v>0</v>
      </c>
      <c r="I439" s="34" t="n">
        <f aca="false">+IF(E439=0,0,E439*0.03)</f>
        <v>0</v>
      </c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customFormat="false" ht="16.4" hidden="false" customHeight="false" outlineLevel="0" collapsed="false">
      <c r="A440" s="123" t="n">
        <v>45444</v>
      </c>
      <c r="B440" s="31" t="s">
        <v>7</v>
      </c>
      <c r="C440" s="129"/>
      <c r="D440" s="129"/>
      <c r="E440" s="19" t="n">
        <f aca="false">F440*0.03</f>
        <v>0</v>
      </c>
      <c r="F440" s="33" t="n">
        <v>0</v>
      </c>
      <c r="G440" s="131"/>
      <c r="H440" s="35" t="n">
        <v>0</v>
      </c>
      <c r="I440" s="34" t="n">
        <f aca="false">+IF(E440=0,0,E440*0.03)</f>
        <v>0</v>
      </c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customFormat="false" ht="16.4" hidden="false" customHeight="false" outlineLevel="0" collapsed="false">
      <c r="A441" s="123" t="n">
        <v>45444</v>
      </c>
      <c r="B441" s="31" t="s">
        <v>240</v>
      </c>
      <c r="C441" s="129"/>
      <c r="D441" s="129"/>
      <c r="E441" s="19" t="n">
        <f aca="false">F441*0.03</f>
        <v>0</v>
      </c>
      <c r="F441" s="33" t="n">
        <v>0</v>
      </c>
      <c r="G441" s="131"/>
      <c r="H441" s="35" t="n">
        <v>0</v>
      </c>
      <c r="I441" s="34" t="n">
        <f aca="false">+IF(E441=0,0,E441*0.03)</f>
        <v>0</v>
      </c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customFormat="false" ht="16.4" hidden="false" customHeight="false" outlineLevel="0" collapsed="false">
      <c r="A442" s="123" t="n">
        <v>45444</v>
      </c>
      <c r="B442" s="31" t="s">
        <v>153</v>
      </c>
      <c r="C442" s="129"/>
      <c r="D442" s="129"/>
      <c r="E442" s="19" t="n">
        <f aca="false">F442*0.03</f>
        <v>0</v>
      </c>
      <c r="F442" s="33" t="n">
        <v>0</v>
      </c>
      <c r="G442" s="131"/>
      <c r="H442" s="35" t="n">
        <v>0</v>
      </c>
      <c r="I442" s="34" t="n">
        <f aca="false">+IF(E442=0,0,E442*0.03)</f>
        <v>0</v>
      </c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customFormat="false" ht="16.4" hidden="false" customHeight="false" outlineLevel="0" collapsed="false">
      <c r="A443" s="123" t="n">
        <v>45444</v>
      </c>
      <c r="B443" s="31" t="s">
        <v>247</v>
      </c>
      <c r="C443" s="129"/>
      <c r="D443" s="129"/>
      <c r="E443" s="19" t="n">
        <f aca="false">F443*0.03</f>
        <v>0</v>
      </c>
      <c r="F443" s="33" t="n">
        <v>0</v>
      </c>
      <c r="G443" s="131"/>
      <c r="H443" s="35" t="n">
        <v>0</v>
      </c>
      <c r="I443" s="34" t="n">
        <f aca="false">+IF(E443=0,0,E443*0.03)</f>
        <v>0</v>
      </c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customFormat="false" ht="16.4" hidden="false" customHeight="false" outlineLevel="0" collapsed="false">
      <c r="A444" s="123" t="n">
        <v>45444</v>
      </c>
      <c r="B444" s="31" t="s">
        <v>246</v>
      </c>
      <c r="C444" s="129"/>
      <c r="D444" s="129"/>
      <c r="E444" s="19" t="n">
        <f aca="false">F444*0.03</f>
        <v>0</v>
      </c>
      <c r="F444" s="33" t="n">
        <v>0</v>
      </c>
      <c r="G444" s="131"/>
      <c r="H444" s="35" t="n">
        <v>0</v>
      </c>
      <c r="I444" s="34" t="n">
        <f aca="false">+IF(E444=0,0,E444*0.03)</f>
        <v>0</v>
      </c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customFormat="false" ht="16.4" hidden="false" customHeight="false" outlineLevel="0" collapsed="false">
      <c r="A445" s="123" t="n">
        <v>45444</v>
      </c>
      <c r="B445" s="31" t="s">
        <v>239</v>
      </c>
      <c r="C445" s="129"/>
      <c r="D445" s="129"/>
      <c r="E445" s="19" t="n">
        <f aca="false">F445*0.03</f>
        <v>0</v>
      </c>
      <c r="F445" s="33" t="n">
        <v>0</v>
      </c>
      <c r="G445" s="131"/>
      <c r="H445" s="35" t="n">
        <v>0</v>
      </c>
      <c r="I445" s="34" t="n">
        <f aca="false">+IF(E445=0,0,E445*0.03)</f>
        <v>0</v>
      </c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customFormat="false" ht="16.4" hidden="false" customHeight="false" outlineLevel="0" collapsed="false">
      <c r="A446" s="123" t="n">
        <v>45444</v>
      </c>
      <c r="B446" s="31" t="s">
        <v>7</v>
      </c>
      <c r="C446" s="129"/>
      <c r="D446" s="129"/>
      <c r="E446" s="19" t="n">
        <f aca="false">F446*0.03</f>
        <v>0</v>
      </c>
      <c r="F446" s="33" t="n">
        <v>0</v>
      </c>
      <c r="G446" s="131"/>
      <c r="H446" s="35" t="n">
        <v>0</v>
      </c>
      <c r="I446" s="34" t="n">
        <f aca="false">+IF(E446=0,0,E446*0.03)</f>
        <v>0</v>
      </c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customFormat="false" ht="16.4" hidden="false" customHeight="false" outlineLevel="0" collapsed="false">
      <c r="A447" s="123" t="n">
        <v>45444</v>
      </c>
      <c r="B447" s="31" t="s">
        <v>240</v>
      </c>
      <c r="C447" s="129"/>
      <c r="D447" s="129"/>
      <c r="E447" s="19" t="n">
        <f aca="false">F447*0.03</f>
        <v>0</v>
      </c>
      <c r="F447" s="33" t="n">
        <v>0</v>
      </c>
      <c r="G447" s="131"/>
      <c r="H447" s="35" t="n">
        <v>0</v>
      </c>
      <c r="I447" s="34" t="n">
        <f aca="false">+IF(E447=0,0,E447*0.03)</f>
        <v>0</v>
      </c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customFormat="false" ht="16.4" hidden="false" customHeight="false" outlineLevel="0" collapsed="false">
      <c r="A448" s="123" t="n">
        <v>45444</v>
      </c>
      <c r="B448" s="31" t="s">
        <v>153</v>
      </c>
      <c r="C448" s="129"/>
      <c r="D448" s="129"/>
      <c r="E448" s="19" t="n">
        <f aca="false">F448*0.03</f>
        <v>0</v>
      </c>
      <c r="F448" s="33" t="n">
        <v>0</v>
      </c>
      <c r="G448" s="131"/>
      <c r="H448" s="35" t="n">
        <v>0</v>
      </c>
      <c r="I448" s="34" t="n">
        <f aca="false">+IF(E448=0,0,E448*0.03)</f>
        <v>0</v>
      </c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customFormat="false" ht="16.4" hidden="false" customHeight="false" outlineLevel="0" collapsed="false">
      <c r="A449" s="123" t="n">
        <v>45444</v>
      </c>
      <c r="B449" s="31" t="s">
        <v>247</v>
      </c>
      <c r="C449" s="129"/>
      <c r="D449" s="129"/>
      <c r="E449" s="19" t="n">
        <f aca="false">F449*0.03</f>
        <v>0</v>
      </c>
      <c r="F449" s="33" t="n">
        <v>0</v>
      </c>
      <c r="G449" s="131"/>
      <c r="H449" s="35" t="n">
        <v>0</v>
      </c>
      <c r="I449" s="34" t="n">
        <f aca="false">+IF(E449=0,0,E449*0.03)</f>
        <v>0</v>
      </c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customFormat="false" ht="16.4" hidden="false" customHeight="false" outlineLevel="0" collapsed="false">
      <c r="A450" s="123" t="n">
        <v>45444</v>
      </c>
      <c r="B450" s="31" t="s">
        <v>246</v>
      </c>
      <c r="C450" s="129"/>
      <c r="D450" s="129"/>
      <c r="E450" s="19" t="n">
        <f aca="false">F450*0.03</f>
        <v>0</v>
      </c>
      <c r="F450" s="33" t="n">
        <v>0</v>
      </c>
      <c r="G450" s="131"/>
      <c r="H450" s="35" t="n">
        <v>0</v>
      </c>
      <c r="I450" s="34" t="n">
        <f aca="false">+IF(E450=0,0,E450*0.03)</f>
        <v>0</v>
      </c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customFormat="false" ht="16.4" hidden="false" customHeight="false" outlineLevel="0" collapsed="false">
      <c r="A451" s="123" t="n">
        <v>45444</v>
      </c>
      <c r="B451" s="31" t="s">
        <v>239</v>
      </c>
      <c r="C451" s="129"/>
      <c r="D451" s="129"/>
      <c r="E451" s="19" t="n">
        <f aca="false">F451*0.03</f>
        <v>0</v>
      </c>
      <c r="F451" s="33" t="n">
        <v>0</v>
      </c>
      <c r="G451" s="131"/>
      <c r="H451" s="35" t="n">
        <v>0</v>
      </c>
      <c r="I451" s="34" t="n">
        <f aca="false">+IF(E451=0,0,E451*0.03)</f>
        <v>0</v>
      </c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customFormat="false" ht="16.4" hidden="false" customHeight="false" outlineLevel="0" collapsed="false">
      <c r="A452" s="123" t="n">
        <v>45444</v>
      </c>
      <c r="B452" s="31" t="s">
        <v>7</v>
      </c>
      <c r="C452" s="129"/>
      <c r="D452" s="129"/>
      <c r="E452" s="19" t="n">
        <f aca="false">F452*0.03</f>
        <v>0</v>
      </c>
      <c r="F452" s="33" t="n">
        <v>0</v>
      </c>
      <c r="G452" s="131"/>
      <c r="H452" s="35" t="n">
        <v>0</v>
      </c>
      <c r="I452" s="34" t="n">
        <f aca="false">+IF(E452=0,0,E452*0.03)</f>
        <v>0</v>
      </c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customFormat="false" ht="16.4" hidden="false" customHeight="false" outlineLevel="0" collapsed="false">
      <c r="A453" s="123" t="n">
        <v>45444</v>
      </c>
      <c r="B453" s="31" t="s">
        <v>240</v>
      </c>
      <c r="C453" s="129"/>
      <c r="D453" s="129"/>
      <c r="E453" s="19" t="n">
        <f aca="false">F453*0.03</f>
        <v>0</v>
      </c>
      <c r="F453" s="33" t="n">
        <v>0</v>
      </c>
      <c r="G453" s="131"/>
      <c r="H453" s="35" t="n">
        <v>0</v>
      </c>
      <c r="I453" s="34" t="n">
        <f aca="false">+IF(E453=0,0,E453*0.03)</f>
        <v>0</v>
      </c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customFormat="false" ht="16.4" hidden="false" customHeight="false" outlineLevel="0" collapsed="false">
      <c r="A454" s="123" t="n">
        <v>45444</v>
      </c>
      <c r="B454" s="31" t="s">
        <v>153</v>
      </c>
      <c r="C454" s="129"/>
      <c r="D454" s="129"/>
      <c r="E454" s="19" t="n">
        <f aca="false">F454*0.03</f>
        <v>0</v>
      </c>
      <c r="F454" s="33" t="n">
        <v>0</v>
      </c>
      <c r="G454" s="131"/>
      <c r="H454" s="35" t="n">
        <v>0</v>
      </c>
      <c r="I454" s="34" t="n">
        <f aca="false">+IF(E454=0,0,E454*0.03)</f>
        <v>0</v>
      </c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customFormat="false" ht="16.4" hidden="false" customHeight="false" outlineLevel="0" collapsed="false">
      <c r="A455" s="123" t="n">
        <v>45444</v>
      </c>
      <c r="B455" s="31" t="s">
        <v>247</v>
      </c>
      <c r="C455" s="129"/>
      <c r="D455" s="129"/>
      <c r="E455" s="19" t="n">
        <f aca="false">F455*0.03</f>
        <v>0</v>
      </c>
      <c r="F455" s="33" t="n">
        <v>0</v>
      </c>
      <c r="G455" s="131"/>
      <c r="H455" s="35" t="n">
        <v>0</v>
      </c>
      <c r="I455" s="34" t="n">
        <f aca="false">+IF(E455=0,0,E455*0.03)</f>
        <v>0</v>
      </c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customFormat="false" ht="16.4" hidden="false" customHeight="false" outlineLevel="0" collapsed="false">
      <c r="A456" s="123" t="n">
        <v>45444</v>
      </c>
      <c r="B456" s="31" t="s">
        <v>246</v>
      </c>
      <c r="C456" s="129"/>
      <c r="D456" s="129"/>
      <c r="E456" s="19" t="n">
        <f aca="false">F456*0.03</f>
        <v>0</v>
      </c>
      <c r="F456" s="33" t="n">
        <v>0</v>
      </c>
      <c r="G456" s="131"/>
      <c r="H456" s="35" t="n">
        <v>0</v>
      </c>
      <c r="I456" s="34" t="n">
        <f aca="false">+IF(E456=0,0,E456*0.03)</f>
        <v>0</v>
      </c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customFormat="false" ht="16.4" hidden="false" customHeight="false" outlineLevel="0" collapsed="false">
      <c r="A457" s="123" t="n">
        <v>45444</v>
      </c>
      <c r="B457" s="31" t="s">
        <v>239</v>
      </c>
      <c r="C457" s="129"/>
      <c r="D457" s="129"/>
      <c r="E457" s="19" t="n">
        <f aca="false">F457*0.03</f>
        <v>0</v>
      </c>
      <c r="F457" s="33" t="n">
        <v>0</v>
      </c>
      <c r="G457" s="131"/>
      <c r="H457" s="35" t="n">
        <v>0</v>
      </c>
      <c r="I457" s="34" t="n">
        <f aca="false">+IF(E457=0,0,E457*0.03)</f>
        <v>0</v>
      </c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customFormat="false" ht="16.4" hidden="false" customHeight="false" outlineLevel="0" collapsed="false">
      <c r="A458" s="123" t="n">
        <v>45444</v>
      </c>
      <c r="B458" s="31" t="s">
        <v>7</v>
      </c>
      <c r="C458" s="129"/>
      <c r="D458" s="129"/>
      <c r="E458" s="19" t="n">
        <f aca="false">F458*0.03</f>
        <v>0</v>
      </c>
      <c r="F458" s="33" t="n">
        <v>0</v>
      </c>
      <c r="G458" s="131"/>
      <c r="H458" s="35" t="n">
        <v>0</v>
      </c>
      <c r="I458" s="34" t="n">
        <f aca="false">+IF(E458=0,0,E458*0.03)</f>
        <v>0</v>
      </c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customFormat="false" ht="16.4" hidden="false" customHeight="false" outlineLevel="0" collapsed="false">
      <c r="A459" s="123" t="n">
        <v>45444</v>
      </c>
      <c r="B459" s="31" t="s">
        <v>240</v>
      </c>
      <c r="C459" s="129"/>
      <c r="D459" s="129"/>
      <c r="E459" s="19" t="n">
        <f aca="false">F459*0.03</f>
        <v>0</v>
      </c>
      <c r="F459" s="33" t="n">
        <v>0</v>
      </c>
      <c r="G459" s="131"/>
      <c r="H459" s="35" t="n">
        <v>0</v>
      </c>
      <c r="I459" s="34" t="n">
        <f aca="false">+IF(E459=0,0,E459*0.03)</f>
        <v>0</v>
      </c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customFormat="false" ht="16.4" hidden="false" customHeight="false" outlineLevel="0" collapsed="false">
      <c r="A460" s="123" t="n">
        <v>45444</v>
      </c>
      <c r="B460" s="31" t="s">
        <v>153</v>
      </c>
      <c r="C460" s="129"/>
      <c r="D460" s="129"/>
      <c r="E460" s="19" t="n">
        <f aca="false">F460*0.03</f>
        <v>0</v>
      </c>
      <c r="F460" s="33" t="n">
        <v>0</v>
      </c>
      <c r="G460" s="131"/>
      <c r="H460" s="35" t="n">
        <v>0</v>
      </c>
      <c r="I460" s="34" t="n">
        <f aca="false">+IF(E460=0,0,E460*0.03)</f>
        <v>0</v>
      </c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customFormat="false" ht="16.4" hidden="false" customHeight="false" outlineLevel="0" collapsed="false">
      <c r="A461" s="123" t="n">
        <v>45444</v>
      </c>
      <c r="B461" s="31" t="s">
        <v>247</v>
      </c>
      <c r="C461" s="129"/>
      <c r="D461" s="129"/>
      <c r="E461" s="19" t="n">
        <f aca="false">F461*0.03</f>
        <v>0</v>
      </c>
      <c r="F461" s="33" t="n">
        <v>0</v>
      </c>
      <c r="G461" s="131"/>
      <c r="H461" s="35" t="n">
        <v>0</v>
      </c>
      <c r="I461" s="34" t="n">
        <f aca="false">+IF(E461=0,0,E461*0.03)</f>
        <v>0</v>
      </c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customFormat="false" ht="16.4" hidden="false" customHeight="false" outlineLevel="0" collapsed="false">
      <c r="A462" s="123" t="n">
        <v>45444</v>
      </c>
      <c r="B462" s="31" t="s">
        <v>246</v>
      </c>
      <c r="C462" s="129"/>
      <c r="D462" s="129"/>
      <c r="E462" s="19" t="n">
        <f aca="false">F462*0.03</f>
        <v>0</v>
      </c>
      <c r="F462" s="33" t="n">
        <v>0</v>
      </c>
      <c r="G462" s="131"/>
      <c r="H462" s="35" t="n">
        <v>0</v>
      </c>
      <c r="I462" s="34" t="n">
        <f aca="false">+IF(E462=0,0,E462*0.03)</f>
        <v>0</v>
      </c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customFormat="false" ht="16.4" hidden="false" customHeight="false" outlineLevel="0" collapsed="false">
      <c r="A463" s="123" t="n">
        <v>45444</v>
      </c>
      <c r="B463" s="31" t="s">
        <v>239</v>
      </c>
      <c r="C463" s="129"/>
      <c r="D463" s="129"/>
      <c r="E463" s="19" t="n">
        <f aca="false">F463*0.03</f>
        <v>0</v>
      </c>
      <c r="F463" s="33" t="n">
        <v>0</v>
      </c>
      <c r="G463" s="131"/>
      <c r="H463" s="35" t="n">
        <v>0</v>
      </c>
      <c r="I463" s="34" t="n">
        <f aca="false">+IF(E463=0,0,E463*0.03)</f>
        <v>0</v>
      </c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customFormat="false" ht="16.4" hidden="false" customHeight="false" outlineLevel="0" collapsed="false">
      <c r="A464" s="123" t="n">
        <v>45444</v>
      </c>
      <c r="B464" s="31" t="s">
        <v>7</v>
      </c>
      <c r="C464" s="129"/>
      <c r="D464" s="129"/>
      <c r="E464" s="19" t="n">
        <f aca="false">F464*0.03</f>
        <v>0</v>
      </c>
      <c r="F464" s="33" t="n">
        <v>0</v>
      </c>
      <c r="G464" s="131"/>
      <c r="H464" s="35" t="n">
        <v>0</v>
      </c>
      <c r="I464" s="34" t="n">
        <f aca="false">+IF(E464=0,0,E464*0.03)</f>
        <v>0</v>
      </c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customFormat="false" ht="16.4" hidden="false" customHeight="false" outlineLevel="0" collapsed="false">
      <c r="A465" s="123" t="n">
        <v>45444</v>
      </c>
      <c r="B465" s="31" t="s">
        <v>240</v>
      </c>
      <c r="C465" s="129"/>
      <c r="D465" s="129"/>
      <c r="E465" s="19" t="n">
        <f aca="false">F465*0.03</f>
        <v>0</v>
      </c>
      <c r="F465" s="33" t="n">
        <v>0</v>
      </c>
      <c r="G465" s="131"/>
      <c r="H465" s="35" t="n">
        <v>0</v>
      </c>
      <c r="I465" s="34" t="n">
        <f aca="false">+IF(E465=0,0,E465*0.03)</f>
        <v>0</v>
      </c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customFormat="false" ht="16.4" hidden="false" customHeight="false" outlineLevel="0" collapsed="false">
      <c r="A466" s="123" t="n">
        <v>45444</v>
      </c>
      <c r="B466" s="31" t="s">
        <v>153</v>
      </c>
      <c r="C466" s="129"/>
      <c r="D466" s="129"/>
      <c r="E466" s="19" t="n">
        <f aca="false">F466*0.03</f>
        <v>0</v>
      </c>
      <c r="F466" s="33" t="n">
        <v>0</v>
      </c>
      <c r="G466" s="131"/>
      <c r="H466" s="35" t="n">
        <v>0</v>
      </c>
      <c r="I466" s="34" t="n">
        <f aca="false">+IF(E466=0,0,E466*0.03)</f>
        <v>0</v>
      </c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customFormat="false" ht="16.4" hidden="false" customHeight="false" outlineLevel="0" collapsed="false">
      <c r="A467" s="123" t="n">
        <v>45444</v>
      </c>
      <c r="B467" s="31" t="s">
        <v>247</v>
      </c>
      <c r="C467" s="129"/>
      <c r="D467" s="129"/>
      <c r="E467" s="19" t="n">
        <f aca="false">F467*0.03</f>
        <v>0</v>
      </c>
      <c r="F467" s="33" t="n">
        <v>0</v>
      </c>
      <c r="G467" s="131"/>
      <c r="H467" s="35" t="n">
        <v>0</v>
      </c>
      <c r="I467" s="34" t="n">
        <f aca="false">+IF(E467=0,0,E467*0.03)</f>
        <v>0</v>
      </c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customFormat="false" ht="16.4" hidden="false" customHeight="false" outlineLevel="0" collapsed="false">
      <c r="A468" s="123" t="n">
        <v>45444</v>
      </c>
      <c r="B468" s="31" t="s">
        <v>246</v>
      </c>
      <c r="C468" s="129"/>
      <c r="D468" s="129"/>
      <c r="E468" s="19" t="n">
        <f aca="false">F468*0.03</f>
        <v>0</v>
      </c>
      <c r="F468" s="33" t="n">
        <v>0</v>
      </c>
      <c r="G468" s="131"/>
      <c r="H468" s="35" t="n">
        <v>0</v>
      </c>
      <c r="I468" s="34" t="n">
        <f aca="false">+IF(E468=0,0,E468*0.03)</f>
        <v>0</v>
      </c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customFormat="false" ht="16.4" hidden="false" customHeight="false" outlineLevel="0" collapsed="false">
      <c r="A469" s="123" t="n">
        <v>45444</v>
      </c>
      <c r="B469" s="31" t="s">
        <v>239</v>
      </c>
      <c r="C469" s="129"/>
      <c r="D469" s="129"/>
      <c r="E469" s="19" t="n">
        <f aca="false">F469*0.03</f>
        <v>0</v>
      </c>
      <c r="F469" s="33" t="n">
        <v>0</v>
      </c>
      <c r="G469" s="131"/>
      <c r="H469" s="35" t="n">
        <v>0</v>
      </c>
      <c r="I469" s="34" t="n">
        <f aca="false">+IF(E469=0,0,E469*0.03)</f>
        <v>0</v>
      </c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customFormat="false" ht="16.4" hidden="false" customHeight="false" outlineLevel="0" collapsed="false">
      <c r="A470" s="123" t="n">
        <v>45444</v>
      </c>
      <c r="B470" s="31" t="s">
        <v>7</v>
      </c>
      <c r="C470" s="129"/>
      <c r="D470" s="129"/>
      <c r="E470" s="19" t="n">
        <f aca="false">F470*0.03</f>
        <v>0</v>
      </c>
      <c r="F470" s="33" t="n">
        <v>0</v>
      </c>
      <c r="G470" s="131"/>
      <c r="H470" s="35" t="n">
        <v>0</v>
      </c>
      <c r="I470" s="34" t="n">
        <f aca="false">+IF(E470=0,0,E470*0.03)</f>
        <v>0</v>
      </c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customFormat="false" ht="16.4" hidden="false" customHeight="false" outlineLevel="0" collapsed="false">
      <c r="A471" s="123" t="n">
        <v>45444</v>
      </c>
      <c r="B471" s="31" t="s">
        <v>240</v>
      </c>
      <c r="C471" s="129"/>
      <c r="D471" s="129"/>
      <c r="E471" s="19" t="n">
        <f aca="false">F471*0.03</f>
        <v>0</v>
      </c>
      <c r="F471" s="33" t="n">
        <v>0</v>
      </c>
      <c r="G471" s="131"/>
      <c r="H471" s="35" t="n">
        <v>0</v>
      </c>
      <c r="I471" s="34" t="n">
        <f aca="false">+IF(E471=0,0,E471*0.03)</f>
        <v>0</v>
      </c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customFormat="false" ht="16.4" hidden="false" customHeight="false" outlineLevel="0" collapsed="false">
      <c r="A472" s="123" t="n">
        <v>45444</v>
      </c>
      <c r="B472" s="31" t="s">
        <v>153</v>
      </c>
      <c r="C472" s="129"/>
      <c r="D472" s="129"/>
      <c r="E472" s="19" t="n">
        <f aca="false">F472*0.03</f>
        <v>0</v>
      </c>
      <c r="F472" s="33" t="n">
        <v>0</v>
      </c>
      <c r="G472" s="131"/>
      <c r="H472" s="35" t="n">
        <v>0</v>
      </c>
      <c r="I472" s="34" t="n">
        <f aca="false">+IF(E472=0,0,E472*0.03)</f>
        <v>0</v>
      </c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customFormat="false" ht="16.4" hidden="false" customHeight="false" outlineLevel="0" collapsed="false">
      <c r="A473" s="123" t="n">
        <v>45444</v>
      </c>
      <c r="B473" s="31" t="s">
        <v>247</v>
      </c>
      <c r="C473" s="129"/>
      <c r="D473" s="129"/>
      <c r="E473" s="19" t="n">
        <f aca="false">F473*0.03</f>
        <v>0</v>
      </c>
      <c r="F473" s="33" t="n">
        <v>0</v>
      </c>
      <c r="G473" s="131"/>
      <c r="H473" s="35" t="n">
        <v>0</v>
      </c>
      <c r="I473" s="34" t="n">
        <f aca="false">+IF(E473=0,0,E473*0.03)</f>
        <v>0</v>
      </c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customFormat="false" ht="16.4" hidden="false" customHeight="false" outlineLevel="0" collapsed="false">
      <c r="A474" s="123" t="n">
        <v>45444</v>
      </c>
      <c r="B474" s="31" t="s">
        <v>246</v>
      </c>
      <c r="C474" s="129"/>
      <c r="D474" s="129"/>
      <c r="E474" s="19" t="n">
        <f aca="false">F474*0.03</f>
        <v>0</v>
      </c>
      <c r="F474" s="33" t="n">
        <v>0</v>
      </c>
      <c r="G474" s="131"/>
      <c r="H474" s="35" t="n">
        <v>0</v>
      </c>
      <c r="I474" s="34" t="n">
        <f aca="false">+IF(E474=0,0,E474*0.03)</f>
        <v>0</v>
      </c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customFormat="false" ht="16.4" hidden="false" customHeight="false" outlineLevel="0" collapsed="false">
      <c r="A475" s="123" t="n">
        <v>45444</v>
      </c>
      <c r="B475" s="31" t="s">
        <v>239</v>
      </c>
      <c r="C475" s="129"/>
      <c r="D475" s="129"/>
      <c r="E475" s="19" t="n">
        <f aca="false">F475*0.03</f>
        <v>0</v>
      </c>
      <c r="F475" s="33" t="n">
        <v>0</v>
      </c>
      <c r="G475" s="131"/>
      <c r="H475" s="35" t="n">
        <v>0</v>
      </c>
      <c r="I475" s="34" t="n">
        <f aca="false">+IF(E475=0,0,E475*0.03)</f>
        <v>0</v>
      </c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customFormat="false" ht="16.4" hidden="false" customHeight="false" outlineLevel="0" collapsed="false">
      <c r="A476" s="123" t="n">
        <v>45444</v>
      </c>
      <c r="B476" s="31" t="s">
        <v>7</v>
      </c>
      <c r="C476" s="129"/>
      <c r="D476" s="129"/>
      <c r="E476" s="19" t="n">
        <f aca="false">F476*0.03</f>
        <v>0</v>
      </c>
      <c r="F476" s="33" t="n">
        <v>0</v>
      </c>
      <c r="G476" s="131"/>
      <c r="H476" s="35" t="n">
        <v>0</v>
      </c>
      <c r="I476" s="34" t="n">
        <f aca="false">+IF(E476=0,0,E476*0.03)</f>
        <v>0</v>
      </c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customFormat="false" ht="16.4" hidden="false" customHeight="false" outlineLevel="0" collapsed="false">
      <c r="A477" s="123" t="n">
        <v>45444</v>
      </c>
      <c r="B477" s="31" t="s">
        <v>240</v>
      </c>
      <c r="C477" s="129"/>
      <c r="D477" s="129"/>
      <c r="E477" s="19" t="n">
        <f aca="false">F477*0.03</f>
        <v>0</v>
      </c>
      <c r="F477" s="33" t="n">
        <v>0</v>
      </c>
      <c r="G477" s="131"/>
      <c r="H477" s="35" t="n">
        <v>0</v>
      </c>
      <c r="I477" s="34" t="n">
        <f aca="false">+IF(E477=0,0,E477*0.03)</f>
        <v>0</v>
      </c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customFormat="false" ht="16.4" hidden="false" customHeight="false" outlineLevel="0" collapsed="false">
      <c r="A478" s="123" t="n">
        <v>45444</v>
      </c>
      <c r="B478" s="31" t="s">
        <v>153</v>
      </c>
      <c r="C478" s="129"/>
      <c r="D478" s="129"/>
      <c r="E478" s="19" t="n">
        <f aca="false">F478*0.03</f>
        <v>0</v>
      </c>
      <c r="F478" s="33" t="n">
        <v>0</v>
      </c>
      <c r="G478" s="131"/>
      <c r="H478" s="35" t="n">
        <v>0</v>
      </c>
      <c r="I478" s="34" t="n">
        <f aca="false">+IF(E478=0,0,E478*0.03)</f>
        <v>0</v>
      </c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customFormat="false" ht="16.4" hidden="false" customHeight="false" outlineLevel="0" collapsed="false">
      <c r="A479" s="123" t="n">
        <v>45444</v>
      </c>
      <c r="B479" s="31" t="s">
        <v>247</v>
      </c>
      <c r="C479" s="129"/>
      <c r="D479" s="129"/>
      <c r="E479" s="19" t="n">
        <f aca="false">F479*0.03</f>
        <v>0</v>
      </c>
      <c r="F479" s="33" t="n">
        <v>0</v>
      </c>
      <c r="G479" s="131"/>
      <c r="H479" s="35" t="n">
        <v>0</v>
      </c>
      <c r="I479" s="34" t="n">
        <f aca="false">+IF(E479=0,0,E479*0.03)</f>
        <v>0</v>
      </c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customFormat="false" ht="16.4" hidden="false" customHeight="false" outlineLevel="0" collapsed="false">
      <c r="A480" s="123" t="n">
        <v>45444</v>
      </c>
      <c r="B480" s="31" t="s">
        <v>246</v>
      </c>
      <c r="C480" s="129"/>
      <c r="D480" s="129"/>
      <c r="E480" s="19" t="n">
        <f aca="false">F480*0.03</f>
        <v>0</v>
      </c>
      <c r="F480" s="33" t="n">
        <v>0</v>
      </c>
      <c r="G480" s="131"/>
      <c r="H480" s="35" t="n">
        <v>0</v>
      </c>
      <c r="I480" s="34" t="n">
        <f aca="false">+IF(E480=0,0,E480*0.03)</f>
        <v>0</v>
      </c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customFormat="false" ht="16.4" hidden="false" customHeight="false" outlineLevel="0" collapsed="false">
      <c r="A481" s="123" t="n">
        <v>45444</v>
      </c>
      <c r="B481" s="31" t="s">
        <v>239</v>
      </c>
      <c r="C481" s="129"/>
      <c r="D481" s="129"/>
      <c r="E481" s="19" t="n">
        <f aca="false">F481*0.03</f>
        <v>0</v>
      </c>
      <c r="F481" s="33" t="n">
        <v>0</v>
      </c>
      <c r="G481" s="131"/>
      <c r="H481" s="35" t="n">
        <v>0</v>
      </c>
      <c r="I481" s="34" t="n">
        <f aca="false">+IF(E481=0,0,E481*0.03)</f>
        <v>0</v>
      </c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customFormat="false" ht="16.4" hidden="false" customHeight="false" outlineLevel="0" collapsed="false">
      <c r="A482" s="123" t="n">
        <v>45444</v>
      </c>
      <c r="B482" s="31" t="s">
        <v>7</v>
      </c>
      <c r="C482" s="129"/>
      <c r="D482" s="129"/>
      <c r="E482" s="19" t="n">
        <f aca="false">F482*0.03</f>
        <v>0</v>
      </c>
      <c r="F482" s="33" t="n">
        <v>0</v>
      </c>
      <c r="G482" s="131"/>
      <c r="H482" s="35" t="n">
        <v>0</v>
      </c>
      <c r="I482" s="34" t="n">
        <f aca="false">+IF(E482=0,0,E482*0.03)</f>
        <v>0</v>
      </c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customFormat="false" ht="16.4" hidden="false" customHeight="false" outlineLevel="0" collapsed="false">
      <c r="A483" s="123" t="n">
        <v>45444</v>
      </c>
      <c r="B483" s="31" t="s">
        <v>240</v>
      </c>
      <c r="C483" s="129"/>
      <c r="D483" s="129"/>
      <c r="E483" s="19" t="n">
        <f aca="false">F483*0.03</f>
        <v>0</v>
      </c>
      <c r="F483" s="33" t="n">
        <v>0</v>
      </c>
      <c r="G483" s="131"/>
      <c r="H483" s="35" t="n">
        <v>0</v>
      </c>
      <c r="I483" s="34" t="n">
        <f aca="false">+IF(E483=0,0,E483*0.03)</f>
        <v>0</v>
      </c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customFormat="false" ht="16.4" hidden="false" customHeight="false" outlineLevel="0" collapsed="false">
      <c r="A484" s="123" t="n">
        <v>45444</v>
      </c>
      <c r="B484" s="31" t="s">
        <v>153</v>
      </c>
      <c r="C484" s="129"/>
      <c r="D484" s="129"/>
      <c r="E484" s="19" t="n">
        <f aca="false">F484*0.03</f>
        <v>0</v>
      </c>
      <c r="F484" s="33" t="n">
        <v>0</v>
      </c>
      <c r="G484" s="131"/>
      <c r="H484" s="35" t="n">
        <v>0</v>
      </c>
      <c r="I484" s="34" t="n">
        <f aca="false">+IF(E484=0,0,E484*0.03)</f>
        <v>0</v>
      </c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customFormat="false" ht="16.4" hidden="false" customHeight="false" outlineLevel="0" collapsed="false">
      <c r="A485" s="123" t="n">
        <v>45444</v>
      </c>
      <c r="B485" s="31" t="s">
        <v>247</v>
      </c>
      <c r="C485" s="129"/>
      <c r="D485" s="129"/>
      <c r="E485" s="19" t="n">
        <f aca="false">F485*0.03</f>
        <v>0</v>
      </c>
      <c r="F485" s="33" t="n">
        <v>0</v>
      </c>
      <c r="G485" s="131"/>
      <c r="H485" s="35" t="n">
        <v>0</v>
      </c>
      <c r="I485" s="34" t="n">
        <f aca="false">+IF(E485=0,0,E485*0.03)</f>
        <v>0</v>
      </c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customFormat="false" ht="16.4" hidden="false" customHeight="false" outlineLevel="0" collapsed="false">
      <c r="A486" s="123" t="n">
        <v>45444</v>
      </c>
      <c r="B486" s="31" t="s">
        <v>246</v>
      </c>
      <c r="C486" s="129"/>
      <c r="D486" s="129"/>
      <c r="E486" s="19" t="n">
        <f aca="false">F486*0.03</f>
        <v>0</v>
      </c>
      <c r="F486" s="33" t="n">
        <v>0</v>
      </c>
      <c r="G486" s="131"/>
      <c r="H486" s="35" t="n">
        <v>0</v>
      </c>
      <c r="I486" s="34" t="n">
        <f aca="false">+IF(E486=0,0,E486*0.03)</f>
        <v>0</v>
      </c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customFormat="false" ht="16.4" hidden="false" customHeight="false" outlineLevel="0" collapsed="false">
      <c r="A487" s="123" t="n">
        <v>45444</v>
      </c>
      <c r="B487" s="31" t="s">
        <v>239</v>
      </c>
      <c r="C487" s="129"/>
      <c r="D487" s="129"/>
      <c r="E487" s="19" t="n">
        <f aca="false">F487*0.03</f>
        <v>0</v>
      </c>
      <c r="F487" s="33" t="n">
        <v>0</v>
      </c>
      <c r="G487" s="131"/>
      <c r="H487" s="35" t="n">
        <v>0</v>
      </c>
      <c r="I487" s="34" t="n">
        <f aca="false">+IF(E487=0,0,E487*0.03)</f>
        <v>0</v>
      </c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customFormat="false" ht="16.4" hidden="false" customHeight="false" outlineLevel="0" collapsed="false">
      <c r="A488" s="123" t="n">
        <v>45444</v>
      </c>
      <c r="B488" s="31" t="s">
        <v>7</v>
      </c>
      <c r="C488" s="129"/>
      <c r="D488" s="129"/>
      <c r="E488" s="19" t="n">
        <f aca="false">F488*0.03</f>
        <v>0</v>
      </c>
      <c r="F488" s="33" t="n">
        <v>0</v>
      </c>
      <c r="G488" s="131"/>
      <c r="H488" s="35" t="n">
        <v>0</v>
      </c>
      <c r="I488" s="34" t="n">
        <f aca="false">+IF(E488=0,0,E488*0.03)</f>
        <v>0</v>
      </c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customFormat="false" ht="16.4" hidden="false" customHeight="false" outlineLevel="0" collapsed="false">
      <c r="A489" s="123" t="n">
        <v>45444</v>
      </c>
      <c r="B489" s="31" t="s">
        <v>240</v>
      </c>
      <c r="C489" s="129"/>
      <c r="D489" s="129"/>
      <c r="E489" s="19" t="n">
        <f aca="false">F489*0.03</f>
        <v>0</v>
      </c>
      <c r="F489" s="33" t="n">
        <v>0</v>
      </c>
      <c r="G489" s="131"/>
      <c r="H489" s="35" t="n">
        <v>0</v>
      </c>
      <c r="I489" s="34" t="n">
        <f aca="false">+IF(E489=0,0,E489*0.03)</f>
        <v>0</v>
      </c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customFormat="false" ht="16.4" hidden="false" customHeight="false" outlineLevel="0" collapsed="false">
      <c r="A490" s="123" t="n">
        <v>45444</v>
      </c>
      <c r="B490" s="31" t="s">
        <v>153</v>
      </c>
      <c r="C490" s="129"/>
      <c r="D490" s="129"/>
      <c r="E490" s="19" t="n">
        <f aca="false">F490*0.03</f>
        <v>0</v>
      </c>
      <c r="F490" s="33" t="n">
        <v>0</v>
      </c>
      <c r="G490" s="131"/>
      <c r="H490" s="35" t="n">
        <v>0</v>
      </c>
      <c r="I490" s="34" t="n">
        <f aca="false">+IF(E490=0,0,E490*0.03)</f>
        <v>0</v>
      </c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customFormat="false" ht="16.4" hidden="false" customHeight="false" outlineLevel="0" collapsed="false">
      <c r="A491" s="123" t="n">
        <v>45444</v>
      </c>
      <c r="B491" s="31" t="s">
        <v>247</v>
      </c>
      <c r="C491" s="129"/>
      <c r="D491" s="129"/>
      <c r="E491" s="19" t="n">
        <f aca="false">F491*0.03</f>
        <v>0</v>
      </c>
      <c r="F491" s="33" t="n">
        <v>0</v>
      </c>
      <c r="G491" s="131"/>
      <c r="H491" s="35" t="n">
        <v>0</v>
      </c>
      <c r="I491" s="34" t="n">
        <f aca="false">+IF(E491=0,0,E491*0.03)</f>
        <v>0</v>
      </c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customFormat="false" ht="16.4" hidden="false" customHeight="false" outlineLevel="0" collapsed="false">
      <c r="A492" s="123" t="n">
        <v>45444</v>
      </c>
      <c r="B492" s="31" t="s">
        <v>246</v>
      </c>
      <c r="C492" s="129"/>
      <c r="D492" s="129"/>
      <c r="E492" s="19" t="n">
        <f aca="false">F492*0.03</f>
        <v>0</v>
      </c>
      <c r="F492" s="33" t="n">
        <v>0</v>
      </c>
      <c r="G492" s="131"/>
      <c r="H492" s="35" t="n">
        <v>0</v>
      </c>
      <c r="I492" s="34" t="n">
        <f aca="false">+IF(E492=0,0,E492*0.03)</f>
        <v>0</v>
      </c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customFormat="false" ht="16.4" hidden="false" customHeight="false" outlineLevel="0" collapsed="false">
      <c r="A493" s="123" t="n">
        <v>45444</v>
      </c>
      <c r="B493" s="31" t="s">
        <v>239</v>
      </c>
      <c r="C493" s="129"/>
      <c r="D493" s="129"/>
      <c r="E493" s="19" t="n">
        <f aca="false">F493*0.03</f>
        <v>0</v>
      </c>
      <c r="F493" s="33" t="n">
        <v>0</v>
      </c>
      <c r="G493" s="131"/>
      <c r="H493" s="35" t="n">
        <v>0</v>
      </c>
      <c r="I493" s="34" t="n">
        <f aca="false">+IF(E493=0,0,E493*0.03)</f>
        <v>0</v>
      </c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customFormat="false" ht="16.4" hidden="false" customHeight="false" outlineLevel="0" collapsed="false">
      <c r="A494" s="123" t="n">
        <v>45444</v>
      </c>
      <c r="B494" s="31" t="s">
        <v>7</v>
      </c>
      <c r="C494" s="129"/>
      <c r="D494" s="129"/>
      <c r="E494" s="19" t="n">
        <f aca="false">F494*0.03</f>
        <v>0</v>
      </c>
      <c r="F494" s="33" t="n">
        <v>0</v>
      </c>
      <c r="G494" s="131"/>
      <c r="H494" s="35" t="n">
        <v>0</v>
      </c>
      <c r="I494" s="34" t="n">
        <f aca="false">+IF(E494=0,0,E494*0.03)</f>
        <v>0</v>
      </c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customFormat="false" ht="16.4" hidden="false" customHeight="false" outlineLevel="0" collapsed="false">
      <c r="A495" s="123" t="n">
        <v>45444</v>
      </c>
      <c r="B495" s="31" t="s">
        <v>240</v>
      </c>
      <c r="C495" s="129"/>
      <c r="D495" s="129"/>
      <c r="E495" s="19" t="n">
        <f aca="false">F495*0.03</f>
        <v>0</v>
      </c>
      <c r="F495" s="33" t="n">
        <v>0</v>
      </c>
      <c r="G495" s="131"/>
      <c r="H495" s="35" t="n">
        <v>0</v>
      </c>
      <c r="I495" s="34" t="n">
        <f aca="false">+IF(E495=0,0,E495*0.03)</f>
        <v>0</v>
      </c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customFormat="false" ht="16.4" hidden="false" customHeight="false" outlineLevel="0" collapsed="false">
      <c r="A496" s="123" t="n">
        <v>45444</v>
      </c>
      <c r="B496" s="31" t="s">
        <v>153</v>
      </c>
      <c r="C496" s="129"/>
      <c r="D496" s="129"/>
      <c r="E496" s="19" t="n">
        <f aca="false">F496*0.03</f>
        <v>0</v>
      </c>
      <c r="F496" s="33" t="n">
        <v>0</v>
      </c>
      <c r="G496" s="131"/>
      <c r="H496" s="35" t="n">
        <v>0</v>
      </c>
      <c r="I496" s="34" t="n">
        <f aca="false">+IF(E496=0,0,E496*0.03)</f>
        <v>0</v>
      </c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customFormat="false" ht="16.4" hidden="false" customHeight="false" outlineLevel="0" collapsed="false">
      <c r="A497" s="123" t="n">
        <v>45444</v>
      </c>
      <c r="B497" s="31" t="s">
        <v>247</v>
      </c>
      <c r="C497" s="129"/>
      <c r="D497" s="129"/>
      <c r="E497" s="19" t="n">
        <f aca="false">F497*0.03</f>
        <v>0</v>
      </c>
      <c r="F497" s="33" t="n">
        <v>0</v>
      </c>
      <c r="G497" s="131"/>
      <c r="H497" s="35" t="n">
        <v>0</v>
      </c>
      <c r="I497" s="34" t="n">
        <f aca="false">+IF(E497=0,0,E497*0.03)</f>
        <v>0</v>
      </c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customFormat="false" ht="16.4" hidden="false" customHeight="false" outlineLevel="0" collapsed="false">
      <c r="A498" s="123" t="n">
        <v>45444</v>
      </c>
      <c r="B498" s="31" t="s">
        <v>246</v>
      </c>
      <c r="C498" s="129"/>
      <c r="D498" s="129"/>
      <c r="E498" s="19" t="n">
        <f aca="false">F498*0.03</f>
        <v>0</v>
      </c>
      <c r="F498" s="33" t="n">
        <v>0</v>
      </c>
      <c r="G498" s="131"/>
      <c r="H498" s="35" t="n">
        <v>0</v>
      </c>
      <c r="I498" s="34" t="n">
        <f aca="false">+IF(E498=0,0,E498*0.03)</f>
        <v>0</v>
      </c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customFormat="false" ht="16.4" hidden="false" customHeight="false" outlineLevel="0" collapsed="false">
      <c r="A499" s="123" t="n">
        <v>45444</v>
      </c>
      <c r="B499" s="31" t="s">
        <v>239</v>
      </c>
      <c r="C499" s="129"/>
      <c r="D499" s="129"/>
      <c r="E499" s="19" t="n">
        <f aca="false">F499*0.03</f>
        <v>0</v>
      </c>
      <c r="F499" s="33" t="n">
        <v>0</v>
      </c>
      <c r="G499" s="131"/>
      <c r="H499" s="35" t="n">
        <v>0</v>
      </c>
      <c r="I499" s="34" t="n">
        <f aca="false">+IF(E499=0,0,E499*0.03)</f>
        <v>0</v>
      </c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customFormat="false" ht="16.4" hidden="false" customHeight="false" outlineLevel="0" collapsed="false">
      <c r="A500" s="123" t="n">
        <v>45444</v>
      </c>
      <c r="B500" s="31" t="s">
        <v>7</v>
      </c>
      <c r="C500" s="129"/>
      <c r="D500" s="129"/>
      <c r="E500" s="19" t="n">
        <f aca="false">F500*0.03</f>
        <v>0</v>
      </c>
      <c r="F500" s="33" t="n">
        <v>0</v>
      </c>
      <c r="G500" s="131"/>
      <c r="H500" s="35" t="n">
        <v>0</v>
      </c>
      <c r="I500" s="34" t="n">
        <f aca="false">+IF(E500=0,0,E500*0.03)</f>
        <v>0</v>
      </c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customFormat="false" ht="16.4" hidden="false" customHeight="false" outlineLevel="0" collapsed="false">
      <c r="A501" s="123" t="n">
        <v>45444</v>
      </c>
      <c r="B501" s="31" t="s">
        <v>240</v>
      </c>
      <c r="C501" s="129"/>
      <c r="D501" s="129"/>
      <c r="E501" s="19" t="n">
        <f aca="false">F501*0.03</f>
        <v>0</v>
      </c>
      <c r="F501" s="33" t="n">
        <v>0</v>
      </c>
      <c r="G501" s="131"/>
      <c r="H501" s="35" t="n">
        <v>0</v>
      </c>
      <c r="I501" s="34" t="n">
        <f aca="false">+IF(E501=0,0,E501*0.03)</f>
        <v>0</v>
      </c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customFormat="false" ht="16.4" hidden="false" customHeight="false" outlineLevel="0" collapsed="false">
      <c r="A502" s="123" t="n">
        <v>45444</v>
      </c>
      <c r="B502" s="31" t="s">
        <v>153</v>
      </c>
      <c r="C502" s="129"/>
      <c r="D502" s="129"/>
      <c r="E502" s="19" t="n">
        <f aca="false">F502*0.03</f>
        <v>0</v>
      </c>
      <c r="F502" s="33" t="n">
        <v>0</v>
      </c>
      <c r="G502" s="131"/>
      <c r="H502" s="35" t="n">
        <v>0</v>
      </c>
      <c r="I502" s="34" t="n">
        <f aca="false">+IF(E502=0,0,E502*0.03)</f>
        <v>0</v>
      </c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customFormat="false" ht="16.4" hidden="false" customHeight="false" outlineLevel="0" collapsed="false">
      <c r="A503" s="123" t="n">
        <v>45444</v>
      </c>
      <c r="B503" s="31" t="s">
        <v>247</v>
      </c>
      <c r="C503" s="129"/>
      <c r="D503" s="129"/>
      <c r="E503" s="19" t="n">
        <f aca="false">F503*0.03</f>
        <v>0</v>
      </c>
      <c r="F503" s="33" t="n">
        <v>0</v>
      </c>
      <c r="G503" s="131"/>
      <c r="H503" s="35" t="n">
        <v>0</v>
      </c>
      <c r="I503" s="34" t="n">
        <f aca="false">+IF(E503=0,0,E503*0.03)</f>
        <v>0</v>
      </c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customFormat="false" ht="16.4" hidden="false" customHeight="false" outlineLevel="0" collapsed="false">
      <c r="A504" s="123" t="n">
        <v>45444</v>
      </c>
      <c r="B504" s="31" t="s">
        <v>246</v>
      </c>
      <c r="C504" s="129"/>
      <c r="D504" s="129"/>
      <c r="E504" s="19" t="n">
        <f aca="false">F504*0.03</f>
        <v>0</v>
      </c>
      <c r="F504" s="33" t="n">
        <v>0</v>
      </c>
      <c r="G504" s="131"/>
      <c r="H504" s="35" t="n">
        <v>0</v>
      </c>
      <c r="I504" s="34" t="n">
        <f aca="false">+IF(E504=0,0,E504*0.03)</f>
        <v>0</v>
      </c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customFormat="false" ht="16.4" hidden="false" customHeight="false" outlineLevel="0" collapsed="false">
      <c r="A505" s="123" t="n">
        <v>45444</v>
      </c>
      <c r="B505" s="31" t="s">
        <v>239</v>
      </c>
      <c r="C505" s="129"/>
      <c r="D505" s="129"/>
      <c r="E505" s="19" t="n">
        <f aca="false">F505*0.03</f>
        <v>0</v>
      </c>
      <c r="F505" s="33" t="n">
        <v>0</v>
      </c>
      <c r="G505" s="131"/>
      <c r="H505" s="35" t="n">
        <v>0</v>
      </c>
      <c r="I505" s="34" t="n">
        <f aca="false">+IF(E505=0,0,E505*0.03)</f>
        <v>0</v>
      </c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customFormat="false" ht="16.4" hidden="false" customHeight="false" outlineLevel="0" collapsed="false">
      <c r="A506" s="123" t="n">
        <v>45444</v>
      </c>
      <c r="B506" s="31" t="s">
        <v>7</v>
      </c>
      <c r="C506" s="129"/>
      <c r="D506" s="129"/>
      <c r="E506" s="19" t="n">
        <f aca="false">F506*0.03</f>
        <v>0</v>
      </c>
      <c r="F506" s="33" t="n">
        <v>0</v>
      </c>
      <c r="G506" s="131"/>
      <c r="H506" s="35" t="n">
        <v>0</v>
      </c>
      <c r="I506" s="34" t="n">
        <f aca="false">+IF(E506=0,0,E506*0.03)</f>
        <v>0</v>
      </c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customFormat="false" ht="16.4" hidden="false" customHeight="false" outlineLevel="0" collapsed="false">
      <c r="A507" s="123" t="n">
        <v>45444</v>
      </c>
      <c r="B507" s="31" t="s">
        <v>240</v>
      </c>
      <c r="C507" s="129"/>
      <c r="D507" s="129"/>
      <c r="E507" s="19" t="n">
        <f aca="false">F507*0.03</f>
        <v>0</v>
      </c>
      <c r="F507" s="33" t="n">
        <v>0</v>
      </c>
      <c r="G507" s="131"/>
      <c r="H507" s="35" t="n">
        <v>0</v>
      </c>
      <c r="I507" s="34" t="n">
        <f aca="false">+IF(E507=0,0,E507*0.03)</f>
        <v>0</v>
      </c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customFormat="false" ht="16.4" hidden="false" customHeight="false" outlineLevel="0" collapsed="false">
      <c r="A508" s="123" t="n">
        <v>45444</v>
      </c>
      <c r="B508" s="31" t="s">
        <v>153</v>
      </c>
      <c r="C508" s="129"/>
      <c r="D508" s="129"/>
      <c r="E508" s="19" t="n">
        <f aca="false">F508*0.03</f>
        <v>0</v>
      </c>
      <c r="F508" s="33" t="n">
        <v>0</v>
      </c>
      <c r="G508" s="131"/>
      <c r="H508" s="35" t="n">
        <v>0</v>
      </c>
      <c r="I508" s="34" t="n">
        <f aca="false">+IF(E508=0,0,E508*0.03)</f>
        <v>0</v>
      </c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customFormat="false" ht="16.4" hidden="false" customHeight="false" outlineLevel="0" collapsed="false">
      <c r="A509" s="123" t="n">
        <v>45444</v>
      </c>
      <c r="B509" s="31" t="s">
        <v>247</v>
      </c>
      <c r="C509" s="129"/>
      <c r="D509" s="129"/>
      <c r="E509" s="19" t="n">
        <f aca="false">F509*0.03</f>
        <v>0</v>
      </c>
      <c r="F509" s="33" t="n">
        <v>0</v>
      </c>
      <c r="G509" s="131"/>
      <c r="H509" s="35" t="n">
        <v>0</v>
      </c>
      <c r="I509" s="34" t="n">
        <f aca="false">+IF(E509=0,0,E509*0.03)</f>
        <v>0</v>
      </c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customFormat="false" ht="16.4" hidden="false" customHeight="false" outlineLevel="0" collapsed="false">
      <c r="A510" s="123" t="n">
        <v>45444</v>
      </c>
      <c r="B510" s="31" t="s">
        <v>246</v>
      </c>
      <c r="C510" s="129"/>
      <c r="D510" s="129"/>
      <c r="E510" s="19" t="n">
        <f aca="false">F510*0.03</f>
        <v>0</v>
      </c>
      <c r="F510" s="33" t="n">
        <v>0</v>
      </c>
      <c r="G510" s="131"/>
      <c r="H510" s="35" t="n">
        <v>0</v>
      </c>
      <c r="I510" s="34" t="n">
        <f aca="false">+IF(E510=0,0,E510*0.03)</f>
        <v>0</v>
      </c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customFormat="false" ht="16.4" hidden="false" customHeight="false" outlineLevel="0" collapsed="false">
      <c r="A511" s="123" t="n">
        <v>45444</v>
      </c>
      <c r="B511" s="31" t="s">
        <v>239</v>
      </c>
      <c r="C511" s="129"/>
      <c r="D511" s="129"/>
      <c r="E511" s="19" t="n">
        <f aca="false">F511*0.03</f>
        <v>0</v>
      </c>
      <c r="F511" s="33" t="n">
        <v>0</v>
      </c>
      <c r="G511" s="131"/>
      <c r="H511" s="35" t="n">
        <v>0</v>
      </c>
      <c r="I511" s="34" t="n">
        <f aca="false">+IF(E511=0,0,E511*0.03)</f>
        <v>0</v>
      </c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customFormat="false" ht="16.4" hidden="false" customHeight="false" outlineLevel="0" collapsed="false">
      <c r="A512" s="123" t="n">
        <v>45444</v>
      </c>
      <c r="B512" s="31" t="s">
        <v>7</v>
      </c>
      <c r="C512" s="129"/>
      <c r="D512" s="129"/>
      <c r="E512" s="19" t="n">
        <f aca="false">F512*0.03</f>
        <v>0</v>
      </c>
      <c r="F512" s="33" t="n">
        <v>0</v>
      </c>
      <c r="G512" s="131"/>
      <c r="H512" s="35" t="n">
        <v>0</v>
      </c>
      <c r="I512" s="34" t="n">
        <f aca="false">+IF(E512=0,0,E512*0.03)</f>
        <v>0</v>
      </c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customFormat="false" ht="16.4" hidden="false" customHeight="false" outlineLevel="0" collapsed="false">
      <c r="A513" s="123" t="n">
        <v>45444</v>
      </c>
      <c r="B513" s="31" t="s">
        <v>240</v>
      </c>
      <c r="C513" s="129"/>
      <c r="D513" s="129"/>
      <c r="E513" s="19" t="n">
        <f aca="false">F513*0.03</f>
        <v>0</v>
      </c>
      <c r="F513" s="33" t="n">
        <v>0</v>
      </c>
      <c r="G513" s="131"/>
      <c r="H513" s="35" t="n">
        <v>0</v>
      </c>
      <c r="I513" s="34" t="n">
        <f aca="false">+IF(E513=0,0,E513*0.03)</f>
        <v>0</v>
      </c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customFormat="false" ht="16.4" hidden="false" customHeight="false" outlineLevel="0" collapsed="false">
      <c r="A514" s="123" t="n">
        <v>45444</v>
      </c>
      <c r="B514" s="31" t="s">
        <v>153</v>
      </c>
      <c r="C514" s="129"/>
      <c r="D514" s="129"/>
      <c r="E514" s="19" t="n">
        <f aca="false">F514*0.03</f>
        <v>0</v>
      </c>
      <c r="F514" s="33" t="n">
        <v>0</v>
      </c>
      <c r="G514" s="131"/>
      <c r="H514" s="35" t="n">
        <v>0</v>
      </c>
      <c r="I514" s="34" t="n">
        <f aca="false">+IF(E514=0,0,E514*0.03)</f>
        <v>0</v>
      </c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customFormat="false" ht="16.4" hidden="false" customHeight="false" outlineLevel="0" collapsed="false">
      <c r="A515" s="123" t="n">
        <v>45444</v>
      </c>
      <c r="B515" s="31" t="s">
        <v>247</v>
      </c>
      <c r="C515" s="129"/>
      <c r="D515" s="129"/>
      <c r="E515" s="19" t="n">
        <f aca="false">F515*0.03</f>
        <v>0</v>
      </c>
      <c r="F515" s="33" t="n">
        <v>0</v>
      </c>
      <c r="G515" s="131"/>
      <c r="H515" s="35" t="n">
        <v>0</v>
      </c>
      <c r="I515" s="34" t="n">
        <f aca="false">+IF(E515=0,0,E515*0.03)</f>
        <v>0</v>
      </c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customFormat="false" ht="16.4" hidden="false" customHeight="false" outlineLevel="0" collapsed="false">
      <c r="A516" s="123" t="n">
        <v>45444</v>
      </c>
      <c r="B516" s="31" t="s">
        <v>246</v>
      </c>
      <c r="C516" s="129"/>
      <c r="D516" s="129"/>
      <c r="E516" s="19" t="n">
        <f aca="false">F516*0.03</f>
        <v>0</v>
      </c>
      <c r="F516" s="33" t="n">
        <v>0</v>
      </c>
      <c r="G516" s="131"/>
      <c r="H516" s="35" t="n">
        <v>0</v>
      </c>
      <c r="I516" s="34" t="n">
        <f aca="false">+IF(E516=0,0,E516*0.03)</f>
        <v>0</v>
      </c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customFormat="false" ht="16.4" hidden="false" customHeight="false" outlineLevel="0" collapsed="false">
      <c r="A517" s="123" t="n">
        <v>45444</v>
      </c>
      <c r="B517" s="31" t="s">
        <v>239</v>
      </c>
      <c r="C517" s="129"/>
      <c r="D517" s="129"/>
      <c r="E517" s="19" t="n">
        <f aca="false">F517*0.03</f>
        <v>0</v>
      </c>
      <c r="F517" s="33" t="n">
        <v>0</v>
      </c>
      <c r="G517" s="131"/>
      <c r="H517" s="35" t="n">
        <v>0</v>
      </c>
      <c r="I517" s="34" t="n">
        <f aca="false">+IF(E517=0,0,E517*0.03)</f>
        <v>0</v>
      </c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customFormat="false" ht="16.4" hidden="false" customHeight="false" outlineLevel="0" collapsed="false">
      <c r="A518" s="123" t="n">
        <v>45444</v>
      </c>
      <c r="B518" s="31" t="s">
        <v>7</v>
      </c>
      <c r="C518" s="129"/>
      <c r="D518" s="129"/>
      <c r="E518" s="19" t="n">
        <f aca="false">F518*0.03</f>
        <v>0</v>
      </c>
      <c r="F518" s="33" t="n">
        <v>0</v>
      </c>
      <c r="G518" s="131"/>
      <c r="H518" s="35" t="n">
        <v>0</v>
      </c>
      <c r="I518" s="34" t="n">
        <f aca="false">+IF(E518=0,0,E518*0.03)</f>
        <v>0</v>
      </c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customFormat="false" ht="16.4" hidden="false" customHeight="false" outlineLevel="0" collapsed="false">
      <c r="A519" s="123" t="n">
        <v>45444</v>
      </c>
      <c r="B519" s="31" t="s">
        <v>240</v>
      </c>
      <c r="C519" s="129"/>
      <c r="D519" s="129"/>
      <c r="E519" s="19" t="n">
        <f aca="false">F519*0.03</f>
        <v>0</v>
      </c>
      <c r="F519" s="33" t="n">
        <v>0</v>
      </c>
      <c r="G519" s="131"/>
      <c r="H519" s="35" t="n">
        <v>0</v>
      </c>
      <c r="I519" s="34" t="n">
        <f aca="false">+IF(E519=0,0,E519*0.03)</f>
        <v>0</v>
      </c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customFormat="false" ht="16.4" hidden="false" customHeight="false" outlineLevel="0" collapsed="false">
      <c r="A520" s="123" t="n">
        <v>45444</v>
      </c>
      <c r="B520" s="31" t="s">
        <v>153</v>
      </c>
      <c r="C520" s="129"/>
      <c r="D520" s="129"/>
      <c r="E520" s="19" t="n">
        <f aca="false">F520*0.03</f>
        <v>0</v>
      </c>
      <c r="F520" s="33" t="n">
        <v>0</v>
      </c>
      <c r="G520" s="131"/>
      <c r="H520" s="35" t="n">
        <v>0</v>
      </c>
      <c r="I520" s="34" t="n">
        <f aca="false">+IF(E520=0,0,E520*0.03)</f>
        <v>0</v>
      </c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customFormat="false" ht="16.4" hidden="false" customHeight="false" outlineLevel="0" collapsed="false">
      <c r="A521" s="123" t="n">
        <v>45444</v>
      </c>
      <c r="B521" s="31" t="s">
        <v>247</v>
      </c>
      <c r="C521" s="129"/>
      <c r="D521" s="129"/>
      <c r="E521" s="19" t="n">
        <f aca="false">F521*0.03</f>
        <v>0</v>
      </c>
      <c r="F521" s="33" t="n">
        <v>0</v>
      </c>
      <c r="G521" s="131"/>
      <c r="H521" s="35" t="n">
        <v>0</v>
      </c>
      <c r="I521" s="34" t="n">
        <f aca="false">+IF(E521=0,0,E521*0.03)</f>
        <v>0</v>
      </c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customFormat="false" ht="16.4" hidden="false" customHeight="false" outlineLevel="0" collapsed="false">
      <c r="A522" s="123" t="n">
        <v>45444</v>
      </c>
      <c r="B522" s="31" t="s">
        <v>246</v>
      </c>
      <c r="C522" s="129"/>
      <c r="D522" s="129"/>
      <c r="E522" s="19" t="n">
        <f aca="false">F522*0.03</f>
        <v>0</v>
      </c>
      <c r="F522" s="33" t="n">
        <v>0</v>
      </c>
      <c r="G522" s="131"/>
      <c r="H522" s="35" t="n">
        <v>0</v>
      </c>
      <c r="I522" s="34" t="n">
        <f aca="false">+IF(E522=0,0,E522*0.03)</f>
        <v>0</v>
      </c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customFormat="false" ht="16.4" hidden="false" customHeight="false" outlineLevel="0" collapsed="false">
      <c r="A523" s="123" t="n">
        <v>45444</v>
      </c>
      <c r="B523" s="31" t="s">
        <v>239</v>
      </c>
      <c r="C523" s="129"/>
      <c r="D523" s="129"/>
      <c r="E523" s="19" t="n">
        <f aca="false">F523*0.03</f>
        <v>0</v>
      </c>
      <c r="F523" s="33" t="n">
        <v>0</v>
      </c>
      <c r="G523" s="131"/>
      <c r="H523" s="35" t="n">
        <v>0</v>
      </c>
      <c r="I523" s="34" t="n">
        <f aca="false">+IF(E523=0,0,E523*0.03)</f>
        <v>0</v>
      </c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customFormat="false" ht="16.4" hidden="false" customHeight="false" outlineLevel="0" collapsed="false">
      <c r="A524" s="123" t="n">
        <v>45444</v>
      </c>
      <c r="B524" s="31" t="s">
        <v>7</v>
      </c>
      <c r="C524" s="129"/>
      <c r="D524" s="129"/>
      <c r="E524" s="19" t="n">
        <f aca="false">F524*0.03</f>
        <v>0</v>
      </c>
      <c r="F524" s="33" t="n">
        <v>0</v>
      </c>
      <c r="G524" s="131"/>
      <c r="H524" s="35" t="n">
        <v>0</v>
      </c>
      <c r="I524" s="34" t="n">
        <f aca="false">+IF(E524=0,0,E524*0.03)</f>
        <v>0</v>
      </c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customFormat="false" ht="16.4" hidden="false" customHeight="false" outlineLevel="0" collapsed="false">
      <c r="A525" s="123" t="n">
        <v>45444</v>
      </c>
      <c r="B525" s="31" t="s">
        <v>240</v>
      </c>
      <c r="C525" s="129"/>
      <c r="D525" s="129"/>
      <c r="E525" s="19" t="n">
        <f aca="false">F525*0.03</f>
        <v>0</v>
      </c>
      <c r="F525" s="33" t="n">
        <v>0</v>
      </c>
      <c r="G525" s="131"/>
      <c r="H525" s="35" t="n">
        <v>0</v>
      </c>
      <c r="I525" s="34" t="n">
        <f aca="false">+IF(E525=0,0,E525*0.03)</f>
        <v>0</v>
      </c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customFormat="false" ht="16.4" hidden="false" customHeight="false" outlineLevel="0" collapsed="false">
      <c r="A526" s="123" t="n">
        <v>45444</v>
      </c>
      <c r="B526" s="31" t="s">
        <v>153</v>
      </c>
      <c r="C526" s="129"/>
      <c r="D526" s="129"/>
      <c r="E526" s="19" t="n">
        <f aca="false">F526*0.03</f>
        <v>0</v>
      </c>
      <c r="F526" s="33" t="n">
        <v>0</v>
      </c>
      <c r="G526" s="131"/>
      <c r="H526" s="35" t="n">
        <v>0</v>
      </c>
      <c r="I526" s="34" t="n">
        <f aca="false">+IF(E526=0,0,E526*0.03)</f>
        <v>0</v>
      </c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customFormat="false" ht="16.4" hidden="false" customHeight="false" outlineLevel="0" collapsed="false">
      <c r="A527" s="123" t="n">
        <v>45444</v>
      </c>
      <c r="B527" s="31" t="s">
        <v>247</v>
      </c>
      <c r="C527" s="129"/>
      <c r="D527" s="129"/>
      <c r="E527" s="19" t="n">
        <f aca="false">F527*0.03</f>
        <v>0</v>
      </c>
      <c r="F527" s="33" t="n">
        <v>0</v>
      </c>
      <c r="G527" s="131"/>
      <c r="H527" s="35" t="n">
        <v>0</v>
      </c>
      <c r="I527" s="34" t="n">
        <f aca="false">+IF(E527=0,0,E527*0.03)</f>
        <v>0</v>
      </c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customFormat="false" ht="16.4" hidden="false" customHeight="false" outlineLevel="0" collapsed="false">
      <c r="A528" s="123" t="n">
        <v>45444</v>
      </c>
      <c r="B528" s="31" t="s">
        <v>246</v>
      </c>
      <c r="C528" s="129"/>
      <c r="D528" s="129"/>
      <c r="E528" s="19" t="n">
        <f aca="false">F528*0.03</f>
        <v>0</v>
      </c>
      <c r="F528" s="33" t="n">
        <v>0</v>
      </c>
      <c r="G528" s="131"/>
      <c r="H528" s="35" t="n">
        <v>0</v>
      </c>
      <c r="I528" s="34" t="n">
        <f aca="false">+IF(E528=0,0,E528*0.03)</f>
        <v>0</v>
      </c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customFormat="false" ht="16.4" hidden="false" customHeight="false" outlineLevel="0" collapsed="false">
      <c r="A529" s="123" t="n">
        <v>45444</v>
      </c>
      <c r="B529" s="31" t="s">
        <v>239</v>
      </c>
      <c r="C529" s="129"/>
      <c r="D529" s="129"/>
      <c r="E529" s="19" t="n">
        <f aca="false">F529*0.03</f>
        <v>0</v>
      </c>
      <c r="F529" s="33" t="n">
        <v>0</v>
      </c>
      <c r="G529" s="131"/>
      <c r="H529" s="35" t="n">
        <v>0</v>
      </c>
      <c r="I529" s="34" t="n">
        <f aca="false">+IF(E529=0,0,E529*0.03)</f>
        <v>0</v>
      </c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customFormat="false" ht="16.4" hidden="false" customHeight="false" outlineLevel="0" collapsed="false">
      <c r="A530" s="123" t="n">
        <v>45444</v>
      </c>
      <c r="B530" s="31" t="s">
        <v>7</v>
      </c>
      <c r="C530" s="129"/>
      <c r="D530" s="129"/>
      <c r="E530" s="19" t="n">
        <f aca="false">F530*0.03</f>
        <v>0</v>
      </c>
      <c r="F530" s="33" t="n">
        <v>0</v>
      </c>
      <c r="G530" s="131"/>
      <c r="H530" s="35" t="n">
        <v>0</v>
      </c>
      <c r="I530" s="34" t="n">
        <f aca="false">+IF(E530=0,0,E530*0.03)</f>
        <v>0</v>
      </c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customFormat="false" ht="16.4" hidden="false" customHeight="false" outlineLevel="0" collapsed="false">
      <c r="A531" s="123" t="n">
        <v>45444</v>
      </c>
      <c r="B531" s="31" t="s">
        <v>240</v>
      </c>
      <c r="C531" s="129"/>
      <c r="D531" s="129"/>
      <c r="E531" s="19" t="n">
        <f aca="false">F531*0.03</f>
        <v>0</v>
      </c>
      <c r="F531" s="33" t="n">
        <v>0</v>
      </c>
      <c r="G531" s="131"/>
      <c r="H531" s="35" t="n">
        <v>0</v>
      </c>
      <c r="I531" s="34" t="n">
        <f aca="false">+IF(E531=0,0,E531*0.03)</f>
        <v>0</v>
      </c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customFormat="false" ht="16.4" hidden="false" customHeight="false" outlineLevel="0" collapsed="false">
      <c r="A532" s="123" t="n">
        <v>45444</v>
      </c>
      <c r="B532" s="31" t="s">
        <v>153</v>
      </c>
      <c r="C532" s="129"/>
      <c r="D532" s="129"/>
      <c r="E532" s="19" t="n">
        <f aca="false">F532*0.03</f>
        <v>0</v>
      </c>
      <c r="F532" s="33" t="n">
        <v>0</v>
      </c>
      <c r="G532" s="131"/>
      <c r="H532" s="35" t="n">
        <v>0</v>
      </c>
      <c r="I532" s="34" t="n">
        <f aca="false">+IF(E532=0,0,E532*0.03)</f>
        <v>0</v>
      </c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customFormat="false" ht="16.4" hidden="false" customHeight="false" outlineLevel="0" collapsed="false">
      <c r="A533" s="123" t="n">
        <v>45444</v>
      </c>
      <c r="B533" s="31" t="s">
        <v>247</v>
      </c>
      <c r="C533" s="129"/>
      <c r="D533" s="129"/>
      <c r="E533" s="19" t="n">
        <f aca="false">F533*0.03</f>
        <v>0</v>
      </c>
      <c r="F533" s="33" t="n">
        <v>0</v>
      </c>
      <c r="G533" s="131"/>
      <c r="H533" s="35" t="n">
        <v>0</v>
      </c>
      <c r="I533" s="34" t="n">
        <f aca="false">+IF(E533=0,0,E533*0.03)</f>
        <v>0</v>
      </c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customFormat="false" ht="16.4" hidden="false" customHeight="false" outlineLevel="0" collapsed="false">
      <c r="A534" s="123" t="n">
        <v>45444</v>
      </c>
      <c r="B534" s="31" t="s">
        <v>246</v>
      </c>
      <c r="C534" s="129"/>
      <c r="D534" s="129"/>
      <c r="E534" s="19" t="n">
        <f aca="false">F534*0.03</f>
        <v>0</v>
      </c>
      <c r="F534" s="33" t="n">
        <v>0</v>
      </c>
      <c r="G534" s="131"/>
      <c r="H534" s="35" t="n">
        <v>0</v>
      </c>
      <c r="I534" s="34" t="n">
        <f aca="false">+IF(E534=0,0,E534*0.03)</f>
        <v>0</v>
      </c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customFormat="false" ht="16.4" hidden="false" customHeight="false" outlineLevel="0" collapsed="false">
      <c r="A535" s="123" t="n">
        <v>45444</v>
      </c>
      <c r="B535" s="31" t="s">
        <v>239</v>
      </c>
      <c r="C535" s="129"/>
      <c r="D535" s="129"/>
      <c r="E535" s="19" t="n">
        <f aca="false">F535*0.03</f>
        <v>0</v>
      </c>
      <c r="F535" s="33" t="n">
        <v>0</v>
      </c>
      <c r="G535" s="131"/>
      <c r="H535" s="35" t="n">
        <v>0</v>
      </c>
      <c r="I535" s="34" t="n">
        <f aca="false">+IF(E535=0,0,E535*0.03)</f>
        <v>0</v>
      </c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customFormat="false" ht="16.4" hidden="false" customHeight="false" outlineLevel="0" collapsed="false">
      <c r="A536" s="123" t="n">
        <v>45444</v>
      </c>
      <c r="B536" s="31" t="s">
        <v>7</v>
      </c>
      <c r="C536" s="129"/>
      <c r="D536" s="129"/>
      <c r="E536" s="19" t="n">
        <f aca="false">F536*0.03</f>
        <v>0</v>
      </c>
      <c r="F536" s="33" t="n">
        <v>0</v>
      </c>
      <c r="G536" s="131"/>
      <c r="H536" s="35" t="n">
        <v>0</v>
      </c>
      <c r="I536" s="34" t="n">
        <f aca="false">+IF(E536=0,0,E536*0.03)</f>
        <v>0</v>
      </c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customFormat="false" ht="16.4" hidden="false" customHeight="false" outlineLevel="0" collapsed="false">
      <c r="A537" s="123" t="n">
        <v>45444</v>
      </c>
      <c r="B537" s="31" t="s">
        <v>240</v>
      </c>
      <c r="C537" s="129"/>
      <c r="D537" s="129"/>
      <c r="E537" s="19" t="n">
        <f aca="false">F537*0.03</f>
        <v>0</v>
      </c>
      <c r="F537" s="33" t="n">
        <v>0</v>
      </c>
      <c r="G537" s="131"/>
      <c r="H537" s="35" t="n">
        <v>0</v>
      </c>
      <c r="I537" s="34" t="n">
        <f aca="false">+IF(E537=0,0,E537*0.03)</f>
        <v>0</v>
      </c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customFormat="false" ht="16.4" hidden="false" customHeight="false" outlineLevel="0" collapsed="false">
      <c r="A538" s="123" t="n">
        <v>45444</v>
      </c>
      <c r="B538" s="31" t="s">
        <v>153</v>
      </c>
      <c r="C538" s="129"/>
      <c r="D538" s="129"/>
      <c r="E538" s="19" t="n">
        <f aca="false">F538*0.03</f>
        <v>0</v>
      </c>
      <c r="F538" s="33" t="n">
        <v>0</v>
      </c>
      <c r="G538" s="131"/>
      <c r="H538" s="35" t="n">
        <v>0</v>
      </c>
      <c r="I538" s="34" t="n">
        <f aca="false">+IF(E538=0,0,E538*0.03)</f>
        <v>0</v>
      </c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customFormat="false" ht="16.4" hidden="false" customHeight="false" outlineLevel="0" collapsed="false">
      <c r="A539" s="123" t="n">
        <v>45444</v>
      </c>
      <c r="B539" s="31" t="s">
        <v>247</v>
      </c>
      <c r="C539" s="129"/>
      <c r="D539" s="129"/>
      <c r="E539" s="19" t="n">
        <f aca="false">F539*0.03</f>
        <v>0</v>
      </c>
      <c r="F539" s="33" t="n">
        <v>0</v>
      </c>
      <c r="G539" s="131"/>
      <c r="H539" s="35" t="n">
        <v>0</v>
      </c>
      <c r="I539" s="34" t="n">
        <f aca="false">+IF(E539=0,0,E539*0.03)</f>
        <v>0</v>
      </c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customFormat="false" ht="16.4" hidden="false" customHeight="false" outlineLevel="0" collapsed="false">
      <c r="A540" s="123" t="n">
        <v>45444</v>
      </c>
      <c r="B540" s="31" t="s">
        <v>246</v>
      </c>
      <c r="C540" s="129"/>
      <c r="D540" s="129"/>
      <c r="E540" s="19" t="n">
        <f aca="false">F540*0.03</f>
        <v>0</v>
      </c>
      <c r="F540" s="33" t="n">
        <v>0</v>
      </c>
      <c r="G540" s="131"/>
      <c r="H540" s="35" t="n">
        <v>0</v>
      </c>
      <c r="I540" s="34" t="n">
        <f aca="false">+IF(E540=0,0,E540*0.03)</f>
        <v>0</v>
      </c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customFormat="false" ht="16.4" hidden="false" customHeight="false" outlineLevel="0" collapsed="false">
      <c r="A541" s="123" t="n">
        <v>45444</v>
      </c>
      <c r="B541" s="31" t="s">
        <v>239</v>
      </c>
      <c r="C541" s="129"/>
      <c r="D541" s="129"/>
      <c r="E541" s="19" t="n">
        <f aca="false">F541*0.03</f>
        <v>0</v>
      </c>
      <c r="F541" s="33" t="n">
        <v>0</v>
      </c>
      <c r="G541" s="131"/>
      <c r="H541" s="35" t="n">
        <v>0</v>
      </c>
      <c r="I541" s="34" t="n">
        <f aca="false">+IF(E541=0,0,E541*0.03)</f>
        <v>0</v>
      </c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customFormat="false" ht="16.4" hidden="false" customHeight="false" outlineLevel="0" collapsed="false">
      <c r="A542" s="123" t="n">
        <v>45444</v>
      </c>
      <c r="B542" s="31" t="s">
        <v>7</v>
      </c>
      <c r="C542" s="129"/>
      <c r="D542" s="129"/>
      <c r="E542" s="19" t="n">
        <f aca="false">F542*0.03</f>
        <v>0</v>
      </c>
      <c r="F542" s="33" t="n">
        <v>0</v>
      </c>
      <c r="G542" s="131"/>
      <c r="H542" s="35" t="n">
        <v>0</v>
      </c>
      <c r="I542" s="34" t="n">
        <f aca="false">+IF(E542=0,0,E542*0.03)</f>
        <v>0</v>
      </c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customFormat="false" ht="16.4" hidden="false" customHeight="false" outlineLevel="0" collapsed="false">
      <c r="A543" s="123" t="n">
        <v>45444</v>
      </c>
      <c r="B543" s="31" t="s">
        <v>240</v>
      </c>
      <c r="C543" s="129"/>
      <c r="D543" s="129"/>
      <c r="E543" s="19" t="n">
        <f aca="false">F543*0.03</f>
        <v>0</v>
      </c>
      <c r="F543" s="33" t="n">
        <v>0</v>
      </c>
      <c r="G543" s="131"/>
      <c r="H543" s="35" t="n">
        <v>0</v>
      </c>
      <c r="I543" s="34" t="n">
        <f aca="false">+IF(E543=0,0,E543*0.03)</f>
        <v>0</v>
      </c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customFormat="false" ht="16.4" hidden="false" customHeight="false" outlineLevel="0" collapsed="false">
      <c r="A544" s="123" t="n">
        <v>45444</v>
      </c>
      <c r="B544" s="31" t="s">
        <v>153</v>
      </c>
      <c r="C544" s="129"/>
      <c r="D544" s="129"/>
      <c r="E544" s="19" t="n">
        <f aca="false">F544*0.03</f>
        <v>0</v>
      </c>
      <c r="F544" s="33" t="n">
        <v>0</v>
      </c>
      <c r="G544" s="131"/>
      <c r="H544" s="35" t="n">
        <v>0</v>
      </c>
      <c r="I544" s="34" t="n">
        <f aca="false">+IF(E544=0,0,E544*0.03)</f>
        <v>0</v>
      </c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customFormat="false" ht="16.4" hidden="false" customHeight="false" outlineLevel="0" collapsed="false">
      <c r="A545" s="123" t="n">
        <v>45444</v>
      </c>
      <c r="B545" s="31" t="s">
        <v>247</v>
      </c>
      <c r="C545" s="129"/>
      <c r="D545" s="129"/>
      <c r="E545" s="19" t="n">
        <f aca="false">F545*0.03</f>
        <v>0</v>
      </c>
      <c r="F545" s="33" t="n">
        <v>0</v>
      </c>
      <c r="G545" s="131"/>
      <c r="H545" s="35" t="n">
        <v>0</v>
      </c>
      <c r="I545" s="34" t="n">
        <f aca="false">+IF(E545=0,0,E545*0.03)</f>
        <v>0</v>
      </c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customFormat="false" ht="16.4" hidden="false" customHeight="false" outlineLevel="0" collapsed="false">
      <c r="A546" s="123" t="n">
        <v>45444</v>
      </c>
      <c r="B546" s="31" t="s">
        <v>246</v>
      </c>
      <c r="C546" s="129"/>
      <c r="D546" s="129"/>
      <c r="E546" s="19" t="n">
        <f aca="false">F546*0.03</f>
        <v>0</v>
      </c>
      <c r="F546" s="33" t="n">
        <v>0</v>
      </c>
      <c r="G546" s="131"/>
      <c r="H546" s="35" t="n">
        <v>0</v>
      </c>
      <c r="I546" s="34" t="n">
        <f aca="false">+IF(E546=0,0,E546*0.03)</f>
        <v>0</v>
      </c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customFormat="false" ht="16.4" hidden="false" customHeight="false" outlineLevel="0" collapsed="false">
      <c r="A547" s="123" t="n">
        <v>45444</v>
      </c>
      <c r="B547" s="31" t="s">
        <v>239</v>
      </c>
      <c r="C547" s="129"/>
      <c r="D547" s="129"/>
      <c r="E547" s="19" t="n">
        <f aca="false">F547*0.03</f>
        <v>0</v>
      </c>
      <c r="F547" s="33" t="n">
        <v>0</v>
      </c>
      <c r="G547" s="131"/>
      <c r="H547" s="35" t="n">
        <v>0</v>
      </c>
      <c r="I547" s="34" t="n">
        <f aca="false">+IF(E547=0,0,E547*0.03)</f>
        <v>0</v>
      </c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customFormat="false" ht="16.4" hidden="false" customHeight="false" outlineLevel="0" collapsed="false">
      <c r="A548" s="123" t="n">
        <v>45444</v>
      </c>
      <c r="B548" s="31" t="s">
        <v>7</v>
      </c>
      <c r="C548" s="129"/>
      <c r="D548" s="129"/>
      <c r="E548" s="19" t="n">
        <f aca="false">F548*0.03</f>
        <v>0</v>
      </c>
      <c r="F548" s="33" t="n">
        <v>0</v>
      </c>
      <c r="G548" s="131"/>
      <c r="H548" s="35" t="n">
        <v>0</v>
      </c>
      <c r="I548" s="34" t="n">
        <f aca="false">+IF(E548=0,0,E548*0.03)</f>
        <v>0</v>
      </c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customFormat="false" ht="16.4" hidden="false" customHeight="false" outlineLevel="0" collapsed="false">
      <c r="A549" s="123" t="n">
        <v>45444</v>
      </c>
      <c r="B549" s="31" t="s">
        <v>240</v>
      </c>
      <c r="C549" s="129"/>
      <c r="D549" s="129"/>
      <c r="E549" s="19" t="n">
        <f aca="false">F549*0.03</f>
        <v>0</v>
      </c>
      <c r="F549" s="33" t="n">
        <v>0</v>
      </c>
      <c r="G549" s="131"/>
      <c r="H549" s="35" t="n">
        <v>0</v>
      </c>
      <c r="I549" s="34" t="n">
        <f aca="false">+IF(E549=0,0,E549*0.03)</f>
        <v>0</v>
      </c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customFormat="false" ht="16.4" hidden="false" customHeight="false" outlineLevel="0" collapsed="false">
      <c r="A550" s="123" t="n">
        <v>45444</v>
      </c>
      <c r="B550" s="31" t="s">
        <v>153</v>
      </c>
      <c r="C550" s="129"/>
      <c r="D550" s="129"/>
      <c r="E550" s="19" t="n">
        <f aca="false">F550*0.03</f>
        <v>0</v>
      </c>
      <c r="F550" s="33" t="n">
        <v>0</v>
      </c>
      <c r="G550" s="131"/>
      <c r="H550" s="35" t="n">
        <v>0</v>
      </c>
      <c r="I550" s="34" t="n">
        <f aca="false">+IF(E550=0,0,E550*0.03)</f>
        <v>0</v>
      </c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customFormat="false" ht="16.4" hidden="false" customHeight="false" outlineLevel="0" collapsed="false">
      <c r="A551" s="123" t="n">
        <v>45444</v>
      </c>
      <c r="B551" s="31" t="s">
        <v>247</v>
      </c>
      <c r="C551" s="129"/>
      <c r="D551" s="129"/>
      <c r="E551" s="19" t="n">
        <f aca="false">F551*0.03</f>
        <v>0</v>
      </c>
      <c r="F551" s="33" t="n">
        <v>0</v>
      </c>
      <c r="G551" s="131"/>
      <c r="H551" s="35" t="n">
        <v>0</v>
      </c>
      <c r="I551" s="34" t="n">
        <f aca="false">+IF(E551=0,0,E551*0.03)</f>
        <v>0</v>
      </c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customFormat="false" ht="16.4" hidden="false" customHeight="false" outlineLevel="0" collapsed="false">
      <c r="A552" s="123" t="n">
        <v>45444</v>
      </c>
      <c r="B552" s="31" t="s">
        <v>246</v>
      </c>
      <c r="C552" s="129"/>
      <c r="D552" s="129"/>
      <c r="E552" s="19" t="n">
        <f aca="false">F552*0.03</f>
        <v>0</v>
      </c>
      <c r="F552" s="33" t="n">
        <v>0</v>
      </c>
      <c r="G552" s="131"/>
      <c r="H552" s="35" t="n">
        <v>0</v>
      </c>
      <c r="I552" s="34" t="n">
        <f aca="false">+IF(E552=0,0,E552*0.03)</f>
        <v>0</v>
      </c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customFormat="false" ht="16.4" hidden="false" customHeight="false" outlineLevel="0" collapsed="false">
      <c r="A553" s="123" t="n">
        <v>45444</v>
      </c>
      <c r="B553" s="31" t="s">
        <v>239</v>
      </c>
      <c r="C553" s="129"/>
      <c r="D553" s="129"/>
      <c r="E553" s="19" t="n">
        <f aca="false">F553*0.03</f>
        <v>0</v>
      </c>
      <c r="F553" s="33" t="n">
        <v>0</v>
      </c>
      <c r="G553" s="131"/>
      <c r="H553" s="35" t="n">
        <v>0</v>
      </c>
      <c r="I553" s="34" t="n">
        <f aca="false">+IF(E553=0,0,E553*0.03)</f>
        <v>0</v>
      </c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customFormat="false" ht="16.4" hidden="false" customHeight="false" outlineLevel="0" collapsed="false">
      <c r="A554" s="123" t="n">
        <v>45444</v>
      </c>
      <c r="B554" s="31" t="s">
        <v>7</v>
      </c>
      <c r="C554" s="129"/>
      <c r="D554" s="129"/>
      <c r="E554" s="19" t="n">
        <f aca="false">F554*0.03</f>
        <v>0</v>
      </c>
      <c r="F554" s="33" t="n">
        <v>0</v>
      </c>
      <c r="G554" s="131"/>
      <c r="H554" s="35" t="n">
        <v>0</v>
      </c>
      <c r="I554" s="34" t="n">
        <f aca="false">+IF(E554=0,0,E554*0.03)</f>
        <v>0</v>
      </c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customFormat="false" ht="16.4" hidden="false" customHeight="false" outlineLevel="0" collapsed="false">
      <c r="A555" s="123" t="n">
        <v>45444</v>
      </c>
      <c r="B555" s="31" t="s">
        <v>240</v>
      </c>
      <c r="C555" s="129"/>
      <c r="D555" s="129"/>
      <c r="E555" s="19" t="n">
        <f aca="false">F555*0.03</f>
        <v>0</v>
      </c>
      <c r="F555" s="33" t="n">
        <v>0</v>
      </c>
      <c r="G555" s="131"/>
      <c r="H555" s="35" t="n">
        <v>0</v>
      </c>
      <c r="I555" s="34" t="n">
        <f aca="false">+IF(E555=0,0,E555*0.03)</f>
        <v>0</v>
      </c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customFormat="false" ht="16.4" hidden="false" customHeight="false" outlineLevel="0" collapsed="false">
      <c r="A556" s="123" t="n">
        <v>45444</v>
      </c>
      <c r="B556" s="31" t="s">
        <v>153</v>
      </c>
      <c r="C556" s="129"/>
      <c r="D556" s="129"/>
      <c r="E556" s="19" t="n">
        <f aca="false">F556*0.03</f>
        <v>0</v>
      </c>
      <c r="F556" s="33" t="n">
        <v>0</v>
      </c>
      <c r="G556" s="131"/>
      <c r="H556" s="35" t="n">
        <v>0</v>
      </c>
      <c r="I556" s="34" t="n">
        <f aca="false">+IF(E556=0,0,E556*0.03)</f>
        <v>0</v>
      </c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customFormat="false" ht="16.4" hidden="false" customHeight="false" outlineLevel="0" collapsed="false">
      <c r="A557" s="123" t="n">
        <v>45444</v>
      </c>
      <c r="B557" s="31" t="s">
        <v>247</v>
      </c>
      <c r="C557" s="129"/>
      <c r="D557" s="129"/>
      <c r="E557" s="19" t="n">
        <f aca="false">F557*0.03</f>
        <v>0</v>
      </c>
      <c r="F557" s="33" t="n">
        <v>0</v>
      </c>
      <c r="G557" s="131"/>
      <c r="H557" s="35" t="n">
        <v>0</v>
      </c>
      <c r="I557" s="34" t="n">
        <f aca="false">+IF(E557=0,0,E557*0.03)</f>
        <v>0</v>
      </c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customFormat="false" ht="16.4" hidden="false" customHeight="false" outlineLevel="0" collapsed="false">
      <c r="A558" s="123" t="n">
        <v>45444</v>
      </c>
      <c r="B558" s="31" t="s">
        <v>246</v>
      </c>
      <c r="C558" s="129"/>
      <c r="D558" s="129"/>
      <c r="E558" s="19" t="n">
        <f aca="false">F558*0.03</f>
        <v>0</v>
      </c>
      <c r="F558" s="33" t="n">
        <v>0</v>
      </c>
      <c r="G558" s="131"/>
      <c r="H558" s="35" t="n">
        <v>0</v>
      </c>
      <c r="I558" s="34" t="n">
        <f aca="false">+IF(E558=0,0,E558*0.03)</f>
        <v>0</v>
      </c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customFormat="false" ht="16.4" hidden="false" customHeight="false" outlineLevel="0" collapsed="false">
      <c r="A559" s="123" t="n">
        <v>45444</v>
      </c>
      <c r="B559" s="31" t="s">
        <v>239</v>
      </c>
      <c r="C559" s="129"/>
      <c r="D559" s="129"/>
      <c r="E559" s="19" t="n">
        <f aca="false">F559*0.03</f>
        <v>0</v>
      </c>
      <c r="F559" s="33" t="n">
        <v>0</v>
      </c>
      <c r="G559" s="131"/>
      <c r="H559" s="35" t="n">
        <v>0</v>
      </c>
      <c r="I559" s="34" t="n">
        <f aca="false">+IF(E559=0,0,E559*0.03)</f>
        <v>0</v>
      </c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customFormat="false" ht="16.4" hidden="false" customHeight="false" outlineLevel="0" collapsed="false">
      <c r="A560" s="123" t="n">
        <v>45444</v>
      </c>
      <c r="B560" s="31" t="s">
        <v>7</v>
      </c>
      <c r="C560" s="129"/>
      <c r="D560" s="129"/>
      <c r="E560" s="19" t="n">
        <f aca="false">F560*0.03</f>
        <v>0</v>
      </c>
      <c r="F560" s="33" t="n">
        <v>0</v>
      </c>
      <c r="G560" s="131"/>
      <c r="H560" s="35" t="n">
        <v>0</v>
      </c>
      <c r="I560" s="34" t="n">
        <f aca="false">+IF(E560=0,0,E560*0.03)</f>
        <v>0</v>
      </c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customFormat="false" ht="16.4" hidden="false" customHeight="false" outlineLevel="0" collapsed="false">
      <c r="A561" s="123" t="n">
        <v>45444</v>
      </c>
      <c r="B561" s="31" t="s">
        <v>240</v>
      </c>
      <c r="C561" s="129"/>
      <c r="D561" s="129"/>
      <c r="E561" s="19" t="n">
        <f aca="false">F561*0.03</f>
        <v>0</v>
      </c>
      <c r="F561" s="33" t="n">
        <v>0</v>
      </c>
      <c r="G561" s="131"/>
      <c r="H561" s="35" t="n">
        <v>0</v>
      </c>
      <c r="I561" s="34" t="n">
        <f aca="false">+IF(E561=0,0,E561*0.03)</f>
        <v>0</v>
      </c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customFormat="false" ht="16.4" hidden="false" customHeight="false" outlineLevel="0" collapsed="false">
      <c r="A562" s="123" t="n">
        <v>45444</v>
      </c>
      <c r="B562" s="31" t="s">
        <v>153</v>
      </c>
      <c r="C562" s="129"/>
      <c r="D562" s="129"/>
      <c r="E562" s="19" t="n">
        <f aca="false">F562*0.03</f>
        <v>0</v>
      </c>
      <c r="F562" s="33" t="n">
        <v>0</v>
      </c>
      <c r="G562" s="131"/>
      <c r="H562" s="35" t="n">
        <v>0</v>
      </c>
      <c r="I562" s="34" t="n">
        <f aca="false">+IF(E562=0,0,E562*0.03)</f>
        <v>0</v>
      </c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customFormat="false" ht="16.4" hidden="false" customHeight="false" outlineLevel="0" collapsed="false">
      <c r="A563" s="123" t="n">
        <v>45444</v>
      </c>
      <c r="B563" s="31" t="s">
        <v>247</v>
      </c>
      <c r="C563" s="129"/>
      <c r="D563" s="129"/>
      <c r="E563" s="19" t="n">
        <f aca="false">F563*0.03</f>
        <v>0</v>
      </c>
      <c r="F563" s="33" t="n">
        <v>0</v>
      </c>
      <c r="G563" s="131"/>
      <c r="H563" s="35" t="n">
        <v>0</v>
      </c>
      <c r="I563" s="34" t="n">
        <f aca="false">+IF(E563=0,0,E563*0.03)</f>
        <v>0</v>
      </c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customFormat="false" ht="16.4" hidden="false" customHeight="false" outlineLevel="0" collapsed="false">
      <c r="A564" s="123" t="n">
        <v>45444</v>
      </c>
      <c r="B564" s="31" t="s">
        <v>246</v>
      </c>
      <c r="C564" s="129"/>
      <c r="D564" s="129"/>
      <c r="E564" s="19" t="n">
        <f aca="false">F564*0.03</f>
        <v>0</v>
      </c>
      <c r="F564" s="33" t="n">
        <v>0</v>
      </c>
      <c r="G564" s="131"/>
      <c r="H564" s="35" t="n">
        <v>0</v>
      </c>
      <c r="I564" s="34" t="n">
        <f aca="false">+IF(E564=0,0,E564*0.03)</f>
        <v>0</v>
      </c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customFormat="false" ht="16.4" hidden="false" customHeight="false" outlineLevel="0" collapsed="false">
      <c r="A565" s="123" t="n">
        <v>45444</v>
      </c>
      <c r="B565" s="31" t="s">
        <v>239</v>
      </c>
      <c r="C565" s="129"/>
      <c r="D565" s="129"/>
      <c r="E565" s="19" t="n">
        <f aca="false">F565*0.03</f>
        <v>0</v>
      </c>
      <c r="F565" s="33" t="n">
        <v>0</v>
      </c>
      <c r="G565" s="131"/>
      <c r="H565" s="35" t="n">
        <v>0</v>
      </c>
      <c r="I565" s="34" t="n">
        <f aca="false">+IF(E565=0,0,E565*0.03)</f>
        <v>0</v>
      </c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customFormat="false" ht="16.4" hidden="false" customHeight="false" outlineLevel="0" collapsed="false">
      <c r="A566" s="123" t="n">
        <v>45444</v>
      </c>
      <c r="B566" s="31" t="s">
        <v>7</v>
      </c>
      <c r="C566" s="129"/>
      <c r="D566" s="129"/>
      <c r="E566" s="19" t="n">
        <f aca="false">F566*0.03</f>
        <v>0</v>
      </c>
      <c r="F566" s="33" t="n">
        <v>0</v>
      </c>
      <c r="G566" s="131"/>
      <c r="H566" s="35" t="n">
        <v>0</v>
      </c>
      <c r="I566" s="34" t="n">
        <f aca="false">+IF(E566=0,0,E566*0.03)</f>
        <v>0</v>
      </c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customFormat="false" ht="16.4" hidden="false" customHeight="false" outlineLevel="0" collapsed="false">
      <c r="A567" s="123" t="n">
        <v>45444</v>
      </c>
      <c r="B567" s="31" t="s">
        <v>240</v>
      </c>
      <c r="C567" s="129"/>
      <c r="D567" s="129"/>
      <c r="E567" s="19" t="n">
        <f aca="false">F567*0.03</f>
        <v>0</v>
      </c>
      <c r="F567" s="33" t="n">
        <v>0</v>
      </c>
      <c r="G567" s="131"/>
      <c r="H567" s="35" t="n">
        <v>0</v>
      </c>
      <c r="I567" s="34" t="n">
        <f aca="false">+IF(E567=0,0,E567*0.03)</f>
        <v>0</v>
      </c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customFormat="false" ht="16.4" hidden="false" customHeight="false" outlineLevel="0" collapsed="false">
      <c r="A568" s="123" t="n">
        <v>45444</v>
      </c>
      <c r="B568" s="31" t="s">
        <v>153</v>
      </c>
      <c r="C568" s="129"/>
      <c r="D568" s="129"/>
      <c r="E568" s="19" t="n">
        <f aca="false">F568*0.03</f>
        <v>0</v>
      </c>
      <c r="F568" s="33" t="n">
        <v>0</v>
      </c>
      <c r="G568" s="131"/>
      <c r="H568" s="35" t="n">
        <v>0</v>
      </c>
      <c r="I568" s="34" t="n">
        <f aca="false">+IF(E568=0,0,E568*0.03)</f>
        <v>0</v>
      </c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customFormat="false" ht="16.4" hidden="false" customHeight="false" outlineLevel="0" collapsed="false">
      <c r="A569" s="123" t="n">
        <v>45444</v>
      </c>
      <c r="B569" s="31" t="s">
        <v>247</v>
      </c>
      <c r="C569" s="129"/>
      <c r="D569" s="129"/>
      <c r="E569" s="19" t="n">
        <f aca="false">F569*0.03</f>
        <v>0</v>
      </c>
      <c r="F569" s="33" t="n">
        <v>0</v>
      </c>
      <c r="G569" s="131"/>
      <c r="H569" s="35" t="n">
        <v>0</v>
      </c>
      <c r="I569" s="34" t="n">
        <f aca="false">+IF(E569=0,0,E569*0.03)</f>
        <v>0</v>
      </c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customFormat="false" ht="16.4" hidden="false" customHeight="false" outlineLevel="0" collapsed="false">
      <c r="A570" s="123" t="n">
        <v>45444</v>
      </c>
      <c r="B570" s="31" t="s">
        <v>246</v>
      </c>
      <c r="C570" s="129"/>
      <c r="D570" s="129"/>
      <c r="E570" s="19" t="n">
        <f aca="false">F570*0.03</f>
        <v>0</v>
      </c>
      <c r="F570" s="33" t="n">
        <v>0</v>
      </c>
      <c r="G570" s="131"/>
      <c r="H570" s="35" t="n">
        <v>0</v>
      </c>
      <c r="I570" s="34" t="n">
        <f aca="false">+IF(E570=0,0,E570*0.03)</f>
        <v>0</v>
      </c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customFormat="false" ht="16.4" hidden="false" customHeight="false" outlineLevel="0" collapsed="false">
      <c r="A571" s="123" t="n">
        <v>45444</v>
      </c>
      <c r="B571" s="31" t="s">
        <v>239</v>
      </c>
      <c r="C571" s="129"/>
      <c r="D571" s="129"/>
      <c r="E571" s="19" t="n">
        <f aca="false">F571*0.03</f>
        <v>0</v>
      </c>
      <c r="F571" s="33" t="n">
        <v>0</v>
      </c>
      <c r="G571" s="131"/>
      <c r="H571" s="35" t="n">
        <v>0</v>
      </c>
      <c r="I571" s="34" t="n">
        <f aca="false">+IF(E571=0,0,E571*0.03)</f>
        <v>0</v>
      </c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customFormat="false" ht="16.4" hidden="false" customHeight="false" outlineLevel="0" collapsed="false">
      <c r="A572" s="123" t="n">
        <v>45444</v>
      </c>
      <c r="B572" s="31" t="s">
        <v>7</v>
      </c>
      <c r="C572" s="129"/>
      <c r="D572" s="129"/>
      <c r="E572" s="19" t="n">
        <f aca="false">F572*0.03</f>
        <v>0</v>
      </c>
      <c r="F572" s="33" t="n">
        <v>0</v>
      </c>
      <c r="G572" s="131"/>
      <c r="H572" s="35" t="n">
        <v>0</v>
      </c>
      <c r="I572" s="34" t="n">
        <f aca="false">+IF(E572=0,0,E572*0.03)</f>
        <v>0</v>
      </c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customFormat="false" ht="16.4" hidden="false" customHeight="false" outlineLevel="0" collapsed="false">
      <c r="A573" s="123" t="n">
        <v>45444</v>
      </c>
      <c r="B573" s="31" t="s">
        <v>240</v>
      </c>
      <c r="C573" s="129"/>
      <c r="D573" s="129"/>
      <c r="E573" s="19" t="n">
        <f aca="false">F573*0.03</f>
        <v>0</v>
      </c>
      <c r="F573" s="33" t="n">
        <v>0</v>
      </c>
      <c r="G573" s="131"/>
      <c r="H573" s="35" t="n">
        <v>0</v>
      </c>
      <c r="I573" s="34" t="n">
        <f aca="false">+IF(E573=0,0,E573*0.03)</f>
        <v>0</v>
      </c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customFormat="false" ht="16.4" hidden="false" customHeight="false" outlineLevel="0" collapsed="false">
      <c r="A574" s="123" t="n">
        <v>45444</v>
      </c>
      <c r="B574" s="31" t="s">
        <v>153</v>
      </c>
      <c r="C574" s="129"/>
      <c r="D574" s="129"/>
      <c r="E574" s="19" t="n">
        <f aca="false">F574*0.03</f>
        <v>0</v>
      </c>
      <c r="F574" s="33" t="n">
        <v>0</v>
      </c>
      <c r="G574" s="131"/>
      <c r="H574" s="35" t="n">
        <v>0</v>
      </c>
      <c r="I574" s="34" t="n">
        <f aca="false">+IF(E574=0,0,E574*0.03)</f>
        <v>0</v>
      </c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customFormat="false" ht="16.4" hidden="false" customHeight="false" outlineLevel="0" collapsed="false">
      <c r="A575" s="123" t="n">
        <v>45444</v>
      </c>
      <c r="B575" s="31" t="s">
        <v>247</v>
      </c>
      <c r="C575" s="129"/>
      <c r="D575" s="129"/>
      <c r="E575" s="19" t="n">
        <f aca="false">F575*0.03</f>
        <v>0</v>
      </c>
      <c r="F575" s="33" t="n">
        <v>0</v>
      </c>
      <c r="G575" s="131"/>
      <c r="H575" s="35" t="n">
        <v>0</v>
      </c>
      <c r="I575" s="34" t="n">
        <f aca="false">+IF(E575=0,0,E575*0.03)</f>
        <v>0</v>
      </c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customFormat="false" ht="16.4" hidden="false" customHeight="false" outlineLevel="0" collapsed="false">
      <c r="A576" s="123" t="n">
        <v>45444</v>
      </c>
      <c r="B576" s="31" t="s">
        <v>246</v>
      </c>
      <c r="C576" s="129"/>
      <c r="D576" s="129"/>
      <c r="E576" s="19" t="n">
        <f aca="false">F576*0.03</f>
        <v>0</v>
      </c>
      <c r="F576" s="33" t="n">
        <v>0</v>
      </c>
      <c r="G576" s="131"/>
      <c r="H576" s="35" t="n">
        <v>0</v>
      </c>
      <c r="I576" s="34" t="n">
        <f aca="false">+IF(E576=0,0,E576*0.03)</f>
        <v>0</v>
      </c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customFormat="false" ht="16.4" hidden="false" customHeight="false" outlineLevel="0" collapsed="false">
      <c r="A577" s="123" t="n">
        <v>45444</v>
      </c>
      <c r="B577" s="31" t="s">
        <v>239</v>
      </c>
      <c r="C577" s="129"/>
      <c r="D577" s="129"/>
      <c r="E577" s="19" t="n">
        <f aca="false">F577*0.03</f>
        <v>0</v>
      </c>
      <c r="F577" s="33" t="n">
        <v>0</v>
      </c>
      <c r="G577" s="131"/>
      <c r="H577" s="35" t="n">
        <v>0</v>
      </c>
      <c r="I577" s="34" t="n">
        <f aca="false">+IF(E577=0,0,E577*0.03)</f>
        <v>0</v>
      </c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customFormat="false" ht="16.4" hidden="false" customHeight="false" outlineLevel="0" collapsed="false">
      <c r="A578" s="123" t="n">
        <v>45444</v>
      </c>
      <c r="B578" s="31" t="s">
        <v>7</v>
      </c>
      <c r="C578" s="129"/>
      <c r="D578" s="129"/>
      <c r="E578" s="19" t="n">
        <f aca="false">F578*0.03</f>
        <v>0</v>
      </c>
      <c r="F578" s="33" t="n">
        <v>0</v>
      </c>
      <c r="G578" s="131"/>
      <c r="H578" s="35" t="n">
        <v>0</v>
      </c>
      <c r="I578" s="34" t="n">
        <f aca="false">+IF(E578=0,0,E578*0.03)</f>
        <v>0</v>
      </c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customFormat="false" ht="16.4" hidden="false" customHeight="false" outlineLevel="0" collapsed="false">
      <c r="A579" s="123" t="n">
        <v>45444</v>
      </c>
      <c r="B579" s="31" t="s">
        <v>240</v>
      </c>
      <c r="C579" s="129"/>
      <c r="D579" s="129"/>
      <c r="E579" s="19" t="n">
        <f aca="false">F579*0.03</f>
        <v>0</v>
      </c>
      <c r="F579" s="33" t="n">
        <v>0</v>
      </c>
      <c r="G579" s="131"/>
      <c r="H579" s="35" t="n">
        <v>0</v>
      </c>
      <c r="I579" s="34" t="n">
        <f aca="false">+IF(E579=0,0,E579*0.03)</f>
        <v>0</v>
      </c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customFormat="false" ht="16.4" hidden="false" customHeight="false" outlineLevel="0" collapsed="false">
      <c r="A580" s="123" t="n">
        <v>45444</v>
      </c>
      <c r="B580" s="31" t="s">
        <v>153</v>
      </c>
      <c r="C580" s="129"/>
      <c r="D580" s="129"/>
      <c r="E580" s="19" t="n">
        <f aca="false">F580*0.03</f>
        <v>0</v>
      </c>
      <c r="F580" s="33" t="n">
        <v>0</v>
      </c>
      <c r="G580" s="131"/>
      <c r="H580" s="35" t="n">
        <v>0</v>
      </c>
      <c r="I580" s="34" t="n">
        <f aca="false">+IF(E580=0,0,E580*0.03)</f>
        <v>0</v>
      </c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customFormat="false" ht="16.4" hidden="false" customHeight="false" outlineLevel="0" collapsed="false">
      <c r="A581" s="123" t="n">
        <v>45444</v>
      </c>
      <c r="B581" s="31" t="s">
        <v>247</v>
      </c>
      <c r="C581" s="129"/>
      <c r="D581" s="129"/>
      <c r="E581" s="19" t="n">
        <f aca="false">F581*0.03</f>
        <v>0</v>
      </c>
      <c r="F581" s="33" t="n">
        <v>0</v>
      </c>
      <c r="G581" s="131"/>
      <c r="H581" s="35" t="n">
        <v>0</v>
      </c>
      <c r="I581" s="34" t="n">
        <f aca="false">+IF(E581=0,0,E581*0.03)</f>
        <v>0</v>
      </c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customFormat="false" ht="16.4" hidden="false" customHeight="false" outlineLevel="0" collapsed="false">
      <c r="A582" s="123" t="n">
        <v>45444</v>
      </c>
      <c r="B582" s="31" t="s">
        <v>246</v>
      </c>
      <c r="C582" s="129"/>
      <c r="D582" s="129"/>
      <c r="E582" s="19" t="n">
        <f aca="false">F582*0.03</f>
        <v>0</v>
      </c>
      <c r="F582" s="33" t="n">
        <v>0</v>
      </c>
      <c r="G582" s="131"/>
      <c r="H582" s="35" t="n">
        <v>0</v>
      </c>
      <c r="I582" s="34" t="n">
        <f aca="false">+IF(E582=0,0,E582*0.03)</f>
        <v>0</v>
      </c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customFormat="false" ht="16.4" hidden="false" customHeight="false" outlineLevel="0" collapsed="false">
      <c r="A583" s="123" t="n">
        <v>45444</v>
      </c>
      <c r="B583" s="31" t="s">
        <v>239</v>
      </c>
      <c r="C583" s="129"/>
      <c r="D583" s="129"/>
      <c r="E583" s="19" t="n">
        <f aca="false">F583*0.03</f>
        <v>0</v>
      </c>
      <c r="F583" s="33" t="n">
        <v>0</v>
      </c>
      <c r="G583" s="131"/>
      <c r="H583" s="35" t="n">
        <v>0</v>
      </c>
      <c r="I583" s="34" t="n">
        <f aca="false">+IF(E583=0,0,E583*0.03)</f>
        <v>0</v>
      </c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customFormat="false" ht="16.4" hidden="false" customHeight="false" outlineLevel="0" collapsed="false">
      <c r="A584" s="123" t="n">
        <v>45444</v>
      </c>
      <c r="B584" s="31" t="s">
        <v>7</v>
      </c>
      <c r="C584" s="129"/>
      <c r="D584" s="129"/>
      <c r="E584" s="19" t="n">
        <f aca="false">F584*0.03</f>
        <v>0</v>
      </c>
      <c r="F584" s="33" t="n">
        <v>0</v>
      </c>
      <c r="G584" s="131"/>
      <c r="H584" s="35" t="n">
        <v>0</v>
      </c>
      <c r="I584" s="34" t="n">
        <f aca="false">+IF(E584=0,0,E584*0.03)</f>
        <v>0</v>
      </c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customFormat="false" ht="16.4" hidden="false" customHeight="false" outlineLevel="0" collapsed="false">
      <c r="A585" s="123" t="n">
        <v>45444</v>
      </c>
      <c r="B585" s="31" t="s">
        <v>240</v>
      </c>
      <c r="C585" s="129"/>
      <c r="D585" s="129"/>
      <c r="E585" s="19" t="n">
        <f aca="false">F585*0.03</f>
        <v>0</v>
      </c>
      <c r="F585" s="33" t="n">
        <v>0</v>
      </c>
      <c r="G585" s="131"/>
      <c r="H585" s="35" t="n">
        <v>0</v>
      </c>
      <c r="I585" s="34" t="n">
        <f aca="false">+IF(E585=0,0,E585*0.03)</f>
        <v>0</v>
      </c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customFormat="false" ht="16.4" hidden="false" customHeight="false" outlineLevel="0" collapsed="false">
      <c r="A586" s="123" t="n">
        <v>45444</v>
      </c>
      <c r="B586" s="31" t="s">
        <v>153</v>
      </c>
      <c r="C586" s="129"/>
      <c r="D586" s="129"/>
      <c r="E586" s="19" t="n">
        <f aca="false">F586*0.03</f>
        <v>0</v>
      </c>
      <c r="F586" s="33" t="n">
        <v>0</v>
      </c>
      <c r="G586" s="131"/>
      <c r="H586" s="35" t="n">
        <v>0</v>
      </c>
      <c r="I586" s="34" t="n">
        <f aca="false">+IF(E586=0,0,E586*0.03)</f>
        <v>0</v>
      </c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customFormat="false" ht="16.4" hidden="false" customHeight="false" outlineLevel="0" collapsed="false">
      <c r="A587" s="123" t="n">
        <v>45444</v>
      </c>
      <c r="B587" s="31" t="s">
        <v>247</v>
      </c>
      <c r="C587" s="129"/>
      <c r="D587" s="129"/>
      <c r="E587" s="19" t="n">
        <f aca="false">F587*0.03</f>
        <v>0</v>
      </c>
      <c r="F587" s="33" t="n">
        <v>0</v>
      </c>
      <c r="G587" s="131"/>
      <c r="H587" s="35" t="n">
        <v>0</v>
      </c>
      <c r="I587" s="34" t="n">
        <f aca="false">+IF(E587=0,0,E587*0.03)</f>
        <v>0</v>
      </c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customFormat="false" ht="16.4" hidden="false" customHeight="false" outlineLevel="0" collapsed="false">
      <c r="A588" s="123" t="n">
        <v>45444</v>
      </c>
      <c r="B588" s="31" t="s">
        <v>246</v>
      </c>
      <c r="C588" s="129"/>
      <c r="D588" s="129"/>
      <c r="E588" s="19" t="n">
        <f aca="false">F588*0.03</f>
        <v>0</v>
      </c>
      <c r="F588" s="33" t="n">
        <v>0</v>
      </c>
      <c r="G588" s="131"/>
      <c r="H588" s="35" t="n">
        <v>0</v>
      </c>
      <c r="I588" s="34" t="n">
        <f aca="false">+IF(E588=0,0,E588*0.03)</f>
        <v>0</v>
      </c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customFormat="false" ht="16.4" hidden="false" customHeight="false" outlineLevel="0" collapsed="false">
      <c r="A589" s="123" t="n">
        <v>45444</v>
      </c>
      <c r="B589" s="31" t="s">
        <v>239</v>
      </c>
      <c r="C589" s="129"/>
      <c r="D589" s="129"/>
      <c r="E589" s="19" t="n">
        <f aca="false">F589*0.03</f>
        <v>0</v>
      </c>
      <c r="F589" s="33" t="n">
        <v>0</v>
      </c>
      <c r="G589" s="131"/>
      <c r="H589" s="35" t="n">
        <v>0</v>
      </c>
      <c r="I589" s="34" t="n">
        <f aca="false">+IF(E589=0,0,E589*0.03)</f>
        <v>0</v>
      </c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customFormat="false" ht="16.4" hidden="false" customHeight="false" outlineLevel="0" collapsed="false">
      <c r="A590" s="123" t="n">
        <v>45444</v>
      </c>
      <c r="B590" s="31" t="s">
        <v>7</v>
      </c>
      <c r="C590" s="129"/>
      <c r="D590" s="129"/>
      <c r="E590" s="19" t="n">
        <f aca="false">F590*0.03</f>
        <v>0</v>
      </c>
      <c r="F590" s="33" t="n">
        <v>0</v>
      </c>
      <c r="G590" s="131"/>
      <c r="H590" s="35" t="n">
        <v>0</v>
      </c>
      <c r="I590" s="34" t="n">
        <f aca="false">+IF(E590=0,0,E590*0.03)</f>
        <v>0</v>
      </c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customFormat="false" ht="16.4" hidden="false" customHeight="false" outlineLevel="0" collapsed="false">
      <c r="A591" s="123" t="n">
        <v>45444</v>
      </c>
      <c r="B591" s="31" t="s">
        <v>240</v>
      </c>
      <c r="C591" s="129"/>
      <c r="D591" s="129"/>
      <c r="E591" s="19" t="n">
        <f aca="false">F591*0.03</f>
        <v>0</v>
      </c>
      <c r="F591" s="33" t="n">
        <v>0</v>
      </c>
      <c r="G591" s="131"/>
      <c r="H591" s="35" t="n">
        <v>0</v>
      </c>
      <c r="I591" s="34" t="n">
        <f aca="false">+IF(E591=0,0,E591*0.03)</f>
        <v>0</v>
      </c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customFormat="false" ht="16.4" hidden="false" customHeight="false" outlineLevel="0" collapsed="false">
      <c r="A592" s="123" t="n">
        <v>45444</v>
      </c>
      <c r="B592" s="31" t="s">
        <v>153</v>
      </c>
      <c r="C592" s="129"/>
      <c r="D592" s="129"/>
      <c r="E592" s="19" t="n">
        <f aca="false">F592*0.03</f>
        <v>0</v>
      </c>
      <c r="F592" s="33" t="n">
        <v>0</v>
      </c>
      <c r="G592" s="131"/>
      <c r="H592" s="35" t="n">
        <v>0</v>
      </c>
      <c r="I592" s="34" t="n">
        <f aca="false">+IF(E592=0,0,E592*0.03)</f>
        <v>0</v>
      </c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customFormat="false" ht="16.4" hidden="false" customHeight="false" outlineLevel="0" collapsed="false">
      <c r="A593" s="123" t="n">
        <v>45444</v>
      </c>
      <c r="B593" s="31" t="s">
        <v>247</v>
      </c>
      <c r="C593" s="129"/>
      <c r="D593" s="129"/>
      <c r="E593" s="19" t="n">
        <f aca="false">F593*0.03</f>
        <v>0</v>
      </c>
      <c r="F593" s="33" t="n">
        <v>0</v>
      </c>
      <c r="G593" s="131"/>
      <c r="H593" s="35" t="n">
        <v>0</v>
      </c>
      <c r="I593" s="34" t="n">
        <f aca="false">+IF(E593=0,0,E593*0.03)</f>
        <v>0</v>
      </c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customFormat="false" ht="16.4" hidden="false" customHeight="false" outlineLevel="0" collapsed="false">
      <c r="A594" s="123" t="n">
        <v>45444</v>
      </c>
      <c r="B594" s="31" t="s">
        <v>246</v>
      </c>
      <c r="C594" s="129"/>
      <c r="D594" s="129"/>
      <c r="E594" s="19" t="n">
        <f aca="false">F594*0.03</f>
        <v>0</v>
      </c>
      <c r="F594" s="33" t="n">
        <v>0</v>
      </c>
      <c r="G594" s="131"/>
      <c r="H594" s="35" t="n">
        <v>0</v>
      </c>
      <c r="I594" s="34" t="n">
        <f aca="false">+IF(E594=0,0,E594*0.03)</f>
        <v>0</v>
      </c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customFormat="false" ht="16.4" hidden="false" customHeight="false" outlineLevel="0" collapsed="false">
      <c r="A595" s="123" t="n">
        <v>45444</v>
      </c>
      <c r="B595" s="31" t="s">
        <v>239</v>
      </c>
      <c r="C595" s="129"/>
      <c r="D595" s="129"/>
      <c r="E595" s="19" t="n">
        <f aca="false">F595*0.03</f>
        <v>0</v>
      </c>
      <c r="F595" s="33" t="n">
        <v>0</v>
      </c>
      <c r="G595" s="131"/>
      <c r="H595" s="35" t="n">
        <v>0</v>
      </c>
      <c r="I595" s="34" t="n">
        <f aca="false">+IF(E595=0,0,E595*0.03)</f>
        <v>0</v>
      </c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customFormat="false" ht="16.4" hidden="false" customHeight="false" outlineLevel="0" collapsed="false">
      <c r="A596" s="123" t="n">
        <v>45444</v>
      </c>
      <c r="B596" s="31" t="s">
        <v>7</v>
      </c>
      <c r="C596" s="129"/>
      <c r="D596" s="129"/>
      <c r="E596" s="19" t="n">
        <f aca="false">F596*0.03</f>
        <v>0</v>
      </c>
      <c r="F596" s="33" t="n">
        <v>0</v>
      </c>
      <c r="G596" s="131"/>
      <c r="H596" s="35" t="n">
        <v>0</v>
      </c>
      <c r="I596" s="34" t="n">
        <f aca="false">+IF(E596=0,0,E596*0.03)</f>
        <v>0</v>
      </c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customFormat="false" ht="16.4" hidden="false" customHeight="false" outlineLevel="0" collapsed="false">
      <c r="A597" s="123" t="n">
        <v>45444</v>
      </c>
      <c r="B597" s="31" t="s">
        <v>240</v>
      </c>
      <c r="C597" s="129"/>
      <c r="D597" s="129"/>
      <c r="E597" s="19" t="n">
        <f aca="false">F597*0.03</f>
        <v>0</v>
      </c>
      <c r="F597" s="33" t="n">
        <v>0</v>
      </c>
      <c r="G597" s="131"/>
      <c r="H597" s="35" t="n">
        <v>0</v>
      </c>
      <c r="I597" s="34" t="n">
        <f aca="false">+IF(E597=0,0,E597*0.03)</f>
        <v>0</v>
      </c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customFormat="false" ht="16.4" hidden="false" customHeight="false" outlineLevel="0" collapsed="false">
      <c r="A598" s="123" t="n">
        <v>45444</v>
      </c>
      <c r="B598" s="31" t="s">
        <v>153</v>
      </c>
      <c r="C598" s="129"/>
      <c r="D598" s="129"/>
      <c r="E598" s="19" t="n">
        <f aca="false">F598*0.03</f>
        <v>0</v>
      </c>
      <c r="F598" s="33" t="n">
        <v>0</v>
      </c>
      <c r="G598" s="131"/>
      <c r="H598" s="35" t="n">
        <v>0</v>
      </c>
      <c r="I598" s="34" t="n">
        <f aca="false">+IF(E598=0,0,E598*0.03)</f>
        <v>0</v>
      </c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customFormat="false" ht="16.4" hidden="false" customHeight="false" outlineLevel="0" collapsed="false">
      <c r="A599" s="123" t="n">
        <v>45444</v>
      </c>
      <c r="B599" s="31" t="s">
        <v>247</v>
      </c>
      <c r="C599" s="129"/>
      <c r="D599" s="129"/>
      <c r="E599" s="19" t="n">
        <f aca="false">F599*0.03</f>
        <v>0</v>
      </c>
      <c r="F599" s="33" t="n">
        <v>0</v>
      </c>
      <c r="G599" s="131"/>
      <c r="H599" s="35" t="n">
        <v>0</v>
      </c>
      <c r="I599" s="34" t="n">
        <f aca="false">+IF(E599=0,0,E599*0.03)</f>
        <v>0</v>
      </c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customFormat="false" ht="16.4" hidden="false" customHeight="false" outlineLevel="0" collapsed="false">
      <c r="A600" s="123" t="n">
        <v>45444</v>
      </c>
      <c r="B600" s="31" t="s">
        <v>246</v>
      </c>
      <c r="C600" s="129"/>
      <c r="D600" s="129"/>
      <c r="E600" s="19" t="n">
        <f aca="false">F600*0.03</f>
        <v>0</v>
      </c>
      <c r="F600" s="33" t="n">
        <v>0</v>
      </c>
      <c r="G600" s="131"/>
      <c r="H600" s="35" t="n">
        <v>0</v>
      </c>
      <c r="I600" s="34" t="n">
        <f aca="false">+IF(E600=0,0,E600*0.03)</f>
        <v>0</v>
      </c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customFormat="false" ht="16.4" hidden="false" customHeight="false" outlineLevel="0" collapsed="false">
      <c r="A601" s="123" t="n">
        <v>45444</v>
      </c>
      <c r="B601" s="31" t="s">
        <v>239</v>
      </c>
      <c r="C601" s="129"/>
      <c r="D601" s="129"/>
      <c r="E601" s="19" t="n">
        <f aca="false">F601*0.03</f>
        <v>0</v>
      </c>
      <c r="F601" s="33" t="n">
        <v>0</v>
      </c>
      <c r="G601" s="131"/>
      <c r="H601" s="35" t="n">
        <v>0</v>
      </c>
      <c r="I601" s="34" t="n">
        <f aca="false">+IF(E601=0,0,E601*0.03)</f>
        <v>0</v>
      </c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customFormat="false" ht="16.4" hidden="false" customHeight="false" outlineLevel="0" collapsed="false">
      <c r="A602" s="123" t="n">
        <v>45444</v>
      </c>
      <c r="B602" s="31" t="s">
        <v>7</v>
      </c>
      <c r="C602" s="129"/>
      <c r="D602" s="129"/>
      <c r="E602" s="19" t="n">
        <f aca="false">F602*0.03</f>
        <v>0</v>
      </c>
      <c r="F602" s="33" t="n">
        <v>0</v>
      </c>
      <c r="G602" s="131"/>
      <c r="H602" s="35" t="n">
        <v>0</v>
      </c>
      <c r="I602" s="34" t="n">
        <f aca="false">+IF(E602=0,0,E602*0.03)</f>
        <v>0</v>
      </c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customFormat="false" ht="16.4" hidden="false" customHeight="false" outlineLevel="0" collapsed="false">
      <c r="A603" s="123" t="n">
        <v>45444</v>
      </c>
      <c r="B603" s="31" t="s">
        <v>240</v>
      </c>
      <c r="C603" s="129"/>
      <c r="D603" s="129"/>
      <c r="E603" s="19" t="n">
        <f aca="false">F603*0.03</f>
        <v>0</v>
      </c>
      <c r="F603" s="33" t="n">
        <v>0</v>
      </c>
      <c r="G603" s="131"/>
      <c r="H603" s="35" t="n">
        <v>0</v>
      </c>
      <c r="I603" s="34" t="n">
        <f aca="false">+IF(E603=0,0,E603*0.03)</f>
        <v>0</v>
      </c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customFormat="false" ht="16.4" hidden="false" customHeight="false" outlineLevel="0" collapsed="false">
      <c r="A604" s="123" t="n">
        <v>45444</v>
      </c>
      <c r="B604" s="31" t="s">
        <v>153</v>
      </c>
      <c r="C604" s="129"/>
      <c r="D604" s="129"/>
      <c r="E604" s="19" t="n">
        <f aca="false">F604*0.03</f>
        <v>0</v>
      </c>
      <c r="F604" s="33" t="n">
        <v>0</v>
      </c>
      <c r="G604" s="131"/>
      <c r="H604" s="35" t="n">
        <v>0</v>
      </c>
      <c r="I604" s="34" t="n">
        <f aca="false">+IF(E604=0,0,E604*0.03)</f>
        <v>0</v>
      </c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customFormat="false" ht="16.4" hidden="false" customHeight="false" outlineLevel="0" collapsed="false">
      <c r="A605" s="123" t="n">
        <v>45444</v>
      </c>
      <c r="B605" s="31" t="s">
        <v>247</v>
      </c>
      <c r="C605" s="129"/>
      <c r="D605" s="129"/>
      <c r="E605" s="19" t="n">
        <f aca="false">F605*0.03</f>
        <v>0</v>
      </c>
      <c r="F605" s="33" t="n">
        <v>0</v>
      </c>
      <c r="G605" s="131"/>
      <c r="H605" s="35" t="n">
        <v>0</v>
      </c>
      <c r="I605" s="34" t="n">
        <f aca="false">+IF(E605=0,0,E605*0.03)</f>
        <v>0</v>
      </c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customFormat="false" ht="16.4" hidden="false" customHeight="false" outlineLevel="0" collapsed="false">
      <c r="A606" s="123" t="n">
        <v>45444</v>
      </c>
      <c r="B606" s="31" t="s">
        <v>246</v>
      </c>
      <c r="C606" s="129"/>
      <c r="D606" s="129"/>
      <c r="E606" s="19" t="n">
        <f aca="false">F606*0.03</f>
        <v>0</v>
      </c>
      <c r="F606" s="33" t="n">
        <v>0</v>
      </c>
      <c r="G606" s="131"/>
      <c r="H606" s="35" t="n">
        <v>0</v>
      </c>
      <c r="I606" s="34" t="n">
        <f aca="false">+IF(E606=0,0,E606*0.03)</f>
        <v>0</v>
      </c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customFormat="false" ht="16.4" hidden="false" customHeight="false" outlineLevel="0" collapsed="false">
      <c r="A607" s="123" t="n">
        <v>45444</v>
      </c>
      <c r="B607" s="31" t="s">
        <v>239</v>
      </c>
      <c r="C607" s="129"/>
      <c r="D607" s="129"/>
      <c r="E607" s="19" t="n">
        <f aca="false">F607*0.03</f>
        <v>0</v>
      </c>
      <c r="F607" s="33" t="n">
        <v>0</v>
      </c>
      <c r="G607" s="131"/>
      <c r="H607" s="35" t="n">
        <v>0</v>
      </c>
      <c r="I607" s="34" t="n">
        <f aca="false">+IF(E607=0,0,E607*0.03)</f>
        <v>0</v>
      </c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customFormat="false" ht="16.4" hidden="false" customHeight="false" outlineLevel="0" collapsed="false">
      <c r="A608" s="123" t="n">
        <v>45444</v>
      </c>
      <c r="B608" s="31" t="s">
        <v>7</v>
      </c>
      <c r="C608" s="129"/>
      <c r="D608" s="129"/>
      <c r="E608" s="19" t="n">
        <f aca="false">F608*0.03</f>
        <v>0</v>
      </c>
      <c r="F608" s="33" t="n">
        <v>0</v>
      </c>
      <c r="G608" s="131"/>
      <c r="H608" s="35" t="n">
        <v>0</v>
      </c>
      <c r="I608" s="34" t="n">
        <f aca="false">+IF(E608=0,0,E608*0.03)</f>
        <v>0</v>
      </c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customFormat="false" ht="16.4" hidden="false" customHeight="false" outlineLevel="0" collapsed="false">
      <c r="A609" s="123" t="n">
        <v>45444</v>
      </c>
      <c r="B609" s="31" t="s">
        <v>240</v>
      </c>
      <c r="C609" s="129"/>
      <c r="D609" s="129"/>
      <c r="E609" s="19" t="n">
        <f aca="false">F609*0.03</f>
        <v>0</v>
      </c>
      <c r="F609" s="33" t="n">
        <v>0</v>
      </c>
      <c r="G609" s="131"/>
      <c r="H609" s="35" t="n">
        <v>0</v>
      </c>
      <c r="I609" s="34" t="n">
        <f aca="false">+IF(E609=0,0,E609*0.03)</f>
        <v>0</v>
      </c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customFormat="false" ht="16.4" hidden="false" customHeight="false" outlineLevel="0" collapsed="false">
      <c r="A610" s="123" t="n">
        <v>45444</v>
      </c>
      <c r="B610" s="31" t="s">
        <v>153</v>
      </c>
      <c r="C610" s="129"/>
      <c r="D610" s="129"/>
      <c r="E610" s="19" t="n">
        <f aca="false">F610*0.03</f>
        <v>0</v>
      </c>
      <c r="F610" s="33" t="n">
        <v>0</v>
      </c>
      <c r="G610" s="131"/>
      <c r="H610" s="35" t="n">
        <v>0</v>
      </c>
      <c r="I610" s="34" t="n">
        <f aca="false">+IF(E610=0,0,E610*0.03)</f>
        <v>0</v>
      </c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customFormat="false" ht="16.4" hidden="false" customHeight="false" outlineLevel="0" collapsed="false">
      <c r="A611" s="123" t="n">
        <v>45444</v>
      </c>
      <c r="B611" s="31" t="s">
        <v>247</v>
      </c>
      <c r="C611" s="129"/>
      <c r="D611" s="129"/>
      <c r="E611" s="19" t="n">
        <f aca="false">F611*0.03</f>
        <v>0</v>
      </c>
      <c r="F611" s="33" t="n">
        <v>0</v>
      </c>
      <c r="G611" s="131"/>
      <c r="H611" s="35" t="n">
        <v>0</v>
      </c>
      <c r="I611" s="34" t="n">
        <f aca="false">+IF(E611=0,0,E611*0.03)</f>
        <v>0</v>
      </c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customFormat="false" ht="16.4" hidden="false" customHeight="false" outlineLevel="0" collapsed="false">
      <c r="A612" s="123" t="n">
        <v>45444</v>
      </c>
      <c r="B612" s="31" t="s">
        <v>246</v>
      </c>
      <c r="C612" s="129"/>
      <c r="D612" s="129"/>
      <c r="E612" s="19" t="n">
        <f aca="false">F612*0.03</f>
        <v>0</v>
      </c>
      <c r="F612" s="33" t="n">
        <v>0</v>
      </c>
      <c r="G612" s="131"/>
      <c r="H612" s="35" t="n">
        <v>0</v>
      </c>
      <c r="I612" s="34" t="n">
        <f aca="false">+IF(E612=0,0,E612*0.03)</f>
        <v>0</v>
      </c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customFormat="false" ht="16.4" hidden="false" customHeight="false" outlineLevel="0" collapsed="false">
      <c r="A613" s="123" t="n">
        <v>45444</v>
      </c>
      <c r="B613" s="31" t="s">
        <v>239</v>
      </c>
      <c r="C613" s="129"/>
      <c r="D613" s="129"/>
      <c r="E613" s="19" t="n">
        <f aca="false">F613*0.03</f>
        <v>0</v>
      </c>
      <c r="F613" s="33" t="n">
        <v>0</v>
      </c>
      <c r="G613" s="131"/>
      <c r="H613" s="35" t="n">
        <v>0</v>
      </c>
      <c r="I613" s="34" t="n">
        <f aca="false">+IF(E613=0,0,E613*0.03)</f>
        <v>0</v>
      </c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customFormat="false" ht="16.4" hidden="false" customHeight="false" outlineLevel="0" collapsed="false">
      <c r="A614" s="123" t="n">
        <v>45444</v>
      </c>
      <c r="B614" s="31" t="s">
        <v>7</v>
      </c>
      <c r="C614" s="129"/>
      <c r="D614" s="129"/>
      <c r="E614" s="19" t="n">
        <f aca="false">F614*0.03</f>
        <v>0</v>
      </c>
      <c r="F614" s="33" t="n">
        <v>0</v>
      </c>
      <c r="G614" s="131"/>
      <c r="H614" s="35" t="n">
        <v>0</v>
      </c>
      <c r="I614" s="34" t="n">
        <f aca="false">+IF(E614=0,0,E614*0.03)</f>
        <v>0</v>
      </c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customFormat="false" ht="16.4" hidden="false" customHeight="false" outlineLevel="0" collapsed="false">
      <c r="A615" s="123" t="n">
        <v>45444</v>
      </c>
      <c r="B615" s="31" t="s">
        <v>240</v>
      </c>
      <c r="C615" s="129"/>
      <c r="D615" s="129"/>
      <c r="E615" s="19" t="n">
        <f aca="false">F615*0.03</f>
        <v>0</v>
      </c>
      <c r="F615" s="33" t="n">
        <v>0</v>
      </c>
      <c r="G615" s="131"/>
      <c r="H615" s="35" t="n">
        <v>0</v>
      </c>
      <c r="I615" s="34" t="n">
        <f aca="false">+IF(E615=0,0,E615*0.03)</f>
        <v>0</v>
      </c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customFormat="false" ht="16.4" hidden="false" customHeight="false" outlineLevel="0" collapsed="false">
      <c r="A616" s="123" t="n">
        <v>45444</v>
      </c>
      <c r="B616" s="31" t="s">
        <v>153</v>
      </c>
      <c r="C616" s="129"/>
      <c r="D616" s="129"/>
      <c r="E616" s="19" t="n">
        <f aca="false">F616*0.03</f>
        <v>0</v>
      </c>
      <c r="F616" s="33" t="n">
        <v>0</v>
      </c>
      <c r="G616" s="131"/>
      <c r="H616" s="35" t="n">
        <v>0</v>
      </c>
      <c r="I616" s="34" t="n">
        <f aca="false">+IF(E616=0,0,E616*0.03)</f>
        <v>0</v>
      </c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customFormat="false" ht="16.4" hidden="false" customHeight="false" outlineLevel="0" collapsed="false">
      <c r="A617" s="123" t="n">
        <v>45444</v>
      </c>
      <c r="B617" s="31" t="s">
        <v>247</v>
      </c>
      <c r="C617" s="129"/>
      <c r="D617" s="129"/>
      <c r="E617" s="19" t="n">
        <f aca="false">F617*0.03</f>
        <v>0</v>
      </c>
      <c r="F617" s="33" t="n">
        <v>0</v>
      </c>
      <c r="G617" s="131"/>
      <c r="H617" s="35" t="n">
        <v>0</v>
      </c>
      <c r="I617" s="34" t="n">
        <f aca="false">+IF(E617=0,0,E617*0.03)</f>
        <v>0</v>
      </c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customFormat="false" ht="16.4" hidden="false" customHeight="false" outlineLevel="0" collapsed="false">
      <c r="A618" s="123" t="n">
        <v>45444</v>
      </c>
      <c r="B618" s="31" t="s">
        <v>246</v>
      </c>
      <c r="C618" s="129"/>
      <c r="D618" s="129"/>
      <c r="E618" s="19" t="n">
        <f aca="false">F618*0.03</f>
        <v>0</v>
      </c>
      <c r="F618" s="33" t="n">
        <v>0</v>
      </c>
      <c r="G618" s="131"/>
      <c r="H618" s="35" t="n">
        <v>0</v>
      </c>
      <c r="I618" s="34" t="n">
        <f aca="false">+IF(E618=0,0,E618*0.03)</f>
        <v>0</v>
      </c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customFormat="false" ht="16.4" hidden="false" customHeight="false" outlineLevel="0" collapsed="false">
      <c r="A619" s="123" t="n">
        <v>45444</v>
      </c>
      <c r="B619" s="31" t="s">
        <v>239</v>
      </c>
      <c r="C619" s="129"/>
      <c r="D619" s="129"/>
      <c r="E619" s="19" t="n">
        <f aca="false">F619*0.03</f>
        <v>0</v>
      </c>
      <c r="F619" s="33" t="n">
        <v>0</v>
      </c>
      <c r="G619" s="131"/>
      <c r="H619" s="35" t="n">
        <v>0</v>
      </c>
      <c r="I619" s="34" t="n">
        <f aca="false">+IF(E619=0,0,E619*0.03)</f>
        <v>0</v>
      </c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customFormat="false" ht="16.4" hidden="false" customHeight="false" outlineLevel="0" collapsed="false">
      <c r="A620" s="123" t="n">
        <v>45444</v>
      </c>
      <c r="B620" s="31" t="s">
        <v>7</v>
      </c>
      <c r="C620" s="129"/>
      <c r="D620" s="129"/>
      <c r="E620" s="19" t="n">
        <f aca="false">F620*0.03</f>
        <v>0</v>
      </c>
      <c r="F620" s="33" t="n">
        <v>0</v>
      </c>
      <c r="G620" s="131"/>
      <c r="H620" s="35" t="n">
        <v>0</v>
      </c>
      <c r="I620" s="34" t="n">
        <f aca="false">+IF(E620=0,0,E620*0.03)</f>
        <v>0</v>
      </c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customFormat="false" ht="16.4" hidden="false" customHeight="false" outlineLevel="0" collapsed="false">
      <c r="A621" s="123" t="n">
        <v>45444</v>
      </c>
      <c r="B621" s="31" t="s">
        <v>240</v>
      </c>
      <c r="C621" s="129"/>
      <c r="D621" s="129"/>
      <c r="E621" s="19" t="n">
        <f aca="false">F621*0.03</f>
        <v>0</v>
      </c>
      <c r="F621" s="33" t="n">
        <v>0</v>
      </c>
      <c r="G621" s="131"/>
      <c r="H621" s="35" t="n">
        <v>0</v>
      </c>
      <c r="I621" s="34" t="n">
        <f aca="false">+IF(E621=0,0,E621*0.03)</f>
        <v>0</v>
      </c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customFormat="false" ht="16.4" hidden="false" customHeight="false" outlineLevel="0" collapsed="false">
      <c r="A622" s="123" t="n">
        <v>45444</v>
      </c>
      <c r="B622" s="31" t="s">
        <v>153</v>
      </c>
      <c r="C622" s="129"/>
      <c r="D622" s="129"/>
      <c r="E622" s="19" t="n">
        <f aca="false">F622*0.03</f>
        <v>0</v>
      </c>
      <c r="F622" s="33" t="n">
        <v>0</v>
      </c>
      <c r="G622" s="131"/>
      <c r="H622" s="35" t="n">
        <v>0</v>
      </c>
      <c r="I622" s="34" t="n">
        <f aca="false">+IF(E622=0,0,E622*0.03)</f>
        <v>0</v>
      </c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customFormat="false" ht="16.4" hidden="false" customHeight="false" outlineLevel="0" collapsed="false">
      <c r="A623" s="123" t="n">
        <v>45444</v>
      </c>
      <c r="B623" s="31" t="s">
        <v>247</v>
      </c>
      <c r="C623" s="129"/>
      <c r="D623" s="129"/>
      <c r="E623" s="19" t="n">
        <f aca="false">F623*0.03</f>
        <v>0</v>
      </c>
      <c r="F623" s="33" t="n">
        <v>0</v>
      </c>
      <c r="G623" s="131"/>
      <c r="H623" s="35" t="n">
        <v>0</v>
      </c>
      <c r="I623" s="34" t="n">
        <f aca="false">+IF(E623=0,0,E623*0.03)</f>
        <v>0</v>
      </c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customFormat="false" ht="16.4" hidden="false" customHeight="false" outlineLevel="0" collapsed="false">
      <c r="A624" s="123" t="n">
        <v>45444</v>
      </c>
      <c r="B624" s="31" t="s">
        <v>246</v>
      </c>
      <c r="C624" s="129"/>
      <c r="D624" s="129"/>
      <c r="E624" s="19" t="n">
        <f aca="false">F624*0.03</f>
        <v>0</v>
      </c>
      <c r="F624" s="33" t="n">
        <v>0</v>
      </c>
      <c r="G624" s="131"/>
      <c r="H624" s="35" t="n">
        <v>0</v>
      </c>
      <c r="I624" s="34" t="n">
        <f aca="false">+IF(E624=0,0,E624*0.03)</f>
        <v>0</v>
      </c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customFormat="false" ht="16.4" hidden="false" customHeight="false" outlineLevel="0" collapsed="false">
      <c r="A625" s="123" t="n">
        <v>45444</v>
      </c>
      <c r="B625" s="31" t="s">
        <v>239</v>
      </c>
      <c r="C625" s="129"/>
      <c r="D625" s="129"/>
      <c r="E625" s="19" t="n">
        <f aca="false">F625*0.03</f>
        <v>0</v>
      </c>
      <c r="F625" s="33" t="n">
        <v>0</v>
      </c>
      <c r="G625" s="131"/>
      <c r="H625" s="35" t="n">
        <v>0</v>
      </c>
      <c r="I625" s="34" t="n">
        <f aca="false">+IF(E625=0,0,E625*0.03)</f>
        <v>0</v>
      </c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customFormat="false" ht="16.4" hidden="false" customHeight="false" outlineLevel="0" collapsed="false">
      <c r="A626" s="123" t="n">
        <v>45444</v>
      </c>
      <c r="B626" s="31" t="s">
        <v>7</v>
      </c>
      <c r="C626" s="129"/>
      <c r="D626" s="129"/>
      <c r="E626" s="19" t="n">
        <f aca="false">F626*0.03</f>
        <v>0</v>
      </c>
      <c r="F626" s="33" t="n">
        <v>0</v>
      </c>
      <c r="G626" s="131"/>
      <c r="H626" s="35" t="n">
        <v>0</v>
      </c>
      <c r="I626" s="34" t="n">
        <f aca="false">+IF(E626=0,0,E626*0.03)</f>
        <v>0</v>
      </c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customFormat="false" ht="16.4" hidden="false" customHeight="false" outlineLevel="0" collapsed="false">
      <c r="A627" s="123" t="n">
        <v>45444</v>
      </c>
      <c r="B627" s="31" t="s">
        <v>240</v>
      </c>
      <c r="C627" s="129"/>
      <c r="D627" s="129"/>
      <c r="E627" s="19" t="n">
        <f aca="false">F627*0.03</f>
        <v>0</v>
      </c>
      <c r="F627" s="33" t="n">
        <v>0</v>
      </c>
      <c r="G627" s="131"/>
      <c r="H627" s="35" t="n">
        <v>0</v>
      </c>
      <c r="I627" s="34" t="n">
        <f aca="false">+IF(E627=0,0,E627*0.03)</f>
        <v>0</v>
      </c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customFormat="false" ht="16.4" hidden="false" customHeight="false" outlineLevel="0" collapsed="false">
      <c r="A628" s="123" t="n">
        <v>45444</v>
      </c>
      <c r="B628" s="31" t="s">
        <v>153</v>
      </c>
      <c r="C628" s="129"/>
      <c r="D628" s="129"/>
      <c r="E628" s="19" t="n">
        <f aca="false">F628*0.03</f>
        <v>0</v>
      </c>
      <c r="F628" s="33" t="n">
        <v>0</v>
      </c>
      <c r="G628" s="131"/>
      <c r="H628" s="35" t="n">
        <v>0</v>
      </c>
      <c r="I628" s="34" t="n">
        <f aca="false">+IF(E628=0,0,E628*0.03)</f>
        <v>0</v>
      </c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customFormat="false" ht="16.4" hidden="false" customHeight="false" outlineLevel="0" collapsed="false">
      <c r="A629" s="123" t="n">
        <v>45444</v>
      </c>
      <c r="B629" s="31" t="s">
        <v>247</v>
      </c>
      <c r="C629" s="129"/>
      <c r="D629" s="129"/>
      <c r="E629" s="19" t="n">
        <f aca="false">F629*0.03</f>
        <v>0</v>
      </c>
      <c r="F629" s="33" t="n">
        <v>0</v>
      </c>
      <c r="G629" s="131"/>
      <c r="H629" s="35" t="n">
        <v>0</v>
      </c>
      <c r="I629" s="34" t="n">
        <f aca="false">+IF(E629=0,0,E629*0.03)</f>
        <v>0</v>
      </c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customFormat="false" ht="16.4" hidden="false" customHeight="false" outlineLevel="0" collapsed="false">
      <c r="A630" s="123" t="n">
        <v>45444</v>
      </c>
      <c r="B630" s="31" t="s">
        <v>246</v>
      </c>
      <c r="C630" s="129"/>
      <c r="D630" s="129"/>
      <c r="E630" s="19" t="n">
        <f aca="false">F630*0.03</f>
        <v>0</v>
      </c>
      <c r="F630" s="33" t="n">
        <v>0</v>
      </c>
      <c r="G630" s="131"/>
      <c r="H630" s="35" t="n">
        <v>0</v>
      </c>
      <c r="I630" s="34" t="n">
        <f aca="false">+IF(E630=0,0,E630*0.03)</f>
        <v>0</v>
      </c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customFormat="false" ht="16.4" hidden="false" customHeight="false" outlineLevel="0" collapsed="false">
      <c r="A631" s="123" t="n">
        <v>45444</v>
      </c>
      <c r="B631" s="31" t="s">
        <v>239</v>
      </c>
      <c r="C631" s="129"/>
      <c r="D631" s="129"/>
      <c r="E631" s="19" t="n">
        <f aca="false">F631*0.03</f>
        <v>0</v>
      </c>
      <c r="F631" s="33" t="n">
        <v>0</v>
      </c>
      <c r="G631" s="131"/>
      <c r="H631" s="35" t="n">
        <v>0</v>
      </c>
      <c r="I631" s="34" t="n">
        <f aca="false">+IF(E631=0,0,E631*0.03)</f>
        <v>0</v>
      </c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customFormat="false" ht="16.4" hidden="false" customHeight="false" outlineLevel="0" collapsed="false">
      <c r="A632" s="123" t="n">
        <v>45444</v>
      </c>
      <c r="B632" s="31" t="s">
        <v>7</v>
      </c>
      <c r="C632" s="129"/>
      <c r="D632" s="129"/>
      <c r="E632" s="19" t="n">
        <f aca="false">F632*0.03</f>
        <v>0</v>
      </c>
      <c r="F632" s="33" t="n">
        <v>0</v>
      </c>
      <c r="G632" s="131"/>
      <c r="H632" s="35" t="n">
        <v>0</v>
      </c>
      <c r="I632" s="34" t="n">
        <f aca="false">+IF(E632=0,0,E632*0.03)</f>
        <v>0</v>
      </c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customFormat="false" ht="16.4" hidden="false" customHeight="false" outlineLevel="0" collapsed="false">
      <c r="A633" s="123" t="n">
        <v>45444</v>
      </c>
      <c r="B633" s="31" t="s">
        <v>240</v>
      </c>
      <c r="C633" s="129"/>
      <c r="D633" s="129"/>
      <c r="E633" s="19" t="n">
        <f aca="false">F633*0.03</f>
        <v>0</v>
      </c>
      <c r="F633" s="33" t="n">
        <v>0</v>
      </c>
      <c r="G633" s="131"/>
      <c r="H633" s="35" t="n">
        <v>0</v>
      </c>
      <c r="I633" s="34" t="n">
        <f aca="false">+IF(E633=0,0,E633*0.03)</f>
        <v>0</v>
      </c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customFormat="false" ht="16.4" hidden="false" customHeight="false" outlineLevel="0" collapsed="false">
      <c r="A634" s="123" t="n">
        <v>45444</v>
      </c>
      <c r="B634" s="31" t="s">
        <v>153</v>
      </c>
      <c r="C634" s="129"/>
      <c r="D634" s="129"/>
      <c r="E634" s="19" t="n">
        <f aca="false">F634*0.03</f>
        <v>0</v>
      </c>
      <c r="F634" s="33" t="n">
        <v>0</v>
      </c>
      <c r="G634" s="131"/>
      <c r="H634" s="35" t="n">
        <v>0</v>
      </c>
      <c r="I634" s="34" t="n">
        <f aca="false">+IF(E634=0,0,E634*0.03)</f>
        <v>0</v>
      </c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customFormat="false" ht="16.4" hidden="false" customHeight="false" outlineLevel="0" collapsed="false">
      <c r="A635" s="123" t="n">
        <v>45444</v>
      </c>
      <c r="B635" s="31" t="s">
        <v>247</v>
      </c>
      <c r="C635" s="129"/>
      <c r="D635" s="129"/>
      <c r="E635" s="19" t="n">
        <f aca="false">F635*0.03</f>
        <v>0</v>
      </c>
      <c r="F635" s="33" t="n">
        <v>0</v>
      </c>
      <c r="G635" s="131"/>
      <c r="H635" s="35" t="n">
        <v>0</v>
      </c>
      <c r="I635" s="34" t="n">
        <f aca="false">+IF(E635=0,0,E635*0.03)</f>
        <v>0</v>
      </c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customFormat="false" ht="16.4" hidden="false" customHeight="false" outlineLevel="0" collapsed="false">
      <c r="A636" s="123" t="n">
        <v>45444</v>
      </c>
      <c r="B636" s="31" t="s">
        <v>246</v>
      </c>
      <c r="C636" s="129"/>
      <c r="D636" s="129"/>
      <c r="E636" s="19" t="n">
        <f aca="false">F636*0.03</f>
        <v>0</v>
      </c>
      <c r="F636" s="33" t="n">
        <v>0</v>
      </c>
      <c r="G636" s="131"/>
      <c r="H636" s="35" t="n">
        <v>0</v>
      </c>
      <c r="I636" s="34" t="n">
        <f aca="false">+IF(E636=0,0,E636*0.03)</f>
        <v>0</v>
      </c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customFormat="false" ht="16.4" hidden="false" customHeight="false" outlineLevel="0" collapsed="false">
      <c r="A637" s="123" t="n">
        <v>45444</v>
      </c>
      <c r="B637" s="31" t="s">
        <v>239</v>
      </c>
      <c r="C637" s="129"/>
      <c r="D637" s="129"/>
      <c r="E637" s="19" t="n">
        <f aca="false">F637*0.03</f>
        <v>0</v>
      </c>
      <c r="F637" s="33" t="n">
        <v>0</v>
      </c>
      <c r="G637" s="131"/>
      <c r="H637" s="35" t="n">
        <v>0</v>
      </c>
      <c r="I637" s="34" t="n">
        <f aca="false">+IF(E637=0,0,E637*0.03)</f>
        <v>0</v>
      </c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customFormat="false" ht="16.4" hidden="false" customHeight="false" outlineLevel="0" collapsed="false">
      <c r="A638" s="123" t="n">
        <v>45444</v>
      </c>
      <c r="B638" s="31" t="s">
        <v>7</v>
      </c>
      <c r="C638" s="129"/>
      <c r="D638" s="129"/>
      <c r="E638" s="19" t="n">
        <f aca="false">F638*0.03</f>
        <v>0</v>
      </c>
      <c r="F638" s="33" t="n">
        <v>0</v>
      </c>
      <c r="G638" s="131"/>
      <c r="H638" s="35" t="n">
        <v>0</v>
      </c>
      <c r="I638" s="34" t="n">
        <f aca="false">+IF(E638=0,0,E638*0.03)</f>
        <v>0</v>
      </c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customFormat="false" ht="16.4" hidden="false" customHeight="false" outlineLevel="0" collapsed="false">
      <c r="A639" s="123" t="n">
        <v>45444</v>
      </c>
      <c r="B639" s="31" t="s">
        <v>240</v>
      </c>
      <c r="C639" s="129"/>
      <c r="D639" s="129"/>
      <c r="E639" s="19" t="n">
        <f aca="false">F639*0.03</f>
        <v>0</v>
      </c>
      <c r="F639" s="33" t="n">
        <v>0</v>
      </c>
      <c r="G639" s="131"/>
      <c r="H639" s="35" t="n">
        <v>0</v>
      </c>
      <c r="I639" s="34" t="n">
        <f aca="false">+IF(E639=0,0,E639*0.03)</f>
        <v>0</v>
      </c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customFormat="false" ht="16.4" hidden="false" customHeight="false" outlineLevel="0" collapsed="false">
      <c r="A640" s="123" t="n">
        <v>45444</v>
      </c>
      <c r="B640" s="31" t="s">
        <v>153</v>
      </c>
      <c r="C640" s="129"/>
      <c r="D640" s="129"/>
      <c r="E640" s="19" t="n">
        <f aca="false">F640*0.03</f>
        <v>0</v>
      </c>
      <c r="F640" s="33" t="n">
        <v>0</v>
      </c>
      <c r="G640" s="131"/>
      <c r="H640" s="35" t="n">
        <v>0</v>
      </c>
      <c r="I640" s="34" t="n">
        <f aca="false">+IF(E640=0,0,E640*0.03)</f>
        <v>0</v>
      </c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customFormat="false" ht="16.4" hidden="false" customHeight="false" outlineLevel="0" collapsed="false">
      <c r="A641" s="123" t="n">
        <v>45444</v>
      </c>
      <c r="B641" s="31" t="s">
        <v>247</v>
      </c>
      <c r="C641" s="129"/>
      <c r="D641" s="129"/>
      <c r="E641" s="19" t="n">
        <f aca="false">F641*0.03</f>
        <v>0</v>
      </c>
      <c r="F641" s="33" t="n">
        <v>0</v>
      </c>
      <c r="G641" s="131"/>
      <c r="H641" s="35" t="n">
        <v>0</v>
      </c>
      <c r="I641" s="34" t="n">
        <f aca="false">+IF(E641=0,0,E641*0.03)</f>
        <v>0</v>
      </c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customFormat="false" ht="16.4" hidden="false" customHeight="false" outlineLevel="0" collapsed="false">
      <c r="A642" s="123" t="n">
        <v>45444</v>
      </c>
      <c r="B642" s="31" t="s">
        <v>246</v>
      </c>
      <c r="C642" s="129"/>
      <c r="D642" s="129"/>
      <c r="E642" s="19" t="n">
        <f aca="false">F642*0.03</f>
        <v>0</v>
      </c>
      <c r="F642" s="33" t="n">
        <v>0</v>
      </c>
      <c r="G642" s="131"/>
      <c r="H642" s="35" t="n">
        <v>0</v>
      </c>
      <c r="I642" s="34" t="n">
        <f aca="false">+IF(E642=0,0,E642*0.03)</f>
        <v>0</v>
      </c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customFormat="false" ht="16.4" hidden="false" customHeight="false" outlineLevel="0" collapsed="false">
      <c r="A643" s="123" t="n">
        <v>45444</v>
      </c>
      <c r="B643" s="31" t="s">
        <v>239</v>
      </c>
      <c r="C643" s="129"/>
      <c r="D643" s="129"/>
      <c r="E643" s="19" t="n">
        <f aca="false">F643*0.03</f>
        <v>0</v>
      </c>
      <c r="F643" s="33" t="n">
        <v>0</v>
      </c>
      <c r="G643" s="131"/>
      <c r="H643" s="35" t="n">
        <v>0</v>
      </c>
      <c r="I643" s="34" t="n">
        <f aca="false">+IF(E643=0,0,E643*0.03)</f>
        <v>0</v>
      </c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customFormat="false" ht="16.4" hidden="false" customHeight="false" outlineLevel="0" collapsed="false">
      <c r="A644" s="123" t="n">
        <v>45444</v>
      </c>
      <c r="B644" s="31" t="s">
        <v>7</v>
      </c>
      <c r="C644" s="129"/>
      <c r="D644" s="129"/>
      <c r="E644" s="19" t="n">
        <f aca="false">F644*0.03</f>
        <v>0</v>
      </c>
      <c r="F644" s="33" t="n">
        <v>0</v>
      </c>
      <c r="G644" s="131"/>
      <c r="H644" s="35" t="n">
        <v>0</v>
      </c>
      <c r="I644" s="34" t="n">
        <f aca="false">+IF(E644=0,0,E644*0.03)</f>
        <v>0</v>
      </c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customFormat="false" ht="16.4" hidden="false" customHeight="false" outlineLevel="0" collapsed="false">
      <c r="A645" s="123" t="n">
        <v>45444</v>
      </c>
      <c r="B645" s="31" t="s">
        <v>240</v>
      </c>
      <c r="C645" s="129"/>
      <c r="D645" s="129"/>
      <c r="E645" s="19" t="n">
        <f aca="false">F645*0.03</f>
        <v>0</v>
      </c>
      <c r="F645" s="33" t="n">
        <v>0</v>
      </c>
      <c r="G645" s="131"/>
      <c r="H645" s="35" t="n">
        <v>0</v>
      </c>
      <c r="I645" s="34" t="n">
        <f aca="false">+IF(E645=0,0,E645*0.03)</f>
        <v>0</v>
      </c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customFormat="false" ht="16.4" hidden="false" customHeight="false" outlineLevel="0" collapsed="false">
      <c r="A646" s="123" t="n">
        <v>45444</v>
      </c>
      <c r="B646" s="31" t="s">
        <v>153</v>
      </c>
      <c r="C646" s="129"/>
      <c r="D646" s="129"/>
      <c r="E646" s="19" t="n">
        <f aca="false">F646*0.03</f>
        <v>0</v>
      </c>
      <c r="F646" s="33" t="n">
        <v>0</v>
      </c>
      <c r="G646" s="131"/>
      <c r="H646" s="35" t="n">
        <v>0</v>
      </c>
      <c r="I646" s="34" t="n">
        <f aca="false">+IF(E646=0,0,E646*0.03)</f>
        <v>0</v>
      </c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customFormat="false" ht="16.4" hidden="false" customHeight="false" outlineLevel="0" collapsed="false">
      <c r="A647" s="123" t="n">
        <v>45444</v>
      </c>
      <c r="B647" s="31" t="s">
        <v>247</v>
      </c>
      <c r="C647" s="129"/>
      <c r="D647" s="129"/>
      <c r="E647" s="19" t="n">
        <f aca="false">F647*0.03</f>
        <v>0</v>
      </c>
      <c r="F647" s="33" t="n">
        <v>0</v>
      </c>
      <c r="G647" s="131"/>
      <c r="H647" s="35" t="n">
        <v>0</v>
      </c>
      <c r="I647" s="34" t="n">
        <f aca="false">+IF(E647=0,0,E647*0.03)</f>
        <v>0</v>
      </c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customFormat="false" ht="16.4" hidden="false" customHeight="false" outlineLevel="0" collapsed="false">
      <c r="A648" s="123" t="n">
        <v>45444</v>
      </c>
      <c r="B648" s="31" t="s">
        <v>246</v>
      </c>
      <c r="C648" s="129"/>
      <c r="D648" s="129"/>
      <c r="E648" s="19" t="n">
        <f aca="false">F648*0.03</f>
        <v>0</v>
      </c>
      <c r="F648" s="33" t="n">
        <v>0</v>
      </c>
      <c r="G648" s="131"/>
      <c r="H648" s="35" t="n">
        <v>0</v>
      </c>
      <c r="I648" s="34" t="n">
        <f aca="false">+IF(E648=0,0,E648*0.03)</f>
        <v>0</v>
      </c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customFormat="false" ht="16.4" hidden="false" customHeight="false" outlineLevel="0" collapsed="false">
      <c r="A649" s="123" t="n">
        <v>45444</v>
      </c>
      <c r="B649" s="31" t="s">
        <v>239</v>
      </c>
      <c r="C649" s="129"/>
      <c r="D649" s="129"/>
      <c r="E649" s="19" t="n">
        <f aca="false">F649*0.03</f>
        <v>0</v>
      </c>
      <c r="F649" s="33" t="n">
        <v>0</v>
      </c>
      <c r="G649" s="131"/>
      <c r="H649" s="35" t="n">
        <v>0</v>
      </c>
      <c r="I649" s="34" t="n">
        <f aca="false">+IF(E649=0,0,E649*0.03)</f>
        <v>0</v>
      </c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customFormat="false" ht="16.4" hidden="false" customHeight="false" outlineLevel="0" collapsed="false">
      <c r="A650" s="123" t="n">
        <v>45444</v>
      </c>
      <c r="B650" s="31" t="s">
        <v>7</v>
      </c>
      <c r="C650" s="129"/>
      <c r="D650" s="129"/>
      <c r="E650" s="19" t="n">
        <f aca="false">F650*0.03</f>
        <v>0</v>
      </c>
      <c r="F650" s="33" t="n">
        <v>0</v>
      </c>
      <c r="G650" s="131"/>
      <c r="H650" s="35" t="n">
        <v>0</v>
      </c>
      <c r="I650" s="34" t="n">
        <f aca="false">+IF(E650=0,0,E650*0.03)</f>
        <v>0</v>
      </c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customFormat="false" ht="16.4" hidden="false" customHeight="false" outlineLevel="0" collapsed="false">
      <c r="A651" s="123" t="n">
        <v>45444</v>
      </c>
      <c r="B651" s="31" t="s">
        <v>240</v>
      </c>
      <c r="C651" s="129"/>
      <c r="D651" s="129"/>
      <c r="E651" s="19" t="n">
        <f aca="false">F651*0.03</f>
        <v>0</v>
      </c>
      <c r="F651" s="33" t="n">
        <v>0</v>
      </c>
      <c r="G651" s="131"/>
      <c r="H651" s="35" t="n">
        <v>0</v>
      </c>
      <c r="I651" s="34" t="n">
        <f aca="false">+IF(E651=0,0,E651*0.03)</f>
        <v>0</v>
      </c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customFormat="false" ht="16.4" hidden="false" customHeight="false" outlineLevel="0" collapsed="false">
      <c r="A652" s="123" t="n">
        <v>45444</v>
      </c>
      <c r="B652" s="31" t="s">
        <v>153</v>
      </c>
      <c r="C652" s="129"/>
      <c r="D652" s="129"/>
      <c r="E652" s="19" t="n">
        <f aca="false">F652*0.03</f>
        <v>0</v>
      </c>
      <c r="F652" s="33" t="n">
        <v>0</v>
      </c>
      <c r="G652" s="131"/>
      <c r="H652" s="35" t="n">
        <v>0</v>
      </c>
      <c r="I652" s="34" t="n">
        <f aca="false">+IF(E652=0,0,E652*0.03)</f>
        <v>0</v>
      </c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customFormat="false" ht="16.4" hidden="false" customHeight="false" outlineLevel="0" collapsed="false">
      <c r="A653" s="123" t="n">
        <v>45444</v>
      </c>
      <c r="B653" s="31" t="s">
        <v>247</v>
      </c>
      <c r="C653" s="129"/>
      <c r="D653" s="129"/>
      <c r="E653" s="19" t="n">
        <f aca="false">F653*0.03</f>
        <v>0</v>
      </c>
      <c r="F653" s="33" t="n">
        <v>0</v>
      </c>
      <c r="G653" s="131"/>
      <c r="H653" s="35" t="n">
        <v>0</v>
      </c>
      <c r="I653" s="34" t="n">
        <f aca="false">+IF(E653=0,0,E653*0.03)</f>
        <v>0</v>
      </c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customFormat="false" ht="16.4" hidden="false" customHeight="false" outlineLevel="0" collapsed="false">
      <c r="A654" s="123" t="n">
        <v>45444</v>
      </c>
      <c r="B654" s="31" t="s">
        <v>246</v>
      </c>
      <c r="C654" s="129"/>
      <c r="D654" s="129"/>
      <c r="E654" s="19" t="n">
        <f aca="false">F654*0.03</f>
        <v>0</v>
      </c>
      <c r="F654" s="33" t="n">
        <v>0</v>
      </c>
      <c r="G654" s="131"/>
      <c r="H654" s="35" t="n">
        <v>0</v>
      </c>
      <c r="I654" s="34" t="n">
        <f aca="false">+IF(E654=0,0,E654*0.03)</f>
        <v>0</v>
      </c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customFormat="false" ht="16.4" hidden="false" customHeight="false" outlineLevel="0" collapsed="false">
      <c r="A655" s="123" t="n">
        <v>45444</v>
      </c>
      <c r="B655" s="31" t="s">
        <v>239</v>
      </c>
      <c r="C655" s="129"/>
      <c r="D655" s="129"/>
      <c r="E655" s="19" t="n">
        <f aca="false">F655*0.03</f>
        <v>0</v>
      </c>
      <c r="F655" s="33" t="n">
        <v>0</v>
      </c>
      <c r="G655" s="131"/>
      <c r="H655" s="35" t="n">
        <v>0</v>
      </c>
      <c r="I655" s="34" t="n">
        <f aca="false">+IF(E655=0,0,E655*0.03)</f>
        <v>0</v>
      </c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customFormat="false" ht="16.4" hidden="false" customHeight="false" outlineLevel="0" collapsed="false">
      <c r="A656" s="123" t="n">
        <v>45444</v>
      </c>
      <c r="B656" s="31" t="s">
        <v>7</v>
      </c>
      <c r="C656" s="129"/>
      <c r="D656" s="129"/>
      <c r="E656" s="19" t="n">
        <f aca="false">F656*0.03</f>
        <v>0</v>
      </c>
      <c r="F656" s="33" t="n">
        <v>0</v>
      </c>
      <c r="G656" s="131"/>
      <c r="H656" s="35" t="n">
        <v>0</v>
      </c>
      <c r="I656" s="34" t="n">
        <f aca="false">+IF(E656=0,0,E656*0.03)</f>
        <v>0</v>
      </c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customFormat="false" ht="16.4" hidden="false" customHeight="false" outlineLevel="0" collapsed="false">
      <c r="A657" s="123" t="n">
        <v>45444</v>
      </c>
      <c r="B657" s="31" t="s">
        <v>240</v>
      </c>
      <c r="C657" s="129"/>
      <c r="D657" s="129"/>
      <c r="E657" s="19" t="n">
        <f aca="false">F657*0.03</f>
        <v>0</v>
      </c>
      <c r="F657" s="33" t="n">
        <v>0</v>
      </c>
      <c r="G657" s="131"/>
      <c r="H657" s="35" t="n">
        <v>0</v>
      </c>
      <c r="I657" s="34" t="n">
        <f aca="false">+IF(E657=0,0,E657*0.03)</f>
        <v>0</v>
      </c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customFormat="false" ht="16.4" hidden="false" customHeight="false" outlineLevel="0" collapsed="false">
      <c r="A658" s="123" t="n">
        <v>45444</v>
      </c>
      <c r="B658" s="31" t="s">
        <v>153</v>
      </c>
      <c r="C658" s="129"/>
      <c r="D658" s="129"/>
      <c r="E658" s="19" t="n">
        <f aca="false">F658*0.03</f>
        <v>0</v>
      </c>
      <c r="F658" s="33" t="n">
        <v>0</v>
      </c>
      <c r="G658" s="131"/>
      <c r="H658" s="35" t="n">
        <v>0</v>
      </c>
      <c r="I658" s="34" t="n">
        <f aca="false">+IF(E658=0,0,E658*0.03)</f>
        <v>0</v>
      </c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customFormat="false" ht="16.4" hidden="false" customHeight="false" outlineLevel="0" collapsed="false">
      <c r="A659" s="123" t="n">
        <v>45444</v>
      </c>
      <c r="B659" s="31" t="s">
        <v>247</v>
      </c>
      <c r="C659" s="129"/>
      <c r="D659" s="129"/>
      <c r="E659" s="19" t="n">
        <f aca="false">F659*0.03</f>
        <v>0</v>
      </c>
      <c r="F659" s="33" t="n">
        <v>0</v>
      </c>
      <c r="G659" s="131"/>
      <c r="H659" s="35" t="n">
        <v>0</v>
      </c>
      <c r="I659" s="34" t="n">
        <f aca="false">+IF(E659=0,0,E659*0.03)</f>
        <v>0</v>
      </c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customFormat="false" ht="16.4" hidden="false" customHeight="false" outlineLevel="0" collapsed="false">
      <c r="A660" s="123" t="n">
        <v>45444</v>
      </c>
      <c r="B660" s="31" t="s">
        <v>246</v>
      </c>
      <c r="C660" s="129"/>
      <c r="D660" s="129"/>
      <c r="E660" s="19" t="n">
        <f aca="false">F660*0.03</f>
        <v>0</v>
      </c>
      <c r="F660" s="33" t="n">
        <v>0</v>
      </c>
      <c r="G660" s="131"/>
      <c r="H660" s="35" t="n">
        <v>0</v>
      </c>
      <c r="I660" s="34" t="n">
        <f aca="false">+IF(E660=0,0,E660*0.03)</f>
        <v>0</v>
      </c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customFormat="false" ht="16.4" hidden="false" customHeight="false" outlineLevel="0" collapsed="false">
      <c r="A661" s="123" t="n">
        <v>45444</v>
      </c>
      <c r="B661" s="31" t="s">
        <v>239</v>
      </c>
      <c r="C661" s="129"/>
      <c r="D661" s="129"/>
      <c r="E661" s="19" t="n">
        <f aca="false">F661*0.03</f>
        <v>0</v>
      </c>
      <c r="F661" s="33" t="n">
        <v>0</v>
      </c>
      <c r="G661" s="131"/>
      <c r="H661" s="35" t="n">
        <v>0</v>
      </c>
      <c r="I661" s="34" t="n">
        <f aca="false">+IF(E661=0,0,E661*0.03)</f>
        <v>0</v>
      </c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customFormat="false" ht="16.4" hidden="false" customHeight="false" outlineLevel="0" collapsed="false">
      <c r="A662" s="123" t="n">
        <v>45444</v>
      </c>
      <c r="B662" s="31" t="s">
        <v>7</v>
      </c>
      <c r="C662" s="129"/>
      <c r="D662" s="129"/>
      <c r="E662" s="19" t="n">
        <f aca="false">F662*0.03</f>
        <v>0</v>
      </c>
      <c r="F662" s="33" t="n">
        <v>0</v>
      </c>
      <c r="G662" s="131"/>
      <c r="H662" s="35" t="n">
        <v>0</v>
      </c>
      <c r="I662" s="34" t="n">
        <f aca="false">+IF(E662=0,0,E662*0.03)</f>
        <v>0</v>
      </c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customFormat="false" ht="16.4" hidden="false" customHeight="false" outlineLevel="0" collapsed="false">
      <c r="A663" s="123" t="n">
        <v>45444</v>
      </c>
      <c r="B663" s="31" t="s">
        <v>240</v>
      </c>
      <c r="C663" s="129"/>
      <c r="D663" s="129"/>
      <c r="E663" s="19" t="n">
        <f aca="false">F663*0.03</f>
        <v>0</v>
      </c>
      <c r="F663" s="33" t="n">
        <v>0</v>
      </c>
      <c r="G663" s="131"/>
      <c r="H663" s="35" t="n">
        <v>0</v>
      </c>
      <c r="I663" s="34" t="n">
        <f aca="false">+IF(E663=0,0,E663*0.03)</f>
        <v>0</v>
      </c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customFormat="false" ht="16.4" hidden="false" customHeight="false" outlineLevel="0" collapsed="false">
      <c r="A664" s="123" t="n">
        <v>45444</v>
      </c>
      <c r="B664" s="31" t="s">
        <v>153</v>
      </c>
      <c r="C664" s="129"/>
      <c r="D664" s="129"/>
      <c r="E664" s="19" t="n">
        <f aca="false">F664*0.03</f>
        <v>0</v>
      </c>
      <c r="F664" s="33" t="n">
        <v>0</v>
      </c>
      <c r="G664" s="131"/>
      <c r="H664" s="35" t="n">
        <v>0</v>
      </c>
      <c r="I664" s="34" t="n">
        <f aca="false">+IF(E664=0,0,E664*0.03)</f>
        <v>0</v>
      </c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customFormat="false" ht="16.4" hidden="false" customHeight="false" outlineLevel="0" collapsed="false">
      <c r="A665" s="123" t="n">
        <v>45444</v>
      </c>
      <c r="B665" s="31" t="s">
        <v>247</v>
      </c>
      <c r="C665" s="129"/>
      <c r="D665" s="129"/>
      <c r="E665" s="19" t="n">
        <f aca="false">F665*0.03</f>
        <v>0</v>
      </c>
      <c r="F665" s="33" t="n">
        <v>0</v>
      </c>
      <c r="G665" s="131"/>
      <c r="H665" s="35" t="n">
        <v>0</v>
      </c>
      <c r="I665" s="34" t="n">
        <f aca="false">+IF(E665=0,0,E665*0.03)</f>
        <v>0</v>
      </c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customFormat="false" ht="16.4" hidden="false" customHeight="false" outlineLevel="0" collapsed="false">
      <c r="A666" s="123" t="n">
        <v>45444</v>
      </c>
      <c r="B666" s="31" t="s">
        <v>246</v>
      </c>
      <c r="C666" s="129"/>
      <c r="D666" s="129"/>
      <c r="E666" s="19" t="n">
        <f aca="false">F666*0.03</f>
        <v>0</v>
      </c>
      <c r="F666" s="33" t="n">
        <v>0</v>
      </c>
      <c r="G666" s="131"/>
      <c r="H666" s="35" t="n">
        <v>0</v>
      </c>
      <c r="I666" s="34" t="n">
        <f aca="false">+IF(E666=0,0,E666*0.03)</f>
        <v>0</v>
      </c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customFormat="false" ht="16.4" hidden="false" customHeight="false" outlineLevel="0" collapsed="false">
      <c r="A667" s="123" t="n">
        <v>45444</v>
      </c>
      <c r="B667" s="31" t="s">
        <v>239</v>
      </c>
      <c r="C667" s="129"/>
      <c r="D667" s="129"/>
      <c r="E667" s="19" t="n">
        <f aca="false">F667*0.03</f>
        <v>0</v>
      </c>
      <c r="F667" s="33" t="n">
        <v>0</v>
      </c>
      <c r="G667" s="131"/>
      <c r="H667" s="35" t="n">
        <v>0</v>
      </c>
      <c r="I667" s="34" t="n">
        <f aca="false">+IF(E667=0,0,E667*0.03)</f>
        <v>0</v>
      </c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customFormat="false" ht="16.4" hidden="false" customHeight="false" outlineLevel="0" collapsed="false">
      <c r="A668" s="123" t="n">
        <v>45444</v>
      </c>
      <c r="B668" s="31" t="s">
        <v>7</v>
      </c>
      <c r="C668" s="129"/>
      <c r="D668" s="129"/>
      <c r="E668" s="19" t="n">
        <f aca="false">F668*0.03</f>
        <v>0</v>
      </c>
      <c r="F668" s="33" t="n">
        <v>0</v>
      </c>
      <c r="G668" s="131"/>
      <c r="H668" s="35" t="n">
        <v>0</v>
      </c>
      <c r="I668" s="34" t="n">
        <f aca="false">+IF(E668=0,0,E668*0.03)</f>
        <v>0</v>
      </c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customFormat="false" ht="16.4" hidden="false" customHeight="false" outlineLevel="0" collapsed="false">
      <c r="A669" s="123" t="n">
        <v>45444</v>
      </c>
      <c r="B669" s="31" t="s">
        <v>240</v>
      </c>
      <c r="C669" s="129"/>
      <c r="D669" s="129"/>
      <c r="E669" s="19" t="n">
        <f aca="false">F669*0.03</f>
        <v>0</v>
      </c>
      <c r="F669" s="33" t="n">
        <v>0</v>
      </c>
      <c r="G669" s="131"/>
      <c r="H669" s="35" t="n">
        <v>0</v>
      </c>
      <c r="I669" s="34" t="n">
        <f aca="false">+IF(E669=0,0,E669*0.03)</f>
        <v>0</v>
      </c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customFormat="false" ht="16.4" hidden="false" customHeight="false" outlineLevel="0" collapsed="false">
      <c r="A670" s="123" t="n">
        <v>45444</v>
      </c>
      <c r="B670" s="31" t="s">
        <v>153</v>
      </c>
      <c r="C670" s="129"/>
      <c r="D670" s="129"/>
      <c r="E670" s="19" t="n">
        <f aca="false">F670*0.03</f>
        <v>0</v>
      </c>
      <c r="F670" s="33" t="n">
        <v>0</v>
      </c>
      <c r="G670" s="131"/>
      <c r="H670" s="35" t="n">
        <v>0</v>
      </c>
      <c r="I670" s="34" t="n">
        <f aca="false">+IF(E670=0,0,E670*0.03)</f>
        <v>0</v>
      </c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customFormat="false" ht="16.4" hidden="false" customHeight="false" outlineLevel="0" collapsed="false">
      <c r="A671" s="123" t="n">
        <v>45444</v>
      </c>
      <c r="B671" s="31" t="s">
        <v>247</v>
      </c>
      <c r="C671" s="129"/>
      <c r="D671" s="129"/>
      <c r="E671" s="19" t="n">
        <f aca="false">F671*0.03</f>
        <v>0</v>
      </c>
      <c r="F671" s="33" t="n">
        <v>0</v>
      </c>
      <c r="G671" s="131"/>
      <c r="H671" s="35" t="n">
        <v>0</v>
      </c>
      <c r="I671" s="34" t="n">
        <f aca="false">+IF(E671=0,0,E671*0.03)</f>
        <v>0</v>
      </c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customFormat="false" ht="16.4" hidden="false" customHeight="false" outlineLevel="0" collapsed="false">
      <c r="A672" s="123" t="n">
        <v>45444</v>
      </c>
      <c r="B672" s="31" t="s">
        <v>246</v>
      </c>
      <c r="C672" s="129"/>
      <c r="D672" s="129"/>
      <c r="E672" s="19" t="n">
        <f aca="false">F672*0.03</f>
        <v>0</v>
      </c>
      <c r="F672" s="33" t="n">
        <v>0</v>
      </c>
      <c r="G672" s="131"/>
      <c r="H672" s="35" t="n">
        <v>0</v>
      </c>
      <c r="I672" s="34" t="n">
        <f aca="false">+IF(E672=0,0,E672*0.03)</f>
        <v>0</v>
      </c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customFormat="false" ht="16.4" hidden="false" customHeight="false" outlineLevel="0" collapsed="false">
      <c r="A673" s="123" t="n">
        <v>45444</v>
      </c>
      <c r="B673" s="31" t="s">
        <v>239</v>
      </c>
      <c r="C673" s="129"/>
      <c r="D673" s="129"/>
      <c r="E673" s="19" t="n">
        <f aca="false">F673*0.03</f>
        <v>0</v>
      </c>
      <c r="F673" s="33" t="n">
        <v>0</v>
      </c>
      <c r="G673" s="131"/>
      <c r="H673" s="35" t="n">
        <v>0</v>
      </c>
      <c r="I673" s="34" t="n">
        <f aca="false">+IF(E673=0,0,E673*0.03)</f>
        <v>0</v>
      </c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customFormat="false" ht="16.4" hidden="false" customHeight="false" outlineLevel="0" collapsed="false">
      <c r="A674" s="123" t="n">
        <v>45444</v>
      </c>
      <c r="B674" s="31" t="s">
        <v>7</v>
      </c>
      <c r="C674" s="129"/>
      <c r="D674" s="129"/>
      <c r="E674" s="19" t="n">
        <f aca="false">F674*0.03</f>
        <v>0</v>
      </c>
      <c r="F674" s="33" t="n">
        <v>0</v>
      </c>
      <c r="G674" s="131"/>
      <c r="H674" s="35" t="n">
        <v>0</v>
      </c>
      <c r="I674" s="34" t="n">
        <f aca="false">+IF(E674=0,0,E674*0.03)</f>
        <v>0</v>
      </c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customFormat="false" ht="16.4" hidden="false" customHeight="false" outlineLevel="0" collapsed="false">
      <c r="A675" s="123" t="n">
        <v>45444</v>
      </c>
      <c r="B675" s="31" t="s">
        <v>240</v>
      </c>
      <c r="C675" s="129"/>
      <c r="D675" s="129"/>
      <c r="E675" s="19" t="n">
        <f aca="false">F675*0.03</f>
        <v>0</v>
      </c>
      <c r="F675" s="33" t="n">
        <v>0</v>
      </c>
      <c r="G675" s="131"/>
      <c r="H675" s="35" t="n">
        <v>0</v>
      </c>
      <c r="I675" s="34" t="n">
        <f aca="false">+IF(E675=0,0,E675*0.03)</f>
        <v>0</v>
      </c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customFormat="false" ht="16.4" hidden="false" customHeight="false" outlineLevel="0" collapsed="false">
      <c r="A676" s="123" t="n">
        <v>45444</v>
      </c>
      <c r="B676" s="31" t="s">
        <v>153</v>
      </c>
      <c r="C676" s="129"/>
      <c r="D676" s="129"/>
      <c r="E676" s="19" t="n">
        <f aca="false">F676*0.03</f>
        <v>0</v>
      </c>
      <c r="F676" s="33" t="n">
        <v>0</v>
      </c>
      <c r="G676" s="131"/>
      <c r="H676" s="35" t="n">
        <v>0</v>
      </c>
      <c r="I676" s="34" t="n">
        <f aca="false">+IF(E676=0,0,E676*0.03)</f>
        <v>0</v>
      </c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customFormat="false" ht="16.4" hidden="false" customHeight="false" outlineLevel="0" collapsed="false">
      <c r="A677" s="123" t="n">
        <v>45444</v>
      </c>
      <c r="B677" s="31" t="s">
        <v>247</v>
      </c>
      <c r="C677" s="129"/>
      <c r="D677" s="129"/>
      <c r="E677" s="19" t="n">
        <f aca="false">F677*0.03</f>
        <v>0</v>
      </c>
      <c r="F677" s="33" t="n">
        <v>0</v>
      </c>
      <c r="G677" s="131"/>
      <c r="H677" s="35" t="n">
        <v>0</v>
      </c>
      <c r="I677" s="34" t="n">
        <f aca="false">+IF(E677=0,0,E677*0.03)</f>
        <v>0</v>
      </c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customFormat="false" ht="16.4" hidden="false" customHeight="false" outlineLevel="0" collapsed="false">
      <c r="A678" s="123" t="n">
        <v>45444</v>
      </c>
      <c r="B678" s="31" t="s">
        <v>246</v>
      </c>
      <c r="C678" s="129"/>
      <c r="D678" s="129"/>
      <c r="E678" s="19" t="n">
        <f aca="false">F678*0.03</f>
        <v>0</v>
      </c>
      <c r="F678" s="33" t="n">
        <v>0</v>
      </c>
      <c r="G678" s="131"/>
      <c r="H678" s="35" t="n">
        <v>0</v>
      </c>
      <c r="I678" s="34" t="n">
        <f aca="false">+IF(E678=0,0,E678*0.03)</f>
        <v>0</v>
      </c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customFormat="false" ht="16.4" hidden="false" customHeight="false" outlineLevel="0" collapsed="false">
      <c r="A679" s="123" t="n">
        <v>45444</v>
      </c>
      <c r="B679" s="31" t="s">
        <v>239</v>
      </c>
      <c r="C679" s="129"/>
      <c r="D679" s="129"/>
      <c r="E679" s="19" t="n">
        <f aca="false">F679*0.03</f>
        <v>0</v>
      </c>
      <c r="F679" s="33" t="n">
        <v>0</v>
      </c>
      <c r="G679" s="131"/>
      <c r="H679" s="35" t="n">
        <v>0</v>
      </c>
      <c r="I679" s="34" t="n">
        <f aca="false">+IF(E679=0,0,E679*0.03)</f>
        <v>0</v>
      </c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customFormat="false" ht="16.4" hidden="false" customHeight="false" outlineLevel="0" collapsed="false">
      <c r="A680" s="123" t="n">
        <v>45444</v>
      </c>
      <c r="B680" s="31" t="s">
        <v>7</v>
      </c>
      <c r="C680" s="129"/>
      <c r="D680" s="129"/>
      <c r="E680" s="19" t="n">
        <f aca="false">F680*0.03</f>
        <v>0</v>
      </c>
      <c r="F680" s="33" t="n">
        <v>0</v>
      </c>
      <c r="G680" s="131"/>
      <c r="H680" s="35" t="n">
        <v>0</v>
      </c>
      <c r="I680" s="34" t="n">
        <f aca="false">+IF(E680=0,0,E680*0.03)</f>
        <v>0</v>
      </c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customFormat="false" ht="16.4" hidden="false" customHeight="false" outlineLevel="0" collapsed="false">
      <c r="A681" s="123" t="n">
        <v>45444</v>
      </c>
      <c r="B681" s="31" t="s">
        <v>240</v>
      </c>
      <c r="C681" s="129"/>
      <c r="D681" s="129"/>
      <c r="E681" s="19" t="n">
        <f aca="false">F681*0.03</f>
        <v>0</v>
      </c>
      <c r="F681" s="33" t="n">
        <v>0</v>
      </c>
      <c r="G681" s="131"/>
      <c r="H681" s="35" t="n">
        <v>0</v>
      </c>
      <c r="I681" s="34" t="n">
        <f aca="false">+IF(E681=0,0,E681*0.03)</f>
        <v>0</v>
      </c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customFormat="false" ht="16.4" hidden="false" customHeight="false" outlineLevel="0" collapsed="false">
      <c r="A682" s="123" t="n">
        <v>45444</v>
      </c>
      <c r="B682" s="31" t="s">
        <v>153</v>
      </c>
      <c r="C682" s="129"/>
      <c r="D682" s="129"/>
      <c r="E682" s="19" t="n">
        <f aca="false">F682*0.03</f>
        <v>0</v>
      </c>
      <c r="F682" s="33" t="n">
        <v>0</v>
      </c>
      <c r="G682" s="131"/>
      <c r="H682" s="35" t="n">
        <v>0</v>
      </c>
      <c r="I682" s="34" t="n">
        <f aca="false">+IF(E682=0,0,E682*0.03)</f>
        <v>0</v>
      </c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customFormat="false" ht="16.4" hidden="false" customHeight="false" outlineLevel="0" collapsed="false">
      <c r="A683" s="123" t="n">
        <v>45444</v>
      </c>
      <c r="B683" s="31" t="s">
        <v>247</v>
      </c>
      <c r="C683" s="129"/>
      <c r="D683" s="129"/>
      <c r="E683" s="19" t="n">
        <f aca="false">F683*0.03</f>
        <v>0</v>
      </c>
      <c r="F683" s="33" t="n">
        <v>0</v>
      </c>
      <c r="G683" s="131"/>
      <c r="H683" s="35" t="n">
        <v>0</v>
      </c>
      <c r="I683" s="34" t="n">
        <f aca="false">+IF(E683=0,0,E683*0.03)</f>
        <v>0</v>
      </c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customFormat="false" ht="16.4" hidden="false" customHeight="false" outlineLevel="0" collapsed="false">
      <c r="A684" s="123" t="n">
        <v>45444</v>
      </c>
      <c r="B684" s="31" t="s">
        <v>246</v>
      </c>
      <c r="C684" s="129"/>
      <c r="D684" s="129"/>
      <c r="E684" s="19" t="n">
        <f aca="false">F684*0.03</f>
        <v>0</v>
      </c>
      <c r="F684" s="33" t="n">
        <v>0</v>
      </c>
      <c r="G684" s="131"/>
      <c r="H684" s="35" t="n">
        <v>0</v>
      </c>
      <c r="I684" s="34" t="n">
        <f aca="false">+IF(E684=0,0,E684*0.03)</f>
        <v>0</v>
      </c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customFormat="false" ht="16.4" hidden="false" customHeight="false" outlineLevel="0" collapsed="false">
      <c r="A685" s="123" t="n">
        <v>45444</v>
      </c>
      <c r="B685" s="31" t="s">
        <v>239</v>
      </c>
      <c r="C685" s="129"/>
      <c r="D685" s="129"/>
      <c r="E685" s="19" t="n">
        <f aca="false">F685*0.03</f>
        <v>0</v>
      </c>
      <c r="F685" s="33" t="n">
        <v>0</v>
      </c>
      <c r="G685" s="131"/>
      <c r="H685" s="35" t="n">
        <v>0</v>
      </c>
      <c r="I685" s="34" t="n">
        <f aca="false">+IF(E685=0,0,E685*0.03)</f>
        <v>0</v>
      </c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customFormat="false" ht="16.4" hidden="false" customHeight="false" outlineLevel="0" collapsed="false">
      <c r="A686" s="123" t="n">
        <v>45444</v>
      </c>
      <c r="B686" s="31" t="s">
        <v>7</v>
      </c>
      <c r="C686" s="129"/>
      <c r="D686" s="129"/>
      <c r="E686" s="19" t="n">
        <f aca="false">F686*0.03</f>
        <v>0</v>
      </c>
      <c r="F686" s="33" t="n">
        <v>0</v>
      </c>
      <c r="G686" s="131"/>
      <c r="H686" s="35" t="n">
        <v>0</v>
      </c>
      <c r="I686" s="34" t="n">
        <f aca="false">+IF(E686=0,0,E686*0.03)</f>
        <v>0</v>
      </c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customFormat="false" ht="16.4" hidden="false" customHeight="false" outlineLevel="0" collapsed="false">
      <c r="A687" s="123" t="n">
        <v>45444</v>
      </c>
      <c r="B687" s="31" t="s">
        <v>240</v>
      </c>
      <c r="C687" s="129"/>
      <c r="D687" s="129"/>
      <c r="E687" s="19" t="n">
        <f aca="false">F687*0.03</f>
        <v>0</v>
      </c>
      <c r="F687" s="33" t="n">
        <v>0</v>
      </c>
      <c r="G687" s="131"/>
      <c r="H687" s="35" t="n">
        <v>0</v>
      </c>
      <c r="I687" s="34" t="n">
        <f aca="false">+IF(E687=0,0,E687*0.03)</f>
        <v>0</v>
      </c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customFormat="false" ht="16.4" hidden="false" customHeight="false" outlineLevel="0" collapsed="false">
      <c r="A688" s="123" t="n">
        <v>45444</v>
      </c>
      <c r="B688" s="31" t="s">
        <v>153</v>
      </c>
      <c r="C688" s="129"/>
      <c r="D688" s="129"/>
      <c r="E688" s="19" t="n">
        <f aca="false">F688*0.03</f>
        <v>0</v>
      </c>
      <c r="F688" s="33" t="n">
        <v>0</v>
      </c>
      <c r="G688" s="131"/>
      <c r="H688" s="35" t="n">
        <v>0</v>
      </c>
      <c r="I688" s="34" t="n">
        <f aca="false">+IF(E688=0,0,E688*0.03)</f>
        <v>0</v>
      </c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customFormat="false" ht="16.4" hidden="false" customHeight="false" outlineLevel="0" collapsed="false">
      <c r="A689" s="123" t="n">
        <v>45444</v>
      </c>
      <c r="B689" s="31" t="s">
        <v>247</v>
      </c>
      <c r="C689" s="129"/>
      <c r="D689" s="129"/>
      <c r="E689" s="19" t="n">
        <f aca="false">F689*0.03</f>
        <v>0</v>
      </c>
      <c r="F689" s="33" t="n">
        <v>0</v>
      </c>
      <c r="G689" s="131"/>
      <c r="H689" s="35" t="n">
        <v>0</v>
      </c>
      <c r="I689" s="34" t="n">
        <f aca="false">+IF(E689=0,0,E689*0.03)</f>
        <v>0</v>
      </c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customFormat="false" ht="16.4" hidden="false" customHeight="false" outlineLevel="0" collapsed="false">
      <c r="A690" s="123" t="n">
        <v>45444</v>
      </c>
      <c r="B690" s="31" t="s">
        <v>246</v>
      </c>
      <c r="C690" s="129"/>
      <c r="D690" s="129"/>
      <c r="E690" s="19" t="n">
        <f aca="false">F690*0.03</f>
        <v>0</v>
      </c>
      <c r="F690" s="33" t="n">
        <v>0</v>
      </c>
      <c r="G690" s="131"/>
      <c r="H690" s="35" t="n">
        <v>0</v>
      </c>
      <c r="I690" s="34" t="n">
        <f aca="false">+IF(E690=0,0,E690*0.03)</f>
        <v>0</v>
      </c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customFormat="false" ht="16.4" hidden="false" customHeight="false" outlineLevel="0" collapsed="false">
      <c r="A691" s="123" t="n">
        <v>45444</v>
      </c>
      <c r="B691" s="31" t="s">
        <v>239</v>
      </c>
      <c r="C691" s="129"/>
      <c r="D691" s="129"/>
      <c r="E691" s="19" t="n">
        <f aca="false">F691*0.03</f>
        <v>0</v>
      </c>
      <c r="F691" s="33" t="n">
        <v>0</v>
      </c>
      <c r="G691" s="131"/>
      <c r="H691" s="35" t="n">
        <v>0</v>
      </c>
      <c r="I691" s="34" t="n">
        <f aca="false">+IF(E691=0,0,E691*0.03)</f>
        <v>0</v>
      </c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customFormat="false" ht="16.4" hidden="false" customHeight="false" outlineLevel="0" collapsed="false">
      <c r="A692" s="123" t="n">
        <v>45444</v>
      </c>
      <c r="B692" s="31" t="s">
        <v>7</v>
      </c>
      <c r="C692" s="129"/>
      <c r="D692" s="129"/>
      <c r="E692" s="19" t="n">
        <f aca="false">F692*0.03</f>
        <v>0</v>
      </c>
      <c r="F692" s="33" t="n">
        <v>0</v>
      </c>
      <c r="G692" s="131"/>
      <c r="H692" s="35" t="n">
        <v>0</v>
      </c>
      <c r="I692" s="34" t="n">
        <f aca="false">+IF(E692=0,0,E692*0.03)</f>
        <v>0</v>
      </c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customFormat="false" ht="16.4" hidden="false" customHeight="false" outlineLevel="0" collapsed="false">
      <c r="A693" s="123" t="n">
        <v>45444</v>
      </c>
      <c r="B693" s="31" t="s">
        <v>240</v>
      </c>
      <c r="C693" s="129"/>
      <c r="D693" s="129"/>
      <c r="E693" s="19" t="n">
        <f aca="false">F693*0.03</f>
        <v>0</v>
      </c>
      <c r="F693" s="33" t="n">
        <v>0</v>
      </c>
      <c r="G693" s="131"/>
      <c r="H693" s="35" t="n">
        <v>0</v>
      </c>
      <c r="I693" s="34" t="n">
        <f aca="false">+IF(E693=0,0,E693*0.03)</f>
        <v>0</v>
      </c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customFormat="false" ht="16.4" hidden="false" customHeight="false" outlineLevel="0" collapsed="false">
      <c r="A694" s="123" t="n">
        <v>45444</v>
      </c>
      <c r="B694" s="31" t="s">
        <v>153</v>
      </c>
      <c r="C694" s="129"/>
      <c r="D694" s="129"/>
      <c r="E694" s="19" t="n">
        <f aca="false">F694*0.03</f>
        <v>0</v>
      </c>
      <c r="F694" s="33" t="n">
        <v>0</v>
      </c>
      <c r="G694" s="131"/>
      <c r="H694" s="35" t="n">
        <v>0</v>
      </c>
      <c r="I694" s="34" t="n">
        <f aca="false">+IF(E694=0,0,E694*0.03)</f>
        <v>0</v>
      </c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customFormat="false" ht="16.4" hidden="false" customHeight="false" outlineLevel="0" collapsed="false">
      <c r="A695" s="123" t="n">
        <v>45444</v>
      </c>
      <c r="B695" s="31" t="s">
        <v>247</v>
      </c>
      <c r="C695" s="129"/>
      <c r="D695" s="129"/>
      <c r="E695" s="19" t="n">
        <f aca="false">F695*0.03</f>
        <v>0</v>
      </c>
      <c r="F695" s="33" t="n">
        <v>0</v>
      </c>
      <c r="G695" s="131"/>
      <c r="H695" s="35" t="n">
        <v>0</v>
      </c>
      <c r="I695" s="34" t="n">
        <f aca="false">+IF(E695=0,0,E695*0.03)</f>
        <v>0</v>
      </c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customFormat="false" ht="16.4" hidden="false" customHeight="false" outlineLevel="0" collapsed="false">
      <c r="A696" s="123" t="n">
        <v>45444</v>
      </c>
      <c r="B696" s="31" t="s">
        <v>246</v>
      </c>
      <c r="C696" s="129"/>
      <c r="D696" s="129"/>
      <c r="E696" s="19" t="n">
        <f aca="false">F696*0.03</f>
        <v>0</v>
      </c>
      <c r="F696" s="33" t="n">
        <v>0</v>
      </c>
      <c r="G696" s="131"/>
      <c r="H696" s="35" t="n">
        <v>0</v>
      </c>
      <c r="I696" s="34" t="n">
        <f aca="false">+IF(E696=0,0,E696*0.03)</f>
        <v>0</v>
      </c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customFormat="false" ht="16.4" hidden="false" customHeight="false" outlineLevel="0" collapsed="false">
      <c r="A697" s="123" t="n">
        <v>45444</v>
      </c>
      <c r="B697" s="31" t="s">
        <v>239</v>
      </c>
      <c r="C697" s="129"/>
      <c r="D697" s="129"/>
      <c r="E697" s="19" t="n">
        <f aca="false">F697*0.03</f>
        <v>0</v>
      </c>
      <c r="F697" s="33" t="n">
        <v>0</v>
      </c>
      <c r="G697" s="131"/>
      <c r="H697" s="35" t="n">
        <v>0</v>
      </c>
      <c r="I697" s="34" t="n">
        <f aca="false">+IF(E697=0,0,E697*0.03)</f>
        <v>0</v>
      </c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customFormat="false" ht="16.4" hidden="false" customHeight="false" outlineLevel="0" collapsed="false">
      <c r="A698" s="123" t="n">
        <v>45444</v>
      </c>
      <c r="B698" s="31" t="s">
        <v>7</v>
      </c>
      <c r="C698" s="129"/>
      <c r="D698" s="129"/>
      <c r="E698" s="19" t="n">
        <f aca="false">F698*0.03</f>
        <v>0</v>
      </c>
      <c r="F698" s="33" t="n">
        <v>0</v>
      </c>
      <c r="G698" s="131"/>
      <c r="H698" s="35" t="n">
        <v>0</v>
      </c>
      <c r="I698" s="34" t="n">
        <f aca="false">+IF(E698=0,0,E698*0.03)</f>
        <v>0</v>
      </c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customFormat="false" ht="16.4" hidden="false" customHeight="false" outlineLevel="0" collapsed="false">
      <c r="A699" s="123" t="n">
        <v>45444</v>
      </c>
      <c r="B699" s="31" t="s">
        <v>240</v>
      </c>
      <c r="C699" s="129"/>
      <c r="D699" s="129"/>
      <c r="E699" s="19" t="n">
        <f aca="false">F699*0.03</f>
        <v>0</v>
      </c>
      <c r="F699" s="33" t="n">
        <v>0</v>
      </c>
      <c r="G699" s="131"/>
      <c r="H699" s="35" t="n">
        <v>0</v>
      </c>
      <c r="I699" s="34" t="n">
        <f aca="false">+IF(E699=0,0,E699*0.03)</f>
        <v>0</v>
      </c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customFormat="false" ht="16.4" hidden="false" customHeight="false" outlineLevel="0" collapsed="false">
      <c r="A700" s="123" t="n">
        <v>45444</v>
      </c>
      <c r="B700" s="31" t="s">
        <v>153</v>
      </c>
      <c r="C700" s="129"/>
      <c r="D700" s="129"/>
      <c r="E700" s="19" t="n">
        <f aca="false">F700*0.03</f>
        <v>0</v>
      </c>
      <c r="F700" s="33" t="n">
        <v>0</v>
      </c>
      <c r="G700" s="131"/>
      <c r="H700" s="35" t="n">
        <v>0</v>
      </c>
      <c r="I700" s="34" t="n">
        <f aca="false">+IF(E700=0,0,E700*0.03)</f>
        <v>0</v>
      </c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customFormat="false" ht="16.4" hidden="false" customHeight="false" outlineLevel="0" collapsed="false">
      <c r="A701" s="123" t="n">
        <v>45444</v>
      </c>
      <c r="B701" s="31" t="s">
        <v>247</v>
      </c>
      <c r="C701" s="129"/>
      <c r="D701" s="129"/>
      <c r="E701" s="19" t="n">
        <f aca="false">F701*0.03</f>
        <v>0</v>
      </c>
      <c r="F701" s="33" t="n">
        <v>0</v>
      </c>
      <c r="G701" s="131"/>
      <c r="H701" s="35" t="n">
        <v>0</v>
      </c>
      <c r="I701" s="34" t="n">
        <f aca="false">+IF(E701=0,0,E701*0.03)</f>
        <v>0</v>
      </c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customFormat="false" ht="16.4" hidden="false" customHeight="false" outlineLevel="0" collapsed="false">
      <c r="A702" s="123" t="n">
        <v>45444</v>
      </c>
      <c r="B702" s="31" t="s">
        <v>246</v>
      </c>
      <c r="C702" s="129"/>
      <c r="D702" s="129"/>
      <c r="E702" s="19" t="n">
        <f aca="false">F702*0.03</f>
        <v>0</v>
      </c>
      <c r="F702" s="33" t="n">
        <v>0</v>
      </c>
      <c r="G702" s="131"/>
      <c r="H702" s="35" t="n">
        <v>0</v>
      </c>
      <c r="I702" s="34" t="n">
        <f aca="false">+IF(E702=0,0,E702*0.03)</f>
        <v>0</v>
      </c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customFormat="false" ht="16.4" hidden="false" customHeight="false" outlineLevel="0" collapsed="false">
      <c r="A703" s="123" t="n">
        <v>45444</v>
      </c>
      <c r="B703" s="31" t="s">
        <v>239</v>
      </c>
      <c r="C703" s="129"/>
      <c r="D703" s="129"/>
      <c r="E703" s="19" t="n">
        <f aca="false">F703*0.03</f>
        <v>0</v>
      </c>
      <c r="F703" s="33" t="n">
        <v>0</v>
      </c>
      <c r="G703" s="131"/>
      <c r="H703" s="35" t="n">
        <v>0</v>
      </c>
      <c r="I703" s="34" t="n">
        <f aca="false">+IF(E703=0,0,E703*0.03)</f>
        <v>0</v>
      </c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customFormat="false" ht="16.4" hidden="false" customHeight="false" outlineLevel="0" collapsed="false">
      <c r="A704" s="123" t="n">
        <v>45444</v>
      </c>
      <c r="B704" s="31" t="s">
        <v>7</v>
      </c>
      <c r="C704" s="129"/>
      <c r="D704" s="129"/>
      <c r="E704" s="19" t="n">
        <f aca="false">F704*0.03</f>
        <v>0</v>
      </c>
      <c r="F704" s="33" t="n">
        <v>0</v>
      </c>
      <c r="G704" s="131"/>
      <c r="H704" s="35" t="n">
        <v>0</v>
      </c>
      <c r="I704" s="34" t="n">
        <f aca="false">+IF(E704=0,0,E704*0.03)</f>
        <v>0</v>
      </c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customFormat="false" ht="16.4" hidden="false" customHeight="false" outlineLevel="0" collapsed="false">
      <c r="A705" s="123" t="n">
        <v>45444</v>
      </c>
      <c r="B705" s="31" t="s">
        <v>240</v>
      </c>
      <c r="C705" s="129"/>
      <c r="D705" s="129"/>
      <c r="E705" s="19" t="n">
        <f aca="false">F705*0.03</f>
        <v>0</v>
      </c>
      <c r="F705" s="33" t="n">
        <v>0</v>
      </c>
      <c r="G705" s="131"/>
      <c r="H705" s="35" t="n">
        <v>0</v>
      </c>
      <c r="I705" s="34" t="n">
        <f aca="false">+IF(E705=0,0,E705*0.03)</f>
        <v>0</v>
      </c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customFormat="false" ht="16.4" hidden="false" customHeight="false" outlineLevel="0" collapsed="false">
      <c r="A706" s="123" t="n">
        <v>45444</v>
      </c>
      <c r="B706" s="31" t="s">
        <v>153</v>
      </c>
      <c r="C706" s="129"/>
      <c r="D706" s="129"/>
      <c r="E706" s="19" t="n">
        <f aca="false">F706*0.03</f>
        <v>0</v>
      </c>
      <c r="F706" s="33" t="n">
        <v>0</v>
      </c>
      <c r="G706" s="131"/>
      <c r="H706" s="35" t="n">
        <v>0</v>
      </c>
      <c r="I706" s="34" t="n">
        <f aca="false">+IF(E706=0,0,E706*0.03)</f>
        <v>0</v>
      </c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customFormat="false" ht="16.4" hidden="false" customHeight="false" outlineLevel="0" collapsed="false">
      <c r="A707" s="123" t="n">
        <v>45444</v>
      </c>
      <c r="B707" s="31" t="s">
        <v>247</v>
      </c>
      <c r="C707" s="129"/>
      <c r="D707" s="129"/>
      <c r="E707" s="19" t="n">
        <f aca="false">F707*0.03</f>
        <v>0</v>
      </c>
      <c r="F707" s="33" t="n">
        <v>0</v>
      </c>
      <c r="G707" s="131"/>
      <c r="H707" s="35" t="n">
        <v>0</v>
      </c>
      <c r="I707" s="34" t="n">
        <f aca="false">+IF(E707=0,0,E707*0.03)</f>
        <v>0</v>
      </c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customFormat="false" ht="16.4" hidden="false" customHeight="false" outlineLevel="0" collapsed="false">
      <c r="A708" s="123" t="n">
        <v>45444</v>
      </c>
      <c r="B708" s="31" t="s">
        <v>246</v>
      </c>
      <c r="C708" s="129"/>
      <c r="D708" s="129"/>
      <c r="E708" s="19" t="n">
        <f aca="false">F708*0.03</f>
        <v>0</v>
      </c>
      <c r="F708" s="33" t="n">
        <v>0</v>
      </c>
      <c r="G708" s="131"/>
      <c r="H708" s="35" t="n">
        <v>0</v>
      </c>
      <c r="I708" s="34" t="n">
        <f aca="false">+IF(E708=0,0,E708*0.03)</f>
        <v>0</v>
      </c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customFormat="false" ht="16.4" hidden="false" customHeight="false" outlineLevel="0" collapsed="false">
      <c r="A709" s="123" t="n">
        <v>45444</v>
      </c>
      <c r="B709" s="31" t="s">
        <v>239</v>
      </c>
      <c r="C709" s="129"/>
      <c r="D709" s="129"/>
      <c r="E709" s="19" t="n">
        <f aca="false">F709*0.03</f>
        <v>0</v>
      </c>
      <c r="F709" s="33" t="n">
        <v>0</v>
      </c>
      <c r="G709" s="131"/>
      <c r="H709" s="35" t="n">
        <v>0</v>
      </c>
      <c r="I709" s="34" t="n">
        <f aca="false">+IF(E709=0,0,E709*0.03)</f>
        <v>0</v>
      </c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customFormat="false" ht="16.4" hidden="false" customHeight="false" outlineLevel="0" collapsed="false">
      <c r="A710" s="123" t="n">
        <v>45444</v>
      </c>
      <c r="B710" s="31" t="s">
        <v>7</v>
      </c>
      <c r="C710" s="129"/>
      <c r="D710" s="129"/>
      <c r="E710" s="19" t="n">
        <f aca="false">F710*0.03</f>
        <v>0</v>
      </c>
      <c r="F710" s="33" t="n">
        <v>0</v>
      </c>
      <c r="G710" s="131"/>
      <c r="H710" s="35" t="n">
        <v>0</v>
      </c>
      <c r="I710" s="34" t="n">
        <f aca="false">+IF(E710=0,0,E710*0.03)</f>
        <v>0</v>
      </c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customFormat="false" ht="16.4" hidden="false" customHeight="false" outlineLevel="0" collapsed="false">
      <c r="A711" s="123" t="n">
        <v>45444</v>
      </c>
      <c r="B711" s="31" t="s">
        <v>240</v>
      </c>
      <c r="C711" s="129"/>
      <c r="D711" s="129"/>
      <c r="E711" s="19" t="n">
        <f aca="false">F711*0.03</f>
        <v>0</v>
      </c>
      <c r="F711" s="33" t="n">
        <v>0</v>
      </c>
      <c r="G711" s="131"/>
      <c r="H711" s="35" t="n">
        <v>0</v>
      </c>
      <c r="I711" s="34" t="n">
        <f aca="false">+IF(E711=0,0,E711*0.03)</f>
        <v>0</v>
      </c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customFormat="false" ht="16.4" hidden="false" customHeight="false" outlineLevel="0" collapsed="false">
      <c r="A712" s="123" t="n">
        <v>45444</v>
      </c>
      <c r="B712" s="31" t="s">
        <v>153</v>
      </c>
      <c r="C712" s="129"/>
      <c r="D712" s="129"/>
      <c r="E712" s="19" t="n">
        <f aca="false">F712*0.03</f>
        <v>0</v>
      </c>
      <c r="F712" s="33" t="n">
        <v>0</v>
      </c>
      <c r="G712" s="131"/>
      <c r="H712" s="35" t="n">
        <v>0</v>
      </c>
      <c r="I712" s="34" t="n">
        <f aca="false">+IF(E712=0,0,E712*0.03)</f>
        <v>0</v>
      </c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customFormat="false" ht="16.4" hidden="false" customHeight="false" outlineLevel="0" collapsed="false">
      <c r="A713" s="123" t="n">
        <v>45444</v>
      </c>
      <c r="B713" s="31" t="s">
        <v>247</v>
      </c>
      <c r="C713" s="129"/>
      <c r="D713" s="129"/>
      <c r="E713" s="19" t="n">
        <f aca="false">F713*0.03</f>
        <v>0</v>
      </c>
      <c r="F713" s="33" t="n">
        <v>0</v>
      </c>
      <c r="G713" s="131"/>
      <c r="H713" s="35" t="n">
        <v>0</v>
      </c>
      <c r="I713" s="34" t="n">
        <f aca="false">+IF(E713=0,0,E713*0.03)</f>
        <v>0</v>
      </c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customFormat="false" ht="16.4" hidden="false" customHeight="false" outlineLevel="0" collapsed="false">
      <c r="A714" s="123" t="n">
        <v>45444</v>
      </c>
      <c r="B714" s="31" t="s">
        <v>246</v>
      </c>
      <c r="C714" s="129"/>
      <c r="D714" s="129"/>
      <c r="E714" s="19" t="n">
        <f aca="false">F714*0.03</f>
        <v>0</v>
      </c>
      <c r="F714" s="33" t="n">
        <v>0</v>
      </c>
      <c r="G714" s="131"/>
      <c r="H714" s="35" t="n">
        <v>0</v>
      </c>
      <c r="I714" s="34" t="n">
        <f aca="false">+IF(E714=0,0,E714*0.03)</f>
        <v>0</v>
      </c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customFormat="false" ht="16.4" hidden="false" customHeight="false" outlineLevel="0" collapsed="false">
      <c r="A715" s="123" t="n">
        <v>45444</v>
      </c>
      <c r="B715" s="31" t="s">
        <v>239</v>
      </c>
      <c r="C715" s="129"/>
      <c r="D715" s="129"/>
      <c r="E715" s="19" t="n">
        <f aca="false">F715*0.03</f>
        <v>0</v>
      </c>
      <c r="F715" s="33" t="n">
        <v>0</v>
      </c>
      <c r="G715" s="131"/>
      <c r="H715" s="35" t="n">
        <v>0</v>
      </c>
      <c r="I715" s="34" t="n">
        <f aca="false">+IF(E715=0,0,E715*0.03)</f>
        <v>0</v>
      </c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customFormat="false" ht="16.4" hidden="false" customHeight="false" outlineLevel="0" collapsed="false">
      <c r="A716" s="123" t="n">
        <v>45444</v>
      </c>
      <c r="B716" s="31" t="s">
        <v>7</v>
      </c>
      <c r="C716" s="129"/>
      <c r="D716" s="129"/>
      <c r="E716" s="19" t="n">
        <f aca="false">F716*0.03</f>
        <v>0</v>
      </c>
      <c r="F716" s="33" t="n">
        <v>0</v>
      </c>
      <c r="G716" s="131"/>
      <c r="H716" s="35" t="n">
        <v>0</v>
      </c>
      <c r="I716" s="34" t="n">
        <f aca="false">+IF(E716=0,0,E716*0.03)</f>
        <v>0</v>
      </c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customFormat="false" ht="16.4" hidden="false" customHeight="false" outlineLevel="0" collapsed="false">
      <c r="A717" s="123" t="n">
        <v>45444</v>
      </c>
      <c r="B717" s="31" t="s">
        <v>240</v>
      </c>
      <c r="C717" s="129"/>
      <c r="D717" s="129"/>
      <c r="E717" s="19" t="n">
        <f aca="false">F717*0.03</f>
        <v>0</v>
      </c>
      <c r="F717" s="33" t="n">
        <v>0</v>
      </c>
      <c r="G717" s="131"/>
      <c r="H717" s="35" t="n">
        <v>0</v>
      </c>
      <c r="I717" s="34" t="n">
        <f aca="false">+IF(E717=0,0,E717*0.03)</f>
        <v>0</v>
      </c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customFormat="false" ht="16.4" hidden="false" customHeight="false" outlineLevel="0" collapsed="false">
      <c r="A718" s="123" t="n">
        <v>45444</v>
      </c>
      <c r="B718" s="31" t="s">
        <v>153</v>
      </c>
      <c r="C718" s="129"/>
      <c r="D718" s="129"/>
      <c r="E718" s="19" t="n">
        <f aca="false">F718*0.03</f>
        <v>0</v>
      </c>
      <c r="F718" s="33" t="n">
        <v>0</v>
      </c>
      <c r="G718" s="131"/>
      <c r="H718" s="35" t="n">
        <v>0</v>
      </c>
      <c r="I718" s="34" t="n">
        <f aca="false">+IF(E718=0,0,E718*0.03)</f>
        <v>0</v>
      </c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customFormat="false" ht="16.4" hidden="false" customHeight="false" outlineLevel="0" collapsed="false">
      <c r="A719" s="123" t="n">
        <v>45444</v>
      </c>
      <c r="B719" s="31" t="s">
        <v>247</v>
      </c>
      <c r="C719" s="129"/>
      <c r="D719" s="129"/>
      <c r="E719" s="19" t="n">
        <f aca="false">F719*0.03</f>
        <v>0</v>
      </c>
      <c r="F719" s="33" t="n">
        <v>0</v>
      </c>
      <c r="G719" s="131"/>
      <c r="H719" s="35" t="n">
        <v>0</v>
      </c>
      <c r="I719" s="34" t="n">
        <f aca="false">+IF(E719=0,0,E719*0.03)</f>
        <v>0</v>
      </c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customFormat="false" ht="16.4" hidden="false" customHeight="false" outlineLevel="0" collapsed="false">
      <c r="A720" s="123" t="n">
        <v>45444</v>
      </c>
      <c r="B720" s="31" t="s">
        <v>246</v>
      </c>
      <c r="C720" s="129"/>
      <c r="D720" s="129"/>
      <c r="E720" s="19" t="n">
        <f aca="false">F720*0.03</f>
        <v>0</v>
      </c>
      <c r="F720" s="33" t="n">
        <v>0</v>
      </c>
      <c r="G720" s="131"/>
      <c r="H720" s="35" t="n">
        <v>0</v>
      </c>
      <c r="I720" s="34" t="n">
        <f aca="false">+IF(E720=0,0,E720*0.03)</f>
        <v>0</v>
      </c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customFormat="false" ht="16.4" hidden="false" customHeight="false" outlineLevel="0" collapsed="false">
      <c r="A721" s="123" t="n">
        <v>45444</v>
      </c>
      <c r="B721" s="31" t="s">
        <v>239</v>
      </c>
      <c r="C721" s="129"/>
      <c r="D721" s="129"/>
      <c r="E721" s="19" t="n">
        <f aca="false">F721*0.03</f>
        <v>0</v>
      </c>
      <c r="F721" s="33" t="n">
        <v>0</v>
      </c>
      <c r="G721" s="131"/>
      <c r="H721" s="35" t="n">
        <v>0</v>
      </c>
      <c r="I721" s="34" t="n">
        <f aca="false">+IF(E721=0,0,E721*0.03)</f>
        <v>0</v>
      </c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customFormat="false" ht="16.4" hidden="false" customHeight="false" outlineLevel="0" collapsed="false">
      <c r="A722" s="123" t="n">
        <v>45444</v>
      </c>
      <c r="B722" s="31" t="s">
        <v>7</v>
      </c>
      <c r="C722" s="129"/>
      <c r="D722" s="129"/>
      <c r="E722" s="19" t="n">
        <f aca="false">F722*0.03</f>
        <v>0</v>
      </c>
      <c r="F722" s="33" t="n">
        <v>0</v>
      </c>
      <c r="G722" s="131"/>
      <c r="H722" s="35" t="n">
        <v>0</v>
      </c>
      <c r="I722" s="34" t="n">
        <f aca="false">+IF(E722=0,0,E722*0.03)</f>
        <v>0</v>
      </c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customFormat="false" ht="16.4" hidden="false" customHeight="false" outlineLevel="0" collapsed="false">
      <c r="A723" s="123" t="n">
        <v>45444</v>
      </c>
      <c r="B723" s="31" t="s">
        <v>240</v>
      </c>
      <c r="C723" s="129"/>
      <c r="D723" s="129"/>
      <c r="E723" s="19" t="n">
        <f aca="false">F723*0.03</f>
        <v>0</v>
      </c>
      <c r="F723" s="33" t="n">
        <v>0</v>
      </c>
      <c r="G723" s="131"/>
      <c r="H723" s="35" t="n">
        <v>0</v>
      </c>
      <c r="I723" s="34" t="n">
        <f aca="false">+IF(E723=0,0,E723*0.03)</f>
        <v>0</v>
      </c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customFormat="false" ht="16.4" hidden="false" customHeight="false" outlineLevel="0" collapsed="false">
      <c r="A724" s="123" t="n">
        <v>45444</v>
      </c>
      <c r="B724" s="31" t="s">
        <v>153</v>
      </c>
      <c r="C724" s="129"/>
      <c r="D724" s="129"/>
      <c r="E724" s="19" t="n">
        <f aca="false">F724*0.03</f>
        <v>0</v>
      </c>
      <c r="F724" s="33" t="n">
        <v>0</v>
      </c>
      <c r="G724" s="131"/>
      <c r="H724" s="35" t="n">
        <v>0</v>
      </c>
      <c r="I724" s="34" t="n">
        <f aca="false">+IF(E724=0,0,E724*0.03)</f>
        <v>0</v>
      </c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customFormat="false" ht="16.4" hidden="false" customHeight="false" outlineLevel="0" collapsed="false">
      <c r="A725" s="123" t="n">
        <v>45444</v>
      </c>
      <c r="B725" s="31" t="s">
        <v>247</v>
      </c>
      <c r="C725" s="129"/>
      <c r="D725" s="129"/>
      <c r="E725" s="19" t="n">
        <f aca="false">F725*0.03</f>
        <v>0</v>
      </c>
      <c r="F725" s="33" t="n">
        <v>0</v>
      </c>
      <c r="G725" s="131"/>
      <c r="H725" s="35" t="n">
        <v>0</v>
      </c>
      <c r="I725" s="34" t="n">
        <f aca="false">+IF(E725=0,0,E725*0.03)</f>
        <v>0</v>
      </c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customFormat="false" ht="16.4" hidden="false" customHeight="false" outlineLevel="0" collapsed="false">
      <c r="A726" s="123" t="n">
        <v>45444</v>
      </c>
      <c r="B726" s="31" t="s">
        <v>246</v>
      </c>
      <c r="C726" s="129"/>
      <c r="D726" s="129"/>
      <c r="E726" s="19" t="n">
        <f aca="false">F726*0.03</f>
        <v>0</v>
      </c>
      <c r="F726" s="33" t="n">
        <v>0</v>
      </c>
      <c r="G726" s="131"/>
      <c r="H726" s="35" t="n">
        <v>0</v>
      </c>
      <c r="I726" s="34" t="n">
        <f aca="false">+IF(E726=0,0,E726*0.03)</f>
        <v>0</v>
      </c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customFormat="false" ht="16.4" hidden="false" customHeight="false" outlineLevel="0" collapsed="false">
      <c r="A727" s="123" t="n">
        <v>45444</v>
      </c>
      <c r="B727" s="31" t="s">
        <v>239</v>
      </c>
      <c r="C727" s="129"/>
      <c r="D727" s="129"/>
      <c r="E727" s="19" t="n">
        <f aca="false">F727*0.03</f>
        <v>0</v>
      </c>
      <c r="F727" s="33" t="n">
        <v>0</v>
      </c>
      <c r="G727" s="131"/>
      <c r="H727" s="35" t="n">
        <v>0</v>
      </c>
      <c r="I727" s="34" t="n">
        <f aca="false">+IF(E727=0,0,E727*0.03)</f>
        <v>0</v>
      </c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customFormat="false" ht="16.4" hidden="false" customHeight="false" outlineLevel="0" collapsed="false">
      <c r="A728" s="123" t="n">
        <v>45444</v>
      </c>
      <c r="B728" s="31" t="s">
        <v>7</v>
      </c>
      <c r="C728" s="129"/>
      <c r="D728" s="129"/>
      <c r="E728" s="19" t="n">
        <f aca="false">F728*0.03</f>
        <v>0</v>
      </c>
      <c r="F728" s="33" t="n">
        <v>0</v>
      </c>
      <c r="G728" s="131"/>
      <c r="H728" s="35" t="n">
        <v>0</v>
      </c>
      <c r="I728" s="34" t="n">
        <f aca="false">+IF(E728=0,0,E728*0.03)</f>
        <v>0</v>
      </c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customFormat="false" ht="16.4" hidden="false" customHeight="false" outlineLevel="0" collapsed="false">
      <c r="A729" s="123" t="n">
        <v>45444</v>
      </c>
      <c r="B729" s="31" t="s">
        <v>240</v>
      </c>
      <c r="C729" s="129"/>
      <c r="D729" s="129"/>
      <c r="E729" s="19" t="n">
        <f aca="false">F729*0.03</f>
        <v>0</v>
      </c>
      <c r="F729" s="33" t="n">
        <v>0</v>
      </c>
      <c r="G729" s="131"/>
      <c r="H729" s="35" t="n">
        <v>0</v>
      </c>
      <c r="I729" s="34" t="n">
        <f aca="false">+IF(E729=0,0,E729*0.03)</f>
        <v>0</v>
      </c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customFormat="false" ht="16.4" hidden="false" customHeight="false" outlineLevel="0" collapsed="false">
      <c r="A730" s="123" t="n">
        <v>45444</v>
      </c>
      <c r="B730" s="31" t="s">
        <v>153</v>
      </c>
      <c r="C730" s="129"/>
      <c r="D730" s="129"/>
      <c r="E730" s="19" t="n">
        <f aca="false">F730*0.03</f>
        <v>0</v>
      </c>
      <c r="F730" s="33" t="n">
        <v>0</v>
      </c>
      <c r="G730" s="131"/>
      <c r="H730" s="35" t="n">
        <v>0</v>
      </c>
      <c r="I730" s="34" t="n">
        <f aca="false">+IF(E730=0,0,E730*0.03)</f>
        <v>0</v>
      </c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customFormat="false" ht="16.4" hidden="false" customHeight="false" outlineLevel="0" collapsed="false">
      <c r="A731" s="123" t="n">
        <v>45444</v>
      </c>
      <c r="B731" s="31" t="s">
        <v>247</v>
      </c>
      <c r="C731" s="129"/>
      <c r="D731" s="129"/>
      <c r="E731" s="19" t="n">
        <f aca="false">F731*0.03</f>
        <v>0</v>
      </c>
      <c r="F731" s="33" t="n">
        <v>0</v>
      </c>
      <c r="G731" s="131"/>
      <c r="H731" s="35" t="n">
        <v>0</v>
      </c>
      <c r="I731" s="34" t="n">
        <f aca="false">+IF(E731=0,0,E731*0.03)</f>
        <v>0</v>
      </c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customFormat="false" ht="16.4" hidden="false" customHeight="false" outlineLevel="0" collapsed="false">
      <c r="A732" s="123" t="n">
        <v>45444</v>
      </c>
      <c r="B732" s="31" t="s">
        <v>246</v>
      </c>
      <c r="C732" s="129"/>
      <c r="D732" s="129"/>
      <c r="E732" s="19" t="n">
        <f aca="false">F732*0.03</f>
        <v>0</v>
      </c>
      <c r="F732" s="33" t="n">
        <v>0</v>
      </c>
      <c r="G732" s="131"/>
      <c r="H732" s="35" t="n">
        <v>0</v>
      </c>
      <c r="I732" s="34" t="n">
        <f aca="false">+IF(E732=0,0,E732*0.03)</f>
        <v>0</v>
      </c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customFormat="false" ht="16.4" hidden="false" customHeight="false" outlineLevel="0" collapsed="false">
      <c r="A733" s="123" t="n">
        <v>45444</v>
      </c>
      <c r="B733" s="31" t="s">
        <v>239</v>
      </c>
      <c r="C733" s="129"/>
      <c r="D733" s="129"/>
      <c r="E733" s="19" t="n">
        <f aca="false">F733*0.03</f>
        <v>0</v>
      </c>
      <c r="F733" s="33" t="n">
        <v>0</v>
      </c>
      <c r="G733" s="131"/>
      <c r="H733" s="35" t="n">
        <v>0</v>
      </c>
      <c r="I733" s="34" t="n">
        <f aca="false">+IF(E733=0,0,E733*0.03)</f>
        <v>0</v>
      </c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customFormat="false" ht="16.4" hidden="false" customHeight="false" outlineLevel="0" collapsed="false">
      <c r="A734" s="123" t="n">
        <v>45444</v>
      </c>
      <c r="B734" s="31" t="s">
        <v>7</v>
      </c>
      <c r="C734" s="129"/>
      <c r="D734" s="129"/>
      <c r="E734" s="19" t="n">
        <f aca="false">F734*0.03</f>
        <v>0</v>
      </c>
      <c r="F734" s="33" t="n">
        <v>0</v>
      </c>
      <c r="G734" s="131"/>
      <c r="H734" s="35" t="n">
        <v>0</v>
      </c>
      <c r="I734" s="34" t="n">
        <f aca="false">+IF(E734=0,0,E734*0.03)</f>
        <v>0</v>
      </c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customFormat="false" ht="16.4" hidden="false" customHeight="false" outlineLevel="0" collapsed="false">
      <c r="A735" s="123" t="n">
        <v>45444</v>
      </c>
      <c r="B735" s="31" t="s">
        <v>240</v>
      </c>
      <c r="C735" s="129"/>
      <c r="D735" s="129"/>
      <c r="E735" s="19" t="n">
        <f aca="false">F735*0.03</f>
        <v>0</v>
      </c>
      <c r="F735" s="33" t="n">
        <v>0</v>
      </c>
      <c r="G735" s="131"/>
      <c r="H735" s="35" t="n">
        <v>0</v>
      </c>
      <c r="I735" s="34" t="n">
        <f aca="false">+IF(E735=0,0,E735*0.03)</f>
        <v>0</v>
      </c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customFormat="false" ht="16.4" hidden="false" customHeight="false" outlineLevel="0" collapsed="false">
      <c r="A736" s="123" t="n">
        <v>45444</v>
      </c>
      <c r="B736" s="31" t="s">
        <v>153</v>
      </c>
      <c r="C736" s="129"/>
      <c r="D736" s="129"/>
      <c r="E736" s="19" t="n">
        <f aca="false">F736*0.03</f>
        <v>0</v>
      </c>
      <c r="F736" s="33" t="n">
        <v>0</v>
      </c>
      <c r="G736" s="131"/>
      <c r="H736" s="35" t="n">
        <v>0</v>
      </c>
      <c r="I736" s="34" t="n">
        <f aca="false">+IF(E736=0,0,E736*0.03)</f>
        <v>0</v>
      </c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customFormat="false" ht="16.4" hidden="false" customHeight="false" outlineLevel="0" collapsed="false">
      <c r="A737" s="123" t="n">
        <v>45444</v>
      </c>
      <c r="B737" s="31" t="s">
        <v>247</v>
      </c>
      <c r="C737" s="129"/>
      <c r="D737" s="129"/>
      <c r="E737" s="19" t="n">
        <f aca="false">F737*0.03</f>
        <v>0</v>
      </c>
      <c r="F737" s="33" t="n">
        <v>0</v>
      </c>
      <c r="G737" s="131"/>
      <c r="H737" s="35" t="n">
        <v>0</v>
      </c>
      <c r="I737" s="34" t="n">
        <f aca="false">+IF(E737=0,0,E737*0.03)</f>
        <v>0</v>
      </c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customFormat="false" ht="16.4" hidden="false" customHeight="false" outlineLevel="0" collapsed="false">
      <c r="A738" s="123" t="n">
        <v>45444</v>
      </c>
      <c r="B738" s="31" t="s">
        <v>246</v>
      </c>
      <c r="C738" s="129"/>
      <c r="D738" s="129"/>
      <c r="E738" s="19" t="n">
        <f aca="false">F738*0.03</f>
        <v>0</v>
      </c>
      <c r="F738" s="33" t="n">
        <v>0</v>
      </c>
      <c r="G738" s="131"/>
      <c r="H738" s="35" t="n">
        <v>0</v>
      </c>
      <c r="I738" s="34" t="n">
        <f aca="false">+IF(E738=0,0,E738*0.03)</f>
        <v>0</v>
      </c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customFormat="false" ht="16.4" hidden="false" customHeight="false" outlineLevel="0" collapsed="false">
      <c r="A739" s="123" t="n">
        <v>45444</v>
      </c>
      <c r="B739" s="31" t="s">
        <v>239</v>
      </c>
      <c r="C739" s="129"/>
      <c r="D739" s="129"/>
      <c r="E739" s="19" t="n">
        <f aca="false">F739*0.03</f>
        <v>0</v>
      </c>
      <c r="F739" s="33" t="n">
        <v>0</v>
      </c>
      <c r="G739" s="131"/>
      <c r="H739" s="35" t="n">
        <v>0</v>
      </c>
      <c r="I739" s="34" t="n">
        <f aca="false">+IF(E739=0,0,E739*0.03)</f>
        <v>0</v>
      </c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customFormat="false" ht="16.4" hidden="false" customHeight="false" outlineLevel="0" collapsed="false">
      <c r="A740" s="123" t="n">
        <v>45444</v>
      </c>
      <c r="B740" s="31" t="s">
        <v>7</v>
      </c>
      <c r="C740" s="129"/>
      <c r="D740" s="129"/>
      <c r="E740" s="19" t="n">
        <f aca="false">F740*0.03</f>
        <v>0</v>
      </c>
      <c r="F740" s="33" t="n">
        <v>0</v>
      </c>
      <c r="G740" s="131"/>
      <c r="H740" s="35" t="n">
        <v>0</v>
      </c>
      <c r="I740" s="34" t="n">
        <f aca="false">+IF(E740=0,0,E740*0.03)</f>
        <v>0</v>
      </c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customFormat="false" ht="16.4" hidden="false" customHeight="false" outlineLevel="0" collapsed="false">
      <c r="A741" s="123" t="n">
        <v>45444</v>
      </c>
      <c r="B741" s="31" t="s">
        <v>240</v>
      </c>
      <c r="C741" s="129"/>
      <c r="D741" s="129"/>
      <c r="E741" s="19" t="n">
        <f aca="false">F741*0.03</f>
        <v>0</v>
      </c>
      <c r="F741" s="33" t="n">
        <v>0</v>
      </c>
      <c r="G741" s="131"/>
      <c r="H741" s="35" t="n">
        <v>0</v>
      </c>
      <c r="I741" s="34" t="n">
        <f aca="false">+IF(E741=0,0,E741*0.03)</f>
        <v>0</v>
      </c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customFormat="false" ht="16.4" hidden="false" customHeight="false" outlineLevel="0" collapsed="false">
      <c r="A742" s="123" t="n">
        <v>45444</v>
      </c>
      <c r="B742" s="31" t="s">
        <v>153</v>
      </c>
      <c r="C742" s="129"/>
      <c r="D742" s="129"/>
      <c r="E742" s="19" t="n">
        <f aca="false">F742*0.03</f>
        <v>0</v>
      </c>
      <c r="F742" s="33" t="n">
        <v>0</v>
      </c>
      <c r="G742" s="131"/>
      <c r="H742" s="35" t="n">
        <v>0</v>
      </c>
      <c r="I742" s="34" t="n">
        <f aca="false">+IF(E742=0,0,E742*0.03)</f>
        <v>0</v>
      </c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customFormat="false" ht="16.4" hidden="false" customHeight="false" outlineLevel="0" collapsed="false">
      <c r="A743" s="123" t="n">
        <v>45444</v>
      </c>
      <c r="B743" s="31" t="s">
        <v>247</v>
      </c>
      <c r="C743" s="129"/>
      <c r="D743" s="129"/>
      <c r="E743" s="19" t="n">
        <f aca="false">F743*0.03</f>
        <v>0</v>
      </c>
      <c r="F743" s="33" t="n">
        <v>0</v>
      </c>
      <c r="G743" s="131"/>
      <c r="H743" s="35" t="n">
        <v>0</v>
      </c>
      <c r="I743" s="34" t="n">
        <f aca="false">+IF(E743=0,0,E743*0.03)</f>
        <v>0</v>
      </c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customFormat="false" ht="16.4" hidden="false" customHeight="false" outlineLevel="0" collapsed="false">
      <c r="A744" s="123" t="n">
        <v>45444</v>
      </c>
      <c r="B744" s="31" t="s">
        <v>246</v>
      </c>
      <c r="C744" s="129"/>
      <c r="D744" s="129"/>
      <c r="E744" s="19" t="n">
        <f aca="false">F744*0.03</f>
        <v>0</v>
      </c>
      <c r="F744" s="33" t="n">
        <v>0</v>
      </c>
      <c r="G744" s="131"/>
      <c r="H744" s="35" t="n">
        <v>0</v>
      </c>
      <c r="I744" s="34" t="n">
        <f aca="false">+IF(E744=0,0,E744*0.03)</f>
        <v>0</v>
      </c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customFormat="false" ht="16.4" hidden="false" customHeight="false" outlineLevel="0" collapsed="false">
      <c r="A745" s="123" t="n">
        <v>45444</v>
      </c>
      <c r="B745" s="31" t="s">
        <v>239</v>
      </c>
      <c r="C745" s="129"/>
      <c r="D745" s="129"/>
      <c r="E745" s="19" t="n">
        <f aca="false">F745*0.03</f>
        <v>0</v>
      </c>
      <c r="F745" s="33" t="n">
        <v>0</v>
      </c>
      <c r="G745" s="131"/>
      <c r="H745" s="35" t="n">
        <v>0</v>
      </c>
      <c r="I745" s="34" t="n">
        <f aca="false">+IF(E745=0,0,E745*0.03)</f>
        <v>0</v>
      </c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customFormat="false" ht="16.4" hidden="false" customHeight="false" outlineLevel="0" collapsed="false">
      <c r="A746" s="123" t="n">
        <v>45444</v>
      </c>
      <c r="B746" s="31" t="s">
        <v>7</v>
      </c>
      <c r="C746" s="129"/>
      <c r="D746" s="129"/>
      <c r="E746" s="19" t="n">
        <f aca="false">F746*0.03</f>
        <v>0</v>
      </c>
      <c r="F746" s="33" t="n">
        <v>0</v>
      </c>
      <c r="G746" s="131"/>
      <c r="H746" s="35" t="n">
        <v>0</v>
      </c>
      <c r="I746" s="34" t="n">
        <f aca="false">+IF(E746=0,0,E746*0.03)</f>
        <v>0</v>
      </c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customFormat="false" ht="16.4" hidden="false" customHeight="false" outlineLevel="0" collapsed="false">
      <c r="A747" s="123" t="n">
        <v>45444</v>
      </c>
      <c r="B747" s="31" t="s">
        <v>240</v>
      </c>
      <c r="C747" s="129"/>
      <c r="D747" s="129"/>
      <c r="E747" s="19" t="n">
        <f aca="false">F747*0.03</f>
        <v>0</v>
      </c>
      <c r="F747" s="33" t="n">
        <v>0</v>
      </c>
      <c r="G747" s="131"/>
      <c r="H747" s="35" t="n">
        <v>0</v>
      </c>
      <c r="I747" s="34" t="n">
        <f aca="false">+IF(E747=0,0,E747*0.03)</f>
        <v>0</v>
      </c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customFormat="false" ht="16.4" hidden="false" customHeight="false" outlineLevel="0" collapsed="false">
      <c r="A748" s="123" t="n">
        <v>45444</v>
      </c>
      <c r="B748" s="31" t="s">
        <v>153</v>
      </c>
      <c r="C748" s="129"/>
      <c r="D748" s="129"/>
      <c r="E748" s="19" t="n">
        <f aca="false">F748*0.03</f>
        <v>0</v>
      </c>
      <c r="F748" s="33" t="n">
        <v>0</v>
      </c>
      <c r="G748" s="131"/>
      <c r="H748" s="35" t="n">
        <v>0</v>
      </c>
      <c r="I748" s="34" t="n">
        <f aca="false">+IF(E748=0,0,E748*0.03)</f>
        <v>0</v>
      </c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customFormat="false" ht="16.4" hidden="false" customHeight="false" outlineLevel="0" collapsed="false">
      <c r="A749" s="123" t="n">
        <v>45444</v>
      </c>
      <c r="B749" s="31" t="s">
        <v>247</v>
      </c>
      <c r="C749" s="129"/>
      <c r="D749" s="129"/>
      <c r="E749" s="19" t="n">
        <f aca="false">F749*0.03</f>
        <v>0</v>
      </c>
      <c r="F749" s="33" t="n">
        <v>0</v>
      </c>
      <c r="G749" s="131"/>
      <c r="H749" s="35" t="n">
        <v>0</v>
      </c>
      <c r="I749" s="34" t="n">
        <f aca="false">+IF(E749=0,0,E749*0.03)</f>
        <v>0</v>
      </c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customFormat="false" ht="16.4" hidden="false" customHeight="false" outlineLevel="0" collapsed="false">
      <c r="A750" s="123" t="n">
        <v>45444</v>
      </c>
      <c r="B750" s="31" t="s">
        <v>246</v>
      </c>
      <c r="C750" s="129"/>
      <c r="D750" s="129"/>
      <c r="E750" s="19" t="n">
        <f aca="false">F750*0.03</f>
        <v>0</v>
      </c>
      <c r="F750" s="33" t="n">
        <v>0</v>
      </c>
      <c r="G750" s="131"/>
      <c r="H750" s="35" t="n">
        <v>0</v>
      </c>
      <c r="I750" s="34" t="n">
        <f aca="false">+IF(E750=0,0,E750*0.03)</f>
        <v>0</v>
      </c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customFormat="false" ht="16.4" hidden="false" customHeight="false" outlineLevel="0" collapsed="false">
      <c r="A751" s="123" t="n">
        <v>45444</v>
      </c>
      <c r="B751" s="31" t="s">
        <v>239</v>
      </c>
      <c r="C751" s="129"/>
      <c r="D751" s="129"/>
      <c r="E751" s="19" t="n">
        <f aca="false">F751*0.03</f>
        <v>0</v>
      </c>
      <c r="F751" s="33" t="n">
        <v>0</v>
      </c>
      <c r="G751" s="131"/>
      <c r="H751" s="35" t="n">
        <v>0</v>
      </c>
      <c r="I751" s="34" t="n">
        <f aca="false">+IF(E751=0,0,E751*0.03)</f>
        <v>0</v>
      </c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customFormat="false" ht="16.4" hidden="false" customHeight="false" outlineLevel="0" collapsed="false">
      <c r="A752" s="123" t="n">
        <v>45444</v>
      </c>
      <c r="B752" s="31" t="s">
        <v>7</v>
      </c>
      <c r="C752" s="129"/>
      <c r="D752" s="129"/>
      <c r="E752" s="19" t="n">
        <f aca="false">F752*0.03</f>
        <v>0</v>
      </c>
      <c r="F752" s="33" t="n">
        <v>0</v>
      </c>
      <c r="G752" s="131"/>
      <c r="H752" s="35" t="n">
        <v>0</v>
      </c>
      <c r="I752" s="34" t="n">
        <f aca="false">+IF(E752=0,0,E752*0.03)</f>
        <v>0</v>
      </c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customFormat="false" ht="16.4" hidden="false" customHeight="false" outlineLevel="0" collapsed="false">
      <c r="A753" s="123" t="n">
        <v>45444</v>
      </c>
      <c r="B753" s="31" t="s">
        <v>240</v>
      </c>
      <c r="C753" s="129"/>
      <c r="D753" s="129"/>
      <c r="E753" s="19" t="n">
        <f aca="false">F753*0.03</f>
        <v>0</v>
      </c>
      <c r="F753" s="33" t="n">
        <v>0</v>
      </c>
      <c r="G753" s="131"/>
      <c r="H753" s="35" t="n">
        <v>0</v>
      </c>
      <c r="I753" s="34" t="n">
        <f aca="false">+IF(E753=0,0,E753*0.03)</f>
        <v>0</v>
      </c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customFormat="false" ht="16.4" hidden="false" customHeight="false" outlineLevel="0" collapsed="false">
      <c r="A754" s="123" t="n">
        <v>45444</v>
      </c>
      <c r="B754" s="31" t="s">
        <v>153</v>
      </c>
      <c r="C754" s="129"/>
      <c r="D754" s="129"/>
      <c r="E754" s="19" t="n">
        <f aca="false">F754*0.03</f>
        <v>0</v>
      </c>
      <c r="F754" s="33" t="n">
        <v>0</v>
      </c>
      <c r="G754" s="131"/>
      <c r="H754" s="35" t="n">
        <v>0</v>
      </c>
      <c r="I754" s="34" t="n">
        <f aca="false">+IF(E754=0,0,E754*0.03)</f>
        <v>0</v>
      </c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customFormat="false" ht="16.4" hidden="false" customHeight="false" outlineLevel="0" collapsed="false">
      <c r="A755" s="123" t="n">
        <v>45444</v>
      </c>
      <c r="B755" s="31" t="s">
        <v>247</v>
      </c>
      <c r="C755" s="129"/>
      <c r="D755" s="129"/>
      <c r="E755" s="19" t="n">
        <f aca="false">F755*0.03</f>
        <v>0</v>
      </c>
      <c r="F755" s="33" t="n">
        <v>0</v>
      </c>
      <c r="G755" s="131"/>
      <c r="H755" s="35" t="n">
        <v>0</v>
      </c>
      <c r="I755" s="34" t="n">
        <f aca="false">+IF(E755=0,0,E755*0.03)</f>
        <v>0</v>
      </c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customFormat="false" ht="16.4" hidden="false" customHeight="false" outlineLevel="0" collapsed="false">
      <c r="A756" s="123" t="n">
        <v>45444</v>
      </c>
      <c r="B756" s="31" t="s">
        <v>246</v>
      </c>
      <c r="C756" s="129"/>
      <c r="D756" s="129"/>
      <c r="E756" s="19" t="n">
        <f aca="false">F756*0.03</f>
        <v>0</v>
      </c>
      <c r="F756" s="33" t="n">
        <v>0</v>
      </c>
      <c r="G756" s="131"/>
      <c r="H756" s="35" t="n">
        <v>0</v>
      </c>
      <c r="I756" s="34" t="n">
        <f aca="false">+IF(E756=0,0,E756*0.03)</f>
        <v>0</v>
      </c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customFormat="false" ht="16.4" hidden="false" customHeight="false" outlineLevel="0" collapsed="false">
      <c r="A757" s="123" t="n">
        <v>45444</v>
      </c>
      <c r="B757" s="31" t="s">
        <v>239</v>
      </c>
      <c r="C757" s="129"/>
      <c r="D757" s="129"/>
      <c r="E757" s="19" t="n">
        <f aca="false">F757*0.03</f>
        <v>0</v>
      </c>
      <c r="F757" s="33" t="n">
        <v>0</v>
      </c>
      <c r="G757" s="131"/>
      <c r="H757" s="35" t="n">
        <v>0</v>
      </c>
      <c r="I757" s="34" t="n">
        <f aca="false">+IF(E757=0,0,E757*0.03)</f>
        <v>0</v>
      </c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customFormat="false" ht="16.4" hidden="false" customHeight="false" outlineLevel="0" collapsed="false">
      <c r="A758" s="123" t="n">
        <v>45444</v>
      </c>
      <c r="B758" s="31" t="s">
        <v>7</v>
      </c>
      <c r="C758" s="129"/>
      <c r="D758" s="129"/>
      <c r="E758" s="19" t="n">
        <f aca="false">F758*0.03</f>
        <v>0</v>
      </c>
      <c r="F758" s="33" t="n">
        <v>0</v>
      </c>
      <c r="G758" s="131"/>
      <c r="H758" s="35" t="n">
        <v>0</v>
      </c>
      <c r="I758" s="34" t="n">
        <f aca="false">+IF(E758=0,0,E758*0.03)</f>
        <v>0</v>
      </c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customFormat="false" ht="16.4" hidden="false" customHeight="false" outlineLevel="0" collapsed="false">
      <c r="A759" s="123" t="n">
        <v>45444</v>
      </c>
      <c r="B759" s="31" t="s">
        <v>240</v>
      </c>
      <c r="C759" s="129"/>
      <c r="D759" s="129"/>
      <c r="E759" s="19" t="n">
        <f aca="false">F759*0.03</f>
        <v>0</v>
      </c>
      <c r="F759" s="33" t="n">
        <v>0</v>
      </c>
      <c r="G759" s="131"/>
      <c r="H759" s="35" t="n">
        <v>0</v>
      </c>
      <c r="I759" s="34" t="n">
        <f aca="false">+IF(E759=0,0,E759*0.03)</f>
        <v>0</v>
      </c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customFormat="false" ht="16.4" hidden="false" customHeight="false" outlineLevel="0" collapsed="false">
      <c r="A760" s="123" t="n">
        <v>45444</v>
      </c>
      <c r="B760" s="31" t="s">
        <v>153</v>
      </c>
      <c r="C760" s="129"/>
      <c r="D760" s="129"/>
      <c r="E760" s="19" t="n">
        <f aca="false">F760*0.03</f>
        <v>0</v>
      </c>
      <c r="F760" s="33" t="n">
        <v>0</v>
      </c>
      <c r="G760" s="131"/>
      <c r="H760" s="35" t="n">
        <v>0</v>
      </c>
      <c r="I760" s="34" t="n">
        <f aca="false">+IF(E760=0,0,E760*0.03)</f>
        <v>0</v>
      </c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customFormat="false" ht="16.4" hidden="false" customHeight="false" outlineLevel="0" collapsed="false">
      <c r="A761" s="123" t="n">
        <v>45444</v>
      </c>
      <c r="B761" s="31" t="s">
        <v>247</v>
      </c>
      <c r="C761" s="129"/>
      <c r="D761" s="129"/>
      <c r="E761" s="19" t="n">
        <f aca="false">F761*0.03</f>
        <v>0</v>
      </c>
      <c r="F761" s="33" t="n">
        <v>0</v>
      </c>
      <c r="G761" s="131"/>
      <c r="H761" s="35" t="n">
        <v>0</v>
      </c>
      <c r="I761" s="34" t="n">
        <f aca="false">+IF(E761=0,0,E761*0.03)</f>
        <v>0</v>
      </c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customFormat="false" ht="16.4" hidden="false" customHeight="false" outlineLevel="0" collapsed="false">
      <c r="A762" s="123" t="n">
        <v>45444</v>
      </c>
      <c r="B762" s="31" t="s">
        <v>246</v>
      </c>
      <c r="C762" s="129"/>
      <c r="D762" s="129"/>
      <c r="E762" s="19" t="n">
        <f aca="false">F762*0.03</f>
        <v>0</v>
      </c>
      <c r="F762" s="33" t="n">
        <v>0</v>
      </c>
      <c r="G762" s="131"/>
      <c r="H762" s="35" t="n">
        <v>0</v>
      </c>
      <c r="I762" s="34" t="n">
        <f aca="false">+IF(E762=0,0,E762*0.03)</f>
        <v>0</v>
      </c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customFormat="false" ht="16.4" hidden="false" customHeight="false" outlineLevel="0" collapsed="false">
      <c r="A763" s="123" t="n">
        <v>45444</v>
      </c>
      <c r="B763" s="31" t="s">
        <v>239</v>
      </c>
      <c r="C763" s="129"/>
      <c r="D763" s="129"/>
      <c r="E763" s="19" t="n">
        <f aca="false">F763*0.03</f>
        <v>0</v>
      </c>
      <c r="F763" s="33" t="n">
        <v>0</v>
      </c>
      <c r="G763" s="131"/>
      <c r="H763" s="35" t="n">
        <v>0</v>
      </c>
      <c r="I763" s="34" t="n">
        <f aca="false">+IF(E763=0,0,E763*0.03)</f>
        <v>0</v>
      </c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customFormat="false" ht="16.4" hidden="false" customHeight="false" outlineLevel="0" collapsed="false">
      <c r="A764" s="123" t="n">
        <v>45444</v>
      </c>
      <c r="B764" s="31" t="s">
        <v>7</v>
      </c>
      <c r="C764" s="129"/>
      <c r="D764" s="129"/>
      <c r="E764" s="19" t="n">
        <f aca="false">F764*0.03</f>
        <v>0</v>
      </c>
      <c r="F764" s="33" t="n">
        <v>0</v>
      </c>
      <c r="G764" s="131"/>
      <c r="H764" s="35" t="n">
        <v>0</v>
      </c>
      <c r="I764" s="34" t="n">
        <f aca="false">+IF(E764=0,0,E764*0.03)</f>
        <v>0</v>
      </c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customFormat="false" ht="16.4" hidden="false" customHeight="false" outlineLevel="0" collapsed="false">
      <c r="A765" s="123" t="n">
        <v>45444</v>
      </c>
      <c r="B765" s="31" t="s">
        <v>240</v>
      </c>
      <c r="C765" s="129"/>
      <c r="D765" s="129"/>
      <c r="E765" s="19" t="n">
        <f aca="false">F765*0.03</f>
        <v>0</v>
      </c>
      <c r="F765" s="33" t="n">
        <v>0</v>
      </c>
      <c r="G765" s="131"/>
      <c r="H765" s="35" t="n">
        <v>0</v>
      </c>
      <c r="I765" s="34" t="n">
        <f aca="false">+IF(E765=0,0,E765*0.03)</f>
        <v>0</v>
      </c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customFormat="false" ht="16.4" hidden="false" customHeight="false" outlineLevel="0" collapsed="false">
      <c r="A766" s="123" t="n">
        <v>45444</v>
      </c>
      <c r="B766" s="31" t="s">
        <v>153</v>
      </c>
      <c r="C766" s="129"/>
      <c r="D766" s="129"/>
      <c r="E766" s="19" t="n">
        <f aca="false">F766*0.03</f>
        <v>0</v>
      </c>
      <c r="F766" s="33" t="n">
        <v>0</v>
      </c>
      <c r="G766" s="131"/>
      <c r="H766" s="35" t="n">
        <v>0</v>
      </c>
      <c r="I766" s="34" t="n">
        <f aca="false">+IF(E766=0,0,E766*0.03)</f>
        <v>0</v>
      </c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customFormat="false" ht="16.4" hidden="false" customHeight="false" outlineLevel="0" collapsed="false">
      <c r="A767" s="123" t="n">
        <v>45444</v>
      </c>
      <c r="B767" s="31" t="s">
        <v>247</v>
      </c>
      <c r="C767" s="129"/>
      <c r="D767" s="129"/>
      <c r="E767" s="19" t="n">
        <f aca="false">F767*0.03</f>
        <v>0</v>
      </c>
      <c r="F767" s="33" t="n">
        <v>0</v>
      </c>
      <c r="G767" s="131"/>
      <c r="H767" s="35" t="n">
        <v>0</v>
      </c>
      <c r="I767" s="34" t="n">
        <f aca="false">+IF(E767=0,0,E767*0.03)</f>
        <v>0</v>
      </c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customFormat="false" ht="16.4" hidden="false" customHeight="false" outlineLevel="0" collapsed="false">
      <c r="A768" s="123" t="n">
        <v>45444</v>
      </c>
      <c r="B768" s="31" t="s">
        <v>246</v>
      </c>
      <c r="C768" s="129"/>
      <c r="D768" s="129"/>
      <c r="E768" s="19" t="n">
        <f aca="false">F768*0.03</f>
        <v>0</v>
      </c>
      <c r="F768" s="33" t="n">
        <v>0</v>
      </c>
      <c r="G768" s="131"/>
      <c r="H768" s="35" t="n">
        <v>0</v>
      </c>
      <c r="I768" s="34" t="n">
        <f aca="false">+IF(E768=0,0,E768*0.03)</f>
        <v>0</v>
      </c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customFormat="false" ht="16.4" hidden="false" customHeight="false" outlineLevel="0" collapsed="false">
      <c r="A769" s="123" t="n">
        <v>45444</v>
      </c>
      <c r="B769" s="31" t="s">
        <v>239</v>
      </c>
      <c r="C769" s="129"/>
      <c r="D769" s="129"/>
      <c r="E769" s="19" t="n">
        <f aca="false">F769*0.03</f>
        <v>0</v>
      </c>
      <c r="F769" s="33" t="n">
        <v>0</v>
      </c>
      <c r="G769" s="131"/>
      <c r="H769" s="35" t="n">
        <v>0</v>
      </c>
      <c r="I769" s="34" t="n">
        <f aca="false">+IF(E769=0,0,E769*0.03)</f>
        <v>0</v>
      </c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customFormat="false" ht="16.4" hidden="false" customHeight="false" outlineLevel="0" collapsed="false">
      <c r="A770" s="123" t="n">
        <v>45444</v>
      </c>
      <c r="B770" s="31" t="s">
        <v>7</v>
      </c>
      <c r="C770" s="129"/>
      <c r="D770" s="129"/>
      <c r="E770" s="19" t="n">
        <f aca="false">F770*0.03</f>
        <v>0</v>
      </c>
      <c r="F770" s="33" t="n">
        <v>0</v>
      </c>
      <c r="G770" s="131"/>
      <c r="H770" s="35" t="n">
        <v>0</v>
      </c>
      <c r="I770" s="34" t="n">
        <f aca="false">+IF(E770=0,0,E770*0.03)</f>
        <v>0</v>
      </c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customFormat="false" ht="16.4" hidden="false" customHeight="false" outlineLevel="0" collapsed="false">
      <c r="A771" s="123" t="n">
        <v>45444</v>
      </c>
      <c r="B771" s="31" t="s">
        <v>240</v>
      </c>
      <c r="C771" s="129"/>
      <c r="D771" s="129"/>
      <c r="E771" s="19" t="n">
        <f aca="false">F771*0.03</f>
        <v>0</v>
      </c>
      <c r="F771" s="33" t="n">
        <v>0</v>
      </c>
      <c r="G771" s="131"/>
      <c r="H771" s="35" t="n">
        <v>0</v>
      </c>
      <c r="I771" s="34" t="n">
        <f aca="false">+IF(E771=0,0,E771*0.03)</f>
        <v>0</v>
      </c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customFormat="false" ht="16.4" hidden="false" customHeight="false" outlineLevel="0" collapsed="false">
      <c r="A772" s="123" t="n">
        <v>45444</v>
      </c>
      <c r="B772" s="31" t="s">
        <v>153</v>
      </c>
      <c r="C772" s="129"/>
      <c r="D772" s="129"/>
      <c r="E772" s="19" t="n">
        <f aca="false">F772*0.03</f>
        <v>0</v>
      </c>
      <c r="F772" s="33" t="n">
        <v>0</v>
      </c>
      <c r="G772" s="131"/>
      <c r="H772" s="35" t="n">
        <v>0</v>
      </c>
      <c r="I772" s="34" t="n">
        <f aca="false">+IF(E772=0,0,E772*0.03)</f>
        <v>0</v>
      </c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customFormat="false" ht="16.4" hidden="false" customHeight="false" outlineLevel="0" collapsed="false">
      <c r="A773" s="123" t="n">
        <v>45444</v>
      </c>
      <c r="B773" s="31" t="s">
        <v>247</v>
      </c>
      <c r="C773" s="129"/>
      <c r="D773" s="129"/>
      <c r="E773" s="19" t="n">
        <f aca="false">F773*0.03</f>
        <v>0</v>
      </c>
      <c r="F773" s="33" t="n">
        <v>0</v>
      </c>
      <c r="G773" s="131"/>
      <c r="H773" s="35" t="n">
        <v>0</v>
      </c>
      <c r="I773" s="34" t="n">
        <f aca="false">+IF(E773=0,0,E773*0.03)</f>
        <v>0</v>
      </c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customFormat="false" ht="16.4" hidden="false" customHeight="false" outlineLevel="0" collapsed="false">
      <c r="A774" s="123" t="n">
        <v>45444</v>
      </c>
      <c r="B774" s="31" t="s">
        <v>246</v>
      </c>
      <c r="C774" s="129"/>
      <c r="D774" s="129"/>
      <c r="E774" s="19" t="n">
        <f aca="false">F774*0.03</f>
        <v>0</v>
      </c>
      <c r="F774" s="33" t="n">
        <v>0</v>
      </c>
      <c r="G774" s="131"/>
      <c r="H774" s="35" t="n">
        <v>0</v>
      </c>
      <c r="I774" s="34" t="n">
        <f aca="false">+IF(E774=0,0,E774*0.03)</f>
        <v>0</v>
      </c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customFormat="false" ht="16.4" hidden="false" customHeight="false" outlineLevel="0" collapsed="false">
      <c r="A775" s="123" t="n">
        <v>45444</v>
      </c>
      <c r="B775" s="31" t="s">
        <v>239</v>
      </c>
      <c r="C775" s="129"/>
      <c r="D775" s="129"/>
      <c r="E775" s="19" t="n">
        <f aca="false">F775*0.03</f>
        <v>0</v>
      </c>
      <c r="F775" s="33" t="n">
        <v>0</v>
      </c>
      <c r="G775" s="131"/>
      <c r="H775" s="35" t="n">
        <v>0</v>
      </c>
      <c r="I775" s="34" t="n">
        <f aca="false">+IF(E775=0,0,E775*0.03)</f>
        <v>0</v>
      </c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customFormat="false" ht="16.4" hidden="false" customHeight="false" outlineLevel="0" collapsed="false">
      <c r="A776" s="123" t="n">
        <v>45444</v>
      </c>
      <c r="B776" s="31" t="s">
        <v>7</v>
      </c>
      <c r="C776" s="129"/>
      <c r="D776" s="129"/>
      <c r="E776" s="19" t="n">
        <f aca="false">F776*0.03</f>
        <v>0</v>
      </c>
      <c r="F776" s="33" t="n">
        <v>0</v>
      </c>
      <c r="G776" s="131"/>
      <c r="H776" s="35" t="n">
        <v>0</v>
      </c>
      <c r="I776" s="34" t="n">
        <f aca="false">+IF(E776=0,0,E776*0.03)</f>
        <v>0</v>
      </c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customFormat="false" ht="16.4" hidden="false" customHeight="false" outlineLevel="0" collapsed="false">
      <c r="A777" s="123" t="n">
        <v>45444</v>
      </c>
      <c r="B777" s="31" t="s">
        <v>240</v>
      </c>
      <c r="C777" s="129"/>
      <c r="D777" s="129"/>
      <c r="E777" s="19" t="n">
        <f aca="false">F777*0.03</f>
        <v>0</v>
      </c>
      <c r="F777" s="33" t="n">
        <v>0</v>
      </c>
      <c r="G777" s="131"/>
      <c r="H777" s="35" t="n">
        <v>0</v>
      </c>
      <c r="I777" s="34" t="n">
        <f aca="false">+IF(E777=0,0,E777*0.03)</f>
        <v>0</v>
      </c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customFormat="false" ht="16.4" hidden="false" customHeight="false" outlineLevel="0" collapsed="false">
      <c r="A778" s="123" t="n">
        <v>45444</v>
      </c>
      <c r="B778" s="31" t="s">
        <v>153</v>
      </c>
      <c r="C778" s="129"/>
      <c r="D778" s="129"/>
      <c r="E778" s="19" t="n">
        <f aca="false">F778*0.03</f>
        <v>0</v>
      </c>
      <c r="F778" s="33" t="n">
        <v>0</v>
      </c>
      <c r="G778" s="131"/>
      <c r="H778" s="35" t="n">
        <v>0</v>
      </c>
      <c r="I778" s="34" t="n">
        <f aca="false">+IF(E778=0,0,E778*0.03)</f>
        <v>0</v>
      </c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customFormat="false" ht="16.4" hidden="false" customHeight="false" outlineLevel="0" collapsed="false">
      <c r="A779" s="123" t="n">
        <v>45444</v>
      </c>
      <c r="B779" s="31" t="s">
        <v>153</v>
      </c>
      <c r="C779" s="129"/>
      <c r="D779" s="129"/>
      <c r="E779" s="19" t="n">
        <f aca="false">F779*0.03</f>
        <v>0</v>
      </c>
      <c r="F779" s="33" t="n">
        <v>0</v>
      </c>
      <c r="G779" s="131"/>
      <c r="H779" s="35" t="n">
        <v>0</v>
      </c>
      <c r="I779" s="34" t="n">
        <f aca="false">+IF(E779=0,0,E779*0.03)</f>
        <v>0</v>
      </c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customFormat="false" ht="16.4" hidden="false" customHeight="false" outlineLevel="0" collapsed="false">
      <c r="A780" s="123" t="n">
        <v>45444</v>
      </c>
      <c r="B780" s="31" t="s">
        <v>153</v>
      </c>
      <c r="C780" s="129"/>
      <c r="D780" s="129"/>
      <c r="E780" s="19" t="n">
        <f aca="false">F780*0.03</f>
        <v>0</v>
      </c>
      <c r="F780" s="33" t="n">
        <v>0</v>
      </c>
      <c r="G780" s="131"/>
      <c r="H780" s="35" t="n">
        <v>0</v>
      </c>
      <c r="I780" s="34" t="n">
        <f aca="false">+IF(E780=0,0,E780*0.03)</f>
        <v>0</v>
      </c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customFormat="false" ht="16.4" hidden="false" customHeight="false" outlineLevel="0" collapsed="false">
      <c r="A781" s="123" t="n">
        <v>45444</v>
      </c>
      <c r="B781" s="31" t="s">
        <v>153</v>
      </c>
      <c r="C781" s="129"/>
      <c r="D781" s="129"/>
      <c r="E781" s="19" t="n">
        <f aca="false">F781*0.03</f>
        <v>0</v>
      </c>
      <c r="F781" s="33" t="n">
        <v>0</v>
      </c>
      <c r="G781" s="131"/>
      <c r="H781" s="35" t="n">
        <v>0</v>
      </c>
      <c r="I781" s="34" t="n">
        <f aca="false">+IF(E781=0,0,E781*0.03)</f>
        <v>0</v>
      </c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customFormat="false" ht="16.4" hidden="false" customHeight="false" outlineLevel="0" collapsed="false">
      <c r="A782" s="123" t="n">
        <v>45444</v>
      </c>
      <c r="B782" s="31" t="s">
        <v>153</v>
      </c>
      <c r="C782" s="129"/>
      <c r="D782" s="129"/>
      <c r="E782" s="19" t="n">
        <f aca="false">F782*0.03</f>
        <v>0</v>
      </c>
      <c r="F782" s="33" t="n">
        <v>0</v>
      </c>
      <c r="G782" s="131"/>
      <c r="H782" s="35" t="n">
        <v>0</v>
      </c>
      <c r="I782" s="34" t="n">
        <f aca="false">+IF(E782=0,0,E782*0.03)</f>
        <v>0</v>
      </c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customFormat="false" ht="16.4" hidden="false" customHeight="false" outlineLevel="0" collapsed="false">
      <c r="A783" s="123" t="n">
        <v>45444</v>
      </c>
      <c r="B783" s="31" t="s">
        <v>153</v>
      </c>
      <c r="C783" s="129"/>
      <c r="D783" s="129"/>
      <c r="E783" s="19" t="n">
        <f aca="false">F783*0.03</f>
        <v>0</v>
      </c>
      <c r="F783" s="33" t="n">
        <v>0</v>
      </c>
      <c r="G783" s="131"/>
      <c r="H783" s="35" t="n">
        <v>0</v>
      </c>
      <c r="I783" s="34" t="n">
        <f aca="false">+IF(E783=0,0,E783*0.03)</f>
        <v>0</v>
      </c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customFormat="false" ht="16.4" hidden="false" customHeight="false" outlineLevel="0" collapsed="false">
      <c r="A784" s="123" t="n">
        <v>45444</v>
      </c>
      <c r="B784" s="31" t="s">
        <v>153</v>
      </c>
      <c r="C784" s="129"/>
      <c r="D784" s="129"/>
      <c r="E784" s="19" t="n">
        <f aca="false">F784*0.03</f>
        <v>0</v>
      </c>
      <c r="F784" s="33" t="n">
        <v>0</v>
      </c>
      <c r="G784" s="131"/>
      <c r="H784" s="35" t="n">
        <v>0</v>
      </c>
      <c r="I784" s="34" t="n">
        <f aca="false">+IF(E784=0,0,E784*0.03)</f>
        <v>0</v>
      </c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customFormat="false" ht="16.4" hidden="false" customHeight="false" outlineLevel="0" collapsed="false">
      <c r="A785" s="123" t="n">
        <v>45444</v>
      </c>
      <c r="B785" s="31" t="s">
        <v>153</v>
      </c>
      <c r="C785" s="129"/>
      <c r="D785" s="129"/>
      <c r="E785" s="19" t="n">
        <f aca="false">F785*0.03</f>
        <v>0</v>
      </c>
      <c r="F785" s="33" t="n">
        <v>0</v>
      </c>
      <c r="G785" s="131"/>
      <c r="H785" s="35" t="n">
        <v>0</v>
      </c>
      <c r="I785" s="34" t="n">
        <f aca="false">+IF(E785=0,0,E785*0.03)</f>
        <v>0</v>
      </c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customFormat="false" ht="16.4" hidden="false" customHeight="false" outlineLevel="0" collapsed="false">
      <c r="A786" s="123" t="n">
        <v>45444</v>
      </c>
      <c r="B786" s="31" t="s">
        <v>153</v>
      </c>
      <c r="C786" s="129"/>
      <c r="D786" s="129"/>
      <c r="E786" s="19" t="n">
        <f aca="false">F786*0.03</f>
        <v>0</v>
      </c>
      <c r="F786" s="33" t="n">
        <v>0</v>
      </c>
      <c r="G786" s="131"/>
      <c r="H786" s="35" t="n">
        <v>0</v>
      </c>
      <c r="I786" s="34" t="n">
        <f aca="false">+IF(E786=0,0,E786*0.03)</f>
        <v>0</v>
      </c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customFormat="false" ht="16.4" hidden="false" customHeight="false" outlineLevel="0" collapsed="false">
      <c r="A787" s="123" t="n">
        <v>45444</v>
      </c>
      <c r="B787" s="31" t="s">
        <v>153</v>
      </c>
      <c r="C787" s="129"/>
      <c r="D787" s="129"/>
      <c r="E787" s="19" t="n">
        <f aca="false">F787*0.03</f>
        <v>0</v>
      </c>
      <c r="F787" s="33" t="n">
        <v>0</v>
      </c>
      <c r="G787" s="131"/>
      <c r="H787" s="35" t="n">
        <v>0</v>
      </c>
      <c r="I787" s="34" t="n">
        <f aca="false">+IF(E787=0,0,E787*0.03)</f>
        <v>0</v>
      </c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customFormat="false" ht="16.4" hidden="false" customHeight="false" outlineLevel="0" collapsed="false">
      <c r="A788" s="123" t="n">
        <v>45444</v>
      </c>
      <c r="B788" s="31" t="s">
        <v>153</v>
      </c>
      <c r="C788" s="129"/>
      <c r="D788" s="129"/>
      <c r="E788" s="19" t="n">
        <f aca="false">F788*0.03</f>
        <v>0</v>
      </c>
      <c r="F788" s="33" t="n">
        <v>0</v>
      </c>
      <c r="G788" s="131"/>
      <c r="H788" s="35" t="n">
        <v>0</v>
      </c>
      <c r="I788" s="34" t="n">
        <f aca="false">+IF(E788=0,0,E788*0.03)</f>
        <v>0</v>
      </c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customFormat="false" ht="16.4" hidden="false" customHeight="false" outlineLevel="0" collapsed="false">
      <c r="A789" s="123" t="n">
        <v>45444</v>
      </c>
      <c r="B789" s="31" t="s">
        <v>153</v>
      </c>
      <c r="C789" s="129"/>
      <c r="D789" s="129"/>
      <c r="E789" s="19" t="n">
        <f aca="false">F789*0.03</f>
        <v>0</v>
      </c>
      <c r="F789" s="33" t="n">
        <v>0</v>
      </c>
      <c r="G789" s="131"/>
      <c r="H789" s="35" t="n">
        <v>0</v>
      </c>
      <c r="I789" s="34" t="n">
        <f aca="false">+IF(E789=0,0,E789*0.03)</f>
        <v>0</v>
      </c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customFormat="false" ht="16.4" hidden="false" customHeight="false" outlineLevel="0" collapsed="false">
      <c r="A790" s="123" t="n">
        <v>45444</v>
      </c>
      <c r="B790" s="31" t="s">
        <v>153</v>
      </c>
      <c r="C790" s="129"/>
      <c r="D790" s="129"/>
      <c r="E790" s="19" t="n">
        <f aca="false">F790*0.03</f>
        <v>0</v>
      </c>
      <c r="F790" s="33" t="n">
        <v>0</v>
      </c>
      <c r="G790" s="131"/>
      <c r="H790" s="35" t="n">
        <v>0</v>
      </c>
      <c r="I790" s="34" t="n">
        <f aca="false">+IF(E790=0,0,E790*0.03)</f>
        <v>0</v>
      </c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customFormat="false" ht="16.4" hidden="false" customHeight="false" outlineLevel="0" collapsed="false">
      <c r="A791" s="123" t="n">
        <v>45444</v>
      </c>
      <c r="B791" s="31" t="s">
        <v>153</v>
      </c>
      <c r="C791" s="129"/>
      <c r="D791" s="129"/>
      <c r="E791" s="19" t="n">
        <f aca="false">F791*0.03</f>
        <v>0</v>
      </c>
      <c r="F791" s="33" t="n">
        <v>0</v>
      </c>
      <c r="G791" s="131"/>
      <c r="H791" s="35" t="n">
        <v>0</v>
      </c>
      <c r="I791" s="34" t="n">
        <f aca="false">+IF(E791=0,0,E791*0.03)</f>
        <v>0</v>
      </c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customFormat="false" ht="16.4" hidden="false" customHeight="false" outlineLevel="0" collapsed="false">
      <c r="A792" s="123" t="n">
        <v>45444</v>
      </c>
      <c r="B792" s="31" t="s">
        <v>153</v>
      </c>
      <c r="C792" s="129"/>
      <c r="D792" s="129"/>
      <c r="E792" s="19" t="n">
        <f aca="false">F792*0.03</f>
        <v>0</v>
      </c>
      <c r="F792" s="33" t="n">
        <v>0</v>
      </c>
      <c r="G792" s="131"/>
      <c r="H792" s="35" t="n">
        <v>0</v>
      </c>
      <c r="I792" s="34" t="n">
        <f aca="false">+IF(E792=0,0,E792*0.03)</f>
        <v>0</v>
      </c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customFormat="false" ht="16.4" hidden="false" customHeight="false" outlineLevel="0" collapsed="false">
      <c r="A793" s="123" t="n">
        <v>45444</v>
      </c>
      <c r="B793" s="31" t="s">
        <v>153</v>
      </c>
      <c r="C793" s="129"/>
      <c r="D793" s="129"/>
      <c r="E793" s="19" t="n">
        <f aca="false">F793*0.03</f>
        <v>0</v>
      </c>
      <c r="F793" s="33" t="n">
        <v>0</v>
      </c>
      <c r="G793" s="131"/>
      <c r="H793" s="35" t="n">
        <v>0</v>
      </c>
      <c r="I793" s="34" t="n">
        <f aca="false">+IF(E793=0,0,E793*0.03)</f>
        <v>0</v>
      </c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customFormat="false" ht="16.4" hidden="false" customHeight="false" outlineLevel="0" collapsed="false">
      <c r="A794" s="123" t="n">
        <v>45444</v>
      </c>
      <c r="B794" s="31" t="s">
        <v>153</v>
      </c>
      <c r="C794" s="129"/>
      <c r="D794" s="129"/>
      <c r="E794" s="19" t="n">
        <f aca="false">F794*0.03</f>
        <v>0</v>
      </c>
      <c r="F794" s="33" t="n">
        <v>0</v>
      </c>
      <c r="G794" s="131"/>
      <c r="H794" s="35" t="n">
        <v>0</v>
      </c>
      <c r="I794" s="34" t="n">
        <f aca="false">+IF(E794=0,0,E794*0.03)</f>
        <v>0</v>
      </c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customFormat="false" ht="16.4" hidden="false" customHeight="false" outlineLevel="0" collapsed="false">
      <c r="A795" s="123" t="n">
        <v>45444</v>
      </c>
      <c r="B795" s="31" t="s">
        <v>153</v>
      </c>
      <c r="C795" s="129"/>
      <c r="D795" s="129"/>
      <c r="E795" s="19" t="n">
        <f aca="false">F795*0.03</f>
        <v>0</v>
      </c>
      <c r="F795" s="33" t="n">
        <v>0</v>
      </c>
      <c r="G795" s="131"/>
      <c r="H795" s="35" t="n">
        <v>0</v>
      </c>
      <c r="I795" s="34" t="n">
        <f aca="false">+IF(E795=0,0,E795*0.03)</f>
        <v>0</v>
      </c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customFormat="false" ht="16.4" hidden="false" customHeight="false" outlineLevel="0" collapsed="false">
      <c r="A796" s="123" t="n">
        <v>45444</v>
      </c>
      <c r="B796" s="31" t="s">
        <v>153</v>
      </c>
      <c r="C796" s="129"/>
      <c r="D796" s="129"/>
      <c r="E796" s="19" t="n">
        <f aca="false">F796*0.03</f>
        <v>0</v>
      </c>
      <c r="F796" s="33" t="n">
        <v>0</v>
      </c>
      <c r="G796" s="131"/>
      <c r="H796" s="35" t="n">
        <v>0</v>
      </c>
      <c r="I796" s="34" t="n">
        <f aca="false">+IF(E796=0,0,E796*0.03)</f>
        <v>0</v>
      </c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customFormat="false" ht="16.4" hidden="false" customHeight="false" outlineLevel="0" collapsed="false">
      <c r="A797" s="123" t="n">
        <v>45444</v>
      </c>
      <c r="B797" s="31" t="s">
        <v>153</v>
      </c>
      <c r="C797" s="129"/>
      <c r="D797" s="129"/>
      <c r="E797" s="19" t="n">
        <f aca="false">F797*0.03</f>
        <v>0</v>
      </c>
      <c r="F797" s="33" t="n">
        <v>0</v>
      </c>
      <c r="G797" s="131"/>
      <c r="H797" s="35" t="n">
        <v>0</v>
      </c>
      <c r="I797" s="34" t="n">
        <f aca="false">+IF(E797=0,0,E797*0.03)</f>
        <v>0</v>
      </c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customFormat="false" ht="16.4" hidden="false" customHeight="false" outlineLevel="0" collapsed="false">
      <c r="A798" s="123" t="n">
        <v>45444</v>
      </c>
      <c r="B798" s="31" t="s">
        <v>153</v>
      </c>
      <c r="C798" s="129"/>
      <c r="D798" s="129"/>
      <c r="E798" s="19" t="n">
        <f aca="false">F798*0.03</f>
        <v>0</v>
      </c>
      <c r="F798" s="33" t="n">
        <v>0</v>
      </c>
      <c r="G798" s="131"/>
      <c r="H798" s="35" t="n">
        <v>0</v>
      </c>
      <c r="I798" s="34" t="n">
        <f aca="false">+IF(E798=0,0,E798*0.03)</f>
        <v>0</v>
      </c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customFormat="false" ht="16.4" hidden="false" customHeight="false" outlineLevel="0" collapsed="false">
      <c r="A799" s="123" t="n">
        <v>45444</v>
      </c>
      <c r="B799" s="31" t="s">
        <v>153</v>
      </c>
      <c r="C799" s="129"/>
      <c r="D799" s="129"/>
      <c r="E799" s="19" t="n">
        <f aca="false">F799*0.03</f>
        <v>0</v>
      </c>
      <c r="F799" s="33" t="n">
        <v>0</v>
      </c>
      <c r="G799" s="131"/>
      <c r="H799" s="35" t="n">
        <v>0</v>
      </c>
      <c r="I799" s="34" t="n">
        <f aca="false">+IF(E799=0,0,E799*0.03)</f>
        <v>0</v>
      </c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customFormat="false" ht="16.4" hidden="false" customHeight="false" outlineLevel="0" collapsed="false">
      <c r="A800" s="123" t="n">
        <v>45444</v>
      </c>
      <c r="B800" s="31" t="s">
        <v>153</v>
      </c>
      <c r="C800" s="129"/>
      <c r="D800" s="129"/>
      <c r="E800" s="19" t="n">
        <f aca="false">F800*0.03</f>
        <v>0</v>
      </c>
      <c r="F800" s="33" t="n">
        <v>0</v>
      </c>
      <c r="G800" s="131"/>
      <c r="H800" s="35" t="n">
        <v>0</v>
      </c>
      <c r="I800" s="34" t="n">
        <f aca="false">+IF(E800=0,0,E800*0.03)</f>
        <v>0</v>
      </c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customFormat="false" ht="16.4" hidden="false" customHeight="false" outlineLevel="0" collapsed="false">
      <c r="A801" s="123" t="n">
        <v>45444</v>
      </c>
      <c r="B801" s="31" t="s">
        <v>153</v>
      </c>
      <c r="C801" s="129"/>
      <c r="D801" s="129"/>
      <c r="E801" s="19" t="n">
        <f aca="false">F801*0.03</f>
        <v>0</v>
      </c>
      <c r="F801" s="33" t="n">
        <v>0</v>
      </c>
      <c r="G801" s="131"/>
      <c r="H801" s="35" t="n">
        <v>0</v>
      </c>
      <c r="I801" s="34" t="n">
        <f aca="false">+IF(E801=0,0,E801*0.03)</f>
        <v>0</v>
      </c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customFormat="false" ht="16.4" hidden="false" customHeight="false" outlineLevel="0" collapsed="false">
      <c r="A802" s="123" t="n">
        <v>45444</v>
      </c>
      <c r="B802" s="31" t="s">
        <v>153</v>
      </c>
      <c r="C802" s="129"/>
      <c r="D802" s="129"/>
      <c r="E802" s="19" t="n">
        <f aca="false">F802*0.03</f>
        <v>0</v>
      </c>
      <c r="F802" s="33" t="n">
        <v>0</v>
      </c>
      <c r="G802" s="131"/>
      <c r="H802" s="35" t="n">
        <v>0</v>
      </c>
      <c r="I802" s="34" t="n">
        <f aca="false">+IF(E802=0,0,E802*0.03)</f>
        <v>0</v>
      </c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customFormat="false" ht="16.4" hidden="false" customHeight="false" outlineLevel="0" collapsed="false">
      <c r="A803" s="123" t="n">
        <v>45444</v>
      </c>
      <c r="B803" s="31" t="s">
        <v>153</v>
      </c>
      <c r="C803" s="129"/>
      <c r="D803" s="129"/>
      <c r="E803" s="19" t="n">
        <f aca="false">F803*0.03</f>
        <v>0</v>
      </c>
      <c r="F803" s="33" t="n">
        <v>0</v>
      </c>
      <c r="G803" s="131"/>
      <c r="H803" s="35" t="n">
        <v>0</v>
      </c>
      <c r="I803" s="34" t="n">
        <f aca="false">+IF(E803=0,0,E803*0.03)</f>
        <v>0</v>
      </c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customFormat="false" ht="16.4" hidden="false" customHeight="false" outlineLevel="0" collapsed="false">
      <c r="A804" s="123" t="n">
        <v>45444</v>
      </c>
      <c r="B804" s="31" t="s">
        <v>153</v>
      </c>
      <c r="C804" s="129"/>
      <c r="D804" s="129"/>
      <c r="E804" s="19" t="n">
        <f aca="false">F804*0.03</f>
        <v>0</v>
      </c>
      <c r="F804" s="33" t="n">
        <v>0</v>
      </c>
      <c r="G804" s="131"/>
      <c r="H804" s="35" t="n">
        <v>0</v>
      </c>
      <c r="I804" s="34" t="n">
        <f aca="false">+IF(E804=0,0,E804*0.03)</f>
        <v>0</v>
      </c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customFormat="false" ht="16.4" hidden="false" customHeight="false" outlineLevel="0" collapsed="false">
      <c r="A805" s="123" t="n">
        <v>45444</v>
      </c>
      <c r="B805" s="31" t="s">
        <v>153</v>
      </c>
      <c r="C805" s="129"/>
      <c r="D805" s="129"/>
      <c r="E805" s="19" t="n">
        <f aca="false">F805*0.03</f>
        <v>0</v>
      </c>
      <c r="F805" s="33" t="n">
        <v>0</v>
      </c>
      <c r="G805" s="131"/>
      <c r="H805" s="35" t="n">
        <v>0</v>
      </c>
      <c r="I805" s="34" t="n">
        <f aca="false">+IF(E805=0,0,E805*0.03)</f>
        <v>0</v>
      </c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customFormat="false" ht="16.4" hidden="false" customHeight="false" outlineLevel="0" collapsed="false">
      <c r="A806" s="123" t="n">
        <v>45444</v>
      </c>
      <c r="B806" s="31" t="s">
        <v>153</v>
      </c>
      <c r="C806" s="129"/>
      <c r="D806" s="129"/>
      <c r="E806" s="19" t="n">
        <f aca="false">F806*0.03</f>
        <v>0</v>
      </c>
      <c r="F806" s="33" t="n">
        <v>0</v>
      </c>
      <c r="G806" s="131"/>
      <c r="H806" s="35" t="n">
        <v>0</v>
      </c>
      <c r="I806" s="34" t="n">
        <f aca="false">+IF(E806=0,0,E806*0.03)</f>
        <v>0</v>
      </c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customFormat="false" ht="16.4" hidden="false" customHeight="false" outlineLevel="0" collapsed="false">
      <c r="A807" s="123" t="n">
        <v>45444</v>
      </c>
      <c r="B807" s="31" t="s">
        <v>153</v>
      </c>
      <c r="C807" s="129"/>
      <c r="D807" s="129"/>
      <c r="E807" s="19" t="n">
        <f aca="false">F807*0.03</f>
        <v>0</v>
      </c>
      <c r="F807" s="33" t="n">
        <v>0</v>
      </c>
      <c r="G807" s="131"/>
      <c r="H807" s="35" t="n">
        <v>0</v>
      </c>
      <c r="I807" s="34" t="n">
        <f aca="false">+IF(E807=0,0,E807*0.03)</f>
        <v>0</v>
      </c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customFormat="false" ht="16.4" hidden="false" customHeight="false" outlineLevel="0" collapsed="false">
      <c r="A808" s="123" t="n">
        <v>45444</v>
      </c>
      <c r="B808" s="31" t="s">
        <v>153</v>
      </c>
      <c r="C808" s="129"/>
      <c r="D808" s="129"/>
      <c r="E808" s="19" t="n">
        <f aca="false">F808*0.03</f>
        <v>0</v>
      </c>
      <c r="F808" s="33" t="n">
        <v>0</v>
      </c>
      <c r="G808" s="131"/>
      <c r="H808" s="35" t="n">
        <v>0</v>
      </c>
      <c r="I808" s="34" t="n">
        <f aca="false">+IF(E808=0,0,E808*0.03)</f>
        <v>0</v>
      </c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customFormat="false" ht="16.4" hidden="false" customHeight="false" outlineLevel="0" collapsed="false">
      <c r="A809" s="123" t="n">
        <v>45444</v>
      </c>
      <c r="B809" s="31" t="s">
        <v>153</v>
      </c>
      <c r="C809" s="129"/>
      <c r="D809" s="129"/>
      <c r="E809" s="19" t="n">
        <f aca="false">F809*0.03</f>
        <v>0</v>
      </c>
      <c r="F809" s="33" t="n">
        <v>0</v>
      </c>
      <c r="G809" s="131"/>
      <c r="H809" s="35" t="n">
        <v>0</v>
      </c>
      <c r="I809" s="34" t="n">
        <f aca="false">+IF(E809=0,0,E809*0.03)</f>
        <v>0</v>
      </c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customFormat="false" ht="16.4" hidden="false" customHeight="false" outlineLevel="0" collapsed="false">
      <c r="A810" s="123" t="n">
        <v>45444</v>
      </c>
      <c r="B810" s="31" t="s">
        <v>153</v>
      </c>
      <c r="C810" s="129"/>
      <c r="D810" s="129"/>
      <c r="E810" s="19" t="n">
        <f aca="false">F810*0.03</f>
        <v>0</v>
      </c>
      <c r="F810" s="33" t="n">
        <v>0</v>
      </c>
      <c r="G810" s="131"/>
      <c r="H810" s="35" t="n">
        <v>0</v>
      </c>
      <c r="I810" s="34" t="n">
        <f aca="false">+IF(E810=0,0,E810*0.03)</f>
        <v>0</v>
      </c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customFormat="false" ht="16.4" hidden="false" customHeight="false" outlineLevel="0" collapsed="false">
      <c r="A811" s="123" t="n">
        <v>45444</v>
      </c>
      <c r="B811" s="31" t="s">
        <v>153</v>
      </c>
      <c r="C811" s="129"/>
      <c r="D811" s="129"/>
      <c r="E811" s="19" t="n">
        <f aca="false">F811*0.03</f>
        <v>0</v>
      </c>
      <c r="F811" s="33" t="n">
        <v>0</v>
      </c>
      <c r="G811" s="131"/>
      <c r="H811" s="35" t="n">
        <v>0</v>
      </c>
      <c r="I811" s="34" t="n">
        <f aca="false">+IF(E811=0,0,E811*0.03)</f>
        <v>0</v>
      </c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customFormat="false" ht="16.4" hidden="false" customHeight="false" outlineLevel="0" collapsed="false">
      <c r="A812" s="123" t="n">
        <v>45444</v>
      </c>
      <c r="B812" s="31" t="s">
        <v>153</v>
      </c>
      <c r="C812" s="129"/>
      <c r="D812" s="129"/>
      <c r="E812" s="19" t="n">
        <f aca="false">F812*0.03</f>
        <v>0</v>
      </c>
      <c r="F812" s="33" t="n">
        <v>0</v>
      </c>
      <c r="G812" s="131"/>
      <c r="H812" s="35" t="n">
        <v>0</v>
      </c>
      <c r="I812" s="34" t="n">
        <f aca="false">+IF(E812=0,0,E812*0.03)</f>
        <v>0</v>
      </c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customFormat="false" ht="16.4" hidden="false" customHeight="false" outlineLevel="0" collapsed="false">
      <c r="A813" s="123" t="n">
        <v>45444</v>
      </c>
      <c r="B813" s="31" t="s">
        <v>153</v>
      </c>
      <c r="C813" s="129"/>
      <c r="D813" s="129"/>
      <c r="E813" s="19" t="n">
        <f aca="false">F813*0.03</f>
        <v>0</v>
      </c>
      <c r="F813" s="33" t="n">
        <v>0</v>
      </c>
      <c r="G813" s="131"/>
      <c r="H813" s="35" t="n">
        <v>0</v>
      </c>
      <c r="I813" s="34" t="n">
        <f aca="false">+IF(E813=0,0,E813*0.03)</f>
        <v>0</v>
      </c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customFormat="false" ht="16.4" hidden="false" customHeight="false" outlineLevel="0" collapsed="false">
      <c r="A814" s="123" t="n">
        <v>45444</v>
      </c>
      <c r="B814" s="31" t="s">
        <v>153</v>
      </c>
      <c r="C814" s="129"/>
      <c r="D814" s="129"/>
      <c r="E814" s="19" t="n">
        <f aca="false">F814*0.03</f>
        <v>0</v>
      </c>
      <c r="F814" s="33" t="n">
        <v>0</v>
      </c>
      <c r="G814" s="131"/>
      <c r="H814" s="35" t="n">
        <v>0</v>
      </c>
      <c r="I814" s="34" t="n">
        <f aca="false">+IF(E814=0,0,E814*0.03)</f>
        <v>0</v>
      </c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customFormat="false" ht="16.4" hidden="false" customHeight="false" outlineLevel="0" collapsed="false">
      <c r="A815" s="123" t="n">
        <v>45444</v>
      </c>
      <c r="B815" s="31" t="s">
        <v>153</v>
      </c>
      <c r="C815" s="129"/>
      <c r="D815" s="129"/>
      <c r="E815" s="19" t="n">
        <f aca="false">F815*0.03</f>
        <v>0</v>
      </c>
      <c r="F815" s="33" t="n">
        <v>0</v>
      </c>
      <c r="G815" s="131"/>
      <c r="H815" s="35" t="n">
        <v>0</v>
      </c>
      <c r="I815" s="34" t="n">
        <f aca="false">+IF(E815=0,0,E815*0.03)</f>
        <v>0</v>
      </c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customFormat="false" ht="16.4" hidden="false" customHeight="false" outlineLevel="0" collapsed="false">
      <c r="A816" s="123" t="n">
        <v>45444</v>
      </c>
      <c r="B816" s="31" t="s">
        <v>153</v>
      </c>
      <c r="C816" s="129"/>
      <c r="D816" s="129"/>
      <c r="E816" s="19" t="n">
        <f aca="false">F816*0.03</f>
        <v>0</v>
      </c>
      <c r="F816" s="33" t="n">
        <v>0</v>
      </c>
      <c r="G816" s="131"/>
      <c r="H816" s="35" t="n">
        <v>0</v>
      </c>
      <c r="I816" s="34" t="n">
        <f aca="false">+IF(E816=0,0,E816*0.03)</f>
        <v>0</v>
      </c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customFormat="false" ht="16.4" hidden="false" customHeight="false" outlineLevel="0" collapsed="false">
      <c r="A817" s="123" t="n">
        <v>45444</v>
      </c>
      <c r="B817" s="31" t="s">
        <v>153</v>
      </c>
      <c r="C817" s="129"/>
      <c r="D817" s="129"/>
      <c r="E817" s="19" t="n">
        <f aca="false">F817*0.03</f>
        <v>0</v>
      </c>
      <c r="F817" s="33" t="n">
        <v>0</v>
      </c>
      <c r="G817" s="131"/>
      <c r="H817" s="35" t="n">
        <v>0</v>
      </c>
      <c r="I817" s="34" t="n">
        <f aca="false">+IF(E817=0,0,E817*0.03)</f>
        <v>0</v>
      </c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customFormat="false" ht="16.4" hidden="false" customHeight="false" outlineLevel="0" collapsed="false">
      <c r="A818" s="123" t="n">
        <v>45444</v>
      </c>
      <c r="B818" s="31" t="s">
        <v>153</v>
      </c>
      <c r="C818" s="129"/>
      <c r="D818" s="129"/>
      <c r="E818" s="19" t="n">
        <f aca="false">F818*0.03</f>
        <v>0</v>
      </c>
      <c r="F818" s="33" t="n">
        <v>0</v>
      </c>
      <c r="G818" s="131"/>
      <c r="H818" s="35" t="n">
        <v>0</v>
      </c>
      <c r="I818" s="34" t="n">
        <f aca="false">+IF(E818=0,0,E818*0.03)</f>
        <v>0</v>
      </c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customFormat="false" ht="16.4" hidden="false" customHeight="false" outlineLevel="0" collapsed="false">
      <c r="A819" s="123" t="n">
        <v>45444</v>
      </c>
      <c r="B819" s="31" t="s">
        <v>153</v>
      </c>
      <c r="C819" s="129"/>
      <c r="D819" s="129"/>
      <c r="E819" s="19" t="n">
        <f aca="false">F819*0.03</f>
        <v>0</v>
      </c>
      <c r="F819" s="33" t="n">
        <v>0</v>
      </c>
      <c r="G819" s="131"/>
      <c r="H819" s="35" t="n">
        <v>0</v>
      </c>
      <c r="I819" s="34" t="n">
        <f aca="false">+IF(E819=0,0,E819*0.03)</f>
        <v>0</v>
      </c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customFormat="false" ht="16.4" hidden="false" customHeight="false" outlineLevel="0" collapsed="false">
      <c r="A820" s="123" t="n">
        <v>45444</v>
      </c>
      <c r="B820" s="31" t="s">
        <v>153</v>
      </c>
      <c r="C820" s="129"/>
      <c r="D820" s="129"/>
      <c r="E820" s="19" t="n">
        <f aca="false">F820*0.03</f>
        <v>0</v>
      </c>
      <c r="F820" s="33" t="n">
        <v>0</v>
      </c>
      <c r="G820" s="131"/>
      <c r="H820" s="35" t="n">
        <v>0</v>
      </c>
      <c r="I820" s="34" t="n">
        <f aca="false">+IF(E820=0,0,E820*0.03)</f>
        <v>0</v>
      </c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customFormat="false" ht="16.4" hidden="false" customHeight="false" outlineLevel="0" collapsed="false">
      <c r="A821" s="123" t="n">
        <v>45444</v>
      </c>
      <c r="B821" s="31" t="s">
        <v>153</v>
      </c>
      <c r="C821" s="129"/>
      <c r="D821" s="129"/>
      <c r="E821" s="19" t="n">
        <f aca="false">F821*0.03</f>
        <v>0</v>
      </c>
      <c r="F821" s="33" t="n">
        <v>0</v>
      </c>
      <c r="G821" s="131"/>
      <c r="H821" s="35" t="n">
        <v>0</v>
      </c>
      <c r="I821" s="34" t="n">
        <f aca="false">+IF(E821=0,0,E821*0.03)</f>
        <v>0</v>
      </c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customFormat="false" ht="16.4" hidden="false" customHeight="false" outlineLevel="0" collapsed="false">
      <c r="A822" s="123" t="n">
        <v>45444</v>
      </c>
      <c r="B822" s="31" t="s">
        <v>153</v>
      </c>
      <c r="C822" s="129"/>
      <c r="D822" s="129"/>
      <c r="E822" s="19" t="n">
        <f aca="false">F822*0.03</f>
        <v>0</v>
      </c>
      <c r="F822" s="33" t="n">
        <v>0</v>
      </c>
      <c r="G822" s="131"/>
      <c r="H822" s="35" t="n">
        <v>0</v>
      </c>
      <c r="I822" s="34" t="n">
        <f aca="false">+IF(E822=0,0,E822*0.03)</f>
        <v>0</v>
      </c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customFormat="false" ht="16.4" hidden="false" customHeight="false" outlineLevel="0" collapsed="false">
      <c r="A823" s="123" t="n">
        <v>45444</v>
      </c>
      <c r="B823" s="31" t="s">
        <v>153</v>
      </c>
      <c r="C823" s="129"/>
      <c r="D823" s="129"/>
      <c r="E823" s="19" t="n">
        <f aca="false">F823*0.03</f>
        <v>0</v>
      </c>
      <c r="F823" s="33" t="n">
        <v>0</v>
      </c>
      <c r="G823" s="131"/>
      <c r="H823" s="35" t="n">
        <v>0</v>
      </c>
      <c r="I823" s="34" t="n">
        <f aca="false">+IF(E823=0,0,E823*0.03)</f>
        <v>0</v>
      </c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customFormat="false" ht="16.4" hidden="false" customHeight="false" outlineLevel="0" collapsed="false">
      <c r="A824" s="123" t="n">
        <v>45444</v>
      </c>
      <c r="B824" s="31" t="s">
        <v>153</v>
      </c>
      <c r="C824" s="129"/>
      <c r="D824" s="129"/>
      <c r="E824" s="19" t="n">
        <f aca="false">F824*0.03</f>
        <v>0</v>
      </c>
      <c r="F824" s="33" t="n">
        <v>0</v>
      </c>
      <c r="G824" s="131"/>
      <c r="H824" s="35" t="n">
        <v>0</v>
      </c>
      <c r="I824" s="34" t="n">
        <f aca="false">+IF(E824=0,0,E824*0.03)</f>
        <v>0</v>
      </c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customFormat="false" ht="16.4" hidden="false" customHeight="false" outlineLevel="0" collapsed="false">
      <c r="A825" s="123" t="n">
        <v>45444</v>
      </c>
      <c r="B825" s="31" t="s">
        <v>153</v>
      </c>
      <c r="C825" s="129"/>
      <c r="D825" s="129"/>
      <c r="E825" s="19" t="n">
        <f aca="false">F825*0.03</f>
        <v>0</v>
      </c>
      <c r="F825" s="33" t="n">
        <v>0</v>
      </c>
      <c r="G825" s="131"/>
      <c r="H825" s="35" t="n">
        <v>0</v>
      </c>
      <c r="I825" s="34" t="n">
        <f aca="false">+IF(E825=0,0,E825*0.03)</f>
        <v>0</v>
      </c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customFormat="false" ht="16.4" hidden="false" customHeight="false" outlineLevel="0" collapsed="false">
      <c r="A826" s="123" t="n">
        <v>45444</v>
      </c>
      <c r="B826" s="31" t="s">
        <v>153</v>
      </c>
      <c r="C826" s="129"/>
      <c r="D826" s="129"/>
      <c r="E826" s="19" t="n">
        <f aca="false">F826*0.03</f>
        <v>0</v>
      </c>
      <c r="F826" s="33" t="n">
        <v>0</v>
      </c>
      <c r="G826" s="131"/>
      <c r="H826" s="35" t="n">
        <v>0</v>
      </c>
      <c r="I826" s="34" t="n">
        <f aca="false">+IF(E826=0,0,E826*0.03)</f>
        <v>0</v>
      </c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customFormat="false" ht="16.4" hidden="false" customHeight="false" outlineLevel="0" collapsed="false">
      <c r="A827" s="123" t="n">
        <v>45444</v>
      </c>
      <c r="B827" s="31" t="s">
        <v>153</v>
      </c>
      <c r="C827" s="129"/>
      <c r="D827" s="129"/>
      <c r="E827" s="19" t="n">
        <f aca="false">F827*0.03</f>
        <v>0</v>
      </c>
      <c r="F827" s="33" t="n">
        <v>0</v>
      </c>
      <c r="G827" s="131"/>
      <c r="H827" s="35" t="n">
        <v>0</v>
      </c>
      <c r="I827" s="34" t="n">
        <f aca="false">+IF(E827=0,0,E827*0.03)</f>
        <v>0</v>
      </c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customFormat="false" ht="16.4" hidden="false" customHeight="false" outlineLevel="0" collapsed="false">
      <c r="A828" s="123" t="n">
        <v>45444</v>
      </c>
      <c r="B828" s="31" t="s">
        <v>153</v>
      </c>
      <c r="C828" s="129"/>
      <c r="D828" s="129"/>
      <c r="E828" s="19" t="n">
        <f aca="false">F828*0.03</f>
        <v>0</v>
      </c>
      <c r="F828" s="33" t="n">
        <v>0</v>
      </c>
      <c r="G828" s="131"/>
      <c r="H828" s="35" t="n">
        <v>0</v>
      </c>
      <c r="I828" s="34" t="n">
        <f aca="false">+IF(E828=0,0,E828*0.03)</f>
        <v>0</v>
      </c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customFormat="false" ht="16.4" hidden="false" customHeight="false" outlineLevel="0" collapsed="false">
      <c r="A829" s="123" t="n">
        <v>45444</v>
      </c>
      <c r="B829" s="31" t="s">
        <v>153</v>
      </c>
      <c r="C829" s="129"/>
      <c r="D829" s="129"/>
      <c r="E829" s="19" t="n">
        <f aca="false">F829*0.03</f>
        <v>0</v>
      </c>
      <c r="F829" s="33" t="n">
        <v>0</v>
      </c>
      <c r="G829" s="131"/>
      <c r="H829" s="35" t="n">
        <v>0</v>
      </c>
      <c r="I829" s="34" t="n">
        <f aca="false">+IF(E829=0,0,E829*0.03)</f>
        <v>0</v>
      </c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customFormat="false" ht="16.4" hidden="false" customHeight="false" outlineLevel="0" collapsed="false">
      <c r="A830" s="123" t="n">
        <v>45444</v>
      </c>
      <c r="B830" s="31" t="s">
        <v>153</v>
      </c>
      <c r="C830" s="129"/>
      <c r="D830" s="129"/>
      <c r="E830" s="19" t="n">
        <f aca="false">F830*0.03</f>
        <v>0</v>
      </c>
      <c r="F830" s="33" t="n">
        <v>0</v>
      </c>
      <c r="G830" s="131"/>
      <c r="H830" s="35" t="n">
        <v>0</v>
      </c>
      <c r="I830" s="34" t="n">
        <f aca="false">+IF(E830=0,0,E830*0.03)</f>
        <v>0</v>
      </c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customFormat="false" ht="16.4" hidden="false" customHeight="false" outlineLevel="0" collapsed="false">
      <c r="A831" s="123" t="n">
        <v>45444</v>
      </c>
      <c r="B831" s="31" t="s">
        <v>153</v>
      </c>
      <c r="C831" s="129"/>
      <c r="D831" s="129"/>
      <c r="E831" s="19" t="n">
        <f aca="false">F831*0.03</f>
        <v>0</v>
      </c>
      <c r="F831" s="33" t="n">
        <v>0</v>
      </c>
      <c r="G831" s="131"/>
      <c r="H831" s="35" t="n">
        <v>0</v>
      </c>
      <c r="I831" s="34" t="n">
        <f aca="false">+IF(E831=0,0,E831*0.03)</f>
        <v>0</v>
      </c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customFormat="false" ht="16.4" hidden="false" customHeight="false" outlineLevel="0" collapsed="false">
      <c r="A832" s="123" t="n">
        <v>45444</v>
      </c>
      <c r="B832" s="31" t="s">
        <v>153</v>
      </c>
      <c r="C832" s="129"/>
      <c r="D832" s="129"/>
      <c r="E832" s="19" t="n">
        <f aca="false">F832*0.03</f>
        <v>0</v>
      </c>
      <c r="F832" s="33" t="n">
        <v>0</v>
      </c>
      <c r="G832" s="131"/>
      <c r="H832" s="35" t="n">
        <v>0</v>
      </c>
      <c r="I832" s="34" t="n">
        <f aca="false">+IF(E832=0,0,E832*0.03)</f>
        <v>0</v>
      </c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customFormat="false" ht="16.4" hidden="false" customHeight="false" outlineLevel="0" collapsed="false">
      <c r="A833" s="123" t="n">
        <v>45444</v>
      </c>
      <c r="B833" s="31" t="s">
        <v>153</v>
      </c>
      <c r="C833" s="129"/>
      <c r="D833" s="129"/>
      <c r="E833" s="19" t="n">
        <f aca="false">F833*0.03</f>
        <v>0</v>
      </c>
      <c r="F833" s="33" t="n">
        <v>0</v>
      </c>
      <c r="G833" s="131"/>
      <c r="H833" s="35" t="n">
        <v>0</v>
      </c>
      <c r="I833" s="34" t="n">
        <f aca="false">+IF(E833=0,0,E833*0.03)</f>
        <v>0</v>
      </c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customFormat="false" ht="16.4" hidden="false" customHeight="false" outlineLevel="0" collapsed="false">
      <c r="A834" s="123" t="n">
        <v>45444</v>
      </c>
      <c r="B834" s="31" t="s">
        <v>153</v>
      </c>
      <c r="C834" s="129"/>
      <c r="D834" s="129"/>
      <c r="E834" s="19" t="n">
        <f aca="false">F834*0.03</f>
        <v>0</v>
      </c>
      <c r="F834" s="33" t="n">
        <v>0</v>
      </c>
      <c r="G834" s="131"/>
      <c r="H834" s="35" t="n">
        <v>0</v>
      </c>
      <c r="I834" s="34" t="n">
        <f aca="false">+IF(E834=0,0,E834*0.03)</f>
        <v>0</v>
      </c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customFormat="false" ht="16.4" hidden="false" customHeight="false" outlineLevel="0" collapsed="false">
      <c r="A835" s="123" t="n">
        <v>45444</v>
      </c>
      <c r="B835" s="31" t="s">
        <v>153</v>
      </c>
      <c r="C835" s="129"/>
      <c r="D835" s="129"/>
      <c r="E835" s="19" t="n">
        <f aca="false">F835*0.03</f>
        <v>0</v>
      </c>
      <c r="F835" s="33" t="n">
        <v>0</v>
      </c>
      <c r="G835" s="131"/>
      <c r="H835" s="35" t="n">
        <v>0</v>
      </c>
      <c r="I835" s="34" t="n">
        <f aca="false">+IF(E835=0,0,E835*0.03)</f>
        <v>0</v>
      </c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customFormat="false" ht="16.4" hidden="false" customHeight="false" outlineLevel="0" collapsed="false">
      <c r="A836" s="123" t="n">
        <v>45444</v>
      </c>
      <c r="B836" s="31" t="s">
        <v>153</v>
      </c>
      <c r="C836" s="129"/>
      <c r="D836" s="129"/>
      <c r="E836" s="19" t="n">
        <f aca="false">F836*0.03</f>
        <v>0</v>
      </c>
      <c r="F836" s="33" t="n">
        <v>0</v>
      </c>
      <c r="G836" s="131"/>
      <c r="H836" s="35" t="n">
        <v>0</v>
      </c>
      <c r="I836" s="34" t="n">
        <f aca="false">+IF(E836=0,0,E836*0.03)</f>
        <v>0</v>
      </c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customFormat="false" ht="16.4" hidden="false" customHeight="false" outlineLevel="0" collapsed="false">
      <c r="A837" s="123" t="n">
        <v>45444</v>
      </c>
      <c r="B837" s="31" t="s">
        <v>153</v>
      </c>
      <c r="C837" s="129"/>
      <c r="D837" s="129"/>
      <c r="E837" s="19" t="n">
        <f aca="false">F837*0.03</f>
        <v>0</v>
      </c>
      <c r="F837" s="33" t="n">
        <v>0</v>
      </c>
      <c r="G837" s="131"/>
      <c r="H837" s="35" t="n">
        <v>0</v>
      </c>
      <c r="I837" s="34" t="n">
        <f aca="false">+IF(E837=0,0,E837*0.03)</f>
        <v>0</v>
      </c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customFormat="false" ht="16.4" hidden="false" customHeight="false" outlineLevel="0" collapsed="false">
      <c r="A838" s="123" t="n">
        <v>45444</v>
      </c>
      <c r="B838" s="31" t="s">
        <v>153</v>
      </c>
      <c r="C838" s="129"/>
      <c r="D838" s="129"/>
      <c r="E838" s="19" t="n">
        <f aca="false">F838*0.03</f>
        <v>0</v>
      </c>
      <c r="F838" s="33" t="n">
        <v>0</v>
      </c>
      <c r="G838" s="131"/>
      <c r="H838" s="35" t="n">
        <v>0</v>
      </c>
      <c r="I838" s="34" t="n">
        <f aca="false">+IF(E838=0,0,E838*0.03)</f>
        <v>0</v>
      </c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customFormat="false" ht="16.4" hidden="false" customHeight="false" outlineLevel="0" collapsed="false">
      <c r="A839" s="123" t="n">
        <v>45444</v>
      </c>
      <c r="B839" s="31" t="s">
        <v>153</v>
      </c>
      <c r="C839" s="129"/>
      <c r="D839" s="129"/>
      <c r="E839" s="19" t="n">
        <f aca="false">F839*0.03</f>
        <v>0</v>
      </c>
      <c r="F839" s="33" t="n">
        <v>0</v>
      </c>
      <c r="G839" s="131"/>
      <c r="H839" s="35" t="n">
        <v>0</v>
      </c>
      <c r="I839" s="34" t="n">
        <f aca="false">+IF(E839=0,0,E839*0.03)</f>
        <v>0</v>
      </c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customFormat="false" ht="16.4" hidden="false" customHeight="false" outlineLevel="0" collapsed="false">
      <c r="A840" s="123" t="n">
        <v>45444</v>
      </c>
      <c r="B840" s="31" t="s">
        <v>153</v>
      </c>
      <c r="C840" s="129"/>
      <c r="D840" s="129"/>
      <c r="E840" s="19" t="n">
        <f aca="false">F840*0.03</f>
        <v>0</v>
      </c>
      <c r="F840" s="33" t="n">
        <v>0</v>
      </c>
      <c r="G840" s="131"/>
      <c r="H840" s="35" t="n">
        <v>0</v>
      </c>
      <c r="I840" s="34" t="n">
        <f aca="false">+IF(E840=0,0,E840*0.03)</f>
        <v>0</v>
      </c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customFormat="false" ht="16.4" hidden="false" customHeight="false" outlineLevel="0" collapsed="false">
      <c r="A841" s="123" t="n">
        <v>45444</v>
      </c>
      <c r="B841" s="31" t="s">
        <v>153</v>
      </c>
      <c r="C841" s="129"/>
      <c r="D841" s="129"/>
      <c r="E841" s="19" t="n">
        <f aca="false">F841*0.03</f>
        <v>0</v>
      </c>
      <c r="F841" s="33" t="n">
        <v>0</v>
      </c>
      <c r="G841" s="131"/>
      <c r="H841" s="35" t="n">
        <v>0</v>
      </c>
      <c r="I841" s="34" t="n">
        <f aca="false">+IF(E841=0,0,E841*0.03)</f>
        <v>0</v>
      </c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customFormat="false" ht="16.4" hidden="false" customHeight="false" outlineLevel="0" collapsed="false">
      <c r="A842" s="123" t="n">
        <v>45444</v>
      </c>
      <c r="B842" s="31" t="s">
        <v>153</v>
      </c>
      <c r="C842" s="129"/>
      <c r="D842" s="129"/>
      <c r="E842" s="19" t="n">
        <f aca="false">F842*0.03</f>
        <v>0</v>
      </c>
      <c r="F842" s="33" t="n">
        <v>0</v>
      </c>
      <c r="G842" s="131"/>
      <c r="H842" s="35" t="n">
        <v>0</v>
      </c>
      <c r="I842" s="34" t="n">
        <f aca="false">+IF(E842=0,0,E842*0.03)</f>
        <v>0</v>
      </c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customFormat="false" ht="16.4" hidden="false" customHeight="false" outlineLevel="0" collapsed="false">
      <c r="A843" s="123" t="n">
        <v>45444</v>
      </c>
      <c r="B843" s="31" t="s">
        <v>153</v>
      </c>
      <c r="C843" s="129"/>
      <c r="D843" s="129"/>
      <c r="E843" s="19" t="n">
        <f aca="false">F843*0.03</f>
        <v>0</v>
      </c>
      <c r="F843" s="33" t="n">
        <v>0</v>
      </c>
      <c r="G843" s="131"/>
      <c r="H843" s="35" t="n">
        <v>0</v>
      </c>
      <c r="I843" s="34" t="n">
        <f aca="false">+IF(E843=0,0,E843*0.03)</f>
        <v>0</v>
      </c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customFormat="false" ht="16.4" hidden="false" customHeight="false" outlineLevel="0" collapsed="false">
      <c r="A844" s="123" t="n">
        <v>45444</v>
      </c>
      <c r="B844" s="31" t="s">
        <v>153</v>
      </c>
      <c r="C844" s="129"/>
      <c r="D844" s="129"/>
      <c r="E844" s="19" t="n">
        <f aca="false">F844*0.03</f>
        <v>0</v>
      </c>
      <c r="F844" s="33" t="n">
        <v>0</v>
      </c>
      <c r="G844" s="131"/>
      <c r="H844" s="35" t="n">
        <v>0</v>
      </c>
      <c r="I844" s="34" t="n">
        <f aca="false">+IF(E844=0,0,E844*0.03)</f>
        <v>0</v>
      </c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customFormat="false" ht="16.4" hidden="false" customHeight="false" outlineLevel="0" collapsed="false">
      <c r="A845" s="123" t="n">
        <v>45444</v>
      </c>
      <c r="B845" s="31" t="s">
        <v>153</v>
      </c>
      <c r="C845" s="129"/>
      <c r="D845" s="129"/>
      <c r="E845" s="19" t="n">
        <f aca="false">F845*0.03</f>
        <v>0</v>
      </c>
      <c r="F845" s="33" t="n">
        <v>0</v>
      </c>
      <c r="G845" s="131"/>
      <c r="H845" s="35" t="n">
        <v>0</v>
      </c>
      <c r="I845" s="34" t="n">
        <f aca="false">+IF(E845=0,0,E845*0.03)</f>
        <v>0</v>
      </c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customFormat="false" ht="16.4" hidden="false" customHeight="false" outlineLevel="0" collapsed="false">
      <c r="A846" s="123" t="n">
        <v>45444</v>
      </c>
      <c r="B846" s="31" t="s">
        <v>153</v>
      </c>
      <c r="C846" s="129"/>
      <c r="D846" s="129"/>
      <c r="E846" s="19" t="n">
        <f aca="false">F846*0.03</f>
        <v>0</v>
      </c>
      <c r="F846" s="33" t="n">
        <v>0</v>
      </c>
      <c r="G846" s="131"/>
      <c r="H846" s="35" t="n">
        <v>0</v>
      </c>
      <c r="I846" s="34" t="n">
        <f aca="false">+IF(E846=0,0,E846*0.03)</f>
        <v>0</v>
      </c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customFormat="false" ht="16.4" hidden="false" customHeight="false" outlineLevel="0" collapsed="false">
      <c r="A847" s="123" t="n">
        <v>45444</v>
      </c>
      <c r="B847" s="31" t="s">
        <v>153</v>
      </c>
      <c r="C847" s="129"/>
      <c r="D847" s="129"/>
      <c r="E847" s="19" t="n">
        <f aca="false">F847*0.03</f>
        <v>0</v>
      </c>
      <c r="F847" s="33" t="n">
        <v>0</v>
      </c>
      <c r="G847" s="131"/>
      <c r="H847" s="35" t="n">
        <v>0</v>
      </c>
      <c r="I847" s="34" t="n">
        <f aca="false">+IF(E847=0,0,E847*0.03)</f>
        <v>0</v>
      </c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customFormat="false" ht="16.4" hidden="false" customHeight="false" outlineLevel="0" collapsed="false">
      <c r="A848" s="123" t="n">
        <v>45444</v>
      </c>
      <c r="B848" s="31" t="s">
        <v>153</v>
      </c>
      <c r="C848" s="129"/>
      <c r="D848" s="129"/>
      <c r="E848" s="19" t="n">
        <f aca="false">F848*0.03</f>
        <v>0</v>
      </c>
      <c r="F848" s="33" t="n">
        <v>0</v>
      </c>
      <c r="G848" s="131"/>
      <c r="H848" s="35" t="n">
        <v>0</v>
      </c>
      <c r="I848" s="34" t="n">
        <f aca="false">+IF(E848=0,0,E848*0.03)</f>
        <v>0</v>
      </c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customFormat="false" ht="16.4" hidden="false" customHeight="false" outlineLevel="0" collapsed="false">
      <c r="A849" s="123" t="n">
        <v>45444</v>
      </c>
      <c r="B849" s="31" t="s">
        <v>153</v>
      </c>
      <c r="C849" s="129"/>
      <c r="D849" s="129"/>
      <c r="E849" s="19" t="n">
        <f aca="false">F849*0.03</f>
        <v>0</v>
      </c>
      <c r="F849" s="33" t="n">
        <v>0</v>
      </c>
      <c r="G849" s="131"/>
      <c r="H849" s="35" t="n">
        <v>0</v>
      </c>
      <c r="I849" s="34" t="n">
        <f aca="false">+IF(E849=0,0,E849*0.03)</f>
        <v>0</v>
      </c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customFormat="false" ht="16.4" hidden="false" customHeight="false" outlineLevel="0" collapsed="false">
      <c r="A850" s="123" t="n">
        <v>45444</v>
      </c>
      <c r="B850" s="31" t="s">
        <v>153</v>
      </c>
      <c r="C850" s="129"/>
      <c r="D850" s="129"/>
      <c r="E850" s="19" t="n">
        <f aca="false">F850*0.03</f>
        <v>0</v>
      </c>
      <c r="F850" s="33" t="n">
        <v>0</v>
      </c>
      <c r="G850" s="131"/>
      <c r="H850" s="35" t="n">
        <v>0</v>
      </c>
      <c r="I850" s="34" t="n">
        <f aca="false">+IF(E850=0,0,E850*0.03)</f>
        <v>0</v>
      </c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customFormat="false" ht="16.4" hidden="false" customHeight="false" outlineLevel="0" collapsed="false">
      <c r="A851" s="123" t="n">
        <v>45444</v>
      </c>
      <c r="B851" s="31" t="s">
        <v>153</v>
      </c>
      <c r="C851" s="129"/>
      <c r="D851" s="129"/>
      <c r="E851" s="19" t="n">
        <f aca="false">F851*0.03</f>
        <v>0</v>
      </c>
      <c r="F851" s="33" t="n">
        <v>0</v>
      </c>
      <c r="G851" s="131"/>
      <c r="H851" s="35" t="n">
        <v>0</v>
      </c>
      <c r="I851" s="34" t="n">
        <f aca="false">+IF(E851=0,0,E851*0.03)</f>
        <v>0</v>
      </c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customFormat="false" ht="16.4" hidden="false" customHeight="false" outlineLevel="0" collapsed="false">
      <c r="A852" s="123" t="n">
        <v>45444</v>
      </c>
      <c r="B852" s="31" t="s">
        <v>153</v>
      </c>
      <c r="C852" s="129"/>
      <c r="D852" s="129"/>
      <c r="E852" s="19" t="n">
        <f aca="false">F852*0.03</f>
        <v>0</v>
      </c>
      <c r="F852" s="33" t="n">
        <v>0</v>
      </c>
      <c r="G852" s="131"/>
      <c r="H852" s="35" t="n">
        <v>0</v>
      </c>
      <c r="I852" s="34" t="n">
        <f aca="false">+IF(E852=0,0,E852*0.03)</f>
        <v>0</v>
      </c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customFormat="false" ht="16.4" hidden="false" customHeight="false" outlineLevel="0" collapsed="false">
      <c r="A853" s="123" t="n">
        <v>45444</v>
      </c>
      <c r="B853" s="31" t="s">
        <v>153</v>
      </c>
      <c r="C853" s="129"/>
      <c r="D853" s="129"/>
      <c r="E853" s="19" t="n">
        <f aca="false">F853*0.03</f>
        <v>0</v>
      </c>
      <c r="F853" s="33" t="n">
        <v>0</v>
      </c>
      <c r="G853" s="131"/>
      <c r="H853" s="35" t="n">
        <v>0</v>
      </c>
      <c r="I853" s="34" t="n">
        <f aca="false">+IF(E853=0,0,E853*0.03)</f>
        <v>0</v>
      </c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customFormat="false" ht="16.4" hidden="false" customHeight="false" outlineLevel="0" collapsed="false">
      <c r="A854" s="123" t="n">
        <v>45444</v>
      </c>
      <c r="B854" s="31" t="s">
        <v>153</v>
      </c>
      <c r="C854" s="129"/>
      <c r="D854" s="129"/>
      <c r="E854" s="19" t="n">
        <f aca="false">F854*0.03</f>
        <v>0</v>
      </c>
      <c r="F854" s="33" t="n">
        <v>0</v>
      </c>
      <c r="G854" s="131"/>
      <c r="H854" s="35" t="n">
        <v>0</v>
      </c>
      <c r="I854" s="34" t="n">
        <f aca="false">+IF(E854=0,0,E854*0.03)</f>
        <v>0</v>
      </c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customFormat="false" ht="16.4" hidden="false" customHeight="false" outlineLevel="0" collapsed="false">
      <c r="A855" s="123" t="n">
        <v>45444</v>
      </c>
      <c r="B855" s="31" t="s">
        <v>153</v>
      </c>
      <c r="C855" s="129"/>
      <c r="D855" s="129"/>
      <c r="E855" s="19" t="n">
        <f aca="false">F855*0.03</f>
        <v>0</v>
      </c>
      <c r="F855" s="33" t="n">
        <v>0</v>
      </c>
      <c r="G855" s="131"/>
      <c r="H855" s="35" t="n">
        <v>0</v>
      </c>
      <c r="I855" s="34" t="n">
        <f aca="false">+IF(E855=0,0,E855*0.03)</f>
        <v>0</v>
      </c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customFormat="false" ht="16.4" hidden="false" customHeight="false" outlineLevel="0" collapsed="false">
      <c r="A856" s="123" t="n">
        <v>45444</v>
      </c>
      <c r="B856" s="31" t="s">
        <v>153</v>
      </c>
      <c r="C856" s="129"/>
      <c r="D856" s="129"/>
      <c r="E856" s="19" t="n">
        <f aca="false">F856*0.03</f>
        <v>0</v>
      </c>
      <c r="F856" s="33" t="n">
        <v>0</v>
      </c>
      <c r="G856" s="131"/>
      <c r="H856" s="35" t="n">
        <v>0</v>
      </c>
      <c r="I856" s="34" t="n">
        <f aca="false">+IF(E856=0,0,E856*0.03)</f>
        <v>0</v>
      </c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customFormat="false" ht="16.4" hidden="false" customHeight="false" outlineLevel="0" collapsed="false">
      <c r="A857" s="123" t="n">
        <v>45444</v>
      </c>
      <c r="B857" s="31" t="s">
        <v>153</v>
      </c>
      <c r="C857" s="129"/>
      <c r="D857" s="129"/>
      <c r="E857" s="19" t="n">
        <f aca="false">F857*0.03</f>
        <v>0</v>
      </c>
      <c r="F857" s="33" t="n">
        <v>0</v>
      </c>
      <c r="G857" s="131"/>
      <c r="H857" s="35" t="n">
        <v>0</v>
      </c>
      <c r="I857" s="34" t="n">
        <f aca="false">+IF(E857=0,0,E857*0.03)</f>
        <v>0</v>
      </c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customFormat="false" ht="16.4" hidden="false" customHeight="false" outlineLevel="0" collapsed="false">
      <c r="A858" s="123" t="n">
        <v>45444</v>
      </c>
      <c r="B858" s="31" t="s">
        <v>153</v>
      </c>
      <c r="C858" s="129"/>
      <c r="D858" s="129"/>
      <c r="E858" s="19" t="n">
        <f aca="false">F858*0.03</f>
        <v>0</v>
      </c>
      <c r="F858" s="33" t="n">
        <v>0</v>
      </c>
      <c r="G858" s="131"/>
      <c r="H858" s="35" t="n">
        <v>0</v>
      </c>
      <c r="I858" s="34" t="n">
        <f aca="false">+IF(E858=0,0,E858*0.03)</f>
        <v>0</v>
      </c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customFormat="false" ht="16.4" hidden="false" customHeight="false" outlineLevel="0" collapsed="false">
      <c r="A859" s="123" t="n">
        <v>45444</v>
      </c>
      <c r="B859" s="31" t="s">
        <v>153</v>
      </c>
      <c r="C859" s="129"/>
      <c r="D859" s="129"/>
      <c r="E859" s="19" t="n">
        <f aca="false">F859*0.03</f>
        <v>0</v>
      </c>
      <c r="F859" s="33" t="n">
        <v>0</v>
      </c>
      <c r="G859" s="131"/>
      <c r="H859" s="35" t="n">
        <v>0</v>
      </c>
      <c r="I859" s="34" t="n">
        <f aca="false">+IF(E859=0,0,E859*0.03)</f>
        <v>0</v>
      </c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customFormat="false" ht="16.4" hidden="false" customHeight="false" outlineLevel="0" collapsed="false">
      <c r="A860" s="123" t="n">
        <v>45444</v>
      </c>
      <c r="B860" s="31" t="s">
        <v>153</v>
      </c>
      <c r="C860" s="129"/>
      <c r="D860" s="129"/>
      <c r="E860" s="19" t="n">
        <f aca="false">F860*0.03</f>
        <v>0</v>
      </c>
      <c r="F860" s="33" t="n">
        <v>0</v>
      </c>
      <c r="G860" s="131"/>
      <c r="H860" s="35" t="n">
        <v>0</v>
      </c>
      <c r="I860" s="34" t="n">
        <f aca="false">+IF(E860=0,0,E860*0.03)</f>
        <v>0</v>
      </c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customFormat="false" ht="16.4" hidden="false" customHeight="false" outlineLevel="0" collapsed="false">
      <c r="A861" s="123" t="n">
        <v>45444</v>
      </c>
      <c r="B861" s="31" t="s">
        <v>153</v>
      </c>
      <c r="C861" s="129"/>
      <c r="D861" s="129"/>
      <c r="E861" s="19" t="n">
        <f aca="false">F861*0.03</f>
        <v>0</v>
      </c>
      <c r="F861" s="33" t="n">
        <v>0</v>
      </c>
      <c r="G861" s="131"/>
      <c r="H861" s="35" t="n">
        <v>0</v>
      </c>
      <c r="I861" s="34" t="n">
        <f aca="false">+IF(E861=0,0,E861*0.03)</f>
        <v>0</v>
      </c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customFormat="false" ht="16.4" hidden="false" customHeight="false" outlineLevel="0" collapsed="false">
      <c r="A862" s="123" t="n">
        <v>45444</v>
      </c>
      <c r="B862" s="31" t="s">
        <v>153</v>
      </c>
      <c r="C862" s="129"/>
      <c r="D862" s="129"/>
      <c r="E862" s="19" t="n">
        <f aca="false">F862*0.03</f>
        <v>0</v>
      </c>
      <c r="F862" s="33" t="n">
        <v>0</v>
      </c>
      <c r="G862" s="131"/>
      <c r="H862" s="35" t="n">
        <v>0</v>
      </c>
      <c r="I862" s="34" t="n">
        <f aca="false">+IF(E862=0,0,E862*0.03)</f>
        <v>0</v>
      </c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customFormat="false" ht="16.4" hidden="false" customHeight="false" outlineLevel="0" collapsed="false">
      <c r="A863" s="123" t="n">
        <v>45444</v>
      </c>
      <c r="B863" s="31" t="s">
        <v>153</v>
      </c>
      <c r="C863" s="129"/>
      <c r="D863" s="129"/>
      <c r="E863" s="19" t="n">
        <f aca="false">F863*0.03</f>
        <v>0</v>
      </c>
      <c r="F863" s="33" t="n">
        <v>0</v>
      </c>
      <c r="G863" s="131"/>
      <c r="H863" s="35" t="n">
        <v>0</v>
      </c>
      <c r="I863" s="34" t="n">
        <f aca="false">+IF(E863=0,0,E863*0.03)</f>
        <v>0</v>
      </c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customFormat="false" ht="16.4" hidden="false" customHeight="false" outlineLevel="0" collapsed="false">
      <c r="A864" s="123" t="n">
        <v>45444</v>
      </c>
      <c r="B864" s="31" t="s">
        <v>153</v>
      </c>
      <c r="C864" s="129"/>
      <c r="D864" s="129"/>
      <c r="E864" s="19" t="n">
        <f aca="false">F864*0.03</f>
        <v>0</v>
      </c>
      <c r="F864" s="33" t="n">
        <v>0</v>
      </c>
      <c r="G864" s="131"/>
      <c r="H864" s="35" t="n">
        <v>0</v>
      </c>
      <c r="I864" s="34" t="n">
        <f aca="false">+IF(E864=0,0,E864*0.03)</f>
        <v>0</v>
      </c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customFormat="false" ht="16.4" hidden="false" customHeight="false" outlineLevel="0" collapsed="false">
      <c r="A865" s="123" t="n">
        <v>45444</v>
      </c>
      <c r="B865" s="31" t="s">
        <v>153</v>
      </c>
      <c r="C865" s="129"/>
      <c r="D865" s="129"/>
      <c r="E865" s="19" t="n">
        <f aca="false">F865*0.03</f>
        <v>0</v>
      </c>
      <c r="F865" s="33" t="n">
        <v>0</v>
      </c>
      <c r="G865" s="131"/>
      <c r="H865" s="35" t="n">
        <v>0</v>
      </c>
      <c r="I865" s="34" t="n">
        <f aca="false">+IF(E865=0,0,E865*0.03)</f>
        <v>0</v>
      </c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customFormat="false" ht="16.4" hidden="false" customHeight="false" outlineLevel="0" collapsed="false">
      <c r="A866" s="123" t="n">
        <v>45444</v>
      </c>
      <c r="B866" s="31" t="s">
        <v>153</v>
      </c>
      <c r="C866" s="129"/>
      <c r="D866" s="129"/>
      <c r="E866" s="19" t="n">
        <f aca="false">F866*0.03</f>
        <v>0</v>
      </c>
      <c r="F866" s="33" t="n">
        <v>0</v>
      </c>
      <c r="G866" s="131"/>
      <c r="H866" s="35" t="n">
        <v>0</v>
      </c>
      <c r="I866" s="34" t="n">
        <f aca="false">+IF(E866=0,0,E866*0.03)</f>
        <v>0</v>
      </c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customFormat="false" ht="16.4" hidden="false" customHeight="false" outlineLevel="0" collapsed="false">
      <c r="A867" s="123" t="n">
        <v>45444</v>
      </c>
      <c r="B867" s="31" t="s">
        <v>153</v>
      </c>
      <c r="C867" s="129"/>
      <c r="D867" s="129"/>
      <c r="E867" s="19" t="n">
        <f aca="false">F867*0.03</f>
        <v>0</v>
      </c>
      <c r="F867" s="33" t="n">
        <v>0</v>
      </c>
      <c r="G867" s="131"/>
      <c r="H867" s="35" t="n">
        <v>0</v>
      </c>
      <c r="I867" s="34" t="n">
        <f aca="false">+IF(E867=0,0,E867*0.03)</f>
        <v>0</v>
      </c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customFormat="false" ht="16.4" hidden="false" customHeight="false" outlineLevel="0" collapsed="false">
      <c r="A868" s="123" t="n">
        <v>45444</v>
      </c>
      <c r="B868" s="31" t="s">
        <v>153</v>
      </c>
      <c r="C868" s="129"/>
      <c r="D868" s="129"/>
      <c r="E868" s="19" t="n">
        <f aca="false">F868*0.03</f>
        <v>0</v>
      </c>
      <c r="F868" s="33" t="n">
        <v>0</v>
      </c>
      <c r="G868" s="131"/>
      <c r="H868" s="35" t="n">
        <v>0</v>
      </c>
      <c r="I868" s="34" t="n">
        <f aca="false">+IF(E868=0,0,E868*0.03)</f>
        <v>0</v>
      </c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customFormat="false" ht="16.4" hidden="false" customHeight="false" outlineLevel="0" collapsed="false">
      <c r="A869" s="123" t="n">
        <v>45444</v>
      </c>
      <c r="B869" s="31" t="s">
        <v>153</v>
      </c>
      <c r="C869" s="129"/>
      <c r="D869" s="129"/>
      <c r="E869" s="19" t="n">
        <f aca="false">F869*0.03</f>
        <v>0</v>
      </c>
      <c r="F869" s="33" t="n">
        <v>0</v>
      </c>
      <c r="G869" s="131"/>
      <c r="H869" s="35" t="n">
        <v>0</v>
      </c>
      <c r="I869" s="34" t="n">
        <f aca="false">+IF(E869=0,0,E869*0.03)</f>
        <v>0</v>
      </c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customFormat="false" ht="16.4" hidden="false" customHeight="false" outlineLevel="0" collapsed="false">
      <c r="A870" s="123" t="n">
        <v>45444</v>
      </c>
      <c r="B870" s="31" t="s">
        <v>153</v>
      </c>
      <c r="C870" s="129"/>
      <c r="D870" s="129"/>
      <c r="E870" s="19" t="n">
        <f aca="false">F870*0.03</f>
        <v>0</v>
      </c>
      <c r="F870" s="33" t="n">
        <v>0</v>
      </c>
      <c r="G870" s="131"/>
      <c r="H870" s="35" t="n">
        <v>0</v>
      </c>
      <c r="I870" s="34" t="n">
        <f aca="false">+IF(E870=0,0,E870*0.03)</f>
        <v>0</v>
      </c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customFormat="false" ht="16.4" hidden="false" customHeight="false" outlineLevel="0" collapsed="false">
      <c r="A871" s="123" t="n">
        <v>45444</v>
      </c>
      <c r="B871" s="31" t="s">
        <v>153</v>
      </c>
      <c r="C871" s="129"/>
      <c r="D871" s="129"/>
      <c r="E871" s="19" t="n">
        <f aca="false">F871*0.03</f>
        <v>0</v>
      </c>
      <c r="F871" s="33" t="n">
        <v>0</v>
      </c>
      <c r="G871" s="131"/>
      <c r="H871" s="35" t="n">
        <v>0</v>
      </c>
      <c r="I871" s="34" t="n">
        <f aca="false">+IF(E871=0,0,E871*0.03)</f>
        <v>0</v>
      </c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customFormat="false" ht="16.4" hidden="false" customHeight="false" outlineLevel="0" collapsed="false">
      <c r="A872" s="123" t="n">
        <v>45444</v>
      </c>
      <c r="B872" s="31" t="s">
        <v>153</v>
      </c>
      <c r="C872" s="129"/>
      <c r="D872" s="129"/>
      <c r="E872" s="19" t="n">
        <f aca="false">F872*0.03</f>
        <v>0</v>
      </c>
      <c r="F872" s="33" t="n">
        <v>0</v>
      </c>
      <c r="G872" s="131"/>
      <c r="H872" s="35" t="n">
        <v>0</v>
      </c>
      <c r="I872" s="34" t="n">
        <f aca="false">+IF(E872=0,0,E872*0.03)</f>
        <v>0</v>
      </c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customFormat="false" ht="16.4" hidden="false" customHeight="false" outlineLevel="0" collapsed="false">
      <c r="A873" s="123" t="n">
        <v>45444</v>
      </c>
      <c r="B873" s="31" t="s">
        <v>153</v>
      </c>
      <c r="C873" s="129"/>
      <c r="D873" s="129"/>
      <c r="E873" s="19" t="n">
        <f aca="false">F873*0.03</f>
        <v>0</v>
      </c>
      <c r="F873" s="33" t="n">
        <v>0</v>
      </c>
      <c r="G873" s="131"/>
      <c r="H873" s="35" t="n">
        <v>0</v>
      </c>
      <c r="I873" s="34" t="n">
        <f aca="false">+IF(E873=0,0,E873*0.03)</f>
        <v>0</v>
      </c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customFormat="false" ht="16.4" hidden="false" customHeight="false" outlineLevel="0" collapsed="false">
      <c r="A874" s="123" t="n">
        <v>45444</v>
      </c>
      <c r="B874" s="31" t="s">
        <v>153</v>
      </c>
      <c r="C874" s="129"/>
      <c r="D874" s="129"/>
      <c r="E874" s="19" t="n">
        <f aca="false">F874*0.03</f>
        <v>0</v>
      </c>
      <c r="F874" s="33" t="n">
        <v>0</v>
      </c>
      <c r="G874" s="131"/>
      <c r="H874" s="35" t="n">
        <v>0</v>
      </c>
      <c r="I874" s="34" t="n">
        <f aca="false">+IF(E874=0,0,E874*0.03)</f>
        <v>0</v>
      </c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customFormat="false" ht="16.4" hidden="false" customHeight="false" outlineLevel="0" collapsed="false">
      <c r="A875" s="123" t="n">
        <v>45444</v>
      </c>
      <c r="B875" s="31" t="s">
        <v>153</v>
      </c>
      <c r="C875" s="129"/>
      <c r="D875" s="129"/>
      <c r="E875" s="19" t="n">
        <f aca="false">F875*0.03</f>
        <v>0</v>
      </c>
      <c r="F875" s="33" t="n">
        <v>0</v>
      </c>
      <c r="G875" s="131"/>
      <c r="H875" s="35" t="n">
        <v>0</v>
      </c>
      <c r="I875" s="34" t="n">
        <f aca="false">+IF(E875=0,0,E875*0.03)</f>
        <v>0</v>
      </c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customFormat="false" ht="16.4" hidden="false" customHeight="false" outlineLevel="0" collapsed="false">
      <c r="A876" s="123" t="n">
        <v>45444</v>
      </c>
      <c r="B876" s="31" t="s">
        <v>153</v>
      </c>
      <c r="C876" s="129"/>
      <c r="D876" s="129"/>
      <c r="E876" s="19" t="n">
        <f aca="false">F876*0.03</f>
        <v>0</v>
      </c>
      <c r="F876" s="33" t="n">
        <v>0</v>
      </c>
      <c r="G876" s="131"/>
      <c r="H876" s="35" t="n">
        <v>0</v>
      </c>
      <c r="I876" s="34" t="n">
        <f aca="false">+IF(E876=0,0,E876*0.03)</f>
        <v>0</v>
      </c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customFormat="false" ht="16.4" hidden="false" customHeight="false" outlineLevel="0" collapsed="false">
      <c r="A877" s="123" t="n">
        <v>45444</v>
      </c>
      <c r="B877" s="31" t="s">
        <v>153</v>
      </c>
      <c r="C877" s="129"/>
      <c r="D877" s="129"/>
      <c r="E877" s="19" t="n">
        <f aca="false">F877*0.03</f>
        <v>0</v>
      </c>
      <c r="F877" s="33" t="n">
        <v>0</v>
      </c>
      <c r="G877" s="131"/>
      <c r="H877" s="35" t="n">
        <v>0</v>
      </c>
      <c r="I877" s="34" t="n">
        <f aca="false">+IF(E877=0,0,E877*0.03)</f>
        <v>0</v>
      </c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customFormat="false" ht="16.4" hidden="false" customHeight="false" outlineLevel="0" collapsed="false">
      <c r="A878" s="123" t="n">
        <v>45444</v>
      </c>
      <c r="B878" s="31" t="s">
        <v>153</v>
      </c>
      <c r="C878" s="129"/>
      <c r="D878" s="129"/>
      <c r="E878" s="19" t="n">
        <f aca="false">F878*0.03</f>
        <v>0</v>
      </c>
      <c r="F878" s="33" t="n">
        <v>0</v>
      </c>
      <c r="G878" s="131"/>
      <c r="H878" s="35" t="n">
        <v>0</v>
      </c>
      <c r="I878" s="34" t="n">
        <f aca="false">+IF(E878=0,0,E878*0.03)</f>
        <v>0</v>
      </c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customFormat="false" ht="16.4" hidden="false" customHeight="false" outlineLevel="0" collapsed="false">
      <c r="A879" s="123" t="n">
        <v>45444</v>
      </c>
      <c r="B879" s="31" t="s">
        <v>153</v>
      </c>
      <c r="C879" s="129"/>
      <c r="D879" s="129"/>
      <c r="E879" s="19" t="n">
        <f aca="false">F879*0.03</f>
        <v>0</v>
      </c>
      <c r="F879" s="33" t="n">
        <v>0</v>
      </c>
      <c r="G879" s="131"/>
      <c r="H879" s="35" t="n">
        <v>0</v>
      </c>
      <c r="I879" s="34" t="n">
        <f aca="false">+IF(E879=0,0,E879*0.03)</f>
        <v>0</v>
      </c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customFormat="false" ht="16.4" hidden="false" customHeight="false" outlineLevel="0" collapsed="false">
      <c r="A880" s="123" t="n">
        <v>45444</v>
      </c>
      <c r="B880" s="31" t="s">
        <v>153</v>
      </c>
      <c r="C880" s="129"/>
      <c r="D880" s="129"/>
      <c r="E880" s="19" t="n">
        <f aca="false">F880*0.03</f>
        <v>0</v>
      </c>
      <c r="F880" s="33" t="n">
        <v>0</v>
      </c>
      <c r="G880" s="131"/>
      <c r="H880" s="35" t="n">
        <v>0</v>
      </c>
      <c r="I880" s="34" t="n">
        <f aca="false">+IF(E880=0,0,E880*0.03)</f>
        <v>0</v>
      </c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customFormat="false" ht="16.4" hidden="false" customHeight="false" outlineLevel="0" collapsed="false">
      <c r="A881" s="123" t="n">
        <v>45444</v>
      </c>
      <c r="B881" s="31" t="s">
        <v>153</v>
      </c>
      <c r="C881" s="129"/>
      <c r="D881" s="129"/>
      <c r="E881" s="19" t="n">
        <f aca="false">F881*0.03</f>
        <v>0</v>
      </c>
      <c r="F881" s="33" t="n">
        <v>0</v>
      </c>
      <c r="G881" s="131"/>
      <c r="H881" s="35" t="n">
        <v>0</v>
      </c>
      <c r="I881" s="34" t="n">
        <f aca="false">+IF(E881=0,0,E881*0.03)</f>
        <v>0</v>
      </c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customFormat="false" ht="16.4" hidden="false" customHeight="false" outlineLevel="0" collapsed="false">
      <c r="A882" s="123" t="n">
        <v>45444</v>
      </c>
      <c r="B882" s="31" t="s">
        <v>153</v>
      </c>
      <c r="C882" s="129"/>
      <c r="D882" s="129"/>
      <c r="E882" s="19" t="n">
        <f aca="false">F882*0.03</f>
        <v>0</v>
      </c>
      <c r="F882" s="33" t="n">
        <v>0</v>
      </c>
      <c r="G882" s="131"/>
      <c r="H882" s="35" t="n">
        <v>0</v>
      </c>
      <c r="I882" s="34" t="n">
        <f aca="false">+IF(E882=0,0,E882*0.03)</f>
        <v>0</v>
      </c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customFormat="false" ht="16.4" hidden="false" customHeight="false" outlineLevel="0" collapsed="false">
      <c r="A883" s="123" t="n">
        <v>45444</v>
      </c>
      <c r="B883" s="31" t="s">
        <v>153</v>
      </c>
      <c r="C883" s="129"/>
      <c r="D883" s="129"/>
      <c r="E883" s="19" t="n">
        <f aca="false">F883*0.03</f>
        <v>0</v>
      </c>
      <c r="F883" s="33" t="n">
        <v>0</v>
      </c>
      <c r="G883" s="131"/>
      <c r="H883" s="35" t="n">
        <v>0</v>
      </c>
      <c r="I883" s="34" t="n">
        <f aca="false">+IF(E883=0,0,E883*0.03)</f>
        <v>0</v>
      </c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customFormat="false" ht="16.4" hidden="false" customHeight="false" outlineLevel="0" collapsed="false">
      <c r="A884" s="123" t="n">
        <v>45444</v>
      </c>
      <c r="B884" s="31" t="s">
        <v>153</v>
      </c>
      <c r="C884" s="129"/>
      <c r="D884" s="129"/>
      <c r="E884" s="19" t="n">
        <f aca="false">F884*0.03</f>
        <v>0</v>
      </c>
      <c r="F884" s="33" t="n">
        <v>0</v>
      </c>
      <c r="G884" s="131"/>
      <c r="H884" s="35" t="n">
        <v>0</v>
      </c>
      <c r="I884" s="34" t="n">
        <f aca="false">+IF(E884=0,0,E884*0.03)</f>
        <v>0</v>
      </c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customFormat="false" ht="16.4" hidden="false" customHeight="false" outlineLevel="0" collapsed="false">
      <c r="A885" s="123" t="n">
        <v>45444</v>
      </c>
      <c r="B885" s="31" t="s">
        <v>153</v>
      </c>
      <c r="C885" s="129"/>
      <c r="D885" s="129"/>
      <c r="E885" s="19" t="n">
        <f aca="false">F885*0.03</f>
        <v>0</v>
      </c>
      <c r="F885" s="33" t="n">
        <v>0</v>
      </c>
      <c r="G885" s="131"/>
      <c r="H885" s="35" t="n">
        <v>0</v>
      </c>
      <c r="I885" s="34" t="n">
        <f aca="false">+IF(E885=0,0,E885*0.03)</f>
        <v>0</v>
      </c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customFormat="false" ht="16.4" hidden="false" customHeight="false" outlineLevel="0" collapsed="false">
      <c r="A886" s="123" t="n">
        <v>45444</v>
      </c>
      <c r="B886" s="31" t="s">
        <v>153</v>
      </c>
      <c r="C886" s="129"/>
      <c r="D886" s="129"/>
      <c r="E886" s="19" t="n">
        <f aca="false">F886*0.03</f>
        <v>0</v>
      </c>
      <c r="F886" s="33" t="n">
        <v>0</v>
      </c>
      <c r="G886" s="131"/>
      <c r="H886" s="35" t="n">
        <v>0</v>
      </c>
      <c r="I886" s="34" t="n">
        <f aca="false">+IF(E886=0,0,E886*0.03)</f>
        <v>0</v>
      </c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customFormat="false" ht="16.4" hidden="false" customHeight="false" outlineLevel="0" collapsed="false">
      <c r="A887" s="123" t="n">
        <v>45444</v>
      </c>
      <c r="B887" s="31" t="s">
        <v>153</v>
      </c>
      <c r="C887" s="129"/>
      <c r="D887" s="129"/>
      <c r="E887" s="19" t="n">
        <f aca="false">F887*0.03</f>
        <v>0</v>
      </c>
      <c r="F887" s="33" t="n">
        <v>0</v>
      </c>
      <c r="G887" s="131"/>
      <c r="H887" s="35" t="n">
        <v>0</v>
      </c>
      <c r="I887" s="34" t="n">
        <f aca="false">+IF(E887=0,0,E887*0.03)</f>
        <v>0</v>
      </c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customFormat="false" ht="16.4" hidden="false" customHeight="false" outlineLevel="0" collapsed="false">
      <c r="A888" s="123" t="n">
        <v>45444</v>
      </c>
      <c r="B888" s="31" t="s">
        <v>153</v>
      </c>
      <c r="C888" s="129"/>
      <c r="D888" s="129"/>
      <c r="E888" s="19" t="n">
        <f aca="false">F888*0.03</f>
        <v>0</v>
      </c>
      <c r="F888" s="33" t="n">
        <v>0</v>
      </c>
      <c r="G888" s="131"/>
      <c r="H888" s="35" t="n">
        <v>0</v>
      </c>
      <c r="I888" s="34" t="n">
        <f aca="false">+IF(E888=0,0,E888*0.03)</f>
        <v>0</v>
      </c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customFormat="false" ht="16.4" hidden="false" customHeight="false" outlineLevel="0" collapsed="false">
      <c r="A889" s="123" t="n">
        <v>45444</v>
      </c>
      <c r="B889" s="31" t="s">
        <v>153</v>
      </c>
      <c r="C889" s="129"/>
      <c r="D889" s="129"/>
      <c r="E889" s="19" t="n">
        <f aca="false">F889*0.03</f>
        <v>0</v>
      </c>
      <c r="F889" s="33" t="n">
        <v>0</v>
      </c>
      <c r="G889" s="131"/>
      <c r="H889" s="35" t="n">
        <v>0</v>
      </c>
      <c r="I889" s="34" t="n">
        <f aca="false">+IF(E889=0,0,E889*0.03)</f>
        <v>0</v>
      </c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customFormat="false" ht="16.4" hidden="false" customHeight="false" outlineLevel="0" collapsed="false">
      <c r="A890" s="123" t="n">
        <v>45444</v>
      </c>
      <c r="B890" s="31" t="s">
        <v>153</v>
      </c>
      <c r="C890" s="129"/>
      <c r="D890" s="129"/>
      <c r="E890" s="19" t="n">
        <f aca="false">F890*0.03</f>
        <v>0</v>
      </c>
      <c r="F890" s="33" t="n">
        <v>0</v>
      </c>
      <c r="G890" s="131"/>
      <c r="H890" s="35" t="n">
        <v>0</v>
      </c>
      <c r="I890" s="34" t="n">
        <f aca="false">+IF(E890=0,0,E890*0.03)</f>
        <v>0</v>
      </c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customFormat="false" ht="16.4" hidden="false" customHeight="false" outlineLevel="0" collapsed="false">
      <c r="A891" s="123" t="n">
        <v>45444</v>
      </c>
      <c r="B891" s="31" t="s">
        <v>153</v>
      </c>
      <c r="C891" s="129"/>
      <c r="D891" s="129"/>
      <c r="E891" s="19" t="n">
        <f aca="false">F891*0.03</f>
        <v>0</v>
      </c>
      <c r="F891" s="33" t="n">
        <v>0</v>
      </c>
      <c r="G891" s="131"/>
      <c r="H891" s="35" t="n">
        <v>0</v>
      </c>
      <c r="I891" s="34" t="n">
        <f aca="false">+IF(E891=0,0,E891*0.03)</f>
        <v>0</v>
      </c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customFormat="false" ht="16.4" hidden="false" customHeight="false" outlineLevel="0" collapsed="false">
      <c r="A892" s="123" t="n">
        <v>45444</v>
      </c>
      <c r="B892" s="31" t="s">
        <v>153</v>
      </c>
      <c r="C892" s="129"/>
      <c r="D892" s="129"/>
      <c r="E892" s="19" t="n">
        <f aca="false">F892*0.03</f>
        <v>0</v>
      </c>
      <c r="F892" s="33" t="n">
        <v>0</v>
      </c>
      <c r="G892" s="131"/>
      <c r="H892" s="35" t="n">
        <v>0</v>
      </c>
      <c r="I892" s="34" t="n">
        <f aca="false">+IF(E892=0,0,E892*0.03)</f>
        <v>0</v>
      </c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customFormat="false" ht="16.4" hidden="false" customHeight="false" outlineLevel="0" collapsed="false">
      <c r="A893" s="123" t="n">
        <v>45444</v>
      </c>
      <c r="B893" s="31" t="s">
        <v>153</v>
      </c>
      <c r="C893" s="129"/>
      <c r="D893" s="129"/>
      <c r="E893" s="19" t="n">
        <f aca="false">F893*0.03</f>
        <v>0</v>
      </c>
      <c r="F893" s="33" t="n">
        <v>0</v>
      </c>
      <c r="G893" s="131"/>
      <c r="H893" s="35" t="n">
        <v>0</v>
      </c>
      <c r="I893" s="34" t="n">
        <f aca="false">+IF(E893=0,0,E893*0.03)</f>
        <v>0</v>
      </c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customFormat="false" ht="16.4" hidden="false" customHeight="false" outlineLevel="0" collapsed="false">
      <c r="A894" s="123" t="n">
        <v>45444</v>
      </c>
      <c r="B894" s="31" t="s">
        <v>153</v>
      </c>
      <c r="C894" s="129"/>
      <c r="D894" s="129"/>
      <c r="E894" s="19" t="n">
        <f aca="false">F894*0.03</f>
        <v>0</v>
      </c>
      <c r="F894" s="33" t="n">
        <v>0</v>
      </c>
      <c r="G894" s="131"/>
      <c r="H894" s="35" t="n">
        <v>0</v>
      </c>
      <c r="I894" s="34" t="n">
        <f aca="false">+IF(E894=0,0,E894*0.03)</f>
        <v>0</v>
      </c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customFormat="false" ht="16.4" hidden="false" customHeight="false" outlineLevel="0" collapsed="false">
      <c r="A895" s="123" t="n">
        <v>45444</v>
      </c>
      <c r="B895" s="31" t="s">
        <v>153</v>
      </c>
      <c r="C895" s="129"/>
      <c r="D895" s="129"/>
      <c r="E895" s="19" t="n">
        <f aca="false">F895*0.03</f>
        <v>0</v>
      </c>
      <c r="F895" s="33" t="n">
        <v>0</v>
      </c>
      <c r="G895" s="131"/>
      <c r="H895" s="35" t="n">
        <v>0</v>
      </c>
      <c r="I895" s="34" t="n">
        <f aca="false">+IF(E895=0,0,E895*0.03)</f>
        <v>0</v>
      </c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customFormat="false" ht="16.4" hidden="false" customHeight="false" outlineLevel="0" collapsed="false">
      <c r="A896" s="123" t="n">
        <v>45444</v>
      </c>
      <c r="B896" s="31" t="s">
        <v>153</v>
      </c>
      <c r="C896" s="129"/>
      <c r="D896" s="129"/>
      <c r="E896" s="19" t="n">
        <f aca="false">F896*0.03</f>
        <v>0</v>
      </c>
      <c r="F896" s="33" t="n">
        <v>0</v>
      </c>
      <c r="G896" s="131"/>
      <c r="H896" s="35" t="n">
        <v>0</v>
      </c>
      <c r="I896" s="34" t="n">
        <f aca="false">+IF(E896=0,0,E896*0.03)</f>
        <v>0</v>
      </c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customFormat="false" ht="16.4" hidden="false" customHeight="false" outlineLevel="0" collapsed="false">
      <c r="A897" s="123" t="n">
        <v>45444</v>
      </c>
      <c r="B897" s="31" t="s">
        <v>153</v>
      </c>
      <c r="C897" s="129"/>
      <c r="D897" s="129"/>
      <c r="E897" s="19" t="n">
        <f aca="false">F897*0.03</f>
        <v>0</v>
      </c>
      <c r="F897" s="33" t="n">
        <v>0</v>
      </c>
      <c r="G897" s="131"/>
      <c r="H897" s="35" t="n">
        <v>0</v>
      </c>
      <c r="I897" s="34" t="n">
        <f aca="false">+IF(E897=0,0,E897*0.03)</f>
        <v>0</v>
      </c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customFormat="false" ht="16.4" hidden="false" customHeight="false" outlineLevel="0" collapsed="false">
      <c r="A898" s="123" t="n">
        <v>45444</v>
      </c>
      <c r="B898" s="31" t="s">
        <v>153</v>
      </c>
      <c r="C898" s="129"/>
      <c r="D898" s="129"/>
      <c r="E898" s="19" t="n">
        <f aca="false">F898*0.03</f>
        <v>0</v>
      </c>
      <c r="F898" s="33" t="n">
        <v>0</v>
      </c>
      <c r="G898" s="131"/>
      <c r="H898" s="35" t="n">
        <v>0</v>
      </c>
      <c r="I898" s="34" t="n">
        <f aca="false">+IF(E898=0,0,E898*0.03)</f>
        <v>0</v>
      </c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customFormat="false" ht="16.4" hidden="false" customHeight="false" outlineLevel="0" collapsed="false">
      <c r="A899" s="123" t="n">
        <v>45444</v>
      </c>
      <c r="B899" s="31" t="s">
        <v>153</v>
      </c>
      <c r="C899" s="129"/>
      <c r="D899" s="129"/>
      <c r="E899" s="19" t="n">
        <f aca="false">F899*0.03</f>
        <v>0</v>
      </c>
      <c r="F899" s="33" t="n">
        <v>0</v>
      </c>
      <c r="G899" s="131"/>
      <c r="H899" s="35" t="n">
        <v>0</v>
      </c>
      <c r="I899" s="34" t="n">
        <f aca="false">+IF(E899=0,0,E899*0.03)</f>
        <v>0</v>
      </c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customFormat="false" ht="16.4" hidden="false" customHeight="false" outlineLevel="0" collapsed="false">
      <c r="A900" s="123" t="n">
        <v>45444</v>
      </c>
      <c r="B900" s="31" t="s">
        <v>153</v>
      </c>
      <c r="C900" s="129"/>
      <c r="D900" s="129"/>
      <c r="E900" s="19" t="n">
        <f aca="false">F900*0.03</f>
        <v>0</v>
      </c>
      <c r="F900" s="33" t="n">
        <v>0</v>
      </c>
      <c r="G900" s="131"/>
      <c r="H900" s="35" t="n">
        <v>0</v>
      </c>
      <c r="I900" s="34" t="n">
        <f aca="false">+IF(E900=0,0,E900*0.03)</f>
        <v>0</v>
      </c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customFormat="false" ht="16.4" hidden="false" customHeight="false" outlineLevel="0" collapsed="false">
      <c r="A901" s="123" t="n">
        <v>45444</v>
      </c>
      <c r="B901" s="31" t="s">
        <v>153</v>
      </c>
      <c r="C901" s="129"/>
      <c r="D901" s="129"/>
      <c r="E901" s="19" t="n">
        <f aca="false">F901*0.03</f>
        <v>0</v>
      </c>
      <c r="F901" s="33" t="n">
        <v>0</v>
      </c>
      <c r="G901" s="131"/>
      <c r="H901" s="35" t="n">
        <v>0</v>
      </c>
      <c r="I901" s="34" t="n">
        <f aca="false">+IF(E901=0,0,E901*0.03)</f>
        <v>0</v>
      </c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customFormat="false" ht="16.4" hidden="false" customHeight="false" outlineLevel="0" collapsed="false">
      <c r="A902" s="123" t="n">
        <v>45444</v>
      </c>
      <c r="B902" s="31" t="s">
        <v>153</v>
      </c>
      <c r="C902" s="129"/>
      <c r="D902" s="129"/>
      <c r="E902" s="19" t="n">
        <f aca="false">F902*0.03</f>
        <v>0</v>
      </c>
      <c r="F902" s="33" t="n">
        <v>0</v>
      </c>
      <c r="G902" s="131"/>
      <c r="H902" s="35" t="n">
        <v>0</v>
      </c>
      <c r="I902" s="34" t="n">
        <f aca="false">+IF(E902=0,0,E902*0.03)</f>
        <v>0</v>
      </c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customFormat="false" ht="16.4" hidden="false" customHeight="false" outlineLevel="0" collapsed="false">
      <c r="A903" s="123" t="n">
        <v>45444</v>
      </c>
      <c r="B903" s="31" t="s">
        <v>153</v>
      </c>
      <c r="C903" s="129"/>
      <c r="D903" s="129"/>
      <c r="E903" s="19" t="n">
        <f aca="false">F903*0.03</f>
        <v>0</v>
      </c>
      <c r="F903" s="33" t="n">
        <v>0</v>
      </c>
      <c r="G903" s="131"/>
      <c r="H903" s="35" t="n">
        <v>0</v>
      </c>
      <c r="I903" s="34" t="n">
        <f aca="false">+IF(E903=0,0,E903*0.03)</f>
        <v>0</v>
      </c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customFormat="false" ht="16.4" hidden="false" customHeight="false" outlineLevel="0" collapsed="false">
      <c r="A904" s="123" t="n">
        <v>45444</v>
      </c>
      <c r="B904" s="31" t="s">
        <v>153</v>
      </c>
      <c r="C904" s="129"/>
      <c r="D904" s="129"/>
      <c r="E904" s="19" t="n">
        <f aca="false">F904*0.03</f>
        <v>0</v>
      </c>
      <c r="F904" s="33" t="n">
        <v>0</v>
      </c>
      <c r="G904" s="131"/>
      <c r="H904" s="35" t="n">
        <v>0</v>
      </c>
      <c r="I904" s="34" t="n">
        <f aca="false">+IF(E904=0,0,E904*0.03)</f>
        <v>0</v>
      </c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customFormat="false" ht="16.4" hidden="false" customHeight="false" outlineLevel="0" collapsed="false">
      <c r="A905" s="123" t="n">
        <v>45444</v>
      </c>
      <c r="B905" s="31" t="s">
        <v>153</v>
      </c>
      <c r="C905" s="129"/>
      <c r="D905" s="129"/>
      <c r="E905" s="19" t="n">
        <f aca="false">F905*0.03</f>
        <v>0</v>
      </c>
      <c r="F905" s="33" t="n">
        <v>0</v>
      </c>
      <c r="G905" s="131"/>
      <c r="H905" s="35" t="n">
        <v>0</v>
      </c>
      <c r="I905" s="34" t="n">
        <f aca="false">+IF(E905=0,0,E905*0.03)</f>
        <v>0</v>
      </c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customFormat="false" ht="16.4" hidden="false" customHeight="false" outlineLevel="0" collapsed="false">
      <c r="A906" s="123" t="n">
        <v>45444</v>
      </c>
      <c r="B906" s="31" t="s">
        <v>153</v>
      </c>
      <c r="C906" s="129"/>
      <c r="D906" s="129"/>
      <c r="E906" s="19" t="n">
        <f aca="false">F906*0.03</f>
        <v>0</v>
      </c>
      <c r="F906" s="33" t="n">
        <v>0</v>
      </c>
      <c r="G906" s="131"/>
      <c r="H906" s="35" t="n">
        <v>0</v>
      </c>
      <c r="I906" s="34" t="n">
        <f aca="false">+IF(E906=0,0,E906*0.03)</f>
        <v>0</v>
      </c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customFormat="false" ht="16.4" hidden="false" customHeight="false" outlineLevel="0" collapsed="false">
      <c r="A907" s="123" t="n">
        <v>45444</v>
      </c>
      <c r="B907" s="31" t="s">
        <v>153</v>
      </c>
      <c r="C907" s="129"/>
      <c r="D907" s="129"/>
      <c r="E907" s="19" t="n">
        <f aca="false">F907*0.03</f>
        <v>0</v>
      </c>
      <c r="F907" s="33" t="n">
        <v>0</v>
      </c>
      <c r="G907" s="131"/>
      <c r="H907" s="35" t="n">
        <v>0</v>
      </c>
      <c r="I907" s="34" t="n">
        <f aca="false">+IF(E907=0,0,E907*0.03)</f>
        <v>0</v>
      </c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customFormat="false" ht="16.4" hidden="false" customHeight="false" outlineLevel="0" collapsed="false">
      <c r="A908" s="123" t="n">
        <v>45444</v>
      </c>
      <c r="B908" s="31" t="s">
        <v>153</v>
      </c>
      <c r="C908" s="129"/>
      <c r="D908" s="129"/>
      <c r="E908" s="19" t="n">
        <f aca="false">F908*0.03</f>
        <v>0</v>
      </c>
      <c r="F908" s="33" t="n">
        <v>0</v>
      </c>
      <c r="G908" s="131"/>
      <c r="H908" s="35" t="n">
        <v>0</v>
      </c>
      <c r="I908" s="34" t="n">
        <f aca="false">+IF(E908=0,0,E908*0.03)</f>
        <v>0</v>
      </c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customFormat="false" ht="16.4" hidden="false" customHeight="false" outlineLevel="0" collapsed="false">
      <c r="A909" s="123" t="n">
        <v>45444</v>
      </c>
      <c r="B909" s="31" t="s">
        <v>153</v>
      </c>
      <c r="C909" s="129"/>
      <c r="D909" s="129"/>
      <c r="E909" s="19" t="n">
        <f aca="false">F909*0.03</f>
        <v>0</v>
      </c>
      <c r="F909" s="33" t="n">
        <v>0</v>
      </c>
      <c r="G909" s="131"/>
      <c r="H909" s="35" t="n">
        <v>0</v>
      </c>
      <c r="I909" s="34" t="n">
        <f aca="false">+IF(E909=0,0,E909*0.03)</f>
        <v>0</v>
      </c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customFormat="false" ht="16.4" hidden="false" customHeight="false" outlineLevel="0" collapsed="false">
      <c r="A910" s="123" t="n">
        <v>45444</v>
      </c>
      <c r="B910" s="31" t="s">
        <v>153</v>
      </c>
      <c r="C910" s="129"/>
      <c r="D910" s="129"/>
      <c r="E910" s="19" t="n">
        <f aca="false">F910*0.03</f>
        <v>0</v>
      </c>
      <c r="F910" s="33" t="n">
        <v>0</v>
      </c>
      <c r="G910" s="131"/>
      <c r="H910" s="35" t="n">
        <v>0</v>
      </c>
      <c r="I910" s="34" t="n">
        <f aca="false">+IF(E910=0,0,E910*0.03)</f>
        <v>0</v>
      </c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customFormat="false" ht="16.4" hidden="false" customHeight="false" outlineLevel="0" collapsed="false">
      <c r="A911" s="123" t="n">
        <v>45444</v>
      </c>
      <c r="B911" s="31" t="s">
        <v>153</v>
      </c>
      <c r="C911" s="129"/>
      <c r="D911" s="129"/>
      <c r="E911" s="19" t="n">
        <f aca="false">F911*0.03</f>
        <v>0</v>
      </c>
      <c r="F911" s="33" t="n">
        <v>0</v>
      </c>
      <c r="G911" s="131"/>
      <c r="H911" s="35" t="n">
        <v>0</v>
      </c>
      <c r="I911" s="34" t="n">
        <f aca="false">+IF(E911=0,0,E911*0.03)</f>
        <v>0</v>
      </c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customFormat="false" ht="16.4" hidden="false" customHeight="false" outlineLevel="0" collapsed="false">
      <c r="A912" s="123" t="n">
        <v>45444</v>
      </c>
      <c r="B912" s="31" t="s">
        <v>153</v>
      </c>
      <c r="C912" s="129"/>
      <c r="D912" s="129"/>
      <c r="E912" s="19" t="n">
        <f aca="false">F912*0.03</f>
        <v>0</v>
      </c>
      <c r="F912" s="33" t="n">
        <v>0</v>
      </c>
      <c r="G912" s="131"/>
      <c r="H912" s="35" t="n">
        <v>0</v>
      </c>
      <c r="I912" s="34" t="n">
        <f aca="false">+IF(E912=0,0,E912*0.03)</f>
        <v>0</v>
      </c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customFormat="false" ht="16.4" hidden="false" customHeight="false" outlineLevel="0" collapsed="false">
      <c r="A913" s="123" t="n">
        <v>45444</v>
      </c>
      <c r="B913" s="31" t="s">
        <v>153</v>
      </c>
      <c r="C913" s="129"/>
      <c r="D913" s="129"/>
      <c r="E913" s="19" t="n">
        <f aca="false">F913*0.03</f>
        <v>0</v>
      </c>
      <c r="F913" s="33" t="n">
        <v>0</v>
      </c>
      <c r="G913" s="131"/>
      <c r="H913" s="35" t="n">
        <v>0</v>
      </c>
      <c r="I913" s="34" t="n">
        <f aca="false">+IF(E913=0,0,E913*0.03)</f>
        <v>0</v>
      </c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customFormat="false" ht="16.4" hidden="false" customHeight="false" outlineLevel="0" collapsed="false">
      <c r="A914" s="123" t="n">
        <v>45444</v>
      </c>
      <c r="B914" s="31" t="s">
        <v>153</v>
      </c>
      <c r="C914" s="129"/>
      <c r="D914" s="129"/>
      <c r="E914" s="19" t="n">
        <f aca="false">F914*0.03</f>
        <v>0</v>
      </c>
      <c r="F914" s="33" t="n">
        <v>0</v>
      </c>
      <c r="G914" s="131"/>
      <c r="H914" s="35" t="n">
        <v>0</v>
      </c>
      <c r="I914" s="34" t="n">
        <f aca="false">+IF(E914=0,0,E914*0.03)</f>
        <v>0</v>
      </c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customFormat="false" ht="16.4" hidden="false" customHeight="false" outlineLevel="0" collapsed="false">
      <c r="A915" s="123" t="n">
        <v>45444</v>
      </c>
      <c r="B915" s="31" t="s">
        <v>153</v>
      </c>
      <c r="C915" s="129"/>
      <c r="D915" s="129"/>
      <c r="E915" s="19" t="n">
        <f aca="false">F915*0.03</f>
        <v>0</v>
      </c>
      <c r="F915" s="33" t="n">
        <v>0</v>
      </c>
      <c r="G915" s="131"/>
      <c r="H915" s="35" t="n">
        <v>0</v>
      </c>
      <c r="I915" s="34" t="n">
        <f aca="false">+IF(E915=0,0,E915*0.03)</f>
        <v>0</v>
      </c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customFormat="false" ht="16.4" hidden="false" customHeight="false" outlineLevel="0" collapsed="false">
      <c r="A916" s="123" t="n">
        <v>45444</v>
      </c>
      <c r="B916" s="31" t="s">
        <v>153</v>
      </c>
      <c r="C916" s="129"/>
      <c r="D916" s="129"/>
      <c r="E916" s="19" t="n">
        <f aca="false">F916*0.03</f>
        <v>0</v>
      </c>
      <c r="F916" s="33" t="n">
        <v>0</v>
      </c>
      <c r="G916" s="131"/>
      <c r="H916" s="35" t="n">
        <v>0</v>
      </c>
      <c r="I916" s="34" t="n">
        <f aca="false">+IF(E916=0,0,E916*0.03)</f>
        <v>0</v>
      </c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customFormat="false" ht="16.4" hidden="false" customHeight="false" outlineLevel="0" collapsed="false">
      <c r="A917" s="123" t="n">
        <v>45444</v>
      </c>
      <c r="B917" s="31" t="s">
        <v>153</v>
      </c>
      <c r="C917" s="129"/>
      <c r="D917" s="129"/>
      <c r="E917" s="19" t="n">
        <f aca="false">F917*0.03</f>
        <v>0</v>
      </c>
      <c r="F917" s="33" t="n">
        <v>0</v>
      </c>
      <c r="G917" s="131"/>
      <c r="H917" s="35" t="n">
        <v>0</v>
      </c>
      <c r="I917" s="34" t="n">
        <f aca="false">+IF(E917=0,0,E917*0.03)</f>
        <v>0</v>
      </c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customFormat="false" ht="16.4" hidden="false" customHeight="false" outlineLevel="0" collapsed="false">
      <c r="A918" s="123" t="n">
        <v>45444</v>
      </c>
      <c r="B918" s="31" t="s">
        <v>153</v>
      </c>
      <c r="C918" s="129"/>
      <c r="D918" s="129"/>
      <c r="E918" s="19" t="n">
        <f aca="false">F918*0.03</f>
        <v>0</v>
      </c>
      <c r="F918" s="33" t="n">
        <v>0</v>
      </c>
      <c r="G918" s="131"/>
      <c r="H918" s="35" t="n">
        <v>0</v>
      </c>
      <c r="I918" s="34" t="n">
        <f aca="false">+IF(E918=0,0,E918*0.03)</f>
        <v>0</v>
      </c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customFormat="false" ht="16.4" hidden="false" customHeight="false" outlineLevel="0" collapsed="false">
      <c r="A919" s="123" t="n">
        <v>45444</v>
      </c>
      <c r="B919" s="31" t="s">
        <v>153</v>
      </c>
      <c r="C919" s="129"/>
      <c r="D919" s="129"/>
      <c r="E919" s="19" t="n">
        <f aca="false">F919*0.03</f>
        <v>0</v>
      </c>
      <c r="F919" s="33" t="n">
        <v>0</v>
      </c>
      <c r="G919" s="131"/>
      <c r="H919" s="35" t="n">
        <v>0</v>
      </c>
      <c r="I919" s="34" t="n">
        <f aca="false">+IF(E919=0,0,E919*0.03)</f>
        <v>0</v>
      </c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customFormat="false" ht="16.4" hidden="false" customHeight="false" outlineLevel="0" collapsed="false">
      <c r="A920" s="123" t="n">
        <v>45444</v>
      </c>
      <c r="B920" s="31" t="s">
        <v>153</v>
      </c>
      <c r="C920" s="129"/>
      <c r="D920" s="129"/>
      <c r="E920" s="19" t="n">
        <f aca="false">F920*0.03</f>
        <v>0</v>
      </c>
      <c r="F920" s="33" t="n">
        <v>0</v>
      </c>
      <c r="G920" s="131"/>
      <c r="H920" s="35" t="n">
        <v>0</v>
      </c>
      <c r="I920" s="34" t="n">
        <f aca="false">+IF(E920=0,0,E920*0.03)</f>
        <v>0</v>
      </c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customFormat="false" ht="16.4" hidden="false" customHeight="false" outlineLevel="0" collapsed="false">
      <c r="A921" s="123" t="n">
        <v>45444</v>
      </c>
      <c r="B921" s="31" t="s">
        <v>153</v>
      </c>
      <c r="C921" s="129"/>
      <c r="D921" s="129"/>
      <c r="E921" s="19" t="n">
        <f aca="false">F921*0.03</f>
        <v>0</v>
      </c>
      <c r="F921" s="33" t="n">
        <v>0</v>
      </c>
      <c r="G921" s="131"/>
      <c r="H921" s="35" t="n">
        <v>0</v>
      </c>
      <c r="I921" s="34" t="n">
        <f aca="false">+IF(E921=0,0,E921*0.03)</f>
        <v>0</v>
      </c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customFormat="false" ht="16.4" hidden="false" customHeight="false" outlineLevel="0" collapsed="false">
      <c r="A922" s="123" t="n">
        <v>45444</v>
      </c>
      <c r="B922" s="31" t="s">
        <v>153</v>
      </c>
      <c r="C922" s="129"/>
      <c r="D922" s="129"/>
      <c r="E922" s="19" t="n">
        <f aca="false">F922*0.03</f>
        <v>0</v>
      </c>
      <c r="F922" s="33" t="n">
        <v>0</v>
      </c>
      <c r="G922" s="131"/>
      <c r="H922" s="35" t="n">
        <v>0</v>
      </c>
      <c r="I922" s="34" t="n">
        <f aca="false">+IF(E922=0,0,E922*0.03)</f>
        <v>0</v>
      </c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customFormat="false" ht="16.4" hidden="false" customHeight="false" outlineLevel="0" collapsed="false">
      <c r="A923" s="123" t="n">
        <v>45444</v>
      </c>
      <c r="B923" s="31" t="s">
        <v>153</v>
      </c>
      <c r="C923" s="129"/>
      <c r="D923" s="129"/>
      <c r="E923" s="19" t="n">
        <f aca="false">F923*0.03</f>
        <v>0</v>
      </c>
      <c r="F923" s="33" t="n">
        <v>0</v>
      </c>
      <c r="G923" s="131"/>
      <c r="H923" s="35" t="n">
        <v>0</v>
      </c>
      <c r="I923" s="34" t="n">
        <f aca="false">+IF(E923=0,0,E923*0.03)</f>
        <v>0</v>
      </c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customFormat="false" ht="16.4" hidden="false" customHeight="false" outlineLevel="0" collapsed="false">
      <c r="A924" s="123" t="n">
        <v>45444</v>
      </c>
      <c r="B924" s="31" t="s">
        <v>153</v>
      </c>
      <c r="C924" s="129"/>
      <c r="D924" s="129"/>
      <c r="E924" s="19" t="n">
        <f aca="false">F924*0.03</f>
        <v>0</v>
      </c>
      <c r="F924" s="33" t="n">
        <v>0</v>
      </c>
      <c r="G924" s="131"/>
      <c r="H924" s="35" t="n">
        <v>0</v>
      </c>
      <c r="I924" s="34" t="n">
        <f aca="false">+IF(E924=0,0,E924*0.03)</f>
        <v>0</v>
      </c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customFormat="false" ht="16.4" hidden="false" customHeight="false" outlineLevel="0" collapsed="false">
      <c r="A925" s="123" t="n">
        <v>45444</v>
      </c>
      <c r="B925" s="31" t="s">
        <v>153</v>
      </c>
      <c r="C925" s="129"/>
      <c r="D925" s="129"/>
      <c r="E925" s="19" t="n">
        <f aca="false">F925*0.03</f>
        <v>0</v>
      </c>
      <c r="F925" s="33" t="n">
        <v>0</v>
      </c>
      <c r="G925" s="131"/>
      <c r="H925" s="35" t="n">
        <v>0</v>
      </c>
      <c r="I925" s="34" t="n">
        <f aca="false">+IF(E925=0,0,E925*0.03)</f>
        <v>0</v>
      </c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customFormat="false" ht="16.4" hidden="false" customHeight="false" outlineLevel="0" collapsed="false">
      <c r="A926" s="123" t="n">
        <v>45444</v>
      </c>
      <c r="B926" s="31" t="s">
        <v>153</v>
      </c>
      <c r="C926" s="129"/>
      <c r="D926" s="129"/>
      <c r="E926" s="19" t="n">
        <f aca="false">F926*0.03</f>
        <v>0</v>
      </c>
      <c r="F926" s="33" t="n">
        <v>0</v>
      </c>
      <c r="G926" s="131"/>
      <c r="H926" s="35" t="n">
        <v>0</v>
      </c>
      <c r="I926" s="34" t="n">
        <f aca="false">+IF(E926=0,0,E926*0.03)</f>
        <v>0</v>
      </c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customFormat="false" ht="16.4" hidden="false" customHeight="false" outlineLevel="0" collapsed="false">
      <c r="A927" s="123" t="n">
        <v>45444</v>
      </c>
      <c r="B927" s="31" t="s">
        <v>153</v>
      </c>
      <c r="C927" s="129"/>
      <c r="D927" s="129"/>
      <c r="E927" s="19" t="n">
        <f aca="false">F927*0.03</f>
        <v>0</v>
      </c>
      <c r="F927" s="33" t="n">
        <v>0</v>
      </c>
      <c r="G927" s="131"/>
      <c r="H927" s="35" t="n">
        <v>0</v>
      </c>
      <c r="I927" s="34" t="n">
        <f aca="false">+IF(E927=0,0,E927*0.03)</f>
        <v>0</v>
      </c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customFormat="false" ht="16.4" hidden="false" customHeight="false" outlineLevel="0" collapsed="false">
      <c r="A928" s="123" t="n">
        <v>45444</v>
      </c>
      <c r="B928" s="31" t="s">
        <v>153</v>
      </c>
      <c r="C928" s="129"/>
      <c r="D928" s="129"/>
      <c r="E928" s="19" t="n">
        <f aca="false">F928*0.03</f>
        <v>0</v>
      </c>
      <c r="F928" s="33" t="n">
        <v>0</v>
      </c>
      <c r="G928" s="131"/>
      <c r="H928" s="35" t="n">
        <v>0</v>
      </c>
      <c r="I928" s="34" t="n">
        <f aca="false">+IF(E928=0,0,E928*0.03)</f>
        <v>0</v>
      </c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customFormat="false" ht="16.4" hidden="false" customHeight="false" outlineLevel="0" collapsed="false">
      <c r="A929" s="123" t="n">
        <v>45444</v>
      </c>
      <c r="B929" s="31" t="s">
        <v>153</v>
      </c>
      <c r="C929" s="129"/>
      <c r="D929" s="129"/>
      <c r="E929" s="19" t="n">
        <f aca="false">F929*0.03</f>
        <v>0</v>
      </c>
      <c r="F929" s="33" t="n">
        <v>0</v>
      </c>
      <c r="G929" s="131"/>
      <c r="H929" s="35" t="n">
        <v>0</v>
      </c>
      <c r="I929" s="34" t="n">
        <f aca="false">+IF(E929=0,0,E929*0.03)</f>
        <v>0</v>
      </c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customFormat="false" ht="16.4" hidden="false" customHeight="false" outlineLevel="0" collapsed="false">
      <c r="A930" s="123" t="n">
        <v>45444</v>
      </c>
      <c r="B930" s="31" t="s">
        <v>153</v>
      </c>
      <c r="C930" s="129"/>
      <c r="D930" s="129"/>
      <c r="E930" s="19" t="n">
        <f aca="false">F930*0.03</f>
        <v>0</v>
      </c>
      <c r="F930" s="33" t="n">
        <v>0</v>
      </c>
      <c r="G930" s="131"/>
      <c r="H930" s="35" t="n">
        <v>0</v>
      </c>
      <c r="I930" s="34" t="n">
        <f aca="false">+IF(E930=0,0,E930*0.03)</f>
        <v>0</v>
      </c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customFormat="false" ht="16.4" hidden="false" customHeight="false" outlineLevel="0" collapsed="false">
      <c r="A931" s="123" t="n">
        <v>45444</v>
      </c>
      <c r="B931" s="31" t="s">
        <v>153</v>
      </c>
      <c r="C931" s="129"/>
      <c r="D931" s="129"/>
      <c r="E931" s="19" t="n">
        <f aca="false">F931*0.03</f>
        <v>0</v>
      </c>
      <c r="F931" s="33" t="n">
        <v>0</v>
      </c>
      <c r="G931" s="131"/>
      <c r="H931" s="35" t="n">
        <v>0</v>
      </c>
      <c r="I931" s="34" t="n">
        <f aca="false">+IF(E931=0,0,E931*0.03)</f>
        <v>0</v>
      </c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customFormat="false" ht="16.4" hidden="false" customHeight="false" outlineLevel="0" collapsed="false">
      <c r="A932" s="123" t="n">
        <v>45444</v>
      </c>
      <c r="B932" s="31" t="s">
        <v>153</v>
      </c>
      <c r="C932" s="129"/>
      <c r="D932" s="129"/>
      <c r="E932" s="19" t="n">
        <f aca="false">F932*0.03</f>
        <v>0</v>
      </c>
      <c r="F932" s="33" t="n">
        <v>0</v>
      </c>
      <c r="G932" s="131"/>
      <c r="H932" s="35" t="n">
        <v>0</v>
      </c>
      <c r="I932" s="34" t="n">
        <f aca="false">+IF(E932=0,0,E932*0.03)</f>
        <v>0</v>
      </c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customFormat="false" ht="16.4" hidden="false" customHeight="false" outlineLevel="0" collapsed="false">
      <c r="A933" s="123" t="n">
        <v>45444</v>
      </c>
      <c r="B933" s="31" t="s">
        <v>153</v>
      </c>
      <c r="C933" s="129"/>
      <c r="D933" s="129"/>
      <c r="E933" s="19" t="n">
        <f aca="false">F933*0.03</f>
        <v>0</v>
      </c>
      <c r="F933" s="33" t="n">
        <v>0</v>
      </c>
      <c r="G933" s="131"/>
      <c r="H933" s="35" t="n">
        <v>0</v>
      </c>
      <c r="I933" s="34" t="n">
        <f aca="false">+IF(E933=0,0,E933*0.03)</f>
        <v>0</v>
      </c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customFormat="false" ht="16.4" hidden="false" customHeight="false" outlineLevel="0" collapsed="false">
      <c r="A934" s="123" t="n">
        <v>45444</v>
      </c>
      <c r="B934" s="31" t="s">
        <v>153</v>
      </c>
      <c r="C934" s="129"/>
      <c r="D934" s="129"/>
      <c r="E934" s="19" t="n">
        <f aca="false">F934*0.03</f>
        <v>0</v>
      </c>
      <c r="F934" s="33" t="n">
        <v>0</v>
      </c>
      <c r="G934" s="131"/>
      <c r="H934" s="35" t="n">
        <v>0</v>
      </c>
      <c r="I934" s="34" t="n">
        <f aca="false">+IF(E934=0,0,E934*0.03)</f>
        <v>0</v>
      </c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customFormat="false" ht="16.4" hidden="false" customHeight="false" outlineLevel="0" collapsed="false">
      <c r="A935" s="123" t="n">
        <v>45444</v>
      </c>
      <c r="B935" s="31" t="s">
        <v>153</v>
      </c>
      <c r="C935" s="129"/>
      <c r="D935" s="129"/>
      <c r="E935" s="19" t="n">
        <f aca="false">F935*0.03</f>
        <v>0</v>
      </c>
      <c r="F935" s="33" t="n">
        <v>0</v>
      </c>
      <c r="G935" s="131"/>
      <c r="H935" s="35" t="n">
        <v>0</v>
      </c>
      <c r="I935" s="34" t="n">
        <f aca="false">+IF(E935=0,0,E935*0.03)</f>
        <v>0</v>
      </c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customFormat="false" ht="16.4" hidden="false" customHeight="false" outlineLevel="0" collapsed="false">
      <c r="A936" s="123" t="n">
        <v>45444</v>
      </c>
      <c r="B936" s="31" t="s">
        <v>153</v>
      </c>
      <c r="C936" s="129"/>
      <c r="D936" s="129"/>
      <c r="E936" s="19" t="n">
        <f aca="false">F936*0.03</f>
        <v>0</v>
      </c>
      <c r="F936" s="33" t="n">
        <v>0</v>
      </c>
      <c r="G936" s="131"/>
      <c r="H936" s="35" t="n">
        <v>0</v>
      </c>
      <c r="I936" s="34" t="n">
        <f aca="false">+IF(E936=0,0,E936*0.03)</f>
        <v>0</v>
      </c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customFormat="false" ht="16.4" hidden="false" customHeight="false" outlineLevel="0" collapsed="false">
      <c r="A937" s="123" t="n">
        <v>45444</v>
      </c>
      <c r="B937" s="31" t="s">
        <v>153</v>
      </c>
      <c r="C937" s="129"/>
      <c r="D937" s="129"/>
      <c r="E937" s="19" t="n">
        <f aca="false">F937*0.03</f>
        <v>0</v>
      </c>
      <c r="F937" s="33" t="n">
        <v>0</v>
      </c>
      <c r="G937" s="131"/>
      <c r="H937" s="35" t="n">
        <v>0</v>
      </c>
      <c r="I937" s="34" t="n">
        <f aca="false">+IF(E937=0,0,E937*0.03)</f>
        <v>0</v>
      </c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customFormat="false" ht="16.4" hidden="false" customHeight="false" outlineLevel="0" collapsed="false">
      <c r="A938" s="123" t="n">
        <v>45444</v>
      </c>
      <c r="B938" s="31" t="s">
        <v>153</v>
      </c>
      <c r="C938" s="129"/>
      <c r="D938" s="129"/>
      <c r="E938" s="19" t="n">
        <f aca="false">F938*0.03</f>
        <v>0</v>
      </c>
      <c r="F938" s="33" t="n">
        <v>0</v>
      </c>
      <c r="G938" s="131"/>
      <c r="H938" s="35" t="n">
        <v>0</v>
      </c>
      <c r="I938" s="34" t="n">
        <f aca="false">+IF(E938=0,0,E938*0.03)</f>
        <v>0</v>
      </c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customFormat="false" ht="16.4" hidden="false" customHeight="false" outlineLevel="0" collapsed="false">
      <c r="A939" s="123" t="n">
        <v>45444</v>
      </c>
      <c r="B939" s="31" t="s">
        <v>153</v>
      </c>
      <c r="C939" s="129"/>
      <c r="D939" s="129"/>
      <c r="E939" s="19" t="n">
        <f aca="false">F939*0.03</f>
        <v>0</v>
      </c>
      <c r="F939" s="33" t="n">
        <v>0</v>
      </c>
      <c r="G939" s="131"/>
      <c r="H939" s="35" t="n">
        <v>0</v>
      </c>
      <c r="I939" s="34" t="n">
        <f aca="false">+IF(E939=0,0,E939*0.03)</f>
        <v>0</v>
      </c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customFormat="false" ht="16.4" hidden="false" customHeight="false" outlineLevel="0" collapsed="false">
      <c r="A940" s="123" t="n">
        <v>45444</v>
      </c>
      <c r="B940" s="31" t="s">
        <v>153</v>
      </c>
      <c r="C940" s="129"/>
      <c r="D940" s="129"/>
      <c r="E940" s="19" t="n">
        <f aca="false">F940*0.03</f>
        <v>0</v>
      </c>
      <c r="F940" s="33" t="n">
        <v>0</v>
      </c>
      <c r="G940" s="131"/>
      <c r="H940" s="35" t="n">
        <v>0</v>
      </c>
      <c r="I940" s="34" t="n">
        <f aca="false">+IF(E940=0,0,E940*0.03)</f>
        <v>0</v>
      </c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customFormat="false" ht="16.4" hidden="false" customHeight="false" outlineLevel="0" collapsed="false">
      <c r="A941" s="123" t="n">
        <v>45444</v>
      </c>
      <c r="B941" s="31" t="s">
        <v>153</v>
      </c>
      <c r="C941" s="129"/>
      <c r="D941" s="129"/>
      <c r="E941" s="19" t="n">
        <f aca="false">F941*0.03</f>
        <v>0</v>
      </c>
      <c r="F941" s="33" t="n">
        <v>0</v>
      </c>
      <c r="G941" s="131"/>
      <c r="H941" s="35" t="n">
        <v>0</v>
      </c>
      <c r="I941" s="34" t="n">
        <f aca="false">+IF(E941=0,0,E941*0.03)</f>
        <v>0</v>
      </c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customFormat="false" ht="16.4" hidden="false" customHeight="false" outlineLevel="0" collapsed="false">
      <c r="A942" s="123" t="n">
        <v>45444</v>
      </c>
      <c r="B942" s="31" t="s">
        <v>153</v>
      </c>
      <c r="C942" s="129"/>
      <c r="D942" s="129"/>
      <c r="E942" s="19" t="n">
        <f aca="false">F942*0.03</f>
        <v>0</v>
      </c>
      <c r="F942" s="33" t="n">
        <v>0</v>
      </c>
      <c r="G942" s="131"/>
      <c r="H942" s="35" t="n">
        <v>0</v>
      </c>
      <c r="I942" s="34" t="n">
        <f aca="false">+IF(E942=0,0,E942*0.03)</f>
        <v>0</v>
      </c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customFormat="false" ht="16.4" hidden="false" customHeight="false" outlineLevel="0" collapsed="false">
      <c r="A943" s="123" t="n">
        <v>45444</v>
      </c>
      <c r="B943" s="31" t="s">
        <v>153</v>
      </c>
      <c r="C943" s="129"/>
      <c r="D943" s="129"/>
      <c r="E943" s="19" t="n">
        <f aca="false">F943*0.03</f>
        <v>0</v>
      </c>
      <c r="F943" s="33" t="n">
        <v>0</v>
      </c>
      <c r="G943" s="131"/>
      <c r="H943" s="35" t="n">
        <v>0</v>
      </c>
      <c r="I943" s="34" t="n">
        <f aca="false">+IF(E943=0,0,E943*0.03)</f>
        <v>0</v>
      </c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customFormat="false" ht="16.4" hidden="false" customHeight="false" outlineLevel="0" collapsed="false">
      <c r="A944" s="123" t="n">
        <v>45444</v>
      </c>
      <c r="B944" s="31" t="s">
        <v>153</v>
      </c>
      <c r="C944" s="129"/>
      <c r="D944" s="129"/>
      <c r="E944" s="19" t="n">
        <f aca="false">F944*0.03</f>
        <v>0</v>
      </c>
      <c r="F944" s="33" t="n">
        <v>0</v>
      </c>
      <c r="G944" s="131"/>
      <c r="H944" s="35" t="n">
        <v>0</v>
      </c>
      <c r="I944" s="34" t="n">
        <f aca="false">+IF(E944=0,0,E944*0.03)</f>
        <v>0</v>
      </c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customFormat="false" ht="16.4" hidden="false" customHeight="false" outlineLevel="0" collapsed="false">
      <c r="A945" s="123" t="n">
        <v>45444</v>
      </c>
      <c r="B945" s="31" t="s">
        <v>153</v>
      </c>
      <c r="C945" s="129"/>
      <c r="D945" s="129"/>
      <c r="E945" s="19" t="n">
        <f aca="false">F945*0.03</f>
        <v>0</v>
      </c>
      <c r="F945" s="33" t="n">
        <v>0</v>
      </c>
      <c r="G945" s="131"/>
      <c r="H945" s="35" t="n">
        <v>0</v>
      </c>
      <c r="I945" s="34" t="n">
        <f aca="false">+IF(E945=0,0,E945*0.03)</f>
        <v>0</v>
      </c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customFormat="false" ht="16.4" hidden="false" customHeight="false" outlineLevel="0" collapsed="false">
      <c r="A946" s="123" t="n">
        <v>45444</v>
      </c>
      <c r="B946" s="31" t="s">
        <v>153</v>
      </c>
      <c r="C946" s="129"/>
      <c r="D946" s="129"/>
      <c r="E946" s="19" t="n">
        <f aca="false">F946*0.03</f>
        <v>0</v>
      </c>
      <c r="F946" s="33" t="n">
        <v>0</v>
      </c>
      <c r="G946" s="131"/>
      <c r="H946" s="35" t="n">
        <v>0</v>
      </c>
      <c r="I946" s="34" t="n">
        <f aca="false">+IF(E946=0,0,E946*0.03)</f>
        <v>0</v>
      </c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customFormat="false" ht="16.4" hidden="false" customHeight="false" outlineLevel="0" collapsed="false">
      <c r="A947" s="123" t="n">
        <v>45444</v>
      </c>
      <c r="B947" s="31" t="s">
        <v>153</v>
      </c>
      <c r="C947" s="129"/>
      <c r="D947" s="129"/>
      <c r="E947" s="19" t="n">
        <f aca="false">F947*0.03</f>
        <v>0</v>
      </c>
      <c r="F947" s="33" t="n">
        <v>0</v>
      </c>
      <c r="G947" s="131"/>
      <c r="H947" s="35" t="n">
        <v>0</v>
      </c>
      <c r="I947" s="34" t="n">
        <f aca="false">+IF(E947=0,0,E947*0.03)</f>
        <v>0</v>
      </c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customFormat="false" ht="16.4" hidden="false" customHeight="false" outlineLevel="0" collapsed="false">
      <c r="A948" s="123" t="n">
        <v>45444</v>
      </c>
      <c r="B948" s="31" t="s">
        <v>153</v>
      </c>
      <c r="C948" s="129"/>
      <c r="D948" s="129"/>
      <c r="E948" s="19" t="n">
        <f aca="false">F948*0.03</f>
        <v>0</v>
      </c>
      <c r="F948" s="33" t="n">
        <v>0</v>
      </c>
      <c r="G948" s="131"/>
      <c r="H948" s="35" t="n">
        <v>0</v>
      </c>
      <c r="I948" s="34" t="n">
        <f aca="false">+IF(E948=0,0,E948*0.03)</f>
        <v>0</v>
      </c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customFormat="false" ht="16.4" hidden="false" customHeight="false" outlineLevel="0" collapsed="false">
      <c r="A949" s="123" t="n">
        <v>45444</v>
      </c>
      <c r="B949" s="31" t="s">
        <v>153</v>
      </c>
      <c r="C949" s="129"/>
      <c r="D949" s="129"/>
      <c r="E949" s="19" t="n">
        <f aca="false">F949*0.03</f>
        <v>0</v>
      </c>
      <c r="F949" s="33" t="n">
        <v>0</v>
      </c>
      <c r="G949" s="131"/>
      <c r="H949" s="35" t="n">
        <v>0</v>
      </c>
      <c r="I949" s="34" t="n">
        <f aca="false">+IF(E949=0,0,E949*0.03)</f>
        <v>0</v>
      </c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customFormat="false" ht="16.4" hidden="false" customHeight="false" outlineLevel="0" collapsed="false">
      <c r="A950" s="123" t="n">
        <v>45444</v>
      </c>
      <c r="B950" s="31" t="s">
        <v>153</v>
      </c>
      <c r="C950" s="129"/>
      <c r="D950" s="129"/>
      <c r="E950" s="19" t="n">
        <f aca="false">F950*0.03</f>
        <v>0</v>
      </c>
      <c r="F950" s="33" t="n">
        <v>0</v>
      </c>
      <c r="G950" s="131"/>
      <c r="H950" s="35" t="n">
        <v>0</v>
      </c>
      <c r="I950" s="34" t="n">
        <f aca="false">+IF(E950=0,0,E950*0.03)</f>
        <v>0</v>
      </c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customFormat="false" ht="16.4" hidden="false" customHeight="false" outlineLevel="0" collapsed="false">
      <c r="A951" s="123" t="n">
        <v>45444</v>
      </c>
      <c r="B951" s="31" t="s">
        <v>153</v>
      </c>
      <c r="C951" s="129"/>
      <c r="D951" s="129"/>
      <c r="E951" s="19" t="n">
        <f aca="false">F951*0.03</f>
        <v>0</v>
      </c>
      <c r="F951" s="33" t="n">
        <v>0</v>
      </c>
      <c r="G951" s="131"/>
      <c r="H951" s="35" t="n">
        <v>0</v>
      </c>
      <c r="I951" s="34" t="n">
        <f aca="false">+IF(E951=0,0,E951*0.03)</f>
        <v>0</v>
      </c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customFormat="false" ht="16.4" hidden="false" customHeight="false" outlineLevel="0" collapsed="false">
      <c r="A952" s="123" t="n">
        <v>45444</v>
      </c>
      <c r="B952" s="31" t="s">
        <v>153</v>
      </c>
      <c r="C952" s="129"/>
      <c r="D952" s="129"/>
      <c r="E952" s="19" t="n">
        <f aca="false">F952*0.03</f>
        <v>0</v>
      </c>
      <c r="F952" s="33" t="n">
        <v>0</v>
      </c>
      <c r="G952" s="131"/>
      <c r="H952" s="35" t="n">
        <v>0</v>
      </c>
      <c r="I952" s="34" t="n">
        <f aca="false">+IF(E952=0,0,E952*0.03)</f>
        <v>0</v>
      </c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customFormat="false" ht="16.4" hidden="false" customHeight="false" outlineLevel="0" collapsed="false">
      <c r="A953" s="123" t="n">
        <v>45444</v>
      </c>
      <c r="B953" s="31" t="s">
        <v>153</v>
      </c>
      <c r="C953" s="129"/>
      <c r="D953" s="129"/>
      <c r="E953" s="19" t="n">
        <f aca="false">F953*0.03</f>
        <v>0</v>
      </c>
      <c r="F953" s="33" t="n">
        <v>0</v>
      </c>
      <c r="G953" s="131"/>
      <c r="H953" s="35" t="n">
        <v>0</v>
      </c>
      <c r="I953" s="34" t="n">
        <f aca="false">+IF(E953=0,0,E953*0.03)</f>
        <v>0</v>
      </c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customFormat="false" ht="16.4" hidden="false" customHeight="false" outlineLevel="0" collapsed="false">
      <c r="A954" s="123" t="n">
        <v>45444</v>
      </c>
      <c r="B954" s="31" t="s">
        <v>153</v>
      </c>
      <c r="C954" s="129"/>
      <c r="D954" s="129"/>
      <c r="E954" s="19" t="n">
        <f aca="false">F954*0.03</f>
        <v>0</v>
      </c>
      <c r="F954" s="33" t="n">
        <v>0</v>
      </c>
      <c r="G954" s="131"/>
      <c r="H954" s="35" t="n">
        <v>0</v>
      </c>
      <c r="I954" s="34" t="n">
        <f aca="false">+IF(E954=0,0,E954*0.03)</f>
        <v>0</v>
      </c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customFormat="false" ht="16.4" hidden="false" customHeight="false" outlineLevel="0" collapsed="false">
      <c r="A955" s="123" t="n">
        <v>45444</v>
      </c>
      <c r="B955" s="31" t="s">
        <v>153</v>
      </c>
      <c r="C955" s="129"/>
      <c r="D955" s="129"/>
      <c r="E955" s="19" t="n">
        <f aca="false">F955*0.03</f>
        <v>0</v>
      </c>
      <c r="F955" s="33" t="n">
        <v>0</v>
      </c>
      <c r="G955" s="131"/>
      <c r="H955" s="35" t="n">
        <v>0</v>
      </c>
      <c r="I955" s="34" t="n">
        <f aca="false">+IF(E955=0,0,E955*0.03)</f>
        <v>0</v>
      </c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customFormat="false" ht="16.4" hidden="false" customHeight="false" outlineLevel="0" collapsed="false">
      <c r="A956" s="123" t="n">
        <v>45444</v>
      </c>
      <c r="B956" s="31" t="s">
        <v>153</v>
      </c>
      <c r="C956" s="129"/>
      <c r="D956" s="129"/>
      <c r="E956" s="19" t="n">
        <f aca="false">F956*0.03</f>
        <v>0</v>
      </c>
      <c r="F956" s="33" t="n">
        <v>0</v>
      </c>
      <c r="G956" s="131"/>
      <c r="H956" s="35" t="n">
        <v>0</v>
      </c>
      <c r="I956" s="34" t="n">
        <f aca="false">+IF(E956=0,0,E956*0.03)</f>
        <v>0</v>
      </c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customFormat="false" ht="16.4" hidden="false" customHeight="false" outlineLevel="0" collapsed="false">
      <c r="A957" s="123" t="n">
        <v>45444</v>
      </c>
      <c r="B957" s="31" t="s">
        <v>153</v>
      </c>
      <c r="C957" s="129"/>
      <c r="D957" s="129"/>
      <c r="E957" s="19" t="n">
        <f aca="false">F957*0.03</f>
        <v>0</v>
      </c>
      <c r="F957" s="33" t="n">
        <v>0</v>
      </c>
      <c r="G957" s="131"/>
      <c r="H957" s="35" t="n">
        <v>0</v>
      </c>
      <c r="I957" s="34" t="n">
        <f aca="false">+IF(E957=0,0,E957*0.03)</f>
        <v>0</v>
      </c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customFormat="false" ht="16.4" hidden="false" customHeight="false" outlineLevel="0" collapsed="false">
      <c r="A958" s="123" t="n">
        <v>45444</v>
      </c>
      <c r="B958" s="31" t="s">
        <v>153</v>
      </c>
      <c r="C958" s="129"/>
      <c r="D958" s="129"/>
      <c r="E958" s="19" t="n">
        <f aca="false">F958*0.03</f>
        <v>0</v>
      </c>
      <c r="F958" s="33" t="n">
        <v>0</v>
      </c>
      <c r="G958" s="131"/>
      <c r="H958" s="35" t="n">
        <v>0</v>
      </c>
      <c r="I958" s="34" t="n">
        <f aca="false">+IF(E958=0,0,E958*0.03)</f>
        <v>0</v>
      </c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customFormat="false" ht="16.4" hidden="false" customHeight="false" outlineLevel="0" collapsed="false">
      <c r="A959" s="123" t="n">
        <v>45444</v>
      </c>
      <c r="B959" s="31" t="s">
        <v>153</v>
      </c>
      <c r="C959" s="129"/>
      <c r="D959" s="129"/>
      <c r="E959" s="19" t="n">
        <f aca="false">F959*0.03</f>
        <v>0</v>
      </c>
      <c r="F959" s="33" t="n">
        <v>0</v>
      </c>
      <c r="G959" s="131"/>
      <c r="H959" s="35" t="n">
        <v>0</v>
      </c>
      <c r="I959" s="34" t="n">
        <f aca="false">+IF(E959=0,0,E959*0.03)</f>
        <v>0</v>
      </c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customFormat="false" ht="16.4" hidden="false" customHeight="false" outlineLevel="0" collapsed="false">
      <c r="A960" s="123" t="n">
        <v>45444</v>
      </c>
      <c r="B960" s="31" t="s">
        <v>153</v>
      </c>
      <c r="C960" s="129"/>
      <c r="D960" s="129"/>
      <c r="E960" s="19" t="n">
        <f aca="false">F960*0.03</f>
        <v>0</v>
      </c>
      <c r="F960" s="33" t="n">
        <v>0</v>
      </c>
      <c r="G960" s="131"/>
      <c r="H960" s="35" t="n">
        <v>0</v>
      </c>
      <c r="I960" s="34" t="n">
        <f aca="false">+IF(E960=0,0,E960*0.03)</f>
        <v>0</v>
      </c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customFormat="false" ht="16.4" hidden="false" customHeight="false" outlineLevel="0" collapsed="false">
      <c r="A961" s="123" t="n">
        <v>45444</v>
      </c>
      <c r="B961" s="31" t="s">
        <v>153</v>
      </c>
      <c r="C961" s="129"/>
      <c r="D961" s="129"/>
      <c r="E961" s="19" t="n">
        <f aca="false">F961*0.03</f>
        <v>0</v>
      </c>
      <c r="F961" s="33" t="n">
        <v>0</v>
      </c>
      <c r="G961" s="131"/>
      <c r="H961" s="35" t="n">
        <v>0</v>
      </c>
      <c r="I961" s="34" t="n">
        <f aca="false">+IF(E961=0,0,E961*0.03)</f>
        <v>0</v>
      </c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customFormat="false" ht="16.4" hidden="false" customHeight="false" outlineLevel="0" collapsed="false">
      <c r="A962" s="123" t="n">
        <v>45444</v>
      </c>
      <c r="B962" s="31" t="s">
        <v>153</v>
      </c>
      <c r="C962" s="129"/>
      <c r="D962" s="129"/>
      <c r="E962" s="19" t="n">
        <f aca="false">F962*0.03</f>
        <v>0</v>
      </c>
      <c r="F962" s="33" t="n">
        <v>0</v>
      </c>
      <c r="G962" s="131"/>
      <c r="H962" s="35" t="n">
        <v>0</v>
      </c>
      <c r="I962" s="34" t="n">
        <f aca="false">+IF(E962=0,0,E962*0.03)</f>
        <v>0</v>
      </c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customFormat="false" ht="16.4" hidden="false" customHeight="false" outlineLevel="0" collapsed="false">
      <c r="A963" s="123" t="n">
        <v>45444</v>
      </c>
      <c r="B963" s="31" t="s">
        <v>153</v>
      </c>
      <c r="C963" s="129"/>
      <c r="D963" s="129"/>
      <c r="E963" s="19" t="n">
        <f aca="false">F963*0.03</f>
        <v>0</v>
      </c>
      <c r="F963" s="33" t="n">
        <v>0</v>
      </c>
      <c r="G963" s="131"/>
      <c r="H963" s="35" t="n">
        <v>0</v>
      </c>
      <c r="I963" s="34" t="n">
        <f aca="false">+IF(E963=0,0,E963*0.03)</f>
        <v>0</v>
      </c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customFormat="false" ht="16.4" hidden="false" customHeight="false" outlineLevel="0" collapsed="false">
      <c r="A964" s="123" t="n">
        <v>45444</v>
      </c>
      <c r="B964" s="31" t="s">
        <v>153</v>
      </c>
      <c r="C964" s="129"/>
      <c r="D964" s="129"/>
      <c r="E964" s="19" t="n">
        <f aca="false">F964*0.03</f>
        <v>0</v>
      </c>
      <c r="F964" s="33" t="n">
        <v>0</v>
      </c>
      <c r="G964" s="131"/>
      <c r="H964" s="35" t="n">
        <v>0</v>
      </c>
      <c r="I964" s="34" t="n">
        <f aca="false">+IF(E964=0,0,E964*0.03)</f>
        <v>0</v>
      </c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customFormat="false" ht="16.4" hidden="false" customHeight="false" outlineLevel="0" collapsed="false">
      <c r="A965" s="123" t="n">
        <v>45444</v>
      </c>
      <c r="B965" s="31" t="s">
        <v>153</v>
      </c>
      <c r="C965" s="129"/>
      <c r="D965" s="129"/>
      <c r="E965" s="19" t="n">
        <f aca="false">F965*0.03</f>
        <v>0</v>
      </c>
      <c r="F965" s="33" t="n">
        <v>0</v>
      </c>
      <c r="G965" s="131"/>
      <c r="H965" s="35" t="n">
        <v>0</v>
      </c>
      <c r="I965" s="34" t="n">
        <f aca="false">+IF(E965=0,0,E965*0.03)</f>
        <v>0</v>
      </c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customFormat="false" ht="16.4" hidden="false" customHeight="false" outlineLevel="0" collapsed="false">
      <c r="A966" s="123" t="n">
        <v>45444</v>
      </c>
      <c r="B966" s="31" t="s">
        <v>153</v>
      </c>
      <c r="C966" s="129"/>
      <c r="D966" s="129"/>
      <c r="E966" s="19" t="n">
        <f aca="false">F966*0.03</f>
        <v>0</v>
      </c>
      <c r="F966" s="33" t="n">
        <v>0</v>
      </c>
      <c r="G966" s="131"/>
      <c r="H966" s="35" t="n">
        <v>0</v>
      </c>
      <c r="I966" s="34" t="n">
        <f aca="false">+IF(E966=0,0,E966*0.03)</f>
        <v>0</v>
      </c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customFormat="false" ht="16.4" hidden="false" customHeight="false" outlineLevel="0" collapsed="false">
      <c r="A967" s="123" t="n">
        <v>45444</v>
      </c>
      <c r="B967" s="31" t="s">
        <v>153</v>
      </c>
      <c r="C967" s="129"/>
      <c r="D967" s="129"/>
      <c r="E967" s="19" t="n">
        <f aca="false">F967*0.03</f>
        <v>0</v>
      </c>
      <c r="F967" s="33" t="n">
        <v>0</v>
      </c>
      <c r="G967" s="131"/>
      <c r="H967" s="35" t="n">
        <v>0</v>
      </c>
      <c r="I967" s="34" t="n">
        <f aca="false">+IF(E967=0,0,E967*0.03)</f>
        <v>0</v>
      </c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customFormat="false" ht="16.4" hidden="false" customHeight="false" outlineLevel="0" collapsed="false">
      <c r="A968" s="123" t="n">
        <v>45444</v>
      </c>
      <c r="B968" s="31" t="s">
        <v>153</v>
      </c>
      <c r="C968" s="129"/>
      <c r="D968" s="129"/>
      <c r="E968" s="19" t="n">
        <f aca="false">F968*0.03</f>
        <v>0</v>
      </c>
      <c r="F968" s="33" t="n">
        <v>0</v>
      </c>
      <c r="G968" s="131"/>
      <c r="H968" s="35" t="n">
        <v>0</v>
      </c>
      <c r="I968" s="34" t="n">
        <f aca="false">+IF(E968=0,0,E968*0.03)</f>
        <v>0</v>
      </c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customFormat="false" ht="16.4" hidden="false" customHeight="false" outlineLevel="0" collapsed="false">
      <c r="A969" s="123" t="n">
        <v>45444</v>
      </c>
      <c r="B969" s="31" t="s">
        <v>153</v>
      </c>
      <c r="C969" s="129"/>
      <c r="D969" s="129"/>
      <c r="E969" s="19" t="n">
        <f aca="false">F969*0.03</f>
        <v>0</v>
      </c>
      <c r="F969" s="33" t="n">
        <v>0</v>
      </c>
      <c r="G969" s="131"/>
      <c r="H969" s="35" t="n">
        <v>0</v>
      </c>
      <c r="I969" s="34" t="n">
        <f aca="false">+IF(E969=0,0,E969*0.03)</f>
        <v>0</v>
      </c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customFormat="false" ht="16.4" hidden="false" customHeight="false" outlineLevel="0" collapsed="false">
      <c r="A970" s="123" t="n">
        <v>45444</v>
      </c>
      <c r="B970" s="31" t="s">
        <v>153</v>
      </c>
      <c r="C970" s="129"/>
      <c r="D970" s="129"/>
      <c r="E970" s="19" t="n">
        <f aca="false">F970*0.03</f>
        <v>0</v>
      </c>
      <c r="F970" s="33" t="n">
        <v>0</v>
      </c>
      <c r="G970" s="131"/>
      <c r="H970" s="35" t="n">
        <v>0</v>
      </c>
      <c r="I970" s="34" t="n">
        <f aca="false">+IF(E970=0,0,E970*0.03)</f>
        <v>0</v>
      </c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customFormat="false" ht="16.4" hidden="false" customHeight="false" outlineLevel="0" collapsed="false">
      <c r="A971" s="123" t="n">
        <v>45444</v>
      </c>
      <c r="B971" s="31" t="s">
        <v>153</v>
      </c>
      <c r="C971" s="129"/>
      <c r="D971" s="129"/>
      <c r="E971" s="19" t="n">
        <f aca="false">F971*0.03</f>
        <v>0</v>
      </c>
      <c r="F971" s="33" t="n">
        <v>0</v>
      </c>
      <c r="G971" s="131"/>
      <c r="H971" s="35" t="n">
        <v>0</v>
      </c>
      <c r="I971" s="34" t="n">
        <f aca="false">+IF(E971=0,0,E971*0.03)</f>
        <v>0</v>
      </c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customFormat="false" ht="16.4" hidden="false" customHeight="false" outlineLevel="0" collapsed="false">
      <c r="A972" s="123" t="n">
        <v>45444</v>
      </c>
      <c r="B972" s="31" t="s">
        <v>153</v>
      </c>
      <c r="C972" s="129"/>
      <c r="D972" s="129"/>
      <c r="E972" s="19" t="n">
        <f aca="false">F972*0.03</f>
        <v>0</v>
      </c>
      <c r="F972" s="33" t="n">
        <v>0</v>
      </c>
      <c r="G972" s="131"/>
      <c r="H972" s="35" t="n">
        <v>0</v>
      </c>
      <c r="I972" s="34" t="n">
        <f aca="false">+IF(E972=0,0,E972*0.03)</f>
        <v>0</v>
      </c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customFormat="false" ht="16.4" hidden="false" customHeight="false" outlineLevel="0" collapsed="false">
      <c r="A973" s="123" t="n">
        <v>45444</v>
      </c>
      <c r="B973" s="31" t="s">
        <v>153</v>
      </c>
      <c r="C973" s="129"/>
      <c r="D973" s="129"/>
      <c r="E973" s="19" t="n">
        <f aca="false">F973*0.03</f>
        <v>0</v>
      </c>
      <c r="F973" s="33" t="n">
        <v>0</v>
      </c>
      <c r="G973" s="131"/>
      <c r="H973" s="35" t="n">
        <v>0</v>
      </c>
      <c r="I973" s="34" t="n">
        <f aca="false">+IF(E973=0,0,E973*0.03)</f>
        <v>0</v>
      </c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customFormat="false" ht="16.4" hidden="false" customHeight="false" outlineLevel="0" collapsed="false">
      <c r="A974" s="123" t="n">
        <v>45444</v>
      </c>
      <c r="B974" s="31" t="s">
        <v>153</v>
      </c>
      <c r="C974" s="129"/>
      <c r="D974" s="129"/>
      <c r="E974" s="19" t="n">
        <f aca="false">F974*0.03</f>
        <v>0</v>
      </c>
      <c r="F974" s="33" t="n">
        <v>0</v>
      </c>
      <c r="G974" s="131"/>
      <c r="H974" s="35" t="n">
        <v>0</v>
      </c>
      <c r="I974" s="34" t="n">
        <f aca="false">+IF(E974=0,0,E974*0.03)</f>
        <v>0</v>
      </c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customFormat="false" ht="16.4" hidden="false" customHeight="false" outlineLevel="0" collapsed="false">
      <c r="A975" s="123" t="n">
        <v>45444</v>
      </c>
      <c r="B975" s="31" t="s">
        <v>153</v>
      </c>
      <c r="C975" s="129"/>
      <c r="D975" s="129"/>
      <c r="E975" s="19" t="n">
        <f aca="false">F975*0.03</f>
        <v>0</v>
      </c>
      <c r="F975" s="33" t="n">
        <v>0</v>
      </c>
      <c r="G975" s="131"/>
      <c r="H975" s="35" t="n">
        <v>0</v>
      </c>
      <c r="I975" s="34" t="n">
        <f aca="false">+IF(E975=0,0,E975*0.03)</f>
        <v>0</v>
      </c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customFormat="false" ht="16.4" hidden="false" customHeight="false" outlineLevel="0" collapsed="false">
      <c r="A976" s="123" t="n">
        <v>45444</v>
      </c>
      <c r="B976" s="31" t="s">
        <v>153</v>
      </c>
      <c r="C976" s="129"/>
      <c r="D976" s="129"/>
      <c r="E976" s="19" t="n">
        <f aca="false">F976*0.03</f>
        <v>0</v>
      </c>
      <c r="F976" s="33" t="n">
        <v>0</v>
      </c>
      <c r="G976" s="131"/>
      <c r="H976" s="35" t="n">
        <v>0</v>
      </c>
      <c r="I976" s="34" t="n">
        <f aca="false">+IF(E976=0,0,E976*0.03)</f>
        <v>0</v>
      </c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customFormat="false" ht="16.4" hidden="false" customHeight="false" outlineLevel="0" collapsed="false">
      <c r="A977" s="123" t="n">
        <v>45444</v>
      </c>
      <c r="B977" s="31" t="s">
        <v>153</v>
      </c>
      <c r="C977" s="129"/>
      <c r="D977" s="129"/>
      <c r="E977" s="19" t="n">
        <f aca="false">F977*0.03</f>
        <v>0</v>
      </c>
      <c r="F977" s="33" t="n">
        <v>0</v>
      </c>
      <c r="G977" s="131"/>
      <c r="H977" s="35" t="n">
        <v>0</v>
      </c>
      <c r="I977" s="34" t="n">
        <f aca="false">+IF(E977=0,0,E977*0.03)</f>
        <v>0</v>
      </c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customFormat="false" ht="16.4" hidden="false" customHeight="false" outlineLevel="0" collapsed="false">
      <c r="A978" s="123" t="n">
        <v>45444</v>
      </c>
      <c r="B978" s="31" t="s">
        <v>153</v>
      </c>
      <c r="C978" s="129"/>
      <c r="D978" s="129"/>
      <c r="E978" s="19" t="n">
        <f aca="false">F978*0.03</f>
        <v>0</v>
      </c>
      <c r="F978" s="33" t="n">
        <v>0</v>
      </c>
      <c r="G978" s="131"/>
      <c r="H978" s="35" t="n">
        <v>0</v>
      </c>
      <c r="I978" s="34" t="n">
        <f aca="false">+IF(E978=0,0,E978*0.03)</f>
        <v>0</v>
      </c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customFormat="false" ht="16.4" hidden="false" customHeight="false" outlineLevel="0" collapsed="false">
      <c r="A979" s="123" t="n">
        <v>45444</v>
      </c>
      <c r="B979" s="31" t="s">
        <v>153</v>
      </c>
      <c r="C979" s="129"/>
      <c r="D979" s="129"/>
      <c r="E979" s="19" t="n">
        <f aca="false">F979*0.03</f>
        <v>0</v>
      </c>
      <c r="F979" s="33" t="n">
        <v>0</v>
      </c>
      <c r="G979" s="131"/>
      <c r="H979" s="35" t="n">
        <v>0</v>
      </c>
      <c r="I979" s="34" t="n">
        <f aca="false">+IF(E979=0,0,E979*0.03)</f>
        <v>0</v>
      </c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customFormat="false" ht="16.4" hidden="false" customHeight="false" outlineLevel="0" collapsed="false">
      <c r="A980" s="123" t="n">
        <v>45444</v>
      </c>
      <c r="B980" s="31" t="s">
        <v>153</v>
      </c>
      <c r="C980" s="129"/>
      <c r="D980" s="129"/>
      <c r="E980" s="19" t="n">
        <f aca="false">F980*0.03</f>
        <v>0</v>
      </c>
      <c r="F980" s="33" t="n">
        <v>0</v>
      </c>
      <c r="G980" s="131"/>
      <c r="H980" s="35" t="n">
        <v>0</v>
      </c>
      <c r="I980" s="34" t="n">
        <f aca="false">+IF(E980=0,0,E980*0.03)</f>
        <v>0</v>
      </c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customFormat="false" ht="16.4" hidden="false" customHeight="false" outlineLevel="0" collapsed="false">
      <c r="A981" s="123" t="n">
        <v>45444</v>
      </c>
      <c r="B981" s="31" t="s">
        <v>153</v>
      </c>
      <c r="C981" s="129"/>
      <c r="D981" s="129"/>
      <c r="E981" s="19" t="n">
        <f aca="false">F981*0.03</f>
        <v>0</v>
      </c>
      <c r="F981" s="33" t="n">
        <v>0</v>
      </c>
      <c r="G981" s="131"/>
      <c r="H981" s="35" t="n">
        <v>0</v>
      </c>
      <c r="I981" s="34" t="n">
        <f aca="false">+IF(E981=0,0,E981*0.03)</f>
        <v>0</v>
      </c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customFormat="false" ht="16.4" hidden="false" customHeight="false" outlineLevel="0" collapsed="false">
      <c r="A982" s="123" t="n">
        <v>45444</v>
      </c>
      <c r="B982" s="31" t="s">
        <v>153</v>
      </c>
      <c r="C982" s="129"/>
      <c r="D982" s="129"/>
      <c r="E982" s="19" t="n">
        <f aca="false">F982*0.03</f>
        <v>0</v>
      </c>
      <c r="F982" s="33" t="n">
        <v>0</v>
      </c>
      <c r="G982" s="131"/>
      <c r="H982" s="35" t="n">
        <v>0</v>
      </c>
      <c r="I982" s="34" t="n">
        <f aca="false">+IF(E982=0,0,E982*0.03)</f>
        <v>0</v>
      </c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customFormat="false" ht="16.4" hidden="false" customHeight="false" outlineLevel="0" collapsed="false">
      <c r="A983" s="123" t="n">
        <v>45444</v>
      </c>
      <c r="B983" s="31" t="s">
        <v>153</v>
      </c>
      <c r="C983" s="129"/>
      <c r="D983" s="129"/>
      <c r="E983" s="19" t="n">
        <f aca="false">F983*0.03</f>
        <v>0</v>
      </c>
      <c r="F983" s="33" t="n">
        <v>0</v>
      </c>
      <c r="G983" s="131"/>
      <c r="H983" s="35" t="n">
        <v>0</v>
      </c>
      <c r="I983" s="34" t="n">
        <f aca="false">+IF(E983=0,0,E983*0.03)</f>
        <v>0</v>
      </c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customFormat="false" ht="16.4" hidden="false" customHeight="false" outlineLevel="0" collapsed="false">
      <c r="A984" s="123" t="n">
        <v>45444</v>
      </c>
      <c r="B984" s="31" t="s">
        <v>153</v>
      </c>
      <c r="C984" s="129"/>
      <c r="D984" s="129"/>
      <c r="E984" s="19" t="n">
        <f aca="false">F984*0.03</f>
        <v>0</v>
      </c>
      <c r="F984" s="33" t="n">
        <v>0</v>
      </c>
      <c r="G984" s="131"/>
      <c r="H984" s="35" t="n">
        <v>0</v>
      </c>
      <c r="I984" s="34" t="n">
        <f aca="false">+IF(E984=0,0,E984*0.03)</f>
        <v>0</v>
      </c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customFormat="false" ht="16.4" hidden="false" customHeight="false" outlineLevel="0" collapsed="false">
      <c r="A985" s="123" t="n">
        <v>45444</v>
      </c>
      <c r="B985" s="31" t="s">
        <v>153</v>
      </c>
      <c r="C985" s="129"/>
      <c r="D985" s="129"/>
      <c r="E985" s="19" t="n">
        <f aca="false">F985*0.03</f>
        <v>0</v>
      </c>
      <c r="F985" s="33" t="n">
        <v>0</v>
      </c>
      <c r="G985" s="131"/>
      <c r="H985" s="35" t="n">
        <v>0</v>
      </c>
      <c r="I985" s="34" t="n">
        <f aca="false">+IF(E985=0,0,E985*0.03)</f>
        <v>0</v>
      </c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customFormat="false" ht="16.4" hidden="false" customHeight="false" outlineLevel="0" collapsed="false">
      <c r="A986" s="123" t="n">
        <v>45444</v>
      </c>
      <c r="B986" s="31" t="s">
        <v>153</v>
      </c>
      <c r="C986" s="129"/>
      <c r="D986" s="129"/>
      <c r="E986" s="19" t="n">
        <f aca="false">F986*0.03</f>
        <v>0</v>
      </c>
      <c r="F986" s="33" t="n">
        <v>0</v>
      </c>
      <c r="G986" s="131"/>
      <c r="H986" s="35" t="n">
        <v>0</v>
      </c>
      <c r="I986" s="34" t="n">
        <f aca="false">+IF(E986=0,0,E986*0.03)</f>
        <v>0</v>
      </c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customFormat="false" ht="16.4" hidden="false" customHeight="false" outlineLevel="0" collapsed="false">
      <c r="A987" s="123" t="n">
        <v>45444</v>
      </c>
      <c r="B987" s="31" t="s">
        <v>153</v>
      </c>
      <c r="C987" s="129"/>
      <c r="D987" s="129"/>
      <c r="E987" s="19" t="n">
        <f aca="false">F987*0.03</f>
        <v>0</v>
      </c>
      <c r="F987" s="33" t="n">
        <v>0</v>
      </c>
      <c r="G987" s="131"/>
      <c r="H987" s="35" t="n">
        <v>0</v>
      </c>
      <c r="I987" s="34" t="n">
        <f aca="false">+IF(E987=0,0,E987*0.03)</f>
        <v>0</v>
      </c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customFormat="false" ht="16.4" hidden="false" customHeight="false" outlineLevel="0" collapsed="false">
      <c r="A988" s="123" t="n">
        <v>45444</v>
      </c>
      <c r="B988" s="31" t="s">
        <v>153</v>
      </c>
      <c r="C988" s="129"/>
      <c r="D988" s="129"/>
      <c r="E988" s="19" t="n">
        <f aca="false">F988*0.03</f>
        <v>0</v>
      </c>
      <c r="F988" s="33" t="n">
        <v>0</v>
      </c>
      <c r="G988" s="131"/>
      <c r="H988" s="35" t="n">
        <v>0</v>
      </c>
      <c r="I988" s="34" t="n">
        <f aca="false">+IF(E988=0,0,E988*0.03)</f>
        <v>0</v>
      </c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customFormat="false" ht="16.4" hidden="false" customHeight="false" outlineLevel="0" collapsed="false">
      <c r="A989" s="123" t="n">
        <v>45444</v>
      </c>
      <c r="B989" s="31" t="s">
        <v>153</v>
      </c>
      <c r="C989" s="129"/>
      <c r="D989" s="129"/>
      <c r="E989" s="19" t="n">
        <f aca="false">F989*0.03</f>
        <v>0</v>
      </c>
      <c r="F989" s="33" t="n">
        <v>0</v>
      </c>
      <c r="G989" s="131"/>
      <c r="H989" s="35" t="n">
        <v>0</v>
      </c>
      <c r="I989" s="34" t="n">
        <f aca="false">+IF(E989=0,0,E989*0.03)</f>
        <v>0</v>
      </c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customFormat="false" ht="16.4" hidden="false" customHeight="false" outlineLevel="0" collapsed="false">
      <c r="A990" s="123" t="n">
        <v>45444</v>
      </c>
      <c r="B990" s="31" t="s">
        <v>153</v>
      </c>
      <c r="C990" s="129"/>
      <c r="D990" s="129"/>
      <c r="E990" s="19" t="n">
        <f aca="false">F990*0.03</f>
        <v>0</v>
      </c>
      <c r="F990" s="33" t="n">
        <v>0</v>
      </c>
      <c r="G990" s="131"/>
      <c r="H990" s="35" t="n">
        <v>0</v>
      </c>
      <c r="I990" s="34" t="n">
        <f aca="false">+IF(E990=0,0,E990*0.03)</f>
        <v>0</v>
      </c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customFormat="false" ht="16.4" hidden="false" customHeight="false" outlineLevel="0" collapsed="false">
      <c r="A991" s="123" t="n">
        <v>45444</v>
      </c>
      <c r="B991" s="31" t="s">
        <v>153</v>
      </c>
      <c r="C991" s="129"/>
      <c r="D991" s="129"/>
      <c r="E991" s="19" t="n">
        <f aca="false">F991*0.03</f>
        <v>0</v>
      </c>
      <c r="F991" s="33" t="n">
        <v>0</v>
      </c>
      <c r="G991" s="131"/>
      <c r="H991" s="35" t="n">
        <v>0</v>
      </c>
      <c r="I991" s="34" t="n">
        <f aca="false">+IF(E991=0,0,E991*0.03)</f>
        <v>0</v>
      </c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customFormat="false" ht="16.4" hidden="false" customHeight="false" outlineLevel="0" collapsed="false">
      <c r="A992" s="123" t="n">
        <v>45444</v>
      </c>
      <c r="B992" s="31" t="s">
        <v>153</v>
      </c>
      <c r="C992" s="129"/>
      <c r="D992" s="129"/>
      <c r="E992" s="19" t="n">
        <f aca="false">F992*0.03</f>
        <v>0</v>
      </c>
      <c r="F992" s="33" t="n">
        <v>0</v>
      </c>
      <c r="G992" s="131"/>
      <c r="H992" s="35" t="n">
        <v>0</v>
      </c>
      <c r="I992" s="34" t="n">
        <f aca="false">+IF(E992=0,0,E992*0.03)</f>
        <v>0</v>
      </c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customFormat="false" ht="16.4" hidden="false" customHeight="false" outlineLevel="0" collapsed="false">
      <c r="A993" s="123" t="n">
        <v>45444</v>
      </c>
      <c r="B993" s="31" t="s">
        <v>153</v>
      </c>
      <c r="C993" s="129"/>
      <c r="D993" s="129"/>
      <c r="E993" s="19" t="n">
        <f aca="false">F993*0.03</f>
        <v>0</v>
      </c>
      <c r="F993" s="33" t="n">
        <v>0</v>
      </c>
      <c r="G993" s="131"/>
      <c r="H993" s="35" t="n">
        <v>0</v>
      </c>
      <c r="I993" s="34" t="n">
        <f aca="false">+IF(E993=0,0,E993*0.03)</f>
        <v>0</v>
      </c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customFormat="false" ht="16.4" hidden="false" customHeight="false" outlineLevel="0" collapsed="false">
      <c r="A994" s="123" t="n">
        <v>45444</v>
      </c>
      <c r="B994" s="31" t="s">
        <v>153</v>
      </c>
      <c r="C994" s="129"/>
      <c r="D994" s="129"/>
      <c r="E994" s="19" t="n">
        <f aca="false">F994*0.03</f>
        <v>0</v>
      </c>
      <c r="F994" s="33" t="n">
        <v>0</v>
      </c>
      <c r="G994" s="131"/>
      <c r="H994" s="35" t="n">
        <v>0</v>
      </c>
      <c r="I994" s="34" t="n">
        <f aca="false">+IF(E994=0,0,E994*0.03)</f>
        <v>0</v>
      </c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customFormat="false" ht="16.4" hidden="false" customHeight="false" outlineLevel="0" collapsed="false">
      <c r="A995" s="123" t="n">
        <v>45444</v>
      </c>
      <c r="B995" s="31" t="s">
        <v>153</v>
      </c>
      <c r="C995" s="129"/>
      <c r="D995" s="129"/>
      <c r="E995" s="19" t="n">
        <f aca="false">F995*0.03</f>
        <v>0</v>
      </c>
      <c r="F995" s="33" t="n">
        <v>0</v>
      </c>
      <c r="G995" s="131"/>
      <c r="H995" s="35" t="n">
        <v>0</v>
      </c>
      <c r="I995" s="34" t="n">
        <f aca="false">+IF(E995=0,0,E995*0.03)</f>
        <v>0</v>
      </c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customFormat="false" ht="16.4" hidden="false" customHeight="false" outlineLevel="0" collapsed="false">
      <c r="A996" s="123" t="n">
        <v>45444</v>
      </c>
      <c r="B996" s="31" t="s">
        <v>153</v>
      </c>
      <c r="C996" s="129"/>
      <c r="D996" s="129"/>
      <c r="E996" s="19" t="n">
        <f aca="false">F996*0.03</f>
        <v>0</v>
      </c>
      <c r="F996" s="33" t="n">
        <v>0</v>
      </c>
      <c r="G996" s="131"/>
      <c r="H996" s="35" t="n">
        <v>0</v>
      </c>
      <c r="I996" s="34" t="n">
        <f aca="false">+IF(E996=0,0,E996*0.03)</f>
        <v>0</v>
      </c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customFormat="false" ht="16.4" hidden="false" customHeight="false" outlineLevel="0" collapsed="false">
      <c r="A997" s="123" t="n">
        <v>45444</v>
      </c>
      <c r="B997" s="31" t="s">
        <v>153</v>
      </c>
      <c r="C997" s="129"/>
      <c r="D997" s="129"/>
      <c r="E997" s="19" t="n">
        <f aca="false">F997*0.03</f>
        <v>0</v>
      </c>
      <c r="F997" s="33" t="n">
        <v>0</v>
      </c>
      <c r="G997" s="131"/>
      <c r="H997" s="35" t="n">
        <v>0</v>
      </c>
      <c r="I997" s="34" t="n">
        <f aca="false">+IF(E997=0,0,E997*0.03)</f>
        <v>0</v>
      </c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customFormat="false" ht="16.4" hidden="false" customHeight="false" outlineLevel="0" collapsed="false">
      <c r="A998" s="123" t="n">
        <v>45444</v>
      </c>
      <c r="B998" s="31" t="s">
        <v>153</v>
      </c>
      <c r="C998" s="129"/>
      <c r="D998" s="129"/>
      <c r="E998" s="19" t="n">
        <f aca="false">F998*0.03</f>
        <v>0</v>
      </c>
      <c r="F998" s="33" t="n">
        <v>0</v>
      </c>
      <c r="G998" s="131"/>
      <c r="H998" s="35" t="n">
        <v>0</v>
      </c>
      <c r="I998" s="34" t="n">
        <f aca="false">+IF(E998=0,0,E998*0.03)</f>
        <v>0</v>
      </c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customFormat="false" ht="16.4" hidden="false" customHeight="false" outlineLevel="0" collapsed="false">
      <c r="A999" s="123" t="n">
        <v>45444</v>
      </c>
      <c r="B999" s="31" t="s">
        <v>153</v>
      </c>
      <c r="C999" s="129"/>
      <c r="D999" s="129"/>
      <c r="E999" s="19" t="n">
        <f aca="false">F999*0.03</f>
        <v>0</v>
      </c>
      <c r="F999" s="33" t="n">
        <v>0</v>
      </c>
      <c r="G999" s="131"/>
      <c r="H999" s="35" t="n">
        <v>0</v>
      </c>
      <c r="I999" s="34" t="n">
        <f aca="false">+IF(E999=0,0,E999*0.03)</f>
        <v>0</v>
      </c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customFormat="false" ht="16.4" hidden="false" customHeight="false" outlineLevel="0" collapsed="false">
      <c r="A1000" s="123" t="n">
        <v>45444</v>
      </c>
      <c r="B1000" s="31" t="s">
        <v>153</v>
      </c>
      <c r="C1000" s="129"/>
      <c r="D1000" s="129"/>
      <c r="E1000" s="19" t="n">
        <f aca="false">F1000*0.03</f>
        <v>0</v>
      </c>
      <c r="F1000" s="33" t="n">
        <v>0</v>
      </c>
      <c r="G1000" s="131"/>
      <c r="H1000" s="35" t="n">
        <v>0</v>
      </c>
      <c r="I1000" s="34" t="n">
        <f aca="false">+IF(E1000=0,0,E1000*0.03)</f>
        <v>0</v>
      </c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 customFormat="false" ht="16.4" hidden="false" customHeight="false" outlineLevel="0" collapsed="false">
      <c r="A1001" s="123" t="n">
        <v>45444</v>
      </c>
      <c r="B1001" s="31" t="s">
        <v>153</v>
      </c>
      <c r="C1001" s="129"/>
      <c r="D1001" s="129"/>
      <c r="E1001" s="19" t="n">
        <f aca="false">F1001*0.03</f>
        <v>0</v>
      </c>
      <c r="F1001" s="33" t="n">
        <v>0</v>
      </c>
      <c r="G1001" s="131"/>
      <c r="H1001" s="35" t="n">
        <v>0</v>
      </c>
      <c r="I1001" s="34" t="n">
        <f aca="false">+IF(E1001=0,0,E1001*0.03)</f>
        <v>0</v>
      </c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  <row r="1002" customFormat="false" ht="16.4" hidden="false" customHeight="false" outlineLevel="0" collapsed="false">
      <c r="A1002" s="123" t="n">
        <v>45444</v>
      </c>
      <c r="B1002" s="31" t="s">
        <v>153</v>
      </c>
      <c r="C1002" s="129"/>
      <c r="D1002" s="129"/>
      <c r="E1002" s="19" t="n">
        <f aca="false">F1002*0.03</f>
        <v>0</v>
      </c>
      <c r="F1002" s="33" t="n">
        <v>0</v>
      </c>
      <c r="G1002" s="131"/>
      <c r="H1002" s="35" t="n">
        <v>0</v>
      </c>
      <c r="I1002" s="34" t="n">
        <f aca="false">+IF(E1002=0,0,E1002*0.03)</f>
        <v>0</v>
      </c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</row>
    <row r="1003" customFormat="false" ht="16.4" hidden="false" customHeight="false" outlineLevel="0" collapsed="false">
      <c r="A1003" s="123" t="n">
        <v>45444</v>
      </c>
      <c r="B1003" s="31" t="s">
        <v>153</v>
      </c>
      <c r="C1003" s="129"/>
      <c r="D1003" s="129"/>
      <c r="E1003" s="19" t="n">
        <f aca="false">F1003*0.03</f>
        <v>0</v>
      </c>
      <c r="F1003" s="33" t="n">
        <v>0</v>
      </c>
      <c r="G1003" s="131"/>
      <c r="H1003" s="35" t="n">
        <v>0</v>
      </c>
      <c r="I1003" s="34" t="n">
        <f aca="false">+IF(E1003=0,0,E1003*0.03)</f>
        <v>0</v>
      </c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</row>
    <row r="1004" customFormat="false" ht="16.4" hidden="false" customHeight="false" outlineLevel="0" collapsed="false">
      <c r="A1004" s="123" t="n">
        <v>45444</v>
      </c>
      <c r="B1004" s="31" t="s">
        <v>153</v>
      </c>
      <c r="C1004" s="129"/>
      <c r="D1004" s="129"/>
      <c r="E1004" s="19" t="n">
        <f aca="false">F1004*0.03</f>
        <v>0</v>
      </c>
      <c r="F1004" s="33" t="n">
        <v>0</v>
      </c>
      <c r="G1004" s="131"/>
      <c r="H1004" s="35" t="n">
        <v>0</v>
      </c>
      <c r="I1004" s="34" t="n">
        <f aca="false">+IF(E1004=0,0,E1004*0.03)</f>
        <v>0</v>
      </c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</row>
    <row r="1005" customFormat="false" ht="16.4" hidden="false" customHeight="false" outlineLevel="0" collapsed="false">
      <c r="A1005" s="123" t="n">
        <v>45444</v>
      </c>
      <c r="B1005" s="31" t="s">
        <v>153</v>
      </c>
      <c r="C1005" s="129"/>
      <c r="D1005" s="129"/>
      <c r="E1005" s="19" t="n">
        <f aca="false">F1005*0.03</f>
        <v>0</v>
      </c>
      <c r="F1005" s="33" t="n">
        <v>0</v>
      </c>
      <c r="G1005" s="131"/>
      <c r="H1005" s="35" t="n">
        <v>0</v>
      </c>
      <c r="I1005" s="34" t="n">
        <f aca="false">+IF(E1005=0,0,E1005*0.03)</f>
        <v>0</v>
      </c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</row>
    <row r="1006" customFormat="false" ht="16.4" hidden="false" customHeight="false" outlineLevel="0" collapsed="false">
      <c r="A1006" s="123" t="n">
        <v>45444</v>
      </c>
      <c r="B1006" s="31" t="s">
        <v>153</v>
      </c>
      <c r="C1006" s="129"/>
      <c r="D1006" s="129"/>
      <c r="E1006" s="19" t="n">
        <f aca="false">F1006*0.03</f>
        <v>0</v>
      </c>
      <c r="F1006" s="33" t="n">
        <v>0</v>
      </c>
      <c r="G1006" s="131"/>
      <c r="H1006" s="35" t="n">
        <v>0</v>
      </c>
      <c r="I1006" s="34" t="n">
        <f aca="false">+IF(E1006=0,0,E1006*0.03)</f>
        <v>0</v>
      </c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</row>
    <row r="1007" customFormat="false" ht="16.4" hidden="false" customHeight="false" outlineLevel="0" collapsed="false">
      <c r="A1007" s="123" t="n">
        <v>45444</v>
      </c>
      <c r="B1007" s="31" t="s">
        <v>153</v>
      </c>
      <c r="C1007" s="129"/>
      <c r="D1007" s="129"/>
      <c r="E1007" s="19" t="n">
        <f aca="false">F1007*0.03</f>
        <v>0</v>
      </c>
      <c r="F1007" s="33" t="n">
        <v>0</v>
      </c>
      <c r="G1007" s="131"/>
      <c r="H1007" s="35" t="n">
        <v>0</v>
      </c>
      <c r="I1007" s="34" t="n">
        <f aca="false">+IF(E1007=0,0,E1007*0.03)</f>
        <v>0</v>
      </c>
      <c r="J1007" s="93"/>
      <c r="K1007" s="93"/>
      <c r="L1007" s="93"/>
      <c r="M1007" s="93"/>
      <c r="N1007" s="93"/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</row>
    <row r="1008" customFormat="false" ht="16.4" hidden="false" customHeight="false" outlineLevel="0" collapsed="false">
      <c r="A1008" s="123" t="n">
        <v>45444</v>
      </c>
      <c r="B1008" s="31" t="s">
        <v>153</v>
      </c>
      <c r="C1008" s="129"/>
      <c r="D1008" s="129"/>
      <c r="E1008" s="19" t="n">
        <f aca="false">F1008*0.03</f>
        <v>0</v>
      </c>
      <c r="F1008" s="33" t="n">
        <v>0</v>
      </c>
      <c r="G1008" s="131"/>
      <c r="H1008" s="35" t="n">
        <v>0</v>
      </c>
      <c r="I1008" s="34" t="n">
        <f aca="false">+IF(E1008=0,0,E1008*0.03)</f>
        <v>0</v>
      </c>
      <c r="J1008" s="93"/>
      <c r="K1008" s="93"/>
      <c r="L1008" s="93"/>
      <c r="M1008" s="93"/>
      <c r="N1008" s="93"/>
      <c r="O1008" s="93"/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</row>
    <row r="1009" customFormat="false" ht="16.4" hidden="false" customHeight="false" outlineLevel="0" collapsed="false">
      <c r="A1009" s="123" t="n">
        <v>45444</v>
      </c>
      <c r="B1009" s="31" t="s">
        <v>153</v>
      </c>
      <c r="C1009" s="129"/>
      <c r="D1009" s="129"/>
      <c r="E1009" s="19" t="n">
        <f aca="false">F1009*0.03</f>
        <v>0</v>
      </c>
      <c r="F1009" s="33" t="n">
        <v>0</v>
      </c>
      <c r="G1009" s="131"/>
      <c r="H1009" s="35" t="n">
        <v>0</v>
      </c>
      <c r="I1009" s="34" t="n">
        <f aca="false">+IF(E1009=0,0,E1009*0.03)</f>
        <v>0</v>
      </c>
      <c r="J1009" s="93"/>
      <c r="K1009" s="93"/>
      <c r="L1009" s="93"/>
      <c r="M1009" s="93"/>
      <c r="N1009" s="93"/>
      <c r="O1009" s="93"/>
      <c r="P1009" s="93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</row>
    <row r="1010" customFormat="false" ht="16.4" hidden="false" customHeight="false" outlineLevel="0" collapsed="false">
      <c r="A1010" s="123" t="n">
        <v>45444</v>
      </c>
      <c r="B1010" s="31" t="s">
        <v>153</v>
      </c>
      <c r="C1010" s="129"/>
      <c r="D1010" s="129"/>
      <c r="E1010" s="19" t="n">
        <f aca="false">F1010*0.03</f>
        <v>0</v>
      </c>
      <c r="F1010" s="33" t="n">
        <v>0</v>
      </c>
      <c r="G1010" s="131"/>
      <c r="H1010" s="35" t="n">
        <v>0</v>
      </c>
      <c r="I1010" s="34" t="n">
        <f aca="false">+IF(E1010=0,0,E1010*0.03)</f>
        <v>0</v>
      </c>
      <c r="J1010" s="93"/>
      <c r="K1010" s="93"/>
      <c r="L1010" s="93"/>
      <c r="M1010" s="93"/>
      <c r="N1010" s="93"/>
      <c r="O1010" s="93"/>
      <c r="P1010" s="93"/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</row>
    <row r="1011" customFormat="false" ht="16.4" hidden="false" customHeight="false" outlineLevel="0" collapsed="false">
      <c r="A1011" s="123" t="n">
        <v>45444</v>
      </c>
      <c r="B1011" s="31" t="s">
        <v>153</v>
      </c>
      <c r="C1011" s="129"/>
      <c r="D1011" s="129"/>
      <c r="E1011" s="19" t="n">
        <f aca="false">F1011*0.03</f>
        <v>0</v>
      </c>
      <c r="F1011" s="33" t="n">
        <v>0</v>
      </c>
      <c r="G1011" s="131"/>
      <c r="H1011" s="35" t="n">
        <v>0</v>
      </c>
      <c r="I1011" s="34" t="n">
        <f aca="false">+IF(E1011=0,0,E1011*0.03)</f>
        <v>0</v>
      </c>
      <c r="J1011" s="93"/>
      <c r="K1011" s="93"/>
      <c r="L1011" s="93"/>
      <c r="M1011" s="93"/>
      <c r="N1011" s="93"/>
      <c r="O1011" s="93"/>
      <c r="P1011" s="93"/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</row>
    <row r="1012" customFormat="false" ht="16.4" hidden="false" customHeight="false" outlineLevel="0" collapsed="false">
      <c r="A1012" s="123" t="n">
        <v>45444</v>
      </c>
      <c r="B1012" s="31" t="s">
        <v>153</v>
      </c>
      <c r="C1012" s="129"/>
      <c r="D1012" s="129"/>
      <c r="E1012" s="19" t="n">
        <f aca="false">F1012*0.03</f>
        <v>0</v>
      </c>
      <c r="F1012" s="33" t="n">
        <v>0</v>
      </c>
      <c r="G1012" s="131"/>
      <c r="H1012" s="35" t="n">
        <v>0</v>
      </c>
      <c r="I1012" s="34" t="n">
        <f aca="false">+IF(E1012=0,0,E1012*0.03)</f>
        <v>0</v>
      </c>
      <c r="J1012" s="93"/>
      <c r="K1012" s="93"/>
      <c r="L1012" s="93"/>
      <c r="M1012" s="93"/>
      <c r="N1012" s="93"/>
      <c r="O1012" s="93"/>
      <c r="P1012" s="93"/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</row>
    <row r="1013" customFormat="false" ht="16.4" hidden="false" customHeight="false" outlineLevel="0" collapsed="false">
      <c r="A1013" s="123" t="n">
        <v>45444</v>
      </c>
      <c r="B1013" s="31" t="s">
        <v>153</v>
      </c>
      <c r="C1013" s="129"/>
      <c r="D1013" s="129"/>
      <c r="E1013" s="19" t="n">
        <f aca="false">F1013*0.03</f>
        <v>0</v>
      </c>
      <c r="F1013" s="33" t="n">
        <v>0</v>
      </c>
      <c r="G1013" s="131"/>
      <c r="H1013" s="35" t="n">
        <v>0</v>
      </c>
      <c r="I1013" s="34" t="n">
        <f aca="false">+IF(E1013=0,0,E1013*0.03)</f>
        <v>0</v>
      </c>
      <c r="J1013" s="93"/>
      <c r="K1013" s="93"/>
      <c r="L1013" s="93"/>
      <c r="M1013" s="93"/>
      <c r="N1013" s="93"/>
      <c r="O1013" s="93"/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</row>
    <row r="1014" customFormat="false" ht="16.4" hidden="false" customHeight="false" outlineLevel="0" collapsed="false">
      <c r="A1014" s="123" t="n">
        <v>45444</v>
      </c>
      <c r="B1014" s="31" t="s">
        <v>153</v>
      </c>
      <c r="C1014" s="129"/>
      <c r="D1014" s="129"/>
      <c r="E1014" s="19" t="n">
        <f aca="false">F1014*0.03</f>
        <v>0</v>
      </c>
      <c r="F1014" s="33" t="n">
        <v>0</v>
      </c>
      <c r="G1014" s="131"/>
      <c r="H1014" s="35" t="n">
        <v>0</v>
      </c>
      <c r="I1014" s="34" t="n">
        <f aca="false">+IF(E1014=0,0,E1014*0.03)</f>
        <v>0</v>
      </c>
      <c r="J1014" s="93"/>
      <c r="K1014" s="93"/>
      <c r="L1014" s="93"/>
      <c r="M1014" s="93"/>
      <c r="N1014" s="93"/>
      <c r="O1014" s="93"/>
      <c r="P1014" s="93"/>
      <c r="Q1014" s="93"/>
      <c r="R1014" s="93"/>
      <c r="S1014" s="93"/>
      <c r="T1014" s="93"/>
      <c r="U1014" s="93"/>
      <c r="V1014" s="93"/>
      <c r="W1014" s="93"/>
      <c r="X1014" s="93"/>
      <c r="Y1014" s="93"/>
      <c r="Z1014" s="93"/>
    </row>
    <row r="1015" customFormat="false" ht="16.4" hidden="false" customHeight="false" outlineLevel="0" collapsed="false">
      <c r="A1015" s="123" t="n">
        <v>45444</v>
      </c>
      <c r="B1015" s="31" t="s">
        <v>153</v>
      </c>
      <c r="C1015" s="129"/>
      <c r="D1015" s="129"/>
      <c r="E1015" s="19" t="n">
        <f aca="false">F1015*0.03</f>
        <v>0</v>
      </c>
      <c r="F1015" s="33" t="n">
        <v>0</v>
      </c>
      <c r="G1015" s="131"/>
      <c r="H1015" s="35" t="n">
        <v>0</v>
      </c>
      <c r="I1015" s="34" t="n">
        <f aca="false">+IF(E1015=0,0,E1015*0.03)</f>
        <v>0</v>
      </c>
      <c r="J1015" s="93"/>
      <c r="K1015" s="93"/>
      <c r="L1015" s="93"/>
      <c r="M1015" s="93"/>
      <c r="N1015" s="93"/>
      <c r="O1015" s="93"/>
      <c r="P1015" s="93"/>
      <c r="Q1015" s="93"/>
      <c r="R1015" s="93"/>
      <c r="S1015" s="93"/>
      <c r="T1015" s="93"/>
      <c r="U1015" s="93"/>
      <c r="V1015" s="93"/>
      <c r="W1015" s="93"/>
      <c r="X1015" s="93"/>
      <c r="Y1015" s="93"/>
      <c r="Z1015" s="93"/>
    </row>
    <row r="1016" customFormat="false" ht="16.4" hidden="false" customHeight="false" outlineLevel="0" collapsed="false">
      <c r="A1016" s="123" t="n">
        <v>45444</v>
      </c>
      <c r="B1016" s="31" t="s">
        <v>153</v>
      </c>
      <c r="C1016" s="129"/>
      <c r="D1016" s="129"/>
      <c r="E1016" s="19" t="n">
        <f aca="false">F1016*0.03</f>
        <v>0</v>
      </c>
      <c r="F1016" s="33" t="n">
        <v>0</v>
      </c>
      <c r="G1016" s="131"/>
      <c r="H1016" s="35" t="n">
        <v>0</v>
      </c>
      <c r="I1016" s="34" t="n">
        <f aca="false">+IF(E1016=0,0,E1016*0.03)</f>
        <v>0</v>
      </c>
      <c r="J1016" s="93"/>
      <c r="K1016" s="93"/>
      <c r="L1016" s="93"/>
      <c r="M1016" s="93"/>
      <c r="N1016" s="93"/>
      <c r="O1016" s="93"/>
      <c r="P1016" s="93"/>
      <c r="Q1016" s="93"/>
      <c r="R1016" s="93"/>
      <c r="S1016" s="93"/>
      <c r="T1016" s="93"/>
      <c r="U1016" s="93"/>
      <c r="V1016" s="93"/>
      <c r="W1016" s="93"/>
      <c r="X1016" s="93"/>
      <c r="Y1016" s="93"/>
      <c r="Z1016" s="93"/>
    </row>
    <row r="1017" customFormat="false" ht="16.4" hidden="false" customHeight="false" outlineLevel="0" collapsed="false">
      <c r="A1017" s="123" t="n">
        <v>45444</v>
      </c>
      <c r="B1017" s="31" t="s">
        <v>153</v>
      </c>
      <c r="C1017" s="129"/>
      <c r="D1017" s="129"/>
      <c r="E1017" s="19" t="n">
        <f aca="false">F1017*0.03</f>
        <v>0</v>
      </c>
      <c r="F1017" s="33" t="n">
        <v>0</v>
      </c>
      <c r="G1017" s="131"/>
      <c r="H1017" s="35" t="n">
        <v>0</v>
      </c>
      <c r="I1017" s="34" t="n">
        <f aca="false">+IF(E1017=0,0,E1017*0.03)</f>
        <v>0</v>
      </c>
      <c r="J1017" s="93"/>
      <c r="K1017" s="93"/>
      <c r="L1017" s="93"/>
      <c r="M1017" s="93"/>
      <c r="N1017" s="93"/>
      <c r="O1017" s="93"/>
      <c r="P1017" s="93"/>
      <c r="Q1017" s="93"/>
      <c r="R1017" s="93"/>
      <c r="S1017" s="93"/>
      <c r="T1017" s="93"/>
      <c r="U1017" s="93"/>
      <c r="V1017" s="93"/>
      <c r="W1017" s="93"/>
      <c r="X1017" s="93"/>
      <c r="Y1017" s="93"/>
      <c r="Z1017" s="93"/>
    </row>
    <row r="1018" customFormat="false" ht="16.4" hidden="false" customHeight="false" outlineLevel="0" collapsed="false">
      <c r="A1018" s="123" t="n">
        <v>45444</v>
      </c>
      <c r="B1018" s="31" t="s">
        <v>153</v>
      </c>
      <c r="C1018" s="129"/>
      <c r="D1018" s="129"/>
      <c r="E1018" s="19" t="n">
        <f aca="false">F1018*0.03</f>
        <v>0</v>
      </c>
      <c r="F1018" s="33" t="n">
        <v>0</v>
      </c>
      <c r="G1018" s="131"/>
      <c r="H1018" s="35" t="n">
        <v>0</v>
      </c>
      <c r="I1018" s="34" t="n">
        <f aca="false">+IF(E1018=0,0,E1018*0.03)</f>
        <v>0</v>
      </c>
      <c r="J1018" s="93"/>
      <c r="K1018" s="93"/>
      <c r="L1018" s="93"/>
      <c r="M1018" s="93"/>
      <c r="N1018" s="93"/>
      <c r="O1018" s="93"/>
      <c r="P1018" s="93"/>
      <c r="Q1018" s="93"/>
      <c r="R1018" s="93"/>
      <c r="S1018" s="93"/>
      <c r="T1018" s="93"/>
      <c r="U1018" s="93"/>
      <c r="V1018" s="93"/>
      <c r="W1018" s="93"/>
      <c r="X1018" s="93"/>
      <c r="Y1018" s="93"/>
      <c r="Z1018" s="93"/>
    </row>
    <row r="1019" customFormat="false" ht="16.4" hidden="false" customHeight="false" outlineLevel="0" collapsed="false">
      <c r="A1019" s="123" t="n">
        <v>45444</v>
      </c>
      <c r="B1019" s="31" t="s">
        <v>153</v>
      </c>
      <c r="C1019" s="129"/>
      <c r="D1019" s="129"/>
      <c r="E1019" s="19" t="n">
        <f aca="false">F1019*0.03</f>
        <v>0</v>
      </c>
      <c r="F1019" s="33" t="n">
        <v>0</v>
      </c>
      <c r="G1019" s="131"/>
      <c r="H1019" s="35" t="n">
        <v>0</v>
      </c>
      <c r="I1019" s="34" t="n">
        <f aca="false">+IF(E1019=0,0,E1019*0.03)</f>
        <v>0</v>
      </c>
      <c r="J1019" s="93"/>
      <c r="K1019" s="93"/>
      <c r="L1019" s="93"/>
      <c r="M1019" s="93"/>
      <c r="N1019" s="93"/>
      <c r="O1019" s="93"/>
      <c r="P1019" s="93"/>
      <c r="Q1019" s="93"/>
      <c r="R1019" s="93"/>
      <c r="S1019" s="93"/>
      <c r="T1019" s="93"/>
      <c r="U1019" s="93"/>
      <c r="V1019" s="93"/>
      <c r="W1019" s="93"/>
      <c r="X1019" s="93"/>
      <c r="Y1019" s="93"/>
      <c r="Z1019" s="93"/>
    </row>
    <row r="1020" customFormat="false" ht="16.4" hidden="false" customHeight="false" outlineLevel="0" collapsed="false">
      <c r="A1020" s="123" t="n">
        <v>45444</v>
      </c>
      <c r="B1020" s="31" t="s">
        <v>153</v>
      </c>
      <c r="C1020" s="129"/>
      <c r="D1020" s="129"/>
      <c r="E1020" s="19" t="n">
        <f aca="false">F1020*0.03</f>
        <v>0</v>
      </c>
      <c r="F1020" s="33" t="n">
        <v>0</v>
      </c>
      <c r="G1020" s="131"/>
      <c r="H1020" s="35" t="n">
        <v>0</v>
      </c>
      <c r="I1020" s="34" t="n">
        <f aca="false">+IF(E1020=0,0,E1020*0.03)</f>
        <v>0</v>
      </c>
      <c r="J1020" s="93"/>
      <c r="K1020" s="93"/>
      <c r="L1020" s="93"/>
      <c r="M1020" s="93"/>
      <c r="N1020" s="93"/>
      <c r="O1020" s="93"/>
      <c r="P1020" s="93"/>
      <c r="Q1020" s="93"/>
      <c r="R1020" s="93"/>
      <c r="S1020" s="93"/>
      <c r="T1020" s="93"/>
      <c r="U1020" s="93"/>
      <c r="V1020" s="93"/>
      <c r="W1020" s="93"/>
      <c r="X1020" s="93"/>
      <c r="Y1020" s="93"/>
      <c r="Z1020" s="93"/>
    </row>
    <row r="1021" customFormat="false" ht="16.4" hidden="false" customHeight="false" outlineLevel="0" collapsed="false">
      <c r="A1021" s="123" t="n">
        <v>45444</v>
      </c>
      <c r="B1021" s="31" t="s">
        <v>153</v>
      </c>
      <c r="C1021" s="129"/>
      <c r="D1021" s="129"/>
      <c r="E1021" s="19" t="n">
        <f aca="false">F1021*0.03</f>
        <v>0</v>
      </c>
      <c r="F1021" s="33" t="n">
        <v>0</v>
      </c>
      <c r="G1021" s="131"/>
      <c r="H1021" s="35" t="n">
        <v>0</v>
      </c>
      <c r="I1021" s="34" t="n">
        <f aca="false">+IF(E1021=0,0,E1021*0.03)</f>
        <v>0</v>
      </c>
      <c r="J1021" s="93"/>
      <c r="K1021" s="93"/>
      <c r="L1021" s="93"/>
      <c r="M1021" s="93"/>
      <c r="N1021" s="93"/>
      <c r="O1021" s="93"/>
      <c r="P1021" s="93"/>
      <c r="Q1021" s="93"/>
      <c r="R1021" s="93"/>
      <c r="S1021" s="93"/>
      <c r="T1021" s="93"/>
      <c r="U1021" s="93"/>
      <c r="V1021" s="93"/>
      <c r="W1021" s="93"/>
      <c r="X1021" s="93"/>
      <c r="Y1021" s="93"/>
      <c r="Z1021" s="93"/>
    </row>
    <row r="1022" customFormat="false" ht="16.4" hidden="false" customHeight="false" outlineLevel="0" collapsed="false">
      <c r="A1022" s="123" t="n">
        <v>45444</v>
      </c>
      <c r="B1022" s="31" t="s">
        <v>153</v>
      </c>
      <c r="C1022" s="129"/>
      <c r="D1022" s="129"/>
      <c r="E1022" s="19" t="n">
        <f aca="false">F1022*0.03</f>
        <v>0</v>
      </c>
      <c r="F1022" s="33" t="n">
        <v>0</v>
      </c>
      <c r="G1022" s="131"/>
      <c r="H1022" s="35" t="n">
        <v>0</v>
      </c>
      <c r="I1022" s="34" t="n">
        <f aca="false">+IF(E1022=0,0,E1022*0.03)</f>
        <v>0</v>
      </c>
      <c r="J1022" s="93"/>
      <c r="K1022" s="93"/>
      <c r="L1022" s="93"/>
      <c r="M1022" s="93"/>
      <c r="N1022" s="93"/>
      <c r="O1022" s="93"/>
      <c r="P1022" s="93"/>
      <c r="Q1022" s="93"/>
      <c r="R1022" s="93"/>
      <c r="S1022" s="93"/>
      <c r="T1022" s="93"/>
      <c r="U1022" s="93"/>
      <c r="V1022" s="93"/>
      <c r="W1022" s="93"/>
      <c r="X1022" s="93"/>
      <c r="Y1022" s="93"/>
      <c r="Z1022" s="93"/>
    </row>
    <row r="1023" customFormat="false" ht="16.4" hidden="false" customHeight="false" outlineLevel="0" collapsed="false">
      <c r="A1023" s="123" t="n">
        <v>45444</v>
      </c>
      <c r="B1023" s="31" t="s">
        <v>153</v>
      </c>
      <c r="C1023" s="129"/>
      <c r="D1023" s="129"/>
      <c r="E1023" s="19" t="n">
        <f aca="false">F1023*0.03</f>
        <v>0</v>
      </c>
      <c r="F1023" s="33" t="n">
        <v>0</v>
      </c>
      <c r="G1023" s="131"/>
      <c r="H1023" s="35" t="n">
        <v>0</v>
      </c>
      <c r="I1023" s="34" t="n">
        <f aca="false">+IF(E1023=0,0,E1023*0.03)</f>
        <v>0</v>
      </c>
      <c r="J1023" s="93"/>
      <c r="K1023" s="93"/>
      <c r="L1023" s="93"/>
      <c r="M1023" s="93"/>
      <c r="N1023" s="93"/>
      <c r="O1023" s="93"/>
      <c r="P1023" s="93"/>
      <c r="Q1023" s="93"/>
      <c r="R1023" s="93"/>
      <c r="S1023" s="93"/>
      <c r="T1023" s="93"/>
      <c r="U1023" s="93"/>
      <c r="V1023" s="93"/>
      <c r="W1023" s="93"/>
      <c r="X1023" s="93"/>
      <c r="Y1023" s="93"/>
      <c r="Z1023" s="93"/>
    </row>
    <row r="1024" customFormat="false" ht="16.4" hidden="false" customHeight="false" outlineLevel="0" collapsed="false">
      <c r="A1024" s="123" t="n">
        <v>45444</v>
      </c>
      <c r="B1024" s="31" t="s">
        <v>153</v>
      </c>
      <c r="C1024" s="129"/>
      <c r="D1024" s="129"/>
      <c r="E1024" s="19" t="n">
        <f aca="false">F1024*0.03</f>
        <v>0</v>
      </c>
      <c r="F1024" s="33" t="n">
        <v>0</v>
      </c>
      <c r="G1024" s="131"/>
      <c r="H1024" s="35" t="n">
        <v>0</v>
      </c>
      <c r="I1024" s="34" t="n">
        <f aca="false">+IF(E1024=0,0,E1024*0.03)</f>
        <v>0</v>
      </c>
      <c r="J1024" s="93"/>
      <c r="K1024" s="93"/>
      <c r="L1024" s="93"/>
      <c r="M1024" s="93"/>
      <c r="N1024" s="93"/>
      <c r="O1024" s="93"/>
      <c r="P1024" s="93"/>
      <c r="Q1024" s="93"/>
      <c r="R1024" s="93"/>
      <c r="S1024" s="93"/>
      <c r="T1024" s="93"/>
      <c r="U1024" s="93"/>
      <c r="V1024" s="93"/>
      <c r="W1024" s="93"/>
      <c r="X1024" s="93"/>
      <c r="Y1024" s="93"/>
      <c r="Z1024" s="93"/>
    </row>
    <row r="1025" customFormat="false" ht="16.4" hidden="false" customHeight="false" outlineLevel="0" collapsed="false">
      <c r="A1025" s="123" t="n">
        <v>45444</v>
      </c>
      <c r="B1025" s="31" t="s">
        <v>153</v>
      </c>
      <c r="C1025" s="129"/>
      <c r="D1025" s="129"/>
      <c r="E1025" s="19" t="n">
        <f aca="false">F1025*0.03</f>
        <v>0</v>
      </c>
      <c r="F1025" s="33" t="n">
        <v>0</v>
      </c>
      <c r="G1025" s="131"/>
      <c r="H1025" s="35" t="n">
        <v>0</v>
      </c>
      <c r="I1025" s="34" t="n">
        <f aca="false">+IF(E1025=0,0,E1025*0.03)</f>
        <v>0</v>
      </c>
      <c r="J1025" s="93"/>
      <c r="K1025" s="93"/>
      <c r="L1025" s="93"/>
      <c r="M1025" s="93"/>
      <c r="N1025" s="93"/>
      <c r="O1025" s="93"/>
      <c r="P1025" s="93"/>
      <c r="Q1025" s="93"/>
      <c r="R1025" s="93"/>
      <c r="S1025" s="93"/>
      <c r="T1025" s="93"/>
      <c r="U1025" s="93"/>
      <c r="V1025" s="93"/>
      <c r="W1025" s="93"/>
      <c r="X1025" s="93"/>
      <c r="Y1025" s="93"/>
      <c r="Z1025" s="93"/>
    </row>
    <row r="1026" customFormat="false" ht="16.4" hidden="false" customHeight="false" outlineLevel="0" collapsed="false">
      <c r="A1026" s="123" t="n">
        <v>45444</v>
      </c>
      <c r="B1026" s="31" t="s">
        <v>153</v>
      </c>
      <c r="C1026" s="129"/>
      <c r="D1026" s="129"/>
      <c r="E1026" s="19" t="n">
        <f aca="false">F1026*0.03</f>
        <v>0</v>
      </c>
      <c r="F1026" s="33" t="n">
        <v>0</v>
      </c>
      <c r="G1026" s="131"/>
      <c r="H1026" s="35" t="n">
        <v>0</v>
      </c>
      <c r="I1026" s="34" t="n">
        <f aca="false">+IF(E1026=0,0,E1026*0.03)</f>
        <v>0</v>
      </c>
      <c r="J1026" s="93"/>
      <c r="K1026" s="93"/>
      <c r="L1026" s="93"/>
      <c r="M1026" s="93"/>
      <c r="N1026" s="93"/>
      <c r="O1026" s="93"/>
      <c r="P1026" s="93"/>
      <c r="Q1026" s="93"/>
      <c r="R1026" s="93"/>
      <c r="S1026" s="93"/>
      <c r="T1026" s="93"/>
      <c r="U1026" s="93"/>
      <c r="V1026" s="93"/>
      <c r="W1026" s="93"/>
      <c r="X1026" s="93"/>
      <c r="Y1026" s="93"/>
      <c r="Z1026" s="93"/>
    </row>
    <row r="1027" customFormat="false" ht="16.4" hidden="false" customHeight="false" outlineLevel="0" collapsed="false">
      <c r="A1027" s="123" t="n">
        <v>45444</v>
      </c>
      <c r="B1027" s="31" t="s">
        <v>153</v>
      </c>
      <c r="C1027" s="129"/>
      <c r="D1027" s="129"/>
      <c r="E1027" s="19" t="n">
        <f aca="false">F1027*0.03</f>
        <v>0</v>
      </c>
      <c r="F1027" s="33" t="n">
        <v>0</v>
      </c>
      <c r="G1027" s="131"/>
      <c r="H1027" s="35" t="n">
        <v>0</v>
      </c>
      <c r="I1027" s="34" t="n">
        <f aca="false">+IF(E1027=0,0,E1027*0.03)</f>
        <v>0</v>
      </c>
      <c r="J1027" s="93"/>
      <c r="K1027" s="93"/>
      <c r="L1027" s="93"/>
      <c r="M1027" s="93"/>
      <c r="N1027" s="93"/>
      <c r="O1027" s="93"/>
      <c r="P1027" s="93"/>
      <c r="Q1027" s="93"/>
      <c r="R1027" s="93"/>
      <c r="S1027" s="93"/>
      <c r="T1027" s="93"/>
      <c r="U1027" s="93"/>
      <c r="V1027" s="93"/>
      <c r="W1027" s="93"/>
      <c r="X1027" s="93"/>
      <c r="Y1027" s="93"/>
      <c r="Z1027" s="93"/>
    </row>
    <row r="1028" customFormat="false" ht="16.4" hidden="false" customHeight="false" outlineLevel="0" collapsed="false">
      <c r="A1028" s="123" t="n">
        <v>45444</v>
      </c>
      <c r="B1028" s="31" t="s">
        <v>153</v>
      </c>
      <c r="C1028" s="129"/>
      <c r="D1028" s="129"/>
      <c r="E1028" s="19" t="n">
        <f aca="false">F1028*0.03</f>
        <v>0</v>
      </c>
      <c r="F1028" s="33" t="n">
        <v>0</v>
      </c>
      <c r="G1028" s="131"/>
      <c r="H1028" s="35" t="n">
        <v>0</v>
      </c>
      <c r="I1028" s="34" t="n">
        <f aca="false">+IF(E1028=0,0,E1028*0.03)</f>
        <v>0</v>
      </c>
      <c r="J1028" s="93"/>
      <c r="K1028" s="93"/>
      <c r="L1028" s="93"/>
      <c r="M1028" s="93"/>
      <c r="N1028" s="93"/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</row>
    <row r="1029" customFormat="false" ht="16.4" hidden="false" customHeight="false" outlineLevel="0" collapsed="false">
      <c r="A1029" s="123" t="n">
        <v>45444</v>
      </c>
      <c r="B1029" s="31" t="s">
        <v>153</v>
      </c>
      <c r="C1029" s="129"/>
      <c r="D1029" s="129"/>
      <c r="E1029" s="19" t="n">
        <f aca="false">F1029*0.03</f>
        <v>0</v>
      </c>
      <c r="F1029" s="33" t="n">
        <v>0</v>
      </c>
      <c r="G1029" s="131"/>
      <c r="H1029" s="35" t="n">
        <v>0</v>
      </c>
      <c r="I1029" s="34" t="n">
        <f aca="false">+IF(E1029=0,0,E1029*0.03)</f>
        <v>0</v>
      </c>
      <c r="J1029" s="93"/>
      <c r="K1029" s="93"/>
      <c r="L1029" s="93"/>
      <c r="M1029" s="93"/>
      <c r="N1029" s="93"/>
      <c r="O1029" s="93"/>
      <c r="P1029" s="93"/>
      <c r="Q1029" s="93"/>
      <c r="R1029" s="93"/>
      <c r="S1029" s="93"/>
      <c r="T1029" s="93"/>
      <c r="U1029" s="93"/>
      <c r="V1029" s="93"/>
      <c r="W1029" s="93"/>
      <c r="X1029" s="93"/>
      <c r="Y1029" s="93"/>
      <c r="Z1029" s="93"/>
    </row>
    <row r="1030" customFormat="false" ht="16.4" hidden="false" customHeight="false" outlineLevel="0" collapsed="false">
      <c r="A1030" s="123" t="n">
        <v>45444</v>
      </c>
      <c r="B1030" s="31" t="s">
        <v>153</v>
      </c>
      <c r="C1030" s="129"/>
      <c r="D1030" s="129"/>
      <c r="E1030" s="19" t="n">
        <f aca="false">F1030*0.03</f>
        <v>0</v>
      </c>
      <c r="F1030" s="33" t="n">
        <v>0</v>
      </c>
      <c r="G1030" s="131"/>
      <c r="H1030" s="35" t="n">
        <v>0</v>
      </c>
      <c r="I1030" s="34" t="n">
        <f aca="false">+IF(E1030=0,0,E1030*0.03)</f>
        <v>0</v>
      </c>
      <c r="J1030" s="93"/>
      <c r="K1030" s="93"/>
      <c r="L1030" s="93"/>
      <c r="M1030" s="93"/>
      <c r="N1030" s="93"/>
      <c r="O1030" s="93"/>
      <c r="P1030" s="93"/>
      <c r="Q1030" s="93"/>
      <c r="R1030" s="93"/>
      <c r="S1030" s="93"/>
      <c r="T1030" s="93"/>
      <c r="U1030" s="93"/>
      <c r="V1030" s="93"/>
      <c r="W1030" s="93"/>
      <c r="X1030" s="93"/>
      <c r="Y1030" s="93"/>
      <c r="Z1030" s="93"/>
    </row>
    <row r="1031" customFormat="false" ht="16.4" hidden="false" customHeight="false" outlineLevel="0" collapsed="false">
      <c r="A1031" s="123" t="n">
        <v>45444</v>
      </c>
      <c r="B1031" s="31" t="s">
        <v>153</v>
      </c>
      <c r="C1031" s="129"/>
      <c r="D1031" s="129"/>
      <c r="E1031" s="19" t="n">
        <f aca="false">F1031*0.03</f>
        <v>0</v>
      </c>
      <c r="F1031" s="33" t="n">
        <v>0</v>
      </c>
      <c r="G1031" s="131"/>
      <c r="H1031" s="35" t="n">
        <v>0</v>
      </c>
      <c r="I1031" s="34" t="n">
        <f aca="false">+IF(E1031=0,0,E1031*0.03)</f>
        <v>0</v>
      </c>
      <c r="J1031" s="93"/>
      <c r="K1031" s="93"/>
      <c r="L1031" s="93"/>
      <c r="M1031" s="93"/>
      <c r="N1031" s="93"/>
      <c r="O1031" s="93"/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</row>
    <row r="1032" customFormat="false" ht="16.4" hidden="false" customHeight="false" outlineLevel="0" collapsed="false">
      <c r="A1032" s="123" t="n">
        <v>45444</v>
      </c>
      <c r="B1032" s="31" t="s">
        <v>153</v>
      </c>
      <c r="C1032" s="129"/>
      <c r="D1032" s="129"/>
      <c r="E1032" s="19" t="n">
        <f aca="false">F1032*0.03</f>
        <v>0</v>
      </c>
      <c r="F1032" s="33" t="n">
        <v>0</v>
      </c>
      <c r="G1032" s="131"/>
      <c r="H1032" s="35" t="n">
        <v>0</v>
      </c>
      <c r="I1032" s="34" t="n">
        <f aca="false">+IF(E1032=0,0,E1032*0.03)</f>
        <v>0</v>
      </c>
      <c r="J1032" s="93"/>
      <c r="K1032" s="93"/>
      <c r="L1032" s="93"/>
      <c r="M1032" s="93"/>
      <c r="N1032" s="93"/>
      <c r="O1032" s="93"/>
      <c r="P1032" s="93"/>
      <c r="Q1032" s="93"/>
      <c r="R1032" s="93"/>
      <c r="S1032" s="93"/>
      <c r="T1032" s="93"/>
      <c r="U1032" s="93"/>
      <c r="V1032" s="93"/>
      <c r="W1032" s="93"/>
      <c r="X1032" s="93"/>
      <c r="Y1032" s="93"/>
      <c r="Z1032" s="93"/>
    </row>
    <row r="1033" customFormat="false" ht="16.4" hidden="false" customHeight="false" outlineLevel="0" collapsed="false">
      <c r="A1033" s="123" t="n">
        <v>45444</v>
      </c>
      <c r="B1033" s="31" t="s">
        <v>153</v>
      </c>
      <c r="C1033" s="129"/>
      <c r="D1033" s="129"/>
      <c r="E1033" s="19" t="n">
        <f aca="false">F1033*0.03</f>
        <v>0</v>
      </c>
      <c r="F1033" s="33" t="n">
        <v>0</v>
      </c>
      <c r="G1033" s="131"/>
      <c r="H1033" s="35" t="n">
        <v>0</v>
      </c>
      <c r="I1033" s="34" t="n">
        <f aca="false">+IF(E1033=0,0,E1033*0.03)</f>
        <v>0</v>
      </c>
      <c r="J1033" s="93"/>
      <c r="K1033" s="93"/>
      <c r="L1033" s="93"/>
      <c r="M1033" s="93"/>
      <c r="N1033" s="93"/>
      <c r="O1033" s="93"/>
      <c r="P1033" s="93"/>
      <c r="Q1033" s="93"/>
      <c r="R1033" s="93"/>
      <c r="S1033" s="93"/>
      <c r="T1033" s="93"/>
      <c r="U1033" s="93"/>
      <c r="V1033" s="93"/>
      <c r="W1033" s="93"/>
      <c r="X1033" s="93"/>
      <c r="Y1033" s="93"/>
      <c r="Z1033" s="93"/>
    </row>
    <row r="1034" customFormat="false" ht="16.4" hidden="false" customHeight="false" outlineLevel="0" collapsed="false">
      <c r="A1034" s="123" t="n">
        <v>45444</v>
      </c>
      <c r="B1034" s="31" t="s">
        <v>153</v>
      </c>
      <c r="C1034" s="129"/>
      <c r="D1034" s="129"/>
      <c r="E1034" s="19" t="n">
        <f aca="false">F1034*0.03</f>
        <v>0</v>
      </c>
      <c r="F1034" s="33" t="n">
        <v>0</v>
      </c>
      <c r="G1034" s="131"/>
      <c r="H1034" s="35" t="n">
        <v>0</v>
      </c>
      <c r="I1034" s="34" t="n">
        <f aca="false">+IF(E1034=0,0,E1034*0.03)</f>
        <v>0</v>
      </c>
      <c r="J1034" s="93"/>
      <c r="K1034" s="93"/>
      <c r="L1034" s="93"/>
      <c r="M1034" s="93"/>
      <c r="N1034" s="93"/>
      <c r="O1034" s="93"/>
      <c r="P1034" s="93"/>
      <c r="Q1034" s="93"/>
      <c r="R1034" s="93"/>
      <c r="S1034" s="93"/>
      <c r="T1034" s="93"/>
      <c r="U1034" s="93"/>
      <c r="V1034" s="93"/>
      <c r="W1034" s="93"/>
      <c r="X1034" s="93"/>
      <c r="Y1034" s="93"/>
      <c r="Z1034" s="93"/>
    </row>
    <row r="1035" customFormat="false" ht="16.4" hidden="false" customHeight="false" outlineLevel="0" collapsed="false">
      <c r="A1035" s="123" t="n">
        <v>45444</v>
      </c>
      <c r="B1035" s="31" t="s">
        <v>153</v>
      </c>
      <c r="C1035" s="129"/>
      <c r="D1035" s="129"/>
      <c r="E1035" s="19" t="n">
        <f aca="false">F1035*0.03</f>
        <v>0</v>
      </c>
      <c r="F1035" s="33" t="n">
        <v>0</v>
      </c>
      <c r="G1035" s="131"/>
      <c r="H1035" s="35" t="n">
        <v>0</v>
      </c>
      <c r="I1035" s="34" t="n">
        <f aca="false">+IF(E1035=0,0,E1035*0.03)</f>
        <v>0</v>
      </c>
      <c r="J1035" s="93"/>
      <c r="K1035" s="93"/>
      <c r="L1035" s="93"/>
      <c r="M1035" s="93"/>
      <c r="N1035" s="93"/>
      <c r="O1035" s="93"/>
      <c r="P1035" s="93"/>
      <c r="Q1035" s="93"/>
      <c r="R1035" s="93"/>
      <c r="S1035" s="93"/>
      <c r="T1035" s="93"/>
      <c r="U1035" s="93"/>
      <c r="V1035" s="93"/>
      <c r="W1035" s="93"/>
      <c r="X1035" s="93"/>
      <c r="Y1035" s="93"/>
      <c r="Z1035" s="93"/>
    </row>
    <row r="1036" customFormat="false" ht="16.4" hidden="false" customHeight="false" outlineLevel="0" collapsed="false">
      <c r="A1036" s="123" t="n">
        <v>45444</v>
      </c>
      <c r="B1036" s="31" t="s">
        <v>153</v>
      </c>
      <c r="C1036" s="129"/>
      <c r="D1036" s="129"/>
      <c r="E1036" s="19" t="n">
        <f aca="false">F1036*0.03</f>
        <v>0</v>
      </c>
      <c r="F1036" s="33" t="n">
        <v>0</v>
      </c>
      <c r="G1036" s="131"/>
      <c r="H1036" s="35" t="n">
        <v>0</v>
      </c>
      <c r="I1036" s="34" t="n">
        <f aca="false">+IF(E1036=0,0,E1036*0.03)</f>
        <v>0</v>
      </c>
      <c r="J1036" s="93"/>
      <c r="K1036" s="93"/>
      <c r="L1036" s="93"/>
      <c r="M1036" s="93"/>
      <c r="N1036" s="93"/>
      <c r="O1036" s="93"/>
      <c r="P1036" s="93"/>
      <c r="Q1036" s="93"/>
      <c r="R1036" s="93"/>
      <c r="S1036" s="93"/>
      <c r="T1036" s="93"/>
      <c r="U1036" s="93"/>
      <c r="V1036" s="93"/>
      <c r="W1036" s="93"/>
      <c r="X1036" s="93"/>
      <c r="Y1036" s="93"/>
      <c r="Z1036" s="93"/>
    </row>
    <row r="1037" customFormat="false" ht="16.4" hidden="false" customHeight="false" outlineLevel="0" collapsed="false">
      <c r="A1037" s="123" t="n">
        <v>45444</v>
      </c>
      <c r="B1037" s="31" t="s">
        <v>153</v>
      </c>
      <c r="C1037" s="129"/>
      <c r="D1037" s="129"/>
      <c r="E1037" s="19" t="n">
        <f aca="false">F1037*0.03</f>
        <v>0</v>
      </c>
      <c r="F1037" s="33" t="n">
        <v>0</v>
      </c>
      <c r="G1037" s="131"/>
      <c r="H1037" s="35" t="n">
        <v>0</v>
      </c>
      <c r="I1037" s="34" t="n">
        <f aca="false">+IF(E1037=0,0,E1037*0.03)</f>
        <v>0</v>
      </c>
      <c r="J1037" s="93"/>
      <c r="K1037" s="93"/>
      <c r="L1037" s="93"/>
      <c r="M1037" s="93"/>
      <c r="N1037" s="93"/>
      <c r="O1037" s="93"/>
      <c r="P1037" s="93"/>
      <c r="Q1037" s="93"/>
      <c r="R1037" s="93"/>
      <c r="S1037" s="93"/>
      <c r="T1037" s="93"/>
      <c r="U1037" s="93"/>
      <c r="V1037" s="93"/>
      <c r="W1037" s="93"/>
      <c r="X1037" s="93"/>
      <c r="Y1037" s="93"/>
      <c r="Z1037" s="93"/>
    </row>
    <row r="1038" customFormat="false" ht="16.4" hidden="false" customHeight="false" outlineLevel="0" collapsed="false">
      <c r="A1038" s="123" t="n">
        <v>45444</v>
      </c>
      <c r="B1038" s="31" t="s">
        <v>153</v>
      </c>
      <c r="C1038" s="129"/>
      <c r="D1038" s="129"/>
      <c r="E1038" s="19" t="n">
        <f aca="false">F1038*0.03</f>
        <v>0</v>
      </c>
      <c r="F1038" s="33" t="n">
        <v>0</v>
      </c>
      <c r="G1038" s="131"/>
      <c r="H1038" s="35" t="n">
        <v>0</v>
      </c>
      <c r="I1038" s="34" t="n">
        <f aca="false">+IF(E1038=0,0,E1038*0.03)</f>
        <v>0</v>
      </c>
      <c r="J1038" s="93"/>
      <c r="K1038" s="93"/>
      <c r="L1038" s="93"/>
      <c r="M1038" s="93"/>
      <c r="N1038" s="93"/>
      <c r="O1038" s="93"/>
      <c r="P1038" s="93"/>
      <c r="Q1038" s="93"/>
      <c r="R1038" s="93"/>
      <c r="S1038" s="93"/>
      <c r="T1038" s="93"/>
      <c r="U1038" s="93"/>
      <c r="V1038" s="93"/>
      <c r="W1038" s="93"/>
      <c r="X1038" s="93"/>
      <c r="Y1038" s="93"/>
      <c r="Z1038" s="93"/>
    </row>
    <row r="1039" customFormat="false" ht="16.4" hidden="false" customHeight="false" outlineLevel="0" collapsed="false">
      <c r="A1039" s="123" t="n">
        <v>45444</v>
      </c>
      <c r="B1039" s="31" t="s">
        <v>153</v>
      </c>
      <c r="C1039" s="129"/>
      <c r="D1039" s="129"/>
      <c r="E1039" s="19" t="n">
        <f aca="false">F1039*0.03</f>
        <v>0</v>
      </c>
      <c r="F1039" s="33" t="n">
        <v>0</v>
      </c>
      <c r="G1039" s="131"/>
      <c r="H1039" s="35" t="n">
        <v>0</v>
      </c>
      <c r="I1039" s="34" t="n">
        <f aca="false">+IF(E1039=0,0,E1039*0.03)</f>
        <v>0</v>
      </c>
      <c r="J1039" s="93"/>
      <c r="K1039" s="93"/>
      <c r="L1039" s="93"/>
      <c r="M1039" s="93"/>
      <c r="N1039" s="93"/>
      <c r="O1039" s="93"/>
      <c r="P1039" s="93"/>
      <c r="Q1039" s="93"/>
      <c r="R1039" s="93"/>
      <c r="S1039" s="93"/>
      <c r="T1039" s="93"/>
      <c r="U1039" s="93"/>
      <c r="V1039" s="93"/>
      <c r="W1039" s="93"/>
      <c r="X1039" s="93"/>
      <c r="Y1039" s="93"/>
      <c r="Z1039" s="93"/>
    </row>
    <row r="1040" customFormat="false" ht="16.4" hidden="false" customHeight="false" outlineLevel="0" collapsed="false">
      <c r="A1040" s="123" t="n">
        <v>45444</v>
      </c>
      <c r="B1040" s="31" t="s">
        <v>153</v>
      </c>
      <c r="C1040" s="129"/>
      <c r="D1040" s="129"/>
      <c r="E1040" s="19" t="n">
        <f aca="false">F1040*0.03</f>
        <v>0</v>
      </c>
      <c r="F1040" s="33" t="n">
        <v>0</v>
      </c>
      <c r="G1040" s="131"/>
      <c r="H1040" s="35" t="n">
        <v>0</v>
      </c>
      <c r="I1040" s="34" t="n">
        <f aca="false">+IF(E1040=0,0,E1040*0.03)</f>
        <v>0</v>
      </c>
      <c r="J1040" s="93"/>
      <c r="K1040" s="93"/>
      <c r="L1040" s="93"/>
      <c r="M1040" s="93"/>
      <c r="N1040" s="93"/>
      <c r="O1040" s="93"/>
      <c r="P1040" s="93"/>
      <c r="Q1040" s="93"/>
      <c r="R1040" s="93"/>
      <c r="S1040" s="93"/>
      <c r="T1040" s="93"/>
      <c r="U1040" s="93"/>
      <c r="V1040" s="93"/>
      <c r="W1040" s="93"/>
      <c r="X1040" s="93"/>
      <c r="Y1040" s="93"/>
      <c r="Z1040" s="93"/>
    </row>
    <row r="1041" customFormat="false" ht="16.4" hidden="false" customHeight="false" outlineLevel="0" collapsed="false">
      <c r="A1041" s="123" t="n">
        <v>45444</v>
      </c>
      <c r="B1041" s="31" t="s">
        <v>153</v>
      </c>
      <c r="C1041" s="129"/>
      <c r="D1041" s="129"/>
      <c r="E1041" s="19" t="n">
        <f aca="false">F1041*0.03</f>
        <v>0</v>
      </c>
      <c r="F1041" s="33" t="n">
        <v>0</v>
      </c>
      <c r="G1041" s="131"/>
      <c r="H1041" s="35" t="n">
        <v>0</v>
      </c>
      <c r="I1041" s="34" t="n">
        <f aca="false">+IF(E1041=0,0,E1041*0.03)</f>
        <v>0</v>
      </c>
      <c r="J1041" s="93"/>
      <c r="K1041" s="93"/>
      <c r="L1041" s="93"/>
      <c r="M1041" s="93"/>
      <c r="N1041" s="93"/>
      <c r="O1041" s="93"/>
      <c r="P1041" s="93"/>
      <c r="Q1041" s="93"/>
      <c r="R1041" s="93"/>
      <c r="S1041" s="93"/>
      <c r="T1041" s="93"/>
      <c r="U1041" s="93"/>
      <c r="V1041" s="93"/>
      <c r="W1041" s="93"/>
      <c r="X1041" s="93"/>
      <c r="Y1041" s="93"/>
      <c r="Z1041" s="93"/>
    </row>
    <row r="1042" customFormat="false" ht="16.4" hidden="false" customHeight="false" outlineLevel="0" collapsed="false">
      <c r="A1042" s="123" t="n">
        <v>45444</v>
      </c>
      <c r="B1042" s="31" t="s">
        <v>153</v>
      </c>
      <c r="C1042" s="129"/>
      <c r="D1042" s="129"/>
      <c r="E1042" s="19" t="n">
        <f aca="false">F1042*0.03</f>
        <v>0</v>
      </c>
      <c r="F1042" s="33" t="n">
        <v>0</v>
      </c>
      <c r="G1042" s="131"/>
      <c r="H1042" s="35" t="n">
        <v>0</v>
      </c>
      <c r="I1042" s="34" t="n">
        <f aca="false">+IF(E1042=0,0,E1042*0.03)</f>
        <v>0</v>
      </c>
      <c r="J1042" s="93"/>
      <c r="K1042" s="93"/>
      <c r="L1042" s="93"/>
      <c r="M1042" s="93"/>
      <c r="N1042" s="93"/>
      <c r="O1042" s="93"/>
      <c r="P1042" s="93"/>
      <c r="Q1042" s="93"/>
      <c r="R1042" s="93"/>
      <c r="S1042" s="93"/>
      <c r="T1042" s="93"/>
      <c r="U1042" s="93"/>
      <c r="V1042" s="93"/>
      <c r="W1042" s="93"/>
      <c r="X1042" s="93"/>
      <c r="Y1042" s="93"/>
      <c r="Z1042" s="93"/>
    </row>
    <row r="1043" customFormat="false" ht="16.4" hidden="false" customHeight="false" outlineLevel="0" collapsed="false">
      <c r="A1043" s="123" t="n">
        <v>45444</v>
      </c>
      <c r="B1043" s="31" t="s">
        <v>153</v>
      </c>
      <c r="C1043" s="129"/>
      <c r="D1043" s="129"/>
      <c r="E1043" s="19" t="n">
        <f aca="false">F1043*0.03</f>
        <v>0</v>
      </c>
      <c r="F1043" s="33" t="n">
        <v>0</v>
      </c>
      <c r="G1043" s="131"/>
      <c r="H1043" s="35" t="n">
        <v>0</v>
      </c>
      <c r="I1043" s="34" t="n">
        <f aca="false">+IF(E1043=0,0,E1043*0.03)</f>
        <v>0</v>
      </c>
      <c r="J1043" s="93"/>
      <c r="K1043" s="93"/>
      <c r="L1043" s="93"/>
      <c r="M1043" s="93"/>
      <c r="N1043" s="93"/>
      <c r="O1043" s="93"/>
      <c r="P1043" s="93"/>
      <c r="Q1043" s="93"/>
      <c r="R1043" s="93"/>
      <c r="S1043" s="93"/>
      <c r="T1043" s="93"/>
      <c r="U1043" s="93"/>
      <c r="V1043" s="93"/>
      <c r="W1043" s="93"/>
      <c r="X1043" s="93"/>
      <c r="Y1043" s="93"/>
      <c r="Z1043" s="93"/>
    </row>
    <row r="1044" customFormat="false" ht="16.4" hidden="false" customHeight="false" outlineLevel="0" collapsed="false">
      <c r="A1044" s="123" t="n">
        <v>45444</v>
      </c>
      <c r="B1044" s="31" t="s">
        <v>153</v>
      </c>
      <c r="C1044" s="129"/>
      <c r="D1044" s="129"/>
      <c r="E1044" s="19" t="n">
        <f aca="false">F1044*0.03</f>
        <v>0</v>
      </c>
      <c r="F1044" s="33" t="n">
        <v>0</v>
      </c>
      <c r="G1044" s="131"/>
      <c r="H1044" s="35" t="n">
        <v>0</v>
      </c>
      <c r="I1044" s="34" t="n">
        <f aca="false">+IF(E1044=0,0,E1044*0.03)</f>
        <v>0</v>
      </c>
      <c r="J1044" s="93"/>
      <c r="K1044" s="93"/>
      <c r="L1044" s="93"/>
      <c r="M1044" s="93"/>
      <c r="N1044" s="93"/>
      <c r="O1044" s="93"/>
      <c r="P1044" s="93"/>
      <c r="Q1044" s="93"/>
      <c r="R1044" s="93"/>
      <c r="S1044" s="93"/>
      <c r="T1044" s="93"/>
      <c r="U1044" s="93"/>
      <c r="V1044" s="93"/>
      <c r="W1044" s="93"/>
      <c r="X1044" s="93"/>
      <c r="Y1044" s="93"/>
      <c r="Z1044" s="93"/>
    </row>
    <row r="1045" customFormat="false" ht="16.4" hidden="false" customHeight="false" outlineLevel="0" collapsed="false">
      <c r="A1045" s="123" t="n">
        <v>45444</v>
      </c>
      <c r="B1045" s="31" t="s">
        <v>153</v>
      </c>
      <c r="C1045" s="129"/>
      <c r="D1045" s="129"/>
      <c r="E1045" s="19" t="n">
        <f aca="false">F1045*0.03</f>
        <v>0</v>
      </c>
      <c r="F1045" s="33" t="n">
        <v>0</v>
      </c>
      <c r="G1045" s="131"/>
      <c r="H1045" s="35" t="n">
        <v>0</v>
      </c>
      <c r="I1045" s="34" t="n">
        <f aca="false">+IF(E1045=0,0,E1045*0.03)</f>
        <v>0</v>
      </c>
      <c r="J1045" s="93"/>
      <c r="K1045" s="93"/>
      <c r="L1045" s="93"/>
      <c r="M1045" s="93"/>
      <c r="N1045" s="93"/>
      <c r="O1045" s="93"/>
      <c r="P1045" s="93"/>
      <c r="Q1045" s="93"/>
      <c r="R1045" s="93"/>
      <c r="S1045" s="93"/>
      <c r="T1045" s="93"/>
      <c r="U1045" s="93"/>
      <c r="V1045" s="93"/>
      <c r="W1045" s="93"/>
      <c r="X1045" s="93"/>
      <c r="Y1045" s="93"/>
      <c r="Z1045" s="93"/>
    </row>
    <row r="1046" customFormat="false" ht="16.4" hidden="false" customHeight="false" outlineLevel="0" collapsed="false">
      <c r="A1046" s="123" t="n">
        <v>45444</v>
      </c>
      <c r="B1046" s="31" t="s">
        <v>153</v>
      </c>
      <c r="C1046" s="129"/>
      <c r="D1046" s="129"/>
      <c r="E1046" s="19" t="n">
        <f aca="false">F1046*0.03</f>
        <v>0</v>
      </c>
      <c r="F1046" s="33" t="n">
        <v>0</v>
      </c>
      <c r="G1046" s="131"/>
      <c r="H1046" s="35" t="n">
        <v>0</v>
      </c>
      <c r="I1046" s="34" t="n">
        <f aca="false">+IF(E1046=0,0,E1046*0.03)</f>
        <v>0</v>
      </c>
      <c r="J1046" s="93"/>
      <c r="K1046" s="93"/>
      <c r="L1046" s="93"/>
      <c r="M1046" s="93"/>
      <c r="N1046" s="93"/>
      <c r="O1046" s="93"/>
      <c r="P1046" s="93"/>
      <c r="Q1046" s="93"/>
      <c r="R1046" s="93"/>
      <c r="S1046" s="93"/>
      <c r="T1046" s="93"/>
      <c r="U1046" s="93"/>
      <c r="V1046" s="93"/>
      <c r="W1046" s="93"/>
      <c r="X1046" s="93"/>
      <c r="Y1046" s="93"/>
      <c r="Z1046" s="93"/>
    </row>
    <row r="1047" customFormat="false" ht="16.4" hidden="false" customHeight="false" outlineLevel="0" collapsed="false">
      <c r="A1047" s="123" t="n">
        <v>45444</v>
      </c>
      <c r="B1047" s="31" t="s">
        <v>153</v>
      </c>
      <c r="C1047" s="129"/>
      <c r="D1047" s="129"/>
      <c r="E1047" s="19" t="n">
        <f aca="false">F1047*0.03</f>
        <v>0</v>
      </c>
      <c r="F1047" s="33" t="n">
        <v>0</v>
      </c>
      <c r="G1047" s="131"/>
      <c r="H1047" s="35" t="n">
        <v>0</v>
      </c>
      <c r="I1047" s="34" t="n">
        <f aca="false">+IF(E1047=0,0,E1047*0.03)</f>
        <v>0</v>
      </c>
      <c r="J1047" s="93"/>
      <c r="K1047" s="93"/>
      <c r="L1047" s="93"/>
      <c r="M1047" s="93"/>
      <c r="N1047" s="93"/>
      <c r="O1047" s="93"/>
      <c r="P1047" s="93"/>
      <c r="Q1047" s="93"/>
      <c r="R1047" s="93"/>
      <c r="S1047" s="93"/>
      <c r="T1047" s="93"/>
      <c r="U1047" s="93"/>
      <c r="V1047" s="93"/>
      <c r="W1047" s="93"/>
      <c r="X1047" s="93"/>
      <c r="Y1047" s="93"/>
      <c r="Z1047" s="93"/>
    </row>
    <row r="1048" customFormat="false" ht="16.4" hidden="false" customHeight="false" outlineLevel="0" collapsed="false">
      <c r="A1048" s="123" t="n">
        <v>45444</v>
      </c>
      <c r="B1048" s="31" t="s">
        <v>153</v>
      </c>
      <c r="C1048" s="129"/>
      <c r="D1048" s="129"/>
      <c r="E1048" s="19" t="n">
        <f aca="false">F1048*0.03</f>
        <v>0</v>
      </c>
      <c r="F1048" s="33" t="n">
        <v>0</v>
      </c>
      <c r="G1048" s="131"/>
      <c r="H1048" s="35" t="n">
        <v>0</v>
      </c>
      <c r="I1048" s="34" t="n">
        <f aca="false">+IF(E1048=0,0,E1048*0.03)</f>
        <v>0</v>
      </c>
      <c r="J1048" s="93"/>
      <c r="K1048" s="93"/>
      <c r="L1048" s="93"/>
      <c r="M1048" s="93"/>
      <c r="N1048" s="93"/>
      <c r="O1048" s="93"/>
      <c r="P1048" s="93"/>
      <c r="Q1048" s="93"/>
      <c r="R1048" s="93"/>
      <c r="S1048" s="93"/>
      <c r="T1048" s="93"/>
      <c r="U1048" s="93"/>
      <c r="V1048" s="93"/>
      <c r="W1048" s="93"/>
      <c r="X1048" s="93"/>
      <c r="Y1048" s="93"/>
      <c r="Z1048" s="93"/>
    </row>
    <row r="1049" customFormat="false" ht="16.4" hidden="false" customHeight="false" outlineLevel="0" collapsed="false">
      <c r="A1049" s="123" t="n">
        <v>45444</v>
      </c>
      <c r="B1049" s="31" t="s">
        <v>153</v>
      </c>
      <c r="C1049" s="129"/>
      <c r="D1049" s="129"/>
      <c r="E1049" s="19" t="n">
        <f aca="false">F1049*0.03</f>
        <v>0</v>
      </c>
      <c r="F1049" s="33" t="n">
        <v>0</v>
      </c>
      <c r="G1049" s="131"/>
      <c r="H1049" s="35" t="n">
        <v>0</v>
      </c>
      <c r="I1049" s="34" t="n">
        <f aca="false">+IF(E1049=0,0,E1049*0.03)</f>
        <v>0</v>
      </c>
      <c r="J1049" s="93"/>
      <c r="K1049" s="93"/>
      <c r="L1049" s="93"/>
      <c r="M1049" s="93"/>
      <c r="N1049" s="93"/>
      <c r="O1049" s="93"/>
      <c r="P1049" s="93"/>
      <c r="Q1049" s="93"/>
      <c r="R1049" s="93"/>
      <c r="S1049" s="93"/>
      <c r="T1049" s="93"/>
      <c r="U1049" s="93"/>
      <c r="V1049" s="93"/>
      <c r="W1049" s="93"/>
      <c r="X1049" s="93"/>
      <c r="Y1049" s="93"/>
      <c r="Z1049" s="93"/>
    </row>
    <row r="1050" customFormat="false" ht="16.4" hidden="false" customHeight="false" outlineLevel="0" collapsed="false">
      <c r="A1050" s="123" t="n">
        <v>45444</v>
      </c>
      <c r="B1050" s="31" t="s">
        <v>153</v>
      </c>
      <c r="C1050" s="129"/>
      <c r="D1050" s="129"/>
      <c r="E1050" s="19" t="n">
        <f aca="false">F1050*0.03</f>
        <v>0</v>
      </c>
      <c r="F1050" s="33" t="n">
        <v>0</v>
      </c>
      <c r="G1050" s="131"/>
      <c r="H1050" s="35" t="n">
        <v>0</v>
      </c>
      <c r="I1050" s="34" t="n">
        <f aca="false">+IF(E1050=0,0,E1050*0.03)</f>
        <v>0</v>
      </c>
      <c r="J1050" s="93"/>
      <c r="K1050" s="93"/>
      <c r="L1050" s="93"/>
      <c r="M1050" s="93"/>
      <c r="N1050" s="93"/>
      <c r="O1050" s="93"/>
      <c r="P1050" s="93"/>
      <c r="Q1050" s="93"/>
      <c r="R1050" s="93"/>
      <c r="S1050" s="93"/>
      <c r="T1050" s="93"/>
      <c r="U1050" s="93"/>
      <c r="V1050" s="93"/>
      <c r="W1050" s="93"/>
      <c r="X1050" s="93"/>
      <c r="Y1050" s="93"/>
      <c r="Z1050" s="93"/>
    </row>
    <row r="1051" customFormat="false" ht="16.4" hidden="false" customHeight="false" outlineLevel="0" collapsed="false">
      <c r="A1051" s="123" t="n">
        <v>45444</v>
      </c>
      <c r="B1051" s="31" t="s">
        <v>153</v>
      </c>
      <c r="C1051" s="129"/>
      <c r="D1051" s="129"/>
      <c r="E1051" s="19" t="n">
        <f aca="false">F1051*0.03</f>
        <v>0</v>
      </c>
      <c r="F1051" s="33" t="n">
        <v>0</v>
      </c>
      <c r="G1051" s="131"/>
      <c r="H1051" s="35" t="n">
        <v>0</v>
      </c>
      <c r="I1051" s="34" t="n">
        <f aca="false">+IF(E1051=0,0,E1051*0.03)</f>
        <v>0</v>
      </c>
      <c r="J1051" s="93"/>
      <c r="K1051" s="93"/>
      <c r="L1051" s="93"/>
      <c r="M1051" s="93"/>
      <c r="N1051" s="93"/>
      <c r="O1051" s="93"/>
      <c r="P1051" s="93"/>
      <c r="Q1051" s="93"/>
      <c r="R1051" s="93"/>
      <c r="S1051" s="93"/>
      <c r="T1051" s="93"/>
      <c r="U1051" s="93"/>
      <c r="V1051" s="93"/>
      <c r="W1051" s="93"/>
      <c r="X1051" s="93"/>
      <c r="Y1051" s="93"/>
      <c r="Z1051" s="93"/>
    </row>
    <row r="1052" customFormat="false" ht="16.4" hidden="false" customHeight="false" outlineLevel="0" collapsed="false">
      <c r="A1052" s="123" t="n">
        <v>45444</v>
      </c>
      <c r="B1052" s="31" t="s">
        <v>153</v>
      </c>
      <c r="C1052" s="129"/>
      <c r="D1052" s="129"/>
      <c r="E1052" s="19" t="n">
        <f aca="false">F1052*0.03</f>
        <v>0</v>
      </c>
      <c r="F1052" s="33" t="n">
        <v>0</v>
      </c>
      <c r="G1052" s="131"/>
      <c r="H1052" s="35" t="n">
        <v>0</v>
      </c>
      <c r="I1052" s="34" t="n">
        <f aca="false">+IF(E1052=0,0,E1052*0.03)</f>
        <v>0</v>
      </c>
      <c r="J1052" s="93"/>
      <c r="K1052" s="93"/>
      <c r="L1052" s="93"/>
      <c r="M1052" s="93"/>
      <c r="N1052" s="93"/>
      <c r="O1052" s="93"/>
      <c r="P1052" s="93"/>
      <c r="Q1052" s="93"/>
      <c r="R1052" s="93"/>
      <c r="S1052" s="93"/>
      <c r="T1052" s="93"/>
      <c r="U1052" s="93"/>
      <c r="V1052" s="93"/>
      <c r="W1052" s="93"/>
      <c r="X1052" s="93"/>
      <c r="Y1052" s="93"/>
      <c r="Z1052" s="93"/>
    </row>
    <row r="1053" customFormat="false" ht="16.4" hidden="false" customHeight="false" outlineLevel="0" collapsed="false">
      <c r="A1053" s="123" t="n">
        <v>45444</v>
      </c>
      <c r="B1053" s="31" t="s">
        <v>153</v>
      </c>
      <c r="C1053" s="129"/>
      <c r="D1053" s="129"/>
      <c r="E1053" s="19" t="n">
        <f aca="false">F1053*0.03</f>
        <v>0</v>
      </c>
      <c r="F1053" s="33" t="n">
        <v>0</v>
      </c>
      <c r="G1053" s="131"/>
      <c r="H1053" s="35" t="n">
        <v>0</v>
      </c>
      <c r="I1053" s="34" t="n">
        <f aca="false">+IF(E1053=0,0,E1053*0.03)</f>
        <v>0</v>
      </c>
      <c r="J1053" s="93"/>
      <c r="K1053" s="93"/>
      <c r="L1053" s="93"/>
      <c r="M1053" s="93"/>
      <c r="N1053" s="93"/>
      <c r="O1053" s="93"/>
      <c r="P1053" s="93"/>
      <c r="Q1053" s="93"/>
      <c r="R1053" s="93"/>
      <c r="S1053" s="93"/>
      <c r="T1053" s="93"/>
      <c r="U1053" s="93"/>
      <c r="V1053" s="93"/>
      <c r="W1053" s="93"/>
      <c r="X1053" s="93"/>
      <c r="Y1053" s="93"/>
      <c r="Z1053" s="93"/>
    </row>
    <row r="1054" customFormat="false" ht="16.4" hidden="false" customHeight="false" outlineLevel="0" collapsed="false">
      <c r="A1054" s="123" t="n">
        <v>45444</v>
      </c>
      <c r="B1054" s="31" t="s">
        <v>153</v>
      </c>
      <c r="C1054" s="129"/>
      <c r="D1054" s="129"/>
      <c r="E1054" s="19" t="n">
        <f aca="false">F1054*0.03</f>
        <v>0</v>
      </c>
      <c r="F1054" s="33" t="n">
        <v>0</v>
      </c>
      <c r="G1054" s="131"/>
      <c r="H1054" s="35" t="n">
        <v>0</v>
      </c>
      <c r="I1054" s="34" t="n">
        <f aca="false">+IF(E1054=0,0,E1054*0.03)</f>
        <v>0</v>
      </c>
      <c r="J1054" s="93"/>
      <c r="K1054" s="93"/>
      <c r="L1054" s="93"/>
      <c r="M1054" s="93"/>
      <c r="N1054" s="93"/>
      <c r="O1054" s="93"/>
      <c r="P1054" s="93"/>
      <c r="Q1054" s="93"/>
      <c r="R1054" s="93"/>
      <c r="S1054" s="93"/>
      <c r="T1054" s="93"/>
      <c r="U1054" s="93"/>
      <c r="V1054" s="93"/>
      <c r="W1054" s="93"/>
      <c r="X1054" s="93"/>
      <c r="Y1054" s="93"/>
      <c r="Z1054" s="93"/>
    </row>
    <row r="1055" customFormat="false" ht="16.4" hidden="false" customHeight="false" outlineLevel="0" collapsed="false">
      <c r="A1055" s="123" t="n">
        <v>45444</v>
      </c>
      <c r="B1055" s="31" t="s">
        <v>153</v>
      </c>
      <c r="C1055" s="129"/>
      <c r="D1055" s="129"/>
      <c r="E1055" s="19" t="n">
        <f aca="false">F1055*0.03</f>
        <v>0</v>
      </c>
      <c r="F1055" s="33" t="n">
        <v>0</v>
      </c>
      <c r="G1055" s="131"/>
      <c r="H1055" s="35" t="n">
        <v>0</v>
      </c>
      <c r="I1055" s="34" t="n">
        <f aca="false">+IF(E1055=0,0,E1055*0.03)</f>
        <v>0</v>
      </c>
      <c r="J1055" s="93"/>
      <c r="K1055" s="93"/>
      <c r="L1055" s="93"/>
      <c r="M1055" s="93"/>
      <c r="N1055" s="93"/>
      <c r="O1055" s="93"/>
      <c r="P1055" s="93"/>
      <c r="Q1055" s="93"/>
      <c r="R1055" s="93"/>
      <c r="S1055" s="93"/>
      <c r="T1055" s="93"/>
      <c r="U1055" s="93"/>
      <c r="V1055" s="93"/>
      <c r="W1055" s="93"/>
      <c r="X1055" s="93"/>
      <c r="Y1055" s="93"/>
      <c r="Z1055" s="93"/>
    </row>
    <row r="1056" customFormat="false" ht="16.4" hidden="false" customHeight="false" outlineLevel="0" collapsed="false">
      <c r="A1056" s="123" t="n">
        <v>45444</v>
      </c>
      <c r="B1056" s="31" t="s">
        <v>153</v>
      </c>
      <c r="C1056" s="129"/>
      <c r="D1056" s="129"/>
      <c r="E1056" s="19" t="n">
        <f aca="false">F1056*0.03</f>
        <v>0</v>
      </c>
      <c r="F1056" s="33" t="n">
        <v>0</v>
      </c>
      <c r="G1056" s="131"/>
      <c r="H1056" s="35" t="n">
        <v>0</v>
      </c>
      <c r="I1056" s="34" t="n">
        <f aca="false">+IF(E1056=0,0,E1056*0.03)</f>
        <v>0</v>
      </c>
      <c r="J1056" s="93"/>
      <c r="K1056" s="93"/>
      <c r="L1056" s="93"/>
      <c r="M1056" s="93"/>
      <c r="N1056" s="93"/>
      <c r="O1056" s="93"/>
      <c r="P1056" s="93"/>
      <c r="Q1056" s="93"/>
      <c r="R1056" s="93"/>
      <c r="S1056" s="93"/>
      <c r="T1056" s="93"/>
      <c r="U1056" s="93"/>
      <c r="V1056" s="93"/>
      <c r="W1056" s="93"/>
      <c r="X1056" s="93"/>
      <c r="Y1056" s="93"/>
      <c r="Z1056" s="93"/>
    </row>
    <row r="1057" customFormat="false" ht="16.4" hidden="false" customHeight="false" outlineLevel="0" collapsed="false">
      <c r="A1057" s="123" t="n">
        <v>45444</v>
      </c>
      <c r="B1057" s="31" t="s">
        <v>153</v>
      </c>
      <c r="C1057" s="129"/>
      <c r="D1057" s="129"/>
      <c r="E1057" s="19" t="n">
        <f aca="false">F1057*0.03</f>
        <v>0</v>
      </c>
      <c r="F1057" s="33" t="n">
        <v>0</v>
      </c>
      <c r="G1057" s="131"/>
      <c r="H1057" s="35" t="n">
        <v>0</v>
      </c>
      <c r="I1057" s="34" t="n">
        <f aca="false">+IF(E1057=0,0,E1057*0.03)</f>
        <v>0</v>
      </c>
      <c r="J1057" s="93"/>
      <c r="K1057" s="93"/>
      <c r="L1057" s="93"/>
      <c r="M1057" s="93"/>
      <c r="N1057" s="93"/>
      <c r="O1057" s="93"/>
      <c r="P1057" s="93"/>
      <c r="Q1057" s="93"/>
      <c r="R1057" s="93"/>
      <c r="S1057" s="93"/>
      <c r="T1057" s="93"/>
      <c r="U1057" s="93"/>
      <c r="V1057" s="93"/>
      <c r="W1057" s="93"/>
      <c r="X1057" s="93"/>
      <c r="Y1057" s="93"/>
      <c r="Z1057" s="93"/>
    </row>
    <row r="1058" customFormat="false" ht="16.4" hidden="false" customHeight="false" outlineLevel="0" collapsed="false">
      <c r="A1058" s="123" t="n">
        <v>45444</v>
      </c>
      <c r="B1058" s="31" t="s">
        <v>153</v>
      </c>
      <c r="C1058" s="129"/>
      <c r="D1058" s="129"/>
      <c r="E1058" s="19" t="n">
        <f aca="false">F1058*0.03</f>
        <v>0</v>
      </c>
      <c r="F1058" s="33" t="n">
        <v>0</v>
      </c>
      <c r="G1058" s="131"/>
      <c r="H1058" s="35" t="n">
        <v>0</v>
      </c>
      <c r="I1058" s="34" t="n">
        <f aca="false">+IF(E1058=0,0,E1058*0.03)</f>
        <v>0</v>
      </c>
      <c r="J1058" s="93"/>
      <c r="K1058" s="93"/>
      <c r="L1058" s="93"/>
      <c r="M1058" s="93"/>
      <c r="N1058" s="93"/>
      <c r="O1058" s="93"/>
      <c r="P1058" s="93"/>
      <c r="Q1058" s="93"/>
      <c r="R1058" s="93"/>
      <c r="S1058" s="93"/>
      <c r="T1058" s="93"/>
      <c r="U1058" s="93"/>
      <c r="V1058" s="93"/>
      <c r="W1058" s="93"/>
      <c r="X1058" s="93"/>
      <c r="Y1058" s="93"/>
      <c r="Z1058" s="93"/>
    </row>
    <row r="1059" customFormat="false" ht="16.4" hidden="false" customHeight="false" outlineLevel="0" collapsed="false">
      <c r="A1059" s="123" t="n">
        <v>45444</v>
      </c>
      <c r="B1059" s="31" t="s">
        <v>153</v>
      </c>
      <c r="C1059" s="129"/>
      <c r="D1059" s="129"/>
      <c r="E1059" s="19" t="n">
        <f aca="false">F1059*0.03</f>
        <v>0</v>
      </c>
      <c r="F1059" s="33" t="n">
        <v>0</v>
      </c>
      <c r="G1059" s="131"/>
      <c r="H1059" s="35" t="n">
        <v>0</v>
      </c>
      <c r="I1059" s="34" t="n">
        <f aca="false">+IF(E1059=0,0,E1059*0.03)</f>
        <v>0</v>
      </c>
      <c r="J1059" s="93"/>
      <c r="K1059" s="93"/>
      <c r="L1059" s="93"/>
      <c r="M1059" s="93"/>
      <c r="N1059" s="93"/>
      <c r="O1059" s="93"/>
      <c r="P1059" s="93"/>
      <c r="Q1059" s="93"/>
      <c r="R1059" s="93"/>
      <c r="S1059" s="93"/>
      <c r="T1059" s="93"/>
      <c r="U1059" s="93"/>
      <c r="V1059" s="93"/>
      <c r="W1059" s="93"/>
      <c r="X1059" s="93"/>
      <c r="Y1059" s="93"/>
      <c r="Z1059" s="93"/>
    </row>
    <row r="1060" customFormat="false" ht="16.4" hidden="false" customHeight="false" outlineLevel="0" collapsed="false">
      <c r="A1060" s="123" t="n">
        <v>45444</v>
      </c>
      <c r="B1060" s="31" t="s">
        <v>153</v>
      </c>
      <c r="C1060" s="129"/>
      <c r="D1060" s="129"/>
      <c r="E1060" s="19" t="n">
        <f aca="false">F1060*0.03</f>
        <v>0</v>
      </c>
      <c r="F1060" s="33" t="n">
        <v>0</v>
      </c>
      <c r="G1060" s="131"/>
      <c r="H1060" s="35" t="n">
        <v>0</v>
      </c>
      <c r="I1060" s="34" t="n">
        <f aca="false">+IF(E1060=0,0,E1060*0.03)</f>
        <v>0</v>
      </c>
      <c r="J1060" s="93"/>
      <c r="K1060" s="93"/>
      <c r="L1060" s="93"/>
      <c r="M1060" s="93"/>
      <c r="N1060" s="93"/>
      <c r="O1060" s="93"/>
      <c r="P1060" s="93"/>
      <c r="Q1060" s="93"/>
      <c r="R1060" s="93"/>
      <c r="S1060" s="93"/>
      <c r="T1060" s="93"/>
      <c r="U1060" s="93"/>
      <c r="V1060" s="93"/>
      <c r="W1060" s="93"/>
      <c r="X1060" s="93"/>
      <c r="Y1060" s="93"/>
      <c r="Z1060" s="93"/>
    </row>
    <row r="1061" customFormat="false" ht="16.4" hidden="false" customHeight="false" outlineLevel="0" collapsed="false">
      <c r="A1061" s="123" t="n">
        <v>45444</v>
      </c>
      <c r="B1061" s="31" t="s">
        <v>153</v>
      </c>
      <c r="C1061" s="129"/>
      <c r="D1061" s="129"/>
      <c r="E1061" s="19" t="n">
        <f aca="false">F1061*0.03</f>
        <v>0</v>
      </c>
      <c r="F1061" s="33" t="n">
        <v>0</v>
      </c>
      <c r="G1061" s="131"/>
      <c r="H1061" s="35" t="n">
        <v>0</v>
      </c>
      <c r="I1061" s="34" t="n">
        <f aca="false">+IF(E1061=0,0,E1061*0.03)</f>
        <v>0</v>
      </c>
      <c r="J1061" s="93"/>
      <c r="K1061" s="93"/>
      <c r="L1061" s="93"/>
      <c r="M1061" s="93"/>
      <c r="N1061" s="93"/>
      <c r="O1061" s="93"/>
      <c r="P1061" s="93"/>
      <c r="Q1061" s="93"/>
      <c r="R1061" s="93"/>
      <c r="S1061" s="93"/>
      <c r="T1061" s="93"/>
      <c r="U1061" s="93"/>
      <c r="V1061" s="93"/>
      <c r="W1061" s="93"/>
      <c r="X1061" s="93"/>
      <c r="Y1061" s="93"/>
      <c r="Z1061" s="93"/>
    </row>
    <row r="1062" customFormat="false" ht="16.4" hidden="false" customHeight="false" outlineLevel="0" collapsed="false">
      <c r="A1062" s="123" t="n">
        <v>45444</v>
      </c>
      <c r="B1062" s="31" t="s">
        <v>153</v>
      </c>
      <c r="C1062" s="129"/>
      <c r="D1062" s="129"/>
      <c r="E1062" s="19" t="n">
        <f aca="false">F1062*0.03</f>
        <v>0</v>
      </c>
      <c r="F1062" s="33" t="n">
        <v>0</v>
      </c>
      <c r="G1062" s="131"/>
      <c r="H1062" s="35" t="n">
        <v>0</v>
      </c>
      <c r="I1062" s="34" t="n">
        <f aca="false">+IF(E1062=0,0,E1062*0.03)</f>
        <v>0</v>
      </c>
      <c r="J1062" s="93"/>
      <c r="K1062" s="93"/>
      <c r="L1062" s="93"/>
      <c r="M1062" s="93"/>
      <c r="N1062" s="93"/>
      <c r="O1062" s="93"/>
      <c r="P1062" s="93"/>
      <c r="Q1062" s="93"/>
      <c r="R1062" s="93"/>
      <c r="S1062" s="93"/>
      <c r="T1062" s="93"/>
      <c r="U1062" s="93"/>
      <c r="V1062" s="93"/>
      <c r="W1062" s="93"/>
      <c r="X1062" s="93"/>
      <c r="Y1062" s="93"/>
      <c r="Z1062" s="93"/>
    </row>
    <row r="1063" customFormat="false" ht="16.4" hidden="false" customHeight="false" outlineLevel="0" collapsed="false">
      <c r="A1063" s="123" t="n">
        <v>45444</v>
      </c>
      <c r="B1063" s="31" t="s">
        <v>153</v>
      </c>
      <c r="C1063" s="129"/>
      <c r="D1063" s="129"/>
      <c r="E1063" s="19" t="n">
        <f aca="false">F1063*0.03</f>
        <v>0</v>
      </c>
      <c r="F1063" s="33" t="n">
        <v>0</v>
      </c>
      <c r="G1063" s="131"/>
      <c r="H1063" s="35" t="n">
        <v>0</v>
      </c>
      <c r="I1063" s="34" t="n">
        <f aca="false">+IF(E1063=0,0,E1063*0.03)</f>
        <v>0</v>
      </c>
      <c r="J1063" s="93"/>
      <c r="K1063" s="93"/>
      <c r="L1063" s="93"/>
      <c r="M1063" s="93"/>
      <c r="N1063" s="93"/>
      <c r="O1063" s="93"/>
      <c r="P1063" s="93"/>
      <c r="Q1063" s="93"/>
      <c r="R1063" s="93"/>
      <c r="S1063" s="93"/>
      <c r="T1063" s="93"/>
      <c r="U1063" s="93"/>
      <c r="V1063" s="93"/>
      <c r="W1063" s="93"/>
      <c r="X1063" s="93"/>
      <c r="Y1063" s="93"/>
      <c r="Z1063" s="93"/>
    </row>
    <row r="1064" customFormat="false" ht="16.4" hidden="false" customHeight="false" outlineLevel="0" collapsed="false">
      <c r="A1064" s="123" t="n">
        <v>45444</v>
      </c>
      <c r="B1064" s="31" t="s">
        <v>153</v>
      </c>
      <c r="C1064" s="129"/>
      <c r="D1064" s="129"/>
      <c r="E1064" s="19" t="n">
        <f aca="false">F1064*0.03</f>
        <v>0</v>
      </c>
      <c r="F1064" s="33" t="n">
        <v>0</v>
      </c>
      <c r="G1064" s="131"/>
      <c r="H1064" s="35" t="n">
        <v>0</v>
      </c>
      <c r="I1064" s="34" t="n">
        <f aca="false">+IF(E1064=0,0,E1064*0.03)</f>
        <v>0</v>
      </c>
      <c r="J1064" s="93"/>
      <c r="K1064" s="93"/>
      <c r="L1064" s="93"/>
      <c r="M1064" s="93"/>
      <c r="N1064" s="93"/>
      <c r="O1064" s="93"/>
      <c r="P1064" s="93"/>
      <c r="Q1064" s="93"/>
      <c r="R1064" s="93"/>
      <c r="S1064" s="93"/>
      <c r="T1064" s="93"/>
      <c r="U1064" s="93"/>
      <c r="V1064" s="93"/>
      <c r="W1064" s="93"/>
      <c r="X1064" s="93"/>
      <c r="Y1064" s="93"/>
      <c r="Z1064" s="93"/>
    </row>
    <row r="1065" customFormat="false" ht="16.4" hidden="false" customHeight="false" outlineLevel="0" collapsed="false">
      <c r="A1065" s="123" t="n">
        <v>45444</v>
      </c>
      <c r="B1065" s="31" t="s">
        <v>153</v>
      </c>
      <c r="C1065" s="129"/>
      <c r="D1065" s="129"/>
      <c r="E1065" s="19" t="n">
        <f aca="false">F1065*0.03</f>
        <v>0</v>
      </c>
      <c r="F1065" s="33" t="n">
        <v>0</v>
      </c>
      <c r="G1065" s="131"/>
      <c r="H1065" s="35" t="n">
        <v>0</v>
      </c>
      <c r="I1065" s="34" t="n">
        <f aca="false">+IF(E1065=0,0,E1065*0.03)</f>
        <v>0</v>
      </c>
      <c r="J1065" s="93"/>
      <c r="K1065" s="93"/>
      <c r="L1065" s="93"/>
      <c r="M1065" s="93"/>
      <c r="N1065" s="93"/>
      <c r="O1065" s="93"/>
      <c r="P1065" s="93"/>
      <c r="Q1065" s="93"/>
      <c r="R1065" s="93"/>
      <c r="S1065" s="93"/>
      <c r="T1065" s="93"/>
      <c r="U1065" s="93"/>
      <c r="V1065" s="93"/>
      <c r="W1065" s="93"/>
      <c r="X1065" s="93"/>
      <c r="Y1065" s="93"/>
      <c r="Z1065" s="93"/>
    </row>
    <row r="1066" customFormat="false" ht="16.4" hidden="false" customHeight="false" outlineLevel="0" collapsed="false">
      <c r="A1066" s="123" t="n">
        <v>45444</v>
      </c>
      <c r="B1066" s="31" t="s">
        <v>153</v>
      </c>
      <c r="C1066" s="129"/>
      <c r="D1066" s="129"/>
      <c r="E1066" s="19" t="n">
        <f aca="false">F1066*0.03</f>
        <v>0</v>
      </c>
      <c r="F1066" s="33" t="n">
        <v>0</v>
      </c>
      <c r="G1066" s="131"/>
      <c r="H1066" s="35" t="n">
        <v>0</v>
      </c>
      <c r="I1066" s="34" t="n">
        <f aca="false">+IF(E1066=0,0,E1066*0.03)</f>
        <v>0</v>
      </c>
      <c r="J1066" s="93"/>
      <c r="K1066" s="93"/>
      <c r="L1066" s="93"/>
      <c r="M1066" s="93"/>
      <c r="N1066" s="93"/>
      <c r="O1066" s="93"/>
      <c r="P1066" s="93"/>
      <c r="Q1066" s="93"/>
      <c r="R1066" s="93"/>
      <c r="S1066" s="93"/>
      <c r="T1066" s="93"/>
      <c r="U1066" s="93"/>
      <c r="V1066" s="93"/>
      <c r="W1066" s="93"/>
      <c r="X1066" s="93"/>
      <c r="Y1066" s="93"/>
      <c r="Z1066" s="93"/>
    </row>
    <row r="1067" customFormat="false" ht="16.4" hidden="false" customHeight="false" outlineLevel="0" collapsed="false">
      <c r="A1067" s="123" t="n">
        <v>45444</v>
      </c>
      <c r="B1067" s="31" t="s">
        <v>153</v>
      </c>
      <c r="C1067" s="129"/>
      <c r="D1067" s="129"/>
      <c r="E1067" s="19" t="n">
        <f aca="false">F1067*0.03</f>
        <v>0</v>
      </c>
      <c r="F1067" s="33" t="n">
        <v>0</v>
      </c>
      <c r="G1067" s="131"/>
      <c r="H1067" s="35" t="n">
        <v>0</v>
      </c>
      <c r="I1067" s="34" t="n">
        <f aca="false">+IF(E1067=0,0,E1067*0.03)</f>
        <v>0</v>
      </c>
      <c r="J1067" s="93"/>
      <c r="K1067" s="93"/>
      <c r="L1067" s="93"/>
      <c r="M1067" s="93"/>
      <c r="N1067" s="93"/>
      <c r="O1067" s="93"/>
      <c r="P1067" s="93"/>
      <c r="Q1067" s="93"/>
      <c r="R1067" s="93"/>
      <c r="S1067" s="93"/>
      <c r="T1067" s="93"/>
      <c r="U1067" s="93"/>
      <c r="V1067" s="93"/>
      <c r="W1067" s="93"/>
      <c r="X1067" s="93"/>
      <c r="Y1067" s="93"/>
      <c r="Z1067" s="93"/>
    </row>
    <row r="1068" customFormat="false" ht="16.4" hidden="false" customHeight="false" outlineLevel="0" collapsed="false">
      <c r="A1068" s="123" t="n">
        <v>45444</v>
      </c>
      <c r="B1068" s="31" t="s">
        <v>153</v>
      </c>
      <c r="C1068" s="129"/>
      <c r="D1068" s="129"/>
      <c r="E1068" s="19" t="n">
        <f aca="false">F1068*0.03</f>
        <v>0</v>
      </c>
      <c r="F1068" s="33" t="n">
        <v>0</v>
      </c>
      <c r="G1068" s="131"/>
      <c r="H1068" s="35" t="n">
        <v>0</v>
      </c>
      <c r="I1068" s="34" t="n">
        <f aca="false">+IF(E1068=0,0,E1068*0.03)</f>
        <v>0</v>
      </c>
      <c r="J1068" s="93"/>
      <c r="K1068" s="93"/>
      <c r="L1068" s="93"/>
      <c r="M1068" s="93"/>
      <c r="N1068" s="93"/>
      <c r="O1068" s="93"/>
      <c r="P1068" s="93"/>
      <c r="Q1068" s="93"/>
      <c r="R1068" s="93"/>
      <c r="S1068" s="93"/>
      <c r="T1068" s="93"/>
      <c r="U1068" s="93"/>
      <c r="V1068" s="93"/>
      <c r="W1068" s="93"/>
      <c r="X1068" s="93"/>
      <c r="Y1068" s="93"/>
      <c r="Z1068" s="93"/>
    </row>
    <row r="1069" customFormat="false" ht="16.4" hidden="false" customHeight="false" outlineLevel="0" collapsed="false">
      <c r="A1069" s="123" t="n">
        <v>45444</v>
      </c>
      <c r="B1069" s="31" t="s">
        <v>153</v>
      </c>
      <c r="C1069" s="129"/>
      <c r="D1069" s="129"/>
      <c r="E1069" s="19" t="n">
        <f aca="false">F1069*0.03</f>
        <v>0</v>
      </c>
      <c r="F1069" s="33" t="n">
        <v>0</v>
      </c>
      <c r="G1069" s="131"/>
      <c r="H1069" s="35" t="n">
        <v>0</v>
      </c>
      <c r="I1069" s="34" t="n">
        <f aca="false">+IF(E1069=0,0,E1069*0.03)</f>
        <v>0</v>
      </c>
      <c r="J1069" s="93"/>
      <c r="K1069" s="93"/>
      <c r="L1069" s="93"/>
      <c r="M1069" s="93"/>
      <c r="N1069" s="93"/>
      <c r="O1069" s="93"/>
      <c r="P1069" s="93"/>
      <c r="Q1069" s="93"/>
      <c r="R1069" s="93"/>
      <c r="S1069" s="93"/>
      <c r="T1069" s="93"/>
      <c r="U1069" s="93"/>
      <c r="V1069" s="93"/>
      <c r="W1069" s="93"/>
      <c r="X1069" s="93"/>
      <c r="Y1069" s="93"/>
      <c r="Z1069" s="93"/>
    </row>
    <row r="1070" customFormat="false" ht="16.4" hidden="false" customHeight="false" outlineLevel="0" collapsed="false">
      <c r="A1070" s="123" t="n">
        <v>45444</v>
      </c>
      <c r="B1070" s="31" t="s">
        <v>153</v>
      </c>
      <c r="C1070" s="129"/>
      <c r="D1070" s="129"/>
      <c r="E1070" s="19" t="n">
        <f aca="false">F1070*0.03</f>
        <v>0</v>
      </c>
      <c r="F1070" s="33" t="n">
        <v>0</v>
      </c>
      <c r="G1070" s="131"/>
      <c r="H1070" s="35" t="n">
        <v>0</v>
      </c>
      <c r="I1070" s="34" t="n">
        <f aca="false">+IF(E1070=0,0,E1070*0.03)</f>
        <v>0</v>
      </c>
      <c r="J1070" s="93"/>
      <c r="K1070" s="93"/>
      <c r="L1070" s="93"/>
      <c r="M1070" s="93"/>
      <c r="N1070" s="93"/>
      <c r="O1070" s="93"/>
      <c r="P1070" s="93"/>
      <c r="Q1070" s="93"/>
      <c r="R1070" s="93"/>
      <c r="S1070" s="93"/>
      <c r="T1070" s="93"/>
      <c r="U1070" s="93"/>
      <c r="V1070" s="93"/>
      <c r="W1070" s="93"/>
      <c r="X1070" s="93"/>
      <c r="Y1070" s="93"/>
      <c r="Z1070" s="93"/>
    </row>
    <row r="1071" customFormat="false" ht="16.4" hidden="false" customHeight="false" outlineLevel="0" collapsed="false">
      <c r="A1071" s="123" t="n">
        <v>45444</v>
      </c>
      <c r="B1071" s="31" t="s">
        <v>153</v>
      </c>
      <c r="C1071" s="129"/>
      <c r="D1071" s="129"/>
      <c r="E1071" s="19" t="n">
        <f aca="false">F1071*0.03</f>
        <v>0</v>
      </c>
      <c r="F1071" s="33" t="n">
        <v>0</v>
      </c>
      <c r="G1071" s="131"/>
      <c r="H1071" s="35" t="n">
        <v>0</v>
      </c>
      <c r="I1071" s="34" t="n">
        <f aca="false">+IF(E1071=0,0,E1071*0.03)</f>
        <v>0</v>
      </c>
      <c r="J1071" s="93"/>
      <c r="K1071" s="93"/>
      <c r="L1071" s="93"/>
      <c r="M1071" s="93"/>
      <c r="N1071" s="93"/>
      <c r="O1071" s="93"/>
      <c r="P1071" s="93"/>
      <c r="Q1071" s="93"/>
      <c r="R1071" s="93"/>
      <c r="S1071" s="93"/>
      <c r="T1071" s="93"/>
      <c r="U1071" s="93"/>
      <c r="V1071" s="93"/>
      <c r="W1071" s="93"/>
      <c r="X1071" s="93"/>
      <c r="Y1071" s="93"/>
      <c r="Z1071" s="93"/>
    </row>
    <row r="1072" customFormat="false" ht="16.4" hidden="false" customHeight="false" outlineLevel="0" collapsed="false">
      <c r="A1072" s="123" t="n">
        <v>45444</v>
      </c>
      <c r="B1072" s="31" t="s">
        <v>153</v>
      </c>
      <c r="C1072" s="129"/>
      <c r="D1072" s="129"/>
      <c r="E1072" s="19" t="n">
        <f aca="false">F1072*0.03</f>
        <v>0</v>
      </c>
      <c r="F1072" s="33" t="n">
        <v>0</v>
      </c>
      <c r="G1072" s="131"/>
      <c r="H1072" s="35" t="n">
        <v>0</v>
      </c>
      <c r="I1072" s="34" t="n">
        <f aca="false">+IF(E1072=0,0,E1072*0.03)</f>
        <v>0</v>
      </c>
      <c r="J1072" s="93"/>
      <c r="K1072" s="93"/>
      <c r="L1072" s="93"/>
      <c r="M1072" s="93"/>
      <c r="N1072" s="93"/>
      <c r="O1072" s="93"/>
      <c r="P1072" s="93"/>
      <c r="Q1072" s="93"/>
      <c r="R1072" s="93"/>
      <c r="S1072" s="93"/>
      <c r="T1072" s="93"/>
      <c r="U1072" s="93"/>
      <c r="V1072" s="93"/>
      <c r="W1072" s="93"/>
      <c r="X1072" s="93"/>
      <c r="Y1072" s="93"/>
      <c r="Z1072" s="93"/>
    </row>
    <row r="1073" customFormat="false" ht="16.4" hidden="false" customHeight="false" outlineLevel="0" collapsed="false">
      <c r="A1073" s="123" t="n">
        <v>45444</v>
      </c>
      <c r="B1073" s="31" t="s">
        <v>153</v>
      </c>
      <c r="C1073" s="129"/>
      <c r="D1073" s="129"/>
      <c r="E1073" s="19" t="n">
        <f aca="false">F1073*0.03</f>
        <v>0</v>
      </c>
      <c r="F1073" s="33" t="n">
        <v>0</v>
      </c>
      <c r="G1073" s="131"/>
      <c r="H1073" s="35" t="n">
        <v>0</v>
      </c>
      <c r="I1073" s="34" t="n">
        <f aca="false">+IF(E1073=0,0,E1073*0.03)</f>
        <v>0</v>
      </c>
      <c r="J1073" s="93"/>
      <c r="K1073" s="93"/>
      <c r="L1073" s="93"/>
      <c r="M1073" s="93"/>
      <c r="N1073" s="93"/>
      <c r="O1073" s="93"/>
      <c r="P1073" s="93"/>
      <c r="Q1073" s="93"/>
      <c r="R1073" s="93"/>
      <c r="S1073" s="93"/>
      <c r="T1073" s="93"/>
      <c r="U1073" s="93"/>
      <c r="V1073" s="93"/>
      <c r="W1073" s="93"/>
      <c r="X1073" s="93"/>
      <c r="Y1073" s="93"/>
      <c r="Z1073" s="93"/>
    </row>
    <row r="1074" customFormat="false" ht="16.4" hidden="false" customHeight="false" outlineLevel="0" collapsed="false">
      <c r="A1074" s="123" t="n">
        <v>45444</v>
      </c>
      <c r="B1074" s="31" t="s">
        <v>153</v>
      </c>
      <c r="C1074" s="129"/>
      <c r="D1074" s="129"/>
      <c r="E1074" s="19" t="n">
        <f aca="false">F1074*0.03</f>
        <v>0</v>
      </c>
      <c r="F1074" s="33" t="n">
        <v>0</v>
      </c>
      <c r="G1074" s="131"/>
      <c r="H1074" s="35" t="n">
        <v>0</v>
      </c>
      <c r="I1074" s="34" t="n">
        <f aca="false">+IF(E1074=0,0,E1074*0.03)</f>
        <v>0</v>
      </c>
      <c r="J1074" s="93"/>
      <c r="K1074" s="93"/>
      <c r="L1074" s="93"/>
      <c r="M1074" s="93"/>
      <c r="N1074" s="93"/>
      <c r="O1074" s="93"/>
      <c r="P1074" s="93"/>
      <c r="Q1074" s="93"/>
      <c r="R1074" s="93"/>
      <c r="S1074" s="93"/>
      <c r="T1074" s="93"/>
      <c r="U1074" s="93"/>
      <c r="V1074" s="93"/>
      <c r="W1074" s="93"/>
      <c r="X1074" s="93"/>
      <c r="Y1074" s="93"/>
      <c r="Z1074" s="93"/>
    </row>
    <row r="1075" customFormat="false" ht="16.4" hidden="false" customHeight="false" outlineLevel="0" collapsed="false">
      <c r="A1075" s="123" t="n">
        <v>45444</v>
      </c>
      <c r="B1075" s="31" t="s">
        <v>153</v>
      </c>
      <c r="C1075" s="129"/>
      <c r="D1075" s="129"/>
      <c r="E1075" s="19" t="n">
        <f aca="false">F1075*0.03</f>
        <v>0</v>
      </c>
      <c r="F1075" s="33" t="n">
        <v>0</v>
      </c>
      <c r="G1075" s="131"/>
      <c r="H1075" s="35" t="n">
        <v>0</v>
      </c>
      <c r="I1075" s="34" t="n">
        <f aca="false">+IF(E1075=0,0,E1075*0.03)</f>
        <v>0</v>
      </c>
      <c r="J1075" s="93"/>
      <c r="K1075" s="93"/>
      <c r="L1075" s="93"/>
      <c r="M1075" s="93"/>
      <c r="N1075" s="93"/>
      <c r="O1075" s="93"/>
      <c r="P1075" s="93"/>
      <c r="Q1075" s="93"/>
      <c r="R1075" s="93"/>
      <c r="S1075" s="93"/>
      <c r="T1075" s="93"/>
      <c r="U1075" s="93"/>
      <c r="V1075" s="93"/>
      <c r="W1075" s="93"/>
      <c r="X1075" s="93"/>
      <c r="Y1075" s="93"/>
      <c r="Z1075" s="93"/>
    </row>
    <row r="1076" customFormat="false" ht="16.4" hidden="false" customHeight="false" outlineLevel="0" collapsed="false">
      <c r="A1076" s="123" t="n">
        <v>45444</v>
      </c>
      <c r="B1076" s="31" t="s">
        <v>153</v>
      </c>
      <c r="C1076" s="129"/>
      <c r="D1076" s="129"/>
      <c r="E1076" s="19" t="n">
        <f aca="false">F1076*0.03</f>
        <v>0</v>
      </c>
      <c r="F1076" s="33" t="n">
        <v>0</v>
      </c>
      <c r="G1076" s="131"/>
      <c r="H1076" s="35" t="n">
        <v>0</v>
      </c>
      <c r="I1076" s="34" t="n">
        <f aca="false">+IF(E1076=0,0,E1076*0.03)</f>
        <v>0</v>
      </c>
      <c r="J1076" s="93"/>
      <c r="K1076" s="93"/>
      <c r="L1076" s="93"/>
      <c r="M1076" s="93"/>
      <c r="N1076" s="93"/>
      <c r="O1076" s="93"/>
      <c r="P1076" s="93"/>
      <c r="Q1076" s="93"/>
      <c r="R1076" s="93"/>
      <c r="S1076" s="93"/>
      <c r="T1076" s="93"/>
      <c r="U1076" s="93"/>
      <c r="V1076" s="93"/>
      <c r="W1076" s="93"/>
      <c r="X1076" s="93"/>
      <c r="Y1076" s="93"/>
      <c r="Z1076" s="93"/>
    </row>
    <row r="1077" customFormat="false" ht="16.4" hidden="false" customHeight="false" outlineLevel="0" collapsed="false">
      <c r="A1077" s="123" t="n">
        <v>45444</v>
      </c>
      <c r="B1077" s="31" t="s">
        <v>153</v>
      </c>
      <c r="C1077" s="129"/>
      <c r="D1077" s="129"/>
      <c r="E1077" s="19" t="n">
        <f aca="false">F1077*0.03</f>
        <v>0</v>
      </c>
      <c r="F1077" s="33" t="n">
        <v>0</v>
      </c>
      <c r="G1077" s="131"/>
      <c r="H1077" s="35" t="n">
        <v>0</v>
      </c>
      <c r="I1077" s="34" t="n">
        <f aca="false">+IF(E1077=0,0,E1077*0.03)</f>
        <v>0</v>
      </c>
      <c r="J1077" s="93"/>
      <c r="K1077" s="93"/>
      <c r="L1077" s="93"/>
      <c r="M1077" s="93"/>
      <c r="N1077" s="93"/>
      <c r="O1077" s="93"/>
      <c r="P1077" s="93"/>
      <c r="Q1077" s="93"/>
      <c r="R1077" s="93"/>
      <c r="S1077" s="93"/>
      <c r="T1077" s="93"/>
      <c r="U1077" s="93"/>
      <c r="V1077" s="93"/>
      <c r="W1077" s="93"/>
      <c r="X1077" s="93"/>
      <c r="Y1077" s="93"/>
      <c r="Z1077" s="93"/>
    </row>
    <row r="1078" customFormat="false" ht="16.4" hidden="false" customHeight="false" outlineLevel="0" collapsed="false">
      <c r="A1078" s="123" t="n">
        <v>45444</v>
      </c>
      <c r="B1078" s="31" t="s">
        <v>153</v>
      </c>
      <c r="C1078" s="129"/>
      <c r="D1078" s="129"/>
      <c r="E1078" s="19" t="n">
        <f aca="false">F1078*0.03</f>
        <v>0</v>
      </c>
      <c r="F1078" s="33" t="n">
        <v>0</v>
      </c>
      <c r="G1078" s="131"/>
      <c r="H1078" s="35" t="n">
        <v>0</v>
      </c>
      <c r="I1078" s="34" t="n">
        <f aca="false">+IF(E1078=0,0,E1078*0.03)</f>
        <v>0</v>
      </c>
      <c r="J1078" s="93"/>
      <c r="K1078" s="93"/>
      <c r="L1078" s="93"/>
      <c r="M1078" s="93"/>
      <c r="N1078" s="93"/>
      <c r="O1078" s="93"/>
      <c r="P1078" s="93"/>
      <c r="Q1078" s="93"/>
      <c r="R1078" s="93"/>
      <c r="S1078" s="93"/>
      <c r="T1078" s="93"/>
      <c r="U1078" s="93"/>
      <c r="V1078" s="93"/>
      <c r="W1078" s="93"/>
      <c r="X1078" s="93"/>
      <c r="Y1078" s="93"/>
      <c r="Z1078" s="93"/>
    </row>
    <row r="1079" customFormat="false" ht="16.4" hidden="false" customHeight="false" outlineLevel="0" collapsed="false">
      <c r="A1079" s="123" t="n">
        <v>45444</v>
      </c>
      <c r="B1079" s="31" t="s">
        <v>153</v>
      </c>
      <c r="C1079" s="129"/>
      <c r="D1079" s="129"/>
      <c r="E1079" s="19" t="n">
        <f aca="false">F1079*0.03</f>
        <v>0</v>
      </c>
      <c r="F1079" s="33" t="n">
        <v>0</v>
      </c>
      <c r="G1079" s="131"/>
      <c r="H1079" s="35" t="n">
        <v>0</v>
      </c>
      <c r="I1079" s="34" t="n">
        <f aca="false">+IF(E1079=0,0,E1079*0.03)</f>
        <v>0</v>
      </c>
      <c r="J1079" s="93"/>
      <c r="K1079" s="93"/>
      <c r="L1079" s="93"/>
      <c r="M1079" s="93"/>
      <c r="N1079" s="93"/>
      <c r="O1079" s="93"/>
      <c r="P1079" s="93"/>
      <c r="Q1079" s="93"/>
      <c r="R1079" s="93"/>
      <c r="S1079" s="93"/>
      <c r="T1079" s="93"/>
      <c r="U1079" s="93"/>
      <c r="V1079" s="93"/>
      <c r="W1079" s="93"/>
      <c r="X1079" s="93"/>
      <c r="Y1079" s="93"/>
      <c r="Z1079" s="93"/>
    </row>
    <row r="1080" customFormat="false" ht="16.4" hidden="false" customHeight="false" outlineLevel="0" collapsed="false">
      <c r="A1080" s="123" t="n">
        <v>45444</v>
      </c>
      <c r="B1080" s="31" t="s">
        <v>153</v>
      </c>
      <c r="C1080" s="129"/>
      <c r="D1080" s="129"/>
      <c r="E1080" s="19" t="n">
        <f aca="false">F1080*0.03</f>
        <v>0</v>
      </c>
      <c r="F1080" s="33" t="n">
        <v>0</v>
      </c>
      <c r="G1080" s="131"/>
      <c r="H1080" s="35" t="n">
        <v>0</v>
      </c>
      <c r="I1080" s="34" t="n">
        <f aca="false">+IF(E1080=0,0,E1080*0.03)</f>
        <v>0</v>
      </c>
      <c r="J1080" s="93"/>
      <c r="K1080" s="93"/>
      <c r="L1080" s="93"/>
      <c r="M1080" s="93"/>
      <c r="N1080" s="93"/>
      <c r="O1080" s="93"/>
      <c r="P1080" s="93"/>
      <c r="Q1080" s="93"/>
      <c r="R1080" s="93"/>
      <c r="S1080" s="93"/>
      <c r="T1080" s="93"/>
      <c r="U1080" s="93"/>
      <c r="V1080" s="93"/>
      <c r="W1080" s="93"/>
      <c r="X1080" s="93"/>
      <c r="Y1080" s="93"/>
      <c r="Z1080" s="93"/>
    </row>
    <row r="1081" customFormat="false" ht="16.4" hidden="false" customHeight="false" outlineLevel="0" collapsed="false">
      <c r="A1081" s="123" t="n">
        <v>45444</v>
      </c>
      <c r="B1081" s="31" t="s">
        <v>153</v>
      </c>
      <c r="C1081" s="129"/>
      <c r="D1081" s="129"/>
      <c r="E1081" s="19" t="n">
        <f aca="false">F1081*0.03</f>
        <v>0</v>
      </c>
      <c r="F1081" s="33" t="n">
        <v>0</v>
      </c>
      <c r="G1081" s="131"/>
      <c r="H1081" s="35" t="n">
        <v>0</v>
      </c>
      <c r="I1081" s="34" t="n">
        <f aca="false">+IF(E1081=0,0,E1081*0.03)</f>
        <v>0</v>
      </c>
      <c r="J1081" s="93"/>
      <c r="K1081" s="93"/>
      <c r="L1081" s="93"/>
      <c r="M1081" s="93"/>
      <c r="N1081" s="93"/>
      <c r="O1081" s="93"/>
      <c r="P1081" s="93"/>
      <c r="Q1081" s="93"/>
      <c r="R1081" s="93"/>
      <c r="S1081" s="93"/>
      <c r="T1081" s="93"/>
      <c r="U1081" s="93"/>
      <c r="V1081" s="93"/>
      <c r="W1081" s="93"/>
      <c r="X1081" s="93"/>
      <c r="Y1081" s="93"/>
      <c r="Z1081" s="93"/>
    </row>
    <row r="1082" customFormat="false" ht="16.4" hidden="false" customHeight="false" outlineLevel="0" collapsed="false">
      <c r="A1082" s="123" t="n">
        <v>45444</v>
      </c>
      <c r="B1082" s="31" t="s">
        <v>153</v>
      </c>
      <c r="C1082" s="129"/>
      <c r="D1082" s="129"/>
      <c r="E1082" s="19" t="n">
        <f aca="false">F1082*0.03</f>
        <v>0</v>
      </c>
      <c r="F1082" s="33" t="n">
        <v>0</v>
      </c>
      <c r="G1082" s="131"/>
      <c r="H1082" s="35" t="n">
        <v>0</v>
      </c>
      <c r="I1082" s="34" t="n">
        <f aca="false">+IF(E1082=0,0,E1082*0.03)</f>
        <v>0</v>
      </c>
      <c r="J1082" s="93"/>
      <c r="K1082" s="93"/>
      <c r="L1082" s="93"/>
      <c r="M1082" s="93"/>
      <c r="N1082" s="93"/>
      <c r="O1082" s="93"/>
      <c r="P1082" s="93"/>
      <c r="Q1082" s="93"/>
      <c r="R1082" s="93"/>
      <c r="S1082" s="93"/>
      <c r="T1082" s="93"/>
      <c r="U1082" s="93"/>
      <c r="V1082" s="93"/>
      <c r="W1082" s="93"/>
      <c r="X1082" s="93"/>
      <c r="Y1082" s="93"/>
      <c r="Z1082" s="93"/>
    </row>
    <row r="1083" customFormat="false" ht="16.4" hidden="false" customHeight="false" outlineLevel="0" collapsed="false">
      <c r="A1083" s="123" t="n">
        <v>45444</v>
      </c>
      <c r="B1083" s="31" t="s">
        <v>153</v>
      </c>
      <c r="C1083" s="129"/>
      <c r="D1083" s="129"/>
      <c r="E1083" s="19" t="n">
        <f aca="false">F1083*0.03</f>
        <v>0</v>
      </c>
      <c r="F1083" s="33" t="n">
        <v>0</v>
      </c>
      <c r="G1083" s="131"/>
      <c r="H1083" s="35" t="n">
        <v>0</v>
      </c>
      <c r="I1083" s="34" t="n">
        <f aca="false">+IF(E1083=0,0,E1083*0.03)</f>
        <v>0</v>
      </c>
      <c r="J1083" s="93"/>
      <c r="K1083" s="93"/>
      <c r="L1083" s="93"/>
      <c r="M1083" s="93"/>
      <c r="N1083" s="93"/>
      <c r="O1083" s="93"/>
      <c r="P1083" s="93"/>
      <c r="Q1083" s="93"/>
      <c r="R1083" s="93"/>
      <c r="S1083" s="93"/>
      <c r="T1083" s="93"/>
      <c r="U1083" s="93"/>
      <c r="V1083" s="93"/>
      <c r="W1083" s="93"/>
      <c r="X1083" s="93"/>
      <c r="Y1083" s="93"/>
      <c r="Z1083" s="93"/>
    </row>
    <row r="1084" customFormat="false" ht="16.4" hidden="false" customHeight="false" outlineLevel="0" collapsed="false">
      <c r="A1084" s="123" t="n">
        <v>45444</v>
      </c>
      <c r="B1084" s="31" t="s">
        <v>153</v>
      </c>
      <c r="C1084" s="129"/>
      <c r="D1084" s="129"/>
      <c r="E1084" s="19" t="n">
        <f aca="false">F1084*0.03</f>
        <v>0</v>
      </c>
      <c r="F1084" s="33" t="n">
        <v>0</v>
      </c>
      <c r="G1084" s="131"/>
      <c r="H1084" s="35" t="n">
        <v>0</v>
      </c>
      <c r="I1084" s="34" t="n">
        <f aca="false">+IF(E1084=0,0,E1084*0.03)</f>
        <v>0</v>
      </c>
      <c r="J1084" s="93"/>
      <c r="K1084" s="93"/>
      <c r="L1084" s="93"/>
      <c r="M1084" s="93"/>
      <c r="N1084" s="93"/>
      <c r="O1084" s="93"/>
      <c r="P1084" s="93"/>
      <c r="Q1084" s="93"/>
      <c r="R1084" s="93"/>
      <c r="S1084" s="93"/>
      <c r="T1084" s="93"/>
      <c r="U1084" s="93"/>
      <c r="V1084" s="93"/>
      <c r="W1084" s="93"/>
      <c r="X1084" s="93"/>
      <c r="Y1084" s="93"/>
      <c r="Z1084" s="93"/>
    </row>
    <row r="1085" customFormat="false" ht="16.4" hidden="false" customHeight="false" outlineLevel="0" collapsed="false">
      <c r="A1085" s="123" t="n">
        <v>45444</v>
      </c>
      <c r="B1085" s="31" t="s">
        <v>153</v>
      </c>
      <c r="C1085" s="129"/>
      <c r="D1085" s="129"/>
      <c r="E1085" s="19" t="n">
        <f aca="false">F1085*0.03</f>
        <v>0</v>
      </c>
      <c r="F1085" s="33" t="n">
        <v>0</v>
      </c>
      <c r="G1085" s="131"/>
      <c r="H1085" s="35" t="n">
        <v>0</v>
      </c>
      <c r="I1085" s="34" t="n">
        <f aca="false">+IF(E1085=0,0,E1085*0.03)</f>
        <v>0</v>
      </c>
      <c r="J1085" s="93"/>
      <c r="K1085" s="93"/>
      <c r="L1085" s="93"/>
      <c r="M1085" s="93"/>
      <c r="N1085" s="93"/>
      <c r="O1085" s="93"/>
      <c r="P1085" s="93"/>
      <c r="Q1085" s="93"/>
      <c r="R1085" s="93"/>
      <c r="S1085" s="93"/>
      <c r="T1085" s="93"/>
      <c r="U1085" s="93"/>
      <c r="V1085" s="93"/>
      <c r="W1085" s="93"/>
      <c r="X1085" s="93"/>
      <c r="Y1085" s="93"/>
      <c r="Z1085" s="93"/>
    </row>
    <row r="1086" customFormat="false" ht="16.4" hidden="false" customHeight="false" outlineLevel="0" collapsed="false">
      <c r="A1086" s="123" t="n">
        <v>45444</v>
      </c>
      <c r="B1086" s="31" t="s">
        <v>153</v>
      </c>
      <c r="C1086" s="129"/>
      <c r="D1086" s="129"/>
      <c r="E1086" s="19" t="n">
        <f aca="false">F1086*0.03</f>
        <v>0</v>
      </c>
      <c r="F1086" s="33" t="n">
        <v>0</v>
      </c>
      <c r="G1086" s="131"/>
      <c r="H1086" s="35" t="n">
        <v>0</v>
      </c>
      <c r="I1086" s="34" t="n">
        <f aca="false">+IF(E1086=0,0,E1086*0.03)</f>
        <v>0</v>
      </c>
      <c r="J1086" s="93"/>
      <c r="K1086" s="93"/>
      <c r="L1086" s="93"/>
      <c r="M1086" s="93"/>
      <c r="N1086" s="93"/>
      <c r="O1086" s="93"/>
      <c r="P1086" s="93"/>
      <c r="Q1086" s="93"/>
      <c r="R1086" s="93"/>
      <c r="S1086" s="93"/>
      <c r="T1086" s="93"/>
      <c r="U1086" s="93"/>
      <c r="V1086" s="93"/>
      <c r="W1086" s="93"/>
      <c r="X1086" s="93"/>
      <c r="Y1086" s="93"/>
      <c r="Z1086" s="93"/>
    </row>
    <row r="1087" customFormat="false" ht="16.4" hidden="false" customHeight="false" outlineLevel="0" collapsed="false">
      <c r="A1087" s="123" t="n">
        <v>45444</v>
      </c>
      <c r="B1087" s="31" t="s">
        <v>153</v>
      </c>
      <c r="C1087" s="129"/>
      <c r="D1087" s="129"/>
      <c r="E1087" s="19" t="n">
        <f aca="false">F1087*0.03</f>
        <v>0</v>
      </c>
      <c r="F1087" s="33" t="n">
        <v>0</v>
      </c>
      <c r="G1087" s="131"/>
      <c r="H1087" s="35" t="n">
        <v>0</v>
      </c>
      <c r="I1087" s="34" t="n">
        <f aca="false">+IF(E1087=0,0,E1087*0.03)</f>
        <v>0</v>
      </c>
      <c r="J1087" s="93"/>
      <c r="K1087" s="93"/>
      <c r="L1087" s="93"/>
      <c r="M1087" s="93"/>
      <c r="N1087" s="93"/>
      <c r="O1087" s="93"/>
      <c r="P1087" s="93"/>
      <c r="Q1087" s="93"/>
      <c r="R1087" s="93"/>
      <c r="S1087" s="93"/>
      <c r="T1087" s="93"/>
      <c r="U1087" s="93"/>
      <c r="V1087" s="93"/>
      <c r="W1087" s="93"/>
      <c r="X1087" s="93"/>
      <c r="Y1087" s="93"/>
      <c r="Z1087" s="93"/>
    </row>
    <row r="1088" customFormat="false" ht="16.4" hidden="false" customHeight="false" outlineLevel="0" collapsed="false">
      <c r="A1088" s="123" t="n">
        <v>45444</v>
      </c>
      <c r="B1088" s="31" t="s">
        <v>153</v>
      </c>
      <c r="C1088" s="129"/>
      <c r="D1088" s="129"/>
      <c r="E1088" s="19" t="n">
        <f aca="false">F1088*0.03</f>
        <v>0</v>
      </c>
      <c r="F1088" s="33" t="n">
        <v>0</v>
      </c>
      <c r="G1088" s="131"/>
      <c r="H1088" s="35" t="n">
        <v>0</v>
      </c>
      <c r="I1088" s="34" t="n">
        <f aca="false">+IF(E1088=0,0,E1088*0.03)</f>
        <v>0</v>
      </c>
      <c r="J1088" s="93"/>
      <c r="K1088" s="93"/>
      <c r="L1088" s="93"/>
      <c r="M1088" s="93"/>
      <c r="N1088" s="93"/>
      <c r="O1088" s="93"/>
      <c r="P1088" s="93"/>
      <c r="Q1088" s="93"/>
      <c r="R1088" s="93"/>
      <c r="S1088" s="93"/>
      <c r="T1088" s="93"/>
      <c r="U1088" s="93"/>
      <c r="V1088" s="93"/>
      <c r="W1088" s="93"/>
      <c r="X1088" s="93"/>
      <c r="Y1088" s="93"/>
      <c r="Z1088" s="93"/>
    </row>
    <row r="1089" customFormat="false" ht="16.4" hidden="false" customHeight="false" outlineLevel="0" collapsed="false">
      <c r="A1089" s="123" t="n">
        <v>45444</v>
      </c>
      <c r="B1089" s="31" t="s">
        <v>153</v>
      </c>
      <c r="C1089" s="129"/>
      <c r="D1089" s="129"/>
      <c r="E1089" s="19" t="n">
        <f aca="false">F1089*0.03</f>
        <v>0</v>
      </c>
      <c r="F1089" s="33" t="n">
        <v>0</v>
      </c>
      <c r="G1089" s="131"/>
      <c r="H1089" s="35" t="n">
        <v>0</v>
      </c>
      <c r="I1089" s="34" t="n">
        <f aca="false">+IF(E1089=0,0,E1089*0.03)</f>
        <v>0</v>
      </c>
      <c r="J1089" s="93"/>
      <c r="K1089" s="93"/>
      <c r="L1089" s="93"/>
      <c r="M1089" s="93"/>
      <c r="N1089" s="93"/>
      <c r="O1089" s="93"/>
      <c r="P1089" s="93"/>
      <c r="Q1089" s="93"/>
      <c r="R1089" s="93"/>
      <c r="S1089" s="93"/>
      <c r="T1089" s="93"/>
      <c r="U1089" s="93"/>
      <c r="V1089" s="93"/>
      <c r="W1089" s="93"/>
      <c r="X1089" s="93"/>
      <c r="Y1089" s="93"/>
      <c r="Z1089" s="93"/>
    </row>
    <row r="1090" customFormat="false" ht="16.4" hidden="false" customHeight="false" outlineLevel="0" collapsed="false">
      <c r="A1090" s="123" t="n">
        <v>45444</v>
      </c>
      <c r="B1090" s="31" t="s">
        <v>153</v>
      </c>
      <c r="C1090" s="129"/>
      <c r="D1090" s="129"/>
      <c r="E1090" s="19" t="n">
        <f aca="false">F1090*0.03</f>
        <v>0</v>
      </c>
      <c r="F1090" s="33" t="n">
        <v>0</v>
      </c>
      <c r="G1090" s="131"/>
      <c r="H1090" s="35" t="n">
        <v>0</v>
      </c>
      <c r="I1090" s="34" t="n">
        <f aca="false">+IF(E1090=0,0,E1090*0.03)</f>
        <v>0</v>
      </c>
      <c r="J1090" s="93"/>
      <c r="K1090" s="93"/>
      <c r="L1090" s="93"/>
      <c r="M1090" s="93"/>
      <c r="N1090" s="93"/>
      <c r="O1090" s="93"/>
      <c r="P1090" s="93"/>
      <c r="Q1090" s="93"/>
      <c r="R1090" s="93"/>
      <c r="S1090" s="93"/>
      <c r="T1090" s="93"/>
      <c r="U1090" s="93"/>
      <c r="V1090" s="93"/>
      <c r="W1090" s="93"/>
      <c r="X1090" s="93"/>
      <c r="Y1090" s="93"/>
      <c r="Z1090" s="93"/>
    </row>
    <row r="1091" customFormat="false" ht="16.4" hidden="false" customHeight="false" outlineLevel="0" collapsed="false">
      <c r="A1091" s="123" t="n">
        <v>45444</v>
      </c>
      <c r="B1091" s="31" t="s">
        <v>153</v>
      </c>
      <c r="C1091" s="129"/>
      <c r="D1091" s="129"/>
      <c r="E1091" s="19" t="n">
        <f aca="false">F1091*0.03</f>
        <v>0</v>
      </c>
      <c r="F1091" s="33" t="n">
        <v>0</v>
      </c>
      <c r="G1091" s="131"/>
      <c r="H1091" s="35" t="n">
        <v>0</v>
      </c>
      <c r="I1091" s="34" t="n">
        <f aca="false">+IF(E1091=0,0,E1091*0.03)</f>
        <v>0</v>
      </c>
      <c r="J1091" s="93"/>
      <c r="K1091" s="93"/>
      <c r="L1091" s="93"/>
      <c r="M1091" s="93"/>
      <c r="N1091" s="93"/>
      <c r="O1091" s="93"/>
      <c r="P1091" s="93"/>
      <c r="Q1091" s="93"/>
      <c r="R1091" s="93"/>
      <c r="S1091" s="93"/>
      <c r="T1091" s="93"/>
      <c r="U1091" s="93"/>
      <c r="V1091" s="93"/>
      <c r="W1091" s="93"/>
      <c r="X1091" s="93"/>
      <c r="Y1091" s="93"/>
      <c r="Z1091" s="93"/>
    </row>
    <row r="1092" customFormat="false" ht="16.4" hidden="false" customHeight="false" outlineLevel="0" collapsed="false">
      <c r="A1092" s="123" t="n">
        <v>45444</v>
      </c>
      <c r="B1092" s="31" t="s">
        <v>153</v>
      </c>
      <c r="C1092" s="129"/>
      <c r="D1092" s="129"/>
      <c r="E1092" s="19" t="n">
        <f aca="false">F1092*0.03</f>
        <v>0</v>
      </c>
      <c r="F1092" s="33" t="n">
        <v>0</v>
      </c>
      <c r="G1092" s="131"/>
      <c r="H1092" s="35" t="n">
        <v>0</v>
      </c>
      <c r="I1092" s="34" t="n">
        <f aca="false">+IF(E1092=0,0,E1092*0.03)</f>
        <v>0</v>
      </c>
      <c r="J1092" s="93"/>
      <c r="K1092" s="93"/>
      <c r="L1092" s="93"/>
      <c r="M1092" s="93"/>
      <c r="N1092" s="93"/>
      <c r="O1092" s="93"/>
      <c r="P1092" s="93"/>
      <c r="Q1092" s="93"/>
      <c r="R1092" s="93"/>
      <c r="S1092" s="93"/>
      <c r="T1092" s="93"/>
      <c r="U1092" s="93"/>
      <c r="V1092" s="93"/>
      <c r="W1092" s="93"/>
      <c r="X1092" s="93"/>
      <c r="Y1092" s="93"/>
      <c r="Z1092" s="93"/>
    </row>
    <row r="1093" customFormat="false" ht="16.4" hidden="false" customHeight="false" outlineLevel="0" collapsed="false">
      <c r="A1093" s="123" t="n">
        <v>45444</v>
      </c>
      <c r="B1093" s="31" t="s">
        <v>153</v>
      </c>
      <c r="C1093" s="129"/>
      <c r="D1093" s="129"/>
      <c r="E1093" s="19" t="n">
        <f aca="false">F1093*0.03</f>
        <v>0</v>
      </c>
      <c r="F1093" s="33" t="n">
        <v>0</v>
      </c>
      <c r="G1093" s="131"/>
      <c r="H1093" s="35" t="n">
        <v>0</v>
      </c>
      <c r="I1093" s="34" t="n">
        <f aca="false">+IF(E1093=0,0,E1093*0.03)</f>
        <v>0</v>
      </c>
      <c r="J1093" s="93"/>
      <c r="K1093" s="93"/>
      <c r="L1093" s="93"/>
      <c r="M1093" s="93"/>
      <c r="N1093" s="93"/>
      <c r="O1093" s="93"/>
      <c r="P1093" s="93"/>
      <c r="Q1093" s="93"/>
      <c r="R1093" s="93"/>
      <c r="S1093" s="93"/>
      <c r="T1093" s="93"/>
      <c r="U1093" s="93"/>
      <c r="V1093" s="93"/>
      <c r="W1093" s="93"/>
      <c r="X1093" s="93"/>
      <c r="Y1093" s="93"/>
      <c r="Z1093" s="93"/>
    </row>
    <row r="1094" customFormat="false" ht="16.4" hidden="false" customHeight="false" outlineLevel="0" collapsed="false">
      <c r="A1094" s="123" t="n">
        <v>45444</v>
      </c>
      <c r="B1094" s="31" t="s">
        <v>153</v>
      </c>
      <c r="C1094" s="129"/>
      <c r="D1094" s="129"/>
      <c r="E1094" s="19" t="n">
        <f aca="false">F1094*0.03</f>
        <v>0</v>
      </c>
      <c r="F1094" s="33" t="n">
        <v>0</v>
      </c>
      <c r="G1094" s="131"/>
      <c r="H1094" s="35" t="n">
        <v>0</v>
      </c>
      <c r="I1094" s="34" t="n">
        <f aca="false">+IF(E1094=0,0,E1094*0.03)</f>
        <v>0</v>
      </c>
      <c r="J1094" s="93"/>
      <c r="K1094" s="93"/>
      <c r="L1094" s="93"/>
      <c r="M1094" s="93"/>
      <c r="N1094" s="93"/>
      <c r="O1094" s="93"/>
      <c r="P1094" s="93"/>
      <c r="Q1094" s="93"/>
      <c r="R1094" s="93"/>
      <c r="S1094" s="93"/>
      <c r="T1094" s="93"/>
      <c r="U1094" s="93"/>
      <c r="V1094" s="93"/>
      <c r="W1094" s="93"/>
      <c r="X1094" s="93"/>
      <c r="Y1094" s="93"/>
      <c r="Z1094" s="93"/>
    </row>
    <row r="1095" customFormat="false" ht="16.4" hidden="false" customHeight="false" outlineLevel="0" collapsed="false">
      <c r="A1095" s="123" t="n">
        <v>45444</v>
      </c>
      <c r="B1095" s="31" t="s">
        <v>153</v>
      </c>
      <c r="C1095" s="129"/>
      <c r="D1095" s="129"/>
      <c r="E1095" s="19" t="n">
        <f aca="false">F1095*0.03</f>
        <v>0</v>
      </c>
      <c r="F1095" s="33" t="n">
        <v>0</v>
      </c>
      <c r="G1095" s="131"/>
      <c r="H1095" s="35" t="n">
        <v>0</v>
      </c>
      <c r="I1095" s="34" t="n">
        <f aca="false">+IF(E1095=0,0,E1095*0.03)</f>
        <v>0</v>
      </c>
      <c r="J1095" s="93"/>
      <c r="K1095" s="93"/>
      <c r="L1095" s="93"/>
      <c r="M1095" s="93"/>
      <c r="N1095" s="93"/>
      <c r="O1095" s="93"/>
      <c r="P1095" s="93"/>
      <c r="Q1095" s="93"/>
      <c r="R1095" s="93"/>
      <c r="S1095" s="93"/>
      <c r="T1095" s="93"/>
      <c r="U1095" s="93"/>
      <c r="V1095" s="93"/>
      <c r="W1095" s="93"/>
      <c r="X1095" s="93"/>
      <c r="Y1095" s="93"/>
      <c r="Z1095" s="93"/>
    </row>
    <row r="1096" customFormat="false" ht="16.4" hidden="false" customHeight="false" outlineLevel="0" collapsed="false">
      <c r="A1096" s="123" t="n">
        <v>45444</v>
      </c>
      <c r="B1096" s="31" t="s">
        <v>153</v>
      </c>
      <c r="C1096" s="129"/>
      <c r="D1096" s="129"/>
      <c r="E1096" s="19" t="n">
        <f aca="false">F1096*0.03</f>
        <v>0</v>
      </c>
      <c r="F1096" s="33" t="n">
        <v>0</v>
      </c>
      <c r="G1096" s="131"/>
      <c r="H1096" s="35" t="n">
        <v>0</v>
      </c>
      <c r="I1096" s="34" t="n">
        <f aca="false">+IF(E1096=0,0,E1096*0.03)</f>
        <v>0</v>
      </c>
      <c r="J1096" s="93"/>
      <c r="K1096" s="93"/>
      <c r="L1096" s="93"/>
      <c r="M1096" s="93"/>
      <c r="N1096" s="93"/>
      <c r="O1096" s="93"/>
      <c r="P1096" s="93"/>
      <c r="Q1096" s="93"/>
      <c r="R1096" s="93"/>
      <c r="S1096" s="93"/>
      <c r="T1096" s="93"/>
      <c r="U1096" s="93"/>
      <c r="V1096" s="93"/>
      <c r="W1096" s="93"/>
      <c r="X1096" s="93"/>
      <c r="Y1096" s="93"/>
      <c r="Z1096" s="93"/>
    </row>
    <row r="1097" customFormat="false" ht="16.4" hidden="false" customHeight="false" outlineLevel="0" collapsed="false">
      <c r="A1097" s="123" t="n">
        <v>45444</v>
      </c>
      <c r="B1097" s="31" t="s">
        <v>153</v>
      </c>
      <c r="C1097" s="129"/>
      <c r="D1097" s="129"/>
      <c r="E1097" s="19" t="n">
        <f aca="false">F1097*0.03</f>
        <v>0</v>
      </c>
      <c r="F1097" s="33" t="n">
        <v>0</v>
      </c>
      <c r="G1097" s="131"/>
      <c r="H1097" s="35" t="n">
        <v>0</v>
      </c>
      <c r="I1097" s="34" t="n">
        <f aca="false">+IF(E1097=0,0,E1097*0.03)</f>
        <v>0</v>
      </c>
      <c r="J1097" s="93"/>
      <c r="K1097" s="93"/>
      <c r="L1097" s="93"/>
      <c r="M1097" s="93"/>
      <c r="N1097" s="93"/>
      <c r="O1097" s="93"/>
      <c r="P1097" s="93"/>
      <c r="Q1097" s="93"/>
      <c r="R1097" s="93"/>
      <c r="S1097" s="93"/>
      <c r="T1097" s="93"/>
      <c r="U1097" s="93"/>
      <c r="V1097" s="93"/>
      <c r="W1097" s="93"/>
      <c r="X1097" s="93"/>
      <c r="Y1097" s="93"/>
      <c r="Z1097" s="93"/>
    </row>
    <row r="1098" customFormat="false" ht="16.4" hidden="false" customHeight="false" outlineLevel="0" collapsed="false">
      <c r="A1098" s="123" t="n">
        <v>45444</v>
      </c>
      <c r="B1098" s="31" t="s">
        <v>153</v>
      </c>
      <c r="C1098" s="129"/>
      <c r="D1098" s="129"/>
      <c r="E1098" s="19" t="n">
        <f aca="false">F1098*0.03</f>
        <v>0</v>
      </c>
      <c r="F1098" s="33" t="n">
        <v>0</v>
      </c>
      <c r="G1098" s="131"/>
      <c r="H1098" s="35" t="n">
        <v>0</v>
      </c>
      <c r="I1098" s="34" t="n">
        <f aca="false">+IF(E1098=0,0,E1098*0.03)</f>
        <v>0</v>
      </c>
      <c r="J1098" s="93"/>
      <c r="K1098" s="93"/>
      <c r="L1098" s="93"/>
      <c r="M1098" s="93"/>
      <c r="N1098" s="93"/>
      <c r="O1098" s="93"/>
      <c r="P1098" s="93"/>
      <c r="Q1098" s="93"/>
      <c r="R1098" s="93"/>
      <c r="S1098" s="93"/>
      <c r="T1098" s="93"/>
      <c r="U1098" s="93"/>
      <c r="V1098" s="93"/>
      <c r="W1098" s="93"/>
      <c r="X1098" s="93"/>
      <c r="Y1098" s="93"/>
      <c r="Z1098" s="93"/>
    </row>
    <row r="1099" customFormat="false" ht="16.4" hidden="false" customHeight="false" outlineLevel="0" collapsed="false">
      <c r="A1099" s="123" t="n">
        <v>45444</v>
      </c>
      <c r="B1099" s="31" t="s">
        <v>153</v>
      </c>
      <c r="C1099" s="129"/>
      <c r="D1099" s="129"/>
      <c r="E1099" s="19" t="n">
        <f aca="false">F1099*0.03</f>
        <v>0</v>
      </c>
      <c r="F1099" s="33" t="n">
        <v>0</v>
      </c>
      <c r="G1099" s="131"/>
      <c r="H1099" s="35" t="n">
        <v>0</v>
      </c>
      <c r="I1099" s="34" t="n">
        <f aca="false">+IF(E1099=0,0,E1099*0.03)</f>
        <v>0</v>
      </c>
      <c r="J1099" s="93"/>
      <c r="K1099" s="93"/>
      <c r="L1099" s="93"/>
      <c r="M1099" s="93"/>
      <c r="N1099" s="93"/>
      <c r="O1099" s="93"/>
      <c r="P1099" s="93"/>
      <c r="Q1099" s="93"/>
      <c r="R1099" s="93"/>
      <c r="S1099" s="93"/>
      <c r="T1099" s="93"/>
      <c r="U1099" s="93"/>
      <c r="V1099" s="93"/>
      <c r="W1099" s="93"/>
      <c r="X1099" s="93"/>
      <c r="Y1099" s="93"/>
      <c r="Z1099" s="93"/>
    </row>
    <row r="1100" customFormat="false" ht="16.4" hidden="false" customHeight="false" outlineLevel="0" collapsed="false">
      <c r="A1100" s="123" t="n">
        <v>45444</v>
      </c>
      <c r="B1100" s="31" t="s">
        <v>153</v>
      </c>
      <c r="C1100" s="129"/>
      <c r="D1100" s="129"/>
      <c r="E1100" s="19" t="n">
        <f aca="false">F1100*0.03</f>
        <v>0</v>
      </c>
      <c r="F1100" s="33" t="n">
        <v>0</v>
      </c>
      <c r="G1100" s="131"/>
      <c r="H1100" s="35" t="n">
        <v>0</v>
      </c>
      <c r="I1100" s="34" t="n">
        <f aca="false">+IF(E1100=0,0,E1100*0.03)</f>
        <v>0</v>
      </c>
      <c r="J1100" s="93"/>
      <c r="K1100" s="93"/>
      <c r="L1100" s="93"/>
      <c r="M1100" s="93"/>
      <c r="N1100" s="93"/>
      <c r="O1100" s="93"/>
      <c r="P1100" s="93"/>
      <c r="Q1100" s="93"/>
      <c r="R1100" s="93"/>
      <c r="S1100" s="93"/>
      <c r="T1100" s="93"/>
      <c r="U1100" s="93"/>
      <c r="V1100" s="93"/>
      <c r="W1100" s="93"/>
      <c r="X1100" s="93"/>
      <c r="Y1100" s="93"/>
      <c r="Z1100" s="93"/>
    </row>
    <row r="1101" customFormat="false" ht="16.4" hidden="false" customHeight="false" outlineLevel="0" collapsed="false">
      <c r="A1101" s="123" t="n">
        <v>45444</v>
      </c>
      <c r="B1101" s="31" t="s">
        <v>153</v>
      </c>
      <c r="C1101" s="129"/>
      <c r="D1101" s="129"/>
      <c r="E1101" s="19" t="n">
        <f aca="false">F1101*0.03</f>
        <v>0</v>
      </c>
      <c r="F1101" s="33" t="n">
        <v>0</v>
      </c>
      <c r="G1101" s="131"/>
      <c r="H1101" s="35" t="n">
        <v>0</v>
      </c>
      <c r="I1101" s="34" t="n">
        <f aca="false">+IF(E1101=0,0,E1101*0.03)</f>
        <v>0</v>
      </c>
      <c r="J1101" s="93"/>
      <c r="K1101" s="93"/>
      <c r="L1101" s="93"/>
      <c r="M1101" s="93"/>
      <c r="N1101" s="93"/>
      <c r="O1101" s="93"/>
      <c r="P1101" s="93"/>
      <c r="Q1101" s="93"/>
      <c r="R1101" s="93"/>
      <c r="S1101" s="93"/>
      <c r="T1101" s="93"/>
      <c r="U1101" s="93"/>
      <c r="V1101" s="93"/>
      <c r="W1101" s="93"/>
      <c r="X1101" s="93"/>
      <c r="Y1101" s="93"/>
      <c r="Z1101" s="93"/>
    </row>
    <row r="1102" customFormat="false" ht="16.4" hidden="false" customHeight="false" outlineLevel="0" collapsed="false">
      <c r="A1102" s="123" t="n">
        <v>45444</v>
      </c>
      <c r="B1102" s="31" t="s">
        <v>153</v>
      </c>
      <c r="C1102" s="129"/>
      <c r="D1102" s="129"/>
      <c r="E1102" s="19" t="n">
        <f aca="false">F1102*0.03</f>
        <v>0</v>
      </c>
      <c r="F1102" s="33" t="n">
        <v>0</v>
      </c>
      <c r="G1102" s="131"/>
      <c r="H1102" s="35" t="n">
        <v>0</v>
      </c>
      <c r="I1102" s="34" t="n">
        <f aca="false">+IF(E1102=0,0,E1102*0.03)</f>
        <v>0</v>
      </c>
      <c r="J1102" s="93"/>
      <c r="K1102" s="93"/>
      <c r="L1102" s="93"/>
      <c r="M1102" s="93"/>
      <c r="N1102" s="93"/>
      <c r="O1102" s="93"/>
      <c r="P1102" s="93"/>
      <c r="Q1102" s="93"/>
      <c r="R1102" s="93"/>
      <c r="S1102" s="93"/>
      <c r="T1102" s="93"/>
      <c r="U1102" s="93"/>
      <c r="V1102" s="93"/>
      <c r="W1102" s="93"/>
      <c r="X1102" s="93"/>
      <c r="Y1102" s="93"/>
      <c r="Z1102" s="93"/>
    </row>
    <row r="1103" customFormat="false" ht="16.4" hidden="false" customHeight="false" outlineLevel="0" collapsed="false">
      <c r="A1103" s="123" t="n">
        <v>45444</v>
      </c>
      <c r="B1103" s="31" t="s">
        <v>153</v>
      </c>
      <c r="C1103" s="129"/>
      <c r="D1103" s="129"/>
      <c r="E1103" s="19" t="n">
        <f aca="false">F1103*0.03</f>
        <v>0</v>
      </c>
      <c r="F1103" s="33" t="n">
        <v>0</v>
      </c>
      <c r="G1103" s="131"/>
      <c r="H1103" s="35" t="n">
        <v>0</v>
      </c>
      <c r="I1103" s="34" t="n">
        <f aca="false">+IF(E1103=0,0,E1103*0.03)</f>
        <v>0</v>
      </c>
      <c r="J1103" s="93"/>
      <c r="K1103" s="93"/>
      <c r="L1103" s="93"/>
      <c r="M1103" s="93"/>
      <c r="N1103" s="93"/>
      <c r="O1103" s="93"/>
      <c r="P1103" s="93"/>
      <c r="Q1103" s="93"/>
      <c r="R1103" s="93"/>
      <c r="S1103" s="93"/>
      <c r="T1103" s="93"/>
      <c r="U1103" s="93"/>
      <c r="V1103" s="93"/>
      <c r="W1103" s="93"/>
      <c r="X1103" s="93"/>
      <c r="Y1103" s="93"/>
      <c r="Z1103" s="93"/>
    </row>
    <row r="1104" customFormat="false" ht="16.4" hidden="false" customHeight="false" outlineLevel="0" collapsed="false">
      <c r="A1104" s="123" t="n">
        <v>45444</v>
      </c>
      <c r="B1104" s="31" t="s">
        <v>153</v>
      </c>
      <c r="C1104" s="129"/>
      <c r="D1104" s="129"/>
      <c r="E1104" s="19" t="n">
        <f aca="false">F1104*0.03</f>
        <v>0</v>
      </c>
      <c r="F1104" s="33" t="n">
        <v>0</v>
      </c>
      <c r="G1104" s="131"/>
      <c r="H1104" s="35" t="n">
        <v>0</v>
      </c>
      <c r="I1104" s="34" t="n">
        <f aca="false">+IF(E1104=0,0,E1104*0.03)</f>
        <v>0</v>
      </c>
      <c r="J1104" s="93"/>
      <c r="K1104" s="93"/>
      <c r="L1104" s="93"/>
      <c r="M1104" s="93"/>
      <c r="N1104" s="93"/>
      <c r="O1104" s="93"/>
      <c r="P1104" s="93"/>
      <c r="Q1104" s="93"/>
      <c r="R1104" s="93"/>
      <c r="S1104" s="93"/>
      <c r="T1104" s="93"/>
      <c r="U1104" s="93"/>
      <c r="V1104" s="93"/>
      <c r="W1104" s="93"/>
      <c r="X1104" s="93"/>
      <c r="Y1104" s="93"/>
      <c r="Z1104" s="93"/>
    </row>
    <row r="1105" customFormat="false" ht="16.4" hidden="false" customHeight="false" outlineLevel="0" collapsed="false">
      <c r="A1105" s="123" t="n">
        <v>45444</v>
      </c>
      <c r="B1105" s="31" t="s">
        <v>153</v>
      </c>
      <c r="C1105" s="129"/>
      <c r="D1105" s="129"/>
      <c r="E1105" s="19" t="n">
        <f aca="false">F1105*0.03</f>
        <v>0</v>
      </c>
      <c r="F1105" s="33" t="n">
        <v>0</v>
      </c>
      <c r="G1105" s="131"/>
      <c r="H1105" s="35" t="n">
        <v>0</v>
      </c>
      <c r="I1105" s="34" t="n">
        <f aca="false">+IF(E1105=0,0,E1105*0.03)</f>
        <v>0</v>
      </c>
      <c r="J1105" s="93"/>
      <c r="K1105" s="93"/>
      <c r="L1105" s="93"/>
      <c r="M1105" s="93"/>
      <c r="N1105" s="93"/>
      <c r="O1105" s="93"/>
      <c r="P1105" s="93"/>
      <c r="Q1105" s="93"/>
      <c r="R1105" s="93"/>
      <c r="S1105" s="93"/>
      <c r="T1105" s="93"/>
      <c r="U1105" s="93"/>
      <c r="V1105" s="93"/>
      <c r="W1105" s="93"/>
      <c r="X1105" s="93"/>
      <c r="Y1105" s="93"/>
      <c r="Z1105" s="93"/>
    </row>
    <row r="1106" customFormat="false" ht="16.4" hidden="false" customHeight="false" outlineLevel="0" collapsed="false">
      <c r="A1106" s="123" t="n">
        <v>45444</v>
      </c>
      <c r="B1106" s="31" t="s">
        <v>153</v>
      </c>
      <c r="C1106" s="129"/>
      <c r="D1106" s="129"/>
      <c r="E1106" s="19" t="n">
        <f aca="false">F1106*0.03</f>
        <v>0</v>
      </c>
      <c r="F1106" s="33" t="n">
        <v>0</v>
      </c>
      <c r="G1106" s="131"/>
      <c r="H1106" s="35" t="n">
        <v>0</v>
      </c>
      <c r="I1106" s="34" t="n">
        <f aca="false">+IF(E1106=0,0,E1106*0.03)</f>
        <v>0</v>
      </c>
      <c r="J1106" s="93"/>
      <c r="K1106" s="93"/>
      <c r="L1106" s="93"/>
      <c r="M1106" s="93"/>
      <c r="N1106" s="93"/>
      <c r="O1106" s="93"/>
      <c r="P1106" s="93"/>
      <c r="Q1106" s="93"/>
      <c r="R1106" s="93"/>
      <c r="S1106" s="93"/>
      <c r="T1106" s="93"/>
      <c r="U1106" s="93"/>
      <c r="V1106" s="93"/>
      <c r="W1106" s="93"/>
      <c r="X1106" s="93"/>
      <c r="Y1106" s="93"/>
      <c r="Z1106" s="93"/>
    </row>
    <row r="1107" customFormat="false" ht="16.4" hidden="false" customHeight="false" outlineLevel="0" collapsed="false">
      <c r="A1107" s="123" t="n">
        <v>45444</v>
      </c>
      <c r="B1107" s="31" t="s">
        <v>153</v>
      </c>
      <c r="C1107" s="129"/>
      <c r="D1107" s="129"/>
      <c r="E1107" s="19" t="n">
        <f aca="false">F1107*0.03</f>
        <v>0</v>
      </c>
      <c r="F1107" s="33" t="n">
        <v>0</v>
      </c>
      <c r="G1107" s="131"/>
      <c r="H1107" s="35" t="n">
        <v>0</v>
      </c>
      <c r="I1107" s="34" t="n">
        <f aca="false">+IF(E1107=0,0,E1107*0.03)</f>
        <v>0</v>
      </c>
      <c r="J1107" s="93"/>
      <c r="K1107" s="93"/>
      <c r="L1107" s="93"/>
      <c r="M1107" s="93"/>
      <c r="N1107" s="93"/>
      <c r="O1107" s="93"/>
      <c r="P1107" s="93"/>
      <c r="Q1107" s="93"/>
      <c r="R1107" s="93"/>
      <c r="S1107" s="93"/>
      <c r="T1107" s="93"/>
      <c r="U1107" s="93"/>
      <c r="V1107" s="93"/>
      <c r="W1107" s="93"/>
      <c r="X1107" s="93"/>
      <c r="Y1107" s="93"/>
      <c r="Z1107" s="93"/>
    </row>
    <row r="1108" customFormat="false" ht="16.4" hidden="false" customHeight="false" outlineLevel="0" collapsed="false">
      <c r="A1108" s="123" t="n">
        <v>45444</v>
      </c>
      <c r="B1108" s="31" t="s">
        <v>153</v>
      </c>
      <c r="C1108" s="129"/>
      <c r="D1108" s="129"/>
      <c r="E1108" s="19" t="n">
        <f aca="false">F1108*0.03</f>
        <v>0</v>
      </c>
      <c r="F1108" s="33" t="n">
        <v>0</v>
      </c>
      <c r="G1108" s="131"/>
      <c r="H1108" s="35" t="n">
        <v>0</v>
      </c>
      <c r="I1108" s="34" t="n">
        <f aca="false">+IF(E1108=0,0,E1108*0.03)</f>
        <v>0</v>
      </c>
      <c r="J1108" s="93"/>
      <c r="K1108" s="93"/>
      <c r="L1108" s="93"/>
      <c r="M1108" s="93"/>
      <c r="N1108" s="93"/>
      <c r="O1108" s="93"/>
      <c r="P1108" s="93"/>
      <c r="Q1108" s="93"/>
      <c r="R1108" s="93"/>
      <c r="S1108" s="93"/>
      <c r="T1108" s="93"/>
      <c r="U1108" s="93"/>
      <c r="V1108" s="93"/>
      <c r="W1108" s="93"/>
      <c r="X1108" s="93"/>
      <c r="Y1108" s="93"/>
      <c r="Z1108" s="93"/>
    </row>
    <row r="1109" customFormat="false" ht="16.4" hidden="false" customHeight="false" outlineLevel="0" collapsed="false">
      <c r="A1109" s="123" t="n">
        <v>45444</v>
      </c>
      <c r="B1109" s="31" t="s">
        <v>153</v>
      </c>
      <c r="C1109" s="129"/>
      <c r="D1109" s="129"/>
      <c r="E1109" s="19" t="n">
        <f aca="false">F1109*0.03</f>
        <v>0</v>
      </c>
      <c r="F1109" s="33" t="n">
        <v>0</v>
      </c>
      <c r="G1109" s="131"/>
      <c r="H1109" s="35" t="n">
        <v>0</v>
      </c>
      <c r="I1109" s="34" t="n">
        <f aca="false">+IF(E1109=0,0,E1109*0.03)</f>
        <v>0</v>
      </c>
      <c r="J1109" s="93"/>
      <c r="K1109" s="93"/>
      <c r="L1109" s="93"/>
      <c r="M1109" s="93"/>
      <c r="N1109" s="93"/>
      <c r="O1109" s="93"/>
      <c r="P1109" s="93"/>
      <c r="Q1109" s="93"/>
      <c r="R1109" s="93"/>
      <c r="S1109" s="93"/>
      <c r="T1109" s="93"/>
      <c r="U1109" s="93"/>
      <c r="V1109" s="93"/>
      <c r="W1109" s="93"/>
      <c r="X1109" s="93"/>
      <c r="Y1109" s="93"/>
      <c r="Z1109" s="93"/>
    </row>
    <row r="1110" customFormat="false" ht="16.4" hidden="false" customHeight="false" outlineLevel="0" collapsed="false">
      <c r="A1110" s="123" t="n">
        <v>45444</v>
      </c>
      <c r="B1110" s="31" t="s">
        <v>153</v>
      </c>
      <c r="C1110" s="129"/>
      <c r="D1110" s="129"/>
      <c r="E1110" s="19" t="n">
        <f aca="false">F1110*0.03</f>
        <v>0</v>
      </c>
      <c r="F1110" s="33" t="n">
        <v>0</v>
      </c>
      <c r="G1110" s="131"/>
      <c r="H1110" s="35" t="n">
        <v>0</v>
      </c>
      <c r="I1110" s="34" t="n">
        <f aca="false">+IF(E1110=0,0,E1110*0.03)</f>
        <v>0</v>
      </c>
      <c r="J1110" s="93"/>
      <c r="K1110" s="93"/>
      <c r="L1110" s="93"/>
      <c r="M1110" s="93"/>
      <c r="N1110" s="93"/>
      <c r="O1110" s="93"/>
      <c r="P1110" s="93"/>
      <c r="Q1110" s="93"/>
      <c r="R1110" s="93"/>
      <c r="S1110" s="93"/>
      <c r="T1110" s="93"/>
      <c r="U1110" s="93"/>
      <c r="V1110" s="93"/>
      <c r="W1110" s="93"/>
      <c r="X1110" s="93"/>
      <c r="Y1110" s="93"/>
      <c r="Z1110" s="93"/>
    </row>
    <row r="1111" customFormat="false" ht="16.4" hidden="false" customHeight="false" outlineLevel="0" collapsed="false">
      <c r="A1111" s="123" t="n">
        <v>45444</v>
      </c>
      <c r="B1111" s="31" t="s">
        <v>153</v>
      </c>
      <c r="C1111" s="129"/>
      <c r="D1111" s="129"/>
      <c r="E1111" s="19" t="n">
        <f aca="false">F1111*0.03</f>
        <v>0</v>
      </c>
      <c r="F1111" s="33" t="n">
        <v>0</v>
      </c>
      <c r="G1111" s="131"/>
      <c r="H1111" s="35" t="n">
        <v>0</v>
      </c>
      <c r="I1111" s="34" t="n">
        <f aca="false">+IF(E1111=0,0,E1111*0.03)</f>
        <v>0</v>
      </c>
      <c r="J1111" s="93"/>
      <c r="K1111" s="93"/>
      <c r="L1111" s="93"/>
      <c r="M1111" s="93"/>
      <c r="N1111" s="93"/>
      <c r="O1111" s="93"/>
      <c r="P1111" s="93"/>
      <c r="Q1111" s="93"/>
      <c r="R1111" s="93"/>
      <c r="S1111" s="93"/>
      <c r="T1111" s="93"/>
      <c r="U1111" s="93"/>
      <c r="V1111" s="93"/>
      <c r="W1111" s="93"/>
      <c r="X1111" s="93"/>
      <c r="Y1111" s="93"/>
      <c r="Z1111" s="93"/>
    </row>
    <row r="1112" customFormat="false" ht="16.4" hidden="false" customHeight="false" outlineLevel="0" collapsed="false">
      <c r="A1112" s="123" t="n">
        <v>45444</v>
      </c>
      <c r="B1112" s="31" t="s">
        <v>153</v>
      </c>
      <c r="C1112" s="129"/>
      <c r="D1112" s="129"/>
      <c r="E1112" s="19" t="n">
        <f aca="false">F1112*0.03</f>
        <v>0</v>
      </c>
      <c r="F1112" s="33" t="n">
        <v>0</v>
      </c>
      <c r="G1112" s="131"/>
      <c r="H1112" s="35" t="n">
        <v>0</v>
      </c>
      <c r="I1112" s="34" t="n">
        <f aca="false">+IF(E1112=0,0,E1112*0.03)</f>
        <v>0</v>
      </c>
      <c r="J1112" s="93"/>
      <c r="K1112" s="93"/>
      <c r="L1112" s="93"/>
      <c r="M1112" s="93"/>
      <c r="N1112" s="93"/>
      <c r="O1112" s="93"/>
      <c r="P1112" s="93"/>
      <c r="Q1112" s="93"/>
      <c r="R1112" s="93"/>
      <c r="S1112" s="93"/>
      <c r="T1112" s="93"/>
      <c r="U1112" s="93"/>
      <c r="V1112" s="93"/>
      <c r="W1112" s="93"/>
      <c r="X1112" s="93"/>
      <c r="Y1112" s="93"/>
      <c r="Z1112" s="93"/>
    </row>
    <row r="1113" customFormat="false" ht="16.4" hidden="false" customHeight="false" outlineLevel="0" collapsed="false">
      <c r="A1113" s="123" t="n">
        <v>45444</v>
      </c>
      <c r="B1113" s="31" t="s">
        <v>153</v>
      </c>
      <c r="C1113" s="129"/>
      <c r="D1113" s="129"/>
      <c r="E1113" s="19" t="n">
        <f aca="false">F1113*0.03</f>
        <v>0</v>
      </c>
      <c r="F1113" s="33" t="n">
        <v>0</v>
      </c>
      <c r="G1113" s="131"/>
      <c r="H1113" s="35" t="n">
        <v>0</v>
      </c>
      <c r="I1113" s="34" t="n">
        <f aca="false">+IF(E1113=0,0,E1113*0.03)</f>
        <v>0</v>
      </c>
      <c r="J1113" s="93"/>
      <c r="K1113" s="93"/>
      <c r="L1113" s="93"/>
      <c r="M1113" s="93"/>
      <c r="N1113" s="93"/>
      <c r="O1113" s="93"/>
      <c r="P1113" s="93"/>
      <c r="Q1113" s="93"/>
      <c r="R1113" s="93"/>
      <c r="S1113" s="93"/>
      <c r="T1113" s="93"/>
      <c r="U1113" s="93"/>
      <c r="V1113" s="93"/>
      <c r="W1113" s="93"/>
      <c r="X1113" s="93"/>
      <c r="Y1113" s="93"/>
      <c r="Z1113" s="93"/>
    </row>
    <row r="1114" customFormat="false" ht="16.4" hidden="false" customHeight="false" outlineLevel="0" collapsed="false">
      <c r="A1114" s="123" t="n">
        <v>45444</v>
      </c>
      <c r="B1114" s="31" t="s">
        <v>153</v>
      </c>
      <c r="C1114" s="129"/>
      <c r="D1114" s="129"/>
      <c r="E1114" s="19" t="n">
        <f aca="false">F1114*0.03</f>
        <v>0</v>
      </c>
      <c r="F1114" s="33" t="n">
        <v>0</v>
      </c>
      <c r="G1114" s="131"/>
      <c r="H1114" s="35" t="n">
        <v>0</v>
      </c>
      <c r="I1114" s="34" t="n">
        <f aca="false">+IF(E1114=0,0,E1114*0.03)</f>
        <v>0</v>
      </c>
      <c r="J1114" s="93"/>
      <c r="K1114" s="93"/>
      <c r="L1114" s="93"/>
      <c r="M1114" s="93"/>
      <c r="N1114" s="93"/>
      <c r="O1114" s="93"/>
      <c r="P1114" s="93"/>
      <c r="Q1114" s="93"/>
      <c r="R1114" s="93"/>
      <c r="S1114" s="93"/>
      <c r="T1114" s="93"/>
      <c r="U1114" s="93"/>
      <c r="V1114" s="93"/>
      <c r="W1114" s="93"/>
      <c r="X1114" s="93"/>
      <c r="Y1114" s="93"/>
      <c r="Z1114" s="93"/>
    </row>
    <row r="1115" customFormat="false" ht="16.4" hidden="false" customHeight="false" outlineLevel="0" collapsed="false">
      <c r="A1115" s="123" t="n">
        <v>45444</v>
      </c>
      <c r="B1115" s="31" t="s">
        <v>153</v>
      </c>
      <c r="C1115" s="129"/>
      <c r="D1115" s="129"/>
      <c r="E1115" s="19" t="n">
        <f aca="false">F1115*0.03</f>
        <v>0</v>
      </c>
      <c r="F1115" s="33" t="n">
        <v>0</v>
      </c>
      <c r="G1115" s="131"/>
      <c r="H1115" s="35" t="n">
        <v>0</v>
      </c>
      <c r="I1115" s="34" t="n">
        <f aca="false">+IF(E1115=0,0,E1115*0.03)</f>
        <v>0</v>
      </c>
      <c r="J1115" s="93"/>
      <c r="K1115" s="93"/>
      <c r="L1115" s="93"/>
      <c r="M1115" s="93"/>
      <c r="N1115" s="93"/>
      <c r="O1115" s="93"/>
      <c r="P1115" s="93"/>
      <c r="Q1115" s="93"/>
      <c r="R1115" s="93"/>
      <c r="S1115" s="93"/>
      <c r="T1115" s="93"/>
      <c r="U1115" s="93"/>
      <c r="V1115" s="93"/>
      <c r="W1115" s="93"/>
      <c r="X1115" s="93"/>
      <c r="Y1115" s="93"/>
      <c r="Z1115" s="93"/>
    </row>
    <row r="1116" customFormat="false" ht="16.4" hidden="false" customHeight="false" outlineLevel="0" collapsed="false">
      <c r="A1116" s="123" t="n">
        <v>45444</v>
      </c>
      <c r="B1116" s="31" t="s">
        <v>153</v>
      </c>
      <c r="C1116" s="129"/>
      <c r="D1116" s="129"/>
      <c r="E1116" s="19" t="n">
        <f aca="false">F1116*0.03</f>
        <v>0</v>
      </c>
      <c r="F1116" s="33" t="n">
        <v>0</v>
      </c>
      <c r="G1116" s="131"/>
      <c r="H1116" s="35" t="n">
        <v>0</v>
      </c>
      <c r="I1116" s="34" t="n">
        <f aca="false">+IF(E1116=0,0,E1116*0.03)</f>
        <v>0</v>
      </c>
      <c r="J1116" s="93"/>
      <c r="K1116" s="93"/>
      <c r="L1116" s="93"/>
      <c r="M1116" s="93"/>
      <c r="N1116" s="93"/>
      <c r="O1116" s="93"/>
      <c r="P1116" s="93"/>
      <c r="Q1116" s="93"/>
      <c r="R1116" s="93"/>
      <c r="S1116" s="93"/>
      <c r="T1116" s="93"/>
      <c r="U1116" s="93"/>
      <c r="V1116" s="93"/>
      <c r="W1116" s="93"/>
      <c r="X1116" s="93"/>
      <c r="Y1116" s="93"/>
      <c r="Z1116" s="93"/>
    </row>
    <row r="1117" customFormat="false" ht="16.4" hidden="false" customHeight="false" outlineLevel="0" collapsed="false">
      <c r="A1117" s="123" t="n">
        <v>45444</v>
      </c>
      <c r="B1117" s="31" t="s">
        <v>153</v>
      </c>
      <c r="C1117" s="129"/>
      <c r="D1117" s="129"/>
      <c r="E1117" s="19" t="n">
        <f aca="false">F1117*0.03</f>
        <v>0</v>
      </c>
      <c r="F1117" s="33" t="n">
        <v>0</v>
      </c>
      <c r="G1117" s="131"/>
      <c r="H1117" s="35" t="n">
        <v>0</v>
      </c>
      <c r="I1117" s="34" t="n">
        <f aca="false">+IF(E1117=0,0,E1117*0.03)</f>
        <v>0</v>
      </c>
      <c r="J1117" s="93"/>
      <c r="K1117" s="93"/>
      <c r="L1117" s="93"/>
      <c r="M1117" s="93"/>
      <c r="N1117" s="93"/>
      <c r="O1117" s="93"/>
      <c r="P1117" s="93"/>
      <c r="Q1117" s="93"/>
      <c r="R1117" s="93"/>
      <c r="S1117" s="93"/>
      <c r="T1117" s="93"/>
      <c r="U1117" s="93"/>
      <c r="V1117" s="93"/>
      <c r="W1117" s="93"/>
      <c r="X1117" s="93"/>
      <c r="Y1117" s="93"/>
      <c r="Z1117" s="93"/>
    </row>
    <row r="1118" customFormat="false" ht="16.4" hidden="false" customHeight="false" outlineLevel="0" collapsed="false">
      <c r="A1118" s="123" t="n">
        <v>45444</v>
      </c>
      <c r="B1118" s="31" t="s">
        <v>153</v>
      </c>
      <c r="C1118" s="129"/>
      <c r="D1118" s="129"/>
      <c r="E1118" s="19" t="n">
        <f aca="false">F1118*0.03</f>
        <v>0</v>
      </c>
      <c r="F1118" s="33" t="n">
        <v>0</v>
      </c>
      <c r="G1118" s="131"/>
      <c r="H1118" s="35" t="n">
        <v>0</v>
      </c>
      <c r="I1118" s="34" t="n">
        <f aca="false">+IF(E1118=0,0,E1118*0.03)</f>
        <v>0</v>
      </c>
      <c r="J1118" s="93"/>
      <c r="K1118" s="93"/>
      <c r="L1118" s="93"/>
      <c r="M1118" s="93"/>
      <c r="N1118" s="93"/>
      <c r="O1118" s="93"/>
      <c r="P1118" s="93"/>
      <c r="Q1118" s="93"/>
      <c r="R1118" s="93"/>
      <c r="S1118" s="93"/>
      <c r="T1118" s="93"/>
      <c r="U1118" s="93"/>
      <c r="V1118" s="93"/>
      <c r="W1118" s="93"/>
      <c r="X1118" s="93"/>
      <c r="Y1118" s="93"/>
      <c r="Z1118" s="93"/>
    </row>
    <row r="1119" customFormat="false" ht="16.4" hidden="false" customHeight="false" outlineLevel="0" collapsed="false">
      <c r="A1119" s="123" t="n">
        <v>45444</v>
      </c>
      <c r="B1119" s="31" t="s">
        <v>153</v>
      </c>
      <c r="C1119" s="129"/>
      <c r="D1119" s="129"/>
      <c r="E1119" s="19" t="n">
        <f aca="false">F1119*0.03</f>
        <v>0</v>
      </c>
      <c r="F1119" s="33" t="n">
        <v>0</v>
      </c>
      <c r="G1119" s="131"/>
      <c r="H1119" s="35" t="n">
        <v>0</v>
      </c>
      <c r="I1119" s="34" t="n">
        <f aca="false">+IF(E1119=0,0,E1119*0.03)</f>
        <v>0</v>
      </c>
      <c r="J1119" s="93"/>
      <c r="K1119" s="93"/>
      <c r="L1119" s="93"/>
      <c r="M1119" s="93"/>
      <c r="N1119" s="93"/>
      <c r="O1119" s="93"/>
      <c r="P1119" s="93"/>
      <c r="Q1119" s="93"/>
      <c r="R1119" s="93"/>
      <c r="S1119" s="93"/>
      <c r="T1119" s="93"/>
      <c r="U1119" s="93"/>
      <c r="V1119" s="93"/>
      <c r="W1119" s="93"/>
      <c r="X1119" s="93"/>
      <c r="Y1119" s="93"/>
      <c r="Z1119" s="93"/>
    </row>
    <row r="1120" customFormat="false" ht="16.4" hidden="false" customHeight="false" outlineLevel="0" collapsed="false">
      <c r="A1120" s="123" t="n">
        <v>45444</v>
      </c>
      <c r="B1120" s="31" t="s">
        <v>153</v>
      </c>
      <c r="C1120" s="129"/>
      <c r="D1120" s="129"/>
      <c r="E1120" s="19" t="n">
        <f aca="false">F1120*0.03</f>
        <v>0</v>
      </c>
      <c r="F1120" s="33" t="n">
        <v>0</v>
      </c>
      <c r="G1120" s="131"/>
      <c r="H1120" s="35" t="n">
        <v>0</v>
      </c>
      <c r="I1120" s="34" t="n">
        <f aca="false">+IF(E1120=0,0,E1120*0.03)</f>
        <v>0</v>
      </c>
      <c r="J1120" s="93"/>
      <c r="K1120" s="93"/>
      <c r="L1120" s="93"/>
      <c r="M1120" s="93"/>
      <c r="N1120" s="93"/>
      <c r="O1120" s="93"/>
      <c r="P1120" s="93"/>
      <c r="Q1120" s="93"/>
      <c r="R1120" s="93"/>
      <c r="S1120" s="93"/>
      <c r="T1120" s="93"/>
      <c r="U1120" s="93"/>
      <c r="V1120" s="93"/>
      <c r="W1120" s="93"/>
      <c r="X1120" s="93"/>
      <c r="Y1120" s="93"/>
      <c r="Z1120" s="93"/>
    </row>
    <row r="1121" customFormat="false" ht="16.4" hidden="false" customHeight="false" outlineLevel="0" collapsed="false">
      <c r="A1121" s="123" t="n">
        <v>45444</v>
      </c>
      <c r="B1121" s="31" t="s">
        <v>153</v>
      </c>
      <c r="C1121" s="129"/>
      <c r="D1121" s="129"/>
      <c r="E1121" s="19" t="n">
        <f aca="false">F1121*0.03</f>
        <v>0</v>
      </c>
      <c r="F1121" s="33" t="n">
        <v>0</v>
      </c>
      <c r="G1121" s="131"/>
      <c r="H1121" s="35" t="n">
        <v>0</v>
      </c>
      <c r="I1121" s="34" t="n">
        <f aca="false">+IF(E1121=0,0,E1121*0.03)</f>
        <v>0</v>
      </c>
      <c r="J1121" s="93"/>
      <c r="K1121" s="93"/>
      <c r="L1121" s="93"/>
      <c r="M1121" s="93"/>
      <c r="N1121" s="93"/>
      <c r="O1121" s="93"/>
      <c r="P1121" s="93"/>
      <c r="Q1121" s="93"/>
      <c r="R1121" s="93"/>
      <c r="S1121" s="93"/>
      <c r="T1121" s="93"/>
      <c r="U1121" s="93"/>
      <c r="V1121" s="93"/>
      <c r="W1121" s="93"/>
      <c r="X1121" s="93"/>
      <c r="Y1121" s="93"/>
      <c r="Z1121" s="93"/>
    </row>
    <row r="1122" customFormat="false" ht="16.4" hidden="false" customHeight="false" outlineLevel="0" collapsed="false">
      <c r="A1122" s="123" t="n">
        <v>45444</v>
      </c>
      <c r="B1122" s="31" t="s">
        <v>153</v>
      </c>
      <c r="C1122" s="129"/>
      <c r="D1122" s="129"/>
      <c r="E1122" s="19" t="n">
        <f aca="false">F1122*0.03</f>
        <v>0</v>
      </c>
      <c r="F1122" s="33" t="n">
        <v>0</v>
      </c>
      <c r="G1122" s="131"/>
      <c r="H1122" s="35" t="n">
        <v>0</v>
      </c>
      <c r="I1122" s="34" t="n">
        <f aca="false">+IF(E1122=0,0,E1122*0.03)</f>
        <v>0</v>
      </c>
      <c r="J1122" s="93"/>
      <c r="K1122" s="93"/>
      <c r="L1122" s="93"/>
      <c r="M1122" s="93"/>
      <c r="N1122" s="93"/>
      <c r="O1122" s="93"/>
      <c r="P1122" s="93"/>
      <c r="Q1122" s="93"/>
      <c r="R1122" s="93"/>
      <c r="S1122" s="93"/>
      <c r="T1122" s="93"/>
      <c r="U1122" s="93"/>
      <c r="V1122" s="93"/>
      <c r="W1122" s="93"/>
      <c r="X1122" s="93"/>
      <c r="Y1122" s="93"/>
      <c r="Z1122" s="93"/>
    </row>
    <row r="1123" customFormat="false" ht="16.4" hidden="false" customHeight="false" outlineLevel="0" collapsed="false">
      <c r="A1123" s="123" t="n">
        <v>45444</v>
      </c>
      <c r="B1123" s="31" t="s">
        <v>153</v>
      </c>
      <c r="C1123" s="129"/>
      <c r="D1123" s="129"/>
      <c r="E1123" s="19" t="n">
        <f aca="false">F1123*0.03</f>
        <v>0</v>
      </c>
      <c r="F1123" s="33" t="n">
        <v>0</v>
      </c>
      <c r="G1123" s="131"/>
      <c r="H1123" s="35" t="n">
        <v>0</v>
      </c>
      <c r="I1123" s="34" t="n">
        <f aca="false">+IF(E1123=0,0,E1123*0.03)</f>
        <v>0</v>
      </c>
      <c r="J1123" s="93"/>
      <c r="K1123" s="93"/>
      <c r="L1123" s="93"/>
      <c r="M1123" s="93"/>
      <c r="N1123" s="93"/>
      <c r="O1123" s="93"/>
      <c r="P1123" s="93"/>
      <c r="Q1123" s="93"/>
      <c r="R1123" s="93"/>
      <c r="S1123" s="93"/>
      <c r="T1123" s="93"/>
      <c r="U1123" s="93"/>
      <c r="V1123" s="93"/>
      <c r="W1123" s="93"/>
      <c r="X1123" s="93"/>
      <c r="Y1123" s="93"/>
      <c r="Z1123" s="93"/>
    </row>
    <row r="1124" customFormat="false" ht="16.4" hidden="false" customHeight="false" outlineLevel="0" collapsed="false">
      <c r="A1124" s="123" t="n">
        <v>45444</v>
      </c>
      <c r="B1124" s="31" t="s">
        <v>153</v>
      </c>
      <c r="C1124" s="129"/>
      <c r="D1124" s="129"/>
      <c r="E1124" s="19" t="n">
        <f aca="false">F1124*0.03</f>
        <v>0</v>
      </c>
      <c r="F1124" s="33" t="n">
        <v>0</v>
      </c>
      <c r="G1124" s="131"/>
      <c r="H1124" s="35" t="n">
        <v>0</v>
      </c>
      <c r="I1124" s="34" t="n">
        <f aca="false">+IF(E1124=0,0,E1124*0.03)</f>
        <v>0</v>
      </c>
      <c r="J1124" s="93"/>
      <c r="K1124" s="93"/>
      <c r="L1124" s="93"/>
      <c r="M1124" s="93"/>
      <c r="N1124" s="93"/>
      <c r="O1124" s="93"/>
      <c r="P1124" s="93"/>
      <c r="Q1124" s="93"/>
      <c r="R1124" s="93"/>
      <c r="S1124" s="93"/>
      <c r="T1124" s="93"/>
      <c r="U1124" s="93"/>
      <c r="V1124" s="93"/>
      <c r="W1124" s="93"/>
      <c r="X1124" s="93"/>
      <c r="Y1124" s="93"/>
      <c r="Z1124" s="93"/>
    </row>
    <row r="1125" customFormat="false" ht="16.4" hidden="false" customHeight="false" outlineLevel="0" collapsed="false">
      <c r="A1125" s="123" t="n">
        <v>45444</v>
      </c>
      <c r="B1125" s="31" t="s">
        <v>153</v>
      </c>
      <c r="C1125" s="129"/>
      <c r="D1125" s="129"/>
      <c r="E1125" s="19" t="n">
        <f aca="false">F1125*0.03</f>
        <v>0</v>
      </c>
      <c r="F1125" s="33" t="n">
        <v>0</v>
      </c>
      <c r="G1125" s="131"/>
      <c r="H1125" s="35" t="n">
        <v>0</v>
      </c>
      <c r="I1125" s="34" t="n">
        <f aca="false">+IF(E1125=0,0,E1125*0.03)</f>
        <v>0</v>
      </c>
      <c r="J1125" s="93"/>
      <c r="K1125" s="93"/>
      <c r="L1125" s="93"/>
      <c r="M1125" s="93"/>
      <c r="N1125" s="93"/>
      <c r="O1125" s="93"/>
      <c r="P1125" s="93"/>
      <c r="Q1125" s="93"/>
      <c r="R1125" s="93"/>
      <c r="S1125" s="93"/>
      <c r="T1125" s="93"/>
      <c r="U1125" s="93"/>
      <c r="V1125" s="93"/>
      <c r="W1125" s="93"/>
      <c r="X1125" s="93"/>
      <c r="Y1125" s="93"/>
      <c r="Z1125" s="93"/>
    </row>
    <row r="1126" customFormat="false" ht="16.4" hidden="false" customHeight="false" outlineLevel="0" collapsed="false">
      <c r="A1126" s="123" t="n">
        <v>45444</v>
      </c>
      <c r="B1126" s="31" t="s">
        <v>153</v>
      </c>
      <c r="C1126" s="129"/>
      <c r="D1126" s="129"/>
      <c r="E1126" s="19" t="n">
        <f aca="false">F1126*0.03</f>
        <v>0</v>
      </c>
      <c r="F1126" s="33" t="n">
        <v>0</v>
      </c>
      <c r="G1126" s="131"/>
      <c r="H1126" s="35" t="n">
        <v>0</v>
      </c>
      <c r="I1126" s="34" t="n">
        <f aca="false">+IF(E1126=0,0,E1126*0.03)</f>
        <v>0</v>
      </c>
      <c r="J1126" s="93"/>
      <c r="K1126" s="93"/>
      <c r="L1126" s="93"/>
      <c r="M1126" s="93"/>
      <c r="N1126" s="93"/>
      <c r="O1126" s="93"/>
      <c r="P1126" s="93"/>
      <c r="Q1126" s="93"/>
      <c r="R1126" s="93"/>
      <c r="S1126" s="93"/>
      <c r="T1126" s="93"/>
      <c r="U1126" s="93"/>
      <c r="V1126" s="93"/>
      <c r="W1126" s="93"/>
      <c r="X1126" s="93"/>
      <c r="Y1126" s="93"/>
      <c r="Z1126" s="93"/>
    </row>
    <row r="1127" customFormat="false" ht="16.4" hidden="false" customHeight="false" outlineLevel="0" collapsed="false">
      <c r="A1127" s="123" t="n">
        <v>45444</v>
      </c>
      <c r="B1127" s="31" t="s">
        <v>153</v>
      </c>
      <c r="C1127" s="129"/>
      <c r="D1127" s="129"/>
      <c r="E1127" s="19" t="n">
        <f aca="false">F1127*0.03</f>
        <v>0</v>
      </c>
      <c r="F1127" s="33" t="n">
        <v>0</v>
      </c>
      <c r="G1127" s="131"/>
      <c r="H1127" s="35" t="n">
        <v>0</v>
      </c>
      <c r="I1127" s="34" t="n">
        <f aca="false">+IF(E1127=0,0,E1127*0.03)</f>
        <v>0</v>
      </c>
      <c r="J1127" s="93"/>
      <c r="K1127" s="93"/>
      <c r="L1127" s="93"/>
      <c r="M1127" s="93"/>
      <c r="N1127" s="93"/>
      <c r="O1127" s="93"/>
      <c r="P1127" s="93"/>
      <c r="Q1127" s="93"/>
      <c r="R1127" s="93"/>
      <c r="S1127" s="93"/>
      <c r="T1127" s="93"/>
      <c r="U1127" s="93"/>
      <c r="V1127" s="93"/>
      <c r="W1127" s="93"/>
      <c r="X1127" s="93"/>
      <c r="Y1127" s="93"/>
      <c r="Z1127" s="93"/>
    </row>
    <row r="1128" customFormat="false" ht="16.4" hidden="false" customHeight="false" outlineLevel="0" collapsed="false">
      <c r="A1128" s="123" t="n">
        <v>45444</v>
      </c>
      <c r="B1128" s="31" t="s">
        <v>153</v>
      </c>
      <c r="C1128" s="129"/>
      <c r="D1128" s="129"/>
      <c r="E1128" s="19" t="n">
        <f aca="false">F1128*0.03</f>
        <v>0</v>
      </c>
      <c r="F1128" s="33" t="n">
        <v>0</v>
      </c>
      <c r="G1128" s="131"/>
      <c r="H1128" s="35" t="n">
        <v>0</v>
      </c>
      <c r="I1128" s="34" t="n">
        <f aca="false">+IF(E1128=0,0,E1128*0.03)</f>
        <v>0</v>
      </c>
      <c r="J1128" s="93"/>
      <c r="K1128" s="93"/>
      <c r="L1128" s="93"/>
      <c r="M1128" s="93"/>
      <c r="N1128" s="93"/>
      <c r="O1128" s="93"/>
      <c r="P1128" s="93"/>
      <c r="Q1128" s="93"/>
      <c r="R1128" s="93"/>
      <c r="S1128" s="93"/>
      <c r="T1128" s="93"/>
      <c r="U1128" s="93"/>
      <c r="V1128" s="93"/>
      <c r="W1128" s="93"/>
      <c r="X1128" s="93"/>
      <c r="Y1128" s="93"/>
      <c r="Z1128" s="93"/>
    </row>
    <row r="1129" customFormat="false" ht="16.4" hidden="false" customHeight="false" outlineLevel="0" collapsed="false">
      <c r="A1129" s="123" t="n">
        <v>45444</v>
      </c>
      <c r="B1129" s="31" t="s">
        <v>153</v>
      </c>
      <c r="C1129" s="129"/>
      <c r="D1129" s="129"/>
      <c r="E1129" s="19" t="n">
        <f aca="false">F1129*0.03</f>
        <v>0</v>
      </c>
      <c r="F1129" s="33" t="n">
        <v>0</v>
      </c>
      <c r="G1129" s="131"/>
      <c r="H1129" s="35" t="n">
        <v>0</v>
      </c>
      <c r="I1129" s="34" t="n">
        <f aca="false">+IF(E1129=0,0,E1129*0.03)</f>
        <v>0</v>
      </c>
      <c r="J1129" s="93"/>
      <c r="K1129" s="93"/>
      <c r="L1129" s="93"/>
      <c r="M1129" s="93"/>
      <c r="N1129" s="93"/>
      <c r="O1129" s="93"/>
      <c r="P1129" s="93"/>
      <c r="Q1129" s="93"/>
      <c r="R1129" s="93"/>
      <c r="S1129" s="93"/>
      <c r="T1129" s="93"/>
      <c r="U1129" s="93"/>
      <c r="V1129" s="93"/>
      <c r="W1129" s="93"/>
      <c r="X1129" s="93"/>
      <c r="Y1129" s="93"/>
      <c r="Z1129" s="93"/>
    </row>
    <row r="1130" customFormat="false" ht="16.4" hidden="false" customHeight="false" outlineLevel="0" collapsed="false">
      <c r="A1130" s="123" t="n">
        <v>45444</v>
      </c>
      <c r="B1130" s="31" t="s">
        <v>153</v>
      </c>
      <c r="C1130" s="129"/>
      <c r="D1130" s="129"/>
      <c r="E1130" s="19" t="n">
        <f aca="false">F1130*0.03</f>
        <v>0</v>
      </c>
      <c r="F1130" s="33" t="n">
        <v>0</v>
      </c>
      <c r="G1130" s="131"/>
      <c r="H1130" s="35" t="n">
        <v>0</v>
      </c>
      <c r="I1130" s="34" t="n">
        <f aca="false">+IF(E1130=0,0,E1130*0.03)</f>
        <v>0</v>
      </c>
      <c r="J1130" s="93"/>
      <c r="K1130" s="93"/>
      <c r="L1130" s="93"/>
      <c r="M1130" s="93"/>
      <c r="N1130" s="93"/>
      <c r="O1130" s="93"/>
      <c r="P1130" s="93"/>
      <c r="Q1130" s="93"/>
      <c r="R1130" s="93"/>
      <c r="S1130" s="93"/>
      <c r="T1130" s="93"/>
      <c r="U1130" s="93"/>
      <c r="V1130" s="93"/>
      <c r="W1130" s="93"/>
      <c r="X1130" s="93"/>
      <c r="Y1130" s="93"/>
      <c r="Z1130" s="93"/>
    </row>
    <row r="1131" customFormat="false" ht="16.4" hidden="false" customHeight="false" outlineLevel="0" collapsed="false">
      <c r="A1131" s="123" t="n">
        <v>45444</v>
      </c>
      <c r="B1131" s="31" t="s">
        <v>153</v>
      </c>
      <c r="C1131" s="129"/>
      <c r="D1131" s="129"/>
      <c r="E1131" s="19" t="n">
        <f aca="false">F1131*0.03</f>
        <v>0</v>
      </c>
      <c r="F1131" s="33" t="n">
        <v>0</v>
      </c>
      <c r="G1131" s="131"/>
      <c r="H1131" s="35" t="n">
        <v>0</v>
      </c>
      <c r="I1131" s="34" t="n">
        <f aca="false">+IF(E1131=0,0,E1131*0.03)</f>
        <v>0</v>
      </c>
      <c r="J1131" s="93"/>
      <c r="K1131" s="93"/>
      <c r="L1131" s="93"/>
      <c r="M1131" s="93"/>
      <c r="N1131" s="93"/>
      <c r="O1131" s="93"/>
      <c r="P1131" s="93"/>
      <c r="Q1131" s="93"/>
      <c r="R1131" s="93"/>
      <c r="S1131" s="93"/>
      <c r="T1131" s="93"/>
      <c r="U1131" s="93"/>
      <c r="V1131" s="93"/>
      <c r="W1131" s="93"/>
      <c r="X1131" s="93"/>
      <c r="Y1131" s="93"/>
      <c r="Z1131" s="93"/>
    </row>
    <row r="1132" customFormat="false" ht="16.4" hidden="false" customHeight="false" outlineLevel="0" collapsed="false">
      <c r="A1132" s="123" t="n">
        <v>45444</v>
      </c>
      <c r="B1132" s="31" t="s">
        <v>153</v>
      </c>
      <c r="C1132" s="129"/>
      <c r="D1132" s="129"/>
      <c r="E1132" s="19" t="n">
        <f aca="false">F1132*0.03</f>
        <v>0</v>
      </c>
      <c r="F1132" s="33" t="n">
        <v>0</v>
      </c>
      <c r="G1132" s="131"/>
      <c r="H1132" s="35" t="n">
        <v>0</v>
      </c>
      <c r="I1132" s="34" t="n">
        <f aca="false">+IF(E1132=0,0,E1132*0.03)</f>
        <v>0</v>
      </c>
      <c r="J1132" s="93"/>
      <c r="K1132" s="93"/>
      <c r="L1132" s="93"/>
      <c r="M1132" s="93"/>
      <c r="N1132" s="93"/>
      <c r="O1132" s="93"/>
      <c r="P1132" s="93"/>
      <c r="Q1132" s="93"/>
      <c r="R1132" s="93"/>
      <c r="S1132" s="93"/>
      <c r="T1132" s="93"/>
      <c r="U1132" s="93"/>
      <c r="V1132" s="93"/>
      <c r="W1132" s="93"/>
      <c r="X1132" s="93"/>
      <c r="Y1132" s="93"/>
      <c r="Z1132" s="93"/>
    </row>
    <row r="1133" customFormat="false" ht="16.4" hidden="false" customHeight="false" outlineLevel="0" collapsed="false">
      <c r="A1133" s="123" t="n">
        <v>45444</v>
      </c>
      <c r="B1133" s="31" t="s">
        <v>153</v>
      </c>
      <c r="C1133" s="129"/>
      <c r="D1133" s="129"/>
      <c r="E1133" s="19" t="n">
        <f aca="false">F1133*0.03</f>
        <v>0</v>
      </c>
      <c r="F1133" s="33" t="n">
        <v>0</v>
      </c>
      <c r="G1133" s="131"/>
      <c r="H1133" s="35" t="n">
        <v>0</v>
      </c>
      <c r="I1133" s="34" t="n">
        <f aca="false">+IF(E1133=0,0,E1133*0.03)</f>
        <v>0</v>
      </c>
      <c r="J1133" s="93"/>
      <c r="K1133" s="93"/>
      <c r="L1133" s="93"/>
      <c r="M1133" s="93"/>
      <c r="N1133" s="93"/>
      <c r="O1133" s="93"/>
      <c r="P1133" s="93"/>
      <c r="Q1133" s="93"/>
      <c r="R1133" s="93"/>
      <c r="S1133" s="93"/>
      <c r="T1133" s="93"/>
      <c r="U1133" s="93"/>
      <c r="V1133" s="93"/>
      <c r="W1133" s="93"/>
      <c r="X1133" s="93"/>
      <c r="Y1133" s="93"/>
      <c r="Z1133" s="93"/>
    </row>
    <row r="1134" customFormat="false" ht="16.4" hidden="false" customHeight="false" outlineLevel="0" collapsed="false">
      <c r="A1134" s="123" t="n">
        <v>45444</v>
      </c>
      <c r="B1134" s="31" t="s">
        <v>153</v>
      </c>
      <c r="C1134" s="129"/>
      <c r="D1134" s="129"/>
      <c r="E1134" s="19" t="n">
        <f aca="false">F1134*0.03</f>
        <v>0</v>
      </c>
      <c r="F1134" s="33" t="n">
        <v>0</v>
      </c>
      <c r="G1134" s="131"/>
      <c r="H1134" s="35" t="n">
        <v>0</v>
      </c>
      <c r="I1134" s="34" t="n">
        <f aca="false">+IF(E1134=0,0,E1134*0.03)</f>
        <v>0</v>
      </c>
      <c r="J1134" s="93"/>
      <c r="K1134" s="93"/>
      <c r="L1134" s="93"/>
      <c r="M1134" s="93"/>
      <c r="N1134" s="93"/>
      <c r="O1134" s="93"/>
      <c r="P1134" s="93"/>
      <c r="Q1134" s="93"/>
      <c r="R1134" s="93"/>
      <c r="S1134" s="93"/>
      <c r="T1134" s="93"/>
      <c r="U1134" s="93"/>
      <c r="V1134" s="93"/>
      <c r="W1134" s="93"/>
      <c r="X1134" s="93"/>
      <c r="Y1134" s="93"/>
      <c r="Z1134" s="93"/>
    </row>
    <row r="1135" customFormat="false" ht="16.4" hidden="false" customHeight="false" outlineLevel="0" collapsed="false">
      <c r="A1135" s="123" t="n">
        <v>45444</v>
      </c>
      <c r="B1135" s="31" t="s">
        <v>153</v>
      </c>
      <c r="C1135" s="129"/>
      <c r="D1135" s="129"/>
      <c r="E1135" s="19" t="n">
        <f aca="false">F1135*0.03</f>
        <v>0</v>
      </c>
      <c r="F1135" s="33" t="n">
        <v>0</v>
      </c>
      <c r="G1135" s="131"/>
      <c r="H1135" s="35" t="n">
        <v>0</v>
      </c>
      <c r="I1135" s="34" t="n">
        <f aca="false">+IF(E1135=0,0,E1135*0.03)</f>
        <v>0</v>
      </c>
      <c r="J1135" s="93"/>
      <c r="K1135" s="93"/>
      <c r="L1135" s="93"/>
      <c r="M1135" s="93"/>
      <c r="N1135" s="93"/>
      <c r="O1135" s="93"/>
      <c r="P1135" s="93"/>
      <c r="Q1135" s="93"/>
      <c r="R1135" s="93"/>
      <c r="S1135" s="93"/>
      <c r="T1135" s="93"/>
      <c r="U1135" s="93"/>
      <c r="V1135" s="93"/>
      <c r="W1135" s="93"/>
      <c r="X1135" s="93"/>
      <c r="Y1135" s="93"/>
      <c r="Z1135" s="93"/>
    </row>
    <row r="1136" customFormat="false" ht="16.4" hidden="false" customHeight="false" outlineLevel="0" collapsed="false">
      <c r="A1136" s="123" t="n">
        <v>45444</v>
      </c>
      <c r="B1136" s="31" t="s">
        <v>153</v>
      </c>
      <c r="C1136" s="129"/>
      <c r="D1136" s="129"/>
      <c r="E1136" s="19" t="n">
        <f aca="false">F1136*0.03</f>
        <v>0</v>
      </c>
      <c r="F1136" s="33" t="n">
        <v>0</v>
      </c>
      <c r="G1136" s="131"/>
      <c r="H1136" s="35" t="n">
        <v>0</v>
      </c>
      <c r="I1136" s="34" t="n">
        <f aca="false">+IF(E1136=0,0,E1136*0.03)</f>
        <v>0</v>
      </c>
      <c r="J1136" s="93"/>
      <c r="K1136" s="93"/>
      <c r="L1136" s="93"/>
      <c r="M1136" s="93"/>
      <c r="N1136" s="93"/>
      <c r="O1136" s="93"/>
      <c r="P1136" s="93"/>
      <c r="Q1136" s="93"/>
      <c r="R1136" s="93"/>
      <c r="S1136" s="93"/>
      <c r="T1136" s="93"/>
      <c r="U1136" s="93"/>
      <c r="V1136" s="93"/>
      <c r="W1136" s="93"/>
      <c r="X1136" s="93"/>
      <c r="Y1136" s="93"/>
      <c r="Z1136" s="93"/>
    </row>
    <row r="1137" customFormat="false" ht="16.4" hidden="false" customHeight="false" outlineLevel="0" collapsed="false">
      <c r="A1137" s="123" t="n">
        <v>45444</v>
      </c>
      <c r="B1137" s="31" t="s">
        <v>153</v>
      </c>
      <c r="C1137" s="129"/>
      <c r="D1137" s="129"/>
      <c r="E1137" s="19" t="n">
        <f aca="false">F1137*0.03</f>
        <v>0</v>
      </c>
      <c r="F1137" s="33" t="n">
        <v>0</v>
      </c>
      <c r="G1137" s="131"/>
      <c r="H1137" s="35" t="n">
        <v>0</v>
      </c>
      <c r="I1137" s="34" t="n">
        <f aca="false">+IF(E1137=0,0,E1137*0.03)</f>
        <v>0</v>
      </c>
      <c r="J1137" s="93"/>
      <c r="K1137" s="93"/>
      <c r="L1137" s="93"/>
      <c r="M1137" s="93"/>
      <c r="N1137" s="93"/>
      <c r="O1137" s="93"/>
      <c r="P1137" s="93"/>
      <c r="Q1137" s="93"/>
      <c r="R1137" s="93"/>
      <c r="S1137" s="93"/>
      <c r="T1137" s="93"/>
      <c r="U1137" s="93"/>
      <c r="V1137" s="93"/>
      <c r="W1137" s="93"/>
      <c r="X1137" s="93"/>
      <c r="Y1137" s="93"/>
      <c r="Z1137" s="93"/>
    </row>
    <row r="1138" customFormat="false" ht="16.4" hidden="false" customHeight="false" outlineLevel="0" collapsed="false">
      <c r="A1138" s="123" t="n">
        <v>45444</v>
      </c>
      <c r="B1138" s="31" t="s">
        <v>153</v>
      </c>
      <c r="C1138" s="129"/>
      <c r="D1138" s="129"/>
      <c r="E1138" s="19" t="n">
        <f aca="false">F1138*0.03</f>
        <v>0</v>
      </c>
      <c r="F1138" s="33" t="n">
        <v>0</v>
      </c>
      <c r="G1138" s="131"/>
      <c r="H1138" s="35" t="n">
        <v>0</v>
      </c>
      <c r="I1138" s="34" t="n">
        <f aca="false">+IF(E1138=0,0,E1138*0.03)</f>
        <v>0</v>
      </c>
      <c r="J1138" s="93"/>
      <c r="K1138" s="93"/>
      <c r="L1138" s="93"/>
      <c r="M1138" s="93"/>
      <c r="N1138" s="93"/>
      <c r="O1138" s="93"/>
      <c r="P1138" s="93"/>
      <c r="Q1138" s="93"/>
      <c r="R1138" s="93"/>
      <c r="S1138" s="93"/>
      <c r="T1138" s="93"/>
      <c r="U1138" s="93"/>
      <c r="V1138" s="93"/>
      <c r="W1138" s="93"/>
      <c r="X1138" s="93"/>
      <c r="Y1138" s="93"/>
      <c r="Z1138" s="93"/>
    </row>
    <row r="1139" customFormat="false" ht="16.4" hidden="false" customHeight="false" outlineLevel="0" collapsed="false">
      <c r="A1139" s="123" t="n">
        <v>45444</v>
      </c>
      <c r="B1139" s="31" t="s">
        <v>153</v>
      </c>
      <c r="C1139" s="129"/>
      <c r="D1139" s="129"/>
      <c r="E1139" s="19" t="n">
        <f aca="false">F1139*0.03</f>
        <v>0</v>
      </c>
      <c r="F1139" s="33" t="n">
        <v>0</v>
      </c>
      <c r="G1139" s="131"/>
      <c r="H1139" s="35" t="n">
        <v>0</v>
      </c>
      <c r="I1139" s="34" t="n">
        <f aca="false">+IF(E1139=0,0,E1139*0.03)</f>
        <v>0</v>
      </c>
      <c r="J1139" s="93"/>
      <c r="K1139" s="93"/>
      <c r="L1139" s="93"/>
      <c r="M1139" s="93"/>
      <c r="N1139" s="93"/>
      <c r="O1139" s="93"/>
      <c r="P1139" s="93"/>
      <c r="Q1139" s="93"/>
      <c r="R1139" s="93"/>
      <c r="S1139" s="93"/>
      <c r="T1139" s="93"/>
      <c r="U1139" s="93"/>
      <c r="V1139" s="93"/>
      <c r="W1139" s="93"/>
      <c r="X1139" s="93"/>
      <c r="Y1139" s="93"/>
      <c r="Z1139" s="93"/>
    </row>
    <row r="1140" customFormat="false" ht="16.4" hidden="false" customHeight="false" outlineLevel="0" collapsed="false">
      <c r="A1140" s="123" t="n">
        <v>45444</v>
      </c>
      <c r="B1140" s="31" t="s">
        <v>153</v>
      </c>
      <c r="C1140" s="129"/>
      <c r="D1140" s="129"/>
      <c r="E1140" s="19" t="n">
        <f aca="false">F1140*0.03</f>
        <v>0</v>
      </c>
      <c r="F1140" s="33" t="n">
        <v>0</v>
      </c>
      <c r="G1140" s="131"/>
      <c r="H1140" s="35" t="n">
        <v>0</v>
      </c>
      <c r="I1140" s="34" t="n">
        <f aca="false">+IF(E1140=0,0,E1140*0.03)</f>
        <v>0</v>
      </c>
      <c r="J1140" s="93"/>
      <c r="K1140" s="93"/>
      <c r="L1140" s="93"/>
      <c r="M1140" s="93"/>
      <c r="N1140" s="93"/>
      <c r="O1140" s="93"/>
      <c r="P1140" s="93"/>
      <c r="Q1140" s="93"/>
      <c r="R1140" s="93"/>
      <c r="S1140" s="93"/>
      <c r="T1140" s="93"/>
      <c r="U1140" s="93"/>
      <c r="V1140" s="93"/>
      <c r="W1140" s="93"/>
      <c r="X1140" s="93"/>
      <c r="Y1140" s="93"/>
      <c r="Z1140" s="93"/>
    </row>
    <row r="1141" customFormat="false" ht="16.4" hidden="false" customHeight="false" outlineLevel="0" collapsed="false">
      <c r="A1141" s="123" t="n">
        <v>45444</v>
      </c>
      <c r="B1141" s="31" t="s">
        <v>153</v>
      </c>
      <c r="C1141" s="129"/>
      <c r="D1141" s="129"/>
      <c r="E1141" s="19" t="n">
        <f aca="false">F1141*0.03</f>
        <v>0</v>
      </c>
      <c r="F1141" s="33" t="n">
        <v>0</v>
      </c>
      <c r="G1141" s="131"/>
      <c r="H1141" s="35" t="n">
        <v>0</v>
      </c>
      <c r="I1141" s="34" t="n">
        <f aca="false">+IF(E1141=0,0,E1141*0.03)</f>
        <v>0</v>
      </c>
      <c r="J1141" s="93"/>
      <c r="K1141" s="93"/>
      <c r="L1141" s="93"/>
      <c r="M1141" s="93"/>
      <c r="N1141" s="93"/>
      <c r="O1141" s="93"/>
      <c r="P1141" s="93"/>
      <c r="Q1141" s="93"/>
      <c r="R1141" s="93"/>
      <c r="S1141" s="93"/>
      <c r="T1141" s="93"/>
      <c r="U1141" s="93"/>
      <c r="V1141" s="93"/>
      <c r="W1141" s="93"/>
      <c r="X1141" s="93"/>
      <c r="Y1141" s="93"/>
      <c r="Z1141" s="93"/>
    </row>
    <row r="1142" customFormat="false" ht="16.4" hidden="false" customHeight="false" outlineLevel="0" collapsed="false">
      <c r="A1142" s="123" t="n">
        <v>45444</v>
      </c>
      <c r="B1142" s="31" t="s">
        <v>153</v>
      </c>
      <c r="C1142" s="129"/>
      <c r="D1142" s="129"/>
      <c r="E1142" s="19" t="n">
        <f aca="false">F1142*0.03</f>
        <v>0</v>
      </c>
      <c r="F1142" s="33" t="n">
        <v>0</v>
      </c>
      <c r="G1142" s="131"/>
      <c r="H1142" s="35" t="n">
        <v>0</v>
      </c>
      <c r="I1142" s="34" t="n">
        <f aca="false">+IF(E1142=0,0,E1142*0.03)</f>
        <v>0</v>
      </c>
      <c r="J1142" s="93"/>
      <c r="K1142" s="93"/>
      <c r="L1142" s="93"/>
      <c r="M1142" s="93"/>
      <c r="N1142" s="93"/>
      <c r="O1142" s="93"/>
      <c r="P1142" s="93"/>
      <c r="Q1142" s="93"/>
      <c r="R1142" s="93"/>
      <c r="S1142" s="93"/>
      <c r="T1142" s="93"/>
      <c r="U1142" s="93"/>
      <c r="V1142" s="93"/>
      <c r="W1142" s="93"/>
      <c r="X1142" s="93"/>
      <c r="Y1142" s="93"/>
      <c r="Z1142" s="93"/>
    </row>
    <row r="1143" customFormat="false" ht="16.4" hidden="false" customHeight="false" outlineLevel="0" collapsed="false">
      <c r="A1143" s="123" t="n">
        <v>45444</v>
      </c>
      <c r="B1143" s="31" t="s">
        <v>153</v>
      </c>
      <c r="C1143" s="129"/>
      <c r="D1143" s="129"/>
      <c r="E1143" s="19" t="n">
        <f aca="false">F1143*0.03</f>
        <v>0</v>
      </c>
      <c r="F1143" s="33" t="n">
        <v>0</v>
      </c>
      <c r="G1143" s="131"/>
      <c r="H1143" s="35" t="n">
        <v>0</v>
      </c>
      <c r="I1143" s="34" t="n">
        <f aca="false">+IF(E1143=0,0,E1143*0.03)</f>
        <v>0</v>
      </c>
      <c r="J1143" s="93"/>
      <c r="K1143" s="93"/>
      <c r="L1143" s="93"/>
      <c r="M1143" s="93"/>
      <c r="N1143" s="93"/>
      <c r="O1143" s="93"/>
      <c r="P1143" s="93"/>
      <c r="Q1143" s="93"/>
      <c r="R1143" s="93"/>
      <c r="S1143" s="93"/>
      <c r="T1143" s="93"/>
      <c r="U1143" s="93"/>
      <c r="V1143" s="93"/>
      <c r="W1143" s="93"/>
      <c r="X1143" s="93"/>
      <c r="Y1143" s="93"/>
      <c r="Z1143" s="93"/>
    </row>
    <row r="1144" customFormat="false" ht="16.4" hidden="false" customHeight="false" outlineLevel="0" collapsed="false">
      <c r="A1144" s="123" t="n">
        <v>45444</v>
      </c>
      <c r="B1144" s="31" t="s">
        <v>153</v>
      </c>
      <c r="C1144" s="129"/>
      <c r="D1144" s="129"/>
      <c r="E1144" s="19" t="n">
        <f aca="false">F1144*0.03</f>
        <v>0</v>
      </c>
      <c r="F1144" s="33" t="n">
        <v>0</v>
      </c>
      <c r="G1144" s="131"/>
      <c r="H1144" s="35" t="n">
        <v>0</v>
      </c>
      <c r="I1144" s="34" t="n">
        <f aca="false">+IF(E1144=0,0,E1144*0.03)</f>
        <v>0</v>
      </c>
      <c r="J1144" s="93"/>
      <c r="K1144" s="93"/>
      <c r="L1144" s="93"/>
      <c r="M1144" s="93"/>
      <c r="N1144" s="93"/>
      <c r="O1144" s="93"/>
      <c r="P1144" s="93"/>
      <c r="Q1144" s="93"/>
      <c r="R1144" s="93"/>
      <c r="S1144" s="93"/>
      <c r="T1144" s="93"/>
      <c r="U1144" s="93"/>
      <c r="V1144" s="93"/>
      <c r="W1144" s="93"/>
      <c r="X1144" s="93"/>
      <c r="Y1144" s="93"/>
      <c r="Z1144" s="93"/>
    </row>
    <row r="1145" customFormat="false" ht="16.4" hidden="false" customHeight="false" outlineLevel="0" collapsed="false">
      <c r="A1145" s="123" t="n">
        <v>45444</v>
      </c>
      <c r="B1145" s="31" t="s">
        <v>153</v>
      </c>
      <c r="C1145" s="129"/>
      <c r="D1145" s="129"/>
      <c r="E1145" s="19" t="n">
        <f aca="false">F1145*0.03</f>
        <v>0</v>
      </c>
      <c r="F1145" s="33" t="n">
        <v>0</v>
      </c>
      <c r="G1145" s="131"/>
      <c r="H1145" s="35" t="n">
        <v>0</v>
      </c>
      <c r="I1145" s="34" t="n">
        <f aca="false">+IF(E1145=0,0,E1145*0.03)</f>
        <v>0</v>
      </c>
      <c r="J1145" s="93"/>
      <c r="K1145" s="93"/>
      <c r="L1145" s="93"/>
      <c r="M1145" s="93"/>
      <c r="N1145" s="93"/>
      <c r="O1145" s="93"/>
      <c r="P1145" s="93"/>
      <c r="Q1145" s="93"/>
      <c r="R1145" s="93"/>
      <c r="S1145" s="93"/>
      <c r="T1145" s="93"/>
      <c r="U1145" s="93"/>
      <c r="V1145" s="93"/>
      <c r="W1145" s="93"/>
      <c r="X1145" s="93"/>
      <c r="Y1145" s="93"/>
      <c r="Z1145" s="93"/>
    </row>
    <row r="1146" customFormat="false" ht="16.4" hidden="false" customHeight="false" outlineLevel="0" collapsed="false">
      <c r="A1146" s="123" t="n">
        <v>45444</v>
      </c>
      <c r="B1146" s="31" t="s">
        <v>153</v>
      </c>
      <c r="C1146" s="129"/>
      <c r="D1146" s="129"/>
      <c r="E1146" s="19" t="n">
        <f aca="false">F1146*0.03</f>
        <v>0</v>
      </c>
      <c r="F1146" s="33" t="n">
        <v>0</v>
      </c>
      <c r="G1146" s="131"/>
      <c r="H1146" s="35" t="n">
        <v>0</v>
      </c>
      <c r="I1146" s="34" t="n">
        <f aca="false">+IF(E1146=0,0,E1146*0.03)</f>
        <v>0</v>
      </c>
      <c r="J1146" s="93"/>
      <c r="K1146" s="93"/>
      <c r="L1146" s="93"/>
      <c r="M1146" s="93"/>
      <c r="N1146" s="93"/>
      <c r="O1146" s="93"/>
      <c r="P1146" s="93"/>
      <c r="Q1146" s="93"/>
      <c r="R1146" s="93"/>
      <c r="S1146" s="93"/>
      <c r="T1146" s="93"/>
      <c r="U1146" s="93"/>
      <c r="V1146" s="93"/>
      <c r="W1146" s="93"/>
      <c r="X1146" s="93"/>
      <c r="Y1146" s="93"/>
      <c r="Z1146" s="93"/>
    </row>
    <row r="1147" customFormat="false" ht="16.4" hidden="false" customHeight="false" outlineLevel="0" collapsed="false">
      <c r="A1147" s="123" t="n">
        <v>45444</v>
      </c>
      <c r="B1147" s="31" t="s">
        <v>153</v>
      </c>
      <c r="C1147" s="129"/>
      <c r="D1147" s="129"/>
      <c r="E1147" s="19" t="n">
        <f aca="false">F1147*0.03</f>
        <v>0</v>
      </c>
      <c r="F1147" s="33" t="n">
        <v>0</v>
      </c>
      <c r="G1147" s="131"/>
      <c r="H1147" s="35" t="n">
        <v>0</v>
      </c>
      <c r="I1147" s="34" t="n">
        <f aca="false">+IF(E1147=0,0,E1147*0.03)</f>
        <v>0</v>
      </c>
      <c r="J1147" s="93"/>
      <c r="K1147" s="93"/>
      <c r="L1147" s="93"/>
      <c r="M1147" s="93"/>
      <c r="N1147" s="93"/>
      <c r="O1147" s="93"/>
      <c r="P1147" s="93"/>
      <c r="Q1147" s="93"/>
      <c r="R1147" s="93"/>
      <c r="S1147" s="93"/>
      <c r="T1147" s="93"/>
      <c r="U1147" s="93"/>
      <c r="V1147" s="93"/>
      <c r="W1147" s="93"/>
      <c r="X1147" s="93"/>
      <c r="Y1147" s="93"/>
      <c r="Z1147" s="93"/>
    </row>
    <row r="1148" customFormat="false" ht="16.4" hidden="false" customHeight="false" outlineLevel="0" collapsed="false">
      <c r="A1148" s="123" t="n">
        <v>45444</v>
      </c>
      <c r="B1148" s="31" t="s">
        <v>153</v>
      </c>
      <c r="C1148" s="129"/>
      <c r="D1148" s="129"/>
      <c r="E1148" s="19" t="n">
        <f aca="false">F1148*0.03</f>
        <v>0</v>
      </c>
      <c r="F1148" s="33" t="n">
        <v>0</v>
      </c>
      <c r="G1148" s="131"/>
      <c r="H1148" s="35" t="n">
        <v>0</v>
      </c>
      <c r="I1148" s="34" t="n">
        <f aca="false">+IF(E1148=0,0,E1148*0.03)</f>
        <v>0</v>
      </c>
      <c r="J1148" s="93"/>
      <c r="K1148" s="93"/>
      <c r="L1148" s="93"/>
      <c r="M1148" s="93"/>
      <c r="N1148" s="93"/>
      <c r="O1148" s="93"/>
      <c r="P1148" s="93"/>
      <c r="Q1148" s="93"/>
      <c r="R1148" s="93"/>
      <c r="S1148" s="93"/>
      <c r="T1148" s="93"/>
      <c r="U1148" s="93"/>
      <c r="V1148" s="93"/>
      <c r="W1148" s="93"/>
      <c r="X1148" s="93"/>
      <c r="Y1148" s="93"/>
      <c r="Z1148" s="93"/>
    </row>
    <row r="1149" customFormat="false" ht="16.4" hidden="false" customHeight="false" outlineLevel="0" collapsed="false">
      <c r="A1149" s="123" t="n">
        <v>45444</v>
      </c>
      <c r="B1149" s="31" t="s">
        <v>153</v>
      </c>
      <c r="C1149" s="129"/>
      <c r="D1149" s="129"/>
      <c r="E1149" s="19" t="n">
        <f aca="false">F1149*0.03</f>
        <v>0</v>
      </c>
      <c r="F1149" s="33" t="n">
        <v>0</v>
      </c>
      <c r="G1149" s="131"/>
      <c r="H1149" s="35" t="n">
        <v>0</v>
      </c>
      <c r="I1149" s="34" t="n">
        <f aca="false">+IF(E1149=0,0,E1149*0.03)</f>
        <v>0</v>
      </c>
      <c r="J1149" s="93"/>
      <c r="K1149" s="93"/>
      <c r="L1149" s="93"/>
      <c r="M1149" s="93"/>
      <c r="N1149" s="93"/>
      <c r="O1149" s="93"/>
      <c r="P1149" s="93"/>
      <c r="Q1149" s="93"/>
      <c r="R1149" s="93"/>
      <c r="S1149" s="93"/>
      <c r="T1149" s="93"/>
      <c r="U1149" s="93"/>
      <c r="V1149" s="93"/>
      <c r="W1149" s="93"/>
      <c r="X1149" s="93"/>
      <c r="Y1149" s="93"/>
      <c r="Z1149" s="93"/>
    </row>
    <row r="1150" customFormat="false" ht="16.4" hidden="false" customHeight="false" outlineLevel="0" collapsed="false">
      <c r="A1150" s="123" t="n">
        <v>45444</v>
      </c>
      <c r="B1150" s="31" t="s">
        <v>153</v>
      </c>
      <c r="C1150" s="129"/>
      <c r="D1150" s="129"/>
      <c r="E1150" s="19" t="n">
        <f aca="false">F1150*0.03</f>
        <v>0</v>
      </c>
      <c r="F1150" s="33" t="n">
        <v>0</v>
      </c>
      <c r="G1150" s="131"/>
      <c r="H1150" s="35" t="n">
        <v>0</v>
      </c>
      <c r="I1150" s="34" t="n">
        <f aca="false">+IF(E1150=0,0,E1150*0.03)</f>
        <v>0</v>
      </c>
      <c r="J1150" s="93"/>
      <c r="K1150" s="93"/>
      <c r="L1150" s="93"/>
      <c r="M1150" s="93"/>
      <c r="N1150" s="93"/>
      <c r="O1150" s="93"/>
      <c r="P1150" s="93"/>
      <c r="Q1150" s="93"/>
      <c r="R1150" s="93"/>
      <c r="S1150" s="93"/>
      <c r="T1150" s="93"/>
      <c r="U1150" s="93"/>
      <c r="V1150" s="93"/>
      <c r="W1150" s="93"/>
      <c r="X1150" s="93"/>
      <c r="Y1150" s="93"/>
      <c r="Z1150" s="93"/>
    </row>
    <row r="1151" customFormat="false" ht="16.4" hidden="false" customHeight="false" outlineLevel="0" collapsed="false">
      <c r="A1151" s="123" t="n">
        <v>45444</v>
      </c>
      <c r="B1151" s="31" t="s">
        <v>153</v>
      </c>
      <c r="C1151" s="129"/>
      <c r="D1151" s="129"/>
      <c r="E1151" s="19" t="n">
        <f aca="false">F1151*0.03</f>
        <v>0</v>
      </c>
      <c r="F1151" s="33" t="n">
        <v>0</v>
      </c>
      <c r="G1151" s="131"/>
      <c r="H1151" s="35" t="n">
        <v>0</v>
      </c>
      <c r="I1151" s="34" t="n">
        <f aca="false">+IF(E1151=0,0,E1151*0.03)</f>
        <v>0</v>
      </c>
      <c r="J1151" s="93"/>
      <c r="K1151" s="93"/>
      <c r="L1151" s="93"/>
      <c r="M1151" s="93"/>
      <c r="N1151" s="93"/>
      <c r="O1151" s="93"/>
      <c r="P1151" s="93"/>
      <c r="Q1151" s="93"/>
      <c r="R1151" s="93"/>
      <c r="S1151" s="93"/>
      <c r="T1151" s="93"/>
      <c r="U1151" s="93"/>
      <c r="V1151" s="93"/>
      <c r="W1151" s="93"/>
      <c r="X1151" s="93"/>
      <c r="Y1151" s="93"/>
      <c r="Z1151" s="93"/>
    </row>
    <row r="1152" customFormat="false" ht="16.4" hidden="false" customHeight="false" outlineLevel="0" collapsed="false">
      <c r="A1152" s="123" t="n">
        <v>45444</v>
      </c>
      <c r="B1152" s="31" t="s">
        <v>153</v>
      </c>
      <c r="C1152" s="129"/>
      <c r="D1152" s="129"/>
      <c r="E1152" s="19" t="n">
        <f aca="false">F1152*0.03</f>
        <v>0</v>
      </c>
      <c r="F1152" s="33" t="n">
        <v>0</v>
      </c>
      <c r="G1152" s="131"/>
      <c r="H1152" s="35" t="n">
        <v>0</v>
      </c>
      <c r="I1152" s="34" t="n">
        <f aca="false">+IF(E1152=0,0,E1152*0.03)</f>
        <v>0</v>
      </c>
      <c r="J1152" s="93"/>
      <c r="K1152" s="93"/>
      <c r="L1152" s="93"/>
      <c r="M1152" s="93"/>
      <c r="N1152" s="93"/>
      <c r="O1152" s="93"/>
      <c r="P1152" s="93"/>
      <c r="Q1152" s="93"/>
      <c r="R1152" s="93"/>
      <c r="S1152" s="93"/>
      <c r="T1152" s="93"/>
      <c r="U1152" s="93"/>
      <c r="V1152" s="93"/>
      <c r="W1152" s="93"/>
      <c r="X1152" s="93"/>
      <c r="Y1152" s="93"/>
      <c r="Z1152" s="93"/>
    </row>
    <row r="1153" customFormat="false" ht="16.4" hidden="false" customHeight="false" outlineLevel="0" collapsed="false">
      <c r="A1153" s="123" t="n">
        <v>45444</v>
      </c>
      <c r="B1153" s="31" t="s">
        <v>153</v>
      </c>
      <c r="C1153" s="129"/>
      <c r="D1153" s="129"/>
      <c r="E1153" s="19" t="n">
        <f aca="false">F1153*0.03</f>
        <v>0</v>
      </c>
      <c r="F1153" s="33" t="n">
        <v>0</v>
      </c>
      <c r="G1153" s="131"/>
      <c r="H1153" s="35" t="n">
        <v>0</v>
      </c>
      <c r="I1153" s="34" t="n">
        <f aca="false">+IF(E1153=0,0,E1153*0.03)</f>
        <v>0</v>
      </c>
      <c r="J1153" s="93"/>
      <c r="K1153" s="93"/>
      <c r="L1153" s="93"/>
      <c r="M1153" s="93"/>
      <c r="N1153" s="93"/>
      <c r="O1153" s="93"/>
      <c r="P1153" s="93"/>
      <c r="Q1153" s="93"/>
      <c r="R1153" s="93"/>
      <c r="S1153" s="93"/>
      <c r="T1153" s="93"/>
      <c r="U1153" s="93"/>
      <c r="V1153" s="93"/>
      <c r="W1153" s="93"/>
      <c r="X1153" s="93"/>
      <c r="Y1153" s="93"/>
      <c r="Z1153" s="93"/>
    </row>
    <row r="1154" customFormat="false" ht="16.4" hidden="false" customHeight="false" outlineLevel="0" collapsed="false">
      <c r="A1154" s="123" t="n">
        <v>45444</v>
      </c>
      <c r="B1154" s="31" t="s">
        <v>153</v>
      </c>
      <c r="C1154" s="129"/>
      <c r="D1154" s="129"/>
      <c r="E1154" s="19" t="n">
        <f aca="false">F1154*0.03</f>
        <v>0</v>
      </c>
      <c r="F1154" s="33" t="n">
        <v>0</v>
      </c>
      <c r="G1154" s="131"/>
      <c r="H1154" s="35" t="n">
        <v>0</v>
      </c>
      <c r="I1154" s="34" t="n">
        <f aca="false">+IF(E1154=0,0,E1154*0.03)</f>
        <v>0</v>
      </c>
      <c r="J1154" s="93"/>
      <c r="K1154" s="93"/>
      <c r="L1154" s="93"/>
      <c r="M1154" s="93"/>
      <c r="N1154" s="93"/>
      <c r="O1154" s="93"/>
      <c r="P1154" s="93"/>
      <c r="Q1154" s="93"/>
      <c r="R1154" s="93"/>
      <c r="S1154" s="93"/>
      <c r="T1154" s="93"/>
      <c r="U1154" s="93"/>
      <c r="V1154" s="93"/>
      <c r="W1154" s="93"/>
      <c r="X1154" s="93"/>
      <c r="Y1154" s="93"/>
      <c r="Z1154" s="93"/>
    </row>
    <row r="1155" customFormat="false" ht="16.4" hidden="false" customHeight="false" outlineLevel="0" collapsed="false">
      <c r="A1155" s="123" t="n">
        <v>45444</v>
      </c>
      <c r="B1155" s="31" t="s">
        <v>153</v>
      </c>
      <c r="C1155" s="129"/>
      <c r="D1155" s="129"/>
      <c r="E1155" s="19" t="n">
        <f aca="false">F1155*0.03</f>
        <v>0</v>
      </c>
      <c r="F1155" s="33" t="n">
        <v>0</v>
      </c>
      <c r="G1155" s="131"/>
      <c r="H1155" s="35" t="n">
        <v>0</v>
      </c>
      <c r="I1155" s="34" t="n">
        <f aca="false">+IF(E1155=0,0,E1155*0.03)</f>
        <v>0</v>
      </c>
      <c r="J1155" s="93"/>
      <c r="K1155" s="93"/>
      <c r="L1155" s="93"/>
      <c r="M1155" s="93"/>
      <c r="N1155" s="93"/>
      <c r="O1155" s="93"/>
      <c r="P1155" s="93"/>
      <c r="Q1155" s="93"/>
      <c r="R1155" s="93"/>
      <c r="S1155" s="93"/>
      <c r="T1155" s="93"/>
      <c r="U1155" s="93"/>
      <c r="V1155" s="93"/>
      <c r="W1155" s="93"/>
      <c r="X1155" s="93"/>
      <c r="Y1155" s="93"/>
      <c r="Z1155" s="93"/>
    </row>
    <row r="1156" customFormat="false" ht="16.4" hidden="false" customHeight="false" outlineLevel="0" collapsed="false">
      <c r="A1156" s="123" t="n">
        <v>45444</v>
      </c>
      <c r="B1156" s="31" t="s">
        <v>153</v>
      </c>
      <c r="C1156" s="129"/>
      <c r="D1156" s="129"/>
      <c r="E1156" s="19" t="n">
        <f aca="false">F1156*0.03</f>
        <v>0</v>
      </c>
      <c r="F1156" s="33" t="n">
        <v>0</v>
      </c>
      <c r="G1156" s="131"/>
      <c r="H1156" s="35" t="n">
        <v>0</v>
      </c>
      <c r="I1156" s="34" t="n">
        <f aca="false">+IF(E1156=0,0,E1156*0.03)</f>
        <v>0</v>
      </c>
      <c r="J1156" s="93"/>
      <c r="K1156" s="93"/>
      <c r="L1156" s="93"/>
      <c r="M1156" s="93"/>
      <c r="N1156" s="93"/>
      <c r="O1156" s="93"/>
      <c r="P1156" s="93"/>
      <c r="Q1156" s="93"/>
      <c r="R1156" s="93"/>
      <c r="S1156" s="93"/>
      <c r="T1156" s="93"/>
      <c r="U1156" s="93"/>
      <c r="V1156" s="93"/>
      <c r="W1156" s="93"/>
      <c r="X1156" s="93"/>
      <c r="Y1156" s="93"/>
      <c r="Z1156" s="93"/>
    </row>
    <row r="1157" customFormat="false" ht="16.4" hidden="false" customHeight="false" outlineLevel="0" collapsed="false">
      <c r="A1157" s="123" t="n">
        <v>45444</v>
      </c>
      <c r="B1157" s="31" t="s">
        <v>153</v>
      </c>
      <c r="C1157" s="129"/>
      <c r="D1157" s="129"/>
      <c r="E1157" s="19" t="n">
        <f aca="false">F1157*0.03</f>
        <v>0</v>
      </c>
      <c r="F1157" s="33" t="n">
        <v>0</v>
      </c>
      <c r="G1157" s="131"/>
      <c r="H1157" s="35" t="n">
        <v>0</v>
      </c>
      <c r="I1157" s="34" t="n">
        <f aca="false">+IF(E1157=0,0,E1157*0.03)</f>
        <v>0</v>
      </c>
      <c r="J1157" s="93"/>
      <c r="K1157" s="93"/>
      <c r="L1157" s="93"/>
      <c r="M1157" s="93"/>
      <c r="N1157" s="93"/>
      <c r="O1157" s="93"/>
      <c r="P1157" s="93"/>
      <c r="Q1157" s="93"/>
      <c r="R1157" s="93"/>
      <c r="S1157" s="93"/>
      <c r="T1157" s="93"/>
      <c r="U1157" s="93"/>
      <c r="V1157" s="93"/>
      <c r="W1157" s="93"/>
      <c r="X1157" s="93"/>
      <c r="Y1157" s="93"/>
      <c r="Z1157" s="93"/>
    </row>
    <row r="1158" customFormat="false" ht="16.4" hidden="false" customHeight="false" outlineLevel="0" collapsed="false">
      <c r="A1158" s="123" t="n">
        <v>45444</v>
      </c>
      <c r="B1158" s="31" t="s">
        <v>153</v>
      </c>
      <c r="C1158" s="129"/>
      <c r="D1158" s="129"/>
      <c r="E1158" s="19" t="n">
        <f aca="false">F1158*0.03</f>
        <v>0</v>
      </c>
      <c r="F1158" s="33" t="n">
        <v>0</v>
      </c>
      <c r="G1158" s="131"/>
      <c r="H1158" s="35" t="n">
        <v>0</v>
      </c>
      <c r="I1158" s="34" t="n">
        <f aca="false">+IF(E1158=0,0,E1158*0.03)</f>
        <v>0</v>
      </c>
      <c r="J1158" s="93"/>
      <c r="K1158" s="93"/>
      <c r="L1158" s="93"/>
      <c r="M1158" s="93"/>
      <c r="N1158" s="93"/>
      <c r="O1158" s="93"/>
      <c r="P1158" s="93"/>
      <c r="Q1158" s="93"/>
      <c r="R1158" s="93"/>
      <c r="S1158" s="93"/>
      <c r="T1158" s="93"/>
      <c r="U1158" s="93"/>
      <c r="V1158" s="93"/>
      <c r="W1158" s="93"/>
      <c r="X1158" s="93"/>
      <c r="Y1158" s="93"/>
      <c r="Z1158" s="93"/>
    </row>
    <row r="1159" customFormat="false" ht="16.4" hidden="false" customHeight="false" outlineLevel="0" collapsed="false">
      <c r="A1159" s="123" t="n">
        <v>45444</v>
      </c>
      <c r="B1159" s="31" t="s">
        <v>153</v>
      </c>
      <c r="C1159" s="129"/>
      <c r="D1159" s="129"/>
      <c r="E1159" s="19" t="n">
        <f aca="false">F1159*0.03</f>
        <v>0</v>
      </c>
      <c r="F1159" s="33" t="n">
        <v>0</v>
      </c>
      <c r="G1159" s="131"/>
      <c r="H1159" s="35" t="n">
        <v>0</v>
      </c>
      <c r="I1159" s="34" t="n">
        <f aca="false">+IF(E1159=0,0,E1159*0.03)</f>
        <v>0</v>
      </c>
      <c r="J1159" s="93"/>
      <c r="K1159" s="93"/>
      <c r="L1159" s="93"/>
      <c r="M1159" s="93"/>
      <c r="N1159" s="93"/>
      <c r="O1159" s="93"/>
      <c r="P1159" s="93"/>
      <c r="Q1159" s="93"/>
      <c r="R1159" s="93"/>
      <c r="S1159" s="93"/>
      <c r="T1159" s="93"/>
      <c r="U1159" s="93"/>
      <c r="V1159" s="93"/>
      <c r="W1159" s="93"/>
      <c r="X1159" s="93"/>
      <c r="Y1159" s="93"/>
      <c r="Z1159" s="93"/>
    </row>
    <row r="1160" customFormat="false" ht="16.4" hidden="false" customHeight="false" outlineLevel="0" collapsed="false">
      <c r="A1160" s="123" t="n">
        <v>45444</v>
      </c>
      <c r="B1160" s="31" t="s">
        <v>153</v>
      </c>
      <c r="C1160" s="129"/>
      <c r="D1160" s="129"/>
      <c r="E1160" s="19" t="n">
        <f aca="false">F1160*0.03</f>
        <v>0</v>
      </c>
      <c r="F1160" s="33" t="n">
        <v>0</v>
      </c>
      <c r="G1160" s="131"/>
      <c r="H1160" s="35" t="n">
        <v>0</v>
      </c>
      <c r="I1160" s="34" t="n">
        <f aca="false">+IF(E1160=0,0,E1160*0.03)</f>
        <v>0</v>
      </c>
      <c r="J1160" s="93"/>
      <c r="K1160" s="93"/>
      <c r="L1160" s="93"/>
      <c r="M1160" s="93"/>
      <c r="N1160" s="93"/>
      <c r="O1160" s="93"/>
      <c r="P1160" s="93"/>
      <c r="Q1160" s="93"/>
      <c r="R1160" s="93"/>
      <c r="S1160" s="93"/>
      <c r="T1160" s="93"/>
      <c r="U1160" s="93"/>
      <c r="V1160" s="93"/>
      <c r="W1160" s="93"/>
      <c r="X1160" s="93"/>
      <c r="Y1160" s="93"/>
      <c r="Z1160" s="93"/>
    </row>
    <row r="1161" customFormat="false" ht="16.4" hidden="false" customHeight="false" outlineLevel="0" collapsed="false">
      <c r="A1161" s="123" t="n">
        <v>45444</v>
      </c>
      <c r="B1161" s="31" t="s">
        <v>153</v>
      </c>
      <c r="C1161" s="129"/>
      <c r="D1161" s="129"/>
      <c r="E1161" s="19" t="n">
        <f aca="false">F1161*0.03</f>
        <v>0</v>
      </c>
      <c r="F1161" s="33" t="n">
        <v>0</v>
      </c>
      <c r="G1161" s="131"/>
      <c r="H1161" s="35" t="n">
        <v>0</v>
      </c>
      <c r="I1161" s="34" t="n">
        <f aca="false">+IF(E1161=0,0,E1161*0.03)</f>
        <v>0</v>
      </c>
      <c r="J1161" s="93"/>
      <c r="K1161" s="93"/>
      <c r="L1161" s="93"/>
      <c r="M1161" s="93"/>
      <c r="N1161" s="93"/>
      <c r="O1161" s="93"/>
      <c r="P1161" s="93"/>
      <c r="Q1161" s="93"/>
      <c r="R1161" s="93"/>
      <c r="S1161" s="93"/>
      <c r="T1161" s="93"/>
      <c r="U1161" s="93"/>
      <c r="V1161" s="93"/>
      <c r="W1161" s="93"/>
      <c r="X1161" s="93"/>
      <c r="Y1161" s="93"/>
      <c r="Z1161" s="93"/>
    </row>
    <row r="1162" customFormat="false" ht="16.4" hidden="false" customHeight="false" outlineLevel="0" collapsed="false">
      <c r="A1162" s="123" t="n">
        <v>45444</v>
      </c>
      <c r="B1162" s="31" t="s">
        <v>153</v>
      </c>
      <c r="C1162" s="129"/>
      <c r="D1162" s="129"/>
      <c r="E1162" s="19" t="n">
        <f aca="false">F1162*0.03</f>
        <v>0</v>
      </c>
      <c r="F1162" s="33" t="n">
        <v>0</v>
      </c>
      <c r="G1162" s="131"/>
      <c r="H1162" s="35" t="n">
        <v>0</v>
      </c>
      <c r="I1162" s="34" t="n">
        <f aca="false">+IF(E1162=0,0,E1162*0.03)</f>
        <v>0</v>
      </c>
      <c r="J1162" s="93"/>
      <c r="K1162" s="93"/>
      <c r="L1162" s="93"/>
      <c r="M1162" s="93"/>
      <c r="N1162" s="93"/>
      <c r="O1162" s="93"/>
      <c r="P1162" s="93"/>
      <c r="Q1162" s="93"/>
      <c r="R1162" s="93"/>
      <c r="S1162" s="93"/>
      <c r="T1162" s="93"/>
      <c r="U1162" s="93"/>
      <c r="V1162" s="93"/>
      <c r="W1162" s="93"/>
      <c r="X1162" s="93"/>
      <c r="Y1162" s="93"/>
      <c r="Z1162" s="93"/>
    </row>
    <row r="1163" customFormat="false" ht="16.4" hidden="false" customHeight="false" outlineLevel="0" collapsed="false">
      <c r="A1163" s="123" t="n">
        <v>45444</v>
      </c>
      <c r="B1163" s="31" t="s">
        <v>153</v>
      </c>
      <c r="C1163" s="129"/>
      <c r="D1163" s="129"/>
      <c r="E1163" s="19" t="n">
        <f aca="false">F1163*0.03</f>
        <v>0</v>
      </c>
      <c r="F1163" s="33" t="n">
        <v>0</v>
      </c>
      <c r="G1163" s="131"/>
      <c r="H1163" s="35" t="n">
        <v>0</v>
      </c>
      <c r="I1163" s="34" t="n">
        <f aca="false">+IF(E1163=0,0,E1163*0.03)</f>
        <v>0</v>
      </c>
      <c r="J1163" s="93"/>
      <c r="K1163" s="93"/>
      <c r="L1163" s="93"/>
      <c r="M1163" s="93"/>
      <c r="N1163" s="93"/>
      <c r="O1163" s="93"/>
      <c r="P1163" s="93"/>
      <c r="Q1163" s="93"/>
      <c r="R1163" s="93"/>
      <c r="S1163" s="93"/>
      <c r="T1163" s="93"/>
      <c r="U1163" s="93"/>
      <c r="V1163" s="93"/>
      <c r="W1163" s="93"/>
      <c r="X1163" s="93"/>
      <c r="Y1163" s="93"/>
      <c r="Z1163" s="93"/>
    </row>
    <row r="1164" customFormat="false" ht="16.4" hidden="false" customHeight="false" outlineLevel="0" collapsed="false">
      <c r="A1164" s="123" t="n">
        <v>45444</v>
      </c>
      <c r="B1164" s="31" t="s">
        <v>153</v>
      </c>
      <c r="C1164" s="129"/>
      <c r="D1164" s="129"/>
      <c r="E1164" s="19" t="n">
        <f aca="false">F1164*0.03</f>
        <v>0</v>
      </c>
      <c r="F1164" s="33" t="n">
        <v>0</v>
      </c>
      <c r="G1164" s="131"/>
      <c r="H1164" s="35" t="n">
        <v>0</v>
      </c>
      <c r="I1164" s="34" t="n">
        <f aca="false">+IF(E1164=0,0,E1164*0.03)</f>
        <v>0</v>
      </c>
      <c r="J1164" s="93"/>
      <c r="K1164" s="93"/>
      <c r="L1164" s="93"/>
      <c r="M1164" s="93"/>
      <c r="N1164" s="93"/>
      <c r="O1164" s="93"/>
      <c r="P1164" s="93"/>
      <c r="Q1164" s="93"/>
      <c r="R1164" s="93"/>
      <c r="S1164" s="93"/>
      <c r="T1164" s="93"/>
      <c r="U1164" s="93"/>
      <c r="V1164" s="93"/>
      <c r="W1164" s="93"/>
      <c r="X1164" s="93"/>
      <c r="Y1164" s="93"/>
      <c r="Z1164" s="93"/>
    </row>
    <row r="1165" customFormat="false" ht="16.4" hidden="false" customHeight="false" outlineLevel="0" collapsed="false">
      <c r="A1165" s="123" t="n">
        <v>45444</v>
      </c>
      <c r="B1165" s="31" t="s">
        <v>153</v>
      </c>
      <c r="C1165" s="129"/>
      <c r="D1165" s="129"/>
      <c r="E1165" s="19" t="n">
        <f aca="false">F1165*0.03</f>
        <v>0</v>
      </c>
      <c r="F1165" s="33" t="n">
        <v>0</v>
      </c>
      <c r="G1165" s="131"/>
      <c r="H1165" s="35" t="n">
        <v>0</v>
      </c>
      <c r="I1165" s="34" t="n">
        <f aca="false">+IF(E1165=0,0,E1165*0.03)</f>
        <v>0</v>
      </c>
      <c r="J1165" s="93"/>
      <c r="K1165" s="93"/>
      <c r="L1165" s="93"/>
      <c r="M1165" s="93"/>
      <c r="N1165" s="93"/>
      <c r="O1165" s="93"/>
      <c r="P1165" s="93"/>
      <c r="Q1165" s="93"/>
      <c r="R1165" s="93"/>
      <c r="S1165" s="93"/>
      <c r="T1165" s="93"/>
      <c r="U1165" s="93"/>
      <c r="V1165" s="93"/>
      <c r="W1165" s="93"/>
      <c r="X1165" s="93"/>
      <c r="Y1165" s="93"/>
      <c r="Z1165" s="93"/>
    </row>
    <row r="1166" customFormat="false" ht="16.4" hidden="false" customHeight="false" outlineLevel="0" collapsed="false">
      <c r="A1166" s="123" t="n">
        <v>45444</v>
      </c>
      <c r="B1166" s="31" t="s">
        <v>153</v>
      </c>
      <c r="C1166" s="129"/>
      <c r="D1166" s="129"/>
      <c r="E1166" s="19" t="n">
        <f aca="false">F1166*0.03</f>
        <v>0</v>
      </c>
      <c r="F1166" s="33" t="n">
        <v>0</v>
      </c>
      <c r="G1166" s="131"/>
      <c r="H1166" s="35" t="n">
        <v>0</v>
      </c>
      <c r="I1166" s="34" t="n">
        <f aca="false">+IF(E1166=0,0,E1166*0.03)</f>
        <v>0</v>
      </c>
      <c r="J1166" s="93"/>
      <c r="K1166" s="93"/>
      <c r="L1166" s="93"/>
      <c r="M1166" s="93"/>
      <c r="N1166" s="93"/>
      <c r="O1166" s="93"/>
      <c r="P1166" s="93"/>
      <c r="Q1166" s="93"/>
      <c r="R1166" s="93"/>
      <c r="S1166" s="93"/>
      <c r="T1166" s="93"/>
      <c r="U1166" s="93"/>
      <c r="V1166" s="93"/>
      <c r="W1166" s="93"/>
      <c r="X1166" s="93"/>
      <c r="Y1166" s="93"/>
      <c r="Z1166" s="93"/>
    </row>
    <row r="1167" customFormat="false" ht="16.4" hidden="false" customHeight="false" outlineLevel="0" collapsed="false">
      <c r="A1167" s="123" t="n">
        <v>45444</v>
      </c>
      <c r="B1167" s="31" t="s">
        <v>153</v>
      </c>
      <c r="C1167" s="129"/>
      <c r="D1167" s="129"/>
      <c r="E1167" s="19" t="n">
        <f aca="false">F1167*0.03</f>
        <v>0</v>
      </c>
      <c r="F1167" s="33" t="n">
        <v>0</v>
      </c>
      <c r="G1167" s="131"/>
      <c r="H1167" s="35" t="n">
        <v>0</v>
      </c>
      <c r="I1167" s="34" t="n">
        <f aca="false">+IF(E1167=0,0,E1167*0.03)</f>
        <v>0</v>
      </c>
      <c r="J1167" s="93"/>
      <c r="K1167" s="93"/>
      <c r="L1167" s="93"/>
      <c r="M1167" s="93"/>
      <c r="N1167" s="93"/>
      <c r="O1167" s="93"/>
      <c r="P1167" s="93"/>
      <c r="Q1167" s="93"/>
      <c r="R1167" s="93"/>
      <c r="S1167" s="93"/>
      <c r="T1167" s="93"/>
      <c r="U1167" s="93"/>
      <c r="V1167" s="93"/>
      <c r="W1167" s="93"/>
      <c r="X1167" s="93"/>
      <c r="Y1167" s="93"/>
      <c r="Z1167" s="93"/>
    </row>
    <row r="1168" customFormat="false" ht="16.4" hidden="false" customHeight="false" outlineLevel="0" collapsed="false">
      <c r="A1168" s="123" t="n">
        <v>45444</v>
      </c>
      <c r="B1168" s="31" t="s">
        <v>153</v>
      </c>
      <c r="C1168" s="129"/>
      <c r="D1168" s="129"/>
      <c r="E1168" s="19" t="n">
        <f aca="false">F1168*0.03</f>
        <v>0</v>
      </c>
      <c r="F1168" s="33" t="n">
        <v>0</v>
      </c>
      <c r="G1168" s="131"/>
      <c r="H1168" s="35" t="n">
        <v>0</v>
      </c>
      <c r="I1168" s="34" t="n">
        <f aca="false">+IF(E1168=0,0,E1168*0.03)</f>
        <v>0</v>
      </c>
      <c r="J1168" s="93"/>
      <c r="K1168" s="93"/>
      <c r="L1168" s="93"/>
      <c r="M1168" s="93"/>
      <c r="N1168" s="93"/>
      <c r="O1168" s="93"/>
      <c r="P1168" s="93"/>
      <c r="Q1168" s="93"/>
      <c r="R1168" s="93"/>
      <c r="S1168" s="93"/>
      <c r="T1168" s="93"/>
      <c r="U1168" s="93"/>
      <c r="V1168" s="93"/>
      <c r="W1168" s="93"/>
      <c r="X1168" s="93"/>
      <c r="Y1168" s="93"/>
      <c r="Z1168" s="93"/>
    </row>
    <row r="1169" customFormat="false" ht="16.4" hidden="false" customHeight="false" outlineLevel="0" collapsed="false">
      <c r="A1169" s="123" t="n">
        <v>45444</v>
      </c>
      <c r="B1169" s="31" t="s">
        <v>153</v>
      </c>
      <c r="C1169" s="129"/>
      <c r="D1169" s="129"/>
      <c r="E1169" s="19" t="n">
        <f aca="false">F1169*0.03</f>
        <v>0</v>
      </c>
      <c r="F1169" s="33" t="n">
        <v>0</v>
      </c>
      <c r="G1169" s="131"/>
      <c r="H1169" s="35" t="n">
        <v>0</v>
      </c>
      <c r="I1169" s="34" t="n">
        <f aca="false">+IF(E1169=0,0,E1169*0.03)</f>
        <v>0</v>
      </c>
      <c r="J1169" s="93"/>
      <c r="K1169" s="93"/>
      <c r="L1169" s="93"/>
      <c r="M1169" s="93"/>
      <c r="N1169" s="93"/>
      <c r="O1169" s="93"/>
      <c r="P1169" s="93"/>
      <c r="Q1169" s="93"/>
      <c r="R1169" s="93"/>
      <c r="S1169" s="93"/>
      <c r="T1169" s="93"/>
      <c r="U1169" s="93"/>
      <c r="V1169" s="93"/>
      <c r="W1169" s="93"/>
      <c r="X1169" s="93"/>
      <c r="Y1169" s="93"/>
      <c r="Z1169" s="93"/>
    </row>
    <row r="1170" customFormat="false" ht="16.4" hidden="false" customHeight="false" outlineLevel="0" collapsed="false">
      <c r="A1170" s="123" t="n">
        <v>45444</v>
      </c>
      <c r="B1170" s="31" t="s">
        <v>153</v>
      </c>
      <c r="C1170" s="129"/>
      <c r="D1170" s="129"/>
      <c r="E1170" s="19" t="n">
        <f aca="false">F1170*0.03</f>
        <v>0</v>
      </c>
      <c r="F1170" s="33" t="n">
        <v>0</v>
      </c>
      <c r="G1170" s="131"/>
      <c r="H1170" s="35" t="n">
        <v>0</v>
      </c>
      <c r="I1170" s="34" t="n">
        <f aca="false">+IF(E1170=0,0,E1170*0.03)</f>
        <v>0</v>
      </c>
      <c r="J1170" s="93"/>
      <c r="K1170" s="93"/>
      <c r="L1170" s="93"/>
      <c r="M1170" s="93"/>
      <c r="N1170" s="93"/>
      <c r="O1170" s="93"/>
      <c r="P1170" s="93"/>
      <c r="Q1170" s="93"/>
      <c r="R1170" s="93"/>
      <c r="S1170" s="93"/>
      <c r="T1170" s="93"/>
      <c r="U1170" s="93"/>
      <c r="V1170" s="93"/>
      <c r="W1170" s="93"/>
      <c r="X1170" s="93"/>
      <c r="Y1170" s="93"/>
      <c r="Z1170" s="93"/>
    </row>
    <row r="1171" customFormat="false" ht="16.4" hidden="false" customHeight="false" outlineLevel="0" collapsed="false">
      <c r="A1171" s="123" t="n">
        <v>45444</v>
      </c>
      <c r="B1171" s="31" t="s">
        <v>153</v>
      </c>
      <c r="C1171" s="129"/>
      <c r="D1171" s="129"/>
      <c r="E1171" s="19" t="n">
        <f aca="false">F1171*0.03</f>
        <v>0</v>
      </c>
      <c r="F1171" s="33" t="n">
        <v>0</v>
      </c>
      <c r="G1171" s="131"/>
      <c r="H1171" s="35" t="n">
        <v>0</v>
      </c>
      <c r="I1171" s="34" t="n">
        <f aca="false">+IF(E1171=0,0,E1171*0.03)</f>
        <v>0</v>
      </c>
      <c r="J1171" s="93"/>
      <c r="K1171" s="93"/>
      <c r="L1171" s="93"/>
      <c r="M1171" s="93"/>
      <c r="N1171" s="93"/>
      <c r="O1171" s="93"/>
      <c r="P1171" s="93"/>
      <c r="Q1171" s="93"/>
      <c r="R1171" s="93"/>
      <c r="S1171" s="93"/>
      <c r="T1171" s="93"/>
      <c r="U1171" s="93"/>
      <c r="V1171" s="93"/>
      <c r="W1171" s="93"/>
      <c r="X1171" s="93"/>
      <c r="Y1171" s="93"/>
      <c r="Z1171" s="93"/>
    </row>
    <row r="1172" customFormat="false" ht="16.4" hidden="false" customHeight="false" outlineLevel="0" collapsed="false">
      <c r="A1172" s="123" t="n">
        <v>45444</v>
      </c>
      <c r="B1172" s="31" t="s">
        <v>153</v>
      </c>
      <c r="C1172" s="129"/>
      <c r="D1172" s="129"/>
      <c r="E1172" s="19" t="n">
        <f aca="false">F1172*0.03</f>
        <v>0</v>
      </c>
      <c r="F1172" s="33" t="n">
        <v>0</v>
      </c>
      <c r="G1172" s="131"/>
      <c r="H1172" s="35" t="n">
        <v>0</v>
      </c>
      <c r="I1172" s="34" t="n">
        <f aca="false">+IF(E1172=0,0,E1172*0.03)</f>
        <v>0</v>
      </c>
      <c r="J1172" s="93"/>
      <c r="K1172" s="93"/>
      <c r="L1172" s="93"/>
      <c r="M1172" s="93"/>
      <c r="N1172" s="93"/>
      <c r="O1172" s="93"/>
      <c r="P1172" s="93"/>
      <c r="Q1172" s="93"/>
      <c r="R1172" s="93"/>
      <c r="S1172" s="93"/>
      <c r="T1172" s="93"/>
      <c r="U1172" s="93"/>
      <c r="V1172" s="93"/>
      <c r="W1172" s="93"/>
      <c r="X1172" s="93"/>
      <c r="Y1172" s="93"/>
      <c r="Z1172" s="93"/>
    </row>
    <row r="1173" customFormat="false" ht="16.4" hidden="false" customHeight="false" outlineLevel="0" collapsed="false">
      <c r="A1173" s="123" t="n">
        <v>45444</v>
      </c>
      <c r="B1173" s="31" t="s">
        <v>153</v>
      </c>
      <c r="C1173" s="129"/>
      <c r="D1173" s="129"/>
      <c r="E1173" s="19" t="n">
        <f aca="false">F1173*0.03</f>
        <v>0</v>
      </c>
      <c r="F1173" s="33" t="n">
        <v>0</v>
      </c>
      <c r="G1173" s="131"/>
      <c r="H1173" s="35" t="n">
        <v>0</v>
      </c>
      <c r="I1173" s="34" t="n">
        <f aca="false">+IF(E1173=0,0,E1173*0.03)</f>
        <v>0</v>
      </c>
      <c r="J1173" s="93"/>
      <c r="K1173" s="93"/>
      <c r="L1173" s="93"/>
      <c r="M1173" s="93"/>
      <c r="N1173" s="93"/>
      <c r="O1173" s="93"/>
      <c r="P1173" s="93"/>
      <c r="Q1173" s="93"/>
      <c r="R1173" s="93"/>
      <c r="S1173" s="93"/>
      <c r="T1173" s="93"/>
      <c r="U1173" s="93"/>
      <c r="V1173" s="93"/>
      <c r="W1173" s="93"/>
      <c r="X1173" s="93"/>
      <c r="Y1173" s="93"/>
      <c r="Z1173" s="93"/>
    </row>
    <row r="1174" customFormat="false" ht="16.4" hidden="false" customHeight="false" outlineLevel="0" collapsed="false">
      <c r="A1174" s="123" t="n">
        <v>45444</v>
      </c>
      <c r="B1174" s="31" t="s">
        <v>153</v>
      </c>
      <c r="C1174" s="129"/>
      <c r="D1174" s="129"/>
      <c r="E1174" s="19" t="n">
        <f aca="false">F1174*0.03</f>
        <v>0</v>
      </c>
      <c r="F1174" s="33" t="n">
        <v>0</v>
      </c>
      <c r="G1174" s="131"/>
      <c r="H1174" s="35" t="n">
        <v>0</v>
      </c>
      <c r="I1174" s="34" t="n">
        <f aca="false">+IF(E1174=0,0,E1174*0.03)</f>
        <v>0</v>
      </c>
      <c r="J1174" s="93"/>
      <c r="K1174" s="93"/>
      <c r="L1174" s="93"/>
      <c r="M1174" s="93"/>
      <c r="N1174" s="93"/>
      <c r="O1174" s="93"/>
      <c r="P1174" s="93"/>
      <c r="Q1174" s="93"/>
      <c r="R1174" s="93"/>
      <c r="S1174" s="93"/>
      <c r="T1174" s="93"/>
      <c r="U1174" s="93"/>
      <c r="V1174" s="93"/>
      <c r="W1174" s="93"/>
      <c r="X1174" s="93"/>
      <c r="Y1174" s="93"/>
      <c r="Z1174" s="93"/>
    </row>
    <row r="1175" customFormat="false" ht="16.4" hidden="false" customHeight="false" outlineLevel="0" collapsed="false">
      <c r="A1175" s="123" t="n">
        <v>45444</v>
      </c>
      <c r="B1175" s="31" t="s">
        <v>153</v>
      </c>
      <c r="C1175" s="129"/>
      <c r="D1175" s="129"/>
      <c r="E1175" s="19" t="n">
        <f aca="false">F1175*0.03</f>
        <v>0</v>
      </c>
      <c r="F1175" s="33" t="n">
        <v>0</v>
      </c>
      <c r="G1175" s="131"/>
      <c r="H1175" s="35" t="n">
        <v>0</v>
      </c>
      <c r="I1175" s="34" t="n">
        <f aca="false">+IF(E1175=0,0,E1175*0.03)</f>
        <v>0</v>
      </c>
      <c r="J1175" s="93"/>
      <c r="K1175" s="93"/>
      <c r="L1175" s="93"/>
      <c r="M1175" s="93"/>
      <c r="N1175" s="93"/>
      <c r="O1175" s="93"/>
      <c r="P1175" s="93"/>
      <c r="Q1175" s="93"/>
      <c r="R1175" s="93"/>
      <c r="S1175" s="93"/>
      <c r="T1175" s="93"/>
      <c r="U1175" s="93"/>
      <c r="V1175" s="93"/>
      <c r="W1175" s="93"/>
      <c r="X1175" s="93"/>
      <c r="Y1175" s="93"/>
      <c r="Z1175" s="93"/>
    </row>
    <row r="1176" customFormat="false" ht="16.4" hidden="false" customHeight="false" outlineLevel="0" collapsed="false">
      <c r="A1176" s="123" t="n">
        <v>45444</v>
      </c>
      <c r="B1176" s="31" t="s">
        <v>153</v>
      </c>
      <c r="C1176" s="129"/>
      <c r="D1176" s="129"/>
      <c r="E1176" s="19" t="n">
        <f aca="false">F1176*0.03</f>
        <v>0</v>
      </c>
      <c r="F1176" s="33" t="n">
        <v>0</v>
      </c>
      <c r="G1176" s="131"/>
      <c r="H1176" s="35" t="n">
        <v>0</v>
      </c>
      <c r="I1176" s="34" t="n">
        <f aca="false">+IF(E1176=0,0,E1176*0.03)</f>
        <v>0</v>
      </c>
      <c r="J1176" s="93"/>
      <c r="K1176" s="93"/>
      <c r="L1176" s="93"/>
      <c r="M1176" s="93"/>
      <c r="N1176" s="93"/>
      <c r="O1176" s="93"/>
      <c r="P1176" s="93"/>
      <c r="Q1176" s="93"/>
      <c r="R1176" s="93"/>
      <c r="S1176" s="93"/>
      <c r="T1176" s="93"/>
      <c r="U1176" s="93"/>
      <c r="V1176" s="93"/>
      <c r="W1176" s="93"/>
      <c r="X1176" s="93"/>
      <c r="Y1176" s="93"/>
      <c r="Z1176" s="93"/>
    </row>
    <row r="1177" customFormat="false" ht="16.4" hidden="false" customHeight="false" outlineLevel="0" collapsed="false">
      <c r="A1177" s="123" t="n">
        <v>45444</v>
      </c>
      <c r="B1177" s="31" t="s">
        <v>153</v>
      </c>
      <c r="C1177" s="129"/>
      <c r="D1177" s="129"/>
      <c r="E1177" s="19" t="n">
        <f aca="false">F1177*0.03</f>
        <v>0</v>
      </c>
      <c r="F1177" s="33" t="n">
        <v>0</v>
      </c>
      <c r="G1177" s="131"/>
      <c r="H1177" s="35" t="n">
        <v>0</v>
      </c>
      <c r="I1177" s="34" t="n">
        <f aca="false">+IF(E1177=0,0,E1177*0.03)</f>
        <v>0</v>
      </c>
      <c r="J1177" s="93"/>
      <c r="K1177" s="93"/>
      <c r="L1177" s="93"/>
      <c r="M1177" s="93"/>
      <c r="N1177" s="93"/>
      <c r="O1177" s="93"/>
      <c r="P1177" s="93"/>
      <c r="Q1177" s="93"/>
      <c r="R1177" s="93"/>
      <c r="S1177" s="93"/>
      <c r="T1177" s="93"/>
      <c r="U1177" s="93"/>
      <c r="V1177" s="93"/>
      <c r="W1177" s="93"/>
      <c r="X1177" s="93"/>
      <c r="Y1177" s="93"/>
      <c r="Z1177" s="93"/>
    </row>
    <row r="1178" customFormat="false" ht="16.4" hidden="false" customHeight="false" outlineLevel="0" collapsed="false">
      <c r="A1178" s="123" t="n">
        <v>45444</v>
      </c>
      <c r="B1178" s="31" t="s">
        <v>153</v>
      </c>
      <c r="C1178" s="129"/>
      <c r="D1178" s="129"/>
      <c r="E1178" s="19" t="n">
        <f aca="false">F1178*0.03</f>
        <v>0</v>
      </c>
      <c r="F1178" s="33" t="n">
        <v>0</v>
      </c>
      <c r="G1178" s="131"/>
      <c r="H1178" s="35" t="n">
        <v>0</v>
      </c>
      <c r="I1178" s="34" t="n">
        <f aca="false">+IF(E1178=0,0,E1178*0.03)</f>
        <v>0</v>
      </c>
      <c r="J1178" s="93"/>
      <c r="K1178" s="93"/>
      <c r="L1178" s="93"/>
      <c r="M1178" s="93"/>
      <c r="N1178" s="93"/>
      <c r="O1178" s="93"/>
      <c r="P1178" s="93"/>
      <c r="Q1178" s="93"/>
      <c r="R1178" s="93"/>
      <c r="S1178" s="93"/>
      <c r="T1178" s="93"/>
      <c r="U1178" s="93"/>
      <c r="V1178" s="93"/>
      <c r="W1178" s="93"/>
      <c r="X1178" s="93"/>
      <c r="Y1178" s="93"/>
      <c r="Z1178" s="93"/>
    </row>
    <row r="1179" customFormat="false" ht="16.4" hidden="false" customHeight="false" outlineLevel="0" collapsed="false">
      <c r="A1179" s="123" t="n">
        <v>45444</v>
      </c>
      <c r="B1179" s="31" t="s">
        <v>153</v>
      </c>
      <c r="C1179" s="129"/>
      <c r="D1179" s="129"/>
      <c r="E1179" s="19" t="n">
        <f aca="false">F1179*0.03</f>
        <v>0</v>
      </c>
      <c r="F1179" s="33" t="n">
        <v>0</v>
      </c>
      <c r="G1179" s="131"/>
      <c r="H1179" s="35" t="n">
        <v>0</v>
      </c>
      <c r="I1179" s="34" t="n">
        <f aca="false">+IF(E1179=0,0,E1179*0.03)</f>
        <v>0</v>
      </c>
      <c r="J1179" s="93"/>
      <c r="K1179" s="93"/>
      <c r="L1179" s="93"/>
      <c r="M1179" s="93"/>
      <c r="N1179" s="93"/>
      <c r="O1179" s="93"/>
      <c r="P1179" s="93"/>
      <c r="Q1179" s="93"/>
      <c r="R1179" s="93"/>
      <c r="S1179" s="93"/>
      <c r="T1179" s="93"/>
      <c r="U1179" s="93"/>
      <c r="V1179" s="93"/>
      <c r="W1179" s="93"/>
      <c r="X1179" s="93"/>
      <c r="Y1179" s="93"/>
      <c r="Z1179" s="93"/>
    </row>
    <row r="1180" customFormat="false" ht="16.4" hidden="false" customHeight="false" outlineLevel="0" collapsed="false">
      <c r="A1180" s="123" t="n">
        <v>45444</v>
      </c>
      <c r="B1180" s="31" t="s">
        <v>153</v>
      </c>
      <c r="C1180" s="129"/>
      <c r="D1180" s="129"/>
      <c r="E1180" s="19" t="n">
        <f aca="false">F1180*0.03</f>
        <v>0</v>
      </c>
      <c r="F1180" s="33" t="n">
        <v>0</v>
      </c>
      <c r="G1180" s="131"/>
      <c r="H1180" s="35" t="n">
        <v>0</v>
      </c>
      <c r="I1180" s="34" t="n">
        <f aca="false">+IF(E1180=0,0,E1180*0.03)</f>
        <v>0</v>
      </c>
      <c r="J1180" s="93"/>
      <c r="K1180" s="93"/>
      <c r="L1180" s="93"/>
      <c r="M1180" s="93"/>
      <c r="N1180" s="93"/>
      <c r="O1180" s="93"/>
      <c r="P1180" s="93"/>
      <c r="Q1180" s="93"/>
      <c r="R1180" s="93"/>
      <c r="S1180" s="93"/>
      <c r="T1180" s="93"/>
      <c r="U1180" s="93"/>
      <c r="V1180" s="93"/>
      <c r="W1180" s="93"/>
      <c r="X1180" s="93"/>
      <c r="Y1180" s="93"/>
      <c r="Z1180" s="93"/>
    </row>
    <row r="1181" customFormat="false" ht="16.4" hidden="false" customHeight="false" outlineLevel="0" collapsed="false">
      <c r="A1181" s="123" t="n">
        <v>45444</v>
      </c>
      <c r="B1181" s="31" t="s">
        <v>153</v>
      </c>
      <c r="C1181" s="129"/>
      <c r="D1181" s="129"/>
      <c r="E1181" s="19" t="n">
        <f aca="false">F1181*0.03</f>
        <v>0</v>
      </c>
      <c r="F1181" s="33" t="n">
        <v>0</v>
      </c>
      <c r="G1181" s="131"/>
      <c r="H1181" s="35" t="n">
        <v>0</v>
      </c>
      <c r="I1181" s="34" t="n">
        <f aca="false">+IF(E1181=0,0,E1181*0.03)</f>
        <v>0</v>
      </c>
      <c r="J1181" s="93"/>
      <c r="K1181" s="93"/>
      <c r="L1181" s="93"/>
      <c r="M1181" s="93"/>
      <c r="N1181" s="93"/>
      <c r="O1181" s="93"/>
      <c r="P1181" s="93"/>
      <c r="Q1181" s="93"/>
      <c r="R1181" s="93"/>
      <c r="S1181" s="93"/>
      <c r="T1181" s="93"/>
      <c r="U1181" s="93"/>
      <c r="V1181" s="93"/>
      <c r="W1181" s="93"/>
      <c r="X1181" s="93"/>
      <c r="Y1181" s="93"/>
      <c r="Z1181" s="93"/>
    </row>
    <row r="1182" customFormat="false" ht="16.4" hidden="false" customHeight="false" outlineLevel="0" collapsed="false">
      <c r="A1182" s="123" t="n">
        <v>45444</v>
      </c>
      <c r="B1182" s="31" t="s">
        <v>153</v>
      </c>
      <c r="C1182" s="129"/>
      <c r="D1182" s="129"/>
      <c r="E1182" s="19" t="n">
        <f aca="false">F1182*0.03</f>
        <v>0</v>
      </c>
      <c r="F1182" s="33" t="n">
        <v>0</v>
      </c>
      <c r="G1182" s="131"/>
      <c r="H1182" s="35" t="n">
        <v>0</v>
      </c>
      <c r="I1182" s="34" t="n">
        <f aca="false">+IF(E1182=0,0,E1182*0.03)</f>
        <v>0</v>
      </c>
      <c r="J1182" s="93"/>
      <c r="K1182" s="93"/>
      <c r="L1182" s="93"/>
      <c r="M1182" s="93"/>
      <c r="N1182" s="93"/>
      <c r="O1182" s="93"/>
      <c r="P1182" s="93"/>
      <c r="Q1182" s="93"/>
      <c r="R1182" s="93"/>
      <c r="S1182" s="93"/>
      <c r="T1182" s="93"/>
      <c r="U1182" s="93"/>
      <c r="V1182" s="93"/>
      <c r="W1182" s="93"/>
      <c r="X1182" s="93"/>
      <c r="Y1182" s="93"/>
      <c r="Z1182" s="93"/>
    </row>
    <row r="1183" customFormat="false" ht="16.4" hidden="false" customHeight="false" outlineLevel="0" collapsed="false">
      <c r="A1183" s="123" t="n">
        <v>45444</v>
      </c>
      <c r="B1183" s="31" t="s">
        <v>153</v>
      </c>
      <c r="C1183" s="129"/>
      <c r="D1183" s="129"/>
      <c r="E1183" s="19" t="n">
        <f aca="false">F1183*0.03</f>
        <v>0</v>
      </c>
      <c r="F1183" s="33" t="n">
        <v>0</v>
      </c>
      <c r="G1183" s="131"/>
      <c r="H1183" s="35" t="n">
        <v>0</v>
      </c>
      <c r="I1183" s="34" t="n">
        <f aca="false">+IF(E1183=0,0,E1183*0.03)</f>
        <v>0</v>
      </c>
      <c r="J1183" s="93"/>
      <c r="K1183" s="93"/>
      <c r="L1183" s="93"/>
      <c r="M1183" s="93"/>
      <c r="N1183" s="93"/>
      <c r="O1183" s="93"/>
      <c r="P1183" s="93"/>
      <c r="Q1183" s="93"/>
      <c r="R1183" s="93"/>
      <c r="S1183" s="93"/>
      <c r="T1183" s="93"/>
      <c r="U1183" s="93"/>
      <c r="V1183" s="93"/>
      <c r="W1183" s="93"/>
      <c r="X1183" s="93"/>
      <c r="Y1183" s="93"/>
      <c r="Z1183" s="93"/>
    </row>
    <row r="1184" customFormat="false" ht="16.4" hidden="false" customHeight="false" outlineLevel="0" collapsed="false">
      <c r="A1184" s="123" t="n">
        <v>45444</v>
      </c>
      <c r="B1184" s="31" t="s">
        <v>153</v>
      </c>
      <c r="C1184" s="129"/>
      <c r="D1184" s="129"/>
      <c r="E1184" s="19" t="n">
        <f aca="false">F1184*0.03</f>
        <v>0</v>
      </c>
      <c r="F1184" s="33" t="n">
        <v>0</v>
      </c>
      <c r="G1184" s="131"/>
      <c r="H1184" s="35" t="n">
        <v>0</v>
      </c>
      <c r="I1184" s="34" t="n">
        <f aca="false">+IF(E1184=0,0,E1184*0.03)</f>
        <v>0</v>
      </c>
      <c r="J1184" s="93"/>
      <c r="K1184" s="93"/>
      <c r="L1184" s="93"/>
      <c r="M1184" s="93"/>
      <c r="N1184" s="93"/>
      <c r="O1184" s="93"/>
      <c r="P1184" s="93"/>
      <c r="Q1184" s="93"/>
      <c r="R1184" s="93"/>
      <c r="S1184" s="93"/>
      <c r="T1184" s="93"/>
      <c r="U1184" s="93"/>
      <c r="V1184" s="93"/>
      <c r="W1184" s="93"/>
      <c r="X1184" s="93"/>
      <c r="Y1184" s="93"/>
      <c r="Z1184" s="93"/>
    </row>
    <row r="1185" customFormat="false" ht="16.4" hidden="false" customHeight="false" outlineLevel="0" collapsed="false">
      <c r="A1185" s="123" t="n">
        <v>45444</v>
      </c>
      <c r="B1185" s="31" t="s">
        <v>153</v>
      </c>
      <c r="C1185" s="129"/>
      <c r="D1185" s="129"/>
      <c r="E1185" s="19" t="n">
        <f aca="false">F1185*0.03</f>
        <v>0</v>
      </c>
      <c r="F1185" s="33" t="n">
        <v>0</v>
      </c>
      <c r="G1185" s="131"/>
      <c r="H1185" s="35" t="n">
        <v>0</v>
      </c>
      <c r="I1185" s="34" t="n">
        <f aca="false">+IF(E1185=0,0,E1185*0.03)</f>
        <v>0</v>
      </c>
      <c r="J1185" s="93"/>
      <c r="K1185" s="93"/>
      <c r="L1185" s="93"/>
      <c r="M1185" s="93"/>
      <c r="N1185" s="93"/>
      <c r="O1185" s="93"/>
      <c r="P1185" s="93"/>
      <c r="Q1185" s="93"/>
      <c r="R1185" s="93"/>
      <c r="S1185" s="93"/>
      <c r="T1185" s="93"/>
      <c r="U1185" s="93"/>
      <c r="V1185" s="93"/>
      <c r="W1185" s="93"/>
      <c r="X1185" s="93"/>
      <c r="Y1185" s="93"/>
      <c r="Z1185" s="93"/>
    </row>
    <row r="1186" customFormat="false" ht="16.4" hidden="false" customHeight="false" outlineLevel="0" collapsed="false">
      <c r="A1186" s="123" t="n">
        <v>45444</v>
      </c>
      <c r="B1186" s="31" t="s">
        <v>153</v>
      </c>
      <c r="C1186" s="129"/>
      <c r="D1186" s="129"/>
      <c r="E1186" s="19" t="n">
        <f aca="false">F1186*0.03</f>
        <v>0</v>
      </c>
      <c r="F1186" s="33" t="n">
        <v>0</v>
      </c>
      <c r="G1186" s="131"/>
      <c r="H1186" s="35" t="n">
        <v>0</v>
      </c>
      <c r="I1186" s="34" t="n">
        <f aca="false">+IF(E1186=0,0,E1186*0.03)</f>
        <v>0</v>
      </c>
      <c r="J1186" s="93"/>
      <c r="K1186" s="93"/>
      <c r="L1186" s="93"/>
      <c r="M1186" s="93"/>
      <c r="N1186" s="93"/>
      <c r="O1186" s="93"/>
      <c r="P1186" s="93"/>
      <c r="Q1186" s="93"/>
      <c r="R1186" s="93"/>
      <c r="S1186" s="93"/>
      <c r="T1186" s="93"/>
      <c r="U1186" s="93"/>
      <c r="V1186" s="93"/>
      <c r="W1186" s="93"/>
      <c r="X1186" s="93"/>
      <c r="Y1186" s="93"/>
      <c r="Z1186" s="93"/>
    </row>
    <row r="1187" customFormat="false" ht="16.4" hidden="false" customHeight="false" outlineLevel="0" collapsed="false">
      <c r="A1187" s="123" t="n">
        <v>45444</v>
      </c>
      <c r="B1187" s="31" t="s">
        <v>153</v>
      </c>
      <c r="C1187" s="129"/>
      <c r="D1187" s="129"/>
      <c r="E1187" s="19" t="n">
        <f aca="false">F1187*0.03</f>
        <v>0</v>
      </c>
      <c r="F1187" s="33" t="n">
        <v>0</v>
      </c>
      <c r="G1187" s="131"/>
      <c r="H1187" s="35" t="n">
        <v>0</v>
      </c>
      <c r="I1187" s="34" t="n">
        <f aca="false">+IF(E1187=0,0,E1187*0.03)</f>
        <v>0</v>
      </c>
      <c r="J1187" s="93"/>
      <c r="K1187" s="93"/>
      <c r="L1187" s="93"/>
      <c r="M1187" s="93"/>
      <c r="N1187" s="93"/>
      <c r="O1187" s="93"/>
      <c r="P1187" s="93"/>
      <c r="Q1187" s="93"/>
      <c r="R1187" s="93"/>
      <c r="S1187" s="93"/>
      <c r="T1187" s="93"/>
      <c r="U1187" s="93"/>
      <c r="V1187" s="93"/>
      <c r="W1187" s="93"/>
      <c r="X1187" s="93"/>
      <c r="Y1187" s="93"/>
      <c r="Z1187" s="93"/>
    </row>
    <row r="1188" customFormat="false" ht="16.4" hidden="false" customHeight="false" outlineLevel="0" collapsed="false">
      <c r="A1188" s="123" t="n">
        <v>45444</v>
      </c>
      <c r="B1188" s="31" t="s">
        <v>153</v>
      </c>
      <c r="C1188" s="129"/>
      <c r="D1188" s="129"/>
      <c r="E1188" s="19" t="n">
        <f aca="false">F1188*0.03</f>
        <v>0</v>
      </c>
      <c r="F1188" s="33" t="n">
        <v>0</v>
      </c>
      <c r="G1188" s="131"/>
      <c r="H1188" s="35" t="n">
        <v>0</v>
      </c>
      <c r="I1188" s="34" t="n">
        <f aca="false">+IF(E1188=0,0,E1188*0.03)</f>
        <v>0</v>
      </c>
      <c r="J1188" s="93"/>
      <c r="K1188" s="93"/>
      <c r="L1188" s="93"/>
      <c r="M1188" s="93"/>
      <c r="N1188" s="93"/>
      <c r="O1188" s="93"/>
      <c r="P1188" s="93"/>
      <c r="Q1188" s="93"/>
      <c r="R1188" s="93"/>
      <c r="S1188" s="93"/>
      <c r="T1188" s="93"/>
      <c r="U1188" s="93"/>
      <c r="V1188" s="93"/>
      <c r="W1188" s="93"/>
      <c r="X1188" s="93"/>
      <c r="Y1188" s="93"/>
      <c r="Z1188" s="93"/>
    </row>
    <row r="1189" customFormat="false" ht="16.4" hidden="false" customHeight="false" outlineLevel="0" collapsed="false">
      <c r="A1189" s="123" t="n">
        <v>45444</v>
      </c>
      <c r="B1189" s="31" t="s">
        <v>153</v>
      </c>
      <c r="C1189" s="129"/>
      <c r="D1189" s="129"/>
      <c r="E1189" s="19" t="n">
        <f aca="false">F1189*0.03</f>
        <v>0</v>
      </c>
      <c r="F1189" s="33" t="n">
        <v>0</v>
      </c>
      <c r="G1189" s="131"/>
      <c r="H1189" s="35" t="n">
        <v>0</v>
      </c>
      <c r="I1189" s="34" t="n">
        <f aca="false">+IF(E1189=0,0,E1189*0.03)</f>
        <v>0</v>
      </c>
      <c r="J1189" s="93"/>
      <c r="K1189" s="93"/>
      <c r="L1189" s="93"/>
      <c r="M1189" s="93"/>
      <c r="N1189" s="93"/>
      <c r="O1189" s="93"/>
      <c r="P1189" s="93"/>
      <c r="Q1189" s="93"/>
      <c r="R1189" s="93"/>
      <c r="S1189" s="93"/>
      <c r="T1189" s="93"/>
      <c r="U1189" s="93"/>
      <c r="V1189" s="93"/>
      <c r="W1189" s="93"/>
      <c r="X1189" s="93"/>
      <c r="Y1189" s="93"/>
      <c r="Z1189" s="93"/>
    </row>
    <row r="1190" customFormat="false" ht="16.4" hidden="false" customHeight="false" outlineLevel="0" collapsed="false">
      <c r="A1190" s="123" t="n">
        <v>45444</v>
      </c>
      <c r="B1190" s="31" t="s">
        <v>153</v>
      </c>
      <c r="C1190" s="129"/>
      <c r="D1190" s="129"/>
      <c r="E1190" s="19" t="n">
        <f aca="false">F1190*0.03</f>
        <v>0</v>
      </c>
      <c r="F1190" s="33" t="n">
        <v>0</v>
      </c>
      <c r="G1190" s="131"/>
      <c r="H1190" s="35" t="n">
        <v>0</v>
      </c>
      <c r="I1190" s="34" t="n">
        <f aca="false">+IF(E1190=0,0,E1190*0.03)</f>
        <v>0</v>
      </c>
      <c r="J1190" s="93"/>
      <c r="K1190" s="93"/>
      <c r="L1190" s="93"/>
      <c r="M1190" s="93"/>
      <c r="N1190" s="93"/>
      <c r="O1190" s="93"/>
      <c r="P1190" s="93"/>
      <c r="Q1190" s="93"/>
      <c r="R1190" s="93"/>
      <c r="S1190" s="93"/>
      <c r="T1190" s="93"/>
      <c r="U1190" s="93"/>
      <c r="V1190" s="93"/>
      <c r="W1190" s="93"/>
      <c r="X1190" s="93"/>
      <c r="Y1190" s="93"/>
      <c r="Z1190" s="93"/>
    </row>
    <row r="1191" customFormat="false" ht="16.4" hidden="false" customHeight="false" outlineLevel="0" collapsed="false">
      <c r="A1191" s="123" t="n">
        <v>45444</v>
      </c>
      <c r="B1191" s="31" t="s">
        <v>153</v>
      </c>
      <c r="C1191" s="129"/>
      <c r="D1191" s="129"/>
      <c r="E1191" s="19" t="n">
        <f aca="false">F1191*0.03</f>
        <v>0</v>
      </c>
      <c r="F1191" s="33" t="n">
        <v>0</v>
      </c>
      <c r="G1191" s="131"/>
      <c r="H1191" s="35" t="n">
        <v>0</v>
      </c>
      <c r="I1191" s="34" t="n">
        <f aca="false">+IF(E1191=0,0,E1191*0.03)</f>
        <v>0</v>
      </c>
      <c r="J1191" s="93"/>
      <c r="K1191" s="93"/>
      <c r="L1191" s="93"/>
      <c r="M1191" s="93"/>
      <c r="N1191" s="93"/>
      <c r="O1191" s="93"/>
      <c r="P1191" s="93"/>
      <c r="Q1191" s="93"/>
      <c r="R1191" s="93"/>
      <c r="S1191" s="93"/>
      <c r="T1191" s="93"/>
      <c r="U1191" s="93"/>
      <c r="V1191" s="93"/>
      <c r="W1191" s="93"/>
      <c r="X1191" s="93"/>
      <c r="Y1191" s="93"/>
      <c r="Z1191" s="93"/>
    </row>
    <row r="1192" customFormat="false" ht="16.4" hidden="false" customHeight="false" outlineLevel="0" collapsed="false">
      <c r="A1192" s="123" t="n">
        <v>45444</v>
      </c>
      <c r="B1192" s="31" t="s">
        <v>153</v>
      </c>
      <c r="C1192" s="129"/>
      <c r="D1192" s="129"/>
      <c r="E1192" s="19" t="n">
        <f aca="false">F1192*0.03</f>
        <v>0</v>
      </c>
      <c r="F1192" s="33" t="n">
        <v>0</v>
      </c>
      <c r="G1192" s="131"/>
      <c r="H1192" s="35" t="n">
        <v>0</v>
      </c>
      <c r="I1192" s="34" t="n">
        <f aca="false">+IF(E1192=0,0,E1192*0.03)</f>
        <v>0</v>
      </c>
      <c r="J1192" s="93"/>
      <c r="K1192" s="93"/>
      <c r="L1192" s="93"/>
      <c r="M1192" s="93"/>
      <c r="N1192" s="93"/>
      <c r="O1192" s="93"/>
      <c r="P1192" s="93"/>
      <c r="Q1192" s="93"/>
      <c r="R1192" s="93"/>
      <c r="S1192" s="93"/>
      <c r="T1192" s="93"/>
      <c r="U1192" s="93"/>
      <c r="V1192" s="93"/>
      <c r="W1192" s="93"/>
      <c r="X1192" s="93"/>
      <c r="Y1192" s="93"/>
      <c r="Z1192" s="93"/>
    </row>
    <row r="1193" customFormat="false" ht="16.4" hidden="false" customHeight="false" outlineLevel="0" collapsed="false">
      <c r="A1193" s="123" t="n">
        <v>45444</v>
      </c>
      <c r="B1193" s="31" t="s">
        <v>153</v>
      </c>
      <c r="C1193" s="129"/>
      <c r="D1193" s="129"/>
      <c r="E1193" s="19" t="n">
        <f aca="false">F1193*0.03</f>
        <v>0</v>
      </c>
      <c r="F1193" s="33" t="n">
        <v>0</v>
      </c>
      <c r="G1193" s="131"/>
      <c r="H1193" s="35" t="n">
        <v>0</v>
      </c>
      <c r="I1193" s="34" t="n">
        <f aca="false">+IF(E1193=0,0,E1193*0.03)</f>
        <v>0</v>
      </c>
      <c r="J1193" s="93"/>
      <c r="K1193" s="93"/>
      <c r="L1193" s="93"/>
      <c r="M1193" s="93"/>
      <c r="N1193" s="93"/>
      <c r="O1193" s="93"/>
      <c r="P1193" s="93"/>
      <c r="Q1193" s="93"/>
      <c r="R1193" s="93"/>
      <c r="S1193" s="93"/>
      <c r="T1193" s="93"/>
      <c r="U1193" s="93"/>
      <c r="V1193" s="93"/>
      <c r="W1193" s="93"/>
      <c r="X1193" s="93"/>
      <c r="Y1193" s="93"/>
      <c r="Z1193" s="93"/>
    </row>
    <row r="1194" customFormat="false" ht="16.4" hidden="false" customHeight="false" outlineLevel="0" collapsed="false">
      <c r="A1194" s="123" t="n">
        <v>45444</v>
      </c>
      <c r="B1194" s="31" t="s">
        <v>153</v>
      </c>
      <c r="C1194" s="129"/>
      <c r="D1194" s="129"/>
      <c r="E1194" s="19" t="n">
        <f aca="false">F1194*0.03</f>
        <v>0</v>
      </c>
      <c r="F1194" s="33" t="n">
        <v>0</v>
      </c>
      <c r="G1194" s="131"/>
      <c r="H1194" s="35" t="n">
        <v>0</v>
      </c>
      <c r="I1194" s="34" t="n">
        <f aca="false">+IF(E1194=0,0,E1194*0.03)</f>
        <v>0</v>
      </c>
      <c r="J1194" s="93"/>
      <c r="K1194" s="93"/>
      <c r="L1194" s="93"/>
      <c r="M1194" s="93"/>
      <c r="N1194" s="93"/>
      <c r="O1194" s="93"/>
      <c r="P1194" s="93"/>
      <c r="Q1194" s="93"/>
      <c r="R1194" s="93"/>
      <c r="S1194" s="93"/>
      <c r="T1194" s="93"/>
      <c r="U1194" s="93"/>
      <c r="V1194" s="93"/>
      <c r="W1194" s="93"/>
      <c r="X1194" s="93"/>
      <c r="Y1194" s="93"/>
      <c r="Z1194" s="93"/>
    </row>
    <row r="1195" customFormat="false" ht="16.4" hidden="false" customHeight="false" outlineLevel="0" collapsed="false">
      <c r="A1195" s="123" t="n">
        <v>45444</v>
      </c>
      <c r="B1195" s="31" t="s">
        <v>153</v>
      </c>
      <c r="C1195" s="129"/>
      <c r="D1195" s="129"/>
      <c r="E1195" s="19" t="n">
        <f aca="false">F1195*0.03</f>
        <v>0</v>
      </c>
      <c r="F1195" s="33" t="n">
        <v>0</v>
      </c>
      <c r="G1195" s="131"/>
      <c r="H1195" s="35" t="n">
        <v>0</v>
      </c>
      <c r="I1195" s="34" t="n">
        <f aca="false">+IF(E1195=0,0,E1195*0.03)</f>
        <v>0</v>
      </c>
      <c r="J1195" s="93"/>
      <c r="K1195" s="93"/>
      <c r="L1195" s="93"/>
      <c r="M1195" s="93"/>
      <c r="N1195" s="93"/>
      <c r="O1195" s="93"/>
      <c r="P1195" s="93"/>
      <c r="Q1195" s="93"/>
      <c r="R1195" s="93"/>
      <c r="S1195" s="93"/>
      <c r="T1195" s="93"/>
      <c r="U1195" s="93"/>
      <c r="V1195" s="93"/>
      <c r="W1195" s="93"/>
      <c r="X1195" s="93"/>
      <c r="Y1195" s="93"/>
      <c r="Z1195" s="93"/>
    </row>
    <row r="1196" customFormat="false" ht="16.4" hidden="false" customHeight="false" outlineLevel="0" collapsed="false">
      <c r="A1196" s="123" t="n">
        <v>45444</v>
      </c>
      <c r="B1196" s="31" t="s">
        <v>153</v>
      </c>
      <c r="C1196" s="129"/>
      <c r="D1196" s="129"/>
      <c r="E1196" s="19" t="n">
        <f aca="false">F1196*0.03</f>
        <v>0</v>
      </c>
      <c r="F1196" s="33" t="n">
        <v>0</v>
      </c>
      <c r="G1196" s="131"/>
      <c r="H1196" s="35" t="n">
        <v>0</v>
      </c>
      <c r="I1196" s="34" t="n">
        <f aca="false">+IF(E1196=0,0,E1196*0.03)</f>
        <v>0</v>
      </c>
      <c r="J1196" s="93"/>
      <c r="K1196" s="93"/>
      <c r="L1196" s="93"/>
      <c r="M1196" s="93"/>
      <c r="N1196" s="93"/>
      <c r="O1196" s="93"/>
      <c r="P1196" s="93"/>
      <c r="Q1196" s="93"/>
      <c r="R1196" s="93"/>
      <c r="S1196" s="93"/>
      <c r="T1196" s="93"/>
      <c r="U1196" s="93"/>
      <c r="V1196" s="93"/>
      <c r="W1196" s="93"/>
      <c r="X1196" s="93"/>
      <c r="Y1196" s="93"/>
      <c r="Z1196" s="93"/>
    </row>
    <row r="1197" customFormat="false" ht="16.4" hidden="false" customHeight="false" outlineLevel="0" collapsed="false">
      <c r="A1197" s="123" t="n">
        <v>45444</v>
      </c>
      <c r="B1197" s="31" t="s">
        <v>153</v>
      </c>
      <c r="C1197" s="129"/>
      <c r="D1197" s="129"/>
      <c r="E1197" s="19" t="n">
        <f aca="false">F1197*0.03</f>
        <v>0</v>
      </c>
      <c r="F1197" s="33" t="n">
        <v>0</v>
      </c>
      <c r="G1197" s="131"/>
      <c r="H1197" s="35" t="n">
        <v>0</v>
      </c>
      <c r="I1197" s="34" t="n">
        <f aca="false">+IF(E1197=0,0,E1197*0.03)</f>
        <v>0</v>
      </c>
      <c r="J1197" s="93"/>
      <c r="K1197" s="93"/>
      <c r="L1197" s="93"/>
      <c r="M1197" s="93"/>
      <c r="N1197" s="93"/>
      <c r="O1197" s="93"/>
      <c r="P1197" s="93"/>
      <c r="Q1197" s="93"/>
      <c r="R1197" s="93"/>
      <c r="S1197" s="93"/>
      <c r="T1197" s="93"/>
      <c r="U1197" s="93"/>
      <c r="V1197" s="93"/>
      <c r="W1197" s="93"/>
      <c r="X1197" s="93"/>
      <c r="Y1197" s="93"/>
      <c r="Z1197" s="93"/>
    </row>
    <row r="1198" customFormat="false" ht="16.4" hidden="false" customHeight="false" outlineLevel="0" collapsed="false">
      <c r="A1198" s="123" t="n">
        <v>45444</v>
      </c>
      <c r="B1198" s="31" t="s">
        <v>153</v>
      </c>
      <c r="C1198" s="129"/>
      <c r="D1198" s="129"/>
      <c r="E1198" s="19" t="n">
        <f aca="false">F1198*0.03</f>
        <v>0</v>
      </c>
      <c r="F1198" s="33" t="n">
        <v>0</v>
      </c>
      <c r="G1198" s="131"/>
      <c r="H1198" s="35" t="n">
        <v>0</v>
      </c>
      <c r="I1198" s="34" t="n">
        <f aca="false">+IF(E1198=0,0,E1198*0.03)</f>
        <v>0</v>
      </c>
      <c r="J1198" s="93"/>
      <c r="K1198" s="93"/>
      <c r="L1198" s="93"/>
      <c r="M1198" s="93"/>
      <c r="N1198" s="93"/>
      <c r="O1198" s="93"/>
      <c r="P1198" s="93"/>
      <c r="Q1198" s="93"/>
      <c r="R1198" s="93"/>
      <c r="S1198" s="93"/>
      <c r="T1198" s="93"/>
      <c r="U1198" s="93"/>
      <c r="V1198" s="93"/>
      <c r="W1198" s="93"/>
      <c r="X1198" s="93"/>
      <c r="Y1198" s="93"/>
      <c r="Z1198" s="93"/>
    </row>
    <row r="1199" customFormat="false" ht="16.4" hidden="false" customHeight="false" outlineLevel="0" collapsed="false">
      <c r="A1199" s="123" t="n">
        <v>45444</v>
      </c>
      <c r="B1199" s="31" t="s">
        <v>153</v>
      </c>
      <c r="C1199" s="129"/>
      <c r="D1199" s="129"/>
      <c r="E1199" s="19" t="n">
        <f aca="false">F1199*0.03</f>
        <v>0</v>
      </c>
      <c r="F1199" s="33" t="n">
        <v>0</v>
      </c>
      <c r="G1199" s="131"/>
      <c r="H1199" s="35" t="n">
        <v>0</v>
      </c>
      <c r="I1199" s="34" t="n">
        <f aca="false">+IF(E1199=0,0,E1199*0.03)</f>
        <v>0</v>
      </c>
      <c r="J1199" s="93"/>
      <c r="K1199" s="93"/>
      <c r="L1199" s="93"/>
      <c r="M1199" s="93"/>
      <c r="N1199" s="93"/>
      <c r="O1199" s="93"/>
      <c r="P1199" s="93"/>
      <c r="Q1199" s="93"/>
      <c r="R1199" s="93"/>
      <c r="S1199" s="93"/>
      <c r="T1199" s="93"/>
      <c r="U1199" s="93"/>
      <c r="V1199" s="93"/>
      <c r="W1199" s="93"/>
      <c r="X1199" s="93"/>
      <c r="Y1199" s="93"/>
      <c r="Z1199" s="93"/>
    </row>
    <row r="1200" customFormat="false" ht="16.4" hidden="false" customHeight="false" outlineLevel="0" collapsed="false">
      <c r="A1200" s="123" t="n">
        <v>45444</v>
      </c>
      <c r="B1200" s="31" t="s">
        <v>153</v>
      </c>
      <c r="C1200" s="129"/>
      <c r="D1200" s="129"/>
      <c r="E1200" s="19" t="n">
        <f aca="false">F1200*0.03</f>
        <v>0</v>
      </c>
      <c r="F1200" s="33" t="n">
        <v>0</v>
      </c>
      <c r="G1200" s="131"/>
      <c r="H1200" s="35" t="n">
        <v>0</v>
      </c>
      <c r="I1200" s="34" t="n">
        <f aca="false">+IF(E1200=0,0,E1200*0.03)</f>
        <v>0</v>
      </c>
      <c r="J1200" s="93"/>
      <c r="K1200" s="93"/>
      <c r="L1200" s="93"/>
      <c r="M1200" s="93"/>
      <c r="N1200" s="93"/>
      <c r="O1200" s="93"/>
      <c r="P1200" s="93"/>
      <c r="Q1200" s="93"/>
      <c r="R1200" s="93"/>
      <c r="S1200" s="93"/>
      <c r="T1200" s="93"/>
      <c r="U1200" s="93"/>
      <c r="V1200" s="93"/>
      <c r="W1200" s="93"/>
      <c r="X1200" s="93"/>
      <c r="Y1200" s="93"/>
      <c r="Z1200" s="93"/>
    </row>
    <row r="1201" customFormat="false" ht="16.4" hidden="false" customHeight="false" outlineLevel="0" collapsed="false">
      <c r="A1201" s="123" t="n">
        <v>45444</v>
      </c>
      <c r="B1201" s="31" t="s">
        <v>153</v>
      </c>
      <c r="C1201" s="129"/>
      <c r="D1201" s="129"/>
      <c r="E1201" s="19" t="n">
        <f aca="false">F1201*0.03</f>
        <v>0</v>
      </c>
      <c r="F1201" s="33" t="n">
        <v>0</v>
      </c>
      <c r="G1201" s="131"/>
      <c r="H1201" s="35" t="n">
        <v>0</v>
      </c>
      <c r="I1201" s="34" t="n">
        <f aca="false">+IF(E1201=0,0,E1201*0.03)</f>
        <v>0</v>
      </c>
      <c r="J1201" s="93"/>
      <c r="K1201" s="93"/>
      <c r="L1201" s="93"/>
      <c r="M1201" s="93"/>
      <c r="N1201" s="93"/>
      <c r="O1201" s="93"/>
      <c r="P1201" s="93"/>
      <c r="Q1201" s="93"/>
      <c r="R1201" s="93"/>
      <c r="S1201" s="93"/>
      <c r="T1201" s="93"/>
      <c r="U1201" s="93"/>
      <c r="V1201" s="93"/>
      <c r="W1201" s="93"/>
      <c r="X1201" s="93"/>
      <c r="Y1201" s="93"/>
      <c r="Z1201" s="93"/>
    </row>
    <row r="1202" customFormat="false" ht="16.4" hidden="false" customHeight="false" outlineLevel="0" collapsed="false">
      <c r="A1202" s="123" t="n">
        <v>45444</v>
      </c>
      <c r="B1202" s="31" t="s">
        <v>153</v>
      </c>
      <c r="C1202" s="129"/>
      <c r="D1202" s="129"/>
      <c r="E1202" s="19" t="n">
        <f aca="false">F1202*0.03</f>
        <v>0</v>
      </c>
      <c r="F1202" s="33" t="n">
        <v>0</v>
      </c>
      <c r="G1202" s="131"/>
      <c r="H1202" s="35" t="n">
        <v>0</v>
      </c>
      <c r="I1202" s="34" t="n">
        <f aca="false">+IF(E1202=0,0,E1202*0.03)</f>
        <v>0</v>
      </c>
      <c r="J1202" s="93"/>
      <c r="K1202" s="93"/>
      <c r="L1202" s="93"/>
      <c r="M1202" s="93"/>
      <c r="N1202" s="93"/>
      <c r="O1202" s="93"/>
      <c r="P1202" s="93"/>
      <c r="Q1202" s="93"/>
      <c r="R1202" s="93"/>
      <c r="S1202" s="93"/>
      <c r="T1202" s="93"/>
      <c r="U1202" s="93"/>
      <c r="V1202" s="93"/>
      <c r="W1202" s="93"/>
      <c r="X1202" s="93"/>
      <c r="Y1202" s="93"/>
      <c r="Z1202" s="93"/>
    </row>
    <row r="1203" customFormat="false" ht="16.4" hidden="false" customHeight="false" outlineLevel="0" collapsed="false">
      <c r="A1203" s="123" t="n">
        <v>45444</v>
      </c>
      <c r="B1203" s="31" t="s">
        <v>153</v>
      </c>
      <c r="C1203" s="129"/>
      <c r="D1203" s="129"/>
      <c r="E1203" s="19" t="n">
        <f aca="false">F1203*0.03</f>
        <v>0</v>
      </c>
      <c r="F1203" s="33" t="n">
        <v>0</v>
      </c>
      <c r="G1203" s="131"/>
      <c r="H1203" s="35" t="n">
        <v>0</v>
      </c>
      <c r="I1203" s="34" t="n">
        <f aca="false">+IF(E1203=0,0,E1203*0.03)</f>
        <v>0</v>
      </c>
      <c r="J1203" s="93"/>
      <c r="K1203" s="93"/>
      <c r="L1203" s="93"/>
      <c r="M1203" s="93"/>
      <c r="N1203" s="93"/>
      <c r="O1203" s="93"/>
      <c r="P1203" s="93"/>
      <c r="Q1203" s="93"/>
      <c r="R1203" s="93"/>
      <c r="S1203" s="93"/>
      <c r="T1203" s="93"/>
      <c r="U1203" s="93"/>
      <c r="V1203" s="93"/>
      <c r="W1203" s="93"/>
      <c r="X1203" s="93"/>
      <c r="Y1203" s="93"/>
      <c r="Z1203" s="93"/>
    </row>
    <row r="1204" customFormat="false" ht="16.4" hidden="false" customHeight="false" outlineLevel="0" collapsed="false">
      <c r="A1204" s="123" t="n">
        <v>45444</v>
      </c>
      <c r="B1204" s="31" t="s">
        <v>153</v>
      </c>
      <c r="C1204" s="129"/>
      <c r="D1204" s="129"/>
      <c r="E1204" s="19" t="n">
        <f aca="false">F1204*0.03</f>
        <v>0</v>
      </c>
      <c r="F1204" s="33" t="n">
        <v>0</v>
      </c>
      <c r="G1204" s="131"/>
      <c r="H1204" s="35" t="n">
        <v>0</v>
      </c>
      <c r="I1204" s="34" t="n">
        <f aca="false">+IF(E1204=0,0,E1204*0.03)</f>
        <v>0</v>
      </c>
      <c r="J1204" s="93"/>
      <c r="K1204" s="93"/>
      <c r="L1204" s="93"/>
      <c r="M1204" s="93"/>
      <c r="N1204" s="93"/>
      <c r="O1204" s="93"/>
      <c r="P1204" s="93"/>
      <c r="Q1204" s="93"/>
      <c r="R1204" s="93"/>
      <c r="S1204" s="93"/>
      <c r="T1204" s="93"/>
      <c r="U1204" s="93"/>
      <c r="V1204" s="93"/>
      <c r="W1204" s="93"/>
      <c r="X1204" s="93"/>
      <c r="Y1204" s="93"/>
      <c r="Z1204" s="93"/>
    </row>
    <row r="1205" customFormat="false" ht="16.4" hidden="false" customHeight="false" outlineLevel="0" collapsed="false">
      <c r="A1205" s="123" t="n">
        <v>45444</v>
      </c>
      <c r="B1205" s="31" t="s">
        <v>153</v>
      </c>
      <c r="C1205" s="129"/>
      <c r="D1205" s="129"/>
      <c r="E1205" s="19" t="n">
        <f aca="false">F1205*0.03</f>
        <v>0</v>
      </c>
      <c r="F1205" s="33" t="n">
        <v>0</v>
      </c>
      <c r="G1205" s="131"/>
      <c r="H1205" s="35" t="n">
        <v>0</v>
      </c>
      <c r="I1205" s="34" t="n">
        <f aca="false">+IF(E1205=0,0,E1205*0.03)</f>
        <v>0</v>
      </c>
      <c r="J1205" s="93"/>
      <c r="K1205" s="93"/>
      <c r="L1205" s="93"/>
      <c r="M1205" s="93"/>
      <c r="N1205" s="93"/>
      <c r="O1205" s="93"/>
      <c r="P1205" s="93"/>
      <c r="Q1205" s="93"/>
      <c r="R1205" s="93"/>
      <c r="S1205" s="93"/>
      <c r="T1205" s="93"/>
      <c r="U1205" s="93"/>
      <c r="V1205" s="93"/>
      <c r="W1205" s="93"/>
      <c r="X1205" s="93"/>
      <c r="Y1205" s="93"/>
      <c r="Z1205" s="93"/>
    </row>
    <row r="1206" customFormat="false" ht="16.4" hidden="false" customHeight="false" outlineLevel="0" collapsed="false">
      <c r="A1206" s="123" t="n">
        <v>45444</v>
      </c>
      <c r="B1206" s="31" t="s">
        <v>153</v>
      </c>
      <c r="C1206" s="129"/>
      <c r="D1206" s="129"/>
      <c r="E1206" s="19" t="n">
        <f aca="false">F1206*0.03</f>
        <v>0</v>
      </c>
      <c r="F1206" s="33" t="n">
        <v>0</v>
      </c>
      <c r="G1206" s="131"/>
      <c r="H1206" s="35" t="n">
        <v>0</v>
      </c>
      <c r="I1206" s="34" t="n">
        <f aca="false">+IF(E1206=0,0,E1206*0.03)</f>
        <v>0</v>
      </c>
      <c r="J1206" s="93"/>
      <c r="K1206" s="93"/>
      <c r="L1206" s="93"/>
      <c r="M1206" s="93"/>
      <c r="N1206" s="93"/>
      <c r="O1206" s="93"/>
      <c r="P1206" s="93"/>
      <c r="Q1206" s="93"/>
      <c r="R1206" s="93"/>
      <c r="S1206" s="93"/>
      <c r="T1206" s="93"/>
      <c r="U1206" s="93"/>
      <c r="V1206" s="93"/>
      <c r="W1206" s="93"/>
      <c r="X1206" s="93"/>
      <c r="Y1206" s="93"/>
      <c r="Z1206" s="93"/>
    </row>
    <row r="1207" customFormat="false" ht="16.4" hidden="false" customHeight="false" outlineLevel="0" collapsed="false">
      <c r="A1207" s="123" t="n">
        <v>45444</v>
      </c>
      <c r="B1207" s="31" t="s">
        <v>153</v>
      </c>
      <c r="C1207" s="129"/>
      <c r="D1207" s="129"/>
      <c r="E1207" s="19" t="n">
        <f aca="false">F1207*0.03</f>
        <v>0</v>
      </c>
      <c r="F1207" s="33" t="n">
        <v>0</v>
      </c>
      <c r="G1207" s="131"/>
      <c r="H1207" s="35" t="n">
        <v>0</v>
      </c>
      <c r="I1207" s="34" t="n">
        <f aca="false">+IF(E1207=0,0,E1207*0.03)</f>
        <v>0</v>
      </c>
      <c r="J1207" s="93"/>
      <c r="K1207" s="93"/>
      <c r="L1207" s="93"/>
      <c r="M1207" s="93"/>
      <c r="N1207" s="93"/>
      <c r="O1207" s="93"/>
      <c r="P1207" s="93"/>
      <c r="Q1207" s="93"/>
      <c r="R1207" s="93"/>
      <c r="S1207" s="93"/>
      <c r="T1207" s="93"/>
      <c r="U1207" s="93"/>
      <c r="V1207" s="93"/>
      <c r="W1207" s="93"/>
      <c r="X1207" s="93"/>
      <c r="Y1207" s="93"/>
      <c r="Z1207" s="93"/>
    </row>
    <row r="1208" customFormat="false" ht="16.4" hidden="false" customHeight="false" outlineLevel="0" collapsed="false">
      <c r="A1208" s="123" t="n">
        <v>45444</v>
      </c>
      <c r="B1208" s="31" t="s">
        <v>153</v>
      </c>
      <c r="C1208" s="129"/>
      <c r="D1208" s="129"/>
      <c r="E1208" s="19" t="n">
        <f aca="false">F1208*0.03</f>
        <v>0</v>
      </c>
      <c r="F1208" s="33" t="n">
        <v>0</v>
      </c>
      <c r="G1208" s="131"/>
      <c r="H1208" s="35" t="n">
        <v>0</v>
      </c>
      <c r="I1208" s="34" t="n">
        <f aca="false">+IF(E1208=0,0,E1208*0.03)</f>
        <v>0</v>
      </c>
      <c r="J1208" s="93"/>
      <c r="K1208" s="93"/>
      <c r="L1208" s="93"/>
      <c r="M1208" s="93"/>
      <c r="N1208" s="93"/>
      <c r="O1208" s="93"/>
      <c r="P1208" s="93"/>
      <c r="Q1208" s="93"/>
      <c r="R1208" s="93"/>
      <c r="S1208" s="93"/>
      <c r="T1208" s="93"/>
      <c r="U1208" s="93"/>
      <c r="V1208" s="93"/>
      <c r="W1208" s="93"/>
      <c r="X1208" s="93"/>
      <c r="Y1208" s="93"/>
      <c r="Z1208" s="93"/>
    </row>
    <row r="1209" customFormat="false" ht="16.4" hidden="false" customHeight="false" outlineLevel="0" collapsed="false">
      <c r="A1209" s="123" t="n">
        <v>45444</v>
      </c>
      <c r="B1209" s="31" t="s">
        <v>153</v>
      </c>
      <c r="C1209" s="129"/>
      <c r="D1209" s="129"/>
      <c r="E1209" s="19" t="n">
        <f aca="false">F1209*0.03</f>
        <v>0</v>
      </c>
      <c r="F1209" s="33" t="n">
        <v>0</v>
      </c>
      <c r="G1209" s="131"/>
      <c r="H1209" s="35" t="n">
        <v>0</v>
      </c>
      <c r="I1209" s="34" t="n">
        <f aca="false">+IF(E1209=0,0,E1209*0.03)</f>
        <v>0</v>
      </c>
      <c r="J1209" s="93"/>
      <c r="K1209" s="93"/>
      <c r="L1209" s="93"/>
      <c r="M1209" s="93"/>
      <c r="N1209" s="93"/>
      <c r="O1209" s="93"/>
      <c r="P1209" s="93"/>
      <c r="Q1209" s="93"/>
      <c r="R1209" s="93"/>
      <c r="S1209" s="93"/>
      <c r="T1209" s="93"/>
      <c r="U1209" s="93"/>
      <c r="V1209" s="93"/>
      <c r="W1209" s="93"/>
      <c r="X1209" s="93"/>
      <c r="Y1209" s="93"/>
      <c r="Z1209" s="93"/>
    </row>
    <row r="1210" customFormat="false" ht="16.4" hidden="false" customHeight="false" outlineLevel="0" collapsed="false">
      <c r="A1210" s="123" t="n">
        <v>45444</v>
      </c>
      <c r="B1210" s="31" t="s">
        <v>153</v>
      </c>
      <c r="C1210" s="129"/>
      <c r="D1210" s="129"/>
      <c r="E1210" s="19" t="n">
        <f aca="false">F1210*0.03</f>
        <v>0</v>
      </c>
      <c r="F1210" s="33" t="n">
        <v>0</v>
      </c>
      <c r="G1210" s="131"/>
      <c r="H1210" s="35" t="n">
        <v>0</v>
      </c>
      <c r="I1210" s="34" t="n">
        <f aca="false">+IF(E1210=0,0,E1210*0.03)</f>
        <v>0</v>
      </c>
      <c r="J1210" s="93"/>
      <c r="K1210" s="93"/>
      <c r="L1210" s="93"/>
      <c r="M1210" s="93"/>
      <c r="N1210" s="93"/>
      <c r="O1210" s="93"/>
      <c r="P1210" s="93"/>
      <c r="Q1210" s="93"/>
      <c r="R1210" s="93"/>
      <c r="S1210" s="93"/>
      <c r="T1210" s="93"/>
      <c r="U1210" s="93"/>
      <c r="V1210" s="93"/>
      <c r="W1210" s="93"/>
      <c r="X1210" s="93"/>
      <c r="Y1210" s="93"/>
      <c r="Z1210" s="93"/>
    </row>
    <row r="1211" customFormat="false" ht="16.4" hidden="false" customHeight="false" outlineLevel="0" collapsed="false">
      <c r="A1211" s="123" t="n">
        <v>45444</v>
      </c>
      <c r="B1211" s="31" t="s">
        <v>153</v>
      </c>
      <c r="C1211" s="129"/>
      <c r="D1211" s="129"/>
      <c r="E1211" s="19" t="n">
        <f aca="false">F1211*0.03</f>
        <v>0</v>
      </c>
      <c r="F1211" s="33" t="n">
        <v>0</v>
      </c>
      <c r="G1211" s="131"/>
      <c r="H1211" s="35" t="n">
        <v>0</v>
      </c>
      <c r="I1211" s="34" t="n">
        <f aca="false">+IF(E1211=0,0,E1211*0.03)</f>
        <v>0</v>
      </c>
      <c r="J1211" s="93"/>
      <c r="K1211" s="93"/>
      <c r="L1211" s="93"/>
      <c r="M1211" s="93"/>
      <c r="N1211" s="93"/>
      <c r="O1211" s="93"/>
      <c r="P1211" s="93"/>
      <c r="Q1211" s="93"/>
      <c r="R1211" s="93"/>
      <c r="S1211" s="93"/>
      <c r="T1211" s="93"/>
      <c r="U1211" s="93"/>
      <c r="V1211" s="93"/>
      <c r="W1211" s="93"/>
      <c r="X1211" s="93"/>
      <c r="Y1211" s="93"/>
      <c r="Z1211" s="93"/>
    </row>
    <row r="1212" customFormat="false" ht="16.4" hidden="false" customHeight="false" outlineLevel="0" collapsed="false">
      <c r="A1212" s="123" t="n">
        <v>45444</v>
      </c>
      <c r="B1212" s="31" t="s">
        <v>153</v>
      </c>
      <c r="C1212" s="129"/>
      <c r="D1212" s="129"/>
      <c r="E1212" s="19" t="n">
        <f aca="false">F1212*0.03</f>
        <v>0</v>
      </c>
      <c r="F1212" s="33" t="n">
        <v>0</v>
      </c>
      <c r="G1212" s="131"/>
      <c r="H1212" s="35" t="n">
        <v>0</v>
      </c>
      <c r="I1212" s="34" t="n">
        <f aca="false">+IF(E1212=0,0,E1212*0.03)</f>
        <v>0</v>
      </c>
      <c r="J1212" s="93"/>
      <c r="K1212" s="93"/>
      <c r="L1212" s="93"/>
      <c r="M1212" s="93"/>
      <c r="N1212" s="93"/>
      <c r="O1212" s="93"/>
      <c r="P1212" s="93"/>
      <c r="Q1212" s="93"/>
      <c r="R1212" s="93"/>
      <c r="S1212" s="93"/>
      <c r="T1212" s="93"/>
      <c r="U1212" s="93"/>
      <c r="V1212" s="93"/>
      <c r="W1212" s="93"/>
      <c r="X1212" s="93"/>
      <c r="Y1212" s="93"/>
      <c r="Z1212" s="93"/>
    </row>
    <row r="1213" customFormat="false" ht="16.4" hidden="false" customHeight="false" outlineLevel="0" collapsed="false">
      <c r="A1213" s="123" t="n">
        <v>45444</v>
      </c>
      <c r="B1213" s="31" t="s">
        <v>153</v>
      </c>
      <c r="C1213" s="129"/>
      <c r="D1213" s="129"/>
      <c r="E1213" s="19" t="n">
        <f aca="false">F1213*0.03</f>
        <v>0</v>
      </c>
      <c r="F1213" s="33" t="n">
        <v>0</v>
      </c>
      <c r="G1213" s="131"/>
      <c r="H1213" s="35" t="n">
        <v>0</v>
      </c>
      <c r="I1213" s="34" t="n">
        <f aca="false">+IF(E1213=0,0,E1213*0.03)</f>
        <v>0</v>
      </c>
      <c r="J1213" s="93"/>
      <c r="K1213" s="93"/>
      <c r="L1213" s="93"/>
      <c r="M1213" s="93"/>
      <c r="N1213" s="93"/>
      <c r="O1213" s="93"/>
      <c r="P1213" s="93"/>
      <c r="Q1213" s="93"/>
      <c r="R1213" s="93"/>
      <c r="S1213" s="93"/>
      <c r="T1213" s="93"/>
      <c r="U1213" s="93"/>
      <c r="V1213" s="93"/>
      <c r="W1213" s="93"/>
      <c r="X1213" s="93"/>
      <c r="Y1213" s="93"/>
      <c r="Z1213" s="93"/>
    </row>
    <row r="1214" customFormat="false" ht="16.4" hidden="false" customHeight="false" outlineLevel="0" collapsed="false">
      <c r="A1214" s="123" t="n">
        <v>45444</v>
      </c>
      <c r="B1214" s="31" t="s">
        <v>153</v>
      </c>
      <c r="C1214" s="129"/>
      <c r="D1214" s="129"/>
      <c r="E1214" s="19" t="n">
        <f aca="false">F1214*0.03</f>
        <v>0</v>
      </c>
      <c r="F1214" s="33" t="n">
        <v>0</v>
      </c>
      <c r="G1214" s="131"/>
      <c r="H1214" s="35" t="n">
        <v>0</v>
      </c>
      <c r="I1214" s="34" t="n">
        <f aca="false">+IF(E1214=0,0,E1214*0.03)</f>
        <v>0</v>
      </c>
      <c r="J1214" s="93"/>
      <c r="K1214" s="93"/>
      <c r="L1214" s="93"/>
      <c r="M1214" s="93"/>
      <c r="N1214" s="93"/>
      <c r="O1214" s="93"/>
      <c r="P1214" s="93"/>
      <c r="Q1214" s="93"/>
      <c r="R1214" s="93"/>
      <c r="S1214" s="93"/>
      <c r="T1214" s="93"/>
      <c r="U1214" s="93"/>
      <c r="V1214" s="93"/>
      <c r="W1214" s="93"/>
      <c r="X1214" s="93"/>
      <c r="Y1214" s="93"/>
      <c r="Z1214" s="93"/>
    </row>
    <row r="1215" customFormat="false" ht="16.4" hidden="false" customHeight="false" outlineLevel="0" collapsed="false">
      <c r="A1215" s="123" t="n">
        <v>45444</v>
      </c>
      <c r="B1215" s="31" t="s">
        <v>153</v>
      </c>
      <c r="C1215" s="129"/>
      <c r="D1215" s="129"/>
      <c r="E1215" s="19" t="n">
        <f aca="false">F1215*0.03</f>
        <v>0</v>
      </c>
      <c r="F1215" s="33" t="n">
        <v>0</v>
      </c>
      <c r="G1215" s="131"/>
      <c r="H1215" s="35" t="n">
        <v>0</v>
      </c>
      <c r="I1215" s="34" t="n">
        <f aca="false">+IF(E1215=0,0,E1215*0.03)</f>
        <v>0</v>
      </c>
      <c r="J1215" s="93"/>
      <c r="K1215" s="93"/>
      <c r="L1215" s="93"/>
      <c r="M1215" s="93"/>
      <c r="N1215" s="93"/>
      <c r="O1215" s="93"/>
      <c r="P1215" s="93"/>
      <c r="Q1215" s="93"/>
      <c r="R1215" s="93"/>
      <c r="S1215" s="93"/>
      <c r="T1215" s="93"/>
      <c r="U1215" s="93"/>
      <c r="V1215" s="93"/>
      <c r="W1215" s="93"/>
      <c r="X1215" s="93"/>
      <c r="Y1215" s="93"/>
      <c r="Z1215" s="93"/>
    </row>
    <row r="1216" customFormat="false" ht="16.4" hidden="false" customHeight="false" outlineLevel="0" collapsed="false">
      <c r="A1216" s="123" t="n">
        <v>45444</v>
      </c>
      <c r="B1216" s="31" t="s">
        <v>153</v>
      </c>
      <c r="C1216" s="129"/>
      <c r="D1216" s="129"/>
      <c r="E1216" s="19" t="n">
        <f aca="false">F1216*0.03</f>
        <v>0</v>
      </c>
      <c r="F1216" s="33" t="n">
        <v>0</v>
      </c>
      <c r="G1216" s="131"/>
      <c r="H1216" s="35" t="n">
        <v>0</v>
      </c>
      <c r="I1216" s="34" t="n">
        <f aca="false">+IF(E1216=0,0,E1216*0.03)</f>
        <v>0</v>
      </c>
      <c r="J1216" s="93"/>
      <c r="K1216" s="93"/>
      <c r="L1216" s="93"/>
      <c r="M1216" s="93"/>
      <c r="N1216" s="93"/>
      <c r="O1216" s="93"/>
      <c r="P1216" s="93"/>
      <c r="Q1216" s="93"/>
      <c r="R1216" s="93"/>
      <c r="S1216" s="93"/>
      <c r="T1216" s="93"/>
      <c r="U1216" s="93"/>
      <c r="V1216" s="93"/>
      <c r="W1216" s="93"/>
      <c r="X1216" s="93"/>
      <c r="Y1216" s="93"/>
      <c r="Z1216" s="93"/>
    </row>
    <row r="1217" customFormat="false" ht="16.4" hidden="false" customHeight="false" outlineLevel="0" collapsed="false">
      <c r="A1217" s="123" t="n">
        <v>45444</v>
      </c>
      <c r="B1217" s="31" t="s">
        <v>153</v>
      </c>
      <c r="C1217" s="129"/>
      <c r="D1217" s="129"/>
      <c r="E1217" s="19" t="n">
        <f aca="false">F1217*0.03</f>
        <v>0</v>
      </c>
      <c r="F1217" s="33" t="n">
        <v>0</v>
      </c>
      <c r="G1217" s="131"/>
      <c r="H1217" s="35" t="n">
        <v>0</v>
      </c>
      <c r="I1217" s="34" t="n">
        <f aca="false">+IF(E1217=0,0,E1217*0.03)</f>
        <v>0</v>
      </c>
      <c r="J1217" s="93"/>
      <c r="K1217" s="93"/>
      <c r="L1217" s="93"/>
      <c r="M1217" s="93"/>
      <c r="N1217" s="93"/>
      <c r="O1217" s="93"/>
      <c r="P1217" s="93"/>
      <c r="Q1217" s="93"/>
      <c r="R1217" s="93"/>
      <c r="S1217" s="93"/>
      <c r="T1217" s="93"/>
      <c r="U1217" s="93"/>
      <c r="V1217" s="93"/>
      <c r="W1217" s="93"/>
      <c r="X1217" s="93"/>
      <c r="Y1217" s="93"/>
      <c r="Z1217" s="93"/>
    </row>
    <row r="1218" customFormat="false" ht="16.4" hidden="false" customHeight="false" outlineLevel="0" collapsed="false">
      <c r="A1218" s="123" t="n">
        <v>45444</v>
      </c>
      <c r="B1218" s="31" t="s">
        <v>153</v>
      </c>
      <c r="C1218" s="129"/>
      <c r="D1218" s="129"/>
      <c r="E1218" s="19" t="n">
        <f aca="false">F1218*0.03</f>
        <v>0</v>
      </c>
      <c r="F1218" s="33" t="n">
        <v>0</v>
      </c>
      <c r="G1218" s="131"/>
      <c r="H1218" s="35" t="n">
        <v>0</v>
      </c>
      <c r="I1218" s="34" t="n">
        <f aca="false">+IF(E1218=0,0,E1218*0.03)</f>
        <v>0</v>
      </c>
      <c r="J1218" s="93"/>
      <c r="K1218" s="93"/>
      <c r="L1218" s="93"/>
      <c r="M1218" s="93"/>
      <c r="N1218" s="93"/>
      <c r="O1218" s="93"/>
      <c r="P1218" s="93"/>
      <c r="Q1218" s="93"/>
      <c r="R1218" s="93"/>
      <c r="S1218" s="93"/>
      <c r="T1218" s="93"/>
      <c r="U1218" s="93"/>
      <c r="V1218" s="93"/>
      <c r="W1218" s="93"/>
      <c r="X1218" s="93"/>
      <c r="Y1218" s="93"/>
      <c r="Z1218" s="93"/>
    </row>
    <row r="1219" customFormat="false" ht="16.4" hidden="false" customHeight="false" outlineLevel="0" collapsed="false">
      <c r="A1219" s="123" t="n">
        <v>45444</v>
      </c>
      <c r="B1219" s="31" t="s">
        <v>153</v>
      </c>
      <c r="C1219" s="129"/>
      <c r="D1219" s="129"/>
      <c r="E1219" s="19" t="n">
        <f aca="false">F1219*0.03</f>
        <v>0</v>
      </c>
      <c r="F1219" s="33" t="n">
        <v>0</v>
      </c>
      <c r="G1219" s="131"/>
      <c r="H1219" s="35" t="n">
        <v>0</v>
      </c>
      <c r="I1219" s="34" t="n">
        <f aca="false">+IF(E1219=0,0,E1219*0.03)</f>
        <v>0</v>
      </c>
      <c r="J1219" s="93"/>
      <c r="K1219" s="93"/>
      <c r="L1219" s="93"/>
      <c r="M1219" s="93"/>
      <c r="N1219" s="93"/>
      <c r="O1219" s="93"/>
      <c r="P1219" s="93"/>
      <c r="Q1219" s="93"/>
      <c r="R1219" s="93"/>
      <c r="S1219" s="93"/>
      <c r="T1219" s="93"/>
      <c r="U1219" s="93"/>
      <c r="V1219" s="93"/>
      <c r="W1219" s="93"/>
      <c r="X1219" s="93"/>
      <c r="Y1219" s="93"/>
      <c r="Z1219" s="93"/>
    </row>
    <row r="1220" customFormat="false" ht="16.4" hidden="false" customHeight="false" outlineLevel="0" collapsed="false">
      <c r="A1220" s="123" t="n">
        <v>45444</v>
      </c>
      <c r="B1220" s="31" t="s">
        <v>153</v>
      </c>
      <c r="C1220" s="129"/>
      <c r="D1220" s="129"/>
      <c r="E1220" s="19" t="n">
        <f aca="false">F1220*0.03</f>
        <v>0</v>
      </c>
      <c r="F1220" s="33" t="n">
        <v>0</v>
      </c>
      <c r="G1220" s="131"/>
      <c r="H1220" s="35" t="n">
        <v>0</v>
      </c>
      <c r="I1220" s="34" t="n">
        <f aca="false">+IF(E1220=0,0,E1220*0.03)</f>
        <v>0</v>
      </c>
      <c r="J1220" s="93"/>
      <c r="K1220" s="93"/>
      <c r="L1220" s="93"/>
      <c r="M1220" s="93"/>
      <c r="N1220" s="93"/>
      <c r="O1220" s="93"/>
      <c r="P1220" s="93"/>
      <c r="Q1220" s="93"/>
      <c r="R1220" s="93"/>
      <c r="S1220" s="93"/>
      <c r="T1220" s="93"/>
      <c r="U1220" s="93"/>
      <c r="V1220" s="93"/>
      <c r="W1220" s="93"/>
      <c r="X1220" s="93"/>
      <c r="Y1220" s="93"/>
      <c r="Z1220" s="93"/>
    </row>
    <row r="1221" customFormat="false" ht="16.4" hidden="false" customHeight="false" outlineLevel="0" collapsed="false">
      <c r="A1221" s="123" t="n">
        <v>45444</v>
      </c>
      <c r="B1221" s="31" t="s">
        <v>153</v>
      </c>
      <c r="C1221" s="129"/>
      <c r="D1221" s="129"/>
      <c r="E1221" s="19" t="n">
        <f aca="false">F1221*0.03</f>
        <v>0</v>
      </c>
      <c r="F1221" s="33" t="n">
        <v>0</v>
      </c>
      <c r="G1221" s="131"/>
      <c r="H1221" s="35" t="n">
        <v>0</v>
      </c>
      <c r="I1221" s="34" t="n">
        <f aca="false">+IF(E1221=0,0,E1221*0.03)</f>
        <v>0</v>
      </c>
      <c r="J1221" s="93"/>
      <c r="K1221" s="93"/>
      <c r="L1221" s="93"/>
      <c r="M1221" s="93"/>
      <c r="N1221" s="93"/>
      <c r="O1221" s="93"/>
      <c r="P1221" s="93"/>
      <c r="Q1221" s="93"/>
      <c r="R1221" s="93"/>
      <c r="S1221" s="93"/>
      <c r="T1221" s="93"/>
      <c r="U1221" s="93"/>
      <c r="V1221" s="93"/>
      <c r="W1221" s="93"/>
      <c r="X1221" s="93"/>
      <c r="Y1221" s="93"/>
      <c r="Z1221" s="93"/>
    </row>
    <row r="1222" customFormat="false" ht="16.4" hidden="false" customHeight="false" outlineLevel="0" collapsed="false">
      <c r="A1222" s="123" t="n">
        <v>45444</v>
      </c>
      <c r="B1222" s="31" t="s">
        <v>153</v>
      </c>
      <c r="C1222" s="129"/>
      <c r="D1222" s="129"/>
      <c r="E1222" s="19" t="n">
        <f aca="false">F1222*0.03</f>
        <v>0</v>
      </c>
      <c r="F1222" s="33" t="n">
        <v>0</v>
      </c>
      <c r="G1222" s="131"/>
      <c r="H1222" s="35" t="n">
        <v>0</v>
      </c>
      <c r="I1222" s="34" t="n">
        <f aca="false">+IF(E1222=0,0,E1222*0.03)</f>
        <v>0</v>
      </c>
      <c r="J1222" s="93"/>
      <c r="K1222" s="93"/>
      <c r="L1222" s="93"/>
      <c r="M1222" s="93"/>
      <c r="N1222" s="93"/>
      <c r="O1222" s="93"/>
      <c r="P1222" s="93"/>
      <c r="Q1222" s="93"/>
      <c r="R1222" s="93"/>
      <c r="S1222" s="93"/>
      <c r="T1222" s="93"/>
      <c r="U1222" s="93"/>
      <c r="V1222" s="93"/>
      <c r="W1222" s="93"/>
      <c r="X1222" s="93"/>
      <c r="Y1222" s="93"/>
      <c r="Z1222" s="93"/>
    </row>
    <row r="1223" customFormat="false" ht="16.4" hidden="false" customHeight="false" outlineLevel="0" collapsed="false">
      <c r="A1223" s="123" t="n">
        <v>45444</v>
      </c>
      <c r="B1223" s="31" t="s">
        <v>153</v>
      </c>
      <c r="C1223" s="129"/>
      <c r="D1223" s="129"/>
      <c r="E1223" s="19" t="n">
        <f aca="false">F1223*0.03</f>
        <v>0</v>
      </c>
      <c r="F1223" s="33" t="n">
        <v>0</v>
      </c>
      <c r="G1223" s="131"/>
      <c r="H1223" s="35" t="n">
        <v>0</v>
      </c>
      <c r="I1223" s="34" t="n">
        <f aca="false">+IF(E1223=0,0,E1223*0.03)</f>
        <v>0</v>
      </c>
      <c r="J1223" s="93"/>
      <c r="K1223" s="93"/>
      <c r="L1223" s="93"/>
      <c r="M1223" s="93"/>
      <c r="N1223" s="93"/>
      <c r="O1223" s="93"/>
      <c r="P1223" s="93"/>
      <c r="Q1223" s="93"/>
      <c r="R1223" s="93"/>
      <c r="S1223" s="93"/>
      <c r="T1223" s="93"/>
      <c r="U1223" s="93"/>
      <c r="V1223" s="93"/>
      <c r="W1223" s="93"/>
      <c r="X1223" s="93"/>
      <c r="Y1223" s="93"/>
      <c r="Z1223" s="93"/>
    </row>
    <row r="1224" customFormat="false" ht="16.4" hidden="false" customHeight="false" outlineLevel="0" collapsed="false">
      <c r="A1224" s="123" t="n">
        <v>45444</v>
      </c>
      <c r="B1224" s="31" t="s">
        <v>153</v>
      </c>
      <c r="C1224" s="129"/>
      <c r="D1224" s="129"/>
      <c r="E1224" s="19" t="n">
        <f aca="false">F1224*0.03</f>
        <v>0</v>
      </c>
      <c r="F1224" s="33" t="n">
        <v>0</v>
      </c>
      <c r="G1224" s="131"/>
      <c r="H1224" s="35" t="n">
        <v>0</v>
      </c>
      <c r="I1224" s="34" t="n">
        <f aca="false">+IF(E1224=0,0,E1224*0.03)</f>
        <v>0</v>
      </c>
      <c r="J1224" s="93"/>
      <c r="K1224" s="93"/>
      <c r="L1224" s="93"/>
      <c r="M1224" s="93"/>
      <c r="N1224" s="93"/>
      <c r="O1224" s="93"/>
      <c r="P1224" s="93"/>
      <c r="Q1224" s="93"/>
      <c r="R1224" s="93"/>
      <c r="S1224" s="93"/>
      <c r="T1224" s="93"/>
      <c r="U1224" s="93"/>
      <c r="V1224" s="93"/>
      <c r="W1224" s="93"/>
      <c r="X1224" s="93"/>
      <c r="Y1224" s="93"/>
      <c r="Z1224" s="93"/>
    </row>
    <row r="1225" customFormat="false" ht="16.4" hidden="false" customHeight="false" outlineLevel="0" collapsed="false">
      <c r="A1225" s="123" t="n">
        <v>45444</v>
      </c>
      <c r="B1225" s="31" t="s">
        <v>153</v>
      </c>
      <c r="C1225" s="129"/>
      <c r="D1225" s="129"/>
      <c r="E1225" s="19" t="n">
        <f aca="false">F1225*0.03</f>
        <v>0</v>
      </c>
      <c r="F1225" s="33" t="n">
        <v>0</v>
      </c>
      <c r="G1225" s="131"/>
      <c r="H1225" s="35" t="n">
        <v>0</v>
      </c>
      <c r="I1225" s="34" t="n">
        <f aca="false">+IF(E1225=0,0,E1225*0.03)</f>
        <v>0</v>
      </c>
      <c r="J1225" s="93"/>
      <c r="K1225" s="93"/>
      <c r="L1225" s="93"/>
      <c r="M1225" s="93"/>
      <c r="N1225" s="93"/>
      <c r="O1225" s="93"/>
      <c r="P1225" s="93"/>
      <c r="Q1225" s="93"/>
      <c r="R1225" s="93"/>
      <c r="S1225" s="93"/>
      <c r="T1225" s="93"/>
      <c r="U1225" s="93"/>
      <c r="V1225" s="93"/>
      <c r="W1225" s="93"/>
      <c r="X1225" s="93"/>
      <c r="Y1225" s="93"/>
      <c r="Z1225" s="93"/>
    </row>
    <row r="1226" customFormat="false" ht="16.4" hidden="false" customHeight="false" outlineLevel="0" collapsed="false">
      <c r="A1226" s="123" t="n">
        <v>45444</v>
      </c>
      <c r="B1226" s="31" t="s">
        <v>153</v>
      </c>
      <c r="C1226" s="129"/>
      <c r="D1226" s="129"/>
      <c r="E1226" s="19" t="n">
        <f aca="false">F1226*0.03</f>
        <v>0</v>
      </c>
      <c r="F1226" s="33" t="n">
        <v>0</v>
      </c>
      <c r="G1226" s="131"/>
      <c r="H1226" s="35" t="n">
        <v>0</v>
      </c>
      <c r="I1226" s="34" t="n">
        <f aca="false">+IF(E1226=0,0,E1226*0.03)</f>
        <v>0</v>
      </c>
      <c r="J1226" s="93"/>
      <c r="K1226" s="93"/>
      <c r="L1226" s="93"/>
      <c r="M1226" s="93"/>
      <c r="N1226" s="93"/>
      <c r="O1226" s="93"/>
      <c r="P1226" s="93"/>
      <c r="Q1226" s="93"/>
      <c r="R1226" s="93"/>
      <c r="S1226" s="93"/>
      <c r="T1226" s="93"/>
      <c r="U1226" s="93"/>
      <c r="V1226" s="93"/>
      <c r="W1226" s="93"/>
      <c r="X1226" s="93"/>
      <c r="Y1226" s="93"/>
      <c r="Z1226" s="93"/>
    </row>
    <row r="1227" customFormat="false" ht="16.4" hidden="false" customHeight="false" outlineLevel="0" collapsed="false">
      <c r="A1227" s="123" t="n">
        <v>45444</v>
      </c>
      <c r="B1227" s="31" t="s">
        <v>153</v>
      </c>
      <c r="C1227" s="129"/>
      <c r="D1227" s="129"/>
      <c r="E1227" s="19" t="n">
        <f aca="false">F1227*0.03</f>
        <v>0</v>
      </c>
      <c r="F1227" s="33" t="n">
        <v>0</v>
      </c>
      <c r="G1227" s="131"/>
      <c r="H1227" s="35" t="n">
        <v>0</v>
      </c>
      <c r="I1227" s="34" t="n">
        <f aca="false">+IF(E1227=0,0,E1227*0.03)</f>
        <v>0</v>
      </c>
      <c r="J1227" s="93"/>
      <c r="K1227" s="93"/>
      <c r="L1227" s="93"/>
      <c r="M1227" s="93"/>
      <c r="N1227" s="93"/>
      <c r="O1227" s="93"/>
      <c r="P1227" s="93"/>
      <c r="Q1227" s="93"/>
      <c r="R1227" s="93"/>
      <c r="S1227" s="93"/>
      <c r="T1227" s="93"/>
      <c r="U1227" s="93"/>
      <c r="V1227" s="93"/>
      <c r="W1227" s="93"/>
      <c r="X1227" s="93"/>
      <c r="Y1227" s="93"/>
      <c r="Z1227" s="93"/>
    </row>
    <row r="1228" customFormat="false" ht="16.4" hidden="false" customHeight="false" outlineLevel="0" collapsed="false">
      <c r="A1228" s="123" t="n">
        <v>45444</v>
      </c>
      <c r="B1228" s="31" t="s">
        <v>153</v>
      </c>
      <c r="C1228" s="129"/>
      <c r="D1228" s="129"/>
      <c r="E1228" s="19" t="n">
        <f aca="false">F1228*0.03</f>
        <v>0</v>
      </c>
      <c r="F1228" s="33" t="n">
        <v>0</v>
      </c>
      <c r="G1228" s="131"/>
      <c r="H1228" s="35" t="n">
        <v>0</v>
      </c>
      <c r="I1228" s="34" t="n">
        <f aca="false">+IF(E1228=0,0,E1228*0.03)</f>
        <v>0</v>
      </c>
      <c r="J1228" s="93"/>
      <c r="K1228" s="93"/>
      <c r="L1228" s="93"/>
      <c r="M1228" s="93"/>
      <c r="N1228" s="93"/>
      <c r="O1228" s="93"/>
      <c r="P1228" s="93"/>
      <c r="Q1228" s="93"/>
      <c r="R1228" s="93"/>
      <c r="S1228" s="93"/>
      <c r="T1228" s="93"/>
      <c r="U1228" s="93"/>
      <c r="V1228" s="93"/>
      <c r="W1228" s="93"/>
      <c r="X1228" s="93"/>
      <c r="Y1228" s="93"/>
      <c r="Z1228" s="93"/>
    </row>
    <row r="1229" customFormat="false" ht="16.4" hidden="false" customHeight="false" outlineLevel="0" collapsed="false">
      <c r="A1229" s="123" t="n">
        <v>45444</v>
      </c>
      <c r="B1229" s="31" t="s">
        <v>153</v>
      </c>
      <c r="C1229" s="129"/>
      <c r="D1229" s="129"/>
      <c r="E1229" s="19" t="n">
        <f aca="false">F1229*0.03</f>
        <v>0</v>
      </c>
      <c r="F1229" s="33" t="n">
        <v>0</v>
      </c>
      <c r="G1229" s="131"/>
      <c r="H1229" s="35" t="n">
        <v>0</v>
      </c>
      <c r="I1229" s="34" t="n">
        <f aca="false">+IF(E1229=0,0,E1229*0.03)</f>
        <v>0</v>
      </c>
      <c r="J1229" s="93"/>
      <c r="K1229" s="93"/>
      <c r="L1229" s="93"/>
      <c r="M1229" s="93"/>
      <c r="N1229" s="93"/>
      <c r="O1229" s="93"/>
      <c r="P1229" s="93"/>
      <c r="Q1229" s="93"/>
      <c r="R1229" s="93"/>
      <c r="S1229" s="93"/>
      <c r="T1229" s="93"/>
      <c r="U1229" s="93"/>
      <c r="V1229" s="93"/>
      <c r="W1229" s="93"/>
      <c r="X1229" s="93"/>
      <c r="Y1229" s="93"/>
      <c r="Z1229" s="93"/>
    </row>
    <row r="1230" customFormat="false" ht="16.4" hidden="false" customHeight="false" outlineLevel="0" collapsed="false">
      <c r="A1230" s="123" t="n">
        <v>45444</v>
      </c>
      <c r="B1230" s="31" t="s">
        <v>153</v>
      </c>
      <c r="C1230" s="129"/>
      <c r="D1230" s="129"/>
      <c r="E1230" s="19" t="n">
        <f aca="false">F1230*0.03</f>
        <v>0</v>
      </c>
      <c r="F1230" s="33" t="n">
        <v>0</v>
      </c>
      <c r="G1230" s="131"/>
      <c r="H1230" s="35" t="n">
        <v>0</v>
      </c>
      <c r="I1230" s="34" t="n">
        <f aca="false">+IF(E1230=0,0,E1230*0.03)</f>
        <v>0</v>
      </c>
      <c r="J1230" s="93"/>
      <c r="K1230" s="93"/>
      <c r="L1230" s="93"/>
      <c r="M1230" s="93"/>
      <c r="N1230" s="93"/>
      <c r="O1230" s="93"/>
      <c r="P1230" s="93"/>
      <c r="Q1230" s="93"/>
      <c r="R1230" s="93"/>
      <c r="S1230" s="93"/>
      <c r="T1230" s="93"/>
      <c r="U1230" s="93"/>
      <c r="V1230" s="93"/>
      <c r="W1230" s="93"/>
      <c r="X1230" s="93"/>
      <c r="Y1230" s="93"/>
      <c r="Z1230" s="93"/>
    </row>
    <row r="1231" customFormat="false" ht="16.4" hidden="false" customHeight="false" outlineLevel="0" collapsed="false">
      <c r="A1231" s="123" t="n">
        <v>45444</v>
      </c>
      <c r="B1231" s="31" t="s">
        <v>153</v>
      </c>
      <c r="C1231" s="129"/>
      <c r="D1231" s="129"/>
      <c r="E1231" s="19" t="n">
        <f aca="false">F1231*0.03</f>
        <v>0</v>
      </c>
      <c r="F1231" s="33" t="n">
        <v>0</v>
      </c>
      <c r="G1231" s="131"/>
      <c r="H1231" s="35" t="n">
        <v>0</v>
      </c>
      <c r="I1231" s="34" t="n">
        <f aca="false">+IF(E1231=0,0,E1231*0.03)</f>
        <v>0</v>
      </c>
      <c r="J1231" s="93"/>
      <c r="K1231" s="93"/>
      <c r="L1231" s="93"/>
      <c r="M1231" s="93"/>
      <c r="N1231" s="93"/>
      <c r="O1231" s="93"/>
      <c r="P1231" s="93"/>
      <c r="Q1231" s="93"/>
      <c r="R1231" s="93"/>
      <c r="S1231" s="93"/>
      <c r="T1231" s="93"/>
      <c r="U1231" s="93"/>
      <c r="V1231" s="93"/>
      <c r="W1231" s="93"/>
      <c r="X1231" s="93"/>
      <c r="Y1231" s="93"/>
      <c r="Z1231" s="93"/>
    </row>
    <row r="1232" customFormat="false" ht="16.4" hidden="false" customHeight="false" outlineLevel="0" collapsed="false">
      <c r="A1232" s="123" t="n">
        <v>45444</v>
      </c>
      <c r="B1232" s="31" t="s">
        <v>153</v>
      </c>
      <c r="C1232" s="129"/>
      <c r="D1232" s="129"/>
      <c r="E1232" s="19" t="n">
        <f aca="false">F1232*0.03</f>
        <v>0</v>
      </c>
      <c r="F1232" s="33" t="n">
        <v>0</v>
      </c>
      <c r="G1232" s="131"/>
      <c r="H1232" s="35" t="n">
        <v>0</v>
      </c>
      <c r="I1232" s="34" t="n">
        <f aca="false">+IF(E1232=0,0,E1232*0.03)</f>
        <v>0</v>
      </c>
      <c r="J1232" s="93"/>
      <c r="K1232" s="93"/>
      <c r="L1232" s="93"/>
      <c r="M1232" s="93"/>
      <c r="N1232" s="93"/>
      <c r="O1232" s="93"/>
      <c r="P1232" s="93"/>
      <c r="Q1232" s="93"/>
      <c r="R1232" s="93"/>
      <c r="S1232" s="93"/>
      <c r="T1232" s="93"/>
      <c r="U1232" s="93"/>
      <c r="V1232" s="93"/>
      <c r="W1232" s="93"/>
      <c r="X1232" s="93"/>
      <c r="Y1232" s="93"/>
      <c r="Z1232" s="93"/>
    </row>
    <row r="1233" customFormat="false" ht="16.4" hidden="false" customHeight="false" outlineLevel="0" collapsed="false">
      <c r="A1233" s="123" t="n">
        <v>45444</v>
      </c>
      <c r="B1233" s="31" t="s">
        <v>153</v>
      </c>
      <c r="C1233" s="129"/>
      <c r="D1233" s="129"/>
      <c r="E1233" s="19" t="n">
        <f aca="false">F1233*0.03</f>
        <v>0</v>
      </c>
      <c r="F1233" s="33" t="n">
        <v>0</v>
      </c>
      <c r="G1233" s="131"/>
      <c r="H1233" s="35" t="n">
        <v>0</v>
      </c>
      <c r="I1233" s="34" t="n">
        <f aca="false">+IF(E1233=0,0,E1233*0.03)</f>
        <v>0</v>
      </c>
      <c r="J1233" s="93"/>
      <c r="K1233" s="93"/>
      <c r="L1233" s="93"/>
      <c r="M1233" s="93"/>
      <c r="N1233" s="93"/>
      <c r="O1233" s="93"/>
      <c r="P1233" s="93"/>
      <c r="Q1233" s="93"/>
      <c r="R1233" s="93"/>
      <c r="S1233" s="93"/>
      <c r="T1233" s="93"/>
      <c r="U1233" s="93"/>
      <c r="V1233" s="93"/>
      <c r="W1233" s="93"/>
      <c r="X1233" s="93"/>
      <c r="Y1233" s="93"/>
      <c r="Z1233" s="93"/>
    </row>
    <row r="1234" customFormat="false" ht="16.4" hidden="false" customHeight="false" outlineLevel="0" collapsed="false">
      <c r="A1234" s="123" t="n">
        <v>45444</v>
      </c>
      <c r="B1234" s="31" t="s">
        <v>153</v>
      </c>
      <c r="C1234" s="129"/>
      <c r="D1234" s="129"/>
      <c r="E1234" s="19" t="n">
        <f aca="false">F1234*0.03</f>
        <v>0</v>
      </c>
      <c r="F1234" s="33" t="n">
        <v>0</v>
      </c>
      <c r="G1234" s="131"/>
      <c r="H1234" s="35" t="n">
        <v>0</v>
      </c>
      <c r="I1234" s="34" t="n">
        <f aca="false">+IF(E1234=0,0,E1234*0.03)</f>
        <v>0</v>
      </c>
      <c r="J1234" s="93"/>
      <c r="K1234" s="93"/>
      <c r="L1234" s="93"/>
      <c r="M1234" s="93"/>
      <c r="N1234" s="93"/>
      <c r="O1234" s="93"/>
      <c r="P1234" s="93"/>
      <c r="Q1234" s="93"/>
      <c r="R1234" s="93"/>
      <c r="S1234" s="93"/>
      <c r="T1234" s="93"/>
      <c r="U1234" s="93"/>
      <c r="V1234" s="93"/>
      <c r="W1234" s="93"/>
      <c r="X1234" s="93"/>
      <c r="Y1234" s="93"/>
      <c r="Z1234" s="93"/>
    </row>
    <row r="1235" customFormat="false" ht="16.4" hidden="false" customHeight="false" outlineLevel="0" collapsed="false">
      <c r="A1235" s="123" t="n">
        <v>45444</v>
      </c>
      <c r="B1235" s="31" t="s">
        <v>153</v>
      </c>
      <c r="C1235" s="129"/>
      <c r="D1235" s="129"/>
      <c r="E1235" s="19" t="n">
        <f aca="false">F1235*0.03</f>
        <v>0</v>
      </c>
      <c r="F1235" s="33" t="n">
        <v>0</v>
      </c>
      <c r="G1235" s="131"/>
      <c r="H1235" s="35" t="n">
        <v>0</v>
      </c>
      <c r="I1235" s="34" t="n">
        <f aca="false">+IF(E1235=0,0,E1235*0.03)</f>
        <v>0</v>
      </c>
      <c r="J1235" s="93"/>
      <c r="K1235" s="93"/>
      <c r="L1235" s="93"/>
      <c r="M1235" s="93"/>
      <c r="N1235" s="93"/>
      <c r="O1235" s="93"/>
      <c r="P1235" s="93"/>
      <c r="Q1235" s="93"/>
      <c r="R1235" s="93"/>
      <c r="S1235" s="93"/>
      <c r="T1235" s="93"/>
      <c r="U1235" s="93"/>
      <c r="V1235" s="93"/>
      <c r="W1235" s="93"/>
      <c r="X1235" s="93"/>
      <c r="Y1235" s="93"/>
      <c r="Z1235" s="93"/>
    </row>
    <row r="1236" customFormat="false" ht="16.4" hidden="false" customHeight="false" outlineLevel="0" collapsed="false">
      <c r="A1236" s="123" t="n">
        <v>45444</v>
      </c>
      <c r="B1236" s="31" t="s">
        <v>153</v>
      </c>
      <c r="C1236" s="129"/>
      <c r="D1236" s="129"/>
      <c r="E1236" s="19" t="n">
        <f aca="false">F1236*0.03</f>
        <v>0</v>
      </c>
      <c r="F1236" s="33" t="n">
        <v>0</v>
      </c>
      <c r="G1236" s="131"/>
      <c r="H1236" s="35" t="n">
        <v>0</v>
      </c>
      <c r="I1236" s="34" t="n">
        <f aca="false">+IF(E1236=0,0,E1236*0.03)</f>
        <v>0</v>
      </c>
      <c r="J1236" s="93"/>
      <c r="K1236" s="93"/>
      <c r="L1236" s="93"/>
      <c r="M1236" s="93"/>
      <c r="N1236" s="93"/>
      <c r="O1236" s="93"/>
      <c r="P1236" s="93"/>
      <c r="Q1236" s="93"/>
      <c r="R1236" s="93"/>
      <c r="S1236" s="93"/>
      <c r="T1236" s="93"/>
      <c r="U1236" s="93"/>
      <c r="V1236" s="93"/>
      <c r="W1236" s="93"/>
      <c r="X1236" s="93"/>
      <c r="Y1236" s="93"/>
      <c r="Z1236" s="93"/>
    </row>
    <row r="1237" customFormat="false" ht="16.4" hidden="false" customHeight="false" outlineLevel="0" collapsed="false">
      <c r="A1237" s="123" t="n">
        <v>45444</v>
      </c>
      <c r="B1237" s="31" t="s">
        <v>153</v>
      </c>
      <c r="C1237" s="129"/>
      <c r="D1237" s="129"/>
      <c r="E1237" s="19" t="n">
        <f aca="false">F1237*0.03</f>
        <v>0</v>
      </c>
      <c r="F1237" s="33" t="n">
        <v>0</v>
      </c>
      <c r="G1237" s="131"/>
      <c r="H1237" s="35" t="n">
        <v>0</v>
      </c>
      <c r="I1237" s="34" t="n">
        <f aca="false">+IF(E1237=0,0,E1237*0.03)</f>
        <v>0</v>
      </c>
      <c r="J1237" s="93"/>
      <c r="K1237" s="93"/>
      <c r="L1237" s="93"/>
      <c r="M1237" s="93"/>
      <c r="N1237" s="93"/>
      <c r="O1237" s="93"/>
      <c r="P1237" s="93"/>
      <c r="Q1237" s="93"/>
      <c r="R1237" s="93"/>
      <c r="S1237" s="93"/>
      <c r="T1237" s="93"/>
      <c r="U1237" s="93"/>
      <c r="V1237" s="93"/>
      <c r="W1237" s="93"/>
      <c r="X1237" s="93"/>
      <c r="Y1237" s="93"/>
      <c r="Z1237" s="93"/>
    </row>
    <row r="1238" customFormat="false" ht="16.4" hidden="false" customHeight="false" outlineLevel="0" collapsed="false">
      <c r="A1238" s="123" t="n">
        <v>45444</v>
      </c>
      <c r="B1238" s="31" t="s">
        <v>153</v>
      </c>
      <c r="C1238" s="129"/>
      <c r="D1238" s="129"/>
      <c r="E1238" s="19" t="n">
        <f aca="false">F1238*0.03</f>
        <v>0</v>
      </c>
      <c r="F1238" s="33" t="n">
        <v>0</v>
      </c>
      <c r="G1238" s="131"/>
      <c r="H1238" s="35" t="n">
        <v>0</v>
      </c>
      <c r="I1238" s="34" t="n">
        <f aca="false">+IF(E1238=0,0,E1238*0.03)</f>
        <v>0</v>
      </c>
      <c r="J1238" s="93"/>
      <c r="K1238" s="93"/>
      <c r="L1238" s="93"/>
      <c r="M1238" s="93"/>
      <c r="N1238" s="93"/>
      <c r="O1238" s="93"/>
      <c r="P1238" s="93"/>
      <c r="Q1238" s="93"/>
      <c r="R1238" s="93"/>
      <c r="S1238" s="93"/>
      <c r="T1238" s="93"/>
      <c r="U1238" s="93"/>
      <c r="V1238" s="93"/>
      <c r="W1238" s="93"/>
      <c r="X1238" s="93"/>
      <c r="Y1238" s="93"/>
      <c r="Z1238" s="93"/>
    </row>
    <row r="1239" customFormat="false" ht="16.4" hidden="false" customHeight="false" outlineLevel="0" collapsed="false">
      <c r="A1239" s="123" t="n">
        <v>45444</v>
      </c>
      <c r="B1239" s="31" t="s">
        <v>153</v>
      </c>
      <c r="C1239" s="129"/>
      <c r="D1239" s="129"/>
      <c r="E1239" s="19" t="n">
        <f aca="false">F1239*0.03</f>
        <v>0</v>
      </c>
      <c r="F1239" s="33" t="n">
        <v>0</v>
      </c>
      <c r="G1239" s="131"/>
      <c r="H1239" s="35" t="n">
        <v>0</v>
      </c>
      <c r="I1239" s="34" t="n">
        <f aca="false">+IF(E1239=0,0,E1239*0.03)</f>
        <v>0</v>
      </c>
      <c r="J1239" s="93"/>
      <c r="K1239" s="93"/>
      <c r="L1239" s="93"/>
      <c r="M1239" s="93"/>
      <c r="N1239" s="93"/>
      <c r="O1239" s="93"/>
      <c r="P1239" s="93"/>
      <c r="Q1239" s="93"/>
      <c r="R1239" s="93"/>
      <c r="S1239" s="93"/>
      <c r="T1239" s="93"/>
      <c r="U1239" s="93"/>
      <c r="V1239" s="93"/>
      <c r="W1239" s="93"/>
      <c r="X1239" s="93"/>
      <c r="Y1239" s="93"/>
      <c r="Z1239" s="93"/>
    </row>
    <row r="1240" customFormat="false" ht="16.4" hidden="false" customHeight="false" outlineLevel="0" collapsed="false">
      <c r="A1240" s="123" t="n">
        <v>45444</v>
      </c>
      <c r="B1240" s="31" t="s">
        <v>153</v>
      </c>
      <c r="C1240" s="129"/>
      <c r="D1240" s="129"/>
      <c r="E1240" s="19" t="n">
        <f aca="false">F1240*0.03</f>
        <v>0</v>
      </c>
      <c r="F1240" s="33" t="n">
        <v>0</v>
      </c>
      <c r="G1240" s="131"/>
      <c r="H1240" s="35" t="n">
        <v>0</v>
      </c>
      <c r="I1240" s="34" t="n">
        <f aca="false">+IF(E1240=0,0,E1240*0.03)</f>
        <v>0</v>
      </c>
      <c r="J1240" s="93"/>
      <c r="K1240" s="93"/>
      <c r="L1240" s="93"/>
      <c r="M1240" s="93"/>
      <c r="N1240" s="93"/>
      <c r="O1240" s="93"/>
      <c r="P1240" s="93"/>
      <c r="Q1240" s="93"/>
      <c r="R1240" s="93"/>
      <c r="S1240" s="93"/>
      <c r="T1240" s="93"/>
      <c r="U1240" s="93"/>
      <c r="V1240" s="93"/>
      <c r="W1240" s="93"/>
      <c r="X1240" s="93"/>
      <c r="Y1240" s="93"/>
      <c r="Z1240" s="93"/>
    </row>
    <row r="1241" customFormat="false" ht="16.4" hidden="false" customHeight="false" outlineLevel="0" collapsed="false">
      <c r="A1241" s="123" t="n">
        <v>45444</v>
      </c>
      <c r="B1241" s="31" t="s">
        <v>153</v>
      </c>
      <c r="C1241" s="129"/>
      <c r="D1241" s="129"/>
      <c r="E1241" s="19" t="n">
        <f aca="false">F1241*0.03</f>
        <v>0</v>
      </c>
      <c r="F1241" s="33" t="n">
        <v>0</v>
      </c>
      <c r="G1241" s="131"/>
      <c r="H1241" s="35" t="n">
        <v>0</v>
      </c>
      <c r="I1241" s="34" t="n">
        <f aca="false">+IF(E1241=0,0,E1241*0.03)</f>
        <v>0</v>
      </c>
      <c r="J1241" s="93"/>
      <c r="K1241" s="93"/>
      <c r="L1241" s="93"/>
      <c r="M1241" s="93"/>
      <c r="N1241" s="93"/>
      <c r="O1241" s="93"/>
      <c r="P1241" s="93"/>
      <c r="Q1241" s="93"/>
      <c r="R1241" s="93"/>
      <c r="S1241" s="93"/>
      <c r="T1241" s="93"/>
      <c r="U1241" s="93"/>
      <c r="V1241" s="93"/>
      <c r="W1241" s="93"/>
      <c r="X1241" s="93"/>
      <c r="Y1241" s="93"/>
      <c r="Z1241" s="93"/>
    </row>
    <row r="1242" customFormat="false" ht="16.4" hidden="false" customHeight="false" outlineLevel="0" collapsed="false">
      <c r="A1242" s="123" t="n">
        <v>45444</v>
      </c>
      <c r="B1242" s="31" t="s">
        <v>153</v>
      </c>
      <c r="C1242" s="129"/>
      <c r="D1242" s="129"/>
      <c r="E1242" s="19" t="n">
        <f aca="false">F1242*0.03</f>
        <v>0</v>
      </c>
      <c r="F1242" s="33" t="n">
        <v>0</v>
      </c>
      <c r="G1242" s="131"/>
      <c r="H1242" s="35" t="n">
        <v>0</v>
      </c>
      <c r="I1242" s="34" t="n">
        <f aca="false">+IF(E1242=0,0,E1242*0.03)</f>
        <v>0</v>
      </c>
      <c r="J1242" s="93"/>
      <c r="K1242" s="93"/>
      <c r="L1242" s="93"/>
      <c r="M1242" s="93"/>
      <c r="N1242" s="93"/>
      <c r="O1242" s="93"/>
      <c r="P1242" s="93"/>
      <c r="Q1242" s="93"/>
      <c r="R1242" s="93"/>
      <c r="S1242" s="93"/>
      <c r="T1242" s="93"/>
      <c r="U1242" s="93"/>
      <c r="V1242" s="93"/>
      <c r="W1242" s="93"/>
      <c r="X1242" s="93"/>
      <c r="Y1242" s="93"/>
      <c r="Z1242" s="93"/>
    </row>
    <row r="1243" customFormat="false" ht="16.4" hidden="false" customHeight="false" outlineLevel="0" collapsed="false">
      <c r="A1243" s="123" t="n">
        <v>45444</v>
      </c>
      <c r="B1243" s="31" t="s">
        <v>153</v>
      </c>
      <c r="C1243" s="129"/>
      <c r="D1243" s="129"/>
      <c r="E1243" s="19" t="n">
        <f aca="false">F1243*0.03</f>
        <v>0</v>
      </c>
      <c r="F1243" s="33" t="n">
        <v>0</v>
      </c>
      <c r="G1243" s="131"/>
      <c r="H1243" s="35" t="n">
        <v>0</v>
      </c>
      <c r="I1243" s="34" t="n">
        <f aca="false">+IF(E1243=0,0,E1243*0.03)</f>
        <v>0</v>
      </c>
      <c r="J1243" s="93"/>
      <c r="K1243" s="93"/>
      <c r="L1243" s="93"/>
      <c r="M1243" s="93"/>
      <c r="N1243" s="93"/>
      <c r="O1243" s="93"/>
      <c r="P1243" s="93"/>
      <c r="Q1243" s="93"/>
      <c r="R1243" s="93"/>
      <c r="S1243" s="93"/>
      <c r="T1243" s="93"/>
      <c r="U1243" s="93"/>
      <c r="V1243" s="93"/>
      <c r="W1243" s="93"/>
      <c r="X1243" s="93"/>
      <c r="Y1243" s="93"/>
      <c r="Z1243" s="93"/>
    </row>
    <row r="1244" customFormat="false" ht="16.4" hidden="false" customHeight="false" outlineLevel="0" collapsed="false">
      <c r="A1244" s="123" t="n">
        <v>45444</v>
      </c>
      <c r="B1244" s="31" t="s">
        <v>153</v>
      </c>
      <c r="C1244" s="129"/>
      <c r="D1244" s="129"/>
      <c r="E1244" s="19" t="n">
        <f aca="false">F1244*0.03</f>
        <v>0</v>
      </c>
      <c r="F1244" s="33" t="n">
        <v>0</v>
      </c>
      <c r="G1244" s="131"/>
      <c r="H1244" s="35" t="n">
        <v>0</v>
      </c>
      <c r="I1244" s="34" t="n">
        <f aca="false">+IF(E1244=0,0,E1244*0.03)</f>
        <v>0</v>
      </c>
      <c r="J1244" s="93"/>
      <c r="K1244" s="93"/>
      <c r="L1244" s="93"/>
      <c r="M1244" s="93"/>
      <c r="N1244" s="93"/>
      <c r="O1244" s="93"/>
      <c r="P1244" s="93"/>
      <c r="Q1244" s="93"/>
      <c r="R1244" s="93"/>
      <c r="S1244" s="93"/>
      <c r="T1244" s="93"/>
      <c r="U1244" s="93"/>
      <c r="V1244" s="93"/>
      <c r="W1244" s="93"/>
      <c r="X1244" s="93"/>
      <c r="Y1244" s="93"/>
      <c r="Z1244" s="93"/>
    </row>
    <row r="1245" customFormat="false" ht="16.4" hidden="false" customHeight="false" outlineLevel="0" collapsed="false">
      <c r="A1245" s="123" t="n">
        <v>45444</v>
      </c>
      <c r="B1245" s="31" t="s">
        <v>153</v>
      </c>
      <c r="C1245" s="129"/>
      <c r="D1245" s="129"/>
      <c r="E1245" s="19" t="n">
        <f aca="false">F1245*0.03</f>
        <v>0</v>
      </c>
      <c r="F1245" s="33" t="n">
        <v>0</v>
      </c>
      <c r="G1245" s="131"/>
      <c r="H1245" s="35" t="n">
        <v>0</v>
      </c>
      <c r="I1245" s="34" t="n">
        <f aca="false">+IF(E1245=0,0,E1245*0.03)</f>
        <v>0</v>
      </c>
      <c r="J1245" s="93"/>
      <c r="K1245" s="93"/>
      <c r="L1245" s="93"/>
      <c r="M1245" s="93"/>
      <c r="N1245" s="93"/>
      <c r="O1245" s="93"/>
      <c r="P1245" s="93"/>
      <c r="Q1245" s="93"/>
      <c r="R1245" s="93"/>
      <c r="S1245" s="93"/>
      <c r="T1245" s="93"/>
      <c r="U1245" s="93"/>
      <c r="V1245" s="93"/>
      <c r="W1245" s="93"/>
      <c r="X1245" s="93"/>
      <c r="Y1245" s="93"/>
      <c r="Z1245" s="93"/>
    </row>
    <row r="1246" customFormat="false" ht="16.4" hidden="false" customHeight="false" outlineLevel="0" collapsed="false">
      <c r="A1246" s="123" t="n">
        <v>45444</v>
      </c>
      <c r="B1246" s="31" t="s">
        <v>153</v>
      </c>
      <c r="C1246" s="129"/>
      <c r="D1246" s="129"/>
      <c r="E1246" s="19" t="n">
        <f aca="false">F1246*0.03</f>
        <v>0</v>
      </c>
      <c r="F1246" s="33" t="n">
        <v>0</v>
      </c>
      <c r="G1246" s="131"/>
      <c r="H1246" s="35" t="n">
        <v>0</v>
      </c>
      <c r="I1246" s="34" t="n">
        <f aca="false">+IF(E1246=0,0,E1246*0.03)</f>
        <v>0</v>
      </c>
      <c r="J1246" s="93"/>
      <c r="K1246" s="93"/>
      <c r="L1246" s="93"/>
      <c r="M1246" s="93"/>
      <c r="N1246" s="93"/>
      <c r="O1246" s="93"/>
      <c r="P1246" s="93"/>
      <c r="Q1246" s="93"/>
      <c r="R1246" s="93"/>
      <c r="S1246" s="93"/>
      <c r="T1246" s="93"/>
      <c r="U1246" s="93"/>
      <c r="V1246" s="93"/>
      <c r="W1246" s="93"/>
      <c r="X1246" s="93"/>
      <c r="Y1246" s="93"/>
      <c r="Z1246" s="93"/>
    </row>
    <row r="1247" customFormat="false" ht="16.4" hidden="false" customHeight="false" outlineLevel="0" collapsed="false">
      <c r="A1247" s="123" t="n">
        <v>45444</v>
      </c>
      <c r="B1247" s="31" t="s">
        <v>153</v>
      </c>
      <c r="C1247" s="129"/>
      <c r="D1247" s="129"/>
      <c r="E1247" s="19" t="n">
        <f aca="false">F1247*0.03</f>
        <v>0</v>
      </c>
      <c r="F1247" s="33" t="n">
        <v>0</v>
      </c>
      <c r="G1247" s="131"/>
      <c r="H1247" s="35" t="n">
        <v>0</v>
      </c>
      <c r="I1247" s="34" t="n">
        <f aca="false">+IF(E1247=0,0,E1247*0.03)</f>
        <v>0</v>
      </c>
      <c r="J1247" s="93"/>
      <c r="K1247" s="93"/>
      <c r="L1247" s="93"/>
      <c r="M1247" s="93"/>
      <c r="N1247" s="93"/>
      <c r="O1247" s="93"/>
      <c r="P1247" s="93"/>
      <c r="Q1247" s="93"/>
      <c r="R1247" s="93"/>
      <c r="S1247" s="93"/>
      <c r="T1247" s="93"/>
      <c r="U1247" s="93"/>
      <c r="V1247" s="93"/>
      <c r="W1247" s="93"/>
      <c r="X1247" s="93"/>
      <c r="Y1247" s="93"/>
      <c r="Z1247" s="93"/>
    </row>
    <row r="1248" customFormat="false" ht="16.4" hidden="false" customHeight="false" outlineLevel="0" collapsed="false">
      <c r="A1248" s="123" t="n">
        <v>45444</v>
      </c>
      <c r="B1248" s="31" t="s">
        <v>153</v>
      </c>
      <c r="C1248" s="129"/>
      <c r="D1248" s="129"/>
      <c r="E1248" s="19" t="n">
        <f aca="false">F1248*0.03</f>
        <v>0</v>
      </c>
      <c r="F1248" s="33" t="n">
        <v>0</v>
      </c>
      <c r="G1248" s="131"/>
      <c r="H1248" s="35" t="n">
        <v>0</v>
      </c>
      <c r="I1248" s="34" t="n">
        <f aca="false">+IF(E1248=0,0,E1248*0.03)</f>
        <v>0</v>
      </c>
      <c r="J1248" s="93"/>
      <c r="K1248" s="93"/>
      <c r="L1248" s="93"/>
      <c r="M1248" s="93"/>
      <c r="N1248" s="93"/>
      <c r="O1248" s="93"/>
      <c r="P1248" s="93"/>
      <c r="Q1248" s="93"/>
      <c r="R1248" s="93"/>
      <c r="S1248" s="93"/>
      <c r="T1248" s="93"/>
      <c r="U1248" s="93"/>
      <c r="V1248" s="93"/>
      <c r="W1248" s="93"/>
      <c r="X1248" s="93"/>
      <c r="Y1248" s="93"/>
      <c r="Z1248" s="93"/>
    </row>
    <row r="1249" customFormat="false" ht="16.4" hidden="false" customHeight="false" outlineLevel="0" collapsed="false">
      <c r="A1249" s="123" t="n">
        <v>45444</v>
      </c>
      <c r="B1249" s="31" t="s">
        <v>153</v>
      </c>
      <c r="C1249" s="129"/>
      <c r="D1249" s="129"/>
      <c r="E1249" s="19" t="n">
        <f aca="false">F1249*0.03</f>
        <v>0</v>
      </c>
      <c r="F1249" s="33" t="n">
        <v>0</v>
      </c>
      <c r="G1249" s="131"/>
      <c r="H1249" s="35" t="n">
        <v>0</v>
      </c>
      <c r="I1249" s="34" t="n">
        <f aca="false">+IF(E1249=0,0,E1249*0.03)</f>
        <v>0</v>
      </c>
      <c r="J1249" s="93"/>
      <c r="K1249" s="93"/>
      <c r="L1249" s="93"/>
      <c r="M1249" s="93"/>
      <c r="N1249" s="93"/>
      <c r="O1249" s="93"/>
      <c r="P1249" s="93"/>
      <c r="Q1249" s="93"/>
      <c r="R1249" s="93"/>
      <c r="S1249" s="93"/>
      <c r="T1249" s="93"/>
      <c r="U1249" s="93"/>
      <c r="V1249" s="93"/>
      <c r="W1249" s="93"/>
      <c r="X1249" s="93"/>
      <c r="Y1249" s="93"/>
      <c r="Z1249" s="93"/>
    </row>
    <row r="1250" customFormat="false" ht="16.4" hidden="false" customHeight="false" outlineLevel="0" collapsed="false">
      <c r="A1250" s="123" t="n">
        <v>45444</v>
      </c>
      <c r="B1250" s="31" t="s">
        <v>153</v>
      </c>
      <c r="C1250" s="129"/>
      <c r="D1250" s="129"/>
      <c r="E1250" s="19" t="n">
        <f aca="false">F1250*0.03</f>
        <v>0</v>
      </c>
      <c r="F1250" s="33" t="n">
        <v>0</v>
      </c>
      <c r="G1250" s="131"/>
      <c r="H1250" s="35" t="n">
        <v>0</v>
      </c>
      <c r="I1250" s="34" t="n">
        <f aca="false">+IF(E1250=0,0,E1250*0.03)</f>
        <v>0</v>
      </c>
      <c r="J1250" s="93"/>
      <c r="K1250" s="93"/>
      <c r="L1250" s="93"/>
      <c r="M1250" s="93"/>
      <c r="N1250" s="93"/>
      <c r="O1250" s="93"/>
      <c r="P1250" s="93"/>
      <c r="Q1250" s="93"/>
      <c r="R1250" s="93"/>
      <c r="S1250" s="93"/>
      <c r="T1250" s="93"/>
      <c r="U1250" s="93"/>
      <c r="V1250" s="93"/>
      <c r="W1250" s="93"/>
      <c r="X1250" s="93"/>
      <c r="Y1250" s="93"/>
      <c r="Z1250" s="93"/>
    </row>
    <row r="1251" customFormat="false" ht="16.4" hidden="false" customHeight="false" outlineLevel="0" collapsed="false">
      <c r="A1251" s="123" t="n">
        <v>45444</v>
      </c>
      <c r="B1251" s="31" t="s">
        <v>153</v>
      </c>
      <c r="C1251" s="129"/>
      <c r="D1251" s="129"/>
      <c r="E1251" s="19" t="n">
        <f aca="false">F1251*0.03</f>
        <v>0</v>
      </c>
      <c r="F1251" s="33" t="n">
        <v>0</v>
      </c>
      <c r="G1251" s="131"/>
      <c r="H1251" s="35" t="n">
        <v>0</v>
      </c>
      <c r="I1251" s="34" t="n">
        <f aca="false">+IF(E1251=0,0,E1251*0.03)</f>
        <v>0</v>
      </c>
      <c r="J1251" s="93"/>
      <c r="K1251" s="93"/>
      <c r="L1251" s="93"/>
      <c r="M1251" s="93"/>
      <c r="N1251" s="93"/>
      <c r="O1251" s="93"/>
      <c r="P1251" s="93"/>
      <c r="Q1251" s="93"/>
      <c r="R1251" s="93"/>
      <c r="S1251" s="93"/>
      <c r="T1251" s="93"/>
      <c r="U1251" s="93"/>
      <c r="V1251" s="93"/>
      <c r="W1251" s="93"/>
      <c r="X1251" s="93"/>
      <c r="Y1251" s="93"/>
      <c r="Z1251" s="93"/>
    </row>
    <row r="1252" customFormat="false" ht="16.4" hidden="false" customHeight="false" outlineLevel="0" collapsed="false">
      <c r="A1252" s="123" t="n">
        <v>45444</v>
      </c>
      <c r="B1252" s="31" t="s">
        <v>153</v>
      </c>
      <c r="C1252" s="129"/>
      <c r="D1252" s="129"/>
      <c r="E1252" s="19" t="n">
        <f aca="false">F1252*0.03</f>
        <v>0</v>
      </c>
      <c r="F1252" s="33" t="n">
        <v>0</v>
      </c>
      <c r="G1252" s="131"/>
      <c r="H1252" s="35" t="n">
        <v>0</v>
      </c>
      <c r="I1252" s="34" t="n">
        <f aca="false">+IF(E1252=0,0,E1252*0.03)</f>
        <v>0</v>
      </c>
      <c r="J1252" s="93"/>
      <c r="K1252" s="93"/>
      <c r="L1252" s="93"/>
      <c r="M1252" s="93"/>
      <c r="N1252" s="93"/>
      <c r="O1252" s="93"/>
      <c r="P1252" s="93"/>
      <c r="Q1252" s="93"/>
      <c r="R1252" s="93"/>
      <c r="S1252" s="93"/>
      <c r="T1252" s="93"/>
      <c r="U1252" s="93"/>
      <c r="V1252" s="93"/>
      <c r="W1252" s="93"/>
      <c r="X1252" s="93"/>
      <c r="Y1252" s="93"/>
      <c r="Z1252" s="93"/>
    </row>
    <row r="1253" customFormat="false" ht="16.4" hidden="false" customHeight="false" outlineLevel="0" collapsed="false">
      <c r="A1253" s="123" t="n">
        <v>45444</v>
      </c>
      <c r="B1253" s="31" t="s">
        <v>153</v>
      </c>
      <c r="C1253" s="129"/>
      <c r="D1253" s="129"/>
      <c r="E1253" s="19" t="n">
        <f aca="false">F1253*0.03</f>
        <v>0</v>
      </c>
      <c r="F1253" s="33" t="n">
        <v>0</v>
      </c>
      <c r="G1253" s="131"/>
      <c r="H1253" s="35" t="n">
        <v>0</v>
      </c>
      <c r="I1253" s="34" t="n">
        <f aca="false">+IF(E1253=0,0,E1253*0.03)</f>
        <v>0</v>
      </c>
      <c r="J1253" s="93"/>
      <c r="K1253" s="93"/>
      <c r="L1253" s="93"/>
      <c r="M1253" s="93"/>
      <c r="N1253" s="93"/>
      <c r="O1253" s="93"/>
      <c r="P1253" s="93"/>
      <c r="Q1253" s="93"/>
      <c r="R1253" s="93"/>
      <c r="S1253" s="93"/>
      <c r="T1253" s="93"/>
      <c r="U1253" s="93"/>
      <c r="V1253" s="93"/>
      <c r="W1253" s="93"/>
      <c r="X1253" s="93"/>
      <c r="Y1253" s="93"/>
      <c r="Z1253" s="93"/>
    </row>
    <row r="1254" customFormat="false" ht="16.4" hidden="false" customHeight="false" outlineLevel="0" collapsed="false">
      <c r="A1254" s="123" t="n">
        <v>45444</v>
      </c>
      <c r="B1254" s="31" t="s">
        <v>153</v>
      </c>
      <c r="C1254" s="129"/>
      <c r="D1254" s="129"/>
      <c r="E1254" s="19" t="n">
        <f aca="false">F1254*0.03</f>
        <v>0</v>
      </c>
      <c r="F1254" s="33" t="n">
        <v>0</v>
      </c>
      <c r="G1254" s="131"/>
      <c r="H1254" s="35" t="n">
        <v>0</v>
      </c>
      <c r="I1254" s="34" t="n">
        <f aca="false">+IF(E1254=0,0,E1254*0.03)</f>
        <v>0</v>
      </c>
      <c r="J1254" s="93"/>
      <c r="K1254" s="93"/>
      <c r="L1254" s="93"/>
      <c r="M1254" s="93"/>
      <c r="N1254" s="93"/>
      <c r="O1254" s="93"/>
      <c r="P1254" s="93"/>
      <c r="Q1254" s="93"/>
      <c r="R1254" s="93"/>
      <c r="S1254" s="93"/>
      <c r="T1254" s="93"/>
      <c r="U1254" s="93"/>
      <c r="V1254" s="93"/>
      <c r="W1254" s="93"/>
      <c r="X1254" s="93"/>
      <c r="Y1254" s="93"/>
      <c r="Z1254" s="93"/>
    </row>
    <row r="1255" customFormat="false" ht="16.4" hidden="false" customHeight="false" outlineLevel="0" collapsed="false">
      <c r="A1255" s="123" t="n">
        <v>45444</v>
      </c>
      <c r="B1255" s="31" t="s">
        <v>153</v>
      </c>
      <c r="C1255" s="129"/>
      <c r="D1255" s="129"/>
      <c r="E1255" s="19" t="n">
        <f aca="false">F1255*0.03</f>
        <v>0</v>
      </c>
      <c r="F1255" s="33" t="n">
        <v>0</v>
      </c>
      <c r="G1255" s="131"/>
      <c r="H1255" s="35" t="n">
        <v>0</v>
      </c>
      <c r="I1255" s="34" t="n">
        <f aca="false">+IF(E1255=0,0,E1255*0.03)</f>
        <v>0</v>
      </c>
      <c r="J1255" s="93"/>
      <c r="K1255" s="93"/>
      <c r="L1255" s="93"/>
      <c r="M1255" s="93"/>
      <c r="N1255" s="93"/>
      <c r="O1255" s="93"/>
      <c r="P1255" s="93"/>
      <c r="Q1255" s="93"/>
      <c r="R1255" s="93"/>
      <c r="S1255" s="93"/>
      <c r="T1255" s="93"/>
      <c r="U1255" s="93"/>
      <c r="V1255" s="93"/>
      <c r="W1255" s="93"/>
      <c r="X1255" s="93"/>
      <c r="Y1255" s="93"/>
      <c r="Z1255" s="93"/>
    </row>
    <row r="1256" customFormat="false" ht="16.4" hidden="false" customHeight="false" outlineLevel="0" collapsed="false">
      <c r="A1256" s="123" t="n">
        <v>45444</v>
      </c>
      <c r="B1256" s="31" t="s">
        <v>153</v>
      </c>
      <c r="C1256" s="129"/>
      <c r="D1256" s="129"/>
      <c r="E1256" s="19" t="n">
        <f aca="false">F1256*0.03</f>
        <v>0</v>
      </c>
      <c r="F1256" s="33" t="n">
        <v>0</v>
      </c>
      <c r="G1256" s="131"/>
      <c r="H1256" s="35" t="n">
        <v>0</v>
      </c>
      <c r="I1256" s="34" t="n">
        <f aca="false">+IF(E1256=0,0,E1256*0.03)</f>
        <v>0</v>
      </c>
      <c r="J1256" s="93"/>
      <c r="K1256" s="93"/>
      <c r="L1256" s="93"/>
      <c r="M1256" s="93"/>
      <c r="N1256" s="93"/>
      <c r="O1256" s="93"/>
      <c r="P1256" s="93"/>
      <c r="Q1256" s="93"/>
      <c r="R1256" s="93"/>
      <c r="S1256" s="93"/>
      <c r="T1256" s="93"/>
      <c r="U1256" s="93"/>
      <c r="V1256" s="93"/>
      <c r="W1256" s="93"/>
      <c r="X1256" s="93"/>
      <c r="Y1256" s="93"/>
      <c r="Z1256" s="93"/>
    </row>
    <row r="1257" customFormat="false" ht="16.4" hidden="false" customHeight="false" outlineLevel="0" collapsed="false">
      <c r="A1257" s="123" t="n">
        <v>45444</v>
      </c>
      <c r="B1257" s="31" t="s">
        <v>153</v>
      </c>
      <c r="C1257" s="129"/>
      <c r="D1257" s="129"/>
      <c r="E1257" s="19" t="n">
        <f aca="false">F1257*0.03</f>
        <v>0</v>
      </c>
      <c r="F1257" s="33" t="n">
        <v>0</v>
      </c>
      <c r="G1257" s="131"/>
      <c r="H1257" s="35" t="n">
        <v>0</v>
      </c>
      <c r="I1257" s="34" t="n">
        <f aca="false">+IF(E1257=0,0,E1257*0.03)</f>
        <v>0</v>
      </c>
      <c r="J1257" s="93"/>
      <c r="K1257" s="93"/>
      <c r="L1257" s="93"/>
      <c r="M1257" s="93"/>
      <c r="N1257" s="93"/>
      <c r="O1257" s="93"/>
      <c r="P1257" s="93"/>
      <c r="Q1257" s="93"/>
      <c r="R1257" s="93"/>
      <c r="S1257" s="93"/>
      <c r="T1257" s="93"/>
      <c r="U1257" s="93"/>
      <c r="V1257" s="93"/>
      <c r="W1257" s="93"/>
      <c r="X1257" s="93"/>
      <c r="Y1257" s="93"/>
      <c r="Z1257" s="93"/>
    </row>
    <row r="1258" customFormat="false" ht="16.4" hidden="false" customHeight="false" outlineLevel="0" collapsed="false">
      <c r="A1258" s="123" t="n">
        <v>45444</v>
      </c>
      <c r="B1258" s="31" t="s">
        <v>153</v>
      </c>
      <c r="C1258" s="129"/>
      <c r="D1258" s="129"/>
      <c r="E1258" s="19" t="n">
        <f aca="false">F1258*0.03</f>
        <v>0</v>
      </c>
      <c r="F1258" s="33" t="n">
        <v>0</v>
      </c>
      <c r="G1258" s="131"/>
      <c r="H1258" s="35" t="n">
        <v>0</v>
      </c>
      <c r="I1258" s="34" t="n">
        <f aca="false">+IF(E1258=0,0,E1258*0.03)</f>
        <v>0</v>
      </c>
      <c r="J1258" s="93"/>
      <c r="K1258" s="93"/>
      <c r="L1258" s="93"/>
      <c r="M1258" s="93"/>
      <c r="N1258" s="93"/>
      <c r="O1258" s="93"/>
      <c r="P1258" s="93"/>
      <c r="Q1258" s="93"/>
      <c r="R1258" s="93"/>
      <c r="S1258" s="93"/>
      <c r="T1258" s="93"/>
      <c r="U1258" s="93"/>
      <c r="V1258" s="93"/>
      <c r="W1258" s="93"/>
      <c r="X1258" s="93"/>
      <c r="Y1258" s="93"/>
      <c r="Z1258" s="93"/>
    </row>
    <row r="1259" customFormat="false" ht="16.4" hidden="false" customHeight="false" outlineLevel="0" collapsed="false">
      <c r="A1259" s="123" t="n">
        <v>45444</v>
      </c>
      <c r="B1259" s="31" t="s">
        <v>153</v>
      </c>
      <c r="C1259" s="129"/>
      <c r="D1259" s="129"/>
      <c r="E1259" s="19" t="n">
        <f aca="false">F1259*0.03</f>
        <v>0</v>
      </c>
      <c r="F1259" s="33" t="n">
        <v>0</v>
      </c>
      <c r="G1259" s="131"/>
      <c r="H1259" s="35" t="n">
        <v>0</v>
      </c>
      <c r="I1259" s="34" t="n">
        <f aca="false">+IF(E1259=0,0,E1259*0.03)</f>
        <v>0</v>
      </c>
      <c r="J1259" s="93"/>
      <c r="K1259" s="93"/>
      <c r="L1259" s="93"/>
      <c r="M1259" s="93"/>
      <c r="N1259" s="93"/>
      <c r="O1259" s="93"/>
      <c r="P1259" s="93"/>
      <c r="Q1259" s="93"/>
      <c r="R1259" s="93"/>
      <c r="S1259" s="93"/>
      <c r="T1259" s="93"/>
      <c r="U1259" s="93"/>
      <c r="V1259" s="93"/>
      <c r="W1259" s="93"/>
      <c r="X1259" s="93"/>
      <c r="Y1259" s="93"/>
      <c r="Z1259" s="93"/>
    </row>
    <row r="1260" customFormat="false" ht="16.4" hidden="false" customHeight="false" outlineLevel="0" collapsed="false">
      <c r="A1260" s="123" t="n">
        <v>45444</v>
      </c>
      <c r="B1260" s="31" t="s">
        <v>153</v>
      </c>
      <c r="C1260" s="129"/>
      <c r="D1260" s="129"/>
      <c r="E1260" s="19" t="n">
        <f aca="false">F1260*0.03</f>
        <v>0</v>
      </c>
      <c r="F1260" s="33" t="n">
        <v>0</v>
      </c>
      <c r="G1260" s="131"/>
      <c r="H1260" s="35" t="n">
        <v>0</v>
      </c>
      <c r="I1260" s="34" t="n">
        <f aca="false">+IF(E1260=0,0,E1260*0.03)</f>
        <v>0</v>
      </c>
      <c r="J1260" s="93"/>
      <c r="K1260" s="93"/>
      <c r="L1260" s="93"/>
      <c r="M1260" s="93"/>
      <c r="N1260" s="93"/>
      <c r="O1260" s="93"/>
      <c r="P1260" s="93"/>
      <c r="Q1260" s="93"/>
      <c r="R1260" s="93"/>
      <c r="S1260" s="93"/>
      <c r="T1260" s="93"/>
      <c r="U1260" s="93"/>
      <c r="V1260" s="93"/>
      <c r="W1260" s="93"/>
      <c r="X1260" s="93"/>
      <c r="Y1260" s="93"/>
      <c r="Z1260" s="93"/>
    </row>
    <row r="1261" customFormat="false" ht="16.4" hidden="false" customHeight="false" outlineLevel="0" collapsed="false">
      <c r="A1261" s="123" t="n">
        <v>45444</v>
      </c>
      <c r="B1261" s="31" t="s">
        <v>153</v>
      </c>
      <c r="C1261" s="129"/>
      <c r="D1261" s="129"/>
      <c r="E1261" s="19" t="n">
        <f aca="false">F1261*0.03</f>
        <v>0</v>
      </c>
      <c r="F1261" s="33" t="n">
        <v>0</v>
      </c>
      <c r="G1261" s="131"/>
      <c r="H1261" s="35" t="n">
        <v>0</v>
      </c>
      <c r="I1261" s="34" t="n">
        <f aca="false">+IF(E1261=0,0,E1261*0.03)</f>
        <v>0</v>
      </c>
      <c r="J1261" s="93"/>
      <c r="K1261" s="93"/>
      <c r="L1261" s="93"/>
      <c r="M1261" s="93"/>
      <c r="N1261" s="93"/>
      <c r="O1261" s="93"/>
      <c r="P1261" s="93"/>
      <c r="Q1261" s="93"/>
      <c r="R1261" s="93"/>
      <c r="S1261" s="93"/>
      <c r="T1261" s="93"/>
      <c r="U1261" s="93"/>
      <c r="V1261" s="93"/>
      <c r="W1261" s="93"/>
      <c r="X1261" s="93"/>
      <c r="Y1261" s="93"/>
      <c r="Z1261" s="93"/>
    </row>
    <row r="1262" customFormat="false" ht="16.4" hidden="false" customHeight="false" outlineLevel="0" collapsed="false">
      <c r="A1262" s="123" t="n">
        <v>45444</v>
      </c>
      <c r="B1262" s="31" t="s">
        <v>153</v>
      </c>
      <c r="C1262" s="129"/>
      <c r="D1262" s="129"/>
      <c r="E1262" s="19" t="n">
        <f aca="false">F1262*0.03</f>
        <v>0</v>
      </c>
      <c r="F1262" s="33" t="n">
        <v>0</v>
      </c>
      <c r="G1262" s="131"/>
      <c r="H1262" s="35" t="n">
        <v>0</v>
      </c>
      <c r="I1262" s="34" t="n">
        <f aca="false">+IF(E1262=0,0,E1262*0.03)</f>
        <v>0</v>
      </c>
      <c r="J1262" s="93"/>
      <c r="K1262" s="93"/>
      <c r="L1262" s="93"/>
      <c r="M1262" s="93"/>
      <c r="N1262" s="93"/>
      <c r="O1262" s="93"/>
      <c r="P1262" s="93"/>
      <c r="Q1262" s="93"/>
      <c r="R1262" s="93"/>
      <c r="S1262" s="93"/>
      <c r="T1262" s="93"/>
      <c r="U1262" s="93"/>
      <c r="V1262" s="93"/>
      <c r="W1262" s="93"/>
      <c r="X1262" s="93"/>
      <c r="Y1262" s="93"/>
      <c r="Z1262" s="93"/>
    </row>
    <row r="1263" customFormat="false" ht="16.4" hidden="false" customHeight="false" outlineLevel="0" collapsed="false">
      <c r="A1263" s="123" t="n">
        <v>45444</v>
      </c>
      <c r="B1263" s="31" t="s">
        <v>153</v>
      </c>
      <c r="C1263" s="129"/>
      <c r="D1263" s="129"/>
      <c r="E1263" s="19" t="n">
        <f aca="false">F1263*0.03</f>
        <v>0</v>
      </c>
      <c r="F1263" s="33" t="n">
        <v>0</v>
      </c>
      <c r="G1263" s="131"/>
      <c r="H1263" s="35" t="n">
        <v>0</v>
      </c>
      <c r="I1263" s="34" t="n">
        <f aca="false">+IF(E1263=0,0,E1263*0.03)</f>
        <v>0</v>
      </c>
      <c r="J1263" s="93"/>
      <c r="K1263" s="93"/>
      <c r="L1263" s="93"/>
      <c r="M1263" s="93"/>
      <c r="N1263" s="93"/>
      <c r="O1263" s="93"/>
      <c r="P1263" s="93"/>
      <c r="Q1263" s="93"/>
      <c r="R1263" s="93"/>
      <c r="S1263" s="93"/>
      <c r="T1263" s="93"/>
      <c r="U1263" s="93"/>
      <c r="V1263" s="93"/>
      <c r="W1263" s="93"/>
      <c r="X1263" s="93"/>
      <c r="Y1263" s="93"/>
      <c r="Z1263" s="93"/>
    </row>
    <row r="1264" customFormat="false" ht="16.4" hidden="false" customHeight="false" outlineLevel="0" collapsed="false">
      <c r="A1264" s="123" t="n">
        <v>45444</v>
      </c>
      <c r="B1264" s="31" t="s">
        <v>153</v>
      </c>
      <c r="C1264" s="129"/>
      <c r="D1264" s="129"/>
      <c r="E1264" s="19" t="n">
        <f aca="false">F1264*0.03</f>
        <v>0</v>
      </c>
      <c r="F1264" s="33" t="n">
        <v>0</v>
      </c>
      <c r="G1264" s="131"/>
      <c r="H1264" s="35" t="n">
        <v>0</v>
      </c>
      <c r="I1264" s="34" t="n">
        <f aca="false">+IF(E1264=0,0,E1264*0.03)</f>
        <v>0</v>
      </c>
      <c r="J1264" s="93"/>
      <c r="K1264" s="93"/>
      <c r="L1264" s="93"/>
      <c r="M1264" s="93"/>
      <c r="N1264" s="93"/>
      <c r="O1264" s="93"/>
      <c r="P1264" s="93"/>
      <c r="Q1264" s="93"/>
      <c r="R1264" s="93"/>
      <c r="S1264" s="93"/>
      <c r="T1264" s="93"/>
      <c r="U1264" s="93"/>
      <c r="V1264" s="93"/>
      <c r="W1264" s="93"/>
      <c r="X1264" s="93"/>
      <c r="Y1264" s="93"/>
      <c r="Z1264" s="93"/>
    </row>
    <row r="1265" customFormat="false" ht="16.4" hidden="false" customHeight="false" outlineLevel="0" collapsed="false">
      <c r="A1265" s="123" t="n">
        <v>45444</v>
      </c>
      <c r="B1265" s="31" t="s">
        <v>153</v>
      </c>
      <c r="C1265" s="129"/>
      <c r="D1265" s="129"/>
      <c r="E1265" s="19" t="n">
        <f aca="false">F1265*0.03</f>
        <v>0</v>
      </c>
      <c r="F1265" s="33" t="n">
        <v>0</v>
      </c>
      <c r="G1265" s="131"/>
      <c r="H1265" s="35" t="n">
        <v>0</v>
      </c>
      <c r="I1265" s="34" t="n">
        <f aca="false">+IF(E1265=0,0,E1265*0.03)</f>
        <v>0</v>
      </c>
      <c r="J1265" s="93"/>
      <c r="K1265" s="93"/>
      <c r="L1265" s="93"/>
      <c r="M1265" s="93"/>
      <c r="N1265" s="93"/>
      <c r="O1265" s="93"/>
      <c r="P1265" s="93"/>
      <c r="Q1265" s="93"/>
      <c r="R1265" s="93"/>
      <c r="S1265" s="93"/>
      <c r="T1265" s="93"/>
      <c r="U1265" s="93"/>
      <c r="V1265" s="93"/>
      <c r="W1265" s="93"/>
      <c r="X1265" s="93"/>
      <c r="Y1265" s="93"/>
      <c r="Z1265" s="93"/>
    </row>
    <row r="1266" customFormat="false" ht="16.4" hidden="false" customHeight="false" outlineLevel="0" collapsed="false">
      <c r="A1266" s="123" t="n">
        <v>45444</v>
      </c>
      <c r="B1266" s="31" t="s">
        <v>153</v>
      </c>
      <c r="C1266" s="129"/>
      <c r="D1266" s="129"/>
      <c r="E1266" s="19" t="n">
        <f aca="false">F1266*0.03</f>
        <v>0</v>
      </c>
      <c r="F1266" s="33" t="n">
        <v>0</v>
      </c>
      <c r="G1266" s="131"/>
      <c r="H1266" s="35" t="n">
        <v>0</v>
      </c>
      <c r="I1266" s="34" t="n">
        <f aca="false">+IF(E1266=0,0,E1266*0.03)</f>
        <v>0</v>
      </c>
      <c r="J1266" s="93"/>
      <c r="K1266" s="93"/>
      <c r="L1266" s="93"/>
      <c r="M1266" s="93"/>
      <c r="N1266" s="93"/>
      <c r="O1266" s="93"/>
      <c r="P1266" s="93"/>
      <c r="Q1266" s="93"/>
      <c r="R1266" s="93"/>
      <c r="S1266" s="93"/>
      <c r="T1266" s="93"/>
      <c r="U1266" s="93"/>
      <c r="V1266" s="93"/>
      <c r="W1266" s="93"/>
      <c r="X1266" s="93"/>
      <c r="Y1266" s="93"/>
      <c r="Z1266" s="93"/>
    </row>
    <row r="1267" customFormat="false" ht="16.4" hidden="false" customHeight="false" outlineLevel="0" collapsed="false">
      <c r="A1267" s="123" t="n">
        <v>45444</v>
      </c>
      <c r="B1267" s="31" t="s">
        <v>153</v>
      </c>
      <c r="C1267" s="129"/>
      <c r="D1267" s="129"/>
      <c r="E1267" s="19" t="n">
        <f aca="false">F1267*0.03</f>
        <v>0</v>
      </c>
      <c r="F1267" s="33" t="n">
        <v>0</v>
      </c>
      <c r="G1267" s="131"/>
      <c r="H1267" s="35" t="n">
        <v>0</v>
      </c>
      <c r="I1267" s="34" t="n">
        <f aca="false">+IF(E1267=0,0,E1267*0.03)</f>
        <v>0</v>
      </c>
      <c r="J1267" s="93"/>
      <c r="K1267" s="93"/>
      <c r="L1267" s="93"/>
      <c r="M1267" s="93"/>
      <c r="N1267" s="93"/>
      <c r="O1267" s="93"/>
      <c r="P1267" s="93"/>
      <c r="Q1267" s="93"/>
      <c r="R1267" s="93"/>
      <c r="S1267" s="93"/>
      <c r="T1267" s="93"/>
      <c r="U1267" s="93"/>
      <c r="V1267" s="93"/>
      <c r="W1267" s="93"/>
      <c r="X1267" s="93"/>
      <c r="Y1267" s="93"/>
      <c r="Z1267" s="93"/>
    </row>
    <row r="1268" customFormat="false" ht="16.4" hidden="false" customHeight="false" outlineLevel="0" collapsed="false">
      <c r="A1268" s="123" t="n">
        <v>45444</v>
      </c>
      <c r="B1268" s="31" t="s">
        <v>153</v>
      </c>
      <c r="C1268" s="129"/>
      <c r="D1268" s="129"/>
      <c r="E1268" s="19" t="n">
        <f aca="false">F1268*0.03</f>
        <v>0</v>
      </c>
      <c r="F1268" s="33" t="n">
        <v>0</v>
      </c>
      <c r="G1268" s="131"/>
      <c r="H1268" s="35" t="n">
        <v>0</v>
      </c>
      <c r="I1268" s="34" t="n">
        <f aca="false">+IF(E1268=0,0,E1268*0.03)</f>
        <v>0</v>
      </c>
      <c r="J1268" s="93"/>
      <c r="K1268" s="93"/>
      <c r="L1268" s="93"/>
      <c r="M1268" s="93"/>
      <c r="N1268" s="93"/>
      <c r="O1268" s="93"/>
      <c r="P1268" s="93"/>
      <c r="Q1268" s="93"/>
      <c r="R1268" s="93"/>
      <c r="S1268" s="93"/>
      <c r="T1268" s="93"/>
      <c r="U1268" s="93"/>
      <c r="V1268" s="93"/>
      <c r="W1268" s="93"/>
      <c r="X1268" s="93"/>
      <c r="Y1268" s="93"/>
      <c r="Z1268" s="93"/>
    </row>
    <row r="1269" customFormat="false" ht="16.4" hidden="false" customHeight="false" outlineLevel="0" collapsed="false">
      <c r="A1269" s="123" t="n">
        <v>45444</v>
      </c>
      <c r="B1269" s="31" t="s">
        <v>153</v>
      </c>
      <c r="C1269" s="129"/>
      <c r="D1269" s="129"/>
      <c r="E1269" s="19" t="n">
        <f aca="false">F1269*0.03</f>
        <v>0</v>
      </c>
      <c r="F1269" s="33" t="n">
        <v>0</v>
      </c>
      <c r="G1269" s="131"/>
      <c r="H1269" s="35" t="n">
        <v>0</v>
      </c>
      <c r="I1269" s="34" t="n">
        <f aca="false">+IF(E1269=0,0,E1269*0.03)</f>
        <v>0</v>
      </c>
      <c r="J1269" s="93"/>
      <c r="K1269" s="93"/>
      <c r="L1269" s="93"/>
      <c r="M1269" s="93"/>
      <c r="N1269" s="93"/>
      <c r="O1269" s="93"/>
      <c r="P1269" s="93"/>
      <c r="Q1269" s="93"/>
      <c r="R1269" s="93"/>
      <c r="S1269" s="93"/>
      <c r="T1269" s="93"/>
      <c r="U1269" s="93"/>
      <c r="V1269" s="93"/>
      <c r="W1269" s="93"/>
      <c r="X1269" s="93"/>
      <c r="Y1269" s="93"/>
      <c r="Z1269" s="93"/>
    </row>
    <row r="1270" customFormat="false" ht="16.4" hidden="false" customHeight="false" outlineLevel="0" collapsed="false">
      <c r="A1270" s="123" t="n">
        <v>45444</v>
      </c>
      <c r="B1270" s="31" t="s">
        <v>153</v>
      </c>
      <c r="C1270" s="129"/>
      <c r="D1270" s="129"/>
      <c r="E1270" s="19" t="n">
        <f aca="false">F1270*0.03</f>
        <v>0</v>
      </c>
      <c r="F1270" s="33" t="n">
        <v>0</v>
      </c>
      <c r="G1270" s="131"/>
      <c r="H1270" s="35" t="n">
        <v>0</v>
      </c>
      <c r="I1270" s="34" t="n">
        <f aca="false">+IF(E1270=0,0,E1270*0.03)</f>
        <v>0</v>
      </c>
      <c r="J1270" s="93"/>
      <c r="K1270" s="93"/>
      <c r="L1270" s="93"/>
      <c r="M1270" s="93"/>
      <c r="N1270" s="93"/>
      <c r="O1270" s="93"/>
      <c r="P1270" s="93"/>
      <c r="Q1270" s="93"/>
      <c r="R1270" s="93"/>
      <c r="S1270" s="93"/>
      <c r="T1270" s="93"/>
      <c r="U1270" s="93"/>
      <c r="V1270" s="93"/>
      <c r="W1270" s="93"/>
      <c r="X1270" s="93"/>
      <c r="Y1270" s="93"/>
      <c r="Z1270" s="93"/>
    </row>
    <row r="1271" customFormat="false" ht="16.4" hidden="false" customHeight="false" outlineLevel="0" collapsed="false">
      <c r="A1271" s="123" t="n">
        <v>45444</v>
      </c>
      <c r="B1271" s="31" t="s">
        <v>153</v>
      </c>
      <c r="C1271" s="129"/>
      <c r="D1271" s="129"/>
      <c r="E1271" s="19" t="n">
        <f aca="false">F1271*0.03</f>
        <v>0</v>
      </c>
      <c r="F1271" s="33" t="n">
        <v>0</v>
      </c>
      <c r="G1271" s="131"/>
      <c r="H1271" s="35" t="n">
        <v>0</v>
      </c>
      <c r="I1271" s="34" t="n">
        <f aca="false">+IF(E1271=0,0,E1271*0.03)</f>
        <v>0</v>
      </c>
      <c r="J1271" s="93"/>
      <c r="K1271" s="93"/>
      <c r="L1271" s="93"/>
      <c r="M1271" s="93"/>
      <c r="N1271" s="93"/>
      <c r="O1271" s="93"/>
      <c r="P1271" s="93"/>
      <c r="Q1271" s="93"/>
      <c r="R1271" s="93"/>
      <c r="S1271" s="93"/>
      <c r="T1271" s="93"/>
      <c r="U1271" s="93"/>
      <c r="V1271" s="93"/>
      <c r="W1271" s="93"/>
      <c r="X1271" s="93"/>
      <c r="Y1271" s="93"/>
      <c r="Z1271" s="93"/>
    </row>
    <row r="1272" customFormat="false" ht="16.4" hidden="false" customHeight="false" outlineLevel="0" collapsed="false">
      <c r="A1272" s="123" t="n">
        <v>45444</v>
      </c>
      <c r="B1272" s="31" t="s">
        <v>153</v>
      </c>
      <c r="C1272" s="129"/>
      <c r="D1272" s="129"/>
      <c r="E1272" s="19" t="n">
        <f aca="false">F1272*0.03</f>
        <v>0</v>
      </c>
      <c r="F1272" s="33" t="n">
        <v>0</v>
      </c>
      <c r="G1272" s="131"/>
      <c r="H1272" s="35" t="n">
        <v>0</v>
      </c>
      <c r="I1272" s="34" t="n">
        <f aca="false">+IF(E1272=0,0,E1272*0.03)</f>
        <v>0</v>
      </c>
      <c r="J1272" s="93"/>
      <c r="K1272" s="93"/>
      <c r="L1272" s="93"/>
      <c r="M1272" s="93"/>
      <c r="N1272" s="93"/>
      <c r="O1272" s="93"/>
      <c r="P1272" s="93"/>
      <c r="Q1272" s="93"/>
      <c r="R1272" s="93"/>
      <c r="S1272" s="93"/>
      <c r="T1272" s="93"/>
      <c r="U1272" s="93"/>
      <c r="V1272" s="93"/>
      <c r="W1272" s="93"/>
      <c r="X1272" s="93"/>
      <c r="Y1272" s="93"/>
      <c r="Z1272" s="93"/>
    </row>
    <row r="1273" customFormat="false" ht="16.4" hidden="false" customHeight="false" outlineLevel="0" collapsed="false">
      <c r="A1273" s="123" t="n">
        <v>45444</v>
      </c>
      <c r="B1273" s="31" t="s">
        <v>153</v>
      </c>
      <c r="C1273" s="129"/>
      <c r="D1273" s="129"/>
      <c r="E1273" s="19" t="n">
        <f aca="false">F1273*0.03</f>
        <v>0</v>
      </c>
      <c r="F1273" s="33" t="n">
        <v>0</v>
      </c>
      <c r="G1273" s="131"/>
      <c r="H1273" s="35" t="n">
        <v>0</v>
      </c>
      <c r="I1273" s="34" t="n">
        <f aca="false">+IF(E1273=0,0,E1273*0.03)</f>
        <v>0</v>
      </c>
      <c r="J1273" s="93"/>
      <c r="K1273" s="93"/>
      <c r="L1273" s="93"/>
      <c r="M1273" s="93"/>
      <c r="N1273" s="93"/>
      <c r="O1273" s="93"/>
      <c r="P1273" s="93"/>
      <c r="Q1273" s="93"/>
      <c r="R1273" s="93"/>
      <c r="S1273" s="93"/>
      <c r="T1273" s="93"/>
      <c r="U1273" s="93"/>
      <c r="V1273" s="93"/>
      <c r="W1273" s="93"/>
      <c r="X1273" s="93"/>
      <c r="Y1273" s="93"/>
      <c r="Z1273" s="93"/>
    </row>
    <row r="1274" customFormat="false" ht="16.4" hidden="false" customHeight="false" outlineLevel="0" collapsed="false">
      <c r="A1274" s="123" t="n">
        <v>45444</v>
      </c>
      <c r="B1274" s="31" t="s">
        <v>153</v>
      </c>
      <c r="C1274" s="129"/>
      <c r="D1274" s="129"/>
      <c r="E1274" s="19" t="n">
        <f aca="false">F1274*0.03</f>
        <v>0</v>
      </c>
      <c r="F1274" s="33" t="n">
        <v>0</v>
      </c>
      <c r="G1274" s="131"/>
      <c r="H1274" s="35" t="n">
        <v>0</v>
      </c>
      <c r="I1274" s="34" t="n">
        <f aca="false">+IF(E1274=0,0,E1274*0.03)</f>
        <v>0</v>
      </c>
      <c r="J1274" s="93"/>
      <c r="K1274" s="93"/>
      <c r="L1274" s="93"/>
      <c r="M1274" s="93"/>
      <c r="N1274" s="93"/>
      <c r="O1274" s="93"/>
      <c r="P1274" s="93"/>
      <c r="Q1274" s="93"/>
      <c r="R1274" s="93"/>
      <c r="S1274" s="93"/>
      <c r="T1274" s="93"/>
      <c r="U1274" s="93"/>
      <c r="V1274" s="93"/>
      <c r="W1274" s="93"/>
      <c r="X1274" s="93"/>
      <c r="Y1274" s="93"/>
      <c r="Z1274" s="93"/>
    </row>
    <row r="1275" customFormat="false" ht="16.4" hidden="false" customHeight="false" outlineLevel="0" collapsed="false">
      <c r="A1275" s="123" t="n">
        <v>45444</v>
      </c>
      <c r="B1275" s="31" t="s">
        <v>153</v>
      </c>
      <c r="C1275" s="129"/>
      <c r="D1275" s="129"/>
      <c r="E1275" s="19" t="n">
        <f aca="false">F1275*0.03</f>
        <v>0</v>
      </c>
      <c r="F1275" s="33" t="n">
        <v>0</v>
      </c>
      <c r="G1275" s="131"/>
      <c r="H1275" s="35" t="n">
        <v>0</v>
      </c>
      <c r="I1275" s="34" t="n">
        <f aca="false">+IF(E1275=0,0,E1275*0.03)</f>
        <v>0</v>
      </c>
      <c r="J1275" s="93"/>
      <c r="K1275" s="93"/>
      <c r="L1275" s="93"/>
      <c r="M1275" s="93"/>
      <c r="N1275" s="93"/>
      <c r="O1275" s="93"/>
      <c r="P1275" s="93"/>
      <c r="Q1275" s="93"/>
      <c r="R1275" s="93"/>
      <c r="S1275" s="93"/>
      <c r="T1275" s="93"/>
      <c r="U1275" s="93"/>
      <c r="V1275" s="93"/>
      <c r="W1275" s="93"/>
      <c r="X1275" s="93"/>
      <c r="Y1275" s="93"/>
      <c r="Z1275" s="93"/>
    </row>
    <row r="1276" customFormat="false" ht="16.4" hidden="false" customHeight="false" outlineLevel="0" collapsed="false">
      <c r="A1276" s="123" t="n">
        <v>45444</v>
      </c>
      <c r="B1276" s="31" t="s">
        <v>153</v>
      </c>
      <c r="C1276" s="129"/>
      <c r="D1276" s="129"/>
      <c r="E1276" s="19" t="n">
        <f aca="false">F1276*0.03</f>
        <v>0</v>
      </c>
      <c r="F1276" s="33" t="n">
        <v>0</v>
      </c>
      <c r="G1276" s="131"/>
      <c r="H1276" s="35" t="n">
        <v>0</v>
      </c>
      <c r="I1276" s="34" t="n">
        <f aca="false">+IF(E1276=0,0,E1276*0.03)</f>
        <v>0</v>
      </c>
      <c r="J1276" s="93"/>
      <c r="K1276" s="93"/>
      <c r="L1276" s="93"/>
      <c r="M1276" s="93"/>
      <c r="N1276" s="93"/>
      <c r="O1276" s="93"/>
      <c r="P1276" s="93"/>
      <c r="Q1276" s="93"/>
      <c r="R1276" s="93"/>
      <c r="S1276" s="93"/>
      <c r="T1276" s="93"/>
      <c r="U1276" s="93"/>
      <c r="V1276" s="93"/>
      <c r="W1276" s="93"/>
      <c r="X1276" s="93"/>
      <c r="Y1276" s="93"/>
      <c r="Z1276" s="93"/>
    </row>
    <row r="1277" customFormat="false" ht="16.4" hidden="false" customHeight="false" outlineLevel="0" collapsed="false">
      <c r="A1277" s="123" t="n">
        <v>45444</v>
      </c>
      <c r="B1277" s="31" t="s">
        <v>153</v>
      </c>
      <c r="C1277" s="129"/>
      <c r="D1277" s="129"/>
      <c r="E1277" s="19" t="n">
        <f aca="false">F1277*0.03</f>
        <v>0</v>
      </c>
      <c r="F1277" s="33" t="n">
        <v>0</v>
      </c>
      <c r="G1277" s="131"/>
      <c r="H1277" s="35" t="n">
        <v>0</v>
      </c>
      <c r="I1277" s="34" t="n">
        <f aca="false">+IF(E1277=0,0,E1277*0.03)</f>
        <v>0</v>
      </c>
      <c r="J1277" s="93"/>
      <c r="K1277" s="93"/>
      <c r="L1277" s="93"/>
      <c r="M1277" s="93"/>
      <c r="N1277" s="93"/>
      <c r="O1277" s="93"/>
      <c r="P1277" s="93"/>
      <c r="Q1277" s="93"/>
      <c r="R1277" s="93"/>
      <c r="S1277" s="93"/>
      <c r="T1277" s="93"/>
      <c r="U1277" s="93"/>
      <c r="V1277" s="93"/>
      <c r="W1277" s="93"/>
      <c r="X1277" s="93"/>
      <c r="Y1277" s="93"/>
      <c r="Z1277" s="93"/>
    </row>
    <row r="1278" customFormat="false" ht="16.4" hidden="false" customHeight="false" outlineLevel="0" collapsed="false">
      <c r="A1278" s="123" t="n">
        <v>45444</v>
      </c>
      <c r="B1278" s="31" t="s">
        <v>153</v>
      </c>
      <c r="C1278" s="129"/>
      <c r="D1278" s="129"/>
      <c r="E1278" s="19" t="n">
        <f aca="false">F1278*0.03</f>
        <v>0</v>
      </c>
      <c r="F1278" s="33" t="n">
        <v>0</v>
      </c>
      <c r="G1278" s="131"/>
      <c r="H1278" s="35" t="n">
        <v>0</v>
      </c>
      <c r="I1278" s="34" t="n">
        <f aca="false">+IF(E1278=0,0,E1278*0.03)</f>
        <v>0</v>
      </c>
      <c r="J1278" s="93"/>
      <c r="K1278" s="93"/>
      <c r="L1278" s="93"/>
      <c r="M1278" s="93"/>
      <c r="N1278" s="93"/>
      <c r="O1278" s="93"/>
      <c r="P1278" s="93"/>
      <c r="Q1278" s="93"/>
      <c r="R1278" s="93"/>
      <c r="S1278" s="93"/>
      <c r="T1278" s="93"/>
      <c r="U1278" s="93"/>
      <c r="V1278" s="93"/>
      <c r="W1278" s="93"/>
      <c r="X1278" s="93"/>
      <c r="Y1278" s="93"/>
      <c r="Z1278" s="93"/>
    </row>
    <row r="1279" customFormat="false" ht="16.4" hidden="false" customHeight="false" outlineLevel="0" collapsed="false">
      <c r="A1279" s="123" t="n">
        <v>45444</v>
      </c>
      <c r="B1279" s="31" t="s">
        <v>153</v>
      </c>
      <c r="C1279" s="129"/>
      <c r="D1279" s="129"/>
      <c r="E1279" s="19" t="n">
        <f aca="false">F1279*0.03</f>
        <v>0</v>
      </c>
      <c r="F1279" s="33" t="n">
        <v>0</v>
      </c>
      <c r="G1279" s="131"/>
      <c r="H1279" s="35" t="n">
        <v>0</v>
      </c>
      <c r="I1279" s="34" t="n">
        <f aca="false">+IF(E1279=0,0,E1279*0.03)</f>
        <v>0</v>
      </c>
      <c r="J1279" s="93"/>
      <c r="K1279" s="93"/>
      <c r="L1279" s="93"/>
      <c r="M1279" s="93"/>
      <c r="N1279" s="93"/>
      <c r="O1279" s="93"/>
      <c r="P1279" s="93"/>
      <c r="Q1279" s="93"/>
      <c r="R1279" s="93"/>
      <c r="S1279" s="93"/>
      <c r="T1279" s="93"/>
      <c r="U1279" s="93"/>
      <c r="V1279" s="93"/>
      <c r="W1279" s="93"/>
      <c r="X1279" s="93"/>
      <c r="Y1279" s="93"/>
      <c r="Z1279" s="93"/>
    </row>
    <row r="1280" customFormat="false" ht="16.4" hidden="false" customHeight="false" outlineLevel="0" collapsed="false">
      <c r="A1280" s="123" t="n">
        <v>45444</v>
      </c>
      <c r="B1280" s="31" t="s">
        <v>153</v>
      </c>
      <c r="C1280" s="129"/>
      <c r="D1280" s="129"/>
      <c r="E1280" s="19" t="n">
        <f aca="false">F1280*0.03</f>
        <v>0</v>
      </c>
      <c r="F1280" s="33" t="n">
        <v>0</v>
      </c>
      <c r="G1280" s="131"/>
      <c r="H1280" s="35" t="n">
        <v>0</v>
      </c>
      <c r="I1280" s="34" t="n">
        <f aca="false">+IF(E1280=0,0,E1280*0.03)</f>
        <v>0</v>
      </c>
      <c r="J1280" s="93"/>
      <c r="K1280" s="93"/>
      <c r="L1280" s="93"/>
      <c r="M1280" s="93"/>
      <c r="N1280" s="93"/>
      <c r="O1280" s="93"/>
      <c r="P1280" s="93"/>
      <c r="Q1280" s="93"/>
      <c r="R1280" s="93"/>
      <c r="S1280" s="93"/>
      <c r="T1280" s="93"/>
      <c r="U1280" s="93"/>
      <c r="V1280" s="93"/>
      <c r="W1280" s="93"/>
      <c r="X1280" s="93"/>
      <c r="Y1280" s="93"/>
      <c r="Z1280" s="93"/>
    </row>
    <row r="1281" customFormat="false" ht="16.4" hidden="false" customHeight="false" outlineLevel="0" collapsed="false">
      <c r="A1281" s="123" t="n">
        <v>45444</v>
      </c>
      <c r="B1281" s="31" t="s">
        <v>153</v>
      </c>
      <c r="C1281" s="129"/>
      <c r="D1281" s="129"/>
      <c r="E1281" s="19" t="n">
        <f aca="false">F1281*0.03</f>
        <v>0</v>
      </c>
      <c r="F1281" s="33" t="n">
        <v>0</v>
      </c>
      <c r="G1281" s="131"/>
      <c r="H1281" s="35" t="n">
        <v>0</v>
      </c>
      <c r="I1281" s="34" t="n">
        <f aca="false">+IF(E1281=0,0,E1281*0.03)</f>
        <v>0</v>
      </c>
      <c r="J1281" s="93"/>
      <c r="K1281" s="93"/>
      <c r="L1281" s="93"/>
      <c r="M1281" s="93"/>
      <c r="N1281" s="93"/>
      <c r="O1281" s="93"/>
      <c r="P1281" s="93"/>
      <c r="Q1281" s="93"/>
      <c r="R1281" s="93"/>
      <c r="S1281" s="93"/>
      <c r="T1281" s="93"/>
      <c r="U1281" s="93"/>
      <c r="V1281" s="93"/>
      <c r="W1281" s="93"/>
      <c r="X1281" s="93"/>
      <c r="Y1281" s="93"/>
      <c r="Z1281" s="93"/>
    </row>
    <row r="1282" customFormat="false" ht="16.4" hidden="false" customHeight="false" outlineLevel="0" collapsed="false">
      <c r="A1282" s="123" t="n">
        <v>45444</v>
      </c>
      <c r="B1282" s="31" t="s">
        <v>153</v>
      </c>
      <c r="C1282" s="129"/>
      <c r="D1282" s="129"/>
      <c r="E1282" s="19" t="n">
        <f aca="false">F1282*0.03</f>
        <v>0</v>
      </c>
      <c r="F1282" s="33" t="n">
        <v>0</v>
      </c>
      <c r="G1282" s="131"/>
      <c r="H1282" s="35" t="n">
        <v>0</v>
      </c>
      <c r="I1282" s="34" t="n">
        <f aca="false">+IF(E1282=0,0,E1282*0.03)</f>
        <v>0</v>
      </c>
      <c r="J1282" s="93"/>
      <c r="K1282" s="93"/>
      <c r="L1282" s="93"/>
      <c r="M1282" s="93"/>
      <c r="N1282" s="93"/>
      <c r="O1282" s="93"/>
      <c r="P1282" s="93"/>
      <c r="Q1282" s="93"/>
      <c r="R1282" s="93"/>
      <c r="S1282" s="93"/>
      <c r="T1282" s="93"/>
      <c r="U1282" s="93"/>
      <c r="V1282" s="93"/>
      <c r="W1282" s="93"/>
      <c r="X1282" s="93"/>
      <c r="Y1282" s="93"/>
      <c r="Z1282" s="93"/>
    </row>
    <row r="1283" customFormat="false" ht="16.4" hidden="false" customHeight="false" outlineLevel="0" collapsed="false">
      <c r="A1283" s="123" t="n">
        <v>45444</v>
      </c>
      <c r="B1283" s="31" t="s">
        <v>153</v>
      </c>
      <c r="C1283" s="129"/>
      <c r="D1283" s="129"/>
      <c r="E1283" s="19" t="n">
        <f aca="false">F1283*0.03</f>
        <v>0</v>
      </c>
      <c r="F1283" s="33" t="n">
        <v>0</v>
      </c>
      <c r="G1283" s="131"/>
      <c r="H1283" s="35" t="n">
        <v>0</v>
      </c>
      <c r="I1283" s="34" t="n">
        <f aca="false">+IF(E1283=0,0,E1283*0.03)</f>
        <v>0</v>
      </c>
      <c r="J1283" s="93"/>
      <c r="K1283" s="93"/>
      <c r="L1283" s="93"/>
      <c r="M1283" s="93"/>
      <c r="N1283" s="93"/>
      <c r="O1283" s="93"/>
      <c r="P1283" s="93"/>
      <c r="Q1283" s="93"/>
      <c r="R1283" s="93"/>
      <c r="S1283" s="93"/>
      <c r="T1283" s="93"/>
      <c r="U1283" s="93"/>
      <c r="V1283" s="93"/>
      <c r="W1283" s="93"/>
      <c r="X1283" s="93"/>
      <c r="Y1283" s="93"/>
      <c r="Z1283" s="93"/>
    </row>
    <row r="1284" customFormat="false" ht="16.4" hidden="false" customHeight="false" outlineLevel="0" collapsed="false">
      <c r="A1284" s="123" t="n">
        <v>45444</v>
      </c>
      <c r="B1284" s="31" t="s">
        <v>153</v>
      </c>
      <c r="C1284" s="129"/>
      <c r="D1284" s="129"/>
      <c r="E1284" s="19" t="n">
        <f aca="false">F1284*0.03</f>
        <v>0</v>
      </c>
      <c r="F1284" s="33" t="n">
        <v>0</v>
      </c>
      <c r="G1284" s="131"/>
      <c r="H1284" s="35" t="n">
        <v>0</v>
      </c>
      <c r="I1284" s="34" t="n">
        <f aca="false">+IF(E1284=0,0,E1284*0.03)</f>
        <v>0</v>
      </c>
      <c r="J1284" s="93"/>
      <c r="K1284" s="93"/>
      <c r="L1284" s="93"/>
      <c r="M1284" s="93"/>
      <c r="N1284" s="93"/>
      <c r="O1284" s="93"/>
      <c r="P1284" s="93"/>
      <c r="Q1284" s="93"/>
      <c r="R1284" s="93"/>
      <c r="S1284" s="93"/>
      <c r="T1284" s="93"/>
      <c r="U1284" s="93"/>
      <c r="V1284" s="93"/>
      <c r="W1284" s="93"/>
      <c r="X1284" s="93"/>
      <c r="Y1284" s="93"/>
      <c r="Z1284" s="93"/>
    </row>
    <row r="1285" customFormat="false" ht="16.4" hidden="false" customHeight="false" outlineLevel="0" collapsed="false">
      <c r="A1285" s="123" t="n">
        <v>45444</v>
      </c>
      <c r="B1285" s="31" t="s">
        <v>153</v>
      </c>
      <c r="C1285" s="129"/>
      <c r="D1285" s="129"/>
      <c r="E1285" s="19" t="n">
        <f aca="false">F1285*0.03</f>
        <v>0</v>
      </c>
      <c r="F1285" s="33" t="n">
        <v>0</v>
      </c>
      <c r="G1285" s="131"/>
      <c r="H1285" s="35" t="n">
        <v>0</v>
      </c>
      <c r="I1285" s="34" t="n">
        <f aca="false">+IF(E1285=0,0,E1285*0.03)</f>
        <v>0</v>
      </c>
      <c r="J1285" s="93"/>
      <c r="K1285" s="93"/>
      <c r="L1285" s="93"/>
      <c r="M1285" s="93"/>
      <c r="N1285" s="93"/>
      <c r="O1285" s="93"/>
      <c r="P1285" s="93"/>
      <c r="Q1285" s="93"/>
      <c r="R1285" s="93"/>
      <c r="S1285" s="93"/>
      <c r="T1285" s="93"/>
      <c r="U1285" s="93"/>
      <c r="V1285" s="93"/>
      <c r="W1285" s="93"/>
      <c r="X1285" s="93"/>
      <c r="Y1285" s="93"/>
      <c r="Z1285" s="93"/>
    </row>
    <row r="1286" customFormat="false" ht="16.4" hidden="false" customHeight="false" outlineLevel="0" collapsed="false">
      <c r="A1286" s="123" t="n">
        <v>45444</v>
      </c>
      <c r="B1286" s="31" t="s">
        <v>153</v>
      </c>
      <c r="C1286" s="129"/>
      <c r="D1286" s="129"/>
      <c r="E1286" s="19" t="n">
        <f aca="false">F1286*0.03</f>
        <v>0</v>
      </c>
      <c r="F1286" s="33" t="n">
        <v>0</v>
      </c>
      <c r="G1286" s="131"/>
      <c r="H1286" s="35" t="n">
        <v>0</v>
      </c>
      <c r="I1286" s="34" t="n">
        <f aca="false">+IF(E1286=0,0,E1286*0.03)</f>
        <v>0</v>
      </c>
      <c r="J1286" s="93"/>
      <c r="K1286" s="93"/>
      <c r="L1286" s="93"/>
      <c r="M1286" s="93"/>
      <c r="N1286" s="93"/>
      <c r="O1286" s="93"/>
      <c r="P1286" s="93"/>
      <c r="Q1286" s="93"/>
      <c r="R1286" s="93"/>
      <c r="S1286" s="93"/>
      <c r="T1286" s="93"/>
      <c r="U1286" s="93"/>
      <c r="V1286" s="93"/>
      <c r="W1286" s="93"/>
      <c r="X1286" s="93"/>
      <c r="Y1286" s="93"/>
      <c r="Z1286" s="93"/>
    </row>
    <row r="1287" customFormat="false" ht="16.4" hidden="false" customHeight="false" outlineLevel="0" collapsed="false">
      <c r="A1287" s="123" t="n">
        <v>45444</v>
      </c>
      <c r="B1287" s="31" t="s">
        <v>153</v>
      </c>
      <c r="C1287" s="129"/>
      <c r="D1287" s="129"/>
      <c r="E1287" s="19" t="n">
        <f aca="false">F1287*0.03</f>
        <v>0</v>
      </c>
      <c r="F1287" s="33" t="n">
        <v>0</v>
      </c>
      <c r="G1287" s="131"/>
      <c r="H1287" s="35" t="n">
        <v>0</v>
      </c>
      <c r="I1287" s="34" t="n">
        <f aca="false">+IF(E1287=0,0,E1287*0.03)</f>
        <v>0</v>
      </c>
      <c r="J1287" s="93"/>
      <c r="K1287" s="93"/>
      <c r="L1287" s="93"/>
      <c r="M1287" s="93"/>
      <c r="N1287" s="93"/>
      <c r="O1287" s="93"/>
      <c r="P1287" s="93"/>
      <c r="Q1287" s="93"/>
      <c r="R1287" s="93"/>
      <c r="S1287" s="93"/>
      <c r="T1287" s="93"/>
      <c r="U1287" s="93"/>
      <c r="V1287" s="93"/>
      <c r="W1287" s="93"/>
      <c r="X1287" s="93"/>
      <c r="Y1287" s="93"/>
      <c r="Z1287" s="93"/>
    </row>
    <row r="1288" customFormat="false" ht="16.4" hidden="false" customHeight="false" outlineLevel="0" collapsed="false">
      <c r="A1288" s="123" t="n">
        <v>45444</v>
      </c>
      <c r="B1288" s="31" t="s">
        <v>153</v>
      </c>
      <c r="C1288" s="129"/>
      <c r="D1288" s="129"/>
      <c r="E1288" s="19" t="n">
        <f aca="false">F1288*0.03</f>
        <v>0</v>
      </c>
      <c r="F1288" s="33" t="n">
        <v>0</v>
      </c>
      <c r="G1288" s="131"/>
      <c r="H1288" s="35" t="n">
        <v>0</v>
      </c>
      <c r="I1288" s="34" t="n">
        <f aca="false">+IF(E1288=0,0,E1288*0.03)</f>
        <v>0</v>
      </c>
      <c r="J1288" s="93"/>
      <c r="K1288" s="93"/>
      <c r="L1288" s="93"/>
      <c r="M1288" s="93"/>
      <c r="N1288" s="93"/>
      <c r="O1288" s="93"/>
      <c r="P1288" s="93"/>
      <c r="Q1288" s="93"/>
      <c r="R1288" s="93"/>
      <c r="S1288" s="93"/>
      <c r="T1288" s="93"/>
      <c r="U1288" s="93"/>
      <c r="V1288" s="93"/>
      <c r="W1288" s="93"/>
      <c r="X1288" s="93"/>
      <c r="Y1288" s="93"/>
      <c r="Z1288" s="93"/>
    </row>
    <row r="1289" customFormat="false" ht="16.4" hidden="false" customHeight="false" outlineLevel="0" collapsed="false">
      <c r="A1289" s="123" t="n">
        <v>45444</v>
      </c>
      <c r="B1289" s="31" t="s">
        <v>153</v>
      </c>
      <c r="C1289" s="129"/>
      <c r="D1289" s="129"/>
      <c r="E1289" s="19" t="n">
        <f aca="false">F1289*0.03</f>
        <v>0</v>
      </c>
      <c r="F1289" s="33" t="n">
        <v>0</v>
      </c>
      <c r="G1289" s="131"/>
      <c r="H1289" s="35" t="n">
        <v>0</v>
      </c>
      <c r="I1289" s="34" t="n">
        <f aca="false">+IF(E1289=0,0,E1289*0.03)</f>
        <v>0</v>
      </c>
      <c r="J1289" s="93"/>
      <c r="K1289" s="93"/>
      <c r="L1289" s="93"/>
      <c r="M1289" s="93"/>
      <c r="N1289" s="93"/>
      <c r="O1289" s="93"/>
      <c r="P1289" s="93"/>
      <c r="Q1289" s="93"/>
      <c r="R1289" s="93"/>
      <c r="S1289" s="93"/>
      <c r="T1289" s="93"/>
      <c r="U1289" s="93"/>
      <c r="V1289" s="93"/>
      <c r="W1289" s="93"/>
      <c r="X1289" s="93"/>
      <c r="Y1289" s="93"/>
      <c r="Z1289" s="93"/>
    </row>
    <row r="1290" customFormat="false" ht="16.4" hidden="false" customHeight="false" outlineLevel="0" collapsed="false">
      <c r="A1290" s="123" t="n">
        <v>45444</v>
      </c>
      <c r="B1290" s="31" t="s">
        <v>153</v>
      </c>
      <c r="C1290" s="129"/>
      <c r="D1290" s="129"/>
      <c r="E1290" s="19" t="n">
        <f aca="false">F1290*0.03</f>
        <v>0</v>
      </c>
      <c r="F1290" s="33" t="n">
        <v>0</v>
      </c>
      <c r="G1290" s="131"/>
      <c r="H1290" s="35" t="n">
        <v>0</v>
      </c>
      <c r="I1290" s="34" t="n">
        <f aca="false">+IF(E1290=0,0,E1290*0.03)</f>
        <v>0</v>
      </c>
      <c r="J1290" s="93"/>
      <c r="K1290" s="93"/>
      <c r="L1290" s="93"/>
      <c r="M1290" s="93"/>
      <c r="N1290" s="93"/>
      <c r="O1290" s="93"/>
      <c r="P1290" s="93"/>
      <c r="Q1290" s="93"/>
      <c r="R1290" s="93"/>
      <c r="S1290" s="93"/>
      <c r="T1290" s="93"/>
      <c r="U1290" s="93"/>
      <c r="V1290" s="93"/>
      <c r="W1290" s="93"/>
      <c r="X1290" s="93"/>
      <c r="Y1290" s="93"/>
      <c r="Z1290" s="93"/>
    </row>
    <row r="1291" customFormat="false" ht="16.4" hidden="false" customHeight="false" outlineLevel="0" collapsed="false">
      <c r="A1291" s="123" t="n">
        <v>45444</v>
      </c>
      <c r="B1291" s="31" t="s">
        <v>153</v>
      </c>
      <c r="C1291" s="129"/>
      <c r="D1291" s="129"/>
      <c r="E1291" s="19" t="n">
        <f aca="false">F1291*0.03</f>
        <v>0</v>
      </c>
      <c r="F1291" s="33" t="n">
        <v>0</v>
      </c>
      <c r="G1291" s="131"/>
      <c r="H1291" s="35" t="n">
        <v>0</v>
      </c>
      <c r="I1291" s="34" t="n">
        <f aca="false">+IF(E1291=0,0,E1291*0.03)</f>
        <v>0</v>
      </c>
      <c r="J1291" s="93"/>
      <c r="K1291" s="93"/>
      <c r="L1291" s="93"/>
      <c r="M1291" s="93"/>
      <c r="N1291" s="93"/>
      <c r="O1291" s="93"/>
      <c r="P1291" s="93"/>
      <c r="Q1291" s="93"/>
      <c r="R1291" s="93"/>
      <c r="S1291" s="93"/>
      <c r="T1291" s="93"/>
      <c r="U1291" s="93"/>
      <c r="V1291" s="93"/>
      <c r="W1291" s="93"/>
      <c r="X1291" s="93"/>
      <c r="Y1291" s="93"/>
      <c r="Z1291" s="93"/>
    </row>
    <row r="1292" customFormat="false" ht="16.4" hidden="false" customHeight="false" outlineLevel="0" collapsed="false">
      <c r="A1292" s="123" t="n">
        <v>45444</v>
      </c>
      <c r="B1292" s="31" t="s">
        <v>153</v>
      </c>
      <c r="C1292" s="129"/>
      <c r="D1292" s="129"/>
      <c r="E1292" s="19" t="n">
        <f aca="false">F1292*0.03</f>
        <v>0</v>
      </c>
      <c r="F1292" s="33" t="n">
        <v>0</v>
      </c>
      <c r="G1292" s="131"/>
      <c r="H1292" s="35" t="n">
        <v>0</v>
      </c>
      <c r="I1292" s="34" t="n">
        <f aca="false">+IF(E1292=0,0,E1292*0.03)</f>
        <v>0</v>
      </c>
      <c r="J1292" s="93"/>
      <c r="K1292" s="93"/>
      <c r="L1292" s="93"/>
      <c r="M1292" s="93"/>
      <c r="N1292" s="93"/>
      <c r="O1292" s="93"/>
      <c r="P1292" s="93"/>
      <c r="Q1292" s="93"/>
      <c r="R1292" s="93"/>
      <c r="S1292" s="93"/>
      <c r="T1292" s="93"/>
      <c r="U1292" s="93"/>
      <c r="V1292" s="93"/>
      <c r="W1292" s="93"/>
      <c r="X1292" s="93"/>
      <c r="Y1292" s="93"/>
      <c r="Z1292" s="93"/>
    </row>
    <row r="1293" customFormat="false" ht="16.4" hidden="false" customHeight="false" outlineLevel="0" collapsed="false">
      <c r="A1293" s="123" t="n">
        <v>45444</v>
      </c>
      <c r="B1293" s="31" t="s">
        <v>153</v>
      </c>
      <c r="C1293" s="129"/>
      <c r="D1293" s="129"/>
      <c r="E1293" s="19" t="n">
        <f aca="false">F1293*0.03</f>
        <v>0</v>
      </c>
      <c r="F1293" s="33" t="n">
        <v>0</v>
      </c>
      <c r="G1293" s="131"/>
      <c r="H1293" s="35" t="n">
        <v>0</v>
      </c>
      <c r="I1293" s="34" t="n">
        <f aca="false">+IF(E1293=0,0,E1293*0.03)</f>
        <v>0</v>
      </c>
      <c r="J1293" s="93"/>
      <c r="K1293" s="93"/>
      <c r="L1293" s="93"/>
      <c r="M1293" s="93"/>
      <c r="N1293" s="93"/>
      <c r="O1293" s="93"/>
      <c r="P1293" s="93"/>
      <c r="Q1293" s="93"/>
      <c r="R1293" s="93"/>
      <c r="S1293" s="93"/>
      <c r="T1293" s="93"/>
      <c r="U1293" s="93"/>
      <c r="V1293" s="93"/>
      <c r="W1293" s="93"/>
      <c r="X1293" s="93"/>
      <c r="Y1293" s="93"/>
      <c r="Z1293" s="93"/>
    </row>
    <row r="1294" customFormat="false" ht="16.4" hidden="false" customHeight="false" outlineLevel="0" collapsed="false">
      <c r="A1294" s="123" t="n">
        <v>45444</v>
      </c>
      <c r="B1294" s="31" t="s">
        <v>153</v>
      </c>
      <c r="C1294" s="129"/>
      <c r="D1294" s="129"/>
      <c r="E1294" s="19" t="n">
        <f aca="false">F1294*0.03</f>
        <v>0</v>
      </c>
      <c r="F1294" s="33" t="n">
        <v>0</v>
      </c>
      <c r="G1294" s="131"/>
      <c r="H1294" s="35" t="n">
        <v>0</v>
      </c>
      <c r="I1294" s="34" t="n">
        <f aca="false">+IF(E1294=0,0,E1294*0.03)</f>
        <v>0</v>
      </c>
      <c r="J1294" s="93"/>
      <c r="K1294" s="93"/>
      <c r="L1294" s="93"/>
      <c r="M1294" s="93"/>
      <c r="N1294" s="93"/>
      <c r="O1294" s="93"/>
      <c r="P1294" s="93"/>
      <c r="Q1294" s="93"/>
      <c r="R1294" s="93"/>
      <c r="S1294" s="93"/>
      <c r="T1294" s="93"/>
      <c r="U1294" s="93"/>
      <c r="V1294" s="93"/>
      <c r="W1294" s="93"/>
      <c r="X1294" s="93"/>
      <c r="Y1294" s="93"/>
      <c r="Z1294" s="93"/>
    </row>
    <row r="1295" customFormat="false" ht="16.4" hidden="false" customHeight="false" outlineLevel="0" collapsed="false">
      <c r="A1295" s="123" t="n">
        <v>45444</v>
      </c>
      <c r="B1295" s="31" t="s">
        <v>153</v>
      </c>
      <c r="C1295" s="129"/>
      <c r="D1295" s="129"/>
      <c r="E1295" s="19" t="n">
        <f aca="false">F1295*0.03</f>
        <v>0</v>
      </c>
      <c r="F1295" s="33" t="n">
        <v>0</v>
      </c>
      <c r="G1295" s="131"/>
      <c r="H1295" s="35" t="n">
        <v>0</v>
      </c>
      <c r="I1295" s="34" t="n">
        <f aca="false">+IF(E1295=0,0,E1295*0.03)</f>
        <v>0</v>
      </c>
      <c r="J1295" s="93"/>
      <c r="K1295" s="93"/>
      <c r="L1295" s="93"/>
      <c r="M1295" s="93"/>
      <c r="N1295" s="93"/>
      <c r="O1295" s="93"/>
      <c r="P1295" s="93"/>
      <c r="Q1295" s="93"/>
      <c r="R1295" s="93"/>
      <c r="S1295" s="93"/>
      <c r="T1295" s="93"/>
      <c r="U1295" s="93"/>
      <c r="V1295" s="93"/>
      <c r="W1295" s="93"/>
      <c r="X1295" s="93"/>
      <c r="Y1295" s="93"/>
      <c r="Z1295" s="93"/>
    </row>
    <row r="1296" customFormat="false" ht="16.4" hidden="false" customHeight="false" outlineLevel="0" collapsed="false">
      <c r="A1296" s="123" t="n">
        <v>45444</v>
      </c>
      <c r="B1296" s="31" t="s">
        <v>153</v>
      </c>
      <c r="C1296" s="129"/>
      <c r="D1296" s="129"/>
      <c r="E1296" s="19" t="n">
        <f aca="false">F1296*0.03</f>
        <v>0</v>
      </c>
      <c r="F1296" s="33" t="n">
        <v>0</v>
      </c>
      <c r="G1296" s="131"/>
      <c r="H1296" s="35" t="n">
        <v>0</v>
      </c>
      <c r="I1296" s="34" t="n">
        <f aca="false">+IF(E1296=0,0,E1296*0.03)</f>
        <v>0</v>
      </c>
      <c r="J1296" s="93"/>
      <c r="K1296" s="93"/>
      <c r="L1296" s="93"/>
      <c r="M1296" s="93"/>
      <c r="N1296" s="93"/>
      <c r="O1296" s="93"/>
      <c r="P1296" s="93"/>
      <c r="Q1296" s="93"/>
      <c r="R1296" s="93"/>
      <c r="S1296" s="93"/>
      <c r="T1296" s="93"/>
      <c r="U1296" s="93"/>
      <c r="V1296" s="93"/>
      <c r="W1296" s="93"/>
      <c r="X1296" s="93"/>
      <c r="Y1296" s="93"/>
      <c r="Z1296" s="93"/>
    </row>
    <row r="1297" customFormat="false" ht="16.4" hidden="false" customHeight="false" outlineLevel="0" collapsed="false">
      <c r="A1297" s="123" t="n">
        <v>45444</v>
      </c>
      <c r="B1297" s="31" t="s">
        <v>153</v>
      </c>
      <c r="C1297" s="129"/>
      <c r="D1297" s="129"/>
      <c r="E1297" s="19" t="n">
        <f aca="false">F1297*0.03</f>
        <v>0</v>
      </c>
      <c r="F1297" s="33" t="n">
        <v>0</v>
      </c>
      <c r="G1297" s="131"/>
      <c r="H1297" s="35" t="n">
        <v>0</v>
      </c>
      <c r="I1297" s="34" t="n">
        <f aca="false">+IF(E1297=0,0,E1297*0.03)</f>
        <v>0</v>
      </c>
      <c r="J1297" s="93"/>
      <c r="K1297" s="93"/>
      <c r="L1297" s="93"/>
      <c r="M1297" s="93"/>
      <c r="N1297" s="93"/>
      <c r="O1297" s="93"/>
      <c r="P1297" s="93"/>
      <c r="Q1297" s="93"/>
      <c r="R1297" s="93"/>
      <c r="S1297" s="93"/>
      <c r="T1297" s="93"/>
      <c r="U1297" s="93"/>
      <c r="V1297" s="93"/>
      <c r="W1297" s="93"/>
      <c r="X1297" s="93"/>
      <c r="Y1297" s="93"/>
      <c r="Z1297" s="93"/>
    </row>
    <row r="1298" customFormat="false" ht="16.4" hidden="false" customHeight="false" outlineLevel="0" collapsed="false">
      <c r="A1298" s="123" t="n">
        <v>45444</v>
      </c>
      <c r="B1298" s="31" t="s">
        <v>153</v>
      </c>
      <c r="C1298" s="129"/>
      <c r="D1298" s="129"/>
      <c r="E1298" s="19" t="n">
        <f aca="false">F1298*0.03</f>
        <v>0</v>
      </c>
      <c r="F1298" s="33" t="n">
        <v>0</v>
      </c>
      <c r="G1298" s="131"/>
      <c r="H1298" s="35" t="n">
        <v>0</v>
      </c>
      <c r="I1298" s="34" t="n">
        <f aca="false">+IF(E1298=0,0,E1298*0.03)</f>
        <v>0</v>
      </c>
      <c r="J1298" s="93"/>
      <c r="K1298" s="93"/>
      <c r="L1298" s="93"/>
      <c r="M1298" s="93"/>
      <c r="N1298" s="93"/>
      <c r="O1298" s="93"/>
      <c r="P1298" s="93"/>
      <c r="Q1298" s="93"/>
      <c r="R1298" s="93"/>
      <c r="S1298" s="93"/>
      <c r="T1298" s="93"/>
      <c r="U1298" s="93"/>
      <c r="V1298" s="93"/>
      <c r="W1298" s="93"/>
      <c r="X1298" s="93"/>
      <c r="Y1298" s="93"/>
      <c r="Z1298" s="93"/>
    </row>
    <row r="1299" customFormat="false" ht="16.4" hidden="false" customHeight="false" outlineLevel="0" collapsed="false">
      <c r="A1299" s="123" t="n">
        <v>45444</v>
      </c>
      <c r="B1299" s="31" t="s">
        <v>153</v>
      </c>
      <c r="C1299" s="129"/>
      <c r="D1299" s="129"/>
      <c r="E1299" s="19" t="n">
        <f aca="false">F1299*0.03</f>
        <v>0</v>
      </c>
      <c r="F1299" s="33" t="n">
        <v>0</v>
      </c>
      <c r="G1299" s="131"/>
      <c r="H1299" s="35" t="n">
        <v>0</v>
      </c>
      <c r="I1299" s="34" t="n">
        <f aca="false">+IF(E1299=0,0,E1299*0.03)</f>
        <v>0</v>
      </c>
      <c r="J1299" s="93"/>
      <c r="K1299" s="93"/>
      <c r="L1299" s="93"/>
      <c r="M1299" s="93"/>
      <c r="N1299" s="93"/>
      <c r="O1299" s="93"/>
      <c r="P1299" s="93"/>
      <c r="Q1299" s="93"/>
      <c r="R1299" s="93"/>
      <c r="S1299" s="93"/>
      <c r="T1299" s="93"/>
      <c r="U1299" s="93"/>
      <c r="V1299" s="93"/>
      <c r="W1299" s="93"/>
      <c r="X1299" s="93"/>
      <c r="Y1299" s="93"/>
      <c r="Z1299" s="93"/>
    </row>
    <row r="1300" customFormat="false" ht="16.4" hidden="false" customHeight="false" outlineLevel="0" collapsed="false">
      <c r="A1300" s="123" t="n">
        <v>45444</v>
      </c>
      <c r="B1300" s="31" t="s">
        <v>153</v>
      </c>
      <c r="C1300" s="129"/>
      <c r="D1300" s="129"/>
      <c r="E1300" s="19" t="n">
        <f aca="false">F1300*0.03</f>
        <v>0</v>
      </c>
      <c r="F1300" s="33" t="n">
        <v>0</v>
      </c>
      <c r="G1300" s="131"/>
      <c r="H1300" s="35" t="n">
        <v>0</v>
      </c>
      <c r="I1300" s="34" t="n">
        <f aca="false">+IF(E1300=0,0,E1300*0.03)</f>
        <v>0</v>
      </c>
      <c r="J1300" s="93"/>
      <c r="K1300" s="93"/>
      <c r="L1300" s="93"/>
      <c r="M1300" s="93"/>
      <c r="N1300" s="93"/>
      <c r="O1300" s="93"/>
      <c r="P1300" s="93"/>
      <c r="Q1300" s="93"/>
      <c r="R1300" s="93"/>
      <c r="S1300" s="93"/>
      <c r="T1300" s="93"/>
      <c r="U1300" s="93"/>
      <c r="V1300" s="93"/>
      <c r="W1300" s="93"/>
      <c r="X1300" s="93"/>
      <c r="Y1300" s="93"/>
      <c r="Z1300" s="93"/>
    </row>
    <row r="1301" customFormat="false" ht="16.4" hidden="false" customHeight="false" outlineLevel="0" collapsed="false">
      <c r="A1301" s="123" t="n">
        <v>45444</v>
      </c>
      <c r="B1301" s="31" t="s">
        <v>153</v>
      </c>
      <c r="C1301" s="129"/>
      <c r="D1301" s="129"/>
      <c r="E1301" s="19" t="n">
        <f aca="false">F1301*0.03</f>
        <v>0</v>
      </c>
      <c r="F1301" s="33" t="n">
        <v>0</v>
      </c>
      <c r="G1301" s="131"/>
      <c r="H1301" s="35" t="n">
        <v>0</v>
      </c>
      <c r="I1301" s="34" t="n">
        <f aca="false">+IF(E1301=0,0,E1301*0.03)</f>
        <v>0</v>
      </c>
      <c r="J1301" s="93"/>
      <c r="K1301" s="93"/>
      <c r="L1301" s="93"/>
      <c r="M1301" s="93"/>
      <c r="N1301" s="93"/>
      <c r="O1301" s="93"/>
      <c r="P1301" s="93"/>
      <c r="Q1301" s="93"/>
      <c r="R1301" s="93"/>
      <c r="S1301" s="93"/>
      <c r="T1301" s="93"/>
      <c r="U1301" s="93"/>
      <c r="V1301" s="93"/>
      <c r="W1301" s="93"/>
      <c r="X1301" s="93"/>
      <c r="Y1301" s="93"/>
      <c r="Z1301" s="93"/>
    </row>
    <row r="1302" customFormat="false" ht="16.4" hidden="false" customHeight="false" outlineLevel="0" collapsed="false">
      <c r="A1302" s="123" t="n">
        <v>45444</v>
      </c>
      <c r="B1302" s="31" t="s">
        <v>153</v>
      </c>
      <c r="C1302" s="129"/>
      <c r="D1302" s="129"/>
      <c r="E1302" s="19" t="n">
        <f aca="false">F1302*0.03</f>
        <v>0</v>
      </c>
      <c r="F1302" s="33" t="n">
        <v>0</v>
      </c>
      <c r="G1302" s="131"/>
      <c r="H1302" s="35" t="n">
        <v>0</v>
      </c>
      <c r="I1302" s="34" t="n">
        <f aca="false">+IF(E1302=0,0,E1302*0.03)</f>
        <v>0</v>
      </c>
      <c r="J1302" s="93"/>
      <c r="K1302" s="93"/>
      <c r="L1302" s="93"/>
      <c r="M1302" s="93"/>
      <c r="N1302" s="93"/>
      <c r="O1302" s="93"/>
      <c r="P1302" s="93"/>
      <c r="Q1302" s="93"/>
      <c r="R1302" s="93"/>
      <c r="S1302" s="93"/>
      <c r="T1302" s="93"/>
      <c r="U1302" s="93"/>
      <c r="V1302" s="93"/>
      <c r="W1302" s="93"/>
      <c r="X1302" s="93"/>
      <c r="Y1302" s="93"/>
      <c r="Z1302" s="93"/>
    </row>
    <row r="1303" customFormat="false" ht="16.4" hidden="false" customHeight="false" outlineLevel="0" collapsed="false">
      <c r="A1303" s="123" t="n">
        <v>45444</v>
      </c>
      <c r="B1303" s="31" t="s">
        <v>153</v>
      </c>
      <c r="C1303" s="129"/>
      <c r="D1303" s="129"/>
      <c r="E1303" s="19" t="n">
        <f aca="false">F1303*0.03</f>
        <v>0</v>
      </c>
      <c r="F1303" s="33" t="n">
        <v>0</v>
      </c>
      <c r="G1303" s="131"/>
      <c r="H1303" s="35" t="n">
        <v>0</v>
      </c>
      <c r="I1303" s="34" t="n">
        <f aca="false">+IF(E1303=0,0,E1303*0.03)</f>
        <v>0</v>
      </c>
      <c r="J1303" s="93"/>
      <c r="K1303" s="93"/>
      <c r="L1303" s="93"/>
      <c r="M1303" s="93"/>
      <c r="N1303" s="93"/>
      <c r="O1303" s="93"/>
      <c r="P1303" s="93"/>
      <c r="Q1303" s="93"/>
      <c r="R1303" s="93"/>
      <c r="S1303" s="93"/>
      <c r="T1303" s="93"/>
      <c r="U1303" s="93"/>
      <c r="V1303" s="93"/>
      <c r="W1303" s="93"/>
      <c r="X1303" s="93"/>
      <c r="Y1303" s="93"/>
      <c r="Z1303" s="93"/>
    </row>
    <row r="1304" customFormat="false" ht="16.4" hidden="false" customHeight="false" outlineLevel="0" collapsed="false">
      <c r="A1304" s="123" t="n">
        <v>45444</v>
      </c>
      <c r="B1304" s="31" t="s">
        <v>153</v>
      </c>
      <c r="C1304" s="129"/>
      <c r="D1304" s="129"/>
      <c r="E1304" s="19" t="n">
        <f aca="false">F1304*0.03</f>
        <v>0</v>
      </c>
      <c r="F1304" s="33" t="n">
        <v>0</v>
      </c>
      <c r="G1304" s="131"/>
      <c r="H1304" s="35" t="n">
        <v>0</v>
      </c>
      <c r="I1304" s="34" t="n">
        <f aca="false">+IF(E1304=0,0,E1304*0.03)</f>
        <v>0</v>
      </c>
      <c r="J1304" s="93"/>
      <c r="K1304" s="93"/>
      <c r="L1304" s="93"/>
      <c r="M1304" s="93"/>
      <c r="N1304" s="93"/>
      <c r="O1304" s="93"/>
      <c r="P1304" s="93"/>
      <c r="Q1304" s="93"/>
      <c r="R1304" s="93"/>
      <c r="S1304" s="93"/>
      <c r="T1304" s="93"/>
      <c r="U1304" s="93"/>
      <c r="V1304" s="93"/>
      <c r="W1304" s="93"/>
      <c r="X1304" s="93"/>
      <c r="Y1304" s="93"/>
      <c r="Z1304" s="93"/>
    </row>
    <row r="1305" customFormat="false" ht="16.4" hidden="false" customHeight="false" outlineLevel="0" collapsed="false">
      <c r="A1305" s="123" t="n">
        <v>45444</v>
      </c>
      <c r="B1305" s="31" t="s">
        <v>153</v>
      </c>
      <c r="C1305" s="129"/>
      <c r="D1305" s="129"/>
      <c r="E1305" s="19" t="n">
        <f aca="false">F1305*0.03</f>
        <v>0</v>
      </c>
      <c r="F1305" s="33" t="n">
        <v>0</v>
      </c>
      <c r="G1305" s="131"/>
      <c r="H1305" s="35" t="n">
        <v>0</v>
      </c>
      <c r="I1305" s="34" t="n">
        <f aca="false">+IF(E1305=0,0,E1305*0.03)</f>
        <v>0</v>
      </c>
      <c r="J1305" s="93"/>
      <c r="K1305" s="93"/>
      <c r="L1305" s="93"/>
      <c r="M1305" s="93"/>
      <c r="N1305" s="93"/>
      <c r="O1305" s="93"/>
      <c r="P1305" s="93"/>
      <c r="Q1305" s="93"/>
      <c r="R1305" s="93"/>
      <c r="S1305" s="93"/>
      <c r="T1305" s="93"/>
      <c r="U1305" s="93"/>
      <c r="V1305" s="93"/>
      <c r="W1305" s="93"/>
      <c r="X1305" s="93"/>
      <c r="Y1305" s="93"/>
      <c r="Z1305" s="93"/>
    </row>
    <row r="1306" customFormat="false" ht="16.4" hidden="false" customHeight="false" outlineLevel="0" collapsed="false">
      <c r="A1306" s="123" t="n">
        <v>45444</v>
      </c>
      <c r="B1306" s="31" t="s">
        <v>153</v>
      </c>
      <c r="C1306" s="129"/>
      <c r="D1306" s="129"/>
      <c r="E1306" s="19" t="n">
        <f aca="false">F1306*0.03</f>
        <v>0</v>
      </c>
      <c r="F1306" s="33" t="n">
        <v>0</v>
      </c>
      <c r="G1306" s="131"/>
      <c r="H1306" s="35" t="n">
        <v>0</v>
      </c>
      <c r="I1306" s="34" t="n">
        <f aca="false">+IF(E1306=0,0,E1306*0.03)</f>
        <v>0</v>
      </c>
      <c r="J1306" s="93"/>
      <c r="K1306" s="93"/>
      <c r="L1306" s="93"/>
      <c r="M1306" s="93"/>
      <c r="N1306" s="93"/>
      <c r="O1306" s="93"/>
      <c r="P1306" s="93"/>
      <c r="Q1306" s="93"/>
      <c r="R1306" s="93"/>
      <c r="S1306" s="93"/>
      <c r="T1306" s="93"/>
      <c r="U1306" s="93"/>
      <c r="V1306" s="93"/>
      <c r="W1306" s="93"/>
      <c r="X1306" s="93"/>
      <c r="Y1306" s="93"/>
      <c r="Z1306" s="93"/>
    </row>
    <row r="1307" customFormat="false" ht="16.4" hidden="false" customHeight="false" outlineLevel="0" collapsed="false">
      <c r="A1307" s="123" t="n">
        <v>45444</v>
      </c>
      <c r="B1307" s="31" t="s">
        <v>153</v>
      </c>
      <c r="C1307" s="129"/>
      <c r="D1307" s="129"/>
      <c r="E1307" s="19" t="n">
        <f aca="false">F1307*0.03</f>
        <v>0</v>
      </c>
      <c r="F1307" s="33" t="n">
        <v>0</v>
      </c>
      <c r="G1307" s="131"/>
      <c r="H1307" s="35" t="n">
        <v>0</v>
      </c>
      <c r="I1307" s="34" t="n">
        <f aca="false">+IF(E1307=0,0,E1307*0.03)</f>
        <v>0</v>
      </c>
      <c r="J1307" s="93"/>
      <c r="K1307" s="93"/>
      <c r="L1307" s="93"/>
      <c r="M1307" s="93"/>
      <c r="N1307" s="93"/>
      <c r="O1307" s="93"/>
      <c r="P1307" s="93"/>
      <c r="Q1307" s="93"/>
      <c r="R1307" s="93"/>
      <c r="S1307" s="93"/>
      <c r="T1307" s="93"/>
      <c r="U1307" s="93"/>
      <c r="V1307" s="93"/>
      <c r="W1307" s="93"/>
      <c r="X1307" s="93"/>
      <c r="Y1307" s="93"/>
      <c r="Z1307" s="93"/>
    </row>
    <row r="1308" customFormat="false" ht="16.4" hidden="false" customHeight="false" outlineLevel="0" collapsed="false">
      <c r="A1308" s="123" t="n">
        <v>45444</v>
      </c>
      <c r="B1308" s="31" t="s">
        <v>153</v>
      </c>
      <c r="C1308" s="129"/>
      <c r="D1308" s="129"/>
      <c r="E1308" s="19" t="n">
        <f aca="false">F1308*0.03</f>
        <v>0</v>
      </c>
      <c r="F1308" s="33" t="n">
        <v>0</v>
      </c>
      <c r="G1308" s="131"/>
      <c r="H1308" s="35" t="n">
        <v>0</v>
      </c>
      <c r="I1308" s="34" t="n">
        <f aca="false">+IF(E1308=0,0,E1308*0.03)</f>
        <v>0</v>
      </c>
      <c r="J1308" s="93"/>
      <c r="K1308" s="93"/>
      <c r="L1308" s="93"/>
      <c r="M1308" s="93"/>
      <c r="N1308" s="93"/>
      <c r="O1308" s="93"/>
      <c r="P1308" s="93"/>
      <c r="Q1308" s="93"/>
      <c r="R1308" s="93"/>
      <c r="S1308" s="93"/>
      <c r="T1308" s="93"/>
      <c r="U1308" s="93"/>
      <c r="V1308" s="93"/>
      <c r="W1308" s="93"/>
      <c r="X1308" s="93"/>
      <c r="Y1308" s="93"/>
      <c r="Z1308" s="93"/>
    </row>
    <row r="1309" customFormat="false" ht="16.4" hidden="false" customHeight="false" outlineLevel="0" collapsed="false">
      <c r="A1309" s="123" t="n">
        <v>45444</v>
      </c>
      <c r="B1309" s="31" t="s">
        <v>153</v>
      </c>
      <c r="C1309" s="129"/>
      <c r="D1309" s="129"/>
      <c r="E1309" s="19" t="n">
        <f aca="false">F1309*0.03</f>
        <v>0</v>
      </c>
      <c r="F1309" s="33" t="n">
        <v>0</v>
      </c>
      <c r="G1309" s="131"/>
      <c r="H1309" s="35" t="n">
        <v>0</v>
      </c>
      <c r="I1309" s="34" t="n">
        <f aca="false">+IF(E1309=0,0,E1309*0.03)</f>
        <v>0</v>
      </c>
      <c r="J1309" s="93"/>
      <c r="K1309" s="93"/>
      <c r="L1309" s="93"/>
      <c r="M1309" s="93"/>
      <c r="N1309" s="93"/>
      <c r="O1309" s="93"/>
      <c r="P1309" s="93"/>
      <c r="Q1309" s="93"/>
      <c r="R1309" s="93"/>
      <c r="S1309" s="93"/>
      <c r="T1309" s="93"/>
      <c r="U1309" s="93"/>
      <c r="V1309" s="93"/>
      <c r="W1309" s="93"/>
      <c r="X1309" s="93"/>
      <c r="Y1309" s="93"/>
      <c r="Z1309" s="93"/>
    </row>
    <row r="1310" customFormat="false" ht="16.4" hidden="false" customHeight="false" outlineLevel="0" collapsed="false">
      <c r="A1310" s="123" t="n">
        <v>45444</v>
      </c>
      <c r="B1310" s="31" t="s">
        <v>153</v>
      </c>
      <c r="C1310" s="129"/>
      <c r="D1310" s="129"/>
      <c r="E1310" s="19" t="n">
        <f aca="false">F1310*0.03</f>
        <v>0</v>
      </c>
      <c r="F1310" s="33" t="n">
        <v>0</v>
      </c>
      <c r="G1310" s="131"/>
      <c r="H1310" s="35" t="n">
        <v>0</v>
      </c>
      <c r="I1310" s="34" t="n">
        <f aca="false">+IF(E1310=0,0,E1310*0.03)</f>
        <v>0</v>
      </c>
      <c r="J1310" s="93"/>
      <c r="K1310" s="93"/>
      <c r="L1310" s="93"/>
      <c r="M1310" s="93"/>
      <c r="N1310" s="93"/>
      <c r="O1310" s="93"/>
      <c r="P1310" s="93"/>
      <c r="Q1310" s="93"/>
      <c r="R1310" s="93"/>
      <c r="S1310" s="93"/>
      <c r="T1310" s="93"/>
      <c r="U1310" s="93"/>
      <c r="V1310" s="93"/>
      <c r="W1310" s="93"/>
      <c r="X1310" s="93"/>
      <c r="Y1310" s="93"/>
      <c r="Z1310" s="93"/>
    </row>
    <row r="1311" customFormat="false" ht="16.4" hidden="false" customHeight="false" outlineLevel="0" collapsed="false">
      <c r="A1311" s="123" t="n">
        <v>45444</v>
      </c>
      <c r="B1311" s="31" t="s">
        <v>153</v>
      </c>
      <c r="C1311" s="129"/>
      <c r="D1311" s="129"/>
      <c r="E1311" s="19" t="n">
        <f aca="false">F1311*0.03</f>
        <v>0</v>
      </c>
      <c r="F1311" s="33" t="n">
        <v>0</v>
      </c>
      <c r="G1311" s="131"/>
      <c r="H1311" s="35" t="n">
        <v>0</v>
      </c>
      <c r="I1311" s="34" t="n">
        <f aca="false">+IF(E1311=0,0,E1311*0.03)</f>
        <v>0</v>
      </c>
      <c r="J1311" s="93"/>
      <c r="K1311" s="93"/>
      <c r="L1311" s="93"/>
      <c r="M1311" s="93"/>
      <c r="N1311" s="93"/>
      <c r="O1311" s="93"/>
      <c r="P1311" s="93"/>
      <c r="Q1311" s="93"/>
      <c r="R1311" s="93"/>
      <c r="S1311" s="93"/>
      <c r="T1311" s="93"/>
      <c r="U1311" s="93"/>
      <c r="V1311" s="93"/>
      <c r="W1311" s="93"/>
      <c r="X1311" s="93"/>
      <c r="Y1311" s="93"/>
      <c r="Z1311" s="93"/>
    </row>
    <row r="1312" customFormat="false" ht="16.4" hidden="false" customHeight="false" outlineLevel="0" collapsed="false">
      <c r="A1312" s="123" t="n">
        <v>45444</v>
      </c>
      <c r="B1312" s="31" t="s">
        <v>153</v>
      </c>
      <c r="C1312" s="129"/>
      <c r="D1312" s="129"/>
      <c r="E1312" s="19" t="n">
        <f aca="false">F1312*0.03</f>
        <v>0</v>
      </c>
      <c r="F1312" s="33" t="n">
        <v>0</v>
      </c>
      <c r="G1312" s="131"/>
      <c r="H1312" s="35" t="n">
        <v>0</v>
      </c>
      <c r="I1312" s="34" t="n">
        <f aca="false">+IF(E1312=0,0,E1312*0.03)</f>
        <v>0</v>
      </c>
      <c r="J1312" s="93"/>
      <c r="K1312" s="93"/>
      <c r="L1312" s="93"/>
      <c r="M1312" s="93"/>
      <c r="N1312" s="93"/>
      <c r="O1312" s="93"/>
      <c r="P1312" s="93"/>
      <c r="Q1312" s="93"/>
      <c r="R1312" s="93"/>
      <c r="S1312" s="93"/>
      <c r="T1312" s="93"/>
      <c r="U1312" s="93"/>
      <c r="V1312" s="93"/>
      <c r="W1312" s="93"/>
      <c r="X1312" s="93"/>
      <c r="Y1312" s="93"/>
      <c r="Z1312" s="93"/>
    </row>
    <row r="1313" customFormat="false" ht="16.4" hidden="false" customHeight="false" outlineLevel="0" collapsed="false">
      <c r="A1313" s="123" t="n">
        <v>45444</v>
      </c>
      <c r="B1313" s="31" t="s">
        <v>153</v>
      </c>
      <c r="C1313" s="129"/>
      <c r="D1313" s="129"/>
      <c r="E1313" s="19" t="n">
        <f aca="false">F1313*0.03</f>
        <v>0</v>
      </c>
      <c r="F1313" s="33" t="n">
        <v>0</v>
      </c>
      <c r="G1313" s="131"/>
      <c r="H1313" s="35" t="n">
        <v>0</v>
      </c>
      <c r="I1313" s="34" t="n">
        <f aca="false">+IF(E1313=0,0,E1313*0.03)</f>
        <v>0</v>
      </c>
      <c r="J1313" s="93"/>
      <c r="K1313" s="93"/>
      <c r="L1313" s="93"/>
      <c r="M1313" s="93"/>
      <c r="N1313" s="93"/>
      <c r="O1313" s="93"/>
      <c r="P1313" s="93"/>
      <c r="Q1313" s="93"/>
      <c r="R1313" s="93"/>
      <c r="S1313" s="93"/>
      <c r="T1313" s="93"/>
      <c r="U1313" s="93"/>
      <c r="V1313" s="93"/>
      <c r="W1313" s="93"/>
      <c r="X1313" s="93"/>
      <c r="Y1313" s="93"/>
      <c r="Z1313" s="93"/>
    </row>
    <row r="1314" customFormat="false" ht="16.4" hidden="false" customHeight="false" outlineLevel="0" collapsed="false">
      <c r="A1314" s="123" t="n">
        <v>45444</v>
      </c>
      <c r="B1314" s="31" t="s">
        <v>153</v>
      </c>
      <c r="C1314" s="129"/>
      <c r="D1314" s="129"/>
      <c r="E1314" s="19" t="n">
        <f aca="false">F1314*0.03</f>
        <v>0</v>
      </c>
      <c r="F1314" s="33" t="n">
        <v>0</v>
      </c>
      <c r="G1314" s="131"/>
      <c r="H1314" s="35" t="n">
        <v>0</v>
      </c>
      <c r="I1314" s="34" t="n">
        <f aca="false">+IF(E1314=0,0,E1314*0.03)</f>
        <v>0</v>
      </c>
      <c r="J1314" s="93"/>
      <c r="K1314" s="93"/>
      <c r="L1314" s="93"/>
      <c r="M1314" s="93"/>
      <c r="N1314" s="93"/>
      <c r="O1314" s="93"/>
      <c r="P1314" s="93"/>
      <c r="Q1314" s="93"/>
      <c r="R1314" s="93"/>
      <c r="S1314" s="93"/>
      <c r="T1314" s="93"/>
      <c r="U1314" s="93"/>
      <c r="V1314" s="93"/>
      <c r="W1314" s="93"/>
      <c r="X1314" s="93"/>
      <c r="Y1314" s="93"/>
      <c r="Z1314" s="93"/>
    </row>
    <row r="1315" customFormat="false" ht="16.4" hidden="false" customHeight="false" outlineLevel="0" collapsed="false">
      <c r="A1315" s="123" t="n">
        <v>45444</v>
      </c>
      <c r="B1315" s="31" t="s">
        <v>153</v>
      </c>
      <c r="C1315" s="129"/>
      <c r="D1315" s="129"/>
      <c r="E1315" s="19" t="n">
        <f aca="false">F1315*0.03</f>
        <v>0</v>
      </c>
      <c r="F1315" s="33" t="n">
        <v>0</v>
      </c>
      <c r="G1315" s="131"/>
      <c r="H1315" s="35" t="n">
        <v>0</v>
      </c>
      <c r="I1315" s="34" t="n">
        <f aca="false">+IF(E1315=0,0,E1315*0.03)</f>
        <v>0</v>
      </c>
      <c r="J1315" s="93"/>
      <c r="K1315" s="93"/>
      <c r="L1315" s="93"/>
      <c r="M1315" s="93"/>
      <c r="N1315" s="93"/>
      <c r="O1315" s="93"/>
      <c r="P1315" s="93"/>
      <c r="Q1315" s="93"/>
      <c r="R1315" s="93"/>
      <c r="S1315" s="93"/>
      <c r="T1315" s="93"/>
      <c r="U1315" s="93"/>
      <c r="V1315" s="93"/>
      <c r="W1315" s="93"/>
      <c r="X1315" s="93"/>
      <c r="Y1315" s="93"/>
      <c r="Z1315" s="93"/>
    </row>
    <row r="1316" customFormat="false" ht="16.4" hidden="false" customHeight="false" outlineLevel="0" collapsed="false">
      <c r="A1316" s="123" t="n">
        <v>45444</v>
      </c>
      <c r="B1316" s="31" t="s">
        <v>153</v>
      </c>
      <c r="C1316" s="129"/>
      <c r="D1316" s="129"/>
      <c r="E1316" s="19" t="n">
        <f aca="false">F1316*0.03</f>
        <v>0</v>
      </c>
      <c r="F1316" s="33" t="n">
        <v>0</v>
      </c>
      <c r="G1316" s="131"/>
      <c r="H1316" s="35" t="n">
        <v>0</v>
      </c>
      <c r="I1316" s="34" t="n">
        <f aca="false">+IF(E1316=0,0,E1316*0.03)</f>
        <v>0</v>
      </c>
      <c r="J1316" s="93"/>
      <c r="K1316" s="93"/>
      <c r="L1316" s="93"/>
      <c r="M1316" s="93"/>
      <c r="N1316" s="93"/>
      <c r="O1316" s="93"/>
      <c r="P1316" s="93"/>
      <c r="Q1316" s="93"/>
      <c r="R1316" s="93"/>
      <c r="S1316" s="93"/>
      <c r="T1316" s="93"/>
      <c r="U1316" s="93"/>
      <c r="V1316" s="93"/>
      <c r="W1316" s="93"/>
      <c r="X1316" s="93"/>
      <c r="Y1316" s="93"/>
      <c r="Z1316" s="93"/>
    </row>
    <row r="1317" customFormat="false" ht="16.4" hidden="false" customHeight="false" outlineLevel="0" collapsed="false">
      <c r="A1317" s="123" t="n">
        <v>45444</v>
      </c>
      <c r="B1317" s="31" t="s">
        <v>153</v>
      </c>
      <c r="C1317" s="129"/>
      <c r="D1317" s="129"/>
      <c r="E1317" s="19" t="n">
        <f aca="false">F1317*0.03</f>
        <v>0</v>
      </c>
      <c r="F1317" s="33" t="n">
        <v>0</v>
      </c>
      <c r="G1317" s="131"/>
      <c r="H1317" s="35" t="n">
        <v>0</v>
      </c>
      <c r="I1317" s="34" t="n">
        <f aca="false">+IF(E1317=0,0,E1317*0.03)</f>
        <v>0</v>
      </c>
      <c r="J1317" s="93"/>
      <c r="K1317" s="93"/>
      <c r="L1317" s="93"/>
      <c r="M1317" s="93"/>
      <c r="N1317" s="93"/>
      <c r="O1317" s="93"/>
      <c r="P1317" s="93"/>
      <c r="Q1317" s="93"/>
      <c r="R1317" s="93"/>
      <c r="S1317" s="93"/>
      <c r="T1317" s="93"/>
      <c r="U1317" s="93"/>
      <c r="V1317" s="93"/>
      <c r="W1317" s="93"/>
      <c r="X1317" s="93"/>
      <c r="Y1317" s="93"/>
      <c r="Z1317" s="93"/>
    </row>
    <row r="1318" customFormat="false" ht="16.4" hidden="false" customHeight="false" outlineLevel="0" collapsed="false">
      <c r="A1318" s="123" t="n">
        <v>45444</v>
      </c>
      <c r="B1318" s="31" t="s">
        <v>153</v>
      </c>
      <c r="C1318" s="129"/>
      <c r="D1318" s="129"/>
      <c r="E1318" s="19" t="n">
        <f aca="false">F1318*0.03</f>
        <v>0</v>
      </c>
      <c r="F1318" s="33" t="n">
        <v>0</v>
      </c>
      <c r="G1318" s="131"/>
      <c r="H1318" s="35" t="n">
        <v>0</v>
      </c>
      <c r="I1318" s="34" t="n">
        <f aca="false">+IF(E1318=0,0,E1318*0.03)</f>
        <v>0</v>
      </c>
      <c r="J1318" s="93"/>
      <c r="K1318" s="93"/>
      <c r="L1318" s="93"/>
      <c r="M1318" s="93"/>
      <c r="N1318" s="93"/>
      <c r="O1318" s="93"/>
      <c r="P1318" s="93"/>
      <c r="Q1318" s="93"/>
      <c r="R1318" s="93"/>
      <c r="S1318" s="93"/>
      <c r="T1318" s="93"/>
      <c r="U1318" s="93"/>
      <c r="V1318" s="93"/>
      <c r="W1318" s="93"/>
      <c r="X1318" s="93"/>
      <c r="Y1318" s="93"/>
      <c r="Z1318" s="93"/>
    </row>
    <row r="1319" customFormat="false" ht="16.4" hidden="false" customHeight="false" outlineLevel="0" collapsed="false">
      <c r="A1319" s="123" t="n">
        <v>45444</v>
      </c>
      <c r="B1319" s="31" t="s">
        <v>153</v>
      </c>
      <c r="C1319" s="129"/>
      <c r="D1319" s="129"/>
      <c r="E1319" s="19" t="n">
        <f aca="false">F1319*0.03</f>
        <v>0</v>
      </c>
      <c r="F1319" s="33" t="n">
        <v>0</v>
      </c>
      <c r="G1319" s="131"/>
      <c r="H1319" s="35" t="n">
        <v>0</v>
      </c>
      <c r="I1319" s="34" t="n">
        <f aca="false">+IF(E1319=0,0,E1319*0.03)</f>
        <v>0</v>
      </c>
      <c r="J1319" s="93"/>
      <c r="K1319" s="93"/>
      <c r="L1319" s="93"/>
      <c r="M1319" s="93"/>
      <c r="N1319" s="93"/>
      <c r="O1319" s="93"/>
      <c r="P1319" s="93"/>
      <c r="Q1319" s="93"/>
      <c r="R1319" s="93"/>
      <c r="S1319" s="93"/>
      <c r="T1319" s="93"/>
      <c r="U1319" s="93"/>
      <c r="V1319" s="93"/>
      <c r="W1319" s="93"/>
      <c r="X1319" s="93"/>
      <c r="Y1319" s="93"/>
      <c r="Z1319" s="93"/>
    </row>
    <row r="1320" customFormat="false" ht="16.4" hidden="false" customHeight="false" outlineLevel="0" collapsed="false">
      <c r="A1320" s="123" t="n">
        <v>45444</v>
      </c>
      <c r="B1320" s="31" t="s">
        <v>153</v>
      </c>
      <c r="C1320" s="129"/>
      <c r="D1320" s="129"/>
      <c r="E1320" s="19" t="n">
        <f aca="false">F1320*0.03</f>
        <v>0</v>
      </c>
      <c r="F1320" s="33" t="n">
        <v>0</v>
      </c>
      <c r="G1320" s="131"/>
      <c r="H1320" s="35" t="n">
        <v>0</v>
      </c>
      <c r="I1320" s="34" t="n">
        <f aca="false">+IF(E1320=0,0,E1320*0.03)</f>
        <v>0</v>
      </c>
      <c r="J1320" s="93"/>
      <c r="K1320" s="93"/>
      <c r="L1320" s="93"/>
      <c r="M1320" s="93"/>
      <c r="N1320" s="93"/>
      <c r="O1320" s="93"/>
      <c r="P1320" s="93"/>
      <c r="Q1320" s="93"/>
      <c r="R1320" s="93"/>
      <c r="S1320" s="93"/>
      <c r="T1320" s="93"/>
      <c r="U1320" s="93"/>
      <c r="V1320" s="93"/>
      <c r="W1320" s="93"/>
      <c r="X1320" s="93"/>
      <c r="Y1320" s="93"/>
      <c r="Z1320" s="93"/>
    </row>
    <row r="1321" customFormat="false" ht="16.4" hidden="false" customHeight="false" outlineLevel="0" collapsed="false">
      <c r="A1321" s="123" t="n">
        <v>45444</v>
      </c>
      <c r="B1321" s="31" t="s">
        <v>153</v>
      </c>
      <c r="C1321" s="129"/>
      <c r="D1321" s="129"/>
      <c r="E1321" s="19" t="n">
        <f aca="false">F1321*0.03</f>
        <v>0</v>
      </c>
      <c r="F1321" s="33" t="n">
        <v>0</v>
      </c>
      <c r="G1321" s="131"/>
      <c r="H1321" s="35" t="n">
        <v>0</v>
      </c>
      <c r="I1321" s="34" t="n">
        <f aca="false">+IF(E1321=0,0,E1321*0.03)</f>
        <v>0</v>
      </c>
      <c r="J1321" s="93"/>
      <c r="K1321" s="93"/>
      <c r="L1321" s="93"/>
      <c r="M1321" s="93"/>
      <c r="N1321" s="93"/>
      <c r="O1321" s="93"/>
      <c r="P1321" s="93"/>
      <c r="Q1321" s="93"/>
      <c r="R1321" s="93"/>
      <c r="S1321" s="93"/>
      <c r="T1321" s="93"/>
      <c r="U1321" s="93"/>
      <c r="V1321" s="93"/>
      <c r="W1321" s="93"/>
      <c r="X1321" s="93"/>
      <c r="Y1321" s="93"/>
      <c r="Z1321" s="93"/>
    </row>
    <row r="1322" customFormat="false" ht="16.4" hidden="false" customHeight="false" outlineLevel="0" collapsed="false">
      <c r="A1322" s="123" t="n">
        <v>45444</v>
      </c>
      <c r="B1322" s="31" t="s">
        <v>153</v>
      </c>
      <c r="C1322" s="129"/>
      <c r="D1322" s="129"/>
      <c r="E1322" s="19" t="n">
        <f aca="false">F1322*0.03</f>
        <v>0</v>
      </c>
      <c r="F1322" s="33" t="n">
        <v>0</v>
      </c>
      <c r="G1322" s="131"/>
      <c r="H1322" s="35" t="n">
        <v>0</v>
      </c>
      <c r="I1322" s="34" t="n">
        <f aca="false">+IF(E1322=0,0,E1322*0.03)</f>
        <v>0</v>
      </c>
      <c r="J1322" s="93"/>
      <c r="K1322" s="93"/>
      <c r="L1322" s="93"/>
      <c r="M1322" s="93"/>
      <c r="N1322" s="93"/>
      <c r="O1322" s="93"/>
      <c r="P1322" s="93"/>
      <c r="Q1322" s="93"/>
      <c r="R1322" s="93"/>
      <c r="S1322" s="93"/>
      <c r="T1322" s="93"/>
      <c r="U1322" s="93"/>
      <c r="V1322" s="93"/>
      <c r="W1322" s="93"/>
      <c r="X1322" s="93"/>
      <c r="Y1322" s="93"/>
      <c r="Z1322" s="93"/>
    </row>
    <row r="1323" customFormat="false" ht="16.4" hidden="false" customHeight="false" outlineLevel="0" collapsed="false">
      <c r="A1323" s="123" t="n">
        <v>45444</v>
      </c>
      <c r="B1323" s="31" t="s">
        <v>153</v>
      </c>
      <c r="C1323" s="129"/>
      <c r="D1323" s="129"/>
      <c r="E1323" s="19" t="n">
        <f aca="false">F1323*0.03</f>
        <v>0</v>
      </c>
      <c r="F1323" s="33" t="n">
        <v>0</v>
      </c>
      <c r="G1323" s="131"/>
      <c r="H1323" s="35" t="n">
        <v>0</v>
      </c>
      <c r="I1323" s="34" t="n">
        <f aca="false">+IF(E1323=0,0,E1323*0.03)</f>
        <v>0</v>
      </c>
      <c r="J1323" s="93"/>
      <c r="K1323" s="93"/>
      <c r="L1323" s="93"/>
      <c r="M1323" s="93"/>
      <c r="N1323" s="93"/>
      <c r="O1323" s="93"/>
      <c r="P1323" s="93"/>
      <c r="Q1323" s="93"/>
      <c r="R1323" s="93"/>
      <c r="S1323" s="93"/>
      <c r="T1323" s="93"/>
      <c r="U1323" s="93"/>
      <c r="V1323" s="93"/>
      <c r="W1323" s="93"/>
      <c r="X1323" s="93"/>
      <c r="Y1323" s="93"/>
      <c r="Z1323" s="93"/>
    </row>
    <row r="1324" customFormat="false" ht="16.4" hidden="false" customHeight="false" outlineLevel="0" collapsed="false">
      <c r="A1324" s="123" t="n">
        <v>45444</v>
      </c>
      <c r="B1324" s="31" t="s">
        <v>153</v>
      </c>
      <c r="C1324" s="129"/>
      <c r="D1324" s="129"/>
      <c r="E1324" s="19" t="n">
        <f aca="false">F1324*0.03</f>
        <v>0</v>
      </c>
      <c r="F1324" s="33" t="n">
        <v>0</v>
      </c>
      <c r="G1324" s="131"/>
      <c r="H1324" s="35" t="n">
        <v>0</v>
      </c>
      <c r="I1324" s="34" t="n">
        <f aca="false">+IF(E1324=0,0,E1324*0.03)</f>
        <v>0</v>
      </c>
      <c r="J1324" s="93"/>
      <c r="K1324" s="93"/>
      <c r="L1324" s="93"/>
      <c r="M1324" s="93"/>
      <c r="N1324" s="93"/>
      <c r="O1324" s="93"/>
      <c r="P1324" s="93"/>
      <c r="Q1324" s="93"/>
      <c r="R1324" s="93"/>
      <c r="S1324" s="93"/>
      <c r="T1324" s="93"/>
      <c r="U1324" s="93"/>
      <c r="V1324" s="93"/>
      <c r="W1324" s="93"/>
      <c r="X1324" s="93"/>
      <c r="Y1324" s="93"/>
      <c r="Z1324" s="93"/>
    </row>
    <row r="1325" customFormat="false" ht="16.4" hidden="false" customHeight="false" outlineLevel="0" collapsed="false">
      <c r="A1325" s="123" t="n">
        <v>45444</v>
      </c>
      <c r="B1325" s="31" t="s">
        <v>153</v>
      </c>
      <c r="C1325" s="129"/>
      <c r="D1325" s="129"/>
      <c r="E1325" s="19" t="n">
        <f aca="false">F1325*0.03</f>
        <v>0</v>
      </c>
      <c r="F1325" s="33" t="n">
        <v>0</v>
      </c>
      <c r="G1325" s="131"/>
      <c r="H1325" s="35" t="n">
        <v>0</v>
      </c>
      <c r="I1325" s="34" t="n">
        <f aca="false">+IF(E1325=0,0,E1325*0.03)</f>
        <v>0</v>
      </c>
      <c r="J1325" s="93"/>
      <c r="K1325" s="93"/>
      <c r="L1325" s="93"/>
      <c r="M1325" s="93"/>
      <c r="N1325" s="93"/>
      <c r="O1325" s="93"/>
      <c r="P1325" s="93"/>
      <c r="Q1325" s="93"/>
      <c r="R1325" s="93"/>
      <c r="S1325" s="93"/>
      <c r="T1325" s="93"/>
      <c r="U1325" s="93"/>
      <c r="V1325" s="93"/>
      <c r="W1325" s="93"/>
      <c r="X1325" s="93"/>
      <c r="Y1325" s="93"/>
      <c r="Z1325" s="93"/>
    </row>
    <row r="1326" customFormat="false" ht="16.4" hidden="false" customHeight="false" outlineLevel="0" collapsed="false">
      <c r="A1326" s="123" t="n">
        <v>45444</v>
      </c>
      <c r="B1326" s="31" t="s">
        <v>153</v>
      </c>
      <c r="C1326" s="129"/>
      <c r="D1326" s="129"/>
      <c r="E1326" s="19" t="n">
        <f aca="false">F1326*0.03</f>
        <v>0</v>
      </c>
      <c r="F1326" s="33" t="n">
        <v>0</v>
      </c>
      <c r="G1326" s="131"/>
      <c r="H1326" s="35" t="n">
        <v>0</v>
      </c>
      <c r="I1326" s="34" t="n">
        <f aca="false">+IF(E1326=0,0,E1326*0.03)</f>
        <v>0</v>
      </c>
      <c r="J1326" s="93"/>
      <c r="K1326" s="93"/>
      <c r="L1326" s="93"/>
      <c r="M1326" s="93"/>
      <c r="N1326" s="93"/>
      <c r="O1326" s="93"/>
      <c r="P1326" s="93"/>
      <c r="Q1326" s="93"/>
      <c r="R1326" s="93"/>
      <c r="S1326" s="93"/>
      <c r="T1326" s="93"/>
      <c r="U1326" s="93"/>
      <c r="V1326" s="93"/>
      <c r="W1326" s="93"/>
      <c r="X1326" s="93"/>
      <c r="Y1326" s="93"/>
      <c r="Z1326" s="93"/>
    </row>
    <row r="1327" customFormat="false" ht="16.4" hidden="false" customHeight="false" outlineLevel="0" collapsed="false">
      <c r="A1327" s="123" t="n">
        <v>45444</v>
      </c>
      <c r="B1327" s="31" t="s">
        <v>153</v>
      </c>
      <c r="C1327" s="129"/>
      <c r="D1327" s="129"/>
      <c r="E1327" s="19" t="n">
        <f aca="false">F1327*0.03</f>
        <v>0</v>
      </c>
      <c r="F1327" s="33" t="n">
        <v>0</v>
      </c>
      <c r="G1327" s="131"/>
      <c r="H1327" s="35" t="n">
        <v>0</v>
      </c>
      <c r="I1327" s="34" t="n">
        <f aca="false">+IF(E1327=0,0,E1327*0.03)</f>
        <v>0</v>
      </c>
      <c r="J1327" s="93"/>
      <c r="K1327" s="93"/>
      <c r="L1327" s="93"/>
      <c r="M1327" s="93"/>
      <c r="N1327" s="93"/>
      <c r="O1327" s="93"/>
      <c r="P1327" s="93"/>
      <c r="Q1327" s="93"/>
      <c r="R1327" s="93"/>
      <c r="S1327" s="93"/>
      <c r="T1327" s="93"/>
      <c r="U1327" s="93"/>
      <c r="V1327" s="93"/>
      <c r="W1327" s="93"/>
      <c r="X1327" s="93"/>
      <c r="Y1327" s="93"/>
      <c r="Z1327" s="93"/>
    </row>
    <row r="1328" customFormat="false" ht="16.4" hidden="false" customHeight="false" outlineLevel="0" collapsed="false">
      <c r="A1328" s="123" t="n">
        <v>45444</v>
      </c>
      <c r="B1328" s="31" t="s">
        <v>153</v>
      </c>
      <c r="C1328" s="129"/>
      <c r="D1328" s="129"/>
      <c r="E1328" s="19" t="n">
        <f aca="false">F1328*0.03</f>
        <v>0</v>
      </c>
      <c r="F1328" s="33" t="n">
        <v>0</v>
      </c>
      <c r="G1328" s="131"/>
      <c r="H1328" s="35" t="n">
        <v>0</v>
      </c>
      <c r="I1328" s="34" t="n">
        <f aca="false">+IF(E1328=0,0,E1328*0.03)</f>
        <v>0</v>
      </c>
      <c r="J1328" s="93"/>
      <c r="K1328" s="93"/>
      <c r="L1328" s="93"/>
      <c r="M1328" s="93"/>
      <c r="N1328" s="93"/>
      <c r="O1328" s="93"/>
      <c r="P1328" s="93"/>
      <c r="Q1328" s="93"/>
      <c r="R1328" s="93"/>
      <c r="S1328" s="93"/>
      <c r="T1328" s="93"/>
      <c r="U1328" s="93"/>
      <c r="V1328" s="93"/>
      <c r="W1328" s="93"/>
      <c r="X1328" s="93"/>
      <c r="Y1328" s="93"/>
      <c r="Z1328" s="93"/>
    </row>
    <row r="1329" customFormat="false" ht="16.4" hidden="false" customHeight="false" outlineLevel="0" collapsed="false">
      <c r="A1329" s="123" t="n">
        <v>45444</v>
      </c>
      <c r="B1329" s="31" t="s">
        <v>153</v>
      </c>
      <c r="C1329" s="129"/>
      <c r="D1329" s="129"/>
      <c r="E1329" s="19" t="n">
        <f aca="false">F1329*0.03</f>
        <v>0</v>
      </c>
      <c r="F1329" s="33" t="n">
        <v>0</v>
      </c>
      <c r="G1329" s="131"/>
      <c r="H1329" s="35" t="n">
        <v>0</v>
      </c>
      <c r="I1329" s="34" t="n">
        <f aca="false">+IF(E1329=0,0,E1329*0.03)</f>
        <v>0</v>
      </c>
      <c r="J1329" s="93"/>
      <c r="K1329" s="93"/>
      <c r="L1329" s="93"/>
      <c r="M1329" s="93"/>
      <c r="N1329" s="93"/>
      <c r="O1329" s="93"/>
      <c r="P1329" s="93"/>
      <c r="Q1329" s="93"/>
      <c r="R1329" s="93"/>
      <c r="S1329" s="93"/>
      <c r="T1329" s="93"/>
      <c r="U1329" s="93"/>
      <c r="V1329" s="93"/>
      <c r="W1329" s="93"/>
      <c r="X1329" s="93"/>
      <c r="Y1329" s="93"/>
      <c r="Z1329" s="93"/>
    </row>
    <row r="1330" customFormat="false" ht="16.4" hidden="false" customHeight="false" outlineLevel="0" collapsed="false">
      <c r="A1330" s="123" t="n">
        <v>45444</v>
      </c>
      <c r="B1330" s="31" t="s">
        <v>153</v>
      </c>
      <c r="C1330" s="129"/>
      <c r="D1330" s="129"/>
      <c r="E1330" s="19" t="n">
        <f aca="false">F1330*0.03</f>
        <v>0</v>
      </c>
      <c r="F1330" s="33" t="n">
        <v>0</v>
      </c>
      <c r="G1330" s="131"/>
      <c r="H1330" s="35" t="n">
        <v>0</v>
      </c>
      <c r="I1330" s="34" t="n">
        <f aca="false">+IF(E1330=0,0,E1330*0.03)</f>
        <v>0</v>
      </c>
      <c r="J1330" s="93"/>
      <c r="K1330" s="93"/>
      <c r="L1330" s="93"/>
      <c r="M1330" s="93"/>
      <c r="N1330" s="93"/>
      <c r="O1330" s="93"/>
      <c r="P1330" s="93"/>
      <c r="Q1330" s="93"/>
      <c r="R1330" s="93"/>
      <c r="S1330" s="93"/>
      <c r="T1330" s="93"/>
      <c r="U1330" s="93"/>
      <c r="V1330" s="93"/>
      <c r="W1330" s="93"/>
      <c r="X1330" s="93"/>
      <c r="Y1330" s="93"/>
      <c r="Z1330" s="93"/>
    </row>
    <row r="1331" customFormat="false" ht="16.4" hidden="false" customHeight="false" outlineLevel="0" collapsed="false">
      <c r="A1331" s="123" t="n">
        <v>45444</v>
      </c>
      <c r="B1331" s="31" t="s">
        <v>153</v>
      </c>
      <c r="C1331" s="129"/>
      <c r="D1331" s="129"/>
      <c r="E1331" s="19" t="n">
        <f aca="false">F1331*0.03</f>
        <v>0</v>
      </c>
      <c r="F1331" s="33" t="n">
        <v>0</v>
      </c>
      <c r="G1331" s="131"/>
      <c r="H1331" s="35" t="n">
        <v>0</v>
      </c>
      <c r="I1331" s="34" t="n">
        <f aca="false">+IF(E1331=0,0,E1331*0.03)</f>
        <v>0</v>
      </c>
      <c r="J1331" s="93"/>
      <c r="K1331" s="93"/>
      <c r="L1331" s="93"/>
      <c r="M1331" s="93"/>
      <c r="N1331" s="93"/>
      <c r="O1331" s="93"/>
      <c r="P1331" s="93"/>
      <c r="Q1331" s="93"/>
      <c r="R1331" s="93"/>
      <c r="S1331" s="93"/>
      <c r="T1331" s="93"/>
      <c r="U1331" s="93"/>
      <c r="V1331" s="93"/>
      <c r="W1331" s="93"/>
      <c r="X1331" s="93"/>
      <c r="Y1331" s="93"/>
      <c r="Z1331" s="93"/>
    </row>
    <row r="1332" customFormat="false" ht="16.4" hidden="false" customHeight="false" outlineLevel="0" collapsed="false">
      <c r="A1332" s="123" t="n">
        <v>45444</v>
      </c>
      <c r="B1332" s="31" t="s">
        <v>153</v>
      </c>
      <c r="C1332" s="129"/>
      <c r="D1332" s="129"/>
      <c r="E1332" s="19" t="n">
        <f aca="false">F1332*0.03</f>
        <v>0</v>
      </c>
      <c r="F1332" s="33" t="n">
        <v>0</v>
      </c>
      <c r="G1332" s="131"/>
      <c r="H1332" s="35" t="n">
        <v>0</v>
      </c>
      <c r="I1332" s="34" t="n">
        <f aca="false">+IF(E1332=0,0,E1332*0.03)</f>
        <v>0</v>
      </c>
      <c r="J1332" s="93"/>
      <c r="K1332" s="93"/>
      <c r="L1332" s="93"/>
      <c r="M1332" s="93"/>
      <c r="N1332" s="93"/>
      <c r="O1332" s="93"/>
      <c r="P1332" s="93"/>
      <c r="Q1332" s="93"/>
      <c r="R1332" s="93"/>
      <c r="S1332" s="93"/>
      <c r="T1332" s="93"/>
      <c r="U1332" s="93"/>
      <c r="V1332" s="93"/>
      <c r="W1332" s="93"/>
      <c r="X1332" s="93"/>
      <c r="Y1332" s="93"/>
      <c r="Z1332" s="93"/>
    </row>
    <row r="1333" customFormat="false" ht="16.4" hidden="false" customHeight="false" outlineLevel="0" collapsed="false">
      <c r="A1333" s="123" t="n">
        <v>45444</v>
      </c>
      <c r="B1333" s="31" t="s">
        <v>153</v>
      </c>
      <c r="C1333" s="129"/>
      <c r="D1333" s="129"/>
      <c r="E1333" s="19" t="n">
        <f aca="false">F1333*0.03</f>
        <v>0</v>
      </c>
      <c r="F1333" s="33" t="n">
        <v>0</v>
      </c>
      <c r="G1333" s="131"/>
      <c r="H1333" s="35" t="n">
        <v>0</v>
      </c>
      <c r="I1333" s="34" t="n">
        <f aca="false">+IF(E1333=0,0,E1333*0.03)</f>
        <v>0</v>
      </c>
      <c r="J1333" s="93"/>
      <c r="K1333" s="93"/>
      <c r="L1333" s="93"/>
      <c r="M1333" s="93"/>
      <c r="N1333" s="93"/>
      <c r="O1333" s="93"/>
      <c r="P1333" s="93"/>
      <c r="Q1333" s="93"/>
      <c r="R1333" s="93"/>
      <c r="S1333" s="93"/>
      <c r="T1333" s="93"/>
      <c r="U1333" s="93"/>
      <c r="V1333" s="93"/>
      <c r="W1333" s="93"/>
      <c r="X1333" s="93"/>
      <c r="Y1333" s="93"/>
      <c r="Z1333" s="93"/>
    </row>
    <row r="1334" customFormat="false" ht="16.4" hidden="false" customHeight="false" outlineLevel="0" collapsed="false">
      <c r="A1334" s="123" t="n">
        <v>45444</v>
      </c>
      <c r="B1334" s="31" t="s">
        <v>153</v>
      </c>
      <c r="C1334" s="129"/>
      <c r="D1334" s="129"/>
      <c r="E1334" s="19" t="n">
        <f aca="false">F1334*0.03</f>
        <v>0</v>
      </c>
      <c r="F1334" s="33" t="n">
        <v>0</v>
      </c>
      <c r="G1334" s="131"/>
      <c r="H1334" s="35" t="n">
        <v>0</v>
      </c>
      <c r="I1334" s="34" t="n">
        <f aca="false">+IF(E1334=0,0,E1334*0.03)</f>
        <v>0</v>
      </c>
      <c r="J1334" s="93"/>
      <c r="K1334" s="93"/>
      <c r="L1334" s="93"/>
      <c r="M1334" s="93"/>
      <c r="N1334" s="93"/>
      <c r="O1334" s="93"/>
      <c r="P1334" s="93"/>
      <c r="Q1334" s="93"/>
      <c r="R1334" s="93"/>
      <c r="S1334" s="93"/>
      <c r="T1334" s="93"/>
      <c r="U1334" s="93"/>
      <c r="V1334" s="93"/>
      <c r="W1334" s="93"/>
      <c r="X1334" s="93"/>
      <c r="Y1334" s="93"/>
      <c r="Z1334" s="93"/>
    </row>
    <row r="1335" customFormat="false" ht="16.4" hidden="false" customHeight="false" outlineLevel="0" collapsed="false">
      <c r="A1335" s="123" t="n">
        <v>45444</v>
      </c>
      <c r="B1335" s="31" t="s">
        <v>153</v>
      </c>
      <c r="C1335" s="129"/>
      <c r="D1335" s="129"/>
      <c r="E1335" s="19" t="n">
        <f aca="false">F1335*0.03</f>
        <v>0</v>
      </c>
      <c r="F1335" s="33" t="n">
        <v>0</v>
      </c>
      <c r="G1335" s="131"/>
      <c r="H1335" s="35" t="n">
        <v>0</v>
      </c>
      <c r="I1335" s="34" t="n">
        <f aca="false">+IF(E1335=0,0,E1335*0.03)</f>
        <v>0</v>
      </c>
      <c r="J1335" s="93"/>
      <c r="K1335" s="93"/>
      <c r="L1335" s="93"/>
      <c r="M1335" s="93"/>
      <c r="N1335" s="93"/>
      <c r="O1335" s="93"/>
      <c r="P1335" s="93"/>
      <c r="Q1335" s="93"/>
      <c r="R1335" s="93"/>
      <c r="S1335" s="93"/>
      <c r="T1335" s="93"/>
      <c r="U1335" s="93"/>
      <c r="V1335" s="93"/>
      <c r="W1335" s="93"/>
      <c r="X1335" s="93"/>
      <c r="Y1335" s="93"/>
      <c r="Z1335" s="93"/>
    </row>
    <row r="1336" customFormat="false" ht="16.4" hidden="false" customHeight="false" outlineLevel="0" collapsed="false">
      <c r="A1336" s="123" t="n">
        <v>45444</v>
      </c>
      <c r="B1336" s="31" t="s">
        <v>153</v>
      </c>
      <c r="C1336" s="129"/>
      <c r="D1336" s="129"/>
      <c r="E1336" s="19" t="n">
        <f aca="false">F1336*0.03</f>
        <v>0</v>
      </c>
      <c r="F1336" s="33" t="n">
        <v>0</v>
      </c>
      <c r="G1336" s="131"/>
      <c r="H1336" s="35" t="n">
        <v>0</v>
      </c>
      <c r="I1336" s="34" t="n">
        <f aca="false">+IF(E1336=0,0,E1336*0.03)</f>
        <v>0</v>
      </c>
      <c r="J1336" s="93"/>
      <c r="K1336" s="93"/>
      <c r="L1336" s="93"/>
      <c r="M1336" s="93"/>
      <c r="N1336" s="93"/>
      <c r="O1336" s="93"/>
      <c r="P1336" s="93"/>
      <c r="Q1336" s="93"/>
      <c r="R1336" s="93"/>
      <c r="S1336" s="93"/>
      <c r="T1336" s="93"/>
      <c r="U1336" s="93"/>
      <c r="V1336" s="93"/>
      <c r="W1336" s="93"/>
      <c r="X1336" s="93"/>
      <c r="Y1336" s="93"/>
      <c r="Z1336" s="93"/>
    </row>
    <row r="1337" customFormat="false" ht="16.4" hidden="false" customHeight="false" outlineLevel="0" collapsed="false">
      <c r="A1337" s="123" t="n">
        <v>45444</v>
      </c>
      <c r="B1337" s="31" t="s">
        <v>153</v>
      </c>
      <c r="C1337" s="129"/>
      <c r="D1337" s="129"/>
      <c r="E1337" s="19" t="n">
        <f aca="false">F1337*0.03</f>
        <v>0</v>
      </c>
      <c r="F1337" s="33" t="n">
        <v>0</v>
      </c>
      <c r="G1337" s="131"/>
      <c r="H1337" s="35" t="n">
        <v>0</v>
      </c>
      <c r="I1337" s="34" t="n">
        <f aca="false">+IF(E1337=0,0,E1337*0.03)</f>
        <v>0</v>
      </c>
      <c r="J1337" s="93"/>
      <c r="K1337" s="93"/>
      <c r="L1337" s="93"/>
      <c r="M1337" s="93"/>
      <c r="N1337" s="93"/>
      <c r="O1337" s="93"/>
      <c r="P1337" s="93"/>
      <c r="Q1337" s="93"/>
      <c r="R1337" s="93"/>
      <c r="S1337" s="93"/>
      <c r="T1337" s="93"/>
      <c r="U1337" s="93"/>
      <c r="V1337" s="93"/>
      <c r="W1337" s="93"/>
      <c r="X1337" s="93"/>
      <c r="Y1337" s="93"/>
      <c r="Z1337" s="93"/>
    </row>
    <row r="1338" customFormat="false" ht="16.4" hidden="false" customHeight="false" outlineLevel="0" collapsed="false">
      <c r="A1338" s="123" t="n">
        <v>45444</v>
      </c>
      <c r="B1338" s="31" t="s">
        <v>153</v>
      </c>
      <c r="C1338" s="129"/>
      <c r="D1338" s="129"/>
      <c r="E1338" s="19" t="n">
        <f aca="false">F1338*0.03</f>
        <v>0</v>
      </c>
      <c r="F1338" s="33" t="n">
        <v>0</v>
      </c>
      <c r="G1338" s="131"/>
      <c r="H1338" s="35" t="n">
        <v>0</v>
      </c>
      <c r="I1338" s="34" t="n">
        <f aca="false">+IF(E1338=0,0,E1338*0.03)</f>
        <v>0</v>
      </c>
      <c r="J1338" s="93"/>
      <c r="K1338" s="93"/>
      <c r="L1338" s="93"/>
      <c r="M1338" s="93"/>
      <c r="N1338" s="93"/>
      <c r="O1338" s="93"/>
      <c r="P1338" s="93"/>
      <c r="Q1338" s="93"/>
      <c r="R1338" s="93"/>
      <c r="S1338" s="93"/>
      <c r="T1338" s="93"/>
      <c r="U1338" s="93"/>
      <c r="V1338" s="93"/>
      <c r="W1338" s="93"/>
      <c r="X1338" s="93"/>
      <c r="Y1338" s="93"/>
      <c r="Z1338" s="93"/>
    </row>
    <row r="1339" customFormat="false" ht="16.4" hidden="false" customHeight="false" outlineLevel="0" collapsed="false">
      <c r="A1339" s="123" t="n">
        <v>45444</v>
      </c>
      <c r="B1339" s="31" t="s">
        <v>153</v>
      </c>
      <c r="C1339" s="129"/>
      <c r="D1339" s="129"/>
      <c r="E1339" s="19" t="n">
        <f aca="false">F1339*0.03</f>
        <v>0</v>
      </c>
      <c r="F1339" s="33" t="n">
        <v>0</v>
      </c>
      <c r="G1339" s="131"/>
      <c r="H1339" s="35" t="n">
        <v>0</v>
      </c>
      <c r="I1339" s="34" t="n">
        <f aca="false">+IF(E1339=0,0,E1339*0.03)</f>
        <v>0</v>
      </c>
      <c r="J1339" s="93"/>
      <c r="K1339" s="93"/>
      <c r="L1339" s="93"/>
      <c r="M1339" s="93"/>
      <c r="N1339" s="93"/>
      <c r="O1339" s="93"/>
      <c r="P1339" s="93"/>
      <c r="Q1339" s="93"/>
      <c r="R1339" s="93"/>
      <c r="S1339" s="93"/>
      <c r="T1339" s="93"/>
      <c r="U1339" s="93"/>
      <c r="V1339" s="93"/>
      <c r="W1339" s="93"/>
      <c r="X1339" s="93"/>
      <c r="Y1339" s="93"/>
      <c r="Z1339" s="93"/>
    </row>
    <row r="1340" customFormat="false" ht="16.4" hidden="false" customHeight="false" outlineLevel="0" collapsed="false">
      <c r="A1340" s="123" t="n">
        <v>45444</v>
      </c>
      <c r="B1340" s="31" t="s">
        <v>153</v>
      </c>
      <c r="C1340" s="129"/>
      <c r="D1340" s="129"/>
      <c r="E1340" s="19" t="n">
        <f aca="false">F1340*0.03</f>
        <v>0</v>
      </c>
      <c r="F1340" s="33" t="n">
        <v>0</v>
      </c>
      <c r="G1340" s="131"/>
      <c r="H1340" s="35" t="n">
        <v>0</v>
      </c>
      <c r="I1340" s="34" t="n">
        <f aca="false">+IF(E1340=0,0,E1340*0.03)</f>
        <v>0</v>
      </c>
      <c r="J1340" s="93"/>
      <c r="K1340" s="93"/>
      <c r="L1340" s="93"/>
      <c r="M1340" s="93"/>
      <c r="N1340" s="93"/>
      <c r="O1340" s="93"/>
      <c r="P1340" s="93"/>
      <c r="Q1340" s="93"/>
      <c r="R1340" s="93"/>
      <c r="S1340" s="93"/>
      <c r="T1340" s="93"/>
      <c r="U1340" s="93"/>
      <c r="V1340" s="93"/>
      <c r="W1340" s="93"/>
      <c r="X1340" s="93"/>
      <c r="Y1340" s="93"/>
      <c r="Z1340" s="93"/>
    </row>
    <row r="1341" customFormat="false" ht="16.4" hidden="false" customHeight="false" outlineLevel="0" collapsed="false">
      <c r="A1341" s="123" t="n">
        <v>45444</v>
      </c>
      <c r="B1341" s="31" t="s">
        <v>153</v>
      </c>
      <c r="C1341" s="129"/>
      <c r="D1341" s="129"/>
      <c r="E1341" s="19" t="n">
        <f aca="false">F1341*0.03</f>
        <v>0</v>
      </c>
      <c r="F1341" s="33" t="n">
        <v>0</v>
      </c>
      <c r="G1341" s="131"/>
      <c r="H1341" s="35" t="n">
        <v>0</v>
      </c>
      <c r="I1341" s="34" t="n">
        <f aca="false">+IF(E1341=0,0,E1341*0.03)</f>
        <v>0</v>
      </c>
      <c r="J1341" s="93"/>
      <c r="K1341" s="93"/>
      <c r="L1341" s="93"/>
      <c r="M1341" s="93"/>
      <c r="N1341" s="93"/>
      <c r="O1341" s="93"/>
      <c r="P1341" s="93"/>
      <c r="Q1341" s="93"/>
      <c r="R1341" s="93"/>
      <c r="S1341" s="93"/>
      <c r="T1341" s="93"/>
      <c r="U1341" s="93"/>
      <c r="V1341" s="93"/>
      <c r="W1341" s="93"/>
      <c r="X1341" s="93"/>
      <c r="Y1341" s="93"/>
      <c r="Z1341" s="93"/>
    </row>
    <row r="1342" customFormat="false" ht="16.4" hidden="false" customHeight="false" outlineLevel="0" collapsed="false">
      <c r="A1342" s="123" t="n">
        <v>45444</v>
      </c>
      <c r="B1342" s="31" t="s">
        <v>153</v>
      </c>
      <c r="C1342" s="129"/>
      <c r="D1342" s="129"/>
      <c r="E1342" s="19" t="n">
        <f aca="false">F1342*0.03</f>
        <v>0</v>
      </c>
      <c r="F1342" s="33" t="n">
        <v>0</v>
      </c>
      <c r="G1342" s="131"/>
      <c r="H1342" s="35" t="n">
        <v>0</v>
      </c>
      <c r="I1342" s="34" t="n">
        <f aca="false">+IF(E1342=0,0,E1342*0.03)</f>
        <v>0</v>
      </c>
      <c r="J1342" s="93"/>
      <c r="K1342" s="93"/>
      <c r="L1342" s="93"/>
      <c r="M1342" s="93"/>
      <c r="N1342" s="93"/>
      <c r="O1342" s="93"/>
      <c r="P1342" s="93"/>
      <c r="Q1342" s="93"/>
      <c r="R1342" s="93"/>
      <c r="S1342" s="93"/>
      <c r="T1342" s="93"/>
      <c r="U1342" s="93"/>
      <c r="V1342" s="93"/>
      <c r="W1342" s="93"/>
      <c r="X1342" s="93"/>
      <c r="Y1342" s="93"/>
      <c r="Z1342" s="93"/>
    </row>
    <row r="1343" customFormat="false" ht="16.4" hidden="false" customHeight="false" outlineLevel="0" collapsed="false">
      <c r="A1343" s="123" t="n">
        <v>45444</v>
      </c>
      <c r="B1343" s="31" t="s">
        <v>153</v>
      </c>
      <c r="C1343" s="129"/>
      <c r="D1343" s="129"/>
      <c r="E1343" s="19" t="n">
        <f aca="false">F1343*0.03</f>
        <v>0</v>
      </c>
      <c r="F1343" s="33" t="n">
        <v>0</v>
      </c>
      <c r="G1343" s="131"/>
      <c r="H1343" s="35" t="n">
        <v>0</v>
      </c>
      <c r="I1343" s="34" t="n">
        <f aca="false">+IF(E1343=0,0,E1343*0.03)</f>
        <v>0</v>
      </c>
      <c r="J1343" s="93"/>
      <c r="K1343" s="93"/>
      <c r="L1343" s="93"/>
      <c r="M1343" s="93"/>
      <c r="N1343" s="93"/>
      <c r="O1343" s="93"/>
      <c r="P1343" s="93"/>
      <c r="Q1343" s="93"/>
      <c r="R1343" s="93"/>
      <c r="S1343" s="93"/>
      <c r="T1343" s="93"/>
      <c r="U1343" s="93"/>
      <c r="V1343" s="93"/>
      <c r="W1343" s="93"/>
      <c r="X1343" s="93"/>
      <c r="Y1343" s="93"/>
      <c r="Z1343" s="93"/>
    </row>
    <row r="1344" customFormat="false" ht="16.4" hidden="false" customHeight="false" outlineLevel="0" collapsed="false">
      <c r="A1344" s="123" t="n">
        <v>45444</v>
      </c>
      <c r="B1344" s="31" t="s">
        <v>153</v>
      </c>
      <c r="C1344" s="129"/>
      <c r="D1344" s="129"/>
      <c r="E1344" s="19" t="n">
        <f aca="false">F1344*0.03</f>
        <v>0</v>
      </c>
      <c r="F1344" s="33" t="n">
        <v>0</v>
      </c>
      <c r="G1344" s="131"/>
      <c r="H1344" s="35" t="n">
        <v>0</v>
      </c>
      <c r="I1344" s="34" t="n">
        <f aca="false">+IF(E1344=0,0,E1344*0.03)</f>
        <v>0</v>
      </c>
      <c r="J1344" s="93"/>
      <c r="K1344" s="93"/>
      <c r="L1344" s="93"/>
      <c r="M1344" s="93"/>
      <c r="N1344" s="93"/>
      <c r="O1344" s="93"/>
      <c r="P1344" s="93"/>
      <c r="Q1344" s="93"/>
      <c r="R1344" s="93"/>
      <c r="S1344" s="93"/>
      <c r="T1344" s="93"/>
      <c r="U1344" s="93"/>
      <c r="V1344" s="93"/>
      <c r="W1344" s="93"/>
      <c r="X1344" s="93"/>
      <c r="Y1344" s="93"/>
      <c r="Z1344" s="93"/>
    </row>
    <row r="1345" customFormat="false" ht="16.4" hidden="false" customHeight="false" outlineLevel="0" collapsed="false">
      <c r="A1345" s="123" t="n">
        <v>45444</v>
      </c>
      <c r="B1345" s="31" t="s">
        <v>153</v>
      </c>
      <c r="C1345" s="129"/>
      <c r="D1345" s="129"/>
      <c r="E1345" s="19" t="n">
        <f aca="false">F1345*0.03</f>
        <v>0</v>
      </c>
      <c r="F1345" s="33" t="n">
        <v>0</v>
      </c>
      <c r="G1345" s="131"/>
      <c r="H1345" s="35" t="n">
        <v>0</v>
      </c>
      <c r="I1345" s="34" t="n">
        <f aca="false">+IF(E1345=0,0,E1345*0.03)</f>
        <v>0</v>
      </c>
      <c r="J1345" s="93"/>
      <c r="K1345" s="93"/>
      <c r="L1345" s="93"/>
      <c r="M1345" s="93"/>
      <c r="N1345" s="93"/>
      <c r="O1345" s="93"/>
      <c r="P1345" s="93"/>
      <c r="Q1345" s="93"/>
      <c r="R1345" s="93"/>
      <c r="S1345" s="93"/>
      <c r="T1345" s="93"/>
      <c r="U1345" s="93"/>
      <c r="V1345" s="93"/>
      <c r="W1345" s="93"/>
      <c r="X1345" s="93"/>
      <c r="Y1345" s="93"/>
      <c r="Z1345" s="93"/>
    </row>
    <row r="1346" customFormat="false" ht="16.4" hidden="false" customHeight="false" outlineLevel="0" collapsed="false">
      <c r="A1346" s="123" t="n">
        <v>45444</v>
      </c>
      <c r="B1346" s="31" t="s">
        <v>153</v>
      </c>
      <c r="C1346" s="129"/>
      <c r="D1346" s="129"/>
      <c r="E1346" s="19" t="n">
        <f aca="false">F1346*0.03</f>
        <v>0</v>
      </c>
      <c r="F1346" s="33" t="n">
        <v>0</v>
      </c>
      <c r="G1346" s="131"/>
      <c r="H1346" s="35" t="n">
        <v>0</v>
      </c>
      <c r="I1346" s="34" t="n">
        <f aca="false">+IF(E1346=0,0,E1346*0.03)</f>
        <v>0</v>
      </c>
      <c r="J1346" s="93"/>
      <c r="K1346" s="93"/>
      <c r="L1346" s="93"/>
      <c r="M1346" s="93"/>
      <c r="N1346" s="93"/>
      <c r="O1346" s="93"/>
      <c r="P1346" s="93"/>
      <c r="Q1346" s="93"/>
      <c r="R1346" s="93"/>
      <c r="S1346" s="93"/>
      <c r="T1346" s="93"/>
      <c r="U1346" s="93"/>
      <c r="V1346" s="93"/>
      <c r="W1346" s="93"/>
      <c r="X1346" s="93"/>
      <c r="Y1346" s="93"/>
      <c r="Z1346" s="93"/>
    </row>
    <row r="1347" customFormat="false" ht="16.4" hidden="false" customHeight="false" outlineLevel="0" collapsed="false">
      <c r="A1347" s="123" t="n">
        <v>45444</v>
      </c>
      <c r="B1347" s="31" t="s">
        <v>153</v>
      </c>
      <c r="C1347" s="129"/>
      <c r="D1347" s="129"/>
      <c r="E1347" s="19" t="n">
        <f aca="false">F1347*0.03</f>
        <v>0</v>
      </c>
      <c r="F1347" s="33" t="n">
        <v>0</v>
      </c>
      <c r="G1347" s="131"/>
      <c r="H1347" s="35" t="n">
        <v>0</v>
      </c>
      <c r="I1347" s="34" t="n">
        <f aca="false">+IF(E1347=0,0,E1347*0.03)</f>
        <v>0</v>
      </c>
      <c r="J1347" s="93"/>
      <c r="K1347" s="93"/>
      <c r="L1347" s="93"/>
      <c r="M1347" s="93"/>
      <c r="N1347" s="93"/>
      <c r="O1347" s="93"/>
      <c r="P1347" s="93"/>
      <c r="Q1347" s="93"/>
      <c r="R1347" s="93"/>
      <c r="S1347" s="93"/>
      <c r="T1347" s="93"/>
      <c r="U1347" s="93"/>
      <c r="V1347" s="93"/>
      <c r="W1347" s="93"/>
      <c r="X1347" s="93"/>
      <c r="Y1347" s="93"/>
      <c r="Z1347" s="93"/>
    </row>
    <row r="1348" customFormat="false" ht="16.4" hidden="false" customHeight="false" outlineLevel="0" collapsed="false">
      <c r="A1348" s="123" t="n">
        <v>45444</v>
      </c>
      <c r="B1348" s="31" t="s">
        <v>153</v>
      </c>
      <c r="C1348" s="129"/>
      <c r="D1348" s="129"/>
      <c r="E1348" s="19" t="n">
        <f aca="false">F1348*0.03</f>
        <v>0</v>
      </c>
      <c r="F1348" s="33" t="n">
        <v>0</v>
      </c>
      <c r="G1348" s="131"/>
      <c r="H1348" s="35" t="n">
        <v>0</v>
      </c>
      <c r="I1348" s="34" t="n">
        <f aca="false">+IF(E1348=0,0,E1348*0.03)</f>
        <v>0</v>
      </c>
      <c r="J1348" s="93"/>
      <c r="K1348" s="93"/>
      <c r="L1348" s="93"/>
      <c r="M1348" s="93"/>
      <c r="N1348" s="93"/>
      <c r="O1348" s="93"/>
      <c r="P1348" s="93"/>
      <c r="Q1348" s="93"/>
      <c r="R1348" s="93"/>
      <c r="S1348" s="93"/>
      <c r="T1348" s="93"/>
      <c r="U1348" s="93"/>
      <c r="V1348" s="93"/>
      <c r="W1348" s="93"/>
      <c r="X1348" s="93"/>
      <c r="Y1348" s="93"/>
      <c r="Z1348" s="93"/>
    </row>
    <row r="1349" customFormat="false" ht="16.4" hidden="false" customHeight="false" outlineLevel="0" collapsed="false">
      <c r="A1349" s="123" t="n">
        <v>45444</v>
      </c>
      <c r="B1349" s="31" t="s">
        <v>153</v>
      </c>
      <c r="C1349" s="129"/>
      <c r="D1349" s="129"/>
      <c r="E1349" s="19" t="n">
        <f aca="false">F1349*0.03</f>
        <v>0</v>
      </c>
      <c r="F1349" s="33" t="n">
        <v>0</v>
      </c>
      <c r="G1349" s="131"/>
      <c r="H1349" s="35" t="n">
        <v>0</v>
      </c>
      <c r="I1349" s="34" t="n">
        <f aca="false">+IF(E1349=0,0,E1349*0.03)</f>
        <v>0</v>
      </c>
      <c r="J1349" s="93"/>
      <c r="K1349" s="93"/>
      <c r="L1349" s="93"/>
      <c r="M1349" s="93"/>
      <c r="N1349" s="93"/>
      <c r="O1349" s="93"/>
      <c r="P1349" s="93"/>
      <c r="Q1349" s="93"/>
      <c r="R1349" s="93"/>
      <c r="S1349" s="93"/>
      <c r="T1349" s="93"/>
      <c r="U1349" s="93"/>
      <c r="V1349" s="93"/>
      <c r="W1349" s="93"/>
      <c r="X1349" s="93"/>
      <c r="Y1349" s="93"/>
      <c r="Z1349" s="93"/>
    </row>
    <row r="1350" customFormat="false" ht="16.4" hidden="false" customHeight="false" outlineLevel="0" collapsed="false">
      <c r="A1350" s="123" t="n">
        <v>45444</v>
      </c>
      <c r="B1350" s="31" t="s">
        <v>153</v>
      </c>
      <c r="C1350" s="129"/>
      <c r="D1350" s="129"/>
      <c r="E1350" s="19" t="n">
        <f aca="false">F1350*0.03</f>
        <v>0</v>
      </c>
      <c r="F1350" s="33" t="n">
        <v>0</v>
      </c>
      <c r="G1350" s="131"/>
      <c r="H1350" s="35" t="n">
        <v>0</v>
      </c>
      <c r="I1350" s="34" t="n">
        <f aca="false">+IF(E1350=0,0,E1350*0.03)</f>
        <v>0</v>
      </c>
      <c r="J1350" s="93"/>
      <c r="K1350" s="93"/>
      <c r="L1350" s="93"/>
      <c r="M1350" s="93"/>
      <c r="N1350" s="93"/>
      <c r="O1350" s="93"/>
      <c r="P1350" s="93"/>
      <c r="Q1350" s="93"/>
      <c r="R1350" s="93"/>
      <c r="S1350" s="93"/>
      <c r="T1350" s="93"/>
      <c r="U1350" s="93"/>
      <c r="V1350" s="93"/>
      <c r="W1350" s="93"/>
      <c r="X1350" s="93"/>
      <c r="Y1350" s="93"/>
      <c r="Z1350" s="93"/>
    </row>
    <row r="1351" customFormat="false" ht="16.4" hidden="false" customHeight="false" outlineLevel="0" collapsed="false">
      <c r="A1351" s="123" t="n">
        <v>45444</v>
      </c>
      <c r="B1351" s="31" t="s">
        <v>153</v>
      </c>
      <c r="C1351" s="129"/>
      <c r="D1351" s="129"/>
      <c r="E1351" s="19" t="n">
        <f aca="false">F1351*0.03</f>
        <v>0</v>
      </c>
      <c r="F1351" s="33" t="n">
        <v>0</v>
      </c>
      <c r="G1351" s="131"/>
      <c r="H1351" s="35" t="n">
        <v>0</v>
      </c>
      <c r="I1351" s="34" t="n">
        <f aca="false">+IF(E1351=0,0,E1351*0.03)</f>
        <v>0</v>
      </c>
      <c r="J1351" s="93"/>
      <c r="K1351" s="93"/>
      <c r="L1351" s="93"/>
      <c r="M1351" s="93"/>
      <c r="N1351" s="93"/>
      <c r="O1351" s="93"/>
      <c r="P1351" s="93"/>
      <c r="Q1351" s="93"/>
      <c r="R1351" s="93"/>
      <c r="S1351" s="93"/>
      <c r="T1351" s="93"/>
      <c r="U1351" s="93"/>
      <c r="V1351" s="93"/>
      <c r="W1351" s="93"/>
      <c r="X1351" s="93"/>
      <c r="Y1351" s="93"/>
      <c r="Z1351" s="93"/>
    </row>
    <row r="1352" customFormat="false" ht="16.4" hidden="false" customHeight="false" outlineLevel="0" collapsed="false">
      <c r="A1352" s="123" t="n">
        <v>45444</v>
      </c>
      <c r="B1352" s="31" t="s">
        <v>153</v>
      </c>
      <c r="C1352" s="129"/>
      <c r="D1352" s="129"/>
      <c r="E1352" s="19" t="n">
        <f aca="false">F1352*0.03</f>
        <v>0</v>
      </c>
      <c r="F1352" s="33" t="n">
        <v>0</v>
      </c>
      <c r="G1352" s="131"/>
      <c r="H1352" s="35" t="n">
        <v>0</v>
      </c>
      <c r="I1352" s="34" t="n">
        <f aca="false">+IF(E1352=0,0,E1352*0.03)</f>
        <v>0</v>
      </c>
      <c r="J1352" s="93"/>
      <c r="K1352" s="93"/>
      <c r="L1352" s="93"/>
      <c r="M1352" s="93"/>
      <c r="N1352" s="93"/>
      <c r="O1352" s="93"/>
      <c r="P1352" s="93"/>
      <c r="Q1352" s="93"/>
      <c r="R1352" s="93"/>
      <c r="S1352" s="93"/>
      <c r="T1352" s="93"/>
      <c r="U1352" s="93"/>
      <c r="V1352" s="93"/>
      <c r="W1352" s="93"/>
      <c r="X1352" s="93"/>
      <c r="Y1352" s="93"/>
      <c r="Z1352" s="93"/>
    </row>
    <row r="1353" customFormat="false" ht="16.4" hidden="false" customHeight="false" outlineLevel="0" collapsed="false">
      <c r="A1353" s="123" t="n">
        <v>45444</v>
      </c>
      <c r="B1353" s="31" t="s">
        <v>153</v>
      </c>
      <c r="C1353" s="129"/>
      <c r="D1353" s="129"/>
      <c r="E1353" s="19" t="n">
        <f aca="false">F1353*0.03</f>
        <v>0</v>
      </c>
      <c r="F1353" s="33" t="n">
        <v>0</v>
      </c>
      <c r="G1353" s="131"/>
      <c r="H1353" s="35" t="n">
        <v>0</v>
      </c>
      <c r="I1353" s="34" t="n">
        <f aca="false">+IF(E1353=0,0,E1353*0.03)</f>
        <v>0</v>
      </c>
      <c r="J1353" s="93"/>
      <c r="K1353" s="93"/>
      <c r="L1353" s="93"/>
      <c r="M1353" s="93"/>
      <c r="N1353" s="93"/>
      <c r="O1353" s="93"/>
      <c r="P1353" s="93"/>
      <c r="Q1353" s="93"/>
      <c r="R1353" s="93"/>
      <c r="S1353" s="93"/>
      <c r="T1353" s="93"/>
      <c r="U1353" s="93"/>
      <c r="V1353" s="93"/>
      <c r="W1353" s="93"/>
      <c r="X1353" s="93"/>
      <c r="Y1353" s="93"/>
      <c r="Z1353" s="93"/>
    </row>
    <row r="1354" customFormat="false" ht="16.4" hidden="false" customHeight="false" outlineLevel="0" collapsed="false">
      <c r="A1354" s="123" t="n">
        <v>45444</v>
      </c>
      <c r="B1354" s="31" t="s">
        <v>153</v>
      </c>
      <c r="C1354" s="129"/>
      <c r="D1354" s="129"/>
      <c r="E1354" s="19" t="n">
        <f aca="false">F1354*0.03</f>
        <v>0</v>
      </c>
      <c r="F1354" s="33" t="n">
        <v>0</v>
      </c>
      <c r="G1354" s="131"/>
      <c r="H1354" s="35" t="n">
        <v>0</v>
      </c>
      <c r="I1354" s="34" t="n">
        <f aca="false">+IF(E1354=0,0,E1354*0.03)</f>
        <v>0</v>
      </c>
      <c r="J1354" s="93"/>
      <c r="K1354" s="93"/>
      <c r="L1354" s="93"/>
      <c r="M1354" s="93"/>
      <c r="N1354" s="93"/>
      <c r="O1354" s="93"/>
      <c r="P1354" s="93"/>
      <c r="Q1354" s="93"/>
      <c r="R1354" s="93"/>
      <c r="S1354" s="93"/>
      <c r="T1354" s="93"/>
      <c r="U1354" s="93"/>
      <c r="V1354" s="93"/>
      <c r="W1354" s="93"/>
      <c r="X1354" s="93"/>
      <c r="Y1354" s="93"/>
      <c r="Z1354" s="93"/>
    </row>
    <row r="1355" customFormat="false" ht="16.4" hidden="false" customHeight="false" outlineLevel="0" collapsed="false">
      <c r="A1355" s="123" t="n">
        <v>45444</v>
      </c>
      <c r="B1355" s="31" t="s">
        <v>153</v>
      </c>
      <c r="C1355" s="129"/>
      <c r="D1355" s="129"/>
      <c r="E1355" s="19" t="n">
        <f aca="false">F1355*0.03</f>
        <v>0</v>
      </c>
      <c r="F1355" s="33" t="n">
        <v>0</v>
      </c>
      <c r="G1355" s="131"/>
      <c r="H1355" s="35" t="n">
        <v>0</v>
      </c>
      <c r="I1355" s="34" t="n">
        <f aca="false">+IF(E1355=0,0,E1355*0.03)</f>
        <v>0</v>
      </c>
      <c r="J1355" s="93"/>
      <c r="K1355" s="93"/>
      <c r="L1355" s="93"/>
      <c r="M1355" s="93"/>
      <c r="N1355" s="93"/>
      <c r="O1355" s="93"/>
      <c r="P1355" s="93"/>
      <c r="Q1355" s="93"/>
      <c r="R1355" s="93"/>
      <c r="S1355" s="93"/>
      <c r="T1355" s="93"/>
      <c r="U1355" s="93"/>
      <c r="V1355" s="93"/>
      <c r="W1355" s="93"/>
      <c r="X1355" s="93"/>
      <c r="Y1355" s="93"/>
      <c r="Z1355" s="93"/>
    </row>
    <row r="1356" customFormat="false" ht="16.4" hidden="false" customHeight="false" outlineLevel="0" collapsed="false">
      <c r="A1356" s="123" t="n">
        <v>45444</v>
      </c>
      <c r="B1356" s="31" t="s">
        <v>153</v>
      </c>
      <c r="C1356" s="129"/>
      <c r="D1356" s="129"/>
      <c r="E1356" s="19" t="n">
        <f aca="false">F1356*0.03</f>
        <v>0</v>
      </c>
      <c r="F1356" s="33" t="n">
        <v>0</v>
      </c>
      <c r="G1356" s="131"/>
      <c r="H1356" s="35" t="n">
        <v>0</v>
      </c>
      <c r="I1356" s="34" t="n">
        <f aca="false">+IF(E1356=0,0,E1356*0.03)</f>
        <v>0</v>
      </c>
      <c r="J1356" s="93"/>
      <c r="K1356" s="93"/>
      <c r="L1356" s="93"/>
      <c r="M1356" s="93"/>
      <c r="N1356" s="93"/>
      <c r="O1356" s="93"/>
      <c r="P1356" s="93"/>
      <c r="Q1356" s="93"/>
      <c r="R1356" s="93"/>
      <c r="S1356" s="93"/>
      <c r="T1356" s="93"/>
      <c r="U1356" s="93"/>
      <c r="V1356" s="93"/>
      <c r="W1356" s="93"/>
      <c r="X1356" s="93"/>
      <c r="Y1356" s="93"/>
      <c r="Z1356" s="93"/>
    </row>
    <row r="1357" customFormat="false" ht="16.4" hidden="false" customHeight="false" outlineLevel="0" collapsed="false">
      <c r="A1357" s="123" t="n">
        <v>45444</v>
      </c>
      <c r="B1357" s="31" t="s">
        <v>153</v>
      </c>
      <c r="C1357" s="129"/>
      <c r="D1357" s="129"/>
      <c r="E1357" s="19" t="n">
        <f aca="false">F1357*0.03</f>
        <v>0</v>
      </c>
      <c r="F1357" s="33" t="n">
        <v>0</v>
      </c>
      <c r="G1357" s="131"/>
      <c r="H1357" s="35" t="n">
        <v>0</v>
      </c>
      <c r="I1357" s="34" t="n">
        <f aca="false">+IF(E1357=0,0,E1357*0.03)</f>
        <v>0</v>
      </c>
      <c r="J1357" s="93"/>
      <c r="K1357" s="93"/>
      <c r="L1357" s="93"/>
      <c r="M1357" s="93"/>
      <c r="N1357" s="93"/>
      <c r="O1357" s="93"/>
      <c r="P1357" s="93"/>
      <c r="Q1357" s="93"/>
      <c r="R1357" s="93"/>
      <c r="S1357" s="93"/>
      <c r="T1357" s="93"/>
      <c r="U1357" s="93"/>
      <c r="V1357" s="93"/>
      <c r="W1357" s="93"/>
      <c r="X1357" s="93"/>
      <c r="Y1357" s="93"/>
      <c r="Z1357" s="93"/>
    </row>
    <row r="1358" customFormat="false" ht="16.4" hidden="false" customHeight="false" outlineLevel="0" collapsed="false">
      <c r="A1358" s="123" t="n">
        <v>45444</v>
      </c>
      <c r="B1358" s="31" t="s">
        <v>153</v>
      </c>
      <c r="C1358" s="129"/>
      <c r="D1358" s="129"/>
      <c r="E1358" s="19" t="n">
        <f aca="false">F1358*0.03</f>
        <v>0</v>
      </c>
      <c r="F1358" s="33" t="n">
        <v>0</v>
      </c>
      <c r="G1358" s="131"/>
      <c r="H1358" s="35" t="n">
        <v>0</v>
      </c>
      <c r="I1358" s="34" t="n">
        <f aca="false">+IF(E1358=0,0,E1358*0.03)</f>
        <v>0</v>
      </c>
      <c r="J1358" s="93"/>
      <c r="K1358" s="93"/>
      <c r="L1358" s="93"/>
      <c r="M1358" s="93"/>
      <c r="N1358" s="93"/>
      <c r="O1358" s="93"/>
      <c r="P1358" s="93"/>
      <c r="Q1358" s="93"/>
      <c r="R1358" s="93"/>
      <c r="S1358" s="93"/>
      <c r="T1358" s="93"/>
      <c r="U1358" s="93"/>
      <c r="V1358" s="93"/>
      <c r="W1358" s="93"/>
      <c r="X1358" s="93"/>
      <c r="Y1358" s="93"/>
      <c r="Z1358" s="93"/>
    </row>
    <row r="1359" customFormat="false" ht="16.4" hidden="false" customHeight="false" outlineLevel="0" collapsed="false">
      <c r="A1359" s="123" t="n">
        <v>45444</v>
      </c>
      <c r="B1359" s="31" t="s">
        <v>153</v>
      </c>
      <c r="C1359" s="129"/>
      <c r="D1359" s="129"/>
      <c r="E1359" s="19" t="n">
        <f aca="false">F1359*0.03</f>
        <v>0</v>
      </c>
      <c r="F1359" s="33" t="n">
        <v>0</v>
      </c>
      <c r="G1359" s="131"/>
      <c r="H1359" s="35" t="n">
        <v>0</v>
      </c>
      <c r="I1359" s="34" t="n">
        <f aca="false">+IF(E1359=0,0,E1359*0.03)</f>
        <v>0</v>
      </c>
      <c r="J1359" s="93"/>
      <c r="K1359" s="93"/>
      <c r="L1359" s="93"/>
      <c r="M1359" s="93"/>
      <c r="N1359" s="93"/>
      <c r="O1359" s="93"/>
      <c r="P1359" s="93"/>
      <c r="Q1359" s="93"/>
      <c r="R1359" s="93"/>
      <c r="S1359" s="93"/>
      <c r="T1359" s="93"/>
      <c r="U1359" s="93"/>
      <c r="V1359" s="93"/>
      <c r="W1359" s="93"/>
      <c r="X1359" s="93"/>
      <c r="Y1359" s="93"/>
      <c r="Z1359" s="93"/>
    </row>
    <row r="1360" customFormat="false" ht="16.4" hidden="false" customHeight="false" outlineLevel="0" collapsed="false">
      <c r="A1360" s="123" t="n">
        <v>45444</v>
      </c>
      <c r="B1360" s="31" t="s">
        <v>153</v>
      </c>
      <c r="C1360" s="129"/>
      <c r="D1360" s="129"/>
      <c r="E1360" s="19" t="n">
        <f aca="false">F1360*0.03</f>
        <v>0</v>
      </c>
      <c r="F1360" s="33" t="n">
        <v>0</v>
      </c>
      <c r="G1360" s="131"/>
      <c r="H1360" s="35" t="n">
        <v>0</v>
      </c>
      <c r="I1360" s="34" t="n">
        <f aca="false">+IF(E1360=0,0,E1360*0.03)</f>
        <v>0</v>
      </c>
      <c r="J1360" s="93"/>
      <c r="K1360" s="93"/>
      <c r="L1360" s="93"/>
      <c r="M1360" s="93"/>
      <c r="N1360" s="93"/>
      <c r="O1360" s="93"/>
      <c r="P1360" s="93"/>
      <c r="Q1360" s="93"/>
      <c r="R1360" s="93"/>
      <c r="S1360" s="93"/>
      <c r="T1360" s="93"/>
      <c r="U1360" s="93"/>
      <c r="V1360" s="93"/>
      <c r="W1360" s="93"/>
      <c r="X1360" s="93"/>
      <c r="Y1360" s="93"/>
      <c r="Z1360" s="93"/>
    </row>
    <row r="1361" customFormat="false" ht="16.4" hidden="false" customHeight="false" outlineLevel="0" collapsed="false">
      <c r="A1361" s="123" t="n">
        <v>45444</v>
      </c>
      <c r="B1361" s="31" t="s">
        <v>153</v>
      </c>
      <c r="C1361" s="129"/>
      <c r="D1361" s="129"/>
      <c r="E1361" s="19" t="n">
        <f aca="false">F1361*0.03</f>
        <v>0</v>
      </c>
      <c r="F1361" s="33" t="n">
        <v>0</v>
      </c>
      <c r="G1361" s="131"/>
      <c r="H1361" s="35" t="n">
        <v>0</v>
      </c>
      <c r="I1361" s="34" t="n">
        <f aca="false">+IF(E1361=0,0,E1361*0.03)</f>
        <v>0</v>
      </c>
      <c r="J1361" s="93"/>
      <c r="K1361" s="93"/>
      <c r="L1361" s="93"/>
      <c r="M1361" s="93"/>
      <c r="N1361" s="93"/>
      <c r="O1361" s="93"/>
      <c r="P1361" s="93"/>
      <c r="Q1361" s="93"/>
      <c r="R1361" s="93"/>
      <c r="S1361" s="93"/>
      <c r="T1361" s="93"/>
      <c r="U1361" s="93"/>
      <c r="V1361" s="93"/>
      <c r="W1361" s="93"/>
      <c r="X1361" s="93"/>
      <c r="Y1361" s="93"/>
      <c r="Z1361" s="93"/>
    </row>
    <row r="1362" customFormat="false" ht="16.4" hidden="false" customHeight="false" outlineLevel="0" collapsed="false">
      <c r="A1362" s="123" t="n">
        <v>45444</v>
      </c>
      <c r="B1362" s="31" t="s">
        <v>153</v>
      </c>
      <c r="C1362" s="129"/>
      <c r="D1362" s="129"/>
      <c r="E1362" s="19" t="n">
        <f aca="false">F1362*0.03</f>
        <v>0</v>
      </c>
      <c r="F1362" s="33" t="n">
        <v>0</v>
      </c>
      <c r="G1362" s="131"/>
      <c r="H1362" s="35" t="n">
        <v>0</v>
      </c>
      <c r="I1362" s="34" t="n">
        <f aca="false">+IF(E1362=0,0,E1362*0.03)</f>
        <v>0</v>
      </c>
      <c r="J1362" s="93"/>
      <c r="K1362" s="93"/>
      <c r="L1362" s="93"/>
      <c r="M1362" s="93"/>
      <c r="N1362" s="93"/>
      <c r="O1362" s="93"/>
      <c r="P1362" s="93"/>
      <c r="Q1362" s="93"/>
      <c r="R1362" s="93"/>
      <c r="S1362" s="93"/>
      <c r="T1362" s="93"/>
      <c r="U1362" s="93"/>
      <c r="V1362" s="93"/>
      <c r="W1362" s="93"/>
      <c r="X1362" s="93"/>
      <c r="Y1362" s="93"/>
      <c r="Z1362" s="93"/>
    </row>
    <row r="1363" customFormat="false" ht="16.4" hidden="false" customHeight="false" outlineLevel="0" collapsed="false">
      <c r="A1363" s="123" t="n">
        <v>45444</v>
      </c>
      <c r="B1363" s="31" t="s">
        <v>153</v>
      </c>
      <c r="C1363" s="129"/>
      <c r="D1363" s="129"/>
      <c r="E1363" s="19" t="n">
        <f aca="false">F1363*0.03</f>
        <v>0</v>
      </c>
      <c r="F1363" s="33" t="n">
        <v>0</v>
      </c>
      <c r="G1363" s="131"/>
      <c r="H1363" s="35" t="n">
        <v>0</v>
      </c>
      <c r="I1363" s="34" t="n">
        <f aca="false">+IF(E1363=0,0,E1363*0.03)</f>
        <v>0</v>
      </c>
      <c r="J1363" s="93"/>
      <c r="K1363" s="93"/>
      <c r="L1363" s="93"/>
      <c r="M1363" s="93"/>
      <c r="N1363" s="93"/>
      <c r="O1363" s="93"/>
      <c r="P1363" s="93"/>
      <c r="Q1363" s="93"/>
      <c r="R1363" s="93"/>
      <c r="S1363" s="93"/>
      <c r="T1363" s="93"/>
      <c r="U1363" s="93"/>
      <c r="V1363" s="93"/>
      <c r="W1363" s="93"/>
      <c r="X1363" s="93"/>
      <c r="Y1363" s="93"/>
      <c r="Z1363" s="93"/>
    </row>
    <row r="1364" customFormat="false" ht="16.4" hidden="false" customHeight="false" outlineLevel="0" collapsed="false">
      <c r="A1364" s="123" t="n">
        <v>45444</v>
      </c>
      <c r="B1364" s="31" t="s">
        <v>153</v>
      </c>
      <c r="C1364" s="129"/>
      <c r="D1364" s="129"/>
      <c r="E1364" s="19" t="n">
        <f aca="false">F1364*0.03</f>
        <v>0</v>
      </c>
      <c r="F1364" s="33" t="n">
        <v>0</v>
      </c>
      <c r="G1364" s="131"/>
      <c r="H1364" s="35" t="n">
        <v>0</v>
      </c>
      <c r="I1364" s="34" t="n">
        <f aca="false">+IF(E1364=0,0,E1364*0.03)</f>
        <v>0</v>
      </c>
      <c r="J1364" s="93"/>
      <c r="K1364" s="93"/>
      <c r="L1364" s="93"/>
      <c r="M1364" s="93"/>
      <c r="N1364" s="93"/>
      <c r="O1364" s="93"/>
      <c r="P1364" s="93"/>
      <c r="Q1364" s="93"/>
      <c r="R1364" s="93"/>
      <c r="S1364" s="93"/>
      <c r="T1364" s="93"/>
      <c r="U1364" s="93"/>
      <c r="V1364" s="93"/>
      <c r="W1364" s="93"/>
      <c r="X1364" s="93"/>
      <c r="Y1364" s="93"/>
      <c r="Z1364" s="93"/>
    </row>
    <row r="1365" customFormat="false" ht="16.4" hidden="false" customHeight="false" outlineLevel="0" collapsed="false">
      <c r="A1365" s="123" t="n">
        <v>45444</v>
      </c>
      <c r="B1365" s="31" t="s">
        <v>153</v>
      </c>
      <c r="C1365" s="129"/>
      <c r="D1365" s="129"/>
      <c r="E1365" s="19" t="n">
        <f aca="false">F1365*0.03</f>
        <v>0</v>
      </c>
      <c r="F1365" s="33" t="n">
        <v>0</v>
      </c>
      <c r="G1365" s="131"/>
      <c r="H1365" s="35" t="n">
        <v>0</v>
      </c>
      <c r="I1365" s="34" t="n">
        <f aca="false">+IF(E1365=0,0,E1365*0.03)</f>
        <v>0</v>
      </c>
      <c r="J1365" s="93"/>
      <c r="K1365" s="93"/>
      <c r="L1365" s="93"/>
      <c r="M1365" s="93"/>
      <c r="N1365" s="93"/>
      <c r="O1365" s="93"/>
      <c r="P1365" s="93"/>
      <c r="Q1365" s="93"/>
      <c r="R1365" s="93"/>
      <c r="S1365" s="93"/>
      <c r="T1365" s="93"/>
      <c r="U1365" s="93"/>
      <c r="V1365" s="93"/>
      <c r="W1365" s="93"/>
      <c r="X1365" s="93"/>
      <c r="Y1365" s="93"/>
      <c r="Z1365" s="93"/>
    </row>
    <row r="1366" customFormat="false" ht="16.4" hidden="false" customHeight="false" outlineLevel="0" collapsed="false">
      <c r="A1366" s="123" t="n">
        <v>45444</v>
      </c>
      <c r="B1366" s="31" t="s">
        <v>153</v>
      </c>
      <c r="C1366" s="129"/>
      <c r="D1366" s="129"/>
      <c r="E1366" s="19" t="n">
        <f aca="false">F1366*0.03</f>
        <v>0</v>
      </c>
      <c r="F1366" s="33" t="n">
        <v>0</v>
      </c>
      <c r="G1366" s="131"/>
      <c r="H1366" s="35" t="n">
        <v>0</v>
      </c>
      <c r="I1366" s="34" t="n">
        <f aca="false">+IF(E1366=0,0,E1366*0.03)</f>
        <v>0</v>
      </c>
      <c r="J1366" s="93"/>
      <c r="K1366" s="93"/>
      <c r="L1366" s="93"/>
      <c r="M1366" s="93"/>
      <c r="N1366" s="93"/>
      <c r="O1366" s="93"/>
      <c r="P1366" s="93"/>
      <c r="Q1366" s="93"/>
      <c r="R1366" s="93"/>
      <c r="S1366" s="93"/>
      <c r="T1366" s="93"/>
      <c r="U1366" s="93"/>
      <c r="V1366" s="93"/>
      <c r="W1366" s="93"/>
      <c r="X1366" s="93"/>
      <c r="Y1366" s="93"/>
      <c r="Z1366" s="93"/>
    </row>
    <row r="1367" customFormat="false" ht="16.4" hidden="false" customHeight="false" outlineLevel="0" collapsed="false">
      <c r="A1367" s="123" t="n">
        <v>45444</v>
      </c>
      <c r="B1367" s="31" t="s">
        <v>153</v>
      </c>
      <c r="C1367" s="129"/>
      <c r="D1367" s="129"/>
      <c r="E1367" s="19" t="n">
        <f aca="false">F1367*0.03</f>
        <v>0</v>
      </c>
      <c r="F1367" s="33" t="n">
        <v>0</v>
      </c>
      <c r="G1367" s="131"/>
      <c r="H1367" s="35" t="n">
        <v>0</v>
      </c>
      <c r="I1367" s="34" t="n">
        <f aca="false">+IF(E1367=0,0,E1367*0.03)</f>
        <v>0</v>
      </c>
      <c r="J1367" s="93"/>
      <c r="K1367" s="93"/>
      <c r="L1367" s="93"/>
      <c r="M1367" s="93"/>
      <c r="N1367" s="93"/>
      <c r="O1367" s="93"/>
      <c r="P1367" s="93"/>
      <c r="Q1367" s="93"/>
      <c r="R1367" s="93"/>
      <c r="S1367" s="93"/>
      <c r="T1367" s="93"/>
      <c r="U1367" s="93"/>
      <c r="V1367" s="93"/>
      <c r="W1367" s="93"/>
      <c r="X1367" s="93"/>
      <c r="Y1367" s="93"/>
      <c r="Z1367" s="93"/>
    </row>
    <row r="1368" customFormat="false" ht="16.4" hidden="false" customHeight="false" outlineLevel="0" collapsed="false">
      <c r="A1368" s="123" t="n">
        <v>45444</v>
      </c>
      <c r="B1368" s="31" t="s">
        <v>153</v>
      </c>
      <c r="C1368" s="129"/>
      <c r="D1368" s="129"/>
      <c r="E1368" s="19" t="n">
        <f aca="false">F1368*0.03</f>
        <v>0</v>
      </c>
      <c r="F1368" s="33" t="n">
        <v>0</v>
      </c>
      <c r="G1368" s="131"/>
      <c r="H1368" s="35" t="n">
        <v>0</v>
      </c>
      <c r="I1368" s="34" t="n">
        <f aca="false">+IF(E1368=0,0,E1368*0.03)</f>
        <v>0</v>
      </c>
      <c r="J1368" s="93"/>
      <c r="K1368" s="93"/>
      <c r="L1368" s="93"/>
      <c r="M1368" s="93"/>
      <c r="N1368" s="93"/>
      <c r="O1368" s="93"/>
      <c r="P1368" s="93"/>
      <c r="Q1368" s="93"/>
      <c r="R1368" s="93"/>
      <c r="S1368" s="93"/>
      <c r="T1368" s="93"/>
      <c r="U1368" s="93"/>
      <c r="V1368" s="93"/>
      <c r="W1368" s="93"/>
      <c r="X1368" s="93"/>
      <c r="Y1368" s="93"/>
      <c r="Z1368" s="93"/>
    </row>
    <row r="1369" customFormat="false" ht="16.4" hidden="false" customHeight="false" outlineLevel="0" collapsed="false">
      <c r="A1369" s="123" t="n">
        <v>45444</v>
      </c>
      <c r="B1369" s="31" t="s">
        <v>153</v>
      </c>
      <c r="C1369" s="129"/>
      <c r="D1369" s="129"/>
      <c r="E1369" s="19" t="n">
        <f aca="false">F1369*0.03</f>
        <v>0</v>
      </c>
      <c r="F1369" s="33" t="n">
        <v>0</v>
      </c>
      <c r="G1369" s="131"/>
      <c r="H1369" s="35" t="n">
        <v>0</v>
      </c>
      <c r="I1369" s="34" t="n">
        <f aca="false">+IF(E1369=0,0,E1369*0.03)</f>
        <v>0</v>
      </c>
      <c r="J1369" s="93"/>
      <c r="K1369" s="93"/>
      <c r="L1369" s="93"/>
      <c r="M1369" s="93"/>
      <c r="N1369" s="93"/>
      <c r="O1369" s="93"/>
      <c r="P1369" s="93"/>
      <c r="Q1369" s="93"/>
      <c r="R1369" s="93"/>
      <c r="S1369" s="93"/>
      <c r="T1369" s="93"/>
      <c r="U1369" s="93"/>
      <c r="V1369" s="93"/>
      <c r="W1369" s="93"/>
      <c r="X1369" s="93"/>
      <c r="Y1369" s="93"/>
      <c r="Z1369" s="93"/>
    </row>
    <row r="1370" customFormat="false" ht="16.4" hidden="false" customHeight="false" outlineLevel="0" collapsed="false">
      <c r="A1370" s="123" t="n">
        <v>45444</v>
      </c>
      <c r="B1370" s="31" t="s">
        <v>153</v>
      </c>
      <c r="C1370" s="129"/>
      <c r="D1370" s="129"/>
      <c r="E1370" s="19" t="n">
        <f aca="false">F1370*0.03</f>
        <v>0</v>
      </c>
      <c r="F1370" s="33" t="n">
        <v>0</v>
      </c>
      <c r="G1370" s="131"/>
      <c r="H1370" s="35" t="n">
        <v>0</v>
      </c>
      <c r="I1370" s="34" t="n">
        <f aca="false">+IF(E1370=0,0,E1370*0.03)</f>
        <v>0</v>
      </c>
      <c r="J1370" s="93"/>
      <c r="K1370" s="93"/>
      <c r="L1370" s="93"/>
      <c r="M1370" s="93"/>
      <c r="N1370" s="93"/>
      <c r="O1370" s="93"/>
      <c r="P1370" s="93"/>
      <c r="Q1370" s="93"/>
      <c r="R1370" s="93"/>
      <c r="S1370" s="93"/>
      <c r="T1370" s="93"/>
      <c r="U1370" s="93"/>
      <c r="V1370" s="93"/>
      <c r="W1370" s="93"/>
      <c r="X1370" s="93"/>
      <c r="Y1370" s="93"/>
      <c r="Z1370" s="93"/>
    </row>
    <row r="1371" customFormat="false" ht="16.4" hidden="false" customHeight="false" outlineLevel="0" collapsed="false">
      <c r="A1371" s="123" t="n">
        <v>45444</v>
      </c>
      <c r="B1371" s="31" t="s">
        <v>153</v>
      </c>
      <c r="C1371" s="129"/>
      <c r="D1371" s="129"/>
      <c r="E1371" s="19" t="n">
        <f aca="false">F1371*0.03</f>
        <v>0</v>
      </c>
      <c r="F1371" s="33" t="n">
        <v>0</v>
      </c>
      <c r="G1371" s="131"/>
      <c r="H1371" s="35" t="n">
        <v>0</v>
      </c>
      <c r="I1371" s="34" t="n">
        <f aca="false">+IF(E1371=0,0,E1371*0.03)</f>
        <v>0</v>
      </c>
      <c r="J1371" s="93"/>
      <c r="K1371" s="93"/>
      <c r="L1371" s="93"/>
      <c r="M1371" s="93"/>
      <c r="N1371" s="93"/>
      <c r="O1371" s="93"/>
      <c r="P1371" s="93"/>
      <c r="Q1371" s="93"/>
      <c r="R1371" s="93"/>
      <c r="S1371" s="93"/>
      <c r="T1371" s="93"/>
      <c r="U1371" s="93"/>
      <c r="V1371" s="93"/>
      <c r="W1371" s="93"/>
      <c r="X1371" s="93"/>
      <c r="Y1371" s="93"/>
      <c r="Z1371" s="93"/>
    </row>
    <row r="1372" customFormat="false" ht="16.4" hidden="false" customHeight="false" outlineLevel="0" collapsed="false">
      <c r="A1372" s="123" t="n">
        <v>45444</v>
      </c>
      <c r="B1372" s="31" t="s">
        <v>153</v>
      </c>
      <c r="C1372" s="129"/>
      <c r="D1372" s="129"/>
      <c r="E1372" s="19" t="n">
        <f aca="false">F1372*0.03</f>
        <v>0</v>
      </c>
      <c r="F1372" s="33" t="n">
        <v>0</v>
      </c>
      <c r="G1372" s="131"/>
      <c r="H1372" s="35" t="n">
        <v>0</v>
      </c>
      <c r="I1372" s="34" t="n">
        <f aca="false">+IF(E1372=0,0,E1372*0.03)</f>
        <v>0</v>
      </c>
      <c r="J1372" s="93"/>
      <c r="K1372" s="93"/>
      <c r="L1372" s="93"/>
      <c r="M1372" s="93"/>
      <c r="N1372" s="93"/>
      <c r="O1372" s="93"/>
      <c r="P1372" s="93"/>
      <c r="Q1372" s="93"/>
      <c r="R1372" s="93"/>
      <c r="S1372" s="93"/>
      <c r="T1372" s="93"/>
      <c r="U1372" s="93"/>
      <c r="V1372" s="93"/>
      <c r="W1372" s="93"/>
      <c r="X1372" s="93"/>
      <c r="Y1372" s="93"/>
      <c r="Z1372" s="93"/>
    </row>
    <row r="1373" customFormat="false" ht="16.4" hidden="false" customHeight="false" outlineLevel="0" collapsed="false">
      <c r="A1373" s="123" t="n">
        <v>45444</v>
      </c>
      <c r="B1373" s="31" t="s">
        <v>153</v>
      </c>
      <c r="C1373" s="129"/>
      <c r="D1373" s="129"/>
      <c r="E1373" s="19" t="n">
        <f aca="false">F1373*0.03</f>
        <v>0</v>
      </c>
      <c r="F1373" s="33" t="n">
        <v>0</v>
      </c>
      <c r="G1373" s="131"/>
      <c r="H1373" s="35" t="n">
        <v>0</v>
      </c>
      <c r="I1373" s="34" t="n">
        <f aca="false">+IF(E1373=0,0,E1373*0.03)</f>
        <v>0</v>
      </c>
      <c r="J1373" s="93"/>
      <c r="K1373" s="93"/>
      <c r="L1373" s="93"/>
      <c r="M1373" s="93"/>
      <c r="N1373" s="93"/>
      <c r="O1373" s="93"/>
      <c r="P1373" s="93"/>
      <c r="Q1373" s="93"/>
      <c r="R1373" s="93"/>
      <c r="S1373" s="93"/>
      <c r="T1373" s="93"/>
      <c r="U1373" s="93"/>
      <c r="V1373" s="93"/>
      <c r="W1373" s="93"/>
      <c r="X1373" s="93"/>
      <c r="Y1373" s="93"/>
      <c r="Z1373" s="93"/>
    </row>
    <row r="1374" customFormat="false" ht="16.4" hidden="false" customHeight="false" outlineLevel="0" collapsed="false">
      <c r="A1374" s="123" t="n">
        <v>45444</v>
      </c>
      <c r="B1374" s="31" t="s">
        <v>153</v>
      </c>
      <c r="C1374" s="129"/>
      <c r="D1374" s="129"/>
      <c r="E1374" s="19" t="n">
        <f aca="false">F1374*0.03</f>
        <v>0</v>
      </c>
      <c r="F1374" s="33" t="n">
        <v>0</v>
      </c>
      <c r="G1374" s="131"/>
      <c r="H1374" s="35" t="n">
        <v>0</v>
      </c>
      <c r="I1374" s="34" t="n">
        <f aca="false">+IF(E1374=0,0,E1374*0.03)</f>
        <v>0</v>
      </c>
      <c r="J1374" s="93"/>
      <c r="K1374" s="93"/>
      <c r="L1374" s="93"/>
      <c r="M1374" s="93"/>
      <c r="N1374" s="93"/>
      <c r="O1374" s="93"/>
      <c r="P1374" s="93"/>
      <c r="Q1374" s="93"/>
      <c r="R1374" s="93"/>
      <c r="S1374" s="93"/>
      <c r="T1374" s="93"/>
      <c r="U1374" s="93"/>
      <c r="V1374" s="93"/>
      <c r="W1374" s="93"/>
      <c r="X1374" s="93"/>
      <c r="Y1374" s="93"/>
      <c r="Z1374" s="93"/>
    </row>
    <row r="1375" customFormat="false" ht="16.4" hidden="false" customHeight="false" outlineLevel="0" collapsed="false">
      <c r="A1375" s="123" t="n">
        <v>45444</v>
      </c>
      <c r="B1375" s="31" t="s">
        <v>153</v>
      </c>
      <c r="C1375" s="129"/>
      <c r="D1375" s="129"/>
      <c r="E1375" s="19" t="n">
        <f aca="false">F1375*0.03</f>
        <v>0</v>
      </c>
      <c r="F1375" s="33" t="n">
        <v>0</v>
      </c>
      <c r="G1375" s="131"/>
      <c r="H1375" s="35" t="n">
        <v>0</v>
      </c>
      <c r="I1375" s="34" t="n">
        <f aca="false">+IF(E1375=0,0,E1375*0.03)</f>
        <v>0</v>
      </c>
      <c r="J1375" s="93"/>
      <c r="K1375" s="93"/>
      <c r="L1375" s="93"/>
      <c r="M1375" s="93"/>
      <c r="N1375" s="93"/>
      <c r="O1375" s="93"/>
      <c r="P1375" s="93"/>
      <c r="Q1375" s="93"/>
      <c r="R1375" s="93"/>
      <c r="S1375" s="93"/>
      <c r="T1375" s="93"/>
      <c r="U1375" s="93"/>
      <c r="V1375" s="93"/>
      <c r="W1375" s="93"/>
      <c r="X1375" s="93"/>
      <c r="Y1375" s="93"/>
      <c r="Z1375" s="93"/>
    </row>
    <row r="1376" customFormat="false" ht="16.4" hidden="false" customHeight="false" outlineLevel="0" collapsed="false">
      <c r="A1376" s="123" t="n">
        <v>45444</v>
      </c>
      <c r="B1376" s="31" t="s">
        <v>153</v>
      </c>
      <c r="C1376" s="129"/>
      <c r="D1376" s="129"/>
      <c r="E1376" s="19" t="n">
        <f aca="false">F1376*0.03</f>
        <v>0</v>
      </c>
      <c r="F1376" s="33" t="n">
        <v>0</v>
      </c>
      <c r="G1376" s="131"/>
      <c r="H1376" s="35" t="n">
        <v>0</v>
      </c>
      <c r="I1376" s="34" t="n">
        <f aca="false">+IF(E1376=0,0,E1376*0.03)</f>
        <v>0</v>
      </c>
      <c r="J1376" s="93"/>
      <c r="K1376" s="93"/>
      <c r="L1376" s="93"/>
      <c r="M1376" s="93"/>
      <c r="N1376" s="93"/>
      <c r="O1376" s="93"/>
      <c r="P1376" s="93"/>
      <c r="Q1376" s="93"/>
      <c r="R1376" s="93"/>
      <c r="S1376" s="93"/>
      <c r="T1376" s="93"/>
      <c r="U1376" s="93"/>
      <c r="V1376" s="93"/>
      <c r="W1376" s="93"/>
      <c r="X1376" s="93"/>
      <c r="Y1376" s="93"/>
      <c r="Z1376" s="93"/>
    </row>
    <row r="1377" customFormat="false" ht="16.4" hidden="false" customHeight="false" outlineLevel="0" collapsed="false">
      <c r="A1377" s="123" t="n">
        <v>45444</v>
      </c>
      <c r="B1377" s="31" t="s">
        <v>153</v>
      </c>
      <c r="C1377" s="129"/>
      <c r="D1377" s="129"/>
      <c r="E1377" s="19" t="n">
        <f aca="false">F1377*0.03</f>
        <v>0</v>
      </c>
      <c r="F1377" s="33" t="n">
        <v>0</v>
      </c>
      <c r="G1377" s="131"/>
      <c r="H1377" s="35" t="n">
        <v>0</v>
      </c>
      <c r="I1377" s="34" t="n">
        <f aca="false">+IF(E1377=0,0,E1377*0.03)</f>
        <v>0</v>
      </c>
      <c r="J1377" s="93"/>
      <c r="K1377" s="93"/>
      <c r="L1377" s="93"/>
      <c r="M1377" s="93"/>
      <c r="N1377" s="93"/>
      <c r="O1377" s="93"/>
      <c r="P1377" s="93"/>
      <c r="Q1377" s="93"/>
      <c r="R1377" s="93"/>
      <c r="S1377" s="93"/>
      <c r="T1377" s="93"/>
      <c r="U1377" s="93"/>
      <c r="V1377" s="93"/>
      <c r="W1377" s="93"/>
      <c r="X1377" s="93"/>
      <c r="Y1377" s="93"/>
      <c r="Z1377" s="93"/>
    </row>
    <row r="1378" customFormat="false" ht="16.4" hidden="false" customHeight="false" outlineLevel="0" collapsed="false">
      <c r="A1378" s="123" t="n">
        <v>45444</v>
      </c>
      <c r="B1378" s="31" t="s">
        <v>153</v>
      </c>
      <c r="C1378" s="129"/>
      <c r="D1378" s="129"/>
      <c r="E1378" s="19" t="n">
        <f aca="false">F1378*0.03</f>
        <v>0</v>
      </c>
      <c r="F1378" s="33" t="n">
        <v>0</v>
      </c>
      <c r="G1378" s="131"/>
      <c r="H1378" s="35" t="n">
        <v>0</v>
      </c>
      <c r="I1378" s="34" t="n">
        <f aca="false">+IF(E1378=0,0,E1378*0.03)</f>
        <v>0</v>
      </c>
      <c r="J1378" s="93"/>
      <c r="K1378" s="93"/>
      <c r="L1378" s="93"/>
      <c r="M1378" s="93"/>
      <c r="N1378" s="93"/>
      <c r="O1378" s="93"/>
      <c r="P1378" s="93"/>
      <c r="Q1378" s="93"/>
      <c r="R1378" s="93"/>
      <c r="S1378" s="93"/>
      <c r="T1378" s="93"/>
      <c r="U1378" s="93"/>
      <c r="V1378" s="93"/>
      <c r="W1378" s="93"/>
      <c r="X1378" s="93"/>
      <c r="Y1378" s="93"/>
      <c r="Z1378" s="93"/>
    </row>
    <row r="1379" customFormat="false" ht="16.4" hidden="false" customHeight="false" outlineLevel="0" collapsed="false">
      <c r="A1379" s="123" t="n">
        <v>45444</v>
      </c>
      <c r="B1379" s="31" t="s">
        <v>153</v>
      </c>
      <c r="C1379" s="129"/>
      <c r="D1379" s="129"/>
      <c r="E1379" s="19" t="n">
        <f aca="false">F1379*0.03</f>
        <v>0</v>
      </c>
      <c r="F1379" s="33" t="n">
        <v>0</v>
      </c>
      <c r="G1379" s="131"/>
      <c r="H1379" s="35" t="n">
        <v>0</v>
      </c>
      <c r="I1379" s="34" t="n">
        <f aca="false">+IF(E1379=0,0,E1379*0.03)</f>
        <v>0</v>
      </c>
      <c r="J1379" s="93"/>
      <c r="K1379" s="93"/>
      <c r="L1379" s="93"/>
      <c r="M1379" s="93"/>
      <c r="N1379" s="93"/>
      <c r="O1379" s="93"/>
      <c r="P1379" s="93"/>
      <c r="Q1379" s="93"/>
      <c r="R1379" s="93"/>
      <c r="S1379" s="93"/>
      <c r="T1379" s="93"/>
      <c r="U1379" s="93"/>
      <c r="V1379" s="93"/>
      <c r="W1379" s="93"/>
      <c r="X1379" s="93"/>
      <c r="Y1379" s="93"/>
      <c r="Z1379" s="93"/>
    </row>
    <row r="1380" customFormat="false" ht="16.4" hidden="false" customHeight="false" outlineLevel="0" collapsed="false">
      <c r="A1380" s="123" t="n">
        <v>45444</v>
      </c>
      <c r="B1380" s="31" t="s">
        <v>153</v>
      </c>
      <c r="C1380" s="129"/>
      <c r="D1380" s="129"/>
      <c r="E1380" s="19" t="n">
        <f aca="false">F1380*0.03</f>
        <v>0</v>
      </c>
      <c r="F1380" s="33" t="n">
        <v>0</v>
      </c>
      <c r="G1380" s="131"/>
      <c r="H1380" s="35" t="n">
        <v>0</v>
      </c>
      <c r="I1380" s="34" t="n">
        <f aca="false">+IF(E1380=0,0,E1380*0.03)</f>
        <v>0</v>
      </c>
      <c r="J1380" s="93"/>
      <c r="K1380" s="93"/>
      <c r="L1380" s="93"/>
      <c r="M1380" s="93"/>
      <c r="N1380" s="93"/>
      <c r="O1380" s="93"/>
      <c r="P1380" s="93"/>
      <c r="Q1380" s="93"/>
      <c r="R1380" s="93"/>
      <c r="S1380" s="93"/>
      <c r="T1380" s="93"/>
      <c r="U1380" s="93"/>
      <c r="V1380" s="93"/>
      <c r="W1380" s="93"/>
      <c r="X1380" s="93"/>
      <c r="Y1380" s="93"/>
      <c r="Z1380" s="93"/>
    </row>
    <row r="1381" customFormat="false" ht="16.4" hidden="false" customHeight="false" outlineLevel="0" collapsed="false">
      <c r="A1381" s="123" t="n">
        <v>45444</v>
      </c>
      <c r="B1381" s="31" t="s">
        <v>153</v>
      </c>
      <c r="C1381" s="129"/>
      <c r="D1381" s="129"/>
      <c r="E1381" s="19" t="n">
        <f aca="false">F1381*0.03</f>
        <v>0</v>
      </c>
      <c r="F1381" s="33" t="n">
        <v>0</v>
      </c>
      <c r="G1381" s="131"/>
      <c r="H1381" s="35" t="n">
        <v>0</v>
      </c>
      <c r="I1381" s="34" t="n">
        <f aca="false">+IF(E1381=0,0,E1381*0.03)</f>
        <v>0</v>
      </c>
      <c r="J1381" s="93"/>
      <c r="K1381" s="93"/>
      <c r="L1381" s="93"/>
      <c r="M1381" s="93"/>
      <c r="N1381" s="93"/>
      <c r="O1381" s="93"/>
      <c r="P1381" s="93"/>
      <c r="Q1381" s="93"/>
      <c r="R1381" s="93"/>
      <c r="S1381" s="93"/>
      <c r="T1381" s="93"/>
      <c r="U1381" s="93"/>
      <c r="V1381" s="93"/>
      <c r="W1381" s="93"/>
      <c r="X1381" s="93"/>
      <c r="Y1381" s="93"/>
      <c r="Z1381" s="93"/>
    </row>
    <row r="1382" customFormat="false" ht="16.4" hidden="false" customHeight="false" outlineLevel="0" collapsed="false">
      <c r="A1382" s="123" t="n">
        <v>45444</v>
      </c>
      <c r="B1382" s="31" t="s">
        <v>153</v>
      </c>
      <c r="C1382" s="129"/>
      <c r="D1382" s="129"/>
      <c r="E1382" s="19" t="n">
        <f aca="false">F1382*0.03</f>
        <v>0</v>
      </c>
      <c r="F1382" s="33" t="n">
        <v>0</v>
      </c>
      <c r="G1382" s="131"/>
      <c r="H1382" s="35" t="n">
        <v>0</v>
      </c>
      <c r="I1382" s="34" t="n">
        <f aca="false">+IF(E1382=0,0,E1382*0.03)</f>
        <v>0</v>
      </c>
      <c r="J1382" s="93"/>
      <c r="K1382" s="93"/>
      <c r="L1382" s="93"/>
      <c r="M1382" s="93"/>
      <c r="N1382" s="93"/>
      <c r="O1382" s="93"/>
      <c r="P1382" s="93"/>
      <c r="Q1382" s="93"/>
      <c r="R1382" s="93"/>
      <c r="S1382" s="93"/>
      <c r="T1382" s="93"/>
      <c r="U1382" s="93"/>
      <c r="V1382" s="93"/>
      <c r="W1382" s="93"/>
      <c r="X1382" s="93"/>
      <c r="Y1382" s="93"/>
      <c r="Z1382" s="93"/>
    </row>
    <row r="1383" customFormat="false" ht="16.4" hidden="false" customHeight="false" outlineLevel="0" collapsed="false">
      <c r="A1383" s="123" t="n">
        <v>45444</v>
      </c>
      <c r="B1383" s="31" t="s">
        <v>153</v>
      </c>
      <c r="C1383" s="129"/>
      <c r="D1383" s="129"/>
      <c r="E1383" s="19" t="n">
        <f aca="false">F1383*0.03</f>
        <v>0</v>
      </c>
      <c r="F1383" s="33" t="n">
        <v>0</v>
      </c>
      <c r="G1383" s="131"/>
      <c r="H1383" s="35" t="n">
        <v>0</v>
      </c>
      <c r="I1383" s="34" t="n">
        <f aca="false">+IF(E1383=0,0,E1383*0.03)</f>
        <v>0</v>
      </c>
      <c r="J1383" s="93"/>
      <c r="K1383" s="93"/>
      <c r="L1383" s="93"/>
      <c r="M1383" s="93"/>
      <c r="N1383" s="93"/>
      <c r="O1383" s="93"/>
      <c r="P1383" s="93"/>
      <c r="Q1383" s="93"/>
      <c r="R1383" s="93"/>
      <c r="S1383" s="93"/>
      <c r="T1383" s="93"/>
      <c r="U1383" s="93"/>
      <c r="V1383" s="93"/>
      <c r="W1383" s="93"/>
      <c r="X1383" s="93"/>
      <c r="Y1383" s="93"/>
      <c r="Z1383" s="93"/>
    </row>
    <row r="1384" customFormat="false" ht="16.4" hidden="false" customHeight="false" outlineLevel="0" collapsed="false">
      <c r="A1384" s="123" t="n">
        <v>45444</v>
      </c>
      <c r="B1384" s="31" t="s">
        <v>153</v>
      </c>
      <c r="C1384" s="129"/>
      <c r="D1384" s="129"/>
      <c r="E1384" s="19" t="n">
        <f aca="false">F1384*0.03</f>
        <v>0</v>
      </c>
      <c r="F1384" s="33" t="n">
        <v>0</v>
      </c>
      <c r="G1384" s="131"/>
      <c r="H1384" s="35" t="n">
        <v>0</v>
      </c>
      <c r="I1384" s="34" t="n">
        <f aca="false">+IF(E1384=0,0,E1384*0.03)</f>
        <v>0</v>
      </c>
      <c r="J1384" s="93"/>
      <c r="K1384" s="93"/>
      <c r="L1384" s="93"/>
      <c r="M1384" s="93"/>
      <c r="N1384" s="93"/>
      <c r="O1384" s="93"/>
      <c r="P1384" s="93"/>
      <c r="Q1384" s="93"/>
      <c r="R1384" s="93"/>
      <c r="S1384" s="93"/>
      <c r="T1384" s="93"/>
      <c r="U1384" s="93"/>
      <c r="V1384" s="93"/>
      <c r="W1384" s="93"/>
      <c r="X1384" s="93"/>
      <c r="Y1384" s="93"/>
      <c r="Z1384" s="93"/>
    </row>
    <row r="1385" customFormat="false" ht="16.4" hidden="false" customHeight="false" outlineLevel="0" collapsed="false">
      <c r="A1385" s="123" t="n">
        <v>45444</v>
      </c>
      <c r="B1385" s="31" t="s">
        <v>153</v>
      </c>
      <c r="C1385" s="129"/>
      <c r="D1385" s="129"/>
      <c r="E1385" s="19" t="n">
        <f aca="false">F1385*0.03</f>
        <v>0</v>
      </c>
      <c r="F1385" s="33" t="n">
        <v>0</v>
      </c>
      <c r="G1385" s="131"/>
      <c r="H1385" s="35" t="n">
        <v>0</v>
      </c>
      <c r="I1385" s="34" t="n">
        <f aca="false">+IF(E1385=0,0,E1385*0.03)</f>
        <v>0</v>
      </c>
      <c r="J1385" s="93"/>
      <c r="K1385" s="93"/>
      <c r="L1385" s="93"/>
      <c r="M1385" s="93"/>
      <c r="N1385" s="93"/>
      <c r="O1385" s="93"/>
      <c r="P1385" s="93"/>
      <c r="Q1385" s="93"/>
      <c r="R1385" s="93"/>
      <c r="S1385" s="93"/>
      <c r="T1385" s="93"/>
      <c r="U1385" s="93"/>
      <c r="V1385" s="93"/>
      <c r="W1385" s="93"/>
      <c r="X1385" s="93"/>
      <c r="Y1385" s="93"/>
      <c r="Z1385" s="93"/>
    </row>
    <row r="1386" customFormat="false" ht="16.4" hidden="false" customHeight="false" outlineLevel="0" collapsed="false">
      <c r="A1386" s="123" t="n">
        <v>45444</v>
      </c>
      <c r="B1386" s="31" t="s">
        <v>153</v>
      </c>
      <c r="C1386" s="129"/>
      <c r="D1386" s="129"/>
      <c r="E1386" s="19" t="n">
        <f aca="false">F1386*0.03</f>
        <v>0</v>
      </c>
      <c r="F1386" s="33" t="n">
        <v>0</v>
      </c>
      <c r="G1386" s="131"/>
      <c r="H1386" s="35" t="n">
        <v>0</v>
      </c>
      <c r="I1386" s="34" t="n">
        <f aca="false">+IF(E1386=0,0,E1386*0.03)</f>
        <v>0</v>
      </c>
      <c r="J1386" s="93"/>
      <c r="K1386" s="93"/>
      <c r="L1386" s="93"/>
      <c r="M1386" s="93"/>
      <c r="N1386" s="93"/>
      <c r="O1386" s="93"/>
      <c r="P1386" s="93"/>
      <c r="Q1386" s="93"/>
      <c r="R1386" s="93"/>
      <c r="S1386" s="93"/>
      <c r="T1386" s="93"/>
      <c r="U1386" s="93"/>
      <c r="V1386" s="93"/>
      <c r="W1386" s="93"/>
      <c r="X1386" s="93"/>
      <c r="Y1386" s="93"/>
      <c r="Z1386" s="93"/>
    </row>
    <row r="1387" customFormat="false" ht="16.4" hidden="false" customHeight="false" outlineLevel="0" collapsed="false">
      <c r="A1387" s="123" t="n">
        <v>45444</v>
      </c>
      <c r="B1387" s="31" t="s">
        <v>153</v>
      </c>
      <c r="C1387" s="129"/>
      <c r="D1387" s="129"/>
      <c r="E1387" s="19" t="n">
        <f aca="false">F1387*0.03</f>
        <v>0</v>
      </c>
      <c r="F1387" s="33" t="n">
        <v>0</v>
      </c>
      <c r="G1387" s="131"/>
      <c r="H1387" s="35" t="n">
        <v>0</v>
      </c>
      <c r="I1387" s="34" t="n">
        <f aca="false">+IF(E1387=0,0,E1387*0.03)</f>
        <v>0</v>
      </c>
      <c r="J1387" s="93"/>
      <c r="K1387" s="93"/>
      <c r="L1387" s="93"/>
      <c r="M1387" s="93"/>
      <c r="N1387" s="93"/>
      <c r="O1387" s="93"/>
      <c r="P1387" s="93"/>
      <c r="Q1387" s="93"/>
      <c r="R1387" s="93"/>
      <c r="S1387" s="93"/>
      <c r="T1387" s="93"/>
      <c r="U1387" s="93"/>
      <c r="V1387" s="93"/>
      <c r="W1387" s="93"/>
      <c r="X1387" s="93"/>
      <c r="Y1387" s="93"/>
      <c r="Z1387" s="93"/>
    </row>
    <row r="1388" customFormat="false" ht="16.4" hidden="false" customHeight="false" outlineLevel="0" collapsed="false">
      <c r="A1388" s="123" t="n">
        <v>45444</v>
      </c>
      <c r="B1388" s="31" t="s">
        <v>153</v>
      </c>
      <c r="C1388" s="129"/>
      <c r="D1388" s="129"/>
      <c r="E1388" s="19" t="n">
        <f aca="false">F1388*0.03</f>
        <v>0</v>
      </c>
      <c r="F1388" s="33" t="n">
        <v>0</v>
      </c>
      <c r="G1388" s="131"/>
      <c r="H1388" s="35" t="n">
        <v>0</v>
      </c>
      <c r="I1388" s="34" t="n">
        <f aca="false">+IF(E1388=0,0,E1388*0.03)</f>
        <v>0</v>
      </c>
      <c r="J1388" s="93"/>
      <c r="K1388" s="93"/>
      <c r="L1388" s="93"/>
      <c r="M1388" s="93"/>
      <c r="N1388" s="93"/>
      <c r="O1388" s="93"/>
      <c r="P1388" s="93"/>
      <c r="Q1388" s="93"/>
      <c r="R1388" s="93"/>
      <c r="S1388" s="93"/>
      <c r="T1388" s="93"/>
      <c r="U1388" s="93"/>
      <c r="V1388" s="93"/>
      <c r="W1388" s="93"/>
      <c r="X1388" s="93"/>
      <c r="Y1388" s="93"/>
      <c r="Z1388" s="93"/>
    </row>
    <row r="1389" customFormat="false" ht="16.4" hidden="false" customHeight="false" outlineLevel="0" collapsed="false">
      <c r="A1389" s="123" t="n">
        <v>45444</v>
      </c>
      <c r="B1389" s="31" t="s">
        <v>153</v>
      </c>
      <c r="C1389" s="129"/>
      <c r="D1389" s="129"/>
      <c r="E1389" s="19" t="n">
        <f aca="false">F1389*0.03</f>
        <v>0</v>
      </c>
      <c r="F1389" s="33" t="n">
        <v>0</v>
      </c>
      <c r="G1389" s="131"/>
      <c r="H1389" s="35" t="n">
        <v>0</v>
      </c>
      <c r="I1389" s="34" t="n">
        <f aca="false">+IF(E1389=0,0,E1389*0.03)</f>
        <v>0</v>
      </c>
      <c r="J1389" s="93"/>
      <c r="K1389" s="93"/>
      <c r="L1389" s="93"/>
      <c r="M1389" s="93"/>
      <c r="N1389" s="93"/>
      <c r="O1389" s="93"/>
      <c r="P1389" s="93"/>
      <c r="Q1389" s="93"/>
      <c r="R1389" s="93"/>
      <c r="S1389" s="93"/>
      <c r="T1389" s="93"/>
      <c r="U1389" s="93"/>
      <c r="V1389" s="93"/>
      <c r="W1389" s="93"/>
      <c r="X1389" s="93"/>
      <c r="Y1389" s="93"/>
      <c r="Z1389" s="93"/>
    </row>
    <row r="1390" customFormat="false" ht="16.4" hidden="false" customHeight="false" outlineLevel="0" collapsed="false">
      <c r="A1390" s="123" t="n">
        <v>45444</v>
      </c>
      <c r="B1390" s="31" t="s">
        <v>153</v>
      </c>
      <c r="C1390" s="129"/>
      <c r="D1390" s="129"/>
      <c r="E1390" s="19" t="n">
        <f aca="false">F1390*0.03</f>
        <v>0</v>
      </c>
      <c r="F1390" s="33" t="n">
        <v>0</v>
      </c>
      <c r="G1390" s="131"/>
      <c r="H1390" s="35" t="n">
        <v>0</v>
      </c>
      <c r="I1390" s="34" t="n">
        <f aca="false">+IF(E1390=0,0,E1390*0.03)</f>
        <v>0</v>
      </c>
      <c r="J1390" s="93"/>
      <c r="K1390" s="93"/>
      <c r="L1390" s="93"/>
      <c r="M1390" s="93"/>
      <c r="N1390" s="93"/>
      <c r="O1390" s="93"/>
      <c r="P1390" s="93"/>
      <c r="Q1390" s="93"/>
      <c r="R1390" s="93"/>
      <c r="S1390" s="93"/>
      <c r="T1390" s="93"/>
      <c r="U1390" s="93"/>
      <c r="V1390" s="93"/>
      <c r="W1390" s="93"/>
      <c r="X1390" s="93"/>
      <c r="Y1390" s="93"/>
      <c r="Z1390" s="93"/>
    </row>
    <row r="1391" customFormat="false" ht="16.4" hidden="false" customHeight="false" outlineLevel="0" collapsed="false">
      <c r="A1391" s="123" t="n">
        <v>45444</v>
      </c>
      <c r="B1391" s="31" t="s">
        <v>153</v>
      </c>
      <c r="C1391" s="129"/>
      <c r="D1391" s="129"/>
      <c r="E1391" s="19" t="n">
        <f aca="false">F1391*0.03</f>
        <v>0</v>
      </c>
      <c r="F1391" s="33" t="n">
        <v>0</v>
      </c>
      <c r="G1391" s="131"/>
      <c r="H1391" s="35" t="n">
        <v>0</v>
      </c>
      <c r="I1391" s="34" t="n">
        <f aca="false">+IF(E1391=0,0,E1391*0.03)</f>
        <v>0</v>
      </c>
      <c r="J1391" s="93"/>
      <c r="K1391" s="93"/>
      <c r="L1391" s="93"/>
      <c r="M1391" s="93"/>
      <c r="N1391" s="93"/>
      <c r="O1391" s="93"/>
      <c r="P1391" s="93"/>
      <c r="Q1391" s="93"/>
      <c r="R1391" s="93"/>
      <c r="S1391" s="93"/>
      <c r="T1391" s="93"/>
      <c r="U1391" s="93"/>
      <c r="V1391" s="93"/>
      <c r="W1391" s="93"/>
      <c r="X1391" s="93"/>
      <c r="Y1391" s="93"/>
      <c r="Z1391" s="93"/>
    </row>
    <row r="1392" customFormat="false" ht="16.4" hidden="false" customHeight="false" outlineLevel="0" collapsed="false">
      <c r="A1392" s="123" t="n">
        <v>45444</v>
      </c>
      <c r="B1392" s="31" t="s">
        <v>153</v>
      </c>
      <c r="C1392" s="129"/>
      <c r="D1392" s="129"/>
      <c r="E1392" s="19" t="n">
        <f aca="false">F1392*0.03</f>
        <v>0</v>
      </c>
      <c r="F1392" s="33" t="n">
        <v>0</v>
      </c>
      <c r="G1392" s="131"/>
      <c r="H1392" s="35" t="n">
        <v>0</v>
      </c>
      <c r="I1392" s="34" t="n">
        <f aca="false">+IF(E1392=0,0,E1392*0.03)</f>
        <v>0</v>
      </c>
      <c r="J1392" s="93"/>
      <c r="K1392" s="93"/>
      <c r="L1392" s="93"/>
      <c r="M1392" s="93"/>
      <c r="N1392" s="93"/>
      <c r="O1392" s="93"/>
      <c r="P1392" s="93"/>
      <c r="Q1392" s="93"/>
      <c r="R1392" s="93"/>
      <c r="S1392" s="93"/>
      <c r="T1392" s="93"/>
      <c r="U1392" s="93"/>
      <c r="V1392" s="93"/>
      <c r="W1392" s="93"/>
      <c r="X1392" s="93"/>
      <c r="Y1392" s="93"/>
      <c r="Z1392" s="93"/>
    </row>
    <row r="1393" customFormat="false" ht="16.4" hidden="false" customHeight="false" outlineLevel="0" collapsed="false">
      <c r="A1393" s="123" t="n">
        <v>45444</v>
      </c>
      <c r="B1393" s="31" t="s">
        <v>153</v>
      </c>
      <c r="C1393" s="129"/>
      <c r="D1393" s="129"/>
      <c r="E1393" s="19" t="n">
        <f aca="false">F1393*0.03</f>
        <v>0</v>
      </c>
      <c r="F1393" s="33" t="n">
        <v>0</v>
      </c>
      <c r="G1393" s="131"/>
      <c r="H1393" s="35" t="n">
        <v>0</v>
      </c>
      <c r="I1393" s="34" t="n">
        <f aca="false">+IF(E1393=0,0,E1393*0.03)</f>
        <v>0</v>
      </c>
      <c r="J1393" s="93"/>
      <c r="K1393" s="93"/>
      <c r="L1393" s="93"/>
      <c r="M1393" s="93"/>
      <c r="N1393" s="93"/>
      <c r="O1393" s="93"/>
      <c r="P1393" s="93"/>
      <c r="Q1393" s="93"/>
      <c r="R1393" s="93"/>
      <c r="S1393" s="93"/>
      <c r="T1393" s="93"/>
      <c r="U1393" s="93"/>
      <c r="V1393" s="93"/>
      <c r="W1393" s="93"/>
      <c r="X1393" s="93"/>
      <c r="Y1393" s="93"/>
      <c r="Z1393" s="93"/>
    </row>
    <row r="1394" customFormat="false" ht="16.4" hidden="false" customHeight="false" outlineLevel="0" collapsed="false">
      <c r="A1394" s="123" t="n">
        <v>45444</v>
      </c>
      <c r="B1394" s="31" t="s">
        <v>153</v>
      </c>
      <c r="C1394" s="129"/>
      <c r="D1394" s="129"/>
      <c r="E1394" s="19" t="n">
        <f aca="false">F1394*0.03</f>
        <v>0</v>
      </c>
      <c r="F1394" s="33" t="n">
        <v>0</v>
      </c>
      <c r="G1394" s="131"/>
      <c r="H1394" s="35" t="n">
        <v>0</v>
      </c>
      <c r="I1394" s="34" t="n">
        <f aca="false">+IF(E1394=0,0,E1394*0.03)</f>
        <v>0</v>
      </c>
      <c r="J1394" s="93"/>
      <c r="K1394" s="93"/>
      <c r="L1394" s="93"/>
      <c r="M1394" s="93"/>
      <c r="N1394" s="93"/>
      <c r="O1394" s="93"/>
      <c r="P1394" s="93"/>
      <c r="Q1394" s="93"/>
      <c r="R1394" s="93"/>
      <c r="S1394" s="93"/>
      <c r="T1394" s="93"/>
      <c r="U1394" s="93"/>
      <c r="V1394" s="93"/>
      <c r="W1394" s="93"/>
      <c r="X1394" s="93"/>
      <c r="Y1394" s="93"/>
      <c r="Z1394" s="93"/>
    </row>
    <row r="1395" customFormat="false" ht="16.4" hidden="false" customHeight="false" outlineLevel="0" collapsed="false">
      <c r="A1395" s="123" t="n">
        <v>45444</v>
      </c>
      <c r="B1395" s="31" t="s">
        <v>153</v>
      </c>
      <c r="C1395" s="129"/>
      <c r="D1395" s="129"/>
      <c r="E1395" s="19" t="n">
        <f aca="false">F1395*0.03</f>
        <v>0</v>
      </c>
      <c r="F1395" s="33" t="n">
        <v>0</v>
      </c>
      <c r="G1395" s="131"/>
      <c r="H1395" s="35" t="n">
        <v>0</v>
      </c>
      <c r="I1395" s="34" t="n">
        <f aca="false">+IF(E1395=0,0,E1395*0.03)</f>
        <v>0</v>
      </c>
      <c r="J1395" s="93"/>
      <c r="K1395" s="93"/>
      <c r="L1395" s="93"/>
      <c r="M1395" s="93"/>
      <c r="N1395" s="93"/>
      <c r="O1395" s="93"/>
      <c r="P1395" s="93"/>
      <c r="Q1395" s="93"/>
      <c r="R1395" s="93"/>
      <c r="S1395" s="93"/>
      <c r="T1395" s="93"/>
      <c r="U1395" s="93"/>
      <c r="V1395" s="93"/>
      <c r="W1395" s="93"/>
      <c r="X1395" s="93"/>
      <c r="Y1395" s="93"/>
      <c r="Z1395" s="93"/>
    </row>
    <row r="1396" customFormat="false" ht="16.4" hidden="false" customHeight="false" outlineLevel="0" collapsed="false">
      <c r="A1396" s="123" t="n">
        <v>45444</v>
      </c>
      <c r="B1396" s="31" t="s">
        <v>153</v>
      </c>
      <c r="C1396" s="129"/>
      <c r="D1396" s="129"/>
      <c r="E1396" s="19" t="n">
        <f aca="false">F1396*0.03</f>
        <v>0</v>
      </c>
      <c r="F1396" s="33" t="n">
        <v>0</v>
      </c>
      <c r="G1396" s="131"/>
      <c r="H1396" s="35" t="n">
        <v>0</v>
      </c>
      <c r="I1396" s="34" t="n">
        <f aca="false">+IF(E1396=0,0,E1396*0.03)</f>
        <v>0</v>
      </c>
      <c r="J1396" s="93"/>
      <c r="K1396" s="93"/>
      <c r="L1396" s="93"/>
      <c r="M1396" s="93"/>
      <c r="N1396" s="93"/>
      <c r="O1396" s="93"/>
      <c r="P1396" s="93"/>
      <c r="Q1396" s="93"/>
      <c r="R1396" s="93"/>
      <c r="S1396" s="93"/>
      <c r="T1396" s="93"/>
      <c r="U1396" s="93"/>
      <c r="V1396" s="93"/>
      <c r="W1396" s="93"/>
      <c r="X1396" s="93"/>
      <c r="Y1396" s="93"/>
      <c r="Z1396" s="93"/>
    </row>
    <row r="1397" customFormat="false" ht="16.4" hidden="false" customHeight="false" outlineLevel="0" collapsed="false">
      <c r="A1397" s="123" t="n">
        <v>45444</v>
      </c>
      <c r="B1397" s="31" t="s">
        <v>153</v>
      </c>
      <c r="C1397" s="129"/>
      <c r="D1397" s="129"/>
      <c r="E1397" s="19" t="n">
        <f aca="false">F1397*0.03</f>
        <v>0</v>
      </c>
      <c r="F1397" s="33" t="n">
        <v>0</v>
      </c>
      <c r="G1397" s="131"/>
      <c r="H1397" s="35" t="n">
        <v>0</v>
      </c>
      <c r="I1397" s="34" t="n">
        <f aca="false">+IF(E1397=0,0,E1397*0.03)</f>
        <v>0</v>
      </c>
      <c r="J1397" s="93"/>
      <c r="K1397" s="93"/>
      <c r="L1397" s="93"/>
      <c r="M1397" s="93"/>
      <c r="N1397" s="93"/>
      <c r="O1397" s="93"/>
      <c r="P1397" s="93"/>
      <c r="Q1397" s="93"/>
      <c r="R1397" s="93"/>
      <c r="S1397" s="93"/>
      <c r="T1397" s="93"/>
      <c r="U1397" s="93"/>
      <c r="V1397" s="93"/>
      <c r="W1397" s="93"/>
      <c r="X1397" s="93"/>
      <c r="Y1397" s="93"/>
      <c r="Z1397" s="93"/>
    </row>
    <row r="1398" customFormat="false" ht="16.4" hidden="false" customHeight="false" outlineLevel="0" collapsed="false">
      <c r="A1398" s="123" t="n">
        <v>45444</v>
      </c>
      <c r="B1398" s="31" t="s">
        <v>153</v>
      </c>
      <c r="C1398" s="129"/>
      <c r="D1398" s="129"/>
      <c r="E1398" s="19" t="n">
        <f aca="false">F1398*0.03</f>
        <v>0</v>
      </c>
      <c r="F1398" s="33" t="n">
        <v>0</v>
      </c>
      <c r="G1398" s="131"/>
      <c r="H1398" s="35" t="n">
        <v>0</v>
      </c>
      <c r="I1398" s="34" t="n">
        <f aca="false">+IF(E1398=0,0,E1398*0.03)</f>
        <v>0</v>
      </c>
      <c r="J1398" s="93"/>
      <c r="K1398" s="93"/>
      <c r="L1398" s="93"/>
      <c r="M1398" s="93"/>
      <c r="N1398" s="93"/>
      <c r="O1398" s="93"/>
      <c r="P1398" s="93"/>
      <c r="Q1398" s="93"/>
      <c r="R1398" s="93"/>
      <c r="S1398" s="93"/>
      <c r="T1398" s="93"/>
      <c r="U1398" s="93"/>
      <c r="V1398" s="93"/>
      <c r="W1398" s="93"/>
      <c r="X1398" s="93"/>
      <c r="Y1398" s="93"/>
      <c r="Z1398" s="93"/>
    </row>
    <row r="1399" customFormat="false" ht="16.4" hidden="false" customHeight="false" outlineLevel="0" collapsed="false">
      <c r="A1399" s="123" t="n">
        <v>45444</v>
      </c>
      <c r="B1399" s="31" t="s">
        <v>153</v>
      </c>
      <c r="C1399" s="129"/>
      <c r="D1399" s="129"/>
      <c r="E1399" s="19" t="n">
        <f aca="false">F1399*0.03</f>
        <v>0</v>
      </c>
      <c r="F1399" s="33" t="n">
        <v>0</v>
      </c>
      <c r="G1399" s="131"/>
      <c r="H1399" s="35" t="n">
        <v>0</v>
      </c>
      <c r="I1399" s="34" t="n">
        <f aca="false">+IF(E1399=0,0,E1399*0.03)</f>
        <v>0</v>
      </c>
      <c r="J1399" s="93"/>
      <c r="K1399" s="93"/>
      <c r="L1399" s="93"/>
      <c r="M1399" s="93"/>
      <c r="N1399" s="93"/>
      <c r="O1399" s="93"/>
      <c r="P1399" s="93"/>
      <c r="Q1399" s="93"/>
      <c r="R1399" s="93"/>
      <c r="S1399" s="93"/>
      <c r="T1399" s="93"/>
      <c r="U1399" s="93"/>
      <c r="V1399" s="93"/>
      <c r="W1399" s="93"/>
      <c r="X1399" s="93"/>
      <c r="Y1399" s="93"/>
      <c r="Z1399" s="93"/>
    </row>
    <row r="1400" customFormat="false" ht="16.4" hidden="false" customHeight="false" outlineLevel="0" collapsed="false">
      <c r="A1400" s="123" t="n">
        <v>45444</v>
      </c>
      <c r="B1400" s="31" t="s">
        <v>153</v>
      </c>
      <c r="C1400" s="129"/>
      <c r="D1400" s="129"/>
      <c r="E1400" s="19" t="n">
        <f aca="false">F1400*0.03</f>
        <v>0</v>
      </c>
      <c r="F1400" s="33" t="n">
        <v>0</v>
      </c>
      <c r="G1400" s="131"/>
      <c r="H1400" s="35" t="n">
        <v>0</v>
      </c>
      <c r="I1400" s="34" t="n">
        <f aca="false">+IF(E1400=0,0,E1400*0.03)</f>
        <v>0</v>
      </c>
      <c r="J1400" s="93"/>
      <c r="K1400" s="93"/>
      <c r="L1400" s="93"/>
      <c r="M1400" s="93"/>
      <c r="N1400" s="93"/>
      <c r="O1400" s="93"/>
      <c r="P1400" s="93"/>
      <c r="Q1400" s="93"/>
      <c r="R1400" s="93"/>
      <c r="S1400" s="93"/>
      <c r="T1400" s="93"/>
      <c r="U1400" s="93"/>
      <c r="V1400" s="93"/>
      <c r="W1400" s="93"/>
      <c r="X1400" s="93"/>
      <c r="Y1400" s="93"/>
      <c r="Z1400" s="93"/>
    </row>
    <row r="1401" customFormat="false" ht="16.4" hidden="false" customHeight="false" outlineLevel="0" collapsed="false">
      <c r="A1401" s="123" t="n">
        <v>45444</v>
      </c>
      <c r="B1401" s="31" t="s">
        <v>153</v>
      </c>
      <c r="C1401" s="129"/>
      <c r="D1401" s="129"/>
      <c r="E1401" s="19" t="n">
        <f aca="false">F1401*0.03</f>
        <v>0</v>
      </c>
      <c r="F1401" s="33" t="n">
        <v>0</v>
      </c>
      <c r="G1401" s="131"/>
      <c r="H1401" s="35" t="n">
        <v>0</v>
      </c>
      <c r="I1401" s="34" t="n">
        <f aca="false">+IF(E1401=0,0,E1401*0.03)</f>
        <v>0</v>
      </c>
      <c r="J1401" s="93"/>
      <c r="K1401" s="93"/>
      <c r="L1401" s="93"/>
      <c r="M1401" s="93"/>
      <c r="N1401" s="93"/>
      <c r="O1401" s="93"/>
      <c r="P1401" s="93"/>
      <c r="Q1401" s="93"/>
      <c r="R1401" s="93"/>
      <c r="S1401" s="93"/>
      <c r="T1401" s="93"/>
      <c r="U1401" s="93"/>
      <c r="V1401" s="93"/>
      <c r="W1401" s="93"/>
      <c r="X1401" s="93"/>
      <c r="Y1401" s="93"/>
      <c r="Z1401" s="93"/>
    </row>
    <row r="1402" customFormat="false" ht="16.4" hidden="false" customHeight="false" outlineLevel="0" collapsed="false">
      <c r="A1402" s="123" t="n">
        <v>45444</v>
      </c>
      <c r="B1402" s="31" t="s">
        <v>153</v>
      </c>
      <c r="C1402" s="129"/>
      <c r="D1402" s="129"/>
      <c r="E1402" s="19" t="n">
        <f aca="false">F1402*0.03</f>
        <v>0</v>
      </c>
      <c r="F1402" s="33" t="n">
        <v>0</v>
      </c>
      <c r="G1402" s="131"/>
      <c r="H1402" s="35" t="n">
        <v>0</v>
      </c>
      <c r="I1402" s="34" t="n">
        <f aca="false">+IF(E1402=0,0,E1402*0.03)</f>
        <v>0</v>
      </c>
      <c r="J1402" s="93"/>
      <c r="K1402" s="93"/>
      <c r="L1402" s="93"/>
      <c r="M1402" s="93"/>
      <c r="N1402" s="93"/>
      <c r="O1402" s="93"/>
      <c r="P1402" s="93"/>
      <c r="Q1402" s="93"/>
      <c r="R1402" s="93"/>
      <c r="S1402" s="93"/>
      <c r="T1402" s="93"/>
      <c r="U1402" s="93"/>
      <c r="V1402" s="93"/>
      <c r="W1402" s="93"/>
      <c r="X1402" s="93"/>
      <c r="Y1402" s="93"/>
      <c r="Z1402" s="93"/>
    </row>
    <row r="1403" customFormat="false" ht="16.4" hidden="false" customHeight="false" outlineLevel="0" collapsed="false">
      <c r="A1403" s="123" t="n">
        <v>45444</v>
      </c>
      <c r="B1403" s="31" t="s">
        <v>153</v>
      </c>
      <c r="C1403" s="129"/>
      <c r="D1403" s="129"/>
      <c r="E1403" s="19" t="n">
        <f aca="false">F1403*0.03</f>
        <v>0</v>
      </c>
      <c r="F1403" s="33" t="n">
        <v>0</v>
      </c>
      <c r="G1403" s="131"/>
      <c r="H1403" s="35" t="n">
        <v>0</v>
      </c>
      <c r="I1403" s="34" t="n">
        <f aca="false">+IF(E1403=0,0,E1403*0.03)</f>
        <v>0</v>
      </c>
      <c r="J1403" s="93"/>
      <c r="K1403" s="93"/>
      <c r="L1403" s="93"/>
      <c r="M1403" s="93"/>
      <c r="N1403" s="93"/>
      <c r="O1403" s="93"/>
      <c r="P1403" s="93"/>
      <c r="Q1403" s="93"/>
      <c r="R1403" s="93"/>
      <c r="S1403" s="93"/>
      <c r="T1403" s="93"/>
      <c r="U1403" s="93"/>
      <c r="V1403" s="93"/>
      <c r="W1403" s="93"/>
      <c r="X1403" s="93"/>
      <c r="Y1403" s="93"/>
      <c r="Z1403" s="93"/>
    </row>
    <row r="1404" customFormat="false" ht="16.4" hidden="false" customHeight="false" outlineLevel="0" collapsed="false">
      <c r="A1404" s="123" t="n">
        <v>45444</v>
      </c>
      <c r="B1404" s="31" t="s">
        <v>153</v>
      </c>
      <c r="C1404" s="129"/>
      <c r="D1404" s="129"/>
      <c r="E1404" s="19" t="n">
        <f aca="false">F1404*0.03</f>
        <v>0</v>
      </c>
      <c r="F1404" s="33" t="n">
        <v>0</v>
      </c>
      <c r="G1404" s="131"/>
      <c r="H1404" s="35" t="n">
        <v>0</v>
      </c>
      <c r="I1404" s="34" t="n">
        <f aca="false">+IF(E1404=0,0,E1404*0.03)</f>
        <v>0</v>
      </c>
      <c r="J1404" s="93"/>
      <c r="K1404" s="93"/>
      <c r="L1404" s="93"/>
      <c r="M1404" s="93"/>
      <c r="N1404" s="93"/>
      <c r="O1404" s="93"/>
      <c r="P1404" s="93"/>
      <c r="Q1404" s="93"/>
      <c r="R1404" s="93"/>
      <c r="S1404" s="93"/>
      <c r="T1404" s="93"/>
      <c r="U1404" s="93"/>
      <c r="V1404" s="93"/>
      <c r="W1404" s="93"/>
      <c r="X1404" s="93"/>
      <c r="Y1404" s="93"/>
      <c r="Z1404" s="93"/>
    </row>
    <row r="1405" customFormat="false" ht="16.4" hidden="false" customHeight="false" outlineLevel="0" collapsed="false">
      <c r="A1405" s="123" t="n">
        <v>45444</v>
      </c>
      <c r="B1405" s="31" t="s">
        <v>153</v>
      </c>
      <c r="C1405" s="129"/>
      <c r="D1405" s="129"/>
      <c r="E1405" s="19" t="n">
        <f aca="false">F1405*0.03</f>
        <v>0</v>
      </c>
      <c r="F1405" s="33" t="n">
        <v>0</v>
      </c>
      <c r="G1405" s="131"/>
      <c r="H1405" s="35" t="n">
        <v>0</v>
      </c>
      <c r="I1405" s="34" t="n">
        <f aca="false">+IF(E1405=0,0,E1405*0.03)</f>
        <v>0</v>
      </c>
      <c r="J1405" s="93"/>
      <c r="K1405" s="93"/>
      <c r="L1405" s="93"/>
      <c r="M1405" s="93"/>
      <c r="N1405" s="93"/>
      <c r="O1405" s="93"/>
      <c r="P1405" s="93"/>
      <c r="Q1405" s="93"/>
      <c r="R1405" s="93"/>
      <c r="S1405" s="93"/>
      <c r="T1405" s="93"/>
      <c r="U1405" s="93"/>
      <c r="V1405" s="93"/>
      <c r="W1405" s="93"/>
      <c r="X1405" s="93"/>
      <c r="Y1405" s="93"/>
      <c r="Z1405" s="93"/>
    </row>
    <row r="1406" customFormat="false" ht="16.4" hidden="false" customHeight="false" outlineLevel="0" collapsed="false">
      <c r="A1406" s="123" t="n">
        <v>45444</v>
      </c>
      <c r="B1406" s="31" t="s">
        <v>153</v>
      </c>
      <c r="C1406" s="129"/>
      <c r="D1406" s="129"/>
      <c r="E1406" s="19" t="n">
        <f aca="false">F1406*0.03</f>
        <v>0</v>
      </c>
      <c r="F1406" s="33" t="n">
        <v>0</v>
      </c>
      <c r="G1406" s="131"/>
      <c r="H1406" s="35" t="n">
        <v>0</v>
      </c>
      <c r="I1406" s="34" t="n">
        <f aca="false">+IF(E1406=0,0,E1406*0.03)</f>
        <v>0</v>
      </c>
      <c r="J1406" s="93"/>
      <c r="K1406" s="93"/>
      <c r="L1406" s="93"/>
      <c r="M1406" s="93"/>
      <c r="N1406" s="93"/>
      <c r="O1406" s="93"/>
      <c r="P1406" s="93"/>
      <c r="Q1406" s="93"/>
      <c r="R1406" s="93"/>
      <c r="S1406" s="93"/>
      <c r="T1406" s="93"/>
      <c r="U1406" s="93"/>
      <c r="V1406" s="93"/>
      <c r="W1406" s="93"/>
      <c r="X1406" s="93"/>
      <c r="Y1406" s="93"/>
      <c r="Z1406" s="93"/>
    </row>
    <row r="1407" customFormat="false" ht="16.4" hidden="false" customHeight="false" outlineLevel="0" collapsed="false">
      <c r="A1407" s="123" t="n">
        <v>45444</v>
      </c>
      <c r="B1407" s="31" t="s">
        <v>153</v>
      </c>
      <c r="C1407" s="129"/>
      <c r="D1407" s="129"/>
      <c r="E1407" s="19" t="n">
        <f aca="false">F1407*0.03</f>
        <v>0</v>
      </c>
      <c r="F1407" s="33" t="n">
        <v>0</v>
      </c>
      <c r="G1407" s="131"/>
      <c r="H1407" s="35" t="n">
        <v>0</v>
      </c>
      <c r="I1407" s="34" t="n">
        <f aca="false">+IF(E1407=0,0,E1407*0.03)</f>
        <v>0</v>
      </c>
      <c r="J1407" s="93"/>
      <c r="K1407" s="93"/>
      <c r="L1407" s="93"/>
      <c r="M1407" s="93"/>
      <c r="N1407" s="93"/>
      <c r="O1407" s="93"/>
      <c r="P1407" s="93"/>
      <c r="Q1407" s="93"/>
      <c r="R1407" s="93"/>
      <c r="S1407" s="93"/>
      <c r="T1407" s="93"/>
      <c r="U1407" s="93"/>
      <c r="V1407" s="93"/>
      <c r="W1407" s="93"/>
      <c r="X1407" s="93"/>
      <c r="Y1407" s="93"/>
      <c r="Z1407" s="93"/>
    </row>
    <row r="1408" customFormat="false" ht="16.4" hidden="false" customHeight="false" outlineLevel="0" collapsed="false">
      <c r="A1408" s="123" t="n">
        <v>45444</v>
      </c>
      <c r="B1408" s="31" t="s">
        <v>153</v>
      </c>
      <c r="C1408" s="129"/>
      <c r="D1408" s="129"/>
      <c r="E1408" s="19" t="n">
        <f aca="false">F1408*0.03</f>
        <v>0</v>
      </c>
      <c r="F1408" s="33" t="n">
        <v>0</v>
      </c>
      <c r="G1408" s="131"/>
      <c r="H1408" s="35" t="n">
        <v>0</v>
      </c>
      <c r="I1408" s="34" t="n">
        <f aca="false">+IF(E1408=0,0,E1408*0.03)</f>
        <v>0</v>
      </c>
      <c r="J1408" s="93"/>
      <c r="K1408" s="93"/>
      <c r="L1408" s="93"/>
      <c r="M1408" s="93"/>
      <c r="N1408" s="93"/>
      <c r="O1408" s="93"/>
      <c r="P1408" s="93"/>
      <c r="Q1408" s="93"/>
      <c r="R1408" s="93"/>
      <c r="S1408" s="93"/>
      <c r="T1408" s="93"/>
      <c r="U1408" s="93"/>
      <c r="V1408" s="93"/>
      <c r="W1408" s="93"/>
      <c r="X1408" s="93"/>
      <c r="Y1408" s="93"/>
      <c r="Z1408" s="93"/>
    </row>
    <row r="1409" customFormat="false" ht="16.4" hidden="false" customHeight="false" outlineLevel="0" collapsed="false">
      <c r="A1409" s="123" t="n">
        <v>45444</v>
      </c>
      <c r="B1409" s="31" t="s">
        <v>153</v>
      </c>
      <c r="C1409" s="129"/>
      <c r="D1409" s="129"/>
      <c r="E1409" s="19" t="n">
        <f aca="false">F1409*0.03</f>
        <v>0</v>
      </c>
      <c r="F1409" s="33" t="n">
        <v>0</v>
      </c>
      <c r="G1409" s="131"/>
      <c r="H1409" s="35" t="n">
        <v>0</v>
      </c>
      <c r="I1409" s="34" t="n">
        <f aca="false">+IF(E1409=0,0,E1409*0.03)</f>
        <v>0</v>
      </c>
      <c r="J1409" s="93"/>
      <c r="K1409" s="93"/>
      <c r="L1409" s="93"/>
      <c r="M1409" s="93"/>
      <c r="N1409" s="93"/>
      <c r="O1409" s="93"/>
      <c r="P1409" s="93"/>
      <c r="Q1409" s="93"/>
      <c r="R1409" s="93"/>
      <c r="S1409" s="93"/>
      <c r="T1409" s="93"/>
      <c r="U1409" s="93"/>
      <c r="V1409" s="93"/>
      <c r="W1409" s="93"/>
      <c r="X1409" s="93"/>
      <c r="Y1409" s="93"/>
      <c r="Z1409" s="93"/>
    </row>
    <row r="1410" customFormat="false" ht="16.4" hidden="false" customHeight="false" outlineLevel="0" collapsed="false">
      <c r="A1410" s="123" t="n">
        <v>45444</v>
      </c>
      <c r="B1410" s="31" t="s">
        <v>153</v>
      </c>
      <c r="C1410" s="129"/>
      <c r="D1410" s="129"/>
      <c r="E1410" s="19" t="n">
        <f aca="false">F1410*0.03</f>
        <v>0</v>
      </c>
      <c r="F1410" s="33" t="n">
        <v>0</v>
      </c>
      <c r="G1410" s="131"/>
      <c r="H1410" s="35" t="n">
        <v>0</v>
      </c>
      <c r="I1410" s="34" t="n">
        <f aca="false">+IF(E1410=0,0,E1410*0.03)</f>
        <v>0</v>
      </c>
      <c r="J1410" s="93"/>
      <c r="K1410" s="93"/>
      <c r="L1410" s="93"/>
      <c r="M1410" s="93"/>
      <c r="N1410" s="93"/>
      <c r="O1410" s="93"/>
      <c r="P1410" s="93"/>
      <c r="Q1410" s="93"/>
      <c r="R1410" s="93"/>
      <c r="S1410" s="93"/>
      <c r="T1410" s="93"/>
      <c r="U1410" s="93"/>
      <c r="V1410" s="93"/>
      <c r="W1410" s="93"/>
      <c r="X1410" s="93"/>
      <c r="Y1410" s="93"/>
      <c r="Z1410" s="93"/>
    </row>
    <row r="1411" customFormat="false" ht="16.4" hidden="false" customHeight="false" outlineLevel="0" collapsed="false">
      <c r="A1411" s="123" t="n">
        <v>45444</v>
      </c>
      <c r="B1411" s="31" t="s">
        <v>153</v>
      </c>
      <c r="C1411" s="129"/>
      <c r="D1411" s="129"/>
      <c r="E1411" s="19" t="n">
        <f aca="false">F1411*0.03</f>
        <v>0</v>
      </c>
      <c r="F1411" s="33" t="n">
        <v>0</v>
      </c>
      <c r="G1411" s="131"/>
      <c r="H1411" s="35" t="n">
        <v>0</v>
      </c>
      <c r="I1411" s="34" t="n">
        <f aca="false">+IF(E1411=0,0,E1411*0.03)</f>
        <v>0</v>
      </c>
      <c r="J1411" s="93"/>
      <c r="K1411" s="93"/>
      <c r="L1411" s="93"/>
      <c r="M1411" s="93"/>
      <c r="N1411" s="93"/>
      <c r="O1411" s="93"/>
      <c r="P1411" s="93"/>
      <c r="Q1411" s="93"/>
      <c r="R1411" s="93"/>
      <c r="S1411" s="93"/>
      <c r="T1411" s="93"/>
      <c r="U1411" s="93"/>
      <c r="V1411" s="93"/>
      <c r="W1411" s="93"/>
      <c r="X1411" s="93"/>
      <c r="Y1411" s="93"/>
      <c r="Z1411" s="93"/>
    </row>
    <row r="1412" customFormat="false" ht="16.4" hidden="false" customHeight="false" outlineLevel="0" collapsed="false">
      <c r="A1412" s="123" t="n">
        <v>45444</v>
      </c>
      <c r="B1412" s="31" t="s">
        <v>153</v>
      </c>
      <c r="C1412" s="129"/>
      <c r="D1412" s="129"/>
      <c r="E1412" s="19" t="n">
        <f aca="false">F1412*0.03</f>
        <v>0</v>
      </c>
      <c r="F1412" s="33" t="n">
        <v>0</v>
      </c>
      <c r="G1412" s="131"/>
      <c r="H1412" s="35" t="n">
        <v>0</v>
      </c>
      <c r="I1412" s="34" t="n">
        <f aca="false">+IF(E1412=0,0,E1412*0.03)</f>
        <v>0</v>
      </c>
      <c r="J1412" s="93"/>
      <c r="K1412" s="93"/>
      <c r="L1412" s="93"/>
      <c r="M1412" s="93"/>
      <c r="N1412" s="93"/>
      <c r="O1412" s="93"/>
      <c r="P1412" s="93"/>
      <c r="Q1412" s="93"/>
      <c r="R1412" s="93"/>
      <c r="S1412" s="93"/>
      <c r="T1412" s="93"/>
      <c r="U1412" s="93"/>
      <c r="V1412" s="93"/>
      <c r="W1412" s="93"/>
      <c r="X1412" s="93"/>
      <c r="Y1412" s="93"/>
      <c r="Z1412" s="93"/>
    </row>
    <row r="1413" customFormat="false" ht="16.4" hidden="false" customHeight="false" outlineLevel="0" collapsed="false">
      <c r="A1413" s="123" t="n">
        <v>45444</v>
      </c>
      <c r="B1413" s="31" t="s">
        <v>153</v>
      </c>
      <c r="C1413" s="129"/>
      <c r="D1413" s="129"/>
      <c r="E1413" s="19" t="n">
        <f aca="false">F1413*0.03</f>
        <v>0</v>
      </c>
      <c r="F1413" s="33" t="n">
        <v>0</v>
      </c>
      <c r="G1413" s="131"/>
      <c r="H1413" s="35" t="n">
        <v>0</v>
      </c>
      <c r="I1413" s="34" t="n">
        <f aca="false">+IF(E1413=0,0,E1413*0.03)</f>
        <v>0</v>
      </c>
      <c r="J1413" s="93"/>
      <c r="K1413" s="93"/>
      <c r="L1413" s="93"/>
      <c r="M1413" s="93"/>
      <c r="N1413" s="93"/>
      <c r="O1413" s="93"/>
      <c r="P1413" s="93"/>
      <c r="Q1413" s="93"/>
      <c r="R1413" s="93"/>
      <c r="S1413" s="93"/>
      <c r="T1413" s="93"/>
      <c r="U1413" s="93"/>
      <c r="V1413" s="93"/>
      <c r="W1413" s="93"/>
      <c r="X1413" s="93"/>
      <c r="Y1413" s="93"/>
      <c r="Z1413" s="93"/>
    </row>
    <row r="1414" customFormat="false" ht="16.4" hidden="false" customHeight="false" outlineLevel="0" collapsed="false">
      <c r="A1414" s="123" t="n">
        <v>45444</v>
      </c>
      <c r="B1414" s="31" t="s">
        <v>153</v>
      </c>
      <c r="C1414" s="129"/>
      <c r="D1414" s="129"/>
      <c r="E1414" s="19" t="n">
        <f aca="false">F1414*0.03</f>
        <v>0</v>
      </c>
      <c r="F1414" s="33" t="n">
        <v>0</v>
      </c>
      <c r="G1414" s="131"/>
      <c r="H1414" s="35" t="n">
        <v>0</v>
      </c>
      <c r="I1414" s="34" t="n">
        <f aca="false">+IF(E1414=0,0,E1414*0.03)</f>
        <v>0</v>
      </c>
      <c r="J1414" s="93"/>
      <c r="K1414" s="93"/>
      <c r="L1414" s="93"/>
      <c r="M1414" s="93"/>
      <c r="N1414" s="93"/>
      <c r="O1414" s="93"/>
      <c r="P1414" s="93"/>
      <c r="Q1414" s="93"/>
      <c r="R1414" s="93"/>
      <c r="S1414" s="93"/>
      <c r="T1414" s="93"/>
      <c r="U1414" s="93"/>
      <c r="V1414" s="93"/>
      <c r="W1414" s="93"/>
      <c r="X1414" s="93"/>
      <c r="Y1414" s="93"/>
      <c r="Z1414" s="93"/>
    </row>
    <row r="1415" customFormat="false" ht="16.4" hidden="false" customHeight="false" outlineLevel="0" collapsed="false">
      <c r="A1415" s="123" t="n">
        <v>45444</v>
      </c>
      <c r="B1415" s="31" t="s">
        <v>153</v>
      </c>
      <c r="C1415" s="129"/>
      <c r="D1415" s="129"/>
      <c r="E1415" s="19" t="n">
        <f aca="false">F1415*0.03</f>
        <v>0</v>
      </c>
      <c r="F1415" s="33" t="n">
        <v>0</v>
      </c>
      <c r="G1415" s="131"/>
      <c r="H1415" s="35" t="n">
        <v>0</v>
      </c>
      <c r="I1415" s="34" t="n">
        <f aca="false">+IF(E1415=0,0,E1415*0.03)</f>
        <v>0</v>
      </c>
      <c r="J1415" s="93"/>
      <c r="K1415" s="93"/>
      <c r="L1415" s="93"/>
      <c r="M1415" s="93"/>
      <c r="N1415" s="93"/>
      <c r="O1415" s="93"/>
      <c r="P1415" s="93"/>
      <c r="Q1415" s="93"/>
      <c r="R1415" s="93"/>
      <c r="S1415" s="93"/>
      <c r="T1415" s="93"/>
      <c r="U1415" s="93"/>
      <c r="V1415" s="93"/>
      <c r="W1415" s="93"/>
      <c r="X1415" s="93"/>
      <c r="Y1415" s="93"/>
      <c r="Z1415" s="93"/>
    </row>
    <row r="1416" customFormat="false" ht="16.4" hidden="false" customHeight="false" outlineLevel="0" collapsed="false">
      <c r="A1416" s="123" t="n">
        <v>45444</v>
      </c>
      <c r="B1416" s="31" t="s">
        <v>153</v>
      </c>
      <c r="C1416" s="129"/>
      <c r="D1416" s="129"/>
      <c r="E1416" s="19" t="n">
        <f aca="false">F1416*0.03</f>
        <v>0</v>
      </c>
      <c r="F1416" s="33" t="n">
        <v>0</v>
      </c>
      <c r="G1416" s="131"/>
      <c r="H1416" s="35" t="n">
        <v>0</v>
      </c>
      <c r="I1416" s="34" t="n">
        <f aca="false">+IF(E1416=0,0,E1416*0.03)</f>
        <v>0</v>
      </c>
      <c r="J1416" s="93"/>
      <c r="K1416" s="93"/>
      <c r="L1416" s="93"/>
      <c r="M1416" s="93"/>
      <c r="N1416" s="93"/>
      <c r="O1416" s="93"/>
      <c r="P1416" s="93"/>
      <c r="Q1416" s="93"/>
      <c r="R1416" s="93"/>
      <c r="S1416" s="93"/>
      <c r="T1416" s="93"/>
      <c r="U1416" s="93"/>
      <c r="V1416" s="93"/>
      <c r="W1416" s="93"/>
      <c r="X1416" s="93"/>
      <c r="Y1416" s="93"/>
      <c r="Z1416" s="93"/>
    </row>
    <row r="1417" customFormat="false" ht="16.4" hidden="false" customHeight="false" outlineLevel="0" collapsed="false">
      <c r="A1417" s="123" t="n">
        <v>45444</v>
      </c>
      <c r="B1417" s="31" t="s">
        <v>153</v>
      </c>
      <c r="C1417" s="129"/>
      <c r="D1417" s="129"/>
      <c r="E1417" s="19" t="n">
        <f aca="false">F1417*0.03</f>
        <v>0</v>
      </c>
      <c r="F1417" s="33" t="n">
        <v>0</v>
      </c>
      <c r="G1417" s="131"/>
      <c r="H1417" s="35" t="n">
        <v>0</v>
      </c>
      <c r="I1417" s="34" t="n">
        <f aca="false">+IF(E1417=0,0,E1417*0.03)</f>
        <v>0</v>
      </c>
      <c r="J1417" s="93"/>
      <c r="K1417" s="93"/>
      <c r="L1417" s="93"/>
      <c r="M1417" s="93"/>
      <c r="N1417" s="93"/>
      <c r="O1417" s="93"/>
      <c r="P1417" s="93"/>
      <c r="Q1417" s="93"/>
      <c r="R1417" s="93"/>
      <c r="S1417" s="93"/>
      <c r="T1417" s="93"/>
      <c r="U1417" s="93"/>
      <c r="V1417" s="93"/>
      <c r="W1417" s="93"/>
      <c r="X1417" s="93"/>
      <c r="Y1417" s="93"/>
      <c r="Z1417" s="93"/>
    </row>
    <row r="1418" customFormat="false" ht="16.4" hidden="false" customHeight="false" outlineLevel="0" collapsed="false">
      <c r="A1418" s="123" t="n">
        <v>45444</v>
      </c>
      <c r="B1418" s="31" t="s">
        <v>153</v>
      </c>
      <c r="C1418" s="129"/>
      <c r="D1418" s="129"/>
      <c r="E1418" s="19" t="n">
        <f aca="false">F1418*0.03</f>
        <v>0</v>
      </c>
      <c r="F1418" s="33" t="n">
        <v>0</v>
      </c>
      <c r="G1418" s="131"/>
      <c r="H1418" s="35" t="n">
        <v>0</v>
      </c>
      <c r="I1418" s="34" t="n">
        <f aca="false">+IF(E1418=0,0,E1418*0.03)</f>
        <v>0</v>
      </c>
      <c r="J1418" s="93"/>
      <c r="K1418" s="93"/>
      <c r="L1418" s="93"/>
      <c r="M1418" s="93"/>
      <c r="N1418" s="93"/>
      <c r="O1418" s="93"/>
      <c r="P1418" s="93"/>
      <c r="Q1418" s="93"/>
      <c r="R1418" s="93"/>
      <c r="S1418" s="93"/>
      <c r="T1418" s="93"/>
      <c r="U1418" s="93"/>
      <c r="V1418" s="93"/>
      <c r="W1418" s="93"/>
      <c r="X1418" s="93"/>
      <c r="Y1418" s="93"/>
      <c r="Z1418" s="93"/>
    </row>
    <row r="1419" customFormat="false" ht="16.4" hidden="false" customHeight="false" outlineLevel="0" collapsed="false">
      <c r="A1419" s="123" t="n">
        <v>45444</v>
      </c>
      <c r="B1419" s="31" t="s">
        <v>153</v>
      </c>
      <c r="C1419" s="129"/>
      <c r="D1419" s="129"/>
      <c r="E1419" s="19" t="n">
        <f aca="false">F1419*0.03</f>
        <v>0</v>
      </c>
      <c r="F1419" s="33" t="n">
        <v>0</v>
      </c>
      <c r="G1419" s="131"/>
      <c r="H1419" s="35" t="n">
        <v>0</v>
      </c>
      <c r="I1419" s="34" t="n">
        <f aca="false">+IF(E1419=0,0,E1419*0.03)</f>
        <v>0</v>
      </c>
      <c r="J1419" s="93"/>
      <c r="K1419" s="93"/>
      <c r="L1419" s="93"/>
      <c r="M1419" s="93"/>
      <c r="N1419" s="93"/>
      <c r="O1419" s="93"/>
      <c r="P1419" s="93"/>
      <c r="Q1419" s="93"/>
      <c r="R1419" s="93"/>
      <c r="S1419" s="93"/>
      <c r="T1419" s="93"/>
      <c r="U1419" s="93"/>
      <c r="V1419" s="93"/>
      <c r="W1419" s="93"/>
      <c r="X1419" s="93"/>
      <c r="Y1419" s="93"/>
      <c r="Z1419" s="93"/>
    </row>
    <row r="1420" customFormat="false" ht="16.4" hidden="false" customHeight="false" outlineLevel="0" collapsed="false">
      <c r="A1420" s="123" t="n">
        <v>45444</v>
      </c>
      <c r="B1420" s="31" t="s">
        <v>153</v>
      </c>
      <c r="C1420" s="129"/>
      <c r="D1420" s="129"/>
      <c r="E1420" s="19" t="n">
        <f aca="false">F1420*0.03</f>
        <v>0</v>
      </c>
      <c r="F1420" s="33" t="n">
        <v>0</v>
      </c>
      <c r="G1420" s="131"/>
      <c r="H1420" s="35" t="n">
        <v>0</v>
      </c>
      <c r="I1420" s="34" t="n">
        <f aca="false">+IF(E1420=0,0,E1420*0.03)</f>
        <v>0</v>
      </c>
      <c r="J1420" s="93"/>
      <c r="K1420" s="93"/>
      <c r="L1420" s="93"/>
      <c r="M1420" s="93"/>
      <c r="N1420" s="93"/>
      <c r="O1420" s="93"/>
      <c r="P1420" s="93"/>
      <c r="Q1420" s="93"/>
      <c r="R1420" s="93"/>
      <c r="S1420" s="93"/>
      <c r="T1420" s="93"/>
      <c r="U1420" s="93"/>
      <c r="V1420" s="93"/>
      <c r="W1420" s="93"/>
      <c r="X1420" s="93"/>
      <c r="Y1420" s="93"/>
      <c r="Z1420" s="93"/>
    </row>
    <row r="1421" customFormat="false" ht="16.4" hidden="false" customHeight="false" outlineLevel="0" collapsed="false">
      <c r="A1421" s="123" t="n">
        <v>45444</v>
      </c>
      <c r="B1421" s="31" t="s">
        <v>153</v>
      </c>
      <c r="C1421" s="129"/>
      <c r="D1421" s="129"/>
      <c r="E1421" s="19" t="n">
        <f aca="false">F1421*0.03</f>
        <v>0</v>
      </c>
      <c r="F1421" s="33" t="n">
        <v>0</v>
      </c>
      <c r="G1421" s="131"/>
      <c r="H1421" s="35" t="n">
        <v>0</v>
      </c>
      <c r="I1421" s="34" t="n">
        <f aca="false">+IF(E1421=0,0,E1421*0.03)</f>
        <v>0</v>
      </c>
      <c r="J1421" s="93"/>
      <c r="K1421" s="93"/>
      <c r="L1421" s="93"/>
      <c r="M1421" s="93"/>
      <c r="N1421" s="93"/>
      <c r="O1421" s="93"/>
      <c r="P1421" s="93"/>
      <c r="Q1421" s="93"/>
      <c r="R1421" s="93"/>
      <c r="S1421" s="93"/>
      <c r="T1421" s="93"/>
      <c r="U1421" s="93"/>
      <c r="V1421" s="93"/>
      <c r="W1421" s="93"/>
      <c r="X1421" s="93"/>
      <c r="Y1421" s="93"/>
      <c r="Z1421" s="93"/>
    </row>
    <row r="1422" customFormat="false" ht="16.4" hidden="false" customHeight="false" outlineLevel="0" collapsed="false">
      <c r="A1422" s="123" t="n">
        <v>45444</v>
      </c>
      <c r="B1422" s="31" t="s">
        <v>153</v>
      </c>
      <c r="C1422" s="129"/>
      <c r="D1422" s="129"/>
      <c r="E1422" s="19" t="n">
        <f aca="false">F1422*0.03</f>
        <v>0</v>
      </c>
      <c r="F1422" s="33" t="n">
        <v>0</v>
      </c>
      <c r="G1422" s="131"/>
      <c r="H1422" s="35" t="n">
        <v>0</v>
      </c>
      <c r="I1422" s="34" t="n">
        <f aca="false">+IF(E1422=0,0,E1422*0.03)</f>
        <v>0</v>
      </c>
      <c r="J1422" s="93"/>
      <c r="K1422" s="93"/>
      <c r="L1422" s="93"/>
      <c r="M1422" s="93"/>
      <c r="N1422" s="93"/>
      <c r="O1422" s="93"/>
      <c r="P1422" s="93"/>
      <c r="Q1422" s="93"/>
      <c r="R1422" s="93"/>
      <c r="S1422" s="93"/>
      <c r="T1422" s="93"/>
      <c r="U1422" s="93"/>
      <c r="V1422" s="93"/>
      <c r="W1422" s="93"/>
      <c r="X1422" s="93"/>
      <c r="Y1422" s="93"/>
      <c r="Z1422" s="93"/>
    </row>
    <row r="1423" customFormat="false" ht="16.4" hidden="false" customHeight="false" outlineLevel="0" collapsed="false">
      <c r="A1423" s="123" t="n">
        <v>45444</v>
      </c>
      <c r="B1423" s="31" t="s">
        <v>153</v>
      </c>
      <c r="C1423" s="129"/>
      <c r="D1423" s="129"/>
      <c r="E1423" s="19" t="n">
        <f aca="false">F1423*0.03</f>
        <v>0</v>
      </c>
      <c r="F1423" s="33" t="n">
        <v>0</v>
      </c>
      <c r="G1423" s="131"/>
      <c r="H1423" s="35" t="n">
        <v>0</v>
      </c>
      <c r="I1423" s="34" t="n">
        <f aca="false">+IF(E1423=0,0,E1423*0.03)</f>
        <v>0</v>
      </c>
      <c r="J1423" s="93"/>
      <c r="K1423" s="93"/>
      <c r="L1423" s="93"/>
      <c r="M1423" s="93"/>
      <c r="N1423" s="93"/>
      <c r="O1423" s="93"/>
      <c r="P1423" s="93"/>
      <c r="Q1423" s="93"/>
      <c r="R1423" s="93"/>
      <c r="S1423" s="93"/>
      <c r="T1423" s="93"/>
      <c r="U1423" s="93"/>
      <c r="V1423" s="93"/>
      <c r="W1423" s="93"/>
      <c r="X1423" s="93"/>
      <c r="Y1423" s="93"/>
      <c r="Z1423" s="93"/>
    </row>
    <row r="1424" customFormat="false" ht="16.4" hidden="false" customHeight="false" outlineLevel="0" collapsed="false">
      <c r="A1424" s="123" t="n">
        <v>45444</v>
      </c>
      <c r="B1424" s="31" t="s">
        <v>153</v>
      </c>
      <c r="C1424" s="129"/>
      <c r="D1424" s="129"/>
      <c r="E1424" s="19" t="n">
        <f aca="false">F1424*0.03</f>
        <v>0</v>
      </c>
      <c r="F1424" s="33" t="n">
        <v>0</v>
      </c>
      <c r="G1424" s="131"/>
      <c r="H1424" s="35" t="n">
        <v>0</v>
      </c>
      <c r="I1424" s="34" t="n">
        <f aca="false">+IF(E1424=0,0,E1424*0.03)</f>
        <v>0</v>
      </c>
      <c r="J1424" s="93"/>
      <c r="K1424" s="93"/>
      <c r="L1424" s="93"/>
      <c r="M1424" s="93"/>
      <c r="N1424" s="93"/>
      <c r="O1424" s="93"/>
      <c r="P1424" s="93"/>
      <c r="Q1424" s="93"/>
      <c r="R1424" s="93"/>
      <c r="S1424" s="93"/>
      <c r="T1424" s="93"/>
      <c r="U1424" s="93"/>
      <c r="V1424" s="93"/>
      <c r="W1424" s="93"/>
      <c r="X1424" s="93"/>
      <c r="Y1424" s="93"/>
      <c r="Z1424" s="93"/>
    </row>
    <row r="1425" customFormat="false" ht="16.4" hidden="false" customHeight="false" outlineLevel="0" collapsed="false">
      <c r="A1425" s="123" t="n">
        <v>45444</v>
      </c>
      <c r="B1425" s="31" t="s">
        <v>153</v>
      </c>
      <c r="C1425" s="129"/>
      <c r="D1425" s="129"/>
      <c r="E1425" s="19" t="n">
        <f aca="false">F1425*0.03</f>
        <v>0</v>
      </c>
      <c r="F1425" s="33" t="n">
        <v>0</v>
      </c>
      <c r="G1425" s="131"/>
      <c r="H1425" s="35" t="n">
        <v>0</v>
      </c>
      <c r="I1425" s="34" t="n">
        <f aca="false">+IF(E1425=0,0,E1425*0.03)</f>
        <v>0</v>
      </c>
      <c r="J1425" s="93"/>
      <c r="K1425" s="93"/>
      <c r="L1425" s="93"/>
      <c r="M1425" s="93"/>
      <c r="N1425" s="93"/>
      <c r="O1425" s="93"/>
      <c r="P1425" s="93"/>
      <c r="Q1425" s="93"/>
      <c r="R1425" s="93"/>
      <c r="S1425" s="93"/>
      <c r="T1425" s="93"/>
      <c r="U1425" s="93"/>
      <c r="V1425" s="93"/>
      <c r="W1425" s="93"/>
      <c r="X1425" s="93"/>
      <c r="Y1425" s="93"/>
      <c r="Z1425" s="93"/>
    </row>
    <row r="1426" customFormat="false" ht="16.4" hidden="false" customHeight="false" outlineLevel="0" collapsed="false">
      <c r="A1426" s="123" t="n">
        <v>45444</v>
      </c>
      <c r="B1426" s="31" t="s">
        <v>153</v>
      </c>
      <c r="C1426" s="129"/>
      <c r="D1426" s="129"/>
      <c r="E1426" s="19" t="n">
        <f aca="false">F1426*0.03</f>
        <v>0</v>
      </c>
      <c r="F1426" s="33" t="n">
        <v>0</v>
      </c>
      <c r="G1426" s="131"/>
      <c r="H1426" s="35" t="n">
        <v>0</v>
      </c>
      <c r="I1426" s="34" t="n">
        <f aca="false">+IF(E1426=0,0,E1426*0.03)</f>
        <v>0</v>
      </c>
      <c r="J1426" s="93"/>
      <c r="K1426" s="93"/>
      <c r="L1426" s="93"/>
      <c r="M1426" s="93"/>
      <c r="N1426" s="93"/>
      <c r="O1426" s="93"/>
      <c r="P1426" s="93"/>
      <c r="Q1426" s="93"/>
      <c r="R1426" s="93"/>
      <c r="S1426" s="93"/>
      <c r="T1426" s="93"/>
      <c r="U1426" s="93"/>
      <c r="V1426" s="93"/>
      <c r="W1426" s="93"/>
      <c r="X1426" s="93"/>
      <c r="Y1426" s="93"/>
      <c r="Z1426" s="93"/>
    </row>
    <row r="1427" customFormat="false" ht="16.4" hidden="false" customHeight="false" outlineLevel="0" collapsed="false">
      <c r="A1427" s="123" t="n">
        <v>45444</v>
      </c>
      <c r="B1427" s="31" t="s">
        <v>153</v>
      </c>
      <c r="C1427" s="129"/>
      <c r="D1427" s="129"/>
      <c r="E1427" s="19" t="n">
        <f aca="false">F1427*0.03</f>
        <v>0</v>
      </c>
      <c r="F1427" s="33" t="n">
        <v>0</v>
      </c>
      <c r="G1427" s="131"/>
      <c r="H1427" s="35" t="n">
        <v>0</v>
      </c>
      <c r="I1427" s="34" t="n">
        <f aca="false">+IF(E1427=0,0,E1427*0.03)</f>
        <v>0</v>
      </c>
      <c r="J1427" s="93"/>
      <c r="K1427" s="93"/>
      <c r="L1427" s="93"/>
      <c r="M1427" s="93"/>
      <c r="N1427" s="93"/>
      <c r="O1427" s="93"/>
      <c r="P1427" s="93"/>
      <c r="Q1427" s="93"/>
      <c r="R1427" s="93"/>
      <c r="S1427" s="93"/>
      <c r="T1427" s="93"/>
      <c r="U1427" s="93"/>
      <c r="V1427" s="93"/>
      <c r="W1427" s="93"/>
      <c r="X1427" s="93"/>
      <c r="Y1427" s="93"/>
      <c r="Z1427" s="93"/>
    </row>
    <row r="1428" customFormat="false" ht="16.4" hidden="false" customHeight="false" outlineLevel="0" collapsed="false">
      <c r="A1428" s="123" t="n">
        <v>45444</v>
      </c>
      <c r="B1428" s="31" t="s">
        <v>153</v>
      </c>
      <c r="C1428" s="129"/>
      <c r="D1428" s="129"/>
      <c r="E1428" s="19" t="n">
        <f aca="false">F1428*0.03</f>
        <v>0</v>
      </c>
      <c r="F1428" s="33" t="n">
        <v>0</v>
      </c>
      <c r="G1428" s="131"/>
      <c r="H1428" s="35" t="n">
        <v>0</v>
      </c>
      <c r="I1428" s="34" t="n">
        <f aca="false">+IF(E1428=0,0,E1428*0.03)</f>
        <v>0</v>
      </c>
      <c r="J1428" s="93"/>
      <c r="K1428" s="93"/>
      <c r="L1428" s="93"/>
      <c r="M1428" s="93"/>
      <c r="N1428" s="93"/>
      <c r="O1428" s="93"/>
      <c r="P1428" s="93"/>
      <c r="Q1428" s="93"/>
      <c r="R1428" s="93"/>
      <c r="S1428" s="93"/>
      <c r="T1428" s="93"/>
      <c r="U1428" s="93"/>
      <c r="V1428" s="93"/>
      <c r="W1428" s="93"/>
      <c r="X1428" s="93"/>
      <c r="Y1428" s="93"/>
      <c r="Z1428" s="93"/>
    </row>
    <row r="1429" customFormat="false" ht="16.4" hidden="false" customHeight="false" outlineLevel="0" collapsed="false">
      <c r="A1429" s="123" t="n">
        <v>45444</v>
      </c>
      <c r="B1429" s="31" t="s">
        <v>153</v>
      </c>
      <c r="C1429" s="129"/>
      <c r="D1429" s="129"/>
      <c r="E1429" s="19" t="n">
        <f aca="false">F1429*0.03</f>
        <v>0</v>
      </c>
      <c r="F1429" s="33" t="n">
        <v>0</v>
      </c>
      <c r="G1429" s="131"/>
      <c r="H1429" s="35" t="n">
        <v>0</v>
      </c>
      <c r="I1429" s="34" t="n">
        <f aca="false">+IF(E1429=0,0,E1429*0.03)</f>
        <v>0</v>
      </c>
      <c r="J1429" s="93"/>
      <c r="K1429" s="93"/>
      <c r="L1429" s="93"/>
      <c r="M1429" s="93"/>
      <c r="N1429" s="93"/>
      <c r="O1429" s="93"/>
      <c r="P1429" s="93"/>
      <c r="Q1429" s="93"/>
      <c r="R1429" s="93"/>
      <c r="S1429" s="93"/>
      <c r="T1429" s="93"/>
      <c r="U1429" s="93"/>
      <c r="V1429" s="93"/>
      <c r="W1429" s="93"/>
      <c r="X1429" s="93"/>
      <c r="Y1429" s="93"/>
      <c r="Z1429" s="93"/>
    </row>
    <row r="1430" customFormat="false" ht="16.4" hidden="false" customHeight="false" outlineLevel="0" collapsed="false">
      <c r="A1430" s="123" t="n">
        <v>45444</v>
      </c>
      <c r="B1430" s="31" t="s">
        <v>153</v>
      </c>
      <c r="C1430" s="129"/>
      <c r="D1430" s="129"/>
      <c r="E1430" s="19" t="n">
        <f aca="false">F1430*0.03</f>
        <v>0</v>
      </c>
      <c r="F1430" s="33" t="n">
        <v>0</v>
      </c>
      <c r="G1430" s="131"/>
      <c r="H1430" s="35" t="n">
        <v>0</v>
      </c>
      <c r="I1430" s="34" t="n">
        <f aca="false">+IF(E1430=0,0,E1430*0.03)</f>
        <v>0</v>
      </c>
      <c r="J1430" s="93"/>
      <c r="K1430" s="93"/>
      <c r="L1430" s="93"/>
      <c r="M1430" s="93"/>
      <c r="N1430" s="93"/>
      <c r="O1430" s="93"/>
      <c r="P1430" s="93"/>
      <c r="Q1430" s="93"/>
      <c r="R1430" s="93"/>
      <c r="S1430" s="93"/>
      <c r="T1430" s="93"/>
      <c r="U1430" s="93"/>
      <c r="V1430" s="93"/>
      <c r="W1430" s="93"/>
      <c r="X1430" s="93"/>
      <c r="Y1430" s="93"/>
      <c r="Z1430" s="93"/>
    </row>
    <row r="1431" customFormat="false" ht="16.4" hidden="false" customHeight="false" outlineLevel="0" collapsed="false">
      <c r="A1431" s="123" t="n">
        <v>45444</v>
      </c>
      <c r="B1431" s="31" t="s">
        <v>153</v>
      </c>
      <c r="C1431" s="129"/>
      <c r="D1431" s="129"/>
      <c r="E1431" s="19" t="n">
        <f aca="false">F1431*0.03</f>
        <v>0</v>
      </c>
      <c r="F1431" s="33" t="n">
        <v>0</v>
      </c>
      <c r="G1431" s="131"/>
      <c r="H1431" s="35" t="n">
        <v>0</v>
      </c>
      <c r="I1431" s="34" t="n">
        <f aca="false">+IF(E1431=0,0,E1431*0.03)</f>
        <v>0</v>
      </c>
      <c r="J1431" s="93"/>
      <c r="K1431" s="93"/>
      <c r="L1431" s="93"/>
      <c r="M1431" s="93"/>
      <c r="N1431" s="93"/>
      <c r="O1431" s="93"/>
      <c r="P1431" s="93"/>
      <c r="Q1431" s="93"/>
      <c r="R1431" s="93"/>
      <c r="S1431" s="93"/>
      <c r="T1431" s="93"/>
      <c r="U1431" s="93"/>
      <c r="V1431" s="93"/>
      <c r="W1431" s="93"/>
      <c r="X1431" s="93"/>
      <c r="Y1431" s="93"/>
      <c r="Z1431" s="93"/>
    </row>
    <row r="1432" customFormat="false" ht="16.4" hidden="false" customHeight="false" outlineLevel="0" collapsed="false">
      <c r="A1432" s="123" t="n">
        <v>45444</v>
      </c>
      <c r="B1432" s="31" t="s">
        <v>153</v>
      </c>
      <c r="C1432" s="129"/>
      <c r="D1432" s="129"/>
      <c r="E1432" s="19" t="n">
        <f aca="false">F1432*0.03</f>
        <v>0</v>
      </c>
      <c r="F1432" s="33" t="n">
        <v>0</v>
      </c>
      <c r="G1432" s="131"/>
      <c r="H1432" s="35" t="n">
        <v>0</v>
      </c>
      <c r="I1432" s="34" t="n">
        <f aca="false">+IF(E1432=0,0,E1432*0.03)</f>
        <v>0</v>
      </c>
      <c r="J1432" s="93"/>
      <c r="K1432" s="93"/>
      <c r="L1432" s="93"/>
      <c r="M1432" s="93"/>
      <c r="N1432" s="93"/>
      <c r="O1432" s="93"/>
      <c r="P1432" s="93"/>
      <c r="Q1432" s="93"/>
      <c r="R1432" s="93"/>
      <c r="S1432" s="93"/>
      <c r="T1432" s="93"/>
      <c r="U1432" s="93"/>
      <c r="V1432" s="93"/>
      <c r="W1432" s="93"/>
      <c r="X1432" s="93"/>
      <c r="Y1432" s="93"/>
      <c r="Z1432" s="93"/>
    </row>
    <row r="1433" customFormat="false" ht="16.4" hidden="false" customHeight="false" outlineLevel="0" collapsed="false">
      <c r="A1433" s="123" t="n">
        <v>45444</v>
      </c>
      <c r="B1433" s="31" t="s">
        <v>153</v>
      </c>
      <c r="C1433" s="129"/>
      <c r="D1433" s="129"/>
      <c r="E1433" s="19" t="n">
        <f aca="false">F1433*0.03</f>
        <v>0</v>
      </c>
      <c r="F1433" s="33" t="n">
        <v>0</v>
      </c>
      <c r="G1433" s="131"/>
      <c r="H1433" s="35" t="n">
        <v>0</v>
      </c>
      <c r="I1433" s="34" t="n">
        <f aca="false">+IF(E1433=0,0,E1433*0.03)</f>
        <v>0</v>
      </c>
      <c r="J1433" s="93"/>
      <c r="K1433" s="93"/>
      <c r="L1433" s="93"/>
      <c r="M1433" s="93"/>
      <c r="N1433" s="93"/>
      <c r="O1433" s="93"/>
      <c r="P1433" s="93"/>
      <c r="Q1433" s="93"/>
      <c r="R1433" s="93"/>
      <c r="S1433" s="93"/>
      <c r="T1433" s="93"/>
      <c r="U1433" s="93"/>
      <c r="V1433" s="93"/>
      <c r="W1433" s="93"/>
      <c r="X1433" s="93"/>
      <c r="Y1433" s="93"/>
      <c r="Z1433" s="93"/>
    </row>
    <row r="1434" customFormat="false" ht="16.4" hidden="false" customHeight="false" outlineLevel="0" collapsed="false">
      <c r="A1434" s="123" t="n">
        <v>45444</v>
      </c>
      <c r="B1434" s="31" t="s">
        <v>153</v>
      </c>
      <c r="C1434" s="129"/>
      <c r="D1434" s="129"/>
      <c r="E1434" s="19" t="n">
        <f aca="false">F1434*0.03</f>
        <v>0</v>
      </c>
      <c r="F1434" s="33" t="n">
        <v>0</v>
      </c>
      <c r="G1434" s="131"/>
      <c r="H1434" s="35" t="n">
        <v>0</v>
      </c>
      <c r="I1434" s="34" t="n">
        <f aca="false">+IF(E1434=0,0,E1434*0.03)</f>
        <v>0</v>
      </c>
      <c r="J1434" s="93"/>
      <c r="K1434" s="93"/>
      <c r="L1434" s="93"/>
      <c r="M1434" s="93"/>
      <c r="N1434" s="93"/>
      <c r="O1434" s="93"/>
      <c r="P1434" s="93"/>
      <c r="Q1434" s="93"/>
      <c r="R1434" s="93"/>
      <c r="S1434" s="93"/>
      <c r="T1434" s="93"/>
      <c r="U1434" s="93"/>
      <c r="V1434" s="93"/>
      <c r="W1434" s="93"/>
      <c r="X1434" s="93"/>
      <c r="Y1434" s="93"/>
      <c r="Z1434" s="93"/>
    </row>
    <row r="1435" customFormat="false" ht="16.4" hidden="false" customHeight="false" outlineLevel="0" collapsed="false">
      <c r="A1435" s="123" t="n">
        <v>45444</v>
      </c>
      <c r="B1435" s="31" t="s">
        <v>153</v>
      </c>
      <c r="C1435" s="129"/>
      <c r="D1435" s="129"/>
      <c r="E1435" s="19" t="n">
        <f aca="false">F1435*0.03</f>
        <v>0</v>
      </c>
      <c r="F1435" s="33" t="n">
        <v>0</v>
      </c>
      <c r="G1435" s="131"/>
      <c r="H1435" s="35" t="n">
        <v>0</v>
      </c>
      <c r="I1435" s="34" t="n">
        <f aca="false">+IF(E1435=0,0,E1435*0.03)</f>
        <v>0</v>
      </c>
      <c r="J1435" s="93"/>
      <c r="K1435" s="93"/>
      <c r="L1435" s="93"/>
      <c r="M1435" s="93"/>
      <c r="N1435" s="93"/>
      <c r="O1435" s="93"/>
      <c r="P1435" s="93"/>
      <c r="Q1435" s="93"/>
      <c r="R1435" s="93"/>
      <c r="S1435" s="93"/>
      <c r="T1435" s="93"/>
      <c r="U1435" s="93"/>
      <c r="V1435" s="93"/>
      <c r="W1435" s="93"/>
      <c r="X1435" s="93"/>
      <c r="Y1435" s="93"/>
      <c r="Z1435" s="93"/>
    </row>
    <row r="1436" customFormat="false" ht="16.4" hidden="false" customHeight="false" outlineLevel="0" collapsed="false">
      <c r="A1436" s="123" t="n">
        <v>45444</v>
      </c>
      <c r="B1436" s="31" t="s">
        <v>153</v>
      </c>
      <c r="C1436" s="129"/>
      <c r="D1436" s="129"/>
      <c r="E1436" s="19" t="n">
        <f aca="false">F1436*0.03</f>
        <v>0</v>
      </c>
      <c r="F1436" s="33" t="n">
        <v>0</v>
      </c>
      <c r="G1436" s="131"/>
      <c r="H1436" s="35" t="n">
        <v>0</v>
      </c>
      <c r="I1436" s="34" t="n">
        <f aca="false">+IF(E1436=0,0,E1436*0.03)</f>
        <v>0</v>
      </c>
      <c r="J1436" s="93"/>
      <c r="K1436" s="93"/>
      <c r="L1436" s="93"/>
      <c r="M1436" s="93"/>
      <c r="N1436" s="93"/>
      <c r="O1436" s="93"/>
      <c r="P1436" s="93"/>
      <c r="Q1436" s="93"/>
      <c r="R1436" s="93"/>
      <c r="S1436" s="93"/>
      <c r="T1436" s="93"/>
      <c r="U1436" s="93"/>
      <c r="V1436" s="93"/>
      <c r="W1436" s="93"/>
      <c r="X1436" s="93"/>
      <c r="Y1436" s="93"/>
      <c r="Z1436" s="93"/>
    </row>
    <row r="1437" customFormat="false" ht="16.4" hidden="false" customHeight="false" outlineLevel="0" collapsed="false">
      <c r="A1437" s="123" t="n">
        <v>45444</v>
      </c>
      <c r="B1437" s="31" t="s">
        <v>153</v>
      </c>
      <c r="C1437" s="129"/>
      <c r="D1437" s="129"/>
      <c r="E1437" s="19" t="n">
        <f aca="false">F1437*0.03</f>
        <v>0</v>
      </c>
      <c r="F1437" s="33" t="n">
        <v>0</v>
      </c>
      <c r="G1437" s="131"/>
      <c r="H1437" s="35" t="n">
        <v>0</v>
      </c>
      <c r="I1437" s="34" t="n">
        <f aca="false">+IF(E1437=0,0,E1437*0.03)</f>
        <v>0</v>
      </c>
      <c r="J1437" s="93"/>
      <c r="K1437" s="93"/>
      <c r="L1437" s="93"/>
      <c r="M1437" s="93"/>
      <c r="N1437" s="93"/>
      <c r="O1437" s="93"/>
      <c r="P1437" s="93"/>
      <c r="Q1437" s="93"/>
      <c r="R1437" s="93"/>
      <c r="S1437" s="93"/>
      <c r="T1437" s="93"/>
      <c r="U1437" s="93"/>
      <c r="V1437" s="93"/>
      <c r="W1437" s="93"/>
      <c r="X1437" s="93"/>
      <c r="Y1437" s="93"/>
      <c r="Z1437" s="93"/>
    </row>
    <row r="1438" customFormat="false" ht="16.4" hidden="false" customHeight="false" outlineLevel="0" collapsed="false">
      <c r="A1438" s="123" t="n">
        <v>45444</v>
      </c>
      <c r="B1438" s="31" t="s">
        <v>153</v>
      </c>
      <c r="C1438" s="129"/>
      <c r="D1438" s="129"/>
      <c r="E1438" s="19" t="n">
        <f aca="false">F1438*0.03</f>
        <v>0</v>
      </c>
      <c r="F1438" s="33" t="n">
        <v>0</v>
      </c>
      <c r="G1438" s="131"/>
      <c r="H1438" s="35" t="n">
        <v>0</v>
      </c>
      <c r="I1438" s="34" t="n">
        <f aca="false">+IF(E1438=0,0,E1438*0.03)</f>
        <v>0</v>
      </c>
      <c r="J1438" s="93"/>
      <c r="K1438" s="93"/>
      <c r="L1438" s="93"/>
      <c r="M1438" s="93"/>
      <c r="N1438" s="93"/>
      <c r="O1438" s="93"/>
      <c r="P1438" s="93"/>
      <c r="Q1438" s="93"/>
      <c r="R1438" s="93"/>
      <c r="S1438" s="93"/>
      <c r="T1438" s="93"/>
      <c r="U1438" s="93"/>
      <c r="V1438" s="93"/>
      <c r="W1438" s="93"/>
      <c r="X1438" s="93"/>
      <c r="Y1438" s="93"/>
      <c r="Z1438" s="93"/>
    </row>
    <row r="1439" customFormat="false" ht="16.4" hidden="false" customHeight="false" outlineLevel="0" collapsed="false">
      <c r="A1439" s="123" t="n">
        <v>45444</v>
      </c>
      <c r="B1439" s="31" t="s">
        <v>153</v>
      </c>
      <c r="C1439" s="129"/>
      <c r="D1439" s="129"/>
      <c r="E1439" s="19" t="n">
        <f aca="false">F1439*0.03</f>
        <v>0</v>
      </c>
      <c r="F1439" s="33" t="n">
        <v>0</v>
      </c>
      <c r="G1439" s="131"/>
      <c r="H1439" s="35" t="n">
        <v>0</v>
      </c>
      <c r="I1439" s="34" t="n">
        <f aca="false">+IF(E1439=0,0,E1439*0.03)</f>
        <v>0</v>
      </c>
      <c r="J1439" s="93"/>
      <c r="K1439" s="93"/>
      <c r="L1439" s="93"/>
      <c r="M1439" s="93"/>
      <c r="N1439" s="93"/>
      <c r="O1439" s="93"/>
      <c r="P1439" s="93"/>
      <c r="Q1439" s="93"/>
      <c r="R1439" s="93"/>
      <c r="S1439" s="93"/>
      <c r="T1439" s="93"/>
      <c r="U1439" s="93"/>
      <c r="V1439" s="93"/>
      <c r="W1439" s="93"/>
      <c r="X1439" s="93"/>
      <c r="Y1439" s="93"/>
      <c r="Z1439" s="93"/>
    </row>
    <row r="1440" customFormat="false" ht="16.4" hidden="false" customHeight="false" outlineLevel="0" collapsed="false">
      <c r="A1440" s="123" t="n">
        <v>45444</v>
      </c>
      <c r="B1440" s="31" t="s">
        <v>153</v>
      </c>
      <c r="C1440" s="129"/>
      <c r="D1440" s="129"/>
      <c r="E1440" s="19" t="n">
        <f aca="false">F1440*0.03</f>
        <v>0</v>
      </c>
      <c r="F1440" s="33" t="n">
        <v>0</v>
      </c>
      <c r="G1440" s="131"/>
      <c r="H1440" s="35" t="n">
        <v>0</v>
      </c>
      <c r="I1440" s="34" t="n">
        <f aca="false">+IF(E1440=0,0,E1440*0.03)</f>
        <v>0</v>
      </c>
      <c r="J1440" s="93"/>
      <c r="K1440" s="93"/>
      <c r="L1440" s="93"/>
      <c r="M1440" s="93"/>
      <c r="N1440" s="93"/>
      <c r="O1440" s="93"/>
      <c r="P1440" s="93"/>
      <c r="Q1440" s="93"/>
      <c r="R1440" s="93"/>
      <c r="S1440" s="93"/>
      <c r="T1440" s="93"/>
      <c r="U1440" s="93"/>
      <c r="V1440" s="93"/>
      <c r="W1440" s="93"/>
      <c r="X1440" s="93"/>
      <c r="Y1440" s="93"/>
      <c r="Z1440" s="93"/>
    </row>
    <row r="1441" customFormat="false" ht="16.4" hidden="false" customHeight="false" outlineLevel="0" collapsed="false">
      <c r="A1441" s="123" t="n">
        <v>45444</v>
      </c>
      <c r="B1441" s="31" t="s">
        <v>153</v>
      </c>
      <c r="C1441" s="129"/>
      <c r="D1441" s="129"/>
      <c r="E1441" s="19" t="n">
        <f aca="false">F1441*0.03</f>
        <v>0</v>
      </c>
      <c r="F1441" s="33" t="n">
        <v>0</v>
      </c>
      <c r="G1441" s="131"/>
      <c r="H1441" s="35" t="n">
        <v>0</v>
      </c>
      <c r="I1441" s="34" t="n">
        <f aca="false">+IF(E1441=0,0,E1441*0.03)</f>
        <v>0</v>
      </c>
      <c r="J1441" s="93"/>
      <c r="K1441" s="93"/>
      <c r="L1441" s="93"/>
      <c r="M1441" s="93"/>
      <c r="N1441" s="93"/>
      <c r="O1441" s="93"/>
      <c r="P1441" s="93"/>
      <c r="Q1441" s="93"/>
      <c r="R1441" s="93"/>
      <c r="S1441" s="93"/>
      <c r="T1441" s="93"/>
      <c r="U1441" s="93"/>
      <c r="V1441" s="93"/>
      <c r="W1441" s="93"/>
      <c r="X1441" s="93"/>
      <c r="Y1441" s="93"/>
      <c r="Z1441" s="93"/>
    </row>
    <row r="1442" customFormat="false" ht="16.4" hidden="false" customHeight="false" outlineLevel="0" collapsed="false">
      <c r="A1442" s="123" t="n">
        <v>45444</v>
      </c>
      <c r="B1442" s="31" t="s">
        <v>153</v>
      </c>
      <c r="C1442" s="129"/>
      <c r="D1442" s="129"/>
      <c r="E1442" s="19" t="n">
        <f aca="false">F1442*0.03</f>
        <v>0</v>
      </c>
      <c r="F1442" s="33" t="n">
        <v>0</v>
      </c>
      <c r="G1442" s="131"/>
      <c r="H1442" s="35" t="n">
        <v>0</v>
      </c>
      <c r="I1442" s="34" t="n">
        <f aca="false">+IF(E1442=0,0,E1442*0.03)</f>
        <v>0</v>
      </c>
      <c r="J1442" s="93"/>
      <c r="K1442" s="93"/>
      <c r="L1442" s="93"/>
      <c r="M1442" s="93"/>
      <c r="N1442" s="93"/>
      <c r="O1442" s="93"/>
      <c r="P1442" s="93"/>
      <c r="Q1442" s="93"/>
      <c r="R1442" s="93"/>
      <c r="S1442" s="93"/>
      <c r="T1442" s="93"/>
      <c r="U1442" s="93"/>
      <c r="V1442" s="93"/>
      <c r="W1442" s="93"/>
      <c r="X1442" s="93"/>
      <c r="Y1442" s="93"/>
      <c r="Z1442" s="93"/>
    </row>
    <row r="1443" customFormat="false" ht="16.4" hidden="false" customHeight="false" outlineLevel="0" collapsed="false">
      <c r="A1443" s="123" t="n">
        <v>45444</v>
      </c>
      <c r="B1443" s="31" t="s">
        <v>153</v>
      </c>
      <c r="C1443" s="129"/>
      <c r="D1443" s="129"/>
      <c r="E1443" s="19" t="n">
        <f aca="false">F1443*0.03</f>
        <v>0</v>
      </c>
      <c r="F1443" s="33" t="n">
        <v>0</v>
      </c>
      <c r="G1443" s="131"/>
      <c r="H1443" s="35" t="n">
        <v>0</v>
      </c>
      <c r="I1443" s="34" t="n">
        <f aca="false">+IF(E1443=0,0,E1443*0.03)</f>
        <v>0</v>
      </c>
      <c r="J1443" s="93"/>
      <c r="K1443" s="93"/>
      <c r="L1443" s="93"/>
      <c r="M1443" s="93"/>
      <c r="N1443" s="93"/>
      <c r="O1443" s="93"/>
      <c r="P1443" s="93"/>
      <c r="Q1443" s="93"/>
      <c r="R1443" s="93"/>
      <c r="S1443" s="93"/>
      <c r="T1443" s="93"/>
      <c r="U1443" s="93"/>
      <c r="V1443" s="93"/>
      <c r="W1443" s="93"/>
      <c r="X1443" s="93"/>
      <c r="Y1443" s="93"/>
      <c r="Z1443" s="93"/>
    </row>
    <row r="1444" customFormat="false" ht="16.4" hidden="false" customHeight="false" outlineLevel="0" collapsed="false">
      <c r="A1444" s="123" t="n">
        <v>45444</v>
      </c>
      <c r="B1444" s="31" t="s">
        <v>153</v>
      </c>
      <c r="C1444" s="129"/>
      <c r="D1444" s="129"/>
      <c r="E1444" s="19" t="n">
        <f aca="false">F1444*0.03</f>
        <v>0</v>
      </c>
      <c r="F1444" s="33" t="n">
        <v>0</v>
      </c>
      <c r="G1444" s="131"/>
      <c r="H1444" s="35" t="n">
        <v>0</v>
      </c>
      <c r="I1444" s="34" t="n">
        <f aca="false">+IF(E1444=0,0,E1444*0.03)</f>
        <v>0</v>
      </c>
      <c r="J1444" s="93"/>
      <c r="K1444" s="93"/>
      <c r="L1444" s="93"/>
      <c r="M1444" s="93"/>
      <c r="N1444" s="93"/>
      <c r="O1444" s="93"/>
      <c r="P1444" s="93"/>
      <c r="Q1444" s="93"/>
      <c r="R1444" s="93"/>
      <c r="S1444" s="93"/>
      <c r="T1444" s="93"/>
      <c r="U1444" s="93"/>
      <c r="V1444" s="93"/>
      <c r="W1444" s="93"/>
      <c r="X1444" s="93"/>
      <c r="Y1444" s="93"/>
      <c r="Z1444" s="93"/>
    </row>
    <row r="1445" customFormat="false" ht="16.4" hidden="false" customHeight="false" outlineLevel="0" collapsed="false">
      <c r="A1445" s="123" t="n">
        <v>45444</v>
      </c>
      <c r="B1445" s="31" t="s">
        <v>153</v>
      </c>
      <c r="C1445" s="129"/>
      <c r="D1445" s="129"/>
      <c r="E1445" s="19" t="n">
        <f aca="false">F1445*0.03</f>
        <v>0</v>
      </c>
      <c r="F1445" s="33" t="n">
        <v>0</v>
      </c>
      <c r="G1445" s="131"/>
      <c r="H1445" s="35" t="n">
        <v>0</v>
      </c>
      <c r="I1445" s="34" t="n">
        <f aca="false">+IF(E1445=0,0,E1445*0.03)</f>
        <v>0</v>
      </c>
      <c r="J1445" s="93"/>
      <c r="K1445" s="93"/>
      <c r="L1445" s="93"/>
      <c r="M1445" s="93"/>
      <c r="N1445" s="93"/>
      <c r="O1445" s="93"/>
      <c r="P1445" s="93"/>
      <c r="Q1445" s="93"/>
      <c r="R1445" s="93"/>
      <c r="S1445" s="93"/>
      <c r="T1445" s="93"/>
      <c r="U1445" s="93"/>
      <c r="V1445" s="93"/>
      <c r="W1445" s="93"/>
      <c r="X1445" s="93"/>
      <c r="Y1445" s="93"/>
      <c r="Z1445" s="93"/>
    </row>
    <row r="1446" customFormat="false" ht="16.4" hidden="false" customHeight="false" outlineLevel="0" collapsed="false">
      <c r="A1446" s="123" t="n">
        <v>45444</v>
      </c>
      <c r="B1446" s="31" t="s">
        <v>153</v>
      </c>
      <c r="C1446" s="129"/>
      <c r="D1446" s="129"/>
      <c r="E1446" s="19" t="n">
        <f aca="false">F1446*0.03</f>
        <v>0</v>
      </c>
      <c r="F1446" s="33" t="n">
        <v>0</v>
      </c>
      <c r="G1446" s="131"/>
      <c r="H1446" s="35" t="n">
        <v>0</v>
      </c>
      <c r="I1446" s="34" t="n">
        <f aca="false">+IF(E1446=0,0,E1446*0.03)</f>
        <v>0</v>
      </c>
      <c r="J1446" s="93"/>
      <c r="K1446" s="93"/>
      <c r="L1446" s="93"/>
      <c r="M1446" s="93"/>
      <c r="N1446" s="93"/>
      <c r="O1446" s="93"/>
      <c r="P1446" s="93"/>
      <c r="Q1446" s="93"/>
      <c r="R1446" s="93"/>
      <c r="S1446" s="93"/>
      <c r="T1446" s="93"/>
      <c r="U1446" s="93"/>
      <c r="V1446" s="93"/>
      <c r="W1446" s="93"/>
      <c r="X1446" s="93"/>
      <c r="Y1446" s="93"/>
      <c r="Z1446" s="93"/>
    </row>
    <row r="1447" customFormat="false" ht="16.4" hidden="false" customHeight="false" outlineLevel="0" collapsed="false">
      <c r="A1447" s="123" t="n">
        <v>45444</v>
      </c>
      <c r="B1447" s="31" t="s">
        <v>153</v>
      </c>
      <c r="C1447" s="129"/>
      <c r="D1447" s="129"/>
      <c r="E1447" s="19" t="n">
        <f aca="false">F1447*0.03</f>
        <v>0</v>
      </c>
      <c r="F1447" s="33" t="n">
        <v>0</v>
      </c>
      <c r="G1447" s="131"/>
      <c r="H1447" s="35" t="n">
        <v>0</v>
      </c>
      <c r="I1447" s="34" t="n">
        <f aca="false">+IF(E1447=0,0,E1447*0.03)</f>
        <v>0</v>
      </c>
      <c r="J1447" s="93"/>
      <c r="K1447" s="93"/>
      <c r="L1447" s="93"/>
      <c r="M1447" s="93"/>
      <c r="N1447" s="93"/>
      <c r="O1447" s="93"/>
      <c r="P1447" s="93"/>
      <c r="Q1447" s="93"/>
      <c r="R1447" s="93"/>
      <c r="S1447" s="93"/>
      <c r="T1447" s="93"/>
      <c r="U1447" s="93"/>
      <c r="V1447" s="93"/>
      <c r="W1447" s="93"/>
      <c r="X1447" s="93"/>
      <c r="Y1447" s="93"/>
      <c r="Z1447" s="93"/>
    </row>
    <row r="1448" customFormat="false" ht="16.4" hidden="false" customHeight="false" outlineLevel="0" collapsed="false">
      <c r="A1448" s="123" t="n">
        <v>45444</v>
      </c>
      <c r="B1448" s="31" t="s">
        <v>153</v>
      </c>
      <c r="C1448" s="129"/>
      <c r="D1448" s="129"/>
      <c r="E1448" s="19" t="n">
        <f aca="false">F1448*0.03</f>
        <v>0</v>
      </c>
      <c r="F1448" s="33" t="n">
        <v>0</v>
      </c>
      <c r="G1448" s="131"/>
      <c r="H1448" s="35" t="n">
        <v>0</v>
      </c>
      <c r="I1448" s="34" t="n">
        <f aca="false">+IF(E1448=0,0,E1448*0.03)</f>
        <v>0</v>
      </c>
      <c r="J1448" s="93"/>
      <c r="K1448" s="93"/>
      <c r="L1448" s="93"/>
      <c r="M1448" s="93"/>
      <c r="N1448" s="93"/>
      <c r="O1448" s="93"/>
      <c r="P1448" s="93"/>
      <c r="Q1448" s="93"/>
      <c r="R1448" s="93"/>
      <c r="S1448" s="93"/>
      <c r="T1448" s="93"/>
      <c r="U1448" s="93"/>
      <c r="V1448" s="93"/>
      <c r="W1448" s="93"/>
      <c r="X1448" s="93"/>
      <c r="Y1448" s="93"/>
      <c r="Z1448" s="93"/>
    </row>
    <row r="1449" customFormat="false" ht="16.4" hidden="false" customHeight="false" outlineLevel="0" collapsed="false">
      <c r="A1449" s="123" t="n">
        <v>45444</v>
      </c>
      <c r="B1449" s="31" t="s">
        <v>153</v>
      </c>
      <c r="C1449" s="129"/>
      <c r="D1449" s="129"/>
      <c r="E1449" s="19" t="n">
        <f aca="false">F1449*0.03</f>
        <v>0</v>
      </c>
      <c r="F1449" s="33" t="n">
        <v>0</v>
      </c>
      <c r="G1449" s="131"/>
      <c r="H1449" s="35" t="n">
        <v>0</v>
      </c>
      <c r="I1449" s="34" t="n">
        <f aca="false">+IF(E1449=0,0,E1449*0.03)</f>
        <v>0</v>
      </c>
      <c r="J1449" s="93"/>
      <c r="K1449" s="93"/>
      <c r="L1449" s="93"/>
      <c r="M1449" s="93"/>
      <c r="N1449" s="93"/>
      <c r="O1449" s="93"/>
      <c r="P1449" s="93"/>
      <c r="Q1449" s="93"/>
      <c r="R1449" s="93"/>
      <c r="S1449" s="93"/>
      <c r="T1449" s="93"/>
      <c r="U1449" s="93"/>
      <c r="V1449" s="93"/>
      <c r="W1449" s="93"/>
      <c r="X1449" s="93"/>
      <c r="Y1449" s="93"/>
      <c r="Z1449" s="93"/>
    </row>
    <row r="1450" customFormat="false" ht="16.4" hidden="false" customHeight="false" outlineLevel="0" collapsed="false">
      <c r="A1450" s="123" t="n">
        <v>45444</v>
      </c>
      <c r="B1450" s="31" t="s">
        <v>153</v>
      </c>
      <c r="C1450" s="129"/>
      <c r="D1450" s="129"/>
      <c r="E1450" s="19" t="n">
        <f aca="false">F1450*0.03</f>
        <v>0</v>
      </c>
      <c r="F1450" s="33" t="n">
        <v>0</v>
      </c>
      <c r="G1450" s="131"/>
      <c r="H1450" s="35" t="n">
        <v>0</v>
      </c>
      <c r="I1450" s="34" t="n">
        <f aca="false">+IF(E1450=0,0,E1450*0.03)</f>
        <v>0</v>
      </c>
      <c r="J1450" s="93"/>
      <c r="K1450" s="93"/>
      <c r="L1450" s="93"/>
      <c r="M1450" s="93"/>
      <c r="N1450" s="93"/>
      <c r="O1450" s="93"/>
      <c r="P1450" s="93"/>
      <c r="Q1450" s="93"/>
      <c r="R1450" s="93"/>
      <c r="S1450" s="93"/>
      <c r="T1450" s="93"/>
      <c r="U1450" s="93"/>
      <c r="V1450" s="93"/>
      <c r="W1450" s="93"/>
      <c r="X1450" s="93"/>
      <c r="Y1450" s="93"/>
      <c r="Z1450" s="93"/>
    </row>
    <row r="1451" customFormat="false" ht="16.4" hidden="false" customHeight="false" outlineLevel="0" collapsed="false">
      <c r="A1451" s="123" t="n">
        <v>45444</v>
      </c>
      <c r="B1451" s="31" t="s">
        <v>153</v>
      </c>
      <c r="C1451" s="129"/>
      <c r="D1451" s="129"/>
      <c r="E1451" s="19" t="n">
        <f aca="false">F1451*0.03</f>
        <v>0</v>
      </c>
      <c r="F1451" s="33" t="n">
        <v>0</v>
      </c>
      <c r="G1451" s="131"/>
      <c r="H1451" s="35" t="n">
        <v>0</v>
      </c>
      <c r="I1451" s="34" t="n">
        <f aca="false">+IF(E1451=0,0,E1451*0.03)</f>
        <v>0</v>
      </c>
      <c r="J1451" s="93"/>
      <c r="K1451" s="93"/>
      <c r="L1451" s="93"/>
      <c r="M1451" s="93"/>
      <c r="N1451" s="93"/>
      <c r="O1451" s="93"/>
      <c r="P1451" s="93"/>
      <c r="Q1451" s="93"/>
      <c r="R1451" s="93"/>
      <c r="S1451" s="93"/>
      <c r="T1451" s="93"/>
      <c r="U1451" s="93"/>
      <c r="V1451" s="93"/>
      <c r="W1451" s="93"/>
      <c r="X1451" s="93"/>
      <c r="Y1451" s="93"/>
      <c r="Z1451" s="93"/>
    </row>
    <row r="1452" customFormat="false" ht="16.4" hidden="false" customHeight="false" outlineLevel="0" collapsed="false">
      <c r="A1452" s="123" t="n">
        <v>45444</v>
      </c>
      <c r="B1452" s="31" t="s">
        <v>153</v>
      </c>
      <c r="C1452" s="129"/>
      <c r="D1452" s="129"/>
      <c r="E1452" s="19" t="n">
        <f aca="false">F1452*0.03</f>
        <v>0</v>
      </c>
      <c r="F1452" s="33" t="n">
        <v>0</v>
      </c>
      <c r="G1452" s="131"/>
      <c r="H1452" s="35" t="n">
        <v>0</v>
      </c>
      <c r="I1452" s="34" t="n">
        <f aca="false">+IF(E1452=0,0,E1452*0.03)</f>
        <v>0</v>
      </c>
      <c r="J1452" s="93"/>
      <c r="K1452" s="93"/>
      <c r="L1452" s="93"/>
      <c r="M1452" s="93"/>
      <c r="N1452" s="93"/>
      <c r="O1452" s="93"/>
      <c r="P1452" s="93"/>
      <c r="Q1452" s="93"/>
      <c r="R1452" s="93"/>
      <c r="S1452" s="93"/>
      <c r="T1452" s="93"/>
      <c r="U1452" s="93"/>
      <c r="V1452" s="93"/>
      <c r="W1452" s="93"/>
      <c r="X1452" s="93"/>
      <c r="Y1452" s="93"/>
      <c r="Z1452" s="93"/>
    </row>
    <row r="1453" customFormat="false" ht="16.4" hidden="false" customHeight="false" outlineLevel="0" collapsed="false">
      <c r="A1453" s="123" t="n">
        <v>45444</v>
      </c>
      <c r="B1453" s="31" t="s">
        <v>153</v>
      </c>
      <c r="C1453" s="129"/>
      <c r="D1453" s="129"/>
      <c r="E1453" s="19" t="n">
        <f aca="false">F1453*0.03</f>
        <v>0</v>
      </c>
      <c r="F1453" s="33" t="n">
        <v>0</v>
      </c>
      <c r="G1453" s="131"/>
      <c r="H1453" s="35" t="n">
        <v>0</v>
      </c>
      <c r="I1453" s="34" t="n">
        <f aca="false">+IF(E1453=0,0,E1453*0.03)</f>
        <v>0</v>
      </c>
      <c r="J1453" s="93"/>
      <c r="K1453" s="93"/>
      <c r="L1453" s="93"/>
      <c r="M1453" s="93"/>
      <c r="N1453" s="93"/>
      <c r="O1453" s="93"/>
      <c r="P1453" s="93"/>
      <c r="Q1453" s="93"/>
      <c r="R1453" s="93"/>
      <c r="S1453" s="93"/>
      <c r="T1453" s="93"/>
      <c r="U1453" s="93"/>
      <c r="V1453" s="93"/>
      <c r="W1453" s="93"/>
      <c r="X1453" s="93"/>
      <c r="Y1453" s="93"/>
      <c r="Z1453" s="93"/>
    </row>
    <row r="1454" customFormat="false" ht="16.4" hidden="false" customHeight="false" outlineLevel="0" collapsed="false">
      <c r="A1454" s="123" t="n">
        <v>45444</v>
      </c>
      <c r="B1454" s="31" t="s">
        <v>153</v>
      </c>
      <c r="C1454" s="129"/>
      <c r="D1454" s="129"/>
      <c r="E1454" s="19" t="n">
        <f aca="false">F1454*0.03</f>
        <v>0</v>
      </c>
      <c r="F1454" s="33" t="n">
        <v>0</v>
      </c>
      <c r="G1454" s="131"/>
      <c r="H1454" s="35" t="n">
        <v>0</v>
      </c>
      <c r="I1454" s="34" t="n">
        <f aca="false">+IF(E1454=0,0,E1454*0.03)</f>
        <v>0</v>
      </c>
      <c r="J1454" s="93"/>
      <c r="K1454" s="93"/>
      <c r="L1454" s="93"/>
      <c r="M1454" s="93"/>
      <c r="N1454" s="93"/>
      <c r="O1454" s="93"/>
      <c r="P1454" s="93"/>
      <c r="Q1454" s="93"/>
      <c r="R1454" s="93"/>
      <c r="S1454" s="93"/>
      <c r="T1454" s="93"/>
      <c r="U1454" s="93"/>
      <c r="V1454" s="93"/>
      <c r="W1454" s="93"/>
      <c r="X1454" s="93"/>
      <c r="Y1454" s="93"/>
      <c r="Z1454" s="93"/>
    </row>
    <row r="1455" customFormat="false" ht="16.4" hidden="false" customHeight="false" outlineLevel="0" collapsed="false">
      <c r="A1455" s="123" t="n">
        <v>45444</v>
      </c>
      <c r="B1455" s="31" t="s">
        <v>153</v>
      </c>
      <c r="C1455" s="129"/>
      <c r="D1455" s="129"/>
      <c r="E1455" s="19" t="n">
        <f aca="false">F1455*0.03</f>
        <v>0</v>
      </c>
      <c r="F1455" s="33" t="n">
        <v>0</v>
      </c>
      <c r="G1455" s="131"/>
      <c r="H1455" s="35" t="n">
        <v>0</v>
      </c>
      <c r="I1455" s="34" t="n">
        <f aca="false">+IF(E1455=0,0,E1455*0.03)</f>
        <v>0</v>
      </c>
      <c r="J1455" s="93"/>
      <c r="K1455" s="93"/>
      <c r="L1455" s="93"/>
      <c r="M1455" s="93"/>
      <c r="N1455" s="93"/>
      <c r="O1455" s="93"/>
      <c r="P1455" s="93"/>
      <c r="Q1455" s="93"/>
      <c r="R1455" s="93"/>
      <c r="S1455" s="93"/>
      <c r="T1455" s="93"/>
      <c r="U1455" s="93"/>
      <c r="V1455" s="93"/>
      <c r="W1455" s="93"/>
      <c r="X1455" s="93"/>
      <c r="Y1455" s="93"/>
      <c r="Z1455" s="93"/>
    </row>
    <row r="1456" customFormat="false" ht="16.4" hidden="false" customHeight="false" outlineLevel="0" collapsed="false">
      <c r="A1456" s="123" t="n">
        <v>45444</v>
      </c>
      <c r="B1456" s="31" t="s">
        <v>153</v>
      </c>
      <c r="C1456" s="129"/>
      <c r="D1456" s="129"/>
      <c r="E1456" s="19" t="n">
        <f aca="false">F1456*0.03</f>
        <v>0</v>
      </c>
      <c r="F1456" s="33" t="n">
        <v>0</v>
      </c>
      <c r="G1456" s="131"/>
      <c r="H1456" s="35" t="n">
        <v>0</v>
      </c>
      <c r="I1456" s="34" t="n">
        <f aca="false">+IF(E1456=0,0,E1456*0.03)</f>
        <v>0</v>
      </c>
      <c r="J1456" s="93"/>
      <c r="K1456" s="93"/>
      <c r="L1456" s="93"/>
      <c r="M1456" s="93"/>
      <c r="N1456" s="93"/>
      <c r="O1456" s="93"/>
      <c r="P1456" s="93"/>
      <c r="Q1456" s="93"/>
      <c r="R1456" s="93"/>
      <c r="S1456" s="93"/>
      <c r="T1456" s="93"/>
      <c r="U1456" s="93"/>
      <c r="V1456" s="93"/>
      <c r="W1456" s="93"/>
      <c r="X1456" s="93"/>
      <c r="Y1456" s="93"/>
      <c r="Z1456" s="93"/>
    </row>
    <row r="1457" customFormat="false" ht="16.4" hidden="false" customHeight="false" outlineLevel="0" collapsed="false">
      <c r="A1457" s="123" t="n">
        <v>45444</v>
      </c>
      <c r="B1457" s="31" t="s">
        <v>153</v>
      </c>
      <c r="C1457" s="129"/>
      <c r="D1457" s="129"/>
      <c r="E1457" s="19" t="n">
        <f aca="false">F1457*0.03</f>
        <v>0</v>
      </c>
      <c r="F1457" s="33" t="n">
        <v>0</v>
      </c>
      <c r="G1457" s="131"/>
      <c r="H1457" s="35" t="n">
        <v>0</v>
      </c>
      <c r="I1457" s="34" t="n">
        <f aca="false">+IF(E1457=0,0,E1457*0.03)</f>
        <v>0</v>
      </c>
      <c r="J1457" s="93"/>
      <c r="K1457" s="93"/>
      <c r="L1457" s="93"/>
      <c r="M1457" s="93"/>
      <c r="N1457" s="93"/>
      <c r="O1457" s="93"/>
      <c r="P1457" s="93"/>
      <c r="Q1457" s="93"/>
      <c r="R1457" s="93"/>
      <c r="S1457" s="93"/>
      <c r="T1457" s="93"/>
      <c r="U1457" s="93"/>
      <c r="V1457" s="93"/>
      <c r="W1457" s="93"/>
      <c r="X1457" s="93"/>
      <c r="Y1457" s="93"/>
      <c r="Z1457" s="93"/>
    </row>
    <row r="1458" customFormat="false" ht="16.4" hidden="false" customHeight="false" outlineLevel="0" collapsed="false">
      <c r="A1458" s="123" t="n">
        <v>45444</v>
      </c>
      <c r="B1458" s="31" t="s">
        <v>153</v>
      </c>
      <c r="C1458" s="129"/>
      <c r="D1458" s="129"/>
      <c r="E1458" s="19" t="n">
        <f aca="false">F1458*0.03</f>
        <v>0</v>
      </c>
      <c r="F1458" s="33" t="n">
        <v>0</v>
      </c>
      <c r="G1458" s="131"/>
      <c r="H1458" s="35" t="n">
        <v>0</v>
      </c>
      <c r="I1458" s="34" t="n">
        <f aca="false">+IF(E1458=0,0,E1458*0.03)</f>
        <v>0</v>
      </c>
      <c r="J1458" s="93"/>
      <c r="K1458" s="93"/>
      <c r="L1458" s="93"/>
      <c r="M1458" s="93"/>
      <c r="N1458" s="93"/>
      <c r="O1458" s="93"/>
      <c r="P1458" s="93"/>
      <c r="Q1458" s="93"/>
      <c r="R1458" s="93"/>
      <c r="S1458" s="93"/>
      <c r="T1458" s="93"/>
      <c r="U1458" s="93"/>
      <c r="V1458" s="93"/>
      <c r="W1458" s="93"/>
      <c r="X1458" s="93"/>
      <c r="Y1458" s="93"/>
      <c r="Z1458" s="93"/>
    </row>
    <row r="1459" customFormat="false" ht="16.4" hidden="false" customHeight="false" outlineLevel="0" collapsed="false">
      <c r="A1459" s="123" t="n">
        <v>45444</v>
      </c>
      <c r="B1459" s="31" t="s">
        <v>153</v>
      </c>
      <c r="C1459" s="129"/>
      <c r="D1459" s="129"/>
      <c r="E1459" s="19" t="n">
        <f aca="false">F1459*0.03</f>
        <v>0</v>
      </c>
      <c r="F1459" s="33" t="n">
        <v>0</v>
      </c>
      <c r="G1459" s="131"/>
      <c r="H1459" s="35" t="n">
        <v>0</v>
      </c>
      <c r="I1459" s="34" t="n">
        <f aca="false">+IF(E1459=0,0,E1459*0.03)</f>
        <v>0</v>
      </c>
      <c r="J1459" s="93"/>
      <c r="K1459" s="93"/>
      <c r="L1459" s="93"/>
      <c r="M1459" s="93"/>
      <c r="N1459" s="93"/>
      <c r="O1459" s="93"/>
      <c r="P1459" s="93"/>
      <c r="Q1459" s="93"/>
      <c r="R1459" s="93"/>
      <c r="S1459" s="93"/>
      <c r="T1459" s="93"/>
      <c r="U1459" s="93"/>
      <c r="V1459" s="93"/>
      <c r="W1459" s="93"/>
      <c r="X1459" s="93"/>
      <c r="Y1459" s="93"/>
      <c r="Z1459" s="93"/>
    </row>
    <row r="1460" customFormat="false" ht="16.4" hidden="false" customHeight="false" outlineLevel="0" collapsed="false">
      <c r="A1460" s="123" t="n">
        <v>45444</v>
      </c>
      <c r="B1460" s="31" t="s">
        <v>153</v>
      </c>
      <c r="C1460" s="129"/>
      <c r="D1460" s="129"/>
      <c r="E1460" s="19" t="n">
        <f aca="false">F1460*0.03</f>
        <v>0</v>
      </c>
      <c r="F1460" s="33" t="n">
        <v>0</v>
      </c>
      <c r="G1460" s="131"/>
      <c r="H1460" s="35" t="n">
        <v>0</v>
      </c>
      <c r="I1460" s="34" t="n">
        <f aca="false">+IF(E1460=0,0,E1460*0.03)</f>
        <v>0</v>
      </c>
      <c r="J1460" s="93"/>
      <c r="K1460" s="93"/>
      <c r="L1460" s="93"/>
      <c r="M1460" s="93"/>
      <c r="N1460" s="93"/>
      <c r="O1460" s="93"/>
      <c r="P1460" s="93"/>
      <c r="Q1460" s="93"/>
      <c r="R1460" s="93"/>
      <c r="S1460" s="93"/>
      <c r="T1460" s="93"/>
      <c r="U1460" s="93"/>
      <c r="V1460" s="93"/>
      <c r="W1460" s="93"/>
      <c r="X1460" s="93"/>
      <c r="Y1460" s="93"/>
      <c r="Z1460" s="93"/>
    </row>
    <row r="1461" customFormat="false" ht="16.4" hidden="false" customHeight="false" outlineLevel="0" collapsed="false">
      <c r="A1461" s="123" t="n">
        <v>45444</v>
      </c>
      <c r="B1461" s="31" t="s">
        <v>153</v>
      </c>
      <c r="C1461" s="129"/>
      <c r="D1461" s="129"/>
      <c r="E1461" s="19" t="n">
        <f aca="false">F1461*0.03</f>
        <v>0</v>
      </c>
      <c r="F1461" s="33" t="n">
        <v>0</v>
      </c>
      <c r="G1461" s="131"/>
      <c r="H1461" s="35" t="n">
        <v>0</v>
      </c>
      <c r="I1461" s="34" t="n">
        <f aca="false">+IF(E1461=0,0,E1461*0.03)</f>
        <v>0</v>
      </c>
      <c r="J1461" s="93"/>
      <c r="K1461" s="93"/>
      <c r="L1461" s="93"/>
      <c r="M1461" s="93"/>
      <c r="N1461" s="93"/>
      <c r="O1461" s="93"/>
      <c r="P1461" s="93"/>
      <c r="Q1461" s="93"/>
      <c r="R1461" s="93"/>
      <c r="S1461" s="93"/>
      <c r="T1461" s="93"/>
      <c r="U1461" s="93"/>
      <c r="V1461" s="93"/>
      <c r="W1461" s="93"/>
      <c r="X1461" s="93"/>
      <c r="Y1461" s="93"/>
      <c r="Z1461" s="93"/>
    </row>
    <row r="1462" customFormat="false" ht="16.4" hidden="false" customHeight="false" outlineLevel="0" collapsed="false">
      <c r="A1462" s="123" t="n">
        <v>45444</v>
      </c>
      <c r="B1462" s="31" t="s">
        <v>153</v>
      </c>
      <c r="C1462" s="129"/>
      <c r="D1462" s="129"/>
      <c r="E1462" s="19" t="n">
        <f aca="false">F1462*0.03</f>
        <v>0</v>
      </c>
      <c r="F1462" s="33" t="n">
        <v>0</v>
      </c>
      <c r="G1462" s="131"/>
      <c r="H1462" s="35" t="n">
        <v>0</v>
      </c>
      <c r="I1462" s="34" t="n">
        <f aca="false">+IF(E1462=0,0,E1462*0.03)</f>
        <v>0</v>
      </c>
      <c r="J1462" s="93"/>
      <c r="K1462" s="93"/>
      <c r="L1462" s="93"/>
      <c r="M1462" s="93"/>
      <c r="N1462" s="93"/>
      <c r="O1462" s="93"/>
      <c r="P1462" s="93"/>
      <c r="Q1462" s="93"/>
      <c r="R1462" s="93"/>
      <c r="S1462" s="93"/>
      <c r="T1462" s="93"/>
      <c r="U1462" s="93"/>
      <c r="V1462" s="93"/>
      <c r="W1462" s="93"/>
      <c r="X1462" s="93"/>
      <c r="Y1462" s="93"/>
      <c r="Z1462" s="93"/>
    </row>
    <row r="1463" customFormat="false" ht="16.4" hidden="false" customHeight="false" outlineLevel="0" collapsed="false">
      <c r="A1463" s="123" t="n">
        <v>45444</v>
      </c>
      <c r="B1463" s="31" t="s">
        <v>153</v>
      </c>
      <c r="C1463" s="129"/>
      <c r="D1463" s="129"/>
      <c r="E1463" s="19" t="n">
        <f aca="false">F1463*0.03</f>
        <v>0</v>
      </c>
      <c r="F1463" s="33" t="n">
        <v>0</v>
      </c>
      <c r="G1463" s="131"/>
      <c r="H1463" s="35" t="n">
        <v>0</v>
      </c>
      <c r="I1463" s="34" t="n">
        <f aca="false">+IF(E1463=0,0,E1463*0.03)</f>
        <v>0</v>
      </c>
      <c r="J1463" s="93"/>
      <c r="K1463" s="93"/>
      <c r="L1463" s="93"/>
      <c r="M1463" s="93"/>
      <c r="N1463" s="93"/>
      <c r="O1463" s="93"/>
      <c r="P1463" s="93"/>
      <c r="Q1463" s="93"/>
      <c r="R1463" s="93"/>
      <c r="S1463" s="93"/>
      <c r="T1463" s="93"/>
      <c r="U1463" s="93"/>
      <c r="V1463" s="93"/>
      <c r="W1463" s="93"/>
      <c r="X1463" s="93"/>
      <c r="Y1463" s="93"/>
      <c r="Z1463" s="93"/>
    </row>
    <row r="1464" customFormat="false" ht="16.4" hidden="false" customHeight="false" outlineLevel="0" collapsed="false">
      <c r="A1464" s="123" t="n">
        <v>45444</v>
      </c>
      <c r="B1464" s="31" t="s">
        <v>153</v>
      </c>
      <c r="C1464" s="129"/>
      <c r="D1464" s="129"/>
      <c r="E1464" s="19" t="n">
        <f aca="false">F1464*0.03</f>
        <v>0</v>
      </c>
      <c r="F1464" s="33" t="n">
        <v>0</v>
      </c>
      <c r="G1464" s="131"/>
      <c r="H1464" s="35" t="n">
        <v>0</v>
      </c>
      <c r="I1464" s="34" t="n">
        <f aca="false">+IF(E1464=0,0,E1464*0.03)</f>
        <v>0</v>
      </c>
      <c r="J1464" s="93"/>
      <c r="K1464" s="93"/>
      <c r="L1464" s="93"/>
      <c r="M1464" s="93"/>
      <c r="N1464" s="93"/>
      <c r="O1464" s="93"/>
      <c r="P1464" s="93"/>
      <c r="Q1464" s="93"/>
      <c r="R1464" s="93"/>
      <c r="S1464" s="93"/>
      <c r="T1464" s="93"/>
      <c r="U1464" s="93"/>
      <c r="V1464" s="93"/>
      <c r="W1464" s="93"/>
      <c r="X1464" s="93"/>
      <c r="Y1464" s="93"/>
      <c r="Z1464" s="93"/>
    </row>
    <row r="1465" customFormat="false" ht="16.4" hidden="false" customHeight="false" outlineLevel="0" collapsed="false">
      <c r="A1465" s="123" t="n">
        <v>45444</v>
      </c>
      <c r="B1465" s="31" t="s">
        <v>153</v>
      </c>
      <c r="C1465" s="129"/>
      <c r="D1465" s="129"/>
      <c r="E1465" s="19" t="n">
        <f aca="false">F1465*0.03</f>
        <v>0</v>
      </c>
      <c r="F1465" s="33" t="n">
        <v>0</v>
      </c>
      <c r="G1465" s="131"/>
      <c r="H1465" s="35" t="n">
        <v>0</v>
      </c>
      <c r="I1465" s="34" t="n">
        <f aca="false">+IF(E1465=0,0,E1465*0.03)</f>
        <v>0</v>
      </c>
      <c r="J1465" s="93"/>
      <c r="K1465" s="93"/>
      <c r="L1465" s="93"/>
      <c r="M1465" s="93"/>
      <c r="N1465" s="93"/>
      <c r="O1465" s="93"/>
      <c r="P1465" s="93"/>
      <c r="Q1465" s="93"/>
      <c r="R1465" s="93"/>
      <c r="S1465" s="93"/>
      <c r="T1465" s="93"/>
      <c r="U1465" s="93"/>
      <c r="V1465" s="93"/>
      <c r="W1465" s="93"/>
      <c r="X1465" s="93"/>
      <c r="Y1465" s="93"/>
      <c r="Z1465" s="93"/>
    </row>
    <row r="1466" customFormat="false" ht="16.4" hidden="false" customHeight="false" outlineLevel="0" collapsed="false">
      <c r="A1466" s="123" t="n">
        <v>45444</v>
      </c>
      <c r="B1466" s="31" t="s">
        <v>153</v>
      </c>
      <c r="C1466" s="129"/>
      <c r="D1466" s="129"/>
      <c r="E1466" s="19" t="n">
        <f aca="false">F1466*0.03</f>
        <v>0</v>
      </c>
      <c r="F1466" s="33" t="n">
        <v>0</v>
      </c>
      <c r="G1466" s="131"/>
      <c r="H1466" s="35" t="n">
        <v>0</v>
      </c>
      <c r="I1466" s="34" t="n">
        <f aca="false">+IF(E1466=0,0,E1466*0.03)</f>
        <v>0</v>
      </c>
      <c r="J1466" s="93"/>
      <c r="K1466" s="93"/>
      <c r="L1466" s="93"/>
      <c r="M1466" s="93"/>
      <c r="N1466" s="93"/>
      <c r="O1466" s="93"/>
      <c r="P1466" s="93"/>
      <c r="Q1466" s="93"/>
      <c r="R1466" s="93"/>
      <c r="S1466" s="93"/>
      <c r="T1466" s="93"/>
      <c r="U1466" s="93"/>
      <c r="V1466" s="93"/>
      <c r="W1466" s="93"/>
      <c r="X1466" s="93"/>
      <c r="Y1466" s="93"/>
      <c r="Z1466" s="93"/>
    </row>
    <row r="1467" customFormat="false" ht="16.4" hidden="false" customHeight="false" outlineLevel="0" collapsed="false">
      <c r="A1467" s="123" t="n">
        <v>45444</v>
      </c>
      <c r="B1467" s="31" t="s">
        <v>153</v>
      </c>
      <c r="C1467" s="129"/>
      <c r="D1467" s="129"/>
      <c r="E1467" s="19" t="n">
        <f aca="false">F1467*0.03</f>
        <v>0</v>
      </c>
      <c r="F1467" s="33" t="n">
        <v>0</v>
      </c>
      <c r="G1467" s="131"/>
      <c r="H1467" s="35" t="n">
        <v>0</v>
      </c>
      <c r="I1467" s="34" t="n">
        <f aca="false">+IF(E1467=0,0,E1467*0.03)</f>
        <v>0</v>
      </c>
      <c r="J1467" s="93"/>
      <c r="K1467" s="93"/>
      <c r="L1467" s="93"/>
      <c r="M1467" s="93"/>
      <c r="N1467" s="93"/>
      <c r="O1467" s="93"/>
      <c r="P1467" s="93"/>
      <c r="Q1467" s="93"/>
      <c r="R1467" s="93"/>
      <c r="S1467" s="93"/>
      <c r="T1467" s="93"/>
      <c r="U1467" s="93"/>
      <c r="V1467" s="93"/>
      <c r="W1467" s="93"/>
      <c r="X1467" s="93"/>
      <c r="Y1467" s="93"/>
      <c r="Z1467" s="93"/>
    </row>
    <row r="1468" customFormat="false" ht="16.4" hidden="false" customHeight="false" outlineLevel="0" collapsed="false">
      <c r="A1468" s="123" t="n">
        <v>45444</v>
      </c>
      <c r="B1468" s="31" t="s">
        <v>153</v>
      </c>
      <c r="C1468" s="129"/>
      <c r="D1468" s="129"/>
      <c r="E1468" s="19" t="n">
        <f aca="false">F1468*0.03</f>
        <v>0</v>
      </c>
      <c r="F1468" s="33" t="n">
        <v>0</v>
      </c>
      <c r="G1468" s="131"/>
      <c r="H1468" s="35" t="n">
        <v>0</v>
      </c>
      <c r="I1468" s="34" t="n">
        <f aca="false">+IF(E1468=0,0,E1468*0.03)</f>
        <v>0</v>
      </c>
      <c r="J1468" s="93"/>
      <c r="K1468" s="93"/>
      <c r="L1468" s="93"/>
      <c r="M1468" s="93"/>
      <c r="N1468" s="93"/>
      <c r="O1468" s="93"/>
      <c r="P1468" s="93"/>
      <c r="Q1468" s="93"/>
      <c r="R1468" s="93"/>
      <c r="S1468" s="93"/>
      <c r="T1468" s="93"/>
      <c r="U1468" s="93"/>
      <c r="V1468" s="93"/>
      <c r="W1468" s="93"/>
      <c r="X1468" s="93"/>
      <c r="Y1468" s="93"/>
      <c r="Z1468" s="93"/>
    </row>
    <row r="1469" customFormat="false" ht="16.4" hidden="false" customHeight="false" outlineLevel="0" collapsed="false">
      <c r="A1469" s="123" t="n">
        <v>45444</v>
      </c>
      <c r="B1469" s="31" t="s">
        <v>153</v>
      </c>
      <c r="C1469" s="129"/>
      <c r="D1469" s="129"/>
      <c r="E1469" s="19" t="n">
        <f aca="false">F1469*0.03</f>
        <v>0</v>
      </c>
      <c r="F1469" s="33" t="n">
        <v>0</v>
      </c>
      <c r="G1469" s="131"/>
      <c r="H1469" s="35" t="n">
        <v>0</v>
      </c>
      <c r="I1469" s="34" t="n">
        <f aca="false">+IF(E1469=0,0,E1469*0.03)</f>
        <v>0</v>
      </c>
      <c r="J1469" s="93"/>
      <c r="K1469" s="93"/>
      <c r="L1469" s="93"/>
      <c r="M1469" s="93"/>
      <c r="N1469" s="93"/>
      <c r="O1469" s="93"/>
      <c r="P1469" s="93"/>
      <c r="Q1469" s="93"/>
      <c r="R1469" s="93"/>
      <c r="S1469" s="93"/>
      <c r="T1469" s="93"/>
      <c r="U1469" s="93"/>
      <c r="V1469" s="93"/>
      <c r="W1469" s="93"/>
      <c r="X1469" s="93"/>
      <c r="Y1469" s="93"/>
      <c r="Z1469" s="93"/>
    </row>
    <row r="1470" customFormat="false" ht="16.4" hidden="false" customHeight="false" outlineLevel="0" collapsed="false">
      <c r="A1470" s="123" t="n">
        <v>45444</v>
      </c>
      <c r="B1470" s="31" t="s">
        <v>153</v>
      </c>
      <c r="C1470" s="129"/>
      <c r="D1470" s="129"/>
      <c r="E1470" s="19" t="n">
        <f aca="false">F1470*0.03</f>
        <v>0</v>
      </c>
      <c r="F1470" s="33" t="n">
        <v>0</v>
      </c>
      <c r="G1470" s="131"/>
      <c r="H1470" s="35" t="n">
        <v>0</v>
      </c>
      <c r="I1470" s="34" t="n">
        <f aca="false">+IF(E1470=0,0,E1470*0.03)</f>
        <v>0</v>
      </c>
      <c r="J1470" s="93"/>
      <c r="K1470" s="93"/>
      <c r="L1470" s="93"/>
      <c r="M1470" s="93"/>
      <c r="N1470" s="93"/>
      <c r="O1470" s="93"/>
      <c r="P1470" s="93"/>
      <c r="Q1470" s="93"/>
      <c r="R1470" s="93"/>
      <c r="S1470" s="93"/>
      <c r="T1470" s="93"/>
      <c r="U1470" s="93"/>
      <c r="V1470" s="93"/>
      <c r="W1470" s="93"/>
      <c r="X1470" s="93"/>
      <c r="Y1470" s="93"/>
      <c r="Z1470" s="93"/>
    </row>
    <row r="1471" customFormat="false" ht="16.4" hidden="false" customHeight="false" outlineLevel="0" collapsed="false">
      <c r="A1471" s="123" t="n">
        <v>45444</v>
      </c>
      <c r="B1471" s="31" t="s">
        <v>153</v>
      </c>
      <c r="C1471" s="129"/>
      <c r="D1471" s="129"/>
      <c r="E1471" s="19" t="n">
        <f aca="false">F1471*0.03</f>
        <v>0</v>
      </c>
      <c r="F1471" s="33" t="n">
        <v>0</v>
      </c>
      <c r="G1471" s="131"/>
      <c r="H1471" s="35" t="n">
        <v>0</v>
      </c>
      <c r="I1471" s="34" t="n">
        <f aca="false">+IF(E1471=0,0,E1471*0.03)</f>
        <v>0</v>
      </c>
      <c r="J1471" s="93"/>
      <c r="K1471" s="93"/>
      <c r="L1471" s="93"/>
      <c r="M1471" s="93"/>
      <c r="N1471" s="93"/>
      <c r="O1471" s="93"/>
      <c r="P1471" s="93"/>
      <c r="Q1471" s="93"/>
      <c r="R1471" s="93"/>
      <c r="S1471" s="93"/>
      <c r="T1471" s="93"/>
      <c r="U1471" s="93"/>
      <c r="V1471" s="93"/>
      <c r="W1471" s="93"/>
      <c r="X1471" s="93"/>
      <c r="Y1471" s="93"/>
      <c r="Z1471" s="93"/>
    </row>
    <row r="1472" customFormat="false" ht="16.4" hidden="false" customHeight="false" outlineLevel="0" collapsed="false">
      <c r="A1472" s="123" t="n">
        <v>45444</v>
      </c>
      <c r="B1472" s="31" t="s">
        <v>153</v>
      </c>
      <c r="C1472" s="129"/>
      <c r="D1472" s="129"/>
      <c r="E1472" s="19" t="n">
        <f aca="false">F1472*0.03</f>
        <v>0</v>
      </c>
      <c r="F1472" s="33" t="n">
        <v>0</v>
      </c>
      <c r="G1472" s="131"/>
      <c r="H1472" s="35" t="n">
        <v>0</v>
      </c>
      <c r="I1472" s="34" t="n">
        <f aca="false">+IF(E1472=0,0,E1472*0.03)</f>
        <v>0</v>
      </c>
      <c r="J1472" s="93"/>
      <c r="K1472" s="93"/>
      <c r="L1472" s="93"/>
      <c r="M1472" s="93"/>
      <c r="N1472" s="93"/>
      <c r="O1472" s="93"/>
      <c r="P1472" s="93"/>
      <c r="Q1472" s="93"/>
      <c r="R1472" s="93"/>
      <c r="S1472" s="93"/>
      <c r="T1472" s="93"/>
      <c r="U1472" s="93"/>
      <c r="V1472" s="93"/>
      <c r="W1472" s="93"/>
      <c r="X1472" s="93"/>
      <c r="Y1472" s="93"/>
      <c r="Z1472" s="93"/>
    </row>
    <row r="1473" customFormat="false" ht="16.4" hidden="false" customHeight="false" outlineLevel="0" collapsed="false">
      <c r="A1473" s="123" t="n">
        <v>45444</v>
      </c>
      <c r="B1473" s="31" t="s">
        <v>153</v>
      </c>
      <c r="C1473" s="129"/>
      <c r="D1473" s="129"/>
      <c r="E1473" s="19" t="n">
        <f aca="false">F1473*0.03</f>
        <v>0</v>
      </c>
      <c r="F1473" s="33" t="n">
        <v>0</v>
      </c>
      <c r="G1473" s="131"/>
      <c r="H1473" s="35" t="n">
        <v>0</v>
      </c>
      <c r="I1473" s="34" t="n">
        <f aca="false">+IF(E1473=0,0,E1473*0.03)</f>
        <v>0</v>
      </c>
      <c r="J1473" s="93"/>
      <c r="K1473" s="93"/>
      <c r="L1473" s="93"/>
      <c r="M1473" s="93"/>
      <c r="N1473" s="93"/>
      <c r="O1473" s="93"/>
      <c r="P1473" s="93"/>
      <c r="Q1473" s="93"/>
      <c r="R1473" s="93"/>
      <c r="S1473" s="93"/>
      <c r="T1473" s="93"/>
      <c r="U1473" s="93"/>
      <c r="V1473" s="93"/>
      <c r="W1473" s="93"/>
      <c r="X1473" s="93"/>
      <c r="Y1473" s="93"/>
      <c r="Z1473" s="93"/>
    </row>
    <row r="1474" customFormat="false" ht="16.4" hidden="false" customHeight="false" outlineLevel="0" collapsed="false">
      <c r="A1474" s="123" t="n">
        <v>45444</v>
      </c>
      <c r="B1474" s="31" t="s">
        <v>153</v>
      </c>
      <c r="C1474" s="129"/>
      <c r="D1474" s="129"/>
      <c r="E1474" s="19" t="n">
        <f aca="false">F1474*0.03</f>
        <v>0</v>
      </c>
      <c r="F1474" s="33" t="n">
        <v>0</v>
      </c>
      <c r="G1474" s="131"/>
      <c r="H1474" s="35" t="n">
        <v>0</v>
      </c>
      <c r="I1474" s="34" t="n">
        <f aca="false">+IF(E1474=0,0,E1474*0.03)</f>
        <v>0</v>
      </c>
      <c r="J1474" s="93"/>
      <c r="K1474" s="93"/>
      <c r="L1474" s="93"/>
      <c r="M1474" s="93"/>
      <c r="N1474" s="93"/>
      <c r="O1474" s="93"/>
      <c r="P1474" s="93"/>
      <c r="Q1474" s="93"/>
      <c r="R1474" s="93"/>
      <c r="S1474" s="93"/>
      <c r="T1474" s="93"/>
      <c r="U1474" s="93"/>
      <c r="V1474" s="93"/>
      <c r="W1474" s="93"/>
      <c r="X1474" s="93"/>
      <c r="Y1474" s="93"/>
      <c r="Z1474" s="93"/>
    </row>
    <row r="1475" customFormat="false" ht="16.4" hidden="false" customHeight="false" outlineLevel="0" collapsed="false">
      <c r="A1475" s="123" t="n">
        <v>45444</v>
      </c>
      <c r="B1475" s="31" t="s">
        <v>153</v>
      </c>
      <c r="C1475" s="129"/>
      <c r="D1475" s="129"/>
      <c r="E1475" s="19" t="n">
        <f aca="false">F1475*0.03</f>
        <v>0</v>
      </c>
      <c r="F1475" s="33" t="n">
        <v>0</v>
      </c>
      <c r="G1475" s="131"/>
      <c r="H1475" s="35" t="n">
        <v>0</v>
      </c>
      <c r="I1475" s="34" t="n">
        <f aca="false">+IF(E1475=0,0,E1475*0.03)</f>
        <v>0</v>
      </c>
      <c r="J1475" s="93"/>
      <c r="K1475" s="93"/>
      <c r="L1475" s="93"/>
      <c r="M1475" s="93"/>
      <c r="N1475" s="93"/>
      <c r="O1475" s="93"/>
      <c r="P1475" s="93"/>
      <c r="Q1475" s="93"/>
      <c r="R1475" s="93"/>
      <c r="S1475" s="93"/>
      <c r="T1475" s="93"/>
      <c r="U1475" s="93"/>
      <c r="V1475" s="93"/>
      <c r="W1475" s="93"/>
      <c r="X1475" s="93"/>
      <c r="Y1475" s="93"/>
      <c r="Z1475" s="93"/>
    </row>
    <row r="1476" customFormat="false" ht="16.4" hidden="false" customHeight="false" outlineLevel="0" collapsed="false">
      <c r="A1476" s="123" t="n">
        <v>45444</v>
      </c>
      <c r="B1476" s="31" t="s">
        <v>153</v>
      </c>
      <c r="C1476" s="129"/>
      <c r="D1476" s="129"/>
      <c r="E1476" s="19" t="n">
        <f aca="false">F1476*0.03</f>
        <v>0</v>
      </c>
      <c r="F1476" s="33" t="n">
        <v>0</v>
      </c>
      <c r="G1476" s="131"/>
      <c r="H1476" s="35" t="n">
        <v>0</v>
      </c>
      <c r="I1476" s="34" t="n">
        <f aca="false">+IF(E1476=0,0,E1476*0.03)</f>
        <v>0</v>
      </c>
      <c r="J1476" s="93"/>
      <c r="K1476" s="93"/>
      <c r="L1476" s="93"/>
      <c r="M1476" s="93"/>
      <c r="N1476" s="93"/>
      <c r="O1476" s="93"/>
      <c r="P1476" s="93"/>
      <c r="Q1476" s="93"/>
      <c r="R1476" s="93"/>
      <c r="S1476" s="93"/>
      <c r="T1476" s="93"/>
      <c r="U1476" s="93"/>
      <c r="V1476" s="93"/>
      <c r="W1476" s="93"/>
      <c r="X1476" s="93"/>
      <c r="Y1476" s="93"/>
      <c r="Z1476" s="93"/>
    </row>
    <row r="1477" customFormat="false" ht="16.4" hidden="false" customHeight="false" outlineLevel="0" collapsed="false">
      <c r="A1477" s="123" t="n">
        <v>45444</v>
      </c>
      <c r="B1477" s="31" t="s">
        <v>153</v>
      </c>
      <c r="C1477" s="129"/>
      <c r="D1477" s="129"/>
      <c r="E1477" s="19" t="n">
        <f aca="false">F1477*0.03</f>
        <v>0</v>
      </c>
      <c r="F1477" s="33" t="n">
        <v>0</v>
      </c>
      <c r="G1477" s="131"/>
      <c r="H1477" s="35" t="n">
        <v>0</v>
      </c>
      <c r="I1477" s="34" t="n">
        <f aca="false">+IF(E1477=0,0,E1477*0.03)</f>
        <v>0</v>
      </c>
      <c r="J1477" s="93"/>
      <c r="K1477" s="93"/>
      <c r="L1477" s="93"/>
      <c r="M1477" s="93"/>
      <c r="N1477" s="93"/>
      <c r="O1477" s="93"/>
      <c r="P1477" s="93"/>
      <c r="Q1477" s="93"/>
      <c r="R1477" s="93"/>
      <c r="S1477" s="93"/>
      <c r="T1477" s="93"/>
      <c r="U1477" s="93"/>
      <c r="V1477" s="93"/>
      <c r="W1477" s="93"/>
      <c r="X1477" s="93"/>
      <c r="Y1477" s="93"/>
      <c r="Z1477" s="93"/>
    </row>
    <row r="1478" customFormat="false" ht="16.4" hidden="false" customHeight="false" outlineLevel="0" collapsed="false">
      <c r="A1478" s="123" t="n">
        <v>45444</v>
      </c>
      <c r="B1478" s="31" t="s">
        <v>153</v>
      </c>
      <c r="C1478" s="129"/>
      <c r="D1478" s="129"/>
      <c r="E1478" s="19" t="n">
        <f aca="false">F1478*0.03</f>
        <v>0</v>
      </c>
      <c r="F1478" s="33" t="n">
        <v>0</v>
      </c>
      <c r="G1478" s="131"/>
      <c r="H1478" s="35" t="n">
        <v>0</v>
      </c>
      <c r="I1478" s="34" t="n">
        <f aca="false">+IF(E1478=0,0,E1478*0.03)</f>
        <v>0</v>
      </c>
      <c r="J1478" s="93"/>
      <c r="K1478" s="93"/>
      <c r="L1478" s="93"/>
      <c r="M1478" s="93"/>
      <c r="N1478" s="93"/>
      <c r="O1478" s="93"/>
      <c r="P1478" s="93"/>
      <c r="Q1478" s="93"/>
      <c r="R1478" s="93"/>
      <c r="S1478" s="93"/>
      <c r="T1478" s="93"/>
      <c r="U1478" s="93"/>
      <c r="V1478" s="93"/>
      <c r="W1478" s="93"/>
      <c r="X1478" s="93"/>
      <c r="Y1478" s="93"/>
      <c r="Z1478" s="93"/>
    </row>
    <row r="1479" customFormat="false" ht="16.4" hidden="false" customHeight="false" outlineLevel="0" collapsed="false">
      <c r="A1479" s="123" t="n">
        <v>45444</v>
      </c>
      <c r="B1479" s="31" t="s">
        <v>153</v>
      </c>
      <c r="C1479" s="129"/>
      <c r="D1479" s="129"/>
      <c r="E1479" s="19" t="n">
        <f aca="false">F1479*0.03</f>
        <v>0</v>
      </c>
      <c r="F1479" s="33" t="n">
        <v>0</v>
      </c>
      <c r="G1479" s="131"/>
      <c r="H1479" s="35" t="n">
        <v>0</v>
      </c>
      <c r="I1479" s="34" t="n">
        <f aca="false">+IF(E1479=0,0,E1479*0.03)</f>
        <v>0</v>
      </c>
      <c r="J1479" s="93"/>
      <c r="K1479" s="93"/>
      <c r="L1479" s="93"/>
      <c r="M1479" s="93"/>
      <c r="N1479" s="93"/>
      <c r="O1479" s="93"/>
      <c r="P1479" s="93"/>
      <c r="Q1479" s="93"/>
      <c r="R1479" s="93"/>
      <c r="S1479" s="93"/>
      <c r="T1479" s="93"/>
      <c r="U1479" s="93"/>
      <c r="V1479" s="93"/>
      <c r="W1479" s="93"/>
      <c r="X1479" s="93"/>
      <c r="Y1479" s="93"/>
      <c r="Z1479" s="93"/>
    </row>
    <row r="1480" customFormat="false" ht="16.4" hidden="false" customHeight="false" outlineLevel="0" collapsed="false">
      <c r="A1480" s="123" t="n">
        <v>45444</v>
      </c>
      <c r="B1480" s="31" t="s">
        <v>153</v>
      </c>
      <c r="C1480" s="129"/>
      <c r="D1480" s="129"/>
      <c r="E1480" s="19" t="n">
        <f aca="false">F1480*0.03</f>
        <v>0</v>
      </c>
      <c r="F1480" s="33" t="n">
        <v>0</v>
      </c>
      <c r="G1480" s="131"/>
      <c r="H1480" s="35" t="n">
        <v>0</v>
      </c>
      <c r="I1480" s="34" t="n">
        <f aca="false">+IF(E1480=0,0,E1480*0.03)</f>
        <v>0</v>
      </c>
      <c r="J1480" s="93"/>
      <c r="K1480" s="93"/>
      <c r="L1480" s="93"/>
      <c r="M1480" s="93"/>
      <c r="N1480" s="93"/>
      <c r="O1480" s="93"/>
      <c r="P1480" s="93"/>
      <c r="Q1480" s="93"/>
      <c r="R1480" s="93"/>
      <c r="S1480" s="93"/>
      <c r="T1480" s="93"/>
      <c r="U1480" s="93"/>
      <c r="V1480" s="93"/>
      <c r="W1480" s="93"/>
      <c r="X1480" s="93"/>
      <c r="Y1480" s="93"/>
      <c r="Z1480" s="93"/>
    </row>
    <row r="1481" customFormat="false" ht="16.4" hidden="false" customHeight="false" outlineLevel="0" collapsed="false">
      <c r="A1481" s="123" t="n">
        <v>45444</v>
      </c>
      <c r="B1481" s="31" t="s">
        <v>153</v>
      </c>
      <c r="C1481" s="129"/>
      <c r="D1481" s="129"/>
      <c r="E1481" s="19" t="n">
        <f aca="false">F1481*0.03</f>
        <v>0</v>
      </c>
      <c r="F1481" s="33" t="n">
        <v>0</v>
      </c>
      <c r="G1481" s="131"/>
      <c r="H1481" s="35" t="n">
        <v>0</v>
      </c>
      <c r="I1481" s="34" t="n">
        <f aca="false">+IF(E1481=0,0,E1481*0.03)</f>
        <v>0</v>
      </c>
      <c r="J1481" s="93"/>
      <c r="K1481" s="93"/>
      <c r="L1481" s="93"/>
      <c r="M1481" s="93"/>
      <c r="N1481" s="93"/>
      <c r="O1481" s="93"/>
      <c r="P1481" s="93"/>
      <c r="Q1481" s="93"/>
      <c r="R1481" s="93"/>
      <c r="S1481" s="93"/>
      <c r="T1481" s="93"/>
      <c r="U1481" s="93"/>
      <c r="V1481" s="93"/>
      <c r="W1481" s="93"/>
      <c r="X1481" s="93"/>
      <c r="Y1481" s="93"/>
      <c r="Z1481" s="93"/>
    </row>
    <row r="1482" customFormat="false" ht="16.4" hidden="false" customHeight="false" outlineLevel="0" collapsed="false">
      <c r="A1482" s="123" t="n">
        <v>45444</v>
      </c>
      <c r="B1482" s="31" t="s">
        <v>153</v>
      </c>
      <c r="C1482" s="129"/>
      <c r="D1482" s="129"/>
      <c r="E1482" s="19" t="n">
        <f aca="false">F1482*0.03</f>
        <v>0</v>
      </c>
      <c r="F1482" s="33" t="n">
        <v>0</v>
      </c>
      <c r="G1482" s="131"/>
      <c r="H1482" s="35" t="n">
        <v>0</v>
      </c>
      <c r="I1482" s="34" t="n">
        <f aca="false">+IF(E1482=0,0,E1482*0.03)</f>
        <v>0</v>
      </c>
      <c r="J1482" s="93"/>
      <c r="K1482" s="93"/>
      <c r="L1482" s="93"/>
      <c r="M1482" s="93"/>
      <c r="N1482" s="93"/>
      <c r="O1482" s="93"/>
      <c r="P1482" s="93"/>
      <c r="Q1482" s="93"/>
      <c r="R1482" s="93"/>
      <c r="S1482" s="93"/>
      <c r="T1482" s="93"/>
      <c r="U1482" s="93"/>
      <c r="V1482" s="93"/>
      <c r="W1482" s="93"/>
      <c r="X1482" s="93"/>
      <c r="Y1482" s="93"/>
      <c r="Z1482" s="93"/>
    </row>
    <row r="1483" customFormat="false" ht="16.4" hidden="false" customHeight="false" outlineLevel="0" collapsed="false">
      <c r="A1483" s="123" t="n">
        <v>45444</v>
      </c>
      <c r="B1483" s="31" t="s">
        <v>153</v>
      </c>
      <c r="C1483" s="129"/>
      <c r="D1483" s="129"/>
      <c r="E1483" s="19" t="n">
        <f aca="false">F1483*0.03</f>
        <v>0</v>
      </c>
      <c r="F1483" s="33" t="n">
        <v>0</v>
      </c>
      <c r="G1483" s="131"/>
      <c r="H1483" s="35" t="n">
        <v>0</v>
      </c>
      <c r="I1483" s="34" t="n">
        <f aca="false">+IF(E1483=0,0,E1483*0.03)</f>
        <v>0</v>
      </c>
      <c r="J1483" s="93"/>
      <c r="K1483" s="93"/>
      <c r="L1483" s="93"/>
      <c r="M1483" s="93"/>
      <c r="N1483" s="93"/>
      <c r="O1483" s="93"/>
      <c r="P1483" s="93"/>
      <c r="Q1483" s="93"/>
      <c r="R1483" s="93"/>
      <c r="S1483" s="93"/>
      <c r="T1483" s="93"/>
      <c r="U1483" s="93"/>
      <c r="V1483" s="93"/>
      <c r="W1483" s="93"/>
      <c r="X1483" s="93"/>
      <c r="Y1483" s="93"/>
      <c r="Z1483" s="93"/>
    </row>
    <row r="1484" customFormat="false" ht="16.4" hidden="false" customHeight="false" outlineLevel="0" collapsed="false">
      <c r="A1484" s="123" t="n">
        <v>45444</v>
      </c>
      <c r="B1484" s="31" t="s">
        <v>153</v>
      </c>
      <c r="C1484" s="129"/>
      <c r="D1484" s="129"/>
      <c r="E1484" s="19" t="n">
        <f aca="false">F1484*0.03</f>
        <v>0</v>
      </c>
      <c r="F1484" s="33" t="n">
        <v>0</v>
      </c>
      <c r="G1484" s="131"/>
      <c r="H1484" s="35" t="n">
        <v>0</v>
      </c>
      <c r="I1484" s="34" t="n">
        <f aca="false">+IF(E1484=0,0,E1484*0.03)</f>
        <v>0</v>
      </c>
      <c r="J1484" s="93"/>
      <c r="K1484" s="93"/>
      <c r="L1484" s="93"/>
      <c r="M1484" s="93"/>
      <c r="N1484" s="93"/>
      <c r="O1484" s="93"/>
      <c r="P1484" s="93"/>
      <c r="Q1484" s="93"/>
      <c r="R1484" s="93"/>
      <c r="S1484" s="93"/>
      <c r="T1484" s="93"/>
      <c r="U1484" s="93"/>
      <c r="V1484" s="93"/>
      <c r="W1484" s="93"/>
      <c r="X1484" s="93"/>
      <c r="Y1484" s="93"/>
      <c r="Z1484" s="93"/>
    </row>
    <row r="1485" customFormat="false" ht="16.4" hidden="false" customHeight="false" outlineLevel="0" collapsed="false">
      <c r="A1485" s="123" t="n">
        <v>45444</v>
      </c>
      <c r="B1485" s="31" t="s">
        <v>153</v>
      </c>
      <c r="C1485" s="129"/>
      <c r="D1485" s="129"/>
      <c r="E1485" s="19" t="n">
        <f aca="false">F1485*0.03</f>
        <v>0</v>
      </c>
      <c r="F1485" s="33" t="n">
        <v>0</v>
      </c>
      <c r="G1485" s="131"/>
      <c r="H1485" s="35" t="n">
        <v>0</v>
      </c>
      <c r="I1485" s="34" t="n">
        <f aca="false">+IF(E1485=0,0,E1485*0.03)</f>
        <v>0</v>
      </c>
      <c r="J1485" s="93"/>
      <c r="K1485" s="93"/>
      <c r="L1485" s="93"/>
      <c r="M1485" s="93"/>
      <c r="N1485" s="93"/>
      <c r="O1485" s="93"/>
      <c r="P1485" s="93"/>
      <c r="Q1485" s="93"/>
      <c r="R1485" s="93"/>
      <c r="S1485" s="93"/>
      <c r="T1485" s="93"/>
      <c r="U1485" s="93"/>
      <c r="V1485" s="93"/>
      <c r="W1485" s="93"/>
      <c r="X1485" s="93"/>
      <c r="Y1485" s="93"/>
      <c r="Z1485" s="93"/>
    </row>
    <row r="1486" customFormat="false" ht="16.4" hidden="false" customHeight="false" outlineLevel="0" collapsed="false">
      <c r="A1486" s="123" t="n">
        <v>45444</v>
      </c>
      <c r="B1486" s="31" t="s">
        <v>153</v>
      </c>
      <c r="C1486" s="129"/>
      <c r="D1486" s="129"/>
      <c r="E1486" s="19" t="n">
        <f aca="false">F1486*0.03</f>
        <v>0</v>
      </c>
      <c r="F1486" s="33" t="n">
        <v>0</v>
      </c>
      <c r="G1486" s="131"/>
      <c r="H1486" s="35" t="n">
        <v>0</v>
      </c>
      <c r="I1486" s="34" t="n">
        <f aca="false">+IF(E1486=0,0,E1486*0.03)</f>
        <v>0</v>
      </c>
      <c r="J1486" s="93"/>
      <c r="K1486" s="93"/>
      <c r="L1486" s="93"/>
      <c r="M1486" s="93"/>
      <c r="N1486" s="93"/>
      <c r="O1486" s="93"/>
      <c r="P1486" s="93"/>
      <c r="Q1486" s="93"/>
      <c r="R1486" s="93"/>
      <c r="S1486" s="93"/>
      <c r="T1486" s="93"/>
      <c r="U1486" s="93"/>
      <c r="V1486" s="93"/>
      <c r="W1486" s="93"/>
      <c r="X1486" s="93"/>
      <c r="Y1486" s="93"/>
      <c r="Z1486" s="93"/>
    </row>
    <row r="1487" customFormat="false" ht="16.4" hidden="false" customHeight="false" outlineLevel="0" collapsed="false">
      <c r="A1487" s="123" t="n">
        <v>45444</v>
      </c>
      <c r="B1487" s="31" t="s">
        <v>153</v>
      </c>
      <c r="C1487" s="129"/>
      <c r="D1487" s="129"/>
      <c r="E1487" s="19" t="n">
        <f aca="false">F1487*0.03</f>
        <v>0</v>
      </c>
      <c r="F1487" s="33" t="n">
        <v>0</v>
      </c>
      <c r="G1487" s="131"/>
      <c r="H1487" s="35" t="n">
        <v>0</v>
      </c>
      <c r="I1487" s="34" t="n">
        <f aca="false">+IF(E1487=0,0,E1487*0.03)</f>
        <v>0</v>
      </c>
      <c r="J1487" s="93"/>
      <c r="K1487" s="93"/>
      <c r="L1487" s="93"/>
      <c r="M1487" s="93"/>
      <c r="N1487" s="93"/>
      <c r="O1487" s="93"/>
      <c r="P1487" s="93"/>
      <c r="Q1487" s="93"/>
      <c r="R1487" s="93"/>
      <c r="S1487" s="93"/>
      <c r="T1487" s="93"/>
      <c r="U1487" s="93"/>
      <c r="V1487" s="93"/>
      <c r="W1487" s="93"/>
      <c r="X1487" s="93"/>
      <c r="Y1487" s="93"/>
      <c r="Z1487" s="93"/>
    </row>
    <row r="1488" customFormat="false" ht="16.4" hidden="false" customHeight="false" outlineLevel="0" collapsed="false">
      <c r="A1488" s="123" t="n">
        <v>45444</v>
      </c>
      <c r="B1488" s="31" t="s">
        <v>153</v>
      </c>
      <c r="C1488" s="129"/>
      <c r="D1488" s="129"/>
      <c r="E1488" s="19" t="n">
        <f aca="false">F1488*0.03</f>
        <v>0</v>
      </c>
      <c r="F1488" s="33" t="n">
        <v>0</v>
      </c>
      <c r="G1488" s="131"/>
      <c r="H1488" s="35" t="n">
        <v>0</v>
      </c>
      <c r="I1488" s="34" t="n">
        <f aca="false">+IF(E1488=0,0,E1488*0.03)</f>
        <v>0</v>
      </c>
      <c r="J1488" s="93"/>
      <c r="K1488" s="93"/>
      <c r="L1488" s="93"/>
      <c r="M1488" s="93"/>
      <c r="N1488" s="93"/>
      <c r="O1488" s="93"/>
      <c r="P1488" s="93"/>
      <c r="Q1488" s="93"/>
      <c r="R1488" s="93"/>
      <c r="S1488" s="93"/>
      <c r="T1488" s="93"/>
      <c r="U1488" s="93"/>
      <c r="V1488" s="93"/>
      <c r="W1488" s="93"/>
      <c r="X1488" s="93"/>
      <c r="Y1488" s="93"/>
      <c r="Z1488" s="93"/>
    </row>
    <row r="1489" customFormat="false" ht="16.4" hidden="false" customHeight="false" outlineLevel="0" collapsed="false">
      <c r="A1489" s="123" t="n">
        <v>45444</v>
      </c>
      <c r="B1489" s="31" t="s">
        <v>153</v>
      </c>
      <c r="C1489" s="129"/>
      <c r="D1489" s="129"/>
      <c r="E1489" s="19" t="n">
        <f aca="false">F1489*0.03</f>
        <v>0</v>
      </c>
      <c r="F1489" s="33" t="n">
        <v>0</v>
      </c>
      <c r="G1489" s="131"/>
      <c r="H1489" s="35" t="n">
        <v>0</v>
      </c>
      <c r="I1489" s="34" t="n">
        <f aca="false">+IF(E1489=0,0,E1489*0.03)</f>
        <v>0</v>
      </c>
      <c r="J1489" s="93"/>
      <c r="K1489" s="93"/>
      <c r="L1489" s="93"/>
      <c r="M1489" s="93"/>
      <c r="N1489" s="93"/>
      <c r="O1489" s="93"/>
      <c r="P1489" s="93"/>
      <c r="Q1489" s="93"/>
      <c r="R1489" s="93"/>
      <c r="S1489" s="93"/>
      <c r="T1489" s="93"/>
      <c r="U1489" s="93"/>
      <c r="V1489" s="93"/>
      <c r="W1489" s="93"/>
      <c r="X1489" s="93"/>
      <c r="Y1489" s="93"/>
      <c r="Z1489" s="93"/>
    </row>
    <row r="1490" customFormat="false" ht="16.4" hidden="false" customHeight="false" outlineLevel="0" collapsed="false">
      <c r="A1490" s="123" t="n">
        <v>45444</v>
      </c>
      <c r="B1490" s="31" t="s">
        <v>153</v>
      </c>
      <c r="C1490" s="129"/>
      <c r="D1490" s="129"/>
      <c r="E1490" s="19" t="n">
        <f aca="false">F1490*0.03</f>
        <v>0</v>
      </c>
      <c r="F1490" s="33" t="n">
        <v>0</v>
      </c>
      <c r="G1490" s="131"/>
      <c r="H1490" s="35" t="n">
        <v>0</v>
      </c>
      <c r="I1490" s="34" t="n">
        <f aca="false">+IF(E1490=0,0,E1490*0.03)</f>
        <v>0</v>
      </c>
      <c r="J1490" s="93"/>
      <c r="K1490" s="93"/>
      <c r="L1490" s="93"/>
      <c r="M1490" s="93"/>
      <c r="N1490" s="93"/>
      <c r="O1490" s="93"/>
      <c r="P1490" s="93"/>
      <c r="Q1490" s="93"/>
      <c r="R1490" s="93"/>
      <c r="S1490" s="93"/>
      <c r="T1490" s="93"/>
      <c r="U1490" s="93"/>
      <c r="V1490" s="93"/>
      <c r="W1490" s="93"/>
      <c r="X1490" s="93"/>
      <c r="Y1490" s="93"/>
      <c r="Z1490" s="93"/>
    </row>
    <row r="1491" customFormat="false" ht="16.4" hidden="false" customHeight="false" outlineLevel="0" collapsed="false">
      <c r="A1491" s="123" t="n">
        <v>45444</v>
      </c>
      <c r="B1491" s="31" t="s">
        <v>153</v>
      </c>
      <c r="C1491" s="129"/>
      <c r="D1491" s="129"/>
      <c r="E1491" s="19" t="n">
        <f aca="false">F1491*0.03</f>
        <v>0</v>
      </c>
      <c r="F1491" s="33" t="n">
        <v>0</v>
      </c>
      <c r="G1491" s="131"/>
      <c r="H1491" s="35" t="n">
        <v>0</v>
      </c>
      <c r="I1491" s="34" t="n">
        <f aca="false">+IF(E1491=0,0,E1491*0.03)</f>
        <v>0</v>
      </c>
      <c r="J1491" s="93"/>
      <c r="K1491" s="93"/>
      <c r="L1491" s="93"/>
      <c r="M1491" s="93"/>
      <c r="N1491" s="93"/>
      <c r="O1491" s="93"/>
      <c r="P1491" s="93"/>
      <c r="Q1491" s="93"/>
      <c r="R1491" s="93"/>
      <c r="S1491" s="93"/>
      <c r="T1491" s="93"/>
      <c r="U1491" s="93"/>
      <c r="V1491" s="93"/>
      <c r="W1491" s="93"/>
      <c r="X1491" s="93"/>
      <c r="Y1491" s="93"/>
      <c r="Z1491" s="93"/>
    </row>
    <row r="1492" customFormat="false" ht="16.4" hidden="false" customHeight="false" outlineLevel="0" collapsed="false">
      <c r="A1492" s="123" t="n">
        <v>45444</v>
      </c>
      <c r="B1492" s="31" t="s">
        <v>153</v>
      </c>
      <c r="C1492" s="129"/>
      <c r="D1492" s="129"/>
      <c r="E1492" s="19" t="n">
        <f aca="false">F1492*0.03</f>
        <v>0</v>
      </c>
      <c r="F1492" s="33" t="n">
        <v>0</v>
      </c>
      <c r="G1492" s="131"/>
      <c r="H1492" s="35" t="n">
        <v>0</v>
      </c>
      <c r="I1492" s="34" t="n">
        <f aca="false">+IF(E1492=0,0,E1492*0.03)</f>
        <v>0</v>
      </c>
      <c r="J1492" s="93"/>
      <c r="K1492" s="93"/>
      <c r="L1492" s="93"/>
      <c r="M1492" s="93"/>
      <c r="N1492" s="93"/>
      <c r="O1492" s="93"/>
      <c r="P1492" s="93"/>
      <c r="Q1492" s="93"/>
      <c r="R1492" s="93"/>
      <c r="S1492" s="93"/>
      <c r="T1492" s="93"/>
      <c r="U1492" s="93"/>
      <c r="V1492" s="93"/>
      <c r="W1492" s="93"/>
      <c r="X1492" s="93"/>
      <c r="Y1492" s="93"/>
      <c r="Z1492" s="93"/>
    </row>
    <row r="1493" customFormat="false" ht="16.4" hidden="false" customHeight="false" outlineLevel="0" collapsed="false">
      <c r="A1493" s="123" t="n">
        <v>45444</v>
      </c>
      <c r="B1493" s="31" t="s">
        <v>153</v>
      </c>
      <c r="C1493" s="129"/>
      <c r="D1493" s="129"/>
      <c r="E1493" s="19" t="n">
        <f aca="false">F1493*0.03</f>
        <v>0</v>
      </c>
      <c r="F1493" s="33" t="n">
        <v>0</v>
      </c>
      <c r="G1493" s="131"/>
      <c r="H1493" s="35" t="n">
        <v>0</v>
      </c>
      <c r="I1493" s="34" t="n">
        <f aca="false">+IF(E1493=0,0,E1493*0.03)</f>
        <v>0</v>
      </c>
      <c r="J1493" s="93"/>
      <c r="K1493" s="93"/>
      <c r="L1493" s="93"/>
      <c r="M1493" s="93"/>
      <c r="N1493" s="93"/>
      <c r="O1493" s="93"/>
      <c r="P1493" s="93"/>
      <c r="Q1493" s="93"/>
      <c r="R1493" s="93"/>
      <c r="S1493" s="93"/>
      <c r="T1493" s="93"/>
      <c r="U1493" s="93"/>
      <c r="V1493" s="93"/>
      <c r="W1493" s="93"/>
      <c r="X1493" s="93"/>
      <c r="Y1493" s="93"/>
      <c r="Z1493" s="93"/>
    </row>
    <row r="1494" customFormat="false" ht="16.4" hidden="false" customHeight="false" outlineLevel="0" collapsed="false">
      <c r="A1494" s="123" t="n">
        <v>45444</v>
      </c>
      <c r="B1494" s="31" t="s">
        <v>153</v>
      </c>
      <c r="C1494" s="129"/>
      <c r="D1494" s="129"/>
      <c r="E1494" s="19" t="n">
        <f aca="false">F1494*0.03</f>
        <v>0</v>
      </c>
      <c r="F1494" s="33" t="n">
        <v>0</v>
      </c>
      <c r="G1494" s="131"/>
      <c r="H1494" s="35" t="n">
        <v>0</v>
      </c>
      <c r="I1494" s="34" t="n">
        <f aca="false">+IF(E1494=0,0,E1494*0.03)</f>
        <v>0</v>
      </c>
      <c r="J1494" s="93"/>
      <c r="K1494" s="93"/>
      <c r="L1494" s="93"/>
      <c r="M1494" s="93"/>
      <c r="N1494" s="93"/>
      <c r="O1494" s="93"/>
      <c r="P1494" s="93"/>
      <c r="Q1494" s="93"/>
      <c r="R1494" s="93"/>
      <c r="S1494" s="93"/>
      <c r="T1494" s="93"/>
      <c r="U1494" s="93"/>
      <c r="V1494" s="93"/>
      <c r="W1494" s="93"/>
      <c r="X1494" s="93"/>
      <c r="Y1494" s="93"/>
      <c r="Z1494" s="93"/>
    </row>
    <row r="1495" customFormat="false" ht="16.4" hidden="false" customHeight="false" outlineLevel="0" collapsed="false">
      <c r="A1495" s="123" t="n">
        <v>45444</v>
      </c>
      <c r="B1495" s="31" t="s">
        <v>153</v>
      </c>
      <c r="C1495" s="129"/>
      <c r="D1495" s="129"/>
      <c r="E1495" s="19" t="n">
        <f aca="false">F1495*0.03</f>
        <v>0</v>
      </c>
      <c r="F1495" s="33" t="n">
        <v>0</v>
      </c>
      <c r="G1495" s="131"/>
      <c r="H1495" s="35" t="n">
        <v>0</v>
      </c>
      <c r="I1495" s="34" t="n">
        <f aca="false">+IF(E1495=0,0,E1495*0.03)</f>
        <v>0</v>
      </c>
      <c r="J1495" s="93"/>
      <c r="K1495" s="93"/>
      <c r="L1495" s="93"/>
      <c r="M1495" s="93"/>
      <c r="N1495" s="93"/>
      <c r="O1495" s="93"/>
      <c r="P1495" s="93"/>
      <c r="Q1495" s="93"/>
      <c r="R1495" s="93"/>
      <c r="S1495" s="93"/>
      <c r="T1495" s="93"/>
      <c r="U1495" s="93"/>
      <c r="V1495" s="93"/>
      <c r="W1495" s="93"/>
      <c r="X1495" s="93"/>
      <c r="Y1495" s="93"/>
      <c r="Z1495" s="93"/>
    </row>
    <row r="1496" customFormat="false" ht="16.4" hidden="false" customHeight="false" outlineLevel="0" collapsed="false">
      <c r="A1496" s="123" t="n">
        <v>45444</v>
      </c>
      <c r="B1496" s="31" t="s">
        <v>153</v>
      </c>
      <c r="C1496" s="129"/>
      <c r="D1496" s="129"/>
      <c r="E1496" s="19" t="n">
        <f aca="false">F1496*0.03</f>
        <v>0</v>
      </c>
      <c r="F1496" s="33" t="n">
        <v>0</v>
      </c>
      <c r="G1496" s="131"/>
      <c r="H1496" s="35" t="n">
        <v>0</v>
      </c>
      <c r="I1496" s="34" t="n">
        <f aca="false">+IF(E1496=0,0,E1496*0.03)</f>
        <v>0</v>
      </c>
      <c r="J1496" s="93"/>
      <c r="K1496" s="93"/>
      <c r="L1496" s="93"/>
      <c r="M1496" s="93"/>
      <c r="N1496" s="93"/>
      <c r="O1496" s="93"/>
      <c r="P1496" s="93"/>
      <c r="Q1496" s="93"/>
      <c r="R1496" s="93"/>
      <c r="S1496" s="93"/>
      <c r="T1496" s="93"/>
      <c r="U1496" s="93"/>
      <c r="V1496" s="93"/>
      <c r="W1496" s="93"/>
      <c r="X1496" s="93"/>
      <c r="Y1496" s="93"/>
      <c r="Z1496" s="93"/>
    </row>
    <row r="1497" customFormat="false" ht="16.4" hidden="false" customHeight="false" outlineLevel="0" collapsed="false">
      <c r="A1497" s="123" t="n">
        <v>45444</v>
      </c>
      <c r="B1497" s="31" t="s">
        <v>153</v>
      </c>
      <c r="C1497" s="129"/>
      <c r="D1497" s="129"/>
      <c r="E1497" s="19" t="n">
        <f aca="false">F1497*0.03</f>
        <v>0</v>
      </c>
      <c r="F1497" s="33" t="n">
        <v>0</v>
      </c>
      <c r="G1497" s="131"/>
      <c r="H1497" s="35" t="n">
        <v>0</v>
      </c>
      <c r="I1497" s="34" t="n">
        <f aca="false">+IF(E1497=0,0,E1497*0.03)</f>
        <v>0</v>
      </c>
      <c r="J1497" s="93"/>
      <c r="K1497" s="93"/>
      <c r="L1497" s="93"/>
      <c r="M1497" s="93"/>
      <c r="N1497" s="93"/>
      <c r="O1497" s="93"/>
      <c r="P1497" s="93"/>
      <c r="Q1497" s="93"/>
      <c r="R1497" s="93"/>
      <c r="S1497" s="93"/>
      <c r="T1497" s="93"/>
      <c r="U1497" s="93"/>
      <c r="V1497" s="93"/>
      <c r="W1497" s="93"/>
      <c r="X1497" s="93"/>
      <c r="Y1497" s="93"/>
      <c r="Z1497" s="93"/>
    </row>
    <row r="1498" customFormat="false" ht="16.4" hidden="false" customHeight="false" outlineLevel="0" collapsed="false">
      <c r="A1498" s="123" t="n">
        <v>45444</v>
      </c>
      <c r="B1498" s="31" t="s">
        <v>153</v>
      </c>
      <c r="C1498" s="129"/>
      <c r="D1498" s="129"/>
      <c r="E1498" s="19" t="n">
        <f aca="false">F1498*0.03</f>
        <v>0</v>
      </c>
      <c r="F1498" s="33" t="n">
        <v>0</v>
      </c>
      <c r="G1498" s="131"/>
      <c r="H1498" s="35" t="n">
        <v>0</v>
      </c>
      <c r="I1498" s="34" t="n">
        <f aca="false">+IF(E1498=0,0,E1498*0.03)</f>
        <v>0</v>
      </c>
      <c r="J1498" s="93"/>
      <c r="K1498" s="93"/>
      <c r="L1498" s="93"/>
      <c r="M1498" s="93"/>
      <c r="N1498" s="93"/>
      <c r="O1498" s="93"/>
      <c r="P1498" s="93"/>
      <c r="Q1498" s="93"/>
      <c r="R1498" s="93"/>
      <c r="S1498" s="93"/>
      <c r="T1498" s="93"/>
      <c r="U1498" s="93"/>
      <c r="V1498" s="93"/>
      <c r="W1498" s="93"/>
      <c r="X1498" s="93"/>
      <c r="Y1498" s="93"/>
      <c r="Z1498" s="93"/>
    </row>
    <row r="1499" customFormat="false" ht="16.4" hidden="false" customHeight="false" outlineLevel="0" collapsed="false">
      <c r="A1499" s="123" t="n">
        <v>45444</v>
      </c>
      <c r="B1499" s="31" t="s">
        <v>153</v>
      </c>
      <c r="C1499" s="129"/>
      <c r="D1499" s="129"/>
      <c r="E1499" s="19" t="n">
        <f aca="false">F1499*0.03</f>
        <v>0</v>
      </c>
      <c r="F1499" s="33" t="n">
        <v>0</v>
      </c>
      <c r="G1499" s="131"/>
      <c r="H1499" s="35" t="n">
        <v>0</v>
      </c>
      <c r="I1499" s="34" t="n">
        <f aca="false">+IF(E1499=0,0,E1499*0.03)</f>
        <v>0</v>
      </c>
      <c r="J1499" s="93"/>
      <c r="K1499" s="93"/>
      <c r="L1499" s="93"/>
      <c r="M1499" s="93"/>
      <c r="N1499" s="93"/>
      <c r="O1499" s="93"/>
      <c r="P1499" s="93"/>
      <c r="Q1499" s="93"/>
      <c r="R1499" s="93"/>
      <c r="S1499" s="93"/>
      <c r="T1499" s="93"/>
      <c r="U1499" s="93"/>
      <c r="V1499" s="93"/>
      <c r="W1499" s="93"/>
      <c r="X1499" s="93"/>
      <c r="Y1499" s="93"/>
      <c r="Z1499" s="93"/>
    </row>
    <row r="1500" customFormat="false" ht="16.4" hidden="false" customHeight="false" outlineLevel="0" collapsed="false">
      <c r="A1500" s="123" t="n">
        <v>45444</v>
      </c>
      <c r="B1500" s="31" t="s">
        <v>153</v>
      </c>
      <c r="C1500" s="129"/>
      <c r="D1500" s="129"/>
      <c r="E1500" s="19" t="n">
        <f aca="false">F1500*0.03</f>
        <v>0</v>
      </c>
      <c r="F1500" s="33" t="n">
        <v>0</v>
      </c>
      <c r="G1500" s="131"/>
      <c r="H1500" s="35" t="n">
        <v>0</v>
      </c>
      <c r="I1500" s="34" t="n">
        <f aca="false">+IF(E1500=0,0,E1500*0.03)</f>
        <v>0</v>
      </c>
      <c r="J1500" s="93"/>
      <c r="K1500" s="93"/>
      <c r="L1500" s="93"/>
      <c r="M1500" s="93"/>
      <c r="N1500" s="93"/>
      <c r="O1500" s="93"/>
      <c r="P1500" s="93"/>
      <c r="Q1500" s="93"/>
      <c r="R1500" s="93"/>
      <c r="S1500" s="93"/>
      <c r="T1500" s="93"/>
      <c r="U1500" s="93"/>
      <c r="V1500" s="93"/>
      <c r="W1500" s="93"/>
      <c r="X1500" s="93"/>
      <c r="Y1500" s="93"/>
      <c r="Z1500" s="93"/>
    </row>
    <row r="1501" customFormat="false" ht="16.4" hidden="false" customHeight="false" outlineLevel="0" collapsed="false">
      <c r="A1501" s="123" t="n">
        <v>45444</v>
      </c>
      <c r="B1501" s="31" t="s">
        <v>153</v>
      </c>
      <c r="C1501" s="129"/>
      <c r="D1501" s="129"/>
      <c r="E1501" s="19" t="n">
        <f aca="false">F1501*0.03</f>
        <v>0</v>
      </c>
      <c r="F1501" s="33" t="n">
        <v>0</v>
      </c>
      <c r="G1501" s="131"/>
      <c r="H1501" s="35" t="n">
        <v>0</v>
      </c>
      <c r="I1501" s="34" t="n">
        <f aca="false">+IF(E1501=0,0,E1501*0.03)</f>
        <v>0</v>
      </c>
      <c r="J1501" s="93"/>
      <c r="K1501" s="93"/>
      <c r="L1501" s="93"/>
      <c r="M1501" s="93"/>
      <c r="N1501" s="93"/>
      <c r="O1501" s="93"/>
      <c r="P1501" s="93"/>
      <c r="Q1501" s="93"/>
      <c r="R1501" s="93"/>
      <c r="S1501" s="93"/>
      <c r="T1501" s="93"/>
      <c r="U1501" s="93"/>
      <c r="V1501" s="93"/>
      <c r="W1501" s="93"/>
      <c r="X1501" s="93"/>
      <c r="Y1501" s="93"/>
      <c r="Z1501" s="93"/>
    </row>
    <row r="1502" customFormat="false" ht="16.4" hidden="false" customHeight="false" outlineLevel="0" collapsed="false">
      <c r="A1502" s="123" t="n">
        <v>45444</v>
      </c>
      <c r="B1502" s="31" t="s">
        <v>153</v>
      </c>
      <c r="C1502" s="129"/>
      <c r="D1502" s="129"/>
      <c r="E1502" s="19" t="n">
        <f aca="false">F1502*0.03</f>
        <v>0</v>
      </c>
      <c r="F1502" s="33" t="n">
        <v>0</v>
      </c>
      <c r="G1502" s="131"/>
      <c r="H1502" s="35" t="n">
        <v>0</v>
      </c>
      <c r="I1502" s="34" t="n">
        <f aca="false">+IF(E1502=0,0,E1502*0.03)</f>
        <v>0</v>
      </c>
      <c r="J1502" s="93"/>
      <c r="K1502" s="93"/>
      <c r="L1502" s="93"/>
      <c r="M1502" s="93"/>
      <c r="N1502" s="93"/>
      <c r="O1502" s="93"/>
      <c r="P1502" s="93"/>
      <c r="Q1502" s="93"/>
      <c r="R1502" s="93"/>
      <c r="S1502" s="93"/>
      <c r="T1502" s="93"/>
      <c r="U1502" s="93"/>
      <c r="V1502" s="93"/>
      <c r="W1502" s="93"/>
      <c r="X1502" s="93"/>
      <c r="Y1502" s="93"/>
      <c r="Z1502" s="93"/>
    </row>
    <row r="1503" customFormat="false" ht="16.4" hidden="false" customHeight="false" outlineLevel="0" collapsed="false">
      <c r="A1503" s="123" t="n">
        <v>45444</v>
      </c>
      <c r="B1503" s="31" t="s">
        <v>153</v>
      </c>
      <c r="C1503" s="129"/>
      <c r="D1503" s="129"/>
      <c r="E1503" s="19" t="n">
        <f aca="false">F1503*0.03</f>
        <v>0</v>
      </c>
      <c r="F1503" s="33" t="n">
        <v>0</v>
      </c>
      <c r="G1503" s="131"/>
      <c r="H1503" s="35" t="n">
        <v>0</v>
      </c>
      <c r="I1503" s="34" t="n">
        <f aca="false">+IF(E1503=0,0,E1503*0.03)</f>
        <v>0</v>
      </c>
      <c r="J1503" s="93"/>
      <c r="K1503" s="93"/>
      <c r="L1503" s="93"/>
      <c r="M1503" s="93"/>
      <c r="N1503" s="93"/>
      <c r="O1503" s="93"/>
      <c r="P1503" s="93"/>
      <c r="Q1503" s="93"/>
      <c r="R1503" s="93"/>
      <c r="S1503" s="93"/>
      <c r="T1503" s="93"/>
      <c r="U1503" s="93"/>
      <c r="V1503" s="93"/>
      <c r="W1503" s="93"/>
      <c r="X1503" s="93"/>
      <c r="Y1503" s="93"/>
      <c r="Z1503" s="93"/>
    </row>
    <row r="1504" customFormat="false" ht="16.4" hidden="false" customHeight="false" outlineLevel="0" collapsed="false">
      <c r="A1504" s="123" t="n">
        <v>45444</v>
      </c>
      <c r="B1504" s="31" t="s">
        <v>153</v>
      </c>
      <c r="C1504" s="129"/>
      <c r="D1504" s="129"/>
      <c r="E1504" s="19" t="n">
        <f aca="false">F1504*0.03</f>
        <v>0</v>
      </c>
      <c r="F1504" s="33" t="n">
        <v>0</v>
      </c>
      <c r="G1504" s="131"/>
      <c r="H1504" s="35" t="n">
        <v>0</v>
      </c>
      <c r="I1504" s="34" t="n">
        <f aca="false">+IF(E1504=0,0,E1504*0.03)</f>
        <v>0</v>
      </c>
      <c r="J1504" s="93"/>
      <c r="K1504" s="93"/>
      <c r="L1504" s="93"/>
      <c r="M1504" s="93"/>
      <c r="N1504" s="93"/>
      <c r="O1504" s="93"/>
      <c r="P1504" s="93"/>
      <c r="Q1504" s="93"/>
      <c r="R1504" s="93"/>
      <c r="S1504" s="93"/>
      <c r="T1504" s="93"/>
      <c r="U1504" s="93"/>
      <c r="V1504" s="93"/>
      <c r="W1504" s="93"/>
      <c r="X1504" s="93"/>
      <c r="Y1504" s="93"/>
      <c r="Z1504" s="93"/>
    </row>
    <row r="1505" customFormat="false" ht="16.4" hidden="false" customHeight="false" outlineLevel="0" collapsed="false">
      <c r="A1505" s="123" t="n">
        <v>45444</v>
      </c>
      <c r="B1505" s="31" t="s">
        <v>153</v>
      </c>
      <c r="C1505" s="129"/>
      <c r="D1505" s="129"/>
      <c r="E1505" s="19" t="n">
        <f aca="false">F1505*0.03</f>
        <v>0</v>
      </c>
      <c r="F1505" s="33" t="n">
        <v>0</v>
      </c>
      <c r="G1505" s="131"/>
      <c r="H1505" s="35" t="n">
        <v>0</v>
      </c>
      <c r="I1505" s="34" t="n">
        <f aca="false">+IF(E1505=0,0,E1505*0.03)</f>
        <v>0</v>
      </c>
      <c r="J1505" s="93"/>
      <c r="K1505" s="93"/>
      <c r="L1505" s="93"/>
      <c r="M1505" s="93"/>
      <c r="N1505" s="93"/>
      <c r="O1505" s="93"/>
      <c r="P1505" s="93"/>
      <c r="Q1505" s="93"/>
      <c r="R1505" s="93"/>
      <c r="S1505" s="93"/>
      <c r="T1505" s="93"/>
      <c r="U1505" s="93"/>
      <c r="V1505" s="93"/>
      <c r="W1505" s="93"/>
      <c r="X1505" s="93"/>
      <c r="Y1505" s="93"/>
      <c r="Z1505" s="93"/>
    </row>
    <row r="1506" customFormat="false" ht="16.4" hidden="false" customHeight="false" outlineLevel="0" collapsed="false">
      <c r="A1506" s="123" t="n">
        <v>45444</v>
      </c>
      <c r="B1506" s="31" t="s">
        <v>153</v>
      </c>
      <c r="C1506" s="129"/>
      <c r="D1506" s="129"/>
      <c r="E1506" s="19" t="n">
        <f aca="false">F1506*0.03</f>
        <v>0</v>
      </c>
      <c r="F1506" s="33" t="n">
        <v>0</v>
      </c>
      <c r="G1506" s="131"/>
      <c r="H1506" s="35" t="n">
        <v>0</v>
      </c>
      <c r="I1506" s="34" t="n">
        <f aca="false">+IF(E1506=0,0,E1506*0.03)</f>
        <v>0</v>
      </c>
      <c r="J1506" s="93"/>
      <c r="K1506" s="93"/>
      <c r="L1506" s="93"/>
      <c r="M1506" s="93"/>
      <c r="N1506" s="93"/>
      <c r="O1506" s="93"/>
      <c r="P1506" s="93"/>
      <c r="Q1506" s="93"/>
      <c r="R1506" s="93"/>
      <c r="S1506" s="93"/>
      <c r="T1506" s="93"/>
      <c r="U1506" s="93"/>
      <c r="V1506" s="93"/>
      <c r="W1506" s="93"/>
      <c r="X1506" s="93"/>
      <c r="Y1506" s="93"/>
      <c r="Z1506" s="93"/>
    </row>
    <row r="1507" customFormat="false" ht="16.4" hidden="false" customHeight="false" outlineLevel="0" collapsed="false">
      <c r="A1507" s="123" t="n">
        <v>45444</v>
      </c>
      <c r="B1507" s="31" t="s">
        <v>153</v>
      </c>
      <c r="C1507" s="129"/>
      <c r="D1507" s="129"/>
      <c r="E1507" s="19" t="n">
        <f aca="false">F1507*0.03</f>
        <v>0</v>
      </c>
      <c r="F1507" s="33" t="n">
        <v>0</v>
      </c>
      <c r="G1507" s="131"/>
      <c r="H1507" s="35" t="n">
        <v>0</v>
      </c>
      <c r="I1507" s="34" t="n">
        <f aca="false">+IF(E1507=0,0,E1507*0.03)</f>
        <v>0</v>
      </c>
      <c r="J1507" s="93"/>
      <c r="K1507" s="93"/>
      <c r="L1507" s="93"/>
      <c r="M1507" s="93"/>
      <c r="N1507" s="93"/>
      <c r="O1507" s="93"/>
      <c r="P1507" s="93"/>
      <c r="Q1507" s="93"/>
      <c r="R1507" s="93"/>
      <c r="S1507" s="93"/>
      <c r="T1507" s="93"/>
      <c r="U1507" s="93"/>
      <c r="V1507" s="93"/>
      <c r="W1507" s="93"/>
      <c r="X1507" s="93"/>
      <c r="Y1507" s="93"/>
      <c r="Z1507" s="93"/>
    </row>
    <row r="1508" customFormat="false" ht="16.4" hidden="false" customHeight="false" outlineLevel="0" collapsed="false">
      <c r="A1508" s="123" t="n">
        <v>45444</v>
      </c>
      <c r="B1508" s="31" t="s">
        <v>153</v>
      </c>
      <c r="C1508" s="129"/>
      <c r="D1508" s="129"/>
      <c r="E1508" s="19" t="n">
        <f aca="false">F1508*0.03</f>
        <v>0</v>
      </c>
      <c r="F1508" s="33" t="n">
        <v>0</v>
      </c>
      <c r="G1508" s="131"/>
      <c r="H1508" s="35" t="n">
        <v>0</v>
      </c>
      <c r="I1508" s="34" t="n">
        <f aca="false">+IF(E1508=0,0,E1508*0.03)</f>
        <v>0</v>
      </c>
      <c r="J1508" s="93"/>
      <c r="K1508" s="93"/>
      <c r="L1508" s="93"/>
      <c r="M1508" s="93"/>
      <c r="N1508" s="93"/>
      <c r="O1508" s="93"/>
      <c r="P1508" s="93"/>
      <c r="Q1508" s="93"/>
      <c r="R1508" s="93"/>
      <c r="S1508" s="93"/>
      <c r="T1508" s="93"/>
      <c r="U1508" s="93"/>
      <c r="V1508" s="93"/>
      <c r="W1508" s="93"/>
      <c r="X1508" s="93"/>
      <c r="Y1508" s="93"/>
      <c r="Z1508" s="93"/>
    </row>
    <row r="1509" customFormat="false" ht="16.4" hidden="false" customHeight="false" outlineLevel="0" collapsed="false">
      <c r="A1509" s="123" t="n">
        <v>45444</v>
      </c>
      <c r="B1509" s="31" t="s">
        <v>153</v>
      </c>
      <c r="C1509" s="129"/>
      <c r="D1509" s="129"/>
      <c r="E1509" s="19" t="n">
        <f aca="false">F1509*0.03</f>
        <v>0</v>
      </c>
      <c r="F1509" s="33" t="n">
        <v>0</v>
      </c>
      <c r="G1509" s="131"/>
      <c r="H1509" s="35" t="n">
        <v>0</v>
      </c>
      <c r="I1509" s="34" t="n">
        <f aca="false">+IF(E1509=0,0,E1509*0.03)</f>
        <v>0</v>
      </c>
      <c r="J1509" s="93"/>
      <c r="K1509" s="93"/>
      <c r="L1509" s="93"/>
      <c r="M1509" s="93"/>
      <c r="N1509" s="93"/>
      <c r="O1509" s="93"/>
      <c r="P1509" s="93"/>
      <c r="Q1509" s="93"/>
      <c r="R1509" s="93"/>
      <c r="S1509" s="93"/>
      <c r="T1509" s="93"/>
      <c r="U1509" s="93"/>
      <c r="V1509" s="93"/>
      <c r="W1509" s="93"/>
      <c r="X1509" s="93"/>
      <c r="Y1509" s="93"/>
      <c r="Z1509" s="93"/>
    </row>
    <row r="1510" customFormat="false" ht="16.4" hidden="false" customHeight="false" outlineLevel="0" collapsed="false">
      <c r="A1510" s="123" t="n">
        <v>45444</v>
      </c>
      <c r="B1510" s="31" t="s">
        <v>153</v>
      </c>
      <c r="C1510" s="129"/>
      <c r="D1510" s="129"/>
      <c r="E1510" s="19" t="n">
        <f aca="false">F1510*0.03</f>
        <v>0</v>
      </c>
      <c r="F1510" s="33" t="n">
        <v>0</v>
      </c>
      <c r="G1510" s="131"/>
      <c r="H1510" s="35" t="n">
        <v>0</v>
      </c>
      <c r="I1510" s="34" t="n">
        <f aca="false">+IF(E1510=0,0,E1510*0.03)</f>
        <v>0</v>
      </c>
      <c r="J1510" s="93"/>
      <c r="K1510" s="93"/>
      <c r="L1510" s="93"/>
      <c r="M1510" s="93"/>
      <c r="N1510" s="93"/>
      <c r="O1510" s="93"/>
      <c r="P1510" s="93"/>
      <c r="Q1510" s="93"/>
      <c r="R1510" s="93"/>
      <c r="S1510" s="93"/>
      <c r="T1510" s="93"/>
      <c r="U1510" s="93"/>
      <c r="V1510" s="93"/>
      <c r="W1510" s="93"/>
      <c r="X1510" s="93"/>
      <c r="Y1510" s="93"/>
      <c r="Z1510" s="93"/>
    </row>
    <row r="1511" customFormat="false" ht="16.4" hidden="false" customHeight="false" outlineLevel="0" collapsed="false">
      <c r="A1511" s="123" t="n">
        <v>45444</v>
      </c>
      <c r="B1511" s="31" t="s">
        <v>153</v>
      </c>
      <c r="C1511" s="129"/>
      <c r="D1511" s="129"/>
      <c r="E1511" s="19" t="n">
        <f aca="false">F1511*0.03</f>
        <v>0</v>
      </c>
      <c r="F1511" s="33" t="n">
        <v>0</v>
      </c>
      <c r="G1511" s="131"/>
      <c r="H1511" s="35" t="n">
        <v>0</v>
      </c>
      <c r="I1511" s="34" t="n">
        <f aca="false">+IF(E1511=0,0,E1511*0.03)</f>
        <v>0</v>
      </c>
      <c r="J1511" s="93"/>
      <c r="K1511" s="93"/>
      <c r="L1511" s="93"/>
      <c r="M1511" s="93"/>
      <c r="N1511" s="93"/>
      <c r="O1511" s="93"/>
      <c r="P1511" s="93"/>
      <c r="Q1511" s="93"/>
      <c r="R1511" s="93"/>
      <c r="S1511" s="93"/>
      <c r="T1511" s="93"/>
      <c r="U1511" s="93"/>
      <c r="V1511" s="93"/>
      <c r="W1511" s="93"/>
      <c r="X1511" s="93"/>
      <c r="Y1511" s="93"/>
      <c r="Z1511" s="93"/>
    </row>
    <row r="1512" customFormat="false" ht="16.4" hidden="false" customHeight="false" outlineLevel="0" collapsed="false">
      <c r="A1512" s="123" t="n">
        <v>45444</v>
      </c>
      <c r="B1512" s="31" t="s">
        <v>153</v>
      </c>
      <c r="C1512" s="129"/>
      <c r="D1512" s="129"/>
      <c r="E1512" s="19" t="n">
        <f aca="false">F1512*0.03</f>
        <v>0</v>
      </c>
      <c r="F1512" s="33" t="n">
        <v>0</v>
      </c>
      <c r="G1512" s="131"/>
      <c r="H1512" s="35" t="n">
        <v>0</v>
      </c>
      <c r="I1512" s="34" t="n">
        <f aca="false">+IF(E1512=0,0,E1512*0.03)</f>
        <v>0</v>
      </c>
      <c r="J1512" s="93"/>
      <c r="K1512" s="93"/>
      <c r="L1512" s="93"/>
      <c r="M1512" s="93"/>
      <c r="N1512" s="93"/>
      <c r="O1512" s="93"/>
      <c r="P1512" s="93"/>
      <c r="Q1512" s="93"/>
      <c r="R1512" s="93"/>
      <c r="S1512" s="93"/>
      <c r="T1512" s="93"/>
      <c r="U1512" s="93"/>
      <c r="V1512" s="93"/>
      <c r="W1512" s="93"/>
      <c r="X1512" s="93"/>
      <c r="Y1512" s="93"/>
      <c r="Z1512" s="93"/>
    </row>
    <row r="1513" customFormat="false" ht="16.4" hidden="false" customHeight="false" outlineLevel="0" collapsed="false">
      <c r="A1513" s="123" t="n">
        <v>45444</v>
      </c>
      <c r="B1513" s="31" t="s">
        <v>153</v>
      </c>
      <c r="C1513" s="129"/>
      <c r="D1513" s="129"/>
      <c r="E1513" s="19" t="n">
        <f aca="false">F1513*0.03</f>
        <v>0</v>
      </c>
      <c r="F1513" s="33" t="n">
        <v>0</v>
      </c>
      <c r="G1513" s="131"/>
      <c r="H1513" s="35" t="n">
        <v>0</v>
      </c>
      <c r="I1513" s="34" t="n">
        <f aca="false">+IF(E1513=0,0,E1513*0.03)</f>
        <v>0</v>
      </c>
      <c r="J1513" s="93"/>
      <c r="K1513" s="93"/>
      <c r="L1513" s="93"/>
      <c r="M1513" s="93"/>
      <c r="N1513" s="93"/>
      <c r="O1513" s="93"/>
      <c r="P1513" s="93"/>
      <c r="Q1513" s="93"/>
      <c r="R1513" s="93"/>
      <c r="S1513" s="93"/>
      <c r="T1513" s="93"/>
      <c r="U1513" s="93"/>
      <c r="V1513" s="93"/>
      <c r="W1513" s="93"/>
      <c r="X1513" s="93"/>
      <c r="Y1513" s="93"/>
      <c r="Z1513" s="93"/>
    </row>
    <row r="1514" customFormat="false" ht="16.4" hidden="false" customHeight="false" outlineLevel="0" collapsed="false">
      <c r="A1514" s="123" t="n">
        <v>45444</v>
      </c>
      <c r="B1514" s="31" t="s">
        <v>153</v>
      </c>
      <c r="C1514" s="129"/>
      <c r="D1514" s="129"/>
      <c r="E1514" s="19" t="n">
        <f aca="false">F1514*0.03</f>
        <v>0</v>
      </c>
      <c r="F1514" s="33" t="n">
        <v>0</v>
      </c>
      <c r="G1514" s="131"/>
      <c r="H1514" s="35" t="n">
        <v>0</v>
      </c>
      <c r="I1514" s="34" t="n">
        <f aca="false">+IF(E1514=0,0,E1514*0.03)</f>
        <v>0</v>
      </c>
      <c r="J1514" s="93"/>
      <c r="K1514" s="93"/>
      <c r="L1514" s="93"/>
      <c r="M1514" s="93"/>
      <c r="N1514" s="93"/>
      <c r="O1514" s="93"/>
      <c r="P1514" s="93"/>
      <c r="Q1514" s="93"/>
      <c r="R1514" s="93"/>
      <c r="S1514" s="93"/>
      <c r="T1514" s="93"/>
      <c r="U1514" s="93"/>
      <c r="V1514" s="93"/>
      <c r="W1514" s="93"/>
      <c r="X1514" s="93"/>
      <c r="Y1514" s="93"/>
      <c r="Z1514" s="93"/>
    </row>
    <row r="1515" customFormat="false" ht="16.4" hidden="false" customHeight="false" outlineLevel="0" collapsed="false">
      <c r="A1515" s="123" t="n">
        <v>45444</v>
      </c>
      <c r="B1515" s="31" t="s">
        <v>153</v>
      </c>
      <c r="C1515" s="129"/>
      <c r="D1515" s="129"/>
      <c r="E1515" s="19" t="n">
        <f aca="false">F1515*0.03</f>
        <v>0</v>
      </c>
      <c r="F1515" s="33" t="n">
        <v>0</v>
      </c>
      <c r="G1515" s="131"/>
      <c r="H1515" s="35" t="n">
        <v>0</v>
      </c>
      <c r="I1515" s="34" t="n">
        <f aca="false">+IF(E1515=0,0,E1515*0.03)</f>
        <v>0</v>
      </c>
      <c r="J1515" s="93"/>
      <c r="K1515" s="93"/>
      <c r="L1515" s="93"/>
      <c r="M1515" s="93"/>
      <c r="N1515" s="93"/>
      <c r="O1515" s="93"/>
      <c r="P1515" s="93"/>
      <c r="Q1515" s="93"/>
      <c r="R1515" s="93"/>
      <c r="S1515" s="93"/>
      <c r="T1515" s="93"/>
      <c r="U1515" s="93"/>
      <c r="V1515" s="93"/>
      <c r="W1515" s="93"/>
      <c r="X1515" s="93"/>
      <c r="Y1515" s="93"/>
      <c r="Z1515" s="93"/>
    </row>
    <row r="1516" customFormat="false" ht="16.4" hidden="false" customHeight="false" outlineLevel="0" collapsed="false">
      <c r="A1516" s="123" t="n">
        <v>45444</v>
      </c>
      <c r="B1516" s="31" t="s">
        <v>153</v>
      </c>
      <c r="C1516" s="129"/>
      <c r="D1516" s="129"/>
      <c r="E1516" s="19" t="n">
        <f aca="false">F1516*0.03</f>
        <v>0</v>
      </c>
      <c r="F1516" s="33" t="n">
        <v>0</v>
      </c>
      <c r="G1516" s="131"/>
      <c r="H1516" s="35" t="n">
        <v>0</v>
      </c>
      <c r="I1516" s="34" t="n">
        <f aca="false">+IF(E1516=0,0,E1516*0.03)</f>
        <v>0</v>
      </c>
      <c r="J1516" s="93"/>
      <c r="K1516" s="93"/>
      <c r="L1516" s="93"/>
      <c r="M1516" s="93"/>
      <c r="N1516" s="93"/>
      <c r="O1516" s="93"/>
      <c r="P1516" s="93"/>
      <c r="Q1516" s="93"/>
      <c r="R1516" s="93"/>
      <c r="S1516" s="93"/>
      <c r="T1516" s="93"/>
      <c r="U1516" s="93"/>
      <c r="V1516" s="93"/>
      <c r="W1516" s="93"/>
      <c r="X1516" s="93"/>
      <c r="Y1516" s="93"/>
      <c r="Z1516" s="93"/>
    </row>
    <row r="1517" customFormat="false" ht="16.4" hidden="false" customHeight="false" outlineLevel="0" collapsed="false">
      <c r="A1517" s="123" t="n">
        <v>45444</v>
      </c>
      <c r="B1517" s="31" t="s">
        <v>153</v>
      </c>
      <c r="C1517" s="129"/>
      <c r="D1517" s="129"/>
      <c r="E1517" s="19" t="n">
        <f aca="false">F1517*0.03</f>
        <v>0</v>
      </c>
      <c r="F1517" s="33" t="n">
        <v>0</v>
      </c>
      <c r="G1517" s="131"/>
      <c r="H1517" s="35" t="n">
        <v>0</v>
      </c>
      <c r="I1517" s="34" t="n">
        <f aca="false">+IF(E1517=0,0,E1517*0.03)</f>
        <v>0</v>
      </c>
      <c r="J1517" s="93"/>
      <c r="K1517" s="93"/>
      <c r="L1517" s="93"/>
      <c r="M1517" s="93"/>
      <c r="N1517" s="93"/>
      <c r="O1517" s="93"/>
      <c r="P1517" s="93"/>
      <c r="Q1517" s="93"/>
      <c r="R1517" s="93"/>
      <c r="S1517" s="93"/>
      <c r="T1517" s="93"/>
      <c r="U1517" s="93"/>
      <c r="V1517" s="93"/>
      <c r="W1517" s="93"/>
      <c r="X1517" s="93"/>
      <c r="Y1517" s="93"/>
      <c r="Z1517" s="93"/>
    </row>
    <row r="1518" customFormat="false" ht="16.4" hidden="false" customHeight="false" outlineLevel="0" collapsed="false">
      <c r="A1518" s="123" t="n">
        <v>45444</v>
      </c>
      <c r="B1518" s="31" t="s">
        <v>153</v>
      </c>
      <c r="C1518" s="129"/>
      <c r="D1518" s="129"/>
      <c r="E1518" s="19" t="n">
        <f aca="false">F1518*0.03</f>
        <v>0</v>
      </c>
      <c r="F1518" s="33" t="n">
        <v>0</v>
      </c>
      <c r="G1518" s="131"/>
      <c r="H1518" s="35" t="n">
        <v>0</v>
      </c>
      <c r="I1518" s="34" t="n">
        <f aca="false">+IF(E1518=0,0,E1518*0.03)</f>
        <v>0</v>
      </c>
      <c r="J1518" s="93"/>
      <c r="K1518" s="93"/>
      <c r="L1518" s="93"/>
      <c r="M1518" s="93"/>
      <c r="N1518" s="93"/>
      <c r="O1518" s="93"/>
      <c r="P1518" s="93"/>
      <c r="Q1518" s="93"/>
      <c r="R1518" s="93"/>
      <c r="S1518" s="93"/>
      <c r="T1518" s="93"/>
      <c r="U1518" s="93"/>
      <c r="V1518" s="93"/>
      <c r="W1518" s="93"/>
      <c r="X1518" s="93"/>
      <c r="Y1518" s="93"/>
      <c r="Z1518" s="93"/>
    </row>
    <row r="1519" customFormat="false" ht="16.4" hidden="false" customHeight="false" outlineLevel="0" collapsed="false">
      <c r="A1519" s="123" t="n">
        <v>45444</v>
      </c>
      <c r="B1519" s="31" t="s">
        <v>153</v>
      </c>
      <c r="C1519" s="129"/>
      <c r="D1519" s="129"/>
      <c r="E1519" s="19" t="n">
        <f aca="false">F1519*0.03</f>
        <v>0</v>
      </c>
      <c r="F1519" s="33" t="n">
        <v>0</v>
      </c>
      <c r="G1519" s="131"/>
      <c r="H1519" s="35" t="n">
        <v>0</v>
      </c>
      <c r="I1519" s="34" t="n">
        <f aca="false">+IF(E1519=0,0,E1519*0.03)</f>
        <v>0</v>
      </c>
      <c r="J1519" s="93"/>
      <c r="K1519" s="93"/>
      <c r="L1519" s="93"/>
      <c r="M1519" s="93"/>
      <c r="N1519" s="93"/>
      <c r="O1519" s="93"/>
      <c r="P1519" s="93"/>
      <c r="Q1519" s="93"/>
      <c r="R1519" s="93"/>
      <c r="S1519" s="93"/>
      <c r="T1519" s="93"/>
      <c r="U1519" s="93"/>
      <c r="V1519" s="93"/>
      <c r="W1519" s="93"/>
      <c r="X1519" s="93"/>
      <c r="Y1519" s="93"/>
      <c r="Z1519" s="93"/>
    </row>
    <row r="1520" customFormat="false" ht="16.4" hidden="false" customHeight="false" outlineLevel="0" collapsed="false">
      <c r="A1520" s="123" t="n">
        <v>45444</v>
      </c>
      <c r="B1520" s="31" t="s">
        <v>153</v>
      </c>
      <c r="C1520" s="129"/>
      <c r="D1520" s="129"/>
      <c r="E1520" s="19" t="n">
        <f aca="false">F1520*0.03</f>
        <v>0</v>
      </c>
      <c r="F1520" s="33" t="n">
        <v>0</v>
      </c>
      <c r="G1520" s="131"/>
      <c r="H1520" s="35" t="n">
        <v>0</v>
      </c>
      <c r="I1520" s="34" t="n">
        <f aca="false">+IF(E1520=0,0,E1520*0.03)</f>
        <v>0</v>
      </c>
      <c r="J1520" s="93"/>
      <c r="K1520" s="93"/>
      <c r="L1520" s="93"/>
      <c r="M1520" s="93"/>
      <c r="N1520" s="93"/>
      <c r="O1520" s="93"/>
      <c r="P1520" s="93"/>
      <c r="Q1520" s="93"/>
      <c r="R1520" s="93"/>
      <c r="S1520" s="93"/>
      <c r="T1520" s="93"/>
      <c r="U1520" s="93"/>
      <c r="V1520" s="93"/>
      <c r="W1520" s="93"/>
      <c r="X1520" s="93"/>
      <c r="Y1520" s="93"/>
      <c r="Z1520" s="93"/>
    </row>
    <row r="1521" customFormat="false" ht="16.4" hidden="false" customHeight="false" outlineLevel="0" collapsed="false">
      <c r="A1521" s="123" t="n">
        <v>45444</v>
      </c>
      <c r="B1521" s="31" t="s">
        <v>153</v>
      </c>
      <c r="C1521" s="129"/>
      <c r="D1521" s="129"/>
      <c r="E1521" s="19" t="n">
        <f aca="false">F1521*0.03</f>
        <v>0</v>
      </c>
      <c r="F1521" s="33" t="n">
        <v>0</v>
      </c>
      <c r="G1521" s="131"/>
      <c r="H1521" s="35" t="n">
        <v>0</v>
      </c>
      <c r="I1521" s="34" t="n">
        <f aca="false">+IF(E1521=0,0,E1521*0.03)</f>
        <v>0</v>
      </c>
      <c r="J1521" s="93"/>
      <c r="K1521" s="93"/>
      <c r="L1521" s="93"/>
      <c r="M1521" s="93"/>
      <c r="N1521" s="93"/>
      <c r="O1521" s="93"/>
      <c r="P1521" s="93"/>
      <c r="Q1521" s="93"/>
      <c r="R1521" s="93"/>
      <c r="S1521" s="93"/>
      <c r="T1521" s="93"/>
      <c r="U1521" s="93"/>
      <c r="V1521" s="93"/>
      <c r="W1521" s="93"/>
      <c r="X1521" s="93"/>
      <c r="Y1521" s="93"/>
      <c r="Z1521" s="93"/>
    </row>
    <row r="1522" customFormat="false" ht="16.4" hidden="false" customHeight="false" outlineLevel="0" collapsed="false">
      <c r="A1522" s="123" t="n">
        <v>45444</v>
      </c>
      <c r="B1522" s="31" t="s">
        <v>153</v>
      </c>
      <c r="C1522" s="129"/>
      <c r="D1522" s="129"/>
      <c r="E1522" s="19" t="n">
        <f aca="false">F1522*0.03</f>
        <v>0</v>
      </c>
      <c r="F1522" s="33" t="n">
        <v>0</v>
      </c>
      <c r="G1522" s="131"/>
      <c r="H1522" s="35" t="n">
        <v>0</v>
      </c>
      <c r="I1522" s="34" t="n">
        <f aca="false">+IF(E1522=0,0,E1522*0.03)</f>
        <v>0</v>
      </c>
      <c r="J1522" s="93"/>
      <c r="K1522" s="93"/>
      <c r="L1522" s="93"/>
      <c r="M1522" s="93"/>
      <c r="N1522" s="93"/>
      <c r="O1522" s="93"/>
      <c r="P1522" s="93"/>
      <c r="Q1522" s="93"/>
      <c r="R1522" s="93"/>
      <c r="S1522" s="93"/>
      <c r="T1522" s="93"/>
      <c r="U1522" s="93"/>
      <c r="V1522" s="93"/>
      <c r="W1522" s="93"/>
      <c r="X1522" s="93"/>
      <c r="Y1522" s="93"/>
      <c r="Z1522" s="93"/>
    </row>
    <row r="1523" customFormat="false" ht="16.4" hidden="false" customHeight="false" outlineLevel="0" collapsed="false">
      <c r="A1523" s="123" t="n">
        <v>45444</v>
      </c>
      <c r="B1523" s="31" t="s">
        <v>153</v>
      </c>
      <c r="C1523" s="129"/>
      <c r="D1523" s="129"/>
      <c r="E1523" s="19" t="n">
        <f aca="false">F1523*0.03</f>
        <v>0</v>
      </c>
      <c r="F1523" s="33" t="n">
        <v>0</v>
      </c>
      <c r="G1523" s="131"/>
      <c r="H1523" s="35" t="n">
        <v>0</v>
      </c>
      <c r="I1523" s="34" t="n">
        <f aca="false">+IF(E1523=0,0,E1523*0.03)</f>
        <v>0</v>
      </c>
      <c r="J1523" s="93"/>
      <c r="K1523" s="93"/>
      <c r="L1523" s="93"/>
      <c r="M1523" s="93"/>
      <c r="N1523" s="93"/>
      <c r="O1523" s="93"/>
      <c r="P1523" s="93"/>
      <c r="Q1523" s="93"/>
      <c r="R1523" s="93"/>
      <c r="S1523" s="93"/>
      <c r="T1523" s="93"/>
      <c r="U1523" s="93"/>
      <c r="V1523" s="93"/>
      <c r="W1523" s="93"/>
      <c r="X1523" s="93"/>
      <c r="Y1523" s="93"/>
      <c r="Z1523" s="93"/>
    </row>
    <row r="1524" customFormat="false" ht="16.4" hidden="false" customHeight="false" outlineLevel="0" collapsed="false">
      <c r="A1524" s="123" t="n">
        <v>45444</v>
      </c>
      <c r="B1524" s="31" t="s">
        <v>153</v>
      </c>
      <c r="C1524" s="129"/>
      <c r="D1524" s="129"/>
      <c r="E1524" s="19" t="n">
        <f aca="false">F1524*0.03</f>
        <v>0</v>
      </c>
      <c r="F1524" s="33" t="n">
        <v>0</v>
      </c>
      <c r="G1524" s="131"/>
      <c r="H1524" s="35" t="n">
        <v>0</v>
      </c>
      <c r="I1524" s="34" t="n">
        <f aca="false">+IF(E1524=0,0,E1524*0.03)</f>
        <v>0</v>
      </c>
      <c r="J1524" s="93"/>
      <c r="K1524" s="93"/>
      <c r="L1524" s="93"/>
      <c r="M1524" s="93"/>
      <c r="N1524" s="93"/>
      <c r="O1524" s="93"/>
      <c r="P1524" s="93"/>
      <c r="Q1524" s="93"/>
      <c r="R1524" s="93"/>
      <c r="S1524" s="93"/>
      <c r="T1524" s="93"/>
      <c r="U1524" s="93"/>
      <c r="V1524" s="93"/>
      <c r="W1524" s="93"/>
      <c r="X1524" s="93"/>
      <c r="Y1524" s="93"/>
      <c r="Z1524" s="93"/>
    </row>
    <row r="1525" customFormat="false" ht="16.4" hidden="false" customHeight="false" outlineLevel="0" collapsed="false">
      <c r="A1525" s="123" t="n">
        <v>45444</v>
      </c>
      <c r="B1525" s="31" t="s">
        <v>153</v>
      </c>
      <c r="C1525" s="129"/>
      <c r="D1525" s="129"/>
      <c r="E1525" s="19" t="n">
        <f aca="false">F1525*0.03</f>
        <v>0</v>
      </c>
      <c r="F1525" s="33" t="n">
        <v>0</v>
      </c>
      <c r="G1525" s="131"/>
      <c r="H1525" s="35" t="n">
        <v>0</v>
      </c>
      <c r="I1525" s="34" t="n">
        <f aca="false">+IF(E1525=0,0,E1525*0.03)</f>
        <v>0</v>
      </c>
      <c r="J1525" s="93"/>
      <c r="K1525" s="93"/>
      <c r="L1525" s="93"/>
      <c r="M1525" s="93"/>
      <c r="N1525" s="93"/>
      <c r="O1525" s="93"/>
      <c r="P1525" s="93"/>
      <c r="Q1525" s="93"/>
      <c r="R1525" s="93"/>
      <c r="S1525" s="93"/>
      <c r="T1525" s="93"/>
      <c r="U1525" s="93"/>
      <c r="V1525" s="93"/>
      <c r="W1525" s="93"/>
      <c r="X1525" s="93"/>
      <c r="Y1525" s="93"/>
      <c r="Z1525" s="93"/>
    </row>
    <row r="1526" customFormat="false" ht="16.4" hidden="false" customHeight="false" outlineLevel="0" collapsed="false">
      <c r="A1526" s="123" t="n">
        <v>45444</v>
      </c>
      <c r="B1526" s="31" t="s">
        <v>153</v>
      </c>
      <c r="C1526" s="129"/>
      <c r="D1526" s="129"/>
      <c r="E1526" s="19" t="n">
        <f aca="false">F1526*0.03</f>
        <v>0</v>
      </c>
      <c r="F1526" s="33" t="n">
        <v>0</v>
      </c>
      <c r="G1526" s="131"/>
      <c r="H1526" s="35" t="n">
        <v>0</v>
      </c>
      <c r="I1526" s="34" t="n">
        <f aca="false">+IF(E1526=0,0,E1526*0.03)</f>
        <v>0</v>
      </c>
      <c r="J1526" s="93"/>
      <c r="K1526" s="93"/>
      <c r="L1526" s="93"/>
      <c r="M1526" s="93"/>
      <c r="N1526" s="93"/>
      <c r="O1526" s="93"/>
      <c r="P1526" s="93"/>
      <c r="Q1526" s="93"/>
      <c r="R1526" s="93"/>
      <c r="S1526" s="93"/>
      <c r="T1526" s="93"/>
      <c r="U1526" s="93"/>
      <c r="V1526" s="93"/>
      <c r="W1526" s="93"/>
      <c r="X1526" s="93"/>
      <c r="Y1526" s="93"/>
      <c r="Z1526" s="93"/>
    </row>
    <row r="1527" customFormat="false" ht="16.4" hidden="false" customHeight="false" outlineLevel="0" collapsed="false">
      <c r="A1527" s="123" t="n">
        <v>45444</v>
      </c>
      <c r="B1527" s="31" t="s">
        <v>153</v>
      </c>
      <c r="C1527" s="129"/>
      <c r="D1527" s="129"/>
      <c r="E1527" s="19" t="n">
        <f aca="false">F1527*0.03</f>
        <v>0</v>
      </c>
      <c r="F1527" s="33" t="n">
        <v>0</v>
      </c>
      <c r="G1527" s="131"/>
      <c r="H1527" s="35" t="n">
        <v>0</v>
      </c>
      <c r="I1527" s="34" t="n">
        <f aca="false">+IF(E1527=0,0,E1527*0.03)</f>
        <v>0</v>
      </c>
      <c r="J1527" s="93"/>
      <c r="K1527" s="93"/>
      <c r="L1527" s="93"/>
      <c r="M1527" s="93"/>
      <c r="N1527" s="93"/>
      <c r="O1527" s="93"/>
      <c r="P1527" s="93"/>
      <c r="Q1527" s="93"/>
      <c r="R1527" s="93"/>
      <c r="S1527" s="93"/>
      <c r="T1527" s="93"/>
      <c r="U1527" s="93"/>
      <c r="V1527" s="93"/>
      <c r="W1527" s="93"/>
      <c r="X1527" s="93"/>
      <c r="Y1527" s="93"/>
      <c r="Z1527" s="93"/>
    </row>
    <row r="1528" customFormat="false" ht="16.4" hidden="false" customHeight="false" outlineLevel="0" collapsed="false">
      <c r="A1528" s="123" t="n">
        <v>45444</v>
      </c>
      <c r="B1528" s="31" t="s">
        <v>153</v>
      </c>
      <c r="C1528" s="129"/>
      <c r="D1528" s="129"/>
      <c r="E1528" s="19" t="n">
        <f aca="false">F1528*0.03</f>
        <v>0</v>
      </c>
      <c r="F1528" s="33" t="n">
        <v>0</v>
      </c>
      <c r="G1528" s="131"/>
      <c r="H1528" s="35" t="n">
        <v>0</v>
      </c>
      <c r="I1528" s="34" t="n">
        <f aca="false">+IF(E1528=0,0,E1528*0.03)</f>
        <v>0</v>
      </c>
      <c r="J1528" s="93"/>
      <c r="K1528" s="93"/>
      <c r="L1528" s="93"/>
      <c r="M1528" s="93"/>
      <c r="N1528" s="93"/>
      <c r="O1528" s="93"/>
      <c r="P1528" s="93"/>
      <c r="Q1528" s="93"/>
      <c r="R1528" s="93"/>
      <c r="S1528" s="93"/>
      <c r="T1528" s="93"/>
      <c r="U1528" s="93"/>
      <c r="V1528" s="93"/>
      <c r="W1528" s="93"/>
      <c r="X1528" s="93"/>
      <c r="Y1528" s="93"/>
      <c r="Z1528" s="93"/>
    </row>
    <row r="1529" customFormat="false" ht="16.4" hidden="false" customHeight="false" outlineLevel="0" collapsed="false">
      <c r="A1529" s="123" t="n">
        <v>45444</v>
      </c>
      <c r="B1529" s="31" t="s">
        <v>153</v>
      </c>
      <c r="C1529" s="129"/>
      <c r="D1529" s="129"/>
      <c r="E1529" s="19" t="n">
        <f aca="false">F1529*0.03</f>
        <v>0</v>
      </c>
      <c r="F1529" s="33" t="n">
        <v>0</v>
      </c>
      <c r="G1529" s="131"/>
      <c r="H1529" s="35" t="n">
        <v>0</v>
      </c>
      <c r="I1529" s="34" t="n">
        <f aca="false">+IF(E1529=0,0,E1529*0.03)</f>
        <v>0</v>
      </c>
      <c r="J1529" s="93"/>
      <c r="K1529" s="93"/>
      <c r="L1529" s="93"/>
      <c r="M1529" s="93"/>
      <c r="N1529" s="93"/>
      <c r="O1529" s="93"/>
      <c r="P1529" s="93"/>
      <c r="Q1529" s="93"/>
      <c r="R1529" s="93"/>
      <c r="S1529" s="93"/>
      <c r="T1529" s="93"/>
      <c r="U1529" s="93"/>
      <c r="V1529" s="93"/>
      <c r="W1529" s="93"/>
      <c r="X1529" s="93"/>
      <c r="Y1529" s="93"/>
      <c r="Z1529" s="93"/>
    </row>
    <row r="1530" customFormat="false" ht="16.4" hidden="false" customHeight="false" outlineLevel="0" collapsed="false">
      <c r="A1530" s="123" t="n">
        <v>45444</v>
      </c>
      <c r="B1530" s="31" t="s">
        <v>153</v>
      </c>
      <c r="C1530" s="129"/>
      <c r="D1530" s="129"/>
      <c r="E1530" s="19" t="n">
        <f aca="false">F1530*0.03</f>
        <v>0</v>
      </c>
      <c r="F1530" s="33" t="n">
        <v>0</v>
      </c>
      <c r="G1530" s="131"/>
      <c r="H1530" s="35" t="n">
        <v>0</v>
      </c>
      <c r="I1530" s="34" t="n">
        <f aca="false">+IF(E1530=0,0,E1530*0.03)</f>
        <v>0</v>
      </c>
      <c r="J1530" s="93"/>
      <c r="K1530" s="93"/>
      <c r="L1530" s="93"/>
      <c r="M1530" s="93"/>
      <c r="N1530" s="93"/>
      <c r="O1530" s="93"/>
      <c r="P1530" s="93"/>
      <c r="Q1530" s="93"/>
      <c r="R1530" s="93"/>
      <c r="S1530" s="93"/>
      <c r="T1530" s="93"/>
      <c r="U1530" s="93"/>
      <c r="V1530" s="93"/>
      <c r="W1530" s="93"/>
      <c r="X1530" s="93"/>
      <c r="Y1530" s="93"/>
      <c r="Z1530" s="93"/>
    </row>
    <row r="1531" customFormat="false" ht="16.4" hidden="false" customHeight="false" outlineLevel="0" collapsed="false">
      <c r="A1531" s="123" t="n">
        <v>45444</v>
      </c>
      <c r="B1531" s="31" t="s">
        <v>153</v>
      </c>
      <c r="C1531" s="129"/>
      <c r="D1531" s="129"/>
      <c r="E1531" s="19" t="n">
        <f aca="false">F1531*0.03</f>
        <v>0</v>
      </c>
      <c r="F1531" s="33" t="n">
        <v>0</v>
      </c>
      <c r="G1531" s="131"/>
      <c r="H1531" s="35" t="n">
        <v>0</v>
      </c>
      <c r="I1531" s="34" t="n">
        <f aca="false">+IF(E1531=0,0,E1531*0.03)</f>
        <v>0</v>
      </c>
      <c r="J1531" s="93"/>
      <c r="K1531" s="93"/>
      <c r="L1531" s="93"/>
      <c r="M1531" s="93"/>
      <c r="N1531" s="93"/>
      <c r="O1531" s="93"/>
      <c r="P1531" s="93"/>
      <c r="Q1531" s="93"/>
      <c r="R1531" s="93"/>
      <c r="S1531" s="93"/>
      <c r="T1531" s="93"/>
      <c r="U1531" s="93"/>
      <c r="V1531" s="93"/>
      <c r="W1531" s="93"/>
      <c r="X1531" s="93"/>
      <c r="Y1531" s="93"/>
      <c r="Z1531" s="93"/>
    </row>
    <row r="1532" customFormat="false" ht="16.4" hidden="false" customHeight="false" outlineLevel="0" collapsed="false">
      <c r="A1532" s="123" t="n">
        <v>45444</v>
      </c>
      <c r="B1532" s="31" t="s">
        <v>153</v>
      </c>
      <c r="C1532" s="129"/>
      <c r="D1532" s="129"/>
      <c r="E1532" s="19" t="n">
        <f aca="false">F1532*0.03</f>
        <v>0</v>
      </c>
      <c r="F1532" s="33" t="n">
        <v>0</v>
      </c>
      <c r="G1532" s="131"/>
      <c r="H1532" s="35" t="n">
        <v>0</v>
      </c>
      <c r="I1532" s="34" t="n">
        <f aca="false">+IF(E1532=0,0,E1532*0.03)</f>
        <v>0</v>
      </c>
      <c r="J1532" s="93"/>
      <c r="K1532" s="93"/>
      <c r="L1532" s="93"/>
      <c r="M1532" s="93"/>
      <c r="N1532" s="93"/>
      <c r="O1532" s="93"/>
      <c r="P1532" s="93"/>
      <c r="Q1532" s="93"/>
      <c r="R1532" s="93"/>
      <c r="S1532" s="93"/>
      <c r="T1532" s="93"/>
      <c r="U1532" s="93"/>
      <c r="V1532" s="93"/>
      <c r="W1532" s="93"/>
      <c r="X1532" s="93"/>
      <c r="Y1532" s="93"/>
      <c r="Z1532" s="93"/>
    </row>
    <row r="1533" customFormat="false" ht="16.4" hidden="false" customHeight="false" outlineLevel="0" collapsed="false">
      <c r="A1533" s="123" t="n">
        <v>45444</v>
      </c>
      <c r="B1533" s="31" t="s">
        <v>153</v>
      </c>
      <c r="C1533" s="129"/>
      <c r="D1533" s="129"/>
      <c r="E1533" s="19" t="n">
        <f aca="false">F1533*0.03</f>
        <v>0</v>
      </c>
      <c r="F1533" s="33" t="n">
        <v>0</v>
      </c>
      <c r="G1533" s="131"/>
      <c r="H1533" s="35" t="n">
        <v>0</v>
      </c>
      <c r="I1533" s="34" t="n">
        <f aca="false">+IF(E1533=0,0,E1533*0.03)</f>
        <v>0</v>
      </c>
      <c r="J1533" s="93"/>
      <c r="K1533" s="93"/>
      <c r="L1533" s="93"/>
      <c r="M1533" s="93"/>
      <c r="N1533" s="93"/>
      <c r="O1533" s="93"/>
      <c r="P1533" s="93"/>
      <c r="Q1533" s="93"/>
      <c r="R1533" s="93"/>
      <c r="S1533" s="93"/>
      <c r="T1533" s="93"/>
      <c r="U1533" s="93"/>
      <c r="V1533" s="93"/>
      <c r="W1533" s="93"/>
      <c r="X1533" s="93"/>
      <c r="Y1533" s="93"/>
      <c r="Z1533" s="93"/>
    </row>
    <row r="1534" customFormat="false" ht="16.4" hidden="false" customHeight="false" outlineLevel="0" collapsed="false">
      <c r="A1534" s="123" t="n">
        <v>45444</v>
      </c>
      <c r="B1534" s="31" t="s">
        <v>153</v>
      </c>
      <c r="C1534" s="129"/>
      <c r="D1534" s="129"/>
      <c r="E1534" s="19" t="n">
        <f aca="false">F1534*0.03</f>
        <v>0</v>
      </c>
      <c r="F1534" s="33" t="n">
        <v>0</v>
      </c>
      <c r="G1534" s="131"/>
      <c r="H1534" s="35" t="n">
        <v>0</v>
      </c>
      <c r="I1534" s="34" t="n">
        <f aca="false">+IF(E1534=0,0,E1534*0.03)</f>
        <v>0</v>
      </c>
      <c r="J1534" s="93"/>
      <c r="K1534" s="93"/>
      <c r="L1534" s="93"/>
      <c r="M1534" s="93"/>
      <c r="N1534" s="93"/>
      <c r="O1534" s="93"/>
      <c r="P1534" s="93"/>
      <c r="Q1534" s="93"/>
      <c r="R1534" s="93"/>
      <c r="S1534" s="93"/>
      <c r="T1534" s="93"/>
      <c r="U1534" s="93"/>
      <c r="V1534" s="93"/>
      <c r="W1534" s="93"/>
      <c r="X1534" s="93"/>
      <c r="Y1534" s="93"/>
      <c r="Z1534" s="93"/>
    </row>
    <row r="1535" customFormat="false" ht="16.4" hidden="false" customHeight="false" outlineLevel="0" collapsed="false">
      <c r="A1535" s="123" t="n">
        <v>45444</v>
      </c>
      <c r="B1535" s="31" t="s">
        <v>153</v>
      </c>
      <c r="C1535" s="129"/>
      <c r="D1535" s="129"/>
      <c r="E1535" s="19" t="n">
        <f aca="false">F1535*0.03</f>
        <v>0</v>
      </c>
      <c r="F1535" s="33" t="n">
        <v>0</v>
      </c>
      <c r="G1535" s="131"/>
      <c r="H1535" s="35" t="n">
        <v>0</v>
      </c>
      <c r="I1535" s="34" t="n">
        <f aca="false">+IF(E1535=0,0,E1535*0.03)</f>
        <v>0</v>
      </c>
      <c r="J1535" s="93"/>
      <c r="K1535" s="93"/>
      <c r="L1535" s="93"/>
      <c r="M1535" s="93"/>
      <c r="N1535" s="93"/>
      <c r="O1535" s="93"/>
      <c r="P1535" s="93"/>
      <c r="Q1535" s="93"/>
      <c r="R1535" s="93"/>
      <c r="S1535" s="93"/>
      <c r="T1535" s="93"/>
      <c r="U1535" s="93"/>
      <c r="V1535" s="93"/>
      <c r="W1535" s="93"/>
      <c r="X1535" s="93"/>
      <c r="Y1535" s="93"/>
      <c r="Z1535" s="93"/>
    </row>
    <row r="1536" customFormat="false" ht="16.4" hidden="false" customHeight="false" outlineLevel="0" collapsed="false">
      <c r="A1536" s="123" t="n">
        <v>45444</v>
      </c>
      <c r="B1536" s="31" t="s">
        <v>153</v>
      </c>
      <c r="C1536" s="129"/>
      <c r="D1536" s="129"/>
      <c r="E1536" s="19" t="n">
        <f aca="false">F1536*0.03</f>
        <v>0</v>
      </c>
      <c r="F1536" s="33" t="n">
        <v>0</v>
      </c>
      <c r="G1536" s="131"/>
      <c r="H1536" s="35" t="n">
        <v>0</v>
      </c>
      <c r="I1536" s="34" t="n">
        <f aca="false">+IF(E1536=0,0,E1536*0.03)</f>
        <v>0</v>
      </c>
      <c r="J1536" s="93"/>
      <c r="K1536" s="93"/>
      <c r="L1536" s="93"/>
      <c r="M1536" s="93"/>
      <c r="N1536" s="93"/>
      <c r="O1536" s="93"/>
      <c r="P1536" s="93"/>
      <c r="Q1536" s="93"/>
      <c r="R1536" s="93"/>
      <c r="S1536" s="93"/>
      <c r="T1536" s="93"/>
      <c r="U1536" s="93"/>
      <c r="V1536" s="93"/>
      <c r="W1536" s="93"/>
      <c r="X1536" s="93"/>
      <c r="Y1536" s="93"/>
      <c r="Z1536" s="93"/>
    </row>
    <row r="1537" customFormat="false" ht="16.4" hidden="false" customHeight="false" outlineLevel="0" collapsed="false">
      <c r="A1537" s="123" t="n">
        <v>45444</v>
      </c>
      <c r="B1537" s="31" t="s">
        <v>153</v>
      </c>
      <c r="C1537" s="129"/>
      <c r="D1537" s="129"/>
      <c r="E1537" s="19" t="n">
        <f aca="false">F1537*0.03</f>
        <v>0</v>
      </c>
      <c r="F1537" s="33" t="n">
        <v>0</v>
      </c>
      <c r="G1537" s="131"/>
      <c r="H1537" s="35" t="n">
        <v>0</v>
      </c>
      <c r="I1537" s="34" t="n">
        <f aca="false">+IF(E1537=0,0,E1537*0.03)</f>
        <v>0</v>
      </c>
      <c r="J1537" s="93"/>
      <c r="K1537" s="93"/>
      <c r="L1537" s="93"/>
      <c r="M1537" s="93"/>
      <c r="N1537" s="93"/>
      <c r="O1537" s="93"/>
      <c r="P1537" s="93"/>
      <c r="Q1537" s="93"/>
      <c r="R1537" s="93"/>
      <c r="S1537" s="93"/>
      <c r="T1537" s="93"/>
      <c r="U1537" s="93"/>
      <c r="V1537" s="93"/>
      <c r="W1537" s="93"/>
      <c r="X1537" s="93"/>
      <c r="Y1537" s="93"/>
      <c r="Z1537" s="93"/>
    </row>
    <row r="1538" customFormat="false" ht="16.4" hidden="false" customHeight="false" outlineLevel="0" collapsed="false">
      <c r="A1538" s="123" t="n">
        <v>45444</v>
      </c>
      <c r="B1538" s="31" t="s">
        <v>153</v>
      </c>
      <c r="C1538" s="129"/>
      <c r="D1538" s="129"/>
      <c r="E1538" s="19" t="n">
        <f aca="false">F1538*0.03</f>
        <v>0</v>
      </c>
      <c r="F1538" s="33" t="n">
        <v>0</v>
      </c>
      <c r="G1538" s="131"/>
      <c r="H1538" s="35" t="n">
        <v>0</v>
      </c>
      <c r="I1538" s="34" t="n">
        <f aca="false">+IF(E1538=0,0,E1538*0.03)</f>
        <v>0</v>
      </c>
      <c r="J1538" s="93"/>
      <c r="K1538" s="93"/>
      <c r="L1538" s="93"/>
      <c r="M1538" s="93"/>
      <c r="N1538" s="93"/>
      <c r="O1538" s="93"/>
      <c r="P1538" s="93"/>
      <c r="Q1538" s="93"/>
      <c r="R1538" s="93"/>
      <c r="S1538" s="93"/>
      <c r="T1538" s="93"/>
      <c r="U1538" s="93"/>
      <c r="V1538" s="93"/>
      <c r="W1538" s="93"/>
      <c r="X1538" s="93"/>
      <c r="Y1538" s="93"/>
      <c r="Z1538" s="93"/>
    </row>
    <row r="1539" customFormat="false" ht="16.4" hidden="false" customHeight="false" outlineLevel="0" collapsed="false">
      <c r="A1539" s="123" t="n">
        <v>45444</v>
      </c>
      <c r="B1539" s="31" t="s">
        <v>153</v>
      </c>
      <c r="C1539" s="129"/>
      <c r="D1539" s="129"/>
      <c r="E1539" s="19" t="n">
        <f aca="false">F1539*0.03</f>
        <v>0</v>
      </c>
      <c r="F1539" s="33" t="n">
        <v>0</v>
      </c>
      <c r="G1539" s="131"/>
      <c r="H1539" s="35" t="n">
        <v>0</v>
      </c>
      <c r="I1539" s="34" t="n">
        <f aca="false">+IF(E1539=0,0,E1539*0.03)</f>
        <v>0</v>
      </c>
      <c r="J1539" s="93"/>
      <c r="K1539" s="93"/>
      <c r="L1539" s="93"/>
      <c r="M1539" s="93"/>
      <c r="N1539" s="93"/>
      <c r="O1539" s="93"/>
      <c r="P1539" s="93"/>
      <c r="Q1539" s="93"/>
      <c r="R1539" s="93"/>
      <c r="S1539" s="93"/>
      <c r="T1539" s="93"/>
      <c r="U1539" s="93"/>
      <c r="V1539" s="93"/>
      <c r="W1539" s="93"/>
      <c r="X1539" s="93"/>
      <c r="Y1539" s="93"/>
      <c r="Z1539" s="93"/>
    </row>
    <row r="1540" customFormat="false" ht="16.4" hidden="false" customHeight="false" outlineLevel="0" collapsed="false">
      <c r="A1540" s="123" t="n">
        <v>45444</v>
      </c>
      <c r="B1540" s="31" t="s">
        <v>153</v>
      </c>
      <c r="C1540" s="129"/>
      <c r="D1540" s="129"/>
      <c r="E1540" s="19" t="n">
        <f aca="false">F1540*0.03</f>
        <v>0</v>
      </c>
      <c r="F1540" s="33" t="n">
        <v>0</v>
      </c>
      <c r="G1540" s="131"/>
      <c r="H1540" s="35" t="n">
        <v>0</v>
      </c>
      <c r="I1540" s="34" t="n">
        <f aca="false">+IF(E1540=0,0,E1540*0.03)</f>
        <v>0</v>
      </c>
      <c r="J1540" s="93"/>
      <c r="K1540" s="93"/>
      <c r="L1540" s="93"/>
      <c r="M1540" s="93"/>
      <c r="N1540" s="93"/>
      <c r="O1540" s="93"/>
      <c r="P1540" s="93"/>
      <c r="Q1540" s="93"/>
      <c r="R1540" s="93"/>
      <c r="S1540" s="93"/>
      <c r="T1540" s="93"/>
      <c r="U1540" s="93"/>
      <c r="V1540" s="93"/>
      <c r="W1540" s="93"/>
      <c r="X1540" s="93"/>
      <c r="Y1540" s="93"/>
      <c r="Z1540" s="93"/>
    </row>
    <row r="1541" customFormat="false" ht="16.4" hidden="false" customHeight="false" outlineLevel="0" collapsed="false">
      <c r="A1541" s="123" t="n">
        <v>45444</v>
      </c>
      <c r="B1541" s="31" t="s">
        <v>153</v>
      </c>
      <c r="C1541" s="129"/>
      <c r="D1541" s="129"/>
      <c r="E1541" s="19" t="n">
        <f aca="false">F1541*0.03</f>
        <v>0</v>
      </c>
      <c r="F1541" s="33" t="n">
        <v>0</v>
      </c>
      <c r="G1541" s="131"/>
      <c r="H1541" s="35" t="n">
        <v>0</v>
      </c>
      <c r="I1541" s="34" t="n">
        <f aca="false">+IF(E1541=0,0,E1541*0.03)</f>
        <v>0</v>
      </c>
      <c r="J1541" s="93"/>
      <c r="K1541" s="93"/>
      <c r="L1541" s="93"/>
      <c r="M1541" s="93"/>
      <c r="N1541" s="93"/>
      <c r="O1541" s="93"/>
      <c r="P1541" s="93"/>
      <c r="Q1541" s="93"/>
      <c r="R1541" s="93"/>
      <c r="S1541" s="93"/>
      <c r="T1541" s="93"/>
      <c r="U1541" s="93"/>
      <c r="V1541" s="93"/>
      <c r="W1541" s="93"/>
      <c r="X1541" s="93"/>
      <c r="Y1541" s="93"/>
      <c r="Z1541" s="93"/>
    </row>
    <row r="1542" customFormat="false" ht="16.4" hidden="false" customHeight="false" outlineLevel="0" collapsed="false">
      <c r="A1542" s="123" t="n">
        <v>45444</v>
      </c>
      <c r="B1542" s="31" t="s">
        <v>153</v>
      </c>
      <c r="C1542" s="129"/>
      <c r="D1542" s="129"/>
      <c r="E1542" s="19" t="n">
        <f aca="false">F1542*0.03</f>
        <v>0</v>
      </c>
      <c r="F1542" s="33" t="n">
        <v>0</v>
      </c>
      <c r="G1542" s="131"/>
      <c r="H1542" s="35" t="n">
        <v>0</v>
      </c>
      <c r="I1542" s="34" t="n">
        <f aca="false">+IF(E1542=0,0,E1542*0.03)</f>
        <v>0</v>
      </c>
      <c r="J1542" s="93"/>
      <c r="K1542" s="93"/>
      <c r="L1542" s="93"/>
      <c r="M1542" s="93"/>
      <c r="N1542" s="93"/>
      <c r="O1542" s="93"/>
      <c r="P1542" s="93"/>
      <c r="Q1542" s="93"/>
      <c r="R1542" s="93"/>
      <c r="S1542" s="93"/>
      <c r="T1542" s="93"/>
      <c r="U1542" s="93"/>
      <c r="V1542" s="93"/>
      <c r="W1542" s="93"/>
      <c r="X1542" s="93"/>
      <c r="Y1542" s="93"/>
      <c r="Z1542" s="93"/>
    </row>
    <row r="1543" customFormat="false" ht="16.4" hidden="false" customHeight="false" outlineLevel="0" collapsed="false">
      <c r="A1543" s="123" t="n">
        <v>45444</v>
      </c>
      <c r="B1543" s="31" t="s">
        <v>153</v>
      </c>
      <c r="C1543" s="129"/>
      <c r="D1543" s="129"/>
      <c r="E1543" s="19" t="n">
        <f aca="false">F1543*0.03</f>
        <v>0</v>
      </c>
      <c r="F1543" s="33" t="n">
        <v>0</v>
      </c>
      <c r="G1543" s="131"/>
      <c r="H1543" s="35" t="n">
        <v>0</v>
      </c>
      <c r="I1543" s="34" t="n">
        <f aca="false">+IF(E1543=0,0,E1543*0.03)</f>
        <v>0</v>
      </c>
      <c r="J1543" s="93"/>
      <c r="K1543" s="93"/>
      <c r="L1543" s="93"/>
      <c r="M1543" s="93"/>
      <c r="N1543" s="93"/>
      <c r="O1543" s="93"/>
      <c r="P1543" s="93"/>
      <c r="Q1543" s="93"/>
      <c r="R1543" s="93"/>
      <c r="S1543" s="93"/>
      <c r="T1543" s="93"/>
      <c r="U1543" s="93"/>
      <c r="V1543" s="93"/>
      <c r="W1543" s="93"/>
      <c r="X1543" s="93"/>
      <c r="Y1543" s="93"/>
      <c r="Z1543" s="93"/>
    </row>
    <row r="1544" customFormat="false" ht="16.4" hidden="false" customHeight="false" outlineLevel="0" collapsed="false">
      <c r="A1544" s="123" t="n">
        <v>45444</v>
      </c>
      <c r="B1544" s="31" t="s">
        <v>153</v>
      </c>
      <c r="C1544" s="129"/>
      <c r="D1544" s="129"/>
      <c r="E1544" s="19" t="n">
        <f aca="false">F1544*0.03</f>
        <v>0</v>
      </c>
      <c r="F1544" s="33" t="n">
        <v>0</v>
      </c>
      <c r="G1544" s="131"/>
      <c r="H1544" s="35" t="n">
        <v>0</v>
      </c>
      <c r="I1544" s="34" t="n">
        <f aca="false">+IF(E1544=0,0,E1544*0.03)</f>
        <v>0</v>
      </c>
      <c r="J1544" s="93"/>
      <c r="K1544" s="93"/>
      <c r="L1544" s="93"/>
      <c r="M1544" s="93"/>
      <c r="N1544" s="93"/>
      <c r="O1544" s="93"/>
      <c r="P1544" s="93"/>
      <c r="Q1544" s="93"/>
      <c r="R1544" s="93"/>
      <c r="S1544" s="93"/>
      <c r="T1544" s="93"/>
      <c r="U1544" s="93"/>
      <c r="V1544" s="93"/>
      <c r="W1544" s="93"/>
      <c r="X1544" s="93"/>
      <c r="Y1544" s="93"/>
      <c r="Z1544" s="93"/>
    </row>
    <row r="1545" customFormat="false" ht="16.4" hidden="false" customHeight="false" outlineLevel="0" collapsed="false">
      <c r="A1545" s="123" t="n">
        <v>45444</v>
      </c>
      <c r="B1545" s="31" t="s">
        <v>153</v>
      </c>
      <c r="C1545" s="129"/>
      <c r="D1545" s="129"/>
      <c r="E1545" s="19" t="n">
        <f aca="false">F1545*0.03</f>
        <v>0</v>
      </c>
      <c r="F1545" s="33" t="n">
        <v>0</v>
      </c>
      <c r="G1545" s="131"/>
      <c r="H1545" s="35" t="n">
        <v>0</v>
      </c>
      <c r="I1545" s="34" t="n">
        <f aca="false">+IF(E1545=0,0,E1545*0.03)</f>
        <v>0</v>
      </c>
      <c r="J1545" s="93"/>
      <c r="K1545" s="93"/>
      <c r="L1545" s="93"/>
      <c r="M1545" s="93"/>
      <c r="N1545" s="93"/>
      <c r="O1545" s="93"/>
      <c r="P1545" s="93"/>
      <c r="Q1545" s="93"/>
      <c r="R1545" s="93"/>
      <c r="S1545" s="93"/>
      <c r="T1545" s="93"/>
      <c r="U1545" s="93"/>
      <c r="V1545" s="93"/>
      <c r="W1545" s="93"/>
      <c r="X1545" s="93"/>
      <c r="Y1545" s="93"/>
      <c r="Z1545" s="93"/>
    </row>
    <row r="1546" customFormat="false" ht="16.4" hidden="false" customHeight="false" outlineLevel="0" collapsed="false">
      <c r="A1546" s="123" t="n">
        <v>45444</v>
      </c>
      <c r="B1546" s="31" t="s">
        <v>153</v>
      </c>
      <c r="C1546" s="129"/>
      <c r="D1546" s="129"/>
      <c r="E1546" s="19" t="n">
        <f aca="false">F1546*0.03</f>
        <v>0</v>
      </c>
      <c r="F1546" s="33" t="n">
        <v>0</v>
      </c>
      <c r="G1546" s="131"/>
      <c r="H1546" s="35" t="n">
        <v>0</v>
      </c>
      <c r="I1546" s="34" t="n">
        <f aca="false">+IF(E1546=0,0,E1546*0.03)</f>
        <v>0</v>
      </c>
      <c r="J1546" s="93"/>
      <c r="K1546" s="93"/>
      <c r="L1546" s="93"/>
      <c r="M1546" s="93"/>
      <c r="N1546" s="93"/>
      <c r="O1546" s="93"/>
      <c r="P1546" s="93"/>
      <c r="Q1546" s="93"/>
      <c r="R1546" s="93"/>
      <c r="S1546" s="93"/>
      <c r="T1546" s="93"/>
      <c r="U1546" s="93"/>
      <c r="V1546" s="93"/>
      <c r="W1546" s="93"/>
      <c r="X1546" s="93"/>
      <c r="Y1546" s="93"/>
      <c r="Z1546" s="93"/>
    </row>
    <row r="1547" customFormat="false" ht="16.4" hidden="false" customHeight="false" outlineLevel="0" collapsed="false">
      <c r="A1547" s="123" t="n">
        <v>45444</v>
      </c>
      <c r="B1547" s="31" t="s">
        <v>153</v>
      </c>
      <c r="C1547" s="129"/>
      <c r="D1547" s="129"/>
      <c r="E1547" s="19" t="n">
        <f aca="false">F1547*0.03</f>
        <v>0</v>
      </c>
      <c r="F1547" s="33" t="n">
        <v>0</v>
      </c>
      <c r="G1547" s="131"/>
      <c r="H1547" s="35" t="n">
        <v>0</v>
      </c>
      <c r="I1547" s="34" t="n">
        <f aca="false">+IF(E1547=0,0,E1547*0.03)</f>
        <v>0</v>
      </c>
      <c r="J1547" s="93"/>
      <c r="K1547" s="93"/>
      <c r="L1547" s="93"/>
      <c r="M1547" s="93"/>
      <c r="N1547" s="93"/>
      <c r="O1547" s="93"/>
      <c r="P1547" s="93"/>
      <c r="Q1547" s="93"/>
      <c r="R1547" s="93"/>
      <c r="S1547" s="93"/>
      <c r="T1547" s="93"/>
      <c r="U1547" s="93"/>
      <c r="V1547" s="93"/>
      <c r="W1547" s="93"/>
      <c r="X1547" s="93"/>
      <c r="Y1547" s="93"/>
      <c r="Z1547" s="93"/>
    </row>
    <row r="1548" customFormat="false" ht="16.4" hidden="false" customHeight="false" outlineLevel="0" collapsed="false">
      <c r="A1548" s="123" t="n">
        <v>45444</v>
      </c>
      <c r="B1548" s="31" t="s">
        <v>153</v>
      </c>
      <c r="C1548" s="129"/>
      <c r="D1548" s="129"/>
      <c r="E1548" s="19" t="n">
        <f aca="false">F1548*0.03</f>
        <v>0</v>
      </c>
      <c r="F1548" s="33" t="n">
        <v>0</v>
      </c>
      <c r="G1548" s="131"/>
      <c r="H1548" s="35" t="n">
        <v>0</v>
      </c>
      <c r="I1548" s="34" t="n">
        <f aca="false">+IF(E1548=0,0,E1548*0.03)</f>
        <v>0</v>
      </c>
      <c r="J1548" s="93"/>
      <c r="K1548" s="93"/>
      <c r="L1548" s="93"/>
      <c r="M1548" s="93"/>
      <c r="N1548" s="93"/>
      <c r="O1548" s="93"/>
      <c r="P1548" s="93"/>
      <c r="Q1548" s="93"/>
      <c r="R1548" s="93"/>
      <c r="S1548" s="93"/>
      <c r="T1548" s="93"/>
      <c r="U1548" s="93"/>
      <c r="V1548" s="93"/>
      <c r="W1548" s="93"/>
      <c r="X1548" s="93"/>
      <c r="Y1548" s="93"/>
      <c r="Z1548" s="93"/>
    </row>
    <row r="1549" customFormat="false" ht="16.4" hidden="false" customHeight="false" outlineLevel="0" collapsed="false">
      <c r="A1549" s="123" t="n">
        <v>45444</v>
      </c>
      <c r="B1549" s="31" t="s">
        <v>153</v>
      </c>
      <c r="C1549" s="129"/>
      <c r="D1549" s="129"/>
      <c r="E1549" s="19" t="n">
        <f aca="false">F1549*0.03</f>
        <v>0</v>
      </c>
      <c r="F1549" s="33" t="n">
        <v>0</v>
      </c>
      <c r="G1549" s="131"/>
      <c r="H1549" s="35" t="n">
        <v>0</v>
      </c>
      <c r="I1549" s="34" t="n">
        <f aca="false">+IF(E1549=0,0,E1549*0.03)</f>
        <v>0</v>
      </c>
      <c r="J1549" s="93"/>
      <c r="K1549" s="93"/>
      <c r="L1549" s="93"/>
      <c r="M1549" s="93"/>
      <c r="N1549" s="93"/>
      <c r="O1549" s="93"/>
      <c r="P1549" s="93"/>
      <c r="Q1549" s="93"/>
      <c r="R1549" s="93"/>
      <c r="S1549" s="93"/>
      <c r="T1549" s="93"/>
      <c r="U1549" s="93"/>
      <c r="V1549" s="93"/>
      <c r="W1549" s="93"/>
      <c r="X1549" s="93"/>
      <c r="Y1549" s="93"/>
      <c r="Z1549" s="93"/>
    </row>
    <row r="1550" customFormat="false" ht="16.4" hidden="false" customHeight="false" outlineLevel="0" collapsed="false">
      <c r="A1550" s="123" t="n">
        <v>45444</v>
      </c>
      <c r="B1550" s="31" t="s">
        <v>153</v>
      </c>
      <c r="C1550" s="129"/>
      <c r="D1550" s="129"/>
      <c r="E1550" s="19" t="n">
        <f aca="false">F1550*0.03</f>
        <v>0</v>
      </c>
      <c r="F1550" s="33" t="n">
        <v>0</v>
      </c>
      <c r="G1550" s="131"/>
      <c r="H1550" s="35" t="n">
        <v>0</v>
      </c>
      <c r="I1550" s="34" t="n">
        <f aca="false">+IF(E1550=0,0,E1550*0.03)</f>
        <v>0</v>
      </c>
      <c r="J1550" s="93"/>
      <c r="K1550" s="93"/>
      <c r="L1550" s="93"/>
      <c r="M1550" s="93"/>
      <c r="N1550" s="93"/>
      <c r="O1550" s="93"/>
      <c r="P1550" s="93"/>
      <c r="Q1550" s="93"/>
      <c r="R1550" s="93"/>
      <c r="S1550" s="93"/>
      <c r="T1550" s="93"/>
      <c r="U1550" s="93"/>
      <c r="V1550" s="93"/>
      <c r="W1550" s="93"/>
      <c r="X1550" s="93"/>
      <c r="Y1550" s="93"/>
      <c r="Z1550" s="93"/>
    </row>
    <row r="1551" customFormat="false" ht="16.4" hidden="false" customHeight="false" outlineLevel="0" collapsed="false">
      <c r="A1551" s="123" t="n">
        <v>45444</v>
      </c>
      <c r="B1551" s="31" t="s">
        <v>153</v>
      </c>
      <c r="C1551" s="129"/>
      <c r="D1551" s="129"/>
      <c r="E1551" s="19" t="n">
        <f aca="false">F1551*0.03</f>
        <v>0</v>
      </c>
      <c r="F1551" s="33" t="n">
        <v>0</v>
      </c>
      <c r="G1551" s="131"/>
      <c r="H1551" s="35" t="n">
        <v>0</v>
      </c>
      <c r="I1551" s="34" t="n">
        <f aca="false">+IF(E1551=0,0,E1551*0.03)</f>
        <v>0</v>
      </c>
      <c r="J1551" s="93"/>
      <c r="K1551" s="93"/>
      <c r="L1551" s="93"/>
      <c r="M1551" s="93"/>
      <c r="N1551" s="93"/>
      <c r="O1551" s="93"/>
      <c r="P1551" s="93"/>
      <c r="Q1551" s="93"/>
      <c r="R1551" s="93"/>
      <c r="S1551" s="93"/>
      <c r="T1551" s="93"/>
      <c r="U1551" s="93"/>
      <c r="V1551" s="93"/>
      <c r="W1551" s="93"/>
      <c r="X1551" s="93"/>
      <c r="Y1551" s="93"/>
      <c r="Z1551" s="93"/>
    </row>
    <row r="1552" customFormat="false" ht="16.4" hidden="false" customHeight="false" outlineLevel="0" collapsed="false">
      <c r="A1552" s="123" t="n">
        <v>45444</v>
      </c>
      <c r="B1552" s="31" t="s">
        <v>153</v>
      </c>
      <c r="C1552" s="129"/>
      <c r="D1552" s="129"/>
      <c r="E1552" s="19" t="n">
        <f aca="false">F1552*0.03</f>
        <v>0</v>
      </c>
      <c r="F1552" s="33" t="n">
        <v>0</v>
      </c>
      <c r="G1552" s="131"/>
      <c r="H1552" s="35" t="n">
        <v>0</v>
      </c>
      <c r="I1552" s="34" t="n">
        <f aca="false">+IF(E1552=0,0,E1552*0.03)</f>
        <v>0</v>
      </c>
      <c r="J1552" s="93"/>
      <c r="K1552" s="93"/>
      <c r="L1552" s="93"/>
      <c r="M1552" s="93"/>
      <c r="N1552" s="93"/>
      <c r="O1552" s="93"/>
      <c r="P1552" s="93"/>
      <c r="Q1552" s="93"/>
      <c r="R1552" s="93"/>
      <c r="S1552" s="93"/>
      <c r="T1552" s="93"/>
      <c r="U1552" s="93"/>
      <c r="V1552" s="93"/>
      <c r="W1552" s="93"/>
      <c r="X1552" s="93"/>
      <c r="Y1552" s="93"/>
      <c r="Z1552" s="93"/>
    </row>
    <row r="1553" customFormat="false" ht="16.4" hidden="false" customHeight="false" outlineLevel="0" collapsed="false">
      <c r="A1553" s="123" t="n">
        <v>45444</v>
      </c>
      <c r="B1553" s="31" t="s">
        <v>153</v>
      </c>
      <c r="C1553" s="129"/>
      <c r="D1553" s="129"/>
      <c r="E1553" s="19" t="n">
        <f aca="false">F1553*0.03</f>
        <v>0</v>
      </c>
      <c r="F1553" s="33" t="n">
        <v>0</v>
      </c>
      <c r="G1553" s="131"/>
      <c r="H1553" s="35" t="n">
        <v>0</v>
      </c>
      <c r="I1553" s="34" t="n">
        <f aca="false">+IF(E1553=0,0,E1553*0.03)</f>
        <v>0</v>
      </c>
      <c r="J1553" s="93"/>
      <c r="K1553" s="93"/>
      <c r="L1553" s="93"/>
      <c r="M1553" s="93"/>
      <c r="N1553" s="93"/>
      <c r="O1553" s="93"/>
      <c r="P1553" s="93"/>
      <c r="Q1553" s="93"/>
      <c r="R1553" s="93"/>
      <c r="S1553" s="93"/>
      <c r="T1553" s="93"/>
      <c r="U1553" s="93"/>
      <c r="V1553" s="93"/>
      <c r="W1553" s="93"/>
      <c r="X1553" s="93"/>
      <c r="Y1553" s="93"/>
      <c r="Z1553" s="93"/>
    </row>
    <row r="1554" customFormat="false" ht="16.4" hidden="false" customHeight="false" outlineLevel="0" collapsed="false">
      <c r="A1554" s="123" t="n">
        <v>45444</v>
      </c>
      <c r="B1554" s="31" t="s">
        <v>153</v>
      </c>
      <c r="C1554" s="129"/>
      <c r="D1554" s="129"/>
      <c r="E1554" s="19" t="n">
        <f aca="false">F1554*0.03</f>
        <v>0</v>
      </c>
      <c r="F1554" s="33" t="n">
        <v>0</v>
      </c>
      <c r="G1554" s="131"/>
      <c r="H1554" s="35" t="n">
        <v>0</v>
      </c>
      <c r="I1554" s="34" t="n">
        <f aca="false">+IF(E1554=0,0,E1554*0.03)</f>
        <v>0</v>
      </c>
      <c r="J1554" s="93"/>
      <c r="K1554" s="93"/>
      <c r="L1554" s="93"/>
      <c r="M1554" s="93"/>
      <c r="N1554" s="93"/>
      <c r="O1554" s="93"/>
      <c r="P1554" s="93"/>
      <c r="Q1554" s="93"/>
      <c r="R1554" s="93"/>
      <c r="S1554" s="93"/>
      <c r="T1554" s="93"/>
      <c r="U1554" s="93"/>
      <c r="V1554" s="93"/>
      <c r="W1554" s="93"/>
      <c r="X1554" s="93"/>
      <c r="Y1554" s="93"/>
      <c r="Z1554" s="93"/>
    </row>
    <row r="1555" customFormat="false" ht="16.4" hidden="false" customHeight="false" outlineLevel="0" collapsed="false">
      <c r="A1555" s="123" t="n">
        <v>45444</v>
      </c>
      <c r="B1555" s="31" t="s">
        <v>153</v>
      </c>
      <c r="C1555" s="129"/>
      <c r="D1555" s="129"/>
      <c r="E1555" s="19" t="n">
        <f aca="false">F1555*0.03</f>
        <v>0</v>
      </c>
      <c r="F1555" s="33" t="n">
        <v>0</v>
      </c>
      <c r="G1555" s="131"/>
      <c r="H1555" s="35" t="n">
        <v>0</v>
      </c>
      <c r="I1555" s="34" t="n">
        <f aca="false">+IF(E1555=0,0,E1555*0.03)</f>
        <v>0</v>
      </c>
      <c r="J1555" s="93"/>
      <c r="K1555" s="93"/>
      <c r="L1555" s="93"/>
      <c r="M1555" s="93"/>
      <c r="N1555" s="93"/>
      <c r="O1555" s="93"/>
      <c r="P1555" s="93"/>
      <c r="Q1555" s="93"/>
      <c r="R1555" s="93"/>
      <c r="S1555" s="93"/>
      <c r="T1555" s="93"/>
      <c r="U1555" s="93"/>
      <c r="V1555" s="93"/>
      <c r="W1555" s="93"/>
      <c r="X1555" s="93"/>
      <c r="Y1555" s="93"/>
      <c r="Z1555" s="93"/>
    </row>
    <row r="1556" customFormat="false" ht="16.4" hidden="false" customHeight="false" outlineLevel="0" collapsed="false">
      <c r="A1556" s="123" t="n">
        <v>45444</v>
      </c>
      <c r="B1556" s="31" t="s">
        <v>153</v>
      </c>
      <c r="C1556" s="129"/>
      <c r="D1556" s="129"/>
      <c r="E1556" s="19" t="n">
        <f aca="false">F1556*0.03</f>
        <v>0</v>
      </c>
      <c r="F1556" s="33" t="n">
        <v>0</v>
      </c>
      <c r="G1556" s="131"/>
      <c r="H1556" s="35" t="n">
        <v>0</v>
      </c>
      <c r="I1556" s="34" t="n">
        <f aca="false">+IF(E1556=0,0,E1556*0.03)</f>
        <v>0</v>
      </c>
      <c r="J1556" s="93"/>
      <c r="K1556" s="93"/>
      <c r="L1556" s="93"/>
      <c r="M1556" s="93"/>
      <c r="N1556" s="93"/>
      <c r="O1556" s="93"/>
      <c r="P1556" s="93"/>
      <c r="Q1556" s="93"/>
      <c r="R1556" s="93"/>
      <c r="S1556" s="93"/>
      <c r="T1556" s="93"/>
      <c r="U1556" s="93"/>
      <c r="V1556" s="93"/>
      <c r="W1556" s="93"/>
      <c r="X1556" s="93"/>
      <c r="Y1556" s="93"/>
      <c r="Z1556" s="93"/>
    </row>
    <row r="1557" customFormat="false" ht="16.4" hidden="false" customHeight="false" outlineLevel="0" collapsed="false">
      <c r="A1557" s="123" t="n">
        <v>45444</v>
      </c>
      <c r="B1557" s="31" t="s">
        <v>153</v>
      </c>
      <c r="C1557" s="129"/>
      <c r="D1557" s="129"/>
      <c r="E1557" s="19" t="n">
        <f aca="false">F1557*0.03</f>
        <v>0</v>
      </c>
      <c r="F1557" s="33" t="n">
        <v>0</v>
      </c>
      <c r="G1557" s="131"/>
      <c r="H1557" s="35" t="n">
        <v>0</v>
      </c>
      <c r="I1557" s="34" t="n">
        <f aca="false">+IF(E1557=0,0,E1557*0.03)</f>
        <v>0</v>
      </c>
      <c r="J1557" s="93"/>
      <c r="K1557" s="93"/>
      <c r="L1557" s="93"/>
      <c r="M1557" s="93"/>
      <c r="N1557" s="93"/>
      <c r="O1557" s="93"/>
      <c r="P1557" s="93"/>
      <c r="Q1557" s="93"/>
      <c r="R1557" s="93"/>
      <c r="S1557" s="93"/>
      <c r="T1557" s="93"/>
      <c r="U1557" s="93"/>
      <c r="V1557" s="93"/>
      <c r="W1557" s="93"/>
      <c r="X1557" s="93"/>
      <c r="Y1557" s="93"/>
      <c r="Z1557" s="93"/>
    </row>
    <row r="1558" customFormat="false" ht="16.4" hidden="false" customHeight="false" outlineLevel="0" collapsed="false">
      <c r="A1558" s="123" t="n">
        <v>45444</v>
      </c>
      <c r="B1558" s="31" t="s">
        <v>153</v>
      </c>
      <c r="C1558" s="129"/>
      <c r="D1558" s="129"/>
      <c r="E1558" s="19" t="n">
        <f aca="false">F1558*0.03</f>
        <v>0</v>
      </c>
      <c r="F1558" s="33" t="n">
        <v>0</v>
      </c>
      <c r="G1558" s="131"/>
      <c r="H1558" s="35" t="n">
        <v>0</v>
      </c>
      <c r="I1558" s="34" t="n">
        <f aca="false">+IF(E1558=0,0,E1558*0.03)</f>
        <v>0</v>
      </c>
      <c r="J1558" s="93"/>
      <c r="K1558" s="93"/>
      <c r="L1558" s="93"/>
      <c r="M1558" s="93"/>
      <c r="N1558" s="93"/>
      <c r="O1558" s="93"/>
      <c r="P1558" s="93"/>
      <c r="Q1558" s="93"/>
      <c r="R1558" s="93"/>
      <c r="S1558" s="93"/>
      <c r="T1558" s="93"/>
      <c r="U1558" s="93"/>
      <c r="V1558" s="93"/>
      <c r="W1558" s="93"/>
      <c r="X1558" s="93"/>
      <c r="Y1558" s="93"/>
      <c r="Z1558" s="93"/>
    </row>
    <row r="1559" customFormat="false" ht="16.4" hidden="false" customHeight="false" outlineLevel="0" collapsed="false">
      <c r="A1559" s="123" t="n">
        <v>45444</v>
      </c>
      <c r="B1559" s="31" t="s">
        <v>153</v>
      </c>
      <c r="C1559" s="129"/>
      <c r="D1559" s="129"/>
      <c r="E1559" s="19" t="n">
        <f aca="false">F1559*0.03</f>
        <v>0</v>
      </c>
      <c r="F1559" s="33" t="n">
        <v>0</v>
      </c>
      <c r="G1559" s="131"/>
      <c r="H1559" s="35" t="n">
        <v>0</v>
      </c>
      <c r="I1559" s="34" t="n">
        <f aca="false">+IF(E1559=0,0,E1559*0.03)</f>
        <v>0</v>
      </c>
      <c r="J1559" s="93"/>
      <c r="K1559" s="93"/>
      <c r="L1559" s="93"/>
      <c r="M1559" s="93"/>
      <c r="N1559" s="93"/>
      <c r="O1559" s="93"/>
      <c r="P1559" s="93"/>
      <c r="Q1559" s="93"/>
      <c r="R1559" s="93"/>
      <c r="S1559" s="93"/>
      <c r="T1559" s="93"/>
      <c r="U1559" s="93"/>
      <c r="V1559" s="93"/>
      <c r="W1559" s="93"/>
      <c r="X1559" s="93"/>
      <c r="Y1559" s="93"/>
      <c r="Z1559" s="93"/>
    </row>
    <row r="1560" customFormat="false" ht="16.4" hidden="false" customHeight="false" outlineLevel="0" collapsed="false">
      <c r="A1560" s="123" t="n">
        <v>45444</v>
      </c>
      <c r="B1560" s="31" t="s">
        <v>153</v>
      </c>
      <c r="C1560" s="129"/>
      <c r="D1560" s="129"/>
      <c r="E1560" s="19" t="n">
        <f aca="false">F1560*0.03</f>
        <v>0</v>
      </c>
      <c r="F1560" s="33" t="n">
        <v>0</v>
      </c>
      <c r="G1560" s="131"/>
      <c r="H1560" s="35" t="n">
        <v>0</v>
      </c>
      <c r="I1560" s="34" t="n">
        <f aca="false">+IF(E1560=0,0,E1560*0.03)</f>
        <v>0</v>
      </c>
      <c r="J1560" s="93"/>
      <c r="K1560" s="93"/>
      <c r="L1560" s="93"/>
      <c r="M1560" s="93"/>
      <c r="N1560" s="93"/>
      <c r="O1560" s="93"/>
      <c r="P1560" s="93"/>
      <c r="Q1560" s="93"/>
      <c r="R1560" s="93"/>
      <c r="S1560" s="93"/>
      <c r="T1560" s="93"/>
      <c r="U1560" s="93"/>
      <c r="V1560" s="93"/>
      <c r="W1560" s="93"/>
      <c r="X1560" s="93"/>
      <c r="Y1560" s="93"/>
      <c r="Z1560" s="93"/>
    </row>
    <row r="1561" customFormat="false" ht="16.4" hidden="false" customHeight="false" outlineLevel="0" collapsed="false">
      <c r="A1561" s="123" t="n">
        <v>45444</v>
      </c>
      <c r="B1561" s="31" t="s">
        <v>153</v>
      </c>
      <c r="C1561" s="129"/>
      <c r="D1561" s="129"/>
      <c r="E1561" s="19" t="n">
        <f aca="false">F1561*0.03</f>
        <v>0</v>
      </c>
      <c r="F1561" s="33" t="n">
        <v>0</v>
      </c>
      <c r="G1561" s="131"/>
      <c r="H1561" s="35" t="n">
        <v>0</v>
      </c>
      <c r="I1561" s="34" t="n">
        <f aca="false">+IF(E1561=0,0,E1561*0.03)</f>
        <v>0</v>
      </c>
      <c r="J1561" s="93"/>
      <c r="K1561" s="93"/>
      <c r="L1561" s="93"/>
      <c r="M1561" s="93"/>
      <c r="N1561" s="93"/>
      <c r="O1561" s="93"/>
      <c r="P1561" s="93"/>
      <c r="Q1561" s="93"/>
      <c r="R1561" s="93"/>
      <c r="S1561" s="93"/>
      <c r="T1561" s="93"/>
      <c r="U1561" s="93"/>
      <c r="V1561" s="93"/>
      <c r="W1561" s="93"/>
      <c r="X1561" s="93"/>
      <c r="Y1561" s="93"/>
      <c r="Z1561" s="93"/>
    </row>
    <row r="1562" customFormat="false" ht="16.4" hidden="false" customHeight="false" outlineLevel="0" collapsed="false">
      <c r="A1562" s="123" t="n">
        <v>45444</v>
      </c>
      <c r="B1562" s="31" t="s">
        <v>153</v>
      </c>
      <c r="C1562" s="129"/>
      <c r="D1562" s="129"/>
      <c r="E1562" s="19" t="n">
        <f aca="false">F1562*0.03</f>
        <v>0</v>
      </c>
      <c r="F1562" s="33" t="n">
        <v>0</v>
      </c>
      <c r="G1562" s="131"/>
      <c r="H1562" s="35" t="n">
        <v>0</v>
      </c>
      <c r="I1562" s="34" t="n">
        <f aca="false">+IF(E1562=0,0,E1562*0.03)</f>
        <v>0</v>
      </c>
      <c r="J1562" s="93"/>
      <c r="K1562" s="93"/>
      <c r="L1562" s="93"/>
      <c r="M1562" s="93"/>
      <c r="N1562" s="93"/>
      <c r="O1562" s="93"/>
      <c r="P1562" s="93"/>
      <c r="Q1562" s="93"/>
      <c r="R1562" s="93"/>
      <c r="S1562" s="93"/>
      <c r="T1562" s="93"/>
      <c r="U1562" s="93"/>
      <c r="V1562" s="93"/>
      <c r="W1562" s="93"/>
      <c r="X1562" s="93"/>
      <c r="Y1562" s="93"/>
      <c r="Z1562" s="93"/>
    </row>
    <row r="1563" customFormat="false" ht="16.4" hidden="false" customHeight="false" outlineLevel="0" collapsed="false">
      <c r="A1563" s="123" t="n">
        <v>45444</v>
      </c>
      <c r="B1563" s="31" t="s">
        <v>153</v>
      </c>
      <c r="C1563" s="129"/>
      <c r="D1563" s="129"/>
      <c r="E1563" s="19" t="n">
        <f aca="false">F1563*0.03</f>
        <v>0</v>
      </c>
      <c r="F1563" s="33" t="n">
        <v>0</v>
      </c>
      <c r="G1563" s="131"/>
      <c r="H1563" s="35" t="n">
        <v>0</v>
      </c>
      <c r="I1563" s="34" t="n">
        <f aca="false">+IF(E1563=0,0,E1563*0.03)</f>
        <v>0</v>
      </c>
      <c r="J1563" s="93"/>
      <c r="K1563" s="93"/>
      <c r="L1563" s="93"/>
      <c r="M1563" s="93"/>
      <c r="N1563" s="93"/>
      <c r="O1563" s="93"/>
      <c r="P1563" s="93"/>
      <c r="Q1563" s="93"/>
      <c r="R1563" s="93"/>
      <c r="S1563" s="93"/>
      <c r="T1563" s="93"/>
      <c r="U1563" s="93"/>
      <c r="V1563" s="93"/>
      <c r="W1563" s="93"/>
      <c r="X1563" s="93"/>
      <c r="Y1563" s="93"/>
      <c r="Z1563" s="93"/>
    </row>
    <row r="1564" customFormat="false" ht="16.4" hidden="false" customHeight="false" outlineLevel="0" collapsed="false">
      <c r="A1564" s="123" t="n">
        <v>45444</v>
      </c>
      <c r="B1564" s="31" t="s">
        <v>153</v>
      </c>
      <c r="C1564" s="129"/>
      <c r="D1564" s="129"/>
      <c r="E1564" s="19" t="n">
        <f aca="false">F1564*0.03</f>
        <v>0</v>
      </c>
      <c r="F1564" s="33" t="n">
        <v>0</v>
      </c>
      <c r="G1564" s="131"/>
      <c r="H1564" s="35" t="n">
        <v>0</v>
      </c>
      <c r="I1564" s="34" t="n">
        <f aca="false">+IF(E1564=0,0,E1564*0.03)</f>
        <v>0</v>
      </c>
      <c r="J1564" s="93"/>
      <c r="K1564" s="93"/>
      <c r="L1564" s="93"/>
      <c r="M1564" s="93"/>
      <c r="N1564" s="93"/>
      <c r="O1564" s="93"/>
      <c r="P1564" s="93"/>
      <c r="Q1564" s="93"/>
      <c r="R1564" s="93"/>
      <c r="S1564" s="93"/>
      <c r="T1564" s="93"/>
      <c r="U1564" s="93"/>
      <c r="V1564" s="93"/>
      <c r="W1564" s="93"/>
      <c r="X1564" s="93"/>
      <c r="Y1564" s="93"/>
      <c r="Z1564" s="93"/>
    </row>
    <row r="1565" customFormat="false" ht="16.4" hidden="false" customHeight="false" outlineLevel="0" collapsed="false">
      <c r="A1565" s="123" t="n">
        <v>45444</v>
      </c>
      <c r="B1565" s="31" t="s">
        <v>153</v>
      </c>
      <c r="C1565" s="129"/>
      <c r="D1565" s="129"/>
      <c r="E1565" s="19" t="n">
        <f aca="false">F1565*0.03</f>
        <v>0</v>
      </c>
      <c r="F1565" s="33" t="n">
        <v>0</v>
      </c>
      <c r="G1565" s="131"/>
      <c r="H1565" s="35" t="n">
        <v>0</v>
      </c>
      <c r="I1565" s="34" t="n">
        <f aca="false">+IF(E1565=0,0,E1565*0.03)</f>
        <v>0</v>
      </c>
      <c r="J1565" s="93"/>
      <c r="K1565" s="93"/>
      <c r="L1565" s="93"/>
      <c r="M1565" s="93"/>
      <c r="N1565" s="93"/>
      <c r="O1565" s="93"/>
      <c r="P1565" s="93"/>
      <c r="Q1565" s="93"/>
      <c r="R1565" s="93"/>
      <c r="S1565" s="93"/>
      <c r="T1565" s="93"/>
      <c r="U1565" s="93"/>
      <c r="V1565" s="93"/>
      <c r="W1565" s="93"/>
      <c r="X1565" s="93"/>
      <c r="Y1565" s="93"/>
      <c r="Z1565" s="93"/>
    </row>
    <row r="1566" customFormat="false" ht="16.4" hidden="false" customHeight="false" outlineLevel="0" collapsed="false">
      <c r="A1566" s="123" t="n">
        <v>45444</v>
      </c>
      <c r="B1566" s="31" t="s">
        <v>153</v>
      </c>
      <c r="C1566" s="129"/>
      <c r="D1566" s="129"/>
      <c r="E1566" s="19" t="n">
        <f aca="false">F1566*0.03</f>
        <v>0</v>
      </c>
      <c r="F1566" s="33" t="n">
        <v>0</v>
      </c>
      <c r="G1566" s="131"/>
      <c r="H1566" s="35" t="n">
        <v>0</v>
      </c>
      <c r="I1566" s="34" t="n">
        <f aca="false">+IF(E1566=0,0,E1566*0.03)</f>
        <v>0</v>
      </c>
      <c r="J1566" s="93"/>
      <c r="K1566" s="93"/>
      <c r="L1566" s="93"/>
      <c r="M1566" s="93"/>
      <c r="N1566" s="93"/>
      <c r="O1566" s="93"/>
      <c r="P1566" s="93"/>
      <c r="Q1566" s="93"/>
      <c r="R1566" s="93"/>
      <c r="S1566" s="93"/>
      <c r="T1566" s="93"/>
      <c r="U1566" s="93"/>
      <c r="V1566" s="93"/>
      <c r="W1566" s="93"/>
      <c r="X1566" s="93"/>
      <c r="Y1566" s="93"/>
      <c r="Z1566" s="93"/>
    </row>
    <row r="1567" customFormat="false" ht="16.4" hidden="false" customHeight="false" outlineLevel="0" collapsed="false">
      <c r="A1567" s="123" t="n">
        <v>45444</v>
      </c>
      <c r="B1567" s="31" t="s">
        <v>153</v>
      </c>
      <c r="C1567" s="129"/>
      <c r="D1567" s="129"/>
      <c r="E1567" s="19" t="n">
        <f aca="false">F1567*0.03</f>
        <v>0</v>
      </c>
      <c r="F1567" s="33" t="n">
        <v>0</v>
      </c>
      <c r="G1567" s="131"/>
      <c r="H1567" s="35" t="n">
        <v>0</v>
      </c>
      <c r="I1567" s="34" t="n">
        <f aca="false">+IF(E1567=0,0,E1567*0.03)</f>
        <v>0</v>
      </c>
      <c r="J1567" s="93"/>
      <c r="K1567" s="93"/>
      <c r="L1567" s="93"/>
      <c r="M1567" s="93"/>
      <c r="N1567" s="93"/>
      <c r="O1567" s="93"/>
      <c r="P1567" s="93"/>
      <c r="Q1567" s="93"/>
      <c r="R1567" s="93"/>
      <c r="S1567" s="93"/>
      <c r="T1567" s="93"/>
      <c r="U1567" s="93"/>
      <c r="V1567" s="93"/>
      <c r="W1567" s="93"/>
      <c r="X1567" s="93"/>
      <c r="Y1567" s="93"/>
      <c r="Z1567" s="93"/>
    </row>
    <row r="1568" customFormat="false" ht="16.4" hidden="false" customHeight="false" outlineLevel="0" collapsed="false">
      <c r="A1568" s="123" t="n">
        <v>45444</v>
      </c>
      <c r="B1568" s="31" t="s">
        <v>153</v>
      </c>
      <c r="C1568" s="129"/>
      <c r="D1568" s="129"/>
      <c r="E1568" s="19" t="n">
        <f aca="false">F1568*0.03</f>
        <v>0</v>
      </c>
      <c r="F1568" s="33" t="n">
        <v>0</v>
      </c>
      <c r="G1568" s="131"/>
      <c r="H1568" s="35" t="n">
        <v>0</v>
      </c>
      <c r="I1568" s="34" t="n">
        <f aca="false">+IF(E1568=0,0,E1568*0.03)</f>
        <v>0</v>
      </c>
      <c r="J1568" s="93"/>
      <c r="K1568" s="93"/>
      <c r="L1568" s="93"/>
      <c r="M1568" s="93"/>
      <c r="N1568" s="93"/>
      <c r="O1568" s="93"/>
      <c r="P1568" s="93"/>
      <c r="Q1568" s="93"/>
      <c r="R1568" s="93"/>
      <c r="S1568" s="93"/>
      <c r="T1568" s="93"/>
      <c r="U1568" s="93"/>
      <c r="V1568" s="93"/>
      <c r="W1568" s="93"/>
      <c r="X1568" s="93"/>
      <c r="Y1568" s="93"/>
      <c r="Z1568" s="93"/>
    </row>
    <row r="1569" customFormat="false" ht="16.4" hidden="false" customHeight="false" outlineLevel="0" collapsed="false">
      <c r="A1569" s="123" t="n">
        <v>45444</v>
      </c>
      <c r="B1569" s="31" t="s">
        <v>153</v>
      </c>
      <c r="C1569" s="129"/>
      <c r="D1569" s="129"/>
      <c r="E1569" s="19" t="n">
        <f aca="false">F1569*0.03</f>
        <v>0</v>
      </c>
      <c r="F1569" s="33" t="n">
        <v>0</v>
      </c>
      <c r="G1569" s="131"/>
      <c r="H1569" s="35" t="n">
        <v>0</v>
      </c>
      <c r="I1569" s="34" t="n">
        <f aca="false">+IF(E1569=0,0,E1569*0.03)</f>
        <v>0</v>
      </c>
      <c r="J1569" s="93"/>
      <c r="K1569" s="93"/>
      <c r="L1569" s="93"/>
      <c r="M1569" s="93"/>
      <c r="N1569" s="93"/>
      <c r="O1569" s="93"/>
      <c r="P1569" s="93"/>
      <c r="Q1569" s="93"/>
      <c r="R1569" s="93"/>
      <c r="S1569" s="93"/>
      <c r="T1569" s="93"/>
      <c r="U1569" s="93"/>
      <c r="V1569" s="93"/>
      <c r="W1569" s="93"/>
      <c r="X1569" s="93"/>
      <c r="Y1569" s="93"/>
      <c r="Z1569" s="93"/>
    </row>
    <row r="1570" customFormat="false" ht="16.4" hidden="false" customHeight="false" outlineLevel="0" collapsed="false">
      <c r="A1570" s="123" t="n">
        <v>45444</v>
      </c>
      <c r="B1570" s="31" t="s">
        <v>153</v>
      </c>
      <c r="C1570" s="129"/>
      <c r="D1570" s="129"/>
      <c r="E1570" s="19" t="n">
        <f aca="false">F1570*0.03</f>
        <v>0</v>
      </c>
      <c r="F1570" s="33" t="n">
        <v>0</v>
      </c>
      <c r="G1570" s="131"/>
      <c r="H1570" s="35" t="n">
        <v>0</v>
      </c>
      <c r="I1570" s="34" t="n">
        <f aca="false">+IF(E1570=0,0,E1570*0.03)</f>
        <v>0</v>
      </c>
      <c r="J1570" s="93"/>
      <c r="K1570" s="93"/>
      <c r="L1570" s="93"/>
      <c r="M1570" s="93"/>
      <c r="N1570" s="93"/>
      <c r="O1570" s="93"/>
      <c r="P1570" s="93"/>
      <c r="Q1570" s="93"/>
      <c r="R1570" s="93"/>
      <c r="S1570" s="93"/>
      <c r="T1570" s="93"/>
      <c r="U1570" s="93"/>
      <c r="V1570" s="93"/>
      <c r="W1570" s="93"/>
      <c r="X1570" s="93"/>
      <c r="Y1570" s="93"/>
      <c r="Z1570" s="93"/>
    </row>
    <row r="1571" customFormat="false" ht="16.4" hidden="false" customHeight="false" outlineLevel="0" collapsed="false">
      <c r="A1571" s="123" t="n">
        <v>45444</v>
      </c>
      <c r="B1571" s="31" t="s">
        <v>153</v>
      </c>
      <c r="C1571" s="129"/>
      <c r="D1571" s="129"/>
      <c r="E1571" s="19" t="n">
        <f aca="false">F1571*0.03</f>
        <v>0</v>
      </c>
      <c r="F1571" s="33" t="n">
        <v>0</v>
      </c>
      <c r="G1571" s="131"/>
      <c r="H1571" s="35" t="n">
        <v>0</v>
      </c>
      <c r="I1571" s="34" t="n">
        <f aca="false">+IF(E1571=0,0,E1571*0.03)</f>
        <v>0</v>
      </c>
      <c r="J1571" s="93"/>
      <c r="K1571" s="93"/>
      <c r="L1571" s="93"/>
      <c r="M1571" s="93"/>
      <c r="N1571" s="93"/>
      <c r="O1571" s="93"/>
      <c r="P1571" s="93"/>
      <c r="Q1571" s="93"/>
      <c r="R1571" s="93"/>
      <c r="S1571" s="93"/>
      <c r="T1571" s="93"/>
      <c r="U1571" s="93"/>
      <c r="V1571" s="93"/>
      <c r="W1571" s="93"/>
      <c r="X1571" s="93"/>
      <c r="Y1571" s="93"/>
      <c r="Z1571" s="93"/>
    </row>
    <row r="1572" customFormat="false" ht="16.4" hidden="false" customHeight="false" outlineLevel="0" collapsed="false">
      <c r="A1572" s="123" t="n">
        <v>45444</v>
      </c>
      <c r="B1572" s="31" t="s">
        <v>153</v>
      </c>
      <c r="C1572" s="129"/>
      <c r="D1572" s="129"/>
      <c r="E1572" s="19" t="n">
        <f aca="false">F1572*0.03</f>
        <v>0</v>
      </c>
      <c r="F1572" s="33" t="n">
        <v>0</v>
      </c>
      <c r="G1572" s="131"/>
      <c r="H1572" s="35" t="n">
        <v>0</v>
      </c>
      <c r="I1572" s="34" t="n">
        <f aca="false">+IF(E1572=0,0,E1572*0.03)</f>
        <v>0</v>
      </c>
      <c r="J1572" s="93"/>
      <c r="K1572" s="93"/>
      <c r="L1572" s="93"/>
      <c r="M1572" s="93"/>
      <c r="N1572" s="93"/>
      <c r="O1572" s="93"/>
      <c r="P1572" s="93"/>
      <c r="Q1572" s="93"/>
      <c r="R1572" s="93"/>
      <c r="S1572" s="93"/>
      <c r="T1572" s="93"/>
      <c r="U1572" s="93"/>
      <c r="V1572" s="93"/>
      <c r="W1572" s="93"/>
      <c r="X1572" s="93"/>
      <c r="Y1572" s="93"/>
      <c r="Z1572" s="93"/>
    </row>
    <row r="1573" customFormat="false" ht="16.4" hidden="false" customHeight="false" outlineLevel="0" collapsed="false">
      <c r="A1573" s="123" t="n">
        <v>45444</v>
      </c>
      <c r="B1573" s="31" t="s">
        <v>153</v>
      </c>
      <c r="C1573" s="129"/>
      <c r="D1573" s="129"/>
      <c r="E1573" s="19" t="n">
        <f aca="false">F1573*0.03</f>
        <v>0</v>
      </c>
      <c r="F1573" s="33" t="n">
        <v>0</v>
      </c>
      <c r="G1573" s="131"/>
      <c r="H1573" s="35" t="n">
        <v>0</v>
      </c>
      <c r="I1573" s="34" t="n">
        <f aca="false">+IF(E1573=0,0,E1573*0.03)</f>
        <v>0</v>
      </c>
      <c r="J1573" s="93"/>
      <c r="K1573" s="93"/>
      <c r="L1573" s="93"/>
      <c r="M1573" s="93"/>
      <c r="N1573" s="93"/>
      <c r="O1573" s="93"/>
      <c r="P1573" s="93"/>
      <c r="Q1573" s="93"/>
      <c r="R1573" s="93"/>
      <c r="S1573" s="93"/>
      <c r="T1573" s="93"/>
      <c r="U1573" s="93"/>
      <c r="V1573" s="93"/>
      <c r="W1573" s="93"/>
      <c r="X1573" s="93"/>
      <c r="Y1573" s="93"/>
      <c r="Z1573" s="93"/>
    </row>
    <row r="1574" customFormat="false" ht="16.4" hidden="false" customHeight="false" outlineLevel="0" collapsed="false">
      <c r="A1574" s="123" t="n">
        <v>45444</v>
      </c>
      <c r="B1574" s="31" t="s">
        <v>153</v>
      </c>
      <c r="C1574" s="129"/>
      <c r="D1574" s="129"/>
      <c r="E1574" s="19" t="n">
        <f aca="false">F1574*0.03</f>
        <v>0</v>
      </c>
      <c r="F1574" s="33" t="n">
        <v>0</v>
      </c>
      <c r="G1574" s="131"/>
      <c r="H1574" s="35" t="n">
        <v>0</v>
      </c>
      <c r="I1574" s="34" t="n">
        <f aca="false">+IF(E1574=0,0,E1574*0.03)</f>
        <v>0</v>
      </c>
      <c r="J1574" s="93"/>
      <c r="K1574" s="93"/>
      <c r="L1574" s="93"/>
      <c r="M1574" s="93"/>
      <c r="N1574" s="93"/>
      <c r="O1574" s="93"/>
      <c r="P1574" s="93"/>
      <c r="Q1574" s="93"/>
      <c r="R1574" s="93"/>
      <c r="S1574" s="93"/>
      <c r="T1574" s="93"/>
      <c r="U1574" s="93"/>
      <c r="V1574" s="93"/>
      <c r="W1574" s="93"/>
      <c r="X1574" s="93"/>
      <c r="Y1574" s="93"/>
      <c r="Z1574" s="93"/>
    </row>
    <row r="1575" customFormat="false" ht="16.4" hidden="false" customHeight="false" outlineLevel="0" collapsed="false">
      <c r="A1575" s="123" t="n">
        <v>45444</v>
      </c>
      <c r="B1575" s="31" t="s">
        <v>153</v>
      </c>
      <c r="C1575" s="129"/>
      <c r="D1575" s="129"/>
      <c r="E1575" s="19" t="n">
        <f aca="false">F1575*0.03</f>
        <v>0</v>
      </c>
      <c r="F1575" s="33" t="n">
        <v>0</v>
      </c>
      <c r="G1575" s="131"/>
      <c r="H1575" s="35" t="n">
        <v>0</v>
      </c>
      <c r="I1575" s="34" t="n">
        <f aca="false">+IF(E1575=0,0,E1575*0.03)</f>
        <v>0</v>
      </c>
      <c r="J1575" s="93"/>
      <c r="K1575" s="93"/>
      <c r="L1575" s="93"/>
      <c r="M1575" s="93"/>
      <c r="N1575" s="93"/>
      <c r="O1575" s="93"/>
      <c r="P1575" s="93"/>
      <c r="Q1575" s="93"/>
      <c r="R1575" s="93"/>
      <c r="S1575" s="93"/>
      <c r="T1575" s="93"/>
      <c r="U1575" s="93"/>
      <c r="V1575" s="93"/>
      <c r="W1575" s="93"/>
      <c r="X1575" s="93"/>
      <c r="Y1575" s="93"/>
      <c r="Z1575" s="93"/>
    </row>
    <row r="1576" customFormat="false" ht="16.4" hidden="false" customHeight="false" outlineLevel="0" collapsed="false">
      <c r="A1576" s="123" t="n">
        <v>45444</v>
      </c>
      <c r="B1576" s="31" t="s">
        <v>153</v>
      </c>
      <c r="C1576" s="129"/>
      <c r="D1576" s="129"/>
      <c r="E1576" s="19" t="n">
        <f aca="false">F1576*0.03</f>
        <v>0</v>
      </c>
      <c r="F1576" s="33" t="n">
        <v>0</v>
      </c>
      <c r="G1576" s="131"/>
      <c r="H1576" s="35" t="n">
        <v>0</v>
      </c>
      <c r="I1576" s="34" t="n">
        <f aca="false">+IF(E1576=0,0,E1576*0.03)</f>
        <v>0</v>
      </c>
      <c r="J1576" s="93"/>
      <c r="K1576" s="93"/>
      <c r="L1576" s="93"/>
      <c r="M1576" s="93"/>
      <c r="N1576" s="93"/>
      <c r="O1576" s="93"/>
      <c r="P1576" s="93"/>
      <c r="Q1576" s="93"/>
      <c r="R1576" s="93"/>
      <c r="S1576" s="93"/>
      <c r="T1576" s="93"/>
      <c r="U1576" s="93"/>
      <c r="V1576" s="93"/>
      <c r="W1576" s="93"/>
      <c r="X1576" s="93"/>
      <c r="Y1576" s="93"/>
      <c r="Z1576" s="93"/>
    </row>
    <row r="1577" customFormat="false" ht="16.4" hidden="false" customHeight="false" outlineLevel="0" collapsed="false">
      <c r="A1577" s="123" t="n">
        <v>45444</v>
      </c>
      <c r="B1577" s="31" t="s">
        <v>153</v>
      </c>
      <c r="C1577" s="129"/>
      <c r="D1577" s="129"/>
      <c r="E1577" s="19" t="n">
        <f aca="false">F1577*0.03</f>
        <v>0</v>
      </c>
      <c r="F1577" s="33" t="n">
        <v>0</v>
      </c>
      <c r="G1577" s="131"/>
      <c r="H1577" s="35" t="n">
        <v>0</v>
      </c>
      <c r="I1577" s="34" t="n">
        <f aca="false">+IF(E1577=0,0,E1577*0.03)</f>
        <v>0</v>
      </c>
      <c r="J1577" s="93"/>
      <c r="K1577" s="93"/>
      <c r="L1577" s="93"/>
      <c r="M1577" s="93"/>
      <c r="N1577" s="93"/>
      <c r="O1577" s="93"/>
      <c r="P1577" s="93"/>
      <c r="Q1577" s="93"/>
      <c r="R1577" s="93"/>
      <c r="S1577" s="93"/>
      <c r="T1577" s="93"/>
      <c r="U1577" s="93"/>
      <c r="V1577" s="93"/>
      <c r="W1577" s="93"/>
      <c r="X1577" s="93"/>
      <c r="Y1577" s="93"/>
      <c r="Z1577" s="93"/>
    </row>
    <row r="1578" customFormat="false" ht="16.4" hidden="false" customHeight="false" outlineLevel="0" collapsed="false">
      <c r="A1578" s="123" t="n">
        <v>45444</v>
      </c>
      <c r="B1578" s="31" t="s">
        <v>153</v>
      </c>
      <c r="C1578" s="129"/>
      <c r="D1578" s="129"/>
      <c r="E1578" s="19" t="n">
        <f aca="false">F1578*0.03</f>
        <v>0</v>
      </c>
      <c r="F1578" s="33" t="n">
        <v>0</v>
      </c>
      <c r="G1578" s="131"/>
      <c r="H1578" s="35" t="n">
        <v>0</v>
      </c>
      <c r="I1578" s="34" t="n">
        <f aca="false">+IF(E1578=0,0,E1578*0.03)</f>
        <v>0</v>
      </c>
      <c r="J1578" s="93"/>
      <c r="K1578" s="93"/>
      <c r="L1578" s="93"/>
      <c r="M1578" s="93"/>
      <c r="N1578" s="93"/>
      <c r="O1578" s="93"/>
      <c r="P1578" s="93"/>
      <c r="Q1578" s="93"/>
      <c r="R1578" s="93"/>
      <c r="S1578" s="93"/>
      <c r="T1578" s="93"/>
      <c r="U1578" s="93"/>
      <c r="V1578" s="93"/>
      <c r="W1578" s="93"/>
      <c r="X1578" s="93"/>
      <c r="Y1578" s="93"/>
      <c r="Z1578" s="93"/>
    </row>
    <row r="1579" customFormat="false" ht="16.4" hidden="false" customHeight="false" outlineLevel="0" collapsed="false">
      <c r="A1579" s="123" t="n">
        <v>45444</v>
      </c>
      <c r="B1579" s="31" t="s">
        <v>153</v>
      </c>
      <c r="C1579" s="129"/>
      <c r="D1579" s="129"/>
      <c r="E1579" s="19" t="n">
        <f aca="false">F1579*0.03</f>
        <v>0</v>
      </c>
      <c r="F1579" s="33" t="n">
        <v>0</v>
      </c>
      <c r="G1579" s="131"/>
      <c r="H1579" s="35" t="n">
        <v>0</v>
      </c>
      <c r="I1579" s="34" t="n">
        <f aca="false">+IF(E1579=0,0,E1579*0.03)</f>
        <v>0</v>
      </c>
      <c r="J1579" s="93"/>
      <c r="K1579" s="93"/>
      <c r="L1579" s="93"/>
      <c r="M1579" s="93"/>
      <c r="N1579" s="93"/>
      <c r="O1579" s="93"/>
      <c r="P1579" s="93"/>
      <c r="Q1579" s="93"/>
      <c r="R1579" s="93"/>
      <c r="S1579" s="93"/>
      <c r="T1579" s="93"/>
      <c r="U1579" s="93"/>
      <c r="V1579" s="93"/>
      <c r="W1579" s="93"/>
      <c r="X1579" s="93"/>
      <c r="Y1579" s="93"/>
      <c r="Z1579" s="93"/>
    </row>
    <row r="1580" customFormat="false" ht="16.4" hidden="false" customHeight="false" outlineLevel="0" collapsed="false">
      <c r="A1580" s="123" t="n">
        <v>45444</v>
      </c>
      <c r="B1580" s="31" t="s">
        <v>153</v>
      </c>
      <c r="C1580" s="129"/>
      <c r="D1580" s="129"/>
      <c r="E1580" s="19" t="n">
        <f aca="false">F1580*0.03</f>
        <v>0</v>
      </c>
      <c r="F1580" s="33" t="n">
        <v>0</v>
      </c>
      <c r="G1580" s="131"/>
      <c r="H1580" s="35" t="n">
        <v>0</v>
      </c>
      <c r="I1580" s="34" t="n">
        <f aca="false">+IF(E1580=0,0,E1580*0.03)</f>
        <v>0</v>
      </c>
      <c r="J1580" s="93"/>
      <c r="K1580" s="93"/>
      <c r="L1580" s="93"/>
      <c r="M1580" s="93"/>
      <c r="N1580" s="93"/>
      <c r="O1580" s="93"/>
      <c r="P1580" s="93"/>
      <c r="Q1580" s="93"/>
      <c r="R1580" s="93"/>
      <c r="S1580" s="93"/>
      <c r="T1580" s="93"/>
      <c r="U1580" s="93"/>
      <c r="V1580" s="93"/>
      <c r="W1580" s="93"/>
      <c r="X1580" s="93"/>
      <c r="Y1580" s="93"/>
      <c r="Z1580" s="93"/>
    </row>
    <row r="1581" customFormat="false" ht="16.4" hidden="false" customHeight="false" outlineLevel="0" collapsed="false">
      <c r="A1581" s="123" t="n">
        <v>45444</v>
      </c>
      <c r="B1581" s="31" t="s">
        <v>153</v>
      </c>
      <c r="C1581" s="129"/>
      <c r="D1581" s="129"/>
      <c r="E1581" s="19" t="n">
        <f aca="false">F1581*0.03</f>
        <v>0</v>
      </c>
      <c r="F1581" s="33" t="n">
        <v>0</v>
      </c>
      <c r="G1581" s="131"/>
      <c r="H1581" s="35" t="n">
        <v>0</v>
      </c>
      <c r="I1581" s="34" t="n">
        <f aca="false">+IF(E1581=0,0,E1581*0.03)</f>
        <v>0</v>
      </c>
      <c r="J1581" s="93"/>
      <c r="K1581" s="93"/>
      <c r="L1581" s="93"/>
      <c r="M1581" s="93"/>
      <c r="N1581" s="93"/>
      <c r="O1581" s="93"/>
      <c r="P1581" s="93"/>
      <c r="Q1581" s="93"/>
      <c r="R1581" s="93"/>
      <c r="S1581" s="93"/>
      <c r="T1581" s="93"/>
      <c r="U1581" s="93"/>
      <c r="V1581" s="93"/>
      <c r="W1581" s="93"/>
      <c r="X1581" s="93"/>
      <c r="Y1581" s="93"/>
      <c r="Z1581" s="93"/>
    </row>
    <row r="1582" customFormat="false" ht="16.4" hidden="false" customHeight="false" outlineLevel="0" collapsed="false">
      <c r="A1582" s="123" t="n">
        <v>45444</v>
      </c>
      <c r="B1582" s="31" t="s">
        <v>153</v>
      </c>
      <c r="C1582" s="129"/>
      <c r="D1582" s="129"/>
      <c r="E1582" s="19" t="n">
        <f aca="false">F1582*0.03</f>
        <v>0</v>
      </c>
      <c r="F1582" s="33" t="n">
        <v>0</v>
      </c>
      <c r="G1582" s="131"/>
      <c r="H1582" s="35" t="n">
        <v>0</v>
      </c>
      <c r="I1582" s="34" t="n">
        <f aca="false">+IF(E1582=0,0,E1582*0.03)</f>
        <v>0</v>
      </c>
      <c r="J1582" s="93"/>
      <c r="K1582" s="93"/>
      <c r="L1582" s="93"/>
      <c r="M1582" s="93"/>
      <c r="N1582" s="93"/>
      <c r="O1582" s="93"/>
      <c r="P1582" s="93"/>
      <c r="Q1582" s="93"/>
      <c r="R1582" s="93"/>
      <c r="S1582" s="93"/>
      <c r="T1582" s="93"/>
      <c r="U1582" s="93"/>
      <c r="V1582" s="93"/>
      <c r="W1582" s="93"/>
      <c r="X1582" s="93"/>
      <c r="Y1582" s="93"/>
      <c r="Z1582" s="93"/>
    </row>
    <row r="1583" customFormat="false" ht="16.4" hidden="false" customHeight="false" outlineLevel="0" collapsed="false">
      <c r="A1583" s="123" t="n">
        <v>45444</v>
      </c>
      <c r="B1583" s="31" t="s">
        <v>153</v>
      </c>
      <c r="C1583" s="129"/>
      <c r="D1583" s="129"/>
      <c r="E1583" s="19" t="n">
        <f aca="false">F1583*0.03</f>
        <v>0</v>
      </c>
      <c r="F1583" s="33" t="n">
        <v>0</v>
      </c>
      <c r="G1583" s="131"/>
      <c r="H1583" s="35" t="n">
        <v>0</v>
      </c>
      <c r="I1583" s="34" t="n">
        <f aca="false">+IF(E1583=0,0,E1583*0.03)</f>
        <v>0</v>
      </c>
      <c r="J1583" s="93"/>
      <c r="K1583" s="93"/>
      <c r="L1583" s="93"/>
      <c r="M1583" s="93"/>
      <c r="N1583" s="93"/>
      <c r="O1583" s="93"/>
      <c r="P1583" s="93"/>
      <c r="Q1583" s="93"/>
      <c r="R1583" s="93"/>
      <c r="S1583" s="93"/>
      <c r="T1583" s="93"/>
      <c r="U1583" s="93"/>
      <c r="V1583" s="93"/>
      <c r="W1583" s="93"/>
      <c r="X1583" s="93"/>
      <c r="Y1583" s="93"/>
      <c r="Z1583" s="93"/>
    </row>
    <row r="1584" customFormat="false" ht="16.4" hidden="false" customHeight="false" outlineLevel="0" collapsed="false">
      <c r="A1584" s="123" t="n">
        <v>45444</v>
      </c>
      <c r="B1584" s="31" t="s">
        <v>153</v>
      </c>
      <c r="C1584" s="129"/>
      <c r="D1584" s="129"/>
      <c r="E1584" s="19" t="n">
        <f aca="false">F1584*0.03</f>
        <v>0</v>
      </c>
      <c r="F1584" s="33" t="n">
        <v>0</v>
      </c>
      <c r="G1584" s="131"/>
      <c r="H1584" s="35" t="n">
        <v>0</v>
      </c>
      <c r="I1584" s="34" t="n">
        <f aca="false">+IF(E1584=0,0,E1584*0.03)</f>
        <v>0</v>
      </c>
      <c r="J1584" s="93"/>
      <c r="K1584" s="93"/>
      <c r="L1584" s="93"/>
      <c r="M1584" s="93"/>
      <c r="N1584" s="93"/>
      <c r="O1584" s="93"/>
      <c r="P1584" s="93"/>
      <c r="Q1584" s="93"/>
      <c r="R1584" s="93"/>
      <c r="S1584" s="93"/>
      <c r="T1584" s="93"/>
      <c r="U1584" s="93"/>
      <c r="V1584" s="93"/>
      <c r="W1584" s="93"/>
      <c r="X1584" s="93"/>
      <c r="Y1584" s="93"/>
      <c r="Z1584" s="93"/>
    </row>
    <row r="1585" customFormat="false" ht="16.4" hidden="false" customHeight="false" outlineLevel="0" collapsed="false">
      <c r="A1585" s="123" t="n">
        <v>45444</v>
      </c>
      <c r="B1585" s="31" t="s">
        <v>153</v>
      </c>
      <c r="C1585" s="129"/>
      <c r="D1585" s="129"/>
      <c r="E1585" s="19" t="n">
        <f aca="false">F1585*0.03</f>
        <v>0</v>
      </c>
      <c r="F1585" s="33" t="n">
        <v>0</v>
      </c>
      <c r="G1585" s="131"/>
      <c r="H1585" s="35" t="n">
        <v>0</v>
      </c>
      <c r="I1585" s="34" t="n">
        <f aca="false">+IF(E1585=0,0,E1585*0.03)</f>
        <v>0</v>
      </c>
      <c r="J1585" s="93"/>
      <c r="K1585" s="93"/>
      <c r="L1585" s="93"/>
      <c r="M1585" s="93"/>
      <c r="N1585" s="93"/>
      <c r="O1585" s="93"/>
      <c r="P1585" s="93"/>
      <c r="Q1585" s="93"/>
      <c r="R1585" s="93"/>
      <c r="S1585" s="93"/>
      <c r="T1585" s="93"/>
      <c r="U1585" s="93"/>
      <c r="V1585" s="93"/>
      <c r="W1585" s="93"/>
      <c r="X1585" s="93"/>
      <c r="Y1585" s="93"/>
      <c r="Z1585" s="93"/>
    </row>
    <row r="1586" customFormat="false" ht="16.4" hidden="false" customHeight="false" outlineLevel="0" collapsed="false">
      <c r="A1586" s="123" t="n">
        <v>45444</v>
      </c>
      <c r="B1586" s="31" t="s">
        <v>153</v>
      </c>
      <c r="C1586" s="129"/>
      <c r="D1586" s="129"/>
      <c r="E1586" s="19" t="n">
        <f aca="false">F1586*0.03</f>
        <v>0</v>
      </c>
      <c r="F1586" s="33" t="n">
        <v>0</v>
      </c>
      <c r="G1586" s="131"/>
      <c r="H1586" s="35" t="n">
        <v>0</v>
      </c>
      <c r="I1586" s="34" t="n">
        <f aca="false">+IF(E1586=0,0,E1586*0.03)</f>
        <v>0</v>
      </c>
      <c r="J1586" s="93"/>
      <c r="K1586" s="93"/>
      <c r="L1586" s="93"/>
      <c r="M1586" s="93"/>
      <c r="N1586" s="93"/>
      <c r="O1586" s="93"/>
      <c r="P1586" s="93"/>
      <c r="Q1586" s="93"/>
      <c r="R1586" s="93"/>
      <c r="S1586" s="93"/>
      <c r="T1586" s="93"/>
      <c r="U1586" s="93"/>
      <c r="V1586" s="93"/>
      <c r="W1586" s="93"/>
      <c r="X1586" s="93"/>
      <c r="Y1586" s="93"/>
      <c r="Z1586" s="93"/>
    </row>
    <row r="1587" customFormat="false" ht="16.4" hidden="false" customHeight="false" outlineLevel="0" collapsed="false">
      <c r="A1587" s="123" t="n">
        <v>45444</v>
      </c>
      <c r="B1587" s="31" t="s">
        <v>153</v>
      </c>
      <c r="C1587" s="129"/>
      <c r="D1587" s="129"/>
      <c r="E1587" s="19" t="n">
        <f aca="false">F1587*0.03</f>
        <v>0</v>
      </c>
      <c r="F1587" s="33" t="n">
        <v>0</v>
      </c>
      <c r="G1587" s="131"/>
      <c r="H1587" s="35" t="n">
        <v>0</v>
      </c>
      <c r="I1587" s="34" t="n">
        <f aca="false">+IF(E1587=0,0,E1587*0.03)</f>
        <v>0</v>
      </c>
      <c r="J1587" s="93"/>
      <c r="K1587" s="93"/>
      <c r="L1587" s="93"/>
      <c r="M1587" s="93"/>
      <c r="N1587" s="93"/>
      <c r="O1587" s="93"/>
      <c r="P1587" s="93"/>
      <c r="Q1587" s="93"/>
      <c r="R1587" s="93"/>
      <c r="S1587" s="93"/>
      <c r="T1587" s="93"/>
      <c r="U1587" s="93"/>
      <c r="V1587" s="93"/>
      <c r="W1587" s="93"/>
      <c r="X1587" s="93"/>
      <c r="Y1587" s="93"/>
      <c r="Z1587" s="93"/>
    </row>
    <row r="1588" customFormat="false" ht="16.4" hidden="false" customHeight="false" outlineLevel="0" collapsed="false">
      <c r="A1588" s="123" t="n">
        <v>45444</v>
      </c>
      <c r="B1588" s="31" t="s">
        <v>153</v>
      </c>
      <c r="C1588" s="129"/>
      <c r="D1588" s="129"/>
      <c r="E1588" s="19" t="n">
        <f aca="false">F1588*0.03</f>
        <v>0</v>
      </c>
      <c r="F1588" s="33" t="n">
        <v>0</v>
      </c>
      <c r="G1588" s="131"/>
      <c r="H1588" s="35" t="n">
        <v>0</v>
      </c>
      <c r="I1588" s="34" t="n">
        <f aca="false">+IF(E1588=0,0,E1588*0.03)</f>
        <v>0</v>
      </c>
      <c r="J1588" s="93"/>
      <c r="K1588" s="93"/>
      <c r="L1588" s="93"/>
      <c r="M1588" s="93"/>
      <c r="N1588" s="93"/>
      <c r="O1588" s="93"/>
      <c r="P1588" s="93"/>
      <c r="Q1588" s="93"/>
      <c r="R1588" s="93"/>
      <c r="S1588" s="93"/>
      <c r="T1588" s="93"/>
      <c r="U1588" s="93"/>
      <c r="V1588" s="93"/>
      <c r="W1588" s="93"/>
      <c r="X1588" s="93"/>
      <c r="Y1588" s="93"/>
      <c r="Z1588" s="93"/>
    </row>
    <row r="1589" customFormat="false" ht="16.4" hidden="false" customHeight="false" outlineLevel="0" collapsed="false">
      <c r="A1589" s="123" t="n">
        <v>45444</v>
      </c>
      <c r="B1589" s="31" t="s">
        <v>153</v>
      </c>
      <c r="C1589" s="129"/>
      <c r="D1589" s="129"/>
      <c r="E1589" s="19" t="n">
        <f aca="false">F1589*0.03</f>
        <v>0</v>
      </c>
      <c r="F1589" s="33" t="n">
        <v>0</v>
      </c>
      <c r="G1589" s="131"/>
      <c r="H1589" s="35" t="n">
        <v>0</v>
      </c>
      <c r="I1589" s="34" t="n">
        <f aca="false">+IF(E1589=0,0,E1589*0.03)</f>
        <v>0</v>
      </c>
      <c r="J1589" s="93"/>
      <c r="K1589" s="93"/>
      <c r="L1589" s="93"/>
      <c r="M1589" s="93"/>
      <c r="N1589" s="93"/>
      <c r="O1589" s="93"/>
      <c r="P1589" s="93"/>
      <c r="Q1589" s="93"/>
      <c r="R1589" s="93"/>
      <c r="S1589" s="93"/>
      <c r="T1589" s="93"/>
      <c r="U1589" s="93"/>
      <c r="V1589" s="93"/>
      <c r="W1589" s="93"/>
      <c r="X1589" s="93"/>
      <c r="Y1589" s="93"/>
      <c r="Z1589" s="93"/>
    </row>
    <row r="1590" customFormat="false" ht="16.4" hidden="false" customHeight="false" outlineLevel="0" collapsed="false">
      <c r="A1590" s="123" t="n">
        <v>45444</v>
      </c>
      <c r="B1590" s="31" t="s">
        <v>153</v>
      </c>
      <c r="C1590" s="129"/>
      <c r="D1590" s="129"/>
      <c r="E1590" s="19" t="n">
        <f aca="false">F1590*0.03</f>
        <v>0</v>
      </c>
      <c r="F1590" s="33" t="n">
        <v>0</v>
      </c>
      <c r="G1590" s="131"/>
      <c r="H1590" s="35" t="n">
        <v>0</v>
      </c>
      <c r="I1590" s="34" t="n">
        <f aca="false">+IF(E1590=0,0,E1590*0.03)</f>
        <v>0</v>
      </c>
      <c r="J1590" s="93"/>
      <c r="K1590" s="93"/>
      <c r="L1590" s="93"/>
      <c r="M1590" s="93"/>
      <c r="N1590" s="93"/>
      <c r="O1590" s="93"/>
      <c r="P1590" s="93"/>
      <c r="Q1590" s="93"/>
      <c r="R1590" s="93"/>
      <c r="S1590" s="93"/>
      <c r="T1590" s="93"/>
      <c r="U1590" s="93"/>
      <c r="V1590" s="93"/>
      <c r="W1590" s="93"/>
      <c r="X1590" s="93"/>
      <c r="Y1590" s="93"/>
      <c r="Z1590" s="93"/>
    </row>
    <row r="1591" customFormat="false" ht="16.4" hidden="false" customHeight="false" outlineLevel="0" collapsed="false">
      <c r="A1591" s="123" t="n">
        <v>45444</v>
      </c>
      <c r="B1591" s="31" t="s">
        <v>153</v>
      </c>
      <c r="C1591" s="129"/>
      <c r="D1591" s="129"/>
      <c r="E1591" s="19" t="n">
        <f aca="false">F1591*0.03</f>
        <v>0</v>
      </c>
      <c r="F1591" s="33" t="n">
        <v>0</v>
      </c>
      <c r="G1591" s="131"/>
      <c r="H1591" s="35" t="n">
        <v>0</v>
      </c>
      <c r="I1591" s="34" t="n">
        <f aca="false">+IF(E1591=0,0,E1591*0.03)</f>
        <v>0</v>
      </c>
      <c r="J1591" s="93"/>
      <c r="K1591" s="93"/>
      <c r="L1591" s="93"/>
      <c r="M1591" s="93"/>
      <c r="N1591" s="93"/>
      <c r="O1591" s="93"/>
      <c r="P1591" s="93"/>
      <c r="Q1591" s="93"/>
      <c r="R1591" s="93"/>
      <c r="S1591" s="93"/>
      <c r="T1591" s="93"/>
      <c r="U1591" s="93"/>
      <c r="V1591" s="93"/>
      <c r="W1591" s="93"/>
      <c r="X1591" s="93"/>
      <c r="Y1591" s="93"/>
      <c r="Z1591" s="93"/>
    </row>
    <row r="1592" customFormat="false" ht="16.4" hidden="false" customHeight="false" outlineLevel="0" collapsed="false">
      <c r="A1592" s="123" t="n">
        <v>45444</v>
      </c>
      <c r="B1592" s="31" t="s">
        <v>153</v>
      </c>
      <c r="C1592" s="129"/>
      <c r="D1592" s="129"/>
      <c r="E1592" s="19" t="n">
        <f aca="false">F1592*0.03</f>
        <v>0</v>
      </c>
      <c r="F1592" s="33" t="n">
        <v>0</v>
      </c>
      <c r="G1592" s="131"/>
      <c r="H1592" s="35" t="n">
        <v>0</v>
      </c>
      <c r="I1592" s="34" t="n">
        <f aca="false">+IF(E1592=0,0,E1592*0.03)</f>
        <v>0</v>
      </c>
      <c r="J1592" s="93"/>
      <c r="K1592" s="93"/>
      <c r="L1592" s="93"/>
      <c r="M1592" s="93"/>
      <c r="N1592" s="93"/>
      <c r="O1592" s="93"/>
      <c r="P1592" s="93"/>
      <c r="Q1592" s="93"/>
      <c r="R1592" s="93"/>
      <c r="S1592" s="93"/>
      <c r="T1592" s="93"/>
      <c r="U1592" s="93"/>
      <c r="V1592" s="93"/>
      <c r="W1592" s="93"/>
      <c r="X1592" s="93"/>
      <c r="Y1592" s="93"/>
      <c r="Z1592" s="93"/>
    </row>
    <row r="1593" customFormat="false" ht="16.4" hidden="false" customHeight="false" outlineLevel="0" collapsed="false">
      <c r="A1593" s="123" t="n">
        <v>45444</v>
      </c>
      <c r="B1593" s="31" t="s">
        <v>153</v>
      </c>
      <c r="C1593" s="129"/>
      <c r="D1593" s="129"/>
      <c r="E1593" s="19" t="n">
        <f aca="false">F1593*0.03</f>
        <v>0</v>
      </c>
      <c r="F1593" s="33" t="n">
        <v>0</v>
      </c>
      <c r="G1593" s="131"/>
      <c r="H1593" s="35" t="n">
        <v>0</v>
      </c>
      <c r="I1593" s="34" t="n">
        <f aca="false">+IF(E1593=0,0,E1593*0.03)</f>
        <v>0</v>
      </c>
      <c r="J1593" s="93"/>
      <c r="K1593" s="93"/>
      <c r="L1593" s="93"/>
      <c r="M1593" s="93"/>
      <c r="N1593" s="93"/>
      <c r="O1593" s="93"/>
      <c r="P1593" s="93"/>
      <c r="Q1593" s="93"/>
      <c r="R1593" s="93"/>
      <c r="S1593" s="93"/>
      <c r="T1593" s="93"/>
      <c r="U1593" s="93"/>
      <c r="V1593" s="93"/>
      <c r="W1593" s="93"/>
      <c r="X1593" s="93"/>
      <c r="Y1593" s="93"/>
      <c r="Z1593" s="93"/>
    </row>
    <row r="1594" customFormat="false" ht="16.4" hidden="false" customHeight="false" outlineLevel="0" collapsed="false">
      <c r="A1594" s="123" t="n">
        <v>45444</v>
      </c>
      <c r="B1594" s="31" t="s">
        <v>153</v>
      </c>
      <c r="C1594" s="129"/>
      <c r="D1594" s="129"/>
      <c r="E1594" s="19" t="n">
        <f aca="false">F1594*0.03</f>
        <v>0</v>
      </c>
      <c r="F1594" s="33" t="n">
        <v>0</v>
      </c>
      <c r="G1594" s="131"/>
      <c r="H1594" s="35" t="n">
        <v>0</v>
      </c>
      <c r="I1594" s="34" t="n">
        <f aca="false">+IF(E1594=0,0,E1594*0.03)</f>
        <v>0</v>
      </c>
      <c r="J1594" s="93"/>
      <c r="K1594" s="93"/>
      <c r="L1594" s="93"/>
      <c r="M1594" s="93"/>
      <c r="N1594" s="93"/>
      <c r="O1594" s="93"/>
      <c r="P1594" s="93"/>
      <c r="Q1594" s="93"/>
      <c r="R1594" s="93"/>
      <c r="S1594" s="93"/>
      <c r="T1594" s="93"/>
      <c r="U1594" s="93"/>
      <c r="V1594" s="93"/>
      <c r="W1594" s="93"/>
      <c r="X1594" s="93"/>
      <c r="Y1594" s="93"/>
      <c r="Z1594" s="93"/>
    </row>
    <row r="1595" customFormat="false" ht="16.4" hidden="false" customHeight="false" outlineLevel="0" collapsed="false">
      <c r="A1595" s="123" t="n">
        <v>45444</v>
      </c>
      <c r="B1595" s="31" t="s">
        <v>153</v>
      </c>
      <c r="C1595" s="129"/>
      <c r="D1595" s="129"/>
      <c r="E1595" s="19" t="n">
        <f aca="false">F1595*0.03</f>
        <v>0</v>
      </c>
      <c r="F1595" s="33" t="n">
        <v>0</v>
      </c>
      <c r="G1595" s="131"/>
      <c r="H1595" s="35" t="n">
        <v>0</v>
      </c>
      <c r="I1595" s="34" t="n">
        <f aca="false">+IF(E1595=0,0,E1595*0.03)</f>
        <v>0</v>
      </c>
      <c r="J1595" s="93"/>
      <c r="K1595" s="93"/>
      <c r="L1595" s="93"/>
      <c r="M1595" s="93"/>
      <c r="N1595" s="93"/>
      <c r="O1595" s="93"/>
      <c r="P1595" s="93"/>
      <c r="Q1595" s="93"/>
      <c r="R1595" s="93"/>
      <c r="S1595" s="93"/>
      <c r="T1595" s="93"/>
      <c r="U1595" s="93"/>
      <c r="V1595" s="93"/>
      <c r="W1595" s="93"/>
      <c r="X1595" s="93"/>
      <c r="Y1595" s="93"/>
      <c r="Z1595" s="93"/>
    </row>
    <row r="1596" customFormat="false" ht="16.4" hidden="false" customHeight="false" outlineLevel="0" collapsed="false">
      <c r="A1596" s="123" t="n">
        <v>45444</v>
      </c>
      <c r="B1596" s="31" t="s">
        <v>153</v>
      </c>
      <c r="C1596" s="129"/>
      <c r="D1596" s="129"/>
      <c r="E1596" s="19" t="n">
        <f aca="false">F1596*0.03</f>
        <v>0</v>
      </c>
      <c r="F1596" s="33" t="n">
        <v>0</v>
      </c>
      <c r="G1596" s="131"/>
      <c r="H1596" s="35" t="n">
        <v>0</v>
      </c>
      <c r="I1596" s="34" t="n">
        <f aca="false">+IF(E1596=0,0,E1596*0.03)</f>
        <v>0</v>
      </c>
      <c r="J1596" s="93"/>
      <c r="K1596" s="93"/>
      <c r="L1596" s="93"/>
      <c r="M1596" s="93"/>
      <c r="N1596" s="93"/>
      <c r="O1596" s="93"/>
      <c r="P1596" s="93"/>
      <c r="Q1596" s="93"/>
      <c r="R1596" s="93"/>
      <c r="S1596" s="93"/>
      <c r="T1596" s="93"/>
      <c r="U1596" s="93"/>
      <c r="V1596" s="93"/>
      <c r="W1596" s="93"/>
      <c r="X1596" s="93"/>
      <c r="Y1596" s="93"/>
      <c r="Z1596" s="93"/>
    </row>
    <row r="1597" customFormat="false" ht="16.4" hidden="false" customHeight="false" outlineLevel="0" collapsed="false">
      <c r="A1597" s="123" t="n">
        <v>45444</v>
      </c>
      <c r="B1597" s="31" t="s">
        <v>153</v>
      </c>
      <c r="C1597" s="129"/>
      <c r="D1597" s="129"/>
      <c r="E1597" s="19" t="n">
        <f aca="false">F1597*0.03</f>
        <v>0</v>
      </c>
      <c r="F1597" s="33" t="n">
        <v>0</v>
      </c>
      <c r="G1597" s="131"/>
      <c r="H1597" s="35" t="n">
        <v>0</v>
      </c>
      <c r="I1597" s="34" t="n">
        <f aca="false">+IF(E1597=0,0,E1597*0.03)</f>
        <v>0</v>
      </c>
      <c r="J1597" s="93"/>
      <c r="K1597" s="93"/>
      <c r="L1597" s="93"/>
      <c r="M1597" s="93"/>
      <c r="N1597" s="93"/>
      <c r="O1597" s="93"/>
      <c r="P1597" s="93"/>
      <c r="Q1597" s="93"/>
      <c r="R1597" s="93"/>
      <c r="S1597" s="93"/>
      <c r="T1597" s="93"/>
      <c r="U1597" s="93"/>
      <c r="V1597" s="93"/>
      <c r="W1597" s="93"/>
      <c r="X1597" s="93"/>
      <c r="Y1597" s="93"/>
      <c r="Z1597" s="93"/>
    </row>
    <row r="1598" customFormat="false" ht="16.4" hidden="false" customHeight="false" outlineLevel="0" collapsed="false">
      <c r="A1598" s="123" t="n">
        <v>45444</v>
      </c>
      <c r="B1598" s="31" t="s">
        <v>153</v>
      </c>
      <c r="C1598" s="129"/>
      <c r="D1598" s="129"/>
      <c r="E1598" s="19" t="n">
        <f aca="false">F1598*0.03</f>
        <v>0</v>
      </c>
      <c r="F1598" s="33" t="n">
        <v>0</v>
      </c>
      <c r="G1598" s="131"/>
      <c r="H1598" s="35" t="n">
        <v>0</v>
      </c>
      <c r="I1598" s="34" t="n">
        <f aca="false">+IF(E1598=0,0,E1598*0.03)</f>
        <v>0</v>
      </c>
      <c r="J1598" s="93"/>
      <c r="K1598" s="93"/>
      <c r="L1598" s="93"/>
      <c r="M1598" s="93"/>
      <c r="N1598" s="93"/>
      <c r="O1598" s="93"/>
      <c r="P1598" s="93"/>
      <c r="Q1598" s="93"/>
      <c r="R1598" s="93"/>
      <c r="S1598" s="93"/>
      <c r="T1598" s="93"/>
      <c r="U1598" s="93"/>
      <c r="V1598" s="93"/>
      <c r="W1598" s="93"/>
      <c r="X1598" s="93"/>
      <c r="Y1598" s="93"/>
      <c r="Z1598" s="93"/>
    </row>
    <row r="1599" customFormat="false" ht="16.4" hidden="false" customHeight="false" outlineLevel="0" collapsed="false">
      <c r="A1599" s="123" t="n">
        <v>45444</v>
      </c>
      <c r="B1599" s="31" t="s">
        <v>153</v>
      </c>
      <c r="C1599" s="129"/>
      <c r="D1599" s="129"/>
      <c r="E1599" s="19" t="n">
        <f aca="false">F1599*0.03</f>
        <v>0</v>
      </c>
      <c r="F1599" s="33" t="n">
        <v>0</v>
      </c>
      <c r="G1599" s="131"/>
      <c r="H1599" s="35" t="n">
        <v>0</v>
      </c>
      <c r="I1599" s="34" t="n">
        <f aca="false">+IF(E1599=0,0,E1599*0.03)</f>
        <v>0</v>
      </c>
      <c r="J1599" s="93"/>
      <c r="K1599" s="93"/>
      <c r="L1599" s="93"/>
      <c r="M1599" s="93"/>
      <c r="N1599" s="93"/>
      <c r="O1599" s="93"/>
      <c r="P1599" s="93"/>
      <c r="Q1599" s="93"/>
      <c r="R1599" s="93"/>
      <c r="S1599" s="93"/>
      <c r="T1599" s="93"/>
      <c r="U1599" s="93"/>
      <c r="V1599" s="93"/>
      <c r="W1599" s="93"/>
      <c r="X1599" s="93"/>
      <c r="Y1599" s="93"/>
      <c r="Z1599" s="93"/>
    </row>
    <row r="1600" customFormat="false" ht="16.4" hidden="false" customHeight="false" outlineLevel="0" collapsed="false">
      <c r="A1600" s="123" t="n">
        <v>45444</v>
      </c>
      <c r="B1600" s="31" t="s">
        <v>153</v>
      </c>
      <c r="C1600" s="129"/>
      <c r="D1600" s="129"/>
      <c r="E1600" s="19" t="n">
        <f aca="false">F1600*0.03</f>
        <v>0</v>
      </c>
      <c r="F1600" s="33" t="n">
        <v>0</v>
      </c>
      <c r="G1600" s="131"/>
      <c r="H1600" s="35" t="n">
        <v>0</v>
      </c>
      <c r="I1600" s="34" t="n">
        <f aca="false">+IF(E1600=0,0,E1600*0.03)</f>
        <v>0</v>
      </c>
      <c r="J1600" s="93"/>
      <c r="K1600" s="93"/>
      <c r="L1600" s="93"/>
      <c r="M1600" s="93"/>
      <c r="N1600" s="93"/>
      <c r="O1600" s="93"/>
      <c r="P1600" s="93"/>
      <c r="Q1600" s="93"/>
      <c r="R1600" s="93"/>
      <c r="S1600" s="93"/>
      <c r="T1600" s="93"/>
      <c r="U1600" s="93"/>
      <c r="V1600" s="93"/>
      <c r="W1600" s="93"/>
      <c r="X1600" s="93"/>
      <c r="Y1600" s="93"/>
      <c r="Z1600" s="93"/>
    </row>
    <row r="1601" customFormat="false" ht="16.4" hidden="false" customHeight="false" outlineLevel="0" collapsed="false">
      <c r="A1601" s="123" t="n">
        <v>45444</v>
      </c>
      <c r="B1601" s="31" t="s">
        <v>153</v>
      </c>
      <c r="C1601" s="129"/>
      <c r="D1601" s="129"/>
      <c r="E1601" s="19" t="n">
        <f aca="false">F1601*0.03</f>
        <v>0</v>
      </c>
      <c r="F1601" s="33" t="n">
        <v>0</v>
      </c>
      <c r="G1601" s="131"/>
      <c r="H1601" s="35" t="n">
        <v>0</v>
      </c>
      <c r="I1601" s="34" t="n">
        <f aca="false">+IF(E1601=0,0,E1601*0.03)</f>
        <v>0</v>
      </c>
      <c r="J1601" s="93"/>
      <c r="K1601" s="93"/>
      <c r="L1601" s="93"/>
      <c r="M1601" s="93"/>
      <c r="N1601" s="93"/>
      <c r="O1601" s="93"/>
      <c r="P1601" s="93"/>
      <c r="Q1601" s="93"/>
      <c r="R1601" s="93"/>
      <c r="S1601" s="93"/>
      <c r="T1601" s="93"/>
      <c r="U1601" s="93"/>
      <c r="V1601" s="93"/>
      <c r="W1601" s="93"/>
      <c r="X1601" s="93"/>
      <c r="Y1601" s="93"/>
      <c r="Z1601" s="93"/>
    </row>
    <row r="1602" customFormat="false" ht="16.4" hidden="false" customHeight="false" outlineLevel="0" collapsed="false">
      <c r="A1602" s="123" t="n">
        <v>45444</v>
      </c>
      <c r="B1602" s="31" t="s">
        <v>153</v>
      </c>
      <c r="C1602" s="129"/>
      <c r="D1602" s="129"/>
      <c r="E1602" s="19" t="n">
        <f aca="false">F1602*0.03</f>
        <v>0</v>
      </c>
      <c r="F1602" s="33" t="n">
        <v>0</v>
      </c>
      <c r="G1602" s="131"/>
      <c r="H1602" s="35" t="n">
        <v>0</v>
      </c>
      <c r="I1602" s="34" t="n">
        <f aca="false">+IF(E1602=0,0,E1602*0.03)</f>
        <v>0</v>
      </c>
      <c r="J1602" s="93"/>
      <c r="K1602" s="93"/>
      <c r="L1602" s="93"/>
      <c r="M1602" s="93"/>
      <c r="N1602" s="93"/>
      <c r="O1602" s="93"/>
      <c r="P1602" s="93"/>
      <c r="Q1602" s="93"/>
      <c r="R1602" s="93"/>
      <c r="S1602" s="93"/>
      <c r="T1602" s="93"/>
      <c r="U1602" s="93"/>
      <c r="V1602" s="93"/>
      <c r="W1602" s="93"/>
      <c r="X1602" s="93"/>
      <c r="Y1602" s="93"/>
      <c r="Z1602" s="93"/>
    </row>
    <row r="1603" customFormat="false" ht="16.4" hidden="false" customHeight="false" outlineLevel="0" collapsed="false">
      <c r="A1603" s="123" t="n">
        <v>45444</v>
      </c>
      <c r="B1603" s="31" t="s">
        <v>153</v>
      </c>
      <c r="C1603" s="129"/>
      <c r="D1603" s="129"/>
      <c r="E1603" s="19" t="n">
        <f aca="false">F1603*0.03</f>
        <v>0</v>
      </c>
      <c r="F1603" s="33" t="n">
        <v>0</v>
      </c>
      <c r="G1603" s="131"/>
      <c r="H1603" s="35" t="n">
        <v>0</v>
      </c>
      <c r="I1603" s="34" t="n">
        <f aca="false">+IF(E1603=0,0,E1603*0.03)</f>
        <v>0</v>
      </c>
      <c r="J1603" s="93"/>
      <c r="K1603" s="93"/>
      <c r="L1603" s="93"/>
      <c r="M1603" s="93"/>
      <c r="N1603" s="93"/>
      <c r="O1603" s="93"/>
      <c r="P1603" s="93"/>
      <c r="Q1603" s="93"/>
      <c r="R1603" s="93"/>
      <c r="S1603" s="93"/>
      <c r="T1603" s="93"/>
      <c r="U1603" s="93"/>
      <c r="V1603" s="93"/>
      <c r="W1603" s="93"/>
      <c r="X1603" s="93"/>
      <c r="Y1603" s="93"/>
      <c r="Z1603" s="93"/>
    </row>
    <row r="1604" customFormat="false" ht="16.4" hidden="false" customHeight="false" outlineLevel="0" collapsed="false">
      <c r="A1604" s="123" t="n">
        <v>45444</v>
      </c>
      <c r="B1604" s="31" t="s">
        <v>153</v>
      </c>
      <c r="C1604" s="129"/>
      <c r="D1604" s="129"/>
      <c r="E1604" s="19" t="n">
        <f aca="false">F1604*0.03</f>
        <v>0</v>
      </c>
      <c r="F1604" s="33" t="n">
        <v>0</v>
      </c>
      <c r="G1604" s="131"/>
      <c r="H1604" s="35" t="n">
        <v>0</v>
      </c>
      <c r="I1604" s="34" t="n">
        <f aca="false">+IF(E1604=0,0,E1604*0.03)</f>
        <v>0</v>
      </c>
      <c r="J1604" s="93"/>
      <c r="K1604" s="93"/>
      <c r="L1604" s="93"/>
      <c r="M1604" s="93"/>
      <c r="N1604" s="93"/>
      <c r="O1604" s="93"/>
      <c r="P1604" s="93"/>
      <c r="Q1604" s="93"/>
      <c r="R1604" s="93"/>
      <c r="S1604" s="93"/>
      <c r="T1604" s="93"/>
      <c r="U1604" s="93"/>
      <c r="V1604" s="93"/>
      <c r="W1604" s="93"/>
      <c r="X1604" s="93"/>
      <c r="Y1604" s="93"/>
      <c r="Z1604" s="93"/>
    </row>
    <row r="1605" customFormat="false" ht="16.4" hidden="false" customHeight="false" outlineLevel="0" collapsed="false">
      <c r="A1605" s="123" t="n">
        <v>45444</v>
      </c>
      <c r="B1605" s="31" t="s">
        <v>153</v>
      </c>
      <c r="C1605" s="129"/>
      <c r="D1605" s="129"/>
      <c r="E1605" s="19" t="n">
        <f aca="false">F1605*0.03</f>
        <v>0</v>
      </c>
      <c r="F1605" s="33" t="n">
        <v>0</v>
      </c>
      <c r="G1605" s="131"/>
      <c r="H1605" s="35" t="n">
        <v>0</v>
      </c>
      <c r="I1605" s="34" t="n">
        <f aca="false">+IF(E1605=0,0,E1605*0.03)</f>
        <v>0</v>
      </c>
      <c r="J1605" s="93"/>
      <c r="K1605" s="93"/>
      <c r="L1605" s="93"/>
      <c r="M1605" s="93"/>
      <c r="N1605" s="93"/>
      <c r="O1605" s="93"/>
      <c r="P1605" s="93"/>
      <c r="Q1605" s="93"/>
      <c r="R1605" s="93"/>
      <c r="S1605" s="93"/>
      <c r="T1605" s="93"/>
      <c r="U1605" s="93"/>
      <c r="V1605" s="93"/>
      <c r="W1605" s="93"/>
      <c r="X1605" s="93"/>
      <c r="Y1605" s="93"/>
      <c r="Z1605" s="93"/>
    </row>
    <row r="1606" customFormat="false" ht="16.4" hidden="false" customHeight="false" outlineLevel="0" collapsed="false">
      <c r="A1606" s="123" t="n">
        <v>45444</v>
      </c>
      <c r="B1606" s="31" t="s">
        <v>153</v>
      </c>
      <c r="C1606" s="129"/>
      <c r="D1606" s="129"/>
      <c r="E1606" s="19" t="n">
        <f aca="false">F1606*0.03</f>
        <v>0</v>
      </c>
      <c r="F1606" s="33" t="n">
        <v>0</v>
      </c>
      <c r="G1606" s="131"/>
      <c r="H1606" s="35" t="n">
        <v>0</v>
      </c>
      <c r="I1606" s="34" t="n">
        <f aca="false">+IF(E1606=0,0,E1606*0.03)</f>
        <v>0</v>
      </c>
      <c r="J1606" s="93"/>
      <c r="K1606" s="93"/>
      <c r="L1606" s="93"/>
      <c r="M1606" s="93"/>
      <c r="N1606" s="93"/>
      <c r="O1606" s="93"/>
      <c r="P1606" s="93"/>
      <c r="Q1606" s="93"/>
      <c r="R1606" s="93"/>
      <c r="S1606" s="93"/>
      <c r="T1606" s="93"/>
      <c r="U1606" s="93"/>
      <c r="V1606" s="93"/>
      <c r="W1606" s="93"/>
      <c r="X1606" s="93"/>
      <c r="Y1606" s="93"/>
      <c r="Z1606" s="93"/>
    </row>
    <row r="1607" customFormat="false" ht="16.4" hidden="false" customHeight="false" outlineLevel="0" collapsed="false">
      <c r="A1607" s="123" t="n">
        <v>45444</v>
      </c>
      <c r="B1607" s="31" t="s">
        <v>153</v>
      </c>
      <c r="C1607" s="129"/>
      <c r="D1607" s="129"/>
      <c r="E1607" s="19" t="n">
        <f aca="false">F1607*0.03</f>
        <v>0</v>
      </c>
      <c r="F1607" s="33" t="n">
        <v>0</v>
      </c>
      <c r="G1607" s="131"/>
      <c r="H1607" s="35" t="n">
        <v>0</v>
      </c>
      <c r="I1607" s="34" t="n">
        <f aca="false">+IF(E1607=0,0,E1607*0.03)</f>
        <v>0</v>
      </c>
      <c r="J1607" s="93"/>
      <c r="K1607" s="93"/>
      <c r="L1607" s="93"/>
      <c r="M1607" s="93"/>
      <c r="N1607" s="93"/>
      <c r="O1607" s="93"/>
      <c r="P1607" s="93"/>
      <c r="Q1607" s="93"/>
      <c r="R1607" s="93"/>
      <c r="S1607" s="93"/>
      <c r="T1607" s="93"/>
      <c r="U1607" s="93"/>
      <c r="V1607" s="93"/>
      <c r="W1607" s="93"/>
      <c r="X1607" s="93"/>
      <c r="Y1607" s="93"/>
      <c r="Z1607" s="93"/>
    </row>
    <row r="1608" customFormat="false" ht="16.4" hidden="false" customHeight="false" outlineLevel="0" collapsed="false">
      <c r="A1608" s="123" t="n">
        <v>45444</v>
      </c>
      <c r="B1608" s="31" t="s">
        <v>153</v>
      </c>
      <c r="C1608" s="129"/>
      <c r="D1608" s="129"/>
      <c r="E1608" s="19" t="n">
        <f aca="false">F1608*0.03</f>
        <v>0</v>
      </c>
      <c r="F1608" s="33" t="n">
        <v>0</v>
      </c>
      <c r="G1608" s="131"/>
      <c r="H1608" s="35" t="n">
        <v>0</v>
      </c>
      <c r="I1608" s="34" t="n">
        <f aca="false">+IF(E1608=0,0,E1608*0.03)</f>
        <v>0</v>
      </c>
      <c r="J1608" s="93"/>
      <c r="K1608" s="93"/>
      <c r="L1608" s="93"/>
      <c r="M1608" s="93"/>
      <c r="N1608" s="93"/>
      <c r="O1608" s="93"/>
      <c r="P1608" s="93"/>
      <c r="Q1608" s="93"/>
      <c r="R1608" s="93"/>
      <c r="S1608" s="93"/>
      <c r="T1608" s="93"/>
      <c r="U1608" s="93"/>
      <c r="V1608" s="93"/>
      <c r="W1608" s="93"/>
      <c r="X1608" s="93"/>
      <c r="Y1608" s="93"/>
      <c r="Z1608" s="93"/>
    </row>
    <row r="1609" customFormat="false" ht="16.4" hidden="false" customHeight="false" outlineLevel="0" collapsed="false">
      <c r="A1609" s="123" t="n">
        <v>45444</v>
      </c>
      <c r="B1609" s="31" t="s">
        <v>153</v>
      </c>
      <c r="C1609" s="129"/>
      <c r="D1609" s="129"/>
      <c r="E1609" s="19" t="n">
        <f aca="false">F1609*0.03</f>
        <v>0</v>
      </c>
      <c r="F1609" s="33" t="n">
        <v>0</v>
      </c>
      <c r="G1609" s="131"/>
      <c r="H1609" s="35" t="n">
        <v>0</v>
      </c>
      <c r="I1609" s="34" t="n">
        <f aca="false">+IF(E1609=0,0,E1609*0.03)</f>
        <v>0</v>
      </c>
      <c r="J1609" s="93"/>
      <c r="K1609" s="93"/>
      <c r="L1609" s="93"/>
      <c r="M1609" s="93"/>
      <c r="N1609" s="93"/>
      <c r="O1609" s="93"/>
      <c r="P1609" s="93"/>
      <c r="Q1609" s="93"/>
      <c r="R1609" s="93"/>
      <c r="S1609" s="93"/>
      <c r="T1609" s="93"/>
      <c r="U1609" s="93"/>
      <c r="V1609" s="93"/>
      <c r="W1609" s="93"/>
      <c r="X1609" s="93"/>
      <c r="Y1609" s="93"/>
      <c r="Z1609" s="93"/>
    </row>
    <row r="1610" customFormat="false" ht="16.4" hidden="false" customHeight="false" outlineLevel="0" collapsed="false">
      <c r="A1610" s="123" t="n">
        <v>45444</v>
      </c>
      <c r="B1610" s="31" t="s">
        <v>153</v>
      </c>
      <c r="C1610" s="129"/>
      <c r="D1610" s="129"/>
      <c r="E1610" s="19" t="n">
        <f aca="false">F1610*0.03</f>
        <v>0</v>
      </c>
      <c r="F1610" s="33" t="n">
        <v>0</v>
      </c>
      <c r="G1610" s="131"/>
      <c r="H1610" s="35" t="n">
        <v>0</v>
      </c>
      <c r="I1610" s="34" t="n">
        <f aca="false">+IF(E1610=0,0,E1610*0.03)</f>
        <v>0</v>
      </c>
      <c r="J1610" s="93"/>
      <c r="K1610" s="93"/>
      <c r="L1610" s="93"/>
      <c r="M1610" s="93"/>
      <c r="N1610" s="93"/>
      <c r="O1610" s="93"/>
      <c r="P1610" s="93"/>
      <c r="Q1610" s="93"/>
      <c r="R1610" s="93"/>
      <c r="S1610" s="93"/>
      <c r="T1610" s="93"/>
      <c r="U1610" s="93"/>
      <c r="V1610" s="93"/>
      <c r="W1610" s="93"/>
      <c r="X1610" s="93"/>
      <c r="Y1610" s="93"/>
      <c r="Z1610" s="93"/>
    </row>
    <row r="1611" customFormat="false" ht="16.4" hidden="false" customHeight="false" outlineLevel="0" collapsed="false">
      <c r="A1611" s="123" t="n">
        <v>45444</v>
      </c>
      <c r="B1611" s="31" t="s">
        <v>153</v>
      </c>
      <c r="C1611" s="129"/>
      <c r="D1611" s="129"/>
      <c r="E1611" s="19" t="n">
        <f aca="false">F1611*0.03</f>
        <v>0</v>
      </c>
      <c r="F1611" s="33" t="n">
        <v>0</v>
      </c>
      <c r="G1611" s="131"/>
      <c r="H1611" s="35" t="n">
        <v>0</v>
      </c>
      <c r="I1611" s="34" t="n">
        <f aca="false">+IF(E1611=0,0,E1611*0.03)</f>
        <v>0</v>
      </c>
      <c r="J1611" s="93"/>
      <c r="K1611" s="93"/>
      <c r="L1611" s="93"/>
      <c r="M1611" s="93"/>
      <c r="N1611" s="93"/>
      <c r="O1611" s="93"/>
      <c r="P1611" s="93"/>
      <c r="Q1611" s="93"/>
      <c r="R1611" s="93"/>
      <c r="S1611" s="93"/>
      <c r="T1611" s="93"/>
      <c r="U1611" s="93"/>
      <c r="V1611" s="93"/>
      <c r="W1611" s="93"/>
      <c r="X1611" s="93"/>
      <c r="Y1611" s="93"/>
      <c r="Z1611" s="93"/>
    </row>
    <row r="1612" customFormat="false" ht="16.4" hidden="false" customHeight="false" outlineLevel="0" collapsed="false">
      <c r="A1612" s="123" t="n">
        <v>45444</v>
      </c>
      <c r="B1612" s="31" t="s">
        <v>153</v>
      </c>
      <c r="C1612" s="129"/>
      <c r="D1612" s="129"/>
      <c r="E1612" s="19" t="n">
        <f aca="false">F1612*0.03</f>
        <v>0</v>
      </c>
      <c r="F1612" s="33" t="n">
        <v>0</v>
      </c>
      <c r="G1612" s="131"/>
      <c r="H1612" s="35" t="n">
        <v>0</v>
      </c>
      <c r="I1612" s="34" t="n">
        <f aca="false">+IF(E1612=0,0,E1612*0.03)</f>
        <v>0</v>
      </c>
      <c r="J1612" s="93"/>
      <c r="K1612" s="93"/>
      <c r="L1612" s="93"/>
      <c r="M1612" s="93"/>
      <c r="N1612" s="93"/>
      <c r="O1612" s="93"/>
      <c r="P1612" s="93"/>
      <c r="Q1612" s="93"/>
      <c r="R1612" s="93"/>
      <c r="S1612" s="93"/>
      <c r="T1612" s="93"/>
      <c r="U1612" s="93"/>
      <c r="V1612" s="93"/>
      <c r="W1612" s="93"/>
      <c r="X1612" s="93"/>
      <c r="Y1612" s="93"/>
      <c r="Z1612" s="93"/>
    </row>
    <row r="1613" customFormat="false" ht="16.4" hidden="false" customHeight="false" outlineLevel="0" collapsed="false">
      <c r="A1613" s="123" t="n">
        <v>45444</v>
      </c>
      <c r="B1613" s="31" t="s">
        <v>153</v>
      </c>
      <c r="C1613" s="129"/>
      <c r="D1613" s="129"/>
      <c r="E1613" s="19" t="n">
        <f aca="false">F1613*0.03</f>
        <v>0</v>
      </c>
      <c r="F1613" s="33" t="n">
        <v>0</v>
      </c>
      <c r="G1613" s="131"/>
      <c r="H1613" s="35" t="n">
        <v>0</v>
      </c>
      <c r="I1613" s="34" t="n">
        <f aca="false">+IF(E1613=0,0,E1613*0.03)</f>
        <v>0</v>
      </c>
      <c r="J1613" s="93"/>
      <c r="K1613" s="93"/>
      <c r="L1613" s="93"/>
      <c r="M1613" s="93"/>
      <c r="N1613" s="93"/>
      <c r="O1613" s="93"/>
      <c r="P1613" s="93"/>
      <c r="Q1613" s="93"/>
      <c r="R1613" s="93"/>
      <c r="S1613" s="93"/>
      <c r="T1613" s="93"/>
      <c r="U1613" s="93"/>
      <c r="V1613" s="93"/>
      <c r="W1613" s="93"/>
      <c r="X1613" s="93"/>
      <c r="Y1613" s="93"/>
      <c r="Z1613" s="93"/>
    </row>
    <row r="1614" customFormat="false" ht="16.4" hidden="false" customHeight="false" outlineLevel="0" collapsed="false">
      <c r="A1614" s="123" t="n">
        <v>45444</v>
      </c>
      <c r="B1614" s="31" t="s">
        <v>153</v>
      </c>
      <c r="C1614" s="129"/>
      <c r="D1614" s="129"/>
      <c r="E1614" s="19" t="n">
        <f aca="false">F1614*0.03</f>
        <v>0</v>
      </c>
      <c r="F1614" s="33" t="n">
        <v>0</v>
      </c>
      <c r="G1614" s="131"/>
      <c r="H1614" s="35" t="n">
        <v>0</v>
      </c>
      <c r="I1614" s="34" t="n">
        <f aca="false">+IF(E1614=0,0,E1614*0.03)</f>
        <v>0</v>
      </c>
      <c r="J1614" s="93"/>
      <c r="K1614" s="93"/>
      <c r="L1614" s="93"/>
      <c r="M1614" s="93"/>
      <c r="N1614" s="93"/>
      <c r="O1614" s="93"/>
      <c r="P1614" s="93"/>
      <c r="Q1614" s="93"/>
      <c r="R1614" s="93"/>
      <c r="S1614" s="93"/>
      <c r="T1614" s="93"/>
      <c r="U1614" s="93"/>
      <c r="V1614" s="93"/>
      <c r="W1614" s="93"/>
      <c r="X1614" s="93"/>
      <c r="Y1614" s="93"/>
      <c r="Z1614" s="93"/>
    </row>
    <row r="1615" customFormat="false" ht="16.4" hidden="false" customHeight="false" outlineLevel="0" collapsed="false">
      <c r="A1615" s="123" t="n">
        <v>45444</v>
      </c>
      <c r="B1615" s="31" t="s">
        <v>153</v>
      </c>
      <c r="C1615" s="129"/>
      <c r="D1615" s="129"/>
      <c r="E1615" s="19" t="n">
        <f aca="false">F1615*0.03</f>
        <v>0</v>
      </c>
      <c r="F1615" s="33" t="n">
        <v>0</v>
      </c>
      <c r="G1615" s="131"/>
      <c r="H1615" s="35" t="n">
        <v>0</v>
      </c>
      <c r="I1615" s="34" t="n">
        <f aca="false">+IF(E1615=0,0,E1615*0.03)</f>
        <v>0</v>
      </c>
      <c r="J1615" s="93"/>
      <c r="K1615" s="93"/>
      <c r="L1615" s="93"/>
      <c r="M1615" s="93"/>
      <c r="N1615" s="93"/>
      <c r="O1615" s="93"/>
      <c r="P1615" s="93"/>
      <c r="Q1615" s="93"/>
      <c r="R1615" s="93"/>
      <c r="S1615" s="93"/>
      <c r="T1615" s="93"/>
      <c r="U1615" s="93"/>
      <c r="V1615" s="93"/>
      <c r="W1615" s="93"/>
      <c r="X1615" s="93"/>
      <c r="Y1615" s="93"/>
      <c r="Z1615" s="93"/>
    </row>
    <row r="1616" customFormat="false" ht="16.4" hidden="false" customHeight="false" outlineLevel="0" collapsed="false">
      <c r="A1616" s="123" t="n">
        <v>45444</v>
      </c>
      <c r="B1616" s="31" t="s">
        <v>153</v>
      </c>
      <c r="C1616" s="129"/>
      <c r="D1616" s="129"/>
      <c r="E1616" s="19" t="n">
        <f aca="false">F1616*0.03</f>
        <v>0</v>
      </c>
      <c r="F1616" s="33" t="n">
        <v>0</v>
      </c>
      <c r="G1616" s="131"/>
      <c r="H1616" s="35" t="n">
        <v>0</v>
      </c>
      <c r="I1616" s="34" t="n">
        <f aca="false">+IF(E1616=0,0,E1616*0.03)</f>
        <v>0</v>
      </c>
      <c r="J1616" s="93"/>
      <c r="K1616" s="93"/>
      <c r="L1616" s="93"/>
      <c r="M1616" s="93"/>
      <c r="N1616" s="93"/>
      <c r="O1616" s="93"/>
      <c r="P1616" s="93"/>
      <c r="Q1616" s="93"/>
      <c r="R1616" s="93"/>
      <c r="S1616" s="93"/>
      <c r="T1616" s="93"/>
      <c r="U1616" s="93"/>
      <c r="V1616" s="93"/>
      <c r="W1616" s="93"/>
      <c r="X1616" s="93"/>
      <c r="Y1616" s="93"/>
      <c r="Z1616" s="93"/>
    </row>
    <row r="1617" customFormat="false" ht="16.4" hidden="false" customHeight="false" outlineLevel="0" collapsed="false">
      <c r="A1617" s="123" t="n">
        <v>45444</v>
      </c>
      <c r="B1617" s="31" t="s">
        <v>153</v>
      </c>
      <c r="C1617" s="129"/>
      <c r="D1617" s="129"/>
      <c r="E1617" s="19" t="n">
        <f aca="false">F1617*0.03</f>
        <v>0</v>
      </c>
      <c r="F1617" s="33" t="n">
        <v>0</v>
      </c>
      <c r="G1617" s="131"/>
      <c r="H1617" s="35" t="n">
        <v>0</v>
      </c>
      <c r="I1617" s="34" t="n">
        <f aca="false">+IF(E1617=0,0,E1617*0.03)</f>
        <v>0</v>
      </c>
      <c r="J1617" s="93"/>
      <c r="K1617" s="93"/>
      <c r="L1617" s="93"/>
      <c r="M1617" s="93"/>
      <c r="N1617" s="93"/>
      <c r="O1617" s="93"/>
      <c r="P1617" s="93"/>
      <c r="Q1617" s="93"/>
      <c r="R1617" s="93"/>
      <c r="S1617" s="93"/>
      <c r="T1617" s="93"/>
      <c r="U1617" s="93"/>
      <c r="V1617" s="93"/>
      <c r="W1617" s="93"/>
      <c r="X1617" s="93"/>
      <c r="Y1617" s="93"/>
      <c r="Z1617" s="93"/>
    </row>
    <row r="1618" customFormat="false" ht="16.4" hidden="false" customHeight="false" outlineLevel="0" collapsed="false">
      <c r="A1618" s="123" t="n">
        <v>45444</v>
      </c>
      <c r="B1618" s="31" t="s">
        <v>153</v>
      </c>
      <c r="C1618" s="129"/>
      <c r="D1618" s="129"/>
      <c r="E1618" s="19" t="n">
        <f aca="false">F1618*0.03</f>
        <v>0</v>
      </c>
      <c r="F1618" s="33" t="n">
        <v>0</v>
      </c>
      <c r="G1618" s="131"/>
      <c r="H1618" s="35" t="n">
        <v>0</v>
      </c>
      <c r="I1618" s="34" t="n">
        <f aca="false">+IF(E1618=0,0,E1618*0.03)</f>
        <v>0</v>
      </c>
      <c r="J1618" s="93"/>
      <c r="K1618" s="93"/>
      <c r="L1618" s="93"/>
      <c r="M1618" s="93"/>
      <c r="N1618" s="93"/>
      <c r="O1618" s="93"/>
      <c r="P1618" s="93"/>
      <c r="Q1618" s="93"/>
      <c r="R1618" s="93"/>
      <c r="S1618" s="93"/>
      <c r="T1618" s="93"/>
      <c r="U1618" s="93"/>
      <c r="V1618" s="93"/>
      <c r="W1618" s="93"/>
      <c r="X1618" s="93"/>
      <c r="Y1618" s="93"/>
      <c r="Z1618" s="93"/>
    </row>
    <row r="1619" customFormat="false" ht="16.4" hidden="false" customHeight="false" outlineLevel="0" collapsed="false">
      <c r="A1619" s="123" t="n">
        <v>45444</v>
      </c>
      <c r="B1619" s="31" t="s">
        <v>153</v>
      </c>
      <c r="C1619" s="129"/>
      <c r="D1619" s="129"/>
      <c r="E1619" s="19" t="n">
        <f aca="false">F1619*0.03</f>
        <v>0</v>
      </c>
      <c r="F1619" s="33" t="n">
        <v>0</v>
      </c>
      <c r="G1619" s="131"/>
      <c r="H1619" s="35" t="n">
        <v>0</v>
      </c>
      <c r="I1619" s="34" t="n">
        <f aca="false">+IF(E1619=0,0,E1619*0.03)</f>
        <v>0</v>
      </c>
      <c r="J1619" s="93"/>
      <c r="K1619" s="93"/>
      <c r="L1619" s="93"/>
      <c r="M1619" s="93"/>
      <c r="N1619" s="93"/>
      <c r="O1619" s="93"/>
      <c r="P1619" s="93"/>
      <c r="Q1619" s="93"/>
      <c r="R1619" s="93"/>
      <c r="S1619" s="93"/>
      <c r="T1619" s="93"/>
      <c r="U1619" s="93"/>
      <c r="V1619" s="93"/>
      <c r="W1619" s="93"/>
      <c r="X1619" s="93"/>
      <c r="Y1619" s="93"/>
      <c r="Z1619" s="93"/>
    </row>
    <row r="1620" customFormat="false" ht="16.4" hidden="false" customHeight="false" outlineLevel="0" collapsed="false">
      <c r="A1620" s="123" t="n">
        <v>45444</v>
      </c>
      <c r="B1620" s="31" t="s">
        <v>153</v>
      </c>
      <c r="C1620" s="129"/>
      <c r="D1620" s="129"/>
      <c r="E1620" s="19" t="n">
        <f aca="false">F1620*0.03</f>
        <v>0</v>
      </c>
      <c r="F1620" s="33" t="n">
        <v>0</v>
      </c>
      <c r="G1620" s="131"/>
      <c r="H1620" s="35" t="n">
        <v>0</v>
      </c>
      <c r="I1620" s="34" t="n">
        <f aca="false">+IF(E1620=0,0,E1620*0.03)</f>
        <v>0</v>
      </c>
      <c r="J1620" s="93"/>
      <c r="K1620" s="93"/>
      <c r="L1620" s="93"/>
      <c r="M1620" s="93"/>
      <c r="N1620" s="93"/>
      <c r="O1620" s="93"/>
      <c r="P1620" s="93"/>
      <c r="Q1620" s="93"/>
      <c r="R1620" s="93"/>
      <c r="S1620" s="93"/>
      <c r="T1620" s="93"/>
      <c r="U1620" s="93"/>
      <c r="V1620" s="93"/>
      <c r="W1620" s="93"/>
      <c r="X1620" s="93"/>
      <c r="Y1620" s="93"/>
      <c r="Z1620" s="93"/>
    </row>
    <row r="1621" customFormat="false" ht="16.4" hidden="false" customHeight="false" outlineLevel="0" collapsed="false">
      <c r="A1621" s="123" t="n">
        <v>45444</v>
      </c>
      <c r="B1621" s="31" t="s">
        <v>153</v>
      </c>
      <c r="C1621" s="129"/>
      <c r="D1621" s="129"/>
      <c r="E1621" s="19" t="n">
        <f aca="false">F1621*0.03</f>
        <v>0</v>
      </c>
      <c r="F1621" s="33" t="n">
        <v>0</v>
      </c>
      <c r="G1621" s="131"/>
      <c r="H1621" s="35" t="n">
        <v>0</v>
      </c>
      <c r="I1621" s="34" t="n">
        <f aca="false">+IF(E1621=0,0,E1621*0.03)</f>
        <v>0</v>
      </c>
      <c r="J1621" s="93"/>
      <c r="K1621" s="93"/>
      <c r="L1621" s="93"/>
      <c r="M1621" s="93"/>
      <c r="N1621" s="93"/>
      <c r="O1621" s="93"/>
      <c r="P1621" s="93"/>
      <c r="Q1621" s="93"/>
      <c r="R1621" s="93"/>
      <c r="S1621" s="93"/>
      <c r="T1621" s="93"/>
      <c r="U1621" s="93"/>
      <c r="V1621" s="93"/>
      <c r="W1621" s="93"/>
      <c r="X1621" s="93"/>
      <c r="Y1621" s="93"/>
      <c r="Z1621" s="93"/>
    </row>
    <row r="1622" customFormat="false" ht="16.4" hidden="false" customHeight="false" outlineLevel="0" collapsed="false">
      <c r="A1622" s="123" t="n">
        <v>45444</v>
      </c>
      <c r="B1622" s="31" t="s">
        <v>153</v>
      </c>
      <c r="C1622" s="129"/>
      <c r="D1622" s="129"/>
      <c r="E1622" s="19" t="n">
        <f aca="false">F1622*0.03</f>
        <v>0</v>
      </c>
      <c r="F1622" s="33" t="n">
        <v>0</v>
      </c>
      <c r="G1622" s="131"/>
      <c r="H1622" s="35" t="n">
        <v>0</v>
      </c>
      <c r="I1622" s="34" t="n">
        <f aca="false">+IF(E1622=0,0,E1622*0.03)</f>
        <v>0</v>
      </c>
      <c r="J1622" s="93"/>
      <c r="K1622" s="93"/>
      <c r="L1622" s="93"/>
      <c r="M1622" s="93"/>
      <c r="N1622" s="93"/>
      <c r="O1622" s="93"/>
      <c r="P1622" s="93"/>
      <c r="Q1622" s="93"/>
      <c r="R1622" s="93"/>
      <c r="S1622" s="93"/>
      <c r="T1622" s="93"/>
      <c r="U1622" s="93"/>
      <c r="V1622" s="93"/>
      <c r="W1622" s="93"/>
      <c r="X1622" s="93"/>
      <c r="Y1622" s="93"/>
      <c r="Z1622" s="93"/>
    </row>
    <row r="1623" customFormat="false" ht="16.4" hidden="false" customHeight="false" outlineLevel="0" collapsed="false">
      <c r="A1623" s="123" t="n">
        <v>45444</v>
      </c>
      <c r="B1623" s="31" t="s">
        <v>153</v>
      </c>
      <c r="C1623" s="129"/>
      <c r="D1623" s="129"/>
      <c r="E1623" s="19" t="n">
        <f aca="false">F1623*0.03</f>
        <v>0</v>
      </c>
      <c r="F1623" s="33" t="n">
        <v>0</v>
      </c>
      <c r="G1623" s="131"/>
      <c r="H1623" s="35" t="n">
        <v>0</v>
      </c>
      <c r="I1623" s="34" t="n">
        <f aca="false">+IF(E1623=0,0,E1623*0.03)</f>
        <v>0</v>
      </c>
      <c r="J1623" s="93"/>
      <c r="K1623" s="93"/>
      <c r="L1623" s="93"/>
      <c r="M1623" s="93"/>
      <c r="N1623" s="93"/>
      <c r="O1623" s="93"/>
      <c r="P1623" s="93"/>
      <c r="Q1623" s="93"/>
      <c r="R1623" s="93"/>
      <c r="S1623" s="93"/>
      <c r="T1623" s="93"/>
      <c r="U1623" s="93"/>
      <c r="V1623" s="93"/>
      <c r="W1623" s="93"/>
      <c r="X1623" s="93"/>
      <c r="Y1623" s="93"/>
      <c r="Z1623" s="93"/>
    </row>
    <row r="1624" customFormat="false" ht="16.4" hidden="false" customHeight="false" outlineLevel="0" collapsed="false">
      <c r="A1624" s="123" t="n">
        <v>45444</v>
      </c>
      <c r="B1624" s="31" t="s">
        <v>153</v>
      </c>
      <c r="C1624" s="129"/>
      <c r="D1624" s="129"/>
      <c r="E1624" s="19" t="n">
        <f aca="false">F1624*0.03</f>
        <v>0</v>
      </c>
      <c r="F1624" s="33" t="n">
        <v>0</v>
      </c>
      <c r="G1624" s="131"/>
      <c r="H1624" s="35" t="n">
        <v>0</v>
      </c>
      <c r="I1624" s="34" t="n">
        <f aca="false">+IF(E1624=0,0,E1624*0.03)</f>
        <v>0</v>
      </c>
      <c r="J1624" s="93"/>
      <c r="K1624" s="93"/>
      <c r="L1624" s="93"/>
      <c r="M1624" s="93"/>
      <c r="N1624" s="93"/>
      <c r="O1624" s="93"/>
      <c r="P1624" s="93"/>
      <c r="Q1624" s="93"/>
      <c r="R1624" s="93"/>
      <c r="S1624" s="93"/>
      <c r="T1624" s="93"/>
      <c r="U1624" s="93"/>
      <c r="V1624" s="93"/>
      <c r="W1624" s="93"/>
      <c r="X1624" s="93"/>
      <c r="Y1624" s="93"/>
      <c r="Z1624" s="93"/>
    </row>
    <row r="1625" customFormat="false" ht="16.4" hidden="false" customHeight="false" outlineLevel="0" collapsed="false">
      <c r="A1625" s="123" t="n">
        <v>45444</v>
      </c>
      <c r="B1625" s="31" t="s">
        <v>153</v>
      </c>
      <c r="C1625" s="129"/>
      <c r="D1625" s="129"/>
      <c r="E1625" s="19" t="n">
        <f aca="false">F1625*0.03</f>
        <v>0</v>
      </c>
      <c r="F1625" s="33" t="n">
        <v>0</v>
      </c>
      <c r="G1625" s="131"/>
      <c r="H1625" s="35" t="n">
        <v>0</v>
      </c>
      <c r="I1625" s="34" t="n">
        <f aca="false">+IF(E1625=0,0,E1625*0.03)</f>
        <v>0</v>
      </c>
      <c r="J1625" s="93"/>
      <c r="K1625" s="93"/>
      <c r="L1625" s="93"/>
      <c r="M1625" s="93"/>
      <c r="N1625" s="93"/>
      <c r="O1625" s="93"/>
      <c r="P1625" s="93"/>
      <c r="Q1625" s="93"/>
      <c r="R1625" s="93"/>
      <c r="S1625" s="93"/>
      <c r="T1625" s="93"/>
      <c r="U1625" s="93"/>
      <c r="V1625" s="93"/>
      <c r="W1625" s="93"/>
      <c r="X1625" s="93"/>
      <c r="Y1625" s="93"/>
      <c r="Z1625" s="93"/>
    </row>
    <row r="1626" customFormat="false" ht="16.4" hidden="false" customHeight="false" outlineLevel="0" collapsed="false">
      <c r="A1626" s="123" t="n">
        <v>45444</v>
      </c>
      <c r="B1626" s="31" t="s">
        <v>153</v>
      </c>
      <c r="C1626" s="129"/>
      <c r="D1626" s="129"/>
      <c r="E1626" s="19" t="n">
        <f aca="false">F1626*0.03</f>
        <v>0</v>
      </c>
      <c r="F1626" s="33" t="n">
        <v>0</v>
      </c>
      <c r="G1626" s="131"/>
      <c r="H1626" s="35" t="n">
        <v>0</v>
      </c>
      <c r="I1626" s="34" t="n">
        <f aca="false">+IF(E1626=0,0,E1626*0.03)</f>
        <v>0</v>
      </c>
      <c r="J1626" s="93"/>
      <c r="K1626" s="93"/>
      <c r="L1626" s="93"/>
      <c r="M1626" s="93"/>
      <c r="N1626" s="93"/>
      <c r="O1626" s="93"/>
      <c r="P1626" s="93"/>
      <c r="Q1626" s="93"/>
      <c r="R1626" s="93"/>
      <c r="S1626" s="93"/>
      <c r="T1626" s="93"/>
      <c r="U1626" s="93"/>
      <c r="V1626" s="93"/>
      <c r="W1626" s="93"/>
      <c r="X1626" s="93"/>
      <c r="Y1626" s="93"/>
      <c r="Z1626" s="93"/>
    </row>
    <row r="1627" customFormat="false" ht="16.4" hidden="false" customHeight="false" outlineLevel="0" collapsed="false">
      <c r="A1627" s="123" t="n">
        <v>45444</v>
      </c>
      <c r="B1627" s="31" t="s">
        <v>153</v>
      </c>
      <c r="C1627" s="129"/>
      <c r="D1627" s="129"/>
      <c r="E1627" s="19" t="n">
        <f aca="false">F1627*0.03</f>
        <v>0</v>
      </c>
      <c r="F1627" s="33" t="n">
        <v>0</v>
      </c>
      <c r="G1627" s="131"/>
      <c r="H1627" s="35" t="n">
        <v>0</v>
      </c>
      <c r="I1627" s="34" t="n">
        <f aca="false">+IF(E1627=0,0,E1627*0.03)</f>
        <v>0</v>
      </c>
      <c r="J1627" s="93"/>
      <c r="K1627" s="93"/>
      <c r="L1627" s="93"/>
      <c r="M1627" s="93"/>
      <c r="N1627" s="93"/>
      <c r="O1627" s="93"/>
      <c r="P1627" s="93"/>
      <c r="Q1627" s="93"/>
      <c r="R1627" s="93"/>
      <c r="S1627" s="93"/>
      <c r="T1627" s="93"/>
      <c r="U1627" s="93"/>
      <c r="V1627" s="93"/>
      <c r="W1627" s="93"/>
      <c r="X1627" s="93"/>
      <c r="Y1627" s="93"/>
      <c r="Z1627" s="93"/>
    </row>
    <row r="1628" customFormat="false" ht="16.4" hidden="false" customHeight="false" outlineLevel="0" collapsed="false">
      <c r="A1628" s="123" t="n">
        <v>45444</v>
      </c>
      <c r="B1628" s="31" t="s">
        <v>153</v>
      </c>
      <c r="C1628" s="129"/>
      <c r="D1628" s="129"/>
      <c r="E1628" s="19" t="n">
        <f aca="false">F1628*0.03</f>
        <v>0</v>
      </c>
      <c r="F1628" s="33" t="n">
        <v>0</v>
      </c>
      <c r="G1628" s="131"/>
      <c r="H1628" s="35" t="n">
        <v>0</v>
      </c>
      <c r="I1628" s="34" t="n">
        <f aca="false">+IF(E1628=0,0,E1628*0.03)</f>
        <v>0</v>
      </c>
      <c r="J1628" s="93"/>
      <c r="K1628" s="93"/>
      <c r="L1628" s="93"/>
      <c r="M1628" s="93"/>
      <c r="N1628" s="93"/>
      <c r="O1628" s="93"/>
      <c r="P1628" s="93"/>
      <c r="Q1628" s="93"/>
      <c r="R1628" s="93"/>
      <c r="S1628" s="93"/>
      <c r="T1628" s="93"/>
      <c r="U1628" s="93"/>
      <c r="V1628" s="93"/>
      <c r="W1628" s="93"/>
      <c r="X1628" s="93"/>
      <c r="Y1628" s="93"/>
      <c r="Z1628" s="93"/>
    </row>
    <row r="1629" customFormat="false" ht="16.4" hidden="false" customHeight="false" outlineLevel="0" collapsed="false">
      <c r="A1629" s="123" t="n">
        <v>45444</v>
      </c>
      <c r="B1629" s="31" t="s">
        <v>153</v>
      </c>
      <c r="C1629" s="129"/>
      <c r="D1629" s="129"/>
      <c r="E1629" s="19" t="n">
        <f aca="false">F1629*0.03</f>
        <v>0</v>
      </c>
      <c r="F1629" s="33" t="n">
        <v>0</v>
      </c>
      <c r="G1629" s="131"/>
      <c r="H1629" s="35" t="n">
        <v>0</v>
      </c>
      <c r="I1629" s="34" t="n">
        <f aca="false">+IF(E1629=0,0,E1629*0.03)</f>
        <v>0</v>
      </c>
      <c r="J1629" s="93"/>
      <c r="K1629" s="93"/>
      <c r="L1629" s="93"/>
      <c r="M1629" s="93"/>
      <c r="N1629" s="93"/>
      <c r="O1629" s="93"/>
      <c r="P1629" s="93"/>
      <c r="Q1629" s="93"/>
      <c r="R1629" s="93"/>
      <c r="S1629" s="93"/>
      <c r="T1629" s="93"/>
      <c r="U1629" s="93"/>
      <c r="V1629" s="93"/>
      <c r="W1629" s="93"/>
      <c r="X1629" s="93"/>
      <c r="Y1629" s="93"/>
      <c r="Z1629" s="93"/>
    </row>
    <row r="1630" customFormat="false" ht="16.4" hidden="false" customHeight="false" outlineLevel="0" collapsed="false">
      <c r="A1630" s="123" t="n">
        <v>45444</v>
      </c>
      <c r="B1630" s="31" t="s">
        <v>153</v>
      </c>
      <c r="C1630" s="129"/>
      <c r="D1630" s="129"/>
      <c r="E1630" s="19" t="n">
        <f aca="false">F1630*0.03</f>
        <v>0</v>
      </c>
      <c r="F1630" s="33" t="n">
        <v>0</v>
      </c>
      <c r="G1630" s="131"/>
      <c r="H1630" s="35" t="n">
        <v>0</v>
      </c>
      <c r="I1630" s="34" t="n">
        <f aca="false">+IF(E1630=0,0,E1630*0.03)</f>
        <v>0</v>
      </c>
      <c r="J1630" s="93"/>
      <c r="K1630" s="93"/>
      <c r="L1630" s="93"/>
      <c r="M1630" s="93"/>
      <c r="N1630" s="93"/>
      <c r="O1630" s="93"/>
      <c r="P1630" s="93"/>
      <c r="Q1630" s="93"/>
      <c r="R1630" s="93"/>
      <c r="S1630" s="93"/>
      <c r="T1630" s="93"/>
      <c r="U1630" s="93"/>
      <c r="V1630" s="93"/>
      <c r="W1630" s="93"/>
      <c r="X1630" s="93"/>
      <c r="Y1630" s="93"/>
      <c r="Z1630" s="93"/>
    </row>
    <row r="1631" customFormat="false" ht="16.4" hidden="false" customHeight="false" outlineLevel="0" collapsed="false">
      <c r="A1631" s="123" t="n">
        <v>45444</v>
      </c>
      <c r="B1631" s="31" t="s">
        <v>153</v>
      </c>
      <c r="C1631" s="129"/>
      <c r="D1631" s="129"/>
      <c r="E1631" s="19" t="n">
        <f aca="false">F1631*0.03</f>
        <v>0</v>
      </c>
      <c r="F1631" s="33" t="n">
        <v>0</v>
      </c>
      <c r="G1631" s="131"/>
      <c r="H1631" s="35" t="n">
        <v>0</v>
      </c>
      <c r="I1631" s="34" t="n">
        <f aca="false">+IF(E1631=0,0,E1631*0.03)</f>
        <v>0</v>
      </c>
      <c r="J1631" s="93"/>
      <c r="K1631" s="93"/>
      <c r="L1631" s="93"/>
      <c r="M1631" s="93"/>
      <c r="N1631" s="93"/>
      <c r="O1631" s="93"/>
      <c r="P1631" s="93"/>
      <c r="Q1631" s="93"/>
      <c r="R1631" s="93"/>
      <c r="S1631" s="93"/>
      <c r="T1631" s="93"/>
      <c r="U1631" s="93"/>
      <c r="V1631" s="93"/>
      <c r="W1631" s="93"/>
      <c r="X1631" s="93"/>
      <c r="Y1631" s="93"/>
      <c r="Z1631" s="93"/>
    </row>
    <row r="1632" customFormat="false" ht="16.4" hidden="false" customHeight="false" outlineLevel="0" collapsed="false">
      <c r="A1632" s="123" t="n">
        <v>45444</v>
      </c>
      <c r="B1632" s="31" t="s">
        <v>153</v>
      </c>
      <c r="C1632" s="129"/>
      <c r="D1632" s="129"/>
      <c r="E1632" s="19" t="n">
        <f aca="false">F1632*0.03</f>
        <v>0</v>
      </c>
      <c r="F1632" s="33" t="n">
        <v>0</v>
      </c>
      <c r="G1632" s="131"/>
      <c r="H1632" s="35" t="n">
        <v>0</v>
      </c>
      <c r="I1632" s="34" t="n">
        <f aca="false">+IF(E1632=0,0,E1632*0.03)</f>
        <v>0</v>
      </c>
      <c r="J1632" s="93"/>
      <c r="K1632" s="93"/>
      <c r="L1632" s="93"/>
      <c r="M1632" s="93"/>
      <c r="N1632" s="93"/>
      <c r="O1632" s="93"/>
      <c r="P1632" s="93"/>
      <c r="Q1632" s="93"/>
      <c r="R1632" s="93"/>
      <c r="S1632" s="93"/>
      <c r="T1632" s="93"/>
      <c r="U1632" s="93"/>
      <c r="V1632" s="93"/>
      <c r="W1632" s="93"/>
      <c r="X1632" s="93"/>
      <c r="Y1632" s="93"/>
      <c r="Z1632" s="93"/>
    </row>
    <row r="1633" customFormat="false" ht="16.4" hidden="false" customHeight="false" outlineLevel="0" collapsed="false">
      <c r="A1633" s="123" t="n">
        <v>45444</v>
      </c>
      <c r="B1633" s="31" t="s">
        <v>153</v>
      </c>
      <c r="C1633" s="129"/>
      <c r="D1633" s="129"/>
      <c r="E1633" s="19" t="n">
        <f aca="false">F1633*0.03</f>
        <v>0</v>
      </c>
      <c r="F1633" s="33" t="n">
        <v>0</v>
      </c>
      <c r="G1633" s="131"/>
      <c r="H1633" s="35" t="n">
        <v>0</v>
      </c>
      <c r="I1633" s="34" t="n">
        <f aca="false">+IF(E1633=0,0,E1633*0.03)</f>
        <v>0</v>
      </c>
      <c r="J1633" s="93"/>
      <c r="K1633" s="93"/>
      <c r="L1633" s="93"/>
      <c r="M1633" s="93"/>
      <c r="N1633" s="93"/>
      <c r="O1633" s="93"/>
      <c r="P1633" s="93"/>
      <c r="Q1633" s="93"/>
      <c r="R1633" s="93"/>
      <c r="S1633" s="93"/>
      <c r="T1633" s="93"/>
      <c r="U1633" s="93"/>
      <c r="V1633" s="93"/>
      <c r="W1633" s="93"/>
      <c r="X1633" s="93"/>
      <c r="Y1633" s="93"/>
      <c r="Z1633" s="93"/>
    </row>
    <row r="1634" customFormat="false" ht="16.4" hidden="false" customHeight="false" outlineLevel="0" collapsed="false">
      <c r="A1634" s="123" t="n">
        <v>45444</v>
      </c>
      <c r="B1634" s="31" t="s">
        <v>153</v>
      </c>
      <c r="C1634" s="129"/>
      <c r="D1634" s="129"/>
      <c r="E1634" s="19" t="n">
        <f aca="false">F1634*0.03</f>
        <v>0</v>
      </c>
      <c r="F1634" s="33" t="n">
        <v>0</v>
      </c>
      <c r="G1634" s="131"/>
      <c r="H1634" s="35" t="n">
        <v>0</v>
      </c>
      <c r="I1634" s="34" t="n">
        <f aca="false">+IF(E1634=0,0,E1634*0.03)</f>
        <v>0</v>
      </c>
      <c r="J1634" s="93"/>
      <c r="K1634" s="93"/>
      <c r="L1634" s="93"/>
      <c r="M1634" s="93"/>
      <c r="N1634" s="93"/>
      <c r="O1634" s="93"/>
      <c r="P1634" s="93"/>
      <c r="Q1634" s="93"/>
      <c r="R1634" s="93"/>
      <c r="S1634" s="93"/>
      <c r="T1634" s="93"/>
      <c r="U1634" s="93"/>
      <c r="V1634" s="93"/>
      <c r="W1634" s="93"/>
      <c r="X1634" s="93"/>
      <c r="Y1634" s="93"/>
      <c r="Z1634" s="93"/>
    </row>
    <row r="1635" customFormat="false" ht="16.4" hidden="false" customHeight="false" outlineLevel="0" collapsed="false">
      <c r="A1635" s="123" t="n">
        <v>45444</v>
      </c>
      <c r="B1635" s="31" t="s">
        <v>153</v>
      </c>
      <c r="C1635" s="129"/>
      <c r="D1635" s="129"/>
      <c r="E1635" s="19" t="n">
        <f aca="false">F1635*0.03</f>
        <v>0</v>
      </c>
      <c r="F1635" s="33" t="n">
        <v>0</v>
      </c>
      <c r="G1635" s="131"/>
      <c r="H1635" s="35" t="n">
        <v>0</v>
      </c>
      <c r="I1635" s="34" t="n">
        <f aca="false">+IF(E1635=0,0,E1635*0.03)</f>
        <v>0</v>
      </c>
      <c r="J1635" s="93"/>
      <c r="K1635" s="93"/>
      <c r="L1635" s="93"/>
      <c r="M1635" s="93"/>
      <c r="N1635" s="93"/>
      <c r="O1635" s="93"/>
      <c r="P1635" s="93"/>
      <c r="Q1635" s="93"/>
      <c r="R1635" s="93"/>
      <c r="S1635" s="93"/>
      <c r="T1635" s="93"/>
      <c r="U1635" s="93"/>
      <c r="V1635" s="93"/>
      <c r="W1635" s="93"/>
      <c r="X1635" s="93"/>
      <c r="Y1635" s="93"/>
      <c r="Z1635" s="93"/>
    </row>
    <row r="1636" customFormat="false" ht="16.4" hidden="false" customHeight="false" outlineLevel="0" collapsed="false">
      <c r="A1636" s="123" t="n">
        <v>45444</v>
      </c>
      <c r="B1636" s="31" t="s">
        <v>153</v>
      </c>
      <c r="C1636" s="129"/>
      <c r="D1636" s="129"/>
      <c r="E1636" s="19" t="n">
        <f aca="false">F1636*0.03</f>
        <v>0</v>
      </c>
      <c r="F1636" s="33" t="n">
        <v>0</v>
      </c>
      <c r="G1636" s="131"/>
      <c r="H1636" s="35" t="n">
        <v>0</v>
      </c>
      <c r="I1636" s="34" t="n">
        <f aca="false">+IF(E1636=0,0,E1636*0.03)</f>
        <v>0</v>
      </c>
      <c r="J1636" s="93"/>
      <c r="K1636" s="93"/>
      <c r="L1636" s="93"/>
      <c r="M1636" s="93"/>
      <c r="N1636" s="93"/>
      <c r="O1636" s="93"/>
      <c r="P1636" s="93"/>
      <c r="Q1636" s="93"/>
      <c r="R1636" s="93"/>
      <c r="S1636" s="93"/>
      <c r="T1636" s="93"/>
      <c r="U1636" s="93"/>
      <c r="V1636" s="93"/>
      <c r="W1636" s="93"/>
      <c r="X1636" s="93"/>
      <c r="Y1636" s="93"/>
      <c r="Z1636" s="93"/>
    </row>
    <row r="1637" customFormat="false" ht="16.4" hidden="false" customHeight="false" outlineLevel="0" collapsed="false">
      <c r="A1637" s="123" t="n">
        <v>45444</v>
      </c>
      <c r="B1637" s="31" t="s">
        <v>153</v>
      </c>
      <c r="C1637" s="129"/>
      <c r="D1637" s="129"/>
      <c r="E1637" s="19" t="n">
        <f aca="false">F1637*0.03</f>
        <v>0</v>
      </c>
      <c r="F1637" s="33" t="n">
        <v>0</v>
      </c>
      <c r="G1637" s="131"/>
      <c r="H1637" s="35" t="n">
        <v>0</v>
      </c>
      <c r="I1637" s="34" t="n">
        <f aca="false">+IF(E1637=0,0,E1637*0.03)</f>
        <v>0</v>
      </c>
      <c r="J1637" s="93"/>
      <c r="K1637" s="93"/>
      <c r="L1637" s="93"/>
      <c r="M1637" s="93"/>
      <c r="N1637" s="93"/>
      <c r="O1637" s="93"/>
      <c r="P1637" s="93"/>
      <c r="Q1637" s="93"/>
      <c r="R1637" s="93"/>
      <c r="S1637" s="93"/>
      <c r="T1637" s="93"/>
      <c r="U1637" s="93"/>
      <c r="V1637" s="93"/>
      <c r="W1637" s="93"/>
      <c r="X1637" s="93"/>
      <c r="Y1637" s="93"/>
      <c r="Z1637" s="93"/>
    </row>
    <row r="1638" customFormat="false" ht="16.4" hidden="false" customHeight="false" outlineLevel="0" collapsed="false">
      <c r="A1638" s="123" t="n">
        <v>45444</v>
      </c>
      <c r="B1638" s="31" t="s">
        <v>153</v>
      </c>
      <c r="C1638" s="129"/>
      <c r="D1638" s="129"/>
      <c r="E1638" s="19" t="n">
        <f aca="false">F1638*0.03</f>
        <v>0</v>
      </c>
      <c r="F1638" s="33" t="n">
        <v>0</v>
      </c>
      <c r="G1638" s="131"/>
      <c r="H1638" s="35" t="n">
        <v>0</v>
      </c>
      <c r="I1638" s="34" t="n">
        <f aca="false">+IF(E1638=0,0,E1638*0.03)</f>
        <v>0</v>
      </c>
      <c r="J1638" s="93"/>
      <c r="K1638" s="93"/>
      <c r="L1638" s="93"/>
      <c r="M1638" s="93"/>
      <c r="N1638" s="93"/>
      <c r="O1638" s="93"/>
      <c r="P1638" s="93"/>
      <c r="Q1638" s="93"/>
      <c r="R1638" s="93"/>
      <c r="S1638" s="93"/>
      <c r="T1638" s="93"/>
      <c r="U1638" s="93"/>
      <c r="V1638" s="93"/>
      <c r="W1638" s="93"/>
      <c r="X1638" s="93"/>
      <c r="Y1638" s="93"/>
      <c r="Z1638" s="93"/>
    </row>
    <row r="1639" customFormat="false" ht="16.4" hidden="false" customHeight="false" outlineLevel="0" collapsed="false">
      <c r="A1639" s="123" t="n">
        <v>45444</v>
      </c>
      <c r="B1639" s="31" t="s">
        <v>153</v>
      </c>
      <c r="C1639" s="129"/>
      <c r="D1639" s="129"/>
      <c r="E1639" s="19" t="n">
        <f aca="false">F1639*0.03</f>
        <v>0</v>
      </c>
      <c r="F1639" s="33" t="n">
        <v>0</v>
      </c>
      <c r="G1639" s="131"/>
      <c r="H1639" s="35" t="n">
        <v>0</v>
      </c>
      <c r="I1639" s="34" t="n">
        <f aca="false">+IF(E1639=0,0,E1639*0.03)</f>
        <v>0</v>
      </c>
      <c r="J1639" s="93"/>
      <c r="K1639" s="93"/>
      <c r="L1639" s="93"/>
      <c r="M1639" s="93"/>
      <c r="N1639" s="93"/>
      <c r="O1639" s="93"/>
      <c r="P1639" s="93"/>
      <c r="Q1639" s="93"/>
      <c r="R1639" s="93"/>
      <c r="S1639" s="93"/>
      <c r="T1639" s="93"/>
      <c r="U1639" s="93"/>
      <c r="V1639" s="93"/>
      <c r="W1639" s="93"/>
      <c r="X1639" s="93"/>
      <c r="Y1639" s="93"/>
      <c r="Z1639" s="93"/>
    </row>
    <row r="1640" customFormat="false" ht="16.4" hidden="false" customHeight="false" outlineLevel="0" collapsed="false">
      <c r="A1640" s="123" t="n">
        <v>45444</v>
      </c>
      <c r="B1640" s="31" t="s">
        <v>153</v>
      </c>
      <c r="C1640" s="129"/>
      <c r="D1640" s="129"/>
      <c r="E1640" s="19" t="n">
        <f aca="false">F1640*0.03</f>
        <v>0</v>
      </c>
      <c r="F1640" s="33" t="n">
        <v>0</v>
      </c>
      <c r="G1640" s="131"/>
      <c r="H1640" s="35" t="n">
        <v>0</v>
      </c>
      <c r="I1640" s="34" t="n">
        <f aca="false">+IF(E1640=0,0,E1640*0.03)</f>
        <v>0</v>
      </c>
      <c r="J1640" s="93"/>
      <c r="K1640" s="93"/>
      <c r="L1640" s="93"/>
      <c r="M1640" s="93"/>
      <c r="N1640" s="93"/>
      <c r="O1640" s="93"/>
      <c r="P1640" s="93"/>
      <c r="Q1640" s="93"/>
      <c r="R1640" s="93"/>
      <c r="S1640" s="93"/>
      <c r="T1640" s="93"/>
      <c r="U1640" s="93"/>
      <c r="V1640" s="93"/>
      <c r="W1640" s="93"/>
      <c r="X1640" s="93"/>
      <c r="Y1640" s="93"/>
      <c r="Z1640" s="93"/>
    </row>
    <row r="1641" customFormat="false" ht="16.4" hidden="false" customHeight="false" outlineLevel="0" collapsed="false">
      <c r="A1641" s="123" t="n">
        <v>45444</v>
      </c>
      <c r="B1641" s="31" t="s">
        <v>153</v>
      </c>
      <c r="C1641" s="129"/>
      <c r="D1641" s="129"/>
      <c r="E1641" s="19" t="n">
        <f aca="false">F1641*0.03</f>
        <v>0</v>
      </c>
      <c r="F1641" s="33" t="n">
        <v>0</v>
      </c>
      <c r="G1641" s="131"/>
      <c r="H1641" s="35" t="n">
        <v>0</v>
      </c>
      <c r="I1641" s="34" t="n">
        <f aca="false">+IF(E1641=0,0,E1641*0.03)</f>
        <v>0</v>
      </c>
      <c r="J1641" s="93"/>
      <c r="K1641" s="93"/>
      <c r="L1641" s="93"/>
      <c r="M1641" s="93"/>
      <c r="N1641" s="93"/>
      <c r="O1641" s="93"/>
      <c r="P1641" s="93"/>
      <c r="Q1641" s="93"/>
      <c r="R1641" s="93"/>
      <c r="S1641" s="93"/>
      <c r="T1641" s="93"/>
      <c r="U1641" s="93"/>
      <c r="V1641" s="93"/>
      <c r="W1641" s="93"/>
      <c r="X1641" s="93"/>
      <c r="Y1641" s="93"/>
      <c r="Z1641" s="93"/>
    </row>
    <row r="1642" customFormat="false" ht="16.4" hidden="false" customHeight="false" outlineLevel="0" collapsed="false">
      <c r="A1642" s="123" t="n">
        <v>45444</v>
      </c>
      <c r="B1642" s="31" t="s">
        <v>153</v>
      </c>
      <c r="C1642" s="129"/>
      <c r="D1642" s="129"/>
      <c r="E1642" s="19" t="n">
        <f aca="false">F1642*0.03</f>
        <v>0</v>
      </c>
      <c r="F1642" s="33" t="n">
        <v>0</v>
      </c>
      <c r="G1642" s="131"/>
      <c r="H1642" s="35" t="n">
        <v>0</v>
      </c>
      <c r="I1642" s="34" t="n">
        <f aca="false">+IF(E1642=0,0,E1642*0.03)</f>
        <v>0</v>
      </c>
      <c r="J1642" s="93"/>
      <c r="K1642" s="93"/>
      <c r="L1642" s="93"/>
      <c r="M1642" s="93"/>
      <c r="N1642" s="93"/>
      <c r="O1642" s="93"/>
      <c r="P1642" s="93"/>
      <c r="Q1642" s="93"/>
      <c r="R1642" s="93"/>
      <c r="S1642" s="93"/>
      <c r="T1642" s="93"/>
      <c r="U1642" s="93"/>
      <c r="V1642" s="93"/>
      <c r="W1642" s="93"/>
      <c r="X1642" s="93"/>
      <c r="Y1642" s="93"/>
      <c r="Z1642" s="93"/>
    </row>
    <row r="1643" customFormat="false" ht="16.4" hidden="false" customHeight="false" outlineLevel="0" collapsed="false">
      <c r="A1643" s="123" t="n">
        <v>45444</v>
      </c>
      <c r="B1643" s="31" t="s">
        <v>153</v>
      </c>
      <c r="C1643" s="129"/>
      <c r="D1643" s="129"/>
      <c r="E1643" s="19" t="n">
        <f aca="false">F1643*0.03</f>
        <v>0</v>
      </c>
      <c r="F1643" s="33" t="n">
        <v>0</v>
      </c>
      <c r="G1643" s="131"/>
      <c r="H1643" s="35" t="n">
        <v>0</v>
      </c>
      <c r="I1643" s="34" t="n">
        <f aca="false">+IF(E1643=0,0,E1643*0.03)</f>
        <v>0</v>
      </c>
      <c r="J1643" s="93"/>
      <c r="K1643" s="93"/>
      <c r="L1643" s="93"/>
      <c r="M1643" s="93"/>
      <c r="N1643" s="93"/>
      <c r="O1643" s="93"/>
      <c r="P1643" s="93"/>
      <c r="Q1643" s="93"/>
      <c r="R1643" s="93"/>
      <c r="S1643" s="93"/>
      <c r="T1643" s="93"/>
      <c r="U1643" s="93"/>
      <c r="V1643" s="93"/>
      <c r="W1643" s="93"/>
      <c r="X1643" s="93"/>
      <c r="Y1643" s="93"/>
      <c r="Z1643" s="93"/>
    </row>
    <row r="1644" customFormat="false" ht="16.4" hidden="false" customHeight="false" outlineLevel="0" collapsed="false">
      <c r="A1644" s="123" t="n">
        <v>45444</v>
      </c>
      <c r="B1644" s="31" t="s">
        <v>153</v>
      </c>
      <c r="C1644" s="129"/>
      <c r="D1644" s="129"/>
      <c r="E1644" s="19" t="n">
        <f aca="false">F1644*0.03</f>
        <v>0</v>
      </c>
      <c r="F1644" s="33" t="n">
        <v>0</v>
      </c>
      <c r="G1644" s="131"/>
      <c r="H1644" s="35" t="n">
        <v>0</v>
      </c>
      <c r="I1644" s="34" t="n">
        <f aca="false">+IF(E1644=0,0,E1644*0.03)</f>
        <v>0</v>
      </c>
      <c r="J1644" s="93"/>
      <c r="K1644" s="93"/>
      <c r="L1644" s="93"/>
      <c r="M1644" s="93"/>
      <c r="N1644" s="93"/>
      <c r="O1644" s="93"/>
      <c r="P1644" s="93"/>
      <c r="Q1644" s="93"/>
      <c r="R1644" s="93"/>
      <c r="S1644" s="93"/>
      <c r="T1644" s="93"/>
      <c r="U1644" s="93"/>
      <c r="V1644" s="93"/>
      <c r="W1644" s="93"/>
      <c r="X1644" s="93"/>
      <c r="Y1644" s="93"/>
      <c r="Z1644" s="93"/>
    </row>
    <row r="1645" customFormat="false" ht="16.4" hidden="false" customHeight="false" outlineLevel="0" collapsed="false">
      <c r="A1645" s="123" t="n">
        <v>45444</v>
      </c>
      <c r="B1645" s="31" t="s">
        <v>153</v>
      </c>
      <c r="C1645" s="129"/>
      <c r="D1645" s="129"/>
      <c r="E1645" s="19" t="n">
        <f aca="false">F1645*0.03</f>
        <v>0</v>
      </c>
      <c r="F1645" s="33" t="n">
        <v>0</v>
      </c>
      <c r="G1645" s="131"/>
      <c r="H1645" s="35" t="n">
        <v>0</v>
      </c>
      <c r="I1645" s="34" t="n">
        <f aca="false">+IF(E1645=0,0,E1645*0.03)</f>
        <v>0</v>
      </c>
      <c r="J1645" s="93"/>
      <c r="K1645" s="93"/>
      <c r="L1645" s="93"/>
      <c r="M1645" s="93"/>
      <c r="N1645" s="93"/>
      <c r="O1645" s="93"/>
      <c r="P1645" s="93"/>
      <c r="Q1645" s="93"/>
      <c r="R1645" s="93"/>
      <c r="S1645" s="93"/>
      <c r="T1645" s="93"/>
      <c r="U1645" s="93"/>
      <c r="V1645" s="93"/>
      <c r="W1645" s="93"/>
      <c r="X1645" s="93"/>
      <c r="Y1645" s="93"/>
      <c r="Z1645" s="93"/>
    </row>
    <row r="1646" customFormat="false" ht="16.4" hidden="false" customHeight="false" outlineLevel="0" collapsed="false">
      <c r="A1646" s="123" t="n">
        <v>45444</v>
      </c>
      <c r="B1646" s="31" t="s">
        <v>153</v>
      </c>
      <c r="C1646" s="129"/>
      <c r="D1646" s="129"/>
      <c r="E1646" s="19" t="n">
        <f aca="false">F1646*0.03</f>
        <v>0</v>
      </c>
      <c r="F1646" s="33" t="n">
        <v>0</v>
      </c>
      <c r="G1646" s="131"/>
      <c r="H1646" s="35" t="n">
        <v>0</v>
      </c>
      <c r="I1646" s="34" t="n">
        <f aca="false">+IF(E1646=0,0,E1646*0.03)</f>
        <v>0</v>
      </c>
      <c r="J1646" s="93"/>
      <c r="K1646" s="93"/>
      <c r="L1646" s="93"/>
      <c r="M1646" s="93"/>
      <c r="N1646" s="93"/>
      <c r="O1646" s="93"/>
      <c r="P1646" s="93"/>
      <c r="Q1646" s="93"/>
      <c r="R1646" s="93"/>
      <c r="S1646" s="93"/>
      <c r="T1646" s="93"/>
      <c r="U1646" s="93"/>
      <c r="V1646" s="93"/>
      <c r="W1646" s="93"/>
      <c r="X1646" s="93"/>
      <c r="Y1646" s="93"/>
      <c r="Z1646" s="93"/>
    </row>
    <row r="1647" customFormat="false" ht="16.4" hidden="false" customHeight="false" outlineLevel="0" collapsed="false">
      <c r="A1647" s="123" t="n">
        <v>45444</v>
      </c>
      <c r="B1647" s="31" t="s">
        <v>153</v>
      </c>
      <c r="C1647" s="129"/>
      <c r="D1647" s="129"/>
      <c r="E1647" s="19" t="n">
        <f aca="false">F1647*0.03</f>
        <v>0</v>
      </c>
      <c r="F1647" s="33" t="n">
        <v>0</v>
      </c>
      <c r="G1647" s="131"/>
      <c r="H1647" s="35" t="n">
        <v>0</v>
      </c>
      <c r="I1647" s="34" t="n">
        <f aca="false">+IF(E1647=0,0,E1647*0.03)</f>
        <v>0</v>
      </c>
      <c r="J1647" s="93"/>
      <c r="K1647" s="93"/>
      <c r="L1647" s="93"/>
      <c r="M1647" s="93"/>
      <c r="N1647" s="93"/>
      <c r="O1647" s="93"/>
      <c r="P1647" s="93"/>
      <c r="Q1647" s="93"/>
      <c r="R1647" s="93"/>
      <c r="S1647" s="93"/>
      <c r="T1647" s="93"/>
      <c r="U1647" s="93"/>
      <c r="V1647" s="93"/>
      <c r="W1647" s="93"/>
      <c r="X1647" s="93"/>
      <c r="Y1647" s="93"/>
      <c r="Z1647" s="93"/>
    </row>
    <row r="1648" customFormat="false" ht="16.4" hidden="false" customHeight="false" outlineLevel="0" collapsed="false">
      <c r="A1648" s="123" t="n">
        <v>45444</v>
      </c>
      <c r="B1648" s="31" t="s">
        <v>153</v>
      </c>
      <c r="C1648" s="129"/>
      <c r="D1648" s="129"/>
      <c r="E1648" s="19" t="n">
        <f aca="false">F1648*0.03</f>
        <v>0</v>
      </c>
      <c r="F1648" s="33" t="n">
        <v>0</v>
      </c>
      <c r="G1648" s="131"/>
      <c r="H1648" s="35" t="n">
        <v>0</v>
      </c>
      <c r="I1648" s="34" t="n">
        <f aca="false">+IF(E1648=0,0,E1648*0.03)</f>
        <v>0</v>
      </c>
      <c r="J1648" s="93"/>
      <c r="K1648" s="93"/>
      <c r="L1648" s="93"/>
      <c r="M1648" s="93"/>
      <c r="N1648" s="93"/>
      <c r="O1648" s="93"/>
      <c r="P1648" s="93"/>
      <c r="Q1648" s="93"/>
      <c r="R1648" s="93"/>
      <c r="S1648" s="93"/>
      <c r="T1648" s="93"/>
      <c r="U1648" s="93"/>
      <c r="V1648" s="93"/>
      <c r="W1648" s="93"/>
      <c r="X1648" s="93"/>
      <c r="Y1648" s="93"/>
      <c r="Z1648" s="93"/>
    </row>
    <row r="1649" customFormat="false" ht="16.4" hidden="false" customHeight="false" outlineLevel="0" collapsed="false">
      <c r="A1649" s="123" t="n">
        <v>45444</v>
      </c>
      <c r="B1649" s="31" t="s">
        <v>153</v>
      </c>
      <c r="C1649" s="129"/>
      <c r="D1649" s="129"/>
      <c r="E1649" s="19" t="n">
        <f aca="false">F1649*0.03</f>
        <v>0</v>
      </c>
      <c r="F1649" s="33" t="n">
        <v>0</v>
      </c>
      <c r="G1649" s="131"/>
      <c r="H1649" s="35" t="n">
        <v>0</v>
      </c>
      <c r="I1649" s="34" t="n">
        <f aca="false">+IF(E1649=0,0,E1649*0.03)</f>
        <v>0</v>
      </c>
      <c r="J1649" s="93"/>
      <c r="K1649" s="93"/>
      <c r="L1649" s="93"/>
      <c r="M1649" s="93"/>
      <c r="N1649" s="93"/>
      <c r="O1649" s="93"/>
      <c r="P1649" s="93"/>
      <c r="Q1649" s="93"/>
      <c r="R1649" s="93"/>
      <c r="S1649" s="93"/>
      <c r="T1649" s="93"/>
      <c r="U1649" s="93"/>
      <c r="V1649" s="93"/>
      <c r="W1649" s="93"/>
      <c r="X1649" s="93"/>
      <c r="Y1649" s="93"/>
      <c r="Z1649" s="93"/>
    </row>
    <row r="1650" customFormat="false" ht="16.4" hidden="false" customHeight="false" outlineLevel="0" collapsed="false">
      <c r="A1650" s="123" t="n">
        <v>45444</v>
      </c>
      <c r="B1650" s="31" t="s">
        <v>153</v>
      </c>
      <c r="C1650" s="129"/>
      <c r="D1650" s="129"/>
      <c r="E1650" s="19" t="n">
        <f aca="false">F1650*0.03</f>
        <v>0</v>
      </c>
      <c r="F1650" s="33" t="n">
        <v>0</v>
      </c>
      <c r="G1650" s="131"/>
      <c r="H1650" s="35" t="n">
        <v>0</v>
      </c>
      <c r="I1650" s="34" t="n">
        <f aca="false">+IF(E1650=0,0,E1650*0.03)</f>
        <v>0</v>
      </c>
      <c r="J1650" s="93"/>
      <c r="K1650" s="93"/>
      <c r="L1650" s="93"/>
      <c r="M1650" s="93"/>
      <c r="N1650" s="93"/>
      <c r="O1650" s="93"/>
      <c r="P1650" s="93"/>
      <c r="Q1650" s="93"/>
      <c r="R1650" s="93"/>
      <c r="S1650" s="93"/>
      <c r="T1650" s="93"/>
      <c r="U1650" s="93"/>
      <c r="V1650" s="93"/>
      <c r="W1650" s="93"/>
      <c r="X1650" s="93"/>
      <c r="Y1650" s="93"/>
      <c r="Z1650" s="93"/>
    </row>
    <row r="1651" customFormat="false" ht="16.4" hidden="false" customHeight="false" outlineLevel="0" collapsed="false">
      <c r="A1651" s="123" t="n">
        <v>45444</v>
      </c>
      <c r="B1651" s="31" t="s">
        <v>153</v>
      </c>
      <c r="C1651" s="129"/>
      <c r="D1651" s="129"/>
      <c r="E1651" s="19" t="n">
        <f aca="false">F1651*0.03</f>
        <v>0</v>
      </c>
      <c r="F1651" s="33" t="n">
        <v>0</v>
      </c>
      <c r="G1651" s="131"/>
      <c r="H1651" s="35" t="n">
        <v>0</v>
      </c>
      <c r="I1651" s="34" t="n">
        <f aca="false">+IF(E1651=0,0,E1651*0.03)</f>
        <v>0</v>
      </c>
      <c r="J1651" s="93"/>
      <c r="K1651" s="93"/>
      <c r="L1651" s="93"/>
      <c r="M1651" s="93"/>
      <c r="N1651" s="93"/>
      <c r="O1651" s="93"/>
      <c r="P1651" s="93"/>
      <c r="Q1651" s="93"/>
      <c r="R1651" s="93"/>
      <c r="S1651" s="93"/>
      <c r="T1651" s="93"/>
      <c r="U1651" s="93"/>
      <c r="V1651" s="93"/>
      <c r="W1651" s="93"/>
      <c r="X1651" s="93"/>
      <c r="Y1651" s="93"/>
      <c r="Z1651" s="93"/>
    </row>
    <row r="1652" customFormat="false" ht="16.4" hidden="false" customHeight="false" outlineLevel="0" collapsed="false">
      <c r="A1652" s="123" t="n">
        <v>45444</v>
      </c>
      <c r="B1652" s="31" t="s">
        <v>153</v>
      </c>
      <c r="C1652" s="129"/>
      <c r="D1652" s="129"/>
      <c r="E1652" s="19" t="n">
        <f aca="false">F1652*0.03</f>
        <v>0</v>
      </c>
      <c r="F1652" s="33" t="n">
        <v>0</v>
      </c>
      <c r="G1652" s="131"/>
      <c r="H1652" s="35" t="n">
        <v>0</v>
      </c>
      <c r="I1652" s="34" t="n">
        <f aca="false">+IF(E1652=0,0,E1652*0.03)</f>
        <v>0</v>
      </c>
      <c r="J1652" s="93"/>
      <c r="K1652" s="93"/>
      <c r="L1652" s="93"/>
      <c r="M1652" s="93"/>
      <c r="N1652" s="93"/>
      <c r="O1652" s="93"/>
      <c r="P1652" s="93"/>
      <c r="Q1652" s="93"/>
      <c r="R1652" s="93"/>
      <c r="S1652" s="93"/>
      <c r="T1652" s="93"/>
      <c r="U1652" s="93"/>
      <c r="V1652" s="93"/>
      <c r="W1652" s="93"/>
      <c r="X1652" s="93"/>
      <c r="Y1652" s="93"/>
      <c r="Z1652" s="93"/>
    </row>
    <row r="1653" customFormat="false" ht="16.4" hidden="false" customHeight="false" outlineLevel="0" collapsed="false">
      <c r="A1653" s="123" t="n">
        <v>45444</v>
      </c>
      <c r="B1653" s="31" t="s">
        <v>153</v>
      </c>
      <c r="C1653" s="129"/>
      <c r="D1653" s="129"/>
      <c r="E1653" s="19" t="n">
        <f aca="false">F1653*0.03</f>
        <v>0</v>
      </c>
      <c r="F1653" s="33" t="n">
        <v>0</v>
      </c>
      <c r="G1653" s="131"/>
      <c r="H1653" s="35" t="n">
        <v>0</v>
      </c>
      <c r="I1653" s="34" t="n">
        <f aca="false">+IF(E1653=0,0,E1653*0.03)</f>
        <v>0</v>
      </c>
      <c r="J1653" s="93"/>
      <c r="K1653" s="93"/>
      <c r="L1653" s="93"/>
      <c r="M1653" s="93"/>
      <c r="N1653" s="93"/>
      <c r="O1653" s="93"/>
      <c r="P1653" s="93"/>
      <c r="Q1653" s="93"/>
      <c r="R1653" s="93"/>
      <c r="S1653" s="93"/>
      <c r="T1653" s="93"/>
      <c r="U1653" s="93"/>
      <c r="V1653" s="93"/>
      <c r="W1653" s="93"/>
      <c r="X1653" s="93"/>
      <c r="Y1653" s="93"/>
      <c r="Z1653" s="93"/>
    </row>
    <row r="1654" customFormat="false" ht="16.4" hidden="false" customHeight="false" outlineLevel="0" collapsed="false">
      <c r="A1654" s="123" t="n">
        <v>45444</v>
      </c>
      <c r="B1654" s="31" t="s">
        <v>153</v>
      </c>
      <c r="C1654" s="129"/>
      <c r="D1654" s="129"/>
      <c r="E1654" s="19" t="n">
        <f aca="false">F1654*0.03</f>
        <v>0</v>
      </c>
      <c r="F1654" s="33" t="n">
        <v>0</v>
      </c>
      <c r="G1654" s="131"/>
      <c r="H1654" s="35" t="n">
        <v>0</v>
      </c>
      <c r="I1654" s="34" t="n">
        <f aca="false">+IF(E1654=0,0,E1654*0.03)</f>
        <v>0</v>
      </c>
      <c r="J1654" s="93"/>
      <c r="K1654" s="93"/>
      <c r="L1654" s="93"/>
      <c r="M1654" s="93"/>
      <c r="N1654" s="93"/>
      <c r="O1654" s="93"/>
      <c r="P1654" s="93"/>
      <c r="Q1654" s="93"/>
      <c r="R1654" s="93"/>
      <c r="S1654" s="93"/>
      <c r="T1654" s="93"/>
      <c r="U1654" s="93"/>
      <c r="V1654" s="93"/>
      <c r="W1654" s="93"/>
      <c r="X1654" s="93"/>
      <c r="Y1654" s="93"/>
      <c r="Z1654" s="93"/>
    </row>
    <row r="1655" customFormat="false" ht="16.4" hidden="false" customHeight="false" outlineLevel="0" collapsed="false">
      <c r="A1655" s="123" t="n">
        <v>45444</v>
      </c>
      <c r="B1655" s="31" t="s">
        <v>153</v>
      </c>
      <c r="C1655" s="129"/>
      <c r="D1655" s="129"/>
      <c r="E1655" s="19" t="n">
        <f aca="false">F1655*0.03</f>
        <v>0</v>
      </c>
      <c r="F1655" s="33" t="n">
        <v>0</v>
      </c>
      <c r="G1655" s="131"/>
      <c r="H1655" s="35" t="n">
        <v>0</v>
      </c>
      <c r="I1655" s="34" t="n">
        <f aca="false">+IF(E1655=0,0,E1655*0.03)</f>
        <v>0</v>
      </c>
      <c r="J1655" s="93"/>
      <c r="K1655" s="93"/>
      <c r="L1655" s="93"/>
      <c r="M1655" s="93"/>
      <c r="N1655" s="93"/>
      <c r="O1655" s="93"/>
      <c r="P1655" s="93"/>
      <c r="Q1655" s="93"/>
      <c r="R1655" s="93"/>
      <c r="S1655" s="93"/>
      <c r="T1655" s="93"/>
      <c r="U1655" s="93"/>
      <c r="V1655" s="93"/>
      <c r="W1655" s="93"/>
      <c r="X1655" s="93"/>
      <c r="Y1655" s="93"/>
      <c r="Z1655" s="93"/>
    </row>
    <row r="1656" customFormat="false" ht="16.4" hidden="false" customHeight="false" outlineLevel="0" collapsed="false">
      <c r="A1656" s="123" t="n">
        <v>45444</v>
      </c>
      <c r="B1656" s="31" t="s">
        <v>153</v>
      </c>
      <c r="C1656" s="129"/>
      <c r="D1656" s="129"/>
      <c r="E1656" s="19" t="n">
        <f aca="false">F1656*0.03</f>
        <v>0</v>
      </c>
      <c r="F1656" s="33" t="n">
        <v>0</v>
      </c>
      <c r="G1656" s="131"/>
      <c r="H1656" s="35" t="n">
        <v>0</v>
      </c>
      <c r="I1656" s="34" t="n">
        <f aca="false">+IF(E1656=0,0,E1656*0.03)</f>
        <v>0</v>
      </c>
      <c r="J1656" s="93"/>
      <c r="K1656" s="93"/>
      <c r="L1656" s="93"/>
      <c r="M1656" s="93"/>
      <c r="N1656" s="93"/>
      <c r="O1656" s="93"/>
      <c r="P1656" s="93"/>
      <c r="Q1656" s="93"/>
      <c r="R1656" s="93"/>
      <c r="S1656" s="93"/>
      <c r="T1656" s="93"/>
      <c r="U1656" s="93"/>
      <c r="V1656" s="93"/>
      <c r="W1656" s="93"/>
      <c r="X1656" s="93"/>
      <c r="Y1656" s="93"/>
      <c r="Z1656" s="93"/>
    </row>
    <row r="1657" customFormat="false" ht="16.4" hidden="false" customHeight="false" outlineLevel="0" collapsed="false">
      <c r="A1657" s="123" t="n">
        <v>45444</v>
      </c>
      <c r="B1657" s="31" t="s">
        <v>153</v>
      </c>
      <c r="C1657" s="129"/>
      <c r="D1657" s="129"/>
      <c r="E1657" s="19" t="n">
        <f aca="false">F1657*0.03</f>
        <v>0</v>
      </c>
      <c r="F1657" s="33" t="n">
        <v>0</v>
      </c>
      <c r="G1657" s="131"/>
      <c r="H1657" s="35" t="n">
        <v>0</v>
      </c>
      <c r="I1657" s="34" t="n">
        <f aca="false">+IF(E1657=0,0,E1657*0.03)</f>
        <v>0</v>
      </c>
      <c r="J1657" s="93"/>
      <c r="K1657" s="93"/>
      <c r="L1657" s="93"/>
      <c r="M1657" s="93"/>
      <c r="N1657" s="93"/>
      <c r="O1657" s="93"/>
      <c r="P1657" s="93"/>
      <c r="Q1657" s="93"/>
      <c r="R1657" s="93"/>
      <c r="S1657" s="93"/>
      <c r="T1657" s="93"/>
      <c r="U1657" s="93"/>
      <c r="V1657" s="93"/>
      <c r="W1657" s="93"/>
      <c r="X1657" s="93"/>
      <c r="Y1657" s="93"/>
      <c r="Z1657" s="93"/>
    </row>
    <row r="1658" customFormat="false" ht="16.4" hidden="false" customHeight="false" outlineLevel="0" collapsed="false">
      <c r="A1658" s="123" t="n">
        <v>45444</v>
      </c>
      <c r="B1658" s="31" t="s">
        <v>153</v>
      </c>
      <c r="C1658" s="129"/>
      <c r="D1658" s="129"/>
      <c r="E1658" s="19" t="n">
        <f aca="false">F1658*0.03</f>
        <v>0</v>
      </c>
      <c r="F1658" s="33" t="n">
        <v>0</v>
      </c>
      <c r="G1658" s="131"/>
      <c r="H1658" s="35" t="n">
        <v>0</v>
      </c>
      <c r="I1658" s="34" t="n">
        <f aca="false">+IF(E1658=0,0,E1658*0.03)</f>
        <v>0</v>
      </c>
      <c r="J1658" s="93"/>
      <c r="K1658" s="93"/>
      <c r="L1658" s="93"/>
      <c r="M1658" s="93"/>
      <c r="N1658" s="93"/>
      <c r="O1658" s="93"/>
      <c r="P1658" s="93"/>
      <c r="Q1658" s="93"/>
      <c r="R1658" s="93"/>
      <c r="S1658" s="93"/>
      <c r="T1658" s="93"/>
      <c r="U1658" s="93"/>
      <c r="V1658" s="93"/>
      <c r="W1658" s="93"/>
      <c r="X1658" s="93"/>
      <c r="Y1658" s="93"/>
      <c r="Z1658" s="93"/>
    </row>
    <row r="1659" customFormat="false" ht="16.4" hidden="false" customHeight="false" outlineLevel="0" collapsed="false">
      <c r="A1659" s="123" t="n">
        <v>45444</v>
      </c>
      <c r="B1659" s="31" t="s">
        <v>153</v>
      </c>
      <c r="C1659" s="129"/>
      <c r="D1659" s="129"/>
      <c r="E1659" s="19" t="n">
        <f aca="false">F1659*0.03</f>
        <v>0</v>
      </c>
      <c r="F1659" s="33" t="n">
        <v>0</v>
      </c>
      <c r="G1659" s="131"/>
      <c r="H1659" s="35" t="n">
        <v>0</v>
      </c>
      <c r="I1659" s="34" t="n">
        <f aca="false">+IF(E1659=0,0,E1659*0.03)</f>
        <v>0</v>
      </c>
      <c r="J1659" s="93"/>
      <c r="K1659" s="93"/>
      <c r="L1659" s="93"/>
      <c r="M1659" s="93"/>
      <c r="N1659" s="93"/>
      <c r="O1659" s="93"/>
      <c r="P1659" s="93"/>
      <c r="Q1659" s="93"/>
      <c r="R1659" s="93"/>
      <c r="S1659" s="93"/>
      <c r="T1659" s="93"/>
      <c r="U1659" s="93"/>
      <c r="V1659" s="93"/>
      <c r="W1659" s="93"/>
      <c r="X1659" s="93"/>
      <c r="Y1659" s="93"/>
      <c r="Z1659" s="93"/>
    </row>
    <row r="1660" customFormat="false" ht="16.4" hidden="false" customHeight="false" outlineLevel="0" collapsed="false">
      <c r="A1660" s="123" t="n">
        <v>45444</v>
      </c>
      <c r="B1660" s="31" t="s">
        <v>153</v>
      </c>
      <c r="C1660" s="129"/>
      <c r="D1660" s="129"/>
      <c r="E1660" s="19" t="n">
        <f aca="false">F1660*0.03</f>
        <v>0</v>
      </c>
      <c r="F1660" s="33" t="n">
        <v>0</v>
      </c>
      <c r="G1660" s="131"/>
      <c r="H1660" s="35" t="n">
        <v>0</v>
      </c>
      <c r="I1660" s="34" t="n">
        <f aca="false">+IF(E1660=0,0,E1660*0.03)</f>
        <v>0</v>
      </c>
      <c r="J1660" s="93"/>
      <c r="K1660" s="93"/>
      <c r="L1660" s="93"/>
      <c r="M1660" s="93"/>
      <c r="N1660" s="93"/>
      <c r="O1660" s="93"/>
      <c r="P1660" s="93"/>
      <c r="Q1660" s="93"/>
      <c r="R1660" s="93"/>
      <c r="S1660" s="93"/>
      <c r="T1660" s="93"/>
      <c r="U1660" s="93"/>
      <c r="V1660" s="93"/>
      <c r="W1660" s="93"/>
      <c r="X1660" s="93"/>
      <c r="Y1660" s="93"/>
      <c r="Z1660" s="93"/>
    </row>
    <row r="1661" customFormat="false" ht="16.4" hidden="false" customHeight="false" outlineLevel="0" collapsed="false">
      <c r="A1661" s="123" t="n">
        <v>45444</v>
      </c>
      <c r="B1661" s="31" t="s">
        <v>153</v>
      </c>
      <c r="C1661" s="129"/>
      <c r="D1661" s="129"/>
      <c r="E1661" s="19" t="n">
        <f aca="false">F1661*0.03</f>
        <v>0</v>
      </c>
      <c r="F1661" s="33" t="n">
        <v>0</v>
      </c>
      <c r="G1661" s="131"/>
      <c r="H1661" s="35" t="n">
        <v>0</v>
      </c>
      <c r="I1661" s="34" t="n">
        <f aca="false">+IF(E1661=0,0,E1661*0.03)</f>
        <v>0</v>
      </c>
      <c r="J1661" s="93"/>
      <c r="K1661" s="93"/>
      <c r="L1661" s="93"/>
      <c r="M1661" s="93"/>
      <c r="N1661" s="93"/>
      <c r="O1661" s="93"/>
      <c r="P1661" s="93"/>
      <c r="Q1661" s="93"/>
      <c r="R1661" s="93"/>
      <c r="S1661" s="93"/>
      <c r="T1661" s="93"/>
      <c r="U1661" s="93"/>
      <c r="V1661" s="93"/>
      <c r="W1661" s="93"/>
      <c r="X1661" s="93"/>
      <c r="Y1661" s="93"/>
      <c r="Z1661" s="93"/>
    </row>
    <row r="1662" customFormat="false" ht="16.4" hidden="false" customHeight="false" outlineLevel="0" collapsed="false">
      <c r="A1662" s="123" t="n">
        <v>45444</v>
      </c>
      <c r="B1662" s="31" t="s">
        <v>153</v>
      </c>
      <c r="C1662" s="129"/>
      <c r="D1662" s="129"/>
      <c r="E1662" s="19" t="n">
        <f aca="false">F1662*0.03</f>
        <v>0</v>
      </c>
      <c r="F1662" s="33" t="n">
        <v>0</v>
      </c>
      <c r="G1662" s="131"/>
      <c r="H1662" s="35" t="n">
        <v>0</v>
      </c>
      <c r="I1662" s="34" t="n">
        <f aca="false">+IF(E1662=0,0,E1662*0.03)</f>
        <v>0</v>
      </c>
      <c r="J1662" s="93"/>
      <c r="K1662" s="93"/>
      <c r="L1662" s="93"/>
      <c r="M1662" s="93"/>
      <c r="N1662" s="93"/>
      <c r="O1662" s="93"/>
      <c r="P1662" s="93"/>
      <c r="Q1662" s="93"/>
      <c r="R1662" s="93"/>
      <c r="S1662" s="93"/>
      <c r="T1662" s="93"/>
      <c r="U1662" s="93"/>
      <c r="V1662" s="93"/>
      <c r="W1662" s="93"/>
      <c r="X1662" s="93"/>
      <c r="Y1662" s="93"/>
      <c r="Z1662" s="93"/>
    </row>
    <row r="1663" customFormat="false" ht="16.4" hidden="false" customHeight="false" outlineLevel="0" collapsed="false">
      <c r="A1663" s="123" t="n">
        <v>45444</v>
      </c>
      <c r="B1663" s="31" t="s">
        <v>153</v>
      </c>
      <c r="C1663" s="129"/>
      <c r="D1663" s="129"/>
      <c r="E1663" s="19" t="n">
        <f aca="false">F1663*0.03</f>
        <v>0</v>
      </c>
      <c r="F1663" s="33" t="n">
        <v>0</v>
      </c>
      <c r="G1663" s="131"/>
      <c r="H1663" s="35" t="n">
        <v>0</v>
      </c>
      <c r="I1663" s="34" t="n">
        <f aca="false">+IF(E1663=0,0,E1663*0.03)</f>
        <v>0</v>
      </c>
      <c r="J1663" s="93"/>
      <c r="K1663" s="93"/>
      <c r="L1663" s="93"/>
      <c r="M1663" s="93"/>
      <c r="N1663" s="93"/>
      <c r="O1663" s="93"/>
      <c r="P1663" s="93"/>
      <c r="Q1663" s="93"/>
      <c r="R1663" s="93"/>
      <c r="S1663" s="93"/>
      <c r="T1663" s="93"/>
      <c r="U1663" s="93"/>
      <c r="V1663" s="93"/>
      <c r="W1663" s="93"/>
      <c r="X1663" s="93"/>
      <c r="Y1663" s="93"/>
      <c r="Z1663" s="93"/>
    </row>
    <row r="1664" customFormat="false" ht="16.4" hidden="false" customHeight="false" outlineLevel="0" collapsed="false">
      <c r="A1664" s="123" t="n">
        <v>45444</v>
      </c>
      <c r="B1664" s="31" t="s">
        <v>153</v>
      </c>
      <c r="C1664" s="129"/>
      <c r="D1664" s="129"/>
      <c r="E1664" s="19" t="n">
        <f aca="false">F1664*0.03</f>
        <v>0</v>
      </c>
      <c r="F1664" s="33" t="n">
        <v>0</v>
      </c>
      <c r="G1664" s="131"/>
      <c r="H1664" s="35" t="n">
        <v>0</v>
      </c>
      <c r="I1664" s="34" t="n">
        <f aca="false">+IF(E1664=0,0,E1664*0.03)</f>
        <v>0</v>
      </c>
      <c r="J1664" s="93"/>
      <c r="K1664" s="93"/>
      <c r="L1664" s="93"/>
      <c r="M1664" s="93"/>
      <c r="N1664" s="93"/>
      <c r="O1664" s="93"/>
      <c r="P1664" s="93"/>
      <c r="Q1664" s="93"/>
      <c r="R1664" s="93"/>
      <c r="S1664" s="93"/>
      <c r="T1664" s="93"/>
      <c r="U1664" s="93"/>
      <c r="V1664" s="93"/>
      <c r="W1664" s="93"/>
      <c r="X1664" s="93"/>
      <c r="Y1664" s="93"/>
      <c r="Z1664" s="93"/>
    </row>
    <row r="1665" customFormat="false" ht="16.4" hidden="false" customHeight="false" outlineLevel="0" collapsed="false">
      <c r="A1665" s="123" t="n">
        <v>45444</v>
      </c>
      <c r="B1665" s="31" t="s">
        <v>153</v>
      </c>
      <c r="C1665" s="129"/>
      <c r="D1665" s="129"/>
      <c r="E1665" s="19" t="n">
        <f aca="false">F1665*0.03</f>
        <v>0</v>
      </c>
      <c r="F1665" s="33" t="n">
        <v>0</v>
      </c>
      <c r="G1665" s="131"/>
      <c r="H1665" s="35" t="n">
        <v>0</v>
      </c>
      <c r="I1665" s="34" t="n">
        <f aca="false">+IF(E1665=0,0,E1665*0.03)</f>
        <v>0</v>
      </c>
      <c r="J1665" s="93"/>
      <c r="K1665" s="93"/>
      <c r="L1665" s="93"/>
      <c r="M1665" s="93"/>
      <c r="N1665" s="93"/>
      <c r="O1665" s="93"/>
      <c r="P1665" s="93"/>
      <c r="Q1665" s="93"/>
      <c r="R1665" s="93"/>
      <c r="S1665" s="93"/>
      <c r="T1665" s="93"/>
      <c r="U1665" s="93"/>
      <c r="V1665" s="93"/>
      <c r="W1665" s="93"/>
      <c r="X1665" s="93"/>
      <c r="Y1665" s="93"/>
      <c r="Z1665" s="93"/>
    </row>
    <row r="1666" customFormat="false" ht="16.4" hidden="false" customHeight="false" outlineLevel="0" collapsed="false">
      <c r="A1666" s="123" t="n">
        <v>45444</v>
      </c>
      <c r="B1666" s="31" t="s">
        <v>153</v>
      </c>
      <c r="C1666" s="129"/>
      <c r="D1666" s="129"/>
      <c r="E1666" s="19" t="n">
        <f aca="false">F1666*0.03</f>
        <v>0</v>
      </c>
      <c r="F1666" s="33" t="n">
        <v>0</v>
      </c>
      <c r="G1666" s="131"/>
      <c r="H1666" s="35" t="n">
        <v>0</v>
      </c>
      <c r="I1666" s="34" t="n">
        <f aca="false">+IF(E1666=0,0,E1666*0.03)</f>
        <v>0</v>
      </c>
      <c r="J1666" s="93"/>
      <c r="K1666" s="93"/>
      <c r="L1666" s="93"/>
      <c r="M1666" s="93"/>
      <c r="N1666" s="93"/>
      <c r="O1666" s="93"/>
      <c r="P1666" s="93"/>
      <c r="Q1666" s="93"/>
      <c r="R1666" s="93"/>
      <c r="S1666" s="93"/>
      <c r="T1666" s="93"/>
      <c r="U1666" s="93"/>
      <c r="V1666" s="93"/>
      <c r="W1666" s="93"/>
      <c r="X1666" s="93"/>
      <c r="Y1666" s="93"/>
      <c r="Z1666" s="93"/>
    </row>
    <row r="1667" customFormat="false" ht="16.4" hidden="false" customHeight="false" outlineLevel="0" collapsed="false">
      <c r="A1667" s="123" t="n">
        <v>45444</v>
      </c>
      <c r="B1667" s="31" t="s">
        <v>153</v>
      </c>
      <c r="C1667" s="129"/>
      <c r="D1667" s="129"/>
      <c r="E1667" s="19" t="n">
        <f aca="false">F1667*0.03</f>
        <v>0</v>
      </c>
      <c r="F1667" s="33" t="n">
        <v>0</v>
      </c>
      <c r="G1667" s="131"/>
      <c r="H1667" s="35" t="n">
        <v>0</v>
      </c>
      <c r="I1667" s="34" t="n">
        <f aca="false">+IF(E1667=0,0,E1667*0.03)</f>
        <v>0</v>
      </c>
      <c r="J1667" s="93"/>
      <c r="K1667" s="93"/>
      <c r="L1667" s="93"/>
      <c r="M1667" s="93"/>
      <c r="N1667" s="93"/>
      <c r="O1667" s="93"/>
      <c r="P1667" s="93"/>
      <c r="Q1667" s="93"/>
      <c r="R1667" s="93"/>
      <c r="S1667" s="93"/>
      <c r="T1667" s="93"/>
      <c r="U1667" s="93"/>
      <c r="V1667" s="93"/>
      <c r="W1667" s="93"/>
      <c r="X1667" s="93"/>
      <c r="Y1667" s="93"/>
      <c r="Z1667" s="93"/>
    </row>
    <row r="1668" customFormat="false" ht="16.4" hidden="false" customHeight="false" outlineLevel="0" collapsed="false">
      <c r="A1668" s="123" t="n">
        <v>45444</v>
      </c>
      <c r="B1668" s="31" t="s">
        <v>153</v>
      </c>
      <c r="C1668" s="129"/>
      <c r="D1668" s="129"/>
      <c r="E1668" s="19" t="n">
        <f aca="false">F1668*0.03</f>
        <v>0</v>
      </c>
      <c r="F1668" s="33" t="n">
        <v>0</v>
      </c>
      <c r="G1668" s="131"/>
      <c r="H1668" s="35" t="n">
        <v>0</v>
      </c>
      <c r="I1668" s="34" t="n">
        <f aca="false">+IF(E1668=0,0,E1668*0.03)</f>
        <v>0</v>
      </c>
      <c r="J1668" s="93"/>
      <c r="K1668" s="93"/>
      <c r="L1668" s="93"/>
      <c r="M1668" s="93"/>
      <c r="N1668" s="93"/>
      <c r="O1668" s="93"/>
      <c r="P1668" s="93"/>
      <c r="Q1668" s="93"/>
      <c r="R1668" s="93"/>
      <c r="S1668" s="93"/>
      <c r="T1668" s="93"/>
      <c r="U1668" s="93"/>
      <c r="V1668" s="93"/>
      <c r="W1668" s="93"/>
      <c r="X1668" s="93"/>
      <c r="Y1668" s="93"/>
      <c r="Z1668" s="93"/>
    </row>
    <row r="1669" customFormat="false" ht="16.4" hidden="false" customHeight="false" outlineLevel="0" collapsed="false">
      <c r="A1669" s="123" t="n">
        <v>45444</v>
      </c>
      <c r="B1669" s="31" t="s">
        <v>153</v>
      </c>
      <c r="C1669" s="129"/>
      <c r="D1669" s="129"/>
      <c r="E1669" s="19" t="n">
        <f aca="false">F1669*0.03</f>
        <v>0</v>
      </c>
      <c r="F1669" s="33" t="n">
        <v>0</v>
      </c>
      <c r="G1669" s="131"/>
      <c r="H1669" s="35" t="n">
        <v>0</v>
      </c>
      <c r="I1669" s="34" t="n">
        <f aca="false">+IF(E1669=0,0,E1669*0.03)</f>
        <v>0</v>
      </c>
      <c r="J1669" s="93"/>
      <c r="K1669" s="93"/>
      <c r="L1669" s="93"/>
      <c r="M1669" s="93"/>
      <c r="N1669" s="93"/>
      <c r="O1669" s="93"/>
      <c r="P1669" s="93"/>
      <c r="Q1669" s="93"/>
      <c r="R1669" s="93"/>
      <c r="S1669" s="93"/>
      <c r="T1669" s="93"/>
      <c r="U1669" s="93"/>
      <c r="V1669" s="93"/>
      <c r="W1669" s="93"/>
      <c r="X1669" s="93"/>
      <c r="Y1669" s="93"/>
      <c r="Z1669" s="93"/>
    </row>
    <row r="1670" customFormat="false" ht="16.4" hidden="false" customHeight="false" outlineLevel="0" collapsed="false">
      <c r="A1670" s="123" t="n">
        <v>45444</v>
      </c>
      <c r="B1670" s="31" t="s">
        <v>153</v>
      </c>
      <c r="C1670" s="129"/>
      <c r="D1670" s="129"/>
      <c r="E1670" s="19" t="n">
        <f aca="false">F1670*0.03</f>
        <v>0</v>
      </c>
      <c r="F1670" s="33" t="n">
        <v>0</v>
      </c>
      <c r="G1670" s="131"/>
      <c r="H1670" s="35" t="n">
        <v>0</v>
      </c>
      <c r="I1670" s="34" t="n">
        <f aca="false">+IF(E1670=0,0,E1670*0.03)</f>
        <v>0</v>
      </c>
      <c r="J1670" s="93"/>
      <c r="K1670" s="93"/>
      <c r="L1670" s="93"/>
      <c r="M1670" s="93"/>
      <c r="N1670" s="93"/>
      <c r="O1670" s="93"/>
      <c r="P1670" s="93"/>
      <c r="Q1670" s="93"/>
      <c r="R1670" s="93"/>
      <c r="S1670" s="93"/>
      <c r="T1670" s="93"/>
      <c r="U1670" s="93"/>
      <c r="V1670" s="93"/>
      <c r="W1670" s="93"/>
      <c r="X1670" s="93"/>
      <c r="Y1670" s="93"/>
      <c r="Z1670" s="93"/>
    </row>
    <row r="1671" customFormat="false" ht="16.4" hidden="false" customHeight="false" outlineLevel="0" collapsed="false">
      <c r="A1671" s="123" t="n">
        <v>45444</v>
      </c>
      <c r="B1671" s="31" t="s">
        <v>153</v>
      </c>
      <c r="C1671" s="129"/>
      <c r="D1671" s="129"/>
      <c r="E1671" s="19" t="n">
        <f aca="false">F1671*0.03</f>
        <v>0</v>
      </c>
      <c r="F1671" s="33" t="n">
        <v>0</v>
      </c>
      <c r="G1671" s="131"/>
      <c r="H1671" s="35" t="n">
        <v>0</v>
      </c>
      <c r="I1671" s="34" t="n">
        <f aca="false">+IF(E1671=0,0,E1671*0.03)</f>
        <v>0</v>
      </c>
      <c r="J1671" s="93"/>
      <c r="K1671" s="93"/>
      <c r="L1671" s="93"/>
      <c r="M1671" s="93"/>
      <c r="N1671" s="93"/>
      <c r="O1671" s="93"/>
      <c r="P1671" s="93"/>
      <c r="Q1671" s="93"/>
      <c r="R1671" s="93"/>
      <c r="S1671" s="93"/>
      <c r="T1671" s="93"/>
      <c r="U1671" s="93"/>
      <c r="V1671" s="93"/>
      <c r="W1671" s="93"/>
      <c r="X1671" s="93"/>
      <c r="Y1671" s="93"/>
      <c r="Z1671" s="93"/>
    </row>
    <row r="1672" customFormat="false" ht="16.4" hidden="false" customHeight="false" outlineLevel="0" collapsed="false">
      <c r="A1672" s="123" t="n">
        <v>45444</v>
      </c>
      <c r="B1672" s="31" t="s">
        <v>153</v>
      </c>
      <c r="C1672" s="129"/>
      <c r="D1672" s="129"/>
      <c r="E1672" s="19" t="n">
        <f aca="false">F1672*0.03</f>
        <v>0</v>
      </c>
      <c r="F1672" s="33" t="n">
        <v>0</v>
      </c>
      <c r="G1672" s="131"/>
      <c r="H1672" s="35" t="n">
        <v>0</v>
      </c>
      <c r="I1672" s="34" t="n">
        <f aca="false">+IF(E1672=0,0,E1672*0.03)</f>
        <v>0</v>
      </c>
      <c r="J1672" s="93"/>
      <c r="K1672" s="93"/>
      <c r="L1672" s="93"/>
      <c r="M1672" s="93"/>
      <c r="N1672" s="93"/>
      <c r="O1672" s="93"/>
      <c r="P1672" s="93"/>
      <c r="Q1672" s="93"/>
      <c r="R1672" s="93"/>
      <c r="S1672" s="93"/>
      <c r="T1672" s="93"/>
      <c r="U1672" s="93"/>
      <c r="V1672" s="93"/>
      <c r="W1672" s="93"/>
      <c r="X1672" s="93"/>
      <c r="Y1672" s="93"/>
      <c r="Z1672" s="93"/>
    </row>
    <row r="1673" customFormat="false" ht="16.4" hidden="false" customHeight="false" outlineLevel="0" collapsed="false">
      <c r="A1673" s="123" t="n">
        <v>45444</v>
      </c>
      <c r="B1673" s="31" t="s">
        <v>153</v>
      </c>
      <c r="C1673" s="129"/>
      <c r="D1673" s="129"/>
      <c r="E1673" s="19" t="n">
        <f aca="false">F1673*0.03</f>
        <v>0</v>
      </c>
      <c r="F1673" s="33" t="n">
        <v>0</v>
      </c>
      <c r="G1673" s="131"/>
      <c r="H1673" s="35" t="n">
        <v>0</v>
      </c>
      <c r="I1673" s="34" t="n">
        <f aca="false">+IF(E1673=0,0,E1673*0.03)</f>
        <v>0</v>
      </c>
      <c r="J1673" s="93"/>
      <c r="K1673" s="93"/>
      <c r="L1673" s="93"/>
      <c r="M1673" s="93"/>
      <c r="N1673" s="93"/>
      <c r="O1673" s="93"/>
      <c r="P1673" s="93"/>
      <c r="Q1673" s="93"/>
      <c r="R1673" s="93"/>
      <c r="S1673" s="93"/>
      <c r="T1673" s="93"/>
      <c r="U1673" s="93"/>
      <c r="V1673" s="93"/>
      <c r="W1673" s="93"/>
      <c r="X1673" s="93"/>
      <c r="Y1673" s="93"/>
      <c r="Z1673" s="93"/>
    </row>
    <row r="1674" customFormat="false" ht="16.4" hidden="false" customHeight="false" outlineLevel="0" collapsed="false">
      <c r="A1674" s="123" t="n">
        <v>45444</v>
      </c>
      <c r="B1674" s="31" t="s">
        <v>153</v>
      </c>
      <c r="C1674" s="129"/>
      <c r="D1674" s="129"/>
      <c r="E1674" s="19" t="n">
        <f aca="false">F1674*0.03</f>
        <v>0</v>
      </c>
      <c r="F1674" s="33" t="n">
        <v>0</v>
      </c>
      <c r="G1674" s="131"/>
      <c r="H1674" s="35" t="n">
        <v>0</v>
      </c>
      <c r="I1674" s="34" t="n">
        <f aca="false">+IF(E1674=0,0,E1674*0.03)</f>
        <v>0</v>
      </c>
      <c r="J1674" s="93"/>
      <c r="K1674" s="93"/>
      <c r="L1674" s="93"/>
      <c r="M1674" s="93"/>
      <c r="N1674" s="93"/>
      <c r="O1674" s="93"/>
      <c r="P1674" s="93"/>
      <c r="Q1674" s="93"/>
      <c r="R1674" s="93"/>
      <c r="S1674" s="93"/>
      <c r="T1674" s="93"/>
      <c r="U1674" s="93"/>
      <c r="V1674" s="93"/>
      <c r="W1674" s="93"/>
      <c r="X1674" s="93"/>
      <c r="Y1674" s="93"/>
      <c r="Z1674" s="93"/>
    </row>
    <row r="1675" customFormat="false" ht="16.4" hidden="false" customHeight="false" outlineLevel="0" collapsed="false">
      <c r="A1675" s="123" t="n">
        <v>45444</v>
      </c>
      <c r="B1675" s="31" t="s">
        <v>153</v>
      </c>
      <c r="C1675" s="129"/>
      <c r="D1675" s="129"/>
      <c r="E1675" s="19" t="n">
        <f aca="false">F1675*0.03</f>
        <v>0</v>
      </c>
      <c r="F1675" s="33" t="n">
        <v>0</v>
      </c>
      <c r="G1675" s="131"/>
      <c r="H1675" s="35" t="n">
        <v>0</v>
      </c>
      <c r="I1675" s="34" t="n">
        <f aca="false">+IF(E1675=0,0,E1675*0.03)</f>
        <v>0</v>
      </c>
      <c r="J1675" s="93"/>
      <c r="K1675" s="93"/>
      <c r="L1675" s="93"/>
      <c r="M1675" s="93"/>
      <c r="N1675" s="93"/>
      <c r="O1675" s="93"/>
      <c r="P1675" s="93"/>
      <c r="Q1675" s="93"/>
      <c r="R1675" s="93"/>
      <c r="S1675" s="93"/>
      <c r="T1675" s="93"/>
      <c r="U1675" s="93"/>
      <c r="V1675" s="93"/>
      <c r="W1675" s="93"/>
      <c r="X1675" s="93"/>
      <c r="Y1675" s="93"/>
      <c r="Z1675" s="93"/>
    </row>
    <row r="1676" customFormat="false" ht="16.4" hidden="false" customHeight="false" outlineLevel="0" collapsed="false">
      <c r="A1676" s="123" t="n">
        <v>45444</v>
      </c>
      <c r="B1676" s="31" t="s">
        <v>153</v>
      </c>
      <c r="C1676" s="129"/>
      <c r="D1676" s="129"/>
      <c r="E1676" s="19" t="n">
        <f aca="false">F1676*0.03</f>
        <v>0</v>
      </c>
      <c r="F1676" s="33" t="n">
        <v>0</v>
      </c>
      <c r="G1676" s="131"/>
      <c r="H1676" s="35" t="n">
        <v>0</v>
      </c>
      <c r="I1676" s="34" t="n">
        <f aca="false">+IF(E1676=0,0,E1676*0.03)</f>
        <v>0</v>
      </c>
      <c r="J1676" s="93"/>
      <c r="K1676" s="93"/>
      <c r="L1676" s="93"/>
      <c r="M1676" s="93"/>
      <c r="N1676" s="93"/>
      <c r="O1676" s="93"/>
      <c r="P1676" s="93"/>
      <c r="Q1676" s="93"/>
      <c r="R1676" s="93"/>
      <c r="S1676" s="93"/>
      <c r="T1676" s="93"/>
      <c r="U1676" s="93"/>
      <c r="V1676" s="93"/>
      <c r="W1676" s="93"/>
      <c r="X1676" s="93"/>
      <c r="Y1676" s="93"/>
      <c r="Z1676" s="93"/>
    </row>
    <row r="1677" customFormat="false" ht="16.4" hidden="false" customHeight="false" outlineLevel="0" collapsed="false">
      <c r="A1677" s="123" t="n">
        <v>45444</v>
      </c>
      <c r="B1677" s="31" t="s">
        <v>153</v>
      </c>
      <c r="C1677" s="129"/>
      <c r="D1677" s="129"/>
      <c r="E1677" s="19" t="n">
        <f aca="false">F1677*0.03</f>
        <v>0</v>
      </c>
      <c r="F1677" s="33" t="n">
        <v>0</v>
      </c>
      <c r="G1677" s="131"/>
      <c r="H1677" s="35" t="n">
        <v>0</v>
      </c>
      <c r="I1677" s="34" t="n">
        <f aca="false">+IF(E1677=0,0,E1677*0.03)</f>
        <v>0</v>
      </c>
      <c r="J1677" s="93"/>
      <c r="K1677" s="93"/>
      <c r="L1677" s="93"/>
      <c r="M1677" s="93"/>
      <c r="N1677" s="93"/>
      <c r="O1677" s="93"/>
      <c r="P1677" s="93"/>
      <c r="Q1677" s="93"/>
      <c r="R1677" s="93"/>
      <c r="S1677" s="93"/>
      <c r="T1677" s="93"/>
      <c r="U1677" s="93"/>
      <c r="V1677" s="93"/>
      <c r="W1677" s="93"/>
      <c r="X1677" s="93"/>
      <c r="Y1677" s="93"/>
      <c r="Z1677" s="93"/>
    </row>
    <row r="1678" customFormat="false" ht="16.4" hidden="false" customHeight="false" outlineLevel="0" collapsed="false">
      <c r="A1678" s="123" t="n">
        <v>45444</v>
      </c>
      <c r="B1678" s="31" t="s">
        <v>153</v>
      </c>
      <c r="C1678" s="129"/>
      <c r="D1678" s="129"/>
      <c r="E1678" s="19" t="n">
        <f aca="false">F1678*0.03</f>
        <v>0</v>
      </c>
      <c r="F1678" s="33" t="n">
        <v>0</v>
      </c>
      <c r="G1678" s="131"/>
      <c r="H1678" s="35" t="n">
        <v>0</v>
      </c>
      <c r="I1678" s="34" t="n">
        <f aca="false">+IF(E1678=0,0,E1678*0.03)</f>
        <v>0</v>
      </c>
      <c r="J1678" s="93"/>
      <c r="K1678" s="93"/>
      <c r="L1678" s="93"/>
      <c r="M1678" s="93"/>
      <c r="N1678" s="93"/>
      <c r="O1678" s="93"/>
      <c r="P1678" s="93"/>
      <c r="Q1678" s="93"/>
      <c r="R1678" s="93"/>
      <c r="S1678" s="93"/>
      <c r="T1678" s="93"/>
      <c r="U1678" s="93"/>
      <c r="V1678" s="93"/>
      <c r="W1678" s="93"/>
      <c r="X1678" s="93"/>
      <c r="Y1678" s="93"/>
      <c r="Z1678" s="93"/>
    </row>
    <row r="1679" customFormat="false" ht="16.4" hidden="false" customHeight="false" outlineLevel="0" collapsed="false">
      <c r="A1679" s="123" t="n">
        <v>45444</v>
      </c>
      <c r="B1679" s="31" t="s">
        <v>153</v>
      </c>
      <c r="C1679" s="129"/>
      <c r="D1679" s="129"/>
      <c r="E1679" s="19" t="n">
        <f aca="false">F1679*0.03</f>
        <v>0</v>
      </c>
      <c r="F1679" s="33" t="n">
        <v>0</v>
      </c>
      <c r="G1679" s="131"/>
      <c r="H1679" s="35" t="n">
        <v>0</v>
      </c>
      <c r="I1679" s="34" t="n">
        <f aca="false">+IF(E1679=0,0,E1679*0.03)</f>
        <v>0</v>
      </c>
      <c r="J1679" s="93"/>
      <c r="K1679" s="93"/>
      <c r="L1679" s="93"/>
      <c r="M1679" s="93"/>
      <c r="N1679" s="93"/>
      <c r="O1679" s="93"/>
      <c r="P1679" s="93"/>
      <c r="Q1679" s="93"/>
      <c r="R1679" s="93"/>
      <c r="S1679" s="93"/>
      <c r="T1679" s="93"/>
      <c r="U1679" s="93"/>
      <c r="V1679" s="93"/>
      <c r="W1679" s="93"/>
      <c r="X1679" s="93"/>
      <c r="Y1679" s="93"/>
      <c r="Z1679" s="93"/>
    </row>
    <row r="1680" customFormat="false" ht="16.4" hidden="false" customHeight="false" outlineLevel="0" collapsed="false">
      <c r="A1680" s="123" t="n">
        <v>45444</v>
      </c>
      <c r="B1680" s="31" t="s">
        <v>153</v>
      </c>
      <c r="C1680" s="129"/>
      <c r="D1680" s="129"/>
      <c r="E1680" s="19" t="n">
        <f aca="false">F1680*0.03</f>
        <v>0</v>
      </c>
      <c r="F1680" s="33" t="n">
        <v>0</v>
      </c>
      <c r="G1680" s="131"/>
      <c r="H1680" s="35" t="n">
        <v>0</v>
      </c>
      <c r="I1680" s="34" t="n">
        <f aca="false">+IF(E1680=0,0,E1680*0.03)</f>
        <v>0</v>
      </c>
      <c r="J1680" s="93"/>
      <c r="K1680" s="93"/>
      <c r="L1680" s="93"/>
      <c r="M1680" s="93"/>
      <c r="N1680" s="93"/>
      <c r="O1680" s="93"/>
      <c r="P1680" s="93"/>
      <c r="Q1680" s="93"/>
      <c r="R1680" s="93"/>
      <c r="S1680" s="93"/>
      <c r="T1680" s="93"/>
      <c r="U1680" s="93"/>
      <c r="V1680" s="93"/>
      <c r="W1680" s="93"/>
      <c r="X1680" s="93"/>
      <c r="Y1680" s="93"/>
      <c r="Z1680" s="93"/>
    </row>
    <row r="1681" customFormat="false" ht="16.4" hidden="false" customHeight="false" outlineLevel="0" collapsed="false">
      <c r="A1681" s="123" t="n">
        <v>45444</v>
      </c>
      <c r="B1681" s="31" t="s">
        <v>153</v>
      </c>
      <c r="C1681" s="129"/>
      <c r="D1681" s="129"/>
      <c r="E1681" s="19" t="n">
        <f aca="false">F1681*0.03</f>
        <v>0</v>
      </c>
      <c r="F1681" s="33" t="n">
        <v>0</v>
      </c>
      <c r="G1681" s="131"/>
      <c r="H1681" s="35" t="n">
        <v>0</v>
      </c>
      <c r="I1681" s="34" t="n">
        <f aca="false">+IF(E1681=0,0,E1681*0.03)</f>
        <v>0</v>
      </c>
      <c r="J1681" s="93"/>
      <c r="K1681" s="93"/>
      <c r="L1681" s="93"/>
      <c r="M1681" s="93"/>
      <c r="N1681" s="93"/>
      <c r="O1681" s="93"/>
      <c r="P1681" s="93"/>
      <c r="Q1681" s="93"/>
      <c r="R1681" s="93"/>
      <c r="S1681" s="93"/>
      <c r="T1681" s="93"/>
      <c r="U1681" s="93"/>
      <c r="V1681" s="93"/>
      <c r="W1681" s="93"/>
      <c r="X1681" s="93"/>
      <c r="Y1681" s="93"/>
      <c r="Z1681" s="93"/>
    </row>
    <row r="1682" customFormat="false" ht="16.4" hidden="false" customHeight="false" outlineLevel="0" collapsed="false">
      <c r="A1682" s="123" t="n">
        <v>45444</v>
      </c>
      <c r="B1682" s="31" t="s">
        <v>153</v>
      </c>
      <c r="C1682" s="129"/>
      <c r="D1682" s="129"/>
      <c r="E1682" s="19" t="n">
        <f aca="false">F1682*0.03</f>
        <v>0</v>
      </c>
      <c r="F1682" s="33" t="n">
        <v>0</v>
      </c>
      <c r="G1682" s="131"/>
      <c r="H1682" s="35" t="n">
        <v>0</v>
      </c>
      <c r="I1682" s="34" t="n">
        <f aca="false">+IF(E1682=0,0,E1682*0.03)</f>
        <v>0</v>
      </c>
      <c r="J1682" s="93"/>
      <c r="K1682" s="93"/>
      <c r="L1682" s="93"/>
      <c r="M1682" s="93"/>
      <c r="N1682" s="93"/>
      <c r="O1682" s="93"/>
      <c r="P1682" s="93"/>
      <c r="Q1682" s="93"/>
      <c r="R1682" s="93"/>
      <c r="S1682" s="93"/>
      <c r="T1682" s="93"/>
      <c r="U1682" s="93"/>
      <c r="V1682" s="93"/>
      <c r="W1682" s="93"/>
      <c r="X1682" s="93"/>
      <c r="Y1682" s="93"/>
      <c r="Z1682" s="93"/>
    </row>
    <row r="1683" customFormat="false" ht="16.4" hidden="false" customHeight="false" outlineLevel="0" collapsed="false">
      <c r="A1683" s="123" t="n">
        <v>45444</v>
      </c>
      <c r="B1683" s="31" t="s">
        <v>153</v>
      </c>
      <c r="C1683" s="129"/>
      <c r="D1683" s="129"/>
      <c r="E1683" s="19" t="n">
        <f aca="false">F1683*0.03</f>
        <v>0</v>
      </c>
      <c r="F1683" s="33" t="n">
        <v>0</v>
      </c>
      <c r="G1683" s="131"/>
      <c r="H1683" s="35" t="n">
        <v>0</v>
      </c>
      <c r="I1683" s="34" t="n">
        <f aca="false">+IF(E1683=0,0,E1683*0.03)</f>
        <v>0</v>
      </c>
      <c r="J1683" s="93"/>
      <c r="K1683" s="93"/>
      <c r="L1683" s="93"/>
      <c r="M1683" s="93"/>
      <c r="N1683" s="93"/>
      <c r="O1683" s="93"/>
      <c r="P1683" s="93"/>
      <c r="Q1683" s="93"/>
      <c r="R1683" s="93"/>
      <c r="S1683" s="93"/>
      <c r="T1683" s="93"/>
      <c r="U1683" s="93"/>
      <c r="V1683" s="93"/>
      <c r="W1683" s="93"/>
      <c r="X1683" s="93"/>
      <c r="Y1683" s="93"/>
      <c r="Z1683" s="93"/>
    </row>
    <row r="1684" customFormat="false" ht="16.4" hidden="false" customHeight="false" outlineLevel="0" collapsed="false">
      <c r="A1684" s="123" t="n">
        <v>45444</v>
      </c>
      <c r="B1684" s="31" t="s">
        <v>153</v>
      </c>
      <c r="C1684" s="129"/>
      <c r="D1684" s="129"/>
      <c r="E1684" s="19" t="n">
        <f aca="false">F1684*0.03</f>
        <v>0</v>
      </c>
      <c r="F1684" s="33" t="n">
        <v>0</v>
      </c>
      <c r="G1684" s="131"/>
      <c r="H1684" s="35" t="n">
        <v>0</v>
      </c>
      <c r="I1684" s="34" t="n">
        <f aca="false">+IF(E1684=0,0,E1684*0.03)</f>
        <v>0</v>
      </c>
      <c r="J1684" s="93"/>
      <c r="K1684" s="93"/>
      <c r="L1684" s="93"/>
      <c r="M1684" s="93"/>
      <c r="N1684" s="93"/>
      <c r="O1684" s="93"/>
      <c r="P1684" s="93"/>
      <c r="Q1684" s="93"/>
      <c r="R1684" s="93"/>
      <c r="S1684" s="93"/>
      <c r="T1684" s="93"/>
      <c r="U1684" s="93"/>
      <c r="V1684" s="93"/>
      <c r="W1684" s="93"/>
      <c r="X1684" s="93"/>
      <c r="Y1684" s="93"/>
      <c r="Z1684" s="93"/>
    </row>
    <row r="1685" customFormat="false" ht="16.4" hidden="false" customHeight="false" outlineLevel="0" collapsed="false">
      <c r="A1685" s="123" t="n">
        <v>45444</v>
      </c>
      <c r="B1685" s="31" t="s">
        <v>153</v>
      </c>
      <c r="C1685" s="129"/>
      <c r="D1685" s="129"/>
      <c r="E1685" s="19" t="n">
        <f aca="false">F1685*0.03</f>
        <v>0</v>
      </c>
      <c r="F1685" s="33" t="n">
        <v>0</v>
      </c>
      <c r="G1685" s="131"/>
      <c r="H1685" s="35" t="n">
        <v>0</v>
      </c>
      <c r="I1685" s="34" t="n">
        <f aca="false">+IF(E1685=0,0,E1685*0.03)</f>
        <v>0</v>
      </c>
      <c r="J1685" s="93"/>
      <c r="K1685" s="93"/>
      <c r="L1685" s="93"/>
      <c r="M1685" s="93"/>
      <c r="N1685" s="93"/>
      <c r="O1685" s="93"/>
      <c r="P1685" s="93"/>
      <c r="Q1685" s="93"/>
      <c r="R1685" s="93"/>
      <c r="S1685" s="93"/>
      <c r="T1685" s="93"/>
      <c r="U1685" s="93"/>
      <c r="V1685" s="93"/>
      <c r="W1685" s="93"/>
      <c r="X1685" s="93"/>
      <c r="Y1685" s="93"/>
      <c r="Z1685" s="93"/>
    </row>
    <row r="1686" customFormat="false" ht="16.4" hidden="false" customHeight="false" outlineLevel="0" collapsed="false">
      <c r="A1686" s="123" t="n">
        <v>45444</v>
      </c>
      <c r="B1686" s="31" t="s">
        <v>153</v>
      </c>
      <c r="C1686" s="129"/>
      <c r="D1686" s="129"/>
      <c r="E1686" s="19" t="n">
        <f aca="false">F1686*0.03</f>
        <v>0</v>
      </c>
      <c r="F1686" s="33" t="n">
        <v>0</v>
      </c>
      <c r="G1686" s="131"/>
      <c r="H1686" s="35" t="n">
        <v>0</v>
      </c>
      <c r="I1686" s="34" t="n">
        <f aca="false">+IF(E1686=0,0,E1686*0.03)</f>
        <v>0</v>
      </c>
      <c r="J1686" s="93"/>
      <c r="K1686" s="93"/>
      <c r="L1686" s="93"/>
      <c r="M1686" s="93"/>
      <c r="N1686" s="93"/>
      <c r="O1686" s="93"/>
      <c r="P1686" s="93"/>
      <c r="Q1686" s="93"/>
      <c r="R1686" s="93"/>
      <c r="S1686" s="93"/>
      <c r="T1686" s="93"/>
      <c r="U1686" s="93"/>
      <c r="V1686" s="93"/>
      <c r="W1686" s="93"/>
      <c r="X1686" s="93"/>
      <c r="Y1686" s="93"/>
      <c r="Z1686" s="93"/>
    </row>
    <row r="1687" customFormat="false" ht="16.4" hidden="false" customHeight="false" outlineLevel="0" collapsed="false">
      <c r="A1687" s="123" t="n">
        <v>45444</v>
      </c>
      <c r="B1687" s="31" t="s">
        <v>153</v>
      </c>
      <c r="C1687" s="129"/>
      <c r="D1687" s="129"/>
      <c r="E1687" s="19" t="n">
        <f aca="false">F1687*0.03</f>
        <v>0</v>
      </c>
      <c r="F1687" s="33" t="n">
        <v>0</v>
      </c>
      <c r="G1687" s="131"/>
      <c r="H1687" s="35" t="n">
        <v>0</v>
      </c>
      <c r="I1687" s="34" t="n">
        <f aca="false">+IF(E1687=0,0,E1687*0.03)</f>
        <v>0</v>
      </c>
      <c r="J1687" s="93"/>
      <c r="K1687" s="93"/>
      <c r="L1687" s="93"/>
      <c r="M1687" s="93"/>
      <c r="N1687" s="93"/>
      <c r="O1687" s="93"/>
      <c r="P1687" s="93"/>
      <c r="Q1687" s="93"/>
      <c r="R1687" s="93"/>
      <c r="S1687" s="93"/>
      <c r="T1687" s="93"/>
      <c r="U1687" s="93"/>
      <c r="V1687" s="93"/>
      <c r="W1687" s="93"/>
      <c r="X1687" s="93"/>
      <c r="Y1687" s="93"/>
      <c r="Z1687" s="93"/>
    </row>
    <row r="1688" customFormat="false" ht="16.4" hidden="false" customHeight="false" outlineLevel="0" collapsed="false">
      <c r="A1688" s="123" t="n">
        <v>45444</v>
      </c>
      <c r="B1688" s="31" t="s">
        <v>153</v>
      </c>
      <c r="C1688" s="129"/>
      <c r="D1688" s="129"/>
      <c r="E1688" s="19" t="n">
        <f aca="false">F1688*0.03</f>
        <v>0</v>
      </c>
      <c r="F1688" s="33" t="n">
        <v>0</v>
      </c>
      <c r="G1688" s="131"/>
      <c r="H1688" s="35" t="n">
        <v>0</v>
      </c>
      <c r="I1688" s="34" t="n">
        <f aca="false">+IF(E1688=0,0,E1688*0.03)</f>
        <v>0</v>
      </c>
      <c r="J1688" s="93"/>
      <c r="K1688" s="93"/>
      <c r="L1688" s="93"/>
      <c r="M1688" s="93"/>
      <c r="N1688" s="93"/>
      <c r="O1688" s="93"/>
      <c r="P1688" s="93"/>
      <c r="Q1688" s="93"/>
      <c r="R1688" s="93"/>
      <c r="S1688" s="93"/>
      <c r="T1688" s="93"/>
      <c r="U1688" s="93"/>
      <c r="V1688" s="93"/>
      <c r="W1688" s="93"/>
      <c r="X1688" s="93"/>
      <c r="Y1688" s="93"/>
      <c r="Z1688" s="93"/>
    </row>
    <row r="1689" customFormat="false" ht="16.4" hidden="false" customHeight="false" outlineLevel="0" collapsed="false">
      <c r="A1689" s="123" t="n">
        <v>45444</v>
      </c>
      <c r="B1689" s="31" t="s">
        <v>153</v>
      </c>
      <c r="C1689" s="129"/>
      <c r="D1689" s="129"/>
      <c r="E1689" s="19" t="n">
        <f aca="false">F1689*0.03</f>
        <v>0</v>
      </c>
      <c r="F1689" s="33" t="n">
        <v>0</v>
      </c>
      <c r="G1689" s="131"/>
      <c r="H1689" s="35" t="n">
        <v>0</v>
      </c>
      <c r="I1689" s="34" t="n">
        <f aca="false">+IF(E1689=0,0,E1689*0.03)</f>
        <v>0</v>
      </c>
      <c r="J1689" s="93"/>
      <c r="K1689" s="93"/>
      <c r="L1689" s="93"/>
      <c r="M1689" s="93"/>
      <c r="N1689" s="93"/>
      <c r="O1689" s="93"/>
      <c r="P1689" s="93"/>
      <c r="Q1689" s="93"/>
      <c r="R1689" s="93"/>
      <c r="S1689" s="93"/>
      <c r="T1689" s="93"/>
      <c r="U1689" s="93"/>
      <c r="V1689" s="93"/>
      <c r="W1689" s="93"/>
      <c r="X1689" s="93"/>
      <c r="Y1689" s="93"/>
      <c r="Z1689" s="93"/>
    </row>
    <row r="1690" customFormat="false" ht="16.4" hidden="false" customHeight="false" outlineLevel="0" collapsed="false">
      <c r="A1690" s="123" t="n">
        <v>45444</v>
      </c>
      <c r="B1690" s="31" t="s">
        <v>153</v>
      </c>
      <c r="C1690" s="129"/>
      <c r="D1690" s="129"/>
      <c r="E1690" s="19" t="n">
        <f aca="false">F1690*0.03</f>
        <v>0</v>
      </c>
      <c r="F1690" s="33" t="n">
        <v>0</v>
      </c>
      <c r="G1690" s="131"/>
      <c r="H1690" s="35" t="n">
        <v>0</v>
      </c>
      <c r="I1690" s="34" t="n">
        <f aca="false">+IF(E1690=0,0,E1690*0.03)</f>
        <v>0</v>
      </c>
      <c r="J1690" s="93"/>
      <c r="K1690" s="93"/>
      <c r="L1690" s="93"/>
      <c r="M1690" s="93"/>
      <c r="N1690" s="93"/>
      <c r="O1690" s="93"/>
      <c r="P1690" s="93"/>
      <c r="Q1690" s="93"/>
      <c r="R1690" s="93"/>
      <c r="S1690" s="93"/>
      <c r="T1690" s="93"/>
      <c r="U1690" s="93"/>
      <c r="V1690" s="93"/>
      <c r="W1690" s="93"/>
      <c r="X1690" s="93"/>
      <c r="Y1690" s="93"/>
      <c r="Z1690" s="93"/>
    </row>
    <row r="1691" customFormat="false" ht="16.4" hidden="false" customHeight="false" outlineLevel="0" collapsed="false">
      <c r="A1691" s="123" t="n">
        <v>45444</v>
      </c>
      <c r="B1691" s="31" t="s">
        <v>153</v>
      </c>
      <c r="C1691" s="129"/>
      <c r="D1691" s="129"/>
      <c r="E1691" s="19" t="n">
        <f aca="false">F1691*0.03</f>
        <v>0</v>
      </c>
      <c r="F1691" s="33" t="n">
        <v>0</v>
      </c>
      <c r="G1691" s="131"/>
      <c r="H1691" s="35" t="n">
        <v>0</v>
      </c>
      <c r="I1691" s="34" t="n">
        <f aca="false">+IF(E1691=0,0,E1691*0.03)</f>
        <v>0</v>
      </c>
      <c r="J1691" s="93"/>
      <c r="K1691" s="93"/>
      <c r="L1691" s="93"/>
      <c r="M1691" s="93"/>
      <c r="N1691" s="93"/>
      <c r="O1691" s="93"/>
      <c r="P1691" s="93"/>
      <c r="Q1691" s="93"/>
      <c r="R1691" s="93"/>
      <c r="S1691" s="93"/>
      <c r="T1691" s="93"/>
      <c r="U1691" s="93"/>
      <c r="V1691" s="93"/>
      <c r="W1691" s="93"/>
      <c r="X1691" s="93"/>
      <c r="Y1691" s="93"/>
      <c r="Z1691" s="93"/>
    </row>
    <row r="1692" customFormat="false" ht="16.4" hidden="false" customHeight="false" outlineLevel="0" collapsed="false">
      <c r="A1692" s="123" t="n">
        <v>45444</v>
      </c>
      <c r="B1692" s="31" t="s">
        <v>153</v>
      </c>
      <c r="C1692" s="129"/>
      <c r="D1692" s="129"/>
      <c r="E1692" s="19" t="n">
        <f aca="false">F1692*0.03</f>
        <v>0</v>
      </c>
      <c r="F1692" s="33" t="n">
        <v>0</v>
      </c>
      <c r="G1692" s="131"/>
      <c r="H1692" s="35" t="n">
        <v>0</v>
      </c>
      <c r="I1692" s="34" t="n">
        <f aca="false">+IF(E1692=0,0,E1692*0.03)</f>
        <v>0</v>
      </c>
      <c r="J1692" s="93"/>
      <c r="K1692" s="93"/>
      <c r="L1692" s="93"/>
      <c r="M1692" s="93"/>
      <c r="N1692" s="93"/>
      <c r="O1692" s="93"/>
      <c r="P1692" s="93"/>
      <c r="Q1692" s="93"/>
      <c r="R1692" s="93"/>
      <c r="S1692" s="93"/>
      <c r="T1692" s="93"/>
      <c r="U1692" s="93"/>
      <c r="V1692" s="93"/>
      <c r="W1692" s="93"/>
      <c r="X1692" s="93"/>
      <c r="Y1692" s="93"/>
      <c r="Z1692" s="93"/>
    </row>
    <row r="1693" customFormat="false" ht="16.4" hidden="false" customHeight="false" outlineLevel="0" collapsed="false">
      <c r="A1693" s="123" t="n">
        <v>45444</v>
      </c>
      <c r="B1693" s="31" t="s">
        <v>153</v>
      </c>
      <c r="C1693" s="129"/>
      <c r="D1693" s="129"/>
      <c r="E1693" s="19" t="n">
        <f aca="false">F1693*0.03</f>
        <v>0</v>
      </c>
      <c r="F1693" s="33" t="n">
        <v>0</v>
      </c>
      <c r="G1693" s="131"/>
      <c r="H1693" s="35" t="n">
        <v>0</v>
      </c>
      <c r="I1693" s="34" t="n">
        <f aca="false">+IF(E1693=0,0,E1693*0.03)</f>
        <v>0</v>
      </c>
      <c r="J1693" s="93"/>
      <c r="K1693" s="93"/>
      <c r="L1693" s="93"/>
      <c r="M1693" s="93"/>
      <c r="N1693" s="93"/>
      <c r="O1693" s="93"/>
      <c r="P1693" s="93"/>
      <c r="Q1693" s="93"/>
      <c r="R1693" s="93"/>
      <c r="S1693" s="93"/>
      <c r="T1693" s="93"/>
      <c r="U1693" s="93"/>
      <c r="V1693" s="93"/>
      <c r="W1693" s="93"/>
      <c r="X1693" s="93"/>
      <c r="Y1693" s="93"/>
      <c r="Z1693" s="93"/>
    </row>
    <row r="1694" customFormat="false" ht="16.4" hidden="false" customHeight="false" outlineLevel="0" collapsed="false">
      <c r="A1694" s="123" t="n">
        <v>45444</v>
      </c>
      <c r="B1694" s="31" t="s">
        <v>153</v>
      </c>
      <c r="C1694" s="129"/>
      <c r="D1694" s="129"/>
      <c r="E1694" s="19" t="n">
        <f aca="false">F1694*0.03</f>
        <v>0</v>
      </c>
      <c r="F1694" s="33" t="n">
        <v>0</v>
      </c>
      <c r="G1694" s="131"/>
      <c r="H1694" s="35" t="n">
        <v>0</v>
      </c>
      <c r="I1694" s="34" t="n">
        <f aca="false">+IF(E1694=0,0,E1694*0.03)</f>
        <v>0</v>
      </c>
      <c r="J1694" s="93"/>
      <c r="K1694" s="93"/>
      <c r="L1694" s="93"/>
      <c r="M1694" s="93"/>
      <c r="N1694" s="93"/>
      <c r="O1694" s="93"/>
      <c r="P1694" s="93"/>
      <c r="Q1694" s="93"/>
      <c r="R1694" s="93"/>
      <c r="S1694" s="93"/>
      <c r="T1694" s="93"/>
      <c r="U1694" s="93"/>
      <c r="V1694" s="93"/>
      <c r="W1694" s="93"/>
      <c r="X1694" s="93"/>
      <c r="Y1694" s="93"/>
      <c r="Z1694" s="93"/>
    </row>
    <row r="1695" customFormat="false" ht="16.4" hidden="false" customHeight="false" outlineLevel="0" collapsed="false">
      <c r="A1695" s="123" t="n">
        <v>45444</v>
      </c>
      <c r="B1695" s="31" t="s">
        <v>153</v>
      </c>
      <c r="C1695" s="129"/>
      <c r="D1695" s="129"/>
      <c r="E1695" s="19" t="n">
        <f aca="false">F1695*0.03</f>
        <v>0</v>
      </c>
      <c r="F1695" s="33" t="n">
        <v>0</v>
      </c>
      <c r="G1695" s="131"/>
      <c r="H1695" s="35" t="n">
        <v>0</v>
      </c>
      <c r="I1695" s="34" t="n">
        <f aca="false">+IF(E1695=0,0,E1695*0.03)</f>
        <v>0</v>
      </c>
      <c r="J1695" s="93"/>
      <c r="K1695" s="93"/>
      <c r="L1695" s="93"/>
      <c r="M1695" s="93"/>
      <c r="N1695" s="93"/>
      <c r="O1695" s="93"/>
      <c r="P1695" s="93"/>
      <c r="Q1695" s="93"/>
      <c r="R1695" s="93"/>
      <c r="S1695" s="93"/>
      <c r="T1695" s="93"/>
      <c r="U1695" s="93"/>
      <c r="V1695" s="93"/>
      <c r="W1695" s="93"/>
      <c r="X1695" s="93"/>
      <c r="Y1695" s="93"/>
      <c r="Z1695" s="93"/>
    </row>
    <row r="1696" customFormat="false" ht="16.4" hidden="false" customHeight="false" outlineLevel="0" collapsed="false">
      <c r="A1696" s="123" t="n">
        <v>45444</v>
      </c>
      <c r="B1696" s="31" t="s">
        <v>153</v>
      </c>
      <c r="C1696" s="129"/>
      <c r="D1696" s="129"/>
      <c r="E1696" s="19" t="n">
        <f aca="false">F1696*0.03</f>
        <v>0</v>
      </c>
      <c r="F1696" s="33" t="n">
        <v>0</v>
      </c>
      <c r="G1696" s="131"/>
      <c r="H1696" s="35" t="n">
        <v>0</v>
      </c>
      <c r="I1696" s="34" t="n">
        <f aca="false">+IF(E1696=0,0,E1696*0.03)</f>
        <v>0</v>
      </c>
      <c r="J1696" s="93"/>
      <c r="K1696" s="93"/>
      <c r="L1696" s="93"/>
      <c r="M1696" s="93"/>
      <c r="N1696" s="93"/>
      <c r="O1696" s="93"/>
      <c r="P1696" s="93"/>
      <c r="Q1696" s="93"/>
      <c r="R1696" s="93"/>
      <c r="S1696" s="93"/>
      <c r="T1696" s="93"/>
      <c r="U1696" s="93"/>
      <c r="V1696" s="93"/>
      <c r="W1696" s="93"/>
      <c r="X1696" s="93"/>
      <c r="Y1696" s="93"/>
      <c r="Z1696" s="93"/>
    </row>
    <row r="1697" customFormat="false" ht="16.4" hidden="false" customHeight="false" outlineLevel="0" collapsed="false">
      <c r="A1697" s="123" t="n">
        <v>45444</v>
      </c>
      <c r="B1697" s="31" t="s">
        <v>153</v>
      </c>
      <c r="C1697" s="129"/>
      <c r="D1697" s="129"/>
      <c r="E1697" s="19" t="n">
        <f aca="false">F1697*0.03</f>
        <v>0</v>
      </c>
      <c r="F1697" s="33" t="n">
        <v>0</v>
      </c>
      <c r="G1697" s="131"/>
      <c r="H1697" s="35" t="n">
        <v>0</v>
      </c>
      <c r="I1697" s="34" t="n">
        <f aca="false">+IF(E1697=0,0,E1697*0.03)</f>
        <v>0</v>
      </c>
      <c r="J1697" s="93"/>
      <c r="K1697" s="93"/>
      <c r="L1697" s="93"/>
      <c r="M1697" s="93"/>
      <c r="N1697" s="93"/>
      <c r="O1697" s="93"/>
      <c r="P1697" s="93"/>
      <c r="Q1697" s="93"/>
      <c r="R1697" s="93"/>
      <c r="S1697" s="93"/>
      <c r="T1697" s="93"/>
      <c r="U1697" s="93"/>
      <c r="V1697" s="93"/>
      <c r="W1697" s="93"/>
      <c r="X1697" s="93"/>
      <c r="Y1697" s="93"/>
      <c r="Z1697" s="93"/>
    </row>
    <row r="1698" customFormat="false" ht="16.4" hidden="false" customHeight="false" outlineLevel="0" collapsed="false">
      <c r="A1698" s="123" t="n">
        <v>45444</v>
      </c>
      <c r="B1698" s="31" t="s">
        <v>153</v>
      </c>
      <c r="C1698" s="129"/>
      <c r="D1698" s="129"/>
      <c r="E1698" s="19" t="n">
        <f aca="false">F1698*0.03</f>
        <v>0</v>
      </c>
      <c r="F1698" s="33" t="n">
        <v>0</v>
      </c>
      <c r="G1698" s="131"/>
      <c r="H1698" s="35" t="n">
        <v>0</v>
      </c>
      <c r="I1698" s="34" t="n">
        <f aca="false">+IF(E1698=0,0,E1698*0.03)</f>
        <v>0</v>
      </c>
      <c r="J1698" s="93"/>
      <c r="K1698" s="93"/>
      <c r="L1698" s="93"/>
      <c r="M1698" s="93"/>
      <c r="N1698" s="93"/>
      <c r="O1698" s="93"/>
      <c r="P1698" s="93"/>
      <c r="Q1698" s="93"/>
      <c r="R1698" s="93"/>
      <c r="S1698" s="93"/>
      <c r="T1698" s="93"/>
      <c r="U1698" s="93"/>
      <c r="V1698" s="93"/>
      <c r="W1698" s="93"/>
      <c r="X1698" s="93"/>
      <c r="Y1698" s="93"/>
      <c r="Z1698" s="93"/>
    </row>
    <row r="1699" customFormat="false" ht="16.4" hidden="false" customHeight="false" outlineLevel="0" collapsed="false">
      <c r="A1699" s="123" t="n">
        <v>45444</v>
      </c>
      <c r="B1699" s="31" t="s">
        <v>153</v>
      </c>
      <c r="C1699" s="129"/>
      <c r="D1699" s="129"/>
      <c r="E1699" s="19" t="n">
        <f aca="false">F1699*0.03</f>
        <v>0</v>
      </c>
      <c r="F1699" s="33" t="n">
        <v>0</v>
      </c>
      <c r="G1699" s="131"/>
      <c r="H1699" s="35" t="n">
        <v>0</v>
      </c>
      <c r="I1699" s="34" t="n">
        <f aca="false">+IF(E1699=0,0,E1699*0.03)</f>
        <v>0</v>
      </c>
      <c r="J1699" s="93"/>
      <c r="K1699" s="93"/>
      <c r="L1699" s="93"/>
      <c r="M1699" s="93"/>
      <c r="N1699" s="93"/>
      <c r="O1699" s="93"/>
      <c r="P1699" s="93"/>
      <c r="Q1699" s="93"/>
      <c r="R1699" s="93"/>
      <c r="S1699" s="93"/>
      <c r="T1699" s="93"/>
      <c r="U1699" s="93"/>
      <c r="V1699" s="93"/>
      <c r="W1699" s="93"/>
      <c r="X1699" s="93"/>
      <c r="Y1699" s="93"/>
      <c r="Z1699" s="93"/>
    </row>
    <row r="1700" customFormat="false" ht="16.4" hidden="false" customHeight="false" outlineLevel="0" collapsed="false">
      <c r="A1700" s="123" t="n">
        <v>45444</v>
      </c>
      <c r="B1700" s="31" t="s">
        <v>153</v>
      </c>
      <c r="C1700" s="129"/>
      <c r="D1700" s="129"/>
      <c r="E1700" s="19" t="n">
        <f aca="false">F1700*0.03</f>
        <v>0</v>
      </c>
      <c r="F1700" s="33" t="n">
        <v>0</v>
      </c>
      <c r="G1700" s="131"/>
      <c r="H1700" s="35" t="n">
        <v>0</v>
      </c>
      <c r="I1700" s="34" t="n">
        <f aca="false">+IF(E1700=0,0,E1700*0.03)</f>
        <v>0</v>
      </c>
      <c r="J1700" s="93"/>
      <c r="K1700" s="93"/>
      <c r="L1700" s="93"/>
      <c r="M1700" s="93"/>
      <c r="N1700" s="93"/>
      <c r="O1700" s="93"/>
      <c r="P1700" s="93"/>
      <c r="Q1700" s="93"/>
      <c r="R1700" s="93"/>
      <c r="S1700" s="93"/>
      <c r="T1700" s="93"/>
      <c r="U1700" s="93"/>
      <c r="V1700" s="93"/>
      <c r="W1700" s="93"/>
      <c r="X1700" s="93"/>
      <c r="Y1700" s="93"/>
      <c r="Z1700" s="93"/>
    </row>
    <row r="1701" customFormat="false" ht="16.4" hidden="false" customHeight="false" outlineLevel="0" collapsed="false">
      <c r="A1701" s="123" t="n">
        <v>45444</v>
      </c>
      <c r="B1701" s="31" t="s">
        <v>153</v>
      </c>
      <c r="C1701" s="129"/>
      <c r="D1701" s="129"/>
      <c r="E1701" s="19" t="n">
        <f aca="false">F1701*0.03</f>
        <v>0</v>
      </c>
      <c r="F1701" s="33" t="n">
        <v>0</v>
      </c>
      <c r="G1701" s="131"/>
      <c r="H1701" s="35" t="n">
        <v>0</v>
      </c>
      <c r="I1701" s="34" t="n">
        <f aca="false">+IF(E1701=0,0,E1701*0.03)</f>
        <v>0</v>
      </c>
      <c r="J1701" s="93"/>
      <c r="K1701" s="93"/>
      <c r="L1701" s="93"/>
      <c r="M1701" s="93"/>
      <c r="N1701" s="93"/>
      <c r="O1701" s="93"/>
      <c r="P1701" s="93"/>
      <c r="Q1701" s="93"/>
      <c r="R1701" s="93"/>
      <c r="S1701" s="93"/>
      <c r="T1701" s="93"/>
      <c r="U1701" s="93"/>
      <c r="V1701" s="93"/>
      <c r="W1701" s="93"/>
      <c r="X1701" s="93"/>
      <c r="Y1701" s="93"/>
      <c r="Z1701" s="93"/>
    </row>
    <row r="1702" customFormat="false" ht="16.4" hidden="false" customHeight="false" outlineLevel="0" collapsed="false">
      <c r="A1702" s="123" t="n">
        <v>45444</v>
      </c>
      <c r="B1702" s="31" t="s">
        <v>153</v>
      </c>
      <c r="C1702" s="129"/>
      <c r="D1702" s="129"/>
      <c r="E1702" s="19" t="n">
        <f aca="false">F1702*0.03</f>
        <v>0</v>
      </c>
      <c r="F1702" s="33" t="n">
        <v>0</v>
      </c>
      <c r="G1702" s="131"/>
      <c r="H1702" s="35" t="n">
        <v>0</v>
      </c>
      <c r="I1702" s="34" t="n">
        <f aca="false">+IF(E1702=0,0,E1702*0.03)</f>
        <v>0</v>
      </c>
      <c r="J1702" s="93"/>
      <c r="K1702" s="93"/>
      <c r="L1702" s="93"/>
      <c r="M1702" s="93"/>
      <c r="N1702" s="93"/>
      <c r="O1702" s="93"/>
      <c r="P1702" s="93"/>
      <c r="Q1702" s="93"/>
      <c r="R1702" s="93"/>
      <c r="S1702" s="93"/>
      <c r="T1702" s="93"/>
      <c r="U1702" s="93"/>
      <c r="V1702" s="93"/>
      <c r="W1702" s="93"/>
      <c r="X1702" s="93"/>
      <c r="Y1702" s="93"/>
      <c r="Z1702" s="93"/>
    </row>
    <row r="1703" customFormat="false" ht="16.4" hidden="false" customHeight="false" outlineLevel="0" collapsed="false">
      <c r="A1703" s="123" t="n">
        <v>45444</v>
      </c>
      <c r="B1703" s="31" t="s">
        <v>153</v>
      </c>
      <c r="C1703" s="129"/>
      <c r="D1703" s="129"/>
      <c r="E1703" s="19" t="n">
        <f aca="false">F1703*0.03</f>
        <v>0</v>
      </c>
      <c r="F1703" s="33" t="n">
        <v>0</v>
      </c>
      <c r="G1703" s="131"/>
      <c r="H1703" s="35" t="n">
        <v>0</v>
      </c>
      <c r="I1703" s="34" t="n">
        <f aca="false">+IF(E1703=0,0,E1703*0.03)</f>
        <v>0</v>
      </c>
      <c r="J1703" s="93"/>
      <c r="K1703" s="93"/>
      <c r="L1703" s="93"/>
      <c r="M1703" s="93"/>
      <c r="N1703" s="93"/>
      <c r="O1703" s="93"/>
      <c r="P1703" s="93"/>
      <c r="Q1703" s="93"/>
      <c r="R1703" s="93"/>
      <c r="S1703" s="93"/>
      <c r="T1703" s="93"/>
      <c r="U1703" s="93"/>
      <c r="V1703" s="93"/>
      <c r="W1703" s="93"/>
      <c r="X1703" s="93"/>
      <c r="Y1703" s="93"/>
      <c r="Z1703" s="93"/>
    </row>
    <row r="1704" customFormat="false" ht="16.4" hidden="false" customHeight="false" outlineLevel="0" collapsed="false">
      <c r="A1704" s="123" t="n">
        <v>45444</v>
      </c>
      <c r="B1704" s="31" t="s">
        <v>153</v>
      </c>
      <c r="C1704" s="129"/>
      <c r="D1704" s="129"/>
      <c r="E1704" s="19" t="n">
        <f aca="false">F1704*0.03</f>
        <v>0</v>
      </c>
      <c r="F1704" s="33" t="n">
        <v>0</v>
      </c>
      <c r="G1704" s="131"/>
      <c r="H1704" s="35" t="n">
        <v>0</v>
      </c>
      <c r="I1704" s="34" t="n">
        <f aca="false">+IF(E1704=0,0,E1704*0.03)</f>
        <v>0</v>
      </c>
      <c r="J1704" s="93"/>
      <c r="K1704" s="93"/>
      <c r="L1704" s="93"/>
      <c r="M1704" s="93"/>
      <c r="N1704" s="93"/>
      <c r="O1704" s="93"/>
      <c r="P1704" s="93"/>
      <c r="Q1704" s="93"/>
      <c r="R1704" s="93"/>
      <c r="S1704" s="93"/>
      <c r="T1704" s="93"/>
      <c r="U1704" s="93"/>
      <c r="V1704" s="93"/>
      <c r="W1704" s="93"/>
      <c r="X1704" s="93"/>
      <c r="Y1704" s="93"/>
      <c r="Z1704" s="93"/>
    </row>
    <row r="1705" customFormat="false" ht="16.4" hidden="false" customHeight="false" outlineLevel="0" collapsed="false">
      <c r="A1705" s="123" t="n">
        <v>45444</v>
      </c>
      <c r="B1705" s="31" t="s">
        <v>153</v>
      </c>
      <c r="C1705" s="129"/>
      <c r="D1705" s="129"/>
      <c r="E1705" s="19" t="n">
        <f aca="false">F1705*0.03</f>
        <v>0</v>
      </c>
      <c r="F1705" s="33" t="n">
        <v>0</v>
      </c>
      <c r="G1705" s="131"/>
      <c r="H1705" s="35" t="n">
        <v>0</v>
      </c>
      <c r="I1705" s="34" t="n">
        <f aca="false">+IF(E1705=0,0,E1705*0.03)</f>
        <v>0</v>
      </c>
      <c r="J1705" s="93"/>
      <c r="K1705" s="93"/>
      <c r="L1705" s="93"/>
      <c r="M1705" s="93"/>
      <c r="N1705" s="93"/>
      <c r="O1705" s="93"/>
      <c r="P1705" s="93"/>
      <c r="Q1705" s="93"/>
      <c r="R1705" s="93"/>
      <c r="S1705" s="93"/>
      <c r="T1705" s="93"/>
      <c r="U1705" s="93"/>
      <c r="V1705" s="93"/>
      <c r="W1705" s="93"/>
      <c r="X1705" s="93"/>
      <c r="Y1705" s="93"/>
      <c r="Z1705" s="93"/>
    </row>
    <row r="1706" customFormat="false" ht="16.4" hidden="false" customHeight="false" outlineLevel="0" collapsed="false">
      <c r="A1706" s="123" t="n">
        <v>45444</v>
      </c>
      <c r="B1706" s="31" t="s">
        <v>153</v>
      </c>
      <c r="C1706" s="129"/>
      <c r="D1706" s="129"/>
      <c r="E1706" s="19" t="n">
        <f aca="false">F1706*0.03</f>
        <v>0</v>
      </c>
      <c r="F1706" s="33" t="n">
        <v>0</v>
      </c>
      <c r="G1706" s="131"/>
      <c r="H1706" s="35" t="n">
        <v>0</v>
      </c>
      <c r="I1706" s="34" t="n">
        <f aca="false">+IF(E1706=0,0,E1706*0.03)</f>
        <v>0</v>
      </c>
      <c r="J1706" s="93"/>
      <c r="K1706" s="93"/>
      <c r="L1706" s="93"/>
      <c r="M1706" s="93"/>
      <c r="N1706" s="93"/>
      <c r="O1706" s="93"/>
      <c r="P1706" s="93"/>
      <c r="Q1706" s="93"/>
      <c r="R1706" s="93"/>
      <c r="S1706" s="93"/>
      <c r="T1706" s="93"/>
      <c r="U1706" s="93"/>
      <c r="V1706" s="93"/>
      <c r="W1706" s="93"/>
      <c r="X1706" s="93"/>
      <c r="Y1706" s="93"/>
      <c r="Z1706" s="93"/>
    </row>
    <row r="1707" customFormat="false" ht="16.4" hidden="false" customHeight="false" outlineLevel="0" collapsed="false">
      <c r="A1707" s="123" t="n">
        <v>45444</v>
      </c>
      <c r="B1707" s="31" t="s">
        <v>153</v>
      </c>
      <c r="C1707" s="129"/>
      <c r="D1707" s="129"/>
      <c r="E1707" s="19" t="n">
        <f aca="false">F1707*0.03</f>
        <v>0</v>
      </c>
      <c r="F1707" s="33" t="n">
        <v>0</v>
      </c>
      <c r="G1707" s="131"/>
      <c r="H1707" s="35" t="n">
        <v>0</v>
      </c>
      <c r="I1707" s="34" t="n">
        <f aca="false">+IF(E1707=0,0,E1707*0.03)</f>
        <v>0</v>
      </c>
      <c r="J1707" s="93"/>
      <c r="K1707" s="93"/>
      <c r="L1707" s="93"/>
      <c r="M1707" s="93"/>
      <c r="N1707" s="93"/>
      <c r="O1707" s="93"/>
      <c r="P1707" s="93"/>
      <c r="Q1707" s="93"/>
      <c r="R1707" s="93"/>
      <c r="S1707" s="93"/>
      <c r="T1707" s="93"/>
      <c r="U1707" s="93"/>
      <c r="V1707" s="93"/>
      <c r="W1707" s="93"/>
      <c r="X1707" s="93"/>
      <c r="Y1707" s="93"/>
      <c r="Z1707" s="93"/>
    </row>
    <row r="1708" customFormat="false" ht="16.4" hidden="false" customHeight="false" outlineLevel="0" collapsed="false">
      <c r="A1708" s="123" t="n">
        <v>45444</v>
      </c>
      <c r="B1708" s="31" t="s">
        <v>153</v>
      </c>
      <c r="C1708" s="129"/>
      <c r="D1708" s="129"/>
      <c r="E1708" s="19" t="n">
        <f aca="false">F1708*0.03</f>
        <v>0</v>
      </c>
      <c r="F1708" s="33" t="n">
        <v>0</v>
      </c>
      <c r="G1708" s="131"/>
      <c r="H1708" s="35" t="n">
        <v>0</v>
      </c>
      <c r="I1708" s="34" t="n">
        <f aca="false">+IF(E1708=0,0,E1708*0.03)</f>
        <v>0</v>
      </c>
      <c r="J1708" s="93"/>
      <c r="K1708" s="93"/>
      <c r="L1708" s="93"/>
      <c r="M1708" s="93"/>
      <c r="N1708" s="93"/>
      <c r="O1708" s="93"/>
      <c r="P1708" s="93"/>
      <c r="Q1708" s="93"/>
      <c r="R1708" s="93"/>
      <c r="S1708" s="93"/>
      <c r="T1708" s="93"/>
      <c r="U1708" s="93"/>
      <c r="V1708" s="93"/>
      <c r="W1708" s="93"/>
      <c r="X1708" s="93"/>
      <c r="Y1708" s="93"/>
      <c r="Z1708" s="93"/>
    </row>
    <row r="1709" customFormat="false" ht="16.4" hidden="false" customHeight="false" outlineLevel="0" collapsed="false">
      <c r="A1709" s="123" t="n">
        <v>45444</v>
      </c>
      <c r="B1709" s="31" t="s">
        <v>153</v>
      </c>
      <c r="C1709" s="129"/>
      <c r="D1709" s="129"/>
      <c r="E1709" s="19" t="n">
        <f aca="false">F1709*0.03</f>
        <v>0</v>
      </c>
      <c r="F1709" s="33" t="n">
        <v>0</v>
      </c>
      <c r="G1709" s="131"/>
      <c r="H1709" s="35" t="n">
        <v>0</v>
      </c>
      <c r="I1709" s="34" t="n">
        <f aca="false">+IF(E1709=0,0,E1709*0.03)</f>
        <v>0</v>
      </c>
      <c r="J1709" s="93"/>
      <c r="K1709" s="93"/>
      <c r="L1709" s="93"/>
      <c r="M1709" s="93"/>
      <c r="N1709" s="93"/>
      <c r="O1709" s="93"/>
      <c r="P1709" s="93"/>
      <c r="Q1709" s="93"/>
      <c r="R1709" s="93"/>
      <c r="S1709" s="93"/>
      <c r="T1709" s="93"/>
      <c r="U1709" s="93"/>
      <c r="V1709" s="93"/>
      <c r="W1709" s="93"/>
      <c r="X1709" s="93"/>
      <c r="Y1709" s="93"/>
      <c r="Z1709" s="93"/>
    </row>
    <row r="1710" customFormat="false" ht="16.4" hidden="false" customHeight="false" outlineLevel="0" collapsed="false">
      <c r="A1710" s="123" t="n">
        <v>45444</v>
      </c>
      <c r="B1710" s="31" t="s">
        <v>153</v>
      </c>
      <c r="C1710" s="129"/>
      <c r="D1710" s="129"/>
      <c r="E1710" s="19" t="n">
        <f aca="false">F1710*0.03</f>
        <v>0</v>
      </c>
      <c r="F1710" s="33" t="n">
        <v>0</v>
      </c>
      <c r="G1710" s="131"/>
      <c r="H1710" s="35" t="n">
        <v>0</v>
      </c>
      <c r="I1710" s="34" t="n">
        <f aca="false">+IF(E1710=0,0,E1710*0.03)</f>
        <v>0</v>
      </c>
      <c r="J1710" s="93"/>
      <c r="K1710" s="93"/>
      <c r="L1710" s="93"/>
      <c r="M1710" s="93"/>
      <c r="N1710" s="93"/>
      <c r="O1710" s="93"/>
      <c r="P1710" s="93"/>
      <c r="Q1710" s="93"/>
      <c r="R1710" s="93"/>
      <c r="S1710" s="93"/>
      <c r="T1710" s="93"/>
      <c r="U1710" s="93"/>
      <c r="V1710" s="93"/>
      <c r="W1710" s="93"/>
      <c r="X1710" s="93"/>
      <c r="Y1710" s="93"/>
      <c r="Z1710" s="93"/>
    </row>
    <row r="1711" customFormat="false" ht="16.4" hidden="false" customHeight="false" outlineLevel="0" collapsed="false">
      <c r="A1711" s="123" t="n">
        <v>45444</v>
      </c>
      <c r="B1711" s="31" t="s">
        <v>153</v>
      </c>
      <c r="C1711" s="129"/>
      <c r="D1711" s="129"/>
      <c r="E1711" s="19" t="n">
        <f aca="false">F1711*0.03</f>
        <v>0</v>
      </c>
      <c r="F1711" s="33" t="n">
        <v>0</v>
      </c>
      <c r="G1711" s="131"/>
      <c r="H1711" s="35" t="n">
        <v>0</v>
      </c>
      <c r="I1711" s="34" t="n">
        <f aca="false">+IF(E1711=0,0,E1711*0.03)</f>
        <v>0</v>
      </c>
      <c r="J1711" s="93"/>
      <c r="K1711" s="93"/>
      <c r="L1711" s="93"/>
      <c r="M1711" s="93"/>
      <c r="N1711" s="93"/>
      <c r="O1711" s="93"/>
      <c r="P1711" s="93"/>
      <c r="Q1711" s="93"/>
      <c r="R1711" s="93"/>
      <c r="S1711" s="93"/>
      <c r="T1711" s="93"/>
      <c r="U1711" s="93"/>
      <c r="V1711" s="93"/>
      <c r="W1711" s="93"/>
      <c r="X1711" s="93"/>
      <c r="Y1711" s="93"/>
      <c r="Z1711" s="93"/>
    </row>
    <row r="1712" customFormat="false" ht="16.4" hidden="false" customHeight="false" outlineLevel="0" collapsed="false">
      <c r="A1712" s="123" t="n">
        <v>45444</v>
      </c>
      <c r="B1712" s="31" t="s">
        <v>153</v>
      </c>
      <c r="C1712" s="129"/>
      <c r="D1712" s="129"/>
      <c r="E1712" s="19" t="n">
        <f aca="false">F1712*0.03</f>
        <v>0</v>
      </c>
      <c r="F1712" s="33" t="n">
        <v>0</v>
      </c>
      <c r="G1712" s="131"/>
      <c r="H1712" s="35" t="n">
        <v>0</v>
      </c>
      <c r="I1712" s="34" t="n">
        <f aca="false">+IF(E1712=0,0,E1712*0.03)</f>
        <v>0</v>
      </c>
      <c r="J1712" s="93"/>
      <c r="K1712" s="93"/>
      <c r="L1712" s="93"/>
      <c r="M1712" s="93"/>
      <c r="N1712" s="93"/>
      <c r="O1712" s="93"/>
      <c r="P1712" s="93"/>
      <c r="Q1712" s="93"/>
      <c r="R1712" s="93"/>
      <c r="S1712" s="93"/>
      <c r="T1712" s="93"/>
      <c r="U1712" s="93"/>
      <c r="V1712" s="93"/>
      <c r="W1712" s="93"/>
      <c r="X1712" s="93"/>
      <c r="Y1712" s="93"/>
      <c r="Z1712" s="93"/>
    </row>
    <row r="1713" customFormat="false" ht="16.4" hidden="false" customHeight="false" outlineLevel="0" collapsed="false">
      <c r="A1713" s="123" t="n">
        <v>45444</v>
      </c>
      <c r="B1713" s="31" t="s">
        <v>153</v>
      </c>
      <c r="C1713" s="129"/>
      <c r="D1713" s="129"/>
      <c r="E1713" s="19" t="n">
        <f aca="false">F1713*0.03</f>
        <v>0</v>
      </c>
      <c r="F1713" s="33" t="n">
        <v>0</v>
      </c>
      <c r="G1713" s="131"/>
      <c r="H1713" s="35" t="n">
        <v>0</v>
      </c>
      <c r="I1713" s="34" t="n">
        <f aca="false">+IF(E1713=0,0,E1713*0.03)</f>
        <v>0</v>
      </c>
      <c r="J1713" s="93"/>
      <c r="K1713" s="93"/>
      <c r="L1713" s="93"/>
      <c r="M1713" s="93"/>
      <c r="N1713" s="93"/>
      <c r="O1713" s="93"/>
      <c r="P1713" s="93"/>
      <c r="Q1713" s="93"/>
      <c r="R1713" s="93"/>
      <c r="S1713" s="93"/>
      <c r="T1713" s="93"/>
      <c r="U1713" s="93"/>
      <c r="V1713" s="93"/>
      <c r="W1713" s="93"/>
      <c r="X1713" s="93"/>
      <c r="Y1713" s="93"/>
      <c r="Z1713" s="93"/>
    </row>
    <row r="1714" customFormat="false" ht="16.4" hidden="false" customHeight="false" outlineLevel="0" collapsed="false">
      <c r="A1714" s="123" t="n">
        <v>45444</v>
      </c>
      <c r="B1714" s="31" t="s">
        <v>153</v>
      </c>
      <c r="C1714" s="129"/>
      <c r="D1714" s="129"/>
      <c r="E1714" s="19" t="n">
        <f aca="false">F1714*0.03</f>
        <v>0</v>
      </c>
      <c r="F1714" s="33" t="n">
        <v>0</v>
      </c>
      <c r="G1714" s="131"/>
      <c r="H1714" s="35" t="n">
        <v>0</v>
      </c>
      <c r="I1714" s="34" t="n">
        <f aca="false">+IF(E1714=0,0,E1714*0.03)</f>
        <v>0</v>
      </c>
      <c r="J1714" s="93"/>
      <c r="K1714" s="93"/>
      <c r="L1714" s="93"/>
      <c r="M1714" s="93"/>
      <c r="N1714" s="93"/>
      <c r="O1714" s="93"/>
      <c r="P1714" s="93"/>
      <c r="Q1714" s="93"/>
      <c r="R1714" s="93"/>
      <c r="S1714" s="93"/>
      <c r="T1714" s="93"/>
      <c r="U1714" s="93"/>
      <c r="V1714" s="93"/>
      <c r="W1714" s="93"/>
      <c r="X1714" s="93"/>
      <c r="Y1714" s="93"/>
      <c r="Z1714" s="93"/>
    </row>
    <row r="1715" customFormat="false" ht="16.4" hidden="false" customHeight="false" outlineLevel="0" collapsed="false">
      <c r="A1715" s="123" t="n">
        <v>45444</v>
      </c>
      <c r="B1715" s="31" t="s">
        <v>153</v>
      </c>
      <c r="C1715" s="129"/>
      <c r="D1715" s="129"/>
      <c r="E1715" s="19" t="n">
        <f aca="false">F1715*0.03</f>
        <v>0</v>
      </c>
      <c r="F1715" s="33" t="n">
        <v>0</v>
      </c>
      <c r="G1715" s="131"/>
      <c r="H1715" s="35" t="n">
        <v>0</v>
      </c>
      <c r="I1715" s="34" t="n">
        <f aca="false">+IF(E1715=0,0,E1715*0.03)</f>
        <v>0</v>
      </c>
      <c r="J1715" s="93"/>
      <c r="K1715" s="93"/>
      <c r="L1715" s="93"/>
      <c r="M1715" s="93"/>
      <c r="N1715" s="93"/>
      <c r="O1715" s="93"/>
      <c r="P1715" s="93"/>
      <c r="Q1715" s="93"/>
      <c r="R1715" s="93"/>
      <c r="S1715" s="93"/>
      <c r="T1715" s="93"/>
      <c r="U1715" s="93"/>
      <c r="V1715" s="93"/>
      <c r="W1715" s="93"/>
      <c r="X1715" s="93"/>
      <c r="Y1715" s="93"/>
      <c r="Z1715" s="93"/>
    </row>
    <row r="1716" customFormat="false" ht="16.4" hidden="false" customHeight="false" outlineLevel="0" collapsed="false">
      <c r="A1716" s="123" t="n">
        <v>45444</v>
      </c>
      <c r="B1716" s="31" t="s">
        <v>153</v>
      </c>
      <c r="C1716" s="129"/>
      <c r="D1716" s="129"/>
      <c r="E1716" s="19" t="n">
        <f aca="false">F1716*0.03</f>
        <v>0</v>
      </c>
      <c r="F1716" s="33" t="n">
        <v>0</v>
      </c>
      <c r="G1716" s="131"/>
      <c r="H1716" s="35" t="n">
        <v>0</v>
      </c>
      <c r="I1716" s="34" t="n">
        <f aca="false">+IF(E1716=0,0,E1716*0.03)</f>
        <v>0</v>
      </c>
      <c r="J1716" s="93"/>
      <c r="K1716" s="93"/>
      <c r="L1716" s="93"/>
      <c r="M1716" s="93"/>
      <c r="N1716" s="93"/>
      <c r="O1716" s="93"/>
      <c r="P1716" s="93"/>
      <c r="Q1716" s="93"/>
      <c r="R1716" s="93"/>
      <c r="S1716" s="93"/>
      <c r="T1716" s="93"/>
      <c r="U1716" s="93"/>
      <c r="V1716" s="93"/>
      <c r="W1716" s="93"/>
      <c r="X1716" s="93"/>
      <c r="Y1716" s="93"/>
      <c r="Z1716" s="93"/>
    </row>
    <row r="1717" customFormat="false" ht="16.4" hidden="false" customHeight="false" outlineLevel="0" collapsed="false">
      <c r="A1717" s="123" t="n">
        <v>45444</v>
      </c>
      <c r="B1717" s="31" t="s">
        <v>153</v>
      </c>
      <c r="C1717" s="129"/>
      <c r="D1717" s="129"/>
      <c r="E1717" s="19" t="n">
        <f aca="false">F1717*0.03</f>
        <v>0</v>
      </c>
      <c r="F1717" s="33" t="n">
        <v>0</v>
      </c>
      <c r="G1717" s="131"/>
      <c r="H1717" s="35" t="n">
        <v>0</v>
      </c>
      <c r="I1717" s="34" t="n">
        <f aca="false">+IF(E1717=0,0,E1717*0.03)</f>
        <v>0</v>
      </c>
      <c r="J1717" s="93"/>
      <c r="K1717" s="93"/>
      <c r="L1717" s="93"/>
      <c r="M1717" s="93"/>
      <c r="N1717" s="93"/>
      <c r="O1717" s="93"/>
      <c r="P1717" s="93"/>
      <c r="Q1717" s="93"/>
      <c r="R1717" s="93"/>
      <c r="S1717" s="93"/>
      <c r="T1717" s="93"/>
      <c r="U1717" s="93"/>
      <c r="V1717" s="93"/>
      <c r="W1717" s="93"/>
      <c r="X1717" s="93"/>
      <c r="Y1717" s="93"/>
      <c r="Z1717" s="93"/>
    </row>
    <row r="1718" customFormat="false" ht="16.4" hidden="false" customHeight="false" outlineLevel="0" collapsed="false">
      <c r="A1718" s="123" t="n">
        <v>45444</v>
      </c>
      <c r="B1718" s="31" t="s">
        <v>153</v>
      </c>
      <c r="C1718" s="129"/>
      <c r="D1718" s="129"/>
      <c r="E1718" s="19" t="n">
        <f aca="false">F1718*0.03</f>
        <v>0</v>
      </c>
      <c r="F1718" s="33" t="n">
        <v>0</v>
      </c>
      <c r="G1718" s="131"/>
      <c r="H1718" s="35" t="n">
        <v>0</v>
      </c>
      <c r="I1718" s="34" t="n">
        <f aca="false">+IF(E1718=0,0,E1718*0.03)</f>
        <v>0</v>
      </c>
      <c r="J1718" s="93"/>
      <c r="K1718" s="93"/>
      <c r="L1718" s="93"/>
      <c r="M1718" s="93"/>
      <c r="N1718" s="93"/>
      <c r="O1718" s="93"/>
      <c r="P1718" s="93"/>
      <c r="Q1718" s="93"/>
      <c r="R1718" s="93"/>
      <c r="S1718" s="93"/>
      <c r="T1718" s="93"/>
      <c r="U1718" s="93"/>
      <c r="V1718" s="93"/>
      <c r="W1718" s="93"/>
      <c r="X1718" s="93"/>
      <c r="Y1718" s="93"/>
      <c r="Z1718" s="93"/>
    </row>
    <row r="1719" customFormat="false" ht="16.4" hidden="false" customHeight="false" outlineLevel="0" collapsed="false">
      <c r="A1719" s="123" t="n">
        <v>45444</v>
      </c>
      <c r="B1719" s="31" t="s">
        <v>153</v>
      </c>
      <c r="C1719" s="129"/>
      <c r="D1719" s="129"/>
      <c r="E1719" s="19" t="n">
        <f aca="false">F1719*0.03</f>
        <v>0</v>
      </c>
      <c r="F1719" s="33" t="n">
        <v>0</v>
      </c>
      <c r="G1719" s="131"/>
      <c r="H1719" s="35" t="n">
        <v>0</v>
      </c>
      <c r="I1719" s="34" t="n">
        <f aca="false">+IF(E1719=0,0,E1719*0.03)</f>
        <v>0</v>
      </c>
      <c r="J1719" s="93"/>
      <c r="K1719" s="93"/>
      <c r="L1719" s="93"/>
      <c r="M1719" s="93"/>
      <c r="N1719" s="93"/>
      <c r="O1719" s="93"/>
      <c r="P1719" s="93"/>
      <c r="Q1719" s="93"/>
      <c r="R1719" s="93"/>
      <c r="S1719" s="93"/>
      <c r="T1719" s="93"/>
      <c r="U1719" s="93"/>
      <c r="V1719" s="93"/>
      <c r="W1719" s="93"/>
      <c r="X1719" s="93"/>
      <c r="Y1719" s="93"/>
      <c r="Z1719" s="93"/>
    </row>
    <row r="1720" customFormat="false" ht="16.4" hidden="false" customHeight="false" outlineLevel="0" collapsed="false">
      <c r="A1720" s="123" t="n">
        <v>45444</v>
      </c>
      <c r="B1720" s="31" t="s">
        <v>153</v>
      </c>
      <c r="C1720" s="129"/>
      <c r="D1720" s="129"/>
      <c r="E1720" s="19" t="n">
        <f aca="false">F1720*0.03</f>
        <v>0</v>
      </c>
      <c r="F1720" s="33" t="n">
        <v>0</v>
      </c>
      <c r="G1720" s="131"/>
      <c r="H1720" s="35" t="n">
        <v>0</v>
      </c>
      <c r="I1720" s="34" t="n">
        <f aca="false">+IF(E1720=0,0,E1720*0.03)</f>
        <v>0</v>
      </c>
      <c r="J1720" s="93"/>
      <c r="K1720" s="93"/>
      <c r="L1720" s="93"/>
      <c r="M1720" s="93"/>
      <c r="N1720" s="93"/>
      <c r="O1720" s="93"/>
      <c r="P1720" s="93"/>
      <c r="Q1720" s="93"/>
      <c r="R1720" s="93"/>
      <c r="S1720" s="93"/>
      <c r="T1720" s="93"/>
      <c r="U1720" s="93"/>
      <c r="V1720" s="93"/>
      <c r="W1720" s="93"/>
      <c r="X1720" s="93"/>
      <c r="Y1720" s="93"/>
      <c r="Z1720" s="93"/>
    </row>
    <row r="1721" customFormat="false" ht="16.4" hidden="false" customHeight="false" outlineLevel="0" collapsed="false">
      <c r="A1721" s="123" t="n">
        <v>45444</v>
      </c>
      <c r="B1721" s="31" t="s">
        <v>153</v>
      </c>
      <c r="C1721" s="129"/>
      <c r="D1721" s="129"/>
      <c r="E1721" s="19" t="n">
        <f aca="false">F1721*0.03</f>
        <v>0</v>
      </c>
      <c r="F1721" s="33" t="n">
        <v>0</v>
      </c>
      <c r="G1721" s="131"/>
      <c r="H1721" s="35" t="n">
        <v>0</v>
      </c>
      <c r="I1721" s="34" t="n">
        <f aca="false">+IF(E1721=0,0,E1721*0.03)</f>
        <v>0</v>
      </c>
      <c r="J1721" s="93"/>
      <c r="K1721" s="93"/>
      <c r="L1721" s="93"/>
      <c r="M1721" s="93"/>
      <c r="N1721" s="93"/>
      <c r="O1721" s="93"/>
      <c r="P1721" s="93"/>
      <c r="Q1721" s="93"/>
      <c r="R1721" s="93"/>
      <c r="S1721" s="93"/>
      <c r="T1721" s="93"/>
      <c r="U1721" s="93"/>
      <c r="V1721" s="93"/>
      <c r="W1721" s="93"/>
      <c r="X1721" s="93"/>
      <c r="Y1721" s="93"/>
      <c r="Z1721" s="93"/>
    </row>
    <row r="1722" customFormat="false" ht="16.4" hidden="false" customHeight="false" outlineLevel="0" collapsed="false">
      <c r="A1722" s="123" t="n">
        <v>45444</v>
      </c>
      <c r="B1722" s="31" t="s">
        <v>153</v>
      </c>
      <c r="C1722" s="129"/>
      <c r="D1722" s="129"/>
      <c r="E1722" s="19" t="n">
        <f aca="false">F1722*0.03</f>
        <v>0</v>
      </c>
      <c r="F1722" s="33" t="n">
        <v>0</v>
      </c>
      <c r="G1722" s="131"/>
      <c r="H1722" s="35" t="n">
        <v>0</v>
      </c>
      <c r="I1722" s="34" t="n">
        <f aca="false">+IF(E1722=0,0,E1722*0.03)</f>
        <v>0</v>
      </c>
      <c r="J1722" s="93"/>
      <c r="K1722" s="93"/>
      <c r="L1722" s="93"/>
      <c r="M1722" s="93"/>
      <c r="N1722" s="93"/>
      <c r="O1722" s="93"/>
      <c r="P1722" s="93"/>
      <c r="Q1722" s="93"/>
      <c r="R1722" s="93"/>
      <c r="S1722" s="93"/>
      <c r="T1722" s="93"/>
      <c r="U1722" s="93"/>
      <c r="V1722" s="93"/>
      <c r="W1722" s="93"/>
      <c r="X1722" s="93"/>
      <c r="Y1722" s="93"/>
      <c r="Z1722" s="93"/>
    </row>
    <row r="1723" customFormat="false" ht="16.4" hidden="false" customHeight="false" outlineLevel="0" collapsed="false">
      <c r="A1723" s="123" t="n">
        <v>45444</v>
      </c>
      <c r="B1723" s="31" t="s">
        <v>153</v>
      </c>
      <c r="C1723" s="129"/>
      <c r="D1723" s="129"/>
      <c r="E1723" s="19" t="n">
        <f aca="false">F1723*0.03</f>
        <v>0</v>
      </c>
      <c r="F1723" s="33" t="n">
        <v>0</v>
      </c>
      <c r="G1723" s="131"/>
      <c r="H1723" s="35" t="n">
        <v>0</v>
      </c>
      <c r="I1723" s="34" t="n">
        <f aca="false">+IF(E1723=0,0,E1723*0.03)</f>
        <v>0</v>
      </c>
      <c r="J1723" s="93"/>
      <c r="K1723" s="93"/>
      <c r="L1723" s="93"/>
      <c r="M1723" s="93"/>
      <c r="N1723" s="93"/>
      <c r="O1723" s="93"/>
      <c r="P1723" s="93"/>
      <c r="Q1723" s="93"/>
      <c r="R1723" s="93"/>
      <c r="S1723" s="93"/>
      <c r="T1723" s="93"/>
      <c r="U1723" s="93"/>
      <c r="V1723" s="93"/>
      <c r="W1723" s="93"/>
      <c r="X1723" s="93"/>
      <c r="Y1723" s="93"/>
      <c r="Z1723" s="93"/>
    </row>
    <row r="1724" customFormat="false" ht="16.4" hidden="false" customHeight="false" outlineLevel="0" collapsed="false">
      <c r="A1724" s="123" t="n">
        <v>45444</v>
      </c>
      <c r="B1724" s="31" t="s">
        <v>153</v>
      </c>
      <c r="C1724" s="129"/>
      <c r="D1724" s="129"/>
      <c r="E1724" s="19" t="n">
        <f aca="false">F1724*0.03</f>
        <v>0</v>
      </c>
      <c r="F1724" s="33" t="n">
        <v>0</v>
      </c>
      <c r="G1724" s="131"/>
      <c r="H1724" s="35" t="n">
        <v>0</v>
      </c>
      <c r="I1724" s="34" t="n">
        <f aca="false">+IF(E1724=0,0,E1724*0.03)</f>
        <v>0</v>
      </c>
      <c r="J1724" s="93"/>
      <c r="K1724" s="93"/>
      <c r="L1724" s="93"/>
      <c r="M1724" s="93"/>
      <c r="N1724" s="93"/>
      <c r="O1724" s="93"/>
      <c r="P1724" s="93"/>
      <c r="Q1724" s="93"/>
      <c r="R1724" s="93"/>
      <c r="S1724" s="93"/>
      <c r="T1724" s="93"/>
      <c r="U1724" s="93"/>
      <c r="V1724" s="93"/>
      <c r="W1724" s="93"/>
      <c r="X1724" s="93"/>
      <c r="Y1724" s="93"/>
      <c r="Z1724" s="93"/>
    </row>
    <row r="1725" customFormat="false" ht="16.4" hidden="false" customHeight="false" outlineLevel="0" collapsed="false">
      <c r="A1725" s="123" t="n">
        <v>45444</v>
      </c>
      <c r="B1725" s="31" t="s">
        <v>153</v>
      </c>
      <c r="C1725" s="129"/>
      <c r="D1725" s="129"/>
      <c r="E1725" s="19" t="n">
        <f aca="false">F1725*0.03</f>
        <v>0</v>
      </c>
      <c r="F1725" s="33" t="n">
        <v>0</v>
      </c>
      <c r="G1725" s="131"/>
      <c r="H1725" s="35" t="n">
        <v>0</v>
      </c>
      <c r="I1725" s="34" t="n">
        <f aca="false">+IF(E1725=0,0,E1725*0.03)</f>
        <v>0</v>
      </c>
      <c r="J1725" s="93"/>
      <c r="K1725" s="93"/>
      <c r="L1725" s="93"/>
      <c r="M1725" s="93"/>
      <c r="N1725" s="93"/>
      <c r="O1725" s="93"/>
      <c r="P1725" s="93"/>
      <c r="Q1725" s="93"/>
      <c r="R1725" s="93"/>
      <c r="S1725" s="93"/>
      <c r="T1725" s="93"/>
      <c r="U1725" s="93"/>
      <c r="V1725" s="93"/>
      <c r="W1725" s="93"/>
      <c r="X1725" s="93"/>
      <c r="Y1725" s="93"/>
      <c r="Z1725" s="93"/>
    </row>
    <row r="1726" customFormat="false" ht="16.4" hidden="false" customHeight="false" outlineLevel="0" collapsed="false">
      <c r="A1726" s="123" t="n">
        <v>45444</v>
      </c>
      <c r="B1726" s="31" t="s">
        <v>153</v>
      </c>
      <c r="C1726" s="129"/>
      <c r="D1726" s="129"/>
      <c r="E1726" s="19" t="n">
        <f aca="false">F1726*0.03</f>
        <v>0</v>
      </c>
      <c r="F1726" s="33" t="n">
        <v>0</v>
      </c>
      <c r="G1726" s="131"/>
      <c r="H1726" s="35" t="n">
        <v>0</v>
      </c>
      <c r="I1726" s="34" t="n">
        <f aca="false">+IF(E1726=0,0,E1726*0.03)</f>
        <v>0</v>
      </c>
      <c r="J1726" s="93"/>
      <c r="K1726" s="93"/>
      <c r="L1726" s="93"/>
      <c r="M1726" s="93"/>
      <c r="N1726" s="93"/>
      <c r="O1726" s="93"/>
      <c r="P1726" s="93"/>
      <c r="Q1726" s="93"/>
      <c r="R1726" s="93"/>
      <c r="S1726" s="93"/>
      <c r="T1726" s="93"/>
      <c r="U1726" s="93"/>
      <c r="V1726" s="93"/>
      <c r="W1726" s="93"/>
      <c r="X1726" s="93"/>
      <c r="Y1726" s="93"/>
      <c r="Z1726" s="93"/>
    </row>
    <row r="1727" customFormat="false" ht="16.4" hidden="false" customHeight="false" outlineLevel="0" collapsed="false">
      <c r="A1727" s="123" t="n">
        <v>45444</v>
      </c>
      <c r="B1727" s="31" t="s">
        <v>153</v>
      </c>
      <c r="C1727" s="129"/>
      <c r="D1727" s="129"/>
      <c r="E1727" s="19" t="n">
        <f aca="false">F1727*0.03</f>
        <v>0</v>
      </c>
      <c r="F1727" s="33" t="n">
        <v>0</v>
      </c>
      <c r="G1727" s="131"/>
      <c r="H1727" s="35" t="n">
        <v>0</v>
      </c>
      <c r="I1727" s="34" t="n">
        <f aca="false">+IF(E1727=0,0,E1727*0.03)</f>
        <v>0</v>
      </c>
      <c r="J1727" s="93"/>
      <c r="K1727" s="93"/>
      <c r="L1727" s="93"/>
      <c r="M1727" s="93"/>
      <c r="N1727" s="93"/>
      <c r="O1727" s="93"/>
      <c r="P1727" s="93"/>
      <c r="Q1727" s="93"/>
      <c r="R1727" s="93"/>
      <c r="S1727" s="93"/>
      <c r="T1727" s="93"/>
      <c r="U1727" s="93"/>
      <c r="V1727" s="93"/>
      <c r="W1727" s="93"/>
      <c r="X1727" s="93"/>
      <c r="Y1727" s="93"/>
      <c r="Z1727" s="93"/>
    </row>
    <row r="1728" customFormat="false" ht="16.4" hidden="false" customHeight="false" outlineLevel="0" collapsed="false">
      <c r="A1728" s="123" t="n">
        <v>45444</v>
      </c>
      <c r="B1728" s="31" t="s">
        <v>153</v>
      </c>
      <c r="C1728" s="129"/>
      <c r="D1728" s="129"/>
      <c r="E1728" s="19" t="n">
        <f aca="false">F1728*0.03</f>
        <v>0</v>
      </c>
      <c r="F1728" s="33" t="n">
        <v>0</v>
      </c>
      <c r="G1728" s="131"/>
      <c r="H1728" s="35" t="n">
        <v>0</v>
      </c>
      <c r="I1728" s="34" t="n">
        <f aca="false">+IF(E1728=0,0,E1728*0.03)</f>
        <v>0</v>
      </c>
      <c r="J1728" s="93"/>
      <c r="K1728" s="93"/>
      <c r="L1728" s="93"/>
      <c r="M1728" s="93"/>
      <c r="N1728" s="93"/>
      <c r="O1728" s="93"/>
      <c r="P1728" s="93"/>
      <c r="Q1728" s="93"/>
      <c r="R1728" s="93"/>
      <c r="S1728" s="93"/>
      <c r="T1728" s="93"/>
      <c r="U1728" s="93"/>
      <c r="V1728" s="93"/>
      <c r="W1728" s="93"/>
      <c r="X1728" s="93"/>
      <c r="Y1728" s="93"/>
      <c r="Z1728" s="93"/>
    </row>
    <row r="1729" customFormat="false" ht="16.4" hidden="false" customHeight="false" outlineLevel="0" collapsed="false">
      <c r="A1729" s="123" t="n">
        <v>45444</v>
      </c>
      <c r="B1729" s="31" t="s">
        <v>153</v>
      </c>
      <c r="C1729" s="129"/>
      <c r="D1729" s="129"/>
      <c r="E1729" s="19" t="n">
        <f aca="false">F1729*0.03</f>
        <v>0</v>
      </c>
      <c r="F1729" s="33" t="n">
        <v>0</v>
      </c>
      <c r="G1729" s="131"/>
      <c r="H1729" s="35" t="n">
        <v>0</v>
      </c>
      <c r="I1729" s="34" t="n">
        <f aca="false">+IF(E1729=0,0,E1729*0.03)</f>
        <v>0</v>
      </c>
      <c r="J1729" s="93"/>
      <c r="K1729" s="93"/>
      <c r="L1729" s="93"/>
      <c r="M1729" s="93"/>
      <c r="N1729" s="93"/>
      <c r="O1729" s="93"/>
      <c r="P1729" s="93"/>
      <c r="Q1729" s="93"/>
      <c r="R1729" s="93"/>
      <c r="S1729" s="93"/>
      <c r="T1729" s="93"/>
      <c r="U1729" s="93"/>
      <c r="V1729" s="93"/>
      <c r="W1729" s="93"/>
      <c r="X1729" s="93"/>
      <c r="Y1729" s="93"/>
      <c r="Z1729" s="93"/>
    </row>
    <row r="1730" customFormat="false" ht="16.4" hidden="false" customHeight="false" outlineLevel="0" collapsed="false">
      <c r="A1730" s="123" t="n">
        <v>45444</v>
      </c>
      <c r="B1730" s="31" t="s">
        <v>153</v>
      </c>
      <c r="C1730" s="129"/>
      <c r="D1730" s="129"/>
      <c r="E1730" s="19" t="n">
        <f aca="false">F1730*0.03</f>
        <v>0</v>
      </c>
      <c r="F1730" s="33" t="n">
        <v>0</v>
      </c>
      <c r="G1730" s="131"/>
      <c r="H1730" s="35" t="n">
        <v>0</v>
      </c>
      <c r="I1730" s="34" t="n">
        <f aca="false">+IF(E1730=0,0,E1730*0.03)</f>
        <v>0</v>
      </c>
      <c r="J1730" s="93"/>
      <c r="K1730" s="93"/>
      <c r="L1730" s="93"/>
      <c r="M1730" s="93"/>
      <c r="N1730" s="93"/>
      <c r="O1730" s="93"/>
      <c r="P1730" s="93"/>
      <c r="Q1730" s="93"/>
      <c r="R1730" s="93"/>
      <c r="S1730" s="93"/>
      <c r="T1730" s="93"/>
      <c r="U1730" s="93"/>
      <c r="V1730" s="93"/>
      <c r="W1730" s="93"/>
      <c r="X1730" s="93"/>
      <c r="Y1730" s="93"/>
      <c r="Z1730" s="93"/>
    </row>
    <row r="1731" customFormat="false" ht="16.4" hidden="false" customHeight="false" outlineLevel="0" collapsed="false">
      <c r="A1731" s="123" t="n">
        <v>45444</v>
      </c>
      <c r="B1731" s="31" t="s">
        <v>153</v>
      </c>
      <c r="C1731" s="129"/>
      <c r="D1731" s="129"/>
      <c r="E1731" s="19" t="n">
        <f aca="false">F1731*0.03</f>
        <v>0</v>
      </c>
      <c r="F1731" s="33" t="n">
        <v>0</v>
      </c>
      <c r="G1731" s="131"/>
      <c r="H1731" s="35" t="n">
        <v>0</v>
      </c>
      <c r="I1731" s="34" t="n">
        <f aca="false">+IF(E1731=0,0,E1731*0.03)</f>
        <v>0</v>
      </c>
      <c r="J1731" s="93"/>
      <c r="K1731" s="93"/>
      <c r="L1731" s="93"/>
      <c r="M1731" s="93"/>
      <c r="N1731" s="93"/>
      <c r="O1731" s="93"/>
      <c r="P1731" s="93"/>
      <c r="Q1731" s="93"/>
      <c r="R1731" s="93"/>
      <c r="S1731" s="93"/>
      <c r="T1731" s="93"/>
      <c r="U1731" s="93"/>
      <c r="V1731" s="93"/>
      <c r="W1731" s="93"/>
      <c r="X1731" s="93"/>
      <c r="Y1731" s="93"/>
      <c r="Z1731" s="93"/>
    </row>
    <row r="1732" customFormat="false" ht="16.4" hidden="false" customHeight="false" outlineLevel="0" collapsed="false">
      <c r="A1732" s="123" t="n">
        <v>45444</v>
      </c>
      <c r="B1732" s="31" t="s">
        <v>153</v>
      </c>
      <c r="C1732" s="129"/>
      <c r="D1732" s="129"/>
      <c r="E1732" s="19" t="n">
        <f aca="false">F1732*0.03</f>
        <v>0</v>
      </c>
      <c r="F1732" s="33" t="n">
        <v>0</v>
      </c>
      <c r="G1732" s="131"/>
      <c r="H1732" s="35" t="n">
        <v>0</v>
      </c>
      <c r="I1732" s="34" t="n">
        <f aca="false">+IF(E1732=0,0,E1732*0.03)</f>
        <v>0</v>
      </c>
      <c r="J1732" s="93"/>
      <c r="K1732" s="93"/>
      <c r="L1732" s="93"/>
      <c r="M1732" s="93"/>
      <c r="N1732" s="93"/>
      <c r="O1732" s="93"/>
      <c r="P1732" s="93"/>
      <c r="Q1732" s="93"/>
      <c r="R1732" s="93"/>
      <c r="S1732" s="93"/>
      <c r="T1732" s="93"/>
      <c r="U1732" s="93"/>
      <c r="V1732" s="93"/>
      <c r="W1732" s="93"/>
      <c r="X1732" s="93"/>
      <c r="Y1732" s="93"/>
      <c r="Z1732" s="93"/>
    </row>
    <row r="1733" customFormat="false" ht="16.4" hidden="false" customHeight="false" outlineLevel="0" collapsed="false">
      <c r="A1733" s="123" t="n">
        <v>45444</v>
      </c>
      <c r="B1733" s="31" t="s">
        <v>153</v>
      </c>
      <c r="C1733" s="129"/>
      <c r="D1733" s="129"/>
      <c r="E1733" s="19" t="n">
        <f aca="false">F1733*0.03</f>
        <v>0</v>
      </c>
      <c r="F1733" s="33" t="n">
        <v>0</v>
      </c>
      <c r="G1733" s="131"/>
      <c r="H1733" s="35" t="n">
        <v>0</v>
      </c>
      <c r="I1733" s="34" t="n">
        <f aca="false">+IF(E1733=0,0,E1733*0.03)</f>
        <v>0</v>
      </c>
      <c r="J1733" s="93"/>
      <c r="K1733" s="93"/>
      <c r="L1733" s="93"/>
      <c r="M1733" s="93"/>
      <c r="N1733" s="93"/>
      <c r="O1733" s="93"/>
      <c r="P1733" s="93"/>
      <c r="Q1733" s="93"/>
      <c r="R1733" s="93"/>
      <c r="S1733" s="93"/>
      <c r="T1733" s="93"/>
      <c r="U1733" s="93"/>
      <c r="V1733" s="93"/>
      <c r="W1733" s="93"/>
      <c r="X1733" s="93"/>
      <c r="Y1733" s="93"/>
      <c r="Z1733" s="93"/>
    </row>
    <row r="1734" customFormat="false" ht="16.4" hidden="false" customHeight="false" outlineLevel="0" collapsed="false">
      <c r="A1734" s="123" t="n">
        <v>45444</v>
      </c>
      <c r="B1734" s="31" t="s">
        <v>153</v>
      </c>
      <c r="C1734" s="129"/>
      <c r="D1734" s="129"/>
      <c r="E1734" s="19" t="n">
        <f aca="false">F1734*0.03</f>
        <v>0</v>
      </c>
      <c r="F1734" s="33" t="n">
        <v>0</v>
      </c>
      <c r="G1734" s="131"/>
      <c r="H1734" s="35" t="n">
        <v>0</v>
      </c>
      <c r="I1734" s="34" t="n">
        <f aca="false">+IF(E1734=0,0,E1734*0.03)</f>
        <v>0</v>
      </c>
      <c r="J1734" s="93"/>
      <c r="K1734" s="93"/>
      <c r="L1734" s="93"/>
      <c r="M1734" s="93"/>
      <c r="N1734" s="93"/>
      <c r="O1734" s="93"/>
      <c r="P1734" s="93"/>
      <c r="Q1734" s="93"/>
      <c r="R1734" s="93"/>
      <c r="S1734" s="93"/>
      <c r="T1734" s="93"/>
      <c r="U1734" s="93"/>
      <c r="V1734" s="93"/>
      <c r="W1734" s="93"/>
      <c r="X1734" s="93"/>
      <c r="Y1734" s="93"/>
      <c r="Z1734" s="93"/>
    </row>
    <row r="1735" customFormat="false" ht="16.4" hidden="false" customHeight="false" outlineLevel="0" collapsed="false">
      <c r="A1735" s="123" t="n">
        <v>45444</v>
      </c>
      <c r="B1735" s="31" t="s">
        <v>153</v>
      </c>
      <c r="C1735" s="129"/>
      <c r="D1735" s="129"/>
      <c r="E1735" s="19" t="n">
        <f aca="false">F1735*0.03</f>
        <v>0</v>
      </c>
      <c r="F1735" s="33" t="n">
        <v>0</v>
      </c>
      <c r="G1735" s="131"/>
      <c r="H1735" s="35" t="n">
        <v>0</v>
      </c>
      <c r="I1735" s="34" t="n">
        <f aca="false">+IF(E1735=0,0,E1735*0.03)</f>
        <v>0</v>
      </c>
      <c r="J1735" s="93"/>
      <c r="K1735" s="93"/>
      <c r="L1735" s="93"/>
      <c r="M1735" s="93"/>
      <c r="N1735" s="93"/>
      <c r="O1735" s="93"/>
      <c r="P1735" s="93"/>
      <c r="Q1735" s="93"/>
      <c r="R1735" s="93"/>
      <c r="S1735" s="93"/>
      <c r="T1735" s="93"/>
      <c r="U1735" s="93"/>
      <c r="V1735" s="93"/>
      <c r="W1735" s="93"/>
      <c r="X1735" s="93"/>
      <c r="Y1735" s="93"/>
      <c r="Z1735" s="93"/>
    </row>
    <row r="1736" customFormat="false" ht="16.4" hidden="false" customHeight="false" outlineLevel="0" collapsed="false">
      <c r="A1736" s="123" t="n">
        <v>45444</v>
      </c>
      <c r="B1736" s="31" t="s">
        <v>153</v>
      </c>
      <c r="C1736" s="129"/>
      <c r="D1736" s="129"/>
      <c r="E1736" s="19" t="n">
        <f aca="false">F1736*0.03</f>
        <v>0</v>
      </c>
      <c r="F1736" s="33" t="n">
        <v>0</v>
      </c>
      <c r="G1736" s="131"/>
      <c r="H1736" s="35" t="n">
        <v>0</v>
      </c>
      <c r="I1736" s="34" t="n">
        <f aca="false">+IF(E1736=0,0,E1736*0.03)</f>
        <v>0</v>
      </c>
      <c r="J1736" s="93"/>
      <c r="K1736" s="93"/>
      <c r="L1736" s="93"/>
      <c r="M1736" s="93"/>
      <c r="N1736" s="93"/>
      <c r="O1736" s="93"/>
      <c r="P1736" s="93"/>
      <c r="Q1736" s="93"/>
      <c r="R1736" s="93"/>
      <c r="S1736" s="93"/>
      <c r="T1736" s="93"/>
      <c r="U1736" s="93"/>
      <c r="V1736" s="93"/>
      <c r="W1736" s="93"/>
      <c r="X1736" s="93"/>
      <c r="Y1736" s="93"/>
      <c r="Z1736" s="93"/>
    </row>
    <row r="1737" customFormat="false" ht="16.4" hidden="false" customHeight="false" outlineLevel="0" collapsed="false">
      <c r="A1737" s="123" t="n">
        <v>45444</v>
      </c>
      <c r="B1737" s="31" t="s">
        <v>153</v>
      </c>
      <c r="C1737" s="129"/>
      <c r="D1737" s="129"/>
      <c r="E1737" s="19" t="n">
        <f aca="false">F1737*0.03</f>
        <v>0</v>
      </c>
      <c r="F1737" s="33" t="n">
        <v>0</v>
      </c>
      <c r="G1737" s="131"/>
      <c r="H1737" s="35" t="n">
        <v>0</v>
      </c>
      <c r="I1737" s="34" t="n">
        <f aca="false">+IF(E1737=0,0,E1737*0.03)</f>
        <v>0</v>
      </c>
      <c r="J1737" s="93"/>
      <c r="K1737" s="93"/>
      <c r="L1737" s="93"/>
      <c r="M1737" s="93"/>
      <c r="N1737" s="93"/>
      <c r="O1737" s="93"/>
      <c r="P1737" s="93"/>
      <c r="Q1737" s="93"/>
      <c r="R1737" s="93"/>
      <c r="S1737" s="93"/>
      <c r="T1737" s="93"/>
      <c r="U1737" s="93"/>
      <c r="V1737" s="93"/>
      <c r="W1737" s="93"/>
      <c r="X1737" s="93"/>
      <c r="Y1737" s="93"/>
      <c r="Z1737" s="93"/>
    </row>
    <row r="1738" customFormat="false" ht="16.4" hidden="false" customHeight="false" outlineLevel="0" collapsed="false">
      <c r="A1738" s="123" t="n">
        <v>45444</v>
      </c>
      <c r="B1738" s="31" t="s">
        <v>153</v>
      </c>
      <c r="C1738" s="129"/>
      <c r="D1738" s="129"/>
      <c r="E1738" s="19" t="n">
        <f aca="false">F1738*0.03</f>
        <v>0</v>
      </c>
      <c r="F1738" s="33" t="n">
        <v>0</v>
      </c>
      <c r="G1738" s="131"/>
      <c r="H1738" s="35" t="n">
        <v>0</v>
      </c>
      <c r="I1738" s="34" t="n">
        <f aca="false">+IF(E1738=0,0,E1738*0.03)</f>
        <v>0</v>
      </c>
      <c r="J1738" s="93"/>
      <c r="K1738" s="93"/>
      <c r="L1738" s="93"/>
      <c r="M1738" s="93"/>
      <c r="N1738" s="93"/>
      <c r="O1738" s="93"/>
      <c r="P1738" s="93"/>
      <c r="Q1738" s="93"/>
      <c r="R1738" s="93"/>
      <c r="S1738" s="93"/>
      <c r="T1738" s="93"/>
      <c r="U1738" s="93"/>
      <c r="V1738" s="93"/>
      <c r="W1738" s="93"/>
      <c r="X1738" s="93"/>
      <c r="Y1738" s="93"/>
      <c r="Z1738" s="93"/>
    </row>
    <row r="1739" customFormat="false" ht="16.4" hidden="false" customHeight="false" outlineLevel="0" collapsed="false">
      <c r="A1739" s="123" t="n">
        <v>45444</v>
      </c>
      <c r="B1739" s="31" t="s">
        <v>153</v>
      </c>
      <c r="C1739" s="129"/>
      <c r="D1739" s="129"/>
      <c r="E1739" s="19" t="n">
        <f aca="false">F1739*0.03</f>
        <v>0</v>
      </c>
      <c r="F1739" s="33" t="n">
        <v>0</v>
      </c>
      <c r="G1739" s="131"/>
      <c r="H1739" s="35" t="n">
        <v>0</v>
      </c>
      <c r="I1739" s="34" t="n">
        <f aca="false">+IF(E1739=0,0,E1739*0.03)</f>
        <v>0</v>
      </c>
      <c r="J1739" s="93"/>
      <c r="K1739" s="93"/>
      <c r="L1739" s="93"/>
      <c r="M1739" s="93"/>
      <c r="N1739" s="93"/>
      <c r="O1739" s="93"/>
      <c r="P1739" s="93"/>
      <c r="Q1739" s="93"/>
      <c r="R1739" s="93"/>
      <c r="S1739" s="93"/>
      <c r="T1739" s="93"/>
      <c r="U1739" s="93"/>
      <c r="V1739" s="93"/>
      <c r="W1739" s="93"/>
      <c r="X1739" s="93"/>
      <c r="Y1739" s="93"/>
      <c r="Z1739" s="93"/>
    </row>
    <row r="1740" customFormat="false" ht="16.4" hidden="false" customHeight="false" outlineLevel="0" collapsed="false">
      <c r="A1740" s="123" t="n">
        <v>45444</v>
      </c>
      <c r="B1740" s="31" t="s">
        <v>153</v>
      </c>
      <c r="C1740" s="129"/>
      <c r="D1740" s="129"/>
      <c r="E1740" s="19" t="n">
        <f aca="false">F1740*0.03</f>
        <v>0</v>
      </c>
      <c r="F1740" s="33" t="n">
        <v>0</v>
      </c>
      <c r="G1740" s="131"/>
      <c r="H1740" s="35" t="n">
        <v>0</v>
      </c>
      <c r="I1740" s="34" t="n">
        <f aca="false">+IF(E1740=0,0,E1740*0.03)</f>
        <v>0</v>
      </c>
      <c r="J1740" s="93"/>
      <c r="K1740" s="93"/>
      <c r="L1740" s="93"/>
      <c r="M1740" s="93"/>
      <c r="N1740" s="93"/>
      <c r="O1740" s="93"/>
      <c r="P1740" s="93"/>
      <c r="Q1740" s="93"/>
      <c r="R1740" s="93"/>
      <c r="S1740" s="93"/>
      <c r="T1740" s="93"/>
      <c r="U1740" s="93"/>
      <c r="V1740" s="93"/>
      <c r="W1740" s="93"/>
      <c r="X1740" s="93"/>
      <c r="Y1740" s="93"/>
      <c r="Z1740" s="93"/>
    </row>
    <row r="1741" customFormat="false" ht="16.4" hidden="false" customHeight="false" outlineLevel="0" collapsed="false">
      <c r="A1741" s="123" t="n">
        <v>45444</v>
      </c>
      <c r="B1741" s="31" t="s">
        <v>153</v>
      </c>
      <c r="C1741" s="129"/>
      <c r="D1741" s="129"/>
      <c r="E1741" s="19" t="n">
        <f aca="false">F1741*0.03</f>
        <v>0</v>
      </c>
      <c r="F1741" s="33" t="n">
        <v>0</v>
      </c>
      <c r="G1741" s="131"/>
      <c r="H1741" s="35" t="n">
        <v>0</v>
      </c>
      <c r="I1741" s="34" t="n">
        <f aca="false">+IF(E1741=0,0,E1741*0.03)</f>
        <v>0</v>
      </c>
      <c r="J1741" s="93"/>
      <c r="K1741" s="93"/>
      <c r="L1741" s="93"/>
      <c r="M1741" s="93"/>
      <c r="N1741" s="93"/>
      <c r="O1741" s="93"/>
      <c r="P1741" s="93"/>
      <c r="Q1741" s="93"/>
      <c r="R1741" s="93"/>
      <c r="S1741" s="93"/>
      <c r="T1741" s="93"/>
      <c r="U1741" s="93"/>
      <c r="V1741" s="93"/>
      <c r="W1741" s="93"/>
      <c r="X1741" s="93"/>
      <c r="Y1741" s="93"/>
      <c r="Z1741" s="93"/>
    </row>
    <row r="1742" customFormat="false" ht="16.4" hidden="false" customHeight="false" outlineLevel="0" collapsed="false">
      <c r="A1742" s="123" t="n">
        <v>45444</v>
      </c>
      <c r="B1742" s="31" t="s">
        <v>153</v>
      </c>
      <c r="C1742" s="129"/>
      <c r="D1742" s="129"/>
      <c r="E1742" s="19" t="n">
        <f aca="false">F1742*0.03</f>
        <v>0</v>
      </c>
      <c r="F1742" s="33" t="n">
        <v>0</v>
      </c>
      <c r="G1742" s="131"/>
      <c r="H1742" s="35" t="n">
        <v>0</v>
      </c>
      <c r="I1742" s="34" t="n">
        <f aca="false">+IF(E1742=0,0,E1742*0.03)</f>
        <v>0</v>
      </c>
      <c r="J1742" s="93"/>
      <c r="K1742" s="93"/>
      <c r="L1742" s="93"/>
      <c r="M1742" s="93"/>
      <c r="N1742" s="93"/>
      <c r="O1742" s="93"/>
      <c r="P1742" s="93"/>
      <c r="Q1742" s="93"/>
      <c r="R1742" s="93"/>
      <c r="S1742" s="93"/>
      <c r="T1742" s="93"/>
      <c r="U1742" s="93"/>
      <c r="V1742" s="93"/>
      <c r="W1742" s="93"/>
      <c r="X1742" s="93"/>
      <c r="Y1742" s="93"/>
      <c r="Z1742" s="93"/>
    </row>
    <row r="1743" customFormat="false" ht="16.4" hidden="false" customHeight="false" outlineLevel="0" collapsed="false">
      <c r="A1743" s="123" t="n">
        <v>45444</v>
      </c>
      <c r="B1743" s="31" t="s">
        <v>153</v>
      </c>
      <c r="C1743" s="129"/>
      <c r="D1743" s="129"/>
      <c r="E1743" s="19" t="n">
        <f aca="false">F1743*0.03</f>
        <v>0</v>
      </c>
      <c r="F1743" s="33" t="n">
        <v>0</v>
      </c>
      <c r="G1743" s="131"/>
      <c r="H1743" s="35" t="n">
        <v>0</v>
      </c>
      <c r="I1743" s="34" t="n">
        <f aca="false">+IF(E1743=0,0,E1743*0.03)</f>
        <v>0</v>
      </c>
      <c r="J1743" s="93"/>
      <c r="K1743" s="93"/>
      <c r="L1743" s="93"/>
      <c r="M1743" s="93"/>
      <c r="N1743" s="93"/>
      <c r="O1743" s="93"/>
      <c r="P1743" s="93"/>
      <c r="Q1743" s="93"/>
      <c r="R1743" s="93"/>
      <c r="S1743" s="93"/>
      <c r="T1743" s="93"/>
      <c r="U1743" s="93"/>
      <c r="V1743" s="93"/>
      <c r="W1743" s="93"/>
      <c r="X1743" s="93"/>
      <c r="Y1743" s="93"/>
      <c r="Z1743" s="93"/>
    </row>
    <row r="1744" customFormat="false" ht="16.4" hidden="false" customHeight="false" outlineLevel="0" collapsed="false">
      <c r="A1744" s="123" t="n">
        <v>45444</v>
      </c>
      <c r="B1744" s="31" t="s">
        <v>153</v>
      </c>
      <c r="C1744" s="129"/>
      <c r="D1744" s="129"/>
      <c r="E1744" s="19" t="n">
        <f aca="false">F1744*0.03</f>
        <v>0</v>
      </c>
      <c r="F1744" s="33" t="n">
        <v>0</v>
      </c>
      <c r="G1744" s="131"/>
      <c r="H1744" s="35" t="n">
        <v>0</v>
      </c>
      <c r="I1744" s="34" t="n">
        <f aca="false">+IF(E1744=0,0,E1744*0.03)</f>
        <v>0</v>
      </c>
      <c r="J1744" s="93"/>
      <c r="K1744" s="93"/>
      <c r="L1744" s="93"/>
      <c r="M1744" s="93"/>
      <c r="N1744" s="93"/>
      <c r="O1744" s="93"/>
      <c r="P1744" s="93"/>
      <c r="Q1744" s="93"/>
      <c r="R1744" s="93"/>
      <c r="S1744" s="93"/>
      <c r="T1744" s="93"/>
      <c r="U1744" s="93"/>
      <c r="V1744" s="93"/>
      <c r="W1744" s="93"/>
      <c r="X1744" s="93"/>
      <c r="Y1744" s="93"/>
      <c r="Z1744" s="93"/>
    </row>
    <row r="1745" customFormat="false" ht="16.4" hidden="false" customHeight="false" outlineLevel="0" collapsed="false">
      <c r="A1745" s="123" t="n">
        <v>45444</v>
      </c>
      <c r="B1745" s="31" t="s">
        <v>153</v>
      </c>
      <c r="C1745" s="129"/>
      <c r="D1745" s="129"/>
      <c r="E1745" s="19" t="n">
        <f aca="false">F1745*0.03</f>
        <v>0</v>
      </c>
      <c r="F1745" s="33" t="n">
        <v>0</v>
      </c>
      <c r="G1745" s="131"/>
      <c r="H1745" s="35" t="n">
        <v>0</v>
      </c>
      <c r="I1745" s="34" t="n">
        <f aca="false">+IF(E1745=0,0,E1745*0.03)</f>
        <v>0</v>
      </c>
      <c r="J1745" s="93"/>
      <c r="K1745" s="93"/>
      <c r="L1745" s="93"/>
      <c r="M1745" s="93"/>
      <c r="N1745" s="93"/>
      <c r="O1745" s="93"/>
      <c r="P1745" s="93"/>
      <c r="Q1745" s="93"/>
      <c r="R1745" s="93"/>
      <c r="S1745" s="93"/>
      <c r="T1745" s="93"/>
      <c r="U1745" s="93"/>
      <c r="V1745" s="93"/>
      <c r="W1745" s="93"/>
      <c r="X1745" s="93"/>
      <c r="Y1745" s="93"/>
      <c r="Z1745" s="93"/>
    </row>
    <row r="1746" customFormat="false" ht="16.4" hidden="false" customHeight="false" outlineLevel="0" collapsed="false">
      <c r="A1746" s="123" t="n">
        <v>45444</v>
      </c>
      <c r="B1746" s="31" t="s">
        <v>153</v>
      </c>
      <c r="C1746" s="129"/>
      <c r="D1746" s="129"/>
      <c r="E1746" s="19" t="n">
        <f aca="false">F1746*0.03</f>
        <v>0</v>
      </c>
      <c r="F1746" s="33" t="n">
        <v>0</v>
      </c>
      <c r="G1746" s="131"/>
      <c r="H1746" s="35" t="n">
        <v>0</v>
      </c>
      <c r="I1746" s="34" t="n">
        <f aca="false">+IF(E1746=0,0,E1746*0.03)</f>
        <v>0</v>
      </c>
      <c r="J1746" s="93"/>
      <c r="K1746" s="93"/>
      <c r="L1746" s="93"/>
      <c r="M1746" s="93"/>
      <c r="N1746" s="93"/>
      <c r="O1746" s="93"/>
      <c r="P1746" s="93"/>
      <c r="Q1746" s="93"/>
      <c r="R1746" s="93"/>
      <c r="S1746" s="93"/>
      <c r="T1746" s="93"/>
      <c r="U1746" s="93"/>
      <c r="V1746" s="93"/>
      <c r="W1746" s="93"/>
      <c r="X1746" s="93"/>
      <c r="Y1746" s="93"/>
      <c r="Z1746" s="93"/>
    </row>
    <row r="1747" customFormat="false" ht="16.4" hidden="false" customHeight="false" outlineLevel="0" collapsed="false">
      <c r="A1747" s="123" t="n">
        <v>45444</v>
      </c>
      <c r="B1747" s="31" t="s">
        <v>153</v>
      </c>
      <c r="C1747" s="129"/>
      <c r="D1747" s="129"/>
      <c r="E1747" s="19" t="n">
        <f aca="false">F1747*0.03</f>
        <v>0</v>
      </c>
      <c r="F1747" s="33" t="n">
        <v>0</v>
      </c>
      <c r="G1747" s="131"/>
      <c r="H1747" s="35" t="n">
        <v>0</v>
      </c>
      <c r="I1747" s="34" t="n">
        <f aca="false">+IF(E1747=0,0,E1747*0.03)</f>
        <v>0</v>
      </c>
      <c r="J1747" s="93"/>
      <c r="K1747" s="93"/>
      <c r="L1747" s="93"/>
      <c r="M1747" s="93"/>
      <c r="N1747" s="93"/>
      <c r="O1747" s="93"/>
      <c r="P1747" s="93"/>
      <c r="Q1747" s="93"/>
      <c r="R1747" s="93"/>
      <c r="S1747" s="93"/>
      <c r="T1747" s="93"/>
      <c r="U1747" s="93"/>
      <c r="V1747" s="93"/>
      <c r="W1747" s="93"/>
      <c r="X1747" s="93"/>
      <c r="Y1747" s="93"/>
      <c r="Z1747" s="93"/>
    </row>
    <row r="1748" customFormat="false" ht="16.4" hidden="false" customHeight="false" outlineLevel="0" collapsed="false">
      <c r="A1748" s="123" t="n">
        <v>45444</v>
      </c>
      <c r="B1748" s="31" t="s">
        <v>153</v>
      </c>
      <c r="C1748" s="129"/>
      <c r="D1748" s="129"/>
      <c r="E1748" s="19" t="n">
        <f aca="false">F1748*0.03</f>
        <v>0</v>
      </c>
      <c r="F1748" s="33" t="n">
        <v>0</v>
      </c>
      <c r="G1748" s="131"/>
      <c r="H1748" s="35" t="n">
        <v>0</v>
      </c>
      <c r="I1748" s="34" t="n">
        <f aca="false">+IF(E1748=0,0,E1748*0.03)</f>
        <v>0</v>
      </c>
      <c r="J1748" s="93"/>
      <c r="K1748" s="93"/>
      <c r="L1748" s="93"/>
      <c r="M1748" s="93"/>
      <c r="N1748" s="93"/>
      <c r="O1748" s="93"/>
      <c r="P1748" s="93"/>
      <c r="Q1748" s="93"/>
      <c r="R1748" s="93"/>
      <c r="S1748" s="93"/>
      <c r="T1748" s="93"/>
      <c r="U1748" s="93"/>
      <c r="V1748" s="93"/>
      <c r="W1748" s="93"/>
      <c r="X1748" s="93"/>
      <c r="Y1748" s="93"/>
      <c r="Z1748" s="93"/>
    </row>
    <row r="1749" customFormat="false" ht="16.4" hidden="false" customHeight="false" outlineLevel="0" collapsed="false">
      <c r="A1749" s="123" t="n">
        <v>45444</v>
      </c>
      <c r="B1749" s="31" t="s">
        <v>153</v>
      </c>
      <c r="C1749" s="129"/>
      <c r="D1749" s="129"/>
      <c r="E1749" s="19" t="n">
        <f aca="false">F1749*0.03</f>
        <v>0</v>
      </c>
      <c r="F1749" s="33" t="n">
        <v>0</v>
      </c>
      <c r="G1749" s="131"/>
      <c r="H1749" s="35" t="n">
        <v>0</v>
      </c>
      <c r="I1749" s="34" t="n">
        <f aca="false">+IF(E1749=0,0,E1749*0.03)</f>
        <v>0</v>
      </c>
      <c r="J1749" s="93"/>
      <c r="K1749" s="93"/>
      <c r="L1749" s="93"/>
      <c r="M1749" s="93"/>
      <c r="N1749" s="93"/>
      <c r="O1749" s="93"/>
      <c r="P1749" s="93"/>
      <c r="Q1749" s="93"/>
      <c r="R1749" s="93"/>
      <c r="S1749" s="93"/>
      <c r="T1749" s="93"/>
      <c r="U1749" s="93"/>
      <c r="V1749" s="93"/>
      <c r="W1749" s="93"/>
      <c r="X1749" s="93"/>
      <c r="Y1749" s="93"/>
      <c r="Z1749" s="93"/>
    </row>
    <row r="1750" customFormat="false" ht="16.4" hidden="false" customHeight="false" outlineLevel="0" collapsed="false">
      <c r="A1750" s="123" t="n">
        <v>45444</v>
      </c>
      <c r="B1750" s="31" t="s">
        <v>153</v>
      </c>
      <c r="C1750" s="129"/>
      <c r="D1750" s="129"/>
      <c r="E1750" s="19" t="n">
        <f aca="false">F1750*0.03</f>
        <v>0</v>
      </c>
      <c r="F1750" s="33" t="n">
        <v>0</v>
      </c>
      <c r="G1750" s="131"/>
      <c r="H1750" s="35" t="n">
        <v>0</v>
      </c>
      <c r="I1750" s="34" t="n">
        <f aca="false">+IF(E1750=0,0,E1750*0.03)</f>
        <v>0</v>
      </c>
      <c r="J1750" s="93"/>
      <c r="K1750" s="93"/>
      <c r="L1750" s="93"/>
      <c r="M1750" s="93"/>
      <c r="N1750" s="93"/>
      <c r="O1750" s="93"/>
      <c r="P1750" s="93"/>
      <c r="Q1750" s="93"/>
      <c r="R1750" s="93"/>
      <c r="S1750" s="93"/>
      <c r="T1750" s="93"/>
      <c r="U1750" s="93"/>
      <c r="V1750" s="93"/>
      <c r="W1750" s="93"/>
      <c r="X1750" s="93"/>
      <c r="Y1750" s="93"/>
      <c r="Z1750" s="93"/>
    </row>
    <row r="1751" customFormat="false" ht="16.4" hidden="false" customHeight="false" outlineLevel="0" collapsed="false">
      <c r="A1751" s="123" t="n">
        <v>45444</v>
      </c>
      <c r="B1751" s="31" t="s">
        <v>153</v>
      </c>
      <c r="C1751" s="129"/>
      <c r="D1751" s="129"/>
      <c r="E1751" s="19" t="n">
        <f aca="false">F1751*0.03</f>
        <v>0</v>
      </c>
      <c r="F1751" s="33" t="n">
        <v>0</v>
      </c>
      <c r="G1751" s="131"/>
      <c r="H1751" s="35" t="n">
        <v>0</v>
      </c>
      <c r="I1751" s="34" t="n">
        <f aca="false">+IF(E1751=0,0,E1751*0.03)</f>
        <v>0</v>
      </c>
      <c r="J1751" s="93"/>
      <c r="K1751" s="93"/>
      <c r="L1751" s="93"/>
      <c r="M1751" s="93"/>
      <c r="N1751" s="93"/>
      <c r="O1751" s="93"/>
      <c r="P1751" s="93"/>
      <c r="Q1751" s="93"/>
      <c r="R1751" s="93"/>
      <c r="S1751" s="93"/>
      <c r="T1751" s="93"/>
      <c r="U1751" s="93"/>
      <c r="V1751" s="93"/>
      <c r="W1751" s="93"/>
      <c r="X1751" s="93"/>
      <c r="Y1751" s="93"/>
      <c r="Z1751" s="93"/>
    </row>
    <row r="1752" customFormat="false" ht="16.4" hidden="false" customHeight="false" outlineLevel="0" collapsed="false">
      <c r="A1752" s="123" t="n">
        <v>45444</v>
      </c>
      <c r="B1752" s="31" t="s">
        <v>153</v>
      </c>
      <c r="C1752" s="129"/>
      <c r="D1752" s="129"/>
      <c r="E1752" s="19" t="n">
        <f aca="false">F1752*0.03</f>
        <v>0</v>
      </c>
      <c r="F1752" s="33" t="n">
        <v>0</v>
      </c>
      <c r="G1752" s="131"/>
      <c r="H1752" s="35" t="n">
        <v>0</v>
      </c>
      <c r="I1752" s="34" t="n">
        <f aca="false">+IF(E1752=0,0,E1752*0.03)</f>
        <v>0</v>
      </c>
      <c r="J1752" s="93"/>
      <c r="K1752" s="93"/>
      <c r="L1752" s="93"/>
      <c r="M1752" s="93"/>
      <c r="N1752" s="93"/>
      <c r="O1752" s="93"/>
      <c r="P1752" s="93"/>
      <c r="Q1752" s="93"/>
      <c r="R1752" s="93"/>
      <c r="S1752" s="93"/>
      <c r="T1752" s="93"/>
      <c r="U1752" s="93"/>
      <c r="V1752" s="93"/>
      <c r="W1752" s="93"/>
      <c r="X1752" s="93"/>
      <c r="Y1752" s="93"/>
      <c r="Z1752" s="93"/>
    </row>
    <row r="1753" customFormat="false" ht="16.4" hidden="false" customHeight="false" outlineLevel="0" collapsed="false">
      <c r="A1753" s="123" t="n">
        <v>45444</v>
      </c>
      <c r="B1753" s="31" t="s">
        <v>153</v>
      </c>
      <c r="C1753" s="129"/>
      <c r="D1753" s="129"/>
      <c r="E1753" s="19" t="n">
        <f aca="false">F1753*0.03</f>
        <v>0</v>
      </c>
      <c r="F1753" s="33" t="n">
        <v>0</v>
      </c>
      <c r="G1753" s="131"/>
      <c r="H1753" s="35" t="n">
        <v>0</v>
      </c>
      <c r="I1753" s="34" t="n">
        <f aca="false">+IF(E1753=0,0,E1753*0.03)</f>
        <v>0</v>
      </c>
      <c r="J1753" s="93"/>
      <c r="K1753" s="93"/>
      <c r="L1753" s="93"/>
      <c r="M1753" s="93"/>
      <c r="N1753" s="93"/>
      <c r="O1753" s="93"/>
      <c r="P1753" s="93"/>
      <c r="Q1753" s="93"/>
      <c r="R1753" s="93"/>
      <c r="S1753" s="93"/>
      <c r="T1753" s="93"/>
      <c r="U1753" s="93"/>
      <c r="V1753" s="93"/>
      <c r="W1753" s="93"/>
      <c r="X1753" s="93"/>
      <c r="Y1753" s="93"/>
      <c r="Z1753" s="93"/>
    </row>
    <row r="1754" customFormat="false" ht="16.4" hidden="false" customHeight="false" outlineLevel="0" collapsed="false">
      <c r="A1754" s="123" t="n">
        <v>45444</v>
      </c>
      <c r="B1754" s="31" t="s">
        <v>153</v>
      </c>
      <c r="C1754" s="129"/>
      <c r="D1754" s="129"/>
      <c r="E1754" s="19" t="n">
        <f aca="false">F1754*0.03</f>
        <v>0</v>
      </c>
      <c r="F1754" s="33" t="n">
        <v>0</v>
      </c>
      <c r="G1754" s="131"/>
      <c r="H1754" s="35" t="n">
        <v>0</v>
      </c>
      <c r="I1754" s="34" t="n">
        <f aca="false">+IF(E1754=0,0,E1754*0.03)</f>
        <v>0</v>
      </c>
      <c r="J1754" s="93"/>
      <c r="K1754" s="93"/>
      <c r="L1754" s="93"/>
      <c r="M1754" s="93"/>
      <c r="N1754" s="93"/>
      <c r="O1754" s="93"/>
      <c r="P1754" s="93"/>
      <c r="Q1754" s="93"/>
      <c r="R1754" s="93"/>
      <c r="S1754" s="93"/>
      <c r="T1754" s="93"/>
      <c r="U1754" s="93"/>
      <c r="V1754" s="93"/>
      <c r="W1754" s="93"/>
      <c r="X1754" s="93"/>
      <c r="Y1754" s="93"/>
      <c r="Z1754" s="93"/>
    </row>
    <row r="1755" customFormat="false" ht="16.4" hidden="false" customHeight="false" outlineLevel="0" collapsed="false">
      <c r="A1755" s="123" t="n">
        <v>45444</v>
      </c>
      <c r="B1755" s="31" t="s">
        <v>153</v>
      </c>
      <c r="C1755" s="129"/>
      <c r="D1755" s="129"/>
      <c r="E1755" s="19" t="n">
        <f aca="false">F1755*0.03</f>
        <v>0</v>
      </c>
      <c r="F1755" s="33" t="n">
        <v>0</v>
      </c>
      <c r="G1755" s="131"/>
      <c r="H1755" s="35" t="n">
        <v>0</v>
      </c>
      <c r="I1755" s="34" t="n">
        <f aca="false">+IF(E1755=0,0,E1755*0.03)</f>
        <v>0</v>
      </c>
      <c r="J1755" s="93"/>
      <c r="K1755" s="93"/>
      <c r="L1755" s="93"/>
      <c r="M1755" s="93"/>
      <c r="N1755" s="93"/>
      <c r="O1755" s="93"/>
      <c r="P1755" s="93"/>
      <c r="Q1755" s="93"/>
      <c r="R1755" s="93"/>
      <c r="S1755" s="93"/>
      <c r="T1755" s="93"/>
      <c r="U1755" s="93"/>
      <c r="V1755" s="93"/>
      <c r="W1755" s="93"/>
      <c r="X1755" s="93"/>
      <c r="Y1755" s="93"/>
      <c r="Z1755" s="93"/>
    </row>
    <row r="1756" customFormat="false" ht="16.4" hidden="false" customHeight="false" outlineLevel="0" collapsed="false">
      <c r="A1756" s="123" t="n">
        <v>45444</v>
      </c>
      <c r="B1756" s="31" t="s">
        <v>153</v>
      </c>
      <c r="C1756" s="129"/>
      <c r="D1756" s="129"/>
      <c r="E1756" s="19" t="n">
        <f aca="false">F1756*0.03</f>
        <v>0</v>
      </c>
      <c r="F1756" s="33" t="n">
        <v>0</v>
      </c>
      <c r="G1756" s="131"/>
      <c r="H1756" s="35" t="n">
        <v>0</v>
      </c>
      <c r="I1756" s="34" t="n">
        <f aca="false">+IF(E1756=0,0,E1756*0.03)</f>
        <v>0</v>
      </c>
      <c r="J1756" s="93"/>
      <c r="K1756" s="93"/>
      <c r="L1756" s="93"/>
      <c r="M1756" s="93"/>
      <c r="N1756" s="93"/>
      <c r="O1756" s="93"/>
      <c r="P1756" s="93"/>
      <c r="Q1756" s="93"/>
      <c r="R1756" s="93"/>
      <c r="S1756" s="93"/>
      <c r="T1756" s="93"/>
      <c r="U1756" s="93"/>
      <c r="V1756" s="93"/>
      <c r="W1756" s="93"/>
      <c r="X1756" s="93"/>
      <c r="Y1756" s="93"/>
      <c r="Z1756" s="93"/>
    </row>
    <row r="1757" customFormat="false" ht="16.4" hidden="false" customHeight="false" outlineLevel="0" collapsed="false">
      <c r="A1757" s="123" t="n">
        <v>45444</v>
      </c>
      <c r="B1757" s="31" t="s">
        <v>153</v>
      </c>
      <c r="C1757" s="129"/>
      <c r="D1757" s="129"/>
      <c r="E1757" s="19" t="n">
        <f aca="false">F1757*0.03</f>
        <v>0</v>
      </c>
      <c r="F1757" s="33" t="n">
        <v>0</v>
      </c>
      <c r="G1757" s="131"/>
      <c r="H1757" s="35" t="n">
        <v>0</v>
      </c>
      <c r="I1757" s="34" t="n">
        <f aca="false">+IF(E1757=0,0,E1757*0.03)</f>
        <v>0</v>
      </c>
      <c r="J1757" s="93"/>
      <c r="K1757" s="93"/>
      <c r="L1757" s="93"/>
      <c r="M1757" s="93"/>
      <c r="N1757" s="93"/>
      <c r="O1757" s="93"/>
      <c r="P1757" s="93"/>
      <c r="Q1757" s="93"/>
      <c r="R1757" s="93"/>
      <c r="S1757" s="93"/>
      <c r="T1757" s="93"/>
      <c r="U1757" s="93"/>
      <c r="V1757" s="93"/>
      <c r="W1757" s="93"/>
      <c r="X1757" s="93"/>
      <c r="Y1757" s="93"/>
      <c r="Z1757" s="93"/>
    </row>
    <row r="1758" customFormat="false" ht="16.4" hidden="false" customHeight="false" outlineLevel="0" collapsed="false">
      <c r="A1758" s="123" t="n">
        <v>45444</v>
      </c>
      <c r="B1758" s="31" t="s">
        <v>153</v>
      </c>
      <c r="C1758" s="129"/>
      <c r="D1758" s="129"/>
      <c r="E1758" s="19" t="n">
        <f aca="false">F1758*0.03</f>
        <v>0</v>
      </c>
      <c r="F1758" s="33" t="n">
        <v>0</v>
      </c>
      <c r="G1758" s="131"/>
      <c r="H1758" s="35" t="n">
        <v>0</v>
      </c>
      <c r="I1758" s="34" t="n">
        <f aca="false">+IF(E1758=0,0,E1758*0.03)</f>
        <v>0</v>
      </c>
      <c r="J1758" s="93"/>
      <c r="K1758" s="93"/>
      <c r="L1758" s="93"/>
      <c r="M1758" s="93"/>
      <c r="N1758" s="93"/>
      <c r="O1758" s="93"/>
      <c r="P1758" s="93"/>
      <c r="Q1758" s="93"/>
      <c r="R1758" s="93"/>
      <c r="S1758" s="93"/>
      <c r="T1758" s="93"/>
      <c r="U1758" s="93"/>
      <c r="V1758" s="93"/>
      <c r="W1758" s="93"/>
      <c r="X1758" s="93"/>
      <c r="Y1758" s="93"/>
      <c r="Z1758" s="93"/>
    </row>
    <row r="1759" customFormat="false" ht="16.4" hidden="false" customHeight="false" outlineLevel="0" collapsed="false">
      <c r="A1759" s="123" t="n">
        <v>45444</v>
      </c>
      <c r="B1759" s="31" t="s">
        <v>153</v>
      </c>
      <c r="C1759" s="129"/>
      <c r="D1759" s="129"/>
      <c r="E1759" s="19" t="n">
        <f aca="false">F1759*0.03</f>
        <v>0</v>
      </c>
      <c r="F1759" s="33" t="n">
        <v>0</v>
      </c>
      <c r="G1759" s="131"/>
      <c r="H1759" s="35" t="n">
        <v>0</v>
      </c>
      <c r="I1759" s="34" t="n">
        <f aca="false">+IF(E1759=0,0,E1759*0.03)</f>
        <v>0</v>
      </c>
      <c r="J1759" s="93"/>
      <c r="K1759" s="93"/>
      <c r="L1759" s="93"/>
      <c r="M1759" s="93"/>
      <c r="N1759" s="93"/>
      <c r="O1759" s="93"/>
      <c r="P1759" s="93"/>
      <c r="Q1759" s="93"/>
      <c r="R1759" s="93"/>
      <c r="S1759" s="93"/>
      <c r="T1759" s="93"/>
      <c r="U1759" s="93"/>
      <c r="V1759" s="93"/>
      <c r="W1759" s="93"/>
      <c r="X1759" s="93"/>
      <c r="Y1759" s="93"/>
      <c r="Z1759" s="93"/>
    </row>
    <row r="1760" customFormat="false" ht="16.4" hidden="false" customHeight="false" outlineLevel="0" collapsed="false">
      <c r="A1760" s="123" t="n">
        <v>45444</v>
      </c>
      <c r="B1760" s="31" t="s">
        <v>153</v>
      </c>
      <c r="C1760" s="129"/>
      <c r="D1760" s="129"/>
      <c r="E1760" s="19" t="n">
        <f aca="false">F1760*0.03</f>
        <v>0</v>
      </c>
      <c r="F1760" s="33" t="n">
        <v>0</v>
      </c>
      <c r="G1760" s="131"/>
      <c r="H1760" s="35" t="n">
        <v>0</v>
      </c>
      <c r="I1760" s="34" t="n">
        <f aca="false">+IF(E1760=0,0,E1760*0.03)</f>
        <v>0</v>
      </c>
      <c r="J1760" s="93"/>
      <c r="K1760" s="93"/>
      <c r="L1760" s="93"/>
      <c r="M1760" s="93"/>
      <c r="N1760" s="93"/>
      <c r="O1760" s="93"/>
      <c r="P1760" s="93"/>
      <c r="Q1760" s="93"/>
      <c r="R1760" s="93"/>
      <c r="S1760" s="93"/>
      <c r="T1760" s="93"/>
      <c r="U1760" s="93"/>
      <c r="V1760" s="93"/>
      <c r="W1760" s="93"/>
      <c r="X1760" s="93"/>
      <c r="Y1760" s="93"/>
      <c r="Z1760" s="93"/>
    </row>
    <row r="1761" customFormat="false" ht="16.4" hidden="false" customHeight="false" outlineLevel="0" collapsed="false">
      <c r="A1761" s="123" t="n">
        <v>45444</v>
      </c>
      <c r="B1761" s="31" t="s">
        <v>153</v>
      </c>
      <c r="C1761" s="129"/>
      <c r="D1761" s="129"/>
      <c r="E1761" s="19" t="n">
        <f aca="false">F1761*0.03</f>
        <v>0</v>
      </c>
      <c r="F1761" s="33" t="n">
        <v>0</v>
      </c>
      <c r="G1761" s="131"/>
      <c r="H1761" s="35" t="n">
        <v>0</v>
      </c>
      <c r="I1761" s="34" t="n">
        <f aca="false">+IF(E1761=0,0,E1761*0.03)</f>
        <v>0</v>
      </c>
      <c r="J1761" s="93"/>
      <c r="K1761" s="93"/>
      <c r="L1761" s="93"/>
      <c r="M1761" s="93"/>
      <c r="N1761" s="93"/>
      <c r="O1761" s="93"/>
      <c r="P1761" s="93"/>
      <c r="Q1761" s="93"/>
      <c r="R1761" s="93"/>
      <c r="S1761" s="93"/>
      <c r="T1761" s="93"/>
      <c r="U1761" s="93"/>
      <c r="V1761" s="93"/>
      <c r="W1761" s="93"/>
      <c r="X1761" s="93"/>
      <c r="Y1761" s="93"/>
      <c r="Z1761" s="93"/>
    </row>
    <row r="1762" customFormat="false" ht="16.4" hidden="false" customHeight="false" outlineLevel="0" collapsed="false">
      <c r="A1762" s="123" t="n">
        <v>45444</v>
      </c>
      <c r="B1762" s="31" t="s">
        <v>153</v>
      </c>
      <c r="C1762" s="129"/>
      <c r="D1762" s="129"/>
      <c r="E1762" s="19" t="n">
        <f aca="false">F1762*0.03</f>
        <v>0</v>
      </c>
      <c r="F1762" s="33" t="n">
        <v>0</v>
      </c>
      <c r="G1762" s="131"/>
      <c r="H1762" s="35" t="n">
        <v>0</v>
      </c>
      <c r="I1762" s="34" t="n">
        <f aca="false">+IF(E1762=0,0,E1762*0.03)</f>
        <v>0</v>
      </c>
      <c r="J1762" s="93"/>
      <c r="K1762" s="93"/>
      <c r="L1762" s="93"/>
      <c r="M1762" s="93"/>
      <c r="N1762" s="93"/>
      <c r="O1762" s="93"/>
      <c r="P1762" s="93"/>
      <c r="Q1762" s="93"/>
      <c r="R1762" s="93"/>
      <c r="S1762" s="93"/>
      <c r="T1762" s="93"/>
      <c r="U1762" s="93"/>
      <c r="V1762" s="93"/>
      <c r="W1762" s="93"/>
      <c r="X1762" s="93"/>
      <c r="Y1762" s="93"/>
      <c r="Z1762" s="93"/>
    </row>
    <row r="1763" customFormat="false" ht="16.4" hidden="false" customHeight="false" outlineLevel="0" collapsed="false">
      <c r="A1763" s="123" t="n">
        <v>45444</v>
      </c>
      <c r="B1763" s="31" t="s">
        <v>153</v>
      </c>
      <c r="C1763" s="129"/>
      <c r="D1763" s="129"/>
      <c r="E1763" s="19" t="n">
        <f aca="false">F1763*0.03</f>
        <v>0</v>
      </c>
      <c r="F1763" s="33" t="n">
        <v>0</v>
      </c>
      <c r="G1763" s="131"/>
      <c r="H1763" s="35" t="n">
        <v>0</v>
      </c>
      <c r="I1763" s="34" t="n">
        <f aca="false">+IF(E1763=0,0,E1763*0.03)</f>
        <v>0</v>
      </c>
      <c r="J1763" s="93"/>
      <c r="K1763" s="93"/>
      <c r="L1763" s="93"/>
      <c r="M1763" s="93"/>
      <c r="N1763" s="93"/>
      <c r="O1763" s="93"/>
      <c r="P1763" s="93"/>
      <c r="Q1763" s="93"/>
      <c r="R1763" s="93"/>
      <c r="S1763" s="93"/>
      <c r="T1763" s="93"/>
      <c r="U1763" s="93"/>
      <c r="V1763" s="93"/>
      <c r="W1763" s="93"/>
      <c r="X1763" s="93"/>
      <c r="Y1763" s="93"/>
      <c r="Z1763" s="93"/>
    </row>
    <row r="1764" customFormat="false" ht="16.4" hidden="false" customHeight="false" outlineLevel="0" collapsed="false">
      <c r="A1764" s="123" t="n">
        <v>45444</v>
      </c>
      <c r="B1764" s="31" t="s">
        <v>153</v>
      </c>
      <c r="C1764" s="129"/>
      <c r="D1764" s="129"/>
      <c r="E1764" s="19" t="n">
        <f aca="false">F1764*0.03</f>
        <v>0</v>
      </c>
      <c r="F1764" s="33" t="n">
        <v>0</v>
      </c>
      <c r="G1764" s="131"/>
      <c r="H1764" s="35" t="n">
        <v>0</v>
      </c>
      <c r="I1764" s="34" t="n">
        <f aca="false">+IF(E1764=0,0,E1764*0.03)</f>
        <v>0</v>
      </c>
      <c r="J1764" s="93"/>
      <c r="K1764" s="93"/>
      <c r="L1764" s="93"/>
      <c r="M1764" s="93"/>
      <c r="N1764" s="93"/>
      <c r="O1764" s="93"/>
      <c r="P1764" s="93"/>
      <c r="Q1764" s="93"/>
      <c r="R1764" s="93"/>
      <c r="S1764" s="93"/>
      <c r="T1764" s="93"/>
      <c r="U1764" s="93"/>
      <c r="V1764" s="93"/>
      <c r="W1764" s="93"/>
      <c r="X1764" s="93"/>
      <c r="Y1764" s="93"/>
      <c r="Z1764" s="93"/>
    </row>
    <row r="1765" customFormat="false" ht="16.4" hidden="false" customHeight="false" outlineLevel="0" collapsed="false">
      <c r="A1765" s="123" t="n">
        <v>45444</v>
      </c>
      <c r="B1765" s="31" t="s">
        <v>153</v>
      </c>
      <c r="C1765" s="129"/>
      <c r="D1765" s="129"/>
      <c r="E1765" s="19" t="n">
        <f aca="false">F1765*0.03</f>
        <v>0</v>
      </c>
      <c r="F1765" s="33" t="n">
        <v>0</v>
      </c>
      <c r="G1765" s="131"/>
      <c r="H1765" s="35" t="n">
        <v>0</v>
      </c>
      <c r="I1765" s="34" t="n">
        <f aca="false">+IF(E1765=0,0,E1765*0.03)</f>
        <v>0</v>
      </c>
      <c r="J1765" s="93"/>
      <c r="K1765" s="93"/>
      <c r="L1765" s="93"/>
      <c r="M1765" s="93"/>
      <c r="N1765" s="93"/>
      <c r="O1765" s="93"/>
      <c r="P1765" s="93"/>
      <c r="Q1765" s="93"/>
      <c r="R1765" s="93"/>
      <c r="S1765" s="93"/>
      <c r="T1765" s="93"/>
      <c r="U1765" s="93"/>
      <c r="V1765" s="93"/>
      <c r="W1765" s="93"/>
      <c r="X1765" s="93"/>
      <c r="Y1765" s="93"/>
      <c r="Z1765" s="93"/>
    </row>
    <row r="1766" customFormat="false" ht="16.4" hidden="false" customHeight="false" outlineLevel="0" collapsed="false">
      <c r="A1766" s="123" t="n">
        <v>45444</v>
      </c>
      <c r="B1766" s="31" t="s">
        <v>153</v>
      </c>
      <c r="C1766" s="129"/>
      <c r="D1766" s="129"/>
      <c r="E1766" s="19" t="n">
        <f aca="false">F1766*0.03</f>
        <v>0</v>
      </c>
      <c r="F1766" s="33" t="n">
        <v>0</v>
      </c>
      <c r="G1766" s="131"/>
      <c r="H1766" s="35" t="n">
        <v>0</v>
      </c>
      <c r="I1766" s="34" t="n">
        <f aca="false">+IF(E1766=0,0,E1766*0.03)</f>
        <v>0</v>
      </c>
      <c r="J1766" s="93"/>
      <c r="K1766" s="93"/>
      <c r="L1766" s="93"/>
      <c r="M1766" s="93"/>
      <c r="N1766" s="93"/>
      <c r="O1766" s="93"/>
      <c r="P1766" s="93"/>
      <c r="Q1766" s="93"/>
      <c r="R1766" s="93"/>
      <c r="S1766" s="93"/>
      <c r="T1766" s="93"/>
      <c r="U1766" s="93"/>
      <c r="V1766" s="93"/>
      <c r="W1766" s="93"/>
      <c r="X1766" s="93"/>
      <c r="Y1766" s="93"/>
      <c r="Z1766" s="93"/>
    </row>
    <row r="1767" customFormat="false" ht="16.4" hidden="false" customHeight="false" outlineLevel="0" collapsed="false">
      <c r="A1767" s="123" t="n">
        <v>45444</v>
      </c>
      <c r="B1767" s="31" t="s">
        <v>153</v>
      </c>
      <c r="C1767" s="129"/>
      <c r="D1767" s="129"/>
      <c r="E1767" s="19" t="n">
        <f aca="false">F1767*0.03</f>
        <v>0</v>
      </c>
      <c r="F1767" s="33" t="n">
        <v>0</v>
      </c>
      <c r="G1767" s="131"/>
      <c r="H1767" s="35" t="n">
        <v>0</v>
      </c>
      <c r="I1767" s="34" t="n">
        <f aca="false">+IF(E1767=0,0,E1767*0.03)</f>
        <v>0</v>
      </c>
      <c r="J1767" s="93"/>
      <c r="K1767" s="93"/>
      <c r="L1767" s="93"/>
      <c r="M1767" s="93"/>
      <c r="N1767" s="93"/>
      <c r="O1767" s="93"/>
      <c r="P1767" s="93"/>
      <c r="Q1767" s="93"/>
      <c r="R1767" s="93"/>
      <c r="S1767" s="93"/>
      <c r="T1767" s="93"/>
      <c r="U1767" s="93"/>
      <c r="V1767" s="93"/>
      <c r="W1767" s="93"/>
      <c r="X1767" s="93"/>
      <c r="Y1767" s="93"/>
      <c r="Z1767" s="93"/>
    </row>
    <row r="1768" customFormat="false" ht="16.4" hidden="false" customHeight="false" outlineLevel="0" collapsed="false">
      <c r="A1768" s="123" t="n">
        <v>45444</v>
      </c>
      <c r="B1768" s="31" t="s">
        <v>153</v>
      </c>
      <c r="C1768" s="129"/>
      <c r="D1768" s="129"/>
      <c r="E1768" s="19" t="n">
        <f aca="false">F1768*0.03</f>
        <v>0</v>
      </c>
      <c r="F1768" s="33" t="n">
        <v>0</v>
      </c>
      <c r="G1768" s="131"/>
      <c r="H1768" s="35" t="n">
        <v>0</v>
      </c>
      <c r="I1768" s="34" t="n">
        <f aca="false">+IF(E1768=0,0,E1768*0.03)</f>
        <v>0</v>
      </c>
      <c r="J1768" s="93"/>
      <c r="K1768" s="93"/>
      <c r="L1768" s="93"/>
      <c r="M1768" s="93"/>
      <c r="N1768" s="93"/>
      <c r="O1768" s="93"/>
      <c r="P1768" s="93"/>
      <c r="Q1768" s="93"/>
      <c r="R1768" s="93"/>
      <c r="S1768" s="93"/>
      <c r="T1768" s="93"/>
      <c r="U1768" s="93"/>
      <c r="V1768" s="93"/>
      <c r="W1768" s="93"/>
      <c r="X1768" s="93"/>
      <c r="Y1768" s="93"/>
      <c r="Z1768" s="93"/>
    </row>
    <row r="1769" customFormat="false" ht="16.4" hidden="false" customHeight="false" outlineLevel="0" collapsed="false">
      <c r="A1769" s="123" t="n">
        <v>45444</v>
      </c>
      <c r="B1769" s="31" t="s">
        <v>153</v>
      </c>
      <c r="C1769" s="129"/>
      <c r="D1769" s="129"/>
      <c r="E1769" s="19" t="n">
        <f aca="false">F1769*0.03</f>
        <v>0</v>
      </c>
      <c r="F1769" s="33" t="n">
        <v>0</v>
      </c>
      <c r="G1769" s="131"/>
      <c r="H1769" s="35" t="n">
        <v>0</v>
      </c>
      <c r="I1769" s="34" t="n">
        <f aca="false">+IF(E1769=0,0,E1769*0.03)</f>
        <v>0</v>
      </c>
      <c r="J1769" s="93"/>
      <c r="K1769" s="93"/>
      <c r="L1769" s="93"/>
      <c r="M1769" s="93"/>
      <c r="N1769" s="93"/>
      <c r="O1769" s="93"/>
      <c r="P1769" s="93"/>
      <c r="Q1769" s="93"/>
      <c r="R1769" s="93"/>
      <c r="S1769" s="93"/>
      <c r="T1769" s="93"/>
      <c r="U1769" s="93"/>
      <c r="V1769" s="93"/>
      <c r="W1769" s="93"/>
      <c r="X1769" s="93"/>
      <c r="Y1769" s="93"/>
      <c r="Z1769" s="93"/>
    </row>
    <row r="1770" customFormat="false" ht="16.4" hidden="false" customHeight="false" outlineLevel="0" collapsed="false">
      <c r="A1770" s="123" t="n">
        <v>45444</v>
      </c>
      <c r="B1770" s="31" t="s">
        <v>153</v>
      </c>
      <c r="C1770" s="129"/>
      <c r="D1770" s="129"/>
      <c r="E1770" s="19" t="n">
        <f aca="false">F1770*0.03</f>
        <v>0</v>
      </c>
      <c r="F1770" s="33" t="n">
        <v>0</v>
      </c>
      <c r="G1770" s="131"/>
      <c r="H1770" s="35" t="n">
        <v>0</v>
      </c>
      <c r="I1770" s="34" t="n">
        <f aca="false">+IF(E1770=0,0,E1770*0.03)</f>
        <v>0</v>
      </c>
      <c r="J1770" s="93"/>
      <c r="K1770" s="93"/>
      <c r="L1770" s="93"/>
      <c r="M1770" s="93"/>
      <c r="N1770" s="93"/>
      <c r="O1770" s="93"/>
      <c r="P1770" s="93"/>
      <c r="Q1770" s="93"/>
      <c r="R1770" s="93"/>
      <c r="S1770" s="93"/>
      <c r="T1770" s="93"/>
      <c r="U1770" s="93"/>
      <c r="V1770" s="93"/>
      <c r="W1770" s="93"/>
      <c r="X1770" s="93"/>
      <c r="Y1770" s="93"/>
      <c r="Z1770" s="93"/>
    </row>
    <row r="1771" customFormat="false" ht="16.4" hidden="false" customHeight="false" outlineLevel="0" collapsed="false">
      <c r="A1771" s="123" t="n">
        <v>45444</v>
      </c>
      <c r="B1771" s="31" t="s">
        <v>153</v>
      </c>
      <c r="C1771" s="129"/>
      <c r="D1771" s="129"/>
      <c r="E1771" s="19" t="n">
        <f aca="false">F1771*0.03</f>
        <v>0</v>
      </c>
      <c r="F1771" s="33" t="n">
        <v>0</v>
      </c>
      <c r="G1771" s="131"/>
      <c r="H1771" s="35" t="n">
        <v>0</v>
      </c>
      <c r="I1771" s="34" t="n">
        <f aca="false">+IF(E1771=0,0,E1771*0.03)</f>
        <v>0</v>
      </c>
      <c r="J1771" s="93"/>
      <c r="K1771" s="93"/>
      <c r="L1771" s="93"/>
      <c r="M1771" s="93"/>
      <c r="N1771" s="93"/>
      <c r="O1771" s="93"/>
      <c r="P1771" s="93"/>
      <c r="Q1771" s="93"/>
      <c r="R1771" s="93"/>
      <c r="S1771" s="93"/>
      <c r="T1771" s="93"/>
      <c r="U1771" s="93"/>
      <c r="V1771" s="93"/>
      <c r="W1771" s="93"/>
      <c r="X1771" s="93"/>
      <c r="Y1771" s="93"/>
      <c r="Z1771" s="93"/>
    </row>
    <row r="1772" customFormat="false" ht="16.4" hidden="false" customHeight="false" outlineLevel="0" collapsed="false">
      <c r="A1772" s="123" t="n">
        <v>45444</v>
      </c>
      <c r="B1772" s="31" t="s">
        <v>153</v>
      </c>
      <c r="C1772" s="129"/>
      <c r="D1772" s="129"/>
      <c r="E1772" s="19" t="n">
        <f aca="false">F1772*0.03</f>
        <v>0</v>
      </c>
      <c r="F1772" s="33" t="n">
        <v>0</v>
      </c>
      <c r="G1772" s="131"/>
      <c r="H1772" s="35" t="n">
        <v>0</v>
      </c>
      <c r="I1772" s="34" t="n">
        <f aca="false">+IF(E1772=0,0,E1772*0.03)</f>
        <v>0</v>
      </c>
      <c r="J1772" s="93"/>
      <c r="K1772" s="93"/>
      <c r="L1772" s="93"/>
      <c r="M1772" s="93"/>
      <c r="N1772" s="93"/>
      <c r="O1772" s="93"/>
      <c r="P1772" s="93"/>
      <c r="Q1772" s="93"/>
      <c r="R1772" s="93"/>
      <c r="S1772" s="93"/>
      <c r="T1772" s="93"/>
      <c r="U1772" s="93"/>
      <c r="V1772" s="93"/>
      <c r="W1772" s="93"/>
      <c r="X1772" s="93"/>
      <c r="Y1772" s="93"/>
      <c r="Z1772" s="93"/>
    </row>
    <row r="1773" customFormat="false" ht="16.4" hidden="false" customHeight="false" outlineLevel="0" collapsed="false">
      <c r="A1773" s="123" t="n">
        <v>45444</v>
      </c>
      <c r="B1773" s="31" t="s">
        <v>153</v>
      </c>
      <c r="C1773" s="129"/>
      <c r="D1773" s="129"/>
      <c r="E1773" s="19" t="n">
        <f aca="false">F1773*0.03</f>
        <v>0</v>
      </c>
      <c r="F1773" s="33" t="n">
        <v>0</v>
      </c>
      <c r="G1773" s="131"/>
      <c r="H1773" s="35" t="n">
        <v>0</v>
      </c>
      <c r="I1773" s="34" t="n">
        <f aca="false">+IF(E1773=0,0,E1773*0.03)</f>
        <v>0</v>
      </c>
      <c r="J1773" s="93"/>
      <c r="K1773" s="93"/>
      <c r="L1773" s="93"/>
      <c r="M1773" s="93"/>
      <c r="N1773" s="93"/>
      <c r="O1773" s="93"/>
      <c r="P1773" s="93"/>
      <c r="Q1773" s="93"/>
      <c r="R1773" s="93"/>
      <c r="S1773" s="93"/>
      <c r="T1773" s="93"/>
      <c r="U1773" s="93"/>
      <c r="V1773" s="93"/>
      <c r="W1773" s="93"/>
      <c r="X1773" s="93"/>
      <c r="Y1773" s="93"/>
      <c r="Z1773" s="93"/>
    </row>
    <row r="1774" customFormat="false" ht="16.4" hidden="false" customHeight="false" outlineLevel="0" collapsed="false">
      <c r="A1774" s="123" t="n">
        <v>45444</v>
      </c>
      <c r="B1774" s="31" t="s">
        <v>153</v>
      </c>
      <c r="C1774" s="129"/>
      <c r="D1774" s="129"/>
      <c r="E1774" s="19" t="n">
        <f aca="false">F1774*0.03</f>
        <v>0</v>
      </c>
      <c r="F1774" s="33" t="n">
        <v>0</v>
      </c>
      <c r="G1774" s="131"/>
      <c r="H1774" s="35" t="n">
        <v>0</v>
      </c>
      <c r="I1774" s="34" t="n">
        <f aca="false">+IF(E1774=0,0,E1774*0.03)</f>
        <v>0</v>
      </c>
      <c r="J1774" s="93"/>
      <c r="K1774" s="93"/>
      <c r="L1774" s="93"/>
      <c r="M1774" s="93"/>
      <c r="N1774" s="93"/>
      <c r="O1774" s="93"/>
      <c r="P1774" s="93"/>
      <c r="Q1774" s="93"/>
      <c r="R1774" s="93"/>
      <c r="S1774" s="93"/>
      <c r="T1774" s="93"/>
      <c r="U1774" s="93"/>
      <c r="V1774" s="93"/>
      <c r="W1774" s="93"/>
      <c r="X1774" s="93"/>
      <c r="Y1774" s="93"/>
      <c r="Z1774" s="93"/>
    </row>
    <row r="1775" customFormat="false" ht="16.4" hidden="false" customHeight="false" outlineLevel="0" collapsed="false">
      <c r="A1775" s="123" t="n">
        <v>45444</v>
      </c>
      <c r="B1775" s="31" t="s">
        <v>153</v>
      </c>
      <c r="C1775" s="129"/>
      <c r="D1775" s="129"/>
      <c r="E1775" s="19" t="n">
        <f aca="false">F1775*0.03</f>
        <v>0</v>
      </c>
      <c r="F1775" s="33" t="n">
        <v>0</v>
      </c>
      <c r="G1775" s="131"/>
      <c r="H1775" s="35" t="n">
        <v>0</v>
      </c>
      <c r="I1775" s="34" t="n">
        <f aca="false">+IF(E1775=0,0,E1775*0.03)</f>
        <v>0</v>
      </c>
      <c r="J1775" s="93"/>
      <c r="K1775" s="93"/>
      <c r="L1775" s="93"/>
      <c r="M1775" s="93"/>
      <c r="N1775" s="93"/>
      <c r="O1775" s="93"/>
      <c r="P1775" s="93"/>
      <c r="Q1775" s="93"/>
      <c r="R1775" s="93"/>
      <c r="S1775" s="93"/>
      <c r="T1775" s="93"/>
      <c r="U1775" s="93"/>
      <c r="V1775" s="93"/>
      <c r="W1775" s="93"/>
      <c r="X1775" s="93"/>
      <c r="Y1775" s="93"/>
      <c r="Z1775" s="93"/>
    </row>
    <row r="1776" customFormat="false" ht="16.4" hidden="false" customHeight="false" outlineLevel="0" collapsed="false">
      <c r="A1776" s="123" t="n">
        <v>45444</v>
      </c>
      <c r="B1776" s="31" t="s">
        <v>153</v>
      </c>
      <c r="C1776" s="129"/>
      <c r="D1776" s="129"/>
      <c r="E1776" s="19" t="n">
        <f aca="false">F1776*0.03</f>
        <v>0</v>
      </c>
      <c r="F1776" s="33" t="n">
        <v>0</v>
      </c>
      <c r="G1776" s="131"/>
      <c r="H1776" s="35" t="n">
        <v>0</v>
      </c>
      <c r="I1776" s="34" t="n">
        <f aca="false">+IF(E1776=0,0,E1776*0.03)</f>
        <v>0</v>
      </c>
      <c r="J1776" s="93"/>
      <c r="K1776" s="93"/>
      <c r="L1776" s="93"/>
      <c r="M1776" s="93"/>
      <c r="N1776" s="93"/>
      <c r="O1776" s="93"/>
      <c r="P1776" s="93"/>
      <c r="Q1776" s="93"/>
      <c r="R1776" s="93"/>
      <c r="S1776" s="93"/>
      <c r="T1776" s="93"/>
      <c r="U1776" s="93"/>
      <c r="V1776" s="93"/>
      <c r="W1776" s="93"/>
      <c r="X1776" s="93"/>
      <c r="Y1776" s="93"/>
      <c r="Z1776" s="93"/>
    </row>
    <row r="1777" customFormat="false" ht="16.4" hidden="false" customHeight="false" outlineLevel="0" collapsed="false">
      <c r="A1777" s="123" t="n">
        <v>45444</v>
      </c>
      <c r="B1777" s="31" t="s">
        <v>153</v>
      </c>
      <c r="C1777" s="129"/>
      <c r="D1777" s="129"/>
      <c r="E1777" s="19" t="n">
        <f aca="false">F1777*0.03</f>
        <v>0</v>
      </c>
      <c r="F1777" s="33" t="n">
        <v>0</v>
      </c>
      <c r="G1777" s="131"/>
      <c r="H1777" s="35" t="n">
        <v>0</v>
      </c>
      <c r="I1777" s="34" t="n">
        <f aca="false">+IF(E1777=0,0,E1777*0.03)</f>
        <v>0</v>
      </c>
      <c r="J1777" s="93"/>
      <c r="K1777" s="93"/>
      <c r="L1777" s="93"/>
      <c r="M1777" s="93"/>
      <c r="N1777" s="93"/>
      <c r="O1777" s="93"/>
      <c r="P1777" s="93"/>
      <c r="Q1777" s="93"/>
      <c r="R1777" s="93"/>
      <c r="S1777" s="93"/>
      <c r="T1777" s="93"/>
      <c r="U1777" s="93"/>
      <c r="V1777" s="93"/>
      <c r="W1777" s="93"/>
      <c r="X1777" s="93"/>
      <c r="Y1777" s="93"/>
      <c r="Z1777" s="93"/>
    </row>
    <row r="1778" customFormat="false" ht="16.4" hidden="false" customHeight="false" outlineLevel="0" collapsed="false">
      <c r="A1778" s="123" t="n">
        <v>45444</v>
      </c>
      <c r="B1778" s="31" t="s">
        <v>153</v>
      </c>
      <c r="C1778" s="129"/>
      <c r="D1778" s="129"/>
      <c r="E1778" s="19" t="n">
        <f aca="false">F1778*0.03</f>
        <v>0</v>
      </c>
      <c r="F1778" s="33" t="n">
        <v>0</v>
      </c>
      <c r="G1778" s="131"/>
      <c r="H1778" s="35" t="n">
        <v>0</v>
      </c>
      <c r="I1778" s="34" t="n">
        <f aca="false">+IF(E1778=0,0,E1778*0.03)</f>
        <v>0</v>
      </c>
      <c r="J1778" s="93"/>
      <c r="K1778" s="93"/>
      <c r="L1778" s="93"/>
      <c r="M1778" s="93"/>
      <c r="N1778" s="93"/>
      <c r="O1778" s="93"/>
      <c r="P1778" s="93"/>
      <c r="Q1778" s="93"/>
      <c r="R1778" s="93"/>
      <c r="S1778" s="93"/>
      <c r="T1778" s="93"/>
      <c r="U1778" s="93"/>
      <c r="V1778" s="93"/>
      <c r="W1778" s="93"/>
      <c r="X1778" s="93"/>
      <c r="Y1778" s="93"/>
      <c r="Z1778" s="93"/>
    </row>
    <row r="1779" customFormat="false" ht="16.4" hidden="false" customHeight="false" outlineLevel="0" collapsed="false">
      <c r="A1779" s="123" t="n">
        <v>45444</v>
      </c>
      <c r="B1779" s="31" t="s">
        <v>153</v>
      </c>
      <c r="C1779" s="129"/>
      <c r="D1779" s="129"/>
      <c r="E1779" s="19" t="n">
        <f aca="false">F1779*0.03</f>
        <v>0</v>
      </c>
      <c r="F1779" s="33" t="n">
        <v>0</v>
      </c>
      <c r="G1779" s="131"/>
      <c r="H1779" s="35" t="n">
        <v>0</v>
      </c>
      <c r="I1779" s="34" t="n">
        <f aca="false">+IF(E1779=0,0,E1779*0.03)</f>
        <v>0</v>
      </c>
      <c r="J1779" s="93"/>
      <c r="K1779" s="93"/>
      <c r="L1779" s="93"/>
      <c r="M1779" s="93"/>
      <c r="N1779" s="93"/>
      <c r="O1779" s="93"/>
      <c r="P1779" s="93"/>
      <c r="Q1779" s="93"/>
      <c r="R1779" s="93"/>
      <c r="S1779" s="93"/>
      <c r="T1779" s="93"/>
      <c r="U1779" s="93"/>
      <c r="V1779" s="93"/>
      <c r="W1779" s="93"/>
      <c r="X1779" s="93"/>
      <c r="Y1779" s="93"/>
      <c r="Z1779" s="93"/>
    </row>
    <row r="1780" customFormat="false" ht="16.4" hidden="false" customHeight="false" outlineLevel="0" collapsed="false">
      <c r="A1780" s="123" t="n">
        <v>45444</v>
      </c>
      <c r="B1780" s="31" t="s">
        <v>153</v>
      </c>
      <c r="C1780" s="129"/>
      <c r="D1780" s="129"/>
      <c r="E1780" s="19" t="n">
        <f aca="false">F1780*0.03</f>
        <v>0</v>
      </c>
      <c r="F1780" s="33" t="n">
        <v>0</v>
      </c>
      <c r="G1780" s="131"/>
      <c r="H1780" s="35" t="n">
        <v>0</v>
      </c>
      <c r="I1780" s="34" t="n">
        <f aca="false">+IF(E1780=0,0,E1780*0.03)</f>
        <v>0</v>
      </c>
      <c r="J1780" s="93"/>
      <c r="K1780" s="93"/>
      <c r="L1780" s="93"/>
      <c r="M1780" s="93"/>
      <c r="N1780" s="93"/>
      <c r="O1780" s="93"/>
      <c r="P1780" s="93"/>
      <c r="Q1780" s="93"/>
      <c r="R1780" s="93"/>
      <c r="S1780" s="93"/>
      <c r="T1780" s="93"/>
      <c r="U1780" s="93"/>
      <c r="V1780" s="93"/>
      <c r="W1780" s="93"/>
      <c r="X1780" s="93"/>
      <c r="Y1780" s="93"/>
      <c r="Z1780" s="93"/>
    </row>
    <row r="1781" customFormat="false" ht="16.4" hidden="false" customHeight="false" outlineLevel="0" collapsed="false">
      <c r="A1781" s="123" t="n">
        <v>45444</v>
      </c>
      <c r="B1781" s="31" t="s">
        <v>153</v>
      </c>
      <c r="C1781" s="129"/>
      <c r="D1781" s="129"/>
      <c r="E1781" s="19" t="n">
        <f aca="false">F1781*0.03</f>
        <v>0</v>
      </c>
      <c r="F1781" s="33" t="n">
        <v>0</v>
      </c>
      <c r="G1781" s="131"/>
      <c r="H1781" s="35" t="n">
        <v>0</v>
      </c>
      <c r="I1781" s="34" t="n">
        <f aca="false">+IF(E1781=0,0,E1781*0.03)</f>
        <v>0</v>
      </c>
      <c r="J1781" s="93"/>
      <c r="K1781" s="93"/>
      <c r="L1781" s="93"/>
      <c r="M1781" s="93"/>
      <c r="N1781" s="93"/>
      <c r="O1781" s="93"/>
      <c r="P1781" s="93"/>
      <c r="Q1781" s="93"/>
      <c r="R1781" s="93"/>
      <c r="S1781" s="93"/>
      <c r="T1781" s="93"/>
      <c r="U1781" s="93"/>
      <c r="V1781" s="93"/>
      <c r="W1781" s="93"/>
      <c r="X1781" s="93"/>
      <c r="Y1781" s="93"/>
      <c r="Z1781" s="93"/>
    </row>
    <row r="1782" customFormat="false" ht="16.4" hidden="false" customHeight="false" outlineLevel="0" collapsed="false">
      <c r="A1782" s="123" t="n">
        <v>45444</v>
      </c>
      <c r="B1782" s="31" t="s">
        <v>153</v>
      </c>
      <c r="C1782" s="129"/>
      <c r="D1782" s="129"/>
      <c r="E1782" s="19" t="n">
        <f aca="false">F1782*0.03</f>
        <v>0</v>
      </c>
      <c r="F1782" s="33" t="n">
        <v>0</v>
      </c>
      <c r="G1782" s="131"/>
      <c r="H1782" s="35" t="n">
        <v>0</v>
      </c>
      <c r="I1782" s="34" t="n">
        <f aca="false">+IF(E1782=0,0,E1782*0.03)</f>
        <v>0</v>
      </c>
      <c r="J1782" s="93"/>
      <c r="K1782" s="93"/>
      <c r="L1782" s="93"/>
      <c r="M1782" s="93"/>
      <c r="N1782" s="93"/>
      <c r="O1782" s="93"/>
      <c r="P1782" s="93"/>
      <c r="Q1782" s="93"/>
      <c r="R1782" s="93"/>
      <c r="S1782" s="93"/>
      <c r="T1782" s="93"/>
      <c r="U1782" s="93"/>
      <c r="V1782" s="93"/>
      <c r="W1782" s="93"/>
      <c r="X1782" s="93"/>
      <c r="Y1782" s="93"/>
      <c r="Z1782" s="93"/>
    </row>
    <row r="1783" customFormat="false" ht="16.4" hidden="false" customHeight="false" outlineLevel="0" collapsed="false">
      <c r="A1783" s="123" t="n">
        <v>45444</v>
      </c>
      <c r="B1783" s="31" t="s">
        <v>153</v>
      </c>
      <c r="C1783" s="129"/>
      <c r="D1783" s="129"/>
      <c r="E1783" s="19" t="n">
        <f aca="false">F1783*0.03</f>
        <v>0</v>
      </c>
      <c r="F1783" s="33" t="n">
        <v>0</v>
      </c>
      <c r="G1783" s="131"/>
      <c r="H1783" s="35" t="n">
        <v>0</v>
      </c>
      <c r="I1783" s="34" t="n">
        <f aca="false">+IF(E1783=0,0,E1783*0.03)</f>
        <v>0</v>
      </c>
      <c r="J1783" s="93"/>
      <c r="K1783" s="93"/>
      <c r="L1783" s="93"/>
      <c r="M1783" s="93"/>
      <c r="N1783" s="93"/>
      <c r="O1783" s="93"/>
      <c r="P1783" s="93"/>
      <c r="Q1783" s="93"/>
      <c r="R1783" s="93"/>
      <c r="S1783" s="93"/>
      <c r="T1783" s="93"/>
      <c r="U1783" s="93"/>
      <c r="V1783" s="93"/>
      <c r="W1783" s="93"/>
      <c r="X1783" s="93"/>
      <c r="Y1783" s="93"/>
      <c r="Z1783" s="93"/>
    </row>
    <row r="1784" customFormat="false" ht="16.4" hidden="false" customHeight="false" outlineLevel="0" collapsed="false">
      <c r="A1784" s="123" t="n">
        <v>45444</v>
      </c>
      <c r="B1784" s="31" t="s">
        <v>153</v>
      </c>
      <c r="C1784" s="129"/>
      <c r="D1784" s="129"/>
      <c r="E1784" s="19" t="n">
        <f aca="false">F1784*0.03</f>
        <v>0</v>
      </c>
      <c r="F1784" s="33" t="n">
        <v>0</v>
      </c>
      <c r="G1784" s="131"/>
      <c r="H1784" s="35" t="n">
        <v>0</v>
      </c>
      <c r="I1784" s="34" t="n">
        <f aca="false">+IF(E1784=0,0,E1784*0.03)</f>
        <v>0</v>
      </c>
      <c r="J1784" s="93"/>
      <c r="K1784" s="93"/>
      <c r="L1784" s="93"/>
      <c r="M1784" s="93"/>
      <c r="N1784" s="93"/>
      <c r="O1784" s="93"/>
      <c r="P1784" s="93"/>
      <c r="Q1784" s="93"/>
      <c r="R1784" s="93"/>
      <c r="S1784" s="93"/>
      <c r="T1784" s="93"/>
      <c r="U1784" s="93"/>
      <c r="V1784" s="93"/>
      <c r="W1784" s="93"/>
      <c r="X1784" s="93"/>
      <c r="Y1784" s="93"/>
      <c r="Z1784" s="93"/>
    </row>
    <row r="1785" customFormat="false" ht="16.4" hidden="false" customHeight="false" outlineLevel="0" collapsed="false">
      <c r="A1785" s="123" t="n">
        <v>45444</v>
      </c>
      <c r="B1785" s="31" t="s">
        <v>153</v>
      </c>
      <c r="C1785" s="129"/>
      <c r="D1785" s="129"/>
      <c r="E1785" s="19" t="n">
        <f aca="false">F1785*0.03</f>
        <v>0</v>
      </c>
      <c r="F1785" s="33" t="n">
        <v>0</v>
      </c>
      <c r="G1785" s="131"/>
      <c r="H1785" s="35" t="n">
        <v>0</v>
      </c>
      <c r="I1785" s="34" t="n">
        <f aca="false">+IF(E1785=0,0,E1785*0.03)</f>
        <v>0</v>
      </c>
      <c r="J1785" s="93"/>
      <c r="K1785" s="93"/>
      <c r="L1785" s="93"/>
      <c r="M1785" s="93"/>
      <c r="N1785" s="93"/>
      <c r="O1785" s="93"/>
      <c r="P1785" s="93"/>
      <c r="Q1785" s="93"/>
      <c r="R1785" s="93"/>
      <c r="S1785" s="93"/>
      <c r="T1785" s="93"/>
      <c r="U1785" s="93"/>
      <c r="V1785" s="93"/>
      <c r="W1785" s="93"/>
      <c r="X1785" s="93"/>
      <c r="Y1785" s="93"/>
      <c r="Z1785" s="93"/>
    </row>
    <row r="1786" customFormat="false" ht="16.4" hidden="false" customHeight="false" outlineLevel="0" collapsed="false">
      <c r="A1786" s="123" t="n">
        <v>45444</v>
      </c>
      <c r="B1786" s="31" t="s">
        <v>153</v>
      </c>
      <c r="C1786" s="129"/>
      <c r="D1786" s="129"/>
      <c r="E1786" s="19" t="n">
        <f aca="false">F1786*0.03</f>
        <v>0</v>
      </c>
      <c r="F1786" s="33" t="n">
        <v>0</v>
      </c>
      <c r="G1786" s="131"/>
      <c r="H1786" s="35" t="n">
        <v>0</v>
      </c>
      <c r="I1786" s="34" t="n">
        <f aca="false">+IF(E1786=0,0,E1786*0.03)</f>
        <v>0</v>
      </c>
      <c r="J1786" s="93"/>
      <c r="K1786" s="93"/>
      <c r="L1786" s="93"/>
      <c r="M1786" s="93"/>
      <c r="N1786" s="93"/>
      <c r="O1786" s="93"/>
      <c r="P1786" s="93"/>
      <c r="Q1786" s="93"/>
      <c r="R1786" s="93"/>
      <c r="S1786" s="93"/>
      <c r="T1786" s="93"/>
      <c r="U1786" s="93"/>
      <c r="V1786" s="93"/>
      <c r="W1786" s="93"/>
      <c r="X1786" s="93"/>
      <c r="Y1786" s="93"/>
      <c r="Z1786" s="93"/>
    </row>
    <row r="1787" customFormat="false" ht="16.4" hidden="false" customHeight="false" outlineLevel="0" collapsed="false">
      <c r="A1787" s="123" t="n">
        <v>45444</v>
      </c>
      <c r="B1787" s="31" t="s">
        <v>153</v>
      </c>
      <c r="C1787" s="129"/>
      <c r="D1787" s="129"/>
      <c r="E1787" s="19" t="n">
        <f aca="false">F1787*0.03</f>
        <v>0</v>
      </c>
      <c r="F1787" s="33" t="n">
        <v>0</v>
      </c>
      <c r="G1787" s="131"/>
      <c r="H1787" s="35" t="n">
        <v>0</v>
      </c>
      <c r="I1787" s="34" t="n">
        <f aca="false">+IF(E1787=0,0,E1787*0.03)</f>
        <v>0</v>
      </c>
      <c r="J1787" s="93"/>
      <c r="K1787" s="93"/>
      <c r="L1787" s="93"/>
      <c r="M1787" s="93"/>
      <c r="N1787" s="93"/>
      <c r="O1787" s="93"/>
      <c r="P1787" s="93"/>
      <c r="Q1787" s="93"/>
      <c r="R1787" s="93"/>
      <c r="S1787" s="93"/>
      <c r="T1787" s="93"/>
      <c r="U1787" s="93"/>
      <c r="V1787" s="93"/>
      <c r="W1787" s="93"/>
      <c r="X1787" s="93"/>
      <c r="Y1787" s="93"/>
      <c r="Z1787" s="93"/>
    </row>
    <row r="1788" customFormat="false" ht="16.4" hidden="false" customHeight="false" outlineLevel="0" collapsed="false">
      <c r="A1788" s="123" t="n">
        <v>45444</v>
      </c>
      <c r="B1788" s="31" t="s">
        <v>153</v>
      </c>
      <c r="C1788" s="129"/>
      <c r="D1788" s="129"/>
      <c r="E1788" s="19" t="n">
        <f aca="false">F1788*0.03</f>
        <v>0</v>
      </c>
      <c r="F1788" s="33" t="n">
        <v>0</v>
      </c>
      <c r="G1788" s="131"/>
      <c r="H1788" s="35" t="n">
        <v>0</v>
      </c>
      <c r="I1788" s="34" t="n">
        <f aca="false">+IF(E1788=0,0,E1788*0.03)</f>
        <v>0</v>
      </c>
      <c r="J1788" s="93"/>
      <c r="K1788" s="93"/>
      <c r="L1788" s="93"/>
      <c r="M1788" s="93"/>
      <c r="N1788" s="93"/>
      <c r="O1788" s="93"/>
      <c r="P1788" s="93"/>
      <c r="Q1788" s="93"/>
      <c r="R1788" s="93"/>
      <c r="S1788" s="93"/>
      <c r="T1788" s="93"/>
      <c r="U1788" s="93"/>
      <c r="V1788" s="93"/>
      <c r="W1788" s="93"/>
      <c r="X1788" s="93"/>
      <c r="Y1788" s="93"/>
      <c r="Z1788" s="93"/>
    </row>
    <row r="1789" customFormat="false" ht="16.4" hidden="false" customHeight="false" outlineLevel="0" collapsed="false">
      <c r="A1789" s="123" t="n">
        <v>45444</v>
      </c>
      <c r="B1789" s="31" t="s">
        <v>153</v>
      </c>
      <c r="C1789" s="129"/>
      <c r="D1789" s="129"/>
      <c r="E1789" s="19" t="n">
        <f aca="false">F1789*0.03</f>
        <v>0</v>
      </c>
      <c r="F1789" s="33" t="n">
        <v>0</v>
      </c>
      <c r="G1789" s="131"/>
      <c r="H1789" s="35" t="n">
        <v>0</v>
      </c>
      <c r="I1789" s="34" t="n">
        <f aca="false">+IF(E1789=0,0,E1789*0.03)</f>
        <v>0</v>
      </c>
      <c r="J1789" s="93"/>
      <c r="K1789" s="93"/>
      <c r="L1789" s="93"/>
      <c r="M1789" s="93"/>
      <c r="N1789" s="93"/>
      <c r="O1789" s="93"/>
      <c r="P1789" s="93"/>
      <c r="Q1789" s="93"/>
      <c r="R1789" s="93"/>
      <c r="S1789" s="93"/>
      <c r="T1789" s="93"/>
      <c r="U1789" s="93"/>
      <c r="V1789" s="93"/>
      <c r="W1789" s="93"/>
      <c r="X1789" s="93"/>
      <c r="Y1789" s="93"/>
      <c r="Z1789" s="93"/>
    </row>
    <row r="1790" customFormat="false" ht="16.4" hidden="false" customHeight="false" outlineLevel="0" collapsed="false">
      <c r="A1790" s="123" t="n">
        <v>45444</v>
      </c>
      <c r="B1790" s="31" t="s">
        <v>153</v>
      </c>
      <c r="C1790" s="129"/>
      <c r="D1790" s="129"/>
      <c r="E1790" s="19" t="n">
        <f aca="false">F1790*0.03</f>
        <v>0</v>
      </c>
      <c r="F1790" s="33" t="n">
        <v>0</v>
      </c>
      <c r="G1790" s="131"/>
      <c r="H1790" s="35" t="n">
        <v>0</v>
      </c>
      <c r="I1790" s="34" t="n">
        <f aca="false">+IF(E1790=0,0,E1790*0.03)</f>
        <v>0</v>
      </c>
      <c r="J1790" s="93"/>
      <c r="K1790" s="93"/>
      <c r="L1790" s="93"/>
      <c r="M1790" s="93"/>
      <c r="N1790" s="93"/>
      <c r="O1790" s="93"/>
      <c r="P1790" s="93"/>
      <c r="Q1790" s="93"/>
      <c r="R1790" s="93"/>
      <c r="S1790" s="93"/>
      <c r="T1790" s="93"/>
      <c r="U1790" s="93"/>
      <c r="V1790" s="93"/>
      <c r="W1790" s="93"/>
      <c r="X1790" s="93"/>
      <c r="Y1790" s="93"/>
      <c r="Z1790" s="93"/>
    </row>
    <row r="1791" customFormat="false" ht="16.4" hidden="false" customHeight="false" outlineLevel="0" collapsed="false">
      <c r="A1791" s="123" t="n">
        <v>45444</v>
      </c>
      <c r="B1791" s="31" t="s">
        <v>153</v>
      </c>
      <c r="C1791" s="129"/>
      <c r="D1791" s="129"/>
      <c r="E1791" s="19" t="n">
        <f aca="false">F1791*0.03</f>
        <v>0</v>
      </c>
      <c r="F1791" s="33" t="n">
        <v>0</v>
      </c>
      <c r="G1791" s="131"/>
      <c r="H1791" s="35" t="n">
        <v>0</v>
      </c>
      <c r="I1791" s="34" t="n">
        <f aca="false">+IF(E1791=0,0,E1791*0.03)</f>
        <v>0</v>
      </c>
      <c r="J1791" s="93"/>
      <c r="K1791" s="93"/>
      <c r="L1791" s="93"/>
      <c r="M1791" s="93"/>
      <c r="N1791" s="93"/>
      <c r="O1791" s="93"/>
      <c r="P1791" s="93"/>
      <c r="Q1791" s="93"/>
      <c r="R1791" s="93"/>
      <c r="S1791" s="93"/>
      <c r="T1791" s="93"/>
      <c r="U1791" s="93"/>
      <c r="V1791" s="93"/>
      <c r="W1791" s="93"/>
      <c r="X1791" s="93"/>
      <c r="Y1791" s="93"/>
      <c r="Z1791" s="93"/>
    </row>
    <row r="1792" customFormat="false" ht="16.4" hidden="false" customHeight="false" outlineLevel="0" collapsed="false">
      <c r="A1792" s="123" t="n">
        <v>45444</v>
      </c>
      <c r="B1792" s="31" t="s">
        <v>153</v>
      </c>
      <c r="C1792" s="129"/>
      <c r="D1792" s="129"/>
      <c r="E1792" s="19" t="n">
        <f aca="false">F1792*0.03</f>
        <v>0</v>
      </c>
      <c r="F1792" s="33" t="n">
        <v>0</v>
      </c>
      <c r="G1792" s="131"/>
      <c r="H1792" s="35" t="n">
        <v>0</v>
      </c>
      <c r="I1792" s="34" t="n">
        <f aca="false">+IF(E1792=0,0,E1792*0.03)</f>
        <v>0</v>
      </c>
      <c r="J1792" s="93"/>
      <c r="K1792" s="93"/>
      <c r="L1792" s="93"/>
      <c r="M1792" s="93"/>
      <c r="N1792" s="93"/>
      <c r="O1792" s="93"/>
      <c r="P1792" s="93"/>
      <c r="Q1792" s="93"/>
      <c r="R1792" s="93"/>
      <c r="S1792" s="93"/>
      <c r="T1792" s="93"/>
      <c r="U1792" s="93"/>
      <c r="V1792" s="93"/>
      <c r="W1792" s="93"/>
      <c r="X1792" s="93"/>
      <c r="Y1792" s="93"/>
      <c r="Z1792" s="93"/>
    </row>
    <row r="1793" customFormat="false" ht="16.4" hidden="false" customHeight="false" outlineLevel="0" collapsed="false">
      <c r="A1793" s="123" t="n">
        <v>45444</v>
      </c>
      <c r="B1793" s="31" t="s">
        <v>153</v>
      </c>
      <c r="C1793" s="129"/>
      <c r="D1793" s="129"/>
      <c r="E1793" s="19" t="n">
        <f aca="false">F1793*0.03</f>
        <v>0</v>
      </c>
      <c r="F1793" s="33" t="n">
        <v>0</v>
      </c>
      <c r="G1793" s="131"/>
      <c r="H1793" s="35" t="n">
        <v>0</v>
      </c>
      <c r="I1793" s="34" t="n">
        <f aca="false">+IF(E1793=0,0,E1793*0.03)</f>
        <v>0</v>
      </c>
      <c r="J1793" s="93"/>
      <c r="K1793" s="93"/>
      <c r="L1793" s="93"/>
      <c r="M1793" s="93"/>
      <c r="N1793" s="93"/>
      <c r="O1793" s="93"/>
      <c r="P1793" s="93"/>
      <c r="Q1793" s="93"/>
      <c r="R1793" s="93"/>
      <c r="S1793" s="93"/>
      <c r="T1793" s="93"/>
      <c r="U1793" s="93"/>
      <c r="V1793" s="93"/>
      <c r="W1793" s="93"/>
      <c r="X1793" s="93"/>
      <c r="Y1793" s="93"/>
      <c r="Z1793" s="93"/>
    </row>
    <row r="1794" customFormat="false" ht="16.4" hidden="false" customHeight="false" outlineLevel="0" collapsed="false">
      <c r="A1794" s="123" t="n">
        <v>45444</v>
      </c>
      <c r="B1794" s="31" t="s">
        <v>153</v>
      </c>
      <c r="C1794" s="129"/>
      <c r="D1794" s="129"/>
      <c r="E1794" s="19" t="n">
        <f aca="false">F1794*0.03</f>
        <v>0</v>
      </c>
      <c r="F1794" s="33" t="n">
        <v>0</v>
      </c>
      <c r="G1794" s="131"/>
      <c r="H1794" s="35" t="n">
        <v>0</v>
      </c>
      <c r="I1794" s="34" t="n">
        <f aca="false">+IF(E1794=0,0,E1794*0.03)</f>
        <v>0</v>
      </c>
      <c r="J1794" s="93"/>
      <c r="K1794" s="93"/>
      <c r="L1794" s="93"/>
      <c r="M1794" s="93"/>
      <c r="N1794" s="93"/>
      <c r="O1794" s="93"/>
      <c r="P1794" s="93"/>
      <c r="Q1794" s="93"/>
      <c r="R1794" s="93"/>
      <c r="S1794" s="93"/>
      <c r="T1794" s="93"/>
      <c r="U1794" s="93"/>
      <c r="V1794" s="93"/>
      <c r="W1794" s="93"/>
      <c r="X1794" s="93"/>
      <c r="Y1794" s="93"/>
      <c r="Z1794" s="93"/>
    </row>
    <row r="1795" customFormat="false" ht="16.4" hidden="false" customHeight="false" outlineLevel="0" collapsed="false">
      <c r="A1795" s="123" t="n">
        <v>45444</v>
      </c>
      <c r="B1795" s="31" t="s">
        <v>153</v>
      </c>
      <c r="C1795" s="129"/>
      <c r="D1795" s="129"/>
      <c r="E1795" s="19" t="n">
        <f aca="false">F1795*0.03</f>
        <v>0</v>
      </c>
      <c r="F1795" s="33" t="n">
        <v>0</v>
      </c>
      <c r="G1795" s="131"/>
      <c r="H1795" s="35" t="n">
        <v>0</v>
      </c>
      <c r="I1795" s="34" t="n">
        <f aca="false">+IF(E1795=0,0,E1795*0.03)</f>
        <v>0</v>
      </c>
      <c r="J1795" s="93"/>
      <c r="K1795" s="93"/>
      <c r="L1795" s="93"/>
      <c r="M1795" s="93"/>
      <c r="N1795" s="93"/>
      <c r="O1795" s="93"/>
      <c r="P1795" s="93"/>
      <c r="Q1795" s="93"/>
      <c r="R1795" s="93"/>
      <c r="S1795" s="93"/>
      <c r="T1795" s="93"/>
      <c r="U1795" s="93"/>
      <c r="V1795" s="93"/>
      <c r="W1795" s="93"/>
      <c r="X1795" s="93"/>
      <c r="Y1795" s="93"/>
      <c r="Z1795" s="93"/>
    </row>
    <row r="1796" customFormat="false" ht="16.4" hidden="false" customHeight="false" outlineLevel="0" collapsed="false">
      <c r="A1796" s="123" t="n">
        <v>45444</v>
      </c>
      <c r="B1796" s="31" t="s">
        <v>153</v>
      </c>
      <c r="C1796" s="129"/>
      <c r="D1796" s="129"/>
      <c r="E1796" s="19" t="n">
        <f aca="false">F1796*0.03</f>
        <v>0</v>
      </c>
      <c r="F1796" s="33" t="n">
        <v>0</v>
      </c>
      <c r="G1796" s="131"/>
      <c r="H1796" s="35" t="n">
        <v>0</v>
      </c>
      <c r="I1796" s="34" t="n">
        <f aca="false">+IF(E1796=0,0,E1796*0.03)</f>
        <v>0</v>
      </c>
      <c r="J1796" s="93"/>
      <c r="K1796" s="93"/>
      <c r="L1796" s="93"/>
      <c r="M1796" s="93"/>
      <c r="N1796" s="93"/>
      <c r="O1796" s="93"/>
      <c r="P1796" s="93"/>
      <c r="Q1796" s="93"/>
      <c r="R1796" s="93"/>
      <c r="S1796" s="93"/>
      <c r="T1796" s="93"/>
      <c r="U1796" s="93"/>
      <c r="V1796" s="93"/>
      <c r="W1796" s="93"/>
      <c r="X1796" s="93"/>
      <c r="Y1796" s="93"/>
      <c r="Z1796" s="93"/>
    </row>
    <row r="1797" customFormat="false" ht="16.4" hidden="false" customHeight="false" outlineLevel="0" collapsed="false">
      <c r="A1797" s="123" t="n">
        <v>45444</v>
      </c>
      <c r="B1797" s="31" t="s">
        <v>153</v>
      </c>
      <c r="C1797" s="129"/>
      <c r="D1797" s="129"/>
      <c r="E1797" s="19" t="n">
        <f aca="false">F1797*0.03</f>
        <v>0</v>
      </c>
      <c r="F1797" s="33" t="n">
        <v>0</v>
      </c>
      <c r="G1797" s="131"/>
      <c r="H1797" s="35" t="n">
        <v>0</v>
      </c>
      <c r="I1797" s="34" t="n">
        <f aca="false">+IF(E1797=0,0,E1797*0.03)</f>
        <v>0</v>
      </c>
      <c r="J1797" s="93"/>
      <c r="K1797" s="93"/>
      <c r="L1797" s="93"/>
      <c r="M1797" s="93"/>
      <c r="N1797" s="93"/>
      <c r="O1797" s="93"/>
      <c r="P1797" s="93"/>
      <c r="Q1797" s="93"/>
      <c r="R1797" s="93"/>
      <c r="S1797" s="93"/>
      <c r="T1797" s="93"/>
      <c r="U1797" s="93"/>
      <c r="V1797" s="93"/>
      <c r="W1797" s="93"/>
      <c r="X1797" s="93"/>
      <c r="Y1797" s="93"/>
      <c r="Z1797" s="93"/>
    </row>
    <row r="1798" customFormat="false" ht="16.4" hidden="false" customHeight="false" outlineLevel="0" collapsed="false">
      <c r="A1798" s="123" t="n">
        <v>45444</v>
      </c>
      <c r="B1798" s="31" t="s">
        <v>153</v>
      </c>
      <c r="C1798" s="129"/>
      <c r="D1798" s="129"/>
      <c r="E1798" s="19" t="n">
        <f aca="false">F1798*0.03</f>
        <v>0</v>
      </c>
      <c r="F1798" s="33" t="n">
        <v>0</v>
      </c>
      <c r="G1798" s="131"/>
      <c r="H1798" s="35" t="n">
        <v>0</v>
      </c>
      <c r="I1798" s="34" t="n">
        <f aca="false">+IF(E1798=0,0,E1798*0.03)</f>
        <v>0</v>
      </c>
      <c r="J1798" s="93"/>
      <c r="K1798" s="93"/>
      <c r="L1798" s="93"/>
      <c r="M1798" s="93"/>
      <c r="N1798" s="93"/>
      <c r="O1798" s="93"/>
      <c r="P1798" s="93"/>
      <c r="Q1798" s="93"/>
      <c r="R1798" s="93"/>
      <c r="S1798" s="93"/>
      <c r="T1798" s="93"/>
      <c r="U1798" s="93"/>
      <c r="V1798" s="93"/>
      <c r="W1798" s="93"/>
      <c r="X1798" s="93"/>
      <c r="Y1798" s="93"/>
      <c r="Z1798" s="93"/>
    </row>
    <row r="1799" customFormat="false" ht="16.4" hidden="false" customHeight="false" outlineLevel="0" collapsed="false">
      <c r="A1799" s="123" t="n">
        <v>45444</v>
      </c>
      <c r="B1799" s="31" t="s">
        <v>153</v>
      </c>
      <c r="C1799" s="129"/>
      <c r="D1799" s="129"/>
      <c r="E1799" s="19" t="n">
        <f aca="false">F1799*0.03</f>
        <v>0</v>
      </c>
      <c r="F1799" s="33" t="n">
        <v>0</v>
      </c>
      <c r="G1799" s="131"/>
      <c r="H1799" s="35" t="n">
        <v>0</v>
      </c>
      <c r="I1799" s="34" t="n">
        <f aca="false">+IF(E1799=0,0,E1799*0.03)</f>
        <v>0</v>
      </c>
      <c r="J1799" s="93"/>
      <c r="K1799" s="93"/>
      <c r="L1799" s="93"/>
      <c r="M1799" s="93"/>
      <c r="N1799" s="93"/>
      <c r="O1799" s="93"/>
      <c r="P1799" s="93"/>
      <c r="Q1799" s="93"/>
      <c r="R1799" s="93"/>
      <c r="S1799" s="93"/>
      <c r="T1799" s="93"/>
      <c r="U1799" s="93"/>
      <c r="V1799" s="93"/>
      <c r="W1799" s="93"/>
      <c r="X1799" s="93"/>
      <c r="Y1799" s="93"/>
      <c r="Z1799" s="93"/>
    </row>
    <row r="1800" customFormat="false" ht="16.4" hidden="false" customHeight="false" outlineLevel="0" collapsed="false">
      <c r="A1800" s="123" t="n">
        <v>45444</v>
      </c>
      <c r="B1800" s="31" t="s">
        <v>153</v>
      </c>
      <c r="C1800" s="129"/>
      <c r="D1800" s="129"/>
      <c r="E1800" s="19" t="n">
        <f aca="false">F1800*0.03</f>
        <v>0</v>
      </c>
      <c r="F1800" s="33" t="n">
        <v>0</v>
      </c>
      <c r="G1800" s="131"/>
      <c r="H1800" s="35" t="n">
        <v>0</v>
      </c>
      <c r="I1800" s="34" t="n">
        <f aca="false">+IF(E1800=0,0,E1800*0.03)</f>
        <v>0</v>
      </c>
      <c r="J1800" s="93"/>
      <c r="K1800" s="93"/>
      <c r="L1800" s="93"/>
      <c r="M1800" s="93"/>
      <c r="N1800" s="93"/>
      <c r="O1800" s="93"/>
      <c r="P1800" s="93"/>
      <c r="Q1800" s="93"/>
      <c r="R1800" s="93"/>
      <c r="S1800" s="93"/>
      <c r="T1800" s="93"/>
      <c r="U1800" s="93"/>
      <c r="V1800" s="93"/>
      <c r="W1800" s="93"/>
      <c r="X1800" s="93"/>
      <c r="Y1800" s="93"/>
      <c r="Z1800" s="93"/>
    </row>
    <row r="1801" customFormat="false" ht="16.4" hidden="false" customHeight="false" outlineLevel="0" collapsed="false">
      <c r="A1801" s="123" t="n">
        <v>45444</v>
      </c>
      <c r="B1801" s="31" t="s">
        <v>153</v>
      </c>
      <c r="C1801" s="129"/>
      <c r="D1801" s="129"/>
      <c r="E1801" s="19" t="n">
        <f aca="false">F1801*0.03</f>
        <v>0</v>
      </c>
      <c r="F1801" s="33" t="n">
        <v>0</v>
      </c>
      <c r="G1801" s="131"/>
      <c r="H1801" s="35" t="n">
        <v>0</v>
      </c>
      <c r="I1801" s="34" t="n">
        <f aca="false">+IF(E1801=0,0,E1801*0.03)</f>
        <v>0</v>
      </c>
      <c r="J1801" s="93"/>
      <c r="K1801" s="93"/>
      <c r="L1801" s="93"/>
      <c r="M1801" s="93"/>
      <c r="N1801" s="93"/>
      <c r="O1801" s="93"/>
      <c r="P1801" s="93"/>
      <c r="Q1801" s="93"/>
      <c r="R1801" s="93"/>
      <c r="S1801" s="93"/>
      <c r="T1801" s="93"/>
      <c r="U1801" s="93"/>
      <c r="V1801" s="93"/>
      <c r="W1801" s="93"/>
      <c r="X1801" s="93"/>
      <c r="Y1801" s="93"/>
      <c r="Z1801" s="93"/>
    </row>
    <row r="1802" customFormat="false" ht="16.4" hidden="false" customHeight="false" outlineLevel="0" collapsed="false">
      <c r="A1802" s="123" t="n">
        <v>45444</v>
      </c>
      <c r="B1802" s="31" t="s">
        <v>153</v>
      </c>
      <c r="C1802" s="129"/>
      <c r="D1802" s="129"/>
      <c r="E1802" s="19" t="n">
        <f aca="false">F1802*0.03</f>
        <v>0</v>
      </c>
      <c r="F1802" s="33" t="n">
        <v>0</v>
      </c>
      <c r="G1802" s="131"/>
      <c r="H1802" s="35" t="n">
        <v>0</v>
      </c>
      <c r="I1802" s="34" t="n">
        <f aca="false">+IF(E1802=0,0,E1802*0.03)</f>
        <v>0</v>
      </c>
      <c r="J1802" s="93"/>
      <c r="K1802" s="93"/>
      <c r="L1802" s="93"/>
      <c r="M1802" s="93"/>
      <c r="N1802" s="93"/>
      <c r="O1802" s="93"/>
      <c r="P1802" s="93"/>
      <c r="Q1802" s="93"/>
      <c r="R1802" s="93"/>
      <c r="S1802" s="93"/>
      <c r="T1802" s="93"/>
      <c r="U1802" s="93"/>
      <c r="V1802" s="93"/>
      <c r="W1802" s="93"/>
      <c r="X1802" s="93"/>
      <c r="Y1802" s="93"/>
      <c r="Z1802" s="93"/>
    </row>
    <row r="1803" customFormat="false" ht="16.4" hidden="false" customHeight="false" outlineLevel="0" collapsed="false">
      <c r="A1803" s="123" t="n">
        <v>45444</v>
      </c>
      <c r="B1803" s="31" t="s">
        <v>153</v>
      </c>
      <c r="C1803" s="129"/>
      <c r="D1803" s="129"/>
      <c r="E1803" s="19" t="n">
        <f aca="false">F1803*0.03</f>
        <v>0</v>
      </c>
      <c r="F1803" s="33" t="n">
        <v>0</v>
      </c>
      <c r="G1803" s="131"/>
      <c r="H1803" s="35" t="n">
        <v>0</v>
      </c>
      <c r="I1803" s="34" t="n">
        <f aca="false">+IF(E1803=0,0,E1803*0.03)</f>
        <v>0</v>
      </c>
      <c r="J1803" s="93"/>
      <c r="K1803" s="93"/>
      <c r="L1803" s="93"/>
      <c r="M1803" s="93"/>
      <c r="N1803" s="93"/>
      <c r="O1803" s="93"/>
      <c r="P1803" s="93"/>
      <c r="Q1803" s="93"/>
      <c r="R1803" s="93"/>
      <c r="S1803" s="93"/>
      <c r="T1803" s="93"/>
      <c r="U1803" s="93"/>
      <c r="V1803" s="93"/>
      <c r="W1803" s="93"/>
      <c r="X1803" s="93"/>
      <c r="Y1803" s="93"/>
      <c r="Z1803" s="93"/>
    </row>
    <row r="1804" customFormat="false" ht="16.4" hidden="false" customHeight="false" outlineLevel="0" collapsed="false">
      <c r="A1804" s="123" t="n">
        <v>45444</v>
      </c>
      <c r="B1804" s="31" t="s">
        <v>153</v>
      </c>
      <c r="C1804" s="129"/>
      <c r="D1804" s="129"/>
      <c r="E1804" s="19" t="n">
        <f aca="false">F1804*0.03</f>
        <v>0</v>
      </c>
      <c r="F1804" s="33" t="n">
        <v>0</v>
      </c>
      <c r="G1804" s="131"/>
      <c r="H1804" s="35" t="n">
        <v>0</v>
      </c>
      <c r="I1804" s="34" t="n">
        <f aca="false">+IF(E1804=0,0,E1804*0.03)</f>
        <v>0</v>
      </c>
      <c r="J1804" s="93"/>
      <c r="K1804" s="93"/>
      <c r="L1804" s="93"/>
      <c r="M1804" s="93"/>
      <c r="N1804" s="93"/>
      <c r="O1804" s="93"/>
      <c r="P1804" s="93"/>
      <c r="Q1804" s="93"/>
      <c r="R1804" s="93"/>
      <c r="S1804" s="93"/>
      <c r="T1804" s="93"/>
      <c r="U1804" s="93"/>
      <c r="V1804" s="93"/>
      <c r="W1804" s="93"/>
      <c r="X1804" s="93"/>
      <c r="Y1804" s="93"/>
      <c r="Z1804" s="93"/>
    </row>
    <row r="1805" customFormat="false" ht="16.4" hidden="false" customHeight="false" outlineLevel="0" collapsed="false">
      <c r="A1805" s="123" t="n">
        <v>45444</v>
      </c>
      <c r="B1805" s="31" t="s">
        <v>153</v>
      </c>
      <c r="C1805" s="129"/>
      <c r="D1805" s="129"/>
      <c r="E1805" s="19" t="n">
        <f aca="false">F1805*0.03</f>
        <v>0</v>
      </c>
      <c r="F1805" s="33" t="n">
        <v>0</v>
      </c>
      <c r="G1805" s="131"/>
      <c r="H1805" s="35" t="n">
        <v>0</v>
      </c>
      <c r="I1805" s="34" t="n">
        <f aca="false">+IF(E1805=0,0,E1805*0.03)</f>
        <v>0</v>
      </c>
      <c r="J1805" s="93"/>
      <c r="K1805" s="93"/>
      <c r="L1805" s="93"/>
      <c r="M1805" s="93"/>
      <c r="N1805" s="93"/>
      <c r="O1805" s="93"/>
      <c r="P1805" s="93"/>
      <c r="Q1805" s="93"/>
      <c r="R1805" s="93"/>
      <c r="S1805" s="93"/>
      <c r="T1805" s="93"/>
      <c r="U1805" s="93"/>
      <c r="V1805" s="93"/>
      <c r="W1805" s="93"/>
      <c r="X1805" s="93"/>
      <c r="Y1805" s="93"/>
      <c r="Z1805" s="93"/>
    </row>
    <row r="1806" customFormat="false" ht="16.4" hidden="false" customHeight="false" outlineLevel="0" collapsed="false">
      <c r="A1806" s="123" t="n">
        <v>45444</v>
      </c>
      <c r="B1806" s="31" t="s">
        <v>153</v>
      </c>
      <c r="C1806" s="129"/>
      <c r="D1806" s="129"/>
      <c r="E1806" s="19" t="n">
        <f aca="false">F1806*0.03</f>
        <v>0</v>
      </c>
      <c r="F1806" s="33" t="n">
        <v>0</v>
      </c>
      <c r="G1806" s="131"/>
      <c r="H1806" s="35" t="n">
        <v>0</v>
      </c>
      <c r="I1806" s="34" t="n">
        <f aca="false">+IF(E1806=0,0,E1806*0.03)</f>
        <v>0</v>
      </c>
      <c r="J1806" s="93"/>
      <c r="K1806" s="93"/>
      <c r="L1806" s="93"/>
      <c r="M1806" s="93"/>
      <c r="N1806" s="93"/>
      <c r="O1806" s="93"/>
      <c r="P1806" s="93"/>
      <c r="Q1806" s="93"/>
      <c r="R1806" s="93"/>
      <c r="S1806" s="93"/>
      <c r="T1806" s="93"/>
      <c r="U1806" s="93"/>
      <c r="V1806" s="93"/>
      <c r="W1806" s="93"/>
      <c r="X1806" s="93"/>
      <c r="Y1806" s="93"/>
      <c r="Z1806" s="93"/>
    </row>
    <row r="1807" customFormat="false" ht="16.4" hidden="false" customHeight="false" outlineLevel="0" collapsed="false">
      <c r="A1807" s="123" t="n">
        <v>45444</v>
      </c>
      <c r="B1807" s="31" t="s">
        <v>153</v>
      </c>
      <c r="C1807" s="129"/>
      <c r="D1807" s="129"/>
      <c r="E1807" s="19" t="n">
        <f aca="false">F1807*0.03</f>
        <v>0</v>
      </c>
      <c r="F1807" s="33" t="n">
        <v>0</v>
      </c>
      <c r="G1807" s="131"/>
      <c r="H1807" s="35" t="n">
        <v>0</v>
      </c>
      <c r="I1807" s="34" t="n">
        <f aca="false">+IF(E1807=0,0,E1807*0.03)</f>
        <v>0</v>
      </c>
      <c r="J1807" s="93"/>
      <c r="K1807" s="93"/>
      <c r="L1807" s="93"/>
      <c r="M1807" s="93"/>
      <c r="N1807" s="93"/>
      <c r="O1807" s="93"/>
      <c r="P1807" s="93"/>
      <c r="Q1807" s="93"/>
      <c r="R1807" s="93"/>
      <c r="S1807" s="93"/>
      <c r="T1807" s="93"/>
      <c r="U1807" s="93"/>
      <c r="V1807" s="93"/>
      <c r="W1807" s="93"/>
      <c r="X1807" s="93"/>
      <c r="Y1807" s="93"/>
      <c r="Z1807" s="93"/>
    </row>
    <row r="1808" customFormat="false" ht="16.4" hidden="false" customHeight="false" outlineLevel="0" collapsed="false">
      <c r="A1808" s="123" t="n">
        <v>45444</v>
      </c>
      <c r="B1808" s="31" t="s">
        <v>153</v>
      </c>
      <c r="C1808" s="129"/>
      <c r="D1808" s="129"/>
      <c r="E1808" s="19" t="n">
        <f aca="false">F1808*0.03</f>
        <v>0</v>
      </c>
      <c r="F1808" s="33" t="n">
        <v>0</v>
      </c>
      <c r="G1808" s="131"/>
      <c r="H1808" s="35" t="n">
        <v>0</v>
      </c>
      <c r="I1808" s="34" t="n">
        <f aca="false">+IF(E1808=0,0,E1808*0.03)</f>
        <v>0</v>
      </c>
      <c r="J1808" s="93"/>
      <c r="K1808" s="93"/>
      <c r="L1808" s="93"/>
      <c r="M1808" s="93"/>
      <c r="N1808" s="93"/>
      <c r="O1808" s="93"/>
      <c r="P1808" s="93"/>
      <c r="Q1808" s="93"/>
      <c r="R1808" s="93"/>
      <c r="S1808" s="93"/>
      <c r="T1808" s="93"/>
      <c r="U1808" s="93"/>
      <c r="V1808" s="93"/>
      <c r="W1808" s="93"/>
      <c r="X1808" s="93"/>
      <c r="Y1808" s="93"/>
      <c r="Z1808" s="93"/>
    </row>
    <row r="1809" customFormat="false" ht="16.4" hidden="false" customHeight="false" outlineLevel="0" collapsed="false">
      <c r="A1809" s="123" t="n">
        <v>45444</v>
      </c>
      <c r="B1809" s="31" t="s">
        <v>153</v>
      </c>
      <c r="C1809" s="129"/>
      <c r="D1809" s="129"/>
      <c r="E1809" s="19" t="n">
        <f aca="false">F1809*0.03</f>
        <v>0</v>
      </c>
      <c r="F1809" s="33" t="n">
        <v>0</v>
      </c>
      <c r="G1809" s="131"/>
      <c r="H1809" s="35" t="n">
        <v>0</v>
      </c>
      <c r="I1809" s="34" t="n">
        <f aca="false">+IF(E1809=0,0,E1809*0.03)</f>
        <v>0</v>
      </c>
      <c r="J1809" s="93"/>
      <c r="K1809" s="93"/>
      <c r="L1809" s="93"/>
      <c r="M1809" s="93"/>
      <c r="N1809" s="93"/>
      <c r="O1809" s="93"/>
      <c r="P1809" s="93"/>
      <c r="Q1809" s="93"/>
      <c r="R1809" s="93"/>
      <c r="S1809" s="93"/>
      <c r="T1809" s="93"/>
      <c r="U1809" s="93"/>
      <c r="V1809" s="93"/>
      <c r="W1809" s="93"/>
      <c r="X1809" s="93"/>
      <c r="Y1809" s="93"/>
      <c r="Z1809" s="93"/>
    </row>
    <row r="1810" customFormat="false" ht="16.4" hidden="false" customHeight="false" outlineLevel="0" collapsed="false">
      <c r="A1810" s="123" t="n">
        <v>45444</v>
      </c>
      <c r="B1810" s="31" t="s">
        <v>153</v>
      </c>
      <c r="C1810" s="129"/>
      <c r="D1810" s="129"/>
      <c r="E1810" s="19" t="n">
        <f aca="false">F1810*0.03</f>
        <v>0</v>
      </c>
      <c r="F1810" s="33" t="n">
        <v>0</v>
      </c>
      <c r="G1810" s="131"/>
      <c r="H1810" s="35" t="n">
        <v>0</v>
      </c>
      <c r="I1810" s="34" t="n">
        <f aca="false">+IF(E1810=0,0,E1810*0.03)</f>
        <v>0</v>
      </c>
      <c r="J1810" s="93"/>
      <c r="K1810" s="93"/>
      <c r="L1810" s="93"/>
      <c r="M1810" s="93"/>
      <c r="N1810" s="93"/>
      <c r="O1810" s="93"/>
      <c r="P1810" s="93"/>
      <c r="Q1810" s="93"/>
      <c r="R1810" s="93"/>
      <c r="S1810" s="93"/>
      <c r="T1810" s="93"/>
      <c r="U1810" s="93"/>
      <c r="V1810" s="93"/>
      <c r="W1810" s="93"/>
      <c r="X1810" s="93"/>
      <c r="Y1810" s="93"/>
      <c r="Z1810" s="93"/>
    </row>
    <row r="1811" customFormat="false" ht="16.4" hidden="false" customHeight="false" outlineLevel="0" collapsed="false">
      <c r="A1811" s="123" t="n">
        <v>45444</v>
      </c>
      <c r="B1811" s="31" t="s">
        <v>153</v>
      </c>
      <c r="C1811" s="129"/>
      <c r="D1811" s="129"/>
      <c r="E1811" s="19" t="n">
        <f aca="false">F1811*0.03</f>
        <v>0</v>
      </c>
      <c r="F1811" s="33" t="n">
        <v>0</v>
      </c>
      <c r="G1811" s="131"/>
      <c r="H1811" s="35" t="n">
        <v>0</v>
      </c>
      <c r="I1811" s="34" t="n">
        <f aca="false">+IF(E1811=0,0,E1811*0.03)</f>
        <v>0</v>
      </c>
      <c r="J1811" s="93"/>
      <c r="K1811" s="93"/>
      <c r="L1811" s="93"/>
      <c r="M1811" s="93"/>
      <c r="N1811" s="93"/>
      <c r="O1811" s="93"/>
      <c r="P1811" s="93"/>
      <c r="Q1811" s="93"/>
      <c r="R1811" s="93"/>
      <c r="S1811" s="93"/>
      <c r="T1811" s="93"/>
      <c r="U1811" s="93"/>
      <c r="V1811" s="93"/>
      <c r="W1811" s="93"/>
      <c r="X1811" s="93"/>
      <c r="Y1811" s="93"/>
      <c r="Z1811" s="93"/>
    </row>
    <row r="1812" customFormat="false" ht="16.4" hidden="false" customHeight="false" outlineLevel="0" collapsed="false">
      <c r="A1812" s="123" t="n">
        <v>45444</v>
      </c>
      <c r="B1812" s="31" t="s">
        <v>153</v>
      </c>
      <c r="C1812" s="129"/>
      <c r="D1812" s="129"/>
      <c r="E1812" s="19" t="n">
        <f aca="false">F1812*0.03</f>
        <v>0</v>
      </c>
      <c r="F1812" s="33" t="n">
        <v>0</v>
      </c>
      <c r="G1812" s="131"/>
      <c r="H1812" s="35" t="n">
        <v>0</v>
      </c>
      <c r="I1812" s="34" t="n">
        <f aca="false">+IF(E1812=0,0,E1812*0.03)</f>
        <v>0</v>
      </c>
      <c r="J1812" s="93"/>
      <c r="K1812" s="93"/>
      <c r="L1812" s="93"/>
      <c r="M1812" s="93"/>
      <c r="N1812" s="93"/>
      <c r="O1812" s="93"/>
      <c r="P1812" s="93"/>
      <c r="Q1812" s="93"/>
      <c r="R1812" s="93"/>
      <c r="S1812" s="93"/>
      <c r="T1812" s="93"/>
      <c r="U1812" s="93"/>
      <c r="V1812" s="93"/>
      <c r="W1812" s="93"/>
      <c r="X1812" s="93"/>
      <c r="Y1812" s="93"/>
      <c r="Z1812" s="93"/>
    </row>
    <row r="1813" customFormat="false" ht="16.4" hidden="false" customHeight="false" outlineLevel="0" collapsed="false">
      <c r="A1813" s="123" t="n">
        <v>45444</v>
      </c>
      <c r="B1813" s="31" t="s">
        <v>153</v>
      </c>
      <c r="C1813" s="129"/>
      <c r="D1813" s="129"/>
      <c r="E1813" s="19" t="n">
        <f aca="false">F1813*0.03</f>
        <v>0</v>
      </c>
      <c r="F1813" s="33" t="n">
        <v>0</v>
      </c>
      <c r="G1813" s="131"/>
      <c r="H1813" s="35" t="n">
        <v>0</v>
      </c>
      <c r="I1813" s="34" t="n">
        <f aca="false">+IF(E1813=0,0,E1813*0.03)</f>
        <v>0</v>
      </c>
      <c r="J1813" s="93"/>
      <c r="K1813" s="93"/>
      <c r="L1813" s="93"/>
      <c r="M1813" s="93"/>
      <c r="N1813" s="93"/>
      <c r="O1813" s="93"/>
      <c r="P1813" s="93"/>
      <c r="Q1813" s="93"/>
      <c r="R1813" s="93"/>
      <c r="S1813" s="93"/>
      <c r="T1813" s="93"/>
      <c r="U1813" s="93"/>
      <c r="V1813" s="93"/>
      <c r="W1813" s="93"/>
      <c r="X1813" s="93"/>
      <c r="Y1813" s="93"/>
      <c r="Z1813" s="93"/>
    </row>
    <row r="1814" customFormat="false" ht="16.4" hidden="false" customHeight="false" outlineLevel="0" collapsed="false">
      <c r="A1814" s="123" t="n">
        <v>45444</v>
      </c>
      <c r="B1814" s="31" t="s">
        <v>153</v>
      </c>
      <c r="C1814" s="129"/>
      <c r="D1814" s="129"/>
      <c r="E1814" s="19" t="n">
        <f aca="false">F1814*0.03</f>
        <v>0</v>
      </c>
      <c r="F1814" s="33" t="n">
        <v>0</v>
      </c>
      <c r="G1814" s="131"/>
      <c r="H1814" s="35" t="n">
        <v>0</v>
      </c>
      <c r="I1814" s="34" t="n">
        <f aca="false">+IF(E1814=0,0,E1814*0.03)</f>
        <v>0</v>
      </c>
      <c r="J1814" s="93"/>
      <c r="K1814" s="93"/>
      <c r="L1814" s="93"/>
      <c r="M1814" s="93"/>
      <c r="N1814" s="93"/>
      <c r="O1814" s="93"/>
      <c r="P1814" s="93"/>
      <c r="Q1814" s="93"/>
      <c r="R1814" s="93"/>
      <c r="S1814" s="93"/>
      <c r="T1814" s="93"/>
      <c r="U1814" s="93"/>
      <c r="V1814" s="93"/>
      <c r="W1814" s="93"/>
      <c r="X1814" s="93"/>
      <c r="Y1814" s="93"/>
      <c r="Z1814" s="93"/>
    </row>
    <row r="1815" customFormat="false" ht="16.4" hidden="false" customHeight="false" outlineLevel="0" collapsed="false">
      <c r="A1815" s="123" t="n">
        <v>45444</v>
      </c>
      <c r="B1815" s="31" t="s">
        <v>153</v>
      </c>
      <c r="C1815" s="129"/>
      <c r="D1815" s="129"/>
      <c r="E1815" s="19" t="n">
        <f aca="false">F1815*0.03</f>
        <v>0</v>
      </c>
      <c r="F1815" s="33" t="n">
        <v>0</v>
      </c>
      <c r="G1815" s="131"/>
      <c r="H1815" s="35" t="n">
        <v>0</v>
      </c>
      <c r="I1815" s="34" t="n">
        <f aca="false">+IF(E1815=0,0,E1815*0.03)</f>
        <v>0</v>
      </c>
      <c r="J1815" s="93"/>
      <c r="K1815" s="93"/>
      <c r="L1815" s="93"/>
      <c r="M1815" s="93"/>
      <c r="N1815" s="93"/>
      <c r="O1815" s="93"/>
      <c r="P1815" s="93"/>
      <c r="Q1815" s="93"/>
      <c r="R1815" s="93"/>
      <c r="S1815" s="93"/>
      <c r="T1815" s="93"/>
      <c r="U1815" s="93"/>
      <c r="V1815" s="93"/>
      <c r="W1815" s="93"/>
      <c r="X1815" s="93"/>
      <c r="Y1815" s="93"/>
      <c r="Z1815" s="93"/>
    </row>
    <row r="1816" customFormat="false" ht="16.4" hidden="false" customHeight="false" outlineLevel="0" collapsed="false">
      <c r="A1816" s="123" t="n">
        <v>45444</v>
      </c>
      <c r="B1816" s="31" t="s">
        <v>153</v>
      </c>
      <c r="C1816" s="129"/>
      <c r="D1816" s="129"/>
      <c r="E1816" s="19" t="n">
        <f aca="false">F1816*0.03</f>
        <v>0</v>
      </c>
      <c r="F1816" s="33" t="n">
        <v>0</v>
      </c>
      <c r="G1816" s="131"/>
      <c r="H1816" s="35" t="n">
        <v>0</v>
      </c>
      <c r="I1816" s="34" t="n">
        <f aca="false">+IF(E1816=0,0,E1816*0.03)</f>
        <v>0</v>
      </c>
      <c r="J1816" s="93"/>
      <c r="K1816" s="93"/>
      <c r="L1816" s="93"/>
      <c r="M1816" s="93"/>
      <c r="N1816" s="93"/>
      <c r="O1816" s="93"/>
      <c r="P1816" s="93"/>
      <c r="Q1816" s="93"/>
      <c r="R1816" s="93"/>
      <c r="S1816" s="93"/>
      <c r="T1816" s="93"/>
      <c r="U1816" s="93"/>
      <c r="V1816" s="93"/>
      <c r="W1816" s="93"/>
      <c r="X1816" s="93"/>
      <c r="Y1816" s="93"/>
      <c r="Z1816" s="93"/>
    </row>
    <row r="1817" customFormat="false" ht="16.4" hidden="false" customHeight="false" outlineLevel="0" collapsed="false">
      <c r="A1817" s="123" t="n">
        <v>45444</v>
      </c>
      <c r="B1817" s="31" t="s">
        <v>153</v>
      </c>
      <c r="C1817" s="129"/>
      <c r="D1817" s="129"/>
      <c r="E1817" s="19" t="n">
        <f aca="false">F1817*0.03</f>
        <v>0</v>
      </c>
      <c r="F1817" s="33" t="n">
        <v>0</v>
      </c>
      <c r="G1817" s="131"/>
      <c r="H1817" s="35" t="n">
        <v>0</v>
      </c>
      <c r="I1817" s="34" t="n">
        <f aca="false">+IF(E1817=0,0,E1817*0.03)</f>
        <v>0</v>
      </c>
      <c r="J1817" s="93"/>
      <c r="K1817" s="93"/>
      <c r="L1817" s="93"/>
      <c r="M1817" s="93"/>
      <c r="N1817" s="93"/>
      <c r="O1817" s="93"/>
      <c r="P1817" s="93"/>
      <c r="Q1817" s="93"/>
      <c r="R1817" s="93"/>
      <c r="S1817" s="93"/>
      <c r="T1817" s="93"/>
      <c r="U1817" s="93"/>
      <c r="V1817" s="93"/>
      <c r="W1817" s="93"/>
      <c r="X1817" s="93"/>
      <c r="Y1817" s="93"/>
      <c r="Z1817" s="93"/>
    </row>
    <row r="1818" customFormat="false" ht="16.4" hidden="false" customHeight="false" outlineLevel="0" collapsed="false">
      <c r="A1818" s="123" t="n">
        <v>45444</v>
      </c>
      <c r="B1818" s="31" t="s">
        <v>153</v>
      </c>
      <c r="C1818" s="129"/>
      <c r="D1818" s="129"/>
      <c r="E1818" s="19" t="n">
        <f aca="false">F1818*0.03</f>
        <v>0</v>
      </c>
      <c r="F1818" s="33" t="n">
        <v>0</v>
      </c>
      <c r="G1818" s="131"/>
      <c r="H1818" s="35" t="n">
        <v>0</v>
      </c>
      <c r="I1818" s="34" t="n">
        <f aca="false">+IF(E1818=0,0,E1818*0.03)</f>
        <v>0</v>
      </c>
      <c r="J1818" s="93"/>
      <c r="K1818" s="93"/>
      <c r="L1818" s="93"/>
      <c r="M1818" s="93"/>
      <c r="N1818" s="93"/>
      <c r="O1818" s="93"/>
      <c r="P1818" s="93"/>
      <c r="Q1818" s="93"/>
      <c r="R1818" s="93"/>
      <c r="S1818" s="93"/>
      <c r="T1818" s="93"/>
      <c r="U1818" s="93"/>
      <c r="V1818" s="93"/>
      <c r="W1818" s="93"/>
      <c r="X1818" s="93"/>
      <c r="Y1818" s="93"/>
      <c r="Z1818" s="93"/>
    </row>
    <row r="1819" customFormat="false" ht="16.4" hidden="false" customHeight="false" outlineLevel="0" collapsed="false">
      <c r="A1819" s="123" t="n">
        <v>45444</v>
      </c>
      <c r="B1819" s="31" t="s">
        <v>153</v>
      </c>
      <c r="C1819" s="129"/>
      <c r="D1819" s="129"/>
      <c r="E1819" s="19" t="n">
        <f aca="false">F1819*0.03</f>
        <v>0</v>
      </c>
      <c r="F1819" s="33" t="n">
        <v>0</v>
      </c>
      <c r="G1819" s="131"/>
      <c r="H1819" s="35" t="n">
        <v>0</v>
      </c>
      <c r="I1819" s="34" t="n">
        <f aca="false">+IF(E1819=0,0,E1819*0.03)</f>
        <v>0</v>
      </c>
      <c r="J1819" s="93"/>
      <c r="K1819" s="93"/>
      <c r="L1819" s="93"/>
      <c r="M1819" s="93"/>
      <c r="N1819" s="93"/>
      <c r="O1819" s="93"/>
      <c r="P1819" s="93"/>
      <c r="Q1819" s="93"/>
      <c r="R1819" s="93"/>
      <c r="S1819" s="93"/>
      <c r="T1819" s="93"/>
      <c r="U1819" s="93"/>
      <c r="V1819" s="93"/>
      <c r="W1819" s="93"/>
      <c r="X1819" s="93"/>
      <c r="Y1819" s="93"/>
      <c r="Z1819" s="93"/>
    </row>
    <row r="1820" customFormat="false" ht="16.4" hidden="false" customHeight="false" outlineLevel="0" collapsed="false">
      <c r="A1820" s="123" t="n">
        <v>45444</v>
      </c>
      <c r="B1820" s="31" t="s">
        <v>153</v>
      </c>
      <c r="C1820" s="129"/>
      <c r="D1820" s="129"/>
      <c r="E1820" s="19" t="n">
        <f aca="false">F1820*0.03</f>
        <v>0</v>
      </c>
      <c r="F1820" s="33" t="n">
        <v>0</v>
      </c>
      <c r="G1820" s="131"/>
      <c r="H1820" s="35" t="n">
        <v>0</v>
      </c>
      <c r="I1820" s="34" t="n">
        <f aca="false">+IF(E1820=0,0,E1820*0.03)</f>
        <v>0</v>
      </c>
      <c r="J1820" s="93"/>
      <c r="K1820" s="93"/>
      <c r="L1820" s="93"/>
      <c r="M1820" s="93"/>
      <c r="N1820" s="93"/>
      <c r="O1820" s="93"/>
      <c r="P1820" s="93"/>
      <c r="Q1820" s="93"/>
      <c r="R1820" s="93"/>
      <c r="S1820" s="93"/>
      <c r="T1820" s="93"/>
      <c r="U1820" s="93"/>
      <c r="V1820" s="93"/>
      <c r="W1820" s="93"/>
      <c r="X1820" s="93"/>
      <c r="Y1820" s="93"/>
      <c r="Z1820" s="93"/>
    </row>
    <row r="1821" customFormat="false" ht="16.4" hidden="false" customHeight="false" outlineLevel="0" collapsed="false">
      <c r="A1821" s="123" t="n">
        <v>45444</v>
      </c>
      <c r="B1821" s="31" t="s">
        <v>153</v>
      </c>
      <c r="C1821" s="129"/>
      <c r="D1821" s="129"/>
      <c r="E1821" s="19" t="n">
        <f aca="false">F1821*0.03</f>
        <v>0</v>
      </c>
      <c r="F1821" s="33" t="n">
        <v>0</v>
      </c>
      <c r="G1821" s="131"/>
      <c r="H1821" s="35" t="n">
        <v>0</v>
      </c>
      <c r="I1821" s="34" t="n">
        <f aca="false">+IF(E1821=0,0,E1821*0.03)</f>
        <v>0</v>
      </c>
      <c r="J1821" s="93"/>
      <c r="K1821" s="93"/>
      <c r="L1821" s="93"/>
      <c r="M1821" s="93"/>
      <c r="N1821" s="93"/>
      <c r="O1821" s="93"/>
      <c r="P1821" s="93"/>
      <c r="Q1821" s="93"/>
      <c r="R1821" s="93"/>
      <c r="S1821" s="93"/>
      <c r="T1821" s="93"/>
      <c r="U1821" s="93"/>
      <c r="V1821" s="93"/>
      <c r="W1821" s="93"/>
      <c r="X1821" s="93"/>
      <c r="Y1821" s="93"/>
      <c r="Z1821" s="93"/>
    </row>
    <row r="1822" customFormat="false" ht="16.4" hidden="false" customHeight="false" outlineLevel="0" collapsed="false">
      <c r="A1822" s="123" t="n">
        <v>45444</v>
      </c>
      <c r="B1822" s="31" t="s">
        <v>153</v>
      </c>
      <c r="C1822" s="129"/>
      <c r="D1822" s="129"/>
      <c r="E1822" s="19" t="n">
        <f aca="false">F1822*0.03</f>
        <v>0</v>
      </c>
      <c r="F1822" s="33" t="n">
        <v>0</v>
      </c>
      <c r="G1822" s="131"/>
      <c r="H1822" s="35" t="n">
        <v>0</v>
      </c>
      <c r="I1822" s="34" t="n">
        <f aca="false">+IF(E1822=0,0,E1822*0.03)</f>
        <v>0</v>
      </c>
      <c r="J1822" s="93"/>
      <c r="K1822" s="93"/>
      <c r="L1822" s="93"/>
      <c r="M1822" s="93"/>
      <c r="N1822" s="93"/>
      <c r="O1822" s="93"/>
      <c r="P1822" s="93"/>
      <c r="Q1822" s="93"/>
      <c r="R1822" s="93"/>
      <c r="S1822" s="93"/>
      <c r="T1822" s="93"/>
      <c r="U1822" s="93"/>
      <c r="V1822" s="93"/>
      <c r="W1822" s="93"/>
      <c r="X1822" s="93"/>
      <c r="Y1822" s="93"/>
      <c r="Z1822" s="93"/>
    </row>
    <row r="1823" customFormat="false" ht="16.4" hidden="false" customHeight="false" outlineLevel="0" collapsed="false">
      <c r="A1823" s="123" t="n">
        <v>45444</v>
      </c>
      <c r="B1823" s="31" t="s">
        <v>153</v>
      </c>
      <c r="C1823" s="129"/>
      <c r="D1823" s="129"/>
      <c r="E1823" s="19" t="n">
        <f aca="false">F1823*0.03</f>
        <v>0</v>
      </c>
      <c r="F1823" s="33" t="n">
        <v>0</v>
      </c>
      <c r="G1823" s="131"/>
      <c r="H1823" s="35" t="n">
        <v>0</v>
      </c>
      <c r="I1823" s="34" t="n">
        <f aca="false">+IF(E1823=0,0,E1823*0.03)</f>
        <v>0</v>
      </c>
      <c r="J1823" s="93"/>
      <c r="K1823" s="93"/>
      <c r="L1823" s="93"/>
      <c r="M1823" s="93"/>
      <c r="N1823" s="93"/>
      <c r="O1823" s="93"/>
      <c r="P1823" s="93"/>
      <c r="Q1823" s="93"/>
      <c r="R1823" s="93"/>
      <c r="S1823" s="93"/>
      <c r="T1823" s="93"/>
      <c r="U1823" s="93"/>
      <c r="V1823" s="93"/>
      <c r="W1823" s="93"/>
      <c r="X1823" s="93"/>
      <c r="Y1823" s="93"/>
      <c r="Z1823" s="93"/>
    </row>
    <row r="1824" customFormat="false" ht="16.4" hidden="false" customHeight="false" outlineLevel="0" collapsed="false">
      <c r="A1824" s="123" t="n">
        <v>45444</v>
      </c>
      <c r="B1824" s="31" t="s">
        <v>153</v>
      </c>
      <c r="C1824" s="129"/>
      <c r="D1824" s="129"/>
      <c r="E1824" s="19" t="n">
        <f aca="false">F1824*0.03</f>
        <v>0</v>
      </c>
      <c r="F1824" s="33" t="n">
        <v>0</v>
      </c>
      <c r="G1824" s="131"/>
      <c r="H1824" s="35" t="n">
        <v>0</v>
      </c>
      <c r="I1824" s="34" t="n">
        <f aca="false">+IF(E1824=0,0,E1824*0.03)</f>
        <v>0</v>
      </c>
      <c r="J1824" s="93"/>
      <c r="K1824" s="93"/>
      <c r="L1824" s="93"/>
      <c r="M1824" s="93"/>
      <c r="N1824" s="93"/>
      <c r="O1824" s="93"/>
      <c r="P1824" s="93"/>
      <c r="Q1824" s="93"/>
      <c r="R1824" s="93"/>
      <c r="S1824" s="93"/>
      <c r="T1824" s="93"/>
      <c r="U1824" s="93"/>
      <c r="V1824" s="93"/>
      <c r="W1824" s="93"/>
      <c r="X1824" s="93"/>
      <c r="Y1824" s="93"/>
      <c r="Z1824" s="93"/>
    </row>
    <row r="1825" customFormat="false" ht="16.4" hidden="false" customHeight="false" outlineLevel="0" collapsed="false">
      <c r="A1825" s="123" t="n">
        <v>45444</v>
      </c>
      <c r="B1825" s="31" t="s">
        <v>153</v>
      </c>
      <c r="C1825" s="129"/>
      <c r="D1825" s="129"/>
      <c r="E1825" s="19" t="n">
        <f aca="false">F1825*0.03</f>
        <v>0</v>
      </c>
      <c r="F1825" s="33" t="n">
        <v>0</v>
      </c>
      <c r="G1825" s="131"/>
      <c r="H1825" s="35" t="n">
        <v>0</v>
      </c>
      <c r="I1825" s="34" t="n">
        <f aca="false">+IF(E1825=0,0,E1825*0.03)</f>
        <v>0</v>
      </c>
      <c r="J1825" s="93"/>
      <c r="K1825" s="93"/>
      <c r="L1825" s="93"/>
      <c r="M1825" s="93"/>
      <c r="N1825" s="93"/>
      <c r="O1825" s="93"/>
      <c r="P1825" s="93"/>
      <c r="Q1825" s="93"/>
      <c r="R1825" s="93"/>
      <c r="S1825" s="93"/>
      <c r="T1825" s="93"/>
      <c r="U1825" s="93"/>
      <c r="V1825" s="93"/>
      <c r="W1825" s="93"/>
      <c r="X1825" s="93"/>
      <c r="Y1825" s="93"/>
      <c r="Z1825" s="93"/>
    </row>
    <row r="1826" customFormat="false" ht="16.4" hidden="false" customHeight="false" outlineLevel="0" collapsed="false">
      <c r="A1826" s="123" t="n">
        <v>45444</v>
      </c>
      <c r="B1826" s="31" t="s">
        <v>153</v>
      </c>
      <c r="C1826" s="129"/>
      <c r="D1826" s="129"/>
      <c r="E1826" s="19" t="n">
        <f aca="false">F1826*0.03</f>
        <v>0</v>
      </c>
      <c r="F1826" s="33" t="n">
        <v>0</v>
      </c>
      <c r="G1826" s="131"/>
      <c r="H1826" s="35" t="n">
        <v>0</v>
      </c>
      <c r="I1826" s="34" t="n">
        <f aca="false">+IF(E1826=0,0,E1826*0.03)</f>
        <v>0</v>
      </c>
      <c r="J1826" s="93"/>
      <c r="K1826" s="93"/>
      <c r="L1826" s="93"/>
      <c r="M1826" s="93"/>
      <c r="N1826" s="93"/>
      <c r="O1826" s="93"/>
      <c r="P1826" s="93"/>
      <c r="Q1826" s="93"/>
      <c r="R1826" s="93"/>
      <c r="S1826" s="93"/>
      <c r="T1826" s="93"/>
      <c r="U1826" s="93"/>
      <c r="V1826" s="93"/>
      <c r="W1826" s="93"/>
      <c r="X1826" s="93"/>
      <c r="Y1826" s="93"/>
      <c r="Z1826" s="93"/>
    </row>
    <row r="1827" customFormat="false" ht="16.4" hidden="false" customHeight="false" outlineLevel="0" collapsed="false">
      <c r="A1827" s="123" t="n">
        <v>45444</v>
      </c>
      <c r="B1827" s="31" t="s">
        <v>153</v>
      </c>
      <c r="C1827" s="129"/>
      <c r="D1827" s="129"/>
      <c r="E1827" s="19" t="n">
        <f aca="false">F1827*0.03</f>
        <v>0</v>
      </c>
      <c r="F1827" s="33" t="n">
        <v>0</v>
      </c>
      <c r="G1827" s="131"/>
      <c r="H1827" s="35" t="n">
        <v>0</v>
      </c>
      <c r="I1827" s="34" t="n">
        <f aca="false">+IF(E1827=0,0,E1827*0.03)</f>
        <v>0</v>
      </c>
      <c r="J1827" s="93"/>
      <c r="K1827" s="93"/>
      <c r="L1827" s="93"/>
      <c r="M1827" s="93"/>
      <c r="N1827" s="93"/>
      <c r="O1827" s="93"/>
      <c r="P1827" s="93"/>
      <c r="Q1827" s="93"/>
      <c r="R1827" s="93"/>
      <c r="S1827" s="93"/>
      <c r="T1827" s="93"/>
      <c r="U1827" s="93"/>
      <c r="V1827" s="93"/>
      <c r="W1827" s="93"/>
      <c r="X1827" s="93"/>
      <c r="Y1827" s="93"/>
      <c r="Z1827" s="93"/>
    </row>
    <row r="1828" customFormat="false" ht="16.4" hidden="false" customHeight="false" outlineLevel="0" collapsed="false">
      <c r="A1828" s="123" t="n">
        <v>45444</v>
      </c>
      <c r="B1828" s="31" t="s">
        <v>153</v>
      </c>
      <c r="C1828" s="129"/>
      <c r="D1828" s="129"/>
      <c r="E1828" s="19" t="n">
        <f aca="false">F1828*0.03</f>
        <v>0</v>
      </c>
      <c r="F1828" s="33" t="n">
        <v>0</v>
      </c>
      <c r="G1828" s="131"/>
      <c r="H1828" s="35" t="n">
        <v>0</v>
      </c>
      <c r="I1828" s="34" t="n">
        <f aca="false">+IF(E1828=0,0,E1828*0.03)</f>
        <v>0</v>
      </c>
      <c r="J1828" s="93"/>
      <c r="K1828" s="93"/>
      <c r="L1828" s="93"/>
      <c r="M1828" s="93"/>
      <c r="N1828" s="93"/>
      <c r="O1828" s="93"/>
      <c r="P1828" s="93"/>
      <c r="Q1828" s="93"/>
      <c r="R1828" s="93"/>
      <c r="S1828" s="93"/>
      <c r="T1828" s="93"/>
      <c r="U1828" s="93"/>
      <c r="V1828" s="93"/>
      <c r="W1828" s="93"/>
      <c r="X1828" s="93"/>
      <c r="Y1828" s="93"/>
      <c r="Z1828" s="93"/>
    </row>
    <row r="1829" customFormat="false" ht="16.4" hidden="false" customHeight="false" outlineLevel="0" collapsed="false">
      <c r="A1829" s="123" t="n">
        <v>45444</v>
      </c>
      <c r="B1829" s="31" t="s">
        <v>153</v>
      </c>
      <c r="C1829" s="129"/>
      <c r="D1829" s="129"/>
      <c r="E1829" s="19" t="n">
        <f aca="false">F1829*0.03</f>
        <v>0</v>
      </c>
      <c r="F1829" s="33" t="n">
        <v>0</v>
      </c>
      <c r="G1829" s="131"/>
      <c r="H1829" s="35" t="n">
        <v>0</v>
      </c>
      <c r="I1829" s="34" t="n">
        <f aca="false">+IF(E1829=0,0,E1829*0.03)</f>
        <v>0</v>
      </c>
      <c r="J1829" s="93"/>
      <c r="K1829" s="93"/>
      <c r="L1829" s="93"/>
      <c r="M1829" s="93"/>
      <c r="N1829" s="93"/>
      <c r="O1829" s="93"/>
      <c r="P1829" s="93"/>
      <c r="Q1829" s="93"/>
      <c r="R1829" s="93"/>
      <c r="S1829" s="93"/>
      <c r="T1829" s="93"/>
      <c r="U1829" s="93"/>
      <c r="V1829" s="93"/>
      <c r="W1829" s="93"/>
      <c r="X1829" s="93"/>
      <c r="Y1829" s="93"/>
      <c r="Z1829" s="93"/>
    </row>
    <row r="1830" customFormat="false" ht="16.4" hidden="false" customHeight="false" outlineLevel="0" collapsed="false">
      <c r="A1830" s="123" t="n">
        <v>45444</v>
      </c>
      <c r="B1830" s="31" t="s">
        <v>153</v>
      </c>
      <c r="C1830" s="129"/>
      <c r="D1830" s="129"/>
      <c r="E1830" s="19" t="n">
        <f aca="false">F1830*0.03</f>
        <v>0</v>
      </c>
      <c r="F1830" s="33" t="n">
        <v>0</v>
      </c>
      <c r="G1830" s="131"/>
      <c r="H1830" s="35" t="n">
        <v>0</v>
      </c>
      <c r="I1830" s="34" t="n">
        <f aca="false">+IF(E1830=0,0,E1830*0.03)</f>
        <v>0</v>
      </c>
      <c r="J1830" s="93"/>
      <c r="K1830" s="93"/>
      <c r="L1830" s="93"/>
      <c r="M1830" s="93"/>
      <c r="N1830" s="93"/>
      <c r="O1830" s="93"/>
      <c r="P1830" s="93"/>
      <c r="Q1830" s="93"/>
      <c r="R1830" s="93"/>
      <c r="S1830" s="93"/>
      <c r="T1830" s="93"/>
      <c r="U1830" s="93"/>
      <c r="V1830" s="93"/>
      <c r="W1830" s="93"/>
      <c r="X1830" s="93"/>
      <c r="Y1830" s="93"/>
      <c r="Z1830" s="93"/>
    </row>
    <row r="1831" customFormat="false" ht="16.4" hidden="false" customHeight="false" outlineLevel="0" collapsed="false">
      <c r="A1831" s="123" t="n">
        <v>45444</v>
      </c>
      <c r="B1831" s="31" t="s">
        <v>153</v>
      </c>
      <c r="C1831" s="129"/>
      <c r="D1831" s="129"/>
      <c r="E1831" s="19" t="n">
        <f aca="false">F1831*0.03</f>
        <v>0</v>
      </c>
      <c r="F1831" s="33" t="n">
        <v>0</v>
      </c>
      <c r="G1831" s="131"/>
      <c r="H1831" s="35" t="n">
        <v>0</v>
      </c>
      <c r="I1831" s="34" t="n">
        <f aca="false">+IF(E1831=0,0,E1831*0.03)</f>
        <v>0</v>
      </c>
      <c r="J1831" s="93"/>
      <c r="K1831" s="93"/>
      <c r="L1831" s="93"/>
      <c r="M1831" s="93"/>
      <c r="N1831" s="93"/>
      <c r="O1831" s="93"/>
      <c r="P1831" s="93"/>
      <c r="Q1831" s="93"/>
      <c r="R1831" s="93"/>
      <c r="S1831" s="93"/>
      <c r="T1831" s="93"/>
      <c r="U1831" s="93"/>
      <c r="V1831" s="93"/>
      <c r="W1831" s="93"/>
      <c r="X1831" s="93"/>
      <c r="Y1831" s="93"/>
      <c r="Z1831" s="93"/>
    </row>
    <row r="1832" customFormat="false" ht="16.4" hidden="false" customHeight="false" outlineLevel="0" collapsed="false">
      <c r="A1832" s="123" t="n">
        <v>45444</v>
      </c>
      <c r="B1832" s="31" t="s">
        <v>153</v>
      </c>
      <c r="C1832" s="129"/>
      <c r="D1832" s="129"/>
      <c r="E1832" s="19" t="n">
        <f aca="false">F1832*0.03</f>
        <v>0</v>
      </c>
      <c r="F1832" s="33" t="n">
        <v>0</v>
      </c>
      <c r="G1832" s="131"/>
      <c r="H1832" s="35" t="n">
        <v>0</v>
      </c>
      <c r="I1832" s="34" t="n">
        <f aca="false">+IF(E1832=0,0,E1832*0.03)</f>
        <v>0</v>
      </c>
      <c r="J1832" s="93"/>
      <c r="K1832" s="93"/>
      <c r="L1832" s="93"/>
      <c r="M1832" s="93"/>
      <c r="N1832" s="93"/>
      <c r="O1832" s="93"/>
      <c r="P1832" s="93"/>
      <c r="Q1832" s="93"/>
      <c r="R1832" s="93"/>
      <c r="S1832" s="93"/>
      <c r="T1832" s="93"/>
      <c r="U1832" s="93"/>
      <c r="V1832" s="93"/>
      <c r="W1832" s="93"/>
      <c r="X1832" s="93"/>
      <c r="Y1832" s="93"/>
      <c r="Z1832" s="93"/>
    </row>
    <row r="1833" customFormat="false" ht="16.4" hidden="false" customHeight="false" outlineLevel="0" collapsed="false">
      <c r="A1833" s="123" t="n">
        <v>45444</v>
      </c>
      <c r="B1833" s="31" t="s">
        <v>153</v>
      </c>
      <c r="C1833" s="129"/>
      <c r="D1833" s="129"/>
      <c r="E1833" s="19" t="n">
        <f aca="false">F1833*0.03</f>
        <v>0</v>
      </c>
      <c r="F1833" s="33" t="n">
        <v>0</v>
      </c>
      <c r="G1833" s="131"/>
      <c r="H1833" s="35" t="n">
        <v>0</v>
      </c>
      <c r="I1833" s="34" t="n">
        <f aca="false">+IF(E1833=0,0,E1833*0.03)</f>
        <v>0</v>
      </c>
      <c r="J1833" s="93"/>
      <c r="K1833" s="93"/>
      <c r="L1833" s="93"/>
      <c r="M1833" s="93"/>
      <c r="N1833" s="93"/>
      <c r="O1833" s="93"/>
      <c r="P1833" s="93"/>
      <c r="Q1833" s="93"/>
      <c r="R1833" s="93"/>
      <c r="S1833" s="93"/>
      <c r="T1833" s="93"/>
      <c r="U1833" s="93"/>
      <c r="V1833" s="93"/>
      <c r="W1833" s="93"/>
      <c r="X1833" s="93"/>
      <c r="Y1833" s="93"/>
      <c r="Z1833" s="93"/>
    </row>
    <row r="1834" customFormat="false" ht="16.4" hidden="false" customHeight="false" outlineLevel="0" collapsed="false">
      <c r="A1834" s="123" t="n">
        <v>45444</v>
      </c>
      <c r="B1834" s="31" t="s">
        <v>153</v>
      </c>
      <c r="C1834" s="129"/>
      <c r="D1834" s="129"/>
      <c r="E1834" s="19" t="n">
        <f aca="false">F1834*0.03</f>
        <v>0</v>
      </c>
      <c r="F1834" s="33" t="n">
        <v>0</v>
      </c>
      <c r="G1834" s="131"/>
      <c r="H1834" s="35" t="n">
        <v>0</v>
      </c>
      <c r="I1834" s="34" t="n">
        <f aca="false">+IF(E1834=0,0,E1834*0.03)</f>
        <v>0</v>
      </c>
      <c r="J1834" s="93"/>
      <c r="K1834" s="93"/>
      <c r="L1834" s="93"/>
      <c r="M1834" s="93"/>
      <c r="N1834" s="93"/>
      <c r="O1834" s="93"/>
      <c r="P1834" s="93"/>
      <c r="Q1834" s="93"/>
      <c r="R1834" s="93"/>
      <c r="S1834" s="93"/>
      <c r="T1834" s="93"/>
      <c r="U1834" s="93"/>
      <c r="V1834" s="93"/>
      <c r="W1834" s="93"/>
      <c r="X1834" s="93"/>
      <c r="Y1834" s="93"/>
      <c r="Z1834" s="93"/>
    </row>
    <row r="1835" customFormat="false" ht="16.4" hidden="false" customHeight="false" outlineLevel="0" collapsed="false">
      <c r="A1835" s="123" t="n">
        <v>45444</v>
      </c>
      <c r="B1835" s="31" t="s">
        <v>153</v>
      </c>
      <c r="C1835" s="129"/>
      <c r="D1835" s="129"/>
      <c r="E1835" s="19" t="n">
        <f aca="false">F1835*0.03</f>
        <v>0</v>
      </c>
      <c r="F1835" s="33" t="n">
        <v>0</v>
      </c>
      <c r="G1835" s="131"/>
      <c r="H1835" s="35" t="n">
        <v>0</v>
      </c>
      <c r="I1835" s="34" t="n">
        <f aca="false">+IF(E1835=0,0,E1835*0.03)</f>
        <v>0</v>
      </c>
      <c r="J1835" s="93"/>
      <c r="K1835" s="93"/>
      <c r="L1835" s="93"/>
      <c r="M1835" s="93"/>
      <c r="N1835" s="93"/>
      <c r="O1835" s="93"/>
      <c r="P1835" s="93"/>
      <c r="Q1835" s="93"/>
      <c r="R1835" s="93"/>
      <c r="S1835" s="93"/>
      <c r="T1835" s="93"/>
      <c r="U1835" s="93"/>
      <c r="V1835" s="93"/>
      <c r="W1835" s="93"/>
      <c r="X1835" s="93"/>
      <c r="Y1835" s="93"/>
      <c r="Z1835" s="93"/>
    </row>
    <row r="1836" customFormat="false" ht="16.4" hidden="false" customHeight="false" outlineLevel="0" collapsed="false">
      <c r="A1836" s="123" t="n">
        <v>45444</v>
      </c>
      <c r="B1836" s="31" t="s">
        <v>153</v>
      </c>
      <c r="C1836" s="129"/>
      <c r="D1836" s="129"/>
      <c r="E1836" s="19" t="n">
        <f aca="false">F1836*0.03</f>
        <v>0</v>
      </c>
      <c r="F1836" s="33" t="n">
        <v>0</v>
      </c>
      <c r="G1836" s="131"/>
      <c r="H1836" s="35" t="n">
        <v>0</v>
      </c>
      <c r="I1836" s="34" t="n">
        <f aca="false">+IF(E1836=0,0,E1836*0.03)</f>
        <v>0</v>
      </c>
      <c r="J1836" s="93"/>
      <c r="K1836" s="93"/>
      <c r="L1836" s="93"/>
      <c r="M1836" s="93"/>
      <c r="N1836" s="93"/>
      <c r="O1836" s="93"/>
      <c r="P1836" s="93"/>
      <c r="Q1836" s="93"/>
      <c r="R1836" s="93"/>
      <c r="S1836" s="93"/>
      <c r="T1836" s="93"/>
      <c r="U1836" s="93"/>
      <c r="V1836" s="93"/>
      <c r="W1836" s="93"/>
      <c r="X1836" s="93"/>
      <c r="Y1836" s="93"/>
      <c r="Z1836" s="93"/>
    </row>
    <row r="1837" customFormat="false" ht="16.4" hidden="false" customHeight="false" outlineLevel="0" collapsed="false">
      <c r="A1837" s="123" t="n">
        <v>45444</v>
      </c>
      <c r="B1837" s="31" t="s">
        <v>153</v>
      </c>
      <c r="C1837" s="129"/>
      <c r="D1837" s="129"/>
      <c r="E1837" s="19" t="n">
        <f aca="false">F1837*0.03</f>
        <v>0</v>
      </c>
      <c r="F1837" s="33" t="n">
        <v>0</v>
      </c>
      <c r="G1837" s="131"/>
      <c r="H1837" s="35" t="n">
        <v>0</v>
      </c>
      <c r="I1837" s="34" t="n">
        <f aca="false">+IF(E1837=0,0,E1837*0.03)</f>
        <v>0</v>
      </c>
      <c r="J1837" s="93"/>
      <c r="K1837" s="93"/>
      <c r="L1837" s="93"/>
      <c r="M1837" s="93"/>
      <c r="N1837" s="93"/>
      <c r="O1837" s="93"/>
      <c r="P1837" s="93"/>
      <c r="Q1837" s="93"/>
      <c r="R1837" s="93"/>
      <c r="S1837" s="93"/>
      <c r="T1837" s="93"/>
      <c r="U1837" s="93"/>
      <c r="V1837" s="93"/>
      <c r="W1837" s="93"/>
      <c r="X1837" s="93"/>
      <c r="Y1837" s="93"/>
      <c r="Z1837" s="93"/>
    </row>
    <row r="1838" customFormat="false" ht="16.4" hidden="false" customHeight="false" outlineLevel="0" collapsed="false">
      <c r="A1838" s="123" t="n">
        <v>45444</v>
      </c>
      <c r="B1838" s="31" t="s">
        <v>153</v>
      </c>
      <c r="C1838" s="129"/>
      <c r="D1838" s="129"/>
      <c r="E1838" s="19" t="n">
        <f aca="false">F1838*0.03</f>
        <v>0</v>
      </c>
      <c r="F1838" s="33" t="n">
        <v>0</v>
      </c>
      <c r="G1838" s="131"/>
      <c r="H1838" s="35" t="n">
        <v>0</v>
      </c>
      <c r="I1838" s="34" t="n">
        <f aca="false">+IF(E1838=0,0,E1838*0.03)</f>
        <v>0</v>
      </c>
      <c r="J1838" s="93"/>
      <c r="K1838" s="93"/>
      <c r="L1838" s="93"/>
      <c r="M1838" s="93"/>
      <c r="N1838" s="93"/>
      <c r="O1838" s="93"/>
      <c r="P1838" s="93"/>
      <c r="Q1838" s="93"/>
      <c r="R1838" s="93"/>
      <c r="S1838" s="93"/>
      <c r="T1838" s="93"/>
      <c r="U1838" s="93"/>
      <c r="V1838" s="93"/>
      <c r="W1838" s="93"/>
      <c r="X1838" s="93"/>
      <c r="Y1838" s="93"/>
      <c r="Z1838" s="93"/>
    </row>
    <row r="1839" customFormat="false" ht="16.4" hidden="false" customHeight="false" outlineLevel="0" collapsed="false">
      <c r="A1839" s="123" t="n">
        <v>45444</v>
      </c>
      <c r="B1839" s="31" t="s">
        <v>153</v>
      </c>
      <c r="C1839" s="129"/>
      <c r="D1839" s="129"/>
      <c r="E1839" s="19" t="n">
        <f aca="false">F1839*0.03</f>
        <v>0</v>
      </c>
      <c r="F1839" s="33" t="n">
        <v>0</v>
      </c>
      <c r="G1839" s="131"/>
      <c r="H1839" s="35" t="n">
        <v>0</v>
      </c>
      <c r="I1839" s="34" t="n">
        <f aca="false">+IF(E1839=0,0,E1839*0.03)</f>
        <v>0</v>
      </c>
      <c r="J1839" s="93"/>
      <c r="K1839" s="93"/>
      <c r="L1839" s="93"/>
      <c r="M1839" s="93"/>
      <c r="N1839" s="93"/>
      <c r="O1839" s="93"/>
      <c r="P1839" s="93"/>
      <c r="Q1839" s="93"/>
      <c r="R1839" s="93"/>
      <c r="S1839" s="93"/>
      <c r="T1839" s="93"/>
      <c r="U1839" s="93"/>
      <c r="V1839" s="93"/>
      <c r="W1839" s="93"/>
      <c r="X1839" s="93"/>
      <c r="Y1839" s="93"/>
      <c r="Z1839" s="93"/>
    </row>
    <row r="1840" customFormat="false" ht="16.4" hidden="false" customHeight="false" outlineLevel="0" collapsed="false">
      <c r="A1840" s="123" t="n">
        <v>45444</v>
      </c>
      <c r="B1840" s="31" t="s">
        <v>153</v>
      </c>
      <c r="C1840" s="129"/>
      <c r="D1840" s="129"/>
      <c r="E1840" s="19" t="n">
        <f aca="false">F1840*0.03</f>
        <v>0</v>
      </c>
      <c r="F1840" s="33" t="n">
        <v>0</v>
      </c>
      <c r="G1840" s="131"/>
      <c r="H1840" s="35" t="n">
        <v>0</v>
      </c>
      <c r="I1840" s="34" t="n">
        <f aca="false">+IF(E1840=0,0,E1840*0.03)</f>
        <v>0</v>
      </c>
      <c r="J1840" s="93"/>
      <c r="K1840" s="93"/>
      <c r="L1840" s="93"/>
      <c r="M1840" s="93"/>
      <c r="N1840" s="93"/>
      <c r="O1840" s="93"/>
      <c r="P1840" s="93"/>
      <c r="Q1840" s="93"/>
      <c r="R1840" s="93"/>
      <c r="S1840" s="93"/>
      <c r="T1840" s="93"/>
      <c r="U1840" s="93"/>
      <c r="V1840" s="93"/>
      <c r="W1840" s="93"/>
      <c r="X1840" s="93"/>
      <c r="Y1840" s="93"/>
      <c r="Z1840" s="93"/>
    </row>
    <row r="1841" customFormat="false" ht="16.4" hidden="false" customHeight="false" outlineLevel="0" collapsed="false">
      <c r="A1841" s="123" t="n">
        <v>45444</v>
      </c>
      <c r="B1841" s="31" t="s">
        <v>153</v>
      </c>
      <c r="C1841" s="129"/>
      <c r="D1841" s="129"/>
      <c r="E1841" s="19" t="n">
        <f aca="false">F1841*0.03</f>
        <v>0</v>
      </c>
      <c r="F1841" s="33" t="n">
        <v>0</v>
      </c>
      <c r="G1841" s="131"/>
      <c r="H1841" s="35" t="n">
        <v>0</v>
      </c>
      <c r="I1841" s="34" t="n">
        <f aca="false">+IF(E1841=0,0,E1841*0.03)</f>
        <v>0</v>
      </c>
      <c r="J1841" s="93"/>
      <c r="K1841" s="93"/>
      <c r="L1841" s="93"/>
      <c r="M1841" s="93"/>
      <c r="N1841" s="93"/>
      <c r="O1841" s="93"/>
      <c r="P1841" s="93"/>
      <c r="Q1841" s="93"/>
      <c r="R1841" s="93"/>
      <c r="S1841" s="93"/>
      <c r="T1841" s="93"/>
      <c r="U1841" s="93"/>
      <c r="V1841" s="93"/>
      <c r="W1841" s="93"/>
      <c r="X1841" s="93"/>
      <c r="Y1841" s="93"/>
      <c r="Z1841" s="93"/>
    </row>
    <row r="1842" customFormat="false" ht="16.4" hidden="false" customHeight="false" outlineLevel="0" collapsed="false">
      <c r="A1842" s="123" t="n">
        <v>45444</v>
      </c>
      <c r="B1842" s="31" t="s">
        <v>153</v>
      </c>
      <c r="C1842" s="129"/>
      <c r="D1842" s="129"/>
      <c r="E1842" s="19" t="n">
        <f aca="false">F1842*0.03</f>
        <v>0</v>
      </c>
      <c r="F1842" s="33" t="n">
        <v>0</v>
      </c>
      <c r="G1842" s="131"/>
      <c r="H1842" s="35" t="n">
        <v>0</v>
      </c>
      <c r="I1842" s="34" t="n">
        <f aca="false">+IF(E1842=0,0,E1842*0.03)</f>
        <v>0</v>
      </c>
      <c r="J1842" s="93"/>
      <c r="K1842" s="93"/>
      <c r="L1842" s="93"/>
      <c r="M1842" s="93"/>
      <c r="N1842" s="93"/>
      <c r="O1842" s="93"/>
      <c r="P1842" s="93"/>
      <c r="Q1842" s="93"/>
      <c r="R1842" s="93"/>
      <c r="S1842" s="93"/>
      <c r="T1842" s="93"/>
      <c r="U1842" s="93"/>
      <c r="V1842" s="93"/>
      <c r="W1842" s="93"/>
      <c r="X1842" s="93"/>
      <c r="Y1842" s="93"/>
      <c r="Z1842" s="93"/>
    </row>
    <row r="1843" customFormat="false" ht="16.4" hidden="false" customHeight="false" outlineLevel="0" collapsed="false">
      <c r="A1843" s="123" t="n">
        <v>45444</v>
      </c>
      <c r="B1843" s="31" t="s">
        <v>153</v>
      </c>
      <c r="C1843" s="129"/>
      <c r="D1843" s="129"/>
      <c r="E1843" s="19" t="n">
        <f aca="false">F1843*0.03</f>
        <v>0</v>
      </c>
      <c r="F1843" s="33" t="n">
        <v>0</v>
      </c>
      <c r="G1843" s="131"/>
      <c r="H1843" s="35" t="n">
        <v>0</v>
      </c>
      <c r="I1843" s="34" t="n">
        <f aca="false">+IF(E1843=0,0,E1843*0.03)</f>
        <v>0</v>
      </c>
      <c r="J1843" s="93"/>
      <c r="K1843" s="93"/>
      <c r="L1843" s="93"/>
      <c r="M1843" s="93"/>
      <c r="N1843" s="93"/>
      <c r="O1843" s="93"/>
      <c r="P1843" s="93"/>
      <c r="Q1843" s="93"/>
      <c r="R1843" s="93"/>
      <c r="S1843" s="93"/>
      <c r="T1843" s="93"/>
      <c r="U1843" s="93"/>
      <c r="V1843" s="93"/>
      <c r="W1843" s="93"/>
      <c r="X1843" s="93"/>
      <c r="Y1843" s="93"/>
      <c r="Z1843" s="93"/>
    </row>
    <row r="1844" customFormat="false" ht="16.4" hidden="false" customHeight="false" outlineLevel="0" collapsed="false">
      <c r="A1844" s="123" t="n">
        <v>45444</v>
      </c>
      <c r="B1844" s="31" t="s">
        <v>153</v>
      </c>
      <c r="C1844" s="129"/>
      <c r="D1844" s="129"/>
      <c r="E1844" s="19" t="n">
        <f aca="false">F1844*0.03</f>
        <v>0</v>
      </c>
      <c r="F1844" s="33" t="n">
        <v>0</v>
      </c>
      <c r="G1844" s="131"/>
      <c r="H1844" s="35" t="n">
        <v>0</v>
      </c>
      <c r="I1844" s="34" t="n">
        <f aca="false">+IF(E1844=0,0,E1844*0.03)</f>
        <v>0</v>
      </c>
      <c r="J1844" s="93"/>
      <c r="K1844" s="93"/>
      <c r="L1844" s="93"/>
      <c r="M1844" s="93"/>
      <c r="N1844" s="93"/>
      <c r="O1844" s="93"/>
      <c r="P1844" s="93"/>
      <c r="Q1844" s="93"/>
      <c r="R1844" s="93"/>
      <c r="S1844" s="93"/>
      <c r="T1844" s="93"/>
      <c r="U1844" s="93"/>
      <c r="V1844" s="93"/>
      <c r="W1844" s="93"/>
      <c r="X1844" s="93"/>
      <c r="Y1844" s="93"/>
      <c r="Z1844" s="93"/>
    </row>
    <row r="1845" customFormat="false" ht="16.4" hidden="false" customHeight="false" outlineLevel="0" collapsed="false">
      <c r="A1845" s="123" t="n">
        <v>45444</v>
      </c>
      <c r="B1845" s="31" t="s">
        <v>153</v>
      </c>
      <c r="C1845" s="129"/>
      <c r="D1845" s="129"/>
      <c r="E1845" s="19" t="n">
        <f aca="false">F1845*0.03</f>
        <v>0</v>
      </c>
      <c r="F1845" s="33" t="n">
        <v>0</v>
      </c>
      <c r="G1845" s="131"/>
      <c r="H1845" s="35" t="n">
        <v>0</v>
      </c>
      <c r="I1845" s="34" t="n">
        <f aca="false">+IF(E1845=0,0,E1845*0.03)</f>
        <v>0</v>
      </c>
      <c r="J1845" s="93"/>
      <c r="K1845" s="93"/>
      <c r="L1845" s="93"/>
      <c r="M1845" s="93"/>
      <c r="N1845" s="93"/>
      <c r="O1845" s="93"/>
      <c r="P1845" s="93"/>
      <c r="Q1845" s="93"/>
      <c r="R1845" s="93"/>
      <c r="S1845" s="93"/>
      <c r="T1845" s="93"/>
      <c r="U1845" s="93"/>
      <c r="V1845" s="93"/>
      <c r="W1845" s="93"/>
      <c r="X1845" s="93"/>
      <c r="Y1845" s="93"/>
      <c r="Z1845" s="93"/>
    </row>
    <row r="1846" customFormat="false" ht="16.4" hidden="false" customHeight="false" outlineLevel="0" collapsed="false">
      <c r="A1846" s="123" t="n">
        <v>45444</v>
      </c>
      <c r="B1846" s="31" t="s">
        <v>153</v>
      </c>
      <c r="C1846" s="129"/>
      <c r="D1846" s="129"/>
      <c r="E1846" s="19" t="n">
        <f aca="false">F1846*0.03</f>
        <v>0</v>
      </c>
      <c r="F1846" s="33" t="n">
        <v>0</v>
      </c>
      <c r="G1846" s="131"/>
      <c r="H1846" s="35" t="n">
        <v>0</v>
      </c>
      <c r="I1846" s="34" t="n">
        <f aca="false">+IF(E1846=0,0,E1846*0.03)</f>
        <v>0</v>
      </c>
      <c r="J1846" s="93"/>
      <c r="K1846" s="93"/>
      <c r="L1846" s="93"/>
      <c r="M1846" s="93"/>
      <c r="N1846" s="93"/>
      <c r="O1846" s="93"/>
      <c r="P1846" s="93"/>
      <c r="Q1846" s="93"/>
      <c r="R1846" s="93"/>
      <c r="S1846" s="93"/>
      <c r="T1846" s="93"/>
      <c r="U1846" s="93"/>
      <c r="V1846" s="93"/>
      <c r="W1846" s="93"/>
      <c r="X1846" s="93"/>
      <c r="Y1846" s="93"/>
      <c r="Z1846" s="93"/>
    </row>
    <row r="1847" customFormat="false" ht="16.4" hidden="false" customHeight="false" outlineLevel="0" collapsed="false">
      <c r="A1847" s="123" t="n">
        <v>45444</v>
      </c>
      <c r="B1847" s="31" t="s">
        <v>153</v>
      </c>
      <c r="C1847" s="129"/>
      <c r="D1847" s="129"/>
      <c r="E1847" s="19" t="n">
        <f aca="false">F1847*0.03</f>
        <v>0</v>
      </c>
      <c r="F1847" s="33" t="n">
        <v>0</v>
      </c>
      <c r="G1847" s="131"/>
      <c r="H1847" s="35" t="n">
        <v>0</v>
      </c>
      <c r="I1847" s="34" t="n">
        <f aca="false">+IF(E1847=0,0,E1847*0.03)</f>
        <v>0</v>
      </c>
      <c r="J1847" s="93"/>
      <c r="K1847" s="93"/>
      <c r="L1847" s="93"/>
      <c r="M1847" s="93"/>
      <c r="N1847" s="93"/>
      <c r="O1847" s="93"/>
      <c r="P1847" s="93"/>
      <c r="Q1847" s="93"/>
      <c r="R1847" s="93"/>
      <c r="S1847" s="93"/>
      <c r="T1847" s="93"/>
      <c r="U1847" s="93"/>
      <c r="V1847" s="93"/>
      <c r="W1847" s="93"/>
      <c r="X1847" s="93"/>
      <c r="Y1847" s="93"/>
      <c r="Z1847" s="93"/>
    </row>
    <row r="1848" customFormat="false" ht="16.4" hidden="false" customHeight="false" outlineLevel="0" collapsed="false">
      <c r="A1848" s="123" t="n">
        <v>45444</v>
      </c>
      <c r="B1848" s="31" t="s">
        <v>153</v>
      </c>
      <c r="C1848" s="129"/>
      <c r="D1848" s="129"/>
      <c r="E1848" s="19" t="n">
        <f aca="false">F1848*0.03</f>
        <v>0</v>
      </c>
      <c r="F1848" s="33" t="n">
        <v>0</v>
      </c>
      <c r="G1848" s="131"/>
      <c r="H1848" s="35" t="n">
        <v>0</v>
      </c>
      <c r="I1848" s="34" t="n">
        <f aca="false">+IF(E1848=0,0,E1848*0.03)</f>
        <v>0</v>
      </c>
      <c r="J1848" s="93"/>
      <c r="K1848" s="93"/>
      <c r="L1848" s="93"/>
      <c r="M1848" s="93"/>
      <c r="N1848" s="93"/>
      <c r="O1848" s="93"/>
      <c r="P1848" s="93"/>
      <c r="Q1848" s="93"/>
      <c r="R1848" s="93"/>
      <c r="S1848" s="93"/>
      <c r="T1848" s="93"/>
      <c r="U1848" s="93"/>
      <c r="V1848" s="93"/>
      <c r="W1848" s="93"/>
      <c r="X1848" s="93"/>
      <c r="Y1848" s="93"/>
      <c r="Z1848" s="93"/>
    </row>
    <row r="1849" customFormat="false" ht="16.4" hidden="false" customHeight="false" outlineLevel="0" collapsed="false">
      <c r="A1849" s="123" t="n">
        <v>45444</v>
      </c>
      <c r="B1849" s="31" t="s">
        <v>153</v>
      </c>
      <c r="C1849" s="129"/>
      <c r="D1849" s="129"/>
      <c r="E1849" s="19" t="n">
        <f aca="false">F1849*0.03</f>
        <v>0</v>
      </c>
      <c r="F1849" s="33" t="n">
        <v>0</v>
      </c>
      <c r="G1849" s="131"/>
      <c r="H1849" s="35" t="n">
        <v>0</v>
      </c>
      <c r="I1849" s="34" t="n">
        <f aca="false">+IF(E1849=0,0,E1849*0.03)</f>
        <v>0</v>
      </c>
      <c r="J1849" s="93"/>
      <c r="K1849" s="93"/>
      <c r="L1849" s="93"/>
      <c r="M1849" s="93"/>
      <c r="N1849" s="93"/>
      <c r="O1849" s="93"/>
      <c r="P1849" s="93"/>
      <c r="Q1849" s="93"/>
      <c r="R1849" s="93"/>
      <c r="S1849" s="93"/>
      <c r="T1849" s="93"/>
      <c r="U1849" s="93"/>
      <c r="V1849" s="93"/>
      <c r="W1849" s="93"/>
      <c r="X1849" s="93"/>
      <c r="Y1849" s="93"/>
      <c r="Z1849" s="93"/>
    </row>
    <row r="1850" customFormat="false" ht="16.4" hidden="false" customHeight="false" outlineLevel="0" collapsed="false">
      <c r="A1850" s="123" t="n">
        <v>45444</v>
      </c>
      <c r="B1850" s="31" t="s">
        <v>153</v>
      </c>
      <c r="C1850" s="129"/>
      <c r="D1850" s="129"/>
      <c r="E1850" s="19" t="n">
        <f aca="false">F1850*0.03</f>
        <v>0</v>
      </c>
      <c r="F1850" s="33" t="n">
        <v>0</v>
      </c>
      <c r="G1850" s="131"/>
      <c r="H1850" s="35" t="n">
        <v>0</v>
      </c>
      <c r="I1850" s="34" t="n">
        <f aca="false">+IF(E1850=0,0,E1850*0.03)</f>
        <v>0</v>
      </c>
      <c r="J1850" s="93"/>
      <c r="K1850" s="93"/>
      <c r="L1850" s="93"/>
      <c r="M1850" s="93"/>
      <c r="N1850" s="93"/>
      <c r="O1850" s="93"/>
      <c r="P1850" s="93"/>
      <c r="Q1850" s="93"/>
      <c r="R1850" s="93"/>
      <c r="S1850" s="93"/>
      <c r="T1850" s="93"/>
      <c r="U1850" s="93"/>
      <c r="V1850" s="93"/>
      <c r="W1850" s="93"/>
      <c r="X1850" s="93"/>
      <c r="Y1850" s="93"/>
      <c r="Z1850" s="93"/>
    </row>
    <row r="1851" customFormat="false" ht="16.4" hidden="false" customHeight="false" outlineLevel="0" collapsed="false">
      <c r="A1851" s="123" t="n">
        <v>45444</v>
      </c>
      <c r="B1851" s="31" t="s">
        <v>153</v>
      </c>
      <c r="C1851" s="129"/>
      <c r="D1851" s="129"/>
      <c r="E1851" s="19" t="n">
        <f aca="false">F1851*0.03</f>
        <v>0</v>
      </c>
      <c r="F1851" s="33" t="n">
        <v>0</v>
      </c>
      <c r="G1851" s="131"/>
      <c r="H1851" s="35" t="n">
        <v>0</v>
      </c>
      <c r="I1851" s="34" t="n">
        <f aca="false">+IF(E1851=0,0,E1851*0.03)</f>
        <v>0</v>
      </c>
      <c r="J1851" s="93"/>
      <c r="K1851" s="93"/>
      <c r="L1851" s="93"/>
      <c r="M1851" s="93"/>
      <c r="N1851" s="93"/>
      <c r="O1851" s="93"/>
      <c r="P1851" s="93"/>
      <c r="Q1851" s="93"/>
      <c r="R1851" s="93"/>
      <c r="S1851" s="93"/>
      <c r="T1851" s="93"/>
      <c r="U1851" s="93"/>
      <c r="V1851" s="93"/>
      <c r="W1851" s="93"/>
      <c r="X1851" s="93"/>
      <c r="Y1851" s="93"/>
      <c r="Z1851" s="93"/>
    </row>
    <row r="1852" customFormat="false" ht="16.4" hidden="false" customHeight="false" outlineLevel="0" collapsed="false">
      <c r="A1852" s="123" t="n">
        <v>45444</v>
      </c>
      <c r="B1852" s="31" t="s">
        <v>153</v>
      </c>
      <c r="C1852" s="129"/>
      <c r="D1852" s="129"/>
      <c r="E1852" s="19" t="n">
        <f aca="false">F1852*0.03</f>
        <v>0</v>
      </c>
      <c r="F1852" s="33" t="n">
        <v>0</v>
      </c>
      <c r="G1852" s="131"/>
      <c r="H1852" s="35" t="n">
        <v>0</v>
      </c>
      <c r="I1852" s="34" t="n">
        <f aca="false">+IF(E1852=0,0,E1852*0.03)</f>
        <v>0</v>
      </c>
      <c r="J1852" s="93"/>
      <c r="K1852" s="93"/>
      <c r="L1852" s="93"/>
      <c r="M1852" s="93"/>
      <c r="N1852" s="93"/>
      <c r="O1852" s="93"/>
      <c r="P1852" s="93"/>
      <c r="Q1852" s="93"/>
      <c r="R1852" s="93"/>
      <c r="S1852" s="93"/>
      <c r="T1852" s="93"/>
      <c r="U1852" s="93"/>
      <c r="V1852" s="93"/>
      <c r="W1852" s="93"/>
      <c r="X1852" s="93"/>
      <c r="Y1852" s="93"/>
      <c r="Z1852" s="93"/>
    </row>
    <row r="1853" customFormat="false" ht="16.4" hidden="false" customHeight="false" outlineLevel="0" collapsed="false">
      <c r="A1853" s="123" t="n">
        <v>45444</v>
      </c>
      <c r="B1853" s="31" t="s">
        <v>153</v>
      </c>
      <c r="C1853" s="129"/>
      <c r="D1853" s="129"/>
      <c r="E1853" s="19" t="n">
        <f aca="false">F1853*0.03</f>
        <v>0</v>
      </c>
      <c r="F1853" s="33" t="n">
        <v>0</v>
      </c>
      <c r="G1853" s="131"/>
      <c r="H1853" s="35" t="n">
        <v>0</v>
      </c>
      <c r="I1853" s="34" t="n">
        <f aca="false">+IF(E1853=0,0,E1853*0.03)</f>
        <v>0</v>
      </c>
      <c r="J1853" s="93"/>
      <c r="K1853" s="93"/>
      <c r="L1853" s="93"/>
      <c r="M1853" s="93"/>
      <c r="N1853" s="93"/>
      <c r="O1853" s="93"/>
      <c r="P1853" s="93"/>
      <c r="Q1853" s="93"/>
      <c r="R1853" s="93"/>
      <c r="S1853" s="93"/>
      <c r="T1853" s="93"/>
      <c r="U1853" s="93"/>
      <c r="V1853" s="93"/>
      <c r="W1853" s="93"/>
      <c r="X1853" s="93"/>
      <c r="Y1853" s="93"/>
      <c r="Z1853" s="93"/>
    </row>
    <row r="1854" customFormat="false" ht="16.4" hidden="false" customHeight="false" outlineLevel="0" collapsed="false">
      <c r="A1854" s="123" t="n">
        <v>45444</v>
      </c>
      <c r="B1854" s="31" t="s">
        <v>153</v>
      </c>
      <c r="C1854" s="129"/>
      <c r="D1854" s="129"/>
      <c r="E1854" s="19" t="n">
        <f aca="false">F1854*0.03</f>
        <v>0</v>
      </c>
      <c r="F1854" s="33" t="n">
        <v>0</v>
      </c>
      <c r="G1854" s="131"/>
      <c r="H1854" s="35" t="n">
        <v>0</v>
      </c>
      <c r="I1854" s="34" t="n">
        <f aca="false">+IF(E1854=0,0,E1854*0.03)</f>
        <v>0</v>
      </c>
      <c r="J1854" s="93"/>
      <c r="K1854" s="93"/>
      <c r="L1854" s="93"/>
      <c r="M1854" s="93"/>
      <c r="N1854" s="93"/>
      <c r="O1854" s="93"/>
      <c r="P1854" s="93"/>
      <c r="Q1854" s="93"/>
      <c r="R1854" s="93"/>
      <c r="S1854" s="93"/>
      <c r="T1854" s="93"/>
      <c r="U1854" s="93"/>
      <c r="V1854" s="93"/>
      <c r="W1854" s="93"/>
      <c r="X1854" s="93"/>
      <c r="Y1854" s="93"/>
      <c r="Z1854" s="93"/>
    </row>
    <row r="1855" customFormat="false" ht="16.4" hidden="false" customHeight="false" outlineLevel="0" collapsed="false">
      <c r="A1855" s="123" t="n">
        <v>45444</v>
      </c>
      <c r="B1855" s="31" t="s">
        <v>153</v>
      </c>
      <c r="C1855" s="129"/>
      <c r="D1855" s="129"/>
      <c r="E1855" s="19" t="n">
        <f aca="false">F1855*0.03</f>
        <v>0</v>
      </c>
      <c r="F1855" s="33" t="n">
        <v>0</v>
      </c>
      <c r="G1855" s="131"/>
      <c r="H1855" s="35" t="n">
        <v>0</v>
      </c>
      <c r="I1855" s="34" t="n">
        <f aca="false">+IF(E1855=0,0,E1855*0.03)</f>
        <v>0</v>
      </c>
      <c r="J1855" s="93"/>
      <c r="K1855" s="93"/>
      <c r="L1855" s="93"/>
      <c r="M1855" s="93"/>
      <c r="N1855" s="93"/>
      <c r="O1855" s="93"/>
      <c r="P1855" s="93"/>
      <c r="Q1855" s="93"/>
      <c r="R1855" s="93"/>
      <c r="S1855" s="93"/>
      <c r="T1855" s="93"/>
      <c r="U1855" s="93"/>
      <c r="V1855" s="93"/>
      <c r="W1855" s="93"/>
      <c r="X1855" s="93"/>
      <c r="Y1855" s="93"/>
      <c r="Z1855" s="93"/>
    </row>
    <row r="1856" customFormat="false" ht="16.4" hidden="false" customHeight="false" outlineLevel="0" collapsed="false">
      <c r="A1856" s="123" t="n">
        <v>45444</v>
      </c>
      <c r="B1856" s="31" t="s">
        <v>153</v>
      </c>
      <c r="C1856" s="129"/>
      <c r="D1856" s="129"/>
      <c r="E1856" s="19" t="n">
        <f aca="false">F1856*0.03</f>
        <v>0</v>
      </c>
      <c r="F1856" s="33" t="n">
        <v>0</v>
      </c>
      <c r="G1856" s="131"/>
      <c r="H1856" s="35" t="n">
        <v>0</v>
      </c>
      <c r="I1856" s="34" t="n">
        <f aca="false">+IF(E1856=0,0,E1856*0.03)</f>
        <v>0</v>
      </c>
      <c r="J1856" s="93"/>
      <c r="K1856" s="93"/>
      <c r="L1856" s="93"/>
      <c r="M1856" s="93"/>
      <c r="N1856" s="93"/>
      <c r="O1856" s="93"/>
      <c r="P1856" s="93"/>
      <c r="Q1856" s="93"/>
      <c r="R1856" s="93"/>
      <c r="S1856" s="93"/>
      <c r="T1856" s="93"/>
      <c r="U1856" s="93"/>
      <c r="V1856" s="93"/>
      <c r="W1856" s="93"/>
      <c r="X1856" s="93"/>
      <c r="Y1856" s="93"/>
      <c r="Z1856" s="93"/>
    </row>
    <row r="1857" customFormat="false" ht="16.4" hidden="false" customHeight="false" outlineLevel="0" collapsed="false">
      <c r="A1857" s="123" t="n">
        <v>45444</v>
      </c>
      <c r="B1857" s="31" t="s">
        <v>153</v>
      </c>
      <c r="C1857" s="129"/>
      <c r="D1857" s="129"/>
      <c r="E1857" s="19" t="n">
        <f aca="false">F1857*0.03</f>
        <v>0</v>
      </c>
      <c r="F1857" s="33" t="n">
        <v>0</v>
      </c>
      <c r="G1857" s="131"/>
      <c r="H1857" s="35" t="n">
        <v>0</v>
      </c>
      <c r="I1857" s="34" t="n">
        <f aca="false">+IF(E1857=0,0,E1857*0.03)</f>
        <v>0</v>
      </c>
      <c r="J1857" s="93"/>
      <c r="K1857" s="93"/>
      <c r="L1857" s="93"/>
      <c r="M1857" s="93"/>
      <c r="N1857" s="93"/>
      <c r="O1857" s="93"/>
      <c r="P1857" s="93"/>
      <c r="Q1857" s="93"/>
      <c r="R1857" s="93"/>
      <c r="S1857" s="93"/>
      <c r="T1857" s="93"/>
      <c r="U1857" s="93"/>
      <c r="V1857" s="93"/>
      <c r="W1857" s="93"/>
      <c r="X1857" s="93"/>
      <c r="Y1857" s="93"/>
      <c r="Z1857" s="93"/>
    </row>
    <row r="1858" customFormat="false" ht="16.4" hidden="false" customHeight="false" outlineLevel="0" collapsed="false">
      <c r="A1858" s="123" t="n">
        <v>45444</v>
      </c>
      <c r="B1858" s="31" t="s">
        <v>153</v>
      </c>
      <c r="C1858" s="129"/>
      <c r="D1858" s="129"/>
      <c r="E1858" s="19" t="n">
        <f aca="false">F1858*0.03</f>
        <v>0</v>
      </c>
      <c r="F1858" s="33" t="n">
        <v>0</v>
      </c>
      <c r="G1858" s="131"/>
      <c r="H1858" s="35" t="n">
        <v>0</v>
      </c>
      <c r="I1858" s="34" t="n">
        <f aca="false">+IF(E1858=0,0,E1858*0.03)</f>
        <v>0</v>
      </c>
      <c r="J1858" s="93"/>
      <c r="K1858" s="93"/>
      <c r="L1858" s="93"/>
      <c r="M1858" s="93"/>
      <c r="N1858" s="93"/>
      <c r="O1858" s="93"/>
      <c r="P1858" s="93"/>
      <c r="Q1858" s="93"/>
      <c r="R1858" s="93"/>
      <c r="S1858" s="93"/>
      <c r="T1858" s="93"/>
      <c r="U1858" s="93"/>
      <c r="V1858" s="93"/>
      <c r="W1858" s="93"/>
      <c r="X1858" s="93"/>
      <c r="Y1858" s="93"/>
      <c r="Z1858" s="93"/>
    </row>
    <row r="1859" customFormat="false" ht="16.4" hidden="false" customHeight="false" outlineLevel="0" collapsed="false">
      <c r="A1859" s="123" t="n">
        <v>45444</v>
      </c>
      <c r="B1859" s="31" t="s">
        <v>153</v>
      </c>
      <c r="C1859" s="129"/>
      <c r="D1859" s="129"/>
      <c r="E1859" s="19" t="n">
        <f aca="false">F1859*0.03</f>
        <v>0</v>
      </c>
      <c r="F1859" s="33" t="n">
        <v>0</v>
      </c>
      <c r="G1859" s="131"/>
      <c r="H1859" s="35" t="n">
        <v>0</v>
      </c>
      <c r="I1859" s="34" t="n">
        <f aca="false">+IF(E1859=0,0,E1859*0.03)</f>
        <v>0</v>
      </c>
      <c r="J1859" s="93"/>
      <c r="K1859" s="93"/>
      <c r="L1859" s="93"/>
      <c r="M1859" s="93"/>
      <c r="N1859" s="93"/>
      <c r="O1859" s="93"/>
      <c r="P1859" s="93"/>
      <c r="Q1859" s="93"/>
      <c r="R1859" s="93"/>
      <c r="S1859" s="93"/>
      <c r="T1859" s="93"/>
      <c r="U1859" s="93"/>
      <c r="V1859" s="93"/>
      <c r="W1859" s="93"/>
      <c r="X1859" s="93"/>
      <c r="Y1859" s="93"/>
      <c r="Z1859" s="93"/>
    </row>
    <row r="1860" customFormat="false" ht="16.4" hidden="false" customHeight="false" outlineLevel="0" collapsed="false">
      <c r="A1860" s="123" t="n">
        <v>45444</v>
      </c>
      <c r="B1860" s="31" t="s">
        <v>153</v>
      </c>
      <c r="C1860" s="129"/>
      <c r="D1860" s="129"/>
      <c r="E1860" s="19" t="n">
        <f aca="false">F1860*0.03</f>
        <v>0</v>
      </c>
      <c r="F1860" s="33" t="n">
        <v>0</v>
      </c>
      <c r="G1860" s="131"/>
      <c r="H1860" s="35" t="n">
        <v>0</v>
      </c>
      <c r="I1860" s="34" t="n">
        <f aca="false">+IF(E1860=0,0,E1860*0.03)</f>
        <v>0</v>
      </c>
      <c r="J1860" s="93"/>
      <c r="K1860" s="93"/>
      <c r="L1860" s="93"/>
      <c r="M1860" s="93"/>
      <c r="N1860" s="93"/>
      <c r="O1860" s="93"/>
      <c r="P1860" s="93"/>
      <c r="Q1860" s="93"/>
      <c r="R1860" s="93"/>
      <c r="S1860" s="93"/>
      <c r="T1860" s="93"/>
      <c r="U1860" s="93"/>
      <c r="V1860" s="93"/>
      <c r="W1860" s="93"/>
      <c r="X1860" s="93"/>
      <c r="Y1860" s="93"/>
      <c r="Z1860" s="93"/>
    </row>
    <row r="1861" customFormat="false" ht="16.4" hidden="false" customHeight="false" outlineLevel="0" collapsed="false">
      <c r="A1861" s="123" t="n">
        <v>45444</v>
      </c>
      <c r="B1861" s="31" t="s">
        <v>153</v>
      </c>
      <c r="C1861" s="129"/>
      <c r="D1861" s="129"/>
      <c r="E1861" s="19" t="n">
        <f aca="false">F1861*0.03</f>
        <v>0</v>
      </c>
      <c r="F1861" s="33" t="n">
        <v>0</v>
      </c>
      <c r="G1861" s="131"/>
      <c r="H1861" s="35" t="n">
        <v>0</v>
      </c>
      <c r="I1861" s="34" t="n">
        <f aca="false">+IF(E1861=0,0,E1861*0.03)</f>
        <v>0</v>
      </c>
      <c r="J1861" s="93"/>
      <c r="K1861" s="93"/>
      <c r="L1861" s="93"/>
      <c r="M1861" s="93"/>
      <c r="N1861" s="93"/>
      <c r="O1861" s="93"/>
      <c r="P1861" s="93"/>
      <c r="Q1861" s="93"/>
      <c r="R1861" s="93"/>
      <c r="S1861" s="93"/>
      <c r="T1861" s="93"/>
      <c r="U1861" s="93"/>
      <c r="V1861" s="93"/>
      <c r="W1861" s="93"/>
      <c r="X1861" s="93"/>
      <c r="Y1861" s="93"/>
      <c r="Z1861" s="93"/>
    </row>
    <row r="1862" customFormat="false" ht="16.4" hidden="false" customHeight="false" outlineLevel="0" collapsed="false">
      <c r="A1862" s="123" t="n">
        <v>45444</v>
      </c>
      <c r="B1862" s="31" t="s">
        <v>153</v>
      </c>
      <c r="C1862" s="129"/>
      <c r="D1862" s="129"/>
      <c r="E1862" s="19" t="n">
        <f aca="false">F1862*0.03</f>
        <v>0</v>
      </c>
      <c r="F1862" s="33" t="n">
        <v>0</v>
      </c>
      <c r="G1862" s="131"/>
      <c r="H1862" s="35" t="n">
        <v>0</v>
      </c>
      <c r="I1862" s="34" t="n">
        <f aca="false">+IF(E1862=0,0,E1862*0.03)</f>
        <v>0</v>
      </c>
      <c r="J1862" s="93"/>
      <c r="K1862" s="93"/>
      <c r="L1862" s="93"/>
      <c r="M1862" s="93"/>
      <c r="N1862" s="93"/>
      <c r="O1862" s="93"/>
      <c r="P1862" s="93"/>
      <c r="Q1862" s="93"/>
      <c r="R1862" s="93"/>
      <c r="S1862" s="93"/>
      <c r="T1862" s="93"/>
      <c r="U1862" s="93"/>
      <c r="V1862" s="93"/>
      <c r="W1862" s="93"/>
      <c r="X1862" s="93"/>
      <c r="Y1862" s="93"/>
      <c r="Z1862" s="93"/>
    </row>
    <row r="1863" customFormat="false" ht="16.4" hidden="false" customHeight="false" outlineLevel="0" collapsed="false">
      <c r="A1863" s="123" t="n">
        <v>45444</v>
      </c>
      <c r="B1863" s="31" t="s">
        <v>153</v>
      </c>
      <c r="C1863" s="129"/>
      <c r="D1863" s="129"/>
      <c r="E1863" s="19" t="n">
        <f aca="false">F1863*0.03</f>
        <v>0</v>
      </c>
      <c r="F1863" s="33" t="n">
        <v>0</v>
      </c>
      <c r="G1863" s="131"/>
      <c r="H1863" s="35" t="n">
        <v>0</v>
      </c>
      <c r="I1863" s="34" t="n">
        <f aca="false">+IF(E1863=0,0,E1863*0.03)</f>
        <v>0</v>
      </c>
      <c r="J1863" s="93"/>
      <c r="K1863" s="93"/>
      <c r="L1863" s="93"/>
      <c r="M1863" s="93"/>
      <c r="N1863" s="93"/>
      <c r="O1863" s="93"/>
      <c r="P1863" s="93"/>
      <c r="Q1863" s="93"/>
      <c r="R1863" s="93"/>
      <c r="S1863" s="93"/>
      <c r="T1863" s="93"/>
      <c r="U1863" s="93"/>
      <c r="V1863" s="93"/>
      <c r="W1863" s="93"/>
      <c r="X1863" s="93"/>
      <c r="Y1863" s="93"/>
      <c r="Z1863" s="93"/>
    </row>
    <row r="1864" customFormat="false" ht="16.4" hidden="false" customHeight="false" outlineLevel="0" collapsed="false">
      <c r="A1864" s="123" t="n">
        <v>45444</v>
      </c>
      <c r="B1864" s="31" t="s">
        <v>153</v>
      </c>
      <c r="C1864" s="129"/>
      <c r="D1864" s="129"/>
      <c r="E1864" s="19" t="n">
        <f aca="false">F1864*0.03</f>
        <v>0</v>
      </c>
      <c r="F1864" s="33" t="n">
        <v>0</v>
      </c>
      <c r="G1864" s="131"/>
      <c r="H1864" s="35" t="n">
        <v>0</v>
      </c>
      <c r="I1864" s="34" t="n">
        <f aca="false">+IF(E1864=0,0,E1864*0.03)</f>
        <v>0</v>
      </c>
      <c r="J1864" s="93"/>
      <c r="K1864" s="93"/>
      <c r="L1864" s="93"/>
      <c r="M1864" s="93"/>
      <c r="N1864" s="93"/>
      <c r="O1864" s="93"/>
      <c r="P1864" s="93"/>
      <c r="Q1864" s="93"/>
      <c r="R1864" s="93"/>
      <c r="S1864" s="93"/>
      <c r="T1864" s="93"/>
      <c r="U1864" s="93"/>
      <c r="V1864" s="93"/>
      <c r="W1864" s="93"/>
      <c r="X1864" s="93"/>
      <c r="Y1864" s="93"/>
      <c r="Z1864" s="93"/>
    </row>
    <row r="1865" customFormat="false" ht="16.4" hidden="false" customHeight="false" outlineLevel="0" collapsed="false">
      <c r="A1865" s="123" t="n">
        <v>45444</v>
      </c>
      <c r="B1865" s="31" t="s">
        <v>153</v>
      </c>
      <c r="C1865" s="129"/>
      <c r="D1865" s="129"/>
      <c r="E1865" s="19" t="n">
        <f aca="false">F1865*0.03</f>
        <v>0</v>
      </c>
      <c r="F1865" s="33" t="n">
        <v>0</v>
      </c>
      <c r="G1865" s="131"/>
      <c r="H1865" s="35" t="n">
        <v>0</v>
      </c>
      <c r="I1865" s="34" t="n">
        <f aca="false">+IF(E1865=0,0,E1865*0.03)</f>
        <v>0</v>
      </c>
      <c r="J1865" s="93"/>
      <c r="K1865" s="93"/>
      <c r="L1865" s="93"/>
      <c r="M1865" s="93"/>
      <c r="N1865" s="93"/>
      <c r="O1865" s="93"/>
      <c r="P1865" s="93"/>
      <c r="Q1865" s="93"/>
      <c r="R1865" s="93"/>
      <c r="S1865" s="93"/>
      <c r="T1865" s="93"/>
      <c r="U1865" s="93"/>
      <c r="V1865" s="93"/>
      <c r="W1865" s="93"/>
      <c r="X1865" s="93"/>
      <c r="Y1865" s="93"/>
      <c r="Z1865" s="93"/>
    </row>
    <row r="1866" customFormat="false" ht="16.4" hidden="false" customHeight="false" outlineLevel="0" collapsed="false">
      <c r="A1866" s="123" t="n">
        <v>45444</v>
      </c>
      <c r="B1866" s="31" t="s">
        <v>153</v>
      </c>
      <c r="C1866" s="129"/>
      <c r="D1866" s="129"/>
      <c r="E1866" s="19" t="n">
        <f aca="false">F1866*0.03</f>
        <v>0</v>
      </c>
      <c r="F1866" s="33" t="n">
        <v>0</v>
      </c>
      <c r="G1866" s="131"/>
      <c r="H1866" s="35" t="n">
        <v>0</v>
      </c>
      <c r="I1866" s="34" t="n">
        <f aca="false">+IF(E1866=0,0,E1866*0.03)</f>
        <v>0</v>
      </c>
      <c r="J1866" s="93"/>
      <c r="K1866" s="93"/>
      <c r="L1866" s="93"/>
      <c r="M1866" s="93"/>
      <c r="N1866" s="93"/>
      <c r="O1866" s="93"/>
      <c r="P1866" s="93"/>
      <c r="Q1866" s="93"/>
      <c r="R1866" s="93"/>
      <c r="S1866" s="93"/>
      <c r="T1866" s="93"/>
      <c r="U1866" s="93"/>
      <c r="V1866" s="93"/>
      <c r="W1866" s="93"/>
      <c r="X1866" s="93"/>
      <c r="Y1866" s="93"/>
      <c r="Z1866" s="93"/>
    </row>
    <row r="1867" customFormat="false" ht="16.4" hidden="false" customHeight="false" outlineLevel="0" collapsed="false">
      <c r="A1867" s="123" t="n">
        <v>45444</v>
      </c>
      <c r="B1867" s="31" t="s">
        <v>153</v>
      </c>
      <c r="C1867" s="129"/>
      <c r="D1867" s="129"/>
      <c r="E1867" s="19" t="n">
        <f aca="false">F1867*0.03</f>
        <v>0</v>
      </c>
      <c r="F1867" s="33" t="n">
        <v>0</v>
      </c>
      <c r="G1867" s="131"/>
      <c r="H1867" s="35" t="n">
        <v>0</v>
      </c>
      <c r="I1867" s="34" t="n">
        <f aca="false">+IF(E1867=0,0,E1867*0.03)</f>
        <v>0</v>
      </c>
      <c r="J1867" s="93"/>
      <c r="K1867" s="93"/>
      <c r="L1867" s="93"/>
      <c r="M1867" s="93"/>
      <c r="N1867" s="93"/>
      <c r="O1867" s="93"/>
      <c r="P1867" s="93"/>
      <c r="Q1867" s="93"/>
      <c r="R1867" s="93"/>
      <c r="S1867" s="93"/>
      <c r="T1867" s="93"/>
      <c r="U1867" s="93"/>
      <c r="V1867" s="93"/>
      <c r="W1867" s="93"/>
      <c r="X1867" s="93"/>
      <c r="Y1867" s="93"/>
      <c r="Z1867" s="93"/>
    </row>
    <row r="1868" customFormat="false" ht="16.4" hidden="false" customHeight="false" outlineLevel="0" collapsed="false">
      <c r="A1868" s="123" t="n">
        <v>45444</v>
      </c>
      <c r="B1868" s="31" t="s">
        <v>153</v>
      </c>
      <c r="C1868" s="129"/>
      <c r="D1868" s="129"/>
      <c r="E1868" s="19" t="n">
        <f aca="false">F1868*0.03</f>
        <v>0</v>
      </c>
      <c r="F1868" s="33" t="n">
        <v>0</v>
      </c>
      <c r="G1868" s="131"/>
      <c r="H1868" s="35" t="n">
        <v>0</v>
      </c>
      <c r="I1868" s="34" t="n">
        <f aca="false">+IF(E1868=0,0,E1868*0.03)</f>
        <v>0</v>
      </c>
      <c r="J1868" s="93"/>
      <c r="K1868" s="93"/>
      <c r="L1868" s="93"/>
      <c r="M1868" s="93"/>
      <c r="N1868" s="93"/>
      <c r="O1868" s="93"/>
      <c r="P1868" s="93"/>
      <c r="Q1868" s="93"/>
      <c r="R1868" s="93"/>
      <c r="S1868" s="93"/>
      <c r="T1868" s="93"/>
      <c r="U1868" s="93"/>
      <c r="V1868" s="93"/>
      <c r="W1868" s="93"/>
      <c r="X1868" s="93"/>
      <c r="Y1868" s="93"/>
      <c r="Z1868" s="93"/>
    </row>
    <row r="1869" customFormat="false" ht="16.4" hidden="false" customHeight="false" outlineLevel="0" collapsed="false">
      <c r="A1869" s="123" t="n">
        <v>45444</v>
      </c>
      <c r="B1869" s="31" t="s">
        <v>153</v>
      </c>
      <c r="C1869" s="129"/>
      <c r="D1869" s="129"/>
      <c r="E1869" s="19" t="n">
        <f aca="false">F1869*0.03</f>
        <v>0</v>
      </c>
      <c r="F1869" s="33" t="n">
        <v>0</v>
      </c>
      <c r="G1869" s="131"/>
      <c r="H1869" s="35" t="n">
        <v>0</v>
      </c>
      <c r="I1869" s="34" t="n">
        <f aca="false">+IF(E1869=0,0,E1869*0.03)</f>
        <v>0</v>
      </c>
      <c r="J1869" s="93"/>
      <c r="K1869" s="93"/>
      <c r="L1869" s="93"/>
      <c r="M1869" s="93"/>
      <c r="N1869" s="93"/>
      <c r="O1869" s="93"/>
      <c r="P1869" s="93"/>
      <c r="Q1869" s="93"/>
      <c r="R1869" s="93"/>
      <c r="S1869" s="93"/>
      <c r="T1869" s="93"/>
      <c r="U1869" s="93"/>
      <c r="V1869" s="93"/>
      <c r="W1869" s="93"/>
      <c r="X1869" s="93"/>
      <c r="Y1869" s="93"/>
      <c r="Z1869" s="93"/>
    </row>
    <row r="1870" customFormat="false" ht="16.4" hidden="false" customHeight="false" outlineLevel="0" collapsed="false">
      <c r="A1870" s="123" t="n">
        <v>45444</v>
      </c>
      <c r="B1870" s="31" t="s">
        <v>153</v>
      </c>
      <c r="C1870" s="129"/>
      <c r="D1870" s="129"/>
      <c r="E1870" s="19" t="n">
        <f aca="false">F1870*0.03</f>
        <v>0</v>
      </c>
      <c r="F1870" s="33" t="n">
        <v>0</v>
      </c>
      <c r="G1870" s="131"/>
      <c r="H1870" s="35" t="n">
        <v>0</v>
      </c>
      <c r="I1870" s="34" t="n">
        <f aca="false">+IF(E1870=0,0,E1870*0.03)</f>
        <v>0</v>
      </c>
      <c r="J1870" s="93"/>
      <c r="K1870" s="93"/>
      <c r="L1870" s="93"/>
      <c r="M1870" s="93"/>
      <c r="N1870" s="93"/>
      <c r="O1870" s="93"/>
      <c r="P1870" s="93"/>
      <c r="Q1870" s="93"/>
      <c r="R1870" s="93"/>
      <c r="S1870" s="93"/>
      <c r="T1870" s="93"/>
      <c r="U1870" s="93"/>
      <c r="V1870" s="93"/>
      <c r="W1870" s="93"/>
      <c r="X1870" s="93"/>
      <c r="Y1870" s="93"/>
      <c r="Z1870" s="93"/>
    </row>
    <row r="1871" customFormat="false" ht="16.4" hidden="false" customHeight="false" outlineLevel="0" collapsed="false">
      <c r="A1871" s="123" t="n">
        <v>45444</v>
      </c>
      <c r="B1871" s="31" t="s">
        <v>153</v>
      </c>
      <c r="C1871" s="129"/>
      <c r="D1871" s="129"/>
      <c r="E1871" s="19" t="n">
        <f aca="false">F1871*0.03</f>
        <v>0</v>
      </c>
      <c r="F1871" s="33" t="n">
        <v>0</v>
      </c>
      <c r="G1871" s="131"/>
      <c r="H1871" s="35" t="n">
        <v>0</v>
      </c>
      <c r="I1871" s="34" t="n">
        <f aca="false">+IF(E1871=0,0,E1871*0.03)</f>
        <v>0</v>
      </c>
      <c r="J1871" s="93"/>
      <c r="K1871" s="93"/>
      <c r="L1871" s="93"/>
      <c r="M1871" s="93"/>
      <c r="N1871" s="93"/>
      <c r="O1871" s="93"/>
      <c r="P1871" s="93"/>
      <c r="Q1871" s="93"/>
      <c r="R1871" s="93"/>
      <c r="S1871" s="93"/>
      <c r="T1871" s="93"/>
      <c r="U1871" s="93"/>
      <c r="V1871" s="93"/>
      <c r="W1871" s="93"/>
      <c r="X1871" s="93"/>
      <c r="Y1871" s="93"/>
      <c r="Z1871" s="93"/>
    </row>
    <row r="1872" customFormat="false" ht="16.4" hidden="false" customHeight="false" outlineLevel="0" collapsed="false">
      <c r="A1872" s="123" t="n">
        <v>45444</v>
      </c>
      <c r="B1872" s="31" t="s">
        <v>153</v>
      </c>
      <c r="C1872" s="129"/>
      <c r="D1872" s="129"/>
      <c r="E1872" s="19" t="n">
        <f aca="false">F1872*0.03</f>
        <v>0</v>
      </c>
      <c r="F1872" s="33" t="n">
        <v>0</v>
      </c>
      <c r="G1872" s="131"/>
      <c r="H1872" s="35" t="n">
        <v>0</v>
      </c>
      <c r="I1872" s="34" t="n">
        <f aca="false">+IF(E1872=0,0,E1872*0.03)</f>
        <v>0</v>
      </c>
      <c r="J1872" s="93"/>
      <c r="K1872" s="93"/>
      <c r="L1872" s="93"/>
      <c r="M1872" s="93"/>
      <c r="N1872" s="93"/>
      <c r="O1872" s="93"/>
      <c r="P1872" s="93"/>
      <c r="Q1872" s="93"/>
      <c r="R1872" s="93"/>
      <c r="S1872" s="93"/>
      <c r="T1872" s="93"/>
      <c r="U1872" s="93"/>
      <c r="V1872" s="93"/>
      <c r="W1872" s="93"/>
      <c r="X1872" s="93"/>
      <c r="Y1872" s="93"/>
      <c r="Z1872" s="93"/>
    </row>
    <row r="1873" customFormat="false" ht="16.4" hidden="false" customHeight="false" outlineLevel="0" collapsed="false">
      <c r="A1873" s="123" t="n">
        <v>45444</v>
      </c>
      <c r="B1873" s="31" t="s">
        <v>153</v>
      </c>
      <c r="C1873" s="129"/>
      <c r="D1873" s="129"/>
      <c r="E1873" s="19" t="n">
        <f aca="false">F1873*0.03</f>
        <v>0</v>
      </c>
      <c r="F1873" s="33" t="n">
        <v>0</v>
      </c>
      <c r="G1873" s="131"/>
      <c r="H1873" s="35" t="n">
        <v>0</v>
      </c>
      <c r="I1873" s="34" t="n">
        <f aca="false">+IF(E1873=0,0,E1873*0.03)</f>
        <v>0</v>
      </c>
      <c r="J1873" s="93"/>
      <c r="K1873" s="93"/>
      <c r="L1873" s="93"/>
      <c r="M1873" s="93"/>
      <c r="N1873" s="93"/>
      <c r="O1873" s="93"/>
      <c r="P1873" s="93"/>
      <c r="Q1873" s="93"/>
      <c r="R1873" s="93"/>
      <c r="S1873" s="93"/>
      <c r="T1873" s="93"/>
      <c r="U1873" s="93"/>
      <c r="V1873" s="93"/>
      <c r="W1873" s="93"/>
      <c r="X1873" s="93"/>
      <c r="Y1873" s="93"/>
      <c r="Z1873" s="93"/>
    </row>
    <row r="1874" customFormat="false" ht="16.4" hidden="false" customHeight="false" outlineLevel="0" collapsed="false">
      <c r="A1874" s="123" t="n">
        <v>45444</v>
      </c>
      <c r="B1874" s="31" t="s">
        <v>153</v>
      </c>
      <c r="C1874" s="129"/>
      <c r="D1874" s="129"/>
      <c r="E1874" s="19" t="n">
        <f aca="false">F1874*0.03</f>
        <v>0</v>
      </c>
      <c r="F1874" s="33" t="n">
        <v>0</v>
      </c>
      <c r="G1874" s="131"/>
      <c r="H1874" s="35" t="n">
        <v>0</v>
      </c>
      <c r="I1874" s="34" t="n">
        <f aca="false">+IF(E1874=0,0,E1874*0.03)</f>
        <v>0</v>
      </c>
      <c r="J1874" s="93"/>
      <c r="K1874" s="93"/>
      <c r="L1874" s="93"/>
      <c r="M1874" s="93"/>
      <c r="N1874" s="93"/>
      <c r="O1874" s="93"/>
      <c r="P1874" s="93"/>
      <c r="Q1874" s="93"/>
      <c r="R1874" s="93"/>
      <c r="S1874" s="93"/>
      <c r="T1874" s="93"/>
      <c r="U1874" s="93"/>
      <c r="V1874" s="93"/>
      <c r="W1874" s="93"/>
      <c r="X1874" s="93"/>
      <c r="Y1874" s="93"/>
      <c r="Z1874" s="93"/>
    </row>
    <row r="1875" customFormat="false" ht="16.4" hidden="false" customHeight="false" outlineLevel="0" collapsed="false">
      <c r="A1875" s="123" t="n">
        <v>45444</v>
      </c>
      <c r="B1875" s="31" t="s">
        <v>153</v>
      </c>
      <c r="C1875" s="129"/>
      <c r="D1875" s="129"/>
      <c r="E1875" s="19" t="n">
        <f aca="false">F1875*0.03</f>
        <v>0</v>
      </c>
      <c r="F1875" s="33" t="n">
        <v>0</v>
      </c>
      <c r="G1875" s="131"/>
      <c r="H1875" s="35" t="n">
        <v>0</v>
      </c>
      <c r="I1875" s="34" t="n">
        <f aca="false">+IF(E1875=0,0,E1875*0.03)</f>
        <v>0</v>
      </c>
      <c r="J1875" s="93"/>
      <c r="K1875" s="93"/>
      <c r="L1875" s="93"/>
      <c r="M1875" s="93"/>
      <c r="N1875" s="93"/>
      <c r="O1875" s="93"/>
      <c r="P1875" s="93"/>
      <c r="Q1875" s="93"/>
      <c r="R1875" s="93"/>
      <c r="S1875" s="93"/>
      <c r="T1875" s="93"/>
      <c r="U1875" s="93"/>
      <c r="V1875" s="93"/>
      <c r="W1875" s="93"/>
      <c r="X1875" s="93"/>
      <c r="Y1875" s="93"/>
      <c r="Z1875" s="93"/>
    </row>
    <row r="1876" customFormat="false" ht="16.4" hidden="false" customHeight="false" outlineLevel="0" collapsed="false">
      <c r="A1876" s="123" t="n">
        <v>45444</v>
      </c>
      <c r="B1876" s="31" t="s">
        <v>153</v>
      </c>
      <c r="C1876" s="129"/>
      <c r="D1876" s="129"/>
      <c r="E1876" s="19" t="n">
        <f aca="false">F1876*0.03</f>
        <v>0</v>
      </c>
      <c r="F1876" s="33" t="n">
        <v>0</v>
      </c>
      <c r="G1876" s="131"/>
      <c r="H1876" s="35" t="n">
        <v>0</v>
      </c>
      <c r="I1876" s="34" t="n">
        <f aca="false">+IF(E1876=0,0,E1876*0.03)</f>
        <v>0</v>
      </c>
      <c r="J1876" s="93"/>
      <c r="K1876" s="93"/>
      <c r="L1876" s="93"/>
      <c r="M1876" s="93"/>
      <c r="N1876" s="93"/>
      <c r="O1876" s="93"/>
      <c r="P1876" s="93"/>
      <c r="Q1876" s="93"/>
      <c r="R1876" s="93"/>
      <c r="S1876" s="93"/>
      <c r="T1876" s="93"/>
      <c r="U1876" s="93"/>
      <c r="V1876" s="93"/>
      <c r="W1876" s="93"/>
      <c r="X1876" s="93"/>
      <c r="Y1876" s="93"/>
      <c r="Z1876" s="93"/>
    </row>
    <row r="1877" customFormat="false" ht="16.4" hidden="false" customHeight="false" outlineLevel="0" collapsed="false">
      <c r="A1877" s="123" t="n">
        <v>45444</v>
      </c>
      <c r="B1877" s="31" t="s">
        <v>153</v>
      </c>
      <c r="C1877" s="129"/>
      <c r="D1877" s="129"/>
      <c r="E1877" s="19" t="n">
        <f aca="false">F1877*0.03</f>
        <v>0</v>
      </c>
      <c r="F1877" s="33" t="n">
        <v>0</v>
      </c>
      <c r="G1877" s="131"/>
      <c r="H1877" s="35" t="n">
        <v>0</v>
      </c>
      <c r="I1877" s="34" t="n">
        <f aca="false">+IF(E1877=0,0,E1877*0.03)</f>
        <v>0</v>
      </c>
      <c r="J1877" s="93"/>
      <c r="K1877" s="93"/>
      <c r="L1877" s="93"/>
      <c r="M1877" s="93"/>
      <c r="N1877" s="93"/>
      <c r="O1877" s="93"/>
      <c r="P1877" s="93"/>
      <c r="Q1877" s="93"/>
      <c r="R1877" s="93"/>
      <c r="S1877" s="93"/>
      <c r="T1877" s="93"/>
      <c r="U1877" s="93"/>
      <c r="V1877" s="93"/>
      <c r="W1877" s="93"/>
      <c r="X1877" s="93"/>
      <c r="Y1877" s="93"/>
      <c r="Z1877" s="93"/>
    </row>
    <row r="1878" customFormat="false" ht="16.4" hidden="false" customHeight="false" outlineLevel="0" collapsed="false">
      <c r="A1878" s="123" t="n">
        <v>45444</v>
      </c>
      <c r="B1878" s="31" t="s">
        <v>153</v>
      </c>
      <c r="C1878" s="129"/>
      <c r="D1878" s="129"/>
      <c r="E1878" s="19" t="n">
        <f aca="false">F1878*0.03</f>
        <v>0</v>
      </c>
      <c r="F1878" s="33" t="n">
        <v>0</v>
      </c>
      <c r="G1878" s="131"/>
      <c r="H1878" s="35" t="n">
        <v>0</v>
      </c>
      <c r="I1878" s="34" t="n">
        <f aca="false">+IF(E1878=0,0,E1878*0.03)</f>
        <v>0</v>
      </c>
      <c r="J1878" s="93"/>
      <c r="K1878" s="93"/>
      <c r="L1878" s="93"/>
      <c r="M1878" s="93"/>
      <c r="N1878" s="93"/>
      <c r="O1878" s="93"/>
      <c r="P1878" s="93"/>
      <c r="Q1878" s="93"/>
      <c r="R1878" s="93"/>
      <c r="S1878" s="93"/>
      <c r="T1878" s="93"/>
      <c r="U1878" s="93"/>
      <c r="V1878" s="93"/>
      <c r="W1878" s="93"/>
      <c r="X1878" s="93"/>
      <c r="Y1878" s="93"/>
      <c r="Z1878" s="93"/>
    </row>
    <row r="1879" customFormat="false" ht="16.4" hidden="false" customHeight="false" outlineLevel="0" collapsed="false">
      <c r="A1879" s="123" t="n">
        <v>45444</v>
      </c>
      <c r="B1879" s="31" t="s">
        <v>153</v>
      </c>
      <c r="C1879" s="129"/>
      <c r="D1879" s="129"/>
      <c r="E1879" s="19" t="n">
        <f aca="false">F1879*0.03</f>
        <v>0</v>
      </c>
      <c r="F1879" s="33" t="n">
        <v>0</v>
      </c>
      <c r="G1879" s="131"/>
      <c r="H1879" s="35" t="n">
        <v>0</v>
      </c>
      <c r="I1879" s="34" t="n">
        <f aca="false">+IF(E1879=0,0,E1879*0.03)</f>
        <v>0</v>
      </c>
      <c r="J1879" s="93"/>
      <c r="K1879" s="93"/>
      <c r="L1879" s="93"/>
      <c r="M1879" s="93"/>
      <c r="N1879" s="93"/>
      <c r="O1879" s="93"/>
      <c r="P1879" s="93"/>
      <c r="Q1879" s="93"/>
      <c r="R1879" s="93"/>
      <c r="S1879" s="93"/>
      <c r="T1879" s="93"/>
      <c r="U1879" s="93"/>
      <c r="V1879" s="93"/>
      <c r="W1879" s="93"/>
      <c r="X1879" s="93"/>
      <c r="Y1879" s="93"/>
      <c r="Z1879" s="93"/>
    </row>
    <row r="1880" customFormat="false" ht="16.4" hidden="false" customHeight="false" outlineLevel="0" collapsed="false">
      <c r="A1880" s="123" t="n">
        <v>45444</v>
      </c>
      <c r="B1880" s="31" t="s">
        <v>153</v>
      </c>
      <c r="C1880" s="129"/>
      <c r="D1880" s="129"/>
      <c r="E1880" s="19" t="n">
        <f aca="false">F1880*0.03</f>
        <v>0</v>
      </c>
      <c r="F1880" s="33" t="n">
        <v>0</v>
      </c>
      <c r="G1880" s="131"/>
      <c r="H1880" s="35" t="n">
        <v>0</v>
      </c>
      <c r="I1880" s="34" t="n">
        <f aca="false">+IF(E1880=0,0,E1880*0.03)</f>
        <v>0</v>
      </c>
      <c r="J1880" s="93"/>
      <c r="K1880" s="93"/>
      <c r="L1880" s="93"/>
      <c r="M1880" s="93"/>
      <c r="N1880" s="93"/>
      <c r="O1880" s="93"/>
      <c r="P1880" s="93"/>
      <c r="Q1880" s="93"/>
      <c r="R1880" s="93"/>
      <c r="S1880" s="93"/>
      <c r="T1880" s="93"/>
      <c r="U1880" s="93"/>
      <c r="V1880" s="93"/>
      <c r="W1880" s="93"/>
      <c r="X1880" s="93"/>
      <c r="Y1880" s="93"/>
      <c r="Z1880" s="93"/>
    </row>
    <row r="1881" customFormat="false" ht="16.4" hidden="false" customHeight="false" outlineLevel="0" collapsed="false">
      <c r="A1881" s="123" t="n">
        <v>45444</v>
      </c>
      <c r="B1881" s="31" t="s">
        <v>153</v>
      </c>
      <c r="C1881" s="129"/>
      <c r="D1881" s="129"/>
      <c r="E1881" s="19" t="n">
        <f aca="false">F1881*0.03</f>
        <v>0</v>
      </c>
      <c r="F1881" s="33" t="n">
        <v>0</v>
      </c>
      <c r="G1881" s="131"/>
      <c r="H1881" s="35" t="n">
        <v>0</v>
      </c>
      <c r="I1881" s="34" t="n">
        <f aca="false">+IF(E1881=0,0,E1881*0.03)</f>
        <v>0</v>
      </c>
      <c r="J1881" s="93"/>
      <c r="K1881" s="93"/>
      <c r="L1881" s="93"/>
      <c r="M1881" s="93"/>
      <c r="N1881" s="93"/>
      <c r="O1881" s="93"/>
      <c r="P1881" s="93"/>
      <c r="Q1881" s="93"/>
      <c r="R1881" s="93"/>
      <c r="S1881" s="93"/>
      <c r="T1881" s="93"/>
      <c r="U1881" s="93"/>
      <c r="V1881" s="93"/>
      <c r="W1881" s="93"/>
      <c r="X1881" s="93"/>
      <c r="Y1881" s="93"/>
      <c r="Z1881" s="93"/>
    </row>
    <row r="1882" customFormat="false" ht="16.4" hidden="false" customHeight="false" outlineLevel="0" collapsed="false">
      <c r="A1882" s="123" t="n">
        <v>45444</v>
      </c>
      <c r="B1882" s="31" t="s">
        <v>153</v>
      </c>
      <c r="C1882" s="129"/>
      <c r="D1882" s="129"/>
      <c r="E1882" s="19" t="n">
        <f aca="false">F1882*0.03</f>
        <v>0</v>
      </c>
      <c r="F1882" s="33" t="n">
        <v>0</v>
      </c>
      <c r="G1882" s="131"/>
      <c r="H1882" s="35" t="n">
        <v>0</v>
      </c>
      <c r="I1882" s="34" t="n">
        <f aca="false">+IF(E1882=0,0,E1882*0.03)</f>
        <v>0</v>
      </c>
      <c r="J1882" s="93"/>
      <c r="K1882" s="93"/>
      <c r="L1882" s="93"/>
      <c r="M1882" s="93"/>
      <c r="N1882" s="93"/>
      <c r="O1882" s="93"/>
      <c r="P1882" s="93"/>
      <c r="Q1882" s="93"/>
      <c r="R1882" s="93"/>
      <c r="S1882" s="93"/>
      <c r="T1882" s="93"/>
      <c r="U1882" s="93"/>
      <c r="V1882" s="93"/>
      <c r="W1882" s="93"/>
      <c r="X1882" s="93"/>
      <c r="Y1882" s="93"/>
      <c r="Z1882" s="93"/>
    </row>
    <row r="1883" customFormat="false" ht="16.4" hidden="false" customHeight="false" outlineLevel="0" collapsed="false">
      <c r="A1883" s="123" t="n">
        <v>45444</v>
      </c>
      <c r="B1883" s="31" t="s">
        <v>153</v>
      </c>
      <c r="C1883" s="129"/>
      <c r="D1883" s="129"/>
      <c r="E1883" s="19" t="n">
        <f aca="false">F1883*0.03</f>
        <v>0</v>
      </c>
      <c r="F1883" s="33" t="n">
        <v>0</v>
      </c>
      <c r="G1883" s="131"/>
      <c r="H1883" s="35" t="n">
        <v>0</v>
      </c>
      <c r="I1883" s="34" t="n">
        <f aca="false">+IF(E1883=0,0,E1883*0.03)</f>
        <v>0</v>
      </c>
      <c r="J1883" s="93"/>
      <c r="K1883" s="93"/>
      <c r="L1883" s="93"/>
      <c r="M1883" s="93"/>
      <c r="N1883" s="93"/>
      <c r="O1883" s="93"/>
      <c r="P1883" s="93"/>
      <c r="Q1883" s="93"/>
      <c r="R1883" s="93"/>
      <c r="S1883" s="93"/>
      <c r="T1883" s="93"/>
      <c r="U1883" s="93"/>
      <c r="V1883" s="93"/>
      <c r="W1883" s="93"/>
      <c r="X1883" s="93"/>
      <c r="Y1883" s="93"/>
      <c r="Z1883" s="93"/>
    </row>
    <row r="1884" customFormat="false" ht="16.4" hidden="false" customHeight="false" outlineLevel="0" collapsed="false">
      <c r="A1884" s="123" t="n">
        <v>45444</v>
      </c>
      <c r="B1884" s="31" t="s">
        <v>153</v>
      </c>
      <c r="C1884" s="129"/>
      <c r="D1884" s="129"/>
      <c r="E1884" s="19" t="n">
        <f aca="false">F1884*0.03</f>
        <v>0</v>
      </c>
      <c r="F1884" s="33" t="n">
        <v>0</v>
      </c>
      <c r="G1884" s="131"/>
      <c r="H1884" s="35" t="n">
        <v>0</v>
      </c>
      <c r="I1884" s="34" t="n">
        <f aca="false">+IF(E1884=0,0,E1884*0.03)</f>
        <v>0</v>
      </c>
      <c r="J1884" s="93"/>
      <c r="K1884" s="93"/>
      <c r="L1884" s="93"/>
      <c r="M1884" s="93"/>
      <c r="N1884" s="93"/>
      <c r="O1884" s="93"/>
      <c r="P1884" s="93"/>
      <c r="Q1884" s="93"/>
      <c r="R1884" s="93"/>
      <c r="S1884" s="93"/>
      <c r="T1884" s="93"/>
      <c r="U1884" s="93"/>
      <c r="V1884" s="93"/>
      <c r="W1884" s="93"/>
      <c r="X1884" s="93"/>
      <c r="Y1884" s="93"/>
      <c r="Z1884" s="93"/>
    </row>
    <row r="1885" customFormat="false" ht="16.4" hidden="false" customHeight="false" outlineLevel="0" collapsed="false">
      <c r="A1885" s="123" t="n">
        <v>45444</v>
      </c>
      <c r="B1885" s="31" t="s">
        <v>153</v>
      </c>
      <c r="C1885" s="129"/>
      <c r="D1885" s="129"/>
      <c r="E1885" s="19" t="n">
        <f aca="false">F1885*0.03</f>
        <v>0</v>
      </c>
      <c r="F1885" s="33" t="n">
        <v>0</v>
      </c>
      <c r="G1885" s="131"/>
      <c r="H1885" s="35" t="n">
        <v>0</v>
      </c>
      <c r="I1885" s="34" t="n">
        <f aca="false">+IF(E1885=0,0,E1885*0.03)</f>
        <v>0</v>
      </c>
      <c r="J1885" s="93"/>
      <c r="K1885" s="93"/>
      <c r="L1885" s="93"/>
      <c r="M1885" s="93"/>
      <c r="N1885" s="93"/>
      <c r="O1885" s="93"/>
      <c r="P1885" s="93"/>
      <c r="Q1885" s="93"/>
      <c r="R1885" s="93"/>
      <c r="S1885" s="93"/>
      <c r="T1885" s="93"/>
      <c r="U1885" s="93"/>
      <c r="V1885" s="93"/>
      <c r="W1885" s="93"/>
      <c r="X1885" s="93"/>
      <c r="Y1885" s="93"/>
      <c r="Z1885" s="93"/>
    </row>
    <row r="1886" customFormat="false" ht="16.4" hidden="false" customHeight="false" outlineLevel="0" collapsed="false">
      <c r="A1886" s="123" t="n">
        <v>45444</v>
      </c>
      <c r="B1886" s="31" t="s">
        <v>153</v>
      </c>
      <c r="C1886" s="129"/>
      <c r="D1886" s="129"/>
      <c r="E1886" s="19" t="n">
        <f aca="false">F1886*0.03</f>
        <v>0</v>
      </c>
      <c r="F1886" s="33" t="n">
        <v>0</v>
      </c>
      <c r="G1886" s="131"/>
      <c r="H1886" s="35" t="n">
        <v>0</v>
      </c>
      <c r="I1886" s="34" t="n">
        <f aca="false">+IF(E1886=0,0,E1886*0.03)</f>
        <v>0</v>
      </c>
      <c r="J1886" s="93"/>
      <c r="K1886" s="93"/>
      <c r="L1886" s="93"/>
      <c r="M1886" s="93"/>
      <c r="N1886" s="93"/>
      <c r="O1886" s="93"/>
      <c r="P1886" s="93"/>
      <c r="Q1886" s="93"/>
      <c r="R1886" s="93"/>
      <c r="S1886" s="93"/>
      <c r="T1886" s="93"/>
      <c r="U1886" s="93"/>
      <c r="V1886" s="93"/>
      <c r="W1886" s="93"/>
      <c r="X1886" s="93"/>
      <c r="Y1886" s="93"/>
      <c r="Z1886" s="93"/>
    </row>
    <row r="1887" customFormat="false" ht="16.4" hidden="false" customHeight="false" outlineLevel="0" collapsed="false">
      <c r="A1887" s="123" t="n">
        <v>45444</v>
      </c>
      <c r="B1887" s="31" t="s">
        <v>153</v>
      </c>
      <c r="C1887" s="129"/>
      <c r="D1887" s="129"/>
      <c r="E1887" s="19" t="n">
        <f aca="false">F1887*0.03</f>
        <v>0</v>
      </c>
      <c r="F1887" s="33" t="n">
        <v>0</v>
      </c>
      <c r="G1887" s="131"/>
      <c r="H1887" s="35" t="n">
        <v>0</v>
      </c>
      <c r="I1887" s="34" t="n">
        <f aca="false">+IF(E1887=0,0,E1887*0.03)</f>
        <v>0</v>
      </c>
      <c r="J1887" s="93"/>
      <c r="K1887" s="93"/>
      <c r="L1887" s="93"/>
      <c r="M1887" s="93"/>
      <c r="N1887" s="93"/>
      <c r="O1887" s="93"/>
      <c r="P1887" s="93"/>
      <c r="Q1887" s="93"/>
      <c r="R1887" s="93"/>
      <c r="S1887" s="93"/>
      <c r="T1887" s="93"/>
      <c r="U1887" s="93"/>
      <c r="V1887" s="93"/>
      <c r="W1887" s="93"/>
      <c r="X1887" s="93"/>
      <c r="Y1887" s="93"/>
      <c r="Z1887" s="93"/>
    </row>
    <row r="1888" customFormat="false" ht="16.4" hidden="false" customHeight="false" outlineLevel="0" collapsed="false">
      <c r="A1888" s="123" t="n">
        <v>45444</v>
      </c>
      <c r="B1888" s="31" t="s">
        <v>153</v>
      </c>
      <c r="C1888" s="129"/>
      <c r="D1888" s="129"/>
      <c r="E1888" s="19" t="n">
        <f aca="false">F1888*0.03</f>
        <v>0</v>
      </c>
      <c r="F1888" s="33" t="n">
        <v>0</v>
      </c>
      <c r="G1888" s="131"/>
      <c r="H1888" s="35" t="n">
        <v>0</v>
      </c>
      <c r="I1888" s="34" t="n">
        <f aca="false">+IF(E1888=0,0,E1888*0.03)</f>
        <v>0</v>
      </c>
      <c r="J1888" s="93"/>
      <c r="K1888" s="93"/>
      <c r="L1888" s="93"/>
      <c r="M1888" s="93"/>
      <c r="N1888" s="93"/>
      <c r="O1888" s="93"/>
      <c r="P1888" s="93"/>
      <c r="Q1888" s="93"/>
      <c r="R1888" s="93"/>
      <c r="S1888" s="93"/>
      <c r="T1888" s="93"/>
      <c r="U1888" s="93"/>
      <c r="V1888" s="93"/>
      <c r="W1888" s="93"/>
      <c r="X1888" s="93"/>
      <c r="Y1888" s="93"/>
      <c r="Z1888" s="93"/>
    </row>
    <row r="1889" customFormat="false" ht="16.4" hidden="false" customHeight="false" outlineLevel="0" collapsed="false">
      <c r="A1889" s="123" t="n">
        <v>45444</v>
      </c>
      <c r="B1889" s="31" t="s">
        <v>153</v>
      </c>
      <c r="C1889" s="129"/>
      <c r="D1889" s="129"/>
      <c r="E1889" s="19" t="n">
        <f aca="false">F1889*0.03</f>
        <v>0</v>
      </c>
      <c r="F1889" s="33" t="n">
        <v>0</v>
      </c>
      <c r="G1889" s="131"/>
      <c r="H1889" s="35" t="n">
        <v>0</v>
      </c>
      <c r="I1889" s="34" t="n">
        <f aca="false">+IF(E1889=0,0,E1889*0.03)</f>
        <v>0</v>
      </c>
      <c r="J1889" s="93"/>
      <c r="K1889" s="93"/>
      <c r="L1889" s="93"/>
      <c r="M1889" s="93"/>
      <c r="N1889" s="93"/>
      <c r="O1889" s="93"/>
      <c r="P1889" s="93"/>
      <c r="Q1889" s="93"/>
      <c r="R1889" s="93"/>
      <c r="S1889" s="93"/>
      <c r="T1889" s="93"/>
      <c r="U1889" s="93"/>
      <c r="V1889" s="93"/>
      <c r="W1889" s="93"/>
      <c r="X1889" s="93"/>
      <c r="Y1889" s="93"/>
      <c r="Z1889" s="93"/>
    </row>
    <row r="1890" customFormat="false" ht="16.4" hidden="false" customHeight="false" outlineLevel="0" collapsed="false">
      <c r="A1890" s="123" t="n">
        <v>45444</v>
      </c>
      <c r="B1890" s="31" t="s">
        <v>153</v>
      </c>
      <c r="C1890" s="129"/>
      <c r="D1890" s="129"/>
      <c r="E1890" s="19" t="n">
        <f aca="false">F1890*0.03</f>
        <v>0</v>
      </c>
      <c r="F1890" s="33" t="n">
        <v>0</v>
      </c>
      <c r="G1890" s="131"/>
      <c r="H1890" s="35" t="n">
        <v>0</v>
      </c>
      <c r="I1890" s="34" t="n">
        <f aca="false">+IF(E1890=0,0,E1890*0.03)</f>
        <v>0</v>
      </c>
      <c r="J1890" s="93"/>
      <c r="K1890" s="93"/>
      <c r="L1890" s="93"/>
      <c r="M1890" s="93"/>
      <c r="N1890" s="93"/>
      <c r="O1890" s="93"/>
      <c r="P1890" s="93"/>
      <c r="Q1890" s="93"/>
      <c r="R1890" s="93"/>
      <c r="S1890" s="93"/>
      <c r="T1890" s="93"/>
      <c r="U1890" s="93"/>
      <c r="V1890" s="93"/>
      <c r="W1890" s="93"/>
      <c r="X1890" s="93"/>
      <c r="Y1890" s="93"/>
      <c r="Z1890" s="93"/>
    </row>
    <row r="1891" customFormat="false" ht="16.4" hidden="false" customHeight="false" outlineLevel="0" collapsed="false">
      <c r="A1891" s="123" t="n">
        <v>45444</v>
      </c>
      <c r="B1891" s="31" t="s">
        <v>153</v>
      </c>
      <c r="C1891" s="129"/>
      <c r="D1891" s="129"/>
      <c r="E1891" s="19" t="n">
        <f aca="false">F1891*0.03</f>
        <v>0</v>
      </c>
      <c r="F1891" s="33" t="n">
        <v>0</v>
      </c>
      <c r="G1891" s="131"/>
      <c r="H1891" s="35" t="n">
        <v>0</v>
      </c>
      <c r="I1891" s="34" t="n">
        <f aca="false">+IF(E1891=0,0,E1891*0.03)</f>
        <v>0</v>
      </c>
      <c r="J1891" s="93"/>
      <c r="K1891" s="93"/>
      <c r="L1891" s="93"/>
      <c r="M1891" s="93"/>
      <c r="N1891" s="93"/>
      <c r="O1891" s="93"/>
      <c r="P1891" s="93"/>
      <c r="Q1891" s="93"/>
      <c r="R1891" s="93"/>
      <c r="S1891" s="93"/>
      <c r="T1891" s="93"/>
      <c r="U1891" s="93"/>
      <c r="V1891" s="93"/>
      <c r="W1891" s="93"/>
      <c r="X1891" s="93"/>
      <c r="Y1891" s="93"/>
      <c r="Z1891" s="93"/>
    </row>
    <row r="1892" customFormat="false" ht="16.4" hidden="false" customHeight="false" outlineLevel="0" collapsed="false">
      <c r="A1892" s="123" t="n">
        <v>45444</v>
      </c>
      <c r="B1892" s="31" t="s">
        <v>153</v>
      </c>
      <c r="C1892" s="129"/>
      <c r="D1892" s="129"/>
      <c r="E1892" s="19" t="n">
        <f aca="false">F1892*0.03</f>
        <v>0</v>
      </c>
      <c r="F1892" s="33" t="n">
        <v>0</v>
      </c>
      <c r="G1892" s="131"/>
      <c r="H1892" s="35" t="n">
        <v>0</v>
      </c>
      <c r="I1892" s="34" t="n">
        <f aca="false">+IF(E1892=0,0,E1892*0.03)</f>
        <v>0</v>
      </c>
      <c r="J1892" s="93"/>
      <c r="K1892" s="93"/>
      <c r="L1892" s="93"/>
      <c r="M1892" s="93"/>
      <c r="N1892" s="93"/>
      <c r="O1892" s="93"/>
      <c r="P1892" s="93"/>
      <c r="Q1892" s="93"/>
      <c r="R1892" s="93"/>
      <c r="S1892" s="93"/>
      <c r="T1892" s="93"/>
      <c r="U1892" s="93"/>
      <c r="V1892" s="93"/>
      <c r="W1892" s="93"/>
      <c r="X1892" s="93"/>
      <c r="Y1892" s="93"/>
      <c r="Z1892" s="93"/>
    </row>
    <row r="1893" customFormat="false" ht="16.4" hidden="false" customHeight="false" outlineLevel="0" collapsed="false">
      <c r="A1893" s="123" t="n">
        <v>45444</v>
      </c>
      <c r="B1893" s="31" t="s">
        <v>153</v>
      </c>
      <c r="C1893" s="129"/>
      <c r="D1893" s="129"/>
      <c r="E1893" s="19" t="n">
        <f aca="false">F1893*0.03</f>
        <v>0</v>
      </c>
      <c r="F1893" s="33" t="n">
        <v>0</v>
      </c>
      <c r="G1893" s="131"/>
      <c r="H1893" s="35" t="n">
        <v>0</v>
      </c>
      <c r="I1893" s="34" t="n">
        <f aca="false">+IF(E1893=0,0,E1893*0.03)</f>
        <v>0</v>
      </c>
      <c r="J1893" s="93"/>
      <c r="K1893" s="93"/>
      <c r="L1893" s="93"/>
      <c r="M1893" s="93"/>
      <c r="N1893" s="93"/>
      <c r="O1893" s="93"/>
      <c r="P1893" s="93"/>
      <c r="Q1893" s="93"/>
      <c r="R1893" s="93"/>
      <c r="S1893" s="93"/>
      <c r="T1893" s="93"/>
      <c r="U1893" s="93"/>
      <c r="V1893" s="93"/>
      <c r="W1893" s="93"/>
      <c r="X1893" s="93"/>
      <c r="Y1893" s="93"/>
      <c r="Z1893" s="93"/>
    </row>
    <row r="1894" customFormat="false" ht="16.4" hidden="false" customHeight="false" outlineLevel="0" collapsed="false">
      <c r="A1894" s="123" t="n">
        <v>45444</v>
      </c>
      <c r="B1894" s="31" t="s">
        <v>153</v>
      </c>
      <c r="C1894" s="129"/>
      <c r="D1894" s="129"/>
      <c r="E1894" s="19" t="n">
        <f aca="false">F1894*0.03</f>
        <v>0</v>
      </c>
      <c r="F1894" s="33" t="n">
        <v>0</v>
      </c>
      <c r="G1894" s="131"/>
      <c r="H1894" s="35" t="n">
        <v>0</v>
      </c>
      <c r="I1894" s="34" t="n">
        <f aca="false">+IF(E1894=0,0,E1894*0.03)</f>
        <v>0</v>
      </c>
      <c r="J1894" s="93"/>
      <c r="K1894" s="93"/>
      <c r="L1894" s="93"/>
      <c r="M1894" s="93"/>
      <c r="N1894" s="93"/>
      <c r="O1894" s="93"/>
      <c r="P1894" s="93"/>
      <c r="Q1894" s="93"/>
      <c r="R1894" s="93"/>
      <c r="S1894" s="93"/>
      <c r="T1894" s="93"/>
      <c r="U1894" s="93"/>
      <c r="V1894" s="93"/>
      <c r="W1894" s="93"/>
      <c r="X1894" s="93"/>
      <c r="Y1894" s="93"/>
      <c r="Z1894" s="93"/>
    </row>
    <row r="1895" customFormat="false" ht="16.4" hidden="false" customHeight="false" outlineLevel="0" collapsed="false">
      <c r="A1895" s="123" t="n">
        <v>45444</v>
      </c>
      <c r="B1895" s="31" t="s">
        <v>153</v>
      </c>
      <c r="C1895" s="129"/>
      <c r="D1895" s="129"/>
      <c r="E1895" s="19" t="n">
        <f aca="false">F1895*0.03</f>
        <v>0</v>
      </c>
      <c r="F1895" s="33" t="n">
        <v>0</v>
      </c>
      <c r="G1895" s="131"/>
      <c r="H1895" s="35" t="n">
        <v>0</v>
      </c>
      <c r="I1895" s="34" t="n">
        <f aca="false">+IF(E1895=0,0,E1895*0.03)</f>
        <v>0</v>
      </c>
      <c r="J1895" s="93"/>
      <c r="K1895" s="93"/>
      <c r="L1895" s="93"/>
      <c r="M1895" s="93"/>
      <c r="N1895" s="93"/>
      <c r="O1895" s="93"/>
      <c r="P1895" s="93"/>
      <c r="Q1895" s="93"/>
      <c r="R1895" s="93"/>
      <c r="S1895" s="93"/>
      <c r="T1895" s="93"/>
      <c r="U1895" s="93"/>
      <c r="V1895" s="93"/>
      <c r="W1895" s="93"/>
      <c r="X1895" s="93"/>
      <c r="Y1895" s="93"/>
      <c r="Z1895" s="93"/>
    </row>
    <row r="1896" customFormat="false" ht="16.4" hidden="false" customHeight="false" outlineLevel="0" collapsed="false">
      <c r="A1896" s="123" t="n">
        <v>45444</v>
      </c>
      <c r="B1896" s="31" t="s">
        <v>153</v>
      </c>
      <c r="C1896" s="129"/>
      <c r="D1896" s="129"/>
      <c r="E1896" s="19" t="n">
        <f aca="false">F1896*0.03</f>
        <v>0</v>
      </c>
      <c r="F1896" s="33" t="n">
        <v>0</v>
      </c>
      <c r="G1896" s="131"/>
      <c r="H1896" s="35" t="n">
        <v>0</v>
      </c>
      <c r="I1896" s="34" t="n">
        <f aca="false">+IF(E1896=0,0,E1896*0.03)</f>
        <v>0</v>
      </c>
      <c r="J1896" s="93"/>
      <c r="K1896" s="93"/>
      <c r="L1896" s="93"/>
      <c r="M1896" s="93"/>
      <c r="N1896" s="93"/>
      <c r="O1896" s="93"/>
      <c r="P1896" s="93"/>
      <c r="Q1896" s="93"/>
      <c r="R1896" s="93"/>
      <c r="S1896" s="93"/>
      <c r="T1896" s="93"/>
      <c r="U1896" s="93"/>
      <c r="V1896" s="93"/>
      <c r="W1896" s="93"/>
      <c r="X1896" s="93"/>
      <c r="Y1896" s="93"/>
      <c r="Z1896" s="93"/>
    </row>
    <row r="1897" customFormat="false" ht="16.4" hidden="false" customHeight="false" outlineLevel="0" collapsed="false">
      <c r="A1897" s="123" t="n">
        <v>45444</v>
      </c>
      <c r="B1897" s="31" t="s">
        <v>153</v>
      </c>
      <c r="C1897" s="129"/>
      <c r="D1897" s="129"/>
      <c r="E1897" s="19" t="n">
        <f aca="false">F1897*0.03</f>
        <v>0</v>
      </c>
      <c r="F1897" s="33" t="n">
        <v>0</v>
      </c>
      <c r="G1897" s="131"/>
      <c r="H1897" s="35" t="n">
        <v>0</v>
      </c>
      <c r="I1897" s="34" t="n">
        <f aca="false">+IF(E1897=0,0,E1897*0.03)</f>
        <v>0</v>
      </c>
      <c r="J1897" s="93"/>
      <c r="K1897" s="93"/>
      <c r="L1897" s="93"/>
      <c r="M1897" s="93"/>
      <c r="N1897" s="93"/>
      <c r="O1897" s="93"/>
      <c r="P1897" s="93"/>
      <c r="Q1897" s="93"/>
      <c r="R1897" s="93"/>
      <c r="S1897" s="93"/>
      <c r="T1897" s="93"/>
      <c r="U1897" s="93"/>
      <c r="V1897" s="93"/>
      <c r="W1897" s="93"/>
      <c r="X1897" s="93"/>
      <c r="Y1897" s="93"/>
      <c r="Z1897" s="93"/>
    </row>
    <row r="1898" customFormat="false" ht="16.4" hidden="false" customHeight="false" outlineLevel="0" collapsed="false">
      <c r="A1898" s="123" t="n">
        <v>45444</v>
      </c>
      <c r="B1898" s="31" t="s">
        <v>153</v>
      </c>
      <c r="C1898" s="129"/>
      <c r="D1898" s="129"/>
      <c r="E1898" s="19" t="n">
        <f aca="false">F1898*0.03</f>
        <v>0</v>
      </c>
      <c r="F1898" s="33" t="n">
        <v>0</v>
      </c>
      <c r="G1898" s="131"/>
      <c r="H1898" s="35" t="n">
        <v>0</v>
      </c>
      <c r="I1898" s="34" t="n">
        <f aca="false">+IF(E1898=0,0,E1898*0.03)</f>
        <v>0</v>
      </c>
      <c r="J1898" s="93"/>
      <c r="K1898" s="93"/>
      <c r="L1898" s="93"/>
      <c r="M1898" s="93"/>
      <c r="N1898" s="93"/>
      <c r="O1898" s="93"/>
      <c r="P1898" s="93"/>
      <c r="Q1898" s="93"/>
      <c r="R1898" s="93"/>
      <c r="S1898" s="93"/>
      <c r="T1898" s="93"/>
      <c r="U1898" s="93"/>
      <c r="V1898" s="93"/>
      <c r="W1898" s="93"/>
      <c r="X1898" s="93"/>
      <c r="Y1898" s="93"/>
      <c r="Z1898" s="93"/>
    </row>
    <row r="1899" customFormat="false" ht="16.4" hidden="false" customHeight="false" outlineLevel="0" collapsed="false">
      <c r="A1899" s="123" t="n">
        <v>45444</v>
      </c>
      <c r="B1899" s="31" t="s">
        <v>153</v>
      </c>
      <c r="C1899" s="129"/>
      <c r="D1899" s="129"/>
      <c r="E1899" s="19" t="n">
        <f aca="false">F1899*0.03</f>
        <v>0</v>
      </c>
      <c r="F1899" s="33" t="n">
        <v>0</v>
      </c>
      <c r="G1899" s="131"/>
      <c r="H1899" s="35" t="n">
        <v>0</v>
      </c>
      <c r="I1899" s="34" t="n">
        <f aca="false">+IF(E1899=0,0,E1899*0.03)</f>
        <v>0</v>
      </c>
      <c r="J1899" s="93"/>
      <c r="K1899" s="93"/>
      <c r="L1899" s="93"/>
      <c r="M1899" s="93"/>
      <c r="N1899" s="93"/>
      <c r="O1899" s="93"/>
      <c r="P1899" s="93"/>
      <c r="Q1899" s="93"/>
      <c r="R1899" s="93"/>
      <c r="S1899" s="93"/>
      <c r="T1899" s="93"/>
      <c r="U1899" s="93"/>
      <c r="V1899" s="93"/>
      <c r="W1899" s="93"/>
      <c r="X1899" s="93"/>
      <c r="Y1899" s="93"/>
      <c r="Z1899" s="93"/>
    </row>
    <row r="1900" customFormat="false" ht="16.4" hidden="false" customHeight="false" outlineLevel="0" collapsed="false">
      <c r="A1900" s="123" t="n">
        <v>45444</v>
      </c>
      <c r="B1900" s="31" t="s">
        <v>153</v>
      </c>
      <c r="C1900" s="129"/>
      <c r="D1900" s="129"/>
      <c r="E1900" s="19" t="n">
        <f aca="false">F1900*0.03</f>
        <v>0</v>
      </c>
      <c r="F1900" s="33" t="n">
        <v>0</v>
      </c>
      <c r="G1900" s="131"/>
      <c r="H1900" s="35" t="n">
        <v>0</v>
      </c>
      <c r="I1900" s="34" t="n">
        <f aca="false">+IF(E1900=0,0,E1900*0.03)</f>
        <v>0</v>
      </c>
      <c r="J1900" s="93"/>
      <c r="K1900" s="93"/>
      <c r="L1900" s="93"/>
      <c r="M1900" s="93"/>
      <c r="N1900" s="93"/>
      <c r="O1900" s="93"/>
      <c r="P1900" s="93"/>
      <c r="Q1900" s="93"/>
      <c r="R1900" s="93"/>
      <c r="S1900" s="93"/>
      <c r="T1900" s="93"/>
      <c r="U1900" s="93"/>
      <c r="V1900" s="93"/>
      <c r="W1900" s="93"/>
      <c r="X1900" s="93"/>
      <c r="Y1900" s="93"/>
      <c r="Z1900" s="93"/>
    </row>
    <row r="1901" customFormat="false" ht="16.4" hidden="false" customHeight="false" outlineLevel="0" collapsed="false">
      <c r="A1901" s="123" t="n">
        <v>45444</v>
      </c>
      <c r="B1901" s="31" t="s">
        <v>153</v>
      </c>
      <c r="C1901" s="129"/>
      <c r="D1901" s="129"/>
      <c r="E1901" s="19" t="n">
        <f aca="false">F1901*0.03</f>
        <v>0</v>
      </c>
      <c r="F1901" s="33" t="n">
        <v>0</v>
      </c>
      <c r="G1901" s="131"/>
      <c r="H1901" s="35" t="n">
        <v>0</v>
      </c>
      <c r="I1901" s="34" t="n">
        <f aca="false">+IF(E1901=0,0,E1901*0.03)</f>
        <v>0</v>
      </c>
      <c r="J1901" s="93"/>
      <c r="K1901" s="93"/>
      <c r="L1901" s="93"/>
      <c r="M1901" s="93"/>
      <c r="N1901" s="93"/>
      <c r="O1901" s="93"/>
      <c r="P1901" s="93"/>
      <c r="Q1901" s="93"/>
      <c r="R1901" s="93"/>
      <c r="S1901" s="93"/>
      <c r="T1901" s="93"/>
      <c r="U1901" s="93"/>
      <c r="V1901" s="93"/>
      <c r="W1901" s="93"/>
      <c r="X1901" s="93"/>
      <c r="Y1901" s="93"/>
      <c r="Z1901" s="93"/>
    </row>
    <row r="1902" customFormat="false" ht="16.4" hidden="false" customHeight="false" outlineLevel="0" collapsed="false">
      <c r="A1902" s="123" t="n">
        <v>45444</v>
      </c>
      <c r="B1902" s="31" t="s">
        <v>153</v>
      </c>
      <c r="C1902" s="129"/>
      <c r="D1902" s="129"/>
      <c r="E1902" s="19" t="n">
        <f aca="false">F1902*0.03</f>
        <v>0</v>
      </c>
      <c r="F1902" s="33" t="n">
        <v>0</v>
      </c>
      <c r="G1902" s="131"/>
      <c r="H1902" s="35" t="n">
        <v>0</v>
      </c>
      <c r="I1902" s="34" t="n">
        <f aca="false">+IF(E1902=0,0,E1902*0.03)</f>
        <v>0</v>
      </c>
      <c r="J1902" s="93"/>
      <c r="K1902" s="93"/>
      <c r="L1902" s="93"/>
      <c r="M1902" s="93"/>
      <c r="N1902" s="93"/>
      <c r="O1902" s="93"/>
      <c r="P1902" s="93"/>
      <c r="Q1902" s="93"/>
      <c r="R1902" s="93"/>
      <c r="S1902" s="93"/>
      <c r="T1902" s="93"/>
      <c r="U1902" s="93"/>
      <c r="V1902" s="93"/>
      <c r="W1902" s="93"/>
      <c r="X1902" s="93"/>
      <c r="Y1902" s="93"/>
      <c r="Z1902" s="93"/>
    </row>
    <row r="1903" customFormat="false" ht="16.4" hidden="false" customHeight="false" outlineLevel="0" collapsed="false">
      <c r="A1903" s="123" t="n">
        <v>45444</v>
      </c>
      <c r="B1903" s="31" t="s">
        <v>153</v>
      </c>
      <c r="C1903" s="129"/>
      <c r="D1903" s="129"/>
      <c r="E1903" s="19" t="n">
        <f aca="false">F1903*0.03</f>
        <v>0</v>
      </c>
      <c r="F1903" s="33" t="n">
        <v>0</v>
      </c>
      <c r="G1903" s="131"/>
      <c r="H1903" s="35" t="n">
        <v>0</v>
      </c>
      <c r="I1903" s="34" t="n">
        <f aca="false">+IF(E1903=0,0,E1903*0.03)</f>
        <v>0</v>
      </c>
      <c r="J1903" s="93"/>
      <c r="K1903" s="93"/>
      <c r="L1903" s="93"/>
      <c r="M1903" s="93"/>
      <c r="N1903" s="93"/>
      <c r="O1903" s="93"/>
      <c r="P1903" s="93"/>
      <c r="Q1903" s="93"/>
      <c r="R1903" s="93"/>
      <c r="S1903" s="93"/>
      <c r="T1903" s="93"/>
      <c r="U1903" s="93"/>
      <c r="V1903" s="93"/>
      <c r="W1903" s="93"/>
      <c r="X1903" s="93"/>
      <c r="Y1903" s="93"/>
      <c r="Z1903" s="93"/>
    </row>
    <row r="1904" customFormat="false" ht="16.4" hidden="false" customHeight="false" outlineLevel="0" collapsed="false">
      <c r="A1904" s="123" t="n">
        <v>45444</v>
      </c>
      <c r="B1904" s="31" t="s">
        <v>153</v>
      </c>
      <c r="C1904" s="129"/>
      <c r="D1904" s="129"/>
      <c r="E1904" s="19" t="n">
        <f aca="false">F1904*0.03</f>
        <v>0</v>
      </c>
      <c r="F1904" s="33" t="n">
        <v>0</v>
      </c>
      <c r="G1904" s="131"/>
      <c r="H1904" s="35" t="n">
        <v>0</v>
      </c>
      <c r="I1904" s="34" t="n">
        <f aca="false">+IF(E1904=0,0,E1904*0.03)</f>
        <v>0</v>
      </c>
      <c r="J1904" s="93"/>
      <c r="K1904" s="93"/>
      <c r="L1904" s="93"/>
      <c r="M1904" s="93"/>
      <c r="N1904" s="93"/>
      <c r="O1904" s="93"/>
      <c r="P1904" s="93"/>
      <c r="Q1904" s="93"/>
      <c r="R1904" s="93"/>
      <c r="S1904" s="93"/>
      <c r="T1904" s="93"/>
      <c r="U1904" s="93"/>
      <c r="V1904" s="93"/>
      <c r="W1904" s="93"/>
      <c r="X1904" s="93"/>
      <c r="Y1904" s="93"/>
      <c r="Z1904" s="93"/>
    </row>
    <row r="1905" customFormat="false" ht="16.4" hidden="false" customHeight="false" outlineLevel="0" collapsed="false">
      <c r="A1905" s="123" t="n">
        <v>45444</v>
      </c>
      <c r="B1905" s="31" t="s">
        <v>153</v>
      </c>
      <c r="C1905" s="129"/>
      <c r="D1905" s="129"/>
      <c r="E1905" s="19" t="n">
        <f aca="false">F1905*0.03</f>
        <v>0</v>
      </c>
      <c r="F1905" s="33" t="n">
        <v>0</v>
      </c>
      <c r="G1905" s="131"/>
      <c r="H1905" s="35" t="n">
        <v>0</v>
      </c>
      <c r="I1905" s="34" t="n">
        <f aca="false">+IF(E1905=0,0,E1905*0.03)</f>
        <v>0</v>
      </c>
      <c r="J1905" s="93"/>
      <c r="K1905" s="93"/>
      <c r="L1905" s="93"/>
      <c r="M1905" s="93"/>
      <c r="N1905" s="93"/>
      <c r="O1905" s="93"/>
      <c r="P1905" s="93"/>
      <c r="Q1905" s="93"/>
      <c r="R1905" s="93"/>
      <c r="S1905" s="93"/>
      <c r="T1905" s="93"/>
      <c r="U1905" s="93"/>
      <c r="V1905" s="93"/>
      <c r="W1905" s="93"/>
      <c r="X1905" s="93"/>
      <c r="Y1905" s="93"/>
      <c r="Z1905" s="93"/>
    </row>
    <row r="1906" customFormat="false" ht="16.4" hidden="false" customHeight="false" outlineLevel="0" collapsed="false">
      <c r="A1906" s="123" t="n">
        <v>45444</v>
      </c>
      <c r="B1906" s="31" t="s">
        <v>153</v>
      </c>
      <c r="C1906" s="129"/>
      <c r="D1906" s="129"/>
      <c r="E1906" s="19" t="n">
        <f aca="false">F1906*0.03</f>
        <v>0</v>
      </c>
      <c r="F1906" s="33" t="n">
        <v>0</v>
      </c>
      <c r="G1906" s="131"/>
      <c r="H1906" s="35" t="n">
        <v>0</v>
      </c>
      <c r="I1906" s="34" t="n">
        <f aca="false">+IF(E1906=0,0,E1906*0.03)</f>
        <v>0</v>
      </c>
      <c r="J1906" s="93"/>
      <c r="K1906" s="93"/>
      <c r="L1906" s="93"/>
      <c r="M1906" s="93"/>
      <c r="N1906" s="93"/>
      <c r="O1906" s="93"/>
      <c r="P1906" s="93"/>
      <c r="Q1906" s="93"/>
      <c r="R1906" s="93"/>
      <c r="S1906" s="93"/>
      <c r="T1906" s="93"/>
      <c r="U1906" s="93"/>
      <c r="V1906" s="93"/>
      <c r="W1906" s="93"/>
      <c r="X1906" s="93"/>
      <c r="Y1906" s="93"/>
      <c r="Z1906" s="93"/>
    </row>
    <row r="1907" customFormat="false" ht="16.4" hidden="false" customHeight="false" outlineLevel="0" collapsed="false">
      <c r="A1907" s="123" t="n">
        <v>45444</v>
      </c>
      <c r="B1907" s="31" t="s">
        <v>153</v>
      </c>
      <c r="C1907" s="129"/>
      <c r="D1907" s="129"/>
      <c r="E1907" s="19" t="n">
        <f aca="false">F1907*0.03</f>
        <v>0</v>
      </c>
      <c r="F1907" s="33" t="n">
        <v>0</v>
      </c>
      <c r="G1907" s="131"/>
      <c r="H1907" s="35" t="n">
        <v>0</v>
      </c>
      <c r="I1907" s="34" t="n">
        <f aca="false">+IF(E1907=0,0,E1907*0.03)</f>
        <v>0</v>
      </c>
      <c r="J1907" s="93"/>
      <c r="K1907" s="93"/>
      <c r="L1907" s="93"/>
      <c r="M1907" s="93"/>
      <c r="N1907" s="93"/>
      <c r="O1907" s="93"/>
      <c r="P1907" s="93"/>
      <c r="Q1907" s="93"/>
      <c r="R1907" s="93"/>
      <c r="S1907" s="93"/>
      <c r="T1907" s="93"/>
      <c r="U1907" s="93"/>
      <c r="V1907" s="93"/>
      <c r="W1907" s="93"/>
      <c r="X1907" s="93"/>
      <c r="Y1907" s="93"/>
      <c r="Z1907" s="93"/>
    </row>
    <row r="1908" customFormat="false" ht="16.4" hidden="false" customHeight="false" outlineLevel="0" collapsed="false">
      <c r="A1908" s="123" t="n">
        <v>45444</v>
      </c>
      <c r="B1908" s="31" t="s">
        <v>153</v>
      </c>
      <c r="C1908" s="129"/>
      <c r="D1908" s="129"/>
      <c r="E1908" s="19" t="n">
        <f aca="false">F1908*0.03</f>
        <v>0</v>
      </c>
      <c r="F1908" s="33" t="n">
        <v>0</v>
      </c>
      <c r="G1908" s="131"/>
      <c r="H1908" s="35" t="n">
        <v>0</v>
      </c>
      <c r="I1908" s="34" t="n">
        <f aca="false">+IF(E1908=0,0,E1908*0.03)</f>
        <v>0</v>
      </c>
      <c r="J1908" s="93"/>
      <c r="K1908" s="93"/>
      <c r="L1908" s="93"/>
      <c r="M1908" s="93"/>
      <c r="N1908" s="93"/>
      <c r="O1908" s="93"/>
      <c r="P1908" s="93"/>
      <c r="Q1908" s="93"/>
      <c r="R1908" s="93"/>
      <c r="S1908" s="93"/>
      <c r="T1908" s="93"/>
      <c r="U1908" s="93"/>
      <c r="V1908" s="93"/>
      <c r="W1908" s="93"/>
      <c r="X1908" s="93"/>
      <c r="Y1908" s="93"/>
      <c r="Z1908" s="93"/>
    </row>
    <row r="1909" customFormat="false" ht="16.4" hidden="false" customHeight="false" outlineLevel="0" collapsed="false">
      <c r="A1909" s="123" t="n">
        <v>45444</v>
      </c>
      <c r="B1909" s="31" t="s">
        <v>153</v>
      </c>
      <c r="C1909" s="129"/>
      <c r="D1909" s="129"/>
      <c r="E1909" s="19" t="n">
        <f aca="false">F1909*0.03</f>
        <v>0</v>
      </c>
      <c r="F1909" s="33" t="n">
        <v>0</v>
      </c>
      <c r="G1909" s="131"/>
      <c r="H1909" s="35" t="n">
        <v>0</v>
      </c>
      <c r="I1909" s="34" t="n">
        <f aca="false">+IF(E1909=0,0,E1909*0.03)</f>
        <v>0</v>
      </c>
      <c r="J1909" s="93"/>
      <c r="K1909" s="93"/>
      <c r="L1909" s="93"/>
      <c r="M1909" s="93"/>
      <c r="N1909" s="93"/>
      <c r="O1909" s="93"/>
      <c r="P1909" s="93"/>
      <c r="Q1909" s="93"/>
      <c r="R1909" s="93"/>
      <c r="S1909" s="93"/>
      <c r="T1909" s="93"/>
      <c r="U1909" s="93"/>
      <c r="V1909" s="93"/>
      <c r="W1909" s="93"/>
      <c r="X1909" s="93"/>
      <c r="Y1909" s="93"/>
      <c r="Z1909" s="93"/>
    </row>
    <row r="1910" customFormat="false" ht="16.4" hidden="false" customHeight="false" outlineLevel="0" collapsed="false">
      <c r="A1910" s="123" t="n">
        <v>45444</v>
      </c>
      <c r="B1910" s="31" t="s">
        <v>153</v>
      </c>
      <c r="C1910" s="129"/>
      <c r="D1910" s="129"/>
      <c r="E1910" s="19" t="n">
        <f aca="false">F1910*0.03</f>
        <v>0</v>
      </c>
      <c r="F1910" s="33" t="n">
        <v>0</v>
      </c>
      <c r="G1910" s="131"/>
      <c r="H1910" s="35" t="n">
        <v>0</v>
      </c>
      <c r="I1910" s="34" t="n">
        <f aca="false">+IF(E1910=0,0,E1910*0.03)</f>
        <v>0</v>
      </c>
      <c r="J1910" s="93"/>
      <c r="K1910" s="93"/>
      <c r="L1910" s="93"/>
      <c r="M1910" s="93"/>
      <c r="N1910" s="93"/>
      <c r="O1910" s="93"/>
      <c r="P1910" s="93"/>
      <c r="Q1910" s="93"/>
      <c r="R1910" s="93"/>
      <c r="S1910" s="93"/>
      <c r="T1910" s="93"/>
      <c r="U1910" s="93"/>
      <c r="V1910" s="93"/>
      <c r="W1910" s="93"/>
      <c r="X1910" s="93"/>
      <c r="Y1910" s="93"/>
      <c r="Z1910" s="93"/>
    </row>
    <row r="1911" customFormat="false" ht="16.4" hidden="false" customHeight="false" outlineLevel="0" collapsed="false">
      <c r="A1911" s="123" t="n">
        <v>45444</v>
      </c>
      <c r="B1911" s="31" t="s">
        <v>153</v>
      </c>
      <c r="C1911" s="129"/>
      <c r="D1911" s="129"/>
      <c r="E1911" s="19" t="n">
        <f aca="false">F1911*0.03</f>
        <v>0</v>
      </c>
      <c r="F1911" s="33" t="n">
        <v>0</v>
      </c>
      <c r="G1911" s="131"/>
      <c r="H1911" s="35" t="n">
        <v>0</v>
      </c>
      <c r="I1911" s="34" t="n">
        <f aca="false">+IF(E1911=0,0,E1911*0.03)</f>
        <v>0</v>
      </c>
      <c r="J1911" s="93"/>
      <c r="K1911" s="93"/>
      <c r="L1911" s="93"/>
      <c r="M1911" s="93"/>
      <c r="N1911" s="93"/>
      <c r="O1911" s="93"/>
      <c r="P1911" s="93"/>
      <c r="Q1911" s="93"/>
      <c r="R1911" s="93"/>
      <c r="S1911" s="93"/>
      <c r="T1911" s="93"/>
      <c r="U1911" s="93"/>
      <c r="V1911" s="93"/>
      <c r="W1911" s="93"/>
      <c r="X1911" s="93"/>
      <c r="Y1911" s="93"/>
      <c r="Z1911" s="93"/>
    </row>
    <row r="1912" customFormat="false" ht="16.4" hidden="false" customHeight="false" outlineLevel="0" collapsed="false">
      <c r="A1912" s="123" t="n">
        <v>45444</v>
      </c>
      <c r="B1912" s="31" t="s">
        <v>153</v>
      </c>
      <c r="C1912" s="129"/>
      <c r="D1912" s="129"/>
      <c r="E1912" s="19" t="n">
        <f aca="false">F1912*0.03</f>
        <v>0</v>
      </c>
      <c r="F1912" s="33" t="n">
        <v>0</v>
      </c>
      <c r="G1912" s="131"/>
      <c r="H1912" s="35" t="n">
        <v>0</v>
      </c>
      <c r="I1912" s="34" t="n">
        <f aca="false">+IF(E1912=0,0,E1912*0.03)</f>
        <v>0</v>
      </c>
      <c r="J1912" s="93"/>
      <c r="K1912" s="93"/>
      <c r="L1912" s="93"/>
      <c r="M1912" s="93"/>
      <c r="N1912" s="93"/>
      <c r="O1912" s="93"/>
      <c r="P1912" s="93"/>
      <c r="Q1912" s="93"/>
      <c r="R1912" s="93"/>
      <c r="S1912" s="93"/>
      <c r="T1912" s="93"/>
      <c r="U1912" s="93"/>
      <c r="V1912" s="93"/>
      <c r="W1912" s="93"/>
      <c r="X1912" s="93"/>
      <c r="Y1912" s="93"/>
      <c r="Z1912" s="93"/>
    </row>
    <row r="1913" customFormat="false" ht="16.4" hidden="false" customHeight="false" outlineLevel="0" collapsed="false">
      <c r="A1913" s="123" t="n">
        <v>45444</v>
      </c>
      <c r="B1913" s="31" t="s">
        <v>153</v>
      </c>
      <c r="C1913" s="129"/>
      <c r="D1913" s="129"/>
      <c r="E1913" s="19" t="n">
        <f aca="false">F1913*0.03</f>
        <v>0</v>
      </c>
      <c r="F1913" s="33" t="n">
        <v>0</v>
      </c>
      <c r="G1913" s="131"/>
      <c r="H1913" s="35" t="n">
        <v>0</v>
      </c>
      <c r="I1913" s="34" t="n">
        <f aca="false">+IF(E1913=0,0,E1913*0.03)</f>
        <v>0</v>
      </c>
      <c r="J1913" s="93"/>
      <c r="K1913" s="93"/>
      <c r="L1913" s="93"/>
      <c r="M1913" s="93"/>
      <c r="N1913" s="93"/>
      <c r="O1913" s="93"/>
      <c r="P1913" s="93"/>
      <c r="Q1913" s="93"/>
      <c r="R1913" s="93"/>
      <c r="S1913" s="93"/>
      <c r="T1913" s="93"/>
      <c r="U1913" s="93"/>
      <c r="V1913" s="93"/>
      <c r="W1913" s="93"/>
      <c r="X1913" s="93"/>
      <c r="Y1913" s="93"/>
      <c r="Z1913" s="93"/>
    </row>
    <row r="1914" customFormat="false" ht="16.4" hidden="false" customHeight="false" outlineLevel="0" collapsed="false">
      <c r="A1914" s="123" t="n">
        <v>45444</v>
      </c>
      <c r="B1914" s="31" t="s">
        <v>153</v>
      </c>
      <c r="C1914" s="129"/>
      <c r="D1914" s="129"/>
      <c r="E1914" s="19" t="n">
        <f aca="false">F1914*0.03</f>
        <v>0</v>
      </c>
      <c r="F1914" s="33" t="n">
        <v>0</v>
      </c>
      <c r="G1914" s="131"/>
      <c r="H1914" s="35" t="n">
        <v>0</v>
      </c>
      <c r="I1914" s="34" t="n">
        <f aca="false">+IF(E1914=0,0,E1914*0.03)</f>
        <v>0</v>
      </c>
      <c r="J1914" s="93"/>
      <c r="K1914" s="93"/>
      <c r="L1914" s="93"/>
      <c r="M1914" s="93"/>
      <c r="N1914" s="93"/>
      <c r="O1914" s="93"/>
      <c r="P1914" s="93"/>
      <c r="Q1914" s="93"/>
      <c r="R1914" s="93"/>
      <c r="S1914" s="93"/>
      <c r="T1914" s="93"/>
      <c r="U1914" s="93"/>
      <c r="V1914" s="93"/>
      <c r="W1914" s="93"/>
      <c r="X1914" s="93"/>
      <c r="Y1914" s="93"/>
      <c r="Z1914" s="93"/>
    </row>
    <row r="1915" customFormat="false" ht="16.4" hidden="false" customHeight="false" outlineLevel="0" collapsed="false">
      <c r="A1915" s="123" t="n">
        <v>45444</v>
      </c>
      <c r="B1915" s="31" t="s">
        <v>153</v>
      </c>
      <c r="C1915" s="129"/>
      <c r="D1915" s="129"/>
      <c r="E1915" s="19" t="n">
        <f aca="false">F1915*0.03</f>
        <v>0</v>
      </c>
      <c r="F1915" s="33" t="n">
        <v>0</v>
      </c>
      <c r="G1915" s="131"/>
      <c r="H1915" s="35" t="n">
        <v>0</v>
      </c>
      <c r="I1915" s="34" t="n">
        <f aca="false">+IF(E1915=0,0,E1915*0.03)</f>
        <v>0</v>
      </c>
      <c r="J1915" s="93"/>
      <c r="K1915" s="93"/>
      <c r="L1915" s="93"/>
      <c r="M1915" s="93"/>
      <c r="N1915" s="93"/>
      <c r="O1915" s="93"/>
      <c r="P1915" s="93"/>
      <c r="Q1915" s="93"/>
      <c r="R1915" s="93"/>
      <c r="S1915" s="93"/>
      <c r="T1915" s="93"/>
      <c r="U1915" s="93"/>
      <c r="V1915" s="93"/>
      <c r="W1915" s="93"/>
      <c r="X1915" s="93"/>
      <c r="Y1915" s="93"/>
      <c r="Z1915" s="93"/>
    </row>
    <row r="1916" customFormat="false" ht="16.4" hidden="false" customHeight="false" outlineLevel="0" collapsed="false">
      <c r="A1916" s="123" t="n">
        <v>45444</v>
      </c>
      <c r="B1916" s="31" t="s">
        <v>153</v>
      </c>
      <c r="C1916" s="129"/>
      <c r="D1916" s="129"/>
      <c r="E1916" s="19" t="n">
        <f aca="false">F1916*0.03</f>
        <v>0</v>
      </c>
      <c r="F1916" s="33" t="n">
        <v>0</v>
      </c>
      <c r="G1916" s="131"/>
      <c r="H1916" s="35" t="n">
        <v>0</v>
      </c>
      <c r="I1916" s="34" t="n">
        <f aca="false">+IF(E1916=0,0,E1916*0.03)</f>
        <v>0</v>
      </c>
      <c r="J1916" s="93"/>
      <c r="K1916" s="93"/>
      <c r="L1916" s="93"/>
      <c r="M1916" s="93"/>
      <c r="N1916" s="93"/>
      <c r="O1916" s="93"/>
      <c r="P1916" s="93"/>
      <c r="Q1916" s="93"/>
      <c r="R1916" s="93"/>
      <c r="S1916" s="93"/>
      <c r="T1916" s="93"/>
      <c r="U1916" s="93"/>
      <c r="V1916" s="93"/>
      <c r="W1916" s="93"/>
      <c r="X1916" s="93"/>
      <c r="Y1916" s="93"/>
      <c r="Z1916" s="93"/>
    </row>
    <row r="1917" customFormat="false" ht="16.4" hidden="false" customHeight="false" outlineLevel="0" collapsed="false">
      <c r="A1917" s="123" t="n">
        <v>45444</v>
      </c>
      <c r="B1917" s="31" t="s">
        <v>153</v>
      </c>
      <c r="C1917" s="129"/>
      <c r="D1917" s="129"/>
      <c r="E1917" s="19" t="n">
        <f aca="false">F1917*0.03</f>
        <v>0</v>
      </c>
      <c r="F1917" s="33" t="n">
        <v>0</v>
      </c>
      <c r="G1917" s="131"/>
      <c r="H1917" s="35" t="n">
        <v>0</v>
      </c>
      <c r="I1917" s="34" t="n">
        <f aca="false">+IF(E1917=0,0,E1917*0.03)</f>
        <v>0</v>
      </c>
      <c r="J1917" s="93"/>
      <c r="K1917" s="93"/>
      <c r="L1917" s="93"/>
      <c r="M1917" s="93"/>
      <c r="N1917" s="93"/>
      <c r="O1917" s="93"/>
      <c r="P1917" s="93"/>
      <c r="Q1917" s="93"/>
      <c r="R1917" s="93"/>
      <c r="S1917" s="93"/>
      <c r="T1917" s="93"/>
      <c r="U1917" s="93"/>
      <c r="V1917" s="93"/>
      <c r="W1917" s="93"/>
      <c r="X1917" s="93"/>
      <c r="Y1917" s="93"/>
      <c r="Z1917" s="93"/>
    </row>
    <row r="1918" customFormat="false" ht="16.4" hidden="false" customHeight="false" outlineLevel="0" collapsed="false">
      <c r="A1918" s="123" t="n">
        <v>45444</v>
      </c>
      <c r="B1918" s="31" t="s">
        <v>153</v>
      </c>
      <c r="C1918" s="129"/>
      <c r="D1918" s="129"/>
      <c r="E1918" s="19" t="n">
        <f aca="false">F1918*0.03</f>
        <v>0</v>
      </c>
      <c r="F1918" s="33" t="n">
        <v>0</v>
      </c>
      <c r="G1918" s="131"/>
      <c r="H1918" s="35" t="n">
        <v>0</v>
      </c>
      <c r="I1918" s="34" t="n">
        <f aca="false">+IF(E1918=0,0,E1918*0.03)</f>
        <v>0</v>
      </c>
      <c r="J1918" s="93"/>
      <c r="K1918" s="93"/>
      <c r="L1918" s="93"/>
      <c r="M1918" s="93"/>
      <c r="N1918" s="93"/>
      <c r="O1918" s="93"/>
      <c r="P1918" s="93"/>
      <c r="Q1918" s="93"/>
      <c r="R1918" s="93"/>
      <c r="S1918" s="93"/>
      <c r="T1918" s="93"/>
      <c r="U1918" s="93"/>
      <c r="V1918" s="93"/>
      <c r="W1918" s="93"/>
      <c r="X1918" s="93"/>
      <c r="Y1918" s="93"/>
      <c r="Z1918" s="93"/>
    </row>
    <row r="1919" customFormat="false" ht="16.4" hidden="false" customHeight="false" outlineLevel="0" collapsed="false">
      <c r="A1919" s="123" t="n">
        <v>45444</v>
      </c>
      <c r="B1919" s="31" t="s">
        <v>153</v>
      </c>
      <c r="C1919" s="129"/>
      <c r="D1919" s="129"/>
      <c r="E1919" s="19" t="n">
        <f aca="false">F1919*0.03</f>
        <v>0</v>
      </c>
      <c r="F1919" s="33" t="n">
        <v>0</v>
      </c>
      <c r="G1919" s="131"/>
      <c r="H1919" s="35" t="n">
        <v>0</v>
      </c>
      <c r="I1919" s="34" t="n">
        <f aca="false">+IF(E1919=0,0,E1919*0.03)</f>
        <v>0</v>
      </c>
      <c r="J1919" s="93"/>
      <c r="K1919" s="93"/>
      <c r="L1919" s="93"/>
      <c r="M1919" s="93"/>
      <c r="N1919" s="93"/>
      <c r="O1919" s="93"/>
      <c r="P1919" s="93"/>
      <c r="Q1919" s="93"/>
      <c r="R1919" s="93"/>
      <c r="S1919" s="93"/>
      <c r="T1919" s="93"/>
      <c r="U1919" s="93"/>
      <c r="V1919" s="93"/>
      <c r="W1919" s="93"/>
      <c r="X1919" s="93"/>
      <c r="Y1919" s="93"/>
      <c r="Z1919" s="93"/>
    </row>
    <row r="1920" customFormat="false" ht="16.4" hidden="false" customHeight="false" outlineLevel="0" collapsed="false">
      <c r="A1920" s="123" t="n">
        <v>45444</v>
      </c>
      <c r="B1920" s="31" t="s">
        <v>153</v>
      </c>
      <c r="C1920" s="129"/>
      <c r="D1920" s="129"/>
      <c r="E1920" s="19" t="n">
        <f aca="false">F1920*0.03</f>
        <v>0</v>
      </c>
      <c r="F1920" s="33" t="n">
        <v>0</v>
      </c>
      <c r="G1920" s="131"/>
      <c r="H1920" s="35" t="n">
        <v>0</v>
      </c>
      <c r="I1920" s="34" t="n">
        <f aca="false">+IF(E1920=0,0,E1920*0.03)</f>
        <v>0</v>
      </c>
      <c r="J1920" s="93"/>
      <c r="K1920" s="93"/>
      <c r="L1920" s="93"/>
      <c r="M1920" s="93"/>
      <c r="N1920" s="93"/>
      <c r="O1920" s="93"/>
      <c r="P1920" s="93"/>
      <c r="Q1920" s="93"/>
      <c r="R1920" s="93"/>
      <c r="S1920" s="93"/>
      <c r="T1920" s="93"/>
      <c r="U1920" s="93"/>
      <c r="V1920" s="93"/>
      <c r="W1920" s="93"/>
      <c r="X1920" s="93"/>
      <c r="Y1920" s="93"/>
      <c r="Z1920" s="93"/>
    </row>
    <row r="1921" customFormat="false" ht="16.4" hidden="false" customHeight="false" outlineLevel="0" collapsed="false">
      <c r="A1921" s="123" t="n">
        <v>45444</v>
      </c>
      <c r="B1921" s="31" t="s">
        <v>153</v>
      </c>
      <c r="C1921" s="129"/>
      <c r="D1921" s="129"/>
      <c r="E1921" s="19" t="n">
        <f aca="false">F1921*0.03</f>
        <v>0</v>
      </c>
      <c r="F1921" s="33" t="n">
        <v>0</v>
      </c>
      <c r="G1921" s="131"/>
      <c r="H1921" s="35" t="n">
        <v>0</v>
      </c>
      <c r="I1921" s="34" t="n">
        <f aca="false">+IF(E1921=0,0,E1921*0.03)</f>
        <v>0</v>
      </c>
      <c r="J1921" s="93"/>
      <c r="K1921" s="93"/>
      <c r="L1921" s="93"/>
      <c r="M1921" s="93"/>
      <c r="N1921" s="93"/>
      <c r="O1921" s="93"/>
      <c r="P1921" s="93"/>
      <c r="Q1921" s="93"/>
      <c r="R1921" s="93"/>
      <c r="S1921" s="93"/>
      <c r="T1921" s="93"/>
      <c r="U1921" s="93"/>
      <c r="V1921" s="93"/>
      <c r="W1921" s="93"/>
      <c r="X1921" s="93"/>
      <c r="Y1921" s="93"/>
      <c r="Z1921" s="93"/>
    </row>
    <row r="1922" customFormat="false" ht="16.4" hidden="false" customHeight="false" outlineLevel="0" collapsed="false">
      <c r="A1922" s="123" t="n">
        <v>45444</v>
      </c>
      <c r="B1922" s="31" t="s">
        <v>153</v>
      </c>
      <c r="C1922" s="129"/>
      <c r="D1922" s="129"/>
      <c r="E1922" s="19" t="n">
        <f aca="false">F1922*0.03</f>
        <v>0</v>
      </c>
      <c r="F1922" s="33" t="n">
        <v>0</v>
      </c>
      <c r="G1922" s="131"/>
      <c r="H1922" s="35" t="n">
        <v>0</v>
      </c>
      <c r="I1922" s="34" t="n">
        <f aca="false">+IF(E1922=0,0,E1922*0.03)</f>
        <v>0</v>
      </c>
      <c r="J1922" s="93"/>
      <c r="K1922" s="93"/>
      <c r="L1922" s="93"/>
      <c r="M1922" s="93"/>
      <c r="N1922" s="93"/>
      <c r="O1922" s="93"/>
      <c r="P1922" s="93"/>
      <c r="Q1922" s="93"/>
      <c r="R1922" s="93"/>
      <c r="S1922" s="93"/>
      <c r="T1922" s="93"/>
      <c r="U1922" s="93"/>
      <c r="V1922" s="93"/>
      <c r="W1922" s="93"/>
      <c r="X1922" s="93"/>
      <c r="Y1922" s="93"/>
      <c r="Z1922" s="93"/>
    </row>
    <row r="1923" customFormat="false" ht="16.4" hidden="false" customHeight="false" outlineLevel="0" collapsed="false">
      <c r="A1923" s="123" t="n">
        <v>45444</v>
      </c>
      <c r="B1923" s="31" t="s">
        <v>153</v>
      </c>
      <c r="C1923" s="129"/>
      <c r="D1923" s="129"/>
      <c r="E1923" s="19" t="n">
        <f aca="false">F1923*0.03</f>
        <v>0</v>
      </c>
      <c r="F1923" s="33" t="n">
        <v>0</v>
      </c>
      <c r="G1923" s="131"/>
      <c r="H1923" s="35" t="n">
        <v>0</v>
      </c>
      <c r="I1923" s="34" t="n">
        <f aca="false">+IF(E1923=0,0,E1923*0.03)</f>
        <v>0</v>
      </c>
      <c r="J1923" s="93"/>
      <c r="K1923" s="93"/>
      <c r="L1923" s="93"/>
      <c r="M1923" s="93"/>
      <c r="N1923" s="93"/>
      <c r="O1923" s="93"/>
      <c r="P1923" s="93"/>
      <c r="Q1923" s="93"/>
      <c r="R1923" s="93"/>
      <c r="S1923" s="93"/>
      <c r="T1923" s="93"/>
      <c r="U1923" s="93"/>
      <c r="V1923" s="93"/>
      <c r="W1923" s="93"/>
      <c r="X1923" s="93"/>
      <c r="Y1923" s="93"/>
      <c r="Z1923" s="93"/>
    </row>
    <row r="1924" customFormat="false" ht="16.4" hidden="false" customHeight="false" outlineLevel="0" collapsed="false">
      <c r="A1924" s="123" t="n">
        <v>45444</v>
      </c>
      <c r="B1924" s="31" t="s">
        <v>153</v>
      </c>
      <c r="C1924" s="129"/>
      <c r="D1924" s="129"/>
      <c r="E1924" s="19" t="n">
        <f aca="false">F1924*0.03</f>
        <v>0</v>
      </c>
      <c r="F1924" s="33" t="n">
        <v>0</v>
      </c>
      <c r="G1924" s="131"/>
      <c r="H1924" s="35" t="n">
        <v>0</v>
      </c>
      <c r="I1924" s="34" t="n">
        <f aca="false">+IF(E1924=0,0,E1924*0.03)</f>
        <v>0</v>
      </c>
      <c r="J1924" s="93"/>
      <c r="K1924" s="93"/>
      <c r="L1924" s="93"/>
      <c r="M1924" s="93"/>
      <c r="N1924" s="93"/>
      <c r="O1924" s="93"/>
      <c r="P1924" s="93"/>
      <c r="Q1924" s="93"/>
      <c r="R1924" s="93"/>
      <c r="S1924" s="93"/>
      <c r="T1924" s="93"/>
      <c r="U1924" s="93"/>
      <c r="V1924" s="93"/>
      <c r="W1924" s="93"/>
      <c r="X1924" s="93"/>
      <c r="Y1924" s="93"/>
      <c r="Z1924" s="93"/>
    </row>
    <row r="1925" customFormat="false" ht="16.4" hidden="false" customHeight="false" outlineLevel="0" collapsed="false">
      <c r="A1925" s="123" t="n">
        <v>45444</v>
      </c>
      <c r="B1925" s="31" t="s">
        <v>153</v>
      </c>
      <c r="C1925" s="129"/>
      <c r="D1925" s="129"/>
      <c r="E1925" s="19" t="n">
        <f aca="false">F1925*0.03</f>
        <v>0</v>
      </c>
      <c r="F1925" s="33" t="n">
        <v>0</v>
      </c>
      <c r="G1925" s="131"/>
      <c r="H1925" s="35" t="n">
        <v>0</v>
      </c>
      <c r="I1925" s="34" t="n">
        <f aca="false">+IF(E1925=0,0,E1925*0.03)</f>
        <v>0</v>
      </c>
      <c r="J1925" s="93"/>
      <c r="K1925" s="93"/>
      <c r="L1925" s="93"/>
      <c r="M1925" s="93"/>
      <c r="N1925" s="93"/>
      <c r="O1925" s="93"/>
      <c r="P1925" s="93"/>
      <c r="Q1925" s="93"/>
      <c r="R1925" s="93"/>
      <c r="S1925" s="93"/>
      <c r="T1925" s="93"/>
      <c r="U1925" s="93"/>
      <c r="V1925" s="93"/>
      <c r="W1925" s="93"/>
      <c r="X1925" s="93"/>
      <c r="Y1925" s="93"/>
      <c r="Z1925" s="93"/>
    </row>
    <row r="1926" customFormat="false" ht="16.4" hidden="false" customHeight="false" outlineLevel="0" collapsed="false">
      <c r="A1926" s="123" t="n">
        <v>45444</v>
      </c>
      <c r="B1926" s="31" t="s">
        <v>153</v>
      </c>
      <c r="C1926" s="129"/>
      <c r="D1926" s="129"/>
      <c r="E1926" s="19" t="n">
        <f aca="false">F1926*0.03</f>
        <v>0</v>
      </c>
      <c r="F1926" s="33" t="n">
        <v>0</v>
      </c>
      <c r="G1926" s="131"/>
      <c r="H1926" s="35" t="n">
        <v>0</v>
      </c>
      <c r="I1926" s="34" t="n">
        <f aca="false">+IF(E1926=0,0,E1926*0.03)</f>
        <v>0</v>
      </c>
      <c r="J1926" s="93"/>
      <c r="K1926" s="93"/>
      <c r="L1926" s="93"/>
      <c r="M1926" s="93"/>
      <c r="N1926" s="93"/>
      <c r="O1926" s="93"/>
      <c r="P1926" s="93"/>
      <c r="Q1926" s="93"/>
      <c r="R1926" s="93"/>
      <c r="S1926" s="93"/>
      <c r="T1926" s="93"/>
      <c r="U1926" s="93"/>
      <c r="V1926" s="93"/>
      <c r="W1926" s="93"/>
      <c r="X1926" s="93"/>
      <c r="Y1926" s="93"/>
      <c r="Z1926" s="93"/>
    </row>
    <row r="1927" customFormat="false" ht="16.4" hidden="false" customHeight="false" outlineLevel="0" collapsed="false">
      <c r="A1927" s="123" t="n">
        <v>45444</v>
      </c>
      <c r="B1927" s="31" t="s">
        <v>153</v>
      </c>
      <c r="C1927" s="129"/>
      <c r="D1927" s="129"/>
      <c r="E1927" s="19" t="n">
        <f aca="false">F1927*0.03</f>
        <v>0</v>
      </c>
      <c r="F1927" s="33" t="n">
        <v>0</v>
      </c>
      <c r="G1927" s="131"/>
      <c r="H1927" s="35" t="n">
        <v>0</v>
      </c>
      <c r="I1927" s="34" t="n">
        <f aca="false">+IF(E1927=0,0,E1927*0.03)</f>
        <v>0</v>
      </c>
      <c r="J1927" s="93"/>
      <c r="K1927" s="93"/>
      <c r="L1927" s="93"/>
      <c r="M1927" s="93"/>
      <c r="N1927" s="93"/>
      <c r="O1927" s="93"/>
      <c r="P1927" s="93"/>
      <c r="Q1927" s="93"/>
      <c r="R1927" s="93"/>
      <c r="S1927" s="93"/>
      <c r="T1927" s="93"/>
      <c r="U1927" s="93"/>
      <c r="V1927" s="93"/>
      <c r="W1927" s="93"/>
      <c r="X1927" s="93"/>
      <c r="Y1927" s="93"/>
      <c r="Z1927" s="93"/>
    </row>
    <row r="1928" customFormat="false" ht="16.4" hidden="false" customHeight="false" outlineLevel="0" collapsed="false">
      <c r="A1928" s="123" t="n">
        <v>45444</v>
      </c>
      <c r="B1928" s="31" t="s">
        <v>153</v>
      </c>
      <c r="C1928" s="129"/>
      <c r="D1928" s="129"/>
      <c r="E1928" s="19" t="n">
        <f aca="false">F1928*0.03</f>
        <v>0</v>
      </c>
      <c r="F1928" s="33" t="n">
        <v>0</v>
      </c>
      <c r="G1928" s="131"/>
      <c r="H1928" s="35" t="n">
        <v>0</v>
      </c>
      <c r="I1928" s="34" t="n">
        <f aca="false">+IF(E1928=0,0,E1928*0.03)</f>
        <v>0</v>
      </c>
      <c r="J1928" s="93"/>
      <c r="K1928" s="93"/>
      <c r="L1928" s="93"/>
      <c r="M1928" s="93"/>
      <c r="N1928" s="93"/>
      <c r="O1928" s="93"/>
      <c r="P1928" s="93"/>
      <c r="Q1928" s="93"/>
      <c r="R1928" s="93"/>
      <c r="S1928" s="93"/>
      <c r="T1928" s="93"/>
      <c r="U1928" s="93"/>
      <c r="V1928" s="93"/>
      <c r="W1928" s="93"/>
      <c r="X1928" s="93"/>
      <c r="Y1928" s="93"/>
      <c r="Z1928" s="93"/>
    </row>
    <row r="1929" customFormat="false" ht="16.4" hidden="false" customHeight="false" outlineLevel="0" collapsed="false">
      <c r="A1929" s="123" t="n">
        <v>45444</v>
      </c>
      <c r="B1929" s="31" t="s">
        <v>153</v>
      </c>
      <c r="C1929" s="129"/>
      <c r="D1929" s="129"/>
      <c r="E1929" s="19" t="n">
        <f aca="false">F1929*0.03</f>
        <v>0</v>
      </c>
      <c r="F1929" s="33" t="n">
        <v>0</v>
      </c>
      <c r="G1929" s="131"/>
      <c r="H1929" s="35" t="n">
        <v>0</v>
      </c>
      <c r="I1929" s="34" t="n">
        <f aca="false">+IF(E1929=0,0,E1929*0.03)</f>
        <v>0</v>
      </c>
      <c r="J1929" s="93"/>
      <c r="K1929" s="93"/>
      <c r="L1929" s="93"/>
      <c r="M1929" s="93"/>
      <c r="N1929" s="93"/>
      <c r="O1929" s="93"/>
      <c r="P1929" s="93"/>
      <c r="Q1929" s="93"/>
      <c r="R1929" s="93"/>
      <c r="S1929" s="93"/>
      <c r="T1929" s="93"/>
      <c r="U1929" s="93"/>
      <c r="V1929" s="93"/>
      <c r="W1929" s="93"/>
      <c r="X1929" s="93"/>
      <c r="Y1929" s="93"/>
      <c r="Z1929" s="93"/>
    </row>
    <row r="1930" customFormat="false" ht="16.4" hidden="false" customHeight="false" outlineLevel="0" collapsed="false">
      <c r="A1930" s="123" t="n">
        <v>45444</v>
      </c>
      <c r="B1930" s="31" t="s">
        <v>153</v>
      </c>
      <c r="C1930" s="129"/>
      <c r="D1930" s="129"/>
      <c r="E1930" s="19" t="n">
        <f aca="false">F1930*0.03</f>
        <v>0</v>
      </c>
      <c r="F1930" s="33" t="n">
        <v>0</v>
      </c>
      <c r="G1930" s="131"/>
      <c r="H1930" s="35" t="n">
        <v>0</v>
      </c>
      <c r="I1930" s="34" t="n">
        <f aca="false">+IF(E1930=0,0,E1930*0.03)</f>
        <v>0</v>
      </c>
      <c r="J1930" s="93"/>
      <c r="K1930" s="93"/>
      <c r="L1930" s="93"/>
      <c r="M1930" s="93"/>
      <c r="N1930" s="93"/>
      <c r="O1930" s="93"/>
      <c r="P1930" s="93"/>
      <c r="Q1930" s="93"/>
      <c r="R1930" s="93"/>
      <c r="S1930" s="93"/>
      <c r="T1930" s="93"/>
      <c r="U1930" s="93"/>
      <c r="V1930" s="93"/>
      <c r="W1930" s="93"/>
      <c r="X1930" s="93"/>
      <c r="Y1930" s="93"/>
      <c r="Z1930" s="93"/>
    </row>
    <row r="1931" customFormat="false" ht="16.4" hidden="false" customHeight="false" outlineLevel="0" collapsed="false">
      <c r="A1931" s="123" t="n">
        <v>45444</v>
      </c>
      <c r="B1931" s="31" t="s">
        <v>153</v>
      </c>
      <c r="C1931" s="129"/>
      <c r="D1931" s="129"/>
      <c r="E1931" s="19" t="n">
        <f aca="false">F1931*0.03</f>
        <v>0</v>
      </c>
      <c r="F1931" s="33" t="n">
        <v>0</v>
      </c>
      <c r="G1931" s="131"/>
      <c r="H1931" s="35" t="n">
        <v>0</v>
      </c>
      <c r="I1931" s="34" t="n">
        <f aca="false">+IF(E1931=0,0,E1931*0.03)</f>
        <v>0</v>
      </c>
      <c r="J1931" s="93"/>
      <c r="K1931" s="93"/>
      <c r="L1931" s="93"/>
      <c r="M1931" s="93"/>
      <c r="N1931" s="93"/>
      <c r="O1931" s="93"/>
      <c r="P1931" s="93"/>
      <c r="Q1931" s="93"/>
      <c r="R1931" s="93"/>
      <c r="S1931" s="93"/>
      <c r="T1931" s="93"/>
      <c r="U1931" s="93"/>
      <c r="V1931" s="93"/>
      <c r="W1931" s="93"/>
      <c r="X1931" s="93"/>
      <c r="Y1931" s="93"/>
      <c r="Z1931" s="93"/>
    </row>
    <row r="1932" customFormat="false" ht="16.4" hidden="false" customHeight="false" outlineLevel="0" collapsed="false">
      <c r="A1932" s="123" t="n">
        <v>45444</v>
      </c>
      <c r="B1932" s="31" t="s">
        <v>153</v>
      </c>
      <c r="C1932" s="129"/>
      <c r="D1932" s="129"/>
      <c r="E1932" s="19" t="n">
        <f aca="false">F1932*0.03</f>
        <v>0</v>
      </c>
      <c r="F1932" s="33" t="n">
        <v>0</v>
      </c>
      <c r="G1932" s="131"/>
      <c r="H1932" s="35" t="n">
        <v>0</v>
      </c>
      <c r="I1932" s="34" t="n">
        <f aca="false">+IF(E1932=0,0,E1932*0.03)</f>
        <v>0</v>
      </c>
      <c r="J1932" s="93"/>
      <c r="K1932" s="93"/>
      <c r="L1932" s="93"/>
      <c r="M1932" s="93"/>
      <c r="N1932" s="93"/>
      <c r="O1932" s="93"/>
      <c r="P1932" s="93"/>
      <c r="Q1932" s="93"/>
      <c r="R1932" s="93"/>
      <c r="S1932" s="93"/>
      <c r="T1932" s="93"/>
      <c r="U1932" s="93"/>
      <c r="V1932" s="93"/>
      <c r="W1932" s="93"/>
      <c r="X1932" s="93"/>
      <c r="Y1932" s="93"/>
      <c r="Z1932" s="93"/>
    </row>
    <row r="1933" customFormat="false" ht="16.4" hidden="false" customHeight="false" outlineLevel="0" collapsed="false">
      <c r="A1933" s="123" t="n">
        <v>45444</v>
      </c>
      <c r="B1933" s="31" t="s">
        <v>153</v>
      </c>
      <c r="C1933" s="129"/>
      <c r="D1933" s="129"/>
      <c r="E1933" s="19" t="n">
        <f aca="false">F1933*0.03</f>
        <v>0</v>
      </c>
      <c r="F1933" s="33" t="n">
        <v>0</v>
      </c>
      <c r="G1933" s="131"/>
      <c r="H1933" s="35" t="n">
        <v>0</v>
      </c>
      <c r="I1933" s="34" t="n">
        <f aca="false">+IF(E1933=0,0,E1933*0.03)</f>
        <v>0</v>
      </c>
      <c r="J1933" s="93"/>
      <c r="K1933" s="93"/>
      <c r="L1933" s="93"/>
      <c r="M1933" s="93"/>
      <c r="N1933" s="93"/>
      <c r="O1933" s="93"/>
      <c r="P1933" s="93"/>
      <c r="Q1933" s="93"/>
      <c r="R1933" s="93"/>
      <c r="S1933" s="93"/>
      <c r="T1933" s="93"/>
      <c r="U1933" s="93"/>
      <c r="V1933" s="93"/>
      <c r="W1933" s="93"/>
      <c r="X1933" s="93"/>
      <c r="Y1933" s="93"/>
      <c r="Z1933" s="93"/>
    </row>
    <row r="1934" customFormat="false" ht="16.4" hidden="false" customHeight="false" outlineLevel="0" collapsed="false">
      <c r="A1934" s="123" t="n">
        <v>45444</v>
      </c>
      <c r="B1934" s="31" t="s">
        <v>153</v>
      </c>
      <c r="C1934" s="129"/>
      <c r="D1934" s="129"/>
      <c r="E1934" s="19" t="n">
        <f aca="false">F1934*0.03</f>
        <v>0</v>
      </c>
      <c r="F1934" s="33" t="n">
        <v>0</v>
      </c>
      <c r="G1934" s="131"/>
      <c r="H1934" s="35" t="n">
        <v>0</v>
      </c>
      <c r="I1934" s="34" t="n">
        <f aca="false">+IF(E1934=0,0,E1934*0.03)</f>
        <v>0</v>
      </c>
      <c r="J1934" s="93"/>
      <c r="K1934" s="93"/>
      <c r="L1934" s="93"/>
      <c r="M1934" s="93"/>
      <c r="N1934" s="93"/>
      <c r="O1934" s="93"/>
      <c r="P1934" s="93"/>
      <c r="Q1934" s="93"/>
      <c r="R1934" s="93"/>
      <c r="S1934" s="93"/>
      <c r="T1934" s="93"/>
      <c r="U1934" s="93"/>
      <c r="V1934" s="93"/>
      <c r="W1934" s="93"/>
      <c r="X1934" s="93"/>
      <c r="Y1934" s="93"/>
      <c r="Z1934" s="93"/>
    </row>
    <row r="1935" customFormat="false" ht="16.4" hidden="false" customHeight="false" outlineLevel="0" collapsed="false">
      <c r="A1935" s="123" t="n">
        <v>45444</v>
      </c>
      <c r="B1935" s="31" t="s">
        <v>153</v>
      </c>
      <c r="C1935" s="129"/>
      <c r="D1935" s="129"/>
      <c r="E1935" s="19" t="n">
        <f aca="false">F1935*0.03</f>
        <v>0</v>
      </c>
      <c r="F1935" s="33" t="n">
        <v>0</v>
      </c>
      <c r="G1935" s="131"/>
      <c r="H1935" s="35" t="n">
        <v>0</v>
      </c>
      <c r="I1935" s="34" t="n">
        <f aca="false">+IF(E1935=0,0,E1935*0.03)</f>
        <v>0</v>
      </c>
      <c r="J1935" s="93"/>
      <c r="K1935" s="93"/>
      <c r="L1935" s="93"/>
      <c r="M1935" s="93"/>
      <c r="N1935" s="93"/>
      <c r="O1935" s="93"/>
      <c r="P1935" s="93"/>
      <c r="Q1935" s="93"/>
      <c r="R1935" s="93"/>
      <c r="S1935" s="93"/>
      <c r="T1935" s="93"/>
      <c r="U1935" s="93"/>
      <c r="V1935" s="93"/>
      <c r="W1935" s="93"/>
      <c r="X1935" s="93"/>
      <c r="Y1935" s="93"/>
      <c r="Z1935" s="93"/>
    </row>
    <row r="1936" customFormat="false" ht="16.4" hidden="false" customHeight="false" outlineLevel="0" collapsed="false">
      <c r="A1936" s="123" t="n">
        <v>45444</v>
      </c>
      <c r="B1936" s="31" t="s">
        <v>153</v>
      </c>
      <c r="C1936" s="129"/>
      <c r="D1936" s="129"/>
      <c r="E1936" s="19" t="n">
        <f aca="false">F1936*0.03</f>
        <v>0</v>
      </c>
      <c r="F1936" s="33" t="n">
        <v>0</v>
      </c>
      <c r="G1936" s="131"/>
      <c r="H1936" s="35" t="n">
        <v>0</v>
      </c>
      <c r="I1936" s="34" t="n">
        <f aca="false">+IF(E1936=0,0,E1936*0.03)</f>
        <v>0</v>
      </c>
      <c r="J1936" s="93"/>
      <c r="K1936" s="93"/>
      <c r="L1936" s="93"/>
      <c r="M1936" s="93"/>
      <c r="N1936" s="93"/>
      <c r="O1936" s="93"/>
      <c r="P1936" s="93"/>
      <c r="Q1936" s="93"/>
      <c r="R1936" s="93"/>
      <c r="S1936" s="93"/>
      <c r="T1936" s="93"/>
      <c r="U1936" s="93"/>
      <c r="V1936" s="93"/>
      <c r="W1936" s="93"/>
      <c r="X1936" s="93"/>
      <c r="Y1936" s="93"/>
      <c r="Z1936" s="93"/>
    </row>
    <row r="1937" customFormat="false" ht="16.4" hidden="false" customHeight="false" outlineLevel="0" collapsed="false">
      <c r="A1937" s="123" t="n">
        <v>45444</v>
      </c>
      <c r="B1937" s="31" t="s">
        <v>153</v>
      </c>
      <c r="C1937" s="129"/>
      <c r="D1937" s="129"/>
      <c r="E1937" s="19" t="n">
        <f aca="false">F1937*0.03</f>
        <v>0</v>
      </c>
      <c r="F1937" s="33" t="n">
        <v>0</v>
      </c>
      <c r="G1937" s="131"/>
      <c r="H1937" s="35" t="n">
        <v>0</v>
      </c>
      <c r="I1937" s="34" t="n">
        <f aca="false">+IF(E1937=0,0,E1937*0.03)</f>
        <v>0</v>
      </c>
      <c r="J1937" s="93"/>
      <c r="K1937" s="93"/>
      <c r="L1937" s="93"/>
      <c r="M1937" s="93"/>
      <c r="N1937" s="93"/>
      <c r="O1937" s="93"/>
      <c r="P1937" s="93"/>
      <c r="Q1937" s="93"/>
      <c r="R1937" s="93"/>
      <c r="S1937" s="93"/>
      <c r="T1937" s="93"/>
      <c r="U1937" s="93"/>
      <c r="V1937" s="93"/>
      <c r="W1937" s="93"/>
      <c r="X1937" s="93"/>
      <c r="Y1937" s="93"/>
      <c r="Z1937" s="93"/>
    </row>
    <row r="1938" customFormat="false" ht="16.4" hidden="false" customHeight="false" outlineLevel="0" collapsed="false">
      <c r="A1938" s="123" t="n">
        <v>45444</v>
      </c>
      <c r="B1938" s="31" t="s">
        <v>153</v>
      </c>
      <c r="C1938" s="129"/>
      <c r="D1938" s="129"/>
      <c r="E1938" s="19" t="n">
        <f aca="false">F1938*0.03</f>
        <v>0</v>
      </c>
      <c r="F1938" s="33" t="n">
        <v>0</v>
      </c>
      <c r="G1938" s="131"/>
      <c r="H1938" s="35" t="n">
        <v>0</v>
      </c>
      <c r="I1938" s="34" t="n">
        <f aca="false">+IF(E1938=0,0,E1938*0.03)</f>
        <v>0</v>
      </c>
      <c r="J1938" s="93"/>
      <c r="K1938" s="93"/>
      <c r="L1938" s="93"/>
      <c r="M1938" s="93"/>
      <c r="N1938" s="93"/>
      <c r="O1938" s="93"/>
      <c r="P1938" s="93"/>
      <c r="Q1938" s="93"/>
      <c r="R1938" s="93"/>
      <c r="S1938" s="93"/>
      <c r="T1938" s="93"/>
      <c r="U1938" s="93"/>
      <c r="V1938" s="93"/>
      <c r="W1938" s="93"/>
      <c r="X1938" s="93"/>
      <c r="Y1938" s="93"/>
      <c r="Z1938" s="93"/>
    </row>
    <row r="1939" customFormat="false" ht="16.4" hidden="false" customHeight="false" outlineLevel="0" collapsed="false">
      <c r="A1939" s="123" t="n">
        <v>45444</v>
      </c>
      <c r="B1939" s="31" t="s">
        <v>153</v>
      </c>
      <c r="C1939" s="129"/>
      <c r="D1939" s="129"/>
      <c r="E1939" s="19" t="n">
        <f aca="false">F1939*0.03</f>
        <v>0</v>
      </c>
      <c r="F1939" s="33" t="n">
        <v>0</v>
      </c>
      <c r="G1939" s="131"/>
      <c r="H1939" s="35" t="n">
        <v>0</v>
      </c>
      <c r="I1939" s="34" t="n">
        <f aca="false">+IF(E1939=0,0,E1939*0.03)</f>
        <v>0</v>
      </c>
      <c r="J1939" s="93"/>
      <c r="K1939" s="93"/>
      <c r="L1939" s="93"/>
      <c r="M1939" s="93"/>
      <c r="N1939" s="93"/>
      <c r="O1939" s="93"/>
      <c r="P1939" s="93"/>
      <c r="Q1939" s="93"/>
      <c r="R1939" s="93"/>
      <c r="S1939" s="93"/>
      <c r="T1939" s="93"/>
      <c r="U1939" s="93"/>
      <c r="V1939" s="93"/>
      <c r="W1939" s="93"/>
      <c r="X1939" s="93"/>
      <c r="Y1939" s="93"/>
      <c r="Z1939" s="93"/>
    </row>
    <row r="1940" customFormat="false" ht="16.4" hidden="false" customHeight="false" outlineLevel="0" collapsed="false">
      <c r="A1940" s="123" t="n">
        <v>45444</v>
      </c>
      <c r="B1940" s="31" t="s">
        <v>153</v>
      </c>
      <c r="C1940" s="129"/>
      <c r="D1940" s="129"/>
      <c r="E1940" s="19" t="n">
        <f aca="false">F1940*0.03</f>
        <v>0</v>
      </c>
      <c r="F1940" s="33" t="n">
        <v>0</v>
      </c>
      <c r="G1940" s="131"/>
      <c r="H1940" s="35" t="n">
        <v>0</v>
      </c>
      <c r="I1940" s="34" t="n">
        <f aca="false">+IF(E1940=0,0,E1940*0.03)</f>
        <v>0</v>
      </c>
      <c r="J1940" s="93"/>
      <c r="K1940" s="93"/>
      <c r="L1940" s="93"/>
      <c r="M1940" s="93"/>
      <c r="N1940" s="93"/>
      <c r="O1940" s="93"/>
      <c r="P1940" s="93"/>
      <c r="Q1940" s="93"/>
      <c r="R1940" s="93"/>
      <c r="S1940" s="93"/>
      <c r="T1940" s="93"/>
      <c r="U1940" s="93"/>
      <c r="V1940" s="93"/>
      <c r="W1940" s="93"/>
      <c r="X1940" s="93"/>
      <c r="Y1940" s="93"/>
      <c r="Z1940" s="93"/>
    </row>
    <row r="1941" customFormat="false" ht="16.4" hidden="false" customHeight="false" outlineLevel="0" collapsed="false">
      <c r="A1941" s="123" t="n">
        <v>45444</v>
      </c>
      <c r="B1941" s="31" t="s">
        <v>153</v>
      </c>
      <c r="C1941" s="129"/>
      <c r="D1941" s="129"/>
      <c r="E1941" s="19" t="n">
        <f aca="false">F1941*0.03</f>
        <v>0</v>
      </c>
      <c r="F1941" s="33" t="n">
        <v>0</v>
      </c>
      <c r="G1941" s="131"/>
      <c r="H1941" s="35" t="n">
        <v>0</v>
      </c>
      <c r="I1941" s="34" t="n">
        <f aca="false">+IF(E1941=0,0,E1941*0.03)</f>
        <v>0</v>
      </c>
      <c r="J1941" s="93"/>
      <c r="K1941" s="93"/>
      <c r="L1941" s="93"/>
      <c r="M1941" s="93"/>
      <c r="N1941" s="93"/>
      <c r="O1941" s="93"/>
      <c r="P1941" s="93"/>
      <c r="Q1941" s="93"/>
      <c r="R1941" s="93"/>
      <c r="S1941" s="93"/>
      <c r="T1941" s="93"/>
      <c r="U1941" s="93"/>
      <c r="V1941" s="93"/>
      <c r="W1941" s="93"/>
      <c r="X1941" s="93"/>
      <c r="Y1941" s="93"/>
      <c r="Z1941" s="93"/>
    </row>
    <row r="1942" customFormat="false" ht="16.4" hidden="false" customHeight="false" outlineLevel="0" collapsed="false">
      <c r="A1942" s="123" t="n">
        <v>45444</v>
      </c>
      <c r="B1942" s="31" t="s">
        <v>153</v>
      </c>
      <c r="C1942" s="129"/>
      <c r="D1942" s="129"/>
      <c r="E1942" s="19" t="n">
        <f aca="false">F1942*0.03</f>
        <v>0</v>
      </c>
      <c r="F1942" s="33" t="n">
        <v>0</v>
      </c>
      <c r="G1942" s="131"/>
      <c r="H1942" s="35" t="n">
        <v>0</v>
      </c>
      <c r="I1942" s="34" t="n">
        <f aca="false">+IF(E1942=0,0,E1942*0.03)</f>
        <v>0</v>
      </c>
      <c r="J1942" s="93"/>
      <c r="K1942" s="93"/>
      <c r="L1942" s="93"/>
      <c r="M1942" s="93"/>
      <c r="N1942" s="93"/>
      <c r="O1942" s="93"/>
      <c r="P1942" s="93"/>
      <c r="Q1942" s="93"/>
      <c r="R1942" s="93"/>
      <c r="S1942" s="93"/>
      <c r="T1942" s="93"/>
      <c r="U1942" s="93"/>
      <c r="V1942" s="93"/>
      <c r="W1942" s="93"/>
      <c r="X1942" s="93"/>
      <c r="Y1942" s="93"/>
      <c r="Z1942" s="93"/>
    </row>
    <row r="1943" customFormat="false" ht="16.4" hidden="false" customHeight="false" outlineLevel="0" collapsed="false">
      <c r="A1943" s="123" t="n">
        <v>45444</v>
      </c>
      <c r="B1943" s="31" t="s">
        <v>153</v>
      </c>
      <c r="C1943" s="129"/>
      <c r="D1943" s="129"/>
      <c r="E1943" s="19" t="n">
        <f aca="false">F1943*0.03</f>
        <v>0</v>
      </c>
      <c r="F1943" s="33" t="n">
        <v>0</v>
      </c>
      <c r="G1943" s="131"/>
      <c r="H1943" s="35" t="n">
        <v>0</v>
      </c>
      <c r="I1943" s="34" t="n">
        <f aca="false">+IF(E1943=0,0,E1943*0.03)</f>
        <v>0</v>
      </c>
      <c r="J1943" s="93"/>
      <c r="K1943" s="93"/>
      <c r="L1943" s="93"/>
      <c r="M1943" s="93"/>
      <c r="N1943" s="93"/>
      <c r="O1943" s="93"/>
      <c r="P1943" s="93"/>
      <c r="Q1943" s="93"/>
      <c r="R1943" s="93"/>
      <c r="S1943" s="93"/>
      <c r="T1943" s="93"/>
      <c r="U1943" s="93"/>
      <c r="V1943" s="93"/>
      <c r="W1943" s="93"/>
      <c r="X1943" s="93"/>
      <c r="Y1943" s="93"/>
      <c r="Z1943" s="93"/>
    </row>
    <row r="1944" customFormat="false" ht="16.4" hidden="false" customHeight="false" outlineLevel="0" collapsed="false">
      <c r="A1944" s="123" t="n">
        <v>45444</v>
      </c>
      <c r="B1944" s="31" t="s">
        <v>153</v>
      </c>
      <c r="C1944" s="129"/>
      <c r="D1944" s="129"/>
      <c r="E1944" s="19" t="n">
        <f aca="false">F1944*0.03</f>
        <v>0</v>
      </c>
      <c r="F1944" s="33" t="n">
        <v>0</v>
      </c>
      <c r="G1944" s="131"/>
      <c r="H1944" s="35" t="n">
        <v>0</v>
      </c>
      <c r="I1944" s="34" t="n">
        <f aca="false">+IF(E1944=0,0,E1944*0.03)</f>
        <v>0</v>
      </c>
      <c r="J1944" s="93"/>
      <c r="K1944" s="93"/>
      <c r="L1944" s="93"/>
      <c r="M1944" s="93"/>
      <c r="N1944" s="93"/>
      <c r="O1944" s="93"/>
      <c r="P1944" s="93"/>
      <c r="Q1944" s="93"/>
      <c r="R1944" s="93"/>
      <c r="S1944" s="93"/>
      <c r="T1944" s="93"/>
      <c r="U1944" s="93"/>
      <c r="V1944" s="93"/>
      <c r="W1944" s="93"/>
      <c r="X1944" s="93"/>
      <c r="Y1944" s="93"/>
      <c r="Z1944" s="93"/>
    </row>
    <row r="1945" customFormat="false" ht="16.4" hidden="false" customHeight="false" outlineLevel="0" collapsed="false">
      <c r="A1945" s="123" t="n">
        <v>45444</v>
      </c>
      <c r="B1945" s="31" t="s">
        <v>153</v>
      </c>
      <c r="C1945" s="129"/>
      <c r="D1945" s="129"/>
      <c r="E1945" s="19" t="n">
        <f aca="false">F1945*0.03</f>
        <v>0</v>
      </c>
      <c r="F1945" s="33" t="n">
        <v>0</v>
      </c>
      <c r="G1945" s="131"/>
      <c r="H1945" s="35" t="n">
        <v>0</v>
      </c>
      <c r="I1945" s="34" t="n">
        <f aca="false">+IF(E1945=0,0,E1945*0.03)</f>
        <v>0</v>
      </c>
      <c r="J1945" s="93"/>
      <c r="K1945" s="93"/>
      <c r="L1945" s="93"/>
      <c r="M1945" s="93"/>
      <c r="N1945" s="93"/>
      <c r="O1945" s="93"/>
      <c r="P1945" s="93"/>
      <c r="Q1945" s="93"/>
      <c r="R1945" s="93"/>
      <c r="S1945" s="93"/>
      <c r="T1945" s="93"/>
      <c r="U1945" s="93"/>
      <c r="V1945" s="93"/>
      <c r="W1945" s="93"/>
      <c r="X1945" s="93"/>
      <c r="Y1945" s="93"/>
      <c r="Z1945" s="93"/>
    </row>
    <row r="1946" customFormat="false" ht="16.4" hidden="false" customHeight="false" outlineLevel="0" collapsed="false">
      <c r="A1946" s="123" t="n">
        <v>45444</v>
      </c>
      <c r="B1946" s="31" t="s">
        <v>153</v>
      </c>
      <c r="C1946" s="129"/>
      <c r="D1946" s="129"/>
      <c r="E1946" s="19" t="n">
        <f aca="false">F1946*0.03</f>
        <v>0</v>
      </c>
      <c r="F1946" s="33" t="n">
        <v>0</v>
      </c>
      <c r="G1946" s="131"/>
      <c r="H1946" s="35" t="n">
        <v>0</v>
      </c>
      <c r="I1946" s="34" t="n">
        <f aca="false">+IF(E1946=0,0,E1946*0.03)</f>
        <v>0</v>
      </c>
      <c r="J1946" s="93"/>
      <c r="K1946" s="93"/>
      <c r="L1946" s="93"/>
      <c r="M1946" s="93"/>
      <c r="N1946" s="93"/>
      <c r="O1946" s="93"/>
      <c r="P1946" s="93"/>
      <c r="Q1946" s="93"/>
      <c r="R1946" s="93"/>
      <c r="S1946" s="93"/>
      <c r="T1946" s="93"/>
      <c r="U1946" s="93"/>
      <c r="V1946" s="93"/>
      <c r="W1946" s="93"/>
      <c r="X1946" s="93"/>
      <c r="Y1946" s="93"/>
      <c r="Z1946" s="93"/>
    </row>
    <row r="1947" customFormat="false" ht="16.4" hidden="false" customHeight="false" outlineLevel="0" collapsed="false">
      <c r="A1947" s="123" t="n">
        <v>45444</v>
      </c>
      <c r="B1947" s="31" t="s">
        <v>153</v>
      </c>
      <c r="C1947" s="129"/>
      <c r="D1947" s="129"/>
      <c r="E1947" s="19" t="n">
        <f aca="false">F1947*0.03</f>
        <v>0</v>
      </c>
      <c r="F1947" s="33" t="n">
        <v>0</v>
      </c>
      <c r="G1947" s="131"/>
      <c r="H1947" s="35" t="n">
        <v>0</v>
      </c>
      <c r="I1947" s="34" t="n">
        <f aca="false">+IF(E1947=0,0,E1947*0.03)</f>
        <v>0</v>
      </c>
      <c r="J1947" s="93"/>
      <c r="K1947" s="93"/>
      <c r="L1947" s="93"/>
      <c r="M1947" s="93"/>
      <c r="N1947" s="93"/>
      <c r="O1947" s="93"/>
      <c r="P1947" s="93"/>
      <c r="Q1947" s="93"/>
      <c r="R1947" s="93"/>
      <c r="S1947" s="93"/>
      <c r="T1947" s="93"/>
      <c r="U1947" s="93"/>
      <c r="V1947" s="93"/>
      <c r="W1947" s="93"/>
      <c r="X1947" s="93"/>
      <c r="Y1947" s="93"/>
      <c r="Z1947" s="93"/>
    </row>
    <row r="1948" customFormat="false" ht="16.4" hidden="false" customHeight="false" outlineLevel="0" collapsed="false">
      <c r="A1948" s="123" t="n">
        <v>45444</v>
      </c>
      <c r="B1948" s="31" t="s">
        <v>153</v>
      </c>
      <c r="C1948" s="129"/>
      <c r="D1948" s="129"/>
      <c r="E1948" s="19" t="n">
        <f aca="false">F1948*0.03</f>
        <v>0</v>
      </c>
      <c r="F1948" s="33" t="n">
        <v>0</v>
      </c>
      <c r="G1948" s="131"/>
      <c r="H1948" s="35" t="n">
        <v>0</v>
      </c>
      <c r="I1948" s="34" t="n">
        <f aca="false">+IF(E1948=0,0,E1948*0.03)</f>
        <v>0</v>
      </c>
      <c r="J1948" s="93"/>
      <c r="K1948" s="93"/>
      <c r="L1948" s="93"/>
      <c r="M1948" s="93"/>
      <c r="N1948" s="93"/>
      <c r="O1948" s="93"/>
      <c r="P1948" s="93"/>
      <c r="Q1948" s="93"/>
      <c r="R1948" s="93"/>
      <c r="S1948" s="93"/>
      <c r="T1948" s="93"/>
      <c r="U1948" s="93"/>
      <c r="V1948" s="93"/>
      <c r="W1948" s="93"/>
      <c r="X1948" s="93"/>
      <c r="Y1948" s="93"/>
      <c r="Z1948" s="93"/>
    </row>
    <row r="1949" customFormat="false" ht="16.4" hidden="false" customHeight="false" outlineLevel="0" collapsed="false">
      <c r="A1949" s="123" t="n">
        <v>45444</v>
      </c>
      <c r="B1949" s="31" t="s">
        <v>153</v>
      </c>
      <c r="C1949" s="129"/>
      <c r="D1949" s="129"/>
      <c r="E1949" s="19" t="n">
        <f aca="false">F1949*0.03</f>
        <v>0</v>
      </c>
      <c r="F1949" s="33" t="n">
        <v>0</v>
      </c>
      <c r="G1949" s="131"/>
      <c r="H1949" s="35" t="n">
        <v>0</v>
      </c>
      <c r="I1949" s="34" t="n">
        <f aca="false">+IF(E1949=0,0,E1949*0.03)</f>
        <v>0</v>
      </c>
      <c r="J1949" s="93"/>
      <c r="K1949" s="93"/>
      <c r="L1949" s="93"/>
      <c r="M1949" s="93"/>
      <c r="N1949" s="93"/>
      <c r="O1949" s="93"/>
      <c r="P1949" s="93"/>
      <c r="Q1949" s="93"/>
      <c r="R1949" s="93"/>
      <c r="S1949" s="93"/>
      <c r="T1949" s="93"/>
      <c r="U1949" s="93"/>
      <c r="V1949" s="93"/>
      <c r="W1949" s="93"/>
      <c r="X1949" s="93"/>
      <c r="Y1949" s="93"/>
      <c r="Z1949" s="93"/>
    </row>
    <row r="1950" customFormat="false" ht="16.4" hidden="false" customHeight="false" outlineLevel="0" collapsed="false">
      <c r="A1950" s="123" t="n">
        <v>45444</v>
      </c>
      <c r="B1950" s="31" t="s">
        <v>153</v>
      </c>
      <c r="C1950" s="129"/>
      <c r="D1950" s="129"/>
      <c r="E1950" s="19" t="n">
        <f aca="false">F1950*0.03</f>
        <v>0</v>
      </c>
      <c r="F1950" s="33" t="n">
        <v>0</v>
      </c>
      <c r="G1950" s="131"/>
      <c r="H1950" s="35" t="n">
        <v>0</v>
      </c>
      <c r="I1950" s="34" t="n">
        <f aca="false">+IF(E1950=0,0,E1950*0.03)</f>
        <v>0</v>
      </c>
      <c r="J1950" s="93"/>
      <c r="K1950" s="93"/>
      <c r="L1950" s="93"/>
      <c r="M1950" s="93"/>
      <c r="N1950" s="93"/>
      <c r="O1950" s="93"/>
      <c r="P1950" s="93"/>
      <c r="Q1950" s="93"/>
      <c r="R1950" s="93"/>
      <c r="S1950" s="93"/>
      <c r="T1950" s="93"/>
      <c r="U1950" s="93"/>
      <c r="V1950" s="93"/>
      <c r="W1950" s="93"/>
      <c r="X1950" s="93"/>
      <c r="Y1950" s="93"/>
      <c r="Z1950" s="93"/>
    </row>
    <row r="1951" customFormat="false" ht="16.4" hidden="false" customHeight="false" outlineLevel="0" collapsed="false">
      <c r="A1951" s="123" t="n">
        <v>45444</v>
      </c>
      <c r="B1951" s="31" t="s">
        <v>153</v>
      </c>
      <c r="C1951" s="129"/>
      <c r="D1951" s="129"/>
      <c r="E1951" s="19" t="n">
        <f aca="false">F1951*0.03</f>
        <v>0</v>
      </c>
      <c r="F1951" s="33" t="n">
        <v>0</v>
      </c>
      <c r="G1951" s="131"/>
      <c r="H1951" s="35" t="n">
        <v>0</v>
      </c>
      <c r="I1951" s="34" t="n">
        <f aca="false">+IF(E1951=0,0,E1951*0.03)</f>
        <v>0</v>
      </c>
      <c r="J1951" s="93"/>
      <c r="K1951" s="93"/>
      <c r="L1951" s="93"/>
      <c r="M1951" s="93"/>
      <c r="N1951" s="93"/>
      <c r="O1951" s="93"/>
      <c r="P1951" s="93"/>
      <c r="Q1951" s="93"/>
      <c r="R1951" s="93"/>
      <c r="S1951" s="93"/>
      <c r="T1951" s="93"/>
      <c r="U1951" s="93"/>
      <c r="V1951" s="93"/>
      <c r="W1951" s="93"/>
      <c r="X1951" s="93"/>
      <c r="Y1951" s="93"/>
      <c r="Z1951" s="93"/>
    </row>
    <row r="1952" customFormat="false" ht="16.4" hidden="false" customHeight="false" outlineLevel="0" collapsed="false">
      <c r="A1952" s="123" t="n">
        <v>45444</v>
      </c>
      <c r="B1952" s="31" t="s">
        <v>153</v>
      </c>
      <c r="C1952" s="129"/>
      <c r="D1952" s="129"/>
      <c r="E1952" s="19" t="n">
        <f aca="false">F1952*0.03</f>
        <v>0</v>
      </c>
      <c r="F1952" s="33" t="n">
        <v>0</v>
      </c>
      <c r="G1952" s="131"/>
      <c r="H1952" s="35" t="n">
        <v>0</v>
      </c>
      <c r="I1952" s="34" t="n">
        <f aca="false">+IF(E1952=0,0,E1952*0.03)</f>
        <v>0</v>
      </c>
      <c r="J1952" s="93"/>
      <c r="K1952" s="93"/>
      <c r="L1952" s="93"/>
      <c r="M1952" s="93"/>
      <c r="N1952" s="93"/>
      <c r="O1952" s="93"/>
      <c r="P1952" s="93"/>
      <c r="Q1952" s="93"/>
      <c r="R1952" s="93"/>
      <c r="S1952" s="93"/>
      <c r="T1952" s="93"/>
      <c r="U1952" s="93"/>
      <c r="V1952" s="93"/>
      <c r="W1952" s="93"/>
      <c r="X1952" s="93"/>
      <c r="Y1952" s="93"/>
      <c r="Z1952" s="93"/>
    </row>
    <row r="1953" customFormat="false" ht="16.4" hidden="false" customHeight="false" outlineLevel="0" collapsed="false">
      <c r="A1953" s="123" t="n">
        <v>45444</v>
      </c>
      <c r="B1953" s="31" t="s">
        <v>153</v>
      </c>
      <c r="C1953" s="129"/>
      <c r="D1953" s="129"/>
      <c r="E1953" s="19" t="n">
        <f aca="false">F1953*0.03</f>
        <v>0</v>
      </c>
      <c r="F1953" s="33" t="n">
        <v>0</v>
      </c>
      <c r="G1953" s="131"/>
      <c r="H1953" s="35" t="n">
        <v>0</v>
      </c>
      <c r="I1953" s="34" t="n">
        <f aca="false">+IF(E1953=0,0,E1953*0.03)</f>
        <v>0</v>
      </c>
      <c r="J1953" s="93"/>
      <c r="K1953" s="93"/>
      <c r="L1953" s="93"/>
      <c r="M1953" s="93"/>
      <c r="N1953" s="93"/>
      <c r="O1953" s="93"/>
      <c r="P1953" s="93"/>
      <c r="Q1953" s="93"/>
      <c r="R1953" s="93"/>
      <c r="S1953" s="93"/>
      <c r="T1953" s="93"/>
      <c r="U1953" s="93"/>
      <c r="V1953" s="93"/>
      <c r="W1953" s="93"/>
      <c r="X1953" s="93"/>
      <c r="Y1953" s="93"/>
      <c r="Z1953" s="93"/>
    </row>
    <row r="1954" customFormat="false" ht="16.4" hidden="false" customHeight="false" outlineLevel="0" collapsed="false">
      <c r="A1954" s="123" t="n">
        <v>45444</v>
      </c>
      <c r="B1954" s="31" t="s">
        <v>153</v>
      </c>
      <c r="C1954" s="129"/>
      <c r="D1954" s="129"/>
      <c r="E1954" s="19" t="n">
        <f aca="false">F1954*0.03</f>
        <v>0</v>
      </c>
      <c r="F1954" s="33" t="n">
        <v>0</v>
      </c>
      <c r="G1954" s="131"/>
      <c r="H1954" s="35" t="n">
        <v>0</v>
      </c>
      <c r="I1954" s="34" t="n">
        <f aca="false">+IF(E1954=0,0,E1954*0.03)</f>
        <v>0</v>
      </c>
      <c r="J1954" s="93"/>
      <c r="K1954" s="93"/>
      <c r="L1954" s="93"/>
      <c r="M1954" s="93"/>
      <c r="N1954" s="93"/>
      <c r="O1954" s="93"/>
      <c r="P1954" s="93"/>
      <c r="Q1954" s="93"/>
      <c r="R1954" s="93"/>
      <c r="S1954" s="93"/>
      <c r="T1954" s="93"/>
      <c r="U1954" s="93"/>
      <c r="V1954" s="93"/>
      <c r="W1954" s="93"/>
      <c r="X1954" s="93"/>
      <c r="Y1954" s="93"/>
      <c r="Z1954" s="93"/>
    </row>
    <row r="1955" customFormat="false" ht="16.4" hidden="false" customHeight="false" outlineLevel="0" collapsed="false">
      <c r="A1955" s="123" t="n">
        <v>45444</v>
      </c>
      <c r="B1955" s="31" t="s">
        <v>153</v>
      </c>
      <c r="C1955" s="129"/>
      <c r="D1955" s="129"/>
      <c r="E1955" s="19" t="n">
        <f aca="false">F1955*0.03</f>
        <v>0</v>
      </c>
      <c r="F1955" s="33" t="n">
        <v>0</v>
      </c>
      <c r="G1955" s="131"/>
      <c r="H1955" s="35" t="n">
        <v>0</v>
      </c>
      <c r="I1955" s="34" t="n">
        <f aca="false">+IF(E1955=0,0,E1955*0.03)</f>
        <v>0</v>
      </c>
      <c r="J1955" s="93"/>
      <c r="K1955" s="93"/>
      <c r="L1955" s="93"/>
      <c r="M1955" s="93"/>
      <c r="N1955" s="93"/>
      <c r="O1955" s="93"/>
      <c r="P1955" s="93"/>
      <c r="Q1955" s="93"/>
      <c r="R1955" s="93"/>
      <c r="S1955" s="93"/>
      <c r="T1955" s="93"/>
      <c r="U1955" s="93"/>
      <c r="V1955" s="93"/>
      <c r="W1955" s="93"/>
      <c r="X1955" s="93"/>
      <c r="Y1955" s="93"/>
      <c r="Z1955" s="93"/>
    </row>
    <row r="1956" customFormat="false" ht="16.4" hidden="false" customHeight="false" outlineLevel="0" collapsed="false">
      <c r="A1956" s="123" t="n">
        <v>45444</v>
      </c>
      <c r="B1956" s="31" t="s">
        <v>153</v>
      </c>
      <c r="C1956" s="129"/>
      <c r="D1956" s="129"/>
      <c r="E1956" s="19" t="n">
        <f aca="false">F1956*0.03</f>
        <v>0</v>
      </c>
      <c r="F1956" s="33" t="n">
        <v>0</v>
      </c>
      <c r="G1956" s="131"/>
      <c r="H1956" s="35" t="n">
        <v>0</v>
      </c>
      <c r="I1956" s="34" t="n">
        <f aca="false">+IF(E1956=0,0,E1956*0.03)</f>
        <v>0</v>
      </c>
      <c r="J1956" s="93"/>
      <c r="K1956" s="93"/>
      <c r="L1956" s="93"/>
      <c r="M1956" s="93"/>
      <c r="N1956" s="93"/>
      <c r="O1956" s="93"/>
      <c r="P1956" s="93"/>
      <c r="Q1956" s="93"/>
      <c r="R1956" s="93"/>
      <c r="S1956" s="93"/>
      <c r="T1956" s="93"/>
      <c r="U1956" s="93"/>
      <c r="V1956" s="93"/>
      <c r="W1956" s="93"/>
      <c r="X1956" s="93"/>
      <c r="Y1956" s="93"/>
      <c r="Z1956" s="93"/>
    </row>
    <row r="1957" customFormat="false" ht="16.4" hidden="false" customHeight="false" outlineLevel="0" collapsed="false">
      <c r="A1957" s="123" t="n">
        <v>45444</v>
      </c>
      <c r="B1957" s="31" t="s">
        <v>153</v>
      </c>
      <c r="C1957" s="129"/>
      <c r="D1957" s="129"/>
      <c r="E1957" s="19" t="n">
        <f aca="false">F1957*0.03</f>
        <v>0</v>
      </c>
      <c r="F1957" s="33" t="n">
        <v>0</v>
      </c>
      <c r="G1957" s="131"/>
      <c r="H1957" s="35" t="n">
        <v>0</v>
      </c>
      <c r="I1957" s="34" t="n">
        <f aca="false">+IF(E1957=0,0,E1957*0.03)</f>
        <v>0</v>
      </c>
      <c r="J1957" s="93"/>
      <c r="K1957" s="93"/>
      <c r="L1957" s="93"/>
      <c r="M1957" s="93"/>
      <c r="N1957" s="93"/>
      <c r="O1957" s="93"/>
      <c r="P1957" s="93"/>
      <c r="Q1957" s="93"/>
      <c r="R1957" s="93"/>
      <c r="S1957" s="93"/>
      <c r="T1957" s="93"/>
      <c r="U1957" s="93"/>
      <c r="V1957" s="93"/>
      <c r="W1957" s="93"/>
      <c r="X1957" s="93"/>
      <c r="Y1957" s="93"/>
      <c r="Z1957" s="93"/>
    </row>
    <row r="1958" customFormat="false" ht="16.4" hidden="false" customHeight="false" outlineLevel="0" collapsed="false">
      <c r="A1958" s="123" t="n">
        <v>45444</v>
      </c>
      <c r="B1958" s="31" t="s">
        <v>153</v>
      </c>
      <c r="C1958" s="129"/>
      <c r="D1958" s="129"/>
      <c r="E1958" s="19" t="n">
        <f aca="false">F1958*0.03</f>
        <v>0</v>
      </c>
      <c r="F1958" s="33" t="n">
        <v>0</v>
      </c>
      <c r="G1958" s="131"/>
      <c r="H1958" s="35" t="n">
        <v>0</v>
      </c>
      <c r="I1958" s="34" t="n">
        <f aca="false">+IF(E1958=0,0,E1958*0.03)</f>
        <v>0</v>
      </c>
      <c r="J1958" s="93"/>
      <c r="K1958" s="93"/>
      <c r="L1958" s="93"/>
      <c r="M1958" s="93"/>
      <c r="N1958" s="93"/>
      <c r="O1958" s="93"/>
      <c r="P1958" s="93"/>
      <c r="Q1958" s="93"/>
      <c r="R1958" s="93"/>
      <c r="S1958" s="93"/>
      <c r="T1958" s="93"/>
      <c r="U1958" s="93"/>
      <c r="V1958" s="93"/>
      <c r="W1958" s="93"/>
      <c r="X1958" s="93"/>
      <c r="Y1958" s="93"/>
      <c r="Z1958" s="93"/>
    </row>
    <row r="1959" customFormat="false" ht="16.4" hidden="false" customHeight="false" outlineLevel="0" collapsed="false">
      <c r="A1959" s="123" t="n">
        <v>45444</v>
      </c>
      <c r="B1959" s="31" t="s">
        <v>153</v>
      </c>
      <c r="C1959" s="129"/>
      <c r="D1959" s="129"/>
      <c r="E1959" s="19" t="n">
        <f aca="false">F1959*0.03</f>
        <v>0</v>
      </c>
      <c r="F1959" s="33" t="n">
        <v>0</v>
      </c>
      <c r="G1959" s="131"/>
      <c r="H1959" s="35" t="n">
        <v>0</v>
      </c>
      <c r="I1959" s="34" t="n">
        <f aca="false">+IF(E1959=0,0,E1959*0.03)</f>
        <v>0</v>
      </c>
      <c r="J1959" s="93"/>
      <c r="K1959" s="93"/>
      <c r="L1959" s="93"/>
      <c r="M1959" s="93"/>
      <c r="N1959" s="93"/>
      <c r="O1959" s="93"/>
      <c r="P1959" s="93"/>
      <c r="Q1959" s="93"/>
      <c r="R1959" s="93"/>
      <c r="S1959" s="93"/>
      <c r="T1959" s="93"/>
      <c r="U1959" s="93"/>
      <c r="V1959" s="93"/>
      <c r="W1959" s="93"/>
      <c r="X1959" s="93"/>
      <c r="Y1959" s="93"/>
      <c r="Z1959" s="93"/>
    </row>
    <row r="1960" customFormat="false" ht="16.4" hidden="false" customHeight="false" outlineLevel="0" collapsed="false">
      <c r="A1960" s="123" t="n">
        <v>45444</v>
      </c>
      <c r="B1960" s="31" t="s">
        <v>153</v>
      </c>
      <c r="C1960" s="129"/>
      <c r="D1960" s="129"/>
      <c r="E1960" s="19" t="n">
        <f aca="false">F1960*0.03</f>
        <v>0</v>
      </c>
      <c r="F1960" s="33" t="n">
        <v>0</v>
      </c>
      <c r="G1960" s="131"/>
      <c r="H1960" s="35" t="n">
        <v>0</v>
      </c>
      <c r="I1960" s="34" t="n">
        <f aca="false">+IF(E1960=0,0,E1960*0.03)</f>
        <v>0</v>
      </c>
      <c r="J1960" s="93"/>
      <c r="K1960" s="93"/>
      <c r="L1960" s="93"/>
      <c r="M1960" s="93"/>
      <c r="N1960" s="93"/>
      <c r="O1960" s="93"/>
      <c r="P1960" s="93"/>
      <c r="Q1960" s="93"/>
      <c r="R1960" s="93"/>
      <c r="S1960" s="93"/>
      <c r="T1960" s="93"/>
      <c r="U1960" s="93"/>
      <c r="V1960" s="93"/>
      <c r="W1960" s="93"/>
      <c r="X1960" s="93"/>
      <c r="Y1960" s="93"/>
      <c r="Z1960" s="93"/>
    </row>
    <row r="1961" customFormat="false" ht="16.4" hidden="false" customHeight="false" outlineLevel="0" collapsed="false">
      <c r="A1961" s="123" t="n">
        <v>45444</v>
      </c>
      <c r="B1961" s="31" t="s">
        <v>153</v>
      </c>
      <c r="C1961" s="129"/>
      <c r="D1961" s="129"/>
      <c r="E1961" s="19" t="n">
        <f aca="false">F1961*0.03</f>
        <v>0</v>
      </c>
      <c r="F1961" s="33" t="n">
        <v>0</v>
      </c>
      <c r="G1961" s="131"/>
      <c r="H1961" s="35" t="n">
        <v>0</v>
      </c>
      <c r="I1961" s="34" t="n">
        <f aca="false">+IF(E1961=0,0,E1961*0.03)</f>
        <v>0</v>
      </c>
      <c r="J1961" s="93"/>
      <c r="K1961" s="93"/>
      <c r="L1961" s="93"/>
      <c r="M1961" s="93"/>
      <c r="N1961" s="93"/>
      <c r="O1961" s="93"/>
      <c r="P1961" s="93"/>
      <c r="Q1961" s="93"/>
      <c r="R1961" s="93"/>
      <c r="S1961" s="93"/>
      <c r="T1961" s="93"/>
      <c r="U1961" s="93"/>
      <c r="V1961" s="93"/>
      <c r="W1961" s="93"/>
      <c r="X1961" s="93"/>
      <c r="Y1961" s="93"/>
      <c r="Z1961" s="93"/>
    </row>
    <row r="1962" customFormat="false" ht="16.4" hidden="false" customHeight="false" outlineLevel="0" collapsed="false">
      <c r="A1962" s="123" t="n">
        <v>45444</v>
      </c>
      <c r="B1962" s="31" t="s">
        <v>153</v>
      </c>
      <c r="C1962" s="129"/>
      <c r="D1962" s="129"/>
      <c r="E1962" s="19" t="n">
        <f aca="false">F1962*0.03</f>
        <v>0</v>
      </c>
      <c r="F1962" s="33" t="n">
        <v>0</v>
      </c>
      <c r="G1962" s="131"/>
      <c r="H1962" s="35" t="n">
        <v>0</v>
      </c>
      <c r="I1962" s="34" t="n">
        <f aca="false">+IF(E1962=0,0,E1962*0.03)</f>
        <v>0</v>
      </c>
      <c r="J1962" s="93"/>
      <c r="K1962" s="93"/>
      <c r="L1962" s="93"/>
      <c r="M1962" s="93"/>
      <c r="N1962" s="93"/>
      <c r="O1962" s="93"/>
      <c r="P1962" s="93"/>
      <c r="Q1962" s="93"/>
      <c r="R1962" s="93"/>
      <c r="S1962" s="93"/>
      <c r="T1962" s="93"/>
      <c r="U1962" s="93"/>
      <c r="V1962" s="93"/>
      <c r="W1962" s="93"/>
      <c r="X1962" s="93"/>
      <c r="Y1962" s="93"/>
      <c r="Z1962" s="93"/>
    </row>
    <row r="1963" customFormat="false" ht="16.4" hidden="false" customHeight="false" outlineLevel="0" collapsed="false">
      <c r="A1963" s="123" t="n">
        <v>45444</v>
      </c>
      <c r="B1963" s="31" t="s">
        <v>153</v>
      </c>
      <c r="C1963" s="129"/>
      <c r="D1963" s="129"/>
      <c r="E1963" s="19" t="n">
        <f aca="false">F1963*0.03</f>
        <v>0</v>
      </c>
      <c r="F1963" s="33" t="n">
        <v>0</v>
      </c>
      <c r="G1963" s="131"/>
      <c r="H1963" s="35" t="n">
        <v>0</v>
      </c>
      <c r="I1963" s="34" t="n">
        <f aca="false">+IF(E1963=0,0,E1963*0.03)</f>
        <v>0</v>
      </c>
      <c r="J1963" s="93"/>
      <c r="K1963" s="93"/>
      <c r="L1963" s="93"/>
      <c r="M1963" s="93"/>
      <c r="N1963" s="93"/>
      <c r="O1963" s="93"/>
      <c r="P1963" s="93"/>
      <c r="Q1963" s="93"/>
      <c r="R1963" s="93"/>
      <c r="S1963" s="93"/>
      <c r="T1963" s="93"/>
      <c r="U1963" s="93"/>
      <c r="V1963" s="93"/>
      <c r="W1963" s="93"/>
      <c r="X1963" s="93"/>
      <c r="Y1963" s="93"/>
      <c r="Z1963" s="93"/>
    </row>
    <row r="1964" customFormat="false" ht="16.4" hidden="false" customHeight="false" outlineLevel="0" collapsed="false">
      <c r="A1964" s="123" t="n">
        <v>45444</v>
      </c>
      <c r="B1964" s="31" t="s">
        <v>153</v>
      </c>
      <c r="C1964" s="129"/>
      <c r="D1964" s="129"/>
      <c r="E1964" s="19" t="n">
        <f aca="false">F1964*0.03</f>
        <v>0</v>
      </c>
      <c r="F1964" s="33" t="n">
        <v>0</v>
      </c>
      <c r="G1964" s="131"/>
      <c r="H1964" s="35" t="n">
        <v>0</v>
      </c>
      <c r="I1964" s="34" t="n">
        <f aca="false">+IF(E1964=0,0,E1964*0.03)</f>
        <v>0</v>
      </c>
      <c r="J1964" s="93"/>
      <c r="K1964" s="93"/>
      <c r="L1964" s="93"/>
      <c r="M1964" s="93"/>
      <c r="N1964" s="93"/>
      <c r="O1964" s="93"/>
      <c r="P1964" s="93"/>
      <c r="Q1964" s="93"/>
      <c r="R1964" s="93"/>
      <c r="S1964" s="93"/>
      <c r="T1964" s="93"/>
      <c r="U1964" s="93"/>
      <c r="V1964" s="93"/>
      <c r="W1964" s="93"/>
      <c r="X1964" s="93"/>
      <c r="Y1964" s="93"/>
      <c r="Z1964" s="93"/>
    </row>
    <row r="1965" customFormat="false" ht="16.4" hidden="false" customHeight="false" outlineLevel="0" collapsed="false">
      <c r="A1965" s="123" t="n">
        <v>45444</v>
      </c>
      <c r="B1965" s="31" t="s">
        <v>153</v>
      </c>
      <c r="C1965" s="129"/>
      <c r="D1965" s="129"/>
      <c r="E1965" s="19" t="n">
        <f aca="false">F1965*0.03</f>
        <v>0</v>
      </c>
      <c r="F1965" s="33" t="n">
        <v>0</v>
      </c>
      <c r="G1965" s="131"/>
      <c r="H1965" s="35" t="n">
        <v>0</v>
      </c>
      <c r="I1965" s="34" t="n">
        <f aca="false">+IF(E1965=0,0,E1965*0.03)</f>
        <v>0</v>
      </c>
      <c r="J1965" s="93"/>
      <c r="K1965" s="93"/>
      <c r="L1965" s="93"/>
      <c r="M1965" s="93"/>
      <c r="N1965" s="93"/>
      <c r="O1965" s="93"/>
      <c r="P1965" s="93"/>
      <c r="Q1965" s="93"/>
      <c r="R1965" s="93"/>
      <c r="S1965" s="93"/>
      <c r="T1965" s="93"/>
      <c r="U1965" s="93"/>
      <c r="V1965" s="93"/>
      <c r="W1965" s="93"/>
      <c r="X1965" s="93"/>
      <c r="Y1965" s="93"/>
      <c r="Z1965" s="93"/>
    </row>
    <row r="1966" customFormat="false" ht="16.4" hidden="false" customHeight="false" outlineLevel="0" collapsed="false">
      <c r="A1966" s="123" t="n">
        <v>45444</v>
      </c>
      <c r="B1966" s="31" t="s">
        <v>153</v>
      </c>
      <c r="C1966" s="129"/>
      <c r="D1966" s="129"/>
      <c r="E1966" s="19" t="n">
        <f aca="false">F1966*0.03</f>
        <v>0</v>
      </c>
      <c r="F1966" s="33" t="n">
        <v>0</v>
      </c>
      <c r="G1966" s="131"/>
      <c r="H1966" s="35" t="n">
        <v>0</v>
      </c>
      <c r="I1966" s="34" t="n">
        <f aca="false">+IF(E1966=0,0,E1966*0.03)</f>
        <v>0</v>
      </c>
      <c r="J1966" s="93"/>
      <c r="K1966" s="93"/>
      <c r="L1966" s="93"/>
      <c r="M1966" s="93"/>
      <c r="N1966" s="93"/>
      <c r="O1966" s="93"/>
      <c r="P1966" s="93"/>
      <c r="Q1966" s="93"/>
      <c r="R1966" s="93"/>
      <c r="S1966" s="93"/>
      <c r="T1966" s="93"/>
      <c r="U1966" s="93"/>
      <c r="V1966" s="93"/>
      <c r="W1966" s="93"/>
      <c r="X1966" s="93"/>
      <c r="Y1966" s="93"/>
      <c r="Z1966" s="93"/>
    </row>
    <row r="1967" customFormat="false" ht="16.4" hidden="false" customHeight="false" outlineLevel="0" collapsed="false">
      <c r="A1967" s="123" t="n">
        <v>45444</v>
      </c>
      <c r="B1967" s="31" t="s">
        <v>153</v>
      </c>
      <c r="C1967" s="129"/>
      <c r="D1967" s="129"/>
      <c r="E1967" s="19" t="n">
        <f aca="false">F1967*0.03</f>
        <v>0</v>
      </c>
      <c r="F1967" s="33" t="n">
        <v>0</v>
      </c>
      <c r="G1967" s="131"/>
      <c r="H1967" s="35" t="n">
        <v>0</v>
      </c>
      <c r="I1967" s="34" t="n">
        <f aca="false">+IF(E1967=0,0,E1967*0.03)</f>
        <v>0</v>
      </c>
      <c r="J1967" s="93"/>
      <c r="K1967" s="93"/>
      <c r="L1967" s="93"/>
      <c r="M1967" s="93"/>
      <c r="N1967" s="93"/>
      <c r="O1967" s="93"/>
      <c r="P1967" s="93"/>
      <c r="Q1967" s="93"/>
      <c r="R1967" s="93"/>
      <c r="S1967" s="93"/>
      <c r="T1967" s="93"/>
      <c r="U1967" s="93"/>
      <c r="V1967" s="93"/>
      <c r="W1967" s="93"/>
      <c r="X1967" s="93"/>
      <c r="Y1967" s="93"/>
      <c r="Z1967" s="93"/>
    </row>
    <row r="1968" customFormat="false" ht="16.4" hidden="false" customHeight="false" outlineLevel="0" collapsed="false">
      <c r="A1968" s="123" t="n">
        <v>45444</v>
      </c>
      <c r="B1968" s="31" t="s">
        <v>153</v>
      </c>
      <c r="C1968" s="129"/>
      <c r="D1968" s="129"/>
      <c r="E1968" s="19" t="n">
        <f aca="false">F1968*0.03</f>
        <v>0</v>
      </c>
      <c r="F1968" s="33" t="n">
        <v>0</v>
      </c>
      <c r="G1968" s="131"/>
      <c r="H1968" s="35" t="n">
        <v>0</v>
      </c>
      <c r="I1968" s="34" t="n">
        <f aca="false">+IF(E1968=0,0,E1968*0.03)</f>
        <v>0</v>
      </c>
      <c r="J1968" s="93"/>
      <c r="K1968" s="93"/>
      <c r="L1968" s="93"/>
      <c r="M1968" s="93"/>
      <c r="N1968" s="93"/>
      <c r="O1968" s="93"/>
      <c r="P1968" s="93"/>
      <c r="Q1968" s="93"/>
      <c r="R1968" s="93"/>
      <c r="S1968" s="93"/>
      <c r="T1968" s="93"/>
      <c r="U1968" s="93"/>
      <c r="V1968" s="93"/>
      <c r="W1968" s="93"/>
      <c r="X1968" s="93"/>
      <c r="Y1968" s="93"/>
      <c r="Z1968" s="93"/>
    </row>
    <row r="1969" customFormat="false" ht="16.4" hidden="false" customHeight="false" outlineLevel="0" collapsed="false">
      <c r="A1969" s="123" t="n">
        <v>45444</v>
      </c>
      <c r="B1969" s="31" t="s">
        <v>153</v>
      </c>
      <c r="C1969" s="129"/>
      <c r="D1969" s="129"/>
      <c r="E1969" s="19" t="n">
        <f aca="false">F1969*0.03</f>
        <v>0</v>
      </c>
      <c r="F1969" s="33" t="n">
        <v>0</v>
      </c>
      <c r="G1969" s="131"/>
      <c r="H1969" s="35" t="n">
        <v>0</v>
      </c>
      <c r="I1969" s="34" t="n">
        <f aca="false">+IF(E1969=0,0,E1969*0.03)</f>
        <v>0</v>
      </c>
      <c r="J1969" s="93"/>
      <c r="K1969" s="93"/>
      <c r="L1969" s="93"/>
      <c r="M1969" s="93"/>
      <c r="N1969" s="93"/>
      <c r="O1969" s="93"/>
      <c r="P1969" s="93"/>
      <c r="Q1969" s="93"/>
      <c r="R1969" s="93"/>
      <c r="S1969" s="93"/>
      <c r="T1969" s="93"/>
      <c r="U1969" s="93"/>
      <c r="V1969" s="93"/>
      <c r="W1969" s="93"/>
      <c r="X1969" s="93"/>
      <c r="Y1969" s="93"/>
      <c r="Z1969" s="93"/>
    </row>
    <row r="1970" customFormat="false" ht="16.4" hidden="false" customHeight="false" outlineLevel="0" collapsed="false">
      <c r="A1970" s="123" t="n">
        <v>45444</v>
      </c>
      <c r="B1970" s="31" t="s">
        <v>153</v>
      </c>
      <c r="C1970" s="129"/>
      <c r="D1970" s="129"/>
      <c r="E1970" s="19" t="n">
        <f aca="false">F1970*0.03</f>
        <v>0</v>
      </c>
      <c r="F1970" s="33" t="n">
        <v>0</v>
      </c>
      <c r="G1970" s="131"/>
      <c r="H1970" s="35" t="n">
        <v>0</v>
      </c>
      <c r="I1970" s="34" t="n">
        <f aca="false">+IF(E1970=0,0,E1970*0.03)</f>
        <v>0</v>
      </c>
      <c r="J1970" s="93"/>
      <c r="K1970" s="93"/>
      <c r="L1970" s="93"/>
      <c r="M1970" s="93"/>
      <c r="N1970" s="93"/>
      <c r="O1970" s="93"/>
      <c r="P1970" s="93"/>
      <c r="Q1970" s="93"/>
      <c r="R1970" s="93"/>
      <c r="S1970" s="93"/>
      <c r="T1970" s="93"/>
      <c r="U1970" s="93"/>
      <c r="V1970" s="93"/>
      <c r="W1970" s="93"/>
      <c r="X1970" s="93"/>
      <c r="Y1970" s="93"/>
      <c r="Z1970" s="93"/>
    </row>
    <row r="1971" customFormat="false" ht="16.4" hidden="false" customHeight="false" outlineLevel="0" collapsed="false">
      <c r="A1971" s="123" t="n">
        <v>45444</v>
      </c>
      <c r="B1971" s="31" t="s">
        <v>153</v>
      </c>
      <c r="C1971" s="129"/>
      <c r="D1971" s="129"/>
      <c r="E1971" s="19" t="n">
        <f aca="false">F1971*0.03</f>
        <v>0</v>
      </c>
      <c r="F1971" s="33" t="n">
        <v>0</v>
      </c>
      <c r="G1971" s="131"/>
      <c r="H1971" s="35" t="n">
        <v>0</v>
      </c>
      <c r="I1971" s="34" t="n">
        <f aca="false">+IF(E1971=0,0,E1971*0.03)</f>
        <v>0</v>
      </c>
      <c r="J1971" s="93"/>
      <c r="K1971" s="93"/>
      <c r="L1971" s="93"/>
      <c r="M1971" s="93"/>
      <c r="N1971" s="93"/>
      <c r="O1971" s="93"/>
      <c r="P1971" s="93"/>
      <c r="Q1971" s="93"/>
      <c r="R1971" s="93"/>
      <c r="S1971" s="93"/>
      <c r="T1971" s="93"/>
      <c r="U1971" s="93"/>
      <c r="V1971" s="93"/>
      <c r="W1971" s="93"/>
      <c r="X1971" s="93"/>
      <c r="Y1971" s="93"/>
      <c r="Z1971" s="93"/>
    </row>
    <row r="1972" customFormat="false" ht="16.4" hidden="false" customHeight="false" outlineLevel="0" collapsed="false">
      <c r="A1972" s="123" t="n">
        <v>45444</v>
      </c>
      <c r="B1972" s="31" t="s">
        <v>153</v>
      </c>
      <c r="C1972" s="129"/>
      <c r="D1972" s="129"/>
      <c r="E1972" s="19" t="n">
        <f aca="false">F1972*0.03</f>
        <v>0</v>
      </c>
      <c r="F1972" s="33" t="n">
        <v>0</v>
      </c>
      <c r="G1972" s="131"/>
      <c r="H1972" s="35" t="n">
        <v>0</v>
      </c>
      <c r="I1972" s="34" t="n">
        <f aca="false">+IF(E1972=0,0,E1972*0.03)</f>
        <v>0</v>
      </c>
      <c r="J1972" s="93"/>
      <c r="K1972" s="93"/>
      <c r="L1972" s="93"/>
      <c r="M1972" s="93"/>
      <c r="N1972" s="93"/>
      <c r="O1972" s="93"/>
      <c r="P1972" s="93"/>
      <c r="Q1972" s="93"/>
      <c r="R1972" s="93"/>
      <c r="S1972" s="93"/>
      <c r="T1972" s="93"/>
      <c r="U1972" s="93"/>
      <c r="V1972" s="93"/>
      <c r="W1972" s="93"/>
      <c r="X1972" s="93"/>
      <c r="Y1972" s="93"/>
      <c r="Z1972" s="93"/>
    </row>
    <row r="1973" customFormat="false" ht="16.4" hidden="false" customHeight="false" outlineLevel="0" collapsed="false">
      <c r="A1973" s="123" t="n">
        <v>45444</v>
      </c>
      <c r="B1973" s="31" t="s">
        <v>153</v>
      </c>
      <c r="C1973" s="129"/>
      <c r="D1973" s="129"/>
      <c r="E1973" s="19" t="n">
        <f aca="false">F1973*0.03</f>
        <v>0</v>
      </c>
      <c r="F1973" s="33" t="n">
        <v>0</v>
      </c>
      <c r="G1973" s="131"/>
      <c r="H1973" s="35" t="n">
        <v>0</v>
      </c>
      <c r="I1973" s="34" t="n">
        <f aca="false">+IF(E1973=0,0,E1973*0.03)</f>
        <v>0</v>
      </c>
      <c r="J1973" s="93"/>
      <c r="K1973" s="93"/>
      <c r="L1973" s="93"/>
      <c r="M1973" s="93"/>
      <c r="N1973" s="93"/>
      <c r="O1973" s="93"/>
      <c r="P1973" s="93"/>
      <c r="Q1973" s="93"/>
      <c r="R1973" s="93"/>
      <c r="S1973" s="93"/>
      <c r="T1973" s="93"/>
      <c r="U1973" s="93"/>
      <c r="V1973" s="93"/>
      <c r="W1973" s="93"/>
      <c r="X1973" s="93"/>
      <c r="Y1973" s="93"/>
      <c r="Z1973" s="93"/>
    </row>
    <row r="1974" customFormat="false" ht="16.4" hidden="false" customHeight="false" outlineLevel="0" collapsed="false">
      <c r="A1974" s="123" t="n">
        <v>45444</v>
      </c>
      <c r="B1974" s="31" t="s">
        <v>153</v>
      </c>
      <c r="C1974" s="129"/>
      <c r="D1974" s="129"/>
      <c r="E1974" s="19" t="n">
        <f aca="false">F1974*0.03</f>
        <v>0</v>
      </c>
      <c r="F1974" s="33" t="n">
        <v>0</v>
      </c>
      <c r="G1974" s="131"/>
      <c r="H1974" s="35" t="n">
        <v>0</v>
      </c>
      <c r="I1974" s="34" t="n">
        <f aca="false">+IF(E1974=0,0,E1974*0.03)</f>
        <v>0</v>
      </c>
      <c r="J1974" s="93"/>
      <c r="K1974" s="93"/>
      <c r="L1974" s="93"/>
      <c r="M1974" s="93"/>
      <c r="N1974" s="93"/>
      <c r="O1974" s="93"/>
      <c r="P1974" s="93"/>
      <c r="Q1974" s="93"/>
      <c r="R1974" s="93"/>
      <c r="S1974" s="93"/>
      <c r="T1974" s="93"/>
      <c r="U1974" s="93"/>
      <c r="V1974" s="93"/>
      <c r="W1974" s="93"/>
      <c r="X1974" s="93"/>
      <c r="Y1974" s="93"/>
      <c r="Z1974" s="93"/>
    </row>
    <row r="1975" customFormat="false" ht="16.4" hidden="false" customHeight="false" outlineLevel="0" collapsed="false">
      <c r="A1975" s="123" t="n">
        <v>45444</v>
      </c>
      <c r="B1975" s="31" t="s">
        <v>153</v>
      </c>
      <c r="C1975" s="129"/>
      <c r="D1975" s="129"/>
      <c r="E1975" s="19" t="n">
        <f aca="false">F1975*0.03</f>
        <v>0</v>
      </c>
      <c r="F1975" s="33" t="n">
        <v>0</v>
      </c>
      <c r="G1975" s="131"/>
      <c r="H1975" s="35" t="n">
        <v>0</v>
      </c>
      <c r="I1975" s="34" t="n">
        <f aca="false">+IF(E1975=0,0,E1975*0.03)</f>
        <v>0</v>
      </c>
      <c r="J1975" s="93"/>
      <c r="K1975" s="93"/>
      <c r="L1975" s="93"/>
      <c r="M1975" s="93"/>
      <c r="N1975" s="93"/>
      <c r="O1975" s="93"/>
      <c r="P1975" s="93"/>
      <c r="Q1975" s="93"/>
      <c r="R1975" s="93"/>
      <c r="S1975" s="93"/>
      <c r="T1975" s="93"/>
      <c r="U1975" s="93"/>
      <c r="V1975" s="93"/>
      <c r="W1975" s="93"/>
      <c r="X1975" s="93"/>
      <c r="Y1975" s="93"/>
      <c r="Z1975" s="93"/>
    </row>
    <row r="1976" customFormat="false" ht="16.4" hidden="false" customHeight="false" outlineLevel="0" collapsed="false">
      <c r="A1976" s="123" t="n">
        <v>45444</v>
      </c>
      <c r="B1976" s="31" t="s">
        <v>153</v>
      </c>
      <c r="C1976" s="129"/>
      <c r="D1976" s="129"/>
      <c r="E1976" s="19" t="n">
        <f aca="false">F1976*0.03</f>
        <v>0</v>
      </c>
      <c r="F1976" s="33" t="n">
        <v>0</v>
      </c>
      <c r="G1976" s="131"/>
      <c r="H1976" s="35" t="n">
        <v>0</v>
      </c>
      <c r="I1976" s="34" t="n">
        <f aca="false">+IF(E1976=0,0,E1976*0.03)</f>
        <v>0</v>
      </c>
      <c r="J1976" s="93"/>
      <c r="K1976" s="93"/>
      <c r="L1976" s="93"/>
      <c r="M1976" s="93"/>
      <c r="N1976" s="93"/>
      <c r="O1976" s="93"/>
      <c r="P1976" s="93"/>
      <c r="Q1976" s="93"/>
      <c r="R1976" s="93"/>
      <c r="S1976" s="93"/>
      <c r="T1976" s="93"/>
      <c r="U1976" s="93"/>
      <c r="V1976" s="93"/>
      <c r="W1976" s="93"/>
      <c r="X1976" s="93"/>
      <c r="Y1976" s="93"/>
      <c r="Z1976" s="93"/>
    </row>
    <row r="1977" customFormat="false" ht="16.4" hidden="false" customHeight="false" outlineLevel="0" collapsed="false">
      <c r="A1977" s="123" t="n">
        <v>45444</v>
      </c>
      <c r="B1977" s="31" t="s">
        <v>153</v>
      </c>
      <c r="C1977" s="129"/>
      <c r="D1977" s="129"/>
      <c r="E1977" s="19" t="n">
        <f aca="false">F1977*0.03</f>
        <v>0</v>
      </c>
      <c r="F1977" s="33" t="n">
        <v>0</v>
      </c>
      <c r="G1977" s="131"/>
      <c r="H1977" s="35" t="n">
        <v>0</v>
      </c>
      <c r="I1977" s="34" t="n">
        <f aca="false">+IF(E1977=0,0,E1977*0.03)</f>
        <v>0</v>
      </c>
      <c r="J1977" s="93"/>
      <c r="K1977" s="93"/>
      <c r="L1977" s="93"/>
      <c r="M1977" s="93"/>
      <c r="N1977" s="93"/>
      <c r="O1977" s="93"/>
      <c r="P1977" s="93"/>
      <c r="Q1977" s="93"/>
      <c r="R1977" s="93"/>
      <c r="S1977" s="93"/>
      <c r="T1977" s="93"/>
      <c r="U1977" s="93"/>
      <c r="V1977" s="93"/>
      <c r="W1977" s="93"/>
      <c r="X1977" s="93"/>
      <c r="Y1977" s="93"/>
      <c r="Z1977" s="93"/>
    </row>
    <row r="1978" customFormat="false" ht="16.4" hidden="false" customHeight="false" outlineLevel="0" collapsed="false">
      <c r="A1978" s="123" t="n">
        <v>45444</v>
      </c>
      <c r="B1978" s="31" t="s">
        <v>153</v>
      </c>
      <c r="C1978" s="129"/>
      <c r="D1978" s="129"/>
      <c r="E1978" s="19" t="n">
        <f aca="false">F1978*0.03</f>
        <v>0</v>
      </c>
      <c r="F1978" s="33" t="n">
        <v>0</v>
      </c>
      <c r="G1978" s="131"/>
      <c r="H1978" s="35" t="n">
        <v>0</v>
      </c>
      <c r="I1978" s="34" t="n">
        <f aca="false">+IF(E1978=0,0,E1978*0.03)</f>
        <v>0</v>
      </c>
      <c r="J1978" s="93"/>
      <c r="K1978" s="93"/>
      <c r="L1978" s="93"/>
      <c r="M1978" s="93"/>
      <c r="N1978" s="93"/>
      <c r="O1978" s="93"/>
      <c r="P1978" s="93"/>
      <c r="Q1978" s="93"/>
      <c r="R1978" s="93"/>
      <c r="S1978" s="93"/>
      <c r="T1978" s="93"/>
      <c r="U1978" s="93"/>
      <c r="V1978" s="93"/>
      <c r="W1978" s="93"/>
      <c r="X1978" s="93"/>
      <c r="Y1978" s="93"/>
      <c r="Z1978" s="93"/>
    </row>
    <row r="1979" customFormat="false" ht="16.4" hidden="false" customHeight="false" outlineLevel="0" collapsed="false">
      <c r="A1979" s="123" t="n">
        <v>45444</v>
      </c>
      <c r="B1979" s="31" t="s">
        <v>153</v>
      </c>
      <c r="C1979" s="129"/>
      <c r="D1979" s="129"/>
      <c r="E1979" s="19" t="n">
        <f aca="false">F1979*0.03</f>
        <v>0</v>
      </c>
      <c r="F1979" s="33" t="n">
        <v>0</v>
      </c>
      <c r="G1979" s="131"/>
      <c r="H1979" s="35" t="n">
        <v>0</v>
      </c>
      <c r="I1979" s="34" t="n">
        <f aca="false">+IF(E1979=0,0,E1979*0.03)</f>
        <v>0</v>
      </c>
      <c r="J1979" s="93"/>
      <c r="K1979" s="93"/>
      <c r="L1979" s="93"/>
      <c r="M1979" s="93"/>
      <c r="N1979" s="93"/>
      <c r="O1979" s="93"/>
      <c r="P1979" s="93"/>
      <c r="Q1979" s="93"/>
      <c r="R1979" s="93"/>
      <c r="S1979" s="93"/>
      <c r="T1979" s="93"/>
      <c r="U1979" s="93"/>
      <c r="V1979" s="93"/>
      <c r="W1979" s="93"/>
      <c r="X1979" s="93"/>
      <c r="Y1979" s="93"/>
      <c r="Z1979" s="93"/>
    </row>
    <row r="1980" customFormat="false" ht="16.4" hidden="false" customHeight="false" outlineLevel="0" collapsed="false">
      <c r="A1980" s="123" t="n">
        <v>45444</v>
      </c>
      <c r="B1980" s="31" t="s">
        <v>153</v>
      </c>
      <c r="C1980" s="129"/>
      <c r="D1980" s="129"/>
      <c r="E1980" s="19" t="n">
        <f aca="false">F1980*0.03</f>
        <v>0</v>
      </c>
      <c r="F1980" s="33" t="n">
        <v>0</v>
      </c>
      <c r="G1980" s="131"/>
      <c r="H1980" s="35" t="n">
        <v>0</v>
      </c>
      <c r="I1980" s="34" t="n">
        <f aca="false">+IF(E1980=0,0,E1980*0.03)</f>
        <v>0</v>
      </c>
      <c r="J1980" s="93"/>
      <c r="K1980" s="93"/>
      <c r="L1980" s="93"/>
      <c r="M1980" s="93"/>
      <c r="N1980" s="93"/>
      <c r="O1980" s="93"/>
      <c r="P1980" s="93"/>
      <c r="Q1980" s="93"/>
      <c r="R1980" s="93"/>
      <c r="S1980" s="93"/>
      <c r="T1980" s="93"/>
      <c r="U1980" s="93"/>
      <c r="V1980" s="93"/>
      <c r="W1980" s="93"/>
      <c r="X1980" s="93"/>
      <c r="Y1980" s="93"/>
      <c r="Z1980" s="93"/>
    </row>
    <row r="1981" customFormat="false" ht="16.4" hidden="false" customHeight="false" outlineLevel="0" collapsed="false">
      <c r="A1981" s="123" t="n">
        <v>45444</v>
      </c>
      <c r="B1981" s="31" t="s">
        <v>153</v>
      </c>
      <c r="C1981" s="129"/>
      <c r="D1981" s="129"/>
      <c r="E1981" s="19" t="n">
        <f aca="false">F1981*0.03</f>
        <v>0</v>
      </c>
      <c r="F1981" s="33" t="n">
        <v>0</v>
      </c>
      <c r="G1981" s="131"/>
      <c r="H1981" s="35" t="n">
        <v>0</v>
      </c>
      <c r="I1981" s="34" t="n">
        <f aca="false">+IF(E1981=0,0,E1981*0.03)</f>
        <v>0</v>
      </c>
      <c r="J1981" s="93"/>
      <c r="K1981" s="93"/>
      <c r="L1981" s="93"/>
      <c r="M1981" s="93"/>
      <c r="N1981" s="93"/>
      <c r="O1981" s="93"/>
      <c r="P1981" s="93"/>
      <c r="Q1981" s="93"/>
      <c r="R1981" s="93"/>
      <c r="S1981" s="93"/>
      <c r="T1981" s="93"/>
      <c r="U1981" s="93"/>
      <c r="V1981" s="93"/>
      <c r="W1981" s="93"/>
      <c r="X1981" s="93"/>
      <c r="Y1981" s="93"/>
      <c r="Z1981" s="93"/>
    </row>
    <row r="1982" customFormat="false" ht="16.4" hidden="false" customHeight="false" outlineLevel="0" collapsed="false">
      <c r="A1982" s="123" t="n">
        <v>45444</v>
      </c>
      <c r="B1982" s="31" t="s">
        <v>153</v>
      </c>
      <c r="C1982" s="129"/>
      <c r="D1982" s="129"/>
      <c r="E1982" s="19" t="n">
        <f aca="false">F1982*0.03</f>
        <v>0</v>
      </c>
      <c r="F1982" s="33" t="n">
        <v>0</v>
      </c>
      <c r="G1982" s="131"/>
      <c r="H1982" s="35" t="n">
        <v>0</v>
      </c>
      <c r="I1982" s="34" t="n">
        <f aca="false">+IF(E1982=0,0,E1982*0.03)</f>
        <v>0</v>
      </c>
      <c r="J1982" s="93"/>
      <c r="K1982" s="93"/>
      <c r="L1982" s="93"/>
      <c r="M1982" s="93"/>
      <c r="N1982" s="93"/>
      <c r="O1982" s="93"/>
      <c r="P1982" s="93"/>
      <c r="Q1982" s="93"/>
      <c r="R1982" s="93"/>
      <c r="S1982" s="93"/>
      <c r="T1982" s="93"/>
      <c r="U1982" s="93"/>
      <c r="V1982" s="93"/>
      <c r="W1982" s="93"/>
      <c r="X1982" s="93"/>
      <c r="Y1982" s="93"/>
      <c r="Z1982" s="93"/>
    </row>
    <row r="1983" customFormat="false" ht="16.4" hidden="false" customHeight="false" outlineLevel="0" collapsed="false">
      <c r="A1983" s="93"/>
      <c r="B1983" s="93"/>
      <c r="C1983" s="129"/>
      <c r="D1983" s="32" t="s">
        <v>26</v>
      </c>
      <c r="E1983" s="19" t="n">
        <f aca="false">SUM(E7:E1982)</f>
        <v>0</v>
      </c>
      <c r="F1983" s="33" t="n">
        <f aca="false">SUM(F7:F1982)</f>
        <v>0</v>
      </c>
      <c r="G1983" s="110"/>
      <c r="H1983" s="37" t="n">
        <f aca="false">SUM(H7:H1982)</f>
        <v>0</v>
      </c>
      <c r="I1983" s="38" t="n">
        <f aca="false">SUM(I7:I1982)</f>
        <v>0</v>
      </c>
      <c r="J1983" s="93"/>
      <c r="K1983" s="93"/>
      <c r="L1983" s="93"/>
      <c r="M1983" s="93"/>
      <c r="N1983" s="93"/>
      <c r="O1983" s="93"/>
      <c r="P1983" s="93"/>
      <c r="Q1983" s="93"/>
      <c r="R1983" s="93"/>
      <c r="S1983" s="93"/>
      <c r="T1983" s="93"/>
      <c r="U1983" s="93"/>
      <c r="V1983" s="93"/>
      <c r="W1983" s="93"/>
      <c r="X1983" s="93"/>
      <c r="Y1983" s="93"/>
      <c r="Z1983" s="93"/>
    </row>
    <row r="1984" customFormat="false" ht="15" hidden="false" customHeight="false" outlineLevel="0" collapsed="false">
      <c r="A1984" s="93"/>
      <c r="B1984" s="93"/>
      <c r="C1984" s="93"/>
      <c r="D1984" s="93"/>
      <c r="E1984" s="93"/>
      <c r="F1984" s="93"/>
      <c r="G1984" s="93"/>
      <c r="H1984" s="93"/>
      <c r="I1984" s="93"/>
      <c r="J1984" s="93"/>
      <c r="K1984" s="93"/>
      <c r="L1984" s="93"/>
      <c r="M1984" s="93"/>
      <c r="N1984" s="93"/>
      <c r="O1984" s="93"/>
      <c r="P1984" s="93"/>
      <c r="Q1984" s="93"/>
      <c r="R1984" s="93"/>
      <c r="S1984" s="93"/>
      <c r="T1984" s="93"/>
      <c r="U1984" s="93"/>
      <c r="V1984" s="93"/>
      <c r="W1984" s="93"/>
      <c r="X1984" s="93"/>
      <c r="Y1984" s="93"/>
      <c r="Z1984" s="93"/>
    </row>
    <row r="1985" customFormat="false" ht="15" hidden="false" customHeight="false" outlineLevel="0" collapsed="false">
      <c r="A1985" s="93"/>
      <c r="B1985" s="93"/>
      <c r="C1985" s="93"/>
      <c r="D1985" s="93"/>
      <c r="E1985" s="93"/>
      <c r="F1985" s="93"/>
      <c r="G1985" s="93"/>
      <c r="H1985" s="93"/>
      <c r="I1985" s="93"/>
      <c r="J1985" s="93"/>
      <c r="K1985" s="93"/>
      <c r="L1985" s="93"/>
      <c r="M1985" s="93"/>
      <c r="N1985" s="93"/>
      <c r="O1985" s="93"/>
      <c r="P1985" s="93"/>
      <c r="Q1985" s="93"/>
      <c r="R1985" s="93"/>
      <c r="S1985" s="93"/>
      <c r="T1985" s="93"/>
      <c r="U1985" s="93"/>
      <c r="V1985" s="93"/>
      <c r="W1985" s="93"/>
      <c r="X1985" s="93"/>
      <c r="Y1985" s="93"/>
      <c r="Z1985" s="93"/>
    </row>
    <row r="1986" customFormat="false" ht="15" hidden="false" customHeight="false" outlineLevel="0" collapsed="false">
      <c r="A1986" s="93"/>
      <c r="B1986" s="93"/>
      <c r="C1986" s="93"/>
      <c r="D1986" s="93"/>
      <c r="E1986" s="93"/>
      <c r="F1986" s="93"/>
      <c r="G1986" s="93"/>
      <c r="H1986" s="93"/>
      <c r="I1986" s="93"/>
      <c r="J1986" s="93"/>
      <c r="K1986" s="93"/>
      <c r="L1986" s="93"/>
      <c r="M1986" s="93"/>
      <c r="N1986" s="93"/>
      <c r="O1986" s="93"/>
      <c r="P1986" s="93"/>
      <c r="Q1986" s="93"/>
      <c r="R1986" s="93"/>
      <c r="S1986" s="93"/>
      <c r="T1986" s="93"/>
      <c r="U1986" s="93"/>
      <c r="V1986" s="93"/>
      <c r="W1986" s="93"/>
      <c r="X1986" s="93"/>
      <c r="Y1986" s="93"/>
      <c r="Z1986" s="93"/>
    </row>
    <row r="1987" customFormat="false" ht="15" hidden="false" customHeight="false" outlineLevel="0" collapsed="false">
      <c r="A1987" s="93"/>
      <c r="B1987" s="93"/>
      <c r="C1987" s="93"/>
      <c r="D1987" s="93"/>
      <c r="E1987" s="93"/>
      <c r="F1987" s="93"/>
      <c r="G1987" s="93"/>
      <c r="H1987" s="93"/>
      <c r="I1987" s="93"/>
      <c r="J1987" s="93"/>
      <c r="K1987" s="93"/>
      <c r="L1987" s="93"/>
      <c r="M1987" s="93"/>
      <c r="N1987" s="93"/>
      <c r="O1987" s="93"/>
      <c r="P1987" s="93"/>
      <c r="Q1987" s="93"/>
      <c r="R1987" s="93"/>
      <c r="S1987" s="93"/>
      <c r="T1987" s="93"/>
      <c r="U1987" s="93"/>
      <c r="V1987" s="93"/>
      <c r="W1987" s="93"/>
      <c r="X1987" s="93"/>
      <c r="Y1987" s="93"/>
      <c r="Z1987" s="93"/>
    </row>
    <row r="1988" customFormat="false" ht="15" hidden="false" customHeight="false" outlineLevel="0" collapsed="false">
      <c r="A1988" s="93"/>
      <c r="B1988" s="93"/>
      <c r="C1988" s="93"/>
      <c r="D1988" s="93"/>
      <c r="E1988" s="93"/>
      <c r="F1988" s="93"/>
      <c r="G1988" s="93"/>
      <c r="H1988" s="93"/>
      <c r="I1988" s="93"/>
      <c r="J1988" s="93"/>
      <c r="K1988" s="93"/>
      <c r="L1988" s="93"/>
      <c r="M1988" s="93"/>
      <c r="N1988" s="93"/>
      <c r="O1988" s="93"/>
      <c r="P1988" s="93"/>
      <c r="Q1988" s="93"/>
      <c r="R1988" s="93"/>
      <c r="S1988" s="93"/>
      <c r="T1988" s="93"/>
      <c r="U1988" s="93"/>
      <c r="V1988" s="93"/>
      <c r="W1988" s="93"/>
      <c r="X1988" s="93"/>
      <c r="Y1988" s="93"/>
      <c r="Z1988" s="93"/>
    </row>
    <row r="1989" customFormat="false" ht="15" hidden="false" customHeight="false" outlineLevel="0" collapsed="false">
      <c r="A1989" s="93"/>
      <c r="B1989" s="93"/>
      <c r="C1989" s="93"/>
      <c r="D1989" s="93"/>
      <c r="E1989" s="93"/>
      <c r="F1989" s="93"/>
      <c r="G1989" s="93"/>
      <c r="H1989" s="93"/>
      <c r="I1989" s="93"/>
      <c r="J1989" s="93"/>
      <c r="K1989" s="93"/>
      <c r="L1989" s="93"/>
      <c r="M1989" s="93"/>
      <c r="N1989" s="93"/>
      <c r="O1989" s="93"/>
      <c r="P1989" s="127"/>
      <c r="Q1989" s="93"/>
      <c r="R1989" s="93"/>
      <c r="S1989" s="93"/>
      <c r="T1989" s="93"/>
      <c r="U1989" s="93"/>
      <c r="V1989" s="93"/>
      <c r="W1989" s="93"/>
      <c r="X1989" s="93"/>
      <c r="Y1989" s="93"/>
      <c r="Z1989" s="93"/>
    </row>
    <row r="1990" customFormat="false" ht="15" hidden="false" customHeight="false" outlineLevel="0" collapsed="false">
      <c r="A1990" s="93"/>
      <c r="B1990" s="93"/>
      <c r="C1990" s="93"/>
      <c r="D1990" s="93"/>
      <c r="E1990" s="93"/>
      <c r="F1990" s="93"/>
      <c r="G1990" s="93"/>
      <c r="H1990" s="93"/>
      <c r="I1990" s="93"/>
      <c r="J1990" s="93"/>
      <c r="K1990" s="93"/>
      <c r="L1990" s="93"/>
      <c r="M1990" s="93"/>
      <c r="N1990" s="93"/>
      <c r="O1990" s="93"/>
      <c r="P1990" s="93"/>
      <c r="Q1990" s="93"/>
      <c r="R1990" s="93"/>
      <c r="S1990" s="93"/>
      <c r="T1990" s="93"/>
      <c r="U1990" s="93"/>
      <c r="V1990" s="93"/>
      <c r="W1990" s="93"/>
      <c r="X1990" s="93"/>
      <c r="Y1990" s="93"/>
      <c r="Z1990" s="93"/>
    </row>
    <row r="1991" customFormat="false" ht="15" hidden="false" customHeight="false" outlineLevel="0" collapsed="false">
      <c r="A1991" s="93"/>
      <c r="B1991" s="93"/>
      <c r="C1991" s="93"/>
      <c r="D1991" s="93"/>
      <c r="E1991" s="93"/>
      <c r="F1991" s="93"/>
      <c r="G1991" s="93"/>
      <c r="H1991" s="93"/>
      <c r="I1991" s="93"/>
      <c r="J1991" s="93"/>
      <c r="K1991" s="93"/>
      <c r="L1991" s="93"/>
      <c r="M1991" s="93"/>
      <c r="N1991" s="93"/>
      <c r="O1991" s="127"/>
      <c r="P1991" s="127"/>
      <c r="Q1991" s="93"/>
      <c r="R1991" s="93"/>
      <c r="S1991" s="93"/>
      <c r="T1991" s="93"/>
      <c r="U1991" s="93"/>
      <c r="V1991" s="93"/>
      <c r="W1991" s="93"/>
      <c r="X1991" s="93"/>
      <c r="Y1991" s="93"/>
      <c r="Z1991" s="93"/>
    </row>
  </sheetData>
  <mergeCells count="3">
    <mergeCell ref="H1:I1"/>
    <mergeCell ref="H2:I2"/>
    <mergeCell ref="C5:I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9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3" min="3" style="0" width="25.86"/>
    <col collapsed="false" customWidth="true" hidden="false" outlineLevel="0" max="4" min="4" style="0" width="28.57"/>
    <col collapsed="false" customWidth="true" hidden="false" outlineLevel="0" max="5" min="5" style="0" width="26.57"/>
    <col collapsed="false" customWidth="true" hidden="false" outlineLevel="0" max="7" min="6" style="0" width="32.43"/>
  </cols>
  <sheetData>
    <row r="1" customFormat="false" ht="31.3" hidden="false" customHeight="true" outlineLevel="0" collapsed="false">
      <c r="A1" s="85"/>
      <c r="B1" s="86"/>
      <c r="C1" s="87" t="s">
        <v>2</v>
      </c>
      <c r="D1" s="88" t="s">
        <v>3</v>
      </c>
      <c r="E1" s="89" t="s">
        <v>236</v>
      </c>
      <c r="F1" s="90" t="s">
        <v>4</v>
      </c>
      <c r="G1" s="91" t="s">
        <v>28</v>
      </c>
      <c r="H1" s="92" t="s">
        <v>29</v>
      </c>
      <c r="I1" s="92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customFormat="false" ht="16.4" hidden="false" customHeight="false" outlineLevel="0" collapsed="false">
      <c r="B2" s="94"/>
      <c r="C2" s="95" t="n">
        <f aca="false">+E1984</f>
        <v>179850</v>
      </c>
      <c r="D2" s="96" t="n">
        <f aca="false">+F1984</f>
        <v>5995000</v>
      </c>
      <c r="E2" s="97" t="n">
        <f aca="false">D2-C2</f>
        <v>5815150</v>
      </c>
      <c r="F2" s="98" t="n">
        <f aca="false">+D2-(C2+E2)</f>
        <v>0</v>
      </c>
      <c r="G2" s="99" t="s">
        <v>30</v>
      </c>
      <c r="H2" s="100" t="n">
        <f aca="false">C2/6</f>
        <v>29975</v>
      </c>
      <c r="I2" s="100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customFormat="false" ht="31.3" hidden="false" customHeight="false" outlineLevel="0" collapsed="false">
      <c r="A3" s="101" t="s">
        <v>237</v>
      </c>
      <c r="B3" s="102" t="s">
        <v>238</v>
      </c>
      <c r="C3" s="103" t="s">
        <v>8</v>
      </c>
      <c r="D3" s="104" t="s">
        <v>9</v>
      </c>
      <c r="E3" s="105" t="s">
        <v>80</v>
      </c>
      <c r="F3" s="106" t="s">
        <v>154</v>
      </c>
      <c r="G3" s="107" t="s">
        <v>31</v>
      </c>
      <c r="H3" s="108"/>
      <c r="I3" s="109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customFormat="false" ht="16.4" hidden="false" customHeight="false" outlineLevel="0" collapsed="false">
      <c r="A4" s="110" t="n">
        <f aca="false">H2</f>
        <v>29975</v>
      </c>
      <c r="B4" s="111" t="n">
        <f aca="false">H2</f>
        <v>29975</v>
      </c>
      <c r="C4" s="20" t="n">
        <f aca="false">H2</f>
        <v>29975</v>
      </c>
      <c r="D4" s="112" t="n">
        <f aca="false">H2</f>
        <v>29975</v>
      </c>
      <c r="E4" s="113" t="n">
        <f aca="false">H2</f>
        <v>29975</v>
      </c>
      <c r="F4" s="114" t="n">
        <f aca="false">H2</f>
        <v>29975</v>
      </c>
      <c r="G4" s="115" t="s">
        <v>32</v>
      </c>
      <c r="H4" s="116" t="n">
        <f aca="false">+C2*H3</f>
        <v>0</v>
      </c>
      <c r="I4" s="80" t="n">
        <v>0</v>
      </c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customFormat="false" ht="31.3" hidden="false" customHeight="false" outlineLevel="0" collapsed="false">
      <c r="A5" s="117"/>
      <c r="B5" s="118" t="s">
        <v>12</v>
      </c>
      <c r="C5" s="119"/>
      <c r="D5" s="119"/>
      <c r="E5" s="119"/>
      <c r="F5" s="119"/>
      <c r="G5" s="119"/>
      <c r="H5" s="119"/>
      <c r="I5" s="119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customFormat="false" ht="31.3" hidden="false" customHeight="false" outlineLevel="0" collapsed="false">
      <c r="A6" s="25" t="s">
        <v>13</v>
      </c>
      <c r="B6" s="25" t="s">
        <v>14</v>
      </c>
      <c r="C6" s="25" t="s">
        <v>113</v>
      </c>
      <c r="D6" s="26" t="s">
        <v>16</v>
      </c>
      <c r="E6" s="120" t="s">
        <v>17</v>
      </c>
      <c r="F6" s="27" t="s">
        <v>83</v>
      </c>
      <c r="G6" s="27" t="s">
        <v>28</v>
      </c>
      <c r="H6" s="28" t="s">
        <v>19</v>
      </c>
      <c r="I6" s="29" t="s">
        <v>20</v>
      </c>
      <c r="J6" s="93"/>
      <c r="K6" s="93"/>
      <c r="L6" s="93"/>
      <c r="M6" s="93"/>
      <c r="N6" s="93"/>
      <c r="O6" s="11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customFormat="false" ht="16.4" hidden="false" customHeight="false" outlineLevel="0" collapsed="false">
      <c r="A7" s="121" t="n">
        <v>45537</v>
      </c>
      <c r="B7" s="31" t="s">
        <v>7</v>
      </c>
      <c r="C7" s="82"/>
      <c r="D7" s="32" t="s">
        <v>248</v>
      </c>
      <c r="E7" s="19" t="n">
        <f aca="false">F7*0.03</f>
        <v>3600</v>
      </c>
      <c r="F7" s="33" t="n">
        <v>120000</v>
      </c>
      <c r="G7" s="62" t="s">
        <v>31</v>
      </c>
      <c r="H7" s="34"/>
      <c r="I7" s="34"/>
      <c r="J7" s="93"/>
      <c r="K7" s="93"/>
      <c r="L7" s="93"/>
      <c r="M7" s="93"/>
      <c r="N7" s="93"/>
      <c r="O7" s="110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customFormat="false" ht="63.75" hidden="false" customHeight="true" outlineLevel="0" collapsed="false">
      <c r="A8" s="123" t="n">
        <v>45538</v>
      </c>
      <c r="B8" s="31" t="s">
        <v>7</v>
      </c>
      <c r="C8" s="82"/>
      <c r="D8" s="32" t="s">
        <v>249</v>
      </c>
      <c r="E8" s="19" t="n">
        <f aca="false">F8*0.03</f>
        <v>3600</v>
      </c>
      <c r="F8" s="33" t="n">
        <v>120000</v>
      </c>
      <c r="G8" s="62" t="s">
        <v>31</v>
      </c>
      <c r="H8" s="34"/>
      <c r="I8" s="34"/>
      <c r="J8" s="93"/>
      <c r="K8" s="93"/>
      <c r="L8" s="93"/>
      <c r="M8" s="132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customFormat="false" ht="63.75" hidden="false" customHeight="true" outlineLevel="0" collapsed="false">
      <c r="A9" s="123" t="n">
        <v>45538</v>
      </c>
      <c r="B9" s="31" t="s">
        <v>239</v>
      </c>
      <c r="C9" s="82" t="n">
        <v>131</v>
      </c>
      <c r="D9" s="32" t="s">
        <v>250</v>
      </c>
      <c r="E9" s="19" t="n">
        <f aca="false">F9*0.03</f>
        <v>9750</v>
      </c>
      <c r="F9" s="33" t="n">
        <v>325000</v>
      </c>
      <c r="G9" s="62" t="s">
        <v>251</v>
      </c>
      <c r="H9" s="34"/>
      <c r="I9" s="34"/>
      <c r="J9" s="93"/>
      <c r="K9" s="93"/>
      <c r="L9" s="93"/>
      <c r="M9" s="122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customFormat="false" ht="16.4" hidden="false" customHeight="false" outlineLevel="0" collapsed="false">
      <c r="A10" s="123" t="n">
        <v>45539</v>
      </c>
      <c r="B10" s="31" t="s">
        <v>239</v>
      </c>
      <c r="C10" s="82"/>
      <c r="D10" s="32" t="s">
        <v>252</v>
      </c>
      <c r="E10" s="19" t="n">
        <f aca="false">F10*0.03</f>
        <v>12000</v>
      </c>
      <c r="F10" s="33" t="n">
        <v>400000</v>
      </c>
      <c r="G10" s="62" t="s">
        <v>31</v>
      </c>
      <c r="H10" s="34"/>
      <c r="I10" s="34"/>
      <c r="J10" s="93"/>
      <c r="K10" s="93"/>
      <c r="L10" s="93"/>
      <c r="M10" s="124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customFormat="false" ht="16.4" hidden="false" customHeight="false" outlineLevel="0" collapsed="false">
      <c r="A11" s="123" t="n">
        <v>45539</v>
      </c>
      <c r="B11" s="31" t="s">
        <v>239</v>
      </c>
      <c r="C11" s="82"/>
      <c r="D11" s="32" t="s">
        <v>253</v>
      </c>
      <c r="E11" s="19" t="n">
        <f aca="false">F11*0.03</f>
        <v>1500</v>
      </c>
      <c r="F11" s="33" t="n">
        <v>50000</v>
      </c>
      <c r="G11" s="62" t="s">
        <v>244</v>
      </c>
      <c r="H11" s="34"/>
      <c r="I11" s="34"/>
      <c r="J11" s="93"/>
      <c r="K11" s="93"/>
      <c r="L11" s="93"/>
      <c r="M11" s="124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customFormat="false" ht="16.4" hidden="false" customHeight="false" outlineLevel="0" collapsed="false">
      <c r="A12" s="125" t="n">
        <v>45539</v>
      </c>
      <c r="B12" s="31" t="s">
        <v>254</v>
      </c>
      <c r="C12" s="82"/>
      <c r="D12" s="32" t="s">
        <v>255</v>
      </c>
      <c r="E12" s="19" t="n">
        <f aca="false">F12*0.03</f>
        <v>8400</v>
      </c>
      <c r="F12" s="33" t="n">
        <v>280000</v>
      </c>
      <c r="G12" s="62" t="s">
        <v>32</v>
      </c>
      <c r="H12" s="34"/>
      <c r="I12" s="34"/>
      <c r="J12" s="93"/>
      <c r="K12" s="93"/>
      <c r="L12" s="93"/>
      <c r="M12" s="126"/>
      <c r="N12" s="93"/>
      <c r="O12" s="127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customFormat="false" ht="16.4" hidden="false" customHeight="false" outlineLevel="0" collapsed="false">
      <c r="A13" s="125" t="n">
        <v>45539</v>
      </c>
      <c r="B13" s="31" t="s">
        <v>7</v>
      </c>
      <c r="C13" s="82"/>
      <c r="D13" s="32" t="s">
        <v>256</v>
      </c>
      <c r="E13" s="19" t="n">
        <f aca="false">F13*0.03</f>
        <v>3000</v>
      </c>
      <c r="F13" s="33" t="n">
        <v>100000</v>
      </c>
      <c r="G13" s="62" t="s">
        <v>30</v>
      </c>
      <c r="H13" s="34"/>
      <c r="I13" s="34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customFormat="false" ht="31.3" hidden="false" customHeight="false" outlineLevel="0" collapsed="false">
      <c r="A14" s="125" t="n">
        <v>45541</v>
      </c>
      <c r="B14" s="31" t="s">
        <v>239</v>
      </c>
      <c r="C14" s="82" t="n">
        <v>134</v>
      </c>
      <c r="D14" s="32" t="s">
        <v>257</v>
      </c>
      <c r="E14" s="19" t="n">
        <f aca="false">F14*0.03</f>
        <v>12000</v>
      </c>
      <c r="F14" s="33" t="n">
        <v>400000</v>
      </c>
      <c r="G14" s="62" t="s">
        <v>30</v>
      </c>
      <c r="H14" s="34"/>
      <c r="I14" s="34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customFormat="false" ht="16.4" hidden="false" customHeight="false" outlineLevel="0" collapsed="false">
      <c r="A15" s="123" t="n">
        <v>45544</v>
      </c>
      <c r="B15" s="31" t="s">
        <v>239</v>
      </c>
      <c r="C15" s="82"/>
      <c r="D15" s="32" t="s">
        <v>258</v>
      </c>
      <c r="E15" s="19" t="n">
        <f aca="false">F15*0.03</f>
        <v>1500</v>
      </c>
      <c r="F15" s="33" t="n">
        <v>50000</v>
      </c>
      <c r="G15" s="62" t="s">
        <v>31</v>
      </c>
      <c r="H15" s="34"/>
      <c r="I15" s="34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customFormat="false" ht="16.4" hidden="false" customHeight="false" outlineLevel="0" collapsed="false">
      <c r="A16" s="123" t="n">
        <v>45544</v>
      </c>
      <c r="B16" s="31" t="s">
        <v>239</v>
      </c>
      <c r="C16" s="82"/>
      <c r="D16" s="32" t="s">
        <v>259</v>
      </c>
      <c r="E16" s="19" t="n">
        <f aca="false">F16*0.03</f>
        <v>2100</v>
      </c>
      <c r="F16" s="33" t="n">
        <v>70000</v>
      </c>
      <c r="G16" s="62" t="s">
        <v>31</v>
      </c>
      <c r="H16" s="34"/>
      <c r="I16" s="34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customFormat="false" ht="16.4" hidden="false" customHeight="false" outlineLevel="0" collapsed="false">
      <c r="A17" s="123" t="n">
        <v>45544</v>
      </c>
      <c r="B17" s="31" t="s">
        <v>7</v>
      </c>
      <c r="C17" s="82"/>
      <c r="D17" s="32" t="s">
        <v>260</v>
      </c>
      <c r="E17" s="19" t="n">
        <f aca="false">F17*0.03</f>
        <v>1200</v>
      </c>
      <c r="F17" s="33" t="n">
        <v>40000</v>
      </c>
      <c r="G17" s="62" t="s">
        <v>31</v>
      </c>
      <c r="H17" s="34"/>
      <c r="I17" s="34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customFormat="false" ht="16.4" hidden="false" customHeight="false" outlineLevel="0" collapsed="false">
      <c r="A18" s="123" t="n">
        <v>45545</v>
      </c>
      <c r="B18" s="31" t="s">
        <v>254</v>
      </c>
      <c r="C18" s="82"/>
      <c r="D18" s="32" t="s">
        <v>261</v>
      </c>
      <c r="E18" s="19" t="n">
        <f aca="false">F18*0.03</f>
        <v>12000</v>
      </c>
      <c r="F18" s="33" t="n">
        <v>400000</v>
      </c>
      <c r="G18" s="62" t="s">
        <v>30</v>
      </c>
      <c r="H18" s="34"/>
      <c r="I18" s="34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customFormat="false" ht="16.4" hidden="false" customHeight="false" outlineLevel="0" collapsed="false">
      <c r="A19" s="123" t="n">
        <v>45545</v>
      </c>
      <c r="B19" s="31" t="s">
        <v>239</v>
      </c>
      <c r="C19" s="82"/>
      <c r="D19" s="32" t="s">
        <v>262</v>
      </c>
      <c r="E19" s="19" t="n">
        <f aca="false">F19*0.03</f>
        <v>6000</v>
      </c>
      <c r="F19" s="33" t="n">
        <v>200000</v>
      </c>
      <c r="G19" s="62" t="s">
        <v>31</v>
      </c>
      <c r="H19" s="34"/>
      <c r="I19" s="34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customFormat="false" ht="31.3" hidden="false" customHeight="false" outlineLevel="0" collapsed="false">
      <c r="A20" s="123" t="n">
        <v>45551</v>
      </c>
      <c r="B20" s="31" t="s">
        <v>7</v>
      </c>
      <c r="C20" s="82"/>
      <c r="D20" s="32" t="s">
        <v>263</v>
      </c>
      <c r="E20" s="19" t="n">
        <f aca="false">F20*0.03</f>
        <v>11100</v>
      </c>
      <c r="F20" s="33" t="n">
        <v>370000</v>
      </c>
      <c r="G20" s="62" t="s">
        <v>30</v>
      </c>
      <c r="H20" s="34"/>
      <c r="I20" s="34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customFormat="false" ht="16.4" hidden="false" customHeight="false" outlineLevel="0" collapsed="false">
      <c r="A21" s="123" t="n">
        <v>45545</v>
      </c>
      <c r="B21" s="31" t="s">
        <v>7</v>
      </c>
      <c r="C21" s="82"/>
      <c r="D21" s="32" t="s">
        <v>264</v>
      </c>
      <c r="E21" s="19" t="n">
        <f aca="false">F21*0.03</f>
        <v>2100</v>
      </c>
      <c r="F21" s="33" t="n">
        <v>70000</v>
      </c>
      <c r="G21" s="62" t="s">
        <v>30</v>
      </c>
      <c r="H21" s="34"/>
      <c r="I21" s="34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customFormat="false" ht="16.4" hidden="false" customHeight="false" outlineLevel="0" collapsed="false">
      <c r="A22" s="123" t="n">
        <v>45545</v>
      </c>
      <c r="B22" s="31" t="s">
        <v>7</v>
      </c>
      <c r="C22" s="82"/>
      <c r="D22" s="32" t="s">
        <v>265</v>
      </c>
      <c r="E22" s="19" t="n">
        <f aca="false">F22*0.03</f>
        <v>300</v>
      </c>
      <c r="F22" s="33" t="n">
        <v>10000</v>
      </c>
      <c r="G22" s="62" t="s">
        <v>31</v>
      </c>
      <c r="H22" s="34"/>
      <c r="I22" s="34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customFormat="false" ht="16.4" hidden="false" customHeight="false" outlineLevel="0" collapsed="false">
      <c r="A23" s="123" t="n">
        <v>45547</v>
      </c>
      <c r="B23" s="31" t="s">
        <v>239</v>
      </c>
      <c r="C23" s="82"/>
      <c r="D23" s="32" t="s">
        <v>266</v>
      </c>
      <c r="E23" s="19" t="n">
        <f aca="false">F23*0.03</f>
        <v>2100</v>
      </c>
      <c r="F23" s="33" t="n">
        <v>70000</v>
      </c>
      <c r="G23" s="62" t="s">
        <v>31</v>
      </c>
      <c r="H23" s="34"/>
      <c r="I23" s="34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customFormat="false" ht="16.4" hidden="false" customHeight="false" outlineLevel="0" collapsed="false">
      <c r="A24" s="123" t="n">
        <v>45548</v>
      </c>
      <c r="B24" s="31" t="s">
        <v>239</v>
      </c>
      <c r="C24" s="82"/>
      <c r="D24" s="32" t="s">
        <v>267</v>
      </c>
      <c r="E24" s="19" t="n">
        <f aca="false">F24*0.03</f>
        <v>14400</v>
      </c>
      <c r="F24" s="33" t="n">
        <v>480000</v>
      </c>
      <c r="G24" s="62" t="s">
        <v>30</v>
      </c>
      <c r="H24" s="34"/>
      <c r="I24" s="34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customFormat="false" ht="16.4" hidden="false" customHeight="false" outlineLevel="0" collapsed="false">
      <c r="A25" s="123" t="n">
        <v>45548</v>
      </c>
      <c r="B25" s="31" t="s">
        <v>239</v>
      </c>
      <c r="C25" s="82"/>
      <c r="D25" s="32" t="s">
        <v>268</v>
      </c>
      <c r="E25" s="19" t="n">
        <f aca="false">F25*0.03</f>
        <v>5100</v>
      </c>
      <c r="F25" s="33" t="n">
        <v>170000</v>
      </c>
      <c r="G25" s="62" t="s">
        <v>31</v>
      </c>
      <c r="H25" s="34"/>
      <c r="I25" s="34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customFormat="false" ht="16.4" hidden="false" customHeight="false" outlineLevel="0" collapsed="false">
      <c r="A26" s="123" t="n">
        <v>45549</v>
      </c>
      <c r="B26" s="31" t="s">
        <v>239</v>
      </c>
      <c r="C26" s="82"/>
      <c r="D26" s="32" t="s">
        <v>269</v>
      </c>
      <c r="E26" s="19" t="n">
        <f aca="false">F26*0.03</f>
        <v>900</v>
      </c>
      <c r="F26" s="33" t="n">
        <v>30000</v>
      </c>
      <c r="G26" s="62" t="s">
        <v>31</v>
      </c>
      <c r="H26" s="34"/>
      <c r="I26" s="34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customFormat="false" ht="31.3" hidden="false" customHeight="false" outlineLevel="0" collapsed="false">
      <c r="A27" s="133" t="n">
        <v>45552</v>
      </c>
      <c r="B27" s="31" t="s">
        <v>239</v>
      </c>
      <c r="C27" s="82"/>
      <c r="D27" s="32" t="s">
        <v>270</v>
      </c>
      <c r="E27" s="19" t="n">
        <f aca="false">F27*0.03</f>
        <v>4500</v>
      </c>
      <c r="F27" s="33" t="n">
        <v>150000</v>
      </c>
      <c r="G27" s="62" t="s">
        <v>30</v>
      </c>
      <c r="H27" s="34"/>
      <c r="I27" s="34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customFormat="false" ht="16.4" hidden="false" customHeight="false" outlineLevel="0" collapsed="false">
      <c r="A28" s="123" t="n">
        <v>45553</v>
      </c>
      <c r="B28" s="31" t="s">
        <v>7</v>
      </c>
      <c r="C28" s="82"/>
      <c r="D28" s="32" t="s">
        <v>271</v>
      </c>
      <c r="E28" s="19" t="n">
        <f aca="false">F28*0.03</f>
        <v>1500</v>
      </c>
      <c r="F28" s="33" t="n">
        <v>50000</v>
      </c>
      <c r="G28" s="62" t="s">
        <v>31</v>
      </c>
      <c r="H28" s="34"/>
      <c r="I28" s="34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customFormat="false" ht="16.4" hidden="false" customHeight="false" outlineLevel="0" collapsed="false">
      <c r="A29" s="123" t="n">
        <v>45552</v>
      </c>
      <c r="B29" s="31" t="s">
        <v>7</v>
      </c>
      <c r="C29" s="82"/>
      <c r="D29" s="32" t="s">
        <v>272</v>
      </c>
      <c r="E29" s="19" t="n">
        <f aca="false">F29*0.03</f>
        <v>4800</v>
      </c>
      <c r="F29" s="33" t="n">
        <v>160000</v>
      </c>
      <c r="G29" s="62" t="s">
        <v>31</v>
      </c>
      <c r="H29" s="34"/>
      <c r="I29" s="34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customFormat="false" ht="31.3" hidden="false" customHeight="false" outlineLevel="0" collapsed="false">
      <c r="A30" s="123" t="n">
        <v>45554</v>
      </c>
      <c r="B30" s="31" t="s">
        <v>7</v>
      </c>
      <c r="C30" s="82"/>
      <c r="D30" s="32" t="s">
        <v>273</v>
      </c>
      <c r="E30" s="19" t="n">
        <f aca="false">F30*0.03</f>
        <v>6000</v>
      </c>
      <c r="F30" s="33" t="n">
        <v>200000</v>
      </c>
      <c r="G30" s="62" t="s">
        <v>274</v>
      </c>
      <c r="H30" s="34"/>
      <c r="I30" s="34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customFormat="false" ht="16.4" hidden="false" customHeight="false" outlineLevel="0" collapsed="false">
      <c r="A31" s="123" t="n">
        <v>45554</v>
      </c>
      <c r="B31" s="31" t="s">
        <v>7</v>
      </c>
      <c r="C31" s="82"/>
      <c r="D31" s="32" t="s">
        <v>275</v>
      </c>
      <c r="E31" s="19" t="n">
        <f aca="false">F31*0.03</f>
        <v>1800</v>
      </c>
      <c r="F31" s="33" t="n">
        <v>60000</v>
      </c>
      <c r="G31" s="62" t="s">
        <v>30</v>
      </c>
      <c r="H31" s="34"/>
      <c r="I31" s="34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customFormat="false" ht="16.4" hidden="false" customHeight="false" outlineLevel="0" collapsed="false">
      <c r="A32" s="123" t="n">
        <v>45554</v>
      </c>
      <c r="B32" s="31" t="s">
        <v>239</v>
      </c>
      <c r="C32" s="82"/>
      <c r="D32" s="32" t="s">
        <v>276</v>
      </c>
      <c r="E32" s="19" t="n">
        <f aca="false">F32*0.03</f>
        <v>4500</v>
      </c>
      <c r="F32" s="33" t="n">
        <v>150000</v>
      </c>
      <c r="G32" s="62" t="s">
        <v>277</v>
      </c>
      <c r="H32" s="34"/>
      <c r="I32" s="34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customFormat="false" ht="16.4" hidden="false" customHeight="false" outlineLevel="0" collapsed="false">
      <c r="A33" s="123" t="n">
        <v>45556</v>
      </c>
      <c r="B33" s="31" t="s">
        <v>7</v>
      </c>
      <c r="C33" s="82"/>
      <c r="D33" s="32" t="s">
        <v>278</v>
      </c>
      <c r="E33" s="19" t="n">
        <f aca="false">F33*0.03</f>
        <v>4500</v>
      </c>
      <c r="F33" s="33" t="n">
        <v>150000</v>
      </c>
      <c r="G33" s="62" t="s">
        <v>274</v>
      </c>
      <c r="H33" s="34"/>
      <c r="I33" s="34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customFormat="false" ht="16.4" hidden="false" customHeight="false" outlineLevel="0" collapsed="false">
      <c r="A34" s="123" t="n">
        <v>45556</v>
      </c>
      <c r="B34" s="31" t="s">
        <v>7</v>
      </c>
      <c r="C34" s="82"/>
      <c r="D34" s="32" t="s">
        <v>279</v>
      </c>
      <c r="E34" s="19" t="n">
        <f aca="false">F34*0.03</f>
        <v>1200</v>
      </c>
      <c r="F34" s="33" t="n">
        <v>40000</v>
      </c>
      <c r="G34" s="62" t="s">
        <v>30</v>
      </c>
      <c r="H34" s="34"/>
      <c r="I34" s="34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customFormat="false" ht="15" hidden="false" customHeight="false" outlineLevel="0" collapsed="false">
      <c r="A35" s="123"/>
      <c r="B35" s="31"/>
      <c r="C35" s="82"/>
      <c r="D35" s="32"/>
      <c r="E35" s="19"/>
      <c r="F35" s="33"/>
      <c r="G35" s="62"/>
      <c r="H35" s="34"/>
      <c r="I35" s="34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customFormat="false" ht="31.3" hidden="false" customHeight="false" outlineLevel="0" collapsed="false">
      <c r="A36" s="123" t="n">
        <v>45559</v>
      </c>
      <c r="B36" s="31" t="s">
        <v>239</v>
      </c>
      <c r="C36" s="82"/>
      <c r="D36" s="32" t="s">
        <v>280</v>
      </c>
      <c r="E36" s="19" t="n">
        <f aca="false">F36*0.03</f>
        <v>1800</v>
      </c>
      <c r="F36" s="33" t="n">
        <v>60000</v>
      </c>
      <c r="G36" s="62" t="s">
        <v>31</v>
      </c>
      <c r="H36" s="34"/>
      <c r="I36" s="34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customFormat="false" ht="15" hidden="false" customHeight="false" outlineLevel="0" collapsed="false">
      <c r="A37" s="134"/>
      <c r="C37" s="82"/>
      <c r="H37" s="34"/>
      <c r="I37" s="34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customFormat="false" ht="31.3" hidden="false" customHeight="false" outlineLevel="0" collapsed="false">
      <c r="A38" s="123" t="n">
        <v>45560</v>
      </c>
      <c r="B38" s="31" t="s">
        <v>7</v>
      </c>
      <c r="C38" s="82"/>
      <c r="D38" s="32" t="s">
        <v>281</v>
      </c>
      <c r="E38" s="19" t="n">
        <f aca="false">F38*0.03</f>
        <v>3450</v>
      </c>
      <c r="F38" s="33" t="n">
        <v>115000</v>
      </c>
      <c r="G38" s="62" t="s">
        <v>30</v>
      </c>
      <c r="H38" s="34"/>
      <c r="I38" s="34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customFormat="false" ht="16.4" hidden="false" customHeight="false" outlineLevel="0" collapsed="false">
      <c r="A39" s="123" t="n">
        <v>45562</v>
      </c>
      <c r="B39" s="31" t="s">
        <v>7</v>
      </c>
      <c r="C39" s="82"/>
      <c r="D39" s="32" t="s">
        <v>282</v>
      </c>
      <c r="E39" s="19" t="n">
        <f aca="false">F39*0.03</f>
        <v>1050</v>
      </c>
      <c r="F39" s="33" t="n">
        <v>35000</v>
      </c>
      <c r="G39" s="62" t="s">
        <v>31</v>
      </c>
      <c r="H39" s="34"/>
      <c r="I39" s="34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customFormat="false" ht="16.4" hidden="false" customHeight="false" outlineLevel="0" collapsed="false">
      <c r="A40" s="123" t="n">
        <v>45563</v>
      </c>
      <c r="B40" s="31" t="s">
        <v>239</v>
      </c>
      <c r="C40" s="82"/>
      <c r="D40" s="93" t="s">
        <v>283</v>
      </c>
      <c r="E40" s="19" t="n">
        <f aca="false">F40*0.03</f>
        <v>32100</v>
      </c>
      <c r="F40" s="33" t="n">
        <v>1070000</v>
      </c>
      <c r="G40" s="62" t="s">
        <v>32</v>
      </c>
      <c r="H40" s="34"/>
      <c r="I40" s="34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customFormat="false" ht="16.4" hidden="false" customHeight="false" outlineLevel="0" collapsed="false">
      <c r="A41" s="123"/>
      <c r="B41" s="31"/>
      <c r="C41" s="82"/>
      <c r="D41" s="32"/>
      <c r="E41" s="19" t="n">
        <f aca="false">F41*0.03</f>
        <v>0</v>
      </c>
      <c r="F41" s="33"/>
      <c r="G41" s="62"/>
      <c r="H41" s="34"/>
      <c r="I41" s="34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customFormat="false" ht="16.4" hidden="false" customHeight="false" outlineLevel="0" collapsed="false">
      <c r="A42" s="123"/>
      <c r="B42" s="31"/>
      <c r="C42" s="82"/>
      <c r="D42" s="32"/>
      <c r="E42" s="19" t="n">
        <f aca="false">F42*0.03</f>
        <v>0</v>
      </c>
      <c r="F42" s="33"/>
      <c r="G42" s="62"/>
      <c r="H42" s="34"/>
      <c r="I42" s="34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customFormat="false" ht="16.4" hidden="false" customHeight="false" outlineLevel="0" collapsed="false">
      <c r="A43" s="123"/>
      <c r="B43" s="31"/>
      <c r="C43" s="82"/>
      <c r="D43" s="32"/>
      <c r="E43" s="19" t="n">
        <f aca="false">F43*0.03</f>
        <v>0</v>
      </c>
      <c r="F43" s="33"/>
      <c r="G43" s="62"/>
      <c r="H43" s="34"/>
      <c r="I43" s="34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customFormat="false" ht="16.4" hidden="false" customHeight="false" outlineLevel="0" collapsed="false">
      <c r="A44" s="123"/>
      <c r="B44" s="31" t="s">
        <v>239</v>
      </c>
      <c r="C44" s="82"/>
      <c r="D44" s="129"/>
      <c r="E44" s="19" t="n">
        <f aca="false">F44*0.03</f>
        <v>0</v>
      </c>
      <c r="F44" s="33"/>
      <c r="G44" s="62"/>
      <c r="H44" s="34"/>
      <c r="I44" s="34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customFormat="false" ht="16.4" hidden="false" customHeight="false" outlineLevel="0" collapsed="false">
      <c r="A45" s="123" t="n">
        <v>45444</v>
      </c>
      <c r="B45" s="31" t="s">
        <v>7</v>
      </c>
      <c r="C45" s="130"/>
      <c r="D45" s="129"/>
      <c r="E45" s="19" t="n">
        <f aca="false">F45*0.03</f>
        <v>0</v>
      </c>
      <c r="F45" s="33" t="n">
        <v>0</v>
      </c>
      <c r="G45" s="62" t="s">
        <v>30</v>
      </c>
      <c r="H45" s="34" t="n">
        <v>0</v>
      </c>
      <c r="I45" s="34" t="n">
        <f aca="false">+IF(E45=0,0,E45*0.03)</f>
        <v>0</v>
      </c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customFormat="false" ht="16.4" hidden="false" customHeight="false" outlineLevel="0" collapsed="false">
      <c r="A46" s="123" t="n">
        <v>45444</v>
      </c>
      <c r="B46" s="31" t="s">
        <v>240</v>
      </c>
      <c r="C46" s="130"/>
      <c r="D46" s="129"/>
      <c r="E46" s="19" t="n">
        <f aca="false">F46*0.03</f>
        <v>0</v>
      </c>
      <c r="F46" s="33" t="n">
        <v>0</v>
      </c>
      <c r="G46" s="62" t="s">
        <v>31</v>
      </c>
      <c r="H46" s="34" t="n">
        <v>0</v>
      </c>
      <c r="I46" s="34" t="n">
        <f aca="false">+IF(E46=0,0,E46*0.03)</f>
        <v>0</v>
      </c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customFormat="false" ht="16.4" hidden="false" customHeight="false" outlineLevel="0" collapsed="false">
      <c r="A47" s="123" t="n">
        <v>45444</v>
      </c>
      <c r="B47" s="31" t="s">
        <v>153</v>
      </c>
      <c r="C47" s="130"/>
      <c r="D47" s="129"/>
      <c r="E47" s="19" t="n">
        <f aca="false">F47*0.03</f>
        <v>0</v>
      </c>
      <c r="F47" s="33" t="n">
        <v>0</v>
      </c>
      <c r="G47" s="62" t="s">
        <v>31</v>
      </c>
      <c r="H47" s="34" t="n">
        <v>0</v>
      </c>
      <c r="I47" s="34" t="n">
        <f aca="false">+IF(E47=0,0,E47*0.03)</f>
        <v>0</v>
      </c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customFormat="false" ht="16.4" hidden="false" customHeight="false" outlineLevel="0" collapsed="false">
      <c r="A48" s="123" t="n">
        <v>45444</v>
      </c>
      <c r="B48" s="31" t="s">
        <v>247</v>
      </c>
      <c r="C48" s="130"/>
      <c r="D48" s="129"/>
      <c r="E48" s="19" t="n">
        <f aca="false">F48*0.03</f>
        <v>0</v>
      </c>
      <c r="F48" s="33" t="n">
        <v>0</v>
      </c>
      <c r="G48" s="62" t="s">
        <v>31</v>
      </c>
      <c r="H48" s="34" t="n">
        <v>0</v>
      </c>
      <c r="I48" s="34" t="n">
        <f aca="false">+IF(E48=0,0,E48*0.03)</f>
        <v>0</v>
      </c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customFormat="false" ht="16.4" hidden="false" customHeight="false" outlineLevel="0" collapsed="false">
      <c r="A49" s="123" t="n">
        <v>45444</v>
      </c>
      <c r="B49" s="31" t="s">
        <v>246</v>
      </c>
      <c r="C49" s="130"/>
      <c r="D49" s="129"/>
      <c r="E49" s="19" t="n">
        <f aca="false">F49*0.03</f>
        <v>0</v>
      </c>
      <c r="F49" s="33" t="n">
        <v>0</v>
      </c>
      <c r="G49" s="62" t="s">
        <v>31</v>
      </c>
      <c r="H49" s="34" t="n">
        <v>0</v>
      </c>
      <c r="I49" s="34" t="n">
        <f aca="false">+IF(E49=0,0,E49*0.03)</f>
        <v>0</v>
      </c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customFormat="false" ht="16.4" hidden="false" customHeight="false" outlineLevel="0" collapsed="false">
      <c r="A50" s="123" t="n">
        <v>45444</v>
      </c>
      <c r="B50" s="31" t="s">
        <v>239</v>
      </c>
      <c r="C50" s="130"/>
      <c r="D50" s="129"/>
      <c r="E50" s="19" t="n">
        <f aca="false">F50*0.03</f>
        <v>0</v>
      </c>
      <c r="F50" s="33" t="n">
        <v>0</v>
      </c>
      <c r="G50" s="62" t="s">
        <v>30</v>
      </c>
      <c r="H50" s="34" t="n">
        <v>0</v>
      </c>
      <c r="I50" s="34" t="n">
        <f aca="false">+IF(E50=0,0,E50*0.03)</f>
        <v>0</v>
      </c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customFormat="false" ht="16.4" hidden="false" customHeight="false" outlineLevel="0" collapsed="false">
      <c r="A51" s="123" t="n">
        <v>45444</v>
      </c>
      <c r="B51" s="31" t="s">
        <v>7</v>
      </c>
      <c r="C51" s="130"/>
      <c r="D51" s="129"/>
      <c r="E51" s="19" t="n">
        <f aca="false">F51*0.03</f>
        <v>0</v>
      </c>
      <c r="F51" s="33" t="n">
        <v>0</v>
      </c>
      <c r="G51" s="62" t="s">
        <v>31</v>
      </c>
      <c r="H51" s="34" t="n">
        <v>0</v>
      </c>
      <c r="I51" s="34" t="n">
        <f aca="false">+IF(E51=0,0,E51*0.03)</f>
        <v>0</v>
      </c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customFormat="false" ht="16.4" hidden="false" customHeight="false" outlineLevel="0" collapsed="false">
      <c r="A52" s="123" t="n">
        <v>45444</v>
      </c>
      <c r="B52" s="31" t="s">
        <v>240</v>
      </c>
      <c r="C52" s="130"/>
      <c r="D52" s="129"/>
      <c r="E52" s="19" t="n">
        <f aca="false">F52*0.03</f>
        <v>0</v>
      </c>
      <c r="F52" s="33" t="n">
        <v>0</v>
      </c>
      <c r="G52" s="62" t="s">
        <v>31</v>
      </c>
      <c r="H52" s="34" t="n">
        <v>0</v>
      </c>
      <c r="I52" s="34" t="n">
        <f aca="false">+IF(E52=0,0,E52*0.03)</f>
        <v>0</v>
      </c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customFormat="false" ht="16.4" hidden="false" customHeight="false" outlineLevel="0" collapsed="false">
      <c r="A53" s="123" t="n">
        <v>45444</v>
      </c>
      <c r="B53" s="31" t="s">
        <v>153</v>
      </c>
      <c r="C53" s="130"/>
      <c r="D53" s="129"/>
      <c r="E53" s="19" t="n">
        <f aca="false">F53*0.03</f>
        <v>0</v>
      </c>
      <c r="F53" s="33" t="n">
        <v>0</v>
      </c>
      <c r="G53" s="62" t="s">
        <v>31</v>
      </c>
      <c r="H53" s="34" t="n">
        <v>0</v>
      </c>
      <c r="I53" s="34" t="n">
        <f aca="false">+IF(E53=0,0,E53*0.03)</f>
        <v>0</v>
      </c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customFormat="false" ht="16.4" hidden="false" customHeight="false" outlineLevel="0" collapsed="false">
      <c r="A54" s="123" t="n">
        <v>45444</v>
      </c>
      <c r="B54" s="31" t="s">
        <v>247</v>
      </c>
      <c r="C54" s="130"/>
      <c r="D54" s="129"/>
      <c r="E54" s="19" t="n">
        <f aca="false">F54*0.03</f>
        <v>0</v>
      </c>
      <c r="F54" s="33" t="n">
        <v>0</v>
      </c>
      <c r="G54" s="62" t="s">
        <v>31</v>
      </c>
      <c r="H54" s="34" t="n">
        <v>0</v>
      </c>
      <c r="I54" s="34" t="n">
        <f aca="false">+IF(E54=0,0,E54*0.03)</f>
        <v>0</v>
      </c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customFormat="false" ht="16.4" hidden="false" customHeight="false" outlineLevel="0" collapsed="false">
      <c r="A55" s="123" t="n">
        <v>45444</v>
      </c>
      <c r="B55" s="31" t="s">
        <v>246</v>
      </c>
      <c r="C55" s="130"/>
      <c r="D55" s="129"/>
      <c r="E55" s="19" t="n">
        <f aca="false">F55*0.03</f>
        <v>0</v>
      </c>
      <c r="F55" s="33" t="n">
        <v>0</v>
      </c>
      <c r="G55" s="62" t="s">
        <v>31</v>
      </c>
      <c r="H55" s="34" t="n">
        <v>0</v>
      </c>
      <c r="I55" s="34" t="n">
        <f aca="false">+IF(E55=0,0,E55*0.03)</f>
        <v>0</v>
      </c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customFormat="false" ht="16.4" hidden="false" customHeight="false" outlineLevel="0" collapsed="false">
      <c r="A56" s="123" t="n">
        <v>45444</v>
      </c>
      <c r="B56" s="31" t="s">
        <v>239</v>
      </c>
      <c r="C56" s="130"/>
      <c r="D56" s="129"/>
      <c r="E56" s="19" t="n">
        <f aca="false">F56*0.03</f>
        <v>0</v>
      </c>
      <c r="F56" s="33" t="n">
        <v>0</v>
      </c>
      <c r="G56" s="62" t="s">
        <v>30</v>
      </c>
      <c r="H56" s="34" t="n">
        <v>0</v>
      </c>
      <c r="I56" s="34" t="n">
        <f aca="false">+IF(E56=0,0,E56*0.03)</f>
        <v>0</v>
      </c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customFormat="false" ht="16.4" hidden="false" customHeight="false" outlineLevel="0" collapsed="false">
      <c r="A57" s="123" t="n">
        <v>45444</v>
      </c>
      <c r="B57" s="31" t="s">
        <v>7</v>
      </c>
      <c r="C57" s="130"/>
      <c r="D57" s="129"/>
      <c r="E57" s="19" t="n">
        <f aca="false">F57*0.03</f>
        <v>0</v>
      </c>
      <c r="F57" s="33" t="n">
        <v>0</v>
      </c>
      <c r="G57" s="131"/>
      <c r="H57" s="34" t="n">
        <v>0</v>
      </c>
      <c r="I57" s="34" t="n">
        <f aca="false">+IF(E57=0,0,E57*0.03)</f>
        <v>0</v>
      </c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customFormat="false" ht="16.4" hidden="false" customHeight="false" outlineLevel="0" collapsed="false">
      <c r="A58" s="123" t="n">
        <v>45444</v>
      </c>
      <c r="B58" s="31" t="s">
        <v>240</v>
      </c>
      <c r="C58" s="130"/>
      <c r="D58" s="129"/>
      <c r="E58" s="19" t="n">
        <f aca="false">F58*0.03</f>
        <v>0</v>
      </c>
      <c r="F58" s="33" t="n">
        <v>0</v>
      </c>
      <c r="G58" s="131"/>
      <c r="H58" s="34" t="n">
        <v>0</v>
      </c>
      <c r="I58" s="34" t="n">
        <f aca="false">+IF(E58=0,0,E58*0.03)</f>
        <v>0</v>
      </c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customFormat="false" ht="16.4" hidden="false" customHeight="false" outlineLevel="0" collapsed="false">
      <c r="A59" s="123" t="n">
        <v>45444</v>
      </c>
      <c r="B59" s="31" t="s">
        <v>153</v>
      </c>
      <c r="C59" s="130"/>
      <c r="D59" s="129"/>
      <c r="E59" s="19" t="n">
        <f aca="false">F59*0.03</f>
        <v>0</v>
      </c>
      <c r="F59" s="33" t="n">
        <v>0</v>
      </c>
      <c r="G59" s="131"/>
      <c r="H59" s="34" t="n">
        <v>0</v>
      </c>
      <c r="I59" s="34" t="n">
        <f aca="false">+IF(E59=0,0,E59*0.03)</f>
        <v>0</v>
      </c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customFormat="false" ht="16.4" hidden="false" customHeight="false" outlineLevel="0" collapsed="false">
      <c r="A60" s="123" t="n">
        <v>45444</v>
      </c>
      <c r="B60" s="31" t="s">
        <v>247</v>
      </c>
      <c r="C60" s="130"/>
      <c r="D60" s="129"/>
      <c r="E60" s="19" t="n">
        <f aca="false">F60*0.03</f>
        <v>0</v>
      </c>
      <c r="F60" s="33" t="n">
        <v>0</v>
      </c>
      <c r="G60" s="131"/>
      <c r="H60" s="34" t="n">
        <v>0</v>
      </c>
      <c r="I60" s="34" t="n">
        <f aca="false">+IF(E60=0,0,E60*0.03)</f>
        <v>0</v>
      </c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customFormat="false" ht="16.4" hidden="false" customHeight="false" outlineLevel="0" collapsed="false">
      <c r="A61" s="123" t="n">
        <v>45444</v>
      </c>
      <c r="B61" s="31" t="s">
        <v>246</v>
      </c>
      <c r="C61" s="130"/>
      <c r="D61" s="129"/>
      <c r="E61" s="19" t="n">
        <f aca="false">F61*0.03</f>
        <v>0</v>
      </c>
      <c r="F61" s="33" t="n">
        <v>0</v>
      </c>
      <c r="G61" s="131"/>
      <c r="H61" s="34" t="n">
        <v>0</v>
      </c>
      <c r="I61" s="34" t="n">
        <f aca="false">+IF(E61=0,0,E61*0.03)</f>
        <v>0</v>
      </c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customFormat="false" ht="16.4" hidden="false" customHeight="false" outlineLevel="0" collapsed="false">
      <c r="A62" s="123" t="n">
        <v>45444</v>
      </c>
      <c r="B62" s="31" t="s">
        <v>239</v>
      </c>
      <c r="C62" s="130"/>
      <c r="D62" s="129"/>
      <c r="E62" s="19" t="n">
        <f aca="false">F62*0.03</f>
        <v>0</v>
      </c>
      <c r="F62" s="33" t="n">
        <v>0</v>
      </c>
      <c r="G62" s="131"/>
      <c r="H62" s="34" t="n">
        <v>0</v>
      </c>
      <c r="I62" s="34" t="n">
        <f aca="false">+IF(E62=0,0,E62*0.03)</f>
        <v>0</v>
      </c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customFormat="false" ht="16.4" hidden="false" customHeight="false" outlineLevel="0" collapsed="false">
      <c r="A63" s="123" t="n">
        <v>45444</v>
      </c>
      <c r="B63" s="31" t="s">
        <v>7</v>
      </c>
      <c r="C63" s="130"/>
      <c r="D63" s="129"/>
      <c r="E63" s="19" t="n">
        <f aca="false">F63*0.03</f>
        <v>0</v>
      </c>
      <c r="F63" s="33" t="n">
        <v>0</v>
      </c>
      <c r="G63" s="131"/>
      <c r="H63" s="34" t="n">
        <v>0</v>
      </c>
      <c r="I63" s="34" t="n">
        <f aca="false">+IF(E63=0,0,E63*0.03)</f>
        <v>0</v>
      </c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customFormat="false" ht="16.4" hidden="false" customHeight="false" outlineLevel="0" collapsed="false">
      <c r="A64" s="123" t="n">
        <v>45444</v>
      </c>
      <c r="B64" s="31" t="s">
        <v>240</v>
      </c>
      <c r="C64" s="130"/>
      <c r="D64" s="129"/>
      <c r="E64" s="19" t="n">
        <f aca="false">F64*0.03</f>
        <v>0</v>
      </c>
      <c r="F64" s="33" t="n">
        <v>0</v>
      </c>
      <c r="G64" s="131"/>
      <c r="H64" s="34" t="n">
        <v>0</v>
      </c>
      <c r="I64" s="34" t="n">
        <f aca="false">+IF(E64=0,0,E64*0.03)</f>
        <v>0</v>
      </c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customFormat="false" ht="16.4" hidden="false" customHeight="false" outlineLevel="0" collapsed="false">
      <c r="A65" s="123" t="n">
        <v>45444</v>
      </c>
      <c r="B65" s="31" t="s">
        <v>153</v>
      </c>
      <c r="C65" s="130"/>
      <c r="D65" s="129"/>
      <c r="E65" s="19" t="n">
        <f aca="false">F65*0.03</f>
        <v>0</v>
      </c>
      <c r="F65" s="33" t="n">
        <v>0</v>
      </c>
      <c r="G65" s="131"/>
      <c r="H65" s="34" t="n">
        <v>0</v>
      </c>
      <c r="I65" s="34" t="n">
        <f aca="false">+IF(E65=0,0,E65*0.03)</f>
        <v>0</v>
      </c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customFormat="false" ht="16.4" hidden="false" customHeight="false" outlineLevel="0" collapsed="false">
      <c r="A66" s="123" t="n">
        <v>45444</v>
      </c>
      <c r="B66" s="31" t="s">
        <v>247</v>
      </c>
      <c r="C66" s="130"/>
      <c r="D66" s="129"/>
      <c r="E66" s="19" t="n">
        <f aca="false">F66*0.03</f>
        <v>0</v>
      </c>
      <c r="F66" s="33" t="n">
        <v>0</v>
      </c>
      <c r="G66" s="131"/>
      <c r="H66" s="34" t="n">
        <v>0</v>
      </c>
      <c r="I66" s="34" t="n">
        <f aca="false">+IF(E66=0,0,E66*0.03)</f>
        <v>0</v>
      </c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customFormat="false" ht="16.4" hidden="false" customHeight="false" outlineLevel="0" collapsed="false">
      <c r="A67" s="123" t="n">
        <v>45444</v>
      </c>
      <c r="B67" s="31" t="s">
        <v>246</v>
      </c>
      <c r="C67" s="130"/>
      <c r="D67" s="129"/>
      <c r="E67" s="19" t="n">
        <f aca="false">F67*0.03</f>
        <v>0</v>
      </c>
      <c r="F67" s="33" t="n">
        <v>0</v>
      </c>
      <c r="G67" s="131"/>
      <c r="H67" s="34" t="n">
        <v>0</v>
      </c>
      <c r="I67" s="34" t="n">
        <f aca="false">+IF(E67=0,0,E67*0.03)</f>
        <v>0</v>
      </c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customFormat="false" ht="16.4" hidden="false" customHeight="false" outlineLevel="0" collapsed="false">
      <c r="A68" s="123" t="n">
        <v>45444</v>
      </c>
      <c r="B68" s="31" t="s">
        <v>239</v>
      </c>
      <c r="C68" s="130"/>
      <c r="D68" s="129"/>
      <c r="E68" s="19" t="n">
        <f aca="false">F68*0.03</f>
        <v>0</v>
      </c>
      <c r="F68" s="33" t="n">
        <v>0</v>
      </c>
      <c r="G68" s="131"/>
      <c r="H68" s="34" t="n">
        <v>0</v>
      </c>
      <c r="I68" s="34" t="n">
        <f aca="false">+IF(E68=0,0,E68*0.03)</f>
        <v>0</v>
      </c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customFormat="false" ht="16.4" hidden="false" customHeight="false" outlineLevel="0" collapsed="false">
      <c r="A69" s="123" t="n">
        <v>45444</v>
      </c>
      <c r="B69" s="31" t="s">
        <v>7</v>
      </c>
      <c r="C69" s="130"/>
      <c r="D69" s="129"/>
      <c r="E69" s="19" t="n">
        <f aca="false">F69*0.03</f>
        <v>0</v>
      </c>
      <c r="F69" s="33" t="n">
        <v>0</v>
      </c>
      <c r="G69" s="131"/>
      <c r="H69" s="34" t="n">
        <v>0</v>
      </c>
      <c r="I69" s="34" t="n">
        <f aca="false">+IF(E69=0,0,E69*0.03)</f>
        <v>0</v>
      </c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customFormat="false" ht="16.4" hidden="false" customHeight="false" outlineLevel="0" collapsed="false">
      <c r="A70" s="123" t="n">
        <v>45444</v>
      </c>
      <c r="B70" s="31" t="s">
        <v>240</v>
      </c>
      <c r="C70" s="130"/>
      <c r="D70" s="129"/>
      <c r="E70" s="19" t="n">
        <f aca="false">F70*0.03</f>
        <v>0</v>
      </c>
      <c r="F70" s="33" t="n">
        <v>0</v>
      </c>
      <c r="G70" s="131"/>
      <c r="H70" s="34" t="n">
        <v>0</v>
      </c>
      <c r="I70" s="34" t="n">
        <f aca="false">+IF(E70=0,0,E70*0.03)</f>
        <v>0</v>
      </c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customFormat="false" ht="16.4" hidden="false" customHeight="false" outlineLevel="0" collapsed="false">
      <c r="A71" s="123" t="n">
        <v>45444</v>
      </c>
      <c r="B71" s="31" t="s">
        <v>153</v>
      </c>
      <c r="C71" s="130"/>
      <c r="D71" s="129"/>
      <c r="E71" s="19" t="n">
        <f aca="false">F71*0.03</f>
        <v>0</v>
      </c>
      <c r="F71" s="33" t="n">
        <v>0</v>
      </c>
      <c r="G71" s="131"/>
      <c r="H71" s="34" t="n">
        <v>0</v>
      </c>
      <c r="I71" s="34" t="n">
        <f aca="false">+IF(E71=0,0,E71*0.03)</f>
        <v>0</v>
      </c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customFormat="false" ht="16.4" hidden="false" customHeight="false" outlineLevel="0" collapsed="false">
      <c r="A72" s="123" t="n">
        <v>45444</v>
      </c>
      <c r="B72" s="31" t="s">
        <v>247</v>
      </c>
      <c r="C72" s="130"/>
      <c r="D72" s="129"/>
      <c r="E72" s="19" t="n">
        <f aca="false">F72*0.03</f>
        <v>0</v>
      </c>
      <c r="F72" s="33" t="n">
        <v>0</v>
      </c>
      <c r="G72" s="131"/>
      <c r="H72" s="34" t="n">
        <v>0</v>
      </c>
      <c r="I72" s="34" t="n">
        <f aca="false">+IF(E72=0,0,E72*0.03)</f>
        <v>0</v>
      </c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customFormat="false" ht="16.4" hidden="false" customHeight="false" outlineLevel="0" collapsed="false">
      <c r="A73" s="123" t="n">
        <v>45444</v>
      </c>
      <c r="B73" s="31" t="s">
        <v>246</v>
      </c>
      <c r="C73" s="130"/>
      <c r="D73" s="129"/>
      <c r="E73" s="19" t="n">
        <f aca="false">F73*0.03</f>
        <v>0</v>
      </c>
      <c r="F73" s="33" t="n">
        <v>0</v>
      </c>
      <c r="G73" s="131"/>
      <c r="H73" s="34" t="n">
        <v>0</v>
      </c>
      <c r="I73" s="34" t="n">
        <f aca="false">+IF(E73=0,0,E73*0.03)</f>
        <v>0</v>
      </c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customFormat="false" ht="16.4" hidden="false" customHeight="false" outlineLevel="0" collapsed="false">
      <c r="A74" s="123" t="n">
        <v>45444</v>
      </c>
      <c r="B74" s="31" t="s">
        <v>239</v>
      </c>
      <c r="C74" s="130"/>
      <c r="D74" s="129"/>
      <c r="E74" s="19" t="n">
        <f aca="false">F74*0.03</f>
        <v>0</v>
      </c>
      <c r="F74" s="33" t="n">
        <v>0</v>
      </c>
      <c r="G74" s="131"/>
      <c r="H74" s="34" t="n">
        <v>0</v>
      </c>
      <c r="I74" s="34" t="n">
        <f aca="false">+IF(E74=0,0,E74*0.03)</f>
        <v>0</v>
      </c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customFormat="false" ht="16.4" hidden="false" customHeight="false" outlineLevel="0" collapsed="false">
      <c r="A75" s="123" t="n">
        <v>45444</v>
      </c>
      <c r="B75" s="31" t="s">
        <v>7</v>
      </c>
      <c r="C75" s="130"/>
      <c r="D75" s="129"/>
      <c r="E75" s="19" t="n">
        <f aca="false">F75*0.03</f>
        <v>0</v>
      </c>
      <c r="F75" s="33" t="n">
        <v>0</v>
      </c>
      <c r="G75" s="131"/>
      <c r="H75" s="34" t="n">
        <v>0</v>
      </c>
      <c r="I75" s="34" t="n">
        <f aca="false">+IF(E75=0,0,E75*0.03)</f>
        <v>0</v>
      </c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customFormat="false" ht="16.4" hidden="false" customHeight="false" outlineLevel="0" collapsed="false">
      <c r="A76" s="123" t="n">
        <v>45444</v>
      </c>
      <c r="B76" s="31" t="s">
        <v>240</v>
      </c>
      <c r="C76" s="130"/>
      <c r="D76" s="129"/>
      <c r="E76" s="19" t="n">
        <f aca="false">F76*0.03</f>
        <v>0</v>
      </c>
      <c r="F76" s="33" t="n">
        <v>0</v>
      </c>
      <c r="G76" s="131"/>
      <c r="H76" s="34" t="n">
        <v>0</v>
      </c>
      <c r="I76" s="34" t="n">
        <f aca="false">+IF(E76=0,0,E76*0.03)</f>
        <v>0</v>
      </c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customFormat="false" ht="16.4" hidden="false" customHeight="false" outlineLevel="0" collapsed="false">
      <c r="A77" s="123" t="n">
        <v>45444</v>
      </c>
      <c r="B77" s="31" t="s">
        <v>153</v>
      </c>
      <c r="C77" s="130"/>
      <c r="D77" s="129"/>
      <c r="E77" s="19" t="n">
        <f aca="false">F77*0.03</f>
        <v>0</v>
      </c>
      <c r="F77" s="33" t="n">
        <v>0</v>
      </c>
      <c r="G77" s="131"/>
      <c r="H77" s="34" t="n">
        <v>0</v>
      </c>
      <c r="I77" s="34" t="n">
        <f aca="false">+IF(E77=0,0,E77*0.03)</f>
        <v>0</v>
      </c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customFormat="false" ht="16.4" hidden="false" customHeight="false" outlineLevel="0" collapsed="false">
      <c r="A78" s="123" t="n">
        <v>45444</v>
      </c>
      <c r="B78" s="31" t="s">
        <v>247</v>
      </c>
      <c r="C78" s="130"/>
      <c r="D78" s="129"/>
      <c r="E78" s="19" t="n">
        <f aca="false">F78*0.03</f>
        <v>0</v>
      </c>
      <c r="F78" s="33" t="n">
        <v>0</v>
      </c>
      <c r="G78" s="131"/>
      <c r="H78" s="34" t="n">
        <v>0</v>
      </c>
      <c r="I78" s="34" t="n">
        <f aca="false">+IF(E78=0,0,E78*0.03)</f>
        <v>0</v>
      </c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customFormat="false" ht="16.4" hidden="false" customHeight="false" outlineLevel="0" collapsed="false">
      <c r="A79" s="123" t="n">
        <v>45444</v>
      </c>
      <c r="B79" s="31" t="s">
        <v>246</v>
      </c>
      <c r="C79" s="130"/>
      <c r="D79" s="129"/>
      <c r="E79" s="19" t="n">
        <f aca="false">F79*0.03</f>
        <v>0</v>
      </c>
      <c r="F79" s="33" t="n">
        <v>0</v>
      </c>
      <c r="G79" s="131"/>
      <c r="H79" s="34" t="n">
        <v>0</v>
      </c>
      <c r="I79" s="34" t="n">
        <f aca="false">+IF(E79=0,0,E79*0.03)</f>
        <v>0</v>
      </c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customFormat="false" ht="16.4" hidden="false" customHeight="false" outlineLevel="0" collapsed="false">
      <c r="A80" s="123" t="n">
        <v>45444</v>
      </c>
      <c r="B80" s="31" t="s">
        <v>239</v>
      </c>
      <c r="C80" s="130"/>
      <c r="D80" s="129"/>
      <c r="E80" s="19" t="n">
        <f aca="false">F80*0.03</f>
        <v>0</v>
      </c>
      <c r="F80" s="33" t="n">
        <v>0</v>
      </c>
      <c r="G80" s="131"/>
      <c r="H80" s="34" t="n">
        <v>0</v>
      </c>
      <c r="I80" s="34" t="n">
        <f aca="false">+IF(E80=0,0,E80*0.03)</f>
        <v>0</v>
      </c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customFormat="false" ht="16.4" hidden="false" customHeight="false" outlineLevel="0" collapsed="false">
      <c r="A81" s="123" t="n">
        <v>45444</v>
      </c>
      <c r="B81" s="31" t="s">
        <v>7</v>
      </c>
      <c r="C81" s="130"/>
      <c r="D81" s="129"/>
      <c r="E81" s="19" t="n">
        <f aca="false">F81*0.03</f>
        <v>0</v>
      </c>
      <c r="F81" s="33" t="n">
        <v>0</v>
      </c>
      <c r="G81" s="131"/>
      <c r="H81" s="34" t="n">
        <v>0</v>
      </c>
      <c r="I81" s="34" t="n">
        <f aca="false">+IF(E81=0,0,E81*0.03)</f>
        <v>0</v>
      </c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customFormat="false" ht="16.4" hidden="false" customHeight="false" outlineLevel="0" collapsed="false">
      <c r="A82" s="123" t="n">
        <v>45444</v>
      </c>
      <c r="B82" s="31" t="s">
        <v>240</v>
      </c>
      <c r="C82" s="130"/>
      <c r="D82" s="129"/>
      <c r="E82" s="19" t="n">
        <f aca="false">F82*0.03</f>
        <v>0</v>
      </c>
      <c r="F82" s="33" t="n">
        <v>0</v>
      </c>
      <c r="G82" s="131"/>
      <c r="H82" s="34" t="n">
        <v>0</v>
      </c>
      <c r="I82" s="34" t="n">
        <f aca="false">+IF(E82=0,0,E82*0.03)</f>
        <v>0</v>
      </c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customFormat="false" ht="16.4" hidden="false" customHeight="false" outlineLevel="0" collapsed="false">
      <c r="A83" s="123" t="n">
        <v>45444</v>
      </c>
      <c r="B83" s="31" t="s">
        <v>153</v>
      </c>
      <c r="C83" s="130"/>
      <c r="D83" s="129"/>
      <c r="E83" s="19" t="n">
        <f aca="false">F83*0.03</f>
        <v>0</v>
      </c>
      <c r="F83" s="33" t="n">
        <v>0</v>
      </c>
      <c r="G83" s="131"/>
      <c r="H83" s="34" t="n">
        <v>0</v>
      </c>
      <c r="I83" s="34" t="n">
        <f aca="false">+IF(E83=0,0,E83*0.03)</f>
        <v>0</v>
      </c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customFormat="false" ht="16.4" hidden="false" customHeight="false" outlineLevel="0" collapsed="false">
      <c r="A84" s="123" t="n">
        <v>45444</v>
      </c>
      <c r="B84" s="31" t="s">
        <v>247</v>
      </c>
      <c r="C84" s="130"/>
      <c r="D84" s="129"/>
      <c r="E84" s="19" t="n">
        <f aca="false">F84*0.03</f>
        <v>0</v>
      </c>
      <c r="F84" s="33" t="n">
        <v>0</v>
      </c>
      <c r="G84" s="131"/>
      <c r="H84" s="34" t="n">
        <v>0</v>
      </c>
      <c r="I84" s="34" t="n">
        <f aca="false">+IF(E84=0,0,E84*0.03)</f>
        <v>0</v>
      </c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customFormat="false" ht="16.4" hidden="false" customHeight="false" outlineLevel="0" collapsed="false">
      <c r="A85" s="123" t="n">
        <v>45444</v>
      </c>
      <c r="B85" s="31" t="s">
        <v>246</v>
      </c>
      <c r="C85" s="130"/>
      <c r="D85" s="129"/>
      <c r="E85" s="19" t="n">
        <f aca="false">F85*0.03</f>
        <v>0</v>
      </c>
      <c r="F85" s="33" t="n">
        <v>0</v>
      </c>
      <c r="G85" s="131"/>
      <c r="H85" s="34" t="n">
        <v>0</v>
      </c>
      <c r="I85" s="34" t="n">
        <f aca="false">+IF(E85=0,0,E85*0.03)</f>
        <v>0</v>
      </c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customFormat="false" ht="16.4" hidden="false" customHeight="false" outlineLevel="0" collapsed="false">
      <c r="A86" s="123" t="n">
        <v>45444</v>
      </c>
      <c r="B86" s="31" t="s">
        <v>239</v>
      </c>
      <c r="C86" s="130"/>
      <c r="D86" s="129"/>
      <c r="E86" s="19" t="n">
        <f aca="false">F86*0.03</f>
        <v>0</v>
      </c>
      <c r="F86" s="33" t="n">
        <v>0</v>
      </c>
      <c r="G86" s="131"/>
      <c r="H86" s="34" t="n">
        <v>0</v>
      </c>
      <c r="I86" s="34" t="n">
        <f aca="false">+IF(E86=0,0,E86*0.03)</f>
        <v>0</v>
      </c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customFormat="false" ht="16.4" hidden="false" customHeight="false" outlineLevel="0" collapsed="false">
      <c r="A87" s="123" t="n">
        <v>45444</v>
      </c>
      <c r="B87" s="31" t="s">
        <v>7</v>
      </c>
      <c r="C87" s="130"/>
      <c r="D87" s="129"/>
      <c r="E87" s="19" t="n">
        <f aca="false">F87*0.03</f>
        <v>0</v>
      </c>
      <c r="F87" s="33" t="n">
        <v>0</v>
      </c>
      <c r="G87" s="131"/>
      <c r="H87" s="34" t="n">
        <v>0</v>
      </c>
      <c r="I87" s="34" t="n">
        <f aca="false">+IF(E87=0,0,E87*0.03)</f>
        <v>0</v>
      </c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customFormat="false" ht="16.4" hidden="false" customHeight="false" outlineLevel="0" collapsed="false">
      <c r="A88" s="123" t="n">
        <v>45444</v>
      </c>
      <c r="B88" s="31" t="s">
        <v>240</v>
      </c>
      <c r="C88" s="130"/>
      <c r="D88" s="129"/>
      <c r="E88" s="19" t="n">
        <f aca="false">F88*0.03</f>
        <v>0</v>
      </c>
      <c r="F88" s="33" t="n">
        <v>0</v>
      </c>
      <c r="G88" s="131"/>
      <c r="H88" s="34" t="n">
        <v>0</v>
      </c>
      <c r="I88" s="34" t="n">
        <f aca="false">+IF(E88=0,0,E88*0.03)</f>
        <v>0</v>
      </c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customFormat="false" ht="16.4" hidden="false" customHeight="false" outlineLevel="0" collapsed="false">
      <c r="A89" s="123" t="n">
        <v>45444</v>
      </c>
      <c r="B89" s="31" t="s">
        <v>153</v>
      </c>
      <c r="C89" s="130"/>
      <c r="D89" s="129"/>
      <c r="E89" s="19" t="n">
        <f aca="false">F89*0.03</f>
        <v>0</v>
      </c>
      <c r="F89" s="33" t="n">
        <v>0</v>
      </c>
      <c r="G89" s="131"/>
      <c r="H89" s="34" t="n">
        <v>0</v>
      </c>
      <c r="I89" s="34" t="n">
        <f aca="false">+IF(E89=0,0,E89*0.03)</f>
        <v>0</v>
      </c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customFormat="false" ht="16.4" hidden="false" customHeight="false" outlineLevel="0" collapsed="false">
      <c r="A90" s="123" t="n">
        <v>45444</v>
      </c>
      <c r="B90" s="31" t="s">
        <v>247</v>
      </c>
      <c r="C90" s="130"/>
      <c r="D90" s="129"/>
      <c r="E90" s="19" t="n">
        <f aca="false">F90*0.03</f>
        <v>0</v>
      </c>
      <c r="F90" s="33" t="n">
        <v>0</v>
      </c>
      <c r="G90" s="131"/>
      <c r="H90" s="34" t="n">
        <v>0</v>
      </c>
      <c r="I90" s="34" t="n">
        <f aca="false">+IF(E90=0,0,E90*0.03)</f>
        <v>0</v>
      </c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customFormat="false" ht="16.4" hidden="false" customHeight="false" outlineLevel="0" collapsed="false">
      <c r="A91" s="123" t="n">
        <v>45444</v>
      </c>
      <c r="B91" s="31" t="s">
        <v>246</v>
      </c>
      <c r="C91" s="130"/>
      <c r="D91" s="129"/>
      <c r="E91" s="19" t="n">
        <f aca="false">F91*0.03</f>
        <v>0</v>
      </c>
      <c r="F91" s="33" t="n">
        <v>0</v>
      </c>
      <c r="G91" s="131"/>
      <c r="H91" s="34" t="n">
        <v>0</v>
      </c>
      <c r="I91" s="34" t="n">
        <f aca="false">+IF(E91=0,0,E91*0.03)</f>
        <v>0</v>
      </c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customFormat="false" ht="16.4" hidden="false" customHeight="false" outlineLevel="0" collapsed="false">
      <c r="A92" s="123" t="n">
        <v>45444</v>
      </c>
      <c r="B92" s="31" t="s">
        <v>239</v>
      </c>
      <c r="C92" s="130"/>
      <c r="D92" s="129"/>
      <c r="E92" s="19" t="n">
        <f aca="false">F92*0.03</f>
        <v>0</v>
      </c>
      <c r="F92" s="33" t="n">
        <v>0</v>
      </c>
      <c r="G92" s="131"/>
      <c r="H92" s="34" t="n">
        <v>0</v>
      </c>
      <c r="I92" s="34" t="n">
        <f aca="false">+IF(E92=0,0,E92*0.03)</f>
        <v>0</v>
      </c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customFormat="false" ht="16.4" hidden="false" customHeight="false" outlineLevel="0" collapsed="false">
      <c r="A93" s="123" t="n">
        <v>45444</v>
      </c>
      <c r="B93" s="31" t="s">
        <v>7</v>
      </c>
      <c r="C93" s="130"/>
      <c r="D93" s="129"/>
      <c r="E93" s="19" t="n">
        <f aca="false">F93*0.03</f>
        <v>0</v>
      </c>
      <c r="F93" s="33" t="n">
        <v>0</v>
      </c>
      <c r="G93" s="131"/>
      <c r="H93" s="34" t="n">
        <v>0</v>
      </c>
      <c r="I93" s="34" t="n">
        <f aca="false">+IF(E93=0,0,E93*0.03)</f>
        <v>0</v>
      </c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customFormat="false" ht="16.4" hidden="false" customHeight="false" outlineLevel="0" collapsed="false">
      <c r="A94" s="123" t="n">
        <v>45444</v>
      </c>
      <c r="B94" s="31" t="s">
        <v>240</v>
      </c>
      <c r="C94" s="130"/>
      <c r="D94" s="129"/>
      <c r="E94" s="19" t="n">
        <f aca="false">F94*0.03</f>
        <v>0</v>
      </c>
      <c r="F94" s="33" t="n">
        <v>0</v>
      </c>
      <c r="G94" s="131"/>
      <c r="H94" s="34" t="n">
        <v>0</v>
      </c>
      <c r="I94" s="34" t="n">
        <f aca="false">+IF(E94=0,0,E94*0.03)</f>
        <v>0</v>
      </c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customFormat="false" ht="16.4" hidden="false" customHeight="false" outlineLevel="0" collapsed="false">
      <c r="A95" s="123" t="n">
        <v>45444</v>
      </c>
      <c r="B95" s="31" t="s">
        <v>153</v>
      </c>
      <c r="C95" s="130"/>
      <c r="D95" s="129"/>
      <c r="E95" s="19" t="n">
        <f aca="false">F95*0.03</f>
        <v>0</v>
      </c>
      <c r="F95" s="33" t="n">
        <v>0</v>
      </c>
      <c r="G95" s="131"/>
      <c r="H95" s="34" t="n">
        <v>0</v>
      </c>
      <c r="I95" s="34" t="n">
        <f aca="false">+IF(E95=0,0,E95*0.03)</f>
        <v>0</v>
      </c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customFormat="false" ht="16.4" hidden="false" customHeight="false" outlineLevel="0" collapsed="false">
      <c r="A96" s="123" t="n">
        <v>45444</v>
      </c>
      <c r="B96" s="31" t="s">
        <v>247</v>
      </c>
      <c r="C96" s="130"/>
      <c r="D96" s="129"/>
      <c r="E96" s="19" t="n">
        <f aca="false">F96*0.03</f>
        <v>0</v>
      </c>
      <c r="F96" s="33" t="n">
        <v>0</v>
      </c>
      <c r="G96" s="131"/>
      <c r="H96" s="34" t="n">
        <v>0</v>
      </c>
      <c r="I96" s="34" t="n">
        <f aca="false">+IF(E96=0,0,E96*0.03)</f>
        <v>0</v>
      </c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customFormat="false" ht="16.4" hidden="false" customHeight="false" outlineLevel="0" collapsed="false">
      <c r="A97" s="123" t="n">
        <v>45444</v>
      </c>
      <c r="B97" s="31" t="s">
        <v>246</v>
      </c>
      <c r="C97" s="130"/>
      <c r="D97" s="129"/>
      <c r="E97" s="19" t="n">
        <f aca="false">F97*0.03</f>
        <v>0</v>
      </c>
      <c r="F97" s="33" t="n">
        <v>0</v>
      </c>
      <c r="G97" s="131"/>
      <c r="H97" s="34" t="n">
        <v>0</v>
      </c>
      <c r="I97" s="34" t="n">
        <f aca="false">+IF(E97=0,0,E97*0.03)</f>
        <v>0</v>
      </c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customFormat="false" ht="16.4" hidden="false" customHeight="false" outlineLevel="0" collapsed="false">
      <c r="A98" s="123" t="n">
        <v>45444</v>
      </c>
      <c r="B98" s="31" t="s">
        <v>239</v>
      </c>
      <c r="C98" s="130"/>
      <c r="D98" s="129"/>
      <c r="E98" s="19" t="n">
        <f aca="false">F98*0.03</f>
        <v>0</v>
      </c>
      <c r="F98" s="33" t="n">
        <v>0</v>
      </c>
      <c r="G98" s="131"/>
      <c r="H98" s="34" t="n">
        <v>0</v>
      </c>
      <c r="I98" s="34" t="n">
        <f aca="false">+IF(E98=0,0,E98*0.03)</f>
        <v>0</v>
      </c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customFormat="false" ht="16.4" hidden="false" customHeight="false" outlineLevel="0" collapsed="false">
      <c r="A99" s="123" t="n">
        <v>45444</v>
      </c>
      <c r="B99" s="31" t="s">
        <v>7</v>
      </c>
      <c r="C99" s="130"/>
      <c r="D99" s="129"/>
      <c r="E99" s="19" t="n">
        <f aca="false">F99*0.03</f>
        <v>0</v>
      </c>
      <c r="F99" s="33" t="n">
        <v>0</v>
      </c>
      <c r="G99" s="131"/>
      <c r="H99" s="34" t="n">
        <v>0</v>
      </c>
      <c r="I99" s="34" t="n">
        <f aca="false">+IF(E99=0,0,E99*0.03)</f>
        <v>0</v>
      </c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customFormat="false" ht="16.4" hidden="false" customHeight="false" outlineLevel="0" collapsed="false">
      <c r="A100" s="123" t="n">
        <v>45444</v>
      </c>
      <c r="B100" s="31" t="s">
        <v>240</v>
      </c>
      <c r="C100" s="130"/>
      <c r="D100" s="129"/>
      <c r="E100" s="19" t="n">
        <f aca="false">F100*0.03</f>
        <v>0</v>
      </c>
      <c r="F100" s="33" t="n">
        <v>0</v>
      </c>
      <c r="G100" s="131"/>
      <c r="H100" s="34" t="n">
        <v>0</v>
      </c>
      <c r="I100" s="34" t="n">
        <f aca="false">+IF(E100=0,0,E100*0.03)</f>
        <v>0</v>
      </c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customFormat="false" ht="16.4" hidden="false" customHeight="false" outlineLevel="0" collapsed="false">
      <c r="A101" s="123" t="n">
        <v>45444</v>
      </c>
      <c r="B101" s="31" t="s">
        <v>153</v>
      </c>
      <c r="C101" s="130"/>
      <c r="D101" s="129"/>
      <c r="E101" s="19" t="n">
        <f aca="false">F101*0.03</f>
        <v>0</v>
      </c>
      <c r="F101" s="33" t="n">
        <v>0</v>
      </c>
      <c r="G101" s="131"/>
      <c r="H101" s="34" t="n">
        <v>0</v>
      </c>
      <c r="I101" s="34" t="n">
        <f aca="false">+IF(E101=0,0,E101*0.03)</f>
        <v>0</v>
      </c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customFormat="false" ht="16.4" hidden="false" customHeight="false" outlineLevel="0" collapsed="false">
      <c r="A102" s="123" t="n">
        <v>45444</v>
      </c>
      <c r="B102" s="31" t="s">
        <v>247</v>
      </c>
      <c r="C102" s="130"/>
      <c r="D102" s="129"/>
      <c r="E102" s="19" t="n">
        <f aca="false">F102*0.03</f>
        <v>0</v>
      </c>
      <c r="F102" s="33" t="n">
        <v>0</v>
      </c>
      <c r="G102" s="131"/>
      <c r="H102" s="34" t="n">
        <v>0</v>
      </c>
      <c r="I102" s="34" t="n">
        <f aca="false">+IF(E102=0,0,E102*0.03)</f>
        <v>0</v>
      </c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customFormat="false" ht="16.4" hidden="false" customHeight="false" outlineLevel="0" collapsed="false">
      <c r="A103" s="123" t="n">
        <v>45444</v>
      </c>
      <c r="B103" s="31" t="s">
        <v>246</v>
      </c>
      <c r="C103" s="130"/>
      <c r="D103" s="129"/>
      <c r="E103" s="19" t="n">
        <f aca="false">F103*0.03</f>
        <v>0</v>
      </c>
      <c r="F103" s="33" t="n">
        <v>0</v>
      </c>
      <c r="G103" s="131"/>
      <c r="H103" s="34" t="n">
        <v>0</v>
      </c>
      <c r="I103" s="34" t="n">
        <f aca="false">+IF(E103=0,0,E103*0.03)</f>
        <v>0</v>
      </c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customFormat="false" ht="16.4" hidden="false" customHeight="false" outlineLevel="0" collapsed="false">
      <c r="A104" s="123" t="n">
        <v>45444</v>
      </c>
      <c r="B104" s="31" t="s">
        <v>239</v>
      </c>
      <c r="C104" s="130"/>
      <c r="D104" s="129"/>
      <c r="E104" s="19" t="n">
        <f aca="false">F104*0.03</f>
        <v>0</v>
      </c>
      <c r="F104" s="33" t="n">
        <v>0</v>
      </c>
      <c r="G104" s="131"/>
      <c r="H104" s="34" t="n">
        <v>0</v>
      </c>
      <c r="I104" s="34" t="n">
        <f aca="false">+IF(E104=0,0,E104*0.03)</f>
        <v>0</v>
      </c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customFormat="false" ht="16.4" hidden="false" customHeight="false" outlineLevel="0" collapsed="false">
      <c r="A105" s="123" t="n">
        <v>45444</v>
      </c>
      <c r="B105" s="31" t="s">
        <v>7</v>
      </c>
      <c r="C105" s="130"/>
      <c r="D105" s="129"/>
      <c r="E105" s="19" t="n">
        <f aca="false">F105*0.03</f>
        <v>0</v>
      </c>
      <c r="F105" s="33" t="n">
        <v>0</v>
      </c>
      <c r="G105" s="131"/>
      <c r="H105" s="34" t="n">
        <v>0</v>
      </c>
      <c r="I105" s="34" t="n">
        <f aca="false">+IF(E105=0,0,E105*0.03)</f>
        <v>0</v>
      </c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customFormat="false" ht="16.4" hidden="false" customHeight="false" outlineLevel="0" collapsed="false">
      <c r="A106" s="123" t="n">
        <v>45444</v>
      </c>
      <c r="B106" s="31" t="s">
        <v>240</v>
      </c>
      <c r="C106" s="130"/>
      <c r="D106" s="129"/>
      <c r="E106" s="19" t="n">
        <f aca="false">F106*0.03</f>
        <v>0</v>
      </c>
      <c r="F106" s="33" t="n">
        <v>0</v>
      </c>
      <c r="G106" s="131"/>
      <c r="H106" s="34" t="n">
        <v>0</v>
      </c>
      <c r="I106" s="34" t="n">
        <f aca="false">+IF(E106=0,0,E106*0.03)</f>
        <v>0</v>
      </c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customFormat="false" ht="16.4" hidden="false" customHeight="false" outlineLevel="0" collapsed="false">
      <c r="A107" s="123" t="n">
        <v>45444</v>
      </c>
      <c r="B107" s="31" t="s">
        <v>153</v>
      </c>
      <c r="C107" s="130"/>
      <c r="D107" s="129"/>
      <c r="E107" s="19" t="n">
        <f aca="false">F107*0.03</f>
        <v>0</v>
      </c>
      <c r="F107" s="33" t="n">
        <v>0</v>
      </c>
      <c r="G107" s="131"/>
      <c r="H107" s="34" t="n">
        <v>0</v>
      </c>
      <c r="I107" s="34" t="n">
        <f aca="false">+IF(E107=0,0,E107*0.03)</f>
        <v>0</v>
      </c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customFormat="false" ht="16.4" hidden="false" customHeight="false" outlineLevel="0" collapsed="false">
      <c r="A108" s="123" t="n">
        <v>45444</v>
      </c>
      <c r="B108" s="31" t="s">
        <v>247</v>
      </c>
      <c r="C108" s="130"/>
      <c r="D108" s="129"/>
      <c r="E108" s="19" t="n">
        <f aca="false">F108*0.03</f>
        <v>0</v>
      </c>
      <c r="F108" s="33" t="n">
        <v>0</v>
      </c>
      <c r="G108" s="131"/>
      <c r="H108" s="34" t="n">
        <v>0</v>
      </c>
      <c r="I108" s="34" t="n">
        <f aca="false">+IF(E108=0,0,E108*0.03)</f>
        <v>0</v>
      </c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customFormat="false" ht="16.4" hidden="false" customHeight="false" outlineLevel="0" collapsed="false">
      <c r="A109" s="123" t="n">
        <v>45444</v>
      </c>
      <c r="B109" s="31" t="s">
        <v>246</v>
      </c>
      <c r="C109" s="130"/>
      <c r="D109" s="129"/>
      <c r="E109" s="19" t="n">
        <f aca="false">F109*0.03</f>
        <v>0</v>
      </c>
      <c r="F109" s="33" t="n">
        <v>0</v>
      </c>
      <c r="G109" s="131"/>
      <c r="H109" s="34" t="n">
        <v>0</v>
      </c>
      <c r="I109" s="34" t="n">
        <f aca="false">+IF(E109=0,0,E109*0.03)</f>
        <v>0</v>
      </c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customFormat="false" ht="16.4" hidden="false" customHeight="false" outlineLevel="0" collapsed="false">
      <c r="A110" s="123" t="n">
        <v>45444</v>
      </c>
      <c r="B110" s="31" t="s">
        <v>239</v>
      </c>
      <c r="C110" s="130"/>
      <c r="D110" s="129"/>
      <c r="E110" s="19" t="n">
        <f aca="false">F110*0.03</f>
        <v>0</v>
      </c>
      <c r="F110" s="33" t="n">
        <v>0</v>
      </c>
      <c r="G110" s="131"/>
      <c r="H110" s="34" t="n">
        <v>0</v>
      </c>
      <c r="I110" s="34" t="n">
        <f aca="false">+IF(E110=0,0,E110*0.03)</f>
        <v>0</v>
      </c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customFormat="false" ht="16.4" hidden="false" customHeight="false" outlineLevel="0" collapsed="false">
      <c r="A111" s="123" t="n">
        <v>45444</v>
      </c>
      <c r="B111" s="31" t="s">
        <v>7</v>
      </c>
      <c r="C111" s="130"/>
      <c r="D111" s="129"/>
      <c r="E111" s="19" t="n">
        <f aca="false">F111*0.03</f>
        <v>0</v>
      </c>
      <c r="F111" s="33" t="n">
        <v>0</v>
      </c>
      <c r="G111" s="131"/>
      <c r="H111" s="34" t="n">
        <v>0</v>
      </c>
      <c r="I111" s="34" t="n">
        <f aca="false">+IF(E111=0,0,E111*0.03)</f>
        <v>0</v>
      </c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customFormat="false" ht="16.4" hidden="false" customHeight="false" outlineLevel="0" collapsed="false">
      <c r="A112" s="123" t="n">
        <v>45444</v>
      </c>
      <c r="B112" s="31" t="s">
        <v>240</v>
      </c>
      <c r="C112" s="130"/>
      <c r="D112" s="129"/>
      <c r="E112" s="19" t="n">
        <f aca="false">F112*0.03</f>
        <v>0</v>
      </c>
      <c r="F112" s="33" t="n">
        <v>0</v>
      </c>
      <c r="G112" s="131"/>
      <c r="H112" s="34" t="n">
        <v>0</v>
      </c>
      <c r="I112" s="34" t="n">
        <f aca="false">+IF(E112=0,0,E112*0.03)</f>
        <v>0</v>
      </c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customFormat="false" ht="16.4" hidden="false" customHeight="false" outlineLevel="0" collapsed="false">
      <c r="A113" s="123" t="n">
        <v>45444</v>
      </c>
      <c r="B113" s="31" t="s">
        <v>153</v>
      </c>
      <c r="C113" s="130"/>
      <c r="D113" s="129"/>
      <c r="E113" s="19" t="n">
        <f aca="false">F113*0.03</f>
        <v>0</v>
      </c>
      <c r="F113" s="33" t="n">
        <v>0</v>
      </c>
      <c r="G113" s="131"/>
      <c r="H113" s="34" t="n">
        <v>0</v>
      </c>
      <c r="I113" s="34" t="n">
        <f aca="false">+IF(E113=0,0,E113*0.03)</f>
        <v>0</v>
      </c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customFormat="false" ht="16.4" hidden="false" customHeight="false" outlineLevel="0" collapsed="false">
      <c r="A114" s="123" t="n">
        <v>45444</v>
      </c>
      <c r="B114" s="31" t="s">
        <v>247</v>
      </c>
      <c r="C114" s="130"/>
      <c r="D114" s="129"/>
      <c r="E114" s="19" t="n">
        <f aca="false">F114*0.03</f>
        <v>0</v>
      </c>
      <c r="F114" s="33" t="n">
        <v>0</v>
      </c>
      <c r="G114" s="131"/>
      <c r="H114" s="34" t="n">
        <v>0</v>
      </c>
      <c r="I114" s="34" t="n">
        <f aca="false">+IF(E114=0,0,E114*0.03)</f>
        <v>0</v>
      </c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customFormat="false" ht="16.4" hidden="false" customHeight="false" outlineLevel="0" collapsed="false">
      <c r="A115" s="123" t="n">
        <v>45444</v>
      </c>
      <c r="B115" s="31" t="s">
        <v>246</v>
      </c>
      <c r="C115" s="130"/>
      <c r="D115" s="129"/>
      <c r="E115" s="19" t="n">
        <f aca="false">F115*0.03</f>
        <v>0</v>
      </c>
      <c r="F115" s="33" t="n">
        <v>0</v>
      </c>
      <c r="G115" s="131"/>
      <c r="H115" s="34" t="n">
        <v>0</v>
      </c>
      <c r="I115" s="34" t="n">
        <f aca="false">+IF(E115=0,0,E115*0.03)</f>
        <v>0</v>
      </c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customFormat="false" ht="16.4" hidden="false" customHeight="false" outlineLevel="0" collapsed="false">
      <c r="A116" s="123" t="n">
        <v>45444</v>
      </c>
      <c r="B116" s="31" t="s">
        <v>239</v>
      </c>
      <c r="C116" s="130"/>
      <c r="D116" s="129"/>
      <c r="E116" s="19" t="n">
        <f aca="false">F116*0.03</f>
        <v>0</v>
      </c>
      <c r="F116" s="33" t="n">
        <v>0</v>
      </c>
      <c r="G116" s="131"/>
      <c r="H116" s="34" t="n">
        <v>0</v>
      </c>
      <c r="I116" s="34" t="n">
        <f aca="false">+IF(E116=0,0,E116*0.03)</f>
        <v>0</v>
      </c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customFormat="false" ht="16.4" hidden="false" customHeight="false" outlineLevel="0" collapsed="false">
      <c r="A117" s="123" t="n">
        <v>45444</v>
      </c>
      <c r="B117" s="31" t="s">
        <v>7</v>
      </c>
      <c r="C117" s="130"/>
      <c r="D117" s="129"/>
      <c r="E117" s="19" t="n">
        <f aca="false">F117*0.03</f>
        <v>0</v>
      </c>
      <c r="F117" s="33" t="n">
        <v>0</v>
      </c>
      <c r="G117" s="131"/>
      <c r="H117" s="34" t="n">
        <v>0</v>
      </c>
      <c r="I117" s="34" t="n">
        <f aca="false">+IF(E117=0,0,E117*0.03)</f>
        <v>0</v>
      </c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customFormat="false" ht="16.4" hidden="false" customHeight="false" outlineLevel="0" collapsed="false">
      <c r="A118" s="123" t="n">
        <v>45444</v>
      </c>
      <c r="B118" s="31" t="s">
        <v>240</v>
      </c>
      <c r="C118" s="130"/>
      <c r="D118" s="129"/>
      <c r="E118" s="19" t="n">
        <f aca="false">F118*0.03</f>
        <v>0</v>
      </c>
      <c r="F118" s="33" t="n">
        <v>0</v>
      </c>
      <c r="G118" s="131"/>
      <c r="H118" s="34" t="n">
        <v>0</v>
      </c>
      <c r="I118" s="34" t="n">
        <f aca="false">+IF(E118=0,0,E118*0.03)</f>
        <v>0</v>
      </c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customFormat="false" ht="16.4" hidden="false" customHeight="false" outlineLevel="0" collapsed="false">
      <c r="A119" s="123" t="n">
        <v>45444</v>
      </c>
      <c r="B119" s="31" t="s">
        <v>153</v>
      </c>
      <c r="C119" s="130"/>
      <c r="D119" s="129"/>
      <c r="E119" s="19" t="n">
        <f aca="false">F119*0.03</f>
        <v>0</v>
      </c>
      <c r="F119" s="33" t="n">
        <v>0</v>
      </c>
      <c r="G119" s="131"/>
      <c r="H119" s="34" t="n">
        <v>0</v>
      </c>
      <c r="I119" s="34" t="n">
        <f aca="false">+IF(E119=0,0,E119*0.03)</f>
        <v>0</v>
      </c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customFormat="false" ht="16.4" hidden="false" customHeight="false" outlineLevel="0" collapsed="false">
      <c r="A120" s="123" t="n">
        <v>45444</v>
      </c>
      <c r="B120" s="31" t="s">
        <v>247</v>
      </c>
      <c r="C120" s="130"/>
      <c r="D120" s="129"/>
      <c r="E120" s="19" t="n">
        <f aca="false">F120*0.03</f>
        <v>0</v>
      </c>
      <c r="F120" s="33" t="n">
        <v>0</v>
      </c>
      <c r="G120" s="131"/>
      <c r="H120" s="34" t="n">
        <v>0</v>
      </c>
      <c r="I120" s="34" t="n">
        <f aca="false">+IF(E120=0,0,E120*0.03)</f>
        <v>0</v>
      </c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customFormat="false" ht="16.4" hidden="false" customHeight="false" outlineLevel="0" collapsed="false">
      <c r="A121" s="123" t="n">
        <v>45444</v>
      </c>
      <c r="B121" s="31" t="s">
        <v>246</v>
      </c>
      <c r="C121" s="129"/>
      <c r="D121" s="129"/>
      <c r="E121" s="19" t="n">
        <f aca="false">F121*0.03</f>
        <v>0</v>
      </c>
      <c r="F121" s="33" t="n">
        <v>0</v>
      </c>
      <c r="G121" s="131"/>
      <c r="H121" s="34" t="n">
        <v>0</v>
      </c>
      <c r="I121" s="34" t="n">
        <f aca="false">+IF(E121=0,0,E121*0.03)</f>
        <v>0</v>
      </c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customFormat="false" ht="16.4" hidden="false" customHeight="false" outlineLevel="0" collapsed="false">
      <c r="A122" s="123" t="n">
        <v>45444</v>
      </c>
      <c r="B122" s="31" t="s">
        <v>239</v>
      </c>
      <c r="C122" s="129"/>
      <c r="D122" s="129"/>
      <c r="E122" s="19" t="n">
        <f aca="false">F122*0.03</f>
        <v>0</v>
      </c>
      <c r="F122" s="33" t="n">
        <v>0</v>
      </c>
      <c r="G122" s="131"/>
      <c r="H122" s="34" t="n">
        <v>0</v>
      </c>
      <c r="I122" s="34" t="n">
        <f aca="false">+IF(E122=0,0,E122*0.03)</f>
        <v>0</v>
      </c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customFormat="false" ht="16.4" hidden="false" customHeight="false" outlineLevel="0" collapsed="false">
      <c r="A123" s="123" t="n">
        <v>45444</v>
      </c>
      <c r="B123" s="31" t="s">
        <v>7</v>
      </c>
      <c r="C123" s="129"/>
      <c r="D123" s="129"/>
      <c r="E123" s="19" t="n">
        <f aca="false">F123*0.03</f>
        <v>0</v>
      </c>
      <c r="F123" s="33" t="n">
        <v>0</v>
      </c>
      <c r="G123" s="131"/>
      <c r="H123" s="34" t="n">
        <v>0</v>
      </c>
      <c r="I123" s="34" t="n">
        <f aca="false">+IF(E123=0,0,E123*0.03)</f>
        <v>0</v>
      </c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customFormat="false" ht="16.4" hidden="false" customHeight="false" outlineLevel="0" collapsed="false">
      <c r="A124" s="123" t="n">
        <v>45444</v>
      </c>
      <c r="B124" s="31" t="s">
        <v>240</v>
      </c>
      <c r="C124" s="129"/>
      <c r="D124" s="129"/>
      <c r="E124" s="19" t="n">
        <f aca="false">F124*0.03</f>
        <v>0</v>
      </c>
      <c r="F124" s="33" t="n">
        <v>0</v>
      </c>
      <c r="G124" s="131"/>
      <c r="H124" s="34" t="n">
        <v>0</v>
      </c>
      <c r="I124" s="34" t="n">
        <f aca="false">+IF(E124=0,0,E124*0.03)</f>
        <v>0</v>
      </c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customFormat="false" ht="16.4" hidden="false" customHeight="false" outlineLevel="0" collapsed="false">
      <c r="A125" s="123" t="n">
        <v>45444</v>
      </c>
      <c r="B125" s="31" t="s">
        <v>153</v>
      </c>
      <c r="C125" s="129"/>
      <c r="D125" s="129"/>
      <c r="E125" s="19" t="n">
        <f aca="false">F125*0.03</f>
        <v>0</v>
      </c>
      <c r="F125" s="33" t="n">
        <v>0</v>
      </c>
      <c r="G125" s="131"/>
      <c r="H125" s="34" t="n">
        <v>0</v>
      </c>
      <c r="I125" s="34" t="n">
        <f aca="false">+IF(E125=0,0,E125*0.03)</f>
        <v>0</v>
      </c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customFormat="false" ht="16.4" hidden="false" customHeight="false" outlineLevel="0" collapsed="false">
      <c r="A126" s="123" t="n">
        <v>45444</v>
      </c>
      <c r="B126" s="31" t="s">
        <v>247</v>
      </c>
      <c r="C126" s="129"/>
      <c r="D126" s="129"/>
      <c r="E126" s="19" t="n">
        <f aca="false">F126*0.03</f>
        <v>0</v>
      </c>
      <c r="F126" s="33" t="n">
        <v>0</v>
      </c>
      <c r="G126" s="131"/>
      <c r="H126" s="34" t="n">
        <v>0</v>
      </c>
      <c r="I126" s="34" t="n">
        <f aca="false">+IF(E126=0,0,E126*0.03)</f>
        <v>0</v>
      </c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customFormat="false" ht="16.4" hidden="false" customHeight="false" outlineLevel="0" collapsed="false">
      <c r="A127" s="123" t="n">
        <v>45444</v>
      </c>
      <c r="B127" s="31" t="s">
        <v>246</v>
      </c>
      <c r="C127" s="129"/>
      <c r="D127" s="129"/>
      <c r="E127" s="19" t="n">
        <f aca="false">F127*0.03</f>
        <v>0</v>
      </c>
      <c r="F127" s="33" t="n">
        <v>0</v>
      </c>
      <c r="G127" s="131"/>
      <c r="H127" s="34" t="n">
        <v>0</v>
      </c>
      <c r="I127" s="34" t="n">
        <f aca="false">+IF(E127=0,0,E127*0.03)</f>
        <v>0</v>
      </c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customFormat="false" ht="16.4" hidden="false" customHeight="false" outlineLevel="0" collapsed="false">
      <c r="A128" s="123" t="n">
        <v>45444</v>
      </c>
      <c r="B128" s="31" t="s">
        <v>239</v>
      </c>
      <c r="C128" s="129"/>
      <c r="D128" s="129"/>
      <c r="E128" s="19" t="n">
        <f aca="false">F128*0.03</f>
        <v>0</v>
      </c>
      <c r="F128" s="33" t="n">
        <v>0</v>
      </c>
      <c r="G128" s="131"/>
      <c r="H128" s="34" t="n">
        <v>0</v>
      </c>
      <c r="I128" s="34" t="n">
        <f aca="false">+IF(E128=0,0,E128*0.03)</f>
        <v>0</v>
      </c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customFormat="false" ht="16.4" hidden="false" customHeight="false" outlineLevel="0" collapsed="false">
      <c r="A129" s="123" t="n">
        <v>45444</v>
      </c>
      <c r="B129" s="31" t="s">
        <v>7</v>
      </c>
      <c r="C129" s="129"/>
      <c r="D129" s="129"/>
      <c r="E129" s="19" t="n">
        <f aca="false">F129*0.03</f>
        <v>0</v>
      </c>
      <c r="F129" s="33" t="n">
        <v>0</v>
      </c>
      <c r="G129" s="131"/>
      <c r="H129" s="34" t="n">
        <v>0</v>
      </c>
      <c r="I129" s="34" t="n">
        <f aca="false">+IF(E129=0,0,E129*0.03)</f>
        <v>0</v>
      </c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customFormat="false" ht="16.4" hidden="false" customHeight="false" outlineLevel="0" collapsed="false">
      <c r="A130" s="123" t="n">
        <v>45444</v>
      </c>
      <c r="B130" s="31" t="s">
        <v>240</v>
      </c>
      <c r="C130" s="129"/>
      <c r="D130" s="129"/>
      <c r="E130" s="19" t="n">
        <f aca="false">F130*0.03</f>
        <v>0</v>
      </c>
      <c r="F130" s="33" t="n">
        <v>0</v>
      </c>
      <c r="G130" s="131"/>
      <c r="H130" s="34" t="n">
        <v>0</v>
      </c>
      <c r="I130" s="34" t="n">
        <f aca="false">+IF(E130=0,0,E130*0.03)</f>
        <v>0</v>
      </c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customFormat="false" ht="16.4" hidden="false" customHeight="false" outlineLevel="0" collapsed="false">
      <c r="A131" s="123" t="n">
        <v>45444</v>
      </c>
      <c r="B131" s="31" t="s">
        <v>153</v>
      </c>
      <c r="C131" s="129"/>
      <c r="D131" s="129"/>
      <c r="E131" s="19" t="n">
        <f aca="false">F131*0.03</f>
        <v>0</v>
      </c>
      <c r="F131" s="33" t="n">
        <v>0</v>
      </c>
      <c r="G131" s="131"/>
      <c r="H131" s="34" t="n">
        <v>0</v>
      </c>
      <c r="I131" s="34" t="n">
        <f aca="false">+IF(E131=0,0,E131*0.03)</f>
        <v>0</v>
      </c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customFormat="false" ht="16.4" hidden="false" customHeight="false" outlineLevel="0" collapsed="false">
      <c r="A132" s="123" t="n">
        <v>45444</v>
      </c>
      <c r="B132" s="31" t="s">
        <v>247</v>
      </c>
      <c r="C132" s="129"/>
      <c r="D132" s="129"/>
      <c r="E132" s="19" t="n">
        <f aca="false">F132*0.03</f>
        <v>0</v>
      </c>
      <c r="F132" s="33" t="n">
        <v>0</v>
      </c>
      <c r="G132" s="131"/>
      <c r="H132" s="34" t="n">
        <v>0</v>
      </c>
      <c r="I132" s="34" t="n">
        <f aca="false">+IF(E132=0,0,E132*0.03)</f>
        <v>0</v>
      </c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customFormat="false" ht="16.4" hidden="false" customHeight="false" outlineLevel="0" collapsed="false">
      <c r="A133" s="123" t="n">
        <v>45444</v>
      </c>
      <c r="B133" s="31" t="s">
        <v>246</v>
      </c>
      <c r="C133" s="129"/>
      <c r="D133" s="129"/>
      <c r="E133" s="19" t="n">
        <f aca="false">F133*0.03</f>
        <v>0</v>
      </c>
      <c r="F133" s="33" t="n">
        <v>0</v>
      </c>
      <c r="G133" s="131"/>
      <c r="H133" s="34" t="n">
        <v>0</v>
      </c>
      <c r="I133" s="34" t="n">
        <f aca="false">+IF(E133=0,0,E133*0.03)</f>
        <v>0</v>
      </c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customFormat="false" ht="16.4" hidden="false" customHeight="false" outlineLevel="0" collapsed="false">
      <c r="A134" s="123" t="n">
        <v>45444</v>
      </c>
      <c r="B134" s="31" t="s">
        <v>239</v>
      </c>
      <c r="C134" s="129"/>
      <c r="D134" s="129"/>
      <c r="E134" s="19" t="n">
        <f aca="false">F134*0.03</f>
        <v>0</v>
      </c>
      <c r="F134" s="33" t="n">
        <v>0</v>
      </c>
      <c r="G134" s="131"/>
      <c r="H134" s="34" t="n">
        <v>0</v>
      </c>
      <c r="I134" s="34" t="n">
        <f aca="false">+IF(E134=0,0,E134*0.03)</f>
        <v>0</v>
      </c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customFormat="false" ht="16.4" hidden="false" customHeight="false" outlineLevel="0" collapsed="false">
      <c r="A135" s="123" t="n">
        <v>45444</v>
      </c>
      <c r="B135" s="31" t="s">
        <v>7</v>
      </c>
      <c r="C135" s="129"/>
      <c r="D135" s="129"/>
      <c r="E135" s="19" t="n">
        <f aca="false">F135*0.03</f>
        <v>0</v>
      </c>
      <c r="F135" s="33" t="n">
        <v>0</v>
      </c>
      <c r="G135" s="131"/>
      <c r="H135" s="34" t="n">
        <v>0</v>
      </c>
      <c r="I135" s="34" t="n">
        <f aca="false">+IF(E135=0,0,E135*0.03)</f>
        <v>0</v>
      </c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customFormat="false" ht="16.4" hidden="false" customHeight="false" outlineLevel="0" collapsed="false">
      <c r="A136" s="123" t="n">
        <v>45444</v>
      </c>
      <c r="B136" s="31" t="s">
        <v>240</v>
      </c>
      <c r="C136" s="129"/>
      <c r="D136" s="129"/>
      <c r="E136" s="19" t="n">
        <f aca="false">F136*0.03</f>
        <v>0</v>
      </c>
      <c r="F136" s="33" t="n">
        <v>0</v>
      </c>
      <c r="G136" s="131"/>
      <c r="H136" s="34" t="n">
        <v>0</v>
      </c>
      <c r="I136" s="34" t="n">
        <f aca="false">+IF(E136=0,0,E136*0.03)</f>
        <v>0</v>
      </c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customFormat="false" ht="16.4" hidden="false" customHeight="false" outlineLevel="0" collapsed="false">
      <c r="A137" s="123" t="n">
        <v>45444</v>
      </c>
      <c r="B137" s="31" t="s">
        <v>153</v>
      </c>
      <c r="C137" s="129"/>
      <c r="D137" s="129"/>
      <c r="E137" s="19" t="n">
        <f aca="false">F137*0.03</f>
        <v>0</v>
      </c>
      <c r="F137" s="33" t="n">
        <v>0</v>
      </c>
      <c r="G137" s="131"/>
      <c r="H137" s="35" t="n">
        <v>0</v>
      </c>
      <c r="I137" s="34" t="n">
        <f aca="false">+IF(E137=0,0,E137*0.03)</f>
        <v>0</v>
      </c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customFormat="false" ht="16.4" hidden="false" customHeight="false" outlineLevel="0" collapsed="false">
      <c r="A138" s="123" t="n">
        <v>45444</v>
      </c>
      <c r="B138" s="31" t="s">
        <v>247</v>
      </c>
      <c r="C138" s="129"/>
      <c r="D138" s="129"/>
      <c r="E138" s="19" t="n">
        <f aca="false">F138*0.03</f>
        <v>0</v>
      </c>
      <c r="F138" s="33" t="n">
        <v>0</v>
      </c>
      <c r="G138" s="131"/>
      <c r="H138" s="35" t="n">
        <v>0</v>
      </c>
      <c r="I138" s="34" t="n">
        <f aca="false">+IF(E138=0,0,E138*0.03)</f>
        <v>0</v>
      </c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customFormat="false" ht="16.4" hidden="false" customHeight="false" outlineLevel="0" collapsed="false">
      <c r="A139" s="123" t="n">
        <v>45444</v>
      </c>
      <c r="B139" s="31" t="s">
        <v>246</v>
      </c>
      <c r="C139" s="129"/>
      <c r="D139" s="129"/>
      <c r="E139" s="19" t="n">
        <f aca="false">F139*0.03</f>
        <v>0</v>
      </c>
      <c r="F139" s="33" t="n">
        <v>0</v>
      </c>
      <c r="G139" s="131"/>
      <c r="H139" s="35" t="n">
        <v>0</v>
      </c>
      <c r="I139" s="34" t="n">
        <f aca="false">+IF(E139=0,0,E139*0.03)</f>
        <v>0</v>
      </c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customFormat="false" ht="16.4" hidden="false" customHeight="false" outlineLevel="0" collapsed="false">
      <c r="A140" s="123" t="n">
        <v>45444</v>
      </c>
      <c r="B140" s="31" t="s">
        <v>239</v>
      </c>
      <c r="C140" s="129"/>
      <c r="D140" s="129"/>
      <c r="E140" s="19" t="n">
        <f aca="false">F140*0.03</f>
        <v>0</v>
      </c>
      <c r="F140" s="33" t="n">
        <v>0</v>
      </c>
      <c r="G140" s="131"/>
      <c r="H140" s="35" t="n">
        <v>0</v>
      </c>
      <c r="I140" s="34" t="n">
        <f aca="false">+IF(E140=0,0,E140*0.03)</f>
        <v>0</v>
      </c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customFormat="false" ht="16.4" hidden="false" customHeight="false" outlineLevel="0" collapsed="false">
      <c r="A141" s="123" t="n">
        <v>45444</v>
      </c>
      <c r="B141" s="31" t="s">
        <v>7</v>
      </c>
      <c r="C141" s="129"/>
      <c r="D141" s="129"/>
      <c r="E141" s="19" t="n">
        <f aca="false">F141*0.03</f>
        <v>0</v>
      </c>
      <c r="F141" s="33" t="n">
        <v>0</v>
      </c>
      <c r="G141" s="131"/>
      <c r="H141" s="35" t="n">
        <v>0</v>
      </c>
      <c r="I141" s="34" t="n">
        <f aca="false">+IF(E141=0,0,E141*0.03)</f>
        <v>0</v>
      </c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customFormat="false" ht="16.4" hidden="false" customHeight="false" outlineLevel="0" collapsed="false">
      <c r="A142" s="123" t="n">
        <v>45444</v>
      </c>
      <c r="B142" s="31" t="s">
        <v>240</v>
      </c>
      <c r="C142" s="129"/>
      <c r="D142" s="129"/>
      <c r="E142" s="19" t="n">
        <f aca="false">F142*0.03</f>
        <v>0</v>
      </c>
      <c r="F142" s="33" t="n">
        <v>0</v>
      </c>
      <c r="G142" s="131"/>
      <c r="H142" s="35" t="n">
        <v>0</v>
      </c>
      <c r="I142" s="34" t="n">
        <f aca="false">+IF(E142=0,0,E142*0.03)</f>
        <v>0</v>
      </c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customFormat="false" ht="16.4" hidden="false" customHeight="false" outlineLevel="0" collapsed="false">
      <c r="A143" s="123" t="n">
        <v>45444</v>
      </c>
      <c r="B143" s="31" t="s">
        <v>153</v>
      </c>
      <c r="C143" s="129"/>
      <c r="D143" s="129"/>
      <c r="E143" s="19" t="n">
        <f aca="false">F143*0.03</f>
        <v>0</v>
      </c>
      <c r="F143" s="33" t="n">
        <v>0</v>
      </c>
      <c r="G143" s="131"/>
      <c r="H143" s="35" t="n">
        <v>0</v>
      </c>
      <c r="I143" s="34" t="n">
        <f aca="false">+IF(E143=0,0,E143*0.03)</f>
        <v>0</v>
      </c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customFormat="false" ht="16.4" hidden="false" customHeight="false" outlineLevel="0" collapsed="false">
      <c r="A144" s="123" t="n">
        <v>45444</v>
      </c>
      <c r="B144" s="31" t="s">
        <v>247</v>
      </c>
      <c r="C144" s="129"/>
      <c r="D144" s="129"/>
      <c r="E144" s="19" t="n">
        <f aca="false">F144*0.03</f>
        <v>0</v>
      </c>
      <c r="F144" s="33" t="n">
        <v>0</v>
      </c>
      <c r="G144" s="131"/>
      <c r="H144" s="35" t="n">
        <v>0</v>
      </c>
      <c r="I144" s="34" t="n">
        <f aca="false">+IF(E144=0,0,E144*0.03)</f>
        <v>0</v>
      </c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customFormat="false" ht="16.4" hidden="false" customHeight="false" outlineLevel="0" collapsed="false">
      <c r="A145" s="123" t="n">
        <v>45444</v>
      </c>
      <c r="B145" s="31" t="s">
        <v>246</v>
      </c>
      <c r="C145" s="129"/>
      <c r="D145" s="129"/>
      <c r="E145" s="19" t="n">
        <f aca="false">F145*0.03</f>
        <v>0</v>
      </c>
      <c r="F145" s="33" t="n">
        <v>0</v>
      </c>
      <c r="G145" s="131"/>
      <c r="H145" s="35" t="n">
        <v>0</v>
      </c>
      <c r="I145" s="34" t="n">
        <f aca="false">+IF(E145=0,0,E145*0.03)</f>
        <v>0</v>
      </c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customFormat="false" ht="16.4" hidden="false" customHeight="false" outlineLevel="0" collapsed="false">
      <c r="A146" s="123" t="n">
        <v>45444</v>
      </c>
      <c r="B146" s="31" t="s">
        <v>239</v>
      </c>
      <c r="C146" s="129"/>
      <c r="D146" s="129"/>
      <c r="E146" s="19" t="n">
        <f aca="false">F146*0.03</f>
        <v>0</v>
      </c>
      <c r="F146" s="33" t="n">
        <v>0</v>
      </c>
      <c r="G146" s="131"/>
      <c r="H146" s="35" t="n">
        <v>0</v>
      </c>
      <c r="I146" s="34" t="n">
        <f aca="false">+IF(E146=0,0,E146*0.03)</f>
        <v>0</v>
      </c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customFormat="false" ht="16.4" hidden="false" customHeight="false" outlineLevel="0" collapsed="false">
      <c r="A147" s="123" t="n">
        <v>45444</v>
      </c>
      <c r="B147" s="31" t="s">
        <v>7</v>
      </c>
      <c r="C147" s="129"/>
      <c r="D147" s="129"/>
      <c r="E147" s="19" t="n">
        <f aca="false">F147*0.03</f>
        <v>0</v>
      </c>
      <c r="F147" s="33" t="n">
        <v>0</v>
      </c>
      <c r="G147" s="131"/>
      <c r="H147" s="35" t="n">
        <v>0</v>
      </c>
      <c r="I147" s="34" t="n">
        <f aca="false">+IF(E147=0,0,E147*0.03)</f>
        <v>0</v>
      </c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customFormat="false" ht="16.4" hidden="false" customHeight="false" outlineLevel="0" collapsed="false">
      <c r="A148" s="123" t="n">
        <v>45444</v>
      </c>
      <c r="B148" s="31" t="s">
        <v>240</v>
      </c>
      <c r="C148" s="129"/>
      <c r="D148" s="129"/>
      <c r="E148" s="19" t="n">
        <f aca="false">F148*0.03</f>
        <v>0</v>
      </c>
      <c r="F148" s="33" t="n">
        <v>0</v>
      </c>
      <c r="G148" s="131"/>
      <c r="H148" s="35" t="n">
        <v>0</v>
      </c>
      <c r="I148" s="34" t="n">
        <f aca="false">+IF(E148=0,0,E148*0.03)</f>
        <v>0</v>
      </c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customFormat="false" ht="16.4" hidden="false" customHeight="false" outlineLevel="0" collapsed="false">
      <c r="A149" s="123" t="n">
        <v>45444</v>
      </c>
      <c r="B149" s="31" t="s">
        <v>153</v>
      </c>
      <c r="C149" s="129"/>
      <c r="D149" s="129"/>
      <c r="E149" s="19" t="n">
        <f aca="false">F149*0.03</f>
        <v>0</v>
      </c>
      <c r="F149" s="33" t="n">
        <v>0</v>
      </c>
      <c r="G149" s="131"/>
      <c r="H149" s="35" t="n">
        <v>0</v>
      </c>
      <c r="I149" s="34" t="n">
        <f aca="false">+IF(E149=0,0,E149*0.03)</f>
        <v>0</v>
      </c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customFormat="false" ht="16.4" hidden="false" customHeight="false" outlineLevel="0" collapsed="false">
      <c r="A150" s="123" t="n">
        <v>45444</v>
      </c>
      <c r="B150" s="31" t="s">
        <v>247</v>
      </c>
      <c r="C150" s="129"/>
      <c r="D150" s="129"/>
      <c r="E150" s="19" t="n">
        <f aca="false">F150*0.03</f>
        <v>0</v>
      </c>
      <c r="F150" s="33" t="n">
        <v>0</v>
      </c>
      <c r="G150" s="131"/>
      <c r="H150" s="35" t="n">
        <v>0</v>
      </c>
      <c r="I150" s="34" t="n">
        <f aca="false">+IF(E150=0,0,E150*0.03)</f>
        <v>0</v>
      </c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customFormat="false" ht="16.4" hidden="false" customHeight="false" outlineLevel="0" collapsed="false">
      <c r="A151" s="123" t="n">
        <v>45444</v>
      </c>
      <c r="B151" s="31" t="s">
        <v>246</v>
      </c>
      <c r="C151" s="129"/>
      <c r="D151" s="129"/>
      <c r="E151" s="19" t="n">
        <f aca="false">F151*0.03</f>
        <v>0</v>
      </c>
      <c r="F151" s="33" t="n">
        <v>0</v>
      </c>
      <c r="G151" s="131"/>
      <c r="H151" s="35" t="n">
        <v>0</v>
      </c>
      <c r="I151" s="34" t="n">
        <f aca="false">+IF(E151=0,0,E151*0.03)</f>
        <v>0</v>
      </c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customFormat="false" ht="16.4" hidden="false" customHeight="false" outlineLevel="0" collapsed="false">
      <c r="A152" s="123" t="n">
        <v>45444</v>
      </c>
      <c r="B152" s="31" t="s">
        <v>239</v>
      </c>
      <c r="C152" s="129"/>
      <c r="D152" s="129"/>
      <c r="E152" s="19" t="n">
        <f aca="false">F152*0.03</f>
        <v>0</v>
      </c>
      <c r="F152" s="33" t="n">
        <v>0</v>
      </c>
      <c r="G152" s="131"/>
      <c r="H152" s="35" t="n">
        <v>0</v>
      </c>
      <c r="I152" s="34" t="n">
        <f aca="false">+IF(E152=0,0,E152*0.03)</f>
        <v>0</v>
      </c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customFormat="false" ht="16.4" hidden="false" customHeight="false" outlineLevel="0" collapsed="false">
      <c r="A153" s="123" t="n">
        <v>45444</v>
      </c>
      <c r="B153" s="31" t="s">
        <v>7</v>
      </c>
      <c r="C153" s="129"/>
      <c r="D153" s="129"/>
      <c r="E153" s="19" t="n">
        <f aca="false">F153*0.03</f>
        <v>0</v>
      </c>
      <c r="F153" s="33" t="n">
        <v>0</v>
      </c>
      <c r="G153" s="131"/>
      <c r="H153" s="35" t="n">
        <v>0</v>
      </c>
      <c r="I153" s="34" t="n">
        <f aca="false">+IF(E153=0,0,E153*0.03)</f>
        <v>0</v>
      </c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customFormat="false" ht="16.4" hidden="false" customHeight="false" outlineLevel="0" collapsed="false">
      <c r="A154" s="123" t="n">
        <v>45444</v>
      </c>
      <c r="B154" s="31" t="s">
        <v>240</v>
      </c>
      <c r="C154" s="129"/>
      <c r="D154" s="129"/>
      <c r="E154" s="19" t="n">
        <f aca="false">F154*0.03</f>
        <v>0</v>
      </c>
      <c r="F154" s="33" t="n">
        <v>0</v>
      </c>
      <c r="G154" s="131"/>
      <c r="H154" s="35" t="n">
        <v>0</v>
      </c>
      <c r="I154" s="34" t="n">
        <f aca="false">+IF(E154=0,0,E154*0.03)</f>
        <v>0</v>
      </c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customFormat="false" ht="16.4" hidden="false" customHeight="false" outlineLevel="0" collapsed="false">
      <c r="A155" s="123" t="n">
        <v>45444</v>
      </c>
      <c r="B155" s="31" t="s">
        <v>153</v>
      </c>
      <c r="C155" s="129"/>
      <c r="D155" s="129"/>
      <c r="E155" s="19" t="n">
        <f aca="false">F155*0.03</f>
        <v>0</v>
      </c>
      <c r="F155" s="33" t="n">
        <v>0</v>
      </c>
      <c r="G155" s="131"/>
      <c r="H155" s="35" t="n">
        <v>0</v>
      </c>
      <c r="I155" s="34" t="n">
        <f aca="false">+IF(E155=0,0,E155*0.03)</f>
        <v>0</v>
      </c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customFormat="false" ht="16.4" hidden="false" customHeight="false" outlineLevel="0" collapsed="false">
      <c r="A156" s="123" t="n">
        <v>45444</v>
      </c>
      <c r="B156" s="31" t="s">
        <v>247</v>
      </c>
      <c r="C156" s="129"/>
      <c r="D156" s="129"/>
      <c r="E156" s="19" t="n">
        <f aca="false">F156*0.03</f>
        <v>0</v>
      </c>
      <c r="F156" s="33" t="n">
        <v>0</v>
      </c>
      <c r="G156" s="131"/>
      <c r="H156" s="35" t="n">
        <v>0</v>
      </c>
      <c r="I156" s="34" t="n">
        <f aca="false">+IF(E156=0,0,E156*0.03)</f>
        <v>0</v>
      </c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customFormat="false" ht="16.4" hidden="false" customHeight="false" outlineLevel="0" collapsed="false">
      <c r="A157" s="123" t="n">
        <v>45444</v>
      </c>
      <c r="B157" s="31" t="s">
        <v>246</v>
      </c>
      <c r="C157" s="129"/>
      <c r="D157" s="129"/>
      <c r="E157" s="19" t="n">
        <f aca="false">F157*0.03</f>
        <v>0</v>
      </c>
      <c r="F157" s="33" t="n">
        <v>0</v>
      </c>
      <c r="G157" s="131"/>
      <c r="H157" s="35" t="n">
        <v>0</v>
      </c>
      <c r="I157" s="34" t="n">
        <f aca="false">+IF(E157=0,0,E157*0.03)</f>
        <v>0</v>
      </c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customFormat="false" ht="16.4" hidden="false" customHeight="false" outlineLevel="0" collapsed="false">
      <c r="A158" s="123" t="n">
        <v>45444</v>
      </c>
      <c r="B158" s="31" t="s">
        <v>239</v>
      </c>
      <c r="C158" s="129"/>
      <c r="D158" s="129"/>
      <c r="E158" s="19" t="n">
        <f aca="false">F158*0.03</f>
        <v>0</v>
      </c>
      <c r="F158" s="33" t="n">
        <v>0</v>
      </c>
      <c r="G158" s="131"/>
      <c r="H158" s="35" t="n">
        <v>0</v>
      </c>
      <c r="I158" s="34" t="n">
        <f aca="false">+IF(E158=0,0,E158*0.03)</f>
        <v>0</v>
      </c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customFormat="false" ht="16.4" hidden="false" customHeight="false" outlineLevel="0" collapsed="false">
      <c r="A159" s="123" t="n">
        <v>45444</v>
      </c>
      <c r="B159" s="31" t="s">
        <v>7</v>
      </c>
      <c r="C159" s="129"/>
      <c r="D159" s="129"/>
      <c r="E159" s="19" t="n">
        <f aca="false">F159*0.03</f>
        <v>0</v>
      </c>
      <c r="F159" s="33" t="n">
        <v>0</v>
      </c>
      <c r="G159" s="131"/>
      <c r="H159" s="35" t="n">
        <v>0</v>
      </c>
      <c r="I159" s="34" t="n">
        <f aca="false">+IF(E159=0,0,E159*0.03)</f>
        <v>0</v>
      </c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customFormat="false" ht="16.4" hidden="false" customHeight="false" outlineLevel="0" collapsed="false">
      <c r="A160" s="123" t="n">
        <v>45444</v>
      </c>
      <c r="B160" s="31" t="s">
        <v>240</v>
      </c>
      <c r="C160" s="129"/>
      <c r="D160" s="129"/>
      <c r="E160" s="19" t="n">
        <f aca="false">F160*0.03</f>
        <v>0</v>
      </c>
      <c r="F160" s="33" t="n">
        <v>0</v>
      </c>
      <c r="G160" s="131"/>
      <c r="H160" s="35" t="n">
        <v>0</v>
      </c>
      <c r="I160" s="34" t="n">
        <f aca="false">+IF(E160=0,0,E160*0.03)</f>
        <v>0</v>
      </c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customFormat="false" ht="16.4" hidden="false" customHeight="false" outlineLevel="0" collapsed="false">
      <c r="A161" s="123" t="n">
        <v>45444</v>
      </c>
      <c r="B161" s="31" t="s">
        <v>153</v>
      </c>
      <c r="C161" s="129"/>
      <c r="D161" s="129"/>
      <c r="E161" s="19" t="n">
        <f aca="false">F161*0.03</f>
        <v>0</v>
      </c>
      <c r="F161" s="33" t="n">
        <v>0</v>
      </c>
      <c r="G161" s="131"/>
      <c r="H161" s="35" t="n">
        <v>0</v>
      </c>
      <c r="I161" s="34" t="n">
        <f aca="false">+IF(E161=0,0,E161*0.03)</f>
        <v>0</v>
      </c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customFormat="false" ht="16.4" hidden="false" customHeight="false" outlineLevel="0" collapsed="false">
      <c r="A162" s="123" t="n">
        <v>45444</v>
      </c>
      <c r="B162" s="31" t="s">
        <v>247</v>
      </c>
      <c r="C162" s="129"/>
      <c r="D162" s="129"/>
      <c r="E162" s="19" t="n">
        <f aca="false">F162*0.03</f>
        <v>0</v>
      </c>
      <c r="F162" s="33" t="n">
        <v>0</v>
      </c>
      <c r="G162" s="131"/>
      <c r="H162" s="35" t="n">
        <v>0</v>
      </c>
      <c r="I162" s="34" t="n">
        <f aca="false">+IF(E162=0,0,E162*0.03)</f>
        <v>0</v>
      </c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customFormat="false" ht="16.4" hidden="false" customHeight="false" outlineLevel="0" collapsed="false">
      <c r="A163" s="123" t="n">
        <v>45444</v>
      </c>
      <c r="B163" s="31" t="s">
        <v>246</v>
      </c>
      <c r="C163" s="129"/>
      <c r="D163" s="129"/>
      <c r="E163" s="19" t="n">
        <f aca="false">F163*0.03</f>
        <v>0</v>
      </c>
      <c r="F163" s="33" t="n">
        <v>0</v>
      </c>
      <c r="G163" s="131"/>
      <c r="H163" s="35" t="n">
        <v>0</v>
      </c>
      <c r="I163" s="34" t="n">
        <f aca="false">+IF(E163=0,0,E163*0.03)</f>
        <v>0</v>
      </c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customFormat="false" ht="16.4" hidden="false" customHeight="false" outlineLevel="0" collapsed="false">
      <c r="A164" s="123" t="n">
        <v>45444</v>
      </c>
      <c r="B164" s="31" t="s">
        <v>239</v>
      </c>
      <c r="C164" s="129"/>
      <c r="D164" s="129"/>
      <c r="E164" s="19" t="n">
        <f aca="false">F164*0.03</f>
        <v>0</v>
      </c>
      <c r="F164" s="33" t="n">
        <v>0</v>
      </c>
      <c r="G164" s="131"/>
      <c r="H164" s="35" t="n">
        <v>0</v>
      </c>
      <c r="I164" s="34" t="n">
        <f aca="false">+IF(E164=0,0,E164*0.03)</f>
        <v>0</v>
      </c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customFormat="false" ht="16.4" hidden="false" customHeight="false" outlineLevel="0" collapsed="false">
      <c r="A165" s="123" t="n">
        <v>45444</v>
      </c>
      <c r="B165" s="31" t="s">
        <v>7</v>
      </c>
      <c r="C165" s="129"/>
      <c r="D165" s="129"/>
      <c r="E165" s="19" t="n">
        <f aca="false">F165*0.03</f>
        <v>0</v>
      </c>
      <c r="F165" s="33" t="n">
        <v>0</v>
      </c>
      <c r="G165" s="131"/>
      <c r="H165" s="35" t="n">
        <v>0</v>
      </c>
      <c r="I165" s="34" t="n">
        <f aca="false">+IF(E165=0,0,E165*0.03)</f>
        <v>0</v>
      </c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customFormat="false" ht="16.4" hidden="false" customHeight="false" outlineLevel="0" collapsed="false">
      <c r="A166" s="123" t="n">
        <v>45444</v>
      </c>
      <c r="B166" s="31" t="s">
        <v>240</v>
      </c>
      <c r="C166" s="129"/>
      <c r="D166" s="129"/>
      <c r="E166" s="19" t="n">
        <f aca="false">F166*0.03</f>
        <v>0</v>
      </c>
      <c r="F166" s="33" t="n">
        <v>0</v>
      </c>
      <c r="G166" s="131"/>
      <c r="H166" s="35" t="n">
        <v>0</v>
      </c>
      <c r="I166" s="34" t="n">
        <f aca="false">+IF(E166=0,0,E166*0.03)</f>
        <v>0</v>
      </c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customFormat="false" ht="16.4" hidden="false" customHeight="false" outlineLevel="0" collapsed="false">
      <c r="A167" s="123" t="n">
        <v>45444</v>
      </c>
      <c r="B167" s="31" t="s">
        <v>153</v>
      </c>
      <c r="C167" s="129"/>
      <c r="D167" s="129"/>
      <c r="E167" s="19" t="n">
        <f aca="false">F167*0.03</f>
        <v>0</v>
      </c>
      <c r="F167" s="33" t="n">
        <v>0</v>
      </c>
      <c r="G167" s="131"/>
      <c r="H167" s="35" t="n">
        <v>0</v>
      </c>
      <c r="I167" s="34" t="n">
        <f aca="false">+IF(E167=0,0,E167*0.03)</f>
        <v>0</v>
      </c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customFormat="false" ht="16.4" hidden="false" customHeight="false" outlineLevel="0" collapsed="false">
      <c r="A168" s="123" t="n">
        <v>45444</v>
      </c>
      <c r="B168" s="31" t="s">
        <v>247</v>
      </c>
      <c r="C168" s="129"/>
      <c r="D168" s="129"/>
      <c r="E168" s="19" t="n">
        <f aca="false">F168*0.03</f>
        <v>0</v>
      </c>
      <c r="F168" s="33" t="n">
        <v>0</v>
      </c>
      <c r="G168" s="131"/>
      <c r="H168" s="35" t="n">
        <v>0</v>
      </c>
      <c r="I168" s="34" t="n">
        <f aca="false">+IF(E168=0,0,E168*0.03)</f>
        <v>0</v>
      </c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customFormat="false" ht="16.4" hidden="false" customHeight="false" outlineLevel="0" collapsed="false">
      <c r="A169" s="123" t="n">
        <v>45444</v>
      </c>
      <c r="B169" s="31" t="s">
        <v>246</v>
      </c>
      <c r="C169" s="129"/>
      <c r="D169" s="129"/>
      <c r="E169" s="19" t="n">
        <f aca="false">F169*0.03</f>
        <v>0</v>
      </c>
      <c r="F169" s="33" t="n">
        <v>0</v>
      </c>
      <c r="G169" s="131"/>
      <c r="H169" s="35" t="n">
        <v>0</v>
      </c>
      <c r="I169" s="34" t="n">
        <f aca="false">+IF(E169=0,0,E169*0.03)</f>
        <v>0</v>
      </c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customFormat="false" ht="16.4" hidden="false" customHeight="false" outlineLevel="0" collapsed="false">
      <c r="A170" s="123" t="n">
        <v>45444</v>
      </c>
      <c r="B170" s="31" t="s">
        <v>239</v>
      </c>
      <c r="C170" s="129"/>
      <c r="D170" s="129"/>
      <c r="E170" s="19" t="n">
        <f aca="false">F170*0.03</f>
        <v>0</v>
      </c>
      <c r="F170" s="33" t="n">
        <v>0</v>
      </c>
      <c r="G170" s="131"/>
      <c r="H170" s="35" t="n">
        <v>0</v>
      </c>
      <c r="I170" s="34" t="n">
        <f aca="false">+IF(E170=0,0,E170*0.03)</f>
        <v>0</v>
      </c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customFormat="false" ht="16.4" hidden="false" customHeight="false" outlineLevel="0" collapsed="false">
      <c r="A171" s="123" t="n">
        <v>45444</v>
      </c>
      <c r="B171" s="31" t="s">
        <v>7</v>
      </c>
      <c r="C171" s="129"/>
      <c r="D171" s="129"/>
      <c r="E171" s="19" t="n">
        <f aca="false">F171*0.03</f>
        <v>0</v>
      </c>
      <c r="F171" s="33" t="n">
        <v>0</v>
      </c>
      <c r="G171" s="131"/>
      <c r="H171" s="35" t="n">
        <v>0</v>
      </c>
      <c r="I171" s="34" t="n">
        <f aca="false">+IF(E171=0,0,E171*0.03)</f>
        <v>0</v>
      </c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customFormat="false" ht="16.4" hidden="false" customHeight="false" outlineLevel="0" collapsed="false">
      <c r="A172" s="123" t="n">
        <v>45444</v>
      </c>
      <c r="B172" s="31" t="s">
        <v>240</v>
      </c>
      <c r="C172" s="129"/>
      <c r="D172" s="129"/>
      <c r="E172" s="19" t="n">
        <f aca="false">F172*0.03</f>
        <v>0</v>
      </c>
      <c r="F172" s="33" t="n">
        <v>0</v>
      </c>
      <c r="G172" s="131"/>
      <c r="H172" s="35" t="n">
        <v>0</v>
      </c>
      <c r="I172" s="34" t="n">
        <f aca="false">+IF(E172=0,0,E172*0.03)</f>
        <v>0</v>
      </c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customFormat="false" ht="16.4" hidden="false" customHeight="false" outlineLevel="0" collapsed="false">
      <c r="A173" s="123" t="n">
        <v>45444</v>
      </c>
      <c r="B173" s="31" t="s">
        <v>153</v>
      </c>
      <c r="C173" s="129"/>
      <c r="D173" s="129"/>
      <c r="E173" s="19" t="n">
        <f aca="false">F173*0.03</f>
        <v>0</v>
      </c>
      <c r="F173" s="33" t="n">
        <v>0</v>
      </c>
      <c r="G173" s="131"/>
      <c r="H173" s="35" t="n">
        <v>0</v>
      </c>
      <c r="I173" s="34" t="n">
        <f aca="false">+IF(E173=0,0,E173*0.03)</f>
        <v>0</v>
      </c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customFormat="false" ht="16.4" hidden="false" customHeight="false" outlineLevel="0" collapsed="false">
      <c r="A174" s="123" t="n">
        <v>45444</v>
      </c>
      <c r="B174" s="31" t="s">
        <v>247</v>
      </c>
      <c r="C174" s="129"/>
      <c r="D174" s="129"/>
      <c r="E174" s="19" t="n">
        <f aca="false">F174*0.03</f>
        <v>0</v>
      </c>
      <c r="F174" s="33" t="n">
        <v>0</v>
      </c>
      <c r="G174" s="131"/>
      <c r="H174" s="35" t="n">
        <v>0</v>
      </c>
      <c r="I174" s="34" t="n">
        <f aca="false">+IF(E174=0,0,E174*0.03)</f>
        <v>0</v>
      </c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customFormat="false" ht="16.4" hidden="false" customHeight="false" outlineLevel="0" collapsed="false">
      <c r="A175" s="123" t="n">
        <v>45444</v>
      </c>
      <c r="B175" s="31" t="s">
        <v>246</v>
      </c>
      <c r="C175" s="129"/>
      <c r="D175" s="129"/>
      <c r="E175" s="19" t="n">
        <f aca="false">F175*0.03</f>
        <v>0</v>
      </c>
      <c r="F175" s="33" t="n">
        <v>0</v>
      </c>
      <c r="G175" s="131"/>
      <c r="H175" s="35" t="n">
        <v>0</v>
      </c>
      <c r="I175" s="34" t="n">
        <f aca="false">+IF(E175=0,0,E175*0.03)</f>
        <v>0</v>
      </c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customFormat="false" ht="16.4" hidden="false" customHeight="false" outlineLevel="0" collapsed="false">
      <c r="A176" s="123" t="n">
        <v>45444</v>
      </c>
      <c r="B176" s="31" t="s">
        <v>239</v>
      </c>
      <c r="C176" s="129"/>
      <c r="D176" s="129"/>
      <c r="E176" s="19" t="n">
        <f aca="false">F176*0.03</f>
        <v>0</v>
      </c>
      <c r="F176" s="33" t="n">
        <v>0</v>
      </c>
      <c r="G176" s="131"/>
      <c r="H176" s="35" t="n">
        <v>0</v>
      </c>
      <c r="I176" s="34" t="n">
        <f aca="false">+IF(E176=0,0,E176*0.03)</f>
        <v>0</v>
      </c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customFormat="false" ht="16.4" hidden="false" customHeight="false" outlineLevel="0" collapsed="false">
      <c r="A177" s="123" t="n">
        <v>45444</v>
      </c>
      <c r="B177" s="31" t="s">
        <v>7</v>
      </c>
      <c r="C177" s="129"/>
      <c r="D177" s="129"/>
      <c r="E177" s="19" t="n">
        <f aca="false">F177*0.03</f>
        <v>0</v>
      </c>
      <c r="F177" s="33" t="n">
        <v>0</v>
      </c>
      <c r="G177" s="131"/>
      <c r="H177" s="35" t="n">
        <v>0</v>
      </c>
      <c r="I177" s="34" t="n">
        <f aca="false">+IF(E177=0,0,E177*0.03)</f>
        <v>0</v>
      </c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customFormat="false" ht="16.4" hidden="false" customHeight="false" outlineLevel="0" collapsed="false">
      <c r="A178" s="123" t="n">
        <v>45444</v>
      </c>
      <c r="B178" s="31" t="s">
        <v>240</v>
      </c>
      <c r="C178" s="129"/>
      <c r="D178" s="129"/>
      <c r="E178" s="19" t="n">
        <f aca="false">F178*0.03</f>
        <v>0</v>
      </c>
      <c r="F178" s="33" t="n">
        <v>0</v>
      </c>
      <c r="G178" s="131"/>
      <c r="H178" s="35" t="n">
        <v>0</v>
      </c>
      <c r="I178" s="34" t="n">
        <f aca="false">+IF(E178=0,0,E178*0.03)</f>
        <v>0</v>
      </c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customFormat="false" ht="16.4" hidden="false" customHeight="false" outlineLevel="0" collapsed="false">
      <c r="A179" s="123" t="n">
        <v>45444</v>
      </c>
      <c r="B179" s="31" t="s">
        <v>153</v>
      </c>
      <c r="C179" s="129"/>
      <c r="D179" s="129"/>
      <c r="E179" s="19" t="n">
        <f aca="false">F179*0.03</f>
        <v>0</v>
      </c>
      <c r="F179" s="33" t="n">
        <v>0</v>
      </c>
      <c r="G179" s="131"/>
      <c r="H179" s="35" t="n">
        <v>0</v>
      </c>
      <c r="I179" s="34" t="n">
        <f aca="false">+IF(E179=0,0,E179*0.03)</f>
        <v>0</v>
      </c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customFormat="false" ht="16.4" hidden="false" customHeight="false" outlineLevel="0" collapsed="false">
      <c r="A180" s="123" t="n">
        <v>45444</v>
      </c>
      <c r="B180" s="31" t="s">
        <v>247</v>
      </c>
      <c r="C180" s="129"/>
      <c r="D180" s="129"/>
      <c r="E180" s="19" t="n">
        <f aca="false">F180*0.03</f>
        <v>0</v>
      </c>
      <c r="F180" s="33" t="n">
        <v>0</v>
      </c>
      <c r="G180" s="131"/>
      <c r="H180" s="35" t="n">
        <v>0</v>
      </c>
      <c r="I180" s="34" t="n">
        <f aca="false">+IF(E180=0,0,E180*0.03)</f>
        <v>0</v>
      </c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customFormat="false" ht="16.4" hidden="false" customHeight="false" outlineLevel="0" collapsed="false">
      <c r="A181" s="123" t="n">
        <v>45444</v>
      </c>
      <c r="B181" s="31" t="s">
        <v>246</v>
      </c>
      <c r="C181" s="129"/>
      <c r="D181" s="129"/>
      <c r="E181" s="19" t="n">
        <f aca="false">F181*0.03</f>
        <v>0</v>
      </c>
      <c r="F181" s="33" t="n">
        <v>0</v>
      </c>
      <c r="G181" s="131"/>
      <c r="H181" s="35" t="n">
        <v>0</v>
      </c>
      <c r="I181" s="34" t="n">
        <f aca="false">+IF(E181=0,0,E181*0.03)</f>
        <v>0</v>
      </c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customFormat="false" ht="16.4" hidden="false" customHeight="false" outlineLevel="0" collapsed="false">
      <c r="A182" s="123" t="n">
        <v>45444</v>
      </c>
      <c r="B182" s="31" t="s">
        <v>239</v>
      </c>
      <c r="C182" s="129"/>
      <c r="D182" s="129"/>
      <c r="E182" s="19" t="n">
        <f aca="false">F182*0.03</f>
        <v>0</v>
      </c>
      <c r="F182" s="33" t="n">
        <v>0</v>
      </c>
      <c r="G182" s="131"/>
      <c r="H182" s="35" t="n">
        <v>0</v>
      </c>
      <c r="I182" s="34" t="n">
        <f aca="false">+IF(E182=0,0,E182*0.03)</f>
        <v>0</v>
      </c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customFormat="false" ht="16.4" hidden="false" customHeight="false" outlineLevel="0" collapsed="false">
      <c r="A183" s="123" t="n">
        <v>45444</v>
      </c>
      <c r="B183" s="31" t="s">
        <v>7</v>
      </c>
      <c r="C183" s="129"/>
      <c r="D183" s="129"/>
      <c r="E183" s="19" t="n">
        <f aca="false">F183*0.03</f>
        <v>0</v>
      </c>
      <c r="F183" s="33" t="n">
        <v>0</v>
      </c>
      <c r="G183" s="131"/>
      <c r="H183" s="35" t="n">
        <v>0</v>
      </c>
      <c r="I183" s="34" t="n">
        <f aca="false">+IF(E183=0,0,E183*0.03)</f>
        <v>0</v>
      </c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customFormat="false" ht="16.4" hidden="false" customHeight="false" outlineLevel="0" collapsed="false">
      <c r="A184" s="123" t="n">
        <v>45444</v>
      </c>
      <c r="B184" s="31" t="s">
        <v>240</v>
      </c>
      <c r="C184" s="129"/>
      <c r="D184" s="129"/>
      <c r="E184" s="19" t="n">
        <f aca="false">F184*0.03</f>
        <v>0</v>
      </c>
      <c r="F184" s="33" t="n">
        <v>0</v>
      </c>
      <c r="G184" s="131"/>
      <c r="H184" s="35" t="n">
        <v>0</v>
      </c>
      <c r="I184" s="34" t="n">
        <f aca="false">+IF(E184=0,0,E184*0.03)</f>
        <v>0</v>
      </c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customFormat="false" ht="16.4" hidden="false" customHeight="false" outlineLevel="0" collapsed="false">
      <c r="A185" s="123" t="n">
        <v>45444</v>
      </c>
      <c r="B185" s="31" t="s">
        <v>153</v>
      </c>
      <c r="C185" s="129"/>
      <c r="D185" s="129"/>
      <c r="E185" s="19" t="n">
        <f aca="false">F185*0.03</f>
        <v>0</v>
      </c>
      <c r="F185" s="33" t="n">
        <v>0</v>
      </c>
      <c r="G185" s="131"/>
      <c r="H185" s="35" t="n">
        <v>0</v>
      </c>
      <c r="I185" s="34" t="n">
        <f aca="false">+IF(E185=0,0,E185*0.03)</f>
        <v>0</v>
      </c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customFormat="false" ht="16.4" hidden="false" customHeight="false" outlineLevel="0" collapsed="false">
      <c r="A186" s="123" t="n">
        <v>45444</v>
      </c>
      <c r="B186" s="31" t="s">
        <v>247</v>
      </c>
      <c r="C186" s="129"/>
      <c r="D186" s="129"/>
      <c r="E186" s="19" t="n">
        <f aca="false">F186*0.03</f>
        <v>0</v>
      </c>
      <c r="F186" s="33" t="n">
        <v>0</v>
      </c>
      <c r="G186" s="131"/>
      <c r="H186" s="35" t="n">
        <v>0</v>
      </c>
      <c r="I186" s="34" t="n">
        <f aca="false">+IF(E186=0,0,E186*0.03)</f>
        <v>0</v>
      </c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customFormat="false" ht="16.4" hidden="false" customHeight="false" outlineLevel="0" collapsed="false">
      <c r="A187" s="123" t="n">
        <v>45444</v>
      </c>
      <c r="B187" s="31" t="s">
        <v>246</v>
      </c>
      <c r="C187" s="129"/>
      <c r="D187" s="129"/>
      <c r="E187" s="19" t="n">
        <f aca="false">F187*0.03</f>
        <v>0</v>
      </c>
      <c r="F187" s="33" t="n">
        <v>0</v>
      </c>
      <c r="G187" s="131"/>
      <c r="H187" s="35" t="n">
        <v>0</v>
      </c>
      <c r="I187" s="34" t="n">
        <f aca="false">+IF(E187=0,0,E187*0.03)</f>
        <v>0</v>
      </c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customFormat="false" ht="16.4" hidden="false" customHeight="false" outlineLevel="0" collapsed="false">
      <c r="A188" s="123" t="n">
        <v>45444</v>
      </c>
      <c r="B188" s="31" t="s">
        <v>239</v>
      </c>
      <c r="C188" s="129"/>
      <c r="D188" s="129"/>
      <c r="E188" s="19" t="n">
        <f aca="false">F188*0.03</f>
        <v>0</v>
      </c>
      <c r="F188" s="33" t="n">
        <v>0</v>
      </c>
      <c r="G188" s="131"/>
      <c r="H188" s="35" t="n">
        <v>0</v>
      </c>
      <c r="I188" s="34" t="n">
        <f aca="false">+IF(E188=0,0,E188*0.03)</f>
        <v>0</v>
      </c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customFormat="false" ht="16.4" hidden="false" customHeight="false" outlineLevel="0" collapsed="false">
      <c r="A189" s="123" t="n">
        <v>45444</v>
      </c>
      <c r="B189" s="31" t="s">
        <v>7</v>
      </c>
      <c r="C189" s="129"/>
      <c r="D189" s="129"/>
      <c r="E189" s="19" t="n">
        <f aca="false">F189*0.03</f>
        <v>0</v>
      </c>
      <c r="F189" s="33" t="n">
        <v>0</v>
      </c>
      <c r="G189" s="131"/>
      <c r="H189" s="35" t="n">
        <v>0</v>
      </c>
      <c r="I189" s="34" t="n">
        <f aca="false">+IF(E189=0,0,E189*0.03)</f>
        <v>0</v>
      </c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customFormat="false" ht="16.4" hidden="false" customHeight="false" outlineLevel="0" collapsed="false">
      <c r="A190" s="123" t="n">
        <v>45444</v>
      </c>
      <c r="B190" s="31" t="s">
        <v>240</v>
      </c>
      <c r="C190" s="129"/>
      <c r="D190" s="129"/>
      <c r="E190" s="19" t="n">
        <f aca="false">F190*0.03</f>
        <v>0</v>
      </c>
      <c r="F190" s="33" t="n">
        <v>0</v>
      </c>
      <c r="G190" s="131"/>
      <c r="H190" s="35" t="n">
        <v>0</v>
      </c>
      <c r="I190" s="34" t="n">
        <f aca="false">+IF(E190=0,0,E190*0.03)</f>
        <v>0</v>
      </c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customFormat="false" ht="16.4" hidden="false" customHeight="false" outlineLevel="0" collapsed="false">
      <c r="A191" s="123" t="n">
        <v>45444</v>
      </c>
      <c r="B191" s="31" t="s">
        <v>153</v>
      </c>
      <c r="C191" s="129"/>
      <c r="D191" s="129"/>
      <c r="E191" s="19" t="n">
        <f aca="false">F191*0.03</f>
        <v>0</v>
      </c>
      <c r="F191" s="33" t="n">
        <v>0</v>
      </c>
      <c r="G191" s="131"/>
      <c r="H191" s="35" t="n">
        <v>0</v>
      </c>
      <c r="I191" s="34" t="n">
        <f aca="false">+IF(E191=0,0,E191*0.03)</f>
        <v>0</v>
      </c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customFormat="false" ht="16.4" hidden="false" customHeight="false" outlineLevel="0" collapsed="false">
      <c r="A192" s="123" t="n">
        <v>45444</v>
      </c>
      <c r="B192" s="31" t="s">
        <v>247</v>
      </c>
      <c r="C192" s="129"/>
      <c r="D192" s="129"/>
      <c r="E192" s="19" t="n">
        <f aca="false">F192*0.03</f>
        <v>0</v>
      </c>
      <c r="F192" s="33" t="n">
        <v>0</v>
      </c>
      <c r="G192" s="131"/>
      <c r="H192" s="35" t="n">
        <v>0</v>
      </c>
      <c r="I192" s="34" t="n">
        <f aca="false">+IF(E192=0,0,E192*0.03)</f>
        <v>0</v>
      </c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customFormat="false" ht="16.4" hidden="false" customHeight="false" outlineLevel="0" collapsed="false">
      <c r="A193" s="123" t="n">
        <v>45444</v>
      </c>
      <c r="B193" s="31" t="s">
        <v>246</v>
      </c>
      <c r="C193" s="129"/>
      <c r="D193" s="129"/>
      <c r="E193" s="19" t="n">
        <f aca="false">F193*0.03</f>
        <v>0</v>
      </c>
      <c r="F193" s="33" t="n">
        <v>0</v>
      </c>
      <c r="G193" s="131"/>
      <c r="H193" s="35" t="n">
        <v>0</v>
      </c>
      <c r="I193" s="34" t="n">
        <f aca="false">+IF(E193=0,0,E193*0.03)</f>
        <v>0</v>
      </c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customFormat="false" ht="16.4" hidden="false" customHeight="false" outlineLevel="0" collapsed="false">
      <c r="A194" s="123" t="n">
        <v>45444</v>
      </c>
      <c r="B194" s="31" t="s">
        <v>239</v>
      </c>
      <c r="C194" s="129"/>
      <c r="D194" s="129"/>
      <c r="E194" s="19" t="n">
        <f aca="false">F194*0.03</f>
        <v>0</v>
      </c>
      <c r="F194" s="33" t="n">
        <v>0</v>
      </c>
      <c r="G194" s="131"/>
      <c r="H194" s="35" t="n">
        <v>0</v>
      </c>
      <c r="I194" s="34" t="n">
        <f aca="false">+IF(E194=0,0,E194*0.03)</f>
        <v>0</v>
      </c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customFormat="false" ht="16.4" hidden="false" customHeight="false" outlineLevel="0" collapsed="false">
      <c r="A195" s="123" t="n">
        <v>45444</v>
      </c>
      <c r="B195" s="31" t="s">
        <v>7</v>
      </c>
      <c r="C195" s="129"/>
      <c r="D195" s="129"/>
      <c r="E195" s="19" t="n">
        <f aca="false">F195*0.03</f>
        <v>0</v>
      </c>
      <c r="F195" s="33" t="n">
        <v>0</v>
      </c>
      <c r="G195" s="131"/>
      <c r="H195" s="35" t="n">
        <v>0</v>
      </c>
      <c r="I195" s="34" t="n">
        <f aca="false">+IF(E195=0,0,E195*0.03)</f>
        <v>0</v>
      </c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customFormat="false" ht="16.4" hidden="false" customHeight="false" outlineLevel="0" collapsed="false">
      <c r="A196" s="123" t="n">
        <v>45444</v>
      </c>
      <c r="B196" s="31" t="s">
        <v>240</v>
      </c>
      <c r="C196" s="129"/>
      <c r="D196" s="129"/>
      <c r="E196" s="19" t="n">
        <f aca="false">F196*0.03</f>
        <v>0</v>
      </c>
      <c r="F196" s="33" t="n">
        <v>0</v>
      </c>
      <c r="G196" s="131"/>
      <c r="H196" s="35" t="n">
        <v>0</v>
      </c>
      <c r="I196" s="34" t="n">
        <f aca="false">+IF(E196=0,0,E196*0.03)</f>
        <v>0</v>
      </c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customFormat="false" ht="16.4" hidden="false" customHeight="false" outlineLevel="0" collapsed="false">
      <c r="A197" s="123" t="n">
        <v>45444</v>
      </c>
      <c r="B197" s="31" t="s">
        <v>153</v>
      </c>
      <c r="C197" s="129"/>
      <c r="D197" s="129"/>
      <c r="E197" s="19" t="n">
        <f aca="false">F197*0.03</f>
        <v>0</v>
      </c>
      <c r="F197" s="33" t="n">
        <v>0</v>
      </c>
      <c r="G197" s="131"/>
      <c r="H197" s="35" t="n">
        <v>0</v>
      </c>
      <c r="I197" s="34" t="n">
        <f aca="false">+IF(E197=0,0,E197*0.03)</f>
        <v>0</v>
      </c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customFormat="false" ht="16.4" hidden="false" customHeight="false" outlineLevel="0" collapsed="false">
      <c r="A198" s="123" t="n">
        <v>45444</v>
      </c>
      <c r="B198" s="31" t="s">
        <v>247</v>
      </c>
      <c r="C198" s="129"/>
      <c r="D198" s="129"/>
      <c r="E198" s="19" t="n">
        <f aca="false">F198*0.03</f>
        <v>0</v>
      </c>
      <c r="F198" s="33" t="n">
        <v>0</v>
      </c>
      <c r="G198" s="131"/>
      <c r="H198" s="35" t="n">
        <v>0</v>
      </c>
      <c r="I198" s="34" t="n">
        <f aca="false">+IF(E198=0,0,E198*0.03)</f>
        <v>0</v>
      </c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customFormat="false" ht="16.4" hidden="false" customHeight="false" outlineLevel="0" collapsed="false">
      <c r="A199" s="123" t="n">
        <v>45444</v>
      </c>
      <c r="B199" s="31" t="s">
        <v>246</v>
      </c>
      <c r="C199" s="129"/>
      <c r="D199" s="129"/>
      <c r="E199" s="19" t="n">
        <f aca="false">F199*0.03</f>
        <v>0</v>
      </c>
      <c r="F199" s="33" t="n">
        <v>0</v>
      </c>
      <c r="G199" s="131"/>
      <c r="H199" s="35" t="n">
        <v>0</v>
      </c>
      <c r="I199" s="34" t="n">
        <f aca="false">+IF(E199=0,0,E199*0.03)</f>
        <v>0</v>
      </c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customFormat="false" ht="16.4" hidden="false" customHeight="false" outlineLevel="0" collapsed="false">
      <c r="A200" s="123" t="n">
        <v>45444</v>
      </c>
      <c r="B200" s="31" t="s">
        <v>239</v>
      </c>
      <c r="C200" s="129"/>
      <c r="D200" s="129"/>
      <c r="E200" s="19" t="n">
        <f aca="false">F200*0.03</f>
        <v>0</v>
      </c>
      <c r="F200" s="33" t="n">
        <v>0</v>
      </c>
      <c r="G200" s="131"/>
      <c r="H200" s="35" t="n">
        <v>0</v>
      </c>
      <c r="I200" s="34" t="n">
        <f aca="false">+IF(E200=0,0,E200*0.03)</f>
        <v>0</v>
      </c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customFormat="false" ht="16.4" hidden="false" customHeight="false" outlineLevel="0" collapsed="false">
      <c r="A201" s="123" t="n">
        <v>45444</v>
      </c>
      <c r="B201" s="31" t="s">
        <v>7</v>
      </c>
      <c r="C201" s="129"/>
      <c r="D201" s="129"/>
      <c r="E201" s="19" t="n">
        <f aca="false">F201*0.03</f>
        <v>0</v>
      </c>
      <c r="F201" s="33" t="n">
        <v>0</v>
      </c>
      <c r="G201" s="131"/>
      <c r="H201" s="35" t="n">
        <v>0</v>
      </c>
      <c r="I201" s="34" t="n">
        <f aca="false">+IF(E201=0,0,E201*0.03)</f>
        <v>0</v>
      </c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customFormat="false" ht="16.4" hidden="false" customHeight="false" outlineLevel="0" collapsed="false">
      <c r="A202" s="123" t="n">
        <v>45444</v>
      </c>
      <c r="B202" s="31" t="s">
        <v>240</v>
      </c>
      <c r="C202" s="129"/>
      <c r="D202" s="129"/>
      <c r="E202" s="19" t="n">
        <f aca="false">F202*0.03</f>
        <v>0</v>
      </c>
      <c r="F202" s="33" t="n">
        <v>0</v>
      </c>
      <c r="G202" s="131"/>
      <c r="H202" s="35" t="n">
        <v>0</v>
      </c>
      <c r="I202" s="34" t="n">
        <f aca="false">+IF(E202=0,0,E202*0.03)</f>
        <v>0</v>
      </c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customFormat="false" ht="16.4" hidden="false" customHeight="false" outlineLevel="0" collapsed="false">
      <c r="A203" s="123" t="n">
        <v>45444</v>
      </c>
      <c r="B203" s="31" t="s">
        <v>153</v>
      </c>
      <c r="C203" s="129"/>
      <c r="D203" s="129"/>
      <c r="E203" s="19" t="n">
        <f aca="false">F203*0.03</f>
        <v>0</v>
      </c>
      <c r="F203" s="33" t="n">
        <v>0</v>
      </c>
      <c r="G203" s="131"/>
      <c r="H203" s="35" t="n">
        <v>0</v>
      </c>
      <c r="I203" s="34" t="n">
        <f aca="false">+IF(E203=0,0,E203*0.03)</f>
        <v>0</v>
      </c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customFormat="false" ht="16.4" hidden="false" customHeight="false" outlineLevel="0" collapsed="false">
      <c r="A204" s="123" t="n">
        <v>45444</v>
      </c>
      <c r="B204" s="31" t="s">
        <v>247</v>
      </c>
      <c r="C204" s="129"/>
      <c r="D204" s="129"/>
      <c r="E204" s="19" t="n">
        <f aca="false">F204*0.03</f>
        <v>0</v>
      </c>
      <c r="F204" s="33" t="n">
        <v>0</v>
      </c>
      <c r="G204" s="131"/>
      <c r="H204" s="35" t="n">
        <v>0</v>
      </c>
      <c r="I204" s="34" t="n">
        <f aca="false">+IF(E204=0,0,E204*0.03)</f>
        <v>0</v>
      </c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customFormat="false" ht="16.4" hidden="false" customHeight="false" outlineLevel="0" collapsed="false">
      <c r="A205" s="123" t="n">
        <v>45444</v>
      </c>
      <c r="B205" s="31" t="s">
        <v>246</v>
      </c>
      <c r="C205" s="129"/>
      <c r="D205" s="129"/>
      <c r="E205" s="19" t="n">
        <f aca="false">F205*0.03</f>
        <v>0</v>
      </c>
      <c r="F205" s="33" t="n">
        <v>0</v>
      </c>
      <c r="G205" s="131"/>
      <c r="H205" s="35" t="n">
        <v>0</v>
      </c>
      <c r="I205" s="34" t="n">
        <f aca="false">+IF(E205=0,0,E205*0.03)</f>
        <v>0</v>
      </c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customFormat="false" ht="16.4" hidden="false" customHeight="false" outlineLevel="0" collapsed="false">
      <c r="A206" s="123" t="n">
        <v>45444</v>
      </c>
      <c r="B206" s="31" t="s">
        <v>239</v>
      </c>
      <c r="C206" s="129"/>
      <c r="D206" s="129"/>
      <c r="E206" s="19" t="n">
        <f aca="false">F206*0.03</f>
        <v>0</v>
      </c>
      <c r="F206" s="33" t="n">
        <v>0</v>
      </c>
      <c r="G206" s="131"/>
      <c r="H206" s="35" t="n">
        <v>0</v>
      </c>
      <c r="I206" s="34" t="n">
        <f aca="false">+IF(E206=0,0,E206*0.03)</f>
        <v>0</v>
      </c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customFormat="false" ht="16.4" hidden="false" customHeight="false" outlineLevel="0" collapsed="false">
      <c r="A207" s="123" t="n">
        <v>45444</v>
      </c>
      <c r="B207" s="31" t="s">
        <v>7</v>
      </c>
      <c r="C207" s="129"/>
      <c r="D207" s="129"/>
      <c r="E207" s="19" t="n">
        <f aca="false">F207*0.03</f>
        <v>0</v>
      </c>
      <c r="F207" s="33" t="n">
        <v>0</v>
      </c>
      <c r="G207" s="131"/>
      <c r="H207" s="35" t="n">
        <v>0</v>
      </c>
      <c r="I207" s="34" t="n">
        <f aca="false">+IF(E207=0,0,E207*0.03)</f>
        <v>0</v>
      </c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customFormat="false" ht="16.4" hidden="false" customHeight="false" outlineLevel="0" collapsed="false">
      <c r="A208" s="123" t="n">
        <v>45444</v>
      </c>
      <c r="B208" s="31" t="s">
        <v>240</v>
      </c>
      <c r="C208" s="129"/>
      <c r="D208" s="129"/>
      <c r="E208" s="19" t="n">
        <f aca="false">F208*0.03</f>
        <v>0</v>
      </c>
      <c r="F208" s="33" t="n">
        <v>0</v>
      </c>
      <c r="G208" s="131"/>
      <c r="H208" s="35" t="n">
        <v>0</v>
      </c>
      <c r="I208" s="34" t="n">
        <f aca="false">+IF(E208=0,0,E208*0.03)</f>
        <v>0</v>
      </c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customFormat="false" ht="16.4" hidden="false" customHeight="false" outlineLevel="0" collapsed="false">
      <c r="A209" s="123" t="n">
        <v>45444</v>
      </c>
      <c r="B209" s="31" t="s">
        <v>153</v>
      </c>
      <c r="C209" s="129"/>
      <c r="D209" s="129"/>
      <c r="E209" s="19" t="n">
        <f aca="false">F209*0.03</f>
        <v>0</v>
      </c>
      <c r="F209" s="33" t="n">
        <v>0</v>
      </c>
      <c r="G209" s="131"/>
      <c r="H209" s="35" t="n">
        <v>0</v>
      </c>
      <c r="I209" s="34" t="n">
        <f aca="false">+IF(E209=0,0,E209*0.03)</f>
        <v>0</v>
      </c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customFormat="false" ht="16.4" hidden="false" customHeight="false" outlineLevel="0" collapsed="false">
      <c r="A210" s="123" t="n">
        <v>45444</v>
      </c>
      <c r="B210" s="31" t="s">
        <v>247</v>
      </c>
      <c r="C210" s="129"/>
      <c r="D210" s="129"/>
      <c r="E210" s="19" t="n">
        <f aca="false">F210*0.03</f>
        <v>0</v>
      </c>
      <c r="F210" s="33" t="n">
        <v>0</v>
      </c>
      <c r="G210" s="131"/>
      <c r="H210" s="35" t="n">
        <v>0</v>
      </c>
      <c r="I210" s="34" t="n">
        <f aca="false">+IF(E210=0,0,E210*0.03)</f>
        <v>0</v>
      </c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customFormat="false" ht="16.4" hidden="false" customHeight="false" outlineLevel="0" collapsed="false">
      <c r="A211" s="123" t="n">
        <v>45444</v>
      </c>
      <c r="B211" s="31" t="s">
        <v>246</v>
      </c>
      <c r="C211" s="129"/>
      <c r="D211" s="129"/>
      <c r="E211" s="19" t="n">
        <f aca="false">F211*0.03</f>
        <v>0</v>
      </c>
      <c r="F211" s="33" t="n">
        <v>0</v>
      </c>
      <c r="G211" s="131"/>
      <c r="H211" s="35" t="n">
        <v>0</v>
      </c>
      <c r="I211" s="34" t="n">
        <f aca="false">+IF(E211=0,0,E211*0.03)</f>
        <v>0</v>
      </c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customFormat="false" ht="16.4" hidden="false" customHeight="false" outlineLevel="0" collapsed="false">
      <c r="A212" s="123" t="n">
        <v>45444</v>
      </c>
      <c r="B212" s="31" t="s">
        <v>239</v>
      </c>
      <c r="C212" s="129"/>
      <c r="D212" s="129"/>
      <c r="E212" s="19" t="n">
        <f aca="false">F212*0.03</f>
        <v>0</v>
      </c>
      <c r="F212" s="33" t="n">
        <v>0</v>
      </c>
      <c r="G212" s="131"/>
      <c r="H212" s="35" t="n">
        <v>0</v>
      </c>
      <c r="I212" s="34" t="n">
        <f aca="false">+IF(E212=0,0,E212*0.03)</f>
        <v>0</v>
      </c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customFormat="false" ht="16.4" hidden="false" customHeight="false" outlineLevel="0" collapsed="false">
      <c r="A213" s="123" t="n">
        <v>45444</v>
      </c>
      <c r="B213" s="31" t="s">
        <v>7</v>
      </c>
      <c r="C213" s="129"/>
      <c r="D213" s="129"/>
      <c r="E213" s="19" t="n">
        <f aca="false">F213*0.03</f>
        <v>0</v>
      </c>
      <c r="F213" s="33" t="n">
        <v>0</v>
      </c>
      <c r="G213" s="131"/>
      <c r="H213" s="35" t="n">
        <v>0</v>
      </c>
      <c r="I213" s="34" t="n">
        <f aca="false">+IF(E213=0,0,E213*0.03)</f>
        <v>0</v>
      </c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customFormat="false" ht="16.4" hidden="false" customHeight="false" outlineLevel="0" collapsed="false">
      <c r="A214" s="123" t="n">
        <v>45444</v>
      </c>
      <c r="B214" s="31" t="s">
        <v>240</v>
      </c>
      <c r="C214" s="129"/>
      <c r="D214" s="129"/>
      <c r="E214" s="19" t="n">
        <f aca="false">F214*0.03</f>
        <v>0</v>
      </c>
      <c r="F214" s="33" t="n">
        <v>0</v>
      </c>
      <c r="G214" s="131"/>
      <c r="H214" s="35" t="n">
        <v>0</v>
      </c>
      <c r="I214" s="34" t="n">
        <f aca="false">+IF(E214=0,0,E214*0.03)</f>
        <v>0</v>
      </c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customFormat="false" ht="16.4" hidden="false" customHeight="false" outlineLevel="0" collapsed="false">
      <c r="A215" s="123" t="n">
        <v>45444</v>
      </c>
      <c r="B215" s="31" t="s">
        <v>153</v>
      </c>
      <c r="C215" s="129"/>
      <c r="D215" s="129"/>
      <c r="E215" s="19" t="n">
        <f aca="false">F215*0.03</f>
        <v>0</v>
      </c>
      <c r="F215" s="33" t="n">
        <v>0</v>
      </c>
      <c r="G215" s="131"/>
      <c r="H215" s="35" t="n">
        <v>0</v>
      </c>
      <c r="I215" s="34" t="n">
        <f aca="false">+IF(E215=0,0,E215*0.03)</f>
        <v>0</v>
      </c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customFormat="false" ht="16.4" hidden="false" customHeight="false" outlineLevel="0" collapsed="false">
      <c r="A216" s="123" t="n">
        <v>45444</v>
      </c>
      <c r="B216" s="31" t="s">
        <v>247</v>
      </c>
      <c r="C216" s="129"/>
      <c r="D216" s="129"/>
      <c r="E216" s="19" t="n">
        <f aca="false">F216*0.03</f>
        <v>0</v>
      </c>
      <c r="F216" s="33" t="n">
        <v>0</v>
      </c>
      <c r="G216" s="131"/>
      <c r="H216" s="35" t="n">
        <v>0</v>
      </c>
      <c r="I216" s="34" t="n">
        <f aca="false">+IF(E216=0,0,E216*0.03)</f>
        <v>0</v>
      </c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customFormat="false" ht="16.4" hidden="false" customHeight="false" outlineLevel="0" collapsed="false">
      <c r="A217" s="123" t="n">
        <v>45444</v>
      </c>
      <c r="B217" s="31" t="s">
        <v>246</v>
      </c>
      <c r="C217" s="129"/>
      <c r="D217" s="129"/>
      <c r="E217" s="19" t="n">
        <f aca="false">F217*0.03</f>
        <v>0</v>
      </c>
      <c r="F217" s="33" t="n">
        <v>0</v>
      </c>
      <c r="G217" s="131"/>
      <c r="H217" s="35" t="n">
        <v>0</v>
      </c>
      <c r="I217" s="34" t="n">
        <f aca="false">+IF(E217=0,0,E217*0.03)</f>
        <v>0</v>
      </c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customFormat="false" ht="16.4" hidden="false" customHeight="false" outlineLevel="0" collapsed="false">
      <c r="A218" s="123" t="n">
        <v>45444</v>
      </c>
      <c r="B218" s="31" t="s">
        <v>239</v>
      </c>
      <c r="C218" s="129"/>
      <c r="D218" s="129"/>
      <c r="E218" s="19" t="n">
        <f aca="false">F218*0.03</f>
        <v>0</v>
      </c>
      <c r="F218" s="33" t="n">
        <v>0</v>
      </c>
      <c r="G218" s="131"/>
      <c r="H218" s="35" t="n">
        <v>0</v>
      </c>
      <c r="I218" s="34" t="n">
        <f aca="false">+IF(E218=0,0,E218*0.03)</f>
        <v>0</v>
      </c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customFormat="false" ht="16.4" hidden="false" customHeight="false" outlineLevel="0" collapsed="false">
      <c r="A219" s="123" t="n">
        <v>45444</v>
      </c>
      <c r="B219" s="31" t="s">
        <v>7</v>
      </c>
      <c r="C219" s="129"/>
      <c r="D219" s="129"/>
      <c r="E219" s="19" t="n">
        <f aca="false">F219*0.03</f>
        <v>0</v>
      </c>
      <c r="F219" s="33" t="n">
        <v>0</v>
      </c>
      <c r="G219" s="131"/>
      <c r="H219" s="35" t="n">
        <v>0</v>
      </c>
      <c r="I219" s="34" t="n">
        <f aca="false">+IF(E219=0,0,E219*0.03)</f>
        <v>0</v>
      </c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customFormat="false" ht="16.4" hidden="false" customHeight="false" outlineLevel="0" collapsed="false">
      <c r="A220" s="123" t="n">
        <v>45444</v>
      </c>
      <c r="B220" s="31" t="s">
        <v>240</v>
      </c>
      <c r="C220" s="129"/>
      <c r="D220" s="129"/>
      <c r="E220" s="19" t="n">
        <f aca="false">F220*0.03</f>
        <v>0</v>
      </c>
      <c r="F220" s="33" t="n">
        <v>0</v>
      </c>
      <c r="G220" s="131"/>
      <c r="H220" s="35" t="n">
        <v>0</v>
      </c>
      <c r="I220" s="34" t="n">
        <f aca="false">+IF(E220=0,0,E220*0.03)</f>
        <v>0</v>
      </c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customFormat="false" ht="16.4" hidden="false" customHeight="false" outlineLevel="0" collapsed="false">
      <c r="A221" s="123" t="n">
        <v>45444</v>
      </c>
      <c r="B221" s="31" t="s">
        <v>153</v>
      </c>
      <c r="C221" s="129"/>
      <c r="D221" s="129"/>
      <c r="E221" s="19" t="n">
        <f aca="false">F221*0.03</f>
        <v>0</v>
      </c>
      <c r="F221" s="33" t="n">
        <v>0</v>
      </c>
      <c r="G221" s="131"/>
      <c r="H221" s="35" t="n">
        <v>0</v>
      </c>
      <c r="I221" s="34" t="n">
        <f aca="false">+IF(E221=0,0,E221*0.03)</f>
        <v>0</v>
      </c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customFormat="false" ht="16.4" hidden="false" customHeight="false" outlineLevel="0" collapsed="false">
      <c r="A222" s="123" t="n">
        <v>45444</v>
      </c>
      <c r="B222" s="31" t="s">
        <v>247</v>
      </c>
      <c r="C222" s="129"/>
      <c r="D222" s="129"/>
      <c r="E222" s="19" t="n">
        <f aca="false">F222*0.03</f>
        <v>0</v>
      </c>
      <c r="F222" s="33" t="n">
        <v>0</v>
      </c>
      <c r="G222" s="131"/>
      <c r="H222" s="35" t="n">
        <v>0</v>
      </c>
      <c r="I222" s="34" t="n">
        <f aca="false">+IF(E222=0,0,E222*0.03)</f>
        <v>0</v>
      </c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customFormat="false" ht="16.4" hidden="false" customHeight="false" outlineLevel="0" collapsed="false">
      <c r="A223" s="123" t="n">
        <v>45444</v>
      </c>
      <c r="B223" s="31" t="s">
        <v>246</v>
      </c>
      <c r="C223" s="129"/>
      <c r="D223" s="129"/>
      <c r="E223" s="19" t="n">
        <f aca="false">F223*0.03</f>
        <v>0</v>
      </c>
      <c r="F223" s="33" t="n">
        <v>0</v>
      </c>
      <c r="G223" s="131"/>
      <c r="H223" s="35" t="n">
        <v>0</v>
      </c>
      <c r="I223" s="34" t="n">
        <f aca="false">+IF(E223=0,0,E223*0.03)</f>
        <v>0</v>
      </c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customFormat="false" ht="16.4" hidden="false" customHeight="false" outlineLevel="0" collapsed="false">
      <c r="A224" s="123" t="n">
        <v>45444</v>
      </c>
      <c r="B224" s="31" t="s">
        <v>239</v>
      </c>
      <c r="C224" s="129"/>
      <c r="D224" s="129"/>
      <c r="E224" s="19" t="n">
        <f aca="false">F224*0.03</f>
        <v>0</v>
      </c>
      <c r="F224" s="33" t="n">
        <v>0</v>
      </c>
      <c r="G224" s="131"/>
      <c r="H224" s="35" t="n">
        <v>0</v>
      </c>
      <c r="I224" s="34" t="n">
        <f aca="false">+IF(E224=0,0,E224*0.03)</f>
        <v>0</v>
      </c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customFormat="false" ht="16.4" hidden="false" customHeight="false" outlineLevel="0" collapsed="false">
      <c r="A225" s="123" t="n">
        <v>45444</v>
      </c>
      <c r="B225" s="31" t="s">
        <v>7</v>
      </c>
      <c r="C225" s="129"/>
      <c r="D225" s="129"/>
      <c r="E225" s="19" t="n">
        <f aca="false">F225*0.03</f>
        <v>0</v>
      </c>
      <c r="F225" s="33" t="n">
        <v>0</v>
      </c>
      <c r="G225" s="131"/>
      <c r="H225" s="35" t="n">
        <v>0</v>
      </c>
      <c r="I225" s="34" t="n">
        <f aca="false">+IF(E225=0,0,E225*0.03)</f>
        <v>0</v>
      </c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customFormat="false" ht="16.4" hidden="false" customHeight="false" outlineLevel="0" collapsed="false">
      <c r="A226" s="123" t="n">
        <v>45444</v>
      </c>
      <c r="B226" s="31" t="s">
        <v>240</v>
      </c>
      <c r="C226" s="129"/>
      <c r="D226" s="129"/>
      <c r="E226" s="19" t="n">
        <f aca="false">F226*0.03</f>
        <v>0</v>
      </c>
      <c r="F226" s="33" t="n">
        <v>0</v>
      </c>
      <c r="G226" s="131"/>
      <c r="H226" s="35" t="n">
        <v>0</v>
      </c>
      <c r="I226" s="34" t="n">
        <f aca="false">+IF(E226=0,0,E226*0.03)</f>
        <v>0</v>
      </c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customFormat="false" ht="16.4" hidden="false" customHeight="false" outlineLevel="0" collapsed="false">
      <c r="A227" s="123" t="n">
        <v>45444</v>
      </c>
      <c r="B227" s="31" t="s">
        <v>153</v>
      </c>
      <c r="C227" s="129"/>
      <c r="D227" s="129"/>
      <c r="E227" s="19" t="n">
        <f aca="false">F227*0.03</f>
        <v>0</v>
      </c>
      <c r="F227" s="33" t="n">
        <v>0</v>
      </c>
      <c r="G227" s="131"/>
      <c r="H227" s="35" t="n">
        <v>0</v>
      </c>
      <c r="I227" s="34" t="n">
        <f aca="false">+IF(E227=0,0,E227*0.03)</f>
        <v>0</v>
      </c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customFormat="false" ht="16.4" hidden="false" customHeight="false" outlineLevel="0" collapsed="false">
      <c r="A228" s="123" t="n">
        <v>45444</v>
      </c>
      <c r="B228" s="31" t="s">
        <v>247</v>
      </c>
      <c r="C228" s="129"/>
      <c r="D228" s="129"/>
      <c r="E228" s="19" t="n">
        <f aca="false">F228*0.03</f>
        <v>0</v>
      </c>
      <c r="F228" s="33" t="n">
        <v>0</v>
      </c>
      <c r="G228" s="131"/>
      <c r="H228" s="35" t="n">
        <v>0</v>
      </c>
      <c r="I228" s="34" t="n">
        <f aca="false">+IF(E228=0,0,E228*0.03)</f>
        <v>0</v>
      </c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customFormat="false" ht="16.4" hidden="false" customHeight="false" outlineLevel="0" collapsed="false">
      <c r="A229" s="123" t="n">
        <v>45444</v>
      </c>
      <c r="B229" s="31" t="s">
        <v>246</v>
      </c>
      <c r="C229" s="129"/>
      <c r="D229" s="129"/>
      <c r="E229" s="19" t="n">
        <f aca="false">F229*0.03</f>
        <v>0</v>
      </c>
      <c r="F229" s="33" t="n">
        <v>0</v>
      </c>
      <c r="G229" s="131"/>
      <c r="H229" s="35" t="n">
        <v>0</v>
      </c>
      <c r="I229" s="34" t="n">
        <f aca="false">+IF(E229=0,0,E229*0.03)</f>
        <v>0</v>
      </c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customFormat="false" ht="16.4" hidden="false" customHeight="false" outlineLevel="0" collapsed="false">
      <c r="A230" s="123" t="n">
        <v>45444</v>
      </c>
      <c r="B230" s="31" t="s">
        <v>239</v>
      </c>
      <c r="C230" s="129"/>
      <c r="D230" s="129"/>
      <c r="E230" s="19" t="n">
        <f aca="false">F230*0.03</f>
        <v>0</v>
      </c>
      <c r="F230" s="33" t="n">
        <v>0</v>
      </c>
      <c r="G230" s="131"/>
      <c r="H230" s="35" t="n">
        <v>0</v>
      </c>
      <c r="I230" s="34" t="n">
        <f aca="false">+IF(E230=0,0,E230*0.03)</f>
        <v>0</v>
      </c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customFormat="false" ht="16.4" hidden="false" customHeight="false" outlineLevel="0" collapsed="false">
      <c r="A231" s="123" t="n">
        <v>45444</v>
      </c>
      <c r="B231" s="31" t="s">
        <v>7</v>
      </c>
      <c r="C231" s="129"/>
      <c r="D231" s="129"/>
      <c r="E231" s="19" t="n">
        <f aca="false">F231*0.03</f>
        <v>0</v>
      </c>
      <c r="F231" s="33" t="n">
        <v>0</v>
      </c>
      <c r="G231" s="131"/>
      <c r="H231" s="35" t="n">
        <v>0</v>
      </c>
      <c r="I231" s="34" t="n">
        <f aca="false">+IF(E231=0,0,E231*0.03)</f>
        <v>0</v>
      </c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customFormat="false" ht="16.4" hidden="false" customHeight="false" outlineLevel="0" collapsed="false">
      <c r="A232" s="123" t="n">
        <v>45444</v>
      </c>
      <c r="B232" s="31" t="s">
        <v>240</v>
      </c>
      <c r="C232" s="129"/>
      <c r="D232" s="129"/>
      <c r="E232" s="19" t="n">
        <f aca="false">F232*0.03</f>
        <v>0</v>
      </c>
      <c r="F232" s="33" t="n">
        <v>0</v>
      </c>
      <c r="G232" s="131"/>
      <c r="H232" s="35" t="n">
        <v>0</v>
      </c>
      <c r="I232" s="34" t="n">
        <f aca="false">+IF(E232=0,0,E232*0.03)</f>
        <v>0</v>
      </c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customFormat="false" ht="16.4" hidden="false" customHeight="false" outlineLevel="0" collapsed="false">
      <c r="A233" s="123" t="n">
        <v>45444</v>
      </c>
      <c r="B233" s="31" t="s">
        <v>153</v>
      </c>
      <c r="C233" s="129"/>
      <c r="D233" s="129"/>
      <c r="E233" s="19" t="n">
        <f aca="false">F233*0.03</f>
        <v>0</v>
      </c>
      <c r="F233" s="33" t="n">
        <v>0</v>
      </c>
      <c r="G233" s="131"/>
      <c r="H233" s="35" t="n">
        <v>0</v>
      </c>
      <c r="I233" s="34" t="n">
        <f aca="false">+IF(E233=0,0,E233*0.03)</f>
        <v>0</v>
      </c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customFormat="false" ht="16.4" hidden="false" customHeight="false" outlineLevel="0" collapsed="false">
      <c r="A234" s="123" t="n">
        <v>45444</v>
      </c>
      <c r="B234" s="31" t="s">
        <v>247</v>
      </c>
      <c r="C234" s="129"/>
      <c r="D234" s="129"/>
      <c r="E234" s="19" t="n">
        <f aca="false">F234*0.03</f>
        <v>0</v>
      </c>
      <c r="F234" s="33" t="n">
        <v>0</v>
      </c>
      <c r="G234" s="131"/>
      <c r="H234" s="35" t="n">
        <v>0</v>
      </c>
      <c r="I234" s="34" t="n">
        <f aca="false">+IF(E234=0,0,E234*0.03)</f>
        <v>0</v>
      </c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customFormat="false" ht="16.4" hidden="false" customHeight="false" outlineLevel="0" collapsed="false">
      <c r="A235" s="123" t="n">
        <v>45444</v>
      </c>
      <c r="B235" s="31" t="s">
        <v>246</v>
      </c>
      <c r="C235" s="129"/>
      <c r="D235" s="129"/>
      <c r="E235" s="19" t="n">
        <f aca="false">F235*0.03</f>
        <v>0</v>
      </c>
      <c r="F235" s="33" t="n">
        <v>0</v>
      </c>
      <c r="G235" s="131"/>
      <c r="H235" s="35" t="n">
        <v>0</v>
      </c>
      <c r="I235" s="34" t="n">
        <f aca="false">+IF(E235=0,0,E235*0.03)</f>
        <v>0</v>
      </c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customFormat="false" ht="16.4" hidden="false" customHeight="false" outlineLevel="0" collapsed="false">
      <c r="A236" s="123" t="n">
        <v>45444</v>
      </c>
      <c r="B236" s="31" t="s">
        <v>239</v>
      </c>
      <c r="C236" s="129"/>
      <c r="D236" s="129"/>
      <c r="E236" s="19" t="n">
        <f aca="false">F236*0.03</f>
        <v>0</v>
      </c>
      <c r="F236" s="33" t="n">
        <v>0</v>
      </c>
      <c r="G236" s="131"/>
      <c r="H236" s="35" t="n">
        <v>0</v>
      </c>
      <c r="I236" s="34" t="n">
        <f aca="false">+IF(E236=0,0,E236*0.03)</f>
        <v>0</v>
      </c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customFormat="false" ht="16.4" hidden="false" customHeight="false" outlineLevel="0" collapsed="false">
      <c r="A237" s="123" t="n">
        <v>45444</v>
      </c>
      <c r="B237" s="31" t="s">
        <v>7</v>
      </c>
      <c r="C237" s="129"/>
      <c r="D237" s="129"/>
      <c r="E237" s="19" t="n">
        <f aca="false">F237*0.03</f>
        <v>0</v>
      </c>
      <c r="F237" s="33" t="n">
        <v>0</v>
      </c>
      <c r="G237" s="131"/>
      <c r="H237" s="35" t="n">
        <v>0</v>
      </c>
      <c r="I237" s="34" t="n">
        <f aca="false">+IF(E237=0,0,E237*0.03)</f>
        <v>0</v>
      </c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customFormat="false" ht="16.4" hidden="false" customHeight="false" outlineLevel="0" collapsed="false">
      <c r="A238" s="123" t="n">
        <v>45444</v>
      </c>
      <c r="B238" s="31" t="s">
        <v>240</v>
      </c>
      <c r="C238" s="129"/>
      <c r="D238" s="129"/>
      <c r="E238" s="19" t="n">
        <f aca="false">F238*0.03</f>
        <v>0</v>
      </c>
      <c r="F238" s="33" t="n">
        <v>0</v>
      </c>
      <c r="G238" s="131"/>
      <c r="H238" s="35" t="n">
        <v>0</v>
      </c>
      <c r="I238" s="34" t="n">
        <f aca="false">+IF(E238=0,0,E238*0.03)</f>
        <v>0</v>
      </c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customFormat="false" ht="16.4" hidden="false" customHeight="false" outlineLevel="0" collapsed="false">
      <c r="A239" s="123" t="n">
        <v>45444</v>
      </c>
      <c r="B239" s="31" t="s">
        <v>153</v>
      </c>
      <c r="C239" s="129"/>
      <c r="D239" s="129"/>
      <c r="E239" s="19" t="n">
        <f aca="false">F239*0.03</f>
        <v>0</v>
      </c>
      <c r="F239" s="33" t="n">
        <v>0</v>
      </c>
      <c r="G239" s="131"/>
      <c r="H239" s="35" t="n">
        <v>0</v>
      </c>
      <c r="I239" s="34" t="n">
        <f aca="false">+IF(E239=0,0,E239*0.03)</f>
        <v>0</v>
      </c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customFormat="false" ht="16.4" hidden="false" customHeight="false" outlineLevel="0" collapsed="false">
      <c r="A240" s="123" t="n">
        <v>45444</v>
      </c>
      <c r="B240" s="31" t="s">
        <v>247</v>
      </c>
      <c r="C240" s="129"/>
      <c r="D240" s="129"/>
      <c r="E240" s="19" t="n">
        <f aca="false">F240*0.03</f>
        <v>0</v>
      </c>
      <c r="F240" s="33" t="n">
        <v>0</v>
      </c>
      <c r="G240" s="131"/>
      <c r="H240" s="35" t="n">
        <v>0</v>
      </c>
      <c r="I240" s="34" t="n">
        <f aca="false">+IF(E240=0,0,E240*0.03)</f>
        <v>0</v>
      </c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customFormat="false" ht="16.4" hidden="false" customHeight="false" outlineLevel="0" collapsed="false">
      <c r="A241" s="123" t="n">
        <v>45444</v>
      </c>
      <c r="B241" s="31" t="s">
        <v>246</v>
      </c>
      <c r="C241" s="129"/>
      <c r="D241" s="129"/>
      <c r="E241" s="19" t="n">
        <f aca="false">F241*0.03</f>
        <v>0</v>
      </c>
      <c r="F241" s="33" t="n">
        <v>0</v>
      </c>
      <c r="G241" s="131"/>
      <c r="H241" s="35" t="n">
        <v>0</v>
      </c>
      <c r="I241" s="34" t="n">
        <f aca="false">+IF(E241=0,0,E241*0.03)</f>
        <v>0</v>
      </c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customFormat="false" ht="16.4" hidden="false" customHeight="false" outlineLevel="0" collapsed="false">
      <c r="A242" s="123" t="n">
        <v>45444</v>
      </c>
      <c r="B242" s="31" t="s">
        <v>239</v>
      </c>
      <c r="C242" s="129"/>
      <c r="D242" s="129"/>
      <c r="E242" s="19" t="n">
        <f aca="false">F242*0.03</f>
        <v>0</v>
      </c>
      <c r="F242" s="33" t="n">
        <v>0</v>
      </c>
      <c r="G242" s="131"/>
      <c r="H242" s="35" t="n">
        <v>0</v>
      </c>
      <c r="I242" s="34" t="n">
        <f aca="false">+IF(E242=0,0,E242*0.03)</f>
        <v>0</v>
      </c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customFormat="false" ht="16.4" hidden="false" customHeight="false" outlineLevel="0" collapsed="false">
      <c r="A243" s="123" t="n">
        <v>45444</v>
      </c>
      <c r="B243" s="31" t="s">
        <v>7</v>
      </c>
      <c r="C243" s="129"/>
      <c r="D243" s="129"/>
      <c r="E243" s="19" t="n">
        <f aca="false">F243*0.03</f>
        <v>0</v>
      </c>
      <c r="F243" s="33" t="n">
        <v>0</v>
      </c>
      <c r="G243" s="131"/>
      <c r="H243" s="35" t="n">
        <v>0</v>
      </c>
      <c r="I243" s="34" t="n">
        <f aca="false">+IF(E243=0,0,E243*0.03)</f>
        <v>0</v>
      </c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customFormat="false" ht="16.4" hidden="false" customHeight="false" outlineLevel="0" collapsed="false">
      <c r="A244" s="123" t="n">
        <v>45444</v>
      </c>
      <c r="B244" s="31" t="s">
        <v>240</v>
      </c>
      <c r="C244" s="129"/>
      <c r="D244" s="129"/>
      <c r="E244" s="19" t="n">
        <f aca="false">F244*0.03</f>
        <v>0</v>
      </c>
      <c r="F244" s="33" t="n">
        <v>0</v>
      </c>
      <c r="G244" s="131"/>
      <c r="H244" s="35" t="n">
        <v>0</v>
      </c>
      <c r="I244" s="34" t="n">
        <f aca="false">+IF(E244=0,0,E244*0.03)</f>
        <v>0</v>
      </c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customFormat="false" ht="16.4" hidden="false" customHeight="false" outlineLevel="0" collapsed="false">
      <c r="A245" s="123" t="n">
        <v>45444</v>
      </c>
      <c r="B245" s="31" t="s">
        <v>153</v>
      </c>
      <c r="C245" s="129"/>
      <c r="D245" s="129"/>
      <c r="E245" s="19" t="n">
        <f aca="false">F245*0.03</f>
        <v>0</v>
      </c>
      <c r="F245" s="33" t="n">
        <v>0</v>
      </c>
      <c r="G245" s="131"/>
      <c r="H245" s="35" t="n">
        <v>0</v>
      </c>
      <c r="I245" s="34" t="n">
        <f aca="false">+IF(E245=0,0,E245*0.03)</f>
        <v>0</v>
      </c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customFormat="false" ht="16.4" hidden="false" customHeight="false" outlineLevel="0" collapsed="false">
      <c r="A246" s="123" t="n">
        <v>45444</v>
      </c>
      <c r="B246" s="31" t="s">
        <v>247</v>
      </c>
      <c r="C246" s="129"/>
      <c r="D246" s="129"/>
      <c r="E246" s="19" t="n">
        <f aca="false">F246*0.03</f>
        <v>0</v>
      </c>
      <c r="F246" s="33" t="n">
        <v>0</v>
      </c>
      <c r="G246" s="131"/>
      <c r="H246" s="35" t="n">
        <v>0</v>
      </c>
      <c r="I246" s="34" t="n">
        <f aca="false">+IF(E246=0,0,E246*0.03)</f>
        <v>0</v>
      </c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customFormat="false" ht="16.4" hidden="false" customHeight="false" outlineLevel="0" collapsed="false">
      <c r="A247" s="123" t="n">
        <v>45444</v>
      </c>
      <c r="B247" s="31" t="s">
        <v>246</v>
      </c>
      <c r="C247" s="129"/>
      <c r="D247" s="129"/>
      <c r="E247" s="19" t="n">
        <f aca="false">F247*0.03</f>
        <v>0</v>
      </c>
      <c r="F247" s="33" t="n">
        <v>0</v>
      </c>
      <c r="G247" s="131"/>
      <c r="H247" s="35" t="n">
        <v>0</v>
      </c>
      <c r="I247" s="34" t="n">
        <f aca="false">+IF(E247=0,0,E247*0.03)</f>
        <v>0</v>
      </c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customFormat="false" ht="16.4" hidden="false" customHeight="false" outlineLevel="0" collapsed="false">
      <c r="A248" s="123" t="n">
        <v>45444</v>
      </c>
      <c r="B248" s="31" t="s">
        <v>239</v>
      </c>
      <c r="C248" s="129"/>
      <c r="D248" s="129"/>
      <c r="E248" s="19" t="n">
        <f aca="false">F248*0.03</f>
        <v>0</v>
      </c>
      <c r="F248" s="33" t="n">
        <v>0</v>
      </c>
      <c r="G248" s="131"/>
      <c r="H248" s="35" t="n">
        <v>0</v>
      </c>
      <c r="I248" s="34" t="n">
        <f aca="false">+IF(E248=0,0,E248*0.03)</f>
        <v>0</v>
      </c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customFormat="false" ht="16.4" hidden="false" customHeight="false" outlineLevel="0" collapsed="false">
      <c r="A249" s="123" t="n">
        <v>45444</v>
      </c>
      <c r="B249" s="31" t="s">
        <v>7</v>
      </c>
      <c r="C249" s="129"/>
      <c r="D249" s="129"/>
      <c r="E249" s="19" t="n">
        <f aca="false">F249*0.03</f>
        <v>0</v>
      </c>
      <c r="F249" s="33" t="n">
        <v>0</v>
      </c>
      <c r="G249" s="131"/>
      <c r="H249" s="35" t="n">
        <v>0</v>
      </c>
      <c r="I249" s="34" t="n">
        <f aca="false">+IF(E249=0,0,E249*0.03)</f>
        <v>0</v>
      </c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customFormat="false" ht="16.4" hidden="false" customHeight="false" outlineLevel="0" collapsed="false">
      <c r="A250" s="123" t="n">
        <v>45444</v>
      </c>
      <c r="B250" s="31" t="s">
        <v>240</v>
      </c>
      <c r="C250" s="129"/>
      <c r="D250" s="129"/>
      <c r="E250" s="19" t="n">
        <f aca="false">F250*0.03</f>
        <v>0</v>
      </c>
      <c r="F250" s="33" t="n">
        <v>0</v>
      </c>
      <c r="G250" s="131"/>
      <c r="H250" s="35" t="n">
        <v>0</v>
      </c>
      <c r="I250" s="34" t="n">
        <f aca="false">+IF(E250=0,0,E250*0.03)</f>
        <v>0</v>
      </c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customFormat="false" ht="16.4" hidden="false" customHeight="false" outlineLevel="0" collapsed="false">
      <c r="A251" s="123" t="n">
        <v>45444</v>
      </c>
      <c r="B251" s="31" t="s">
        <v>153</v>
      </c>
      <c r="C251" s="129"/>
      <c r="D251" s="129"/>
      <c r="E251" s="19" t="n">
        <f aca="false">F251*0.03</f>
        <v>0</v>
      </c>
      <c r="F251" s="33" t="n">
        <v>0</v>
      </c>
      <c r="G251" s="131"/>
      <c r="H251" s="35" t="n">
        <v>0</v>
      </c>
      <c r="I251" s="34" t="n">
        <f aca="false">+IF(E251=0,0,E251*0.03)</f>
        <v>0</v>
      </c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customFormat="false" ht="16.4" hidden="false" customHeight="false" outlineLevel="0" collapsed="false">
      <c r="A252" s="123" t="n">
        <v>45444</v>
      </c>
      <c r="B252" s="31" t="s">
        <v>247</v>
      </c>
      <c r="C252" s="129"/>
      <c r="D252" s="129"/>
      <c r="E252" s="19" t="n">
        <f aca="false">F252*0.03</f>
        <v>0</v>
      </c>
      <c r="F252" s="33" t="n">
        <v>0</v>
      </c>
      <c r="G252" s="131"/>
      <c r="H252" s="35" t="n">
        <v>0</v>
      </c>
      <c r="I252" s="34" t="n">
        <f aca="false">+IF(E252=0,0,E252*0.03)</f>
        <v>0</v>
      </c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customFormat="false" ht="16.4" hidden="false" customHeight="false" outlineLevel="0" collapsed="false">
      <c r="A253" s="123" t="n">
        <v>45444</v>
      </c>
      <c r="B253" s="31" t="s">
        <v>246</v>
      </c>
      <c r="C253" s="129"/>
      <c r="D253" s="129"/>
      <c r="E253" s="19" t="n">
        <f aca="false">F253*0.03</f>
        <v>0</v>
      </c>
      <c r="F253" s="33" t="n">
        <v>0</v>
      </c>
      <c r="G253" s="131"/>
      <c r="H253" s="35" t="n">
        <v>0</v>
      </c>
      <c r="I253" s="34" t="n">
        <f aca="false">+IF(E253=0,0,E253*0.03)</f>
        <v>0</v>
      </c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customFormat="false" ht="16.4" hidden="false" customHeight="false" outlineLevel="0" collapsed="false">
      <c r="A254" s="123" t="n">
        <v>45444</v>
      </c>
      <c r="B254" s="31" t="s">
        <v>239</v>
      </c>
      <c r="C254" s="129"/>
      <c r="D254" s="129"/>
      <c r="E254" s="19" t="n">
        <f aca="false">F254*0.03</f>
        <v>0</v>
      </c>
      <c r="F254" s="33" t="n">
        <v>0</v>
      </c>
      <c r="G254" s="131"/>
      <c r="H254" s="35" t="n">
        <v>0</v>
      </c>
      <c r="I254" s="34" t="n">
        <f aca="false">+IF(E254=0,0,E254*0.03)</f>
        <v>0</v>
      </c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customFormat="false" ht="16.4" hidden="false" customHeight="false" outlineLevel="0" collapsed="false">
      <c r="A255" s="123" t="n">
        <v>45444</v>
      </c>
      <c r="B255" s="31" t="s">
        <v>7</v>
      </c>
      <c r="C255" s="129"/>
      <c r="D255" s="129"/>
      <c r="E255" s="19" t="n">
        <f aca="false">F255*0.03</f>
        <v>0</v>
      </c>
      <c r="F255" s="33" t="n">
        <v>0</v>
      </c>
      <c r="G255" s="131"/>
      <c r="H255" s="35" t="n">
        <v>0</v>
      </c>
      <c r="I255" s="34" t="n">
        <f aca="false">+IF(E255=0,0,E255*0.03)</f>
        <v>0</v>
      </c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customFormat="false" ht="16.4" hidden="false" customHeight="false" outlineLevel="0" collapsed="false">
      <c r="A256" s="123" t="n">
        <v>45444</v>
      </c>
      <c r="B256" s="31" t="s">
        <v>240</v>
      </c>
      <c r="C256" s="129"/>
      <c r="D256" s="129"/>
      <c r="E256" s="19" t="n">
        <f aca="false">F256*0.03</f>
        <v>0</v>
      </c>
      <c r="F256" s="33" t="n">
        <v>0</v>
      </c>
      <c r="G256" s="131"/>
      <c r="H256" s="35" t="n">
        <v>0</v>
      </c>
      <c r="I256" s="34" t="n">
        <f aca="false">+IF(E256=0,0,E256*0.03)</f>
        <v>0</v>
      </c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customFormat="false" ht="16.4" hidden="false" customHeight="false" outlineLevel="0" collapsed="false">
      <c r="A257" s="123" t="n">
        <v>45444</v>
      </c>
      <c r="B257" s="31" t="s">
        <v>153</v>
      </c>
      <c r="C257" s="129"/>
      <c r="D257" s="129"/>
      <c r="E257" s="19" t="n">
        <f aca="false">F257*0.03</f>
        <v>0</v>
      </c>
      <c r="F257" s="33" t="n">
        <v>0</v>
      </c>
      <c r="G257" s="131"/>
      <c r="H257" s="35" t="n">
        <v>0</v>
      </c>
      <c r="I257" s="34" t="n">
        <f aca="false">+IF(E257=0,0,E257*0.03)</f>
        <v>0</v>
      </c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customFormat="false" ht="16.4" hidden="false" customHeight="false" outlineLevel="0" collapsed="false">
      <c r="A258" s="123" t="n">
        <v>45444</v>
      </c>
      <c r="B258" s="31" t="s">
        <v>247</v>
      </c>
      <c r="C258" s="129"/>
      <c r="D258" s="129"/>
      <c r="E258" s="19" t="n">
        <f aca="false">F258*0.03</f>
        <v>0</v>
      </c>
      <c r="F258" s="33" t="n">
        <v>0</v>
      </c>
      <c r="G258" s="131"/>
      <c r="H258" s="35" t="n">
        <v>0</v>
      </c>
      <c r="I258" s="34" t="n">
        <f aca="false">+IF(E258=0,0,E258*0.03)</f>
        <v>0</v>
      </c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customFormat="false" ht="16.4" hidden="false" customHeight="false" outlineLevel="0" collapsed="false">
      <c r="A259" s="123" t="n">
        <v>45444</v>
      </c>
      <c r="B259" s="31" t="s">
        <v>246</v>
      </c>
      <c r="C259" s="129"/>
      <c r="D259" s="129"/>
      <c r="E259" s="19" t="n">
        <f aca="false">F259*0.03</f>
        <v>0</v>
      </c>
      <c r="F259" s="33" t="n">
        <v>0</v>
      </c>
      <c r="G259" s="131"/>
      <c r="H259" s="35" t="n">
        <v>0</v>
      </c>
      <c r="I259" s="34" t="n">
        <f aca="false">+IF(E259=0,0,E259*0.03)</f>
        <v>0</v>
      </c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customFormat="false" ht="16.4" hidden="false" customHeight="false" outlineLevel="0" collapsed="false">
      <c r="A260" s="123" t="n">
        <v>45444</v>
      </c>
      <c r="B260" s="31" t="s">
        <v>239</v>
      </c>
      <c r="C260" s="129"/>
      <c r="D260" s="129"/>
      <c r="E260" s="19" t="n">
        <f aca="false">F260*0.03</f>
        <v>0</v>
      </c>
      <c r="F260" s="33" t="n">
        <v>0</v>
      </c>
      <c r="G260" s="131"/>
      <c r="H260" s="35" t="n">
        <v>0</v>
      </c>
      <c r="I260" s="34" t="n">
        <f aca="false">+IF(E260=0,0,E260*0.03)</f>
        <v>0</v>
      </c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customFormat="false" ht="16.4" hidden="false" customHeight="false" outlineLevel="0" collapsed="false">
      <c r="A261" s="123" t="n">
        <v>45444</v>
      </c>
      <c r="B261" s="31" t="s">
        <v>7</v>
      </c>
      <c r="C261" s="129"/>
      <c r="D261" s="129"/>
      <c r="E261" s="19" t="n">
        <f aca="false">F261*0.03</f>
        <v>0</v>
      </c>
      <c r="F261" s="33" t="n">
        <v>0</v>
      </c>
      <c r="G261" s="131"/>
      <c r="H261" s="35" t="n">
        <v>0</v>
      </c>
      <c r="I261" s="34" t="n">
        <f aca="false">+IF(E261=0,0,E261*0.03)</f>
        <v>0</v>
      </c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customFormat="false" ht="16.4" hidden="false" customHeight="false" outlineLevel="0" collapsed="false">
      <c r="A262" s="123" t="n">
        <v>45444</v>
      </c>
      <c r="B262" s="31" t="s">
        <v>240</v>
      </c>
      <c r="C262" s="129"/>
      <c r="D262" s="129"/>
      <c r="E262" s="19" t="n">
        <f aca="false">F262*0.03</f>
        <v>0</v>
      </c>
      <c r="F262" s="33" t="n">
        <v>0</v>
      </c>
      <c r="G262" s="131"/>
      <c r="H262" s="35" t="n">
        <v>0</v>
      </c>
      <c r="I262" s="34" t="n">
        <f aca="false">+IF(E262=0,0,E262*0.03)</f>
        <v>0</v>
      </c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customFormat="false" ht="16.4" hidden="false" customHeight="false" outlineLevel="0" collapsed="false">
      <c r="A263" s="123" t="n">
        <v>45444</v>
      </c>
      <c r="B263" s="31" t="s">
        <v>153</v>
      </c>
      <c r="C263" s="129"/>
      <c r="D263" s="129"/>
      <c r="E263" s="19" t="n">
        <f aca="false">F263*0.03</f>
        <v>0</v>
      </c>
      <c r="F263" s="33" t="n">
        <v>0</v>
      </c>
      <c r="G263" s="131"/>
      <c r="H263" s="35" t="n">
        <v>0</v>
      </c>
      <c r="I263" s="34" t="n">
        <f aca="false">+IF(E263=0,0,E263*0.03)</f>
        <v>0</v>
      </c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customFormat="false" ht="16.4" hidden="false" customHeight="false" outlineLevel="0" collapsed="false">
      <c r="A264" s="123" t="n">
        <v>45444</v>
      </c>
      <c r="B264" s="31" t="s">
        <v>247</v>
      </c>
      <c r="C264" s="129"/>
      <c r="D264" s="129"/>
      <c r="E264" s="19" t="n">
        <f aca="false">F264*0.03</f>
        <v>0</v>
      </c>
      <c r="F264" s="33" t="n">
        <v>0</v>
      </c>
      <c r="G264" s="131"/>
      <c r="H264" s="35" t="n">
        <v>0</v>
      </c>
      <c r="I264" s="34" t="n">
        <f aca="false">+IF(E264=0,0,E264*0.03)</f>
        <v>0</v>
      </c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customFormat="false" ht="16.4" hidden="false" customHeight="false" outlineLevel="0" collapsed="false">
      <c r="A265" s="123" t="n">
        <v>45444</v>
      </c>
      <c r="B265" s="31" t="s">
        <v>246</v>
      </c>
      <c r="C265" s="129"/>
      <c r="D265" s="129"/>
      <c r="E265" s="19" t="n">
        <f aca="false">F265*0.03</f>
        <v>0</v>
      </c>
      <c r="F265" s="33" t="n">
        <v>0</v>
      </c>
      <c r="G265" s="131"/>
      <c r="H265" s="35" t="n">
        <v>0</v>
      </c>
      <c r="I265" s="34" t="n">
        <f aca="false">+IF(E265=0,0,E265*0.03)</f>
        <v>0</v>
      </c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customFormat="false" ht="16.4" hidden="false" customHeight="false" outlineLevel="0" collapsed="false">
      <c r="A266" s="123" t="n">
        <v>45444</v>
      </c>
      <c r="B266" s="31" t="s">
        <v>239</v>
      </c>
      <c r="C266" s="129"/>
      <c r="D266" s="129"/>
      <c r="E266" s="19" t="n">
        <f aca="false">F266*0.03</f>
        <v>0</v>
      </c>
      <c r="F266" s="33" t="n">
        <v>0</v>
      </c>
      <c r="G266" s="131"/>
      <c r="H266" s="35" t="n">
        <v>0</v>
      </c>
      <c r="I266" s="34" t="n">
        <f aca="false">+IF(E266=0,0,E266*0.03)</f>
        <v>0</v>
      </c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customFormat="false" ht="16.4" hidden="false" customHeight="false" outlineLevel="0" collapsed="false">
      <c r="A267" s="123" t="n">
        <v>45444</v>
      </c>
      <c r="B267" s="31" t="s">
        <v>7</v>
      </c>
      <c r="C267" s="129"/>
      <c r="D267" s="129"/>
      <c r="E267" s="19" t="n">
        <f aca="false">F267*0.03</f>
        <v>0</v>
      </c>
      <c r="F267" s="33" t="n">
        <v>0</v>
      </c>
      <c r="G267" s="131"/>
      <c r="H267" s="35" t="n">
        <v>0</v>
      </c>
      <c r="I267" s="34" t="n">
        <f aca="false">+IF(E267=0,0,E267*0.03)</f>
        <v>0</v>
      </c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customFormat="false" ht="16.4" hidden="false" customHeight="false" outlineLevel="0" collapsed="false">
      <c r="A268" s="123" t="n">
        <v>45444</v>
      </c>
      <c r="B268" s="31" t="s">
        <v>240</v>
      </c>
      <c r="C268" s="129"/>
      <c r="D268" s="129"/>
      <c r="E268" s="19" t="n">
        <f aca="false">F268*0.03</f>
        <v>0</v>
      </c>
      <c r="F268" s="33" t="n">
        <v>0</v>
      </c>
      <c r="G268" s="131"/>
      <c r="H268" s="35" t="n">
        <v>0</v>
      </c>
      <c r="I268" s="34" t="n">
        <f aca="false">+IF(E268=0,0,E268*0.03)</f>
        <v>0</v>
      </c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customFormat="false" ht="16.4" hidden="false" customHeight="false" outlineLevel="0" collapsed="false">
      <c r="A269" s="123" t="n">
        <v>45444</v>
      </c>
      <c r="B269" s="31" t="s">
        <v>153</v>
      </c>
      <c r="C269" s="129"/>
      <c r="D269" s="129"/>
      <c r="E269" s="19" t="n">
        <f aca="false">F269*0.03</f>
        <v>0</v>
      </c>
      <c r="F269" s="33" t="n">
        <v>0</v>
      </c>
      <c r="G269" s="131"/>
      <c r="H269" s="35" t="n">
        <v>0</v>
      </c>
      <c r="I269" s="34" t="n">
        <f aca="false">+IF(E269=0,0,E269*0.03)</f>
        <v>0</v>
      </c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customFormat="false" ht="16.4" hidden="false" customHeight="false" outlineLevel="0" collapsed="false">
      <c r="A270" s="123" t="n">
        <v>45444</v>
      </c>
      <c r="B270" s="31" t="s">
        <v>247</v>
      </c>
      <c r="C270" s="129"/>
      <c r="D270" s="129"/>
      <c r="E270" s="19" t="n">
        <f aca="false">F270*0.03</f>
        <v>0</v>
      </c>
      <c r="F270" s="33" t="n">
        <v>0</v>
      </c>
      <c r="G270" s="131"/>
      <c r="H270" s="35" t="n">
        <v>0</v>
      </c>
      <c r="I270" s="34" t="n">
        <f aca="false">+IF(E270=0,0,E270*0.03)</f>
        <v>0</v>
      </c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customFormat="false" ht="16.4" hidden="false" customHeight="false" outlineLevel="0" collapsed="false">
      <c r="A271" s="123" t="n">
        <v>45444</v>
      </c>
      <c r="B271" s="31" t="s">
        <v>246</v>
      </c>
      <c r="C271" s="129"/>
      <c r="D271" s="129"/>
      <c r="E271" s="19" t="n">
        <f aca="false">F271*0.03</f>
        <v>0</v>
      </c>
      <c r="F271" s="33" t="n">
        <v>0</v>
      </c>
      <c r="G271" s="131"/>
      <c r="H271" s="35" t="n">
        <v>0</v>
      </c>
      <c r="I271" s="34" t="n">
        <f aca="false">+IF(E271=0,0,E271*0.03)</f>
        <v>0</v>
      </c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customFormat="false" ht="16.4" hidden="false" customHeight="false" outlineLevel="0" collapsed="false">
      <c r="A272" s="123" t="n">
        <v>45444</v>
      </c>
      <c r="B272" s="31" t="s">
        <v>239</v>
      </c>
      <c r="C272" s="129"/>
      <c r="D272" s="129"/>
      <c r="E272" s="19" t="n">
        <f aca="false">F272*0.03</f>
        <v>0</v>
      </c>
      <c r="F272" s="33" t="n">
        <v>0</v>
      </c>
      <c r="G272" s="131"/>
      <c r="H272" s="35" t="n">
        <v>0</v>
      </c>
      <c r="I272" s="34" t="n">
        <f aca="false">+IF(E272=0,0,E272*0.03)</f>
        <v>0</v>
      </c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customFormat="false" ht="16.4" hidden="false" customHeight="false" outlineLevel="0" collapsed="false">
      <c r="A273" s="123" t="n">
        <v>45444</v>
      </c>
      <c r="B273" s="31" t="s">
        <v>7</v>
      </c>
      <c r="C273" s="129"/>
      <c r="D273" s="129"/>
      <c r="E273" s="19" t="n">
        <f aca="false">F273*0.03</f>
        <v>0</v>
      </c>
      <c r="F273" s="33" t="n">
        <v>0</v>
      </c>
      <c r="G273" s="131"/>
      <c r="H273" s="35" t="n">
        <v>0</v>
      </c>
      <c r="I273" s="34" t="n">
        <f aca="false">+IF(E273=0,0,E273*0.03)</f>
        <v>0</v>
      </c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customFormat="false" ht="16.4" hidden="false" customHeight="false" outlineLevel="0" collapsed="false">
      <c r="A274" s="123" t="n">
        <v>45444</v>
      </c>
      <c r="B274" s="31" t="s">
        <v>240</v>
      </c>
      <c r="C274" s="129"/>
      <c r="D274" s="129"/>
      <c r="E274" s="19" t="n">
        <f aca="false">F274*0.03</f>
        <v>0</v>
      </c>
      <c r="F274" s="33" t="n">
        <v>0</v>
      </c>
      <c r="G274" s="131"/>
      <c r="H274" s="35" t="n">
        <v>0</v>
      </c>
      <c r="I274" s="34" t="n">
        <f aca="false">+IF(E274=0,0,E274*0.03)</f>
        <v>0</v>
      </c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customFormat="false" ht="16.4" hidden="false" customHeight="false" outlineLevel="0" collapsed="false">
      <c r="A275" s="123" t="n">
        <v>45444</v>
      </c>
      <c r="B275" s="31" t="s">
        <v>153</v>
      </c>
      <c r="C275" s="129"/>
      <c r="D275" s="129"/>
      <c r="E275" s="19" t="n">
        <f aca="false">F275*0.03</f>
        <v>0</v>
      </c>
      <c r="F275" s="33" t="n">
        <v>0</v>
      </c>
      <c r="G275" s="131"/>
      <c r="H275" s="35" t="n">
        <v>0</v>
      </c>
      <c r="I275" s="34" t="n">
        <f aca="false">+IF(E275=0,0,E275*0.03)</f>
        <v>0</v>
      </c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customFormat="false" ht="16.4" hidden="false" customHeight="false" outlineLevel="0" collapsed="false">
      <c r="A276" s="123" t="n">
        <v>45444</v>
      </c>
      <c r="B276" s="31" t="s">
        <v>247</v>
      </c>
      <c r="C276" s="129"/>
      <c r="D276" s="129"/>
      <c r="E276" s="19" t="n">
        <f aca="false">F276*0.03</f>
        <v>0</v>
      </c>
      <c r="F276" s="33" t="n">
        <v>0</v>
      </c>
      <c r="G276" s="131"/>
      <c r="H276" s="35" t="n">
        <v>0</v>
      </c>
      <c r="I276" s="34" t="n">
        <f aca="false">+IF(E276=0,0,E276*0.03)</f>
        <v>0</v>
      </c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customFormat="false" ht="16.4" hidden="false" customHeight="false" outlineLevel="0" collapsed="false">
      <c r="A277" s="123" t="n">
        <v>45444</v>
      </c>
      <c r="B277" s="31" t="s">
        <v>246</v>
      </c>
      <c r="C277" s="129"/>
      <c r="D277" s="129"/>
      <c r="E277" s="19" t="n">
        <f aca="false">F277*0.03</f>
        <v>0</v>
      </c>
      <c r="F277" s="33" t="n">
        <v>0</v>
      </c>
      <c r="G277" s="131"/>
      <c r="H277" s="35" t="n">
        <v>0</v>
      </c>
      <c r="I277" s="34" t="n">
        <f aca="false">+IF(E277=0,0,E277*0.03)</f>
        <v>0</v>
      </c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customFormat="false" ht="16.4" hidden="false" customHeight="false" outlineLevel="0" collapsed="false">
      <c r="A278" s="123" t="n">
        <v>45444</v>
      </c>
      <c r="B278" s="31" t="s">
        <v>239</v>
      </c>
      <c r="C278" s="129"/>
      <c r="D278" s="129"/>
      <c r="E278" s="19" t="n">
        <f aca="false">F278*0.03</f>
        <v>0</v>
      </c>
      <c r="F278" s="33" t="n">
        <v>0</v>
      </c>
      <c r="G278" s="131"/>
      <c r="H278" s="35" t="n">
        <v>0</v>
      </c>
      <c r="I278" s="34" t="n">
        <f aca="false">+IF(E278=0,0,E278*0.03)</f>
        <v>0</v>
      </c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customFormat="false" ht="16.4" hidden="false" customHeight="false" outlineLevel="0" collapsed="false">
      <c r="A279" s="123" t="n">
        <v>45444</v>
      </c>
      <c r="B279" s="31" t="s">
        <v>7</v>
      </c>
      <c r="C279" s="129"/>
      <c r="D279" s="129"/>
      <c r="E279" s="19" t="n">
        <f aca="false">F279*0.03</f>
        <v>0</v>
      </c>
      <c r="F279" s="33" t="n">
        <v>0</v>
      </c>
      <c r="G279" s="131"/>
      <c r="H279" s="35" t="n">
        <v>0</v>
      </c>
      <c r="I279" s="34" t="n">
        <f aca="false">+IF(E279=0,0,E279*0.03)</f>
        <v>0</v>
      </c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customFormat="false" ht="16.4" hidden="false" customHeight="false" outlineLevel="0" collapsed="false">
      <c r="A280" s="123" t="n">
        <v>45444</v>
      </c>
      <c r="B280" s="31" t="s">
        <v>240</v>
      </c>
      <c r="C280" s="129"/>
      <c r="D280" s="129"/>
      <c r="E280" s="19" t="n">
        <f aca="false">F280*0.03</f>
        <v>0</v>
      </c>
      <c r="F280" s="33" t="n">
        <v>0</v>
      </c>
      <c r="G280" s="131"/>
      <c r="H280" s="35" t="n">
        <v>0</v>
      </c>
      <c r="I280" s="34" t="n">
        <f aca="false">+IF(E280=0,0,E280*0.03)</f>
        <v>0</v>
      </c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customFormat="false" ht="16.4" hidden="false" customHeight="false" outlineLevel="0" collapsed="false">
      <c r="A281" s="123" t="n">
        <v>45444</v>
      </c>
      <c r="B281" s="31" t="s">
        <v>153</v>
      </c>
      <c r="C281" s="129"/>
      <c r="D281" s="129"/>
      <c r="E281" s="19" t="n">
        <f aca="false">F281*0.03</f>
        <v>0</v>
      </c>
      <c r="F281" s="33" t="n">
        <v>0</v>
      </c>
      <c r="G281" s="131"/>
      <c r="H281" s="35" t="n">
        <v>0</v>
      </c>
      <c r="I281" s="34" t="n">
        <f aca="false">+IF(E281=0,0,E281*0.03)</f>
        <v>0</v>
      </c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customFormat="false" ht="16.4" hidden="false" customHeight="false" outlineLevel="0" collapsed="false">
      <c r="A282" s="123" t="n">
        <v>45444</v>
      </c>
      <c r="B282" s="31" t="s">
        <v>247</v>
      </c>
      <c r="C282" s="129"/>
      <c r="D282" s="129"/>
      <c r="E282" s="19" t="n">
        <f aca="false">F282*0.03</f>
        <v>0</v>
      </c>
      <c r="F282" s="33" t="n">
        <v>0</v>
      </c>
      <c r="G282" s="131"/>
      <c r="H282" s="35" t="n">
        <v>0</v>
      </c>
      <c r="I282" s="34" t="n">
        <f aca="false">+IF(E282=0,0,E282*0.03)</f>
        <v>0</v>
      </c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customFormat="false" ht="16.4" hidden="false" customHeight="false" outlineLevel="0" collapsed="false">
      <c r="A283" s="123" t="n">
        <v>45444</v>
      </c>
      <c r="B283" s="31" t="s">
        <v>246</v>
      </c>
      <c r="C283" s="129"/>
      <c r="D283" s="129"/>
      <c r="E283" s="19" t="n">
        <f aca="false">F283*0.03</f>
        <v>0</v>
      </c>
      <c r="F283" s="33" t="n">
        <v>0</v>
      </c>
      <c r="G283" s="131"/>
      <c r="H283" s="35" t="n">
        <v>0</v>
      </c>
      <c r="I283" s="34" t="n">
        <f aca="false">+IF(E283=0,0,E283*0.03)</f>
        <v>0</v>
      </c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customFormat="false" ht="16.4" hidden="false" customHeight="false" outlineLevel="0" collapsed="false">
      <c r="A284" s="123" t="n">
        <v>45444</v>
      </c>
      <c r="B284" s="31" t="s">
        <v>239</v>
      </c>
      <c r="C284" s="129"/>
      <c r="D284" s="129"/>
      <c r="E284" s="19" t="n">
        <f aca="false">F284*0.03</f>
        <v>0</v>
      </c>
      <c r="F284" s="33" t="n">
        <v>0</v>
      </c>
      <c r="G284" s="131"/>
      <c r="H284" s="35" t="n">
        <v>0</v>
      </c>
      <c r="I284" s="34" t="n">
        <f aca="false">+IF(E284=0,0,E284*0.03)</f>
        <v>0</v>
      </c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customFormat="false" ht="16.4" hidden="false" customHeight="false" outlineLevel="0" collapsed="false">
      <c r="A285" s="123" t="n">
        <v>45444</v>
      </c>
      <c r="B285" s="31" t="s">
        <v>7</v>
      </c>
      <c r="C285" s="129"/>
      <c r="D285" s="129"/>
      <c r="E285" s="19" t="n">
        <f aca="false">F285*0.03</f>
        <v>0</v>
      </c>
      <c r="F285" s="33" t="n">
        <v>0</v>
      </c>
      <c r="G285" s="131"/>
      <c r="H285" s="35" t="n">
        <v>0</v>
      </c>
      <c r="I285" s="34" t="n">
        <f aca="false">+IF(E285=0,0,E285*0.03)</f>
        <v>0</v>
      </c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customFormat="false" ht="16.4" hidden="false" customHeight="false" outlineLevel="0" collapsed="false">
      <c r="A286" s="123" t="n">
        <v>45444</v>
      </c>
      <c r="B286" s="31" t="s">
        <v>240</v>
      </c>
      <c r="C286" s="129"/>
      <c r="D286" s="129"/>
      <c r="E286" s="19" t="n">
        <f aca="false">F286*0.03</f>
        <v>0</v>
      </c>
      <c r="F286" s="33" t="n">
        <v>0</v>
      </c>
      <c r="G286" s="131"/>
      <c r="H286" s="35" t="n">
        <v>0</v>
      </c>
      <c r="I286" s="34" t="n">
        <f aca="false">+IF(E286=0,0,E286*0.03)</f>
        <v>0</v>
      </c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customFormat="false" ht="16.4" hidden="false" customHeight="false" outlineLevel="0" collapsed="false">
      <c r="A287" s="123" t="n">
        <v>45444</v>
      </c>
      <c r="B287" s="31" t="s">
        <v>153</v>
      </c>
      <c r="C287" s="129"/>
      <c r="D287" s="129"/>
      <c r="E287" s="19" t="n">
        <f aca="false">F287*0.03</f>
        <v>0</v>
      </c>
      <c r="F287" s="33" t="n">
        <v>0</v>
      </c>
      <c r="G287" s="131"/>
      <c r="H287" s="35" t="n">
        <v>0</v>
      </c>
      <c r="I287" s="34" t="n">
        <f aca="false">+IF(E287=0,0,E287*0.03)</f>
        <v>0</v>
      </c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customFormat="false" ht="16.4" hidden="false" customHeight="false" outlineLevel="0" collapsed="false">
      <c r="A288" s="123" t="n">
        <v>45444</v>
      </c>
      <c r="B288" s="31" t="s">
        <v>247</v>
      </c>
      <c r="C288" s="129"/>
      <c r="D288" s="129"/>
      <c r="E288" s="19" t="n">
        <f aca="false">F288*0.03</f>
        <v>0</v>
      </c>
      <c r="F288" s="33" t="n">
        <v>0</v>
      </c>
      <c r="G288" s="131"/>
      <c r="H288" s="35" t="n">
        <v>0</v>
      </c>
      <c r="I288" s="34" t="n">
        <f aca="false">+IF(E288=0,0,E288*0.03)</f>
        <v>0</v>
      </c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customFormat="false" ht="16.4" hidden="false" customHeight="false" outlineLevel="0" collapsed="false">
      <c r="A289" s="123" t="n">
        <v>45444</v>
      </c>
      <c r="B289" s="31" t="s">
        <v>246</v>
      </c>
      <c r="C289" s="129"/>
      <c r="D289" s="129"/>
      <c r="E289" s="19" t="n">
        <f aca="false">F289*0.03</f>
        <v>0</v>
      </c>
      <c r="F289" s="33" t="n">
        <v>0</v>
      </c>
      <c r="G289" s="131"/>
      <c r="H289" s="35" t="n">
        <v>0</v>
      </c>
      <c r="I289" s="34" t="n">
        <f aca="false">+IF(E289=0,0,E289*0.03)</f>
        <v>0</v>
      </c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customFormat="false" ht="16.4" hidden="false" customHeight="false" outlineLevel="0" collapsed="false">
      <c r="A290" s="123" t="n">
        <v>45444</v>
      </c>
      <c r="B290" s="31" t="s">
        <v>239</v>
      </c>
      <c r="C290" s="129"/>
      <c r="D290" s="129"/>
      <c r="E290" s="19" t="n">
        <f aca="false">F290*0.03</f>
        <v>0</v>
      </c>
      <c r="F290" s="33" t="n">
        <v>0</v>
      </c>
      <c r="G290" s="131"/>
      <c r="H290" s="35" t="n">
        <v>0</v>
      </c>
      <c r="I290" s="34" t="n">
        <f aca="false">+IF(E290=0,0,E290*0.03)</f>
        <v>0</v>
      </c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customFormat="false" ht="16.4" hidden="false" customHeight="false" outlineLevel="0" collapsed="false">
      <c r="A291" s="123" t="n">
        <v>45444</v>
      </c>
      <c r="B291" s="31" t="s">
        <v>7</v>
      </c>
      <c r="C291" s="129"/>
      <c r="D291" s="129"/>
      <c r="E291" s="19" t="n">
        <f aca="false">F291*0.03</f>
        <v>0</v>
      </c>
      <c r="F291" s="33" t="n">
        <v>0</v>
      </c>
      <c r="G291" s="131"/>
      <c r="H291" s="35" t="n">
        <v>0</v>
      </c>
      <c r="I291" s="34" t="n">
        <f aca="false">+IF(E291=0,0,E291*0.03)</f>
        <v>0</v>
      </c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customFormat="false" ht="16.4" hidden="false" customHeight="false" outlineLevel="0" collapsed="false">
      <c r="A292" s="123" t="n">
        <v>45444</v>
      </c>
      <c r="B292" s="31" t="s">
        <v>240</v>
      </c>
      <c r="C292" s="129"/>
      <c r="D292" s="129"/>
      <c r="E292" s="19" t="n">
        <f aca="false">F292*0.03</f>
        <v>0</v>
      </c>
      <c r="F292" s="33" t="n">
        <v>0</v>
      </c>
      <c r="G292" s="131"/>
      <c r="H292" s="35" t="n">
        <v>0</v>
      </c>
      <c r="I292" s="34" t="n">
        <f aca="false">+IF(E292=0,0,E292*0.03)</f>
        <v>0</v>
      </c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customFormat="false" ht="16.4" hidden="false" customHeight="false" outlineLevel="0" collapsed="false">
      <c r="A293" s="123" t="n">
        <v>45444</v>
      </c>
      <c r="B293" s="31" t="s">
        <v>153</v>
      </c>
      <c r="C293" s="129"/>
      <c r="D293" s="129"/>
      <c r="E293" s="19" t="n">
        <f aca="false">F293*0.03</f>
        <v>0</v>
      </c>
      <c r="F293" s="33" t="n">
        <v>0</v>
      </c>
      <c r="G293" s="131"/>
      <c r="H293" s="35" t="n">
        <v>0</v>
      </c>
      <c r="I293" s="34" t="n">
        <f aca="false">+IF(E293=0,0,E293*0.03)</f>
        <v>0</v>
      </c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customFormat="false" ht="16.4" hidden="false" customHeight="false" outlineLevel="0" collapsed="false">
      <c r="A294" s="123" t="n">
        <v>45444</v>
      </c>
      <c r="B294" s="31" t="s">
        <v>247</v>
      </c>
      <c r="C294" s="129"/>
      <c r="D294" s="129"/>
      <c r="E294" s="19" t="n">
        <f aca="false">F294*0.03</f>
        <v>0</v>
      </c>
      <c r="F294" s="33" t="n">
        <v>0</v>
      </c>
      <c r="G294" s="131"/>
      <c r="H294" s="35" t="n">
        <v>0</v>
      </c>
      <c r="I294" s="34" t="n">
        <f aca="false">+IF(E294=0,0,E294*0.03)</f>
        <v>0</v>
      </c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customFormat="false" ht="16.4" hidden="false" customHeight="false" outlineLevel="0" collapsed="false">
      <c r="A295" s="123" t="n">
        <v>45444</v>
      </c>
      <c r="B295" s="31" t="s">
        <v>246</v>
      </c>
      <c r="C295" s="129"/>
      <c r="D295" s="129"/>
      <c r="E295" s="19" t="n">
        <f aca="false">F295*0.03</f>
        <v>0</v>
      </c>
      <c r="F295" s="33" t="n">
        <v>0</v>
      </c>
      <c r="G295" s="131"/>
      <c r="H295" s="35" t="n">
        <v>0</v>
      </c>
      <c r="I295" s="34" t="n">
        <f aca="false">+IF(E295=0,0,E295*0.03)</f>
        <v>0</v>
      </c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customFormat="false" ht="16.4" hidden="false" customHeight="false" outlineLevel="0" collapsed="false">
      <c r="A296" s="123" t="n">
        <v>45444</v>
      </c>
      <c r="B296" s="31" t="s">
        <v>239</v>
      </c>
      <c r="C296" s="129"/>
      <c r="D296" s="129"/>
      <c r="E296" s="19" t="n">
        <f aca="false">F296*0.03</f>
        <v>0</v>
      </c>
      <c r="F296" s="33" t="n">
        <v>0</v>
      </c>
      <c r="G296" s="131"/>
      <c r="H296" s="35" t="n">
        <v>0</v>
      </c>
      <c r="I296" s="34" t="n">
        <f aca="false">+IF(E296=0,0,E296*0.03)</f>
        <v>0</v>
      </c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customFormat="false" ht="16.4" hidden="false" customHeight="false" outlineLevel="0" collapsed="false">
      <c r="A297" s="123" t="n">
        <v>45444</v>
      </c>
      <c r="B297" s="31" t="s">
        <v>7</v>
      </c>
      <c r="C297" s="129"/>
      <c r="D297" s="129"/>
      <c r="E297" s="19" t="n">
        <f aca="false">F297*0.03</f>
        <v>0</v>
      </c>
      <c r="F297" s="33" t="n">
        <v>0</v>
      </c>
      <c r="G297" s="131"/>
      <c r="H297" s="35" t="n">
        <v>0</v>
      </c>
      <c r="I297" s="34" t="n">
        <f aca="false">+IF(E297=0,0,E297*0.03)</f>
        <v>0</v>
      </c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customFormat="false" ht="16.4" hidden="false" customHeight="false" outlineLevel="0" collapsed="false">
      <c r="A298" s="123" t="n">
        <v>45444</v>
      </c>
      <c r="B298" s="31" t="s">
        <v>240</v>
      </c>
      <c r="C298" s="129"/>
      <c r="D298" s="129"/>
      <c r="E298" s="19" t="n">
        <f aca="false">F298*0.03</f>
        <v>0</v>
      </c>
      <c r="F298" s="33" t="n">
        <v>0</v>
      </c>
      <c r="G298" s="131"/>
      <c r="H298" s="35" t="n">
        <v>0</v>
      </c>
      <c r="I298" s="34" t="n">
        <f aca="false">+IF(E298=0,0,E298*0.03)</f>
        <v>0</v>
      </c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customFormat="false" ht="16.4" hidden="false" customHeight="false" outlineLevel="0" collapsed="false">
      <c r="A299" s="123" t="n">
        <v>45444</v>
      </c>
      <c r="B299" s="31" t="s">
        <v>153</v>
      </c>
      <c r="C299" s="129"/>
      <c r="D299" s="129"/>
      <c r="E299" s="19" t="n">
        <f aca="false">F299*0.03</f>
        <v>0</v>
      </c>
      <c r="F299" s="33" t="n">
        <v>0</v>
      </c>
      <c r="G299" s="131"/>
      <c r="H299" s="35" t="n">
        <v>0</v>
      </c>
      <c r="I299" s="34" t="n">
        <f aca="false">+IF(E299=0,0,E299*0.03)</f>
        <v>0</v>
      </c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customFormat="false" ht="16.4" hidden="false" customHeight="false" outlineLevel="0" collapsed="false">
      <c r="A300" s="123" t="n">
        <v>45444</v>
      </c>
      <c r="B300" s="31" t="s">
        <v>247</v>
      </c>
      <c r="C300" s="129"/>
      <c r="D300" s="129"/>
      <c r="E300" s="19" t="n">
        <f aca="false">F300*0.03</f>
        <v>0</v>
      </c>
      <c r="F300" s="33" t="n">
        <v>0</v>
      </c>
      <c r="G300" s="131"/>
      <c r="H300" s="35" t="n">
        <v>0</v>
      </c>
      <c r="I300" s="34" t="n">
        <f aca="false">+IF(E300=0,0,E300*0.03)</f>
        <v>0</v>
      </c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customFormat="false" ht="16.4" hidden="false" customHeight="false" outlineLevel="0" collapsed="false">
      <c r="A301" s="123" t="n">
        <v>45444</v>
      </c>
      <c r="B301" s="31" t="s">
        <v>246</v>
      </c>
      <c r="C301" s="129"/>
      <c r="D301" s="129"/>
      <c r="E301" s="19" t="n">
        <f aca="false">F301*0.03</f>
        <v>0</v>
      </c>
      <c r="F301" s="33" t="n">
        <v>0</v>
      </c>
      <c r="G301" s="131"/>
      <c r="H301" s="35" t="n">
        <v>0</v>
      </c>
      <c r="I301" s="34" t="n">
        <f aca="false">+IF(E301=0,0,E301*0.03)</f>
        <v>0</v>
      </c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customFormat="false" ht="16.4" hidden="false" customHeight="false" outlineLevel="0" collapsed="false">
      <c r="A302" s="123" t="n">
        <v>45444</v>
      </c>
      <c r="B302" s="31" t="s">
        <v>239</v>
      </c>
      <c r="C302" s="129"/>
      <c r="D302" s="129"/>
      <c r="E302" s="19" t="n">
        <f aca="false">F302*0.03</f>
        <v>0</v>
      </c>
      <c r="F302" s="33" t="n">
        <v>0</v>
      </c>
      <c r="G302" s="131"/>
      <c r="H302" s="35" t="n">
        <v>0</v>
      </c>
      <c r="I302" s="34" t="n">
        <f aca="false">+IF(E302=0,0,E302*0.03)</f>
        <v>0</v>
      </c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customFormat="false" ht="16.4" hidden="false" customHeight="false" outlineLevel="0" collapsed="false">
      <c r="A303" s="123" t="n">
        <v>45444</v>
      </c>
      <c r="B303" s="31" t="s">
        <v>7</v>
      </c>
      <c r="C303" s="129"/>
      <c r="D303" s="129"/>
      <c r="E303" s="19" t="n">
        <f aca="false">F303*0.03</f>
        <v>0</v>
      </c>
      <c r="F303" s="33" t="n">
        <v>0</v>
      </c>
      <c r="G303" s="131"/>
      <c r="H303" s="35" t="n">
        <v>0</v>
      </c>
      <c r="I303" s="34" t="n">
        <f aca="false">+IF(E303=0,0,E303*0.03)</f>
        <v>0</v>
      </c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customFormat="false" ht="16.4" hidden="false" customHeight="false" outlineLevel="0" collapsed="false">
      <c r="A304" s="123" t="n">
        <v>45444</v>
      </c>
      <c r="B304" s="31" t="s">
        <v>240</v>
      </c>
      <c r="C304" s="129"/>
      <c r="D304" s="129"/>
      <c r="E304" s="19" t="n">
        <f aca="false">F304*0.03</f>
        <v>0</v>
      </c>
      <c r="F304" s="33" t="n">
        <v>0</v>
      </c>
      <c r="G304" s="131"/>
      <c r="H304" s="35" t="n">
        <v>0</v>
      </c>
      <c r="I304" s="34" t="n">
        <f aca="false">+IF(E304=0,0,E304*0.03)</f>
        <v>0</v>
      </c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customFormat="false" ht="16.4" hidden="false" customHeight="false" outlineLevel="0" collapsed="false">
      <c r="A305" s="123" t="n">
        <v>45444</v>
      </c>
      <c r="B305" s="31" t="s">
        <v>153</v>
      </c>
      <c r="C305" s="129"/>
      <c r="D305" s="129"/>
      <c r="E305" s="19" t="n">
        <f aca="false">F305*0.03</f>
        <v>0</v>
      </c>
      <c r="F305" s="33" t="n">
        <v>0</v>
      </c>
      <c r="G305" s="131"/>
      <c r="H305" s="35" t="n">
        <v>0</v>
      </c>
      <c r="I305" s="34" t="n">
        <f aca="false">+IF(E305=0,0,E305*0.03)</f>
        <v>0</v>
      </c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customFormat="false" ht="16.4" hidden="false" customHeight="false" outlineLevel="0" collapsed="false">
      <c r="A306" s="123" t="n">
        <v>45444</v>
      </c>
      <c r="B306" s="31" t="s">
        <v>247</v>
      </c>
      <c r="C306" s="129"/>
      <c r="D306" s="129"/>
      <c r="E306" s="19" t="n">
        <f aca="false">F306*0.03</f>
        <v>0</v>
      </c>
      <c r="F306" s="33" t="n">
        <v>0</v>
      </c>
      <c r="G306" s="131"/>
      <c r="H306" s="35" t="n">
        <v>0</v>
      </c>
      <c r="I306" s="34" t="n">
        <f aca="false">+IF(E306=0,0,E306*0.03)</f>
        <v>0</v>
      </c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customFormat="false" ht="16.4" hidden="false" customHeight="false" outlineLevel="0" collapsed="false">
      <c r="A307" s="123" t="n">
        <v>45444</v>
      </c>
      <c r="B307" s="31" t="s">
        <v>246</v>
      </c>
      <c r="C307" s="129"/>
      <c r="D307" s="129"/>
      <c r="E307" s="19" t="n">
        <f aca="false">F307*0.03</f>
        <v>0</v>
      </c>
      <c r="F307" s="33" t="n">
        <v>0</v>
      </c>
      <c r="G307" s="131"/>
      <c r="H307" s="35" t="n">
        <v>0</v>
      </c>
      <c r="I307" s="34" t="n">
        <f aca="false">+IF(E307=0,0,E307*0.03)</f>
        <v>0</v>
      </c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customFormat="false" ht="16.4" hidden="false" customHeight="false" outlineLevel="0" collapsed="false">
      <c r="A308" s="123" t="n">
        <v>45444</v>
      </c>
      <c r="B308" s="31" t="s">
        <v>239</v>
      </c>
      <c r="C308" s="129"/>
      <c r="D308" s="129"/>
      <c r="E308" s="19" t="n">
        <f aca="false">F308*0.03</f>
        <v>0</v>
      </c>
      <c r="F308" s="33" t="n">
        <v>0</v>
      </c>
      <c r="G308" s="131"/>
      <c r="H308" s="35" t="n">
        <v>0</v>
      </c>
      <c r="I308" s="34" t="n">
        <f aca="false">+IF(E308=0,0,E308*0.03)</f>
        <v>0</v>
      </c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customFormat="false" ht="16.4" hidden="false" customHeight="false" outlineLevel="0" collapsed="false">
      <c r="A309" s="123" t="n">
        <v>45444</v>
      </c>
      <c r="B309" s="31" t="s">
        <v>7</v>
      </c>
      <c r="C309" s="129"/>
      <c r="D309" s="129"/>
      <c r="E309" s="19" t="n">
        <f aca="false">F309*0.03</f>
        <v>0</v>
      </c>
      <c r="F309" s="33" t="n">
        <v>0</v>
      </c>
      <c r="G309" s="131"/>
      <c r="H309" s="35" t="n">
        <v>0</v>
      </c>
      <c r="I309" s="34" t="n">
        <f aca="false">+IF(E309=0,0,E309*0.03)</f>
        <v>0</v>
      </c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customFormat="false" ht="16.4" hidden="false" customHeight="false" outlineLevel="0" collapsed="false">
      <c r="A310" s="123" t="n">
        <v>45444</v>
      </c>
      <c r="B310" s="31" t="s">
        <v>240</v>
      </c>
      <c r="C310" s="129"/>
      <c r="D310" s="129"/>
      <c r="E310" s="19" t="n">
        <f aca="false">F310*0.03</f>
        <v>0</v>
      </c>
      <c r="F310" s="33" t="n">
        <v>0</v>
      </c>
      <c r="G310" s="131"/>
      <c r="H310" s="35" t="n">
        <v>0</v>
      </c>
      <c r="I310" s="34" t="n">
        <f aca="false">+IF(E310=0,0,E310*0.03)</f>
        <v>0</v>
      </c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customFormat="false" ht="16.4" hidden="false" customHeight="false" outlineLevel="0" collapsed="false">
      <c r="A311" s="123" t="n">
        <v>45444</v>
      </c>
      <c r="B311" s="31" t="s">
        <v>153</v>
      </c>
      <c r="C311" s="129"/>
      <c r="D311" s="129"/>
      <c r="E311" s="19" t="n">
        <f aca="false">F311*0.03</f>
        <v>0</v>
      </c>
      <c r="F311" s="33" t="n">
        <v>0</v>
      </c>
      <c r="G311" s="131"/>
      <c r="H311" s="35" t="n">
        <v>0</v>
      </c>
      <c r="I311" s="34" t="n">
        <f aca="false">+IF(E311=0,0,E311*0.03)</f>
        <v>0</v>
      </c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customFormat="false" ht="16.4" hidden="false" customHeight="false" outlineLevel="0" collapsed="false">
      <c r="A312" s="123" t="n">
        <v>45444</v>
      </c>
      <c r="B312" s="31" t="s">
        <v>247</v>
      </c>
      <c r="C312" s="129"/>
      <c r="D312" s="129"/>
      <c r="E312" s="19" t="n">
        <f aca="false">F312*0.03</f>
        <v>0</v>
      </c>
      <c r="F312" s="33" t="n">
        <v>0</v>
      </c>
      <c r="G312" s="131"/>
      <c r="H312" s="35" t="n">
        <v>0</v>
      </c>
      <c r="I312" s="34" t="n">
        <f aca="false">+IF(E312=0,0,E312*0.03)</f>
        <v>0</v>
      </c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customFormat="false" ht="16.4" hidden="false" customHeight="false" outlineLevel="0" collapsed="false">
      <c r="A313" s="123" t="n">
        <v>45444</v>
      </c>
      <c r="B313" s="31" t="s">
        <v>246</v>
      </c>
      <c r="C313" s="129"/>
      <c r="D313" s="129"/>
      <c r="E313" s="19" t="n">
        <f aca="false">F313*0.03</f>
        <v>0</v>
      </c>
      <c r="F313" s="33" t="n">
        <v>0</v>
      </c>
      <c r="G313" s="131"/>
      <c r="H313" s="35" t="n">
        <v>0</v>
      </c>
      <c r="I313" s="34" t="n">
        <f aca="false">+IF(E313=0,0,E313*0.03)</f>
        <v>0</v>
      </c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customFormat="false" ht="16.4" hidden="false" customHeight="false" outlineLevel="0" collapsed="false">
      <c r="A314" s="123" t="n">
        <v>45444</v>
      </c>
      <c r="B314" s="31" t="s">
        <v>239</v>
      </c>
      <c r="C314" s="129"/>
      <c r="D314" s="129"/>
      <c r="E314" s="19" t="n">
        <f aca="false">F314*0.03</f>
        <v>0</v>
      </c>
      <c r="F314" s="33" t="n">
        <v>0</v>
      </c>
      <c r="G314" s="131"/>
      <c r="H314" s="35" t="n">
        <v>0</v>
      </c>
      <c r="I314" s="34" t="n">
        <f aca="false">+IF(E314=0,0,E314*0.03)</f>
        <v>0</v>
      </c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customFormat="false" ht="16.4" hidden="false" customHeight="false" outlineLevel="0" collapsed="false">
      <c r="A315" s="123" t="n">
        <v>45444</v>
      </c>
      <c r="B315" s="31" t="s">
        <v>7</v>
      </c>
      <c r="C315" s="129"/>
      <c r="D315" s="129"/>
      <c r="E315" s="19" t="n">
        <f aca="false">F315*0.03</f>
        <v>0</v>
      </c>
      <c r="F315" s="33" t="n">
        <v>0</v>
      </c>
      <c r="G315" s="131"/>
      <c r="H315" s="35" t="n">
        <v>0</v>
      </c>
      <c r="I315" s="34" t="n">
        <f aca="false">+IF(E315=0,0,E315*0.03)</f>
        <v>0</v>
      </c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customFormat="false" ht="16.4" hidden="false" customHeight="false" outlineLevel="0" collapsed="false">
      <c r="A316" s="123" t="n">
        <v>45444</v>
      </c>
      <c r="B316" s="31" t="s">
        <v>240</v>
      </c>
      <c r="C316" s="129"/>
      <c r="D316" s="129"/>
      <c r="E316" s="19" t="n">
        <f aca="false">F316*0.03</f>
        <v>0</v>
      </c>
      <c r="F316" s="33" t="n">
        <v>0</v>
      </c>
      <c r="G316" s="131"/>
      <c r="H316" s="35" t="n">
        <v>0</v>
      </c>
      <c r="I316" s="34" t="n">
        <f aca="false">+IF(E316=0,0,E316*0.03)</f>
        <v>0</v>
      </c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customFormat="false" ht="16.4" hidden="false" customHeight="false" outlineLevel="0" collapsed="false">
      <c r="A317" s="123" t="n">
        <v>45444</v>
      </c>
      <c r="B317" s="31" t="s">
        <v>153</v>
      </c>
      <c r="C317" s="129"/>
      <c r="D317" s="129"/>
      <c r="E317" s="19" t="n">
        <f aca="false">F317*0.03</f>
        <v>0</v>
      </c>
      <c r="F317" s="33" t="n">
        <v>0</v>
      </c>
      <c r="G317" s="131"/>
      <c r="H317" s="35" t="n">
        <v>0</v>
      </c>
      <c r="I317" s="34" t="n">
        <f aca="false">+IF(E317=0,0,E317*0.03)</f>
        <v>0</v>
      </c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customFormat="false" ht="16.4" hidden="false" customHeight="false" outlineLevel="0" collapsed="false">
      <c r="A318" s="123" t="n">
        <v>45444</v>
      </c>
      <c r="B318" s="31" t="s">
        <v>247</v>
      </c>
      <c r="C318" s="129"/>
      <c r="D318" s="129"/>
      <c r="E318" s="19" t="n">
        <f aca="false">F318*0.03</f>
        <v>0</v>
      </c>
      <c r="F318" s="33" t="n">
        <v>0</v>
      </c>
      <c r="G318" s="131"/>
      <c r="H318" s="35" t="n">
        <v>0</v>
      </c>
      <c r="I318" s="34" t="n">
        <f aca="false">+IF(E318=0,0,E318*0.03)</f>
        <v>0</v>
      </c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customFormat="false" ht="16.4" hidden="false" customHeight="false" outlineLevel="0" collapsed="false">
      <c r="A319" s="123" t="n">
        <v>45444</v>
      </c>
      <c r="B319" s="31" t="s">
        <v>246</v>
      </c>
      <c r="C319" s="129"/>
      <c r="D319" s="129"/>
      <c r="E319" s="19" t="n">
        <f aca="false">F319*0.03</f>
        <v>0</v>
      </c>
      <c r="F319" s="33" t="n">
        <v>0</v>
      </c>
      <c r="G319" s="131"/>
      <c r="H319" s="35" t="n">
        <v>0</v>
      </c>
      <c r="I319" s="34" t="n">
        <f aca="false">+IF(E319=0,0,E319*0.03)</f>
        <v>0</v>
      </c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customFormat="false" ht="16.4" hidden="false" customHeight="false" outlineLevel="0" collapsed="false">
      <c r="A320" s="123" t="n">
        <v>45444</v>
      </c>
      <c r="B320" s="31" t="s">
        <v>239</v>
      </c>
      <c r="C320" s="129"/>
      <c r="D320" s="129"/>
      <c r="E320" s="19" t="n">
        <f aca="false">F320*0.03</f>
        <v>0</v>
      </c>
      <c r="F320" s="33" t="n">
        <v>0</v>
      </c>
      <c r="G320" s="131"/>
      <c r="H320" s="35" t="n">
        <v>0</v>
      </c>
      <c r="I320" s="34" t="n">
        <f aca="false">+IF(E320=0,0,E320*0.03)</f>
        <v>0</v>
      </c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customFormat="false" ht="16.4" hidden="false" customHeight="false" outlineLevel="0" collapsed="false">
      <c r="A321" s="123" t="n">
        <v>45444</v>
      </c>
      <c r="B321" s="31" t="s">
        <v>7</v>
      </c>
      <c r="C321" s="129"/>
      <c r="D321" s="129"/>
      <c r="E321" s="19" t="n">
        <f aca="false">F321*0.03</f>
        <v>0</v>
      </c>
      <c r="F321" s="33" t="n">
        <v>0</v>
      </c>
      <c r="G321" s="131"/>
      <c r="H321" s="35" t="n">
        <v>0</v>
      </c>
      <c r="I321" s="34" t="n">
        <f aca="false">+IF(E321=0,0,E321*0.03)</f>
        <v>0</v>
      </c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customFormat="false" ht="16.4" hidden="false" customHeight="false" outlineLevel="0" collapsed="false">
      <c r="A322" s="123" t="n">
        <v>45444</v>
      </c>
      <c r="B322" s="31" t="s">
        <v>240</v>
      </c>
      <c r="C322" s="129"/>
      <c r="D322" s="129"/>
      <c r="E322" s="19" t="n">
        <f aca="false">F322*0.03</f>
        <v>0</v>
      </c>
      <c r="F322" s="33" t="n">
        <v>0</v>
      </c>
      <c r="G322" s="131"/>
      <c r="H322" s="35" t="n">
        <v>0</v>
      </c>
      <c r="I322" s="34" t="n">
        <f aca="false">+IF(E322=0,0,E322*0.03)</f>
        <v>0</v>
      </c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customFormat="false" ht="16.4" hidden="false" customHeight="false" outlineLevel="0" collapsed="false">
      <c r="A323" s="123" t="n">
        <v>45444</v>
      </c>
      <c r="B323" s="31" t="s">
        <v>153</v>
      </c>
      <c r="C323" s="129"/>
      <c r="D323" s="129"/>
      <c r="E323" s="19" t="n">
        <f aca="false">F323*0.03</f>
        <v>0</v>
      </c>
      <c r="F323" s="33" t="n">
        <v>0</v>
      </c>
      <c r="G323" s="131"/>
      <c r="H323" s="35" t="n">
        <v>0</v>
      </c>
      <c r="I323" s="34" t="n">
        <f aca="false">+IF(E323=0,0,E323*0.03)</f>
        <v>0</v>
      </c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customFormat="false" ht="16.4" hidden="false" customHeight="false" outlineLevel="0" collapsed="false">
      <c r="A324" s="123" t="n">
        <v>45444</v>
      </c>
      <c r="B324" s="31" t="s">
        <v>247</v>
      </c>
      <c r="C324" s="129"/>
      <c r="D324" s="129"/>
      <c r="E324" s="19" t="n">
        <f aca="false">F324*0.03</f>
        <v>0</v>
      </c>
      <c r="F324" s="33" t="n">
        <v>0</v>
      </c>
      <c r="G324" s="131"/>
      <c r="H324" s="35" t="n">
        <v>0</v>
      </c>
      <c r="I324" s="34" t="n">
        <f aca="false">+IF(E324=0,0,E324*0.03)</f>
        <v>0</v>
      </c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customFormat="false" ht="16.4" hidden="false" customHeight="false" outlineLevel="0" collapsed="false">
      <c r="A325" s="123" t="n">
        <v>45444</v>
      </c>
      <c r="B325" s="31" t="s">
        <v>246</v>
      </c>
      <c r="C325" s="129"/>
      <c r="D325" s="129"/>
      <c r="E325" s="19" t="n">
        <f aca="false">F325*0.03</f>
        <v>0</v>
      </c>
      <c r="F325" s="33" t="n">
        <v>0</v>
      </c>
      <c r="G325" s="131"/>
      <c r="H325" s="35" t="n">
        <v>0</v>
      </c>
      <c r="I325" s="34" t="n">
        <f aca="false">+IF(E325=0,0,E325*0.03)</f>
        <v>0</v>
      </c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customFormat="false" ht="16.4" hidden="false" customHeight="false" outlineLevel="0" collapsed="false">
      <c r="A326" s="123" t="n">
        <v>45444</v>
      </c>
      <c r="B326" s="31" t="s">
        <v>239</v>
      </c>
      <c r="C326" s="129"/>
      <c r="D326" s="129"/>
      <c r="E326" s="19" t="n">
        <f aca="false">F326*0.03</f>
        <v>0</v>
      </c>
      <c r="F326" s="33" t="n">
        <v>0</v>
      </c>
      <c r="G326" s="131"/>
      <c r="H326" s="35" t="n">
        <v>0</v>
      </c>
      <c r="I326" s="34" t="n">
        <f aca="false">+IF(E326=0,0,E326*0.03)</f>
        <v>0</v>
      </c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customFormat="false" ht="16.4" hidden="false" customHeight="false" outlineLevel="0" collapsed="false">
      <c r="A327" s="123" t="n">
        <v>45444</v>
      </c>
      <c r="B327" s="31" t="s">
        <v>7</v>
      </c>
      <c r="C327" s="129"/>
      <c r="D327" s="129"/>
      <c r="E327" s="19" t="n">
        <f aca="false">F327*0.03</f>
        <v>0</v>
      </c>
      <c r="F327" s="33" t="n">
        <v>0</v>
      </c>
      <c r="G327" s="131"/>
      <c r="H327" s="35" t="n">
        <v>0</v>
      </c>
      <c r="I327" s="34" t="n">
        <f aca="false">+IF(E327=0,0,E327*0.03)</f>
        <v>0</v>
      </c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customFormat="false" ht="16.4" hidden="false" customHeight="false" outlineLevel="0" collapsed="false">
      <c r="A328" s="123" t="n">
        <v>45444</v>
      </c>
      <c r="B328" s="31" t="s">
        <v>240</v>
      </c>
      <c r="C328" s="129"/>
      <c r="D328" s="129"/>
      <c r="E328" s="19" t="n">
        <f aca="false">F328*0.03</f>
        <v>0</v>
      </c>
      <c r="F328" s="33" t="n">
        <v>0</v>
      </c>
      <c r="G328" s="131"/>
      <c r="H328" s="35" t="n">
        <v>0</v>
      </c>
      <c r="I328" s="34" t="n">
        <f aca="false">+IF(E328=0,0,E328*0.03)</f>
        <v>0</v>
      </c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customFormat="false" ht="16.4" hidden="false" customHeight="false" outlineLevel="0" collapsed="false">
      <c r="A329" s="123" t="n">
        <v>45444</v>
      </c>
      <c r="B329" s="31" t="s">
        <v>153</v>
      </c>
      <c r="C329" s="129"/>
      <c r="D329" s="129"/>
      <c r="E329" s="19" t="n">
        <f aca="false">F329*0.03</f>
        <v>0</v>
      </c>
      <c r="F329" s="33" t="n">
        <v>0</v>
      </c>
      <c r="G329" s="131"/>
      <c r="H329" s="35" t="n">
        <v>0</v>
      </c>
      <c r="I329" s="34" t="n">
        <f aca="false">+IF(E329=0,0,E329*0.03)</f>
        <v>0</v>
      </c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customFormat="false" ht="16.4" hidden="false" customHeight="false" outlineLevel="0" collapsed="false">
      <c r="A330" s="123" t="n">
        <v>45444</v>
      </c>
      <c r="B330" s="31" t="s">
        <v>247</v>
      </c>
      <c r="C330" s="129"/>
      <c r="D330" s="129"/>
      <c r="E330" s="19" t="n">
        <f aca="false">F330*0.03</f>
        <v>0</v>
      </c>
      <c r="F330" s="33" t="n">
        <v>0</v>
      </c>
      <c r="G330" s="131"/>
      <c r="H330" s="35" t="n">
        <v>0</v>
      </c>
      <c r="I330" s="34" t="n">
        <f aca="false">+IF(E330=0,0,E330*0.03)</f>
        <v>0</v>
      </c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customFormat="false" ht="16.4" hidden="false" customHeight="false" outlineLevel="0" collapsed="false">
      <c r="A331" s="123" t="n">
        <v>45444</v>
      </c>
      <c r="B331" s="31" t="s">
        <v>246</v>
      </c>
      <c r="C331" s="129"/>
      <c r="D331" s="129"/>
      <c r="E331" s="19" t="n">
        <f aca="false">F331*0.03</f>
        <v>0</v>
      </c>
      <c r="F331" s="33" t="n">
        <v>0</v>
      </c>
      <c r="G331" s="131"/>
      <c r="H331" s="35" t="n">
        <v>0</v>
      </c>
      <c r="I331" s="34" t="n">
        <f aca="false">+IF(E331=0,0,E331*0.03)</f>
        <v>0</v>
      </c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customFormat="false" ht="16.4" hidden="false" customHeight="false" outlineLevel="0" collapsed="false">
      <c r="A332" s="123" t="n">
        <v>45444</v>
      </c>
      <c r="B332" s="31" t="s">
        <v>239</v>
      </c>
      <c r="C332" s="129"/>
      <c r="D332" s="129"/>
      <c r="E332" s="19" t="n">
        <f aca="false">F332*0.03</f>
        <v>0</v>
      </c>
      <c r="F332" s="33" t="n">
        <v>0</v>
      </c>
      <c r="G332" s="131"/>
      <c r="H332" s="35" t="n">
        <v>0</v>
      </c>
      <c r="I332" s="34" t="n">
        <f aca="false">+IF(E332=0,0,E332*0.03)</f>
        <v>0</v>
      </c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customFormat="false" ht="16.4" hidden="false" customHeight="false" outlineLevel="0" collapsed="false">
      <c r="A333" s="123" t="n">
        <v>45444</v>
      </c>
      <c r="B333" s="31" t="s">
        <v>7</v>
      </c>
      <c r="C333" s="129"/>
      <c r="D333" s="129"/>
      <c r="E333" s="19" t="n">
        <f aca="false">F333*0.03</f>
        <v>0</v>
      </c>
      <c r="F333" s="33" t="n">
        <v>0</v>
      </c>
      <c r="G333" s="131"/>
      <c r="H333" s="35" t="n">
        <v>0</v>
      </c>
      <c r="I333" s="34" t="n">
        <f aca="false">+IF(E333=0,0,E333*0.03)</f>
        <v>0</v>
      </c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customFormat="false" ht="16.4" hidden="false" customHeight="false" outlineLevel="0" collapsed="false">
      <c r="A334" s="123" t="n">
        <v>45444</v>
      </c>
      <c r="B334" s="31" t="s">
        <v>240</v>
      </c>
      <c r="C334" s="129"/>
      <c r="D334" s="129"/>
      <c r="E334" s="19" t="n">
        <f aca="false">F334*0.03</f>
        <v>0</v>
      </c>
      <c r="F334" s="33" t="n">
        <v>0</v>
      </c>
      <c r="G334" s="131"/>
      <c r="H334" s="35" t="n">
        <v>0</v>
      </c>
      <c r="I334" s="34" t="n">
        <f aca="false">+IF(E334=0,0,E334*0.03)</f>
        <v>0</v>
      </c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customFormat="false" ht="16.4" hidden="false" customHeight="false" outlineLevel="0" collapsed="false">
      <c r="A335" s="123" t="n">
        <v>45444</v>
      </c>
      <c r="B335" s="31" t="s">
        <v>153</v>
      </c>
      <c r="C335" s="129"/>
      <c r="D335" s="129"/>
      <c r="E335" s="19" t="n">
        <f aca="false">F335*0.03</f>
        <v>0</v>
      </c>
      <c r="F335" s="33" t="n">
        <v>0</v>
      </c>
      <c r="G335" s="131"/>
      <c r="H335" s="35" t="n">
        <v>0</v>
      </c>
      <c r="I335" s="34" t="n">
        <f aca="false">+IF(E335=0,0,E335*0.03)</f>
        <v>0</v>
      </c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customFormat="false" ht="16.4" hidden="false" customHeight="false" outlineLevel="0" collapsed="false">
      <c r="A336" s="123" t="n">
        <v>45444</v>
      </c>
      <c r="B336" s="31" t="s">
        <v>247</v>
      </c>
      <c r="C336" s="129"/>
      <c r="D336" s="129"/>
      <c r="E336" s="19" t="n">
        <f aca="false">F336*0.03</f>
        <v>0</v>
      </c>
      <c r="F336" s="33" t="n">
        <v>0</v>
      </c>
      <c r="G336" s="131"/>
      <c r="H336" s="35" t="n">
        <v>0</v>
      </c>
      <c r="I336" s="34" t="n">
        <f aca="false">+IF(E336=0,0,E336*0.03)</f>
        <v>0</v>
      </c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customFormat="false" ht="16.4" hidden="false" customHeight="false" outlineLevel="0" collapsed="false">
      <c r="A337" s="123" t="n">
        <v>45444</v>
      </c>
      <c r="B337" s="31" t="s">
        <v>246</v>
      </c>
      <c r="C337" s="129"/>
      <c r="D337" s="129"/>
      <c r="E337" s="19" t="n">
        <f aca="false">F337*0.03</f>
        <v>0</v>
      </c>
      <c r="F337" s="33" t="n">
        <v>0</v>
      </c>
      <c r="G337" s="131"/>
      <c r="H337" s="35" t="n">
        <v>0</v>
      </c>
      <c r="I337" s="34" t="n">
        <f aca="false">+IF(E337=0,0,E337*0.03)</f>
        <v>0</v>
      </c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customFormat="false" ht="16.4" hidden="false" customHeight="false" outlineLevel="0" collapsed="false">
      <c r="A338" s="123" t="n">
        <v>45444</v>
      </c>
      <c r="B338" s="31" t="s">
        <v>239</v>
      </c>
      <c r="C338" s="129"/>
      <c r="D338" s="129"/>
      <c r="E338" s="19" t="n">
        <f aca="false">F338*0.03</f>
        <v>0</v>
      </c>
      <c r="F338" s="33" t="n">
        <v>0</v>
      </c>
      <c r="G338" s="131"/>
      <c r="H338" s="35" t="n">
        <v>0</v>
      </c>
      <c r="I338" s="34" t="n">
        <f aca="false">+IF(E338=0,0,E338*0.03)</f>
        <v>0</v>
      </c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customFormat="false" ht="16.4" hidden="false" customHeight="false" outlineLevel="0" collapsed="false">
      <c r="A339" s="123" t="n">
        <v>45444</v>
      </c>
      <c r="B339" s="31" t="s">
        <v>7</v>
      </c>
      <c r="C339" s="129"/>
      <c r="D339" s="129"/>
      <c r="E339" s="19" t="n">
        <f aca="false">F339*0.03</f>
        <v>0</v>
      </c>
      <c r="F339" s="33" t="n">
        <v>0</v>
      </c>
      <c r="G339" s="131"/>
      <c r="H339" s="35" t="n">
        <v>0</v>
      </c>
      <c r="I339" s="34" t="n">
        <f aca="false">+IF(E339=0,0,E339*0.03)</f>
        <v>0</v>
      </c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customFormat="false" ht="16.4" hidden="false" customHeight="false" outlineLevel="0" collapsed="false">
      <c r="A340" s="123" t="n">
        <v>45444</v>
      </c>
      <c r="B340" s="31" t="s">
        <v>240</v>
      </c>
      <c r="C340" s="129"/>
      <c r="D340" s="129"/>
      <c r="E340" s="19" t="n">
        <f aca="false">F340*0.03</f>
        <v>0</v>
      </c>
      <c r="F340" s="33" t="n">
        <v>0</v>
      </c>
      <c r="G340" s="131"/>
      <c r="H340" s="35" t="n">
        <v>0</v>
      </c>
      <c r="I340" s="34" t="n">
        <f aca="false">+IF(E340=0,0,E340*0.03)</f>
        <v>0</v>
      </c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customFormat="false" ht="16.4" hidden="false" customHeight="false" outlineLevel="0" collapsed="false">
      <c r="A341" s="123" t="n">
        <v>45444</v>
      </c>
      <c r="B341" s="31" t="s">
        <v>153</v>
      </c>
      <c r="C341" s="129"/>
      <c r="D341" s="129"/>
      <c r="E341" s="19" t="n">
        <f aca="false">F341*0.03</f>
        <v>0</v>
      </c>
      <c r="F341" s="33" t="n">
        <v>0</v>
      </c>
      <c r="G341" s="131"/>
      <c r="H341" s="35" t="n">
        <v>0</v>
      </c>
      <c r="I341" s="34" t="n">
        <f aca="false">+IF(E341=0,0,E341*0.03)</f>
        <v>0</v>
      </c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customFormat="false" ht="16.4" hidden="false" customHeight="false" outlineLevel="0" collapsed="false">
      <c r="A342" s="123" t="n">
        <v>45444</v>
      </c>
      <c r="B342" s="31" t="s">
        <v>247</v>
      </c>
      <c r="C342" s="129"/>
      <c r="D342" s="129"/>
      <c r="E342" s="19" t="n">
        <f aca="false">F342*0.03</f>
        <v>0</v>
      </c>
      <c r="F342" s="33" t="n">
        <v>0</v>
      </c>
      <c r="G342" s="131"/>
      <c r="H342" s="35" t="n">
        <v>0</v>
      </c>
      <c r="I342" s="34" t="n">
        <f aca="false">+IF(E342=0,0,E342*0.03)</f>
        <v>0</v>
      </c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customFormat="false" ht="16.4" hidden="false" customHeight="false" outlineLevel="0" collapsed="false">
      <c r="A343" s="123" t="n">
        <v>45444</v>
      </c>
      <c r="B343" s="31" t="s">
        <v>246</v>
      </c>
      <c r="C343" s="129"/>
      <c r="D343" s="129"/>
      <c r="E343" s="19" t="n">
        <f aca="false">F343*0.03</f>
        <v>0</v>
      </c>
      <c r="F343" s="33" t="n">
        <v>0</v>
      </c>
      <c r="G343" s="131"/>
      <c r="H343" s="35" t="n">
        <v>0</v>
      </c>
      <c r="I343" s="34" t="n">
        <f aca="false">+IF(E343=0,0,E343*0.03)</f>
        <v>0</v>
      </c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customFormat="false" ht="16.4" hidden="false" customHeight="false" outlineLevel="0" collapsed="false">
      <c r="A344" s="123" t="n">
        <v>45444</v>
      </c>
      <c r="B344" s="31" t="s">
        <v>239</v>
      </c>
      <c r="C344" s="129"/>
      <c r="D344" s="129"/>
      <c r="E344" s="19" t="n">
        <f aca="false">F344*0.03</f>
        <v>0</v>
      </c>
      <c r="F344" s="33" t="n">
        <v>0</v>
      </c>
      <c r="G344" s="131"/>
      <c r="H344" s="35" t="n">
        <v>0</v>
      </c>
      <c r="I344" s="34" t="n">
        <f aca="false">+IF(E344=0,0,E344*0.03)</f>
        <v>0</v>
      </c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customFormat="false" ht="16.4" hidden="false" customHeight="false" outlineLevel="0" collapsed="false">
      <c r="A345" s="123" t="n">
        <v>45444</v>
      </c>
      <c r="B345" s="31" t="s">
        <v>7</v>
      </c>
      <c r="C345" s="129"/>
      <c r="D345" s="129"/>
      <c r="E345" s="19" t="n">
        <f aca="false">F345*0.03</f>
        <v>0</v>
      </c>
      <c r="F345" s="33" t="n">
        <v>0</v>
      </c>
      <c r="G345" s="131"/>
      <c r="H345" s="35" t="n">
        <v>0</v>
      </c>
      <c r="I345" s="34" t="n">
        <f aca="false">+IF(E345=0,0,E345*0.03)</f>
        <v>0</v>
      </c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customFormat="false" ht="16.4" hidden="false" customHeight="false" outlineLevel="0" collapsed="false">
      <c r="A346" s="123" t="n">
        <v>45444</v>
      </c>
      <c r="B346" s="31" t="s">
        <v>240</v>
      </c>
      <c r="C346" s="129"/>
      <c r="D346" s="129"/>
      <c r="E346" s="19" t="n">
        <f aca="false">F346*0.03</f>
        <v>0</v>
      </c>
      <c r="F346" s="33" t="n">
        <v>0</v>
      </c>
      <c r="G346" s="131"/>
      <c r="H346" s="35" t="n">
        <v>0</v>
      </c>
      <c r="I346" s="34" t="n">
        <f aca="false">+IF(E346=0,0,E346*0.03)</f>
        <v>0</v>
      </c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customFormat="false" ht="16.4" hidden="false" customHeight="false" outlineLevel="0" collapsed="false">
      <c r="A347" s="123" t="n">
        <v>45444</v>
      </c>
      <c r="B347" s="31" t="s">
        <v>153</v>
      </c>
      <c r="C347" s="129"/>
      <c r="D347" s="129"/>
      <c r="E347" s="19" t="n">
        <f aca="false">F347*0.03</f>
        <v>0</v>
      </c>
      <c r="F347" s="33" t="n">
        <v>0</v>
      </c>
      <c r="G347" s="131"/>
      <c r="H347" s="35" t="n">
        <v>0</v>
      </c>
      <c r="I347" s="34" t="n">
        <f aca="false">+IF(E347=0,0,E347*0.03)</f>
        <v>0</v>
      </c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customFormat="false" ht="16.4" hidden="false" customHeight="false" outlineLevel="0" collapsed="false">
      <c r="A348" s="123" t="n">
        <v>45444</v>
      </c>
      <c r="B348" s="31" t="s">
        <v>247</v>
      </c>
      <c r="C348" s="129"/>
      <c r="D348" s="129"/>
      <c r="E348" s="19" t="n">
        <f aca="false">F348*0.03</f>
        <v>0</v>
      </c>
      <c r="F348" s="33" t="n">
        <v>0</v>
      </c>
      <c r="G348" s="131"/>
      <c r="H348" s="35" t="n">
        <v>0</v>
      </c>
      <c r="I348" s="34" t="n">
        <f aca="false">+IF(E348=0,0,E348*0.03)</f>
        <v>0</v>
      </c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customFormat="false" ht="16.4" hidden="false" customHeight="false" outlineLevel="0" collapsed="false">
      <c r="A349" s="123" t="n">
        <v>45444</v>
      </c>
      <c r="B349" s="31" t="s">
        <v>246</v>
      </c>
      <c r="C349" s="129"/>
      <c r="D349" s="129"/>
      <c r="E349" s="19" t="n">
        <f aca="false">F349*0.03</f>
        <v>0</v>
      </c>
      <c r="F349" s="33" t="n">
        <v>0</v>
      </c>
      <c r="G349" s="131"/>
      <c r="H349" s="35" t="n">
        <v>0</v>
      </c>
      <c r="I349" s="34" t="n">
        <f aca="false">+IF(E349=0,0,E349*0.03)</f>
        <v>0</v>
      </c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customFormat="false" ht="16.4" hidden="false" customHeight="false" outlineLevel="0" collapsed="false">
      <c r="A350" s="123" t="n">
        <v>45444</v>
      </c>
      <c r="B350" s="31" t="s">
        <v>239</v>
      </c>
      <c r="C350" s="129"/>
      <c r="D350" s="129"/>
      <c r="E350" s="19" t="n">
        <f aca="false">F350*0.03</f>
        <v>0</v>
      </c>
      <c r="F350" s="33" t="n">
        <v>0</v>
      </c>
      <c r="G350" s="131"/>
      <c r="H350" s="35" t="n">
        <v>0</v>
      </c>
      <c r="I350" s="34" t="n">
        <f aca="false">+IF(E350=0,0,E350*0.03)</f>
        <v>0</v>
      </c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customFormat="false" ht="16.4" hidden="false" customHeight="false" outlineLevel="0" collapsed="false">
      <c r="A351" s="123" t="n">
        <v>45444</v>
      </c>
      <c r="B351" s="31" t="s">
        <v>7</v>
      </c>
      <c r="C351" s="129"/>
      <c r="D351" s="129"/>
      <c r="E351" s="19" t="n">
        <f aca="false">F351*0.03</f>
        <v>0</v>
      </c>
      <c r="F351" s="33" t="n">
        <v>0</v>
      </c>
      <c r="G351" s="131"/>
      <c r="H351" s="35" t="n">
        <v>0</v>
      </c>
      <c r="I351" s="34" t="n">
        <f aca="false">+IF(E351=0,0,E351*0.03)</f>
        <v>0</v>
      </c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customFormat="false" ht="16.4" hidden="false" customHeight="false" outlineLevel="0" collapsed="false">
      <c r="A352" s="123" t="n">
        <v>45444</v>
      </c>
      <c r="B352" s="31" t="s">
        <v>240</v>
      </c>
      <c r="C352" s="129"/>
      <c r="D352" s="129"/>
      <c r="E352" s="19" t="n">
        <f aca="false">F352*0.03</f>
        <v>0</v>
      </c>
      <c r="F352" s="33" t="n">
        <v>0</v>
      </c>
      <c r="G352" s="131"/>
      <c r="H352" s="35" t="n">
        <v>0</v>
      </c>
      <c r="I352" s="34" t="n">
        <f aca="false">+IF(E352=0,0,E352*0.03)</f>
        <v>0</v>
      </c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customFormat="false" ht="16.4" hidden="false" customHeight="false" outlineLevel="0" collapsed="false">
      <c r="A353" s="123" t="n">
        <v>45444</v>
      </c>
      <c r="B353" s="31" t="s">
        <v>153</v>
      </c>
      <c r="C353" s="129"/>
      <c r="D353" s="129"/>
      <c r="E353" s="19" t="n">
        <f aca="false">F353*0.03</f>
        <v>0</v>
      </c>
      <c r="F353" s="33" t="n">
        <v>0</v>
      </c>
      <c r="G353" s="131"/>
      <c r="H353" s="35" t="n">
        <v>0</v>
      </c>
      <c r="I353" s="34" t="n">
        <f aca="false">+IF(E353=0,0,E353*0.03)</f>
        <v>0</v>
      </c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customFormat="false" ht="16.4" hidden="false" customHeight="false" outlineLevel="0" collapsed="false">
      <c r="A354" s="123" t="n">
        <v>45444</v>
      </c>
      <c r="B354" s="31" t="s">
        <v>247</v>
      </c>
      <c r="C354" s="129"/>
      <c r="D354" s="129"/>
      <c r="E354" s="19" t="n">
        <f aca="false">F354*0.03</f>
        <v>0</v>
      </c>
      <c r="F354" s="33" t="n">
        <v>0</v>
      </c>
      <c r="G354" s="131"/>
      <c r="H354" s="35" t="n">
        <v>0</v>
      </c>
      <c r="I354" s="34" t="n">
        <f aca="false">+IF(E354=0,0,E354*0.03)</f>
        <v>0</v>
      </c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customFormat="false" ht="16.4" hidden="false" customHeight="false" outlineLevel="0" collapsed="false">
      <c r="A355" s="123" t="n">
        <v>45444</v>
      </c>
      <c r="B355" s="31" t="s">
        <v>246</v>
      </c>
      <c r="C355" s="129"/>
      <c r="D355" s="129"/>
      <c r="E355" s="19" t="n">
        <f aca="false">F355*0.03</f>
        <v>0</v>
      </c>
      <c r="F355" s="33" t="n">
        <v>0</v>
      </c>
      <c r="G355" s="131"/>
      <c r="H355" s="35" t="n">
        <v>0</v>
      </c>
      <c r="I355" s="34" t="n">
        <f aca="false">+IF(E355=0,0,E355*0.03)</f>
        <v>0</v>
      </c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customFormat="false" ht="16.4" hidden="false" customHeight="false" outlineLevel="0" collapsed="false">
      <c r="A356" s="123" t="n">
        <v>45444</v>
      </c>
      <c r="B356" s="31" t="s">
        <v>239</v>
      </c>
      <c r="C356" s="129"/>
      <c r="D356" s="129"/>
      <c r="E356" s="19" t="n">
        <f aca="false">F356*0.03</f>
        <v>0</v>
      </c>
      <c r="F356" s="33" t="n">
        <v>0</v>
      </c>
      <c r="G356" s="131"/>
      <c r="H356" s="35" t="n">
        <v>0</v>
      </c>
      <c r="I356" s="34" t="n">
        <f aca="false">+IF(E356=0,0,E356*0.03)</f>
        <v>0</v>
      </c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customFormat="false" ht="16.4" hidden="false" customHeight="false" outlineLevel="0" collapsed="false">
      <c r="A357" s="123" t="n">
        <v>45444</v>
      </c>
      <c r="B357" s="31" t="s">
        <v>7</v>
      </c>
      <c r="C357" s="129"/>
      <c r="D357" s="129"/>
      <c r="E357" s="19" t="n">
        <f aca="false">F357*0.03</f>
        <v>0</v>
      </c>
      <c r="F357" s="33" t="n">
        <v>0</v>
      </c>
      <c r="G357" s="131"/>
      <c r="H357" s="35" t="n">
        <v>0</v>
      </c>
      <c r="I357" s="34" t="n">
        <f aca="false">+IF(E357=0,0,E357*0.03)</f>
        <v>0</v>
      </c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customFormat="false" ht="16.4" hidden="false" customHeight="false" outlineLevel="0" collapsed="false">
      <c r="A358" s="123" t="n">
        <v>45444</v>
      </c>
      <c r="B358" s="31" t="s">
        <v>240</v>
      </c>
      <c r="C358" s="129"/>
      <c r="D358" s="129"/>
      <c r="E358" s="19" t="n">
        <f aca="false">F358*0.03</f>
        <v>0</v>
      </c>
      <c r="F358" s="33" t="n">
        <v>0</v>
      </c>
      <c r="G358" s="131"/>
      <c r="H358" s="35" t="n">
        <v>0</v>
      </c>
      <c r="I358" s="34" t="n">
        <f aca="false">+IF(E358=0,0,E358*0.03)</f>
        <v>0</v>
      </c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customFormat="false" ht="16.4" hidden="false" customHeight="false" outlineLevel="0" collapsed="false">
      <c r="A359" s="123" t="n">
        <v>45444</v>
      </c>
      <c r="B359" s="31" t="s">
        <v>153</v>
      </c>
      <c r="C359" s="129"/>
      <c r="D359" s="129"/>
      <c r="E359" s="19" t="n">
        <f aca="false">F359*0.03</f>
        <v>0</v>
      </c>
      <c r="F359" s="33" t="n">
        <v>0</v>
      </c>
      <c r="G359" s="131"/>
      <c r="H359" s="35" t="n">
        <v>0</v>
      </c>
      <c r="I359" s="34" t="n">
        <f aca="false">+IF(E359=0,0,E359*0.03)</f>
        <v>0</v>
      </c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customFormat="false" ht="16.4" hidden="false" customHeight="false" outlineLevel="0" collapsed="false">
      <c r="A360" s="123" t="n">
        <v>45444</v>
      </c>
      <c r="B360" s="31" t="s">
        <v>247</v>
      </c>
      <c r="C360" s="129"/>
      <c r="D360" s="129"/>
      <c r="E360" s="19" t="n">
        <f aca="false">F360*0.03</f>
        <v>0</v>
      </c>
      <c r="F360" s="33" t="n">
        <v>0</v>
      </c>
      <c r="G360" s="131"/>
      <c r="H360" s="35" t="n">
        <v>0</v>
      </c>
      <c r="I360" s="34" t="n">
        <f aca="false">+IF(E360=0,0,E360*0.03)</f>
        <v>0</v>
      </c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customFormat="false" ht="16.4" hidden="false" customHeight="false" outlineLevel="0" collapsed="false">
      <c r="A361" s="123" t="n">
        <v>45444</v>
      </c>
      <c r="B361" s="31" t="s">
        <v>246</v>
      </c>
      <c r="C361" s="129"/>
      <c r="D361" s="129"/>
      <c r="E361" s="19" t="n">
        <f aca="false">F361*0.03</f>
        <v>0</v>
      </c>
      <c r="F361" s="33" t="n">
        <v>0</v>
      </c>
      <c r="G361" s="131"/>
      <c r="H361" s="35" t="n">
        <v>0</v>
      </c>
      <c r="I361" s="34" t="n">
        <f aca="false">+IF(E361=0,0,E361*0.03)</f>
        <v>0</v>
      </c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customFormat="false" ht="16.4" hidden="false" customHeight="false" outlineLevel="0" collapsed="false">
      <c r="A362" s="123" t="n">
        <v>45444</v>
      </c>
      <c r="B362" s="31" t="s">
        <v>239</v>
      </c>
      <c r="C362" s="129"/>
      <c r="D362" s="129"/>
      <c r="E362" s="19" t="n">
        <f aca="false">F362*0.03</f>
        <v>0</v>
      </c>
      <c r="F362" s="33" t="n">
        <v>0</v>
      </c>
      <c r="G362" s="131"/>
      <c r="H362" s="35" t="n">
        <v>0</v>
      </c>
      <c r="I362" s="34" t="n">
        <f aca="false">+IF(E362=0,0,E362*0.03)</f>
        <v>0</v>
      </c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customFormat="false" ht="16.4" hidden="false" customHeight="false" outlineLevel="0" collapsed="false">
      <c r="A363" s="123" t="n">
        <v>45444</v>
      </c>
      <c r="B363" s="31" t="s">
        <v>7</v>
      </c>
      <c r="C363" s="129"/>
      <c r="D363" s="129"/>
      <c r="E363" s="19" t="n">
        <f aca="false">F363*0.03</f>
        <v>0</v>
      </c>
      <c r="F363" s="33" t="n">
        <v>0</v>
      </c>
      <c r="G363" s="131"/>
      <c r="H363" s="35" t="n">
        <v>0</v>
      </c>
      <c r="I363" s="34" t="n">
        <f aca="false">+IF(E363=0,0,E363*0.03)</f>
        <v>0</v>
      </c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customFormat="false" ht="16.4" hidden="false" customHeight="false" outlineLevel="0" collapsed="false">
      <c r="A364" s="123" t="n">
        <v>45444</v>
      </c>
      <c r="B364" s="31" t="s">
        <v>240</v>
      </c>
      <c r="C364" s="129"/>
      <c r="D364" s="129"/>
      <c r="E364" s="19" t="n">
        <f aca="false">F364*0.03</f>
        <v>0</v>
      </c>
      <c r="F364" s="33" t="n">
        <v>0</v>
      </c>
      <c r="G364" s="131"/>
      <c r="H364" s="35" t="n">
        <v>0</v>
      </c>
      <c r="I364" s="34" t="n">
        <f aca="false">+IF(E364=0,0,E364*0.03)</f>
        <v>0</v>
      </c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customFormat="false" ht="16.4" hidden="false" customHeight="false" outlineLevel="0" collapsed="false">
      <c r="A365" s="123" t="n">
        <v>45444</v>
      </c>
      <c r="B365" s="31" t="s">
        <v>153</v>
      </c>
      <c r="C365" s="129"/>
      <c r="D365" s="129"/>
      <c r="E365" s="19" t="n">
        <f aca="false">F365*0.03</f>
        <v>0</v>
      </c>
      <c r="F365" s="33" t="n">
        <v>0</v>
      </c>
      <c r="G365" s="131"/>
      <c r="H365" s="35" t="n">
        <v>0</v>
      </c>
      <c r="I365" s="34" t="n">
        <f aca="false">+IF(E365=0,0,E365*0.03)</f>
        <v>0</v>
      </c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customFormat="false" ht="16.4" hidden="false" customHeight="false" outlineLevel="0" collapsed="false">
      <c r="A366" s="123" t="n">
        <v>45444</v>
      </c>
      <c r="B366" s="31" t="s">
        <v>247</v>
      </c>
      <c r="C366" s="129"/>
      <c r="D366" s="129"/>
      <c r="E366" s="19" t="n">
        <f aca="false">F366*0.03</f>
        <v>0</v>
      </c>
      <c r="F366" s="33" t="n">
        <v>0</v>
      </c>
      <c r="G366" s="131"/>
      <c r="H366" s="35" t="n">
        <v>0</v>
      </c>
      <c r="I366" s="34" t="n">
        <f aca="false">+IF(E366=0,0,E366*0.03)</f>
        <v>0</v>
      </c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customFormat="false" ht="16.4" hidden="false" customHeight="false" outlineLevel="0" collapsed="false">
      <c r="A367" s="123" t="n">
        <v>45444</v>
      </c>
      <c r="B367" s="31" t="s">
        <v>246</v>
      </c>
      <c r="C367" s="129"/>
      <c r="D367" s="129"/>
      <c r="E367" s="19" t="n">
        <f aca="false">F367*0.03</f>
        <v>0</v>
      </c>
      <c r="F367" s="33" t="n">
        <v>0</v>
      </c>
      <c r="G367" s="131"/>
      <c r="H367" s="35" t="n">
        <v>0</v>
      </c>
      <c r="I367" s="34" t="n">
        <f aca="false">+IF(E367=0,0,E367*0.03)</f>
        <v>0</v>
      </c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customFormat="false" ht="16.4" hidden="false" customHeight="false" outlineLevel="0" collapsed="false">
      <c r="A368" s="123" t="n">
        <v>45444</v>
      </c>
      <c r="B368" s="31" t="s">
        <v>239</v>
      </c>
      <c r="C368" s="129"/>
      <c r="D368" s="129"/>
      <c r="E368" s="19" t="n">
        <f aca="false">F368*0.03</f>
        <v>0</v>
      </c>
      <c r="F368" s="33" t="n">
        <v>0</v>
      </c>
      <c r="G368" s="131"/>
      <c r="H368" s="35" t="n">
        <v>0</v>
      </c>
      <c r="I368" s="34" t="n">
        <f aca="false">+IF(E368=0,0,E368*0.03)</f>
        <v>0</v>
      </c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customFormat="false" ht="16.4" hidden="false" customHeight="false" outlineLevel="0" collapsed="false">
      <c r="A369" s="123" t="n">
        <v>45444</v>
      </c>
      <c r="B369" s="31" t="s">
        <v>7</v>
      </c>
      <c r="C369" s="129"/>
      <c r="D369" s="129"/>
      <c r="E369" s="19" t="n">
        <f aca="false">F369*0.03</f>
        <v>0</v>
      </c>
      <c r="F369" s="33" t="n">
        <v>0</v>
      </c>
      <c r="G369" s="131"/>
      <c r="H369" s="35" t="n">
        <v>0</v>
      </c>
      <c r="I369" s="34" t="n">
        <f aca="false">+IF(E369=0,0,E369*0.03)</f>
        <v>0</v>
      </c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customFormat="false" ht="16.4" hidden="false" customHeight="false" outlineLevel="0" collapsed="false">
      <c r="A370" s="123" t="n">
        <v>45444</v>
      </c>
      <c r="B370" s="31" t="s">
        <v>240</v>
      </c>
      <c r="C370" s="129"/>
      <c r="D370" s="129"/>
      <c r="E370" s="19" t="n">
        <f aca="false">F370*0.03</f>
        <v>0</v>
      </c>
      <c r="F370" s="33" t="n">
        <v>0</v>
      </c>
      <c r="G370" s="131"/>
      <c r="H370" s="35" t="n">
        <v>0</v>
      </c>
      <c r="I370" s="34" t="n">
        <f aca="false">+IF(E370=0,0,E370*0.03)</f>
        <v>0</v>
      </c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customFormat="false" ht="16.4" hidden="false" customHeight="false" outlineLevel="0" collapsed="false">
      <c r="A371" s="123" t="n">
        <v>45444</v>
      </c>
      <c r="B371" s="31" t="s">
        <v>153</v>
      </c>
      <c r="C371" s="129"/>
      <c r="D371" s="129"/>
      <c r="E371" s="19" t="n">
        <f aca="false">F371*0.03</f>
        <v>0</v>
      </c>
      <c r="F371" s="33" t="n">
        <v>0</v>
      </c>
      <c r="G371" s="131"/>
      <c r="H371" s="35" t="n">
        <v>0</v>
      </c>
      <c r="I371" s="34" t="n">
        <f aca="false">+IF(E371=0,0,E371*0.03)</f>
        <v>0</v>
      </c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customFormat="false" ht="16.4" hidden="false" customHeight="false" outlineLevel="0" collapsed="false">
      <c r="A372" s="123" t="n">
        <v>45444</v>
      </c>
      <c r="B372" s="31" t="s">
        <v>247</v>
      </c>
      <c r="C372" s="129"/>
      <c r="D372" s="129"/>
      <c r="E372" s="19" t="n">
        <f aca="false">F372*0.03</f>
        <v>0</v>
      </c>
      <c r="F372" s="33" t="n">
        <v>0</v>
      </c>
      <c r="G372" s="131"/>
      <c r="H372" s="35" t="n">
        <v>0</v>
      </c>
      <c r="I372" s="34" t="n">
        <f aca="false">+IF(E372=0,0,E372*0.03)</f>
        <v>0</v>
      </c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customFormat="false" ht="16.4" hidden="false" customHeight="false" outlineLevel="0" collapsed="false">
      <c r="A373" s="123" t="n">
        <v>45444</v>
      </c>
      <c r="B373" s="31" t="s">
        <v>246</v>
      </c>
      <c r="C373" s="129"/>
      <c r="D373" s="129"/>
      <c r="E373" s="19" t="n">
        <f aca="false">F373*0.03</f>
        <v>0</v>
      </c>
      <c r="F373" s="33" t="n">
        <v>0</v>
      </c>
      <c r="G373" s="131"/>
      <c r="H373" s="35" t="n">
        <v>0</v>
      </c>
      <c r="I373" s="34" t="n">
        <f aca="false">+IF(E373=0,0,E373*0.03)</f>
        <v>0</v>
      </c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customFormat="false" ht="16.4" hidden="false" customHeight="false" outlineLevel="0" collapsed="false">
      <c r="A374" s="123" t="n">
        <v>45444</v>
      </c>
      <c r="B374" s="31" t="s">
        <v>239</v>
      </c>
      <c r="C374" s="129"/>
      <c r="D374" s="129"/>
      <c r="E374" s="19" t="n">
        <f aca="false">F374*0.03</f>
        <v>0</v>
      </c>
      <c r="F374" s="33" t="n">
        <v>0</v>
      </c>
      <c r="G374" s="131"/>
      <c r="H374" s="35" t="n">
        <v>0</v>
      </c>
      <c r="I374" s="34" t="n">
        <f aca="false">+IF(E374=0,0,E374*0.03)</f>
        <v>0</v>
      </c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customFormat="false" ht="16.4" hidden="false" customHeight="false" outlineLevel="0" collapsed="false">
      <c r="A375" s="123" t="n">
        <v>45444</v>
      </c>
      <c r="B375" s="31" t="s">
        <v>7</v>
      </c>
      <c r="C375" s="129"/>
      <c r="D375" s="129"/>
      <c r="E375" s="19" t="n">
        <f aca="false">F375*0.03</f>
        <v>0</v>
      </c>
      <c r="F375" s="33" t="n">
        <v>0</v>
      </c>
      <c r="G375" s="131"/>
      <c r="H375" s="35" t="n">
        <v>0</v>
      </c>
      <c r="I375" s="34" t="n">
        <f aca="false">+IF(E375=0,0,E375*0.03)</f>
        <v>0</v>
      </c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customFormat="false" ht="16.4" hidden="false" customHeight="false" outlineLevel="0" collapsed="false">
      <c r="A376" s="123" t="n">
        <v>45444</v>
      </c>
      <c r="B376" s="31" t="s">
        <v>240</v>
      </c>
      <c r="C376" s="129"/>
      <c r="D376" s="129"/>
      <c r="E376" s="19" t="n">
        <f aca="false">F376*0.03</f>
        <v>0</v>
      </c>
      <c r="F376" s="33" t="n">
        <v>0</v>
      </c>
      <c r="G376" s="131"/>
      <c r="H376" s="35" t="n">
        <v>0</v>
      </c>
      <c r="I376" s="34" t="n">
        <f aca="false">+IF(E376=0,0,E376*0.03)</f>
        <v>0</v>
      </c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customFormat="false" ht="16.4" hidden="false" customHeight="false" outlineLevel="0" collapsed="false">
      <c r="A377" s="123" t="n">
        <v>45444</v>
      </c>
      <c r="B377" s="31" t="s">
        <v>153</v>
      </c>
      <c r="C377" s="129"/>
      <c r="D377" s="129"/>
      <c r="E377" s="19" t="n">
        <f aca="false">F377*0.03</f>
        <v>0</v>
      </c>
      <c r="F377" s="33" t="n">
        <v>0</v>
      </c>
      <c r="G377" s="131"/>
      <c r="H377" s="35" t="n">
        <v>0</v>
      </c>
      <c r="I377" s="34" t="n">
        <f aca="false">+IF(E377=0,0,E377*0.03)</f>
        <v>0</v>
      </c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customFormat="false" ht="16.4" hidden="false" customHeight="false" outlineLevel="0" collapsed="false">
      <c r="A378" s="123" t="n">
        <v>45444</v>
      </c>
      <c r="B378" s="31" t="s">
        <v>247</v>
      </c>
      <c r="C378" s="129"/>
      <c r="D378" s="129"/>
      <c r="E378" s="19" t="n">
        <f aca="false">F378*0.03</f>
        <v>0</v>
      </c>
      <c r="F378" s="33" t="n">
        <v>0</v>
      </c>
      <c r="G378" s="131"/>
      <c r="H378" s="35" t="n">
        <v>0</v>
      </c>
      <c r="I378" s="34" t="n">
        <f aca="false">+IF(E378=0,0,E378*0.03)</f>
        <v>0</v>
      </c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customFormat="false" ht="16.4" hidden="false" customHeight="false" outlineLevel="0" collapsed="false">
      <c r="A379" s="123" t="n">
        <v>45444</v>
      </c>
      <c r="B379" s="31" t="s">
        <v>246</v>
      </c>
      <c r="C379" s="129"/>
      <c r="D379" s="129"/>
      <c r="E379" s="19" t="n">
        <f aca="false">F379*0.03</f>
        <v>0</v>
      </c>
      <c r="F379" s="33" t="n">
        <v>0</v>
      </c>
      <c r="G379" s="131"/>
      <c r="H379" s="35" t="n">
        <v>0</v>
      </c>
      <c r="I379" s="34" t="n">
        <f aca="false">+IF(E379=0,0,E379*0.03)</f>
        <v>0</v>
      </c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customFormat="false" ht="16.4" hidden="false" customHeight="false" outlineLevel="0" collapsed="false">
      <c r="A380" s="123" t="n">
        <v>45444</v>
      </c>
      <c r="B380" s="31" t="s">
        <v>239</v>
      </c>
      <c r="C380" s="129"/>
      <c r="D380" s="129"/>
      <c r="E380" s="19" t="n">
        <f aca="false">F380*0.03</f>
        <v>0</v>
      </c>
      <c r="F380" s="33" t="n">
        <v>0</v>
      </c>
      <c r="G380" s="131"/>
      <c r="H380" s="35" t="n">
        <v>0</v>
      </c>
      <c r="I380" s="34" t="n">
        <f aca="false">+IF(E380=0,0,E380*0.03)</f>
        <v>0</v>
      </c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customFormat="false" ht="16.4" hidden="false" customHeight="false" outlineLevel="0" collapsed="false">
      <c r="A381" s="123" t="n">
        <v>45444</v>
      </c>
      <c r="B381" s="31" t="s">
        <v>7</v>
      </c>
      <c r="C381" s="129"/>
      <c r="D381" s="129"/>
      <c r="E381" s="19" t="n">
        <f aca="false">F381*0.03</f>
        <v>0</v>
      </c>
      <c r="F381" s="33" t="n">
        <v>0</v>
      </c>
      <c r="G381" s="131"/>
      <c r="H381" s="35" t="n">
        <v>0</v>
      </c>
      <c r="I381" s="34" t="n">
        <f aca="false">+IF(E381=0,0,E381*0.03)</f>
        <v>0</v>
      </c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customFormat="false" ht="16.4" hidden="false" customHeight="false" outlineLevel="0" collapsed="false">
      <c r="A382" s="123" t="n">
        <v>45444</v>
      </c>
      <c r="B382" s="31" t="s">
        <v>240</v>
      </c>
      <c r="C382" s="129"/>
      <c r="D382" s="129"/>
      <c r="E382" s="19" t="n">
        <f aca="false">F382*0.03</f>
        <v>0</v>
      </c>
      <c r="F382" s="33" t="n">
        <v>0</v>
      </c>
      <c r="G382" s="131"/>
      <c r="H382" s="35" t="n">
        <v>0</v>
      </c>
      <c r="I382" s="34" t="n">
        <f aca="false">+IF(E382=0,0,E382*0.03)</f>
        <v>0</v>
      </c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customFormat="false" ht="16.4" hidden="false" customHeight="false" outlineLevel="0" collapsed="false">
      <c r="A383" s="123" t="n">
        <v>45444</v>
      </c>
      <c r="B383" s="31" t="s">
        <v>153</v>
      </c>
      <c r="C383" s="129"/>
      <c r="D383" s="129"/>
      <c r="E383" s="19" t="n">
        <f aca="false">F383*0.03</f>
        <v>0</v>
      </c>
      <c r="F383" s="33" t="n">
        <v>0</v>
      </c>
      <c r="G383" s="131"/>
      <c r="H383" s="35" t="n">
        <v>0</v>
      </c>
      <c r="I383" s="34" t="n">
        <f aca="false">+IF(E383=0,0,E383*0.03)</f>
        <v>0</v>
      </c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customFormat="false" ht="16.4" hidden="false" customHeight="false" outlineLevel="0" collapsed="false">
      <c r="A384" s="123" t="n">
        <v>45444</v>
      </c>
      <c r="B384" s="31" t="s">
        <v>247</v>
      </c>
      <c r="C384" s="129"/>
      <c r="D384" s="129"/>
      <c r="E384" s="19" t="n">
        <f aca="false">F384*0.03</f>
        <v>0</v>
      </c>
      <c r="F384" s="33" t="n">
        <v>0</v>
      </c>
      <c r="G384" s="131"/>
      <c r="H384" s="35" t="n">
        <v>0</v>
      </c>
      <c r="I384" s="34" t="n">
        <f aca="false">+IF(E384=0,0,E384*0.03)</f>
        <v>0</v>
      </c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customFormat="false" ht="16.4" hidden="false" customHeight="false" outlineLevel="0" collapsed="false">
      <c r="A385" s="123" t="n">
        <v>45444</v>
      </c>
      <c r="B385" s="31" t="s">
        <v>246</v>
      </c>
      <c r="C385" s="129"/>
      <c r="D385" s="129"/>
      <c r="E385" s="19" t="n">
        <f aca="false">F385*0.03</f>
        <v>0</v>
      </c>
      <c r="F385" s="33" t="n">
        <v>0</v>
      </c>
      <c r="G385" s="131"/>
      <c r="H385" s="35" t="n">
        <v>0</v>
      </c>
      <c r="I385" s="34" t="n">
        <f aca="false">+IF(E385=0,0,E385*0.03)</f>
        <v>0</v>
      </c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customFormat="false" ht="16.4" hidden="false" customHeight="false" outlineLevel="0" collapsed="false">
      <c r="A386" s="123" t="n">
        <v>45444</v>
      </c>
      <c r="B386" s="31" t="s">
        <v>239</v>
      </c>
      <c r="C386" s="129"/>
      <c r="D386" s="129"/>
      <c r="E386" s="19" t="n">
        <f aca="false">F386*0.03</f>
        <v>0</v>
      </c>
      <c r="F386" s="33" t="n">
        <v>0</v>
      </c>
      <c r="G386" s="131"/>
      <c r="H386" s="35" t="n">
        <v>0</v>
      </c>
      <c r="I386" s="34" t="n">
        <f aca="false">+IF(E386=0,0,E386*0.03)</f>
        <v>0</v>
      </c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customFormat="false" ht="16.4" hidden="false" customHeight="false" outlineLevel="0" collapsed="false">
      <c r="A387" s="123" t="n">
        <v>45444</v>
      </c>
      <c r="B387" s="31" t="s">
        <v>7</v>
      </c>
      <c r="C387" s="129"/>
      <c r="D387" s="129"/>
      <c r="E387" s="19" t="n">
        <f aca="false">F387*0.03</f>
        <v>0</v>
      </c>
      <c r="F387" s="33" t="n">
        <v>0</v>
      </c>
      <c r="G387" s="131"/>
      <c r="H387" s="35" t="n">
        <v>0</v>
      </c>
      <c r="I387" s="34" t="n">
        <f aca="false">+IF(E387=0,0,E387*0.03)</f>
        <v>0</v>
      </c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customFormat="false" ht="16.4" hidden="false" customHeight="false" outlineLevel="0" collapsed="false">
      <c r="A388" s="123" t="n">
        <v>45444</v>
      </c>
      <c r="B388" s="31" t="s">
        <v>240</v>
      </c>
      <c r="C388" s="129"/>
      <c r="D388" s="129"/>
      <c r="E388" s="19" t="n">
        <f aca="false">F388*0.03</f>
        <v>0</v>
      </c>
      <c r="F388" s="33" t="n">
        <v>0</v>
      </c>
      <c r="G388" s="131"/>
      <c r="H388" s="35" t="n">
        <v>0</v>
      </c>
      <c r="I388" s="34" t="n">
        <f aca="false">+IF(E388=0,0,E388*0.03)</f>
        <v>0</v>
      </c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customFormat="false" ht="16.4" hidden="false" customHeight="false" outlineLevel="0" collapsed="false">
      <c r="A389" s="123" t="n">
        <v>45444</v>
      </c>
      <c r="B389" s="31" t="s">
        <v>153</v>
      </c>
      <c r="C389" s="129"/>
      <c r="D389" s="129"/>
      <c r="E389" s="19" t="n">
        <f aca="false">F389*0.03</f>
        <v>0</v>
      </c>
      <c r="F389" s="33" t="n">
        <v>0</v>
      </c>
      <c r="G389" s="131"/>
      <c r="H389" s="35" t="n">
        <v>0</v>
      </c>
      <c r="I389" s="34" t="n">
        <f aca="false">+IF(E389=0,0,E389*0.03)</f>
        <v>0</v>
      </c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customFormat="false" ht="16.4" hidden="false" customHeight="false" outlineLevel="0" collapsed="false">
      <c r="A390" s="123" t="n">
        <v>45444</v>
      </c>
      <c r="B390" s="31" t="s">
        <v>247</v>
      </c>
      <c r="C390" s="129"/>
      <c r="D390" s="129"/>
      <c r="E390" s="19" t="n">
        <f aca="false">F390*0.03</f>
        <v>0</v>
      </c>
      <c r="F390" s="33" t="n">
        <v>0</v>
      </c>
      <c r="G390" s="131"/>
      <c r="H390" s="35" t="n">
        <v>0</v>
      </c>
      <c r="I390" s="34" t="n">
        <f aca="false">+IF(E390=0,0,E390*0.03)</f>
        <v>0</v>
      </c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customFormat="false" ht="16.4" hidden="false" customHeight="false" outlineLevel="0" collapsed="false">
      <c r="A391" s="123" t="n">
        <v>45444</v>
      </c>
      <c r="B391" s="31" t="s">
        <v>246</v>
      </c>
      <c r="C391" s="129"/>
      <c r="D391" s="129"/>
      <c r="E391" s="19" t="n">
        <f aca="false">F391*0.03</f>
        <v>0</v>
      </c>
      <c r="F391" s="33" t="n">
        <v>0</v>
      </c>
      <c r="G391" s="131"/>
      <c r="H391" s="35" t="n">
        <v>0</v>
      </c>
      <c r="I391" s="34" t="n">
        <f aca="false">+IF(E391=0,0,E391*0.03)</f>
        <v>0</v>
      </c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customFormat="false" ht="16.4" hidden="false" customHeight="false" outlineLevel="0" collapsed="false">
      <c r="A392" s="123" t="n">
        <v>45444</v>
      </c>
      <c r="B392" s="31" t="s">
        <v>239</v>
      </c>
      <c r="C392" s="129"/>
      <c r="D392" s="129"/>
      <c r="E392" s="19" t="n">
        <f aca="false">F392*0.03</f>
        <v>0</v>
      </c>
      <c r="F392" s="33" t="n">
        <v>0</v>
      </c>
      <c r="G392" s="131"/>
      <c r="H392" s="35" t="n">
        <v>0</v>
      </c>
      <c r="I392" s="34" t="n">
        <f aca="false">+IF(E392=0,0,E392*0.03)</f>
        <v>0</v>
      </c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customFormat="false" ht="16.4" hidden="false" customHeight="false" outlineLevel="0" collapsed="false">
      <c r="A393" s="123" t="n">
        <v>45444</v>
      </c>
      <c r="B393" s="31" t="s">
        <v>7</v>
      </c>
      <c r="C393" s="129"/>
      <c r="D393" s="129"/>
      <c r="E393" s="19" t="n">
        <f aca="false">F393*0.03</f>
        <v>0</v>
      </c>
      <c r="F393" s="33" t="n">
        <v>0</v>
      </c>
      <c r="G393" s="131"/>
      <c r="H393" s="35" t="n">
        <v>0</v>
      </c>
      <c r="I393" s="34" t="n">
        <f aca="false">+IF(E393=0,0,E393*0.03)</f>
        <v>0</v>
      </c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customFormat="false" ht="16.4" hidden="false" customHeight="false" outlineLevel="0" collapsed="false">
      <c r="A394" s="123" t="n">
        <v>45444</v>
      </c>
      <c r="B394" s="31" t="s">
        <v>240</v>
      </c>
      <c r="C394" s="129"/>
      <c r="D394" s="129"/>
      <c r="E394" s="19" t="n">
        <f aca="false">F394*0.03</f>
        <v>0</v>
      </c>
      <c r="F394" s="33" t="n">
        <v>0</v>
      </c>
      <c r="G394" s="131"/>
      <c r="H394" s="35" t="n">
        <v>0</v>
      </c>
      <c r="I394" s="34" t="n">
        <f aca="false">+IF(E394=0,0,E394*0.03)</f>
        <v>0</v>
      </c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customFormat="false" ht="16.4" hidden="false" customHeight="false" outlineLevel="0" collapsed="false">
      <c r="A395" s="123" t="n">
        <v>45444</v>
      </c>
      <c r="B395" s="31" t="s">
        <v>153</v>
      </c>
      <c r="C395" s="129"/>
      <c r="D395" s="129"/>
      <c r="E395" s="19" t="n">
        <f aca="false">F395*0.03</f>
        <v>0</v>
      </c>
      <c r="F395" s="33" t="n">
        <v>0</v>
      </c>
      <c r="G395" s="131"/>
      <c r="H395" s="35" t="n">
        <v>0</v>
      </c>
      <c r="I395" s="34" t="n">
        <f aca="false">+IF(E395=0,0,E395*0.03)</f>
        <v>0</v>
      </c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customFormat="false" ht="16.4" hidden="false" customHeight="false" outlineLevel="0" collapsed="false">
      <c r="A396" s="123" t="n">
        <v>45444</v>
      </c>
      <c r="B396" s="31" t="s">
        <v>247</v>
      </c>
      <c r="C396" s="129"/>
      <c r="D396" s="129"/>
      <c r="E396" s="19" t="n">
        <f aca="false">F396*0.03</f>
        <v>0</v>
      </c>
      <c r="F396" s="33" t="n">
        <v>0</v>
      </c>
      <c r="G396" s="131"/>
      <c r="H396" s="35" t="n">
        <v>0</v>
      </c>
      <c r="I396" s="34" t="n">
        <f aca="false">+IF(E396=0,0,E396*0.03)</f>
        <v>0</v>
      </c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customFormat="false" ht="16.4" hidden="false" customHeight="false" outlineLevel="0" collapsed="false">
      <c r="A397" s="123" t="n">
        <v>45444</v>
      </c>
      <c r="B397" s="31" t="s">
        <v>246</v>
      </c>
      <c r="C397" s="129"/>
      <c r="D397" s="129"/>
      <c r="E397" s="19" t="n">
        <f aca="false">F397*0.03</f>
        <v>0</v>
      </c>
      <c r="F397" s="33" t="n">
        <v>0</v>
      </c>
      <c r="G397" s="131"/>
      <c r="H397" s="35" t="n">
        <v>0</v>
      </c>
      <c r="I397" s="34" t="n">
        <f aca="false">+IF(E397=0,0,E397*0.03)</f>
        <v>0</v>
      </c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customFormat="false" ht="16.4" hidden="false" customHeight="false" outlineLevel="0" collapsed="false">
      <c r="A398" s="123" t="n">
        <v>45444</v>
      </c>
      <c r="B398" s="31" t="s">
        <v>239</v>
      </c>
      <c r="C398" s="129"/>
      <c r="D398" s="129"/>
      <c r="E398" s="19" t="n">
        <f aca="false">F398*0.03</f>
        <v>0</v>
      </c>
      <c r="F398" s="33" t="n">
        <v>0</v>
      </c>
      <c r="G398" s="131"/>
      <c r="H398" s="35" t="n">
        <v>0</v>
      </c>
      <c r="I398" s="34" t="n">
        <f aca="false">+IF(E398=0,0,E398*0.03)</f>
        <v>0</v>
      </c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customFormat="false" ht="16.4" hidden="false" customHeight="false" outlineLevel="0" collapsed="false">
      <c r="A399" s="123" t="n">
        <v>45444</v>
      </c>
      <c r="B399" s="31" t="s">
        <v>7</v>
      </c>
      <c r="C399" s="129"/>
      <c r="D399" s="129"/>
      <c r="E399" s="19" t="n">
        <f aca="false">F399*0.03</f>
        <v>0</v>
      </c>
      <c r="F399" s="33" t="n">
        <v>0</v>
      </c>
      <c r="G399" s="131"/>
      <c r="H399" s="35" t="n">
        <v>0</v>
      </c>
      <c r="I399" s="34" t="n">
        <f aca="false">+IF(E399=0,0,E399*0.03)</f>
        <v>0</v>
      </c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customFormat="false" ht="16.4" hidden="false" customHeight="false" outlineLevel="0" collapsed="false">
      <c r="A400" s="123" t="n">
        <v>45444</v>
      </c>
      <c r="B400" s="31" t="s">
        <v>240</v>
      </c>
      <c r="C400" s="129"/>
      <c r="D400" s="129"/>
      <c r="E400" s="19" t="n">
        <f aca="false">F400*0.03</f>
        <v>0</v>
      </c>
      <c r="F400" s="33" t="n">
        <v>0</v>
      </c>
      <c r="G400" s="131"/>
      <c r="H400" s="35" t="n">
        <v>0</v>
      </c>
      <c r="I400" s="34" t="n">
        <f aca="false">+IF(E400=0,0,E400*0.03)</f>
        <v>0</v>
      </c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customFormat="false" ht="16.4" hidden="false" customHeight="false" outlineLevel="0" collapsed="false">
      <c r="A401" s="123" t="n">
        <v>45444</v>
      </c>
      <c r="B401" s="31" t="s">
        <v>153</v>
      </c>
      <c r="C401" s="129"/>
      <c r="D401" s="129"/>
      <c r="E401" s="19" t="n">
        <f aca="false">F401*0.03</f>
        <v>0</v>
      </c>
      <c r="F401" s="33" t="n">
        <v>0</v>
      </c>
      <c r="G401" s="131"/>
      <c r="H401" s="35" t="n">
        <v>0</v>
      </c>
      <c r="I401" s="34" t="n">
        <f aca="false">+IF(E401=0,0,E401*0.03)</f>
        <v>0</v>
      </c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customFormat="false" ht="16.4" hidden="false" customHeight="false" outlineLevel="0" collapsed="false">
      <c r="A402" s="123" t="n">
        <v>45444</v>
      </c>
      <c r="B402" s="31" t="s">
        <v>247</v>
      </c>
      <c r="C402" s="129"/>
      <c r="D402" s="129"/>
      <c r="E402" s="19" t="n">
        <f aca="false">F402*0.03</f>
        <v>0</v>
      </c>
      <c r="F402" s="33" t="n">
        <v>0</v>
      </c>
      <c r="G402" s="131"/>
      <c r="H402" s="35" t="n">
        <v>0</v>
      </c>
      <c r="I402" s="34" t="n">
        <f aca="false">+IF(E402=0,0,E402*0.03)</f>
        <v>0</v>
      </c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customFormat="false" ht="16.4" hidden="false" customHeight="false" outlineLevel="0" collapsed="false">
      <c r="A403" s="123" t="n">
        <v>45444</v>
      </c>
      <c r="B403" s="31" t="s">
        <v>246</v>
      </c>
      <c r="C403" s="129"/>
      <c r="D403" s="129"/>
      <c r="E403" s="19" t="n">
        <f aca="false">F403*0.03</f>
        <v>0</v>
      </c>
      <c r="F403" s="33" t="n">
        <v>0</v>
      </c>
      <c r="G403" s="131"/>
      <c r="H403" s="35" t="n">
        <v>0</v>
      </c>
      <c r="I403" s="34" t="n">
        <f aca="false">+IF(E403=0,0,E403*0.03)</f>
        <v>0</v>
      </c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customFormat="false" ht="16.4" hidden="false" customHeight="false" outlineLevel="0" collapsed="false">
      <c r="A404" s="123" t="n">
        <v>45444</v>
      </c>
      <c r="B404" s="31" t="s">
        <v>239</v>
      </c>
      <c r="C404" s="129"/>
      <c r="D404" s="129"/>
      <c r="E404" s="19" t="n">
        <f aca="false">F404*0.03</f>
        <v>0</v>
      </c>
      <c r="F404" s="33" t="n">
        <v>0</v>
      </c>
      <c r="G404" s="131"/>
      <c r="H404" s="35" t="n">
        <v>0</v>
      </c>
      <c r="I404" s="34" t="n">
        <f aca="false">+IF(E404=0,0,E404*0.03)</f>
        <v>0</v>
      </c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customFormat="false" ht="16.4" hidden="false" customHeight="false" outlineLevel="0" collapsed="false">
      <c r="A405" s="123" t="n">
        <v>45444</v>
      </c>
      <c r="B405" s="31" t="s">
        <v>7</v>
      </c>
      <c r="C405" s="129"/>
      <c r="D405" s="129"/>
      <c r="E405" s="19" t="n">
        <f aca="false">F405*0.03</f>
        <v>0</v>
      </c>
      <c r="F405" s="33" t="n">
        <v>0</v>
      </c>
      <c r="G405" s="131"/>
      <c r="H405" s="35" t="n">
        <v>0</v>
      </c>
      <c r="I405" s="34" t="n">
        <f aca="false">+IF(E405=0,0,E405*0.03)</f>
        <v>0</v>
      </c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customFormat="false" ht="16.4" hidden="false" customHeight="false" outlineLevel="0" collapsed="false">
      <c r="A406" s="123" t="n">
        <v>45444</v>
      </c>
      <c r="B406" s="31" t="s">
        <v>240</v>
      </c>
      <c r="C406" s="129"/>
      <c r="D406" s="129"/>
      <c r="E406" s="19" t="n">
        <f aca="false">F406*0.03</f>
        <v>0</v>
      </c>
      <c r="F406" s="33" t="n">
        <v>0</v>
      </c>
      <c r="G406" s="131"/>
      <c r="H406" s="35" t="n">
        <v>0</v>
      </c>
      <c r="I406" s="34" t="n">
        <f aca="false">+IF(E406=0,0,E406*0.03)</f>
        <v>0</v>
      </c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customFormat="false" ht="16.4" hidden="false" customHeight="false" outlineLevel="0" collapsed="false">
      <c r="A407" s="123" t="n">
        <v>45444</v>
      </c>
      <c r="B407" s="31" t="s">
        <v>153</v>
      </c>
      <c r="C407" s="129"/>
      <c r="D407" s="129"/>
      <c r="E407" s="19" t="n">
        <f aca="false">F407*0.03</f>
        <v>0</v>
      </c>
      <c r="F407" s="33" t="n">
        <v>0</v>
      </c>
      <c r="G407" s="131"/>
      <c r="H407" s="35" t="n">
        <v>0</v>
      </c>
      <c r="I407" s="34" t="n">
        <f aca="false">+IF(E407=0,0,E407*0.03)</f>
        <v>0</v>
      </c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customFormat="false" ht="16.4" hidden="false" customHeight="false" outlineLevel="0" collapsed="false">
      <c r="A408" s="123" t="n">
        <v>45444</v>
      </c>
      <c r="B408" s="31" t="s">
        <v>247</v>
      </c>
      <c r="C408" s="129"/>
      <c r="D408" s="129"/>
      <c r="E408" s="19" t="n">
        <f aca="false">F408*0.03</f>
        <v>0</v>
      </c>
      <c r="F408" s="33" t="n">
        <v>0</v>
      </c>
      <c r="G408" s="131"/>
      <c r="H408" s="35" t="n">
        <v>0</v>
      </c>
      <c r="I408" s="34" t="n">
        <f aca="false">+IF(E408=0,0,E408*0.03)</f>
        <v>0</v>
      </c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customFormat="false" ht="16.4" hidden="false" customHeight="false" outlineLevel="0" collapsed="false">
      <c r="A409" s="123" t="n">
        <v>45444</v>
      </c>
      <c r="B409" s="31" t="s">
        <v>246</v>
      </c>
      <c r="C409" s="129"/>
      <c r="D409" s="129"/>
      <c r="E409" s="19" t="n">
        <f aca="false">F409*0.03</f>
        <v>0</v>
      </c>
      <c r="F409" s="33" t="n">
        <v>0</v>
      </c>
      <c r="G409" s="131"/>
      <c r="H409" s="35" t="n">
        <v>0</v>
      </c>
      <c r="I409" s="34" t="n">
        <f aca="false">+IF(E409=0,0,E409*0.03)</f>
        <v>0</v>
      </c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customFormat="false" ht="16.4" hidden="false" customHeight="false" outlineLevel="0" collapsed="false">
      <c r="A410" s="123" t="n">
        <v>45444</v>
      </c>
      <c r="B410" s="31" t="s">
        <v>239</v>
      </c>
      <c r="C410" s="129"/>
      <c r="D410" s="129"/>
      <c r="E410" s="19" t="n">
        <f aca="false">F410*0.03</f>
        <v>0</v>
      </c>
      <c r="F410" s="33" t="n">
        <v>0</v>
      </c>
      <c r="G410" s="131"/>
      <c r="H410" s="35" t="n">
        <v>0</v>
      </c>
      <c r="I410" s="34" t="n">
        <f aca="false">+IF(E410=0,0,E410*0.03)</f>
        <v>0</v>
      </c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customFormat="false" ht="16.4" hidden="false" customHeight="false" outlineLevel="0" collapsed="false">
      <c r="A411" s="123" t="n">
        <v>45444</v>
      </c>
      <c r="B411" s="31" t="s">
        <v>7</v>
      </c>
      <c r="C411" s="129"/>
      <c r="D411" s="129"/>
      <c r="E411" s="19" t="n">
        <f aca="false">F411*0.03</f>
        <v>0</v>
      </c>
      <c r="F411" s="33" t="n">
        <v>0</v>
      </c>
      <c r="G411" s="131"/>
      <c r="H411" s="35" t="n">
        <v>0</v>
      </c>
      <c r="I411" s="34" t="n">
        <f aca="false">+IF(E411=0,0,E411*0.03)</f>
        <v>0</v>
      </c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customFormat="false" ht="16.4" hidden="false" customHeight="false" outlineLevel="0" collapsed="false">
      <c r="A412" s="123" t="n">
        <v>45444</v>
      </c>
      <c r="B412" s="31" t="s">
        <v>240</v>
      </c>
      <c r="C412" s="129"/>
      <c r="D412" s="129"/>
      <c r="E412" s="19" t="n">
        <f aca="false">F412*0.03</f>
        <v>0</v>
      </c>
      <c r="F412" s="33" t="n">
        <v>0</v>
      </c>
      <c r="G412" s="131"/>
      <c r="H412" s="35" t="n">
        <v>0</v>
      </c>
      <c r="I412" s="34" t="n">
        <f aca="false">+IF(E412=0,0,E412*0.03)</f>
        <v>0</v>
      </c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customFormat="false" ht="16.4" hidden="false" customHeight="false" outlineLevel="0" collapsed="false">
      <c r="A413" s="123" t="n">
        <v>45444</v>
      </c>
      <c r="B413" s="31" t="s">
        <v>153</v>
      </c>
      <c r="C413" s="129"/>
      <c r="D413" s="129"/>
      <c r="E413" s="19" t="n">
        <f aca="false">F413*0.03</f>
        <v>0</v>
      </c>
      <c r="F413" s="33" t="n">
        <v>0</v>
      </c>
      <c r="G413" s="131"/>
      <c r="H413" s="35" t="n">
        <v>0</v>
      </c>
      <c r="I413" s="34" t="n">
        <f aca="false">+IF(E413=0,0,E413*0.03)</f>
        <v>0</v>
      </c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customFormat="false" ht="16.4" hidden="false" customHeight="false" outlineLevel="0" collapsed="false">
      <c r="A414" s="123" t="n">
        <v>45444</v>
      </c>
      <c r="B414" s="31" t="s">
        <v>247</v>
      </c>
      <c r="C414" s="129"/>
      <c r="D414" s="129"/>
      <c r="E414" s="19" t="n">
        <f aca="false">F414*0.03</f>
        <v>0</v>
      </c>
      <c r="F414" s="33" t="n">
        <v>0</v>
      </c>
      <c r="G414" s="131"/>
      <c r="H414" s="35" t="n">
        <v>0</v>
      </c>
      <c r="I414" s="34" t="n">
        <f aca="false">+IF(E414=0,0,E414*0.03)</f>
        <v>0</v>
      </c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customFormat="false" ht="16.4" hidden="false" customHeight="false" outlineLevel="0" collapsed="false">
      <c r="A415" s="123" t="n">
        <v>45444</v>
      </c>
      <c r="B415" s="31" t="s">
        <v>246</v>
      </c>
      <c r="C415" s="129"/>
      <c r="D415" s="129"/>
      <c r="E415" s="19" t="n">
        <f aca="false">F415*0.03</f>
        <v>0</v>
      </c>
      <c r="F415" s="33" t="n">
        <v>0</v>
      </c>
      <c r="G415" s="131"/>
      <c r="H415" s="35" t="n">
        <v>0</v>
      </c>
      <c r="I415" s="34" t="n">
        <f aca="false">+IF(E415=0,0,E415*0.03)</f>
        <v>0</v>
      </c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customFormat="false" ht="16.4" hidden="false" customHeight="false" outlineLevel="0" collapsed="false">
      <c r="A416" s="123" t="n">
        <v>45444</v>
      </c>
      <c r="B416" s="31" t="s">
        <v>239</v>
      </c>
      <c r="C416" s="129"/>
      <c r="D416" s="129"/>
      <c r="E416" s="19" t="n">
        <f aca="false">F416*0.03</f>
        <v>0</v>
      </c>
      <c r="F416" s="33" t="n">
        <v>0</v>
      </c>
      <c r="G416" s="131"/>
      <c r="H416" s="35" t="n">
        <v>0</v>
      </c>
      <c r="I416" s="34" t="n">
        <f aca="false">+IF(E416=0,0,E416*0.03)</f>
        <v>0</v>
      </c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customFormat="false" ht="16.4" hidden="false" customHeight="false" outlineLevel="0" collapsed="false">
      <c r="A417" s="123" t="n">
        <v>45444</v>
      </c>
      <c r="B417" s="31" t="s">
        <v>7</v>
      </c>
      <c r="C417" s="129"/>
      <c r="D417" s="129"/>
      <c r="E417" s="19" t="n">
        <f aca="false">F417*0.03</f>
        <v>0</v>
      </c>
      <c r="F417" s="33" t="n">
        <v>0</v>
      </c>
      <c r="G417" s="131"/>
      <c r="H417" s="35" t="n">
        <v>0</v>
      </c>
      <c r="I417" s="34" t="n">
        <f aca="false">+IF(E417=0,0,E417*0.03)</f>
        <v>0</v>
      </c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customFormat="false" ht="16.4" hidden="false" customHeight="false" outlineLevel="0" collapsed="false">
      <c r="A418" s="123" t="n">
        <v>45444</v>
      </c>
      <c r="B418" s="31" t="s">
        <v>240</v>
      </c>
      <c r="C418" s="129"/>
      <c r="D418" s="129"/>
      <c r="E418" s="19" t="n">
        <f aca="false">F418*0.03</f>
        <v>0</v>
      </c>
      <c r="F418" s="33" t="n">
        <v>0</v>
      </c>
      <c r="G418" s="131"/>
      <c r="H418" s="35" t="n">
        <v>0</v>
      </c>
      <c r="I418" s="34" t="n">
        <f aca="false">+IF(E418=0,0,E418*0.03)</f>
        <v>0</v>
      </c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customFormat="false" ht="16.4" hidden="false" customHeight="false" outlineLevel="0" collapsed="false">
      <c r="A419" s="123" t="n">
        <v>45444</v>
      </c>
      <c r="B419" s="31" t="s">
        <v>153</v>
      </c>
      <c r="C419" s="129"/>
      <c r="D419" s="129"/>
      <c r="E419" s="19" t="n">
        <f aca="false">F419*0.03</f>
        <v>0</v>
      </c>
      <c r="F419" s="33" t="n">
        <v>0</v>
      </c>
      <c r="G419" s="131"/>
      <c r="H419" s="35" t="n">
        <v>0</v>
      </c>
      <c r="I419" s="34" t="n">
        <f aca="false">+IF(E419=0,0,E419*0.03)</f>
        <v>0</v>
      </c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customFormat="false" ht="16.4" hidden="false" customHeight="false" outlineLevel="0" collapsed="false">
      <c r="A420" s="123" t="n">
        <v>45444</v>
      </c>
      <c r="B420" s="31" t="s">
        <v>247</v>
      </c>
      <c r="C420" s="129"/>
      <c r="D420" s="129"/>
      <c r="E420" s="19" t="n">
        <f aca="false">F420*0.03</f>
        <v>0</v>
      </c>
      <c r="F420" s="33" t="n">
        <v>0</v>
      </c>
      <c r="G420" s="131"/>
      <c r="H420" s="35" t="n">
        <v>0</v>
      </c>
      <c r="I420" s="34" t="n">
        <f aca="false">+IF(E420=0,0,E420*0.03)</f>
        <v>0</v>
      </c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customFormat="false" ht="16.4" hidden="false" customHeight="false" outlineLevel="0" collapsed="false">
      <c r="A421" s="123" t="n">
        <v>45444</v>
      </c>
      <c r="B421" s="31" t="s">
        <v>246</v>
      </c>
      <c r="C421" s="129"/>
      <c r="D421" s="129"/>
      <c r="E421" s="19" t="n">
        <f aca="false">F421*0.03</f>
        <v>0</v>
      </c>
      <c r="F421" s="33" t="n">
        <v>0</v>
      </c>
      <c r="G421" s="131"/>
      <c r="H421" s="35" t="n">
        <v>0</v>
      </c>
      <c r="I421" s="34" t="n">
        <f aca="false">+IF(E421=0,0,E421*0.03)</f>
        <v>0</v>
      </c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customFormat="false" ht="16.4" hidden="false" customHeight="false" outlineLevel="0" collapsed="false">
      <c r="A422" s="123" t="n">
        <v>45444</v>
      </c>
      <c r="B422" s="31" t="s">
        <v>239</v>
      </c>
      <c r="C422" s="129"/>
      <c r="D422" s="129"/>
      <c r="E422" s="19" t="n">
        <f aca="false">F422*0.03</f>
        <v>0</v>
      </c>
      <c r="F422" s="33" t="n">
        <v>0</v>
      </c>
      <c r="G422" s="131"/>
      <c r="H422" s="35" t="n">
        <v>0</v>
      </c>
      <c r="I422" s="34" t="n">
        <f aca="false">+IF(E422=0,0,E422*0.03)</f>
        <v>0</v>
      </c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customFormat="false" ht="16.4" hidden="false" customHeight="false" outlineLevel="0" collapsed="false">
      <c r="A423" s="123" t="n">
        <v>45444</v>
      </c>
      <c r="B423" s="31" t="s">
        <v>7</v>
      </c>
      <c r="C423" s="129"/>
      <c r="D423" s="129"/>
      <c r="E423" s="19" t="n">
        <f aca="false">F423*0.03</f>
        <v>0</v>
      </c>
      <c r="F423" s="33" t="n">
        <v>0</v>
      </c>
      <c r="G423" s="131"/>
      <c r="H423" s="35" t="n">
        <v>0</v>
      </c>
      <c r="I423" s="34" t="n">
        <f aca="false">+IF(E423=0,0,E423*0.03)</f>
        <v>0</v>
      </c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customFormat="false" ht="16.4" hidden="false" customHeight="false" outlineLevel="0" collapsed="false">
      <c r="A424" s="123" t="n">
        <v>45444</v>
      </c>
      <c r="B424" s="31" t="s">
        <v>240</v>
      </c>
      <c r="C424" s="129"/>
      <c r="D424" s="129"/>
      <c r="E424" s="19" t="n">
        <f aca="false">F424*0.03</f>
        <v>0</v>
      </c>
      <c r="F424" s="33" t="n">
        <v>0</v>
      </c>
      <c r="G424" s="131"/>
      <c r="H424" s="35" t="n">
        <v>0</v>
      </c>
      <c r="I424" s="34" t="n">
        <f aca="false">+IF(E424=0,0,E424*0.03)</f>
        <v>0</v>
      </c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customFormat="false" ht="16.4" hidden="false" customHeight="false" outlineLevel="0" collapsed="false">
      <c r="A425" s="123" t="n">
        <v>45444</v>
      </c>
      <c r="B425" s="31" t="s">
        <v>153</v>
      </c>
      <c r="C425" s="129"/>
      <c r="D425" s="129"/>
      <c r="E425" s="19" t="n">
        <f aca="false">F425*0.03</f>
        <v>0</v>
      </c>
      <c r="F425" s="33" t="n">
        <v>0</v>
      </c>
      <c r="G425" s="131"/>
      <c r="H425" s="35" t="n">
        <v>0</v>
      </c>
      <c r="I425" s="34" t="n">
        <f aca="false">+IF(E425=0,0,E425*0.03)</f>
        <v>0</v>
      </c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customFormat="false" ht="16.4" hidden="false" customHeight="false" outlineLevel="0" collapsed="false">
      <c r="A426" s="123" t="n">
        <v>45444</v>
      </c>
      <c r="B426" s="31" t="s">
        <v>247</v>
      </c>
      <c r="C426" s="129"/>
      <c r="D426" s="129"/>
      <c r="E426" s="19" t="n">
        <f aca="false">F426*0.03</f>
        <v>0</v>
      </c>
      <c r="F426" s="33" t="n">
        <v>0</v>
      </c>
      <c r="G426" s="131"/>
      <c r="H426" s="35" t="n">
        <v>0</v>
      </c>
      <c r="I426" s="34" t="n">
        <f aca="false">+IF(E426=0,0,E426*0.03)</f>
        <v>0</v>
      </c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customFormat="false" ht="16.4" hidden="false" customHeight="false" outlineLevel="0" collapsed="false">
      <c r="A427" s="123" t="n">
        <v>45444</v>
      </c>
      <c r="B427" s="31" t="s">
        <v>246</v>
      </c>
      <c r="C427" s="129"/>
      <c r="D427" s="129"/>
      <c r="E427" s="19" t="n">
        <f aca="false">F427*0.03</f>
        <v>0</v>
      </c>
      <c r="F427" s="33" t="n">
        <v>0</v>
      </c>
      <c r="G427" s="131"/>
      <c r="H427" s="35" t="n">
        <v>0</v>
      </c>
      <c r="I427" s="34" t="n">
        <f aca="false">+IF(E427=0,0,E427*0.03)</f>
        <v>0</v>
      </c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customFormat="false" ht="16.4" hidden="false" customHeight="false" outlineLevel="0" collapsed="false">
      <c r="A428" s="123" t="n">
        <v>45444</v>
      </c>
      <c r="B428" s="31" t="s">
        <v>239</v>
      </c>
      <c r="C428" s="129"/>
      <c r="D428" s="129"/>
      <c r="E428" s="19" t="n">
        <f aca="false">F428*0.03</f>
        <v>0</v>
      </c>
      <c r="F428" s="33" t="n">
        <v>0</v>
      </c>
      <c r="G428" s="131"/>
      <c r="H428" s="35" t="n">
        <v>0</v>
      </c>
      <c r="I428" s="34" t="n">
        <f aca="false">+IF(E428=0,0,E428*0.03)</f>
        <v>0</v>
      </c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customFormat="false" ht="16.4" hidden="false" customHeight="false" outlineLevel="0" collapsed="false">
      <c r="A429" s="123" t="n">
        <v>45444</v>
      </c>
      <c r="B429" s="31" t="s">
        <v>7</v>
      </c>
      <c r="C429" s="129"/>
      <c r="D429" s="129"/>
      <c r="E429" s="19" t="n">
        <f aca="false">F429*0.03</f>
        <v>0</v>
      </c>
      <c r="F429" s="33" t="n">
        <v>0</v>
      </c>
      <c r="G429" s="131"/>
      <c r="H429" s="35" t="n">
        <v>0</v>
      </c>
      <c r="I429" s="34" t="n">
        <f aca="false">+IF(E429=0,0,E429*0.03)</f>
        <v>0</v>
      </c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customFormat="false" ht="16.4" hidden="false" customHeight="false" outlineLevel="0" collapsed="false">
      <c r="A430" s="123" t="n">
        <v>45444</v>
      </c>
      <c r="B430" s="31" t="s">
        <v>240</v>
      </c>
      <c r="C430" s="129"/>
      <c r="D430" s="129"/>
      <c r="E430" s="19" t="n">
        <f aca="false">F430*0.03</f>
        <v>0</v>
      </c>
      <c r="F430" s="33" t="n">
        <v>0</v>
      </c>
      <c r="G430" s="131"/>
      <c r="H430" s="35" t="n">
        <v>0</v>
      </c>
      <c r="I430" s="34" t="n">
        <f aca="false">+IF(E430=0,0,E430*0.03)</f>
        <v>0</v>
      </c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customFormat="false" ht="16.4" hidden="false" customHeight="false" outlineLevel="0" collapsed="false">
      <c r="A431" s="123" t="n">
        <v>45444</v>
      </c>
      <c r="B431" s="31" t="s">
        <v>153</v>
      </c>
      <c r="C431" s="129"/>
      <c r="D431" s="129"/>
      <c r="E431" s="19" t="n">
        <f aca="false">F431*0.03</f>
        <v>0</v>
      </c>
      <c r="F431" s="33" t="n">
        <v>0</v>
      </c>
      <c r="G431" s="131"/>
      <c r="H431" s="35" t="n">
        <v>0</v>
      </c>
      <c r="I431" s="34" t="n">
        <f aca="false">+IF(E431=0,0,E431*0.03)</f>
        <v>0</v>
      </c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customFormat="false" ht="16.4" hidden="false" customHeight="false" outlineLevel="0" collapsed="false">
      <c r="A432" s="123" t="n">
        <v>45444</v>
      </c>
      <c r="B432" s="31" t="s">
        <v>247</v>
      </c>
      <c r="C432" s="129"/>
      <c r="D432" s="129"/>
      <c r="E432" s="19" t="n">
        <f aca="false">F432*0.03</f>
        <v>0</v>
      </c>
      <c r="F432" s="33" t="n">
        <v>0</v>
      </c>
      <c r="G432" s="131"/>
      <c r="H432" s="35" t="n">
        <v>0</v>
      </c>
      <c r="I432" s="34" t="n">
        <f aca="false">+IF(E432=0,0,E432*0.03)</f>
        <v>0</v>
      </c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customFormat="false" ht="16.4" hidden="false" customHeight="false" outlineLevel="0" collapsed="false">
      <c r="A433" s="123" t="n">
        <v>45444</v>
      </c>
      <c r="B433" s="31" t="s">
        <v>246</v>
      </c>
      <c r="C433" s="129"/>
      <c r="D433" s="129"/>
      <c r="E433" s="19" t="n">
        <f aca="false">F433*0.03</f>
        <v>0</v>
      </c>
      <c r="F433" s="33" t="n">
        <v>0</v>
      </c>
      <c r="G433" s="131"/>
      <c r="H433" s="35" t="n">
        <v>0</v>
      </c>
      <c r="I433" s="34" t="n">
        <f aca="false">+IF(E433=0,0,E433*0.03)</f>
        <v>0</v>
      </c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customFormat="false" ht="16.4" hidden="false" customHeight="false" outlineLevel="0" collapsed="false">
      <c r="A434" s="123" t="n">
        <v>45444</v>
      </c>
      <c r="B434" s="31" t="s">
        <v>239</v>
      </c>
      <c r="C434" s="129"/>
      <c r="D434" s="129"/>
      <c r="E434" s="19" t="n">
        <f aca="false">F434*0.03</f>
        <v>0</v>
      </c>
      <c r="F434" s="33" t="n">
        <v>0</v>
      </c>
      <c r="G434" s="131"/>
      <c r="H434" s="35" t="n">
        <v>0</v>
      </c>
      <c r="I434" s="34" t="n">
        <f aca="false">+IF(E434=0,0,E434*0.03)</f>
        <v>0</v>
      </c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customFormat="false" ht="16.4" hidden="false" customHeight="false" outlineLevel="0" collapsed="false">
      <c r="A435" s="123" t="n">
        <v>45444</v>
      </c>
      <c r="B435" s="31" t="s">
        <v>7</v>
      </c>
      <c r="C435" s="129"/>
      <c r="D435" s="129"/>
      <c r="E435" s="19" t="n">
        <f aca="false">F435*0.03</f>
        <v>0</v>
      </c>
      <c r="F435" s="33" t="n">
        <v>0</v>
      </c>
      <c r="G435" s="131"/>
      <c r="H435" s="35" t="n">
        <v>0</v>
      </c>
      <c r="I435" s="34" t="n">
        <f aca="false">+IF(E435=0,0,E435*0.03)</f>
        <v>0</v>
      </c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customFormat="false" ht="16.4" hidden="false" customHeight="false" outlineLevel="0" collapsed="false">
      <c r="A436" s="123" t="n">
        <v>45444</v>
      </c>
      <c r="B436" s="31" t="s">
        <v>240</v>
      </c>
      <c r="C436" s="129"/>
      <c r="D436" s="129"/>
      <c r="E436" s="19" t="n">
        <f aca="false">F436*0.03</f>
        <v>0</v>
      </c>
      <c r="F436" s="33" t="n">
        <v>0</v>
      </c>
      <c r="G436" s="131"/>
      <c r="H436" s="35" t="n">
        <v>0</v>
      </c>
      <c r="I436" s="34" t="n">
        <f aca="false">+IF(E436=0,0,E436*0.03)</f>
        <v>0</v>
      </c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customFormat="false" ht="16.4" hidden="false" customHeight="false" outlineLevel="0" collapsed="false">
      <c r="A437" s="123" t="n">
        <v>45444</v>
      </c>
      <c r="B437" s="31" t="s">
        <v>153</v>
      </c>
      <c r="C437" s="129"/>
      <c r="D437" s="129"/>
      <c r="E437" s="19" t="n">
        <f aca="false">F437*0.03</f>
        <v>0</v>
      </c>
      <c r="F437" s="33" t="n">
        <v>0</v>
      </c>
      <c r="G437" s="131"/>
      <c r="H437" s="35" t="n">
        <v>0</v>
      </c>
      <c r="I437" s="34" t="n">
        <f aca="false">+IF(E437=0,0,E437*0.03)</f>
        <v>0</v>
      </c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customFormat="false" ht="16.4" hidden="false" customHeight="false" outlineLevel="0" collapsed="false">
      <c r="A438" s="123" t="n">
        <v>45444</v>
      </c>
      <c r="B438" s="31" t="s">
        <v>247</v>
      </c>
      <c r="C438" s="129"/>
      <c r="D438" s="129"/>
      <c r="E438" s="19" t="n">
        <f aca="false">F438*0.03</f>
        <v>0</v>
      </c>
      <c r="F438" s="33" t="n">
        <v>0</v>
      </c>
      <c r="G438" s="131"/>
      <c r="H438" s="35" t="n">
        <v>0</v>
      </c>
      <c r="I438" s="34" t="n">
        <f aca="false">+IF(E438=0,0,E438*0.03)</f>
        <v>0</v>
      </c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customFormat="false" ht="16.4" hidden="false" customHeight="false" outlineLevel="0" collapsed="false">
      <c r="A439" s="123" t="n">
        <v>45444</v>
      </c>
      <c r="B439" s="31" t="s">
        <v>246</v>
      </c>
      <c r="C439" s="129"/>
      <c r="D439" s="129"/>
      <c r="E439" s="19" t="n">
        <f aca="false">F439*0.03</f>
        <v>0</v>
      </c>
      <c r="F439" s="33" t="n">
        <v>0</v>
      </c>
      <c r="G439" s="131"/>
      <c r="H439" s="35" t="n">
        <v>0</v>
      </c>
      <c r="I439" s="34" t="n">
        <f aca="false">+IF(E439=0,0,E439*0.03)</f>
        <v>0</v>
      </c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customFormat="false" ht="16.4" hidden="false" customHeight="false" outlineLevel="0" collapsed="false">
      <c r="A440" s="123" t="n">
        <v>45444</v>
      </c>
      <c r="B440" s="31" t="s">
        <v>239</v>
      </c>
      <c r="C440" s="129"/>
      <c r="D440" s="129"/>
      <c r="E440" s="19" t="n">
        <f aca="false">F440*0.03</f>
        <v>0</v>
      </c>
      <c r="F440" s="33" t="n">
        <v>0</v>
      </c>
      <c r="G440" s="131"/>
      <c r="H440" s="35" t="n">
        <v>0</v>
      </c>
      <c r="I440" s="34" t="n">
        <f aca="false">+IF(E440=0,0,E440*0.03)</f>
        <v>0</v>
      </c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customFormat="false" ht="16.4" hidden="false" customHeight="false" outlineLevel="0" collapsed="false">
      <c r="A441" s="123" t="n">
        <v>45444</v>
      </c>
      <c r="B441" s="31" t="s">
        <v>7</v>
      </c>
      <c r="C441" s="129"/>
      <c r="D441" s="129"/>
      <c r="E441" s="19" t="n">
        <f aca="false">F441*0.03</f>
        <v>0</v>
      </c>
      <c r="F441" s="33" t="n">
        <v>0</v>
      </c>
      <c r="G441" s="131"/>
      <c r="H441" s="35" t="n">
        <v>0</v>
      </c>
      <c r="I441" s="34" t="n">
        <f aca="false">+IF(E441=0,0,E441*0.03)</f>
        <v>0</v>
      </c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customFormat="false" ht="16.4" hidden="false" customHeight="false" outlineLevel="0" collapsed="false">
      <c r="A442" s="123" t="n">
        <v>45444</v>
      </c>
      <c r="B442" s="31" t="s">
        <v>240</v>
      </c>
      <c r="C442" s="129"/>
      <c r="D442" s="129"/>
      <c r="E442" s="19" t="n">
        <f aca="false">F442*0.03</f>
        <v>0</v>
      </c>
      <c r="F442" s="33" t="n">
        <v>0</v>
      </c>
      <c r="G442" s="131"/>
      <c r="H442" s="35" t="n">
        <v>0</v>
      </c>
      <c r="I442" s="34" t="n">
        <f aca="false">+IF(E442=0,0,E442*0.03)</f>
        <v>0</v>
      </c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customFormat="false" ht="16.4" hidden="false" customHeight="false" outlineLevel="0" collapsed="false">
      <c r="A443" s="123" t="n">
        <v>45444</v>
      </c>
      <c r="B443" s="31" t="s">
        <v>153</v>
      </c>
      <c r="C443" s="129"/>
      <c r="D443" s="129"/>
      <c r="E443" s="19" t="n">
        <f aca="false">F443*0.03</f>
        <v>0</v>
      </c>
      <c r="F443" s="33" t="n">
        <v>0</v>
      </c>
      <c r="G443" s="131"/>
      <c r="H443" s="35" t="n">
        <v>0</v>
      </c>
      <c r="I443" s="34" t="n">
        <f aca="false">+IF(E443=0,0,E443*0.03)</f>
        <v>0</v>
      </c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customFormat="false" ht="16.4" hidden="false" customHeight="false" outlineLevel="0" collapsed="false">
      <c r="A444" s="123" t="n">
        <v>45444</v>
      </c>
      <c r="B444" s="31" t="s">
        <v>247</v>
      </c>
      <c r="C444" s="129"/>
      <c r="D444" s="129"/>
      <c r="E444" s="19" t="n">
        <f aca="false">F444*0.03</f>
        <v>0</v>
      </c>
      <c r="F444" s="33" t="n">
        <v>0</v>
      </c>
      <c r="G444" s="131"/>
      <c r="H444" s="35" t="n">
        <v>0</v>
      </c>
      <c r="I444" s="34" t="n">
        <f aca="false">+IF(E444=0,0,E444*0.03)</f>
        <v>0</v>
      </c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customFormat="false" ht="16.4" hidden="false" customHeight="false" outlineLevel="0" collapsed="false">
      <c r="A445" s="123" t="n">
        <v>45444</v>
      </c>
      <c r="B445" s="31" t="s">
        <v>246</v>
      </c>
      <c r="C445" s="129"/>
      <c r="D445" s="129"/>
      <c r="E445" s="19" t="n">
        <f aca="false">F445*0.03</f>
        <v>0</v>
      </c>
      <c r="F445" s="33" t="n">
        <v>0</v>
      </c>
      <c r="G445" s="131"/>
      <c r="H445" s="35" t="n">
        <v>0</v>
      </c>
      <c r="I445" s="34" t="n">
        <f aca="false">+IF(E445=0,0,E445*0.03)</f>
        <v>0</v>
      </c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customFormat="false" ht="16.4" hidden="false" customHeight="false" outlineLevel="0" collapsed="false">
      <c r="A446" s="123" t="n">
        <v>45444</v>
      </c>
      <c r="B446" s="31" t="s">
        <v>239</v>
      </c>
      <c r="C446" s="129"/>
      <c r="D446" s="129"/>
      <c r="E446" s="19" t="n">
        <f aca="false">F446*0.03</f>
        <v>0</v>
      </c>
      <c r="F446" s="33" t="n">
        <v>0</v>
      </c>
      <c r="G446" s="131"/>
      <c r="H446" s="35" t="n">
        <v>0</v>
      </c>
      <c r="I446" s="34" t="n">
        <f aca="false">+IF(E446=0,0,E446*0.03)</f>
        <v>0</v>
      </c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customFormat="false" ht="16.4" hidden="false" customHeight="false" outlineLevel="0" collapsed="false">
      <c r="A447" s="123" t="n">
        <v>45444</v>
      </c>
      <c r="B447" s="31" t="s">
        <v>7</v>
      </c>
      <c r="C447" s="129"/>
      <c r="D447" s="129"/>
      <c r="E447" s="19" t="n">
        <f aca="false">F447*0.03</f>
        <v>0</v>
      </c>
      <c r="F447" s="33" t="n">
        <v>0</v>
      </c>
      <c r="G447" s="131"/>
      <c r="H447" s="35" t="n">
        <v>0</v>
      </c>
      <c r="I447" s="34" t="n">
        <f aca="false">+IF(E447=0,0,E447*0.03)</f>
        <v>0</v>
      </c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customFormat="false" ht="16.4" hidden="false" customHeight="false" outlineLevel="0" collapsed="false">
      <c r="A448" s="123" t="n">
        <v>45444</v>
      </c>
      <c r="B448" s="31" t="s">
        <v>240</v>
      </c>
      <c r="C448" s="129"/>
      <c r="D448" s="129"/>
      <c r="E448" s="19" t="n">
        <f aca="false">F448*0.03</f>
        <v>0</v>
      </c>
      <c r="F448" s="33" t="n">
        <v>0</v>
      </c>
      <c r="G448" s="131"/>
      <c r="H448" s="35" t="n">
        <v>0</v>
      </c>
      <c r="I448" s="34" t="n">
        <f aca="false">+IF(E448=0,0,E448*0.03)</f>
        <v>0</v>
      </c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customFormat="false" ht="16.4" hidden="false" customHeight="false" outlineLevel="0" collapsed="false">
      <c r="A449" s="123" t="n">
        <v>45444</v>
      </c>
      <c r="B449" s="31" t="s">
        <v>153</v>
      </c>
      <c r="C449" s="129"/>
      <c r="D449" s="129"/>
      <c r="E449" s="19" t="n">
        <f aca="false">F449*0.03</f>
        <v>0</v>
      </c>
      <c r="F449" s="33" t="n">
        <v>0</v>
      </c>
      <c r="G449" s="131"/>
      <c r="H449" s="35" t="n">
        <v>0</v>
      </c>
      <c r="I449" s="34" t="n">
        <f aca="false">+IF(E449=0,0,E449*0.03)</f>
        <v>0</v>
      </c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customFormat="false" ht="16.4" hidden="false" customHeight="false" outlineLevel="0" collapsed="false">
      <c r="A450" s="123" t="n">
        <v>45444</v>
      </c>
      <c r="B450" s="31" t="s">
        <v>247</v>
      </c>
      <c r="C450" s="129"/>
      <c r="D450" s="129"/>
      <c r="E450" s="19" t="n">
        <f aca="false">F450*0.03</f>
        <v>0</v>
      </c>
      <c r="F450" s="33" t="n">
        <v>0</v>
      </c>
      <c r="G450" s="131"/>
      <c r="H450" s="35" t="n">
        <v>0</v>
      </c>
      <c r="I450" s="34" t="n">
        <f aca="false">+IF(E450=0,0,E450*0.03)</f>
        <v>0</v>
      </c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customFormat="false" ht="16.4" hidden="false" customHeight="false" outlineLevel="0" collapsed="false">
      <c r="A451" s="123" t="n">
        <v>45444</v>
      </c>
      <c r="B451" s="31" t="s">
        <v>246</v>
      </c>
      <c r="C451" s="129"/>
      <c r="D451" s="129"/>
      <c r="E451" s="19" t="n">
        <f aca="false">F451*0.03</f>
        <v>0</v>
      </c>
      <c r="F451" s="33" t="n">
        <v>0</v>
      </c>
      <c r="G451" s="131"/>
      <c r="H451" s="35" t="n">
        <v>0</v>
      </c>
      <c r="I451" s="34" t="n">
        <f aca="false">+IF(E451=0,0,E451*0.03)</f>
        <v>0</v>
      </c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customFormat="false" ht="16.4" hidden="false" customHeight="false" outlineLevel="0" collapsed="false">
      <c r="A452" s="123" t="n">
        <v>45444</v>
      </c>
      <c r="B452" s="31" t="s">
        <v>239</v>
      </c>
      <c r="C452" s="129"/>
      <c r="D452" s="129"/>
      <c r="E452" s="19" t="n">
        <f aca="false">F452*0.03</f>
        <v>0</v>
      </c>
      <c r="F452" s="33" t="n">
        <v>0</v>
      </c>
      <c r="G452" s="131"/>
      <c r="H452" s="35" t="n">
        <v>0</v>
      </c>
      <c r="I452" s="34" t="n">
        <f aca="false">+IF(E452=0,0,E452*0.03)</f>
        <v>0</v>
      </c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customFormat="false" ht="16.4" hidden="false" customHeight="false" outlineLevel="0" collapsed="false">
      <c r="A453" s="123" t="n">
        <v>45444</v>
      </c>
      <c r="B453" s="31" t="s">
        <v>7</v>
      </c>
      <c r="C453" s="129"/>
      <c r="D453" s="129"/>
      <c r="E453" s="19" t="n">
        <f aca="false">F453*0.03</f>
        <v>0</v>
      </c>
      <c r="F453" s="33" t="n">
        <v>0</v>
      </c>
      <c r="G453" s="131"/>
      <c r="H453" s="35" t="n">
        <v>0</v>
      </c>
      <c r="I453" s="34" t="n">
        <f aca="false">+IF(E453=0,0,E453*0.03)</f>
        <v>0</v>
      </c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customFormat="false" ht="16.4" hidden="false" customHeight="false" outlineLevel="0" collapsed="false">
      <c r="A454" s="123" t="n">
        <v>45444</v>
      </c>
      <c r="B454" s="31" t="s">
        <v>240</v>
      </c>
      <c r="C454" s="129"/>
      <c r="D454" s="129"/>
      <c r="E454" s="19" t="n">
        <f aca="false">F454*0.03</f>
        <v>0</v>
      </c>
      <c r="F454" s="33" t="n">
        <v>0</v>
      </c>
      <c r="G454" s="131"/>
      <c r="H454" s="35" t="n">
        <v>0</v>
      </c>
      <c r="I454" s="34" t="n">
        <f aca="false">+IF(E454=0,0,E454*0.03)</f>
        <v>0</v>
      </c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customFormat="false" ht="16.4" hidden="false" customHeight="false" outlineLevel="0" collapsed="false">
      <c r="A455" s="123" t="n">
        <v>45444</v>
      </c>
      <c r="B455" s="31" t="s">
        <v>153</v>
      </c>
      <c r="C455" s="129"/>
      <c r="D455" s="129"/>
      <c r="E455" s="19" t="n">
        <f aca="false">F455*0.03</f>
        <v>0</v>
      </c>
      <c r="F455" s="33" t="n">
        <v>0</v>
      </c>
      <c r="G455" s="131"/>
      <c r="H455" s="35" t="n">
        <v>0</v>
      </c>
      <c r="I455" s="34" t="n">
        <f aca="false">+IF(E455=0,0,E455*0.03)</f>
        <v>0</v>
      </c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customFormat="false" ht="16.4" hidden="false" customHeight="false" outlineLevel="0" collapsed="false">
      <c r="A456" s="123" t="n">
        <v>45444</v>
      </c>
      <c r="B456" s="31" t="s">
        <v>247</v>
      </c>
      <c r="C456" s="129"/>
      <c r="D456" s="129"/>
      <c r="E456" s="19" t="n">
        <f aca="false">F456*0.03</f>
        <v>0</v>
      </c>
      <c r="F456" s="33" t="n">
        <v>0</v>
      </c>
      <c r="G456" s="131"/>
      <c r="H456" s="35" t="n">
        <v>0</v>
      </c>
      <c r="I456" s="34" t="n">
        <f aca="false">+IF(E456=0,0,E456*0.03)</f>
        <v>0</v>
      </c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customFormat="false" ht="16.4" hidden="false" customHeight="false" outlineLevel="0" collapsed="false">
      <c r="A457" s="123" t="n">
        <v>45444</v>
      </c>
      <c r="B457" s="31" t="s">
        <v>246</v>
      </c>
      <c r="C457" s="129"/>
      <c r="D457" s="129"/>
      <c r="E457" s="19" t="n">
        <f aca="false">F457*0.03</f>
        <v>0</v>
      </c>
      <c r="F457" s="33" t="n">
        <v>0</v>
      </c>
      <c r="G457" s="131"/>
      <c r="H457" s="35" t="n">
        <v>0</v>
      </c>
      <c r="I457" s="34" t="n">
        <f aca="false">+IF(E457=0,0,E457*0.03)</f>
        <v>0</v>
      </c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customFormat="false" ht="16.4" hidden="false" customHeight="false" outlineLevel="0" collapsed="false">
      <c r="A458" s="123" t="n">
        <v>45444</v>
      </c>
      <c r="B458" s="31" t="s">
        <v>239</v>
      </c>
      <c r="C458" s="129"/>
      <c r="D458" s="129"/>
      <c r="E458" s="19" t="n">
        <f aca="false">F458*0.03</f>
        <v>0</v>
      </c>
      <c r="F458" s="33" t="n">
        <v>0</v>
      </c>
      <c r="G458" s="131"/>
      <c r="H458" s="35" t="n">
        <v>0</v>
      </c>
      <c r="I458" s="34" t="n">
        <f aca="false">+IF(E458=0,0,E458*0.03)</f>
        <v>0</v>
      </c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customFormat="false" ht="16.4" hidden="false" customHeight="false" outlineLevel="0" collapsed="false">
      <c r="A459" s="123" t="n">
        <v>45444</v>
      </c>
      <c r="B459" s="31" t="s">
        <v>7</v>
      </c>
      <c r="C459" s="129"/>
      <c r="D459" s="129"/>
      <c r="E459" s="19" t="n">
        <f aca="false">F459*0.03</f>
        <v>0</v>
      </c>
      <c r="F459" s="33" t="n">
        <v>0</v>
      </c>
      <c r="G459" s="131"/>
      <c r="H459" s="35" t="n">
        <v>0</v>
      </c>
      <c r="I459" s="34" t="n">
        <f aca="false">+IF(E459=0,0,E459*0.03)</f>
        <v>0</v>
      </c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customFormat="false" ht="16.4" hidden="false" customHeight="false" outlineLevel="0" collapsed="false">
      <c r="A460" s="123" t="n">
        <v>45444</v>
      </c>
      <c r="B460" s="31" t="s">
        <v>240</v>
      </c>
      <c r="C460" s="129"/>
      <c r="D460" s="129"/>
      <c r="E460" s="19" t="n">
        <f aca="false">F460*0.03</f>
        <v>0</v>
      </c>
      <c r="F460" s="33" t="n">
        <v>0</v>
      </c>
      <c r="G460" s="131"/>
      <c r="H460" s="35" t="n">
        <v>0</v>
      </c>
      <c r="I460" s="34" t="n">
        <f aca="false">+IF(E460=0,0,E460*0.03)</f>
        <v>0</v>
      </c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customFormat="false" ht="16.4" hidden="false" customHeight="false" outlineLevel="0" collapsed="false">
      <c r="A461" s="123" t="n">
        <v>45444</v>
      </c>
      <c r="B461" s="31" t="s">
        <v>153</v>
      </c>
      <c r="C461" s="129"/>
      <c r="D461" s="129"/>
      <c r="E461" s="19" t="n">
        <f aca="false">F461*0.03</f>
        <v>0</v>
      </c>
      <c r="F461" s="33" t="n">
        <v>0</v>
      </c>
      <c r="G461" s="131"/>
      <c r="H461" s="35" t="n">
        <v>0</v>
      </c>
      <c r="I461" s="34" t="n">
        <f aca="false">+IF(E461=0,0,E461*0.03)</f>
        <v>0</v>
      </c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customFormat="false" ht="16.4" hidden="false" customHeight="false" outlineLevel="0" collapsed="false">
      <c r="A462" s="123" t="n">
        <v>45444</v>
      </c>
      <c r="B462" s="31" t="s">
        <v>247</v>
      </c>
      <c r="C462" s="129"/>
      <c r="D462" s="129"/>
      <c r="E462" s="19" t="n">
        <f aca="false">F462*0.03</f>
        <v>0</v>
      </c>
      <c r="F462" s="33" t="n">
        <v>0</v>
      </c>
      <c r="G462" s="131"/>
      <c r="H462" s="35" t="n">
        <v>0</v>
      </c>
      <c r="I462" s="34" t="n">
        <f aca="false">+IF(E462=0,0,E462*0.03)</f>
        <v>0</v>
      </c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customFormat="false" ht="16.4" hidden="false" customHeight="false" outlineLevel="0" collapsed="false">
      <c r="A463" s="123" t="n">
        <v>45444</v>
      </c>
      <c r="B463" s="31" t="s">
        <v>246</v>
      </c>
      <c r="C463" s="129"/>
      <c r="D463" s="129"/>
      <c r="E463" s="19" t="n">
        <f aca="false">F463*0.03</f>
        <v>0</v>
      </c>
      <c r="F463" s="33" t="n">
        <v>0</v>
      </c>
      <c r="G463" s="131"/>
      <c r="H463" s="35" t="n">
        <v>0</v>
      </c>
      <c r="I463" s="34" t="n">
        <f aca="false">+IF(E463=0,0,E463*0.03)</f>
        <v>0</v>
      </c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customFormat="false" ht="16.4" hidden="false" customHeight="false" outlineLevel="0" collapsed="false">
      <c r="A464" s="123" t="n">
        <v>45444</v>
      </c>
      <c r="B464" s="31" t="s">
        <v>239</v>
      </c>
      <c r="C464" s="129"/>
      <c r="D464" s="129"/>
      <c r="E464" s="19" t="n">
        <f aca="false">F464*0.03</f>
        <v>0</v>
      </c>
      <c r="F464" s="33" t="n">
        <v>0</v>
      </c>
      <c r="G464" s="131"/>
      <c r="H464" s="35" t="n">
        <v>0</v>
      </c>
      <c r="I464" s="34" t="n">
        <f aca="false">+IF(E464=0,0,E464*0.03)</f>
        <v>0</v>
      </c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customFormat="false" ht="16.4" hidden="false" customHeight="false" outlineLevel="0" collapsed="false">
      <c r="A465" s="123" t="n">
        <v>45444</v>
      </c>
      <c r="B465" s="31" t="s">
        <v>7</v>
      </c>
      <c r="C465" s="129"/>
      <c r="D465" s="129"/>
      <c r="E465" s="19" t="n">
        <f aca="false">F465*0.03</f>
        <v>0</v>
      </c>
      <c r="F465" s="33" t="n">
        <v>0</v>
      </c>
      <c r="G465" s="131"/>
      <c r="H465" s="35" t="n">
        <v>0</v>
      </c>
      <c r="I465" s="34" t="n">
        <f aca="false">+IF(E465=0,0,E465*0.03)</f>
        <v>0</v>
      </c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customFormat="false" ht="16.4" hidden="false" customHeight="false" outlineLevel="0" collapsed="false">
      <c r="A466" s="123" t="n">
        <v>45444</v>
      </c>
      <c r="B466" s="31" t="s">
        <v>240</v>
      </c>
      <c r="C466" s="129"/>
      <c r="D466" s="129"/>
      <c r="E466" s="19" t="n">
        <f aca="false">F466*0.03</f>
        <v>0</v>
      </c>
      <c r="F466" s="33" t="n">
        <v>0</v>
      </c>
      <c r="G466" s="131"/>
      <c r="H466" s="35" t="n">
        <v>0</v>
      </c>
      <c r="I466" s="34" t="n">
        <f aca="false">+IF(E466=0,0,E466*0.03)</f>
        <v>0</v>
      </c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customFormat="false" ht="16.4" hidden="false" customHeight="false" outlineLevel="0" collapsed="false">
      <c r="A467" s="123" t="n">
        <v>45444</v>
      </c>
      <c r="B467" s="31" t="s">
        <v>153</v>
      </c>
      <c r="C467" s="129"/>
      <c r="D467" s="129"/>
      <c r="E467" s="19" t="n">
        <f aca="false">F467*0.03</f>
        <v>0</v>
      </c>
      <c r="F467" s="33" t="n">
        <v>0</v>
      </c>
      <c r="G467" s="131"/>
      <c r="H467" s="35" t="n">
        <v>0</v>
      </c>
      <c r="I467" s="34" t="n">
        <f aca="false">+IF(E467=0,0,E467*0.03)</f>
        <v>0</v>
      </c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customFormat="false" ht="16.4" hidden="false" customHeight="false" outlineLevel="0" collapsed="false">
      <c r="A468" s="123" t="n">
        <v>45444</v>
      </c>
      <c r="B468" s="31" t="s">
        <v>247</v>
      </c>
      <c r="C468" s="129"/>
      <c r="D468" s="129"/>
      <c r="E468" s="19" t="n">
        <f aca="false">F468*0.03</f>
        <v>0</v>
      </c>
      <c r="F468" s="33" t="n">
        <v>0</v>
      </c>
      <c r="G468" s="131"/>
      <c r="H468" s="35" t="n">
        <v>0</v>
      </c>
      <c r="I468" s="34" t="n">
        <f aca="false">+IF(E468=0,0,E468*0.03)</f>
        <v>0</v>
      </c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customFormat="false" ht="16.4" hidden="false" customHeight="false" outlineLevel="0" collapsed="false">
      <c r="A469" s="123" t="n">
        <v>45444</v>
      </c>
      <c r="B469" s="31" t="s">
        <v>246</v>
      </c>
      <c r="C469" s="129"/>
      <c r="D469" s="129"/>
      <c r="E469" s="19" t="n">
        <f aca="false">F469*0.03</f>
        <v>0</v>
      </c>
      <c r="F469" s="33" t="n">
        <v>0</v>
      </c>
      <c r="G469" s="131"/>
      <c r="H469" s="35" t="n">
        <v>0</v>
      </c>
      <c r="I469" s="34" t="n">
        <f aca="false">+IF(E469=0,0,E469*0.03)</f>
        <v>0</v>
      </c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customFormat="false" ht="16.4" hidden="false" customHeight="false" outlineLevel="0" collapsed="false">
      <c r="A470" s="123" t="n">
        <v>45444</v>
      </c>
      <c r="B470" s="31" t="s">
        <v>239</v>
      </c>
      <c r="C470" s="129"/>
      <c r="D470" s="129"/>
      <c r="E470" s="19" t="n">
        <f aca="false">F470*0.03</f>
        <v>0</v>
      </c>
      <c r="F470" s="33" t="n">
        <v>0</v>
      </c>
      <c r="G470" s="131"/>
      <c r="H470" s="35" t="n">
        <v>0</v>
      </c>
      <c r="I470" s="34" t="n">
        <f aca="false">+IF(E470=0,0,E470*0.03)</f>
        <v>0</v>
      </c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customFormat="false" ht="16.4" hidden="false" customHeight="false" outlineLevel="0" collapsed="false">
      <c r="A471" s="123" t="n">
        <v>45444</v>
      </c>
      <c r="B471" s="31" t="s">
        <v>7</v>
      </c>
      <c r="C471" s="129"/>
      <c r="D471" s="129"/>
      <c r="E471" s="19" t="n">
        <f aca="false">F471*0.03</f>
        <v>0</v>
      </c>
      <c r="F471" s="33" t="n">
        <v>0</v>
      </c>
      <c r="G471" s="131"/>
      <c r="H471" s="35" t="n">
        <v>0</v>
      </c>
      <c r="I471" s="34" t="n">
        <f aca="false">+IF(E471=0,0,E471*0.03)</f>
        <v>0</v>
      </c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customFormat="false" ht="16.4" hidden="false" customHeight="false" outlineLevel="0" collapsed="false">
      <c r="A472" s="123" t="n">
        <v>45444</v>
      </c>
      <c r="B472" s="31" t="s">
        <v>240</v>
      </c>
      <c r="C472" s="129"/>
      <c r="D472" s="129"/>
      <c r="E472" s="19" t="n">
        <f aca="false">F472*0.03</f>
        <v>0</v>
      </c>
      <c r="F472" s="33" t="n">
        <v>0</v>
      </c>
      <c r="G472" s="131"/>
      <c r="H472" s="35" t="n">
        <v>0</v>
      </c>
      <c r="I472" s="34" t="n">
        <f aca="false">+IF(E472=0,0,E472*0.03)</f>
        <v>0</v>
      </c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customFormat="false" ht="16.4" hidden="false" customHeight="false" outlineLevel="0" collapsed="false">
      <c r="A473" s="123" t="n">
        <v>45444</v>
      </c>
      <c r="B473" s="31" t="s">
        <v>153</v>
      </c>
      <c r="C473" s="129"/>
      <c r="D473" s="129"/>
      <c r="E473" s="19" t="n">
        <f aca="false">F473*0.03</f>
        <v>0</v>
      </c>
      <c r="F473" s="33" t="n">
        <v>0</v>
      </c>
      <c r="G473" s="131"/>
      <c r="H473" s="35" t="n">
        <v>0</v>
      </c>
      <c r="I473" s="34" t="n">
        <f aca="false">+IF(E473=0,0,E473*0.03)</f>
        <v>0</v>
      </c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customFormat="false" ht="16.4" hidden="false" customHeight="false" outlineLevel="0" collapsed="false">
      <c r="A474" s="123" t="n">
        <v>45444</v>
      </c>
      <c r="B474" s="31" t="s">
        <v>247</v>
      </c>
      <c r="C474" s="129"/>
      <c r="D474" s="129"/>
      <c r="E474" s="19" t="n">
        <f aca="false">F474*0.03</f>
        <v>0</v>
      </c>
      <c r="F474" s="33" t="n">
        <v>0</v>
      </c>
      <c r="G474" s="131"/>
      <c r="H474" s="35" t="n">
        <v>0</v>
      </c>
      <c r="I474" s="34" t="n">
        <f aca="false">+IF(E474=0,0,E474*0.03)</f>
        <v>0</v>
      </c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customFormat="false" ht="16.4" hidden="false" customHeight="false" outlineLevel="0" collapsed="false">
      <c r="A475" s="123" t="n">
        <v>45444</v>
      </c>
      <c r="B475" s="31" t="s">
        <v>246</v>
      </c>
      <c r="C475" s="129"/>
      <c r="D475" s="129"/>
      <c r="E475" s="19" t="n">
        <f aca="false">F475*0.03</f>
        <v>0</v>
      </c>
      <c r="F475" s="33" t="n">
        <v>0</v>
      </c>
      <c r="G475" s="131"/>
      <c r="H475" s="35" t="n">
        <v>0</v>
      </c>
      <c r="I475" s="34" t="n">
        <f aca="false">+IF(E475=0,0,E475*0.03)</f>
        <v>0</v>
      </c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customFormat="false" ht="16.4" hidden="false" customHeight="false" outlineLevel="0" collapsed="false">
      <c r="A476" s="123" t="n">
        <v>45444</v>
      </c>
      <c r="B476" s="31" t="s">
        <v>239</v>
      </c>
      <c r="C476" s="129"/>
      <c r="D476" s="129"/>
      <c r="E476" s="19" t="n">
        <f aca="false">F476*0.03</f>
        <v>0</v>
      </c>
      <c r="F476" s="33" t="n">
        <v>0</v>
      </c>
      <c r="G476" s="131"/>
      <c r="H476" s="35" t="n">
        <v>0</v>
      </c>
      <c r="I476" s="34" t="n">
        <f aca="false">+IF(E476=0,0,E476*0.03)</f>
        <v>0</v>
      </c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customFormat="false" ht="16.4" hidden="false" customHeight="false" outlineLevel="0" collapsed="false">
      <c r="A477" s="123" t="n">
        <v>45444</v>
      </c>
      <c r="B477" s="31" t="s">
        <v>7</v>
      </c>
      <c r="C477" s="129"/>
      <c r="D477" s="129"/>
      <c r="E477" s="19" t="n">
        <f aca="false">F477*0.03</f>
        <v>0</v>
      </c>
      <c r="F477" s="33" t="n">
        <v>0</v>
      </c>
      <c r="G477" s="131"/>
      <c r="H477" s="35" t="n">
        <v>0</v>
      </c>
      <c r="I477" s="34" t="n">
        <f aca="false">+IF(E477=0,0,E477*0.03)</f>
        <v>0</v>
      </c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customFormat="false" ht="16.4" hidden="false" customHeight="false" outlineLevel="0" collapsed="false">
      <c r="A478" s="123" t="n">
        <v>45444</v>
      </c>
      <c r="B478" s="31" t="s">
        <v>240</v>
      </c>
      <c r="C478" s="129"/>
      <c r="D478" s="129"/>
      <c r="E478" s="19" t="n">
        <f aca="false">F478*0.03</f>
        <v>0</v>
      </c>
      <c r="F478" s="33" t="n">
        <v>0</v>
      </c>
      <c r="G478" s="131"/>
      <c r="H478" s="35" t="n">
        <v>0</v>
      </c>
      <c r="I478" s="34" t="n">
        <f aca="false">+IF(E478=0,0,E478*0.03)</f>
        <v>0</v>
      </c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customFormat="false" ht="16.4" hidden="false" customHeight="false" outlineLevel="0" collapsed="false">
      <c r="A479" s="123" t="n">
        <v>45444</v>
      </c>
      <c r="B479" s="31" t="s">
        <v>153</v>
      </c>
      <c r="C479" s="129"/>
      <c r="D479" s="129"/>
      <c r="E479" s="19" t="n">
        <f aca="false">F479*0.03</f>
        <v>0</v>
      </c>
      <c r="F479" s="33" t="n">
        <v>0</v>
      </c>
      <c r="G479" s="131"/>
      <c r="H479" s="35" t="n">
        <v>0</v>
      </c>
      <c r="I479" s="34" t="n">
        <f aca="false">+IF(E479=0,0,E479*0.03)</f>
        <v>0</v>
      </c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customFormat="false" ht="16.4" hidden="false" customHeight="false" outlineLevel="0" collapsed="false">
      <c r="A480" s="123" t="n">
        <v>45444</v>
      </c>
      <c r="B480" s="31" t="s">
        <v>247</v>
      </c>
      <c r="C480" s="129"/>
      <c r="D480" s="129"/>
      <c r="E480" s="19" t="n">
        <f aca="false">F480*0.03</f>
        <v>0</v>
      </c>
      <c r="F480" s="33" t="n">
        <v>0</v>
      </c>
      <c r="G480" s="131"/>
      <c r="H480" s="35" t="n">
        <v>0</v>
      </c>
      <c r="I480" s="34" t="n">
        <f aca="false">+IF(E480=0,0,E480*0.03)</f>
        <v>0</v>
      </c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customFormat="false" ht="16.4" hidden="false" customHeight="false" outlineLevel="0" collapsed="false">
      <c r="A481" s="123" t="n">
        <v>45444</v>
      </c>
      <c r="B481" s="31" t="s">
        <v>246</v>
      </c>
      <c r="C481" s="129"/>
      <c r="D481" s="129"/>
      <c r="E481" s="19" t="n">
        <f aca="false">F481*0.03</f>
        <v>0</v>
      </c>
      <c r="F481" s="33" t="n">
        <v>0</v>
      </c>
      <c r="G481" s="131"/>
      <c r="H481" s="35" t="n">
        <v>0</v>
      </c>
      <c r="I481" s="34" t="n">
        <f aca="false">+IF(E481=0,0,E481*0.03)</f>
        <v>0</v>
      </c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customFormat="false" ht="16.4" hidden="false" customHeight="false" outlineLevel="0" collapsed="false">
      <c r="A482" s="123" t="n">
        <v>45444</v>
      </c>
      <c r="B482" s="31" t="s">
        <v>239</v>
      </c>
      <c r="C482" s="129"/>
      <c r="D482" s="129"/>
      <c r="E482" s="19" t="n">
        <f aca="false">F482*0.03</f>
        <v>0</v>
      </c>
      <c r="F482" s="33" t="n">
        <v>0</v>
      </c>
      <c r="G482" s="131"/>
      <c r="H482" s="35" t="n">
        <v>0</v>
      </c>
      <c r="I482" s="34" t="n">
        <f aca="false">+IF(E482=0,0,E482*0.03)</f>
        <v>0</v>
      </c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customFormat="false" ht="16.4" hidden="false" customHeight="false" outlineLevel="0" collapsed="false">
      <c r="A483" s="123" t="n">
        <v>45444</v>
      </c>
      <c r="B483" s="31" t="s">
        <v>7</v>
      </c>
      <c r="C483" s="129"/>
      <c r="D483" s="129"/>
      <c r="E483" s="19" t="n">
        <f aca="false">F483*0.03</f>
        <v>0</v>
      </c>
      <c r="F483" s="33" t="n">
        <v>0</v>
      </c>
      <c r="G483" s="131"/>
      <c r="H483" s="35" t="n">
        <v>0</v>
      </c>
      <c r="I483" s="34" t="n">
        <f aca="false">+IF(E483=0,0,E483*0.03)</f>
        <v>0</v>
      </c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customFormat="false" ht="16.4" hidden="false" customHeight="false" outlineLevel="0" collapsed="false">
      <c r="A484" s="123" t="n">
        <v>45444</v>
      </c>
      <c r="B484" s="31" t="s">
        <v>240</v>
      </c>
      <c r="C484" s="129"/>
      <c r="D484" s="129"/>
      <c r="E484" s="19" t="n">
        <f aca="false">F484*0.03</f>
        <v>0</v>
      </c>
      <c r="F484" s="33" t="n">
        <v>0</v>
      </c>
      <c r="G484" s="131"/>
      <c r="H484" s="35" t="n">
        <v>0</v>
      </c>
      <c r="I484" s="34" t="n">
        <f aca="false">+IF(E484=0,0,E484*0.03)</f>
        <v>0</v>
      </c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customFormat="false" ht="16.4" hidden="false" customHeight="false" outlineLevel="0" collapsed="false">
      <c r="A485" s="123" t="n">
        <v>45444</v>
      </c>
      <c r="B485" s="31" t="s">
        <v>153</v>
      </c>
      <c r="C485" s="129"/>
      <c r="D485" s="129"/>
      <c r="E485" s="19" t="n">
        <f aca="false">F485*0.03</f>
        <v>0</v>
      </c>
      <c r="F485" s="33" t="n">
        <v>0</v>
      </c>
      <c r="G485" s="131"/>
      <c r="H485" s="35" t="n">
        <v>0</v>
      </c>
      <c r="I485" s="34" t="n">
        <f aca="false">+IF(E485=0,0,E485*0.03)</f>
        <v>0</v>
      </c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customFormat="false" ht="16.4" hidden="false" customHeight="false" outlineLevel="0" collapsed="false">
      <c r="A486" s="123" t="n">
        <v>45444</v>
      </c>
      <c r="B486" s="31" t="s">
        <v>247</v>
      </c>
      <c r="C486" s="129"/>
      <c r="D486" s="129"/>
      <c r="E486" s="19" t="n">
        <f aca="false">F486*0.03</f>
        <v>0</v>
      </c>
      <c r="F486" s="33" t="n">
        <v>0</v>
      </c>
      <c r="G486" s="131"/>
      <c r="H486" s="35" t="n">
        <v>0</v>
      </c>
      <c r="I486" s="34" t="n">
        <f aca="false">+IF(E486=0,0,E486*0.03)</f>
        <v>0</v>
      </c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customFormat="false" ht="16.4" hidden="false" customHeight="false" outlineLevel="0" collapsed="false">
      <c r="A487" s="123" t="n">
        <v>45444</v>
      </c>
      <c r="B487" s="31" t="s">
        <v>246</v>
      </c>
      <c r="C487" s="129"/>
      <c r="D487" s="129"/>
      <c r="E487" s="19" t="n">
        <f aca="false">F487*0.03</f>
        <v>0</v>
      </c>
      <c r="F487" s="33" t="n">
        <v>0</v>
      </c>
      <c r="G487" s="131"/>
      <c r="H487" s="35" t="n">
        <v>0</v>
      </c>
      <c r="I487" s="34" t="n">
        <f aca="false">+IF(E487=0,0,E487*0.03)</f>
        <v>0</v>
      </c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customFormat="false" ht="16.4" hidden="false" customHeight="false" outlineLevel="0" collapsed="false">
      <c r="A488" s="123" t="n">
        <v>45444</v>
      </c>
      <c r="B488" s="31" t="s">
        <v>239</v>
      </c>
      <c r="C488" s="129"/>
      <c r="D488" s="129"/>
      <c r="E488" s="19" t="n">
        <f aca="false">F488*0.03</f>
        <v>0</v>
      </c>
      <c r="F488" s="33" t="n">
        <v>0</v>
      </c>
      <c r="G488" s="131"/>
      <c r="H488" s="35" t="n">
        <v>0</v>
      </c>
      <c r="I488" s="34" t="n">
        <f aca="false">+IF(E488=0,0,E488*0.03)</f>
        <v>0</v>
      </c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customFormat="false" ht="16.4" hidden="false" customHeight="false" outlineLevel="0" collapsed="false">
      <c r="A489" s="123" t="n">
        <v>45444</v>
      </c>
      <c r="B489" s="31" t="s">
        <v>7</v>
      </c>
      <c r="C489" s="129"/>
      <c r="D489" s="129"/>
      <c r="E489" s="19" t="n">
        <f aca="false">F489*0.03</f>
        <v>0</v>
      </c>
      <c r="F489" s="33" t="n">
        <v>0</v>
      </c>
      <c r="G489" s="131"/>
      <c r="H489" s="35" t="n">
        <v>0</v>
      </c>
      <c r="I489" s="34" t="n">
        <f aca="false">+IF(E489=0,0,E489*0.03)</f>
        <v>0</v>
      </c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customFormat="false" ht="16.4" hidden="false" customHeight="false" outlineLevel="0" collapsed="false">
      <c r="A490" s="123" t="n">
        <v>45444</v>
      </c>
      <c r="B490" s="31" t="s">
        <v>240</v>
      </c>
      <c r="C490" s="129"/>
      <c r="D490" s="129"/>
      <c r="E490" s="19" t="n">
        <f aca="false">F490*0.03</f>
        <v>0</v>
      </c>
      <c r="F490" s="33" t="n">
        <v>0</v>
      </c>
      <c r="G490" s="131"/>
      <c r="H490" s="35" t="n">
        <v>0</v>
      </c>
      <c r="I490" s="34" t="n">
        <f aca="false">+IF(E490=0,0,E490*0.03)</f>
        <v>0</v>
      </c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customFormat="false" ht="16.4" hidden="false" customHeight="false" outlineLevel="0" collapsed="false">
      <c r="A491" s="123" t="n">
        <v>45444</v>
      </c>
      <c r="B491" s="31" t="s">
        <v>153</v>
      </c>
      <c r="C491" s="129"/>
      <c r="D491" s="129"/>
      <c r="E491" s="19" t="n">
        <f aca="false">F491*0.03</f>
        <v>0</v>
      </c>
      <c r="F491" s="33" t="n">
        <v>0</v>
      </c>
      <c r="G491" s="131"/>
      <c r="H491" s="35" t="n">
        <v>0</v>
      </c>
      <c r="I491" s="34" t="n">
        <f aca="false">+IF(E491=0,0,E491*0.03)</f>
        <v>0</v>
      </c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customFormat="false" ht="16.4" hidden="false" customHeight="false" outlineLevel="0" collapsed="false">
      <c r="A492" s="123" t="n">
        <v>45444</v>
      </c>
      <c r="B492" s="31" t="s">
        <v>247</v>
      </c>
      <c r="C492" s="129"/>
      <c r="D492" s="129"/>
      <c r="E492" s="19" t="n">
        <f aca="false">F492*0.03</f>
        <v>0</v>
      </c>
      <c r="F492" s="33" t="n">
        <v>0</v>
      </c>
      <c r="G492" s="131"/>
      <c r="H492" s="35" t="n">
        <v>0</v>
      </c>
      <c r="I492" s="34" t="n">
        <f aca="false">+IF(E492=0,0,E492*0.03)</f>
        <v>0</v>
      </c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customFormat="false" ht="16.4" hidden="false" customHeight="false" outlineLevel="0" collapsed="false">
      <c r="A493" s="123" t="n">
        <v>45444</v>
      </c>
      <c r="B493" s="31" t="s">
        <v>246</v>
      </c>
      <c r="C493" s="129"/>
      <c r="D493" s="129"/>
      <c r="E493" s="19" t="n">
        <f aca="false">F493*0.03</f>
        <v>0</v>
      </c>
      <c r="F493" s="33" t="n">
        <v>0</v>
      </c>
      <c r="G493" s="131"/>
      <c r="H493" s="35" t="n">
        <v>0</v>
      </c>
      <c r="I493" s="34" t="n">
        <f aca="false">+IF(E493=0,0,E493*0.03)</f>
        <v>0</v>
      </c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customFormat="false" ht="16.4" hidden="false" customHeight="false" outlineLevel="0" collapsed="false">
      <c r="A494" s="123" t="n">
        <v>45444</v>
      </c>
      <c r="B494" s="31" t="s">
        <v>239</v>
      </c>
      <c r="C494" s="129"/>
      <c r="D494" s="129"/>
      <c r="E494" s="19" t="n">
        <f aca="false">F494*0.03</f>
        <v>0</v>
      </c>
      <c r="F494" s="33" t="n">
        <v>0</v>
      </c>
      <c r="G494" s="131"/>
      <c r="H494" s="35" t="n">
        <v>0</v>
      </c>
      <c r="I494" s="34" t="n">
        <f aca="false">+IF(E494=0,0,E494*0.03)</f>
        <v>0</v>
      </c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customFormat="false" ht="16.4" hidden="false" customHeight="false" outlineLevel="0" collapsed="false">
      <c r="A495" s="123" t="n">
        <v>45444</v>
      </c>
      <c r="B495" s="31" t="s">
        <v>7</v>
      </c>
      <c r="C495" s="129"/>
      <c r="D495" s="129"/>
      <c r="E495" s="19" t="n">
        <f aca="false">F495*0.03</f>
        <v>0</v>
      </c>
      <c r="F495" s="33" t="n">
        <v>0</v>
      </c>
      <c r="G495" s="131"/>
      <c r="H495" s="35" t="n">
        <v>0</v>
      </c>
      <c r="I495" s="34" t="n">
        <f aca="false">+IF(E495=0,0,E495*0.03)</f>
        <v>0</v>
      </c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customFormat="false" ht="16.4" hidden="false" customHeight="false" outlineLevel="0" collapsed="false">
      <c r="A496" s="123" t="n">
        <v>45444</v>
      </c>
      <c r="B496" s="31" t="s">
        <v>240</v>
      </c>
      <c r="C496" s="129"/>
      <c r="D496" s="129"/>
      <c r="E496" s="19" t="n">
        <f aca="false">F496*0.03</f>
        <v>0</v>
      </c>
      <c r="F496" s="33" t="n">
        <v>0</v>
      </c>
      <c r="G496" s="131"/>
      <c r="H496" s="35" t="n">
        <v>0</v>
      </c>
      <c r="I496" s="34" t="n">
        <f aca="false">+IF(E496=0,0,E496*0.03)</f>
        <v>0</v>
      </c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customFormat="false" ht="16.4" hidden="false" customHeight="false" outlineLevel="0" collapsed="false">
      <c r="A497" s="123" t="n">
        <v>45444</v>
      </c>
      <c r="B497" s="31" t="s">
        <v>153</v>
      </c>
      <c r="C497" s="129"/>
      <c r="D497" s="129"/>
      <c r="E497" s="19" t="n">
        <f aca="false">F497*0.03</f>
        <v>0</v>
      </c>
      <c r="F497" s="33" t="n">
        <v>0</v>
      </c>
      <c r="G497" s="131"/>
      <c r="H497" s="35" t="n">
        <v>0</v>
      </c>
      <c r="I497" s="34" t="n">
        <f aca="false">+IF(E497=0,0,E497*0.03)</f>
        <v>0</v>
      </c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customFormat="false" ht="16.4" hidden="false" customHeight="false" outlineLevel="0" collapsed="false">
      <c r="A498" s="123" t="n">
        <v>45444</v>
      </c>
      <c r="B498" s="31" t="s">
        <v>247</v>
      </c>
      <c r="C498" s="129"/>
      <c r="D498" s="129"/>
      <c r="E498" s="19" t="n">
        <f aca="false">F498*0.03</f>
        <v>0</v>
      </c>
      <c r="F498" s="33" t="n">
        <v>0</v>
      </c>
      <c r="G498" s="131"/>
      <c r="H498" s="35" t="n">
        <v>0</v>
      </c>
      <c r="I498" s="34" t="n">
        <f aca="false">+IF(E498=0,0,E498*0.03)</f>
        <v>0</v>
      </c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customFormat="false" ht="16.4" hidden="false" customHeight="false" outlineLevel="0" collapsed="false">
      <c r="A499" s="123" t="n">
        <v>45444</v>
      </c>
      <c r="B499" s="31" t="s">
        <v>246</v>
      </c>
      <c r="C499" s="129"/>
      <c r="D499" s="129"/>
      <c r="E499" s="19" t="n">
        <f aca="false">F499*0.03</f>
        <v>0</v>
      </c>
      <c r="F499" s="33" t="n">
        <v>0</v>
      </c>
      <c r="G499" s="131"/>
      <c r="H499" s="35" t="n">
        <v>0</v>
      </c>
      <c r="I499" s="34" t="n">
        <f aca="false">+IF(E499=0,0,E499*0.03)</f>
        <v>0</v>
      </c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customFormat="false" ht="16.4" hidden="false" customHeight="false" outlineLevel="0" collapsed="false">
      <c r="A500" s="123" t="n">
        <v>45444</v>
      </c>
      <c r="B500" s="31" t="s">
        <v>239</v>
      </c>
      <c r="C500" s="129"/>
      <c r="D500" s="129"/>
      <c r="E500" s="19" t="n">
        <f aca="false">F500*0.03</f>
        <v>0</v>
      </c>
      <c r="F500" s="33" t="n">
        <v>0</v>
      </c>
      <c r="G500" s="131"/>
      <c r="H500" s="35" t="n">
        <v>0</v>
      </c>
      <c r="I500" s="34" t="n">
        <f aca="false">+IF(E500=0,0,E500*0.03)</f>
        <v>0</v>
      </c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customFormat="false" ht="16.4" hidden="false" customHeight="false" outlineLevel="0" collapsed="false">
      <c r="A501" s="123" t="n">
        <v>45444</v>
      </c>
      <c r="B501" s="31" t="s">
        <v>7</v>
      </c>
      <c r="C501" s="129"/>
      <c r="D501" s="129"/>
      <c r="E501" s="19" t="n">
        <f aca="false">F501*0.03</f>
        <v>0</v>
      </c>
      <c r="F501" s="33" t="n">
        <v>0</v>
      </c>
      <c r="G501" s="131"/>
      <c r="H501" s="35" t="n">
        <v>0</v>
      </c>
      <c r="I501" s="34" t="n">
        <f aca="false">+IF(E501=0,0,E501*0.03)</f>
        <v>0</v>
      </c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customFormat="false" ht="16.4" hidden="false" customHeight="false" outlineLevel="0" collapsed="false">
      <c r="A502" s="123" t="n">
        <v>45444</v>
      </c>
      <c r="B502" s="31" t="s">
        <v>240</v>
      </c>
      <c r="C502" s="129"/>
      <c r="D502" s="129"/>
      <c r="E502" s="19" t="n">
        <f aca="false">F502*0.03</f>
        <v>0</v>
      </c>
      <c r="F502" s="33" t="n">
        <v>0</v>
      </c>
      <c r="G502" s="131"/>
      <c r="H502" s="35" t="n">
        <v>0</v>
      </c>
      <c r="I502" s="34" t="n">
        <f aca="false">+IF(E502=0,0,E502*0.03)</f>
        <v>0</v>
      </c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customFormat="false" ht="16.4" hidden="false" customHeight="false" outlineLevel="0" collapsed="false">
      <c r="A503" s="123" t="n">
        <v>45444</v>
      </c>
      <c r="B503" s="31" t="s">
        <v>153</v>
      </c>
      <c r="C503" s="129"/>
      <c r="D503" s="129"/>
      <c r="E503" s="19" t="n">
        <f aca="false">F503*0.03</f>
        <v>0</v>
      </c>
      <c r="F503" s="33" t="n">
        <v>0</v>
      </c>
      <c r="G503" s="131"/>
      <c r="H503" s="35" t="n">
        <v>0</v>
      </c>
      <c r="I503" s="34" t="n">
        <f aca="false">+IF(E503=0,0,E503*0.03)</f>
        <v>0</v>
      </c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customFormat="false" ht="16.4" hidden="false" customHeight="false" outlineLevel="0" collapsed="false">
      <c r="A504" s="123" t="n">
        <v>45444</v>
      </c>
      <c r="B504" s="31" t="s">
        <v>247</v>
      </c>
      <c r="C504" s="129"/>
      <c r="D504" s="129"/>
      <c r="E504" s="19" t="n">
        <f aca="false">F504*0.03</f>
        <v>0</v>
      </c>
      <c r="F504" s="33" t="n">
        <v>0</v>
      </c>
      <c r="G504" s="131"/>
      <c r="H504" s="35" t="n">
        <v>0</v>
      </c>
      <c r="I504" s="34" t="n">
        <f aca="false">+IF(E504=0,0,E504*0.03)</f>
        <v>0</v>
      </c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customFormat="false" ht="16.4" hidden="false" customHeight="false" outlineLevel="0" collapsed="false">
      <c r="A505" s="123" t="n">
        <v>45444</v>
      </c>
      <c r="B505" s="31" t="s">
        <v>246</v>
      </c>
      <c r="C505" s="129"/>
      <c r="D505" s="129"/>
      <c r="E505" s="19" t="n">
        <f aca="false">F505*0.03</f>
        <v>0</v>
      </c>
      <c r="F505" s="33" t="n">
        <v>0</v>
      </c>
      <c r="G505" s="131"/>
      <c r="H505" s="35" t="n">
        <v>0</v>
      </c>
      <c r="I505" s="34" t="n">
        <f aca="false">+IF(E505=0,0,E505*0.03)</f>
        <v>0</v>
      </c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customFormat="false" ht="16.4" hidden="false" customHeight="false" outlineLevel="0" collapsed="false">
      <c r="A506" s="123" t="n">
        <v>45444</v>
      </c>
      <c r="B506" s="31" t="s">
        <v>239</v>
      </c>
      <c r="C506" s="129"/>
      <c r="D506" s="129"/>
      <c r="E506" s="19" t="n">
        <f aca="false">F506*0.03</f>
        <v>0</v>
      </c>
      <c r="F506" s="33" t="n">
        <v>0</v>
      </c>
      <c r="G506" s="131"/>
      <c r="H506" s="35" t="n">
        <v>0</v>
      </c>
      <c r="I506" s="34" t="n">
        <f aca="false">+IF(E506=0,0,E506*0.03)</f>
        <v>0</v>
      </c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customFormat="false" ht="16.4" hidden="false" customHeight="false" outlineLevel="0" collapsed="false">
      <c r="A507" s="123" t="n">
        <v>45444</v>
      </c>
      <c r="B507" s="31" t="s">
        <v>7</v>
      </c>
      <c r="C507" s="129"/>
      <c r="D507" s="129"/>
      <c r="E507" s="19" t="n">
        <f aca="false">F507*0.03</f>
        <v>0</v>
      </c>
      <c r="F507" s="33" t="n">
        <v>0</v>
      </c>
      <c r="G507" s="131"/>
      <c r="H507" s="35" t="n">
        <v>0</v>
      </c>
      <c r="I507" s="34" t="n">
        <f aca="false">+IF(E507=0,0,E507*0.03)</f>
        <v>0</v>
      </c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customFormat="false" ht="16.4" hidden="false" customHeight="false" outlineLevel="0" collapsed="false">
      <c r="A508" s="123" t="n">
        <v>45444</v>
      </c>
      <c r="B508" s="31" t="s">
        <v>240</v>
      </c>
      <c r="C508" s="129"/>
      <c r="D508" s="129"/>
      <c r="E508" s="19" t="n">
        <f aca="false">F508*0.03</f>
        <v>0</v>
      </c>
      <c r="F508" s="33" t="n">
        <v>0</v>
      </c>
      <c r="G508" s="131"/>
      <c r="H508" s="35" t="n">
        <v>0</v>
      </c>
      <c r="I508" s="34" t="n">
        <f aca="false">+IF(E508=0,0,E508*0.03)</f>
        <v>0</v>
      </c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customFormat="false" ht="16.4" hidden="false" customHeight="false" outlineLevel="0" collapsed="false">
      <c r="A509" s="123" t="n">
        <v>45444</v>
      </c>
      <c r="B509" s="31" t="s">
        <v>153</v>
      </c>
      <c r="C509" s="129"/>
      <c r="D509" s="129"/>
      <c r="E509" s="19" t="n">
        <f aca="false">F509*0.03</f>
        <v>0</v>
      </c>
      <c r="F509" s="33" t="n">
        <v>0</v>
      </c>
      <c r="G509" s="131"/>
      <c r="H509" s="35" t="n">
        <v>0</v>
      </c>
      <c r="I509" s="34" t="n">
        <f aca="false">+IF(E509=0,0,E509*0.03)</f>
        <v>0</v>
      </c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customFormat="false" ht="16.4" hidden="false" customHeight="false" outlineLevel="0" collapsed="false">
      <c r="A510" s="123" t="n">
        <v>45444</v>
      </c>
      <c r="B510" s="31" t="s">
        <v>247</v>
      </c>
      <c r="C510" s="129"/>
      <c r="D510" s="129"/>
      <c r="E510" s="19" t="n">
        <f aca="false">F510*0.03</f>
        <v>0</v>
      </c>
      <c r="F510" s="33" t="n">
        <v>0</v>
      </c>
      <c r="G510" s="131"/>
      <c r="H510" s="35" t="n">
        <v>0</v>
      </c>
      <c r="I510" s="34" t="n">
        <f aca="false">+IF(E510=0,0,E510*0.03)</f>
        <v>0</v>
      </c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customFormat="false" ht="16.4" hidden="false" customHeight="false" outlineLevel="0" collapsed="false">
      <c r="A511" s="123" t="n">
        <v>45444</v>
      </c>
      <c r="B511" s="31" t="s">
        <v>246</v>
      </c>
      <c r="C511" s="129"/>
      <c r="D511" s="129"/>
      <c r="E511" s="19" t="n">
        <f aca="false">F511*0.03</f>
        <v>0</v>
      </c>
      <c r="F511" s="33" t="n">
        <v>0</v>
      </c>
      <c r="G511" s="131"/>
      <c r="H511" s="35" t="n">
        <v>0</v>
      </c>
      <c r="I511" s="34" t="n">
        <f aca="false">+IF(E511=0,0,E511*0.03)</f>
        <v>0</v>
      </c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customFormat="false" ht="16.4" hidden="false" customHeight="false" outlineLevel="0" collapsed="false">
      <c r="A512" s="123" t="n">
        <v>45444</v>
      </c>
      <c r="B512" s="31" t="s">
        <v>239</v>
      </c>
      <c r="C512" s="129"/>
      <c r="D512" s="129"/>
      <c r="E512" s="19" t="n">
        <f aca="false">F512*0.03</f>
        <v>0</v>
      </c>
      <c r="F512" s="33" t="n">
        <v>0</v>
      </c>
      <c r="G512" s="131"/>
      <c r="H512" s="35" t="n">
        <v>0</v>
      </c>
      <c r="I512" s="34" t="n">
        <f aca="false">+IF(E512=0,0,E512*0.03)</f>
        <v>0</v>
      </c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customFormat="false" ht="16.4" hidden="false" customHeight="false" outlineLevel="0" collapsed="false">
      <c r="A513" s="123" t="n">
        <v>45444</v>
      </c>
      <c r="B513" s="31" t="s">
        <v>7</v>
      </c>
      <c r="C513" s="129"/>
      <c r="D513" s="129"/>
      <c r="E513" s="19" t="n">
        <f aca="false">F513*0.03</f>
        <v>0</v>
      </c>
      <c r="F513" s="33" t="n">
        <v>0</v>
      </c>
      <c r="G513" s="131"/>
      <c r="H513" s="35" t="n">
        <v>0</v>
      </c>
      <c r="I513" s="34" t="n">
        <f aca="false">+IF(E513=0,0,E513*0.03)</f>
        <v>0</v>
      </c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customFormat="false" ht="16.4" hidden="false" customHeight="false" outlineLevel="0" collapsed="false">
      <c r="A514" s="123" t="n">
        <v>45444</v>
      </c>
      <c r="B514" s="31" t="s">
        <v>240</v>
      </c>
      <c r="C514" s="129"/>
      <c r="D514" s="129"/>
      <c r="E514" s="19" t="n">
        <f aca="false">F514*0.03</f>
        <v>0</v>
      </c>
      <c r="F514" s="33" t="n">
        <v>0</v>
      </c>
      <c r="G514" s="131"/>
      <c r="H514" s="35" t="n">
        <v>0</v>
      </c>
      <c r="I514" s="34" t="n">
        <f aca="false">+IF(E514=0,0,E514*0.03)</f>
        <v>0</v>
      </c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customFormat="false" ht="16.4" hidden="false" customHeight="false" outlineLevel="0" collapsed="false">
      <c r="A515" s="123" t="n">
        <v>45444</v>
      </c>
      <c r="B515" s="31" t="s">
        <v>153</v>
      </c>
      <c r="C515" s="129"/>
      <c r="D515" s="129"/>
      <c r="E515" s="19" t="n">
        <f aca="false">F515*0.03</f>
        <v>0</v>
      </c>
      <c r="F515" s="33" t="n">
        <v>0</v>
      </c>
      <c r="G515" s="131"/>
      <c r="H515" s="35" t="n">
        <v>0</v>
      </c>
      <c r="I515" s="34" t="n">
        <f aca="false">+IF(E515=0,0,E515*0.03)</f>
        <v>0</v>
      </c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customFormat="false" ht="16.4" hidden="false" customHeight="false" outlineLevel="0" collapsed="false">
      <c r="A516" s="123" t="n">
        <v>45444</v>
      </c>
      <c r="B516" s="31" t="s">
        <v>247</v>
      </c>
      <c r="C516" s="129"/>
      <c r="D516" s="129"/>
      <c r="E516" s="19" t="n">
        <f aca="false">F516*0.03</f>
        <v>0</v>
      </c>
      <c r="F516" s="33" t="n">
        <v>0</v>
      </c>
      <c r="G516" s="131"/>
      <c r="H516" s="35" t="n">
        <v>0</v>
      </c>
      <c r="I516" s="34" t="n">
        <f aca="false">+IF(E516=0,0,E516*0.03)</f>
        <v>0</v>
      </c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customFormat="false" ht="16.4" hidden="false" customHeight="false" outlineLevel="0" collapsed="false">
      <c r="A517" s="123" t="n">
        <v>45444</v>
      </c>
      <c r="B517" s="31" t="s">
        <v>246</v>
      </c>
      <c r="C517" s="129"/>
      <c r="D517" s="129"/>
      <c r="E517" s="19" t="n">
        <f aca="false">F517*0.03</f>
        <v>0</v>
      </c>
      <c r="F517" s="33" t="n">
        <v>0</v>
      </c>
      <c r="G517" s="131"/>
      <c r="H517" s="35" t="n">
        <v>0</v>
      </c>
      <c r="I517" s="34" t="n">
        <f aca="false">+IF(E517=0,0,E517*0.03)</f>
        <v>0</v>
      </c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customFormat="false" ht="16.4" hidden="false" customHeight="false" outlineLevel="0" collapsed="false">
      <c r="A518" s="123" t="n">
        <v>45444</v>
      </c>
      <c r="B518" s="31" t="s">
        <v>239</v>
      </c>
      <c r="C518" s="129"/>
      <c r="D518" s="129"/>
      <c r="E518" s="19" t="n">
        <f aca="false">F518*0.03</f>
        <v>0</v>
      </c>
      <c r="F518" s="33" t="n">
        <v>0</v>
      </c>
      <c r="G518" s="131"/>
      <c r="H518" s="35" t="n">
        <v>0</v>
      </c>
      <c r="I518" s="34" t="n">
        <f aca="false">+IF(E518=0,0,E518*0.03)</f>
        <v>0</v>
      </c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customFormat="false" ht="16.4" hidden="false" customHeight="false" outlineLevel="0" collapsed="false">
      <c r="A519" s="123" t="n">
        <v>45444</v>
      </c>
      <c r="B519" s="31" t="s">
        <v>7</v>
      </c>
      <c r="C519" s="129"/>
      <c r="D519" s="129"/>
      <c r="E519" s="19" t="n">
        <f aca="false">F519*0.03</f>
        <v>0</v>
      </c>
      <c r="F519" s="33" t="n">
        <v>0</v>
      </c>
      <c r="G519" s="131"/>
      <c r="H519" s="35" t="n">
        <v>0</v>
      </c>
      <c r="I519" s="34" t="n">
        <f aca="false">+IF(E519=0,0,E519*0.03)</f>
        <v>0</v>
      </c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customFormat="false" ht="16.4" hidden="false" customHeight="false" outlineLevel="0" collapsed="false">
      <c r="A520" s="123" t="n">
        <v>45444</v>
      </c>
      <c r="B520" s="31" t="s">
        <v>240</v>
      </c>
      <c r="C520" s="129"/>
      <c r="D520" s="129"/>
      <c r="E520" s="19" t="n">
        <f aca="false">F520*0.03</f>
        <v>0</v>
      </c>
      <c r="F520" s="33" t="n">
        <v>0</v>
      </c>
      <c r="G520" s="131"/>
      <c r="H520" s="35" t="n">
        <v>0</v>
      </c>
      <c r="I520" s="34" t="n">
        <f aca="false">+IF(E520=0,0,E520*0.03)</f>
        <v>0</v>
      </c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customFormat="false" ht="16.4" hidden="false" customHeight="false" outlineLevel="0" collapsed="false">
      <c r="A521" s="123" t="n">
        <v>45444</v>
      </c>
      <c r="B521" s="31" t="s">
        <v>153</v>
      </c>
      <c r="C521" s="129"/>
      <c r="D521" s="129"/>
      <c r="E521" s="19" t="n">
        <f aca="false">F521*0.03</f>
        <v>0</v>
      </c>
      <c r="F521" s="33" t="n">
        <v>0</v>
      </c>
      <c r="G521" s="131"/>
      <c r="H521" s="35" t="n">
        <v>0</v>
      </c>
      <c r="I521" s="34" t="n">
        <f aca="false">+IF(E521=0,0,E521*0.03)</f>
        <v>0</v>
      </c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customFormat="false" ht="16.4" hidden="false" customHeight="false" outlineLevel="0" collapsed="false">
      <c r="A522" s="123" t="n">
        <v>45444</v>
      </c>
      <c r="B522" s="31" t="s">
        <v>247</v>
      </c>
      <c r="C522" s="129"/>
      <c r="D522" s="129"/>
      <c r="E522" s="19" t="n">
        <f aca="false">F522*0.03</f>
        <v>0</v>
      </c>
      <c r="F522" s="33" t="n">
        <v>0</v>
      </c>
      <c r="G522" s="131"/>
      <c r="H522" s="35" t="n">
        <v>0</v>
      </c>
      <c r="I522" s="34" t="n">
        <f aca="false">+IF(E522=0,0,E522*0.03)</f>
        <v>0</v>
      </c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customFormat="false" ht="16.4" hidden="false" customHeight="false" outlineLevel="0" collapsed="false">
      <c r="A523" s="123" t="n">
        <v>45444</v>
      </c>
      <c r="B523" s="31" t="s">
        <v>246</v>
      </c>
      <c r="C523" s="129"/>
      <c r="D523" s="129"/>
      <c r="E523" s="19" t="n">
        <f aca="false">F523*0.03</f>
        <v>0</v>
      </c>
      <c r="F523" s="33" t="n">
        <v>0</v>
      </c>
      <c r="G523" s="131"/>
      <c r="H523" s="35" t="n">
        <v>0</v>
      </c>
      <c r="I523" s="34" t="n">
        <f aca="false">+IF(E523=0,0,E523*0.03)</f>
        <v>0</v>
      </c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customFormat="false" ht="16.4" hidden="false" customHeight="false" outlineLevel="0" collapsed="false">
      <c r="A524" s="123" t="n">
        <v>45444</v>
      </c>
      <c r="B524" s="31" t="s">
        <v>239</v>
      </c>
      <c r="C524" s="129"/>
      <c r="D524" s="129"/>
      <c r="E524" s="19" t="n">
        <f aca="false">F524*0.03</f>
        <v>0</v>
      </c>
      <c r="F524" s="33" t="n">
        <v>0</v>
      </c>
      <c r="G524" s="131"/>
      <c r="H524" s="35" t="n">
        <v>0</v>
      </c>
      <c r="I524" s="34" t="n">
        <f aca="false">+IF(E524=0,0,E524*0.03)</f>
        <v>0</v>
      </c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customFormat="false" ht="16.4" hidden="false" customHeight="false" outlineLevel="0" collapsed="false">
      <c r="A525" s="123" t="n">
        <v>45444</v>
      </c>
      <c r="B525" s="31" t="s">
        <v>7</v>
      </c>
      <c r="C525" s="129"/>
      <c r="D525" s="129"/>
      <c r="E525" s="19" t="n">
        <f aca="false">F525*0.03</f>
        <v>0</v>
      </c>
      <c r="F525" s="33" t="n">
        <v>0</v>
      </c>
      <c r="G525" s="131"/>
      <c r="H525" s="35" t="n">
        <v>0</v>
      </c>
      <c r="I525" s="34" t="n">
        <f aca="false">+IF(E525=0,0,E525*0.03)</f>
        <v>0</v>
      </c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customFormat="false" ht="16.4" hidden="false" customHeight="false" outlineLevel="0" collapsed="false">
      <c r="A526" s="123" t="n">
        <v>45444</v>
      </c>
      <c r="B526" s="31" t="s">
        <v>240</v>
      </c>
      <c r="C526" s="129"/>
      <c r="D526" s="129"/>
      <c r="E526" s="19" t="n">
        <f aca="false">F526*0.03</f>
        <v>0</v>
      </c>
      <c r="F526" s="33" t="n">
        <v>0</v>
      </c>
      <c r="G526" s="131"/>
      <c r="H526" s="35" t="n">
        <v>0</v>
      </c>
      <c r="I526" s="34" t="n">
        <f aca="false">+IF(E526=0,0,E526*0.03)</f>
        <v>0</v>
      </c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customFormat="false" ht="16.4" hidden="false" customHeight="false" outlineLevel="0" collapsed="false">
      <c r="A527" s="123" t="n">
        <v>45444</v>
      </c>
      <c r="B527" s="31" t="s">
        <v>153</v>
      </c>
      <c r="C527" s="129"/>
      <c r="D527" s="129"/>
      <c r="E527" s="19" t="n">
        <f aca="false">F527*0.03</f>
        <v>0</v>
      </c>
      <c r="F527" s="33" t="n">
        <v>0</v>
      </c>
      <c r="G527" s="131"/>
      <c r="H527" s="35" t="n">
        <v>0</v>
      </c>
      <c r="I527" s="34" t="n">
        <f aca="false">+IF(E527=0,0,E527*0.03)</f>
        <v>0</v>
      </c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customFormat="false" ht="16.4" hidden="false" customHeight="false" outlineLevel="0" collapsed="false">
      <c r="A528" s="123" t="n">
        <v>45444</v>
      </c>
      <c r="B528" s="31" t="s">
        <v>247</v>
      </c>
      <c r="C528" s="129"/>
      <c r="D528" s="129"/>
      <c r="E528" s="19" t="n">
        <f aca="false">F528*0.03</f>
        <v>0</v>
      </c>
      <c r="F528" s="33" t="n">
        <v>0</v>
      </c>
      <c r="G528" s="131"/>
      <c r="H528" s="35" t="n">
        <v>0</v>
      </c>
      <c r="I528" s="34" t="n">
        <f aca="false">+IF(E528=0,0,E528*0.03)</f>
        <v>0</v>
      </c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customFormat="false" ht="16.4" hidden="false" customHeight="false" outlineLevel="0" collapsed="false">
      <c r="A529" s="123" t="n">
        <v>45444</v>
      </c>
      <c r="B529" s="31" t="s">
        <v>246</v>
      </c>
      <c r="C529" s="129"/>
      <c r="D529" s="129"/>
      <c r="E529" s="19" t="n">
        <f aca="false">F529*0.03</f>
        <v>0</v>
      </c>
      <c r="F529" s="33" t="n">
        <v>0</v>
      </c>
      <c r="G529" s="131"/>
      <c r="H529" s="35" t="n">
        <v>0</v>
      </c>
      <c r="I529" s="34" t="n">
        <f aca="false">+IF(E529=0,0,E529*0.03)</f>
        <v>0</v>
      </c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customFormat="false" ht="16.4" hidden="false" customHeight="false" outlineLevel="0" collapsed="false">
      <c r="A530" s="123" t="n">
        <v>45444</v>
      </c>
      <c r="B530" s="31" t="s">
        <v>239</v>
      </c>
      <c r="C530" s="129"/>
      <c r="D530" s="129"/>
      <c r="E530" s="19" t="n">
        <f aca="false">F530*0.03</f>
        <v>0</v>
      </c>
      <c r="F530" s="33" t="n">
        <v>0</v>
      </c>
      <c r="G530" s="131"/>
      <c r="H530" s="35" t="n">
        <v>0</v>
      </c>
      <c r="I530" s="34" t="n">
        <f aca="false">+IF(E530=0,0,E530*0.03)</f>
        <v>0</v>
      </c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customFormat="false" ht="16.4" hidden="false" customHeight="false" outlineLevel="0" collapsed="false">
      <c r="A531" s="123" t="n">
        <v>45444</v>
      </c>
      <c r="B531" s="31" t="s">
        <v>7</v>
      </c>
      <c r="C531" s="129"/>
      <c r="D531" s="129"/>
      <c r="E531" s="19" t="n">
        <f aca="false">F531*0.03</f>
        <v>0</v>
      </c>
      <c r="F531" s="33" t="n">
        <v>0</v>
      </c>
      <c r="G531" s="131"/>
      <c r="H531" s="35" t="n">
        <v>0</v>
      </c>
      <c r="I531" s="34" t="n">
        <f aca="false">+IF(E531=0,0,E531*0.03)</f>
        <v>0</v>
      </c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customFormat="false" ht="16.4" hidden="false" customHeight="false" outlineLevel="0" collapsed="false">
      <c r="A532" s="123" t="n">
        <v>45444</v>
      </c>
      <c r="B532" s="31" t="s">
        <v>240</v>
      </c>
      <c r="C532" s="129"/>
      <c r="D532" s="129"/>
      <c r="E532" s="19" t="n">
        <f aca="false">F532*0.03</f>
        <v>0</v>
      </c>
      <c r="F532" s="33" t="n">
        <v>0</v>
      </c>
      <c r="G532" s="131"/>
      <c r="H532" s="35" t="n">
        <v>0</v>
      </c>
      <c r="I532" s="34" t="n">
        <f aca="false">+IF(E532=0,0,E532*0.03)</f>
        <v>0</v>
      </c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customFormat="false" ht="16.4" hidden="false" customHeight="false" outlineLevel="0" collapsed="false">
      <c r="A533" s="123" t="n">
        <v>45444</v>
      </c>
      <c r="B533" s="31" t="s">
        <v>153</v>
      </c>
      <c r="C533" s="129"/>
      <c r="D533" s="129"/>
      <c r="E533" s="19" t="n">
        <f aca="false">F533*0.03</f>
        <v>0</v>
      </c>
      <c r="F533" s="33" t="n">
        <v>0</v>
      </c>
      <c r="G533" s="131"/>
      <c r="H533" s="35" t="n">
        <v>0</v>
      </c>
      <c r="I533" s="34" t="n">
        <f aca="false">+IF(E533=0,0,E533*0.03)</f>
        <v>0</v>
      </c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customFormat="false" ht="16.4" hidden="false" customHeight="false" outlineLevel="0" collapsed="false">
      <c r="A534" s="123" t="n">
        <v>45444</v>
      </c>
      <c r="B534" s="31" t="s">
        <v>247</v>
      </c>
      <c r="C534" s="129"/>
      <c r="D534" s="129"/>
      <c r="E534" s="19" t="n">
        <f aca="false">F534*0.03</f>
        <v>0</v>
      </c>
      <c r="F534" s="33" t="n">
        <v>0</v>
      </c>
      <c r="G534" s="131"/>
      <c r="H534" s="35" t="n">
        <v>0</v>
      </c>
      <c r="I534" s="34" t="n">
        <f aca="false">+IF(E534=0,0,E534*0.03)</f>
        <v>0</v>
      </c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customFormat="false" ht="16.4" hidden="false" customHeight="false" outlineLevel="0" collapsed="false">
      <c r="A535" s="123" t="n">
        <v>45444</v>
      </c>
      <c r="B535" s="31" t="s">
        <v>246</v>
      </c>
      <c r="C535" s="129"/>
      <c r="D535" s="129"/>
      <c r="E535" s="19" t="n">
        <f aca="false">F535*0.03</f>
        <v>0</v>
      </c>
      <c r="F535" s="33" t="n">
        <v>0</v>
      </c>
      <c r="G535" s="131"/>
      <c r="H535" s="35" t="n">
        <v>0</v>
      </c>
      <c r="I535" s="34" t="n">
        <f aca="false">+IF(E535=0,0,E535*0.03)</f>
        <v>0</v>
      </c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customFormat="false" ht="16.4" hidden="false" customHeight="false" outlineLevel="0" collapsed="false">
      <c r="A536" s="123" t="n">
        <v>45444</v>
      </c>
      <c r="B536" s="31" t="s">
        <v>239</v>
      </c>
      <c r="C536" s="129"/>
      <c r="D536" s="129"/>
      <c r="E536" s="19" t="n">
        <f aca="false">F536*0.03</f>
        <v>0</v>
      </c>
      <c r="F536" s="33" t="n">
        <v>0</v>
      </c>
      <c r="G536" s="131"/>
      <c r="H536" s="35" t="n">
        <v>0</v>
      </c>
      <c r="I536" s="34" t="n">
        <f aca="false">+IF(E536=0,0,E536*0.03)</f>
        <v>0</v>
      </c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customFormat="false" ht="16.4" hidden="false" customHeight="false" outlineLevel="0" collapsed="false">
      <c r="A537" s="123" t="n">
        <v>45444</v>
      </c>
      <c r="B537" s="31" t="s">
        <v>7</v>
      </c>
      <c r="C537" s="129"/>
      <c r="D537" s="129"/>
      <c r="E537" s="19" t="n">
        <f aca="false">F537*0.03</f>
        <v>0</v>
      </c>
      <c r="F537" s="33" t="n">
        <v>0</v>
      </c>
      <c r="G537" s="131"/>
      <c r="H537" s="35" t="n">
        <v>0</v>
      </c>
      <c r="I537" s="34" t="n">
        <f aca="false">+IF(E537=0,0,E537*0.03)</f>
        <v>0</v>
      </c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customFormat="false" ht="16.4" hidden="false" customHeight="false" outlineLevel="0" collapsed="false">
      <c r="A538" s="123" t="n">
        <v>45444</v>
      </c>
      <c r="B538" s="31" t="s">
        <v>240</v>
      </c>
      <c r="C538" s="129"/>
      <c r="D538" s="129"/>
      <c r="E538" s="19" t="n">
        <f aca="false">F538*0.03</f>
        <v>0</v>
      </c>
      <c r="F538" s="33" t="n">
        <v>0</v>
      </c>
      <c r="G538" s="131"/>
      <c r="H538" s="35" t="n">
        <v>0</v>
      </c>
      <c r="I538" s="34" t="n">
        <f aca="false">+IF(E538=0,0,E538*0.03)</f>
        <v>0</v>
      </c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customFormat="false" ht="16.4" hidden="false" customHeight="false" outlineLevel="0" collapsed="false">
      <c r="A539" s="123" t="n">
        <v>45444</v>
      </c>
      <c r="B539" s="31" t="s">
        <v>153</v>
      </c>
      <c r="C539" s="129"/>
      <c r="D539" s="129"/>
      <c r="E539" s="19" t="n">
        <f aca="false">F539*0.03</f>
        <v>0</v>
      </c>
      <c r="F539" s="33" t="n">
        <v>0</v>
      </c>
      <c r="G539" s="131"/>
      <c r="H539" s="35" t="n">
        <v>0</v>
      </c>
      <c r="I539" s="34" t="n">
        <f aca="false">+IF(E539=0,0,E539*0.03)</f>
        <v>0</v>
      </c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customFormat="false" ht="16.4" hidden="false" customHeight="false" outlineLevel="0" collapsed="false">
      <c r="A540" s="123" t="n">
        <v>45444</v>
      </c>
      <c r="B540" s="31" t="s">
        <v>247</v>
      </c>
      <c r="C540" s="129"/>
      <c r="D540" s="129"/>
      <c r="E540" s="19" t="n">
        <f aca="false">F540*0.03</f>
        <v>0</v>
      </c>
      <c r="F540" s="33" t="n">
        <v>0</v>
      </c>
      <c r="G540" s="131"/>
      <c r="H540" s="35" t="n">
        <v>0</v>
      </c>
      <c r="I540" s="34" t="n">
        <f aca="false">+IF(E540=0,0,E540*0.03)</f>
        <v>0</v>
      </c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customFormat="false" ht="16.4" hidden="false" customHeight="false" outlineLevel="0" collapsed="false">
      <c r="A541" s="123" t="n">
        <v>45444</v>
      </c>
      <c r="B541" s="31" t="s">
        <v>246</v>
      </c>
      <c r="C541" s="129"/>
      <c r="D541" s="129"/>
      <c r="E541" s="19" t="n">
        <f aca="false">F541*0.03</f>
        <v>0</v>
      </c>
      <c r="F541" s="33" t="n">
        <v>0</v>
      </c>
      <c r="G541" s="131"/>
      <c r="H541" s="35" t="n">
        <v>0</v>
      </c>
      <c r="I541" s="34" t="n">
        <f aca="false">+IF(E541=0,0,E541*0.03)</f>
        <v>0</v>
      </c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customFormat="false" ht="16.4" hidden="false" customHeight="false" outlineLevel="0" collapsed="false">
      <c r="A542" s="123" t="n">
        <v>45444</v>
      </c>
      <c r="B542" s="31" t="s">
        <v>239</v>
      </c>
      <c r="C542" s="129"/>
      <c r="D542" s="129"/>
      <c r="E542" s="19" t="n">
        <f aca="false">F542*0.03</f>
        <v>0</v>
      </c>
      <c r="F542" s="33" t="n">
        <v>0</v>
      </c>
      <c r="G542" s="131"/>
      <c r="H542" s="35" t="n">
        <v>0</v>
      </c>
      <c r="I542" s="34" t="n">
        <f aca="false">+IF(E542=0,0,E542*0.03)</f>
        <v>0</v>
      </c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customFormat="false" ht="16.4" hidden="false" customHeight="false" outlineLevel="0" collapsed="false">
      <c r="A543" s="123" t="n">
        <v>45444</v>
      </c>
      <c r="B543" s="31" t="s">
        <v>7</v>
      </c>
      <c r="C543" s="129"/>
      <c r="D543" s="129"/>
      <c r="E543" s="19" t="n">
        <f aca="false">F543*0.03</f>
        <v>0</v>
      </c>
      <c r="F543" s="33" t="n">
        <v>0</v>
      </c>
      <c r="G543" s="131"/>
      <c r="H543" s="35" t="n">
        <v>0</v>
      </c>
      <c r="I543" s="34" t="n">
        <f aca="false">+IF(E543=0,0,E543*0.03)</f>
        <v>0</v>
      </c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customFormat="false" ht="16.4" hidden="false" customHeight="false" outlineLevel="0" collapsed="false">
      <c r="A544" s="123" t="n">
        <v>45444</v>
      </c>
      <c r="B544" s="31" t="s">
        <v>240</v>
      </c>
      <c r="C544" s="129"/>
      <c r="D544" s="129"/>
      <c r="E544" s="19" t="n">
        <f aca="false">F544*0.03</f>
        <v>0</v>
      </c>
      <c r="F544" s="33" t="n">
        <v>0</v>
      </c>
      <c r="G544" s="131"/>
      <c r="H544" s="35" t="n">
        <v>0</v>
      </c>
      <c r="I544" s="34" t="n">
        <f aca="false">+IF(E544=0,0,E544*0.03)</f>
        <v>0</v>
      </c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customFormat="false" ht="16.4" hidden="false" customHeight="false" outlineLevel="0" collapsed="false">
      <c r="A545" s="123" t="n">
        <v>45444</v>
      </c>
      <c r="B545" s="31" t="s">
        <v>153</v>
      </c>
      <c r="C545" s="129"/>
      <c r="D545" s="129"/>
      <c r="E545" s="19" t="n">
        <f aca="false">F545*0.03</f>
        <v>0</v>
      </c>
      <c r="F545" s="33" t="n">
        <v>0</v>
      </c>
      <c r="G545" s="131"/>
      <c r="H545" s="35" t="n">
        <v>0</v>
      </c>
      <c r="I545" s="34" t="n">
        <f aca="false">+IF(E545=0,0,E545*0.03)</f>
        <v>0</v>
      </c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customFormat="false" ht="16.4" hidden="false" customHeight="false" outlineLevel="0" collapsed="false">
      <c r="A546" s="123" t="n">
        <v>45444</v>
      </c>
      <c r="B546" s="31" t="s">
        <v>247</v>
      </c>
      <c r="C546" s="129"/>
      <c r="D546" s="129"/>
      <c r="E546" s="19" t="n">
        <f aca="false">F546*0.03</f>
        <v>0</v>
      </c>
      <c r="F546" s="33" t="n">
        <v>0</v>
      </c>
      <c r="G546" s="131"/>
      <c r="H546" s="35" t="n">
        <v>0</v>
      </c>
      <c r="I546" s="34" t="n">
        <f aca="false">+IF(E546=0,0,E546*0.03)</f>
        <v>0</v>
      </c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customFormat="false" ht="16.4" hidden="false" customHeight="false" outlineLevel="0" collapsed="false">
      <c r="A547" s="123" t="n">
        <v>45444</v>
      </c>
      <c r="B547" s="31" t="s">
        <v>246</v>
      </c>
      <c r="C547" s="129"/>
      <c r="D547" s="129"/>
      <c r="E547" s="19" t="n">
        <f aca="false">F547*0.03</f>
        <v>0</v>
      </c>
      <c r="F547" s="33" t="n">
        <v>0</v>
      </c>
      <c r="G547" s="131"/>
      <c r="H547" s="35" t="n">
        <v>0</v>
      </c>
      <c r="I547" s="34" t="n">
        <f aca="false">+IF(E547=0,0,E547*0.03)</f>
        <v>0</v>
      </c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customFormat="false" ht="16.4" hidden="false" customHeight="false" outlineLevel="0" collapsed="false">
      <c r="A548" s="123" t="n">
        <v>45444</v>
      </c>
      <c r="B548" s="31" t="s">
        <v>239</v>
      </c>
      <c r="C548" s="129"/>
      <c r="D548" s="129"/>
      <c r="E548" s="19" t="n">
        <f aca="false">F548*0.03</f>
        <v>0</v>
      </c>
      <c r="F548" s="33" t="n">
        <v>0</v>
      </c>
      <c r="G548" s="131"/>
      <c r="H548" s="35" t="n">
        <v>0</v>
      </c>
      <c r="I548" s="34" t="n">
        <f aca="false">+IF(E548=0,0,E548*0.03)</f>
        <v>0</v>
      </c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customFormat="false" ht="16.4" hidden="false" customHeight="false" outlineLevel="0" collapsed="false">
      <c r="A549" s="123" t="n">
        <v>45444</v>
      </c>
      <c r="B549" s="31" t="s">
        <v>7</v>
      </c>
      <c r="C549" s="129"/>
      <c r="D549" s="129"/>
      <c r="E549" s="19" t="n">
        <f aca="false">F549*0.03</f>
        <v>0</v>
      </c>
      <c r="F549" s="33" t="n">
        <v>0</v>
      </c>
      <c r="G549" s="131"/>
      <c r="H549" s="35" t="n">
        <v>0</v>
      </c>
      <c r="I549" s="34" t="n">
        <f aca="false">+IF(E549=0,0,E549*0.03)</f>
        <v>0</v>
      </c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customFormat="false" ht="16.4" hidden="false" customHeight="false" outlineLevel="0" collapsed="false">
      <c r="A550" s="123" t="n">
        <v>45444</v>
      </c>
      <c r="B550" s="31" t="s">
        <v>240</v>
      </c>
      <c r="C550" s="129"/>
      <c r="D550" s="129"/>
      <c r="E550" s="19" t="n">
        <f aca="false">F550*0.03</f>
        <v>0</v>
      </c>
      <c r="F550" s="33" t="n">
        <v>0</v>
      </c>
      <c r="G550" s="131"/>
      <c r="H550" s="35" t="n">
        <v>0</v>
      </c>
      <c r="I550" s="34" t="n">
        <f aca="false">+IF(E550=0,0,E550*0.03)</f>
        <v>0</v>
      </c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customFormat="false" ht="16.4" hidden="false" customHeight="false" outlineLevel="0" collapsed="false">
      <c r="A551" s="123" t="n">
        <v>45444</v>
      </c>
      <c r="B551" s="31" t="s">
        <v>153</v>
      </c>
      <c r="C551" s="129"/>
      <c r="D551" s="129"/>
      <c r="E551" s="19" t="n">
        <f aca="false">F551*0.03</f>
        <v>0</v>
      </c>
      <c r="F551" s="33" t="n">
        <v>0</v>
      </c>
      <c r="G551" s="131"/>
      <c r="H551" s="35" t="n">
        <v>0</v>
      </c>
      <c r="I551" s="34" t="n">
        <f aca="false">+IF(E551=0,0,E551*0.03)</f>
        <v>0</v>
      </c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customFormat="false" ht="16.4" hidden="false" customHeight="false" outlineLevel="0" collapsed="false">
      <c r="A552" s="123" t="n">
        <v>45444</v>
      </c>
      <c r="B552" s="31" t="s">
        <v>247</v>
      </c>
      <c r="C552" s="129"/>
      <c r="D552" s="129"/>
      <c r="E552" s="19" t="n">
        <f aca="false">F552*0.03</f>
        <v>0</v>
      </c>
      <c r="F552" s="33" t="n">
        <v>0</v>
      </c>
      <c r="G552" s="131"/>
      <c r="H552" s="35" t="n">
        <v>0</v>
      </c>
      <c r="I552" s="34" t="n">
        <f aca="false">+IF(E552=0,0,E552*0.03)</f>
        <v>0</v>
      </c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customFormat="false" ht="16.4" hidden="false" customHeight="false" outlineLevel="0" collapsed="false">
      <c r="A553" s="123" t="n">
        <v>45444</v>
      </c>
      <c r="B553" s="31" t="s">
        <v>246</v>
      </c>
      <c r="C553" s="129"/>
      <c r="D553" s="129"/>
      <c r="E553" s="19" t="n">
        <f aca="false">F553*0.03</f>
        <v>0</v>
      </c>
      <c r="F553" s="33" t="n">
        <v>0</v>
      </c>
      <c r="G553" s="131"/>
      <c r="H553" s="35" t="n">
        <v>0</v>
      </c>
      <c r="I553" s="34" t="n">
        <f aca="false">+IF(E553=0,0,E553*0.03)</f>
        <v>0</v>
      </c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customFormat="false" ht="16.4" hidden="false" customHeight="false" outlineLevel="0" collapsed="false">
      <c r="A554" s="123" t="n">
        <v>45444</v>
      </c>
      <c r="B554" s="31" t="s">
        <v>239</v>
      </c>
      <c r="C554" s="129"/>
      <c r="D554" s="129"/>
      <c r="E554" s="19" t="n">
        <f aca="false">F554*0.03</f>
        <v>0</v>
      </c>
      <c r="F554" s="33" t="n">
        <v>0</v>
      </c>
      <c r="G554" s="131"/>
      <c r="H554" s="35" t="n">
        <v>0</v>
      </c>
      <c r="I554" s="34" t="n">
        <f aca="false">+IF(E554=0,0,E554*0.03)</f>
        <v>0</v>
      </c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customFormat="false" ht="16.4" hidden="false" customHeight="false" outlineLevel="0" collapsed="false">
      <c r="A555" s="123" t="n">
        <v>45444</v>
      </c>
      <c r="B555" s="31" t="s">
        <v>7</v>
      </c>
      <c r="C555" s="129"/>
      <c r="D555" s="129"/>
      <c r="E555" s="19" t="n">
        <f aca="false">F555*0.03</f>
        <v>0</v>
      </c>
      <c r="F555" s="33" t="n">
        <v>0</v>
      </c>
      <c r="G555" s="131"/>
      <c r="H555" s="35" t="n">
        <v>0</v>
      </c>
      <c r="I555" s="34" t="n">
        <f aca="false">+IF(E555=0,0,E555*0.03)</f>
        <v>0</v>
      </c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customFormat="false" ht="16.4" hidden="false" customHeight="false" outlineLevel="0" collapsed="false">
      <c r="A556" s="123" t="n">
        <v>45444</v>
      </c>
      <c r="B556" s="31" t="s">
        <v>240</v>
      </c>
      <c r="C556" s="129"/>
      <c r="D556" s="129"/>
      <c r="E556" s="19" t="n">
        <f aca="false">F556*0.03</f>
        <v>0</v>
      </c>
      <c r="F556" s="33" t="n">
        <v>0</v>
      </c>
      <c r="G556" s="131"/>
      <c r="H556" s="35" t="n">
        <v>0</v>
      </c>
      <c r="I556" s="34" t="n">
        <f aca="false">+IF(E556=0,0,E556*0.03)</f>
        <v>0</v>
      </c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customFormat="false" ht="16.4" hidden="false" customHeight="false" outlineLevel="0" collapsed="false">
      <c r="A557" s="123" t="n">
        <v>45444</v>
      </c>
      <c r="B557" s="31" t="s">
        <v>153</v>
      </c>
      <c r="C557" s="129"/>
      <c r="D557" s="129"/>
      <c r="E557" s="19" t="n">
        <f aca="false">F557*0.03</f>
        <v>0</v>
      </c>
      <c r="F557" s="33" t="n">
        <v>0</v>
      </c>
      <c r="G557" s="131"/>
      <c r="H557" s="35" t="n">
        <v>0</v>
      </c>
      <c r="I557" s="34" t="n">
        <f aca="false">+IF(E557=0,0,E557*0.03)</f>
        <v>0</v>
      </c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customFormat="false" ht="16.4" hidden="false" customHeight="false" outlineLevel="0" collapsed="false">
      <c r="A558" s="123" t="n">
        <v>45444</v>
      </c>
      <c r="B558" s="31" t="s">
        <v>247</v>
      </c>
      <c r="C558" s="129"/>
      <c r="D558" s="129"/>
      <c r="E558" s="19" t="n">
        <f aca="false">F558*0.03</f>
        <v>0</v>
      </c>
      <c r="F558" s="33" t="n">
        <v>0</v>
      </c>
      <c r="G558" s="131"/>
      <c r="H558" s="35" t="n">
        <v>0</v>
      </c>
      <c r="I558" s="34" t="n">
        <f aca="false">+IF(E558=0,0,E558*0.03)</f>
        <v>0</v>
      </c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customFormat="false" ht="16.4" hidden="false" customHeight="false" outlineLevel="0" collapsed="false">
      <c r="A559" s="123" t="n">
        <v>45444</v>
      </c>
      <c r="B559" s="31" t="s">
        <v>246</v>
      </c>
      <c r="C559" s="129"/>
      <c r="D559" s="129"/>
      <c r="E559" s="19" t="n">
        <f aca="false">F559*0.03</f>
        <v>0</v>
      </c>
      <c r="F559" s="33" t="n">
        <v>0</v>
      </c>
      <c r="G559" s="131"/>
      <c r="H559" s="35" t="n">
        <v>0</v>
      </c>
      <c r="I559" s="34" t="n">
        <f aca="false">+IF(E559=0,0,E559*0.03)</f>
        <v>0</v>
      </c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customFormat="false" ht="16.4" hidden="false" customHeight="false" outlineLevel="0" collapsed="false">
      <c r="A560" s="123" t="n">
        <v>45444</v>
      </c>
      <c r="B560" s="31" t="s">
        <v>239</v>
      </c>
      <c r="C560" s="129"/>
      <c r="D560" s="129"/>
      <c r="E560" s="19" t="n">
        <f aca="false">F560*0.03</f>
        <v>0</v>
      </c>
      <c r="F560" s="33" t="n">
        <v>0</v>
      </c>
      <c r="G560" s="131"/>
      <c r="H560" s="35" t="n">
        <v>0</v>
      </c>
      <c r="I560" s="34" t="n">
        <f aca="false">+IF(E560=0,0,E560*0.03)</f>
        <v>0</v>
      </c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customFormat="false" ht="16.4" hidden="false" customHeight="false" outlineLevel="0" collapsed="false">
      <c r="A561" s="123" t="n">
        <v>45444</v>
      </c>
      <c r="B561" s="31" t="s">
        <v>7</v>
      </c>
      <c r="C561" s="129"/>
      <c r="D561" s="129"/>
      <c r="E561" s="19" t="n">
        <f aca="false">F561*0.03</f>
        <v>0</v>
      </c>
      <c r="F561" s="33" t="n">
        <v>0</v>
      </c>
      <c r="G561" s="131"/>
      <c r="H561" s="35" t="n">
        <v>0</v>
      </c>
      <c r="I561" s="34" t="n">
        <f aca="false">+IF(E561=0,0,E561*0.03)</f>
        <v>0</v>
      </c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customFormat="false" ht="16.4" hidden="false" customHeight="false" outlineLevel="0" collapsed="false">
      <c r="A562" s="123" t="n">
        <v>45444</v>
      </c>
      <c r="B562" s="31" t="s">
        <v>240</v>
      </c>
      <c r="C562" s="129"/>
      <c r="D562" s="129"/>
      <c r="E562" s="19" t="n">
        <f aca="false">F562*0.03</f>
        <v>0</v>
      </c>
      <c r="F562" s="33" t="n">
        <v>0</v>
      </c>
      <c r="G562" s="131"/>
      <c r="H562" s="35" t="n">
        <v>0</v>
      </c>
      <c r="I562" s="34" t="n">
        <f aca="false">+IF(E562=0,0,E562*0.03)</f>
        <v>0</v>
      </c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customFormat="false" ht="16.4" hidden="false" customHeight="false" outlineLevel="0" collapsed="false">
      <c r="A563" s="123" t="n">
        <v>45444</v>
      </c>
      <c r="B563" s="31" t="s">
        <v>153</v>
      </c>
      <c r="C563" s="129"/>
      <c r="D563" s="129"/>
      <c r="E563" s="19" t="n">
        <f aca="false">F563*0.03</f>
        <v>0</v>
      </c>
      <c r="F563" s="33" t="n">
        <v>0</v>
      </c>
      <c r="G563" s="131"/>
      <c r="H563" s="35" t="n">
        <v>0</v>
      </c>
      <c r="I563" s="34" t="n">
        <f aca="false">+IF(E563=0,0,E563*0.03)</f>
        <v>0</v>
      </c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customFormat="false" ht="16.4" hidden="false" customHeight="false" outlineLevel="0" collapsed="false">
      <c r="A564" s="123" t="n">
        <v>45444</v>
      </c>
      <c r="B564" s="31" t="s">
        <v>247</v>
      </c>
      <c r="C564" s="129"/>
      <c r="D564" s="129"/>
      <c r="E564" s="19" t="n">
        <f aca="false">F564*0.03</f>
        <v>0</v>
      </c>
      <c r="F564" s="33" t="n">
        <v>0</v>
      </c>
      <c r="G564" s="131"/>
      <c r="H564" s="35" t="n">
        <v>0</v>
      </c>
      <c r="I564" s="34" t="n">
        <f aca="false">+IF(E564=0,0,E564*0.03)</f>
        <v>0</v>
      </c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customFormat="false" ht="16.4" hidden="false" customHeight="false" outlineLevel="0" collapsed="false">
      <c r="A565" s="123" t="n">
        <v>45444</v>
      </c>
      <c r="B565" s="31" t="s">
        <v>246</v>
      </c>
      <c r="C565" s="129"/>
      <c r="D565" s="129"/>
      <c r="E565" s="19" t="n">
        <f aca="false">F565*0.03</f>
        <v>0</v>
      </c>
      <c r="F565" s="33" t="n">
        <v>0</v>
      </c>
      <c r="G565" s="131"/>
      <c r="H565" s="35" t="n">
        <v>0</v>
      </c>
      <c r="I565" s="34" t="n">
        <f aca="false">+IF(E565=0,0,E565*0.03)</f>
        <v>0</v>
      </c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customFormat="false" ht="16.4" hidden="false" customHeight="false" outlineLevel="0" collapsed="false">
      <c r="A566" s="123" t="n">
        <v>45444</v>
      </c>
      <c r="B566" s="31" t="s">
        <v>239</v>
      </c>
      <c r="C566" s="129"/>
      <c r="D566" s="129"/>
      <c r="E566" s="19" t="n">
        <f aca="false">F566*0.03</f>
        <v>0</v>
      </c>
      <c r="F566" s="33" t="n">
        <v>0</v>
      </c>
      <c r="G566" s="131"/>
      <c r="H566" s="35" t="n">
        <v>0</v>
      </c>
      <c r="I566" s="34" t="n">
        <f aca="false">+IF(E566=0,0,E566*0.03)</f>
        <v>0</v>
      </c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customFormat="false" ht="16.4" hidden="false" customHeight="false" outlineLevel="0" collapsed="false">
      <c r="A567" s="123" t="n">
        <v>45444</v>
      </c>
      <c r="B567" s="31" t="s">
        <v>7</v>
      </c>
      <c r="C567" s="129"/>
      <c r="D567" s="129"/>
      <c r="E567" s="19" t="n">
        <f aca="false">F567*0.03</f>
        <v>0</v>
      </c>
      <c r="F567" s="33" t="n">
        <v>0</v>
      </c>
      <c r="G567" s="131"/>
      <c r="H567" s="35" t="n">
        <v>0</v>
      </c>
      <c r="I567" s="34" t="n">
        <f aca="false">+IF(E567=0,0,E567*0.03)</f>
        <v>0</v>
      </c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customFormat="false" ht="16.4" hidden="false" customHeight="false" outlineLevel="0" collapsed="false">
      <c r="A568" s="123" t="n">
        <v>45444</v>
      </c>
      <c r="B568" s="31" t="s">
        <v>240</v>
      </c>
      <c r="C568" s="129"/>
      <c r="D568" s="129"/>
      <c r="E568" s="19" t="n">
        <f aca="false">F568*0.03</f>
        <v>0</v>
      </c>
      <c r="F568" s="33" t="n">
        <v>0</v>
      </c>
      <c r="G568" s="131"/>
      <c r="H568" s="35" t="n">
        <v>0</v>
      </c>
      <c r="I568" s="34" t="n">
        <f aca="false">+IF(E568=0,0,E568*0.03)</f>
        <v>0</v>
      </c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customFormat="false" ht="16.4" hidden="false" customHeight="false" outlineLevel="0" collapsed="false">
      <c r="A569" s="123" t="n">
        <v>45444</v>
      </c>
      <c r="B569" s="31" t="s">
        <v>153</v>
      </c>
      <c r="C569" s="129"/>
      <c r="D569" s="129"/>
      <c r="E569" s="19" t="n">
        <f aca="false">F569*0.03</f>
        <v>0</v>
      </c>
      <c r="F569" s="33" t="n">
        <v>0</v>
      </c>
      <c r="G569" s="131"/>
      <c r="H569" s="35" t="n">
        <v>0</v>
      </c>
      <c r="I569" s="34" t="n">
        <f aca="false">+IF(E569=0,0,E569*0.03)</f>
        <v>0</v>
      </c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customFormat="false" ht="16.4" hidden="false" customHeight="false" outlineLevel="0" collapsed="false">
      <c r="A570" s="123" t="n">
        <v>45444</v>
      </c>
      <c r="B570" s="31" t="s">
        <v>247</v>
      </c>
      <c r="C570" s="129"/>
      <c r="D570" s="129"/>
      <c r="E570" s="19" t="n">
        <f aca="false">F570*0.03</f>
        <v>0</v>
      </c>
      <c r="F570" s="33" t="n">
        <v>0</v>
      </c>
      <c r="G570" s="131"/>
      <c r="H570" s="35" t="n">
        <v>0</v>
      </c>
      <c r="I570" s="34" t="n">
        <f aca="false">+IF(E570=0,0,E570*0.03)</f>
        <v>0</v>
      </c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customFormat="false" ht="16.4" hidden="false" customHeight="false" outlineLevel="0" collapsed="false">
      <c r="A571" s="123" t="n">
        <v>45444</v>
      </c>
      <c r="B571" s="31" t="s">
        <v>246</v>
      </c>
      <c r="C571" s="129"/>
      <c r="D571" s="129"/>
      <c r="E571" s="19" t="n">
        <f aca="false">F571*0.03</f>
        <v>0</v>
      </c>
      <c r="F571" s="33" t="n">
        <v>0</v>
      </c>
      <c r="G571" s="131"/>
      <c r="H571" s="35" t="n">
        <v>0</v>
      </c>
      <c r="I571" s="34" t="n">
        <f aca="false">+IF(E571=0,0,E571*0.03)</f>
        <v>0</v>
      </c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customFormat="false" ht="16.4" hidden="false" customHeight="false" outlineLevel="0" collapsed="false">
      <c r="A572" s="123" t="n">
        <v>45444</v>
      </c>
      <c r="B572" s="31" t="s">
        <v>239</v>
      </c>
      <c r="C572" s="129"/>
      <c r="D572" s="129"/>
      <c r="E572" s="19" t="n">
        <f aca="false">F572*0.03</f>
        <v>0</v>
      </c>
      <c r="F572" s="33" t="n">
        <v>0</v>
      </c>
      <c r="G572" s="131"/>
      <c r="H572" s="35" t="n">
        <v>0</v>
      </c>
      <c r="I572" s="34" t="n">
        <f aca="false">+IF(E572=0,0,E572*0.03)</f>
        <v>0</v>
      </c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customFormat="false" ht="16.4" hidden="false" customHeight="false" outlineLevel="0" collapsed="false">
      <c r="A573" s="123" t="n">
        <v>45444</v>
      </c>
      <c r="B573" s="31" t="s">
        <v>7</v>
      </c>
      <c r="C573" s="129"/>
      <c r="D573" s="129"/>
      <c r="E573" s="19" t="n">
        <f aca="false">F573*0.03</f>
        <v>0</v>
      </c>
      <c r="F573" s="33" t="n">
        <v>0</v>
      </c>
      <c r="G573" s="131"/>
      <c r="H573" s="35" t="n">
        <v>0</v>
      </c>
      <c r="I573" s="34" t="n">
        <f aca="false">+IF(E573=0,0,E573*0.03)</f>
        <v>0</v>
      </c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customFormat="false" ht="16.4" hidden="false" customHeight="false" outlineLevel="0" collapsed="false">
      <c r="A574" s="123" t="n">
        <v>45444</v>
      </c>
      <c r="B574" s="31" t="s">
        <v>240</v>
      </c>
      <c r="C574" s="129"/>
      <c r="D574" s="129"/>
      <c r="E574" s="19" t="n">
        <f aca="false">F574*0.03</f>
        <v>0</v>
      </c>
      <c r="F574" s="33" t="n">
        <v>0</v>
      </c>
      <c r="G574" s="131"/>
      <c r="H574" s="35" t="n">
        <v>0</v>
      </c>
      <c r="I574" s="34" t="n">
        <f aca="false">+IF(E574=0,0,E574*0.03)</f>
        <v>0</v>
      </c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customFormat="false" ht="16.4" hidden="false" customHeight="false" outlineLevel="0" collapsed="false">
      <c r="A575" s="123" t="n">
        <v>45444</v>
      </c>
      <c r="B575" s="31" t="s">
        <v>153</v>
      </c>
      <c r="C575" s="129"/>
      <c r="D575" s="129"/>
      <c r="E575" s="19" t="n">
        <f aca="false">F575*0.03</f>
        <v>0</v>
      </c>
      <c r="F575" s="33" t="n">
        <v>0</v>
      </c>
      <c r="G575" s="131"/>
      <c r="H575" s="35" t="n">
        <v>0</v>
      </c>
      <c r="I575" s="34" t="n">
        <f aca="false">+IF(E575=0,0,E575*0.03)</f>
        <v>0</v>
      </c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customFormat="false" ht="16.4" hidden="false" customHeight="false" outlineLevel="0" collapsed="false">
      <c r="A576" s="123" t="n">
        <v>45444</v>
      </c>
      <c r="B576" s="31" t="s">
        <v>247</v>
      </c>
      <c r="C576" s="129"/>
      <c r="D576" s="129"/>
      <c r="E576" s="19" t="n">
        <f aca="false">F576*0.03</f>
        <v>0</v>
      </c>
      <c r="F576" s="33" t="n">
        <v>0</v>
      </c>
      <c r="G576" s="131"/>
      <c r="H576" s="35" t="n">
        <v>0</v>
      </c>
      <c r="I576" s="34" t="n">
        <f aca="false">+IF(E576=0,0,E576*0.03)</f>
        <v>0</v>
      </c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customFormat="false" ht="16.4" hidden="false" customHeight="false" outlineLevel="0" collapsed="false">
      <c r="A577" s="123" t="n">
        <v>45444</v>
      </c>
      <c r="B577" s="31" t="s">
        <v>246</v>
      </c>
      <c r="C577" s="129"/>
      <c r="D577" s="129"/>
      <c r="E577" s="19" t="n">
        <f aca="false">F577*0.03</f>
        <v>0</v>
      </c>
      <c r="F577" s="33" t="n">
        <v>0</v>
      </c>
      <c r="G577" s="131"/>
      <c r="H577" s="35" t="n">
        <v>0</v>
      </c>
      <c r="I577" s="34" t="n">
        <f aca="false">+IF(E577=0,0,E577*0.03)</f>
        <v>0</v>
      </c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customFormat="false" ht="16.4" hidden="false" customHeight="false" outlineLevel="0" collapsed="false">
      <c r="A578" s="123" t="n">
        <v>45444</v>
      </c>
      <c r="B578" s="31" t="s">
        <v>239</v>
      </c>
      <c r="C578" s="129"/>
      <c r="D578" s="129"/>
      <c r="E578" s="19" t="n">
        <f aca="false">F578*0.03</f>
        <v>0</v>
      </c>
      <c r="F578" s="33" t="n">
        <v>0</v>
      </c>
      <c r="G578" s="131"/>
      <c r="H578" s="35" t="n">
        <v>0</v>
      </c>
      <c r="I578" s="34" t="n">
        <f aca="false">+IF(E578=0,0,E578*0.03)</f>
        <v>0</v>
      </c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customFormat="false" ht="16.4" hidden="false" customHeight="false" outlineLevel="0" collapsed="false">
      <c r="A579" s="123" t="n">
        <v>45444</v>
      </c>
      <c r="B579" s="31" t="s">
        <v>7</v>
      </c>
      <c r="C579" s="129"/>
      <c r="D579" s="129"/>
      <c r="E579" s="19" t="n">
        <f aca="false">F579*0.03</f>
        <v>0</v>
      </c>
      <c r="F579" s="33" t="n">
        <v>0</v>
      </c>
      <c r="G579" s="131"/>
      <c r="H579" s="35" t="n">
        <v>0</v>
      </c>
      <c r="I579" s="34" t="n">
        <f aca="false">+IF(E579=0,0,E579*0.03)</f>
        <v>0</v>
      </c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customFormat="false" ht="16.4" hidden="false" customHeight="false" outlineLevel="0" collapsed="false">
      <c r="A580" s="123" t="n">
        <v>45444</v>
      </c>
      <c r="B580" s="31" t="s">
        <v>240</v>
      </c>
      <c r="C580" s="129"/>
      <c r="D580" s="129"/>
      <c r="E580" s="19" t="n">
        <f aca="false">F580*0.03</f>
        <v>0</v>
      </c>
      <c r="F580" s="33" t="n">
        <v>0</v>
      </c>
      <c r="G580" s="131"/>
      <c r="H580" s="35" t="n">
        <v>0</v>
      </c>
      <c r="I580" s="34" t="n">
        <f aca="false">+IF(E580=0,0,E580*0.03)</f>
        <v>0</v>
      </c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customFormat="false" ht="16.4" hidden="false" customHeight="false" outlineLevel="0" collapsed="false">
      <c r="A581" s="123" t="n">
        <v>45444</v>
      </c>
      <c r="B581" s="31" t="s">
        <v>153</v>
      </c>
      <c r="C581" s="129"/>
      <c r="D581" s="129"/>
      <c r="E581" s="19" t="n">
        <f aca="false">F581*0.03</f>
        <v>0</v>
      </c>
      <c r="F581" s="33" t="n">
        <v>0</v>
      </c>
      <c r="G581" s="131"/>
      <c r="H581" s="35" t="n">
        <v>0</v>
      </c>
      <c r="I581" s="34" t="n">
        <f aca="false">+IF(E581=0,0,E581*0.03)</f>
        <v>0</v>
      </c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customFormat="false" ht="16.4" hidden="false" customHeight="false" outlineLevel="0" collapsed="false">
      <c r="A582" s="123" t="n">
        <v>45444</v>
      </c>
      <c r="B582" s="31" t="s">
        <v>247</v>
      </c>
      <c r="C582" s="129"/>
      <c r="D582" s="129"/>
      <c r="E582" s="19" t="n">
        <f aca="false">F582*0.03</f>
        <v>0</v>
      </c>
      <c r="F582" s="33" t="n">
        <v>0</v>
      </c>
      <c r="G582" s="131"/>
      <c r="H582" s="35" t="n">
        <v>0</v>
      </c>
      <c r="I582" s="34" t="n">
        <f aca="false">+IF(E582=0,0,E582*0.03)</f>
        <v>0</v>
      </c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customFormat="false" ht="16.4" hidden="false" customHeight="false" outlineLevel="0" collapsed="false">
      <c r="A583" s="123" t="n">
        <v>45444</v>
      </c>
      <c r="B583" s="31" t="s">
        <v>246</v>
      </c>
      <c r="C583" s="129"/>
      <c r="D583" s="129"/>
      <c r="E583" s="19" t="n">
        <f aca="false">F583*0.03</f>
        <v>0</v>
      </c>
      <c r="F583" s="33" t="n">
        <v>0</v>
      </c>
      <c r="G583" s="131"/>
      <c r="H583" s="35" t="n">
        <v>0</v>
      </c>
      <c r="I583" s="34" t="n">
        <f aca="false">+IF(E583=0,0,E583*0.03)</f>
        <v>0</v>
      </c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customFormat="false" ht="16.4" hidden="false" customHeight="false" outlineLevel="0" collapsed="false">
      <c r="A584" s="123" t="n">
        <v>45444</v>
      </c>
      <c r="B584" s="31" t="s">
        <v>239</v>
      </c>
      <c r="C584" s="129"/>
      <c r="D584" s="129"/>
      <c r="E584" s="19" t="n">
        <f aca="false">F584*0.03</f>
        <v>0</v>
      </c>
      <c r="F584" s="33" t="n">
        <v>0</v>
      </c>
      <c r="G584" s="131"/>
      <c r="H584" s="35" t="n">
        <v>0</v>
      </c>
      <c r="I584" s="34" t="n">
        <f aca="false">+IF(E584=0,0,E584*0.03)</f>
        <v>0</v>
      </c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customFormat="false" ht="16.4" hidden="false" customHeight="false" outlineLevel="0" collapsed="false">
      <c r="A585" s="123" t="n">
        <v>45444</v>
      </c>
      <c r="B585" s="31" t="s">
        <v>7</v>
      </c>
      <c r="C585" s="129"/>
      <c r="D585" s="129"/>
      <c r="E585" s="19" t="n">
        <f aca="false">F585*0.03</f>
        <v>0</v>
      </c>
      <c r="F585" s="33" t="n">
        <v>0</v>
      </c>
      <c r="G585" s="131"/>
      <c r="H585" s="35" t="n">
        <v>0</v>
      </c>
      <c r="I585" s="34" t="n">
        <f aca="false">+IF(E585=0,0,E585*0.03)</f>
        <v>0</v>
      </c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customFormat="false" ht="16.4" hidden="false" customHeight="false" outlineLevel="0" collapsed="false">
      <c r="A586" s="123" t="n">
        <v>45444</v>
      </c>
      <c r="B586" s="31" t="s">
        <v>240</v>
      </c>
      <c r="C586" s="129"/>
      <c r="D586" s="129"/>
      <c r="E586" s="19" t="n">
        <f aca="false">F586*0.03</f>
        <v>0</v>
      </c>
      <c r="F586" s="33" t="n">
        <v>0</v>
      </c>
      <c r="G586" s="131"/>
      <c r="H586" s="35" t="n">
        <v>0</v>
      </c>
      <c r="I586" s="34" t="n">
        <f aca="false">+IF(E586=0,0,E586*0.03)</f>
        <v>0</v>
      </c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customFormat="false" ht="16.4" hidden="false" customHeight="false" outlineLevel="0" collapsed="false">
      <c r="A587" s="123" t="n">
        <v>45444</v>
      </c>
      <c r="B587" s="31" t="s">
        <v>153</v>
      </c>
      <c r="C587" s="129"/>
      <c r="D587" s="129"/>
      <c r="E587" s="19" t="n">
        <f aca="false">F587*0.03</f>
        <v>0</v>
      </c>
      <c r="F587" s="33" t="n">
        <v>0</v>
      </c>
      <c r="G587" s="131"/>
      <c r="H587" s="35" t="n">
        <v>0</v>
      </c>
      <c r="I587" s="34" t="n">
        <f aca="false">+IF(E587=0,0,E587*0.03)</f>
        <v>0</v>
      </c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customFormat="false" ht="16.4" hidden="false" customHeight="false" outlineLevel="0" collapsed="false">
      <c r="A588" s="123" t="n">
        <v>45444</v>
      </c>
      <c r="B588" s="31" t="s">
        <v>247</v>
      </c>
      <c r="C588" s="129"/>
      <c r="D588" s="129"/>
      <c r="E588" s="19" t="n">
        <f aca="false">F588*0.03</f>
        <v>0</v>
      </c>
      <c r="F588" s="33" t="n">
        <v>0</v>
      </c>
      <c r="G588" s="131"/>
      <c r="H588" s="35" t="n">
        <v>0</v>
      </c>
      <c r="I588" s="34" t="n">
        <f aca="false">+IF(E588=0,0,E588*0.03)</f>
        <v>0</v>
      </c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customFormat="false" ht="16.4" hidden="false" customHeight="false" outlineLevel="0" collapsed="false">
      <c r="A589" s="123" t="n">
        <v>45444</v>
      </c>
      <c r="B589" s="31" t="s">
        <v>246</v>
      </c>
      <c r="C589" s="129"/>
      <c r="D589" s="129"/>
      <c r="E589" s="19" t="n">
        <f aca="false">F589*0.03</f>
        <v>0</v>
      </c>
      <c r="F589" s="33" t="n">
        <v>0</v>
      </c>
      <c r="G589" s="131"/>
      <c r="H589" s="35" t="n">
        <v>0</v>
      </c>
      <c r="I589" s="34" t="n">
        <f aca="false">+IF(E589=0,0,E589*0.03)</f>
        <v>0</v>
      </c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customFormat="false" ht="16.4" hidden="false" customHeight="false" outlineLevel="0" collapsed="false">
      <c r="A590" s="123" t="n">
        <v>45444</v>
      </c>
      <c r="B590" s="31" t="s">
        <v>239</v>
      </c>
      <c r="C590" s="129"/>
      <c r="D590" s="129"/>
      <c r="E590" s="19" t="n">
        <f aca="false">F590*0.03</f>
        <v>0</v>
      </c>
      <c r="F590" s="33" t="n">
        <v>0</v>
      </c>
      <c r="G590" s="131"/>
      <c r="H590" s="35" t="n">
        <v>0</v>
      </c>
      <c r="I590" s="34" t="n">
        <f aca="false">+IF(E590=0,0,E590*0.03)</f>
        <v>0</v>
      </c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customFormat="false" ht="16.4" hidden="false" customHeight="false" outlineLevel="0" collapsed="false">
      <c r="A591" s="123" t="n">
        <v>45444</v>
      </c>
      <c r="B591" s="31" t="s">
        <v>7</v>
      </c>
      <c r="C591" s="129"/>
      <c r="D591" s="129"/>
      <c r="E591" s="19" t="n">
        <f aca="false">F591*0.03</f>
        <v>0</v>
      </c>
      <c r="F591" s="33" t="n">
        <v>0</v>
      </c>
      <c r="G591" s="131"/>
      <c r="H591" s="35" t="n">
        <v>0</v>
      </c>
      <c r="I591" s="34" t="n">
        <f aca="false">+IF(E591=0,0,E591*0.03)</f>
        <v>0</v>
      </c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customFormat="false" ht="16.4" hidden="false" customHeight="false" outlineLevel="0" collapsed="false">
      <c r="A592" s="123" t="n">
        <v>45444</v>
      </c>
      <c r="B592" s="31" t="s">
        <v>240</v>
      </c>
      <c r="C592" s="129"/>
      <c r="D592" s="129"/>
      <c r="E592" s="19" t="n">
        <f aca="false">F592*0.03</f>
        <v>0</v>
      </c>
      <c r="F592" s="33" t="n">
        <v>0</v>
      </c>
      <c r="G592" s="131"/>
      <c r="H592" s="35" t="n">
        <v>0</v>
      </c>
      <c r="I592" s="34" t="n">
        <f aca="false">+IF(E592=0,0,E592*0.03)</f>
        <v>0</v>
      </c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customFormat="false" ht="16.4" hidden="false" customHeight="false" outlineLevel="0" collapsed="false">
      <c r="A593" s="123" t="n">
        <v>45444</v>
      </c>
      <c r="B593" s="31" t="s">
        <v>153</v>
      </c>
      <c r="C593" s="129"/>
      <c r="D593" s="129"/>
      <c r="E593" s="19" t="n">
        <f aca="false">F593*0.03</f>
        <v>0</v>
      </c>
      <c r="F593" s="33" t="n">
        <v>0</v>
      </c>
      <c r="G593" s="131"/>
      <c r="H593" s="35" t="n">
        <v>0</v>
      </c>
      <c r="I593" s="34" t="n">
        <f aca="false">+IF(E593=0,0,E593*0.03)</f>
        <v>0</v>
      </c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customFormat="false" ht="16.4" hidden="false" customHeight="false" outlineLevel="0" collapsed="false">
      <c r="A594" s="123" t="n">
        <v>45444</v>
      </c>
      <c r="B594" s="31" t="s">
        <v>247</v>
      </c>
      <c r="C594" s="129"/>
      <c r="D594" s="129"/>
      <c r="E594" s="19" t="n">
        <f aca="false">F594*0.03</f>
        <v>0</v>
      </c>
      <c r="F594" s="33" t="n">
        <v>0</v>
      </c>
      <c r="G594" s="131"/>
      <c r="H594" s="35" t="n">
        <v>0</v>
      </c>
      <c r="I594" s="34" t="n">
        <f aca="false">+IF(E594=0,0,E594*0.03)</f>
        <v>0</v>
      </c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customFormat="false" ht="16.4" hidden="false" customHeight="false" outlineLevel="0" collapsed="false">
      <c r="A595" s="123" t="n">
        <v>45444</v>
      </c>
      <c r="B595" s="31" t="s">
        <v>246</v>
      </c>
      <c r="C595" s="129"/>
      <c r="D595" s="129"/>
      <c r="E595" s="19" t="n">
        <f aca="false">F595*0.03</f>
        <v>0</v>
      </c>
      <c r="F595" s="33" t="n">
        <v>0</v>
      </c>
      <c r="G595" s="131"/>
      <c r="H595" s="35" t="n">
        <v>0</v>
      </c>
      <c r="I595" s="34" t="n">
        <f aca="false">+IF(E595=0,0,E595*0.03)</f>
        <v>0</v>
      </c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customFormat="false" ht="16.4" hidden="false" customHeight="false" outlineLevel="0" collapsed="false">
      <c r="A596" s="123" t="n">
        <v>45444</v>
      </c>
      <c r="B596" s="31" t="s">
        <v>239</v>
      </c>
      <c r="C596" s="129"/>
      <c r="D596" s="129"/>
      <c r="E596" s="19" t="n">
        <f aca="false">F596*0.03</f>
        <v>0</v>
      </c>
      <c r="F596" s="33" t="n">
        <v>0</v>
      </c>
      <c r="G596" s="131"/>
      <c r="H596" s="35" t="n">
        <v>0</v>
      </c>
      <c r="I596" s="34" t="n">
        <f aca="false">+IF(E596=0,0,E596*0.03)</f>
        <v>0</v>
      </c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customFormat="false" ht="16.4" hidden="false" customHeight="false" outlineLevel="0" collapsed="false">
      <c r="A597" s="123" t="n">
        <v>45444</v>
      </c>
      <c r="B597" s="31" t="s">
        <v>7</v>
      </c>
      <c r="C597" s="129"/>
      <c r="D597" s="129"/>
      <c r="E597" s="19" t="n">
        <f aca="false">F597*0.03</f>
        <v>0</v>
      </c>
      <c r="F597" s="33" t="n">
        <v>0</v>
      </c>
      <c r="G597" s="131"/>
      <c r="H597" s="35" t="n">
        <v>0</v>
      </c>
      <c r="I597" s="34" t="n">
        <f aca="false">+IF(E597=0,0,E597*0.03)</f>
        <v>0</v>
      </c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customFormat="false" ht="16.4" hidden="false" customHeight="false" outlineLevel="0" collapsed="false">
      <c r="A598" s="123" t="n">
        <v>45444</v>
      </c>
      <c r="B598" s="31" t="s">
        <v>240</v>
      </c>
      <c r="C598" s="129"/>
      <c r="D598" s="129"/>
      <c r="E598" s="19" t="n">
        <f aca="false">F598*0.03</f>
        <v>0</v>
      </c>
      <c r="F598" s="33" t="n">
        <v>0</v>
      </c>
      <c r="G598" s="131"/>
      <c r="H598" s="35" t="n">
        <v>0</v>
      </c>
      <c r="I598" s="34" t="n">
        <f aca="false">+IF(E598=0,0,E598*0.03)</f>
        <v>0</v>
      </c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customFormat="false" ht="16.4" hidden="false" customHeight="false" outlineLevel="0" collapsed="false">
      <c r="A599" s="123" t="n">
        <v>45444</v>
      </c>
      <c r="B599" s="31" t="s">
        <v>153</v>
      </c>
      <c r="C599" s="129"/>
      <c r="D599" s="129"/>
      <c r="E599" s="19" t="n">
        <f aca="false">F599*0.03</f>
        <v>0</v>
      </c>
      <c r="F599" s="33" t="n">
        <v>0</v>
      </c>
      <c r="G599" s="131"/>
      <c r="H599" s="35" t="n">
        <v>0</v>
      </c>
      <c r="I599" s="34" t="n">
        <f aca="false">+IF(E599=0,0,E599*0.03)</f>
        <v>0</v>
      </c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customFormat="false" ht="16.4" hidden="false" customHeight="false" outlineLevel="0" collapsed="false">
      <c r="A600" s="123" t="n">
        <v>45444</v>
      </c>
      <c r="B600" s="31" t="s">
        <v>247</v>
      </c>
      <c r="C600" s="129"/>
      <c r="D600" s="129"/>
      <c r="E600" s="19" t="n">
        <f aca="false">F600*0.03</f>
        <v>0</v>
      </c>
      <c r="F600" s="33" t="n">
        <v>0</v>
      </c>
      <c r="G600" s="131"/>
      <c r="H600" s="35" t="n">
        <v>0</v>
      </c>
      <c r="I600" s="34" t="n">
        <f aca="false">+IF(E600=0,0,E600*0.03)</f>
        <v>0</v>
      </c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customFormat="false" ht="16.4" hidden="false" customHeight="false" outlineLevel="0" collapsed="false">
      <c r="A601" s="123" t="n">
        <v>45444</v>
      </c>
      <c r="B601" s="31" t="s">
        <v>246</v>
      </c>
      <c r="C601" s="129"/>
      <c r="D601" s="129"/>
      <c r="E601" s="19" t="n">
        <f aca="false">F601*0.03</f>
        <v>0</v>
      </c>
      <c r="F601" s="33" t="n">
        <v>0</v>
      </c>
      <c r="G601" s="131"/>
      <c r="H601" s="35" t="n">
        <v>0</v>
      </c>
      <c r="I601" s="34" t="n">
        <f aca="false">+IF(E601=0,0,E601*0.03)</f>
        <v>0</v>
      </c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customFormat="false" ht="16.4" hidden="false" customHeight="false" outlineLevel="0" collapsed="false">
      <c r="A602" s="123" t="n">
        <v>45444</v>
      </c>
      <c r="B602" s="31" t="s">
        <v>239</v>
      </c>
      <c r="C602" s="129"/>
      <c r="D602" s="129"/>
      <c r="E602" s="19" t="n">
        <f aca="false">F602*0.03</f>
        <v>0</v>
      </c>
      <c r="F602" s="33" t="n">
        <v>0</v>
      </c>
      <c r="G602" s="131"/>
      <c r="H602" s="35" t="n">
        <v>0</v>
      </c>
      <c r="I602" s="34" t="n">
        <f aca="false">+IF(E602=0,0,E602*0.03)</f>
        <v>0</v>
      </c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customFormat="false" ht="16.4" hidden="false" customHeight="false" outlineLevel="0" collapsed="false">
      <c r="A603" s="123" t="n">
        <v>45444</v>
      </c>
      <c r="B603" s="31" t="s">
        <v>7</v>
      </c>
      <c r="C603" s="129"/>
      <c r="D603" s="129"/>
      <c r="E603" s="19" t="n">
        <f aca="false">F603*0.03</f>
        <v>0</v>
      </c>
      <c r="F603" s="33" t="n">
        <v>0</v>
      </c>
      <c r="G603" s="131"/>
      <c r="H603" s="35" t="n">
        <v>0</v>
      </c>
      <c r="I603" s="34" t="n">
        <f aca="false">+IF(E603=0,0,E603*0.03)</f>
        <v>0</v>
      </c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customFormat="false" ht="16.4" hidden="false" customHeight="false" outlineLevel="0" collapsed="false">
      <c r="A604" s="123" t="n">
        <v>45444</v>
      </c>
      <c r="B604" s="31" t="s">
        <v>240</v>
      </c>
      <c r="C604" s="129"/>
      <c r="D604" s="129"/>
      <c r="E604" s="19" t="n">
        <f aca="false">F604*0.03</f>
        <v>0</v>
      </c>
      <c r="F604" s="33" t="n">
        <v>0</v>
      </c>
      <c r="G604" s="131"/>
      <c r="H604" s="35" t="n">
        <v>0</v>
      </c>
      <c r="I604" s="34" t="n">
        <f aca="false">+IF(E604=0,0,E604*0.03)</f>
        <v>0</v>
      </c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customFormat="false" ht="16.4" hidden="false" customHeight="false" outlineLevel="0" collapsed="false">
      <c r="A605" s="123" t="n">
        <v>45444</v>
      </c>
      <c r="B605" s="31" t="s">
        <v>153</v>
      </c>
      <c r="C605" s="129"/>
      <c r="D605" s="129"/>
      <c r="E605" s="19" t="n">
        <f aca="false">F605*0.03</f>
        <v>0</v>
      </c>
      <c r="F605" s="33" t="n">
        <v>0</v>
      </c>
      <c r="G605" s="131"/>
      <c r="H605" s="35" t="n">
        <v>0</v>
      </c>
      <c r="I605" s="34" t="n">
        <f aca="false">+IF(E605=0,0,E605*0.03)</f>
        <v>0</v>
      </c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customFormat="false" ht="16.4" hidden="false" customHeight="false" outlineLevel="0" collapsed="false">
      <c r="A606" s="123" t="n">
        <v>45444</v>
      </c>
      <c r="B606" s="31" t="s">
        <v>247</v>
      </c>
      <c r="C606" s="129"/>
      <c r="D606" s="129"/>
      <c r="E606" s="19" t="n">
        <f aca="false">F606*0.03</f>
        <v>0</v>
      </c>
      <c r="F606" s="33" t="n">
        <v>0</v>
      </c>
      <c r="G606" s="131"/>
      <c r="H606" s="35" t="n">
        <v>0</v>
      </c>
      <c r="I606" s="34" t="n">
        <f aca="false">+IF(E606=0,0,E606*0.03)</f>
        <v>0</v>
      </c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customFormat="false" ht="16.4" hidden="false" customHeight="false" outlineLevel="0" collapsed="false">
      <c r="A607" s="123" t="n">
        <v>45444</v>
      </c>
      <c r="B607" s="31" t="s">
        <v>246</v>
      </c>
      <c r="C607" s="129"/>
      <c r="D607" s="129"/>
      <c r="E607" s="19" t="n">
        <f aca="false">F607*0.03</f>
        <v>0</v>
      </c>
      <c r="F607" s="33" t="n">
        <v>0</v>
      </c>
      <c r="G607" s="131"/>
      <c r="H607" s="35" t="n">
        <v>0</v>
      </c>
      <c r="I607" s="34" t="n">
        <f aca="false">+IF(E607=0,0,E607*0.03)</f>
        <v>0</v>
      </c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customFormat="false" ht="16.4" hidden="false" customHeight="false" outlineLevel="0" collapsed="false">
      <c r="A608" s="123" t="n">
        <v>45444</v>
      </c>
      <c r="B608" s="31" t="s">
        <v>239</v>
      </c>
      <c r="C608" s="129"/>
      <c r="D608" s="129"/>
      <c r="E608" s="19" t="n">
        <f aca="false">F608*0.03</f>
        <v>0</v>
      </c>
      <c r="F608" s="33" t="n">
        <v>0</v>
      </c>
      <c r="G608" s="131"/>
      <c r="H608" s="35" t="n">
        <v>0</v>
      </c>
      <c r="I608" s="34" t="n">
        <f aca="false">+IF(E608=0,0,E608*0.03)</f>
        <v>0</v>
      </c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customFormat="false" ht="16.4" hidden="false" customHeight="false" outlineLevel="0" collapsed="false">
      <c r="A609" s="123" t="n">
        <v>45444</v>
      </c>
      <c r="B609" s="31" t="s">
        <v>7</v>
      </c>
      <c r="C609" s="129"/>
      <c r="D609" s="129"/>
      <c r="E609" s="19" t="n">
        <f aca="false">F609*0.03</f>
        <v>0</v>
      </c>
      <c r="F609" s="33" t="n">
        <v>0</v>
      </c>
      <c r="G609" s="131"/>
      <c r="H609" s="35" t="n">
        <v>0</v>
      </c>
      <c r="I609" s="34" t="n">
        <f aca="false">+IF(E609=0,0,E609*0.03)</f>
        <v>0</v>
      </c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customFormat="false" ht="16.4" hidden="false" customHeight="false" outlineLevel="0" collapsed="false">
      <c r="A610" s="123" t="n">
        <v>45444</v>
      </c>
      <c r="B610" s="31" t="s">
        <v>240</v>
      </c>
      <c r="C610" s="129"/>
      <c r="D610" s="129"/>
      <c r="E610" s="19" t="n">
        <f aca="false">F610*0.03</f>
        <v>0</v>
      </c>
      <c r="F610" s="33" t="n">
        <v>0</v>
      </c>
      <c r="G610" s="131"/>
      <c r="H610" s="35" t="n">
        <v>0</v>
      </c>
      <c r="I610" s="34" t="n">
        <f aca="false">+IF(E610=0,0,E610*0.03)</f>
        <v>0</v>
      </c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customFormat="false" ht="16.4" hidden="false" customHeight="false" outlineLevel="0" collapsed="false">
      <c r="A611" s="123" t="n">
        <v>45444</v>
      </c>
      <c r="B611" s="31" t="s">
        <v>153</v>
      </c>
      <c r="C611" s="129"/>
      <c r="D611" s="129"/>
      <c r="E611" s="19" t="n">
        <f aca="false">F611*0.03</f>
        <v>0</v>
      </c>
      <c r="F611" s="33" t="n">
        <v>0</v>
      </c>
      <c r="G611" s="131"/>
      <c r="H611" s="35" t="n">
        <v>0</v>
      </c>
      <c r="I611" s="34" t="n">
        <f aca="false">+IF(E611=0,0,E611*0.03)</f>
        <v>0</v>
      </c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customFormat="false" ht="16.4" hidden="false" customHeight="false" outlineLevel="0" collapsed="false">
      <c r="A612" s="123" t="n">
        <v>45444</v>
      </c>
      <c r="B612" s="31" t="s">
        <v>247</v>
      </c>
      <c r="C612" s="129"/>
      <c r="D612" s="129"/>
      <c r="E612" s="19" t="n">
        <f aca="false">F612*0.03</f>
        <v>0</v>
      </c>
      <c r="F612" s="33" t="n">
        <v>0</v>
      </c>
      <c r="G612" s="131"/>
      <c r="H612" s="35" t="n">
        <v>0</v>
      </c>
      <c r="I612" s="34" t="n">
        <f aca="false">+IF(E612=0,0,E612*0.03)</f>
        <v>0</v>
      </c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customFormat="false" ht="16.4" hidden="false" customHeight="false" outlineLevel="0" collapsed="false">
      <c r="A613" s="123" t="n">
        <v>45444</v>
      </c>
      <c r="B613" s="31" t="s">
        <v>246</v>
      </c>
      <c r="C613" s="129"/>
      <c r="D613" s="129"/>
      <c r="E613" s="19" t="n">
        <f aca="false">F613*0.03</f>
        <v>0</v>
      </c>
      <c r="F613" s="33" t="n">
        <v>0</v>
      </c>
      <c r="G613" s="131"/>
      <c r="H613" s="35" t="n">
        <v>0</v>
      </c>
      <c r="I613" s="34" t="n">
        <f aca="false">+IF(E613=0,0,E613*0.03)</f>
        <v>0</v>
      </c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customFormat="false" ht="16.4" hidden="false" customHeight="false" outlineLevel="0" collapsed="false">
      <c r="A614" s="123" t="n">
        <v>45444</v>
      </c>
      <c r="B614" s="31" t="s">
        <v>239</v>
      </c>
      <c r="C614" s="129"/>
      <c r="D614" s="129"/>
      <c r="E614" s="19" t="n">
        <f aca="false">F614*0.03</f>
        <v>0</v>
      </c>
      <c r="F614" s="33" t="n">
        <v>0</v>
      </c>
      <c r="G614" s="131"/>
      <c r="H614" s="35" t="n">
        <v>0</v>
      </c>
      <c r="I614" s="34" t="n">
        <f aca="false">+IF(E614=0,0,E614*0.03)</f>
        <v>0</v>
      </c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customFormat="false" ht="16.4" hidden="false" customHeight="false" outlineLevel="0" collapsed="false">
      <c r="A615" s="123" t="n">
        <v>45444</v>
      </c>
      <c r="B615" s="31" t="s">
        <v>7</v>
      </c>
      <c r="C615" s="129"/>
      <c r="D615" s="129"/>
      <c r="E615" s="19" t="n">
        <f aca="false">F615*0.03</f>
        <v>0</v>
      </c>
      <c r="F615" s="33" t="n">
        <v>0</v>
      </c>
      <c r="G615" s="131"/>
      <c r="H615" s="35" t="n">
        <v>0</v>
      </c>
      <c r="I615" s="34" t="n">
        <f aca="false">+IF(E615=0,0,E615*0.03)</f>
        <v>0</v>
      </c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customFormat="false" ht="16.4" hidden="false" customHeight="false" outlineLevel="0" collapsed="false">
      <c r="A616" s="123" t="n">
        <v>45444</v>
      </c>
      <c r="B616" s="31" t="s">
        <v>240</v>
      </c>
      <c r="C616" s="129"/>
      <c r="D616" s="129"/>
      <c r="E616" s="19" t="n">
        <f aca="false">F616*0.03</f>
        <v>0</v>
      </c>
      <c r="F616" s="33" t="n">
        <v>0</v>
      </c>
      <c r="G616" s="131"/>
      <c r="H616" s="35" t="n">
        <v>0</v>
      </c>
      <c r="I616" s="34" t="n">
        <f aca="false">+IF(E616=0,0,E616*0.03)</f>
        <v>0</v>
      </c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customFormat="false" ht="16.4" hidden="false" customHeight="false" outlineLevel="0" collapsed="false">
      <c r="A617" s="123" t="n">
        <v>45444</v>
      </c>
      <c r="B617" s="31" t="s">
        <v>153</v>
      </c>
      <c r="C617" s="129"/>
      <c r="D617" s="129"/>
      <c r="E617" s="19" t="n">
        <f aca="false">F617*0.03</f>
        <v>0</v>
      </c>
      <c r="F617" s="33" t="n">
        <v>0</v>
      </c>
      <c r="G617" s="131"/>
      <c r="H617" s="35" t="n">
        <v>0</v>
      </c>
      <c r="I617" s="34" t="n">
        <f aca="false">+IF(E617=0,0,E617*0.03)</f>
        <v>0</v>
      </c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customFormat="false" ht="16.4" hidden="false" customHeight="false" outlineLevel="0" collapsed="false">
      <c r="A618" s="123" t="n">
        <v>45444</v>
      </c>
      <c r="B618" s="31" t="s">
        <v>247</v>
      </c>
      <c r="C618" s="129"/>
      <c r="D618" s="129"/>
      <c r="E618" s="19" t="n">
        <f aca="false">F618*0.03</f>
        <v>0</v>
      </c>
      <c r="F618" s="33" t="n">
        <v>0</v>
      </c>
      <c r="G618" s="131"/>
      <c r="H618" s="35" t="n">
        <v>0</v>
      </c>
      <c r="I618" s="34" t="n">
        <f aca="false">+IF(E618=0,0,E618*0.03)</f>
        <v>0</v>
      </c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customFormat="false" ht="16.4" hidden="false" customHeight="false" outlineLevel="0" collapsed="false">
      <c r="A619" s="123" t="n">
        <v>45444</v>
      </c>
      <c r="B619" s="31" t="s">
        <v>246</v>
      </c>
      <c r="C619" s="129"/>
      <c r="D619" s="129"/>
      <c r="E619" s="19" t="n">
        <f aca="false">F619*0.03</f>
        <v>0</v>
      </c>
      <c r="F619" s="33" t="n">
        <v>0</v>
      </c>
      <c r="G619" s="131"/>
      <c r="H619" s="35" t="n">
        <v>0</v>
      </c>
      <c r="I619" s="34" t="n">
        <f aca="false">+IF(E619=0,0,E619*0.03)</f>
        <v>0</v>
      </c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customFormat="false" ht="16.4" hidden="false" customHeight="false" outlineLevel="0" collapsed="false">
      <c r="A620" s="123" t="n">
        <v>45444</v>
      </c>
      <c r="B620" s="31" t="s">
        <v>239</v>
      </c>
      <c r="C620" s="129"/>
      <c r="D620" s="129"/>
      <c r="E620" s="19" t="n">
        <f aca="false">F620*0.03</f>
        <v>0</v>
      </c>
      <c r="F620" s="33" t="n">
        <v>0</v>
      </c>
      <c r="G620" s="131"/>
      <c r="H620" s="35" t="n">
        <v>0</v>
      </c>
      <c r="I620" s="34" t="n">
        <f aca="false">+IF(E620=0,0,E620*0.03)</f>
        <v>0</v>
      </c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customFormat="false" ht="16.4" hidden="false" customHeight="false" outlineLevel="0" collapsed="false">
      <c r="A621" s="123" t="n">
        <v>45444</v>
      </c>
      <c r="B621" s="31" t="s">
        <v>7</v>
      </c>
      <c r="C621" s="129"/>
      <c r="D621" s="129"/>
      <c r="E621" s="19" t="n">
        <f aca="false">F621*0.03</f>
        <v>0</v>
      </c>
      <c r="F621" s="33" t="n">
        <v>0</v>
      </c>
      <c r="G621" s="131"/>
      <c r="H621" s="35" t="n">
        <v>0</v>
      </c>
      <c r="I621" s="34" t="n">
        <f aca="false">+IF(E621=0,0,E621*0.03)</f>
        <v>0</v>
      </c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customFormat="false" ht="16.4" hidden="false" customHeight="false" outlineLevel="0" collapsed="false">
      <c r="A622" s="123" t="n">
        <v>45444</v>
      </c>
      <c r="B622" s="31" t="s">
        <v>240</v>
      </c>
      <c r="C622" s="129"/>
      <c r="D622" s="129"/>
      <c r="E622" s="19" t="n">
        <f aca="false">F622*0.03</f>
        <v>0</v>
      </c>
      <c r="F622" s="33" t="n">
        <v>0</v>
      </c>
      <c r="G622" s="131"/>
      <c r="H622" s="35" t="n">
        <v>0</v>
      </c>
      <c r="I622" s="34" t="n">
        <f aca="false">+IF(E622=0,0,E622*0.03)</f>
        <v>0</v>
      </c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customFormat="false" ht="16.4" hidden="false" customHeight="false" outlineLevel="0" collapsed="false">
      <c r="A623" s="123" t="n">
        <v>45444</v>
      </c>
      <c r="B623" s="31" t="s">
        <v>153</v>
      </c>
      <c r="C623" s="129"/>
      <c r="D623" s="129"/>
      <c r="E623" s="19" t="n">
        <f aca="false">F623*0.03</f>
        <v>0</v>
      </c>
      <c r="F623" s="33" t="n">
        <v>0</v>
      </c>
      <c r="G623" s="131"/>
      <c r="H623" s="35" t="n">
        <v>0</v>
      </c>
      <c r="I623" s="34" t="n">
        <f aca="false">+IF(E623=0,0,E623*0.03)</f>
        <v>0</v>
      </c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customFormat="false" ht="16.4" hidden="false" customHeight="false" outlineLevel="0" collapsed="false">
      <c r="A624" s="123" t="n">
        <v>45444</v>
      </c>
      <c r="B624" s="31" t="s">
        <v>247</v>
      </c>
      <c r="C624" s="129"/>
      <c r="D624" s="129"/>
      <c r="E624" s="19" t="n">
        <f aca="false">F624*0.03</f>
        <v>0</v>
      </c>
      <c r="F624" s="33" t="n">
        <v>0</v>
      </c>
      <c r="G624" s="131"/>
      <c r="H624" s="35" t="n">
        <v>0</v>
      </c>
      <c r="I624" s="34" t="n">
        <f aca="false">+IF(E624=0,0,E624*0.03)</f>
        <v>0</v>
      </c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customFormat="false" ht="16.4" hidden="false" customHeight="false" outlineLevel="0" collapsed="false">
      <c r="A625" s="123" t="n">
        <v>45444</v>
      </c>
      <c r="B625" s="31" t="s">
        <v>246</v>
      </c>
      <c r="C625" s="129"/>
      <c r="D625" s="129"/>
      <c r="E625" s="19" t="n">
        <f aca="false">F625*0.03</f>
        <v>0</v>
      </c>
      <c r="F625" s="33" t="n">
        <v>0</v>
      </c>
      <c r="G625" s="131"/>
      <c r="H625" s="35" t="n">
        <v>0</v>
      </c>
      <c r="I625" s="34" t="n">
        <f aca="false">+IF(E625=0,0,E625*0.03)</f>
        <v>0</v>
      </c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customFormat="false" ht="16.4" hidden="false" customHeight="false" outlineLevel="0" collapsed="false">
      <c r="A626" s="123" t="n">
        <v>45444</v>
      </c>
      <c r="B626" s="31" t="s">
        <v>239</v>
      </c>
      <c r="C626" s="129"/>
      <c r="D626" s="129"/>
      <c r="E626" s="19" t="n">
        <f aca="false">F626*0.03</f>
        <v>0</v>
      </c>
      <c r="F626" s="33" t="n">
        <v>0</v>
      </c>
      <c r="G626" s="131"/>
      <c r="H626" s="35" t="n">
        <v>0</v>
      </c>
      <c r="I626" s="34" t="n">
        <f aca="false">+IF(E626=0,0,E626*0.03)</f>
        <v>0</v>
      </c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customFormat="false" ht="16.4" hidden="false" customHeight="false" outlineLevel="0" collapsed="false">
      <c r="A627" s="123" t="n">
        <v>45444</v>
      </c>
      <c r="B627" s="31" t="s">
        <v>7</v>
      </c>
      <c r="C627" s="129"/>
      <c r="D627" s="129"/>
      <c r="E627" s="19" t="n">
        <f aca="false">F627*0.03</f>
        <v>0</v>
      </c>
      <c r="F627" s="33" t="n">
        <v>0</v>
      </c>
      <c r="G627" s="131"/>
      <c r="H627" s="35" t="n">
        <v>0</v>
      </c>
      <c r="I627" s="34" t="n">
        <f aca="false">+IF(E627=0,0,E627*0.03)</f>
        <v>0</v>
      </c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customFormat="false" ht="16.4" hidden="false" customHeight="false" outlineLevel="0" collapsed="false">
      <c r="A628" s="123" t="n">
        <v>45444</v>
      </c>
      <c r="B628" s="31" t="s">
        <v>240</v>
      </c>
      <c r="C628" s="129"/>
      <c r="D628" s="129"/>
      <c r="E628" s="19" t="n">
        <f aca="false">F628*0.03</f>
        <v>0</v>
      </c>
      <c r="F628" s="33" t="n">
        <v>0</v>
      </c>
      <c r="G628" s="131"/>
      <c r="H628" s="35" t="n">
        <v>0</v>
      </c>
      <c r="I628" s="34" t="n">
        <f aca="false">+IF(E628=0,0,E628*0.03)</f>
        <v>0</v>
      </c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customFormat="false" ht="16.4" hidden="false" customHeight="false" outlineLevel="0" collapsed="false">
      <c r="A629" s="123" t="n">
        <v>45444</v>
      </c>
      <c r="B629" s="31" t="s">
        <v>153</v>
      </c>
      <c r="C629" s="129"/>
      <c r="D629" s="129"/>
      <c r="E629" s="19" t="n">
        <f aca="false">F629*0.03</f>
        <v>0</v>
      </c>
      <c r="F629" s="33" t="n">
        <v>0</v>
      </c>
      <c r="G629" s="131"/>
      <c r="H629" s="35" t="n">
        <v>0</v>
      </c>
      <c r="I629" s="34" t="n">
        <f aca="false">+IF(E629=0,0,E629*0.03)</f>
        <v>0</v>
      </c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customFormat="false" ht="16.4" hidden="false" customHeight="false" outlineLevel="0" collapsed="false">
      <c r="A630" s="123" t="n">
        <v>45444</v>
      </c>
      <c r="B630" s="31" t="s">
        <v>247</v>
      </c>
      <c r="C630" s="129"/>
      <c r="D630" s="129"/>
      <c r="E630" s="19" t="n">
        <f aca="false">F630*0.03</f>
        <v>0</v>
      </c>
      <c r="F630" s="33" t="n">
        <v>0</v>
      </c>
      <c r="G630" s="131"/>
      <c r="H630" s="35" t="n">
        <v>0</v>
      </c>
      <c r="I630" s="34" t="n">
        <f aca="false">+IF(E630=0,0,E630*0.03)</f>
        <v>0</v>
      </c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customFormat="false" ht="16.4" hidden="false" customHeight="false" outlineLevel="0" collapsed="false">
      <c r="A631" s="123" t="n">
        <v>45444</v>
      </c>
      <c r="B631" s="31" t="s">
        <v>246</v>
      </c>
      <c r="C631" s="129"/>
      <c r="D631" s="129"/>
      <c r="E631" s="19" t="n">
        <f aca="false">F631*0.03</f>
        <v>0</v>
      </c>
      <c r="F631" s="33" t="n">
        <v>0</v>
      </c>
      <c r="G631" s="131"/>
      <c r="H631" s="35" t="n">
        <v>0</v>
      </c>
      <c r="I631" s="34" t="n">
        <f aca="false">+IF(E631=0,0,E631*0.03)</f>
        <v>0</v>
      </c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customFormat="false" ht="16.4" hidden="false" customHeight="false" outlineLevel="0" collapsed="false">
      <c r="A632" s="123" t="n">
        <v>45444</v>
      </c>
      <c r="B632" s="31" t="s">
        <v>239</v>
      </c>
      <c r="C632" s="129"/>
      <c r="D632" s="129"/>
      <c r="E632" s="19" t="n">
        <f aca="false">F632*0.03</f>
        <v>0</v>
      </c>
      <c r="F632" s="33" t="n">
        <v>0</v>
      </c>
      <c r="G632" s="131"/>
      <c r="H632" s="35" t="n">
        <v>0</v>
      </c>
      <c r="I632" s="34" t="n">
        <f aca="false">+IF(E632=0,0,E632*0.03)</f>
        <v>0</v>
      </c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customFormat="false" ht="16.4" hidden="false" customHeight="false" outlineLevel="0" collapsed="false">
      <c r="A633" s="123" t="n">
        <v>45444</v>
      </c>
      <c r="B633" s="31" t="s">
        <v>7</v>
      </c>
      <c r="C633" s="129"/>
      <c r="D633" s="129"/>
      <c r="E633" s="19" t="n">
        <f aca="false">F633*0.03</f>
        <v>0</v>
      </c>
      <c r="F633" s="33" t="n">
        <v>0</v>
      </c>
      <c r="G633" s="131"/>
      <c r="H633" s="35" t="n">
        <v>0</v>
      </c>
      <c r="I633" s="34" t="n">
        <f aca="false">+IF(E633=0,0,E633*0.03)</f>
        <v>0</v>
      </c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customFormat="false" ht="16.4" hidden="false" customHeight="false" outlineLevel="0" collapsed="false">
      <c r="A634" s="123" t="n">
        <v>45444</v>
      </c>
      <c r="B634" s="31" t="s">
        <v>240</v>
      </c>
      <c r="C634" s="129"/>
      <c r="D634" s="129"/>
      <c r="E634" s="19" t="n">
        <f aca="false">F634*0.03</f>
        <v>0</v>
      </c>
      <c r="F634" s="33" t="n">
        <v>0</v>
      </c>
      <c r="G634" s="131"/>
      <c r="H634" s="35" t="n">
        <v>0</v>
      </c>
      <c r="I634" s="34" t="n">
        <f aca="false">+IF(E634=0,0,E634*0.03)</f>
        <v>0</v>
      </c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customFormat="false" ht="16.4" hidden="false" customHeight="false" outlineLevel="0" collapsed="false">
      <c r="A635" s="123" t="n">
        <v>45444</v>
      </c>
      <c r="B635" s="31" t="s">
        <v>153</v>
      </c>
      <c r="C635" s="129"/>
      <c r="D635" s="129"/>
      <c r="E635" s="19" t="n">
        <f aca="false">F635*0.03</f>
        <v>0</v>
      </c>
      <c r="F635" s="33" t="n">
        <v>0</v>
      </c>
      <c r="G635" s="131"/>
      <c r="H635" s="35" t="n">
        <v>0</v>
      </c>
      <c r="I635" s="34" t="n">
        <f aca="false">+IF(E635=0,0,E635*0.03)</f>
        <v>0</v>
      </c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customFormat="false" ht="16.4" hidden="false" customHeight="false" outlineLevel="0" collapsed="false">
      <c r="A636" s="123" t="n">
        <v>45444</v>
      </c>
      <c r="B636" s="31" t="s">
        <v>247</v>
      </c>
      <c r="C636" s="129"/>
      <c r="D636" s="129"/>
      <c r="E636" s="19" t="n">
        <f aca="false">F636*0.03</f>
        <v>0</v>
      </c>
      <c r="F636" s="33" t="n">
        <v>0</v>
      </c>
      <c r="G636" s="131"/>
      <c r="H636" s="35" t="n">
        <v>0</v>
      </c>
      <c r="I636" s="34" t="n">
        <f aca="false">+IF(E636=0,0,E636*0.03)</f>
        <v>0</v>
      </c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customFormat="false" ht="16.4" hidden="false" customHeight="false" outlineLevel="0" collapsed="false">
      <c r="A637" s="123" t="n">
        <v>45444</v>
      </c>
      <c r="B637" s="31" t="s">
        <v>246</v>
      </c>
      <c r="C637" s="129"/>
      <c r="D637" s="129"/>
      <c r="E637" s="19" t="n">
        <f aca="false">F637*0.03</f>
        <v>0</v>
      </c>
      <c r="F637" s="33" t="n">
        <v>0</v>
      </c>
      <c r="G637" s="131"/>
      <c r="H637" s="35" t="n">
        <v>0</v>
      </c>
      <c r="I637" s="34" t="n">
        <f aca="false">+IF(E637=0,0,E637*0.03)</f>
        <v>0</v>
      </c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customFormat="false" ht="16.4" hidden="false" customHeight="false" outlineLevel="0" collapsed="false">
      <c r="A638" s="123" t="n">
        <v>45444</v>
      </c>
      <c r="B638" s="31" t="s">
        <v>239</v>
      </c>
      <c r="C638" s="129"/>
      <c r="D638" s="129"/>
      <c r="E638" s="19" t="n">
        <f aca="false">F638*0.03</f>
        <v>0</v>
      </c>
      <c r="F638" s="33" t="n">
        <v>0</v>
      </c>
      <c r="G638" s="131"/>
      <c r="H638" s="35" t="n">
        <v>0</v>
      </c>
      <c r="I638" s="34" t="n">
        <f aca="false">+IF(E638=0,0,E638*0.03)</f>
        <v>0</v>
      </c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customFormat="false" ht="16.4" hidden="false" customHeight="false" outlineLevel="0" collapsed="false">
      <c r="A639" s="123" t="n">
        <v>45444</v>
      </c>
      <c r="B639" s="31" t="s">
        <v>7</v>
      </c>
      <c r="C639" s="129"/>
      <c r="D639" s="129"/>
      <c r="E639" s="19" t="n">
        <f aca="false">F639*0.03</f>
        <v>0</v>
      </c>
      <c r="F639" s="33" t="n">
        <v>0</v>
      </c>
      <c r="G639" s="131"/>
      <c r="H639" s="35" t="n">
        <v>0</v>
      </c>
      <c r="I639" s="34" t="n">
        <f aca="false">+IF(E639=0,0,E639*0.03)</f>
        <v>0</v>
      </c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customFormat="false" ht="16.4" hidden="false" customHeight="false" outlineLevel="0" collapsed="false">
      <c r="A640" s="123" t="n">
        <v>45444</v>
      </c>
      <c r="B640" s="31" t="s">
        <v>240</v>
      </c>
      <c r="C640" s="129"/>
      <c r="D640" s="129"/>
      <c r="E640" s="19" t="n">
        <f aca="false">F640*0.03</f>
        <v>0</v>
      </c>
      <c r="F640" s="33" t="n">
        <v>0</v>
      </c>
      <c r="G640" s="131"/>
      <c r="H640" s="35" t="n">
        <v>0</v>
      </c>
      <c r="I640" s="34" t="n">
        <f aca="false">+IF(E640=0,0,E640*0.03)</f>
        <v>0</v>
      </c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customFormat="false" ht="16.4" hidden="false" customHeight="false" outlineLevel="0" collapsed="false">
      <c r="A641" s="123" t="n">
        <v>45444</v>
      </c>
      <c r="B641" s="31" t="s">
        <v>153</v>
      </c>
      <c r="C641" s="129"/>
      <c r="D641" s="129"/>
      <c r="E641" s="19" t="n">
        <f aca="false">F641*0.03</f>
        <v>0</v>
      </c>
      <c r="F641" s="33" t="n">
        <v>0</v>
      </c>
      <c r="G641" s="131"/>
      <c r="H641" s="35" t="n">
        <v>0</v>
      </c>
      <c r="I641" s="34" t="n">
        <f aca="false">+IF(E641=0,0,E641*0.03)</f>
        <v>0</v>
      </c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customFormat="false" ht="16.4" hidden="false" customHeight="false" outlineLevel="0" collapsed="false">
      <c r="A642" s="123" t="n">
        <v>45444</v>
      </c>
      <c r="B642" s="31" t="s">
        <v>247</v>
      </c>
      <c r="C642" s="129"/>
      <c r="D642" s="129"/>
      <c r="E642" s="19" t="n">
        <f aca="false">F642*0.03</f>
        <v>0</v>
      </c>
      <c r="F642" s="33" t="n">
        <v>0</v>
      </c>
      <c r="G642" s="131"/>
      <c r="H642" s="35" t="n">
        <v>0</v>
      </c>
      <c r="I642" s="34" t="n">
        <f aca="false">+IF(E642=0,0,E642*0.03)</f>
        <v>0</v>
      </c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customFormat="false" ht="16.4" hidden="false" customHeight="false" outlineLevel="0" collapsed="false">
      <c r="A643" s="123" t="n">
        <v>45444</v>
      </c>
      <c r="B643" s="31" t="s">
        <v>246</v>
      </c>
      <c r="C643" s="129"/>
      <c r="D643" s="129"/>
      <c r="E643" s="19" t="n">
        <f aca="false">F643*0.03</f>
        <v>0</v>
      </c>
      <c r="F643" s="33" t="n">
        <v>0</v>
      </c>
      <c r="G643" s="131"/>
      <c r="H643" s="35" t="n">
        <v>0</v>
      </c>
      <c r="I643" s="34" t="n">
        <f aca="false">+IF(E643=0,0,E643*0.03)</f>
        <v>0</v>
      </c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customFormat="false" ht="16.4" hidden="false" customHeight="false" outlineLevel="0" collapsed="false">
      <c r="A644" s="123" t="n">
        <v>45444</v>
      </c>
      <c r="B644" s="31" t="s">
        <v>239</v>
      </c>
      <c r="C644" s="129"/>
      <c r="D644" s="129"/>
      <c r="E644" s="19" t="n">
        <f aca="false">F644*0.03</f>
        <v>0</v>
      </c>
      <c r="F644" s="33" t="n">
        <v>0</v>
      </c>
      <c r="G644" s="131"/>
      <c r="H644" s="35" t="n">
        <v>0</v>
      </c>
      <c r="I644" s="34" t="n">
        <f aca="false">+IF(E644=0,0,E644*0.03)</f>
        <v>0</v>
      </c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customFormat="false" ht="16.4" hidden="false" customHeight="false" outlineLevel="0" collapsed="false">
      <c r="A645" s="123" t="n">
        <v>45444</v>
      </c>
      <c r="B645" s="31" t="s">
        <v>7</v>
      </c>
      <c r="C645" s="129"/>
      <c r="D645" s="129"/>
      <c r="E645" s="19" t="n">
        <f aca="false">F645*0.03</f>
        <v>0</v>
      </c>
      <c r="F645" s="33" t="n">
        <v>0</v>
      </c>
      <c r="G645" s="131"/>
      <c r="H645" s="35" t="n">
        <v>0</v>
      </c>
      <c r="I645" s="34" t="n">
        <f aca="false">+IF(E645=0,0,E645*0.03)</f>
        <v>0</v>
      </c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customFormat="false" ht="16.4" hidden="false" customHeight="false" outlineLevel="0" collapsed="false">
      <c r="A646" s="123" t="n">
        <v>45444</v>
      </c>
      <c r="B646" s="31" t="s">
        <v>240</v>
      </c>
      <c r="C646" s="129"/>
      <c r="D646" s="129"/>
      <c r="E646" s="19" t="n">
        <f aca="false">F646*0.03</f>
        <v>0</v>
      </c>
      <c r="F646" s="33" t="n">
        <v>0</v>
      </c>
      <c r="G646" s="131"/>
      <c r="H646" s="35" t="n">
        <v>0</v>
      </c>
      <c r="I646" s="34" t="n">
        <f aca="false">+IF(E646=0,0,E646*0.03)</f>
        <v>0</v>
      </c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customFormat="false" ht="16.4" hidden="false" customHeight="false" outlineLevel="0" collapsed="false">
      <c r="A647" s="123" t="n">
        <v>45444</v>
      </c>
      <c r="B647" s="31" t="s">
        <v>153</v>
      </c>
      <c r="C647" s="129"/>
      <c r="D647" s="129"/>
      <c r="E647" s="19" t="n">
        <f aca="false">F647*0.03</f>
        <v>0</v>
      </c>
      <c r="F647" s="33" t="n">
        <v>0</v>
      </c>
      <c r="G647" s="131"/>
      <c r="H647" s="35" t="n">
        <v>0</v>
      </c>
      <c r="I647" s="34" t="n">
        <f aca="false">+IF(E647=0,0,E647*0.03)</f>
        <v>0</v>
      </c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customFormat="false" ht="16.4" hidden="false" customHeight="false" outlineLevel="0" collapsed="false">
      <c r="A648" s="123" t="n">
        <v>45444</v>
      </c>
      <c r="B648" s="31" t="s">
        <v>247</v>
      </c>
      <c r="C648" s="129"/>
      <c r="D648" s="129"/>
      <c r="E648" s="19" t="n">
        <f aca="false">F648*0.03</f>
        <v>0</v>
      </c>
      <c r="F648" s="33" t="n">
        <v>0</v>
      </c>
      <c r="G648" s="131"/>
      <c r="H648" s="35" t="n">
        <v>0</v>
      </c>
      <c r="I648" s="34" t="n">
        <f aca="false">+IF(E648=0,0,E648*0.03)</f>
        <v>0</v>
      </c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customFormat="false" ht="16.4" hidden="false" customHeight="false" outlineLevel="0" collapsed="false">
      <c r="A649" s="123" t="n">
        <v>45444</v>
      </c>
      <c r="B649" s="31" t="s">
        <v>246</v>
      </c>
      <c r="C649" s="129"/>
      <c r="D649" s="129"/>
      <c r="E649" s="19" t="n">
        <f aca="false">F649*0.03</f>
        <v>0</v>
      </c>
      <c r="F649" s="33" t="n">
        <v>0</v>
      </c>
      <c r="G649" s="131"/>
      <c r="H649" s="35" t="n">
        <v>0</v>
      </c>
      <c r="I649" s="34" t="n">
        <f aca="false">+IF(E649=0,0,E649*0.03)</f>
        <v>0</v>
      </c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customFormat="false" ht="16.4" hidden="false" customHeight="false" outlineLevel="0" collapsed="false">
      <c r="A650" s="123" t="n">
        <v>45444</v>
      </c>
      <c r="B650" s="31" t="s">
        <v>239</v>
      </c>
      <c r="C650" s="129"/>
      <c r="D650" s="129"/>
      <c r="E650" s="19" t="n">
        <f aca="false">F650*0.03</f>
        <v>0</v>
      </c>
      <c r="F650" s="33" t="n">
        <v>0</v>
      </c>
      <c r="G650" s="131"/>
      <c r="H650" s="35" t="n">
        <v>0</v>
      </c>
      <c r="I650" s="34" t="n">
        <f aca="false">+IF(E650=0,0,E650*0.03)</f>
        <v>0</v>
      </c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customFormat="false" ht="16.4" hidden="false" customHeight="false" outlineLevel="0" collapsed="false">
      <c r="A651" s="123" t="n">
        <v>45444</v>
      </c>
      <c r="B651" s="31" t="s">
        <v>7</v>
      </c>
      <c r="C651" s="129"/>
      <c r="D651" s="129"/>
      <c r="E651" s="19" t="n">
        <f aca="false">F651*0.03</f>
        <v>0</v>
      </c>
      <c r="F651" s="33" t="n">
        <v>0</v>
      </c>
      <c r="G651" s="131"/>
      <c r="H651" s="35" t="n">
        <v>0</v>
      </c>
      <c r="I651" s="34" t="n">
        <f aca="false">+IF(E651=0,0,E651*0.03)</f>
        <v>0</v>
      </c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customFormat="false" ht="16.4" hidden="false" customHeight="false" outlineLevel="0" collapsed="false">
      <c r="A652" s="123" t="n">
        <v>45444</v>
      </c>
      <c r="B652" s="31" t="s">
        <v>240</v>
      </c>
      <c r="C652" s="129"/>
      <c r="D652" s="129"/>
      <c r="E652" s="19" t="n">
        <f aca="false">F652*0.03</f>
        <v>0</v>
      </c>
      <c r="F652" s="33" t="n">
        <v>0</v>
      </c>
      <c r="G652" s="131"/>
      <c r="H652" s="35" t="n">
        <v>0</v>
      </c>
      <c r="I652" s="34" t="n">
        <f aca="false">+IF(E652=0,0,E652*0.03)</f>
        <v>0</v>
      </c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customFormat="false" ht="16.4" hidden="false" customHeight="false" outlineLevel="0" collapsed="false">
      <c r="A653" s="123" t="n">
        <v>45444</v>
      </c>
      <c r="B653" s="31" t="s">
        <v>153</v>
      </c>
      <c r="C653" s="129"/>
      <c r="D653" s="129"/>
      <c r="E653" s="19" t="n">
        <f aca="false">F653*0.03</f>
        <v>0</v>
      </c>
      <c r="F653" s="33" t="n">
        <v>0</v>
      </c>
      <c r="G653" s="131"/>
      <c r="H653" s="35" t="n">
        <v>0</v>
      </c>
      <c r="I653" s="34" t="n">
        <f aca="false">+IF(E653=0,0,E653*0.03)</f>
        <v>0</v>
      </c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customFormat="false" ht="16.4" hidden="false" customHeight="false" outlineLevel="0" collapsed="false">
      <c r="A654" s="123" t="n">
        <v>45444</v>
      </c>
      <c r="B654" s="31" t="s">
        <v>247</v>
      </c>
      <c r="C654" s="129"/>
      <c r="D654" s="129"/>
      <c r="E654" s="19" t="n">
        <f aca="false">F654*0.03</f>
        <v>0</v>
      </c>
      <c r="F654" s="33" t="n">
        <v>0</v>
      </c>
      <c r="G654" s="131"/>
      <c r="H654" s="35" t="n">
        <v>0</v>
      </c>
      <c r="I654" s="34" t="n">
        <f aca="false">+IF(E654=0,0,E654*0.03)</f>
        <v>0</v>
      </c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customFormat="false" ht="16.4" hidden="false" customHeight="false" outlineLevel="0" collapsed="false">
      <c r="A655" s="123" t="n">
        <v>45444</v>
      </c>
      <c r="B655" s="31" t="s">
        <v>246</v>
      </c>
      <c r="C655" s="129"/>
      <c r="D655" s="129"/>
      <c r="E655" s="19" t="n">
        <f aca="false">F655*0.03</f>
        <v>0</v>
      </c>
      <c r="F655" s="33" t="n">
        <v>0</v>
      </c>
      <c r="G655" s="131"/>
      <c r="H655" s="35" t="n">
        <v>0</v>
      </c>
      <c r="I655" s="34" t="n">
        <f aca="false">+IF(E655=0,0,E655*0.03)</f>
        <v>0</v>
      </c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customFormat="false" ht="16.4" hidden="false" customHeight="false" outlineLevel="0" collapsed="false">
      <c r="A656" s="123" t="n">
        <v>45444</v>
      </c>
      <c r="B656" s="31" t="s">
        <v>239</v>
      </c>
      <c r="C656" s="129"/>
      <c r="D656" s="129"/>
      <c r="E656" s="19" t="n">
        <f aca="false">F656*0.03</f>
        <v>0</v>
      </c>
      <c r="F656" s="33" t="n">
        <v>0</v>
      </c>
      <c r="G656" s="131"/>
      <c r="H656" s="35" t="n">
        <v>0</v>
      </c>
      <c r="I656" s="34" t="n">
        <f aca="false">+IF(E656=0,0,E656*0.03)</f>
        <v>0</v>
      </c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customFormat="false" ht="16.4" hidden="false" customHeight="false" outlineLevel="0" collapsed="false">
      <c r="A657" s="123" t="n">
        <v>45444</v>
      </c>
      <c r="B657" s="31" t="s">
        <v>7</v>
      </c>
      <c r="C657" s="129"/>
      <c r="D657" s="129"/>
      <c r="E657" s="19" t="n">
        <f aca="false">F657*0.03</f>
        <v>0</v>
      </c>
      <c r="F657" s="33" t="n">
        <v>0</v>
      </c>
      <c r="G657" s="131"/>
      <c r="H657" s="35" t="n">
        <v>0</v>
      </c>
      <c r="I657" s="34" t="n">
        <f aca="false">+IF(E657=0,0,E657*0.03)</f>
        <v>0</v>
      </c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customFormat="false" ht="16.4" hidden="false" customHeight="false" outlineLevel="0" collapsed="false">
      <c r="A658" s="123" t="n">
        <v>45444</v>
      </c>
      <c r="B658" s="31" t="s">
        <v>240</v>
      </c>
      <c r="C658" s="129"/>
      <c r="D658" s="129"/>
      <c r="E658" s="19" t="n">
        <f aca="false">F658*0.03</f>
        <v>0</v>
      </c>
      <c r="F658" s="33" t="n">
        <v>0</v>
      </c>
      <c r="G658" s="131"/>
      <c r="H658" s="35" t="n">
        <v>0</v>
      </c>
      <c r="I658" s="34" t="n">
        <f aca="false">+IF(E658=0,0,E658*0.03)</f>
        <v>0</v>
      </c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customFormat="false" ht="16.4" hidden="false" customHeight="false" outlineLevel="0" collapsed="false">
      <c r="A659" s="123" t="n">
        <v>45444</v>
      </c>
      <c r="B659" s="31" t="s">
        <v>153</v>
      </c>
      <c r="C659" s="129"/>
      <c r="D659" s="129"/>
      <c r="E659" s="19" t="n">
        <f aca="false">F659*0.03</f>
        <v>0</v>
      </c>
      <c r="F659" s="33" t="n">
        <v>0</v>
      </c>
      <c r="G659" s="131"/>
      <c r="H659" s="35" t="n">
        <v>0</v>
      </c>
      <c r="I659" s="34" t="n">
        <f aca="false">+IF(E659=0,0,E659*0.03)</f>
        <v>0</v>
      </c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customFormat="false" ht="16.4" hidden="false" customHeight="false" outlineLevel="0" collapsed="false">
      <c r="A660" s="123" t="n">
        <v>45444</v>
      </c>
      <c r="B660" s="31" t="s">
        <v>247</v>
      </c>
      <c r="C660" s="129"/>
      <c r="D660" s="129"/>
      <c r="E660" s="19" t="n">
        <f aca="false">F660*0.03</f>
        <v>0</v>
      </c>
      <c r="F660" s="33" t="n">
        <v>0</v>
      </c>
      <c r="G660" s="131"/>
      <c r="H660" s="35" t="n">
        <v>0</v>
      </c>
      <c r="I660" s="34" t="n">
        <f aca="false">+IF(E660=0,0,E660*0.03)</f>
        <v>0</v>
      </c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customFormat="false" ht="16.4" hidden="false" customHeight="false" outlineLevel="0" collapsed="false">
      <c r="A661" s="123" t="n">
        <v>45444</v>
      </c>
      <c r="B661" s="31" t="s">
        <v>246</v>
      </c>
      <c r="C661" s="129"/>
      <c r="D661" s="129"/>
      <c r="E661" s="19" t="n">
        <f aca="false">F661*0.03</f>
        <v>0</v>
      </c>
      <c r="F661" s="33" t="n">
        <v>0</v>
      </c>
      <c r="G661" s="131"/>
      <c r="H661" s="35" t="n">
        <v>0</v>
      </c>
      <c r="I661" s="34" t="n">
        <f aca="false">+IF(E661=0,0,E661*0.03)</f>
        <v>0</v>
      </c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customFormat="false" ht="16.4" hidden="false" customHeight="false" outlineLevel="0" collapsed="false">
      <c r="A662" s="123" t="n">
        <v>45444</v>
      </c>
      <c r="B662" s="31" t="s">
        <v>239</v>
      </c>
      <c r="C662" s="129"/>
      <c r="D662" s="129"/>
      <c r="E662" s="19" t="n">
        <f aca="false">F662*0.03</f>
        <v>0</v>
      </c>
      <c r="F662" s="33" t="n">
        <v>0</v>
      </c>
      <c r="G662" s="131"/>
      <c r="H662" s="35" t="n">
        <v>0</v>
      </c>
      <c r="I662" s="34" t="n">
        <f aca="false">+IF(E662=0,0,E662*0.03)</f>
        <v>0</v>
      </c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customFormat="false" ht="16.4" hidden="false" customHeight="false" outlineLevel="0" collapsed="false">
      <c r="A663" s="123" t="n">
        <v>45444</v>
      </c>
      <c r="B663" s="31" t="s">
        <v>7</v>
      </c>
      <c r="C663" s="129"/>
      <c r="D663" s="129"/>
      <c r="E663" s="19" t="n">
        <f aca="false">F663*0.03</f>
        <v>0</v>
      </c>
      <c r="F663" s="33" t="n">
        <v>0</v>
      </c>
      <c r="G663" s="131"/>
      <c r="H663" s="35" t="n">
        <v>0</v>
      </c>
      <c r="I663" s="34" t="n">
        <f aca="false">+IF(E663=0,0,E663*0.03)</f>
        <v>0</v>
      </c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customFormat="false" ht="16.4" hidden="false" customHeight="false" outlineLevel="0" collapsed="false">
      <c r="A664" s="123" t="n">
        <v>45444</v>
      </c>
      <c r="B664" s="31" t="s">
        <v>240</v>
      </c>
      <c r="C664" s="129"/>
      <c r="D664" s="129"/>
      <c r="E664" s="19" t="n">
        <f aca="false">F664*0.03</f>
        <v>0</v>
      </c>
      <c r="F664" s="33" t="n">
        <v>0</v>
      </c>
      <c r="G664" s="131"/>
      <c r="H664" s="35" t="n">
        <v>0</v>
      </c>
      <c r="I664" s="34" t="n">
        <f aca="false">+IF(E664=0,0,E664*0.03)</f>
        <v>0</v>
      </c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customFormat="false" ht="16.4" hidden="false" customHeight="false" outlineLevel="0" collapsed="false">
      <c r="A665" s="123" t="n">
        <v>45444</v>
      </c>
      <c r="B665" s="31" t="s">
        <v>153</v>
      </c>
      <c r="C665" s="129"/>
      <c r="D665" s="129"/>
      <c r="E665" s="19" t="n">
        <f aca="false">F665*0.03</f>
        <v>0</v>
      </c>
      <c r="F665" s="33" t="n">
        <v>0</v>
      </c>
      <c r="G665" s="131"/>
      <c r="H665" s="35" t="n">
        <v>0</v>
      </c>
      <c r="I665" s="34" t="n">
        <f aca="false">+IF(E665=0,0,E665*0.03)</f>
        <v>0</v>
      </c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customFormat="false" ht="16.4" hidden="false" customHeight="false" outlineLevel="0" collapsed="false">
      <c r="A666" s="123" t="n">
        <v>45444</v>
      </c>
      <c r="B666" s="31" t="s">
        <v>247</v>
      </c>
      <c r="C666" s="129"/>
      <c r="D666" s="129"/>
      <c r="E666" s="19" t="n">
        <f aca="false">F666*0.03</f>
        <v>0</v>
      </c>
      <c r="F666" s="33" t="n">
        <v>0</v>
      </c>
      <c r="G666" s="131"/>
      <c r="H666" s="35" t="n">
        <v>0</v>
      </c>
      <c r="I666" s="34" t="n">
        <f aca="false">+IF(E666=0,0,E666*0.03)</f>
        <v>0</v>
      </c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customFormat="false" ht="16.4" hidden="false" customHeight="false" outlineLevel="0" collapsed="false">
      <c r="A667" s="123" t="n">
        <v>45444</v>
      </c>
      <c r="B667" s="31" t="s">
        <v>246</v>
      </c>
      <c r="C667" s="129"/>
      <c r="D667" s="129"/>
      <c r="E667" s="19" t="n">
        <f aca="false">F667*0.03</f>
        <v>0</v>
      </c>
      <c r="F667" s="33" t="n">
        <v>0</v>
      </c>
      <c r="G667" s="131"/>
      <c r="H667" s="35" t="n">
        <v>0</v>
      </c>
      <c r="I667" s="34" t="n">
        <f aca="false">+IF(E667=0,0,E667*0.03)</f>
        <v>0</v>
      </c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customFormat="false" ht="16.4" hidden="false" customHeight="false" outlineLevel="0" collapsed="false">
      <c r="A668" s="123" t="n">
        <v>45444</v>
      </c>
      <c r="B668" s="31" t="s">
        <v>239</v>
      </c>
      <c r="C668" s="129"/>
      <c r="D668" s="129"/>
      <c r="E668" s="19" t="n">
        <f aca="false">F668*0.03</f>
        <v>0</v>
      </c>
      <c r="F668" s="33" t="n">
        <v>0</v>
      </c>
      <c r="G668" s="131"/>
      <c r="H668" s="35" t="n">
        <v>0</v>
      </c>
      <c r="I668" s="34" t="n">
        <f aca="false">+IF(E668=0,0,E668*0.03)</f>
        <v>0</v>
      </c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customFormat="false" ht="16.4" hidden="false" customHeight="false" outlineLevel="0" collapsed="false">
      <c r="A669" s="123" t="n">
        <v>45444</v>
      </c>
      <c r="B669" s="31" t="s">
        <v>7</v>
      </c>
      <c r="C669" s="129"/>
      <c r="D669" s="129"/>
      <c r="E669" s="19" t="n">
        <f aca="false">F669*0.03</f>
        <v>0</v>
      </c>
      <c r="F669" s="33" t="n">
        <v>0</v>
      </c>
      <c r="G669" s="131"/>
      <c r="H669" s="35" t="n">
        <v>0</v>
      </c>
      <c r="I669" s="34" t="n">
        <f aca="false">+IF(E669=0,0,E669*0.03)</f>
        <v>0</v>
      </c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customFormat="false" ht="16.4" hidden="false" customHeight="false" outlineLevel="0" collapsed="false">
      <c r="A670" s="123" t="n">
        <v>45444</v>
      </c>
      <c r="B670" s="31" t="s">
        <v>240</v>
      </c>
      <c r="C670" s="129"/>
      <c r="D670" s="129"/>
      <c r="E670" s="19" t="n">
        <f aca="false">F670*0.03</f>
        <v>0</v>
      </c>
      <c r="F670" s="33" t="n">
        <v>0</v>
      </c>
      <c r="G670" s="131"/>
      <c r="H670" s="35" t="n">
        <v>0</v>
      </c>
      <c r="I670" s="34" t="n">
        <f aca="false">+IF(E670=0,0,E670*0.03)</f>
        <v>0</v>
      </c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customFormat="false" ht="16.4" hidden="false" customHeight="false" outlineLevel="0" collapsed="false">
      <c r="A671" s="123" t="n">
        <v>45444</v>
      </c>
      <c r="B671" s="31" t="s">
        <v>153</v>
      </c>
      <c r="C671" s="129"/>
      <c r="D671" s="129"/>
      <c r="E671" s="19" t="n">
        <f aca="false">F671*0.03</f>
        <v>0</v>
      </c>
      <c r="F671" s="33" t="n">
        <v>0</v>
      </c>
      <c r="G671" s="131"/>
      <c r="H671" s="35" t="n">
        <v>0</v>
      </c>
      <c r="I671" s="34" t="n">
        <f aca="false">+IF(E671=0,0,E671*0.03)</f>
        <v>0</v>
      </c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customFormat="false" ht="16.4" hidden="false" customHeight="false" outlineLevel="0" collapsed="false">
      <c r="A672" s="123" t="n">
        <v>45444</v>
      </c>
      <c r="B672" s="31" t="s">
        <v>247</v>
      </c>
      <c r="C672" s="129"/>
      <c r="D672" s="129"/>
      <c r="E672" s="19" t="n">
        <f aca="false">F672*0.03</f>
        <v>0</v>
      </c>
      <c r="F672" s="33" t="n">
        <v>0</v>
      </c>
      <c r="G672" s="131"/>
      <c r="H672" s="35" t="n">
        <v>0</v>
      </c>
      <c r="I672" s="34" t="n">
        <f aca="false">+IF(E672=0,0,E672*0.03)</f>
        <v>0</v>
      </c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customFormat="false" ht="16.4" hidden="false" customHeight="false" outlineLevel="0" collapsed="false">
      <c r="A673" s="123" t="n">
        <v>45444</v>
      </c>
      <c r="B673" s="31" t="s">
        <v>246</v>
      </c>
      <c r="C673" s="129"/>
      <c r="D673" s="129"/>
      <c r="E673" s="19" t="n">
        <f aca="false">F673*0.03</f>
        <v>0</v>
      </c>
      <c r="F673" s="33" t="n">
        <v>0</v>
      </c>
      <c r="G673" s="131"/>
      <c r="H673" s="35" t="n">
        <v>0</v>
      </c>
      <c r="I673" s="34" t="n">
        <f aca="false">+IF(E673=0,0,E673*0.03)</f>
        <v>0</v>
      </c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customFormat="false" ht="16.4" hidden="false" customHeight="false" outlineLevel="0" collapsed="false">
      <c r="A674" s="123" t="n">
        <v>45444</v>
      </c>
      <c r="B674" s="31" t="s">
        <v>239</v>
      </c>
      <c r="C674" s="129"/>
      <c r="D674" s="129"/>
      <c r="E674" s="19" t="n">
        <f aca="false">F674*0.03</f>
        <v>0</v>
      </c>
      <c r="F674" s="33" t="n">
        <v>0</v>
      </c>
      <c r="G674" s="131"/>
      <c r="H674" s="35" t="n">
        <v>0</v>
      </c>
      <c r="I674" s="34" t="n">
        <f aca="false">+IF(E674=0,0,E674*0.03)</f>
        <v>0</v>
      </c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customFormat="false" ht="16.4" hidden="false" customHeight="false" outlineLevel="0" collapsed="false">
      <c r="A675" s="123" t="n">
        <v>45444</v>
      </c>
      <c r="B675" s="31" t="s">
        <v>7</v>
      </c>
      <c r="C675" s="129"/>
      <c r="D675" s="129"/>
      <c r="E675" s="19" t="n">
        <f aca="false">F675*0.03</f>
        <v>0</v>
      </c>
      <c r="F675" s="33" t="n">
        <v>0</v>
      </c>
      <c r="G675" s="131"/>
      <c r="H675" s="35" t="n">
        <v>0</v>
      </c>
      <c r="I675" s="34" t="n">
        <f aca="false">+IF(E675=0,0,E675*0.03)</f>
        <v>0</v>
      </c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customFormat="false" ht="16.4" hidden="false" customHeight="false" outlineLevel="0" collapsed="false">
      <c r="A676" s="123" t="n">
        <v>45444</v>
      </c>
      <c r="B676" s="31" t="s">
        <v>240</v>
      </c>
      <c r="C676" s="129"/>
      <c r="D676" s="129"/>
      <c r="E676" s="19" t="n">
        <f aca="false">F676*0.03</f>
        <v>0</v>
      </c>
      <c r="F676" s="33" t="n">
        <v>0</v>
      </c>
      <c r="G676" s="131"/>
      <c r="H676" s="35" t="n">
        <v>0</v>
      </c>
      <c r="I676" s="34" t="n">
        <f aca="false">+IF(E676=0,0,E676*0.03)</f>
        <v>0</v>
      </c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customFormat="false" ht="16.4" hidden="false" customHeight="false" outlineLevel="0" collapsed="false">
      <c r="A677" s="123" t="n">
        <v>45444</v>
      </c>
      <c r="B677" s="31" t="s">
        <v>153</v>
      </c>
      <c r="C677" s="129"/>
      <c r="D677" s="129"/>
      <c r="E677" s="19" t="n">
        <f aca="false">F677*0.03</f>
        <v>0</v>
      </c>
      <c r="F677" s="33" t="n">
        <v>0</v>
      </c>
      <c r="G677" s="131"/>
      <c r="H677" s="35" t="n">
        <v>0</v>
      </c>
      <c r="I677" s="34" t="n">
        <f aca="false">+IF(E677=0,0,E677*0.03)</f>
        <v>0</v>
      </c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customFormat="false" ht="16.4" hidden="false" customHeight="false" outlineLevel="0" collapsed="false">
      <c r="A678" s="123" t="n">
        <v>45444</v>
      </c>
      <c r="B678" s="31" t="s">
        <v>247</v>
      </c>
      <c r="C678" s="129"/>
      <c r="D678" s="129"/>
      <c r="E678" s="19" t="n">
        <f aca="false">F678*0.03</f>
        <v>0</v>
      </c>
      <c r="F678" s="33" t="n">
        <v>0</v>
      </c>
      <c r="G678" s="131"/>
      <c r="H678" s="35" t="n">
        <v>0</v>
      </c>
      <c r="I678" s="34" t="n">
        <f aca="false">+IF(E678=0,0,E678*0.03)</f>
        <v>0</v>
      </c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customFormat="false" ht="16.4" hidden="false" customHeight="false" outlineLevel="0" collapsed="false">
      <c r="A679" s="123" t="n">
        <v>45444</v>
      </c>
      <c r="B679" s="31" t="s">
        <v>246</v>
      </c>
      <c r="C679" s="129"/>
      <c r="D679" s="129"/>
      <c r="E679" s="19" t="n">
        <f aca="false">F679*0.03</f>
        <v>0</v>
      </c>
      <c r="F679" s="33" t="n">
        <v>0</v>
      </c>
      <c r="G679" s="131"/>
      <c r="H679" s="35" t="n">
        <v>0</v>
      </c>
      <c r="I679" s="34" t="n">
        <f aca="false">+IF(E679=0,0,E679*0.03)</f>
        <v>0</v>
      </c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customFormat="false" ht="16.4" hidden="false" customHeight="false" outlineLevel="0" collapsed="false">
      <c r="A680" s="123" t="n">
        <v>45444</v>
      </c>
      <c r="B680" s="31" t="s">
        <v>239</v>
      </c>
      <c r="C680" s="129"/>
      <c r="D680" s="129"/>
      <c r="E680" s="19" t="n">
        <f aca="false">F680*0.03</f>
        <v>0</v>
      </c>
      <c r="F680" s="33" t="n">
        <v>0</v>
      </c>
      <c r="G680" s="131"/>
      <c r="H680" s="35" t="n">
        <v>0</v>
      </c>
      <c r="I680" s="34" t="n">
        <f aca="false">+IF(E680=0,0,E680*0.03)</f>
        <v>0</v>
      </c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customFormat="false" ht="16.4" hidden="false" customHeight="false" outlineLevel="0" collapsed="false">
      <c r="A681" s="123" t="n">
        <v>45444</v>
      </c>
      <c r="B681" s="31" t="s">
        <v>7</v>
      </c>
      <c r="C681" s="129"/>
      <c r="D681" s="129"/>
      <c r="E681" s="19" t="n">
        <f aca="false">F681*0.03</f>
        <v>0</v>
      </c>
      <c r="F681" s="33" t="n">
        <v>0</v>
      </c>
      <c r="G681" s="131"/>
      <c r="H681" s="35" t="n">
        <v>0</v>
      </c>
      <c r="I681" s="34" t="n">
        <f aca="false">+IF(E681=0,0,E681*0.03)</f>
        <v>0</v>
      </c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customFormat="false" ht="16.4" hidden="false" customHeight="false" outlineLevel="0" collapsed="false">
      <c r="A682" s="123" t="n">
        <v>45444</v>
      </c>
      <c r="B682" s="31" t="s">
        <v>240</v>
      </c>
      <c r="C682" s="129"/>
      <c r="D682" s="129"/>
      <c r="E682" s="19" t="n">
        <f aca="false">F682*0.03</f>
        <v>0</v>
      </c>
      <c r="F682" s="33" t="n">
        <v>0</v>
      </c>
      <c r="G682" s="131"/>
      <c r="H682" s="35" t="n">
        <v>0</v>
      </c>
      <c r="I682" s="34" t="n">
        <f aca="false">+IF(E682=0,0,E682*0.03)</f>
        <v>0</v>
      </c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customFormat="false" ht="16.4" hidden="false" customHeight="false" outlineLevel="0" collapsed="false">
      <c r="A683" s="123" t="n">
        <v>45444</v>
      </c>
      <c r="B683" s="31" t="s">
        <v>153</v>
      </c>
      <c r="C683" s="129"/>
      <c r="D683" s="129"/>
      <c r="E683" s="19" t="n">
        <f aca="false">F683*0.03</f>
        <v>0</v>
      </c>
      <c r="F683" s="33" t="n">
        <v>0</v>
      </c>
      <c r="G683" s="131"/>
      <c r="H683" s="35" t="n">
        <v>0</v>
      </c>
      <c r="I683" s="34" t="n">
        <f aca="false">+IF(E683=0,0,E683*0.03)</f>
        <v>0</v>
      </c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customFormat="false" ht="16.4" hidden="false" customHeight="false" outlineLevel="0" collapsed="false">
      <c r="A684" s="123" t="n">
        <v>45444</v>
      </c>
      <c r="B684" s="31" t="s">
        <v>247</v>
      </c>
      <c r="C684" s="129"/>
      <c r="D684" s="129"/>
      <c r="E684" s="19" t="n">
        <f aca="false">F684*0.03</f>
        <v>0</v>
      </c>
      <c r="F684" s="33" t="n">
        <v>0</v>
      </c>
      <c r="G684" s="131"/>
      <c r="H684" s="35" t="n">
        <v>0</v>
      </c>
      <c r="I684" s="34" t="n">
        <f aca="false">+IF(E684=0,0,E684*0.03)</f>
        <v>0</v>
      </c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customFormat="false" ht="16.4" hidden="false" customHeight="false" outlineLevel="0" collapsed="false">
      <c r="A685" s="123" t="n">
        <v>45444</v>
      </c>
      <c r="B685" s="31" t="s">
        <v>246</v>
      </c>
      <c r="C685" s="129"/>
      <c r="D685" s="129"/>
      <c r="E685" s="19" t="n">
        <f aca="false">F685*0.03</f>
        <v>0</v>
      </c>
      <c r="F685" s="33" t="n">
        <v>0</v>
      </c>
      <c r="G685" s="131"/>
      <c r="H685" s="35" t="n">
        <v>0</v>
      </c>
      <c r="I685" s="34" t="n">
        <f aca="false">+IF(E685=0,0,E685*0.03)</f>
        <v>0</v>
      </c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customFormat="false" ht="16.4" hidden="false" customHeight="false" outlineLevel="0" collapsed="false">
      <c r="A686" s="123" t="n">
        <v>45444</v>
      </c>
      <c r="B686" s="31" t="s">
        <v>239</v>
      </c>
      <c r="C686" s="129"/>
      <c r="D686" s="129"/>
      <c r="E686" s="19" t="n">
        <f aca="false">F686*0.03</f>
        <v>0</v>
      </c>
      <c r="F686" s="33" t="n">
        <v>0</v>
      </c>
      <c r="G686" s="131"/>
      <c r="H686" s="35" t="n">
        <v>0</v>
      </c>
      <c r="I686" s="34" t="n">
        <f aca="false">+IF(E686=0,0,E686*0.03)</f>
        <v>0</v>
      </c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customFormat="false" ht="16.4" hidden="false" customHeight="false" outlineLevel="0" collapsed="false">
      <c r="A687" s="123" t="n">
        <v>45444</v>
      </c>
      <c r="B687" s="31" t="s">
        <v>7</v>
      </c>
      <c r="C687" s="129"/>
      <c r="D687" s="129"/>
      <c r="E687" s="19" t="n">
        <f aca="false">F687*0.03</f>
        <v>0</v>
      </c>
      <c r="F687" s="33" t="n">
        <v>0</v>
      </c>
      <c r="G687" s="131"/>
      <c r="H687" s="35" t="n">
        <v>0</v>
      </c>
      <c r="I687" s="34" t="n">
        <f aca="false">+IF(E687=0,0,E687*0.03)</f>
        <v>0</v>
      </c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customFormat="false" ht="16.4" hidden="false" customHeight="false" outlineLevel="0" collapsed="false">
      <c r="A688" s="123" t="n">
        <v>45444</v>
      </c>
      <c r="B688" s="31" t="s">
        <v>240</v>
      </c>
      <c r="C688" s="129"/>
      <c r="D688" s="129"/>
      <c r="E688" s="19" t="n">
        <f aca="false">F688*0.03</f>
        <v>0</v>
      </c>
      <c r="F688" s="33" t="n">
        <v>0</v>
      </c>
      <c r="G688" s="131"/>
      <c r="H688" s="35" t="n">
        <v>0</v>
      </c>
      <c r="I688" s="34" t="n">
        <f aca="false">+IF(E688=0,0,E688*0.03)</f>
        <v>0</v>
      </c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customFormat="false" ht="16.4" hidden="false" customHeight="false" outlineLevel="0" collapsed="false">
      <c r="A689" s="123" t="n">
        <v>45444</v>
      </c>
      <c r="B689" s="31" t="s">
        <v>153</v>
      </c>
      <c r="C689" s="129"/>
      <c r="D689" s="129"/>
      <c r="E689" s="19" t="n">
        <f aca="false">F689*0.03</f>
        <v>0</v>
      </c>
      <c r="F689" s="33" t="n">
        <v>0</v>
      </c>
      <c r="G689" s="131"/>
      <c r="H689" s="35" t="n">
        <v>0</v>
      </c>
      <c r="I689" s="34" t="n">
        <f aca="false">+IF(E689=0,0,E689*0.03)</f>
        <v>0</v>
      </c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customFormat="false" ht="16.4" hidden="false" customHeight="false" outlineLevel="0" collapsed="false">
      <c r="A690" s="123" t="n">
        <v>45444</v>
      </c>
      <c r="B690" s="31" t="s">
        <v>247</v>
      </c>
      <c r="C690" s="129"/>
      <c r="D690" s="129"/>
      <c r="E690" s="19" t="n">
        <f aca="false">F690*0.03</f>
        <v>0</v>
      </c>
      <c r="F690" s="33" t="n">
        <v>0</v>
      </c>
      <c r="G690" s="131"/>
      <c r="H690" s="35" t="n">
        <v>0</v>
      </c>
      <c r="I690" s="34" t="n">
        <f aca="false">+IF(E690=0,0,E690*0.03)</f>
        <v>0</v>
      </c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customFormat="false" ht="16.4" hidden="false" customHeight="false" outlineLevel="0" collapsed="false">
      <c r="A691" s="123" t="n">
        <v>45444</v>
      </c>
      <c r="B691" s="31" t="s">
        <v>246</v>
      </c>
      <c r="C691" s="129"/>
      <c r="D691" s="129"/>
      <c r="E691" s="19" t="n">
        <f aca="false">F691*0.03</f>
        <v>0</v>
      </c>
      <c r="F691" s="33" t="n">
        <v>0</v>
      </c>
      <c r="G691" s="131"/>
      <c r="H691" s="35" t="n">
        <v>0</v>
      </c>
      <c r="I691" s="34" t="n">
        <f aca="false">+IF(E691=0,0,E691*0.03)</f>
        <v>0</v>
      </c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customFormat="false" ht="16.4" hidden="false" customHeight="false" outlineLevel="0" collapsed="false">
      <c r="A692" s="123" t="n">
        <v>45444</v>
      </c>
      <c r="B692" s="31" t="s">
        <v>239</v>
      </c>
      <c r="C692" s="129"/>
      <c r="D692" s="129"/>
      <c r="E692" s="19" t="n">
        <f aca="false">F692*0.03</f>
        <v>0</v>
      </c>
      <c r="F692" s="33" t="n">
        <v>0</v>
      </c>
      <c r="G692" s="131"/>
      <c r="H692" s="35" t="n">
        <v>0</v>
      </c>
      <c r="I692" s="34" t="n">
        <f aca="false">+IF(E692=0,0,E692*0.03)</f>
        <v>0</v>
      </c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customFormat="false" ht="16.4" hidden="false" customHeight="false" outlineLevel="0" collapsed="false">
      <c r="A693" s="123" t="n">
        <v>45444</v>
      </c>
      <c r="B693" s="31" t="s">
        <v>7</v>
      </c>
      <c r="C693" s="129"/>
      <c r="D693" s="129"/>
      <c r="E693" s="19" t="n">
        <f aca="false">F693*0.03</f>
        <v>0</v>
      </c>
      <c r="F693" s="33" t="n">
        <v>0</v>
      </c>
      <c r="G693" s="131"/>
      <c r="H693" s="35" t="n">
        <v>0</v>
      </c>
      <c r="I693" s="34" t="n">
        <f aca="false">+IF(E693=0,0,E693*0.03)</f>
        <v>0</v>
      </c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customFormat="false" ht="16.4" hidden="false" customHeight="false" outlineLevel="0" collapsed="false">
      <c r="A694" s="123" t="n">
        <v>45444</v>
      </c>
      <c r="B694" s="31" t="s">
        <v>240</v>
      </c>
      <c r="C694" s="129"/>
      <c r="D694" s="129"/>
      <c r="E694" s="19" t="n">
        <f aca="false">F694*0.03</f>
        <v>0</v>
      </c>
      <c r="F694" s="33" t="n">
        <v>0</v>
      </c>
      <c r="G694" s="131"/>
      <c r="H694" s="35" t="n">
        <v>0</v>
      </c>
      <c r="I694" s="34" t="n">
        <f aca="false">+IF(E694=0,0,E694*0.03)</f>
        <v>0</v>
      </c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customFormat="false" ht="16.4" hidden="false" customHeight="false" outlineLevel="0" collapsed="false">
      <c r="A695" s="123" t="n">
        <v>45444</v>
      </c>
      <c r="B695" s="31" t="s">
        <v>153</v>
      </c>
      <c r="C695" s="129"/>
      <c r="D695" s="129"/>
      <c r="E695" s="19" t="n">
        <f aca="false">F695*0.03</f>
        <v>0</v>
      </c>
      <c r="F695" s="33" t="n">
        <v>0</v>
      </c>
      <c r="G695" s="131"/>
      <c r="H695" s="35" t="n">
        <v>0</v>
      </c>
      <c r="I695" s="34" t="n">
        <f aca="false">+IF(E695=0,0,E695*0.03)</f>
        <v>0</v>
      </c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customFormat="false" ht="16.4" hidden="false" customHeight="false" outlineLevel="0" collapsed="false">
      <c r="A696" s="123" t="n">
        <v>45444</v>
      </c>
      <c r="B696" s="31" t="s">
        <v>247</v>
      </c>
      <c r="C696" s="129"/>
      <c r="D696" s="129"/>
      <c r="E696" s="19" t="n">
        <f aca="false">F696*0.03</f>
        <v>0</v>
      </c>
      <c r="F696" s="33" t="n">
        <v>0</v>
      </c>
      <c r="G696" s="131"/>
      <c r="H696" s="35" t="n">
        <v>0</v>
      </c>
      <c r="I696" s="34" t="n">
        <f aca="false">+IF(E696=0,0,E696*0.03)</f>
        <v>0</v>
      </c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customFormat="false" ht="16.4" hidden="false" customHeight="false" outlineLevel="0" collapsed="false">
      <c r="A697" s="123" t="n">
        <v>45444</v>
      </c>
      <c r="B697" s="31" t="s">
        <v>246</v>
      </c>
      <c r="C697" s="129"/>
      <c r="D697" s="129"/>
      <c r="E697" s="19" t="n">
        <f aca="false">F697*0.03</f>
        <v>0</v>
      </c>
      <c r="F697" s="33" t="n">
        <v>0</v>
      </c>
      <c r="G697" s="131"/>
      <c r="H697" s="35" t="n">
        <v>0</v>
      </c>
      <c r="I697" s="34" t="n">
        <f aca="false">+IF(E697=0,0,E697*0.03)</f>
        <v>0</v>
      </c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customFormat="false" ht="16.4" hidden="false" customHeight="false" outlineLevel="0" collapsed="false">
      <c r="A698" s="123" t="n">
        <v>45444</v>
      </c>
      <c r="B698" s="31" t="s">
        <v>239</v>
      </c>
      <c r="C698" s="129"/>
      <c r="D698" s="129"/>
      <c r="E698" s="19" t="n">
        <f aca="false">F698*0.03</f>
        <v>0</v>
      </c>
      <c r="F698" s="33" t="n">
        <v>0</v>
      </c>
      <c r="G698" s="131"/>
      <c r="H698" s="35" t="n">
        <v>0</v>
      </c>
      <c r="I698" s="34" t="n">
        <f aca="false">+IF(E698=0,0,E698*0.03)</f>
        <v>0</v>
      </c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customFormat="false" ht="16.4" hidden="false" customHeight="false" outlineLevel="0" collapsed="false">
      <c r="A699" s="123" t="n">
        <v>45444</v>
      </c>
      <c r="B699" s="31" t="s">
        <v>7</v>
      </c>
      <c r="C699" s="129"/>
      <c r="D699" s="129"/>
      <c r="E699" s="19" t="n">
        <f aca="false">F699*0.03</f>
        <v>0</v>
      </c>
      <c r="F699" s="33" t="n">
        <v>0</v>
      </c>
      <c r="G699" s="131"/>
      <c r="H699" s="35" t="n">
        <v>0</v>
      </c>
      <c r="I699" s="34" t="n">
        <f aca="false">+IF(E699=0,0,E699*0.03)</f>
        <v>0</v>
      </c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customFormat="false" ht="16.4" hidden="false" customHeight="false" outlineLevel="0" collapsed="false">
      <c r="A700" s="123" t="n">
        <v>45444</v>
      </c>
      <c r="B700" s="31" t="s">
        <v>240</v>
      </c>
      <c r="C700" s="129"/>
      <c r="D700" s="129"/>
      <c r="E700" s="19" t="n">
        <f aca="false">F700*0.03</f>
        <v>0</v>
      </c>
      <c r="F700" s="33" t="n">
        <v>0</v>
      </c>
      <c r="G700" s="131"/>
      <c r="H700" s="35" t="n">
        <v>0</v>
      </c>
      <c r="I700" s="34" t="n">
        <f aca="false">+IF(E700=0,0,E700*0.03)</f>
        <v>0</v>
      </c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customFormat="false" ht="16.4" hidden="false" customHeight="false" outlineLevel="0" collapsed="false">
      <c r="A701" s="123" t="n">
        <v>45444</v>
      </c>
      <c r="B701" s="31" t="s">
        <v>153</v>
      </c>
      <c r="C701" s="129"/>
      <c r="D701" s="129"/>
      <c r="E701" s="19" t="n">
        <f aca="false">F701*0.03</f>
        <v>0</v>
      </c>
      <c r="F701" s="33" t="n">
        <v>0</v>
      </c>
      <c r="G701" s="131"/>
      <c r="H701" s="35" t="n">
        <v>0</v>
      </c>
      <c r="I701" s="34" t="n">
        <f aca="false">+IF(E701=0,0,E701*0.03)</f>
        <v>0</v>
      </c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customFormat="false" ht="16.4" hidden="false" customHeight="false" outlineLevel="0" collapsed="false">
      <c r="A702" s="123" t="n">
        <v>45444</v>
      </c>
      <c r="B702" s="31" t="s">
        <v>247</v>
      </c>
      <c r="C702" s="129"/>
      <c r="D702" s="129"/>
      <c r="E702" s="19" t="n">
        <f aca="false">F702*0.03</f>
        <v>0</v>
      </c>
      <c r="F702" s="33" t="n">
        <v>0</v>
      </c>
      <c r="G702" s="131"/>
      <c r="H702" s="35" t="n">
        <v>0</v>
      </c>
      <c r="I702" s="34" t="n">
        <f aca="false">+IF(E702=0,0,E702*0.03)</f>
        <v>0</v>
      </c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customFormat="false" ht="16.4" hidden="false" customHeight="false" outlineLevel="0" collapsed="false">
      <c r="A703" s="123" t="n">
        <v>45444</v>
      </c>
      <c r="B703" s="31" t="s">
        <v>246</v>
      </c>
      <c r="C703" s="129"/>
      <c r="D703" s="129"/>
      <c r="E703" s="19" t="n">
        <f aca="false">F703*0.03</f>
        <v>0</v>
      </c>
      <c r="F703" s="33" t="n">
        <v>0</v>
      </c>
      <c r="G703" s="131"/>
      <c r="H703" s="35" t="n">
        <v>0</v>
      </c>
      <c r="I703" s="34" t="n">
        <f aca="false">+IF(E703=0,0,E703*0.03)</f>
        <v>0</v>
      </c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customFormat="false" ht="16.4" hidden="false" customHeight="false" outlineLevel="0" collapsed="false">
      <c r="A704" s="123" t="n">
        <v>45444</v>
      </c>
      <c r="B704" s="31" t="s">
        <v>239</v>
      </c>
      <c r="C704" s="129"/>
      <c r="D704" s="129"/>
      <c r="E704" s="19" t="n">
        <f aca="false">F704*0.03</f>
        <v>0</v>
      </c>
      <c r="F704" s="33" t="n">
        <v>0</v>
      </c>
      <c r="G704" s="131"/>
      <c r="H704" s="35" t="n">
        <v>0</v>
      </c>
      <c r="I704" s="34" t="n">
        <f aca="false">+IF(E704=0,0,E704*0.03)</f>
        <v>0</v>
      </c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customFormat="false" ht="16.4" hidden="false" customHeight="false" outlineLevel="0" collapsed="false">
      <c r="A705" s="123" t="n">
        <v>45444</v>
      </c>
      <c r="B705" s="31" t="s">
        <v>7</v>
      </c>
      <c r="C705" s="129"/>
      <c r="D705" s="129"/>
      <c r="E705" s="19" t="n">
        <f aca="false">F705*0.03</f>
        <v>0</v>
      </c>
      <c r="F705" s="33" t="n">
        <v>0</v>
      </c>
      <c r="G705" s="131"/>
      <c r="H705" s="35" t="n">
        <v>0</v>
      </c>
      <c r="I705" s="34" t="n">
        <f aca="false">+IF(E705=0,0,E705*0.03)</f>
        <v>0</v>
      </c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customFormat="false" ht="16.4" hidden="false" customHeight="false" outlineLevel="0" collapsed="false">
      <c r="A706" s="123" t="n">
        <v>45444</v>
      </c>
      <c r="B706" s="31" t="s">
        <v>240</v>
      </c>
      <c r="C706" s="129"/>
      <c r="D706" s="129"/>
      <c r="E706" s="19" t="n">
        <f aca="false">F706*0.03</f>
        <v>0</v>
      </c>
      <c r="F706" s="33" t="n">
        <v>0</v>
      </c>
      <c r="G706" s="131"/>
      <c r="H706" s="35" t="n">
        <v>0</v>
      </c>
      <c r="I706" s="34" t="n">
        <f aca="false">+IF(E706=0,0,E706*0.03)</f>
        <v>0</v>
      </c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customFormat="false" ht="16.4" hidden="false" customHeight="false" outlineLevel="0" collapsed="false">
      <c r="A707" s="123" t="n">
        <v>45444</v>
      </c>
      <c r="B707" s="31" t="s">
        <v>153</v>
      </c>
      <c r="C707" s="129"/>
      <c r="D707" s="129"/>
      <c r="E707" s="19" t="n">
        <f aca="false">F707*0.03</f>
        <v>0</v>
      </c>
      <c r="F707" s="33" t="n">
        <v>0</v>
      </c>
      <c r="G707" s="131"/>
      <c r="H707" s="35" t="n">
        <v>0</v>
      </c>
      <c r="I707" s="34" t="n">
        <f aca="false">+IF(E707=0,0,E707*0.03)</f>
        <v>0</v>
      </c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customFormat="false" ht="16.4" hidden="false" customHeight="false" outlineLevel="0" collapsed="false">
      <c r="A708" s="123" t="n">
        <v>45444</v>
      </c>
      <c r="B708" s="31" t="s">
        <v>247</v>
      </c>
      <c r="C708" s="129"/>
      <c r="D708" s="129"/>
      <c r="E708" s="19" t="n">
        <f aca="false">F708*0.03</f>
        <v>0</v>
      </c>
      <c r="F708" s="33" t="n">
        <v>0</v>
      </c>
      <c r="G708" s="131"/>
      <c r="H708" s="35" t="n">
        <v>0</v>
      </c>
      <c r="I708" s="34" t="n">
        <f aca="false">+IF(E708=0,0,E708*0.03)</f>
        <v>0</v>
      </c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customFormat="false" ht="16.4" hidden="false" customHeight="false" outlineLevel="0" collapsed="false">
      <c r="A709" s="123" t="n">
        <v>45444</v>
      </c>
      <c r="B709" s="31" t="s">
        <v>246</v>
      </c>
      <c r="C709" s="129"/>
      <c r="D709" s="129"/>
      <c r="E709" s="19" t="n">
        <f aca="false">F709*0.03</f>
        <v>0</v>
      </c>
      <c r="F709" s="33" t="n">
        <v>0</v>
      </c>
      <c r="G709" s="131"/>
      <c r="H709" s="35" t="n">
        <v>0</v>
      </c>
      <c r="I709" s="34" t="n">
        <f aca="false">+IF(E709=0,0,E709*0.03)</f>
        <v>0</v>
      </c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customFormat="false" ht="16.4" hidden="false" customHeight="false" outlineLevel="0" collapsed="false">
      <c r="A710" s="123" t="n">
        <v>45444</v>
      </c>
      <c r="B710" s="31" t="s">
        <v>239</v>
      </c>
      <c r="C710" s="129"/>
      <c r="D710" s="129"/>
      <c r="E710" s="19" t="n">
        <f aca="false">F710*0.03</f>
        <v>0</v>
      </c>
      <c r="F710" s="33" t="n">
        <v>0</v>
      </c>
      <c r="G710" s="131"/>
      <c r="H710" s="35" t="n">
        <v>0</v>
      </c>
      <c r="I710" s="34" t="n">
        <f aca="false">+IF(E710=0,0,E710*0.03)</f>
        <v>0</v>
      </c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customFormat="false" ht="16.4" hidden="false" customHeight="false" outlineLevel="0" collapsed="false">
      <c r="A711" s="123" t="n">
        <v>45444</v>
      </c>
      <c r="B711" s="31" t="s">
        <v>7</v>
      </c>
      <c r="C711" s="129"/>
      <c r="D711" s="129"/>
      <c r="E711" s="19" t="n">
        <f aca="false">F711*0.03</f>
        <v>0</v>
      </c>
      <c r="F711" s="33" t="n">
        <v>0</v>
      </c>
      <c r="G711" s="131"/>
      <c r="H711" s="35" t="n">
        <v>0</v>
      </c>
      <c r="I711" s="34" t="n">
        <f aca="false">+IF(E711=0,0,E711*0.03)</f>
        <v>0</v>
      </c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customFormat="false" ht="16.4" hidden="false" customHeight="false" outlineLevel="0" collapsed="false">
      <c r="A712" s="123" t="n">
        <v>45444</v>
      </c>
      <c r="B712" s="31" t="s">
        <v>240</v>
      </c>
      <c r="C712" s="129"/>
      <c r="D712" s="129"/>
      <c r="E712" s="19" t="n">
        <f aca="false">F712*0.03</f>
        <v>0</v>
      </c>
      <c r="F712" s="33" t="n">
        <v>0</v>
      </c>
      <c r="G712" s="131"/>
      <c r="H712" s="35" t="n">
        <v>0</v>
      </c>
      <c r="I712" s="34" t="n">
        <f aca="false">+IF(E712=0,0,E712*0.03)</f>
        <v>0</v>
      </c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customFormat="false" ht="16.4" hidden="false" customHeight="false" outlineLevel="0" collapsed="false">
      <c r="A713" s="123" t="n">
        <v>45444</v>
      </c>
      <c r="B713" s="31" t="s">
        <v>153</v>
      </c>
      <c r="C713" s="129"/>
      <c r="D713" s="129"/>
      <c r="E713" s="19" t="n">
        <f aca="false">F713*0.03</f>
        <v>0</v>
      </c>
      <c r="F713" s="33" t="n">
        <v>0</v>
      </c>
      <c r="G713" s="131"/>
      <c r="H713" s="35" t="n">
        <v>0</v>
      </c>
      <c r="I713" s="34" t="n">
        <f aca="false">+IF(E713=0,0,E713*0.03)</f>
        <v>0</v>
      </c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customFormat="false" ht="16.4" hidden="false" customHeight="false" outlineLevel="0" collapsed="false">
      <c r="A714" s="123" t="n">
        <v>45444</v>
      </c>
      <c r="B714" s="31" t="s">
        <v>247</v>
      </c>
      <c r="C714" s="129"/>
      <c r="D714" s="129"/>
      <c r="E714" s="19" t="n">
        <f aca="false">F714*0.03</f>
        <v>0</v>
      </c>
      <c r="F714" s="33" t="n">
        <v>0</v>
      </c>
      <c r="G714" s="131"/>
      <c r="H714" s="35" t="n">
        <v>0</v>
      </c>
      <c r="I714" s="34" t="n">
        <f aca="false">+IF(E714=0,0,E714*0.03)</f>
        <v>0</v>
      </c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customFormat="false" ht="16.4" hidden="false" customHeight="false" outlineLevel="0" collapsed="false">
      <c r="A715" s="123" t="n">
        <v>45444</v>
      </c>
      <c r="B715" s="31" t="s">
        <v>246</v>
      </c>
      <c r="C715" s="129"/>
      <c r="D715" s="129"/>
      <c r="E715" s="19" t="n">
        <f aca="false">F715*0.03</f>
        <v>0</v>
      </c>
      <c r="F715" s="33" t="n">
        <v>0</v>
      </c>
      <c r="G715" s="131"/>
      <c r="H715" s="35" t="n">
        <v>0</v>
      </c>
      <c r="I715" s="34" t="n">
        <f aca="false">+IF(E715=0,0,E715*0.03)</f>
        <v>0</v>
      </c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customFormat="false" ht="16.4" hidden="false" customHeight="false" outlineLevel="0" collapsed="false">
      <c r="A716" s="123" t="n">
        <v>45444</v>
      </c>
      <c r="B716" s="31" t="s">
        <v>239</v>
      </c>
      <c r="C716" s="129"/>
      <c r="D716" s="129"/>
      <c r="E716" s="19" t="n">
        <f aca="false">F716*0.03</f>
        <v>0</v>
      </c>
      <c r="F716" s="33" t="n">
        <v>0</v>
      </c>
      <c r="G716" s="131"/>
      <c r="H716" s="35" t="n">
        <v>0</v>
      </c>
      <c r="I716" s="34" t="n">
        <f aca="false">+IF(E716=0,0,E716*0.03)</f>
        <v>0</v>
      </c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customFormat="false" ht="16.4" hidden="false" customHeight="false" outlineLevel="0" collapsed="false">
      <c r="A717" s="123" t="n">
        <v>45444</v>
      </c>
      <c r="B717" s="31" t="s">
        <v>7</v>
      </c>
      <c r="C717" s="129"/>
      <c r="D717" s="129"/>
      <c r="E717" s="19" t="n">
        <f aca="false">F717*0.03</f>
        <v>0</v>
      </c>
      <c r="F717" s="33" t="n">
        <v>0</v>
      </c>
      <c r="G717" s="131"/>
      <c r="H717" s="35" t="n">
        <v>0</v>
      </c>
      <c r="I717" s="34" t="n">
        <f aca="false">+IF(E717=0,0,E717*0.03)</f>
        <v>0</v>
      </c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customFormat="false" ht="16.4" hidden="false" customHeight="false" outlineLevel="0" collapsed="false">
      <c r="A718" s="123" t="n">
        <v>45444</v>
      </c>
      <c r="B718" s="31" t="s">
        <v>240</v>
      </c>
      <c r="C718" s="129"/>
      <c r="D718" s="129"/>
      <c r="E718" s="19" t="n">
        <f aca="false">F718*0.03</f>
        <v>0</v>
      </c>
      <c r="F718" s="33" t="n">
        <v>0</v>
      </c>
      <c r="G718" s="131"/>
      <c r="H718" s="35" t="n">
        <v>0</v>
      </c>
      <c r="I718" s="34" t="n">
        <f aca="false">+IF(E718=0,0,E718*0.03)</f>
        <v>0</v>
      </c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customFormat="false" ht="16.4" hidden="false" customHeight="false" outlineLevel="0" collapsed="false">
      <c r="A719" s="123" t="n">
        <v>45444</v>
      </c>
      <c r="B719" s="31" t="s">
        <v>153</v>
      </c>
      <c r="C719" s="129"/>
      <c r="D719" s="129"/>
      <c r="E719" s="19" t="n">
        <f aca="false">F719*0.03</f>
        <v>0</v>
      </c>
      <c r="F719" s="33" t="n">
        <v>0</v>
      </c>
      <c r="G719" s="131"/>
      <c r="H719" s="35" t="n">
        <v>0</v>
      </c>
      <c r="I719" s="34" t="n">
        <f aca="false">+IF(E719=0,0,E719*0.03)</f>
        <v>0</v>
      </c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customFormat="false" ht="16.4" hidden="false" customHeight="false" outlineLevel="0" collapsed="false">
      <c r="A720" s="123" t="n">
        <v>45444</v>
      </c>
      <c r="B720" s="31" t="s">
        <v>247</v>
      </c>
      <c r="C720" s="129"/>
      <c r="D720" s="129"/>
      <c r="E720" s="19" t="n">
        <f aca="false">F720*0.03</f>
        <v>0</v>
      </c>
      <c r="F720" s="33" t="n">
        <v>0</v>
      </c>
      <c r="G720" s="131"/>
      <c r="H720" s="35" t="n">
        <v>0</v>
      </c>
      <c r="I720" s="34" t="n">
        <f aca="false">+IF(E720=0,0,E720*0.03)</f>
        <v>0</v>
      </c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customFormat="false" ht="16.4" hidden="false" customHeight="false" outlineLevel="0" collapsed="false">
      <c r="A721" s="123" t="n">
        <v>45444</v>
      </c>
      <c r="B721" s="31" t="s">
        <v>246</v>
      </c>
      <c r="C721" s="129"/>
      <c r="D721" s="129"/>
      <c r="E721" s="19" t="n">
        <f aca="false">F721*0.03</f>
        <v>0</v>
      </c>
      <c r="F721" s="33" t="n">
        <v>0</v>
      </c>
      <c r="G721" s="131"/>
      <c r="H721" s="35" t="n">
        <v>0</v>
      </c>
      <c r="I721" s="34" t="n">
        <f aca="false">+IF(E721=0,0,E721*0.03)</f>
        <v>0</v>
      </c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customFormat="false" ht="16.4" hidden="false" customHeight="false" outlineLevel="0" collapsed="false">
      <c r="A722" s="123" t="n">
        <v>45444</v>
      </c>
      <c r="B722" s="31" t="s">
        <v>239</v>
      </c>
      <c r="C722" s="129"/>
      <c r="D722" s="129"/>
      <c r="E722" s="19" t="n">
        <f aca="false">F722*0.03</f>
        <v>0</v>
      </c>
      <c r="F722" s="33" t="n">
        <v>0</v>
      </c>
      <c r="G722" s="131"/>
      <c r="H722" s="35" t="n">
        <v>0</v>
      </c>
      <c r="I722" s="34" t="n">
        <f aca="false">+IF(E722=0,0,E722*0.03)</f>
        <v>0</v>
      </c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customFormat="false" ht="16.4" hidden="false" customHeight="false" outlineLevel="0" collapsed="false">
      <c r="A723" s="123" t="n">
        <v>45444</v>
      </c>
      <c r="B723" s="31" t="s">
        <v>7</v>
      </c>
      <c r="C723" s="129"/>
      <c r="D723" s="129"/>
      <c r="E723" s="19" t="n">
        <f aca="false">F723*0.03</f>
        <v>0</v>
      </c>
      <c r="F723" s="33" t="n">
        <v>0</v>
      </c>
      <c r="G723" s="131"/>
      <c r="H723" s="35" t="n">
        <v>0</v>
      </c>
      <c r="I723" s="34" t="n">
        <f aca="false">+IF(E723=0,0,E723*0.03)</f>
        <v>0</v>
      </c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customFormat="false" ht="16.4" hidden="false" customHeight="false" outlineLevel="0" collapsed="false">
      <c r="A724" s="123" t="n">
        <v>45444</v>
      </c>
      <c r="B724" s="31" t="s">
        <v>240</v>
      </c>
      <c r="C724" s="129"/>
      <c r="D724" s="129"/>
      <c r="E724" s="19" t="n">
        <f aca="false">F724*0.03</f>
        <v>0</v>
      </c>
      <c r="F724" s="33" t="n">
        <v>0</v>
      </c>
      <c r="G724" s="131"/>
      <c r="H724" s="35" t="n">
        <v>0</v>
      </c>
      <c r="I724" s="34" t="n">
        <f aca="false">+IF(E724=0,0,E724*0.03)</f>
        <v>0</v>
      </c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customFormat="false" ht="16.4" hidden="false" customHeight="false" outlineLevel="0" collapsed="false">
      <c r="A725" s="123" t="n">
        <v>45444</v>
      </c>
      <c r="B725" s="31" t="s">
        <v>153</v>
      </c>
      <c r="C725" s="129"/>
      <c r="D725" s="129"/>
      <c r="E725" s="19" t="n">
        <f aca="false">F725*0.03</f>
        <v>0</v>
      </c>
      <c r="F725" s="33" t="n">
        <v>0</v>
      </c>
      <c r="G725" s="131"/>
      <c r="H725" s="35" t="n">
        <v>0</v>
      </c>
      <c r="I725" s="34" t="n">
        <f aca="false">+IF(E725=0,0,E725*0.03)</f>
        <v>0</v>
      </c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customFormat="false" ht="16.4" hidden="false" customHeight="false" outlineLevel="0" collapsed="false">
      <c r="A726" s="123" t="n">
        <v>45444</v>
      </c>
      <c r="B726" s="31" t="s">
        <v>247</v>
      </c>
      <c r="C726" s="129"/>
      <c r="D726" s="129"/>
      <c r="E726" s="19" t="n">
        <f aca="false">F726*0.03</f>
        <v>0</v>
      </c>
      <c r="F726" s="33" t="n">
        <v>0</v>
      </c>
      <c r="G726" s="131"/>
      <c r="H726" s="35" t="n">
        <v>0</v>
      </c>
      <c r="I726" s="34" t="n">
        <f aca="false">+IF(E726=0,0,E726*0.03)</f>
        <v>0</v>
      </c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customFormat="false" ht="16.4" hidden="false" customHeight="false" outlineLevel="0" collapsed="false">
      <c r="A727" s="123" t="n">
        <v>45444</v>
      </c>
      <c r="B727" s="31" t="s">
        <v>246</v>
      </c>
      <c r="C727" s="129"/>
      <c r="D727" s="129"/>
      <c r="E727" s="19" t="n">
        <f aca="false">F727*0.03</f>
        <v>0</v>
      </c>
      <c r="F727" s="33" t="n">
        <v>0</v>
      </c>
      <c r="G727" s="131"/>
      <c r="H727" s="35" t="n">
        <v>0</v>
      </c>
      <c r="I727" s="34" t="n">
        <f aca="false">+IF(E727=0,0,E727*0.03)</f>
        <v>0</v>
      </c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customFormat="false" ht="16.4" hidden="false" customHeight="false" outlineLevel="0" collapsed="false">
      <c r="A728" s="123" t="n">
        <v>45444</v>
      </c>
      <c r="B728" s="31" t="s">
        <v>239</v>
      </c>
      <c r="C728" s="129"/>
      <c r="D728" s="129"/>
      <c r="E728" s="19" t="n">
        <f aca="false">F728*0.03</f>
        <v>0</v>
      </c>
      <c r="F728" s="33" t="n">
        <v>0</v>
      </c>
      <c r="G728" s="131"/>
      <c r="H728" s="35" t="n">
        <v>0</v>
      </c>
      <c r="I728" s="34" t="n">
        <f aca="false">+IF(E728=0,0,E728*0.03)</f>
        <v>0</v>
      </c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customFormat="false" ht="16.4" hidden="false" customHeight="false" outlineLevel="0" collapsed="false">
      <c r="A729" s="123" t="n">
        <v>45444</v>
      </c>
      <c r="B729" s="31" t="s">
        <v>7</v>
      </c>
      <c r="C729" s="129"/>
      <c r="D729" s="129"/>
      <c r="E729" s="19" t="n">
        <f aca="false">F729*0.03</f>
        <v>0</v>
      </c>
      <c r="F729" s="33" t="n">
        <v>0</v>
      </c>
      <c r="G729" s="131"/>
      <c r="H729" s="35" t="n">
        <v>0</v>
      </c>
      <c r="I729" s="34" t="n">
        <f aca="false">+IF(E729=0,0,E729*0.03)</f>
        <v>0</v>
      </c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customFormat="false" ht="16.4" hidden="false" customHeight="false" outlineLevel="0" collapsed="false">
      <c r="A730" s="123" t="n">
        <v>45444</v>
      </c>
      <c r="B730" s="31" t="s">
        <v>240</v>
      </c>
      <c r="C730" s="129"/>
      <c r="D730" s="129"/>
      <c r="E730" s="19" t="n">
        <f aca="false">F730*0.03</f>
        <v>0</v>
      </c>
      <c r="F730" s="33" t="n">
        <v>0</v>
      </c>
      <c r="G730" s="131"/>
      <c r="H730" s="35" t="n">
        <v>0</v>
      </c>
      <c r="I730" s="34" t="n">
        <f aca="false">+IF(E730=0,0,E730*0.03)</f>
        <v>0</v>
      </c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customFormat="false" ht="16.4" hidden="false" customHeight="false" outlineLevel="0" collapsed="false">
      <c r="A731" s="123" t="n">
        <v>45444</v>
      </c>
      <c r="B731" s="31" t="s">
        <v>153</v>
      </c>
      <c r="C731" s="129"/>
      <c r="D731" s="129"/>
      <c r="E731" s="19" t="n">
        <f aca="false">F731*0.03</f>
        <v>0</v>
      </c>
      <c r="F731" s="33" t="n">
        <v>0</v>
      </c>
      <c r="G731" s="131"/>
      <c r="H731" s="35" t="n">
        <v>0</v>
      </c>
      <c r="I731" s="34" t="n">
        <f aca="false">+IF(E731=0,0,E731*0.03)</f>
        <v>0</v>
      </c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customFormat="false" ht="16.4" hidden="false" customHeight="false" outlineLevel="0" collapsed="false">
      <c r="A732" s="123" t="n">
        <v>45444</v>
      </c>
      <c r="B732" s="31" t="s">
        <v>247</v>
      </c>
      <c r="C732" s="129"/>
      <c r="D732" s="129"/>
      <c r="E732" s="19" t="n">
        <f aca="false">F732*0.03</f>
        <v>0</v>
      </c>
      <c r="F732" s="33" t="n">
        <v>0</v>
      </c>
      <c r="G732" s="131"/>
      <c r="H732" s="35" t="n">
        <v>0</v>
      </c>
      <c r="I732" s="34" t="n">
        <f aca="false">+IF(E732=0,0,E732*0.03)</f>
        <v>0</v>
      </c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customFormat="false" ht="16.4" hidden="false" customHeight="false" outlineLevel="0" collapsed="false">
      <c r="A733" s="123" t="n">
        <v>45444</v>
      </c>
      <c r="B733" s="31" t="s">
        <v>246</v>
      </c>
      <c r="C733" s="129"/>
      <c r="D733" s="129"/>
      <c r="E733" s="19" t="n">
        <f aca="false">F733*0.03</f>
        <v>0</v>
      </c>
      <c r="F733" s="33" t="n">
        <v>0</v>
      </c>
      <c r="G733" s="131"/>
      <c r="H733" s="35" t="n">
        <v>0</v>
      </c>
      <c r="I733" s="34" t="n">
        <f aca="false">+IF(E733=0,0,E733*0.03)</f>
        <v>0</v>
      </c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customFormat="false" ht="16.4" hidden="false" customHeight="false" outlineLevel="0" collapsed="false">
      <c r="A734" s="123" t="n">
        <v>45444</v>
      </c>
      <c r="B734" s="31" t="s">
        <v>239</v>
      </c>
      <c r="C734" s="129"/>
      <c r="D734" s="129"/>
      <c r="E734" s="19" t="n">
        <f aca="false">F734*0.03</f>
        <v>0</v>
      </c>
      <c r="F734" s="33" t="n">
        <v>0</v>
      </c>
      <c r="G734" s="131"/>
      <c r="H734" s="35" t="n">
        <v>0</v>
      </c>
      <c r="I734" s="34" t="n">
        <f aca="false">+IF(E734=0,0,E734*0.03)</f>
        <v>0</v>
      </c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customFormat="false" ht="16.4" hidden="false" customHeight="false" outlineLevel="0" collapsed="false">
      <c r="A735" s="123" t="n">
        <v>45444</v>
      </c>
      <c r="B735" s="31" t="s">
        <v>7</v>
      </c>
      <c r="C735" s="129"/>
      <c r="D735" s="129"/>
      <c r="E735" s="19" t="n">
        <f aca="false">F735*0.03</f>
        <v>0</v>
      </c>
      <c r="F735" s="33" t="n">
        <v>0</v>
      </c>
      <c r="G735" s="131"/>
      <c r="H735" s="35" t="n">
        <v>0</v>
      </c>
      <c r="I735" s="34" t="n">
        <f aca="false">+IF(E735=0,0,E735*0.03)</f>
        <v>0</v>
      </c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customFormat="false" ht="16.4" hidden="false" customHeight="false" outlineLevel="0" collapsed="false">
      <c r="A736" s="123" t="n">
        <v>45444</v>
      </c>
      <c r="B736" s="31" t="s">
        <v>240</v>
      </c>
      <c r="C736" s="129"/>
      <c r="D736" s="129"/>
      <c r="E736" s="19" t="n">
        <f aca="false">F736*0.03</f>
        <v>0</v>
      </c>
      <c r="F736" s="33" t="n">
        <v>0</v>
      </c>
      <c r="G736" s="131"/>
      <c r="H736" s="35" t="n">
        <v>0</v>
      </c>
      <c r="I736" s="34" t="n">
        <f aca="false">+IF(E736=0,0,E736*0.03)</f>
        <v>0</v>
      </c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customFormat="false" ht="16.4" hidden="false" customHeight="false" outlineLevel="0" collapsed="false">
      <c r="A737" s="123" t="n">
        <v>45444</v>
      </c>
      <c r="B737" s="31" t="s">
        <v>153</v>
      </c>
      <c r="C737" s="129"/>
      <c r="D737" s="129"/>
      <c r="E737" s="19" t="n">
        <f aca="false">F737*0.03</f>
        <v>0</v>
      </c>
      <c r="F737" s="33" t="n">
        <v>0</v>
      </c>
      <c r="G737" s="131"/>
      <c r="H737" s="35" t="n">
        <v>0</v>
      </c>
      <c r="I737" s="34" t="n">
        <f aca="false">+IF(E737=0,0,E737*0.03)</f>
        <v>0</v>
      </c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customFormat="false" ht="16.4" hidden="false" customHeight="false" outlineLevel="0" collapsed="false">
      <c r="A738" s="123" t="n">
        <v>45444</v>
      </c>
      <c r="B738" s="31" t="s">
        <v>247</v>
      </c>
      <c r="C738" s="129"/>
      <c r="D738" s="129"/>
      <c r="E738" s="19" t="n">
        <f aca="false">F738*0.03</f>
        <v>0</v>
      </c>
      <c r="F738" s="33" t="n">
        <v>0</v>
      </c>
      <c r="G738" s="131"/>
      <c r="H738" s="35" t="n">
        <v>0</v>
      </c>
      <c r="I738" s="34" t="n">
        <f aca="false">+IF(E738=0,0,E738*0.03)</f>
        <v>0</v>
      </c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customFormat="false" ht="16.4" hidden="false" customHeight="false" outlineLevel="0" collapsed="false">
      <c r="A739" s="123" t="n">
        <v>45444</v>
      </c>
      <c r="B739" s="31" t="s">
        <v>246</v>
      </c>
      <c r="C739" s="129"/>
      <c r="D739" s="129"/>
      <c r="E739" s="19" t="n">
        <f aca="false">F739*0.03</f>
        <v>0</v>
      </c>
      <c r="F739" s="33" t="n">
        <v>0</v>
      </c>
      <c r="G739" s="131"/>
      <c r="H739" s="35" t="n">
        <v>0</v>
      </c>
      <c r="I739" s="34" t="n">
        <f aca="false">+IF(E739=0,0,E739*0.03)</f>
        <v>0</v>
      </c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customFormat="false" ht="16.4" hidden="false" customHeight="false" outlineLevel="0" collapsed="false">
      <c r="A740" s="123" t="n">
        <v>45444</v>
      </c>
      <c r="B740" s="31" t="s">
        <v>239</v>
      </c>
      <c r="C740" s="129"/>
      <c r="D740" s="129"/>
      <c r="E740" s="19" t="n">
        <f aca="false">F740*0.03</f>
        <v>0</v>
      </c>
      <c r="F740" s="33" t="n">
        <v>0</v>
      </c>
      <c r="G740" s="131"/>
      <c r="H740" s="35" t="n">
        <v>0</v>
      </c>
      <c r="I740" s="34" t="n">
        <f aca="false">+IF(E740=0,0,E740*0.03)</f>
        <v>0</v>
      </c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customFormat="false" ht="16.4" hidden="false" customHeight="false" outlineLevel="0" collapsed="false">
      <c r="A741" s="123" t="n">
        <v>45444</v>
      </c>
      <c r="B741" s="31" t="s">
        <v>7</v>
      </c>
      <c r="C741" s="129"/>
      <c r="D741" s="129"/>
      <c r="E741" s="19" t="n">
        <f aca="false">F741*0.03</f>
        <v>0</v>
      </c>
      <c r="F741" s="33" t="n">
        <v>0</v>
      </c>
      <c r="G741" s="131"/>
      <c r="H741" s="35" t="n">
        <v>0</v>
      </c>
      <c r="I741" s="34" t="n">
        <f aca="false">+IF(E741=0,0,E741*0.03)</f>
        <v>0</v>
      </c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customFormat="false" ht="16.4" hidden="false" customHeight="false" outlineLevel="0" collapsed="false">
      <c r="A742" s="123" t="n">
        <v>45444</v>
      </c>
      <c r="B742" s="31" t="s">
        <v>240</v>
      </c>
      <c r="C742" s="129"/>
      <c r="D742" s="129"/>
      <c r="E742" s="19" t="n">
        <f aca="false">F742*0.03</f>
        <v>0</v>
      </c>
      <c r="F742" s="33" t="n">
        <v>0</v>
      </c>
      <c r="G742" s="131"/>
      <c r="H742" s="35" t="n">
        <v>0</v>
      </c>
      <c r="I742" s="34" t="n">
        <f aca="false">+IF(E742=0,0,E742*0.03)</f>
        <v>0</v>
      </c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customFormat="false" ht="16.4" hidden="false" customHeight="false" outlineLevel="0" collapsed="false">
      <c r="A743" s="123" t="n">
        <v>45444</v>
      </c>
      <c r="B743" s="31" t="s">
        <v>153</v>
      </c>
      <c r="C743" s="129"/>
      <c r="D743" s="129"/>
      <c r="E743" s="19" t="n">
        <f aca="false">F743*0.03</f>
        <v>0</v>
      </c>
      <c r="F743" s="33" t="n">
        <v>0</v>
      </c>
      <c r="G743" s="131"/>
      <c r="H743" s="35" t="n">
        <v>0</v>
      </c>
      <c r="I743" s="34" t="n">
        <f aca="false">+IF(E743=0,0,E743*0.03)</f>
        <v>0</v>
      </c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customFormat="false" ht="16.4" hidden="false" customHeight="false" outlineLevel="0" collapsed="false">
      <c r="A744" s="123" t="n">
        <v>45444</v>
      </c>
      <c r="B744" s="31" t="s">
        <v>247</v>
      </c>
      <c r="C744" s="129"/>
      <c r="D744" s="129"/>
      <c r="E744" s="19" t="n">
        <f aca="false">F744*0.03</f>
        <v>0</v>
      </c>
      <c r="F744" s="33" t="n">
        <v>0</v>
      </c>
      <c r="G744" s="131"/>
      <c r="H744" s="35" t="n">
        <v>0</v>
      </c>
      <c r="I744" s="34" t="n">
        <f aca="false">+IF(E744=0,0,E744*0.03)</f>
        <v>0</v>
      </c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customFormat="false" ht="16.4" hidden="false" customHeight="false" outlineLevel="0" collapsed="false">
      <c r="A745" s="123" t="n">
        <v>45444</v>
      </c>
      <c r="B745" s="31" t="s">
        <v>246</v>
      </c>
      <c r="C745" s="129"/>
      <c r="D745" s="129"/>
      <c r="E745" s="19" t="n">
        <f aca="false">F745*0.03</f>
        <v>0</v>
      </c>
      <c r="F745" s="33" t="n">
        <v>0</v>
      </c>
      <c r="G745" s="131"/>
      <c r="H745" s="35" t="n">
        <v>0</v>
      </c>
      <c r="I745" s="34" t="n">
        <f aca="false">+IF(E745=0,0,E745*0.03)</f>
        <v>0</v>
      </c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customFormat="false" ht="16.4" hidden="false" customHeight="false" outlineLevel="0" collapsed="false">
      <c r="A746" s="123" t="n">
        <v>45444</v>
      </c>
      <c r="B746" s="31" t="s">
        <v>239</v>
      </c>
      <c r="C746" s="129"/>
      <c r="D746" s="129"/>
      <c r="E746" s="19" t="n">
        <f aca="false">F746*0.03</f>
        <v>0</v>
      </c>
      <c r="F746" s="33" t="n">
        <v>0</v>
      </c>
      <c r="G746" s="131"/>
      <c r="H746" s="35" t="n">
        <v>0</v>
      </c>
      <c r="I746" s="34" t="n">
        <f aca="false">+IF(E746=0,0,E746*0.03)</f>
        <v>0</v>
      </c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customFormat="false" ht="16.4" hidden="false" customHeight="false" outlineLevel="0" collapsed="false">
      <c r="A747" s="123" t="n">
        <v>45444</v>
      </c>
      <c r="B747" s="31" t="s">
        <v>7</v>
      </c>
      <c r="C747" s="129"/>
      <c r="D747" s="129"/>
      <c r="E747" s="19" t="n">
        <f aca="false">F747*0.03</f>
        <v>0</v>
      </c>
      <c r="F747" s="33" t="n">
        <v>0</v>
      </c>
      <c r="G747" s="131"/>
      <c r="H747" s="35" t="n">
        <v>0</v>
      </c>
      <c r="I747" s="34" t="n">
        <f aca="false">+IF(E747=0,0,E747*0.03)</f>
        <v>0</v>
      </c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customFormat="false" ht="16.4" hidden="false" customHeight="false" outlineLevel="0" collapsed="false">
      <c r="A748" s="123" t="n">
        <v>45444</v>
      </c>
      <c r="B748" s="31" t="s">
        <v>240</v>
      </c>
      <c r="C748" s="129"/>
      <c r="D748" s="129"/>
      <c r="E748" s="19" t="n">
        <f aca="false">F748*0.03</f>
        <v>0</v>
      </c>
      <c r="F748" s="33" t="n">
        <v>0</v>
      </c>
      <c r="G748" s="131"/>
      <c r="H748" s="35" t="n">
        <v>0</v>
      </c>
      <c r="I748" s="34" t="n">
        <f aca="false">+IF(E748=0,0,E748*0.03)</f>
        <v>0</v>
      </c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customFormat="false" ht="16.4" hidden="false" customHeight="false" outlineLevel="0" collapsed="false">
      <c r="A749" s="123" t="n">
        <v>45444</v>
      </c>
      <c r="B749" s="31" t="s">
        <v>153</v>
      </c>
      <c r="C749" s="129"/>
      <c r="D749" s="129"/>
      <c r="E749" s="19" t="n">
        <f aca="false">F749*0.03</f>
        <v>0</v>
      </c>
      <c r="F749" s="33" t="n">
        <v>0</v>
      </c>
      <c r="G749" s="131"/>
      <c r="H749" s="35" t="n">
        <v>0</v>
      </c>
      <c r="I749" s="34" t="n">
        <f aca="false">+IF(E749=0,0,E749*0.03)</f>
        <v>0</v>
      </c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customFormat="false" ht="16.4" hidden="false" customHeight="false" outlineLevel="0" collapsed="false">
      <c r="A750" s="123" t="n">
        <v>45444</v>
      </c>
      <c r="B750" s="31" t="s">
        <v>247</v>
      </c>
      <c r="C750" s="129"/>
      <c r="D750" s="129"/>
      <c r="E750" s="19" t="n">
        <f aca="false">F750*0.03</f>
        <v>0</v>
      </c>
      <c r="F750" s="33" t="n">
        <v>0</v>
      </c>
      <c r="G750" s="131"/>
      <c r="H750" s="35" t="n">
        <v>0</v>
      </c>
      <c r="I750" s="34" t="n">
        <f aca="false">+IF(E750=0,0,E750*0.03)</f>
        <v>0</v>
      </c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customFormat="false" ht="16.4" hidden="false" customHeight="false" outlineLevel="0" collapsed="false">
      <c r="A751" s="123" t="n">
        <v>45444</v>
      </c>
      <c r="B751" s="31" t="s">
        <v>246</v>
      </c>
      <c r="C751" s="129"/>
      <c r="D751" s="129"/>
      <c r="E751" s="19" t="n">
        <f aca="false">F751*0.03</f>
        <v>0</v>
      </c>
      <c r="F751" s="33" t="n">
        <v>0</v>
      </c>
      <c r="G751" s="131"/>
      <c r="H751" s="35" t="n">
        <v>0</v>
      </c>
      <c r="I751" s="34" t="n">
        <f aca="false">+IF(E751=0,0,E751*0.03)</f>
        <v>0</v>
      </c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customFormat="false" ht="16.4" hidden="false" customHeight="false" outlineLevel="0" collapsed="false">
      <c r="A752" s="123" t="n">
        <v>45444</v>
      </c>
      <c r="B752" s="31" t="s">
        <v>239</v>
      </c>
      <c r="C752" s="129"/>
      <c r="D752" s="129"/>
      <c r="E752" s="19" t="n">
        <f aca="false">F752*0.03</f>
        <v>0</v>
      </c>
      <c r="F752" s="33" t="n">
        <v>0</v>
      </c>
      <c r="G752" s="131"/>
      <c r="H752" s="35" t="n">
        <v>0</v>
      </c>
      <c r="I752" s="34" t="n">
        <f aca="false">+IF(E752=0,0,E752*0.03)</f>
        <v>0</v>
      </c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customFormat="false" ht="16.4" hidden="false" customHeight="false" outlineLevel="0" collapsed="false">
      <c r="A753" s="123" t="n">
        <v>45444</v>
      </c>
      <c r="B753" s="31" t="s">
        <v>7</v>
      </c>
      <c r="C753" s="129"/>
      <c r="D753" s="129"/>
      <c r="E753" s="19" t="n">
        <f aca="false">F753*0.03</f>
        <v>0</v>
      </c>
      <c r="F753" s="33" t="n">
        <v>0</v>
      </c>
      <c r="G753" s="131"/>
      <c r="H753" s="35" t="n">
        <v>0</v>
      </c>
      <c r="I753" s="34" t="n">
        <f aca="false">+IF(E753=0,0,E753*0.03)</f>
        <v>0</v>
      </c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customFormat="false" ht="16.4" hidden="false" customHeight="false" outlineLevel="0" collapsed="false">
      <c r="A754" s="123" t="n">
        <v>45444</v>
      </c>
      <c r="B754" s="31" t="s">
        <v>240</v>
      </c>
      <c r="C754" s="129"/>
      <c r="D754" s="129"/>
      <c r="E754" s="19" t="n">
        <f aca="false">F754*0.03</f>
        <v>0</v>
      </c>
      <c r="F754" s="33" t="n">
        <v>0</v>
      </c>
      <c r="G754" s="131"/>
      <c r="H754" s="35" t="n">
        <v>0</v>
      </c>
      <c r="I754" s="34" t="n">
        <f aca="false">+IF(E754=0,0,E754*0.03)</f>
        <v>0</v>
      </c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customFormat="false" ht="16.4" hidden="false" customHeight="false" outlineLevel="0" collapsed="false">
      <c r="A755" s="123" t="n">
        <v>45444</v>
      </c>
      <c r="B755" s="31" t="s">
        <v>153</v>
      </c>
      <c r="C755" s="129"/>
      <c r="D755" s="129"/>
      <c r="E755" s="19" t="n">
        <f aca="false">F755*0.03</f>
        <v>0</v>
      </c>
      <c r="F755" s="33" t="n">
        <v>0</v>
      </c>
      <c r="G755" s="131"/>
      <c r="H755" s="35" t="n">
        <v>0</v>
      </c>
      <c r="I755" s="34" t="n">
        <f aca="false">+IF(E755=0,0,E755*0.03)</f>
        <v>0</v>
      </c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customFormat="false" ht="16.4" hidden="false" customHeight="false" outlineLevel="0" collapsed="false">
      <c r="A756" s="123" t="n">
        <v>45444</v>
      </c>
      <c r="B756" s="31" t="s">
        <v>247</v>
      </c>
      <c r="C756" s="129"/>
      <c r="D756" s="129"/>
      <c r="E756" s="19" t="n">
        <f aca="false">F756*0.03</f>
        <v>0</v>
      </c>
      <c r="F756" s="33" t="n">
        <v>0</v>
      </c>
      <c r="G756" s="131"/>
      <c r="H756" s="35" t="n">
        <v>0</v>
      </c>
      <c r="I756" s="34" t="n">
        <f aca="false">+IF(E756=0,0,E756*0.03)</f>
        <v>0</v>
      </c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customFormat="false" ht="16.4" hidden="false" customHeight="false" outlineLevel="0" collapsed="false">
      <c r="A757" s="123" t="n">
        <v>45444</v>
      </c>
      <c r="B757" s="31" t="s">
        <v>246</v>
      </c>
      <c r="C757" s="129"/>
      <c r="D757" s="129"/>
      <c r="E757" s="19" t="n">
        <f aca="false">F757*0.03</f>
        <v>0</v>
      </c>
      <c r="F757" s="33" t="n">
        <v>0</v>
      </c>
      <c r="G757" s="131"/>
      <c r="H757" s="35" t="n">
        <v>0</v>
      </c>
      <c r="I757" s="34" t="n">
        <f aca="false">+IF(E757=0,0,E757*0.03)</f>
        <v>0</v>
      </c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customFormat="false" ht="16.4" hidden="false" customHeight="false" outlineLevel="0" collapsed="false">
      <c r="A758" s="123" t="n">
        <v>45444</v>
      </c>
      <c r="B758" s="31" t="s">
        <v>239</v>
      </c>
      <c r="C758" s="129"/>
      <c r="D758" s="129"/>
      <c r="E758" s="19" t="n">
        <f aca="false">F758*0.03</f>
        <v>0</v>
      </c>
      <c r="F758" s="33" t="n">
        <v>0</v>
      </c>
      <c r="G758" s="131"/>
      <c r="H758" s="35" t="n">
        <v>0</v>
      </c>
      <c r="I758" s="34" t="n">
        <f aca="false">+IF(E758=0,0,E758*0.03)</f>
        <v>0</v>
      </c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customFormat="false" ht="16.4" hidden="false" customHeight="false" outlineLevel="0" collapsed="false">
      <c r="A759" s="123" t="n">
        <v>45444</v>
      </c>
      <c r="B759" s="31" t="s">
        <v>7</v>
      </c>
      <c r="C759" s="129"/>
      <c r="D759" s="129"/>
      <c r="E759" s="19" t="n">
        <f aca="false">F759*0.03</f>
        <v>0</v>
      </c>
      <c r="F759" s="33" t="n">
        <v>0</v>
      </c>
      <c r="G759" s="131"/>
      <c r="H759" s="35" t="n">
        <v>0</v>
      </c>
      <c r="I759" s="34" t="n">
        <f aca="false">+IF(E759=0,0,E759*0.03)</f>
        <v>0</v>
      </c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customFormat="false" ht="16.4" hidden="false" customHeight="false" outlineLevel="0" collapsed="false">
      <c r="A760" s="123" t="n">
        <v>45444</v>
      </c>
      <c r="B760" s="31" t="s">
        <v>240</v>
      </c>
      <c r="C760" s="129"/>
      <c r="D760" s="129"/>
      <c r="E760" s="19" t="n">
        <f aca="false">F760*0.03</f>
        <v>0</v>
      </c>
      <c r="F760" s="33" t="n">
        <v>0</v>
      </c>
      <c r="G760" s="131"/>
      <c r="H760" s="35" t="n">
        <v>0</v>
      </c>
      <c r="I760" s="34" t="n">
        <f aca="false">+IF(E760=0,0,E760*0.03)</f>
        <v>0</v>
      </c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customFormat="false" ht="16.4" hidden="false" customHeight="false" outlineLevel="0" collapsed="false">
      <c r="A761" s="123" t="n">
        <v>45444</v>
      </c>
      <c r="B761" s="31" t="s">
        <v>153</v>
      </c>
      <c r="C761" s="129"/>
      <c r="D761" s="129"/>
      <c r="E761" s="19" t="n">
        <f aca="false">F761*0.03</f>
        <v>0</v>
      </c>
      <c r="F761" s="33" t="n">
        <v>0</v>
      </c>
      <c r="G761" s="131"/>
      <c r="H761" s="35" t="n">
        <v>0</v>
      </c>
      <c r="I761" s="34" t="n">
        <f aca="false">+IF(E761=0,0,E761*0.03)</f>
        <v>0</v>
      </c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customFormat="false" ht="16.4" hidden="false" customHeight="false" outlineLevel="0" collapsed="false">
      <c r="A762" s="123" t="n">
        <v>45444</v>
      </c>
      <c r="B762" s="31" t="s">
        <v>247</v>
      </c>
      <c r="C762" s="129"/>
      <c r="D762" s="129"/>
      <c r="E762" s="19" t="n">
        <f aca="false">F762*0.03</f>
        <v>0</v>
      </c>
      <c r="F762" s="33" t="n">
        <v>0</v>
      </c>
      <c r="G762" s="131"/>
      <c r="H762" s="35" t="n">
        <v>0</v>
      </c>
      <c r="I762" s="34" t="n">
        <f aca="false">+IF(E762=0,0,E762*0.03)</f>
        <v>0</v>
      </c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customFormat="false" ht="16.4" hidden="false" customHeight="false" outlineLevel="0" collapsed="false">
      <c r="A763" s="123" t="n">
        <v>45444</v>
      </c>
      <c r="B763" s="31" t="s">
        <v>246</v>
      </c>
      <c r="C763" s="129"/>
      <c r="D763" s="129"/>
      <c r="E763" s="19" t="n">
        <f aca="false">F763*0.03</f>
        <v>0</v>
      </c>
      <c r="F763" s="33" t="n">
        <v>0</v>
      </c>
      <c r="G763" s="131"/>
      <c r="H763" s="35" t="n">
        <v>0</v>
      </c>
      <c r="I763" s="34" t="n">
        <f aca="false">+IF(E763=0,0,E763*0.03)</f>
        <v>0</v>
      </c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customFormat="false" ht="16.4" hidden="false" customHeight="false" outlineLevel="0" collapsed="false">
      <c r="A764" s="123" t="n">
        <v>45444</v>
      </c>
      <c r="B764" s="31" t="s">
        <v>239</v>
      </c>
      <c r="C764" s="129"/>
      <c r="D764" s="129"/>
      <c r="E764" s="19" t="n">
        <f aca="false">F764*0.03</f>
        <v>0</v>
      </c>
      <c r="F764" s="33" t="n">
        <v>0</v>
      </c>
      <c r="G764" s="131"/>
      <c r="H764" s="35" t="n">
        <v>0</v>
      </c>
      <c r="I764" s="34" t="n">
        <f aca="false">+IF(E764=0,0,E764*0.03)</f>
        <v>0</v>
      </c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customFormat="false" ht="16.4" hidden="false" customHeight="false" outlineLevel="0" collapsed="false">
      <c r="A765" s="123" t="n">
        <v>45444</v>
      </c>
      <c r="B765" s="31" t="s">
        <v>7</v>
      </c>
      <c r="C765" s="129"/>
      <c r="D765" s="129"/>
      <c r="E765" s="19" t="n">
        <f aca="false">F765*0.03</f>
        <v>0</v>
      </c>
      <c r="F765" s="33" t="n">
        <v>0</v>
      </c>
      <c r="G765" s="131"/>
      <c r="H765" s="35" t="n">
        <v>0</v>
      </c>
      <c r="I765" s="34" t="n">
        <f aca="false">+IF(E765=0,0,E765*0.03)</f>
        <v>0</v>
      </c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customFormat="false" ht="16.4" hidden="false" customHeight="false" outlineLevel="0" collapsed="false">
      <c r="A766" s="123" t="n">
        <v>45444</v>
      </c>
      <c r="B766" s="31" t="s">
        <v>240</v>
      </c>
      <c r="C766" s="129"/>
      <c r="D766" s="129"/>
      <c r="E766" s="19" t="n">
        <f aca="false">F766*0.03</f>
        <v>0</v>
      </c>
      <c r="F766" s="33" t="n">
        <v>0</v>
      </c>
      <c r="G766" s="131"/>
      <c r="H766" s="35" t="n">
        <v>0</v>
      </c>
      <c r="I766" s="34" t="n">
        <f aca="false">+IF(E766=0,0,E766*0.03)</f>
        <v>0</v>
      </c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customFormat="false" ht="16.4" hidden="false" customHeight="false" outlineLevel="0" collapsed="false">
      <c r="A767" s="123" t="n">
        <v>45444</v>
      </c>
      <c r="B767" s="31" t="s">
        <v>153</v>
      </c>
      <c r="C767" s="129"/>
      <c r="D767" s="129"/>
      <c r="E767" s="19" t="n">
        <f aca="false">F767*0.03</f>
        <v>0</v>
      </c>
      <c r="F767" s="33" t="n">
        <v>0</v>
      </c>
      <c r="G767" s="131"/>
      <c r="H767" s="35" t="n">
        <v>0</v>
      </c>
      <c r="I767" s="34" t="n">
        <f aca="false">+IF(E767=0,0,E767*0.03)</f>
        <v>0</v>
      </c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customFormat="false" ht="16.4" hidden="false" customHeight="false" outlineLevel="0" collapsed="false">
      <c r="A768" s="123" t="n">
        <v>45444</v>
      </c>
      <c r="B768" s="31" t="s">
        <v>247</v>
      </c>
      <c r="C768" s="129"/>
      <c r="D768" s="129"/>
      <c r="E768" s="19" t="n">
        <f aca="false">F768*0.03</f>
        <v>0</v>
      </c>
      <c r="F768" s="33" t="n">
        <v>0</v>
      </c>
      <c r="G768" s="131"/>
      <c r="H768" s="35" t="n">
        <v>0</v>
      </c>
      <c r="I768" s="34" t="n">
        <f aca="false">+IF(E768=0,0,E768*0.03)</f>
        <v>0</v>
      </c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customFormat="false" ht="16.4" hidden="false" customHeight="false" outlineLevel="0" collapsed="false">
      <c r="A769" s="123" t="n">
        <v>45444</v>
      </c>
      <c r="B769" s="31" t="s">
        <v>246</v>
      </c>
      <c r="C769" s="129"/>
      <c r="D769" s="129"/>
      <c r="E769" s="19" t="n">
        <f aca="false">F769*0.03</f>
        <v>0</v>
      </c>
      <c r="F769" s="33" t="n">
        <v>0</v>
      </c>
      <c r="G769" s="131"/>
      <c r="H769" s="35" t="n">
        <v>0</v>
      </c>
      <c r="I769" s="34" t="n">
        <f aca="false">+IF(E769=0,0,E769*0.03)</f>
        <v>0</v>
      </c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customFormat="false" ht="16.4" hidden="false" customHeight="false" outlineLevel="0" collapsed="false">
      <c r="A770" s="123" t="n">
        <v>45444</v>
      </c>
      <c r="B770" s="31" t="s">
        <v>239</v>
      </c>
      <c r="C770" s="129"/>
      <c r="D770" s="129"/>
      <c r="E770" s="19" t="n">
        <f aca="false">F770*0.03</f>
        <v>0</v>
      </c>
      <c r="F770" s="33" t="n">
        <v>0</v>
      </c>
      <c r="G770" s="131"/>
      <c r="H770" s="35" t="n">
        <v>0</v>
      </c>
      <c r="I770" s="34" t="n">
        <f aca="false">+IF(E770=0,0,E770*0.03)</f>
        <v>0</v>
      </c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customFormat="false" ht="16.4" hidden="false" customHeight="false" outlineLevel="0" collapsed="false">
      <c r="A771" s="123" t="n">
        <v>45444</v>
      </c>
      <c r="B771" s="31" t="s">
        <v>7</v>
      </c>
      <c r="C771" s="129"/>
      <c r="D771" s="129"/>
      <c r="E771" s="19" t="n">
        <f aca="false">F771*0.03</f>
        <v>0</v>
      </c>
      <c r="F771" s="33" t="n">
        <v>0</v>
      </c>
      <c r="G771" s="131"/>
      <c r="H771" s="35" t="n">
        <v>0</v>
      </c>
      <c r="I771" s="34" t="n">
        <f aca="false">+IF(E771=0,0,E771*0.03)</f>
        <v>0</v>
      </c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customFormat="false" ht="16.4" hidden="false" customHeight="false" outlineLevel="0" collapsed="false">
      <c r="A772" s="123" t="n">
        <v>45444</v>
      </c>
      <c r="B772" s="31" t="s">
        <v>240</v>
      </c>
      <c r="C772" s="129"/>
      <c r="D772" s="129"/>
      <c r="E772" s="19" t="n">
        <f aca="false">F772*0.03</f>
        <v>0</v>
      </c>
      <c r="F772" s="33" t="n">
        <v>0</v>
      </c>
      <c r="G772" s="131"/>
      <c r="H772" s="35" t="n">
        <v>0</v>
      </c>
      <c r="I772" s="34" t="n">
        <f aca="false">+IF(E772=0,0,E772*0.03)</f>
        <v>0</v>
      </c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customFormat="false" ht="16.4" hidden="false" customHeight="false" outlineLevel="0" collapsed="false">
      <c r="A773" s="123" t="n">
        <v>45444</v>
      </c>
      <c r="B773" s="31" t="s">
        <v>153</v>
      </c>
      <c r="C773" s="129"/>
      <c r="D773" s="129"/>
      <c r="E773" s="19" t="n">
        <f aca="false">F773*0.03</f>
        <v>0</v>
      </c>
      <c r="F773" s="33" t="n">
        <v>0</v>
      </c>
      <c r="G773" s="131"/>
      <c r="H773" s="35" t="n">
        <v>0</v>
      </c>
      <c r="I773" s="34" t="n">
        <f aca="false">+IF(E773=0,0,E773*0.03)</f>
        <v>0</v>
      </c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customFormat="false" ht="16.4" hidden="false" customHeight="false" outlineLevel="0" collapsed="false">
      <c r="A774" s="123" t="n">
        <v>45444</v>
      </c>
      <c r="B774" s="31" t="s">
        <v>247</v>
      </c>
      <c r="C774" s="129"/>
      <c r="D774" s="129"/>
      <c r="E774" s="19" t="n">
        <f aca="false">F774*0.03</f>
        <v>0</v>
      </c>
      <c r="F774" s="33" t="n">
        <v>0</v>
      </c>
      <c r="G774" s="131"/>
      <c r="H774" s="35" t="n">
        <v>0</v>
      </c>
      <c r="I774" s="34" t="n">
        <f aca="false">+IF(E774=0,0,E774*0.03)</f>
        <v>0</v>
      </c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customFormat="false" ht="16.4" hidden="false" customHeight="false" outlineLevel="0" collapsed="false">
      <c r="A775" s="123" t="n">
        <v>45444</v>
      </c>
      <c r="B775" s="31" t="s">
        <v>246</v>
      </c>
      <c r="C775" s="129"/>
      <c r="D775" s="129"/>
      <c r="E775" s="19" t="n">
        <f aca="false">F775*0.03</f>
        <v>0</v>
      </c>
      <c r="F775" s="33" t="n">
        <v>0</v>
      </c>
      <c r="G775" s="131"/>
      <c r="H775" s="35" t="n">
        <v>0</v>
      </c>
      <c r="I775" s="34" t="n">
        <f aca="false">+IF(E775=0,0,E775*0.03)</f>
        <v>0</v>
      </c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customFormat="false" ht="16.4" hidden="false" customHeight="false" outlineLevel="0" collapsed="false">
      <c r="A776" s="123" t="n">
        <v>45444</v>
      </c>
      <c r="B776" s="31" t="s">
        <v>239</v>
      </c>
      <c r="C776" s="129"/>
      <c r="D776" s="129"/>
      <c r="E776" s="19" t="n">
        <f aca="false">F776*0.03</f>
        <v>0</v>
      </c>
      <c r="F776" s="33" t="n">
        <v>0</v>
      </c>
      <c r="G776" s="131"/>
      <c r="H776" s="35" t="n">
        <v>0</v>
      </c>
      <c r="I776" s="34" t="n">
        <f aca="false">+IF(E776=0,0,E776*0.03)</f>
        <v>0</v>
      </c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customFormat="false" ht="16.4" hidden="false" customHeight="false" outlineLevel="0" collapsed="false">
      <c r="A777" s="123" t="n">
        <v>45444</v>
      </c>
      <c r="B777" s="31" t="s">
        <v>7</v>
      </c>
      <c r="C777" s="129"/>
      <c r="D777" s="129"/>
      <c r="E777" s="19" t="n">
        <f aca="false">F777*0.03</f>
        <v>0</v>
      </c>
      <c r="F777" s="33" t="n">
        <v>0</v>
      </c>
      <c r="G777" s="131"/>
      <c r="H777" s="35" t="n">
        <v>0</v>
      </c>
      <c r="I777" s="34" t="n">
        <f aca="false">+IF(E777=0,0,E777*0.03)</f>
        <v>0</v>
      </c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customFormat="false" ht="16.4" hidden="false" customHeight="false" outlineLevel="0" collapsed="false">
      <c r="A778" s="123" t="n">
        <v>45444</v>
      </c>
      <c r="B778" s="31" t="s">
        <v>240</v>
      </c>
      <c r="C778" s="129"/>
      <c r="D778" s="129"/>
      <c r="E778" s="19" t="n">
        <f aca="false">F778*0.03</f>
        <v>0</v>
      </c>
      <c r="F778" s="33" t="n">
        <v>0</v>
      </c>
      <c r="G778" s="131"/>
      <c r="H778" s="35" t="n">
        <v>0</v>
      </c>
      <c r="I778" s="34" t="n">
        <f aca="false">+IF(E778=0,0,E778*0.03)</f>
        <v>0</v>
      </c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customFormat="false" ht="16.4" hidden="false" customHeight="false" outlineLevel="0" collapsed="false">
      <c r="A779" s="123" t="n">
        <v>45444</v>
      </c>
      <c r="B779" s="31" t="s">
        <v>153</v>
      </c>
      <c r="C779" s="129"/>
      <c r="D779" s="129"/>
      <c r="E779" s="19" t="n">
        <f aca="false">F779*0.03</f>
        <v>0</v>
      </c>
      <c r="F779" s="33" t="n">
        <v>0</v>
      </c>
      <c r="G779" s="131"/>
      <c r="H779" s="35" t="n">
        <v>0</v>
      </c>
      <c r="I779" s="34" t="n">
        <f aca="false">+IF(E779=0,0,E779*0.03)</f>
        <v>0</v>
      </c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customFormat="false" ht="16.4" hidden="false" customHeight="false" outlineLevel="0" collapsed="false">
      <c r="A780" s="123" t="n">
        <v>45444</v>
      </c>
      <c r="B780" s="31" t="s">
        <v>153</v>
      </c>
      <c r="C780" s="129"/>
      <c r="D780" s="129"/>
      <c r="E780" s="19" t="n">
        <f aca="false">F780*0.03</f>
        <v>0</v>
      </c>
      <c r="F780" s="33" t="n">
        <v>0</v>
      </c>
      <c r="G780" s="131"/>
      <c r="H780" s="35" t="n">
        <v>0</v>
      </c>
      <c r="I780" s="34" t="n">
        <f aca="false">+IF(E780=0,0,E780*0.03)</f>
        <v>0</v>
      </c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customFormat="false" ht="16.4" hidden="false" customHeight="false" outlineLevel="0" collapsed="false">
      <c r="A781" s="123" t="n">
        <v>45444</v>
      </c>
      <c r="B781" s="31" t="s">
        <v>153</v>
      </c>
      <c r="C781" s="129"/>
      <c r="D781" s="129"/>
      <c r="E781" s="19" t="n">
        <f aca="false">F781*0.03</f>
        <v>0</v>
      </c>
      <c r="F781" s="33" t="n">
        <v>0</v>
      </c>
      <c r="G781" s="131"/>
      <c r="H781" s="35" t="n">
        <v>0</v>
      </c>
      <c r="I781" s="34" t="n">
        <f aca="false">+IF(E781=0,0,E781*0.03)</f>
        <v>0</v>
      </c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customFormat="false" ht="16.4" hidden="false" customHeight="false" outlineLevel="0" collapsed="false">
      <c r="A782" s="123" t="n">
        <v>45444</v>
      </c>
      <c r="B782" s="31" t="s">
        <v>153</v>
      </c>
      <c r="C782" s="129"/>
      <c r="D782" s="129"/>
      <c r="E782" s="19" t="n">
        <f aca="false">F782*0.03</f>
        <v>0</v>
      </c>
      <c r="F782" s="33" t="n">
        <v>0</v>
      </c>
      <c r="G782" s="131"/>
      <c r="H782" s="35" t="n">
        <v>0</v>
      </c>
      <c r="I782" s="34" t="n">
        <f aca="false">+IF(E782=0,0,E782*0.03)</f>
        <v>0</v>
      </c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customFormat="false" ht="16.4" hidden="false" customHeight="false" outlineLevel="0" collapsed="false">
      <c r="A783" s="123" t="n">
        <v>45444</v>
      </c>
      <c r="B783" s="31" t="s">
        <v>153</v>
      </c>
      <c r="C783" s="129"/>
      <c r="D783" s="129"/>
      <c r="E783" s="19" t="n">
        <f aca="false">F783*0.03</f>
        <v>0</v>
      </c>
      <c r="F783" s="33" t="n">
        <v>0</v>
      </c>
      <c r="G783" s="131"/>
      <c r="H783" s="35" t="n">
        <v>0</v>
      </c>
      <c r="I783" s="34" t="n">
        <f aca="false">+IF(E783=0,0,E783*0.03)</f>
        <v>0</v>
      </c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customFormat="false" ht="16.4" hidden="false" customHeight="false" outlineLevel="0" collapsed="false">
      <c r="A784" s="123" t="n">
        <v>45444</v>
      </c>
      <c r="B784" s="31" t="s">
        <v>153</v>
      </c>
      <c r="C784" s="129"/>
      <c r="D784" s="129"/>
      <c r="E784" s="19" t="n">
        <f aca="false">F784*0.03</f>
        <v>0</v>
      </c>
      <c r="F784" s="33" t="n">
        <v>0</v>
      </c>
      <c r="G784" s="131"/>
      <c r="H784" s="35" t="n">
        <v>0</v>
      </c>
      <c r="I784" s="34" t="n">
        <f aca="false">+IF(E784=0,0,E784*0.03)</f>
        <v>0</v>
      </c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customFormat="false" ht="16.4" hidden="false" customHeight="false" outlineLevel="0" collapsed="false">
      <c r="A785" s="123" t="n">
        <v>45444</v>
      </c>
      <c r="B785" s="31" t="s">
        <v>153</v>
      </c>
      <c r="C785" s="129"/>
      <c r="D785" s="129"/>
      <c r="E785" s="19" t="n">
        <f aca="false">F785*0.03</f>
        <v>0</v>
      </c>
      <c r="F785" s="33" t="n">
        <v>0</v>
      </c>
      <c r="G785" s="131"/>
      <c r="H785" s="35" t="n">
        <v>0</v>
      </c>
      <c r="I785" s="34" t="n">
        <f aca="false">+IF(E785=0,0,E785*0.03)</f>
        <v>0</v>
      </c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customFormat="false" ht="16.4" hidden="false" customHeight="false" outlineLevel="0" collapsed="false">
      <c r="A786" s="123" t="n">
        <v>45444</v>
      </c>
      <c r="B786" s="31" t="s">
        <v>153</v>
      </c>
      <c r="C786" s="129"/>
      <c r="D786" s="129"/>
      <c r="E786" s="19" t="n">
        <f aca="false">F786*0.03</f>
        <v>0</v>
      </c>
      <c r="F786" s="33" t="n">
        <v>0</v>
      </c>
      <c r="G786" s="131"/>
      <c r="H786" s="35" t="n">
        <v>0</v>
      </c>
      <c r="I786" s="34" t="n">
        <f aca="false">+IF(E786=0,0,E786*0.03)</f>
        <v>0</v>
      </c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customFormat="false" ht="16.4" hidden="false" customHeight="false" outlineLevel="0" collapsed="false">
      <c r="A787" s="123" t="n">
        <v>45444</v>
      </c>
      <c r="B787" s="31" t="s">
        <v>153</v>
      </c>
      <c r="C787" s="129"/>
      <c r="D787" s="129"/>
      <c r="E787" s="19" t="n">
        <f aca="false">F787*0.03</f>
        <v>0</v>
      </c>
      <c r="F787" s="33" t="n">
        <v>0</v>
      </c>
      <c r="G787" s="131"/>
      <c r="H787" s="35" t="n">
        <v>0</v>
      </c>
      <c r="I787" s="34" t="n">
        <f aca="false">+IF(E787=0,0,E787*0.03)</f>
        <v>0</v>
      </c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customFormat="false" ht="16.4" hidden="false" customHeight="false" outlineLevel="0" collapsed="false">
      <c r="A788" s="123" t="n">
        <v>45444</v>
      </c>
      <c r="B788" s="31" t="s">
        <v>153</v>
      </c>
      <c r="C788" s="129"/>
      <c r="D788" s="129"/>
      <c r="E788" s="19" t="n">
        <f aca="false">F788*0.03</f>
        <v>0</v>
      </c>
      <c r="F788" s="33" t="n">
        <v>0</v>
      </c>
      <c r="G788" s="131"/>
      <c r="H788" s="35" t="n">
        <v>0</v>
      </c>
      <c r="I788" s="34" t="n">
        <f aca="false">+IF(E788=0,0,E788*0.03)</f>
        <v>0</v>
      </c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customFormat="false" ht="16.4" hidden="false" customHeight="false" outlineLevel="0" collapsed="false">
      <c r="A789" s="123" t="n">
        <v>45444</v>
      </c>
      <c r="B789" s="31" t="s">
        <v>153</v>
      </c>
      <c r="C789" s="129"/>
      <c r="D789" s="129"/>
      <c r="E789" s="19" t="n">
        <f aca="false">F789*0.03</f>
        <v>0</v>
      </c>
      <c r="F789" s="33" t="n">
        <v>0</v>
      </c>
      <c r="G789" s="131"/>
      <c r="H789" s="35" t="n">
        <v>0</v>
      </c>
      <c r="I789" s="34" t="n">
        <f aca="false">+IF(E789=0,0,E789*0.03)</f>
        <v>0</v>
      </c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customFormat="false" ht="16.4" hidden="false" customHeight="false" outlineLevel="0" collapsed="false">
      <c r="A790" s="123" t="n">
        <v>45444</v>
      </c>
      <c r="B790" s="31" t="s">
        <v>153</v>
      </c>
      <c r="C790" s="129"/>
      <c r="D790" s="129"/>
      <c r="E790" s="19" t="n">
        <f aca="false">F790*0.03</f>
        <v>0</v>
      </c>
      <c r="F790" s="33" t="n">
        <v>0</v>
      </c>
      <c r="G790" s="131"/>
      <c r="H790" s="35" t="n">
        <v>0</v>
      </c>
      <c r="I790" s="34" t="n">
        <f aca="false">+IF(E790=0,0,E790*0.03)</f>
        <v>0</v>
      </c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customFormat="false" ht="16.4" hidden="false" customHeight="false" outlineLevel="0" collapsed="false">
      <c r="A791" s="123" t="n">
        <v>45444</v>
      </c>
      <c r="B791" s="31" t="s">
        <v>153</v>
      </c>
      <c r="C791" s="129"/>
      <c r="D791" s="129"/>
      <c r="E791" s="19" t="n">
        <f aca="false">F791*0.03</f>
        <v>0</v>
      </c>
      <c r="F791" s="33" t="n">
        <v>0</v>
      </c>
      <c r="G791" s="131"/>
      <c r="H791" s="35" t="n">
        <v>0</v>
      </c>
      <c r="I791" s="34" t="n">
        <f aca="false">+IF(E791=0,0,E791*0.03)</f>
        <v>0</v>
      </c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customFormat="false" ht="16.4" hidden="false" customHeight="false" outlineLevel="0" collapsed="false">
      <c r="A792" s="123" t="n">
        <v>45444</v>
      </c>
      <c r="B792" s="31" t="s">
        <v>153</v>
      </c>
      <c r="C792" s="129"/>
      <c r="D792" s="129"/>
      <c r="E792" s="19" t="n">
        <f aca="false">F792*0.03</f>
        <v>0</v>
      </c>
      <c r="F792" s="33" t="n">
        <v>0</v>
      </c>
      <c r="G792" s="131"/>
      <c r="H792" s="35" t="n">
        <v>0</v>
      </c>
      <c r="I792" s="34" t="n">
        <f aca="false">+IF(E792=0,0,E792*0.03)</f>
        <v>0</v>
      </c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customFormat="false" ht="16.4" hidden="false" customHeight="false" outlineLevel="0" collapsed="false">
      <c r="A793" s="123" t="n">
        <v>45444</v>
      </c>
      <c r="B793" s="31" t="s">
        <v>153</v>
      </c>
      <c r="C793" s="129"/>
      <c r="D793" s="129"/>
      <c r="E793" s="19" t="n">
        <f aca="false">F793*0.03</f>
        <v>0</v>
      </c>
      <c r="F793" s="33" t="n">
        <v>0</v>
      </c>
      <c r="G793" s="131"/>
      <c r="H793" s="35" t="n">
        <v>0</v>
      </c>
      <c r="I793" s="34" t="n">
        <f aca="false">+IF(E793=0,0,E793*0.03)</f>
        <v>0</v>
      </c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customFormat="false" ht="16.4" hidden="false" customHeight="false" outlineLevel="0" collapsed="false">
      <c r="A794" s="123" t="n">
        <v>45444</v>
      </c>
      <c r="B794" s="31" t="s">
        <v>153</v>
      </c>
      <c r="C794" s="129"/>
      <c r="D794" s="129"/>
      <c r="E794" s="19" t="n">
        <f aca="false">F794*0.03</f>
        <v>0</v>
      </c>
      <c r="F794" s="33" t="n">
        <v>0</v>
      </c>
      <c r="G794" s="131"/>
      <c r="H794" s="35" t="n">
        <v>0</v>
      </c>
      <c r="I794" s="34" t="n">
        <f aca="false">+IF(E794=0,0,E794*0.03)</f>
        <v>0</v>
      </c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customFormat="false" ht="16.4" hidden="false" customHeight="false" outlineLevel="0" collapsed="false">
      <c r="A795" s="123" t="n">
        <v>45444</v>
      </c>
      <c r="B795" s="31" t="s">
        <v>153</v>
      </c>
      <c r="C795" s="129"/>
      <c r="D795" s="129"/>
      <c r="E795" s="19" t="n">
        <f aca="false">F795*0.03</f>
        <v>0</v>
      </c>
      <c r="F795" s="33" t="n">
        <v>0</v>
      </c>
      <c r="G795" s="131"/>
      <c r="H795" s="35" t="n">
        <v>0</v>
      </c>
      <c r="I795" s="34" t="n">
        <f aca="false">+IF(E795=0,0,E795*0.03)</f>
        <v>0</v>
      </c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customFormat="false" ht="16.4" hidden="false" customHeight="false" outlineLevel="0" collapsed="false">
      <c r="A796" s="123" t="n">
        <v>45444</v>
      </c>
      <c r="B796" s="31" t="s">
        <v>153</v>
      </c>
      <c r="C796" s="129"/>
      <c r="D796" s="129"/>
      <c r="E796" s="19" t="n">
        <f aca="false">F796*0.03</f>
        <v>0</v>
      </c>
      <c r="F796" s="33" t="n">
        <v>0</v>
      </c>
      <c r="G796" s="131"/>
      <c r="H796" s="35" t="n">
        <v>0</v>
      </c>
      <c r="I796" s="34" t="n">
        <f aca="false">+IF(E796=0,0,E796*0.03)</f>
        <v>0</v>
      </c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customFormat="false" ht="16.4" hidden="false" customHeight="false" outlineLevel="0" collapsed="false">
      <c r="A797" s="123" t="n">
        <v>45444</v>
      </c>
      <c r="B797" s="31" t="s">
        <v>153</v>
      </c>
      <c r="C797" s="129"/>
      <c r="D797" s="129"/>
      <c r="E797" s="19" t="n">
        <f aca="false">F797*0.03</f>
        <v>0</v>
      </c>
      <c r="F797" s="33" t="n">
        <v>0</v>
      </c>
      <c r="G797" s="131"/>
      <c r="H797" s="35" t="n">
        <v>0</v>
      </c>
      <c r="I797" s="34" t="n">
        <f aca="false">+IF(E797=0,0,E797*0.03)</f>
        <v>0</v>
      </c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customFormat="false" ht="16.4" hidden="false" customHeight="false" outlineLevel="0" collapsed="false">
      <c r="A798" s="123" t="n">
        <v>45444</v>
      </c>
      <c r="B798" s="31" t="s">
        <v>153</v>
      </c>
      <c r="C798" s="129"/>
      <c r="D798" s="129"/>
      <c r="E798" s="19" t="n">
        <f aca="false">F798*0.03</f>
        <v>0</v>
      </c>
      <c r="F798" s="33" t="n">
        <v>0</v>
      </c>
      <c r="G798" s="131"/>
      <c r="H798" s="35" t="n">
        <v>0</v>
      </c>
      <c r="I798" s="34" t="n">
        <f aca="false">+IF(E798=0,0,E798*0.03)</f>
        <v>0</v>
      </c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customFormat="false" ht="16.4" hidden="false" customHeight="false" outlineLevel="0" collapsed="false">
      <c r="A799" s="123" t="n">
        <v>45444</v>
      </c>
      <c r="B799" s="31" t="s">
        <v>153</v>
      </c>
      <c r="C799" s="129"/>
      <c r="D799" s="129"/>
      <c r="E799" s="19" t="n">
        <f aca="false">F799*0.03</f>
        <v>0</v>
      </c>
      <c r="F799" s="33" t="n">
        <v>0</v>
      </c>
      <c r="G799" s="131"/>
      <c r="H799" s="35" t="n">
        <v>0</v>
      </c>
      <c r="I799" s="34" t="n">
        <f aca="false">+IF(E799=0,0,E799*0.03)</f>
        <v>0</v>
      </c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customFormat="false" ht="16.4" hidden="false" customHeight="false" outlineLevel="0" collapsed="false">
      <c r="A800" s="123" t="n">
        <v>45444</v>
      </c>
      <c r="B800" s="31" t="s">
        <v>153</v>
      </c>
      <c r="C800" s="129"/>
      <c r="D800" s="129"/>
      <c r="E800" s="19" t="n">
        <f aca="false">F800*0.03</f>
        <v>0</v>
      </c>
      <c r="F800" s="33" t="n">
        <v>0</v>
      </c>
      <c r="G800" s="131"/>
      <c r="H800" s="35" t="n">
        <v>0</v>
      </c>
      <c r="I800" s="34" t="n">
        <f aca="false">+IF(E800=0,0,E800*0.03)</f>
        <v>0</v>
      </c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customFormat="false" ht="16.4" hidden="false" customHeight="false" outlineLevel="0" collapsed="false">
      <c r="A801" s="123" t="n">
        <v>45444</v>
      </c>
      <c r="B801" s="31" t="s">
        <v>153</v>
      </c>
      <c r="C801" s="129"/>
      <c r="D801" s="129"/>
      <c r="E801" s="19" t="n">
        <f aca="false">F801*0.03</f>
        <v>0</v>
      </c>
      <c r="F801" s="33" t="n">
        <v>0</v>
      </c>
      <c r="G801" s="131"/>
      <c r="H801" s="35" t="n">
        <v>0</v>
      </c>
      <c r="I801" s="34" t="n">
        <f aca="false">+IF(E801=0,0,E801*0.03)</f>
        <v>0</v>
      </c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customFormat="false" ht="16.4" hidden="false" customHeight="false" outlineLevel="0" collapsed="false">
      <c r="A802" s="123" t="n">
        <v>45444</v>
      </c>
      <c r="B802" s="31" t="s">
        <v>153</v>
      </c>
      <c r="C802" s="129"/>
      <c r="D802" s="129"/>
      <c r="E802" s="19" t="n">
        <f aca="false">F802*0.03</f>
        <v>0</v>
      </c>
      <c r="F802" s="33" t="n">
        <v>0</v>
      </c>
      <c r="G802" s="131"/>
      <c r="H802" s="35" t="n">
        <v>0</v>
      </c>
      <c r="I802" s="34" t="n">
        <f aca="false">+IF(E802=0,0,E802*0.03)</f>
        <v>0</v>
      </c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customFormat="false" ht="16.4" hidden="false" customHeight="false" outlineLevel="0" collapsed="false">
      <c r="A803" s="123" t="n">
        <v>45444</v>
      </c>
      <c r="B803" s="31" t="s">
        <v>153</v>
      </c>
      <c r="C803" s="129"/>
      <c r="D803" s="129"/>
      <c r="E803" s="19" t="n">
        <f aca="false">F803*0.03</f>
        <v>0</v>
      </c>
      <c r="F803" s="33" t="n">
        <v>0</v>
      </c>
      <c r="G803" s="131"/>
      <c r="H803" s="35" t="n">
        <v>0</v>
      </c>
      <c r="I803" s="34" t="n">
        <f aca="false">+IF(E803=0,0,E803*0.03)</f>
        <v>0</v>
      </c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customFormat="false" ht="16.4" hidden="false" customHeight="false" outlineLevel="0" collapsed="false">
      <c r="A804" s="123" t="n">
        <v>45444</v>
      </c>
      <c r="B804" s="31" t="s">
        <v>153</v>
      </c>
      <c r="C804" s="129"/>
      <c r="D804" s="129"/>
      <c r="E804" s="19" t="n">
        <f aca="false">F804*0.03</f>
        <v>0</v>
      </c>
      <c r="F804" s="33" t="n">
        <v>0</v>
      </c>
      <c r="G804" s="131"/>
      <c r="H804" s="35" t="n">
        <v>0</v>
      </c>
      <c r="I804" s="34" t="n">
        <f aca="false">+IF(E804=0,0,E804*0.03)</f>
        <v>0</v>
      </c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customFormat="false" ht="16.4" hidden="false" customHeight="false" outlineLevel="0" collapsed="false">
      <c r="A805" s="123" t="n">
        <v>45444</v>
      </c>
      <c r="B805" s="31" t="s">
        <v>153</v>
      </c>
      <c r="C805" s="129"/>
      <c r="D805" s="129"/>
      <c r="E805" s="19" t="n">
        <f aca="false">F805*0.03</f>
        <v>0</v>
      </c>
      <c r="F805" s="33" t="n">
        <v>0</v>
      </c>
      <c r="G805" s="131"/>
      <c r="H805" s="35" t="n">
        <v>0</v>
      </c>
      <c r="I805" s="34" t="n">
        <f aca="false">+IF(E805=0,0,E805*0.03)</f>
        <v>0</v>
      </c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customFormat="false" ht="16.4" hidden="false" customHeight="false" outlineLevel="0" collapsed="false">
      <c r="A806" s="123" t="n">
        <v>45444</v>
      </c>
      <c r="B806" s="31" t="s">
        <v>153</v>
      </c>
      <c r="C806" s="129"/>
      <c r="D806" s="129"/>
      <c r="E806" s="19" t="n">
        <f aca="false">F806*0.03</f>
        <v>0</v>
      </c>
      <c r="F806" s="33" t="n">
        <v>0</v>
      </c>
      <c r="G806" s="131"/>
      <c r="H806" s="35" t="n">
        <v>0</v>
      </c>
      <c r="I806" s="34" t="n">
        <f aca="false">+IF(E806=0,0,E806*0.03)</f>
        <v>0</v>
      </c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customFormat="false" ht="16.4" hidden="false" customHeight="false" outlineLevel="0" collapsed="false">
      <c r="A807" s="123" t="n">
        <v>45444</v>
      </c>
      <c r="B807" s="31" t="s">
        <v>153</v>
      </c>
      <c r="C807" s="129"/>
      <c r="D807" s="129"/>
      <c r="E807" s="19" t="n">
        <f aca="false">F807*0.03</f>
        <v>0</v>
      </c>
      <c r="F807" s="33" t="n">
        <v>0</v>
      </c>
      <c r="G807" s="131"/>
      <c r="H807" s="35" t="n">
        <v>0</v>
      </c>
      <c r="I807" s="34" t="n">
        <f aca="false">+IF(E807=0,0,E807*0.03)</f>
        <v>0</v>
      </c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customFormat="false" ht="16.4" hidden="false" customHeight="false" outlineLevel="0" collapsed="false">
      <c r="A808" s="123" t="n">
        <v>45444</v>
      </c>
      <c r="B808" s="31" t="s">
        <v>153</v>
      </c>
      <c r="C808" s="129"/>
      <c r="D808" s="129"/>
      <c r="E808" s="19" t="n">
        <f aca="false">F808*0.03</f>
        <v>0</v>
      </c>
      <c r="F808" s="33" t="n">
        <v>0</v>
      </c>
      <c r="G808" s="131"/>
      <c r="H808" s="35" t="n">
        <v>0</v>
      </c>
      <c r="I808" s="34" t="n">
        <f aca="false">+IF(E808=0,0,E808*0.03)</f>
        <v>0</v>
      </c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customFormat="false" ht="16.4" hidden="false" customHeight="false" outlineLevel="0" collapsed="false">
      <c r="A809" s="123" t="n">
        <v>45444</v>
      </c>
      <c r="B809" s="31" t="s">
        <v>153</v>
      </c>
      <c r="C809" s="129"/>
      <c r="D809" s="129"/>
      <c r="E809" s="19" t="n">
        <f aca="false">F809*0.03</f>
        <v>0</v>
      </c>
      <c r="F809" s="33" t="n">
        <v>0</v>
      </c>
      <c r="G809" s="131"/>
      <c r="H809" s="35" t="n">
        <v>0</v>
      </c>
      <c r="I809" s="34" t="n">
        <f aca="false">+IF(E809=0,0,E809*0.03)</f>
        <v>0</v>
      </c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customFormat="false" ht="16.4" hidden="false" customHeight="false" outlineLevel="0" collapsed="false">
      <c r="A810" s="123" t="n">
        <v>45444</v>
      </c>
      <c r="B810" s="31" t="s">
        <v>153</v>
      </c>
      <c r="C810" s="129"/>
      <c r="D810" s="129"/>
      <c r="E810" s="19" t="n">
        <f aca="false">F810*0.03</f>
        <v>0</v>
      </c>
      <c r="F810" s="33" t="n">
        <v>0</v>
      </c>
      <c r="G810" s="131"/>
      <c r="H810" s="35" t="n">
        <v>0</v>
      </c>
      <c r="I810" s="34" t="n">
        <f aca="false">+IF(E810=0,0,E810*0.03)</f>
        <v>0</v>
      </c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customFormat="false" ht="16.4" hidden="false" customHeight="false" outlineLevel="0" collapsed="false">
      <c r="A811" s="123" t="n">
        <v>45444</v>
      </c>
      <c r="B811" s="31" t="s">
        <v>153</v>
      </c>
      <c r="C811" s="129"/>
      <c r="D811" s="129"/>
      <c r="E811" s="19" t="n">
        <f aca="false">F811*0.03</f>
        <v>0</v>
      </c>
      <c r="F811" s="33" t="n">
        <v>0</v>
      </c>
      <c r="G811" s="131"/>
      <c r="H811" s="35" t="n">
        <v>0</v>
      </c>
      <c r="I811" s="34" t="n">
        <f aca="false">+IF(E811=0,0,E811*0.03)</f>
        <v>0</v>
      </c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customFormat="false" ht="16.4" hidden="false" customHeight="false" outlineLevel="0" collapsed="false">
      <c r="A812" s="123" t="n">
        <v>45444</v>
      </c>
      <c r="B812" s="31" t="s">
        <v>153</v>
      </c>
      <c r="C812" s="129"/>
      <c r="D812" s="129"/>
      <c r="E812" s="19" t="n">
        <f aca="false">F812*0.03</f>
        <v>0</v>
      </c>
      <c r="F812" s="33" t="n">
        <v>0</v>
      </c>
      <c r="G812" s="131"/>
      <c r="H812" s="35" t="n">
        <v>0</v>
      </c>
      <c r="I812" s="34" t="n">
        <f aca="false">+IF(E812=0,0,E812*0.03)</f>
        <v>0</v>
      </c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customFormat="false" ht="16.4" hidden="false" customHeight="false" outlineLevel="0" collapsed="false">
      <c r="A813" s="123" t="n">
        <v>45444</v>
      </c>
      <c r="B813" s="31" t="s">
        <v>153</v>
      </c>
      <c r="C813" s="129"/>
      <c r="D813" s="129"/>
      <c r="E813" s="19" t="n">
        <f aca="false">F813*0.03</f>
        <v>0</v>
      </c>
      <c r="F813" s="33" t="n">
        <v>0</v>
      </c>
      <c r="G813" s="131"/>
      <c r="H813" s="35" t="n">
        <v>0</v>
      </c>
      <c r="I813" s="34" t="n">
        <f aca="false">+IF(E813=0,0,E813*0.03)</f>
        <v>0</v>
      </c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customFormat="false" ht="16.4" hidden="false" customHeight="false" outlineLevel="0" collapsed="false">
      <c r="A814" s="123" t="n">
        <v>45444</v>
      </c>
      <c r="B814" s="31" t="s">
        <v>153</v>
      </c>
      <c r="C814" s="129"/>
      <c r="D814" s="129"/>
      <c r="E814" s="19" t="n">
        <f aca="false">F814*0.03</f>
        <v>0</v>
      </c>
      <c r="F814" s="33" t="n">
        <v>0</v>
      </c>
      <c r="G814" s="131"/>
      <c r="H814" s="35" t="n">
        <v>0</v>
      </c>
      <c r="I814" s="34" t="n">
        <f aca="false">+IF(E814=0,0,E814*0.03)</f>
        <v>0</v>
      </c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customFormat="false" ht="16.4" hidden="false" customHeight="false" outlineLevel="0" collapsed="false">
      <c r="A815" s="123" t="n">
        <v>45444</v>
      </c>
      <c r="B815" s="31" t="s">
        <v>153</v>
      </c>
      <c r="C815" s="129"/>
      <c r="D815" s="129"/>
      <c r="E815" s="19" t="n">
        <f aca="false">F815*0.03</f>
        <v>0</v>
      </c>
      <c r="F815" s="33" t="n">
        <v>0</v>
      </c>
      <c r="G815" s="131"/>
      <c r="H815" s="35" t="n">
        <v>0</v>
      </c>
      <c r="I815" s="34" t="n">
        <f aca="false">+IF(E815=0,0,E815*0.03)</f>
        <v>0</v>
      </c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customFormat="false" ht="16.4" hidden="false" customHeight="false" outlineLevel="0" collapsed="false">
      <c r="A816" s="123" t="n">
        <v>45444</v>
      </c>
      <c r="B816" s="31" t="s">
        <v>153</v>
      </c>
      <c r="C816" s="129"/>
      <c r="D816" s="129"/>
      <c r="E816" s="19" t="n">
        <f aca="false">F816*0.03</f>
        <v>0</v>
      </c>
      <c r="F816" s="33" t="n">
        <v>0</v>
      </c>
      <c r="G816" s="131"/>
      <c r="H816" s="35" t="n">
        <v>0</v>
      </c>
      <c r="I816" s="34" t="n">
        <f aca="false">+IF(E816=0,0,E816*0.03)</f>
        <v>0</v>
      </c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customFormat="false" ht="16.4" hidden="false" customHeight="false" outlineLevel="0" collapsed="false">
      <c r="A817" s="123" t="n">
        <v>45444</v>
      </c>
      <c r="B817" s="31" t="s">
        <v>153</v>
      </c>
      <c r="C817" s="129"/>
      <c r="D817" s="129"/>
      <c r="E817" s="19" t="n">
        <f aca="false">F817*0.03</f>
        <v>0</v>
      </c>
      <c r="F817" s="33" t="n">
        <v>0</v>
      </c>
      <c r="G817" s="131"/>
      <c r="H817" s="35" t="n">
        <v>0</v>
      </c>
      <c r="I817" s="34" t="n">
        <f aca="false">+IF(E817=0,0,E817*0.03)</f>
        <v>0</v>
      </c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customFormat="false" ht="16.4" hidden="false" customHeight="false" outlineLevel="0" collapsed="false">
      <c r="A818" s="123" t="n">
        <v>45444</v>
      </c>
      <c r="B818" s="31" t="s">
        <v>153</v>
      </c>
      <c r="C818" s="129"/>
      <c r="D818" s="129"/>
      <c r="E818" s="19" t="n">
        <f aca="false">F818*0.03</f>
        <v>0</v>
      </c>
      <c r="F818" s="33" t="n">
        <v>0</v>
      </c>
      <c r="G818" s="131"/>
      <c r="H818" s="35" t="n">
        <v>0</v>
      </c>
      <c r="I818" s="34" t="n">
        <f aca="false">+IF(E818=0,0,E818*0.03)</f>
        <v>0</v>
      </c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customFormat="false" ht="16.4" hidden="false" customHeight="false" outlineLevel="0" collapsed="false">
      <c r="A819" s="123" t="n">
        <v>45444</v>
      </c>
      <c r="B819" s="31" t="s">
        <v>153</v>
      </c>
      <c r="C819" s="129"/>
      <c r="D819" s="129"/>
      <c r="E819" s="19" t="n">
        <f aca="false">F819*0.03</f>
        <v>0</v>
      </c>
      <c r="F819" s="33" t="n">
        <v>0</v>
      </c>
      <c r="G819" s="131"/>
      <c r="H819" s="35" t="n">
        <v>0</v>
      </c>
      <c r="I819" s="34" t="n">
        <f aca="false">+IF(E819=0,0,E819*0.03)</f>
        <v>0</v>
      </c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customFormat="false" ht="16.4" hidden="false" customHeight="false" outlineLevel="0" collapsed="false">
      <c r="A820" s="123" t="n">
        <v>45444</v>
      </c>
      <c r="B820" s="31" t="s">
        <v>153</v>
      </c>
      <c r="C820" s="129"/>
      <c r="D820" s="129"/>
      <c r="E820" s="19" t="n">
        <f aca="false">F820*0.03</f>
        <v>0</v>
      </c>
      <c r="F820" s="33" t="n">
        <v>0</v>
      </c>
      <c r="G820" s="131"/>
      <c r="H820" s="35" t="n">
        <v>0</v>
      </c>
      <c r="I820" s="34" t="n">
        <f aca="false">+IF(E820=0,0,E820*0.03)</f>
        <v>0</v>
      </c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customFormat="false" ht="16.4" hidden="false" customHeight="false" outlineLevel="0" collapsed="false">
      <c r="A821" s="123" t="n">
        <v>45444</v>
      </c>
      <c r="B821" s="31" t="s">
        <v>153</v>
      </c>
      <c r="C821" s="129"/>
      <c r="D821" s="129"/>
      <c r="E821" s="19" t="n">
        <f aca="false">F821*0.03</f>
        <v>0</v>
      </c>
      <c r="F821" s="33" t="n">
        <v>0</v>
      </c>
      <c r="G821" s="131"/>
      <c r="H821" s="35" t="n">
        <v>0</v>
      </c>
      <c r="I821" s="34" t="n">
        <f aca="false">+IF(E821=0,0,E821*0.03)</f>
        <v>0</v>
      </c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customFormat="false" ht="16.4" hidden="false" customHeight="false" outlineLevel="0" collapsed="false">
      <c r="A822" s="123" t="n">
        <v>45444</v>
      </c>
      <c r="B822" s="31" t="s">
        <v>153</v>
      </c>
      <c r="C822" s="129"/>
      <c r="D822" s="129"/>
      <c r="E822" s="19" t="n">
        <f aca="false">F822*0.03</f>
        <v>0</v>
      </c>
      <c r="F822" s="33" t="n">
        <v>0</v>
      </c>
      <c r="G822" s="131"/>
      <c r="H822" s="35" t="n">
        <v>0</v>
      </c>
      <c r="I822" s="34" t="n">
        <f aca="false">+IF(E822=0,0,E822*0.03)</f>
        <v>0</v>
      </c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customFormat="false" ht="16.4" hidden="false" customHeight="false" outlineLevel="0" collapsed="false">
      <c r="A823" s="123" t="n">
        <v>45444</v>
      </c>
      <c r="B823" s="31" t="s">
        <v>153</v>
      </c>
      <c r="C823" s="129"/>
      <c r="D823" s="129"/>
      <c r="E823" s="19" t="n">
        <f aca="false">F823*0.03</f>
        <v>0</v>
      </c>
      <c r="F823" s="33" t="n">
        <v>0</v>
      </c>
      <c r="G823" s="131"/>
      <c r="H823" s="35" t="n">
        <v>0</v>
      </c>
      <c r="I823" s="34" t="n">
        <f aca="false">+IF(E823=0,0,E823*0.03)</f>
        <v>0</v>
      </c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customFormat="false" ht="16.4" hidden="false" customHeight="false" outlineLevel="0" collapsed="false">
      <c r="A824" s="123" t="n">
        <v>45444</v>
      </c>
      <c r="B824" s="31" t="s">
        <v>153</v>
      </c>
      <c r="C824" s="129"/>
      <c r="D824" s="129"/>
      <c r="E824" s="19" t="n">
        <f aca="false">F824*0.03</f>
        <v>0</v>
      </c>
      <c r="F824" s="33" t="n">
        <v>0</v>
      </c>
      <c r="G824" s="131"/>
      <c r="H824" s="35" t="n">
        <v>0</v>
      </c>
      <c r="I824" s="34" t="n">
        <f aca="false">+IF(E824=0,0,E824*0.03)</f>
        <v>0</v>
      </c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customFormat="false" ht="16.4" hidden="false" customHeight="false" outlineLevel="0" collapsed="false">
      <c r="A825" s="123" t="n">
        <v>45444</v>
      </c>
      <c r="B825" s="31" t="s">
        <v>153</v>
      </c>
      <c r="C825" s="129"/>
      <c r="D825" s="129"/>
      <c r="E825" s="19" t="n">
        <f aca="false">F825*0.03</f>
        <v>0</v>
      </c>
      <c r="F825" s="33" t="n">
        <v>0</v>
      </c>
      <c r="G825" s="131"/>
      <c r="H825" s="35" t="n">
        <v>0</v>
      </c>
      <c r="I825" s="34" t="n">
        <f aca="false">+IF(E825=0,0,E825*0.03)</f>
        <v>0</v>
      </c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customFormat="false" ht="16.4" hidden="false" customHeight="false" outlineLevel="0" collapsed="false">
      <c r="A826" s="123" t="n">
        <v>45444</v>
      </c>
      <c r="B826" s="31" t="s">
        <v>153</v>
      </c>
      <c r="C826" s="129"/>
      <c r="D826" s="129"/>
      <c r="E826" s="19" t="n">
        <f aca="false">F826*0.03</f>
        <v>0</v>
      </c>
      <c r="F826" s="33" t="n">
        <v>0</v>
      </c>
      <c r="G826" s="131"/>
      <c r="H826" s="35" t="n">
        <v>0</v>
      </c>
      <c r="I826" s="34" t="n">
        <f aca="false">+IF(E826=0,0,E826*0.03)</f>
        <v>0</v>
      </c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customFormat="false" ht="16.4" hidden="false" customHeight="false" outlineLevel="0" collapsed="false">
      <c r="A827" s="123" t="n">
        <v>45444</v>
      </c>
      <c r="B827" s="31" t="s">
        <v>153</v>
      </c>
      <c r="C827" s="129"/>
      <c r="D827" s="129"/>
      <c r="E827" s="19" t="n">
        <f aca="false">F827*0.03</f>
        <v>0</v>
      </c>
      <c r="F827" s="33" t="n">
        <v>0</v>
      </c>
      <c r="G827" s="131"/>
      <c r="H827" s="35" t="n">
        <v>0</v>
      </c>
      <c r="I827" s="34" t="n">
        <f aca="false">+IF(E827=0,0,E827*0.03)</f>
        <v>0</v>
      </c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customFormat="false" ht="16.4" hidden="false" customHeight="false" outlineLevel="0" collapsed="false">
      <c r="A828" s="123" t="n">
        <v>45444</v>
      </c>
      <c r="B828" s="31" t="s">
        <v>153</v>
      </c>
      <c r="C828" s="129"/>
      <c r="D828" s="129"/>
      <c r="E828" s="19" t="n">
        <f aca="false">F828*0.03</f>
        <v>0</v>
      </c>
      <c r="F828" s="33" t="n">
        <v>0</v>
      </c>
      <c r="G828" s="131"/>
      <c r="H828" s="35" t="n">
        <v>0</v>
      </c>
      <c r="I828" s="34" t="n">
        <f aca="false">+IF(E828=0,0,E828*0.03)</f>
        <v>0</v>
      </c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customFormat="false" ht="16.4" hidden="false" customHeight="false" outlineLevel="0" collapsed="false">
      <c r="A829" s="123" t="n">
        <v>45444</v>
      </c>
      <c r="B829" s="31" t="s">
        <v>153</v>
      </c>
      <c r="C829" s="129"/>
      <c r="D829" s="129"/>
      <c r="E829" s="19" t="n">
        <f aca="false">F829*0.03</f>
        <v>0</v>
      </c>
      <c r="F829" s="33" t="n">
        <v>0</v>
      </c>
      <c r="G829" s="131"/>
      <c r="H829" s="35" t="n">
        <v>0</v>
      </c>
      <c r="I829" s="34" t="n">
        <f aca="false">+IF(E829=0,0,E829*0.03)</f>
        <v>0</v>
      </c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customFormat="false" ht="16.4" hidden="false" customHeight="false" outlineLevel="0" collapsed="false">
      <c r="A830" s="123" t="n">
        <v>45444</v>
      </c>
      <c r="B830" s="31" t="s">
        <v>153</v>
      </c>
      <c r="C830" s="129"/>
      <c r="D830" s="129"/>
      <c r="E830" s="19" t="n">
        <f aca="false">F830*0.03</f>
        <v>0</v>
      </c>
      <c r="F830" s="33" t="n">
        <v>0</v>
      </c>
      <c r="G830" s="131"/>
      <c r="H830" s="35" t="n">
        <v>0</v>
      </c>
      <c r="I830" s="34" t="n">
        <f aca="false">+IF(E830=0,0,E830*0.03)</f>
        <v>0</v>
      </c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customFormat="false" ht="16.4" hidden="false" customHeight="false" outlineLevel="0" collapsed="false">
      <c r="A831" s="123" t="n">
        <v>45444</v>
      </c>
      <c r="B831" s="31" t="s">
        <v>153</v>
      </c>
      <c r="C831" s="129"/>
      <c r="D831" s="129"/>
      <c r="E831" s="19" t="n">
        <f aca="false">F831*0.03</f>
        <v>0</v>
      </c>
      <c r="F831" s="33" t="n">
        <v>0</v>
      </c>
      <c r="G831" s="131"/>
      <c r="H831" s="35" t="n">
        <v>0</v>
      </c>
      <c r="I831" s="34" t="n">
        <f aca="false">+IF(E831=0,0,E831*0.03)</f>
        <v>0</v>
      </c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customFormat="false" ht="16.4" hidden="false" customHeight="false" outlineLevel="0" collapsed="false">
      <c r="A832" s="123" t="n">
        <v>45444</v>
      </c>
      <c r="B832" s="31" t="s">
        <v>153</v>
      </c>
      <c r="C832" s="129"/>
      <c r="D832" s="129"/>
      <c r="E832" s="19" t="n">
        <f aca="false">F832*0.03</f>
        <v>0</v>
      </c>
      <c r="F832" s="33" t="n">
        <v>0</v>
      </c>
      <c r="G832" s="131"/>
      <c r="H832" s="35" t="n">
        <v>0</v>
      </c>
      <c r="I832" s="34" t="n">
        <f aca="false">+IF(E832=0,0,E832*0.03)</f>
        <v>0</v>
      </c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customFormat="false" ht="16.4" hidden="false" customHeight="false" outlineLevel="0" collapsed="false">
      <c r="A833" s="123" t="n">
        <v>45444</v>
      </c>
      <c r="B833" s="31" t="s">
        <v>153</v>
      </c>
      <c r="C833" s="129"/>
      <c r="D833" s="129"/>
      <c r="E833" s="19" t="n">
        <f aca="false">F833*0.03</f>
        <v>0</v>
      </c>
      <c r="F833" s="33" t="n">
        <v>0</v>
      </c>
      <c r="G833" s="131"/>
      <c r="H833" s="35" t="n">
        <v>0</v>
      </c>
      <c r="I833" s="34" t="n">
        <f aca="false">+IF(E833=0,0,E833*0.03)</f>
        <v>0</v>
      </c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customFormat="false" ht="16.4" hidden="false" customHeight="false" outlineLevel="0" collapsed="false">
      <c r="A834" s="123" t="n">
        <v>45444</v>
      </c>
      <c r="B834" s="31" t="s">
        <v>153</v>
      </c>
      <c r="C834" s="129"/>
      <c r="D834" s="129"/>
      <c r="E834" s="19" t="n">
        <f aca="false">F834*0.03</f>
        <v>0</v>
      </c>
      <c r="F834" s="33" t="n">
        <v>0</v>
      </c>
      <c r="G834" s="131"/>
      <c r="H834" s="35" t="n">
        <v>0</v>
      </c>
      <c r="I834" s="34" t="n">
        <f aca="false">+IF(E834=0,0,E834*0.03)</f>
        <v>0</v>
      </c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customFormat="false" ht="16.4" hidden="false" customHeight="false" outlineLevel="0" collapsed="false">
      <c r="A835" s="123" t="n">
        <v>45444</v>
      </c>
      <c r="B835" s="31" t="s">
        <v>153</v>
      </c>
      <c r="C835" s="129"/>
      <c r="D835" s="129"/>
      <c r="E835" s="19" t="n">
        <f aca="false">F835*0.03</f>
        <v>0</v>
      </c>
      <c r="F835" s="33" t="n">
        <v>0</v>
      </c>
      <c r="G835" s="131"/>
      <c r="H835" s="35" t="n">
        <v>0</v>
      </c>
      <c r="I835" s="34" t="n">
        <f aca="false">+IF(E835=0,0,E835*0.03)</f>
        <v>0</v>
      </c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customFormat="false" ht="16.4" hidden="false" customHeight="false" outlineLevel="0" collapsed="false">
      <c r="A836" s="123" t="n">
        <v>45444</v>
      </c>
      <c r="B836" s="31" t="s">
        <v>153</v>
      </c>
      <c r="C836" s="129"/>
      <c r="D836" s="129"/>
      <c r="E836" s="19" t="n">
        <f aca="false">F836*0.03</f>
        <v>0</v>
      </c>
      <c r="F836" s="33" t="n">
        <v>0</v>
      </c>
      <c r="G836" s="131"/>
      <c r="H836" s="35" t="n">
        <v>0</v>
      </c>
      <c r="I836" s="34" t="n">
        <f aca="false">+IF(E836=0,0,E836*0.03)</f>
        <v>0</v>
      </c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customFormat="false" ht="16.4" hidden="false" customHeight="false" outlineLevel="0" collapsed="false">
      <c r="A837" s="123" t="n">
        <v>45444</v>
      </c>
      <c r="B837" s="31" t="s">
        <v>153</v>
      </c>
      <c r="C837" s="129"/>
      <c r="D837" s="129"/>
      <c r="E837" s="19" t="n">
        <f aca="false">F837*0.03</f>
        <v>0</v>
      </c>
      <c r="F837" s="33" t="n">
        <v>0</v>
      </c>
      <c r="G837" s="131"/>
      <c r="H837" s="35" t="n">
        <v>0</v>
      </c>
      <c r="I837" s="34" t="n">
        <f aca="false">+IF(E837=0,0,E837*0.03)</f>
        <v>0</v>
      </c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customFormat="false" ht="16.4" hidden="false" customHeight="false" outlineLevel="0" collapsed="false">
      <c r="A838" s="123" t="n">
        <v>45444</v>
      </c>
      <c r="B838" s="31" t="s">
        <v>153</v>
      </c>
      <c r="C838" s="129"/>
      <c r="D838" s="129"/>
      <c r="E838" s="19" t="n">
        <f aca="false">F838*0.03</f>
        <v>0</v>
      </c>
      <c r="F838" s="33" t="n">
        <v>0</v>
      </c>
      <c r="G838" s="131"/>
      <c r="H838" s="35" t="n">
        <v>0</v>
      </c>
      <c r="I838" s="34" t="n">
        <f aca="false">+IF(E838=0,0,E838*0.03)</f>
        <v>0</v>
      </c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customFormat="false" ht="16.4" hidden="false" customHeight="false" outlineLevel="0" collapsed="false">
      <c r="A839" s="123" t="n">
        <v>45444</v>
      </c>
      <c r="B839" s="31" t="s">
        <v>153</v>
      </c>
      <c r="C839" s="129"/>
      <c r="D839" s="129"/>
      <c r="E839" s="19" t="n">
        <f aca="false">F839*0.03</f>
        <v>0</v>
      </c>
      <c r="F839" s="33" t="n">
        <v>0</v>
      </c>
      <c r="G839" s="131"/>
      <c r="H839" s="35" t="n">
        <v>0</v>
      </c>
      <c r="I839" s="34" t="n">
        <f aca="false">+IF(E839=0,0,E839*0.03)</f>
        <v>0</v>
      </c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customFormat="false" ht="16.4" hidden="false" customHeight="false" outlineLevel="0" collapsed="false">
      <c r="A840" s="123" t="n">
        <v>45444</v>
      </c>
      <c r="B840" s="31" t="s">
        <v>153</v>
      </c>
      <c r="C840" s="129"/>
      <c r="D840" s="129"/>
      <c r="E840" s="19" t="n">
        <f aca="false">F840*0.03</f>
        <v>0</v>
      </c>
      <c r="F840" s="33" t="n">
        <v>0</v>
      </c>
      <c r="G840" s="131"/>
      <c r="H840" s="35" t="n">
        <v>0</v>
      </c>
      <c r="I840" s="34" t="n">
        <f aca="false">+IF(E840=0,0,E840*0.03)</f>
        <v>0</v>
      </c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customFormat="false" ht="16.4" hidden="false" customHeight="false" outlineLevel="0" collapsed="false">
      <c r="A841" s="123" t="n">
        <v>45444</v>
      </c>
      <c r="B841" s="31" t="s">
        <v>153</v>
      </c>
      <c r="C841" s="129"/>
      <c r="D841" s="129"/>
      <c r="E841" s="19" t="n">
        <f aca="false">F841*0.03</f>
        <v>0</v>
      </c>
      <c r="F841" s="33" t="n">
        <v>0</v>
      </c>
      <c r="G841" s="131"/>
      <c r="H841" s="35" t="n">
        <v>0</v>
      </c>
      <c r="I841" s="34" t="n">
        <f aca="false">+IF(E841=0,0,E841*0.03)</f>
        <v>0</v>
      </c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customFormat="false" ht="16.4" hidden="false" customHeight="false" outlineLevel="0" collapsed="false">
      <c r="A842" s="123" t="n">
        <v>45444</v>
      </c>
      <c r="B842" s="31" t="s">
        <v>153</v>
      </c>
      <c r="C842" s="129"/>
      <c r="D842" s="129"/>
      <c r="E842" s="19" t="n">
        <f aca="false">F842*0.03</f>
        <v>0</v>
      </c>
      <c r="F842" s="33" t="n">
        <v>0</v>
      </c>
      <c r="G842" s="131"/>
      <c r="H842" s="35" t="n">
        <v>0</v>
      </c>
      <c r="I842" s="34" t="n">
        <f aca="false">+IF(E842=0,0,E842*0.03)</f>
        <v>0</v>
      </c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customFormat="false" ht="16.4" hidden="false" customHeight="false" outlineLevel="0" collapsed="false">
      <c r="A843" s="123" t="n">
        <v>45444</v>
      </c>
      <c r="B843" s="31" t="s">
        <v>153</v>
      </c>
      <c r="C843" s="129"/>
      <c r="D843" s="129"/>
      <c r="E843" s="19" t="n">
        <f aca="false">F843*0.03</f>
        <v>0</v>
      </c>
      <c r="F843" s="33" t="n">
        <v>0</v>
      </c>
      <c r="G843" s="131"/>
      <c r="H843" s="35" t="n">
        <v>0</v>
      </c>
      <c r="I843" s="34" t="n">
        <f aca="false">+IF(E843=0,0,E843*0.03)</f>
        <v>0</v>
      </c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customFormat="false" ht="16.4" hidden="false" customHeight="false" outlineLevel="0" collapsed="false">
      <c r="A844" s="123" t="n">
        <v>45444</v>
      </c>
      <c r="B844" s="31" t="s">
        <v>153</v>
      </c>
      <c r="C844" s="129"/>
      <c r="D844" s="129"/>
      <c r="E844" s="19" t="n">
        <f aca="false">F844*0.03</f>
        <v>0</v>
      </c>
      <c r="F844" s="33" t="n">
        <v>0</v>
      </c>
      <c r="G844" s="131"/>
      <c r="H844" s="35" t="n">
        <v>0</v>
      </c>
      <c r="I844" s="34" t="n">
        <f aca="false">+IF(E844=0,0,E844*0.03)</f>
        <v>0</v>
      </c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customFormat="false" ht="16.4" hidden="false" customHeight="false" outlineLevel="0" collapsed="false">
      <c r="A845" s="123" t="n">
        <v>45444</v>
      </c>
      <c r="B845" s="31" t="s">
        <v>153</v>
      </c>
      <c r="C845" s="129"/>
      <c r="D845" s="129"/>
      <c r="E845" s="19" t="n">
        <f aca="false">F845*0.03</f>
        <v>0</v>
      </c>
      <c r="F845" s="33" t="n">
        <v>0</v>
      </c>
      <c r="G845" s="131"/>
      <c r="H845" s="35" t="n">
        <v>0</v>
      </c>
      <c r="I845" s="34" t="n">
        <f aca="false">+IF(E845=0,0,E845*0.03)</f>
        <v>0</v>
      </c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customFormat="false" ht="16.4" hidden="false" customHeight="false" outlineLevel="0" collapsed="false">
      <c r="A846" s="123" t="n">
        <v>45444</v>
      </c>
      <c r="B846" s="31" t="s">
        <v>153</v>
      </c>
      <c r="C846" s="129"/>
      <c r="D846" s="129"/>
      <c r="E846" s="19" t="n">
        <f aca="false">F846*0.03</f>
        <v>0</v>
      </c>
      <c r="F846" s="33" t="n">
        <v>0</v>
      </c>
      <c r="G846" s="131"/>
      <c r="H846" s="35" t="n">
        <v>0</v>
      </c>
      <c r="I846" s="34" t="n">
        <f aca="false">+IF(E846=0,0,E846*0.03)</f>
        <v>0</v>
      </c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customFormat="false" ht="16.4" hidden="false" customHeight="false" outlineLevel="0" collapsed="false">
      <c r="A847" s="123" t="n">
        <v>45444</v>
      </c>
      <c r="B847" s="31" t="s">
        <v>153</v>
      </c>
      <c r="C847" s="129"/>
      <c r="D847" s="129"/>
      <c r="E847" s="19" t="n">
        <f aca="false">F847*0.03</f>
        <v>0</v>
      </c>
      <c r="F847" s="33" t="n">
        <v>0</v>
      </c>
      <c r="G847" s="131"/>
      <c r="H847" s="35" t="n">
        <v>0</v>
      </c>
      <c r="I847" s="34" t="n">
        <f aca="false">+IF(E847=0,0,E847*0.03)</f>
        <v>0</v>
      </c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customFormat="false" ht="16.4" hidden="false" customHeight="false" outlineLevel="0" collapsed="false">
      <c r="A848" s="123" t="n">
        <v>45444</v>
      </c>
      <c r="B848" s="31" t="s">
        <v>153</v>
      </c>
      <c r="C848" s="129"/>
      <c r="D848" s="129"/>
      <c r="E848" s="19" t="n">
        <f aca="false">F848*0.03</f>
        <v>0</v>
      </c>
      <c r="F848" s="33" t="n">
        <v>0</v>
      </c>
      <c r="G848" s="131"/>
      <c r="H848" s="35" t="n">
        <v>0</v>
      </c>
      <c r="I848" s="34" t="n">
        <f aca="false">+IF(E848=0,0,E848*0.03)</f>
        <v>0</v>
      </c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customFormat="false" ht="16.4" hidden="false" customHeight="false" outlineLevel="0" collapsed="false">
      <c r="A849" s="123" t="n">
        <v>45444</v>
      </c>
      <c r="B849" s="31" t="s">
        <v>153</v>
      </c>
      <c r="C849" s="129"/>
      <c r="D849" s="129"/>
      <c r="E849" s="19" t="n">
        <f aca="false">F849*0.03</f>
        <v>0</v>
      </c>
      <c r="F849" s="33" t="n">
        <v>0</v>
      </c>
      <c r="G849" s="131"/>
      <c r="H849" s="35" t="n">
        <v>0</v>
      </c>
      <c r="I849" s="34" t="n">
        <f aca="false">+IF(E849=0,0,E849*0.03)</f>
        <v>0</v>
      </c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customFormat="false" ht="16.4" hidden="false" customHeight="false" outlineLevel="0" collapsed="false">
      <c r="A850" s="123" t="n">
        <v>45444</v>
      </c>
      <c r="B850" s="31" t="s">
        <v>153</v>
      </c>
      <c r="C850" s="129"/>
      <c r="D850" s="129"/>
      <c r="E850" s="19" t="n">
        <f aca="false">F850*0.03</f>
        <v>0</v>
      </c>
      <c r="F850" s="33" t="n">
        <v>0</v>
      </c>
      <c r="G850" s="131"/>
      <c r="H850" s="35" t="n">
        <v>0</v>
      </c>
      <c r="I850" s="34" t="n">
        <f aca="false">+IF(E850=0,0,E850*0.03)</f>
        <v>0</v>
      </c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customFormat="false" ht="16.4" hidden="false" customHeight="false" outlineLevel="0" collapsed="false">
      <c r="A851" s="123" t="n">
        <v>45444</v>
      </c>
      <c r="B851" s="31" t="s">
        <v>153</v>
      </c>
      <c r="C851" s="129"/>
      <c r="D851" s="129"/>
      <c r="E851" s="19" t="n">
        <f aca="false">F851*0.03</f>
        <v>0</v>
      </c>
      <c r="F851" s="33" t="n">
        <v>0</v>
      </c>
      <c r="G851" s="131"/>
      <c r="H851" s="35" t="n">
        <v>0</v>
      </c>
      <c r="I851" s="34" t="n">
        <f aca="false">+IF(E851=0,0,E851*0.03)</f>
        <v>0</v>
      </c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customFormat="false" ht="16.4" hidden="false" customHeight="false" outlineLevel="0" collapsed="false">
      <c r="A852" s="123" t="n">
        <v>45444</v>
      </c>
      <c r="B852" s="31" t="s">
        <v>153</v>
      </c>
      <c r="C852" s="129"/>
      <c r="D852" s="129"/>
      <c r="E852" s="19" t="n">
        <f aca="false">F852*0.03</f>
        <v>0</v>
      </c>
      <c r="F852" s="33" t="n">
        <v>0</v>
      </c>
      <c r="G852" s="131"/>
      <c r="H852" s="35" t="n">
        <v>0</v>
      </c>
      <c r="I852" s="34" t="n">
        <f aca="false">+IF(E852=0,0,E852*0.03)</f>
        <v>0</v>
      </c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customFormat="false" ht="16.4" hidden="false" customHeight="false" outlineLevel="0" collapsed="false">
      <c r="A853" s="123" t="n">
        <v>45444</v>
      </c>
      <c r="B853" s="31" t="s">
        <v>153</v>
      </c>
      <c r="C853" s="129"/>
      <c r="D853" s="129"/>
      <c r="E853" s="19" t="n">
        <f aca="false">F853*0.03</f>
        <v>0</v>
      </c>
      <c r="F853" s="33" t="n">
        <v>0</v>
      </c>
      <c r="G853" s="131"/>
      <c r="H853" s="35" t="n">
        <v>0</v>
      </c>
      <c r="I853" s="34" t="n">
        <f aca="false">+IF(E853=0,0,E853*0.03)</f>
        <v>0</v>
      </c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customFormat="false" ht="16.4" hidden="false" customHeight="false" outlineLevel="0" collapsed="false">
      <c r="A854" s="123" t="n">
        <v>45444</v>
      </c>
      <c r="B854" s="31" t="s">
        <v>153</v>
      </c>
      <c r="C854" s="129"/>
      <c r="D854" s="129"/>
      <c r="E854" s="19" t="n">
        <f aca="false">F854*0.03</f>
        <v>0</v>
      </c>
      <c r="F854" s="33" t="n">
        <v>0</v>
      </c>
      <c r="G854" s="131"/>
      <c r="H854" s="35" t="n">
        <v>0</v>
      </c>
      <c r="I854" s="34" t="n">
        <f aca="false">+IF(E854=0,0,E854*0.03)</f>
        <v>0</v>
      </c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customFormat="false" ht="16.4" hidden="false" customHeight="false" outlineLevel="0" collapsed="false">
      <c r="A855" s="123" t="n">
        <v>45444</v>
      </c>
      <c r="B855" s="31" t="s">
        <v>153</v>
      </c>
      <c r="C855" s="129"/>
      <c r="D855" s="129"/>
      <c r="E855" s="19" t="n">
        <f aca="false">F855*0.03</f>
        <v>0</v>
      </c>
      <c r="F855" s="33" t="n">
        <v>0</v>
      </c>
      <c r="G855" s="131"/>
      <c r="H855" s="35" t="n">
        <v>0</v>
      </c>
      <c r="I855" s="34" t="n">
        <f aca="false">+IF(E855=0,0,E855*0.03)</f>
        <v>0</v>
      </c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customFormat="false" ht="16.4" hidden="false" customHeight="false" outlineLevel="0" collapsed="false">
      <c r="A856" s="123" t="n">
        <v>45444</v>
      </c>
      <c r="B856" s="31" t="s">
        <v>153</v>
      </c>
      <c r="C856" s="129"/>
      <c r="D856" s="129"/>
      <c r="E856" s="19" t="n">
        <f aca="false">F856*0.03</f>
        <v>0</v>
      </c>
      <c r="F856" s="33" t="n">
        <v>0</v>
      </c>
      <c r="G856" s="131"/>
      <c r="H856" s="35" t="n">
        <v>0</v>
      </c>
      <c r="I856" s="34" t="n">
        <f aca="false">+IF(E856=0,0,E856*0.03)</f>
        <v>0</v>
      </c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customFormat="false" ht="16.4" hidden="false" customHeight="false" outlineLevel="0" collapsed="false">
      <c r="A857" s="123" t="n">
        <v>45444</v>
      </c>
      <c r="B857" s="31" t="s">
        <v>153</v>
      </c>
      <c r="C857" s="129"/>
      <c r="D857" s="129"/>
      <c r="E857" s="19" t="n">
        <f aca="false">F857*0.03</f>
        <v>0</v>
      </c>
      <c r="F857" s="33" t="n">
        <v>0</v>
      </c>
      <c r="G857" s="131"/>
      <c r="H857" s="35" t="n">
        <v>0</v>
      </c>
      <c r="I857" s="34" t="n">
        <f aca="false">+IF(E857=0,0,E857*0.03)</f>
        <v>0</v>
      </c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customFormat="false" ht="16.4" hidden="false" customHeight="false" outlineLevel="0" collapsed="false">
      <c r="A858" s="123" t="n">
        <v>45444</v>
      </c>
      <c r="B858" s="31" t="s">
        <v>153</v>
      </c>
      <c r="C858" s="129"/>
      <c r="D858" s="129"/>
      <c r="E858" s="19" t="n">
        <f aca="false">F858*0.03</f>
        <v>0</v>
      </c>
      <c r="F858" s="33" t="n">
        <v>0</v>
      </c>
      <c r="G858" s="131"/>
      <c r="H858" s="35" t="n">
        <v>0</v>
      </c>
      <c r="I858" s="34" t="n">
        <f aca="false">+IF(E858=0,0,E858*0.03)</f>
        <v>0</v>
      </c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customFormat="false" ht="16.4" hidden="false" customHeight="false" outlineLevel="0" collapsed="false">
      <c r="A859" s="123" t="n">
        <v>45444</v>
      </c>
      <c r="B859" s="31" t="s">
        <v>153</v>
      </c>
      <c r="C859" s="129"/>
      <c r="D859" s="129"/>
      <c r="E859" s="19" t="n">
        <f aca="false">F859*0.03</f>
        <v>0</v>
      </c>
      <c r="F859" s="33" t="n">
        <v>0</v>
      </c>
      <c r="G859" s="131"/>
      <c r="H859" s="35" t="n">
        <v>0</v>
      </c>
      <c r="I859" s="34" t="n">
        <f aca="false">+IF(E859=0,0,E859*0.03)</f>
        <v>0</v>
      </c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customFormat="false" ht="16.4" hidden="false" customHeight="false" outlineLevel="0" collapsed="false">
      <c r="A860" s="123" t="n">
        <v>45444</v>
      </c>
      <c r="B860" s="31" t="s">
        <v>153</v>
      </c>
      <c r="C860" s="129"/>
      <c r="D860" s="129"/>
      <c r="E860" s="19" t="n">
        <f aca="false">F860*0.03</f>
        <v>0</v>
      </c>
      <c r="F860" s="33" t="n">
        <v>0</v>
      </c>
      <c r="G860" s="131"/>
      <c r="H860" s="35" t="n">
        <v>0</v>
      </c>
      <c r="I860" s="34" t="n">
        <f aca="false">+IF(E860=0,0,E860*0.03)</f>
        <v>0</v>
      </c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customFormat="false" ht="16.4" hidden="false" customHeight="false" outlineLevel="0" collapsed="false">
      <c r="A861" s="123" t="n">
        <v>45444</v>
      </c>
      <c r="B861" s="31" t="s">
        <v>153</v>
      </c>
      <c r="C861" s="129"/>
      <c r="D861" s="129"/>
      <c r="E861" s="19" t="n">
        <f aca="false">F861*0.03</f>
        <v>0</v>
      </c>
      <c r="F861" s="33" t="n">
        <v>0</v>
      </c>
      <c r="G861" s="131"/>
      <c r="H861" s="35" t="n">
        <v>0</v>
      </c>
      <c r="I861" s="34" t="n">
        <f aca="false">+IF(E861=0,0,E861*0.03)</f>
        <v>0</v>
      </c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customFormat="false" ht="16.4" hidden="false" customHeight="false" outlineLevel="0" collapsed="false">
      <c r="A862" s="123" t="n">
        <v>45444</v>
      </c>
      <c r="B862" s="31" t="s">
        <v>153</v>
      </c>
      <c r="C862" s="129"/>
      <c r="D862" s="129"/>
      <c r="E862" s="19" t="n">
        <f aca="false">F862*0.03</f>
        <v>0</v>
      </c>
      <c r="F862" s="33" t="n">
        <v>0</v>
      </c>
      <c r="G862" s="131"/>
      <c r="H862" s="35" t="n">
        <v>0</v>
      </c>
      <c r="I862" s="34" t="n">
        <f aca="false">+IF(E862=0,0,E862*0.03)</f>
        <v>0</v>
      </c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customFormat="false" ht="16.4" hidden="false" customHeight="false" outlineLevel="0" collapsed="false">
      <c r="A863" s="123" t="n">
        <v>45444</v>
      </c>
      <c r="B863" s="31" t="s">
        <v>153</v>
      </c>
      <c r="C863" s="129"/>
      <c r="D863" s="129"/>
      <c r="E863" s="19" t="n">
        <f aca="false">F863*0.03</f>
        <v>0</v>
      </c>
      <c r="F863" s="33" t="n">
        <v>0</v>
      </c>
      <c r="G863" s="131"/>
      <c r="H863" s="35" t="n">
        <v>0</v>
      </c>
      <c r="I863" s="34" t="n">
        <f aca="false">+IF(E863=0,0,E863*0.03)</f>
        <v>0</v>
      </c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customFormat="false" ht="16.4" hidden="false" customHeight="false" outlineLevel="0" collapsed="false">
      <c r="A864" s="123" t="n">
        <v>45444</v>
      </c>
      <c r="B864" s="31" t="s">
        <v>153</v>
      </c>
      <c r="C864" s="129"/>
      <c r="D864" s="129"/>
      <c r="E864" s="19" t="n">
        <f aca="false">F864*0.03</f>
        <v>0</v>
      </c>
      <c r="F864" s="33" t="n">
        <v>0</v>
      </c>
      <c r="G864" s="131"/>
      <c r="H864" s="35" t="n">
        <v>0</v>
      </c>
      <c r="I864" s="34" t="n">
        <f aca="false">+IF(E864=0,0,E864*0.03)</f>
        <v>0</v>
      </c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customFormat="false" ht="16.4" hidden="false" customHeight="false" outlineLevel="0" collapsed="false">
      <c r="A865" s="123" t="n">
        <v>45444</v>
      </c>
      <c r="B865" s="31" t="s">
        <v>153</v>
      </c>
      <c r="C865" s="129"/>
      <c r="D865" s="129"/>
      <c r="E865" s="19" t="n">
        <f aca="false">F865*0.03</f>
        <v>0</v>
      </c>
      <c r="F865" s="33" t="n">
        <v>0</v>
      </c>
      <c r="G865" s="131"/>
      <c r="H865" s="35" t="n">
        <v>0</v>
      </c>
      <c r="I865" s="34" t="n">
        <f aca="false">+IF(E865=0,0,E865*0.03)</f>
        <v>0</v>
      </c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customFormat="false" ht="16.4" hidden="false" customHeight="false" outlineLevel="0" collapsed="false">
      <c r="A866" s="123" t="n">
        <v>45444</v>
      </c>
      <c r="B866" s="31" t="s">
        <v>153</v>
      </c>
      <c r="C866" s="129"/>
      <c r="D866" s="129"/>
      <c r="E866" s="19" t="n">
        <f aca="false">F866*0.03</f>
        <v>0</v>
      </c>
      <c r="F866" s="33" t="n">
        <v>0</v>
      </c>
      <c r="G866" s="131"/>
      <c r="H866" s="35" t="n">
        <v>0</v>
      </c>
      <c r="I866" s="34" t="n">
        <f aca="false">+IF(E866=0,0,E866*0.03)</f>
        <v>0</v>
      </c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customFormat="false" ht="16.4" hidden="false" customHeight="false" outlineLevel="0" collapsed="false">
      <c r="A867" s="123" t="n">
        <v>45444</v>
      </c>
      <c r="B867" s="31" t="s">
        <v>153</v>
      </c>
      <c r="C867" s="129"/>
      <c r="D867" s="129"/>
      <c r="E867" s="19" t="n">
        <f aca="false">F867*0.03</f>
        <v>0</v>
      </c>
      <c r="F867" s="33" t="n">
        <v>0</v>
      </c>
      <c r="G867" s="131"/>
      <c r="H867" s="35" t="n">
        <v>0</v>
      </c>
      <c r="I867" s="34" t="n">
        <f aca="false">+IF(E867=0,0,E867*0.03)</f>
        <v>0</v>
      </c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customFormat="false" ht="16.4" hidden="false" customHeight="false" outlineLevel="0" collapsed="false">
      <c r="A868" s="123" t="n">
        <v>45444</v>
      </c>
      <c r="B868" s="31" t="s">
        <v>153</v>
      </c>
      <c r="C868" s="129"/>
      <c r="D868" s="129"/>
      <c r="E868" s="19" t="n">
        <f aca="false">F868*0.03</f>
        <v>0</v>
      </c>
      <c r="F868" s="33" t="n">
        <v>0</v>
      </c>
      <c r="G868" s="131"/>
      <c r="H868" s="35" t="n">
        <v>0</v>
      </c>
      <c r="I868" s="34" t="n">
        <f aca="false">+IF(E868=0,0,E868*0.03)</f>
        <v>0</v>
      </c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customFormat="false" ht="16.4" hidden="false" customHeight="false" outlineLevel="0" collapsed="false">
      <c r="A869" s="123" t="n">
        <v>45444</v>
      </c>
      <c r="B869" s="31" t="s">
        <v>153</v>
      </c>
      <c r="C869" s="129"/>
      <c r="D869" s="129"/>
      <c r="E869" s="19" t="n">
        <f aca="false">F869*0.03</f>
        <v>0</v>
      </c>
      <c r="F869" s="33" t="n">
        <v>0</v>
      </c>
      <c r="G869" s="131"/>
      <c r="H869" s="35" t="n">
        <v>0</v>
      </c>
      <c r="I869" s="34" t="n">
        <f aca="false">+IF(E869=0,0,E869*0.03)</f>
        <v>0</v>
      </c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customFormat="false" ht="16.4" hidden="false" customHeight="false" outlineLevel="0" collapsed="false">
      <c r="A870" s="123" t="n">
        <v>45444</v>
      </c>
      <c r="B870" s="31" t="s">
        <v>153</v>
      </c>
      <c r="C870" s="129"/>
      <c r="D870" s="129"/>
      <c r="E870" s="19" t="n">
        <f aca="false">F870*0.03</f>
        <v>0</v>
      </c>
      <c r="F870" s="33" t="n">
        <v>0</v>
      </c>
      <c r="G870" s="131"/>
      <c r="H870" s="35" t="n">
        <v>0</v>
      </c>
      <c r="I870" s="34" t="n">
        <f aca="false">+IF(E870=0,0,E870*0.03)</f>
        <v>0</v>
      </c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customFormat="false" ht="16.4" hidden="false" customHeight="false" outlineLevel="0" collapsed="false">
      <c r="A871" s="123" t="n">
        <v>45444</v>
      </c>
      <c r="B871" s="31" t="s">
        <v>153</v>
      </c>
      <c r="C871" s="129"/>
      <c r="D871" s="129"/>
      <c r="E871" s="19" t="n">
        <f aca="false">F871*0.03</f>
        <v>0</v>
      </c>
      <c r="F871" s="33" t="n">
        <v>0</v>
      </c>
      <c r="G871" s="131"/>
      <c r="H871" s="35" t="n">
        <v>0</v>
      </c>
      <c r="I871" s="34" t="n">
        <f aca="false">+IF(E871=0,0,E871*0.03)</f>
        <v>0</v>
      </c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customFormat="false" ht="16.4" hidden="false" customHeight="false" outlineLevel="0" collapsed="false">
      <c r="A872" s="123" t="n">
        <v>45444</v>
      </c>
      <c r="B872" s="31" t="s">
        <v>153</v>
      </c>
      <c r="C872" s="129"/>
      <c r="D872" s="129"/>
      <c r="E872" s="19" t="n">
        <f aca="false">F872*0.03</f>
        <v>0</v>
      </c>
      <c r="F872" s="33" t="n">
        <v>0</v>
      </c>
      <c r="G872" s="131"/>
      <c r="H872" s="35" t="n">
        <v>0</v>
      </c>
      <c r="I872" s="34" t="n">
        <f aca="false">+IF(E872=0,0,E872*0.03)</f>
        <v>0</v>
      </c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customFormat="false" ht="16.4" hidden="false" customHeight="false" outlineLevel="0" collapsed="false">
      <c r="A873" s="123" t="n">
        <v>45444</v>
      </c>
      <c r="B873" s="31" t="s">
        <v>153</v>
      </c>
      <c r="C873" s="129"/>
      <c r="D873" s="129"/>
      <c r="E873" s="19" t="n">
        <f aca="false">F873*0.03</f>
        <v>0</v>
      </c>
      <c r="F873" s="33" t="n">
        <v>0</v>
      </c>
      <c r="G873" s="131"/>
      <c r="H873" s="35" t="n">
        <v>0</v>
      </c>
      <c r="I873" s="34" t="n">
        <f aca="false">+IF(E873=0,0,E873*0.03)</f>
        <v>0</v>
      </c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customFormat="false" ht="16.4" hidden="false" customHeight="false" outlineLevel="0" collapsed="false">
      <c r="A874" s="123" t="n">
        <v>45444</v>
      </c>
      <c r="B874" s="31" t="s">
        <v>153</v>
      </c>
      <c r="C874" s="129"/>
      <c r="D874" s="129"/>
      <c r="E874" s="19" t="n">
        <f aca="false">F874*0.03</f>
        <v>0</v>
      </c>
      <c r="F874" s="33" t="n">
        <v>0</v>
      </c>
      <c r="G874" s="131"/>
      <c r="H874" s="35" t="n">
        <v>0</v>
      </c>
      <c r="I874" s="34" t="n">
        <f aca="false">+IF(E874=0,0,E874*0.03)</f>
        <v>0</v>
      </c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customFormat="false" ht="16.4" hidden="false" customHeight="false" outlineLevel="0" collapsed="false">
      <c r="A875" s="123" t="n">
        <v>45444</v>
      </c>
      <c r="B875" s="31" t="s">
        <v>153</v>
      </c>
      <c r="C875" s="129"/>
      <c r="D875" s="129"/>
      <c r="E875" s="19" t="n">
        <f aca="false">F875*0.03</f>
        <v>0</v>
      </c>
      <c r="F875" s="33" t="n">
        <v>0</v>
      </c>
      <c r="G875" s="131"/>
      <c r="H875" s="35" t="n">
        <v>0</v>
      </c>
      <c r="I875" s="34" t="n">
        <f aca="false">+IF(E875=0,0,E875*0.03)</f>
        <v>0</v>
      </c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customFormat="false" ht="16.4" hidden="false" customHeight="false" outlineLevel="0" collapsed="false">
      <c r="A876" s="123" t="n">
        <v>45444</v>
      </c>
      <c r="B876" s="31" t="s">
        <v>153</v>
      </c>
      <c r="C876" s="129"/>
      <c r="D876" s="129"/>
      <c r="E876" s="19" t="n">
        <f aca="false">F876*0.03</f>
        <v>0</v>
      </c>
      <c r="F876" s="33" t="n">
        <v>0</v>
      </c>
      <c r="G876" s="131"/>
      <c r="H876" s="35" t="n">
        <v>0</v>
      </c>
      <c r="I876" s="34" t="n">
        <f aca="false">+IF(E876=0,0,E876*0.03)</f>
        <v>0</v>
      </c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customFormat="false" ht="16.4" hidden="false" customHeight="false" outlineLevel="0" collapsed="false">
      <c r="A877" s="123" t="n">
        <v>45444</v>
      </c>
      <c r="B877" s="31" t="s">
        <v>153</v>
      </c>
      <c r="C877" s="129"/>
      <c r="D877" s="129"/>
      <c r="E877" s="19" t="n">
        <f aca="false">F877*0.03</f>
        <v>0</v>
      </c>
      <c r="F877" s="33" t="n">
        <v>0</v>
      </c>
      <c r="G877" s="131"/>
      <c r="H877" s="35" t="n">
        <v>0</v>
      </c>
      <c r="I877" s="34" t="n">
        <f aca="false">+IF(E877=0,0,E877*0.03)</f>
        <v>0</v>
      </c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customFormat="false" ht="16.4" hidden="false" customHeight="false" outlineLevel="0" collapsed="false">
      <c r="A878" s="123" t="n">
        <v>45444</v>
      </c>
      <c r="B878" s="31" t="s">
        <v>153</v>
      </c>
      <c r="C878" s="129"/>
      <c r="D878" s="129"/>
      <c r="E878" s="19" t="n">
        <f aca="false">F878*0.03</f>
        <v>0</v>
      </c>
      <c r="F878" s="33" t="n">
        <v>0</v>
      </c>
      <c r="G878" s="131"/>
      <c r="H878" s="35" t="n">
        <v>0</v>
      </c>
      <c r="I878" s="34" t="n">
        <f aca="false">+IF(E878=0,0,E878*0.03)</f>
        <v>0</v>
      </c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customFormat="false" ht="16.4" hidden="false" customHeight="false" outlineLevel="0" collapsed="false">
      <c r="A879" s="123" t="n">
        <v>45444</v>
      </c>
      <c r="B879" s="31" t="s">
        <v>153</v>
      </c>
      <c r="C879" s="129"/>
      <c r="D879" s="129"/>
      <c r="E879" s="19" t="n">
        <f aca="false">F879*0.03</f>
        <v>0</v>
      </c>
      <c r="F879" s="33" t="n">
        <v>0</v>
      </c>
      <c r="G879" s="131"/>
      <c r="H879" s="35" t="n">
        <v>0</v>
      </c>
      <c r="I879" s="34" t="n">
        <f aca="false">+IF(E879=0,0,E879*0.03)</f>
        <v>0</v>
      </c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customFormat="false" ht="16.4" hidden="false" customHeight="false" outlineLevel="0" collapsed="false">
      <c r="A880" s="123" t="n">
        <v>45444</v>
      </c>
      <c r="B880" s="31" t="s">
        <v>153</v>
      </c>
      <c r="C880" s="129"/>
      <c r="D880" s="129"/>
      <c r="E880" s="19" t="n">
        <f aca="false">F880*0.03</f>
        <v>0</v>
      </c>
      <c r="F880" s="33" t="n">
        <v>0</v>
      </c>
      <c r="G880" s="131"/>
      <c r="H880" s="35" t="n">
        <v>0</v>
      </c>
      <c r="I880" s="34" t="n">
        <f aca="false">+IF(E880=0,0,E880*0.03)</f>
        <v>0</v>
      </c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customFormat="false" ht="16.4" hidden="false" customHeight="false" outlineLevel="0" collapsed="false">
      <c r="A881" s="123" t="n">
        <v>45444</v>
      </c>
      <c r="B881" s="31" t="s">
        <v>153</v>
      </c>
      <c r="C881" s="129"/>
      <c r="D881" s="129"/>
      <c r="E881" s="19" t="n">
        <f aca="false">F881*0.03</f>
        <v>0</v>
      </c>
      <c r="F881" s="33" t="n">
        <v>0</v>
      </c>
      <c r="G881" s="131"/>
      <c r="H881" s="35" t="n">
        <v>0</v>
      </c>
      <c r="I881" s="34" t="n">
        <f aca="false">+IF(E881=0,0,E881*0.03)</f>
        <v>0</v>
      </c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customFormat="false" ht="16.4" hidden="false" customHeight="false" outlineLevel="0" collapsed="false">
      <c r="A882" s="123" t="n">
        <v>45444</v>
      </c>
      <c r="B882" s="31" t="s">
        <v>153</v>
      </c>
      <c r="C882" s="129"/>
      <c r="D882" s="129"/>
      <c r="E882" s="19" t="n">
        <f aca="false">F882*0.03</f>
        <v>0</v>
      </c>
      <c r="F882" s="33" t="n">
        <v>0</v>
      </c>
      <c r="G882" s="131"/>
      <c r="H882" s="35" t="n">
        <v>0</v>
      </c>
      <c r="I882" s="34" t="n">
        <f aca="false">+IF(E882=0,0,E882*0.03)</f>
        <v>0</v>
      </c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customFormat="false" ht="16.4" hidden="false" customHeight="false" outlineLevel="0" collapsed="false">
      <c r="A883" s="123" t="n">
        <v>45444</v>
      </c>
      <c r="B883" s="31" t="s">
        <v>153</v>
      </c>
      <c r="C883" s="129"/>
      <c r="D883" s="129"/>
      <c r="E883" s="19" t="n">
        <f aca="false">F883*0.03</f>
        <v>0</v>
      </c>
      <c r="F883" s="33" t="n">
        <v>0</v>
      </c>
      <c r="G883" s="131"/>
      <c r="H883" s="35" t="n">
        <v>0</v>
      </c>
      <c r="I883" s="34" t="n">
        <f aca="false">+IF(E883=0,0,E883*0.03)</f>
        <v>0</v>
      </c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customFormat="false" ht="16.4" hidden="false" customHeight="false" outlineLevel="0" collapsed="false">
      <c r="A884" s="123" t="n">
        <v>45444</v>
      </c>
      <c r="B884" s="31" t="s">
        <v>153</v>
      </c>
      <c r="C884" s="129"/>
      <c r="D884" s="129"/>
      <c r="E884" s="19" t="n">
        <f aca="false">F884*0.03</f>
        <v>0</v>
      </c>
      <c r="F884" s="33" t="n">
        <v>0</v>
      </c>
      <c r="G884" s="131"/>
      <c r="H884" s="35" t="n">
        <v>0</v>
      </c>
      <c r="I884" s="34" t="n">
        <f aca="false">+IF(E884=0,0,E884*0.03)</f>
        <v>0</v>
      </c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customFormat="false" ht="16.4" hidden="false" customHeight="false" outlineLevel="0" collapsed="false">
      <c r="A885" s="123" t="n">
        <v>45444</v>
      </c>
      <c r="B885" s="31" t="s">
        <v>153</v>
      </c>
      <c r="C885" s="129"/>
      <c r="D885" s="129"/>
      <c r="E885" s="19" t="n">
        <f aca="false">F885*0.03</f>
        <v>0</v>
      </c>
      <c r="F885" s="33" t="n">
        <v>0</v>
      </c>
      <c r="G885" s="131"/>
      <c r="H885" s="35" t="n">
        <v>0</v>
      </c>
      <c r="I885" s="34" t="n">
        <f aca="false">+IF(E885=0,0,E885*0.03)</f>
        <v>0</v>
      </c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customFormat="false" ht="16.4" hidden="false" customHeight="false" outlineLevel="0" collapsed="false">
      <c r="A886" s="123" t="n">
        <v>45444</v>
      </c>
      <c r="B886" s="31" t="s">
        <v>153</v>
      </c>
      <c r="C886" s="129"/>
      <c r="D886" s="129"/>
      <c r="E886" s="19" t="n">
        <f aca="false">F886*0.03</f>
        <v>0</v>
      </c>
      <c r="F886" s="33" t="n">
        <v>0</v>
      </c>
      <c r="G886" s="131"/>
      <c r="H886" s="35" t="n">
        <v>0</v>
      </c>
      <c r="I886" s="34" t="n">
        <f aca="false">+IF(E886=0,0,E886*0.03)</f>
        <v>0</v>
      </c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customFormat="false" ht="16.4" hidden="false" customHeight="false" outlineLevel="0" collapsed="false">
      <c r="A887" s="123" t="n">
        <v>45444</v>
      </c>
      <c r="B887" s="31" t="s">
        <v>153</v>
      </c>
      <c r="C887" s="129"/>
      <c r="D887" s="129"/>
      <c r="E887" s="19" t="n">
        <f aca="false">F887*0.03</f>
        <v>0</v>
      </c>
      <c r="F887" s="33" t="n">
        <v>0</v>
      </c>
      <c r="G887" s="131"/>
      <c r="H887" s="35" t="n">
        <v>0</v>
      </c>
      <c r="I887" s="34" t="n">
        <f aca="false">+IF(E887=0,0,E887*0.03)</f>
        <v>0</v>
      </c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customFormat="false" ht="16.4" hidden="false" customHeight="false" outlineLevel="0" collapsed="false">
      <c r="A888" s="123" t="n">
        <v>45444</v>
      </c>
      <c r="B888" s="31" t="s">
        <v>153</v>
      </c>
      <c r="C888" s="129"/>
      <c r="D888" s="129"/>
      <c r="E888" s="19" t="n">
        <f aca="false">F888*0.03</f>
        <v>0</v>
      </c>
      <c r="F888" s="33" t="n">
        <v>0</v>
      </c>
      <c r="G888" s="131"/>
      <c r="H888" s="35" t="n">
        <v>0</v>
      </c>
      <c r="I888" s="34" t="n">
        <f aca="false">+IF(E888=0,0,E888*0.03)</f>
        <v>0</v>
      </c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customFormat="false" ht="16.4" hidden="false" customHeight="false" outlineLevel="0" collapsed="false">
      <c r="A889" s="123" t="n">
        <v>45444</v>
      </c>
      <c r="B889" s="31" t="s">
        <v>153</v>
      </c>
      <c r="C889" s="129"/>
      <c r="D889" s="129"/>
      <c r="E889" s="19" t="n">
        <f aca="false">F889*0.03</f>
        <v>0</v>
      </c>
      <c r="F889" s="33" t="n">
        <v>0</v>
      </c>
      <c r="G889" s="131"/>
      <c r="H889" s="35" t="n">
        <v>0</v>
      </c>
      <c r="I889" s="34" t="n">
        <f aca="false">+IF(E889=0,0,E889*0.03)</f>
        <v>0</v>
      </c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customFormat="false" ht="16.4" hidden="false" customHeight="false" outlineLevel="0" collapsed="false">
      <c r="A890" s="123" t="n">
        <v>45444</v>
      </c>
      <c r="B890" s="31" t="s">
        <v>153</v>
      </c>
      <c r="C890" s="129"/>
      <c r="D890" s="129"/>
      <c r="E890" s="19" t="n">
        <f aca="false">F890*0.03</f>
        <v>0</v>
      </c>
      <c r="F890" s="33" t="n">
        <v>0</v>
      </c>
      <c r="G890" s="131"/>
      <c r="H890" s="35" t="n">
        <v>0</v>
      </c>
      <c r="I890" s="34" t="n">
        <f aca="false">+IF(E890=0,0,E890*0.03)</f>
        <v>0</v>
      </c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customFormat="false" ht="16.4" hidden="false" customHeight="false" outlineLevel="0" collapsed="false">
      <c r="A891" s="123" t="n">
        <v>45444</v>
      </c>
      <c r="B891" s="31" t="s">
        <v>153</v>
      </c>
      <c r="C891" s="129"/>
      <c r="D891" s="129"/>
      <c r="E891" s="19" t="n">
        <f aca="false">F891*0.03</f>
        <v>0</v>
      </c>
      <c r="F891" s="33" t="n">
        <v>0</v>
      </c>
      <c r="G891" s="131"/>
      <c r="H891" s="35" t="n">
        <v>0</v>
      </c>
      <c r="I891" s="34" t="n">
        <f aca="false">+IF(E891=0,0,E891*0.03)</f>
        <v>0</v>
      </c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customFormat="false" ht="16.4" hidden="false" customHeight="false" outlineLevel="0" collapsed="false">
      <c r="A892" s="123" t="n">
        <v>45444</v>
      </c>
      <c r="B892" s="31" t="s">
        <v>153</v>
      </c>
      <c r="C892" s="129"/>
      <c r="D892" s="129"/>
      <c r="E892" s="19" t="n">
        <f aca="false">F892*0.03</f>
        <v>0</v>
      </c>
      <c r="F892" s="33" t="n">
        <v>0</v>
      </c>
      <c r="G892" s="131"/>
      <c r="H892" s="35" t="n">
        <v>0</v>
      </c>
      <c r="I892" s="34" t="n">
        <f aca="false">+IF(E892=0,0,E892*0.03)</f>
        <v>0</v>
      </c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customFormat="false" ht="16.4" hidden="false" customHeight="false" outlineLevel="0" collapsed="false">
      <c r="A893" s="123" t="n">
        <v>45444</v>
      </c>
      <c r="B893" s="31" t="s">
        <v>153</v>
      </c>
      <c r="C893" s="129"/>
      <c r="D893" s="129"/>
      <c r="E893" s="19" t="n">
        <f aca="false">F893*0.03</f>
        <v>0</v>
      </c>
      <c r="F893" s="33" t="n">
        <v>0</v>
      </c>
      <c r="G893" s="131"/>
      <c r="H893" s="35" t="n">
        <v>0</v>
      </c>
      <c r="I893" s="34" t="n">
        <f aca="false">+IF(E893=0,0,E893*0.03)</f>
        <v>0</v>
      </c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customFormat="false" ht="16.4" hidden="false" customHeight="false" outlineLevel="0" collapsed="false">
      <c r="A894" s="123" t="n">
        <v>45444</v>
      </c>
      <c r="B894" s="31" t="s">
        <v>153</v>
      </c>
      <c r="C894" s="129"/>
      <c r="D894" s="129"/>
      <c r="E894" s="19" t="n">
        <f aca="false">F894*0.03</f>
        <v>0</v>
      </c>
      <c r="F894" s="33" t="n">
        <v>0</v>
      </c>
      <c r="G894" s="131"/>
      <c r="H894" s="35" t="n">
        <v>0</v>
      </c>
      <c r="I894" s="34" t="n">
        <f aca="false">+IF(E894=0,0,E894*0.03)</f>
        <v>0</v>
      </c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customFormat="false" ht="16.4" hidden="false" customHeight="false" outlineLevel="0" collapsed="false">
      <c r="A895" s="123" t="n">
        <v>45444</v>
      </c>
      <c r="B895" s="31" t="s">
        <v>153</v>
      </c>
      <c r="C895" s="129"/>
      <c r="D895" s="129"/>
      <c r="E895" s="19" t="n">
        <f aca="false">F895*0.03</f>
        <v>0</v>
      </c>
      <c r="F895" s="33" t="n">
        <v>0</v>
      </c>
      <c r="G895" s="131"/>
      <c r="H895" s="35" t="n">
        <v>0</v>
      </c>
      <c r="I895" s="34" t="n">
        <f aca="false">+IF(E895=0,0,E895*0.03)</f>
        <v>0</v>
      </c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customFormat="false" ht="16.4" hidden="false" customHeight="false" outlineLevel="0" collapsed="false">
      <c r="A896" s="123" t="n">
        <v>45444</v>
      </c>
      <c r="B896" s="31" t="s">
        <v>153</v>
      </c>
      <c r="C896" s="129"/>
      <c r="D896" s="129"/>
      <c r="E896" s="19" t="n">
        <f aca="false">F896*0.03</f>
        <v>0</v>
      </c>
      <c r="F896" s="33" t="n">
        <v>0</v>
      </c>
      <c r="G896" s="131"/>
      <c r="H896" s="35" t="n">
        <v>0</v>
      </c>
      <c r="I896" s="34" t="n">
        <f aca="false">+IF(E896=0,0,E896*0.03)</f>
        <v>0</v>
      </c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customFormat="false" ht="16.4" hidden="false" customHeight="false" outlineLevel="0" collapsed="false">
      <c r="A897" s="123" t="n">
        <v>45444</v>
      </c>
      <c r="B897" s="31" t="s">
        <v>153</v>
      </c>
      <c r="C897" s="129"/>
      <c r="D897" s="129"/>
      <c r="E897" s="19" t="n">
        <f aca="false">F897*0.03</f>
        <v>0</v>
      </c>
      <c r="F897" s="33" t="n">
        <v>0</v>
      </c>
      <c r="G897" s="131"/>
      <c r="H897" s="35" t="n">
        <v>0</v>
      </c>
      <c r="I897" s="34" t="n">
        <f aca="false">+IF(E897=0,0,E897*0.03)</f>
        <v>0</v>
      </c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customFormat="false" ht="16.4" hidden="false" customHeight="false" outlineLevel="0" collapsed="false">
      <c r="A898" s="123" t="n">
        <v>45444</v>
      </c>
      <c r="B898" s="31" t="s">
        <v>153</v>
      </c>
      <c r="C898" s="129"/>
      <c r="D898" s="129"/>
      <c r="E898" s="19" t="n">
        <f aca="false">F898*0.03</f>
        <v>0</v>
      </c>
      <c r="F898" s="33" t="n">
        <v>0</v>
      </c>
      <c r="G898" s="131"/>
      <c r="H898" s="35" t="n">
        <v>0</v>
      </c>
      <c r="I898" s="34" t="n">
        <f aca="false">+IF(E898=0,0,E898*0.03)</f>
        <v>0</v>
      </c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customFormat="false" ht="16.4" hidden="false" customHeight="false" outlineLevel="0" collapsed="false">
      <c r="A899" s="123" t="n">
        <v>45444</v>
      </c>
      <c r="B899" s="31" t="s">
        <v>153</v>
      </c>
      <c r="C899" s="129"/>
      <c r="D899" s="129"/>
      <c r="E899" s="19" t="n">
        <f aca="false">F899*0.03</f>
        <v>0</v>
      </c>
      <c r="F899" s="33" t="n">
        <v>0</v>
      </c>
      <c r="G899" s="131"/>
      <c r="H899" s="35" t="n">
        <v>0</v>
      </c>
      <c r="I899" s="34" t="n">
        <f aca="false">+IF(E899=0,0,E899*0.03)</f>
        <v>0</v>
      </c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customFormat="false" ht="16.4" hidden="false" customHeight="false" outlineLevel="0" collapsed="false">
      <c r="A900" s="123" t="n">
        <v>45444</v>
      </c>
      <c r="B900" s="31" t="s">
        <v>153</v>
      </c>
      <c r="C900" s="129"/>
      <c r="D900" s="129"/>
      <c r="E900" s="19" t="n">
        <f aca="false">F900*0.03</f>
        <v>0</v>
      </c>
      <c r="F900" s="33" t="n">
        <v>0</v>
      </c>
      <c r="G900" s="131"/>
      <c r="H900" s="35" t="n">
        <v>0</v>
      </c>
      <c r="I900" s="34" t="n">
        <f aca="false">+IF(E900=0,0,E900*0.03)</f>
        <v>0</v>
      </c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customFormat="false" ht="16.4" hidden="false" customHeight="false" outlineLevel="0" collapsed="false">
      <c r="A901" s="123" t="n">
        <v>45444</v>
      </c>
      <c r="B901" s="31" t="s">
        <v>153</v>
      </c>
      <c r="C901" s="129"/>
      <c r="D901" s="129"/>
      <c r="E901" s="19" t="n">
        <f aca="false">F901*0.03</f>
        <v>0</v>
      </c>
      <c r="F901" s="33" t="n">
        <v>0</v>
      </c>
      <c r="G901" s="131"/>
      <c r="H901" s="35" t="n">
        <v>0</v>
      </c>
      <c r="I901" s="34" t="n">
        <f aca="false">+IF(E901=0,0,E901*0.03)</f>
        <v>0</v>
      </c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customFormat="false" ht="16.4" hidden="false" customHeight="false" outlineLevel="0" collapsed="false">
      <c r="A902" s="123" t="n">
        <v>45444</v>
      </c>
      <c r="B902" s="31" t="s">
        <v>153</v>
      </c>
      <c r="C902" s="129"/>
      <c r="D902" s="129"/>
      <c r="E902" s="19" t="n">
        <f aca="false">F902*0.03</f>
        <v>0</v>
      </c>
      <c r="F902" s="33" t="n">
        <v>0</v>
      </c>
      <c r="G902" s="131"/>
      <c r="H902" s="35" t="n">
        <v>0</v>
      </c>
      <c r="I902" s="34" t="n">
        <f aca="false">+IF(E902=0,0,E902*0.03)</f>
        <v>0</v>
      </c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customFormat="false" ht="16.4" hidden="false" customHeight="false" outlineLevel="0" collapsed="false">
      <c r="A903" s="123" t="n">
        <v>45444</v>
      </c>
      <c r="B903" s="31" t="s">
        <v>153</v>
      </c>
      <c r="C903" s="129"/>
      <c r="D903" s="129"/>
      <c r="E903" s="19" t="n">
        <f aca="false">F903*0.03</f>
        <v>0</v>
      </c>
      <c r="F903" s="33" t="n">
        <v>0</v>
      </c>
      <c r="G903" s="131"/>
      <c r="H903" s="35" t="n">
        <v>0</v>
      </c>
      <c r="I903" s="34" t="n">
        <f aca="false">+IF(E903=0,0,E903*0.03)</f>
        <v>0</v>
      </c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customFormat="false" ht="16.4" hidden="false" customHeight="false" outlineLevel="0" collapsed="false">
      <c r="A904" s="123" t="n">
        <v>45444</v>
      </c>
      <c r="B904" s="31" t="s">
        <v>153</v>
      </c>
      <c r="C904" s="129"/>
      <c r="D904" s="129"/>
      <c r="E904" s="19" t="n">
        <f aca="false">F904*0.03</f>
        <v>0</v>
      </c>
      <c r="F904" s="33" t="n">
        <v>0</v>
      </c>
      <c r="G904" s="131"/>
      <c r="H904" s="35" t="n">
        <v>0</v>
      </c>
      <c r="I904" s="34" t="n">
        <f aca="false">+IF(E904=0,0,E904*0.03)</f>
        <v>0</v>
      </c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customFormat="false" ht="16.4" hidden="false" customHeight="false" outlineLevel="0" collapsed="false">
      <c r="A905" s="123" t="n">
        <v>45444</v>
      </c>
      <c r="B905" s="31" t="s">
        <v>153</v>
      </c>
      <c r="C905" s="129"/>
      <c r="D905" s="129"/>
      <c r="E905" s="19" t="n">
        <f aca="false">F905*0.03</f>
        <v>0</v>
      </c>
      <c r="F905" s="33" t="n">
        <v>0</v>
      </c>
      <c r="G905" s="131"/>
      <c r="H905" s="35" t="n">
        <v>0</v>
      </c>
      <c r="I905" s="34" t="n">
        <f aca="false">+IF(E905=0,0,E905*0.03)</f>
        <v>0</v>
      </c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customFormat="false" ht="16.4" hidden="false" customHeight="false" outlineLevel="0" collapsed="false">
      <c r="A906" s="123" t="n">
        <v>45444</v>
      </c>
      <c r="B906" s="31" t="s">
        <v>153</v>
      </c>
      <c r="C906" s="129"/>
      <c r="D906" s="129"/>
      <c r="E906" s="19" t="n">
        <f aca="false">F906*0.03</f>
        <v>0</v>
      </c>
      <c r="F906" s="33" t="n">
        <v>0</v>
      </c>
      <c r="G906" s="131"/>
      <c r="H906" s="35" t="n">
        <v>0</v>
      </c>
      <c r="I906" s="34" t="n">
        <f aca="false">+IF(E906=0,0,E906*0.03)</f>
        <v>0</v>
      </c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customFormat="false" ht="16.4" hidden="false" customHeight="false" outlineLevel="0" collapsed="false">
      <c r="A907" s="123" t="n">
        <v>45444</v>
      </c>
      <c r="B907" s="31" t="s">
        <v>153</v>
      </c>
      <c r="C907" s="129"/>
      <c r="D907" s="129"/>
      <c r="E907" s="19" t="n">
        <f aca="false">F907*0.03</f>
        <v>0</v>
      </c>
      <c r="F907" s="33" t="n">
        <v>0</v>
      </c>
      <c r="G907" s="131"/>
      <c r="H907" s="35" t="n">
        <v>0</v>
      </c>
      <c r="I907" s="34" t="n">
        <f aca="false">+IF(E907=0,0,E907*0.03)</f>
        <v>0</v>
      </c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customFormat="false" ht="16.4" hidden="false" customHeight="false" outlineLevel="0" collapsed="false">
      <c r="A908" s="123" t="n">
        <v>45444</v>
      </c>
      <c r="B908" s="31" t="s">
        <v>153</v>
      </c>
      <c r="C908" s="129"/>
      <c r="D908" s="129"/>
      <c r="E908" s="19" t="n">
        <f aca="false">F908*0.03</f>
        <v>0</v>
      </c>
      <c r="F908" s="33" t="n">
        <v>0</v>
      </c>
      <c r="G908" s="131"/>
      <c r="H908" s="35" t="n">
        <v>0</v>
      </c>
      <c r="I908" s="34" t="n">
        <f aca="false">+IF(E908=0,0,E908*0.03)</f>
        <v>0</v>
      </c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customFormat="false" ht="16.4" hidden="false" customHeight="false" outlineLevel="0" collapsed="false">
      <c r="A909" s="123" t="n">
        <v>45444</v>
      </c>
      <c r="B909" s="31" t="s">
        <v>153</v>
      </c>
      <c r="C909" s="129"/>
      <c r="D909" s="129"/>
      <c r="E909" s="19" t="n">
        <f aca="false">F909*0.03</f>
        <v>0</v>
      </c>
      <c r="F909" s="33" t="n">
        <v>0</v>
      </c>
      <c r="G909" s="131"/>
      <c r="H909" s="35" t="n">
        <v>0</v>
      </c>
      <c r="I909" s="34" t="n">
        <f aca="false">+IF(E909=0,0,E909*0.03)</f>
        <v>0</v>
      </c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customFormat="false" ht="16.4" hidden="false" customHeight="false" outlineLevel="0" collapsed="false">
      <c r="A910" s="123" t="n">
        <v>45444</v>
      </c>
      <c r="B910" s="31" t="s">
        <v>153</v>
      </c>
      <c r="C910" s="129"/>
      <c r="D910" s="129"/>
      <c r="E910" s="19" t="n">
        <f aca="false">F910*0.03</f>
        <v>0</v>
      </c>
      <c r="F910" s="33" t="n">
        <v>0</v>
      </c>
      <c r="G910" s="131"/>
      <c r="H910" s="35" t="n">
        <v>0</v>
      </c>
      <c r="I910" s="34" t="n">
        <f aca="false">+IF(E910=0,0,E910*0.03)</f>
        <v>0</v>
      </c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customFormat="false" ht="16.4" hidden="false" customHeight="false" outlineLevel="0" collapsed="false">
      <c r="A911" s="123" t="n">
        <v>45444</v>
      </c>
      <c r="B911" s="31" t="s">
        <v>153</v>
      </c>
      <c r="C911" s="129"/>
      <c r="D911" s="129"/>
      <c r="E911" s="19" t="n">
        <f aca="false">F911*0.03</f>
        <v>0</v>
      </c>
      <c r="F911" s="33" t="n">
        <v>0</v>
      </c>
      <c r="G911" s="131"/>
      <c r="H911" s="35" t="n">
        <v>0</v>
      </c>
      <c r="I911" s="34" t="n">
        <f aca="false">+IF(E911=0,0,E911*0.03)</f>
        <v>0</v>
      </c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customFormat="false" ht="16.4" hidden="false" customHeight="false" outlineLevel="0" collapsed="false">
      <c r="A912" s="123" t="n">
        <v>45444</v>
      </c>
      <c r="B912" s="31" t="s">
        <v>153</v>
      </c>
      <c r="C912" s="129"/>
      <c r="D912" s="129"/>
      <c r="E912" s="19" t="n">
        <f aca="false">F912*0.03</f>
        <v>0</v>
      </c>
      <c r="F912" s="33" t="n">
        <v>0</v>
      </c>
      <c r="G912" s="131"/>
      <c r="H912" s="35" t="n">
        <v>0</v>
      </c>
      <c r="I912" s="34" t="n">
        <f aca="false">+IF(E912=0,0,E912*0.03)</f>
        <v>0</v>
      </c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customFormat="false" ht="16.4" hidden="false" customHeight="false" outlineLevel="0" collapsed="false">
      <c r="A913" s="123" t="n">
        <v>45444</v>
      </c>
      <c r="B913" s="31" t="s">
        <v>153</v>
      </c>
      <c r="C913" s="129"/>
      <c r="D913" s="129"/>
      <c r="E913" s="19" t="n">
        <f aca="false">F913*0.03</f>
        <v>0</v>
      </c>
      <c r="F913" s="33" t="n">
        <v>0</v>
      </c>
      <c r="G913" s="131"/>
      <c r="H913" s="35" t="n">
        <v>0</v>
      </c>
      <c r="I913" s="34" t="n">
        <f aca="false">+IF(E913=0,0,E913*0.03)</f>
        <v>0</v>
      </c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customFormat="false" ht="16.4" hidden="false" customHeight="false" outlineLevel="0" collapsed="false">
      <c r="A914" s="123" t="n">
        <v>45444</v>
      </c>
      <c r="B914" s="31" t="s">
        <v>153</v>
      </c>
      <c r="C914" s="129"/>
      <c r="D914" s="129"/>
      <c r="E914" s="19" t="n">
        <f aca="false">F914*0.03</f>
        <v>0</v>
      </c>
      <c r="F914" s="33" t="n">
        <v>0</v>
      </c>
      <c r="G914" s="131"/>
      <c r="H914" s="35" t="n">
        <v>0</v>
      </c>
      <c r="I914" s="34" t="n">
        <f aca="false">+IF(E914=0,0,E914*0.03)</f>
        <v>0</v>
      </c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customFormat="false" ht="16.4" hidden="false" customHeight="false" outlineLevel="0" collapsed="false">
      <c r="A915" s="123" t="n">
        <v>45444</v>
      </c>
      <c r="B915" s="31" t="s">
        <v>153</v>
      </c>
      <c r="C915" s="129"/>
      <c r="D915" s="129"/>
      <c r="E915" s="19" t="n">
        <f aca="false">F915*0.03</f>
        <v>0</v>
      </c>
      <c r="F915" s="33" t="n">
        <v>0</v>
      </c>
      <c r="G915" s="131"/>
      <c r="H915" s="35" t="n">
        <v>0</v>
      </c>
      <c r="I915" s="34" t="n">
        <f aca="false">+IF(E915=0,0,E915*0.03)</f>
        <v>0</v>
      </c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customFormat="false" ht="16.4" hidden="false" customHeight="false" outlineLevel="0" collapsed="false">
      <c r="A916" s="123" t="n">
        <v>45444</v>
      </c>
      <c r="B916" s="31" t="s">
        <v>153</v>
      </c>
      <c r="C916" s="129"/>
      <c r="D916" s="129"/>
      <c r="E916" s="19" t="n">
        <f aca="false">F916*0.03</f>
        <v>0</v>
      </c>
      <c r="F916" s="33" t="n">
        <v>0</v>
      </c>
      <c r="G916" s="131"/>
      <c r="H916" s="35" t="n">
        <v>0</v>
      </c>
      <c r="I916" s="34" t="n">
        <f aca="false">+IF(E916=0,0,E916*0.03)</f>
        <v>0</v>
      </c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customFormat="false" ht="16.4" hidden="false" customHeight="false" outlineLevel="0" collapsed="false">
      <c r="A917" s="123" t="n">
        <v>45444</v>
      </c>
      <c r="B917" s="31" t="s">
        <v>153</v>
      </c>
      <c r="C917" s="129"/>
      <c r="D917" s="129"/>
      <c r="E917" s="19" t="n">
        <f aca="false">F917*0.03</f>
        <v>0</v>
      </c>
      <c r="F917" s="33" t="n">
        <v>0</v>
      </c>
      <c r="G917" s="131"/>
      <c r="H917" s="35" t="n">
        <v>0</v>
      </c>
      <c r="I917" s="34" t="n">
        <f aca="false">+IF(E917=0,0,E917*0.03)</f>
        <v>0</v>
      </c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customFormat="false" ht="16.4" hidden="false" customHeight="false" outlineLevel="0" collapsed="false">
      <c r="A918" s="123" t="n">
        <v>45444</v>
      </c>
      <c r="B918" s="31" t="s">
        <v>153</v>
      </c>
      <c r="C918" s="129"/>
      <c r="D918" s="129"/>
      <c r="E918" s="19" t="n">
        <f aca="false">F918*0.03</f>
        <v>0</v>
      </c>
      <c r="F918" s="33" t="n">
        <v>0</v>
      </c>
      <c r="G918" s="131"/>
      <c r="H918" s="35" t="n">
        <v>0</v>
      </c>
      <c r="I918" s="34" t="n">
        <f aca="false">+IF(E918=0,0,E918*0.03)</f>
        <v>0</v>
      </c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customFormat="false" ht="16.4" hidden="false" customHeight="false" outlineLevel="0" collapsed="false">
      <c r="A919" s="123" t="n">
        <v>45444</v>
      </c>
      <c r="B919" s="31" t="s">
        <v>153</v>
      </c>
      <c r="C919" s="129"/>
      <c r="D919" s="129"/>
      <c r="E919" s="19" t="n">
        <f aca="false">F919*0.03</f>
        <v>0</v>
      </c>
      <c r="F919" s="33" t="n">
        <v>0</v>
      </c>
      <c r="G919" s="131"/>
      <c r="H919" s="35" t="n">
        <v>0</v>
      </c>
      <c r="I919" s="34" t="n">
        <f aca="false">+IF(E919=0,0,E919*0.03)</f>
        <v>0</v>
      </c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customFormat="false" ht="16.4" hidden="false" customHeight="false" outlineLevel="0" collapsed="false">
      <c r="A920" s="123" t="n">
        <v>45444</v>
      </c>
      <c r="B920" s="31" t="s">
        <v>153</v>
      </c>
      <c r="C920" s="129"/>
      <c r="D920" s="129"/>
      <c r="E920" s="19" t="n">
        <f aca="false">F920*0.03</f>
        <v>0</v>
      </c>
      <c r="F920" s="33" t="n">
        <v>0</v>
      </c>
      <c r="G920" s="131"/>
      <c r="H920" s="35" t="n">
        <v>0</v>
      </c>
      <c r="I920" s="34" t="n">
        <f aca="false">+IF(E920=0,0,E920*0.03)</f>
        <v>0</v>
      </c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customFormat="false" ht="16.4" hidden="false" customHeight="false" outlineLevel="0" collapsed="false">
      <c r="A921" s="123" t="n">
        <v>45444</v>
      </c>
      <c r="B921" s="31" t="s">
        <v>153</v>
      </c>
      <c r="C921" s="129"/>
      <c r="D921" s="129"/>
      <c r="E921" s="19" t="n">
        <f aca="false">F921*0.03</f>
        <v>0</v>
      </c>
      <c r="F921" s="33" t="n">
        <v>0</v>
      </c>
      <c r="G921" s="131"/>
      <c r="H921" s="35" t="n">
        <v>0</v>
      </c>
      <c r="I921" s="34" t="n">
        <f aca="false">+IF(E921=0,0,E921*0.03)</f>
        <v>0</v>
      </c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customFormat="false" ht="16.4" hidden="false" customHeight="false" outlineLevel="0" collapsed="false">
      <c r="A922" s="123" t="n">
        <v>45444</v>
      </c>
      <c r="B922" s="31" t="s">
        <v>153</v>
      </c>
      <c r="C922" s="129"/>
      <c r="D922" s="129"/>
      <c r="E922" s="19" t="n">
        <f aca="false">F922*0.03</f>
        <v>0</v>
      </c>
      <c r="F922" s="33" t="n">
        <v>0</v>
      </c>
      <c r="G922" s="131"/>
      <c r="H922" s="35" t="n">
        <v>0</v>
      </c>
      <c r="I922" s="34" t="n">
        <f aca="false">+IF(E922=0,0,E922*0.03)</f>
        <v>0</v>
      </c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customFormat="false" ht="16.4" hidden="false" customHeight="false" outlineLevel="0" collapsed="false">
      <c r="A923" s="123" t="n">
        <v>45444</v>
      </c>
      <c r="B923" s="31" t="s">
        <v>153</v>
      </c>
      <c r="C923" s="129"/>
      <c r="D923" s="129"/>
      <c r="E923" s="19" t="n">
        <f aca="false">F923*0.03</f>
        <v>0</v>
      </c>
      <c r="F923" s="33" t="n">
        <v>0</v>
      </c>
      <c r="G923" s="131"/>
      <c r="H923" s="35" t="n">
        <v>0</v>
      </c>
      <c r="I923" s="34" t="n">
        <f aca="false">+IF(E923=0,0,E923*0.03)</f>
        <v>0</v>
      </c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customFormat="false" ht="16.4" hidden="false" customHeight="false" outlineLevel="0" collapsed="false">
      <c r="A924" s="123" t="n">
        <v>45444</v>
      </c>
      <c r="B924" s="31" t="s">
        <v>153</v>
      </c>
      <c r="C924" s="129"/>
      <c r="D924" s="129"/>
      <c r="E924" s="19" t="n">
        <f aca="false">F924*0.03</f>
        <v>0</v>
      </c>
      <c r="F924" s="33" t="n">
        <v>0</v>
      </c>
      <c r="G924" s="131"/>
      <c r="H924" s="35" t="n">
        <v>0</v>
      </c>
      <c r="I924" s="34" t="n">
        <f aca="false">+IF(E924=0,0,E924*0.03)</f>
        <v>0</v>
      </c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customFormat="false" ht="16.4" hidden="false" customHeight="false" outlineLevel="0" collapsed="false">
      <c r="A925" s="123" t="n">
        <v>45444</v>
      </c>
      <c r="B925" s="31" t="s">
        <v>153</v>
      </c>
      <c r="C925" s="129"/>
      <c r="D925" s="129"/>
      <c r="E925" s="19" t="n">
        <f aca="false">F925*0.03</f>
        <v>0</v>
      </c>
      <c r="F925" s="33" t="n">
        <v>0</v>
      </c>
      <c r="G925" s="131"/>
      <c r="H925" s="35" t="n">
        <v>0</v>
      </c>
      <c r="I925" s="34" t="n">
        <f aca="false">+IF(E925=0,0,E925*0.03)</f>
        <v>0</v>
      </c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customFormat="false" ht="16.4" hidden="false" customHeight="false" outlineLevel="0" collapsed="false">
      <c r="A926" s="123" t="n">
        <v>45444</v>
      </c>
      <c r="B926" s="31" t="s">
        <v>153</v>
      </c>
      <c r="C926" s="129"/>
      <c r="D926" s="129"/>
      <c r="E926" s="19" t="n">
        <f aca="false">F926*0.03</f>
        <v>0</v>
      </c>
      <c r="F926" s="33" t="n">
        <v>0</v>
      </c>
      <c r="G926" s="131"/>
      <c r="H926" s="35" t="n">
        <v>0</v>
      </c>
      <c r="I926" s="34" t="n">
        <f aca="false">+IF(E926=0,0,E926*0.03)</f>
        <v>0</v>
      </c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customFormat="false" ht="16.4" hidden="false" customHeight="false" outlineLevel="0" collapsed="false">
      <c r="A927" s="123" t="n">
        <v>45444</v>
      </c>
      <c r="B927" s="31" t="s">
        <v>153</v>
      </c>
      <c r="C927" s="129"/>
      <c r="D927" s="129"/>
      <c r="E927" s="19" t="n">
        <f aca="false">F927*0.03</f>
        <v>0</v>
      </c>
      <c r="F927" s="33" t="n">
        <v>0</v>
      </c>
      <c r="G927" s="131"/>
      <c r="H927" s="35" t="n">
        <v>0</v>
      </c>
      <c r="I927" s="34" t="n">
        <f aca="false">+IF(E927=0,0,E927*0.03)</f>
        <v>0</v>
      </c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customFormat="false" ht="16.4" hidden="false" customHeight="false" outlineLevel="0" collapsed="false">
      <c r="A928" s="123" t="n">
        <v>45444</v>
      </c>
      <c r="B928" s="31" t="s">
        <v>153</v>
      </c>
      <c r="C928" s="129"/>
      <c r="D928" s="129"/>
      <c r="E928" s="19" t="n">
        <f aca="false">F928*0.03</f>
        <v>0</v>
      </c>
      <c r="F928" s="33" t="n">
        <v>0</v>
      </c>
      <c r="G928" s="131"/>
      <c r="H928" s="35" t="n">
        <v>0</v>
      </c>
      <c r="I928" s="34" t="n">
        <f aca="false">+IF(E928=0,0,E928*0.03)</f>
        <v>0</v>
      </c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customFormat="false" ht="16.4" hidden="false" customHeight="false" outlineLevel="0" collapsed="false">
      <c r="A929" s="123" t="n">
        <v>45444</v>
      </c>
      <c r="B929" s="31" t="s">
        <v>153</v>
      </c>
      <c r="C929" s="129"/>
      <c r="D929" s="129"/>
      <c r="E929" s="19" t="n">
        <f aca="false">F929*0.03</f>
        <v>0</v>
      </c>
      <c r="F929" s="33" t="n">
        <v>0</v>
      </c>
      <c r="G929" s="131"/>
      <c r="H929" s="35" t="n">
        <v>0</v>
      </c>
      <c r="I929" s="34" t="n">
        <f aca="false">+IF(E929=0,0,E929*0.03)</f>
        <v>0</v>
      </c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customFormat="false" ht="16.4" hidden="false" customHeight="false" outlineLevel="0" collapsed="false">
      <c r="A930" s="123" t="n">
        <v>45444</v>
      </c>
      <c r="B930" s="31" t="s">
        <v>153</v>
      </c>
      <c r="C930" s="129"/>
      <c r="D930" s="129"/>
      <c r="E930" s="19" t="n">
        <f aca="false">F930*0.03</f>
        <v>0</v>
      </c>
      <c r="F930" s="33" t="n">
        <v>0</v>
      </c>
      <c r="G930" s="131"/>
      <c r="H930" s="35" t="n">
        <v>0</v>
      </c>
      <c r="I930" s="34" t="n">
        <f aca="false">+IF(E930=0,0,E930*0.03)</f>
        <v>0</v>
      </c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customFormat="false" ht="16.4" hidden="false" customHeight="false" outlineLevel="0" collapsed="false">
      <c r="A931" s="123" t="n">
        <v>45444</v>
      </c>
      <c r="B931" s="31" t="s">
        <v>153</v>
      </c>
      <c r="C931" s="129"/>
      <c r="D931" s="129"/>
      <c r="E931" s="19" t="n">
        <f aca="false">F931*0.03</f>
        <v>0</v>
      </c>
      <c r="F931" s="33" t="n">
        <v>0</v>
      </c>
      <c r="G931" s="131"/>
      <c r="H931" s="35" t="n">
        <v>0</v>
      </c>
      <c r="I931" s="34" t="n">
        <f aca="false">+IF(E931=0,0,E931*0.03)</f>
        <v>0</v>
      </c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customFormat="false" ht="16.4" hidden="false" customHeight="false" outlineLevel="0" collapsed="false">
      <c r="A932" s="123" t="n">
        <v>45444</v>
      </c>
      <c r="B932" s="31" t="s">
        <v>153</v>
      </c>
      <c r="C932" s="129"/>
      <c r="D932" s="129"/>
      <c r="E932" s="19" t="n">
        <f aca="false">F932*0.03</f>
        <v>0</v>
      </c>
      <c r="F932" s="33" t="n">
        <v>0</v>
      </c>
      <c r="G932" s="131"/>
      <c r="H932" s="35" t="n">
        <v>0</v>
      </c>
      <c r="I932" s="34" t="n">
        <f aca="false">+IF(E932=0,0,E932*0.03)</f>
        <v>0</v>
      </c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customFormat="false" ht="16.4" hidden="false" customHeight="false" outlineLevel="0" collapsed="false">
      <c r="A933" s="123" t="n">
        <v>45444</v>
      </c>
      <c r="B933" s="31" t="s">
        <v>153</v>
      </c>
      <c r="C933" s="129"/>
      <c r="D933" s="129"/>
      <c r="E933" s="19" t="n">
        <f aca="false">F933*0.03</f>
        <v>0</v>
      </c>
      <c r="F933" s="33" t="n">
        <v>0</v>
      </c>
      <c r="G933" s="131"/>
      <c r="H933" s="35" t="n">
        <v>0</v>
      </c>
      <c r="I933" s="34" t="n">
        <f aca="false">+IF(E933=0,0,E933*0.03)</f>
        <v>0</v>
      </c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customFormat="false" ht="16.4" hidden="false" customHeight="false" outlineLevel="0" collapsed="false">
      <c r="A934" s="123" t="n">
        <v>45444</v>
      </c>
      <c r="B934" s="31" t="s">
        <v>153</v>
      </c>
      <c r="C934" s="129"/>
      <c r="D934" s="129"/>
      <c r="E934" s="19" t="n">
        <f aca="false">F934*0.03</f>
        <v>0</v>
      </c>
      <c r="F934" s="33" t="n">
        <v>0</v>
      </c>
      <c r="G934" s="131"/>
      <c r="H934" s="35" t="n">
        <v>0</v>
      </c>
      <c r="I934" s="34" t="n">
        <f aca="false">+IF(E934=0,0,E934*0.03)</f>
        <v>0</v>
      </c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customFormat="false" ht="16.4" hidden="false" customHeight="false" outlineLevel="0" collapsed="false">
      <c r="A935" s="123" t="n">
        <v>45444</v>
      </c>
      <c r="B935" s="31" t="s">
        <v>153</v>
      </c>
      <c r="C935" s="129"/>
      <c r="D935" s="129"/>
      <c r="E935" s="19" t="n">
        <f aca="false">F935*0.03</f>
        <v>0</v>
      </c>
      <c r="F935" s="33" t="n">
        <v>0</v>
      </c>
      <c r="G935" s="131"/>
      <c r="H935" s="35" t="n">
        <v>0</v>
      </c>
      <c r="I935" s="34" t="n">
        <f aca="false">+IF(E935=0,0,E935*0.03)</f>
        <v>0</v>
      </c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customFormat="false" ht="16.4" hidden="false" customHeight="false" outlineLevel="0" collapsed="false">
      <c r="A936" s="123" t="n">
        <v>45444</v>
      </c>
      <c r="B936" s="31" t="s">
        <v>153</v>
      </c>
      <c r="C936" s="129"/>
      <c r="D936" s="129"/>
      <c r="E936" s="19" t="n">
        <f aca="false">F936*0.03</f>
        <v>0</v>
      </c>
      <c r="F936" s="33" t="n">
        <v>0</v>
      </c>
      <c r="G936" s="131"/>
      <c r="H936" s="35" t="n">
        <v>0</v>
      </c>
      <c r="I936" s="34" t="n">
        <f aca="false">+IF(E936=0,0,E936*0.03)</f>
        <v>0</v>
      </c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customFormat="false" ht="16.4" hidden="false" customHeight="false" outlineLevel="0" collapsed="false">
      <c r="A937" s="123" t="n">
        <v>45444</v>
      </c>
      <c r="B937" s="31" t="s">
        <v>153</v>
      </c>
      <c r="C937" s="129"/>
      <c r="D937" s="129"/>
      <c r="E937" s="19" t="n">
        <f aca="false">F937*0.03</f>
        <v>0</v>
      </c>
      <c r="F937" s="33" t="n">
        <v>0</v>
      </c>
      <c r="G937" s="131"/>
      <c r="H937" s="35" t="n">
        <v>0</v>
      </c>
      <c r="I937" s="34" t="n">
        <f aca="false">+IF(E937=0,0,E937*0.03)</f>
        <v>0</v>
      </c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customFormat="false" ht="16.4" hidden="false" customHeight="false" outlineLevel="0" collapsed="false">
      <c r="A938" s="123" t="n">
        <v>45444</v>
      </c>
      <c r="B938" s="31" t="s">
        <v>153</v>
      </c>
      <c r="C938" s="129"/>
      <c r="D938" s="129"/>
      <c r="E938" s="19" t="n">
        <f aca="false">F938*0.03</f>
        <v>0</v>
      </c>
      <c r="F938" s="33" t="n">
        <v>0</v>
      </c>
      <c r="G938" s="131"/>
      <c r="H938" s="35" t="n">
        <v>0</v>
      </c>
      <c r="I938" s="34" t="n">
        <f aca="false">+IF(E938=0,0,E938*0.03)</f>
        <v>0</v>
      </c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customFormat="false" ht="16.4" hidden="false" customHeight="false" outlineLevel="0" collapsed="false">
      <c r="A939" s="123" t="n">
        <v>45444</v>
      </c>
      <c r="B939" s="31" t="s">
        <v>153</v>
      </c>
      <c r="C939" s="129"/>
      <c r="D939" s="129"/>
      <c r="E939" s="19" t="n">
        <f aca="false">F939*0.03</f>
        <v>0</v>
      </c>
      <c r="F939" s="33" t="n">
        <v>0</v>
      </c>
      <c r="G939" s="131"/>
      <c r="H939" s="35" t="n">
        <v>0</v>
      </c>
      <c r="I939" s="34" t="n">
        <f aca="false">+IF(E939=0,0,E939*0.03)</f>
        <v>0</v>
      </c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customFormat="false" ht="16.4" hidden="false" customHeight="false" outlineLevel="0" collapsed="false">
      <c r="A940" s="123" t="n">
        <v>45444</v>
      </c>
      <c r="B940" s="31" t="s">
        <v>153</v>
      </c>
      <c r="C940" s="129"/>
      <c r="D940" s="129"/>
      <c r="E940" s="19" t="n">
        <f aca="false">F940*0.03</f>
        <v>0</v>
      </c>
      <c r="F940" s="33" t="n">
        <v>0</v>
      </c>
      <c r="G940" s="131"/>
      <c r="H940" s="35" t="n">
        <v>0</v>
      </c>
      <c r="I940" s="34" t="n">
        <f aca="false">+IF(E940=0,0,E940*0.03)</f>
        <v>0</v>
      </c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customFormat="false" ht="16.4" hidden="false" customHeight="false" outlineLevel="0" collapsed="false">
      <c r="A941" s="123" t="n">
        <v>45444</v>
      </c>
      <c r="B941" s="31" t="s">
        <v>153</v>
      </c>
      <c r="C941" s="129"/>
      <c r="D941" s="129"/>
      <c r="E941" s="19" t="n">
        <f aca="false">F941*0.03</f>
        <v>0</v>
      </c>
      <c r="F941" s="33" t="n">
        <v>0</v>
      </c>
      <c r="G941" s="131"/>
      <c r="H941" s="35" t="n">
        <v>0</v>
      </c>
      <c r="I941" s="34" t="n">
        <f aca="false">+IF(E941=0,0,E941*0.03)</f>
        <v>0</v>
      </c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customFormat="false" ht="16.4" hidden="false" customHeight="false" outlineLevel="0" collapsed="false">
      <c r="A942" s="123" t="n">
        <v>45444</v>
      </c>
      <c r="B942" s="31" t="s">
        <v>153</v>
      </c>
      <c r="C942" s="129"/>
      <c r="D942" s="129"/>
      <c r="E942" s="19" t="n">
        <f aca="false">F942*0.03</f>
        <v>0</v>
      </c>
      <c r="F942" s="33" t="n">
        <v>0</v>
      </c>
      <c r="G942" s="131"/>
      <c r="H942" s="35" t="n">
        <v>0</v>
      </c>
      <c r="I942" s="34" t="n">
        <f aca="false">+IF(E942=0,0,E942*0.03)</f>
        <v>0</v>
      </c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customFormat="false" ht="16.4" hidden="false" customHeight="false" outlineLevel="0" collapsed="false">
      <c r="A943" s="123" t="n">
        <v>45444</v>
      </c>
      <c r="B943" s="31" t="s">
        <v>153</v>
      </c>
      <c r="C943" s="129"/>
      <c r="D943" s="129"/>
      <c r="E943" s="19" t="n">
        <f aca="false">F943*0.03</f>
        <v>0</v>
      </c>
      <c r="F943" s="33" t="n">
        <v>0</v>
      </c>
      <c r="G943" s="131"/>
      <c r="H943" s="35" t="n">
        <v>0</v>
      </c>
      <c r="I943" s="34" t="n">
        <f aca="false">+IF(E943=0,0,E943*0.03)</f>
        <v>0</v>
      </c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customFormat="false" ht="16.4" hidden="false" customHeight="false" outlineLevel="0" collapsed="false">
      <c r="A944" s="123" t="n">
        <v>45444</v>
      </c>
      <c r="B944" s="31" t="s">
        <v>153</v>
      </c>
      <c r="C944" s="129"/>
      <c r="D944" s="129"/>
      <c r="E944" s="19" t="n">
        <f aca="false">F944*0.03</f>
        <v>0</v>
      </c>
      <c r="F944" s="33" t="n">
        <v>0</v>
      </c>
      <c r="G944" s="131"/>
      <c r="H944" s="35" t="n">
        <v>0</v>
      </c>
      <c r="I944" s="34" t="n">
        <f aca="false">+IF(E944=0,0,E944*0.03)</f>
        <v>0</v>
      </c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customFormat="false" ht="16.4" hidden="false" customHeight="false" outlineLevel="0" collapsed="false">
      <c r="A945" s="123" t="n">
        <v>45444</v>
      </c>
      <c r="B945" s="31" t="s">
        <v>153</v>
      </c>
      <c r="C945" s="129"/>
      <c r="D945" s="129"/>
      <c r="E945" s="19" t="n">
        <f aca="false">F945*0.03</f>
        <v>0</v>
      </c>
      <c r="F945" s="33" t="n">
        <v>0</v>
      </c>
      <c r="G945" s="131"/>
      <c r="H945" s="35" t="n">
        <v>0</v>
      </c>
      <c r="I945" s="34" t="n">
        <f aca="false">+IF(E945=0,0,E945*0.03)</f>
        <v>0</v>
      </c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customFormat="false" ht="16.4" hidden="false" customHeight="false" outlineLevel="0" collapsed="false">
      <c r="A946" s="123" t="n">
        <v>45444</v>
      </c>
      <c r="B946" s="31" t="s">
        <v>153</v>
      </c>
      <c r="C946" s="129"/>
      <c r="D946" s="129"/>
      <c r="E946" s="19" t="n">
        <f aca="false">F946*0.03</f>
        <v>0</v>
      </c>
      <c r="F946" s="33" t="n">
        <v>0</v>
      </c>
      <c r="G946" s="131"/>
      <c r="H946" s="35" t="n">
        <v>0</v>
      </c>
      <c r="I946" s="34" t="n">
        <f aca="false">+IF(E946=0,0,E946*0.03)</f>
        <v>0</v>
      </c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customFormat="false" ht="16.4" hidden="false" customHeight="false" outlineLevel="0" collapsed="false">
      <c r="A947" s="123" t="n">
        <v>45444</v>
      </c>
      <c r="B947" s="31" t="s">
        <v>153</v>
      </c>
      <c r="C947" s="129"/>
      <c r="D947" s="129"/>
      <c r="E947" s="19" t="n">
        <f aca="false">F947*0.03</f>
        <v>0</v>
      </c>
      <c r="F947" s="33" t="n">
        <v>0</v>
      </c>
      <c r="G947" s="131"/>
      <c r="H947" s="35" t="n">
        <v>0</v>
      </c>
      <c r="I947" s="34" t="n">
        <f aca="false">+IF(E947=0,0,E947*0.03)</f>
        <v>0</v>
      </c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customFormat="false" ht="16.4" hidden="false" customHeight="false" outlineLevel="0" collapsed="false">
      <c r="A948" s="123" t="n">
        <v>45444</v>
      </c>
      <c r="B948" s="31" t="s">
        <v>153</v>
      </c>
      <c r="C948" s="129"/>
      <c r="D948" s="129"/>
      <c r="E948" s="19" t="n">
        <f aca="false">F948*0.03</f>
        <v>0</v>
      </c>
      <c r="F948" s="33" t="n">
        <v>0</v>
      </c>
      <c r="G948" s="131"/>
      <c r="H948" s="35" t="n">
        <v>0</v>
      </c>
      <c r="I948" s="34" t="n">
        <f aca="false">+IF(E948=0,0,E948*0.03)</f>
        <v>0</v>
      </c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customFormat="false" ht="16.4" hidden="false" customHeight="false" outlineLevel="0" collapsed="false">
      <c r="A949" s="123" t="n">
        <v>45444</v>
      </c>
      <c r="B949" s="31" t="s">
        <v>153</v>
      </c>
      <c r="C949" s="129"/>
      <c r="D949" s="129"/>
      <c r="E949" s="19" t="n">
        <f aca="false">F949*0.03</f>
        <v>0</v>
      </c>
      <c r="F949" s="33" t="n">
        <v>0</v>
      </c>
      <c r="G949" s="131"/>
      <c r="H949" s="35" t="n">
        <v>0</v>
      </c>
      <c r="I949" s="34" t="n">
        <f aca="false">+IF(E949=0,0,E949*0.03)</f>
        <v>0</v>
      </c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customFormat="false" ht="16.4" hidden="false" customHeight="false" outlineLevel="0" collapsed="false">
      <c r="A950" s="123" t="n">
        <v>45444</v>
      </c>
      <c r="B950" s="31" t="s">
        <v>153</v>
      </c>
      <c r="C950" s="129"/>
      <c r="D950" s="129"/>
      <c r="E950" s="19" t="n">
        <f aca="false">F950*0.03</f>
        <v>0</v>
      </c>
      <c r="F950" s="33" t="n">
        <v>0</v>
      </c>
      <c r="G950" s="131"/>
      <c r="H950" s="35" t="n">
        <v>0</v>
      </c>
      <c r="I950" s="34" t="n">
        <f aca="false">+IF(E950=0,0,E950*0.03)</f>
        <v>0</v>
      </c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customFormat="false" ht="16.4" hidden="false" customHeight="false" outlineLevel="0" collapsed="false">
      <c r="A951" s="123" t="n">
        <v>45444</v>
      </c>
      <c r="B951" s="31" t="s">
        <v>153</v>
      </c>
      <c r="C951" s="129"/>
      <c r="D951" s="129"/>
      <c r="E951" s="19" t="n">
        <f aca="false">F951*0.03</f>
        <v>0</v>
      </c>
      <c r="F951" s="33" t="n">
        <v>0</v>
      </c>
      <c r="G951" s="131"/>
      <c r="H951" s="35" t="n">
        <v>0</v>
      </c>
      <c r="I951" s="34" t="n">
        <f aca="false">+IF(E951=0,0,E951*0.03)</f>
        <v>0</v>
      </c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customFormat="false" ht="16.4" hidden="false" customHeight="false" outlineLevel="0" collapsed="false">
      <c r="A952" s="123" t="n">
        <v>45444</v>
      </c>
      <c r="B952" s="31" t="s">
        <v>153</v>
      </c>
      <c r="C952" s="129"/>
      <c r="D952" s="129"/>
      <c r="E952" s="19" t="n">
        <f aca="false">F952*0.03</f>
        <v>0</v>
      </c>
      <c r="F952" s="33" t="n">
        <v>0</v>
      </c>
      <c r="G952" s="131"/>
      <c r="H952" s="35" t="n">
        <v>0</v>
      </c>
      <c r="I952" s="34" t="n">
        <f aca="false">+IF(E952=0,0,E952*0.03)</f>
        <v>0</v>
      </c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customFormat="false" ht="16.4" hidden="false" customHeight="false" outlineLevel="0" collapsed="false">
      <c r="A953" s="123" t="n">
        <v>45444</v>
      </c>
      <c r="B953" s="31" t="s">
        <v>153</v>
      </c>
      <c r="C953" s="129"/>
      <c r="D953" s="129"/>
      <c r="E953" s="19" t="n">
        <f aca="false">F953*0.03</f>
        <v>0</v>
      </c>
      <c r="F953" s="33" t="n">
        <v>0</v>
      </c>
      <c r="G953" s="131"/>
      <c r="H953" s="35" t="n">
        <v>0</v>
      </c>
      <c r="I953" s="34" t="n">
        <f aca="false">+IF(E953=0,0,E953*0.03)</f>
        <v>0</v>
      </c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customFormat="false" ht="16.4" hidden="false" customHeight="false" outlineLevel="0" collapsed="false">
      <c r="A954" s="123" t="n">
        <v>45444</v>
      </c>
      <c r="B954" s="31" t="s">
        <v>153</v>
      </c>
      <c r="C954" s="129"/>
      <c r="D954" s="129"/>
      <c r="E954" s="19" t="n">
        <f aca="false">F954*0.03</f>
        <v>0</v>
      </c>
      <c r="F954" s="33" t="n">
        <v>0</v>
      </c>
      <c r="G954" s="131"/>
      <c r="H954" s="35" t="n">
        <v>0</v>
      </c>
      <c r="I954" s="34" t="n">
        <f aca="false">+IF(E954=0,0,E954*0.03)</f>
        <v>0</v>
      </c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customFormat="false" ht="16.4" hidden="false" customHeight="false" outlineLevel="0" collapsed="false">
      <c r="A955" s="123" t="n">
        <v>45444</v>
      </c>
      <c r="B955" s="31" t="s">
        <v>153</v>
      </c>
      <c r="C955" s="129"/>
      <c r="D955" s="129"/>
      <c r="E955" s="19" t="n">
        <f aca="false">F955*0.03</f>
        <v>0</v>
      </c>
      <c r="F955" s="33" t="n">
        <v>0</v>
      </c>
      <c r="G955" s="131"/>
      <c r="H955" s="35" t="n">
        <v>0</v>
      </c>
      <c r="I955" s="34" t="n">
        <f aca="false">+IF(E955=0,0,E955*0.03)</f>
        <v>0</v>
      </c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customFormat="false" ht="16.4" hidden="false" customHeight="false" outlineLevel="0" collapsed="false">
      <c r="A956" s="123" t="n">
        <v>45444</v>
      </c>
      <c r="B956" s="31" t="s">
        <v>153</v>
      </c>
      <c r="C956" s="129"/>
      <c r="D956" s="129"/>
      <c r="E956" s="19" t="n">
        <f aca="false">F956*0.03</f>
        <v>0</v>
      </c>
      <c r="F956" s="33" t="n">
        <v>0</v>
      </c>
      <c r="G956" s="131"/>
      <c r="H956" s="35" t="n">
        <v>0</v>
      </c>
      <c r="I956" s="34" t="n">
        <f aca="false">+IF(E956=0,0,E956*0.03)</f>
        <v>0</v>
      </c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customFormat="false" ht="16.4" hidden="false" customHeight="false" outlineLevel="0" collapsed="false">
      <c r="A957" s="123" t="n">
        <v>45444</v>
      </c>
      <c r="B957" s="31" t="s">
        <v>153</v>
      </c>
      <c r="C957" s="129"/>
      <c r="D957" s="129"/>
      <c r="E957" s="19" t="n">
        <f aca="false">F957*0.03</f>
        <v>0</v>
      </c>
      <c r="F957" s="33" t="n">
        <v>0</v>
      </c>
      <c r="G957" s="131"/>
      <c r="H957" s="35" t="n">
        <v>0</v>
      </c>
      <c r="I957" s="34" t="n">
        <f aca="false">+IF(E957=0,0,E957*0.03)</f>
        <v>0</v>
      </c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customFormat="false" ht="16.4" hidden="false" customHeight="false" outlineLevel="0" collapsed="false">
      <c r="A958" s="123" t="n">
        <v>45444</v>
      </c>
      <c r="B958" s="31" t="s">
        <v>153</v>
      </c>
      <c r="C958" s="129"/>
      <c r="D958" s="129"/>
      <c r="E958" s="19" t="n">
        <f aca="false">F958*0.03</f>
        <v>0</v>
      </c>
      <c r="F958" s="33" t="n">
        <v>0</v>
      </c>
      <c r="G958" s="131"/>
      <c r="H958" s="35" t="n">
        <v>0</v>
      </c>
      <c r="I958" s="34" t="n">
        <f aca="false">+IF(E958=0,0,E958*0.03)</f>
        <v>0</v>
      </c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customFormat="false" ht="16.4" hidden="false" customHeight="false" outlineLevel="0" collapsed="false">
      <c r="A959" s="123" t="n">
        <v>45444</v>
      </c>
      <c r="B959" s="31" t="s">
        <v>153</v>
      </c>
      <c r="C959" s="129"/>
      <c r="D959" s="129"/>
      <c r="E959" s="19" t="n">
        <f aca="false">F959*0.03</f>
        <v>0</v>
      </c>
      <c r="F959" s="33" t="n">
        <v>0</v>
      </c>
      <c r="G959" s="131"/>
      <c r="H959" s="35" t="n">
        <v>0</v>
      </c>
      <c r="I959" s="34" t="n">
        <f aca="false">+IF(E959=0,0,E959*0.03)</f>
        <v>0</v>
      </c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customFormat="false" ht="16.4" hidden="false" customHeight="false" outlineLevel="0" collapsed="false">
      <c r="A960" s="123" t="n">
        <v>45444</v>
      </c>
      <c r="B960" s="31" t="s">
        <v>153</v>
      </c>
      <c r="C960" s="129"/>
      <c r="D960" s="129"/>
      <c r="E960" s="19" t="n">
        <f aca="false">F960*0.03</f>
        <v>0</v>
      </c>
      <c r="F960" s="33" t="n">
        <v>0</v>
      </c>
      <c r="G960" s="131"/>
      <c r="H960" s="35" t="n">
        <v>0</v>
      </c>
      <c r="I960" s="34" t="n">
        <f aca="false">+IF(E960=0,0,E960*0.03)</f>
        <v>0</v>
      </c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customFormat="false" ht="16.4" hidden="false" customHeight="false" outlineLevel="0" collapsed="false">
      <c r="A961" s="123" t="n">
        <v>45444</v>
      </c>
      <c r="B961" s="31" t="s">
        <v>153</v>
      </c>
      <c r="C961" s="129"/>
      <c r="D961" s="129"/>
      <c r="E961" s="19" t="n">
        <f aca="false">F961*0.03</f>
        <v>0</v>
      </c>
      <c r="F961" s="33" t="n">
        <v>0</v>
      </c>
      <c r="G961" s="131"/>
      <c r="H961" s="35" t="n">
        <v>0</v>
      </c>
      <c r="I961" s="34" t="n">
        <f aca="false">+IF(E961=0,0,E961*0.03)</f>
        <v>0</v>
      </c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customFormat="false" ht="16.4" hidden="false" customHeight="false" outlineLevel="0" collapsed="false">
      <c r="A962" s="123" t="n">
        <v>45444</v>
      </c>
      <c r="B962" s="31" t="s">
        <v>153</v>
      </c>
      <c r="C962" s="129"/>
      <c r="D962" s="129"/>
      <c r="E962" s="19" t="n">
        <f aca="false">F962*0.03</f>
        <v>0</v>
      </c>
      <c r="F962" s="33" t="n">
        <v>0</v>
      </c>
      <c r="G962" s="131"/>
      <c r="H962" s="35" t="n">
        <v>0</v>
      </c>
      <c r="I962" s="34" t="n">
        <f aca="false">+IF(E962=0,0,E962*0.03)</f>
        <v>0</v>
      </c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customFormat="false" ht="16.4" hidden="false" customHeight="false" outlineLevel="0" collapsed="false">
      <c r="A963" s="123" t="n">
        <v>45444</v>
      </c>
      <c r="B963" s="31" t="s">
        <v>153</v>
      </c>
      <c r="C963" s="129"/>
      <c r="D963" s="129"/>
      <c r="E963" s="19" t="n">
        <f aca="false">F963*0.03</f>
        <v>0</v>
      </c>
      <c r="F963" s="33" t="n">
        <v>0</v>
      </c>
      <c r="G963" s="131"/>
      <c r="H963" s="35" t="n">
        <v>0</v>
      </c>
      <c r="I963" s="34" t="n">
        <f aca="false">+IF(E963=0,0,E963*0.03)</f>
        <v>0</v>
      </c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customFormat="false" ht="16.4" hidden="false" customHeight="false" outlineLevel="0" collapsed="false">
      <c r="A964" s="123" t="n">
        <v>45444</v>
      </c>
      <c r="B964" s="31" t="s">
        <v>153</v>
      </c>
      <c r="C964" s="129"/>
      <c r="D964" s="129"/>
      <c r="E964" s="19" t="n">
        <f aca="false">F964*0.03</f>
        <v>0</v>
      </c>
      <c r="F964" s="33" t="n">
        <v>0</v>
      </c>
      <c r="G964" s="131"/>
      <c r="H964" s="35" t="n">
        <v>0</v>
      </c>
      <c r="I964" s="34" t="n">
        <f aca="false">+IF(E964=0,0,E964*0.03)</f>
        <v>0</v>
      </c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customFormat="false" ht="16.4" hidden="false" customHeight="false" outlineLevel="0" collapsed="false">
      <c r="A965" s="123" t="n">
        <v>45444</v>
      </c>
      <c r="B965" s="31" t="s">
        <v>153</v>
      </c>
      <c r="C965" s="129"/>
      <c r="D965" s="129"/>
      <c r="E965" s="19" t="n">
        <f aca="false">F965*0.03</f>
        <v>0</v>
      </c>
      <c r="F965" s="33" t="n">
        <v>0</v>
      </c>
      <c r="G965" s="131"/>
      <c r="H965" s="35" t="n">
        <v>0</v>
      </c>
      <c r="I965" s="34" t="n">
        <f aca="false">+IF(E965=0,0,E965*0.03)</f>
        <v>0</v>
      </c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customFormat="false" ht="16.4" hidden="false" customHeight="false" outlineLevel="0" collapsed="false">
      <c r="A966" s="123" t="n">
        <v>45444</v>
      </c>
      <c r="B966" s="31" t="s">
        <v>153</v>
      </c>
      <c r="C966" s="129"/>
      <c r="D966" s="129"/>
      <c r="E966" s="19" t="n">
        <f aca="false">F966*0.03</f>
        <v>0</v>
      </c>
      <c r="F966" s="33" t="n">
        <v>0</v>
      </c>
      <c r="G966" s="131"/>
      <c r="H966" s="35" t="n">
        <v>0</v>
      </c>
      <c r="I966" s="34" t="n">
        <f aca="false">+IF(E966=0,0,E966*0.03)</f>
        <v>0</v>
      </c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customFormat="false" ht="16.4" hidden="false" customHeight="false" outlineLevel="0" collapsed="false">
      <c r="A967" s="123" t="n">
        <v>45444</v>
      </c>
      <c r="B967" s="31" t="s">
        <v>153</v>
      </c>
      <c r="C967" s="129"/>
      <c r="D967" s="129"/>
      <c r="E967" s="19" t="n">
        <f aca="false">F967*0.03</f>
        <v>0</v>
      </c>
      <c r="F967" s="33" t="n">
        <v>0</v>
      </c>
      <c r="G967" s="131"/>
      <c r="H967" s="35" t="n">
        <v>0</v>
      </c>
      <c r="I967" s="34" t="n">
        <f aca="false">+IF(E967=0,0,E967*0.03)</f>
        <v>0</v>
      </c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customFormat="false" ht="16.4" hidden="false" customHeight="false" outlineLevel="0" collapsed="false">
      <c r="A968" s="123" t="n">
        <v>45444</v>
      </c>
      <c r="B968" s="31" t="s">
        <v>153</v>
      </c>
      <c r="C968" s="129"/>
      <c r="D968" s="129"/>
      <c r="E968" s="19" t="n">
        <f aca="false">F968*0.03</f>
        <v>0</v>
      </c>
      <c r="F968" s="33" t="n">
        <v>0</v>
      </c>
      <c r="G968" s="131"/>
      <c r="H968" s="35" t="n">
        <v>0</v>
      </c>
      <c r="I968" s="34" t="n">
        <f aca="false">+IF(E968=0,0,E968*0.03)</f>
        <v>0</v>
      </c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customFormat="false" ht="16.4" hidden="false" customHeight="false" outlineLevel="0" collapsed="false">
      <c r="A969" s="123" t="n">
        <v>45444</v>
      </c>
      <c r="B969" s="31" t="s">
        <v>153</v>
      </c>
      <c r="C969" s="129"/>
      <c r="D969" s="129"/>
      <c r="E969" s="19" t="n">
        <f aca="false">F969*0.03</f>
        <v>0</v>
      </c>
      <c r="F969" s="33" t="n">
        <v>0</v>
      </c>
      <c r="G969" s="131"/>
      <c r="H969" s="35" t="n">
        <v>0</v>
      </c>
      <c r="I969" s="34" t="n">
        <f aca="false">+IF(E969=0,0,E969*0.03)</f>
        <v>0</v>
      </c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customFormat="false" ht="16.4" hidden="false" customHeight="false" outlineLevel="0" collapsed="false">
      <c r="A970" s="123" t="n">
        <v>45444</v>
      </c>
      <c r="B970" s="31" t="s">
        <v>153</v>
      </c>
      <c r="C970" s="129"/>
      <c r="D970" s="129"/>
      <c r="E970" s="19" t="n">
        <f aca="false">F970*0.03</f>
        <v>0</v>
      </c>
      <c r="F970" s="33" t="n">
        <v>0</v>
      </c>
      <c r="G970" s="131"/>
      <c r="H970" s="35" t="n">
        <v>0</v>
      </c>
      <c r="I970" s="34" t="n">
        <f aca="false">+IF(E970=0,0,E970*0.03)</f>
        <v>0</v>
      </c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customFormat="false" ht="16.4" hidden="false" customHeight="false" outlineLevel="0" collapsed="false">
      <c r="A971" s="123" t="n">
        <v>45444</v>
      </c>
      <c r="B971" s="31" t="s">
        <v>153</v>
      </c>
      <c r="C971" s="129"/>
      <c r="D971" s="129"/>
      <c r="E971" s="19" t="n">
        <f aca="false">F971*0.03</f>
        <v>0</v>
      </c>
      <c r="F971" s="33" t="n">
        <v>0</v>
      </c>
      <c r="G971" s="131"/>
      <c r="H971" s="35" t="n">
        <v>0</v>
      </c>
      <c r="I971" s="34" t="n">
        <f aca="false">+IF(E971=0,0,E971*0.03)</f>
        <v>0</v>
      </c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customFormat="false" ht="16.4" hidden="false" customHeight="false" outlineLevel="0" collapsed="false">
      <c r="A972" s="123" t="n">
        <v>45444</v>
      </c>
      <c r="B972" s="31" t="s">
        <v>153</v>
      </c>
      <c r="C972" s="129"/>
      <c r="D972" s="129"/>
      <c r="E972" s="19" t="n">
        <f aca="false">F972*0.03</f>
        <v>0</v>
      </c>
      <c r="F972" s="33" t="n">
        <v>0</v>
      </c>
      <c r="G972" s="131"/>
      <c r="H972" s="35" t="n">
        <v>0</v>
      </c>
      <c r="I972" s="34" t="n">
        <f aca="false">+IF(E972=0,0,E972*0.03)</f>
        <v>0</v>
      </c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customFormat="false" ht="16.4" hidden="false" customHeight="false" outlineLevel="0" collapsed="false">
      <c r="A973" s="123" t="n">
        <v>45444</v>
      </c>
      <c r="B973" s="31" t="s">
        <v>153</v>
      </c>
      <c r="C973" s="129"/>
      <c r="D973" s="129"/>
      <c r="E973" s="19" t="n">
        <f aca="false">F973*0.03</f>
        <v>0</v>
      </c>
      <c r="F973" s="33" t="n">
        <v>0</v>
      </c>
      <c r="G973" s="131"/>
      <c r="H973" s="35" t="n">
        <v>0</v>
      </c>
      <c r="I973" s="34" t="n">
        <f aca="false">+IF(E973=0,0,E973*0.03)</f>
        <v>0</v>
      </c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customFormat="false" ht="16.4" hidden="false" customHeight="false" outlineLevel="0" collapsed="false">
      <c r="A974" s="123" t="n">
        <v>45444</v>
      </c>
      <c r="B974" s="31" t="s">
        <v>153</v>
      </c>
      <c r="C974" s="129"/>
      <c r="D974" s="129"/>
      <c r="E974" s="19" t="n">
        <f aca="false">F974*0.03</f>
        <v>0</v>
      </c>
      <c r="F974" s="33" t="n">
        <v>0</v>
      </c>
      <c r="G974" s="131"/>
      <c r="H974" s="35" t="n">
        <v>0</v>
      </c>
      <c r="I974" s="34" t="n">
        <f aca="false">+IF(E974=0,0,E974*0.03)</f>
        <v>0</v>
      </c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customFormat="false" ht="16.4" hidden="false" customHeight="false" outlineLevel="0" collapsed="false">
      <c r="A975" s="123" t="n">
        <v>45444</v>
      </c>
      <c r="B975" s="31" t="s">
        <v>153</v>
      </c>
      <c r="C975" s="129"/>
      <c r="D975" s="129"/>
      <c r="E975" s="19" t="n">
        <f aca="false">F975*0.03</f>
        <v>0</v>
      </c>
      <c r="F975" s="33" t="n">
        <v>0</v>
      </c>
      <c r="G975" s="131"/>
      <c r="H975" s="35" t="n">
        <v>0</v>
      </c>
      <c r="I975" s="34" t="n">
        <f aca="false">+IF(E975=0,0,E975*0.03)</f>
        <v>0</v>
      </c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customFormat="false" ht="16.4" hidden="false" customHeight="false" outlineLevel="0" collapsed="false">
      <c r="A976" s="123" t="n">
        <v>45444</v>
      </c>
      <c r="B976" s="31" t="s">
        <v>153</v>
      </c>
      <c r="C976" s="129"/>
      <c r="D976" s="129"/>
      <c r="E976" s="19" t="n">
        <f aca="false">F976*0.03</f>
        <v>0</v>
      </c>
      <c r="F976" s="33" t="n">
        <v>0</v>
      </c>
      <c r="G976" s="131"/>
      <c r="H976" s="35" t="n">
        <v>0</v>
      </c>
      <c r="I976" s="34" t="n">
        <f aca="false">+IF(E976=0,0,E976*0.03)</f>
        <v>0</v>
      </c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customFormat="false" ht="16.4" hidden="false" customHeight="false" outlineLevel="0" collapsed="false">
      <c r="A977" s="123" t="n">
        <v>45444</v>
      </c>
      <c r="B977" s="31" t="s">
        <v>153</v>
      </c>
      <c r="C977" s="129"/>
      <c r="D977" s="129"/>
      <c r="E977" s="19" t="n">
        <f aca="false">F977*0.03</f>
        <v>0</v>
      </c>
      <c r="F977" s="33" t="n">
        <v>0</v>
      </c>
      <c r="G977" s="131"/>
      <c r="H977" s="35" t="n">
        <v>0</v>
      </c>
      <c r="I977" s="34" t="n">
        <f aca="false">+IF(E977=0,0,E977*0.03)</f>
        <v>0</v>
      </c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customFormat="false" ht="16.4" hidden="false" customHeight="false" outlineLevel="0" collapsed="false">
      <c r="A978" s="123" t="n">
        <v>45444</v>
      </c>
      <c r="B978" s="31" t="s">
        <v>153</v>
      </c>
      <c r="C978" s="129"/>
      <c r="D978" s="129"/>
      <c r="E978" s="19" t="n">
        <f aca="false">F978*0.03</f>
        <v>0</v>
      </c>
      <c r="F978" s="33" t="n">
        <v>0</v>
      </c>
      <c r="G978" s="131"/>
      <c r="H978" s="35" t="n">
        <v>0</v>
      </c>
      <c r="I978" s="34" t="n">
        <f aca="false">+IF(E978=0,0,E978*0.03)</f>
        <v>0</v>
      </c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customFormat="false" ht="16.4" hidden="false" customHeight="false" outlineLevel="0" collapsed="false">
      <c r="A979" s="123" t="n">
        <v>45444</v>
      </c>
      <c r="B979" s="31" t="s">
        <v>153</v>
      </c>
      <c r="C979" s="129"/>
      <c r="D979" s="129"/>
      <c r="E979" s="19" t="n">
        <f aca="false">F979*0.03</f>
        <v>0</v>
      </c>
      <c r="F979" s="33" t="n">
        <v>0</v>
      </c>
      <c r="G979" s="131"/>
      <c r="H979" s="35" t="n">
        <v>0</v>
      </c>
      <c r="I979" s="34" t="n">
        <f aca="false">+IF(E979=0,0,E979*0.03)</f>
        <v>0</v>
      </c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customFormat="false" ht="16.4" hidden="false" customHeight="false" outlineLevel="0" collapsed="false">
      <c r="A980" s="123" t="n">
        <v>45444</v>
      </c>
      <c r="B980" s="31" t="s">
        <v>153</v>
      </c>
      <c r="C980" s="129"/>
      <c r="D980" s="129"/>
      <c r="E980" s="19" t="n">
        <f aca="false">F980*0.03</f>
        <v>0</v>
      </c>
      <c r="F980" s="33" t="n">
        <v>0</v>
      </c>
      <c r="G980" s="131"/>
      <c r="H980" s="35" t="n">
        <v>0</v>
      </c>
      <c r="I980" s="34" t="n">
        <f aca="false">+IF(E980=0,0,E980*0.03)</f>
        <v>0</v>
      </c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customFormat="false" ht="16.4" hidden="false" customHeight="false" outlineLevel="0" collapsed="false">
      <c r="A981" s="123" t="n">
        <v>45444</v>
      </c>
      <c r="B981" s="31" t="s">
        <v>153</v>
      </c>
      <c r="C981" s="129"/>
      <c r="D981" s="129"/>
      <c r="E981" s="19" t="n">
        <f aca="false">F981*0.03</f>
        <v>0</v>
      </c>
      <c r="F981" s="33" t="n">
        <v>0</v>
      </c>
      <c r="G981" s="131"/>
      <c r="H981" s="35" t="n">
        <v>0</v>
      </c>
      <c r="I981" s="34" t="n">
        <f aca="false">+IF(E981=0,0,E981*0.03)</f>
        <v>0</v>
      </c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customFormat="false" ht="16.4" hidden="false" customHeight="false" outlineLevel="0" collapsed="false">
      <c r="A982" s="123" t="n">
        <v>45444</v>
      </c>
      <c r="B982" s="31" t="s">
        <v>153</v>
      </c>
      <c r="C982" s="129"/>
      <c r="D982" s="129"/>
      <c r="E982" s="19" t="n">
        <f aca="false">F982*0.03</f>
        <v>0</v>
      </c>
      <c r="F982" s="33" t="n">
        <v>0</v>
      </c>
      <c r="G982" s="131"/>
      <c r="H982" s="35" t="n">
        <v>0</v>
      </c>
      <c r="I982" s="34" t="n">
        <f aca="false">+IF(E982=0,0,E982*0.03)</f>
        <v>0</v>
      </c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customFormat="false" ht="16.4" hidden="false" customHeight="false" outlineLevel="0" collapsed="false">
      <c r="A983" s="123" t="n">
        <v>45444</v>
      </c>
      <c r="B983" s="31" t="s">
        <v>153</v>
      </c>
      <c r="C983" s="129"/>
      <c r="D983" s="129"/>
      <c r="E983" s="19" t="n">
        <f aca="false">F983*0.03</f>
        <v>0</v>
      </c>
      <c r="F983" s="33" t="n">
        <v>0</v>
      </c>
      <c r="G983" s="131"/>
      <c r="H983" s="35" t="n">
        <v>0</v>
      </c>
      <c r="I983" s="34" t="n">
        <f aca="false">+IF(E983=0,0,E983*0.03)</f>
        <v>0</v>
      </c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customFormat="false" ht="16.4" hidden="false" customHeight="false" outlineLevel="0" collapsed="false">
      <c r="A984" s="123" t="n">
        <v>45444</v>
      </c>
      <c r="B984" s="31" t="s">
        <v>153</v>
      </c>
      <c r="C984" s="129"/>
      <c r="D984" s="129"/>
      <c r="E984" s="19" t="n">
        <f aca="false">F984*0.03</f>
        <v>0</v>
      </c>
      <c r="F984" s="33" t="n">
        <v>0</v>
      </c>
      <c r="G984" s="131"/>
      <c r="H984" s="35" t="n">
        <v>0</v>
      </c>
      <c r="I984" s="34" t="n">
        <f aca="false">+IF(E984=0,0,E984*0.03)</f>
        <v>0</v>
      </c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customFormat="false" ht="16.4" hidden="false" customHeight="false" outlineLevel="0" collapsed="false">
      <c r="A985" s="123" t="n">
        <v>45444</v>
      </c>
      <c r="B985" s="31" t="s">
        <v>153</v>
      </c>
      <c r="C985" s="129"/>
      <c r="D985" s="129"/>
      <c r="E985" s="19" t="n">
        <f aca="false">F985*0.03</f>
        <v>0</v>
      </c>
      <c r="F985" s="33" t="n">
        <v>0</v>
      </c>
      <c r="G985" s="131"/>
      <c r="H985" s="35" t="n">
        <v>0</v>
      </c>
      <c r="I985" s="34" t="n">
        <f aca="false">+IF(E985=0,0,E985*0.03)</f>
        <v>0</v>
      </c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customFormat="false" ht="16.4" hidden="false" customHeight="false" outlineLevel="0" collapsed="false">
      <c r="A986" s="123" t="n">
        <v>45444</v>
      </c>
      <c r="B986" s="31" t="s">
        <v>153</v>
      </c>
      <c r="C986" s="129"/>
      <c r="D986" s="129"/>
      <c r="E986" s="19" t="n">
        <f aca="false">F986*0.03</f>
        <v>0</v>
      </c>
      <c r="F986" s="33" t="n">
        <v>0</v>
      </c>
      <c r="G986" s="131"/>
      <c r="H986" s="35" t="n">
        <v>0</v>
      </c>
      <c r="I986" s="34" t="n">
        <f aca="false">+IF(E986=0,0,E986*0.03)</f>
        <v>0</v>
      </c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customFormat="false" ht="16.4" hidden="false" customHeight="false" outlineLevel="0" collapsed="false">
      <c r="A987" s="123" t="n">
        <v>45444</v>
      </c>
      <c r="B987" s="31" t="s">
        <v>153</v>
      </c>
      <c r="C987" s="129"/>
      <c r="D987" s="129"/>
      <c r="E987" s="19" t="n">
        <f aca="false">F987*0.03</f>
        <v>0</v>
      </c>
      <c r="F987" s="33" t="n">
        <v>0</v>
      </c>
      <c r="G987" s="131"/>
      <c r="H987" s="35" t="n">
        <v>0</v>
      </c>
      <c r="I987" s="34" t="n">
        <f aca="false">+IF(E987=0,0,E987*0.03)</f>
        <v>0</v>
      </c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customFormat="false" ht="16.4" hidden="false" customHeight="false" outlineLevel="0" collapsed="false">
      <c r="A988" s="123" t="n">
        <v>45444</v>
      </c>
      <c r="B988" s="31" t="s">
        <v>153</v>
      </c>
      <c r="C988" s="129"/>
      <c r="D988" s="129"/>
      <c r="E988" s="19" t="n">
        <f aca="false">F988*0.03</f>
        <v>0</v>
      </c>
      <c r="F988" s="33" t="n">
        <v>0</v>
      </c>
      <c r="G988" s="131"/>
      <c r="H988" s="35" t="n">
        <v>0</v>
      </c>
      <c r="I988" s="34" t="n">
        <f aca="false">+IF(E988=0,0,E988*0.03)</f>
        <v>0</v>
      </c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customFormat="false" ht="16.4" hidden="false" customHeight="false" outlineLevel="0" collapsed="false">
      <c r="A989" s="123" t="n">
        <v>45444</v>
      </c>
      <c r="B989" s="31" t="s">
        <v>153</v>
      </c>
      <c r="C989" s="129"/>
      <c r="D989" s="129"/>
      <c r="E989" s="19" t="n">
        <f aca="false">F989*0.03</f>
        <v>0</v>
      </c>
      <c r="F989" s="33" t="n">
        <v>0</v>
      </c>
      <c r="G989" s="131"/>
      <c r="H989" s="35" t="n">
        <v>0</v>
      </c>
      <c r="I989" s="34" t="n">
        <f aca="false">+IF(E989=0,0,E989*0.03)</f>
        <v>0</v>
      </c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customFormat="false" ht="16.4" hidden="false" customHeight="false" outlineLevel="0" collapsed="false">
      <c r="A990" s="123" t="n">
        <v>45444</v>
      </c>
      <c r="B990" s="31" t="s">
        <v>153</v>
      </c>
      <c r="C990" s="129"/>
      <c r="D990" s="129"/>
      <c r="E990" s="19" t="n">
        <f aca="false">F990*0.03</f>
        <v>0</v>
      </c>
      <c r="F990" s="33" t="n">
        <v>0</v>
      </c>
      <c r="G990" s="131"/>
      <c r="H990" s="35" t="n">
        <v>0</v>
      </c>
      <c r="I990" s="34" t="n">
        <f aca="false">+IF(E990=0,0,E990*0.03)</f>
        <v>0</v>
      </c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customFormat="false" ht="16.4" hidden="false" customHeight="false" outlineLevel="0" collapsed="false">
      <c r="A991" s="123" t="n">
        <v>45444</v>
      </c>
      <c r="B991" s="31" t="s">
        <v>153</v>
      </c>
      <c r="C991" s="129"/>
      <c r="D991" s="129"/>
      <c r="E991" s="19" t="n">
        <f aca="false">F991*0.03</f>
        <v>0</v>
      </c>
      <c r="F991" s="33" t="n">
        <v>0</v>
      </c>
      <c r="G991" s="131"/>
      <c r="H991" s="35" t="n">
        <v>0</v>
      </c>
      <c r="I991" s="34" t="n">
        <f aca="false">+IF(E991=0,0,E991*0.03)</f>
        <v>0</v>
      </c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customFormat="false" ht="16.4" hidden="false" customHeight="false" outlineLevel="0" collapsed="false">
      <c r="A992" s="123" t="n">
        <v>45444</v>
      </c>
      <c r="B992" s="31" t="s">
        <v>153</v>
      </c>
      <c r="C992" s="129"/>
      <c r="D992" s="129"/>
      <c r="E992" s="19" t="n">
        <f aca="false">F992*0.03</f>
        <v>0</v>
      </c>
      <c r="F992" s="33" t="n">
        <v>0</v>
      </c>
      <c r="G992" s="131"/>
      <c r="H992" s="35" t="n">
        <v>0</v>
      </c>
      <c r="I992" s="34" t="n">
        <f aca="false">+IF(E992=0,0,E992*0.03)</f>
        <v>0</v>
      </c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customFormat="false" ht="16.4" hidden="false" customHeight="false" outlineLevel="0" collapsed="false">
      <c r="A993" s="123" t="n">
        <v>45444</v>
      </c>
      <c r="B993" s="31" t="s">
        <v>153</v>
      </c>
      <c r="C993" s="129"/>
      <c r="D993" s="129"/>
      <c r="E993" s="19" t="n">
        <f aca="false">F993*0.03</f>
        <v>0</v>
      </c>
      <c r="F993" s="33" t="n">
        <v>0</v>
      </c>
      <c r="G993" s="131"/>
      <c r="H993" s="35" t="n">
        <v>0</v>
      </c>
      <c r="I993" s="34" t="n">
        <f aca="false">+IF(E993=0,0,E993*0.03)</f>
        <v>0</v>
      </c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customFormat="false" ht="16.4" hidden="false" customHeight="false" outlineLevel="0" collapsed="false">
      <c r="A994" s="123" t="n">
        <v>45444</v>
      </c>
      <c r="B994" s="31" t="s">
        <v>153</v>
      </c>
      <c r="C994" s="129"/>
      <c r="D994" s="129"/>
      <c r="E994" s="19" t="n">
        <f aca="false">F994*0.03</f>
        <v>0</v>
      </c>
      <c r="F994" s="33" t="n">
        <v>0</v>
      </c>
      <c r="G994" s="131"/>
      <c r="H994" s="35" t="n">
        <v>0</v>
      </c>
      <c r="I994" s="34" t="n">
        <f aca="false">+IF(E994=0,0,E994*0.03)</f>
        <v>0</v>
      </c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customFormat="false" ht="16.4" hidden="false" customHeight="false" outlineLevel="0" collapsed="false">
      <c r="A995" s="123" t="n">
        <v>45444</v>
      </c>
      <c r="B995" s="31" t="s">
        <v>153</v>
      </c>
      <c r="C995" s="129"/>
      <c r="D995" s="129"/>
      <c r="E995" s="19" t="n">
        <f aca="false">F995*0.03</f>
        <v>0</v>
      </c>
      <c r="F995" s="33" t="n">
        <v>0</v>
      </c>
      <c r="G995" s="131"/>
      <c r="H995" s="35" t="n">
        <v>0</v>
      </c>
      <c r="I995" s="34" t="n">
        <f aca="false">+IF(E995=0,0,E995*0.03)</f>
        <v>0</v>
      </c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customFormat="false" ht="16.4" hidden="false" customHeight="false" outlineLevel="0" collapsed="false">
      <c r="A996" s="123" t="n">
        <v>45444</v>
      </c>
      <c r="B996" s="31" t="s">
        <v>153</v>
      </c>
      <c r="C996" s="129"/>
      <c r="D996" s="129"/>
      <c r="E996" s="19" t="n">
        <f aca="false">F996*0.03</f>
        <v>0</v>
      </c>
      <c r="F996" s="33" t="n">
        <v>0</v>
      </c>
      <c r="G996" s="131"/>
      <c r="H996" s="35" t="n">
        <v>0</v>
      </c>
      <c r="I996" s="34" t="n">
        <f aca="false">+IF(E996=0,0,E996*0.03)</f>
        <v>0</v>
      </c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customFormat="false" ht="16.4" hidden="false" customHeight="false" outlineLevel="0" collapsed="false">
      <c r="A997" s="123" t="n">
        <v>45444</v>
      </c>
      <c r="B997" s="31" t="s">
        <v>153</v>
      </c>
      <c r="C997" s="129"/>
      <c r="D997" s="129"/>
      <c r="E997" s="19" t="n">
        <f aca="false">F997*0.03</f>
        <v>0</v>
      </c>
      <c r="F997" s="33" t="n">
        <v>0</v>
      </c>
      <c r="G997" s="131"/>
      <c r="H997" s="35" t="n">
        <v>0</v>
      </c>
      <c r="I997" s="34" t="n">
        <f aca="false">+IF(E997=0,0,E997*0.03)</f>
        <v>0</v>
      </c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customFormat="false" ht="16.4" hidden="false" customHeight="false" outlineLevel="0" collapsed="false">
      <c r="A998" s="123" t="n">
        <v>45444</v>
      </c>
      <c r="B998" s="31" t="s">
        <v>153</v>
      </c>
      <c r="C998" s="129"/>
      <c r="D998" s="129"/>
      <c r="E998" s="19" t="n">
        <f aca="false">F998*0.03</f>
        <v>0</v>
      </c>
      <c r="F998" s="33" t="n">
        <v>0</v>
      </c>
      <c r="G998" s="131"/>
      <c r="H998" s="35" t="n">
        <v>0</v>
      </c>
      <c r="I998" s="34" t="n">
        <f aca="false">+IF(E998=0,0,E998*0.03)</f>
        <v>0</v>
      </c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customFormat="false" ht="16.4" hidden="false" customHeight="false" outlineLevel="0" collapsed="false">
      <c r="A999" s="123" t="n">
        <v>45444</v>
      </c>
      <c r="B999" s="31" t="s">
        <v>153</v>
      </c>
      <c r="C999" s="129"/>
      <c r="D999" s="129"/>
      <c r="E999" s="19" t="n">
        <f aca="false">F999*0.03</f>
        <v>0</v>
      </c>
      <c r="F999" s="33" t="n">
        <v>0</v>
      </c>
      <c r="G999" s="131"/>
      <c r="H999" s="35" t="n">
        <v>0</v>
      </c>
      <c r="I999" s="34" t="n">
        <f aca="false">+IF(E999=0,0,E999*0.03)</f>
        <v>0</v>
      </c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customFormat="false" ht="16.4" hidden="false" customHeight="false" outlineLevel="0" collapsed="false">
      <c r="A1000" s="123" t="n">
        <v>45444</v>
      </c>
      <c r="B1000" s="31" t="s">
        <v>153</v>
      </c>
      <c r="C1000" s="129"/>
      <c r="D1000" s="129"/>
      <c r="E1000" s="19" t="n">
        <f aca="false">F1000*0.03</f>
        <v>0</v>
      </c>
      <c r="F1000" s="33" t="n">
        <v>0</v>
      </c>
      <c r="G1000" s="131"/>
      <c r="H1000" s="35" t="n">
        <v>0</v>
      </c>
      <c r="I1000" s="34" t="n">
        <f aca="false">+IF(E1000=0,0,E1000*0.03)</f>
        <v>0</v>
      </c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 customFormat="false" ht="16.4" hidden="false" customHeight="false" outlineLevel="0" collapsed="false">
      <c r="A1001" s="123" t="n">
        <v>45444</v>
      </c>
      <c r="B1001" s="31" t="s">
        <v>153</v>
      </c>
      <c r="C1001" s="129"/>
      <c r="D1001" s="129"/>
      <c r="E1001" s="19" t="n">
        <f aca="false">F1001*0.03</f>
        <v>0</v>
      </c>
      <c r="F1001" s="33" t="n">
        <v>0</v>
      </c>
      <c r="G1001" s="131"/>
      <c r="H1001" s="35" t="n">
        <v>0</v>
      </c>
      <c r="I1001" s="34" t="n">
        <f aca="false">+IF(E1001=0,0,E1001*0.03)</f>
        <v>0</v>
      </c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  <row r="1002" customFormat="false" ht="16.4" hidden="false" customHeight="false" outlineLevel="0" collapsed="false">
      <c r="A1002" s="123" t="n">
        <v>45444</v>
      </c>
      <c r="B1002" s="31" t="s">
        <v>153</v>
      </c>
      <c r="C1002" s="129"/>
      <c r="D1002" s="129"/>
      <c r="E1002" s="19" t="n">
        <f aca="false">F1002*0.03</f>
        <v>0</v>
      </c>
      <c r="F1002" s="33" t="n">
        <v>0</v>
      </c>
      <c r="G1002" s="131"/>
      <c r="H1002" s="35" t="n">
        <v>0</v>
      </c>
      <c r="I1002" s="34" t="n">
        <f aca="false">+IF(E1002=0,0,E1002*0.03)</f>
        <v>0</v>
      </c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</row>
    <row r="1003" customFormat="false" ht="16.4" hidden="false" customHeight="false" outlineLevel="0" collapsed="false">
      <c r="A1003" s="123" t="n">
        <v>45444</v>
      </c>
      <c r="B1003" s="31" t="s">
        <v>153</v>
      </c>
      <c r="C1003" s="129"/>
      <c r="D1003" s="129"/>
      <c r="E1003" s="19" t="n">
        <f aca="false">F1003*0.03</f>
        <v>0</v>
      </c>
      <c r="F1003" s="33" t="n">
        <v>0</v>
      </c>
      <c r="G1003" s="131"/>
      <c r="H1003" s="35" t="n">
        <v>0</v>
      </c>
      <c r="I1003" s="34" t="n">
        <f aca="false">+IF(E1003=0,0,E1003*0.03)</f>
        <v>0</v>
      </c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</row>
    <row r="1004" customFormat="false" ht="16.4" hidden="false" customHeight="false" outlineLevel="0" collapsed="false">
      <c r="A1004" s="123" t="n">
        <v>45444</v>
      </c>
      <c r="B1004" s="31" t="s">
        <v>153</v>
      </c>
      <c r="C1004" s="129"/>
      <c r="D1004" s="129"/>
      <c r="E1004" s="19" t="n">
        <f aca="false">F1004*0.03</f>
        <v>0</v>
      </c>
      <c r="F1004" s="33" t="n">
        <v>0</v>
      </c>
      <c r="G1004" s="131"/>
      <c r="H1004" s="35" t="n">
        <v>0</v>
      </c>
      <c r="I1004" s="34" t="n">
        <f aca="false">+IF(E1004=0,0,E1004*0.03)</f>
        <v>0</v>
      </c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</row>
    <row r="1005" customFormat="false" ht="16.4" hidden="false" customHeight="false" outlineLevel="0" collapsed="false">
      <c r="A1005" s="123" t="n">
        <v>45444</v>
      </c>
      <c r="B1005" s="31" t="s">
        <v>153</v>
      </c>
      <c r="C1005" s="129"/>
      <c r="D1005" s="129"/>
      <c r="E1005" s="19" t="n">
        <f aca="false">F1005*0.03</f>
        <v>0</v>
      </c>
      <c r="F1005" s="33" t="n">
        <v>0</v>
      </c>
      <c r="G1005" s="131"/>
      <c r="H1005" s="35" t="n">
        <v>0</v>
      </c>
      <c r="I1005" s="34" t="n">
        <f aca="false">+IF(E1005=0,0,E1005*0.03)</f>
        <v>0</v>
      </c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</row>
    <row r="1006" customFormat="false" ht="16.4" hidden="false" customHeight="false" outlineLevel="0" collapsed="false">
      <c r="A1006" s="123" t="n">
        <v>45444</v>
      </c>
      <c r="B1006" s="31" t="s">
        <v>153</v>
      </c>
      <c r="C1006" s="129"/>
      <c r="D1006" s="129"/>
      <c r="E1006" s="19" t="n">
        <f aca="false">F1006*0.03</f>
        <v>0</v>
      </c>
      <c r="F1006" s="33" t="n">
        <v>0</v>
      </c>
      <c r="G1006" s="131"/>
      <c r="H1006" s="35" t="n">
        <v>0</v>
      </c>
      <c r="I1006" s="34" t="n">
        <f aca="false">+IF(E1006=0,0,E1006*0.03)</f>
        <v>0</v>
      </c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</row>
    <row r="1007" customFormat="false" ht="16.4" hidden="false" customHeight="false" outlineLevel="0" collapsed="false">
      <c r="A1007" s="123" t="n">
        <v>45444</v>
      </c>
      <c r="B1007" s="31" t="s">
        <v>153</v>
      </c>
      <c r="C1007" s="129"/>
      <c r="D1007" s="129"/>
      <c r="E1007" s="19" t="n">
        <f aca="false">F1007*0.03</f>
        <v>0</v>
      </c>
      <c r="F1007" s="33" t="n">
        <v>0</v>
      </c>
      <c r="G1007" s="131"/>
      <c r="H1007" s="35" t="n">
        <v>0</v>
      </c>
      <c r="I1007" s="34" t="n">
        <f aca="false">+IF(E1007=0,0,E1007*0.03)</f>
        <v>0</v>
      </c>
      <c r="J1007" s="93"/>
      <c r="K1007" s="93"/>
      <c r="L1007" s="93"/>
      <c r="M1007" s="93"/>
      <c r="N1007" s="93"/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</row>
    <row r="1008" customFormat="false" ht="16.4" hidden="false" customHeight="false" outlineLevel="0" collapsed="false">
      <c r="A1008" s="123" t="n">
        <v>45444</v>
      </c>
      <c r="B1008" s="31" t="s">
        <v>153</v>
      </c>
      <c r="C1008" s="129"/>
      <c r="D1008" s="129"/>
      <c r="E1008" s="19" t="n">
        <f aca="false">F1008*0.03</f>
        <v>0</v>
      </c>
      <c r="F1008" s="33" t="n">
        <v>0</v>
      </c>
      <c r="G1008" s="131"/>
      <c r="H1008" s="35" t="n">
        <v>0</v>
      </c>
      <c r="I1008" s="34" t="n">
        <f aca="false">+IF(E1008=0,0,E1008*0.03)</f>
        <v>0</v>
      </c>
      <c r="J1008" s="93"/>
      <c r="K1008" s="93"/>
      <c r="L1008" s="93"/>
      <c r="M1008" s="93"/>
      <c r="N1008" s="93"/>
      <c r="O1008" s="93"/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</row>
    <row r="1009" customFormat="false" ht="16.4" hidden="false" customHeight="false" outlineLevel="0" collapsed="false">
      <c r="A1009" s="123" t="n">
        <v>45444</v>
      </c>
      <c r="B1009" s="31" t="s">
        <v>153</v>
      </c>
      <c r="C1009" s="129"/>
      <c r="D1009" s="129"/>
      <c r="E1009" s="19" t="n">
        <f aca="false">F1009*0.03</f>
        <v>0</v>
      </c>
      <c r="F1009" s="33" t="n">
        <v>0</v>
      </c>
      <c r="G1009" s="131"/>
      <c r="H1009" s="35" t="n">
        <v>0</v>
      </c>
      <c r="I1009" s="34" t="n">
        <f aca="false">+IF(E1009=0,0,E1009*0.03)</f>
        <v>0</v>
      </c>
      <c r="J1009" s="93"/>
      <c r="K1009" s="93"/>
      <c r="L1009" s="93"/>
      <c r="M1009" s="93"/>
      <c r="N1009" s="93"/>
      <c r="O1009" s="93"/>
      <c r="P1009" s="93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</row>
    <row r="1010" customFormat="false" ht="16.4" hidden="false" customHeight="false" outlineLevel="0" collapsed="false">
      <c r="A1010" s="123" t="n">
        <v>45444</v>
      </c>
      <c r="B1010" s="31" t="s">
        <v>153</v>
      </c>
      <c r="C1010" s="129"/>
      <c r="D1010" s="129"/>
      <c r="E1010" s="19" t="n">
        <f aca="false">F1010*0.03</f>
        <v>0</v>
      </c>
      <c r="F1010" s="33" t="n">
        <v>0</v>
      </c>
      <c r="G1010" s="131"/>
      <c r="H1010" s="35" t="n">
        <v>0</v>
      </c>
      <c r="I1010" s="34" t="n">
        <f aca="false">+IF(E1010=0,0,E1010*0.03)</f>
        <v>0</v>
      </c>
      <c r="J1010" s="93"/>
      <c r="K1010" s="93"/>
      <c r="L1010" s="93"/>
      <c r="M1010" s="93"/>
      <c r="N1010" s="93"/>
      <c r="O1010" s="93"/>
      <c r="P1010" s="93"/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</row>
    <row r="1011" customFormat="false" ht="16.4" hidden="false" customHeight="false" outlineLevel="0" collapsed="false">
      <c r="A1011" s="123" t="n">
        <v>45444</v>
      </c>
      <c r="B1011" s="31" t="s">
        <v>153</v>
      </c>
      <c r="C1011" s="129"/>
      <c r="D1011" s="129"/>
      <c r="E1011" s="19" t="n">
        <f aca="false">F1011*0.03</f>
        <v>0</v>
      </c>
      <c r="F1011" s="33" t="n">
        <v>0</v>
      </c>
      <c r="G1011" s="131"/>
      <c r="H1011" s="35" t="n">
        <v>0</v>
      </c>
      <c r="I1011" s="34" t="n">
        <f aca="false">+IF(E1011=0,0,E1011*0.03)</f>
        <v>0</v>
      </c>
      <c r="J1011" s="93"/>
      <c r="K1011" s="93"/>
      <c r="L1011" s="93"/>
      <c r="M1011" s="93"/>
      <c r="N1011" s="93"/>
      <c r="O1011" s="93"/>
      <c r="P1011" s="93"/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</row>
    <row r="1012" customFormat="false" ht="16.4" hidden="false" customHeight="false" outlineLevel="0" collapsed="false">
      <c r="A1012" s="123" t="n">
        <v>45444</v>
      </c>
      <c r="B1012" s="31" t="s">
        <v>153</v>
      </c>
      <c r="C1012" s="129"/>
      <c r="D1012" s="129"/>
      <c r="E1012" s="19" t="n">
        <f aca="false">F1012*0.03</f>
        <v>0</v>
      </c>
      <c r="F1012" s="33" t="n">
        <v>0</v>
      </c>
      <c r="G1012" s="131"/>
      <c r="H1012" s="35" t="n">
        <v>0</v>
      </c>
      <c r="I1012" s="34" t="n">
        <f aca="false">+IF(E1012=0,0,E1012*0.03)</f>
        <v>0</v>
      </c>
      <c r="J1012" s="93"/>
      <c r="K1012" s="93"/>
      <c r="L1012" s="93"/>
      <c r="M1012" s="93"/>
      <c r="N1012" s="93"/>
      <c r="O1012" s="93"/>
      <c r="P1012" s="93"/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</row>
    <row r="1013" customFormat="false" ht="16.4" hidden="false" customHeight="false" outlineLevel="0" collapsed="false">
      <c r="A1013" s="123" t="n">
        <v>45444</v>
      </c>
      <c r="B1013" s="31" t="s">
        <v>153</v>
      </c>
      <c r="C1013" s="129"/>
      <c r="D1013" s="129"/>
      <c r="E1013" s="19" t="n">
        <f aca="false">F1013*0.03</f>
        <v>0</v>
      </c>
      <c r="F1013" s="33" t="n">
        <v>0</v>
      </c>
      <c r="G1013" s="131"/>
      <c r="H1013" s="35" t="n">
        <v>0</v>
      </c>
      <c r="I1013" s="34" t="n">
        <f aca="false">+IF(E1013=0,0,E1013*0.03)</f>
        <v>0</v>
      </c>
      <c r="J1013" s="93"/>
      <c r="K1013" s="93"/>
      <c r="L1013" s="93"/>
      <c r="M1013" s="93"/>
      <c r="N1013" s="93"/>
      <c r="O1013" s="93"/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</row>
    <row r="1014" customFormat="false" ht="16.4" hidden="false" customHeight="false" outlineLevel="0" collapsed="false">
      <c r="A1014" s="123" t="n">
        <v>45444</v>
      </c>
      <c r="B1014" s="31" t="s">
        <v>153</v>
      </c>
      <c r="C1014" s="129"/>
      <c r="D1014" s="129"/>
      <c r="E1014" s="19" t="n">
        <f aca="false">F1014*0.03</f>
        <v>0</v>
      </c>
      <c r="F1014" s="33" t="n">
        <v>0</v>
      </c>
      <c r="G1014" s="131"/>
      <c r="H1014" s="35" t="n">
        <v>0</v>
      </c>
      <c r="I1014" s="34" t="n">
        <f aca="false">+IF(E1014=0,0,E1014*0.03)</f>
        <v>0</v>
      </c>
      <c r="J1014" s="93"/>
      <c r="K1014" s="93"/>
      <c r="L1014" s="93"/>
      <c r="M1014" s="93"/>
      <c r="N1014" s="93"/>
      <c r="O1014" s="93"/>
      <c r="P1014" s="93"/>
      <c r="Q1014" s="93"/>
      <c r="R1014" s="93"/>
      <c r="S1014" s="93"/>
      <c r="T1014" s="93"/>
      <c r="U1014" s="93"/>
      <c r="V1014" s="93"/>
      <c r="W1014" s="93"/>
      <c r="X1014" s="93"/>
      <c r="Y1014" s="93"/>
      <c r="Z1014" s="93"/>
    </row>
    <row r="1015" customFormat="false" ht="16.4" hidden="false" customHeight="false" outlineLevel="0" collapsed="false">
      <c r="A1015" s="123" t="n">
        <v>45444</v>
      </c>
      <c r="B1015" s="31" t="s">
        <v>153</v>
      </c>
      <c r="C1015" s="129"/>
      <c r="D1015" s="129"/>
      <c r="E1015" s="19" t="n">
        <f aca="false">F1015*0.03</f>
        <v>0</v>
      </c>
      <c r="F1015" s="33" t="n">
        <v>0</v>
      </c>
      <c r="G1015" s="131"/>
      <c r="H1015" s="35" t="n">
        <v>0</v>
      </c>
      <c r="I1015" s="34" t="n">
        <f aca="false">+IF(E1015=0,0,E1015*0.03)</f>
        <v>0</v>
      </c>
      <c r="J1015" s="93"/>
      <c r="K1015" s="93"/>
      <c r="L1015" s="93"/>
      <c r="M1015" s="93"/>
      <c r="N1015" s="93"/>
      <c r="O1015" s="93"/>
      <c r="P1015" s="93"/>
      <c r="Q1015" s="93"/>
      <c r="R1015" s="93"/>
      <c r="S1015" s="93"/>
      <c r="T1015" s="93"/>
      <c r="U1015" s="93"/>
      <c r="V1015" s="93"/>
      <c r="W1015" s="93"/>
      <c r="X1015" s="93"/>
      <c r="Y1015" s="93"/>
      <c r="Z1015" s="93"/>
    </row>
    <row r="1016" customFormat="false" ht="16.4" hidden="false" customHeight="false" outlineLevel="0" collapsed="false">
      <c r="A1016" s="123" t="n">
        <v>45444</v>
      </c>
      <c r="B1016" s="31" t="s">
        <v>153</v>
      </c>
      <c r="C1016" s="129"/>
      <c r="D1016" s="129"/>
      <c r="E1016" s="19" t="n">
        <f aca="false">F1016*0.03</f>
        <v>0</v>
      </c>
      <c r="F1016" s="33" t="n">
        <v>0</v>
      </c>
      <c r="G1016" s="131"/>
      <c r="H1016" s="35" t="n">
        <v>0</v>
      </c>
      <c r="I1016" s="34" t="n">
        <f aca="false">+IF(E1016=0,0,E1016*0.03)</f>
        <v>0</v>
      </c>
      <c r="J1016" s="93"/>
      <c r="K1016" s="93"/>
      <c r="L1016" s="93"/>
      <c r="M1016" s="93"/>
      <c r="N1016" s="93"/>
      <c r="O1016" s="93"/>
      <c r="P1016" s="93"/>
      <c r="Q1016" s="93"/>
      <c r="R1016" s="93"/>
      <c r="S1016" s="93"/>
      <c r="T1016" s="93"/>
      <c r="U1016" s="93"/>
      <c r="V1016" s="93"/>
      <c r="W1016" s="93"/>
      <c r="X1016" s="93"/>
      <c r="Y1016" s="93"/>
      <c r="Z1016" s="93"/>
    </row>
    <row r="1017" customFormat="false" ht="16.4" hidden="false" customHeight="false" outlineLevel="0" collapsed="false">
      <c r="A1017" s="123" t="n">
        <v>45444</v>
      </c>
      <c r="B1017" s="31" t="s">
        <v>153</v>
      </c>
      <c r="C1017" s="129"/>
      <c r="D1017" s="129"/>
      <c r="E1017" s="19" t="n">
        <f aca="false">F1017*0.03</f>
        <v>0</v>
      </c>
      <c r="F1017" s="33" t="n">
        <v>0</v>
      </c>
      <c r="G1017" s="131"/>
      <c r="H1017" s="35" t="n">
        <v>0</v>
      </c>
      <c r="I1017" s="34" t="n">
        <f aca="false">+IF(E1017=0,0,E1017*0.03)</f>
        <v>0</v>
      </c>
      <c r="J1017" s="93"/>
      <c r="K1017" s="93"/>
      <c r="L1017" s="93"/>
      <c r="M1017" s="93"/>
      <c r="N1017" s="93"/>
      <c r="O1017" s="93"/>
      <c r="P1017" s="93"/>
      <c r="Q1017" s="93"/>
      <c r="R1017" s="93"/>
      <c r="S1017" s="93"/>
      <c r="T1017" s="93"/>
      <c r="U1017" s="93"/>
      <c r="V1017" s="93"/>
      <c r="W1017" s="93"/>
      <c r="X1017" s="93"/>
      <c r="Y1017" s="93"/>
      <c r="Z1017" s="93"/>
    </row>
    <row r="1018" customFormat="false" ht="16.4" hidden="false" customHeight="false" outlineLevel="0" collapsed="false">
      <c r="A1018" s="123" t="n">
        <v>45444</v>
      </c>
      <c r="B1018" s="31" t="s">
        <v>153</v>
      </c>
      <c r="C1018" s="129"/>
      <c r="D1018" s="129"/>
      <c r="E1018" s="19" t="n">
        <f aca="false">F1018*0.03</f>
        <v>0</v>
      </c>
      <c r="F1018" s="33" t="n">
        <v>0</v>
      </c>
      <c r="G1018" s="131"/>
      <c r="H1018" s="35" t="n">
        <v>0</v>
      </c>
      <c r="I1018" s="34" t="n">
        <f aca="false">+IF(E1018=0,0,E1018*0.03)</f>
        <v>0</v>
      </c>
      <c r="J1018" s="93"/>
      <c r="K1018" s="93"/>
      <c r="L1018" s="93"/>
      <c r="M1018" s="93"/>
      <c r="N1018" s="93"/>
      <c r="O1018" s="93"/>
      <c r="P1018" s="93"/>
      <c r="Q1018" s="93"/>
      <c r="R1018" s="93"/>
      <c r="S1018" s="93"/>
      <c r="T1018" s="93"/>
      <c r="U1018" s="93"/>
      <c r="V1018" s="93"/>
      <c r="W1018" s="93"/>
      <c r="X1018" s="93"/>
      <c r="Y1018" s="93"/>
      <c r="Z1018" s="93"/>
    </row>
    <row r="1019" customFormat="false" ht="16.4" hidden="false" customHeight="false" outlineLevel="0" collapsed="false">
      <c r="A1019" s="123" t="n">
        <v>45444</v>
      </c>
      <c r="B1019" s="31" t="s">
        <v>153</v>
      </c>
      <c r="C1019" s="129"/>
      <c r="D1019" s="129"/>
      <c r="E1019" s="19" t="n">
        <f aca="false">F1019*0.03</f>
        <v>0</v>
      </c>
      <c r="F1019" s="33" t="n">
        <v>0</v>
      </c>
      <c r="G1019" s="131"/>
      <c r="H1019" s="35" t="n">
        <v>0</v>
      </c>
      <c r="I1019" s="34" t="n">
        <f aca="false">+IF(E1019=0,0,E1019*0.03)</f>
        <v>0</v>
      </c>
      <c r="J1019" s="93"/>
      <c r="K1019" s="93"/>
      <c r="L1019" s="93"/>
      <c r="M1019" s="93"/>
      <c r="N1019" s="93"/>
      <c r="O1019" s="93"/>
      <c r="P1019" s="93"/>
      <c r="Q1019" s="93"/>
      <c r="R1019" s="93"/>
      <c r="S1019" s="93"/>
      <c r="T1019" s="93"/>
      <c r="U1019" s="93"/>
      <c r="V1019" s="93"/>
      <c r="W1019" s="93"/>
      <c r="X1019" s="93"/>
      <c r="Y1019" s="93"/>
      <c r="Z1019" s="93"/>
    </row>
    <row r="1020" customFormat="false" ht="16.4" hidden="false" customHeight="false" outlineLevel="0" collapsed="false">
      <c r="A1020" s="123" t="n">
        <v>45444</v>
      </c>
      <c r="B1020" s="31" t="s">
        <v>153</v>
      </c>
      <c r="C1020" s="129"/>
      <c r="D1020" s="129"/>
      <c r="E1020" s="19" t="n">
        <f aca="false">F1020*0.03</f>
        <v>0</v>
      </c>
      <c r="F1020" s="33" t="n">
        <v>0</v>
      </c>
      <c r="G1020" s="131"/>
      <c r="H1020" s="35" t="n">
        <v>0</v>
      </c>
      <c r="I1020" s="34" t="n">
        <f aca="false">+IF(E1020=0,0,E1020*0.03)</f>
        <v>0</v>
      </c>
      <c r="J1020" s="93"/>
      <c r="K1020" s="93"/>
      <c r="L1020" s="93"/>
      <c r="M1020" s="93"/>
      <c r="N1020" s="93"/>
      <c r="O1020" s="93"/>
      <c r="P1020" s="93"/>
      <c r="Q1020" s="93"/>
      <c r="R1020" s="93"/>
      <c r="S1020" s="93"/>
      <c r="T1020" s="93"/>
      <c r="U1020" s="93"/>
      <c r="V1020" s="93"/>
      <c r="W1020" s="93"/>
      <c r="X1020" s="93"/>
      <c r="Y1020" s="93"/>
      <c r="Z1020" s="93"/>
    </row>
    <row r="1021" customFormat="false" ht="16.4" hidden="false" customHeight="false" outlineLevel="0" collapsed="false">
      <c r="A1021" s="123" t="n">
        <v>45444</v>
      </c>
      <c r="B1021" s="31" t="s">
        <v>153</v>
      </c>
      <c r="C1021" s="129"/>
      <c r="D1021" s="129"/>
      <c r="E1021" s="19" t="n">
        <f aca="false">F1021*0.03</f>
        <v>0</v>
      </c>
      <c r="F1021" s="33" t="n">
        <v>0</v>
      </c>
      <c r="G1021" s="131"/>
      <c r="H1021" s="35" t="n">
        <v>0</v>
      </c>
      <c r="I1021" s="34" t="n">
        <f aca="false">+IF(E1021=0,0,E1021*0.03)</f>
        <v>0</v>
      </c>
      <c r="J1021" s="93"/>
      <c r="K1021" s="93"/>
      <c r="L1021" s="93"/>
      <c r="M1021" s="93"/>
      <c r="N1021" s="93"/>
      <c r="O1021" s="93"/>
      <c r="P1021" s="93"/>
      <c r="Q1021" s="93"/>
      <c r="R1021" s="93"/>
      <c r="S1021" s="93"/>
      <c r="T1021" s="93"/>
      <c r="U1021" s="93"/>
      <c r="V1021" s="93"/>
      <c r="W1021" s="93"/>
      <c r="X1021" s="93"/>
      <c r="Y1021" s="93"/>
      <c r="Z1021" s="93"/>
    </row>
    <row r="1022" customFormat="false" ht="16.4" hidden="false" customHeight="false" outlineLevel="0" collapsed="false">
      <c r="A1022" s="123" t="n">
        <v>45444</v>
      </c>
      <c r="B1022" s="31" t="s">
        <v>153</v>
      </c>
      <c r="C1022" s="129"/>
      <c r="D1022" s="129"/>
      <c r="E1022" s="19" t="n">
        <f aca="false">F1022*0.03</f>
        <v>0</v>
      </c>
      <c r="F1022" s="33" t="n">
        <v>0</v>
      </c>
      <c r="G1022" s="131"/>
      <c r="H1022" s="35" t="n">
        <v>0</v>
      </c>
      <c r="I1022" s="34" t="n">
        <f aca="false">+IF(E1022=0,0,E1022*0.03)</f>
        <v>0</v>
      </c>
      <c r="J1022" s="93"/>
      <c r="K1022" s="93"/>
      <c r="L1022" s="93"/>
      <c r="M1022" s="93"/>
      <c r="N1022" s="93"/>
      <c r="O1022" s="93"/>
      <c r="P1022" s="93"/>
      <c r="Q1022" s="93"/>
      <c r="R1022" s="93"/>
      <c r="S1022" s="93"/>
      <c r="T1022" s="93"/>
      <c r="U1022" s="93"/>
      <c r="V1022" s="93"/>
      <c r="W1022" s="93"/>
      <c r="X1022" s="93"/>
      <c r="Y1022" s="93"/>
      <c r="Z1022" s="93"/>
    </row>
    <row r="1023" customFormat="false" ht="16.4" hidden="false" customHeight="false" outlineLevel="0" collapsed="false">
      <c r="A1023" s="123" t="n">
        <v>45444</v>
      </c>
      <c r="B1023" s="31" t="s">
        <v>153</v>
      </c>
      <c r="C1023" s="129"/>
      <c r="D1023" s="129"/>
      <c r="E1023" s="19" t="n">
        <f aca="false">F1023*0.03</f>
        <v>0</v>
      </c>
      <c r="F1023" s="33" t="n">
        <v>0</v>
      </c>
      <c r="G1023" s="131"/>
      <c r="H1023" s="35" t="n">
        <v>0</v>
      </c>
      <c r="I1023" s="34" t="n">
        <f aca="false">+IF(E1023=0,0,E1023*0.03)</f>
        <v>0</v>
      </c>
      <c r="J1023" s="93"/>
      <c r="K1023" s="93"/>
      <c r="L1023" s="93"/>
      <c r="M1023" s="93"/>
      <c r="N1023" s="93"/>
      <c r="O1023" s="93"/>
      <c r="P1023" s="93"/>
      <c r="Q1023" s="93"/>
      <c r="R1023" s="93"/>
      <c r="S1023" s="93"/>
      <c r="T1023" s="93"/>
      <c r="U1023" s="93"/>
      <c r="V1023" s="93"/>
      <c r="W1023" s="93"/>
      <c r="X1023" s="93"/>
      <c r="Y1023" s="93"/>
      <c r="Z1023" s="93"/>
    </row>
    <row r="1024" customFormat="false" ht="16.4" hidden="false" customHeight="false" outlineLevel="0" collapsed="false">
      <c r="A1024" s="123" t="n">
        <v>45444</v>
      </c>
      <c r="B1024" s="31" t="s">
        <v>153</v>
      </c>
      <c r="C1024" s="129"/>
      <c r="D1024" s="129"/>
      <c r="E1024" s="19" t="n">
        <f aca="false">F1024*0.03</f>
        <v>0</v>
      </c>
      <c r="F1024" s="33" t="n">
        <v>0</v>
      </c>
      <c r="G1024" s="131"/>
      <c r="H1024" s="35" t="n">
        <v>0</v>
      </c>
      <c r="I1024" s="34" t="n">
        <f aca="false">+IF(E1024=0,0,E1024*0.03)</f>
        <v>0</v>
      </c>
      <c r="J1024" s="93"/>
      <c r="K1024" s="93"/>
      <c r="L1024" s="93"/>
      <c r="M1024" s="93"/>
      <c r="N1024" s="93"/>
      <c r="O1024" s="93"/>
      <c r="P1024" s="93"/>
      <c r="Q1024" s="93"/>
      <c r="R1024" s="93"/>
      <c r="S1024" s="93"/>
      <c r="T1024" s="93"/>
      <c r="U1024" s="93"/>
      <c r="V1024" s="93"/>
      <c r="W1024" s="93"/>
      <c r="X1024" s="93"/>
      <c r="Y1024" s="93"/>
      <c r="Z1024" s="93"/>
    </row>
    <row r="1025" customFormat="false" ht="16.4" hidden="false" customHeight="false" outlineLevel="0" collapsed="false">
      <c r="A1025" s="123" t="n">
        <v>45444</v>
      </c>
      <c r="B1025" s="31" t="s">
        <v>153</v>
      </c>
      <c r="C1025" s="129"/>
      <c r="D1025" s="129"/>
      <c r="E1025" s="19" t="n">
        <f aca="false">F1025*0.03</f>
        <v>0</v>
      </c>
      <c r="F1025" s="33" t="n">
        <v>0</v>
      </c>
      <c r="G1025" s="131"/>
      <c r="H1025" s="35" t="n">
        <v>0</v>
      </c>
      <c r="I1025" s="34" t="n">
        <f aca="false">+IF(E1025=0,0,E1025*0.03)</f>
        <v>0</v>
      </c>
      <c r="J1025" s="93"/>
      <c r="K1025" s="93"/>
      <c r="L1025" s="93"/>
      <c r="M1025" s="93"/>
      <c r="N1025" s="93"/>
      <c r="O1025" s="93"/>
      <c r="P1025" s="93"/>
      <c r="Q1025" s="93"/>
      <c r="R1025" s="93"/>
      <c r="S1025" s="93"/>
      <c r="T1025" s="93"/>
      <c r="U1025" s="93"/>
      <c r="V1025" s="93"/>
      <c r="W1025" s="93"/>
      <c r="X1025" s="93"/>
      <c r="Y1025" s="93"/>
      <c r="Z1025" s="93"/>
    </row>
    <row r="1026" customFormat="false" ht="16.4" hidden="false" customHeight="false" outlineLevel="0" collapsed="false">
      <c r="A1026" s="123" t="n">
        <v>45444</v>
      </c>
      <c r="B1026" s="31" t="s">
        <v>153</v>
      </c>
      <c r="C1026" s="129"/>
      <c r="D1026" s="129"/>
      <c r="E1026" s="19" t="n">
        <f aca="false">F1026*0.03</f>
        <v>0</v>
      </c>
      <c r="F1026" s="33" t="n">
        <v>0</v>
      </c>
      <c r="G1026" s="131"/>
      <c r="H1026" s="35" t="n">
        <v>0</v>
      </c>
      <c r="I1026" s="34" t="n">
        <f aca="false">+IF(E1026=0,0,E1026*0.03)</f>
        <v>0</v>
      </c>
      <c r="J1026" s="93"/>
      <c r="K1026" s="93"/>
      <c r="L1026" s="93"/>
      <c r="M1026" s="93"/>
      <c r="N1026" s="93"/>
      <c r="O1026" s="93"/>
      <c r="P1026" s="93"/>
      <c r="Q1026" s="93"/>
      <c r="R1026" s="93"/>
      <c r="S1026" s="93"/>
      <c r="T1026" s="93"/>
      <c r="U1026" s="93"/>
      <c r="V1026" s="93"/>
      <c r="W1026" s="93"/>
      <c r="X1026" s="93"/>
      <c r="Y1026" s="93"/>
      <c r="Z1026" s="93"/>
    </row>
    <row r="1027" customFormat="false" ht="16.4" hidden="false" customHeight="false" outlineLevel="0" collapsed="false">
      <c r="A1027" s="123" t="n">
        <v>45444</v>
      </c>
      <c r="B1027" s="31" t="s">
        <v>153</v>
      </c>
      <c r="C1027" s="129"/>
      <c r="D1027" s="129"/>
      <c r="E1027" s="19" t="n">
        <f aca="false">F1027*0.03</f>
        <v>0</v>
      </c>
      <c r="F1027" s="33" t="n">
        <v>0</v>
      </c>
      <c r="G1027" s="131"/>
      <c r="H1027" s="35" t="n">
        <v>0</v>
      </c>
      <c r="I1027" s="34" t="n">
        <f aca="false">+IF(E1027=0,0,E1027*0.03)</f>
        <v>0</v>
      </c>
      <c r="J1027" s="93"/>
      <c r="K1027" s="93"/>
      <c r="L1027" s="93"/>
      <c r="M1027" s="93"/>
      <c r="N1027" s="93"/>
      <c r="O1027" s="93"/>
      <c r="P1027" s="93"/>
      <c r="Q1027" s="93"/>
      <c r="R1027" s="93"/>
      <c r="S1027" s="93"/>
      <c r="T1027" s="93"/>
      <c r="U1027" s="93"/>
      <c r="V1027" s="93"/>
      <c r="W1027" s="93"/>
      <c r="X1027" s="93"/>
      <c r="Y1027" s="93"/>
      <c r="Z1027" s="93"/>
    </row>
    <row r="1028" customFormat="false" ht="16.4" hidden="false" customHeight="false" outlineLevel="0" collapsed="false">
      <c r="A1028" s="123" t="n">
        <v>45444</v>
      </c>
      <c r="B1028" s="31" t="s">
        <v>153</v>
      </c>
      <c r="C1028" s="129"/>
      <c r="D1028" s="129"/>
      <c r="E1028" s="19" t="n">
        <f aca="false">F1028*0.03</f>
        <v>0</v>
      </c>
      <c r="F1028" s="33" t="n">
        <v>0</v>
      </c>
      <c r="G1028" s="131"/>
      <c r="H1028" s="35" t="n">
        <v>0</v>
      </c>
      <c r="I1028" s="34" t="n">
        <f aca="false">+IF(E1028=0,0,E1028*0.03)</f>
        <v>0</v>
      </c>
      <c r="J1028" s="93"/>
      <c r="K1028" s="93"/>
      <c r="L1028" s="93"/>
      <c r="M1028" s="93"/>
      <c r="N1028" s="93"/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</row>
    <row r="1029" customFormat="false" ht="16.4" hidden="false" customHeight="false" outlineLevel="0" collapsed="false">
      <c r="A1029" s="123" t="n">
        <v>45444</v>
      </c>
      <c r="B1029" s="31" t="s">
        <v>153</v>
      </c>
      <c r="C1029" s="129"/>
      <c r="D1029" s="129"/>
      <c r="E1029" s="19" t="n">
        <f aca="false">F1029*0.03</f>
        <v>0</v>
      </c>
      <c r="F1029" s="33" t="n">
        <v>0</v>
      </c>
      <c r="G1029" s="131"/>
      <c r="H1029" s="35" t="n">
        <v>0</v>
      </c>
      <c r="I1029" s="34" t="n">
        <f aca="false">+IF(E1029=0,0,E1029*0.03)</f>
        <v>0</v>
      </c>
      <c r="J1029" s="93"/>
      <c r="K1029" s="93"/>
      <c r="L1029" s="93"/>
      <c r="M1029" s="93"/>
      <c r="N1029" s="93"/>
      <c r="O1029" s="93"/>
      <c r="P1029" s="93"/>
      <c r="Q1029" s="93"/>
      <c r="R1029" s="93"/>
      <c r="S1029" s="93"/>
      <c r="T1029" s="93"/>
      <c r="U1029" s="93"/>
      <c r="V1029" s="93"/>
      <c r="W1029" s="93"/>
      <c r="X1029" s="93"/>
      <c r="Y1029" s="93"/>
      <c r="Z1029" s="93"/>
    </row>
    <row r="1030" customFormat="false" ht="16.4" hidden="false" customHeight="false" outlineLevel="0" collapsed="false">
      <c r="A1030" s="123" t="n">
        <v>45444</v>
      </c>
      <c r="B1030" s="31" t="s">
        <v>153</v>
      </c>
      <c r="C1030" s="129"/>
      <c r="D1030" s="129"/>
      <c r="E1030" s="19" t="n">
        <f aca="false">F1030*0.03</f>
        <v>0</v>
      </c>
      <c r="F1030" s="33" t="n">
        <v>0</v>
      </c>
      <c r="G1030" s="131"/>
      <c r="H1030" s="35" t="n">
        <v>0</v>
      </c>
      <c r="I1030" s="34" t="n">
        <f aca="false">+IF(E1030=0,0,E1030*0.03)</f>
        <v>0</v>
      </c>
      <c r="J1030" s="93"/>
      <c r="K1030" s="93"/>
      <c r="L1030" s="93"/>
      <c r="M1030" s="93"/>
      <c r="N1030" s="93"/>
      <c r="O1030" s="93"/>
      <c r="P1030" s="93"/>
      <c r="Q1030" s="93"/>
      <c r="R1030" s="93"/>
      <c r="S1030" s="93"/>
      <c r="T1030" s="93"/>
      <c r="U1030" s="93"/>
      <c r="V1030" s="93"/>
      <c r="W1030" s="93"/>
      <c r="X1030" s="93"/>
      <c r="Y1030" s="93"/>
      <c r="Z1030" s="93"/>
    </row>
    <row r="1031" customFormat="false" ht="16.4" hidden="false" customHeight="false" outlineLevel="0" collapsed="false">
      <c r="A1031" s="123" t="n">
        <v>45444</v>
      </c>
      <c r="B1031" s="31" t="s">
        <v>153</v>
      </c>
      <c r="C1031" s="129"/>
      <c r="D1031" s="129"/>
      <c r="E1031" s="19" t="n">
        <f aca="false">F1031*0.03</f>
        <v>0</v>
      </c>
      <c r="F1031" s="33" t="n">
        <v>0</v>
      </c>
      <c r="G1031" s="131"/>
      <c r="H1031" s="35" t="n">
        <v>0</v>
      </c>
      <c r="I1031" s="34" t="n">
        <f aca="false">+IF(E1031=0,0,E1031*0.03)</f>
        <v>0</v>
      </c>
      <c r="J1031" s="93"/>
      <c r="K1031" s="93"/>
      <c r="L1031" s="93"/>
      <c r="M1031" s="93"/>
      <c r="N1031" s="93"/>
      <c r="O1031" s="93"/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</row>
    <row r="1032" customFormat="false" ht="16.4" hidden="false" customHeight="false" outlineLevel="0" collapsed="false">
      <c r="A1032" s="123" t="n">
        <v>45444</v>
      </c>
      <c r="B1032" s="31" t="s">
        <v>153</v>
      </c>
      <c r="C1032" s="129"/>
      <c r="D1032" s="129"/>
      <c r="E1032" s="19" t="n">
        <f aca="false">F1032*0.03</f>
        <v>0</v>
      </c>
      <c r="F1032" s="33" t="n">
        <v>0</v>
      </c>
      <c r="G1032" s="131"/>
      <c r="H1032" s="35" t="n">
        <v>0</v>
      </c>
      <c r="I1032" s="34" t="n">
        <f aca="false">+IF(E1032=0,0,E1032*0.03)</f>
        <v>0</v>
      </c>
      <c r="J1032" s="93"/>
      <c r="K1032" s="93"/>
      <c r="L1032" s="93"/>
      <c r="M1032" s="93"/>
      <c r="N1032" s="93"/>
      <c r="O1032" s="93"/>
      <c r="P1032" s="93"/>
      <c r="Q1032" s="93"/>
      <c r="R1032" s="93"/>
      <c r="S1032" s="93"/>
      <c r="T1032" s="93"/>
      <c r="U1032" s="93"/>
      <c r="V1032" s="93"/>
      <c r="W1032" s="93"/>
      <c r="X1032" s="93"/>
      <c r="Y1032" s="93"/>
      <c r="Z1032" s="93"/>
    </row>
    <row r="1033" customFormat="false" ht="16.4" hidden="false" customHeight="false" outlineLevel="0" collapsed="false">
      <c r="A1033" s="123" t="n">
        <v>45444</v>
      </c>
      <c r="B1033" s="31" t="s">
        <v>153</v>
      </c>
      <c r="C1033" s="129"/>
      <c r="D1033" s="129"/>
      <c r="E1033" s="19" t="n">
        <f aca="false">F1033*0.03</f>
        <v>0</v>
      </c>
      <c r="F1033" s="33" t="n">
        <v>0</v>
      </c>
      <c r="G1033" s="131"/>
      <c r="H1033" s="35" t="n">
        <v>0</v>
      </c>
      <c r="I1033" s="34" t="n">
        <f aca="false">+IF(E1033=0,0,E1033*0.03)</f>
        <v>0</v>
      </c>
      <c r="J1033" s="93"/>
      <c r="K1033" s="93"/>
      <c r="L1033" s="93"/>
      <c r="M1033" s="93"/>
      <c r="N1033" s="93"/>
      <c r="O1033" s="93"/>
      <c r="P1033" s="93"/>
      <c r="Q1033" s="93"/>
      <c r="R1033" s="93"/>
      <c r="S1033" s="93"/>
      <c r="T1033" s="93"/>
      <c r="U1033" s="93"/>
      <c r="V1033" s="93"/>
      <c r="W1033" s="93"/>
      <c r="X1033" s="93"/>
      <c r="Y1033" s="93"/>
      <c r="Z1033" s="93"/>
    </row>
    <row r="1034" customFormat="false" ht="16.4" hidden="false" customHeight="false" outlineLevel="0" collapsed="false">
      <c r="A1034" s="123" t="n">
        <v>45444</v>
      </c>
      <c r="B1034" s="31" t="s">
        <v>153</v>
      </c>
      <c r="C1034" s="129"/>
      <c r="D1034" s="129"/>
      <c r="E1034" s="19" t="n">
        <f aca="false">F1034*0.03</f>
        <v>0</v>
      </c>
      <c r="F1034" s="33" t="n">
        <v>0</v>
      </c>
      <c r="G1034" s="131"/>
      <c r="H1034" s="35" t="n">
        <v>0</v>
      </c>
      <c r="I1034" s="34" t="n">
        <f aca="false">+IF(E1034=0,0,E1034*0.03)</f>
        <v>0</v>
      </c>
      <c r="J1034" s="93"/>
      <c r="K1034" s="93"/>
      <c r="L1034" s="93"/>
      <c r="M1034" s="93"/>
      <c r="N1034" s="93"/>
      <c r="O1034" s="93"/>
      <c r="P1034" s="93"/>
      <c r="Q1034" s="93"/>
      <c r="R1034" s="93"/>
      <c r="S1034" s="93"/>
      <c r="T1034" s="93"/>
      <c r="U1034" s="93"/>
      <c r="V1034" s="93"/>
      <c r="W1034" s="93"/>
      <c r="X1034" s="93"/>
      <c r="Y1034" s="93"/>
      <c r="Z1034" s="93"/>
    </row>
    <row r="1035" customFormat="false" ht="16.4" hidden="false" customHeight="false" outlineLevel="0" collapsed="false">
      <c r="A1035" s="123" t="n">
        <v>45444</v>
      </c>
      <c r="B1035" s="31" t="s">
        <v>153</v>
      </c>
      <c r="C1035" s="129"/>
      <c r="D1035" s="129"/>
      <c r="E1035" s="19" t="n">
        <f aca="false">F1035*0.03</f>
        <v>0</v>
      </c>
      <c r="F1035" s="33" t="n">
        <v>0</v>
      </c>
      <c r="G1035" s="131"/>
      <c r="H1035" s="35" t="n">
        <v>0</v>
      </c>
      <c r="I1035" s="34" t="n">
        <f aca="false">+IF(E1035=0,0,E1035*0.03)</f>
        <v>0</v>
      </c>
      <c r="J1035" s="93"/>
      <c r="K1035" s="93"/>
      <c r="L1035" s="93"/>
      <c r="M1035" s="93"/>
      <c r="N1035" s="93"/>
      <c r="O1035" s="93"/>
      <c r="P1035" s="93"/>
      <c r="Q1035" s="93"/>
      <c r="R1035" s="93"/>
      <c r="S1035" s="93"/>
      <c r="T1035" s="93"/>
      <c r="U1035" s="93"/>
      <c r="V1035" s="93"/>
      <c r="W1035" s="93"/>
      <c r="X1035" s="93"/>
      <c r="Y1035" s="93"/>
      <c r="Z1035" s="93"/>
    </row>
    <row r="1036" customFormat="false" ht="16.4" hidden="false" customHeight="false" outlineLevel="0" collapsed="false">
      <c r="A1036" s="123" t="n">
        <v>45444</v>
      </c>
      <c r="B1036" s="31" t="s">
        <v>153</v>
      </c>
      <c r="C1036" s="129"/>
      <c r="D1036" s="129"/>
      <c r="E1036" s="19" t="n">
        <f aca="false">F1036*0.03</f>
        <v>0</v>
      </c>
      <c r="F1036" s="33" t="n">
        <v>0</v>
      </c>
      <c r="G1036" s="131"/>
      <c r="H1036" s="35" t="n">
        <v>0</v>
      </c>
      <c r="I1036" s="34" t="n">
        <f aca="false">+IF(E1036=0,0,E1036*0.03)</f>
        <v>0</v>
      </c>
      <c r="J1036" s="93"/>
      <c r="K1036" s="93"/>
      <c r="L1036" s="93"/>
      <c r="M1036" s="93"/>
      <c r="N1036" s="93"/>
      <c r="O1036" s="93"/>
      <c r="P1036" s="93"/>
      <c r="Q1036" s="93"/>
      <c r="R1036" s="93"/>
      <c r="S1036" s="93"/>
      <c r="T1036" s="93"/>
      <c r="U1036" s="93"/>
      <c r="V1036" s="93"/>
      <c r="W1036" s="93"/>
      <c r="X1036" s="93"/>
      <c r="Y1036" s="93"/>
      <c r="Z1036" s="93"/>
    </row>
    <row r="1037" customFormat="false" ht="16.4" hidden="false" customHeight="false" outlineLevel="0" collapsed="false">
      <c r="A1037" s="123" t="n">
        <v>45444</v>
      </c>
      <c r="B1037" s="31" t="s">
        <v>153</v>
      </c>
      <c r="C1037" s="129"/>
      <c r="D1037" s="129"/>
      <c r="E1037" s="19" t="n">
        <f aca="false">F1037*0.03</f>
        <v>0</v>
      </c>
      <c r="F1037" s="33" t="n">
        <v>0</v>
      </c>
      <c r="G1037" s="131"/>
      <c r="H1037" s="35" t="n">
        <v>0</v>
      </c>
      <c r="I1037" s="34" t="n">
        <f aca="false">+IF(E1037=0,0,E1037*0.03)</f>
        <v>0</v>
      </c>
      <c r="J1037" s="93"/>
      <c r="K1037" s="93"/>
      <c r="L1037" s="93"/>
      <c r="M1037" s="93"/>
      <c r="N1037" s="93"/>
      <c r="O1037" s="93"/>
      <c r="P1037" s="93"/>
      <c r="Q1037" s="93"/>
      <c r="R1037" s="93"/>
      <c r="S1037" s="93"/>
      <c r="T1037" s="93"/>
      <c r="U1037" s="93"/>
      <c r="V1037" s="93"/>
      <c r="W1037" s="93"/>
      <c r="X1037" s="93"/>
      <c r="Y1037" s="93"/>
      <c r="Z1037" s="93"/>
    </row>
    <row r="1038" customFormat="false" ht="16.4" hidden="false" customHeight="false" outlineLevel="0" collapsed="false">
      <c r="A1038" s="123" t="n">
        <v>45444</v>
      </c>
      <c r="B1038" s="31" t="s">
        <v>153</v>
      </c>
      <c r="C1038" s="129"/>
      <c r="D1038" s="129"/>
      <c r="E1038" s="19" t="n">
        <f aca="false">F1038*0.03</f>
        <v>0</v>
      </c>
      <c r="F1038" s="33" t="n">
        <v>0</v>
      </c>
      <c r="G1038" s="131"/>
      <c r="H1038" s="35" t="n">
        <v>0</v>
      </c>
      <c r="I1038" s="34" t="n">
        <f aca="false">+IF(E1038=0,0,E1038*0.03)</f>
        <v>0</v>
      </c>
      <c r="J1038" s="93"/>
      <c r="K1038" s="93"/>
      <c r="L1038" s="93"/>
      <c r="M1038" s="93"/>
      <c r="N1038" s="93"/>
      <c r="O1038" s="93"/>
      <c r="P1038" s="93"/>
      <c r="Q1038" s="93"/>
      <c r="R1038" s="93"/>
      <c r="S1038" s="93"/>
      <c r="T1038" s="93"/>
      <c r="U1038" s="93"/>
      <c r="V1038" s="93"/>
      <c r="W1038" s="93"/>
      <c r="X1038" s="93"/>
      <c r="Y1038" s="93"/>
      <c r="Z1038" s="93"/>
    </row>
    <row r="1039" customFormat="false" ht="16.4" hidden="false" customHeight="false" outlineLevel="0" collapsed="false">
      <c r="A1039" s="123" t="n">
        <v>45444</v>
      </c>
      <c r="B1039" s="31" t="s">
        <v>153</v>
      </c>
      <c r="C1039" s="129"/>
      <c r="D1039" s="129"/>
      <c r="E1039" s="19" t="n">
        <f aca="false">F1039*0.03</f>
        <v>0</v>
      </c>
      <c r="F1039" s="33" t="n">
        <v>0</v>
      </c>
      <c r="G1039" s="131"/>
      <c r="H1039" s="35" t="n">
        <v>0</v>
      </c>
      <c r="I1039" s="34" t="n">
        <f aca="false">+IF(E1039=0,0,E1039*0.03)</f>
        <v>0</v>
      </c>
      <c r="J1039" s="93"/>
      <c r="K1039" s="93"/>
      <c r="L1039" s="93"/>
      <c r="M1039" s="93"/>
      <c r="N1039" s="93"/>
      <c r="O1039" s="93"/>
      <c r="P1039" s="93"/>
      <c r="Q1039" s="93"/>
      <c r="R1039" s="93"/>
      <c r="S1039" s="93"/>
      <c r="T1039" s="93"/>
      <c r="U1039" s="93"/>
      <c r="V1039" s="93"/>
      <c r="W1039" s="93"/>
      <c r="X1039" s="93"/>
      <c r="Y1039" s="93"/>
      <c r="Z1039" s="93"/>
    </row>
    <row r="1040" customFormat="false" ht="16.4" hidden="false" customHeight="false" outlineLevel="0" collapsed="false">
      <c r="A1040" s="123" t="n">
        <v>45444</v>
      </c>
      <c r="B1040" s="31" t="s">
        <v>153</v>
      </c>
      <c r="C1040" s="129"/>
      <c r="D1040" s="129"/>
      <c r="E1040" s="19" t="n">
        <f aca="false">F1040*0.03</f>
        <v>0</v>
      </c>
      <c r="F1040" s="33" t="n">
        <v>0</v>
      </c>
      <c r="G1040" s="131"/>
      <c r="H1040" s="35" t="n">
        <v>0</v>
      </c>
      <c r="I1040" s="34" t="n">
        <f aca="false">+IF(E1040=0,0,E1040*0.03)</f>
        <v>0</v>
      </c>
      <c r="J1040" s="93"/>
      <c r="K1040" s="93"/>
      <c r="L1040" s="93"/>
      <c r="M1040" s="93"/>
      <c r="N1040" s="93"/>
      <c r="O1040" s="93"/>
      <c r="P1040" s="93"/>
      <c r="Q1040" s="93"/>
      <c r="R1040" s="93"/>
      <c r="S1040" s="93"/>
      <c r="T1040" s="93"/>
      <c r="U1040" s="93"/>
      <c r="V1040" s="93"/>
      <c r="W1040" s="93"/>
      <c r="X1040" s="93"/>
      <c r="Y1040" s="93"/>
      <c r="Z1040" s="93"/>
    </row>
    <row r="1041" customFormat="false" ht="16.4" hidden="false" customHeight="false" outlineLevel="0" collapsed="false">
      <c r="A1041" s="123" t="n">
        <v>45444</v>
      </c>
      <c r="B1041" s="31" t="s">
        <v>153</v>
      </c>
      <c r="C1041" s="129"/>
      <c r="D1041" s="129"/>
      <c r="E1041" s="19" t="n">
        <f aca="false">F1041*0.03</f>
        <v>0</v>
      </c>
      <c r="F1041" s="33" t="n">
        <v>0</v>
      </c>
      <c r="G1041" s="131"/>
      <c r="H1041" s="35" t="n">
        <v>0</v>
      </c>
      <c r="I1041" s="34" t="n">
        <f aca="false">+IF(E1041=0,0,E1041*0.03)</f>
        <v>0</v>
      </c>
      <c r="J1041" s="93"/>
      <c r="K1041" s="93"/>
      <c r="L1041" s="93"/>
      <c r="M1041" s="93"/>
      <c r="N1041" s="93"/>
      <c r="O1041" s="93"/>
      <c r="P1041" s="93"/>
      <c r="Q1041" s="93"/>
      <c r="R1041" s="93"/>
      <c r="S1041" s="93"/>
      <c r="T1041" s="93"/>
      <c r="U1041" s="93"/>
      <c r="V1041" s="93"/>
      <c r="W1041" s="93"/>
      <c r="X1041" s="93"/>
      <c r="Y1041" s="93"/>
      <c r="Z1041" s="93"/>
    </row>
    <row r="1042" customFormat="false" ht="16.4" hidden="false" customHeight="false" outlineLevel="0" collapsed="false">
      <c r="A1042" s="123" t="n">
        <v>45444</v>
      </c>
      <c r="B1042" s="31" t="s">
        <v>153</v>
      </c>
      <c r="C1042" s="129"/>
      <c r="D1042" s="129"/>
      <c r="E1042" s="19" t="n">
        <f aca="false">F1042*0.03</f>
        <v>0</v>
      </c>
      <c r="F1042" s="33" t="n">
        <v>0</v>
      </c>
      <c r="G1042" s="131"/>
      <c r="H1042" s="35" t="n">
        <v>0</v>
      </c>
      <c r="I1042" s="34" t="n">
        <f aca="false">+IF(E1042=0,0,E1042*0.03)</f>
        <v>0</v>
      </c>
      <c r="J1042" s="93"/>
      <c r="K1042" s="93"/>
      <c r="L1042" s="93"/>
      <c r="M1042" s="93"/>
      <c r="N1042" s="93"/>
      <c r="O1042" s="93"/>
      <c r="P1042" s="93"/>
      <c r="Q1042" s="93"/>
      <c r="R1042" s="93"/>
      <c r="S1042" s="93"/>
      <c r="T1042" s="93"/>
      <c r="U1042" s="93"/>
      <c r="V1042" s="93"/>
      <c r="W1042" s="93"/>
      <c r="X1042" s="93"/>
      <c r="Y1042" s="93"/>
      <c r="Z1042" s="93"/>
    </row>
    <row r="1043" customFormat="false" ht="16.4" hidden="false" customHeight="false" outlineLevel="0" collapsed="false">
      <c r="A1043" s="123" t="n">
        <v>45444</v>
      </c>
      <c r="B1043" s="31" t="s">
        <v>153</v>
      </c>
      <c r="C1043" s="129"/>
      <c r="D1043" s="129"/>
      <c r="E1043" s="19" t="n">
        <f aca="false">F1043*0.03</f>
        <v>0</v>
      </c>
      <c r="F1043" s="33" t="n">
        <v>0</v>
      </c>
      <c r="G1043" s="131"/>
      <c r="H1043" s="35" t="n">
        <v>0</v>
      </c>
      <c r="I1043" s="34" t="n">
        <f aca="false">+IF(E1043=0,0,E1043*0.03)</f>
        <v>0</v>
      </c>
      <c r="J1043" s="93"/>
      <c r="K1043" s="93"/>
      <c r="L1043" s="93"/>
      <c r="M1043" s="93"/>
      <c r="N1043" s="93"/>
      <c r="O1043" s="93"/>
      <c r="P1043" s="93"/>
      <c r="Q1043" s="93"/>
      <c r="R1043" s="93"/>
      <c r="S1043" s="93"/>
      <c r="T1043" s="93"/>
      <c r="U1043" s="93"/>
      <c r="V1043" s="93"/>
      <c r="W1043" s="93"/>
      <c r="X1043" s="93"/>
      <c r="Y1043" s="93"/>
      <c r="Z1043" s="93"/>
    </row>
    <row r="1044" customFormat="false" ht="16.4" hidden="false" customHeight="false" outlineLevel="0" collapsed="false">
      <c r="A1044" s="123" t="n">
        <v>45444</v>
      </c>
      <c r="B1044" s="31" t="s">
        <v>153</v>
      </c>
      <c r="C1044" s="129"/>
      <c r="D1044" s="129"/>
      <c r="E1044" s="19" t="n">
        <f aca="false">F1044*0.03</f>
        <v>0</v>
      </c>
      <c r="F1044" s="33" t="n">
        <v>0</v>
      </c>
      <c r="G1044" s="131"/>
      <c r="H1044" s="35" t="n">
        <v>0</v>
      </c>
      <c r="I1044" s="34" t="n">
        <f aca="false">+IF(E1044=0,0,E1044*0.03)</f>
        <v>0</v>
      </c>
      <c r="J1044" s="93"/>
      <c r="K1044" s="93"/>
      <c r="L1044" s="93"/>
      <c r="M1044" s="93"/>
      <c r="N1044" s="93"/>
      <c r="O1044" s="93"/>
      <c r="P1044" s="93"/>
      <c r="Q1044" s="93"/>
      <c r="R1044" s="93"/>
      <c r="S1044" s="93"/>
      <c r="T1044" s="93"/>
      <c r="U1044" s="93"/>
      <c r="V1044" s="93"/>
      <c r="W1044" s="93"/>
      <c r="X1044" s="93"/>
      <c r="Y1044" s="93"/>
      <c r="Z1044" s="93"/>
    </row>
    <row r="1045" customFormat="false" ht="16.4" hidden="false" customHeight="false" outlineLevel="0" collapsed="false">
      <c r="A1045" s="123" t="n">
        <v>45444</v>
      </c>
      <c r="B1045" s="31" t="s">
        <v>153</v>
      </c>
      <c r="C1045" s="129"/>
      <c r="D1045" s="129"/>
      <c r="E1045" s="19" t="n">
        <f aca="false">F1045*0.03</f>
        <v>0</v>
      </c>
      <c r="F1045" s="33" t="n">
        <v>0</v>
      </c>
      <c r="G1045" s="131"/>
      <c r="H1045" s="35" t="n">
        <v>0</v>
      </c>
      <c r="I1045" s="34" t="n">
        <f aca="false">+IF(E1045=0,0,E1045*0.03)</f>
        <v>0</v>
      </c>
      <c r="J1045" s="93"/>
      <c r="K1045" s="93"/>
      <c r="L1045" s="93"/>
      <c r="M1045" s="93"/>
      <c r="N1045" s="93"/>
      <c r="O1045" s="93"/>
      <c r="P1045" s="93"/>
      <c r="Q1045" s="93"/>
      <c r="R1045" s="93"/>
      <c r="S1045" s="93"/>
      <c r="T1045" s="93"/>
      <c r="U1045" s="93"/>
      <c r="V1045" s="93"/>
      <c r="W1045" s="93"/>
      <c r="X1045" s="93"/>
      <c r="Y1045" s="93"/>
      <c r="Z1045" s="93"/>
    </row>
    <row r="1046" customFormat="false" ht="16.4" hidden="false" customHeight="false" outlineLevel="0" collapsed="false">
      <c r="A1046" s="123" t="n">
        <v>45444</v>
      </c>
      <c r="B1046" s="31" t="s">
        <v>153</v>
      </c>
      <c r="C1046" s="129"/>
      <c r="D1046" s="129"/>
      <c r="E1046" s="19" t="n">
        <f aca="false">F1046*0.03</f>
        <v>0</v>
      </c>
      <c r="F1046" s="33" t="n">
        <v>0</v>
      </c>
      <c r="G1046" s="131"/>
      <c r="H1046" s="35" t="n">
        <v>0</v>
      </c>
      <c r="I1046" s="34" t="n">
        <f aca="false">+IF(E1046=0,0,E1046*0.03)</f>
        <v>0</v>
      </c>
      <c r="J1046" s="93"/>
      <c r="K1046" s="93"/>
      <c r="L1046" s="93"/>
      <c r="M1046" s="93"/>
      <c r="N1046" s="93"/>
      <c r="O1046" s="93"/>
      <c r="P1046" s="93"/>
      <c r="Q1046" s="93"/>
      <c r="R1046" s="93"/>
      <c r="S1046" s="93"/>
      <c r="T1046" s="93"/>
      <c r="U1046" s="93"/>
      <c r="V1046" s="93"/>
      <c r="W1046" s="93"/>
      <c r="X1046" s="93"/>
      <c r="Y1046" s="93"/>
      <c r="Z1046" s="93"/>
    </row>
    <row r="1047" customFormat="false" ht="16.4" hidden="false" customHeight="false" outlineLevel="0" collapsed="false">
      <c r="A1047" s="123" t="n">
        <v>45444</v>
      </c>
      <c r="B1047" s="31" t="s">
        <v>153</v>
      </c>
      <c r="C1047" s="129"/>
      <c r="D1047" s="129"/>
      <c r="E1047" s="19" t="n">
        <f aca="false">F1047*0.03</f>
        <v>0</v>
      </c>
      <c r="F1047" s="33" t="n">
        <v>0</v>
      </c>
      <c r="G1047" s="131"/>
      <c r="H1047" s="35" t="n">
        <v>0</v>
      </c>
      <c r="I1047" s="34" t="n">
        <f aca="false">+IF(E1047=0,0,E1047*0.03)</f>
        <v>0</v>
      </c>
      <c r="J1047" s="93"/>
      <c r="K1047" s="93"/>
      <c r="L1047" s="93"/>
      <c r="M1047" s="93"/>
      <c r="N1047" s="93"/>
      <c r="O1047" s="93"/>
      <c r="P1047" s="93"/>
      <c r="Q1047" s="93"/>
      <c r="R1047" s="93"/>
      <c r="S1047" s="93"/>
      <c r="T1047" s="93"/>
      <c r="U1047" s="93"/>
      <c r="V1047" s="93"/>
      <c r="W1047" s="93"/>
      <c r="X1047" s="93"/>
      <c r="Y1047" s="93"/>
      <c r="Z1047" s="93"/>
    </row>
    <row r="1048" customFormat="false" ht="16.4" hidden="false" customHeight="false" outlineLevel="0" collapsed="false">
      <c r="A1048" s="123" t="n">
        <v>45444</v>
      </c>
      <c r="B1048" s="31" t="s">
        <v>153</v>
      </c>
      <c r="C1048" s="129"/>
      <c r="D1048" s="129"/>
      <c r="E1048" s="19" t="n">
        <f aca="false">F1048*0.03</f>
        <v>0</v>
      </c>
      <c r="F1048" s="33" t="n">
        <v>0</v>
      </c>
      <c r="G1048" s="131"/>
      <c r="H1048" s="35" t="n">
        <v>0</v>
      </c>
      <c r="I1048" s="34" t="n">
        <f aca="false">+IF(E1048=0,0,E1048*0.03)</f>
        <v>0</v>
      </c>
      <c r="J1048" s="93"/>
      <c r="K1048" s="93"/>
      <c r="L1048" s="93"/>
      <c r="M1048" s="93"/>
      <c r="N1048" s="93"/>
      <c r="O1048" s="93"/>
      <c r="P1048" s="93"/>
      <c r="Q1048" s="93"/>
      <c r="R1048" s="93"/>
      <c r="S1048" s="93"/>
      <c r="T1048" s="93"/>
      <c r="U1048" s="93"/>
      <c r="V1048" s="93"/>
      <c r="W1048" s="93"/>
      <c r="X1048" s="93"/>
      <c r="Y1048" s="93"/>
      <c r="Z1048" s="93"/>
    </row>
    <row r="1049" customFormat="false" ht="16.4" hidden="false" customHeight="false" outlineLevel="0" collapsed="false">
      <c r="A1049" s="123" t="n">
        <v>45444</v>
      </c>
      <c r="B1049" s="31" t="s">
        <v>153</v>
      </c>
      <c r="C1049" s="129"/>
      <c r="D1049" s="129"/>
      <c r="E1049" s="19" t="n">
        <f aca="false">F1049*0.03</f>
        <v>0</v>
      </c>
      <c r="F1049" s="33" t="n">
        <v>0</v>
      </c>
      <c r="G1049" s="131"/>
      <c r="H1049" s="35" t="n">
        <v>0</v>
      </c>
      <c r="I1049" s="34" t="n">
        <f aca="false">+IF(E1049=0,0,E1049*0.03)</f>
        <v>0</v>
      </c>
      <c r="J1049" s="93"/>
      <c r="K1049" s="93"/>
      <c r="L1049" s="93"/>
      <c r="M1049" s="93"/>
      <c r="N1049" s="93"/>
      <c r="O1049" s="93"/>
      <c r="P1049" s="93"/>
      <c r="Q1049" s="93"/>
      <c r="R1049" s="93"/>
      <c r="S1049" s="93"/>
      <c r="T1049" s="93"/>
      <c r="U1049" s="93"/>
      <c r="V1049" s="93"/>
      <c r="W1049" s="93"/>
      <c r="X1049" s="93"/>
      <c r="Y1049" s="93"/>
      <c r="Z1049" s="93"/>
    </row>
    <row r="1050" customFormat="false" ht="16.4" hidden="false" customHeight="false" outlineLevel="0" collapsed="false">
      <c r="A1050" s="123" t="n">
        <v>45444</v>
      </c>
      <c r="B1050" s="31" t="s">
        <v>153</v>
      </c>
      <c r="C1050" s="129"/>
      <c r="D1050" s="129"/>
      <c r="E1050" s="19" t="n">
        <f aca="false">F1050*0.03</f>
        <v>0</v>
      </c>
      <c r="F1050" s="33" t="n">
        <v>0</v>
      </c>
      <c r="G1050" s="131"/>
      <c r="H1050" s="35" t="n">
        <v>0</v>
      </c>
      <c r="I1050" s="34" t="n">
        <f aca="false">+IF(E1050=0,0,E1050*0.03)</f>
        <v>0</v>
      </c>
      <c r="J1050" s="93"/>
      <c r="K1050" s="93"/>
      <c r="L1050" s="93"/>
      <c r="M1050" s="93"/>
      <c r="N1050" s="93"/>
      <c r="O1050" s="93"/>
      <c r="P1050" s="93"/>
      <c r="Q1050" s="93"/>
      <c r="R1050" s="93"/>
      <c r="S1050" s="93"/>
      <c r="T1050" s="93"/>
      <c r="U1050" s="93"/>
      <c r="V1050" s="93"/>
      <c r="W1050" s="93"/>
      <c r="X1050" s="93"/>
      <c r="Y1050" s="93"/>
      <c r="Z1050" s="93"/>
    </row>
    <row r="1051" customFormat="false" ht="16.4" hidden="false" customHeight="false" outlineLevel="0" collapsed="false">
      <c r="A1051" s="123" t="n">
        <v>45444</v>
      </c>
      <c r="B1051" s="31" t="s">
        <v>153</v>
      </c>
      <c r="C1051" s="129"/>
      <c r="D1051" s="129"/>
      <c r="E1051" s="19" t="n">
        <f aca="false">F1051*0.03</f>
        <v>0</v>
      </c>
      <c r="F1051" s="33" t="n">
        <v>0</v>
      </c>
      <c r="G1051" s="131"/>
      <c r="H1051" s="35" t="n">
        <v>0</v>
      </c>
      <c r="I1051" s="34" t="n">
        <f aca="false">+IF(E1051=0,0,E1051*0.03)</f>
        <v>0</v>
      </c>
      <c r="J1051" s="93"/>
      <c r="K1051" s="93"/>
      <c r="L1051" s="93"/>
      <c r="M1051" s="93"/>
      <c r="N1051" s="93"/>
      <c r="O1051" s="93"/>
      <c r="P1051" s="93"/>
      <c r="Q1051" s="93"/>
      <c r="R1051" s="93"/>
      <c r="S1051" s="93"/>
      <c r="T1051" s="93"/>
      <c r="U1051" s="93"/>
      <c r="V1051" s="93"/>
      <c r="W1051" s="93"/>
      <c r="X1051" s="93"/>
      <c r="Y1051" s="93"/>
      <c r="Z1051" s="93"/>
    </row>
    <row r="1052" customFormat="false" ht="16.4" hidden="false" customHeight="false" outlineLevel="0" collapsed="false">
      <c r="A1052" s="123" t="n">
        <v>45444</v>
      </c>
      <c r="B1052" s="31" t="s">
        <v>153</v>
      </c>
      <c r="C1052" s="129"/>
      <c r="D1052" s="129"/>
      <c r="E1052" s="19" t="n">
        <f aca="false">F1052*0.03</f>
        <v>0</v>
      </c>
      <c r="F1052" s="33" t="n">
        <v>0</v>
      </c>
      <c r="G1052" s="131"/>
      <c r="H1052" s="35" t="n">
        <v>0</v>
      </c>
      <c r="I1052" s="34" t="n">
        <f aca="false">+IF(E1052=0,0,E1052*0.03)</f>
        <v>0</v>
      </c>
      <c r="J1052" s="93"/>
      <c r="K1052" s="93"/>
      <c r="L1052" s="93"/>
      <c r="M1052" s="93"/>
      <c r="N1052" s="93"/>
      <c r="O1052" s="93"/>
      <c r="P1052" s="93"/>
      <c r="Q1052" s="93"/>
      <c r="R1052" s="93"/>
      <c r="S1052" s="93"/>
      <c r="T1052" s="93"/>
      <c r="U1052" s="93"/>
      <c r="V1052" s="93"/>
      <c r="W1052" s="93"/>
      <c r="X1052" s="93"/>
      <c r="Y1052" s="93"/>
      <c r="Z1052" s="93"/>
    </row>
    <row r="1053" customFormat="false" ht="16.4" hidden="false" customHeight="false" outlineLevel="0" collapsed="false">
      <c r="A1053" s="123" t="n">
        <v>45444</v>
      </c>
      <c r="B1053" s="31" t="s">
        <v>153</v>
      </c>
      <c r="C1053" s="129"/>
      <c r="D1053" s="129"/>
      <c r="E1053" s="19" t="n">
        <f aca="false">F1053*0.03</f>
        <v>0</v>
      </c>
      <c r="F1053" s="33" t="n">
        <v>0</v>
      </c>
      <c r="G1053" s="131"/>
      <c r="H1053" s="35" t="n">
        <v>0</v>
      </c>
      <c r="I1053" s="34" t="n">
        <f aca="false">+IF(E1053=0,0,E1053*0.03)</f>
        <v>0</v>
      </c>
      <c r="J1053" s="93"/>
      <c r="K1053" s="93"/>
      <c r="L1053" s="93"/>
      <c r="M1053" s="93"/>
      <c r="N1053" s="93"/>
      <c r="O1053" s="93"/>
      <c r="P1053" s="93"/>
      <c r="Q1053" s="93"/>
      <c r="R1053" s="93"/>
      <c r="S1053" s="93"/>
      <c r="T1053" s="93"/>
      <c r="U1053" s="93"/>
      <c r="V1053" s="93"/>
      <c r="W1053" s="93"/>
      <c r="X1053" s="93"/>
      <c r="Y1053" s="93"/>
      <c r="Z1053" s="93"/>
    </row>
    <row r="1054" customFormat="false" ht="16.4" hidden="false" customHeight="false" outlineLevel="0" collapsed="false">
      <c r="A1054" s="123" t="n">
        <v>45444</v>
      </c>
      <c r="B1054" s="31" t="s">
        <v>153</v>
      </c>
      <c r="C1054" s="129"/>
      <c r="D1054" s="129"/>
      <c r="E1054" s="19" t="n">
        <f aca="false">F1054*0.03</f>
        <v>0</v>
      </c>
      <c r="F1054" s="33" t="n">
        <v>0</v>
      </c>
      <c r="G1054" s="131"/>
      <c r="H1054" s="35" t="n">
        <v>0</v>
      </c>
      <c r="I1054" s="34" t="n">
        <f aca="false">+IF(E1054=0,0,E1054*0.03)</f>
        <v>0</v>
      </c>
      <c r="J1054" s="93"/>
      <c r="K1054" s="93"/>
      <c r="L1054" s="93"/>
      <c r="M1054" s="93"/>
      <c r="N1054" s="93"/>
      <c r="O1054" s="93"/>
      <c r="P1054" s="93"/>
      <c r="Q1054" s="93"/>
      <c r="R1054" s="93"/>
      <c r="S1054" s="93"/>
      <c r="T1054" s="93"/>
      <c r="U1054" s="93"/>
      <c r="V1054" s="93"/>
      <c r="W1054" s="93"/>
      <c r="X1054" s="93"/>
      <c r="Y1054" s="93"/>
      <c r="Z1054" s="93"/>
    </row>
    <row r="1055" customFormat="false" ht="16.4" hidden="false" customHeight="false" outlineLevel="0" collapsed="false">
      <c r="A1055" s="123" t="n">
        <v>45444</v>
      </c>
      <c r="B1055" s="31" t="s">
        <v>153</v>
      </c>
      <c r="C1055" s="129"/>
      <c r="D1055" s="129"/>
      <c r="E1055" s="19" t="n">
        <f aca="false">F1055*0.03</f>
        <v>0</v>
      </c>
      <c r="F1055" s="33" t="n">
        <v>0</v>
      </c>
      <c r="G1055" s="131"/>
      <c r="H1055" s="35" t="n">
        <v>0</v>
      </c>
      <c r="I1055" s="34" t="n">
        <f aca="false">+IF(E1055=0,0,E1055*0.03)</f>
        <v>0</v>
      </c>
      <c r="J1055" s="93"/>
      <c r="K1055" s="93"/>
      <c r="L1055" s="93"/>
      <c r="M1055" s="93"/>
      <c r="N1055" s="93"/>
      <c r="O1055" s="93"/>
      <c r="P1055" s="93"/>
      <c r="Q1055" s="93"/>
      <c r="R1055" s="93"/>
      <c r="S1055" s="93"/>
      <c r="T1055" s="93"/>
      <c r="U1055" s="93"/>
      <c r="V1055" s="93"/>
      <c r="W1055" s="93"/>
      <c r="X1055" s="93"/>
      <c r="Y1055" s="93"/>
      <c r="Z1055" s="93"/>
    </row>
    <row r="1056" customFormat="false" ht="16.4" hidden="false" customHeight="false" outlineLevel="0" collapsed="false">
      <c r="A1056" s="123" t="n">
        <v>45444</v>
      </c>
      <c r="B1056" s="31" t="s">
        <v>153</v>
      </c>
      <c r="C1056" s="129"/>
      <c r="D1056" s="129"/>
      <c r="E1056" s="19" t="n">
        <f aca="false">F1056*0.03</f>
        <v>0</v>
      </c>
      <c r="F1056" s="33" t="n">
        <v>0</v>
      </c>
      <c r="G1056" s="131"/>
      <c r="H1056" s="35" t="n">
        <v>0</v>
      </c>
      <c r="I1056" s="34" t="n">
        <f aca="false">+IF(E1056=0,0,E1056*0.03)</f>
        <v>0</v>
      </c>
      <c r="J1056" s="93"/>
      <c r="K1056" s="93"/>
      <c r="L1056" s="93"/>
      <c r="M1056" s="93"/>
      <c r="N1056" s="93"/>
      <c r="O1056" s="93"/>
      <c r="P1056" s="93"/>
      <c r="Q1056" s="93"/>
      <c r="R1056" s="93"/>
      <c r="S1056" s="93"/>
      <c r="T1056" s="93"/>
      <c r="U1056" s="93"/>
      <c r="V1056" s="93"/>
      <c r="W1056" s="93"/>
      <c r="X1056" s="93"/>
      <c r="Y1056" s="93"/>
      <c r="Z1056" s="93"/>
    </row>
    <row r="1057" customFormat="false" ht="16.4" hidden="false" customHeight="false" outlineLevel="0" collapsed="false">
      <c r="A1057" s="123" t="n">
        <v>45444</v>
      </c>
      <c r="B1057" s="31" t="s">
        <v>153</v>
      </c>
      <c r="C1057" s="129"/>
      <c r="D1057" s="129"/>
      <c r="E1057" s="19" t="n">
        <f aca="false">F1057*0.03</f>
        <v>0</v>
      </c>
      <c r="F1057" s="33" t="n">
        <v>0</v>
      </c>
      <c r="G1057" s="131"/>
      <c r="H1057" s="35" t="n">
        <v>0</v>
      </c>
      <c r="I1057" s="34" t="n">
        <f aca="false">+IF(E1057=0,0,E1057*0.03)</f>
        <v>0</v>
      </c>
      <c r="J1057" s="93"/>
      <c r="K1057" s="93"/>
      <c r="L1057" s="93"/>
      <c r="M1057" s="93"/>
      <c r="N1057" s="93"/>
      <c r="O1057" s="93"/>
      <c r="P1057" s="93"/>
      <c r="Q1057" s="93"/>
      <c r="R1057" s="93"/>
      <c r="S1057" s="93"/>
      <c r="T1057" s="93"/>
      <c r="U1057" s="93"/>
      <c r="V1057" s="93"/>
      <c r="W1057" s="93"/>
      <c r="X1057" s="93"/>
      <c r="Y1057" s="93"/>
      <c r="Z1057" s="93"/>
    </row>
    <row r="1058" customFormat="false" ht="16.4" hidden="false" customHeight="false" outlineLevel="0" collapsed="false">
      <c r="A1058" s="123" t="n">
        <v>45444</v>
      </c>
      <c r="B1058" s="31" t="s">
        <v>153</v>
      </c>
      <c r="C1058" s="129"/>
      <c r="D1058" s="129"/>
      <c r="E1058" s="19" t="n">
        <f aca="false">F1058*0.03</f>
        <v>0</v>
      </c>
      <c r="F1058" s="33" t="n">
        <v>0</v>
      </c>
      <c r="G1058" s="131"/>
      <c r="H1058" s="35" t="n">
        <v>0</v>
      </c>
      <c r="I1058" s="34" t="n">
        <f aca="false">+IF(E1058=0,0,E1058*0.03)</f>
        <v>0</v>
      </c>
      <c r="J1058" s="93"/>
      <c r="K1058" s="93"/>
      <c r="L1058" s="93"/>
      <c r="M1058" s="93"/>
      <c r="N1058" s="93"/>
      <c r="O1058" s="93"/>
      <c r="P1058" s="93"/>
      <c r="Q1058" s="93"/>
      <c r="R1058" s="93"/>
      <c r="S1058" s="93"/>
      <c r="T1058" s="93"/>
      <c r="U1058" s="93"/>
      <c r="V1058" s="93"/>
      <c r="W1058" s="93"/>
      <c r="X1058" s="93"/>
      <c r="Y1058" s="93"/>
      <c r="Z1058" s="93"/>
    </row>
    <row r="1059" customFormat="false" ht="16.4" hidden="false" customHeight="false" outlineLevel="0" collapsed="false">
      <c r="A1059" s="123" t="n">
        <v>45444</v>
      </c>
      <c r="B1059" s="31" t="s">
        <v>153</v>
      </c>
      <c r="C1059" s="129"/>
      <c r="D1059" s="129"/>
      <c r="E1059" s="19" t="n">
        <f aca="false">F1059*0.03</f>
        <v>0</v>
      </c>
      <c r="F1059" s="33" t="n">
        <v>0</v>
      </c>
      <c r="G1059" s="131"/>
      <c r="H1059" s="35" t="n">
        <v>0</v>
      </c>
      <c r="I1059" s="34" t="n">
        <f aca="false">+IF(E1059=0,0,E1059*0.03)</f>
        <v>0</v>
      </c>
      <c r="J1059" s="93"/>
      <c r="K1059" s="93"/>
      <c r="L1059" s="93"/>
      <c r="M1059" s="93"/>
      <c r="N1059" s="93"/>
      <c r="O1059" s="93"/>
      <c r="P1059" s="93"/>
      <c r="Q1059" s="93"/>
      <c r="R1059" s="93"/>
      <c r="S1059" s="93"/>
      <c r="T1059" s="93"/>
      <c r="U1059" s="93"/>
      <c r="V1059" s="93"/>
      <c r="W1059" s="93"/>
      <c r="X1059" s="93"/>
      <c r="Y1059" s="93"/>
      <c r="Z1059" s="93"/>
    </row>
    <row r="1060" customFormat="false" ht="16.4" hidden="false" customHeight="false" outlineLevel="0" collapsed="false">
      <c r="A1060" s="123" t="n">
        <v>45444</v>
      </c>
      <c r="B1060" s="31" t="s">
        <v>153</v>
      </c>
      <c r="C1060" s="129"/>
      <c r="D1060" s="129"/>
      <c r="E1060" s="19" t="n">
        <f aca="false">F1060*0.03</f>
        <v>0</v>
      </c>
      <c r="F1060" s="33" t="n">
        <v>0</v>
      </c>
      <c r="G1060" s="131"/>
      <c r="H1060" s="35" t="n">
        <v>0</v>
      </c>
      <c r="I1060" s="34" t="n">
        <f aca="false">+IF(E1060=0,0,E1060*0.03)</f>
        <v>0</v>
      </c>
      <c r="J1060" s="93"/>
      <c r="K1060" s="93"/>
      <c r="L1060" s="93"/>
      <c r="M1060" s="93"/>
      <c r="N1060" s="93"/>
      <c r="O1060" s="93"/>
      <c r="P1060" s="93"/>
      <c r="Q1060" s="93"/>
      <c r="R1060" s="93"/>
      <c r="S1060" s="93"/>
      <c r="T1060" s="93"/>
      <c r="U1060" s="93"/>
      <c r="V1060" s="93"/>
      <c r="W1060" s="93"/>
      <c r="X1060" s="93"/>
      <c r="Y1060" s="93"/>
      <c r="Z1060" s="93"/>
    </row>
    <row r="1061" customFormat="false" ht="16.4" hidden="false" customHeight="false" outlineLevel="0" collapsed="false">
      <c r="A1061" s="123" t="n">
        <v>45444</v>
      </c>
      <c r="B1061" s="31" t="s">
        <v>153</v>
      </c>
      <c r="C1061" s="129"/>
      <c r="D1061" s="129"/>
      <c r="E1061" s="19" t="n">
        <f aca="false">F1061*0.03</f>
        <v>0</v>
      </c>
      <c r="F1061" s="33" t="n">
        <v>0</v>
      </c>
      <c r="G1061" s="131"/>
      <c r="H1061" s="35" t="n">
        <v>0</v>
      </c>
      <c r="I1061" s="34" t="n">
        <f aca="false">+IF(E1061=0,0,E1061*0.03)</f>
        <v>0</v>
      </c>
      <c r="J1061" s="93"/>
      <c r="K1061" s="93"/>
      <c r="L1061" s="93"/>
      <c r="M1061" s="93"/>
      <c r="N1061" s="93"/>
      <c r="O1061" s="93"/>
      <c r="P1061" s="93"/>
      <c r="Q1061" s="93"/>
      <c r="R1061" s="93"/>
      <c r="S1061" s="93"/>
      <c r="T1061" s="93"/>
      <c r="U1061" s="93"/>
      <c r="V1061" s="93"/>
      <c r="W1061" s="93"/>
      <c r="X1061" s="93"/>
      <c r="Y1061" s="93"/>
      <c r="Z1061" s="93"/>
    </row>
    <row r="1062" customFormat="false" ht="16.4" hidden="false" customHeight="false" outlineLevel="0" collapsed="false">
      <c r="A1062" s="123" t="n">
        <v>45444</v>
      </c>
      <c r="B1062" s="31" t="s">
        <v>153</v>
      </c>
      <c r="C1062" s="129"/>
      <c r="D1062" s="129"/>
      <c r="E1062" s="19" t="n">
        <f aca="false">F1062*0.03</f>
        <v>0</v>
      </c>
      <c r="F1062" s="33" t="n">
        <v>0</v>
      </c>
      <c r="G1062" s="131"/>
      <c r="H1062" s="35" t="n">
        <v>0</v>
      </c>
      <c r="I1062" s="34" t="n">
        <f aca="false">+IF(E1062=0,0,E1062*0.03)</f>
        <v>0</v>
      </c>
      <c r="J1062" s="93"/>
      <c r="K1062" s="93"/>
      <c r="L1062" s="93"/>
      <c r="M1062" s="93"/>
      <c r="N1062" s="93"/>
      <c r="O1062" s="93"/>
      <c r="P1062" s="93"/>
      <c r="Q1062" s="93"/>
      <c r="R1062" s="93"/>
      <c r="S1062" s="93"/>
      <c r="T1062" s="93"/>
      <c r="U1062" s="93"/>
      <c r="V1062" s="93"/>
      <c r="W1062" s="93"/>
      <c r="X1062" s="93"/>
      <c r="Y1062" s="93"/>
      <c r="Z1062" s="93"/>
    </row>
    <row r="1063" customFormat="false" ht="16.4" hidden="false" customHeight="false" outlineLevel="0" collapsed="false">
      <c r="A1063" s="123" t="n">
        <v>45444</v>
      </c>
      <c r="B1063" s="31" t="s">
        <v>153</v>
      </c>
      <c r="C1063" s="129"/>
      <c r="D1063" s="129"/>
      <c r="E1063" s="19" t="n">
        <f aca="false">F1063*0.03</f>
        <v>0</v>
      </c>
      <c r="F1063" s="33" t="n">
        <v>0</v>
      </c>
      <c r="G1063" s="131"/>
      <c r="H1063" s="35" t="n">
        <v>0</v>
      </c>
      <c r="I1063" s="34" t="n">
        <f aca="false">+IF(E1063=0,0,E1063*0.03)</f>
        <v>0</v>
      </c>
      <c r="J1063" s="93"/>
      <c r="K1063" s="93"/>
      <c r="L1063" s="93"/>
      <c r="M1063" s="93"/>
      <c r="N1063" s="93"/>
      <c r="O1063" s="93"/>
      <c r="P1063" s="93"/>
      <c r="Q1063" s="93"/>
      <c r="R1063" s="93"/>
      <c r="S1063" s="93"/>
      <c r="T1063" s="93"/>
      <c r="U1063" s="93"/>
      <c r="V1063" s="93"/>
      <c r="W1063" s="93"/>
      <c r="X1063" s="93"/>
      <c r="Y1063" s="93"/>
      <c r="Z1063" s="93"/>
    </row>
    <row r="1064" customFormat="false" ht="16.4" hidden="false" customHeight="false" outlineLevel="0" collapsed="false">
      <c r="A1064" s="123" t="n">
        <v>45444</v>
      </c>
      <c r="B1064" s="31" t="s">
        <v>153</v>
      </c>
      <c r="C1064" s="129"/>
      <c r="D1064" s="129"/>
      <c r="E1064" s="19" t="n">
        <f aca="false">F1064*0.03</f>
        <v>0</v>
      </c>
      <c r="F1064" s="33" t="n">
        <v>0</v>
      </c>
      <c r="G1064" s="131"/>
      <c r="H1064" s="35" t="n">
        <v>0</v>
      </c>
      <c r="I1064" s="34" t="n">
        <f aca="false">+IF(E1064=0,0,E1064*0.03)</f>
        <v>0</v>
      </c>
      <c r="J1064" s="93"/>
      <c r="K1064" s="93"/>
      <c r="L1064" s="93"/>
      <c r="M1064" s="93"/>
      <c r="N1064" s="93"/>
      <c r="O1064" s="93"/>
      <c r="P1064" s="93"/>
      <c r="Q1064" s="93"/>
      <c r="R1064" s="93"/>
      <c r="S1064" s="93"/>
      <c r="T1064" s="93"/>
      <c r="U1064" s="93"/>
      <c r="V1064" s="93"/>
      <c r="W1064" s="93"/>
      <c r="X1064" s="93"/>
      <c r="Y1064" s="93"/>
      <c r="Z1064" s="93"/>
    </row>
    <row r="1065" customFormat="false" ht="16.4" hidden="false" customHeight="false" outlineLevel="0" collapsed="false">
      <c r="A1065" s="123" t="n">
        <v>45444</v>
      </c>
      <c r="B1065" s="31" t="s">
        <v>153</v>
      </c>
      <c r="C1065" s="129"/>
      <c r="D1065" s="129"/>
      <c r="E1065" s="19" t="n">
        <f aca="false">F1065*0.03</f>
        <v>0</v>
      </c>
      <c r="F1065" s="33" t="n">
        <v>0</v>
      </c>
      <c r="G1065" s="131"/>
      <c r="H1065" s="35" t="n">
        <v>0</v>
      </c>
      <c r="I1065" s="34" t="n">
        <f aca="false">+IF(E1065=0,0,E1065*0.03)</f>
        <v>0</v>
      </c>
      <c r="J1065" s="93"/>
      <c r="K1065" s="93"/>
      <c r="L1065" s="93"/>
      <c r="M1065" s="93"/>
      <c r="N1065" s="93"/>
      <c r="O1065" s="93"/>
      <c r="P1065" s="93"/>
      <c r="Q1065" s="93"/>
      <c r="R1065" s="93"/>
      <c r="S1065" s="93"/>
      <c r="T1065" s="93"/>
      <c r="U1065" s="93"/>
      <c r="V1065" s="93"/>
      <c r="W1065" s="93"/>
      <c r="X1065" s="93"/>
      <c r="Y1065" s="93"/>
      <c r="Z1065" s="93"/>
    </row>
    <row r="1066" customFormat="false" ht="16.4" hidden="false" customHeight="false" outlineLevel="0" collapsed="false">
      <c r="A1066" s="123" t="n">
        <v>45444</v>
      </c>
      <c r="B1066" s="31" t="s">
        <v>153</v>
      </c>
      <c r="C1066" s="129"/>
      <c r="D1066" s="129"/>
      <c r="E1066" s="19" t="n">
        <f aca="false">F1066*0.03</f>
        <v>0</v>
      </c>
      <c r="F1066" s="33" t="n">
        <v>0</v>
      </c>
      <c r="G1066" s="131"/>
      <c r="H1066" s="35" t="n">
        <v>0</v>
      </c>
      <c r="I1066" s="34" t="n">
        <f aca="false">+IF(E1066=0,0,E1066*0.03)</f>
        <v>0</v>
      </c>
      <c r="J1066" s="93"/>
      <c r="K1066" s="93"/>
      <c r="L1066" s="93"/>
      <c r="M1066" s="93"/>
      <c r="N1066" s="93"/>
      <c r="O1066" s="93"/>
      <c r="P1066" s="93"/>
      <c r="Q1066" s="93"/>
      <c r="R1066" s="93"/>
      <c r="S1066" s="93"/>
      <c r="T1066" s="93"/>
      <c r="U1066" s="93"/>
      <c r="V1066" s="93"/>
      <c r="W1066" s="93"/>
      <c r="X1066" s="93"/>
      <c r="Y1066" s="93"/>
      <c r="Z1066" s="93"/>
    </row>
    <row r="1067" customFormat="false" ht="16.4" hidden="false" customHeight="false" outlineLevel="0" collapsed="false">
      <c r="A1067" s="123" t="n">
        <v>45444</v>
      </c>
      <c r="B1067" s="31" t="s">
        <v>153</v>
      </c>
      <c r="C1067" s="129"/>
      <c r="D1067" s="129"/>
      <c r="E1067" s="19" t="n">
        <f aca="false">F1067*0.03</f>
        <v>0</v>
      </c>
      <c r="F1067" s="33" t="n">
        <v>0</v>
      </c>
      <c r="G1067" s="131"/>
      <c r="H1067" s="35" t="n">
        <v>0</v>
      </c>
      <c r="I1067" s="34" t="n">
        <f aca="false">+IF(E1067=0,0,E1067*0.03)</f>
        <v>0</v>
      </c>
      <c r="J1067" s="93"/>
      <c r="K1067" s="93"/>
      <c r="L1067" s="93"/>
      <c r="M1067" s="93"/>
      <c r="N1067" s="93"/>
      <c r="O1067" s="93"/>
      <c r="P1067" s="93"/>
      <c r="Q1067" s="93"/>
      <c r="R1067" s="93"/>
      <c r="S1067" s="93"/>
      <c r="T1067" s="93"/>
      <c r="U1067" s="93"/>
      <c r="V1067" s="93"/>
      <c r="W1067" s="93"/>
      <c r="X1067" s="93"/>
      <c r="Y1067" s="93"/>
      <c r="Z1067" s="93"/>
    </row>
    <row r="1068" customFormat="false" ht="16.4" hidden="false" customHeight="false" outlineLevel="0" collapsed="false">
      <c r="A1068" s="123" t="n">
        <v>45444</v>
      </c>
      <c r="B1068" s="31" t="s">
        <v>153</v>
      </c>
      <c r="C1068" s="129"/>
      <c r="D1068" s="129"/>
      <c r="E1068" s="19" t="n">
        <f aca="false">F1068*0.03</f>
        <v>0</v>
      </c>
      <c r="F1068" s="33" t="n">
        <v>0</v>
      </c>
      <c r="G1068" s="131"/>
      <c r="H1068" s="35" t="n">
        <v>0</v>
      </c>
      <c r="I1068" s="34" t="n">
        <f aca="false">+IF(E1068=0,0,E1068*0.03)</f>
        <v>0</v>
      </c>
      <c r="J1068" s="93"/>
      <c r="K1068" s="93"/>
      <c r="L1068" s="93"/>
      <c r="M1068" s="93"/>
      <c r="N1068" s="93"/>
      <c r="O1068" s="93"/>
      <c r="P1068" s="93"/>
      <c r="Q1068" s="93"/>
      <c r="R1068" s="93"/>
      <c r="S1068" s="93"/>
      <c r="T1068" s="93"/>
      <c r="U1068" s="93"/>
      <c r="V1068" s="93"/>
      <c r="W1068" s="93"/>
      <c r="X1068" s="93"/>
      <c r="Y1068" s="93"/>
      <c r="Z1068" s="93"/>
    </row>
    <row r="1069" customFormat="false" ht="16.4" hidden="false" customHeight="false" outlineLevel="0" collapsed="false">
      <c r="A1069" s="123" t="n">
        <v>45444</v>
      </c>
      <c r="B1069" s="31" t="s">
        <v>153</v>
      </c>
      <c r="C1069" s="129"/>
      <c r="D1069" s="129"/>
      <c r="E1069" s="19" t="n">
        <f aca="false">F1069*0.03</f>
        <v>0</v>
      </c>
      <c r="F1069" s="33" t="n">
        <v>0</v>
      </c>
      <c r="G1069" s="131"/>
      <c r="H1069" s="35" t="n">
        <v>0</v>
      </c>
      <c r="I1069" s="34" t="n">
        <f aca="false">+IF(E1069=0,0,E1069*0.03)</f>
        <v>0</v>
      </c>
      <c r="J1069" s="93"/>
      <c r="K1069" s="93"/>
      <c r="L1069" s="93"/>
      <c r="M1069" s="93"/>
      <c r="N1069" s="93"/>
      <c r="O1069" s="93"/>
      <c r="P1069" s="93"/>
      <c r="Q1069" s="93"/>
      <c r="R1069" s="93"/>
      <c r="S1069" s="93"/>
      <c r="T1069" s="93"/>
      <c r="U1069" s="93"/>
      <c r="V1069" s="93"/>
      <c r="W1069" s="93"/>
      <c r="X1069" s="93"/>
      <c r="Y1069" s="93"/>
      <c r="Z1069" s="93"/>
    </row>
    <row r="1070" customFormat="false" ht="16.4" hidden="false" customHeight="false" outlineLevel="0" collapsed="false">
      <c r="A1070" s="123" t="n">
        <v>45444</v>
      </c>
      <c r="B1070" s="31" t="s">
        <v>153</v>
      </c>
      <c r="C1070" s="129"/>
      <c r="D1070" s="129"/>
      <c r="E1070" s="19" t="n">
        <f aca="false">F1070*0.03</f>
        <v>0</v>
      </c>
      <c r="F1070" s="33" t="n">
        <v>0</v>
      </c>
      <c r="G1070" s="131"/>
      <c r="H1070" s="35" t="n">
        <v>0</v>
      </c>
      <c r="I1070" s="34" t="n">
        <f aca="false">+IF(E1070=0,0,E1070*0.03)</f>
        <v>0</v>
      </c>
      <c r="J1070" s="93"/>
      <c r="K1070" s="93"/>
      <c r="L1070" s="93"/>
      <c r="M1070" s="93"/>
      <c r="N1070" s="93"/>
      <c r="O1070" s="93"/>
      <c r="P1070" s="93"/>
      <c r="Q1070" s="93"/>
      <c r="R1070" s="93"/>
      <c r="S1070" s="93"/>
      <c r="T1070" s="93"/>
      <c r="U1070" s="93"/>
      <c r="V1070" s="93"/>
      <c r="W1070" s="93"/>
      <c r="X1070" s="93"/>
      <c r="Y1070" s="93"/>
      <c r="Z1070" s="93"/>
    </row>
    <row r="1071" customFormat="false" ht="16.4" hidden="false" customHeight="false" outlineLevel="0" collapsed="false">
      <c r="A1071" s="123" t="n">
        <v>45444</v>
      </c>
      <c r="B1071" s="31" t="s">
        <v>153</v>
      </c>
      <c r="C1071" s="129"/>
      <c r="D1071" s="129"/>
      <c r="E1071" s="19" t="n">
        <f aca="false">F1071*0.03</f>
        <v>0</v>
      </c>
      <c r="F1071" s="33" t="n">
        <v>0</v>
      </c>
      <c r="G1071" s="131"/>
      <c r="H1071" s="35" t="n">
        <v>0</v>
      </c>
      <c r="I1071" s="34" t="n">
        <f aca="false">+IF(E1071=0,0,E1071*0.03)</f>
        <v>0</v>
      </c>
      <c r="J1071" s="93"/>
      <c r="K1071" s="93"/>
      <c r="L1071" s="93"/>
      <c r="M1071" s="93"/>
      <c r="N1071" s="93"/>
      <c r="O1071" s="93"/>
      <c r="P1071" s="93"/>
      <c r="Q1071" s="93"/>
      <c r="R1071" s="93"/>
      <c r="S1071" s="93"/>
      <c r="T1071" s="93"/>
      <c r="U1071" s="93"/>
      <c r="V1071" s="93"/>
      <c r="W1071" s="93"/>
      <c r="X1071" s="93"/>
      <c r="Y1071" s="93"/>
      <c r="Z1071" s="93"/>
    </row>
    <row r="1072" customFormat="false" ht="16.4" hidden="false" customHeight="false" outlineLevel="0" collapsed="false">
      <c r="A1072" s="123" t="n">
        <v>45444</v>
      </c>
      <c r="B1072" s="31" t="s">
        <v>153</v>
      </c>
      <c r="C1072" s="129"/>
      <c r="D1072" s="129"/>
      <c r="E1072" s="19" t="n">
        <f aca="false">F1072*0.03</f>
        <v>0</v>
      </c>
      <c r="F1072" s="33" t="n">
        <v>0</v>
      </c>
      <c r="G1072" s="131"/>
      <c r="H1072" s="35" t="n">
        <v>0</v>
      </c>
      <c r="I1072" s="34" t="n">
        <f aca="false">+IF(E1072=0,0,E1072*0.03)</f>
        <v>0</v>
      </c>
      <c r="J1072" s="93"/>
      <c r="K1072" s="93"/>
      <c r="L1072" s="93"/>
      <c r="M1072" s="93"/>
      <c r="N1072" s="93"/>
      <c r="O1072" s="93"/>
      <c r="P1072" s="93"/>
      <c r="Q1072" s="93"/>
      <c r="R1072" s="93"/>
      <c r="S1072" s="93"/>
      <c r="T1072" s="93"/>
      <c r="U1072" s="93"/>
      <c r="V1072" s="93"/>
      <c r="W1072" s="93"/>
      <c r="X1072" s="93"/>
      <c r="Y1072" s="93"/>
      <c r="Z1072" s="93"/>
    </row>
    <row r="1073" customFormat="false" ht="16.4" hidden="false" customHeight="false" outlineLevel="0" collapsed="false">
      <c r="A1073" s="123" t="n">
        <v>45444</v>
      </c>
      <c r="B1073" s="31" t="s">
        <v>153</v>
      </c>
      <c r="C1073" s="129"/>
      <c r="D1073" s="129"/>
      <c r="E1073" s="19" t="n">
        <f aca="false">F1073*0.03</f>
        <v>0</v>
      </c>
      <c r="F1073" s="33" t="n">
        <v>0</v>
      </c>
      <c r="G1073" s="131"/>
      <c r="H1073" s="35" t="n">
        <v>0</v>
      </c>
      <c r="I1073" s="34" t="n">
        <f aca="false">+IF(E1073=0,0,E1073*0.03)</f>
        <v>0</v>
      </c>
      <c r="J1073" s="93"/>
      <c r="K1073" s="93"/>
      <c r="L1073" s="93"/>
      <c r="M1073" s="93"/>
      <c r="N1073" s="93"/>
      <c r="O1073" s="93"/>
      <c r="P1073" s="93"/>
      <c r="Q1073" s="93"/>
      <c r="R1073" s="93"/>
      <c r="S1073" s="93"/>
      <c r="T1073" s="93"/>
      <c r="U1073" s="93"/>
      <c r="V1073" s="93"/>
      <c r="W1073" s="93"/>
      <c r="X1073" s="93"/>
      <c r="Y1073" s="93"/>
      <c r="Z1073" s="93"/>
    </row>
    <row r="1074" customFormat="false" ht="16.4" hidden="false" customHeight="false" outlineLevel="0" collapsed="false">
      <c r="A1074" s="123" t="n">
        <v>45444</v>
      </c>
      <c r="B1074" s="31" t="s">
        <v>153</v>
      </c>
      <c r="C1074" s="129"/>
      <c r="D1074" s="129"/>
      <c r="E1074" s="19" t="n">
        <f aca="false">F1074*0.03</f>
        <v>0</v>
      </c>
      <c r="F1074" s="33" t="n">
        <v>0</v>
      </c>
      <c r="G1074" s="131"/>
      <c r="H1074" s="35" t="n">
        <v>0</v>
      </c>
      <c r="I1074" s="34" t="n">
        <f aca="false">+IF(E1074=0,0,E1074*0.03)</f>
        <v>0</v>
      </c>
      <c r="J1074" s="93"/>
      <c r="K1074" s="93"/>
      <c r="L1074" s="93"/>
      <c r="M1074" s="93"/>
      <c r="N1074" s="93"/>
      <c r="O1074" s="93"/>
      <c r="P1074" s="93"/>
      <c r="Q1074" s="93"/>
      <c r="R1074" s="93"/>
      <c r="S1074" s="93"/>
      <c r="T1074" s="93"/>
      <c r="U1074" s="93"/>
      <c r="V1074" s="93"/>
      <c r="W1074" s="93"/>
      <c r="X1074" s="93"/>
      <c r="Y1074" s="93"/>
      <c r="Z1074" s="93"/>
    </row>
    <row r="1075" customFormat="false" ht="16.4" hidden="false" customHeight="false" outlineLevel="0" collapsed="false">
      <c r="A1075" s="123" t="n">
        <v>45444</v>
      </c>
      <c r="B1075" s="31" t="s">
        <v>153</v>
      </c>
      <c r="C1075" s="129"/>
      <c r="D1075" s="129"/>
      <c r="E1075" s="19" t="n">
        <f aca="false">F1075*0.03</f>
        <v>0</v>
      </c>
      <c r="F1075" s="33" t="n">
        <v>0</v>
      </c>
      <c r="G1075" s="131"/>
      <c r="H1075" s="35" t="n">
        <v>0</v>
      </c>
      <c r="I1075" s="34" t="n">
        <f aca="false">+IF(E1075=0,0,E1075*0.03)</f>
        <v>0</v>
      </c>
      <c r="J1075" s="93"/>
      <c r="K1075" s="93"/>
      <c r="L1075" s="93"/>
      <c r="M1075" s="93"/>
      <c r="N1075" s="93"/>
      <c r="O1075" s="93"/>
      <c r="P1075" s="93"/>
      <c r="Q1075" s="93"/>
      <c r="R1075" s="93"/>
      <c r="S1075" s="93"/>
      <c r="T1075" s="93"/>
      <c r="U1075" s="93"/>
      <c r="V1075" s="93"/>
      <c r="W1075" s="93"/>
      <c r="X1075" s="93"/>
      <c r="Y1075" s="93"/>
      <c r="Z1075" s="93"/>
    </row>
    <row r="1076" customFormat="false" ht="16.4" hidden="false" customHeight="false" outlineLevel="0" collapsed="false">
      <c r="A1076" s="123" t="n">
        <v>45444</v>
      </c>
      <c r="B1076" s="31" t="s">
        <v>153</v>
      </c>
      <c r="C1076" s="129"/>
      <c r="D1076" s="129"/>
      <c r="E1076" s="19" t="n">
        <f aca="false">F1076*0.03</f>
        <v>0</v>
      </c>
      <c r="F1076" s="33" t="n">
        <v>0</v>
      </c>
      <c r="G1076" s="131"/>
      <c r="H1076" s="35" t="n">
        <v>0</v>
      </c>
      <c r="I1076" s="34" t="n">
        <f aca="false">+IF(E1076=0,0,E1076*0.03)</f>
        <v>0</v>
      </c>
      <c r="J1076" s="93"/>
      <c r="K1076" s="93"/>
      <c r="L1076" s="93"/>
      <c r="M1076" s="93"/>
      <c r="N1076" s="93"/>
      <c r="O1076" s="93"/>
      <c r="P1076" s="93"/>
      <c r="Q1076" s="93"/>
      <c r="R1076" s="93"/>
      <c r="S1076" s="93"/>
      <c r="T1076" s="93"/>
      <c r="U1076" s="93"/>
      <c r="V1076" s="93"/>
      <c r="W1076" s="93"/>
      <c r="X1076" s="93"/>
      <c r="Y1076" s="93"/>
      <c r="Z1076" s="93"/>
    </row>
    <row r="1077" customFormat="false" ht="16.4" hidden="false" customHeight="false" outlineLevel="0" collapsed="false">
      <c r="A1077" s="123" t="n">
        <v>45444</v>
      </c>
      <c r="B1077" s="31" t="s">
        <v>153</v>
      </c>
      <c r="C1077" s="129"/>
      <c r="D1077" s="129"/>
      <c r="E1077" s="19" t="n">
        <f aca="false">F1077*0.03</f>
        <v>0</v>
      </c>
      <c r="F1077" s="33" t="n">
        <v>0</v>
      </c>
      <c r="G1077" s="131"/>
      <c r="H1077" s="35" t="n">
        <v>0</v>
      </c>
      <c r="I1077" s="34" t="n">
        <f aca="false">+IF(E1077=0,0,E1077*0.03)</f>
        <v>0</v>
      </c>
      <c r="J1077" s="93"/>
      <c r="K1077" s="93"/>
      <c r="L1077" s="93"/>
      <c r="M1077" s="93"/>
      <c r="N1077" s="93"/>
      <c r="O1077" s="93"/>
      <c r="P1077" s="93"/>
      <c r="Q1077" s="93"/>
      <c r="R1077" s="93"/>
      <c r="S1077" s="93"/>
      <c r="T1077" s="93"/>
      <c r="U1077" s="93"/>
      <c r="V1077" s="93"/>
      <c r="W1077" s="93"/>
      <c r="X1077" s="93"/>
      <c r="Y1077" s="93"/>
      <c r="Z1077" s="93"/>
    </row>
    <row r="1078" customFormat="false" ht="16.4" hidden="false" customHeight="false" outlineLevel="0" collapsed="false">
      <c r="A1078" s="123" t="n">
        <v>45444</v>
      </c>
      <c r="B1078" s="31" t="s">
        <v>153</v>
      </c>
      <c r="C1078" s="129"/>
      <c r="D1078" s="129"/>
      <c r="E1078" s="19" t="n">
        <f aca="false">F1078*0.03</f>
        <v>0</v>
      </c>
      <c r="F1078" s="33" t="n">
        <v>0</v>
      </c>
      <c r="G1078" s="131"/>
      <c r="H1078" s="35" t="n">
        <v>0</v>
      </c>
      <c r="I1078" s="34" t="n">
        <f aca="false">+IF(E1078=0,0,E1078*0.03)</f>
        <v>0</v>
      </c>
      <c r="J1078" s="93"/>
      <c r="K1078" s="93"/>
      <c r="L1078" s="93"/>
      <c r="M1078" s="93"/>
      <c r="N1078" s="93"/>
      <c r="O1078" s="93"/>
      <c r="P1078" s="93"/>
      <c r="Q1078" s="93"/>
      <c r="R1078" s="93"/>
      <c r="S1078" s="93"/>
      <c r="T1078" s="93"/>
      <c r="U1078" s="93"/>
      <c r="V1078" s="93"/>
      <c r="W1078" s="93"/>
      <c r="X1078" s="93"/>
      <c r="Y1078" s="93"/>
      <c r="Z1078" s="93"/>
    </row>
    <row r="1079" customFormat="false" ht="16.4" hidden="false" customHeight="false" outlineLevel="0" collapsed="false">
      <c r="A1079" s="123" t="n">
        <v>45444</v>
      </c>
      <c r="B1079" s="31" t="s">
        <v>153</v>
      </c>
      <c r="C1079" s="129"/>
      <c r="D1079" s="129"/>
      <c r="E1079" s="19" t="n">
        <f aca="false">F1079*0.03</f>
        <v>0</v>
      </c>
      <c r="F1079" s="33" t="n">
        <v>0</v>
      </c>
      <c r="G1079" s="131"/>
      <c r="H1079" s="35" t="n">
        <v>0</v>
      </c>
      <c r="I1079" s="34" t="n">
        <f aca="false">+IF(E1079=0,0,E1079*0.03)</f>
        <v>0</v>
      </c>
      <c r="J1079" s="93"/>
      <c r="K1079" s="93"/>
      <c r="L1079" s="93"/>
      <c r="M1079" s="93"/>
      <c r="N1079" s="93"/>
      <c r="O1079" s="93"/>
      <c r="P1079" s="93"/>
      <c r="Q1079" s="93"/>
      <c r="R1079" s="93"/>
      <c r="S1079" s="93"/>
      <c r="T1079" s="93"/>
      <c r="U1079" s="93"/>
      <c r="V1079" s="93"/>
      <c r="W1079" s="93"/>
      <c r="X1079" s="93"/>
      <c r="Y1079" s="93"/>
      <c r="Z1079" s="93"/>
    </row>
    <row r="1080" customFormat="false" ht="16.4" hidden="false" customHeight="false" outlineLevel="0" collapsed="false">
      <c r="A1080" s="123" t="n">
        <v>45444</v>
      </c>
      <c r="B1080" s="31" t="s">
        <v>153</v>
      </c>
      <c r="C1080" s="129"/>
      <c r="D1080" s="129"/>
      <c r="E1080" s="19" t="n">
        <f aca="false">F1080*0.03</f>
        <v>0</v>
      </c>
      <c r="F1080" s="33" t="n">
        <v>0</v>
      </c>
      <c r="G1080" s="131"/>
      <c r="H1080" s="35" t="n">
        <v>0</v>
      </c>
      <c r="I1080" s="34" t="n">
        <f aca="false">+IF(E1080=0,0,E1080*0.03)</f>
        <v>0</v>
      </c>
      <c r="J1080" s="93"/>
      <c r="K1080" s="93"/>
      <c r="L1080" s="93"/>
      <c r="M1080" s="93"/>
      <c r="N1080" s="93"/>
      <c r="O1080" s="93"/>
      <c r="P1080" s="93"/>
      <c r="Q1080" s="93"/>
      <c r="R1080" s="93"/>
      <c r="S1080" s="93"/>
      <c r="T1080" s="93"/>
      <c r="U1080" s="93"/>
      <c r="V1080" s="93"/>
      <c r="W1080" s="93"/>
      <c r="X1080" s="93"/>
      <c r="Y1080" s="93"/>
      <c r="Z1080" s="93"/>
    </row>
    <row r="1081" customFormat="false" ht="16.4" hidden="false" customHeight="false" outlineLevel="0" collapsed="false">
      <c r="A1081" s="123" t="n">
        <v>45444</v>
      </c>
      <c r="B1081" s="31" t="s">
        <v>153</v>
      </c>
      <c r="C1081" s="129"/>
      <c r="D1081" s="129"/>
      <c r="E1081" s="19" t="n">
        <f aca="false">F1081*0.03</f>
        <v>0</v>
      </c>
      <c r="F1081" s="33" t="n">
        <v>0</v>
      </c>
      <c r="G1081" s="131"/>
      <c r="H1081" s="35" t="n">
        <v>0</v>
      </c>
      <c r="I1081" s="34" t="n">
        <f aca="false">+IF(E1081=0,0,E1081*0.03)</f>
        <v>0</v>
      </c>
      <c r="J1081" s="93"/>
      <c r="K1081" s="93"/>
      <c r="L1081" s="93"/>
      <c r="M1081" s="93"/>
      <c r="N1081" s="93"/>
      <c r="O1081" s="93"/>
      <c r="P1081" s="93"/>
      <c r="Q1081" s="93"/>
      <c r="R1081" s="93"/>
      <c r="S1081" s="93"/>
      <c r="T1081" s="93"/>
      <c r="U1081" s="93"/>
      <c r="V1081" s="93"/>
      <c r="W1081" s="93"/>
      <c r="X1081" s="93"/>
      <c r="Y1081" s="93"/>
      <c r="Z1081" s="93"/>
    </row>
    <row r="1082" customFormat="false" ht="16.4" hidden="false" customHeight="false" outlineLevel="0" collapsed="false">
      <c r="A1082" s="123" t="n">
        <v>45444</v>
      </c>
      <c r="B1082" s="31" t="s">
        <v>153</v>
      </c>
      <c r="C1082" s="129"/>
      <c r="D1082" s="129"/>
      <c r="E1082" s="19" t="n">
        <f aca="false">F1082*0.03</f>
        <v>0</v>
      </c>
      <c r="F1082" s="33" t="n">
        <v>0</v>
      </c>
      <c r="G1082" s="131"/>
      <c r="H1082" s="35" t="n">
        <v>0</v>
      </c>
      <c r="I1082" s="34" t="n">
        <f aca="false">+IF(E1082=0,0,E1082*0.03)</f>
        <v>0</v>
      </c>
      <c r="J1082" s="93"/>
      <c r="K1082" s="93"/>
      <c r="L1082" s="93"/>
      <c r="M1082" s="93"/>
      <c r="N1082" s="93"/>
      <c r="O1082" s="93"/>
      <c r="P1082" s="93"/>
      <c r="Q1082" s="93"/>
      <c r="R1082" s="93"/>
      <c r="S1082" s="93"/>
      <c r="T1082" s="93"/>
      <c r="U1082" s="93"/>
      <c r="V1082" s="93"/>
      <c r="W1082" s="93"/>
      <c r="X1082" s="93"/>
      <c r="Y1082" s="93"/>
      <c r="Z1082" s="93"/>
    </row>
    <row r="1083" customFormat="false" ht="16.4" hidden="false" customHeight="false" outlineLevel="0" collapsed="false">
      <c r="A1083" s="123" t="n">
        <v>45444</v>
      </c>
      <c r="B1083" s="31" t="s">
        <v>153</v>
      </c>
      <c r="C1083" s="129"/>
      <c r="D1083" s="129"/>
      <c r="E1083" s="19" t="n">
        <f aca="false">F1083*0.03</f>
        <v>0</v>
      </c>
      <c r="F1083" s="33" t="n">
        <v>0</v>
      </c>
      <c r="G1083" s="131"/>
      <c r="H1083" s="35" t="n">
        <v>0</v>
      </c>
      <c r="I1083" s="34" t="n">
        <f aca="false">+IF(E1083=0,0,E1083*0.03)</f>
        <v>0</v>
      </c>
      <c r="J1083" s="93"/>
      <c r="K1083" s="93"/>
      <c r="L1083" s="93"/>
      <c r="M1083" s="93"/>
      <c r="N1083" s="93"/>
      <c r="O1083" s="93"/>
      <c r="P1083" s="93"/>
      <c r="Q1083" s="93"/>
      <c r="R1083" s="93"/>
      <c r="S1083" s="93"/>
      <c r="T1083" s="93"/>
      <c r="U1083" s="93"/>
      <c r="V1083" s="93"/>
      <c r="W1083" s="93"/>
      <c r="X1083" s="93"/>
      <c r="Y1083" s="93"/>
      <c r="Z1083" s="93"/>
    </row>
    <row r="1084" customFormat="false" ht="16.4" hidden="false" customHeight="false" outlineLevel="0" collapsed="false">
      <c r="A1084" s="123" t="n">
        <v>45444</v>
      </c>
      <c r="B1084" s="31" t="s">
        <v>153</v>
      </c>
      <c r="C1084" s="129"/>
      <c r="D1084" s="129"/>
      <c r="E1084" s="19" t="n">
        <f aca="false">F1084*0.03</f>
        <v>0</v>
      </c>
      <c r="F1084" s="33" t="n">
        <v>0</v>
      </c>
      <c r="G1084" s="131"/>
      <c r="H1084" s="35" t="n">
        <v>0</v>
      </c>
      <c r="I1084" s="34" t="n">
        <f aca="false">+IF(E1084=0,0,E1084*0.03)</f>
        <v>0</v>
      </c>
      <c r="J1084" s="93"/>
      <c r="K1084" s="93"/>
      <c r="L1084" s="93"/>
      <c r="M1084" s="93"/>
      <c r="N1084" s="93"/>
      <c r="O1084" s="93"/>
      <c r="P1084" s="93"/>
      <c r="Q1084" s="93"/>
      <c r="R1084" s="93"/>
      <c r="S1084" s="93"/>
      <c r="T1084" s="93"/>
      <c r="U1084" s="93"/>
      <c r="V1084" s="93"/>
      <c r="W1084" s="93"/>
      <c r="X1084" s="93"/>
      <c r="Y1084" s="93"/>
      <c r="Z1084" s="93"/>
    </row>
    <row r="1085" customFormat="false" ht="16.4" hidden="false" customHeight="false" outlineLevel="0" collapsed="false">
      <c r="A1085" s="123" t="n">
        <v>45444</v>
      </c>
      <c r="B1085" s="31" t="s">
        <v>153</v>
      </c>
      <c r="C1085" s="129"/>
      <c r="D1085" s="129"/>
      <c r="E1085" s="19" t="n">
        <f aca="false">F1085*0.03</f>
        <v>0</v>
      </c>
      <c r="F1085" s="33" t="n">
        <v>0</v>
      </c>
      <c r="G1085" s="131"/>
      <c r="H1085" s="35" t="n">
        <v>0</v>
      </c>
      <c r="I1085" s="34" t="n">
        <f aca="false">+IF(E1085=0,0,E1085*0.03)</f>
        <v>0</v>
      </c>
      <c r="J1085" s="93"/>
      <c r="K1085" s="93"/>
      <c r="L1085" s="93"/>
      <c r="M1085" s="93"/>
      <c r="N1085" s="93"/>
      <c r="O1085" s="93"/>
      <c r="P1085" s="93"/>
      <c r="Q1085" s="93"/>
      <c r="R1085" s="93"/>
      <c r="S1085" s="93"/>
      <c r="T1085" s="93"/>
      <c r="U1085" s="93"/>
      <c r="V1085" s="93"/>
      <c r="W1085" s="93"/>
      <c r="X1085" s="93"/>
      <c r="Y1085" s="93"/>
      <c r="Z1085" s="93"/>
    </row>
    <row r="1086" customFormat="false" ht="16.4" hidden="false" customHeight="false" outlineLevel="0" collapsed="false">
      <c r="A1086" s="123" t="n">
        <v>45444</v>
      </c>
      <c r="B1086" s="31" t="s">
        <v>153</v>
      </c>
      <c r="C1086" s="129"/>
      <c r="D1086" s="129"/>
      <c r="E1086" s="19" t="n">
        <f aca="false">F1086*0.03</f>
        <v>0</v>
      </c>
      <c r="F1086" s="33" t="n">
        <v>0</v>
      </c>
      <c r="G1086" s="131"/>
      <c r="H1086" s="35" t="n">
        <v>0</v>
      </c>
      <c r="I1086" s="34" t="n">
        <f aca="false">+IF(E1086=0,0,E1086*0.03)</f>
        <v>0</v>
      </c>
      <c r="J1086" s="93"/>
      <c r="K1086" s="93"/>
      <c r="L1086" s="93"/>
      <c r="M1086" s="93"/>
      <c r="N1086" s="93"/>
      <c r="O1086" s="93"/>
      <c r="P1086" s="93"/>
      <c r="Q1086" s="93"/>
      <c r="R1086" s="93"/>
      <c r="S1086" s="93"/>
      <c r="T1086" s="93"/>
      <c r="U1086" s="93"/>
      <c r="V1086" s="93"/>
      <c r="W1086" s="93"/>
      <c r="X1086" s="93"/>
      <c r="Y1086" s="93"/>
      <c r="Z1086" s="93"/>
    </row>
    <row r="1087" customFormat="false" ht="16.4" hidden="false" customHeight="false" outlineLevel="0" collapsed="false">
      <c r="A1087" s="123" t="n">
        <v>45444</v>
      </c>
      <c r="B1087" s="31" t="s">
        <v>153</v>
      </c>
      <c r="C1087" s="129"/>
      <c r="D1087" s="129"/>
      <c r="E1087" s="19" t="n">
        <f aca="false">F1087*0.03</f>
        <v>0</v>
      </c>
      <c r="F1087" s="33" t="n">
        <v>0</v>
      </c>
      <c r="G1087" s="131"/>
      <c r="H1087" s="35" t="n">
        <v>0</v>
      </c>
      <c r="I1087" s="34" t="n">
        <f aca="false">+IF(E1087=0,0,E1087*0.03)</f>
        <v>0</v>
      </c>
      <c r="J1087" s="93"/>
      <c r="K1087" s="93"/>
      <c r="L1087" s="93"/>
      <c r="M1087" s="93"/>
      <c r="N1087" s="93"/>
      <c r="O1087" s="93"/>
      <c r="P1087" s="93"/>
      <c r="Q1087" s="93"/>
      <c r="R1087" s="93"/>
      <c r="S1087" s="93"/>
      <c r="T1087" s="93"/>
      <c r="U1087" s="93"/>
      <c r="V1087" s="93"/>
      <c r="W1087" s="93"/>
      <c r="X1087" s="93"/>
      <c r="Y1087" s="93"/>
      <c r="Z1087" s="93"/>
    </row>
    <row r="1088" customFormat="false" ht="16.4" hidden="false" customHeight="false" outlineLevel="0" collapsed="false">
      <c r="A1088" s="123" t="n">
        <v>45444</v>
      </c>
      <c r="B1088" s="31" t="s">
        <v>153</v>
      </c>
      <c r="C1088" s="129"/>
      <c r="D1088" s="129"/>
      <c r="E1088" s="19" t="n">
        <f aca="false">F1088*0.03</f>
        <v>0</v>
      </c>
      <c r="F1088" s="33" t="n">
        <v>0</v>
      </c>
      <c r="G1088" s="131"/>
      <c r="H1088" s="35" t="n">
        <v>0</v>
      </c>
      <c r="I1088" s="34" t="n">
        <f aca="false">+IF(E1088=0,0,E1088*0.03)</f>
        <v>0</v>
      </c>
      <c r="J1088" s="93"/>
      <c r="K1088" s="93"/>
      <c r="L1088" s="93"/>
      <c r="M1088" s="93"/>
      <c r="N1088" s="93"/>
      <c r="O1088" s="93"/>
      <c r="P1088" s="93"/>
      <c r="Q1088" s="93"/>
      <c r="R1088" s="93"/>
      <c r="S1088" s="93"/>
      <c r="T1088" s="93"/>
      <c r="U1088" s="93"/>
      <c r="V1088" s="93"/>
      <c r="W1088" s="93"/>
      <c r="X1088" s="93"/>
      <c r="Y1088" s="93"/>
      <c r="Z1088" s="93"/>
    </row>
    <row r="1089" customFormat="false" ht="16.4" hidden="false" customHeight="false" outlineLevel="0" collapsed="false">
      <c r="A1089" s="123" t="n">
        <v>45444</v>
      </c>
      <c r="B1089" s="31" t="s">
        <v>153</v>
      </c>
      <c r="C1089" s="129"/>
      <c r="D1089" s="129"/>
      <c r="E1089" s="19" t="n">
        <f aca="false">F1089*0.03</f>
        <v>0</v>
      </c>
      <c r="F1089" s="33" t="n">
        <v>0</v>
      </c>
      <c r="G1089" s="131"/>
      <c r="H1089" s="35" t="n">
        <v>0</v>
      </c>
      <c r="I1089" s="34" t="n">
        <f aca="false">+IF(E1089=0,0,E1089*0.03)</f>
        <v>0</v>
      </c>
      <c r="J1089" s="93"/>
      <c r="K1089" s="93"/>
      <c r="L1089" s="93"/>
      <c r="M1089" s="93"/>
      <c r="N1089" s="93"/>
      <c r="O1089" s="93"/>
      <c r="P1089" s="93"/>
      <c r="Q1089" s="93"/>
      <c r="R1089" s="93"/>
      <c r="S1089" s="93"/>
      <c r="T1089" s="93"/>
      <c r="U1089" s="93"/>
      <c r="V1089" s="93"/>
      <c r="W1089" s="93"/>
      <c r="X1089" s="93"/>
      <c r="Y1089" s="93"/>
      <c r="Z1089" s="93"/>
    </row>
    <row r="1090" customFormat="false" ht="16.4" hidden="false" customHeight="false" outlineLevel="0" collapsed="false">
      <c r="A1090" s="123" t="n">
        <v>45444</v>
      </c>
      <c r="B1090" s="31" t="s">
        <v>153</v>
      </c>
      <c r="C1090" s="129"/>
      <c r="D1090" s="129"/>
      <c r="E1090" s="19" t="n">
        <f aca="false">F1090*0.03</f>
        <v>0</v>
      </c>
      <c r="F1090" s="33" t="n">
        <v>0</v>
      </c>
      <c r="G1090" s="131"/>
      <c r="H1090" s="35" t="n">
        <v>0</v>
      </c>
      <c r="I1090" s="34" t="n">
        <f aca="false">+IF(E1090=0,0,E1090*0.03)</f>
        <v>0</v>
      </c>
      <c r="J1090" s="93"/>
      <c r="K1090" s="93"/>
      <c r="L1090" s="93"/>
      <c r="M1090" s="93"/>
      <c r="N1090" s="93"/>
      <c r="O1090" s="93"/>
      <c r="P1090" s="93"/>
      <c r="Q1090" s="93"/>
      <c r="R1090" s="93"/>
      <c r="S1090" s="93"/>
      <c r="T1090" s="93"/>
      <c r="U1090" s="93"/>
      <c r="V1090" s="93"/>
      <c r="W1090" s="93"/>
      <c r="X1090" s="93"/>
      <c r="Y1090" s="93"/>
      <c r="Z1090" s="93"/>
    </row>
    <row r="1091" customFormat="false" ht="16.4" hidden="false" customHeight="false" outlineLevel="0" collapsed="false">
      <c r="A1091" s="123" t="n">
        <v>45444</v>
      </c>
      <c r="B1091" s="31" t="s">
        <v>153</v>
      </c>
      <c r="C1091" s="129"/>
      <c r="D1091" s="129"/>
      <c r="E1091" s="19" t="n">
        <f aca="false">F1091*0.03</f>
        <v>0</v>
      </c>
      <c r="F1091" s="33" t="n">
        <v>0</v>
      </c>
      <c r="G1091" s="131"/>
      <c r="H1091" s="35" t="n">
        <v>0</v>
      </c>
      <c r="I1091" s="34" t="n">
        <f aca="false">+IF(E1091=0,0,E1091*0.03)</f>
        <v>0</v>
      </c>
      <c r="J1091" s="93"/>
      <c r="K1091" s="93"/>
      <c r="L1091" s="93"/>
      <c r="M1091" s="93"/>
      <c r="N1091" s="93"/>
      <c r="O1091" s="93"/>
      <c r="P1091" s="93"/>
      <c r="Q1091" s="93"/>
      <c r="R1091" s="93"/>
      <c r="S1091" s="93"/>
      <c r="T1091" s="93"/>
      <c r="U1091" s="93"/>
      <c r="V1091" s="93"/>
      <c r="W1091" s="93"/>
      <c r="X1091" s="93"/>
      <c r="Y1091" s="93"/>
      <c r="Z1091" s="93"/>
    </row>
    <row r="1092" customFormat="false" ht="16.4" hidden="false" customHeight="false" outlineLevel="0" collapsed="false">
      <c r="A1092" s="123" t="n">
        <v>45444</v>
      </c>
      <c r="B1092" s="31" t="s">
        <v>153</v>
      </c>
      <c r="C1092" s="129"/>
      <c r="D1092" s="129"/>
      <c r="E1092" s="19" t="n">
        <f aca="false">F1092*0.03</f>
        <v>0</v>
      </c>
      <c r="F1092" s="33" t="n">
        <v>0</v>
      </c>
      <c r="G1092" s="131"/>
      <c r="H1092" s="35" t="n">
        <v>0</v>
      </c>
      <c r="I1092" s="34" t="n">
        <f aca="false">+IF(E1092=0,0,E1092*0.03)</f>
        <v>0</v>
      </c>
      <c r="J1092" s="93"/>
      <c r="K1092" s="93"/>
      <c r="L1092" s="93"/>
      <c r="M1092" s="93"/>
      <c r="N1092" s="93"/>
      <c r="O1092" s="93"/>
      <c r="P1092" s="93"/>
      <c r="Q1092" s="93"/>
      <c r="R1092" s="93"/>
      <c r="S1092" s="93"/>
      <c r="T1092" s="93"/>
      <c r="U1092" s="93"/>
      <c r="V1092" s="93"/>
      <c r="W1092" s="93"/>
      <c r="X1092" s="93"/>
      <c r="Y1092" s="93"/>
      <c r="Z1092" s="93"/>
    </row>
    <row r="1093" customFormat="false" ht="16.4" hidden="false" customHeight="false" outlineLevel="0" collapsed="false">
      <c r="A1093" s="123" t="n">
        <v>45444</v>
      </c>
      <c r="B1093" s="31" t="s">
        <v>153</v>
      </c>
      <c r="C1093" s="129"/>
      <c r="D1093" s="129"/>
      <c r="E1093" s="19" t="n">
        <f aca="false">F1093*0.03</f>
        <v>0</v>
      </c>
      <c r="F1093" s="33" t="n">
        <v>0</v>
      </c>
      <c r="G1093" s="131"/>
      <c r="H1093" s="35" t="n">
        <v>0</v>
      </c>
      <c r="I1093" s="34" t="n">
        <f aca="false">+IF(E1093=0,0,E1093*0.03)</f>
        <v>0</v>
      </c>
      <c r="J1093" s="93"/>
      <c r="K1093" s="93"/>
      <c r="L1093" s="93"/>
      <c r="M1093" s="93"/>
      <c r="N1093" s="93"/>
      <c r="O1093" s="93"/>
      <c r="P1093" s="93"/>
      <c r="Q1093" s="93"/>
      <c r="R1093" s="93"/>
      <c r="S1093" s="93"/>
      <c r="T1093" s="93"/>
      <c r="U1093" s="93"/>
      <c r="V1093" s="93"/>
      <c r="W1093" s="93"/>
      <c r="X1093" s="93"/>
      <c r="Y1093" s="93"/>
      <c r="Z1093" s="93"/>
    </row>
    <row r="1094" customFormat="false" ht="16.4" hidden="false" customHeight="false" outlineLevel="0" collapsed="false">
      <c r="A1094" s="123" t="n">
        <v>45444</v>
      </c>
      <c r="B1094" s="31" t="s">
        <v>153</v>
      </c>
      <c r="C1094" s="129"/>
      <c r="D1094" s="129"/>
      <c r="E1094" s="19" t="n">
        <f aca="false">F1094*0.03</f>
        <v>0</v>
      </c>
      <c r="F1094" s="33" t="n">
        <v>0</v>
      </c>
      <c r="G1094" s="131"/>
      <c r="H1094" s="35" t="n">
        <v>0</v>
      </c>
      <c r="I1094" s="34" t="n">
        <f aca="false">+IF(E1094=0,0,E1094*0.03)</f>
        <v>0</v>
      </c>
      <c r="J1094" s="93"/>
      <c r="K1094" s="93"/>
      <c r="L1094" s="93"/>
      <c r="M1094" s="93"/>
      <c r="N1094" s="93"/>
      <c r="O1094" s="93"/>
      <c r="P1094" s="93"/>
      <c r="Q1094" s="93"/>
      <c r="R1094" s="93"/>
      <c r="S1094" s="93"/>
      <c r="T1094" s="93"/>
      <c r="U1094" s="93"/>
      <c r="V1094" s="93"/>
      <c r="W1094" s="93"/>
      <c r="X1094" s="93"/>
      <c r="Y1094" s="93"/>
      <c r="Z1094" s="93"/>
    </row>
    <row r="1095" customFormat="false" ht="16.4" hidden="false" customHeight="false" outlineLevel="0" collapsed="false">
      <c r="A1095" s="123" t="n">
        <v>45444</v>
      </c>
      <c r="B1095" s="31" t="s">
        <v>153</v>
      </c>
      <c r="C1095" s="129"/>
      <c r="D1095" s="129"/>
      <c r="E1095" s="19" t="n">
        <f aca="false">F1095*0.03</f>
        <v>0</v>
      </c>
      <c r="F1095" s="33" t="n">
        <v>0</v>
      </c>
      <c r="G1095" s="131"/>
      <c r="H1095" s="35" t="n">
        <v>0</v>
      </c>
      <c r="I1095" s="34" t="n">
        <f aca="false">+IF(E1095=0,0,E1095*0.03)</f>
        <v>0</v>
      </c>
      <c r="J1095" s="93"/>
      <c r="K1095" s="93"/>
      <c r="L1095" s="93"/>
      <c r="M1095" s="93"/>
      <c r="N1095" s="93"/>
      <c r="O1095" s="93"/>
      <c r="P1095" s="93"/>
      <c r="Q1095" s="93"/>
      <c r="R1095" s="93"/>
      <c r="S1095" s="93"/>
      <c r="T1095" s="93"/>
      <c r="U1095" s="93"/>
      <c r="V1095" s="93"/>
      <c r="W1095" s="93"/>
      <c r="X1095" s="93"/>
      <c r="Y1095" s="93"/>
      <c r="Z1095" s="93"/>
    </row>
    <row r="1096" customFormat="false" ht="16.4" hidden="false" customHeight="false" outlineLevel="0" collapsed="false">
      <c r="A1096" s="123" t="n">
        <v>45444</v>
      </c>
      <c r="B1096" s="31" t="s">
        <v>153</v>
      </c>
      <c r="C1096" s="129"/>
      <c r="D1096" s="129"/>
      <c r="E1096" s="19" t="n">
        <f aca="false">F1096*0.03</f>
        <v>0</v>
      </c>
      <c r="F1096" s="33" t="n">
        <v>0</v>
      </c>
      <c r="G1096" s="131"/>
      <c r="H1096" s="35" t="n">
        <v>0</v>
      </c>
      <c r="I1096" s="34" t="n">
        <f aca="false">+IF(E1096=0,0,E1096*0.03)</f>
        <v>0</v>
      </c>
      <c r="J1096" s="93"/>
      <c r="K1096" s="93"/>
      <c r="L1096" s="93"/>
      <c r="M1096" s="93"/>
      <c r="N1096" s="93"/>
      <c r="O1096" s="93"/>
      <c r="P1096" s="93"/>
      <c r="Q1096" s="93"/>
      <c r="R1096" s="93"/>
      <c r="S1096" s="93"/>
      <c r="T1096" s="93"/>
      <c r="U1096" s="93"/>
      <c r="V1096" s="93"/>
      <c r="W1096" s="93"/>
      <c r="X1096" s="93"/>
      <c r="Y1096" s="93"/>
      <c r="Z1096" s="93"/>
    </row>
    <row r="1097" customFormat="false" ht="16.4" hidden="false" customHeight="false" outlineLevel="0" collapsed="false">
      <c r="A1097" s="123" t="n">
        <v>45444</v>
      </c>
      <c r="B1097" s="31" t="s">
        <v>153</v>
      </c>
      <c r="C1097" s="129"/>
      <c r="D1097" s="129"/>
      <c r="E1097" s="19" t="n">
        <f aca="false">F1097*0.03</f>
        <v>0</v>
      </c>
      <c r="F1097" s="33" t="n">
        <v>0</v>
      </c>
      <c r="G1097" s="131"/>
      <c r="H1097" s="35" t="n">
        <v>0</v>
      </c>
      <c r="I1097" s="34" t="n">
        <f aca="false">+IF(E1097=0,0,E1097*0.03)</f>
        <v>0</v>
      </c>
      <c r="J1097" s="93"/>
      <c r="K1097" s="93"/>
      <c r="L1097" s="93"/>
      <c r="M1097" s="93"/>
      <c r="N1097" s="93"/>
      <c r="O1097" s="93"/>
      <c r="P1097" s="93"/>
      <c r="Q1097" s="93"/>
      <c r="R1097" s="93"/>
      <c r="S1097" s="93"/>
      <c r="T1097" s="93"/>
      <c r="U1097" s="93"/>
      <c r="V1097" s="93"/>
      <c r="W1097" s="93"/>
      <c r="X1097" s="93"/>
      <c r="Y1097" s="93"/>
      <c r="Z1097" s="93"/>
    </row>
    <row r="1098" customFormat="false" ht="16.4" hidden="false" customHeight="false" outlineLevel="0" collapsed="false">
      <c r="A1098" s="123" t="n">
        <v>45444</v>
      </c>
      <c r="B1098" s="31" t="s">
        <v>153</v>
      </c>
      <c r="C1098" s="129"/>
      <c r="D1098" s="129"/>
      <c r="E1098" s="19" t="n">
        <f aca="false">F1098*0.03</f>
        <v>0</v>
      </c>
      <c r="F1098" s="33" t="n">
        <v>0</v>
      </c>
      <c r="G1098" s="131"/>
      <c r="H1098" s="35" t="n">
        <v>0</v>
      </c>
      <c r="I1098" s="34" t="n">
        <f aca="false">+IF(E1098=0,0,E1098*0.03)</f>
        <v>0</v>
      </c>
      <c r="J1098" s="93"/>
      <c r="K1098" s="93"/>
      <c r="L1098" s="93"/>
      <c r="M1098" s="93"/>
      <c r="N1098" s="93"/>
      <c r="O1098" s="93"/>
      <c r="P1098" s="93"/>
      <c r="Q1098" s="93"/>
      <c r="R1098" s="93"/>
      <c r="S1098" s="93"/>
      <c r="T1098" s="93"/>
      <c r="U1098" s="93"/>
      <c r="V1098" s="93"/>
      <c r="W1098" s="93"/>
      <c r="X1098" s="93"/>
      <c r="Y1098" s="93"/>
      <c r="Z1098" s="93"/>
    </row>
    <row r="1099" customFormat="false" ht="16.4" hidden="false" customHeight="false" outlineLevel="0" collapsed="false">
      <c r="A1099" s="123" t="n">
        <v>45444</v>
      </c>
      <c r="B1099" s="31" t="s">
        <v>153</v>
      </c>
      <c r="C1099" s="129"/>
      <c r="D1099" s="129"/>
      <c r="E1099" s="19" t="n">
        <f aca="false">F1099*0.03</f>
        <v>0</v>
      </c>
      <c r="F1099" s="33" t="n">
        <v>0</v>
      </c>
      <c r="G1099" s="131"/>
      <c r="H1099" s="35" t="n">
        <v>0</v>
      </c>
      <c r="I1099" s="34" t="n">
        <f aca="false">+IF(E1099=0,0,E1099*0.03)</f>
        <v>0</v>
      </c>
      <c r="J1099" s="93"/>
      <c r="K1099" s="93"/>
      <c r="L1099" s="93"/>
      <c r="M1099" s="93"/>
      <c r="N1099" s="93"/>
      <c r="O1099" s="93"/>
      <c r="P1099" s="93"/>
      <c r="Q1099" s="93"/>
      <c r="R1099" s="93"/>
      <c r="S1099" s="93"/>
      <c r="T1099" s="93"/>
      <c r="U1099" s="93"/>
      <c r="V1099" s="93"/>
      <c r="W1099" s="93"/>
      <c r="X1099" s="93"/>
      <c r="Y1099" s="93"/>
      <c r="Z1099" s="93"/>
    </row>
    <row r="1100" customFormat="false" ht="16.4" hidden="false" customHeight="false" outlineLevel="0" collapsed="false">
      <c r="A1100" s="123" t="n">
        <v>45444</v>
      </c>
      <c r="B1100" s="31" t="s">
        <v>153</v>
      </c>
      <c r="C1100" s="129"/>
      <c r="D1100" s="129"/>
      <c r="E1100" s="19" t="n">
        <f aca="false">F1100*0.03</f>
        <v>0</v>
      </c>
      <c r="F1100" s="33" t="n">
        <v>0</v>
      </c>
      <c r="G1100" s="131"/>
      <c r="H1100" s="35" t="n">
        <v>0</v>
      </c>
      <c r="I1100" s="34" t="n">
        <f aca="false">+IF(E1100=0,0,E1100*0.03)</f>
        <v>0</v>
      </c>
      <c r="J1100" s="93"/>
      <c r="K1100" s="93"/>
      <c r="L1100" s="93"/>
      <c r="M1100" s="93"/>
      <c r="N1100" s="93"/>
      <c r="O1100" s="93"/>
      <c r="P1100" s="93"/>
      <c r="Q1100" s="93"/>
      <c r="R1100" s="93"/>
      <c r="S1100" s="93"/>
      <c r="T1100" s="93"/>
      <c r="U1100" s="93"/>
      <c r="V1100" s="93"/>
      <c r="W1100" s="93"/>
      <c r="X1100" s="93"/>
      <c r="Y1100" s="93"/>
      <c r="Z1100" s="93"/>
    </row>
    <row r="1101" customFormat="false" ht="16.4" hidden="false" customHeight="false" outlineLevel="0" collapsed="false">
      <c r="A1101" s="123" t="n">
        <v>45444</v>
      </c>
      <c r="B1101" s="31" t="s">
        <v>153</v>
      </c>
      <c r="C1101" s="129"/>
      <c r="D1101" s="129"/>
      <c r="E1101" s="19" t="n">
        <f aca="false">F1101*0.03</f>
        <v>0</v>
      </c>
      <c r="F1101" s="33" t="n">
        <v>0</v>
      </c>
      <c r="G1101" s="131"/>
      <c r="H1101" s="35" t="n">
        <v>0</v>
      </c>
      <c r="I1101" s="34" t="n">
        <f aca="false">+IF(E1101=0,0,E1101*0.03)</f>
        <v>0</v>
      </c>
      <c r="J1101" s="93"/>
      <c r="K1101" s="93"/>
      <c r="L1101" s="93"/>
      <c r="M1101" s="93"/>
      <c r="N1101" s="93"/>
      <c r="O1101" s="93"/>
      <c r="P1101" s="93"/>
      <c r="Q1101" s="93"/>
      <c r="R1101" s="93"/>
      <c r="S1101" s="93"/>
      <c r="T1101" s="93"/>
      <c r="U1101" s="93"/>
      <c r="V1101" s="93"/>
      <c r="W1101" s="93"/>
      <c r="X1101" s="93"/>
      <c r="Y1101" s="93"/>
      <c r="Z1101" s="93"/>
    </row>
    <row r="1102" customFormat="false" ht="16.4" hidden="false" customHeight="false" outlineLevel="0" collapsed="false">
      <c r="A1102" s="123" t="n">
        <v>45444</v>
      </c>
      <c r="B1102" s="31" t="s">
        <v>153</v>
      </c>
      <c r="C1102" s="129"/>
      <c r="D1102" s="129"/>
      <c r="E1102" s="19" t="n">
        <f aca="false">F1102*0.03</f>
        <v>0</v>
      </c>
      <c r="F1102" s="33" t="n">
        <v>0</v>
      </c>
      <c r="G1102" s="131"/>
      <c r="H1102" s="35" t="n">
        <v>0</v>
      </c>
      <c r="I1102" s="34" t="n">
        <f aca="false">+IF(E1102=0,0,E1102*0.03)</f>
        <v>0</v>
      </c>
      <c r="J1102" s="93"/>
      <c r="K1102" s="93"/>
      <c r="L1102" s="93"/>
      <c r="M1102" s="93"/>
      <c r="N1102" s="93"/>
      <c r="O1102" s="93"/>
      <c r="P1102" s="93"/>
      <c r="Q1102" s="93"/>
      <c r="R1102" s="93"/>
      <c r="S1102" s="93"/>
      <c r="T1102" s="93"/>
      <c r="U1102" s="93"/>
      <c r="V1102" s="93"/>
      <c r="W1102" s="93"/>
      <c r="X1102" s="93"/>
      <c r="Y1102" s="93"/>
      <c r="Z1102" s="93"/>
    </row>
    <row r="1103" customFormat="false" ht="16.4" hidden="false" customHeight="false" outlineLevel="0" collapsed="false">
      <c r="A1103" s="123" t="n">
        <v>45444</v>
      </c>
      <c r="B1103" s="31" t="s">
        <v>153</v>
      </c>
      <c r="C1103" s="129"/>
      <c r="D1103" s="129"/>
      <c r="E1103" s="19" t="n">
        <f aca="false">F1103*0.03</f>
        <v>0</v>
      </c>
      <c r="F1103" s="33" t="n">
        <v>0</v>
      </c>
      <c r="G1103" s="131"/>
      <c r="H1103" s="35" t="n">
        <v>0</v>
      </c>
      <c r="I1103" s="34" t="n">
        <f aca="false">+IF(E1103=0,0,E1103*0.03)</f>
        <v>0</v>
      </c>
      <c r="J1103" s="93"/>
      <c r="K1103" s="93"/>
      <c r="L1103" s="93"/>
      <c r="M1103" s="93"/>
      <c r="N1103" s="93"/>
      <c r="O1103" s="93"/>
      <c r="P1103" s="93"/>
      <c r="Q1103" s="93"/>
      <c r="R1103" s="93"/>
      <c r="S1103" s="93"/>
      <c r="T1103" s="93"/>
      <c r="U1103" s="93"/>
      <c r="V1103" s="93"/>
      <c r="W1103" s="93"/>
      <c r="X1103" s="93"/>
      <c r="Y1103" s="93"/>
      <c r="Z1103" s="93"/>
    </row>
    <row r="1104" customFormat="false" ht="16.4" hidden="false" customHeight="false" outlineLevel="0" collapsed="false">
      <c r="A1104" s="123" t="n">
        <v>45444</v>
      </c>
      <c r="B1104" s="31" t="s">
        <v>153</v>
      </c>
      <c r="C1104" s="129"/>
      <c r="D1104" s="129"/>
      <c r="E1104" s="19" t="n">
        <f aca="false">F1104*0.03</f>
        <v>0</v>
      </c>
      <c r="F1104" s="33" t="n">
        <v>0</v>
      </c>
      <c r="G1104" s="131"/>
      <c r="H1104" s="35" t="n">
        <v>0</v>
      </c>
      <c r="I1104" s="34" t="n">
        <f aca="false">+IF(E1104=0,0,E1104*0.03)</f>
        <v>0</v>
      </c>
      <c r="J1104" s="93"/>
      <c r="K1104" s="93"/>
      <c r="L1104" s="93"/>
      <c r="M1104" s="93"/>
      <c r="N1104" s="93"/>
      <c r="O1104" s="93"/>
      <c r="P1104" s="93"/>
      <c r="Q1104" s="93"/>
      <c r="R1104" s="93"/>
      <c r="S1104" s="93"/>
      <c r="T1104" s="93"/>
      <c r="U1104" s="93"/>
      <c r="V1104" s="93"/>
      <c r="W1104" s="93"/>
      <c r="X1104" s="93"/>
      <c r="Y1104" s="93"/>
      <c r="Z1104" s="93"/>
    </row>
    <row r="1105" customFormat="false" ht="16.4" hidden="false" customHeight="false" outlineLevel="0" collapsed="false">
      <c r="A1105" s="123" t="n">
        <v>45444</v>
      </c>
      <c r="B1105" s="31" t="s">
        <v>153</v>
      </c>
      <c r="C1105" s="129"/>
      <c r="D1105" s="129"/>
      <c r="E1105" s="19" t="n">
        <f aca="false">F1105*0.03</f>
        <v>0</v>
      </c>
      <c r="F1105" s="33" t="n">
        <v>0</v>
      </c>
      <c r="G1105" s="131"/>
      <c r="H1105" s="35" t="n">
        <v>0</v>
      </c>
      <c r="I1105" s="34" t="n">
        <f aca="false">+IF(E1105=0,0,E1105*0.03)</f>
        <v>0</v>
      </c>
      <c r="J1105" s="93"/>
      <c r="K1105" s="93"/>
      <c r="L1105" s="93"/>
      <c r="M1105" s="93"/>
      <c r="N1105" s="93"/>
      <c r="O1105" s="93"/>
      <c r="P1105" s="93"/>
      <c r="Q1105" s="93"/>
      <c r="R1105" s="93"/>
      <c r="S1105" s="93"/>
      <c r="T1105" s="93"/>
      <c r="U1105" s="93"/>
      <c r="V1105" s="93"/>
      <c r="W1105" s="93"/>
      <c r="X1105" s="93"/>
      <c r="Y1105" s="93"/>
      <c r="Z1105" s="93"/>
    </row>
    <row r="1106" customFormat="false" ht="16.4" hidden="false" customHeight="false" outlineLevel="0" collapsed="false">
      <c r="A1106" s="123" t="n">
        <v>45444</v>
      </c>
      <c r="B1106" s="31" t="s">
        <v>153</v>
      </c>
      <c r="C1106" s="129"/>
      <c r="D1106" s="129"/>
      <c r="E1106" s="19" t="n">
        <f aca="false">F1106*0.03</f>
        <v>0</v>
      </c>
      <c r="F1106" s="33" t="n">
        <v>0</v>
      </c>
      <c r="G1106" s="131"/>
      <c r="H1106" s="35" t="n">
        <v>0</v>
      </c>
      <c r="I1106" s="34" t="n">
        <f aca="false">+IF(E1106=0,0,E1106*0.03)</f>
        <v>0</v>
      </c>
      <c r="J1106" s="93"/>
      <c r="K1106" s="93"/>
      <c r="L1106" s="93"/>
      <c r="M1106" s="93"/>
      <c r="N1106" s="93"/>
      <c r="O1106" s="93"/>
      <c r="P1106" s="93"/>
      <c r="Q1106" s="93"/>
      <c r="R1106" s="93"/>
      <c r="S1106" s="93"/>
      <c r="T1106" s="93"/>
      <c r="U1106" s="93"/>
      <c r="V1106" s="93"/>
      <c r="W1106" s="93"/>
      <c r="X1106" s="93"/>
      <c r="Y1106" s="93"/>
      <c r="Z1106" s="93"/>
    </row>
    <row r="1107" customFormat="false" ht="16.4" hidden="false" customHeight="false" outlineLevel="0" collapsed="false">
      <c r="A1107" s="123" t="n">
        <v>45444</v>
      </c>
      <c r="B1107" s="31" t="s">
        <v>153</v>
      </c>
      <c r="C1107" s="129"/>
      <c r="D1107" s="129"/>
      <c r="E1107" s="19" t="n">
        <f aca="false">F1107*0.03</f>
        <v>0</v>
      </c>
      <c r="F1107" s="33" t="n">
        <v>0</v>
      </c>
      <c r="G1107" s="131"/>
      <c r="H1107" s="35" t="n">
        <v>0</v>
      </c>
      <c r="I1107" s="34" t="n">
        <f aca="false">+IF(E1107=0,0,E1107*0.03)</f>
        <v>0</v>
      </c>
      <c r="J1107" s="93"/>
      <c r="K1107" s="93"/>
      <c r="L1107" s="93"/>
      <c r="M1107" s="93"/>
      <c r="N1107" s="93"/>
      <c r="O1107" s="93"/>
      <c r="P1107" s="93"/>
      <c r="Q1107" s="93"/>
      <c r="R1107" s="93"/>
      <c r="S1107" s="93"/>
      <c r="T1107" s="93"/>
      <c r="U1107" s="93"/>
      <c r="V1107" s="93"/>
      <c r="W1107" s="93"/>
      <c r="X1107" s="93"/>
      <c r="Y1107" s="93"/>
      <c r="Z1107" s="93"/>
    </row>
    <row r="1108" customFormat="false" ht="16.4" hidden="false" customHeight="false" outlineLevel="0" collapsed="false">
      <c r="A1108" s="123" t="n">
        <v>45444</v>
      </c>
      <c r="B1108" s="31" t="s">
        <v>153</v>
      </c>
      <c r="C1108" s="129"/>
      <c r="D1108" s="129"/>
      <c r="E1108" s="19" t="n">
        <f aca="false">F1108*0.03</f>
        <v>0</v>
      </c>
      <c r="F1108" s="33" t="n">
        <v>0</v>
      </c>
      <c r="G1108" s="131"/>
      <c r="H1108" s="35" t="n">
        <v>0</v>
      </c>
      <c r="I1108" s="34" t="n">
        <f aca="false">+IF(E1108=0,0,E1108*0.03)</f>
        <v>0</v>
      </c>
      <c r="J1108" s="93"/>
      <c r="K1108" s="93"/>
      <c r="L1108" s="93"/>
      <c r="M1108" s="93"/>
      <c r="N1108" s="93"/>
      <c r="O1108" s="93"/>
      <c r="P1108" s="93"/>
      <c r="Q1108" s="93"/>
      <c r="R1108" s="93"/>
      <c r="S1108" s="93"/>
      <c r="T1108" s="93"/>
      <c r="U1108" s="93"/>
      <c r="V1108" s="93"/>
      <c r="W1108" s="93"/>
      <c r="X1108" s="93"/>
      <c r="Y1108" s="93"/>
      <c r="Z1108" s="93"/>
    </row>
    <row r="1109" customFormat="false" ht="16.4" hidden="false" customHeight="false" outlineLevel="0" collapsed="false">
      <c r="A1109" s="123" t="n">
        <v>45444</v>
      </c>
      <c r="B1109" s="31" t="s">
        <v>153</v>
      </c>
      <c r="C1109" s="129"/>
      <c r="D1109" s="129"/>
      <c r="E1109" s="19" t="n">
        <f aca="false">F1109*0.03</f>
        <v>0</v>
      </c>
      <c r="F1109" s="33" t="n">
        <v>0</v>
      </c>
      <c r="G1109" s="131"/>
      <c r="H1109" s="35" t="n">
        <v>0</v>
      </c>
      <c r="I1109" s="34" t="n">
        <f aca="false">+IF(E1109=0,0,E1109*0.03)</f>
        <v>0</v>
      </c>
      <c r="J1109" s="93"/>
      <c r="K1109" s="93"/>
      <c r="L1109" s="93"/>
      <c r="M1109" s="93"/>
      <c r="N1109" s="93"/>
      <c r="O1109" s="93"/>
      <c r="P1109" s="93"/>
      <c r="Q1109" s="93"/>
      <c r="R1109" s="93"/>
      <c r="S1109" s="93"/>
      <c r="T1109" s="93"/>
      <c r="U1109" s="93"/>
      <c r="V1109" s="93"/>
      <c r="W1109" s="93"/>
      <c r="X1109" s="93"/>
      <c r="Y1109" s="93"/>
      <c r="Z1109" s="93"/>
    </row>
    <row r="1110" customFormat="false" ht="16.4" hidden="false" customHeight="false" outlineLevel="0" collapsed="false">
      <c r="A1110" s="123" t="n">
        <v>45444</v>
      </c>
      <c r="B1110" s="31" t="s">
        <v>153</v>
      </c>
      <c r="C1110" s="129"/>
      <c r="D1110" s="129"/>
      <c r="E1110" s="19" t="n">
        <f aca="false">F1110*0.03</f>
        <v>0</v>
      </c>
      <c r="F1110" s="33" t="n">
        <v>0</v>
      </c>
      <c r="G1110" s="131"/>
      <c r="H1110" s="35" t="n">
        <v>0</v>
      </c>
      <c r="I1110" s="34" t="n">
        <f aca="false">+IF(E1110=0,0,E1110*0.03)</f>
        <v>0</v>
      </c>
      <c r="J1110" s="93"/>
      <c r="K1110" s="93"/>
      <c r="L1110" s="93"/>
      <c r="M1110" s="93"/>
      <c r="N1110" s="93"/>
      <c r="O1110" s="93"/>
      <c r="P1110" s="93"/>
      <c r="Q1110" s="93"/>
      <c r="R1110" s="93"/>
      <c r="S1110" s="93"/>
      <c r="T1110" s="93"/>
      <c r="U1110" s="93"/>
      <c r="V1110" s="93"/>
      <c r="W1110" s="93"/>
      <c r="X1110" s="93"/>
      <c r="Y1110" s="93"/>
      <c r="Z1110" s="93"/>
    </row>
    <row r="1111" customFormat="false" ht="16.4" hidden="false" customHeight="false" outlineLevel="0" collapsed="false">
      <c r="A1111" s="123" t="n">
        <v>45444</v>
      </c>
      <c r="B1111" s="31" t="s">
        <v>153</v>
      </c>
      <c r="C1111" s="129"/>
      <c r="D1111" s="129"/>
      <c r="E1111" s="19" t="n">
        <f aca="false">F1111*0.03</f>
        <v>0</v>
      </c>
      <c r="F1111" s="33" t="n">
        <v>0</v>
      </c>
      <c r="G1111" s="131"/>
      <c r="H1111" s="35" t="n">
        <v>0</v>
      </c>
      <c r="I1111" s="34" t="n">
        <f aca="false">+IF(E1111=0,0,E1111*0.03)</f>
        <v>0</v>
      </c>
      <c r="J1111" s="93"/>
      <c r="K1111" s="93"/>
      <c r="L1111" s="93"/>
      <c r="M1111" s="93"/>
      <c r="N1111" s="93"/>
      <c r="O1111" s="93"/>
      <c r="P1111" s="93"/>
      <c r="Q1111" s="93"/>
      <c r="R1111" s="93"/>
      <c r="S1111" s="93"/>
      <c r="T1111" s="93"/>
      <c r="U1111" s="93"/>
      <c r="V1111" s="93"/>
      <c r="W1111" s="93"/>
      <c r="X1111" s="93"/>
      <c r="Y1111" s="93"/>
      <c r="Z1111" s="93"/>
    </row>
    <row r="1112" customFormat="false" ht="16.4" hidden="false" customHeight="false" outlineLevel="0" collapsed="false">
      <c r="A1112" s="123" t="n">
        <v>45444</v>
      </c>
      <c r="B1112" s="31" t="s">
        <v>153</v>
      </c>
      <c r="C1112" s="129"/>
      <c r="D1112" s="129"/>
      <c r="E1112" s="19" t="n">
        <f aca="false">F1112*0.03</f>
        <v>0</v>
      </c>
      <c r="F1112" s="33" t="n">
        <v>0</v>
      </c>
      <c r="G1112" s="131"/>
      <c r="H1112" s="35" t="n">
        <v>0</v>
      </c>
      <c r="I1112" s="34" t="n">
        <f aca="false">+IF(E1112=0,0,E1112*0.03)</f>
        <v>0</v>
      </c>
      <c r="J1112" s="93"/>
      <c r="K1112" s="93"/>
      <c r="L1112" s="93"/>
      <c r="M1112" s="93"/>
      <c r="N1112" s="93"/>
      <c r="O1112" s="93"/>
      <c r="P1112" s="93"/>
      <c r="Q1112" s="93"/>
      <c r="R1112" s="93"/>
      <c r="S1112" s="93"/>
      <c r="T1112" s="93"/>
      <c r="U1112" s="93"/>
      <c r="V1112" s="93"/>
      <c r="W1112" s="93"/>
      <c r="X1112" s="93"/>
      <c r="Y1112" s="93"/>
      <c r="Z1112" s="93"/>
    </row>
    <row r="1113" customFormat="false" ht="16.4" hidden="false" customHeight="false" outlineLevel="0" collapsed="false">
      <c r="A1113" s="123" t="n">
        <v>45444</v>
      </c>
      <c r="B1113" s="31" t="s">
        <v>153</v>
      </c>
      <c r="C1113" s="129"/>
      <c r="D1113" s="129"/>
      <c r="E1113" s="19" t="n">
        <f aca="false">F1113*0.03</f>
        <v>0</v>
      </c>
      <c r="F1113" s="33" t="n">
        <v>0</v>
      </c>
      <c r="G1113" s="131"/>
      <c r="H1113" s="35" t="n">
        <v>0</v>
      </c>
      <c r="I1113" s="34" t="n">
        <f aca="false">+IF(E1113=0,0,E1113*0.03)</f>
        <v>0</v>
      </c>
      <c r="J1113" s="93"/>
      <c r="K1113" s="93"/>
      <c r="L1113" s="93"/>
      <c r="M1113" s="93"/>
      <c r="N1113" s="93"/>
      <c r="O1113" s="93"/>
      <c r="P1113" s="93"/>
      <c r="Q1113" s="93"/>
      <c r="R1113" s="93"/>
      <c r="S1113" s="93"/>
      <c r="T1113" s="93"/>
      <c r="U1113" s="93"/>
      <c r="V1113" s="93"/>
      <c r="W1113" s="93"/>
      <c r="X1113" s="93"/>
      <c r="Y1113" s="93"/>
      <c r="Z1113" s="93"/>
    </row>
    <row r="1114" customFormat="false" ht="16.4" hidden="false" customHeight="false" outlineLevel="0" collapsed="false">
      <c r="A1114" s="123" t="n">
        <v>45444</v>
      </c>
      <c r="B1114" s="31" t="s">
        <v>153</v>
      </c>
      <c r="C1114" s="129"/>
      <c r="D1114" s="129"/>
      <c r="E1114" s="19" t="n">
        <f aca="false">F1114*0.03</f>
        <v>0</v>
      </c>
      <c r="F1114" s="33" t="n">
        <v>0</v>
      </c>
      <c r="G1114" s="131"/>
      <c r="H1114" s="35" t="n">
        <v>0</v>
      </c>
      <c r="I1114" s="34" t="n">
        <f aca="false">+IF(E1114=0,0,E1114*0.03)</f>
        <v>0</v>
      </c>
      <c r="J1114" s="93"/>
      <c r="K1114" s="93"/>
      <c r="L1114" s="93"/>
      <c r="M1114" s="93"/>
      <c r="N1114" s="93"/>
      <c r="O1114" s="93"/>
      <c r="P1114" s="93"/>
      <c r="Q1114" s="93"/>
      <c r="R1114" s="93"/>
      <c r="S1114" s="93"/>
      <c r="T1114" s="93"/>
      <c r="U1114" s="93"/>
      <c r="V1114" s="93"/>
      <c r="W1114" s="93"/>
      <c r="X1114" s="93"/>
      <c r="Y1114" s="93"/>
      <c r="Z1114" s="93"/>
    </row>
    <row r="1115" customFormat="false" ht="16.4" hidden="false" customHeight="false" outlineLevel="0" collapsed="false">
      <c r="A1115" s="123" t="n">
        <v>45444</v>
      </c>
      <c r="B1115" s="31" t="s">
        <v>153</v>
      </c>
      <c r="C1115" s="129"/>
      <c r="D1115" s="129"/>
      <c r="E1115" s="19" t="n">
        <f aca="false">F1115*0.03</f>
        <v>0</v>
      </c>
      <c r="F1115" s="33" t="n">
        <v>0</v>
      </c>
      <c r="G1115" s="131"/>
      <c r="H1115" s="35" t="n">
        <v>0</v>
      </c>
      <c r="I1115" s="34" t="n">
        <f aca="false">+IF(E1115=0,0,E1115*0.03)</f>
        <v>0</v>
      </c>
      <c r="J1115" s="93"/>
      <c r="K1115" s="93"/>
      <c r="L1115" s="93"/>
      <c r="M1115" s="93"/>
      <c r="N1115" s="93"/>
      <c r="O1115" s="93"/>
      <c r="P1115" s="93"/>
      <c r="Q1115" s="93"/>
      <c r="R1115" s="93"/>
      <c r="S1115" s="93"/>
      <c r="T1115" s="93"/>
      <c r="U1115" s="93"/>
      <c r="V1115" s="93"/>
      <c r="W1115" s="93"/>
      <c r="X1115" s="93"/>
      <c r="Y1115" s="93"/>
      <c r="Z1115" s="93"/>
    </row>
    <row r="1116" customFormat="false" ht="16.4" hidden="false" customHeight="false" outlineLevel="0" collapsed="false">
      <c r="A1116" s="123" t="n">
        <v>45444</v>
      </c>
      <c r="B1116" s="31" t="s">
        <v>153</v>
      </c>
      <c r="C1116" s="129"/>
      <c r="D1116" s="129"/>
      <c r="E1116" s="19" t="n">
        <f aca="false">F1116*0.03</f>
        <v>0</v>
      </c>
      <c r="F1116" s="33" t="n">
        <v>0</v>
      </c>
      <c r="G1116" s="131"/>
      <c r="H1116" s="35" t="n">
        <v>0</v>
      </c>
      <c r="I1116" s="34" t="n">
        <f aca="false">+IF(E1116=0,0,E1116*0.03)</f>
        <v>0</v>
      </c>
      <c r="J1116" s="93"/>
      <c r="K1116" s="93"/>
      <c r="L1116" s="93"/>
      <c r="M1116" s="93"/>
      <c r="N1116" s="93"/>
      <c r="O1116" s="93"/>
      <c r="P1116" s="93"/>
      <c r="Q1116" s="93"/>
      <c r="R1116" s="93"/>
      <c r="S1116" s="93"/>
      <c r="T1116" s="93"/>
      <c r="U1116" s="93"/>
      <c r="V1116" s="93"/>
      <c r="W1116" s="93"/>
      <c r="X1116" s="93"/>
      <c r="Y1116" s="93"/>
      <c r="Z1116" s="93"/>
    </row>
    <row r="1117" customFormat="false" ht="16.4" hidden="false" customHeight="false" outlineLevel="0" collapsed="false">
      <c r="A1117" s="123" t="n">
        <v>45444</v>
      </c>
      <c r="B1117" s="31" t="s">
        <v>153</v>
      </c>
      <c r="C1117" s="129"/>
      <c r="D1117" s="129"/>
      <c r="E1117" s="19" t="n">
        <f aca="false">F1117*0.03</f>
        <v>0</v>
      </c>
      <c r="F1117" s="33" t="n">
        <v>0</v>
      </c>
      <c r="G1117" s="131"/>
      <c r="H1117" s="35" t="n">
        <v>0</v>
      </c>
      <c r="I1117" s="34" t="n">
        <f aca="false">+IF(E1117=0,0,E1117*0.03)</f>
        <v>0</v>
      </c>
      <c r="J1117" s="93"/>
      <c r="K1117" s="93"/>
      <c r="L1117" s="93"/>
      <c r="M1117" s="93"/>
      <c r="N1117" s="93"/>
      <c r="O1117" s="93"/>
      <c r="P1117" s="93"/>
      <c r="Q1117" s="93"/>
      <c r="R1117" s="93"/>
      <c r="S1117" s="93"/>
      <c r="T1117" s="93"/>
      <c r="U1117" s="93"/>
      <c r="V1117" s="93"/>
      <c r="W1117" s="93"/>
      <c r="X1117" s="93"/>
      <c r="Y1117" s="93"/>
      <c r="Z1117" s="93"/>
    </row>
    <row r="1118" customFormat="false" ht="16.4" hidden="false" customHeight="false" outlineLevel="0" collapsed="false">
      <c r="A1118" s="123" t="n">
        <v>45444</v>
      </c>
      <c r="B1118" s="31" t="s">
        <v>153</v>
      </c>
      <c r="C1118" s="129"/>
      <c r="D1118" s="129"/>
      <c r="E1118" s="19" t="n">
        <f aca="false">F1118*0.03</f>
        <v>0</v>
      </c>
      <c r="F1118" s="33" t="n">
        <v>0</v>
      </c>
      <c r="G1118" s="131"/>
      <c r="H1118" s="35" t="n">
        <v>0</v>
      </c>
      <c r="I1118" s="34" t="n">
        <f aca="false">+IF(E1118=0,0,E1118*0.03)</f>
        <v>0</v>
      </c>
      <c r="J1118" s="93"/>
      <c r="K1118" s="93"/>
      <c r="L1118" s="93"/>
      <c r="M1118" s="93"/>
      <c r="N1118" s="93"/>
      <c r="O1118" s="93"/>
      <c r="P1118" s="93"/>
      <c r="Q1118" s="93"/>
      <c r="R1118" s="93"/>
      <c r="S1118" s="93"/>
      <c r="T1118" s="93"/>
      <c r="U1118" s="93"/>
      <c r="V1118" s="93"/>
      <c r="W1118" s="93"/>
      <c r="X1118" s="93"/>
      <c r="Y1118" s="93"/>
      <c r="Z1118" s="93"/>
    </row>
    <row r="1119" customFormat="false" ht="16.4" hidden="false" customHeight="false" outlineLevel="0" collapsed="false">
      <c r="A1119" s="123" t="n">
        <v>45444</v>
      </c>
      <c r="B1119" s="31" t="s">
        <v>153</v>
      </c>
      <c r="C1119" s="129"/>
      <c r="D1119" s="129"/>
      <c r="E1119" s="19" t="n">
        <f aca="false">F1119*0.03</f>
        <v>0</v>
      </c>
      <c r="F1119" s="33" t="n">
        <v>0</v>
      </c>
      <c r="G1119" s="131"/>
      <c r="H1119" s="35" t="n">
        <v>0</v>
      </c>
      <c r="I1119" s="34" t="n">
        <f aca="false">+IF(E1119=0,0,E1119*0.03)</f>
        <v>0</v>
      </c>
      <c r="J1119" s="93"/>
      <c r="K1119" s="93"/>
      <c r="L1119" s="93"/>
      <c r="M1119" s="93"/>
      <c r="N1119" s="93"/>
      <c r="O1119" s="93"/>
      <c r="P1119" s="93"/>
      <c r="Q1119" s="93"/>
      <c r="R1119" s="93"/>
      <c r="S1119" s="93"/>
      <c r="T1119" s="93"/>
      <c r="U1119" s="93"/>
      <c r="V1119" s="93"/>
      <c r="W1119" s="93"/>
      <c r="X1119" s="93"/>
      <c r="Y1119" s="93"/>
      <c r="Z1119" s="93"/>
    </row>
    <row r="1120" customFormat="false" ht="16.4" hidden="false" customHeight="false" outlineLevel="0" collapsed="false">
      <c r="A1120" s="123" t="n">
        <v>45444</v>
      </c>
      <c r="B1120" s="31" t="s">
        <v>153</v>
      </c>
      <c r="C1120" s="129"/>
      <c r="D1120" s="129"/>
      <c r="E1120" s="19" t="n">
        <f aca="false">F1120*0.03</f>
        <v>0</v>
      </c>
      <c r="F1120" s="33" t="n">
        <v>0</v>
      </c>
      <c r="G1120" s="131"/>
      <c r="H1120" s="35" t="n">
        <v>0</v>
      </c>
      <c r="I1120" s="34" t="n">
        <f aca="false">+IF(E1120=0,0,E1120*0.03)</f>
        <v>0</v>
      </c>
      <c r="J1120" s="93"/>
      <c r="K1120" s="93"/>
      <c r="L1120" s="93"/>
      <c r="M1120" s="93"/>
      <c r="N1120" s="93"/>
      <c r="O1120" s="93"/>
      <c r="P1120" s="93"/>
      <c r="Q1120" s="93"/>
      <c r="R1120" s="93"/>
      <c r="S1120" s="93"/>
      <c r="T1120" s="93"/>
      <c r="U1120" s="93"/>
      <c r="V1120" s="93"/>
      <c r="W1120" s="93"/>
      <c r="X1120" s="93"/>
      <c r="Y1120" s="93"/>
      <c r="Z1120" s="93"/>
    </row>
    <row r="1121" customFormat="false" ht="16.4" hidden="false" customHeight="false" outlineLevel="0" collapsed="false">
      <c r="A1121" s="123" t="n">
        <v>45444</v>
      </c>
      <c r="B1121" s="31" t="s">
        <v>153</v>
      </c>
      <c r="C1121" s="129"/>
      <c r="D1121" s="129"/>
      <c r="E1121" s="19" t="n">
        <f aca="false">F1121*0.03</f>
        <v>0</v>
      </c>
      <c r="F1121" s="33" t="n">
        <v>0</v>
      </c>
      <c r="G1121" s="131"/>
      <c r="H1121" s="35" t="n">
        <v>0</v>
      </c>
      <c r="I1121" s="34" t="n">
        <f aca="false">+IF(E1121=0,0,E1121*0.03)</f>
        <v>0</v>
      </c>
      <c r="J1121" s="93"/>
      <c r="K1121" s="93"/>
      <c r="L1121" s="93"/>
      <c r="M1121" s="93"/>
      <c r="N1121" s="93"/>
      <c r="O1121" s="93"/>
      <c r="P1121" s="93"/>
      <c r="Q1121" s="93"/>
      <c r="R1121" s="93"/>
      <c r="S1121" s="93"/>
      <c r="T1121" s="93"/>
      <c r="U1121" s="93"/>
      <c r="V1121" s="93"/>
      <c r="W1121" s="93"/>
      <c r="X1121" s="93"/>
      <c r="Y1121" s="93"/>
      <c r="Z1121" s="93"/>
    </row>
    <row r="1122" customFormat="false" ht="16.4" hidden="false" customHeight="false" outlineLevel="0" collapsed="false">
      <c r="A1122" s="123" t="n">
        <v>45444</v>
      </c>
      <c r="B1122" s="31" t="s">
        <v>153</v>
      </c>
      <c r="C1122" s="129"/>
      <c r="D1122" s="129"/>
      <c r="E1122" s="19" t="n">
        <f aca="false">F1122*0.03</f>
        <v>0</v>
      </c>
      <c r="F1122" s="33" t="n">
        <v>0</v>
      </c>
      <c r="G1122" s="131"/>
      <c r="H1122" s="35" t="n">
        <v>0</v>
      </c>
      <c r="I1122" s="34" t="n">
        <f aca="false">+IF(E1122=0,0,E1122*0.03)</f>
        <v>0</v>
      </c>
      <c r="J1122" s="93"/>
      <c r="K1122" s="93"/>
      <c r="L1122" s="93"/>
      <c r="M1122" s="93"/>
      <c r="N1122" s="93"/>
      <c r="O1122" s="93"/>
      <c r="P1122" s="93"/>
      <c r="Q1122" s="93"/>
      <c r="R1122" s="93"/>
      <c r="S1122" s="93"/>
      <c r="T1122" s="93"/>
      <c r="U1122" s="93"/>
      <c r="V1122" s="93"/>
      <c r="W1122" s="93"/>
      <c r="X1122" s="93"/>
      <c r="Y1122" s="93"/>
      <c r="Z1122" s="93"/>
    </row>
    <row r="1123" customFormat="false" ht="16.4" hidden="false" customHeight="false" outlineLevel="0" collapsed="false">
      <c r="A1123" s="123" t="n">
        <v>45444</v>
      </c>
      <c r="B1123" s="31" t="s">
        <v>153</v>
      </c>
      <c r="C1123" s="129"/>
      <c r="D1123" s="129"/>
      <c r="E1123" s="19" t="n">
        <f aca="false">F1123*0.03</f>
        <v>0</v>
      </c>
      <c r="F1123" s="33" t="n">
        <v>0</v>
      </c>
      <c r="G1123" s="131"/>
      <c r="H1123" s="35" t="n">
        <v>0</v>
      </c>
      <c r="I1123" s="34" t="n">
        <f aca="false">+IF(E1123=0,0,E1123*0.03)</f>
        <v>0</v>
      </c>
      <c r="J1123" s="93"/>
      <c r="K1123" s="93"/>
      <c r="L1123" s="93"/>
      <c r="M1123" s="93"/>
      <c r="N1123" s="93"/>
      <c r="O1123" s="93"/>
      <c r="P1123" s="93"/>
      <c r="Q1123" s="93"/>
      <c r="R1123" s="93"/>
      <c r="S1123" s="93"/>
      <c r="T1123" s="93"/>
      <c r="U1123" s="93"/>
      <c r="V1123" s="93"/>
      <c r="W1123" s="93"/>
      <c r="X1123" s="93"/>
      <c r="Y1123" s="93"/>
      <c r="Z1123" s="93"/>
    </row>
    <row r="1124" customFormat="false" ht="16.4" hidden="false" customHeight="false" outlineLevel="0" collapsed="false">
      <c r="A1124" s="123" t="n">
        <v>45444</v>
      </c>
      <c r="B1124" s="31" t="s">
        <v>153</v>
      </c>
      <c r="C1124" s="129"/>
      <c r="D1124" s="129"/>
      <c r="E1124" s="19" t="n">
        <f aca="false">F1124*0.03</f>
        <v>0</v>
      </c>
      <c r="F1124" s="33" t="n">
        <v>0</v>
      </c>
      <c r="G1124" s="131"/>
      <c r="H1124" s="35" t="n">
        <v>0</v>
      </c>
      <c r="I1124" s="34" t="n">
        <f aca="false">+IF(E1124=0,0,E1124*0.03)</f>
        <v>0</v>
      </c>
      <c r="J1124" s="93"/>
      <c r="K1124" s="93"/>
      <c r="L1124" s="93"/>
      <c r="M1124" s="93"/>
      <c r="N1124" s="93"/>
      <c r="O1124" s="93"/>
      <c r="P1124" s="93"/>
      <c r="Q1124" s="93"/>
      <c r="R1124" s="93"/>
      <c r="S1124" s="93"/>
      <c r="T1124" s="93"/>
      <c r="U1124" s="93"/>
      <c r="V1124" s="93"/>
      <c r="W1124" s="93"/>
      <c r="X1124" s="93"/>
      <c r="Y1124" s="93"/>
      <c r="Z1124" s="93"/>
    </row>
    <row r="1125" customFormat="false" ht="16.4" hidden="false" customHeight="false" outlineLevel="0" collapsed="false">
      <c r="A1125" s="123" t="n">
        <v>45444</v>
      </c>
      <c r="B1125" s="31" t="s">
        <v>153</v>
      </c>
      <c r="C1125" s="129"/>
      <c r="D1125" s="129"/>
      <c r="E1125" s="19" t="n">
        <f aca="false">F1125*0.03</f>
        <v>0</v>
      </c>
      <c r="F1125" s="33" t="n">
        <v>0</v>
      </c>
      <c r="G1125" s="131"/>
      <c r="H1125" s="35" t="n">
        <v>0</v>
      </c>
      <c r="I1125" s="34" t="n">
        <f aca="false">+IF(E1125=0,0,E1125*0.03)</f>
        <v>0</v>
      </c>
      <c r="J1125" s="93"/>
      <c r="K1125" s="93"/>
      <c r="L1125" s="93"/>
      <c r="M1125" s="93"/>
      <c r="N1125" s="93"/>
      <c r="O1125" s="93"/>
      <c r="P1125" s="93"/>
      <c r="Q1125" s="93"/>
      <c r="R1125" s="93"/>
      <c r="S1125" s="93"/>
      <c r="T1125" s="93"/>
      <c r="U1125" s="93"/>
      <c r="V1125" s="93"/>
      <c r="W1125" s="93"/>
      <c r="X1125" s="93"/>
      <c r="Y1125" s="93"/>
      <c r="Z1125" s="93"/>
    </row>
    <row r="1126" customFormat="false" ht="16.4" hidden="false" customHeight="false" outlineLevel="0" collapsed="false">
      <c r="A1126" s="123" t="n">
        <v>45444</v>
      </c>
      <c r="B1126" s="31" t="s">
        <v>153</v>
      </c>
      <c r="C1126" s="129"/>
      <c r="D1126" s="129"/>
      <c r="E1126" s="19" t="n">
        <f aca="false">F1126*0.03</f>
        <v>0</v>
      </c>
      <c r="F1126" s="33" t="n">
        <v>0</v>
      </c>
      <c r="G1126" s="131"/>
      <c r="H1126" s="35" t="n">
        <v>0</v>
      </c>
      <c r="I1126" s="34" t="n">
        <f aca="false">+IF(E1126=0,0,E1126*0.03)</f>
        <v>0</v>
      </c>
      <c r="J1126" s="93"/>
      <c r="K1126" s="93"/>
      <c r="L1126" s="93"/>
      <c r="M1126" s="93"/>
      <c r="N1126" s="93"/>
      <c r="O1126" s="93"/>
      <c r="P1126" s="93"/>
      <c r="Q1126" s="93"/>
      <c r="R1126" s="93"/>
      <c r="S1126" s="93"/>
      <c r="T1126" s="93"/>
      <c r="U1126" s="93"/>
      <c r="V1126" s="93"/>
      <c r="W1126" s="93"/>
      <c r="X1126" s="93"/>
      <c r="Y1126" s="93"/>
      <c r="Z1126" s="93"/>
    </row>
    <row r="1127" customFormat="false" ht="16.4" hidden="false" customHeight="false" outlineLevel="0" collapsed="false">
      <c r="A1127" s="123" t="n">
        <v>45444</v>
      </c>
      <c r="B1127" s="31" t="s">
        <v>153</v>
      </c>
      <c r="C1127" s="129"/>
      <c r="D1127" s="129"/>
      <c r="E1127" s="19" t="n">
        <f aca="false">F1127*0.03</f>
        <v>0</v>
      </c>
      <c r="F1127" s="33" t="n">
        <v>0</v>
      </c>
      <c r="G1127" s="131"/>
      <c r="H1127" s="35" t="n">
        <v>0</v>
      </c>
      <c r="I1127" s="34" t="n">
        <f aca="false">+IF(E1127=0,0,E1127*0.03)</f>
        <v>0</v>
      </c>
      <c r="J1127" s="93"/>
      <c r="K1127" s="93"/>
      <c r="L1127" s="93"/>
      <c r="M1127" s="93"/>
      <c r="N1127" s="93"/>
      <c r="O1127" s="93"/>
      <c r="P1127" s="93"/>
      <c r="Q1127" s="93"/>
      <c r="R1127" s="93"/>
      <c r="S1127" s="93"/>
      <c r="T1127" s="93"/>
      <c r="U1127" s="93"/>
      <c r="V1127" s="93"/>
      <c r="W1127" s="93"/>
      <c r="X1127" s="93"/>
      <c r="Y1127" s="93"/>
      <c r="Z1127" s="93"/>
    </row>
    <row r="1128" customFormat="false" ht="16.4" hidden="false" customHeight="false" outlineLevel="0" collapsed="false">
      <c r="A1128" s="123" t="n">
        <v>45444</v>
      </c>
      <c r="B1128" s="31" t="s">
        <v>153</v>
      </c>
      <c r="C1128" s="129"/>
      <c r="D1128" s="129"/>
      <c r="E1128" s="19" t="n">
        <f aca="false">F1128*0.03</f>
        <v>0</v>
      </c>
      <c r="F1128" s="33" t="n">
        <v>0</v>
      </c>
      <c r="G1128" s="131"/>
      <c r="H1128" s="35" t="n">
        <v>0</v>
      </c>
      <c r="I1128" s="34" t="n">
        <f aca="false">+IF(E1128=0,0,E1128*0.03)</f>
        <v>0</v>
      </c>
      <c r="J1128" s="93"/>
      <c r="K1128" s="93"/>
      <c r="L1128" s="93"/>
      <c r="M1128" s="93"/>
      <c r="N1128" s="93"/>
      <c r="O1128" s="93"/>
      <c r="P1128" s="93"/>
      <c r="Q1128" s="93"/>
      <c r="R1128" s="93"/>
      <c r="S1128" s="93"/>
      <c r="T1128" s="93"/>
      <c r="U1128" s="93"/>
      <c r="V1128" s="93"/>
      <c r="W1128" s="93"/>
      <c r="X1128" s="93"/>
      <c r="Y1128" s="93"/>
      <c r="Z1128" s="93"/>
    </row>
    <row r="1129" customFormat="false" ht="16.4" hidden="false" customHeight="false" outlineLevel="0" collapsed="false">
      <c r="A1129" s="123" t="n">
        <v>45444</v>
      </c>
      <c r="B1129" s="31" t="s">
        <v>153</v>
      </c>
      <c r="C1129" s="129"/>
      <c r="D1129" s="129"/>
      <c r="E1129" s="19" t="n">
        <f aca="false">F1129*0.03</f>
        <v>0</v>
      </c>
      <c r="F1129" s="33" t="n">
        <v>0</v>
      </c>
      <c r="G1129" s="131"/>
      <c r="H1129" s="35" t="n">
        <v>0</v>
      </c>
      <c r="I1129" s="34" t="n">
        <f aca="false">+IF(E1129=0,0,E1129*0.03)</f>
        <v>0</v>
      </c>
      <c r="J1129" s="93"/>
      <c r="K1129" s="93"/>
      <c r="L1129" s="93"/>
      <c r="M1129" s="93"/>
      <c r="N1129" s="93"/>
      <c r="O1129" s="93"/>
      <c r="P1129" s="93"/>
      <c r="Q1129" s="93"/>
      <c r="R1129" s="93"/>
      <c r="S1129" s="93"/>
      <c r="T1129" s="93"/>
      <c r="U1129" s="93"/>
      <c r="V1129" s="93"/>
      <c r="W1129" s="93"/>
      <c r="X1129" s="93"/>
      <c r="Y1129" s="93"/>
      <c r="Z1129" s="93"/>
    </row>
    <row r="1130" customFormat="false" ht="16.4" hidden="false" customHeight="false" outlineLevel="0" collapsed="false">
      <c r="A1130" s="123" t="n">
        <v>45444</v>
      </c>
      <c r="B1130" s="31" t="s">
        <v>153</v>
      </c>
      <c r="C1130" s="129"/>
      <c r="D1130" s="129"/>
      <c r="E1130" s="19" t="n">
        <f aca="false">F1130*0.03</f>
        <v>0</v>
      </c>
      <c r="F1130" s="33" t="n">
        <v>0</v>
      </c>
      <c r="G1130" s="131"/>
      <c r="H1130" s="35" t="n">
        <v>0</v>
      </c>
      <c r="I1130" s="34" t="n">
        <f aca="false">+IF(E1130=0,0,E1130*0.03)</f>
        <v>0</v>
      </c>
      <c r="J1130" s="93"/>
      <c r="K1130" s="93"/>
      <c r="L1130" s="93"/>
      <c r="M1130" s="93"/>
      <c r="N1130" s="93"/>
      <c r="O1130" s="93"/>
      <c r="P1130" s="93"/>
      <c r="Q1130" s="93"/>
      <c r="R1130" s="93"/>
      <c r="S1130" s="93"/>
      <c r="T1130" s="93"/>
      <c r="U1130" s="93"/>
      <c r="V1130" s="93"/>
      <c r="W1130" s="93"/>
      <c r="X1130" s="93"/>
      <c r="Y1130" s="93"/>
      <c r="Z1130" s="93"/>
    </row>
    <row r="1131" customFormat="false" ht="16.4" hidden="false" customHeight="false" outlineLevel="0" collapsed="false">
      <c r="A1131" s="123" t="n">
        <v>45444</v>
      </c>
      <c r="B1131" s="31" t="s">
        <v>153</v>
      </c>
      <c r="C1131" s="129"/>
      <c r="D1131" s="129"/>
      <c r="E1131" s="19" t="n">
        <f aca="false">F1131*0.03</f>
        <v>0</v>
      </c>
      <c r="F1131" s="33" t="n">
        <v>0</v>
      </c>
      <c r="G1131" s="131"/>
      <c r="H1131" s="35" t="n">
        <v>0</v>
      </c>
      <c r="I1131" s="34" t="n">
        <f aca="false">+IF(E1131=0,0,E1131*0.03)</f>
        <v>0</v>
      </c>
      <c r="J1131" s="93"/>
      <c r="K1131" s="93"/>
      <c r="L1131" s="93"/>
      <c r="M1131" s="93"/>
      <c r="N1131" s="93"/>
      <c r="O1131" s="93"/>
      <c r="P1131" s="93"/>
      <c r="Q1131" s="93"/>
      <c r="R1131" s="93"/>
      <c r="S1131" s="93"/>
      <c r="T1131" s="93"/>
      <c r="U1131" s="93"/>
      <c r="V1131" s="93"/>
      <c r="W1131" s="93"/>
      <c r="X1131" s="93"/>
      <c r="Y1131" s="93"/>
      <c r="Z1131" s="93"/>
    </row>
    <row r="1132" customFormat="false" ht="16.4" hidden="false" customHeight="false" outlineLevel="0" collapsed="false">
      <c r="A1132" s="123" t="n">
        <v>45444</v>
      </c>
      <c r="B1132" s="31" t="s">
        <v>153</v>
      </c>
      <c r="C1132" s="129"/>
      <c r="D1132" s="129"/>
      <c r="E1132" s="19" t="n">
        <f aca="false">F1132*0.03</f>
        <v>0</v>
      </c>
      <c r="F1132" s="33" t="n">
        <v>0</v>
      </c>
      <c r="G1132" s="131"/>
      <c r="H1132" s="35" t="n">
        <v>0</v>
      </c>
      <c r="I1132" s="34" t="n">
        <f aca="false">+IF(E1132=0,0,E1132*0.03)</f>
        <v>0</v>
      </c>
      <c r="J1132" s="93"/>
      <c r="K1132" s="93"/>
      <c r="L1132" s="93"/>
      <c r="M1132" s="93"/>
      <c r="N1132" s="93"/>
      <c r="O1132" s="93"/>
      <c r="P1132" s="93"/>
      <c r="Q1132" s="93"/>
      <c r="R1132" s="93"/>
      <c r="S1132" s="93"/>
      <c r="T1132" s="93"/>
      <c r="U1132" s="93"/>
      <c r="V1132" s="93"/>
      <c r="W1132" s="93"/>
      <c r="X1132" s="93"/>
      <c r="Y1132" s="93"/>
      <c r="Z1132" s="93"/>
    </row>
    <row r="1133" customFormat="false" ht="16.4" hidden="false" customHeight="false" outlineLevel="0" collapsed="false">
      <c r="A1133" s="123" t="n">
        <v>45444</v>
      </c>
      <c r="B1133" s="31" t="s">
        <v>153</v>
      </c>
      <c r="C1133" s="129"/>
      <c r="D1133" s="129"/>
      <c r="E1133" s="19" t="n">
        <f aca="false">F1133*0.03</f>
        <v>0</v>
      </c>
      <c r="F1133" s="33" t="n">
        <v>0</v>
      </c>
      <c r="G1133" s="131"/>
      <c r="H1133" s="35" t="n">
        <v>0</v>
      </c>
      <c r="I1133" s="34" t="n">
        <f aca="false">+IF(E1133=0,0,E1133*0.03)</f>
        <v>0</v>
      </c>
      <c r="J1133" s="93"/>
      <c r="K1133" s="93"/>
      <c r="L1133" s="93"/>
      <c r="M1133" s="93"/>
      <c r="N1133" s="93"/>
      <c r="O1133" s="93"/>
      <c r="P1133" s="93"/>
      <c r="Q1133" s="93"/>
      <c r="R1133" s="93"/>
      <c r="S1133" s="93"/>
      <c r="T1133" s="93"/>
      <c r="U1133" s="93"/>
      <c r="V1133" s="93"/>
      <c r="W1133" s="93"/>
      <c r="X1133" s="93"/>
      <c r="Y1133" s="93"/>
      <c r="Z1133" s="93"/>
    </row>
    <row r="1134" customFormat="false" ht="16.4" hidden="false" customHeight="false" outlineLevel="0" collapsed="false">
      <c r="A1134" s="123" t="n">
        <v>45444</v>
      </c>
      <c r="B1134" s="31" t="s">
        <v>153</v>
      </c>
      <c r="C1134" s="129"/>
      <c r="D1134" s="129"/>
      <c r="E1134" s="19" t="n">
        <f aca="false">F1134*0.03</f>
        <v>0</v>
      </c>
      <c r="F1134" s="33" t="n">
        <v>0</v>
      </c>
      <c r="G1134" s="131"/>
      <c r="H1134" s="35" t="n">
        <v>0</v>
      </c>
      <c r="I1134" s="34" t="n">
        <f aca="false">+IF(E1134=0,0,E1134*0.03)</f>
        <v>0</v>
      </c>
      <c r="J1134" s="93"/>
      <c r="K1134" s="93"/>
      <c r="L1134" s="93"/>
      <c r="M1134" s="93"/>
      <c r="N1134" s="93"/>
      <c r="O1134" s="93"/>
      <c r="P1134" s="93"/>
      <c r="Q1134" s="93"/>
      <c r="R1134" s="93"/>
      <c r="S1134" s="93"/>
      <c r="T1134" s="93"/>
      <c r="U1134" s="93"/>
      <c r="V1134" s="93"/>
      <c r="W1134" s="93"/>
      <c r="X1134" s="93"/>
      <c r="Y1134" s="93"/>
      <c r="Z1134" s="93"/>
    </row>
    <row r="1135" customFormat="false" ht="16.4" hidden="false" customHeight="false" outlineLevel="0" collapsed="false">
      <c r="A1135" s="123" t="n">
        <v>45444</v>
      </c>
      <c r="B1135" s="31" t="s">
        <v>153</v>
      </c>
      <c r="C1135" s="129"/>
      <c r="D1135" s="129"/>
      <c r="E1135" s="19" t="n">
        <f aca="false">F1135*0.03</f>
        <v>0</v>
      </c>
      <c r="F1135" s="33" t="n">
        <v>0</v>
      </c>
      <c r="G1135" s="131"/>
      <c r="H1135" s="35" t="n">
        <v>0</v>
      </c>
      <c r="I1135" s="34" t="n">
        <f aca="false">+IF(E1135=0,0,E1135*0.03)</f>
        <v>0</v>
      </c>
      <c r="J1135" s="93"/>
      <c r="K1135" s="93"/>
      <c r="L1135" s="93"/>
      <c r="M1135" s="93"/>
      <c r="N1135" s="93"/>
      <c r="O1135" s="93"/>
      <c r="P1135" s="93"/>
      <c r="Q1135" s="93"/>
      <c r="R1135" s="93"/>
      <c r="S1135" s="93"/>
      <c r="T1135" s="93"/>
      <c r="U1135" s="93"/>
      <c r="V1135" s="93"/>
      <c r="W1135" s="93"/>
      <c r="X1135" s="93"/>
      <c r="Y1135" s="93"/>
      <c r="Z1135" s="93"/>
    </row>
    <row r="1136" customFormat="false" ht="16.4" hidden="false" customHeight="false" outlineLevel="0" collapsed="false">
      <c r="A1136" s="123" t="n">
        <v>45444</v>
      </c>
      <c r="B1136" s="31" t="s">
        <v>153</v>
      </c>
      <c r="C1136" s="129"/>
      <c r="D1136" s="129"/>
      <c r="E1136" s="19" t="n">
        <f aca="false">F1136*0.03</f>
        <v>0</v>
      </c>
      <c r="F1136" s="33" t="n">
        <v>0</v>
      </c>
      <c r="G1136" s="131"/>
      <c r="H1136" s="35" t="n">
        <v>0</v>
      </c>
      <c r="I1136" s="34" t="n">
        <f aca="false">+IF(E1136=0,0,E1136*0.03)</f>
        <v>0</v>
      </c>
      <c r="J1136" s="93"/>
      <c r="K1136" s="93"/>
      <c r="L1136" s="93"/>
      <c r="M1136" s="93"/>
      <c r="N1136" s="93"/>
      <c r="O1136" s="93"/>
      <c r="P1136" s="93"/>
      <c r="Q1136" s="93"/>
      <c r="R1136" s="93"/>
      <c r="S1136" s="93"/>
      <c r="T1136" s="93"/>
      <c r="U1136" s="93"/>
      <c r="V1136" s="93"/>
      <c r="W1136" s="93"/>
      <c r="X1136" s="93"/>
      <c r="Y1136" s="93"/>
      <c r="Z1136" s="93"/>
    </row>
    <row r="1137" customFormat="false" ht="16.4" hidden="false" customHeight="false" outlineLevel="0" collapsed="false">
      <c r="A1137" s="123" t="n">
        <v>45444</v>
      </c>
      <c r="B1137" s="31" t="s">
        <v>153</v>
      </c>
      <c r="C1137" s="129"/>
      <c r="D1137" s="129"/>
      <c r="E1137" s="19" t="n">
        <f aca="false">F1137*0.03</f>
        <v>0</v>
      </c>
      <c r="F1137" s="33" t="n">
        <v>0</v>
      </c>
      <c r="G1137" s="131"/>
      <c r="H1137" s="35" t="n">
        <v>0</v>
      </c>
      <c r="I1137" s="34" t="n">
        <f aca="false">+IF(E1137=0,0,E1137*0.03)</f>
        <v>0</v>
      </c>
      <c r="J1137" s="93"/>
      <c r="K1137" s="93"/>
      <c r="L1137" s="93"/>
      <c r="M1137" s="93"/>
      <c r="N1137" s="93"/>
      <c r="O1137" s="93"/>
      <c r="P1137" s="93"/>
      <c r="Q1137" s="93"/>
      <c r="R1137" s="93"/>
      <c r="S1137" s="93"/>
      <c r="T1137" s="93"/>
      <c r="U1137" s="93"/>
      <c r="V1137" s="93"/>
      <c r="W1137" s="93"/>
      <c r="X1137" s="93"/>
      <c r="Y1137" s="93"/>
      <c r="Z1137" s="93"/>
    </row>
    <row r="1138" customFormat="false" ht="16.4" hidden="false" customHeight="false" outlineLevel="0" collapsed="false">
      <c r="A1138" s="123" t="n">
        <v>45444</v>
      </c>
      <c r="B1138" s="31" t="s">
        <v>153</v>
      </c>
      <c r="C1138" s="129"/>
      <c r="D1138" s="129"/>
      <c r="E1138" s="19" t="n">
        <f aca="false">F1138*0.03</f>
        <v>0</v>
      </c>
      <c r="F1138" s="33" t="n">
        <v>0</v>
      </c>
      <c r="G1138" s="131"/>
      <c r="H1138" s="35" t="n">
        <v>0</v>
      </c>
      <c r="I1138" s="34" t="n">
        <f aca="false">+IF(E1138=0,0,E1138*0.03)</f>
        <v>0</v>
      </c>
      <c r="J1138" s="93"/>
      <c r="K1138" s="93"/>
      <c r="L1138" s="93"/>
      <c r="M1138" s="93"/>
      <c r="N1138" s="93"/>
      <c r="O1138" s="93"/>
      <c r="P1138" s="93"/>
      <c r="Q1138" s="93"/>
      <c r="R1138" s="93"/>
      <c r="S1138" s="93"/>
      <c r="T1138" s="93"/>
      <c r="U1138" s="93"/>
      <c r="V1138" s="93"/>
      <c r="W1138" s="93"/>
      <c r="X1138" s="93"/>
      <c r="Y1138" s="93"/>
      <c r="Z1138" s="93"/>
    </row>
    <row r="1139" customFormat="false" ht="16.4" hidden="false" customHeight="false" outlineLevel="0" collapsed="false">
      <c r="A1139" s="123" t="n">
        <v>45444</v>
      </c>
      <c r="B1139" s="31" t="s">
        <v>153</v>
      </c>
      <c r="C1139" s="129"/>
      <c r="D1139" s="129"/>
      <c r="E1139" s="19" t="n">
        <f aca="false">F1139*0.03</f>
        <v>0</v>
      </c>
      <c r="F1139" s="33" t="n">
        <v>0</v>
      </c>
      <c r="G1139" s="131"/>
      <c r="H1139" s="35" t="n">
        <v>0</v>
      </c>
      <c r="I1139" s="34" t="n">
        <f aca="false">+IF(E1139=0,0,E1139*0.03)</f>
        <v>0</v>
      </c>
      <c r="J1139" s="93"/>
      <c r="K1139" s="93"/>
      <c r="L1139" s="93"/>
      <c r="M1139" s="93"/>
      <c r="N1139" s="93"/>
      <c r="O1139" s="93"/>
      <c r="P1139" s="93"/>
      <c r="Q1139" s="93"/>
      <c r="R1139" s="93"/>
      <c r="S1139" s="93"/>
      <c r="T1139" s="93"/>
      <c r="U1139" s="93"/>
      <c r="V1139" s="93"/>
      <c r="W1139" s="93"/>
      <c r="X1139" s="93"/>
      <c r="Y1139" s="93"/>
      <c r="Z1139" s="93"/>
    </row>
    <row r="1140" customFormat="false" ht="16.4" hidden="false" customHeight="false" outlineLevel="0" collapsed="false">
      <c r="A1140" s="123" t="n">
        <v>45444</v>
      </c>
      <c r="B1140" s="31" t="s">
        <v>153</v>
      </c>
      <c r="C1140" s="129"/>
      <c r="D1140" s="129"/>
      <c r="E1140" s="19" t="n">
        <f aca="false">F1140*0.03</f>
        <v>0</v>
      </c>
      <c r="F1140" s="33" t="n">
        <v>0</v>
      </c>
      <c r="G1140" s="131"/>
      <c r="H1140" s="35" t="n">
        <v>0</v>
      </c>
      <c r="I1140" s="34" t="n">
        <f aca="false">+IF(E1140=0,0,E1140*0.03)</f>
        <v>0</v>
      </c>
      <c r="J1140" s="93"/>
      <c r="K1140" s="93"/>
      <c r="L1140" s="93"/>
      <c r="M1140" s="93"/>
      <c r="N1140" s="93"/>
      <c r="O1140" s="93"/>
      <c r="P1140" s="93"/>
      <c r="Q1140" s="93"/>
      <c r="R1140" s="93"/>
      <c r="S1140" s="93"/>
      <c r="T1140" s="93"/>
      <c r="U1140" s="93"/>
      <c r="V1140" s="93"/>
      <c r="W1140" s="93"/>
      <c r="X1140" s="93"/>
      <c r="Y1140" s="93"/>
      <c r="Z1140" s="93"/>
    </row>
    <row r="1141" customFormat="false" ht="16.4" hidden="false" customHeight="false" outlineLevel="0" collapsed="false">
      <c r="A1141" s="123" t="n">
        <v>45444</v>
      </c>
      <c r="B1141" s="31" t="s">
        <v>153</v>
      </c>
      <c r="C1141" s="129"/>
      <c r="D1141" s="129"/>
      <c r="E1141" s="19" t="n">
        <f aca="false">F1141*0.03</f>
        <v>0</v>
      </c>
      <c r="F1141" s="33" t="n">
        <v>0</v>
      </c>
      <c r="G1141" s="131"/>
      <c r="H1141" s="35" t="n">
        <v>0</v>
      </c>
      <c r="I1141" s="34" t="n">
        <f aca="false">+IF(E1141=0,0,E1141*0.03)</f>
        <v>0</v>
      </c>
      <c r="J1141" s="93"/>
      <c r="K1141" s="93"/>
      <c r="L1141" s="93"/>
      <c r="M1141" s="93"/>
      <c r="N1141" s="93"/>
      <c r="O1141" s="93"/>
      <c r="P1141" s="93"/>
      <c r="Q1141" s="93"/>
      <c r="R1141" s="93"/>
      <c r="S1141" s="93"/>
      <c r="T1141" s="93"/>
      <c r="U1141" s="93"/>
      <c r="V1141" s="93"/>
      <c r="W1141" s="93"/>
      <c r="X1141" s="93"/>
      <c r="Y1141" s="93"/>
      <c r="Z1141" s="93"/>
    </row>
    <row r="1142" customFormat="false" ht="16.4" hidden="false" customHeight="false" outlineLevel="0" collapsed="false">
      <c r="A1142" s="123" t="n">
        <v>45444</v>
      </c>
      <c r="B1142" s="31" t="s">
        <v>153</v>
      </c>
      <c r="C1142" s="129"/>
      <c r="D1142" s="129"/>
      <c r="E1142" s="19" t="n">
        <f aca="false">F1142*0.03</f>
        <v>0</v>
      </c>
      <c r="F1142" s="33" t="n">
        <v>0</v>
      </c>
      <c r="G1142" s="131"/>
      <c r="H1142" s="35" t="n">
        <v>0</v>
      </c>
      <c r="I1142" s="34" t="n">
        <f aca="false">+IF(E1142=0,0,E1142*0.03)</f>
        <v>0</v>
      </c>
      <c r="J1142" s="93"/>
      <c r="K1142" s="93"/>
      <c r="L1142" s="93"/>
      <c r="M1142" s="93"/>
      <c r="N1142" s="93"/>
      <c r="O1142" s="93"/>
      <c r="P1142" s="93"/>
      <c r="Q1142" s="93"/>
      <c r="R1142" s="93"/>
      <c r="S1142" s="93"/>
      <c r="T1142" s="93"/>
      <c r="U1142" s="93"/>
      <c r="V1142" s="93"/>
      <c r="W1142" s="93"/>
      <c r="X1142" s="93"/>
      <c r="Y1142" s="93"/>
      <c r="Z1142" s="93"/>
    </row>
    <row r="1143" customFormat="false" ht="16.4" hidden="false" customHeight="false" outlineLevel="0" collapsed="false">
      <c r="A1143" s="123" t="n">
        <v>45444</v>
      </c>
      <c r="B1143" s="31" t="s">
        <v>153</v>
      </c>
      <c r="C1143" s="129"/>
      <c r="D1143" s="129"/>
      <c r="E1143" s="19" t="n">
        <f aca="false">F1143*0.03</f>
        <v>0</v>
      </c>
      <c r="F1143" s="33" t="n">
        <v>0</v>
      </c>
      <c r="G1143" s="131"/>
      <c r="H1143" s="35" t="n">
        <v>0</v>
      </c>
      <c r="I1143" s="34" t="n">
        <f aca="false">+IF(E1143=0,0,E1143*0.03)</f>
        <v>0</v>
      </c>
      <c r="J1143" s="93"/>
      <c r="K1143" s="93"/>
      <c r="L1143" s="93"/>
      <c r="M1143" s="93"/>
      <c r="N1143" s="93"/>
      <c r="O1143" s="93"/>
      <c r="P1143" s="93"/>
      <c r="Q1143" s="93"/>
      <c r="R1143" s="93"/>
      <c r="S1143" s="93"/>
      <c r="T1143" s="93"/>
      <c r="U1143" s="93"/>
      <c r="V1143" s="93"/>
      <c r="W1143" s="93"/>
      <c r="X1143" s="93"/>
      <c r="Y1143" s="93"/>
      <c r="Z1143" s="93"/>
    </row>
    <row r="1144" customFormat="false" ht="16.4" hidden="false" customHeight="false" outlineLevel="0" collapsed="false">
      <c r="A1144" s="123" t="n">
        <v>45444</v>
      </c>
      <c r="B1144" s="31" t="s">
        <v>153</v>
      </c>
      <c r="C1144" s="129"/>
      <c r="D1144" s="129"/>
      <c r="E1144" s="19" t="n">
        <f aca="false">F1144*0.03</f>
        <v>0</v>
      </c>
      <c r="F1144" s="33" t="n">
        <v>0</v>
      </c>
      <c r="G1144" s="131"/>
      <c r="H1144" s="35" t="n">
        <v>0</v>
      </c>
      <c r="I1144" s="34" t="n">
        <f aca="false">+IF(E1144=0,0,E1144*0.03)</f>
        <v>0</v>
      </c>
      <c r="J1144" s="93"/>
      <c r="K1144" s="93"/>
      <c r="L1144" s="93"/>
      <c r="M1144" s="93"/>
      <c r="N1144" s="93"/>
      <c r="O1144" s="93"/>
      <c r="P1144" s="93"/>
      <c r="Q1144" s="93"/>
      <c r="R1144" s="93"/>
      <c r="S1144" s="93"/>
      <c r="T1144" s="93"/>
      <c r="U1144" s="93"/>
      <c r="V1144" s="93"/>
      <c r="W1144" s="93"/>
      <c r="X1144" s="93"/>
      <c r="Y1144" s="93"/>
      <c r="Z1144" s="93"/>
    </row>
    <row r="1145" customFormat="false" ht="16.4" hidden="false" customHeight="false" outlineLevel="0" collapsed="false">
      <c r="A1145" s="123" t="n">
        <v>45444</v>
      </c>
      <c r="B1145" s="31" t="s">
        <v>153</v>
      </c>
      <c r="C1145" s="129"/>
      <c r="D1145" s="129"/>
      <c r="E1145" s="19" t="n">
        <f aca="false">F1145*0.03</f>
        <v>0</v>
      </c>
      <c r="F1145" s="33" t="n">
        <v>0</v>
      </c>
      <c r="G1145" s="131"/>
      <c r="H1145" s="35" t="n">
        <v>0</v>
      </c>
      <c r="I1145" s="34" t="n">
        <f aca="false">+IF(E1145=0,0,E1145*0.03)</f>
        <v>0</v>
      </c>
      <c r="J1145" s="93"/>
      <c r="K1145" s="93"/>
      <c r="L1145" s="93"/>
      <c r="M1145" s="93"/>
      <c r="N1145" s="93"/>
      <c r="O1145" s="93"/>
      <c r="P1145" s="93"/>
      <c r="Q1145" s="93"/>
      <c r="R1145" s="93"/>
      <c r="S1145" s="93"/>
      <c r="T1145" s="93"/>
      <c r="U1145" s="93"/>
      <c r="V1145" s="93"/>
      <c r="W1145" s="93"/>
      <c r="X1145" s="93"/>
      <c r="Y1145" s="93"/>
      <c r="Z1145" s="93"/>
    </row>
    <row r="1146" customFormat="false" ht="16.4" hidden="false" customHeight="false" outlineLevel="0" collapsed="false">
      <c r="A1146" s="123" t="n">
        <v>45444</v>
      </c>
      <c r="B1146" s="31" t="s">
        <v>153</v>
      </c>
      <c r="C1146" s="129"/>
      <c r="D1146" s="129"/>
      <c r="E1146" s="19" t="n">
        <f aca="false">F1146*0.03</f>
        <v>0</v>
      </c>
      <c r="F1146" s="33" t="n">
        <v>0</v>
      </c>
      <c r="G1146" s="131"/>
      <c r="H1146" s="35" t="n">
        <v>0</v>
      </c>
      <c r="I1146" s="34" t="n">
        <f aca="false">+IF(E1146=0,0,E1146*0.03)</f>
        <v>0</v>
      </c>
      <c r="J1146" s="93"/>
      <c r="K1146" s="93"/>
      <c r="L1146" s="93"/>
      <c r="M1146" s="93"/>
      <c r="N1146" s="93"/>
      <c r="O1146" s="93"/>
      <c r="P1146" s="93"/>
      <c r="Q1146" s="93"/>
      <c r="R1146" s="93"/>
      <c r="S1146" s="93"/>
      <c r="T1146" s="93"/>
      <c r="U1146" s="93"/>
      <c r="V1146" s="93"/>
      <c r="W1146" s="93"/>
      <c r="X1146" s="93"/>
      <c r="Y1146" s="93"/>
      <c r="Z1146" s="93"/>
    </row>
    <row r="1147" customFormat="false" ht="16.4" hidden="false" customHeight="false" outlineLevel="0" collapsed="false">
      <c r="A1147" s="123" t="n">
        <v>45444</v>
      </c>
      <c r="B1147" s="31" t="s">
        <v>153</v>
      </c>
      <c r="C1147" s="129"/>
      <c r="D1147" s="129"/>
      <c r="E1147" s="19" t="n">
        <f aca="false">F1147*0.03</f>
        <v>0</v>
      </c>
      <c r="F1147" s="33" t="n">
        <v>0</v>
      </c>
      <c r="G1147" s="131"/>
      <c r="H1147" s="35" t="n">
        <v>0</v>
      </c>
      <c r="I1147" s="34" t="n">
        <f aca="false">+IF(E1147=0,0,E1147*0.03)</f>
        <v>0</v>
      </c>
      <c r="J1147" s="93"/>
      <c r="K1147" s="93"/>
      <c r="L1147" s="93"/>
      <c r="M1147" s="93"/>
      <c r="N1147" s="93"/>
      <c r="O1147" s="93"/>
      <c r="P1147" s="93"/>
      <c r="Q1147" s="93"/>
      <c r="R1147" s="93"/>
      <c r="S1147" s="93"/>
      <c r="T1147" s="93"/>
      <c r="U1147" s="93"/>
      <c r="V1147" s="93"/>
      <c r="W1147" s="93"/>
      <c r="X1147" s="93"/>
      <c r="Y1147" s="93"/>
      <c r="Z1147" s="93"/>
    </row>
    <row r="1148" customFormat="false" ht="16.4" hidden="false" customHeight="false" outlineLevel="0" collapsed="false">
      <c r="A1148" s="123" t="n">
        <v>45444</v>
      </c>
      <c r="B1148" s="31" t="s">
        <v>153</v>
      </c>
      <c r="C1148" s="129"/>
      <c r="D1148" s="129"/>
      <c r="E1148" s="19" t="n">
        <f aca="false">F1148*0.03</f>
        <v>0</v>
      </c>
      <c r="F1148" s="33" t="n">
        <v>0</v>
      </c>
      <c r="G1148" s="131"/>
      <c r="H1148" s="35" t="n">
        <v>0</v>
      </c>
      <c r="I1148" s="34" t="n">
        <f aca="false">+IF(E1148=0,0,E1148*0.03)</f>
        <v>0</v>
      </c>
      <c r="J1148" s="93"/>
      <c r="K1148" s="93"/>
      <c r="L1148" s="93"/>
      <c r="M1148" s="93"/>
      <c r="N1148" s="93"/>
      <c r="O1148" s="93"/>
      <c r="P1148" s="93"/>
      <c r="Q1148" s="93"/>
      <c r="R1148" s="93"/>
      <c r="S1148" s="93"/>
      <c r="T1148" s="93"/>
      <c r="U1148" s="93"/>
      <c r="V1148" s="93"/>
      <c r="W1148" s="93"/>
      <c r="X1148" s="93"/>
      <c r="Y1148" s="93"/>
      <c r="Z1148" s="93"/>
    </row>
    <row r="1149" customFormat="false" ht="16.4" hidden="false" customHeight="false" outlineLevel="0" collapsed="false">
      <c r="A1149" s="123" t="n">
        <v>45444</v>
      </c>
      <c r="B1149" s="31" t="s">
        <v>153</v>
      </c>
      <c r="C1149" s="129"/>
      <c r="D1149" s="129"/>
      <c r="E1149" s="19" t="n">
        <f aca="false">F1149*0.03</f>
        <v>0</v>
      </c>
      <c r="F1149" s="33" t="n">
        <v>0</v>
      </c>
      <c r="G1149" s="131"/>
      <c r="H1149" s="35" t="n">
        <v>0</v>
      </c>
      <c r="I1149" s="34" t="n">
        <f aca="false">+IF(E1149=0,0,E1149*0.03)</f>
        <v>0</v>
      </c>
      <c r="J1149" s="93"/>
      <c r="K1149" s="93"/>
      <c r="L1149" s="93"/>
      <c r="M1149" s="93"/>
      <c r="N1149" s="93"/>
      <c r="O1149" s="93"/>
      <c r="P1149" s="93"/>
      <c r="Q1149" s="93"/>
      <c r="R1149" s="93"/>
      <c r="S1149" s="93"/>
      <c r="T1149" s="93"/>
      <c r="U1149" s="93"/>
      <c r="V1149" s="93"/>
      <c r="W1149" s="93"/>
      <c r="X1149" s="93"/>
      <c r="Y1149" s="93"/>
      <c r="Z1149" s="93"/>
    </row>
    <row r="1150" customFormat="false" ht="16.4" hidden="false" customHeight="false" outlineLevel="0" collapsed="false">
      <c r="A1150" s="123" t="n">
        <v>45444</v>
      </c>
      <c r="B1150" s="31" t="s">
        <v>153</v>
      </c>
      <c r="C1150" s="129"/>
      <c r="D1150" s="129"/>
      <c r="E1150" s="19" t="n">
        <f aca="false">F1150*0.03</f>
        <v>0</v>
      </c>
      <c r="F1150" s="33" t="n">
        <v>0</v>
      </c>
      <c r="G1150" s="131"/>
      <c r="H1150" s="35" t="n">
        <v>0</v>
      </c>
      <c r="I1150" s="34" t="n">
        <f aca="false">+IF(E1150=0,0,E1150*0.03)</f>
        <v>0</v>
      </c>
      <c r="J1150" s="93"/>
      <c r="K1150" s="93"/>
      <c r="L1150" s="93"/>
      <c r="M1150" s="93"/>
      <c r="N1150" s="93"/>
      <c r="O1150" s="93"/>
      <c r="P1150" s="93"/>
      <c r="Q1150" s="93"/>
      <c r="R1150" s="93"/>
      <c r="S1150" s="93"/>
      <c r="T1150" s="93"/>
      <c r="U1150" s="93"/>
      <c r="V1150" s="93"/>
      <c r="W1150" s="93"/>
      <c r="X1150" s="93"/>
      <c r="Y1150" s="93"/>
      <c r="Z1150" s="93"/>
    </row>
    <row r="1151" customFormat="false" ht="16.4" hidden="false" customHeight="false" outlineLevel="0" collapsed="false">
      <c r="A1151" s="123" t="n">
        <v>45444</v>
      </c>
      <c r="B1151" s="31" t="s">
        <v>153</v>
      </c>
      <c r="C1151" s="129"/>
      <c r="D1151" s="129"/>
      <c r="E1151" s="19" t="n">
        <f aca="false">F1151*0.03</f>
        <v>0</v>
      </c>
      <c r="F1151" s="33" t="n">
        <v>0</v>
      </c>
      <c r="G1151" s="131"/>
      <c r="H1151" s="35" t="n">
        <v>0</v>
      </c>
      <c r="I1151" s="34" t="n">
        <f aca="false">+IF(E1151=0,0,E1151*0.03)</f>
        <v>0</v>
      </c>
      <c r="J1151" s="93"/>
      <c r="K1151" s="93"/>
      <c r="L1151" s="93"/>
      <c r="M1151" s="93"/>
      <c r="N1151" s="93"/>
      <c r="O1151" s="93"/>
      <c r="P1151" s="93"/>
      <c r="Q1151" s="93"/>
      <c r="R1151" s="93"/>
      <c r="S1151" s="93"/>
      <c r="T1151" s="93"/>
      <c r="U1151" s="93"/>
      <c r="V1151" s="93"/>
      <c r="W1151" s="93"/>
      <c r="X1151" s="93"/>
      <c r="Y1151" s="93"/>
      <c r="Z1151" s="93"/>
    </row>
    <row r="1152" customFormat="false" ht="16.4" hidden="false" customHeight="false" outlineLevel="0" collapsed="false">
      <c r="A1152" s="123" t="n">
        <v>45444</v>
      </c>
      <c r="B1152" s="31" t="s">
        <v>153</v>
      </c>
      <c r="C1152" s="129"/>
      <c r="D1152" s="129"/>
      <c r="E1152" s="19" t="n">
        <f aca="false">F1152*0.03</f>
        <v>0</v>
      </c>
      <c r="F1152" s="33" t="n">
        <v>0</v>
      </c>
      <c r="G1152" s="131"/>
      <c r="H1152" s="35" t="n">
        <v>0</v>
      </c>
      <c r="I1152" s="34" t="n">
        <f aca="false">+IF(E1152=0,0,E1152*0.03)</f>
        <v>0</v>
      </c>
      <c r="J1152" s="93"/>
      <c r="K1152" s="93"/>
      <c r="L1152" s="93"/>
      <c r="M1152" s="93"/>
      <c r="N1152" s="93"/>
      <c r="O1152" s="93"/>
      <c r="P1152" s="93"/>
      <c r="Q1152" s="93"/>
      <c r="R1152" s="93"/>
      <c r="S1152" s="93"/>
      <c r="T1152" s="93"/>
      <c r="U1152" s="93"/>
      <c r="V1152" s="93"/>
      <c r="W1152" s="93"/>
      <c r="X1152" s="93"/>
      <c r="Y1152" s="93"/>
      <c r="Z1152" s="93"/>
    </row>
    <row r="1153" customFormat="false" ht="16.4" hidden="false" customHeight="false" outlineLevel="0" collapsed="false">
      <c r="A1153" s="123" t="n">
        <v>45444</v>
      </c>
      <c r="B1153" s="31" t="s">
        <v>153</v>
      </c>
      <c r="C1153" s="129"/>
      <c r="D1153" s="129"/>
      <c r="E1153" s="19" t="n">
        <f aca="false">F1153*0.03</f>
        <v>0</v>
      </c>
      <c r="F1153" s="33" t="n">
        <v>0</v>
      </c>
      <c r="G1153" s="131"/>
      <c r="H1153" s="35" t="n">
        <v>0</v>
      </c>
      <c r="I1153" s="34" t="n">
        <f aca="false">+IF(E1153=0,0,E1153*0.03)</f>
        <v>0</v>
      </c>
      <c r="J1153" s="93"/>
      <c r="K1153" s="93"/>
      <c r="L1153" s="93"/>
      <c r="M1153" s="93"/>
      <c r="N1153" s="93"/>
      <c r="O1153" s="93"/>
      <c r="P1153" s="93"/>
      <c r="Q1153" s="93"/>
      <c r="R1153" s="93"/>
      <c r="S1153" s="93"/>
      <c r="T1153" s="93"/>
      <c r="U1153" s="93"/>
      <c r="V1153" s="93"/>
      <c r="W1153" s="93"/>
      <c r="X1153" s="93"/>
      <c r="Y1153" s="93"/>
      <c r="Z1153" s="93"/>
    </row>
    <row r="1154" customFormat="false" ht="16.4" hidden="false" customHeight="false" outlineLevel="0" collapsed="false">
      <c r="A1154" s="123" t="n">
        <v>45444</v>
      </c>
      <c r="B1154" s="31" t="s">
        <v>153</v>
      </c>
      <c r="C1154" s="129"/>
      <c r="D1154" s="129"/>
      <c r="E1154" s="19" t="n">
        <f aca="false">F1154*0.03</f>
        <v>0</v>
      </c>
      <c r="F1154" s="33" t="n">
        <v>0</v>
      </c>
      <c r="G1154" s="131"/>
      <c r="H1154" s="35" t="n">
        <v>0</v>
      </c>
      <c r="I1154" s="34" t="n">
        <f aca="false">+IF(E1154=0,0,E1154*0.03)</f>
        <v>0</v>
      </c>
      <c r="J1154" s="93"/>
      <c r="K1154" s="93"/>
      <c r="L1154" s="93"/>
      <c r="M1154" s="93"/>
      <c r="N1154" s="93"/>
      <c r="O1154" s="93"/>
      <c r="P1154" s="93"/>
      <c r="Q1154" s="93"/>
      <c r="R1154" s="93"/>
      <c r="S1154" s="93"/>
      <c r="T1154" s="93"/>
      <c r="U1154" s="93"/>
      <c r="V1154" s="93"/>
      <c r="W1154" s="93"/>
      <c r="X1154" s="93"/>
      <c r="Y1154" s="93"/>
      <c r="Z1154" s="93"/>
    </row>
    <row r="1155" customFormat="false" ht="16.4" hidden="false" customHeight="false" outlineLevel="0" collapsed="false">
      <c r="A1155" s="123" t="n">
        <v>45444</v>
      </c>
      <c r="B1155" s="31" t="s">
        <v>153</v>
      </c>
      <c r="C1155" s="129"/>
      <c r="D1155" s="129"/>
      <c r="E1155" s="19" t="n">
        <f aca="false">F1155*0.03</f>
        <v>0</v>
      </c>
      <c r="F1155" s="33" t="n">
        <v>0</v>
      </c>
      <c r="G1155" s="131"/>
      <c r="H1155" s="35" t="n">
        <v>0</v>
      </c>
      <c r="I1155" s="34" t="n">
        <f aca="false">+IF(E1155=0,0,E1155*0.03)</f>
        <v>0</v>
      </c>
      <c r="J1155" s="93"/>
      <c r="K1155" s="93"/>
      <c r="L1155" s="93"/>
      <c r="M1155" s="93"/>
      <c r="N1155" s="93"/>
      <c r="O1155" s="93"/>
      <c r="P1155" s="93"/>
      <c r="Q1155" s="93"/>
      <c r="R1155" s="93"/>
      <c r="S1155" s="93"/>
      <c r="T1155" s="93"/>
      <c r="U1155" s="93"/>
      <c r="V1155" s="93"/>
      <c r="W1155" s="93"/>
      <c r="X1155" s="93"/>
      <c r="Y1155" s="93"/>
      <c r="Z1155" s="93"/>
    </row>
    <row r="1156" customFormat="false" ht="16.4" hidden="false" customHeight="false" outlineLevel="0" collapsed="false">
      <c r="A1156" s="123" t="n">
        <v>45444</v>
      </c>
      <c r="B1156" s="31" t="s">
        <v>153</v>
      </c>
      <c r="C1156" s="129"/>
      <c r="D1156" s="129"/>
      <c r="E1156" s="19" t="n">
        <f aca="false">F1156*0.03</f>
        <v>0</v>
      </c>
      <c r="F1156" s="33" t="n">
        <v>0</v>
      </c>
      <c r="G1156" s="131"/>
      <c r="H1156" s="35" t="n">
        <v>0</v>
      </c>
      <c r="I1156" s="34" t="n">
        <f aca="false">+IF(E1156=0,0,E1156*0.03)</f>
        <v>0</v>
      </c>
      <c r="J1156" s="93"/>
      <c r="K1156" s="93"/>
      <c r="L1156" s="93"/>
      <c r="M1156" s="93"/>
      <c r="N1156" s="93"/>
      <c r="O1156" s="93"/>
      <c r="P1156" s="93"/>
      <c r="Q1156" s="93"/>
      <c r="R1156" s="93"/>
      <c r="S1156" s="93"/>
      <c r="T1156" s="93"/>
      <c r="U1156" s="93"/>
      <c r="V1156" s="93"/>
      <c r="W1156" s="93"/>
      <c r="X1156" s="93"/>
      <c r="Y1156" s="93"/>
      <c r="Z1156" s="93"/>
    </row>
    <row r="1157" customFormat="false" ht="16.4" hidden="false" customHeight="false" outlineLevel="0" collapsed="false">
      <c r="A1157" s="123" t="n">
        <v>45444</v>
      </c>
      <c r="B1157" s="31" t="s">
        <v>153</v>
      </c>
      <c r="C1157" s="129"/>
      <c r="D1157" s="129"/>
      <c r="E1157" s="19" t="n">
        <f aca="false">F1157*0.03</f>
        <v>0</v>
      </c>
      <c r="F1157" s="33" t="n">
        <v>0</v>
      </c>
      <c r="G1157" s="131"/>
      <c r="H1157" s="35" t="n">
        <v>0</v>
      </c>
      <c r="I1157" s="34" t="n">
        <f aca="false">+IF(E1157=0,0,E1157*0.03)</f>
        <v>0</v>
      </c>
      <c r="J1157" s="93"/>
      <c r="K1157" s="93"/>
      <c r="L1157" s="93"/>
      <c r="M1157" s="93"/>
      <c r="N1157" s="93"/>
      <c r="O1157" s="93"/>
      <c r="P1157" s="93"/>
      <c r="Q1157" s="93"/>
      <c r="R1157" s="93"/>
      <c r="S1157" s="93"/>
      <c r="T1157" s="93"/>
      <c r="U1157" s="93"/>
      <c r="V1157" s="93"/>
      <c r="W1157" s="93"/>
      <c r="X1157" s="93"/>
      <c r="Y1157" s="93"/>
      <c r="Z1157" s="93"/>
    </row>
    <row r="1158" customFormat="false" ht="16.4" hidden="false" customHeight="false" outlineLevel="0" collapsed="false">
      <c r="A1158" s="123" t="n">
        <v>45444</v>
      </c>
      <c r="B1158" s="31" t="s">
        <v>153</v>
      </c>
      <c r="C1158" s="129"/>
      <c r="D1158" s="129"/>
      <c r="E1158" s="19" t="n">
        <f aca="false">F1158*0.03</f>
        <v>0</v>
      </c>
      <c r="F1158" s="33" t="n">
        <v>0</v>
      </c>
      <c r="G1158" s="131"/>
      <c r="H1158" s="35" t="n">
        <v>0</v>
      </c>
      <c r="I1158" s="34" t="n">
        <f aca="false">+IF(E1158=0,0,E1158*0.03)</f>
        <v>0</v>
      </c>
      <c r="J1158" s="93"/>
      <c r="K1158" s="93"/>
      <c r="L1158" s="93"/>
      <c r="M1158" s="93"/>
      <c r="N1158" s="93"/>
      <c r="O1158" s="93"/>
      <c r="P1158" s="93"/>
      <c r="Q1158" s="93"/>
      <c r="R1158" s="93"/>
      <c r="S1158" s="93"/>
      <c r="T1158" s="93"/>
      <c r="U1158" s="93"/>
      <c r="V1158" s="93"/>
      <c r="W1158" s="93"/>
      <c r="X1158" s="93"/>
      <c r="Y1158" s="93"/>
      <c r="Z1158" s="93"/>
    </row>
    <row r="1159" customFormat="false" ht="16.4" hidden="false" customHeight="false" outlineLevel="0" collapsed="false">
      <c r="A1159" s="123" t="n">
        <v>45444</v>
      </c>
      <c r="B1159" s="31" t="s">
        <v>153</v>
      </c>
      <c r="C1159" s="129"/>
      <c r="D1159" s="129"/>
      <c r="E1159" s="19" t="n">
        <f aca="false">F1159*0.03</f>
        <v>0</v>
      </c>
      <c r="F1159" s="33" t="n">
        <v>0</v>
      </c>
      <c r="G1159" s="131"/>
      <c r="H1159" s="35" t="n">
        <v>0</v>
      </c>
      <c r="I1159" s="34" t="n">
        <f aca="false">+IF(E1159=0,0,E1159*0.03)</f>
        <v>0</v>
      </c>
      <c r="J1159" s="93"/>
      <c r="K1159" s="93"/>
      <c r="L1159" s="93"/>
      <c r="M1159" s="93"/>
      <c r="N1159" s="93"/>
      <c r="O1159" s="93"/>
      <c r="P1159" s="93"/>
      <c r="Q1159" s="93"/>
      <c r="R1159" s="93"/>
      <c r="S1159" s="93"/>
      <c r="T1159" s="93"/>
      <c r="U1159" s="93"/>
      <c r="V1159" s="93"/>
      <c r="W1159" s="93"/>
      <c r="X1159" s="93"/>
      <c r="Y1159" s="93"/>
      <c r="Z1159" s="93"/>
    </row>
    <row r="1160" customFormat="false" ht="16.4" hidden="false" customHeight="false" outlineLevel="0" collapsed="false">
      <c r="A1160" s="123" t="n">
        <v>45444</v>
      </c>
      <c r="B1160" s="31" t="s">
        <v>153</v>
      </c>
      <c r="C1160" s="129"/>
      <c r="D1160" s="129"/>
      <c r="E1160" s="19" t="n">
        <f aca="false">F1160*0.03</f>
        <v>0</v>
      </c>
      <c r="F1160" s="33" t="n">
        <v>0</v>
      </c>
      <c r="G1160" s="131"/>
      <c r="H1160" s="35" t="n">
        <v>0</v>
      </c>
      <c r="I1160" s="34" t="n">
        <f aca="false">+IF(E1160=0,0,E1160*0.03)</f>
        <v>0</v>
      </c>
      <c r="J1160" s="93"/>
      <c r="K1160" s="93"/>
      <c r="L1160" s="93"/>
      <c r="M1160" s="93"/>
      <c r="N1160" s="93"/>
      <c r="O1160" s="93"/>
      <c r="P1160" s="93"/>
      <c r="Q1160" s="93"/>
      <c r="R1160" s="93"/>
      <c r="S1160" s="93"/>
      <c r="T1160" s="93"/>
      <c r="U1160" s="93"/>
      <c r="V1160" s="93"/>
      <c r="W1160" s="93"/>
      <c r="X1160" s="93"/>
      <c r="Y1160" s="93"/>
      <c r="Z1160" s="93"/>
    </row>
    <row r="1161" customFormat="false" ht="16.4" hidden="false" customHeight="false" outlineLevel="0" collapsed="false">
      <c r="A1161" s="123" t="n">
        <v>45444</v>
      </c>
      <c r="B1161" s="31" t="s">
        <v>153</v>
      </c>
      <c r="C1161" s="129"/>
      <c r="D1161" s="129"/>
      <c r="E1161" s="19" t="n">
        <f aca="false">F1161*0.03</f>
        <v>0</v>
      </c>
      <c r="F1161" s="33" t="n">
        <v>0</v>
      </c>
      <c r="G1161" s="131"/>
      <c r="H1161" s="35" t="n">
        <v>0</v>
      </c>
      <c r="I1161" s="34" t="n">
        <f aca="false">+IF(E1161=0,0,E1161*0.03)</f>
        <v>0</v>
      </c>
      <c r="J1161" s="93"/>
      <c r="K1161" s="93"/>
      <c r="L1161" s="93"/>
      <c r="M1161" s="93"/>
      <c r="N1161" s="93"/>
      <c r="O1161" s="93"/>
      <c r="P1161" s="93"/>
      <c r="Q1161" s="93"/>
      <c r="R1161" s="93"/>
      <c r="S1161" s="93"/>
      <c r="T1161" s="93"/>
      <c r="U1161" s="93"/>
      <c r="V1161" s="93"/>
      <c r="W1161" s="93"/>
      <c r="X1161" s="93"/>
      <c r="Y1161" s="93"/>
      <c r="Z1161" s="93"/>
    </row>
    <row r="1162" customFormat="false" ht="16.4" hidden="false" customHeight="false" outlineLevel="0" collapsed="false">
      <c r="A1162" s="123" t="n">
        <v>45444</v>
      </c>
      <c r="B1162" s="31" t="s">
        <v>153</v>
      </c>
      <c r="C1162" s="129"/>
      <c r="D1162" s="129"/>
      <c r="E1162" s="19" t="n">
        <f aca="false">F1162*0.03</f>
        <v>0</v>
      </c>
      <c r="F1162" s="33" t="n">
        <v>0</v>
      </c>
      <c r="G1162" s="131"/>
      <c r="H1162" s="35" t="n">
        <v>0</v>
      </c>
      <c r="I1162" s="34" t="n">
        <f aca="false">+IF(E1162=0,0,E1162*0.03)</f>
        <v>0</v>
      </c>
      <c r="J1162" s="93"/>
      <c r="K1162" s="93"/>
      <c r="L1162" s="93"/>
      <c r="M1162" s="93"/>
      <c r="N1162" s="93"/>
      <c r="O1162" s="93"/>
      <c r="P1162" s="93"/>
      <c r="Q1162" s="93"/>
      <c r="R1162" s="93"/>
      <c r="S1162" s="93"/>
      <c r="T1162" s="93"/>
      <c r="U1162" s="93"/>
      <c r="V1162" s="93"/>
      <c r="W1162" s="93"/>
      <c r="X1162" s="93"/>
      <c r="Y1162" s="93"/>
      <c r="Z1162" s="93"/>
    </row>
    <row r="1163" customFormat="false" ht="16.4" hidden="false" customHeight="false" outlineLevel="0" collapsed="false">
      <c r="A1163" s="123" t="n">
        <v>45444</v>
      </c>
      <c r="B1163" s="31" t="s">
        <v>153</v>
      </c>
      <c r="C1163" s="129"/>
      <c r="D1163" s="129"/>
      <c r="E1163" s="19" t="n">
        <f aca="false">F1163*0.03</f>
        <v>0</v>
      </c>
      <c r="F1163" s="33" t="n">
        <v>0</v>
      </c>
      <c r="G1163" s="131"/>
      <c r="H1163" s="35" t="n">
        <v>0</v>
      </c>
      <c r="I1163" s="34" t="n">
        <f aca="false">+IF(E1163=0,0,E1163*0.03)</f>
        <v>0</v>
      </c>
      <c r="J1163" s="93"/>
      <c r="K1163" s="93"/>
      <c r="L1163" s="93"/>
      <c r="M1163" s="93"/>
      <c r="N1163" s="93"/>
      <c r="O1163" s="93"/>
      <c r="P1163" s="93"/>
      <c r="Q1163" s="93"/>
      <c r="R1163" s="93"/>
      <c r="S1163" s="93"/>
      <c r="T1163" s="93"/>
      <c r="U1163" s="93"/>
      <c r="V1163" s="93"/>
      <c r="W1163" s="93"/>
      <c r="X1163" s="93"/>
      <c r="Y1163" s="93"/>
      <c r="Z1163" s="93"/>
    </row>
    <row r="1164" customFormat="false" ht="16.4" hidden="false" customHeight="false" outlineLevel="0" collapsed="false">
      <c r="A1164" s="123" t="n">
        <v>45444</v>
      </c>
      <c r="B1164" s="31" t="s">
        <v>153</v>
      </c>
      <c r="C1164" s="129"/>
      <c r="D1164" s="129"/>
      <c r="E1164" s="19" t="n">
        <f aca="false">F1164*0.03</f>
        <v>0</v>
      </c>
      <c r="F1164" s="33" t="n">
        <v>0</v>
      </c>
      <c r="G1164" s="131"/>
      <c r="H1164" s="35" t="n">
        <v>0</v>
      </c>
      <c r="I1164" s="34" t="n">
        <f aca="false">+IF(E1164=0,0,E1164*0.03)</f>
        <v>0</v>
      </c>
      <c r="J1164" s="93"/>
      <c r="K1164" s="93"/>
      <c r="L1164" s="93"/>
      <c r="M1164" s="93"/>
      <c r="N1164" s="93"/>
      <c r="O1164" s="93"/>
      <c r="P1164" s="93"/>
      <c r="Q1164" s="93"/>
      <c r="R1164" s="93"/>
      <c r="S1164" s="93"/>
      <c r="T1164" s="93"/>
      <c r="U1164" s="93"/>
      <c r="V1164" s="93"/>
      <c r="W1164" s="93"/>
      <c r="X1164" s="93"/>
      <c r="Y1164" s="93"/>
      <c r="Z1164" s="93"/>
    </row>
    <row r="1165" customFormat="false" ht="16.4" hidden="false" customHeight="false" outlineLevel="0" collapsed="false">
      <c r="A1165" s="123" t="n">
        <v>45444</v>
      </c>
      <c r="B1165" s="31" t="s">
        <v>153</v>
      </c>
      <c r="C1165" s="129"/>
      <c r="D1165" s="129"/>
      <c r="E1165" s="19" t="n">
        <f aca="false">F1165*0.03</f>
        <v>0</v>
      </c>
      <c r="F1165" s="33" t="n">
        <v>0</v>
      </c>
      <c r="G1165" s="131"/>
      <c r="H1165" s="35" t="n">
        <v>0</v>
      </c>
      <c r="I1165" s="34" t="n">
        <f aca="false">+IF(E1165=0,0,E1165*0.03)</f>
        <v>0</v>
      </c>
      <c r="J1165" s="93"/>
      <c r="K1165" s="93"/>
      <c r="L1165" s="93"/>
      <c r="M1165" s="93"/>
      <c r="N1165" s="93"/>
      <c r="O1165" s="93"/>
      <c r="P1165" s="93"/>
      <c r="Q1165" s="93"/>
      <c r="R1165" s="93"/>
      <c r="S1165" s="93"/>
      <c r="T1165" s="93"/>
      <c r="U1165" s="93"/>
      <c r="V1165" s="93"/>
      <c r="W1165" s="93"/>
      <c r="X1165" s="93"/>
      <c r="Y1165" s="93"/>
      <c r="Z1165" s="93"/>
    </row>
    <row r="1166" customFormat="false" ht="16.4" hidden="false" customHeight="false" outlineLevel="0" collapsed="false">
      <c r="A1166" s="123" t="n">
        <v>45444</v>
      </c>
      <c r="B1166" s="31" t="s">
        <v>153</v>
      </c>
      <c r="C1166" s="129"/>
      <c r="D1166" s="129"/>
      <c r="E1166" s="19" t="n">
        <f aca="false">F1166*0.03</f>
        <v>0</v>
      </c>
      <c r="F1166" s="33" t="n">
        <v>0</v>
      </c>
      <c r="G1166" s="131"/>
      <c r="H1166" s="35" t="n">
        <v>0</v>
      </c>
      <c r="I1166" s="34" t="n">
        <f aca="false">+IF(E1166=0,0,E1166*0.03)</f>
        <v>0</v>
      </c>
      <c r="J1166" s="93"/>
      <c r="K1166" s="93"/>
      <c r="L1166" s="93"/>
      <c r="M1166" s="93"/>
      <c r="N1166" s="93"/>
      <c r="O1166" s="93"/>
      <c r="P1166" s="93"/>
      <c r="Q1166" s="93"/>
      <c r="R1166" s="93"/>
      <c r="S1166" s="93"/>
      <c r="T1166" s="93"/>
      <c r="U1166" s="93"/>
      <c r="V1166" s="93"/>
      <c r="W1166" s="93"/>
      <c r="X1166" s="93"/>
      <c r="Y1166" s="93"/>
      <c r="Z1166" s="93"/>
    </row>
    <row r="1167" customFormat="false" ht="16.4" hidden="false" customHeight="false" outlineLevel="0" collapsed="false">
      <c r="A1167" s="123" t="n">
        <v>45444</v>
      </c>
      <c r="B1167" s="31" t="s">
        <v>153</v>
      </c>
      <c r="C1167" s="129"/>
      <c r="D1167" s="129"/>
      <c r="E1167" s="19" t="n">
        <f aca="false">F1167*0.03</f>
        <v>0</v>
      </c>
      <c r="F1167" s="33" t="n">
        <v>0</v>
      </c>
      <c r="G1167" s="131"/>
      <c r="H1167" s="35" t="n">
        <v>0</v>
      </c>
      <c r="I1167" s="34" t="n">
        <f aca="false">+IF(E1167=0,0,E1167*0.03)</f>
        <v>0</v>
      </c>
      <c r="J1167" s="93"/>
      <c r="K1167" s="93"/>
      <c r="L1167" s="93"/>
      <c r="M1167" s="93"/>
      <c r="N1167" s="93"/>
      <c r="O1167" s="93"/>
      <c r="P1167" s="93"/>
      <c r="Q1167" s="93"/>
      <c r="R1167" s="93"/>
      <c r="S1167" s="93"/>
      <c r="T1167" s="93"/>
      <c r="U1167" s="93"/>
      <c r="V1167" s="93"/>
      <c r="W1167" s="93"/>
      <c r="X1167" s="93"/>
      <c r="Y1167" s="93"/>
      <c r="Z1167" s="93"/>
    </row>
    <row r="1168" customFormat="false" ht="16.4" hidden="false" customHeight="false" outlineLevel="0" collapsed="false">
      <c r="A1168" s="123" t="n">
        <v>45444</v>
      </c>
      <c r="B1168" s="31" t="s">
        <v>153</v>
      </c>
      <c r="C1168" s="129"/>
      <c r="D1168" s="129"/>
      <c r="E1168" s="19" t="n">
        <f aca="false">F1168*0.03</f>
        <v>0</v>
      </c>
      <c r="F1168" s="33" t="n">
        <v>0</v>
      </c>
      <c r="G1168" s="131"/>
      <c r="H1168" s="35" t="n">
        <v>0</v>
      </c>
      <c r="I1168" s="34" t="n">
        <f aca="false">+IF(E1168=0,0,E1168*0.03)</f>
        <v>0</v>
      </c>
      <c r="J1168" s="93"/>
      <c r="K1168" s="93"/>
      <c r="L1168" s="93"/>
      <c r="M1168" s="93"/>
      <c r="N1168" s="93"/>
      <c r="O1168" s="93"/>
      <c r="P1168" s="93"/>
      <c r="Q1168" s="93"/>
      <c r="R1168" s="93"/>
      <c r="S1168" s="93"/>
      <c r="T1168" s="93"/>
      <c r="U1168" s="93"/>
      <c r="V1168" s="93"/>
      <c r="W1168" s="93"/>
      <c r="X1168" s="93"/>
      <c r="Y1168" s="93"/>
      <c r="Z1168" s="93"/>
    </row>
    <row r="1169" customFormat="false" ht="16.4" hidden="false" customHeight="false" outlineLevel="0" collapsed="false">
      <c r="A1169" s="123" t="n">
        <v>45444</v>
      </c>
      <c r="B1169" s="31" t="s">
        <v>153</v>
      </c>
      <c r="C1169" s="129"/>
      <c r="D1169" s="129"/>
      <c r="E1169" s="19" t="n">
        <f aca="false">F1169*0.03</f>
        <v>0</v>
      </c>
      <c r="F1169" s="33" t="n">
        <v>0</v>
      </c>
      <c r="G1169" s="131"/>
      <c r="H1169" s="35" t="n">
        <v>0</v>
      </c>
      <c r="I1169" s="34" t="n">
        <f aca="false">+IF(E1169=0,0,E1169*0.03)</f>
        <v>0</v>
      </c>
      <c r="J1169" s="93"/>
      <c r="K1169" s="93"/>
      <c r="L1169" s="93"/>
      <c r="M1169" s="93"/>
      <c r="N1169" s="93"/>
      <c r="O1169" s="93"/>
      <c r="P1169" s="93"/>
      <c r="Q1169" s="93"/>
      <c r="R1169" s="93"/>
      <c r="S1169" s="93"/>
      <c r="T1169" s="93"/>
      <c r="U1169" s="93"/>
      <c r="V1169" s="93"/>
      <c r="W1169" s="93"/>
      <c r="X1169" s="93"/>
      <c r="Y1169" s="93"/>
      <c r="Z1169" s="93"/>
    </row>
    <row r="1170" customFormat="false" ht="16.4" hidden="false" customHeight="false" outlineLevel="0" collapsed="false">
      <c r="A1170" s="123" t="n">
        <v>45444</v>
      </c>
      <c r="B1170" s="31" t="s">
        <v>153</v>
      </c>
      <c r="C1170" s="129"/>
      <c r="D1170" s="129"/>
      <c r="E1170" s="19" t="n">
        <f aca="false">F1170*0.03</f>
        <v>0</v>
      </c>
      <c r="F1170" s="33" t="n">
        <v>0</v>
      </c>
      <c r="G1170" s="131"/>
      <c r="H1170" s="35" t="n">
        <v>0</v>
      </c>
      <c r="I1170" s="34" t="n">
        <f aca="false">+IF(E1170=0,0,E1170*0.03)</f>
        <v>0</v>
      </c>
      <c r="J1170" s="93"/>
      <c r="K1170" s="93"/>
      <c r="L1170" s="93"/>
      <c r="M1170" s="93"/>
      <c r="N1170" s="93"/>
      <c r="O1170" s="93"/>
      <c r="P1170" s="93"/>
      <c r="Q1170" s="93"/>
      <c r="R1170" s="93"/>
      <c r="S1170" s="93"/>
      <c r="T1170" s="93"/>
      <c r="U1170" s="93"/>
      <c r="V1170" s="93"/>
      <c r="W1170" s="93"/>
      <c r="X1170" s="93"/>
      <c r="Y1170" s="93"/>
      <c r="Z1170" s="93"/>
    </row>
    <row r="1171" customFormat="false" ht="16.4" hidden="false" customHeight="false" outlineLevel="0" collapsed="false">
      <c r="A1171" s="123" t="n">
        <v>45444</v>
      </c>
      <c r="B1171" s="31" t="s">
        <v>153</v>
      </c>
      <c r="C1171" s="129"/>
      <c r="D1171" s="129"/>
      <c r="E1171" s="19" t="n">
        <f aca="false">F1171*0.03</f>
        <v>0</v>
      </c>
      <c r="F1171" s="33" t="n">
        <v>0</v>
      </c>
      <c r="G1171" s="131"/>
      <c r="H1171" s="35" t="n">
        <v>0</v>
      </c>
      <c r="I1171" s="34" t="n">
        <f aca="false">+IF(E1171=0,0,E1171*0.03)</f>
        <v>0</v>
      </c>
      <c r="J1171" s="93"/>
      <c r="K1171" s="93"/>
      <c r="L1171" s="93"/>
      <c r="M1171" s="93"/>
      <c r="N1171" s="93"/>
      <c r="O1171" s="93"/>
      <c r="P1171" s="93"/>
      <c r="Q1171" s="93"/>
      <c r="R1171" s="93"/>
      <c r="S1171" s="93"/>
      <c r="T1171" s="93"/>
      <c r="U1171" s="93"/>
      <c r="V1171" s="93"/>
      <c r="W1171" s="93"/>
      <c r="X1171" s="93"/>
      <c r="Y1171" s="93"/>
      <c r="Z1171" s="93"/>
    </row>
    <row r="1172" customFormat="false" ht="16.4" hidden="false" customHeight="false" outlineLevel="0" collapsed="false">
      <c r="A1172" s="123" t="n">
        <v>45444</v>
      </c>
      <c r="B1172" s="31" t="s">
        <v>153</v>
      </c>
      <c r="C1172" s="129"/>
      <c r="D1172" s="129"/>
      <c r="E1172" s="19" t="n">
        <f aca="false">F1172*0.03</f>
        <v>0</v>
      </c>
      <c r="F1172" s="33" t="n">
        <v>0</v>
      </c>
      <c r="G1172" s="131"/>
      <c r="H1172" s="35" t="n">
        <v>0</v>
      </c>
      <c r="I1172" s="34" t="n">
        <f aca="false">+IF(E1172=0,0,E1172*0.03)</f>
        <v>0</v>
      </c>
      <c r="J1172" s="93"/>
      <c r="K1172" s="93"/>
      <c r="L1172" s="93"/>
      <c r="M1172" s="93"/>
      <c r="N1172" s="93"/>
      <c r="O1172" s="93"/>
      <c r="P1172" s="93"/>
      <c r="Q1172" s="93"/>
      <c r="R1172" s="93"/>
      <c r="S1172" s="93"/>
      <c r="T1172" s="93"/>
      <c r="U1172" s="93"/>
      <c r="V1172" s="93"/>
      <c r="W1172" s="93"/>
      <c r="X1172" s="93"/>
      <c r="Y1172" s="93"/>
      <c r="Z1172" s="93"/>
    </row>
    <row r="1173" customFormat="false" ht="16.4" hidden="false" customHeight="false" outlineLevel="0" collapsed="false">
      <c r="A1173" s="123" t="n">
        <v>45444</v>
      </c>
      <c r="B1173" s="31" t="s">
        <v>153</v>
      </c>
      <c r="C1173" s="129"/>
      <c r="D1173" s="129"/>
      <c r="E1173" s="19" t="n">
        <f aca="false">F1173*0.03</f>
        <v>0</v>
      </c>
      <c r="F1173" s="33" t="n">
        <v>0</v>
      </c>
      <c r="G1173" s="131"/>
      <c r="H1173" s="35" t="n">
        <v>0</v>
      </c>
      <c r="I1173" s="34" t="n">
        <f aca="false">+IF(E1173=0,0,E1173*0.03)</f>
        <v>0</v>
      </c>
      <c r="J1173" s="93"/>
      <c r="K1173" s="93"/>
      <c r="L1173" s="93"/>
      <c r="M1173" s="93"/>
      <c r="N1173" s="93"/>
      <c r="O1173" s="93"/>
      <c r="P1173" s="93"/>
      <c r="Q1173" s="93"/>
      <c r="R1173" s="93"/>
      <c r="S1173" s="93"/>
      <c r="T1173" s="93"/>
      <c r="U1173" s="93"/>
      <c r="V1173" s="93"/>
      <c r="W1173" s="93"/>
      <c r="X1173" s="93"/>
      <c r="Y1173" s="93"/>
      <c r="Z1173" s="93"/>
    </row>
    <row r="1174" customFormat="false" ht="16.4" hidden="false" customHeight="false" outlineLevel="0" collapsed="false">
      <c r="A1174" s="123" t="n">
        <v>45444</v>
      </c>
      <c r="B1174" s="31" t="s">
        <v>153</v>
      </c>
      <c r="C1174" s="129"/>
      <c r="D1174" s="129"/>
      <c r="E1174" s="19" t="n">
        <f aca="false">F1174*0.03</f>
        <v>0</v>
      </c>
      <c r="F1174" s="33" t="n">
        <v>0</v>
      </c>
      <c r="G1174" s="131"/>
      <c r="H1174" s="35" t="n">
        <v>0</v>
      </c>
      <c r="I1174" s="34" t="n">
        <f aca="false">+IF(E1174=0,0,E1174*0.03)</f>
        <v>0</v>
      </c>
      <c r="J1174" s="93"/>
      <c r="K1174" s="93"/>
      <c r="L1174" s="93"/>
      <c r="M1174" s="93"/>
      <c r="N1174" s="93"/>
      <c r="O1174" s="93"/>
      <c r="P1174" s="93"/>
      <c r="Q1174" s="93"/>
      <c r="R1174" s="93"/>
      <c r="S1174" s="93"/>
      <c r="T1174" s="93"/>
      <c r="U1174" s="93"/>
      <c r="V1174" s="93"/>
      <c r="W1174" s="93"/>
      <c r="X1174" s="93"/>
      <c r="Y1174" s="93"/>
      <c r="Z1174" s="93"/>
    </row>
    <row r="1175" customFormat="false" ht="16.4" hidden="false" customHeight="false" outlineLevel="0" collapsed="false">
      <c r="A1175" s="123" t="n">
        <v>45444</v>
      </c>
      <c r="B1175" s="31" t="s">
        <v>153</v>
      </c>
      <c r="C1175" s="129"/>
      <c r="D1175" s="129"/>
      <c r="E1175" s="19" t="n">
        <f aca="false">F1175*0.03</f>
        <v>0</v>
      </c>
      <c r="F1175" s="33" t="n">
        <v>0</v>
      </c>
      <c r="G1175" s="131"/>
      <c r="H1175" s="35" t="n">
        <v>0</v>
      </c>
      <c r="I1175" s="34" t="n">
        <f aca="false">+IF(E1175=0,0,E1175*0.03)</f>
        <v>0</v>
      </c>
      <c r="J1175" s="93"/>
      <c r="K1175" s="93"/>
      <c r="L1175" s="93"/>
      <c r="M1175" s="93"/>
      <c r="N1175" s="93"/>
      <c r="O1175" s="93"/>
      <c r="P1175" s="93"/>
      <c r="Q1175" s="93"/>
      <c r="R1175" s="93"/>
      <c r="S1175" s="93"/>
      <c r="T1175" s="93"/>
      <c r="U1175" s="93"/>
      <c r="V1175" s="93"/>
      <c r="W1175" s="93"/>
      <c r="X1175" s="93"/>
      <c r="Y1175" s="93"/>
      <c r="Z1175" s="93"/>
    </row>
    <row r="1176" customFormat="false" ht="16.4" hidden="false" customHeight="false" outlineLevel="0" collapsed="false">
      <c r="A1176" s="123" t="n">
        <v>45444</v>
      </c>
      <c r="B1176" s="31" t="s">
        <v>153</v>
      </c>
      <c r="C1176" s="129"/>
      <c r="D1176" s="129"/>
      <c r="E1176" s="19" t="n">
        <f aca="false">F1176*0.03</f>
        <v>0</v>
      </c>
      <c r="F1176" s="33" t="n">
        <v>0</v>
      </c>
      <c r="G1176" s="131"/>
      <c r="H1176" s="35" t="n">
        <v>0</v>
      </c>
      <c r="I1176" s="34" t="n">
        <f aca="false">+IF(E1176=0,0,E1176*0.03)</f>
        <v>0</v>
      </c>
      <c r="J1176" s="93"/>
      <c r="K1176" s="93"/>
      <c r="L1176" s="93"/>
      <c r="M1176" s="93"/>
      <c r="N1176" s="93"/>
      <c r="O1176" s="93"/>
      <c r="P1176" s="93"/>
      <c r="Q1176" s="93"/>
      <c r="R1176" s="93"/>
      <c r="S1176" s="93"/>
      <c r="T1176" s="93"/>
      <c r="U1176" s="93"/>
      <c r="V1176" s="93"/>
      <c r="W1176" s="93"/>
      <c r="X1176" s="93"/>
      <c r="Y1176" s="93"/>
      <c r="Z1176" s="93"/>
    </row>
    <row r="1177" customFormat="false" ht="16.4" hidden="false" customHeight="false" outlineLevel="0" collapsed="false">
      <c r="A1177" s="123" t="n">
        <v>45444</v>
      </c>
      <c r="B1177" s="31" t="s">
        <v>153</v>
      </c>
      <c r="C1177" s="129"/>
      <c r="D1177" s="129"/>
      <c r="E1177" s="19" t="n">
        <f aca="false">F1177*0.03</f>
        <v>0</v>
      </c>
      <c r="F1177" s="33" t="n">
        <v>0</v>
      </c>
      <c r="G1177" s="131"/>
      <c r="H1177" s="35" t="n">
        <v>0</v>
      </c>
      <c r="I1177" s="34" t="n">
        <f aca="false">+IF(E1177=0,0,E1177*0.03)</f>
        <v>0</v>
      </c>
      <c r="J1177" s="93"/>
      <c r="K1177" s="93"/>
      <c r="L1177" s="93"/>
      <c r="M1177" s="93"/>
      <c r="N1177" s="93"/>
      <c r="O1177" s="93"/>
      <c r="P1177" s="93"/>
      <c r="Q1177" s="93"/>
      <c r="R1177" s="93"/>
      <c r="S1177" s="93"/>
      <c r="T1177" s="93"/>
      <c r="U1177" s="93"/>
      <c r="V1177" s="93"/>
      <c r="W1177" s="93"/>
      <c r="X1177" s="93"/>
      <c r="Y1177" s="93"/>
      <c r="Z1177" s="93"/>
    </row>
    <row r="1178" customFormat="false" ht="16.4" hidden="false" customHeight="false" outlineLevel="0" collapsed="false">
      <c r="A1178" s="123" t="n">
        <v>45444</v>
      </c>
      <c r="B1178" s="31" t="s">
        <v>153</v>
      </c>
      <c r="C1178" s="129"/>
      <c r="D1178" s="129"/>
      <c r="E1178" s="19" t="n">
        <f aca="false">F1178*0.03</f>
        <v>0</v>
      </c>
      <c r="F1178" s="33" t="n">
        <v>0</v>
      </c>
      <c r="G1178" s="131"/>
      <c r="H1178" s="35" t="n">
        <v>0</v>
      </c>
      <c r="I1178" s="34" t="n">
        <f aca="false">+IF(E1178=0,0,E1178*0.03)</f>
        <v>0</v>
      </c>
      <c r="J1178" s="93"/>
      <c r="K1178" s="93"/>
      <c r="L1178" s="93"/>
      <c r="M1178" s="93"/>
      <c r="N1178" s="93"/>
      <c r="O1178" s="93"/>
      <c r="P1178" s="93"/>
      <c r="Q1178" s="93"/>
      <c r="R1178" s="93"/>
      <c r="S1178" s="93"/>
      <c r="T1178" s="93"/>
      <c r="U1178" s="93"/>
      <c r="V1178" s="93"/>
      <c r="W1178" s="93"/>
      <c r="X1178" s="93"/>
      <c r="Y1178" s="93"/>
      <c r="Z1178" s="93"/>
    </row>
    <row r="1179" customFormat="false" ht="16.4" hidden="false" customHeight="false" outlineLevel="0" collapsed="false">
      <c r="A1179" s="123" t="n">
        <v>45444</v>
      </c>
      <c r="B1179" s="31" t="s">
        <v>153</v>
      </c>
      <c r="C1179" s="129"/>
      <c r="D1179" s="129"/>
      <c r="E1179" s="19" t="n">
        <f aca="false">F1179*0.03</f>
        <v>0</v>
      </c>
      <c r="F1179" s="33" t="n">
        <v>0</v>
      </c>
      <c r="G1179" s="131"/>
      <c r="H1179" s="35" t="n">
        <v>0</v>
      </c>
      <c r="I1179" s="34" t="n">
        <f aca="false">+IF(E1179=0,0,E1179*0.03)</f>
        <v>0</v>
      </c>
      <c r="J1179" s="93"/>
      <c r="K1179" s="93"/>
      <c r="L1179" s="93"/>
      <c r="M1179" s="93"/>
      <c r="N1179" s="93"/>
      <c r="O1179" s="93"/>
      <c r="P1179" s="93"/>
      <c r="Q1179" s="93"/>
      <c r="R1179" s="93"/>
      <c r="S1179" s="93"/>
      <c r="T1179" s="93"/>
      <c r="U1179" s="93"/>
      <c r="V1179" s="93"/>
      <c r="W1179" s="93"/>
      <c r="X1179" s="93"/>
      <c r="Y1179" s="93"/>
      <c r="Z1179" s="93"/>
    </row>
    <row r="1180" customFormat="false" ht="16.4" hidden="false" customHeight="false" outlineLevel="0" collapsed="false">
      <c r="A1180" s="123" t="n">
        <v>45444</v>
      </c>
      <c r="B1180" s="31" t="s">
        <v>153</v>
      </c>
      <c r="C1180" s="129"/>
      <c r="D1180" s="129"/>
      <c r="E1180" s="19" t="n">
        <f aca="false">F1180*0.03</f>
        <v>0</v>
      </c>
      <c r="F1180" s="33" t="n">
        <v>0</v>
      </c>
      <c r="G1180" s="131"/>
      <c r="H1180" s="35" t="n">
        <v>0</v>
      </c>
      <c r="I1180" s="34" t="n">
        <f aca="false">+IF(E1180=0,0,E1180*0.03)</f>
        <v>0</v>
      </c>
      <c r="J1180" s="93"/>
      <c r="K1180" s="93"/>
      <c r="L1180" s="93"/>
      <c r="M1180" s="93"/>
      <c r="N1180" s="93"/>
      <c r="O1180" s="93"/>
      <c r="P1180" s="93"/>
      <c r="Q1180" s="93"/>
      <c r="R1180" s="93"/>
      <c r="S1180" s="93"/>
      <c r="T1180" s="93"/>
      <c r="U1180" s="93"/>
      <c r="V1180" s="93"/>
      <c r="W1180" s="93"/>
      <c r="X1180" s="93"/>
      <c r="Y1180" s="93"/>
      <c r="Z1180" s="93"/>
    </row>
    <row r="1181" customFormat="false" ht="16.4" hidden="false" customHeight="false" outlineLevel="0" collapsed="false">
      <c r="A1181" s="123" t="n">
        <v>45444</v>
      </c>
      <c r="B1181" s="31" t="s">
        <v>153</v>
      </c>
      <c r="C1181" s="129"/>
      <c r="D1181" s="129"/>
      <c r="E1181" s="19" t="n">
        <f aca="false">F1181*0.03</f>
        <v>0</v>
      </c>
      <c r="F1181" s="33" t="n">
        <v>0</v>
      </c>
      <c r="G1181" s="131"/>
      <c r="H1181" s="35" t="n">
        <v>0</v>
      </c>
      <c r="I1181" s="34" t="n">
        <f aca="false">+IF(E1181=0,0,E1181*0.03)</f>
        <v>0</v>
      </c>
      <c r="J1181" s="93"/>
      <c r="K1181" s="93"/>
      <c r="L1181" s="93"/>
      <c r="M1181" s="93"/>
      <c r="N1181" s="93"/>
      <c r="O1181" s="93"/>
      <c r="P1181" s="93"/>
      <c r="Q1181" s="93"/>
      <c r="R1181" s="93"/>
      <c r="S1181" s="93"/>
      <c r="T1181" s="93"/>
      <c r="U1181" s="93"/>
      <c r="V1181" s="93"/>
      <c r="W1181" s="93"/>
      <c r="X1181" s="93"/>
      <c r="Y1181" s="93"/>
      <c r="Z1181" s="93"/>
    </row>
    <row r="1182" customFormat="false" ht="16.4" hidden="false" customHeight="false" outlineLevel="0" collapsed="false">
      <c r="A1182" s="123" t="n">
        <v>45444</v>
      </c>
      <c r="B1182" s="31" t="s">
        <v>153</v>
      </c>
      <c r="C1182" s="129"/>
      <c r="D1182" s="129"/>
      <c r="E1182" s="19" t="n">
        <f aca="false">F1182*0.03</f>
        <v>0</v>
      </c>
      <c r="F1182" s="33" t="n">
        <v>0</v>
      </c>
      <c r="G1182" s="131"/>
      <c r="H1182" s="35" t="n">
        <v>0</v>
      </c>
      <c r="I1182" s="34" t="n">
        <f aca="false">+IF(E1182=0,0,E1182*0.03)</f>
        <v>0</v>
      </c>
      <c r="J1182" s="93"/>
      <c r="K1182" s="93"/>
      <c r="L1182" s="93"/>
      <c r="M1182" s="93"/>
      <c r="N1182" s="93"/>
      <c r="O1182" s="93"/>
      <c r="P1182" s="93"/>
      <c r="Q1182" s="93"/>
      <c r="R1182" s="93"/>
      <c r="S1182" s="93"/>
      <c r="T1182" s="93"/>
      <c r="U1182" s="93"/>
      <c r="V1182" s="93"/>
      <c r="W1182" s="93"/>
      <c r="X1182" s="93"/>
      <c r="Y1182" s="93"/>
      <c r="Z1182" s="93"/>
    </row>
    <row r="1183" customFormat="false" ht="16.4" hidden="false" customHeight="false" outlineLevel="0" collapsed="false">
      <c r="A1183" s="123" t="n">
        <v>45444</v>
      </c>
      <c r="B1183" s="31" t="s">
        <v>153</v>
      </c>
      <c r="C1183" s="129"/>
      <c r="D1183" s="129"/>
      <c r="E1183" s="19" t="n">
        <f aca="false">F1183*0.03</f>
        <v>0</v>
      </c>
      <c r="F1183" s="33" t="n">
        <v>0</v>
      </c>
      <c r="G1183" s="131"/>
      <c r="H1183" s="35" t="n">
        <v>0</v>
      </c>
      <c r="I1183" s="34" t="n">
        <f aca="false">+IF(E1183=0,0,E1183*0.03)</f>
        <v>0</v>
      </c>
      <c r="J1183" s="93"/>
      <c r="K1183" s="93"/>
      <c r="L1183" s="93"/>
      <c r="M1183" s="93"/>
      <c r="N1183" s="93"/>
      <c r="O1183" s="93"/>
      <c r="P1183" s="93"/>
      <c r="Q1183" s="93"/>
      <c r="R1183" s="93"/>
      <c r="S1183" s="93"/>
      <c r="T1183" s="93"/>
      <c r="U1183" s="93"/>
      <c r="V1183" s="93"/>
      <c r="W1183" s="93"/>
      <c r="X1183" s="93"/>
      <c r="Y1183" s="93"/>
      <c r="Z1183" s="93"/>
    </row>
    <row r="1184" customFormat="false" ht="16.4" hidden="false" customHeight="false" outlineLevel="0" collapsed="false">
      <c r="A1184" s="123" t="n">
        <v>45444</v>
      </c>
      <c r="B1184" s="31" t="s">
        <v>153</v>
      </c>
      <c r="C1184" s="129"/>
      <c r="D1184" s="129"/>
      <c r="E1184" s="19" t="n">
        <f aca="false">F1184*0.03</f>
        <v>0</v>
      </c>
      <c r="F1184" s="33" t="n">
        <v>0</v>
      </c>
      <c r="G1184" s="131"/>
      <c r="H1184" s="35" t="n">
        <v>0</v>
      </c>
      <c r="I1184" s="34" t="n">
        <f aca="false">+IF(E1184=0,0,E1184*0.03)</f>
        <v>0</v>
      </c>
      <c r="J1184" s="93"/>
      <c r="K1184" s="93"/>
      <c r="L1184" s="93"/>
      <c r="M1184" s="93"/>
      <c r="N1184" s="93"/>
      <c r="O1184" s="93"/>
      <c r="P1184" s="93"/>
      <c r="Q1184" s="93"/>
      <c r="R1184" s="93"/>
      <c r="S1184" s="93"/>
      <c r="T1184" s="93"/>
      <c r="U1184" s="93"/>
      <c r="V1184" s="93"/>
      <c r="W1184" s="93"/>
      <c r="X1184" s="93"/>
      <c r="Y1184" s="93"/>
      <c r="Z1184" s="93"/>
    </row>
    <row r="1185" customFormat="false" ht="16.4" hidden="false" customHeight="false" outlineLevel="0" collapsed="false">
      <c r="A1185" s="123" t="n">
        <v>45444</v>
      </c>
      <c r="B1185" s="31" t="s">
        <v>153</v>
      </c>
      <c r="C1185" s="129"/>
      <c r="D1185" s="129"/>
      <c r="E1185" s="19" t="n">
        <f aca="false">F1185*0.03</f>
        <v>0</v>
      </c>
      <c r="F1185" s="33" t="n">
        <v>0</v>
      </c>
      <c r="G1185" s="131"/>
      <c r="H1185" s="35" t="n">
        <v>0</v>
      </c>
      <c r="I1185" s="34" t="n">
        <f aca="false">+IF(E1185=0,0,E1185*0.03)</f>
        <v>0</v>
      </c>
      <c r="J1185" s="93"/>
      <c r="K1185" s="93"/>
      <c r="L1185" s="93"/>
      <c r="M1185" s="93"/>
      <c r="N1185" s="93"/>
      <c r="O1185" s="93"/>
      <c r="P1185" s="93"/>
      <c r="Q1185" s="93"/>
      <c r="R1185" s="93"/>
      <c r="S1185" s="93"/>
      <c r="T1185" s="93"/>
      <c r="U1185" s="93"/>
      <c r="V1185" s="93"/>
      <c r="W1185" s="93"/>
      <c r="X1185" s="93"/>
      <c r="Y1185" s="93"/>
      <c r="Z1185" s="93"/>
    </row>
    <row r="1186" customFormat="false" ht="16.4" hidden="false" customHeight="false" outlineLevel="0" collapsed="false">
      <c r="A1186" s="123" t="n">
        <v>45444</v>
      </c>
      <c r="B1186" s="31" t="s">
        <v>153</v>
      </c>
      <c r="C1186" s="129"/>
      <c r="D1186" s="129"/>
      <c r="E1186" s="19" t="n">
        <f aca="false">F1186*0.03</f>
        <v>0</v>
      </c>
      <c r="F1186" s="33" t="n">
        <v>0</v>
      </c>
      <c r="G1186" s="131"/>
      <c r="H1186" s="35" t="n">
        <v>0</v>
      </c>
      <c r="I1186" s="34" t="n">
        <f aca="false">+IF(E1186=0,0,E1186*0.03)</f>
        <v>0</v>
      </c>
      <c r="J1186" s="93"/>
      <c r="K1186" s="93"/>
      <c r="L1186" s="93"/>
      <c r="M1186" s="93"/>
      <c r="N1186" s="93"/>
      <c r="O1186" s="93"/>
      <c r="P1186" s="93"/>
      <c r="Q1186" s="93"/>
      <c r="R1186" s="93"/>
      <c r="S1186" s="93"/>
      <c r="T1186" s="93"/>
      <c r="U1186" s="93"/>
      <c r="V1186" s="93"/>
      <c r="W1186" s="93"/>
      <c r="X1186" s="93"/>
      <c r="Y1186" s="93"/>
      <c r="Z1186" s="93"/>
    </row>
    <row r="1187" customFormat="false" ht="16.4" hidden="false" customHeight="false" outlineLevel="0" collapsed="false">
      <c r="A1187" s="123" t="n">
        <v>45444</v>
      </c>
      <c r="B1187" s="31" t="s">
        <v>153</v>
      </c>
      <c r="C1187" s="129"/>
      <c r="D1187" s="129"/>
      <c r="E1187" s="19" t="n">
        <f aca="false">F1187*0.03</f>
        <v>0</v>
      </c>
      <c r="F1187" s="33" t="n">
        <v>0</v>
      </c>
      <c r="G1187" s="131"/>
      <c r="H1187" s="35" t="n">
        <v>0</v>
      </c>
      <c r="I1187" s="34" t="n">
        <f aca="false">+IF(E1187=0,0,E1187*0.03)</f>
        <v>0</v>
      </c>
      <c r="J1187" s="93"/>
      <c r="K1187" s="93"/>
      <c r="L1187" s="93"/>
      <c r="M1187" s="93"/>
      <c r="N1187" s="93"/>
      <c r="O1187" s="93"/>
      <c r="P1187" s="93"/>
      <c r="Q1187" s="93"/>
      <c r="R1187" s="93"/>
      <c r="S1187" s="93"/>
      <c r="T1187" s="93"/>
      <c r="U1187" s="93"/>
      <c r="V1187" s="93"/>
      <c r="W1187" s="93"/>
      <c r="X1187" s="93"/>
      <c r="Y1187" s="93"/>
      <c r="Z1187" s="93"/>
    </row>
    <row r="1188" customFormat="false" ht="16.4" hidden="false" customHeight="false" outlineLevel="0" collapsed="false">
      <c r="A1188" s="123" t="n">
        <v>45444</v>
      </c>
      <c r="B1188" s="31" t="s">
        <v>153</v>
      </c>
      <c r="C1188" s="129"/>
      <c r="D1188" s="129"/>
      <c r="E1188" s="19" t="n">
        <f aca="false">F1188*0.03</f>
        <v>0</v>
      </c>
      <c r="F1188" s="33" t="n">
        <v>0</v>
      </c>
      <c r="G1188" s="131"/>
      <c r="H1188" s="35" t="n">
        <v>0</v>
      </c>
      <c r="I1188" s="34" t="n">
        <f aca="false">+IF(E1188=0,0,E1188*0.03)</f>
        <v>0</v>
      </c>
      <c r="J1188" s="93"/>
      <c r="K1188" s="93"/>
      <c r="L1188" s="93"/>
      <c r="M1188" s="93"/>
      <c r="N1188" s="93"/>
      <c r="O1188" s="93"/>
      <c r="P1188" s="93"/>
      <c r="Q1188" s="93"/>
      <c r="R1188" s="93"/>
      <c r="S1188" s="93"/>
      <c r="T1188" s="93"/>
      <c r="U1188" s="93"/>
      <c r="V1188" s="93"/>
      <c r="W1188" s="93"/>
      <c r="X1188" s="93"/>
      <c r="Y1188" s="93"/>
      <c r="Z1188" s="93"/>
    </row>
    <row r="1189" customFormat="false" ht="16.4" hidden="false" customHeight="false" outlineLevel="0" collapsed="false">
      <c r="A1189" s="123" t="n">
        <v>45444</v>
      </c>
      <c r="B1189" s="31" t="s">
        <v>153</v>
      </c>
      <c r="C1189" s="129"/>
      <c r="D1189" s="129"/>
      <c r="E1189" s="19" t="n">
        <f aca="false">F1189*0.03</f>
        <v>0</v>
      </c>
      <c r="F1189" s="33" t="n">
        <v>0</v>
      </c>
      <c r="G1189" s="131"/>
      <c r="H1189" s="35" t="n">
        <v>0</v>
      </c>
      <c r="I1189" s="34" t="n">
        <f aca="false">+IF(E1189=0,0,E1189*0.03)</f>
        <v>0</v>
      </c>
      <c r="J1189" s="93"/>
      <c r="K1189" s="93"/>
      <c r="L1189" s="93"/>
      <c r="M1189" s="93"/>
      <c r="N1189" s="93"/>
      <c r="O1189" s="93"/>
      <c r="P1189" s="93"/>
      <c r="Q1189" s="93"/>
      <c r="R1189" s="93"/>
      <c r="S1189" s="93"/>
      <c r="T1189" s="93"/>
      <c r="U1189" s="93"/>
      <c r="V1189" s="93"/>
      <c r="W1189" s="93"/>
      <c r="X1189" s="93"/>
      <c r="Y1189" s="93"/>
      <c r="Z1189" s="93"/>
    </row>
    <row r="1190" customFormat="false" ht="16.4" hidden="false" customHeight="false" outlineLevel="0" collapsed="false">
      <c r="A1190" s="123" t="n">
        <v>45444</v>
      </c>
      <c r="B1190" s="31" t="s">
        <v>153</v>
      </c>
      <c r="C1190" s="129"/>
      <c r="D1190" s="129"/>
      <c r="E1190" s="19" t="n">
        <f aca="false">F1190*0.03</f>
        <v>0</v>
      </c>
      <c r="F1190" s="33" t="n">
        <v>0</v>
      </c>
      <c r="G1190" s="131"/>
      <c r="H1190" s="35" t="n">
        <v>0</v>
      </c>
      <c r="I1190" s="34" t="n">
        <f aca="false">+IF(E1190=0,0,E1190*0.03)</f>
        <v>0</v>
      </c>
      <c r="J1190" s="93"/>
      <c r="K1190" s="93"/>
      <c r="L1190" s="93"/>
      <c r="M1190" s="93"/>
      <c r="N1190" s="93"/>
      <c r="O1190" s="93"/>
      <c r="P1190" s="93"/>
      <c r="Q1190" s="93"/>
      <c r="R1190" s="93"/>
      <c r="S1190" s="93"/>
      <c r="T1190" s="93"/>
      <c r="U1190" s="93"/>
      <c r="V1190" s="93"/>
      <c r="W1190" s="93"/>
      <c r="X1190" s="93"/>
      <c r="Y1190" s="93"/>
      <c r="Z1190" s="93"/>
    </row>
    <row r="1191" customFormat="false" ht="16.4" hidden="false" customHeight="false" outlineLevel="0" collapsed="false">
      <c r="A1191" s="123" t="n">
        <v>45444</v>
      </c>
      <c r="B1191" s="31" t="s">
        <v>153</v>
      </c>
      <c r="C1191" s="129"/>
      <c r="D1191" s="129"/>
      <c r="E1191" s="19" t="n">
        <f aca="false">F1191*0.03</f>
        <v>0</v>
      </c>
      <c r="F1191" s="33" t="n">
        <v>0</v>
      </c>
      <c r="G1191" s="131"/>
      <c r="H1191" s="35" t="n">
        <v>0</v>
      </c>
      <c r="I1191" s="34" t="n">
        <f aca="false">+IF(E1191=0,0,E1191*0.03)</f>
        <v>0</v>
      </c>
      <c r="J1191" s="93"/>
      <c r="K1191" s="93"/>
      <c r="L1191" s="93"/>
      <c r="M1191" s="93"/>
      <c r="N1191" s="93"/>
      <c r="O1191" s="93"/>
      <c r="P1191" s="93"/>
      <c r="Q1191" s="93"/>
      <c r="R1191" s="93"/>
      <c r="S1191" s="93"/>
      <c r="T1191" s="93"/>
      <c r="U1191" s="93"/>
      <c r="V1191" s="93"/>
      <c r="W1191" s="93"/>
      <c r="X1191" s="93"/>
      <c r="Y1191" s="93"/>
      <c r="Z1191" s="93"/>
    </row>
    <row r="1192" customFormat="false" ht="16.4" hidden="false" customHeight="false" outlineLevel="0" collapsed="false">
      <c r="A1192" s="123" t="n">
        <v>45444</v>
      </c>
      <c r="B1192" s="31" t="s">
        <v>153</v>
      </c>
      <c r="C1192" s="129"/>
      <c r="D1192" s="129"/>
      <c r="E1192" s="19" t="n">
        <f aca="false">F1192*0.03</f>
        <v>0</v>
      </c>
      <c r="F1192" s="33" t="n">
        <v>0</v>
      </c>
      <c r="G1192" s="131"/>
      <c r="H1192" s="35" t="n">
        <v>0</v>
      </c>
      <c r="I1192" s="34" t="n">
        <f aca="false">+IF(E1192=0,0,E1192*0.03)</f>
        <v>0</v>
      </c>
      <c r="J1192" s="93"/>
      <c r="K1192" s="93"/>
      <c r="L1192" s="93"/>
      <c r="M1192" s="93"/>
      <c r="N1192" s="93"/>
      <c r="O1192" s="93"/>
      <c r="P1192" s="93"/>
      <c r="Q1192" s="93"/>
      <c r="R1192" s="93"/>
      <c r="S1192" s="93"/>
      <c r="T1192" s="93"/>
      <c r="U1192" s="93"/>
      <c r="V1192" s="93"/>
      <c r="W1192" s="93"/>
      <c r="X1192" s="93"/>
      <c r="Y1192" s="93"/>
      <c r="Z1192" s="93"/>
    </row>
    <row r="1193" customFormat="false" ht="16.4" hidden="false" customHeight="false" outlineLevel="0" collapsed="false">
      <c r="A1193" s="123" t="n">
        <v>45444</v>
      </c>
      <c r="B1193" s="31" t="s">
        <v>153</v>
      </c>
      <c r="C1193" s="129"/>
      <c r="D1193" s="129"/>
      <c r="E1193" s="19" t="n">
        <f aca="false">F1193*0.03</f>
        <v>0</v>
      </c>
      <c r="F1193" s="33" t="n">
        <v>0</v>
      </c>
      <c r="G1193" s="131"/>
      <c r="H1193" s="35" t="n">
        <v>0</v>
      </c>
      <c r="I1193" s="34" t="n">
        <f aca="false">+IF(E1193=0,0,E1193*0.03)</f>
        <v>0</v>
      </c>
      <c r="J1193" s="93"/>
      <c r="K1193" s="93"/>
      <c r="L1193" s="93"/>
      <c r="M1193" s="93"/>
      <c r="N1193" s="93"/>
      <c r="O1193" s="93"/>
      <c r="P1193" s="93"/>
      <c r="Q1193" s="93"/>
      <c r="R1193" s="93"/>
      <c r="S1193" s="93"/>
      <c r="T1193" s="93"/>
      <c r="U1193" s="93"/>
      <c r="V1193" s="93"/>
      <c r="W1193" s="93"/>
      <c r="X1193" s="93"/>
      <c r="Y1193" s="93"/>
      <c r="Z1193" s="93"/>
    </row>
    <row r="1194" customFormat="false" ht="16.4" hidden="false" customHeight="false" outlineLevel="0" collapsed="false">
      <c r="A1194" s="123" t="n">
        <v>45444</v>
      </c>
      <c r="B1194" s="31" t="s">
        <v>153</v>
      </c>
      <c r="C1194" s="129"/>
      <c r="D1194" s="129"/>
      <c r="E1194" s="19" t="n">
        <f aca="false">F1194*0.03</f>
        <v>0</v>
      </c>
      <c r="F1194" s="33" t="n">
        <v>0</v>
      </c>
      <c r="G1194" s="131"/>
      <c r="H1194" s="35" t="n">
        <v>0</v>
      </c>
      <c r="I1194" s="34" t="n">
        <f aca="false">+IF(E1194=0,0,E1194*0.03)</f>
        <v>0</v>
      </c>
      <c r="J1194" s="93"/>
      <c r="K1194" s="93"/>
      <c r="L1194" s="93"/>
      <c r="M1194" s="93"/>
      <c r="N1194" s="93"/>
      <c r="O1194" s="93"/>
      <c r="P1194" s="93"/>
      <c r="Q1194" s="93"/>
      <c r="R1194" s="93"/>
      <c r="S1194" s="93"/>
      <c r="T1194" s="93"/>
      <c r="U1194" s="93"/>
      <c r="V1194" s="93"/>
      <c r="W1194" s="93"/>
      <c r="X1194" s="93"/>
      <c r="Y1194" s="93"/>
      <c r="Z1194" s="93"/>
    </row>
    <row r="1195" customFormat="false" ht="16.4" hidden="false" customHeight="false" outlineLevel="0" collapsed="false">
      <c r="A1195" s="123" t="n">
        <v>45444</v>
      </c>
      <c r="B1195" s="31" t="s">
        <v>153</v>
      </c>
      <c r="C1195" s="129"/>
      <c r="D1195" s="129"/>
      <c r="E1195" s="19" t="n">
        <f aca="false">F1195*0.03</f>
        <v>0</v>
      </c>
      <c r="F1195" s="33" t="n">
        <v>0</v>
      </c>
      <c r="G1195" s="131"/>
      <c r="H1195" s="35" t="n">
        <v>0</v>
      </c>
      <c r="I1195" s="34" t="n">
        <f aca="false">+IF(E1195=0,0,E1195*0.03)</f>
        <v>0</v>
      </c>
      <c r="J1195" s="93"/>
      <c r="K1195" s="93"/>
      <c r="L1195" s="93"/>
      <c r="M1195" s="93"/>
      <c r="N1195" s="93"/>
      <c r="O1195" s="93"/>
      <c r="P1195" s="93"/>
      <c r="Q1195" s="93"/>
      <c r="R1195" s="93"/>
      <c r="S1195" s="93"/>
      <c r="T1195" s="93"/>
      <c r="U1195" s="93"/>
      <c r="V1195" s="93"/>
      <c r="W1195" s="93"/>
      <c r="X1195" s="93"/>
      <c r="Y1195" s="93"/>
      <c r="Z1195" s="93"/>
    </row>
    <row r="1196" customFormat="false" ht="16.4" hidden="false" customHeight="false" outlineLevel="0" collapsed="false">
      <c r="A1196" s="123" t="n">
        <v>45444</v>
      </c>
      <c r="B1196" s="31" t="s">
        <v>153</v>
      </c>
      <c r="C1196" s="129"/>
      <c r="D1196" s="129"/>
      <c r="E1196" s="19" t="n">
        <f aca="false">F1196*0.03</f>
        <v>0</v>
      </c>
      <c r="F1196" s="33" t="n">
        <v>0</v>
      </c>
      <c r="G1196" s="131"/>
      <c r="H1196" s="35" t="n">
        <v>0</v>
      </c>
      <c r="I1196" s="34" t="n">
        <f aca="false">+IF(E1196=0,0,E1196*0.03)</f>
        <v>0</v>
      </c>
      <c r="J1196" s="93"/>
      <c r="K1196" s="93"/>
      <c r="L1196" s="93"/>
      <c r="M1196" s="93"/>
      <c r="N1196" s="93"/>
      <c r="O1196" s="93"/>
      <c r="P1196" s="93"/>
      <c r="Q1196" s="93"/>
      <c r="R1196" s="93"/>
      <c r="S1196" s="93"/>
      <c r="T1196" s="93"/>
      <c r="U1196" s="93"/>
      <c r="V1196" s="93"/>
      <c r="W1196" s="93"/>
      <c r="X1196" s="93"/>
      <c r="Y1196" s="93"/>
      <c r="Z1196" s="93"/>
    </row>
    <row r="1197" customFormat="false" ht="16.4" hidden="false" customHeight="false" outlineLevel="0" collapsed="false">
      <c r="A1197" s="123" t="n">
        <v>45444</v>
      </c>
      <c r="B1197" s="31" t="s">
        <v>153</v>
      </c>
      <c r="C1197" s="129"/>
      <c r="D1197" s="129"/>
      <c r="E1197" s="19" t="n">
        <f aca="false">F1197*0.03</f>
        <v>0</v>
      </c>
      <c r="F1197" s="33" t="n">
        <v>0</v>
      </c>
      <c r="G1197" s="131"/>
      <c r="H1197" s="35" t="n">
        <v>0</v>
      </c>
      <c r="I1197" s="34" t="n">
        <f aca="false">+IF(E1197=0,0,E1197*0.03)</f>
        <v>0</v>
      </c>
      <c r="J1197" s="93"/>
      <c r="K1197" s="93"/>
      <c r="L1197" s="93"/>
      <c r="M1197" s="93"/>
      <c r="N1197" s="93"/>
      <c r="O1197" s="93"/>
      <c r="P1197" s="93"/>
      <c r="Q1197" s="93"/>
      <c r="R1197" s="93"/>
      <c r="S1197" s="93"/>
      <c r="T1197" s="93"/>
      <c r="U1197" s="93"/>
      <c r="V1197" s="93"/>
      <c r="W1197" s="93"/>
      <c r="X1197" s="93"/>
      <c r="Y1197" s="93"/>
      <c r="Z1197" s="93"/>
    </row>
    <row r="1198" customFormat="false" ht="16.4" hidden="false" customHeight="false" outlineLevel="0" collapsed="false">
      <c r="A1198" s="123" t="n">
        <v>45444</v>
      </c>
      <c r="B1198" s="31" t="s">
        <v>153</v>
      </c>
      <c r="C1198" s="129"/>
      <c r="D1198" s="129"/>
      <c r="E1198" s="19" t="n">
        <f aca="false">F1198*0.03</f>
        <v>0</v>
      </c>
      <c r="F1198" s="33" t="n">
        <v>0</v>
      </c>
      <c r="G1198" s="131"/>
      <c r="H1198" s="35" t="n">
        <v>0</v>
      </c>
      <c r="I1198" s="34" t="n">
        <f aca="false">+IF(E1198=0,0,E1198*0.03)</f>
        <v>0</v>
      </c>
      <c r="J1198" s="93"/>
      <c r="K1198" s="93"/>
      <c r="L1198" s="93"/>
      <c r="M1198" s="93"/>
      <c r="N1198" s="93"/>
      <c r="O1198" s="93"/>
      <c r="P1198" s="93"/>
      <c r="Q1198" s="93"/>
      <c r="R1198" s="93"/>
      <c r="S1198" s="93"/>
      <c r="T1198" s="93"/>
      <c r="U1198" s="93"/>
      <c r="V1198" s="93"/>
      <c r="W1198" s="93"/>
      <c r="X1198" s="93"/>
      <c r="Y1198" s="93"/>
      <c r="Z1198" s="93"/>
    </row>
    <row r="1199" customFormat="false" ht="16.4" hidden="false" customHeight="false" outlineLevel="0" collapsed="false">
      <c r="A1199" s="123" t="n">
        <v>45444</v>
      </c>
      <c r="B1199" s="31" t="s">
        <v>153</v>
      </c>
      <c r="C1199" s="129"/>
      <c r="D1199" s="129"/>
      <c r="E1199" s="19" t="n">
        <f aca="false">F1199*0.03</f>
        <v>0</v>
      </c>
      <c r="F1199" s="33" t="n">
        <v>0</v>
      </c>
      <c r="G1199" s="131"/>
      <c r="H1199" s="35" t="n">
        <v>0</v>
      </c>
      <c r="I1199" s="34" t="n">
        <f aca="false">+IF(E1199=0,0,E1199*0.03)</f>
        <v>0</v>
      </c>
      <c r="J1199" s="93"/>
      <c r="K1199" s="93"/>
      <c r="L1199" s="93"/>
      <c r="M1199" s="93"/>
      <c r="N1199" s="93"/>
      <c r="O1199" s="93"/>
      <c r="P1199" s="93"/>
      <c r="Q1199" s="93"/>
      <c r="R1199" s="93"/>
      <c r="S1199" s="93"/>
      <c r="T1199" s="93"/>
      <c r="U1199" s="93"/>
      <c r="V1199" s="93"/>
      <c r="W1199" s="93"/>
      <c r="X1199" s="93"/>
      <c r="Y1199" s="93"/>
      <c r="Z1199" s="93"/>
    </row>
    <row r="1200" customFormat="false" ht="16.4" hidden="false" customHeight="false" outlineLevel="0" collapsed="false">
      <c r="A1200" s="123" t="n">
        <v>45444</v>
      </c>
      <c r="B1200" s="31" t="s">
        <v>153</v>
      </c>
      <c r="C1200" s="129"/>
      <c r="D1200" s="129"/>
      <c r="E1200" s="19" t="n">
        <f aca="false">F1200*0.03</f>
        <v>0</v>
      </c>
      <c r="F1200" s="33" t="n">
        <v>0</v>
      </c>
      <c r="G1200" s="131"/>
      <c r="H1200" s="35" t="n">
        <v>0</v>
      </c>
      <c r="I1200" s="34" t="n">
        <f aca="false">+IF(E1200=0,0,E1200*0.03)</f>
        <v>0</v>
      </c>
      <c r="J1200" s="93"/>
      <c r="K1200" s="93"/>
      <c r="L1200" s="93"/>
      <c r="M1200" s="93"/>
      <c r="N1200" s="93"/>
      <c r="O1200" s="93"/>
      <c r="P1200" s="93"/>
      <c r="Q1200" s="93"/>
      <c r="R1200" s="93"/>
      <c r="S1200" s="93"/>
      <c r="T1200" s="93"/>
      <c r="U1200" s="93"/>
      <c r="V1200" s="93"/>
      <c r="W1200" s="93"/>
      <c r="X1200" s="93"/>
      <c r="Y1200" s="93"/>
      <c r="Z1200" s="93"/>
    </row>
    <row r="1201" customFormat="false" ht="16.4" hidden="false" customHeight="false" outlineLevel="0" collapsed="false">
      <c r="A1201" s="123" t="n">
        <v>45444</v>
      </c>
      <c r="B1201" s="31" t="s">
        <v>153</v>
      </c>
      <c r="C1201" s="129"/>
      <c r="D1201" s="129"/>
      <c r="E1201" s="19" t="n">
        <f aca="false">F1201*0.03</f>
        <v>0</v>
      </c>
      <c r="F1201" s="33" t="n">
        <v>0</v>
      </c>
      <c r="G1201" s="131"/>
      <c r="H1201" s="35" t="n">
        <v>0</v>
      </c>
      <c r="I1201" s="34" t="n">
        <f aca="false">+IF(E1201=0,0,E1201*0.03)</f>
        <v>0</v>
      </c>
      <c r="J1201" s="93"/>
      <c r="K1201" s="93"/>
      <c r="L1201" s="93"/>
      <c r="M1201" s="93"/>
      <c r="N1201" s="93"/>
      <c r="O1201" s="93"/>
      <c r="P1201" s="93"/>
      <c r="Q1201" s="93"/>
      <c r="R1201" s="93"/>
      <c r="S1201" s="93"/>
      <c r="T1201" s="93"/>
      <c r="U1201" s="93"/>
      <c r="V1201" s="93"/>
      <c r="W1201" s="93"/>
      <c r="X1201" s="93"/>
      <c r="Y1201" s="93"/>
      <c r="Z1201" s="93"/>
    </row>
    <row r="1202" customFormat="false" ht="16.4" hidden="false" customHeight="false" outlineLevel="0" collapsed="false">
      <c r="A1202" s="123" t="n">
        <v>45444</v>
      </c>
      <c r="B1202" s="31" t="s">
        <v>153</v>
      </c>
      <c r="C1202" s="129"/>
      <c r="D1202" s="129"/>
      <c r="E1202" s="19" t="n">
        <f aca="false">F1202*0.03</f>
        <v>0</v>
      </c>
      <c r="F1202" s="33" t="n">
        <v>0</v>
      </c>
      <c r="G1202" s="131"/>
      <c r="H1202" s="35" t="n">
        <v>0</v>
      </c>
      <c r="I1202" s="34" t="n">
        <f aca="false">+IF(E1202=0,0,E1202*0.03)</f>
        <v>0</v>
      </c>
      <c r="J1202" s="93"/>
      <c r="K1202" s="93"/>
      <c r="L1202" s="93"/>
      <c r="M1202" s="93"/>
      <c r="N1202" s="93"/>
      <c r="O1202" s="93"/>
      <c r="P1202" s="93"/>
      <c r="Q1202" s="93"/>
      <c r="R1202" s="93"/>
      <c r="S1202" s="93"/>
      <c r="T1202" s="93"/>
      <c r="U1202" s="93"/>
      <c r="V1202" s="93"/>
      <c r="W1202" s="93"/>
      <c r="X1202" s="93"/>
      <c r="Y1202" s="93"/>
      <c r="Z1202" s="93"/>
    </row>
    <row r="1203" customFormat="false" ht="16.4" hidden="false" customHeight="false" outlineLevel="0" collapsed="false">
      <c r="A1203" s="123" t="n">
        <v>45444</v>
      </c>
      <c r="B1203" s="31" t="s">
        <v>153</v>
      </c>
      <c r="C1203" s="129"/>
      <c r="D1203" s="129"/>
      <c r="E1203" s="19" t="n">
        <f aca="false">F1203*0.03</f>
        <v>0</v>
      </c>
      <c r="F1203" s="33" t="n">
        <v>0</v>
      </c>
      <c r="G1203" s="131"/>
      <c r="H1203" s="35" t="n">
        <v>0</v>
      </c>
      <c r="I1203" s="34" t="n">
        <f aca="false">+IF(E1203=0,0,E1203*0.03)</f>
        <v>0</v>
      </c>
      <c r="J1203" s="93"/>
      <c r="K1203" s="93"/>
      <c r="L1203" s="93"/>
      <c r="M1203" s="93"/>
      <c r="N1203" s="93"/>
      <c r="O1203" s="93"/>
      <c r="P1203" s="93"/>
      <c r="Q1203" s="93"/>
      <c r="R1203" s="93"/>
      <c r="S1203" s="93"/>
      <c r="T1203" s="93"/>
      <c r="U1203" s="93"/>
      <c r="V1203" s="93"/>
      <c r="W1203" s="93"/>
      <c r="X1203" s="93"/>
      <c r="Y1203" s="93"/>
      <c r="Z1203" s="93"/>
    </row>
    <row r="1204" customFormat="false" ht="16.4" hidden="false" customHeight="false" outlineLevel="0" collapsed="false">
      <c r="A1204" s="123" t="n">
        <v>45444</v>
      </c>
      <c r="B1204" s="31" t="s">
        <v>153</v>
      </c>
      <c r="C1204" s="129"/>
      <c r="D1204" s="129"/>
      <c r="E1204" s="19" t="n">
        <f aca="false">F1204*0.03</f>
        <v>0</v>
      </c>
      <c r="F1204" s="33" t="n">
        <v>0</v>
      </c>
      <c r="G1204" s="131"/>
      <c r="H1204" s="35" t="n">
        <v>0</v>
      </c>
      <c r="I1204" s="34" t="n">
        <f aca="false">+IF(E1204=0,0,E1204*0.03)</f>
        <v>0</v>
      </c>
      <c r="J1204" s="93"/>
      <c r="K1204" s="93"/>
      <c r="L1204" s="93"/>
      <c r="M1204" s="93"/>
      <c r="N1204" s="93"/>
      <c r="O1204" s="93"/>
      <c r="P1204" s="93"/>
      <c r="Q1204" s="93"/>
      <c r="R1204" s="93"/>
      <c r="S1204" s="93"/>
      <c r="T1204" s="93"/>
      <c r="U1204" s="93"/>
      <c r="V1204" s="93"/>
      <c r="W1204" s="93"/>
      <c r="X1204" s="93"/>
      <c r="Y1204" s="93"/>
      <c r="Z1204" s="93"/>
    </row>
    <row r="1205" customFormat="false" ht="16.4" hidden="false" customHeight="false" outlineLevel="0" collapsed="false">
      <c r="A1205" s="123" t="n">
        <v>45444</v>
      </c>
      <c r="B1205" s="31" t="s">
        <v>153</v>
      </c>
      <c r="C1205" s="129"/>
      <c r="D1205" s="129"/>
      <c r="E1205" s="19" t="n">
        <f aca="false">F1205*0.03</f>
        <v>0</v>
      </c>
      <c r="F1205" s="33" t="n">
        <v>0</v>
      </c>
      <c r="G1205" s="131"/>
      <c r="H1205" s="35" t="n">
        <v>0</v>
      </c>
      <c r="I1205" s="34" t="n">
        <f aca="false">+IF(E1205=0,0,E1205*0.03)</f>
        <v>0</v>
      </c>
      <c r="J1205" s="93"/>
      <c r="K1205" s="93"/>
      <c r="L1205" s="93"/>
      <c r="M1205" s="93"/>
      <c r="N1205" s="93"/>
      <c r="O1205" s="93"/>
      <c r="P1205" s="93"/>
      <c r="Q1205" s="93"/>
      <c r="R1205" s="93"/>
      <c r="S1205" s="93"/>
      <c r="T1205" s="93"/>
      <c r="U1205" s="93"/>
      <c r="V1205" s="93"/>
      <c r="W1205" s="93"/>
      <c r="X1205" s="93"/>
      <c r="Y1205" s="93"/>
      <c r="Z1205" s="93"/>
    </row>
    <row r="1206" customFormat="false" ht="16.4" hidden="false" customHeight="false" outlineLevel="0" collapsed="false">
      <c r="A1206" s="123" t="n">
        <v>45444</v>
      </c>
      <c r="B1206" s="31" t="s">
        <v>153</v>
      </c>
      <c r="C1206" s="129"/>
      <c r="D1206" s="129"/>
      <c r="E1206" s="19" t="n">
        <f aca="false">F1206*0.03</f>
        <v>0</v>
      </c>
      <c r="F1206" s="33" t="n">
        <v>0</v>
      </c>
      <c r="G1206" s="131"/>
      <c r="H1206" s="35" t="n">
        <v>0</v>
      </c>
      <c r="I1206" s="34" t="n">
        <f aca="false">+IF(E1206=0,0,E1206*0.03)</f>
        <v>0</v>
      </c>
      <c r="J1206" s="93"/>
      <c r="K1206" s="93"/>
      <c r="L1206" s="93"/>
      <c r="M1206" s="93"/>
      <c r="N1206" s="93"/>
      <c r="O1206" s="93"/>
      <c r="P1206" s="93"/>
      <c r="Q1206" s="93"/>
      <c r="R1206" s="93"/>
      <c r="S1206" s="93"/>
      <c r="T1206" s="93"/>
      <c r="U1206" s="93"/>
      <c r="V1206" s="93"/>
      <c r="W1206" s="93"/>
      <c r="X1206" s="93"/>
      <c r="Y1206" s="93"/>
      <c r="Z1206" s="93"/>
    </row>
    <row r="1207" customFormat="false" ht="16.4" hidden="false" customHeight="false" outlineLevel="0" collapsed="false">
      <c r="A1207" s="123" t="n">
        <v>45444</v>
      </c>
      <c r="B1207" s="31" t="s">
        <v>153</v>
      </c>
      <c r="C1207" s="129"/>
      <c r="D1207" s="129"/>
      <c r="E1207" s="19" t="n">
        <f aca="false">F1207*0.03</f>
        <v>0</v>
      </c>
      <c r="F1207" s="33" t="n">
        <v>0</v>
      </c>
      <c r="G1207" s="131"/>
      <c r="H1207" s="35" t="n">
        <v>0</v>
      </c>
      <c r="I1207" s="34" t="n">
        <f aca="false">+IF(E1207=0,0,E1207*0.03)</f>
        <v>0</v>
      </c>
      <c r="J1207" s="93"/>
      <c r="K1207" s="93"/>
      <c r="L1207" s="93"/>
      <c r="M1207" s="93"/>
      <c r="N1207" s="93"/>
      <c r="O1207" s="93"/>
      <c r="P1207" s="93"/>
      <c r="Q1207" s="93"/>
      <c r="R1207" s="93"/>
      <c r="S1207" s="93"/>
      <c r="T1207" s="93"/>
      <c r="U1207" s="93"/>
      <c r="V1207" s="93"/>
      <c r="W1207" s="93"/>
      <c r="X1207" s="93"/>
      <c r="Y1207" s="93"/>
      <c r="Z1207" s="93"/>
    </row>
    <row r="1208" customFormat="false" ht="16.4" hidden="false" customHeight="false" outlineLevel="0" collapsed="false">
      <c r="A1208" s="123" t="n">
        <v>45444</v>
      </c>
      <c r="B1208" s="31" t="s">
        <v>153</v>
      </c>
      <c r="C1208" s="129"/>
      <c r="D1208" s="129"/>
      <c r="E1208" s="19" t="n">
        <f aca="false">F1208*0.03</f>
        <v>0</v>
      </c>
      <c r="F1208" s="33" t="n">
        <v>0</v>
      </c>
      <c r="G1208" s="131"/>
      <c r="H1208" s="35" t="n">
        <v>0</v>
      </c>
      <c r="I1208" s="34" t="n">
        <f aca="false">+IF(E1208=0,0,E1208*0.03)</f>
        <v>0</v>
      </c>
      <c r="J1208" s="93"/>
      <c r="K1208" s="93"/>
      <c r="L1208" s="93"/>
      <c r="M1208" s="93"/>
      <c r="N1208" s="93"/>
      <c r="O1208" s="93"/>
      <c r="P1208" s="93"/>
      <c r="Q1208" s="93"/>
      <c r="R1208" s="93"/>
      <c r="S1208" s="93"/>
      <c r="T1208" s="93"/>
      <c r="U1208" s="93"/>
      <c r="V1208" s="93"/>
      <c r="W1208" s="93"/>
      <c r="X1208" s="93"/>
      <c r="Y1208" s="93"/>
      <c r="Z1208" s="93"/>
    </row>
    <row r="1209" customFormat="false" ht="16.4" hidden="false" customHeight="false" outlineLevel="0" collapsed="false">
      <c r="A1209" s="123" t="n">
        <v>45444</v>
      </c>
      <c r="B1209" s="31" t="s">
        <v>153</v>
      </c>
      <c r="C1209" s="129"/>
      <c r="D1209" s="129"/>
      <c r="E1209" s="19" t="n">
        <f aca="false">F1209*0.03</f>
        <v>0</v>
      </c>
      <c r="F1209" s="33" t="n">
        <v>0</v>
      </c>
      <c r="G1209" s="131"/>
      <c r="H1209" s="35" t="n">
        <v>0</v>
      </c>
      <c r="I1209" s="34" t="n">
        <f aca="false">+IF(E1209=0,0,E1209*0.03)</f>
        <v>0</v>
      </c>
      <c r="J1209" s="93"/>
      <c r="K1209" s="93"/>
      <c r="L1209" s="93"/>
      <c r="M1209" s="93"/>
      <c r="N1209" s="93"/>
      <c r="O1209" s="93"/>
      <c r="P1209" s="93"/>
      <c r="Q1209" s="93"/>
      <c r="R1209" s="93"/>
      <c r="S1209" s="93"/>
      <c r="T1209" s="93"/>
      <c r="U1209" s="93"/>
      <c r="V1209" s="93"/>
      <c r="W1209" s="93"/>
      <c r="X1209" s="93"/>
      <c r="Y1209" s="93"/>
      <c r="Z1209" s="93"/>
    </row>
    <row r="1210" customFormat="false" ht="16.4" hidden="false" customHeight="false" outlineLevel="0" collapsed="false">
      <c r="A1210" s="123" t="n">
        <v>45444</v>
      </c>
      <c r="B1210" s="31" t="s">
        <v>153</v>
      </c>
      <c r="C1210" s="129"/>
      <c r="D1210" s="129"/>
      <c r="E1210" s="19" t="n">
        <f aca="false">F1210*0.03</f>
        <v>0</v>
      </c>
      <c r="F1210" s="33" t="n">
        <v>0</v>
      </c>
      <c r="G1210" s="131"/>
      <c r="H1210" s="35" t="n">
        <v>0</v>
      </c>
      <c r="I1210" s="34" t="n">
        <f aca="false">+IF(E1210=0,0,E1210*0.03)</f>
        <v>0</v>
      </c>
      <c r="J1210" s="93"/>
      <c r="K1210" s="93"/>
      <c r="L1210" s="93"/>
      <c r="M1210" s="93"/>
      <c r="N1210" s="93"/>
      <c r="O1210" s="93"/>
      <c r="P1210" s="93"/>
      <c r="Q1210" s="93"/>
      <c r="R1210" s="93"/>
      <c r="S1210" s="93"/>
      <c r="T1210" s="93"/>
      <c r="U1210" s="93"/>
      <c r="V1210" s="93"/>
      <c r="W1210" s="93"/>
      <c r="X1210" s="93"/>
      <c r="Y1210" s="93"/>
      <c r="Z1210" s="93"/>
    </row>
    <row r="1211" customFormat="false" ht="16.4" hidden="false" customHeight="false" outlineLevel="0" collapsed="false">
      <c r="A1211" s="123" t="n">
        <v>45444</v>
      </c>
      <c r="B1211" s="31" t="s">
        <v>153</v>
      </c>
      <c r="C1211" s="129"/>
      <c r="D1211" s="129"/>
      <c r="E1211" s="19" t="n">
        <f aca="false">F1211*0.03</f>
        <v>0</v>
      </c>
      <c r="F1211" s="33" t="n">
        <v>0</v>
      </c>
      <c r="G1211" s="131"/>
      <c r="H1211" s="35" t="n">
        <v>0</v>
      </c>
      <c r="I1211" s="34" t="n">
        <f aca="false">+IF(E1211=0,0,E1211*0.03)</f>
        <v>0</v>
      </c>
      <c r="J1211" s="93"/>
      <c r="K1211" s="93"/>
      <c r="L1211" s="93"/>
      <c r="M1211" s="93"/>
      <c r="N1211" s="93"/>
      <c r="O1211" s="93"/>
      <c r="P1211" s="93"/>
      <c r="Q1211" s="93"/>
      <c r="R1211" s="93"/>
      <c r="S1211" s="93"/>
      <c r="T1211" s="93"/>
      <c r="U1211" s="93"/>
      <c r="V1211" s="93"/>
      <c r="W1211" s="93"/>
      <c r="X1211" s="93"/>
      <c r="Y1211" s="93"/>
      <c r="Z1211" s="93"/>
    </row>
    <row r="1212" customFormat="false" ht="16.4" hidden="false" customHeight="false" outlineLevel="0" collapsed="false">
      <c r="A1212" s="123" t="n">
        <v>45444</v>
      </c>
      <c r="B1212" s="31" t="s">
        <v>153</v>
      </c>
      <c r="C1212" s="129"/>
      <c r="D1212" s="129"/>
      <c r="E1212" s="19" t="n">
        <f aca="false">F1212*0.03</f>
        <v>0</v>
      </c>
      <c r="F1212" s="33" t="n">
        <v>0</v>
      </c>
      <c r="G1212" s="131"/>
      <c r="H1212" s="35" t="n">
        <v>0</v>
      </c>
      <c r="I1212" s="34" t="n">
        <f aca="false">+IF(E1212=0,0,E1212*0.03)</f>
        <v>0</v>
      </c>
      <c r="J1212" s="93"/>
      <c r="K1212" s="93"/>
      <c r="L1212" s="93"/>
      <c r="M1212" s="93"/>
      <c r="N1212" s="93"/>
      <c r="O1212" s="93"/>
      <c r="P1212" s="93"/>
      <c r="Q1212" s="93"/>
      <c r="R1212" s="93"/>
      <c r="S1212" s="93"/>
      <c r="T1212" s="93"/>
      <c r="U1212" s="93"/>
      <c r="V1212" s="93"/>
      <c r="W1212" s="93"/>
      <c r="X1212" s="93"/>
      <c r="Y1212" s="93"/>
      <c r="Z1212" s="93"/>
    </row>
    <row r="1213" customFormat="false" ht="16.4" hidden="false" customHeight="false" outlineLevel="0" collapsed="false">
      <c r="A1213" s="123" t="n">
        <v>45444</v>
      </c>
      <c r="B1213" s="31" t="s">
        <v>153</v>
      </c>
      <c r="C1213" s="129"/>
      <c r="D1213" s="129"/>
      <c r="E1213" s="19" t="n">
        <f aca="false">F1213*0.03</f>
        <v>0</v>
      </c>
      <c r="F1213" s="33" t="n">
        <v>0</v>
      </c>
      <c r="G1213" s="131"/>
      <c r="H1213" s="35" t="n">
        <v>0</v>
      </c>
      <c r="I1213" s="34" t="n">
        <f aca="false">+IF(E1213=0,0,E1213*0.03)</f>
        <v>0</v>
      </c>
      <c r="J1213" s="93"/>
      <c r="K1213" s="93"/>
      <c r="L1213" s="93"/>
      <c r="M1213" s="93"/>
      <c r="N1213" s="93"/>
      <c r="O1213" s="93"/>
      <c r="P1213" s="93"/>
      <c r="Q1213" s="93"/>
      <c r="R1213" s="93"/>
      <c r="S1213" s="93"/>
      <c r="T1213" s="93"/>
      <c r="U1213" s="93"/>
      <c r="V1213" s="93"/>
      <c r="W1213" s="93"/>
      <c r="X1213" s="93"/>
      <c r="Y1213" s="93"/>
      <c r="Z1213" s="93"/>
    </row>
    <row r="1214" customFormat="false" ht="16.4" hidden="false" customHeight="false" outlineLevel="0" collapsed="false">
      <c r="A1214" s="123" t="n">
        <v>45444</v>
      </c>
      <c r="B1214" s="31" t="s">
        <v>153</v>
      </c>
      <c r="C1214" s="129"/>
      <c r="D1214" s="129"/>
      <c r="E1214" s="19" t="n">
        <f aca="false">F1214*0.03</f>
        <v>0</v>
      </c>
      <c r="F1214" s="33" t="n">
        <v>0</v>
      </c>
      <c r="G1214" s="131"/>
      <c r="H1214" s="35" t="n">
        <v>0</v>
      </c>
      <c r="I1214" s="34" t="n">
        <f aca="false">+IF(E1214=0,0,E1214*0.03)</f>
        <v>0</v>
      </c>
      <c r="J1214" s="93"/>
      <c r="K1214" s="93"/>
      <c r="L1214" s="93"/>
      <c r="M1214" s="93"/>
      <c r="N1214" s="93"/>
      <c r="O1214" s="93"/>
      <c r="P1214" s="93"/>
      <c r="Q1214" s="93"/>
      <c r="R1214" s="93"/>
      <c r="S1214" s="93"/>
      <c r="T1214" s="93"/>
      <c r="U1214" s="93"/>
      <c r="V1214" s="93"/>
      <c r="W1214" s="93"/>
      <c r="X1214" s="93"/>
      <c r="Y1214" s="93"/>
      <c r="Z1214" s="93"/>
    </row>
    <row r="1215" customFormat="false" ht="16.4" hidden="false" customHeight="false" outlineLevel="0" collapsed="false">
      <c r="A1215" s="123" t="n">
        <v>45444</v>
      </c>
      <c r="B1215" s="31" t="s">
        <v>153</v>
      </c>
      <c r="C1215" s="129"/>
      <c r="D1215" s="129"/>
      <c r="E1215" s="19" t="n">
        <f aca="false">F1215*0.03</f>
        <v>0</v>
      </c>
      <c r="F1215" s="33" t="n">
        <v>0</v>
      </c>
      <c r="G1215" s="131"/>
      <c r="H1215" s="35" t="n">
        <v>0</v>
      </c>
      <c r="I1215" s="34" t="n">
        <f aca="false">+IF(E1215=0,0,E1215*0.03)</f>
        <v>0</v>
      </c>
      <c r="J1215" s="93"/>
      <c r="K1215" s="93"/>
      <c r="L1215" s="93"/>
      <c r="M1215" s="93"/>
      <c r="N1215" s="93"/>
      <c r="O1215" s="93"/>
      <c r="P1215" s="93"/>
      <c r="Q1215" s="93"/>
      <c r="R1215" s="93"/>
      <c r="S1215" s="93"/>
      <c r="T1215" s="93"/>
      <c r="U1215" s="93"/>
      <c r="V1215" s="93"/>
      <c r="W1215" s="93"/>
      <c r="X1215" s="93"/>
      <c r="Y1215" s="93"/>
      <c r="Z1215" s="93"/>
    </row>
    <row r="1216" customFormat="false" ht="16.4" hidden="false" customHeight="false" outlineLevel="0" collapsed="false">
      <c r="A1216" s="123" t="n">
        <v>45444</v>
      </c>
      <c r="B1216" s="31" t="s">
        <v>153</v>
      </c>
      <c r="C1216" s="129"/>
      <c r="D1216" s="129"/>
      <c r="E1216" s="19" t="n">
        <f aca="false">F1216*0.03</f>
        <v>0</v>
      </c>
      <c r="F1216" s="33" t="n">
        <v>0</v>
      </c>
      <c r="G1216" s="131"/>
      <c r="H1216" s="35" t="n">
        <v>0</v>
      </c>
      <c r="I1216" s="34" t="n">
        <f aca="false">+IF(E1216=0,0,E1216*0.03)</f>
        <v>0</v>
      </c>
      <c r="J1216" s="93"/>
      <c r="K1216" s="93"/>
      <c r="L1216" s="93"/>
      <c r="M1216" s="93"/>
      <c r="N1216" s="93"/>
      <c r="O1216" s="93"/>
      <c r="P1216" s="93"/>
      <c r="Q1216" s="93"/>
      <c r="R1216" s="93"/>
      <c r="S1216" s="93"/>
      <c r="T1216" s="93"/>
      <c r="U1216" s="93"/>
      <c r="V1216" s="93"/>
      <c r="W1216" s="93"/>
      <c r="X1216" s="93"/>
      <c r="Y1216" s="93"/>
      <c r="Z1216" s="93"/>
    </row>
    <row r="1217" customFormat="false" ht="16.4" hidden="false" customHeight="false" outlineLevel="0" collapsed="false">
      <c r="A1217" s="123" t="n">
        <v>45444</v>
      </c>
      <c r="B1217" s="31" t="s">
        <v>153</v>
      </c>
      <c r="C1217" s="129"/>
      <c r="D1217" s="129"/>
      <c r="E1217" s="19" t="n">
        <f aca="false">F1217*0.03</f>
        <v>0</v>
      </c>
      <c r="F1217" s="33" t="n">
        <v>0</v>
      </c>
      <c r="G1217" s="131"/>
      <c r="H1217" s="35" t="n">
        <v>0</v>
      </c>
      <c r="I1217" s="34" t="n">
        <f aca="false">+IF(E1217=0,0,E1217*0.03)</f>
        <v>0</v>
      </c>
      <c r="J1217" s="93"/>
      <c r="K1217" s="93"/>
      <c r="L1217" s="93"/>
      <c r="M1217" s="93"/>
      <c r="N1217" s="93"/>
      <c r="O1217" s="93"/>
      <c r="P1217" s="93"/>
      <c r="Q1217" s="93"/>
      <c r="R1217" s="93"/>
      <c r="S1217" s="93"/>
      <c r="T1217" s="93"/>
      <c r="U1217" s="93"/>
      <c r="V1217" s="93"/>
      <c r="W1217" s="93"/>
      <c r="X1217" s="93"/>
      <c r="Y1217" s="93"/>
      <c r="Z1217" s="93"/>
    </row>
    <row r="1218" customFormat="false" ht="16.4" hidden="false" customHeight="false" outlineLevel="0" collapsed="false">
      <c r="A1218" s="123" t="n">
        <v>45444</v>
      </c>
      <c r="B1218" s="31" t="s">
        <v>153</v>
      </c>
      <c r="C1218" s="129"/>
      <c r="D1218" s="129"/>
      <c r="E1218" s="19" t="n">
        <f aca="false">F1218*0.03</f>
        <v>0</v>
      </c>
      <c r="F1218" s="33" t="n">
        <v>0</v>
      </c>
      <c r="G1218" s="131"/>
      <c r="H1218" s="35" t="n">
        <v>0</v>
      </c>
      <c r="I1218" s="34" t="n">
        <f aca="false">+IF(E1218=0,0,E1218*0.03)</f>
        <v>0</v>
      </c>
      <c r="J1218" s="93"/>
      <c r="K1218" s="93"/>
      <c r="L1218" s="93"/>
      <c r="M1218" s="93"/>
      <c r="N1218" s="93"/>
      <c r="O1218" s="93"/>
      <c r="P1218" s="93"/>
      <c r="Q1218" s="93"/>
      <c r="R1218" s="93"/>
      <c r="S1218" s="93"/>
      <c r="T1218" s="93"/>
      <c r="U1218" s="93"/>
      <c r="V1218" s="93"/>
      <c r="W1218" s="93"/>
      <c r="X1218" s="93"/>
      <c r="Y1218" s="93"/>
      <c r="Z1218" s="93"/>
    </row>
    <row r="1219" customFormat="false" ht="16.4" hidden="false" customHeight="false" outlineLevel="0" collapsed="false">
      <c r="A1219" s="123" t="n">
        <v>45444</v>
      </c>
      <c r="B1219" s="31" t="s">
        <v>153</v>
      </c>
      <c r="C1219" s="129"/>
      <c r="D1219" s="129"/>
      <c r="E1219" s="19" t="n">
        <f aca="false">F1219*0.03</f>
        <v>0</v>
      </c>
      <c r="F1219" s="33" t="n">
        <v>0</v>
      </c>
      <c r="G1219" s="131"/>
      <c r="H1219" s="35" t="n">
        <v>0</v>
      </c>
      <c r="I1219" s="34" t="n">
        <f aca="false">+IF(E1219=0,0,E1219*0.03)</f>
        <v>0</v>
      </c>
      <c r="J1219" s="93"/>
      <c r="K1219" s="93"/>
      <c r="L1219" s="93"/>
      <c r="M1219" s="93"/>
      <c r="N1219" s="93"/>
      <c r="O1219" s="93"/>
      <c r="P1219" s="93"/>
      <c r="Q1219" s="93"/>
      <c r="R1219" s="93"/>
      <c r="S1219" s="93"/>
      <c r="T1219" s="93"/>
      <c r="U1219" s="93"/>
      <c r="V1219" s="93"/>
      <c r="W1219" s="93"/>
      <c r="X1219" s="93"/>
      <c r="Y1219" s="93"/>
      <c r="Z1219" s="93"/>
    </row>
    <row r="1220" customFormat="false" ht="16.4" hidden="false" customHeight="false" outlineLevel="0" collapsed="false">
      <c r="A1220" s="123" t="n">
        <v>45444</v>
      </c>
      <c r="B1220" s="31" t="s">
        <v>153</v>
      </c>
      <c r="C1220" s="129"/>
      <c r="D1220" s="129"/>
      <c r="E1220" s="19" t="n">
        <f aca="false">F1220*0.03</f>
        <v>0</v>
      </c>
      <c r="F1220" s="33" t="n">
        <v>0</v>
      </c>
      <c r="G1220" s="131"/>
      <c r="H1220" s="35" t="n">
        <v>0</v>
      </c>
      <c r="I1220" s="34" t="n">
        <f aca="false">+IF(E1220=0,0,E1220*0.03)</f>
        <v>0</v>
      </c>
      <c r="J1220" s="93"/>
      <c r="K1220" s="93"/>
      <c r="L1220" s="93"/>
      <c r="M1220" s="93"/>
      <c r="N1220" s="93"/>
      <c r="O1220" s="93"/>
      <c r="P1220" s="93"/>
      <c r="Q1220" s="93"/>
      <c r="R1220" s="93"/>
      <c r="S1220" s="93"/>
      <c r="T1220" s="93"/>
      <c r="U1220" s="93"/>
      <c r="V1220" s="93"/>
      <c r="W1220" s="93"/>
      <c r="X1220" s="93"/>
      <c r="Y1220" s="93"/>
      <c r="Z1220" s="93"/>
    </row>
    <row r="1221" customFormat="false" ht="16.4" hidden="false" customHeight="false" outlineLevel="0" collapsed="false">
      <c r="A1221" s="123" t="n">
        <v>45444</v>
      </c>
      <c r="B1221" s="31" t="s">
        <v>153</v>
      </c>
      <c r="C1221" s="129"/>
      <c r="D1221" s="129"/>
      <c r="E1221" s="19" t="n">
        <f aca="false">F1221*0.03</f>
        <v>0</v>
      </c>
      <c r="F1221" s="33" t="n">
        <v>0</v>
      </c>
      <c r="G1221" s="131"/>
      <c r="H1221" s="35" t="n">
        <v>0</v>
      </c>
      <c r="I1221" s="34" t="n">
        <f aca="false">+IF(E1221=0,0,E1221*0.03)</f>
        <v>0</v>
      </c>
      <c r="J1221" s="93"/>
      <c r="K1221" s="93"/>
      <c r="L1221" s="93"/>
      <c r="M1221" s="93"/>
      <c r="N1221" s="93"/>
      <c r="O1221" s="93"/>
      <c r="P1221" s="93"/>
      <c r="Q1221" s="93"/>
      <c r="R1221" s="93"/>
      <c r="S1221" s="93"/>
      <c r="T1221" s="93"/>
      <c r="U1221" s="93"/>
      <c r="V1221" s="93"/>
      <c r="W1221" s="93"/>
      <c r="X1221" s="93"/>
      <c r="Y1221" s="93"/>
      <c r="Z1221" s="93"/>
    </row>
    <row r="1222" customFormat="false" ht="16.4" hidden="false" customHeight="false" outlineLevel="0" collapsed="false">
      <c r="A1222" s="123" t="n">
        <v>45444</v>
      </c>
      <c r="B1222" s="31" t="s">
        <v>153</v>
      </c>
      <c r="C1222" s="129"/>
      <c r="D1222" s="129"/>
      <c r="E1222" s="19" t="n">
        <f aca="false">F1222*0.03</f>
        <v>0</v>
      </c>
      <c r="F1222" s="33" t="n">
        <v>0</v>
      </c>
      <c r="G1222" s="131"/>
      <c r="H1222" s="35" t="n">
        <v>0</v>
      </c>
      <c r="I1222" s="34" t="n">
        <f aca="false">+IF(E1222=0,0,E1222*0.03)</f>
        <v>0</v>
      </c>
      <c r="J1222" s="93"/>
      <c r="K1222" s="93"/>
      <c r="L1222" s="93"/>
      <c r="M1222" s="93"/>
      <c r="N1222" s="93"/>
      <c r="O1222" s="93"/>
      <c r="P1222" s="93"/>
      <c r="Q1222" s="93"/>
      <c r="R1222" s="93"/>
      <c r="S1222" s="93"/>
      <c r="T1222" s="93"/>
      <c r="U1222" s="93"/>
      <c r="V1222" s="93"/>
      <c r="W1222" s="93"/>
      <c r="X1222" s="93"/>
      <c r="Y1222" s="93"/>
      <c r="Z1222" s="93"/>
    </row>
    <row r="1223" customFormat="false" ht="16.4" hidden="false" customHeight="false" outlineLevel="0" collapsed="false">
      <c r="A1223" s="123" t="n">
        <v>45444</v>
      </c>
      <c r="B1223" s="31" t="s">
        <v>153</v>
      </c>
      <c r="C1223" s="129"/>
      <c r="D1223" s="129"/>
      <c r="E1223" s="19" t="n">
        <f aca="false">F1223*0.03</f>
        <v>0</v>
      </c>
      <c r="F1223" s="33" t="n">
        <v>0</v>
      </c>
      <c r="G1223" s="131"/>
      <c r="H1223" s="35" t="n">
        <v>0</v>
      </c>
      <c r="I1223" s="34" t="n">
        <f aca="false">+IF(E1223=0,0,E1223*0.03)</f>
        <v>0</v>
      </c>
      <c r="J1223" s="93"/>
      <c r="K1223" s="93"/>
      <c r="L1223" s="93"/>
      <c r="M1223" s="93"/>
      <c r="N1223" s="93"/>
      <c r="O1223" s="93"/>
      <c r="P1223" s="93"/>
      <c r="Q1223" s="93"/>
      <c r="R1223" s="93"/>
      <c r="S1223" s="93"/>
      <c r="T1223" s="93"/>
      <c r="U1223" s="93"/>
      <c r="V1223" s="93"/>
      <c r="W1223" s="93"/>
      <c r="X1223" s="93"/>
      <c r="Y1223" s="93"/>
      <c r="Z1223" s="93"/>
    </row>
    <row r="1224" customFormat="false" ht="16.4" hidden="false" customHeight="false" outlineLevel="0" collapsed="false">
      <c r="A1224" s="123" t="n">
        <v>45444</v>
      </c>
      <c r="B1224" s="31" t="s">
        <v>153</v>
      </c>
      <c r="C1224" s="129"/>
      <c r="D1224" s="129"/>
      <c r="E1224" s="19" t="n">
        <f aca="false">F1224*0.03</f>
        <v>0</v>
      </c>
      <c r="F1224" s="33" t="n">
        <v>0</v>
      </c>
      <c r="G1224" s="131"/>
      <c r="H1224" s="35" t="n">
        <v>0</v>
      </c>
      <c r="I1224" s="34" t="n">
        <f aca="false">+IF(E1224=0,0,E1224*0.03)</f>
        <v>0</v>
      </c>
      <c r="J1224" s="93"/>
      <c r="K1224" s="93"/>
      <c r="L1224" s="93"/>
      <c r="M1224" s="93"/>
      <c r="N1224" s="93"/>
      <c r="O1224" s="93"/>
      <c r="P1224" s="93"/>
      <c r="Q1224" s="93"/>
      <c r="R1224" s="93"/>
      <c r="S1224" s="93"/>
      <c r="T1224" s="93"/>
      <c r="U1224" s="93"/>
      <c r="V1224" s="93"/>
      <c r="W1224" s="93"/>
      <c r="X1224" s="93"/>
      <c r="Y1224" s="93"/>
      <c r="Z1224" s="93"/>
    </row>
    <row r="1225" customFormat="false" ht="16.4" hidden="false" customHeight="false" outlineLevel="0" collapsed="false">
      <c r="A1225" s="123" t="n">
        <v>45444</v>
      </c>
      <c r="B1225" s="31" t="s">
        <v>153</v>
      </c>
      <c r="C1225" s="129"/>
      <c r="D1225" s="129"/>
      <c r="E1225" s="19" t="n">
        <f aca="false">F1225*0.03</f>
        <v>0</v>
      </c>
      <c r="F1225" s="33" t="n">
        <v>0</v>
      </c>
      <c r="G1225" s="131"/>
      <c r="H1225" s="35" t="n">
        <v>0</v>
      </c>
      <c r="I1225" s="34" t="n">
        <f aca="false">+IF(E1225=0,0,E1225*0.03)</f>
        <v>0</v>
      </c>
      <c r="J1225" s="93"/>
      <c r="K1225" s="93"/>
      <c r="L1225" s="93"/>
      <c r="M1225" s="93"/>
      <c r="N1225" s="93"/>
      <c r="O1225" s="93"/>
      <c r="P1225" s="93"/>
      <c r="Q1225" s="93"/>
      <c r="R1225" s="93"/>
      <c r="S1225" s="93"/>
      <c r="T1225" s="93"/>
      <c r="U1225" s="93"/>
      <c r="V1225" s="93"/>
      <c r="W1225" s="93"/>
      <c r="X1225" s="93"/>
      <c r="Y1225" s="93"/>
      <c r="Z1225" s="93"/>
    </row>
    <row r="1226" customFormat="false" ht="16.4" hidden="false" customHeight="false" outlineLevel="0" collapsed="false">
      <c r="A1226" s="123" t="n">
        <v>45444</v>
      </c>
      <c r="B1226" s="31" t="s">
        <v>153</v>
      </c>
      <c r="C1226" s="129"/>
      <c r="D1226" s="129"/>
      <c r="E1226" s="19" t="n">
        <f aca="false">F1226*0.03</f>
        <v>0</v>
      </c>
      <c r="F1226" s="33" t="n">
        <v>0</v>
      </c>
      <c r="G1226" s="131"/>
      <c r="H1226" s="35" t="n">
        <v>0</v>
      </c>
      <c r="I1226" s="34" t="n">
        <f aca="false">+IF(E1226=0,0,E1226*0.03)</f>
        <v>0</v>
      </c>
      <c r="J1226" s="93"/>
      <c r="K1226" s="93"/>
      <c r="L1226" s="93"/>
      <c r="M1226" s="93"/>
      <c r="N1226" s="93"/>
      <c r="O1226" s="93"/>
      <c r="P1226" s="93"/>
      <c r="Q1226" s="93"/>
      <c r="R1226" s="93"/>
      <c r="S1226" s="93"/>
      <c r="T1226" s="93"/>
      <c r="U1226" s="93"/>
      <c r="V1226" s="93"/>
      <c r="W1226" s="93"/>
      <c r="X1226" s="93"/>
      <c r="Y1226" s="93"/>
      <c r="Z1226" s="93"/>
    </row>
    <row r="1227" customFormat="false" ht="16.4" hidden="false" customHeight="false" outlineLevel="0" collapsed="false">
      <c r="A1227" s="123" t="n">
        <v>45444</v>
      </c>
      <c r="B1227" s="31" t="s">
        <v>153</v>
      </c>
      <c r="C1227" s="129"/>
      <c r="D1227" s="129"/>
      <c r="E1227" s="19" t="n">
        <f aca="false">F1227*0.03</f>
        <v>0</v>
      </c>
      <c r="F1227" s="33" t="n">
        <v>0</v>
      </c>
      <c r="G1227" s="131"/>
      <c r="H1227" s="35" t="n">
        <v>0</v>
      </c>
      <c r="I1227" s="34" t="n">
        <f aca="false">+IF(E1227=0,0,E1227*0.03)</f>
        <v>0</v>
      </c>
      <c r="J1227" s="93"/>
      <c r="K1227" s="93"/>
      <c r="L1227" s="93"/>
      <c r="M1227" s="93"/>
      <c r="N1227" s="93"/>
      <c r="O1227" s="93"/>
      <c r="P1227" s="93"/>
      <c r="Q1227" s="93"/>
      <c r="R1227" s="93"/>
      <c r="S1227" s="93"/>
      <c r="T1227" s="93"/>
      <c r="U1227" s="93"/>
      <c r="V1227" s="93"/>
      <c r="W1227" s="93"/>
      <c r="X1227" s="93"/>
      <c r="Y1227" s="93"/>
      <c r="Z1227" s="93"/>
    </row>
    <row r="1228" customFormat="false" ht="16.4" hidden="false" customHeight="false" outlineLevel="0" collapsed="false">
      <c r="A1228" s="123" t="n">
        <v>45444</v>
      </c>
      <c r="B1228" s="31" t="s">
        <v>153</v>
      </c>
      <c r="C1228" s="129"/>
      <c r="D1228" s="129"/>
      <c r="E1228" s="19" t="n">
        <f aca="false">F1228*0.03</f>
        <v>0</v>
      </c>
      <c r="F1228" s="33" t="n">
        <v>0</v>
      </c>
      <c r="G1228" s="131"/>
      <c r="H1228" s="35" t="n">
        <v>0</v>
      </c>
      <c r="I1228" s="34" t="n">
        <f aca="false">+IF(E1228=0,0,E1228*0.03)</f>
        <v>0</v>
      </c>
      <c r="J1228" s="93"/>
      <c r="K1228" s="93"/>
      <c r="L1228" s="93"/>
      <c r="M1228" s="93"/>
      <c r="N1228" s="93"/>
      <c r="O1228" s="93"/>
      <c r="P1228" s="93"/>
      <c r="Q1228" s="93"/>
      <c r="R1228" s="93"/>
      <c r="S1228" s="93"/>
      <c r="T1228" s="93"/>
      <c r="U1228" s="93"/>
      <c r="V1228" s="93"/>
      <c r="W1228" s="93"/>
      <c r="X1228" s="93"/>
      <c r="Y1228" s="93"/>
      <c r="Z1228" s="93"/>
    </row>
    <row r="1229" customFormat="false" ht="16.4" hidden="false" customHeight="false" outlineLevel="0" collapsed="false">
      <c r="A1229" s="123" t="n">
        <v>45444</v>
      </c>
      <c r="B1229" s="31" t="s">
        <v>153</v>
      </c>
      <c r="C1229" s="129"/>
      <c r="D1229" s="129"/>
      <c r="E1229" s="19" t="n">
        <f aca="false">F1229*0.03</f>
        <v>0</v>
      </c>
      <c r="F1229" s="33" t="n">
        <v>0</v>
      </c>
      <c r="G1229" s="131"/>
      <c r="H1229" s="35" t="n">
        <v>0</v>
      </c>
      <c r="I1229" s="34" t="n">
        <f aca="false">+IF(E1229=0,0,E1229*0.03)</f>
        <v>0</v>
      </c>
      <c r="J1229" s="93"/>
      <c r="K1229" s="93"/>
      <c r="L1229" s="93"/>
      <c r="M1229" s="93"/>
      <c r="N1229" s="93"/>
      <c r="O1229" s="93"/>
      <c r="P1229" s="93"/>
      <c r="Q1229" s="93"/>
      <c r="R1229" s="93"/>
      <c r="S1229" s="93"/>
      <c r="T1229" s="93"/>
      <c r="U1229" s="93"/>
      <c r="V1229" s="93"/>
      <c r="W1229" s="93"/>
      <c r="X1229" s="93"/>
      <c r="Y1229" s="93"/>
      <c r="Z1229" s="93"/>
    </row>
    <row r="1230" customFormat="false" ht="16.4" hidden="false" customHeight="false" outlineLevel="0" collapsed="false">
      <c r="A1230" s="123" t="n">
        <v>45444</v>
      </c>
      <c r="B1230" s="31" t="s">
        <v>153</v>
      </c>
      <c r="C1230" s="129"/>
      <c r="D1230" s="129"/>
      <c r="E1230" s="19" t="n">
        <f aca="false">F1230*0.03</f>
        <v>0</v>
      </c>
      <c r="F1230" s="33" t="n">
        <v>0</v>
      </c>
      <c r="G1230" s="131"/>
      <c r="H1230" s="35" t="n">
        <v>0</v>
      </c>
      <c r="I1230" s="34" t="n">
        <f aca="false">+IF(E1230=0,0,E1230*0.03)</f>
        <v>0</v>
      </c>
      <c r="J1230" s="93"/>
      <c r="K1230" s="93"/>
      <c r="L1230" s="93"/>
      <c r="M1230" s="93"/>
      <c r="N1230" s="93"/>
      <c r="O1230" s="93"/>
      <c r="P1230" s="93"/>
      <c r="Q1230" s="93"/>
      <c r="R1230" s="93"/>
      <c r="S1230" s="93"/>
      <c r="T1230" s="93"/>
      <c r="U1230" s="93"/>
      <c r="V1230" s="93"/>
      <c r="W1230" s="93"/>
      <c r="X1230" s="93"/>
      <c r="Y1230" s="93"/>
      <c r="Z1230" s="93"/>
    </row>
    <row r="1231" customFormat="false" ht="16.4" hidden="false" customHeight="false" outlineLevel="0" collapsed="false">
      <c r="A1231" s="123" t="n">
        <v>45444</v>
      </c>
      <c r="B1231" s="31" t="s">
        <v>153</v>
      </c>
      <c r="C1231" s="129"/>
      <c r="D1231" s="129"/>
      <c r="E1231" s="19" t="n">
        <f aca="false">F1231*0.03</f>
        <v>0</v>
      </c>
      <c r="F1231" s="33" t="n">
        <v>0</v>
      </c>
      <c r="G1231" s="131"/>
      <c r="H1231" s="35" t="n">
        <v>0</v>
      </c>
      <c r="I1231" s="34" t="n">
        <f aca="false">+IF(E1231=0,0,E1231*0.03)</f>
        <v>0</v>
      </c>
      <c r="J1231" s="93"/>
      <c r="K1231" s="93"/>
      <c r="L1231" s="93"/>
      <c r="M1231" s="93"/>
      <c r="N1231" s="93"/>
      <c r="O1231" s="93"/>
      <c r="P1231" s="93"/>
      <c r="Q1231" s="93"/>
      <c r="R1231" s="93"/>
      <c r="S1231" s="93"/>
      <c r="T1231" s="93"/>
      <c r="U1231" s="93"/>
      <c r="V1231" s="93"/>
      <c r="W1231" s="93"/>
      <c r="X1231" s="93"/>
      <c r="Y1231" s="93"/>
      <c r="Z1231" s="93"/>
    </row>
    <row r="1232" customFormat="false" ht="16.4" hidden="false" customHeight="false" outlineLevel="0" collapsed="false">
      <c r="A1232" s="123" t="n">
        <v>45444</v>
      </c>
      <c r="B1232" s="31" t="s">
        <v>153</v>
      </c>
      <c r="C1232" s="129"/>
      <c r="D1232" s="129"/>
      <c r="E1232" s="19" t="n">
        <f aca="false">F1232*0.03</f>
        <v>0</v>
      </c>
      <c r="F1232" s="33" t="n">
        <v>0</v>
      </c>
      <c r="G1232" s="131"/>
      <c r="H1232" s="35" t="n">
        <v>0</v>
      </c>
      <c r="I1232" s="34" t="n">
        <f aca="false">+IF(E1232=0,0,E1232*0.03)</f>
        <v>0</v>
      </c>
      <c r="J1232" s="93"/>
      <c r="K1232" s="93"/>
      <c r="L1232" s="93"/>
      <c r="M1232" s="93"/>
      <c r="N1232" s="93"/>
      <c r="O1232" s="93"/>
      <c r="P1232" s="93"/>
      <c r="Q1232" s="93"/>
      <c r="R1232" s="93"/>
      <c r="S1232" s="93"/>
      <c r="T1232" s="93"/>
      <c r="U1232" s="93"/>
      <c r="V1232" s="93"/>
      <c r="W1232" s="93"/>
      <c r="X1232" s="93"/>
      <c r="Y1232" s="93"/>
      <c r="Z1232" s="93"/>
    </row>
    <row r="1233" customFormat="false" ht="16.4" hidden="false" customHeight="false" outlineLevel="0" collapsed="false">
      <c r="A1233" s="123" t="n">
        <v>45444</v>
      </c>
      <c r="B1233" s="31" t="s">
        <v>153</v>
      </c>
      <c r="C1233" s="129"/>
      <c r="D1233" s="129"/>
      <c r="E1233" s="19" t="n">
        <f aca="false">F1233*0.03</f>
        <v>0</v>
      </c>
      <c r="F1233" s="33" t="n">
        <v>0</v>
      </c>
      <c r="G1233" s="131"/>
      <c r="H1233" s="35" t="n">
        <v>0</v>
      </c>
      <c r="I1233" s="34" t="n">
        <f aca="false">+IF(E1233=0,0,E1233*0.03)</f>
        <v>0</v>
      </c>
      <c r="J1233" s="93"/>
      <c r="K1233" s="93"/>
      <c r="L1233" s="93"/>
      <c r="M1233" s="93"/>
      <c r="N1233" s="93"/>
      <c r="O1233" s="93"/>
      <c r="P1233" s="93"/>
      <c r="Q1233" s="93"/>
      <c r="R1233" s="93"/>
      <c r="S1233" s="93"/>
      <c r="T1233" s="93"/>
      <c r="U1233" s="93"/>
      <c r="V1233" s="93"/>
      <c r="W1233" s="93"/>
      <c r="X1233" s="93"/>
      <c r="Y1233" s="93"/>
      <c r="Z1233" s="93"/>
    </row>
    <row r="1234" customFormat="false" ht="16.4" hidden="false" customHeight="false" outlineLevel="0" collapsed="false">
      <c r="A1234" s="123" t="n">
        <v>45444</v>
      </c>
      <c r="B1234" s="31" t="s">
        <v>153</v>
      </c>
      <c r="C1234" s="129"/>
      <c r="D1234" s="129"/>
      <c r="E1234" s="19" t="n">
        <f aca="false">F1234*0.03</f>
        <v>0</v>
      </c>
      <c r="F1234" s="33" t="n">
        <v>0</v>
      </c>
      <c r="G1234" s="131"/>
      <c r="H1234" s="35" t="n">
        <v>0</v>
      </c>
      <c r="I1234" s="34" t="n">
        <f aca="false">+IF(E1234=0,0,E1234*0.03)</f>
        <v>0</v>
      </c>
      <c r="J1234" s="93"/>
      <c r="K1234" s="93"/>
      <c r="L1234" s="93"/>
      <c r="M1234" s="93"/>
      <c r="N1234" s="93"/>
      <c r="O1234" s="93"/>
      <c r="P1234" s="93"/>
      <c r="Q1234" s="93"/>
      <c r="R1234" s="93"/>
      <c r="S1234" s="93"/>
      <c r="T1234" s="93"/>
      <c r="U1234" s="93"/>
      <c r="V1234" s="93"/>
      <c r="W1234" s="93"/>
      <c r="X1234" s="93"/>
      <c r="Y1234" s="93"/>
      <c r="Z1234" s="93"/>
    </row>
    <row r="1235" customFormat="false" ht="16.4" hidden="false" customHeight="false" outlineLevel="0" collapsed="false">
      <c r="A1235" s="123" t="n">
        <v>45444</v>
      </c>
      <c r="B1235" s="31" t="s">
        <v>153</v>
      </c>
      <c r="C1235" s="129"/>
      <c r="D1235" s="129"/>
      <c r="E1235" s="19" t="n">
        <f aca="false">F1235*0.03</f>
        <v>0</v>
      </c>
      <c r="F1235" s="33" t="n">
        <v>0</v>
      </c>
      <c r="G1235" s="131"/>
      <c r="H1235" s="35" t="n">
        <v>0</v>
      </c>
      <c r="I1235" s="34" t="n">
        <f aca="false">+IF(E1235=0,0,E1235*0.03)</f>
        <v>0</v>
      </c>
      <c r="J1235" s="93"/>
      <c r="K1235" s="93"/>
      <c r="L1235" s="93"/>
      <c r="M1235" s="93"/>
      <c r="N1235" s="93"/>
      <c r="O1235" s="93"/>
      <c r="P1235" s="93"/>
      <c r="Q1235" s="93"/>
      <c r="R1235" s="93"/>
      <c r="S1235" s="93"/>
      <c r="T1235" s="93"/>
      <c r="U1235" s="93"/>
      <c r="V1235" s="93"/>
      <c r="W1235" s="93"/>
      <c r="X1235" s="93"/>
      <c r="Y1235" s="93"/>
      <c r="Z1235" s="93"/>
    </row>
    <row r="1236" customFormat="false" ht="16.4" hidden="false" customHeight="false" outlineLevel="0" collapsed="false">
      <c r="A1236" s="123" t="n">
        <v>45444</v>
      </c>
      <c r="B1236" s="31" t="s">
        <v>153</v>
      </c>
      <c r="C1236" s="129"/>
      <c r="D1236" s="129"/>
      <c r="E1236" s="19" t="n">
        <f aca="false">F1236*0.03</f>
        <v>0</v>
      </c>
      <c r="F1236" s="33" t="n">
        <v>0</v>
      </c>
      <c r="G1236" s="131"/>
      <c r="H1236" s="35" t="n">
        <v>0</v>
      </c>
      <c r="I1236" s="34" t="n">
        <f aca="false">+IF(E1236=0,0,E1236*0.03)</f>
        <v>0</v>
      </c>
      <c r="J1236" s="93"/>
      <c r="K1236" s="93"/>
      <c r="L1236" s="93"/>
      <c r="M1236" s="93"/>
      <c r="N1236" s="93"/>
      <c r="O1236" s="93"/>
      <c r="P1236" s="93"/>
      <c r="Q1236" s="93"/>
      <c r="R1236" s="93"/>
      <c r="S1236" s="93"/>
      <c r="T1236" s="93"/>
      <c r="U1236" s="93"/>
      <c r="V1236" s="93"/>
      <c r="W1236" s="93"/>
      <c r="X1236" s="93"/>
      <c r="Y1236" s="93"/>
      <c r="Z1236" s="93"/>
    </row>
    <row r="1237" customFormat="false" ht="16.4" hidden="false" customHeight="false" outlineLevel="0" collapsed="false">
      <c r="A1237" s="123" t="n">
        <v>45444</v>
      </c>
      <c r="B1237" s="31" t="s">
        <v>153</v>
      </c>
      <c r="C1237" s="129"/>
      <c r="D1237" s="129"/>
      <c r="E1237" s="19" t="n">
        <f aca="false">F1237*0.03</f>
        <v>0</v>
      </c>
      <c r="F1237" s="33" t="n">
        <v>0</v>
      </c>
      <c r="G1237" s="131"/>
      <c r="H1237" s="35" t="n">
        <v>0</v>
      </c>
      <c r="I1237" s="34" t="n">
        <f aca="false">+IF(E1237=0,0,E1237*0.03)</f>
        <v>0</v>
      </c>
      <c r="J1237" s="93"/>
      <c r="K1237" s="93"/>
      <c r="L1237" s="93"/>
      <c r="M1237" s="93"/>
      <c r="N1237" s="93"/>
      <c r="O1237" s="93"/>
      <c r="P1237" s="93"/>
      <c r="Q1237" s="93"/>
      <c r="R1237" s="93"/>
      <c r="S1237" s="93"/>
      <c r="T1237" s="93"/>
      <c r="U1237" s="93"/>
      <c r="V1237" s="93"/>
      <c r="W1237" s="93"/>
      <c r="X1237" s="93"/>
      <c r="Y1237" s="93"/>
      <c r="Z1237" s="93"/>
    </row>
    <row r="1238" customFormat="false" ht="16.4" hidden="false" customHeight="false" outlineLevel="0" collapsed="false">
      <c r="A1238" s="123" t="n">
        <v>45444</v>
      </c>
      <c r="B1238" s="31" t="s">
        <v>153</v>
      </c>
      <c r="C1238" s="129"/>
      <c r="D1238" s="129"/>
      <c r="E1238" s="19" t="n">
        <f aca="false">F1238*0.03</f>
        <v>0</v>
      </c>
      <c r="F1238" s="33" t="n">
        <v>0</v>
      </c>
      <c r="G1238" s="131"/>
      <c r="H1238" s="35" t="n">
        <v>0</v>
      </c>
      <c r="I1238" s="34" t="n">
        <f aca="false">+IF(E1238=0,0,E1238*0.03)</f>
        <v>0</v>
      </c>
      <c r="J1238" s="93"/>
      <c r="K1238" s="93"/>
      <c r="L1238" s="93"/>
      <c r="M1238" s="93"/>
      <c r="N1238" s="93"/>
      <c r="O1238" s="93"/>
      <c r="P1238" s="93"/>
      <c r="Q1238" s="93"/>
      <c r="R1238" s="93"/>
      <c r="S1238" s="93"/>
      <c r="T1238" s="93"/>
      <c r="U1238" s="93"/>
      <c r="V1238" s="93"/>
      <c r="W1238" s="93"/>
      <c r="X1238" s="93"/>
      <c r="Y1238" s="93"/>
      <c r="Z1238" s="93"/>
    </row>
    <row r="1239" customFormat="false" ht="16.4" hidden="false" customHeight="false" outlineLevel="0" collapsed="false">
      <c r="A1239" s="123" t="n">
        <v>45444</v>
      </c>
      <c r="B1239" s="31" t="s">
        <v>153</v>
      </c>
      <c r="C1239" s="129"/>
      <c r="D1239" s="129"/>
      <c r="E1239" s="19" t="n">
        <f aca="false">F1239*0.03</f>
        <v>0</v>
      </c>
      <c r="F1239" s="33" t="n">
        <v>0</v>
      </c>
      <c r="G1239" s="131"/>
      <c r="H1239" s="35" t="n">
        <v>0</v>
      </c>
      <c r="I1239" s="34" t="n">
        <f aca="false">+IF(E1239=0,0,E1239*0.03)</f>
        <v>0</v>
      </c>
      <c r="J1239" s="93"/>
      <c r="K1239" s="93"/>
      <c r="L1239" s="93"/>
      <c r="M1239" s="93"/>
      <c r="N1239" s="93"/>
      <c r="O1239" s="93"/>
      <c r="P1239" s="93"/>
      <c r="Q1239" s="93"/>
      <c r="R1239" s="93"/>
      <c r="S1239" s="93"/>
      <c r="T1239" s="93"/>
      <c r="U1239" s="93"/>
      <c r="V1239" s="93"/>
      <c r="W1239" s="93"/>
      <c r="X1239" s="93"/>
      <c r="Y1239" s="93"/>
      <c r="Z1239" s="93"/>
    </row>
    <row r="1240" customFormat="false" ht="16.4" hidden="false" customHeight="false" outlineLevel="0" collapsed="false">
      <c r="A1240" s="123" t="n">
        <v>45444</v>
      </c>
      <c r="B1240" s="31" t="s">
        <v>153</v>
      </c>
      <c r="C1240" s="129"/>
      <c r="D1240" s="129"/>
      <c r="E1240" s="19" t="n">
        <f aca="false">F1240*0.03</f>
        <v>0</v>
      </c>
      <c r="F1240" s="33" t="n">
        <v>0</v>
      </c>
      <c r="G1240" s="131"/>
      <c r="H1240" s="35" t="n">
        <v>0</v>
      </c>
      <c r="I1240" s="34" t="n">
        <f aca="false">+IF(E1240=0,0,E1240*0.03)</f>
        <v>0</v>
      </c>
      <c r="J1240" s="93"/>
      <c r="K1240" s="93"/>
      <c r="L1240" s="93"/>
      <c r="M1240" s="93"/>
      <c r="N1240" s="93"/>
      <c r="O1240" s="93"/>
      <c r="P1240" s="93"/>
      <c r="Q1240" s="93"/>
      <c r="R1240" s="93"/>
      <c r="S1240" s="93"/>
      <c r="T1240" s="93"/>
      <c r="U1240" s="93"/>
      <c r="V1240" s="93"/>
      <c r="W1240" s="93"/>
      <c r="X1240" s="93"/>
      <c r="Y1240" s="93"/>
      <c r="Z1240" s="93"/>
    </row>
    <row r="1241" customFormat="false" ht="16.4" hidden="false" customHeight="false" outlineLevel="0" collapsed="false">
      <c r="A1241" s="123" t="n">
        <v>45444</v>
      </c>
      <c r="B1241" s="31" t="s">
        <v>153</v>
      </c>
      <c r="C1241" s="129"/>
      <c r="D1241" s="129"/>
      <c r="E1241" s="19" t="n">
        <f aca="false">F1241*0.03</f>
        <v>0</v>
      </c>
      <c r="F1241" s="33" t="n">
        <v>0</v>
      </c>
      <c r="G1241" s="131"/>
      <c r="H1241" s="35" t="n">
        <v>0</v>
      </c>
      <c r="I1241" s="34" t="n">
        <f aca="false">+IF(E1241=0,0,E1241*0.03)</f>
        <v>0</v>
      </c>
      <c r="J1241" s="93"/>
      <c r="K1241" s="93"/>
      <c r="L1241" s="93"/>
      <c r="M1241" s="93"/>
      <c r="N1241" s="93"/>
      <c r="O1241" s="93"/>
      <c r="P1241" s="93"/>
      <c r="Q1241" s="93"/>
      <c r="R1241" s="93"/>
      <c r="S1241" s="93"/>
      <c r="T1241" s="93"/>
      <c r="U1241" s="93"/>
      <c r="V1241" s="93"/>
      <c r="W1241" s="93"/>
      <c r="X1241" s="93"/>
      <c r="Y1241" s="93"/>
      <c r="Z1241" s="93"/>
    </row>
    <row r="1242" customFormat="false" ht="16.4" hidden="false" customHeight="false" outlineLevel="0" collapsed="false">
      <c r="A1242" s="123" t="n">
        <v>45444</v>
      </c>
      <c r="B1242" s="31" t="s">
        <v>153</v>
      </c>
      <c r="C1242" s="129"/>
      <c r="D1242" s="129"/>
      <c r="E1242" s="19" t="n">
        <f aca="false">F1242*0.03</f>
        <v>0</v>
      </c>
      <c r="F1242" s="33" t="n">
        <v>0</v>
      </c>
      <c r="G1242" s="131"/>
      <c r="H1242" s="35" t="n">
        <v>0</v>
      </c>
      <c r="I1242" s="34" t="n">
        <f aca="false">+IF(E1242=0,0,E1242*0.03)</f>
        <v>0</v>
      </c>
      <c r="J1242" s="93"/>
      <c r="K1242" s="93"/>
      <c r="L1242" s="93"/>
      <c r="M1242" s="93"/>
      <c r="N1242" s="93"/>
      <c r="O1242" s="93"/>
      <c r="P1242" s="93"/>
      <c r="Q1242" s="93"/>
      <c r="R1242" s="93"/>
      <c r="S1242" s="93"/>
      <c r="T1242" s="93"/>
      <c r="U1242" s="93"/>
      <c r="V1242" s="93"/>
      <c r="W1242" s="93"/>
      <c r="X1242" s="93"/>
      <c r="Y1242" s="93"/>
      <c r="Z1242" s="93"/>
    </row>
    <row r="1243" customFormat="false" ht="16.4" hidden="false" customHeight="false" outlineLevel="0" collapsed="false">
      <c r="A1243" s="123" t="n">
        <v>45444</v>
      </c>
      <c r="B1243" s="31" t="s">
        <v>153</v>
      </c>
      <c r="C1243" s="129"/>
      <c r="D1243" s="129"/>
      <c r="E1243" s="19" t="n">
        <f aca="false">F1243*0.03</f>
        <v>0</v>
      </c>
      <c r="F1243" s="33" t="n">
        <v>0</v>
      </c>
      <c r="G1243" s="131"/>
      <c r="H1243" s="35" t="n">
        <v>0</v>
      </c>
      <c r="I1243" s="34" t="n">
        <f aca="false">+IF(E1243=0,0,E1243*0.03)</f>
        <v>0</v>
      </c>
      <c r="J1243" s="93"/>
      <c r="K1243" s="93"/>
      <c r="L1243" s="93"/>
      <c r="M1243" s="93"/>
      <c r="N1243" s="93"/>
      <c r="O1243" s="93"/>
      <c r="P1243" s="93"/>
      <c r="Q1243" s="93"/>
      <c r="R1243" s="93"/>
      <c r="S1243" s="93"/>
      <c r="T1243" s="93"/>
      <c r="U1243" s="93"/>
      <c r="V1243" s="93"/>
      <c r="W1243" s="93"/>
      <c r="X1243" s="93"/>
      <c r="Y1243" s="93"/>
      <c r="Z1243" s="93"/>
    </row>
    <row r="1244" customFormat="false" ht="16.4" hidden="false" customHeight="false" outlineLevel="0" collapsed="false">
      <c r="A1244" s="123" t="n">
        <v>45444</v>
      </c>
      <c r="B1244" s="31" t="s">
        <v>153</v>
      </c>
      <c r="C1244" s="129"/>
      <c r="D1244" s="129"/>
      <c r="E1244" s="19" t="n">
        <f aca="false">F1244*0.03</f>
        <v>0</v>
      </c>
      <c r="F1244" s="33" t="n">
        <v>0</v>
      </c>
      <c r="G1244" s="131"/>
      <c r="H1244" s="35" t="n">
        <v>0</v>
      </c>
      <c r="I1244" s="34" t="n">
        <f aca="false">+IF(E1244=0,0,E1244*0.03)</f>
        <v>0</v>
      </c>
      <c r="J1244" s="93"/>
      <c r="K1244" s="93"/>
      <c r="L1244" s="93"/>
      <c r="M1244" s="93"/>
      <c r="N1244" s="93"/>
      <c r="O1244" s="93"/>
      <c r="P1244" s="93"/>
      <c r="Q1244" s="93"/>
      <c r="R1244" s="93"/>
      <c r="S1244" s="93"/>
      <c r="T1244" s="93"/>
      <c r="U1244" s="93"/>
      <c r="V1244" s="93"/>
      <c r="W1244" s="93"/>
      <c r="X1244" s="93"/>
      <c r="Y1244" s="93"/>
      <c r="Z1244" s="93"/>
    </row>
    <row r="1245" customFormat="false" ht="16.4" hidden="false" customHeight="false" outlineLevel="0" collapsed="false">
      <c r="A1245" s="123" t="n">
        <v>45444</v>
      </c>
      <c r="B1245" s="31" t="s">
        <v>153</v>
      </c>
      <c r="C1245" s="129"/>
      <c r="D1245" s="129"/>
      <c r="E1245" s="19" t="n">
        <f aca="false">F1245*0.03</f>
        <v>0</v>
      </c>
      <c r="F1245" s="33" t="n">
        <v>0</v>
      </c>
      <c r="G1245" s="131"/>
      <c r="H1245" s="35" t="n">
        <v>0</v>
      </c>
      <c r="I1245" s="34" t="n">
        <f aca="false">+IF(E1245=0,0,E1245*0.03)</f>
        <v>0</v>
      </c>
      <c r="J1245" s="93"/>
      <c r="K1245" s="93"/>
      <c r="L1245" s="93"/>
      <c r="M1245" s="93"/>
      <c r="N1245" s="93"/>
      <c r="O1245" s="93"/>
      <c r="P1245" s="93"/>
      <c r="Q1245" s="93"/>
      <c r="R1245" s="93"/>
      <c r="S1245" s="93"/>
      <c r="T1245" s="93"/>
      <c r="U1245" s="93"/>
      <c r="V1245" s="93"/>
      <c r="W1245" s="93"/>
      <c r="X1245" s="93"/>
      <c r="Y1245" s="93"/>
      <c r="Z1245" s="93"/>
    </row>
    <row r="1246" customFormat="false" ht="16.4" hidden="false" customHeight="false" outlineLevel="0" collapsed="false">
      <c r="A1246" s="123" t="n">
        <v>45444</v>
      </c>
      <c r="B1246" s="31" t="s">
        <v>153</v>
      </c>
      <c r="C1246" s="129"/>
      <c r="D1246" s="129"/>
      <c r="E1246" s="19" t="n">
        <f aca="false">F1246*0.03</f>
        <v>0</v>
      </c>
      <c r="F1246" s="33" t="n">
        <v>0</v>
      </c>
      <c r="G1246" s="131"/>
      <c r="H1246" s="35" t="n">
        <v>0</v>
      </c>
      <c r="I1246" s="34" t="n">
        <f aca="false">+IF(E1246=0,0,E1246*0.03)</f>
        <v>0</v>
      </c>
      <c r="J1246" s="93"/>
      <c r="K1246" s="93"/>
      <c r="L1246" s="93"/>
      <c r="M1246" s="93"/>
      <c r="N1246" s="93"/>
      <c r="O1246" s="93"/>
      <c r="P1246" s="93"/>
      <c r="Q1246" s="93"/>
      <c r="R1246" s="93"/>
      <c r="S1246" s="93"/>
      <c r="T1246" s="93"/>
      <c r="U1246" s="93"/>
      <c r="V1246" s="93"/>
      <c r="W1246" s="93"/>
      <c r="X1246" s="93"/>
      <c r="Y1246" s="93"/>
      <c r="Z1246" s="93"/>
    </row>
    <row r="1247" customFormat="false" ht="16.4" hidden="false" customHeight="false" outlineLevel="0" collapsed="false">
      <c r="A1247" s="123" t="n">
        <v>45444</v>
      </c>
      <c r="B1247" s="31" t="s">
        <v>153</v>
      </c>
      <c r="C1247" s="129"/>
      <c r="D1247" s="129"/>
      <c r="E1247" s="19" t="n">
        <f aca="false">F1247*0.03</f>
        <v>0</v>
      </c>
      <c r="F1247" s="33" t="n">
        <v>0</v>
      </c>
      <c r="G1247" s="131"/>
      <c r="H1247" s="35" t="n">
        <v>0</v>
      </c>
      <c r="I1247" s="34" t="n">
        <f aca="false">+IF(E1247=0,0,E1247*0.03)</f>
        <v>0</v>
      </c>
      <c r="J1247" s="93"/>
      <c r="K1247" s="93"/>
      <c r="L1247" s="93"/>
      <c r="M1247" s="93"/>
      <c r="N1247" s="93"/>
      <c r="O1247" s="93"/>
      <c r="P1247" s="93"/>
      <c r="Q1247" s="93"/>
      <c r="R1247" s="93"/>
      <c r="S1247" s="93"/>
      <c r="T1247" s="93"/>
      <c r="U1247" s="93"/>
      <c r="V1247" s="93"/>
      <c r="W1247" s="93"/>
      <c r="X1247" s="93"/>
      <c r="Y1247" s="93"/>
      <c r="Z1247" s="93"/>
    </row>
    <row r="1248" customFormat="false" ht="16.4" hidden="false" customHeight="false" outlineLevel="0" collapsed="false">
      <c r="A1248" s="123" t="n">
        <v>45444</v>
      </c>
      <c r="B1248" s="31" t="s">
        <v>153</v>
      </c>
      <c r="C1248" s="129"/>
      <c r="D1248" s="129"/>
      <c r="E1248" s="19" t="n">
        <f aca="false">F1248*0.03</f>
        <v>0</v>
      </c>
      <c r="F1248" s="33" t="n">
        <v>0</v>
      </c>
      <c r="G1248" s="131"/>
      <c r="H1248" s="35" t="n">
        <v>0</v>
      </c>
      <c r="I1248" s="34" t="n">
        <f aca="false">+IF(E1248=0,0,E1248*0.03)</f>
        <v>0</v>
      </c>
      <c r="J1248" s="93"/>
      <c r="K1248" s="93"/>
      <c r="L1248" s="93"/>
      <c r="M1248" s="93"/>
      <c r="N1248" s="93"/>
      <c r="O1248" s="93"/>
      <c r="P1248" s="93"/>
      <c r="Q1248" s="93"/>
      <c r="R1248" s="93"/>
      <c r="S1248" s="93"/>
      <c r="T1248" s="93"/>
      <c r="U1248" s="93"/>
      <c r="V1248" s="93"/>
      <c r="W1248" s="93"/>
      <c r="X1248" s="93"/>
      <c r="Y1248" s="93"/>
      <c r="Z1248" s="93"/>
    </row>
    <row r="1249" customFormat="false" ht="16.4" hidden="false" customHeight="false" outlineLevel="0" collapsed="false">
      <c r="A1249" s="123" t="n">
        <v>45444</v>
      </c>
      <c r="B1249" s="31" t="s">
        <v>153</v>
      </c>
      <c r="C1249" s="129"/>
      <c r="D1249" s="129"/>
      <c r="E1249" s="19" t="n">
        <f aca="false">F1249*0.03</f>
        <v>0</v>
      </c>
      <c r="F1249" s="33" t="n">
        <v>0</v>
      </c>
      <c r="G1249" s="131"/>
      <c r="H1249" s="35" t="n">
        <v>0</v>
      </c>
      <c r="I1249" s="34" t="n">
        <f aca="false">+IF(E1249=0,0,E1249*0.03)</f>
        <v>0</v>
      </c>
      <c r="J1249" s="93"/>
      <c r="K1249" s="93"/>
      <c r="L1249" s="93"/>
      <c r="M1249" s="93"/>
      <c r="N1249" s="93"/>
      <c r="O1249" s="93"/>
      <c r="P1249" s="93"/>
      <c r="Q1249" s="93"/>
      <c r="R1249" s="93"/>
      <c r="S1249" s="93"/>
      <c r="T1249" s="93"/>
      <c r="U1249" s="93"/>
      <c r="V1249" s="93"/>
      <c r="W1249" s="93"/>
      <c r="X1249" s="93"/>
      <c r="Y1249" s="93"/>
      <c r="Z1249" s="93"/>
    </row>
    <row r="1250" customFormat="false" ht="16.4" hidden="false" customHeight="false" outlineLevel="0" collapsed="false">
      <c r="A1250" s="123" t="n">
        <v>45444</v>
      </c>
      <c r="B1250" s="31" t="s">
        <v>153</v>
      </c>
      <c r="C1250" s="129"/>
      <c r="D1250" s="129"/>
      <c r="E1250" s="19" t="n">
        <f aca="false">F1250*0.03</f>
        <v>0</v>
      </c>
      <c r="F1250" s="33" t="n">
        <v>0</v>
      </c>
      <c r="G1250" s="131"/>
      <c r="H1250" s="35" t="n">
        <v>0</v>
      </c>
      <c r="I1250" s="34" t="n">
        <f aca="false">+IF(E1250=0,0,E1250*0.03)</f>
        <v>0</v>
      </c>
      <c r="J1250" s="93"/>
      <c r="K1250" s="93"/>
      <c r="L1250" s="93"/>
      <c r="M1250" s="93"/>
      <c r="N1250" s="93"/>
      <c r="O1250" s="93"/>
      <c r="P1250" s="93"/>
      <c r="Q1250" s="93"/>
      <c r="R1250" s="93"/>
      <c r="S1250" s="93"/>
      <c r="T1250" s="93"/>
      <c r="U1250" s="93"/>
      <c r="V1250" s="93"/>
      <c r="W1250" s="93"/>
      <c r="X1250" s="93"/>
      <c r="Y1250" s="93"/>
      <c r="Z1250" s="93"/>
    </row>
    <row r="1251" customFormat="false" ht="16.4" hidden="false" customHeight="false" outlineLevel="0" collapsed="false">
      <c r="A1251" s="123" t="n">
        <v>45444</v>
      </c>
      <c r="B1251" s="31" t="s">
        <v>153</v>
      </c>
      <c r="C1251" s="129"/>
      <c r="D1251" s="129"/>
      <c r="E1251" s="19" t="n">
        <f aca="false">F1251*0.03</f>
        <v>0</v>
      </c>
      <c r="F1251" s="33" t="n">
        <v>0</v>
      </c>
      <c r="G1251" s="131"/>
      <c r="H1251" s="35" t="n">
        <v>0</v>
      </c>
      <c r="I1251" s="34" t="n">
        <f aca="false">+IF(E1251=0,0,E1251*0.03)</f>
        <v>0</v>
      </c>
      <c r="J1251" s="93"/>
      <c r="K1251" s="93"/>
      <c r="L1251" s="93"/>
      <c r="M1251" s="93"/>
      <c r="N1251" s="93"/>
      <c r="O1251" s="93"/>
      <c r="P1251" s="93"/>
      <c r="Q1251" s="93"/>
      <c r="R1251" s="93"/>
      <c r="S1251" s="93"/>
      <c r="T1251" s="93"/>
      <c r="U1251" s="93"/>
      <c r="V1251" s="93"/>
      <c r="W1251" s="93"/>
      <c r="X1251" s="93"/>
      <c r="Y1251" s="93"/>
      <c r="Z1251" s="93"/>
    </row>
    <row r="1252" customFormat="false" ht="16.4" hidden="false" customHeight="false" outlineLevel="0" collapsed="false">
      <c r="A1252" s="123" t="n">
        <v>45444</v>
      </c>
      <c r="B1252" s="31" t="s">
        <v>153</v>
      </c>
      <c r="C1252" s="129"/>
      <c r="D1252" s="129"/>
      <c r="E1252" s="19" t="n">
        <f aca="false">F1252*0.03</f>
        <v>0</v>
      </c>
      <c r="F1252" s="33" t="n">
        <v>0</v>
      </c>
      <c r="G1252" s="131"/>
      <c r="H1252" s="35" t="n">
        <v>0</v>
      </c>
      <c r="I1252" s="34" t="n">
        <f aca="false">+IF(E1252=0,0,E1252*0.03)</f>
        <v>0</v>
      </c>
      <c r="J1252" s="93"/>
      <c r="K1252" s="93"/>
      <c r="L1252" s="93"/>
      <c r="M1252" s="93"/>
      <c r="N1252" s="93"/>
      <c r="O1252" s="93"/>
      <c r="P1252" s="93"/>
      <c r="Q1252" s="93"/>
      <c r="R1252" s="93"/>
      <c r="S1252" s="93"/>
      <c r="T1252" s="93"/>
      <c r="U1252" s="93"/>
      <c r="V1252" s="93"/>
      <c r="W1252" s="93"/>
      <c r="X1252" s="93"/>
      <c r="Y1252" s="93"/>
      <c r="Z1252" s="93"/>
    </row>
    <row r="1253" customFormat="false" ht="16.4" hidden="false" customHeight="false" outlineLevel="0" collapsed="false">
      <c r="A1253" s="123" t="n">
        <v>45444</v>
      </c>
      <c r="B1253" s="31" t="s">
        <v>153</v>
      </c>
      <c r="C1253" s="129"/>
      <c r="D1253" s="129"/>
      <c r="E1253" s="19" t="n">
        <f aca="false">F1253*0.03</f>
        <v>0</v>
      </c>
      <c r="F1253" s="33" t="n">
        <v>0</v>
      </c>
      <c r="G1253" s="131"/>
      <c r="H1253" s="35" t="n">
        <v>0</v>
      </c>
      <c r="I1253" s="34" t="n">
        <f aca="false">+IF(E1253=0,0,E1253*0.03)</f>
        <v>0</v>
      </c>
      <c r="J1253" s="93"/>
      <c r="K1253" s="93"/>
      <c r="L1253" s="93"/>
      <c r="M1253" s="93"/>
      <c r="N1253" s="93"/>
      <c r="O1253" s="93"/>
      <c r="P1253" s="93"/>
      <c r="Q1253" s="93"/>
      <c r="R1253" s="93"/>
      <c r="S1253" s="93"/>
      <c r="T1253" s="93"/>
      <c r="U1253" s="93"/>
      <c r="V1253" s="93"/>
      <c r="W1253" s="93"/>
      <c r="X1253" s="93"/>
      <c r="Y1253" s="93"/>
      <c r="Z1253" s="93"/>
    </row>
    <row r="1254" customFormat="false" ht="16.4" hidden="false" customHeight="false" outlineLevel="0" collapsed="false">
      <c r="A1254" s="123" t="n">
        <v>45444</v>
      </c>
      <c r="B1254" s="31" t="s">
        <v>153</v>
      </c>
      <c r="C1254" s="129"/>
      <c r="D1254" s="129"/>
      <c r="E1254" s="19" t="n">
        <f aca="false">F1254*0.03</f>
        <v>0</v>
      </c>
      <c r="F1254" s="33" t="n">
        <v>0</v>
      </c>
      <c r="G1254" s="131"/>
      <c r="H1254" s="35" t="n">
        <v>0</v>
      </c>
      <c r="I1254" s="34" t="n">
        <f aca="false">+IF(E1254=0,0,E1254*0.03)</f>
        <v>0</v>
      </c>
      <c r="J1254" s="93"/>
      <c r="K1254" s="93"/>
      <c r="L1254" s="93"/>
      <c r="M1254" s="93"/>
      <c r="N1254" s="93"/>
      <c r="O1254" s="93"/>
      <c r="P1254" s="93"/>
      <c r="Q1254" s="93"/>
      <c r="R1254" s="93"/>
      <c r="S1254" s="93"/>
      <c r="T1254" s="93"/>
      <c r="U1254" s="93"/>
      <c r="V1254" s="93"/>
      <c r="W1254" s="93"/>
      <c r="X1254" s="93"/>
      <c r="Y1254" s="93"/>
      <c r="Z1254" s="93"/>
    </row>
    <row r="1255" customFormat="false" ht="16.4" hidden="false" customHeight="false" outlineLevel="0" collapsed="false">
      <c r="A1255" s="123" t="n">
        <v>45444</v>
      </c>
      <c r="B1255" s="31" t="s">
        <v>153</v>
      </c>
      <c r="C1255" s="129"/>
      <c r="D1255" s="129"/>
      <c r="E1255" s="19" t="n">
        <f aca="false">F1255*0.03</f>
        <v>0</v>
      </c>
      <c r="F1255" s="33" t="n">
        <v>0</v>
      </c>
      <c r="G1255" s="131"/>
      <c r="H1255" s="35" t="n">
        <v>0</v>
      </c>
      <c r="I1255" s="34" t="n">
        <f aca="false">+IF(E1255=0,0,E1255*0.03)</f>
        <v>0</v>
      </c>
      <c r="J1255" s="93"/>
      <c r="K1255" s="93"/>
      <c r="L1255" s="93"/>
      <c r="M1255" s="93"/>
      <c r="N1255" s="93"/>
      <c r="O1255" s="93"/>
      <c r="P1255" s="93"/>
      <c r="Q1255" s="93"/>
      <c r="R1255" s="93"/>
      <c r="S1255" s="93"/>
      <c r="T1255" s="93"/>
      <c r="U1255" s="93"/>
      <c r="V1255" s="93"/>
      <c r="W1255" s="93"/>
      <c r="X1255" s="93"/>
      <c r="Y1255" s="93"/>
      <c r="Z1255" s="93"/>
    </row>
    <row r="1256" customFormat="false" ht="16.4" hidden="false" customHeight="false" outlineLevel="0" collapsed="false">
      <c r="A1256" s="123" t="n">
        <v>45444</v>
      </c>
      <c r="B1256" s="31" t="s">
        <v>153</v>
      </c>
      <c r="C1256" s="129"/>
      <c r="D1256" s="129"/>
      <c r="E1256" s="19" t="n">
        <f aca="false">F1256*0.03</f>
        <v>0</v>
      </c>
      <c r="F1256" s="33" t="n">
        <v>0</v>
      </c>
      <c r="G1256" s="131"/>
      <c r="H1256" s="35" t="n">
        <v>0</v>
      </c>
      <c r="I1256" s="34" t="n">
        <f aca="false">+IF(E1256=0,0,E1256*0.03)</f>
        <v>0</v>
      </c>
      <c r="J1256" s="93"/>
      <c r="K1256" s="93"/>
      <c r="L1256" s="93"/>
      <c r="M1256" s="93"/>
      <c r="N1256" s="93"/>
      <c r="O1256" s="93"/>
      <c r="P1256" s="93"/>
      <c r="Q1256" s="93"/>
      <c r="R1256" s="93"/>
      <c r="S1256" s="93"/>
      <c r="T1256" s="93"/>
      <c r="U1256" s="93"/>
      <c r="V1256" s="93"/>
      <c r="W1256" s="93"/>
      <c r="X1256" s="93"/>
      <c r="Y1256" s="93"/>
      <c r="Z1256" s="93"/>
    </row>
    <row r="1257" customFormat="false" ht="16.4" hidden="false" customHeight="false" outlineLevel="0" collapsed="false">
      <c r="A1257" s="123" t="n">
        <v>45444</v>
      </c>
      <c r="B1257" s="31" t="s">
        <v>153</v>
      </c>
      <c r="C1257" s="129"/>
      <c r="D1257" s="129"/>
      <c r="E1257" s="19" t="n">
        <f aca="false">F1257*0.03</f>
        <v>0</v>
      </c>
      <c r="F1257" s="33" t="n">
        <v>0</v>
      </c>
      <c r="G1257" s="131"/>
      <c r="H1257" s="35" t="n">
        <v>0</v>
      </c>
      <c r="I1257" s="34" t="n">
        <f aca="false">+IF(E1257=0,0,E1257*0.03)</f>
        <v>0</v>
      </c>
      <c r="J1257" s="93"/>
      <c r="K1257" s="93"/>
      <c r="L1257" s="93"/>
      <c r="M1257" s="93"/>
      <c r="N1257" s="93"/>
      <c r="O1257" s="93"/>
      <c r="P1257" s="93"/>
      <c r="Q1257" s="93"/>
      <c r="R1257" s="93"/>
      <c r="S1257" s="93"/>
      <c r="T1257" s="93"/>
      <c r="U1257" s="93"/>
      <c r="V1257" s="93"/>
      <c r="W1257" s="93"/>
      <c r="X1257" s="93"/>
      <c r="Y1257" s="93"/>
      <c r="Z1257" s="93"/>
    </row>
    <row r="1258" customFormat="false" ht="16.4" hidden="false" customHeight="false" outlineLevel="0" collapsed="false">
      <c r="A1258" s="123" t="n">
        <v>45444</v>
      </c>
      <c r="B1258" s="31" t="s">
        <v>153</v>
      </c>
      <c r="C1258" s="129"/>
      <c r="D1258" s="129"/>
      <c r="E1258" s="19" t="n">
        <f aca="false">F1258*0.03</f>
        <v>0</v>
      </c>
      <c r="F1258" s="33" t="n">
        <v>0</v>
      </c>
      <c r="G1258" s="131"/>
      <c r="H1258" s="35" t="n">
        <v>0</v>
      </c>
      <c r="I1258" s="34" t="n">
        <f aca="false">+IF(E1258=0,0,E1258*0.03)</f>
        <v>0</v>
      </c>
      <c r="J1258" s="93"/>
      <c r="K1258" s="93"/>
      <c r="L1258" s="93"/>
      <c r="M1258" s="93"/>
      <c r="N1258" s="93"/>
      <c r="O1258" s="93"/>
      <c r="P1258" s="93"/>
      <c r="Q1258" s="93"/>
      <c r="R1258" s="93"/>
      <c r="S1258" s="93"/>
      <c r="T1258" s="93"/>
      <c r="U1258" s="93"/>
      <c r="V1258" s="93"/>
      <c r="W1258" s="93"/>
      <c r="X1258" s="93"/>
      <c r="Y1258" s="93"/>
      <c r="Z1258" s="93"/>
    </row>
    <row r="1259" customFormat="false" ht="16.4" hidden="false" customHeight="false" outlineLevel="0" collapsed="false">
      <c r="A1259" s="123" t="n">
        <v>45444</v>
      </c>
      <c r="B1259" s="31" t="s">
        <v>153</v>
      </c>
      <c r="C1259" s="129"/>
      <c r="D1259" s="129"/>
      <c r="E1259" s="19" t="n">
        <f aca="false">F1259*0.03</f>
        <v>0</v>
      </c>
      <c r="F1259" s="33" t="n">
        <v>0</v>
      </c>
      <c r="G1259" s="131"/>
      <c r="H1259" s="35" t="n">
        <v>0</v>
      </c>
      <c r="I1259" s="34" t="n">
        <f aca="false">+IF(E1259=0,0,E1259*0.03)</f>
        <v>0</v>
      </c>
      <c r="J1259" s="93"/>
      <c r="K1259" s="93"/>
      <c r="L1259" s="93"/>
      <c r="M1259" s="93"/>
      <c r="N1259" s="93"/>
      <c r="O1259" s="93"/>
      <c r="P1259" s="93"/>
      <c r="Q1259" s="93"/>
      <c r="R1259" s="93"/>
      <c r="S1259" s="93"/>
      <c r="T1259" s="93"/>
      <c r="U1259" s="93"/>
      <c r="V1259" s="93"/>
      <c r="W1259" s="93"/>
      <c r="X1259" s="93"/>
      <c r="Y1259" s="93"/>
      <c r="Z1259" s="93"/>
    </row>
    <row r="1260" customFormat="false" ht="16.4" hidden="false" customHeight="false" outlineLevel="0" collapsed="false">
      <c r="A1260" s="123" t="n">
        <v>45444</v>
      </c>
      <c r="B1260" s="31" t="s">
        <v>153</v>
      </c>
      <c r="C1260" s="129"/>
      <c r="D1260" s="129"/>
      <c r="E1260" s="19" t="n">
        <f aca="false">F1260*0.03</f>
        <v>0</v>
      </c>
      <c r="F1260" s="33" t="n">
        <v>0</v>
      </c>
      <c r="G1260" s="131"/>
      <c r="H1260" s="35" t="n">
        <v>0</v>
      </c>
      <c r="I1260" s="34" t="n">
        <f aca="false">+IF(E1260=0,0,E1260*0.03)</f>
        <v>0</v>
      </c>
      <c r="J1260" s="93"/>
      <c r="K1260" s="93"/>
      <c r="L1260" s="93"/>
      <c r="M1260" s="93"/>
      <c r="N1260" s="93"/>
      <c r="O1260" s="93"/>
      <c r="P1260" s="93"/>
      <c r="Q1260" s="93"/>
      <c r="R1260" s="93"/>
      <c r="S1260" s="93"/>
      <c r="T1260" s="93"/>
      <c r="U1260" s="93"/>
      <c r="V1260" s="93"/>
      <c r="W1260" s="93"/>
      <c r="X1260" s="93"/>
      <c r="Y1260" s="93"/>
      <c r="Z1260" s="93"/>
    </row>
    <row r="1261" customFormat="false" ht="16.4" hidden="false" customHeight="false" outlineLevel="0" collapsed="false">
      <c r="A1261" s="123" t="n">
        <v>45444</v>
      </c>
      <c r="B1261" s="31" t="s">
        <v>153</v>
      </c>
      <c r="C1261" s="129"/>
      <c r="D1261" s="129"/>
      <c r="E1261" s="19" t="n">
        <f aca="false">F1261*0.03</f>
        <v>0</v>
      </c>
      <c r="F1261" s="33" t="n">
        <v>0</v>
      </c>
      <c r="G1261" s="131"/>
      <c r="H1261" s="35" t="n">
        <v>0</v>
      </c>
      <c r="I1261" s="34" t="n">
        <f aca="false">+IF(E1261=0,0,E1261*0.03)</f>
        <v>0</v>
      </c>
      <c r="J1261" s="93"/>
      <c r="K1261" s="93"/>
      <c r="L1261" s="93"/>
      <c r="M1261" s="93"/>
      <c r="N1261" s="93"/>
      <c r="O1261" s="93"/>
      <c r="P1261" s="93"/>
      <c r="Q1261" s="93"/>
      <c r="R1261" s="93"/>
      <c r="S1261" s="93"/>
      <c r="T1261" s="93"/>
      <c r="U1261" s="93"/>
      <c r="V1261" s="93"/>
      <c r="W1261" s="93"/>
      <c r="X1261" s="93"/>
      <c r="Y1261" s="93"/>
      <c r="Z1261" s="93"/>
    </row>
    <row r="1262" customFormat="false" ht="16.4" hidden="false" customHeight="false" outlineLevel="0" collapsed="false">
      <c r="A1262" s="123" t="n">
        <v>45444</v>
      </c>
      <c r="B1262" s="31" t="s">
        <v>153</v>
      </c>
      <c r="C1262" s="129"/>
      <c r="D1262" s="129"/>
      <c r="E1262" s="19" t="n">
        <f aca="false">F1262*0.03</f>
        <v>0</v>
      </c>
      <c r="F1262" s="33" t="n">
        <v>0</v>
      </c>
      <c r="G1262" s="131"/>
      <c r="H1262" s="35" t="n">
        <v>0</v>
      </c>
      <c r="I1262" s="34" t="n">
        <f aca="false">+IF(E1262=0,0,E1262*0.03)</f>
        <v>0</v>
      </c>
      <c r="J1262" s="93"/>
      <c r="K1262" s="93"/>
      <c r="L1262" s="93"/>
      <c r="M1262" s="93"/>
      <c r="N1262" s="93"/>
      <c r="O1262" s="93"/>
      <c r="P1262" s="93"/>
      <c r="Q1262" s="93"/>
      <c r="R1262" s="93"/>
      <c r="S1262" s="93"/>
      <c r="T1262" s="93"/>
      <c r="U1262" s="93"/>
      <c r="V1262" s="93"/>
      <c r="W1262" s="93"/>
      <c r="X1262" s="93"/>
      <c r="Y1262" s="93"/>
      <c r="Z1262" s="93"/>
    </row>
    <row r="1263" customFormat="false" ht="16.4" hidden="false" customHeight="false" outlineLevel="0" collapsed="false">
      <c r="A1263" s="123" t="n">
        <v>45444</v>
      </c>
      <c r="B1263" s="31" t="s">
        <v>153</v>
      </c>
      <c r="C1263" s="129"/>
      <c r="D1263" s="129"/>
      <c r="E1263" s="19" t="n">
        <f aca="false">F1263*0.03</f>
        <v>0</v>
      </c>
      <c r="F1263" s="33" t="n">
        <v>0</v>
      </c>
      <c r="G1263" s="131"/>
      <c r="H1263" s="35" t="n">
        <v>0</v>
      </c>
      <c r="I1263" s="34" t="n">
        <f aca="false">+IF(E1263=0,0,E1263*0.03)</f>
        <v>0</v>
      </c>
      <c r="J1263" s="93"/>
      <c r="K1263" s="93"/>
      <c r="L1263" s="93"/>
      <c r="M1263" s="93"/>
      <c r="N1263" s="93"/>
      <c r="O1263" s="93"/>
      <c r="P1263" s="93"/>
      <c r="Q1263" s="93"/>
      <c r="R1263" s="93"/>
      <c r="S1263" s="93"/>
      <c r="T1263" s="93"/>
      <c r="U1263" s="93"/>
      <c r="V1263" s="93"/>
      <c r="W1263" s="93"/>
      <c r="X1263" s="93"/>
      <c r="Y1263" s="93"/>
      <c r="Z1263" s="93"/>
    </row>
    <row r="1264" customFormat="false" ht="16.4" hidden="false" customHeight="false" outlineLevel="0" collapsed="false">
      <c r="A1264" s="123" t="n">
        <v>45444</v>
      </c>
      <c r="B1264" s="31" t="s">
        <v>153</v>
      </c>
      <c r="C1264" s="129"/>
      <c r="D1264" s="129"/>
      <c r="E1264" s="19" t="n">
        <f aca="false">F1264*0.03</f>
        <v>0</v>
      </c>
      <c r="F1264" s="33" t="n">
        <v>0</v>
      </c>
      <c r="G1264" s="131"/>
      <c r="H1264" s="35" t="n">
        <v>0</v>
      </c>
      <c r="I1264" s="34" t="n">
        <f aca="false">+IF(E1264=0,0,E1264*0.03)</f>
        <v>0</v>
      </c>
      <c r="J1264" s="93"/>
      <c r="K1264" s="93"/>
      <c r="L1264" s="93"/>
      <c r="M1264" s="93"/>
      <c r="N1264" s="93"/>
      <c r="O1264" s="93"/>
      <c r="P1264" s="93"/>
      <c r="Q1264" s="93"/>
      <c r="R1264" s="93"/>
      <c r="S1264" s="93"/>
      <c r="T1264" s="93"/>
      <c r="U1264" s="93"/>
      <c r="V1264" s="93"/>
      <c r="W1264" s="93"/>
      <c r="X1264" s="93"/>
      <c r="Y1264" s="93"/>
      <c r="Z1264" s="93"/>
    </row>
    <row r="1265" customFormat="false" ht="16.4" hidden="false" customHeight="false" outlineLevel="0" collapsed="false">
      <c r="A1265" s="123" t="n">
        <v>45444</v>
      </c>
      <c r="B1265" s="31" t="s">
        <v>153</v>
      </c>
      <c r="C1265" s="129"/>
      <c r="D1265" s="129"/>
      <c r="E1265" s="19" t="n">
        <f aca="false">F1265*0.03</f>
        <v>0</v>
      </c>
      <c r="F1265" s="33" t="n">
        <v>0</v>
      </c>
      <c r="G1265" s="131"/>
      <c r="H1265" s="35" t="n">
        <v>0</v>
      </c>
      <c r="I1265" s="34" t="n">
        <f aca="false">+IF(E1265=0,0,E1265*0.03)</f>
        <v>0</v>
      </c>
      <c r="J1265" s="93"/>
      <c r="K1265" s="93"/>
      <c r="L1265" s="93"/>
      <c r="M1265" s="93"/>
      <c r="N1265" s="93"/>
      <c r="O1265" s="93"/>
      <c r="P1265" s="93"/>
      <c r="Q1265" s="93"/>
      <c r="R1265" s="93"/>
      <c r="S1265" s="93"/>
      <c r="T1265" s="93"/>
      <c r="U1265" s="93"/>
      <c r="V1265" s="93"/>
      <c r="W1265" s="93"/>
      <c r="X1265" s="93"/>
      <c r="Y1265" s="93"/>
      <c r="Z1265" s="93"/>
    </row>
    <row r="1266" customFormat="false" ht="16.4" hidden="false" customHeight="false" outlineLevel="0" collapsed="false">
      <c r="A1266" s="123" t="n">
        <v>45444</v>
      </c>
      <c r="B1266" s="31" t="s">
        <v>153</v>
      </c>
      <c r="C1266" s="129"/>
      <c r="D1266" s="129"/>
      <c r="E1266" s="19" t="n">
        <f aca="false">F1266*0.03</f>
        <v>0</v>
      </c>
      <c r="F1266" s="33" t="n">
        <v>0</v>
      </c>
      <c r="G1266" s="131"/>
      <c r="H1266" s="35" t="n">
        <v>0</v>
      </c>
      <c r="I1266" s="34" t="n">
        <f aca="false">+IF(E1266=0,0,E1266*0.03)</f>
        <v>0</v>
      </c>
      <c r="J1266" s="93"/>
      <c r="K1266" s="93"/>
      <c r="L1266" s="93"/>
      <c r="M1266" s="93"/>
      <c r="N1266" s="93"/>
      <c r="O1266" s="93"/>
      <c r="P1266" s="93"/>
      <c r="Q1266" s="93"/>
      <c r="R1266" s="93"/>
      <c r="S1266" s="93"/>
      <c r="T1266" s="93"/>
      <c r="U1266" s="93"/>
      <c r="V1266" s="93"/>
      <c r="W1266" s="93"/>
      <c r="X1266" s="93"/>
      <c r="Y1266" s="93"/>
      <c r="Z1266" s="93"/>
    </row>
    <row r="1267" customFormat="false" ht="16.4" hidden="false" customHeight="false" outlineLevel="0" collapsed="false">
      <c r="A1267" s="123" t="n">
        <v>45444</v>
      </c>
      <c r="B1267" s="31" t="s">
        <v>153</v>
      </c>
      <c r="C1267" s="129"/>
      <c r="D1267" s="129"/>
      <c r="E1267" s="19" t="n">
        <f aca="false">F1267*0.03</f>
        <v>0</v>
      </c>
      <c r="F1267" s="33" t="n">
        <v>0</v>
      </c>
      <c r="G1267" s="131"/>
      <c r="H1267" s="35" t="n">
        <v>0</v>
      </c>
      <c r="I1267" s="34" t="n">
        <f aca="false">+IF(E1267=0,0,E1267*0.03)</f>
        <v>0</v>
      </c>
      <c r="J1267" s="93"/>
      <c r="K1267" s="93"/>
      <c r="L1267" s="93"/>
      <c r="M1267" s="93"/>
      <c r="N1267" s="93"/>
      <c r="O1267" s="93"/>
      <c r="P1267" s="93"/>
      <c r="Q1267" s="93"/>
      <c r="R1267" s="93"/>
      <c r="S1267" s="93"/>
      <c r="T1267" s="93"/>
      <c r="U1267" s="93"/>
      <c r="V1267" s="93"/>
      <c r="W1267" s="93"/>
      <c r="X1267" s="93"/>
      <c r="Y1267" s="93"/>
      <c r="Z1267" s="93"/>
    </row>
    <row r="1268" customFormat="false" ht="16.4" hidden="false" customHeight="false" outlineLevel="0" collapsed="false">
      <c r="A1268" s="123" t="n">
        <v>45444</v>
      </c>
      <c r="B1268" s="31" t="s">
        <v>153</v>
      </c>
      <c r="C1268" s="129"/>
      <c r="D1268" s="129"/>
      <c r="E1268" s="19" t="n">
        <f aca="false">F1268*0.03</f>
        <v>0</v>
      </c>
      <c r="F1268" s="33" t="n">
        <v>0</v>
      </c>
      <c r="G1268" s="131"/>
      <c r="H1268" s="35" t="n">
        <v>0</v>
      </c>
      <c r="I1268" s="34" t="n">
        <f aca="false">+IF(E1268=0,0,E1268*0.03)</f>
        <v>0</v>
      </c>
      <c r="J1268" s="93"/>
      <c r="K1268" s="93"/>
      <c r="L1268" s="93"/>
      <c r="M1268" s="93"/>
      <c r="N1268" s="93"/>
      <c r="O1268" s="93"/>
      <c r="P1268" s="93"/>
      <c r="Q1268" s="93"/>
      <c r="R1268" s="93"/>
      <c r="S1268" s="93"/>
      <c r="T1268" s="93"/>
      <c r="U1268" s="93"/>
      <c r="V1268" s="93"/>
      <c r="W1268" s="93"/>
      <c r="X1268" s="93"/>
      <c r="Y1268" s="93"/>
      <c r="Z1268" s="93"/>
    </row>
    <row r="1269" customFormat="false" ht="16.4" hidden="false" customHeight="false" outlineLevel="0" collapsed="false">
      <c r="A1269" s="123" t="n">
        <v>45444</v>
      </c>
      <c r="B1269" s="31" t="s">
        <v>153</v>
      </c>
      <c r="C1269" s="129"/>
      <c r="D1269" s="129"/>
      <c r="E1269" s="19" t="n">
        <f aca="false">F1269*0.03</f>
        <v>0</v>
      </c>
      <c r="F1269" s="33" t="n">
        <v>0</v>
      </c>
      <c r="G1269" s="131"/>
      <c r="H1269" s="35" t="n">
        <v>0</v>
      </c>
      <c r="I1269" s="34" t="n">
        <f aca="false">+IF(E1269=0,0,E1269*0.03)</f>
        <v>0</v>
      </c>
      <c r="J1269" s="93"/>
      <c r="K1269" s="93"/>
      <c r="L1269" s="93"/>
      <c r="M1269" s="93"/>
      <c r="N1269" s="93"/>
      <c r="O1269" s="93"/>
      <c r="P1269" s="93"/>
      <c r="Q1269" s="93"/>
      <c r="R1269" s="93"/>
      <c r="S1269" s="93"/>
      <c r="T1269" s="93"/>
      <c r="U1269" s="93"/>
      <c r="V1269" s="93"/>
      <c r="W1269" s="93"/>
      <c r="X1269" s="93"/>
      <c r="Y1269" s="93"/>
      <c r="Z1269" s="93"/>
    </row>
    <row r="1270" customFormat="false" ht="16.4" hidden="false" customHeight="false" outlineLevel="0" collapsed="false">
      <c r="A1270" s="123" t="n">
        <v>45444</v>
      </c>
      <c r="B1270" s="31" t="s">
        <v>153</v>
      </c>
      <c r="C1270" s="129"/>
      <c r="D1270" s="129"/>
      <c r="E1270" s="19" t="n">
        <f aca="false">F1270*0.03</f>
        <v>0</v>
      </c>
      <c r="F1270" s="33" t="n">
        <v>0</v>
      </c>
      <c r="G1270" s="131"/>
      <c r="H1270" s="35" t="n">
        <v>0</v>
      </c>
      <c r="I1270" s="34" t="n">
        <f aca="false">+IF(E1270=0,0,E1270*0.03)</f>
        <v>0</v>
      </c>
      <c r="J1270" s="93"/>
      <c r="K1270" s="93"/>
      <c r="L1270" s="93"/>
      <c r="M1270" s="93"/>
      <c r="N1270" s="93"/>
      <c r="O1270" s="93"/>
      <c r="P1270" s="93"/>
      <c r="Q1270" s="93"/>
      <c r="R1270" s="93"/>
      <c r="S1270" s="93"/>
      <c r="T1270" s="93"/>
      <c r="U1270" s="93"/>
      <c r="V1270" s="93"/>
      <c r="W1270" s="93"/>
      <c r="X1270" s="93"/>
      <c r="Y1270" s="93"/>
      <c r="Z1270" s="93"/>
    </row>
    <row r="1271" customFormat="false" ht="16.4" hidden="false" customHeight="false" outlineLevel="0" collapsed="false">
      <c r="A1271" s="123" t="n">
        <v>45444</v>
      </c>
      <c r="B1271" s="31" t="s">
        <v>153</v>
      </c>
      <c r="C1271" s="129"/>
      <c r="D1271" s="129"/>
      <c r="E1271" s="19" t="n">
        <f aca="false">F1271*0.03</f>
        <v>0</v>
      </c>
      <c r="F1271" s="33" t="n">
        <v>0</v>
      </c>
      <c r="G1271" s="131"/>
      <c r="H1271" s="35" t="n">
        <v>0</v>
      </c>
      <c r="I1271" s="34" t="n">
        <f aca="false">+IF(E1271=0,0,E1271*0.03)</f>
        <v>0</v>
      </c>
      <c r="J1271" s="93"/>
      <c r="K1271" s="93"/>
      <c r="L1271" s="93"/>
      <c r="M1271" s="93"/>
      <c r="N1271" s="93"/>
      <c r="O1271" s="93"/>
      <c r="P1271" s="93"/>
      <c r="Q1271" s="93"/>
      <c r="R1271" s="93"/>
      <c r="S1271" s="93"/>
      <c r="T1271" s="93"/>
      <c r="U1271" s="93"/>
      <c r="V1271" s="93"/>
      <c r="W1271" s="93"/>
      <c r="X1271" s="93"/>
      <c r="Y1271" s="93"/>
      <c r="Z1271" s="93"/>
    </row>
    <row r="1272" customFormat="false" ht="16.4" hidden="false" customHeight="false" outlineLevel="0" collapsed="false">
      <c r="A1272" s="123" t="n">
        <v>45444</v>
      </c>
      <c r="B1272" s="31" t="s">
        <v>153</v>
      </c>
      <c r="C1272" s="129"/>
      <c r="D1272" s="129"/>
      <c r="E1272" s="19" t="n">
        <f aca="false">F1272*0.03</f>
        <v>0</v>
      </c>
      <c r="F1272" s="33" t="n">
        <v>0</v>
      </c>
      <c r="G1272" s="131"/>
      <c r="H1272" s="35" t="n">
        <v>0</v>
      </c>
      <c r="I1272" s="34" t="n">
        <f aca="false">+IF(E1272=0,0,E1272*0.03)</f>
        <v>0</v>
      </c>
      <c r="J1272" s="93"/>
      <c r="K1272" s="93"/>
      <c r="L1272" s="93"/>
      <c r="M1272" s="93"/>
      <c r="N1272" s="93"/>
      <c r="O1272" s="93"/>
      <c r="P1272" s="93"/>
      <c r="Q1272" s="93"/>
      <c r="R1272" s="93"/>
      <c r="S1272" s="93"/>
      <c r="T1272" s="93"/>
      <c r="U1272" s="93"/>
      <c r="V1272" s="93"/>
      <c r="W1272" s="93"/>
      <c r="X1272" s="93"/>
      <c r="Y1272" s="93"/>
      <c r="Z1272" s="93"/>
    </row>
    <row r="1273" customFormat="false" ht="16.4" hidden="false" customHeight="false" outlineLevel="0" collapsed="false">
      <c r="A1273" s="123" t="n">
        <v>45444</v>
      </c>
      <c r="B1273" s="31" t="s">
        <v>153</v>
      </c>
      <c r="C1273" s="129"/>
      <c r="D1273" s="129"/>
      <c r="E1273" s="19" t="n">
        <f aca="false">F1273*0.03</f>
        <v>0</v>
      </c>
      <c r="F1273" s="33" t="n">
        <v>0</v>
      </c>
      <c r="G1273" s="131"/>
      <c r="H1273" s="35" t="n">
        <v>0</v>
      </c>
      <c r="I1273" s="34" t="n">
        <f aca="false">+IF(E1273=0,0,E1273*0.03)</f>
        <v>0</v>
      </c>
      <c r="J1273" s="93"/>
      <c r="K1273" s="93"/>
      <c r="L1273" s="93"/>
      <c r="M1273" s="93"/>
      <c r="N1273" s="93"/>
      <c r="O1273" s="93"/>
      <c r="P1273" s="93"/>
      <c r="Q1273" s="93"/>
      <c r="R1273" s="93"/>
      <c r="S1273" s="93"/>
      <c r="T1273" s="93"/>
      <c r="U1273" s="93"/>
      <c r="V1273" s="93"/>
      <c r="W1273" s="93"/>
      <c r="X1273" s="93"/>
      <c r="Y1273" s="93"/>
      <c r="Z1273" s="93"/>
    </row>
    <row r="1274" customFormat="false" ht="16.4" hidden="false" customHeight="false" outlineLevel="0" collapsed="false">
      <c r="A1274" s="123" t="n">
        <v>45444</v>
      </c>
      <c r="B1274" s="31" t="s">
        <v>153</v>
      </c>
      <c r="C1274" s="129"/>
      <c r="D1274" s="129"/>
      <c r="E1274" s="19" t="n">
        <f aca="false">F1274*0.03</f>
        <v>0</v>
      </c>
      <c r="F1274" s="33" t="n">
        <v>0</v>
      </c>
      <c r="G1274" s="131"/>
      <c r="H1274" s="35" t="n">
        <v>0</v>
      </c>
      <c r="I1274" s="34" t="n">
        <f aca="false">+IF(E1274=0,0,E1274*0.03)</f>
        <v>0</v>
      </c>
      <c r="J1274" s="93"/>
      <c r="K1274" s="93"/>
      <c r="L1274" s="93"/>
      <c r="M1274" s="93"/>
      <c r="N1274" s="93"/>
      <c r="O1274" s="93"/>
      <c r="P1274" s="93"/>
      <c r="Q1274" s="93"/>
      <c r="R1274" s="93"/>
      <c r="S1274" s="93"/>
      <c r="T1274" s="93"/>
      <c r="U1274" s="93"/>
      <c r="V1274" s="93"/>
      <c r="W1274" s="93"/>
      <c r="X1274" s="93"/>
      <c r="Y1274" s="93"/>
      <c r="Z1274" s="93"/>
    </row>
    <row r="1275" customFormat="false" ht="16.4" hidden="false" customHeight="false" outlineLevel="0" collapsed="false">
      <c r="A1275" s="123" t="n">
        <v>45444</v>
      </c>
      <c r="B1275" s="31" t="s">
        <v>153</v>
      </c>
      <c r="C1275" s="129"/>
      <c r="D1275" s="129"/>
      <c r="E1275" s="19" t="n">
        <f aca="false">F1275*0.03</f>
        <v>0</v>
      </c>
      <c r="F1275" s="33" t="n">
        <v>0</v>
      </c>
      <c r="G1275" s="131"/>
      <c r="H1275" s="35" t="n">
        <v>0</v>
      </c>
      <c r="I1275" s="34" t="n">
        <f aca="false">+IF(E1275=0,0,E1275*0.03)</f>
        <v>0</v>
      </c>
      <c r="J1275" s="93"/>
      <c r="K1275" s="93"/>
      <c r="L1275" s="93"/>
      <c r="M1275" s="93"/>
      <c r="N1275" s="93"/>
      <c r="O1275" s="93"/>
      <c r="P1275" s="93"/>
      <c r="Q1275" s="93"/>
      <c r="R1275" s="93"/>
      <c r="S1275" s="93"/>
      <c r="T1275" s="93"/>
      <c r="U1275" s="93"/>
      <c r="V1275" s="93"/>
      <c r="W1275" s="93"/>
      <c r="X1275" s="93"/>
      <c r="Y1275" s="93"/>
      <c r="Z1275" s="93"/>
    </row>
    <row r="1276" customFormat="false" ht="16.4" hidden="false" customHeight="false" outlineLevel="0" collapsed="false">
      <c r="A1276" s="123" t="n">
        <v>45444</v>
      </c>
      <c r="B1276" s="31" t="s">
        <v>153</v>
      </c>
      <c r="C1276" s="129"/>
      <c r="D1276" s="129"/>
      <c r="E1276" s="19" t="n">
        <f aca="false">F1276*0.03</f>
        <v>0</v>
      </c>
      <c r="F1276" s="33" t="n">
        <v>0</v>
      </c>
      <c r="G1276" s="131"/>
      <c r="H1276" s="35" t="n">
        <v>0</v>
      </c>
      <c r="I1276" s="34" t="n">
        <f aca="false">+IF(E1276=0,0,E1276*0.03)</f>
        <v>0</v>
      </c>
      <c r="J1276" s="93"/>
      <c r="K1276" s="93"/>
      <c r="L1276" s="93"/>
      <c r="M1276" s="93"/>
      <c r="N1276" s="93"/>
      <c r="O1276" s="93"/>
      <c r="P1276" s="93"/>
      <c r="Q1276" s="93"/>
      <c r="R1276" s="93"/>
      <c r="S1276" s="93"/>
      <c r="T1276" s="93"/>
      <c r="U1276" s="93"/>
      <c r="V1276" s="93"/>
      <c r="W1276" s="93"/>
      <c r="X1276" s="93"/>
      <c r="Y1276" s="93"/>
      <c r="Z1276" s="93"/>
    </row>
    <row r="1277" customFormat="false" ht="16.4" hidden="false" customHeight="false" outlineLevel="0" collapsed="false">
      <c r="A1277" s="123" t="n">
        <v>45444</v>
      </c>
      <c r="B1277" s="31" t="s">
        <v>153</v>
      </c>
      <c r="C1277" s="129"/>
      <c r="D1277" s="129"/>
      <c r="E1277" s="19" t="n">
        <f aca="false">F1277*0.03</f>
        <v>0</v>
      </c>
      <c r="F1277" s="33" t="n">
        <v>0</v>
      </c>
      <c r="G1277" s="131"/>
      <c r="H1277" s="35" t="n">
        <v>0</v>
      </c>
      <c r="I1277" s="34" t="n">
        <f aca="false">+IF(E1277=0,0,E1277*0.03)</f>
        <v>0</v>
      </c>
      <c r="J1277" s="93"/>
      <c r="K1277" s="93"/>
      <c r="L1277" s="93"/>
      <c r="M1277" s="93"/>
      <c r="N1277" s="93"/>
      <c r="O1277" s="93"/>
      <c r="P1277" s="93"/>
      <c r="Q1277" s="93"/>
      <c r="R1277" s="93"/>
      <c r="S1277" s="93"/>
      <c r="T1277" s="93"/>
      <c r="U1277" s="93"/>
      <c r="V1277" s="93"/>
      <c r="W1277" s="93"/>
      <c r="X1277" s="93"/>
      <c r="Y1277" s="93"/>
      <c r="Z1277" s="93"/>
    </row>
    <row r="1278" customFormat="false" ht="16.4" hidden="false" customHeight="false" outlineLevel="0" collapsed="false">
      <c r="A1278" s="123" t="n">
        <v>45444</v>
      </c>
      <c r="B1278" s="31" t="s">
        <v>153</v>
      </c>
      <c r="C1278" s="129"/>
      <c r="D1278" s="129"/>
      <c r="E1278" s="19" t="n">
        <f aca="false">F1278*0.03</f>
        <v>0</v>
      </c>
      <c r="F1278" s="33" t="n">
        <v>0</v>
      </c>
      <c r="G1278" s="131"/>
      <c r="H1278" s="35" t="n">
        <v>0</v>
      </c>
      <c r="I1278" s="34" t="n">
        <f aca="false">+IF(E1278=0,0,E1278*0.03)</f>
        <v>0</v>
      </c>
      <c r="J1278" s="93"/>
      <c r="K1278" s="93"/>
      <c r="L1278" s="93"/>
      <c r="M1278" s="93"/>
      <c r="N1278" s="93"/>
      <c r="O1278" s="93"/>
      <c r="P1278" s="93"/>
      <c r="Q1278" s="93"/>
      <c r="R1278" s="93"/>
      <c r="S1278" s="93"/>
      <c r="T1278" s="93"/>
      <c r="U1278" s="93"/>
      <c r="V1278" s="93"/>
      <c r="W1278" s="93"/>
      <c r="X1278" s="93"/>
      <c r="Y1278" s="93"/>
      <c r="Z1278" s="93"/>
    </row>
    <row r="1279" customFormat="false" ht="16.4" hidden="false" customHeight="false" outlineLevel="0" collapsed="false">
      <c r="A1279" s="123" t="n">
        <v>45444</v>
      </c>
      <c r="B1279" s="31" t="s">
        <v>153</v>
      </c>
      <c r="C1279" s="129"/>
      <c r="D1279" s="129"/>
      <c r="E1279" s="19" t="n">
        <f aca="false">F1279*0.03</f>
        <v>0</v>
      </c>
      <c r="F1279" s="33" t="n">
        <v>0</v>
      </c>
      <c r="G1279" s="131"/>
      <c r="H1279" s="35" t="n">
        <v>0</v>
      </c>
      <c r="I1279" s="34" t="n">
        <f aca="false">+IF(E1279=0,0,E1279*0.03)</f>
        <v>0</v>
      </c>
      <c r="J1279" s="93"/>
      <c r="K1279" s="93"/>
      <c r="L1279" s="93"/>
      <c r="M1279" s="93"/>
      <c r="N1279" s="93"/>
      <c r="O1279" s="93"/>
      <c r="P1279" s="93"/>
      <c r="Q1279" s="93"/>
      <c r="R1279" s="93"/>
      <c r="S1279" s="93"/>
      <c r="T1279" s="93"/>
      <c r="U1279" s="93"/>
      <c r="V1279" s="93"/>
      <c r="W1279" s="93"/>
      <c r="X1279" s="93"/>
      <c r="Y1279" s="93"/>
      <c r="Z1279" s="93"/>
    </row>
    <row r="1280" customFormat="false" ht="16.4" hidden="false" customHeight="false" outlineLevel="0" collapsed="false">
      <c r="A1280" s="123" t="n">
        <v>45444</v>
      </c>
      <c r="B1280" s="31" t="s">
        <v>153</v>
      </c>
      <c r="C1280" s="129"/>
      <c r="D1280" s="129"/>
      <c r="E1280" s="19" t="n">
        <f aca="false">F1280*0.03</f>
        <v>0</v>
      </c>
      <c r="F1280" s="33" t="n">
        <v>0</v>
      </c>
      <c r="G1280" s="131"/>
      <c r="H1280" s="35" t="n">
        <v>0</v>
      </c>
      <c r="I1280" s="34" t="n">
        <f aca="false">+IF(E1280=0,0,E1280*0.03)</f>
        <v>0</v>
      </c>
      <c r="J1280" s="93"/>
      <c r="K1280" s="93"/>
      <c r="L1280" s="93"/>
      <c r="M1280" s="93"/>
      <c r="N1280" s="93"/>
      <c r="O1280" s="93"/>
      <c r="P1280" s="93"/>
      <c r="Q1280" s="93"/>
      <c r="R1280" s="93"/>
      <c r="S1280" s="93"/>
      <c r="T1280" s="93"/>
      <c r="U1280" s="93"/>
      <c r="V1280" s="93"/>
      <c r="W1280" s="93"/>
      <c r="X1280" s="93"/>
      <c r="Y1280" s="93"/>
      <c r="Z1280" s="93"/>
    </row>
    <row r="1281" customFormat="false" ht="16.4" hidden="false" customHeight="false" outlineLevel="0" collapsed="false">
      <c r="A1281" s="123" t="n">
        <v>45444</v>
      </c>
      <c r="B1281" s="31" t="s">
        <v>153</v>
      </c>
      <c r="C1281" s="129"/>
      <c r="D1281" s="129"/>
      <c r="E1281" s="19" t="n">
        <f aca="false">F1281*0.03</f>
        <v>0</v>
      </c>
      <c r="F1281" s="33" t="n">
        <v>0</v>
      </c>
      <c r="G1281" s="131"/>
      <c r="H1281" s="35" t="n">
        <v>0</v>
      </c>
      <c r="I1281" s="34" t="n">
        <f aca="false">+IF(E1281=0,0,E1281*0.03)</f>
        <v>0</v>
      </c>
      <c r="J1281" s="93"/>
      <c r="K1281" s="93"/>
      <c r="L1281" s="93"/>
      <c r="M1281" s="93"/>
      <c r="N1281" s="93"/>
      <c r="O1281" s="93"/>
      <c r="P1281" s="93"/>
      <c r="Q1281" s="93"/>
      <c r="R1281" s="93"/>
      <c r="S1281" s="93"/>
      <c r="T1281" s="93"/>
      <c r="U1281" s="93"/>
      <c r="V1281" s="93"/>
      <c r="W1281" s="93"/>
      <c r="X1281" s="93"/>
      <c r="Y1281" s="93"/>
      <c r="Z1281" s="93"/>
    </row>
    <row r="1282" customFormat="false" ht="16.4" hidden="false" customHeight="false" outlineLevel="0" collapsed="false">
      <c r="A1282" s="123" t="n">
        <v>45444</v>
      </c>
      <c r="B1282" s="31" t="s">
        <v>153</v>
      </c>
      <c r="C1282" s="129"/>
      <c r="D1282" s="129"/>
      <c r="E1282" s="19" t="n">
        <f aca="false">F1282*0.03</f>
        <v>0</v>
      </c>
      <c r="F1282" s="33" t="n">
        <v>0</v>
      </c>
      <c r="G1282" s="131"/>
      <c r="H1282" s="35" t="n">
        <v>0</v>
      </c>
      <c r="I1282" s="34" t="n">
        <f aca="false">+IF(E1282=0,0,E1282*0.03)</f>
        <v>0</v>
      </c>
      <c r="J1282" s="93"/>
      <c r="K1282" s="93"/>
      <c r="L1282" s="93"/>
      <c r="M1282" s="93"/>
      <c r="N1282" s="93"/>
      <c r="O1282" s="93"/>
      <c r="P1282" s="93"/>
      <c r="Q1282" s="93"/>
      <c r="R1282" s="93"/>
      <c r="S1282" s="93"/>
      <c r="T1282" s="93"/>
      <c r="U1282" s="93"/>
      <c r="V1282" s="93"/>
      <c r="W1282" s="93"/>
      <c r="X1282" s="93"/>
      <c r="Y1282" s="93"/>
      <c r="Z1282" s="93"/>
    </row>
    <row r="1283" customFormat="false" ht="16.4" hidden="false" customHeight="false" outlineLevel="0" collapsed="false">
      <c r="A1283" s="123" t="n">
        <v>45444</v>
      </c>
      <c r="B1283" s="31" t="s">
        <v>153</v>
      </c>
      <c r="C1283" s="129"/>
      <c r="D1283" s="129"/>
      <c r="E1283" s="19" t="n">
        <f aca="false">F1283*0.03</f>
        <v>0</v>
      </c>
      <c r="F1283" s="33" t="n">
        <v>0</v>
      </c>
      <c r="G1283" s="131"/>
      <c r="H1283" s="35" t="n">
        <v>0</v>
      </c>
      <c r="I1283" s="34" t="n">
        <f aca="false">+IF(E1283=0,0,E1283*0.03)</f>
        <v>0</v>
      </c>
      <c r="J1283" s="93"/>
      <c r="K1283" s="93"/>
      <c r="L1283" s="93"/>
      <c r="M1283" s="93"/>
      <c r="N1283" s="93"/>
      <c r="O1283" s="93"/>
      <c r="P1283" s="93"/>
      <c r="Q1283" s="93"/>
      <c r="R1283" s="93"/>
      <c r="S1283" s="93"/>
      <c r="T1283" s="93"/>
      <c r="U1283" s="93"/>
      <c r="V1283" s="93"/>
      <c r="W1283" s="93"/>
      <c r="X1283" s="93"/>
      <c r="Y1283" s="93"/>
      <c r="Z1283" s="93"/>
    </row>
    <row r="1284" customFormat="false" ht="16.4" hidden="false" customHeight="false" outlineLevel="0" collapsed="false">
      <c r="A1284" s="123" t="n">
        <v>45444</v>
      </c>
      <c r="B1284" s="31" t="s">
        <v>153</v>
      </c>
      <c r="C1284" s="129"/>
      <c r="D1284" s="129"/>
      <c r="E1284" s="19" t="n">
        <f aca="false">F1284*0.03</f>
        <v>0</v>
      </c>
      <c r="F1284" s="33" t="n">
        <v>0</v>
      </c>
      <c r="G1284" s="131"/>
      <c r="H1284" s="35" t="n">
        <v>0</v>
      </c>
      <c r="I1284" s="34" t="n">
        <f aca="false">+IF(E1284=0,0,E1284*0.03)</f>
        <v>0</v>
      </c>
      <c r="J1284" s="93"/>
      <c r="K1284" s="93"/>
      <c r="L1284" s="93"/>
      <c r="M1284" s="93"/>
      <c r="N1284" s="93"/>
      <c r="O1284" s="93"/>
      <c r="P1284" s="93"/>
      <c r="Q1284" s="93"/>
      <c r="R1284" s="93"/>
      <c r="S1284" s="93"/>
      <c r="T1284" s="93"/>
      <c r="U1284" s="93"/>
      <c r="V1284" s="93"/>
      <c r="W1284" s="93"/>
      <c r="X1284" s="93"/>
      <c r="Y1284" s="93"/>
      <c r="Z1284" s="93"/>
    </row>
    <row r="1285" customFormat="false" ht="16.4" hidden="false" customHeight="false" outlineLevel="0" collapsed="false">
      <c r="A1285" s="123" t="n">
        <v>45444</v>
      </c>
      <c r="B1285" s="31" t="s">
        <v>153</v>
      </c>
      <c r="C1285" s="129"/>
      <c r="D1285" s="129"/>
      <c r="E1285" s="19" t="n">
        <f aca="false">F1285*0.03</f>
        <v>0</v>
      </c>
      <c r="F1285" s="33" t="n">
        <v>0</v>
      </c>
      <c r="G1285" s="131"/>
      <c r="H1285" s="35" t="n">
        <v>0</v>
      </c>
      <c r="I1285" s="34" t="n">
        <f aca="false">+IF(E1285=0,0,E1285*0.03)</f>
        <v>0</v>
      </c>
      <c r="J1285" s="93"/>
      <c r="K1285" s="93"/>
      <c r="L1285" s="93"/>
      <c r="M1285" s="93"/>
      <c r="N1285" s="93"/>
      <c r="O1285" s="93"/>
      <c r="P1285" s="93"/>
      <c r="Q1285" s="93"/>
      <c r="R1285" s="93"/>
      <c r="S1285" s="93"/>
      <c r="T1285" s="93"/>
      <c r="U1285" s="93"/>
      <c r="V1285" s="93"/>
      <c r="W1285" s="93"/>
      <c r="X1285" s="93"/>
      <c r="Y1285" s="93"/>
      <c r="Z1285" s="93"/>
    </row>
    <row r="1286" customFormat="false" ht="16.4" hidden="false" customHeight="false" outlineLevel="0" collapsed="false">
      <c r="A1286" s="123" t="n">
        <v>45444</v>
      </c>
      <c r="B1286" s="31" t="s">
        <v>153</v>
      </c>
      <c r="C1286" s="129"/>
      <c r="D1286" s="129"/>
      <c r="E1286" s="19" t="n">
        <f aca="false">F1286*0.03</f>
        <v>0</v>
      </c>
      <c r="F1286" s="33" t="n">
        <v>0</v>
      </c>
      <c r="G1286" s="131"/>
      <c r="H1286" s="35" t="n">
        <v>0</v>
      </c>
      <c r="I1286" s="34" t="n">
        <f aca="false">+IF(E1286=0,0,E1286*0.03)</f>
        <v>0</v>
      </c>
      <c r="J1286" s="93"/>
      <c r="K1286" s="93"/>
      <c r="L1286" s="93"/>
      <c r="M1286" s="93"/>
      <c r="N1286" s="93"/>
      <c r="O1286" s="93"/>
      <c r="P1286" s="93"/>
      <c r="Q1286" s="93"/>
      <c r="R1286" s="93"/>
      <c r="S1286" s="93"/>
      <c r="T1286" s="93"/>
      <c r="U1286" s="93"/>
      <c r="V1286" s="93"/>
      <c r="W1286" s="93"/>
      <c r="X1286" s="93"/>
      <c r="Y1286" s="93"/>
      <c r="Z1286" s="93"/>
    </row>
    <row r="1287" customFormat="false" ht="16.4" hidden="false" customHeight="false" outlineLevel="0" collapsed="false">
      <c r="A1287" s="123" t="n">
        <v>45444</v>
      </c>
      <c r="B1287" s="31" t="s">
        <v>153</v>
      </c>
      <c r="C1287" s="129"/>
      <c r="D1287" s="129"/>
      <c r="E1287" s="19" t="n">
        <f aca="false">F1287*0.03</f>
        <v>0</v>
      </c>
      <c r="F1287" s="33" t="n">
        <v>0</v>
      </c>
      <c r="G1287" s="131"/>
      <c r="H1287" s="35" t="n">
        <v>0</v>
      </c>
      <c r="I1287" s="34" t="n">
        <f aca="false">+IF(E1287=0,0,E1287*0.03)</f>
        <v>0</v>
      </c>
      <c r="J1287" s="93"/>
      <c r="K1287" s="93"/>
      <c r="L1287" s="93"/>
      <c r="M1287" s="93"/>
      <c r="N1287" s="93"/>
      <c r="O1287" s="93"/>
      <c r="P1287" s="93"/>
      <c r="Q1287" s="93"/>
      <c r="R1287" s="93"/>
      <c r="S1287" s="93"/>
      <c r="T1287" s="93"/>
      <c r="U1287" s="93"/>
      <c r="V1287" s="93"/>
      <c r="W1287" s="93"/>
      <c r="X1287" s="93"/>
      <c r="Y1287" s="93"/>
      <c r="Z1287" s="93"/>
    </row>
    <row r="1288" customFormat="false" ht="16.4" hidden="false" customHeight="false" outlineLevel="0" collapsed="false">
      <c r="A1288" s="123" t="n">
        <v>45444</v>
      </c>
      <c r="B1288" s="31" t="s">
        <v>153</v>
      </c>
      <c r="C1288" s="129"/>
      <c r="D1288" s="129"/>
      <c r="E1288" s="19" t="n">
        <f aca="false">F1288*0.03</f>
        <v>0</v>
      </c>
      <c r="F1288" s="33" t="n">
        <v>0</v>
      </c>
      <c r="G1288" s="131"/>
      <c r="H1288" s="35" t="n">
        <v>0</v>
      </c>
      <c r="I1288" s="34" t="n">
        <f aca="false">+IF(E1288=0,0,E1288*0.03)</f>
        <v>0</v>
      </c>
      <c r="J1288" s="93"/>
      <c r="K1288" s="93"/>
      <c r="L1288" s="93"/>
      <c r="M1288" s="93"/>
      <c r="N1288" s="93"/>
      <c r="O1288" s="93"/>
      <c r="P1288" s="93"/>
      <c r="Q1288" s="93"/>
      <c r="R1288" s="93"/>
      <c r="S1288" s="93"/>
      <c r="T1288" s="93"/>
      <c r="U1288" s="93"/>
      <c r="V1288" s="93"/>
      <c r="W1288" s="93"/>
      <c r="X1288" s="93"/>
      <c r="Y1288" s="93"/>
      <c r="Z1288" s="93"/>
    </row>
    <row r="1289" customFormat="false" ht="16.4" hidden="false" customHeight="false" outlineLevel="0" collapsed="false">
      <c r="A1289" s="123" t="n">
        <v>45444</v>
      </c>
      <c r="B1289" s="31" t="s">
        <v>153</v>
      </c>
      <c r="C1289" s="129"/>
      <c r="D1289" s="129"/>
      <c r="E1289" s="19" t="n">
        <f aca="false">F1289*0.03</f>
        <v>0</v>
      </c>
      <c r="F1289" s="33" t="n">
        <v>0</v>
      </c>
      <c r="G1289" s="131"/>
      <c r="H1289" s="35" t="n">
        <v>0</v>
      </c>
      <c r="I1289" s="34" t="n">
        <f aca="false">+IF(E1289=0,0,E1289*0.03)</f>
        <v>0</v>
      </c>
      <c r="J1289" s="93"/>
      <c r="K1289" s="93"/>
      <c r="L1289" s="93"/>
      <c r="M1289" s="93"/>
      <c r="N1289" s="93"/>
      <c r="O1289" s="93"/>
      <c r="P1289" s="93"/>
      <c r="Q1289" s="93"/>
      <c r="R1289" s="93"/>
      <c r="S1289" s="93"/>
      <c r="T1289" s="93"/>
      <c r="U1289" s="93"/>
      <c r="V1289" s="93"/>
      <c r="W1289" s="93"/>
      <c r="X1289" s="93"/>
      <c r="Y1289" s="93"/>
      <c r="Z1289" s="93"/>
    </row>
    <row r="1290" customFormat="false" ht="16.4" hidden="false" customHeight="false" outlineLevel="0" collapsed="false">
      <c r="A1290" s="123" t="n">
        <v>45444</v>
      </c>
      <c r="B1290" s="31" t="s">
        <v>153</v>
      </c>
      <c r="C1290" s="129"/>
      <c r="D1290" s="129"/>
      <c r="E1290" s="19" t="n">
        <f aca="false">F1290*0.03</f>
        <v>0</v>
      </c>
      <c r="F1290" s="33" t="n">
        <v>0</v>
      </c>
      <c r="G1290" s="131"/>
      <c r="H1290" s="35" t="n">
        <v>0</v>
      </c>
      <c r="I1290" s="34" t="n">
        <f aca="false">+IF(E1290=0,0,E1290*0.03)</f>
        <v>0</v>
      </c>
      <c r="J1290" s="93"/>
      <c r="K1290" s="93"/>
      <c r="L1290" s="93"/>
      <c r="M1290" s="93"/>
      <c r="N1290" s="93"/>
      <c r="O1290" s="93"/>
      <c r="P1290" s="93"/>
      <c r="Q1290" s="93"/>
      <c r="R1290" s="93"/>
      <c r="S1290" s="93"/>
      <c r="T1290" s="93"/>
      <c r="U1290" s="93"/>
      <c r="V1290" s="93"/>
      <c r="W1290" s="93"/>
      <c r="X1290" s="93"/>
      <c r="Y1290" s="93"/>
      <c r="Z1290" s="93"/>
    </row>
    <row r="1291" customFormat="false" ht="16.4" hidden="false" customHeight="false" outlineLevel="0" collapsed="false">
      <c r="A1291" s="123" t="n">
        <v>45444</v>
      </c>
      <c r="B1291" s="31" t="s">
        <v>153</v>
      </c>
      <c r="C1291" s="129"/>
      <c r="D1291" s="129"/>
      <c r="E1291" s="19" t="n">
        <f aca="false">F1291*0.03</f>
        <v>0</v>
      </c>
      <c r="F1291" s="33" t="n">
        <v>0</v>
      </c>
      <c r="G1291" s="131"/>
      <c r="H1291" s="35" t="n">
        <v>0</v>
      </c>
      <c r="I1291" s="34" t="n">
        <f aca="false">+IF(E1291=0,0,E1291*0.03)</f>
        <v>0</v>
      </c>
      <c r="J1291" s="93"/>
      <c r="K1291" s="93"/>
      <c r="L1291" s="93"/>
      <c r="M1291" s="93"/>
      <c r="N1291" s="93"/>
      <c r="O1291" s="93"/>
      <c r="P1291" s="93"/>
      <c r="Q1291" s="93"/>
      <c r="R1291" s="93"/>
      <c r="S1291" s="93"/>
      <c r="T1291" s="93"/>
      <c r="U1291" s="93"/>
      <c r="V1291" s="93"/>
      <c r="W1291" s="93"/>
      <c r="X1291" s="93"/>
      <c r="Y1291" s="93"/>
      <c r="Z1291" s="93"/>
    </row>
    <row r="1292" customFormat="false" ht="16.4" hidden="false" customHeight="false" outlineLevel="0" collapsed="false">
      <c r="A1292" s="123" t="n">
        <v>45444</v>
      </c>
      <c r="B1292" s="31" t="s">
        <v>153</v>
      </c>
      <c r="C1292" s="129"/>
      <c r="D1292" s="129"/>
      <c r="E1292" s="19" t="n">
        <f aca="false">F1292*0.03</f>
        <v>0</v>
      </c>
      <c r="F1292" s="33" t="n">
        <v>0</v>
      </c>
      <c r="G1292" s="131"/>
      <c r="H1292" s="35" t="n">
        <v>0</v>
      </c>
      <c r="I1292" s="34" t="n">
        <f aca="false">+IF(E1292=0,0,E1292*0.03)</f>
        <v>0</v>
      </c>
      <c r="J1292" s="93"/>
      <c r="K1292" s="93"/>
      <c r="L1292" s="93"/>
      <c r="M1292" s="93"/>
      <c r="N1292" s="93"/>
      <c r="O1292" s="93"/>
      <c r="P1292" s="93"/>
      <c r="Q1292" s="93"/>
      <c r="R1292" s="93"/>
      <c r="S1292" s="93"/>
      <c r="T1292" s="93"/>
      <c r="U1292" s="93"/>
      <c r="V1292" s="93"/>
      <c r="W1292" s="93"/>
      <c r="X1292" s="93"/>
      <c r="Y1292" s="93"/>
      <c r="Z1292" s="93"/>
    </row>
    <row r="1293" customFormat="false" ht="16.4" hidden="false" customHeight="false" outlineLevel="0" collapsed="false">
      <c r="A1293" s="123" t="n">
        <v>45444</v>
      </c>
      <c r="B1293" s="31" t="s">
        <v>153</v>
      </c>
      <c r="C1293" s="129"/>
      <c r="D1293" s="129"/>
      <c r="E1293" s="19" t="n">
        <f aca="false">F1293*0.03</f>
        <v>0</v>
      </c>
      <c r="F1293" s="33" t="n">
        <v>0</v>
      </c>
      <c r="G1293" s="131"/>
      <c r="H1293" s="35" t="n">
        <v>0</v>
      </c>
      <c r="I1293" s="34" t="n">
        <f aca="false">+IF(E1293=0,0,E1293*0.03)</f>
        <v>0</v>
      </c>
      <c r="J1293" s="93"/>
      <c r="K1293" s="93"/>
      <c r="L1293" s="93"/>
      <c r="M1293" s="93"/>
      <c r="N1293" s="93"/>
      <c r="O1293" s="93"/>
      <c r="P1293" s="93"/>
      <c r="Q1293" s="93"/>
      <c r="R1293" s="93"/>
      <c r="S1293" s="93"/>
      <c r="T1293" s="93"/>
      <c r="U1293" s="93"/>
      <c r="V1293" s="93"/>
      <c r="W1293" s="93"/>
      <c r="X1293" s="93"/>
      <c r="Y1293" s="93"/>
      <c r="Z1293" s="93"/>
    </row>
    <row r="1294" customFormat="false" ht="16.4" hidden="false" customHeight="false" outlineLevel="0" collapsed="false">
      <c r="A1294" s="123" t="n">
        <v>45444</v>
      </c>
      <c r="B1294" s="31" t="s">
        <v>153</v>
      </c>
      <c r="C1294" s="129"/>
      <c r="D1294" s="129"/>
      <c r="E1294" s="19" t="n">
        <f aca="false">F1294*0.03</f>
        <v>0</v>
      </c>
      <c r="F1294" s="33" t="n">
        <v>0</v>
      </c>
      <c r="G1294" s="131"/>
      <c r="H1294" s="35" t="n">
        <v>0</v>
      </c>
      <c r="I1294" s="34" t="n">
        <f aca="false">+IF(E1294=0,0,E1294*0.03)</f>
        <v>0</v>
      </c>
      <c r="J1294" s="93"/>
      <c r="K1294" s="93"/>
      <c r="L1294" s="93"/>
      <c r="M1294" s="93"/>
      <c r="N1294" s="93"/>
      <c r="O1294" s="93"/>
      <c r="P1294" s="93"/>
      <c r="Q1294" s="93"/>
      <c r="R1294" s="93"/>
      <c r="S1294" s="93"/>
      <c r="T1294" s="93"/>
      <c r="U1294" s="93"/>
      <c r="V1294" s="93"/>
      <c r="W1294" s="93"/>
      <c r="X1294" s="93"/>
      <c r="Y1294" s="93"/>
      <c r="Z1294" s="93"/>
    </row>
    <row r="1295" customFormat="false" ht="16.4" hidden="false" customHeight="false" outlineLevel="0" collapsed="false">
      <c r="A1295" s="123" t="n">
        <v>45444</v>
      </c>
      <c r="B1295" s="31" t="s">
        <v>153</v>
      </c>
      <c r="C1295" s="129"/>
      <c r="D1295" s="129"/>
      <c r="E1295" s="19" t="n">
        <f aca="false">F1295*0.03</f>
        <v>0</v>
      </c>
      <c r="F1295" s="33" t="n">
        <v>0</v>
      </c>
      <c r="G1295" s="131"/>
      <c r="H1295" s="35" t="n">
        <v>0</v>
      </c>
      <c r="I1295" s="34" t="n">
        <f aca="false">+IF(E1295=0,0,E1295*0.03)</f>
        <v>0</v>
      </c>
      <c r="J1295" s="93"/>
      <c r="K1295" s="93"/>
      <c r="L1295" s="93"/>
      <c r="M1295" s="93"/>
      <c r="N1295" s="93"/>
      <c r="O1295" s="93"/>
      <c r="P1295" s="93"/>
      <c r="Q1295" s="93"/>
      <c r="R1295" s="93"/>
      <c r="S1295" s="93"/>
      <c r="T1295" s="93"/>
      <c r="U1295" s="93"/>
      <c r="V1295" s="93"/>
      <c r="W1295" s="93"/>
      <c r="X1295" s="93"/>
      <c r="Y1295" s="93"/>
      <c r="Z1295" s="93"/>
    </row>
    <row r="1296" customFormat="false" ht="16.4" hidden="false" customHeight="false" outlineLevel="0" collapsed="false">
      <c r="A1296" s="123" t="n">
        <v>45444</v>
      </c>
      <c r="B1296" s="31" t="s">
        <v>153</v>
      </c>
      <c r="C1296" s="129"/>
      <c r="D1296" s="129"/>
      <c r="E1296" s="19" t="n">
        <f aca="false">F1296*0.03</f>
        <v>0</v>
      </c>
      <c r="F1296" s="33" t="n">
        <v>0</v>
      </c>
      <c r="G1296" s="131"/>
      <c r="H1296" s="35" t="n">
        <v>0</v>
      </c>
      <c r="I1296" s="34" t="n">
        <f aca="false">+IF(E1296=0,0,E1296*0.03)</f>
        <v>0</v>
      </c>
      <c r="J1296" s="93"/>
      <c r="K1296" s="93"/>
      <c r="L1296" s="93"/>
      <c r="M1296" s="93"/>
      <c r="N1296" s="93"/>
      <c r="O1296" s="93"/>
      <c r="P1296" s="93"/>
      <c r="Q1296" s="93"/>
      <c r="R1296" s="93"/>
      <c r="S1296" s="93"/>
      <c r="T1296" s="93"/>
      <c r="U1296" s="93"/>
      <c r="V1296" s="93"/>
      <c r="W1296" s="93"/>
      <c r="X1296" s="93"/>
      <c r="Y1296" s="93"/>
      <c r="Z1296" s="93"/>
    </row>
    <row r="1297" customFormat="false" ht="16.4" hidden="false" customHeight="false" outlineLevel="0" collapsed="false">
      <c r="A1297" s="123" t="n">
        <v>45444</v>
      </c>
      <c r="B1297" s="31" t="s">
        <v>153</v>
      </c>
      <c r="C1297" s="129"/>
      <c r="D1297" s="129"/>
      <c r="E1297" s="19" t="n">
        <f aca="false">F1297*0.03</f>
        <v>0</v>
      </c>
      <c r="F1297" s="33" t="n">
        <v>0</v>
      </c>
      <c r="G1297" s="131"/>
      <c r="H1297" s="35" t="n">
        <v>0</v>
      </c>
      <c r="I1297" s="34" t="n">
        <f aca="false">+IF(E1297=0,0,E1297*0.03)</f>
        <v>0</v>
      </c>
      <c r="J1297" s="93"/>
      <c r="K1297" s="93"/>
      <c r="L1297" s="93"/>
      <c r="M1297" s="93"/>
      <c r="N1297" s="93"/>
      <c r="O1297" s="93"/>
      <c r="P1297" s="93"/>
      <c r="Q1297" s="93"/>
      <c r="R1297" s="93"/>
      <c r="S1297" s="93"/>
      <c r="T1297" s="93"/>
      <c r="U1297" s="93"/>
      <c r="V1297" s="93"/>
      <c r="W1297" s="93"/>
      <c r="X1297" s="93"/>
      <c r="Y1297" s="93"/>
      <c r="Z1297" s="93"/>
    </row>
    <row r="1298" customFormat="false" ht="16.4" hidden="false" customHeight="false" outlineLevel="0" collapsed="false">
      <c r="A1298" s="123" t="n">
        <v>45444</v>
      </c>
      <c r="B1298" s="31" t="s">
        <v>153</v>
      </c>
      <c r="C1298" s="129"/>
      <c r="D1298" s="129"/>
      <c r="E1298" s="19" t="n">
        <f aca="false">F1298*0.03</f>
        <v>0</v>
      </c>
      <c r="F1298" s="33" t="n">
        <v>0</v>
      </c>
      <c r="G1298" s="131"/>
      <c r="H1298" s="35" t="n">
        <v>0</v>
      </c>
      <c r="I1298" s="34" t="n">
        <f aca="false">+IF(E1298=0,0,E1298*0.03)</f>
        <v>0</v>
      </c>
      <c r="J1298" s="93"/>
      <c r="K1298" s="93"/>
      <c r="L1298" s="93"/>
      <c r="M1298" s="93"/>
      <c r="N1298" s="93"/>
      <c r="O1298" s="93"/>
      <c r="P1298" s="93"/>
      <c r="Q1298" s="93"/>
      <c r="R1298" s="93"/>
      <c r="S1298" s="93"/>
      <c r="T1298" s="93"/>
      <c r="U1298" s="93"/>
      <c r="V1298" s="93"/>
      <c r="W1298" s="93"/>
      <c r="X1298" s="93"/>
      <c r="Y1298" s="93"/>
      <c r="Z1298" s="93"/>
    </row>
    <row r="1299" customFormat="false" ht="16.4" hidden="false" customHeight="false" outlineLevel="0" collapsed="false">
      <c r="A1299" s="123" t="n">
        <v>45444</v>
      </c>
      <c r="B1299" s="31" t="s">
        <v>153</v>
      </c>
      <c r="C1299" s="129"/>
      <c r="D1299" s="129"/>
      <c r="E1299" s="19" t="n">
        <f aca="false">F1299*0.03</f>
        <v>0</v>
      </c>
      <c r="F1299" s="33" t="n">
        <v>0</v>
      </c>
      <c r="G1299" s="131"/>
      <c r="H1299" s="35" t="n">
        <v>0</v>
      </c>
      <c r="I1299" s="34" t="n">
        <f aca="false">+IF(E1299=0,0,E1299*0.03)</f>
        <v>0</v>
      </c>
      <c r="J1299" s="93"/>
      <c r="K1299" s="93"/>
      <c r="L1299" s="93"/>
      <c r="M1299" s="93"/>
      <c r="N1299" s="93"/>
      <c r="O1299" s="93"/>
      <c r="P1299" s="93"/>
      <c r="Q1299" s="93"/>
      <c r="R1299" s="93"/>
      <c r="S1299" s="93"/>
      <c r="T1299" s="93"/>
      <c r="U1299" s="93"/>
      <c r="V1299" s="93"/>
      <c r="W1299" s="93"/>
      <c r="X1299" s="93"/>
      <c r="Y1299" s="93"/>
      <c r="Z1299" s="93"/>
    </row>
    <row r="1300" customFormat="false" ht="16.4" hidden="false" customHeight="false" outlineLevel="0" collapsed="false">
      <c r="A1300" s="123" t="n">
        <v>45444</v>
      </c>
      <c r="B1300" s="31" t="s">
        <v>153</v>
      </c>
      <c r="C1300" s="129"/>
      <c r="D1300" s="129"/>
      <c r="E1300" s="19" t="n">
        <f aca="false">F1300*0.03</f>
        <v>0</v>
      </c>
      <c r="F1300" s="33" t="n">
        <v>0</v>
      </c>
      <c r="G1300" s="131"/>
      <c r="H1300" s="35" t="n">
        <v>0</v>
      </c>
      <c r="I1300" s="34" t="n">
        <f aca="false">+IF(E1300=0,0,E1300*0.03)</f>
        <v>0</v>
      </c>
      <c r="J1300" s="93"/>
      <c r="K1300" s="93"/>
      <c r="L1300" s="93"/>
      <c r="M1300" s="93"/>
      <c r="N1300" s="93"/>
      <c r="O1300" s="93"/>
      <c r="P1300" s="93"/>
      <c r="Q1300" s="93"/>
      <c r="R1300" s="93"/>
      <c r="S1300" s="93"/>
      <c r="T1300" s="93"/>
      <c r="U1300" s="93"/>
      <c r="V1300" s="93"/>
      <c r="W1300" s="93"/>
      <c r="X1300" s="93"/>
      <c r="Y1300" s="93"/>
      <c r="Z1300" s="93"/>
    </row>
    <row r="1301" customFormat="false" ht="16.4" hidden="false" customHeight="false" outlineLevel="0" collapsed="false">
      <c r="A1301" s="123" t="n">
        <v>45444</v>
      </c>
      <c r="B1301" s="31" t="s">
        <v>153</v>
      </c>
      <c r="C1301" s="129"/>
      <c r="D1301" s="129"/>
      <c r="E1301" s="19" t="n">
        <f aca="false">F1301*0.03</f>
        <v>0</v>
      </c>
      <c r="F1301" s="33" t="n">
        <v>0</v>
      </c>
      <c r="G1301" s="131"/>
      <c r="H1301" s="35" t="n">
        <v>0</v>
      </c>
      <c r="I1301" s="34" t="n">
        <f aca="false">+IF(E1301=0,0,E1301*0.03)</f>
        <v>0</v>
      </c>
      <c r="J1301" s="93"/>
      <c r="K1301" s="93"/>
      <c r="L1301" s="93"/>
      <c r="M1301" s="93"/>
      <c r="N1301" s="93"/>
      <c r="O1301" s="93"/>
      <c r="P1301" s="93"/>
      <c r="Q1301" s="93"/>
      <c r="R1301" s="93"/>
      <c r="S1301" s="93"/>
      <c r="T1301" s="93"/>
      <c r="U1301" s="93"/>
      <c r="V1301" s="93"/>
      <c r="W1301" s="93"/>
      <c r="X1301" s="93"/>
      <c r="Y1301" s="93"/>
      <c r="Z1301" s="93"/>
    </row>
    <row r="1302" customFormat="false" ht="16.4" hidden="false" customHeight="false" outlineLevel="0" collapsed="false">
      <c r="A1302" s="123" t="n">
        <v>45444</v>
      </c>
      <c r="B1302" s="31" t="s">
        <v>153</v>
      </c>
      <c r="C1302" s="129"/>
      <c r="D1302" s="129"/>
      <c r="E1302" s="19" t="n">
        <f aca="false">F1302*0.03</f>
        <v>0</v>
      </c>
      <c r="F1302" s="33" t="n">
        <v>0</v>
      </c>
      <c r="G1302" s="131"/>
      <c r="H1302" s="35" t="n">
        <v>0</v>
      </c>
      <c r="I1302" s="34" t="n">
        <f aca="false">+IF(E1302=0,0,E1302*0.03)</f>
        <v>0</v>
      </c>
      <c r="J1302" s="93"/>
      <c r="K1302" s="93"/>
      <c r="L1302" s="93"/>
      <c r="M1302" s="93"/>
      <c r="N1302" s="93"/>
      <c r="O1302" s="93"/>
      <c r="P1302" s="93"/>
      <c r="Q1302" s="93"/>
      <c r="R1302" s="93"/>
      <c r="S1302" s="93"/>
      <c r="T1302" s="93"/>
      <c r="U1302" s="93"/>
      <c r="V1302" s="93"/>
      <c r="W1302" s="93"/>
      <c r="X1302" s="93"/>
      <c r="Y1302" s="93"/>
      <c r="Z1302" s="93"/>
    </row>
    <row r="1303" customFormat="false" ht="16.4" hidden="false" customHeight="false" outlineLevel="0" collapsed="false">
      <c r="A1303" s="123" t="n">
        <v>45444</v>
      </c>
      <c r="B1303" s="31" t="s">
        <v>153</v>
      </c>
      <c r="C1303" s="129"/>
      <c r="D1303" s="129"/>
      <c r="E1303" s="19" t="n">
        <f aca="false">F1303*0.03</f>
        <v>0</v>
      </c>
      <c r="F1303" s="33" t="n">
        <v>0</v>
      </c>
      <c r="G1303" s="131"/>
      <c r="H1303" s="35" t="n">
        <v>0</v>
      </c>
      <c r="I1303" s="34" t="n">
        <f aca="false">+IF(E1303=0,0,E1303*0.03)</f>
        <v>0</v>
      </c>
      <c r="J1303" s="93"/>
      <c r="K1303" s="93"/>
      <c r="L1303" s="93"/>
      <c r="M1303" s="93"/>
      <c r="N1303" s="93"/>
      <c r="O1303" s="93"/>
      <c r="P1303" s="93"/>
      <c r="Q1303" s="93"/>
      <c r="R1303" s="93"/>
      <c r="S1303" s="93"/>
      <c r="T1303" s="93"/>
      <c r="U1303" s="93"/>
      <c r="V1303" s="93"/>
      <c r="W1303" s="93"/>
      <c r="X1303" s="93"/>
      <c r="Y1303" s="93"/>
      <c r="Z1303" s="93"/>
    </row>
    <row r="1304" customFormat="false" ht="16.4" hidden="false" customHeight="false" outlineLevel="0" collapsed="false">
      <c r="A1304" s="123" t="n">
        <v>45444</v>
      </c>
      <c r="B1304" s="31" t="s">
        <v>153</v>
      </c>
      <c r="C1304" s="129"/>
      <c r="D1304" s="129"/>
      <c r="E1304" s="19" t="n">
        <f aca="false">F1304*0.03</f>
        <v>0</v>
      </c>
      <c r="F1304" s="33" t="n">
        <v>0</v>
      </c>
      <c r="G1304" s="131"/>
      <c r="H1304" s="35" t="n">
        <v>0</v>
      </c>
      <c r="I1304" s="34" t="n">
        <f aca="false">+IF(E1304=0,0,E1304*0.03)</f>
        <v>0</v>
      </c>
      <c r="J1304" s="93"/>
      <c r="K1304" s="93"/>
      <c r="L1304" s="93"/>
      <c r="M1304" s="93"/>
      <c r="N1304" s="93"/>
      <c r="O1304" s="93"/>
      <c r="P1304" s="93"/>
      <c r="Q1304" s="93"/>
      <c r="R1304" s="93"/>
      <c r="S1304" s="93"/>
      <c r="T1304" s="93"/>
      <c r="U1304" s="93"/>
      <c r="V1304" s="93"/>
      <c r="W1304" s="93"/>
      <c r="X1304" s="93"/>
      <c r="Y1304" s="93"/>
      <c r="Z1304" s="93"/>
    </row>
    <row r="1305" customFormat="false" ht="16.4" hidden="false" customHeight="false" outlineLevel="0" collapsed="false">
      <c r="A1305" s="123" t="n">
        <v>45444</v>
      </c>
      <c r="B1305" s="31" t="s">
        <v>153</v>
      </c>
      <c r="C1305" s="129"/>
      <c r="D1305" s="129"/>
      <c r="E1305" s="19" t="n">
        <f aca="false">F1305*0.03</f>
        <v>0</v>
      </c>
      <c r="F1305" s="33" t="n">
        <v>0</v>
      </c>
      <c r="G1305" s="131"/>
      <c r="H1305" s="35" t="n">
        <v>0</v>
      </c>
      <c r="I1305" s="34" t="n">
        <f aca="false">+IF(E1305=0,0,E1305*0.03)</f>
        <v>0</v>
      </c>
      <c r="J1305" s="93"/>
      <c r="K1305" s="93"/>
      <c r="L1305" s="93"/>
      <c r="M1305" s="93"/>
      <c r="N1305" s="93"/>
      <c r="O1305" s="93"/>
      <c r="P1305" s="93"/>
      <c r="Q1305" s="93"/>
      <c r="R1305" s="93"/>
      <c r="S1305" s="93"/>
      <c r="T1305" s="93"/>
      <c r="U1305" s="93"/>
      <c r="V1305" s="93"/>
      <c r="W1305" s="93"/>
      <c r="X1305" s="93"/>
      <c r="Y1305" s="93"/>
      <c r="Z1305" s="93"/>
    </row>
    <row r="1306" customFormat="false" ht="16.4" hidden="false" customHeight="false" outlineLevel="0" collapsed="false">
      <c r="A1306" s="123" t="n">
        <v>45444</v>
      </c>
      <c r="B1306" s="31" t="s">
        <v>153</v>
      </c>
      <c r="C1306" s="129"/>
      <c r="D1306" s="129"/>
      <c r="E1306" s="19" t="n">
        <f aca="false">F1306*0.03</f>
        <v>0</v>
      </c>
      <c r="F1306" s="33" t="n">
        <v>0</v>
      </c>
      <c r="G1306" s="131"/>
      <c r="H1306" s="35" t="n">
        <v>0</v>
      </c>
      <c r="I1306" s="34" t="n">
        <f aca="false">+IF(E1306=0,0,E1306*0.03)</f>
        <v>0</v>
      </c>
      <c r="J1306" s="93"/>
      <c r="K1306" s="93"/>
      <c r="L1306" s="93"/>
      <c r="M1306" s="93"/>
      <c r="N1306" s="93"/>
      <c r="O1306" s="93"/>
      <c r="P1306" s="93"/>
      <c r="Q1306" s="93"/>
      <c r="R1306" s="93"/>
      <c r="S1306" s="93"/>
      <c r="T1306" s="93"/>
      <c r="U1306" s="93"/>
      <c r="V1306" s="93"/>
      <c r="W1306" s="93"/>
      <c r="X1306" s="93"/>
      <c r="Y1306" s="93"/>
      <c r="Z1306" s="93"/>
    </row>
    <row r="1307" customFormat="false" ht="16.4" hidden="false" customHeight="false" outlineLevel="0" collapsed="false">
      <c r="A1307" s="123" t="n">
        <v>45444</v>
      </c>
      <c r="B1307" s="31" t="s">
        <v>153</v>
      </c>
      <c r="C1307" s="129"/>
      <c r="D1307" s="129"/>
      <c r="E1307" s="19" t="n">
        <f aca="false">F1307*0.03</f>
        <v>0</v>
      </c>
      <c r="F1307" s="33" t="n">
        <v>0</v>
      </c>
      <c r="G1307" s="131"/>
      <c r="H1307" s="35" t="n">
        <v>0</v>
      </c>
      <c r="I1307" s="34" t="n">
        <f aca="false">+IF(E1307=0,0,E1307*0.03)</f>
        <v>0</v>
      </c>
      <c r="J1307" s="93"/>
      <c r="K1307" s="93"/>
      <c r="L1307" s="93"/>
      <c r="M1307" s="93"/>
      <c r="N1307" s="93"/>
      <c r="O1307" s="93"/>
      <c r="P1307" s="93"/>
      <c r="Q1307" s="93"/>
      <c r="R1307" s="93"/>
      <c r="S1307" s="93"/>
      <c r="T1307" s="93"/>
      <c r="U1307" s="93"/>
      <c r="V1307" s="93"/>
      <c r="W1307" s="93"/>
      <c r="X1307" s="93"/>
      <c r="Y1307" s="93"/>
      <c r="Z1307" s="93"/>
    </row>
    <row r="1308" customFormat="false" ht="16.4" hidden="false" customHeight="false" outlineLevel="0" collapsed="false">
      <c r="A1308" s="123" t="n">
        <v>45444</v>
      </c>
      <c r="B1308" s="31" t="s">
        <v>153</v>
      </c>
      <c r="C1308" s="129"/>
      <c r="D1308" s="129"/>
      <c r="E1308" s="19" t="n">
        <f aca="false">F1308*0.03</f>
        <v>0</v>
      </c>
      <c r="F1308" s="33" t="n">
        <v>0</v>
      </c>
      <c r="G1308" s="131"/>
      <c r="H1308" s="35" t="n">
        <v>0</v>
      </c>
      <c r="I1308" s="34" t="n">
        <f aca="false">+IF(E1308=0,0,E1308*0.03)</f>
        <v>0</v>
      </c>
      <c r="J1308" s="93"/>
      <c r="K1308" s="93"/>
      <c r="L1308" s="93"/>
      <c r="M1308" s="93"/>
      <c r="N1308" s="93"/>
      <c r="O1308" s="93"/>
      <c r="P1308" s="93"/>
      <c r="Q1308" s="93"/>
      <c r="R1308" s="93"/>
      <c r="S1308" s="93"/>
      <c r="T1308" s="93"/>
      <c r="U1308" s="93"/>
      <c r="V1308" s="93"/>
      <c r="W1308" s="93"/>
      <c r="X1308" s="93"/>
      <c r="Y1308" s="93"/>
      <c r="Z1308" s="93"/>
    </row>
    <row r="1309" customFormat="false" ht="16.4" hidden="false" customHeight="false" outlineLevel="0" collapsed="false">
      <c r="A1309" s="123" t="n">
        <v>45444</v>
      </c>
      <c r="B1309" s="31" t="s">
        <v>153</v>
      </c>
      <c r="C1309" s="129"/>
      <c r="D1309" s="129"/>
      <c r="E1309" s="19" t="n">
        <f aca="false">F1309*0.03</f>
        <v>0</v>
      </c>
      <c r="F1309" s="33" t="n">
        <v>0</v>
      </c>
      <c r="G1309" s="131"/>
      <c r="H1309" s="35" t="n">
        <v>0</v>
      </c>
      <c r="I1309" s="34" t="n">
        <f aca="false">+IF(E1309=0,0,E1309*0.03)</f>
        <v>0</v>
      </c>
      <c r="J1309" s="93"/>
      <c r="K1309" s="93"/>
      <c r="L1309" s="93"/>
      <c r="M1309" s="93"/>
      <c r="N1309" s="93"/>
      <c r="O1309" s="93"/>
      <c r="P1309" s="93"/>
      <c r="Q1309" s="93"/>
      <c r="R1309" s="93"/>
      <c r="S1309" s="93"/>
      <c r="T1309" s="93"/>
      <c r="U1309" s="93"/>
      <c r="V1309" s="93"/>
      <c r="W1309" s="93"/>
      <c r="X1309" s="93"/>
      <c r="Y1309" s="93"/>
      <c r="Z1309" s="93"/>
    </row>
    <row r="1310" customFormat="false" ht="16.4" hidden="false" customHeight="false" outlineLevel="0" collapsed="false">
      <c r="A1310" s="123" t="n">
        <v>45444</v>
      </c>
      <c r="B1310" s="31" t="s">
        <v>153</v>
      </c>
      <c r="C1310" s="129"/>
      <c r="D1310" s="129"/>
      <c r="E1310" s="19" t="n">
        <f aca="false">F1310*0.03</f>
        <v>0</v>
      </c>
      <c r="F1310" s="33" t="n">
        <v>0</v>
      </c>
      <c r="G1310" s="131"/>
      <c r="H1310" s="35" t="n">
        <v>0</v>
      </c>
      <c r="I1310" s="34" t="n">
        <f aca="false">+IF(E1310=0,0,E1310*0.03)</f>
        <v>0</v>
      </c>
      <c r="J1310" s="93"/>
      <c r="K1310" s="93"/>
      <c r="L1310" s="93"/>
      <c r="M1310" s="93"/>
      <c r="N1310" s="93"/>
      <c r="O1310" s="93"/>
      <c r="P1310" s="93"/>
      <c r="Q1310" s="93"/>
      <c r="R1310" s="93"/>
      <c r="S1310" s="93"/>
      <c r="T1310" s="93"/>
      <c r="U1310" s="93"/>
      <c r="V1310" s="93"/>
      <c r="W1310" s="93"/>
      <c r="X1310" s="93"/>
      <c r="Y1310" s="93"/>
      <c r="Z1310" s="93"/>
    </row>
    <row r="1311" customFormat="false" ht="16.4" hidden="false" customHeight="false" outlineLevel="0" collapsed="false">
      <c r="A1311" s="123" t="n">
        <v>45444</v>
      </c>
      <c r="B1311" s="31" t="s">
        <v>153</v>
      </c>
      <c r="C1311" s="129"/>
      <c r="D1311" s="129"/>
      <c r="E1311" s="19" t="n">
        <f aca="false">F1311*0.03</f>
        <v>0</v>
      </c>
      <c r="F1311" s="33" t="n">
        <v>0</v>
      </c>
      <c r="G1311" s="131"/>
      <c r="H1311" s="35" t="n">
        <v>0</v>
      </c>
      <c r="I1311" s="34" t="n">
        <f aca="false">+IF(E1311=0,0,E1311*0.03)</f>
        <v>0</v>
      </c>
      <c r="J1311" s="93"/>
      <c r="K1311" s="93"/>
      <c r="L1311" s="93"/>
      <c r="M1311" s="93"/>
      <c r="N1311" s="93"/>
      <c r="O1311" s="93"/>
      <c r="P1311" s="93"/>
      <c r="Q1311" s="93"/>
      <c r="R1311" s="93"/>
      <c r="S1311" s="93"/>
      <c r="T1311" s="93"/>
      <c r="U1311" s="93"/>
      <c r="V1311" s="93"/>
      <c r="W1311" s="93"/>
      <c r="X1311" s="93"/>
      <c r="Y1311" s="93"/>
      <c r="Z1311" s="93"/>
    </row>
    <row r="1312" customFormat="false" ht="16.4" hidden="false" customHeight="false" outlineLevel="0" collapsed="false">
      <c r="A1312" s="123" t="n">
        <v>45444</v>
      </c>
      <c r="B1312" s="31" t="s">
        <v>153</v>
      </c>
      <c r="C1312" s="129"/>
      <c r="D1312" s="129"/>
      <c r="E1312" s="19" t="n">
        <f aca="false">F1312*0.03</f>
        <v>0</v>
      </c>
      <c r="F1312" s="33" t="n">
        <v>0</v>
      </c>
      <c r="G1312" s="131"/>
      <c r="H1312" s="35" t="n">
        <v>0</v>
      </c>
      <c r="I1312" s="34" t="n">
        <f aca="false">+IF(E1312=0,0,E1312*0.03)</f>
        <v>0</v>
      </c>
      <c r="J1312" s="93"/>
      <c r="K1312" s="93"/>
      <c r="L1312" s="93"/>
      <c r="M1312" s="93"/>
      <c r="N1312" s="93"/>
      <c r="O1312" s="93"/>
      <c r="P1312" s="93"/>
      <c r="Q1312" s="93"/>
      <c r="R1312" s="93"/>
      <c r="S1312" s="93"/>
      <c r="T1312" s="93"/>
      <c r="U1312" s="93"/>
      <c r="V1312" s="93"/>
      <c r="W1312" s="93"/>
      <c r="X1312" s="93"/>
      <c r="Y1312" s="93"/>
      <c r="Z1312" s="93"/>
    </row>
    <row r="1313" customFormat="false" ht="16.4" hidden="false" customHeight="false" outlineLevel="0" collapsed="false">
      <c r="A1313" s="123" t="n">
        <v>45444</v>
      </c>
      <c r="B1313" s="31" t="s">
        <v>153</v>
      </c>
      <c r="C1313" s="129"/>
      <c r="D1313" s="129"/>
      <c r="E1313" s="19" t="n">
        <f aca="false">F1313*0.03</f>
        <v>0</v>
      </c>
      <c r="F1313" s="33" t="n">
        <v>0</v>
      </c>
      <c r="G1313" s="131"/>
      <c r="H1313" s="35" t="n">
        <v>0</v>
      </c>
      <c r="I1313" s="34" t="n">
        <f aca="false">+IF(E1313=0,0,E1313*0.03)</f>
        <v>0</v>
      </c>
      <c r="J1313" s="93"/>
      <c r="K1313" s="93"/>
      <c r="L1313" s="93"/>
      <c r="M1313" s="93"/>
      <c r="N1313" s="93"/>
      <c r="O1313" s="93"/>
      <c r="P1313" s="93"/>
      <c r="Q1313" s="93"/>
      <c r="R1313" s="93"/>
      <c r="S1313" s="93"/>
      <c r="T1313" s="93"/>
      <c r="U1313" s="93"/>
      <c r="V1313" s="93"/>
      <c r="W1313" s="93"/>
      <c r="X1313" s="93"/>
      <c r="Y1313" s="93"/>
      <c r="Z1313" s="93"/>
    </row>
    <row r="1314" customFormat="false" ht="16.4" hidden="false" customHeight="false" outlineLevel="0" collapsed="false">
      <c r="A1314" s="123" t="n">
        <v>45444</v>
      </c>
      <c r="B1314" s="31" t="s">
        <v>153</v>
      </c>
      <c r="C1314" s="129"/>
      <c r="D1314" s="129"/>
      <c r="E1314" s="19" t="n">
        <f aca="false">F1314*0.03</f>
        <v>0</v>
      </c>
      <c r="F1314" s="33" t="n">
        <v>0</v>
      </c>
      <c r="G1314" s="131"/>
      <c r="H1314" s="35" t="n">
        <v>0</v>
      </c>
      <c r="I1314" s="34" t="n">
        <f aca="false">+IF(E1314=0,0,E1314*0.03)</f>
        <v>0</v>
      </c>
      <c r="J1314" s="93"/>
      <c r="K1314" s="93"/>
      <c r="L1314" s="93"/>
      <c r="M1314" s="93"/>
      <c r="N1314" s="93"/>
      <c r="O1314" s="93"/>
      <c r="P1314" s="93"/>
      <c r="Q1314" s="93"/>
      <c r="R1314" s="93"/>
      <c r="S1314" s="93"/>
      <c r="T1314" s="93"/>
      <c r="U1314" s="93"/>
      <c r="V1314" s="93"/>
      <c r="W1314" s="93"/>
      <c r="X1314" s="93"/>
      <c r="Y1314" s="93"/>
      <c r="Z1314" s="93"/>
    </row>
    <row r="1315" customFormat="false" ht="16.4" hidden="false" customHeight="false" outlineLevel="0" collapsed="false">
      <c r="A1315" s="123" t="n">
        <v>45444</v>
      </c>
      <c r="B1315" s="31" t="s">
        <v>153</v>
      </c>
      <c r="C1315" s="129"/>
      <c r="D1315" s="129"/>
      <c r="E1315" s="19" t="n">
        <f aca="false">F1315*0.03</f>
        <v>0</v>
      </c>
      <c r="F1315" s="33" t="n">
        <v>0</v>
      </c>
      <c r="G1315" s="131"/>
      <c r="H1315" s="35" t="n">
        <v>0</v>
      </c>
      <c r="I1315" s="34" t="n">
        <f aca="false">+IF(E1315=0,0,E1315*0.03)</f>
        <v>0</v>
      </c>
      <c r="J1315" s="93"/>
      <c r="K1315" s="93"/>
      <c r="L1315" s="93"/>
      <c r="M1315" s="93"/>
      <c r="N1315" s="93"/>
      <c r="O1315" s="93"/>
      <c r="P1315" s="93"/>
      <c r="Q1315" s="93"/>
      <c r="R1315" s="93"/>
      <c r="S1315" s="93"/>
      <c r="T1315" s="93"/>
      <c r="U1315" s="93"/>
      <c r="V1315" s="93"/>
      <c r="W1315" s="93"/>
      <c r="X1315" s="93"/>
      <c r="Y1315" s="93"/>
      <c r="Z1315" s="93"/>
    </row>
    <row r="1316" customFormat="false" ht="16.4" hidden="false" customHeight="false" outlineLevel="0" collapsed="false">
      <c r="A1316" s="123" t="n">
        <v>45444</v>
      </c>
      <c r="B1316" s="31" t="s">
        <v>153</v>
      </c>
      <c r="C1316" s="129"/>
      <c r="D1316" s="129"/>
      <c r="E1316" s="19" t="n">
        <f aca="false">F1316*0.03</f>
        <v>0</v>
      </c>
      <c r="F1316" s="33" t="n">
        <v>0</v>
      </c>
      <c r="G1316" s="131"/>
      <c r="H1316" s="35" t="n">
        <v>0</v>
      </c>
      <c r="I1316" s="34" t="n">
        <f aca="false">+IF(E1316=0,0,E1316*0.03)</f>
        <v>0</v>
      </c>
      <c r="J1316" s="93"/>
      <c r="K1316" s="93"/>
      <c r="L1316" s="93"/>
      <c r="M1316" s="93"/>
      <c r="N1316" s="93"/>
      <c r="O1316" s="93"/>
      <c r="P1316" s="93"/>
      <c r="Q1316" s="93"/>
      <c r="R1316" s="93"/>
      <c r="S1316" s="93"/>
      <c r="T1316" s="93"/>
      <c r="U1316" s="93"/>
      <c r="V1316" s="93"/>
      <c r="W1316" s="93"/>
      <c r="X1316" s="93"/>
      <c r="Y1316" s="93"/>
      <c r="Z1316" s="93"/>
    </row>
    <row r="1317" customFormat="false" ht="16.4" hidden="false" customHeight="false" outlineLevel="0" collapsed="false">
      <c r="A1317" s="123" t="n">
        <v>45444</v>
      </c>
      <c r="B1317" s="31" t="s">
        <v>153</v>
      </c>
      <c r="C1317" s="129"/>
      <c r="D1317" s="129"/>
      <c r="E1317" s="19" t="n">
        <f aca="false">F1317*0.03</f>
        <v>0</v>
      </c>
      <c r="F1317" s="33" t="n">
        <v>0</v>
      </c>
      <c r="G1317" s="131"/>
      <c r="H1317" s="35" t="n">
        <v>0</v>
      </c>
      <c r="I1317" s="34" t="n">
        <f aca="false">+IF(E1317=0,0,E1317*0.03)</f>
        <v>0</v>
      </c>
      <c r="J1317" s="93"/>
      <c r="K1317" s="93"/>
      <c r="L1317" s="93"/>
      <c r="M1317" s="93"/>
      <c r="N1317" s="93"/>
      <c r="O1317" s="93"/>
      <c r="P1317" s="93"/>
      <c r="Q1317" s="93"/>
      <c r="R1317" s="93"/>
      <c r="S1317" s="93"/>
      <c r="T1317" s="93"/>
      <c r="U1317" s="93"/>
      <c r="V1317" s="93"/>
      <c r="W1317" s="93"/>
      <c r="X1317" s="93"/>
      <c r="Y1317" s="93"/>
      <c r="Z1317" s="93"/>
    </row>
    <row r="1318" customFormat="false" ht="16.4" hidden="false" customHeight="false" outlineLevel="0" collapsed="false">
      <c r="A1318" s="123" t="n">
        <v>45444</v>
      </c>
      <c r="B1318" s="31" t="s">
        <v>153</v>
      </c>
      <c r="C1318" s="129"/>
      <c r="D1318" s="129"/>
      <c r="E1318" s="19" t="n">
        <f aca="false">F1318*0.03</f>
        <v>0</v>
      </c>
      <c r="F1318" s="33" t="n">
        <v>0</v>
      </c>
      <c r="G1318" s="131"/>
      <c r="H1318" s="35" t="n">
        <v>0</v>
      </c>
      <c r="I1318" s="34" t="n">
        <f aca="false">+IF(E1318=0,0,E1318*0.03)</f>
        <v>0</v>
      </c>
      <c r="J1318" s="93"/>
      <c r="K1318" s="93"/>
      <c r="L1318" s="93"/>
      <c r="M1318" s="93"/>
      <c r="N1318" s="93"/>
      <c r="O1318" s="93"/>
      <c r="P1318" s="93"/>
      <c r="Q1318" s="93"/>
      <c r="R1318" s="93"/>
      <c r="S1318" s="93"/>
      <c r="T1318" s="93"/>
      <c r="U1318" s="93"/>
      <c r="V1318" s="93"/>
      <c r="W1318" s="93"/>
      <c r="X1318" s="93"/>
      <c r="Y1318" s="93"/>
      <c r="Z1318" s="93"/>
    </row>
    <row r="1319" customFormat="false" ht="16.4" hidden="false" customHeight="false" outlineLevel="0" collapsed="false">
      <c r="A1319" s="123" t="n">
        <v>45444</v>
      </c>
      <c r="B1319" s="31" t="s">
        <v>153</v>
      </c>
      <c r="C1319" s="129"/>
      <c r="D1319" s="129"/>
      <c r="E1319" s="19" t="n">
        <f aca="false">F1319*0.03</f>
        <v>0</v>
      </c>
      <c r="F1319" s="33" t="n">
        <v>0</v>
      </c>
      <c r="G1319" s="131"/>
      <c r="H1319" s="35" t="n">
        <v>0</v>
      </c>
      <c r="I1319" s="34" t="n">
        <f aca="false">+IF(E1319=0,0,E1319*0.03)</f>
        <v>0</v>
      </c>
      <c r="J1319" s="93"/>
      <c r="K1319" s="93"/>
      <c r="L1319" s="93"/>
      <c r="M1319" s="93"/>
      <c r="N1319" s="93"/>
      <c r="O1319" s="93"/>
      <c r="P1319" s="93"/>
      <c r="Q1319" s="93"/>
      <c r="R1319" s="93"/>
      <c r="S1319" s="93"/>
      <c r="T1319" s="93"/>
      <c r="U1319" s="93"/>
      <c r="V1319" s="93"/>
      <c r="W1319" s="93"/>
      <c r="X1319" s="93"/>
      <c r="Y1319" s="93"/>
      <c r="Z1319" s="93"/>
    </row>
    <row r="1320" customFormat="false" ht="16.4" hidden="false" customHeight="false" outlineLevel="0" collapsed="false">
      <c r="A1320" s="123" t="n">
        <v>45444</v>
      </c>
      <c r="B1320" s="31" t="s">
        <v>153</v>
      </c>
      <c r="C1320" s="129"/>
      <c r="D1320" s="129"/>
      <c r="E1320" s="19" t="n">
        <f aca="false">F1320*0.03</f>
        <v>0</v>
      </c>
      <c r="F1320" s="33" t="n">
        <v>0</v>
      </c>
      <c r="G1320" s="131"/>
      <c r="H1320" s="35" t="n">
        <v>0</v>
      </c>
      <c r="I1320" s="34" t="n">
        <f aca="false">+IF(E1320=0,0,E1320*0.03)</f>
        <v>0</v>
      </c>
      <c r="J1320" s="93"/>
      <c r="K1320" s="93"/>
      <c r="L1320" s="93"/>
      <c r="M1320" s="93"/>
      <c r="N1320" s="93"/>
      <c r="O1320" s="93"/>
      <c r="P1320" s="93"/>
      <c r="Q1320" s="93"/>
      <c r="R1320" s="93"/>
      <c r="S1320" s="93"/>
      <c r="T1320" s="93"/>
      <c r="U1320" s="93"/>
      <c r="V1320" s="93"/>
      <c r="W1320" s="93"/>
      <c r="X1320" s="93"/>
      <c r="Y1320" s="93"/>
      <c r="Z1320" s="93"/>
    </row>
    <row r="1321" customFormat="false" ht="16.4" hidden="false" customHeight="false" outlineLevel="0" collapsed="false">
      <c r="A1321" s="123" t="n">
        <v>45444</v>
      </c>
      <c r="B1321" s="31" t="s">
        <v>153</v>
      </c>
      <c r="C1321" s="129"/>
      <c r="D1321" s="129"/>
      <c r="E1321" s="19" t="n">
        <f aca="false">F1321*0.03</f>
        <v>0</v>
      </c>
      <c r="F1321" s="33" t="n">
        <v>0</v>
      </c>
      <c r="G1321" s="131"/>
      <c r="H1321" s="35" t="n">
        <v>0</v>
      </c>
      <c r="I1321" s="34" t="n">
        <f aca="false">+IF(E1321=0,0,E1321*0.03)</f>
        <v>0</v>
      </c>
      <c r="J1321" s="93"/>
      <c r="K1321" s="93"/>
      <c r="L1321" s="93"/>
      <c r="M1321" s="93"/>
      <c r="N1321" s="93"/>
      <c r="O1321" s="93"/>
      <c r="P1321" s="93"/>
      <c r="Q1321" s="93"/>
      <c r="R1321" s="93"/>
      <c r="S1321" s="93"/>
      <c r="T1321" s="93"/>
      <c r="U1321" s="93"/>
      <c r="V1321" s="93"/>
      <c r="W1321" s="93"/>
      <c r="X1321" s="93"/>
      <c r="Y1321" s="93"/>
      <c r="Z1321" s="93"/>
    </row>
    <row r="1322" customFormat="false" ht="16.4" hidden="false" customHeight="false" outlineLevel="0" collapsed="false">
      <c r="A1322" s="123" t="n">
        <v>45444</v>
      </c>
      <c r="B1322" s="31" t="s">
        <v>153</v>
      </c>
      <c r="C1322" s="129"/>
      <c r="D1322" s="129"/>
      <c r="E1322" s="19" t="n">
        <f aca="false">F1322*0.03</f>
        <v>0</v>
      </c>
      <c r="F1322" s="33" t="n">
        <v>0</v>
      </c>
      <c r="G1322" s="131"/>
      <c r="H1322" s="35" t="n">
        <v>0</v>
      </c>
      <c r="I1322" s="34" t="n">
        <f aca="false">+IF(E1322=0,0,E1322*0.03)</f>
        <v>0</v>
      </c>
      <c r="J1322" s="93"/>
      <c r="K1322" s="93"/>
      <c r="L1322" s="93"/>
      <c r="M1322" s="93"/>
      <c r="N1322" s="93"/>
      <c r="O1322" s="93"/>
      <c r="P1322" s="93"/>
      <c r="Q1322" s="93"/>
      <c r="R1322" s="93"/>
      <c r="S1322" s="93"/>
      <c r="T1322" s="93"/>
      <c r="U1322" s="93"/>
      <c r="V1322" s="93"/>
      <c r="W1322" s="93"/>
      <c r="X1322" s="93"/>
      <c r="Y1322" s="93"/>
      <c r="Z1322" s="93"/>
    </row>
    <row r="1323" customFormat="false" ht="16.4" hidden="false" customHeight="false" outlineLevel="0" collapsed="false">
      <c r="A1323" s="123" t="n">
        <v>45444</v>
      </c>
      <c r="B1323" s="31" t="s">
        <v>153</v>
      </c>
      <c r="C1323" s="129"/>
      <c r="D1323" s="129"/>
      <c r="E1323" s="19" t="n">
        <f aca="false">F1323*0.03</f>
        <v>0</v>
      </c>
      <c r="F1323" s="33" t="n">
        <v>0</v>
      </c>
      <c r="G1323" s="131"/>
      <c r="H1323" s="35" t="n">
        <v>0</v>
      </c>
      <c r="I1323" s="34" t="n">
        <f aca="false">+IF(E1323=0,0,E1323*0.03)</f>
        <v>0</v>
      </c>
      <c r="J1323" s="93"/>
      <c r="K1323" s="93"/>
      <c r="L1323" s="93"/>
      <c r="M1323" s="93"/>
      <c r="N1323" s="93"/>
      <c r="O1323" s="93"/>
      <c r="P1323" s="93"/>
      <c r="Q1323" s="93"/>
      <c r="R1323" s="93"/>
      <c r="S1323" s="93"/>
      <c r="T1323" s="93"/>
      <c r="U1323" s="93"/>
      <c r="V1323" s="93"/>
      <c r="W1323" s="93"/>
      <c r="X1323" s="93"/>
      <c r="Y1323" s="93"/>
      <c r="Z1323" s="93"/>
    </row>
    <row r="1324" customFormat="false" ht="16.4" hidden="false" customHeight="false" outlineLevel="0" collapsed="false">
      <c r="A1324" s="123" t="n">
        <v>45444</v>
      </c>
      <c r="B1324" s="31" t="s">
        <v>153</v>
      </c>
      <c r="C1324" s="129"/>
      <c r="D1324" s="129"/>
      <c r="E1324" s="19" t="n">
        <f aca="false">F1324*0.03</f>
        <v>0</v>
      </c>
      <c r="F1324" s="33" t="n">
        <v>0</v>
      </c>
      <c r="G1324" s="131"/>
      <c r="H1324" s="35" t="n">
        <v>0</v>
      </c>
      <c r="I1324" s="34" t="n">
        <f aca="false">+IF(E1324=0,0,E1324*0.03)</f>
        <v>0</v>
      </c>
      <c r="J1324" s="93"/>
      <c r="K1324" s="93"/>
      <c r="L1324" s="93"/>
      <c r="M1324" s="93"/>
      <c r="N1324" s="93"/>
      <c r="O1324" s="93"/>
      <c r="P1324" s="93"/>
      <c r="Q1324" s="93"/>
      <c r="R1324" s="93"/>
      <c r="S1324" s="93"/>
      <c r="T1324" s="93"/>
      <c r="U1324" s="93"/>
      <c r="V1324" s="93"/>
      <c r="W1324" s="93"/>
      <c r="X1324" s="93"/>
      <c r="Y1324" s="93"/>
      <c r="Z1324" s="93"/>
    </row>
    <row r="1325" customFormat="false" ht="16.4" hidden="false" customHeight="false" outlineLevel="0" collapsed="false">
      <c r="A1325" s="123" t="n">
        <v>45444</v>
      </c>
      <c r="B1325" s="31" t="s">
        <v>153</v>
      </c>
      <c r="C1325" s="129"/>
      <c r="D1325" s="129"/>
      <c r="E1325" s="19" t="n">
        <f aca="false">F1325*0.03</f>
        <v>0</v>
      </c>
      <c r="F1325" s="33" t="n">
        <v>0</v>
      </c>
      <c r="G1325" s="131"/>
      <c r="H1325" s="35" t="n">
        <v>0</v>
      </c>
      <c r="I1325" s="34" t="n">
        <f aca="false">+IF(E1325=0,0,E1325*0.03)</f>
        <v>0</v>
      </c>
      <c r="J1325" s="93"/>
      <c r="K1325" s="93"/>
      <c r="L1325" s="93"/>
      <c r="M1325" s="93"/>
      <c r="N1325" s="93"/>
      <c r="O1325" s="93"/>
      <c r="P1325" s="93"/>
      <c r="Q1325" s="93"/>
      <c r="R1325" s="93"/>
      <c r="S1325" s="93"/>
      <c r="T1325" s="93"/>
      <c r="U1325" s="93"/>
      <c r="V1325" s="93"/>
      <c r="W1325" s="93"/>
      <c r="X1325" s="93"/>
      <c r="Y1325" s="93"/>
      <c r="Z1325" s="93"/>
    </row>
    <row r="1326" customFormat="false" ht="16.4" hidden="false" customHeight="false" outlineLevel="0" collapsed="false">
      <c r="A1326" s="123" t="n">
        <v>45444</v>
      </c>
      <c r="B1326" s="31" t="s">
        <v>153</v>
      </c>
      <c r="C1326" s="129"/>
      <c r="D1326" s="129"/>
      <c r="E1326" s="19" t="n">
        <f aca="false">F1326*0.03</f>
        <v>0</v>
      </c>
      <c r="F1326" s="33" t="n">
        <v>0</v>
      </c>
      <c r="G1326" s="131"/>
      <c r="H1326" s="35" t="n">
        <v>0</v>
      </c>
      <c r="I1326" s="34" t="n">
        <f aca="false">+IF(E1326=0,0,E1326*0.03)</f>
        <v>0</v>
      </c>
      <c r="J1326" s="93"/>
      <c r="K1326" s="93"/>
      <c r="L1326" s="93"/>
      <c r="M1326" s="93"/>
      <c r="N1326" s="93"/>
      <c r="O1326" s="93"/>
      <c r="P1326" s="93"/>
      <c r="Q1326" s="93"/>
      <c r="R1326" s="93"/>
      <c r="S1326" s="93"/>
      <c r="T1326" s="93"/>
      <c r="U1326" s="93"/>
      <c r="V1326" s="93"/>
      <c r="W1326" s="93"/>
      <c r="X1326" s="93"/>
      <c r="Y1326" s="93"/>
      <c r="Z1326" s="93"/>
    </row>
    <row r="1327" customFormat="false" ht="16.4" hidden="false" customHeight="false" outlineLevel="0" collapsed="false">
      <c r="A1327" s="123" t="n">
        <v>45444</v>
      </c>
      <c r="B1327" s="31" t="s">
        <v>153</v>
      </c>
      <c r="C1327" s="129"/>
      <c r="D1327" s="129"/>
      <c r="E1327" s="19" t="n">
        <f aca="false">F1327*0.03</f>
        <v>0</v>
      </c>
      <c r="F1327" s="33" t="n">
        <v>0</v>
      </c>
      <c r="G1327" s="131"/>
      <c r="H1327" s="35" t="n">
        <v>0</v>
      </c>
      <c r="I1327" s="34" t="n">
        <f aca="false">+IF(E1327=0,0,E1327*0.03)</f>
        <v>0</v>
      </c>
      <c r="J1327" s="93"/>
      <c r="K1327" s="93"/>
      <c r="L1327" s="93"/>
      <c r="M1327" s="93"/>
      <c r="N1327" s="93"/>
      <c r="O1327" s="93"/>
      <c r="P1327" s="93"/>
      <c r="Q1327" s="93"/>
      <c r="R1327" s="93"/>
      <c r="S1327" s="93"/>
      <c r="T1327" s="93"/>
      <c r="U1327" s="93"/>
      <c r="V1327" s="93"/>
      <c r="W1327" s="93"/>
      <c r="X1327" s="93"/>
      <c r="Y1327" s="93"/>
      <c r="Z1327" s="93"/>
    </row>
    <row r="1328" customFormat="false" ht="16.4" hidden="false" customHeight="false" outlineLevel="0" collapsed="false">
      <c r="A1328" s="123" t="n">
        <v>45444</v>
      </c>
      <c r="B1328" s="31" t="s">
        <v>153</v>
      </c>
      <c r="C1328" s="129"/>
      <c r="D1328" s="129"/>
      <c r="E1328" s="19" t="n">
        <f aca="false">F1328*0.03</f>
        <v>0</v>
      </c>
      <c r="F1328" s="33" t="n">
        <v>0</v>
      </c>
      <c r="G1328" s="131"/>
      <c r="H1328" s="35" t="n">
        <v>0</v>
      </c>
      <c r="I1328" s="34" t="n">
        <f aca="false">+IF(E1328=0,0,E1328*0.03)</f>
        <v>0</v>
      </c>
      <c r="J1328" s="93"/>
      <c r="K1328" s="93"/>
      <c r="L1328" s="93"/>
      <c r="M1328" s="93"/>
      <c r="N1328" s="93"/>
      <c r="O1328" s="93"/>
      <c r="P1328" s="93"/>
      <c r="Q1328" s="93"/>
      <c r="R1328" s="93"/>
      <c r="S1328" s="93"/>
      <c r="T1328" s="93"/>
      <c r="U1328" s="93"/>
      <c r="V1328" s="93"/>
      <c r="W1328" s="93"/>
      <c r="X1328" s="93"/>
      <c r="Y1328" s="93"/>
      <c r="Z1328" s="93"/>
    </row>
    <row r="1329" customFormat="false" ht="16.4" hidden="false" customHeight="false" outlineLevel="0" collapsed="false">
      <c r="A1329" s="123" t="n">
        <v>45444</v>
      </c>
      <c r="B1329" s="31" t="s">
        <v>153</v>
      </c>
      <c r="C1329" s="129"/>
      <c r="D1329" s="129"/>
      <c r="E1329" s="19" t="n">
        <f aca="false">F1329*0.03</f>
        <v>0</v>
      </c>
      <c r="F1329" s="33" t="n">
        <v>0</v>
      </c>
      <c r="G1329" s="131"/>
      <c r="H1329" s="35" t="n">
        <v>0</v>
      </c>
      <c r="I1329" s="34" t="n">
        <f aca="false">+IF(E1329=0,0,E1329*0.03)</f>
        <v>0</v>
      </c>
      <c r="J1329" s="93"/>
      <c r="K1329" s="93"/>
      <c r="L1329" s="93"/>
      <c r="M1329" s="93"/>
      <c r="N1329" s="93"/>
      <c r="O1329" s="93"/>
      <c r="P1329" s="93"/>
      <c r="Q1329" s="93"/>
      <c r="R1329" s="93"/>
      <c r="S1329" s="93"/>
      <c r="T1329" s="93"/>
      <c r="U1329" s="93"/>
      <c r="V1329" s="93"/>
      <c r="W1329" s="93"/>
      <c r="X1329" s="93"/>
      <c r="Y1329" s="93"/>
      <c r="Z1329" s="93"/>
    </row>
    <row r="1330" customFormat="false" ht="16.4" hidden="false" customHeight="false" outlineLevel="0" collapsed="false">
      <c r="A1330" s="123" t="n">
        <v>45444</v>
      </c>
      <c r="B1330" s="31" t="s">
        <v>153</v>
      </c>
      <c r="C1330" s="129"/>
      <c r="D1330" s="129"/>
      <c r="E1330" s="19" t="n">
        <f aca="false">F1330*0.03</f>
        <v>0</v>
      </c>
      <c r="F1330" s="33" t="n">
        <v>0</v>
      </c>
      <c r="G1330" s="131"/>
      <c r="H1330" s="35" t="n">
        <v>0</v>
      </c>
      <c r="I1330" s="34" t="n">
        <f aca="false">+IF(E1330=0,0,E1330*0.03)</f>
        <v>0</v>
      </c>
      <c r="J1330" s="93"/>
      <c r="K1330" s="93"/>
      <c r="L1330" s="93"/>
      <c r="M1330" s="93"/>
      <c r="N1330" s="93"/>
      <c r="O1330" s="93"/>
      <c r="P1330" s="93"/>
      <c r="Q1330" s="93"/>
      <c r="R1330" s="93"/>
      <c r="S1330" s="93"/>
      <c r="T1330" s="93"/>
      <c r="U1330" s="93"/>
      <c r="V1330" s="93"/>
      <c r="W1330" s="93"/>
      <c r="X1330" s="93"/>
      <c r="Y1330" s="93"/>
      <c r="Z1330" s="93"/>
    </row>
    <row r="1331" customFormat="false" ht="16.4" hidden="false" customHeight="false" outlineLevel="0" collapsed="false">
      <c r="A1331" s="123" t="n">
        <v>45444</v>
      </c>
      <c r="B1331" s="31" t="s">
        <v>153</v>
      </c>
      <c r="C1331" s="129"/>
      <c r="D1331" s="129"/>
      <c r="E1331" s="19" t="n">
        <f aca="false">F1331*0.03</f>
        <v>0</v>
      </c>
      <c r="F1331" s="33" t="n">
        <v>0</v>
      </c>
      <c r="G1331" s="131"/>
      <c r="H1331" s="35" t="n">
        <v>0</v>
      </c>
      <c r="I1331" s="34" t="n">
        <f aca="false">+IF(E1331=0,0,E1331*0.03)</f>
        <v>0</v>
      </c>
      <c r="J1331" s="93"/>
      <c r="K1331" s="93"/>
      <c r="L1331" s="93"/>
      <c r="M1331" s="93"/>
      <c r="N1331" s="93"/>
      <c r="O1331" s="93"/>
      <c r="P1331" s="93"/>
      <c r="Q1331" s="93"/>
      <c r="R1331" s="93"/>
      <c r="S1331" s="93"/>
      <c r="T1331" s="93"/>
      <c r="U1331" s="93"/>
      <c r="V1331" s="93"/>
      <c r="W1331" s="93"/>
      <c r="X1331" s="93"/>
      <c r="Y1331" s="93"/>
      <c r="Z1331" s="93"/>
    </row>
    <row r="1332" customFormat="false" ht="16.4" hidden="false" customHeight="false" outlineLevel="0" collapsed="false">
      <c r="A1332" s="123" t="n">
        <v>45444</v>
      </c>
      <c r="B1332" s="31" t="s">
        <v>153</v>
      </c>
      <c r="C1332" s="129"/>
      <c r="D1332" s="129"/>
      <c r="E1332" s="19" t="n">
        <f aca="false">F1332*0.03</f>
        <v>0</v>
      </c>
      <c r="F1332" s="33" t="n">
        <v>0</v>
      </c>
      <c r="G1332" s="131"/>
      <c r="H1332" s="35" t="n">
        <v>0</v>
      </c>
      <c r="I1332" s="34" t="n">
        <f aca="false">+IF(E1332=0,0,E1332*0.03)</f>
        <v>0</v>
      </c>
      <c r="J1332" s="93"/>
      <c r="K1332" s="93"/>
      <c r="L1332" s="93"/>
      <c r="M1332" s="93"/>
      <c r="N1332" s="93"/>
      <c r="O1332" s="93"/>
      <c r="P1332" s="93"/>
      <c r="Q1332" s="93"/>
      <c r="R1332" s="93"/>
      <c r="S1332" s="93"/>
      <c r="T1332" s="93"/>
      <c r="U1332" s="93"/>
      <c r="V1332" s="93"/>
      <c r="W1332" s="93"/>
      <c r="X1332" s="93"/>
      <c r="Y1332" s="93"/>
      <c r="Z1332" s="93"/>
    </row>
    <row r="1333" customFormat="false" ht="16.4" hidden="false" customHeight="false" outlineLevel="0" collapsed="false">
      <c r="A1333" s="123" t="n">
        <v>45444</v>
      </c>
      <c r="B1333" s="31" t="s">
        <v>153</v>
      </c>
      <c r="C1333" s="129"/>
      <c r="D1333" s="129"/>
      <c r="E1333" s="19" t="n">
        <f aca="false">F1333*0.03</f>
        <v>0</v>
      </c>
      <c r="F1333" s="33" t="n">
        <v>0</v>
      </c>
      <c r="G1333" s="131"/>
      <c r="H1333" s="35" t="n">
        <v>0</v>
      </c>
      <c r="I1333" s="34" t="n">
        <f aca="false">+IF(E1333=0,0,E1333*0.03)</f>
        <v>0</v>
      </c>
      <c r="J1333" s="93"/>
      <c r="K1333" s="93"/>
      <c r="L1333" s="93"/>
      <c r="M1333" s="93"/>
      <c r="N1333" s="93"/>
      <c r="O1333" s="93"/>
      <c r="P1333" s="93"/>
      <c r="Q1333" s="93"/>
      <c r="R1333" s="93"/>
      <c r="S1333" s="93"/>
      <c r="T1333" s="93"/>
      <c r="U1333" s="93"/>
      <c r="V1333" s="93"/>
      <c r="W1333" s="93"/>
      <c r="X1333" s="93"/>
      <c r="Y1333" s="93"/>
      <c r="Z1333" s="93"/>
    </row>
    <row r="1334" customFormat="false" ht="16.4" hidden="false" customHeight="false" outlineLevel="0" collapsed="false">
      <c r="A1334" s="123" t="n">
        <v>45444</v>
      </c>
      <c r="B1334" s="31" t="s">
        <v>153</v>
      </c>
      <c r="C1334" s="129"/>
      <c r="D1334" s="129"/>
      <c r="E1334" s="19" t="n">
        <f aca="false">F1334*0.03</f>
        <v>0</v>
      </c>
      <c r="F1334" s="33" t="n">
        <v>0</v>
      </c>
      <c r="G1334" s="131"/>
      <c r="H1334" s="35" t="n">
        <v>0</v>
      </c>
      <c r="I1334" s="34" t="n">
        <f aca="false">+IF(E1334=0,0,E1334*0.03)</f>
        <v>0</v>
      </c>
      <c r="J1334" s="93"/>
      <c r="K1334" s="93"/>
      <c r="L1334" s="93"/>
      <c r="M1334" s="93"/>
      <c r="N1334" s="93"/>
      <c r="O1334" s="93"/>
      <c r="P1334" s="93"/>
      <c r="Q1334" s="93"/>
      <c r="R1334" s="93"/>
      <c r="S1334" s="93"/>
      <c r="T1334" s="93"/>
      <c r="U1334" s="93"/>
      <c r="V1334" s="93"/>
      <c r="W1334" s="93"/>
      <c r="X1334" s="93"/>
      <c r="Y1334" s="93"/>
      <c r="Z1334" s="93"/>
    </row>
    <row r="1335" customFormat="false" ht="16.4" hidden="false" customHeight="false" outlineLevel="0" collapsed="false">
      <c r="A1335" s="123" t="n">
        <v>45444</v>
      </c>
      <c r="B1335" s="31" t="s">
        <v>153</v>
      </c>
      <c r="C1335" s="129"/>
      <c r="D1335" s="129"/>
      <c r="E1335" s="19" t="n">
        <f aca="false">F1335*0.03</f>
        <v>0</v>
      </c>
      <c r="F1335" s="33" t="n">
        <v>0</v>
      </c>
      <c r="G1335" s="131"/>
      <c r="H1335" s="35" t="n">
        <v>0</v>
      </c>
      <c r="I1335" s="34" t="n">
        <f aca="false">+IF(E1335=0,0,E1335*0.03)</f>
        <v>0</v>
      </c>
      <c r="J1335" s="93"/>
      <c r="K1335" s="93"/>
      <c r="L1335" s="93"/>
      <c r="M1335" s="93"/>
      <c r="N1335" s="93"/>
      <c r="O1335" s="93"/>
      <c r="P1335" s="93"/>
      <c r="Q1335" s="93"/>
      <c r="R1335" s="93"/>
      <c r="S1335" s="93"/>
      <c r="T1335" s="93"/>
      <c r="U1335" s="93"/>
      <c r="V1335" s="93"/>
      <c r="W1335" s="93"/>
      <c r="X1335" s="93"/>
      <c r="Y1335" s="93"/>
      <c r="Z1335" s="93"/>
    </row>
    <row r="1336" customFormat="false" ht="16.4" hidden="false" customHeight="false" outlineLevel="0" collapsed="false">
      <c r="A1336" s="123" t="n">
        <v>45444</v>
      </c>
      <c r="B1336" s="31" t="s">
        <v>153</v>
      </c>
      <c r="C1336" s="129"/>
      <c r="D1336" s="129"/>
      <c r="E1336" s="19" t="n">
        <f aca="false">F1336*0.03</f>
        <v>0</v>
      </c>
      <c r="F1336" s="33" t="n">
        <v>0</v>
      </c>
      <c r="G1336" s="131"/>
      <c r="H1336" s="35" t="n">
        <v>0</v>
      </c>
      <c r="I1336" s="34" t="n">
        <f aca="false">+IF(E1336=0,0,E1336*0.03)</f>
        <v>0</v>
      </c>
      <c r="J1336" s="93"/>
      <c r="K1336" s="93"/>
      <c r="L1336" s="93"/>
      <c r="M1336" s="93"/>
      <c r="N1336" s="93"/>
      <c r="O1336" s="93"/>
      <c r="P1336" s="93"/>
      <c r="Q1336" s="93"/>
      <c r="R1336" s="93"/>
      <c r="S1336" s="93"/>
      <c r="T1336" s="93"/>
      <c r="U1336" s="93"/>
      <c r="V1336" s="93"/>
      <c r="W1336" s="93"/>
      <c r="X1336" s="93"/>
      <c r="Y1336" s="93"/>
      <c r="Z1336" s="93"/>
    </row>
    <row r="1337" customFormat="false" ht="16.4" hidden="false" customHeight="false" outlineLevel="0" collapsed="false">
      <c r="A1337" s="123" t="n">
        <v>45444</v>
      </c>
      <c r="B1337" s="31" t="s">
        <v>153</v>
      </c>
      <c r="C1337" s="129"/>
      <c r="D1337" s="129"/>
      <c r="E1337" s="19" t="n">
        <f aca="false">F1337*0.03</f>
        <v>0</v>
      </c>
      <c r="F1337" s="33" t="n">
        <v>0</v>
      </c>
      <c r="G1337" s="131"/>
      <c r="H1337" s="35" t="n">
        <v>0</v>
      </c>
      <c r="I1337" s="34" t="n">
        <f aca="false">+IF(E1337=0,0,E1337*0.03)</f>
        <v>0</v>
      </c>
      <c r="J1337" s="93"/>
      <c r="K1337" s="93"/>
      <c r="L1337" s="93"/>
      <c r="M1337" s="93"/>
      <c r="N1337" s="93"/>
      <c r="O1337" s="93"/>
      <c r="P1337" s="93"/>
      <c r="Q1337" s="93"/>
      <c r="R1337" s="93"/>
      <c r="S1337" s="93"/>
      <c r="T1337" s="93"/>
      <c r="U1337" s="93"/>
      <c r="V1337" s="93"/>
      <c r="W1337" s="93"/>
      <c r="X1337" s="93"/>
      <c r="Y1337" s="93"/>
      <c r="Z1337" s="93"/>
    </row>
    <row r="1338" customFormat="false" ht="16.4" hidden="false" customHeight="false" outlineLevel="0" collapsed="false">
      <c r="A1338" s="123" t="n">
        <v>45444</v>
      </c>
      <c r="B1338" s="31" t="s">
        <v>153</v>
      </c>
      <c r="C1338" s="129"/>
      <c r="D1338" s="129"/>
      <c r="E1338" s="19" t="n">
        <f aca="false">F1338*0.03</f>
        <v>0</v>
      </c>
      <c r="F1338" s="33" t="n">
        <v>0</v>
      </c>
      <c r="G1338" s="131"/>
      <c r="H1338" s="35" t="n">
        <v>0</v>
      </c>
      <c r="I1338" s="34" t="n">
        <f aca="false">+IF(E1338=0,0,E1338*0.03)</f>
        <v>0</v>
      </c>
      <c r="J1338" s="93"/>
      <c r="K1338" s="93"/>
      <c r="L1338" s="93"/>
      <c r="M1338" s="93"/>
      <c r="N1338" s="93"/>
      <c r="O1338" s="93"/>
      <c r="P1338" s="93"/>
      <c r="Q1338" s="93"/>
      <c r="R1338" s="93"/>
      <c r="S1338" s="93"/>
      <c r="T1338" s="93"/>
      <c r="U1338" s="93"/>
      <c r="V1338" s="93"/>
      <c r="W1338" s="93"/>
      <c r="X1338" s="93"/>
      <c r="Y1338" s="93"/>
      <c r="Z1338" s="93"/>
    </row>
    <row r="1339" customFormat="false" ht="16.4" hidden="false" customHeight="false" outlineLevel="0" collapsed="false">
      <c r="A1339" s="123" t="n">
        <v>45444</v>
      </c>
      <c r="B1339" s="31" t="s">
        <v>153</v>
      </c>
      <c r="C1339" s="129"/>
      <c r="D1339" s="129"/>
      <c r="E1339" s="19" t="n">
        <f aca="false">F1339*0.03</f>
        <v>0</v>
      </c>
      <c r="F1339" s="33" t="n">
        <v>0</v>
      </c>
      <c r="G1339" s="131"/>
      <c r="H1339" s="35" t="n">
        <v>0</v>
      </c>
      <c r="I1339" s="34" t="n">
        <f aca="false">+IF(E1339=0,0,E1339*0.03)</f>
        <v>0</v>
      </c>
      <c r="J1339" s="93"/>
      <c r="K1339" s="93"/>
      <c r="L1339" s="93"/>
      <c r="M1339" s="93"/>
      <c r="N1339" s="93"/>
      <c r="O1339" s="93"/>
      <c r="P1339" s="93"/>
      <c r="Q1339" s="93"/>
      <c r="R1339" s="93"/>
      <c r="S1339" s="93"/>
      <c r="T1339" s="93"/>
      <c r="U1339" s="93"/>
      <c r="V1339" s="93"/>
      <c r="W1339" s="93"/>
      <c r="X1339" s="93"/>
      <c r="Y1339" s="93"/>
      <c r="Z1339" s="93"/>
    </row>
    <row r="1340" customFormat="false" ht="16.4" hidden="false" customHeight="false" outlineLevel="0" collapsed="false">
      <c r="A1340" s="123" t="n">
        <v>45444</v>
      </c>
      <c r="B1340" s="31" t="s">
        <v>153</v>
      </c>
      <c r="C1340" s="129"/>
      <c r="D1340" s="129"/>
      <c r="E1340" s="19" t="n">
        <f aca="false">F1340*0.03</f>
        <v>0</v>
      </c>
      <c r="F1340" s="33" t="n">
        <v>0</v>
      </c>
      <c r="G1340" s="131"/>
      <c r="H1340" s="35" t="n">
        <v>0</v>
      </c>
      <c r="I1340" s="34" t="n">
        <f aca="false">+IF(E1340=0,0,E1340*0.03)</f>
        <v>0</v>
      </c>
      <c r="J1340" s="93"/>
      <c r="K1340" s="93"/>
      <c r="L1340" s="93"/>
      <c r="M1340" s="93"/>
      <c r="N1340" s="93"/>
      <c r="O1340" s="93"/>
      <c r="P1340" s="93"/>
      <c r="Q1340" s="93"/>
      <c r="R1340" s="93"/>
      <c r="S1340" s="93"/>
      <c r="T1340" s="93"/>
      <c r="U1340" s="93"/>
      <c r="V1340" s="93"/>
      <c r="W1340" s="93"/>
      <c r="X1340" s="93"/>
      <c r="Y1340" s="93"/>
      <c r="Z1340" s="93"/>
    </row>
    <row r="1341" customFormat="false" ht="16.4" hidden="false" customHeight="false" outlineLevel="0" collapsed="false">
      <c r="A1341" s="123" t="n">
        <v>45444</v>
      </c>
      <c r="B1341" s="31" t="s">
        <v>153</v>
      </c>
      <c r="C1341" s="129"/>
      <c r="D1341" s="129"/>
      <c r="E1341" s="19" t="n">
        <f aca="false">F1341*0.03</f>
        <v>0</v>
      </c>
      <c r="F1341" s="33" t="n">
        <v>0</v>
      </c>
      <c r="G1341" s="131"/>
      <c r="H1341" s="35" t="n">
        <v>0</v>
      </c>
      <c r="I1341" s="34" t="n">
        <f aca="false">+IF(E1341=0,0,E1341*0.03)</f>
        <v>0</v>
      </c>
      <c r="J1341" s="93"/>
      <c r="K1341" s="93"/>
      <c r="L1341" s="93"/>
      <c r="M1341" s="93"/>
      <c r="N1341" s="93"/>
      <c r="O1341" s="93"/>
      <c r="P1341" s="93"/>
      <c r="Q1341" s="93"/>
      <c r="R1341" s="93"/>
      <c r="S1341" s="93"/>
      <c r="T1341" s="93"/>
      <c r="U1341" s="93"/>
      <c r="V1341" s="93"/>
      <c r="W1341" s="93"/>
      <c r="X1341" s="93"/>
      <c r="Y1341" s="93"/>
      <c r="Z1341" s="93"/>
    </row>
    <row r="1342" customFormat="false" ht="16.4" hidden="false" customHeight="false" outlineLevel="0" collapsed="false">
      <c r="A1342" s="123" t="n">
        <v>45444</v>
      </c>
      <c r="B1342" s="31" t="s">
        <v>153</v>
      </c>
      <c r="C1342" s="129"/>
      <c r="D1342" s="129"/>
      <c r="E1342" s="19" t="n">
        <f aca="false">F1342*0.03</f>
        <v>0</v>
      </c>
      <c r="F1342" s="33" t="n">
        <v>0</v>
      </c>
      <c r="G1342" s="131"/>
      <c r="H1342" s="35" t="n">
        <v>0</v>
      </c>
      <c r="I1342" s="34" t="n">
        <f aca="false">+IF(E1342=0,0,E1342*0.03)</f>
        <v>0</v>
      </c>
      <c r="J1342" s="93"/>
      <c r="K1342" s="93"/>
      <c r="L1342" s="93"/>
      <c r="M1342" s="93"/>
      <c r="N1342" s="93"/>
      <c r="O1342" s="93"/>
      <c r="P1342" s="93"/>
      <c r="Q1342" s="93"/>
      <c r="R1342" s="93"/>
      <c r="S1342" s="93"/>
      <c r="T1342" s="93"/>
      <c r="U1342" s="93"/>
      <c r="V1342" s="93"/>
      <c r="W1342" s="93"/>
      <c r="X1342" s="93"/>
      <c r="Y1342" s="93"/>
      <c r="Z1342" s="93"/>
    </row>
    <row r="1343" customFormat="false" ht="16.4" hidden="false" customHeight="false" outlineLevel="0" collapsed="false">
      <c r="A1343" s="123" t="n">
        <v>45444</v>
      </c>
      <c r="B1343" s="31" t="s">
        <v>153</v>
      </c>
      <c r="C1343" s="129"/>
      <c r="D1343" s="129"/>
      <c r="E1343" s="19" t="n">
        <f aca="false">F1343*0.03</f>
        <v>0</v>
      </c>
      <c r="F1343" s="33" t="n">
        <v>0</v>
      </c>
      <c r="G1343" s="131"/>
      <c r="H1343" s="35" t="n">
        <v>0</v>
      </c>
      <c r="I1343" s="34" t="n">
        <f aca="false">+IF(E1343=0,0,E1343*0.03)</f>
        <v>0</v>
      </c>
      <c r="J1343" s="93"/>
      <c r="K1343" s="93"/>
      <c r="L1343" s="93"/>
      <c r="M1343" s="93"/>
      <c r="N1343" s="93"/>
      <c r="O1343" s="93"/>
      <c r="P1343" s="93"/>
      <c r="Q1343" s="93"/>
      <c r="R1343" s="93"/>
      <c r="S1343" s="93"/>
      <c r="T1343" s="93"/>
      <c r="U1343" s="93"/>
      <c r="V1343" s="93"/>
      <c r="W1343" s="93"/>
      <c r="X1343" s="93"/>
      <c r="Y1343" s="93"/>
      <c r="Z1343" s="93"/>
    </row>
    <row r="1344" customFormat="false" ht="16.4" hidden="false" customHeight="false" outlineLevel="0" collapsed="false">
      <c r="A1344" s="123" t="n">
        <v>45444</v>
      </c>
      <c r="B1344" s="31" t="s">
        <v>153</v>
      </c>
      <c r="C1344" s="129"/>
      <c r="D1344" s="129"/>
      <c r="E1344" s="19" t="n">
        <f aca="false">F1344*0.03</f>
        <v>0</v>
      </c>
      <c r="F1344" s="33" t="n">
        <v>0</v>
      </c>
      <c r="G1344" s="131"/>
      <c r="H1344" s="35" t="n">
        <v>0</v>
      </c>
      <c r="I1344" s="34" t="n">
        <f aca="false">+IF(E1344=0,0,E1344*0.03)</f>
        <v>0</v>
      </c>
      <c r="J1344" s="93"/>
      <c r="K1344" s="93"/>
      <c r="L1344" s="93"/>
      <c r="M1344" s="93"/>
      <c r="N1344" s="93"/>
      <c r="O1344" s="93"/>
      <c r="P1344" s="93"/>
      <c r="Q1344" s="93"/>
      <c r="R1344" s="93"/>
      <c r="S1344" s="93"/>
      <c r="T1344" s="93"/>
      <c r="U1344" s="93"/>
      <c r="V1344" s="93"/>
      <c r="W1344" s="93"/>
      <c r="X1344" s="93"/>
      <c r="Y1344" s="93"/>
      <c r="Z1344" s="93"/>
    </row>
    <row r="1345" customFormat="false" ht="16.4" hidden="false" customHeight="false" outlineLevel="0" collapsed="false">
      <c r="A1345" s="123" t="n">
        <v>45444</v>
      </c>
      <c r="B1345" s="31" t="s">
        <v>153</v>
      </c>
      <c r="C1345" s="129"/>
      <c r="D1345" s="129"/>
      <c r="E1345" s="19" t="n">
        <f aca="false">F1345*0.03</f>
        <v>0</v>
      </c>
      <c r="F1345" s="33" t="n">
        <v>0</v>
      </c>
      <c r="G1345" s="131"/>
      <c r="H1345" s="35" t="n">
        <v>0</v>
      </c>
      <c r="I1345" s="34" t="n">
        <f aca="false">+IF(E1345=0,0,E1345*0.03)</f>
        <v>0</v>
      </c>
      <c r="J1345" s="93"/>
      <c r="K1345" s="93"/>
      <c r="L1345" s="93"/>
      <c r="M1345" s="93"/>
      <c r="N1345" s="93"/>
      <c r="O1345" s="93"/>
      <c r="P1345" s="93"/>
      <c r="Q1345" s="93"/>
      <c r="R1345" s="93"/>
      <c r="S1345" s="93"/>
      <c r="T1345" s="93"/>
      <c r="U1345" s="93"/>
      <c r="V1345" s="93"/>
      <c r="W1345" s="93"/>
      <c r="X1345" s="93"/>
      <c r="Y1345" s="93"/>
      <c r="Z1345" s="93"/>
    </row>
    <row r="1346" customFormat="false" ht="16.4" hidden="false" customHeight="false" outlineLevel="0" collapsed="false">
      <c r="A1346" s="123" t="n">
        <v>45444</v>
      </c>
      <c r="B1346" s="31" t="s">
        <v>153</v>
      </c>
      <c r="C1346" s="129"/>
      <c r="D1346" s="129"/>
      <c r="E1346" s="19" t="n">
        <f aca="false">F1346*0.03</f>
        <v>0</v>
      </c>
      <c r="F1346" s="33" t="n">
        <v>0</v>
      </c>
      <c r="G1346" s="131"/>
      <c r="H1346" s="35" t="n">
        <v>0</v>
      </c>
      <c r="I1346" s="34" t="n">
        <f aca="false">+IF(E1346=0,0,E1346*0.03)</f>
        <v>0</v>
      </c>
      <c r="J1346" s="93"/>
      <c r="K1346" s="93"/>
      <c r="L1346" s="93"/>
      <c r="M1346" s="93"/>
      <c r="N1346" s="93"/>
      <c r="O1346" s="93"/>
      <c r="P1346" s="93"/>
      <c r="Q1346" s="93"/>
      <c r="R1346" s="93"/>
      <c r="S1346" s="93"/>
      <c r="T1346" s="93"/>
      <c r="U1346" s="93"/>
      <c r="V1346" s="93"/>
      <c r="W1346" s="93"/>
      <c r="X1346" s="93"/>
      <c r="Y1346" s="93"/>
      <c r="Z1346" s="93"/>
    </row>
    <row r="1347" customFormat="false" ht="16.4" hidden="false" customHeight="false" outlineLevel="0" collapsed="false">
      <c r="A1347" s="123" t="n">
        <v>45444</v>
      </c>
      <c r="B1347" s="31" t="s">
        <v>153</v>
      </c>
      <c r="C1347" s="129"/>
      <c r="D1347" s="129"/>
      <c r="E1347" s="19" t="n">
        <f aca="false">F1347*0.03</f>
        <v>0</v>
      </c>
      <c r="F1347" s="33" t="n">
        <v>0</v>
      </c>
      <c r="G1347" s="131"/>
      <c r="H1347" s="35" t="n">
        <v>0</v>
      </c>
      <c r="I1347" s="34" t="n">
        <f aca="false">+IF(E1347=0,0,E1347*0.03)</f>
        <v>0</v>
      </c>
      <c r="J1347" s="93"/>
      <c r="K1347" s="93"/>
      <c r="L1347" s="93"/>
      <c r="M1347" s="93"/>
      <c r="N1347" s="93"/>
      <c r="O1347" s="93"/>
      <c r="P1347" s="93"/>
      <c r="Q1347" s="93"/>
      <c r="R1347" s="93"/>
      <c r="S1347" s="93"/>
      <c r="T1347" s="93"/>
      <c r="U1347" s="93"/>
      <c r="V1347" s="93"/>
      <c r="W1347" s="93"/>
      <c r="X1347" s="93"/>
      <c r="Y1347" s="93"/>
      <c r="Z1347" s="93"/>
    </row>
    <row r="1348" customFormat="false" ht="16.4" hidden="false" customHeight="false" outlineLevel="0" collapsed="false">
      <c r="A1348" s="123" t="n">
        <v>45444</v>
      </c>
      <c r="B1348" s="31" t="s">
        <v>153</v>
      </c>
      <c r="C1348" s="129"/>
      <c r="D1348" s="129"/>
      <c r="E1348" s="19" t="n">
        <f aca="false">F1348*0.03</f>
        <v>0</v>
      </c>
      <c r="F1348" s="33" t="n">
        <v>0</v>
      </c>
      <c r="G1348" s="131"/>
      <c r="H1348" s="35" t="n">
        <v>0</v>
      </c>
      <c r="I1348" s="34" t="n">
        <f aca="false">+IF(E1348=0,0,E1348*0.03)</f>
        <v>0</v>
      </c>
      <c r="J1348" s="93"/>
      <c r="K1348" s="93"/>
      <c r="L1348" s="93"/>
      <c r="M1348" s="93"/>
      <c r="N1348" s="93"/>
      <c r="O1348" s="93"/>
      <c r="P1348" s="93"/>
      <c r="Q1348" s="93"/>
      <c r="R1348" s="93"/>
      <c r="S1348" s="93"/>
      <c r="T1348" s="93"/>
      <c r="U1348" s="93"/>
      <c r="V1348" s="93"/>
      <c r="W1348" s="93"/>
      <c r="X1348" s="93"/>
      <c r="Y1348" s="93"/>
      <c r="Z1348" s="93"/>
    </row>
    <row r="1349" customFormat="false" ht="16.4" hidden="false" customHeight="false" outlineLevel="0" collapsed="false">
      <c r="A1349" s="123" t="n">
        <v>45444</v>
      </c>
      <c r="B1349" s="31" t="s">
        <v>153</v>
      </c>
      <c r="C1349" s="129"/>
      <c r="D1349" s="129"/>
      <c r="E1349" s="19" t="n">
        <f aca="false">F1349*0.03</f>
        <v>0</v>
      </c>
      <c r="F1349" s="33" t="n">
        <v>0</v>
      </c>
      <c r="G1349" s="131"/>
      <c r="H1349" s="35" t="n">
        <v>0</v>
      </c>
      <c r="I1349" s="34" t="n">
        <f aca="false">+IF(E1349=0,0,E1349*0.03)</f>
        <v>0</v>
      </c>
      <c r="J1349" s="93"/>
      <c r="K1349" s="93"/>
      <c r="L1349" s="93"/>
      <c r="M1349" s="93"/>
      <c r="N1349" s="93"/>
      <c r="O1349" s="93"/>
      <c r="P1349" s="93"/>
      <c r="Q1349" s="93"/>
      <c r="R1349" s="93"/>
      <c r="S1349" s="93"/>
      <c r="T1349" s="93"/>
      <c r="U1349" s="93"/>
      <c r="V1349" s="93"/>
      <c r="W1349" s="93"/>
      <c r="X1349" s="93"/>
      <c r="Y1349" s="93"/>
      <c r="Z1349" s="93"/>
    </row>
    <row r="1350" customFormat="false" ht="16.4" hidden="false" customHeight="false" outlineLevel="0" collapsed="false">
      <c r="A1350" s="123" t="n">
        <v>45444</v>
      </c>
      <c r="B1350" s="31" t="s">
        <v>153</v>
      </c>
      <c r="C1350" s="129"/>
      <c r="D1350" s="129"/>
      <c r="E1350" s="19" t="n">
        <f aca="false">F1350*0.03</f>
        <v>0</v>
      </c>
      <c r="F1350" s="33" t="n">
        <v>0</v>
      </c>
      <c r="G1350" s="131"/>
      <c r="H1350" s="35" t="n">
        <v>0</v>
      </c>
      <c r="I1350" s="34" t="n">
        <f aca="false">+IF(E1350=0,0,E1350*0.03)</f>
        <v>0</v>
      </c>
      <c r="J1350" s="93"/>
      <c r="K1350" s="93"/>
      <c r="L1350" s="93"/>
      <c r="M1350" s="93"/>
      <c r="N1350" s="93"/>
      <c r="O1350" s="93"/>
      <c r="P1350" s="93"/>
      <c r="Q1350" s="93"/>
      <c r="R1350" s="93"/>
      <c r="S1350" s="93"/>
      <c r="T1350" s="93"/>
      <c r="U1350" s="93"/>
      <c r="V1350" s="93"/>
      <c r="W1350" s="93"/>
      <c r="X1350" s="93"/>
      <c r="Y1350" s="93"/>
      <c r="Z1350" s="93"/>
    </row>
    <row r="1351" customFormat="false" ht="16.4" hidden="false" customHeight="false" outlineLevel="0" collapsed="false">
      <c r="A1351" s="123" t="n">
        <v>45444</v>
      </c>
      <c r="B1351" s="31" t="s">
        <v>153</v>
      </c>
      <c r="C1351" s="129"/>
      <c r="D1351" s="129"/>
      <c r="E1351" s="19" t="n">
        <f aca="false">F1351*0.03</f>
        <v>0</v>
      </c>
      <c r="F1351" s="33" t="n">
        <v>0</v>
      </c>
      <c r="G1351" s="131"/>
      <c r="H1351" s="35" t="n">
        <v>0</v>
      </c>
      <c r="I1351" s="34" t="n">
        <f aca="false">+IF(E1351=0,0,E1351*0.03)</f>
        <v>0</v>
      </c>
      <c r="J1351" s="93"/>
      <c r="K1351" s="93"/>
      <c r="L1351" s="93"/>
      <c r="M1351" s="93"/>
      <c r="N1351" s="93"/>
      <c r="O1351" s="93"/>
      <c r="P1351" s="93"/>
      <c r="Q1351" s="93"/>
      <c r="R1351" s="93"/>
      <c r="S1351" s="93"/>
      <c r="T1351" s="93"/>
      <c r="U1351" s="93"/>
      <c r="V1351" s="93"/>
      <c r="W1351" s="93"/>
      <c r="X1351" s="93"/>
      <c r="Y1351" s="93"/>
      <c r="Z1351" s="93"/>
    </row>
    <row r="1352" customFormat="false" ht="16.4" hidden="false" customHeight="false" outlineLevel="0" collapsed="false">
      <c r="A1352" s="123" t="n">
        <v>45444</v>
      </c>
      <c r="B1352" s="31" t="s">
        <v>153</v>
      </c>
      <c r="C1352" s="129"/>
      <c r="D1352" s="129"/>
      <c r="E1352" s="19" t="n">
        <f aca="false">F1352*0.03</f>
        <v>0</v>
      </c>
      <c r="F1352" s="33" t="n">
        <v>0</v>
      </c>
      <c r="G1352" s="131"/>
      <c r="H1352" s="35" t="n">
        <v>0</v>
      </c>
      <c r="I1352" s="34" t="n">
        <f aca="false">+IF(E1352=0,0,E1352*0.03)</f>
        <v>0</v>
      </c>
      <c r="J1352" s="93"/>
      <c r="K1352" s="93"/>
      <c r="L1352" s="93"/>
      <c r="M1352" s="93"/>
      <c r="N1352" s="93"/>
      <c r="O1352" s="93"/>
      <c r="P1352" s="93"/>
      <c r="Q1352" s="93"/>
      <c r="R1352" s="93"/>
      <c r="S1352" s="93"/>
      <c r="T1352" s="93"/>
      <c r="U1352" s="93"/>
      <c r="V1352" s="93"/>
      <c r="W1352" s="93"/>
      <c r="X1352" s="93"/>
      <c r="Y1352" s="93"/>
      <c r="Z1352" s="93"/>
    </row>
    <row r="1353" customFormat="false" ht="16.4" hidden="false" customHeight="false" outlineLevel="0" collapsed="false">
      <c r="A1353" s="123" t="n">
        <v>45444</v>
      </c>
      <c r="B1353" s="31" t="s">
        <v>153</v>
      </c>
      <c r="C1353" s="129"/>
      <c r="D1353" s="129"/>
      <c r="E1353" s="19" t="n">
        <f aca="false">F1353*0.03</f>
        <v>0</v>
      </c>
      <c r="F1353" s="33" t="n">
        <v>0</v>
      </c>
      <c r="G1353" s="131"/>
      <c r="H1353" s="35" t="n">
        <v>0</v>
      </c>
      <c r="I1353" s="34" t="n">
        <f aca="false">+IF(E1353=0,0,E1353*0.03)</f>
        <v>0</v>
      </c>
      <c r="J1353" s="93"/>
      <c r="K1353" s="93"/>
      <c r="L1353" s="93"/>
      <c r="M1353" s="93"/>
      <c r="N1353" s="93"/>
      <c r="O1353" s="93"/>
      <c r="P1353" s="93"/>
      <c r="Q1353" s="93"/>
      <c r="R1353" s="93"/>
      <c r="S1353" s="93"/>
      <c r="T1353" s="93"/>
      <c r="U1353" s="93"/>
      <c r="V1353" s="93"/>
      <c r="W1353" s="93"/>
      <c r="X1353" s="93"/>
      <c r="Y1353" s="93"/>
      <c r="Z1353" s="93"/>
    </row>
    <row r="1354" customFormat="false" ht="16.4" hidden="false" customHeight="false" outlineLevel="0" collapsed="false">
      <c r="A1354" s="123" t="n">
        <v>45444</v>
      </c>
      <c r="B1354" s="31" t="s">
        <v>153</v>
      </c>
      <c r="C1354" s="129"/>
      <c r="D1354" s="129"/>
      <c r="E1354" s="19" t="n">
        <f aca="false">F1354*0.03</f>
        <v>0</v>
      </c>
      <c r="F1354" s="33" t="n">
        <v>0</v>
      </c>
      <c r="G1354" s="131"/>
      <c r="H1354" s="35" t="n">
        <v>0</v>
      </c>
      <c r="I1354" s="34" t="n">
        <f aca="false">+IF(E1354=0,0,E1354*0.03)</f>
        <v>0</v>
      </c>
      <c r="J1354" s="93"/>
      <c r="K1354" s="93"/>
      <c r="L1354" s="93"/>
      <c r="M1354" s="93"/>
      <c r="N1354" s="93"/>
      <c r="O1354" s="93"/>
      <c r="P1354" s="93"/>
      <c r="Q1354" s="93"/>
      <c r="R1354" s="93"/>
      <c r="S1354" s="93"/>
      <c r="T1354" s="93"/>
      <c r="U1354" s="93"/>
      <c r="V1354" s="93"/>
      <c r="W1354" s="93"/>
      <c r="X1354" s="93"/>
      <c r="Y1354" s="93"/>
      <c r="Z1354" s="93"/>
    </row>
    <row r="1355" customFormat="false" ht="16.4" hidden="false" customHeight="false" outlineLevel="0" collapsed="false">
      <c r="A1355" s="123" t="n">
        <v>45444</v>
      </c>
      <c r="B1355" s="31" t="s">
        <v>153</v>
      </c>
      <c r="C1355" s="129"/>
      <c r="D1355" s="129"/>
      <c r="E1355" s="19" t="n">
        <f aca="false">F1355*0.03</f>
        <v>0</v>
      </c>
      <c r="F1355" s="33" t="n">
        <v>0</v>
      </c>
      <c r="G1355" s="131"/>
      <c r="H1355" s="35" t="n">
        <v>0</v>
      </c>
      <c r="I1355" s="34" t="n">
        <f aca="false">+IF(E1355=0,0,E1355*0.03)</f>
        <v>0</v>
      </c>
      <c r="J1355" s="93"/>
      <c r="K1355" s="93"/>
      <c r="L1355" s="93"/>
      <c r="M1355" s="93"/>
      <c r="N1355" s="93"/>
      <c r="O1355" s="93"/>
      <c r="P1355" s="93"/>
      <c r="Q1355" s="93"/>
      <c r="R1355" s="93"/>
      <c r="S1355" s="93"/>
      <c r="T1355" s="93"/>
      <c r="U1355" s="93"/>
      <c r="V1355" s="93"/>
      <c r="W1355" s="93"/>
      <c r="X1355" s="93"/>
      <c r="Y1355" s="93"/>
      <c r="Z1355" s="93"/>
    </row>
    <row r="1356" customFormat="false" ht="16.4" hidden="false" customHeight="false" outlineLevel="0" collapsed="false">
      <c r="A1356" s="123" t="n">
        <v>45444</v>
      </c>
      <c r="B1356" s="31" t="s">
        <v>153</v>
      </c>
      <c r="C1356" s="129"/>
      <c r="D1356" s="129"/>
      <c r="E1356" s="19" t="n">
        <f aca="false">F1356*0.03</f>
        <v>0</v>
      </c>
      <c r="F1356" s="33" t="n">
        <v>0</v>
      </c>
      <c r="G1356" s="131"/>
      <c r="H1356" s="35" t="n">
        <v>0</v>
      </c>
      <c r="I1356" s="34" t="n">
        <f aca="false">+IF(E1356=0,0,E1356*0.03)</f>
        <v>0</v>
      </c>
      <c r="J1356" s="93"/>
      <c r="K1356" s="93"/>
      <c r="L1356" s="93"/>
      <c r="M1356" s="93"/>
      <c r="N1356" s="93"/>
      <c r="O1356" s="93"/>
      <c r="P1356" s="93"/>
      <c r="Q1356" s="93"/>
      <c r="R1356" s="93"/>
      <c r="S1356" s="93"/>
      <c r="T1356" s="93"/>
      <c r="U1356" s="93"/>
      <c r="V1356" s="93"/>
      <c r="W1356" s="93"/>
      <c r="X1356" s="93"/>
      <c r="Y1356" s="93"/>
      <c r="Z1356" s="93"/>
    </row>
    <row r="1357" customFormat="false" ht="16.4" hidden="false" customHeight="false" outlineLevel="0" collapsed="false">
      <c r="A1357" s="123" t="n">
        <v>45444</v>
      </c>
      <c r="B1357" s="31" t="s">
        <v>153</v>
      </c>
      <c r="C1357" s="129"/>
      <c r="D1357" s="129"/>
      <c r="E1357" s="19" t="n">
        <f aca="false">F1357*0.03</f>
        <v>0</v>
      </c>
      <c r="F1357" s="33" t="n">
        <v>0</v>
      </c>
      <c r="G1357" s="131"/>
      <c r="H1357" s="35" t="n">
        <v>0</v>
      </c>
      <c r="I1357" s="34" t="n">
        <f aca="false">+IF(E1357=0,0,E1357*0.03)</f>
        <v>0</v>
      </c>
      <c r="J1357" s="93"/>
      <c r="K1357" s="93"/>
      <c r="L1357" s="93"/>
      <c r="M1357" s="93"/>
      <c r="N1357" s="93"/>
      <c r="O1357" s="93"/>
      <c r="P1357" s="93"/>
      <c r="Q1357" s="93"/>
      <c r="R1357" s="93"/>
      <c r="S1357" s="93"/>
      <c r="T1357" s="93"/>
      <c r="U1357" s="93"/>
      <c r="V1357" s="93"/>
      <c r="W1357" s="93"/>
      <c r="X1357" s="93"/>
      <c r="Y1357" s="93"/>
      <c r="Z1357" s="93"/>
    </row>
    <row r="1358" customFormat="false" ht="16.4" hidden="false" customHeight="false" outlineLevel="0" collapsed="false">
      <c r="A1358" s="123" t="n">
        <v>45444</v>
      </c>
      <c r="B1358" s="31" t="s">
        <v>153</v>
      </c>
      <c r="C1358" s="129"/>
      <c r="D1358" s="129"/>
      <c r="E1358" s="19" t="n">
        <f aca="false">F1358*0.03</f>
        <v>0</v>
      </c>
      <c r="F1358" s="33" t="n">
        <v>0</v>
      </c>
      <c r="G1358" s="131"/>
      <c r="H1358" s="35" t="n">
        <v>0</v>
      </c>
      <c r="I1358" s="34" t="n">
        <f aca="false">+IF(E1358=0,0,E1358*0.03)</f>
        <v>0</v>
      </c>
      <c r="J1358" s="93"/>
      <c r="K1358" s="93"/>
      <c r="L1358" s="93"/>
      <c r="M1358" s="93"/>
      <c r="N1358" s="93"/>
      <c r="O1358" s="93"/>
      <c r="P1358" s="93"/>
      <c r="Q1358" s="93"/>
      <c r="R1358" s="93"/>
      <c r="S1358" s="93"/>
      <c r="T1358" s="93"/>
      <c r="U1358" s="93"/>
      <c r="V1358" s="93"/>
      <c r="W1358" s="93"/>
      <c r="X1358" s="93"/>
      <c r="Y1358" s="93"/>
      <c r="Z1358" s="93"/>
    </row>
    <row r="1359" customFormat="false" ht="16.4" hidden="false" customHeight="false" outlineLevel="0" collapsed="false">
      <c r="A1359" s="123" t="n">
        <v>45444</v>
      </c>
      <c r="B1359" s="31" t="s">
        <v>153</v>
      </c>
      <c r="C1359" s="129"/>
      <c r="D1359" s="129"/>
      <c r="E1359" s="19" t="n">
        <f aca="false">F1359*0.03</f>
        <v>0</v>
      </c>
      <c r="F1359" s="33" t="n">
        <v>0</v>
      </c>
      <c r="G1359" s="131"/>
      <c r="H1359" s="35" t="n">
        <v>0</v>
      </c>
      <c r="I1359" s="34" t="n">
        <f aca="false">+IF(E1359=0,0,E1359*0.03)</f>
        <v>0</v>
      </c>
      <c r="J1359" s="93"/>
      <c r="K1359" s="93"/>
      <c r="L1359" s="93"/>
      <c r="M1359" s="93"/>
      <c r="N1359" s="93"/>
      <c r="O1359" s="93"/>
      <c r="P1359" s="93"/>
      <c r="Q1359" s="93"/>
      <c r="R1359" s="93"/>
      <c r="S1359" s="93"/>
      <c r="T1359" s="93"/>
      <c r="U1359" s="93"/>
      <c r="V1359" s="93"/>
      <c r="W1359" s="93"/>
      <c r="X1359" s="93"/>
      <c r="Y1359" s="93"/>
      <c r="Z1359" s="93"/>
    </row>
    <row r="1360" customFormat="false" ht="16.4" hidden="false" customHeight="false" outlineLevel="0" collapsed="false">
      <c r="A1360" s="123" t="n">
        <v>45444</v>
      </c>
      <c r="B1360" s="31" t="s">
        <v>153</v>
      </c>
      <c r="C1360" s="129"/>
      <c r="D1360" s="129"/>
      <c r="E1360" s="19" t="n">
        <f aca="false">F1360*0.03</f>
        <v>0</v>
      </c>
      <c r="F1360" s="33" t="n">
        <v>0</v>
      </c>
      <c r="G1360" s="131"/>
      <c r="H1360" s="35" t="n">
        <v>0</v>
      </c>
      <c r="I1360" s="34" t="n">
        <f aca="false">+IF(E1360=0,0,E1360*0.03)</f>
        <v>0</v>
      </c>
      <c r="J1360" s="93"/>
      <c r="K1360" s="93"/>
      <c r="L1360" s="93"/>
      <c r="M1360" s="93"/>
      <c r="N1360" s="93"/>
      <c r="O1360" s="93"/>
      <c r="P1360" s="93"/>
      <c r="Q1360" s="93"/>
      <c r="R1360" s="93"/>
      <c r="S1360" s="93"/>
      <c r="T1360" s="93"/>
      <c r="U1360" s="93"/>
      <c r="V1360" s="93"/>
      <c r="W1360" s="93"/>
      <c r="X1360" s="93"/>
      <c r="Y1360" s="93"/>
      <c r="Z1360" s="93"/>
    </row>
    <row r="1361" customFormat="false" ht="16.4" hidden="false" customHeight="false" outlineLevel="0" collapsed="false">
      <c r="A1361" s="123" t="n">
        <v>45444</v>
      </c>
      <c r="B1361" s="31" t="s">
        <v>153</v>
      </c>
      <c r="C1361" s="129"/>
      <c r="D1361" s="129"/>
      <c r="E1361" s="19" t="n">
        <f aca="false">F1361*0.03</f>
        <v>0</v>
      </c>
      <c r="F1361" s="33" t="n">
        <v>0</v>
      </c>
      <c r="G1361" s="131"/>
      <c r="H1361" s="35" t="n">
        <v>0</v>
      </c>
      <c r="I1361" s="34" t="n">
        <f aca="false">+IF(E1361=0,0,E1361*0.03)</f>
        <v>0</v>
      </c>
      <c r="J1361" s="93"/>
      <c r="K1361" s="93"/>
      <c r="L1361" s="93"/>
      <c r="M1361" s="93"/>
      <c r="N1361" s="93"/>
      <c r="O1361" s="93"/>
      <c r="P1361" s="93"/>
      <c r="Q1361" s="93"/>
      <c r="R1361" s="93"/>
      <c r="S1361" s="93"/>
      <c r="T1361" s="93"/>
      <c r="U1361" s="93"/>
      <c r="V1361" s="93"/>
      <c r="W1361" s="93"/>
      <c r="X1361" s="93"/>
      <c r="Y1361" s="93"/>
      <c r="Z1361" s="93"/>
    </row>
    <row r="1362" customFormat="false" ht="16.4" hidden="false" customHeight="false" outlineLevel="0" collapsed="false">
      <c r="A1362" s="123" t="n">
        <v>45444</v>
      </c>
      <c r="B1362" s="31" t="s">
        <v>153</v>
      </c>
      <c r="C1362" s="129"/>
      <c r="D1362" s="129"/>
      <c r="E1362" s="19" t="n">
        <f aca="false">F1362*0.03</f>
        <v>0</v>
      </c>
      <c r="F1362" s="33" t="n">
        <v>0</v>
      </c>
      <c r="G1362" s="131"/>
      <c r="H1362" s="35" t="n">
        <v>0</v>
      </c>
      <c r="I1362" s="34" t="n">
        <f aca="false">+IF(E1362=0,0,E1362*0.03)</f>
        <v>0</v>
      </c>
      <c r="J1362" s="93"/>
      <c r="K1362" s="93"/>
      <c r="L1362" s="93"/>
      <c r="M1362" s="93"/>
      <c r="N1362" s="93"/>
      <c r="O1362" s="93"/>
      <c r="P1362" s="93"/>
      <c r="Q1362" s="93"/>
      <c r="R1362" s="93"/>
      <c r="S1362" s="93"/>
      <c r="T1362" s="93"/>
      <c r="U1362" s="93"/>
      <c r="V1362" s="93"/>
      <c r="W1362" s="93"/>
      <c r="X1362" s="93"/>
      <c r="Y1362" s="93"/>
      <c r="Z1362" s="93"/>
    </row>
    <row r="1363" customFormat="false" ht="16.4" hidden="false" customHeight="false" outlineLevel="0" collapsed="false">
      <c r="A1363" s="123" t="n">
        <v>45444</v>
      </c>
      <c r="B1363" s="31" t="s">
        <v>153</v>
      </c>
      <c r="C1363" s="129"/>
      <c r="D1363" s="129"/>
      <c r="E1363" s="19" t="n">
        <f aca="false">F1363*0.03</f>
        <v>0</v>
      </c>
      <c r="F1363" s="33" t="n">
        <v>0</v>
      </c>
      <c r="G1363" s="131"/>
      <c r="H1363" s="35" t="n">
        <v>0</v>
      </c>
      <c r="I1363" s="34" t="n">
        <f aca="false">+IF(E1363=0,0,E1363*0.03)</f>
        <v>0</v>
      </c>
      <c r="J1363" s="93"/>
      <c r="K1363" s="93"/>
      <c r="L1363" s="93"/>
      <c r="M1363" s="93"/>
      <c r="N1363" s="93"/>
      <c r="O1363" s="93"/>
      <c r="P1363" s="93"/>
      <c r="Q1363" s="93"/>
      <c r="R1363" s="93"/>
      <c r="S1363" s="93"/>
      <c r="T1363" s="93"/>
      <c r="U1363" s="93"/>
      <c r="V1363" s="93"/>
      <c r="W1363" s="93"/>
      <c r="X1363" s="93"/>
      <c r="Y1363" s="93"/>
      <c r="Z1363" s="93"/>
    </row>
    <row r="1364" customFormat="false" ht="16.4" hidden="false" customHeight="false" outlineLevel="0" collapsed="false">
      <c r="A1364" s="123" t="n">
        <v>45444</v>
      </c>
      <c r="B1364" s="31" t="s">
        <v>153</v>
      </c>
      <c r="C1364" s="129"/>
      <c r="D1364" s="129"/>
      <c r="E1364" s="19" t="n">
        <f aca="false">F1364*0.03</f>
        <v>0</v>
      </c>
      <c r="F1364" s="33" t="n">
        <v>0</v>
      </c>
      <c r="G1364" s="131"/>
      <c r="H1364" s="35" t="n">
        <v>0</v>
      </c>
      <c r="I1364" s="34" t="n">
        <f aca="false">+IF(E1364=0,0,E1364*0.03)</f>
        <v>0</v>
      </c>
      <c r="J1364" s="93"/>
      <c r="K1364" s="93"/>
      <c r="L1364" s="93"/>
      <c r="M1364" s="93"/>
      <c r="N1364" s="93"/>
      <c r="O1364" s="93"/>
      <c r="P1364" s="93"/>
      <c r="Q1364" s="93"/>
      <c r="R1364" s="93"/>
      <c r="S1364" s="93"/>
      <c r="T1364" s="93"/>
      <c r="U1364" s="93"/>
      <c r="V1364" s="93"/>
      <c r="W1364" s="93"/>
      <c r="X1364" s="93"/>
      <c r="Y1364" s="93"/>
      <c r="Z1364" s="93"/>
    </row>
    <row r="1365" customFormat="false" ht="16.4" hidden="false" customHeight="false" outlineLevel="0" collapsed="false">
      <c r="A1365" s="123" t="n">
        <v>45444</v>
      </c>
      <c r="B1365" s="31" t="s">
        <v>153</v>
      </c>
      <c r="C1365" s="129"/>
      <c r="D1365" s="129"/>
      <c r="E1365" s="19" t="n">
        <f aca="false">F1365*0.03</f>
        <v>0</v>
      </c>
      <c r="F1365" s="33" t="n">
        <v>0</v>
      </c>
      <c r="G1365" s="131"/>
      <c r="H1365" s="35" t="n">
        <v>0</v>
      </c>
      <c r="I1365" s="34" t="n">
        <f aca="false">+IF(E1365=0,0,E1365*0.03)</f>
        <v>0</v>
      </c>
      <c r="J1365" s="93"/>
      <c r="K1365" s="93"/>
      <c r="L1365" s="93"/>
      <c r="M1365" s="93"/>
      <c r="N1365" s="93"/>
      <c r="O1365" s="93"/>
      <c r="P1365" s="93"/>
      <c r="Q1365" s="93"/>
      <c r="R1365" s="93"/>
      <c r="S1365" s="93"/>
      <c r="T1365" s="93"/>
      <c r="U1365" s="93"/>
      <c r="V1365" s="93"/>
      <c r="W1365" s="93"/>
      <c r="X1365" s="93"/>
      <c r="Y1365" s="93"/>
      <c r="Z1365" s="93"/>
    </row>
    <row r="1366" customFormat="false" ht="16.4" hidden="false" customHeight="false" outlineLevel="0" collapsed="false">
      <c r="A1366" s="123" t="n">
        <v>45444</v>
      </c>
      <c r="B1366" s="31" t="s">
        <v>153</v>
      </c>
      <c r="C1366" s="129"/>
      <c r="D1366" s="129"/>
      <c r="E1366" s="19" t="n">
        <f aca="false">F1366*0.03</f>
        <v>0</v>
      </c>
      <c r="F1366" s="33" t="n">
        <v>0</v>
      </c>
      <c r="G1366" s="131"/>
      <c r="H1366" s="35" t="n">
        <v>0</v>
      </c>
      <c r="I1366" s="34" t="n">
        <f aca="false">+IF(E1366=0,0,E1366*0.03)</f>
        <v>0</v>
      </c>
      <c r="J1366" s="93"/>
      <c r="K1366" s="93"/>
      <c r="L1366" s="93"/>
      <c r="M1366" s="93"/>
      <c r="N1366" s="93"/>
      <c r="O1366" s="93"/>
      <c r="P1366" s="93"/>
      <c r="Q1366" s="93"/>
      <c r="R1366" s="93"/>
      <c r="S1366" s="93"/>
      <c r="T1366" s="93"/>
      <c r="U1366" s="93"/>
      <c r="V1366" s="93"/>
      <c r="W1366" s="93"/>
      <c r="X1366" s="93"/>
      <c r="Y1366" s="93"/>
      <c r="Z1366" s="93"/>
    </row>
    <row r="1367" customFormat="false" ht="16.4" hidden="false" customHeight="false" outlineLevel="0" collapsed="false">
      <c r="A1367" s="123" t="n">
        <v>45444</v>
      </c>
      <c r="B1367" s="31" t="s">
        <v>153</v>
      </c>
      <c r="C1367" s="129"/>
      <c r="D1367" s="129"/>
      <c r="E1367" s="19" t="n">
        <f aca="false">F1367*0.03</f>
        <v>0</v>
      </c>
      <c r="F1367" s="33" t="n">
        <v>0</v>
      </c>
      <c r="G1367" s="131"/>
      <c r="H1367" s="35" t="n">
        <v>0</v>
      </c>
      <c r="I1367" s="34" t="n">
        <f aca="false">+IF(E1367=0,0,E1367*0.03)</f>
        <v>0</v>
      </c>
      <c r="J1367" s="93"/>
      <c r="K1367" s="93"/>
      <c r="L1367" s="93"/>
      <c r="M1367" s="93"/>
      <c r="N1367" s="93"/>
      <c r="O1367" s="93"/>
      <c r="P1367" s="93"/>
      <c r="Q1367" s="93"/>
      <c r="R1367" s="93"/>
      <c r="S1367" s="93"/>
      <c r="T1367" s="93"/>
      <c r="U1367" s="93"/>
      <c r="V1367" s="93"/>
      <c r="W1367" s="93"/>
      <c r="X1367" s="93"/>
      <c r="Y1367" s="93"/>
      <c r="Z1367" s="93"/>
    </row>
    <row r="1368" customFormat="false" ht="16.4" hidden="false" customHeight="false" outlineLevel="0" collapsed="false">
      <c r="A1368" s="123" t="n">
        <v>45444</v>
      </c>
      <c r="B1368" s="31" t="s">
        <v>153</v>
      </c>
      <c r="C1368" s="129"/>
      <c r="D1368" s="129"/>
      <c r="E1368" s="19" t="n">
        <f aca="false">F1368*0.03</f>
        <v>0</v>
      </c>
      <c r="F1368" s="33" t="n">
        <v>0</v>
      </c>
      <c r="G1368" s="131"/>
      <c r="H1368" s="35" t="n">
        <v>0</v>
      </c>
      <c r="I1368" s="34" t="n">
        <f aca="false">+IF(E1368=0,0,E1368*0.03)</f>
        <v>0</v>
      </c>
      <c r="J1368" s="93"/>
      <c r="K1368" s="93"/>
      <c r="L1368" s="93"/>
      <c r="M1368" s="93"/>
      <c r="N1368" s="93"/>
      <c r="O1368" s="93"/>
      <c r="P1368" s="93"/>
      <c r="Q1368" s="93"/>
      <c r="R1368" s="93"/>
      <c r="S1368" s="93"/>
      <c r="T1368" s="93"/>
      <c r="U1368" s="93"/>
      <c r="V1368" s="93"/>
      <c r="W1368" s="93"/>
      <c r="X1368" s="93"/>
      <c r="Y1368" s="93"/>
      <c r="Z1368" s="93"/>
    </row>
    <row r="1369" customFormat="false" ht="16.4" hidden="false" customHeight="false" outlineLevel="0" collapsed="false">
      <c r="A1369" s="123" t="n">
        <v>45444</v>
      </c>
      <c r="B1369" s="31" t="s">
        <v>153</v>
      </c>
      <c r="C1369" s="129"/>
      <c r="D1369" s="129"/>
      <c r="E1369" s="19" t="n">
        <f aca="false">F1369*0.03</f>
        <v>0</v>
      </c>
      <c r="F1369" s="33" t="n">
        <v>0</v>
      </c>
      <c r="G1369" s="131"/>
      <c r="H1369" s="35" t="n">
        <v>0</v>
      </c>
      <c r="I1369" s="34" t="n">
        <f aca="false">+IF(E1369=0,0,E1369*0.03)</f>
        <v>0</v>
      </c>
      <c r="J1369" s="93"/>
      <c r="K1369" s="93"/>
      <c r="L1369" s="93"/>
      <c r="M1369" s="93"/>
      <c r="N1369" s="93"/>
      <c r="O1369" s="93"/>
      <c r="P1369" s="93"/>
      <c r="Q1369" s="93"/>
      <c r="R1369" s="93"/>
      <c r="S1369" s="93"/>
      <c r="T1369" s="93"/>
      <c r="U1369" s="93"/>
      <c r="V1369" s="93"/>
      <c r="W1369" s="93"/>
      <c r="X1369" s="93"/>
      <c r="Y1369" s="93"/>
      <c r="Z1369" s="93"/>
    </row>
    <row r="1370" customFormat="false" ht="16.4" hidden="false" customHeight="false" outlineLevel="0" collapsed="false">
      <c r="A1370" s="123" t="n">
        <v>45444</v>
      </c>
      <c r="B1370" s="31" t="s">
        <v>153</v>
      </c>
      <c r="C1370" s="129"/>
      <c r="D1370" s="129"/>
      <c r="E1370" s="19" t="n">
        <f aca="false">F1370*0.03</f>
        <v>0</v>
      </c>
      <c r="F1370" s="33" t="n">
        <v>0</v>
      </c>
      <c r="G1370" s="131"/>
      <c r="H1370" s="35" t="n">
        <v>0</v>
      </c>
      <c r="I1370" s="34" t="n">
        <f aca="false">+IF(E1370=0,0,E1370*0.03)</f>
        <v>0</v>
      </c>
      <c r="J1370" s="93"/>
      <c r="K1370" s="93"/>
      <c r="L1370" s="93"/>
      <c r="M1370" s="93"/>
      <c r="N1370" s="93"/>
      <c r="O1370" s="93"/>
      <c r="P1370" s="93"/>
      <c r="Q1370" s="93"/>
      <c r="R1370" s="93"/>
      <c r="S1370" s="93"/>
      <c r="T1370" s="93"/>
      <c r="U1370" s="93"/>
      <c r="V1370" s="93"/>
      <c r="W1370" s="93"/>
      <c r="X1370" s="93"/>
      <c r="Y1370" s="93"/>
      <c r="Z1370" s="93"/>
    </row>
    <row r="1371" customFormat="false" ht="16.4" hidden="false" customHeight="false" outlineLevel="0" collapsed="false">
      <c r="A1371" s="123" t="n">
        <v>45444</v>
      </c>
      <c r="B1371" s="31" t="s">
        <v>153</v>
      </c>
      <c r="C1371" s="129"/>
      <c r="D1371" s="129"/>
      <c r="E1371" s="19" t="n">
        <f aca="false">F1371*0.03</f>
        <v>0</v>
      </c>
      <c r="F1371" s="33" t="n">
        <v>0</v>
      </c>
      <c r="G1371" s="131"/>
      <c r="H1371" s="35" t="n">
        <v>0</v>
      </c>
      <c r="I1371" s="34" t="n">
        <f aca="false">+IF(E1371=0,0,E1371*0.03)</f>
        <v>0</v>
      </c>
      <c r="J1371" s="93"/>
      <c r="K1371" s="93"/>
      <c r="L1371" s="93"/>
      <c r="M1371" s="93"/>
      <c r="N1371" s="93"/>
      <c r="O1371" s="93"/>
      <c r="P1371" s="93"/>
      <c r="Q1371" s="93"/>
      <c r="R1371" s="93"/>
      <c r="S1371" s="93"/>
      <c r="T1371" s="93"/>
      <c r="U1371" s="93"/>
      <c r="V1371" s="93"/>
      <c r="W1371" s="93"/>
      <c r="X1371" s="93"/>
      <c r="Y1371" s="93"/>
      <c r="Z1371" s="93"/>
    </row>
    <row r="1372" customFormat="false" ht="16.4" hidden="false" customHeight="false" outlineLevel="0" collapsed="false">
      <c r="A1372" s="123" t="n">
        <v>45444</v>
      </c>
      <c r="B1372" s="31" t="s">
        <v>153</v>
      </c>
      <c r="C1372" s="129"/>
      <c r="D1372" s="129"/>
      <c r="E1372" s="19" t="n">
        <f aca="false">F1372*0.03</f>
        <v>0</v>
      </c>
      <c r="F1372" s="33" t="n">
        <v>0</v>
      </c>
      <c r="G1372" s="131"/>
      <c r="H1372" s="35" t="n">
        <v>0</v>
      </c>
      <c r="I1372" s="34" t="n">
        <f aca="false">+IF(E1372=0,0,E1372*0.03)</f>
        <v>0</v>
      </c>
      <c r="J1372" s="93"/>
      <c r="K1372" s="93"/>
      <c r="L1372" s="93"/>
      <c r="M1372" s="93"/>
      <c r="N1372" s="93"/>
      <c r="O1372" s="93"/>
      <c r="P1372" s="93"/>
      <c r="Q1372" s="93"/>
      <c r="R1372" s="93"/>
      <c r="S1372" s="93"/>
      <c r="T1372" s="93"/>
      <c r="U1372" s="93"/>
      <c r="V1372" s="93"/>
      <c r="W1372" s="93"/>
      <c r="X1372" s="93"/>
      <c r="Y1372" s="93"/>
      <c r="Z1372" s="93"/>
    </row>
    <row r="1373" customFormat="false" ht="16.4" hidden="false" customHeight="false" outlineLevel="0" collapsed="false">
      <c r="A1373" s="123" t="n">
        <v>45444</v>
      </c>
      <c r="B1373" s="31" t="s">
        <v>153</v>
      </c>
      <c r="C1373" s="129"/>
      <c r="D1373" s="129"/>
      <c r="E1373" s="19" t="n">
        <f aca="false">F1373*0.03</f>
        <v>0</v>
      </c>
      <c r="F1373" s="33" t="n">
        <v>0</v>
      </c>
      <c r="G1373" s="131"/>
      <c r="H1373" s="35" t="n">
        <v>0</v>
      </c>
      <c r="I1373" s="34" t="n">
        <f aca="false">+IF(E1373=0,0,E1373*0.03)</f>
        <v>0</v>
      </c>
      <c r="J1373" s="93"/>
      <c r="K1373" s="93"/>
      <c r="L1373" s="93"/>
      <c r="M1373" s="93"/>
      <c r="N1373" s="93"/>
      <c r="O1373" s="93"/>
      <c r="P1373" s="93"/>
      <c r="Q1373" s="93"/>
      <c r="R1373" s="93"/>
      <c r="S1373" s="93"/>
      <c r="T1373" s="93"/>
      <c r="U1373" s="93"/>
      <c r="V1373" s="93"/>
      <c r="W1373" s="93"/>
      <c r="X1373" s="93"/>
      <c r="Y1373" s="93"/>
      <c r="Z1373" s="93"/>
    </row>
    <row r="1374" customFormat="false" ht="16.4" hidden="false" customHeight="false" outlineLevel="0" collapsed="false">
      <c r="A1374" s="123" t="n">
        <v>45444</v>
      </c>
      <c r="B1374" s="31" t="s">
        <v>153</v>
      </c>
      <c r="C1374" s="129"/>
      <c r="D1374" s="129"/>
      <c r="E1374" s="19" t="n">
        <f aca="false">F1374*0.03</f>
        <v>0</v>
      </c>
      <c r="F1374" s="33" t="n">
        <v>0</v>
      </c>
      <c r="G1374" s="131"/>
      <c r="H1374" s="35" t="n">
        <v>0</v>
      </c>
      <c r="I1374" s="34" t="n">
        <f aca="false">+IF(E1374=0,0,E1374*0.03)</f>
        <v>0</v>
      </c>
      <c r="J1374" s="93"/>
      <c r="K1374" s="93"/>
      <c r="L1374" s="93"/>
      <c r="M1374" s="93"/>
      <c r="N1374" s="93"/>
      <c r="O1374" s="93"/>
      <c r="P1374" s="93"/>
      <c r="Q1374" s="93"/>
      <c r="R1374" s="93"/>
      <c r="S1374" s="93"/>
      <c r="T1374" s="93"/>
      <c r="U1374" s="93"/>
      <c r="V1374" s="93"/>
      <c r="W1374" s="93"/>
      <c r="X1374" s="93"/>
      <c r="Y1374" s="93"/>
      <c r="Z1374" s="93"/>
    </row>
    <row r="1375" customFormat="false" ht="16.4" hidden="false" customHeight="false" outlineLevel="0" collapsed="false">
      <c r="A1375" s="123" t="n">
        <v>45444</v>
      </c>
      <c r="B1375" s="31" t="s">
        <v>153</v>
      </c>
      <c r="C1375" s="129"/>
      <c r="D1375" s="129"/>
      <c r="E1375" s="19" t="n">
        <f aca="false">F1375*0.03</f>
        <v>0</v>
      </c>
      <c r="F1375" s="33" t="n">
        <v>0</v>
      </c>
      <c r="G1375" s="131"/>
      <c r="H1375" s="35" t="n">
        <v>0</v>
      </c>
      <c r="I1375" s="34" t="n">
        <f aca="false">+IF(E1375=0,0,E1375*0.03)</f>
        <v>0</v>
      </c>
      <c r="J1375" s="93"/>
      <c r="K1375" s="93"/>
      <c r="L1375" s="93"/>
      <c r="M1375" s="93"/>
      <c r="N1375" s="93"/>
      <c r="O1375" s="93"/>
      <c r="P1375" s="93"/>
      <c r="Q1375" s="93"/>
      <c r="R1375" s="93"/>
      <c r="S1375" s="93"/>
      <c r="T1375" s="93"/>
      <c r="U1375" s="93"/>
      <c r="V1375" s="93"/>
      <c r="W1375" s="93"/>
      <c r="X1375" s="93"/>
      <c r="Y1375" s="93"/>
      <c r="Z1375" s="93"/>
    </row>
    <row r="1376" customFormat="false" ht="16.4" hidden="false" customHeight="false" outlineLevel="0" collapsed="false">
      <c r="A1376" s="123" t="n">
        <v>45444</v>
      </c>
      <c r="B1376" s="31" t="s">
        <v>153</v>
      </c>
      <c r="C1376" s="129"/>
      <c r="D1376" s="129"/>
      <c r="E1376" s="19" t="n">
        <f aca="false">F1376*0.03</f>
        <v>0</v>
      </c>
      <c r="F1376" s="33" t="n">
        <v>0</v>
      </c>
      <c r="G1376" s="131"/>
      <c r="H1376" s="35" t="n">
        <v>0</v>
      </c>
      <c r="I1376" s="34" t="n">
        <f aca="false">+IF(E1376=0,0,E1376*0.03)</f>
        <v>0</v>
      </c>
      <c r="J1376" s="93"/>
      <c r="K1376" s="93"/>
      <c r="L1376" s="93"/>
      <c r="M1376" s="93"/>
      <c r="N1376" s="93"/>
      <c r="O1376" s="93"/>
      <c r="P1376" s="93"/>
      <c r="Q1376" s="93"/>
      <c r="R1376" s="93"/>
      <c r="S1376" s="93"/>
      <c r="T1376" s="93"/>
      <c r="U1376" s="93"/>
      <c r="V1376" s="93"/>
      <c r="W1376" s="93"/>
      <c r="X1376" s="93"/>
      <c r="Y1376" s="93"/>
      <c r="Z1376" s="93"/>
    </row>
    <row r="1377" customFormat="false" ht="16.4" hidden="false" customHeight="false" outlineLevel="0" collapsed="false">
      <c r="A1377" s="123" t="n">
        <v>45444</v>
      </c>
      <c r="B1377" s="31" t="s">
        <v>153</v>
      </c>
      <c r="C1377" s="129"/>
      <c r="D1377" s="129"/>
      <c r="E1377" s="19" t="n">
        <f aca="false">F1377*0.03</f>
        <v>0</v>
      </c>
      <c r="F1377" s="33" t="n">
        <v>0</v>
      </c>
      <c r="G1377" s="131"/>
      <c r="H1377" s="35" t="n">
        <v>0</v>
      </c>
      <c r="I1377" s="34" t="n">
        <f aca="false">+IF(E1377=0,0,E1377*0.03)</f>
        <v>0</v>
      </c>
      <c r="J1377" s="93"/>
      <c r="K1377" s="93"/>
      <c r="L1377" s="93"/>
      <c r="M1377" s="93"/>
      <c r="N1377" s="93"/>
      <c r="O1377" s="93"/>
      <c r="P1377" s="93"/>
      <c r="Q1377" s="93"/>
      <c r="R1377" s="93"/>
      <c r="S1377" s="93"/>
      <c r="T1377" s="93"/>
      <c r="U1377" s="93"/>
      <c r="V1377" s="93"/>
      <c r="W1377" s="93"/>
      <c r="X1377" s="93"/>
      <c r="Y1377" s="93"/>
      <c r="Z1377" s="93"/>
    </row>
    <row r="1378" customFormat="false" ht="16.4" hidden="false" customHeight="false" outlineLevel="0" collapsed="false">
      <c r="A1378" s="123" t="n">
        <v>45444</v>
      </c>
      <c r="B1378" s="31" t="s">
        <v>153</v>
      </c>
      <c r="C1378" s="129"/>
      <c r="D1378" s="129"/>
      <c r="E1378" s="19" t="n">
        <f aca="false">F1378*0.03</f>
        <v>0</v>
      </c>
      <c r="F1378" s="33" t="n">
        <v>0</v>
      </c>
      <c r="G1378" s="131"/>
      <c r="H1378" s="35" t="n">
        <v>0</v>
      </c>
      <c r="I1378" s="34" t="n">
        <f aca="false">+IF(E1378=0,0,E1378*0.03)</f>
        <v>0</v>
      </c>
      <c r="J1378" s="93"/>
      <c r="K1378" s="93"/>
      <c r="L1378" s="93"/>
      <c r="M1378" s="93"/>
      <c r="N1378" s="93"/>
      <c r="O1378" s="93"/>
      <c r="P1378" s="93"/>
      <c r="Q1378" s="93"/>
      <c r="R1378" s="93"/>
      <c r="S1378" s="93"/>
      <c r="T1378" s="93"/>
      <c r="U1378" s="93"/>
      <c r="V1378" s="93"/>
      <c r="W1378" s="93"/>
      <c r="X1378" s="93"/>
      <c r="Y1378" s="93"/>
      <c r="Z1378" s="93"/>
    </row>
    <row r="1379" customFormat="false" ht="16.4" hidden="false" customHeight="false" outlineLevel="0" collapsed="false">
      <c r="A1379" s="123" t="n">
        <v>45444</v>
      </c>
      <c r="B1379" s="31" t="s">
        <v>153</v>
      </c>
      <c r="C1379" s="129"/>
      <c r="D1379" s="129"/>
      <c r="E1379" s="19" t="n">
        <f aca="false">F1379*0.03</f>
        <v>0</v>
      </c>
      <c r="F1379" s="33" t="n">
        <v>0</v>
      </c>
      <c r="G1379" s="131"/>
      <c r="H1379" s="35" t="n">
        <v>0</v>
      </c>
      <c r="I1379" s="34" t="n">
        <f aca="false">+IF(E1379=0,0,E1379*0.03)</f>
        <v>0</v>
      </c>
      <c r="J1379" s="93"/>
      <c r="K1379" s="93"/>
      <c r="L1379" s="93"/>
      <c r="M1379" s="93"/>
      <c r="N1379" s="93"/>
      <c r="O1379" s="93"/>
      <c r="P1379" s="93"/>
      <c r="Q1379" s="93"/>
      <c r="R1379" s="93"/>
      <c r="S1379" s="93"/>
      <c r="T1379" s="93"/>
      <c r="U1379" s="93"/>
      <c r="V1379" s="93"/>
      <c r="W1379" s="93"/>
      <c r="X1379" s="93"/>
      <c r="Y1379" s="93"/>
      <c r="Z1379" s="93"/>
    </row>
    <row r="1380" customFormat="false" ht="16.4" hidden="false" customHeight="false" outlineLevel="0" collapsed="false">
      <c r="A1380" s="123" t="n">
        <v>45444</v>
      </c>
      <c r="B1380" s="31" t="s">
        <v>153</v>
      </c>
      <c r="C1380" s="129"/>
      <c r="D1380" s="129"/>
      <c r="E1380" s="19" t="n">
        <f aca="false">F1380*0.03</f>
        <v>0</v>
      </c>
      <c r="F1380" s="33" t="n">
        <v>0</v>
      </c>
      <c r="G1380" s="131"/>
      <c r="H1380" s="35" t="n">
        <v>0</v>
      </c>
      <c r="I1380" s="34" t="n">
        <f aca="false">+IF(E1380=0,0,E1380*0.03)</f>
        <v>0</v>
      </c>
      <c r="J1380" s="93"/>
      <c r="K1380" s="93"/>
      <c r="L1380" s="93"/>
      <c r="M1380" s="93"/>
      <c r="N1380" s="93"/>
      <c r="O1380" s="93"/>
      <c r="P1380" s="93"/>
      <c r="Q1380" s="93"/>
      <c r="R1380" s="93"/>
      <c r="S1380" s="93"/>
      <c r="T1380" s="93"/>
      <c r="U1380" s="93"/>
      <c r="V1380" s="93"/>
      <c r="W1380" s="93"/>
      <c r="X1380" s="93"/>
      <c r="Y1380" s="93"/>
      <c r="Z1380" s="93"/>
    </row>
    <row r="1381" customFormat="false" ht="16.4" hidden="false" customHeight="false" outlineLevel="0" collapsed="false">
      <c r="A1381" s="123" t="n">
        <v>45444</v>
      </c>
      <c r="B1381" s="31" t="s">
        <v>153</v>
      </c>
      <c r="C1381" s="129"/>
      <c r="D1381" s="129"/>
      <c r="E1381" s="19" t="n">
        <f aca="false">F1381*0.03</f>
        <v>0</v>
      </c>
      <c r="F1381" s="33" t="n">
        <v>0</v>
      </c>
      <c r="G1381" s="131"/>
      <c r="H1381" s="35" t="n">
        <v>0</v>
      </c>
      <c r="I1381" s="34" t="n">
        <f aca="false">+IF(E1381=0,0,E1381*0.03)</f>
        <v>0</v>
      </c>
      <c r="J1381" s="93"/>
      <c r="K1381" s="93"/>
      <c r="L1381" s="93"/>
      <c r="M1381" s="93"/>
      <c r="N1381" s="93"/>
      <c r="O1381" s="93"/>
      <c r="P1381" s="93"/>
      <c r="Q1381" s="93"/>
      <c r="R1381" s="93"/>
      <c r="S1381" s="93"/>
      <c r="T1381" s="93"/>
      <c r="U1381" s="93"/>
      <c r="V1381" s="93"/>
      <c r="W1381" s="93"/>
      <c r="X1381" s="93"/>
      <c r="Y1381" s="93"/>
      <c r="Z1381" s="93"/>
    </row>
    <row r="1382" customFormat="false" ht="16.4" hidden="false" customHeight="false" outlineLevel="0" collapsed="false">
      <c r="A1382" s="123" t="n">
        <v>45444</v>
      </c>
      <c r="B1382" s="31" t="s">
        <v>153</v>
      </c>
      <c r="C1382" s="129"/>
      <c r="D1382" s="129"/>
      <c r="E1382" s="19" t="n">
        <f aca="false">F1382*0.03</f>
        <v>0</v>
      </c>
      <c r="F1382" s="33" t="n">
        <v>0</v>
      </c>
      <c r="G1382" s="131"/>
      <c r="H1382" s="35" t="n">
        <v>0</v>
      </c>
      <c r="I1382" s="34" t="n">
        <f aca="false">+IF(E1382=0,0,E1382*0.03)</f>
        <v>0</v>
      </c>
      <c r="J1382" s="93"/>
      <c r="K1382" s="93"/>
      <c r="L1382" s="93"/>
      <c r="M1382" s="93"/>
      <c r="N1382" s="93"/>
      <c r="O1382" s="93"/>
      <c r="P1382" s="93"/>
      <c r="Q1382" s="93"/>
      <c r="R1382" s="93"/>
      <c r="S1382" s="93"/>
      <c r="T1382" s="93"/>
      <c r="U1382" s="93"/>
      <c r="V1382" s="93"/>
      <c r="W1382" s="93"/>
      <c r="X1382" s="93"/>
      <c r="Y1382" s="93"/>
      <c r="Z1382" s="93"/>
    </row>
    <row r="1383" customFormat="false" ht="16.4" hidden="false" customHeight="false" outlineLevel="0" collapsed="false">
      <c r="A1383" s="123" t="n">
        <v>45444</v>
      </c>
      <c r="B1383" s="31" t="s">
        <v>153</v>
      </c>
      <c r="C1383" s="129"/>
      <c r="D1383" s="129"/>
      <c r="E1383" s="19" t="n">
        <f aca="false">F1383*0.03</f>
        <v>0</v>
      </c>
      <c r="F1383" s="33" t="n">
        <v>0</v>
      </c>
      <c r="G1383" s="131"/>
      <c r="H1383" s="35" t="n">
        <v>0</v>
      </c>
      <c r="I1383" s="34" t="n">
        <f aca="false">+IF(E1383=0,0,E1383*0.03)</f>
        <v>0</v>
      </c>
      <c r="J1383" s="93"/>
      <c r="K1383" s="93"/>
      <c r="L1383" s="93"/>
      <c r="M1383" s="93"/>
      <c r="N1383" s="93"/>
      <c r="O1383" s="93"/>
      <c r="P1383" s="93"/>
      <c r="Q1383" s="93"/>
      <c r="R1383" s="93"/>
      <c r="S1383" s="93"/>
      <c r="T1383" s="93"/>
      <c r="U1383" s="93"/>
      <c r="V1383" s="93"/>
      <c r="W1383" s="93"/>
      <c r="X1383" s="93"/>
      <c r="Y1383" s="93"/>
      <c r="Z1383" s="93"/>
    </row>
    <row r="1384" customFormat="false" ht="16.4" hidden="false" customHeight="false" outlineLevel="0" collapsed="false">
      <c r="A1384" s="123" t="n">
        <v>45444</v>
      </c>
      <c r="B1384" s="31" t="s">
        <v>153</v>
      </c>
      <c r="C1384" s="129"/>
      <c r="D1384" s="129"/>
      <c r="E1384" s="19" t="n">
        <f aca="false">F1384*0.03</f>
        <v>0</v>
      </c>
      <c r="F1384" s="33" t="n">
        <v>0</v>
      </c>
      <c r="G1384" s="131"/>
      <c r="H1384" s="35" t="n">
        <v>0</v>
      </c>
      <c r="I1384" s="34" t="n">
        <f aca="false">+IF(E1384=0,0,E1384*0.03)</f>
        <v>0</v>
      </c>
      <c r="J1384" s="93"/>
      <c r="K1384" s="93"/>
      <c r="L1384" s="93"/>
      <c r="M1384" s="93"/>
      <c r="N1384" s="93"/>
      <c r="O1384" s="93"/>
      <c r="P1384" s="93"/>
      <c r="Q1384" s="93"/>
      <c r="R1384" s="93"/>
      <c r="S1384" s="93"/>
      <c r="T1384" s="93"/>
      <c r="U1384" s="93"/>
      <c r="V1384" s="93"/>
      <c r="W1384" s="93"/>
      <c r="X1384" s="93"/>
      <c r="Y1384" s="93"/>
      <c r="Z1384" s="93"/>
    </row>
    <row r="1385" customFormat="false" ht="16.4" hidden="false" customHeight="false" outlineLevel="0" collapsed="false">
      <c r="A1385" s="123" t="n">
        <v>45444</v>
      </c>
      <c r="B1385" s="31" t="s">
        <v>153</v>
      </c>
      <c r="C1385" s="129"/>
      <c r="D1385" s="129"/>
      <c r="E1385" s="19" t="n">
        <f aca="false">F1385*0.03</f>
        <v>0</v>
      </c>
      <c r="F1385" s="33" t="n">
        <v>0</v>
      </c>
      <c r="G1385" s="131"/>
      <c r="H1385" s="35" t="n">
        <v>0</v>
      </c>
      <c r="I1385" s="34" t="n">
        <f aca="false">+IF(E1385=0,0,E1385*0.03)</f>
        <v>0</v>
      </c>
      <c r="J1385" s="93"/>
      <c r="K1385" s="93"/>
      <c r="L1385" s="93"/>
      <c r="M1385" s="93"/>
      <c r="N1385" s="93"/>
      <c r="O1385" s="93"/>
      <c r="P1385" s="93"/>
      <c r="Q1385" s="93"/>
      <c r="R1385" s="93"/>
      <c r="S1385" s="93"/>
      <c r="T1385" s="93"/>
      <c r="U1385" s="93"/>
      <c r="V1385" s="93"/>
      <c r="W1385" s="93"/>
      <c r="X1385" s="93"/>
      <c r="Y1385" s="93"/>
      <c r="Z1385" s="93"/>
    </row>
    <row r="1386" customFormat="false" ht="16.4" hidden="false" customHeight="false" outlineLevel="0" collapsed="false">
      <c r="A1386" s="123" t="n">
        <v>45444</v>
      </c>
      <c r="B1386" s="31" t="s">
        <v>153</v>
      </c>
      <c r="C1386" s="129"/>
      <c r="D1386" s="129"/>
      <c r="E1386" s="19" t="n">
        <f aca="false">F1386*0.03</f>
        <v>0</v>
      </c>
      <c r="F1386" s="33" t="n">
        <v>0</v>
      </c>
      <c r="G1386" s="131"/>
      <c r="H1386" s="35" t="n">
        <v>0</v>
      </c>
      <c r="I1386" s="34" t="n">
        <f aca="false">+IF(E1386=0,0,E1386*0.03)</f>
        <v>0</v>
      </c>
      <c r="J1386" s="93"/>
      <c r="K1386" s="93"/>
      <c r="L1386" s="93"/>
      <c r="M1386" s="93"/>
      <c r="N1386" s="93"/>
      <c r="O1386" s="93"/>
      <c r="P1386" s="93"/>
      <c r="Q1386" s="93"/>
      <c r="R1386" s="93"/>
      <c r="S1386" s="93"/>
      <c r="T1386" s="93"/>
      <c r="U1386" s="93"/>
      <c r="V1386" s="93"/>
      <c r="W1386" s="93"/>
      <c r="X1386" s="93"/>
      <c r="Y1386" s="93"/>
      <c r="Z1386" s="93"/>
    </row>
    <row r="1387" customFormat="false" ht="16.4" hidden="false" customHeight="false" outlineLevel="0" collapsed="false">
      <c r="A1387" s="123" t="n">
        <v>45444</v>
      </c>
      <c r="B1387" s="31" t="s">
        <v>153</v>
      </c>
      <c r="C1387" s="129"/>
      <c r="D1387" s="129"/>
      <c r="E1387" s="19" t="n">
        <f aca="false">F1387*0.03</f>
        <v>0</v>
      </c>
      <c r="F1387" s="33" t="n">
        <v>0</v>
      </c>
      <c r="G1387" s="131"/>
      <c r="H1387" s="35" t="n">
        <v>0</v>
      </c>
      <c r="I1387" s="34" t="n">
        <f aca="false">+IF(E1387=0,0,E1387*0.03)</f>
        <v>0</v>
      </c>
      <c r="J1387" s="93"/>
      <c r="K1387" s="93"/>
      <c r="L1387" s="93"/>
      <c r="M1387" s="93"/>
      <c r="N1387" s="93"/>
      <c r="O1387" s="93"/>
      <c r="P1387" s="93"/>
      <c r="Q1387" s="93"/>
      <c r="R1387" s="93"/>
      <c r="S1387" s="93"/>
      <c r="T1387" s="93"/>
      <c r="U1387" s="93"/>
      <c r="V1387" s="93"/>
      <c r="W1387" s="93"/>
      <c r="X1387" s="93"/>
      <c r="Y1387" s="93"/>
      <c r="Z1387" s="93"/>
    </row>
    <row r="1388" customFormat="false" ht="16.4" hidden="false" customHeight="false" outlineLevel="0" collapsed="false">
      <c r="A1388" s="123" t="n">
        <v>45444</v>
      </c>
      <c r="B1388" s="31" t="s">
        <v>153</v>
      </c>
      <c r="C1388" s="129"/>
      <c r="D1388" s="129"/>
      <c r="E1388" s="19" t="n">
        <f aca="false">F1388*0.03</f>
        <v>0</v>
      </c>
      <c r="F1388" s="33" t="n">
        <v>0</v>
      </c>
      <c r="G1388" s="131"/>
      <c r="H1388" s="35" t="n">
        <v>0</v>
      </c>
      <c r="I1388" s="34" t="n">
        <f aca="false">+IF(E1388=0,0,E1388*0.03)</f>
        <v>0</v>
      </c>
      <c r="J1388" s="93"/>
      <c r="K1388" s="93"/>
      <c r="L1388" s="93"/>
      <c r="M1388" s="93"/>
      <c r="N1388" s="93"/>
      <c r="O1388" s="93"/>
      <c r="P1388" s="93"/>
      <c r="Q1388" s="93"/>
      <c r="R1388" s="93"/>
      <c r="S1388" s="93"/>
      <c r="T1388" s="93"/>
      <c r="U1388" s="93"/>
      <c r="V1388" s="93"/>
      <c r="W1388" s="93"/>
      <c r="X1388" s="93"/>
      <c r="Y1388" s="93"/>
      <c r="Z1388" s="93"/>
    </row>
    <row r="1389" customFormat="false" ht="16.4" hidden="false" customHeight="false" outlineLevel="0" collapsed="false">
      <c r="A1389" s="123" t="n">
        <v>45444</v>
      </c>
      <c r="B1389" s="31" t="s">
        <v>153</v>
      </c>
      <c r="C1389" s="129"/>
      <c r="D1389" s="129"/>
      <c r="E1389" s="19" t="n">
        <f aca="false">F1389*0.03</f>
        <v>0</v>
      </c>
      <c r="F1389" s="33" t="n">
        <v>0</v>
      </c>
      <c r="G1389" s="131"/>
      <c r="H1389" s="35" t="n">
        <v>0</v>
      </c>
      <c r="I1389" s="34" t="n">
        <f aca="false">+IF(E1389=0,0,E1389*0.03)</f>
        <v>0</v>
      </c>
      <c r="J1389" s="93"/>
      <c r="K1389" s="93"/>
      <c r="L1389" s="93"/>
      <c r="M1389" s="93"/>
      <c r="N1389" s="93"/>
      <c r="O1389" s="93"/>
      <c r="P1389" s="93"/>
      <c r="Q1389" s="93"/>
      <c r="R1389" s="93"/>
      <c r="S1389" s="93"/>
      <c r="T1389" s="93"/>
      <c r="U1389" s="93"/>
      <c r="V1389" s="93"/>
      <c r="W1389" s="93"/>
      <c r="X1389" s="93"/>
      <c r="Y1389" s="93"/>
      <c r="Z1389" s="93"/>
    </row>
    <row r="1390" customFormat="false" ht="16.4" hidden="false" customHeight="false" outlineLevel="0" collapsed="false">
      <c r="A1390" s="123" t="n">
        <v>45444</v>
      </c>
      <c r="B1390" s="31" t="s">
        <v>153</v>
      </c>
      <c r="C1390" s="129"/>
      <c r="D1390" s="129"/>
      <c r="E1390" s="19" t="n">
        <f aca="false">F1390*0.03</f>
        <v>0</v>
      </c>
      <c r="F1390" s="33" t="n">
        <v>0</v>
      </c>
      <c r="G1390" s="131"/>
      <c r="H1390" s="35" t="n">
        <v>0</v>
      </c>
      <c r="I1390" s="34" t="n">
        <f aca="false">+IF(E1390=0,0,E1390*0.03)</f>
        <v>0</v>
      </c>
      <c r="J1390" s="93"/>
      <c r="K1390" s="93"/>
      <c r="L1390" s="93"/>
      <c r="M1390" s="93"/>
      <c r="N1390" s="93"/>
      <c r="O1390" s="93"/>
      <c r="P1390" s="93"/>
      <c r="Q1390" s="93"/>
      <c r="R1390" s="93"/>
      <c r="S1390" s="93"/>
      <c r="T1390" s="93"/>
      <c r="U1390" s="93"/>
      <c r="V1390" s="93"/>
      <c r="W1390" s="93"/>
      <c r="X1390" s="93"/>
      <c r="Y1390" s="93"/>
      <c r="Z1390" s="93"/>
    </row>
    <row r="1391" customFormat="false" ht="16.4" hidden="false" customHeight="false" outlineLevel="0" collapsed="false">
      <c r="A1391" s="123" t="n">
        <v>45444</v>
      </c>
      <c r="B1391" s="31" t="s">
        <v>153</v>
      </c>
      <c r="C1391" s="129"/>
      <c r="D1391" s="129"/>
      <c r="E1391" s="19" t="n">
        <f aca="false">F1391*0.03</f>
        <v>0</v>
      </c>
      <c r="F1391" s="33" t="n">
        <v>0</v>
      </c>
      <c r="G1391" s="131"/>
      <c r="H1391" s="35" t="n">
        <v>0</v>
      </c>
      <c r="I1391" s="34" t="n">
        <f aca="false">+IF(E1391=0,0,E1391*0.03)</f>
        <v>0</v>
      </c>
      <c r="J1391" s="93"/>
      <c r="K1391" s="93"/>
      <c r="L1391" s="93"/>
      <c r="M1391" s="93"/>
      <c r="N1391" s="93"/>
      <c r="O1391" s="93"/>
      <c r="P1391" s="93"/>
      <c r="Q1391" s="93"/>
      <c r="R1391" s="93"/>
      <c r="S1391" s="93"/>
      <c r="T1391" s="93"/>
      <c r="U1391" s="93"/>
      <c r="V1391" s="93"/>
      <c r="W1391" s="93"/>
      <c r="X1391" s="93"/>
      <c r="Y1391" s="93"/>
      <c r="Z1391" s="93"/>
    </row>
    <row r="1392" customFormat="false" ht="16.4" hidden="false" customHeight="false" outlineLevel="0" collapsed="false">
      <c r="A1392" s="123" t="n">
        <v>45444</v>
      </c>
      <c r="B1392" s="31" t="s">
        <v>153</v>
      </c>
      <c r="C1392" s="129"/>
      <c r="D1392" s="129"/>
      <c r="E1392" s="19" t="n">
        <f aca="false">F1392*0.03</f>
        <v>0</v>
      </c>
      <c r="F1392" s="33" t="n">
        <v>0</v>
      </c>
      <c r="G1392" s="131"/>
      <c r="H1392" s="35" t="n">
        <v>0</v>
      </c>
      <c r="I1392" s="34" t="n">
        <f aca="false">+IF(E1392=0,0,E1392*0.03)</f>
        <v>0</v>
      </c>
      <c r="J1392" s="93"/>
      <c r="K1392" s="93"/>
      <c r="L1392" s="93"/>
      <c r="M1392" s="93"/>
      <c r="N1392" s="93"/>
      <c r="O1392" s="93"/>
      <c r="P1392" s="93"/>
      <c r="Q1392" s="93"/>
      <c r="R1392" s="93"/>
      <c r="S1392" s="93"/>
      <c r="T1392" s="93"/>
      <c r="U1392" s="93"/>
      <c r="V1392" s="93"/>
      <c r="W1392" s="93"/>
      <c r="X1392" s="93"/>
      <c r="Y1392" s="93"/>
      <c r="Z1392" s="93"/>
    </row>
    <row r="1393" customFormat="false" ht="16.4" hidden="false" customHeight="false" outlineLevel="0" collapsed="false">
      <c r="A1393" s="123" t="n">
        <v>45444</v>
      </c>
      <c r="B1393" s="31" t="s">
        <v>153</v>
      </c>
      <c r="C1393" s="129"/>
      <c r="D1393" s="129"/>
      <c r="E1393" s="19" t="n">
        <f aca="false">F1393*0.03</f>
        <v>0</v>
      </c>
      <c r="F1393" s="33" t="n">
        <v>0</v>
      </c>
      <c r="G1393" s="131"/>
      <c r="H1393" s="35" t="n">
        <v>0</v>
      </c>
      <c r="I1393" s="34" t="n">
        <f aca="false">+IF(E1393=0,0,E1393*0.03)</f>
        <v>0</v>
      </c>
      <c r="J1393" s="93"/>
      <c r="K1393" s="93"/>
      <c r="L1393" s="93"/>
      <c r="M1393" s="93"/>
      <c r="N1393" s="93"/>
      <c r="O1393" s="93"/>
      <c r="P1393" s="93"/>
      <c r="Q1393" s="93"/>
      <c r="R1393" s="93"/>
      <c r="S1393" s="93"/>
      <c r="T1393" s="93"/>
      <c r="U1393" s="93"/>
      <c r="V1393" s="93"/>
      <c r="W1393" s="93"/>
      <c r="X1393" s="93"/>
      <c r="Y1393" s="93"/>
      <c r="Z1393" s="93"/>
    </row>
    <row r="1394" customFormat="false" ht="16.4" hidden="false" customHeight="false" outlineLevel="0" collapsed="false">
      <c r="A1394" s="123" t="n">
        <v>45444</v>
      </c>
      <c r="B1394" s="31" t="s">
        <v>153</v>
      </c>
      <c r="C1394" s="129"/>
      <c r="D1394" s="129"/>
      <c r="E1394" s="19" t="n">
        <f aca="false">F1394*0.03</f>
        <v>0</v>
      </c>
      <c r="F1394" s="33" t="n">
        <v>0</v>
      </c>
      <c r="G1394" s="131"/>
      <c r="H1394" s="35" t="n">
        <v>0</v>
      </c>
      <c r="I1394" s="34" t="n">
        <f aca="false">+IF(E1394=0,0,E1394*0.03)</f>
        <v>0</v>
      </c>
      <c r="J1394" s="93"/>
      <c r="K1394" s="93"/>
      <c r="L1394" s="93"/>
      <c r="M1394" s="93"/>
      <c r="N1394" s="93"/>
      <c r="O1394" s="93"/>
      <c r="P1394" s="93"/>
      <c r="Q1394" s="93"/>
      <c r="R1394" s="93"/>
      <c r="S1394" s="93"/>
      <c r="T1394" s="93"/>
      <c r="U1394" s="93"/>
      <c r="V1394" s="93"/>
      <c r="W1394" s="93"/>
      <c r="X1394" s="93"/>
      <c r="Y1394" s="93"/>
      <c r="Z1394" s="93"/>
    </row>
    <row r="1395" customFormat="false" ht="16.4" hidden="false" customHeight="false" outlineLevel="0" collapsed="false">
      <c r="A1395" s="123" t="n">
        <v>45444</v>
      </c>
      <c r="B1395" s="31" t="s">
        <v>153</v>
      </c>
      <c r="C1395" s="129"/>
      <c r="D1395" s="129"/>
      <c r="E1395" s="19" t="n">
        <f aca="false">F1395*0.03</f>
        <v>0</v>
      </c>
      <c r="F1395" s="33" t="n">
        <v>0</v>
      </c>
      <c r="G1395" s="131"/>
      <c r="H1395" s="35" t="n">
        <v>0</v>
      </c>
      <c r="I1395" s="34" t="n">
        <f aca="false">+IF(E1395=0,0,E1395*0.03)</f>
        <v>0</v>
      </c>
      <c r="J1395" s="93"/>
      <c r="K1395" s="93"/>
      <c r="L1395" s="93"/>
      <c r="M1395" s="93"/>
      <c r="N1395" s="93"/>
      <c r="O1395" s="93"/>
      <c r="P1395" s="93"/>
      <c r="Q1395" s="93"/>
      <c r="R1395" s="93"/>
      <c r="S1395" s="93"/>
      <c r="T1395" s="93"/>
      <c r="U1395" s="93"/>
      <c r="V1395" s="93"/>
      <c r="W1395" s="93"/>
      <c r="X1395" s="93"/>
      <c r="Y1395" s="93"/>
      <c r="Z1395" s="93"/>
    </row>
    <row r="1396" customFormat="false" ht="16.4" hidden="false" customHeight="false" outlineLevel="0" collapsed="false">
      <c r="A1396" s="123" t="n">
        <v>45444</v>
      </c>
      <c r="B1396" s="31" t="s">
        <v>153</v>
      </c>
      <c r="C1396" s="129"/>
      <c r="D1396" s="129"/>
      <c r="E1396" s="19" t="n">
        <f aca="false">F1396*0.03</f>
        <v>0</v>
      </c>
      <c r="F1396" s="33" t="n">
        <v>0</v>
      </c>
      <c r="G1396" s="131"/>
      <c r="H1396" s="35" t="n">
        <v>0</v>
      </c>
      <c r="I1396" s="34" t="n">
        <f aca="false">+IF(E1396=0,0,E1396*0.03)</f>
        <v>0</v>
      </c>
      <c r="J1396" s="93"/>
      <c r="K1396" s="93"/>
      <c r="L1396" s="93"/>
      <c r="M1396" s="93"/>
      <c r="N1396" s="93"/>
      <c r="O1396" s="93"/>
      <c r="P1396" s="93"/>
      <c r="Q1396" s="93"/>
      <c r="R1396" s="93"/>
      <c r="S1396" s="93"/>
      <c r="T1396" s="93"/>
      <c r="U1396" s="93"/>
      <c r="V1396" s="93"/>
      <c r="W1396" s="93"/>
      <c r="X1396" s="93"/>
      <c r="Y1396" s="93"/>
      <c r="Z1396" s="93"/>
    </row>
    <row r="1397" customFormat="false" ht="16.4" hidden="false" customHeight="false" outlineLevel="0" collapsed="false">
      <c r="A1397" s="123" t="n">
        <v>45444</v>
      </c>
      <c r="B1397" s="31" t="s">
        <v>153</v>
      </c>
      <c r="C1397" s="129"/>
      <c r="D1397" s="129"/>
      <c r="E1397" s="19" t="n">
        <f aca="false">F1397*0.03</f>
        <v>0</v>
      </c>
      <c r="F1397" s="33" t="n">
        <v>0</v>
      </c>
      <c r="G1397" s="131"/>
      <c r="H1397" s="35" t="n">
        <v>0</v>
      </c>
      <c r="I1397" s="34" t="n">
        <f aca="false">+IF(E1397=0,0,E1397*0.03)</f>
        <v>0</v>
      </c>
      <c r="J1397" s="93"/>
      <c r="K1397" s="93"/>
      <c r="L1397" s="93"/>
      <c r="M1397" s="93"/>
      <c r="N1397" s="93"/>
      <c r="O1397" s="93"/>
      <c r="P1397" s="93"/>
      <c r="Q1397" s="93"/>
      <c r="R1397" s="93"/>
      <c r="S1397" s="93"/>
      <c r="T1397" s="93"/>
      <c r="U1397" s="93"/>
      <c r="V1397" s="93"/>
      <c r="W1397" s="93"/>
      <c r="X1397" s="93"/>
      <c r="Y1397" s="93"/>
      <c r="Z1397" s="93"/>
    </row>
    <row r="1398" customFormat="false" ht="16.4" hidden="false" customHeight="false" outlineLevel="0" collapsed="false">
      <c r="A1398" s="123" t="n">
        <v>45444</v>
      </c>
      <c r="B1398" s="31" t="s">
        <v>153</v>
      </c>
      <c r="C1398" s="129"/>
      <c r="D1398" s="129"/>
      <c r="E1398" s="19" t="n">
        <f aca="false">F1398*0.03</f>
        <v>0</v>
      </c>
      <c r="F1398" s="33" t="n">
        <v>0</v>
      </c>
      <c r="G1398" s="131"/>
      <c r="H1398" s="35" t="n">
        <v>0</v>
      </c>
      <c r="I1398" s="34" t="n">
        <f aca="false">+IF(E1398=0,0,E1398*0.03)</f>
        <v>0</v>
      </c>
      <c r="J1398" s="93"/>
      <c r="K1398" s="93"/>
      <c r="L1398" s="93"/>
      <c r="M1398" s="93"/>
      <c r="N1398" s="93"/>
      <c r="O1398" s="93"/>
      <c r="P1398" s="93"/>
      <c r="Q1398" s="93"/>
      <c r="R1398" s="93"/>
      <c r="S1398" s="93"/>
      <c r="T1398" s="93"/>
      <c r="U1398" s="93"/>
      <c r="V1398" s="93"/>
      <c r="W1398" s="93"/>
      <c r="X1398" s="93"/>
      <c r="Y1398" s="93"/>
      <c r="Z1398" s="93"/>
    </row>
    <row r="1399" customFormat="false" ht="16.4" hidden="false" customHeight="false" outlineLevel="0" collapsed="false">
      <c r="A1399" s="123" t="n">
        <v>45444</v>
      </c>
      <c r="B1399" s="31" t="s">
        <v>153</v>
      </c>
      <c r="C1399" s="129"/>
      <c r="D1399" s="129"/>
      <c r="E1399" s="19" t="n">
        <f aca="false">F1399*0.03</f>
        <v>0</v>
      </c>
      <c r="F1399" s="33" t="n">
        <v>0</v>
      </c>
      <c r="G1399" s="131"/>
      <c r="H1399" s="35" t="n">
        <v>0</v>
      </c>
      <c r="I1399" s="34" t="n">
        <f aca="false">+IF(E1399=0,0,E1399*0.03)</f>
        <v>0</v>
      </c>
      <c r="J1399" s="93"/>
      <c r="K1399" s="93"/>
      <c r="L1399" s="93"/>
      <c r="M1399" s="93"/>
      <c r="N1399" s="93"/>
      <c r="O1399" s="93"/>
      <c r="P1399" s="93"/>
      <c r="Q1399" s="93"/>
      <c r="R1399" s="93"/>
      <c r="S1399" s="93"/>
      <c r="T1399" s="93"/>
      <c r="U1399" s="93"/>
      <c r="V1399" s="93"/>
      <c r="W1399" s="93"/>
      <c r="X1399" s="93"/>
      <c r="Y1399" s="93"/>
      <c r="Z1399" s="93"/>
    </row>
    <row r="1400" customFormat="false" ht="16.4" hidden="false" customHeight="false" outlineLevel="0" collapsed="false">
      <c r="A1400" s="123" t="n">
        <v>45444</v>
      </c>
      <c r="B1400" s="31" t="s">
        <v>153</v>
      </c>
      <c r="C1400" s="129"/>
      <c r="D1400" s="129"/>
      <c r="E1400" s="19" t="n">
        <f aca="false">F1400*0.03</f>
        <v>0</v>
      </c>
      <c r="F1400" s="33" t="n">
        <v>0</v>
      </c>
      <c r="G1400" s="131"/>
      <c r="H1400" s="35" t="n">
        <v>0</v>
      </c>
      <c r="I1400" s="34" t="n">
        <f aca="false">+IF(E1400=0,0,E1400*0.03)</f>
        <v>0</v>
      </c>
      <c r="J1400" s="93"/>
      <c r="K1400" s="93"/>
      <c r="L1400" s="93"/>
      <c r="M1400" s="93"/>
      <c r="N1400" s="93"/>
      <c r="O1400" s="93"/>
      <c r="P1400" s="93"/>
      <c r="Q1400" s="93"/>
      <c r="R1400" s="93"/>
      <c r="S1400" s="93"/>
      <c r="T1400" s="93"/>
      <c r="U1400" s="93"/>
      <c r="V1400" s="93"/>
      <c r="W1400" s="93"/>
      <c r="X1400" s="93"/>
      <c r="Y1400" s="93"/>
      <c r="Z1400" s="93"/>
    </row>
    <row r="1401" customFormat="false" ht="16.4" hidden="false" customHeight="false" outlineLevel="0" collapsed="false">
      <c r="A1401" s="123" t="n">
        <v>45444</v>
      </c>
      <c r="B1401" s="31" t="s">
        <v>153</v>
      </c>
      <c r="C1401" s="129"/>
      <c r="D1401" s="129"/>
      <c r="E1401" s="19" t="n">
        <f aca="false">F1401*0.03</f>
        <v>0</v>
      </c>
      <c r="F1401" s="33" t="n">
        <v>0</v>
      </c>
      <c r="G1401" s="131"/>
      <c r="H1401" s="35" t="n">
        <v>0</v>
      </c>
      <c r="I1401" s="34" t="n">
        <f aca="false">+IF(E1401=0,0,E1401*0.03)</f>
        <v>0</v>
      </c>
      <c r="J1401" s="93"/>
      <c r="K1401" s="93"/>
      <c r="L1401" s="93"/>
      <c r="M1401" s="93"/>
      <c r="N1401" s="93"/>
      <c r="O1401" s="93"/>
      <c r="P1401" s="93"/>
      <c r="Q1401" s="93"/>
      <c r="R1401" s="93"/>
      <c r="S1401" s="93"/>
      <c r="T1401" s="93"/>
      <c r="U1401" s="93"/>
      <c r="V1401" s="93"/>
      <c r="W1401" s="93"/>
      <c r="X1401" s="93"/>
      <c r="Y1401" s="93"/>
      <c r="Z1401" s="93"/>
    </row>
    <row r="1402" customFormat="false" ht="16.4" hidden="false" customHeight="false" outlineLevel="0" collapsed="false">
      <c r="A1402" s="123" t="n">
        <v>45444</v>
      </c>
      <c r="B1402" s="31" t="s">
        <v>153</v>
      </c>
      <c r="C1402" s="129"/>
      <c r="D1402" s="129"/>
      <c r="E1402" s="19" t="n">
        <f aca="false">F1402*0.03</f>
        <v>0</v>
      </c>
      <c r="F1402" s="33" t="n">
        <v>0</v>
      </c>
      <c r="G1402" s="131"/>
      <c r="H1402" s="35" t="n">
        <v>0</v>
      </c>
      <c r="I1402" s="34" t="n">
        <f aca="false">+IF(E1402=0,0,E1402*0.03)</f>
        <v>0</v>
      </c>
      <c r="J1402" s="93"/>
      <c r="K1402" s="93"/>
      <c r="L1402" s="93"/>
      <c r="M1402" s="93"/>
      <c r="N1402" s="93"/>
      <c r="O1402" s="93"/>
      <c r="P1402" s="93"/>
      <c r="Q1402" s="93"/>
      <c r="R1402" s="93"/>
      <c r="S1402" s="93"/>
      <c r="T1402" s="93"/>
      <c r="U1402" s="93"/>
      <c r="V1402" s="93"/>
      <c r="W1402" s="93"/>
      <c r="X1402" s="93"/>
      <c r="Y1402" s="93"/>
      <c r="Z1402" s="93"/>
    </row>
    <row r="1403" customFormat="false" ht="16.4" hidden="false" customHeight="false" outlineLevel="0" collapsed="false">
      <c r="A1403" s="123" t="n">
        <v>45444</v>
      </c>
      <c r="B1403" s="31" t="s">
        <v>153</v>
      </c>
      <c r="C1403" s="129"/>
      <c r="D1403" s="129"/>
      <c r="E1403" s="19" t="n">
        <f aca="false">F1403*0.03</f>
        <v>0</v>
      </c>
      <c r="F1403" s="33" t="n">
        <v>0</v>
      </c>
      <c r="G1403" s="131"/>
      <c r="H1403" s="35" t="n">
        <v>0</v>
      </c>
      <c r="I1403" s="34" t="n">
        <f aca="false">+IF(E1403=0,0,E1403*0.03)</f>
        <v>0</v>
      </c>
      <c r="J1403" s="93"/>
      <c r="K1403" s="93"/>
      <c r="L1403" s="93"/>
      <c r="M1403" s="93"/>
      <c r="N1403" s="93"/>
      <c r="O1403" s="93"/>
      <c r="P1403" s="93"/>
      <c r="Q1403" s="93"/>
      <c r="R1403" s="93"/>
      <c r="S1403" s="93"/>
      <c r="T1403" s="93"/>
      <c r="U1403" s="93"/>
      <c r="V1403" s="93"/>
      <c r="W1403" s="93"/>
      <c r="X1403" s="93"/>
      <c r="Y1403" s="93"/>
      <c r="Z1403" s="93"/>
    </row>
    <row r="1404" customFormat="false" ht="16.4" hidden="false" customHeight="false" outlineLevel="0" collapsed="false">
      <c r="A1404" s="123" t="n">
        <v>45444</v>
      </c>
      <c r="B1404" s="31" t="s">
        <v>153</v>
      </c>
      <c r="C1404" s="129"/>
      <c r="D1404" s="129"/>
      <c r="E1404" s="19" t="n">
        <f aca="false">F1404*0.03</f>
        <v>0</v>
      </c>
      <c r="F1404" s="33" t="n">
        <v>0</v>
      </c>
      <c r="G1404" s="131"/>
      <c r="H1404" s="35" t="n">
        <v>0</v>
      </c>
      <c r="I1404" s="34" t="n">
        <f aca="false">+IF(E1404=0,0,E1404*0.03)</f>
        <v>0</v>
      </c>
      <c r="J1404" s="93"/>
      <c r="K1404" s="93"/>
      <c r="L1404" s="93"/>
      <c r="M1404" s="93"/>
      <c r="N1404" s="93"/>
      <c r="O1404" s="93"/>
      <c r="P1404" s="93"/>
      <c r="Q1404" s="93"/>
      <c r="R1404" s="93"/>
      <c r="S1404" s="93"/>
      <c r="T1404" s="93"/>
      <c r="U1404" s="93"/>
      <c r="V1404" s="93"/>
      <c r="W1404" s="93"/>
      <c r="X1404" s="93"/>
      <c r="Y1404" s="93"/>
      <c r="Z1404" s="93"/>
    </row>
    <row r="1405" customFormat="false" ht="16.4" hidden="false" customHeight="false" outlineLevel="0" collapsed="false">
      <c r="A1405" s="123" t="n">
        <v>45444</v>
      </c>
      <c r="B1405" s="31" t="s">
        <v>153</v>
      </c>
      <c r="C1405" s="129"/>
      <c r="D1405" s="129"/>
      <c r="E1405" s="19" t="n">
        <f aca="false">F1405*0.03</f>
        <v>0</v>
      </c>
      <c r="F1405" s="33" t="n">
        <v>0</v>
      </c>
      <c r="G1405" s="131"/>
      <c r="H1405" s="35" t="n">
        <v>0</v>
      </c>
      <c r="I1405" s="34" t="n">
        <f aca="false">+IF(E1405=0,0,E1405*0.03)</f>
        <v>0</v>
      </c>
      <c r="J1405" s="93"/>
      <c r="K1405" s="93"/>
      <c r="L1405" s="93"/>
      <c r="M1405" s="93"/>
      <c r="N1405" s="93"/>
      <c r="O1405" s="93"/>
      <c r="P1405" s="93"/>
      <c r="Q1405" s="93"/>
      <c r="R1405" s="93"/>
      <c r="S1405" s="93"/>
      <c r="T1405" s="93"/>
      <c r="U1405" s="93"/>
      <c r="V1405" s="93"/>
      <c r="W1405" s="93"/>
      <c r="X1405" s="93"/>
      <c r="Y1405" s="93"/>
      <c r="Z1405" s="93"/>
    </row>
    <row r="1406" customFormat="false" ht="16.4" hidden="false" customHeight="false" outlineLevel="0" collapsed="false">
      <c r="A1406" s="123" t="n">
        <v>45444</v>
      </c>
      <c r="B1406" s="31" t="s">
        <v>153</v>
      </c>
      <c r="C1406" s="129"/>
      <c r="D1406" s="129"/>
      <c r="E1406" s="19" t="n">
        <f aca="false">F1406*0.03</f>
        <v>0</v>
      </c>
      <c r="F1406" s="33" t="n">
        <v>0</v>
      </c>
      <c r="G1406" s="131"/>
      <c r="H1406" s="35" t="n">
        <v>0</v>
      </c>
      <c r="I1406" s="34" t="n">
        <f aca="false">+IF(E1406=0,0,E1406*0.03)</f>
        <v>0</v>
      </c>
      <c r="J1406" s="93"/>
      <c r="K1406" s="93"/>
      <c r="L1406" s="93"/>
      <c r="M1406" s="93"/>
      <c r="N1406" s="93"/>
      <c r="O1406" s="93"/>
      <c r="P1406" s="93"/>
      <c r="Q1406" s="93"/>
      <c r="R1406" s="93"/>
      <c r="S1406" s="93"/>
      <c r="T1406" s="93"/>
      <c r="U1406" s="93"/>
      <c r="V1406" s="93"/>
      <c r="W1406" s="93"/>
      <c r="X1406" s="93"/>
      <c r="Y1406" s="93"/>
      <c r="Z1406" s="93"/>
    </row>
    <row r="1407" customFormat="false" ht="16.4" hidden="false" customHeight="false" outlineLevel="0" collapsed="false">
      <c r="A1407" s="123" t="n">
        <v>45444</v>
      </c>
      <c r="B1407" s="31" t="s">
        <v>153</v>
      </c>
      <c r="C1407" s="129"/>
      <c r="D1407" s="129"/>
      <c r="E1407" s="19" t="n">
        <f aca="false">F1407*0.03</f>
        <v>0</v>
      </c>
      <c r="F1407" s="33" t="n">
        <v>0</v>
      </c>
      <c r="G1407" s="131"/>
      <c r="H1407" s="35" t="n">
        <v>0</v>
      </c>
      <c r="I1407" s="34" t="n">
        <f aca="false">+IF(E1407=0,0,E1407*0.03)</f>
        <v>0</v>
      </c>
      <c r="J1407" s="93"/>
      <c r="K1407" s="93"/>
      <c r="L1407" s="93"/>
      <c r="M1407" s="93"/>
      <c r="N1407" s="93"/>
      <c r="O1407" s="93"/>
      <c r="P1407" s="93"/>
      <c r="Q1407" s="93"/>
      <c r="R1407" s="93"/>
      <c r="S1407" s="93"/>
      <c r="T1407" s="93"/>
      <c r="U1407" s="93"/>
      <c r="V1407" s="93"/>
      <c r="W1407" s="93"/>
      <c r="X1407" s="93"/>
      <c r="Y1407" s="93"/>
      <c r="Z1407" s="93"/>
    </row>
    <row r="1408" customFormat="false" ht="16.4" hidden="false" customHeight="false" outlineLevel="0" collapsed="false">
      <c r="A1408" s="123" t="n">
        <v>45444</v>
      </c>
      <c r="B1408" s="31" t="s">
        <v>153</v>
      </c>
      <c r="C1408" s="129"/>
      <c r="D1408" s="129"/>
      <c r="E1408" s="19" t="n">
        <f aca="false">F1408*0.03</f>
        <v>0</v>
      </c>
      <c r="F1408" s="33" t="n">
        <v>0</v>
      </c>
      <c r="G1408" s="131"/>
      <c r="H1408" s="35" t="n">
        <v>0</v>
      </c>
      <c r="I1408" s="34" t="n">
        <f aca="false">+IF(E1408=0,0,E1408*0.03)</f>
        <v>0</v>
      </c>
      <c r="J1408" s="93"/>
      <c r="K1408" s="93"/>
      <c r="L1408" s="93"/>
      <c r="M1408" s="93"/>
      <c r="N1408" s="93"/>
      <c r="O1408" s="93"/>
      <c r="P1408" s="93"/>
      <c r="Q1408" s="93"/>
      <c r="R1408" s="93"/>
      <c r="S1408" s="93"/>
      <c r="T1408" s="93"/>
      <c r="U1408" s="93"/>
      <c r="V1408" s="93"/>
      <c r="W1408" s="93"/>
      <c r="X1408" s="93"/>
      <c r="Y1408" s="93"/>
      <c r="Z1408" s="93"/>
    </row>
    <row r="1409" customFormat="false" ht="16.4" hidden="false" customHeight="false" outlineLevel="0" collapsed="false">
      <c r="A1409" s="123" t="n">
        <v>45444</v>
      </c>
      <c r="B1409" s="31" t="s">
        <v>153</v>
      </c>
      <c r="C1409" s="129"/>
      <c r="D1409" s="129"/>
      <c r="E1409" s="19" t="n">
        <f aca="false">F1409*0.03</f>
        <v>0</v>
      </c>
      <c r="F1409" s="33" t="n">
        <v>0</v>
      </c>
      <c r="G1409" s="131"/>
      <c r="H1409" s="35" t="n">
        <v>0</v>
      </c>
      <c r="I1409" s="34" t="n">
        <f aca="false">+IF(E1409=0,0,E1409*0.03)</f>
        <v>0</v>
      </c>
      <c r="J1409" s="93"/>
      <c r="K1409" s="93"/>
      <c r="L1409" s="93"/>
      <c r="M1409" s="93"/>
      <c r="N1409" s="93"/>
      <c r="O1409" s="93"/>
      <c r="P1409" s="93"/>
      <c r="Q1409" s="93"/>
      <c r="R1409" s="93"/>
      <c r="S1409" s="93"/>
      <c r="T1409" s="93"/>
      <c r="U1409" s="93"/>
      <c r="V1409" s="93"/>
      <c r="W1409" s="93"/>
      <c r="X1409" s="93"/>
      <c r="Y1409" s="93"/>
      <c r="Z1409" s="93"/>
    </row>
    <row r="1410" customFormat="false" ht="16.4" hidden="false" customHeight="false" outlineLevel="0" collapsed="false">
      <c r="A1410" s="123" t="n">
        <v>45444</v>
      </c>
      <c r="B1410" s="31" t="s">
        <v>153</v>
      </c>
      <c r="C1410" s="129"/>
      <c r="D1410" s="129"/>
      <c r="E1410" s="19" t="n">
        <f aca="false">F1410*0.03</f>
        <v>0</v>
      </c>
      <c r="F1410" s="33" t="n">
        <v>0</v>
      </c>
      <c r="G1410" s="131"/>
      <c r="H1410" s="35" t="n">
        <v>0</v>
      </c>
      <c r="I1410" s="34" t="n">
        <f aca="false">+IF(E1410=0,0,E1410*0.03)</f>
        <v>0</v>
      </c>
      <c r="J1410" s="93"/>
      <c r="K1410" s="93"/>
      <c r="L1410" s="93"/>
      <c r="M1410" s="93"/>
      <c r="N1410" s="93"/>
      <c r="O1410" s="93"/>
      <c r="P1410" s="93"/>
      <c r="Q1410" s="93"/>
      <c r="R1410" s="93"/>
      <c r="S1410" s="93"/>
      <c r="T1410" s="93"/>
      <c r="U1410" s="93"/>
      <c r="V1410" s="93"/>
      <c r="W1410" s="93"/>
      <c r="X1410" s="93"/>
      <c r="Y1410" s="93"/>
      <c r="Z1410" s="93"/>
    </row>
    <row r="1411" customFormat="false" ht="16.4" hidden="false" customHeight="false" outlineLevel="0" collapsed="false">
      <c r="A1411" s="123" t="n">
        <v>45444</v>
      </c>
      <c r="B1411" s="31" t="s">
        <v>153</v>
      </c>
      <c r="C1411" s="129"/>
      <c r="D1411" s="129"/>
      <c r="E1411" s="19" t="n">
        <f aca="false">F1411*0.03</f>
        <v>0</v>
      </c>
      <c r="F1411" s="33" t="n">
        <v>0</v>
      </c>
      <c r="G1411" s="131"/>
      <c r="H1411" s="35" t="n">
        <v>0</v>
      </c>
      <c r="I1411" s="34" t="n">
        <f aca="false">+IF(E1411=0,0,E1411*0.03)</f>
        <v>0</v>
      </c>
      <c r="J1411" s="93"/>
      <c r="K1411" s="93"/>
      <c r="L1411" s="93"/>
      <c r="M1411" s="93"/>
      <c r="N1411" s="93"/>
      <c r="O1411" s="93"/>
      <c r="P1411" s="93"/>
      <c r="Q1411" s="93"/>
      <c r="R1411" s="93"/>
      <c r="S1411" s="93"/>
      <c r="T1411" s="93"/>
      <c r="U1411" s="93"/>
      <c r="V1411" s="93"/>
      <c r="W1411" s="93"/>
      <c r="X1411" s="93"/>
      <c r="Y1411" s="93"/>
      <c r="Z1411" s="93"/>
    </row>
    <row r="1412" customFormat="false" ht="16.4" hidden="false" customHeight="false" outlineLevel="0" collapsed="false">
      <c r="A1412" s="123" t="n">
        <v>45444</v>
      </c>
      <c r="B1412" s="31" t="s">
        <v>153</v>
      </c>
      <c r="C1412" s="129"/>
      <c r="D1412" s="129"/>
      <c r="E1412" s="19" t="n">
        <f aca="false">F1412*0.03</f>
        <v>0</v>
      </c>
      <c r="F1412" s="33" t="n">
        <v>0</v>
      </c>
      <c r="G1412" s="131"/>
      <c r="H1412" s="35" t="n">
        <v>0</v>
      </c>
      <c r="I1412" s="34" t="n">
        <f aca="false">+IF(E1412=0,0,E1412*0.03)</f>
        <v>0</v>
      </c>
      <c r="J1412" s="93"/>
      <c r="K1412" s="93"/>
      <c r="L1412" s="93"/>
      <c r="M1412" s="93"/>
      <c r="N1412" s="93"/>
      <c r="O1412" s="93"/>
      <c r="P1412" s="93"/>
      <c r="Q1412" s="93"/>
      <c r="R1412" s="93"/>
      <c r="S1412" s="93"/>
      <c r="T1412" s="93"/>
      <c r="U1412" s="93"/>
      <c r="V1412" s="93"/>
      <c r="W1412" s="93"/>
      <c r="X1412" s="93"/>
      <c r="Y1412" s="93"/>
      <c r="Z1412" s="93"/>
    </row>
    <row r="1413" customFormat="false" ht="16.4" hidden="false" customHeight="false" outlineLevel="0" collapsed="false">
      <c r="A1413" s="123" t="n">
        <v>45444</v>
      </c>
      <c r="B1413" s="31" t="s">
        <v>153</v>
      </c>
      <c r="C1413" s="129"/>
      <c r="D1413" s="129"/>
      <c r="E1413" s="19" t="n">
        <f aca="false">F1413*0.03</f>
        <v>0</v>
      </c>
      <c r="F1413" s="33" t="n">
        <v>0</v>
      </c>
      <c r="G1413" s="131"/>
      <c r="H1413" s="35" t="n">
        <v>0</v>
      </c>
      <c r="I1413" s="34" t="n">
        <f aca="false">+IF(E1413=0,0,E1413*0.03)</f>
        <v>0</v>
      </c>
      <c r="J1413" s="93"/>
      <c r="K1413" s="93"/>
      <c r="L1413" s="93"/>
      <c r="M1413" s="93"/>
      <c r="N1413" s="93"/>
      <c r="O1413" s="93"/>
      <c r="P1413" s="93"/>
      <c r="Q1413" s="93"/>
      <c r="R1413" s="93"/>
      <c r="S1413" s="93"/>
      <c r="T1413" s="93"/>
      <c r="U1413" s="93"/>
      <c r="V1413" s="93"/>
      <c r="W1413" s="93"/>
      <c r="X1413" s="93"/>
      <c r="Y1413" s="93"/>
      <c r="Z1413" s="93"/>
    </row>
    <row r="1414" customFormat="false" ht="16.4" hidden="false" customHeight="false" outlineLevel="0" collapsed="false">
      <c r="A1414" s="123" t="n">
        <v>45444</v>
      </c>
      <c r="B1414" s="31" t="s">
        <v>153</v>
      </c>
      <c r="C1414" s="129"/>
      <c r="D1414" s="129"/>
      <c r="E1414" s="19" t="n">
        <f aca="false">F1414*0.03</f>
        <v>0</v>
      </c>
      <c r="F1414" s="33" t="n">
        <v>0</v>
      </c>
      <c r="G1414" s="131"/>
      <c r="H1414" s="35" t="n">
        <v>0</v>
      </c>
      <c r="I1414" s="34" t="n">
        <f aca="false">+IF(E1414=0,0,E1414*0.03)</f>
        <v>0</v>
      </c>
      <c r="J1414" s="93"/>
      <c r="K1414" s="93"/>
      <c r="L1414" s="93"/>
      <c r="M1414" s="93"/>
      <c r="N1414" s="93"/>
      <c r="O1414" s="93"/>
      <c r="P1414" s="93"/>
      <c r="Q1414" s="93"/>
      <c r="R1414" s="93"/>
      <c r="S1414" s="93"/>
      <c r="T1414" s="93"/>
      <c r="U1414" s="93"/>
      <c r="V1414" s="93"/>
      <c r="W1414" s="93"/>
      <c r="X1414" s="93"/>
      <c r="Y1414" s="93"/>
      <c r="Z1414" s="93"/>
    </row>
    <row r="1415" customFormat="false" ht="16.4" hidden="false" customHeight="false" outlineLevel="0" collapsed="false">
      <c r="A1415" s="123" t="n">
        <v>45444</v>
      </c>
      <c r="B1415" s="31" t="s">
        <v>153</v>
      </c>
      <c r="C1415" s="129"/>
      <c r="D1415" s="129"/>
      <c r="E1415" s="19" t="n">
        <f aca="false">F1415*0.03</f>
        <v>0</v>
      </c>
      <c r="F1415" s="33" t="n">
        <v>0</v>
      </c>
      <c r="G1415" s="131"/>
      <c r="H1415" s="35" t="n">
        <v>0</v>
      </c>
      <c r="I1415" s="34" t="n">
        <f aca="false">+IF(E1415=0,0,E1415*0.03)</f>
        <v>0</v>
      </c>
      <c r="J1415" s="93"/>
      <c r="K1415" s="93"/>
      <c r="L1415" s="93"/>
      <c r="M1415" s="93"/>
      <c r="N1415" s="93"/>
      <c r="O1415" s="93"/>
      <c r="P1415" s="93"/>
      <c r="Q1415" s="93"/>
      <c r="R1415" s="93"/>
      <c r="S1415" s="93"/>
      <c r="T1415" s="93"/>
      <c r="U1415" s="93"/>
      <c r="V1415" s="93"/>
      <c r="W1415" s="93"/>
      <c r="X1415" s="93"/>
      <c r="Y1415" s="93"/>
      <c r="Z1415" s="93"/>
    </row>
    <row r="1416" customFormat="false" ht="16.4" hidden="false" customHeight="false" outlineLevel="0" collapsed="false">
      <c r="A1416" s="123" t="n">
        <v>45444</v>
      </c>
      <c r="B1416" s="31" t="s">
        <v>153</v>
      </c>
      <c r="C1416" s="129"/>
      <c r="D1416" s="129"/>
      <c r="E1416" s="19" t="n">
        <f aca="false">F1416*0.03</f>
        <v>0</v>
      </c>
      <c r="F1416" s="33" t="n">
        <v>0</v>
      </c>
      <c r="G1416" s="131"/>
      <c r="H1416" s="35" t="n">
        <v>0</v>
      </c>
      <c r="I1416" s="34" t="n">
        <f aca="false">+IF(E1416=0,0,E1416*0.03)</f>
        <v>0</v>
      </c>
      <c r="J1416" s="93"/>
      <c r="K1416" s="93"/>
      <c r="L1416" s="93"/>
      <c r="M1416" s="93"/>
      <c r="N1416" s="93"/>
      <c r="O1416" s="93"/>
      <c r="P1416" s="93"/>
      <c r="Q1416" s="93"/>
      <c r="R1416" s="93"/>
      <c r="S1416" s="93"/>
      <c r="T1416" s="93"/>
      <c r="U1416" s="93"/>
      <c r="V1416" s="93"/>
      <c r="W1416" s="93"/>
      <c r="X1416" s="93"/>
      <c r="Y1416" s="93"/>
      <c r="Z1416" s="93"/>
    </row>
    <row r="1417" customFormat="false" ht="16.4" hidden="false" customHeight="false" outlineLevel="0" collapsed="false">
      <c r="A1417" s="123" t="n">
        <v>45444</v>
      </c>
      <c r="B1417" s="31" t="s">
        <v>153</v>
      </c>
      <c r="C1417" s="129"/>
      <c r="D1417" s="129"/>
      <c r="E1417" s="19" t="n">
        <f aca="false">F1417*0.03</f>
        <v>0</v>
      </c>
      <c r="F1417" s="33" t="n">
        <v>0</v>
      </c>
      <c r="G1417" s="131"/>
      <c r="H1417" s="35" t="n">
        <v>0</v>
      </c>
      <c r="I1417" s="34" t="n">
        <f aca="false">+IF(E1417=0,0,E1417*0.03)</f>
        <v>0</v>
      </c>
      <c r="J1417" s="93"/>
      <c r="K1417" s="93"/>
      <c r="L1417" s="93"/>
      <c r="M1417" s="93"/>
      <c r="N1417" s="93"/>
      <c r="O1417" s="93"/>
      <c r="P1417" s="93"/>
      <c r="Q1417" s="93"/>
      <c r="R1417" s="93"/>
      <c r="S1417" s="93"/>
      <c r="T1417" s="93"/>
      <c r="U1417" s="93"/>
      <c r="V1417" s="93"/>
      <c r="W1417" s="93"/>
      <c r="X1417" s="93"/>
      <c r="Y1417" s="93"/>
      <c r="Z1417" s="93"/>
    </row>
    <row r="1418" customFormat="false" ht="16.4" hidden="false" customHeight="false" outlineLevel="0" collapsed="false">
      <c r="A1418" s="123" t="n">
        <v>45444</v>
      </c>
      <c r="B1418" s="31" t="s">
        <v>153</v>
      </c>
      <c r="C1418" s="129"/>
      <c r="D1418" s="129"/>
      <c r="E1418" s="19" t="n">
        <f aca="false">F1418*0.03</f>
        <v>0</v>
      </c>
      <c r="F1418" s="33" t="n">
        <v>0</v>
      </c>
      <c r="G1418" s="131"/>
      <c r="H1418" s="35" t="n">
        <v>0</v>
      </c>
      <c r="I1418" s="34" t="n">
        <f aca="false">+IF(E1418=0,0,E1418*0.03)</f>
        <v>0</v>
      </c>
      <c r="J1418" s="93"/>
      <c r="K1418" s="93"/>
      <c r="L1418" s="93"/>
      <c r="M1418" s="93"/>
      <c r="N1418" s="93"/>
      <c r="O1418" s="93"/>
      <c r="P1418" s="93"/>
      <c r="Q1418" s="93"/>
      <c r="R1418" s="93"/>
      <c r="S1418" s="93"/>
      <c r="T1418" s="93"/>
      <c r="U1418" s="93"/>
      <c r="V1418" s="93"/>
      <c r="W1418" s="93"/>
      <c r="X1418" s="93"/>
      <c r="Y1418" s="93"/>
      <c r="Z1418" s="93"/>
    </row>
    <row r="1419" customFormat="false" ht="16.4" hidden="false" customHeight="false" outlineLevel="0" collapsed="false">
      <c r="A1419" s="123" t="n">
        <v>45444</v>
      </c>
      <c r="B1419" s="31" t="s">
        <v>153</v>
      </c>
      <c r="C1419" s="129"/>
      <c r="D1419" s="129"/>
      <c r="E1419" s="19" t="n">
        <f aca="false">F1419*0.03</f>
        <v>0</v>
      </c>
      <c r="F1419" s="33" t="n">
        <v>0</v>
      </c>
      <c r="G1419" s="131"/>
      <c r="H1419" s="35" t="n">
        <v>0</v>
      </c>
      <c r="I1419" s="34" t="n">
        <f aca="false">+IF(E1419=0,0,E1419*0.03)</f>
        <v>0</v>
      </c>
      <c r="J1419" s="93"/>
      <c r="K1419" s="93"/>
      <c r="L1419" s="93"/>
      <c r="M1419" s="93"/>
      <c r="N1419" s="93"/>
      <c r="O1419" s="93"/>
      <c r="P1419" s="93"/>
      <c r="Q1419" s="93"/>
      <c r="R1419" s="93"/>
      <c r="S1419" s="93"/>
      <c r="T1419" s="93"/>
      <c r="U1419" s="93"/>
      <c r="V1419" s="93"/>
      <c r="W1419" s="93"/>
      <c r="X1419" s="93"/>
      <c r="Y1419" s="93"/>
      <c r="Z1419" s="93"/>
    </row>
    <row r="1420" customFormat="false" ht="16.4" hidden="false" customHeight="false" outlineLevel="0" collapsed="false">
      <c r="A1420" s="123" t="n">
        <v>45444</v>
      </c>
      <c r="B1420" s="31" t="s">
        <v>153</v>
      </c>
      <c r="C1420" s="129"/>
      <c r="D1420" s="129"/>
      <c r="E1420" s="19" t="n">
        <f aca="false">F1420*0.03</f>
        <v>0</v>
      </c>
      <c r="F1420" s="33" t="n">
        <v>0</v>
      </c>
      <c r="G1420" s="131"/>
      <c r="H1420" s="35" t="n">
        <v>0</v>
      </c>
      <c r="I1420" s="34" t="n">
        <f aca="false">+IF(E1420=0,0,E1420*0.03)</f>
        <v>0</v>
      </c>
      <c r="J1420" s="93"/>
      <c r="K1420" s="93"/>
      <c r="L1420" s="93"/>
      <c r="M1420" s="93"/>
      <c r="N1420" s="93"/>
      <c r="O1420" s="93"/>
      <c r="P1420" s="93"/>
      <c r="Q1420" s="93"/>
      <c r="R1420" s="93"/>
      <c r="S1420" s="93"/>
      <c r="T1420" s="93"/>
      <c r="U1420" s="93"/>
      <c r="V1420" s="93"/>
      <c r="W1420" s="93"/>
      <c r="X1420" s="93"/>
      <c r="Y1420" s="93"/>
      <c r="Z1420" s="93"/>
    </row>
    <row r="1421" customFormat="false" ht="16.4" hidden="false" customHeight="false" outlineLevel="0" collapsed="false">
      <c r="A1421" s="123" t="n">
        <v>45444</v>
      </c>
      <c r="B1421" s="31" t="s">
        <v>153</v>
      </c>
      <c r="C1421" s="129"/>
      <c r="D1421" s="129"/>
      <c r="E1421" s="19" t="n">
        <f aca="false">F1421*0.03</f>
        <v>0</v>
      </c>
      <c r="F1421" s="33" t="n">
        <v>0</v>
      </c>
      <c r="G1421" s="131"/>
      <c r="H1421" s="35" t="n">
        <v>0</v>
      </c>
      <c r="I1421" s="34" t="n">
        <f aca="false">+IF(E1421=0,0,E1421*0.03)</f>
        <v>0</v>
      </c>
      <c r="J1421" s="93"/>
      <c r="K1421" s="93"/>
      <c r="L1421" s="93"/>
      <c r="M1421" s="93"/>
      <c r="N1421" s="93"/>
      <c r="O1421" s="93"/>
      <c r="P1421" s="93"/>
      <c r="Q1421" s="93"/>
      <c r="R1421" s="93"/>
      <c r="S1421" s="93"/>
      <c r="T1421" s="93"/>
      <c r="U1421" s="93"/>
      <c r="V1421" s="93"/>
      <c r="W1421" s="93"/>
      <c r="X1421" s="93"/>
      <c r="Y1421" s="93"/>
      <c r="Z1421" s="93"/>
    </row>
    <row r="1422" customFormat="false" ht="16.4" hidden="false" customHeight="false" outlineLevel="0" collapsed="false">
      <c r="A1422" s="123" t="n">
        <v>45444</v>
      </c>
      <c r="B1422" s="31" t="s">
        <v>153</v>
      </c>
      <c r="C1422" s="129"/>
      <c r="D1422" s="129"/>
      <c r="E1422" s="19" t="n">
        <f aca="false">F1422*0.03</f>
        <v>0</v>
      </c>
      <c r="F1422" s="33" t="n">
        <v>0</v>
      </c>
      <c r="G1422" s="131"/>
      <c r="H1422" s="35" t="n">
        <v>0</v>
      </c>
      <c r="I1422" s="34" t="n">
        <f aca="false">+IF(E1422=0,0,E1422*0.03)</f>
        <v>0</v>
      </c>
      <c r="J1422" s="93"/>
      <c r="K1422" s="93"/>
      <c r="L1422" s="93"/>
      <c r="M1422" s="93"/>
      <c r="N1422" s="93"/>
      <c r="O1422" s="93"/>
      <c r="P1422" s="93"/>
      <c r="Q1422" s="93"/>
      <c r="R1422" s="93"/>
      <c r="S1422" s="93"/>
      <c r="T1422" s="93"/>
      <c r="U1422" s="93"/>
      <c r="V1422" s="93"/>
      <c r="W1422" s="93"/>
      <c r="X1422" s="93"/>
      <c r="Y1422" s="93"/>
      <c r="Z1422" s="93"/>
    </row>
    <row r="1423" customFormat="false" ht="16.4" hidden="false" customHeight="false" outlineLevel="0" collapsed="false">
      <c r="A1423" s="123" t="n">
        <v>45444</v>
      </c>
      <c r="B1423" s="31" t="s">
        <v>153</v>
      </c>
      <c r="C1423" s="129"/>
      <c r="D1423" s="129"/>
      <c r="E1423" s="19" t="n">
        <f aca="false">F1423*0.03</f>
        <v>0</v>
      </c>
      <c r="F1423" s="33" t="n">
        <v>0</v>
      </c>
      <c r="G1423" s="131"/>
      <c r="H1423" s="35" t="n">
        <v>0</v>
      </c>
      <c r="I1423" s="34" t="n">
        <f aca="false">+IF(E1423=0,0,E1423*0.03)</f>
        <v>0</v>
      </c>
      <c r="J1423" s="93"/>
      <c r="K1423" s="93"/>
      <c r="L1423" s="93"/>
      <c r="M1423" s="93"/>
      <c r="N1423" s="93"/>
      <c r="O1423" s="93"/>
      <c r="P1423" s="93"/>
      <c r="Q1423" s="93"/>
      <c r="R1423" s="93"/>
      <c r="S1423" s="93"/>
      <c r="T1423" s="93"/>
      <c r="U1423" s="93"/>
      <c r="V1423" s="93"/>
      <c r="W1423" s="93"/>
      <c r="X1423" s="93"/>
      <c r="Y1423" s="93"/>
      <c r="Z1423" s="93"/>
    </row>
    <row r="1424" customFormat="false" ht="16.4" hidden="false" customHeight="false" outlineLevel="0" collapsed="false">
      <c r="A1424" s="123" t="n">
        <v>45444</v>
      </c>
      <c r="B1424" s="31" t="s">
        <v>153</v>
      </c>
      <c r="C1424" s="129"/>
      <c r="D1424" s="129"/>
      <c r="E1424" s="19" t="n">
        <f aca="false">F1424*0.03</f>
        <v>0</v>
      </c>
      <c r="F1424" s="33" t="n">
        <v>0</v>
      </c>
      <c r="G1424" s="131"/>
      <c r="H1424" s="35" t="n">
        <v>0</v>
      </c>
      <c r="I1424" s="34" t="n">
        <f aca="false">+IF(E1424=0,0,E1424*0.03)</f>
        <v>0</v>
      </c>
      <c r="J1424" s="93"/>
      <c r="K1424" s="93"/>
      <c r="L1424" s="93"/>
      <c r="M1424" s="93"/>
      <c r="N1424" s="93"/>
      <c r="O1424" s="93"/>
      <c r="P1424" s="93"/>
      <c r="Q1424" s="93"/>
      <c r="R1424" s="93"/>
      <c r="S1424" s="93"/>
      <c r="T1424" s="93"/>
      <c r="U1424" s="93"/>
      <c r="V1424" s="93"/>
      <c r="W1424" s="93"/>
      <c r="X1424" s="93"/>
      <c r="Y1424" s="93"/>
      <c r="Z1424" s="93"/>
    </row>
    <row r="1425" customFormat="false" ht="16.4" hidden="false" customHeight="false" outlineLevel="0" collapsed="false">
      <c r="A1425" s="123" t="n">
        <v>45444</v>
      </c>
      <c r="B1425" s="31" t="s">
        <v>153</v>
      </c>
      <c r="C1425" s="129"/>
      <c r="D1425" s="129"/>
      <c r="E1425" s="19" t="n">
        <f aca="false">F1425*0.03</f>
        <v>0</v>
      </c>
      <c r="F1425" s="33" t="n">
        <v>0</v>
      </c>
      <c r="G1425" s="131"/>
      <c r="H1425" s="35" t="n">
        <v>0</v>
      </c>
      <c r="I1425" s="34" t="n">
        <f aca="false">+IF(E1425=0,0,E1425*0.03)</f>
        <v>0</v>
      </c>
      <c r="J1425" s="93"/>
      <c r="K1425" s="93"/>
      <c r="L1425" s="93"/>
      <c r="M1425" s="93"/>
      <c r="N1425" s="93"/>
      <c r="O1425" s="93"/>
      <c r="P1425" s="93"/>
      <c r="Q1425" s="93"/>
      <c r="R1425" s="93"/>
      <c r="S1425" s="93"/>
      <c r="T1425" s="93"/>
      <c r="U1425" s="93"/>
      <c r="V1425" s="93"/>
      <c r="W1425" s="93"/>
      <c r="X1425" s="93"/>
      <c r="Y1425" s="93"/>
      <c r="Z1425" s="93"/>
    </row>
    <row r="1426" customFormat="false" ht="16.4" hidden="false" customHeight="false" outlineLevel="0" collapsed="false">
      <c r="A1426" s="123" t="n">
        <v>45444</v>
      </c>
      <c r="B1426" s="31" t="s">
        <v>153</v>
      </c>
      <c r="C1426" s="129"/>
      <c r="D1426" s="129"/>
      <c r="E1426" s="19" t="n">
        <f aca="false">F1426*0.03</f>
        <v>0</v>
      </c>
      <c r="F1426" s="33" t="n">
        <v>0</v>
      </c>
      <c r="G1426" s="131"/>
      <c r="H1426" s="35" t="n">
        <v>0</v>
      </c>
      <c r="I1426" s="34" t="n">
        <f aca="false">+IF(E1426=0,0,E1426*0.03)</f>
        <v>0</v>
      </c>
      <c r="J1426" s="93"/>
      <c r="K1426" s="93"/>
      <c r="L1426" s="93"/>
      <c r="M1426" s="93"/>
      <c r="N1426" s="93"/>
      <c r="O1426" s="93"/>
      <c r="P1426" s="93"/>
      <c r="Q1426" s="93"/>
      <c r="R1426" s="93"/>
      <c r="S1426" s="93"/>
      <c r="T1426" s="93"/>
      <c r="U1426" s="93"/>
      <c r="V1426" s="93"/>
      <c r="W1426" s="93"/>
      <c r="X1426" s="93"/>
      <c r="Y1426" s="93"/>
      <c r="Z1426" s="93"/>
    </row>
    <row r="1427" customFormat="false" ht="16.4" hidden="false" customHeight="false" outlineLevel="0" collapsed="false">
      <c r="A1427" s="123" t="n">
        <v>45444</v>
      </c>
      <c r="B1427" s="31" t="s">
        <v>153</v>
      </c>
      <c r="C1427" s="129"/>
      <c r="D1427" s="129"/>
      <c r="E1427" s="19" t="n">
        <f aca="false">F1427*0.03</f>
        <v>0</v>
      </c>
      <c r="F1427" s="33" t="n">
        <v>0</v>
      </c>
      <c r="G1427" s="131"/>
      <c r="H1427" s="35" t="n">
        <v>0</v>
      </c>
      <c r="I1427" s="34" t="n">
        <f aca="false">+IF(E1427=0,0,E1427*0.03)</f>
        <v>0</v>
      </c>
      <c r="J1427" s="93"/>
      <c r="K1427" s="93"/>
      <c r="L1427" s="93"/>
      <c r="M1427" s="93"/>
      <c r="N1427" s="93"/>
      <c r="O1427" s="93"/>
      <c r="P1427" s="93"/>
      <c r="Q1427" s="93"/>
      <c r="R1427" s="93"/>
      <c r="S1427" s="93"/>
      <c r="T1427" s="93"/>
      <c r="U1427" s="93"/>
      <c r="V1427" s="93"/>
      <c r="W1427" s="93"/>
      <c r="X1427" s="93"/>
      <c r="Y1427" s="93"/>
      <c r="Z1427" s="93"/>
    </row>
    <row r="1428" customFormat="false" ht="16.4" hidden="false" customHeight="false" outlineLevel="0" collapsed="false">
      <c r="A1428" s="123" t="n">
        <v>45444</v>
      </c>
      <c r="B1428" s="31" t="s">
        <v>153</v>
      </c>
      <c r="C1428" s="129"/>
      <c r="D1428" s="129"/>
      <c r="E1428" s="19" t="n">
        <f aca="false">F1428*0.03</f>
        <v>0</v>
      </c>
      <c r="F1428" s="33" t="n">
        <v>0</v>
      </c>
      <c r="G1428" s="131"/>
      <c r="H1428" s="35" t="n">
        <v>0</v>
      </c>
      <c r="I1428" s="34" t="n">
        <f aca="false">+IF(E1428=0,0,E1428*0.03)</f>
        <v>0</v>
      </c>
      <c r="J1428" s="93"/>
      <c r="K1428" s="93"/>
      <c r="L1428" s="93"/>
      <c r="M1428" s="93"/>
      <c r="N1428" s="93"/>
      <c r="O1428" s="93"/>
      <c r="P1428" s="93"/>
      <c r="Q1428" s="93"/>
      <c r="R1428" s="93"/>
      <c r="S1428" s="93"/>
      <c r="T1428" s="93"/>
      <c r="U1428" s="93"/>
      <c r="V1428" s="93"/>
      <c r="W1428" s="93"/>
      <c r="X1428" s="93"/>
      <c r="Y1428" s="93"/>
      <c r="Z1428" s="93"/>
    </row>
    <row r="1429" customFormat="false" ht="16.4" hidden="false" customHeight="false" outlineLevel="0" collapsed="false">
      <c r="A1429" s="123" t="n">
        <v>45444</v>
      </c>
      <c r="B1429" s="31" t="s">
        <v>153</v>
      </c>
      <c r="C1429" s="129"/>
      <c r="D1429" s="129"/>
      <c r="E1429" s="19" t="n">
        <f aca="false">F1429*0.03</f>
        <v>0</v>
      </c>
      <c r="F1429" s="33" t="n">
        <v>0</v>
      </c>
      <c r="G1429" s="131"/>
      <c r="H1429" s="35" t="n">
        <v>0</v>
      </c>
      <c r="I1429" s="34" t="n">
        <f aca="false">+IF(E1429=0,0,E1429*0.03)</f>
        <v>0</v>
      </c>
      <c r="J1429" s="93"/>
      <c r="K1429" s="93"/>
      <c r="L1429" s="93"/>
      <c r="M1429" s="93"/>
      <c r="N1429" s="93"/>
      <c r="O1429" s="93"/>
      <c r="P1429" s="93"/>
      <c r="Q1429" s="93"/>
      <c r="R1429" s="93"/>
      <c r="S1429" s="93"/>
      <c r="T1429" s="93"/>
      <c r="U1429" s="93"/>
      <c r="V1429" s="93"/>
      <c r="W1429" s="93"/>
      <c r="X1429" s="93"/>
      <c r="Y1429" s="93"/>
      <c r="Z1429" s="93"/>
    </row>
    <row r="1430" customFormat="false" ht="16.4" hidden="false" customHeight="false" outlineLevel="0" collapsed="false">
      <c r="A1430" s="123" t="n">
        <v>45444</v>
      </c>
      <c r="B1430" s="31" t="s">
        <v>153</v>
      </c>
      <c r="C1430" s="129"/>
      <c r="D1430" s="129"/>
      <c r="E1430" s="19" t="n">
        <f aca="false">F1430*0.03</f>
        <v>0</v>
      </c>
      <c r="F1430" s="33" t="n">
        <v>0</v>
      </c>
      <c r="G1430" s="131"/>
      <c r="H1430" s="35" t="n">
        <v>0</v>
      </c>
      <c r="I1430" s="34" t="n">
        <f aca="false">+IF(E1430=0,0,E1430*0.03)</f>
        <v>0</v>
      </c>
      <c r="J1430" s="93"/>
      <c r="K1430" s="93"/>
      <c r="L1430" s="93"/>
      <c r="M1430" s="93"/>
      <c r="N1430" s="93"/>
      <c r="O1430" s="93"/>
      <c r="P1430" s="93"/>
      <c r="Q1430" s="93"/>
      <c r="R1430" s="93"/>
      <c r="S1430" s="93"/>
      <c r="T1430" s="93"/>
      <c r="U1430" s="93"/>
      <c r="V1430" s="93"/>
      <c r="W1430" s="93"/>
      <c r="X1430" s="93"/>
      <c r="Y1430" s="93"/>
      <c r="Z1430" s="93"/>
    </row>
    <row r="1431" customFormat="false" ht="16.4" hidden="false" customHeight="false" outlineLevel="0" collapsed="false">
      <c r="A1431" s="123" t="n">
        <v>45444</v>
      </c>
      <c r="B1431" s="31" t="s">
        <v>153</v>
      </c>
      <c r="C1431" s="129"/>
      <c r="D1431" s="129"/>
      <c r="E1431" s="19" t="n">
        <f aca="false">F1431*0.03</f>
        <v>0</v>
      </c>
      <c r="F1431" s="33" t="n">
        <v>0</v>
      </c>
      <c r="G1431" s="131"/>
      <c r="H1431" s="35" t="n">
        <v>0</v>
      </c>
      <c r="I1431" s="34" t="n">
        <f aca="false">+IF(E1431=0,0,E1431*0.03)</f>
        <v>0</v>
      </c>
      <c r="J1431" s="93"/>
      <c r="K1431" s="93"/>
      <c r="L1431" s="93"/>
      <c r="M1431" s="93"/>
      <c r="N1431" s="93"/>
      <c r="O1431" s="93"/>
      <c r="P1431" s="93"/>
      <c r="Q1431" s="93"/>
      <c r="R1431" s="93"/>
      <c r="S1431" s="93"/>
      <c r="T1431" s="93"/>
      <c r="U1431" s="93"/>
      <c r="V1431" s="93"/>
      <c r="W1431" s="93"/>
      <c r="X1431" s="93"/>
      <c r="Y1431" s="93"/>
      <c r="Z1431" s="93"/>
    </row>
    <row r="1432" customFormat="false" ht="16.4" hidden="false" customHeight="false" outlineLevel="0" collapsed="false">
      <c r="A1432" s="123" t="n">
        <v>45444</v>
      </c>
      <c r="B1432" s="31" t="s">
        <v>153</v>
      </c>
      <c r="C1432" s="129"/>
      <c r="D1432" s="129"/>
      <c r="E1432" s="19" t="n">
        <f aca="false">F1432*0.03</f>
        <v>0</v>
      </c>
      <c r="F1432" s="33" t="n">
        <v>0</v>
      </c>
      <c r="G1432" s="131"/>
      <c r="H1432" s="35" t="n">
        <v>0</v>
      </c>
      <c r="I1432" s="34" t="n">
        <f aca="false">+IF(E1432=0,0,E1432*0.03)</f>
        <v>0</v>
      </c>
      <c r="J1432" s="93"/>
      <c r="K1432" s="93"/>
      <c r="L1432" s="93"/>
      <c r="M1432" s="93"/>
      <c r="N1432" s="93"/>
      <c r="O1432" s="93"/>
      <c r="P1432" s="93"/>
      <c r="Q1432" s="93"/>
      <c r="R1432" s="93"/>
      <c r="S1432" s="93"/>
      <c r="T1432" s="93"/>
      <c r="U1432" s="93"/>
      <c r="V1432" s="93"/>
      <c r="W1432" s="93"/>
      <c r="X1432" s="93"/>
      <c r="Y1432" s="93"/>
      <c r="Z1432" s="93"/>
    </row>
    <row r="1433" customFormat="false" ht="16.4" hidden="false" customHeight="false" outlineLevel="0" collapsed="false">
      <c r="A1433" s="123" t="n">
        <v>45444</v>
      </c>
      <c r="B1433" s="31" t="s">
        <v>153</v>
      </c>
      <c r="C1433" s="129"/>
      <c r="D1433" s="129"/>
      <c r="E1433" s="19" t="n">
        <f aca="false">F1433*0.03</f>
        <v>0</v>
      </c>
      <c r="F1433" s="33" t="n">
        <v>0</v>
      </c>
      <c r="G1433" s="131"/>
      <c r="H1433" s="35" t="n">
        <v>0</v>
      </c>
      <c r="I1433" s="34" t="n">
        <f aca="false">+IF(E1433=0,0,E1433*0.03)</f>
        <v>0</v>
      </c>
      <c r="J1433" s="93"/>
      <c r="K1433" s="93"/>
      <c r="L1433" s="93"/>
      <c r="M1433" s="93"/>
      <c r="N1433" s="93"/>
      <c r="O1433" s="93"/>
      <c r="P1433" s="93"/>
      <c r="Q1433" s="93"/>
      <c r="R1433" s="93"/>
      <c r="S1433" s="93"/>
      <c r="T1433" s="93"/>
      <c r="U1433" s="93"/>
      <c r="V1433" s="93"/>
      <c r="W1433" s="93"/>
      <c r="X1433" s="93"/>
      <c r="Y1433" s="93"/>
      <c r="Z1433" s="93"/>
    </row>
    <row r="1434" customFormat="false" ht="16.4" hidden="false" customHeight="false" outlineLevel="0" collapsed="false">
      <c r="A1434" s="123" t="n">
        <v>45444</v>
      </c>
      <c r="B1434" s="31" t="s">
        <v>153</v>
      </c>
      <c r="C1434" s="129"/>
      <c r="D1434" s="129"/>
      <c r="E1434" s="19" t="n">
        <f aca="false">F1434*0.03</f>
        <v>0</v>
      </c>
      <c r="F1434" s="33" t="n">
        <v>0</v>
      </c>
      <c r="G1434" s="131"/>
      <c r="H1434" s="35" t="n">
        <v>0</v>
      </c>
      <c r="I1434" s="34" t="n">
        <f aca="false">+IF(E1434=0,0,E1434*0.03)</f>
        <v>0</v>
      </c>
      <c r="J1434" s="93"/>
      <c r="K1434" s="93"/>
      <c r="L1434" s="93"/>
      <c r="M1434" s="93"/>
      <c r="N1434" s="93"/>
      <c r="O1434" s="93"/>
      <c r="P1434" s="93"/>
      <c r="Q1434" s="93"/>
      <c r="R1434" s="93"/>
      <c r="S1434" s="93"/>
      <c r="T1434" s="93"/>
      <c r="U1434" s="93"/>
      <c r="V1434" s="93"/>
      <c r="W1434" s="93"/>
      <c r="X1434" s="93"/>
      <c r="Y1434" s="93"/>
      <c r="Z1434" s="93"/>
    </row>
    <row r="1435" customFormat="false" ht="16.4" hidden="false" customHeight="false" outlineLevel="0" collapsed="false">
      <c r="A1435" s="123" t="n">
        <v>45444</v>
      </c>
      <c r="B1435" s="31" t="s">
        <v>153</v>
      </c>
      <c r="C1435" s="129"/>
      <c r="D1435" s="129"/>
      <c r="E1435" s="19" t="n">
        <f aca="false">F1435*0.03</f>
        <v>0</v>
      </c>
      <c r="F1435" s="33" t="n">
        <v>0</v>
      </c>
      <c r="G1435" s="131"/>
      <c r="H1435" s="35" t="n">
        <v>0</v>
      </c>
      <c r="I1435" s="34" t="n">
        <f aca="false">+IF(E1435=0,0,E1435*0.03)</f>
        <v>0</v>
      </c>
      <c r="J1435" s="93"/>
      <c r="K1435" s="93"/>
      <c r="L1435" s="93"/>
      <c r="M1435" s="93"/>
      <c r="N1435" s="93"/>
      <c r="O1435" s="93"/>
      <c r="P1435" s="93"/>
      <c r="Q1435" s="93"/>
      <c r="R1435" s="93"/>
      <c r="S1435" s="93"/>
      <c r="T1435" s="93"/>
      <c r="U1435" s="93"/>
      <c r="V1435" s="93"/>
      <c r="W1435" s="93"/>
      <c r="X1435" s="93"/>
      <c r="Y1435" s="93"/>
      <c r="Z1435" s="93"/>
    </row>
    <row r="1436" customFormat="false" ht="16.4" hidden="false" customHeight="false" outlineLevel="0" collapsed="false">
      <c r="A1436" s="123" t="n">
        <v>45444</v>
      </c>
      <c r="B1436" s="31" t="s">
        <v>153</v>
      </c>
      <c r="C1436" s="129"/>
      <c r="D1436" s="129"/>
      <c r="E1436" s="19" t="n">
        <f aca="false">F1436*0.03</f>
        <v>0</v>
      </c>
      <c r="F1436" s="33" t="n">
        <v>0</v>
      </c>
      <c r="G1436" s="131"/>
      <c r="H1436" s="35" t="n">
        <v>0</v>
      </c>
      <c r="I1436" s="34" t="n">
        <f aca="false">+IF(E1436=0,0,E1436*0.03)</f>
        <v>0</v>
      </c>
      <c r="J1436" s="93"/>
      <c r="K1436" s="93"/>
      <c r="L1436" s="93"/>
      <c r="M1436" s="93"/>
      <c r="N1436" s="93"/>
      <c r="O1436" s="93"/>
      <c r="P1436" s="93"/>
      <c r="Q1436" s="93"/>
      <c r="R1436" s="93"/>
      <c r="S1436" s="93"/>
      <c r="T1436" s="93"/>
      <c r="U1436" s="93"/>
      <c r="V1436" s="93"/>
      <c r="W1436" s="93"/>
      <c r="X1436" s="93"/>
      <c r="Y1436" s="93"/>
      <c r="Z1436" s="93"/>
    </row>
    <row r="1437" customFormat="false" ht="16.4" hidden="false" customHeight="false" outlineLevel="0" collapsed="false">
      <c r="A1437" s="123" t="n">
        <v>45444</v>
      </c>
      <c r="B1437" s="31" t="s">
        <v>153</v>
      </c>
      <c r="C1437" s="129"/>
      <c r="D1437" s="129"/>
      <c r="E1437" s="19" t="n">
        <f aca="false">F1437*0.03</f>
        <v>0</v>
      </c>
      <c r="F1437" s="33" t="n">
        <v>0</v>
      </c>
      <c r="G1437" s="131"/>
      <c r="H1437" s="35" t="n">
        <v>0</v>
      </c>
      <c r="I1437" s="34" t="n">
        <f aca="false">+IF(E1437=0,0,E1437*0.03)</f>
        <v>0</v>
      </c>
      <c r="J1437" s="93"/>
      <c r="K1437" s="93"/>
      <c r="L1437" s="93"/>
      <c r="M1437" s="93"/>
      <c r="N1437" s="93"/>
      <c r="O1437" s="93"/>
      <c r="P1437" s="93"/>
      <c r="Q1437" s="93"/>
      <c r="R1437" s="93"/>
      <c r="S1437" s="93"/>
      <c r="T1437" s="93"/>
      <c r="U1437" s="93"/>
      <c r="V1437" s="93"/>
      <c r="W1437" s="93"/>
      <c r="X1437" s="93"/>
      <c r="Y1437" s="93"/>
      <c r="Z1437" s="93"/>
    </row>
    <row r="1438" customFormat="false" ht="16.4" hidden="false" customHeight="false" outlineLevel="0" collapsed="false">
      <c r="A1438" s="123" t="n">
        <v>45444</v>
      </c>
      <c r="B1438" s="31" t="s">
        <v>153</v>
      </c>
      <c r="C1438" s="129"/>
      <c r="D1438" s="129"/>
      <c r="E1438" s="19" t="n">
        <f aca="false">F1438*0.03</f>
        <v>0</v>
      </c>
      <c r="F1438" s="33" t="n">
        <v>0</v>
      </c>
      <c r="G1438" s="131"/>
      <c r="H1438" s="35" t="n">
        <v>0</v>
      </c>
      <c r="I1438" s="34" t="n">
        <f aca="false">+IF(E1438=0,0,E1438*0.03)</f>
        <v>0</v>
      </c>
      <c r="J1438" s="93"/>
      <c r="K1438" s="93"/>
      <c r="L1438" s="93"/>
      <c r="M1438" s="93"/>
      <c r="N1438" s="93"/>
      <c r="O1438" s="93"/>
      <c r="P1438" s="93"/>
      <c r="Q1438" s="93"/>
      <c r="R1438" s="93"/>
      <c r="S1438" s="93"/>
      <c r="T1438" s="93"/>
      <c r="U1438" s="93"/>
      <c r="V1438" s="93"/>
      <c r="W1438" s="93"/>
      <c r="X1438" s="93"/>
      <c r="Y1438" s="93"/>
      <c r="Z1438" s="93"/>
    </row>
    <row r="1439" customFormat="false" ht="16.4" hidden="false" customHeight="false" outlineLevel="0" collapsed="false">
      <c r="A1439" s="123" t="n">
        <v>45444</v>
      </c>
      <c r="B1439" s="31" t="s">
        <v>153</v>
      </c>
      <c r="C1439" s="129"/>
      <c r="D1439" s="129"/>
      <c r="E1439" s="19" t="n">
        <f aca="false">F1439*0.03</f>
        <v>0</v>
      </c>
      <c r="F1439" s="33" t="n">
        <v>0</v>
      </c>
      <c r="G1439" s="131"/>
      <c r="H1439" s="35" t="n">
        <v>0</v>
      </c>
      <c r="I1439" s="34" t="n">
        <f aca="false">+IF(E1439=0,0,E1439*0.03)</f>
        <v>0</v>
      </c>
      <c r="J1439" s="93"/>
      <c r="K1439" s="93"/>
      <c r="L1439" s="93"/>
      <c r="M1439" s="93"/>
      <c r="N1439" s="93"/>
      <c r="O1439" s="93"/>
      <c r="P1439" s="93"/>
      <c r="Q1439" s="93"/>
      <c r="R1439" s="93"/>
      <c r="S1439" s="93"/>
      <c r="T1439" s="93"/>
      <c r="U1439" s="93"/>
      <c r="V1439" s="93"/>
      <c r="W1439" s="93"/>
      <c r="X1439" s="93"/>
      <c r="Y1439" s="93"/>
      <c r="Z1439" s="93"/>
    </row>
    <row r="1440" customFormat="false" ht="16.4" hidden="false" customHeight="false" outlineLevel="0" collapsed="false">
      <c r="A1440" s="123" t="n">
        <v>45444</v>
      </c>
      <c r="B1440" s="31" t="s">
        <v>153</v>
      </c>
      <c r="C1440" s="129"/>
      <c r="D1440" s="129"/>
      <c r="E1440" s="19" t="n">
        <f aca="false">F1440*0.03</f>
        <v>0</v>
      </c>
      <c r="F1440" s="33" t="n">
        <v>0</v>
      </c>
      <c r="G1440" s="131"/>
      <c r="H1440" s="35" t="n">
        <v>0</v>
      </c>
      <c r="I1440" s="34" t="n">
        <f aca="false">+IF(E1440=0,0,E1440*0.03)</f>
        <v>0</v>
      </c>
      <c r="J1440" s="93"/>
      <c r="K1440" s="93"/>
      <c r="L1440" s="93"/>
      <c r="M1440" s="93"/>
      <c r="N1440" s="93"/>
      <c r="O1440" s="93"/>
      <c r="P1440" s="93"/>
      <c r="Q1440" s="93"/>
      <c r="R1440" s="93"/>
      <c r="S1440" s="93"/>
      <c r="T1440" s="93"/>
      <c r="U1440" s="93"/>
      <c r="V1440" s="93"/>
      <c r="W1440" s="93"/>
      <c r="X1440" s="93"/>
      <c r="Y1440" s="93"/>
      <c r="Z1440" s="93"/>
    </row>
    <row r="1441" customFormat="false" ht="16.4" hidden="false" customHeight="false" outlineLevel="0" collapsed="false">
      <c r="A1441" s="123" t="n">
        <v>45444</v>
      </c>
      <c r="B1441" s="31" t="s">
        <v>153</v>
      </c>
      <c r="C1441" s="129"/>
      <c r="D1441" s="129"/>
      <c r="E1441" s="19" t="n">
        <f aca="false">F1441*0.03</f>
        <v>0</v>
      </c>
      <c r="F1441" s="33" t="n">
        <v>0</v>
      </c>
      <c r="G1441" s="131"/>
      <c r="H1441" s="35" t="n">
        <v>0</v>
      </c>
      <c r="I1441" s="34" t="n">
        <f aca="false">+IF(E1441=0,0,E1441*0.03)</f>
        <v>0</v>
      </c>
      <c r="J1441" s="93"/>
      <c r="K1441" s="93"/>
      <c r="L1441" s="93"/>
      <c r="M1441" s="93"/>
      <c r="N1441" s="93"/>
      <c r="O1441" s="93"/>
      <c r="P1441" s="93"/>
      <c r="Q1441" s="93"/>
      <c r="R1441" s="93"/>
      <c r="S1441" s="93"/>
      <c r="T1441" s="93"/>
      <c r="U1441" s="93"/>
      <c r="V1441" s="93"/>
      <c r="W1441" s="93"/>
      <c r="X1441" s="93"/>
      <c r="Y1441" s="93"/>
      <c r="Z1441" s="93"/>
    </row>
    <row r="1442" customFormat="false" ht="16.4" hidden="false" customHeight="false" outlineLevel="0" collapsed="false">
      <c r="A1442" s="123" t="n">
        <v>45444</v>
      </c>
      <c r="B1442" s="31" t="s">
        <v>153</v>
      </c>
      <c r="C1442" s="129"/>
      <c r="D1442" s="129"/>
      <c r="E1442" s="19" t="n">
        <f aca="false">F1442*0.03</f>
        <v>0</v>
      </c>
      <c r="F1442" s="33" t="n">
        <v>0</v>
      </c>
      <c r="G1442" s="131"/>
      <c r="H1442" s="35" t="n">
        <v>0</v>
      </c>
      <c r="I1442" s="34" t="n">
        <f aca="false">+IF(E1442=0,0,E1442*0.03)</f>
        <v>0</v>
      </c>
      <c r="J1442" s="93"/>
      <c r="K1442" s="93"/>
      <c r="L1442" s="93"/>
      <c r="M1442" s="93"/>
      <c r="N1442" s="93"/>
      <c r="O1442" s="93"/>
      <c r="P1442" s="93"/>
      <c r="Q1442" s="93"/>
      <c r="R1442" s="93"/>
      <c r="S1442" s="93"/>
      <c r="T1442" s="93"/>
      <c r="U1442" s="93"/>
      <c r="V1442" s="93"/>
      <c r="W1442" s="93"/>
      <c r="X1442" s="93"/>
      <c r="Y1442" s="93"/>
      <c r="Z1442" s="93"/>
    </row>
    <row r="1443" customFormat="false" ht="16.4" hidden="false" customHeight="false" outlineLevel="0" collapsed="false">
      <c r="A1443" s="123" t="n">
        <v>45444</v>
      </c>
      <c r="B1443" s="31" t="s">
        <v>153</v>
      </c>
      <c r="C1443" s="129"/>
      <c r="D1443" s="129"/>
      <c r="E1443" s="19" t="n">
        <f aca="false">F1443*0.03</f>
        <v>0</v>
      </c>
      <c r="F1443" s="33" t="n">
        <v>0</v>
      </c>
      <c r="G1443" s="131"/>
      <c r="H1443" s="35" t="n">
        <v>0</v>
      </c>
      <c r="I1443" s="34" t="n">
        <f aca="false">+IF(E1443=0,0,E1443*0.03)</f>
        <v>0</v>
      </c>
      <c r="J1443" s="93"/>
      <c r="K1443" s="93"/>
      <c r="L1443" s="93"/>
      <c r="M1443" s="93"/>
      <c r="N1443" s="93"/>
      <c r="O1443" s="93"/>
      <c r="P1443" s="93"/>
      <c r="Q1443" s="93"/>
      <c r="R1443" s="93"/>
      <c r="S1443" s="93"/>
      <c r="T1443" s="93"/>
      <c r="U1443" s="93"/>
      <c r="V1443" s="93"/>
      <c r="W1443" s="93"/>
      <c r="X1443" s="93"/>
      <c r="Y1443" s="93"/>
      <c r="Z1443" s="93"/>
    </row>
    <row r="1444" customFormat="false" ht="16.4" hidden="false" customHeight="false" outlineLevel="0" collapsed="false">
      <c r="A1444" s="123" t="n">
        <v>45444</v>
      </c>
      <c r="B1444" s="31" t="s">
        <v>153</v>
      </c>
      <c r="C1444" s="129"/>
      <c r="D1444" s="129"/>
      <c r="E1444" s="19" t="n">
        <f aca="false">F1444*0.03</f>
        <v>0</v>
      </c>
      <c r="F1444" s="33" t="n">
        <v>0</v>
      </c>
      <c r="G1444" s="131"/>
      <c r="H1444" s="35" t="n">
        <v>0</v>
      </c>
      <c r="I1444" s="34" t="n">
        <f aca="false">+IF(E1444=0,0,E1444*0.03)</f>
        <v>0</v>
      </c>
      <c r="J1444" s="93"/>
      <c r="K1444" s="93"/>
      <c r="L1444" s="93"/>
      <c r="M1444" s="93"/>
      <c r="N1444" s="93"/>
      <c r="O1444" s="93"/>
      <c r="P1444" s="93"/>
      <c r="Q1444" s="93"/>
      <c r="R1444" s="93"/>
      <c r="S1444" s="93"/>
      <c r="T1444" s="93"/>
      <c r="U1444" s="93"/>
      <c r="V1444" s="93"/>
      <c r="W1444" s="93"/>
      <c r="X1444" s="93"/>
      <c r="Y1444" s="93"/>
      <c r="Z1444" s="93"/>
    </row>
    <row r="1445" customFormat="false" ht="16.4" hidden="false" customHeight="false" outlineLevel="0" collapsed="false">
      <c r="A1445" s="123" t="n">
        <v>45444</v>
      </c>
      <c r="B1445" s="31" t="s">
        <v>153</v>
      </c>
      <c r="C1445" s="129"/>
      <c r="D1445" s="129"/>
      <c r="E1445" s="19" t="n">
        <f aca="false">F1445*0.03</f>
        <v>0</v>
      </c>
      <c r="F1445" s="33" t="n">
        <v>0</v>
      </c>
      <c r="G1445" s="131"/>
      <c r="H1445" s="35" t="n">
        <v>0</v>
      </c>
      <c r="I1445" s="34" t="n">
        <f aca="false">+IF(E1445=0,0,E1445*0.03)</f>
        <v>0</v>
      </c>
      <c r="J1445" s="93"/>
      <c r="K1445" s="93"/>
      <c r="L1445" s="93"/>
      <c r="M1445" s="93"/>
      <c r="N1445" s="93"/>
      <c r="O1445" s="93"/>
      <c r="P1445" s="93"/>
      <c r="Q1445" s="93"/>
      <c r="R1445" s="93"/>
      <c r="S1445" s="93"/>
      <c r="T1445" s="93"/>
      <c r="U1445" s="93"/>
      <c r="V1445" s="93"/>
      <c r="W1445" s="93"/>
      <c r="X1445" s="93"/>
      <c r="Y1445" s="93"/>
      <c r="Z1445" s="93"/>
    </row>
    <row r="1446" customFormat="false" ht="16.4" hidden="false" customHeight="false" outlineLevel="0" collapsed="false">
      <c r="A1446" s="123" t="n">
        <v>45444</v>
      </c>
      <c r="B1446" s="31" t="s">
        <v>153</v>
      </c>
      <c r="C1446" s="129"/>
      <c r="D1446" s="129"/>
      <c r="E1446" s="19" t="n">
        <f aca="false">F1446*0.03</f>
        <v>0</v>
      </c>
      <c r="F1446" s="33" t="n">
        <v>0</v>
      </c>
      <c r="G1446" s="131"/>
      <c r="H1446" s="35" t="n">
        <v>0</v>
      </c>
      <c r="I1446" s="34" t="n">
        <f aca="false">+IF(E1446=0,0,E1446*0.03)</f>
        <v>0</v>
      </c>
      <c r="J1446" s="93"/>
      <c r="K1446" s="93"/>
      <c r="L1446" s="93"/>
      <c r="M1446" s="93"/>
      <c r="N1446" s="93"/>
      <c r="O1446" s="93"/>
      <c r="P1446" s="93"/>
      <c r="Q1446" s="93"/>
      <c r="R1446" s="93"/>
      <c r="S1446" s="93"/>
      <c r="T1446" s="93"/>
      <c r="U1446" s="93"/>
      <c r="V1446" s="93"/>
      <c r="W1446" s="93"/>
      <c r="X1446" s="93"/>
      <c r="Y1446" s="93"/>
      <c r="Z1446" s="93"/>
    </row>
    <row r="1447" customFormat="false" ht="16.4" hidden="false" customHeight="false" outlineLevel="0" collapsed="false">
      <c r="A1447" s="123" t="n">
        <v>45444</v>
      </c>
      <c r="B1447" s="31" t="s">
        <v>153</v>
      </c>
      <c r="C1447" s="129"/>
      <c r="D1447" s="129"/>
      <c r="E1447" s="19" t="n">
        <f aca="false">F1447*0.03</f>
        <v>0</v>
      </c>
      <c r="F1447" s="33" t="n">
        <v>0</v>
      </c>
      <c r="G1447" s="131"/>
      <c r="H1447" s="35" t="n">
        <v>0</v>
      </c>
      <c r="I1447" s="34" t="n">
        <f aca="false">+IF(E1447=0,0,E1447*0.03)</f>
        <v>0</v>
      </c>
      <c r="J1447" s="93"/>
      <c r="K1447" s="93"/>
      <c r="L1447" s="93"/>
      <c r="M1447" s="93"/>
      <c r="N1447" s="93"/>
      <c r="O1447" s="93"/>
      <c r="P1447" s="93"/>
      <c r="Q1447" s="93"/>
      <c r="R1447" s="93"/>
      <c r="S1447" s="93"/>
      <c r="T1447" s="93"/>
      <c r="U1447" s="93"/>
      <c r="V1447" s="93"/>
      <c r="W1447" s="93"/>
      <c r="X1447" s="93"/>
      <c r="Y1447" s="93"/>
      <c r="Z1447" s="93"/>
    </row>
    <row r="1448" customFormat="false" ht="16.4" hidden="false" customHeight="false" outlineLevel="0" collapsed="false">
      <c r="A1448" s="123" t="n">
        <v>45444</v>
      </c>
      <c r="B1448" s="31" t="s">
        <v>153</v>
      </c>
      <c r="C1448" s="129"/>
      <c r="D1448" s="129"/>
      <c r="E1448" s="19" t="n">
        <f aca="false">F1448*0.03</f>
        <v>0</v>
      </c>
      <c r="F1448" s="33" t="n">
        <v>0</v>
      </c>
      <c r="G1448" s="131"/>
      <c r="H1448" s="35" t="n">
        <v>0</v>
      </c>
      <c r="I1448" s="34" t="n">
        <f aca="false">+IF(E1448=0,0,E1448*0.03)</f>
        <v>0</v>
      </c>
      <c r="J1448" s="93"/>
      <c r="K1448" s="93"/>
      <c r="L1448" s="93"/>
      <c r="M1448" s="93"/>
      <c r="N1448" s="93"/>
      <c r="O1448" s="93"/>
      <c r="P1448" s="93"/>
      <c r="Q1448" s="93"/>
      <c r="R1448" s="93"/>
      <c r="S1448" s="93"/>
      <c r="T1448" s="93"/>
      <c r="U1448" s="93"/>
      <c r="V1448" s="93"/>
      <c r="W1448" s="93"/>
      <c r="X1448" s="93"/>
      <c r="Y1448" s="93"/>
      <c r="Z1448" s="93"/>
    </row>
    <row r="1449" customFormat="false" ht="16.4" hidden="false" customHeight="false" outlineLevel="0" collapsed="false">
      <c r="A1449" s="123" t="n">
        <v>45444</v>
      </c>
      <c r="B1449" s="31" t="s">
        <v>153</v>
      </c>
      <c r="C1449" s="129"/>
      <c r="D1449" s="129"/>
      <c r="E1449" s="19" t="n">
        <f aca="false">F1449*0.03</f>
        <v>0</v>
      </c>
      <c r="F1449" s="33" t="n">
        <v>0</v>
      </c>
      <c r="G1449" s="131"/>
      <c r="H1449" s="35" t="n">
        <v>0</v>
      </c>
      <c r="I1449" s="34" t="n">
        <f aca="false">+IF(E1449=0,0,E1449*0.03)</f>
        <v>0</v>
      </c>
      <c r="J1449" s="93"/>
      <c r="K1449" s="93"/>
      <c r="L1449" s="93"/>
      <c r="M1449" s="93"/>
      <c r="N1449" s="93"/>
      <c r="O1449" s="93"/>
      <c r="P1449" s="93"/>
      <c r="Q1449" s="93"/>
      <c r="R1449" s="93"/>
      <c r="S1449" s="93"/>
      <c r="T1449" s="93"/>
      <c r="U1449" s="93"/>
      <c r="V1449" s="93"/>
      <c r="W1449" s="93"/>
      <c r="X1449" s="93"/>
      <c r="Y1449" s="93"/>
      <c r="Z1449" s="93"/>
    </row>
    <row r="1450" customFormat="false" ht="16.4" hidden="false" customHeight="false" outlineLevel="0" collapsed="false">
      <c r="A1450" s="123" t="n">
        <v>45444</v>
      </c>
      <c r="B1450" s="31" t="s">
        <v>153</v>
      </c>
      <c r="C1450" s="129"/>
      <c r="D1450" s="129"/>
      <c r="E1450" s="19" t="n">
        <f aca="false">F1450*0.03</f>
        <v>0</v>
      </c>
      <c r="F1450" s="33" t="n">
        <v>0</v>
      </c>
      <c r="G1450" s="131"/>
      <c r="H1450" s="35" t="n">
        <v>0</v>
      </c>
      <c r="I1450" s="34" t="n">
        <f aca="false">+IF(E1450=0,0,E1450*0.03)</f>
        <v>0</v>
      </c>
      <c r="J1450" s="93"/>
      <c r="K1450" s="93"/>
      <c r="L1450" s="93"/>
      <c r="M1450" s="93"/>
      <c r="N1450" s="93"/>
      <c r="O1450" s="93"/>
      <c r="P1450" s="93"/>
      <c r="Q1450" s="93"/>
      <c r="R1450" s="93"/>
      <c r="S1450" s="93"/>
      <c r="T1450" s="93"/>
      <c r="U1450" s="93"/>
      <c r="V1450" s="93"/>
      <c r="W1450" s="93"/>
      <c r="X1450" s="93"/>
      <c r="Y1450" s="93"/>
      <c r="Z1450" s="93"/>
    </row>
    <row r="1451" customFormat="false" ht="16.4" hidden="false" customHeight="false" outlineLevel="0" collapsed="false">
      <c r="A1451" s="123" t="n">
        <v>45444</v>
      </c>
      <c r="B1451" s="31" t="s">
        <v>153</v>
      </c>
      <c r="C1451" s="129"/>
      <c r="D1451" s="129"/>
      <c r="E1451" s="19" t="n">
        <f aca="false">F1451*0.03</f>
        <v>0</v>
      </c>
      <c r="F1451" s="33" t="n">
        <v>0</v>
      </c>
      <c r="G1451" s="131"/>
      <c r="H1451" s="35" t="n">
        <v>0</v>
      </c>
      <c r="I1451" s="34" t="n">
        <f aca="false">+IF(E1451=0,0,E1451*0.03)</f>
        <v>0</v>
      </c>
      <c r="J1451" s="93"/>
      <c r="K1451" s="93"/>
      <c r="L1451" s="93"/>
      <c r="M1451" s="93"/>
      <c r="N1451" s="93"/>
      <c r="O1451" s="93"/>
      <c r="P1451" s="93"/>
      <c r="Q1451" s="93"/>
      <c r="R1451" s="93"/>
      <c r="S1451" s="93"/>
      <c r="T1451" s="93"/>
      <c r="U1451" s="93"/>
      <c r="V1451" s="93"/>
      <c r="W1451" s="93"/>
      <c r="X1451" s="93"/>
      <c r="Y1451" s="93"/>
      <c r="Z1451" s="93"/>
    </row>
    <row r="1452" customFormat="false" ht="16.4" hidden="false" customHeight="false" outlineLevel="0" collapsed="false">
      <c r="A1452" s="123" t="n">
        <v>45444</v>
      </c>
      <c r="B1452" s="31" t="s">
        <v>153</v>
      </c>
      <c r="C1452" s="129"/>
      <c r="D1452" s="129"/>
      <c r="E1452" s="19" t="n">
        <f aca="false">F1452*0.03</f>
        <v>0</v>
      </c>
      <c r="F1452" s="33" t="n">
        <v>0</v>
      </c>
      <c r="G1452" s="131"/>
      <c r="H1452" s="35" t="n">
        <v>0</v>
      </c>
      <c r="I1452" s="34" t="n">
        <f aca="false">+IF(E1452=0,0,E1452*0.03)</f>
        <v>0</v>
      </c>
      <c r="J1452" s="93"/>
      <c r="K1452" s="93"/>
      <c r="L1452" s="93"/>
      <c r="M1452" s="93"/>
      <c r="N1452" s="93"/>
      <c r="O1452" s="93"/>
      <c r="P1452" s="93"/>
      <c r="Q1452" s="93"/>
      <c r="R1452" s="93"/>
      <c r="S1452" s="93"/>
      <c r="T1452" s="93"/>
      <c r="U1452" s="93"/>
      <c r="V1452" s="93"/>
      <c r="W1452" s="93"/>
      <c r="X1452" s="93"/>
      <c r="Y1452" s="93"/>
      <c r="Z1452" s="93"/>
    </row>
    <row r="1453" customFormat="false" ht="16.4" hidden="false" customHeight="false" outlineLevel="0" collapsed="false">
      <c r="A1453" s="123" t="n">
        <v>45444</v>
      </c>
      <c r="B1453" s="31" t="s">
        <v>153</v>
      </c>
      <c r="C1453" s="129"/>
      <c r="D1453" s="129"/>
      <c r="E1453" s="19" t="n">
        <f aca="false">F1453*0.03</f>
        <v>0</v>
      </c>
      <c r="F1453" s="33" t="n">
        <v>0</v>
      </c>
      <c r="G1453" s="131"/>
      <c r="H1453" s="35" t="n">
        <v>0</v>
      </c>
      <c r="I1453" s="34" t="n">
        <f aca="false">+IF(E1453=0,0,E1453*0.03)</f>
        <v>0</v>
      </c>
      <c r="J1453" s="93"/>
      <c r="K1453" s="93"/>
      <c r="L1453" s="93"/>
      <c r="M1453" s="93"/>
      <c r="N1453" s="93"/>
      <c r="O1453" s="93"/>
      <c r="P1453" s="93"/>
      <c r="Q1453" s="93"/>
      <c r="R1453" s="93"/>
      <c r="S1453" s="93"/>
      <c r="T1453" s="93"/>
      <c r="U1453" s="93"/>
      <c r="V1453" s="93"/>
      <c r="W1453" s="93"/>
      <c r="X1453" s="93"/>
      <c r="Y1453" s="93"/>
      <c r="Z1453" s="93"/>
    </row>
    <row r="1454" customFormat="false" ht="16.4" hidden="false" customHeight="false" outlineLevel="0" collapsed="false">
      <c r="A1454" s="123" t="n">
        <v>45444</v>
      </c>
      <c r="B1454" s="31" t="s">
        <v>153</v>
      </c>
      <c r="C1454" s="129"/>
      <c r="D1454" s="129"/>
      <c r="E1454" s="19" t="n">
        <f aca="false">F1454*0.03</f>
        <v>0</v>
      </c>
      <c r="F1454" s="33" t="n">
        <v>0</v>
      </c>
      <c r="G1454" s="131"/>
      <c r="H1454" s="35" t="n">
        <v>0</v>
      </c>
      <c r="I1454" s="34" t="n">
        <f aca="false">+IF(E1454=0,0,E1454*0.03)</f>
        <v>0</v>
      </c>
      <c r="J1454" s="93"/>
      <c r="K1454" s="93"/>
      <c r="L1454" s="93"/>
      <c r="M1454" s="93"/>
      <c r="N1454" s="93"/>
      <c r="O1454" s="93"/>
      <c r="P1454" s="93"/>
      <c r="Q1454" s="93"/>
      <c r="R1454" s="93"/>
      <c r="S1454" s="93"/>
      <c r="T1454" s="93"/>
      <c r="U1454" s="93"/>
      <c r="V1454" s="93"/>
      <c r="W1454" s="93"/>
      <c r="X1454" s="93"/>
      <c r="Y1454" s="93"/>
      <c r="Z1454" s="93"/>
    </row>
    <row r="1455" customFormat="false" ht="16.4" hidden="false" customHeight="false" outlineLevel="0" collapsed="false">
      <c r="A1455" s="123" t="n">
        <v>45444</v>
      </c>
      <c r="B1455" s="31" t="s">
        <v>153</v>
      </c>
      <c r="C1455" s="129"/>
      <c r="D1455" s="129"/>
      <c r="E1455" s="19" t="n">
        <f aca="false">F1455*0.03</f>
        <v>0</v>
      </c>
      <c r="F1455" s="33" t="n">
        <v>0</v>
      </c>
      <c r="G1455" s="131"/>
      <c r="H1455" s="35" t="n">
        <v>0</v>
      </c>
      <c r="I1455" s="34" t="n">
        <f aca="false">+IF(E1455=0,0,E1455*0.03)</f>
        <v>0</v>
      </c>
      <c r="J1455" s="93"/>
      <c r="K1455" s="93"/>
      <c r="L1455" s="93"/>
      <c r="M1455" s="93"/>
      <c r="N1455" s="93"/>
      <c r="O1455" s="93"/>
      <c r="P1455" s="93"/>
      <c r="Q1455" s="93"/>
      <c r="R1455" s="93"/>
      <c r="S1455" s="93"/>
      <c r="T1455" s="93"/>
      <c r="U1455" s="93"/>
      <c r="V1455" s="93"/>
      <c r="W1455" s="93"/>
      <c r="X1455" s="93"/>
      <c r="Y1455" s="93"/>
      <c r="Z1455" s="93"/>
    </row>
    <row r="1456" customFormat="false" ht="16.4" hidden="false" customHeight="false" outlineLevel="0" collapsed="false">
      <c r="A1456" s="123" t="n">
        <v>45444</v>
      </c>
      <c r="B1456" s="31" t="s">
        <v>153</v>
      </c>
      <c r="C1456" s="129"/>
      <c r="D1456" s="129"/>
      <c r="E1456" s="19" t="n">
        <f aca="false">F1456*0.03</f>
        <v>0</v>
      </c>
      <c r="F1456" s="33" t="n">
        <v>0</v>
      </c>
      <c r="G1456" s="131"/>
      <c r="H1456" s="35" t="n">
        <v>0</v>
      </c>
      <c r="I1456" s="34" t="n">
        <f aca="false">+IF(E1456=0,0,E1456*0.03)</f>
        <v>0</v>
      </c>
      <c r="J1456" s="93"/>
      <c r="K1456" s="93"/>
      <c r="L1456" s="93"/>
      <c r="M1456" s="93"/>
      <c r="N1456" s="93"/>
      <c r="O1456" s="93"/>
      <c r="P1456" s="93"/>
      <c r="Q1456" s="93"/>
      <c r="R1456" s="93"/>
      <c r="S1456" s="93"/>
      <c r="T1456" s="93"/>
      <c r="U1456" s="93"/>
      <c r="V1456" s="93"/>
      <c r="W1456" s="93"/>
      <c r="X1456" s="93"/>
      <c r="Y1456" s="93"/>
      <c r="Z1456" s="93"/>
    </row>
    <row r="1457" customFormat="false" ht="16.4" hidden="false" customHeight="false" outlineLevel="0" collapsed="false">
      <c r="A1457" s="123" t="n">
        <v>45444</v>
      </c>
      <c r="B1457" s="31" t="s">
        <v>153</v>
      </c>
      <c r="C1457" s="129"/>
      <c r="D1457" s="129"/>
      <c r="E1457" s="19" t="n">
        <f aca="false">F1457*0.03</f>
        <v>0</v>
      </c>
      <c r="F1457" s="33" t="n">
        <v>0</v>
      </c>
      <c r="G1457" s="131"/>
      <c r="H1457" s="35" t="n">
        <v>0</v>
      </c>
      <c r="I1457" s="34" t="n">
        <f aca="false">+IF(E1457=0,0,E1457*0.03)</f>
        <v>0</v>
      </c>
      <c r="J1457" s="93"/>
      <c r="K1457" s="93"/>
      <c r="L1457" s="93"/>
      <c r="M1457" s="93"/>
      <c r="N1457" s="93"/>
      <c r="O1457" s="93"/>
      <c r="P1457" s="93"/>
      <c r="Q1457" s="93"/>
      <c r="R1457" s="93"/>
      <c r="S1457" s="93"/>
      <c r="T1457" s="93"/>
      <c r="U1457" s="93"/>
      <c r="V1457" s="93"/>
      <c r="W1457" s="93"/>
      <c r="X1457" s="93"/>
      <c r="Y1457" s="93"/>
      <c r="Z1457" s="93"/>
    </row>
    <row r="1458" customFormat="false" ht="16.4" hidden="false" customHeight="false" outlineLevel="0" collapsed="false">
      <c r="A1458" s="123" t="n">
        <v>45444</v>
      </c>
      <c r="B1458" s="31" t="s">
        <v>153</v>
      </c>
      <c r="C1458" s="129"/>
      <c r="D1458" s="129"/>
      <c r="E1458" s="19" t="n">
        <f aca="false">F1458*0.03</f>
        <v>0</v>
      </c>
      <c r="F1458" s="33" t="n">
        <v>0</v>
      </c>
      <c r="G1458" s="131"/>
      <c r="H1458" s="35" t="n">
        <v>0</v>
      </c>
      <c r="I1458" s="34" t="n">
        <f aca="false">+IF(E1458=0,0,E1458*0.03)</f>
        <v>0</v>
      </c>
      <c r="J1458" s="93"/>
      <c r="K1458" s="93"/>
      <c r="L1458" s="93"/>
      <c r="M1458" s="93"/>
      <c r="N1458" s="93"/>
      <c r="O1458" s="93"/>
      <c r="P1458" s="93"/>
      <c r="Q1458" s="93"/>
      <c r="R1458" s="93"/>
      <c r="S1458" s="93"/>
      <c r="T1458" s="93"/>
      <c r="U1458" s="93"/>
      <c r="V1458" s="93"/>
      <c r="W1458" s="93"/>
      <c r="X1458" s="93"/>
      <c r="Y1458" s="93"/>
      <c r="Z1458" s="93"/>
    </row>
    <row r="1459" customFormat="false" ht="16.4" hidden="false" customHeight="false" outlineLevel="0" collapsed="false">
      <c r="A1459" s="123" t="n">
        <v>45444</v>
      </c>
      <c r="B1459" s="31" t="s">
        <v>153</v>
      </c>
      <c r="C1459" s="129"/>
      <c r="D1459" s="129"/>
      <c r="E1459" s="19" t="n">
        <f aca="false">F1459*0.03</f>
        <v>0</v>
      </c>
      <c r="F1459" s="33" t="n">
        <v>0</v>
      </c>
      <c r="G1459" s="131"/>
      <c r="H1459" s="35" t="n">
        <v>0</v>
      </c>
      <c r="I1459" s="34" t="n">
        <f aca="false">+IF(E1459=0,0,E1459*0.03)</f>
        <v>0</v>
      </c>
      <c r="J1459" s="93"/>
      <c r="K1459" s="93"/>
      <c r="L1459" s="93"/>
      <c r="M1459" s="93"/>
      <c r="N1459" s="93"/>
      <c r="O1459" s="93"/>
      <c r="P1459" s="93"/>
      <c r="Q1459" s="93"/>
      <c r="R1459" s="93"/>
      <c r="S1459" s="93"/>
      <c r="T1459" s="93"/>
      <c r="U1459" s="93"/>
      <c r="V1459" s="93"/>
      <c r="W1459" s="93"/>
      <c r="X1459" s="93"/>
      <c r="Y1459" s="93"/>
      <c r="Z1459" s="93"/>
    </row>
    <row r="1460" customFormat="false" ht="16.4" hidden="false" customHeight="false" outlineLevel="0" collapsed="false">
      <c r="A1460" s="123" t="n">
        <v>45444</v>
      </c>
      <c r="B1460" s="31" t="s">
        <v>153</v>
      </c>
      <c r="C1460" s="129"/>
      <c r="D1460" s="129"/>
      <c r="E1460" s="19" t="n">
        <f aca="false">F1460*0.03</f>
        <v>0</v>
      </c>
      <c r="F1460" s="33" t="n">
        <v>0</v>
      </c>
      <c r="G1460" s="131"/>
      <c r="H1460" s="35" t="n">
        <v>0</v>
      </c>
      <c r="I1460" s="34" t="n">
        <f aca="false">+IF(E1460=0,0,E1460*0.03)</f>
        <v>0</v>
      </c>
      <c r="J1460" s="93"/>
      <c r="K1460" s="93"/>
      <c r="L1460" s="93"/>
      <c r="M1460" s="93"/>
      <c r="N1460" s="93"/>
      <c r="O1460" s="93"/>
      <c r="P1460" s="93"/>
      <c r="Q1460" s="93"/>
      <c r="R1460" s="93"/>
      <c r="S1460" s="93"/>
      <c r="T1460" s="93"/>
      <c r="U1460" s="93"/>
      <c r="V1460" s="93"/>
      <c r="W1460" s="93"/>
      <c r="X1460" s="93"/>
      <c r="Y1460" s="93"/>
      <c r="Z1460" s="93"/>
    </row>
    <row r="1461" customFormat="false" ht="16.4" hidden="false" customHeight="false" outlineLevel="0" collapsed="false">
      <c r="A1461" s="123" t="n">
        <v>45444</v>
      </c>
      <c r="B1461" s="31" t="s">
        <v>153</v>
      </c>
      <c r="C1461" s="129"/>
      <c r="D1461" s="129"/>
      <c r="E1461" s="19" t="n">
        <f aca="false">F1461*0.03</f>
        <v>0</v>
      </c>
      <c r="F1461" s="33" t="n">
        <v>0</v>
      </c>
      <c r="G1461" s="131"/>
      <c r="H1461" s="35" t="n">
        <v>0</v>
      </c>
      <c r="I1461" s="34" t="n">
        <f aca="false">+IF(E1461=0,0,E1461*0.03)</f>
        <v>0</v>
      </c>
      <c r="J1461" s="93"/>
      <c r="K1461" s="93"/>
      <c r="L1461" s="93"/>
      <c r="M1461" s="93"/>
      <c r="N1461" s="93"/>
      <c r="O1461" s="93"/>
      <c r="P1461" s="93"/>
      <c r="Q1461" s="93"/>
      <c r="R1461" s="93"/>
      <c r="S1461" s="93"/>
      <c r="T1461" s="93"/>
      <c r="U1461" s="93"/>
      <c r="V1461" s="93"/>
      <c r="W1461" s="93"/>
      <c r="X1461" s="93"/>
      <c r="Y1461" s="93"/>
      <c r="Z1461" s="93"/>
    </row>
    <row r="1462" customFormat="false" ht="16.4" hidden="false" customHeight="false" outlineLevel="0" collapsed="false">
      <c r="A1462" s="123" t="n">
        <v>45444</v>
      </c>
      <c r="B1462" s="31" t="s">
        <v>153</v>
      </c>
      <c r="C1462" s="129"/>
      <c r="D1462" s="129"/>
      <c r="E1462" s="19" t="n">
        <f aca="false">F1462*0.03</f>
        <v>0</v>
      </c>
      <c r="F1462" s="33" t="n">
        <v>0</v>
      </c>
      <c r="G1462" s="131"/>
      <c r="H1462" s="35" t="n">
        <v>0</v>
      </c>
      <c r="I1462" s="34" t="n">
        <f aca="false">+IF(E1462=0,0,E1462*0.03)</f>
        <v>0</v>
      </c>
      <c r="J1462" s="93"/>
      <c r="K1462" s="93"/>
      <c r="L1462" s="93"/>
      <c r="M1462" s="93"/>
      <c r="N1462" s="93"/>
      <c r="O1462" s="93"/>
      <c r="P1462" s="93"/>
      <c r="Q1462" s="93"/>
      <c r="R1462" s="93"/>
      <c r="S1462" s="93"/>
      <c r="T1462" s="93"/>
      <c r="U1462" s="93"/>
      <c r="V1462" s="93"/>
      <c r="W1462" s="93"/>
      <c r="X1462" s="93"/>
      <c r="Y1462" s="93"/>
      <c r="Z1462" s="93"/>
    </row>
    <row r="1463" customFormat="false" ht="16.4" hidden="false" customHeight="false" outlineLevel="0" collapsed="false">
      <c r="A1463" s="123" t="n">
        <v>45444</v>
      </c>
      <c r="B1463" s="31" t="s">
        <v>153</v>
      </c>
      <c r="C1463" s="129"/>
      <c r="D1463" s="129"/>
      <c r="E1463" s="19" t="n">
        <f aca="false">F1463*0.03</f>
        <v>0</v>
      </c>
      <c r="F1463" s="33" t="n">
        <v>0</v>
      </c>
      <c r="G1463" s="131"/>
      <c r="H1463" s="35" t="n">
        <v>0</v>
      </c>
      <c r="I1463" s="34" t="n">
        <f aca="false">+IF(E1463=0,0,E1463*0.03)</f>
        <v>0</v>
      </c>
      <c r="J1463" s="93"/>
      <c r="K1463" s="93"/>
      <c r="L1463" s="93"/>
      <c r="M1463" s="93"/>
      <c r="N1463" s="93"/>
      <c r="O1463" s="93"/>
      <c r="P1463" s="93"/>
      <c r="Q1463" s="93"/>
      <c r="R1463" s="93"/>
      <c r="S1463" s="93"/>
      <c r="T1463" s="93"/>
      <c r="U1463" s="93"/>
      <c r="V1463" s="93"/>
      <c r="W1463" s="93"/>
      <c r="X1463" s="93"/>
      <c r="Y1463" s="93"/>
      <c r="Z1463" s="93"/>
    </row>
    <row r="1464" customFormat="false" ht="16.4" hidden="false" customHeight="false" outlineLevel="0" collapsed="false">
      <c r="A1464" s="123" t="n">
        <v>45444</v>
      </c>
      <c r="B1464" s="31" t="s">
        <v>153</v>
      </c>
      <c r="C1464" s="129"/>
      <c r="D1464" s="129"/>
      <c r="E1464" s="19" t="n">
        <f aca="false">F1464*0.03</f>
        <v>0</v>
      </c>
      <c r="F1464" s="33" t="n">
        <v>0</v>
      </c>
      <c r="G1464" s="131"/>
      <c r="H1464" s="35" t="n">
        <v>0</v>
      </c>
      <c r="I1464" s="34" t="n">
        <f aca="false">+IF(E1464=0,0,E1464*0.03)</f>
        <v>0</v>
      </c>
      <c r="J1464" s="93"/>
      <c r="K1464" s="93"/>
      <c r="L1464" s="93"/>
      <c r="M1464" s="93"/>
      <c r="N1464" s="93"/>
      <c r="O1464" s="93"/>
      <c r="P1464" s="93"/>
      <c r="Q1464" s="93"/>
      <c r="R1464" s="93"/>
      <c r="S1464" s="93"/>
      <c r="T1464" s="93"/>
      <c r="U1464" s="93"/>
      <c r="V1464" s="93"/>
      <c r="W1464" s="93"/>
      <c r="X1464" s="93"/>
      <c r="Y1464" s="93"/>
      <c r="Z1464" s="93"/>
    </row>
    <row r="1465" customFormat="false" ht="16.4" hidden="false" customHeight="false" outlineLevel="0" collapsed="false">
      <c r="A1465" s="123" t="n">
        <v>45444</v>
      </c>
      <c r="B1465" s="31" t="s">
        <v>153</v>
      </c>
      <c r="C1465" s="129"/>
      <c r="D1465" s="129"/>
      <c r="E1465" s="19" t="n">
        <f aca="false">F1465*0.03</f>
        <v>0</v>
      </c>
      <c r="F1465" s="33" t="n">
        <v>0</v>
      </c>
      <c r="G1465" s="131"/>
      <c r="H1465" s="35" t="n">
        <v>0</v>
      </c>
      <c r="I1465" s="34" t="n">
        <f aca="false">+IF(E1465=0,0,E1465*0.03)</f>
        <v>0</v>
      </c>
      <c r="J1465" s="93"/>
      <c r="K1465" s="93"/>
      <c r="L1465" s="93"/>
      <c r="M1465" s="93"/>
      <c r="N1465" s="93"/>
      <c r="O1465" s="93"/>
      <c r="P1465" s="93"/>
      <c r="Q1465" s="93"/>
      <c r="R1465" s="93"/>
      <c r="S1465" s="93"/>
      <c r="T1465" s="93"/>
      <c r="U1465" s="93"/>
      <c r="V1465" s="93"/>
      <c r="W1465" s="93"/>
      <c r="X1465" s="93"/>
      <c r="Y1465" s="93"/>
      <c r="Z1465" s="93"/>
    </row>
    <row r="1466" customFormat="false" ht="16.4" hidden="false" customHeight="false" outlineLevel="0" collapsed="false">
      <c r="A1466" s="123" t="n">
        <v>45444</v>
      </c>
      <c r="B1466" s="31" t="s">
        <v>153</v>
      </c>
      <c r="C1466" s="129"/>
      <c r="D1466" s="129"/>
      <c r="E1466" s="19" t="n">
        <f aca="false">F1466*0.03</f>
        <v>0</v>
      </c>
      <c r="F1466" s="33" t="n">
        <v>0</v>
      </c>
      <c r="G1466" s="131"/>
      <c r="H1466" s="35" t="n">
        <v>0</v>
      </c>
      <c r="I1466" s="34" t="n">
        <f aca="false">+IF(E1466=0,0,E1466*0.03)</f>
        <v>0</v>
      </c>
      <c r="J1466" s="93"/>
      <c r="K1466" s="93"/>
      <c r="L1466" s="93"/>
      <c r="M1466" s="93"/>
      <c r="N1466" s="93"/>
      <c r="O1466" s="93"/>
      <c r="P1466" s="93"/>
      <c r="Q1466" s="93"/>
      <c r="R1466" s="93"/>
      <c r="S1466" s="93"/>
      <c r="T1466" s="93"/>
      <c r="U1466" s="93"/>
      <c r="V1466" s="93"/>
      <c r="W1466" s="93"/>
      <c r="X1466" s="93"/>
      <c r="Y1466" s="93"/>
      <c r="Z1466" s="93"/>
    </row>
    <row r="1467" customFormat="false" ht="16.4" hidden="false" customHeight="false" outlineLevel="0" collapsed="false">
      <c r="A1467" s="123" t="n">
        <v>45444</v>
      </c>
      <c r="B1467" s="31" t="s">
        <v>153</v>
      </c>
      <c r="C1467" s="129"/>
      <c r="D1467" s="129"/>
      <c r="E1467" s="19" t="n">
        <f aca="false">F1467*0.03</f>
        <v>0</v>
      </c>
      <c r="F1467" s="33" t="n">
        <v>0</v>
      </c>
      <c r="G1467" s="131"/>
      <c r="H1467" s="35" t="n">
        <v>0</v>
      </c>
      <c r="I1467" s="34" t="n">
        <f aca="false">+IF(E1467=0,0,E1467*0.03)</f>
        <v>0</v>
      </c>
      <c r="J1467" s="93"/>
      <c r="K1467" s="93"/>
      <c r="L1467" s="93"/>
      <c r="M1467" s="93"/>
      <c r="N1467" s="93"/>
      <c r="O1467" s="93"/>
      <c r="P1467" s="93"/>
      <c r="Q1467" s="93"/>
      <c r="R1467" s="93"/>
      <c r="S1467" s="93"/>
      <c r="T1467" s="93"/>
      <c r="U1467" s="93"/>
      <c r="V1467" s="93"/>
      <c r="W1467" s="93"/>
      <c r="X1467" s="93"/>
      <c r="Y1467" s="93"/>
      <c r="Z1467" s="93"/>
    </row>
    <row r="1468" customFormat="false" ht="16.4" hidden="false" customHeight="false" outlineLevel="0" collapsed="false">
      <c r="A1468" s="123" t="n">
        <v>45444</v>
      </c>
      <c r="B1468" s="31" t="s">
        <v>153</v>
      </c>
      <c r="C1468" s="129"/>
      <c r="D1468" s="129"/>
      <c r="E1468" s="19" t="n">
        <f aca="false">F1468*0.03</f>
        <v>0</v>
      </c>
      <c r="F1468" s="33" t="n">
        <v>0</v>
      </c>
      <c r="G1468" s="131"/>
      <c r="H1468" s="35" t="n">
        <v>0</v>
      </c>
      <c r="I1468" s="34" t="n">
        <f aca="false">+IF(E1468=0,0,E1468*0.03)</f>
        <v>0</v>
      </c>
      <c r="J1468" s="93"/>
      <c r="K1468" s="93"/>
      <c r="L1468" s="93"/>
      <c r="M1468" s="93"/>
      <c r="N1468" s="93"/>
      <c r="O1468" s="93"/>
      <c r="P1468" s="93"/>
      <c r="Q1468" s="93"/>
      <c r="R1468" s="93"/>
      <c r="S1468" s="93"/>
      <c r="T1468" s="93"/>
      <c r="U1468" s="93"/>
      <c r="V1468" s="93"/>
      <c r="W1468" s="93"/>
      <c r="X1468" s="93"/>
      <c r="Y1468" s="93"/>
      <c r="Z1468" s="93"/>
    </row>
    <row r="1469" customFormat="false" ht="16.4" hidden="false" customHeight="false" outlineLevel="0" collapsed="false">
      <c r="A1469" s="123" t="n">
        <v>45444</v>
      </c>
      <c r="B1469" s="31" t="s">
        <v>153</v>
      </c>
      <c r="C1469" s="129"/>
      <c r="D1469" s="129"/>
      <c r="E1469" s="19" t="n">
        <f aca="false">F1469*0.03</f>
        <v>0</v>
      </c>
      <c r="F1469" s="33" t="n">
        <v>0</v>
      </c>
      <c r="G1469" s="131"/>
      <c r="H1469" s="35" t="n">
        <v>0</v>
      </c>
      <c r="I1469" s="34" t="n">
        <f aca="false">+IF(E1469=0,0,E1469*0.03)</f>
        <v>0</v>
      </c>
      <c r="J1469" s="93"/>
      <c r="K1469" s="93"/>
      <c r="L1469" s="93"/>
      <c r="M1469" s="93"/>
      <c r="N1469" s="93"/>
      <c r="O1469" s="93"/>
      <c r="P1469" s="93"/>
      <c r="Q1469" s="93"/>
      <c r="R1469" s="93"/>
      <c r="S1469" s="93"/>
      <c r="T1469" s="93"/>
      <c r="U1469" s="93"/>
      <c r="V1469" s="93"/>
      <c r="W1469" s="93"/>
      <c r="X1469" s="93"/>
      <c r="Y1469" s="93"/>
      <c r="Z1469" s="93"/>
    </row>
    <row r="1470" customFormat="false" ht="16.4" hidden="false" customHeight="false" outlineLevel="0" collapsed="false">
      <c r="A1470" s="123" t="n">
        <v>45444</v>
      </c>
      <c r="B1470" s="31" t="s">
        <v>153</v>
      </c>
      <c r="C1470" s="129"/>
      <c r="D1470" s="129"/>
      <c r="E1470" s="19" t="n">
        <f aca="false">F1470*0.03</f>
        <v>0</v>
      </c>
      <c r="F1470" s="33" t="n">
        <v>0</v>
      </c>
      <c r="G1470" s="131"/>
      <c r="H1470" s="35" t="n">
        <v>0</v>
      </c>
      <c r="I1470" s="34" t="n">
        <f aca="false">+IF(E1470=0,0,E1470*0.03)</f>
        <v>0</v>
      </c>
      <c r="J1470" s="93"/>
      <c r="K1470" s="93"/>
      <c r="L1470" s="93"/>
      <c r="M1470" s="93"/>
      <c r="N1470" s="93"/>
      <c r="O1470" s="93"/>
      <c r="P1470" s="93"/>
      <c r="Q1470" s="93"/>
      <c r="R1470" s="93"/>
      <c r="S1470" s="93"/>
      <c r="T1470" s="93"/>
      <c r="U1470" s="93"/>
      <c r="V1470" s="93"/>
      <c r="W1470" s="93"/>
      <c r="X1470" s="93"/>
      <c r="Y1470" s="93"/>
      <c r="Z1470" s="93"/>
    </row>
    <row r="1471" customFormat="false" ht="16.4" hidden="false" customHeight="false" outlineLevel="0" collapsed="false">
      <c r="A1471" s="123" t="n">
        <v>45444</v>
      </c>
      <c r="B1471" s="31" t="s">
        <v>153</v>
      </c>
      <c r="C1471" s="129"/>
      <c r="D1471" s="129"/>
      <c r="E1471" s="19" t="n">
        <f aca="false">F1471*0.03</f>
        <v>0</v>
      </c>
      <c r="F1471" s="33" t="n">
        <v>0</v>
      </c>
      <c r="G1471" s="131"/>
      <c r="H1471" s="35" t="n">
        <v>0</v>
      </c>
      <c r="I1471" s="34" t="n">
        <f aca="false">+IF(E1471=0,0,E1471*0.03)</f>
        <v>0</v>
      </c>
      <c r="J1471" s="93"/>
      <c r="K1471" s="93"/>
      <c r="L1471" s="93"/>
      <c r="M1471" s="93"/>
      <c r="N1471" s="93"/>
      <c r="O1471" s="93"/>
      <c r="P1471" s="93"/>
      <c r="Q1471" s="93"/>
      <c r="R1471" s="93"/>
      <c r="S1471" s="93"/>
      <c r="T1471" s="93"/>
      <c r="U1471" s="93"/>
      <c r="V1471" s="93"/>
      <c r="W1471" s="93"/>
      <c r="X1471" s="93"/>
      <c r="Y1471" s="93"/>
      <c r="Z1471" s="93"/>
    </row>
    <row r="1472" customFormat="false" ht="16.4" hidden="false" customHeight="false" outlineLevel="0" collapsed="false">
      <c r="A1472" s="123" t="n">
        <v>45444</v>
      </c>
      <c r="B1472" s="31" t="s">
        <v>153</v>
      </c>
      <c r="C1472" s="129"/>
      <c r="D1472" s="129"/>
      <c r="E1472" s="19" t="n">
        <f aca="false">F1472*0.03</f>
        <v>0</v>
      </c>
      <c r="F1472" s="33" t="n">
        <v>0</v>
      </c>
      <c r="G1472" s="131"/>
      <c r="H1472" s="35" t="n">
        <v>0</v>
      </c>
      <c r="I1472" s="34" t="n">
        <f aca="false">+IF(E1472=0,0,E1472*0.03)</f>
        <v>0</v>
      </c>
      <c r="J1472" s="93"/>
      <c r="K1472" s="93"/>
      <c r="L1472" s="93"/>
      <c r="M1472" s="93"/>
      <c r="N1472" s="93"/>
      <c r="O1472" s="93"/>
      <c r="P1472" s="93"/>
      <c r="Q1472" s="93"/>
      <c r="R1472" s="93"/>
      <c r="S1472" s="93"/>
      <c r="T1472" s="93"/>
      <c r="U1472" s="93"/>
      <c r="V1472" s="93"/>
      <c r="W1472" s="93"/>
      <c r="X1472" s="93"/>
      <c r="Y1472" s="93"/>
      <c r="Z1472" s="93"/>
    </row>
    <row r="1473" customFormat="false" ht="16.4" hidden="false" customHeight="false" outlineLevel="0" collapsed="false">
      <c r="A1473" s="123" t="n">
        <v>45444</v>
      </c>
      <c r="B1473" s="31" t="s">
        <v>153</v>
      </c>
      <c r="C1473" s="129"/>
      <c r="D1473" s="129"/>
      <c r="E1473" s="19" t="n">
        <f aca="false">F1473*0.03</f>
        <v>0</v>
      </c>
      <c r="F1473" s="33" t="n">
        <v>0</v>
      </c>
      <c r="G1473" s="131"/>
      <c r="H1473" s="35" t="n">
        <v>0</v>
      </c>
      <c r="I1473" s="34" t="n">
        <f aca="false">+IF(E1473=0,0,E1473*0.03)</f>
        <v>0</v>
      </c>
      <c r="J1473" s="93"/>
      <c r="K1473" s="93"/>
      <c r="L1473" s="93"/>
      <c r="M1473" s="93"/>
      <c r="N1473" s="93"/>
      <c r="O1473" s="93"/>
      <c r="P1473" s="93"/>
      <c r="Q1473" s="93"/>
      <c r="R1473" s="93"/>
      <c r="S1473" s="93"/>
      <c r="T1473" s="93"/>
      <c r="U1473" s="93"/>
      <c r="V1473" s="93"/>
      <c r="W1473" s="93"/>
      <c r="X1473" s="93"/>
      <c r="Y1473" s="93"/>
      <c r="Z1473" s="93"/>
    </row>
    <row r="1474" customFormat="false" ht="16.4" hidden="false" customHeight="false" outlineLevel="0" collapsed="false">
      <c r="A1474" s="123" t="n">
        <v>45444</v>
      </c>
      <c r="B1474" s="31" t="s">
        <v>153</v>
      </c>
      <c r="C1474" s="129"/>
      <c r="D1474" s="129"/>
      <c r="E1474" s="19" t="n">
        <f aca="false">F1474*0.03</f>
        <v>0</v>
      </c>
      <c r="F1474" s="33" t="n">
        <v>0</v>
      </c>
      <c r="G1474" s="131"/>
      <c r="H1474" s="35" t="n">
        <v>0</v>
      </c>
      <c r="I1474" s="34" t="n">
        <f aca="false">+IF(E1474=0,0,E1474*0.03)</f>
        <v>0</v>
      </c>
      <c r="J1474" s="93"/>
      <c r="K1474" s="93"/>
      <c r="L1474" s="93"/>
      <c r="M1474" s="93"/>
      <c r="N1474" s="93"/>
      <c r="O1474" s="93"/>
      <c r="P1474" s="93"/>
      <c r="Q1474" s="93"/>
      <c r="R1474" s="93"/>
      <c r="S1474" s="93"/>
      <c r="T1474" s="93"/>
      <c r="U1474" s="93"/>
      <c r="V1474" s="93"/>
      <c r="W1474" s="93"/>
      <c r="X1474" s="93"/>
      <c r="Y1474" s="93"/>
      <c r="Z1474" s="93"/>
    </row>
    <row r="1475" customFormat="false" ht="16.4" hidden="false" customHeight="false" outlineLevel="0" collapsed="false">
      <c r="A1475" s="123" t="n">
        <v>45444</v>
      </c>
      <c r="B1475" s="31" t="s">
        <v>153</v>
      </c>
      <c r="C1475" s="129"/>
      <c r="D1475" s="129"/>
      <c r="E1475" s="19" t="n">
        <f aca="false">F1475*0.03</f>
        <v>0</v>
      </c>
      <c r="F1475" s="33" t="n">
        <v>0</v>
      </c>
      <c r="G1475" s="131"/>
      <c r="H1475" s="35" t="n">
        <v>0</v>
      </c>
      <c r="I1475" s="34" t="n">
        <f aca="false">+IF(E1475=0,0,E1475*0.03)</f>
        <v>0</v>
      </c>
      <c r="J1475" s="93"/>
      <c r="K1475" s="93"/>
      <c r="L1475" s="93"/>
      <c r="M1475" s="93"/>
      <c r="N1475" s="93"/>
      <c r="O1475" s="93"/>
      <c r="P1475" s="93"/>
      <c r="Q1475" s="93"/>
      <c r="R1475" s="93"/>
      <c r="S1475" s="93"/>
      <c r="T1475" s="93"/>
      <c r="U1475" s="93"/>
      <c r="V1475" s="93"/>
      <c r="W1475" s="93"/>
      <c r="X1475" s="93"/>
      <c r="Y1475" s="93"/>
      <c r="Z1475" s="93"/>
    </row>
    <row r="1476" customFormat="false" ht="16.4" hidden="false" customHeight="false" outlineLevel="0" collapsed="false">
      <c r="A1476" s="123" t="n">
        <v>45444</v>
      </c>
      <c r="B1476" s="31" t="s">
        <v>153</v>
      </c>
      <c r="C1476" s="129"/>
      <c r="D1476" s="129"/>
      <c r="E1476" s="19" t="n">
        <f aca="false">F1476*0.03</f>
        <v>0</v>
      </c>
      <c r="F1476" s="33" t="n">
        <v>0</v>
      </c>
      <c r="G1476" s="131"/>
      <c r="H1476" s="35" t="n">
        <v>0</v>
      </c>
      <c r="I1476" s="34" t="n">
        <f aca="false">+IF(E1476=0,0,E1476*0.03)</f>
        <v>0</v>
      </c>
      <c r="J1476" s="93"/>
      <c r="K1476" s="93"/>
      <c r="L1476" s="93"/>
      <c r="M1476" s="93"/>
      <c r="N1476" s="93"/>
      <c r="O1476" s="93"/>
      <c r="P1476" s="93"/>
      <c r="Q1476" s="93"/>
      <c r="R1476" s="93"/>
      <c r="S1476" s="93"/>
      <c r="T1476" s="93"/>
      <c r="U1476" s="93"/>
      <c r="V1476" s="93"/>
      <c r="W1476" s="93"/>
      <c r="X1476" s="93"/>
      <c r="Y1476" s="93"/>
      <c r="Z1476" s="93"/>
    </row>
    <row r="1477" customFormat="false" ht="16.4" hidden="false" customHeight="false" outlineLevel="0" collapsed="false">
      <c r="A1477" s="123" t="n">
        <v>45444</v>
      </c>
      <c r="B1477" s="31" t="s">
        <v>153</v>
      </c>
      <c r="C1477" s="129"/>
      <c r="D1477" s="129"/>
      <c r="E1477" s="19" t="n">
        <f aca="false">F1477*0.03</f>
        <v>0</v>
      </c>
      <c r="F1477" s="33" t="n">
        <v>0</v>
      </c>
      <c r="G1477" s="131"/>
      <c r="H1477" s="35" t="n">
        <v>0</v>
      </c>
      <c r="I1477" s="34" t="n">
        <f aca="false">+IF(E1477=0,0,E1477*0.03)</f>
        <v>0</v>
      </c>
      <c r="J1477" s="93"/>
      <c r="K1477" s="93"/>
      <c r="L1477" s="93"/>
      <c r="M1477" s="93"/>
      <c r="N1477" s="93"/>
      <c r="O1477" s="93"/>
      <c r="P1477" s="93"/>
      <c r="Q1477" s="93"/>
      <c r="R1477" s="93"/>
      <c r="S1477" s="93"/>
      <c r="T1477" s="93"/>
      <c r="U1477" s="93"/>
      <c r="V1477" s="93"/>
      <c r="W1477" s="93"/>
      <c r="X1477" s="93"/>
      <c r="Y1477" s="93"/>
      <c r="Z1477" s="93"/>
    </row>
    <row r="1478" customFormat="false" ht="16.4" hidden="false" customHeight="false" outlineLevel="0" collapsed="false">
      <c r="A1478" s="123" t="n">
        <v>45444</v>
      </c>
      <c r="B1478" s="31" t="s">
        <v>153</v>
      </c>
      <c r="C1478" s="129"/>
      <c r="D1478" s="129"/>
      <c r="E1478" s="19" t="n">
        <f aca="false">F1478*0.03</f>
        <v>0</v>
      </c>
      <c r="F1478" s="33" t="n">
        <v>0</v>
      </c>
      <c r="G1478" s="131"/>
      <c r="H1478" s="35" t="n">
        <v>0</v>
      </c>
      <c r="I1478" s="34" t="n">
        <f aca="false">+IF(E1478=0,0,E1478*0.03)</f>
        <v>0</v>
      </c>
      <c r="J1478" s="93"/>
      <c r="K1478" s="93"/>
      <c r="L1478" s="93"/>
      <c r="M1478" s="93"/>
      <c r="N1478" s="93"/>
      <c r="O1478" s="93"/>
      <c r="P1478" s="93"/>
      <c r="Q1478" s="93"/>
      <c r="R1478" s="93"/>
      <c r="S1478" s="93"/>
      <c r="T1478" s="93"/>
      <c r="U1478" s="93"/>
      <c r="V1478" s="93"/>
      <c r="W1478" s="93"/>
      <c r="X1478" s="93"/>
      <c r="Y1478" s="93"/>
      <c r="Z1478" s="93"/>
    </row>
    <row r="1479" customFormat="false" ht="16.4" hidden="false" customHeight="false" outlineLevel="0" collapsed="false">
      <c r="A1479" s="123" t="n">
        <v>45444</v>
      </c>
      <c r="B1479" s="31" t="s">
        <v>153</v>
      </c>
      <c r="C1479" s="129"/>
      <c r="D1479" s="129"/>
      <c r="E1479" s="19" t="n">
        <f aca="false">F1479*0.03</f>
        <v>0</v>
      </c>
      <c r="F1479" s="33" t="n">
        <v>0</v>
      </c>
      <c r="G1479" s="131"/>
      <c r="H1479" s="35" t="n">
        <v>0</v>
      </c>
      <c r="I1479" s="34" t="n">
        <f aca="false">+IF(E1479=0,0,E1479*0.03)</f>
        <v>0</v>
      </c>
      <c r="J1479" s="93"/>
      <c r="K1479" s="93"/>
      <c r="L1479" s="93"/>
      <c r="M1479" s="93"/>
      <c r="N1479" s="93"/>
      <c r="O1479" s="93"/>
      <c r="P1479" s="93"/>
      <c r="Q1479" s="93"/>
      <c r="R1479" s="93"/>
      <c r="S1479" s="93"/>
      <c r="T1479" s="93"/>
      <c r="U1479" s="93"/>
      <c r="V1479" s="93"/>
      <c r="W1479" s="93"/>
      <c r="X1479" s="93"/>
      <c r="Y1479" s="93"/>
      <c r="Z1479" s="93"/>
    </row>
    <row r="1480" customFormat="false" ht="16.4" hidden="false" customHeight="false" outlineLevel="0" collapsed="false">
      <c r="A1480" s="123" t="n">
        <v>45444</v>
      </c>
      <c r="B1480" s="31" t="s">
        <v>153</v>
      </c>
      <c r="C1480" s="129"/>
      <c r="D1480" s="129"/>
      <c r="E1480" s="19" t="n">
        <f aca="false">F1480*0.03</f>
        <v>0</v>
      </c>
      <c r="F1480" s="33" t="n">
        <v>0</v>
      </c>
      <c r="G1480" s="131"/>
      <c r="H1480" s="35" t="n">
        <v>0</v>
      </c>
      <c r="I1480" s="34" t="n">
        <f aca="false">+IF(E1480=0,0,E1480*0.03)</f>
        <v>0</v>
      </c>
      <c r="J1480" s="93"/>
      <c r="K1480" s="93"/>
      <c r="L1480" s="93"/>
      <c r="M1480" s="93"/>
      <c r="N1480" s="93"/>
      <c r="O1480" s="93"/>
      <c r="P1480" s="93"/>
      <c r="Q1480" s="93"/>
      <c r="R1480" s="93"/>
      <c r="S1480" s="93"/>
      <c r="T1480" s="93"/>
      <c r="U1480" s="93"/>
      <c r="V1480" s="93"/>
      <c r="W1480" s="93"/>
      <c r="X1480" s="93"/>
      <c r="Y1480" s="93"/>
      <c r="Z1480" s="93"/>
    </row>
    <row r="1481" customFormat="false" ht="16.4" hidden="false" customHeight="false" outlineLevel="0" collapsed="false">
      <c r="A1481" s="123" t="n">
        <v>45444</v>
      </c>
      <c r="B1481" s="31" t="s">
        <v>153</v>
      </c>
      <c r="C1481" s="129"/>
      <c r="D1481" s="129"/>
      <c r="E1481" s="19" t="n">
        <f aca="false">F1481*0.03</f>
        <v>0</v>
      </c>
      <c r="F1481" s="33" t="n">
        <v>0</v>
      </c>
      <c r="G1481" s="131"/>
      <c r="H1481" s="35" t="n">
        <v>0</v>
      </c>
      <c r="I1481" s="34" t="n">
        <f aca="false">+IF(E1481=0,0,E1481*0.03)</f>
        <v>0</v>
      </c>
      <c r="J1481" s="93"/>
      <c r="K1481" s="93"/>
      <c r="L1481" s="93"/>
      <c r="M1481" s="93"/>
      <c r="N1481" s="93"/>
      <c r="O1481" s="93"/>
      <c r="P1481" s="93"/>
      <c r="Q1481" s="93"/>
      <c r="R1481" s="93"/>
      <c r="S1481" s="93"/>
      <c r="T1481" s="93"/>
      <c r="U1481" s="93"/>
      <c r="V1481" s="93"/>
      <c r="W1481" s="93"/>
      <c r="X1481" s="93"/>
      <c r="Y1481" s="93"/>
      <c r="Z1481" s="93"/>
    </row>
    <row r="1482" customFormat="false" ht="16.4" hidden="false" customHeight="false" outlineLevel="0" collapsed="false">
      <c r="A1482" s="123" t="n">
        <v>45444</v>
      </c>
      <c r="B1482" s="31" t="s">
        <v>153</v>
      </c>
      <c r="C1482" s="129"/>
      <c r="D1482" s="129"/>
      <c r="E1482" s="19" t="n">
        <f aca="false">F1482*0.03</f>
        <v>0</v>
      </c>
      <c r="F1482" s="33" t="n">
        <v>0</v>
      </c>
      <c r="G1482" s="131"/>
      <c r="H1482" s="35" t="n">
        <v>0</v>
      </c>
      <c r="I1482" s="34" t="n">
        <f aca="false">+IF(E1482=0,0,E1482*0.03)</f>
        <v>0</v>
      </c>
      <c r="J1482" s="93"/>
      <c r="K1482" s="93"/>
      <c r="L1482" s="93"/>
      <c r="M1482" s="93"/>
      <c r="N1482" s="93"/>
      <c r="O1482" s="93"/>
      <c r="P1482" s="93"/>
      <c r="Q1482" s="93"/>
      <c r="R1482" s="93"/>
      <c r="S1482" s="93"/>
      <c r="T1482" s="93"/>
      <c r="U1482" s="93"/>
      <c r="V1482" s="93"/>
      <c r="W1482" s="93"/>
      <c r="X1482" s="93"/>
      <c r="Y1482" s="93"/>
      <c r="Z1482" s="93"/>
    </row>
    <row r="1483" customFormat="false" ht="16.4" hidden="false" customHeight="false" outlineLevel="0" collapsed="false">
      <c r="A1483" s="123" t="n">
        <v>45444</v>
      </c>
      <c r="B1483" s="31" t="s">
        <v>153</v>
      </c>
      <c r="C1483" s="129"/>
      <c r="D1483" s="129"/>
      <c r="E1483" s="19" t="n">
        <f aca="false">F1483*0.03</f>
        <v>0</v>
      </c>
      <c r="F1483" s="33" t="n">
        <v>0</v>
      </c>
      <c r="G1483" s="131"/>
      <c r="H1483" s="35" t="n">
        <v>0</v>
      </c>
      <c r="I1483" s="34" t="n">
        <f aca="false">+IF(E1483=0,0,E1483*0.03)</f>
        <v>0</v>
      </c>
      <c r="J1483" s="93"/>
      <c r="K1483" s="93"/>
      <c r="L1483" s="93"/>
      <c r="M1483" s="93"/>
      <c r="N1483" s="93"/>
      <c r="O1483" s="93"/>
      <c r="P1483" s="93"/>
      <c r="Q1483" s="93"/>
      <c r="R1483" s="93"/>
      <c r="S1483" s="93"/>
      <c r="T1483" s="93"/>
      <c r="U1483" s="93"/>
      <c r="V1483" s="93"/>
      <c r="W1483" s="93"/>
      <c r="X1483" s="93"/>
      <c r="Y1483" s="93"/>
      <c r="Z1483" s="93"/>
    </row>
    <row r="1484" customFormat="false" ht="16.4" hidden="false" customHeight="false" outlineLevel="0" collapsed="false">
      <c r="A1484" s="123" t="n">
        <v>45444</v>
      </c>
      <c r="B1484" s="31" t="s">
        <v>153</v>
      </c>
      <c r="C1484" s="129"/>
      <c r="D1484" s="129"/>
      <c r="E1484" s="19" t="n">
        <f aca="false">F1484*0.03</f>
        <v>0</v>
      </c>
      <c r="F1484" s="33" t="n">
        <v>0</v>
      </c>
      <c r="G1484" s="131"/>
      <c r="H1484" s="35" t="n">
        <v>0</v>
      </c>
      <c r="I1484" s="34" t="n">
        <f aca="false">+IF(E1484=0,0,E1484*0.03)</f>
        <v>0</v>
      </c>
      <c r="J1484" s="93"/>
      <c r="K1484" s="93"/>
      <c r="L1484" s="93"/>
      <c r="M1484" s="93"/>
      <c r="N1484" s="93"/>
      <c r="O1484" s="93"/>
      <c r="P1484" s="93"/>
      <c r="Q1484" s="93"/>
      <c r="R1484" s="93"/>
      <c r="S1484" s="93"/>
      <c r="T1484" s="93"/>
      <c r="U1484" s="93"/>
      <c r="V1484" s="93"/>
      <c r="W1484" s="93"/>
      <c r="X1484" s="93"/>
      <c r="Y1484" s="93"/>
      <c r="Z1484" s="93"/>
    </row>
    <row r="1485" customFormat="false" ht="16.4" hidden="false" customHeight="false" outlineLevel="0" collapsed="false">
      <c r="A1485" s="123" t="n">
        <v>45444</v>
      </c>
      <c r="B1485" s="31" t="s">
        <v>153</v>
      </c>
      <c r="C1485" s="129"/>
      <c r="D1485" s="129"/>
      <c r="E1485" s="19" t="n">
        <f aca="false">F1485*0.03</f>
        <v>0</v>
      </c>
      <c r="F1485" s="33" t="n">
        <v>0</v>
      </c>
      <c r="G1485" s="131"/>
      <c r="H1485" s="35" t="n">
        <v>0</v>
      </c>
      <c r="I1485" s="34" t="n">
        <f aca="false">+IF(E1485=0,0,E1485*0.03)</f>
        <v>0</v>
      </c>
      <c r="J1485" s="93"/>
      <c r="K1485" s="93"/>
      <c r="L1485" s="93"/>
      <c r="M1485" s="93"/>
      <c r="N1485" s="93"/>
      <c r="O1485" s="93"/>
      <c r="P1485" s="93"/>
      <c r="Q1485" s="93"/>
      <c r="R1485" s="93"/>
      <c r="S1485" s="93"/>
      <c r="T1485" s="93"/>
      <c r="U1485" s="93"/>
      <c r="V1485" s="93"/>
      <c r="W1485" s="93"/>
      <c r="X1485" s="93"/>
      <c r="Y1485" s="93"/>
      <c r="Z1485" s="93"/>
    </row>
    <row r="1486" customFormat="false" ht="16.4" hidden="false" customHeight="false" outlineLevel="0" collapsed="false">
      <c r="A1486" s="123" t="n">
        <v>45444</v>
      </c>
      <c r="B1486" s="31" t="s">
        <v>153</v>
      </c>
      <c r="C1486" s="129"/>
      <c r="D1486" s="129"/>
      <c r="E1486" s="19" t="n">
        <f aca="false">F1486*0.03</f>
        <v>0</v>
      </c>
      <c r="F1486" s="33" t="n">
        <v>0</v>
      </c>
      <c r="G1486" s="131"/>
      <c r="H1486" s="35" t="n">
        <v>0</v>
      </c>
      <c r="I1486" s="34" t="n">
        <f aca="false">+IF(E1486=0,0,E1486*0.03)</f>
        <v>0</v>
      </c>
      <c r="J1486" s="93"/>
      <c r="K1486" s="93"/>
      <c r="L1486" s="93"/>
      <c r="M1486" s="93"/>
      <c r="N1486" s="93"/>
      <c r="O1486" s="93"/>
      <c r="P1486" s="93"/>
      <c r="Q1486" s="93"/>
      <c r="R1486" s="93"/>
      <c r="S1486" s="93"/>
      <c r="T1486" s="93"/>
      <c r="U1486" s="93"/>
      <c r="V1486" s="93"/>
      <c r="W1486" s="93"/>
      <c r="X1486" s="93"/>
      <c r="Y1486" s="93"/>
      <c r="Z1486" s="93"/>
    </row>
    <row r="1487" customFormat="false" ht="16.4" hidden="false" customHeight="false" outlineLevel="0" collapsed="false">
      <c r="A1487" s="123" t="n">
        <v>45444</v>
      </c>
      <c r="B1487" s="31" t="s">
        <v>153</v>
      </c>
      <c r="C1487" s="129"/>
      <c r="D1487" s="129"/>
      <c r="E1487" s="19" t="n">
        <f aca="false">F1487*0.03</f>
        <v>0</v>
      </c>
      <c r="F1487" s="33" t="n">
        <v>0</v>
      </c>
      <c r="G1487" s="131"/>
      <c r="H1487" s="35" t="n">
        <v>0</v>
      </c>
      <c r="I1487" s="34" t="n">
        <f aca="false">+IF(E1487=0,0,E1487*0.03)</f>
        <v>0</v>
      </c>
      <c r="J1487" s="93"/>
      <c r="K1487" s="93"/>
      <c r="L1487" s="93"/>
      <c r="M1487" s="93"/>
      <c r="N1487" s="93"/>
      <c r="O1487" s="93"/>
      <c r="P1487" s="93"/>
      <c r="Q1487" s="93"/>
      <c r="R1487" s="93"/>
      <c r="S1487" s="93"/>
      <c r="T1487" s="93"/>
      <c r="U1487" s="93"/>
      <c r="V1487" s="93"/>
      <c r="W1487" s="93"/>
      <c r="X1487" s="93"/>
      <c r="Y1487" s="93"/>
      <c r="Z1487" s="93"/>
    </row>
    <row r="1488" customFormat="false" ht="16.4" hidden="false" customHeight="false" outlineLevel="0" collapsed="false">
      <c r="A1488" s="123" t="n">
        <v>45444</v>
      </c>
      <c r="B1488" s="31" t="s">
        <v>153</v>
      </c>
      <c r="C1488" s="129"/>
      <c r="D1488" s="129"/>
      <c r="E1488" s="19" t="n">
        <f aca="false">F1488*0.03</f>
        <v>0</v>
      </c>
      <c r="F1488" s="33" t="n">
        <v>0</v>
      </c>
      <c r="G1488" s="131"/>
      <c r="H1488" s="35" t="n">
        <v>0</v>
      </c>
      <c r="I1488" s="34" t="n">
        <f aca="false">+IF(E1488=0,0,E1488*0.03)</f>
        <v>0</v>
      </c>
      <c r="J1488" s="93"/>
      <c r="K1488" s="93"/>
      <c r="L1488" s="93"/>
      <c r="M1488" s="93"/>
      <c r="N1488" s="93"/>
      <c r="O1488" s="93"/>
      <c r="P1488" s="93"/>
      <c r="Q1488" s="93"/>
      <c r="R1488" s="93"/>
      <c r="S1488" s="93"/>
      <c r="T1488" s="93"/>
      <c r="U1488" s="93"/>
      <c r="V1488" s="93"/>
      <c r="W1488" s="93"/>
      <c r="X1488" s="93"/>
      <c r="Y1488" s="93"/>
      <c r="Z1488" s="93"/>
    </row>
    <row r="1489" customFormat="false" ht="16.4" hidden="false" customHeight="false" outlineLevel="0" collapsed="false">
      <c r="A1489" s="123" t="n">
        <v>45444</v>
      </c>
      <c r="B1489" s="31" t="s">
        <v>153</v>
      </c>
      <c r="C1489" s="129"/>
      <c r="D1489" s="129"/>
      <c r="E1489" s="19" t="n">
        <f aca="false">F1489*0.03</f>
        <v>0</v>
      </c>
      <c r="F1489" s="33" t="n">
        <v>0</v>
      </c>
      <c r="G1489" s="131"/>
      <c r="H1489" s="35" t="n">
        <v>0</v>
      </c>
      <c r="I1489" s="34" t="n">
        <f aca="false">+IF(E1489=0,0,E1489*0.03)</f>
        <v>0</v>
      </c>
      <c r="J1489" s="93"/>
      <c r="K1489" s="93"/>
      <c r="L1489" s="93"/>
      <c r="M1489" s="93"/>
      <c r="N1489" s="93"/>
      <c r="O1489" s="93"/>
      <c r="P1489" s="93"/>
      <c r="Q1489" s="93"/>
      <c r="R1489" s="93"/>
      <c r="S1489" s="93"/>
      <c r="T1489" s="93"/>
      <c r="U1489" s="93"/>
      <c r="V1489" s="93"/>
      <c r="W1489" s="93"/>
      <c r="X1489" s="93"/>
      <c r="Y1489" s="93"/>
      <c r="Z1489" s="93"/>
    </row>
    <row r="1490" customFormat="false" ht="16.4" hidden="false" customHeight="false" outlineLevel="0" collapsed="false">
      <c r="A1490" s="123" t="n">
        <v>45444</v>
      </c>
      <c r="B1490" s="31" t="s">
        <v>153</v>
      </c>
      <c r="C1490" s="129"/>
      <c r="D1490" s="129"/>
      <c r="E1490" s="19" t="n">
        <f aca="false">F1490*0.03</f>
        <v>0</v>
      </c>
      <c r="F1490" s="33" t="n">
        <v>0</v>
      </c>
      <c r="G1490" s="131"/>
      <c r="H1490" s="35" t="n">
        <v>0</v>
      </c>
      <c r="I1490" s="34" t="n">
        <f aca="false">+IF(E1490=0,0,E1490*0.03)</f>
        <v>0</v>
      </c>
      <c r="J1490" s="93"/>
      <c r="K1490" s="93"/>
      <c r="L1490" s="93"/>
      <c r="M1490" s="93"/>
      <c r="N1490" s="93"/>
      <c r="O1490" s="93"/>
      <c r="P1490" s="93"/>
      <c r="Q1490" s="93"/>
      <c r="R1490" s="93"/>
      <c r="S1490" s="93"/>
      <c r="T1490" s="93"/>
      <c r="U1490" s="93"/>
      <c r="V1490" s="93"/>
      <c r="W1490" s="93"/>
      <c r="X1490" s="93"/>
      <c r="Y1490" s="93"/>
      <c r="Z1490" s="93"/>
    </row>
    <row r="1491" customFormat="false" ht="16.4" hidden="false" customHeight="false" outlineLevel="0" collapsed="false">
      <c r="A1491" s="123" t="n">
        <v>45444</v>
      </c>
      <c r="B1491" s="31" t="s">
        <v>153</v>
      </c>
      <c r="C1491" s="129"/>
      <c r="D1491" s="129"/>
      <c r="E1491" s="19" t="n">
        <f aca="false">F1491*0.03</f>
        <v>0</v>
      </c>
      <c r="F1491" s="33" t="n">
        <v>0</v>
      </c>
      <c r="G1491" s="131"/>
      <c r="H1491" s="35" t="n">
        <v>0</v>
      </c>
      <c r="I1491" s="34" t="n">
        <f aca="false">+IF(E1491=0,0,E1491*0.03)</f>
        <v>0</v>
      </c>
      <c r="J1491" s="93"/>
      <c r="K1491" s="93"/>
      <c r="L1491" s="93"/>
      <c r="M1491" s="93"/>
      <c r="N1491" s="93"/>
      <c r="O1491" s="93"/>
      <c r="P1491" s="93"/>
      <c r="Q1491" s="93"/>
      <c r="R1491" s="93"/>
      <c r="S1491" s="93"/>
      <c r="T1491" s="93"/>
      <c r="U1491" s="93"/>
      <c r="V1491" s="93"/>
      <c r="W1491" s="93"/>
      <c r="X1491" s="93"/>
      <c r="Y1491" s="93"/>
      <c r="Z1491" s="93"/>
    </row>
    <row r="1492" customFormat="false" ht="16.4" hidden="false" customHeight="false" outlineLevel="0" collapsed="false">
      <c r="A1492" s="123" t="n">
        <v>45444</v>
      </c>
      <c r="B1492" s="31" t="s">
        <v>153</v>
      </c>
      <c r="C1492" s="129"/>
      <c r="D1492" s="129"/>
      <c r="E1492" s="19" t="n">
        <f aca="false">F1492*0.03</f>
        <v>0</v>
      </c>
      <c r="F1492" s="33" t="n">
        <v>0</v>
      </c>
      <c r="G1492" s="131"/>
      <c r="H1492" s="35" t="n">
        <v>0</v>
      </c>
      <c r="I1492" s="34" t="n">
        <f aca="false">+IF(E1492=0,0,E1492*0.03)</f>
        <v>0</v>
      </c>
      <c r="J1492" s="93"/>
      <c r="K1492" s="93"/>
      <c r="L1492" s="93"/>
      <c r="M1492" s="93"/>
      <c r="N1492" s="93"/>
      <c r="O1492" s="93"/>
      <c r="P1492" s="93"/>
      <c r="Q1492" s="93"/>
      <c r="R1492" s="93"/>
      <c r="S1492" s="93"/>
      <c r="T1492" s="93"/>
      <c r="U1492" s="93"/>
      <c r="V1492" s="93"/>
      <c r="W1492" s="93"/>
      <c r="X1492" s="93"/>
      <c r="Y1492" s="93"/>
      <c r="Z1492" s="93"/>
    </row>
    <row r="1493" customFormat="false" ht="16.4" hidden="false" customHeight="false" outlineLevel="0" collapsed="false">
      <c r="A1493" s="123" t="n">
        <v>45444</v>
      </c>
      <c r="B1493" s="31" t="s">
        <v>153</v>
      </c>
      <c r="C1493" s="129"/>
      <c r="D1493" s="129"/>
      <c r="E1493" s="19" t="n">
        <f aca="false">F1493*0.03</f>
        <v>0</v>
      </c>
      <c r="F1493" s="33" t="n">
        <v>0</v>
      </c>
      <c r="G1493" s="131"/>
      <c r="H1493" s="35" t="n">
        <v>0</v>
      </c>
      <c r="I1493" s="34" t="n">
        <f aca="false">+IF(E1493=0,0,E1493*0.03)</f>
        <v>0</v>
      </c>
      <c r="J1493" s="93"/>
      <c r="K1493" s="93"/>
      <c r="L1493" s="93"/>
      <c r="M1493" s="93"/>
      <c r="N1493" s="93"/>
      <c r="O1493" s="93"/>
      <c r="P1493" s="93"/>
      <c r="Q1493" s="93"/>
      <c r="R1493" s="93"/>
      <c r="S1493" s="93"/>
      <c r="T1493" s="93"/>
      <c r="U1493" s="93"/>
      <c r="V1493" s="93"/>
      <c r="W1493" s="93"/>
      <c r="X1493" s="93"/>
      <c r="Y1493" s="93"/>
      <c r="Z1493" s="93"/>
    </row>
    <row r="1494" customFormat="false" ht="16.4" hidden="false" customHeight="false" outlineLevel="0" collapsed="false">
      <c r="A1494" s="123" t="n">
        <v>45444</v>
      </c>
      <c r="B1494" s="31" t="s">
        <v>153</v>
      </c>
      <c r="C1494" s="129"/>
      <c r="D1494" s="129"/>
      <c r="E1494" s="19" t="n">
        <f aca="false">F1494*0.03</f>
        <v>0</v>
      </c>
      <c r="F1494" s="33" t="n">
        <v>0</v>
      </c>
      <c r="G1494" s="131"/>
      <c r="H1494" s="35" t="n">
        <v>0</v>
      </c>
      <c r="I1494" s="34" t="n">
        <f aca="false">+IF(E1494=0,0,E1494*0.03)</f>
        <v>0</v>
      </c>
      <c r="J1494" s="93"/>
      <c r="K1494" s="93"/>
      <c r="L1494" s="93"/>
      <c r="M1494" s="93"/>
      <c r="N1494" s="93"/>
      <c r="O1494" s="93"/>
      <c r="P1494" s="93"/>
      <c r="Q1494" s="93"/>
      <c r="R1494" s="93"/>
      <c r="S1494" s="93"/>
      <c r="T1494" s="93"/>
      <c r="U1494" s="93"/>
      <c r="V1494" s="93"/>
      <c r="W1494" s="93"/>
      <c r="X1494" s="93"/>
      <c r="Y1494" s="93"/>
      <c r="Z1494" s="93"/>
    </row>
    <row r="1495" customFormat="false" ht="16.4" hidden="false" customHeight="false" outlineLevel="0" collapsed="false">
      <c r="A1495" s="123" t="n">
        <v>45444</v>
      </c>
      <c r="B1495" s="31" t="s">
        <v>153</v>
      </c>
      <c r="C1495" s="129"/>
      <c r="D1495" s="129"/>
      <c r="E1495" s="19" t="n">
        <f aca="false">F1495*0.03</f>
        <v>0</v>
      </c>
      <c r="F1495" s="33" t="n">
        <v>0</v>
      </c>
      <c r="G1495" s="131"/>
      <c r="H1495" s="35" t="n">
        <v>0</v>
      </c>
      <c r="I1495" s="34" t="n">
        <f aca="false">+IF(E1495=0,0,E1495*0.03)</f>
        <v>0</v>
      </c>
      <c r="J1495" s="93"/>
      <c r="K1495" s="93"/>
      <c r="L1495" s="93"/>
      <c r="M1495" s="93"/>
      <c r="N1495" s="93"/>
      <c r="O1495" s="93"/>
      <c r="P1495" s="93"/>
      <c r="Q1495" s="93"/>
      <c r="R1495" s="93"/>
      <c r="S1495" s="93"/>
      <c r="T1495" s="93"/>
      <c r="U1495" s="93"/>
      <c r="V1495" s="93"/>
      <c r="W1495" s="93"/>
      <c r="X1495" s="93"/>
      <c r="Y1495" s="93"/>
      <c r="Z1495" s="93"/>
    </row>
    <row r="1496" customFormat="false" ht="16.4" hidden="false" customHeight="false" outlineLevel="0" collapsed="false">
      <c r="A1496" s="123" t="n">
        <v>45444</v>
      </c>
      <c r="B1496" s="31" t="s">
        <v>153</v>
      </c>
      <c r="C1496" s="129"/>
      <c r="D1496" s="129"/>
      <c r="E1496" s="19" t="n">
        <f aca="false">F1496*0.03</f>
        <v>0</v>
      </c>
      <c r="F1496" s="33" t="n">
        <v>0</v>
      </c>
      <c r="G1496" s="131"/>
      <c r="H1496" s="35" t="n">
        <v>0</v>
      </c>
      <c r="I1496" s="34" t="n">
        <f aca="false">+IF(E1496=0,0,E1496*0.03)</f>
        <v>0</v>
      </c>
      <c r="J1496" s="93"/>
      <c r="K1496" s="93"/>
      <c r="L1496" s="93"/>
      <c r="M1496" s="93"/>
      <c r="N1496" s="93"/>
      <c r="O1496" s="93"/>
      <c r="P1496" s="93"/>
      <c r="Q1496" s="93"/>
      <c r="R1496" s="93"/>
      <c r="S1496" s="93"/>
      <c r="T1496" s="93"/>
      <c r="U1496" s="93"/>
      <c r="V1496" s="93"/>
      <c r="W1496" s="93"/>
      <c r="X1496" s="93"/>
      <c r="Y1496" s="93"/>
      <c r="Z1496" s="93"/>
    </row>
    <row r="1497" customFormat="false" ht="16.4" hidden="false" customHeight="false" outlineLevel="0" collapsed="false">
      <c r="A1497" s="123" t="n">
        <v>45444</v>
      </c>
      <c r="B1497" s="31" t="s">
        <v>153</v>
      </c>
      <c r="C1497" s="129"/>
      <c r="D1497" s="129"/>
      <c r="E1497" s="19" t="n">
        <f aca="false">F1497*0.03</f>
        <v>0</v>
      </c>
      <c r="F1497" s="33" t="n">
        <v>0</v>
      </c>
      <c r="G1497" s="131"/>
      <c r="H1497" s="35" t="n">
        <v>0</v>
      </c>
      <c r="I1497" s="34" t="n">
        <f aca="false">+IF(E1497=0,0,E1497*0.03)</f>
        <v>0</v>
      </c>
      <c r="J1497" s="93"/>
      <c r="K1497" s="93"/>
      <c r="L1497" s="93"/>
      <c r="M1497" s="93"/>
      <c r="N1497" s="93"/>
      <c r="O1497" s="93"/>
      <c r="P1497" s="93"/>
      <c r="Q1497" s="93"/>
      <c r="R1497" s="93"/>
      <c r="S1497" s="93"/>
      <c r="T1497" s="93"/>
      <c r="U1497" s="93"/>
      <c r="V1497" s="93"/>
      <c r="W1497" s="93"/>
      <c r="X1497" s="93"/>
      <c r="Y1497" s="93"/>
      <c r="Z1497" s="93"/>
    </row>
    <row r="1498" customFormat="false" ht="16.4" hidden="false" customHeight="false" outlineLevel="0" collapsed="false">
      <c r="A1498" s="123" t="n">
        <v>45444</v>
      </c>
      <c r="B1498" s="31" t="s">
        <v>153</v>
      </c>
      <c r="C1498" s="129"/>
      <c r="D1498" s="129"/>
      <c r="E1498" s="19" t="n">
        <f aca="false">F1498*0.03</f>
        <v>0</v>
      </c>
      <c r="F1498" s="33" t="n">
        <v>0</v>
      </c>
      <c r="G1498" s="131"/>
      <c r="H1498" s="35" t="n">
        <v>0</v>
      </c>
      <c r="I1498" s="34" t="n">
        <f aca="false">+IF(E1498=0,0,E1498*0.03)</f>
        <v>0</v>
      </c>
      <c r="J1498" s="93"/>
      <c r="K1498" s="93"/>
      <c r="L1498" s="93"/>
      <c r="M1498" s="93"/>
      <c r="N1498" s="93"/>
      <c r="O1498" s="93"/>
      <c r="P1498" s="93"/>
      <c r="Q1498" s="93"/>
      <c r="R1498" s="93"/>
      <c r="S1498" s="93"/>
      <c r="T1498" s="93"/>
      <c r="U1498" s="93"/>
      <c r="V1498" s="93"/>
      <c r="W1498" s="93"/>
      <c r="X1498" s="93"/>
      <c r="Y1498" s="93"/>
      <c r="Z1498" s="93"/>
    </row>
    <row r="1499" customFormat="false" ht="16.4" hidden="false" customHeight="false" outlineLevel="0" collapsed="false">
      <c r="A1499" s="123" t="n">
        <v>45444</v>
      </c>
      <c r="B1499" s="31" t="s">
        <v>153</v>
      </c>
      <c r="C1499" s="129"/>
      <c r="D1499" s="129"/>
      <c r="E1499" s="19" t="n">
        <f aca="false">F1499*0.03</f>
        <v>0</v>
      </c>
      <c r="F1499" s="33" t="n">
        <v>0</v>
      </c>
      <c r="G1499" s="131"/>
      <c r="H1499" s="35" t="n">
        <v>0</v>
      </c>
      <c r="I1499" s="34" t="n">
        <f aca="false">+IF(E1499=0,0,E1499*0.03)</f>
        <v>0</v>
      </c>
      <c r="J1499" s="93"/>
      <c r="K1499" s="93"/>
      <c r="L1499" s="93"/>
      <c r="M1499" s="93"/>
      <c r="N1499" s="93"/>
      <c r="O1499" s="93"/>
      <c r="P1499" s="93"/>
      <c r="Q1499" s="93"/>
      <c r="R1499" s="93"/>
      <c r="S1499" s="93"/>
      <c r="T1499" s="93"/>
      <c r="U1499" s="93"/>
      <c r="V1499" s="93"/>
      <c r="W1499" s="93"/>
      <c r="X1499" s="93"/>
      <c r="Y1499" s="93"/>
      <c r="Z1499" s="93"/>
    </row>
    <row r="1500" customFormat="false" ht="16.4" hidden="false" customHeight="false" outlineLevel="0" collapsed="false">
      <c r="A1500" s="123" t="n">
        <v>45444</v>
      </c>
      <c r="B1500" s="31" t="s">
        <v>153</v>
      </c>
      <c r="C1500" s="129"/>
      <c r="D1500" s="129"/>
      <c r="E1500" s="19" t="n">
        <f aca="false">F1500*0.03</f>
        <v>0</v>
      </c>
      <c r="F1500" s="33" t="n">
        <v>0</v>
      </c>
      <c r="G1500" s="131"/>
      <c r="H1500" s="35" t="n">
        <v>0</v>
      </c>
      <c r="I1500" s="34" t="n">
        <f aca="false">+IF(E1500=0,0,E1500*0.03)</f>
        <v>0</v>
      </c>
      <c r="J1500" s="93"/>
      <c r="K1500" s="93"/>
      <c r="L1500" s="93"/>
      <c r="M1500" s="93"/>
      <c r="N1500" s="93"/>
      <c r="O1500" s="93"/>
      <c r="P1500" s="93"/>
      <c r="Q1500" s="93"/>
      <c r="R1500" s="93"/>
      <c r="S1500" s="93"/>
      <c r="T1500" s="93"/>
      <c r="U1500" s="93"/>
      <c r="V1500" s="93"/>
      <c r="W1500" s="93"/>
      <c r="X1500" s="93"/>
      <c r="Y1500" s="93"/>
      <c r="Z1500" s="93"/>
    </row>
    <row r="1501" customFormat="false" ht="16.4" hidden="false" customHeight="false" outlineLevel="0" collapsed="false">
      <c r="A1501" s="123" t="n">
        <v>45444</v>
      </c>
      <c r="B1501" s="31" t="s">
        <v>153</v>
      </c>
      <c r="C1501" s="129"/>
      <c r="D1501" s="129"/>
      <c r="E1501" s="19" t="n">
        <f aca="false">F1501*0.03</f>
        <v>0</v>
      </c>
      <c r="F1501" s="33" t="n">
        <v>0</v>
      </c>
      <c r="G1501" s="131"/>
      <c r="H1501" s="35" t="n">
        <v>0</v>
      </c>
      <c r="I1501" s="34" t="n">
        <f aca="false">+IF(E1501=0,0,E1501*0.03)</f>
        <v>0</v>
      </c>
      <c r="J1501" s="93"/>
      <c r="K1501" s="93"/>
      <c r="L1501" s="93"/>
      <c r="M1501" s="93"/>
      <c r="N1501" s="93"/>
      <c r="O1501" s="93"/>
      <c r="P1501" s="93"/>
      <c r="Q1501" s="93"/>
      <c r="R1501" s="93"/>
      <c r="S1501" s="93"/>
      <c r="T1501" s="93"/>
      <c r="U1501" s="93"/>
      <c r="V1501" s="93"/>
      <c r="W1501" s="93"/>
      <c r="X1501" s="93"/>
      <c r="Y1501" s="93"/>
      <c r="Z1501" s="93"/>
    </row>
    <row r="1502" customFormat="false" ht="16.4" hidden="false" customHeight="false" outlineLevel="0" collapsed="false">
      <c r="A1502" s="123" t="n">
        <v>45444</v>
      </c>
      <c r="B1502" s="31" t="s">
        <v>153</v>
      </c>
      <c r="C1502" s="129"/>
      <c r="D1502" s="129"/>
      <c r="E1502" s="19" t="n">
        <f aca="false">F1502*0.03</f>
        <v>0</v>
      </c>
      <c r="F1502" s="33" t="n">
        <v>0</v>
      </c>
      <c r="G1502" s="131"/>
      <c r="H1502" s="35" t="n">
        <v>0</v>
      </c>
      <c r="I1502" s="34" t="n">
        <f aca="false">+IF(E1502=0,0,E1502*0.03)</f>
        <v>0</v>
      </c>
      <c r="J1502" s="93"/>
      <c r="K1502" s="93"/>
      <c r="L1502" s="93"/>
      <c r="M1502" s="93"/>
      <c r="N1502" s="93"/>
      <c r="O1502" s="93"/>
      <c r="P1502" s="93"/>
      <c r="Q1502" s="93"/>
      <c r="R1502" s="93"/>
      <c r="S1502" s="93"/>
      <c r="T1502" s="93"/>
      <c r="U1502" s="93"/>
      <c r="V1502" s="93"/>
      <c r="W1502" s="93"/>
      <c r="X1502" s="93"/>
      <c r="Y1502" s="93"/>
      <c r="Z1502" s="93"/>
    </row>
    <row r="1503" customFormat="false" ht="16.4" hidden="false" customHeight="false" outlineLevel="0" collapsed="false">
      <c r="A1503" s="123" t="n">
        <v>45444</v>
      </c>
      <c r="B1503" s="31" t="s">
        <v>153</v>
      </c>
      <c r="C1503" s="129"/>
      <c r="D1503" s="129"/>
      <c r="E1503" s="19" t="n">
        <f aca="false">F1503*0.03</f>
        <v>0</v>
      </c>
      <c r="F1503" s="33" t="n">
        <v>0</v>
      </c>
      <c r="G1503" s="131"/>
      <c r="H1503" s="35" t="n">
        <v>0</v>
      </c>
      <c r="I1503" s="34" t="n">
        <f aca="false">+IF(E1503=0,0,E1503*0.03)</f>
        <v>0</v>
      </c>
      <c r="J1503" s="93"/>
      <c r="K1503" s="93"/>
      <c r="L1503" s="93"/>
      <c r="M1503" s="93"/>
      <c r="N1503" s="93"/>
      <c r="O1503" s="93"/>
      <c r="P1503" s="93"/>
      <c r="Q1503" s="93"/>
      <c r="R1503" s="93"/>
      <c r="S1503" s="93"/>
      <c r="T1503" s="93"/>
      <c r="U1503" s="93"/>
      <c r="V1503" s="93"/>
      <c r="W1503" s="93"/>
      <c r="X1503" s="93"/>
      <c r="Y1503" s="93"/>
      <c r="Z1503" s="93"/>
    </row>
    <row r="1504" customFormat="false" ht="16.4" hidden="false" customHeight="false" outlineLevel="0" collapsed="false">
      <c r="A1504" s="123" t="n">
        <v>45444</v>
      </c>
      <c r="B1504" s="31" t="s">
        <v>153</v>
      </c>
      <c r="C1504" s="129"/>
      <c r="D1504" s="129"/>
      <c r="E1504" s="19" t="n">
        <f aca="false">F1504*0.03</f>
        <v>0</v>
      </c>
      <c r="F1504" s="33" t="n">
        <v>0</v>
      </c>
      <c r="G1504" s="131"/>
      <c r="H1504" s="35" t="n">
        <v>0</v>
      </c>
      <c r="I1504" s="34" t="n">
        <f aca="false">+IF(E1504=0,0,E1504*0.03)</f>
        <v>0</v>
      </c>
      <c r="J1504" s="93"/>
      <c r="K1504" s="93"/>
      <c r="L1504" s="93"/>
      <c r="M1504" s="93"/>
      <c r="N1504" s="93"/>
      <c r="O1504" s="93"/>
      <c r="P1504" s="93"/>
      <c r="Q1504" s="93"/>
      <c r="R1504" s="93"/>
      <c r="S1504" s="93"/>
      <c r="T1504" s="93"/>
      <c r="U1504" s="93"/>
      <c r="V1504" s="93"/>
      <c r="W1504" s="93"/>
      <c r="X1504" s="93"/>
      <c r="Y1504" s="93"/>
      <c r="Z1504" s="93"/>
    </row>
    <row r="1505" customFormat="false" ht="16.4" hidden="false" customHeight="false" outlineLevel="0" collapsed="false">
      <c r="A1505" s="123" t="n">
        <v>45444</v>
      </c>
      <c r="B1505" s="31" t="s">
        <v>153</v>
      </c>
      <c r="C1505" s="129"/>
      <c r="D1505" s="129"/>
      <c r="E1505" s="19" t="n">
        <f aca="false">F1505*0.03</f>
        <v>0</v>
      </c>
      <c r="F1505" s="33" t="n">
        <v>0</v>
      </c>
      <c r="G1505" s="131"/>
      <c r="H1505" s="35" t="n">
        <v>0</v>
      </c>
      <c r="I1505" s="34" t="n">
        <f aca="false">+IF(E1505=0,0,E1505*0.03)</f>
        <v>0</v>
      </c>
      <c r="J1505" s="93"/>
      <c r="K1505" s="93"/>
      <c r="L1505" s="93"/>
      <c r="M1505" s="93"/>
      <c r="N1505" s="93"/>
      <c r="O1505" s="93"/>
      <c r="P1505" s="93"/>
      <c r="Q1505" s="93"/>
      <c r="R1505" s="93"/>
      <c r="S1505" s="93"/>
      <c r="T1505" s="93"/>
      <c r="U1505" s="93"/>
      <c r="V1505" s="93"/>
      <c r="W1505" s="93"/>
      <c r="X1505" s="93"/>
      <c r="Y1505" s="93"/>
      <c r="Z1505" s="93"/>
    </row>
    <row r="1506" customFormat="false" ht="16.4" hidden="false" customHeight="false" outlineLevel="0" collapsed="false">
      <c r="A1506" s="123" t="n">
        <v>45444</v>
      </c>
      <c r="B1506" s="31" t="s">
        <v>153</v>
      </c>
      <c r="C1506" s="129"/>
      <c r="D1506" s="129"/>
      <c r="E1506" s="19" t="n">
        <f aca="false">F1506*0.03</f>
        <v>0</v>
      </c>
      <c r="F1506" s="33" t="n">
        <v>0</v>
      </c>
      <c r="G1506" s="131"/>
      <c r="H1506" s="35" t="n">
        <v>0</v>
      </c>
      <c r="I1506" s="34" t="n">
        <f aca="false">+IF(E1506=0,0,E1506*0.03)</f>
        <v>0</v>
      </c>
      <c r="J1506" s="93"/>
      <c r="K1506" s="93"/>
      <c r="L1506" s="93"/>
      <c r="M1506" s="93"/>
      <c r="N1506" s="93"/>
      <c r="O1506" s="93"/>
      <c r="P1506" s="93"/>
      <c r="Q1506" s="93"/>
      <c r="R1506" s="93"/>
      <c r="S1506" s="93"/>
      <c r="T1506" s="93"/>
      <c r="U1506" s="93"/>
      <c r="V1506" s="93"/>
      <c r="W1506" s="93"/>
      <c r="X1506" s="93"/>
      <c r="Y1506" s="93"/>
      <c r="Z1506" s="93"/>
    </row>
    <row r="1507" customFormat="false" ht="16.4" hidden="false" customHeight="false" outlineLevel="0" collapsed="false">
      <c r="A1507" s="123" t="n">
        <v>45444</v>
      </c>
      <c r="B1507" s="31" t="s">
        <v>153</v>
      </c>
      <c r="C1507" s="129"/>
      <c r="D1507" s="129"/>
      <c r="E1507" s="19" t="n">
        <f aca="false">F1507*0.03</f>
        <v>0</v>
      </c>
      <c r="F1507" s="33" t="n">
        <v>0</v>
      </c>
      <c r="G1507" s="131"/>
      <c r="H1507" s="35" t="n">
        <v>0</v>
      </c>
      <c r="I1507" s="34" t="n">
        <f aca="false">+IF(E1507=0,0,E1507*0.03)</f>
        <v>0</v>
      </c>
      <c r="J1507" s="93"/>
      <c r="K1507" s="93"/>
      <c r="L1507" s="93"/>
      <c r="M1507" s="93"/>
      <c r="N1507" s="93"/>
      <c r="O1507" s="93"/>
      <c r="P1507" s="93"/>
      <c r="Q1507" s="93"/>
      <c r="R1507" s="93"/>
      <c r="S1507" s="93"/>
      <c r="T1507" s="93"/>
      <c r="U1507" s="93"/>
      <c r="V1507" s="93"/>
      <c r="W1507" s="93"/>
      <c r="X1507" s="93"/>
      <c r="Y1507" s="93"/>
      <c r="Z1507" s="93"/>
    </row>
    <row r="1508" customFormat="false" ht="16.4" hidden="false" customHeight="false" outlineLevel="0" collapsed="false">
      <c r="A1508" s="123" t="n">
        <v>45444</v>
      </c>
      <c r="B1508" s="31" t="s">
        <v>153</v>
      </c>
      <c r="C1508" s="129"/>
      <c r="D1508" s="129"/>
      <c r="E1508" s="19" t="n">
        <f aca="false">F1508*0.03</f>
        <v>0</v>
      </c>
      <c r="F1508" s="33" t="n">
        <v>0</v>
      </c>
      <c r="G1508" s="131"/>
      <c r="H1508" s="35" t="n">
        <v>0</v>
      </c>
      <c r="I1508" s="34" t="n">
        <f aca="false">+IF(E1508=0,0,E1508*0.03)</f>
        <v>0</v>
      </c>
      <c r="J1508" s="93"/>
      <c r="K1508" s="93"/>
      <c r="L1508" s="93"/>
      <c r="M1508" s="93"/>
      <c r="N1508" s="93"/>
      <c r="O1508" s="93"/>
      <c r="P1508" s="93"/>
      <c r="Q1508" s="93"/>
      <c r="R1508" s="93"/>
      <c r="S1508" s="93"/>
      <c r="T1508" s="93"/>
      <c r="U1508" s="93"/>
      <c r="V1508" s="93"/>
      <c r="W1508" s="93"/>
      <c r="X1508" s="93"/>
      <c r="Y1508" s="93"/>
      <c r="Z1508" s="93"/>
    </row>
    <row r="1509" customFormat="false" ht="16.4" hidden="false" customHeight="false" outlineLevel="0" collapsed="false">
      <c r="A1509" s="123" t="n">
        <v>45444</v>
      </c>
      <c r="B1509" s="31" t="s">
        <v>153</v>
      </c>
      <c r="C1509" s="129"/>
      <c r="D1509" s="129"/>
      <c r="E1509" s="19" t="n">
        <f aca="false">F1509*0.03</f>
        <v>0</v>
      </c>
      <c r="F1509" s="33" t="n">
        <v>0</v>
      </c>
      <c r="G1509" s="131"/>
      <c r="H1509" s="35" t="n">
        <v>0</v>
      </c>
      <c r="I1509" s="34" t="n">
        <f aca="false">+IF(E1509=0,0,E1509*0.03)</f>
        <v>0</v>
      </c>
      <c r="J1509" s="93"/>
      <c r="K1509" s="93"/>
      <c r="L1509" s="93"/>
      <c r="M1509" s="93"/>
      <c r="N1509" s="93"/>
      <c r="O1509" s="93"/>
      <c r="P1509" s="93"/>
      <c r="Q1509" s="93"/>
      <c r="R1509" s="93"/>
      <c r="S1509" s="93"/>
      <c r="T1509" s="93"/>
      <c r="U1509" s="93"/>
      <c r="V1509" s="93"/>
      <c r="W1509" s="93"/>
      <c r="X1509" s="93"/>
      <c r="Y1509" s="93"/>
      <c r="Z1509" s="93"/>
    </row>
    <row r="1510" customFormat="false" ht="16.4" hidden="false" customHeight="false" outlineLevel="0" collapsed="false">
      <c r="A1510" s="123" t="n">
        <v>45444</v>
      </c>
      <c r="B1510" s="31" t="s">
        <v>153</v>
      </c>
      <c r="C1510" s="129"/>
      <c r="D1510" s="129"/>
      <c r="E1510" s="19" t="n">
        <f aca="false">F1510*0.03</f>
        <v>0</v>
      </c>
      <c r="F1510" s="33" t="n">
        <v>0</v>
      </c>
      <c r="G1510" s="131"/>
      <c r="H1510" s="35" t="n">
        <v>0</v>
      </c>
      <c r="I1510" s="34" t="n">
        <f aca="false">+IF(E1510=0,0,E1510*0.03)</f>
        <v>0</v>
      </c>
      <c r="J1510" s="93"/>
      <c r="K1510" s="93"/>
      <c r="L1510" s="93"/>
      <c r="M1510" s="93"/>
      <c r="N1510" s="93"/>
      <c r="O1510" s="93"/>
      <c r="P1510" s="93"/>
      <c r="Q1510" s="93"/>
      <c r="R1510" s="93"/>
      <c r="S1510" s="93"/>
      <c r="T1510" s="93"/>
      <c r="U1510" s="93"/>
      <c r="V1510" s="93"/>
      <c r="W1510" s="93"/>
      <c r="X1510" s="93"/>
      <c r="Y1510" s="93"/>
      <c r="Z1510" s="93"/>
    </row>
    <row r="1511" customFormat="false" ht="16.4" hidden="false" customHeight="false" outlineLevel="0" collapsed="false">
      <c r="A1511" s="123" t="n">
        <v>45444</v>
      </c>
      <c r="B1511" s="31" t="s">
        <v>153</v>
      </c>
      <c r="C1511" s="129"/>
      <c r="D1511" s="129"/>
      <c r="E1511" s="19" t="n">
        <f aca="false">F1511*0.03</f>
        <v>0</v>
      </c>
      <c r="F1511" s="33" t="n">
        <v>0</v>
      </c>
      <c r="G1511" s="131"/>
      <c r="H1511" s="35" t="n">
        <v>0</v>
      </c>
      <c r="I1511" s="34" t="n">
        <f aca="false">+IF(E1511=0,0,E1511*0.03)</f>
        <v>0</v>
      </c>
      <c r="J1511" s="93"/>
      <c r="K1511" s="93"/>
      <c r="L1511" s="93"/>
      <c r="M1511" s="93"/>
      <c r="N1511" s="93"/>
      <c r="O1511" s="93"/>
      <c r="P1511" s="93"/>
      <c r="Q1511" s="93"/>
      <c r="R1511" s="93"/>
      <c r="S1511" s="93"/>
      <c r="T1511" s="93"/>
      <c r="U1511" s="93"/>
      <c r="V1511" s="93"/>
      <c r="W1511" s="93"/>
      <c r="X1511" s="93"/>
      <c r="Y1511" s="93"/>
      <c r="Z1511" s="93"/>
    </row>
    <row r="1512" customFormat="false" ht="16.4" hidden="false" customHeight="false" outlineLevel="0" collapsed="false">
      <c r="A1512" s="123" t="n">
        <v>45444</v>
      </c>
      <c r="B1512" s="31" t="s">
        <v>153</v>
      </c>
      <c r="C1512" s="129"/>
      <c r="D1512" s="129"/>
      <c r="E1512" s="19" t="n">
        <f aca="false">F1512*0.03</f>
        <v>0</v>
      </c>
      <c r="F1512" s="33" t="n">
        <v>0</v>
      </c>
      <c r="G1512" s="131"/>
      <c r="H1512" s="35" t="n">
        <v>0</v>
      </c>
      <c r="I1512" s="34" t="n">
        <f aca="false">+IF(E1512=0,0,E1512*0.03)</f>
        <v>0</v>
      </c>
      <c r="J1512" s="93"/>
      <c r="K1512" s="93"/>
      <c r="L1512" s="93"/>
      <c r="M1512" s="93"/>
      <c r="N1512" s="93"/>
      <c r="O1512" s="93"/>
      <c r="P1512" s="93"/>
      <c r="Q1512" s="93"/>
      <c r="R1512" s="93"/>
      <c r="S1512" s="93"/>
      <c r="T1512" s="93"/>
      <c r="U1512" s="93"/>
      <c r="V1512" s="93"/>
      <c r="W1512" s="93"/>
      <c r="X1512" s="93"/>
      <c r="Y1512" s="93"/>
      <c r="Z1512" s="93"/>
    </row>
    <row r="1513" customFormat="false" ht="16.4" hidden="false" customHeight="false" outlineLevel="0" collapsed="false">
      <c r="A1513" s="123" t="n">
        <v>45444</v>
      </c>
      <c r="B1513" s="31" t="s">
        <v>153</v>
      </c>
      <c r="C1513" s="129"/>
      <c r="D1513" s="129"/>
      <c r="E1513" s="19" t="n">
        <f aca="false">F1513*0.03</f>
        <v>0</v>
      </c>
      <c r="F1513" s="33" t="n">
        <v>0</v>
      </c>
      <c r="G1513" s="131"/>
      <c r="H1513" s="35" t="n">
        <v>0</v>
      </c>
      <c r="I1513" s="34" t="n">
        <f aca="false">+IF(E1513=0,0,E1513*0.03)</f>
        <v>0</v>
      </c>
      <c r="J1513" s="93"/>
      <c r="K1513" s="93"/>
      <c r="L1513" s="93"/>
      <c r="M1513" s="93"/>
      <c r="N1513" s="93"/>
      <c r="O1513" s="93"/>
      <c r="P1513" s="93"/>
      <c r="Q1513" s="93"/>
      <c r="R1513" s="93"/>
      <c r="S1513" s="93"/>
      <c r="T1513" s="93"/>
      <c r="U1513" s="93"/>
      <c r="V1513" s="93"/>
      <c r="W1513" s="93"/>
      <c r="X1513" s="93"/>
      <c r="Y1513" s="93"/>
      <c r="Z1513" s="93"/>
    </row>
    <row r="1514" customFormat="false" ht="16.4" hidden="false" customHeight="false" outlineLevel="0" collapsed="false">
      <c r="A1514" s="123" t="n">
        <v>45444</v>
      </c>
      <c r="B1514" s="31" t="s">
        <v>153</v>
      </c>
      <c r="C1514" s="129"/>
      <c r="D1514" s="129"/>
      <c r="E1514" s="19" t="n">
        <f aca="false">F1514*0.03</f>
        <v>0</v>
      </c>
      <c r="F1514" s="33" t="n">
        <v>0</v>
      </c>
      <c r="G1514" s="131"/>
      <c r="H1514" s="35" t="n">
        <v>0</v>
      </c>
      <c r="I1514" s="34" t="n">
        <f aca="false">+IF(E1514=0,0,E1514*0.03)</f>
        <v>0</v>
      </c>
      <c r="J1514" s="93"/>
      <c r="K1514" s="93"/>
      <c r="L1514" s="93"/>
      <c r="M1514" s="93"/>
      <c r="N1514" s="93"/>
      <c r="O1514" s="93"/>
      <c r="P1514" s="93"/>
      <c r="Q1514" s="93"/>
      <c r="R1514" s="93"/>
      <c r="S1514" s="93"/>
      <c r="T1514" s="93"/>
      <c r="U1514" s="93"/>
      <c r="V1514" s="93"/>
      <c r="W1514" s="93"/>
      <c r="X1514" s="93"/>
      <c r="Y1514" s="93"/>
      <c r="Z1514" s="93"/>
    </row>
    <row r="1515" customFormat="false" ht="16.4" hidden="false" customHeight="false" outlineLevel="0" collapsed="false">
      <c r="A1515" s="123" t="n">
        <v>45444</v>
      </c>
      <c r="B1515" s="31" t="s">
        <v>153</v>
      </c>
      <c r="C1515" s="129"/>
      <c r="D1515" s="129"/>
      <c r="E1515" s="19" t="n">
        <f aca="false">F1515*0.03</f>
        <v>0</v>
      </c>
      <c r="F1515" s="33" t="n">
        <v>0</v>
      </c>
      <c r="G1515" s="131"/>
      <c r="H1515" s="35" t="n">
        <v>0</v>
      </c>
      <c r="I1515" s="34" t="n">
        <f aca="false">+IF(E1515=0,0,E1515*0.03)</f>
        <v>0</v>
      </c>
      <c r="J1515" s="93"/>
      <c r="K1515" s="93"/>
      <c r="L1515" s="93"/>
      <c r="M1515" s="93"/>
      <c r="N1515" s="93"/>
      <c r="O1515" s="93"/>
      <c r="P1515" s="93"/>
      <c r="Q1515" s="93"/>
      <c r="R1515" s="93"/>
      <c r="S1515" s="93"/>
      <c r="T1515" s="93"/>
      <c r="U1515" s="93"/>
      <c r="V1515" s="93"/>
      <c r="W1515" s="93"/>
      <c r="X1515" s="93"/>
      <c r="Y1515" s="93"/>
      <c r="Z1515" s="93"/>
    </row>
    <row r="1516" customFormat="false" ht="16.4" hidden="false" customHeight="false" outlineLevel="0" collapsed="false">
      <c r="A1516" s="123" t="n">
        <v>45444</v>
      </c>
      <c r="B1516" s="31" t="s">
        <v>153</v>
      </c>
      <c r="C1516" s="129"/>
      <c r="D1516" s="129"/>
      <c r="E1516" s="19" t="n">
        <f aca="false">F1516*0.03</f>
        <v>0</v>
      </c>
      <c r="F1516" s="33" t="n">
        <v>0</v>
      </c>
      <c r="G1516" s="131"/>
      <c r="H1516" s="35" t="n">
        <v>0</v>
      </c>
      <c r="I1516" s="34" t="n">
        <f aca="false">+IF(E1516=0,0,E1516*0.03)</f>
        <v>0</v>
      </c>
      <c r="J1516" s="93"/>
      <c r="K1516" s="93"/>
      <c r="L1516" s="93"/>
      <c r="M1516" s="93"/>
      <c r="N1516" s="93"/>
      <c r="O1516" s="93"/>
      <c r="P1516" s="93"/>
      <c r="Q1516" s="93"/>
      <c r="R1516" s="93"/>
      <c r="S1516" s="93"/>
      <c r="T1516" s="93"/>
      <c r="U1516" s="93"/>
      <c r="V1516" s="93"/>
      <c r="W1516" s="93"/>
      <c r="X1516" s="93"/>
      <c r="Y1516" s="93"/>
      <c r="Z1516" s="93"/>
    </row>
    <row r="1517" customFormat="false" ht="16.4" hidden="false" customHeight="false" outlineLevel="0" collapsed="false">
      <c r="A1517" s="123" t="n">
        <v>45444</v>
      </c>
      <c r="B1517" s="31" t="s">
        <v>153</v>
      </c>
      <c r="C1517" s="129"/>
      <c r="D1517" s="129"/>
      <c r="E1517" s="19" t="n">
        <f aca="false">F1517*0.03</f>
        <v>0</v>
      </c>
      <c r="F1517" s="33" t="n">
        <v>0</v>
      </c>
      <c r="G1517" s="131"/>
      <c r="H1517" s="35" t="n">
        <v>0</v>
      </c>
      <c r="I1517" s="34" t="n">
        <f aca="false">+IF(E1517=0,0,E1517*0.03)</f>
        <v>0</v>
      </c>
      <c r="J1517" s="93"/>
      <c r="K1517" s="93"/>
      <c r="L1517" s="93"/>
      <c r="M1517" s="93"/>
      <c r="N1517" s="93"/>
      <c r="O1517" s="93"/>
      <c r="P1517" s="93"/>
      <c r="Q1517" s="93"/>
      <c r="R1517" s="93"/>
      <c r="S1517" s="93"/>
      <c r="T1517" s="93"/>
      <c r="U1517" s="93"/>
      <c r="V1517" s="93"/>
      <c r="W1517" s="93"/>
      <c r="X1517" s="93"/>
      <c r="Y1517" s="93"/>
      <c r="Z1517" s="93"/>
    </row>
    <row r="1518" customFormat="false" ht="16.4" hidden="false" customHeight="false" outlineLevel="0" collapsed="false">
      <c r="A1518" s="123" t="n">
        <v>45444</v>
      </c>
      <c r="B1518" s="31" t="s">
        <v>153</v>
      </c>
      <c r="C1518" s="129"/>
      <c r="D1518" s="129"/>
      <c r="E1518" s="19" t="n">
        <f aca="false">F1518*0.03</f>
        <v>0</v>
      </c>
      <c r="F1518" s="33" t="n">
        <v>0</v>
      </c>
      <c r="G1518" s="131"/>
      <c r="H1518" s="35" t="n">
        <v>0</v>
      </c>
      <c r="I1518" s="34" t="n">
        <f aca="false">+IF(E1518=0,0,E1518*0.03)</f>
        <v>0</v>
      </c>
      <c r="J1518" s="93"/>
      <c r="K1518" s="93"/>
      <c r="L1518" s="93"/>
      <c r="M1518" s="93"/>
      <c r="N1518" s="93"/>
      <c r="O1518" s="93"/>
      <c r="P1518" s="93"/>
      <c r="Q1518" s="93"/>
      <c r="R1518" s="93"/>
      <c r="S1518" s="93"/>
      <c r="T1518" s="93"/>
      <c r="U1518" s="93"/>
      <c r="V1518" s="93"/>
      <c r="W1518" s="93"/>
      <c r="X1518" s="93"/>
      <c r="Y1518" s="93"/>
      <c r="Z1518" s="93"/>
    </row>
    <row r="1519" customFormat="false" ht="16.4" hidden="false" customHeight="false" outlineLevel="0" collapsed="false">
      <c r="A1519" s="123" t="n">
        <v>45444</v>
      </c>
      <c r="B1519" s="31" t="s">
        <v>153</v>
      </c>
      <c r="C1519" s="129"/>
      <c r="D1519" s="129"/>
      <c r="E1519" s="19" t="n">
        <f aca="false">F1519*0.03</f>
        <v>0</v>
      </c>
      <c r="F1519" s="33" t="n">
        <v>0</v>
      </c>
      <c r="G1519" s="131"/>
      <c r="H1519" s="35" t="n">
        <v>0</v>
      </c>
      <c r="I1519" s="34" t="n">
        <f aca="false">+IF(E1519=0,0,E1519*0.03)</f>
        <v>0</v>
      </c>
      <c r="J1519" s="93"/>
      <c r="K1519" s="93"/>
      <c r="L1519" s="93"/>
      <c r="M1519" s="93"/>
      <c r="N1519" s="93"/>
      <c r="O1519" s="93"/>
      <c r="P1519" s="93"/>
      <c r="Q1519" s="93"/>
      <c r="R1519" s="93"/>
      <c r="S1519" s="93"/>
      <c r="T1519" s="93"/>
      <c r="U1519" s="93"/>
      <c r="V1519" s="93"/>
      <c r="W1519" s="93"/>
      <c r="X1519" s="93"/>
      <c r="Y1519" s="93"/>
      <c r="Z1519" s="93"/>
    </row>
    <row r="1520" customFormat="false" ht="16.4" hidden="false" customHeight="false" outlineLevel="0" collapsed="false">
      <c r="A1520" s="123" t="n">
        <v>45444</v>
      </c>
      <c r="B1520" s="31" t="s">
        <v>153</v>
      </c>
      <c r="C1520" s="129"/>
      <c r="D1520" s="129"/>
      <c r="E1520" s="19" t="n">
        <f aca="false">F1520*0.03</f>
        <v>0</v>
      </c>
      <c r="F1520" s="33" t="n">
        <v>0</v>
      </c>
      <c r="G1520" s="131"/>
      <c r="H1520" s="35" t="n">
        <v>0</v>
      </c>
      <c r="I1520" s="34" t="n">
        <f aca="false">+IF(E1520=0,0,E1520*0.03)</f>
        <v>0</v>
      </c>
      <c r="J1520" s="93"/>
      <c r="K1520" s="93"/>
      <c r="L1520" s="93"/>
      <c r="M1520" s="93"/>
      <c r="N1520" s="93"/>
      <c r="O1520" s="93"/>
      <c r="P1520" s="93"/>
      <c r="Q1520" s="93"/>
      <c r="R1520" s="93"/>
      <c r="S1520" s="93"/>
      <c r="T1520" s="93"/>
      <c r="U1520" s="93"/>
      <c r="V1520" s="93"/>
      <c r="W1520" s="93"/>
      <c r="X1520" s="93"/>
      <c r="Y1520" s="93"/>
      <c r="Z1520" s="93"/>
    </row>
    <row r="1521" customFormat="false" ht="16.4" hidden="false" customHeight="false" outlineLevel="0" collapsed="false">
      <c r="A1521" s="123" t="n">
        <v>45444</v>
      </c>
      <c r="B1521" s="31" t="s">
        <v>153</v>
      </c>
      <c r="C1521" s="129"/>
      <c r="D1521" s="129"/>
      <c r="E1521" s="19" t="n">
        <f aca="false">F1521*0.03</f>
        <v>0</v>
      </c>
      <c r="F1521" s="33" t="n">
        <v>0</v>
      </c>
      <c r="G1521" s="131"/>
      <c r="H1521" s="35" t="n">
        <v>0</v>
      </c>
      <c r="I1521" s="34" t="n">
        <f aca="false">+IF(E1521=0,0,E1521*0.03)</f>
        <v>0</v>
      </c>
      <c r="J1521" s="93"/>
      <c r="K1521" s="93"/>
      <c r="L1521" s="93"/>
      <c r="M1521" s="93"/>
      <c r="N1521" s="93"/>
      <c r="O1521" s="93"/>
      <c r="P1521" s="93"/>
      <c r="Q1521" s="93"/>
      <c r="R1521" s="93"/>
      <c r="S1521" s="93"/>
      <c r="T1521" s="93"/>
      <c r="U1521" s="93"/>
      <c r="V1521" s="93"/>
      <c r="W1521" s="93"/>
      <c r="X1521" s="93"/>
      <c r="Y1521" s="93"/>
      <c r="Z1521" s="93"/>
    </row>
    <row r="1522" customFormat="false" ht="16.4" hidden="false" customHeight="false" outlineLevel="0" collapsed="false">
      <c r="A1522" s="123" t="n">
        <v>45444</v>
      </c>
      <c r="B1522" s="31" t="s">
        <v>153</v>
      </c>
      <c r="C1522" s="129"/>
      <c r="D1522" s="129"/>
      <c r="E1522" s="19" t="n">
        <f aca="false">F1522*0.03</f>
        <v>0</v>
      </c>
      <c r="F1522" s="33" t="n">
        <v>0</v>
      </c>
      <c r="G1522" s="131"/>
      <c r="H1522" s="35" t="n">
        <v>0</v>
      </c>
      <c r="I1522" s="34" t="n">
        <f aca="false">+IF(E1522=0,0,E1522*0.03)</f>
        <v>0</v>
      </c>
      <c r="J1522" s="93"/>
      <c r="K1522" s="93"/>
      <c r="L1522" s="93"/>
      <c r="M1522" s="93"/>
      <c r="N1522" s="93"/>
      <c r="O1522" s="93"/>
      <c r="P1522" s="93"/>
      <c r="Q1522" s="93"/>
      <c r="R1522" s="93"/>
      <c r="S1522" s="93"/>
      <c r="T1522" s="93"/>
      <c r="U1522" s="93"/>
      <c r="V1522" s="93"/>
      <c r="W1522" s="93"/>
      <c r="X1522" s="93"/>
      <c r="Y1522" s="93"/>
      <c r="Z1522" s="93"/>
    </row>
    <row r="1523" customFormat="false" ht="16.4" hidden="false" customHeight="false" outlineLevel="0" collapsed="false">
      <c r="A1523" s="123" t="n">
        <v>45444</v>
      </c>
      <c r="B1523" s="31" t="s">
        <v>153</v>
      </c>
      <c r="C1523" s="129"/>
      <c r="D1523" s="129"/>
      <c r="E1523" s="19" t="n">
        <f aca="false">F1523*0.03</f>
        <v>0</v>
      </c>
      <c r="F1523" s="33" t="n">
        <v>0</v>
      </c>
      <c r="G1523" s="131"/>
      <c r="H1523" s="35" t="n">
        <v>0</v>
      </c>
      <c r="I1523" s="34" t="n">
        <f aca="false">+IF(E1523=0,0,E1523*0.03)</f>
        <v>0</v>
      </c>
      <c r="J1523" s="93"/>
      <c r="K1523" s="93"/>
      <c r="L1523" s="93"/>
      <c r="M1523" s="93"/>
      <c r="N1523" s="93"/>
      <c r="O1523" s="93"/>
      <c r="P1523" s="93"/>
      <c r="Q1523" s="93"/>
      <c r="R1523" s="93"/>
      <c r="S1523" s="93"/>
      <c r="T1523" s="93"/>
      <c r="U1523" s="93"/>
      <c r="V1523" s="93"/>
      <c r="W1523" s="93"/>
      <c r="X1523" s="93"/>
      <c r="Y1523" s="93"/>
      <c r="Z1523" s="93"/>
    </row>
    <row r="1524" customFormat="false" ht="16.4" hidden="false" customHeight="false" outlineLevel="0" collapsed="false">
      <c r="A1524" s="123" t="n">
        <v>45444</v>
      </c>
      <c r="B1524" s="31" t="s">
        <v>153</v>
      </c>
      <c r="C1524" s="129"/>
      <c r="D1524" s="129"/>
      <c r="E1524" s="19" t="n">
        <f aca="false">F1524*0.03</f>
        <v>0</v>
      </c>
      <c r="F1524" s="33" t="n">
        <v>0</v>
      </c>
      <c r="G1524" s="131"/>
      <c r="H1524" s="35" t="n">
        <v>0</v>
      </c>
      <c r="I1524" s="34" t="n">
        <f aca="false">+IF(E1524=0,0,E1524*0.03)</f>
        <v>0</v>
      </c>
      <c r="J1524" s="93"/>
      <c r="K1524" s="93"/>
      <c r="L1524" s="93"/>
      <c r="M1524" s="93"/>
      <c r="N1524" s="93"/>
      <c r="O1524" s="93"/>
      <c r="P1524" s="93"/>
      <c r="Q1524" s="93"/>
      <c r="R1524" s="93"/>
      <c r="S1524" s="93"/>
      <c r="T1524" s="93"/>
      <c r="U1524" s="93"/>
      <c r="V1524" s="93"/>
      <c r="W1524" s="93"/>
      <c r="X1524" s="93"/>
      <c r="Y1524" s="93"/>
      <c r="Z1524" s="93"/>
    </row>
    <row r="1525" customFormat="false" ht="16.4" hidden="false" customHeight="false" outlineLevel="0" collapsed="false">
      <c r="A1525" s="123" t="n">
        <v>45444</v>
      </c>
      <c r="B1525" s="31" t="s">
        <v>153</v>
      </c>
      <c r="C1525" s="129"/>
      <c r="D1525" s="129"/>
      <c r="E1525" s="19" t="n">
        <f aca="false">F1525*0.03</f>
        <v>0</v>
      </c>
      <c r="F1525" s="33" t="n">
        <v>0</v>
      </c>
      <c r="G1525" s="131"/>
      <c r="H1525" s="35" t="n">
        <v>0</v>
      </c>
      <c r="I1525" s="34" t="n">
        <f aca="false">+IF(E1525=0,0,E1525*0.03)</f>
        <v>0</v>
      </c>
      <c r="J1525" s="93"/>
      <c r="K1525" s="93"/>
      <c r="L1525" s="93"/>
      <c r="M1525" s="93"/>
      <c r="N1525" s="93"/>
      <c r="O1525" s="93"/>
      <c r="P1525" s="93"/>
      <c r="Q1525" s="93"/>
      <c r="R1525" s="93"/>
      <c r="S1525" s="93"/>
      <c r="T1525" s="93"/>
      <c r="U1525" s="93"/>
      <c r="V1525" s="93"/>
      <c r="W1525" s="93"/>
      <c r="X1525" s="93"/>
      <c r="Y1525" s="93"/>
      <c r="Z1525" s="93"/>
    </row>
    <row r="1526" customFormat="false" ht="16.4" hidden="false" customHeight="false" outlineLevel="0" collapsed="false">
      <c r="A1526" s="123" t="n">
        <v>45444</v>
      </c>
      <c r="B1526" s="31" t="s">
        <v>153</v>
      </c>
      <c r="C1526" s="129"/>
      <c r="D1526" s="129"/>
      <c r="E1526" s="19" t="n">
        <f aca="false">F1526*0.03</f>
        <v>0</v>
      </c>
      <c r="F1526" s="33" t="n">
        <v>0</v>
      </c>
      <c r="G1526" s="131"/>
      <c r="H1526" s="35" t="n">
        <v>0</v>
      </c>
      <c r="I1526" s="34" t="n">
        <f aca="false">+IF(E1526=0,0,E1526*0.03)</f>
        <v>0</v>
      </c>
      <c r="J1526" s="93"/>
      <c r="K1526" s="93"/>
      <c r="L1526" s="93"/>
      <c r="M1526" s="93"/>
      <c r="N1526" s="93"/>
      <c r="O1526" s="93"/>
      <c r="P1526" s="93"/>
      <c r="Q1526" s="93"/>
      <c r="R1526" s="93"/>
      <c r="S1526" s="93"/>
      <c r="T1526" s="93"/>
      <c r="U1526" s="93"/>
      <c r="V1526" s="93"/>
      <c r="W1526" s="93"/>
      <c r="X1526" s="93"/>
      <c r="Y1526" s="93"/>
      <c r="Z1526" s="93"/>
    </row>
    <row r="1527" customFormat="false" ht="16.4" hidden="false" customHeight="false" outlineLevel="0" collapsed="false">
      <c r="A1527" s="123" t="n">
        <v>45444</v>
      </c>
      <c r="B1527" s="31" t="s">
        <v>153</v>
      </c>
      <c r="C1527" s="129"/>
      <c r="D1527" s="129"/>
      <c r="E1527" s="19" t="n">
        <f aca="false">F1527*0.03</f>
        <v>0</v>
      </c>
      <c r="F1527" s="33" t="n">
        <v>0</v>
      </c>
      <c r="G1527" s="131"/>
      <c r="H1527" s="35" t="n">
        <v>0</v>
      </c>
      <c r="I1527" s="34" t="n">
        <f aca="false">+IF(E1527=0,0,E1527*0.03)</f>
        <v>0</v>
      </c>
      <c r="J1527" s="93"/>
      <c r="K1527" s="93"/>
      <c r="L1527" s="93"/>
      <c r="M1527" s="93"/>
      <c r="N1527" s="93"/>
      <c r="O1527" s="93"/>
      <c r="P1527" s="93"/>
      <c r="Q1527" s="93"/>
      <c r="R1527" s="93"/>
      <c r="S1527" s="93"/>
      <c r="T1527" s="93"/>
      <c r="U1527" s="93"/>
      <c r="V1527" s="93"/>
      <c r="W1527" s="93"/>
      <c r="X1527" s="93"/>
      <c r="Y1527" s="93"/>
      <c r="Z1527" s="93"/>
    </row>
    <row r="1528" customFormat="false" ht="16.4" hidden="false" customHeight="false" outlineLevel="0" collapsed="false">
      <c r="A1528" s="123" t="n">
        <v>45444</v>
      </c>
      <c r="B1528" s="31" t="s">
        <v>153</v>
      </c>
      <c r="C1528" s="129"/>
      <c r="D1528" s="129"/>
      <c r="E1528" s="19" t="n">
        <f aca="false">F1528*0.03</f>
        <v>0</v>
      </c>
      <c r="F1528" s="33" t="n">
        <v>0</v>
      </c>
      <c r="G1528" s="131"/>
      <c r="H1528" s="35" t="n">
        <v>0</v>
      </c>
      <c r="I1528" s="34" t="n">
        <f aca="false">+IF(E1528=0,0,E1528*0.03)</f>
        <v>0</v>
      </c>
      <c r="J1528" s="93"/>
      <c r="K1528" s="93"/>
      <c r="L1528" s="93"/>
      <c r="M1528" s="93"/>
      <c r="N1528" s="93"/>
      <c r="O1528" s="93"/>
      <c r="P1528" s="93"/>
      <c r="Q1528" s="93"/>
      <c r="R1528" s="93"/>
      <c r="S1528" s="93"/>
      <c r="T1528" s="93"/>
      <c r="U1528" s="93"/>
      <c r="V1528" s="93"/>
      <c r="W1528" s="93"/>
      <c r="X1528" s="93"/>
      <c r="Y1528" s="93"/>
      <c r="Z1528" s="93"/>
    </row>
    <row r="1529" customFormat="false" ht="16.4" hidden="false" customHeight="false" outlineLevel="0" collapsed="false">
      <c r="A1529" s="123" t="n">
        <v>45444</v>
      </c>
      <c r="B1529" s="31" t="s">
        <v>153</v>
      </c>
      <c r="C1529" s="129"/>
      <c r="D1529" s="129"/>
      <c r="E1529" s="19" t="n">
        <f aca="false">F1529*0.03</f>
        <v>0</v>
      </c>
      <c r="F1529" s="33" t="n">
        <v>0</v>
      </c>
      <c r="G1529" s="131"/>
      <c r="H1529" s="35" t="n">
        <v>0</v>
      </c>
      <c r="I1529" s="34" t="n">
        <f aca="false">+IF(E1529=0,0,E1529*0.03)</f>
        <v>0</v>
      </c>
      <c r="J1529" s="93"/>
      <c r="K1529" s="93"/>
      <c r="L1529" s="93"/>
      <c r="M1529" s="93"/>
      <c r="N1529" s="93"/>
      <c r="O1529" s="93"/>
      <c r="P1529" s="93"/>
      <c r="Q1529" s="93"/>
      <c r="R1529" s="93"/>
      <c r="S1529" s="93"/>
      <c r="T1529" s="93"/>
      <c r="U1529" s="93"/>
      <c r="V1529" s="93"/>
      <c r="W1529" s="93"/>
      <c r="X1529" s="93"/>
      <c r="Y1529" s="93"/>
      <c r="Z1529" s="93"/>
    </row>
    <row r="1530" customFormat="false" ht="16.4" hidden="false" customHeight="false" outlineLevel="0" collapsed="false">
      <c r="A1530" s="123" t="n">
        <v>45444</v>
      </c>
      <c r="B1530" s="31" t="s">
        <v>153</v>
      </c>
      <c r="C1530" s="129"/>
      <c r="D1530" s="129"/>
      <c r="E1530" s="19" t="n">
        <f aca="false">F1530*0.03</f>
        <v>0</v>
      </c>
      <c r="F1530" s="33" t="n">
        <v>0</v>
      </c>
      <c r="G1530" s="131"/>
      <c r="H1530" s="35" t="n">
        <v>0</v>
      </c>
      <c r="I1530" s="34" t="n">
        <f aca="false">+IF(E1530=0,0,E1530*0.03)</f>
        <v>0</v>
      </c>
      <c r="J1530" s="93"/>
      <c r="K1530" s="93"/>
      <c r="L1530" s="93"/>
      <c r="M1530" s="93"/>
      <c r="N1530" s="93"/>
      <c r="O1530" s="93"/>
      <c r="P1530" s="93"/>
      <c r="Q1530" s="93"/>
      <c r="R1530" s="93"/>
      <c r="S1530" s="93"/>
      <c r="T1530" s="93"/>
      <c r="U1530" s="93"/>
      <c r="V1530" s="93"/>
      <c r="W1530" s="93"/>
      <c r="X1530" s="93"/>
      <c r="Y1530" s="93"/>
      <c r="Z1530" s="93"/>
    </row>
    <row r="1531" customFormat="false" ht="16.4" hidden="false" customHeight="false" outlineLevel="0" collapsed="false">
      <c r="A1531" s="123" t="n">
        <v>45444</v>
      </c>
      <c r="B1531" s="31" t="s">
        <v>153</v>
      </c>
      <c r="C1531" s="129"/>
      <c r="D1531" s="129"/>
      <c r="E1531" s="19" t="n">
        <f aca="false">F1531*0.03</f>
        <v>0</v>
      </c>
      <c r="F1531" s="33" t="n">
        <v>0</v>
      </c>
      <c r="G1531" s="131"/>
      <c r="H1531" s="35" t="n">
        <v>0</v>
      </c>
      <c r="I1531" s="34" t="n">
        <f aca="false">+IF(E1531=0,0,E1531*0.03)</f>
        <v>0</v>
      </c>
      <c r="J1531" s="93"/>
      <c r="K1531" s="93"/>
      <c r="L1531" s="93"/>
      <c r="M1531" s="93"/>
      <c r="N1531" s="93"/>
      <c r="O1531" s="93"/>
      <c r="P1531" s="93"/>
      <c r="Q1531" s="93"/>
      <c r="R1531" s="93"/>
      <c r="S1531" s="93"/>
      <c r="T1531" s="93"/>
      <c r="U1531" s="93"/>
      <c r="V1531" s="93"/>
      <c r="W1531" s="93"/>
      <c r="X1531" s="93"/>
      <c r="Y1531" s="93"/>
      <c r="Z1531" s="93"/>
    </row>
    <row r="1532" customFormat="false" ht="16.4" hidden="false" customHeight="false" outlineLevel="0" collapsed="false">
      <c r="A1532" s="123" t="n">
        <v>45444</v>
      </c>
      <c r="B1532" s="31" t="s">
        <v>153</v>
      </c>
      <c r="C1532" s="129"/>
      <c r="D1532" s="129"/>
      <c r="E1532" s="19" t="n">
        <f aca="false">F1532*0.03</f>
        <v>0</v>
      </c>
      <c r="F1532" s="33" t="n">
        <v>0</v>
      </c>
      <c r="G1532" s="131"/>
      <c r="H1532" s="35" t="n">
        <v>0</v>
      </c>
      <c r="I1532" s="34" t="n">
        <f aca="false">+IF(E1532=0,0,E1532*0.03)</f>
        <v>0</v>
      </c>
      <c r="J1532" s="93"/>
      <c r="K1532" s="93"/>
      <c r="L1532" s="93"/>
      <c r="M1532" s="93"/>
      <c r="N1532" s="93"/>
      <c r="O1532" s="93"/>
      <c r="P1532" s="93"/>
      <c r="Q1532" s="93"/>
      <c r="R1532" s="93"/>
      <c r="S1532" s="93"/>
      <c r="T1532" s="93"/>
      <c r="U1532" s="93"/>
      <c r="V1532" s="93"/>
      <c r="W1532" s="93"/>
      <c r="X1532" s="93"/>
      <c r="Y1532" s="93"/>
      <c r="Z1532" s="93"/>
    </row>
    <row r="1533" customFormat="false" ht="16.4" hidden="false" customHeight="false" outlineLevel="0" collapsed="false">
      <c r="A1533" s="123" t="n">
        <v>45444</v>
      </c>
      <c r="B1533" s="31" t="s">
        <v>153</v>
      </c>
      <c r="C1533" s="129"/>
      <c r="D1533" s="129"/>
      <c r="E1533" s="19" t="n">
        <f aca="false">F1533*0.03</f>
        <v>0</v>
      </c>
      <c r="F1533" s="33" t="n">
        <v>0</v>
      </c>
      <c r="G1533" s="131"/>
      <c r="H1533" s="35" t="n">
        <v>0</v>
      </c>
      <c r="I1533" s="34" t="n">
        <f aca="false">+IF(E1533=0,0,E1533*0.03)</f>
        <v>0</v>
      </c>
      <c r="J1533" s="93"/>
      <c r="K1533" s="93"/>
      <c r="L1533" s="93"/>
      <c r="M1533" s="93"/>
      <c r="N1533" s="93"/>
      <c r="O1533" s="93"/>
      <c r="P1533" s="93"/>
      <c r="Q1533" s="93"/>
      <c r="R1533" s="93"/>
      <c r="S1533" s="93"/>
      <c r="T1533" s="93"/>
      <c r="U1533" s="93"/>
      <c r="V1533" s="93"/>
      <c r="W1533" s="93"/>
      <c r="X1533" s="93"/>
      <c r="Y1533" s="93"/>
      <c r="Z1533" s="93"/>
    </row>
    <row r="1534" customFormat="false" ht="16.4" hidden="false" customHeight="false" outlineLevel="0" collapsed="false">
      <c r="A1534" s="123" t="n">
        <v>45444</v>
      </c>
      <c r="B1534" s="31" t="s">
        <v>153</v>
      </c>
      <c r="C1534" s="129"/>
      <c r="D1534" s="129"/>
      <c r="E1534" s="19" t="n">
        <f aca="false">F1534*0.03</f>
        <v>0</v>
      </c>
      <c r="F1534" s="33" t="n">
        <v>0</v>
      </c>
      <c r="G1534" s="131"/>
      <c r="H1534" s="35" t="n">
        <v>0</v>
      </c>
      <c r="I1534" s="34" t="n">
        <f aca="false">+IF(E1534=0,0,E1534*0.03)</f>
        <v>0</v>
      </c>
      <c r="J1534" s="93"/>
      <c r="K1534" s="93"/>
      <c r="L1534" s="93"/>
      <c r="M1534" s="93"/>
      <c r="N1534" s="93"/>
      <c r="O1534" s="93"/>
      <c r="P1534" s="93"/>
      <c r="Q1534" s="93"/>
      <c r="R1534" s="93"/>
      <c r="S1534" s="93"/>
      <c r="T1534" s="93"/>
      <c r="U1534" s="93"/>
      <c r="V1534" s="93"/>
      <c r="W1534" s="93"/>
      <c r="X1534" s="93"/>
      <c r="Y1534" s="93"/>
      <c r="Z1534" s="93"/>
    </row>
    <row r="1535" customFormat="false" ht="16.4" hidden="false" customHeight="false" outlineLevel="0" collapsed="false">
      <c r="A1535" s="123" t="n">
        <v>45444</v>
      </c>
      <c r="B1535" s="31" t="s">
        <v>153</v>
      </c>
      <c r="C1535" s="129"/>
      <c r="D1535" s="129"/>
      <c r="E1535" s="19" t="n">
        <f aca="false">F1535*0.03</f>
        <v>0</v>
      </c>
      <c r="F1535" s="33" t="n">
        <v>0</v>
      </c>
      <c r="G1535" s="131"/>
      <c r="H1535" s="35" t="n">
        <v>0</v>
      </c>
      <c r="I1535" s="34" t="n">
        <f aca="false">+IF(E1535=0,0,E1535*0.03)</f>
        <v>0</v>
      </c>
      <c r="J1535" s="93"/>
      <c r="K1535" s="93"/>
      <c r="L1535" s="93"/>
      <c r="M1535" s="93"/>
      <c r="N1535" s="93"/>
      <c r="O1535" s="93"/>
      <c r="P1535" s="93"/>
      <c r="Q1535" s="93"/>
      <c r="R1535" s="93"/>
      <c r="S1535" s="93"/>
      <c r="T1535" s="93"/>
      <c r="U1535" s="93"/>
      <c r="V1535" s="93"/>
      <c r="W1535" s="93"/>
      <c r="X1535" s="93"/>
      <c r="Y1535" s="93"/>
      <c r="Z1535" s="93"/>
    </row>
    <row r="1536" customFormat="false" ht="16.4" hidden="false" customHeight="false" outlineLevel="0" collapsed="false">
      <c r="A1536" s="123" t="n">
        <v>45444</v>
      </c>
      <c r="B1536" s="31" t="s">
        <v>153</v>
      </c>
      <c r="C1536" s="129"/>
      <c r="D1536" s="129"/>
      <c r="E1536" s="19" t="n">
        <f aca="false">F1536*0.03</f>
        <v>0</v>
      </c>
      <c r="F1536" s="33" t="n">
        <v>0</v>
      </c>
      <c r="G1536" s="131"/>
      <c r="H1536" s="35" t="n">
        <v>0</v>
      </c>
      <c r="I1536" s="34" t="n">
        <f aca="false">+IF(E1536=0,0,E1536*0.03)</f>
        <v>0</v>
      </c>
      <c r="J1536" s="93"/>
      <c r="K1536" s="93"/>
      <c r="L1536" s="93"/>
      <c r="M1536" s="93"/>
      <c r="N1536" s="93"/>
      <c r="O1536" s="93"/>
      <c r="P1536" s="93"/>
      <c r="Q1536" s="93"/>
      <c r="R1536" s="93"/>
      <c r="S1536" s="93"/>
      <c r="T1536" s="93"/>
      <c r="U1536" s="93"/>
      <c r="V1536" s="93"/>
      <c r="W1536" s="93"/>
      <c r="X1536" s="93"/>
      <c r="Y1536" s="93"/>
      <c r="Z1536" s="93"/>
    </row>
    <row r="1537" customFormat="false" ht="16.4" hidden="false" customHeight="false" outlineLevel="0" collapsed="false">
      <c r="A1537" s="123" t="n">
        <v>45444</v>
      </c>
      <c r="B1537" s="31" t="s">
        <v>153</v>
      </c>
      <c r="C1537" s="129"/>
      <c r="D1537" s="129"/>
      <c r="E1537" s="19" t="n">
        <f aca="false">F1537*0.03</f>
        <v>0</v>
      </c>
      <c r="F1537" s="33" t="n">
        <v>0</v>
      </c>
      <c r="G1537" s="131"/>
      <c r="H1537" s="35" t="n">
        <v>0</v>
      </c>
      <c r="I1537" s="34" t="n">
        <f aca="false">+IF(E1537=0,0,E1537*0.03)</f>
        <v>0</v>
      </c>
      <c r="J1537" s="93"/>
      <c r="K1537" s="93"/>
      <c r="L1537" s="93"/>
      <c r="M1537" s="93"/>
      <c r="N1537" s="93"/>
      <c r="O1537" s="93"/>
      <c r="P1537" s="93"/>
      <c r="Q1537" s="93"/>
      <c r="R1537" s="93"/>
      <c r="S1537" s="93"/>
      <c r="T1537" s="93"/>
      <c r="U1537" s="93"/>
      <c r="V1537" s="93"/>
      <c r="W1537" s="93"/>
      <c r="X1537" s="93"/>
      <c r="Y1537" s="93"/>
      <c r="Z1537" s="93"/>
    </row>
    <row r="1538" customFormat="false" ht="16.4" hidden="false" customHeight="false" outlineLevel="0" collapsed="false">
      <c r="A1538" s="123" t="n">
        <v>45444</v>
      </c>
      <c r="B1538" s="31" t="s">
        <v>153</v>
      </c>
      <c r="C1538" s="129"/>
      <c r="D1538" s="129"/>
      <c r="E1538" s="19" t="n">
        <f aca="false">F1538*0.03</f>
        <v>0</v>
      </c>
      <c r="F1538" s="33" t="n">
        <v>0</v>
      </c>
      <c r="G1538" s="131"/>
      <c r="H1538" s="35" t="n">
        <v>0</v>
      </c>
      <c r="I1538" s="34" t="n">
        <f aca="false">+IF(E1538=0,0,E1538*0.03)</f>
        <v>0</v>
      </c>
      <c r="J1538" s="93"/>
      <c r="K1538" s="93"/>
      <c r="L1538" s="93"/>
      <c r="M1538" s="93"/>
      <c r="N1538" s="93"/>
      <c r="O1538" s="93"/>
      <c r="P1538" s="93"/>
      <c r="Q1538" s="93"/>
      <c r="R1538" s="93"/>
      <c r="S1538" s="93"/>
      <c r="T1538" s="93"/>
      <c r="U1538" s="93"/>
      <c r="V1538" s="93"/>
      <c r="W1538" s="93"/>
      <c r="X1538" s="93"/>
      <c r="Y1538" s="93"/>
      <c r="Z1538" s="93"/>
    </row>
    <row r="1539" customFormat="false" ht="16.4" hidden="false" customHeight="false" outlineLevel="0" collapsed="false">
      <c r="A1539" s="123" t="n">
        <v>45444</v>
      </c>
      <c r="B1539" s="31" t="s">
        <v>153</v>
      </c>
      <c r="C1539" s="129"/>
      <c r="D1539" s="129"/>
      <c r="E1539" s="19" t="n">
        <f aca="false">F1539*0.03</f>
        <v>0</v>
      </c>
      <c r="F1539" s="33" t="n">
        <v>0</v>
      </c>
      <c r="G1539" s="131"/>
      <c r="H1539" s="35" t="n">
        <v>0</v>
      </c>
      <c r="I1539" s="34" t="n">
        <f aca="false">+IF(E1539=0,0,E1539*0.03)</f>
        <v>0</v>
      </c>
      <c r="J1539" s="93"/>
      <c r="K1539" s="93"/>
      <c r="L1539" s="93"/>
      <c r="M1539" s="93"/>
      <c r="N1539" s="93"/>
      <c r="O1539" s="93"/>
      <c r="P1539" s="93"/>
      <c r="Q1539" s="93"/>
      <c r="R1539" s="93"/>
      <c r="S1539" s="93"/>
      <c r="T1539" s="93"/>
      <c r="U1539" s="93"/>
      <c r="V1539" s="93"/>
      <c r="W1539" s="93"/>
      <c r="X1539" s="93"/>
      <c r="Y1539" s="93"/>
      <c r="Z1539" s="93"/>
    </row>
    <row r="1540" customFormat="false" ht="16.4" hidden="false" customHeight="false" outlineLevel="0" collapsed="false">
      <c r="A1540" s="123" t="n">
        <v>45444</v>
      </c>
      <c r="B1540" s="31" t="s">
        <v>153</v>
      </c>
      <c r="C1540" s="129"/>
      <c r="D1540" s="129"/>
      <c r="E1540" s="19" t="n">
        <f aca="false">F1540*0.03</f>
        <v>0</v>
      </c>
      <c r="F1540" s="33" t="n">
        <v>0</v>
      </c>
      <c r="G1540" s="131"/>
      <c r="H1540" s="35" t="n">
        <v>0</v>
      </c>
      <c r="I1540" s="34" t="n">
        <f aca="false">+IF(E1540=0,0,E1540*0.03)</f>
        <v>0</v>
      </c>
      <c r="J1540" s="93"/>
      <c r="K1540" s="93"/>
      <c r="L1540" s="93"/>
      <c r="M1540" s="93"/>
      <c r="N1540" s="93"/>
      <c r="O1540" s="93"/>
      <c r="P1540" s="93"/>
      <c r="Q1540" s="93"/>
      <c r="R1540" s="93"/>
      <c r="S1540" s="93"/>
      <c r="T1540" s="93"/>
      <c r="U1540" s="93"/>
      <c r="V1540" s="93"/>
      <c r="W1540" s="93"/>
      <c r="X1540" s="93"/>
      <c r="Y1540" s="93"/>
      <c r="Z1540" s="93"/>
    </row>
    <row r="1541" customFormat="false" ht="16.4" hidden="false" customHeight="false" outlineLevel="0" collapsed="false">
      <c r="A1541" s="123" t="n">
        <v>45444</v>
      </c>
      <c r="B1541" s="31" t="s">
        <v>153</v>
      </c>
      <c r="C1541" s="129"/>
      <c r="D1541" s="129"/>
      <c r="E1541" s="19" t="n">
        <f aca="false">F1541*0.03</f>
        <v>0</v>
      </c>
      <c r="F1541" s="33" t="n">
        <v>0</v>
      </c>
      <c r="G1541" s="131"/>
      <c r="H1541" s="35" t="n">
        <v>0</v>
      </c>
      <c r="I1541" s="34" t="n">
        <f aca="false">+IF(E1541=0,0,E1541*0.03)</f>
        <v>0</v>
      </c>
      <c r="J1541" s="93"/>
      <c r="K1541" s="93"/>
      <c r="L1541" s="93"/>
      <c r="M1541" s="93"/>
      <c r="N1541" s="93"/>
      <c r="O1541" s="93"/>
      <c r="P1541" s="93"/>
      <c r="Q1541" s="93"/>
      <c r="R1541" s="93"/>
      <c r="S1541" s="93"/>
      <c r="T1541" s="93"/>
      <c r="U1541" s="93"/>
      <c r="V1541" s="93"/>
      <c r="W1541" s="93"/>
      <c r="X1541" s="93"/>
      <c r="Y1541" s="93"/>
      <c r="Z1541" s="93"/>
    </row>
    <row r="1542" customFormat="false" ht="16.4" hidden="false" customHeight="false" outlineLevel="0" collapsed="false">
      <c r="A1542" s="123" t="n">
        <v>45444</v>
      </c>
      <c r="B1542" s="31" t="s">
        <v>153</v>
      </c>
      <c r="C1542" s="129"/>
      <c r="D1542" s="129"/>
      <c r="E1542" s="19" t="n">
        <f aca="false">F1542*0.03</f>
        <v>0</v>
      </c>
      <c r="F1542" s="33" t="n">
        <v>0</v>
      </c>
      <c r="G1542" s="131"/>
      <c r="H1542" s="35" t="n">
        <v>0</v>
      </c>
      <c r="I1542" s="34" t="n">
        <f aca="false">+IF(E1542=0,0,E1542*0.03)</f>
        <v>0</v>
      </c>
      <c r="J1542" s="93"/>
      <c r="K1542" s="93"/>
      <c r="L1542" s="93"/>
      <c r="M1542" s="93"/>
      <c r="N1542" s="93"/>
      <c r="O1542" s="93"/>
      <c r="P1542" s="93"/>
      <c r="Q1542" s="93"/>
      <c r="R1542" s="93"/>
      <c r="S1542" s="93"/>
      <c r="T1542" s="93"/>
      <c r="U1542" s="93"/>
      <c r="V1542" s="93"/>
      <c r="W1542" s="93"/>
      <c r="X1542" s="93"/>
      <c r="Y1542" s="93"/>
      <c r="Z1542" s="93"/>
    </row>
    <row r="1543" customFormat="false" ht="16.4" hidden="false" customHeight="false" outlineLevel="0" collapsed="false">
      <c r="A1543" s="123" t="n">
        <v>45444</v>
      </c>
      <c r="B1543" s="31" t="s">
        <v>153</v>
      </c>
      <c r="C1543" s="129"/>
      <c r="D1543" s="129"/>
      <c r="E1543" s="19" t="n">
        <f aca="false">F1543*0.03</f>
        <v>0</v>
      </c>
      <c r="F1543" s="33" t="n">
        <v>0</v>
      </c>
      <c r="G1543" s="131"/>
      <c r="H1543" s="35" t="n">
        <v>0</v>
      </c>
      <c r="I1543" s="34" t="n">
        <f aca="false">+IF(E1543=0,0,E1543*0.03)</f>
        <v>0</v>
      </c>
      <c r="J1543" s="93"/>
      <c r="K1543" s="93"/>
      <c r="L1543" s="93"/>
      <c r="M1543" s="93"/>
      <c r="N1543" s="93"/>
      <c r="O1543" s="93"/>
      <c r="P1543" s="93"/>
      <c r="Q1543" s="93"/>
      <c r="R1543" s="93"/>
      <c r="S1543" s="93"/>
      <c r="T1543" s="93"/>
      <c r="U1543" s="93"/>
      <c r="V1543" s="93"/>
      <c r="W1543" s="93"/>
      <c r="X1543" s="93"/>
      <c r="Y1543" s="93"/>
      <c r="Z1543" s="93"/>
    </row>
    <row r="1544" customFormat="false" ht="16.4" hidden="false" customHeight="false" outlineLevel="0" collapsed="false">
      <c r="A1544" s="123" t="n">
        <v>45444</v>
      </c>
      <c r="B1544" s="31" t="s">
        <v>153</v>
      </c>
      <c r="C1544" s="129"/>
      <c r="D1544" s="129"/>
      <c r="E1544" s="19" t="n">
        <f aca="false">F1544*0.03</f>
        <v>0</v>
      </c>
      <c r="F1544" s="33" t="n">
        <v>0</v>
      </c>
      <c r="G1544" s="131"/>
      <c r="H1544" s="35" t="n">
        <v>0</v>
      </c>
      <c r="I1544" s="34" t="n">
        <f aca="false">+IF(E1544=0,0,E1544*0.03)</f>
        <v>0</v>
      </c>
      <c r="J1544" s="93"/>
      <c r="K1544" s="93"/>
      <c r="L1544" s="93"/>
      <c r="M1544" s="93"/>
      <c r="N1544" s="93"/>
      <c r="O1544" s="93"/>
      <c r="P1544" s="93"/>
      <c r="Q1544" s="93"/>
      <c r="R1544" s="93"/>
      <c r="S1544" s="93"/>
      <c r="T1544" s="93"/>
      <c r="U1544" s="93"/>
      <c r="V1544" s="93"/>
      <c r="W1544" s="93"/>
      <c r="X1544" s="93"/>
      <c r="Y1544" s="93"/>
      <c r="Z1544" s="93"/>
    </row>
    <row r="1545" customFormat="false" ht="16.4" hidden="false" customHeight="false" outlineLevel="0" collapsed="false">
      <c r="A1545" s="123" t="n">
        <v>45444</v>
      </c>
      <c r="B1545" s="31" t="s">
        <v>153</v>
      </c>
      <c r="C1545" s="129"/>
      <c r="D1545" s="129"/>
      <c r="E1545" s="19" t="n">
        <f aca="false">F1545*0.03</f>
        <v>0</v>
      </c>
      <c r="F1545" s="33" t="n">
        <v>0</v>
      </c>
      <c r="G1545" s="131"/>
      <c r="H1545" s="35" t="n">
        <v>0</v>
      </c>
      <c r="I1545" s="34" t="n">
        <f aca="false">+IF(E1545=0,0,E1545*0.03)</f>
        <v>0</v>
      </c>
      <c r="J1545" s="93"/>
      <c r="K1545" s="93"/>
      <c r="L1545" s="93"/>
      <c r="M1545" s="93"/>
      <c r="N1545" s="93"/>
      <c r="O1545" s="93"/>
      <c r="P1545" s="93"/>
      <c r="Q1545" s="93"/>
      <c r="R1545" s="93"/>
      <c r="S1545" s="93"/>
      <c r="T1545" s="93"/>
      <c r="U1545" s="93"/>
      <c r="V1545" s="93"/>
      <c r="W1545" s="93"/>
      <c r="X1545" s="93"/>
      <c r="Y1545" s="93"/>
      <c r="Z1545" s="93"/>
    </row>
    <row r="1546" customFormat="false" ht="16.4" hidden="false" customHeight="false" outlineLevel="0" collapsed="false">
      <c r="A1546" s="123" t="n">
        <v>45444</v>
      </c>
      <c r="B1546" s="31" t="s">
        <v>153</v>
      </c>
      <c r="C1546" s="129"/>
      <c r="D1546" s="129"/>
      <c r="E1546" s="19" t="n">
        <f aca="false">F1546*0.03</f>
        <v>0</v>
      </c>
      <c r="F1546" s="33" t="n">
        <v>0</v>
      </c>
      <c r="G1546" s="131"/>
      <c r="H1546" s="35" t="n">
        <v>0</v>
      </c>
      <c r="I1546" s="34" t="n">
        <f aca="false">+IF(E1546=0,0,E1546*0.03)</f>
        <v>0</v>
      </c>
      <c r="J1546" s="93"/>
      <c r="K1546" s="93"/>
      <c r="L1546" s="93"/>
      <c r="M1546" s="93"/>
      <c r="N1546" s="93"/>
      <c r="O1546" s="93"/>
      <c r="P1546" s="93"/>
      <c r="Q1546" s="93"/>
      <c r="R1546" s="93"/>
      <c r="S1546" s="93"/>
      <c r="T1546" s="93"/>
      <c r="U1546" s="93"/>
      <c r="V1546" s="93"/>
      <c r="W1546" s="93"/>
      <c r="X1546" s="93"/>
      <c r="Y1546" s="93"/>
      <c r="Z1546" s="93"/>
    </row>
    <row r="1547" customFormat="false" ht="16.4" hidden="false" customHeight="false" outlineLevel="0" collapsed="false">
      <c r="A1547" s="123" t="n">
        <v>45444</v>
      </c>
      <c r="B1547" s="31" t="s">
        <v>153</v>
      </c>
      <c r="C1547" s="129"/>
      <c r="D1547" s="129"/>
      <c r="E1547" s="19" t="n">
        <f aca="false">F1547*0.03</f>
        <v>0</v>
      </c>
      <c r="F1547" s="33" t="n">
        <v>0</v>
      </c>
      <c r="G1547" s="131"/>
      <c r="H1547" s="35" t="n">
        <v>0</v>
      </c>
      <c r="I1547" s="34" t="n">
        <f aca="false">+IF(E1547=0,0,E1547*0.03)</f>
        <v>0</v>
      </c>
      <c r="J1547" s="93"/>
      <c r="K1547" s="93"/>
      <c r="L1547" s="93"/>
      <c r="M1547" s="93"/>
      <c r="N1547" s="93"/>
      <c r="O1547" s="93"/>
      <c r="P1547" s="93"/>
      <c r="Q1547" s="93"/>
      <c r="R1547" s="93"/>
      <c r="S1547" s="93"/>
      <c r="T1547" s="93"/>
      <c r="U1547" s="93"/>
      <c r="V1547" s="93"/>
      <c r="W1547" s="93"/>
      <c r="X1547" s="93"/>
      <c r="Y1547" s="93"/>
      <c r="Z1547" s="93"/>
    </row>
    <row r="1548" customFormat="false" ht="16.4" hidden="false" customHeight="false" outlineLevel="0" collapsed="false">
      <c r="A1548" s="123" t="n">
        <v>45444</v>
      </c>
      <c r="B1548" s="31" t="s">
        <v>153</v>
      </c>
      <c r="C1548" s="129"/>
      <c r="D1548" s="129"/>
      <c r="E1548" s="19" t="n">
        <f aca="false">F1548*0.03</f>
        <v>0</v>
      </c>
      <c r="F1548" s="33" t="n">
        <v>0</v>
      </c>
      <c r="G1548" s="131"/>
      <c r="H1548" s="35" t="n">
        <v>0</v>
      </c>
      <c r="I1548" s="34" t="n">
        <f aca="false">+IF(E1548=0,0,E1548*0.03)</f>
        <v>0</v>
      </c>
      <c r="J1548" s="93"/>
      <c r="K1548" s="93"/>
      <c r="L1548" s="93"/>
      <c r="M1548" s="93"/>
      <c r="N1548" s="93"/>
      <c r="O1548" s="93"/>
      <c r="P1548" s="93"/>
      <c r="Q1548" s="93"/>
      <c r="R1548" s="93"/>
      <c r="S1548" s="93"/>
      <c r="T1548" s="93"/>
      <c r="U1548" s="93"/>
      <c r="V1548" s="93"/>
      <c r="W1548" s="93"/>
      <c r="X1548" s="93"/>
      <c r="Y1548" s="93"/>
      <c r="Z1548" s="93"/>
    </row>
    <row r="1549" customFormat="false" ht="16.4" hidden="false" customHeight="false" outlineLevel="0" collapsed="false">
      <c r="A1549" s="123" t="n">
        <v>45444</v>
      </c>
      <c r="B1549" s="31" t="s">
        <v>153</v>
      </c>
      <c r="C1549" s="129"/>
      <c r="D1549" s="129"/>
      <c r="E1549" s="19" t="n">
        <f aca="false">F1549*0.03</f>
        <v>0</v>
      </c>
      <c r="F1549" s="33" t="n">
        <v>0</v>
      </c>
      <c r="G1549" s="131"/>
      <c r="H1549" s="35" t="n">
        <v>0</v>
      </c>
      <c r="I1549" s="34" t="n">
        <f aca="false">+IF(E1549=0,0,E1549*0.03)</f>
        <v>0</v>
      </c>
      <c r="J1549" s="93"/>
      <c r="K1549" s="93"/>
      <c r="L1549" s="93"/>
      <c r="M1549" s="93"/>
      <c r="N1549" s="93"/>
      <c r="O1549" s="93"/>
      <c r="P1549" s="93"/>
      <c r="Q1549" s="93"/>
      <c r="R1549" s="93"/>
      <c r="S1549" s="93"/>
      <c r="T1549" s="93"/>
      <c r="U1549" s="93"/>
      <c r="V1549" s="93"/>
      <c r="W1549" s="93"/>
      <c r="X1549" s="93"/>
      <c r="Y1549" s="93"/>
      <c r="Z1549" s="93"/>
    </row>
    <row r="1550" customFormat="false" ht="16.4" hidden="false" customHeight="false" outlineLevel="0" collapsed="false">
      <c r="A1550" s="123" t="n">
        <v>45444</v>
      </c>
      <c r="B1550" s="31" t="s">
        <v>153</v>
      </c>
      <c r="C1550" s="129"/>
      <c r="D1550" s="129"/>
      <c r="E1550" s="19" t="n">
        <f aca="false">F1550*0.03</f>
        <v>0</v>
      </c>
      <c r="F1550" s="33" t="n">
        <v>0</v>
      </c>
      <c r="G1550" s="131"/>
      <c r="H1550" s="35" t="n">
        <v>0</v>
      </c>
      <c r="I1550" s="34" t="n">
        <f aca="false">+IF(E1550=0,0,E1550*0.03)</f>
        <v>0</v>
      </c>
      <c r="J1550" s="93"/>
      <c r="K1550" s="93"/>
      <c r="L1550" s="93"/>
      <c r="M1550" s="93"/>
      <c r="N1550" s="93"/>
      <c r="O1550" s="93"/>
      <c r="P1550" s="93"/>
      <c r="Q1550" s="93"/>
      <c r="R1550" s="93"/>
      <c r="S1550" s="93"/>
      <c r="T1550" s="93"/>
      <c r="U1550" s="93"/>
      <c r="V1550" s="93"/>
      <c r="W1550" s="93"/>
      <c r="X1550" s="93"/>
      <c r="Y1550" s="93"/>
      <c r="Z1550" s="93"/>
    </row>
    <row r="1551" customFormat="false" ht="16.4" hidden="false" customHeight="false" outlineLevel="0" collapsed="false">
      <c r="A1551" s="123" t="n">
        <v>45444</v>
      </c>
      <c r="B1551" s="31" t="s">
        <v>153</v>
      </c>
      <c r="C1551" s="129"/>
      <c r="D1551" s="129"/>
      <c r="E1551" s="19" t="n">
        <f aca="false">F1551*0.03</f>
        <v>0</v>
      </c>
      <c r="F1551" s="33" t="n">
        <v>0</v>
      </c>
      <c r="G1551" s="131"/>
      <c r="H1551" s="35" t="n">
        <v>0</v>
      </c>
      <c r="I1551" s="34" t="n">
        <f aca="false">+IF(E1551=0,0,E1551*0.03)</f>
        <v>0</v>
      </c>
      <c r="J1551" s="93"/>
      <c r="K1551" s="93"/>
      <c r="L1551" s="93"/>
      <c r="M1551" s="93"/>
      <c r="N1551" s="93"/>
      <c r="O1551" s="93"/>
      <c r="P1551" s="93"/>
      <c r="Q1551" s="93"/>
      <c r="R1551" s="93"/>
      <c r="S1551" s="93"/>
      <c r="T1551" s="93"/>
      <c r="U1551" s="93"/>
      <c r="V1551" s="93"/>
      <c r="W1551" s="93"/>
      <c r="X1551" s="93"/>
      <c r="Y1551" s="93"/>
      <c r="Z1551" s="93"/>
    </row>
    <row r="1552" customFormat="false" ht="16.4" hidden="false" customHeight="false" outlineLevel="0" collapsed="false">
      <c r="A1552" s="123" t="n">
        <v>45444</v>
      </c>
      <c r="B1552" s="31" t="s">
        <v>153</v>
      </c>
      <c r="C1552" s="129"/>
      <c r="D1552" s="129"/>
      <c r="E1552" s="19" t="n">
        <f aca="false">F1552*0.03</f>
        <v>0</v>
      </c>
      <c r="F1552" s="33" t="n">
        <v>0</v>
      </c>
      <c r="G1552" s="131"/>
      <c r="H1552" s="35" t="n">
        <v>0</v>
      </c>
      <c r="I1552" s="34" t="n">
        <f aca="false">+IF(E1552=0,0,E1552*0.03)</f>
        <v>0</v>
      </c>
      <c r="J1552" s="93"/>
      <c r="K1552" s="93"/>
      <c r="L1552" s="93"/>
      <c r="M1552" s="93"/>
      <c r="N1552" s="93"/>
      <c r="O1552" s="93"/>
      <c r="P1552" s="93"/>
      <c r="Q1552" s="93"/>
      <c r="R1552" s="93"/>
      <c r="S1552" s="93"/>
      <c r="T1552" s="93"/>
      <c r="U1552" s="93"/>
      <c r="V1552" s="93"/>
      <c r="W1552" s="93"/>
      <c r="X1552" s="93"/>
      <c r="Y1552" s="93"/>
      <c r="Z1552" s="93"/>
    </row>
    <row r="1553" customFormat="false" ht="16.4" hidden="false" customHeight="false" outlineLevel="0" collapsed="false">
      <c r="A1553" s="123" t="n">
        <v>45444</v>
      </c>
      <c r="B1553" s="31" t="s">
        <v>153</v>
      </c>
      <c r="C1553" s="129"/>
      <c r="D1553" s="129"/>
      <c r="E1553" s="19" t="n">
        <f aca="false">F1553*0.03</f>
        <v>0</v>
      </c>
      <c r="F1553" s="33" t="n">
        <v>0</v>
      </c>
      <c r="G1553" s="131"/>
      <c r="H1553" s="35" t="n">
        <v>0</v>
      </c>
      <c r="I1553" s="34" t="n">
        <f aca="false">+IF(E1553=0,0,E1553*0.03)</f>
        <v>0</v>
      </c>
      <c r="J1553" s="93"/>
      <c r="K1553" s="93"/>
      <c r="L1553" s="93"/>
      <c r="M1553" s="93"/>
      <c r="N1553" s="93"/>
      <c r="O1553" s="93"/>
      <c r="P1553" s="93"/>
      <c r="Q1553" s="93"/>
      <c r="R1553" s="93"/>
      <c r="S1553" s="93"/>
      <c r="T1553" s="93"/>
      <c r="U1553" s="93"/>
      <c r="V1553" s="93"/>
      <c r="W1553" s="93"/>
      <c r="X1553" s="93"/>
      <c r="Y1553" s="93"/>
      <c r="Z1553" s="93"/>
    </row>
    <row r="1554" customFormat="false" ht="16.4" hidden="false" customHeight="false" outlineLevel="0" collapsed="false">
      <c r="A1554" s="123" t="n">
        <v>45444</v>
      </c>
      <c r="B1554" s="31" t="s">
        <v>153</v>
      </c>
      <c r="C1554" s="129"/>
      <c r="D1554" s="129"/>
      <c r="E1554" s="19" t="n">
        <f aca="false">F1554*0.03</f>
        <v>0</v>
      </c>
      <c r="F1554" s="33" t="n">
        <v>0</v>
      </c>
      <c r="G1554" s="131"/>
      <c r="H1554" s="35" t="n">
        <v>0</v>
      </c>
      <c r="I1554" s="34" t="n">
        <f aca="false">+IF(E1554=0,0,E1554*0.03)</f>
        <v>0</v>
      </c>
      <c r="J1554" s="93"/>
      <c r="K1554" s="93"/>
      <c r="L1554" s="93"/>
      <c r="M1554" s="93"/>
      <c r="N1554" s="93"/>
      <c r="O1554" s="93"/>
      <c r="P1554" s="93"/>
      <c r="Q1554" s="93"/>
      <c r="R1554" s="93"/>
      <c r="S1554" s="93"/>
      <c r="T1554" s="93"/>
      <c r="U1554" s="93"/>
      <c r="V1554" s="93"/>
      <c r="W1554" s="93"/>
      <c r="X1554" s="93"/>
      <c r="Y1554" s="93"/>
      <c r="Z1554" s="93"/>
    </row>
    <row r="1555" customFormat="false" ht="16.4" hidden="false" customHeight="false" outlineLevel="0" collapsed="false">
      <c r="A1555" s="123" t="n">
        <v>45444</v>
      </c>
      <c r="B1555" s="31" t="s">
        <v>153</v>
      </c>
      <c r="C1555" s="129"/>
      <c r="D1555" s="129"/>
      <c r="E1555" s="19" t="n">
        <f aca="false">F1555*0.03</f>
        <v>0</v>
      </c>
      <c r="F1555" s="33" t="n">
        <v>0</v>
      </c>
      <c r="G1555" s="131"/>
      <c r="H1555" s="35" t="n">
        <v>0</v>
      </c>
      <c r="I1555" s="34" t="n">
        <f aca="false">+IF(E1555=0,0,E1555*0.03)</f>
        <v>0</v>
      </c>
      <c r="J1555" s="93"/>
      <c r="K1555" s="93"/>
      <c r="L1555" s="93"/>
      <c r="M1555" s="93"/>
      <c r="N1555" s="93"/>
      <c r="O1555" s="93"/>
      <c r="P1555" s="93"/>
      <c r="Q1555" s="93"/>
      <c r="R1555" s="93"/>
      <c r="S1555" s="93"/>
      <c r="T1555" s="93"/>
      <c r="U1555" s="93"/>
      <c r="V1555" s="93"/>
      <c r="W1555" s="93"/>
      <c r="X1555" s="93"/>
      <c r="Y1555" s="93"/>
      <c r="Z1555" s="93"/>
    </row>
    <row r="1556" customFormat="false" ht="16.4" hidden="false" customHeight="false" outlineLevel="0" collapsed="false">
      <c r="A1556" s="123" t="n">
        <v>45444</v>
      </c>
      <c r="B1556" s="31" t="s">
        <v>153</v>
      </c>
      <c r="C1556" s="129"/>
      <c r="D1556" s="129"/>
      <c r="E1556" s="19" t="n">
        <f aca="false">F1556*0.03</f>
        <v>0</v>
      </c>
      <c r="F1556" s="33" t="n">
        <v>0</v>
      </c>
      <c r="G1556" s="131"/>
      <c r="H1556" s="35" t="n">
        <v>0</v>
      </c>
      <c r="I1556" s="34" t="n">
        <f aca="false">+IF(E1556=0,0,E1556*0.03)</f>
        <v>0</v>
      </c>
      <c r="J1556" s="93"/>
      <c r="K1556" s="93"/>
      <c r="L1556" s="93"/>
      <c r="M1556" s="93"/>
      <c r="N1556" s="93"/>
      <c r="O1556" s="93"/>
      <c r="P1556" s="93"/>
      <c r="Q1556" s="93"/>
      <c r="R1556" s="93"/>
      <c r="S1556" s="93"/>
      <c r="T1556" s="93"/>
      <c r="U1556" s="93"/>
      <c r="V1556" s="93"/>
      <c r="W1556" s="93"/>
      <c r="X1556" s="93"/>
      <c r="Y1556" s="93"/>
      <c r="Z1556" s="93"/>
    </row>
    <row r="1557" customFormat="false" ht="16.4" hidden="false" customHeight="false" outlineLevel="0" collapsed="false">
      <c r="A1557" s="123" t="n">
        <v>45444</v>
      </c>
      <c r="B1557" s="31" t="s">
        <v>153</v>
      </c>
      <c r="C1557" s="129"/>
      <c r="D1557" s="129"/>
      <c r="E1557" s="19" t="n">
        <f aca="false">F1557*0.03</f>
        <v>0</v>
      </c>
      <c r="F1557" s="33" t="n">
        <v>0</v>
      </c>
      <c r="G1557" s="131"/>
      <c r="H1557" s="35" t="n">
        <v>0</v>
      </c>
      <c r="I1557" s="34" t="n">
        <f aca="false">+IF(E1557=0,0,E1557*0.03)</f>
        <v>0</v>
      </c>
      <c r="J1557" s="93"/>
      <c r="K1557" s="93"/>
      <c r="L1557" s="93"/>
      <c r="M1557" s="93"/>
      <c r="N1557" s="93"/>
      <c r="O1557" s="93"/>
      <c r="P1557" s="93"/>
      <c r="Q1557" s="93"/>
      <c r="R1557" s="93"/>
      <c r="S1557" s="93"/>
      <c r="T1557" s="93"/>
      <c r="U1557" s="93"/>
      <c r="V1557" s="93"/>
      <c r="W1557" s="93"/>
      <c r="X1557" s="93"/>
      <c r="Y1557" s="93"/>
      <c r="Z1557" s="93"/>
    </row>
    <row r="1558" customFormat="false" ht="16.4" hidden="false" customHeight="false" outlineLevel="0" collapsed="false">
      <c r="A1558" s="123" t="n">
        <v>45444</v>
      </c>
      <c r="B1558" s="31" t="s">
        <v>153</v>
      </c>
      <c r="C1558" s="129"/>
      <c r="D1558" s="129"/>
      <c r="E1558" s="19" t="n">
        <f aca="false">F1558*0.03</f>
        <v>0</v>
      </c>
      <c r="F1558" s="33" t="n">
        <v>0</v>
      </c>
      <c r="G1558" s="131"/>
      <c r="H1558" s="35" t="n">
        <v>0</v>
      </c>
      <c r="I1558" s="34" t="n">
        <f aca="false">+IF(E1558=0,0,E1558*0.03)</f>
        <v>0</v>
      </c>
      <c r="J1558" s="93"/>
      <c r="K1558" s="93"/>
      <c r="L1558" s="93"/>
      <c r="M1558" s="93"/>
      <c r="N1558" s="93"/>
      <c r="O1558" s="93"/>
      <c r="P1558" s="93"/>
      <c r="Q1558" s="93"/>
      <c r="R1558" s="93"/>
      <c r="S1558" s="93"/>
      <c r="T1558" s="93"/>
      <c r="U1558" s="93"/>
      <c r="V1558" s="93"/>
      <c r="W1558" s="93"/>
      <c r="X1558" s="93"/>
      <c r="Y1558" s="93"/>
      <c r="Z1558" s="93"/>
    </row>
    <row r="1559" customFormat="false" ht="16.4" hidden="false" customHeight="false" outlineLevel="0" collapsed="false">
      <c r="A1559" s="123" t="n">
        <v>45444</v>
      </c>
      <c r="B1559" s="31" t="s">
        <v>153</v>
      </c>
      <c r="C1559" s="129"/>
      <c r="D1559" s="129"/>
      <c r="E1559" s="19" t="n">
        <f aca="false">F1559*0.03</f>
        <v>0</v>
      </c>
      <c r="F1559" s="33" t="n">
        <v>0</v>
      </c>
      <c r="G1559" s="131"/>
      <c r="H1559" s="35" t="n">
        <v>0</v>
      </c>
      <c r="I1559" s="34" t="n">
        <f aca="false">+IF(E1559=0,0,E1559*0.03)</f>
        <v>0</v>
      </c>
      <c r="J1559" s="93"/>
      <c r="K1559" s="93"/>
      <c r="L1559" s="93"/>
      <c r="M1559" s="93"/>
      <c r="N1559" s="93"/>
      <c r="O1559" s="93"/>
      <c r="P1559" s="93"/>
      <c r="Q1559" s="93"/>
      <c r="R1559" s="93"/>
      <c r="S1559" s="93"/>
      <c r="T1559" s="93"/>
      <c r="U1559" s="93"/>
      <c r="V1559" s="93"/>
      <c r="W1559" s="93"/>
      <c r="X1559" s="93"/>
      <c r="Y1559" s="93"/>
      <c r="Z1559" s="93"/>
    </row>
    <row r="1560" customFormat="false" ht="16.4" hidden="false" customHeight="false" outlineLevel="0" collapsed="false">
      <c r="A1560" s="123" t="n">
        <v>45444</v>
      </c>
      <c r="B1560" s="31" t="s">
        <v>153</v>
      </c>
      <c r="C1560" s="129"/>
      <c r="D1560" s="129"/>
      <c r="E1560" s="19" t="n">
        <f aca="false">F1560*0.03</f>
        <v>0</v>
      </c>
      <c r="F1560" s="33" t="n">
        <v>0</v>
      </c>
      <c r="G1560" s="131"/>
      <c r="H1560" s="35" t="n">
        <v>0</v>
      </c>
      <c r="I1560" s="34" t="n">
        <f aca="false">+IF(E1560=0,0,E1560*0.03)</f>
        <v>0</v>
      </c>
      <c r="J1560" s="93"/>
      <c r="K1560" s="93"/>
      <c r="L1560" s="93"/>
      <c r="M1560" s="93"/>
      <c r="N1560" s="93"/>
      <c r="O1560" s="93"/>
      <c r="P1560" s="93"/>
      <c r="Q1560" s="93"/>
      <c r="R1560" s="93"/>
      <c r="S1560" s="93"/>
      <c r="T1560" s="93"/>
      <c r="U1560" s="93"/>
      <c r="V1560" s="93"/>
      <c r="W1560" s="93"/>
      <c r="X1560" s="93"/>
      <c r="Y1560" s="93"/>
      <c r="Z1560" s="93"/>
    </row>
    <row r="1561" customFormat="false" ht="16.4" hidden="false" customHeight="false" outlineLevel="0" collapsed="false">
      <c r="A1561" s="123" t="n">
        <v>45444</v>
      </c>
      <c r="B1561" s="31" t="s">
        <v>153</v>
      </c>
      <c r="C1561" s="129"/>
      <c r="D1561" s="129"/>
      <c r="E1561" s="19" t="n">
        <f aca="false">F1561*0.03</f>
        <v>0</v>
      </c>
      <c r="F1561" s="33" t="n">
        <v>0</v>
      </c>
      <c r="G1561" s="131"/>
      <c r="H1561" s="35" t="n">
        <v>0</v>
      </c>
      <c r="I1561" s="34" t="n">
        <f aca="false">+IF(E1561=0,0,E1561*0.03)</f>
        <v>0</v>
      </c>
      <c r="J1561" s="93"/>
      <c r="K1561" s="93"/>
      <c r="L1561" s="93"/>
      <c r="M1561" s="93"/>
      <c r="N1561" s="93"/>
      <c r="O1561" s="93"/>
      <c r="P1561" s="93"/>
      <c r="Q1561" s="93"/>
      <c r="R1561" s="93"/>
      <c r="S1561" s="93"/>
      <c r="T1561" s="93"/>
      <c r="U1561" s="93"/>
      <c r="V1561" s="93"/>
      <c r="W1561" s="93"/>
      <c r="X1561" s="93"/>
      <c r="Y1561" s="93"/>
      <c r="Z1561" s="93"/>
    </row>
    <row r="1562" customFormat="false" ht="16.4" hidden="false" customHeight="false" outlineLevel="0" collapsed="false">
      <c r="A1562" s="123" t="n">
        <v>45444</v>
      </c>
      <c r="B1562" s="31" t="s">
        <v>153</v>
      </c>
      <c r="C1562" s="129"/>
      <c r="D1562" s="129"/>
      <c r="E1562" s="19" t="n">
        <f aca="false">F1562*0.03</f>
        <v>0</v>
      </c>
      <c r="F1562" s="33" t="n">
        <v>0</v>
      </c>
      <c r="G1562" s="131"/>
      <c r="H1562" s="35" t="n">
        <v>0</v>
      </c>
      <c r="I1562" s="34" t="n">
        <f aca="false">+IF(E1562=0,0,E1562*0.03)</f>
        <v>0</v>
      </c>
      <c r="J1562" s="93"/>
      <c r="K1562" s="93"/>
      <c r="L1562" s="93"/>
      <c r="M1562" s="93"/>
      <c r="N1562" s="93"/>
      <c r="O1562" s="93"/>
      <c r="P1562" s="93"/>
      <c r="Q1562" s="93"/>
      <c r="R1562" s="93"/>
      <c r="S1562" s="93"/>
      <c r="T1562" s="93"/>
      <c r="U1562" s="93"/>
      <c r="V1562" s="93"/>
      <c r="W1562" s="93"/>
      <c r="X1562" s="93"/>
      <c r="Y1562" s="93"/>
      <c r="Z1562" s="93"/>
    </row>
    <row r="1563" customFormat="false" ht="16.4" hidden="false" customHeight="false" outlineLevel="0" collapsed="false">
      <c r="A1563" s="123" t="n">
        <v>45444</v>
      </c>
      <c r="B1563" s="31" t="s">
        <v>153</v>
      </c>
      <c r="C1563" s="129"/>
      <c r="D1563" s="129"/>
      <c r="E1563" s="19" t="n">
        <f aca="false">F1563*0.03</f>
        <v>0</v>
      </c>
      <c r="F1563" s="33" t="n">
        <v>0</v>
      </c>
      <c r="G1563" s="131"/>
      <c r="H1563" s="35" t="n">
        <v>0</v>
      </c>
      <c r="I1563" s="34" t="n">
        <f aca="false">+IF(E1563=0,0,E1563*0.03)</f>
        <v>0</v>
      </c>
      <c r="J1563" s="93"/>
      <c r="K1563" s="93"/>
      <c r="L1563" s="93"/>
      <c r="M1563" s="93"/>
      <c r="N1563" s="93"/>
      <c r="O1563" s="93"/>
      <c r="P1563" s="93"/>
      <c r="Q1563" s="93"/>
      <c r="R1563" s="93"/>
      <c r="S1563" s="93"/>
      <c r="T1563" s="93"/>
      <c r="U1563" s="93"/>
      <c r="V1563" s="93"/>
      <c r="W1563" s="93"/>
      <c r="X1563" s="93"/>
      <c r="Y1563" s="93"/>
      <c r="Z1563" s="93"/>
    </row>
    <row r="1564" customFormat="false" ht="16.4" hidden="false" customHeight="false" outlineLevel="0" collapsed="false">
      <c r="A1564" s="123" t="n">
        <v>45444</v>
      </c>
      <c r="B1564" s="31" t="s">
        <v>153</v>
      </c>
      <c r="C1564" s="129"/>
      <c r="D1564" s="129"/>
      <c r="E1564" s="19" t="n">
        <f aca="false">F1564*0.03</f>
        <v>0</v>
      </c>
      <c r="F1564" s="33" t="n">
        <v>0</v>
      </c>
      <c r="G1564" s="131"/>
      <c r="H1564" s="35" t="n">
        <v>0</v>
      </c>
      <c r="I1564" s="34" t="n">
        <f aca="false">+IF(E1564=0,0,E1564*0.03)</f>
        <v>0</v>
      </c>
      <c r="J1564" s="93"/>
      <c r="K1564" s="93"/>
      <c r="L1564" s="93"/>
      <c r="M1564" s="93"/>
      <c r="N1564" s="93"/>
      <c r="O1564" s="93"/>
      <c r="P1564" s="93"/>
      <c r="Q1564" s="93"/>
      <c r="R1564" s="93"/>
      <c r="S1564" s="93"/>
      <c r="T1564" s="93"/>
      <c r="U1564" s="93"/>
      <c r="V1564" s="93"/>
      <c r="W1564" s="93"/>
      <c r="X1564" s="93"/>
      <c r="Y1564" s="93"/>
      <c r="Z1564" s="93"/>
    </row>
    <row r="1565" customFormat="false" ht="16.4" hidden="false" customHeight="false" outlineLevel="0" collapsed="false">
      <c r="A1565" s="123" t="n">
        <v>45444</v>
      </c>
      <c r="B1565" s="31" t="s">
        <v>153</v>
      </c>
      <c r="C1565" s="129"/>
      <c r="D1565" s="129"/>
      <c r="E1565" s="19" t="n">
        <f aca="false">F1565*0.03</f>
        <v>0</v>
      </c>
      <c r="F1565" s="33" t="n">
        <v>0</v>
      </c>
      <c r="G1565" s="131"/>
      <c r="H1565" s="35" t="n">
        <v>0</v>
      </c>
      <c r="I1565" s="34" t="n">
        <f aca="false">+IF(E1565=0,0,E1565*0.03)</f>
        <v>0</v>
      </c>
      <c r="J1565" s="93"/>
      <c r="K1565" s="93"/>
      <c r="L1565" s="93"/>
      <c r="M1565" s="93"/>
      <c r="N1565" s="93"/>
      <c r="O1565" s="93"/>
      <c r="P1565" s="93"/>
      <c r="Q1565" s="93"/>
      <c r="R1565" s="93"/>
      <c r="S1565" s="93"/>
      <c r="T1565" s="93"/>
      <c r="U1565" s="93"/>
      <c r="V1565" s="93"/>
      <c r="W1565" s="93"/>
      <c r="X1565" s="93"/>
      <c r="Y1565" s="93"/>
      <c r="Z1565" s="93"/>
    </row>
    <row r="1566" customFormat="false" ht="16.4" hidden="false" customHeight="false" outlineLevel="0" collapsed="false">
      <c r="A1566" s="123" t="n">
        <v>45444</v>
      </c>
      <c r="B1566" s="31" t="s">
        <v>153</v>
      </c>
      <c r="C1566" s="129"/>
      <c r="D1566" s="129"/>
      <c r="E1566" s="19" t="n">
        <f aca="false">F1566*0.03</f>
        <v>0</v>
      </c>
      <c r="F1566" s="33" t="n">
        <v>0</v>
      </c>
      <c r="G1566" s="131"/>
      <c r="H1566" s="35" t="n">
        <v>0</v>
      </c>
      <c r="I1566" s="34" t="n">
        <f aca="false">+IF(E1566=0,0,E1566*0.03)</f>
        <v>0</v>
      </c>
      <c r="J1566" s="93"/>
      <c r="K1566" s="93"/>
      <c r="L1566" s="93"/>
      <c r="M1566" s="93"/>
      <c r="N1566" s="93"/>
      <c r="O1566" s="93"/>
      <c r="P1566" s="93"/>
      <c r="Q1566" s="93"/>
      <c r="R1566" s="93"/>
      <c r="S1566" s="93"/>
      <c r="T1566" s="93"/>
      <c r="U1566" s="93"/>
      <c r="V1566" s="93"/>
      <c r="W1566" s="93"/>
      <c r="X1566" s="93"/>
      <c r="Y1566" s="93"/>
      <c r="Z1566" s="93"/>
    </row>
    <row r="1567" customFormat="false" ht="16.4" hidden="false" customHeight="false" outlineLevel="0" collapsed="false">
      <c r="A1567" s="123" t="n">
        <v>45444</v>
      </c>
      <c r="B1567" s="31" t="s">
        <v>153</v>
      </c>
      <c r="C1567" s="129"/>
      <c r="D1567" s="129"/>
      <c r="E1567" s="19" t="n">
        <f aca="false">F1567*0.03</f>
        <v>0</v>
      </c>
      <c r="F1567" s="33" t="n">
        <v>0</v>
      </c>
      <c r="G1567" s="131"/>
      <c r="H1567" s="35" t="n">
        <v>0</v>
      </c>
      <c r="I1567" s="34" t="n">
        <f aca="false">+IF(E1567=0,0,E1567*0.03)</f>
        <v>0</v>
      </c>
      <c r="J1567" s="93"/>
      <c r="K1567" s="93"/>
      <c r="L1567" s="93"/>
      <c r="M1567" s="93"/>
      <c r="N1567" s="93"/>
      <c r="O1567" s="93"/>
      <c r="P1567" s="93"/>
      <c r="Q1567" s="93"/>
      <c r="R1567" s="93"/>
      <c r="S1567" s="93"/>
      <c r="T1567" s="93"/>
      <c r="U1567" s="93"/>
      <c r="V1567" s="93"/>
      <c r="W1567" s="93"/>
      <c r="X1567" s="93"/>
      <c r="Y1567" s="93"/>
      <c r="Z1567" s="93"/>
    </row>
    <row r="1568" customFormat="false" ht="16.4" hidden="false" customHeight="false" outlineLevel="0" collapsed="false">
      <c r="A1568" s="123" t="n">
        <v>45444</v>
      </c>
      <c r="B1568" s="31" t="s">
        <v>153</v>
      </c>
      <c r="C1568" s="129"/>
      <c r="D1568" s="129"/>
      <c r="E1568" s="19" t="n">
        <f aca="false">F1568*0.03</f>
        <v>0</v>
      </c>
      <c r="F1568" s="33" t="n">
        <v>0</v>
      </c>
      <c r="G1568" s="131"/>
      <c r="H1568" s="35" t="n">
        <v>0</v>
      </c>
      <c r="I1568" s="34" t="n">
        <f aca="false">+IF(E1568=0,0,E1568*0.03)</f>
        <v>0</v>
      </c>
      <c r="J1568" s="93"/>
      <c r="K1568" s="93"/>
      <c r="L1568" s="93"/>
      <c r="M1568" s="93"/>
      <c r="N1568" s="93"/>
      <c r="O1568" s="93"/>
      <c r="P1568" s="93"/>
      <c r="Q1568" s="93"/>
      <c r="R1568" s="93"/>
      <c r="S1568" s="93"/>
      <c r="T1568" s="93"/>
      <c r="U1568" s="93"/>
      <c r="V1568" s="93"/>
      <c r="W1568" s="93"/>
      <c r="X1568" s="93"/>
      <c r="Y1568" s="93"/>
      <c r="Z1568" s="93"/>
    </row>
    <row r="1569" customFormat="false" ht="16.4" hidden="false" customHeight="false" outlineLevel="0" collapsed="false">
      <c r="A1569" s="123" t="n">
        <v>45444</v>
      </c>
      <c r="B1569" s="31" t="s">
        <v>153</v>
      </c>
      <c r="C1569" s="129"/>
      <c r="D1569" s="129"/>
      <c r="E1569" s="19" t="n">
        <f aca="false">F1569*0.03</f>
        <v>0</v>
      </c>
      <c r="F1569" s="33" t="n">
        <v>0</v>
      </c>
      <c r="G1569" s="131"/>
      <c r="H1569" s="35" t="n">
        <v>0</v>
      </c>
      <c r="I1569" s="34" t="n">
        <f aca="false">+IF(E1569=0,0,E1569*0.03)</f>
        <v>0</v>
      </c>
      <c r="J1569" s="93"/>
      <c r="K1569" s="93"/>
      <c r="L1569" s="93"/>
      <c r="M1569" s="93"/>
      <c r="N1569" s="93"/>
      <c r="O1569" s="93"/>
      <c r="P1569" s="93"/>
      <c r="Q1569" s="93"/>
      <c r="R1569" s="93"/>
      <c r="S1569" s="93"/>
      <c r="T1569" s="93"/>
      <c r="U1569" s="93"/>
      <c r="V1569" s="93"/>
      <c r="W1569" s="93"/>
      <c r="X1569" s="93"/>
      <c r="Y1569" s="93"/>
      <c r="Z1569" s="93"/>
    </row>
    <row r="1570" customFormat="false" ht="16.4" hidden="false" customHeight="false" outlineLevel="0" collapsed="false">
      <c r="A1570" s="123" t="n">
        <v>45444</v>
      </c>
      <c r="B1570" s="31" t="s">
        <v>153</v>
      </c>
      <c r="C1570" s="129"/>
      <c r="D1570" s="129"/>
      <c r="E1570" s="19" t="n">
        <f aca="false">F1570*0.03</f>
        <v>0</v>
      </c>
      <c r="F1570" s="33" t="n">
        <v>0</v>
      </c>
      <c r="G1570" s="131"/>
      <c r="H1570" s="35" t="n">
        <v>0</v>
      </c>
      <c r="I1570" s="34" t="n">
        <f aca="false">+IF(E1570=0,0,E1570*0.03)</f>
        <v>0</v>
      </c>
      <c r="J1570" s="93"/>
      <c r="K1570" s="93"/>
      <c r="L1570" s="93"/>
      <c r="M1570" s="93"/>
      <c r="N1570" s="93"/>
      <c r="O1570" s="93"/>
      <c r="P1570" s="93"/>
      <c r="Q1570" s="93"/>
      <c r="R1570" s="93"/>
      <c r="S1570" s="93"/>
      <c r="T1570" s="93"/>
      <c r="U1570" s="93"/>
      <c r="V1570" s="93"/>
      <c r="W1570" s="93"/>
      <c r="X1570" s="93"/>
      <c r="Y1570" s="93"/>
      <c r="Z1570" s="93"/>
    </row>
    <row r="1571" customFormat="false" ht="16.4" hidden="false" customHeight="false" outlineLevel="0" collapsed="false">
      <c r="A1571" s="123" t="n">
        <v>45444</v>
      </c>
      <c r="B1571" s="31" t="s">
        <v>153</v>
      </c>
      <c r="C1571" s="129"/>
      <c r="D1571" s="129"/>
      <c r="E1571" s="19" t="n">
        <f aca="false">F1571*0.03</f>
        <v>0</v>
      </c>
      <c r="F1571" s="33" t="n">
        <v>0</v>
      </c>
      <c r="G1571" s="131"/>
      <c r="H1571" s="35" t="n">
        <v>0</v>
      </c>
      <c r="I1571" s="34" t="n">
        <f aca="false">+IF(E1571=0,0,E1571*0.03)</f>
        <v>0</v>
      </c>
      <c r="J1571" s="93"/>
      <c r="K1571" s="93"/>
      <c r="L1571" s="93"/>
      <c r="M1571" s="93"/>
      <c r="N1571" s="93"/>
      <c r="O1571" s="93"/>
      <c r="P1571" s="93"/>
      <c r="Q1571" s="93"/>
      <c r="R1571" s="93"/>
      <c r="S1571" s="93"/>
      <c r="T1571" s="93"/>
      <c r="U1571" s="93"/>
      <c r="V1571" s="93"/>
      <c r="W1571" s="93"/>
      <c r="X1571" s="93"/>
      <c r="Y1571" s="93"/>
      <c r="Z1571" s="93"/>
    </row>
    <row r="1572" customFormat="false" ht="16.4" hidden="false" customHeight="false" outlineLevel="0" collapsed="false">
      <c r="A1572" s="123" t="n">
        <v>45444</v>
      </c>
      <c r="B1572" s="31" t="s">
        <v>153</v>
      </c>
      <c r="C1572" s="129"/>
      <c r="D1572" s="129"/>
      <c r="E1572" s="19" t="n">
        <f aca="false">F1572*0.03</f>
        <v>0</v>
      </c>
      <c r="F1572" s="33" t="n">
        <v>0</v>
      </c>
      <c r="G1572" s="131"/>
      <c r="H1572" s="35" t="n">
        <v>0</v>
      </c>
      <c r="I1572" s="34" t="n">
        <f aca="false">+IF(E1572=0,0,E1572*0.03)</f>
        <v>0</v>
      </c>
      <c r="J1572" s="93"/>
      <c r="K1572" s="93"/>
      <c r="L1572" s="93"/>
      <c r="M1572" s="93"/>
      <c r="N1572" s="93"/>
      <c r="O1572" s="93"/>
      <c r="P1572" s="93"/>
      <c r="Q1572" s="93"/>
      <c r="R1572" s="93"/>
      <c r="S1572" s="93"/>
      <c r="T1572" s="93"/>
      <c r="U1572" s="93"/>
      <c r="V1572" s="93"/>
      <c r="W1572" s="93"/>
      <c r="X1572" s="93"/>
      <c r="Y1572" s="93"/>
      <c r="Z1572" s="93"/>
    </row>
    <row r="1573" customFormat="false" ht="16.4" hidden="false" customHeight="false" outlineLevel="0" collapsed="false">
      <c r="A1573" s="123" t="n">
        <v>45444</v>
      </c>
      <c r="B1573" s="31" t="s">
        <v>153</v>
      </c>
      <c r="C1573" s="129"/>
      <c r="D1573" s="129"/>
      <c r="E1573" s="19" t="n">
        <f aca="false">F1573*0.03</f>
        <v>0</v>
      </c>
      <c r="F1573" s="33" t="n">
        <v>0</v>
      </c>
      <c r="G1573" s="131"/>
      <c r="H1573" s="35" t="n">
        <v>0</v>
      </c>
      <c r="I1573" s="34" t="n">
        <f aca="false">+IF(E1573=0,0,E1573*0.03)</f>
        <v>0</v>
      </c>
      <c r="J1573" s="93"/>
      <c r="K1573" s="93"/>
      <c r="L1573" s="93"/>
      <c r="M1573" s="93"/>
      <c r="N1573" s="93"/>
      <c r="O1573" s="93"/>
      <c r="P1573" s="93"/>
      <c r="Q1573" s="93"/>
      <c r="R1573" s="93"/>
      <c r="S1573" s="93"/>
      <c r="T1573" s="93"/>
      <c r="U1573" s="93"/>
      <c r="V1573" s="93"/>
      <c r="W1573" s="93"/>
      <c r="X1573" s="93"/>
      <c r="Y1573" s="93"/>
      <c r="Z1573" s="93"/>
    </row>
    <row r="1574" customFormat="false" ht="16.4" hidden="false" customHeight="false" outlineLevel="0" collapsed="false">
      <c r="A1574" s="123" t="n">
        <v>45444</v>
      </c>
      <c r="B1574" s="31" t="s">
        <v>153</v>
      </c>
      <c r="C1574" s="129"/>
      <c r="D1574" s="129"/>
      <c r="E1574" s="19" t="n">
        <f aca="false">F1574*0.03</f>
        <v>0</v>
      </c>
      <c r="F1574" s="33" t="n">
        <v>0</v>
      </c>
      <c r="G1574" s="131"/>
      <c r="H1574" s="35" t="n">
        <v>0</v>
      </c>
      <c r="I1574" s="34" t="n">
        <f aca="false">+IF(E1574=0,0,E1574*0.03)</f>
        <v>0</v>
      </c>
      <c r="J1574" s="93"/>
      <c r="K1574" s="93"/>
      <c r="L1574" s="93"/>
      <c r="M1574" s="93"/>
      <c r="N1574" s="93"/>
      <c r="O1574" s="93"/>
      <c r="P1574" s="93"/>
      <c r="Q1574" s="93"/>
      <c r="R1574" s="93"/>
      <c r="S1574" s="93"/>
      <c r="T1574" s="93"/>
      <c r="U1574" s="93"/>
      <c r="V1574" s="93"/>
      <c r="W1574" s="93"/>
      <c r="X1574" s="93"/>
      <c r="Y1574" s="93"/>
      <c r="Z1574" s="93"/>
    </row>
    <row r="1575" customFormat="false" ht="16.4" hidden="false" customHeight="false" outlineLevel="0" collapsed="false">
      <c r="A1575" s="123" t="n">
        <v>45444</v>
      </c>
      <c r="B1575" s="31" t="s">
        <v>153</v>
      </c>
      <c r="C1575" s="129"/>
      <c r="D1575" s="129"/>
      <c r="E1575" s="19" t="n">
        <f aca="false">F1575*0.03</f>
        <v>0</v>
      </c>
      <c r="F1575" s="33" t="n">
        <v>0</v>
      </c>
      <c r="G1575" s="131"/>
      <c r="H1575" s="35" t="n">
        <v>0</v>
      </c>
      <c r="I1575" s="34" t="n">
        <f aca="false">+IF(E1575=0,0,E1575*0.03)</f>
        <v>0</v>
      </c>
      <c r="J1575" s="93"/>
      <c r="K1575" s="93"/>
      <c r="L1575" s="93"/>
      <c r="M1575" s="93"/>
      <c r="N1575" s="93"/>
      <c r="O1575" s="93"/>
      <c r="P1575" s="93"/>
      <c r="Q1575" s="93"/>
      <c r="R1575" s="93"/>
      <c r="S1575" s="93"/>
      <c r="T1575" s="93"/>
      <c r="U1575" s="93"/>
      <c r="V1575" s="93"/>
      <c r="W1575" s="93"/>
      <c r="X1575" s="93"/>
      <c r="Y1575" s="93"/>
      <c r="Z1575" s="93"/>
    </row>
    <row r="1576" customFormat="false" ht="16.4" hidden="false" customHeight="false" outlineLevel="0" collapsed="false">
      <c r="A1576" s="123" t="n">
        <v>45444</v>
      </c>
      <c r="B1576" s="31" t="s">
        <v>153</v>
      </c>
      <c r="C1576" s="129"/>
      <c r="D1576" s="129"/>
      <c r="E1576" s="19" t="n">
        <f aca="false">F1576*0.03</f>
        <v>0</v>
      </c>
      <c r="F1576" s="33" t="n">
        <v>0</v>
      </c>
      <c r="G1576" s="131"/>
      <c r="H1576" s="35" t="n">
        <v>0</v>
      </c>
      <c r="I1576" s="34" t="n">
        <f aca="false">+IF(E1576=0,0,E1576*0.03)</f>
        <v>0</v>
      </c>
      <c r="J1576" s="93"/>
      <c r="K1576" s="93"/>
      <c r="L1576" s="93"/>
      <c r="M1576" s="93"/>
      <c r="N1576" s="93"/>
      <c r="O1576" s="93"/>
      <c r="P1576" s="93"/>
      <c r="Q1576" s="93"/>
      <c r="R1576" s="93"/>
      <c r="S1576" s="93"/>
      <c r="T1576" s="93"/>
      <c r="U1576" s="93"/>
      <c r="V1576" s="93"/>
      <c r="W1576" s="93"/>
      <c r="X1576" s="93"/>
      <c r="Y1576" s="93"/>
      <c r="Z1576" s="93"/>
    </row>
    <row r="1577" customFormat="false" ht="16.4" hidden="false" customHeight="false" outlineLevel="0" collapsed="false">
      <c r="A1577" s="123" t="n">
        <v>45444</v>
      </c>
      <c r="B1577" s="31" t="s">
        <v>153</v>
      </c>
      <c r="C1577" s="129"/>
      <c r="D1577" s="129"/>
      <c r="E1577" s="19" t="n">
        <f aca="false">F1577*0.03</f>
        <v>0</v>
      </c>
      <c r="F1577" s="33" t="n">
        <v>0</v>
      </c>
      <c r="G1577" s="131"/>
      <c r="H1577" s="35" t="n">
        <v>0</v>
      </c>
      <c r="I1577" s="34" t="n">
        <f aca="false">+IF(E1577=0,0,E1577*0.03)</f>
        <v>0</v>
      </c>
      <c r="J1577" s="93"/>
      <c r="K1577" s="93"/>
      <c r="L1577" s="93"/>
      <c r="M1577" s="93"/>
      <c r="N1577" s="93"/>
      <c r="O1577" s="93"/>
      <c r="P1577" s="93"/>
      <c r="Q1577" s="93"/>
      <c r="R1577" s="93"/>
      <c r="S1577" s="93"/>
      <c r="T1577" s="93"/>
      <c r="U1577" s="93"/>
      <c r="V1577" s="93"/>
      <c r="W1577" s="93"/>
      <c r="X1577" s="93"/>
      <c r="Y1577" s="93"/>
      <c r="Z1577" s="93"/>
    </row>
    <row r="1578" customFormat="false" ht="16.4" hidden="false" customHeight="false" outlineLevel="0" collapsed="false">
      <c r="A1578" s="123" t="n">
        <v>45444</v>
      </c>
      <c r="B1578" s="31" t="s">
        <v>153</v>
      </c>
      <c r="C1578" s="129"/>
      <c r="D1578" s="129"/>
      <c r="E1578" s="19" t="n">
        <f aca="false">F1578*0.03</f>
        <v>0</v>
      </c>
      <c r="F1578" s="33" t="n">
        <v>0</v>
      </c>
      <c r="G1578" s="131"/>
      <c r="H1578" s="35" t="n">
        <v>0</v>
      </c>
      <c r="I1578" s="34" t="n">
        <f aca="false">+IF(E1578=0,0,E1578*0.03)</f>
        <v>0</v>
      </c>
      <c r="J1578" s="93"/>
      <c r="K1578" s="93"/>
      <c r="L1578" s="93"/>
      <c r="M1578" s="93"/>
      <c r="N1578" s="93"/>
      <c r="O1578" s="93"/>
      <c r="P1578" s="93"/>
      <c r="Q1578" s="93"/>
      <c r="R1578" s="93"/>
      <c r="S1578" s="93"/>
      <c r="T1578" s="93"/>
      <c r="U1578" s="93"/>
      <c r="V1578" s="93"/>
      <c r="W1578" s="93"/>
      <c r="X1578" s="93"/>
      <c r="Y1578" s="93"/>
      <c r="Z1578" s="93"/>
    </row>
    <row r="1579" customFormat="false" ht="16.4" hidden="false" customHeight="false" outlineLevel="0" collapsed="false">
      <c r="A1579" s="123" t="n">
        <v>45444</v>
      </c>
      <c r="B1579" s="31" t="s">
        <v>153</v>
      </c>
      <c r="C1579" s="129"/>
      <c r="D1579" s="129"/>
      <c r="E1579" s="19" t="n">
        <f aca="false">F1579*0.03</f>
        <v>0</v>
      </c>
      <c r="F1579" s="33" t="n">
        <v>0</v>
      </c>
      <c r="G1579" s="131"/>
      <c r="H1579" s="35" t="n">
        <v>0</v>
      </c>
      <c r="I1579" s="34" t="n">
        <f aca="false">+IF(E1579=0,0,E1579*0.03)</f>
        <v>0</v>
      </c>
      <c r="J1579" s="93"/>
      <c r="K1579" s="93"/>
      <c r="L1579" s="93"/>
      <c r="M1579" s="93"/>
      <c r="N1579" s="93"/>
      <c r="O1579" s="93"/>
      <c r="P1579" s="93"/>
      <c r="Q1579" s="93"/>
      <c r="R1579" s="93"/>
      <c r="S1579" s="93"/>
      <c r="T1579" s="93"/>
      <c r="U1579" s="93"/>
      <c r="V1579" s="93"/>
      <c r="W1579" s="93"/>
      <c r="X1579" s="93"/>
      <c r="Y1579" s="93"/>
      <c r="Z1579" s="93"/>
    </row>
    <row r="1580" customFormat="false" ht="16.4" hidden="false" customHeight="false" outlineLevel="0" collapsed="false">
      <c r="A1580" s="123" t="n">
        <v>45444</v>
      </c>
      <c r="B1580" s="31" t="s">
        <v>153</v>
      </c>
      <c r="C1580" s="129"/>
      <c r="D1580" s="129"/>
      <c r="E1580" s="19" t="n">
        <f aca="false">F1580*0.03</f>
        <v>0</v>
      </c>
      <c r="F1580" s="33" t="n">
        <v>0</v>
      </c>
      <c r="G1580" s="131"/>
      <c r="H1580" s="35" t="n">
        <v>0</v>
      </c>
      <c r="I1580" s="34" t="n">
        <f aca="false">+IF(E1580=0,0,E1580*0.03)</f>
        <v>0</v>
      </c>
      <c r="J1580" s="93"/>
      <c r="K1580" s="93"/>
      <c r="L1580" s="93"/>
      <c r="M1580" s="93"/>
      <c r="N1580" s="93"/>
      <c r="O1580" s="93"/>
      <c r="P1580" s="93"/>
      <c r="Q1580" s="93"/>
      <c r="R1580" s="93"/>
      <c r="S1580" s="93"/>
      <c r="T1580" s="93"/>
      <c r="U1580" s="93"/>
      <c r="V1580" s="93"/>
      <c r="W1580" s="93"/>
      <c r="X1580" s="93"/>
      <c r="Y1580" s="93"/>
      <c r="Z1580" s="93"/>
    </row>
    <row r="1581" customFormat="false" ht="16.4" hidden="false" customHeight="false" outlineLevel="0" collapsed="false">
      <c r="A1581" s="123" t="n">
        <v>45444</v>
      </c>
      <c r="B1581" s="31" t="s">
        <v>153</v>
      </c>
      <c r="C1581" s="129"/>
      <c r="D1581" s="129"/>
      <c r="E1581" s="19" t="n">
        <f aca="false">F1581*0.03</f>
        <v>0</v>
      </c>
      <c r="F1581" s="33" t="n">
        <v>0</v>
      </c>
      <c r="G1581" s="131"/>
      <c r="H1581" s="35" t="n">
        <v>0</v>
      </c>
      <c r="I1581" s="34" t="n">
        <f aca="false">+IF(E1581=0,0,E1581*0.03)</f>
        <v>0</v>
      </c>
      <c r="J1581" s="93"/>
      <c r="K1581" s="93"/>
      <c r="L1581" s="93"/>
      <c r="M1581" s="93"/>
      <c r="N1581" s="93"/>
      <c r="O1581" s="93"/>
      <c r="P1581" s="93"/>
      <c r="Q1581" s="93"/>
      <c r="R1581" s="93"/>
      <c r="S1581" s="93"/>
      <c r="T1581" s="93"/>
      <c r="U1581" s="93"/>
      <c r="V1581" s="93"/>
      <c r="W1581" s="93"/>
      <c r="X1581" s="93"/>
      <c r="Y1581" s="93"/>
      <c r="Z1581" s="93"/>
    </row>
    <row r="1582" customFormat="false" ht="16.4" hidden="false" customHeight="false" outlineLevel="0" collapsed="false">
      <c r="A1582" s="123" t="n">
        <v>45444</v>
      </c>
      <c r="B1582" s="31" t="s">
        <v>153</v>
      </c>
      <c r="C1582" s="129"/>
      <c r="D1582" s="129"/>
      <c r="E1582" s="19" t="n">
        <f aca="false">F1582*0.03</f>
        <v>0</v>
      </c>
      <c r="F1582" s="33" t="n">
        <v>0</v>
      </c>
      <c r="G1582" s="131"/>
      <c r="H1582" s="35" t="n">
        <v>0</v>
      </c>
      <c r="I1582" s="34" t="n">
        <f aca="false">+IF(E1582=0,0,E1582*0.03)</f>
        <v>0</v>
      </c>
      <c r="J1582" s="93"/>
      <c r="K1582" s="93"/>
      <c r="L1582" s="93"/>
      <c r="M1582" s="93"/>
      <c r="N1582" s="93"/>
      <c r="O1582" s="93"/>
      <c r="P1582" s="93"/>
      <c r="Q1582" s="93"/>
      <c r="R1582" s="93"/>
      <c r="S1582" s="93"/>
      <c r="T1582" s="93"/>
      <c r="U1582" s="93"/>
      <c r="V1582" s="93"/>
      <c r="W1582" s="93"/>
      <c r="X1582" s="93"/>
      <c r="Y1582" s="93"/>
      <c r="Z1582" s="93"/>
    </row>
    <row r="1583" customFormat="false" ht="16.4" hidden="false" customHeight="false" outlineLevel="0" collapsed="false">
      <c r="A1583" s="123" t="n">
        <v>45444</v>
      </c>
      <c r="B1583" s="31" t="s">
        <v>153</v>
      </c>
      <c r="C1583" s="129"/>
      <c r="D1583" s="129"/>
      <c r="E1583" s="19" t="n">
        <f aca="false">F1583*0.03</f>
        <v>0</v>
      </c>
      <c r="F1583" s="33" t="n">
        <v>0</v>
      </c>
      <c r="G1583" s="131"/>
      <c r="H1583" s="35" t="n">
        <v>0</v>
      </c>
      <c r="I1583" s="34" t="n">
        <f aca="false">+IF(E1583=0,0,E1583*0.03)</f>
        <v>0</v>
      </c>
      <c r="J1583" s="93"/>
      <c r="K1583" s="93"/>
      <c r="L1583" s="93"/>
      <c r="M1583" s="93"/>
      <c r="N1583" s="93"/>
      <c r="O1583" s="93"/>
      <c r="P1583" s="93"/>
      <c r="Q1583" s="93"/>
      <c r="R1583" s="93"/>
      <c r="S1583" s="93"/>
      <c r="T1583" s="93"/>
      <c r="U1583" s="93"/>
      <c r="V1583" s="93"/>
      <c r="W1583" s="93"/>
      <c r="X1583" s="93"/>
      <c r="Y1583" s="93"/>
      <c r="Z1583" s="93"/>
    </row>
    <row r="1584" customFormat="false" ht="16.4" hidden="false" customHeight="false" outlineLevel="0" collapsed="false">
      <c r="A1584" s="123" t="n">
        <v>45444</v>
      </c>
      <c r="B1584" s="31" t="s">
        <v>153</v>
      </c>
      <c r="C1584" s="129"/>
      <c r="D1584" s="129"/>
      <c r="E1584" s="19" t="n">
        <f aca="false">F1584*0.03</f>
        <v>0</v>
      </c>
      <c r="F1584" s="33" t="n">
        <v>0</v>
      </c>
      <c r="G1584" s="131"/>
      <c r="H1584" s="35" t="n">
        <v>0</v>
      </c>
      <c r="I1584" s="34" t="n">
        <f aca="false">+IF(E1584=0,0,E1584*0.03)</f>
        <v>0</v>
      </c>
      <c r="J1584" s="93"/>
      <c r="K1584" s="93"/>
      <c r="L1584" s="93"/>
      <c r="M1584" s="93"/>
      <c r="N1584" s="93"/>
      <c r="O1584" s="93"/>
      <c r="P1584" s="93"/>
      <c r="Q1584" s="93"/>
      <c r="R1584" s="93"/>
      <c r="S1584" s="93"/>
      <c r="T1584" s="93"/>
      <c r="U1584" s="93"/>
      <c r="V1584" s="93"/>
      <c r="W1584" s="93"/>
      <c r="X1584" s="93"/>
      <c r="Y1584" s="93"/>
      <c r="Z1584" s="93"/>
    </row>
    <row r="1585" customFormat="false" ht="16.4" hidden="false" customHeight="false" outlineLevel="0" collapsed="false">
      <c r="A1585" s="123" t="n">
        <v>45444</v>
      </c>
      <c r="B1585" s="31" t="s">
        <v>153</v>
      </c>
      <c r="C1585" s="129"/>
      <c r="D1585" s="129"/>
      <c r="E1585" s="19" t="n">
        <f aca="false">F1585*0.03</f>
        <v>0</v>
      </c>
      <c r="F1585" s="33" t="n">
        <v>0</v>
      </c>
      <c r="G1585" s="131"/>
      <c r="H1585" s="35" t="n">
        <v>0</v>
      </c>
      <c r="I1585" s="34" t="n">
        <f aca="false">+IF(E1585=0,0,E1585*0.03)</f>
        <v>0</v>
      </c>
      <c r="J1585" s="93"/>
      <c r="K1585" s="93"/>
      <c r="L1585" s="93"/>
      <c r="M1585" s="93"/>
      <c r="N1585" s="93"/>
      <c r="O1585" s="93"/>
      <c r="P1585" s="93"/>
      <c r="Q1585" s="93"/>
      <c r="R1585" s="93"/>
      <c r="S1585" s="93"/>
      <c r="T1585" s="93"/>
      <c r="U1585" s="93"/>
      <c r="V1585" s="93"/>
      <c r="W1585" s="93"/>
      <c r="X1585" s="93"/>
      <c r="Y1585" s="93"/>
      <c r="Z1585" s="93"/>
    </row>
    <row r="1586" customFormat="false" ht="16.4" hidden="false" customHeight="false" outlineLevel="0" collapsed="false">
      <c r="A1586" s="123" t="n">
        <v>45444</v>
      </c>
      <c r="B1586" s="31" t="s">
        <v>153</v>
      </c>
      <c r="C1586" s="129"/>
      <c r="D1586" s="129"/>
      <c r="E1586" s="19" t="n">
        <f aca="false">F1586*0.03</f>
        <v>0</v>
      </c>
      <c r="F1586" s="33" t="n">
        <v>0</v>
      </c>
      <c r="G1586" s="131"/>
      <c r="H1586" s="35" t="n">
        <v>0</v>
      </c>
      <c r="I1586" s="34" t="n">
        <f aca="false">+IF(E1586=0,0,E1586*0.03)</f>
        <v>0</v>
      </c>
      <c r="J1586" s="93"/>
      <c r="K1586" s="93"/>
      <c r="L1586" s="93"/>
      <c r="M1586" s="93"/>
      <c r="N1586" s="93"/>
      <c r="O1586" s="93"/>
      <c r="P1586" s="93"/>
      <c r="Q1586" s="93"/>
      <c r="R1586" s="93"/>
      <c r="S1586" s="93"/>
      <c r="T1586" s="93"/>
      <c r="U1586" s="93"/>
      <c r="V1586" s="93"/>
      <c r="W1586" s="93"/>
      <c r="X1586" s="93"/>
      <c r="Y1586" s="93"/>
      <c r="Z1586" s="93"/>
    </row>
    <row r="1587" customFormat="false" ht="16.4" hidden="false" customHeight="false" outlineLevel="0" collapsed="false">
      <c r="A1587" s="123" t="n">
        <v>45444</v>
      </c>
      <c r="B1587" s="31" t="s">
        <v>153</v>
      </c>
      <c r="C1587" s="129"/>
      <c r="D1587" s="129"/>
      <c r="E1587" s="19" t="n">
        <f aca="false">F1587*0.03</f>
        <v>0</v>
      </c>
      <c r="F1587" s="33" t="n">
        <v>0</v>
      </c>
      <c r="G1587" s="131"/>
      <c r="H1587" s="35" t="n">
        <v>0</v>
      </c>
      <c r="I1587" s="34" t="n">
        <f aca="false">+IF(E1587=0,0,E1587*0.03)</f>
        <v>0</v>
      </c>
      <c r="J1587" s="93"/>
      <c r="K1587" s="93"/>
      <c r="L1587" s="93"/>
      <c r="M1587" s="93"/>
      <c r="N1587" s="93"/>
      <c r="O1587" s="93"/>
      <c r="P1587" s="93"/>
      <c r="Q1587" s="93"/>
      <c r="R1587" s="93"/>
      <c r="S1587" s="93"/>
      <c r="T1587" s="93"/>
      <c r="U1587" s="93"/>
      <c r="V1587" s="93"/>
      <c r="W1587" s="93"/>
      <c r="X1587" s="93"/>
      <c r="Y1587" s="93"/>
      <c r="Z1587" s="93"/>
    </row>
    <row r="1588" customFormat="false" ht="16.4" hidden="false" customHeight="false" outlineLevel="0" collapsed="false">
      <c r="A1588" s="123" t="n">
        <v>45444</v>
      </c>
      <c r="B1588" s="31" t="s">
        <v>153</v>
      </c>
      <c r="C1588" s="129"/>
      <c r="D1588" s="129"/>
      <c r="E1588" s="19" t="n">
        <f aca="false">F1588*0.03</f>
        <v>0</v>
      </c>
      <c r="F1588" s="33" t="n">
        <v>0</v>
      </c>
      <c r="G1588" s="131"/>
      <c r="H1588" s="35" t="n">
        <v>0</v>
      </c>
      <c r="I1588" s="34" t="n">
        <f aca="false">+IF(E1588=0,0,E1588*0.03)</f>
        <v>0</v>
      </c>
      <c r="J1588" s="93"/>
      <c r="K1588" s="93"/>
      <c r="L1588" s="93"/>
      <c r="M1588" s="93"/>
      <c r="N1588" s="93"/>
      <c r="O1588" s="93"/>
      <c r="P1588" s="93"/>
      <c r="Q1588" s="93"/>
      <c r="R1588" s="93"/>
      <c r="S1588" s="93"/>
      <c r="T1588" s="93"/>
      <c r="U1588" s="93"/>
      <c r="V1588" s="93"/>
      <c r="W1588" s="93"/>
      <c r="X1588" s="93"/>
      <c r="Y1588" s="93"/>
      <c r="Z1588" s="93"/>
    </row>
    <row r="1589" customFormat="false" ht="16.4" hidden="false" customHeight="false" outlineLevel="0" collapsed="false">
      <c r="A1589" s="123" t="n">
        <v>45444</v>
      </c>
      <c r="B1589" s="31" t="s">
        <v>153</v>
      </c>
      <c r="C1589" s="129"/>
      <c r="D1589" s="129"/>
      <c r="E1589" s="19" t="n">
        <f aca="false">F1589*0.03</f>
        <v>0</v>
      </c>
      <c r="F1589" s="33" t="n">
        <v>0</v>
      </c>
      <c r="G1589" s="131"/>
      <c r="H1589" s="35" t="n">
        <v>0</v>
      </c>
      <c r="I1589" s="34" t="n">
        <f aca="false">+IF(E1589=0,0,E1589*0.03)</f>
        <v>0</v>
      </c>
      <c r="J1589" s="93"/>
      <c r="K1589" s="93"/>
      <c r="L1589" s="93"/>
      <c r="M1589" s="93"/>
      <c r="N1589" s="93"/>
      <c r="O1589" s="93"/>
      <c r="P1589" s="93"/>
      <c r="Q1589" s="93"/>
      <c r="R1589" s="93"/>
      <c r="S1589" s="93"/>
      <c r="T1589" s="93"/>
      <c r="U1589" s="93"/>
      <c r="V1589" s="93"/>
      <c r="W1589" s="93"/>
      <c r="X1589" s="93"/>
      <c r="Y1589" s="93"/>
      <c r="Z1589" s="93"/>
    </row>
    <row r="1590" customFormat="false" ht="16.4" hidden="false" customHeight="false" outlineLevel="0" collapsed="false">
      <c r="A1590" s="123" t="n">
        <v>45444</v>
      </c>
      <c r="B1590" s="31" t="s">
        <v>153</v>
      </c>
      <c r="C1590" s="129"/>
      <c r="D1590" s="129"/>
      <c r="E1590" s="19" t="n">
        <f aca="false">F1590*0.03</f>
        <v>0</v>
      </c>
      <c r="F1590" s="33" t="n">
        <v>0</v>
      </c>
      <c r="G1590" s="131"/>
      <c r="H1590" s="35" t="n">
        <v>0</v>
      </c>
      <c r="I1590" s="34" t="n">
        <f aca="false">+IF(E1590=0,0,E1590*0.03)</f>
        <v>0</v>
      </c>
      <c r="J1590" s="93"/>
      <c r="K1590" s="93"/>
      <c r="L1590" s="93"/>
      <c r="M1590" s="93"/>
      <c r="N1590" s="93"/>
      <c r="O1590" s="93"/>
      <c r="P1590" s="93"/>
      <c r="Q1590" s="93"/>
      <c r="R1590" s="93"/>
      <c r="S1590" s="93"/>
      <c r="T1590" s="93"/>
      <c r="U1590" s="93"/>
      <c r="V1590" s="93"/>
      <c r="W1590" s="93"/>
      <c r="X1590" s="93"/>
      <c r="Y1590" s="93"/>
      <c r="Z1590" s="93"/>
    </row>
    <row r="1591" customFormat="false" ht="16.4" hidden="false" customHeight="false" outlineLevel="0" collapsed="false">
      <c r="A1591" s="123" t="n">
        <v>45444</v>
      </c>
      <c r="B1591" s="31" t="s">
        <v>153</v>
      </c>
      <c r="C1591" s="129"/>
      <c r="D1591" s="129"/>
      <c r="E1591" s="19" t="n">
        <f aca="false">F1591*0.03</f>
        <v>0</v>
      </c>
      <c r="F1591" s="33" t="n">
        <v>0</v>
      </c>
      <c r="G1591" s="131"/>
      <c r="H1591" s="35" t="n">
        <v>0</v>
      </c>
      <c r="I1591" s="34" t="n">
        <f aca="false">+IF(E1591=0,0,E1591*0.03)</f>
        <v>0</v>
      </c>
      <c r="J1591" s="93"/>
      <c r="K1591" s="93"/>
      <c r="L1591" s="93"/>
      <c r="M1591" s="93"/>
      <c r="N1591" s="93"/>
      <c r="O1591" s="93"/>
      <c r="P1591" s="93"/>
      <c r="Q1591" s="93"/>
      <c r="R1591" s="93"/>
      <c r="S1591" s="93"/>
      <c r="T1591" s="93"/>
      <c r="U1591" s="93"/>
      <c r="V1591" s="93"/>
      <c r="W1591" s="93"/>
      <c r="X1591" s="93"/>
      <c r="Y1591" s="93"/>
      <c r="Z1591" s="93"/>
    </row>
    <row r="1592" customFormat="false" ht="16.4" hidden="false" customHeight="false" outlineLevel="0" collapsed="false">
      <c r="A1592" s="123" t="n">
        <v>45444</v>
      </c>
      <c r="B1592" s="31" t="s">
        <v>153</v>
      </c>
      <c r="C1592" s="129"/>
      <c r="D1592" s="129"/>
      <c r="E1592" s="19" t="n">
        <f aca="false">F1592*0.03</f>
        <v>0</v>
      </c>
      <c r="F1592" s="33" t="n">
        <v>0</v>
      </c>
      <c r="G1592" s="131"/>
      <c r="H1592" s="35" t="n">
        <v>0</v>
      </c>
      <c r="I1592" s="34" t="n">
        <f aca="false">+IF(E1592=0,0,E1592*0.03)</f>
        <v>0</v>
      </c>
      <c r="J1592" s="93"/>
      <c r="K1592" s="93"/>
      <c r="L1592" s="93"/>
      <c r="M1592" s="93"/>
      <c r="N1592" s="93"/>
      <c r="O1592" s="93"/>
      <c r="P1592" s="93"/>
      <c r="Q1592" s="93"/>
      <c r="R1592" s="93"/>
      <c r="S1592" s="93"/>
      <c r="T1592" s="93"/>
      <c r="U1592" s="93"/>
      <c r="V1592" s="93"/>
      <c r="W1592" s="93"/>
      <c r="X1592" s="93"/>
      <c r="Y1592" s="93"/>
      <c r="Z1592" s="93"/>
    </row>
    <row r="1593" customFormat="false" ht="16.4" hidden="false" customHeight="false" outlineLevel="0" collapsed="false">
      <c r="A1593" s="123" t="n">
        <v>45444</v>
      </c>
      <c r="B1593" s="31" t="s">
        <v>153</v>
      </c>
      <c r="C1593" s="129"/>
      <c r="D1593" s="129"/>
      <c r="E1593" s="19" t="n">
        <f aca="false">F1593*0.03</f>
        <v>0</v>
      </c>
      <c r="F1593" s="33" t="n">
        <v>0</v>
      </c>
      <c r="G1593" s="131"/>
      <c r="H1593" s="35" t="n">
        <v>0</v>
      </c>
      <c r="I1593" s="34" t="n">
        <f aca="false">+IF(E1593=0,0,E1593*0.03)</f>
        <v>0</v>
      </c>
      <c r="J1593" s="93"/>
      <c r="K1593" s="93"/>
      <c r="L1593" s="93"/>
      <c r="M1593" s="93"/>
      <c r="N1593" s="93"/>
      <c r="O1593" s="93"/>
      <c r="P1593" s="93"/>
      <c r="Q1593" s="93"/>
      <c r="R1593" s="93"/>
      <c r="S1593" s="93"/>
      <c r="T1593" s="93"/>
      <c r="U1593" s="93"/>
      <c r="V1593" s="93"/>
      <c r="W1593" s="93"/>
      <c r="X1593" s="93"/>
      <c r="Y1593" s="93"/>
      <c r="Z1593" s="93"/>
    </row>
    <row r="1594" customFormat="false" ht="16.4" hidden="false" customHeight="false" outlineLevel="0" collapsed="false">
      <c r="A1594" s="123" t="n">
        <v>45444</v>
      </c>
      <c r="B1594" s="31" t="s">
        <v>153</v>
      </c>
      <c r="C1594" s="129"/>
      <c r="D1594" s="129"/>
      <c r="E1594" s="19" t="n">
        <f aca="false">F1594*0.03</f>
        <v>0</v>
      </c>
      <c r="F1594" s="33" t="n">
        <v>0</v>
      </c>
      <c r="G1594" s="131"/>
      <c r="H1594" s="35" t="n">
        <v>0</v>
      </c>
      <c r="I1594" s="34" t="n">
        <f aca="false">+IF(E1594=0,0,E1594*0.03)</f>
        <v>0</v>
      </c>
      <c r="J1594" s="93"/>
      <c r="K1594" s="93"/>
      <c r="L1594" s="93"/>
      <c r="M1594" s="93"/>
      <c r="N1594" s="93"/>
      <c r="O1594" s="93"/>
      <c r="P1594" s="93"/>
      <c r="Q1594" s="93"/>
      <c r="R1594" s="93"/>
      <c r="S1594" s="93"/>
      <c r="T1594" s="93"/>
      <c r="U1594" s="93"/>
      <c r="V1594" s="93"/>
      <c r="W1594" s="93"/>
      <c r="X1594" s="93"/>
      <c r="Y1594" s="93"/>
      <c r="Z1594" s="93"/>
    </row>
    <row r="1595" customFormat="false" ht="16.4" hidden="false" customHeight="false" outlineLevel="0" collapsed="false">
      <c r="A1595" s="123" t="n">
        <v>45444</v>
      </c>
      <c r="B1595" s="31" t="s">
        <v>153</v>
      </c>
      <c r="C1595" s="129"/>
      <c r="D1595" s="129"/>
      <c r="E1595" s="19" t="n">
        <f aca="false">F1595*0.03</f>
        <v>0</v>
      </c>
      <c r="F1595" s="33" t="n">
        <v>0</v>
      </c>
      <c r="G1595" s="131"/>
      <c r="H1595" s="35" t="n">
        <v>0</v>
      </c>
      <c r="I1595" s="34" t="n">
        <f aca="false">+IF(E1595=0,0,E1595*0.03)</f>
        <v>0</v>
      </c>
      <c r="J1595" s="93"/>
      <c r="K1595" s="93"/>
      <c r="L1595" s="93"/>
      <c r="M1595" s="93"/>
      <c r="N1595" s="93"/>
      <c r="O1595" s="93"/>
      <c r="P1595" s="93"/>
      <c r="Q1595" s="93"/>
      <c r="R1595" s="93"/>
      <c r="S1595" s="93"/>
      <c r="T1595" s="93"/>
      <c r="U1595" s="93"/>
      <c r="V1595" s="93"/>
      <c r="W1595" s="93"/>
      <c r="X1595" s="93"/>
      <c r="Y1595" s="93"/>
      <c r="Z1595" s="93"/>
    </row>
    <row r="1596" customFormat="false" ht="16.4" hidden="false" customHeight="false" outlineLevel="0" collapsed="false">
      <c r="A1596" s="123" t="n">
        <v>45444</v>
      </c>
      <c r="B1596" s="31" t="s">
        <v>153</v>
      </c>
      <c r="C1596" s="129"/>
      <c r="D1596" s="129"/>
      <c r="E1596" s="19" t="n">
        <f aca="false">F1596*0.03</f>
        <v>0</v>
      </c>
      <c r="F1596" s="33" t="n">
        <v>0</v>
      </c>
      <c r="G1596" s="131"/>
      <c r="H1596" s="35" t="n">
        <v>0</v>
      </c>
      <c r="I1596" s="34" t="n">
        <f aca="false">+IF(E1596=0,0,E1596*0.03)</f>
        <v>0</v>
      </c>
      <c r="J1596" s="93"/>
      <c r="K1596" s="93"/>
      <c r="L1596" s="93"/>
      <c r="M1596" s="93"/>
      <c r="N1596" s="93"/>
      <c r="O1596" s="93"/>
      <c r="P1596" s="93"/>
      <c r="Q1596" s="93"/>
      <c r="R1596" s="93"/>
      <c r="S1596" s="93"/>
      <c r="T1596" s="93"/>
      <c r="U1596" s="93"/>
      <c r="V1596" s="93"/>
      <c r="W1596" s="93"/>
      <c r="X1596" s="93"/>
      <c r="Y1596" s="93"/>
      <c r="Z1596" s="93"/>
    </row>
    <row r="1597" customFormat="false" ht="16.4" hidden="false" customHeight="false" outlineLevel="0" collapsed="false">
      <c r="A1597" s="123" t="n">
        <v>45444</v>
      </c>
      <c r="B1597" s="31" t="s">
        <v>153</v>
      </c>
      <c r="C1597" s="129"/>
      <c r="D1597" s="129"/>
      <c r="E1597" s="19" t="n">
        <f aca="false">F1597*0.03</f>
        <v>0</v>
      </c>
      <c r="F1597" s="33" t="n">
        <v>0</v>
      </c>
      <c r="G1597" s="131"/>
      <c r="H1597" s="35" t="n">
        <v>0</v>
      </c>
      <c r="I1597" s="34" t="n">
        <f aca="false">+IF(E1597=0,0,E1597*0.03)</f>
        <v>0</v>
      </c>
      <c r="J1597" s="93"/>
      <c r="K1597" s="93"/>
      <c r="L1597" s="93"/>
      <c r="M1597" s="93"/>
      <c r="N1597" s="93"/>
      <c r="O1597" s="93"/>
      <c r="P1597" s="93"/>
      <c r="Q1597" s="93"/>
      <c r="R1597" s="93"/>
      <c r="S1597" s="93"/>
      <c r="T1597" s="93"/>
      <c r="U1597" s="93"/>
      <c r="V1597" s="93"/>
      <c r="W1597" s="93"/>
      <c r="X1597" s="93"/>
      <c r="Y1597" s="93"/>
      <c r="Z1597" s="93"/>
    </row>
    <row r="1598" customFormat="false" ht="16.4" hidden="false" customHeight="false" outlineLevel="0" collapsed="false">
      <c r="A1598" s="123" t="n">
        <v>45444</v>
      </c>
      <c r="B1598" s="31" t="s">
        <v>153</v>
      </c>
      <c r="C1598" s="129"/>
      <c r="D1598" s="129"/>
      <c r="E1598" s="19" t="n">
        <f aca="false">F1598*0.03</f>
        <v>0</v>
      </c>
      <c r="F1598" s="33" t="n">
        <v>0</v>
      </c>
      <c r="G1598" s="131"/>
      <c r="H1598" s="35" t="n">
        <v>0</v>
      </c>
      <c r="I1598" s="34" t="n">
        <f aca="false">+IF(E1598=0,0,E1598*0.03)</f>
        <v>0</v>
      </c>
      <c r="J1598" s="93"/>
      <c r="K1598" s="93"/>
      <c r="L1598" s="93"/>
      <c r="M1598" s="93"/>
      <c r="N1598" s="93"/>
      <c r="O1598" s="93"/>
      <c r="P1598" s="93"/>
      <c r="Q1598" s="93"/>
      <c r="R1598" s="93"/>
      <c r="S1598" s="93"/>
      <c r="T1598" s="93"/>
      <c r="U1598" s="93"/>
      <c r="V1598" s="93"/>
      <c r="W1598" s="93"/>
      <c r="X1598" s="93"/>
      <c r="Y1598" s="93"/>
      <c r="Z1598" s="93"/>
    </row>
    <row r="1599" customFormat="false" ht="16.4" hidden="false" customHeight="false" outlineLevel="0" collapsed="false">
      <c r="A1599" s="123" t="n">
        <v>45444</v>
      </c>
      <c r="B1599" s="31" t="s">
        <v>153</v>
      </c>
      <c r="C1599" s="129"/>
      <c r="D1599" s="129"/>
      <c r="E1599" s="19" t="n">
        <f aca="false">F1599*0.03</f>
        <v>0</v>
      </c>
      <c r="F1599" s="33" t="n">
        <v>0</v>
      </c>
      <c r="G1599" s="131"/>
      <c r="H1599" s="35" t="n">
        <v>0</v>
      </c>
      <c r="I1599" s="34" t="n">
        <f aca="false">+IF(E1599=0,0,E1599*0.03)</f>
        <v>0</v>
      </c>
      <c r="J1599" s="93"/>
      <c r="K1599" s="93"/>
      <c r="L1599" s="93"/>
      <c r="M1599" s="93"/>
      <c r="N1599" s="93"/>
      <c r="O1599" s="93"/>
      <c r="P1599" s="93"/>
      <c r="Q1599" s="93"/>
      <c r="R1599" s="93"/>
      <c r="S1599" s="93"/>
      <c r="T1599" s="93"/>
      <c r="U1599" s="93"/>
      <c r="V1599" s="93"/>
      <c r="W1599" s="93"/>
      <c r="X1599" s="93"/>
      <c r="Y1599" s="93"/>
      <c r="Z1599" s="93"/>
    </row>
    <row r="1600" customFormat="false" ht="16.4" hidden="false" customHeight="false" outlineLevel="0" collapsed="false">
      <c r="A1600" s="123" t="n">
        <v>45444</v>
      </c>
      <c r="B1600" s="31" t="s">
        <v>153</v>
      </c>
      <c r="C1600" s="129"/>
      <c r="D1600" s="129"/>
      <c r="E1600" s="19" t="n">
        <f aca="false">F1600*0.03</f>
        <v>0</v>
      </c>
      <c r="F1600" s="33" t="n">
        <v>0</v>
      </c>
      <c r="G1600" s="131"/>
      <c r="H1600" s="35" t="n">
        <v>0</v>
      </c>
      <c r="I1600" s="34" t="n">
        <f aca="false">+IF(E1600=0,0,E1600*0.03)</f>
        <v>0</v>
      </c>
      <c r="J1600" s="93"/>
      <c r="K1600" s="93"/>
      <c r="L1600" s="93"/>
      <c r="M1600" s="93"/>
      <c r="N1600" s="93"/>
      <c r="O1600" s="93"/>
      <c r="P1600" s="93"/>
      <c r="Q1600" s="93"/>
      <c r="R1600" s="93"/>
      <c r="S1600" s="93"/>
      <c r="T1600" s="93"/>
      <c r="U1600" s="93"/>
      <c r="V1600" s="93"/>
      <c r="W1600" s="93"/>
      <c r="X1600" s="93"/>
      <c r="Y1600" s="93"/>
      <c r="Z1600" s="93"/>
    </row>
    <row r="1601" customFormat="false" ht="16.4" hidden="false" customHeight="false" outlineLevel="0" collapsed="false">
      <c r="A1601" s="123" t="n">
        <v>45444</v>
      </c>
      <c r="B1601" s="31" t="s">
        <v>153</v>
      </c>
      <c r="C1601" s="129"/>
      <c r="D1601" s="129"/>
      <c r="E1601" s="19" t="n">
        <f aca="false">F1601*0.03</f>
        <v>0</v>
      </c>
      <c r="F1601" s="33" t="n">
        <v>0</v>
      </c>
      <c r="G1601" s="131"/>
      <c r="H1601" s="35" t="n">
        <v>0</v>
      </c>
      <c r="I1601" s="34" t="n">
        <f aca="false">+IF(E1601=0,0,E1601*0.03)</f>
        <v>0</v>
      </c>
      <c r="J1601" s="93"/>
      <c r="K1601" s="93"/>
      <c r="L1601" s="93"/>
      <c r="M1601" s="93"/>
      <c r="N1601" s="93"/>
      <c r="O1601" s="93"/>
      <c r="P1601" s="93"/>
      <c r="Q1601" s="93"/>
      <c r="R1601" s="93"/>
      <c r="S1601" s="93"/>
      <c r="T1601" s="93"/>
      <c r="U1601" s="93"/>
      <c r="V1601" s="93"/>
      <c r="W1601" s="93"/>
      <c r="X1601" s="93"/>
      <c r="Y1601" s="93"/>
      <c r="Z1601" s="93"/>
    </row>
    <row r="1602" customFormat="false" ht="16.4" hidden="false" customHeight="false" outlineLevel="0" collapsed="false">
      <c r="A1602" s="123" t="n">
        <v>45444</v>
      </c>
      <c r="B1602" s="31" t="s">
        <v>153</v>
      </c>
      <c r="C1602" s="129"/>
      <c r="D1602" s="129"/>
      <c r="E1602" s="19" t="n">
        <f aca="false">F1602*0.03</f>
        <v>0</v>
      </c>
      <c r="F1602" s="33" t="n">
        <v>0</v>
      </c>
      <c r="G1602" s="131"/>
      <c r="H1602" s="35" t="n">
        <v>0</v>
      </c>
      <c r="I1602" s="34" t="n">
        <f aca="false">+IF(E1602=0,0,E1602*0.03)</f>
        <v>0</v>
      </c>
      <c r="J1602" s="93"/>
      <c r="K1602" s="93"/>
      <c r="L1602" s="93"/>
      <c r="M1602" s="93"/>
      <c r="N1602" s="93"/>
      <c r="O1602" s="93"/>
      <c r="P1602" s="93"/>
      <c r="Q1602" s="93"/>
      <c r="R1602" s="93"/>
      <c r="S1602" s="93"/>
      <c r="T1602" s="93"/>
      <c r="U1602" s="93"/>
      <c r="V1602" s="93"/>
      <c r="W1602" s="93"/>
      <c r="X1602" s="93"/>
      <c r="Y1602" s="93"/>
      <c r="Z1602" s="93"/>
    </row>
    <row r="1603" customFormat="false" ht="16.4" hidden="false" customHeight="false" outlineLevel="0" collapsed="false">
      <c r="A1603" s="123" t="n">
        <v>45444</v>
      </c>
      <c r="B1603" s="31" t="s">
        <v>153</v>
      </c>
      <c r="C1603" s="129"/>
      <c r="D1603" s="129"/>
      <c r="E1603" s="19" t="n">
        <f aca="false">F1603*0.03</f>
        <v>0</v>
      </c>
      <c r="F1603" s="33" t="n">
        <v>0</v>
      </c>
      <c r="G1603" s="131"/>
      <c r="H1603" s="35" t="n">
        <v>0</v>
      </c>
      <c r="I1603" s="34" t="n">
        <f aca="false">+IF(E1603=0,0,E1603*0.03)</f>
        <v>0</v>
      </c>
      <c r="J1603" s="93"/>
      <c r="K1603" s="93"/>
      <c r="L1603" s="93"/>
      <c r="M1603" s="93"/>
      <c r="N1603" s="93"/>
      <c r="O1603" s="93"/>
      <c r="P1603" s="93"/>
      <c r="Q1603" s="93"/>
      <c r="R1603" s="93"/>
      <c r="S1603" s="93"/>
      <c r="T1603" s="93"/>
      <c r="U1603" s="93"/>
      <c r="V1603" s="93"/>
      <c r="W1603" s="93"/>
      <c r="X1603" s="93"/>
      <c r="Y1603" s="93"/>
      <c r="Z1603" s="93"/>
    </row>
    <row r="1604" customFormat="false" ht="16.4" hidden="false" customHeight="false" outlineLevel="0" collapsed="false">
      <c r="A1604" s="123" t="n">
        <v>45444</v>
      </c>
      <c r="B1604" s="31" t="s">
        <v>153</v>
      </c>
      <c r="C1604" s="129"/>
      <c r="D1604" s="129"/>
      <c r="E1604" s="19" t="n">
        <f aca="false">F1604*0.03</f>
        <v>0</v>
      </c>
      <c r="F1604" s="33" t="n">
        <v>0</v>
      </c>
      <c r="G1604" s="131"/>
      <c r="H1604" s="35" t="n">
        <v>0</v>
      </c>
      <c r="I1604" s="34" t="n">
        <f aca="false">+IF(E1604=0,0,E1604*0.03)</f>
        <v>0</v>
      </c>
      <c r="J1604" s="93"/>
      <c r="K1604" s="93"/>
      <c r="L1604" s="93"/>
      <c r="M1604" s="93"/>
      <c r="N1604" s="93"/>
      <c r="O1604" s="93"/>
      <c r="P1604" s="93"/>
      <c r="Q1604" s="93"/>
      <c r="R1604" s="93"/>
      <c r="S1604" s="93"/>
      <c r="T1604" s="93"/>
      <c r="U1604" s="93"/>
      <c r="V1604" s="93"/>
      <c r="W1604" s="93"/>
      <c r="X1604" s="93"/>
      <c r="Y1604" s="93"/>
      <c r="Z1604" s="93"/>
    </row>
    <row r="1605" customFormat="false" ht="16.4" hidden="false" customHeight="false" outlineLevel="0" collapsed="false">
      <c r="A1605" s="123" t="n">
        <v>45444</v>
      </c>
      <c r="B1605" s="31" t="s">
        <v>153</v>
      </c>
      <c r="C1605" s="129"/>
      <c r="D1605" s="129"/>
      <c r="E1605" s="19" t="n">
        <f aca="false">F1605*0.03</f>
        <v>0</v>
      </c>
      <c r="F1605" s="33" t="n">
        <v>0</v>
      </c>
      <c r="G1605" s="131"/>
      <c r="H1605" s="35" t="n">
        <v>0</v>
      </c>
      <c r="I1605" s="34" t="n">
        <f aca="false">+IF(E1605=0,0,E1605*0.03)</f>
        <v>0</v>
      </c>
      <c r="J1605" s="93"/>
      <c r="K1605" s="93"/>
      <c r="L1605" s="93"/>
      <c r="M1605" s="93"/>
      <c r="N1605" s="93"/>
      <c r="O1605" s="93"/>
      <c r="P1605" s="93"/>
      <c r="Q1605" s="93"/>
      <c r="R1605" s="93"/>
      <c r="S1605" s="93"/>
      <c r="T1605" s="93"/>
      <c r="U1605" s="93"/>
      <c r="V1605" s="93"/>
      <c r="W1605" s="93"/>
      <c r="X1605" s="93"/>
      <c r="Y1605" s="93"/>
      <c r="Z1605" s="93"/>
    </row>
    <row r="1606" customFormat="false" ht="16.4" hidden="false" customHeight="false" outlineLevel="0" collapsed="false">
      <c r="A1606" s="123" t="n">
        <v>45444</v>
      </c>
      <c r="B1606" s="31" t="s">
        <v>153</v>
      </c>
      <c r="C1606" s="129"/>
      <c r="D1606" s="129"/>
      <c r="E1606" s="19" t="n">
        <f aca="false">F1606*0.03</f>
        <v>0</v>
      </c>
      <c r="F1606" s="33" t="n">
        <v>0</v>
      </c>
      <c r="G1606" s="131"/>
      <c r="H1606" s="35" t="n">
        <v>0</v>
      </c>
      <c r="I1606" s="34" t="n">
        <f aca="false">+IF(E1606=0,0,E1606*0.03)</f>
        <v>0</v>
      </c>
      <c r="J1606" s="93"/>
      <c r="K1606" s="93"/>
      <c r="L1606" s="93"/>
      <c r="M1606" s="93"/>
      <c r="N1606" s="93"/>
      <c r="O1606" s="93"/>
      <c r="P1606" s="93"/>
      <c r="Q1606" s="93"/>
      <c r="R1606" s="93"/>
      <c r="S1606" s="93"/>
      <c r="T1606" s="93"/>
      <c r="U1606" s="93"/>
      <c r="V1606" s="93"/>
      <c r="W1606" s="93"/>
      <c r="X1606" s="93"/>
      <c r="Y1606" s="93"/>
      <c r="Z1606" s="93"/>
    </row>
    <row r="1607" customFormat="false" ht="16.4" hidden="false" customHeight="false" outlineLevel="0" collapsed="false">
      <c r="A1607" s="123" t="n">
        <v>45444</v>
      </c>
      <c r="B1607" s="31" t="s">
        <v>153</v>
      </c>
      <c r="C1607" s="129"/>
      <c r="D1607" s="129"/>
      <c r="E1607" s="19" t="n">
        <f aca="false">F1607*0.03</f>
        <v>0</v>
      </c>
      <c r="F1607" s="33" t="n">
        <v>0</v>
      </c>
      <c r="G1607" s="131"/>
      <c r="H1607" s="35" t="n">
        <v>0</v>
      </c>
      <c r="I1607" s="34" t="n">
        <f aca="false">+IF(E1607=0,0,E1607*0.03)</f>
        <v>0</v>
      </c>
      <c r="J1607" s="93"/>
      <c r="K1607" s="93"/>
      <c r="L1607" s="93"/>
      <c r="M1607" s="93"/>
      <c r="N1607" s="93"/>
      <c r="O1607" s="93"/>
      <c r="P1607" s="93"/>
      <c r="Q1607" s="93"/>
      <c r="R1607" s="93"/>
      <c r="S1607" s="93"/>
      <c r="T1607" s="93"/>
      <c r="U1607" s="93"/>
      <c r="V1607" s="93"/>
      <c r="W1607" s="93"/>
      <c r="X1607" s="93"/>
      <c r="Y1607" s="93"/>
      <c r="Z1607" s="93"/>
    </row>
    <row r="1608" customFormat="false" ht="16.4" hidden="false" customHeight="false" outlineLevel="0" collapsed="false">
      <c r="A1608" s="123" t="n">
        <v>45444</v>
      </c>
      <c r="B1608" s="31" t="s">
        <v>153</v>
      </c>
      <c r="C1608" s="129"/>
      <c r="D1608" s="129"/>
      <c r="E1608" s="19" t="n">
        <f aca="false">F1608*0.03</f>
        <v>0</v>
      </c>
      <c r="F1608" s="33" t="n">
        <v>0</v>
      </c>
      <c r="G1608" s="131"/>
      <c r="H1608" s="35" t="n">
        <v>0</v>
      </c>
      <c r="I1608" s="34" t="n">
        <f aca="false">+IF(E1608=0,0,E1608*0.03)</f>
        <v>0</v>
      </c>
      <c r="J1608" s="93"/>
      <c r="K1608" s="93"/>
      <c r="L1608" s="93"/>
      <c r="M1608" s="93"/>
      <c r="N1608" s="93"/>
      <c r="O1608" s="93"/>
      <c r="P1608" s="93"/>
      <c r="Q1608" s="93"/>
      <c r="R1608" s="93"/>
      <c r="S1608" s="93"/>
      <c r="T1608" s="93"/>
      <c r="U1608" s="93"/>
      <c r="V1608" s="93"/>
      <c r="W1608" s="93"/>
      <c r="X1608" s="93"/>
      <c r="Y1608" s="93"/>
      <c r="Z1608" s="93"/>
    </row>
    <row r="1609" customFormat="false" ht="16.4" hidden="false" customHeight="false" outlineLevel="0" collapsed="false">
      <c r="A1609" s="123" t="n">
        <v>45444</v>
      </c>
      <c r="B1609" s="31" t="s">
        <v>153</v>
      </c>
      <c r="C1609" s="129"/>
      <c r="D1609" s="129"/>
      <c r="E1609" s="19" t="n">
        <f aca="false">F1609*0.03</f>
        <v>0</v>
      </c>
      <c r="F1609" s="33" t="n">
        <v>0</v>
      </c>
      <c r="G1609" s="131"/>
      <c r="H1609" s="35" t="n">
        <v>0</v>
      </c>
      <c r="I1609" s="34" t="n">
        <f aca="false">+IF(E1609=0,0,E1609*0.03)</f>
        <v>0</v>
      </c>
      <c r="J1609" s="93"/>
      <c r="K1609" s="93"/>
      <c r="L1609" s="93"/>
      <c r="M1609" s="93"/>
      <c r="N1609" s="93"/>
      <c r="O1609" s="93"/>
      <c r="P1609" s="93"/>
      <c r="Q1609" s="93"/>
      <c r="R1609" s="93"/>
      <c r="S1609" s="93"/>
      <c r="T1609" s="93"/>
      <c r="U1609" s="93"/>
      <c r="V1609" s="93"/>
      <c r="W1609" s="93"/>
      <c r="X1609" s="93"/>
      <c r="Y1609" s="93"/>
      <c r="Z1609" s="93"/>
    </row>
    <row r="1610" customFormat="false" ht="16.4" hidden="false" customHeight="false" outlineLevel="0" collapsed="false">
      <c r="A1610" s="123" t="n">
        <v>45444</v>
      </c>
      <c r="B1610" s="31" t="s">
        <v>153</v>
      </c>
      <c r="C1610" s="129"/>
      <c r="D1610" s="129"/>
      <c r="E1610" s="19" t="n">
        <f aca="false">F1610*0.03</f>
        <v>0</v>
      </c>
      <c r="F1610" s="33" t="n">
        <v>0</v>
      </c>
      <c r="G1610" s="131"/>
      <c r="H1610" s="35" t="n">
        <v>0</v>
      </c>
      <c r="I1610" s="34" t="n">
        <f aca="false">+IF(E1610=0,0,E1610*0.03)</f>
        <v>0</v>
      </c>
      <c r="J1610" s="93"/>
      <c r="K1610" s="93"/>
      <c r="L1610" s="93"/>
      <c r="M1610" s="93"/>
      <c r="N1610" s="93"/>
      <c r="O1610" s="93"/>
      <c r="P1610" s="93"/>
      <c r="Q1610" s="93"/>
      <c r="R1610" s="93"/>
      <c r="S1610" s="93"/>
      <c r="T1610" s="93"/>
      <c r="U1610" s="93"/>
      <c r="V1610" s="93"/>
      <c r="W1610" s="93"/>
      <c r="X1610" s="93"/>
      <c r="Y1610" s="93"/>
      <c r="Z1610" s="93"/>
    </row>
    <row r="1611" customFormat="false" ht="16.4" hidden="false" customHeight="false" outlineLevel="0" collapsed="false">
      <c r="A1611" s="123" t="n">
        <v>45444</v>
      </c>
      <c r="B1611" s="31" t="s">
        <v>153</v>
      </c>
      <c r="C1611" s="129"/>
      <c r="D1611" s="129"/>
      <c r="E1611" s="19" t="n">
        <f aca="false">F1611*0.03</f>
        <v>0</v>
      </c>
      <c r="F1611" s="33" t="n">
        <v>0</v>
      </c>
      <c r="G1611" s="131"/>
      <c r="H1611" s="35" t="n">
        <v>0</v>
      </c>
      <c r="I1611" s="34" t="n">
        <f aca="false">+IF(E1611=0,0,E1611*0.03)</f>
        <v>0</v>
      </c>
      <c r="J1611" s="93"/>
      <c r="K1611" s="93"/>
      <c r="L1611" s="93"/>
      <c r="M1611" s="93"/>
      <c r="N1611" s="93"/>
      <c r="O1611" s="93"/>
      <c r="P1611" s="93"/>
      <c r="Q1611" s="93"/>
      <c r="R1611" s="93"/>
      <c r="S1611" s="93"/>
      <c r="T1611" s="93"/>
      <c r="U1611" s="93"/>
      <c r="V1611" s="93"/>
      <c r="W1611" s="93"/>
      <c r="X1611" s="93"/>
      <c r="Y1611" s="93"/>
      <c r="Z1611" s="93"/>
    </row>
    <row r="1612" customFormat="false" ht="16.4" hidden="false" customHeight="false" outlineLevel="0" collapsed="false">
      <c r="A1612" s="123" t="n">
        <v>45444</v>
      </c>
      <c r="B1612" s="31" t="s">
        <v>153</v>
      </c>
      <c r="C1612" s="129"/>
      <c r="D1612" s="129"/>
      <c r="E1612" s="19" t="n">
        <f aca="false">F1612*0.03</f>
        <v>0</v>
      </c>
      <c r="F1612" s="33" t="n">
        <v>0</v>
      </c>
      <c r="G1612" s="131"/>
      <c r="H1612" s="35" t="n">
        <v>0</v>
      </c>
      <c r="I1612" s="34" t="n">
        <f aca="false">+IF(E1612=0,0,E1612*0.03)</f>
        <v>0</v>
      </c>
      <c r="J1612" s="93"/>
      <c r="K1612" s="93"/>
      <c r="L1612" s="93"/>
      <c r="M1612" s="93"/>
      <c r="N1612" s="93"/>
      <c r="O1612" s="93"/>
      <c r="P1612" s="93"/>
      <c r="Q1612" s="93"/>
      <c r="R1612" s="93"/>
      <c r="S1612" s="93"/>
      <c r="T1612" s="93"/>
      <c r="U1612" s="93"/>
      <c r="V1612" s="93"/>
      <c r="W1612" s="93"/>
      <c r="X1612" s="93"/>
      <c r="Y1612" s="93"/>
      <c r="Z1612" s="93"/>
    </row>
    <row r="1613" customFormat="false" ht="16.4" hidden="false" customHeight="false" outlineLevel="0" collapsed="false">
      <c r="A1613" s="123" t="n">
        <v>45444</v>
      </c>
      <c r="B1613" s="31" t="s">
        <v>153</v>
      </c>
      <c r="C1613" s="129"/>
      <c r="D1613" s="129"/>
      <c r="E1613" s="19" t="n">
        <f aca="false">F1613*0.03</f>
        <v>0</v>
      </c>
      <c r="F1613" s="33" t="n">
        <v>0</v>
      </c>
      <c r="G1613" s="131"/>
      <c r="H1613" s="35" t="n">
        <v>0</v>
      </c>
      <c r="I1613" s="34" t="n">
        <f aca="false">+IF(E1613=0,0,E1613*0.03)</f>
        <v>0</v>
      </c>
      <c r="J1613" s="93"/>
      <c r="K1613" s="93"/>
      <c r="L1613" s="93"/>
      <c r="M1613" s="93"/>
      <c r="N1613" s="93"/>
      <c r="O1613" s="93"/>
      <c r="P1613" s="93"/>
      <c r="Q1613" s="93"/>
      <c r="R1613" s="93"/>
      <c r="S1613" s="93"/>
      <c r="T1613" s="93"/>
      <c r="U1613" s="93"/>
      <c r="V1613" s="93"/>
      <c r="W1613" s="93"/>
      <c r="X1613" s="93"/>
      <c r="Y1613" s="93"/>
      <c r="Z1613" s="93"/>
    </row>
    <row r="1614" customFormat="false" ht="16.4" hidden="false" customHeight="false" outlineLevel="0" collapsed="false">
      <c r="A1614" s="123" t="n">
        <v>45444</v>
      </c>
      <c r="B1614" s="31" t="s">
        <v>153</v>
      </c>
      <c r="C1614" s="129"/>
      <c r="D1614" s="129"/>
      <c r="E1614" s="19" t="n">
        <f aca="false">F1614*0.03</f>
        <v>0</v>
      </c>
      <c r="F1614" s="33" t="n">
        <v>0</v>
      </c>
      <c r="G1614" s="131"/>
      <c r="H1614" s="35" t="n">
        <v>0</v>
      </c>
      <c r="I1614" s="34" t="n">
        <f aca="false">+IF(E1614=0,0,E1614*0.03)</f>
        <v>0</v>
      </c>
      <c r="J1614" s="93"/>
      <c r="K1614" s="93"/>
      <c r="L1614" s="93"/>
      <c r="M1614" s="93"/>
      <c r="N1614" s="93"/>
      <c r="O1614" s="93"/>
      <c r="P1614" s="93"/>
      <c r="Q1614" s="93"/>
      <c r="R1614" s="93"/>
      <c r="S1614" s="93"/>
      <c r="T1614" s="93"/>
      <c r="U1614" s="93"/>
      <c r="V1614" s="93"/>
      <c r="W1614" s="93"/>
      <c r="X1614" s="93"/>
      <c r="Y1614" s="93"/>
      <c r="Z1614" s="93"/>
    </row>
    <row r="1615" customFormat="false" ht="16.4" hidden="false" customHeight="false" outlineLevel="0" collapsed="false">
      <c r="A1615" s="123" t="n">
        <v>45444</v>
      </c>
      <c r="B1615" s="31" t="s">
        <v>153</v>
      </c>
      <c r="C1615" s="129"/>
      <c r="D1615" s="129"/>
      <c r="E1615" s="19" t="n">
        <f aca="false">F1615*0.03</f>
        <v>0</v>
      </c>
      <c r="F1615" s="33" t="n">
        <v>0</v>
      </c>
      <c r="G1615" s="131"/>
      <c r="H1615" s="35" t="n">
        <v>0</v>
      </c>
      <c r="I1615" s="34" t="n">
        <f aca="false">+IF(E1615=0,0,E1615*0.03)</f>
        <v>0</v>
      </c>
      <c r="J1615" s="93"/>
      <c r="K1615" s="93"/>
      <c r="L1615" s="93"/>
      <c r="M1615" s="93"/>
      <c r="N1615" s="93"/>
      <c r="O1615" s="93"/>
      <c r="P1615" s="93"/>
      <c r="Q1615" s="93"/>
      <c r="R1615" s="93"/>
      <c r="S1615" s="93"/>
      <c r="T1615" s="93"/>
      <c r="U1615" s="93"/>
      <c r="V1615" s="93"/>
      <c r="W1615" s="93"/>
      <c r="X1615" s="93"/>
      <c r="Y1615" s="93"/>
      <c r="Z1615" s="93"/>
    </row>
    <row r="1616" customFormat="false" ht="16.4" hidden="false" customHeight="false" outlineLevel="0" collapsed="false">
      <c r="A1616" s="123" t="n">
        <v>45444</v>
      </c>
      <c r="B1616" s="31" t="s">
        <v>153</v>
      </c>
      <c r="C1616" s="129"/>
      <c r="D1616" s="129"/>
      <c r="E1616" s="19" t="n">
        <f aca="false">F1616*0.03</f>
        <v>0</v>
      </c>
      <c r="F1616" s="33" t="n">
        <v>0</v>
      </c>
      <c r="G1616" s="131"/>
      <c r="H1616" s="35" t="n">
        <v>0</v>
      </c>
      <c r="I1616" s="34" t="n">
        <f aca="false">+IF(E1616=0,0,E1616*0.03)</f>
        <v>0</v>
      </c>
      <c r="J1616" s="93"/>
      <c r="K1616" s="93"/>
      <c r="L1616" s="93"/>
      <c r="M1616" s="93"/>
      <c r="N1616" s="93"/>
      <c r="O1616" s="93"/>
      <c r="P1616" s="93"/>
      <c r="Q1616" s="93"/>
      <c r="R1616" s="93"/>
      <c r="S1616" s="93"/>
      <c r="T1616" s="93"/>
      <c r="U1616" s="93"/>
      <c r="V1616" s="93"/>
      <c r="W1616" s="93"/>
      <c r="X1616" s="93"/>
      <c r="Y1616" s="93"/>
      <c r="Z1616" s="93"/>
    </row>
    <row r="1617" customFormat="false" ht="16.4" hidden="false" customHeight="false" outlineLevel="0" collapsed="false">
      <c r="A1617" s="123" t="n">
        <v>45444</v>
      </c>
      <c r="B1617" s="31" t="s">
        <v>153</v>
      </c>
      <c r="C1617" s="129"/>
      <c r="D1617" s="129"/>
      <c r="E1617" s="19" t="n">
        <f aca="false">F1617*0.03</f>
        <v>0</v>
      </c>
      <c r="F1617" s="33" t="n">
        <v>0</v>
      </c>
      <c r="G1617" s="131"/>
      <c r="H1617" s="35" t="n">
        <v>0</v>
      </c>
      <c r="I1617" s="34" t="n">
        <f aca="false">+IF(E1617=0,0,E1617*0.03)</f>
        <v>0</v>
      </c>
      <c r="J1617" s="93"/>
      <c r="K1617" s="93"/>
      <c r="L1617" s="93"/>
      <c r="M1617" s="93"/>
      <c r="N1617" s="93"/>
      <c r="O1617" s="93"/>
      <c r="P1617" s="93"/>
      <c r="Q1617" s="93"/>
      <c r="R1617" s="93"/>
      <c r="S1617" s="93"/>
      <c r="T1617" s="93"/>
      <c r="U1617" s="93"/>
      <c r="V1617" s="93"/>
      <c r="W1617" s="93"/>
      <c r="X1617" s="93"/>
      <c r="Y1617" s="93"/>
      <c r="Z1617" s="93"/>
    </row>
    <row r="1618" customFormat="false" ht="16.4" hidden="false" customHeight="false" outlineLevel="0" collapsed="false">
      <c r="A1618" s="123" t="n">
        <v>45444</v>
      </c>
      <c r="B1618" s="31" t="s">
        <v>153</v>
      </c>
      <c r="C1618" s="129"/>
      <c r="D1618" s="129"/>
      <c r="E1618" s="19" t="n">
        <f aca="false">F1618*0.03</f>
        <v>0</v>
      </c>
      <c r="F1618" s="33" t="n">
        <v>0</v>
      </c>
      <c r="G1618" s="131"/>
      <c r="H1618" s="35" t="n">
        <v>0</v>
      </c>
      <c r="I1618" s="34" t="n">
        <f aca="false">+IF(E1618=0,0,E1618*0.03)</f>
        <v>0</v>
      </c>
      <c r="J1618" s="93"/>
      <c r="K1618" s="93"/>
      <c r="L1618" s="93"/>
      <c r="M1618" s="93"/>
      <c r="N1618" s="93"/>
      <c r="O1618" s="93"/>
      <c r="P1618" s="93"/>
      <c r="Q1618" s="93"/>
      <c r="R1618" s="93"/>
      <c r="S1618" s="93"/>
      <c r="T1618" s="93"/>
      <c r="U1618" s="93"/>
      <c r="V1618" s="93"/>
      <c r="W1618" s="93"/>
      <c r="X1618" s="93"/>
      <c r="Y1618" s="93"/>
      <c r="Z1618" s="93"/>
    </row>
    <row r="1619" customFormat="false" ht="16.4" hidden="false" customHeight="false" outlineLevel="0" collapsed="false">
      <c r="A1619" s="123" t="n">
        <v>45444</v>
      </c>
      <c r="B1619" s="31" t="s">
        <v>153</v>
      </c>
      <c r="C1619" s="129"/>
      <c r="D1619" s="129"/>
      <c r="E1619" s="19" t="n">
        <f aca="false">F1619*0.03</f>
        <v>0</v>
      </c>
      <c r="F1619" s="33" t="n">
        <v>0</v>
      </c>
      <c r="G1619" s="131"/>
      <c r="H1619" s="35" t="n">
        <v>0</v>
      </c>
      <c r="I1619" s="34" t="n">
        <f aca="false">+IF(E1619=0,0,E1619*0.03)</f>
        <v>0</v>
      </c>
      <c r="J1619" s="93"/>
      <c r="K1619" s="93"/>
      <c r="L1619" s="93"/>
      <c r="M1619" s="93"/>
      <c r="N1619" s="93"/>
      <c r="O1619" s="93"/>
      <c r="P1619" s="93"/>
      <c r="Q1619" s="93"/>
      <c r="R1619" s="93"/>
      <c r="S1619" s="93"/>
      <c r="T1619" s="93"/>
      <c r="U1619" s="93"/>
      <c r="V1619" s="93"/>
      <c r="W1619" s="93"/>
      <c r="X1619" s="93"/>
      <c r="Y1619" s="93"/>
      <c r="Z1619" s="93"/>
    </row>
    <row r="1620" customFormat="false" ht="16.4" hidden="false" customHeight="false" outlineLevel="0" collapsed="false">
      <c r="A1620" s="123" t="n">
        <v>45444</v>
      </c>
      <c r="B1620" s="31" t="s">
        <v>153</v>
      </c>
      <c r="C1620" s="129"/>
      <c r="D1620" s="129"/>
      <c r="E1620" s="19" t="n">
        <f aca="false">F1620*0.03</f>
        <v>0</v>
      </c>
      <c r="F1620" s="33" t="n">
        <v>0</v>
      </c>
      <c r="G1620" s="131"/>
      <c r="H1620" s="35" t="n">
        <v>0</v>
      </c>
      <c r="I1620" s="34" t="n">
        <f aca="false">+IF(E1620=0,0,E1620*0.03)</f>
        <v>0</v>
      </c>
      <c r="J1620" s="93"/>
      <c r="K1620" s="93"/>
      <c r="L1620" s="93"/>
      <c r="M1620" s="93"/>
      <c r="N1620" s="93"/>
      <c r="O1620" s="93"/>
      <c r="P1620" s="93"/>
      <c r="Q1620" s="93"/>
      <c r="R1620" s="93"/>
      <c r="S1620" s="93"/>
      <c r="T1620" s="93"/>
      <c r="U1620" s="93"/>
      <c r="V1620" s="93"/>
      <c r="W1620" s="93"/>
      <c r="X1620" s="93"/>
      <c r="Y1620" s="93"/>
      <c r="Z1620" s="93"/>
    </row>
    <row r="1621" customFormat="false" ht="16.4" hidden="false" customHeight="false" outlineLevel="0" collapsed="false">
      <c r="A1621" s="123" t="n">
        <v>45444</v>
      </c>
      <c r="B1621" s="31" t="s">
        <v>153</v>
      </c>
      <c r="C1621" s="129"/>
      <c r="D1621" s="129"/>
      <c r="E1621" s="19" t="n">
        <f aca="false">F1621*0.03</f>
        <v>0</v>
      </c>
      <c r="F1621" s="33" t="n">
        <v>0</v>
      </c>
      <c r="G1621" s="131"/>
      <c r="H1621" s="35" t="n">
        <v>0</v>
      </c>
      <c r="I1621" s="34" t="n">
        <f aca="false">+IF(E1621=0,0,E1621*0.03)</f>
        <v>0</v>
      </c>
      <c r="J1621" s="93"/>
      <c r="K1621" s="93"/>
      <c r="L1621" s="93"/>
      <c r="M1621" s="93"/>
      <c r="N1621" s="93"/>
      <c r="O1621" s="93"/>
      <c r="P1621" s="93"/>
      <c r="Q1621" s="93"/>
      <c r="R1621" s="93"/>
      <c r="S1621" s="93"/>
      <c r="T1621" s="93"/>
      <c r="U1621" s="93"/>
      <c r="V1621" s="93"/>
      <c r="W1621" s="93"/>
      <c r="X1621" s="93"/>
      <c r="Y1621" s="93"/>
      <c r="Z1621" s="93"/>
    </row>
    <row r="1622" customFormat="false" ht="16.4" hidden="false" customHeight="false" outlineLevel="0" collapsed="false">
      <c r="A1622" s="123" t="n">
        <v>45444</v>
      </c>
      <c r="B1622" s="31" t="s">
        <v>153</v>
      </c>
      <c r="C1622" s="129"/>
      <c r="D1622" s="129"/>
      <c r="E1622" s="19" t="n">
        <f aca="false">F1622*0.03</f>
        <v>0</v>
      </c>
      <c r="F1622" s="33" t="n">
        <v>0</v>
      </c>
      <c r="G1622" s="131"/>
      <c r="H1622" s="35" t="n">
        <v>0</v>
      </c>
      <c r="I1622" s="34" t="n">
        <f aca="false">+IF(E1622=0,0,E1622*0.03)</f>
        <v>0</v>
      </c>
      <c r="J1622" s="93"/>
      <c r="K1622" s="93"/>
      <c r="L1622" s="93"/>
      <c r="M1622" s="93"/>
      <c r="N1622" s="93"/>
      <c r="O1622" s="93"/>
      <c r="P1622" s="93"/>
      <c r="Q1622" s="93"/>
      <c r="R1622" s="93"/>
      <c r="S1622" s="93"/>
      <c r="T1622" s="93"/>
      <c r="U1622" s="93"/>
      <c r="V1622" s="93"/>
      <c r="W1622" s="93"/>
      <c r="X1622" s="93"/>
      <c r="Y1622" s="93"/>
      <c r="Z1622" s="93"/>
    </row>
    <row r="1623" customFormat="false" ht="16.4" hidden="false" customHeight="false" outlineLevel="0" collapsed="false">
      <c r="A1623" s="123" t="n">
        <v>45444</v>
      </c>
      <c r="B1623" s="31" t="s">
        <v>153</v>
      </c>
      <c r="C1623" s="129"/>
      <c r="D1623" s="129"/>
      <c r="E1623" s="19" t="n">
        <f aca="false">F1623*0.03</f>
        <v>0</v>
      </c>
      <c r="F1623" s="33" t="n">
        <v>0</v>
      </c>
      <c r="G1623" s="131"/>
      <c r="H1623" s="35" t="n">
        <v>0</v>
      </c>
      <c r="I1623" s="34" t="n">
        <f aca="false">+IF(E1623=0,0,E1623*0.03)</f>
        <v>0</v>
      </c>
      <c r="J1623" s="93"/>
      <c r="K1623" s="93"/>
      <c r="L1623" s="93"/>
      <c r="M1623" s="93"/>
      <c r="N1623" s="93"/>
      <c r="O1623" s="93"/>
      <c r="P1623" s="93"/>
      <c r="Q1623" s="93"/>
      <c r="R1623" s="93"/>
      <c r="S1623" s="93"/>
      <c r="T1623" s="93"/>
      <c r="U1623" s="93"/>
      <c r="V1623" s="93"/>
      <c r="W1623" s="93"/>
      <c r="X1623" s="93"/>
      <c r="Y1623" s="93"/>
      <c r="Z1623" s="93"/>
    </row>
    <row r="1624" customFormat="false" ht="16.4" hidden="false" customHeight="false" outlineLevel="0" collapsed="false">
      <c r="A1624" s="123" t="n">
        <v>45444</v>
      </c>
      <c r="B1624" s="31" t="s">
        <v>153</v>
      </c>
      <c r="C1624" s="129"/>
      <c r="D1624" s="129"/>
      <c r="E1624" s="19" t="n">
        <f aca="false">F1624*0.03</f>
        <v>0</v>
      </c>
      <c r="F1624" s="33" t="n">
        <v>0</v>
      </c>
      <c r="G1624" s="131"/>
      <c r="H1624" s="35" t="n">
        <v>0</v>
      </c>
      <c r="I1624" s="34" t="n">
        <f aca="false">+IF(E1624=0,0,E1624*0.03)</f>
        <v>0</v>
      </c>
      <c r="J1624" s="93"/>
      <c r="K1624" s="93"/>
      <c r="L1624" s="93"/>
      <c r="M1624" s="93"/>
      <c r="N1624" s="93"/>
      <c r="O1624" s="93"/>
      <c r="P1624" s="93"/>
      <c r="Q1624" s="93"/>
      <c r="R1624" s="93"/>
      <c r="S1624" s="93"/>
      <c r="T1624" s="93"/>
      <c r="U1624" s="93"/>
      <c r="V1624" s="93"/>
      <c r="W1624" s="93"/>
      <c r="X1624" s="93"/>
      <c r="Y1624" s="93"/>
      <c r="Z1624" s="93"/>
    </row>
    <row r="1625" customFormat="false" ht="16.4" hidden="false" customHeight="false" outlineLevel="0" collapsed="false">
      <c r="A1625" s="123" t="n">
        <v>45444</v>
      </c>
      <c r="B1625" s="31" t="s">
        <v>153</v>
      </c>
      <c r="C1625" s="129"/>
      <c r="D1625" s="129"/>
      <c r="E1625" s="19" t="n">
        <f aca="false">F1625*0.03</f>
        <v>0</v>
      </c>
      <c r="F1625" s="33" t="n">
        <v>0</v>
      </c>
      <c r="G1625" s="131"/>
      <c r="H1625" s="35" t="n">
        <v>0</v>
      </c>
      <c r="I1625" s="34" t="n">
        <f aca="false">+IF(E1625=0,0,E1625*0.03)</f>
        <v>0</v>
      </c>
      <c r="J1625" s="93"/>
      <c r="K1625" s="93"/>
      <c r="L1625" s="93"/>
      <c r="M1625" s="93"/>
      <c r="N1625" s="93"/>
      <c r="O1625" s="93"/>
      <c r="P1625" s="93"/>
      <c r="Q1625" s="93"/>
      <c r="R1625" s="93"/>
      <c r="S1625" s="93"/>
      <c r="T1625" s="93"/>
      <c r="U1625" s="93"/>
      <c r="V1625" s="93"/>
      <c r="W1625" s="93"/>
      <c r="X1625" s="93"/>
      <c r="Y1625" s="93"/>
      <c r="Z1625" s="93"/>
    </row>
    <row r="1626" customFormat="false" ht="16.4" hidden="false" customHeight="false" outlineLevel="0" collapsed="false">
      <c r="A1626" s="123" t="n">
        <v>45444</v>
      </c>
      <c r="B1626" s="31" t="s">
        <v>153</v>
      </c>
      <c r="C1626" s="129"/>
      <c r="D1626" s="129"/>
      <c r="E1626" s="19" t="n">
        <f aca="false">F1626*0.03</f>
        <v>0</v>
      </c>
      <c r="F1626" s="33" t="n">
        <v>0</v>
      </c>
      <c r="G1626" s="131"/>
      <c r="H1626" s="35" t="n">
        <v>0</v>
      </c>
      <c r="I1626" s="34" t="n">
        <f aca="false">+IF(E1626=0,0,E1626*0.03)</f>
        <v>0</v>
      </c>
      <c r="J1626" s="93"/>
      <c r="K1626" s="93"/>
      <c r="L1626" s="93"/>
      <c r="M1626" s="93"/>
      <c r="N1626" s="93"/>
      <c r="O1626" s="93"/>
      <c r="P1626" s="93"/>
      <c r="Q1626" s="93"/>
      <c r="R1626" s="93"/>
      <c r="S1626" s="93"/>
      <c r="T1626" s="93"/>
      <c r="U1626" s="93"/>
      <c r="V1626" s="93"/>
      <c r="W1626" s="93"/>
      <c r="X1626" s="93"/>
      <c r="Y1626" s="93"/>
      <c r="Z1626" s="93"/>
    </row>
    <row r="1627" customFormat="false" ht="16.4" hidden="false" customHeight="false" outlineLevel="0" collapsed="false">
      <c r="A1627" s="123" t="n">
        <v>45444</v>
      </c>
      <c r="B1627" s="31" t="s">
        <v>153</v>
      </c>
      <c r="C1627" s="129"/>
      <c r="D1627" s="129"/>
      <c r="E1627" s="19" t="n">
        <f aca="false">F1627*0.03</f>
        <v>0</v>
      </c>
      <c r="F1627" s="33" t="n">
        <v>0</v>
      </c>
      <c r="G1627" s="131"/>
      <c r="H1627" s="35" t="n">
        <v>0</v>
      </c>
      <c r="I1627" s="34" t="n">
        <f aca="false">+IF(E1627=0,0,E1627*0.03)</f>
        <v>0</v>
      </c>
      <c r="J1627" s="93"/>
      <c r="K1627" s="93"/>
      <c r="L1627" s="93"/>
      <c r="M1627" s="93"/>
      <c r="N1627" s="93"/>
      <c r="O1627" s="93"/>
      <c r="P1627" s="93"/>
      <c r="Q1627" s="93"/>
      <c r="R1627" s="93"/>
      <c r="S1627" s="93"/>
      <c r="T1627" s="93"/>
      <c r="U1627" s="93"/>
      <c r="V1627" s="93"/>
      <c r="W1627" s="93"/>
      <c r="X1627" s="93"/>
      <c r="Y1627" s="93"/>
      <c r="Z1627" s="93"/>
    </row>
    <row r="1628" customFormat="false" ht="16.4" hidden="false" customHeight="false" outlineLevel="0" collapsed="false">
      <c r="A1628" s="123" t="n">
        <v>45444</v>
      </c>
      <c r="B1628" s="31" t="s">
        <v>153</v>
      </c>
      <c r="C1628" s="129"/>
      <c r="D1628" s="129"/>
      <c r="E1628" s="19" t="n">
        <f aca="false">F1628*0.03</f>
        <v>0</v>
      </c>
      <c r="F1628" s="33" t="n">
        <v>0</v>
      </c>
      <c r="G1628" s="131"/>
      <c r="H1628" s="35" t="n">
        <v>0</v>
      </c>
      <c r="I1628" s="34" t="n">
        <f aca="false">+IF(E1628=0,0,E1628*0.03)</f>
        <v>0</v>
      </c>
      <c r="J1628" s="93"/>
      <c r="K1628" s="93"/>
      <c r="L1628" s="93"/>
      <c r="M1628" s="93"/>
      <c r="N1628" s="93"/>
      <c r="O1628" s="93"/>
      <c r="P1628" s="93"/>
      <c r="Q1628" s="93"/>
      <c r="R1628" s="93"/>
      <c r="S1628" s="93"/>
      <c r="T1628" s="93"/>
      <c r="U1628" s="93"/>
      <c r="V1628" s="93"/>
      <c r="W1628" s="93"/>
      <c r="X1628" s="93"/>
      <c r="Y1628" s="93"/>
      <c r="Z1628" s="93"/>
    </row>
    <row r="1629" customFormat="false" ht="16.4" hidden="false" customHeight="false" outlineLevel="0" collapsed="false">
      <c r="A1629" s="123" t="n">
        <v>45444</v>
      </c>
      <c r="B1629" s="31" t="s">
        <v>153</v>
      </c>
      <c r="C1629" s="129"/>
      <c r="D1629" s="129"/>
      <c r="E1629" s="19" t="n">
        <f aca="false">F1629*0.03</f>
        <v>0</v>
      </c>
      <c r="F1629" s="33" t="n">
        <v>0</v>
      </c>
      <c r="G1629" s="131"/>
      <c r="H1629" s="35" t="n">
        <v>0</v>
      </c>
      <c r="I1629" s="34" t="n">
        <f aca="false">+IF(E1629=0,0,E1629*0.03)</f>
        <v>0</v>
      </c>
      <c r="J1629" s="93"/>
      <c r="K1629" s="93"/>
      <c r="L1629" s="93"/>
      <c r="M1629" s="93"/>
      <c r="N1629" s="93"/>
      <c r="O1629" s="93"/>
      <c r="P1629" s="93"/>
      <c r="Q1629" s="93"/>
      <c r="R1629" s="93"/>
      <c r="S1629" s="93"/>
      <c r="T1629" s="93"/>
      <c r="U1629" s="93"/>
      <c r="V1629" s="93"/>
      <c r="W1629" s="93"/>
      <c r="X1629" s="93"/>
      <c r="Y1629" s="93"/>
      <c r="Z1629" s="93"/>
    </row>
    <row r="1630" customFormat="false" ht="16.4" hidden="false" customHeight="false" outlineLevel="0" collapsed="false">
      <c r="A1630" s="123" t="n">
        <v>45444</v>
      </c>
      <c r="B1630" s="31" t="s">
        <v>153</v>
      </c>
      <c r="C1630" s="129"/>
      <c r="D1630" s="129"/>
      <c r="E1630" s="19" t="n">
        <f aca="false">F1630*0.03</f>
        <v>0</v>
      </c>
      <c r="F1630" s="33" t="n">
        <v>0</v>
      </c>
      <c r="G1630" s="131"/>
      <c r="H1630" s="35" t="n">
        <v>0</v>
      </c>
      <c r="I1630" s="34" t="n">
        <f aca="false">+IF(E1630=0,0,E1630*0.03)</f>
        <v>0</v>
      </c>
      <c r="J1630" s="93"/>
      <c r="K1630" s="93"/>
      <c r="L1630" s="93"/>
      <c r="M1630" s="93"/>
      <c r="N1630" s="93"/>
      <c r="O1630" s="93"/>
      <c r="P1630" s="93"/>
      <c r="Q1630" s="93"/>
      <c r="R1630" s="93"/>
      <c r="S1630" s="93"/>
      <c r="T1630" s="93"/>
      <c r="U1630" s="93"/>
      <c r="V1630" s="93"/>
      <c r="W1630" s="93"/>
      <c r="X1630" s="93"/>
      <c r="Y1630" s="93"/>
      <c r="Z1630" s="93"/>
    </row>
    <row r="1631" customFormat="false" ht="16.4" hidden="false" customHeight="false" outlineLevel="0" collapsed="false">
      <c r="A1631" s="123" t="n">
        <v>45444</v>
      </c>
      <c r="B1631" s="31" t="s">
        <v>153</v>
      </c>
      <c r="C1631" s="129"/>
      <c r="D1631" s="129"/>
      <c r="E1631" s="19" t="n">
        <f aca="false">F1631*0.03</f>
        <v>0</v>
      </c>
      <c r="F1631" s="33" t="n">
        <v>0</v>
      </c>
      <c r="G1631" s="131"/>
      <c r="H1631" s="35" t="n">
        <v>0</v>
      </c>
      <c r="I1631" s="34" t="n">
        <f aca="false">+IF(E1631=0,0,E1631*0.03)</f>
        <v>0</v>
      </c>
      <c r="J1631" s="93"/>
      <c r="K1631" s="93"/>
      <c r="L1631" s="93"/>
      <c r="M1631" s="93"/>
      <c r="N1631" s="93"/>
      <c r="O1631" s="93"/>
      <c r="P1631" s="93"/>
      <c r="Q1631" s="93"/>
      <c r="R1631" s="93"/>
      <c r="S1631" s="93"/>
      <c r="T1631" s="93"/>
      <c r="U1631" s="93"/>
      <c r="V1631" s="93"/>
      <c r="W1631" s="93"/>
      <c r="X1631" s="93"/>
      <c r="Y1631" s="93"/>
      <c r="Z1631" s="93"/>
    </row>
    <row r="1632" customFormat="false" ht="16.4" hidden="false" customHeight="false" outlineLevel="0" collapsed="false">
      <c r="A1632" s="123" t="n">
        <v>45444</v>
      </c>
      <c r="B1632" s="31" t="s">
        <v>153</v>
      </c>
      <c r="C1632" s="129"/>
      <c r="D1632" s="129"/>
      <c r="E1632" s="19" t="n">
        <f aca="false">F1632*0.03</f>
        <v>0</v>
      </c>
      <c r="F1632" s="33" t="n">
        <v>0</v>
      </c>
      <c r="G1632" s="131"/>
      <c r="H1632" s="35" t="n">
        <v>0</v>
      </c>
      <c r="I1632" s="34" t="n">
        <f aca="false">+IF(E1632=0,0,E1632*0.03)</f>
        <v>0</v>
      </c>
      <c r="J1632" s="93"/>
      <c r="K1632" s="93"/>
      <c r="L1632" s="93"/>
      <c r="M1632" s="93"/>
      <c r="N1632" s="93"/>
      <c r="O1632" s="93"/>
      <c r="P1632" s="93"/>
      <c r="Q1632" s="93"/>
      <c r="R1632" s="93"/>
      <c r="S1632" s="93"/>
      <c r="T1632" s="93"/>
      <c r="U1632" s="93"/>
      <c r="V1632" s="93"/>
      <c r="W1632" s="93"/>
      <c r="X1632" s="93"/>
      <c r="Y1632" s="93"/>
      <c r="Z1632" s="93"/>
    </row>
    <row r="1633" customFormat="false" ht="16.4" hidden="false" customHeight="false" outlineLevel="0" collapsed="false">
      <c r="A1633" s="123" t="n">
        <v>45444</v>
      </c>
      <c r="B1633" s="31" t="s">
        <v>153</v>
      </c>
      <c r="C1633" s="129"/>
      <c r="D1633" s="129"/>
      <c r="E1633" s="19" t="n">
        <f aca="false">F1633*0.03</f>
        <v>0</v>
      </c>
      <c r="F1633" s="33" t="n">
        <v>0</v>
      </c>
      <c r="G1633" s="131"/>
      <c r="H1633" s="35" t="n">
        <v>0</v>
      </c>
      <c r="I1633" s="34" t="n">
        <f aca="false">+IF(E1633=0,0,E1633*0.03)</f>
        <v>0</v>
      </c>
      <c r="J1633" s="93"/>
      <c r="K1633" s="93"/>
      <c r="L1633" s="93"/>
      <c r="M1633" s="93"/>
      <c r="N1633" s="93"/>
      <c r="O1633" s="93"/>
      <c r="P1633" s="93"/>
      <c r="Q1633" s="93"/>
      <c r="R1633" s="93"/>
      <c r="S1633" s="93"/>
      <c r="T1633" s="93"/>
      <c r="U1633" s="93"/>
      <c r="V1633" s="93"/>
      <c r="W1633" s="93"/>
      <c r="X1633" s="93"/>
      <c r="Y1633" s="93"/>
      <c r="Z1633" s="93"/>
    </row>
    <row r="1634" customFormat="false" ht="16.4" hidden="false" customHeight="false" outlineLevel="0" collapsed="false">
      <c r="A1634" s="123" t="n">
        <v>45444</v>
      </c>
      <c r="B1634" s="31" t="s">
        <v>153</v>
      </c>
      <c r="C1634" s="129"/>
      <c r="D1634" s="129"/>
      <c r="E1634" s="19" t="n">
        <f aca="false">F1634*0.03</f>
        <v>0</v>
      </c>
      <c r="F1634" s="33" t="n">
        <v>0</v>
      </c>
      <c r="G1634" s="131"/>
      <c r="H1634" s="35" t="n">
        <v>0</v>
      </c>
      <c r="I1634" s="34" t="n">
        <f aca="false">+IF(E1634=0,0,E1634*0.03)</f>
        <v>0</v>
      </c>
      <c r="J1634" s="93"/>
      <c r="K1634" s="93"/>
      <c r="L1634" s="93"/>
      <c r="M1634" s="93"/>
      <c r="N1634" s="93"/>
      <c r="O1634" s="93"/>
      <c r="P1634" s="93"/>
      <c r="Q1634" s="93"/>
      <c r="R1634" s="93"/>
      <c r="S1634" s="93"/>
      <c r="T1634" s="93"/>
      <c r="U1634" s="93"/>
      <c r="V1634" s="93"/>
      <c r="W1634" s="93"/>
      <c r="X1634" s="93"/>
      <c r="Y1634" s="93"/>
      <c r="Z1634" s="93"/>
    </row>
    <row r="1635" customFormat="false" ht="16.4" hidden="false" customHeight="false" outlineLevel="0" collapsed="false">
      <c r="A1635" s="123" t="n">
        <v>45444</v>
      </c>
      <c r="B1635" s="31" t="s">
        <v>153</v>
      </c>
      <c r="C1635" s="129"/>
      <c r="D1635" s="129"/>
      <c r="E1635" s="19" t="n">
        <f aca="false">F1635*0.03</f>
        <v>0</v>
      </c>
      <c r="F1635" s="33" t="n">
        <v>0</v>
      </c>
      <c r="G1635" s="131"/>
      <c r="H1635" s="35" t="n">
        <v>0</v>
      </c>
      <c r="I1635" s="34" t="n">
        <f aca="false">+IF(E1635=0,0,E1635*0.03)</f>
        <v>0</v>
      </c>
      <c r="J1635" s="93"/>
      <c r="K1635" s="93"/>
      <c r="L1635" s="93"/>
      <c r="M1635" s="93"/>
      <c r="N1635" s="93"/>
      <c r="O1635" s="93"/>
      <c r="P1635" s="93"/>
      <c r="Q1635" s="93"/>
      <c r="R1635" s="93"/>
      <c r="S1635" s="93"/>
      <c r="T1635" s="93"/>
      <c r="U1635" s="93"/>
      <c r="V1635" s="93"/>
      <c r="W1635" s="93"/>
      <c r="X1635" s="93"/>
      <c r="Y1635" s="93"/>
      <c r="Z1635" s="93"/>
    </row>
    <row r="1636" customFormat="false" ht="16.4" hidden="false" customHeight="false" outlineLevel="0" collapsed="false">
      <c r="A1636" s="123" t="n">
        <v>45444</v>
      </c>
      <c r="B1636" s="31" t="s">
        <v>153</v>
      </c>
      <c r="C1636" s="129"/>
      <c r="D1636" s="129"/>
      <c r="E1636" s="19" t="n">
        <f aca="false">F1636*0.03</f>
        <v>0</v>
      </c>
      <c r="F1636" s="33" t="n">
        <v>0</v>
      </c>
      <c r="G1636" s="131"/>
      <c r="H1636" s="35" t="n">
        <v>0</v>
      </c>
      <c r="I1636" s="34" t="n">
        <f aca="false">+IF(E1636=0,0,E1636*0.03)</f>
        <v>0</v>
      </c>
      <c r="J1636" s="93"/>
      <c r="K1636" s="93"/>
      <c r="L1636" s="93"/>
      <c r="M1636" s="93"/>
      <c r="N1636" s="93"/>
      <c r="O1636" s="93"/>
      <c r="P1636" s="93"/>
      <c r="Q1636" s="93"/>
      <c r="R1636" s="93"/>
      <c r="S1636" s="93"/>
      <c r="T1636" s="93"/>
      <c r="U1636" s="93"/>
      <c r="V1636" s="93"/>
      <c r="W1636" s="93"/>
      <c r="X1636" s="93"/>
      <c r="Y1636" s="93"/>
      <c r="Z1636" s="93"/>
    </row>
    <row r="1637" customFormat="false" ht="16.4" hidden="false" customHeight="false" outlineLevel="0" collapsed="false">
      <c r="A1637" s="123" t="n">
        <v>45444</v>
      </c>
      <c r="B1637" s="31" t="s">
        <v>153</v>
      </c>
      <c r="C1637" s="129"/>
      <c r="D1637" s="129"/>
      <c r="E1637" s="19" t="n">
        <f aca="false">F1637*0.03</f>
        <v>0</v>
      </c>
      <c r="F1637" s="33" t="n">
        <v>0</v>
      </c>
      <c r="G1637" s="131"/>
      <c r="H1637" s="35" t="n">
        <v>0</v>
      </c>
      <c r="I1637" s="34" t="n">
        <f aca="false">+IF(E1637=0,0,E1637*0.03)</f>
        <v>0</v>
      </c>
      <c r="J1637" s="93"/>
      <c r="K1637" s="93"/>
      <c r="L1637" s="93"/>
      <c r="M1637" s="93"/>
      <c r="N1637" s="93"/>
      <c r="O1637" s="93"/>
      <c r="P1637" s="93"/>
      <c r="Q1637" s="93"/>
      <c r="R1637" s="93"/>
      <c r="S1637" s="93"/>
      <c r="T1637" s="93"/>
      <c r="U1637" s="93"/>
      <c r="V1637" s="93"/>
      <c r="W1637" s="93"/>
      <c r="X1637" s="93"/>
      <c r="Y1637" s="93"/>
      <c r="Z1637" s="93"/>
    </row>
    <row r="1638" customFormat="false" ht="16.4" hidden="false" customHeight="false" outlineLevel="0" collapsed="false">
      <c r="A1638" s="123" t="n">
        <v>45444</v>
      </c>
      <c r="B1638" s="31" t="s">
        <v>153</v>
      </c>
      <c r="C1638" s="129"/>
      <c r="D1638" s="129"/>
      <c r="E1638" s="19" t="n">
        <f aca="false">F1638*0.03</f>
        <v>0</v>
      </c>
      <c r="F1638" s="33" t="n">
        <v>0</v>
      </c>
      <c r="G1638" s="131"/>
      <c r="H1638" s="35" t="n">
        <v>0</v>
      </c>
      <c r="I1638" s="34" t="n">
        <f aca="false">+IF(E1638=0,0,E1638*0.03)</f>
        <v>0</v>
      </c>
      <c r="J1638" s="93"/>
      <c r="K1638" s="93"/>
      <c r="L1638" s="93"/>
      <c r="M1638" s="93"/>
      <c r="N1638" s="93"/>
      <c r="O1638" s="93"/>
      <c r="P1638" s="93"/>
      <c r="Q1638" s="93"/>
      <c r="R1638" s="93"/>
      <c r="S1638" s="93"/>
      <c r="T1638" s="93"/>
      <c r="U1638" s="93"/>
      <c r="V1638" s="93"/>
      <c r="W1638" s="93"/>
      <c r="X1638" s="93"/>
      <c r="Y1638" s="93"/>
      <c r="Z1638" s="93"/>
    </row>
    <row r="1639" customFormat="false" ht="16.4" hidden="false" customHeight="false" outlineLevel="0" collapsed="false">
      <c r="A1639" s="123" t="n">
        <v>45444</v>
      </c>
      <c r="B1639" s="31" t="s">
        <v>153</v>
      </c>
      <c r="C1639" s="129"/>
      <c r="D1639" s="129"/>
      <c r="E1639" s="19" t="n">
        <f aca="false">F1639*0.03</f>
        <v>0</v>
      </c>
      <c r="F1639" s="33" t="n">
        <v>0</v>
      </c>
      <c r="G1639" s="131"/>
      <c r="H1639" s="35" t="n">
        <v>0</v>
      </c>
      <c r="I1639" s="34" t="n">
        <f aca="false">+IF(E1639=0,0,E1639*0.03)</f>
        <v>0</v>
      </c>
      <c r="J1639" s="93"/>
      <c r="K1639" s="93"/>
      <c r="L1639" s="93"/>
      <c r="M1639" s="93"/>
      <c r="N1639" s="93"/>
      <c r="O1639" s="93"/>
      <c r="P1639" s="93"/>
      <c r="Q1639" s="93"/>
      <c r="R1639" s="93"/>
      <c r="S1639" s="93"/>
      <c r="T1639" s="93"/>
      <c r="U1639" s="93"/>
      <c r="V1639" s="93"/>
      <c r="W1639" s="93"/>
      <c r="X1639" s="93"/>
      <c r="Y1639" s="93"/>
      <c r="Z1639" s="93"/>
    </row>
    <row r="1640" customFormat="false" ht="16.4" hidden="false" customHeight="false" outlineLevel="0" collapsed="false">
      <c r="A1640" s="123" t="n">
        <v>45444</v>
      </c>
      <c r="B1640" s="31" t="s">
        <v>153</v>
      </c>
      <c r="C1640" s="129"/>
      <c r="D1640" s="129"/>
      <c r="E1640" s="19" t="n">
        <f aca="false">F1640*0.03</f>
        <v>0</v>
      </c>
      <c r="F1640" s="33" t="n">
        <v>0</v>
      </c>
      <c r="G1640" s="131"/>
      <c r="H1640" s="35" t="n">
        <v>0</v>
      </c>
      <c r="I1640" s="34" t="n">
        <f aca="false">+IF(E1640=0,0,E1640*0.03)</f>
        <v>0</v>
      </c>
      <c r="J1640" s="93"/>
      <c r="K1640" s="93"/>
      <c r="L1640" s="93"/>
      <c r="M1640" s="93"/>
      <c r="N1640" s="93"/>
      <c r="O1640" s="93"/>
      <c r="P1640" s="93"/>
      <c r="Q1640" s="93"/>
      <c r="R1640" s="93"/>
      <c r="S1640" s="93"/>
      <c r="T1640" s="93"/>
      <c r="U1640" s="93"/>
      <c r="V1640" s="93"/>
      <c r="W1640" s="93"/>
      <c r="X1640" s="93"/>
      <c r="Y1640" s="93"/>
      <c r="Z1640" s="93"/>
    </row>
    <row r="1641" customFormat="false" ht="16.4" hidden="false" customHeight="false" outlineLevel="0" collapsed="false">
      <c r="A1641" s="123" t="n">
        <v>45444</v>
      </c>
      <c r="B1641" s="31" t="s">
        <v>153</v>
      </c>
      <c r="C1641" s="129"/>
      <c r="D1641" s="129"/>
      <c r="E1641" s="19" t="n">
        <f aca="false">F1641*0.03</f>
        <v>0</v>
      </c>
      <c r="F1641" s="33" t="n">
        <v>0</v>
      </c>
      <c r="G1641" s="131"/>
      <c r="H1641" s="35" t="n">
        <v>0</v>
      </c>
      <c r="I1641" s="34" t="n">
        <f aca="false">+IF(E1641=0,0,E1641*0.03)</f>
        <v>0</v>
      </c>
      <c r="J1641" s="93"/>
      <c r="K1641" s="93"/>
      <c r="L1641" s="93"/>
      <c r="M1641" s="93"/>
      <c r="N1641" s="93"/>
      <c r="O1641" s="93"/>
      <c r="P1641" s="93"/>
      <c r="Q1641" s="93"/>
      <c r="R1641" s="93"/>
      <c r="S1641" s="93"/>
      <c r="T1641" s="93"/>
      <c r="U1641" s="93"/>
      <c r="V1641" s="93"/>
      <c r="W1641" s="93"/>
      <c r="X1641" s="93"/>
      <c r="Y1641" s="93"/>
      <c r="Z1641" s="93"/>
    </row>
    <row r="1642" customFormat="false" ht="16.4" hidden="false" customHeight="false" outlineLevel="0" collapsed="false">
      <c r="A1642" s="123" t="n">
        <v>45444</v>
      </c>
      <c r="B1642" s="31" t="s">
        <v>153</v>
      </c>
      <c r="C1642" s="129"/>
      <c r="D1642" s="129"/>
      <c r="E1642" s="19" t="n">
        <f aca="false">F1642*0.03</f>
        <v>0</v>
      </c>
      <c r="F1642" s="33" t="n">
        <v>0</v>
      </c>
      <c r="G1642" s="131"/>
      <c r="H1642" s="35" t="n">
        <v>0</v>
      </c>
      <c r="I1642" s="34" t="n">
        <f aca="false">+IF(E1642=0,0,E1642*0.03)</f>
        <v>0</v>
      </c>
      <c r="J1642" s="93"/>
      <c r="K1642" s="93"/>
      <c r="L1642" s="93"/>
      <c r="M1642" s="93"/>
      <c r="N1642" s="93"/>
      <c r="O1642" s="93"/>
      <c r="P1642" s="93"/>
      <c r="Q1642" s="93"/>
      <c r="R1642" s="93"/>
      <c r="S1642" s="93"/>
      <c r="T1642" s="93"/>
      <c r="U1642" s="93"/>
      <c r="V1642" s="93"/>
      <c r="W1642" s="93"/>
      <c r="X1642" s="93"/>
      <c r="Y1642" s="93"/>
      <c r="Z1642" s="93"/>
    </row>
    <row r="1643" customFormat="false" ht="16.4" hidden="false" customHeight="false" outlineLevel="0" collapsed="false">
      <c r="A1643" s="123" t="n">
        <v>45444</v>
      </c>
      <c r="B1643" s="31" t="s">
        <v>153</v>
      </c>
      <c r="C1643" s="129"/>
      <c r="D1643" s="129"/>
      <c r="E1643" s="19" t="n">
        <f aca="false">F1643*0.03</f>
        <v>0</v>
      </c>
      <c r="F1643" s="33" t="n">
        <v>0</v>
      </c>
      <c r="G1643" s="131"/>
      <c r="H1643" s="35" t="n">
        <v>0</v>
      </c>
      <c r="I1643" s="34" t="n">
        <f aca="false">+IF(E1643=0,0,E1643*0.03)</f>
        <v>0</v>
      </c>
      <c r="J1643" s="93"/>
      <c r="K1643" s="93"/>
      <c r="L1643" s="93"/>
      <c r="M1643" s="93"/>
      <c r="N1643" s="93"/>
      <c r="O1643" s="93"/>
      <c r="P1643" s="93"/>
      <c r="Q1643" s="93"/>
      <c r="R1643" s="93"/>
      <c r="S1643" s="93"/>
      <c r="T1643" s="93"/>
      <c r="U1643" s="93"/>
      <c r="V1643" s="93"/>
      <c r="W1643" s="93"/>
      <c r="X1643" s="93"/>
      <c r="Y1643" s="93"/>
      <c r="Z1643" s="93"/>
    </row>
    <row r="1644" customFormat="false" ht="16.4" hidden="false" customHeight="false" outlineLevel="0" collapsed="false">
      <c r="A1644" s="123" t="n">
        <v>45444</v>
      </c>
      <c r="B1644" s="31" t="s">
        <v>153</v>
      </c>
      <c r="C1644" s="129"/>
      <c r="D1644" s="129"/>
      <c r="E1644" s="19" t="n">
        <f aca="false">F1644*0.03</f>
        <v>0</v>
      </c>
      <c r="F1644" s="33" t="n">
        <v>0</v>
      </c>
      <c r="G1644" s="131"/>
      <c r="H1644" s="35" t="n">
        <v>0</v>
      </c>
      <c r="I1644" s="34" t="n">
        <f aca="false">+IF(E1644=0,0,E1644*0.03)</f>
        <v>0</v>
      </c>
      <c r="J1644" s="93"/>
      <c r="K1644" s="93"/>
      <c r="L1644" s="93"/>
      <c r="M1644" s="93"/>
      <c r="N1644" s="93"/>
      <c r="O1644" s="93"/>
      <c r="P1644" s="93"/>
      <c r="Q1644" s="93"/>
      <c r="R1644" s="93"/>
      <c r="S1644" s="93"/>
      <c r="T1644" s="93"/>
      <c r="U1644" s="93"/>
      <c r="V1644" s="93"/>
      <c r="W1644" s="93"/>
      <c r="X1644" s="93"/>
      <c r="Y1644" s="93"/>
      <c r="Z1644" s="93"/>
    </row>
    <row r="1645" customFormat="false" ht="16.4" hidden="false" customHeight="false" outlineLevel="0" collapsed="false">
      <c r="A1645" s="123" t="n">
        <v>45444</v>
      </c>
      <c r="B1645" s="31" t="s">
        <v>153</v>
      </c>
      <c r="C1645" s="129"/>
      <c r="D1645" s="129"/>
      <c r="E1645" s="19" t="n">
        <f aca="false">F1645*0.03</f>
        <v>0</v>
      </c>
      <c r="F1645" s="33" t="n">
        <v>0</v>
      </c>
      <c r="G1645" s="131"/>
      <c r="H1645" s="35" t="n">
        <v>0</v>
      </c>
      <c r="I1645" s="34" t="n">
        <f aca="false">+IF(E1645=0,0,E1645*0.03)</f>
        <v>0</v>
      </c>
      <c r="J1645" s="93"/>
      <c r="K1645" s="93"/>
      <c r="L1645" s="93"/>
      <c r="M1645" s="93"/>
      <c r="N1645" s="93"/>
      <c r="O1645" s="93"/>
      <c r="P1645" s="93"/>
      <c r="Q1645" s="93"/>
      <c r="R1645" s="93"/>
      <c r="S1645" s="93"/>
      <c r="T1645" s="93"/>
      <c r="U1645" s="93"/>
      <c r="V1645" s="93"/>
      <c r="W1645" s="93"/>
      <c r="X1645" s="93"/>
      <c r="Y1645" s="93"/>
      <c r="Z1645" s="93"/>
    </row>
    <row r="1646" customFormat="false" ht="16.4" hidden="false" customHeight="false" outlineLevel="0" collapsed="false">
      <c r="A1646" s="123" t="n">
        <v>45444</v>
      </c>
      <c r="B1646" s="31" t="s">
        <v>153</v>
      </c>
      <c r="C1646" s="129"/>
      <c r="D1646" s="129"/>
      <c r="E1646" s="19" t="n">
        <f aca="false">F1646*0.03</f>
        <v>0</v>
      </c>
      <c r="F1646" s="33" t="n">
        <v>0</v>
      </c>
      <c r="G1646" s="131"/>
      <c r="H1646" s="35" t="n">
        <v>0</v>
      </c>
      <c r="I1646" s="34" t="n">
        <f aca="false">+IF(E1646=0,0,E1646*0.03)</f>
        <v>0</v>
      </c>
      <c r="J1646" s="93"/>
      <c r="K1646" s="93"/>
      <c r="L1646" s="93"/>
      <c r="M1646" s="93"/>
      <c r="N1646" s="93"/>
      <c r="O1646" s="93"/>
      <c r="P1646" s="93"/>
      <c r="Q1646" s="93"/>
      <c r="R1646" s="93"/>
      <c r="S1646" s="93"/>
      <c r="T1646" s="93"/>
      <c r="U1646" s="93"/>
      <c r="V1646" s="93"/>
      <c r="W1646" s="93"/>
      <c r="X1646" s="93"/>
      <c r="Y1646" s="93"/>
      <c r="Z1646" s="93"/>
    </row>
    <row r="1647" customFormat="false" ht="16.4" hidden="false" customHeight="false" outlineLevel="0" collapsed="false">
      <c r="A1647" s="123" t="n">
        <v>45444</v>
      </c>
      <c r="B1647" s="31" t="s">
        <v>153</v>
      </c>
      <c r="C1647" s="129"/>
      <c r="D1647" s="129"/>
      <c r="E1647" s="19" t="n">
        <f aca="false">F1647*0.03</f>
        <v>0</v>
      </c>
      <c r="F1647" s="33" t="n">
        <v>0</v>
      </c>
      <c r="G1647" s="131"/>
      <c r="H1647" s="35" t="n">
        <v>0</v>
      </c>
      <c r="I1647" s="34" t="n">
        <f aca="false">+IF(E1647=0,0,E1647*0.03)</f>
        <v>0</v>
      </c>
      <c r="J1647" s="93"/>
      <c r="K1647" s="93"/>
      <c r="L1647" s="93"/>
      <c r="M1647" s="93"/>
      <c r="N1647" s="93"/>
      <c r="O1647" s="93"/>
      <c r="P1647" s="93"/>
      <c r="Q1647" s="93"/>
      <c r="R1647" s="93"/>
      <c r="S1647" s="93"/>
      <c r="T1647" s="93"/>
      <c r="U1647" s="93"/>
      <c r="V1647" s="93"/>
      <c r="W1647" s="93"/>
      <c r="X1647" s="93"/>
      <c r="Y1647" s="93"/>
      <c r="Z1647" s="93"/>
    </row>
    <row r="1648" customFormat="false" ht="16.4" hidden="false" customHeight="false" outlineLevel="0" collapsed="false">
      <c r="A1648" s="123" t="n">
        <v>45444</v>
      </c>
      <c r="B1648" s="31" t="s">
        <v>153</v>
      </c>
      <c r="C1648" s="129"/>
      <c r="D1648" s="129"/>
      <c r="E1648" s="19" t="n">
        <f aca="false">F1648*0.03</f>
        <v>0</v>
      </c>
      <c r="F1648" s="33" t="n">
        <v>0</v>
      </c>
      <c r="G1648" s="131"/>
      <c r="H1648" s="35" t="n">
        <v>0</v>
      </c>
      <c r="I1648" s="34" t="n">
        <f aca="false">+IF(E1648=0,0,E1648*0.03)</f>
        <v>0</v>
      </c>
      <c r="J1648" s="93"/>
      <c r="K1648" s="93"/>
      <c r="L1648" s="93"/>
      <c r="M1648" s="93"/>
      <c r="N1648" s="93"/>
      <c r="O1648" s="93"/>
      <c r="P1648" s="93"/>
      <c r="Q1648" s="93"/>
      <c r="R1648" s="93"/>
      <c r="S1648" s="93"/>
      <c r="T1648" s="93"/>
      <c r="U1648" s="93"/>
      <c r="V1648" s="93"/>
      <c r="W1648" s="93"/>
      <c r="X1648" s="93"/>
      <c r="Y1648" s="93"/>
      <c r="Z1648" s="93"/>
    </row>
    <row r="1649" customFormat="false" ht="16.4" hidden="false" customHeight="false" outlineLevel="0" collapsed="false">
      <c r="A1649" s="123" t="n">
        <v>45444</v>
      </c>
      <c r="B1649" s="31" t="s">
        <v>153</v>
      </c>
      <c r="C1649" s="129"/>
      <c r="D1649" s="129"/>
      <c r="E1649" s="19" t="n">
        <f aca="false">F1649*0.03</f>
        <v>0</v>
      </c>
      <c r="F1649" s="33" t="n">
        <v>0</v>
      </c>
      <c r="G1649" s="131"/>
      <c r="H1649" s="35" t="n">
        <v>0</v>
      </c>
      <c r="I1649" s="34" t="n">
        <f aca="false">+IF(E1649=0,0,E1649*0.03)</f>
        <v>0</v>
      </c>
      <c r="J1649" s="93"/>
      <c r="K1649" s="93"/>
      <c r="L1649" s="93"/>
      <c r="M1649" s="93"/>
      <c r="N1649" s="93"/>
      <c r="O1649" s="93"/>
      <c r="P1649" s="93"/>
      <c r="Q1649" s="93"/>
      <c r="R1649" s="93"/>
      <c r="S1649" s="93"/>
      <c r="T1649" s="93"/>
      <c r="U1649" s="93"/>
      <c r="V1649" s="93"/>
      <c r="W1649" s="93"/>
      <c r="X1649" s="93"/>
      <c r="Y1649" s="93"/>
      <c r="Z1649" s="93"/>
    </row>
    <row r="1650" customFormat="false" ht="16.4" hidden="false" customHeight="false" outlineLevel="0" collapsed="false">
      <c r="A1650" s="123" t="n">
        <v>45444</v>
      </c>
      <c r="B1650" s="31" t="s">
        <v>153</v>
      </c>
      <c r="C1650" s="129"/>
      <c r="D1650" s="129"/>
      <c r="E1650" s="19" t="n">
        <f aca="false">F1650*0.03</f>
        <v>0</v>
      </c>
      <c r="F1650" s="33" t="n">
        <v>0</v>
      </c>
      <c r="G1650" s="131"/>
      <c r="H1650" s="35" t="n">
        <v>0</v>
      </c>
      <c r="I1650" s="34" t="n">
        <f aca="false">+IF(E1650=0,0,E1650*0.03)</f>
        <v>0</v>
      </c>
      <c r="J1650" s="93"/>
      <c r="K1650" s="93"/>
      <c r="L1650" s="93"/>
      <c r="M1650" s="93"/>
      <c r="N1650" s="93"/>
      <c r="O1650" s="93"/>
      <c r="P1650" s="93"/>
      <c r="Q1650" s="93"/>
      <c r="R1650" s="93"/>
      <c r="S1650" s="93"/>
      <c r="T1650" s="93"/>
      <c r="U1650" s="93"/>
      <c r="V1650" s="93"/>
      <c r="W1650" s="93"/>
      <c r="X1650" s="93"/>
      <c r="Y1650" s="93"/>
      <c r="Z1650" s="93"/>
    </row>
    <row r="1651" customFormat="false" ht="16.4" hidden="false" customHeight="false" outlineLevel="0" collapsed="false">
      <c r="A1651" s="123" t="n">
        <v>45444</v>
      </c>
      <c r="B1651" s="31" t="s">
        <v>153</v>
      </c>
      <c r="C1651" s="129"/>
      <c r="D1651" s="129"/>
      <c r="E1651" s="19" t="n">
        <f aca="false">F1651*0.03</f>
        <v>0</v>
      </c>
      <c r="F1651" s="33" t="n">
        <v>0</v>
      </c>
      <c r="G1651" s="131"/>
      <c r="H1651" s="35" t="n">
        <v>0</v>
      </c>
      <c r="I1651" s="34" t="n">
        <f aca="false">+IF(E1651=0,0,E1651*0.03)</f>
        <v>0</v>
      </c>
      <c r="J1651" s="93"/>
      <c r="K1651" s="93"/>
      <c r="L1651" s="93"/>
      <c r="M1651" s="93"/>
      <c r="N1651" s="93"/>
      <c r="O1651" s="93"/>
      <c r="P1651" s="93"/>
      <c r="Q1651" s="93"/>
      <c r="R1651" s="93"/>
      <c r="S1651" s="93"/>
      <c r="T1651" s="93"/>
      <c r="U1651" s="93"/>
      <c r="V1651" s="93"/>
      <c r="W1651" s="93"/>
      <c r="X1651" s="93"/>
      <c r="Y1651" s="93"/>
      <c r="Z1651" s="93"/>
    </row>
    <row r="1652" customFormat="false" ht="16.4" hidden="false" customHeight="false" outlineLevel="0" collapsed="false">
      <c r="A1652" s="123" t="n">
        <v>45444</v>
      </c>
      <c r="B1652" s="31" t="s">
        <v>153</v>
      </c>
      <c r="C1652" s="129"/>
      <c r="D1652" s="129"/>
      <c r="E1652" s="19" t="n">
        <f aca="false">F1652*0.03</f>
        <v>0</v>
      </c>
      <c r="F1652" s="33" t="n">
        <v>0</v>
      </c>
      <c r="G1652" s="131"/>
      <c r="H1652" s="35" t="n">
        <v>0</v>
      </c>
      <c r="I1652" s="34" t="n">
        <f aca="false">+IF(E1652=0,0,E1652*0.03)</f>
        <v>0</v>
      </c>
      <c r="J1652" s="93"/>
      <c r="K1652" s="93"/>
      <c r="L1652" s="93"/>
      <c r="M1652" s="93"/>
      <c r="N1652" s="93"/>
      <c r="O1652" s="93"/>
      <c r="P1652" s="93"/>
      <c r="Q1652" s="93"/>
      <c r="R1652" s="93"/>
      <c r="S1652" s="93"/>
      <c r="T1652" s="93"/>
      <c r="U1652" s="93"/>
      <c r="V1652" s="93"/>
      <c r="W1652" s="93"/>
      <c r="X1652" s="93"/>
      <c r="Y1652" s="93"/>
      <c r="Z1652" s="93"/>
    </row>
    <row r="1653" customFormat="false" ht="16.4" hidden="false" customHeight="false" outlineLevel="0" collapsed="false">
      <c r="A1653" s="123" t="n">
        <v>45444</v>
      </c>
      <c r="B1653" s="31" t="s">
        <v>153</v>
      </c>
      <c r="C1653" s="129"/>
      <c r="D1653" s="129"/>
      <c r="E1653" s="19" t="n">
        <f aca="false">F1653*0.03</f>
        <v>0</v>
      </c>
      <c r="F1653" s="33" t="n">
        <v>0</v>
      </c>
      <c r="G1653" s="131"/>
      <c r="H1653" s="35" t="n">
        <v>0</v>
      </c>
      <c r="I1653" s="34" t="n">
        <f aca="false">+IF(E1653=0,0,E1653*0.03)</f>
        <v>0</v>
      </c>
      <c r="J1653" s="93"/>
      <c r="K1653" s="93"/>
      <c r="L1653" s="93"/>
      <c r="M1653" s="93"/>
      <c r="N1653" s="93"/>
      <c r="O1653" s="93"/>
      <c r="P1653" s="93"/>
      <c r="Q1653" s="93"/>
      <c r="R1653" s="93"/>
      <c r="S1653" s="93"/>
      <c r="T1653" s="93"/>
      <c r="U1653" s="93"/>
      <c r="V1653" s="93"/>
      <c r="W1653" s="93"/>
      <c r="X1653" s="93"/>
      <c r="Y1653" s="93"/>
      <c r="Z1653" s="93"/>
    </row>
    <row r="1654" customFormat="false" ht="16.4" hidden="false" customHeight="false" outlineLevel="0" collapsed="false">
      <c r="A1654" s="123" t="n">
        <v>45444</v>
      </c>
      <c r="B1654" s="31" t="s">
        <v>153</v>
      </c>
      <c r="C1654" s="129"/>
      <c r="D1654" s="129"/>
      <c r="E1654" s="19" t="n">
        <f aca="false">F1654*0.03</f>
        <v>0</v>
      </c>
      <c r="F1654" s="33" t="n">
        <v>0</v>
      </c>
      <c r="G1654" s="131"/>
      <c r="H1654" s="35" t="n">
        <v>0</v>
      </c>
      <c r="I1654" s="34" t="n">
        <f aca="false">+IF(E1654=0,0,E1654*0.03)</f>
        <v>0</v>
      </c>
      <c r="J1654" s="93"/>
      <c r="K1654" s="93"/>
      <c r="L1654" s="93"/>
      <c r="M1654" s="93"/>
      <c r="N1654" s="93"/>
      <c r="O1654" s="93"/>
      <c r="P1654" s="93"/>
      <c r="Q1654" s="93"/>
      <c r="R1654" s="93"/>
      <c r="S1654" s="93"/>
      <c r="T1654" s="93"/>
      <c r="U1654" s="93"/>
      <c r="V1654" s="93"/>
      <c r="W1654" s="93"/>
      <c r="X1654" s="93"/>
      <c r="Y1654" s="93"/>
      <c r="Z1654" s="93"/>
    </row>
    <row r="1655" customFormat="false" ht="16.4" hidden="false" customHeight="false" outlineLevel="0" collapsed="false">
      <c r="A1655" s="123" t="n">
        <v>45444</v>
      </c>
      <c r="B1655" s="31" t="s">
        <v>153</v>
      </c>
      <c r="C1655" s="129"/>
      <c r="D1655" s="129"/>
      <c r="E1655" s="19" t="n">
        <f aca="false">F1655*0.03</f>
        <v>0</v>
      </c>
      <c r="F1655" s="33" t="n">
        <v>0</v>
      </c>
      <c r="G1655" s="131"/>
      <c r="H1655" s="35" t="n">
        <v>0</v>
      </c>
      <c r="I1655" s="34" t="n">
        <f aca="false">+IF(E1655=0,0,E1655*0.03)</f>
        <v>0</v>
      </c>
      <c r="J1655" s="93"/>
      <c r="K1655" s="93"/>
      <c r="L1655" s="93"/>
      <c r="M1655" s="93"/>
      <c r="N1655" s="93"/>
      <c r="O1655" s="93"/>
      <c r="P1655" s="93"/>
      <c r="Q1655" s="93"/>
      <c r="R1655" s="93"/>
      <c r="S1655" s="93"/>
      <c r="T1655" s="93"/>
      <c r="U1655" s="93"/>
      <c r="V1655" s="93"/>
      <c r="W1655" s="93"/>
      <c r="X1655" s="93"/>
      <c r="Y1655" s="93"/>
      <c r="Z1655" s="93"/>
    </row>
    <row r="1656" customFormat="false" ht="16.4" hidden="false" customHeight="false" outlineLevel="0" collapsed="false">
      <c r="A1656" s="123" t="n">
        <v>45444</v>
      </c>
      <c r="B1656" s="31" t="s">
        <v>153</v>
      </c>
      <c r="C1656" s="129"/>
      <c r="D1656" s="129"/>
      <c r="E1656" s="19" t="n">
        <f aca="false">F1656*0.03</f>
        <v>0</v>
      </c>
      <c r="F1656" s="33" t="n">
        <v>0</v>
      </c>
      <c r="G1656" s="131"/>
      <c r="H1656" s="35" t="n">
        <v>0</v>
      </c>
      <c r="I1656" s="34" t="n">
        <f aca="false">+IF(E1656=0,0,E1656*0.03)</f>
        <v>0</v>
      </c>
      <c r="J1656" s="93"/>
      <c r="K1656" s="93"/>
      <c r="L1656" s="93"/>
      <c r="M1656" s="93"/>
      <c r="N1656" s="93"/>
      <c r="O1656" s="93"/>
      <c r="P1656" s="93"/>
      <c r="Q1656" s="93"/>
      <c r="R1656" s="93"/>
      <c r="S1656" s="93"/>
      <c r="T1656" s="93"/>
      <c r="U1656" s="93"/>
      <c r="V1656" s="93"/>
      <c r="W1656" s="93"/>
      <c r="X1656" s="93"/>
      <c r="Y1656" s="93"/>
      <c r="Z1656" s="93"/>
    </row>
    <row r="1657" customFormat="false" ht="16.4" hidden="false" customHeight="false" outlineLevel="0" collapsed="false">
      <c r="A1657" s="123" t="n">
        <v>45444</v>
      </c>
      <c r="B1657" s="31" t="s">
        <v>153</v>
      </c>
      <c r="C1657" s="129"/>
      <c r="D1657" s="129"/>
      <c r="E1657" s="19" t="n">
        <f aca="false">F1657*0.03</f>
        <v>0</v>
      </c>
      <c r="F1657" s="33" t="n">
        <v>0</v>
      </c>
      <c r="G1657" s="131"/>
      <c r="H1657" s="35" t="n">
        <v>0</v>
      </c>
      <c r="I1657" s="34" t="n">
        <f aca="false">+IF(E1657=0,0,E1657*0.03)</f>
        <v>0</v>
      </c>
      <c r="J1657" s="93"/>
      <c r="K1657" s="93"/>
      <c r="L1657" s="93"/>
      <c r="M1657" s="93"/>
      <c r="N1657" s="93"/>
      <c r="O1657" s="93"/>
      <c r="P1657" s="93"/>
      <c r="Q1657" s="93"/>
      <c r="R1657" s="93"/>
      <c r="S1657" s="93"/>
      <c r="T1657" s="93"/>
      <c r="U1657" s="93"/>
      <c r="V1657" s="93"/>
      <c r="W1657" s="93"/>
      <c r="X1657" s="93"/>
      <c r="Y1657" s="93"/>
      <c r="Z1657" s="93"/>
    </row>
    <row r="1658" customFormat="false" ht="16.4" hidden="false" customHeight="false" outlineLevel="0" collapsed="false">
      <c r="A1658" s="123" t="n">
        <v>45444</v>
      </c>
      <c r="B1658" s="31" t="s">
        <v>153</v>
      </c>
      <c r="C1658" s="129"/>
      <c r="D1658" s="129"/>
      <c r="E1658" s="19" t="n">
        <f aca="false">F1658*0.03</f>
        <v>0</v>
      </c>
      <c r="F1658" s="33" t="n">
        <v>0</v>
      </c>
      <c r="G1658" s="131"/>
      <c r="H1658" s="35" t="n">
        <v>0</v>
      </c>
      <c r="I1658" s="34" t="n">
        <f aca="false">+IF(E1658=0,0,E1658*0.03)</f>
        <v>0</v>
      </c>
      <c r="J1658" s="93"/>
      <c r="K1658" s="93"/>
      <c r="L1658" s="93"/>
      <c r="M1658" s="93"/>
      <c r="N1658" s="93"/>
      <c r="O1658" s="93"/>
      <c r="P1658" s="93"/>
      <c r="Q1658" s="93"/>
      <c r="R1658" s="93"/>
      <c r="S1658" s="93"/>
      <c r="T1658" s="93"/>
      <c r="U1658" s="93"/>
      <c r="V1658" s="93"/>
      <c r="W1658" s="93"/>
      <c r="X1658" s="93"/>
      <c r="Y1658" s="93"/>
      <c r="Z1658" s="93"/>
    </row>
    <row r="1659" customFormat="false" ht="16.4" hidden="false" customHeight="false" outlineLevel="0" collapsed="false">
      <c r="A1659" s="123" t="n">
        <v>45444</v>
      </c>
      <c r="B1659" s="31" t="s">
        <v>153</v>
      </c>
      <c r="C1659" s="129"/>
      <c r="D1659" s="129"/>
      <c r="E1659" s="19" t="n">
        <f aca="false">F1659*0.03</f>
        <v>0</v>
      </c>
      <c r="F1659" s="33" t="n">
        <v>0</v>
      </c>
      <c r="G1659" s="131"/>
      <c r="H1659" s="35" t="n">
        <v>0</v>
      </c>
      <c r="I1659" s="34" t="n">
        <f aca="false">+IF(E1659=0,0,E1659*0.03)</f>
        <v>0</v>
      </c>
      <c r="J1659" s="93"/>
      <c r="K1659" s="93"/>
      <c r="L1659" s="93"/>
      <c r="M1659" s="93"/>
      <c r="N1659" s="93"/>
      <c r="O1659" s="93"/>
      <c r="P1659" s="93"/>
      <c r="Q1659" s="93"/>
      <c r="R1659" s="93"/>
      <c r="S1659" s="93"/>
      <c r="T1659" s="93"/>
      <c r="U1659" s="93"/>
      <c r="V1659" s="93"/>
      <c r="W1659" s="93"/>
      <c r="X1659" s="93"/>
      <c r="Y1659" s="93"/>
      <c r="Z1659" s="93"/>
    </row>
    <row r="1660" customFormat="false" ht="16.4" hidden="false" customHeight="false" outlineLevel="0" collapsed="false">
      <c r="A1660" s="123" t="n">
        <v>45444</v>
      </c>
      <c r="B1660" s="31" t="s">
        <v>153</v>
      </c>
      <c r="C1660" s="129"/>
      <c r="D1660" s="129"/>
      <c r="E1660" s="19" t="n">
        <f aca="false">F1660*0.03</f>
        <v>0</v>
      </c>
      <c r="F1660" s="33" t="n">
        <v>0</v>
      </c>
      <c r="G1660" s="131"/>
      <c r="H1660" s="35" t="n">
        <v>0</v>
      </c>
      <c r="I1660" s="34" t="n">
        <f aca="false">+IF(E1660=0,0,E1660*0.03)</f>
        <v>0</v>
      </c>
      <c r="J1660" s="93"/>
      <c r="K1660" s="93"/>
      <c r="L1660" s="93"/>
      <c r="M1660" s="93"/>
      <c r="N1660" s="93"/>
      <c r="O1660" s="93"/>
      <c r="P1660" s="93"/>
      <c r="Q1660" s="93"/>
      <c r="R1660" s="93"/>
      <c r="S1660" s="93"/>
      <c r="T1660" s="93"/>
      <c r="U1660" s="93"/>
      <c r="V1660" s="93"/>
      <c r="W1660" s="93"/>
      <c r="X1660" s="93"/>
      <c r="Y1660" s="93"/>
      <c r="Z1660" s="93"/>
    </row>
    <row r="1661" customFormat="false" ht="16.4" hidden="false" customHeight="false" outlineLevel="0" collapsed="false">
      <c r="A1661" s="123" t="n">
        <v>45444</v>
      </c>
      <c r="B1661" s="31" t="s">
        <v>153</v>
      </c>
      <c r="C1661" s="129"/>
      <c r="D1661" s="129"/>
      <c r="E1661" s="19" t="n">
        <f aca="false">F1661*0.03</f>
        <v>0</v>
      </c>
      <c r="F1661" s="33" t="n">
        <v>0</v>
      </c>
      <c r="G1661" s="131"/>
      <c r="H1661" s="35" t="n">
        <v>0</v>
      </c>
      <c r="I1661" s="34" t="n">
        <f aca="false">+IF(E1661=0,0,E1661*0.03)</f>
        <v>0</v>
      </c>
      <c r="J1661" s="93"/>
      <c r="K1661" s="93"/>
      <c r="L1661" s="93"/>
      <c r="M1661" s="93"/>
      <c r="N1661" s="93"/>
      <c r="O1661" s="93"/>
      <c r="P1661" s="93"/>
      <c r="Q1661" s="93"/>
      <c r="R1661" s="93"/>
      <c r="S1661" s="93"/>
      <c r="T1661" s="93"/>
      <c r="U1661" s="93"/>
      <c r="V1661" s="93"/>
      <c r="W1661" s="93"/>
      <c r="X1661" s="93"/>
      <c r="Y1661" s="93"/>
      <c r="Z1661" s="93"/>
    </row>
    <row r="1662" customFormat="false" ht="16.4" hidden="false" customHeight="false" outlineLevel="0" collapsed="false">
      <c r="A1662" s="123" t="n">
        <v>45444</v>
      </c>
      <c r="B1662" s="31" t="s">
        <v>153</v>
      </c>
      <c r="C1662" s="129"/>
      <c r="D1662" s="129"/>
      <c r="E1662" s="19" t="n">
        <f aca="false">F1662*0.03</f>
        <v>0</v>
      </c>
      <c r="F1662" s="33" t="n">
        <v>0</v>
      </c>
      <c r="G1662" s="131"/>
      <c r="H1662" s="35" t="n">
        <v>0</v>
      </c>
      <c r="I1662" s="34" t="n">
        <f aca="false">+IF(E1662=0,0,E1662*0.03)</f>
        <v>0</v>
      </c>
      <c r="J1662" s="93"/>
      <c r="K1662" s="93"/>
      <c r="L1662" s="93"/>
      <c r="M1662" s="93"/>
      <c r="N1662" s="93"/>
      <c r="O1662" s="93"/>
      <c r="P1662" s="93"/>
      <c r="Q1662" s="93"/>
      <c r="R1662" s="93"/>
      <c r="S1662" s="93"/>
      <c r="T1662" s="93"/>
      <c r="U1662" s="93"/>
      <c r="V1662" s="93"/>
      <c r="W1662" s="93"/>
      <c r="X1662" s="93"/>
      <c r="Y1662" s="93"/>
      <c r="Z1662" s="93"/>
    </row>
    <row r="1663" customFormat="false" ht="16.4" hidden="false" customHeight="false" outlineLevel="0" collapsed="false">
      <c r="A1663" s="123" t="n">
        <v>45444</v>
      </c>
      <c r="B1663" s="31" t="s">
        <v>153</v>
      </c>
      <c r="C1663" s="129"/>
      <c r="D1663" s="129"/>
      <c r="E1663" s="19" t="n">
        <f aca="false">F1663*0.03</f>
        <v>0</v>
      </c>
      <c r="F1663" s="33" t="n">
        <v>0</v>
      </c>
      <c r="G1663" s="131"/>
      <c r="H1663" s="35" t="n">
        <v>0</v>
      </c>
      <c r="I1663" s="34" t="n">
        <f aca="false">+IF(E1663=0,0,E1663*0.03)</f>
        <v>0</v>
      </c>
      <c r="J1663" s="93"/>
      <c r="K1663" s="93"/>
      <c r="L1663" s="93"/>
      <c r="M1663" s="93"/>
      <c r="N1663" s="93"/>
      <c r="O1663" s="93"/>
      <c r="P1663" s="93"/>
      <c r="Q1663" s="93"/>
      <c r="R1663" s="93"/>
      <c r="S1663" s="93"/>
      <c r="T1663" s="93"/>
      <c r="U1663" s="93"/>
      <c r="V1663" s="93"/>
      <c r="W1663" s="93"/>
      <c r="X1663" s="93"/>
      <c r="Y1663" s="93"/>
      <c r="Z1663" s="93"/>
    </row>
    <row r="1664" customFormat="false" ht="16.4" hidden="false" customHeight="false" outlineLevel="0" collapsed="false">
      <c r="A1664" s="123" t="n">
        <v>45444</v>
      </c>
      <c r="B1664" s="31" t="s">
        <v>153</v>
      </c>
      <c r="C1664" s="129"/>
      <c r="D1664" s="129"/>
      <c r="E1664" s="19" t="n">
        <f aca="false">F1664*0.03</f>
        <v>0</v>
      </c>
      <c r="F1664" s="33" t="n">
        <v>0</v>
      </c>
      <c r="G1664" s="131"/>
      <c r="H1664" s="35" t="n">
        <v>0</v>
      </c>
      <c r="I1664" s="34" t="n">
        <f aca="false">+IF(E1664=0,0,E1664*0.03)</f>
        <v>0</v>
      </c>
      <c r="J1664" s="93"/>
      <c r="K1664" s="93"/>
      <c r="L1664" s="93"/>
      <c r="M1664" s="93"/>
      <c r="N1664" s="93"/>
      <c r="O1664" s="93"/>
      <c r="P1664" s="93"/>
      <c r="Q1664" s="93"/>
      <c r="R1664" s="93"/>
      <c r="S1664" s="93"/>
      <c r="T1664" s="93"/>
      <c r="U1664" s="93"/>
      <c r="V1664" s="93"/>
      <c r="W1664" s="93"/>
      <c r="X1664" s="93"/>
      <c r="Y1664" s="93"/>
      <c r="Z1664" s="93"/>
    </row>
    <row r="1665" customFormat="false" ht="16.4" hidden="false" customHeight="false" outlineLevel="0" collapsed="false">
      <c r="A1665" s="123" t="n">
        <v>45444</v>
      </c>
      <c r="B1665" s="31" t="s">
        <v>153</v>
      </c>
      <c r="C1665" s="129"/>
      <c r="D1665" s="129"/>
      <c r="E1665" s="19" t="n">
        <f aca="false">F1665*0.03</f>
        <v>0</v>
      </c>
      <c r="F1665" s="33" t="n">
        <v>0</v>
      </c>
      <c r="G1665" s="131"/>
      <c r="H1665" s="35" t="n">
        <v>0</v>
      </c>
      <c r="I1665" s="34" t="n">
        <f aca="false">+IF(E1665=0,0,E1665*0.03)</f>
        <v>0</v>
      </c>
      <c r="J1665" s="93"/>
      <c r="K1665" s="93"/>
      <c r="L1665" s="93"/>
      <c r="M1665" s="93"/>
      <c r="N1665" s="93"/>
      <c r="O1665" s="93"/>
      <c r="P1665" s="93"/>
      <c r="Q1665" s="93"/>
      <c r="R1665" s="93"/>
      <c r="S1665" s="93"/>
      <c r="T1665" s="93"/>
      <c r="U1665" s="93"/>
      <c r="V1665" s="93"/>
      <c r="W1665" s="93"/>
      <c r="X1665" s="93"/>
      <c r="Y1665" s="93"/>
      <c r="Z1665" s="93"/>
    </row>
    <row r="1666" customFormat="false" ht="16.4" hidden="false" customHeight="false" outlineLevel="0" collapsed="false">
      <c r="A1666" s="123" t="n">
        <v>45444</v>
      </c>
      <c r="B1666" s="31" t="s">
        <v>153</v>
      </c>
      <c r="C1666" s="129"/>
      <c r="D1666" s="129"/>
      <c r="E1666" s="19" t="n">
        <f aca="false">F1666*0.03</f>
        <v>0</v>
      </c>
      <c r="F1666" s="33" t="n">
        <v>0</v>
      </c>
      <c r="G1666" s="131"/>
      <c r="H1666" s="35" t="n">
        <v>0</v>
      </c>
      <c r="I1666" s="34" t="n">
        <f aca="false">+IF(E1666=0,0,E1666*0.03)</f>
        <v>0</v>
      </c>
      <c r="J1666" s="93"/>
      <c r="K1666" s="93"/>
      <c r="L1666" s="93"/>
      <c r="M1666" s="93"/>
      <c r="N1666" s="93"/>
      <c r="O1666" s="93"/>
      <c r="P1666" s="93"/>
      <c r="Q1666" s="93"/>
      <c r="R1666" s="93"/>
      <c r="S1666" s="93"/>
      <c r="T1666" s="93"/>
      <c r="U1666" s="93"/>
      <c r="V1666" s="93"/>
      <c r="W1666" s="93"/>
      <c r="X1666" s="93"/>
      <c r="Y1666" s="93"/>
      <c r="Z1666" s="93"/>
    </row>
    <row r="1667" customFormat="false" ht="16.4" hidden="false" customHeight="false" outlineLevel="0" collapsed="false">
      <c r="A1667" s="123" t="n">
        <v>45444</v>
      </c>
      <c r="B1667" s="31" t="s">
        <v>153</v>
      </c>
      <c r="C1667" s="129"/>
      <c r="D1667" s="129"/>
      <c r="E1667" s="19" t="n">
        <f aca="false">F1667*0.03</f>
        <v>0</v>
      </c>
      <c r="F1667" s="33" t="n">
        <v>0</v>
      </c>
      <c r="G1667" s="131"/>
      <c r="H1667" s="35" t="n">
        <v>0</v>
      </c>
      <c r="I1667" s="34" t="n">
        <f aca="false">+IF(E1667=0,0,E1667*0.03)</f>
        <v>0</v>
      </c>
      <c r="J1667" s="93"/>
      <c r="K1667" s="93"/>
      <c r="L1667" s="93"/>
      <c r="M1667" s="93"/>
      <c r="N1667" s="93"/>
      <c r="O1667" s="93"/>
      <c r="P1667" s="93"/>
      <c r="Q1667" s="93"/>
      <c r="R1667" s="93"/>
      <c r="S1667" s="93"/>
      <c r="T1667" s="93"/>
      <c r="U1667" s="93"/>
      <c r="V1667" s="93"/>
      <c r="W1667" s="93"/>
      <c r="X1667" s="93"/>
      <c r="Y1667" s="93"/>
      <c r="Z1667" s="93"/>
    </row>
    <row r="1668" customFormat="false" ht="16.4" hidden="false" customHeight="false" outlineLevel="0" collapsed="false">
      <c r="A1668" s="123" t="n">
        <v>45444</v>
      </c>
      <c r="B1668" s="31" t="s">
        <v>153</v>
      </c>
      <c r="C1668" s="129"/>
      <c r="D1668" s="129"/>
      <c r="E1668" s="19" t="n">
        <f aca="false">F1668*0.03</f>
        <v>0</v>
      </c>
      <c r="F1668" s="33" t="n">
        <v>0</v>
      </c>
      <c r="G1668" s="131"/>
      <c r="H1668" s="35" t="n">
        <v>0</v>
      </c>
      <c r="I1668" s="34" t="n">
        <f aca="false">+IF(E1668=0,0,E1668*0.03)</f>
        <v>0</v>
      </c>
      <c r="J1668" s="93"/>
      <c r="K1668" s="93"/>
      <c r="L1668" s="93"/>
      <c r="M1668" s="93"/>
      <c r="N1668" s="93"/>
      <c r="O1668" s="93"/>
      <c r="P1668" s="93"/>
      <c r="Q1668" s="93"/>
      <c r="R1668" s="93"/>
      <c r="S1668" s="93"/>
      <c r="T1668" s="93"/>
      <c r="U1668" s="93"/>
      <c r="V1668" s="93"/>
      <c r="W1668" s="93"/>
      <c r="X1668" s="93"/>
      <c r="Y1668" s="93"/>
      <c r="Z1668" s="93"/>
    </row>
    <row r="1669" customFormat="false" ht="16.4" hidden="false" customHeight="false" outlineLevel="0" collapsed="false">
      <c r="A1669" s="123" t="n">
        <v>45444</v>
      </c>
      <c r="B1669" s="31" t="s">
        <v>153</v>
      </c>
      <c r="C1669" s="129"/>
      <c r="D1669" s="129"/>
      <c r="E1669" s="19" t="n">
        <f aca="false">F1669*0.03</f>
        <v>0</v>
      </c>
      <c r="F1669" s="33" t="n">
        <v>0</v>
      </c>
      <c r="G1669" s="131"/>
      <c r="H1669" s="35" t="n">
        <v>0</v>
      </c>
      <c r="I1669" s="34" t="n">
        <f aca="false">+IF(E1669=0,0,E1669*0.03)</f>
        <v>0</v>
      </c>
      <c r="J1669" s="93"/>
      <c r="K1669" s="93"/>
      <c r="L1669" s="93"/>
      <c r="M1669" s="93"/>
      <c r="N1669" s="93"/>
      <c r="O1669" s="93"/>
      <c r="P1669" s="93"/>
      <c r="Q1669" s="93"/>
      <c r="R1669" s="93"/>
      <c r="S1669" s="93"/>
      <c r="T1669" s="93"/>
      <c r="U1669" s="93"/>
      <c r="V1669" s="93"/>
      <c r="W1669" s="93"/>
      <c r="X1669" s="93"/>
      <c r="Y1669" s="93"/>
      <c r="Z1669" s="93"/>
    </row>
    <row r="1670" customFormat="false" ht="16.4" hidden="false" customHeight="false" outlineLevel="0" collapsed="false">
      <c r="A1670" s="123" t="n">
        <v>45444</v>
      </c>
      <c r="B1670" s="31" t="s">
        <v>153</v>
      </c>
      <c r="C1670" s="129"/>
      <c r="D1670" s="129"/>
      <c r="E1670" s="19" t="n">
        <f aca="false">F1670*0.03</f>
        <v>0</v>
      </c>
      <c r="F1670" s="33" t="n">
        <v>0</v>
      </c>
      <c r="G1670" s="131"/>
      <c r="H1670" s="35" t="n">
        <v>0</v>
      </c>
      <c r="I1670" s="34" t="n">
        <f aca="false">+IF(E1670=0,0,E1670*0.03)</f>
        <v>0</v>
      </c>
      <c r="J1670" s="93"/>
      <c r="K1670" s="93"/>
      <c r="L1670" s="93"/>
      <c r="M1670" s="93"/>
      <c r="N1670" s="93"/>
      <c r="O1670" s="93"/>
      <c r="P1670" s="93"/>
      <c r="Q1670" s="93"/>
      <c r="R1670" s="93"/>
      <c r="S1670" s="93"/>
      <c r="T1670" s="93"/>
      <c r="U1670" s="93"/>
      <c r="V1670" s="93"/>
      <c r="W1670" s="93"/>
      <c r="X1670" s="93"/>
      <c r="Y1670" s="93"/>
      <c r="Z1670" s="93"/>
    </row>
    <row r="1671" customFormat="false" ht="16.4" hidden="false" customHeight="false" outlineLevel="0" collapsed="false">
      <c r="A1671" s="123" t="n">
        <v>45444</v>
      </c>
      <c r="B1671" s="31" t="s">
        <v>153</v>
      </c>
      <c r="C1671" s="129"/>
      <c r="D1671" s="129"/>
      <c r="E1671" s="19" t="n">
        <f aca="false">F1671*0.03</f>
        <v>0</v>
      </c>
      <c r="F1671" s="33" t="n">
        <v>0</v>
      </c>
      <c r="G1671" s="131"/>
      <c r="H1671" s="35" t="n">
        <v>0</v>
      </c>
      <c r="I1671" s="34" t="n">
        <f aca="false">+IF(E1671=0,0,E1671*0.03)</f>
        <v>0</v>
      </c>
      <c r="J1671" s="93"/>
      <c r="K1671" s="93"/>
      <c r="L1671" s="93"/>
      <c r="M1671" s="93"/>
      <c r="N1671" s="93"/>
      <c r="O1671" s="93"/>
      <c r="P1671" s="93"/>
      <c r="Q1671" s="93"/>
      <c r="R1671" s="93"/>
      <c r="S1671" s="93"/>
      <c r="T1671" s="93"/>
      <c r="U1671" s="93"/>
      <c r="V1671" s="93"/>
      <c r="W1671" s="93"/>
      <c r="X1671" s="93"/>
      <c r="Y1671" s="93"/>
      <c r="Z1671" s="93"/>
    </row>
    <row r="1672" customFormat="false" ht="16.4" hidden="false" customHeight="false" outlineLevel="0" collapsed="false">
      <c r="A1672" s="123" t="n">
        <v>45444</v>
      </c>
      <c r="B1672" s="31" t="s">
        <v>153</v>
      </c>
      <c r="C1672" s="129"/>
      <c r="D1672" s="129"/>
      <c r="E1672" s="19" t="n">
        <f aca="false">F1672*0.03</f>
        <v>0</v>
      </c>
      <c r="F1672" s="33" t="n">
        <v>0</v>
      </c>
      <c r="G1672" s="131"/>
      <c r="H1672" s="35" t="n">
        <v>0</v>
      </c>
      <c r="I1672" s="34" t="n">
        <f aca="false">+IF(E1672=0,0,E1672*0.03)</f>
        <v>0</v>
      </c>
      <c r="J1672" s="93"/>
      <c r="K1672" s="93"/>
      <c r="L1672" s="93"/>
      <c r="M1672" s="93"/>
      <c r="N1672" s="93"/>
      <c r="O1672" s="93"/>
      <c r="P1672" s="93"/>
      <c r="Q1672" s="93"/>
      <c r="R1672" s="93"/>
      <c r="S1672" s="93"/>
      <c r="T1672" s="93"/>
      <c r="U1672" s="93"/>
      <c r="V1672" s="93"/>
      <c r="W1672" s="93"/>
      <c r="X1672" s="93"/>
      <c r="Y1672" s="93"/>
      <c r="Z1672" s="93"/>
    </row>
    <row r="1673" customFormat="false" ht="16.4" hidden="false" customHeight="false" outlineLevel="0" collapsed="false">
      <c r="A1673" s="123" t="n">
        <v>45444</v>
      </c>
      <c r="B1673" s="31" t="s">
        <v>153</v>
      </c>
      <c r="C1673" s="129"/>
      <c r="D1673" s="129"/>
      <c r="E1673" s="19" t="n">
        <f aca="false">F1673*0.03</f>
        <v>0</v>
      </c>
      <c r="F1673" s="33" t="n">
        <v>0</v>
      </c>
      <c r="G1673" s="131"/>
      <c r="H1673" s="35" t="n">
        <v>0</v>
      </c>
      <c r="I1673" s="34" t="n">
        <f aca="false">+IF(E1673=0,0,E1673*0.03)</f>
        <v>0</v>
      </c>
      <c r="J1673" s="93"/>
      <c r="K1673" s="93"/>
      <c r="L1673" s="93"/>
      <c r="M1673" s="93"/>
      <c r="N1673" s="93"/>
      <c r="O1673" s="93"/>
      <c r="P1673" s="93"/>
      <c r="Q1673" s="93"/>
      <c r="R1673" s="93"/>
      <c r="S1673" s="93"/>
      <c r="T1673" s="93"/>
      <c r="U1673" s="93"/>
      <c r="V1673" s="93"/>
      <c r="W1673" s="93"/>
      <c r="X1673" s="93"/>
      <c r="Y1673" s="93"/>
      <c r="Z1673" s="93"/>
    </row>
    <row r="1674" customFormat="false" ht="16.4" hidden="false" customHeight="false" outlineLevel="0" collapsed="false">
      <c r="A1674" s="123" t="n">
        <v>45444</v>
      </c>
      <c r="B1674" s="31" t="s">
        <v>153</v>
      </c>
      <c r="C1674" s="129"/>
      <c r="D1674" s="129"/>
      <c r="E1674" s="19" t="n">
        <f aca="false">F1674*0.03</f>
        <v>0</v>
      </c>
      <c r="F1674" s="33" t="n">
        <v>0</v>
      </c>
      <c r="G1674" s="131"/>
      <c r="H1674" s="35" t="n">
        <v>0</v>
      </c>
      <c r="I1674" s="34" t="n">
        <f aca="false">+IF(E1674=0,0,E1674*0.03)</f>
        <v>0</v>
      </c>
      <c r="J1674" s="93"/>
      <c r="K1674" s="93"/>
      <c r="L1674" s="93"/>
      <c r="M1674" s="93"/>
      <c r="N1674" s="93"/>
      <c r="O1674" s="93"/>
      <c r="P1674" s="93"/>
      <c r="Q1674" s="93"/>
      <c r="R1674" s="93"/>
      <c r="S1674" s="93"/>
      <c r="T1674" s="93"/>
      <c r="U1674" s="93"/>
      <c r="V1674" s="93"/>
      <c r="W1674" s="93"/>
      <c r="X1674" s="93"/>
      <c r="Y1674" s="93"/>
      <c r="Z1674" s="93"/>
    </row>
    <row r="1675" customFormat="false" ht="16.4" hidden="false" customHeight="false" outlineLevel="0" collapsed="false">
      <c r="A1675" s="123" t="n">
        <v>45444</v>
      </c>
      <c r="B1675" s="31" t="s">
        <v>153</v>
      </c>
      <c r="C1675" s="129"/>
      <c r="D1675" s="129"/>
      <c r="E1675" s="19" t="n">
        <f aca="false">F1675*0.03</f>
        <v>0</v>
      </c>
      <c r="F1675" s="33" t="n">
        <v>0</v>
      </c>
      <c r="G1675" s="131"/>
      <c r="H1675" s="35" t="n">
        <v>0</v>
      </c>
      <c r="I1675" s="34" t="n">
        <f aca="false">+IF(E1675=0,0,E1675*0.03)</f>
        <v>0</v>
      </c>
      <c r="J1675" s="93"/>
      <c r="K1675" s="93"/>
      <c r="L1675" s="93"/>
      <c r="M1675" s="93"/>
      <c r="N1675" s="93"/>
      <c r="O1675" s="93"/>
      <c r="P1675" s="93"/>
      <c r="Q1675" s="93"/>
      <c r="R1675" s="93"/>
      <c r="S1675" s="93"/>
      <c r="T1675" s="93"/>
      <c r="U1675" s="93"/>
      <c r="V1675" s="93"/>
      <c r="W1675" s="93"/>
      <c r="X1675" s="93"/>
      <c r="Y1675" s="93"/>
      <c r="Z1675" s="93"/>
    </row>
    <row r="1676" customFormat="false" ht="16.4" hidden="false" customHeight="false" outlineLevel="0" collapsed="false">
      <c r="A1676" s="123" t="n">
        <v>45444</v>
      </c>
      <c r="B1676" s="31" t="s">
        <v>153</v>
      </c>
      <c r="C1676" s="129"/>
      <c r="D1676" s="129"/>
      <c r="E1676" s="19" t="n">
        <f aca="false">F1676*0.03</f>
        <v>0</v>
      </c>
      <c r="F1676" s="33" t="n">
        <v>0</v>
      </c>
      <c r="G1676" s="131"/>
      <c r="H1676" s="35" t="n">
        <v>0</v>
      </c>
      <c r="I1676" s="34" t="n">
        <f aca="false">+IF(E1676=0,0,E1676*0.03)</f>
        <v>0</v>
      </c>
      <c r="J1676" s="93"/>
      <c r="K1676" s="93"/>
      <c r="L1676" s="93"/>
      <c r="M1676" s="93"/>
      <c r="N1676" s="93"/>
      <c r="O1676" s="93"/>
      <c r="P1676" s="93"/>
      <c r="Q1676" s="93"/>
      <c r="R1676" s="93"/>
      <c r="S1676" s="93"/>
      <c r="T1676" s="93"/>
      <c r="U1676" s="93"/>
      <c r="V1676" s="93"/>
      <c r="W1676" s="93"/>
      <c r="X1676" s="93"/>
      <c r="Y1676" s="93"/>
      <c r="Z1676" s="93"/>
    </row>
    <row r="1677" customFormat="false" ht="16.4" hidden="false" customHeight="false" outlineLevel="0" collapsed="false">
      <c r="A1677" s="123" t="n">
        <v>45444</v>
      </c>
      <c r="B1677" s="31" t="s">
        <v>153</v>
      </c>
      <c r="C1677" s="129"/>
      <c r="D1677" s="129"/>
      <c r="E1677" s="19" t="n">
        <f aca="false">F1677*0.03</f>
        <v>0</v>
      </c>
      <c r="F1677" s="33" t="n">
        <v>0</v>
      </c>
      <c r="G1677" s="131"/>
      <c r="H1677" s="35" t="n">
        <v>0</v>
      </c>
      <c r="I1677" s="34" t="n">
        <f aca="false">+IF(E1677=0,0,E1677*0.03)</f>
        <v>0</v>
      </c>
      <c r="J1677" s="93"/>
      <c r="K1677" s="93"/>
      <c r="L1677" s="93"/>
      <c r="M1677" s="93"/>
      <c r="N1677" s="93"/>
      <c r="O1677" s="93"/>
      <c r="P1677" s="93"/>
      <c r="Q1677" s="93"/>
      <c r="R1677" s="93"/>
      <c r="S1677" s="93"/>
      <c r="T1677" s="93"/>
      <c r="U1677" s="93"/>
      <c r="V1677" s="93"/>
      <c r="W1677" s="93"/>
      <c r="X1677" s="93"/>
      <c r="Y1677" s="93"/>
      <c r="Z1677" s="93"/>
    </row>
    <row r="1678" customFormat="false" ht="16.4" hidden="false" customHeight="false" outlineLevel="0" collapsed="false">
      <c r="A1678" s="123" t="n">
        <v>45444</v>
      </c>
      <c r="B1678" s="31" t="s">
        <v>153</v>
      </c>
      <c r="C1678" s="129"/>
      <c r="D1678" s="129"/>
      <c r="E1678" s="19" t="n">
        <f aca="false">F1678*0.03</f>
        <v>0</v>
      </c>
      <c r="F1678" s="33" t="n">
        <v>0</v>
      </c>
      <c r="G1678" s="131"/>
      <c r="H1678" s="35" t="n">
        <v>0</v>
      </c>
      <c r="I1678" s="34" t="n">
        <f aca="false">+IF(E1678=0,0,E1678*0.03)</f>
        <v>0</v>
      </c>
      <c r="J1678" s="93"/>
      <c r="K1678" s="93"/>
      <c r="L1678" s="93"/>
      <c r="M1678" s="93"/>
      <c r="N1678" s="93"/>
      <c r="O1678" s="93"/>
      <c r="P1678" s="93"/>
      <c r="Q1678" s="93"/>
      <c r="R1678" s="93"/>
      <c r="S1678" s="93"/>
      <c r="T1678" s="93"/>
      <c r="U1678" s="93"/>
      <c r="V1678" s="93"/>
      <c r="W1678" s="93"/>
      <c r="X1678" s="93"/>
      <c r="Y1678" s="93"/>
      <c r="Z1678" s="93"/>
    </row>
    <row r="1679" customFormat="false" ht="16.4" hidden="false" customHeight="false" outlineLevel="0" collapsed="false">
      <c r="A1679" s="123" t="n">
        <v>45444</v>
      </c>
      <c r="B1679" s="31" t="s">
        <v>153</v>
      </c>
      <c r="C1679" s="129"/>
      <c r="D1679" s="129"/>
      <c r="E1679" s="19" t="n">
        <f aca="false">F1679*0.03</f>
        <v>0</v>
      </c>
      <c r="F1679" s="33" t="n">
        <v>0</v>
      </c>
      <c r="G1679" s="131"/>
      <c r="H1679" s="35" t="n">
        <v>0</v>
      </c>
      <c r="I1679" s="34" t="n">
        <f aca="false">+IF(E1679=0,0,E1679*0.03)</f>
        <v>0</v>
      </c>
      <c r="J1679" s="93"/>
      <c r="K1679" s="93"/>
      <c r="L1679" s="93"/>
      <c r="M1679" s="93"/>
      <c r="N1679" s="93"/>
      <c r="O1679" s="93"/>
      <c r="P1679" s="93"/>
      <c r="Q1679" s="93"/>
      <c r="R1679" s="93"/>
      <c r="S1679" s="93"/>
      <c r="T1679" s="93"/>
      <c r="U1679" s="93"/>
      <c r="V1679" s="93"/>
      <c r="W1679" s="93"/>
      <c r="X1679" s="93"/>
      <c r="Y1679" s="93"/>
      <c r="Z1679" s="93"/>
    </row>
    <row r="1680" customFormat="false" ht="16.4" hidden="false" customHeight="false" outlineLevel="0" collapsed="false">
      <c r="A1680" s="123" t="n">
        <v>45444</v>
      </c>
      <c r="B1680" s="31" t="s">
        <v>153</v>
      </c>
      <c r="C1680" s="129"/>
      <c r="D1680" s="129"/>
      <c r="E1680" s="19" t="n">
        <f aca="false">F1680*0.03</f>
        <v>0</v>
      </c>
      <c r="F1680" s="33" t="n">
        <v>0</v>
      </c>
      <c r="G1680" s="131"/>
      <c r="H1680" s="35" t="n">
        <v>0</v>
      </c>
      <c r="I1680" s="34" t="n">
        <f aca="false">+IF(E1680=0,0,E1680*0.03)</f>
        <v>0</v>
      </c>
      <c r="J1680" s="93"/>
      <c r="K1680" s="93"/>
      <c r="L1680" s="93"/>
      <c r="M1680" s="93"/>
      <c r="N1680" s="93"/>
      <c r="O1680" s="93"/>
      <c r="P1680" s="93"/>
      <c r="Q1680" s="93"/>
      <c r="R1680" s="93"/>
      <c r="S1680" s="93"/>
      <c r="T1680" s="93"/>
      <c r="U1680" s="93"/>
      <c r="V1680" s="93"/>
      <c r="W1680" s="93"/>
      <c r="X1680" s="93"/>
      <c r="Y1680" s="93"/>
      <c r="Z1680" s="93"/>
    </row>
    <row r="1681" customFormat="false" ht="16.4" hidden="false" customHeight="false" outlineLevel="0" collapsed="false">
      <c r="A1681" s="123" t="n">
        <v>45444</v>
      </c>
      <c r="B1681" s="31" t="s">
        <v>153</v>
      </c>
      <c r="C1681" s="129"/>
      <c r="D1681" s="129"/>
      <c r="E1681" s="19" t="n">
        <f aca="false">F1681*0.03</f>
        <v>0</v>
      </c>
      <c r="F1681" s="33" t="n">
        <v>0</v>
      </c>
      <c r="G1681" s="131"/>
      <c r="H1681" s="35" t="n">
        <v>0</v>
      </c>
      <c r="I1681" s="34" t="n">
        <f aca="false">+IF(E1681=0,0,E1681*0.03)</f>
        <v>0</v>
      </c>
      <c r="J1681" s="93"/>
      <c r="K1681" s="93"/>
      <c r="L1681" s="93"/>
      <c r="M1681" s="93"/>
      <c r="N1681" s="93"/>
      <c r="O1681" s="93"/>
      <c r="P1681" s="93"/>
      <c r="Q1681" s="93"/>
      <c r="R1681" s="93"/>
      <c r="S1681" s="93"/>
      <c r="T1681" s="93"/>
      <c r="U1681" s="93"/>
      <c r="V1681" s="93"/>
      <c r="W1681" s="93"/>
      <c r="X1681" s="93"/>
      <c r="Y1681" s="93"/>
      <c r="Z1681" s="93"/>
    </row>
    <row r="1682" customFormat="false" ht="16.4" hidden="false" customHeight="false" outlineLevel="0" collapsed="false">
      <c r="A1682" s="123" t="n">
        <v>45444</v>
      </c>
      <c r="B1682" s="31" t="s">
        <v>153</v>
      </c>
      <c r="C1682" s="129"/>
      <c r="D1682" s="129"/>
      <c r="E1682" s="19" t="n">
        <f aca="false">F1682*0.03</f>
        <v>0</v>
      </c>
      <c r="F1682" s="33" t="n">
        <v>0</v>
      </c>
      <c r="G1682" s="131"/>
      <c r="H1682" s="35" t="n">
        <v>0</v>
      </c>
      <c r="I1682" s="34" t="n">
        <f aca="false">+IF(E1682=0,0,E1682*0.03)</f>
        <v>0</v>
      </c>
      <c r="J1682" s="93"/>
      <c r="K1682" s="93"/>
      <c r="L1682" s="93"/>
      <c r="M1682" s="93"/>
      <c r="N1682" s="93"/>
      <c r="O1682" s="93"/>
      <c r="P1682" s="93"/>
      <c r="Q1682" s="93"/>
      <c r="R1682" s="93"/>
      <c r="S1682" s="93"/>
      <c r="T1682" s="93"/>
      <c r="U1682" s="93"/>
      <c r="V1682" s="93"/>
      <c r="W1682" s="93"/>
      <c r="X1682" s="93"/>
      <c r="Y1682" s="93"/>
      <c r="Z1682" s="93"/>
    </row>
    <row r="1683" customFormat="false" ht="16.4" hidden="false" customHeight="false" outlineLevel="0" collapsed="false">
      <c r="A1683" s="123" t="n">
        <v>45444</v>
      </c>
      <c r="B1683" s="31" t="s">
        <v>153</v>
      </c>
      <c r="C1683" s="129"/>
      <c r="D1683" s="129"/>
      <c r="E1683" s="19" t="n">
        <f aca="false">F1683*0.03</f>
        <v>0</v>
      </c>
      <c r="F1683" s="33" t="n">
        <v>0</v>
      </c>
      <c r="G1683" s="131"/>
      <c r="H1683" s="35" t="n">
        <v>0</v>
      </c>
      <c r="I1683" s="34" t="n">
        <f aca="false">+IF(E1683=0,0,E1683*0.03)</f>
        <v>0</v>
      </c>
      <c r="J1683" s="93"/>
      <c r="K1683" s="93"/>
      <c r="L1683" s="93"/>
      <c r="M1683" s="93"/>
      <c r="N1683" s="93"/>
      <c r="O1683" s="93"/>
      <c r="P1683" s="93"/>
      <c r="Q1683" s="93"/>
      <c r="R1683" s="93"/>
      <c r="S1683" s="93"/>
      <c r="T1683" s="93"/>
      <c r="U1683" s="93"/>
      <c r="V1683" s="93"/>
      <c r="W1683" s="93"/>
      <c r="X1683" s="93"/>
      <c r="Y1683" s="93"/>
      <c r="Z1683" s="93"/>
    </row>
    <row r="1684" customFormat="false" ht="16.4" hidden="false" customHeight="false" outlineLevel="0" collapsed="false">
      <c r="A1684" s="123" t="n">
        <v>45444</v>
      </c>
      <c r="B1684" s="31" t="s">
        <v>153</v>
      </c>
      <c r="C1684" s="129"/>
      <c r="D1684" s="129"/>
      <c r="E1684" s="19" t="n">
        <f aca="false">F1684*0.03</f>
        <v>0</v>
      </c>
      <c r="F1684" s="33" t="n">
        <v>0</v>
      </c>
      <c r="G1684" s="131"/>
      <c r="H1684" s="35" t="n">
        <v>0</v>
      </c>
      <c r="I1684" s="34" t="n">
        <f aca="false">+IF(E1684=0,0,E1684*0.03)</f>
        <v>0</v>
      </c>
      <c r="J1684" s="93"/>
      <c r="K1684" s="93"/>
      <c r="L1684" s="93"/>
      <c r="M1684" s="93"/>
      <c r="N1684" s="93"/>
      <c r="O1684" s="93"/>
      <c r="P1684" s="93"/>
      <c r="Q1684" s="93"/>
      <c r="R1684" s="93"/>
      <c r="S1684" s="93"/>
      <c r="T1684" s="93"/>
      <c r="U1684" s="93"/>
      <c r="V1684" s="93"/>
      <c r="W1684" s="93"/>
      <c r="X1684" s="93"/>
      <c r="Y1684" s="93"/>
      <c r="Z1684" s="93"/>
    </row>
    <row r="1685" customFormat="false" ht="16.4" hidden="false" customHeight="false" outlineLevel="0" collapsed="false">
      <c r="A1685" s="123" t="n">
        <v>45444</v>
      </c>
      <c r="B1685" s="31" t="s">
        <v>153</v>
      </c>
      <c r="C1685" s="129"/>
      <c r="D1685" s="129"/>
      <c r="E1685" s="19" t="n">
        <f aca="false">F1685*0.03</f>
        <v>0</v>
      </c>
      <c r="F1685" s="33" t="n">
        <v>0</v>
      </c>
      <c r="G1685" s="131"/>
      <c r="H1685" s="35" t="n">
        <v>0</v>
      </c>
      <c r="I1685" s="34" t="n">
        <f aca="false">+IF(E1685=0,0,E1685*0.03)</f>
        <v>0</v>
      </c>
      <c r="J1685" s="93"/>
      <c r="K1685" s="93"/>
      <c r="L1685" s="93"/>
      <c r="M1685" s="93"/>
      <c r="N1685" s="93"/>
      <c r="O1685" s="93"/>
      <c r="P1685" s="93"/>
      <c r="Q1685" s="93"/>
      <c r="R1685" s="93"/>
      <c r="S1685" s="93"/>
      <c r="T1685" s="93"/>
      <c r="U1685" s="93"/>
      <c r="V1685" s="93"/>
      <c r="W1685" s="93"/>
      <c r="X1685" s="93"/>
      <c r="Y1685" s="93"/>
      <c r="Z1685" s="93"/>
    </row>
    <row r="1686" customFormat="false" ht="16.4" hidden="false" customHeight="false" outlineLevel="0" collapsed="false">
      <c r="A1686" s="123" t="n">
        <v>45444</v>
      </c>
      <c r="B1686" s="31" t="s">
        <v>153</v>
      </c>
      <c r="C1686" s="129"/>
      <c r="D1686" s="129"/>
      <c r="E1686" s="19" t="n">
        <f aca="false">F1686*0.03</f>
        <v>0</v>
      </c>
      <c r="F1686" s="33" t="n">
        <v>0</v>
      </c>
      <c r="G1686" s="131"/>
      <c r="H1686" s="35" t="n">
        <v>0</v>
      </c>
      <c r="I1686" s="34" t="n">
        <f aca="false">+IF(E1686=0,0,E1686*0.03)</f>
        <v>0</v>
      </c>
      <c r="J1686" s="93"/>
      <c r="K1686" s="93"/>
      <c r="L1686" s="93"/>
      <c r="M1686" s="93"/>
      <c r="N1686" s="93"/>
      <c r="O1686" s="93"/>
      <c r="P1686" s="93"/>
      <c r="Q1686" s="93"/>
      <c r="R1686" s="93"/>
      <c r="S1686" s="93"/>
      <c r="T1686" s="93"/>
      <c r="U1686" s="93"/>
      <c r="V1686" s="93"/>
      <c r="W1686" s="93"/>
      <c r="X1686" s="93"/>
      <c r="Y1686" s="93"/>
      <c r="Z1686" s="93"/>
    </row>
    <row r="1687" customFormat="false" ht="16.4" hidden="false" customHeight="false" outlineLevel="0" collapsed="false">
      <c r="A1687" s="123" t="n">
        <v>45444</v>
      </c>
      <c r="B1687" s="31" t="s">
        <v>153</v>
      </c>
      <c r="C1687" s="129"/>
      <c r="D1687" s="129"/>
      <c r="E1687" s="19" t="n">
        <f aca="false">F1687*0.03</f>
        <v>0</v>
      </c>
      <c r="F1687" s="33" t="n">
        <v>0</v>
      </c>
      <c r="G1687" s="131"/>
      <c r="H1687" s="35" t="n">
        <v>0</v>
      </c>
      <c r="I1687" s="34" t="n">
        <f aca="false">+IF(E1687=0,0,E1687*0.03)</f>
        <v>0</v>
      </c>
      <c r="J1687" s="93"/>
      <c r="K1687" s="93"/>
      <c r="L1687" s="93"/>
      <c r="M1687" s="93"/>
      <c r="N1687" s="93"/>
      <c r="O1687" s="93"/>
      <c r="P1687" s="93"/>
      <c r="Q1687" s="93"/>
      <c r="R1687" s="93"/>
      <c r="S1687" s="93"/>
      <c r="T1687" s="93"/>
      <c r="U1687" s="93"/>
      <c r="V1687" s="93"/>
      <c r="W1687" s="93"/>
      <c r="X1687" s="93"/>
      <c r="Y1687" s="93"/>
      <c r="Z1687" s="93"/>
    </row>
    <row r="1688" customFormat="false" ht="16.4" hidden="false" customHeight="false" outlineLevel="0" collapsed="false">
      <c r="A1688" s="123" t="n">
        <v>45444</v>
      </c>
      <c r="B1688" s="31" t="s">
        <v>153</v>
      </c>
      <c r="C1688" s="129"/>
      <c r="D1688" s="129"/>
      <c r="E1688" s="19" t="n">
        <f aca="false">F1688*0.03</f>
        <v>0</v>
      </c>
      <c r="F1688" s="33" t="n">
        <v>0</v>
      </c>
      <c r="G1688" s="131"/>
      <c r="H1688" s="35" t="n">
        <v>0</v>
      </c>
      <c r="I1688" s="34" t="n">
        <f aca="false">+IF(E1688=0,0,E1688*0.03)</f>
        <v>0</v>
      </c>
      <c r="J1688" s="93"/>
      <c r="K1688" s="93"/>
      <c r="L1688" s="93"/>
      <c r="M1688" s="93"/>
      <c r="N1688" s="93"/>
      <c r="O1688" s="93"/>
      <c r="P1688" s="93"/>
      <c r="Q1688" s="93"/>
      <c r="R1688" s="93"/>
      <c r="S1688" s="93"/>
      <c r="T1688" s="93"/>
      <c r="U1688" s="93"/>
      <c r="V1688" s="93"/>
      <c r="W1688" s="93"/>
      <c r="X1688" s="93"/>
      <c r="Y1688" s="93"/>
      <c r="Z1688" s="93"/>
    </row>
    <row r="1689" customFormat="false" ht="16.4" hidden="false" customHeight="false" outlineLevel="0" collapsed="false">
      <c r="A1689" s="123" t="n">
        <v>45444</v>
      </c>
      <c r="B1689" s="31" t="s">
        <v>153</v>
      </c>
      <c r="C1689" s="129"/>
      <c r="D1689" s="129"/>
      <c r="E1689" s="19" t="n">
        <f aca="false">F1689*0.03</f>
        <v>0</v>
      </c>
      <c r="F1689" s="33" t="n">
        <v>0</v>
      </c>
      <c r="G1689" s="131"/>
      <c r="H1689" s="35" t="n">
        <v>0</v>
      </c>
      <c r="I1689" s="34" t="n">
        <f aca="false">+IF(E1689=0,0,E1689*0.03)</f>
        <v>0</v>
      </c>
      <c r="J1689" s="93"/>
      <c r="K1689" s="93"/>
      <c r="L1689" s="93"/>
      <c r="M1689" s="93"/>
      <c r="N1689" s="93"/>
      <c r="O1689" s="93"/>
      <c r="P1689" s="93"/>
      <c r="Q1689" s="93"/>
      <c r="R1689" s="93"/>
      <c r="S1689" s="93"/>
      <c r="T1689" s="93"/>
      <c r="U1689" s="93"/>
      <c r="V1689" s="93"/>
      <c r="W1689" s="93"/>
      <c r="X1689" s="93"/>
      <c r="Y1689" s="93"/>
      <c r="Z1689" s="93"/>
    </row>
    <row r="1690" customFormat="false" ht="16.4" hidden="false" customHeight="false" outlineLevel="0" collapsed="false">
      <c r="A1690" s="123" t="n">
        <v>45444</v>
      </c>
      <c r="B1690" s="31" t="s">
        <v>153</v>
      </c>
      <c r="C1690" s="129"/>
      <c r="D1690" s="129"/>
      <c r="E1690" s="19" t="n">
        <f aca="false">F1690*0.03</f>
        <v>0</v>
      </c>
      <c r="F1690" s="33" t="n">
        <v>0</v>
      </c>
      <c r="G1690" s="131"/>
      <c r="H1690" s="35" t="n">
        <v>0</v>
      </c>
      <c r="I1690" s="34" t="n">
        <f aca="false">+IF(E1690=0,0,E1690*0.03)</f>
        <v>0</v>
      </c>
      <c r="J1690" s="93"/>
      <c r="K1690" s="93"/>
      <c r="L1690" s="93"/>
      <c r="M1690" s="93"/>
      <c r="N1690" s="93"/>
      <c r="O1690" s="93"/>
      <c r="P1690" s="93"/>
      <c r="Q1690" s="93"/>
      <c r="R1690" s="93"/>
      <c r="S1690" s="93"/>
      <c r="T1690" s="93"/>
      <c r="U1690" s="93"/>
      <c r="V1690" s="93"/>
      <c r="W1690" s="93"/>
      <c r="X1690" s="93"/>
      <c r="Y1690" s="93"/>
      <c r="Z1690" s="93"/>
    </row>
    <row r="1691" customFormat="false" ht="16.4" hidden="false" customHeight="false" outlineLevel="0" collapsed="false">
      <c r="A1691" s="123" t="n">
        <v>45444</v>
      </c>
      <c r="B1691" s="31" t="s">
        <v>153</v>
      </c>
      <c r="C1691" s="129"/>
      <c r="D1691" s="129"/>
      <c r="E1691" s="19" t="n">
        <f aca="false">F1691*0.03</f>
        <v>0</v>
      </c>
      <c r="F1691" s="33" t="n">
        <v>0</v>
      </c>
      <c r="G1691" s="131"/>
      <c r="H1691" s="35" t="n">
        <v>0</v>
      </c>
      <c r="I1691" s="34" t="n">
        <f aca="false">+IF(E1691=0,0,E1691*0.03)</f>
        <v>0</v>
      </c>
      <c r="J1691" s="93"/>
      <c r="K1691" s="93"/>
      <c r="L1691" s="93"/>
      <c r="M1691" s="93"/>
      <c r="N1691" s="93"/>
      <c r="O1691" s="93"/>
      <c r="P1691" s="93"/>
      <c r="Q1691" s="93"/>
      <c r="R1691" s="93"/>
      <c r="S1691" s="93"/>
      <c r="T1691" s="93"/>
      <c r="U1691" s="93"/>
      <c r="V1691" s="93"/>
      <c r="W1691" s="93"/>
      <c r="X1691" s="93"/>
      <c r="Y1691" s="93"/>
      <c r="Z1691" s="93"/>
    </row>
    <row r="1692" customFormat="false" ht="16.4" hidden="false" customHeight="false" outlineLevel="0" collapsed="false">
      <c r="A1692" s="123" t="n">
        <v>45444</v>
      </c>
      <c r="B1692" s="31" t="s">
        <v>153</v>
      </c>
      <c r="C1692" s="129"/>
      <c r="D1692" s="129"/>
      <c r="E1692" s="19" t="n">
        <f aca="false">F1692*0.03</f>
        <v>0</v>
      </c>
      <c r="F1692" s="33" t="n">
        <v>0</v>
      </c>
      <c r="G1692" s="131"/>
      <c r="H1692" s="35" t="n">
        <v>0</v>
      </c>
      <c r="I1692" s="34" t="n">
        <f aca="false">+IF(E1692=0,0,E1692*0.03)</f>
        <v>0</v>
      </c>
      <c r="J1692" s="93"/>
      <c r="K1692" s="93"/>
      <c r="L1692" s="93"/>
      <c r="M1692" s="93"/>
      <c r="N1692" s="93"/>
      <c r="O1692" s="93"/>
      <c r="P1692" s="93"/>
      <c r="Q1692" s="93"/>
      <c r="R1692" s="93"/>
      <c r="S1692" s="93"/>
      <c r="T1692" s="93"/>
      <c r="U1692" s="93"/>
      <c r="V1692" s="93"/>
      <c r="W1692" s="93"/>
      <c r="X1692" s="93"/>
      <c r="Y1692" s="93"/>
      <c r="Z1692" s="93"/>
    </row>
    <row r="1693" customFormat="false" ht="16.4" hidden="false" customHeight="false" outlineLevel="0" collapsed="false">
      <c r="A1693" s="123" t="n">
        <v>45444</v>
      </c>
      <c r="B1693" s="31" t="s">
        <v>153</v>
      </c>
      <c r="C1693" s="129"/>
      <c r="D1693" s="129"/>
      <c r="E1693" s="19" t="n">
        <f aca="false">F1693*0.03</f>
        <v>0</v>
      </c>
      <c r="F1693" s="33" t="n">
        <v>0</v>
      </c>
      <c r="G1693" s="131"/>
      <c r="H1693" s="35" t="n">
        <v>0</v>
      </c>
      <c r="I1693" s="34" t="n">
        <f aca="false">+IF(E1693=0,0,E1693*0.03)</f>
        <v>0</v>
      </c>
      <c r="J1693" s="93"/>
      <c r="K1693" s="93"/>
      <c r="L1693" s="93"/>
      <c r="M1693" s="93"/>
      <c r="N1693" s="93"/>
      <c r="O1693" s="93"/>
      <c r="P1693" s="93"/>
      <c r="Q1693" s="93"/>
      <c r="R1693" s="93"/>
      <c r="S1693" s="93"/>
      <c r="T1693" s="93"/>
      <c r="U1693" s="93"/>
      <c r="V1693" s="93"/>
      <c r="W1693" s="93"/>
      <c r="X1693" s="93"/>
      <c r="Y1693" s="93"/>
      <c r="Z1693" s="93"/>
    </row>
    <row r="1694" customFormat="false" ht="16.4" hidden="false" customHeight="false" outlineLevel="0" collapsed="false">
      <c r="A1694" s="123" t="n">
        <v>45444</v>
      </c>
      <c r="B1694" s="31" t="s">
        <v>153</v>
      </c>
      <c r="C1694" s="129"/>
      <c r="D1694" s="129"/>
      <c r="E1694" s="19" t="n">
        <f aca="false">F1694*0.03</f>
        <v>0</v>
      </c>
      <c r="F1694" s="33" t="n">
        <v>0</v>
      </c>
      <c r="G1694" s="131"/>
      <c r="H1694" s="35" t="n">
        <v>0</v>
      </c>
      <c r="I1694" s="34" t="n">
        <f aca="false">+IF(E1694=0,0,E1694*0.03)</f>
        <v>0</v>
      </c>
      <c r="J1694" s="93"/>
      <c r="K1694" s="93"/>
      <c r="L1694" s="93"/>
      <c r="M1694" s="93"/>
      <c r="N1694" s="93"/>
      <c r="O1694" s="93"/>
      <c r="P1694" s="93"/>
      <c r="Q1694" s="93"/>
      <c r="R1694" s="93"/>
      <c r="S1694" s="93"/>
      <c r="T1694" s="93"/>
      <c r="U1694" s="93"/>
      <c r="V1694" s="93"/>
      <c r="W1694" s="93"/>
      <c r="X1694" s="93"/>
      <c r="Y1694" s="93"/>
      <c r="Z1694" s="93"/>
    </row>
    <row r="1695" customFormat="false" ht="16.4" hidden="false" customHeight="false" outlineLevel="0" collapsed="false">
      <c r="A1695" s="123" t="n">
        <v>45444</v>
      </c>
      <c r="B1695" s="31" t="s">
        <v>153</v>
      </c>
      <c r="C1695" s="129"/>
      <c r="D1695" s="129"/>
      <c r="E1695" s="19" t="n">
        <f aca="false">F1695*0.03</f>
        <v>0</v>
      </c>
      <c r="F1695" s="33" t="n">
        <v>0</v>
      </c>
      <c r="G1695" s="131"/>
      <c r="H1695" s="35" t="n">
        <v>0</v>
      </c>
      <c r="I1695" s="34" t="n">
        <f aca="false">+IF(E1695=0,0,E1695*0.03)</f>
        <v>0</v>
      </c>
      <c r="J1695" s="93"/>
      <c r="K1695" s="93"/>
      <c r="L1695" s="93"/>
      <c r="M1695" s="93"/>
      <c r="N1695" s="93"/>
      <c r="O1695" s="93"/>
      <c r="P1695" s="93"/>
      <c r="Q1695" s="93"/>
      <c r="R1695" s="93"/>
      <c r="S1695" s="93"/>
      <c r="T1695" s="93"/>
      <c r="U1695" s="93"/>
      <c r="V1695" s="93"/>
      <c r="W1695" s="93"/>
      <c r="X1695" s="93"/>
      <c r="Y1695" s="93"/>
      <c r="Z1695" s="93"/>
    </row>
    <row r="1696" customFormat="false" ht="16.4" hidden="false" customHeight="false" outlineLevel="0" collapsed="false">
      <c r="A1696" s="123" t="n">
        <v>45444</v>
      </c>
      <c r="B1696" s="31" t="s">
        <v>153</v>
      </c>
      <c r="C1696" s="129"/>
      <c r="D1696" s="129"/>
      <c r="E1696" s="19" t="n">
        <f aca="false">F1696*0.03</f>
        <v>0</v>
      </c>
      <c r="F1696" s="33" t="n">
        <v>0</v>
      </c>
      <c r="G1696" s="131"/>
      <c r="H1696" s="35" t="n">
        <v>0</v>
      </c>
      <c r="I1696" s="34" t="n">
        <f aca="false">+IF(E1696=0,0,E1696*0.03)</f>
        <v>0</v>
      </c>
      <c r="J1696" s="93"/>
      <c r="K1696" s="93"/>
      <c r="L1696" s="93"/>
      <c r="M1696" s="93"/>
      <c r="N1696" s="93"/>
      <c r="O1696" s="93"/>
      <c r="P1696" s="93"/>
      <c r="Q1696" s="93"/>
      <c r="R1696" s="93"/>
      <c r="S1696" s="93"/>
      <c r="T1696" s="93"/>
      <c r="U1696" s="93"/>
      <c r="V1696" s="93"/>
      <c r="W1696" s="93"/>
      <c r="X1696" s="93"/>
      <c r="Y1696" s="93"/>
      <c r="Z1696" s="93"/>
    </row>
    <row r="1697" customFormat="false" ht="16.4" hidden="false" customHeight="false" outlineLevel="0" collapsed="false">
      <c r="A1697" s="123" t="n">
        <v>45444</v>
      </c>
      <c r="B1697" s="31" t="s">
        <v>153</v>
      </c>
      <c r="C1697" s="129"/>
      <c r="D1697" s="129"/>
      <c r="E1697" s="19" t="n">
        <f aca="false">F1697*0.03</f>
        <v>0</v>
      </c>
      <c r="F1697" s="33" t="n">
        <v>0</v>
      </c>
      <c r="G1697" s="131"/>
      <c r="H1697" s="35" t="n">
        <v>0</v>
      </c>
      <c r="I1697" s="34" t="n">
        <f aca="false">+IF(E1697=0,0,E1697*0.03)</f>
        <v>0</v>
      </c>
      <c r="J1697" s="93"/>
      <c r="K1697" s="93"/>
      <c r="L1697" s="93"/>
      <c r="M1697" s="93"/>
      <c r="N1697" s="93"/>
      <c r="O1697" s="93"/>
      <c r="P1697" s="93"/>
      <c r="Q1697" s="93"/>
      <c r="R1697" s="93"/>
      <c r="S1697" s="93"/>
      <c r="T1697" s="93"/>
      <c r="U1697" s="93"/>
      <c r="V1697" s="93"/>
      <c r="W1697" s="93"/>
      <c r="X1697" s="93"/>
      <c r="Y1697" s="93"/>
      <c r="Z1697" s="93"/>
    </row>
    <row r="1698" customFormat="false" ht="16.4" hidden="false" customHeight="false" outlineLevel="0" collapsed="false">
      <c r="A1698" s="123" t="n">
        <v>45444</v>
      </c>
      <c r="B1698" s="31" t="s">
        <v>153</v>
      </c>
      <c r="C1698" s="129"/>
      <c r="D1698" s="129"/>
      <c r="E1698" s="19" t="n">
        <f aca="false">F1698*0.03</f>
        <v>0</v>
      </c>
      <c r="F1698" s="33" t="n">
        <v>0</v>
      </c>
      <c r="G1698" s="131"/>
      <c r="H1698" s="35" t="n">
        <v>0</v>
      </c>
      <c r="I1698" s="34" t="n">
        <f aca="false">+IF(E1698=0,0,E1698*0.03)</f>
        <v>0</v>
      </c>
      <c r="J1698" s="93"/>
      <c r="K1698" s="93"/>
      <c r="L1698" s="93"/>
      <c r="M1698" s="93"/>
      <c r="N1698" s="93"/>
      <c r="O1698" s="93"/>
      <c r="P1698" s="93"/>
      <c r="Q1698" s="93"/>
      <c r="R1698" s="93"/>
      <c r="S1698" s="93"/>
      <c r="T1698" s="93"/>
      <c r="U1698" s="93"/>
      <c r="V1698" s="93"/>
      <c r="W1698" s="93"/>
      <c r="X1698" s="93"/>
      <c r="Y1698" s="93"/>
      <c r="Z1698" s="93"/>
    </row>
    <row r="1699" customFormat="false" ht="16.4" hidden="false" customHeight="false" outlineLevel="0" collapsed="false">
      <c r="A1699" s="123" t="n">
        <v>45444</v>
      </c>
      <c r="B1699" s="31" t="s">
        <v>153</v>
      </c>
      <c r="C1699" s="129"/>
      <c r="D1699" s="129"/>
      <c r="E1699" s="19" t="n">
        <f aca="false">F1699*0.03</f>
        <v>0</v>
      </c>
      <c r="F1699" s="33" t="n">
        <v>0</v>
      </c>
      <c r="G1699" s="131"/>
      <c r="H1699" s="35" t="n">
        <v>0</v>
      </c>
      <c r="I1699" s="34" t="n">
        <f aca="false">+IF(E1699=0,0,E1699*0.03)</f>
        <v>0</v>
      </c>
      <c r="J1699" s="93"/>
      <c r="K1699" s="93"/>
      <c r="L1699" s="93"/>
      <c r="M1699" s="93"/>
      <c r="N1699" s="93"/>
      <c r="O1699" s="93"/>
      <c r="P1699" s="93"/>
      <c r="Q1699" s="93"/>
      <c r="R1699" s="93"/>
      <c r="S1699" s="93"/>
      <c r="T1699" s="93"/>
      <c r="U1699" s="93"/>
      <c r="V1699" s="93"/>
      <c r="W1699" s="93"/>
      <c r="X1699" s="93"/>
      <c r="Y1699" s="93"/>
      <c r="Z1699" s="93"/>
    </row>
    <row r="1700" customFormat="false" ht="16.4" hidden="false" customHeight="false" outlineLevel="0" collapsed="false">
      <c r="A1700" s="123" t="n">
        <v>45444</v>
      </c>
      <c r="B1700" s="31" t="s">
        <v>153</v>
      </c>
      <c r="C1700" s="129"/>
      <c r="D1700" s="129"/>
      <c r="E1700" s="19" t="n">
        <f aca="false">F1700*0.03</f>
        <v>0</v>
      </c>
      <c r="F1700" s="33" t="n">
        <v>0</v>
      </c>
      <c r="G1700" s="131"/>
      <c r="H1700" s="35" t="n">
        <v>0</v>
      </c>
      <c r="I1700" s="34" t="n">
        <f aca="false">+IF(E1700=0,0,E1700*0.03)</f>
        <v>0</v>
      </c>
      <c r="J1700" s="93"/>
      <c r="K1700" s="93"/>
      <c r="L1700" s="93"/>
      <c r="M1700" s="93"/>
      <c r="N1700" s="93"/>
      <c r="O1700" s="93"/>
      <c r="P1700" s="93"/>
      <c r="Q1700" s="93"/>
      <c r="R1700" s="93"/>
      <c r="S1700" s="93"/>
      <c r="T1700" s="93"/>
      <c r="U1700" s="93"/>
      <c r="V1700" s="93"/>
      <c r="W1700" s="93"/>
      <c r="X1700" s="93"/>
      <c r="Y1700" s="93"/>
      <c r="Z1700" s="93"/>
    </row>
    <row r="1701" customFormat="false" ht="16.4" hidden="false" customHeight="false" outlineLevel="0" collapsed="false">
      <c r="A1701" s="123" t="n">
        <v>45444</v>
      </c>
      <c r="B1701" s="31" t="s">
        <v>153</v>
      </c>
      <c r="C1701" s="129"/>
      <c r="D1701" s="129"/>
      <c r="E1701" s="19" t="n">
        <f aca="false">F1701*0.03</f>
        <v>0</v>
      </c>
      <c r="F1701" s="33" t="n">
        <v>0</v>
      </c>
      <c r="G1701" s="131"/>
      <c r="H1701" s="35" t="n">
        <v>0</v>
      </c>
      <c r="I1701" s="34" t="n">
        <f aca="false">+IF(E1701=0,0,E1701*0.03)</f>
        <v>0</v>
      </c>
      <c r="J1701" s="93"/>
      <c r="K1701" s="93"/>
      <c r="L1701" s="93"/>
      <c r="M1701" s="93"/>
      <c r="N1701" s="93"/>
      <c r="O1701" s="93"/>
      <c r="P1701" s="93"/>
      <c r="Q1701" s="93"/>
      <c r="R1701" s="93"/>
      <c r="S1701" s="93"/>
      <c r="T1701" s="93"/>
      <c r="U1701" s="93"/>
      <c r="V1701" s="93"/>
      <c r="W1701" s="93"/>
      <c r="X1701" s="93"/>
      <c r="Y1701" s="93"/>
      <c r="Z1701" s="93"/>
    </row>
    <row r="1702" customFormat="false" ht="16.4" hidden="false" customHeight="false" outlineLevel="0" collapsed="false">
      <c r="A1702" s="123" t="n">
        <v>45444</v>
      </c>
      <c r="B1702" s="31" t="s">
        <v>153</v>
      </c>
      <c r="C1702" s="129"/>
      <c r="D1702" s="129"/>
      <c r="E1702" s="19" t="n">
        <f aca="false">F1702*0.03</f>
        <v>0</v>
      </c>
      <c r="F1702" s="33" t="n">
        <v>0</v>
      </c>
      <c r="G1702" s="131"/>
      <c r="H1702" s="35" t="n">
        <v>0</v>
      </c>
      <c r="I1702" s="34" t="n">
        <f aca="false">+IF(E1702=0,0,E1702*0.03)</f>
        <v>0</v>
      </c>
      <c r="J1702" s="93"/>
      <c r="K1702" s="93"/>
      <c r="L1702" s="93"/>
      <c r="M1702" s="93"/>
      <c r="N1702" s="93"/>
      <c r="O1702" s="93"/>
      <c r="P1702" s="93"/>
      <c r="Q1702" s="93"/>
      <c r="R1702" s="93"/>
      <c r="S1702" s="93"/>
      <c r="T1702" s="93"/>
      <c r="U1702" s="93"/>
      <c r="V1702" s="93"/>
      <c r="W1702" s="93"/>
      <c r="X1702" s="93"/>
      <c r="Y1702" s="93"/>
      <c r="Z1702" s="93"/>
    </row>
    <row r="1703" customFormat="false" ht="16.4" hidden="false" customHeight="false" outlineLevel="0" collapsed="false">
      <c r="A1703" s="123" t="n">
        <v>45444</v>
      </c>
      <c r="B1703" s="31" t="s">
        <v>153</v>
      </c>
      <c r="C1703" s="129"/>
      <c r="D1703" s="129"/>
      <c r="E1703" s="19" t="n">
        <f aca="false">F1703*0.03</f>
        <v>0</v>
      </c>
      <c r="F1703" s="33" t="n">
        <v>0</v>
      </c>
      <c r="G1703" s="131"/>
      <c r="H1703" s="35" t="n">
        <v>0</v>
      </c>
      <c r="I1703" s="34" t="n">
        <f aca="false">+IF(E1703=0,0,E1703*0.03)</f>
        <v>0</v>
      </c>
      <c r="J1703" s="93"/>
      <c r="K1703" s="93"/>
      <c r="L1703" s="93"/>
      <c r="M1703" s="93"/>
      <c r="N1703" s="93"/>
      <c r="O1703" s="93"/>
      <c r="P1703" s="93"/>
      <c r="Q1703" s="93"/>
      <c r="R1703" s="93"/>
      <c r="S1703" s="93"/>
      <c r="T1703" s="93"/>
      <c r="U1703" s="93"/>
      <c r="V1703" s="93"/>
      <c r="W1703" s="93"/>
      <c r="X1703" s="93"/>
      <c r="Y1703" s="93"/>
      <c r="Z1703" s="93"/>
    </row>
    <row r="1704" customFormat="false" ht="16.4" hidden="false" customHeight="false" outlineLevel="0" collapsed="false">
      <c r="A1704" s="123" t="n">
        <v>45444</v>
      </c>
      <c r="B1704" s="31" t="s">
        <v>153</v>
      </c>
      <c r="C1704" s="129"/>
      <c r="D1704" s="129"/>
      <c r="E1704" s="19" t="n">
        <f aca="false">F1704*0.03</f>
        <v>0</v>
      </c>
      <c r="F1704" s="33" t="n">
        <v>0</v>
      </c>
      <c r="G1704" s="131"/>
      <c r="H1704" s="35" t="n">
        <v>0</v>
      </c>
      <c r="I1704" s="34" t="n">
        <f aca="false">+IF(E1704=0,0,E1704*0.03)</f>
        <v>0</v>
      </c>
      <c r="J1704" s="93"/>
      <c r="K1704" s="93"/>
      <c r="L1704" s="93"/>
      <c r="M1704" s="93"/>
      <c r="N1704" s="93"/>
      <c r="O1704" s="93"/>
      <c r="P1704" s="93"/>
      <c r="Q1704" s="93"/>
      <c r="R1704" s="93"/>
      <c r="S1704" s="93"/>
      <c r="T1704" s="93"/>
      <c r="U1704" s="93"/>
      <c r="V1704" s="93"/>
      <c r="W1704" s="93"/>
      <c r="X1704" s="93"/>
      <c r="Y1704" s="93"/>
      <c r="Z1704" s="93"/>
    </row>
    <row r="1705" customFormat="false" ht="16.4" hidden="false" customHeight="false" outlineLevel="0" collapsed="false">
      <c r="A1705" s="123" t="n">
        <v>45444</v>
      </c>
      <c r="B1705" s="31" t="s">
        <v>153</v>
      </c>
      <c r="C1705" s="129"/>
      <c r="D1705" s="129"/>
      <c r="E1705" s="19" t="n">
        <f aca="false">F1705*0.03</f>
        <v>0</v>
      </c>
      <c r="F1705" s="33" t="n">
        <v>0</v>
      </c>
      <c r="G1705" s="131"/>
      <c r="H1705" s="35" t="n">
        <v>0</v>
      </c>
      <c r="I1705" s="34" t="n">
        <f aca="false">+IF(E1705=0,0,E1705*0.03)</f>
        <v>0</v>
      </c>
      <c r="J1705" s="93"/>
      <c r="K1705" s="93"/>
      <c r="L1705" s="93"/>
      <c r="M1705" s="93"/>
      <c r="N1705" s="93"/>
      <c r="O1705" s="93"/>
      <c r="P1705" s="93"/>
      <c r="Q1705" s="93"/>
      <c r="R1705" s="93"/>
      <c r="S1705" s="93"/>
      <c r="T1705" s="93"/>
      <c r="U1705" s="93"/>
      <c r="V1705" s="93"/>
      <c r="W1705" s="93"/>
      <c r="X1705" s="93"/>
      <c r="Y1705" s="93"/>
      <c r="Z1705" s="93"/>
    </row>
    <row r="1706" customFormat="false" ht="16.4" hidden="false" customHeight="false" outlineLevel="0" collapsed="false">
      <c r="A1706" s="123" t="n">
        <v>45444</v>
      </c>
      <c r="B1706" s="31" t="s">
        <v>153</v>
      </c>
      <c r="C1706" s="129"/>
      <c r="D1706" s="129"/>
      <c r="E1706" s="19" t="n">
        <f aca="false">F1706*0.03</f>
        <v>0</v>
      </c>
      <c r="F1706" s="33" t="n">
        <v>0</v>
      </c>
      <c r="G1706" s="131"/>
      <c r="H1706" s="35" t="n">
        <v>0</v>
      </c>
      <c r="I1706" s="34" t="n">
        <f aca="false">+IF(E1706=0,0,E1706*0.03)</f>
        <v>0</v>
      </c>
      <c r="J1706" s="93"/>
      <c r="K1706" s="93"/>
      <c r="L1706" s="93"/>
      <c r="M1706" s="93"/>
      <c r="N1706" s="93"/>
      <c r="O1706" s="93"/>
      <c r="P1706" s="93"/>
      <c r="Q1706" s="93"/>
      <c r="R1706" s="93"/>
      <c r="S1706" s="93"/>
      <c r="T1706" s="93"/>
      <c r="U1706" s="93"/>
      <c r="V1706" s="93"/>
      <c r="W1706" s="93"/>
      <c r="X1706" s="93"/>
      <c r="Y1706" s="93"/>
      <c r="Z1706" s="93"/>
    </row>
    <row r="1707" customFormat="false" ht="16.4" hidden="false" customHeight="false" outlineLevel="0" collapsed="false">
      <c r="A1707" s="123" t="n">
        <v>45444</v>
      </c>
      <c r="B1707" s="31" t="s">
        <v>153</v>
      </c>
      <c r="C1707" s="129"/>
      <c r="D1707" s="129"/>
      <c r="E1707" s="19" t="n">
        <f aca="false">F1707*0.03</f>
        <v>0</v>
      </c>
      <c r="F1707" s="33" t="n">
        <v>0</v>
      </c>
      <c r="G1707" s="131"/>
      <c r="H1707" s="35" t="n">
        <v>0</v>
      </c>
      <c r="I1707" s="34" t="n">
        <f aca="false">+IF(E1707=0,0,E1707*0.03)</f>
        <v>0</v>
      </c>
      <c r="J1707" s="93"/>
      <c r="K1707" s="93"/>
      <c r="L1707" s="93"/>
      <c r="M1707" s="93"/>
      <c r="N1707" s="93"/>
      <c r="O1707" s="93"/>
      <c r="P1707" s="93"/>
      <c r="Q1707" s="93"/>
      <c r="R1707" s="93"/>
      <c r="S1707" s="93"/>
      <c r="T1707" s="93"/>
      <c r="U1707" s="93"/>
      <c r="V1707" s="93"/>
      <c r="W1707" s="93"/>
      <c r="X1707" s="93"/>
      <c r="Y1707" s="93"/>
      <c r="Z1707" s="93"/>
    </row>
    <row r="1708" customFormat="false" ht="16.4" hidden="false" customHeight="false" outlineLevel="0" collapsed="false">
      <c r="A1708" s="123" t="n">
        <v>45444</v>
      </c>
      <c r="B1708" s="31" t="s">
        <v>153</v>
      </c>
      <c r="C1708" s="129"/>
      <c r="D1708" s="129"/>
      <c r="E1708" s="19" t="n">
        <f aca="false">F1708*0.03</f>
        <v>0</v>
      </c>
      <c r="F1708" s="33" t="n">
        <v>0</v>
      </c>
      <c r="G1708" s="131"/>
      <c r="H1708" s="35" t="n">
        <v>0</v>
      </c>
      <c r="I1708" s="34" t="n">
        <f aca="false">+IF(E1708=0,0,E1708*0.03)</f>
        <v>0</v>
      </c>
      <c r="J1708" s="93"/>
      <c r="K1708" s="93"/>
      <c r="L1708" s="93"/>
      <c r="M1708" s="93"/>
      <c r="N1708" s="93"/>
      <c r="O1708" s="93"/>
      <c r="P1708" s="93"/>
      <c r="Q1708" s="93"/>
      <c r="R1708" s="93"/>
      <c r="S1708" s="93"/>
      <c r="T1708" s="93"/>
      <c r="U1708" s="93"/>
      <c r="V1708" s="93"/>
      <c r="W1708" s="93"/>
      <c r="X1708" s="93"/>
      <c r="Y1708" s="93"/>
      <c r="Z1708" s="93"/>
    </row>
    <row r="1709" customFormat="false" ht="16.4" hidden="false" customHeight="false" outlineLevel="0" collapsed="false">
      <c r="A1709" s="123" t="n">
        <v>45444</v>
      </c>
      <c r="B1709" s="31" t="s">
        <v>153</v>
      </c>
      <c r="C1709" s="129"/>
      <c r="D1709" s="129"/>
      <c r="E1709" s="19" t="n">
        <f aca="false">F1709*0.03</f>
        <v>0</v>
      </c>
      <c r="F1709" s="33" t="n">
        <v>0</v>
      </c>
      <c r="G1709" s="131"/>
      <c r="H1709" s="35" t="n">
        <v>0</v>
      </c>
      <c r="I1709" s="34" t="n">
        <f aca="false">+IF(E1709=0,0,E1709*0.03)</f>
        <v>0</v>
      </c>
      <c r="J1709" s="93"/>
      <c r="K1709" s="93"/>
      <c r="L1709" s="93"/>
      <c r="M1709" s="93"/>
      <c r="N1709" s="93"/>
      <c r="O1709" s="93"/>
      <c r="P1709" s="93"/>
      <c r="Q1709" s="93"/>
      <c r="R1709" s="93"/>
      <c r="S1709" s="93"/>
      <c r="T1709" s="93"/>
      <c r="U1709" s="93"/>
      <c r="V1709" s="93"/>
      <c r="W1709" s="93"/>
      <c r="X1709" s="93"/>
      <c r="Y1709" s="93"/>
      <c r="Z1709" s="93"/>
    </row>
    <row r="1710" customFormat="false" ht="16.4" hidden="false" customHeight="false" outlineLevel="0" collapsed="false">
      <c r="A1710" s="123" t="n">
        <v>45444</v>
      </c>
      <c r="B1710" s="31" t="s">
        <v>153</v>
      </c>
      <c r="C1710" s="129"/>
      <c r="D1710" s="129"/>
      <c r="E1710" s="19" t="n">
        <f aca="false">F1710*0.03</f>
        <v>0</v>
      </c>
      <c r="F1710" s="33" t="n">
        <v>0</v>
      </c>
      <c r="G1710" s="131"/>
      <c r="H1710" s="35" t="n">
        <v>0</v>
      </c>
      <c r="I1710" s="34" t="n">
        <f aca="false">+IF(E1710=0,0,E1710*0.03)</f>
        <v>0</v>
      </c>
      <c r="J1710" s="93"/>
      <c r="K1710" s="93"/>
      <c r="L1710" s="93"/>
      <c r="M1710" s="93"/>
      <c r="N1710" s="93"/>
      <c r="O1710" s="93"/>
      <c r="P1710" s="93"/>
      <c r="Q1710" s="93"/>
      <c r="R1710" s="93"/>
      <c r="S1710" s="93"/>
      <c r="T1710" s="93"/>
      <c r="U1710" s="93"/>
      <c r="V1710" s="93"/>
      <c r="W1710" s="93"/>
      <c r="X1710" s="93"/>
      <c r="Y1710" s="93"/>
      <c r="Z1710" s="93"/>
    </row>
    <row r="1711" customFormat="false" ht="16.4" hidden="false" customHeight="false" outlineLevel="0" collapsed="false">
      <c r="A1711" s="123" t="n">
        <v>45444</v>
      </c>
      <c r="B1711" s="31" t="s">
        <v>153</v>
      </c>
      <c r="C1711" s="129"/>
      <c r="D1711" s="129"/>
      <c r="E1711" s="19" t="n">
        <f aca="false">F1711*0.03</f>
        <v>0</v>
      </c>
      <c r="F1711" s="33" t="n">
        <v>0</v>
      </c>
      <c r="G1711" s="131"/>
      <c r="H1711" s="35" t="n">
        <v>0</v>
      </c>
      <c r="I1711" s="34" t="n">
        <f aca="false">+IF(E1711=0,0,E1711*0.03)</f>
        <v>0</v>
      </c>
      <c r="J1711" s="93"/>
      <c r="K1711" s="93"/>
      <c r="L1711" s="93"/>
      <c r="M1711" s="93"/>
      <c r="N1711" s="93"/>
      <c r="O1711" s="93"/>
      <c r="P1711" s="93"/>
      <c r="Q1711" s="93"/>
      <c r="R1711" s="93"/>
      <c r="S1711" s="93"/>
      <c r="T1711" s="93"/>
      <c r="U1711" s="93"/>
      <c r="V1711" s="93"/>
      <c r="W1711" s="93"/>
      <c r="X1711" s="93"/>
      <c r="Y1711" s="93"/>
      <c r="Z1711" s="93"/>
    </row>
    <row r="1712" customFormat="false" ht="16.4" hidden="false" customHeight="false" outlineLevel="0" collapsed="false">
      <c r="A1712" s="123" t="n">
        <v>45444</v>
      </c>
      <c r="B1712" s="31" t="s">
        <v>153</v>
      </c>
      <c r="C1712" s="129"/>
      <c r="D1712" s="129"/>
      <c r="E1712" s="19" t="n">
        <f aca="false">F1712*0.03</f>
        <v>0</v>
      </c>
      <c r="F1712" s="33" t="n">
        <v>0</v>
      </c>
      <c r="G1712" s="131"/>
      <c r="H1712" s="35" t="n">
        <v>0</v>
      </c>
      <c r="I1712" s="34" t="n">
        <f aca="false">+IF(E1712=0,0,E1712*0.03)</f>
        <v>0</v>
      </c>
      <c r="J1712" s="93"/>
      <c r="K1712" s="93"/>
      <c r="L1712" s="93"/>
      <c r="M1712" s="93"/>
      <c r="N1712" s="93"/>
      <c r="O1712" s="93"/>
      <c r="P1712" s="93"/>
      <c r="Q1712" s="93"/>
      <c r="R1712" s="93"/>
      <c r="S1712" s="93"/>
      <c r="T1712" s="93"/>
      <c r="U1712" s="93"/>
      <c r="V1712" s="93"/>
      <c r="W1712" s="93"/>
      <c r="X1712" s="93"/>
      <c r="Y1712" s="93"/>
      <c r="Z1712" s="93"/>
    </row>
    <row r="1713" customFormat="false" ht="16.4" hidden="false" customHeight="false" outlineLevel="0" collapsed="false">
      <c r="A1713" s="123" t="n">
        <v>45444</v>
      </c>
      <c r="B1713" s="31" t="s">
        <v>153</v>
      </c>
      <c r="C1713" s="129"/>
      <c r="D1713" s="129"/>
      <c r="E1713" s="19" t="n">
        <f aca="false">F1713*0.03</f>
        <v>0</v>
      </c>
      <c r="F1713" s="33" t="n">
        <v>0</v>
      </c>
      <c r="G1713" s="131"/>
      <c r="H1713" s="35" t="n">
        <v>0</v>
      </c>
      <c r="I1713" s="34" t="n">
        <f aca="false">+IF(E1713=0,0,E1713*0.03)</f>
        <v>0</v>
      </c>
      <c r="J1713" s="93"/>
      <c r="K1713" s="93"/>
      <c r="L1713" s="93"/>
      <c r="M1713" s="93"/>
      <c r="N1713" s="93"/>
      <c r="O1713" s="93"/>
      <c r="P1713" s="93"/>
      <c r="Q1713" s="93"/>
      <c r="R1713" s="93"/>
      <c r="S1713" s="93"/>
      <c r="T1713" s="93"/>
      <c r="U1713" s="93"/>
      <c r="V1713" s="93"/>
      <c r="W1713" s="93"/>
      <c r="X1713" s="93"/>
      <c r="Y1713" s="93"/>
      <c r="Z1713" s="93"/>
    </row>
    <row r="1714" customFormat="false" ht="16.4" hidden="false" customHeight="false" outlineLevel="0" collapsed="false">
      <c r="A1714" s="123" t="n">
        <v>45444</v>
      </c>
      <c r="B1714" s="31" t="s">
        <v>153</v>
      </c>
      <c r="C1714" s="129"/>
      <c r="D1714" s="129"/>
      <c r="E1714" s="19" t="n">
        <f aca="false">F1714*0.03</f>
        <v>0</v>
      </c>
      <c r="F1714" s="33" t="n">
        <v>0</v>
      </c>
      <c r="G1714" s="131"/>
      <c r="H1714" s="35" t="n">
        <v>0</v>
      </c>
      <c r="I1714" s="34" t="n">
        <f aca="false">+IF(E1714=0,0,E1714*0.03)</f>
        <v>0</v>
      </c>
      <c r="J1714" s="93"/>
      <c r="K1714" s="93"/>
      <c r="L1714" s="93"/>
      <c r="M1714" s="93"/>
      <c r="N1714" s="93"/>
      <c r="O1714" s="93"/>
      <c r="P1714" s="93"/>
      <c r="Q1714" s="93"/>
      <c r="R1714" s="93"/>
      <c r="S1714" s="93"/>
      <c r="T1714" s="93"/>
      <c r="U1714" s="93"/>
      <c r="V1714" s="93"/>
      <c r="W1714" s="93"/>
      <c r="X1714" s="93"/>
      <c r="Y1714" s="93"/>
      <c r="Z1714" s="93"/>
    </row>
    <row r="1715" customFormat="false" ht="16.4" hidden="false" customHeight="false" outlineLevel="0" collapsed="false">
      <c r="A1715" s="123" t="n">
        <v>45444</v>
      </c>
      <c r="B1715" s="31" t="s">
        <v>153</v>
      </c>
      <c r="C1715" s="129"/>
      <c r="D1715" s="129"/>
      <c r="E1715" s="19" t="n">
        <f aca="false">F1715*0.03</f>
        <v>0</v>
      </c>
      <c r="F1715" s="33" t="n">
        <v>0</v>
      </c>
      <c r="G1715" s="131"/>
      <c r="H1715" s="35" t="n">
        <v>0</v>
      </c>
      <c r="I1715" s="34" t="n">
        <f aca="false">+IF(E1715=0,0,E1715*0.03)</f>
        <v>0</v>
      </c>
      <c r="J1715" s="93"/>
      <c r="K1715" s="93"/>
      <c r="L1715" s="93"/>
      <c r="M1715" s="93"/>
      <c r="N1715" s="93"/>
      <c r="O1715" s="93"/>
      <c r="P1715" s="93"/>
      <c r="Q1715" s="93"/>
      <c r="R1715" s="93"/>
      <c r="S1715" s="93"/>
      <c r="T1715" s="93"/>
      <c r="U1715" s="93"/>
      <c r="V1715" s="93"/>
      <c r="W1715" s="93"/>
      <c r="X1715" s="93"/>
      <c r="Y1715" s="93"/>
      <c r="Z1715" s="93"/>
    </row>
    <row r="1716" customFormat="false" ht="16.4" hidden="false" customHeight="false" outlineLevel="0" collapsed="false">
      <c r="A1716" s="123" t="n">
        <v>45444</v>
      </c>
      <c r="B1716" s="31" t="s">
        <v>153</v>
      </c>
      <c r="C1716" s="129"/>
      <c r="D1716" s="129"/>
      <c r="E1716" s="19" t="n">
        <f aca="false">F1716*0.03</f>
        <v>0</v>
      </c>
      <c r="F1716" s="33" t="n">
        <v>0</v>
      </c>
      <c r="G1716" s="131"/>
      <c r="H1716" s="35" t="n">
        <v>0</v>
      </c>
      <c r="I1716" s="34" t="n">
        <f aca="false">+IF(E1716=0,0,E1716*0.03)</f>
        <v>0</v>
      </c>
      <c r="J1716" s="93"/>
      <c r="K1716" s="93"/>
      <c r="L1716" s="93"/>
      <c r="M1716" s="93"/>
      <c r="N1716" s="93"/>
      <c r="O1716" s="93"/>
      <c r="P1716" s="93"/>
      <c r="Q1716" s="93"/>
      <c r="R1716" s="93"/>
      <c r="S1716" s="93"/>
      <c r="T1716" s="93"/>
      <c r="U1716" s="93"/>
      <c r="V1716" s="93"/>
      <c r="W1716" s="93"/>
      <c r="X1716" s="93"/>
      <c r="Y1716" s="93"/>
      <c r="Z1716" s="93"/>
    </row>
    <row r="1717" customFormat="false" ht="16.4" hidden="false" customHeight="false" outlineLevel="0" collapsed="false">
      <c r="A1717" s="123" t="n">
        <v>45444</v>
      </c>
      <c r="B1717" s="31" t="s">
        <v>153</v>
      </c>
      <c r="C1717" s="129"/>
      <c r="D1717" s="129"/>
      <c r="E1717" s="19" t="n">
        <f aca="false">F1717*0.03</f>
        <v>0</v>
      </c>
      <c r="F1717" s="33" t="n">
        <v>0</v>
      </c>
      <c r="G1717" s="131"/>
      <c r="H1717" s="35" t="n">
        <v>0</v>
      </c>
      <c r="I1717" s="34" t="n">
        <f aca="false">+IF(E1717=0,0,E1717*0.03)</f>
        <v>0</v>
      </c>
      <c r="J1717" s="93"/>
      <c r="K1717" s="93"/>
      <c r="L1717" s="93"/>
      <c r="M1717" s="93"/>
      <c r="N1717" s="93"/>
      <c r="O1717" s="93"/>
      <c r="P1717" s="93"/>
      <c r="Q1717" s="93"/>
      <c r="R1717" s="93"/>
      <c r="S1717" s="93"/>
      <c r="T1717" s="93"/>
      <c r="U1717" s="93"/>
      <c r="V1717" s="93"/>
      <c r="W1717" s="93"/>
      <c r="X1717" s="93"/>
      <c r="Y1717" s="93"/>
      <c r="Z1717" s="93"/>
    </row>
    <row r="1718" customFormat="false" ht="16.4" hidden="false" customHeight="false" outlineLevel="0" collapsed="false">
      <c r="A1718" s="123" t="n">
        <v>45444</v>
      </c>
      <c r="B1718" s="31" t="s">
        <v>153</v>
      </c>
      <c r="C1718" s="129"/>
      <c r="D1718" s="129"/>
      <c r="E1718" s="19" t="n">
        <f aca="false">F1718*0.03</f>
        <v>0</v>
      </c>
      <c r="F1718" s="33" t="n">
        <v>0</v>
      </c>
      <c r="G1718" s="131"/>
      <c r="H1718" s="35" t="n">
        <v>0</v>
      </c>
      <c r="I1718" s="34" t="n">
        <f aca="false">+IF(E1718=0,0,E1718*0.03)</f>
        <v>0</v>
      </c>
      <c r="J1718" s="93"/>
      <c r="K1718" s="93"/>
      <c r="L1718" s="93"/>
      <c r="M1718" s="93"/>
      <c r="N1718" s="93"/>
      <c r="O1718" s="93"/>
      <c r="P1718" s="93"/>
      <c r="Q1718" s="93"/>
      <c r="R1718" s="93"/>
      <c r="S1718" s="93"/>
      <c r="T1718" s="93"/>
      <c r="U1718" s="93"/>
      <c r="V1718" s="93"/>
      <c r="W1718" s="93"/>
      <c r="X1718" s="93"/>
      <c r="Y1718" s="93"/>
      <c r="Z1718" s="93"/>
    </row>
    <row r="1719" customFormat="false" ht="16.4" hidden="false" customHeight="false" outlineLevel="0" collapsed="false">
      <c r="A1719" s="123" t="n">
        <v>45444</v>
      </c>
      <c r="B1719" s="31" t="s">
        <v>153</v>
      </c>
      <c r="C1719" s="129"/>
      <c r="D1719" s="129"/>
      <c r="E1719" s="19" t="n">
        <f aca="false">F1719*0.03</f>
        <v>0</v>
      </c>
      <c r="F1719" s="33" t="n">
        <v>0</v>
      </c>
      <c r="G1719" s="131"/>
      <c r="H1719" s="35" t="n">
        <v>0</v>
      </c>
      <c r="I1719" s="34" t="n">
        <f aca="false">+IF(E1719=0,0,E1719*0.03)</f>
        <v>0</v>
      </c>
      <c r="J1719" s="93"/>
      <c r="K1719" s="93"/>
      <c r="L1719" s="93"/>
      <c r="M1719" s="93"/>
      <c r="N1719" s="93"/>
      <c r="O1719" s="93"/>
      <c r="P1719" s="93"/>
      <c r="Q1719" s="93"/>
      <c r="R1719" s="93"/>
      <c r="S1719" s="93"/>
      <c r="T1719" s="93"/>
      <c r="U1719" s="93"/>
      <c r="V1719" s="93"/>
      <c r="W1719" s="93"/>
      <c r="X1719" s="93"/>
      <c r="Y1719" s="93"/>
      <c r="Z1719" s="93"/>
    </row>
    <row r="1720" customFormat="false" ht="16.4" hidden="false" customHeight="false" outlineLevel="0" collapsed="false">
      <c r="A1720" s="123" t="n">
        <v>45444</v>
      </c>
      <c r="B1720" s="31" t="s">
        <v>153</v>
      </c>
      <c r="C1720" s="129"/>
      <c r="D1720" s="129"/>
      <c r="E1720" s="19" t="n">
        <f aca="false">F1720*0.03</f>
        <v>0</v>
      </c>
      <c r="F1720" s="33" t="n">
        <v>0</v>
      </c>
      <c r="G1720" s="131"/>
      <c r="H1720" s="35" t="n">
        <v>0</v>
      </c>
      <c r="I1720" s="34" t="n">
        <f aca="false">+IF(E1720=0,0,E1720*0.03)</f>
        <v>0</v>
      </c>
      <c r="J1720" s="93"/>
      <c r="K1720" s="93"/>
      <c r="L1720" s="93"/>
      <c r="M1720" s="93"/>
      <c r="N1720" s="93"/>
      <c r="O1720" s="93"/>
      <c r="P1720" s="93"/>
      <c r="Q1720" s="93"/>
      <c r="R1720" s="93"/>
      <c r="S1720" s="93"/>
      <c r="T1720" s="93"/>
      <c r="U1720" s="93"/>
      <c r="V1720" s="93"/>
      <c r="W1720" s="93"/>
      <c r="X1720" s="93"/>
      <c r="Y1720" s="93"/>
      <c r="Z1720" s="93"/>
    </row>
    <row r="1721" customFormat="false" ht="16.4" hidden="false" customHeight="false" outlineLevel="0" collapsed="false">
      <c r="A1721" s="123" t="n">
        <v>45444</v>
      </c>
      <c r="B1721" s="31" t="s">
        <v>153</v>
      </c>
      <c r="C1721" s="129"/>
      <c r="D1721" s="129"/>
      <c r="E1721" s="19" t="n">
        <f aca="false">F1721*0.03</f>
        <v>0</v>
      </c>
      <c r="F1721" s="33" t="n">
        <v>0</v>
      </c>
      <c r="G1721" s="131"/>
      <c r="H1721" s="35" t="n">
        <v>0</v>
      </c>
      <c r="I1721" s="34" t="n">
        <f aca="false">+IF(E1721=0,0,E1721*0.03)</f>
        <v>0</v>
      </c>
      <c r="J1721" s="93"/>
      <c r="K1721" s="93"/>
      <c r="L1721" s="93"/>
      <c r="M1721" s="93"/>
      <c r="N1721" s="93"/>
      <c r="O1721" s="93"/>
      <c r="P1721" s="93"/>
      <c r="Q1721" s="93"/>
      <c r="R1721" s="93"/>
      <c r="S1721" s="93"/>
      <c r="T1721" s="93"/>
      <c r="U1721" s="93"/>
      <c r="V1721" s="93"/>
      <c r="W1721" s="93"/>
      <c r="X1721" s="93"/>
      <c r="Y1721" s="93"/>
      <c r="Z1721" s="93"/>
    </row>
    <row r="1722" customFormat="false" ht="16.4" hidden="false" customHeight="false" outlineLevel="0" collapsed="false">
      <c r="A1722" s="123" t="n">
        <v>45444</v>
      </c>
      <c r="B1722" s="31" t="s">
        <v>153</v>
      </c>
      <c r="C1722" s="129"/>
      <c r="D1722" s="129"/>
      <c r="E1722" s="19" t="n">
        <f aca="false">F1722*0.03</f>
        <v>0</v>
      </c>
      <c r="F1722" s="33" t="n">
        <v>0</v>
      </c>
      <c r="G1722" s="131"/>
      <c r="H1722" s="35" t="n">
        <v>0</v>
      </c>
      <c r="I1722" s="34" t="n">
        <f aca="false">+IF(E1722=0,0,E1722*0.03)</f>
        <v>0</v>
      </c>
      <c r="J1722" s="93"/>
      <c r="K1722" s="93"/>
      <c r="L1722" s="93"/>
      <c r="M1722" s="93"/>
      <c r="N1722" s="93"/>
      <c r="O1722" s="93"/>
      <c r="P1722" s="93"/>
      <c r="Q1722" s="93"/>
      <c r="R1722" s="93"/>
      <c r="S1722" s="93"/>
      <c r="T1722" s="93"/>
      <c r="U1722" s="93"/>
      <c r="V1722" s="93"/>
      <c r="W1722" s="93"/>
      <c r="X1722" s="93"/>
      <c r="Y1722" s="93"/>
      <c r="Z1722" s="93"/>
    </row>
    <row r="1723" customFormat="false" ht="16.4" hidden="false" customHeight="false" outlineLevel="0" collapsed="false">
      <c r="A1723" s="123" t="n">
        <v>45444</v>
      </c>
      <c r="B1723" s="31" t="s">
        <v>153</v>
      </c>
      <c r="C1723" s="129"/>
      <c r="D1723" s="129"/>
      <c r="E1723" s="19" t="n">
        <f aca="false">F1723*0.03</f>
        <v>0</v>
      </c>
      <c r="F1723" s="33" t="n">
        <v>0</v>
      </c>
      <c r="G1723" s="131"/>
      <c r="H1723" s="35" t="n">
        <v>0</v>
      </c>
      <c r="I1723" s="34" t="n">
        <f aca="false">+IF(E1723=0,0,E1723*0.03)</f>
        <v>0</v>
      </c>
      <c r="J1723" s="93"/>
      <c r="K1723" s="93"/>
      <c r="L1723" s="93"/>
      <c r="M1723" s="93"/>
      <c r="N1723" s="93"/>
      <c r="O1723" s="93"/>
      <c r="P1723" s="93"/>
      <c r="Q1723" s="93"/>
      <c r="R1723" s="93"/>
      <c r="S1723" s="93"/>
      <c r="T1723" s="93"/>
      <c r="U1723" s="93"/>
      <c r="V1723" s="93"/>
      <c r="W1723" s="93"/>
      <c r="X1723" s="93"/>
      <c r="Y1723" s="93"/>
      <c r="Z1723" s="93"/>
    </row>
    <row r="1724" customFormat="false" ht="16.4" hidden="false" customHeight="false" outlineLevel="0" collapsed="false">
      <c r="A1724" s="123" t="n">
        <v>45444</v>
      </c>
      <c r="B1724" s="31" t="s">
        <v>153</v>
      </c>
      <c r="C1724" s="129"/>
      <c r="D1724" s="129"/>
      <c r="E1724" s="19" t="n">
        <f aca="false">F1724*0.03</f>
        <v>0</v>
      </c>
      <c r="F1724" s="33" t="n">
        <v>0</v>
      </c>
      <c r="G1724" s="131"/>
      <c r="H1724" s="35" t="n">
        <v>0</v>
      </c>
      <c r="I1724" s="34" t="n">
        <f aca="false">+IF(E1724=0,0,E1724*0.03)</f>
        <v>0</v>
      </c>
      <c r="J1724" s="93"/>
      <c r="K1724" s="93"/>
      <c r="L1724" s="93"/>
      <c r="M1724" s="93"/>
      <c r="N1724" s="93"/>
      <c r="O1724" s="93"/>
      <c r="P1724" s="93"/>
      <c r="Q1724" s="93"/>
      <c r="R1724" s="93"/>
      <c r="S1724" s="93"/>
      <c r="T1724" s="93"/>
      <c r="U1724" s="93"/>
      <c r="V1724" s="93"/>
      <c r="W1724" s="93"/>
      <c r="X1724" s="93"/>
      <c r="Y1724" s="93"/>
      <c r="Z1724" s="93"/>
    </row>
    <row r="1725" customFormat="false" ht="16.4" hidden="false" customHeight="false" outlineLevel="0" collapsed="false">
      <c r="A1725" s="123" t="n">
        <v>45444</v>
      </c>
      <c r="B1725" s="31" t="s">
        <v>153</v>
      </c>
      <c r="C1725" s="129"/>
      <c r="D1725" s="129"/>
      <c r="E1725" s="19" t="n">
        <f aca="false">F1725*0.03</f>
        <v>0</v>
      </c>
      <c r="F1725" s="33" t="n">
        <v>0</v>
      </c>
      <c r="G1725" s="131"/>
      <c r="H1725" s="35" t="n">
        <v>0</v>
      </c>
      <c r="I1725" s="34" t="n">
        <f aca="false">+IF(E1725=0,0,E1725*0.03)</f>
        <v>0</v>
      </c>
      <c r="J1725" s="93"/>
      <c r="K1725" s="93"/>
      <c r="L1725" s="93"/>
      <c r="M1725" s="93"/>
      <c r="N1725" s="93"/>
      <c r="O1725" s="93"/>
      <c r="P1725" s="93"/>
      <c r="Q1725" s="93"/>
      <c r="R1725" s="93"/>
      <c r="S1725" s="93"/>
      <c r="T1725" s="93"/>
      <c r="U1725" s="93"/>
      <c r="V1725" s="93"/>
      <c r="W1725" s="93"/>
      <c r="X1725" s="93"/>
      <c r="Y1725" s="93"/>
      <c r="Z1725" s="93"/>
    </row>
    <row r="1726" customFormat="false" ht="16.4" hidden="false" customHeight="false" outlineLevel="0" collapsed="false">
      <c r="A1726" s="123" t="n">
        <v>45444</v>
      </c>
      <c r="B1726" s="31" t="s">
        <v>153</v>
      </c>
      <c r="C1726" s="129"/>
      <c r="D1726" s="129"/>
      <c r="E1726" s="19" t="n">
        <f aca="false">F1726*0.03</f>
        <v>0</v>
      </c>
      <c r="F1726" s="33" t="n">
        <v>0</v>
      </c>
      <c r="G1726" s="131"/>
      <c r="H1726" s="35" t="n">
        <v>0</v>
      </c>
      <c r="I1726" s="34" t="n">
        <f aca="false">+IF(E1726=0,0,E1726*0.03)</f>
        <v>0</v>
      </c>
      <c r="J1726" s="93"/>
      <c r="K1726" s="93"/>
      <c r="L1726" s="93"/>
      <c r="M1726" s="93"/>
      <c r="N1726" s="93"/>
      <c r="O1726" s="93"/>
      <c r="P1726" s="93"/>
      <c r="Q1726" s="93"/>
      <c r="R1726" s="93"/>
      <c r="S1726" s="93"/>
      <c r="T1726" s="93"/>
      <c r="U1726" s="93"/>
      <c r="V1726" s="93"/>
      <c r="W1726" s="93"/>
      <c r="X1726" s="93"/>
      <c r="Y1726" s="93"/>
      <c r="Z1726" s="93"/>
    </row>
    <row r="1727" customFormat="false" ht="16.4" hidden="false" customHeight="false" outlineLevel="0" collapsed="false">
      <c r="A1727" s="123" t="n">
        <v>45444</v>
      </c>
      <c r="B1727" s="31" t="s">
        <v>153</v>
      </c>
      <c r="C1727" s="129"/>
      <c r="D1727" s="129"/>
      <c r="E1727" s="19" t="n">
        <f aca="false">F1727*0.03</f>
        <v>0</v>
      </c>
      <c r="F1727" s="33" t="n">
        <v>0</v>
      </c>
      <c r="G1727" s="131"/>
      <c r="H1727" s="35" t="n">
        <v>0</v>
      </c>
      <c r="I1727" s="34" t="n">
        <f aca="false">+IF(E1727=0,0,E1727*0.03)</f>
        <v>0</v>
      </c>
      <c r="J1727" s="93"/>
      <c r="K1727" s="93"/>
      <c r="L1727" s="93"/>
      <c r="M1727" s="93"/>
      <c r="N1727" s="93"/>
      <c r="O1727" s="93"/>
      <c r="P1727" s="93"/>
      <c r="Q1727" s="93"/>
      <c r="R1727" s="93"/>
      <c r="S1727" s="93"/>
      <c r="T1727" s="93"/>
      <c r="U1727" s="93"/>
      <c r="V1727" s="93"/>
      <c r="W1727" s="93"/>
      <c r="X1727" s="93"/>
      <c r="Y1727" s="93"/>
      <c r="Z1727" s="93"/>
    </row>
    <row r="1728" customFormat="false" ht="16.4" hidden="false" customHeight="false" outlineLevel="0" collapsed="false">
      <c r="A1728" s="123" t="n">
        <v>45444</v>
      </c>
      <c r="B1728" s="31" t="s">
        <v>153</v>
      </c>
      <c r="C1728" s="129"/>
      <c r="D1728" s="129"/>
      <c r="E1728" s="19" t="n">
        <f aca="false">F1728*0.03</f>
        <v>0</v>
      </c>
      <c r="F1728" s="33" t="n">
        <v>0</v>
      </c>
      <c r="G1728" s="131"/>
      <c r="H1728" s="35" t="n">
        <v>0</v>
      </c>
      <c r="I1728" s="34" t="n">
        <f aca="false">+IF(E1728=0,0,E1728*0.03)</f>
        <v>0</v>
      </c>
      <c r="J1728" s="93"/>
      <c r="K1728" s="93"/>
      <c r="L1728" s="93"/>
      <c r="M1728" s="93"/>
      <c r="N1728" s="93"/>
      <c r="O1728" s="93"/>
      <c r="P1728" s="93"/>
      <c r="Q1728" s="93"/>
      <c r="R1728" s="93"/>
      <c r="S1728" s="93"/>
      <c r="T1728" s="93"/>
      <c r="U1728" s="93"/>
      <c r="V1728" s="93"/>
      <c r="W1728" s="93"/>
      <c r="X1728" s="93"/>
      <c r="Y1728" s="93"/>
      <c r="Z1728" s="93"/>
    </row>
    <row r="1729" customFormat="false" ht="16.4" hidden="false" customHeight="false" outlineLevel="0" collapsed="false">
      <c r="A1729" s="123" t="n">
        <v>45444</v>
      </c>
      <c r="B1729" s="31" t="s">
        <v>153</v>
      </c>
      <c r="C1729" s="129"/>
      <c r="D1729" s="129"/>
      <c r="E1729" s="19" t="n">
        <f aca="false">F1729*0.03</f>
        <v>0</v>
      </c>
      <c r="F1729" s="33" t="n">
        <v>0</v>
      </c>
      <c r="G1729" s="131"/>
      <c r="H1729" s="35" t="n">
        <v>0</v>
      </c>
      <c r="I1729" s="34" t="n">
        <f aca="false">+IF(E1729=0,0,E1729*0.03)</f>
        <v>0</v>
      </c>
      <c r="J1729" s="93"/>
      <c r="K1729" s="93"/>
      <c r="L1729" s="93"/>
      <c r="M1729" s="93"/>
      <c r="N1729" s="93"/>
      <c r="O1729" s="93"/>
      <c r="P1729" s="93"/>
      <c r="Q1729" s="93"/>
      <c r="R1729" s="93"/>
      <c r="S1729" s="93"/>
      <c r="T1729" s="93"/>
      <c r="U1729" s="93"/>
      <c r="V1729" s="93"/>
      <c r="W1729" s="93"/>
      <c r="X1729" s="93"/>
      <c r="Y1729" s="93"/>
      <c r="Z1729" s="93"/>
    </row>
    <row r="1730" customFormat="false" ht="16.4" hidden="false" customHeight="false" outlineLevel="0" collapsed="false">
      <c r="A1730" s="123" t="n">
        <v>45444</v>
      </c>
      <c r="B1730" s="31" t="s">
        <v>153</v>
      </c>
      <c r="C1730" s="129"/>
      <c r="D1730" s="129"/>
      <c r="E1730" s="19" t="n">
        <f aca="false">F1730*0.03</f>
        <v>0</v>
      </c>
      <c r="F1730" s="33" t="n">
        <v>0</v>
      </c>
      <c r="G1730" s="131"/>
      <c r="H1730" s="35" t="n">
        <v>0</v>
      </c>
      <c r="I1730" s="34" t="n">
        <f aca="false">+IF(E1730=0,0,E1730*0.03)</f>
        <v>0</v>
      </c>
      <c r="J1730" s="93"/>
      <c r="K1730" s="93"/>
      <c r="L1730" s="93"/>
      <c r="M1730" s="93"/>
      <c r="N1730" s="93"/>
      <c r="O1730" s="93"/>
      <c r="P1730" s="93"/>
      <c r="Q1730" s="93"/>
      <c r="R1730" s="93"/>
      <c r="S1730" s="93"/>
      <c r="T1730" s="93"/>
      <c r="U1730" s="93"/>
      <c r="V1730" s="93"/>
      <c r="W1730" s="93"/>
      <c r="X1730" s="93"/>
      <c r="Y1730" s="93"/>
      <c r="Z1730" s="93"/>
    </row>
    <row r="1731" customFormat="false" ht="16.4" hidden="false" customHeight="false" outlineLevel="0" collapsed="false">
      <c r="A1731" s="123" t="n">
        <v>45444</v>
      </c>
      <c r="B1731" s="31" t="s">
        <v>153</v>
      </c>
      <c r="C1731" s="129"/>
      <c r="D1731" s="129"/>
      <c r="E1731" s="19" t="n">
        <f aca="false">F1731*0.03</f>
        <v>0</v>
      </c>
      <c r="F1731" s="33" t="n">
        <v>0</v>
      </c>
      <c r="G1731" s="131"/>
      <c r="H1731" s="35" t="n">
        <v>0</v>
      </c>
      <c r="I1731" s="34" t="n">
        <f aca="false">+IF(E1731=0,0,E1731*0.03)</f>
        <v>0</v>
      </c>
      <c r="J1731" s="93"/>
      <c r="K1731" s="93"/>
      <c r="L1731" s="93"/>
      <c r="M1731" s="93"/>
      <c r="N1731" s="93"/>
      <c r="O1731" s="93"/>
      <c r="P1731" s="93"/>
      <c r="Q1731" s="93"/>
      <c r="R1731" s="93"/>
      <c r="S1731" s="93"/>
      <c r="T1731" s="93"/>
      <c r="U1731" s="93"/>
      <c r="V1731" s="93"/>
      <c r="W1731" s="93"/>
      <c r="X1731" s="93"/>
      <c r="Y1731" s="93"/>
      <c r="Z1731" s="93"/>
    </row>
    <row r="1732" customFormat="false" ht="16.4" hidden="false" customHeight="false" outlineLevel="0" collapsed="false">
      <c r="A1732" s="123" t="n">
        <v>45444</v>
      </c>
      <c r="B1732" s="31" t="s">
        <v>153</v>
      </c>
      <c r="C1732" s="129"/>
      <c r="D1732" s="129"/>
      <c r="E1732" s="19" t="n">
        <f aca="false">F1732*0.03</f>
        <v>0</v>
      </c>
      <c r="F1732" s="33" t="n">
        <v>0</v>
      </c>
      <c r="G1732" s="131"/>
      <c r="H1732" s="35" t="n">
        <v>0</v>
      </c>
      <c r="I1732" s="34" t="n">
        <f aca="false">+IF(E1732=0,0,E1732*0.03)</f>
        <v>0</v>
      </c>
      <c r="J1732" s="93"/>
      <c r="K1732" s="93"/>
      <c r="L1732" s="93"/>
      <c r="M1732" s="93"/>
      <c r="N1732" s="93"/>
      <c r="O1732" s="93"/>
      <c r="P1732" s="93"/>
      <c r="Q1732" s="93"/>
      <c r="R1732" s="93"/>
      <c r="S1732" s="93"/>
      <c r="T1732" s="93"/>
      <c r="U1732" s="93"/>
      <c r="V1732" s="93"/>
      <c r="W1732" s="93"/>
      <c r="X1732" s="93"/>
      <c r="Y1732" s="93"/>
      <c r="Z1732" s="93"/>
    </row>
    <row r="1733" customFormat="false" ht="16.4" hidden="false" customHeight="false" outlineLevel="0" collapsed="false">
      <c r="A1733" s="123" t="n">
        <v>45444</v>
      </c>
      <c r="B1733" s="31" t="s">
        <v>153</v>
      </c>
      <c r="C1733" s="129"/>
      <c r="D1733" s="129"/>
      <c r="E1733" s="19" t="n">
        <f aca="false">F1733*0.03</f>
        <v>0</v>
      </c>
      <c r="F1733" s="33" t="n">
        <v>0</v>
      </c>
      <c r="G1733" s="131"/>
      <c r="H1733" s="35" t="n">
        <v>0</v>
      </c>
      <c r="I1733" s="34" t="n">
        <f aca="false">+IF(E1733=0,0,E1733*0.03)</f>
        <v>0</v>
      </c>
      <c r="J1733" s="93"/>
      <c r="K1733" s="93"/>
      <c r="L1733" s="93"/>
      <c r="M1733" s="93"/>
      <c r="N1733" s="93"/>
      <c r="O1733" s="93"/>
      <c r="P1733" s="93"/>
      <c r="Q1733" s="93"/>
      <c r="R1733" s="93"/>
      <c r="S1733" s="93"/>
      <c r="T1733" s="93"/>
      <c r="U1733" s="93"/>
      <c r="V1733" s="93"/>
      <c r="W1733" s="93"/>
      <c r="X1733" s="93"/>
      <c r="Y1733" s="93"/>
      <c r="Z1733" s="93"/>
    </row>
    <row r="1734" customFormat="false" ht="16.4" hidden="false" customHeight="false" outlineLevel="0" collapsed="false">
      <c r="A1734" s="123" t="n">
        <v>45444</v>
      </c>
      <c r="B1734" s="31" t="s">
        <v>153</v>
      </c>
      <c r="C1734" s="129"/>
      <c r="D1734" s="129"/>
      <c r="E1734" s="19" t="n">
        <f aca="false">F1734*0.03</f>
        <v>0</v>
      </c>
      <c r="F1734" s="33" t="n">
        <v>0</v>
      </c>
      <c r="G1734" s="131"/>
      <c r="H1734" s="35" t="n">
        <v>0</v>
      </c>
      <c r="I1734" s="34" t="n">
        <f aca="false">+IF(E1734=0,0,E1734*0.03)</f>
        <v>0</v>
      </c>
      <c r="J1734" s="93"/>
      <c r="K1734" s="93"/>
      <c r="L1734" s="93"/>
      <c r="M1734" s="93"/>
      <c r="N1734" s="93"/>
      <c r="O1734" s="93"/>
      <c r="P1734" s="93"/>
      <c r="Q1734" s="93"/>
      <c r="R1734" s="93"/>
      <c r="S1734" s="93"/>
      <c r="T1734" s="93"/>
      <c r="U1734" s="93"/>
      <c r="V1734" s="93"/>
      <c r="W1734" s="93"/>
      <c r="X1734" s="93"/>
      <c r="Y1734" s="93"/>
      <c r="Z1734" s="93"/>
    </row>
    <row r="1735" customFormat="false" ht="16.4" hidden="false" customHeight="false" outlineLevel="0" collapsed="false">
      <c r="A1735" s="123" t="n">
        <v>45444</v>
      </c>
      <c r="B1735" s="31" t="s">
        <v>153</v>
      </c>
      <c r="C1735" s="129"/>
      <c r="D1735" s="129"/>
      <c r="E1735" s="19" t="n">
        <f aca="false">F1735*0.03</f>
        <v>0</v>
      </c>
      <c r="F1735" s="33" t="n">
        <v>0</v>
      </c>
      <c r="G1735" s="131"/>
      <c r="H1735" s="35" t="n">
        <v>0</v>
      </c>
      <c r="I1735" s="34" t="n">
        <f aca="false">+IF(E1735=0,0,E1735*0.03)</f>
        <v>0</v>
      </c>
      <c r="J1735" s="93"/>
      <c r="K1735" s="93"/>
      <c r="L1735" s="93"/>
      <c r="M1735" s="93"/>
      <c r="N1735" s="93"/>
      <c r="O1735" s="93"/>
      <c r="P1735" s="93"/>
      <c r="Q1735" s="93"/>
      <c r="R1735" s="93"/>
      <c r="S1735" s="93"/>
      <c r="T1735" s="93"/>
      <c r="U1735" s="93"/>
      <c r="V1735" s="93"/>
      <c r="W1735" s="93"/>
      <c r="X1735" s="93"/>
      <c r="Y1735" s="93"/>
      <c r="Z1735" s="93"/>
    </row>
    <row r="1736" customFormat="false" ht="16.4" hidden="false" customHeight="false" outlineLevel="0" collapsed="false">
      <c r="A1736" s="123" t="n">
        <v>45444</v>
      </c>
      <c r="B1736" s="31" t="s">
        <v>153</v>
      </c>
      <c r="C1736" s="129"/>
      <c r="D1736" s="129"/>
      <c r="E1736" s="19" t="n">
        <f aca="false">F1736*0.03</f>
        <v>0</v>
      </c>
      <c r="F1736" s="33" t="n">
        <v>0</v>
      </c>
      <c r="G1736" s="131"/>
      <c r="H1736" s="35" t="n">
        <v>0</v>
      </c>
      <c r="I1736" s="34" t="n">
        <f aca="false">+IF(E1736=0,0,E1736*0.03)</f>
        <v>0</v>
      </c>
      <c r="J1736" s="93"/>
      <c r="K1736" s="93"/>
      <c r="L1736" s="93"/>
      <c r="M1736" s="93"/>
      <c r="N1736" s="93"/>
      <c r="O1736" s="93"/>
      <c r="P1736" s="93"/>
      <c r="Q1736" s="93"/>
      <c r="R1736" s="93"/>
      <c r="S1736" s="93"/>
      <c r="T1736" s="93"/>
      <c r="U1736" s="93"/>
      <c r="V1736" s="93"/>
      <c r="W1736" s="93"/>
      <c r="X1736" s="93"/>
      <c r="Y1736" s="93"/>
      <c r="Z1736" s="93"/>
    </row>
    <row r="1737" customFormat="false" ht="16.4" hidden="false" customHeight="false" outlineLevel="0" collapsed="false">
      <c r="A1737" s="123" t="n">
        <v>45444</v>
      </c>
      <c r="B1737" s="31" t="s">
        <v>153</v>
      </c>
      <c r="C1737" s="129"/>
      <c r="D1737" s="129"/>
      <c r="E1737" s="19" t="n">
        <f aca="false">F1737*0.03</f>
        <v>0</v>
      </c>
      <c r="F1737" s="33" t="n">
        <v>0</v>
      </c>
      <c r="G1737" s="131"/>
      <c r="H1737" s="35" t="n">
        <v>0</v>
      </c>
      <c r="I1737" s="34" t="n">
        <f aca="false">+IF(E1737=0,0,E1737*0.03)</f>
        <v>0</v>
      </c>
      <c r="J1737" s="93"/>
      <c r="K1737" s="93"/>
      <c r="L1737" s="93"/>
      <c r="M1737" s="93"/>
      <c r="N1737" s="93"/>
      <c r="O1737" s="93"/>
      <c r="P1737" s="93"/>
      <c r="Q1737" s="93"/>
      <c r="R1737" s="93"/>
      <c r="S1737" s="93"/>
      <c r="T1737" s="93"/>
      <c r="U1737" s="93"/>
      <c r="V1737" s="93"/>
      <c r="W1737" s="93"/>
      <c r="X1737" s="93"/>
      <c r="Y1737" s="93"/>
      <c r="Z1737" s="93"/>
    </row>
    <row r="1738" customFormat="false" ht="16.4" hidden="false" customHeight="false" outlineLevel="0" collapsed="false">
      <c r="A1738" s="123" t="n">
        <v>45444</v>
      </c>
      <c r="B1738" s="31" t="s">
        <v>153</v>
      </c>
      <c r="C1738" s="129"/>
      <c r="D1738" s="129"/>
      <c r="E1738" s="19" t="n">
        <f aca="false">F1738*0.03</f>
        <v>0</v>
      </c>
      <c r="F1738" s="33" t="n">
        <v>0</v>
      </c>
      <c r="G1738" s="131"/>
      <c r="H1738" s="35" t="n">
        <v>0</v>
      </c>
      <c r="I1738" s="34" t="n">
        <f aca="false">+IF(E1738=0,0,E1738*0.03)</f>
        <v>0</v>
      </c>
      <c r="J1738" s="93"/>
      <c r="K1738" s="93"/>
      <c r="L1738" s="93"/>
      <c r="M1738" s="93"/>
      <c r="N1738" s="93"/>
      <c r="O1738" s="93"/>
      <c r="P1738" s="93"/>
      <c r="Q1738" s="93"/>
      <c r="R1738" s="93"/>
      <c r="S1738" s="93"/>
      <c r="T1738" s="93"/>
      <c r="U1738" s="93"/>
      <c r="V1738" s="93"/>
      <c r="W1738" s="93"/>
      <c r="X1738" s="93"/>
      <c r="Y1738" s="93"/>
      <c r="Z1738" s="93"/>
    </row>
    <row r="1739" customFormat="false" ht="16.4" hidden="false" customHeight="false" outlineLevel="0" collapsed="false">
      <c r="A1739" s="123" t="n">
        <v>45444</v>
      </c>
      <c r="B1739" s="31" t="s">
        <v>153</v>
      </c>
      <c r="C1739" s="129"/>
      <c r="D1739" s="129"/>
      <c r="E1739" s="19" t="n">
        <f aca="false">F1739*0.03</f>
        <v>0</v>
      </c>
      <c r="F1739" s="33" t="n">
        <v>0</v>
      </c>
      <c r="G1739" s="131"/>
      <c r="H1739" s="35" t="n">
        <v>0</v>
      </c>
      <c r="I1739" s="34" t="n">
        <f aca="false">+IF(E1739=0,0,E1739*0.03)</f>
        <v>0</v>
      </c>
      <c r="J1739" s="93"/>
      <c r="K1739" s="93"/>
      <c r="L1739" s="93"/>
      <c r="M1739" s="93"/>
      <c r="N1739" s="93"/>
      <c r="O1739" s="93"/>
      <c r="P1739" s="93"/>
      <c r="Q1739" s="93"/>
      <c r="R1739" s="93"/>
      <c r="S1739" s="93"/>
      <c r="T1739" s="93"/>
      <c r="U1739" s="93"/>
      <c r="V1739" s="93"/>
      <c r="W1739" s="93"/>
      <c r="X1739" s="93"/>
      <c r="Y1739" s="93"/>
      <c r="Z1739" s="93"/>
    </row>
    <row r="1740" customFormat="false" ht="16.4" hidden="false" customHeight="false" outlineLevel="0" collapsed="false">
      <c r="A1740" s="123" t="n">
        <v>45444</v>
      </c>
      <c r="B1740" s="31" t="s">
        <v>153</v>
      </c>
      <c r="C1740" s="129"/>
      <c r="D1740" s="129"/>
      <c r="E1740" s="19" t="n">
        <f aca="false">F1740*0.03</f>
        <v>0</v>
      </c>
      <c r="F1740" s="33" t="n">
        <v>0</v>
      </c>
      <c r="G1740" s="131"/>
      <c r="H1740" s="35" t="n">
        <v>0</v>
      </c>
      <c r="I1740" s="34" t="n">
        <f aca="false">+IF(E1740=0,0,E1740*0.03)</f>
        <v>0</v>
      </c>
      <c r="J1740" s="93"/>
      <c r="K1740" s="93"/>
      <c r="L1740" s="93"/>
      <c r="M1740" s="93"/>
      <c r="N1740" s="93"/>
      <c r="O1740" s="93"/>
      <c r="P1740" s="93"/>
      <c r="Q1740" s="93"/>
      <c r="R1740" s="93"/>
      <c r="S1740" s="93"/>
      <c r="T1740" s="93"/>
      <c r="U1740" s="93"/>
      <c r="V1740" s="93"/>
      <c r="W1740" s="93"/>
      <c r="X1740" s="93"/>
      <c r="Y1740" s="93"/>
      <c r="Z1740" s="93"/>
    </row>
    <row r="1741" customFormat="false" ht="16.4" hidden="false" customHeight="false" outlineLevel="0" collapsed="false">
      <c r="A1741" s="123" t="n">
        <v>45444</v>
      </c>
      <c r="B1741" s="31" t="s">
        <v>153</v>
      </c>
      <c r="C1741" s="129"/>
      <c r="D1741" s="129"/>
      <c r="E1741" s="19" t="n">
        <f aca="false">F1741*0.03</f>
        <v>0</v>
      </c>
      <c r="F1741" s="33" t="n">
        <v>0</v>
      </c>
      <c r="G1741" s="131"/>
      <c r="H1741" s="35" t="n">
        <v>0</v>
      </c>
      <c r="I1741" s="34" t="n">
        <f aca="false">+IF(E1741=0,0,E1741*0.03)</f>
        <v>0</v>
      </c>
      <c r="J1741" s="93"/>
      <c r="K1741" s="93"/>
      <c r="L1741" s="93"/>
      <c r="M1741" s="93"/>
      <c r="N1741" s="93"/>
      <c r="O1741" s="93"/>
      <c r="P1741" s="93"/>
      <c r="Q1741" s="93"/>
      <c r="R1741" s="93"/>
      <c r="S1741" s="93"/>
      <c r="T1741" s="93"/>
      <c r="U1741" s="93"/>
      <c r="V1741" s="93"/>
      <c r="W1741" s="93"/>
      <c r="X1741" s="93"/>
      <c r="Y1741" s="93"/>
      <c r="Z1741" s="93"/>
    </row>
    <row r="1742" customFormat="false" ht="16.4" hidden="false" customHeight="false" outlineLevel="0" collapsed="false">
      <c r="A1742" s="123" t="n">
        <v>45444</v>
      </c>
      <c r="B1742" s="31" t="s">
        <v>153</v>
      </c>
      <c r="C1742" s="129"/>
      <c r="D1742" s="129"/>
      <c r="E1742" s="19" t="n">
        <f aca="false">F1742*0.03</f>
        <v>0</v>
      </c>
      <c r="F1742" s="33" t="n">
        <v>0</v>
      </c>
      <c r="G1742" s="131"/>
      <c r="H1742" s="35" t="n">
        <v>0</v>
      </c>
      <c r="I1742" s="34" t="n">
        <f aca="false">+IF(E1742=0,0,E1742*0.03)</f>
        <v>0</v>
      </c>
      <c r="J1742" s="93"/>
      <c r="K1742" s="93"/>
      <c r="L1742" s="93"/>
      <c r="M1742" s="93"/>
      <c r="N1742" s="93"/>
      <c r="O1742" s="93"/>
      <c r="P1742" s="93"/>
      <c r="Q1742" s="93"/>
      <c r="R1742" s="93"/>
      <c r="S1742" s="93"/>
      <c r="T1742" s="93"/>
      <c r="U1742" s="93"/>
      <c r="V1742" s="93"/>
      <c r="W1742" s="93"/>
      <c r="X1742" s="93"/>
      <c r="Y1742" s="93"/>
      <c r="Z1742" s="93"/>
    </row>
    <row r="1743" customFormat="false" ht="16.4" hidden="false" customHeight="false" outlineLevel="0" collapsed="false">
      <c r="A1743" s="123" t="n">
        <v>45444</v>
      </c>
      <c r="B1743" s="31" t="s">
        <v>153</v>
      </c>
      <c r="C1743" s="129"/>
      <c r="D1743" s="129"/>
      <c r="E1743" s="19" t="n">
        <f aca="false">F1743*0.03</f>
        <v>0</v>
      </c>
      <c r="F1743" s="33" t="n">
        <v>0</v>
      </c>
      <c r="G1743" s="131"/>
      <c r="H1743" s="35" t="n">
        <v>0</v>
      </c>
      <c r="I1743" s="34" t="n">
        <f aca="false">+IF(E1743=0,0,E1743*0.03)</f>
        <v>0</v>
      </c>
      <c r="J1743" s="93"/>
      <c r="K1743" s="93"/>
      <c r="L1743" s="93"/>
      <c r="M1743" s="93"/>
      <c r="N1743" s="93"/>
      <c r="O1743" s="93"/>
      <c r="P1743" s="93"/>
      <c r="Q1743" s="93"/>
      <c r="R1743" s="93"/>
      <c r="S1743" s="93"/>
      <c r="T1743" s="93"/>
      <c r="U1743" s="93"/>
      <c r="V1743" s="93"/>
      <c r="W1743" s="93"/>
      <c r="X1743" s="93"/>
      <c r="Y1743" s="93"/>
      <c r="Z1743" s="93"/>
    </row>
    <row r="1744" customFormat="false" ht="16.4" hidden="false" customHeight="false" outlineLevel="0" collapsed="false">
      <c r="A1744" s="123" t="n">
        <v>45444</v>
      </c>
      <c r="B1744" s="31" t="s">
        <v>153</v>
      </c>
      <c r="C1744" s="129"/>
      <c r="D1744" s="129"/>
      <c r="E1744" s="19" t="n">
        <f aca="false">F1744*0.03</f>
        <v>0</v>
      </c>
      <c r="F1744" s="33" t="n">
        <v>0</v>
      </c>
      <c r="G1744" s="131"/>
      <c r="H1744" s="35" t="n">
        <v>0</v>
      </c>
      <c r="I1744" s="34" t="n">
        <f aca="false">+IF(E1744=0,0,E1744*0.03)</f>
        <v>0</v>
      </c>
      <c r="J1744" s="93"/>
      <c r="K1744" s="93"/>
      <c r="L1744" s="93"/>
      <c r="M1744" s="93"/>
      <c r="N1744" s="93"/>
      <c r="O1744" s="93"/>
      <c r="P1744" s="93"/>
      <c r="Q1744" s="93"/>
      <c r="R1744" s="93"/>
      <c r="S1744" s="93"/>
      <c r="T1744" s="93"/>
      <c r="U1744" s="93"/>
      <c r="V1744" s="93"/>
      <c r="W1744" s="93"/>
      <c r="X1744" s="93"/>
      <c r="Y1744" s="93"/>
      <c r="Z1744" s="93"/>
    </row>
    <row r="1745" customFormat="false" ht="16.4" hidden="false" customHeight="false" outlineLevel="0" collapsed="false">
      <c r="A1745" s="123" t="n">
        <v>45444</v>
      </c>
      <c r="B1745" s="31" t="s">
        <v>153</v>
      </c>
      <c r="C1745" s="129"/>
      <c r="D1745" s="129"/>
      <c r="E1745" s="19" t="n">
        <f aca="false">F1745*0.03</f>
        <v>0</v>
      </c>
      <c r="F1745" s="33" t="n">
        <v>0</v>
      </c>
      <c r="G1745" s="131"/>
      <c r="H1745" s="35" t="n">
        <v>0</v>
      </c>
      <c r="I1745" s="34" t="n">
        <f aca="false">+IF(E1745=0,0,E1745*0.03)</f>
        <v>0</v>
      </c>
      <c r="J1745" s="93"/>
      <c r="K1745" s="93"/>
      <c r="L1745" s="93"/>
      <c r="M1745" s="93"/>
      <c r="N1745" s="93"/>
      <c r="O1745" s="93"/>
      <c r="P1745" s="93"/>
      <c r="Q1745" s="93"/>
      <c r="R1745" s="93"/>
      <c r="S1745" s="93"/>
      <c r="T1745" s="93"/>
      <c r="U1745" s="93"/>
      <c r="V1745" s="93"/>
      <c r="W1745" s="93"/>
      <c r="X1745" s="93"/>
      <c r="Y1745" s="93"/>
      <c r="Z1745" s="93"/>
    </row>
    <row r="1746" customFormat="false" ht="16.4" hidden="false" customHeight="false" outlineLevel="0" collapsed="false">
      <c r="A1746" s="123" t="n">
        <v>45444</v>
      </c>
      <c r="B1746" s="31" t="s">
        <v>153</v>
      </c>
      <c r="C1746" s="129"/>
      <c r="D1746" s="129"/>
      <c r="E1746" s="19" t="n">
        <f aca="false">F1746*0.03</f>
        <v>0</v>
      </c>
      <c r="F1746" s="33" t="n">
        <v>0</v>
      </c>
      <c r="G1746" s="131"/>
      <c r="H1746" s="35" t="n">
        <v>0</v>
      </c>
      <c r="I1746" s="34" t="n">
        <f aca="false">+IF(E1746=0,0,E1746*0.03)</f>
        <v>0</v>
      </c>
      <c r="J1746" s="93"/>
      <c r="K1746" s="93"/>
      <c r="L1746" s="93"/>
      <c r="M1746" s="93"/>
      <c r="N1746" s="93"/>
      <c r="O1746" s="93"/>
      <c r="P1746" s="93"/>
      <c r="Q1746" s="93"/>
      <c r="R1746" s="93"/>
      <c r="S1746" s="93"/>
      <c r="T1746" s="93"/>
      <c r="U1746" s="93"/>
      <c r="V1746" s="93"/>
      <c r="W1746" s="93"/>
      <c r="X1746" s="93"/>
      <c r="Y1746" s="93"/>
      <c r="Z1746" s="93"/>
    </row>
    <row r="1747" customFormat="false" ht="16.4" hidden="false" customHeight="false" outlineLevel="0" collapsed="false">
      <c r="A1747" s="123" t="n">
        <v>45444</v>
      </c>
      <c r="B1747" s="31" t="s">
        <v>153</v>
      </c>
      <c r="C1747" s="129"/>
      <c r="D1747" s="129"/>
      <c r="E1747" s="19" t="n">
        <f aca="false">F1747*0.03</f>
        <v>0</v>
      </c>
      <c r="F1747" s="33" t="n">
        <v>0</v>
      </c>
      <c r="G1747" s="131"/>
      <c r="H1747" s="35" t="n">
        <v>0</v>
      </c>
      <c r="I1747" s="34" t="n">
        <f aca="false">+IF(E1747=0,0,E1747*0.03)</f>
        <v>0</v>
      </c>
      <c r="J1747" s="93"/>
      <c r="K1747" s="93"/>
      <c r="L1747" s="93"/>
      <c r="M1747" s="93"/>
      <c r="N1747" s="93"/>
      <c r="O1747" s="93"/>
      <c r="P1747" s="93"/>
      <c r="Q1747" s="93"/>
      <c r="R1747" s="93"/>
      <c r="S1747" s="93"/>
      <c r="T1747" s="93"/>
      <c r="U1747" s="93"/>
      <c r="V1747" s="93"/>
      <c r="W1747" s="93"/>
      <c r="X1747" s="93"/>
      <c r="Y1747" s="93"/>
      <c r="Z1747" s="93"/>
    </row>
    <row r="1748" customFormat="false" ht="16.4" hidden="false" customHeight="false" outlineLevel="0" collapsed="false">
      <c r="A1748" s="123" t="n">
        <v>45444</v>
      </c>
      <c r="B1748" s="31" t="s">
        <v>153</v>
      </c>
      <c r="C1748" s="129"/>
      <c r="D1748" s="129"/>
      <c r="E1748" s="19" t="n">
        <f aca="false">F1748*0.03</f>
        <v>0</v>
      </c>
      <c r="F1748" s="33" t="n">
        <v>0</v>
      </c>
      <c r="G1748" s="131"/>
      <c r="H1748" s="35" t="n">
        <v>0</v>
      </c>
      <c r="I1748" s="34" t="n">
        <f aca="false">+IF(E1748=0,0,E1748*0.03)</f>
        <v>0</v>
      </c>
      <c r="J1748" s="93"/>
      <c r="K1748" s="93"/>
      <c r="L1748" s="93"/>
      <c r="M1748" s="93"/>
      <c r="N1748" s="93"/>
      <c r="O1748" s="93"/>
      <c r="P1748" s="93"/>
      <c r="Q1748" s="93"/>
      <c r="R1748" s="93"/>
      <c r="S1748" s="93"/>
      <c r="T1748" s="93"/>
      <c r="U1748" s="93"/>
      <c r="V1748" s="93"/>
      <c r="W1748" s="93"/>
      <c r="X1748" s="93"/>
      <c r="Y1748" s="93"/>
      <c r="Z1748" s="93"/>
    </row>
    <row r="1749" customFormat="false" ht="16.4" hidden="false" customHeight="false" outlineLevel="0" collapsed="false">
      <c r="A1749" s="123" t="n">
        <v>45444</v>
      </c>
      <c r="B1749" s="31" t="s">
        <v>153</v>
      </c>
      <c r="C1749" s="129"/>
      <c r="D1749" s="129"/>
      <c r="E1749" s="19" t="n">
        <f aca="false">F1749*0.03</f>
        <v>0</v>
      </c>
      <c r="F1749" s="33" t="n">
        <v>0</v>
      </c>
      <c r="G1749" s="131"/>
      <c r="H1749" s="35" t="n">
        <v>0</v>
      </c>
      <c r="I1749" s="34" t="n">
        <f aca="false">+IF(E1749=0,0,E1749*0.03)</f>
        <v>0</v>
      </c>
      <c r="J1749" s="93"/>
      <c r="K1749" s="93"/>
      <c r="L1749" s="93"/>
      <c r="M1749" s="93"/>
      <c r="N1749" s="93"/>
      <c r="O1749" s="93"/>
      <c r="P1749" s="93"/>
      <c r="Q1749" s="93"/>
      <c r="R1749" s="93"/>
      <c r="S1749" s="93"/>
      <c r="T1749" s="93"/>
      <c r="U1749" s="93"/>
      <c r="V1749" s="93"/>
      <c r="W1749" s="93"/>
      <c r="X1749" s="93"/>
      <c r="Y1749" s="93"/>
      <c r="Z1749" s="93"/>
    </row>
    <row r="1750" customFormat="false" ht="16.4" hidden="false" customHeight="false" outlineLevel="0" collapsed="false">
      <c r="A1750" s="123" t="n">
        <v>45444</v>
      </c>
      <c r="B1750" s="31" t="s">
        <v>153</v>
      </c>
      <c r="C1750" s="129"/>
      <c r="D1750" s="129"/>
      <c r="E1750" s="19" t="n">
        <f aca="false">F1750*0.03</f>
        <v>0</v>
      </c>
      <c r="F1750" s="33" t="n">
        <v>0</v>
      </c>
      <c r="G1750" s="131"/>
      <c r="H1750" s="35" t="n">
        <v>0</v>
      </c>
      <c r="I1750" s="34" t="n">
        <f aca="false">+IF(E1750=0,0,E1750*0.03)</f>
        <v>0</v>
      </c>
      <c r="J1750" s="93"/>
      <c r="K1750" s="93"/>
      <c r="L1750" s="93"/>
      <c r="M1750" s="93"/>
      <c r="N1750" s="93"/>
      <c r="O1750" s="93"/>
      <c r="P1750" s="93"/>
      <c r="Q1750" s="93"/>
      <c r="R1750" s="93"/>
      <c r="S1750" s="93"/>
      <c r="T1750" s="93"/>
      <c r="U1750" s="93"/>
      <c r="V1750" s="93"/>
      <c r="W1750" s="93"/>
      <c r="X1750" s="93"/>
      <c r="Y1750" s="93"/>
      <c r="Z1750" s="93"/>
    </row>
    <row r="1751" customFormat="false" ht="16.4" hidden="false" customHeight="false" outlineLevel="0" collapsed="false">
      <c r="A1751" s="123" t="n">
        <v>45444</v>
      </c>
      <c r="B1751" s="31" t="s">
        <v>153</v>
      </c>
      <c r="C1751" s="129"/>
      <c r="D1751" s="129"/>
      <c r="E1751" s="19" t="n">
        <f aca="false">F1751*0.03</f>
        <v>0</v>
      </c>
      <c r="F1751" s="33" t="n">
        <v>0</v>
      </c>
      <c r="G1751" s="131"/>
      <c r="H1751" s="35" t="n">
        <v>0</v>
      </c>
      <c r="I1751" s="34" t="n">
        <f aca="false">+IF(E1751=0,0,E1751*0.03)</f>
        <v>0</v>
      </c>
      <c r="J1751" s="93"/>
      <c r="K1751" s="93"/>
      <c r="L1751" s="93"/>
      <c r="M1751" s="93"/>
      <c r="N1751" s="93"/>
      <c r="O1751" s="93"/>
      <c r="P1751" s="93"/>
      <c r="Q1751" s="93"/>
      <c r="R1751" s="93"/>
      <c r="S1751" s="93"/>
      <c r="T1751" s="93"/>
      <c r="U1751" s="93"/>
      <c r="V1751" s="93"/>
      <c r="W1751" s="93"/>
      <c r="X1751" s="93"/>
      <c r="Y1751" s="93"/>
      <c r="Z1751" s="93"/>
    </row>
    <row r="1752" customFormat="false" ht="16.4" hidden="false" customHeight="false" outlineLevel="0" collapsed="false">
      <c r="A1752" s="123" t="n">
        <v>45444</v>
      </c>
      <c r="B1752" s="31" t="s">
        <v>153</v>
      </c>
      <c r="C1752" s="129"/>
      <c r="D1752" s="129"/>
      <c r="E1752" s="19" t="n">
        <f aca="false">F1752*0.03</f>
        <v>0</v>
      </c>
      <c r="F1752" s="33" t="n">
        <v>0</v>
      </c>
      <c r="G1752" s="131"/>
      <c r="H1752" s="35" t="n">
        <v>0</v>
      </c>
      <c r="I1752" s="34" t="n">
        <f aca="false">+IF(E1752=0,0,E1752*0.03)</f>
        <v>0</v>
      </c>
      <c r="J1752" s="93"/>
      <c r="K1752" s="93"/>
      <c r="L1752" s="93"/>
      <c r="M1752" s="93"/>
      <c r="N1752" s="93"/>
      <c r="O1752" s="93"/>
      <c r="P1752" s="93"/>
      <c r="Q1752" s="93"/>
      <c r="R1752" s="93"/>
      <c r="S1752" s="93"/>
      <c r="T1752" s="93"/>
      <c r="U1752" s="93"/>
      <c r="V1752" s="93"/>
      <c r="W1752" s="93"/>
      <c r="X1752" s="93"/>
      <c r="Y1752" s="93"/>
      <c r="Z1752" s="93"/>
    </row>
    <row r="1753" customFormat="false" ht="16.4" hidden="false" customHeight="false" outlineLevel="0" collapsed="false">
      <c r="A1753" s="123" t="n">
        <v>45444</v>
      </c>
      <c r="B1753" s="31" t="s">
        <v>153</v>
      </c>
      <c r="C1753" s="129"/>
      <c r="D1753" s="129"/>
      <c r="E1753" s="19" t="n">
        <f aca="false">F1753*0.03</f>
        <v>0</v>
      </c>
      <c r="F1753" s="33" t="n">
        <v>0</v>
      </c>
      <c r="G1753" s="131"/>
      <c r="H1753" s="35" t="n">
        <v>0</v>
      </c>
      <c r="I1753" s="34" t="n">
        <f aca="false">+IF(E1753=0,0,E1753*0.03)</f>
        <v>0</v>
      </c>
      <c r="J1753" s="93"/>
      <c r="K1753" s="93"/>
      <c r="L1753" s="93"/>
      <c r="M1753" s="93"/>
      <c r="N1753" s="93"/>
      <c r="O1753" s="93"/>
      <c r="P1753" s="93"/>
      <c r="Q1753" s="93"/>
      <c r="R1753" s="93"/>
      <c r="S1753" s="93"/>
      <c r="T1753" s="93"/>
      <c r="U1753" s="93"/>
      <c r="V1753" s="93"/>
      <c r="W1753" s="93"/>
      <c r="X1753" s="93"/>
      <c r="Y1753" s="93"/>
      <c r="Z1753" s="93"/>
    </row>
    <row r="1754" customFormat="false" ht="16.4" hidden="false" customHeight="false" outlineLevel="0" collapsed="false">
      <c r="A1754" s="123" t="n">
        <v>45444</v>
      </c>
      <c r="B1754" s="31" t="s">
        <v>153</v>
      </c>
      <c r="C1754" s="129"/>
      <c r="D1754" s="129"/>
      <c r="E1754" s="19" t="n">
        <f aca="false">F1754*0.03</f>
        <v>0</v>
      </c>
      <c r="F1754" s="33" t="n">
        <v>0</v>
      </c>
      <c r="G1754" s="131"/>
      <c r="H1754" s="35" t="n">
        <v>0</v>
      </c>
      <c r="I1754" s="34" t="n">
        <f aca="false">+IF(E1754=0,0,E1754*0.03)</f>
        <v>0</v>
      </c>
      <c r="J1754" s="93"/>
      <c r="K1754" s="93"/>
      <c r="L1754" s="93"/>
      <c r="M1754" s="93"/>
      <c r="N1754" s="93"/>
      <c r="O1754" s="93"/>
      <c r="P1754" s="93"/>
      <c r="Q1754" s="93"/>
      <c r="R1754" s="93"/>
      <c r="S1754" s="93"/>
      <c r="T1754" s="93"/>
      <c r="U1754" s="93"/>
      <c r="V1754" s="93"/>
      <c r="W1754" s="93"/>
      <c r="X1754" s="93"/>
      <c r="Y1754" s="93"/>
      <c r="Z1754" s="93"/>
    </row>
    <row r="1755" customFormat="false" ht="16.4" hidden="false" customHeight="false" outlineLevel="0" collapsed="false">
      <c r="A1755" s="123" t="n">
        <v>45444</v>
      </c>
      <c r="B1755" s="31" t="s">
        <v>153</v>
      </c>
      <c r="C1755" s="129"/>
      <c r="D1755" s="129"/>
      <c r="E1755" s="19" t="n">
        <f aca="false">F1755*0.03</f>
        <v>0</v>
      </c>
      <c r="F1755" s="33" t="n">
        <v>0</v>
      </c>
      <c r="G1755" s="131"/>
      <c r="H1755" s="35" t="n">
        <v>0</v>
      </c>
      <c r="I1755" s="34" t="n">
        <f aca="false">+IF(E1755=0,0,E1755*0.03)</f>
        <v>0</v>
      </c>
      <c r="J1755" s="93"/>
      <c r="K1755" s="93"/>
      <c r="L1755" s="93"/>
      <c r="M1755" s="93"/>
      <c r="N1755" s="93"/>
      <c r="O1755" s="93"/>
      <c r="P1755" s="93"/>
      <c r="Q1755" s="93"/>
      <c r="R1755" s="93"/>
      <c r="S1755" s="93"/>
      <c r="T1755" s="93"/>
      <c r="U1755" s="93"/>
      <c r="V1755" s="93"/>
      <c r="W1755" s="93"/>
      <c r="X1755" s="93"/>
      <c r="Y1755" s="93"/>
      <c r="Z1755" s="93"/>
    </row>
    <row r="1756" customFormat="false" ht="16.4" hidden="false" customHeight="false" outlineLevel="0" collapsed="false">
      <c r="A1756" s="123" t="n">
        <v>45444</v>
      </c>
      <c r="B1756" s="31" t="s">
        <v>153</v>
      </c>
      <c r="C1756" s="129"/>
      <c r="D1756" s="129"/>
      <c r="E1756" s="19" t="n">
        <f aca="false">F1756*0.03</f>
        <v>0</v>
      </c>
      <c r="F1756" s="33" t="n">
        <v>0</v>
      </c>
      <c r="G1756" s="131"/>
      <c r="H1756" s="35" t="n">
        <v>0</v>
      </c>
      <c r="I1756" s="34" t="n">
        <f aca="false">+IF(E1756=0,0,E1756*0.03)</f>
        <v>0</v>
      </c>
      <c r="J1756" s="93"/>
      <c r="K1756" s="93"/>
      <c r="L1756" s="93"/>
      <c r="M1756" s="93"/>
      <c r="N1756" s="93"/>
      <c r="O1756" s="93"/>
      <c r="P1756" s="93"/>
      <c r="Q1756" s="93"/>
      <c r="R1756" s="93"/>
      <c r="S1756" s="93"/>
      <c r="T1756" s="93"/>
      <c r="U1756" s="93"/>
      <c r="V1756" s="93"/>
      <c r="W1756" s="93"/>
      <c r="X1756" s="93"/>
      <c r="Y1756" s="93"/>
      <c r="Z1756" s="93"/>
    </row>
    <row r="1757" customFormat="false" ht="16.4" hidden="false" customHeight="false" outlineLevel="0" collapsed="false">
      <c r="A1757" s="123" t="n">
        <v>45444</v>
      </c>
      <c r="B1757" s="31" t="s">
        <v>153</v>
      </c>
      <c r="C1757" s="129"/>
      <c r="D1757" s="129"/>
      <c r="E1757" s="19" t="n">
        <f aca="false">F1757*0.03</f>
        <v>0</v>
      </c>
      <c r="F1757" s="33" t="n">
        <v>0</v>
      </c>
      <c r="G1757" s="131"/>
      <c r="H1757" s="35" t="n">
        <v>0</v>
      </c>
      <c r="I1757" s="34" t="n">
        <f aca="false">+IF(E1757=0,0,E1757*0.03)</f>
        <v>0</v>
      </c>
      <c r="J1757" s="93"/>
      <c r="K1757" s="93"/>
      <c r="L1757" s="93"/>
      <c r="M1757" s="93"/>
      <c r="N1757" s="93"/>
      <c r="O1757" s="93"/>
      <c r="P1757" s="93"/>
      <c r="Q1757" s="93"/>
      <c r="R1757" s="93"/>
      <c r="S1757" s="93"/>
      <c r="T1757" s="93"/>
      <c r="U1757" s="93"/>
      <c r="V1757" s="93"/>
      <c r="W1757" s="93"/>
      <c r="X1757" s="93"/>
      <c r="Y1757" s="93"/>
      <c r="Z1757" s="93"/>
    </row>
    <row r="1758" customFormat="false" ht="16.4" hidden="false" customHeight="false" outlineLevel="0" collapsed="false">
      <c r="A1758" s="123" t="n">
        <v>45444</v>
      </c>
      <c r="B1758" s="31" t="s">
        <v>153</v>
      </c>
      <c r="C1758" s="129"/>
      <c r="D1758" s="129"/>
      <c r="E1758" s="19" t="n">
        <f aca="false">F1758*0.03</f>
        <v>0</v>
      </c>
      <c r="F1758" s="33" t="n">
        <v>0</v>
      </c>
      <c r="G1758" s="131"/>
      <c r="H1758" s="35" t="n">
        <v>0</v>
      </c>
      <c r="I1758" s="34" t="n">
        <f aca="false">+IF(E1758=0,0,E1758*0.03)</f>
        <v>0</v>
      </c>
      <c r="J1758" s="93"/>
      <c r="K1758" s="93"/>
      <c r="L1758" s="93"/>
      <c r="M1758" s="93"/>
      <c r="N1758" s="93"/>
      <c r="O1758" s="93"/>
      <c r="P1758" s="93"/>
      <c r="Q1758" s="93"/>
      <c r="R1758" s="93"/>
      <c r="S1758" s="93"/>
      <c r="T1758" s="93"/>
      <c r="U1758" s="93"/>
      <c r="V1758" s="93"/>
      <c r="W1758" s="93"/>
      <c r="X1758" s="93"/>
      <c r="Y1758" s="93"/>
      <c r="Z1758" s="93"/>
    </row>
    <row r="1759" customFormat="false" ht="16.4" hidden="false" customHeight="false" outlineLevel="0" collapsed="false">
      <c r="A1759" s="123" t="n">
        <v>45444</v>
      </c>
      <c r="B1759" s="31" t="s">
        <v>153</v>
      </c>
      <c r="C1759" s="129"/>
      <c r="D1759" s="129"/>
      <c r="E1759" s="19" t="n">
        <f aca="false">F1759*0.03</f>
        <v>0</v>
      </c>
      <c r="F1759" s="33" t="n">
        <v>0</v>
      </c>
      <c r="G1759" s="131"/>
      <c r="H1759" s="35" t="n">
        <v>0</v>
      </c>
      <c r="I1759" s="34" t="n">
        <f aca="false">+IF(E1759=0,0,E1759*0.03)</f>
        <v>0</v>
      </c>
      <c r="J1759" s="93"/>
      <c r="K1759" s="93"/>
      <c r="L1759" s="93"/>
      <c r="M1759" s="93"/>
      <c r="N1759" s="93"/>
      <c r="O1759" s="93"/>
      <c r="P1759" s="93"/>
      <c r="Q1759" s="93"/>
      <c r="R1759" s="93"/>
      <c r="S1759" s="93"/>
      <c r="T1759" s="93"/>
      <c r="U1759" s="93"/>
      <c r="V1759" s="93"/>
      <c r="W1759" s="93"/>
      <c r="X1759" s="93"/>
      <c r="Y1759" s="93"/>
      <c r="Z1759" s="93"/>
    </row>
    <row r="1760" customFormat="false" ht="16.4" hidden="false" customHeight="false" outlineLevel="0" collapsed="false">
      <c r="A1760" s="123" t="n">
        <v>45444</v>
      </c>
      <c r="B1760" s="31" t="s">
        <v>153</v>
      </c>
      <c r="C1760" s="129"/>
      <c r="D1760" s="129"/>
      <c r="E1760" s="19" t="n">
        <f aca="false">F1760*0.03</f>
        <v>0</v>
      </c>
      <c r="F1760" s="33" t="n">
        <v>0</v>
      </c>
      <c r="G1760" s="131"/>
      <c r="H1760" s="35" t="n">
        <v>0</v>
      </c>
      <c r="I1760" s="34" t="n">
        <f aca="false">+IF(E1760=0,0,E1760*0.03)</f>
        <v>0</v>
      </c>
      <c r="J1760" s="93"/>
      <c r="K1760" s="93"/>
      <c r="L1760" s="93"/>
      <c r="M1760" s="93"/>
      <c r="N1760" s="93"/>
      <c r="O1760" s="93"/>
      <c r="P1760" s="93"/>
      <c r="Q1760" s="93"/>
      <c r="R1760" s="93"/>
      <c r="S1760" s="93"/>
      <c r="T1760" s="93"/>
      <c r="U1760" s="93"/>
      <c r="V1760" s="93"/>
      <c r="W1760" s="93"/>
      <c r="X1760" s="93"/>
      <c r="Y1760" s="93"/>
      <c r="Z1760" s="93"/>
    </row>
    <row r="1761" customFormat="false" ht="16.4" hidden="false" customHeight="false" outlineLevel="0" collapsed="false">
      <c r="A1761" s="123" t="n">
        <v>45444</v>
      </c>
      <c r="B1761" s="31" t="s">
        <v>153</v>
      </c>
      <c r="C1761" s="129"/>
      <c r="D1761" s="129"/>
      <c r="E1761" s="19" t="n">
        <f aca="false">F1761*0.03</f>
        <v>0</v>
      </c>
      <c r="F1761" s="33" t="n">
        <v>0</v>
      </c>
      <c r="G1761" s="131"/>
      <c r="H1761" s="35" t="n">
        <v>0</v>
      </c>
      <c r="I1761" s="34" t="n">
        <f aca="false">+IF(E1761=0,0,E1761*0.03)</f>
        <v>0</v>
      </c>
      <c r="J1761" s="93"/>
      <c r="K1761" s="93"/>
      <c r="L1761" s="93"/>
      <c r="M1761" s="93"/>
      <c r="N1761" s="93"/>
      <c r="O1761" s="93"/>
      <c r="P1761" s="93"/>
      <c r="Q1761" s="93"/>
      <c r="R1761" s="93"/>
      <c r="S1761" s="93"/>
      <c r="T1761" s="93"/>
      <c r="U1761" s="93"/>
      <c r="V1761" s="93"/>
      <c r="W1761" s="93"/>
      <c r="X1761" s="93"/>
      <c r="Y1761" s="93"/>
      <c r="Z1761" s="93"/>
    </row>
    <row r="1762" customFormat="false" ht="16.4" hidden="false" customHeight="false" outlineLevel="0" collapsed="false">
      <c r="A1762" s="123" t="n">
        <v>45444</v>
      </c>
      <c r="B1762" s="31" t="s">
        <v>153</v>
      </c>
      <c r="C1762" s="129"/>
      <c r="D1762" s="129"/>
      <c r="E1762" s="19" t="n">
        <f aca="false">F1762*0.03</f>
        <v>0</v>
      </c>
      <c r="F1762" s="33" t="n">
        <v>0</v>
      </c>
      <c r="G1762" s="131"/>
      <c r="H1762" s="35" t="n">
        <v>0</v>
      </c>
      <c r="I1762" s="34" t="n">
        <f aca="false">+IF(E1762=0,0,E1762*0.03)</f>
        <v>0</v>
      </c>
      <c r="J1762" s="93"/>
      <c r="K1762" s="93"/>
      <c r="L1762" s="93"/>
      <c r="M1762" s="93"/>
      <c r="N1762" s="93"/>
      <c r="O1762" s="93"/>
      <c r="P1762" s="93"/>
      <c r="Q1762" s="93"/>
      <c r="R1762" s="93"/>
      <c r="S1762" s="93"/>
      <c r="T1762" s="93"/>
      <c r="U1762" s="93"/>
      <c r="V1762" s="93"/>
      <c r="W1762" s="93"/>
      <c r="X1762" s="93"/>
      <c r="Y1762" s="93"/>
      <c r="Z1762" s="93"/>
    </row>
    <row r="1763" customFormat="false" ht="16.4" hidden="false" customHeight="false" outlineLevel="0" collapsed="false">
      <c r="A1763" s="123" t="n">
        <v>45444</v>
      </c>
      <c r="B1763" s="31" t="s">
        <v>153</v>
      </c>
      <c r="C1763" s="129"/>
      <c r="D1763" s="129"/>
      <c r="E1763" s="19" t="n">
        <f aca="false">F1763*0.03</f>
        <v>0</v>
      </c>
      <c r="F1763" s="33" t="n">
        <v>0</v>
      </c>
      <c r="G1763" s="131"/>
      <c r="H1763" s="35" t="n">
        <v>0</v>
      </c>
      <c r="I1763" s="34" t="n">
        <f aca="false">+IF(E1763=0,0,E1763*0.03)</f>
        <v>0</v>
      </c>
      <c r="J1763" s="93"/>
      <c r="K1763" s="93"/>
      <c r="L1763" s="93"/>
      <c r="M1763" s="93"/>
      <c r="N1763" s="93"/>
      <c r="O1763" s="93"/>
      <c r="P1763" s="93"/>
      <c r="Q1763" s="93"/>
      <c r="R1763" s="93"/>
      <c r="S1763" s="93"/>
      <c r="T1763" s="93"/>
      <c r="U1763" s="93"/>
      <c r="V1763" s="93"/>
      <c r="W1763" s="93"/>
      <c r="X1763" s="93"/>
      <c r="Y1763" s="93"/>
      <c r="Z1763" s="93"/>
    </row>
    <row r="1764" customFormat="false" ht="16.4" hidden="false" customHeight="false" outlineLevel="0" collapsed="false">
      <c r="A1764" s="123" t="n">
        <v>45444</v>
      </c>
      <c r="B1764" s="31" t="s">
        <v>153</v>
      </c>
      <c r="C1764" s="129"/>
      <c r="D1764" s="129"/>
      <c r="E1764" s="19" t="n">
        <f aca="false">F1764*0.03</f>
        <v>0</v>
      </c>
      <c r="F1764" s="33" t="n">
        <v>0</v>
      </c>
      <c r="G1764" s="131"/>
      <c r="H1764" s="35" t="n">
        <v>0</v>
      </c>
      <c r="I1764" s="34" t="n">
        <f aca="false">+IF(E1764=0,0,E1764*0.03)</f>
        <v>0</v>
      </c>
      <c r="J1764" s="93"/>
      <c r="K1764" s="93"/>
      <c r="L1764" s="93"/>
      <c r="M1764" s="93"/>
      <c r="N1764" s="93"/>
      <c r="O1764" s="93"/>
      <c r="P1764" s="93"/>
      <c r="Q1764" s="93"/>
      <c r="R1764" s="93"/>
      <c r="S1764" s="93"/>
      <c r="T1764" s="93"/>
      <c r="U1764" s="93"/>
      <c r="V1764" s="93"/>
      <c r="W1764" s="93"/>
      <c r="X1764" s="93"/>
      <c r="Y1764" s="93"/>
      <c r="Z1764" s="93"/>
    </row>
    <row r="1765" customFormat="false" ht="16.4" hidden="false" customHeight="false" outlineLevel="0" collapsed="false">
      <c r="A1765" s="123" t="n">
        <v>45444</v>
      </c>
      <c r="B1765" s="31" t="s">
        <v>153</v>
      </c>
      <c r="C1765" s="129"/>
      <c r="D1765" s="129"/>
      <c r="E1765" s="19" t="n">
        <f aca="false">F1765*0.03</f>
        <v>0</v>
      </c>
      <c r="F1765" s="33" t="n">
        <v>0</v>
      </c>
      <c r="G1765" s="131"/>
      <c r="H1765" s="35" t="n">
        <v>0</v>
      </c>
      <c r="I1765" s="34" t="n">
        <f aca="false">+IF(E1765=0,0,E1765*0.03)</f>
        <v>0</v>
      </c>
      <c r="J1765" s="93"/>
      <c r="K1765" s="93"/>
      <c r="L1765" s="93"/>
      <c r="M1765" s="93"/>
      <c r="N1765" s="93"/>
      <c r="O1765" s="93"/>
      <c r="P1765" s="93"/>
      <c r="Q1765" s="93"/>
      <c r="R1765" s="93"/>
      <c r="S1765" s="93"/>
      <c r="T1765" s="93"/>
      <c r="U1765" s="93"/>
      <c r="V1765" s="93"/>
      <c r="W1765" s="93"/>
      <c r="X1765" s="93"/>
      <c r="Y1765" s="93"/>
      <c r="Z1765" s="93"/>
    </row>
    <row r="1766" customFormat="false" ht="16.4" hidden="false" customHeight="false" outlineLevel="0" collapsed="false">
      <c r="A1766" s="123" t="n">
        <v>45444</v>
      </c>
      <c r="B1766" s="31" t="s">
        <v>153</v>
      </c>
      <c r="C1766" s="129"/>
      <c r="D1766" s="129"/>
      <c r="E1766" s="19" t="n">
        <f aca="false">F1766*0.03</f>
        <v>0</v>
      </c>
      <c r="F1766" s="33" t="n">
        <v>0</v>
      </c>
      <c r="G1766" s="131"/>
      <c r="H1766" s="35" t="n">
        <v>0</v>
      </c>
      <c r="I1766" s="34" t="n">
        <f aca="false">+IF(E1766=0,0,E1766*0.03)</f>
        <v>0</v>
      </c>
      <c r="J1766" s="93"/>
      <c r="K1766" s="93"/>
      <c r="L1766" s="93"/>
      <c r="M1766" s="93"/>
      <c r="N1766" s="93"/>
      <c r="O1766" s="93"/>
      <c r="P1766" s="93"/>
      <c r="Q1766" s="93"/>
      <c r="R1766" s="93"/>
      <c r="S1766" s="93"/>
      <c r="T1766" s="93"/>
      <c r="U1766" s="93"/>
      <c r="V1766" s="93"/>
      <c r="W1766" s="93"/>
      <c r="X1766" s="93"/>
      <c r="Y1766" s="93"/>
      <c r="Z1766" s="93"/>
    </row>
    <row r="1767" customFormat="false" ht="16.4" hidden="false" customHeight="false" outlineLevel="0" collapsed="false">
      <c r="A1767" s="123" t="n">
        <v>45444</v>
      </c>
      <c r="B1767" s="31" t="s">
        <v>153</v>
      </c>
      <c r="C1767" s="129"/>
      <c r="D1767" s="129"/>
      <c r="E1767" s="19" t="n">
        <f aca="false">F1767*0.03</f>
        <v>0</v>
      </c>
      <c r="F1767" s="33" t="n">
        <v>0</v>
      </c>
      <c r="G1767" s="131"/>
      <c r="H1767" s="35" t="n">
        <v>0</v>
      </c>
      <c r="I1767" s="34" t="n">
        <f aca="false">+IF(E1767=0,0,E1767*0.03)</f>
        <v>0</v>
      </c>
      <c r="J1767" s="93"/>
      <c r="K1767" s="93"/>
      <c r="L1767" s="93"/>
      <c r="M1767" s="93"/>
      <c r="N1767" s="93"/>
      <c r="O1767" s="93"/>
      <c r="P1767" s="93"/>
      <c r="Q1767" s="93"/>
      <c r="R1767" s="93"/>
      <c r="S1767" s="93"/>
      <c r="T1767" s="93"/>
      <c r="U1767" s="93"/>
      <c r="V1767" s="93"/>
      <c r="W1767" s="93"/>
      <c r="X1767" s="93"/>
      <c r="Y1767" s="93"/>
      <c r="Z1767" s="93"/>
    </row>
    <row r="1768" customFormat="false" ht="16.4" hidden="false" customHeight="false" outlineLevel="0" collapsed="false">
      <c r="A1768" s="123" t="n">
        <v>45444</v>
      </c>
      <c r="B1768" s="31" t="s">
        <v>153</v>
      </c>
      <c r="C1768" s="129"/>
      <c r="D1768" s="129"/>
      <c r="E1768" s="19" t="n">
        <f aca="false">F1768*0.03</f>
        <v>0</v>
      </c>
      <c r="F1768" s="33" t="n">
        <v>0</v>
      </c>
      <c r="G1768" s="131"/>
      <c r="H1768" s="35" t="n">
        <v>0</v>
      </c>
      <c r="I1768" s="34" t="n">
        <f aca="false">+IF(E1768=0,0,E1768*0.03)</f>
        <v>0</v>
      </c>
      <c r="J1768" s="93"/>
      <c r="K1768" s="93"/>
      <c r="L1768" s="93"/>
      <c r="M1768" s="93"/>
      <c r="N1768" s="93"/>
      <c r="O1768" s="93"/>
      <c r="P1768" s="93"/>
      <c r="Q1768" s="93"/>
      <c r="R1768" s="93"/>
      <c r="S1768" s="93"/>
      <c r="T1768" s="93"/>
      <c r="U1768" s="93"/>
      <c r="V1768" s="93"/>
      <c r="W1768" s="93"/>
      <c r="X1768" s="93"/>
      <c r="Y1768" s="93"/>
      <c r="Z1768" s="93"/>
    </row>
    <row r="1769" customFormat="false" ht="16.4" hidden="false" customHeight="false" outlineLevel="0" collapsed="false">
      <c r="A1769" s="123" t="n">
        <v>45444</v>
      </c>
      <c r="B1769" s="31" t="s">
        <v>153</v>
      </c>
      <c r="C1769" s="129"/>
      <c r="D1769" s="129"/>
      <c r="E1769" s="19" t="n">
        <f aca="false">F1769*0.03</f>
        <v>0</v>
      </c>
      <c r="F1769" s="33" t="n">
        <v>0</v>
      </c>
      <c r="G1769" s="131"/>
      <c r="H1769" s="35" t="n">
        <v>0</v>
      </c>
      <c r="I1769" s="34" t="n">
        <f aca="false">+IF(E1769=0,0,E1769*0.03)</f>
        <v>0</v>
      </c>
      <c r="J1769" s="93"/>
      <c r="K1769" s="93"/>
      <c r="L1769" s="93"/>
      <c r="M1769" s="93"/>
      <c r="N1769" s="93"/>
      <c r="O1769" s="93"/>
      <c r="P1769" s="93"/>
      <c r="Q1769" s="93"/>
      <c r="R1769" s="93"/>
      <c r="S1769" s="93"/>
      <c r="T1769" s="93"/>
      <c r="U1769" s="93"/>
      <c r="V1769" s="93"/>
      <c r="W1769" s="93"/>
      <c r="X1769" s="93"/>
      <c r="Y1769" s="93"/>
      <c r="Z1769" s="93"/>
    </row>
    <row r="1770" customFormat="false" ht="16.4" hidden="false" customHeight="false" outlineLevel="0" collapsed="false">
      <c r="A1770" s="123" t="n">
        <v>45444</v>
      </c>
      <c r="B1770" s="31" t="s">
        <v>153</v>
      </c>
      <c r="C1770" s="129"/>
      <c r="D1770" s="129"/>
      <c r="E1770" s="19" t="n">
        <f aca="false">F1770*0.03</f>
        <v>0</v>
      </c>
      <c r="F1770" s="33" t="n">
        <v>0</v>
      </c>
      <c r="G1770" s="131"/>
      <c r="H1770" s="35" t="n">
        <v>0</v>
      </c>
      <c r="I1770" s="34" t="n">
        <f aca="false">+IF(E1770=0,0,E1770*0.03)</f>
        <v>0</v>
      </c>
      <c r="J1770" s="93"/>
      <c r="K1770" s="93"/>
      <c r="L1770" s="93"/>
      <c r="M1770" s="93"/>
      <c r="N1770" s="93"/>
      <c r="O1770" s="93"/>
      <c r="P1770" s="93"/>
      <c r="Q1770" s="93"/>
      <c r="R1770" s="93"/>
      <c r="S1770" s="93"/>
      <c r="T1770" s="93"/>
      <c r="U1770" s="93"/>
      <c r="V1770" s="93"/>
      <c r="W1770" s="93"/>
      <c r="X1770" s="93"/>
      <c r="Y1770" s="93"/>
      <c r="Z1770" s="93"/>
    </row>
    <row r="1771" customFormat="false" ht="16.4" hidden="false" customHeight="false" outlineLevel="0" collapsed="false">
      <c r="A1771" s="123" t="n">
        <v>45444</v>
      </c>
      <c r="B1771" s="31" t="s">
        <v>153</v>
      </c>
      <c r="C1771" s="129"/>
      <c r="D1771" s="129"/>
      <c r="E1771" s="19" t="n">
        <f aca="false">F1771*0.03</f>
        <v>0</v>
      </c>
      <c r="F1771" s="33" t="n">
        <v>0</v>
      </c>
      <c r="G1771" s="131"/>
      <c r="H1771" s="35" t="n">
        <v>0</v>
      </c>
      <c r="I1771" s="34" t="n">
        <f aca="false">+IF(E1771=0,0,E1771*0.03)</f>
        <v>0</v>
      </c>
      <c r="J1771" s="93"/>
      <c r="K1771" s="93"/>
      <c r="L1771" s="93"/>
      <c r="M1771" s="93"/>
      <c r="N1771" s="93"/>
      <c r="O1771" s="93"/>
      <c r="P1771" s="93"/>
      <c r="Q1771" s="93"/>
      <c r="R1771" s="93"/>
      <c r="S1771" s="93"/>
      <c r="T1771" s="93"/>
      <c r="U1771" s="93"/>
      <c r="V1771" s="93"/>
      <c r="W1771" s="93"/>
      <c r="X1771" s="93"/>
      <c r="Y1771" s="93"/>
      <c r="Z1771" s="93"/>
    </row>
    <row r="1772" customFormat="false" ht="16.4" hidden="false" customHeight="false" outlineLevel="0" collapsed="false">
      <c r="A1772" s="123" t="n">
        <v>45444</v>
      </c>
      <c r="B1772" s="31" t="s">
        <v>153</v>
      </c>
      <c r="C1772" s="129"/>
      <c r="D1772" s="129"/>
      <c r="E1772" s="19" t="n">
        <f aca="false">F1772*0.03</f>
        <v>0</v>
      </c>
      <c r="F1772" s="33" t="n">
        <v>0</v>
      </c>
      <c r="G1772" s="131"/>
      <c r="H1772" s="35" t="n">
        <v>0</v>
      </c>
      <c r="I1772" s="34" t="n">
        <f aca="false">+IF(E1772=0,0,E1772*0.03)</f>
        <v>0</v>
      </c>
      <c r="J1772" s="93"/>
      <c r="K1772" s="93"/>
      <c r="L1772" s="93"/>
      <c r="M1772" s="93"/>
      <c r="N1772" s="93"/>
      <c r="O1772" s="93"/>
      <c r="P1772" s="93"/>
      <c r="Q1772" s="93"/>
      <c r="R1772" s="93"/>
      <c r="S1772" s="93"/>
      <c r="T1772" s="93"/>
      <c r="U1772" s="93"/>
      <c r="V1772" s="93"/>
      <c r="W1772" s="93"/>
      <c r="X1772" s="93"/>
      <c r="Y1772" s="93"/>
      <c r="Z1772" s="93"/>
    </row>
    <row r="1773" customFormat="false" ht="16.4" hidden="false" customHeight="false" outlineLevel="0" collapsed="false">
      <c r="A1773" s="123" t="n">
        <v>45444</v>
      </c>
      <c r="B1773" s="31" t="s">
        <v>153</v>
      </c>
      <c r="C1773" s="129"/>
      <c r="D1773" s="129"/>
      <c r="E1773" s="19" t="n">
        <f aca="false">F1773*0.03</f>
        <v>0</v>
      </c>
      <c r="F1773" s="33" t="n">
        <v>0</v>
      </c>
      <c r="G1773" s="131"/>
      <c r="H1773" s="35" t="n">
        <v>0</v>
      </c>
      <c r="I1773" s="34" t="n">
        <f aca="false">+IF(E1773=0,0,E1773*0.03)</f>
        <v>0</v>
      </c>
      <c r="J1773" s="93"/>
      <c r="K1773" s="93"/>
      <c r="L1773" s="93"/>
      <c r="M1773" s="93"/>
      <c r="N1773" s="93"/>
      <c r="O1773" s="93"/>
      <c r="P1773" s="93"/>
      <c r="Q1773" s="93"/>
      <c r="R1773" s="93"/>
      <c r="S1773" s="93"/>
      <c r="T1773" s="93"/>
      <c r="U1773" s="93"/>
      <c r="V1773" s="93"/>
      <c r="W1773" s="93"/>
      <c r="X1773" s="93"/>
      <c r="Y1773" s="93"/>
      <c r="Z1773" s="93"/>
    </row>
    <row r="1774" customFormat="false" ht="16.4" hidden="false" customHeight="false" outlineLevel="0" collapsed="false">
      <c r="A1774" s="123" t="n">
        <v>45444</v>
      </c>
      <c r="B1774" s="31" t="s">
        <v>153</v>
      </c>
      <c r="C1774" s="129"/>
      <c r="D1774" s="129"/>
      <c r="E1774" s="19" t="n">
        <f aca="false">F1774*0.03</f>
        <v>0</v>
      </c>
      <c r="F1774" s="33" t="n">
        <v>0</v>
      </c>
      <c r="G1774" s="131"/>
      <c r="H1774" s="35" t="n">
        <v>0</v>
      </c>
      <c r="I1774" s="34" t="n">
        <f aca="false">+IF(E1774=0,0,E1774*0.03)</f>
        <v>0</v>
      </c>
      <c r="J1774" s="93"/>
      <c r="K1774" s="93"/>
      <c r="L1774" s="93"/>
      <c r="M1774" s="93"/>
      <c r="N1774" s="93"/>
      <c r="O1774" s="93"/>
      <c r="P1774" s="93"/>
      <c r="Q1774" s="93"/>
      <c r="R1774" s="93"/>
      <c r="S1774" s="93"/>
      <c r="T1774" s="93"/>
      <c r="U1774" s="93"/>
      <c r="V1774" s="93"/>
      <c r="W1774" s="93"/>
      <c r="X1774" s="93"/>
      <c r="Y1774" s="93"/>
      <c r="Z1774" s="93"/>
    </row>
    <row r="1775" customFormat="false" ht="16.4" hidden="false" customHeight="false" outlineLevel="0" collapsed="false">
      <c r="A1775" s="123" t="n">
        <v>45444</v>
      </c>
      <c r="B1775" s="31" t="s">
        <v>153</v>
      </c>
      <c r="C1775" s="129"/>
      <c r="D1775" s="129"/>
      <c r="E1775" s="19" t="n">
        <f aca="false">F1775*0.03</f>
        <v>0</v>
      </c>
      <c r="F1775" s="33" t="n">
        <v>0</v>
      </c>
      <c r="G1775" s="131"/>
      <c r="H1775" s="35" t="n">
        <v>0</v>
      </c>
      <c r="I1775" s="34" t="n">
        <f aca="false">+IF(E1775=0,0,E1775*0.03)</f>
        <v>0</v>
      </c>
      <c r="J1775" s="93"/>
      <c r="K1775" s="93"/>
      <c r="L1775" s="93"/>
      <c r="M1775" s="93"/>
      <c r="N1775" s="93"/>
      <c r="O1775" s="93"/>
      <c r="P1775" s="93"/>
      <c r="Q1775" s="93"/>
      <c r="R1775" s="93"/>
      <c r="S1775" s="93"/>
      <c r="T1775" s="93"/>
      <c r="U1775" s="93"/>
      <c r="V1775" s="93"/>
      <c r="W1775" s="93"/>
      <c r="X1775" s="93"/>
      <c r="Y1775" s="93"/>
      <c r="Z1775" s="93"/>
    </row>
    <row r="1776" customFormat="false" ht="16.4" hidden="false" customHeight="false" outlineLevel="0" collapsed="false">
      <c r="A1776" s="123" t="n">
        <v>45444</v>
      </c>
      <c r="B1776" s="31" t="s">
        <v>153</v>
      </c>
      <c r="C1776" s="129"/>
      <c r="D1776" s="129"/>
      <c r="E1776" s="19" t="n">
        <f aca="false">F1776*0.03</f>
        <v>0</v>
      </c>
      <c r="F1776" s="33" t="n">
        <v>0</v>
      </c>
      <c r="G1776" s="131"/>
      <c r="H1776" s="35" t="n">
        <v>0</v>
      </c>
      <c r="I1776" s="34" t="n">
        <f aca="false">+IF(E1776=0,0,E1776*0.03)</f>
        <v>0</v>
      </c>
      <c r="J1776" s="93"/>
      <c r="K1776" s="93"/>
      <c r="L1776" s="93"/>
      <c r="M1776" s="93"/>
      <c r="N1776" s="93"/>
      <c r="O1776" s="93"/>
      <c r="P1776" s="93"/>
      <c r="Q1776" s="93"/>
      <c r="R1776" s="93"/>
      <c r="S1776" s="93"/>
      <c r="T1776" s="93"/>
      <c r="U1776" s="93"/>
      <c r="V1776" s="93"/>
      <c r="W1776" s="93"/>
      <c r="X1776" s="93"/>
      <c r="Y1776" s="93"/>
      <c r="Z1776" s="93"/>
    </row>
    <row r="1777" customFormat="false" ht="16.4" hidden="false" customHeight="false" outlineLevel="0" collapsed="false">
      <c r="A1777" s="123" t="n">
        <v>45444</v>
      </c>
      <c r="B1777" s="31" t="s">
        <v>153</v>
      </c>
      <c r="C1777" s="129"/>
      <c r="D1777" s="129"/>
      <c r="E1777" s="19" t="n">
        <f aca="false">F1777*0.03</f>
        <v>0</v>
      </c>
      <c r="F1777" s="33" t="n">
        <v>0</v>
      </c>
      <c r="G1777" s="131"/>
      <c r="H1777" s="35" t="n">
        <v>0</v>
      </c>
      <c r="I1777" s="34" t="n">
        <f aca="false">+IF(E1777=0,0,E1777*0.03)</f>
        <v>0</v>
      </c>
      <c r="J1777" s="93"/>
      <c r="K1777" s="93"/>
      <c r="L1777" s="93"/>
      <c r="M1777" s="93"/>
      <c r="N1777" s="93"/>
      <c r="O1777" s="93"/>
      <c r="P1777" s="93"/>
      <c r="Q1777" s="93"/>
      <c r="R1777" s="93"/>
      <c r="S1777" s="93"/>
      <c r="T1777" s="93"/>
      <c r="U1777" s="93"/>
      <c r="V1777" s="93"/>
      <c r="W1777" s="93"/>
      <c r="X1777" s="93"/>
      <c r="Y1777" s="93"/>
      <c r="Z1777" s="93"/>
    </row>
    <row r="1778" customFormat="false" ht="16.4" hidden="false" customHeight="false" outlineLevel="0" collapsed="false">
      <c r="A1778" s="123" t="n">
        <v>45444</v>
      </c>
      <c r="B1778" s="31" t="s">
        <v>153</v>
      </c>
      <c r="C1778" s="129"/>
      <c r="D1778" s="129"/>
      <c r="E1778" s="19" t="n">
        <f aca="false">F1778*0.03</f>
        <v>0</v>
      </c>
      <c r="F1778" s="33" t="n">
        <v>0</v>
      </c>
      <c r="G1778" s="131"/>
      <c r="H1778" s="35" t="n">
        <v>0</v>
      </c>
      <c r="I1778" s="34" t="n">
        <f aca="false">+IF(E1778=0,0,E1778*0.03)</f>
        <v>0</v>
      </c>
      <c r="J1778" s="93"/>
      <c r="K1778" s="93"/>
      <c r="L1778" s="93"/>
      <c r="M1778" s="93"/>
      <c r="N1778" s="93"/>
      <c r="O1778" s="93"/>
      <c r="P1778" s="93"/>
      <c r="Q1778" s="93"/>
      <c r="R1778" s="93"/>
      <c r="S1778" s="93"/>
      <c r="T1778" s="93"/>
      <c r="U1778" s="93"/>
      <c r="V1778" s="93"/>
      <c r="W1778" s="93"/>
      <c r="X1778" s="93"/>
      <c r="Y1778" s="93"/>
      <c r="Z1778" s="93"/>
    </row>
    <row r="1779" customFormat="false" ht="16.4" hidden="false" customHeight="false" outlineLevel="0" collapsed="false">
      <c r="A1779" s="123" t="n">
        <v>45444</v>
      </c>
      <c r="B1779" s="31" t="s">
        <v>153</v>
      </c>
      <c r="C1779" s="129"/>
      <c r="D1779" s="129"/>
      <c r="E1779" s="19" t="n">
        <f aca="false">F1779*0.03</f>
        <v>0</v>
      </c>
      <c r="F1779" s="33" t="n">
        <v>0</v>
      </c>
      <c r="G1779" s="131"/>
      <c r="H1779" s="35" t="n">
        <v>0</v>
      </c>
      <c r="I1779" s="34" t="n">
        <f aca="false">+IF(E1779=0,0,E1779*0.03)</f>
        <v>0</v>
      </c>
      <c r="J1779" s="93"/>
      <c r="K1779" s="93"/>
      <c r="L1779" s="93"/>
      <c r="M1779" s="93"/>
      <c r="N1779" s="93"/>
      <c r="O1779" s="93"/>
      <c r="P1779" s="93"/>
      <c r="Q1779" s="93"/>
      <c r="R1779" s="93"/>
      <c r="S1779" s="93"/>
      <c r="T1779" s="93"/>
      <c r="U1779" s="93"/>
      <c r="V1779" s="93"/>
      <c r="W1779" s="93"/>
      <c r="X1779" s="93"/>
      <c r="Y1779" s="93"/>
      <c r="Z1779" s="93"/>
    </row>
    <row r="1780" customFormat="false" ht="16.4" hidden="false" customHeight="false" outlineLevel="0" collapsed="false">
      <c r="A1780" s="123" t="n">
        <v>45444</v>
      </c>
      <c r="B1780" s="31" t="s">
        <v>153</v>
      </c>
      <c r="C1780" s="129"/>
      <c r="D1780" s="129"/>
      <c r="E1780" s="19" t="n">
        <f aca="false">F1780*0.03</f>
        <v>0</v>
      </c>
      <c r="F1780" s="33" t="n">
        <v>0</v>
      </c>
      <c r="G1780" s="131"/>
      <c r="H1780" s="35" t="n">
        <v>0</v>
      </c>
      <c r="I1780" s="34" t="n">
        <f aca="false">+IF(E1780=0,0,E1780*0.03)</f>
        <v>0</v>
      </c>
      <c r="J1780" s="93"/>
      <c r="K1780" s="93"/>
      <c r="L1780" s="93"/>
      <c r="M1780" s="93"/>
      <c r="N1780" s="93"/>
      <c r="O1780" s="93"/>
      <c r="P1780" s="93"/>
      <c r="Q1780" s="93"/>
      <c r="R1780" s="93"/>
      <c r="S1780" s="93"/>
      <c r="T1780" s="93"/>
      <c r="U1780" s="93"/>
      <c r="V1780" s="93"/>
      <c r="W1780" s="93"/>
      <c r="X1780" s="93"/>
      <c r="Y1780" s="93"/>
      <c r="Z1780" s="93"/>
    </row>
    <row r="1781" customFormat="false" ht="16.4" hidden="false" customHeight="false" outlineLevel="0" collapsed="false">
      <c r="A1781" s="123" t="n">
        <v>45444</v>
      </c>
      <c r="B1781" s="31" t="s">
        <v>153</v>
      </c>
      <c r="C1781" s="129"/>
      <c r="D1781" s="129"/>
      <c r="E1781" s="19" t="n">
        <f aca="false">F1781*0.03</f>
        <v>0</v>
      </c>
      <c r="F1781" s="33" t="n">
        <v>0</v>
      </c>
      <c r="G1781" s="131"/>
      <c r="H1781" s="35" t="n">
        <v>0</v>
      </c>
      <c r="I1781" s="34" t="n">
        <f aca="false">+IF(E1781=0,0,E1781*0.03)</f>
        <v>0</v>
      </c>
      <c r="J1781" s="93"/>
      <c r="K1781" s="93"/>
      <c r="L1781" s="93"/>
      <c r="M1781" s="93"/>
      <c r="N1781" s="93"/>
      <c r="O1781" s="93"/>
      <c r="P1781" s="93"/>
      <c r="Q1781" s="93"/>
      <c r="R1781" s="93"/>
      <c r="S1781" s="93"/>
      <c r="T1781" s="93"/>
      <c r="U1781" s="93"/>
      <c r="V1781" s="93"/>
      <c r="W1781" s="93"/>
      <c r="X1781" s="93"/>
      <c r="Y1781" s="93"/>
      <c r="Z1781" s="93"/>
    </row>
    <row r="1782" customFormat="false" ht="16.4" hidden="false" customHeight="false" outlineLevel="0" collapsed="false">
      <c r="A1782" s="123" t="n">
        <v>45444</v>
      </c>
      <c r="B1782" s="31" t="s">
        <v>153</v>
      </c>
      <c r="C1782" s="129"/>
      <c r="D1782" s="129"/>
      <c r="E1782" s="19" t="n">
        <f aca="false">F1782*0.03</f>
        <v>0</v>
      </c>
      <c r="F1782" s="33" t="n">
        <v>0</v>
      </c>
      <c r="G1782" s="131"/>
      <c r="H1782" s="35" t="n">
        <v>0</v>
      </c>
      <c r="I1782" s="34" t="n">
        <f aca="false">+IF(E1782=0,0,E1782*0.03)</f>
        <v>0</v>
      </c>
      <c r="J1782" s="93"/>
      <c r="K1782" s="93"/>
      <c r="L1782" s="93"/>
      <c r="M1782" s="93"/>
      <c r="N1782" s="93"/>
      <c r="O1782" s="93"/>
      <c r="P1782" s="93"/>
      <c r="Q1782" s="93"/>
      <c r="R1782" s="93"/>
      <c r="S1782" s="93"/>
      <c r="T1782" s="93"/>
      <c r="U1782" s="93"/>
      <c r="V1782" s="93"/>
      <c r="W1782" s="93"/>
      <c r="X1782" s="93"/>
      <c r="Y1782" s="93"/>
      <c r="Z1782" s="93"/>
    </row>
    <row r="1783" customFormat="false" ht="16.4" hidden="false" customHeight="false" outlineLevel="0" collapsed="false">
      <c r="A1783" s="123" t="n">
        <v>45444</v>
      </c>
      <c r="B1783" s="31" t="s">
        <v>153</v>
      </c>
      <c r="C1783" s="129"/>
      <c r="D1783" s="129"/>
      <c r="E1783" s="19" t="n">
        <f aca="false">F1783*0.03</f>
        <v>0</v>
      </c>
      <c r="F1783" s="33" t="n">
        <v>0</v>
      </c>
      <c r="G1783" s="131"/>
      <c r="H1783" s="35" t="n">
        <v>0</v>
      </c>
      <c r="I1783" s="34" t="n">
        <f aca="false">+IF(E1783=0,0,E1783*0.03)</f>
        <v>0</v>
      </c>
      <c r="J1783" s="93"/>
      <c r="K1783" s="93"/>
      <c r="L1783" s="93"/>
      <c r="M1783" s="93"/>
      <c r="N1783" s="93"/>
      <c r="O1783" s="93"/>
      <c r="P1783" s="93"/>
      <c r="Q1783" s="93"/>
      <c r="R1783" s="93"/>
      <c r="S1783" s="93"/>
      <c r="T1783" s="93"/>
      <c r="U1783" s="93"/>
      <c r="V1783" s="93"/>
      <c r="W1783" s="93"/>
      <c r="X1783" s="93"/>
      <c r="Y1783" s="93"/>
      <c r="Z1783" s="93"/>
    </row>
    <row r="1784" customFormat="false" ht="16.4" hidden="false" customHeight="false" outlineLevel="0" collapsed="false">
      <c r="A1784" s="123" t="n">
        <v>45444</v>
      </c>
      <c r="B1784" s="31" t="s">
        <v>153</v>
      </c>
      <c r="C1784" s="129"/>
      <c r="D1784" s="129"/>
      <c r="E1784" s="19" t="n">
        <f aca="false">F1784*0.03</f>
        <v>0</v>
      </c>
      <c r="F1784" s="33" t="n">
        <v>0</v>
      </c>
      <c r="G1784" s="131"/>
      <c r="H1784" s="35" t="n">
        <v>0</v>
      </c>
      <c r="I1784" s="34" t="n">
        <f aca="false">+IF(E1784=0,0,E1784*0.03)</f>
        <v>0</v>
      </c>
      <c r="J1784" s="93"/>
      <c r="K1784" s="93"/>
      <c r="L1784" s="93"/>
      <c r="M1784" s="93"/>
      <c r="N1784" s="93"/>
      <c r="O1784" s="93"/>
      <c r="P1784" s="93"/>
      <c r="Q1784" s="93"/>
      <c r="R1784" s="93"/>
      <c r="S1784" s="93"/>
      <c r="T1784" s="93"/>
      <c r="U1784" s="93"/>
      <c r="V1784" s="93"/>
      <c r="W1784" s="93"/>
      <c r="X1784" s="93"/>
      <c r="Y1784" s="93"/>
      <c r="Z1784" s="93"/>
    </row>
    <row r="1785" customFormat="false" ht="16.4" hidden="false" customHeight="false" outlineLevel="0" collapsed="false">
      <c r="A1785" s="123" t="n">
        <v>45444</v>
      </c>
      <c r="B1785" s="31" t="s">
        <v>153</v>
      </c>
      <c r="C1785" s="129"/>
      <c r="D1785" s="129"/>
      <c r="E1785" s="19" t="n">
        <f aca="false">F1785*0.03</f>
        <v>0</v>
      </c>
      <c r="F1785" s="33" t="n">
        <v>0</v>
      </c>
      <c r="G1785" s="131"/>
      <c r="H1785" s="35" t="n">
        <v>0</v>
      </c>
      <c r="I1785" s="34" t="n">
        <f aca="false">+IF(E1785=0,0,E1785*0.03)</f>
        <v>0</v>
      </c>
      <c r="J1785" s="93"/>
      <c r="K1785" s="93"/>
      <c r="L1785" s="93"/>
      <c r="M1785" s="93"/>
      <c r="N1785" s="93"/>
      <c r="O1785" s="93"/>
      <c r="P1785" s="93"/>
      <c r="Q1785" s="93"/>
      <c r="R1785" s="93"/>
      <c r="S1785" s="93"/>
      <c r="T1785" s="93"/>
      <c r="U1785" s="93"/>
      <c r="V1785" s="93"/>
      <c r="W1785" s="93"/>
      <c r="X1785" s="93"/>
      <c r="Y1785" s="93"/>
      <c r="Z1785" s="93"/>
    </row>
    <row r="1786" customFormat="false" ht="16.4" hidden="false" customHeight="false" outlineLevel="0" collapsed="false">
      <c r="A1786" s="123" t="n">
        <v>45444</v>
      </c>
      <c r="B1786" s="31" t="s">
        <v>153</v>
      </c>
      <c r="C1786" s="129"/>
      <c r="D1786" s="129"/>
      <c r="E1786" s="19" t="n">
        <f aca="false">F1786*0.03</f>
        <v>0</v>
      </c>
      <c r="F1786" s="33" t="n">
        <v>0</v>
      </c>
      <c r="G1786" s="131"/>
      <c r="H1786" s="35" t="n">
        <v>0</v>
      </c>
      <c r="I1786" s="34" t="n">
        <f aca="false">+IF(E1786=0,0,E1786*0.03)</f>
        <v>0</v>
      </c>
      <c r="J1786" s="93"/>
      <c r="K1786" s="93"/>
      <c r="L1786" s="93"/>
      <c r="M1786" s="93"/>
      <c r="N1786" s="93"/>
      <c r="O1786" s="93"/>
      <c r="P1786" s="93"/>
      <c r="Q1786" s="93"/>
      <c r="R1786" s="93"/>
      <c r="S1786" s="93"/>
      <c r="T1786" s="93"/>
      <c r="U1786" s="93"/>
      <c r="V1786" s="93"/>
      <c r="W1786" s="93"/>
      <c r="X1786" s="93"/>
      <c r="Y1786" s="93"/>
      <c r="Z1786" s="93"/>
    </row>
    <row r="1787" customFormat="false" ht="16.4" hidden="false" customHeight="false" outlineLevel="0" collapsed="false">
      <c r="A1787" s="123" t="n">
        <v>45444</v>
      </c>
      <c r="B1787" s="31" t="s">
        <v>153</v>
      </c>
      <c r="C1787" s="129"/>
      <c r="D1787" s="129"/>
      <c r="E1787" s="19" t="n">
        <f aca="false">F1787*0.03</f>
        <v>0</v>
      </c>
      <c r="F1787" s="33" t="n">
        <v>0</v>
      </c>
      <c r="G1787" s="131"/>
      <c r="H1787" s="35" t="n">
        <v>0</v>
      </c>
      <c r="I1787" s="34" t="n">
        <f aca="false">+IF(E1787=0,0,E1787*0.03)</f>
        <v>0</v>
      </c>
      <c r="J1787" s="93"/>
      <c r="K1787" s="93"/>
      <c r="L1787" s="93"/>
      <c r="M1787" s="93"/>
      <c r="N1787" s="93"/>
      <c r="O1787" s="93"/>
      <c r="P1787" s="93"/>
      <c r="Q1787" s="93"/>
      <c r="R1787" s="93"/>
      <c r="S1787" s="93"/>
      <c r="T1787" s="93"/>
      <c r="U1787" s="93"/>
      <c r="V1787" s="93"/>
      <c r="W1787" s="93"/>
      <c r="X1787" s="93"/>
      <c r="Y1787" s="93"/>
      <c r="Z1787" s="93"/>
    </row>
    <row r="1788" customFormat="false" ht="16.4" hidden="false" customHeight="false" outlineLevel="0" collapsed="false">
      <c r="A1788" s="123" t="n">
        <v>45444</v>
      </c>
      <c r="B1788" s="31" t="s">
        <v>153</v>
      </c>
      <c r="C1788" s="129"/>
      <c r="D1788" s="129"/>
      <c r="E1788" s="19" t="n">
        <f aca="false">F1788*0.03</f>
        <v>0</v>
      </c>
      <c r="F1788" s="33" t="n">
        <v>0</v>
      </c>
      <c r="G1788" s="131"/>
      <c r="H1788" s="35" t="n">
        <v>0</v>
      </c>
      <c r="I1788" s="34" t="n">
        <f aca="false">+IF(E1788=0,0,E1788*0.03)</f>
        <v>0</v>
      </c>
      <c r="J1788" s="93"/>
      <c r="K1788" s="93"/>
      <c r="L1788" s="93"/>
      <c r="M1788" s="93"/>
      <c r="N1788" s="93"/>
      <c r="O1788" s="93"/>
      <c r="P1788" s="93"/>
      <c r="Q1788" s="93"/>
      <c r="R1788" s="93"/>
      <c r="S1788" s="93"/>
      <c r="T1788" s="93"/>
      <c r="U1788" s="93"/>
      <c r="V1788" s="93"/>
      <c r="W1788" s="93"/>
      <c r="X1788" s="93"/>
      <c r="Y1788" s="93"/>
      <c r="Z1788" s="93"/>
    </row>
    <row r="1789" customFormat="false" ht="16.4" hidden="false" customHeight="false" outlineLevel="0" collapsed="false">
      <c r="A1789" s="123" t="n">
        <v>45444</v>
      </c>
      <c r="B1789" s="31" t="s">
        <v>153</v>
      </c>
      <c r="C1789" s="129"/>
      <c r="D1789" s="129"/>
      <c r="E1789" s="19" t="n">
        <f aca="false">F1789*0.03</f>
        <v>0</v>
      </c>
      <c r="F1789" s="33" t="n">
        <v>0</v>
      </c>
      <c r="G1789" s="131"/>
      <c r="H1789" s="35" t="n">
        <v>0</v>
      </c>
      <c r="I1789" s="34" t="n">
        <f aca="false">+IF(E1789=0,0,E1789*0.03)</f>
        <v>0</v>
      </c>
      <c r="J1789" s="93"/>
      <c r="K1789" s="93"/>
      <c r="L1789" s="93"/>
      <c r="M1789" s="93"/>
      <c r="N1789" s="93"/>
      <c r="O1789" s="93"/>
      <c r="P1789" s="93"/>
      <c r="Q1789" s="93"/>
      <c r="R1789" s="93"/>
      <c r="S1789" s="93"/>
      <c r="T1789" s="93"/>
      <c r="U1789" s="93"/>
      <c r="V1789" s="93"/>
      <c r="W1789" s="93"/>
      <c r="X1789" s="93"/>
      <c r="Y1789" s="93"/>
      <c r="Z1789" s="93"/>
    </row>
    <row r="1790" customFormat="false" ht="16.4" hidden="false" customHeight="false" outlineLevel="0" collapsed="false">
      <c r="A1790" s="123" t="n">
        <v>45444</v>
      </c>
      <c r="B1790" s="31" t="s">
        <v>153</v>
      </c>
      <c r="C1790" s="129"/>
      <c r="D1790" s="129"/>
      <c r="E1790" s="19" t="n">
        <f aca="false">F1790*0.03</f>
        <v>0</v>
      </c>
      <c r="F1790" s="33" t="n">
        <v>0</v>
      </c>
      <c r="G1790" s="131"/>
      <c r="H1790" s="35" t="n">
        <v>0</v>
      </c>
      <c r="I1790" s="34" t="n">
        <f aca="false">+IF(E1790=0,0,E1790*0.03)</f>
        <v>0</v>
      </c>
      <c r="J1790" s="93"/>
      <c r="K1790" s="93"/>
      <c r="L1790" s="93"/>
      <c r="M1790" s="93"/>
      <c r="N1790" s="93"/>
      <c r="O1790" s="93"/>
      <c r="P1790" s="93"/>
      <c r="Q1790" s="93"/>
      <c r="R1790" s="93"/>
      <c r="S1790" s="93"/>
      <c r="T1790" s="93"/>
      <c r="U1790" s="93"/>
      <c r="V1790" s="93"/>
      <c r="W1790" s="93"/>
      <c r="X1790" s="93"/>
      <c r="Y1790" s="93"/>
      <c r="Z1790" s="93"/>
    </row>
    <row r="1791" customFormat="false" ht="16.4" hidden="false" customHeight="false" outlineLevel="0" collapsed="false">
      <c r="A1791" s="123" t="n">
        <v>45444</v>
      </c>
      <c r="B1791" s="31" t="s">
        <v>153</v>
      </c>
      <c r="C1791" s="129"/>
      <c r="D1791" s="129"/>
      <c r="E1791" s="19" t="n">
        <f aca="false">F1791*0.03</f>
        <v>0</v>
      </c>
      <c r="F1791" s="33" t="n">
        <v>0</v>
      </c>
      <c r="G1791" s="131"/>
      <c r="H1791" s="35" t="n">
        <v>0</v>
      </c>
      <c r="I1791" s="34" t="n">
        <f aca="false">+IF(E1791=0,0,E1791*0.03)</f>
        <v>0</v>
      </c>
      <c r="J1791" s="93"/>
      <c r="K1791" s="93"/>
      <c r="L1791" s="93"/>
      <c r="M1791" s="93"/>
      <c r="N1791" s="93"/>
      <c r="O1791" s="93"/>
      <c r="P1791" s="93"/>
      <c r="Q1791" s="93"/>
      <c r="R1791" s="93"/>
      <c r="S1791" s="93"/>
      <c r="T1791" s="93"/>
      <c r="U1791" s="93"/>
      <c r="V1791" s="93"/>
      <c r="W1791" s="93"/>
      <c r="X1791" s="93"/>
      <c r="Y1791" s="93"/>
      <c r="Z1791" s="93"/>
    </row>
    <row r="1792" customFormat="false" ht="16.4" hidden="false" customHeight="false" outlineLevel="0" collapsed="false">
      <c r="A1792" s="123" t="n">
        <v>45444</v>
      </c>
      <c r="B1792" s="31" t="s">
        <v>153</v>
      </c>
      <c r="C1792" s="129"/>
      <c r="D1792" s="129"/>
      <c r="E1792" s="19" t="n">
        <f aca="false">F1792*0.03</f>
        <v>0</v>
      </c>
      <c r="F1792" s="33" t="n">
        <v>0</v>
      </c>
      <c r="G1792" s="131"/>
      <c r="H1792" s="35" t="n">
        <v>0</v>
      </c>
      <c r="I1792" s="34" t="n">
        <f aca="false">+IF(E1792=0,0,E1792*0.03)</f>
        <v>0</v>
      </c>
      <c r="J1792" s="93"/>
      <c r="K1792" s="93"/>
      <c r="L1792" s="93"/>
      <c r="M1792" s="93"/>
      <c r="N1792" s="93"/>
      <c r="O1792" s="93"/>
      <c r="P1792" s="93"/>
      <c r="Q1792" s="93"/>
      <c r="R1792" s="93"/>
      <c r="S1792" s="93"/>
      <c r="T1792" s="93"/>
      <c r="U1792" s="93"/>
      <c r="V1792" s="93"/>
      <c r="W1792" s="93"/>
      <c r="X1792" s="93"/>
      <c r="Y1792" s="93"/>
      <c r="Z1792" s="93"/>
    </row>
    <row r="1793" customFormat="false" ht="16.4" hidden="false" customHeight="false" outlineLevel="0" collapsed="false">
      <c r="A1793" s="123" t="n">
        <v>45444</v>
      </c>
      <c r="B1793" s="31" t="s">
        <v>153</v>
      </c>
      <c r="C1793" s="129"/>
      <c r="D1793" s="129"/>
      <c r="E1793" s="19" t="n">
        <f aca="false">F1793*0.03</f>
        <v>0</v>
      </c>
      <c r="F1793" s="33" t="n">
        <v>0</v>
      </c>
      <c r="G1793" s="131"/>
      <c r="H1793" s="35" t="n">
        <v>0</v>
      </c>
      <c r="I1793" s="34" t="n">
        <f aca="false">+IF(E1793=0,0,E1793*0.03)</f>
        <v>0</v>
      </c>
      <c r="J1793" s="93"/>
      <c r="K1793" s="93"/>
      <c r="L1793" s="93"/>
      <c r="M1793" s="93"/>
      <c r="N1793" s="93"/>
      <c r="O1793" s="93"/>
      <c r="P1793" s="93"/>
      <c r="Q1793" s="93"/>
      <c r="R1793" s="93"/>
      <c r="S1793" s="93"/>
      <c r="T1793" s="93"/>
      <c r="U1793" s="93"/>
      <c r="V1793" s="93"/>
      <c r="W1793" s="93"/>
      <c r="X1793" s="93"/>
      <c r="Y1793" s="93"/>
      <c r="Z1793" s="93"/>
    </row>
    <row r="1794" customFormat="false" ht="16.4" hidden="false" customHeight="false" outlineLevel="0" collapsed="false">
      <c r="A1794" s="123" t="n">
        <v>45444</v>
      </c>
      <c r="B1794" s="31" t="s">
        <v>153</v>
      </c>
      <c r="C1794" s="129"/>
      <c r="D1794" s="129"/>
      <c r="E1794" s="19" t="n">
        <f aca="false">F1794*0.03</f>
        <v>0</v>
      </c>
      <c r="F1794" s="33" t="n">
        <v>0</v>
      </c>
      <c r="G1794" s="131"/>
      <c r="H1794" s="35" t="n">
        <v>0</v>
      </c>
      <c r="I1794" s="34" t="n">
        <f aca="false">+IF(E1794=0,0,E1794*0.03)</f>
        <v>0</v>
      </c>
      <c r="J1794" s="93"/>
      <c r="K1794" s="93"/>
      <c r="L1794" s="93"/>
      <c r="M1794" s="93"/>
      <c r="N1794" s="93"/>
      <c r="O1794" s="93"/>
      <c r="P1794" s="93"/>
      <c r="Q1794" s="93"/>
      <c r="R1794" s="93"/>
      <c r="S1794" s="93"/>
      <c r="T1794" s="93"/>
      <c r="U1794" s="93"/>
      <c r="V1794" s="93"/>
      <c r="W1794" s="93"/>
      <c r="X1794" s="93"/>
      <c r="Y1794" s="93"/>
      <c r="Z1794" s="93"/>
    </row>
    <row r="1795" customFormat="false" ht="16.4" hidden="false" customHeight="false" outlineLevel="0" collapsed="false">
      <c r="A1795" s="123" t="n">
        <v>45444</v>
      </c>
      <c r="B1795" s="31" t="s">
        <v>153</v>
      </c>
      <c r="C1795" s="129"/>
      <c r="D1795" s="129"/>
      <c r="E1795" s="19" t="n">
        <f aca="false">F1795*0.03</f>
        <v>0</v>
      </c>
      <c r="F1795" s="33" t="n">
        <v>0</v>
      </c>
      <c r="G1795" s="131"/>
      <c r="H1795" s="35" t="n">
        <v>0</v>
      </c>
      <c r="I1795" s="34" t="n">
        <f aca="false">+IF(E1795=0,0,E1795*0.03)</f>
        <v>0</v>
      </c>
      <c r="J1795" s="93"/>
      <c r="K1795" s="93"/>
      <c r="L1795" s="93"/>
      <c r="M1795" s="93"/>
      <c r="N1795" s="93"/>
      <c r="O1795" s="93"/>
      <c r="P1795" s="93"/>
      <c r="Q1795" s="93"/>
      <c r="R1795" s="93"/>
      <c r="S1795" s="93"/>
      <c r="T1795" s="93"/>
      <c r="U1795" s="93"/>
      <c r="V1795" s="93"/>
      <c r="W1795" s="93"/>
      <c r="X1795" s="93"/>
      <c r="Y1795" s="93"/>
      <c r="Z1795" s="93"/>
    </row>
    <row r="1796" customFormat="false" ht="16.4" hidden="false" customHeight="false" outlineLevel="0" collapsed="false">
      <c r="A1796" s="123" t="n">
        <v>45444</v>
      </c>
      <c r="B1796" s="31" t="s">
        <v>153</v>
      </c>
      <c r="C1796" s="129"/>
      <c r="D1796" s="129"/>
      <c r="E1796" s="19" t="n">
        <f aca="false">F1796*0.03</f>
        <v>0</v>
      </c>
      <c r="F1796" s="33" t="n">
        <v>0</v>
      </c>
      <c r="G1796" s="131"/>
      <c r="H1796" s="35" t="n">
        <v>0</v>
      </c>
      <c r="I1796" s="34" t="n">
        <f aca="false">+IF(E1796=0,0,E1796*0.03)</f>
        <v>0</v>
      </c>
      <c r="J1796" s="93"/>
      <c r="K1796" s="93"/>
      <c r="L1796" s="93"/>
      <c r="M1796" s="93"/>
      <c r="N1796" s="93"/>
      <c r="O1796" s="93"/>
      <c r="P1796" s="93"/>
      <c r="Q1796" s="93"/>
      <c r="R1796" s="93"/>
      <c r="S1796" s="93"/>
      <c r="T1796" s="93"/>
      <c r="U1796" s="93"/>
      <c r="V1796" s="93"/>
      <c r="W1796" s="93"/>
      <c r="X1796" s="93"/>
      <c r="Y1796" s="93"/>
      <c r="Z1796" s="93"/>
    </row>
    <row r="1797" customFormat="false" ht="16.4" hidden="false" customHeight="false" outlineLevel="0" collapsed="false">
      <c r="A1797" s="123" t="n">
        <v>45444</v>
      </c>
      <c r="B1797" s="31" t="s">
        <v>153</v>
      </c>
      <c r="C1797" s="129"/>
      <c r="D1797" s="129"/>
      <c r="E1797" s="19" t="n">
        <f aca="false">F1797*0.03</f>
        <v>0</v>
      </c>
      <c r="F1797" s="33" t="n">
        <v>0</v>
      </c>
      <c r="G1797" s="131"/>
      <c r="H1797" s="35" t="n">
        <v>0</v>
      </c>
      <c r="I1797" s="34" t="n">
        <f aca="false">+IF(E1797=0,0,E1797*0.03)</f>
        <v>0</v>
      </c>
      <c r="J1797" s="93"/>
      <c r="K1797" s="93"/>
      <c r="L1797" s="93"/>
      <c r="M1797" s="93"/>
      <c r="N1797" s="93"/>
      <c r="O1797" s="93"/>
      <c r="P1797" s="93"/>
      <c r="Q1797" s="93"/>
      <c r="R1797" s="93"/>
      <c r="S1797" s="93"/>
      <c r="T1797" s="93"/>
      <c r="U1797" s="93"/>
      <c r="V1797" s="93"/>
      <c r="W1797" s="93"/>
      <c r="X1797" s="93"/>
      <c r="Y1797" s="93"/>
      <c r="Z1797" s="93"/>
    </row>
    <row r="1798" customFormat="false" ht="16.4" hidden="false" customHeight="false" outlineLevel="0" collapsed="false">
      <c r="A1798" s="123" t="n">
        <v>45444</v>
      </c>
      <c r="B1798" s="31" t="s">
        <v>153</v>
      </c>
      <c r="C1798" s="129"/>
      <c r="D1798" s="129"/>
      <c r="E1798" s="19" t="n">
        <f aca="false">F1798*0.03</f>
        <v>0</v>
      </c>
      <c r="F1798" s="33" t="n">
        <v>0</v>
      </c>
      <c r="G1798" s="131"/>
      <c r="H1798" s="35" t="n">
        <v>0</v>
      </c>
      <c r="I1798" s="34" t="n">
        <f aca="false">+IF(E1798=0,0,E1798*0.03)</f>
        <v>0</v>
      </c>
      <c r="J1798" s="93"/>
      <c r="K1798" s="93"/>
      <c r="L1798" s="93"/>
      <c r="M1798" s="93"/>
      <c r="N1798" s="93"/>
      <c r="O1798" s="93"/>
      <c r="P1798" s="93"/>
      <c r="Q1798" s="93"/>
      <c r="R1798" s="93"/>
      <c r="S1798" s="93"/>
      <c r="T1798" s="93"/>
      <c r="U1798" s="93"/>
      <c r="V1798" s="93"/>
      <c r="W1798" s="93"/>
      <c r="X1798" s="93"/>
      <c r="Y1798" s="93"/>
      <c r="Z1798" s="93"/>
    </row>
    <row r="1799" customFormat="false" ht="16.4" hidden="false" customHeight="false" outlineLevel="0" collapsed="false">
      <c r="A1799" s="123" t="n">
        <v>45444</v>
      </c>
      <c r="B1799" s="31" t="s">
        <v>153</v>
      </c>
      <c r="C1799" s="129"/>
      <c r="D1799" s="129"/>
      <c r="E1799" s="19" t="n">
        <f aca="false">F1799*0.03</f>
        <v>0</v>
      </c>
      <c r="F1799" s="33" t="n">
        <v>0</v>
      </c>
      <c r="G1799" s="131"/>
      <c r="H1799" s="35" t="n">
        <v>0</v>
      </c>
      <c r="I1799" s="34" t="n">
        <f aca="false">+IF(E1799=0,0,E1799*0.03)</f>
        <v>0</v>
      </c>
      <c r="J1799" s="93"/>
      <c r="K1799" s="93"/>
      <c r="L1799" s="93"/>
      <c r="M1799" s="93"/>
      <c r="N1799" s="93"/>
      <c r="O1799" s="93"/>
      <c r="P1799" s="93"/>
      <c r="Q1799" s="93"/>
      <c r="R1799" s="93"/>
      <c r="S1799" s="93"/>
      <c r="T1799" s="93"/>
      <c r="U1799" s="93"/>
      <c r="V1799" s="93"/>
      <c r="W1799" s="93"/>
      <c r="X1799" s="93"/>
      <c r="Y1799" s="93"/>
      <c r="Z1799" s="93"/>
    </row>
    <row r="1800" customFormat="false" ht="16.4" hidden="false" customHeight="false" outlineLevel="0" collapsed="false">
      <c r="A1800" s="123" t="n">
        <v>45444</v>
      </c>
      <c r="B1800" s="31" t="s">
        <v>153</v>
      </c>
      <c r="C1800" s="129"/>
      <c r="D1800" s="129"/>
      <c r="E1800" s="19" t="n">
        <f aca="false">F1800*0.03</f>
        <v>0</v>
      </c>
      <c r="F1800" s="33" t="n">
        <v>0</v>
      </c>
      <c r="G1800" s="131"/>
      <c r="H1800" s="35" t="n">
        <v>0</v>
      </c>
      <c r="I1800" s="34" t="n">
        <f aca="false">+IF(E1800=0,0,E1800*0.03)</f>
        <v>0</v>
      </c>
      <c r="J1800" s="93"/>
      <c r="K1800" s="93"/>
      <c r="L1800" s="93"/>
      <c r="M1800" s="93"/>
      <c r="N1800" s="93"/>
      <c r="O1800" s="93"/>
      <c r="P1800" s="93"/>
      <c r="Q1800" s="93"/>
      <c r="R1800" s="93"/>
      <c r="S1800" s="93"/>
      <c r="T1800" s="93"/>
      <c r="U1800" s="93"/>
      <c r="V1800" s="93"/>
      <c r="W1800" s="93"/>
      <c r="X1800" s="93"/>
      <c r="Y1800" s="93"/>
      <c r="Z1800" s="93"/>
    </row>
    <row r="1801" customFormat="false" ht="16.4" hidden="false" customHeight="false" outlineLevel="0" collapsed="false">
      <c r="A1801" s="123" t="n">
        <v>45444</v>
      </c>
      <c r="B1801" s="31" t="s">
        <v>153</v>
      </c>
      <c r="C1801" s="129"/>
      <c r="D1801" s="129"/>
      <c r="E1801" s="19" t="n">
        <f aca="false">F1801*0.03</f>
        <v>0</v>
      </c>
      <c r="F1801" s="33" t="n">
        <v>0</v>
      </c>
      <c r="G1801" s="131"/>
      <c r="H1801" s="35" t="n">
        <v>0</v>
      </c>
      <c r="I1801" s="34" t="n">
        <f aca="false">+IF(E1801=0,0,E1801*0.03)</f>
        <v>0</v>
      </c>
      <c r="J1801" s="93"/>
      <c r="K1801" s="93"/>
      <c r="L1801" s="93"/>
      <c r="M1801" s="93"/>
      <c r="N1801" s="93"/>
      <c r="O1801" s="93"/>
      <c r="P1801" s="93"/>
      <c r="Q1801" s="93"/>
      <c r="R1801" s="93"/>
      <c r="S1801" s="93"/>
      <c r="T1801" s="93"/>
      <c r="U1801" s="93"/>
      <c r="V1801" s="93"/>
      <c r="W1801" s="93"/>
      <c r="X1801" s="93"/>
      <c r="Y1801" s="93"/>
      <c r="Z1801" s="93"/>
    </row>
    <row r="1802" customFormat="false" ht="16.4" hidden="false" customHeight="false" outlineLevel="0" collapsed="false">
      <c r="A1802" s="123" t="n">
        <v>45444</v>
      </c>
      <c r="B1802" s="31" t="s">
        <v>153</v>
      </c>
      <c r="C1802" s="129"/>
      <c r="D1802" s="129"/>
      <c r="E1802" s="19" t="n">
        <f aca="false">F1802*0.03</f>
        <v>0</v>
      </c>
      <c r="F1802" s="33" t="n">
        <v>0</v>
      </c>
      <c r="G1802" s="131"/>
      <c r="H1802" s="35" t="n">
        <v>0</v>
      </c>
      <c r="I1802" s="34" t="n">
        <f aca="false">+IF(E1802=0,0,E1802*0.03)</f>
        <v>0</v>
      </c>
      <c r="J1802" s="93"/>
      <c r="K1802" s="93"/>
      <c r="L1802" s="93"/>
      <c r="M1802" s="93"/>
      <c r="N1802" s="93"/>
      <c r="O1802" s="93"/>
      <c r="P1802" s="93"/>
      <c r="Q1802" s="93"/>
      <c r="R1802" s="93"/>
      <c r="S1802" s="93"/>
      <c r="T1802" s="93"/>
      <c r="U1802" s="93"/>
      <c r="V1802" s="93"/>
      <c r="W1802" s="93"/>
      <c r="X1802" s="93"/>
      <c r="Y1802" s="93"/>
      <c r="Z1802" s="93"/>
    </row>
    <row r="1803" customFormat="false" ht="16.4" hidden="false" customHeight="false" outlineLevel="0" collapsed="false">
      <c r="A1803" s="123" t="n">
        <v>45444</v>
      </c>
      <c r="B1803" s="31" t="s">
        <v>153</v>
      </c>
      <c r="C1803" s="129"/>
      <c r="D1803" s="129"/>
      <c r="E1803" s="19" t="n">
        <f aca="false">F1803*0.03</f>
        <v>0</v>
      </c>
      <c r="F1803" s="33" t="n">
        <v>0</v>
      </c>
      <c r="G1803" s="131"/>
      <c r="H1803" s="35" t="n">
        <v>0</v>
      </c>
      <c r="I1803" s="34" t="n">
        <f aca="false">+IF(E1803=0,0,E1803*0.03)</f>
        <v>0</v>
      </c>
      <c r="J1803" s="93"/>
      <c r="K1803" s="93"/>
      <c r="L1803" s="93"/>
      <c r="M1803" s="93"/>
      <c r="N1803" s="93"/>
      <c r="O1803" s="93"/>
      <c r="P1803" s="93"/>
      <c r="Q1803" s="93"/>
      <c r="R1803" s="93"/>
      <c r="S1803" s="93"/>
      <c r="T1803" s="93"/>
      <c r="U1803" s="93"/>
      <c r="V1803" s="93"/>
      <c r="W1803" s="93"/>
      <c r="X1803" s="93"/>
      <c r="Y1803" s="93"/>
      <c r="Z1803" s="93"/>
    </row>
    <row r="1804" customFormat="false" ht="16.4" hidden="false" customHeight="false" outlineLevel="0" collapsed="false">
      <c r="A1804" s="123" t="n">
        <v>45444</v>
      </c>
      <c r="B1804" s="31" t="s">
        <v>153</v>
      </c>
      <c r="C1804" s="129"/>
      <c r="D1804" s="129"/>
      <c r="E1804" s="19" t="n">
        <f aca="false">F1804*0.03</f>
        <v>0</v>
      </c>
      <c r="F1804" s="33" t="n">
        <v>0</v>
      </c>
      <c r="G1804" s="131"/>
      <c r="H1804" s="35" t="n">
        <v>0</v>
      </c>
      <c r="I1804" s="34" t="n">
        <f aca="false">+IF(E1804=0,0,E1804*0.03)</f>
        <v>0</v>
      </c>
      <c r="J1804" s="93"/>
      <c r="K1804" s="93"/>
      <c r="L1804" s="93"/>
      <c r="M1804" s="93"/>
      <c r="N1804" s="93"/>
      <c r="O1804" s="93"/>
      <c r="P1804" s="93"/>
      <c r="Q1804" s="93"/>
      <c r="R1804" s="93"/>
      <c r="S1804" s="93"/>
      <c r="T1804" s="93"/>
      <c r="U1804" s="93"/>
      <c r="V1804" s="93"/>
      <c r="W1804" s="93"/>
      <c r="X1804" s="93"/>
      <c r="Y1804" s="93"/>
      <c r="Z1804" s="93"/>
    </row>
    <row r="1805" customFormat="false" ht="16.4" hidden="false" customHeight="false" outlineLevel="0" collapsed="false">
      <c r="A1805" s="123" t="n">
        <v>45444</v>
      </c>
      <c r="B1805" s="31" t="s">
        <v>153</v>
      </c>
      <c r="C1805" s="129"/>
      <c r="D1805" s="129"/>
      <c r="E1805" s="19" t="n">
        <f aca="false">F1805*0.03</f>
        <v>0</v>
      </c>
      <c r="F1805" s="33" t="n">
        <v>0</v>
      </c>
      <c r="G1805" s="131"/>
      <c r="H1805" s="35" t="n">
        <v>0</v>
      </c>
      <c r="I1805" s="34" t="n">
        <f aca="false">+IF(E1805=0,0,E1805*0.03)</f>
        <v>0</v>
      </c>
      <c r="J1805" s="93"/>
      <c r="K1805" s="93"/>
      <c r="L1805" s="93"/>
      <c r="M1805" s="93"/>
      <c r="N1805" s="93"/>
      <c r="O1805" s="93"/>
      <c r="P1805" s="93"/>
      <c r="Q1805" s="93"/>
      <c r="R1805" s="93"/>
      <c r="S1805" s="93"/>
      <c r="T1805" s="93"/>
      <c r="U1805" s="93"/>
      <c r="V1805" s="93"/>
      <c r="W1805" s="93"/>
      <c r="X1805" s="93"/>
      <c r="Y1805" s="93"/>
      <c r="Z1805" s="93"/>
    </row>
    <row r="1806" customFormat="false" ht="16.4" hidden="false" customHeight="false" outlineLevel="0" collapsed="false">
      <c r="A1806" s="123" t="n">
        <v>45444</v>
      </c>
      <c r="B1806" s="31" t="s">
        <v>153</v>
      </c>
      <c r="C1806" s="129"/>
      <c r="D1806" s="129"/>
      <c r="E1806" s="19" t="n">
        <f aca="false">F1806*0.03</f>
        <v>0</v>
      </c>
      <c r="F1806" s="33" t="n">
        <v>0</v>
      </c>
      <c r="G1806" s="131"/>
      <c r="H1806" s="35" t="n">
        <v>0</v>
      </c>
      <c r="I1806" s="34" t="n">
        <f aca="false">+IF(E1806=0,0,E1806*0.03)</f>
        <v>0</v>
      </c>
      <c r="J1806" s="93"/>
      <c r="K1806" s="93"/>
      <c r="L1806" s="93"/>
      <c r="M1806" s="93"/>
      <c r="N1806" s="93"/>
      <c r="O1806" s="93"/>
      <c r="P1806" s="93"/>
      <c r="Q1806" s="93"/>
      <c r="R1806" s="93"/>
      <c r="S1806" s="93"/>
      <c r="T1806" s="93"/>
      <c r="U1806" s="93"/>
      <c r="V1806" s="93"/>
      <c r="W1806" s="93"/>
      <c r="X1806" s="93"/>
      <c r="Y1806" s="93"/>
      <c r="Z1806" s="93"/>
    </row>
    <row r="1807" customFormat="false" ht="16.4" hidden="false" customHeight="false" outlineLevel="0" collapsed="false">
      <c r="A1807" s="123" t="n">
        <v>45444</v>
      </c>
      <c r="B1807" s="31" t="s">
        <v>153</v>
      </c>
      <c r="C1807" s="129"/>
      <c r="D1807" s="129"/>
      <c r="E1807" s="19" t="n">
        <f aca="false">F1807*0.03</f>
        <v>0</v>
      </c>
      <c r="F1807" s="33" t="n">
        <v>0</v>
      </c>
      <c r="G1807" s="131"/>
      <c r="H1807" s="35" t="n">
        <v>0</v>
      </c>
      <c r="I1807" s="34" t="n">
        <f aca="false">+IF(E1807=0,0,E1807*0.03)</f>
        <v>0</v>
      </c>
      <c r="J1807" s="93"/>
      <c r="K1807" s="93"/>
      <c r="L1807" s="93"/>
      <c r="M1807" s="93"/>
      <c r="N1807" s="93"/>
      <c r="O1807" s="93"/>
      <c r="P1807" s="93"/>
      <c r="Q1807" s="93"/>
      <c r="R1807" s="93"/>
      <c r="S1807" s="93"/>
      <c r="T1807" s="93"/>
      <c r="U1807" s="93"/>
      <c r="V1807" s="93"/>
      <c r="W1807" s="93"/>
      <c r="X1807" s="93"/>
      <c r="Y1807" s="93"/>
      <c r="Z1807" s="93"/>
    </row>
    <row r="1808" customFormat="false" ht="16.4" hidden="false" customHeight="false" outlineLevel="0" collapsed="false">
      <c r="A1808" s="123" t="n">
        <v>45444</v>
      </c>
      <c r="B1808" s="31" t="s">
        <v>153</v>
      </c>
      <c r="C1808" s="129"/>
      <c r="D1808" s="129"/>
      <c r="E1808" s="19" t="n">
        <f aca="false">F1808*0.03</f>
        <v>0</v>
      </c>
      <c r="F1808" s="33" t="n">
        <v>0</v>
      </c>
      <c r="G1808" s="131"/>
      <c r="H1808" s="35" t="n">
        <v>0</v>
      </c>
      <c r="I1808" s="34" t="n">
        <f aca="false">+IF(E1808=0,0,E1808*0.03)</f>
        <v>0</v>
      </c>
      <c r="J1808" s="93"/>
      <c r="K1808" s="93"/>
      <c r="L1808" s="93"/>
      <c r="M1808" s="93"/>
      <c r="N1808" s="93"/>
      <c r="O1808" s="93"/>
      <c r="P1808" s="93"/>
      <c r="Q1808" s="93"/>
      <c r="R1808" s="93"/>
      <c r="S1808" s="93"/>
      <c r="T1808" s="93"/>
      <c r="U1808" s="93"/>
      <c r="V1808" s="93"/>
      <c r="W1808" s="93"/>
      <c r="X1808" s="93"/>
      <c r="Y1808" s="93"/>
      <c r="Z1808" s="93"/>
    </row>
    <row r="1809" customFormat="false" ht="16.4" hidden="false" customHeight="false" outlineLevel="0" collapsed="false">
      <c r="A1809" s="123" t="n">
        <v>45444</v>
      </c>
      <c r="B1809" s="31" t="s">
        <v>153</v>
      </c>
      <c r="C1809" s="129"/>
      <c r="D1809" s="129"/>
      <c r="E1809" s="19" t="n">
        <f aca="false">F1809*0.03</f>
        <v>0</v>
      </c>
      <c r="F1809" s="33" t="n">
        <v>0</v>
      </c>
      <c r="G1809" s="131"/>
      <c r="H1809" s="35" t="n">
        <v>0</v>
      </c>
      <c r="I1809" s="34" t="n">
        <f aca="false">+IF(E1809=0,0,E1809*0.03)</f>
        <v>0</v>
      </c>
      <c r="J1809" s="93"/>
      <c r="K1809" s="93"/>
      <c r="L1809" s="93"/>
      <c r="M1809" s="93"/>
      <c r="N1809" s="93"/>
      <c r="O1809" s="93"/>
      <c r="P1809" s="93"/>
      <c r="Q1809" s="93"/>
      <c r="R1809" s="93"/>
      <c r="S1809" s="93"/>
      <c r="T1809" s="93"/>
      <c r="U1809" s="93"/>
      <c r="V1809" s="93"/>
      <c r="W1809" s="93"/>
      <c r="X1809" s="93"/>
      <c r="Y1809" s="93"/>
      <c r="Z1809" s="93"/>
    </row>
    <row r="1810" customFormat="false" ht="16.4" hidden="false" customHeight="false" outlineLevel="0" collapsed="false">
      <c r="A1810" s="123" t="n">
        <v>45444</v>
      </c>
      <c r="B1810" s="31" t="s">
        <v>153</v>
      </c>
      <c r="C1810" s="129"/>
      <c r="D1810" s="129"/>
      <c r="E1810" s="19" t="n">
        <f aca="false">F1810*0.03</f>
        <v>0</v>
      </c>
      <c r="F1810" s="33" t="n">
        <v>0</v>
      </c>
      <c r="G1810" s="131"/>
      <c r="H1810" s="35" t="n">
        <v>0</v>
      </c>
      <c r="I1810" s="34" t="n">
        <f aca="false">+IF(E1810=0,0,E1810*0.03)</f>
        <v>0</v>
      </c>
      <c r="J1810" s="93"/>
      <c r="K1810" s="93"/>
      <c r="L1810" s="93"/>
      <c r="M1810" s="93"/>
      <c r="N1810" s="93"/>
      <c r="O1810" s="93"/>
      <c r="P1810" s="93"/>
      <c r="Q1810" s="93"/>
      <c r="R1810" s="93"/>
      <c r="S1810" s="93"/>
      <c r="T1810" s="93"/>
      <c r="U1810" s="93"/>
      <c r="V1810" s="93"/>
      <c r="W1810" s="93"/>
      <c r="X1810" s="93"/>
      <c r="Y1810" s="93"/>
      <c r="Z1810" s="93"/>
    </row>
    <row r="1811" customFormat="false" ht="16.4" hidden="false" customHeight="false" outlineLevel="0" collapsed="false">
      <c r="A1811" s="123" t="n">
        <v>45444</v>
      </c>
      <c r="B1811" s="31" t="s">
        <v>153</v>
      </c>
      <c r="C1811" s="129"/>
      <c r="D1811" s="129"/>
      <c r="E1811" s="19" t="n">
        <f aca="false">F1811*0.03</f>
        <v>0</v>
      </c>
      <c r="F1811" s="33" t="n">
        <v>0</v>
      </c>
      <c r="G1811" s="131"/>
      <c r="H1811" s="35" t="n">
        <v>0</v>
      </c>
      <c r="I1811" s="34" t="n">
        <f aca="false">+IF(E1811=0,0,E1811*0.03)</f>
        <v>0</v>
      </c>
      <c r="J1811" s="93"/>
      <c r="K1811" s="93"/>
      <c r="L1811" s="93"/>
      <c r="M1811" s="93"/>
      <c r="N1811" s="93"/>
      <c r="O1811" s="93"/>
      <c r="P1811" s="93"/>
      <c r="Q1811" s="93"/>
      <c r="R1811" s="93"/>
      <c r="S1811" s="93"/>
      <c r="T1811" s="93"/>
      <c r="U1811" s="93"/>
      <c r="V1811" s="93"/>
      <c r="W1811" s="93"/>
      <c r="X1811" s="93"/>
      <c r="Y1811" s="93"/>
      <c r="Z1811" s="93"/>
    </row>
    <row r="1812" customFormat="false" ht="16.4" hidden="false" customHeight="false" outlineLevel="0" collapsed="false">
      <c r="A1812" s="123" t="n">
        <v>45444</v>
      </c>
      <c r="B1812" s="31" t="s">
        <v>153</v>
      </c>
      <c r="C1812" s="129"/>
      <c r="D1812" s="129"/>
      <c r="E1812" s="19" t="n">
        <f aca="false">F1812*0.03</f>
        <v>0</v>
      </c>
      <c r="F1812" s="33" t="n">
        <v>0</v>
      </c>
      <c r="G1812" s="131"/>
      <c r="H1812" s="35" t="n">
        <v>0</v>
      </c>
      <c r="I1812" s="34" t="n">
        <f aca="false">+IF(E1812=0,0,E1812*0.03)</f>
        <v>0</v>
      </c>
      <c r="J1812" s="93"/>
      <c r="K1812" s="93"/>
      <c r="L1812" s="93"/>
      <c r="M1812" s="93"/>
      <c r="N1812" s="93"/>
      <c r="O1812" s="93"/>
      <c r="P1812" s="93"/>
      <c r="Q1812" s="93"/>
      <c r="R1812" s="93"/>
      <c r="S1812" s="93"/>
      <c r="T1812" s="93"/>
      <c r="U1812" s="93"/>
      <c r="V1812" s="93"/>
      <c r="W1812" s="93"/>
      <c r="X1812" s="93"/>
      <c r="Y1812" s="93"/>
      <c r="Z1812" s="93"/>
    </row>
    <row r="1813" customFormat="false" ht="16.4" hidden="false" customHeight="false" outlineLevel="0" collapsed="false">
      <c r="A1813" s="123" t="n">
        <v>45444</v>
      </c>
      <c r="B1813" s="31" t="s">
        <v>153</v>
      </c>
      <c r="C1813" s="129"/>
      <c r="D1813" s="129"/>
      <c r="E1813" s="19" t="n">
        <f aca="false">F1813*0.03</f>
        <v>0</v>
      </c>
      <c r="F1813" s="33" t="n">
        <v>0</v>
      </c>
      <c r="G1813" s="131"/>
      <c r="H1813" s="35" t="n">
        <v>0</v>
      </c>
      <c r="I1813" s="34" t="n">
        <f aca="false">+IF(E1813=0,0,E1813*0.03)</f>
        <v>0</v>
      </c>
      <c r="J1813" s="93"/>
      <c r="K1813" s="93"/>
      <c r="L1813" s="93"/>
      <c r="M1813" s="93"/>
      <c r="N1813" s="93"/>
      <c r="O1813" s="93"/>
      <c r="P1813" s="93"/>
      <c r="Q1813" s="93"/>
      <c r="R1813" s="93"/>
      <c r="S1813" s="93"/>
      <c r="T1813" s="93"/>
      <c r="U1813" s="93"/>
      <c r="V1813" s="93"/>
      <c r="W1813" s="93"/>
      <c r="X1813" s="93"/>
      <c r="Y1813" s="93"/>
      <c r="Z1813" s="93"/>
    </row>
    <row r="1814" customFormat="false" ht="16.4" hidden="false" customHeight="false" outlineLevel="0" collapsed="false">
      <c r="A1814" s="123" t="n">
        <v>45444</v>
      </c>
      <c r="B1814" s="31" t="s">
        <v>153</v>
      </c>
      <c r="C1814" s="129"/>
      <c r="D1814" s="129"/>
      <c r="E1814" s="19" t="n">
        <f aca="false">F1814*0.03</f>
        <v>0</v>
      </c>
      <c r="F1814" s="33" t="n">
        <v>0</v>
      </c>
      <c r="G1814" s="131"/>
      <c r="H1814" s="35" t="n">
        <v>0</v>
      </c>
      <c r="I1814" s="34" t="n">
        <f aca="false">+IF(E1814=0,0,E1814*0.03)</f>
        <v>0</v>
      </c>
      <c r="J1814" s="93"/>
      <c r="K1814" s="93"/>
      <c r="L1814" s="93"/>
      <c r="M1814" s="93"/>
      <c r="N1814" s="93"/>
      <c r="O1814" s="93"/>
      <c r="P1814" s="93"/>
      <c r="Q1814" s="93"/>
      <c r="R1814" s="93"/>
      <c r="S1814" s="93"/>
      <c r="T1814" s="93"/>
      <c r="U1814" s="93"/>
      <c r="V1814" s="93"/>
      <c r="W1814" s="93"/>
      <c r="X1814" s="93"/>
      <c r="Y1814" s="93"/>
      <c r="Z1814" s="93"/>
    </row>
    <row r="1815" customFormat="false" ht="16.4" hidden="false" customHeight="false" outlineLevel="0" collapsed="false">
      <c r="A1815" s="123" t="n">
        <v>45444</v>
      </c>
      <c r="B1815" s="31" t="s">
        <v>153</v>
      </c>
      <c r="C1815" s="129"/>
      <c r="D1815" s="129"/>
      <c r="E1815" s="19" t="n">
        <f aca="false">F1815*0.03</f>
        <v>0</v>
      </c>
      <c r="F1815" s="33" t="n">
        <v>0</v>
      </c>
      <c r="G1815" s="131"/>
      <c r="H1815" s="35" t="n">
        <v>0</v>
      </c>
      <c r="I1815" s="34" t="n">
        <f aca="false">+IF(E1815=0,0,E1815*0.03)</f>
        <v>0</v>
      </c>
      <c r="J1815" s="93"/>
      <c r="K1815" s="93"/>
      <c r="L1815" s="93"/>
      <c r="M1815" s="93"/>
      <c r="N1815" s="93"/>
      <c r="O1815" s="93"/>
      <c r="P1815" s="93"/>
      <c r="Q1815" s="93"/>
      <c r="R1815" s="93"/>
      <c r="S1815" s="93"/>
      <c r="T1815" s="93"/>
      <c r="U1815" s="93"/>
      <c r="V1815" s="93"/>
      <c r="W1815" s="93"/>
      <c r="X1815" s="93"/>
      <c r="Y1815" s="93"/>
      <c r="Z1815" s="93"/>
    </row>
    <row r="1816" customFormat="false" ht="16.4" hidden="false" customHeight="false" outlineLevel="0" collapsed="false">
      <c r="A1816" s="123" t="n">
        <v>45444</v>
      </c>
      <c r="B1816" s="31" t="s">
        <v>153</v>
      </c>
      <c r="C1816" s="129"/>
      <c r="D1816" s="129"/>
      <c r="E1816" s="19" t="n">
        <f aca="false">F1816*0.03</f>
        <v>0</v>
      </c>
      <c r="F1816" s="33" t="n">
        <v>0</v>
      </c>
      <c r="G1816" s="131"/>
      <c r="H1816" s="35" t="n">
        <v>0</v>
      </c>
      <c r="I1816" s="34" t="n">
        <f aca="false">+IF(E1816=0,0,E1816*0.03)</f>
        <v>0</v>
      </c>
      <c r="J1816" s="93"/>
      <c r="K1816" s="93"/>
      <c r="L1816" s="93"/>
      <c r="M1816" s="93"/>
      <c r="N1816" s="93"/>
      <c r="O1816" s="93"/>
      <c r="P1816" s="93"/>
      <c r="Q1816" s="93"/>
      <c r="R1816" s="93"/>
      <c r="S1816" s="93"/>
      <c r="T1816" s="93"/>
      <c r="U1816" s="93"/>
      <c r="V1816" s="93"/>
      <c r="W1816" s="93"/>
      <c r="X1816" s="93"/>
      <c r="Y1816" s="93"/>
      <c r="Z1816" s="93"/>
    </row>
    <row r="1817" customFormat="false" ht="16.4" hidden="false" customHeight="false" outlineLevel="0" collapsed="false">
      <c r="A1817" s="123" t="n">
        <v>45444</v>
      </c>
      <c r="B1817" s="31" t="s">
        <v>153</v>
      </c>
      <c r="C1817" s="129"/>
      <c r="D1817" s="129"/>
      <c r="E1817" s="19" t="n">
        <f aca="false">F1817*0.03</f>
        <v>0</v>
      </c>
      <c r="F1817" s="33" t="n">
        <v>0</v>
      </c>
      <c r="G1817" s="131"/>
      <c r="H1817" s="35" t="n">
        <v>0</v>
      </c>
      <c r="I1817" s="34" t="n">
        <f aca="false">+IF(E1817=0,0,E1817*0.03)</f>
        <v>0</v>
      </c>
      <c r="J1817" s="93"/>
      <c r="K1817" s="93"/>
      <c r="L1817" s="93"/>
      <c r="M1817" s="93"/>
      <c r="N1817" s="93"/>
      <c r="O1817" s="93"/>
      <c r="P1817" s="93"/>
      <c r="Q1817" s="93"/>
      <c r="R1817" s="93"/>
      <c r="S1817" s="93"/>
      <c r="T1817" s="93"/>
      <c r="U1817" s="93"/>
      <c r="V1817" s="93"/>
      <c r="W1817" s="93"/>
      <c r="X1817" s="93"/>
      <c r="Y1817" s="93"/>
      <c r="Z1817" s="93"/>
    </row>
    <row r="1818" customFormat="false" ht="16.4" hidden="false" customHeight="false" outlineLevel="0" collapsed="false">
      <c r="A1818" s="123" t="n">
        <v>45444</v>
      </c>
      <c r="B1818" s="31" t="s">
        <v>153</v>
      </c>
      <c r="C1818" s="129"/>
      <c r="D1818" s="129"/>
      <c r="E1818" s="19" t="n">
        <f aca="false">F1818*0.03</f>
        <v>0</v>
      </c>
      <c r="F1818" s="33" t="n">
        <v>0</v>
      </c>
      <c r="G1818" s="131"/>
      <c r="H1818" s="35" t="n">
        <v>0</v>
      </c>
      <c r="I1818" s="34" t="n">
        <f aca="false">+IF(E1818=0,0,E1818*0.03)</f>
        <v>0</v>
      </c>
      <c r="J1818" s="93"/>
      <c r="K1818" s="93"/>
      <c r="L1818" s="93"/>
      <c r="M1818" s="93"/>
      <c r="N1818" s="93"/>
      <c r="O1818" s="93"/>
      <c r="P1818" s="93"/>
      <c r="Q1818" s="93"/>
      <c r="R1818" s="93"/>
      <c r="S1818" s="93"/>
      <c r="T1818" s="93"/>
      <c r="U1818" s="93"/>
      <c r="V1818" s="93"/>
      <c r="W1818" s="93"/>
      <c r="X1818" s="93"/>
      <c r="Y1818" s="93"/>
      <c r="Z1818" s="93"/>
    </row>
    <row r="1819" customFormat="false" ht="16.4" hidden="false" customHeight="false" outlineLevel="0" collapsed="false">
      <c r="A1819" s="123" t="n">
        <v>45444</v>
      </c>
      <c r="B1819" s="31" t="s">
        <v>153</v>
      </c>
      <c r="C1819" s="129"/>
      <c r="D1819" s="129"/>
      <c r="E1819" s="19" t="n">
        <f aca="false">F1819*0.03</f>
        <v>0</v>
      </c>
      <c r="F1819" s="33" t="n">
        <v>0</v>
      </c>
      <c r="G1819" s="131"/>
      <c r="H1819" s="35" t="n">
        <v>0</v>
      </c>
      <c r="I1819" s="34" t="n">
        <f aca="false">+IF(E1819=0,0,E1819*0.03)</f>
        <v>0</v>
      </c>
      <c r="J1819" s="93"/>
      <c r="K1819" s="93"/>
      <c r="L1819" s="93"/>
      <c r="M1819" s="93"/>
      <c r="N1819" s="93"/>
      <c r="O1819" s="93"/>
      <c r="P1819" s="93"/>
      <c r="Q1819" s="93"/>
      <c r="R1819" s="93"/>
      <c r="S1819" s="93"/>
      <c r="T1819" s="93"/>
      <c r="U1819" s="93"/>
      <c r="V1819" s="93"/>
      <c r="W1819" s="93"/>
      <c r="X1819" s="93"/>
      <c r="Y1819" s="93"/>
      <c r="Z1819" s="93"/>
    </row>
    <row r="1820" customFormat="false" ht="16.4" hidden="false" customHeight="false" outlineLevel="0" collapsed="false">
      <c r="A1820" s="123" t="n">
        <v>45444</v>
      </c>
      <c r="B1820" s="31" t="s">
        <v>153</v>
      </c>
      <c r="C1820" s="129"/>
      <c r="D1820" s="129"/>
      <c r="E1820" s="19" t="n">
        <f aca="false">F1820*0.03</f>
        <v>0</v>
      </c>
      <c r="F1820" s="33" t="n">
        <v>0</v>
      </c>
      <c r="G1820" s="131"/>
      <c r="H1820" s="35" t="n">
        <v>0</v>
      </c>
      <c r="I1820" s="34" t="n">
        <f aca="false">+IF(E1820=0,0,E1820*0.03)</f>
        <v>0</v>
      </c>
      <c r="J1820" s="93"/>
      <c r="K1820" s="93"/>
      <c r="L1820" s="93"/>
      <c r="M1820" s="93"/>
      <c r="N1820" s="93"/>
      <c r="O1820" s="93"/>
      <c r="P1820" s="93"/>
      <c r="Q1820" s="93"/>
      <c r="R1820" s="93"/>
      <c r="S1820" s="93"/>
      <c r="T1820" s="93"/>
      <c r="U1820" s="93"/>
      <c r="V1820" s="93"/>
      <c r="W1820" s="93"/>
      <c r="X1820" s="93"/>
      <c r="Y1820" s="93"/>
      <c r="Z1820" s="93"/>
    </row>
    <row r="1821" customFormat="false" ht="16.4" hidden="false" customHeight="false" outlineLevel="0" collapsed="false">
      <c r="A1821" s="123" t="n">
        <v>45444</v>
      </c>
      <c r="B1821" s="31" t="s">
        <v>153</v>
      </c>
      <c r="C1821" s="129"/>
      <c r="D1821" s="129"/>
      <c r="E1821" s="19" t="n">
        <f aca="false">F1821*0.03</f>
        <v>0</v>
      </c>
      <c r="F1821" s="33" t="n">
        <v>0</v>
      </c>
      <c r="G1821" s="131"/>
      <c r="H1821" s="35" t="n">
        <v>0</v>
      </c>
      <c r="I1821" s="34" t="n">
        <f aca="false">+IF(E1821=0,0,E1821*0.03)</f>
        <v>0</v>
      </c>
      <c r="J1821" s="93"/>
      <c r="K1821" s="93"/>
      <c r="L1821" s="93"/>
      <c r="M1821" s="93"/>
      <c r="N1821" s="93"/>
      <c r="O1821" s="93"/>
      <c r="P1821" s="93"/>
      <c r="Q1821" s="93"/>
      <c r="R1821" s="93"/>
      <c r="S1821" s="93"/>
      <c r="T1821" s="93"/>
      <c r="U1821" s="93"/>
      <c r="V1821" s="93"/>
      <c r="W1821" s="93"/>
      <c r="X1821" s="93"/>
      <c r="Y1821" s="93"/>
      <c r="Z1821" s="93"/>
    </row>
    <row r="1822" customFormat="false" ht="16.4" hidden="false" customHeight="false" outlineLevel="0" collapsed="false">
      <c r="A1822" s="123" t="n">
        <v>45444</v>
      </c>
      <c r="B1822" s="31" t="s">
        <v>153</v>
      </c>
      <c r="C1822" s="129"/>
      <c r="D1822" s="129"/>
      <c r="E1822" s="19" t="n">
        <f aca="false">F1822*0.03</f>
        <v>0</v>
      </c>
      <c r="F1822" s="33" t="n">
        <v>0</v>
      </c>
      <c r="G1822" s="131"/>
      <c r="H1822" s="35" t="n">
        <v>0</v>
      </c>
      <c r="I1822" s="34" t="n">
        <f aca="false">+IF(E1822=0,0,E1822*0.03)</f>
        <v>0</v>
      </c>
      <c r="J1822" s="93"/>
      <c r="K1822" s="93"/>
      <c r="L1822" s="93"/>
      <c r="M1822" s="93"/>
      <c r="N1822" s="93"/>
      <c r="O1822" s="93"/>
      <c r="P1822" s="93"/>
      <c r="Q1822" s="93"/>
      <c r="R1822" s="93"/>
      <c r="S1822" s="93"/>
      <c r="T1822" s="93"/>
      <c r="U1822" s="93"/>
      <c r="V1822" s="93"/>
      <c r="W1822" s="93"/>
      <c r="X1822" s="93"/>
      <c r="Y1822" s="93"/>
      <c r="Z1822" s="93"/>
    </row>
    <row r="1823" customFormat="false" ht="16.4" hidden="false" customHeight="false" outlineLevel="0" collapsed="false">
      <c r="A1823" s="123" t="n">
        <v>45444</v>
      </c>
      <c r="B1823" s="31" t="s">
        <v>153</v>
      </c>
      <c r="C1823" s="129"/>
      <c r="D1823" s="129"/>
      <c r="E1823" s="19" t="n">
        <f aca="false">F1823*0.03</f>
        <v>0</v>
      </c>
      <c r="F1823" s="33" t="n">
        <v>0</v>
      </c>
      <c r="G1823" s="131"/>
      <c r="H1823" s="35" t="n">
        <v>0</v>
      </c>
      <c r="I1823" s="34" t="n">
        <f aca="false">+IF(E1823=0,0,E1823*0.03)</f>
        <v>0</v>
      </c>
      <c r="J1823" s="93"/>
      <c r="K1823" s="93"/>
      <c r="L1823" s="93"/>
      <c r="M1823" s="93"/>
      <c r="N1823" s="93"/>
      <c r="O1823" s="93"/>
      <c r="P1823" s="93"/>
      <c r="Q1823" s="93"/>
      <c r="R1823" s="93"/>
      <c r="S1823" s="93"/>
      <c r="T1823" s="93"/>
      <c r="U1823" s="93"/>
      <c r="V1823" s="93"/>
      <c r="W1823" s="93"/>
      <c r="X1823" s="93"/>
      <c r="Y1823" s="93"/>
      <c r="Z1823" s="93"/>
    </row>
    <row r="1824" customFormat="false" ht="16.4" hidden="false" customHeight="false" outlineLevel="0" collapsed="false">
      <c r="A1824" s="123" t="n">
        <v>45444</v>
      </c>
      <c r="B1824" s="31" t="s">
        <v>153</v>
      </c>
      <c r="C1824" s="129"/>
      <c r="D1824" s="129"/>
      <c r="E1824" s="19" t="n">
        <f aca="false">F1824*0.03</f>
        <v>0</v>
      </c>
      <c r="F1824" s="33" t="n">
        <v>0</v>
      </c>
      <c r="G1824" s="131"/>
      <c r="H1824" s="35" t="n">
        <v>0</v>
      </c>
      <c r="I1824" s="34" t="n">
        <f aca="false">+IF(E1824=0,0,E1824*0.03)</f>
        <v>0</v>
      </c>
      <c r="J1824" s="93"/>
      <c r="K1824" s="93"/>
      <c r="L1824" s="93"/>
      <c r="M1824" s="93"/>
      <c r="N1824" s="93"/>
      <c r="O1824" s="93"/>
      <c r="P1824" s="93"/>
      <c r="Q1824" s="93"/>
      <c r="R1824" s="93"/>
      <c r="S1824" s="93"/>
      <c r="T1824" s="93"/>
      <c r="U1824" s="93"/>
      <c r="V1824" s="93"/>
      <c r="W1824" s="93"/>
      <c r="X1824" s="93"/>
      <c r="Y1824" s="93"/>
      <c r="Z1824" s="93"/>
    </row>
    <row r="1825" customFormat="false" ht="16.4" hidden="false" customHeight="false" outlineLevel="0" collapsed="false">
      <c r="A1825" s="123" t="n">
        <v>45444</v>
      </c>
      <c r="B1825" s="31" t="s">
        <v>153</v>
      </c>
      <c r="C1825" s="129"/>
      <c r="D1825" s="129"/>
      <c r="E1825" s="19" t="n">
        <f aca="false">F1825*0.03</f>
        <v>0</v>
      </c>
      <c r="F1825" s="33" t="n">
        <v>0</v>
      </c>
      <c r="G1825" s="131"/>
      <c r="H1825" s="35" t="n">
        <v>0</v>
      </c>
      <c r="I1825" s="34" t="n">
        <f aca="false">+IF(E1825=0,0,E1825*0.03)</f>
        <v>0</v>
      </c>
      <c r="J1825" s="93"/>
      <c r="K1825" s="93"/>
      <c r="L1825" s="93"/>
      <c r="M1825" s="93"/>
      <c r="N1825" s="93"/>
      <c r="O1825" s="93"/>
      <c r="P1825" s="93"/>
      <c r="Q1825" s="93"/>
      <c r="R1825" s="93"/>
      <c r="S1825" s="93"/>
      <c r="T1825" s="93"/>
      <c r="U1825" s="93"/>
      <c r="V1825" s="93"/>
      <c r="W1825" s="93"/>
      <c r="X1825" s="93"/>
      <c r="Y1825" s="93"/>
      <c r="Z1825" s="93"/>
    </row>
    <row r="1826" customFormat="false" ht="16.4" hidden="false" customHeight="false" outlineLevel="0" collapsed="false">
      <c r="A1826" s="123" t="n">
        <v>45444</v>
      </c>
      <c r="B1826" s="31" t="s">
        <v>153</v>
      </c>
      <c r="C1826" s="129"/>
      <c r="D1826" s="129"/>
      <c r="E1826" s="19" t="n">
        <f aca="false">F1826*0.03</f>
        <v>0</v>
      </c>
      <c r="F1826" s="33" t="n">
        <v>0</v>
      </c>
      <c r="G1826" s="131"/>
      <c r="H1826" s="35" t="n">
        <v>0</v>
      </c>
      <c r="I1826" s="34" t="n">
        <f aca="false">+IF(E1826=0,0,E1826*0.03)</f>
        <v>0</v>
      </c>
      <c r="J1826" s="93"/>
      <c r="K1826" s="93"/>
      <c r="L1826" s="93"/>
      <c r="M1826" s="93"/>
      <c r="N1826" s="93"/>
      <c r="O1826" s="93"/>
      <c r="P1826" s="93"/>
      <c r="Q1826" s="93"/>
      <c r="R1826" s="93"/>
      <c r="S1826" s="93"/>
      <c r="T1826" s="93"/>
      <c r="U1826" s="93"/>
      <c r="V1826" s="93"/>
      <c r="W1826" s="93"/>
      <c r="X1826" s="93"/>
      <c r="Y1826" s="93"/>
      <c r="Z1826" s="93"/>
    </row>
    <row r="1827" customFormat="false" ht="16.4" hidden="false" customHeight="false" outlineLevel="0" collapsed="false">
      <c r="A1827" s="123" t="n">
        <v>45444</v>
      </c>
      <c r="B1827" s="31" t="s">
        <v>153</v>
      </c>
      <c r="C1827" s="129"/>
      <c r="D1827" s="129"/>
      <c r="E1827" s="19" t="n">
        <f aca="false">F1827*0.03</f>
        <v>0</v>
      </c>
      <c r="F1827" s="33" t="n">
        <v>0</v>
      </c>
      <c r="G1827" s="131"/>
      <c r="H1827" s="35" t="n">
        <v>0</v>
      </c>
      <c r="I1827" s="34" t="n">
        <f aca="false">+IF(E1827=0,0,E1827*0.03)</f>
        <v>0</v>
      </c>
      <c r="J1827" s="93"/>
      <c r="K1827" s="93"/>
      <c r="L1827" s="93"/>
      <c r="M1827" s="93"/>
      <c r="N1827" s="93"/>
      <c r="O1827" s="93"/>
      <c r="P1827" s="93"/>
      <c r="Q1827" s="93"/>
      <c r="R1827" s="93"/>
      <c r="S1827" s="93"/>
      <c r="T1827" s="93"/>
      <c r="U1827" s="93"/>
      <c r="V1827" s="93"/>
      <c r="W1827" s="93"/>
      <c r="X1827" s="93"/>
      <c r="Y1827" s="93"/>
      <c r="Z1827" s="93"/>
    </row>
    <row r="1828" customFormat="false" ht="16.4" hidden="false" customHeight="false" outlineLevel="0" collapsed="false">
      <c r="A1828" s="123" t="n">
        <v>45444</v>
      </c>
      <c r="B1828" s="31" t="s">
        <v>153</v>
      </c>
      <c r="C1828" s="129"/>
      <c r="D1828" s="129"/>
      <c r="E1828" s="19" t="n">
        <f aca="false">F1828*0.03</f>
        <v>0</v>
      </c>
      <c r="F1828" s="33" t="n">
        <v>0</v>
      </c>
      <c r="G1828" s="131"/>
      <c r="H1828" s="35" t="n">
        <v>0</v>
      </c>
      <c r="I1828" s="34" t="n">
        <f aca="false">+IF(E1828=0,0,E1828*0.03)</f>
        <v>0</v>
      </c>
      <c r="J1828" s="93"/>
      <c r="K1828" s="93"/>
      <c r="L1828" s="93"/>
      <c r="M1828" s="93"/>
      <c r="N1828" s="93"/>
      <c r="O1828" s="93"/>
      <c r="P1828" s="93"/>
      <c r="Q1828" s="93"/>
      <c r="R1828" s="93"/>
      <c r="S1828" s="93"/>
      <c r="T1828" s="93"/>
      <c r="U1828" s="93"/>
      <c r="V1828" s="93"/>
      <c r="W1828" s="93"/>
      <c r="X1828" s="93"/>
      <c r="Y1828" s="93"/>
      <c r="Z1828" s="93"/>
    </row>
    <row r="1829" customFormat="false" ht="16.4" hidden="false" customHeight="false" outlineLevel="0" collapsed="false">
      <c r="A1829" s="123" t="n">
        <v>45444</v>
      </c>
      <c r="B1829" s="31" t="s">
        <v>153</v>
      </c>
      <c r="C1829" s="129"/>
      <c r="D1829" s="129"/>
      <c r="E1829" s="19" t="n">
        <f aca="false">F1829*0.03</f>
        <v>0</v>
      </c>
      <c r="F1829" s="33" t="n">
        <v>0</v>
      </c>
      <c r="G1829" s="131"/>
      <c r="H1829" s="35" t="n">
        <v>0</v>
      </c>
      <c r="I1829" s="34" t="n">
        <f aca="false">+IF(E1829=0,0,E1829*0.03)</f>
        <v>0</v>
      </c>
      <c r="J1829" s="93"/>
      <c r="K1829" s="93"/>
      <c r="L1829" s="93"/>
      <c r="M1829" s="93"/>
      <c r="N1829" s="93"/>
      <c r="O1829" s="93"/>
      <c r="P1829" s="93"/>
      <c r="Q1829" s="93"/>
      <c r="R1829" s="93"/>
      <c r="S1829" s="93"/>
      <c r="T1829" s="93"/>
      <c r="U1829" s="93"/>
      <c r="V1829" s="93"/>
      <c r="W1829" s="93"/>
      <c r="X1829" s="93"/>
      <c r="Y1829" s="93"/>
      <c r="Z1829" s="93"/>
    </row>
    <row r="1830" customFormat="false" ht="16.4" hidden="false" customHeight="false" outlineLevel="0" collapsed="false">
      <c r="A1830" s="123" t="n">
        <v>45444</v>
      </c>
      <c r="B1830" s="31" t="s">
        <v>153</v>
      </c>
      <c r="C1830" s="129"/>
      <c r="D1830" s="129"/>
      <c r="E1830" s="19" t="n">
        <f aca="false">F1830*0.03</f>
        <v>0</v>
      </c>
      <c r="F1830" s="33" t="n">
        <v>0</v>
      </c>
      <c r="G1830" s="131"/>
      <c r="H1830" s="35" t="n">
        <v>0</v>
      </c>
      <c r="I1830" s="34" t="n">
        <f aca="false">+IF(E1830=0,0,E1830*0.03)</f>
        <v>0</v>
      </c>
      <c r="J1830" s="93"/>
      <c r="K1830" s="93"/>
      <c r="L1830" s="93"/>
      <c r="M1830" s="93"/>
      <c r="N1830" s="93"/>
      <c r="O1830" s="93"/>
      <c r="P1830" s="93"/>
      <c r="Q1830" s="93"/>
      <c r="R1830" s="93"/>
      <c r="S1830" s="93"/>
      <c r="T1830" s="93"/>
      <c r="U1830" s="93"/>
      <c r="V1830" s="93"/>
      <c r="W1830" s="93"/>
      <c r="X1830" s="93"/>
      <c r="Y1830" s="93"/>
      <c r="Z1830" s="93"/>
    </row>
    <row r="1831" customFormat="false" ht="16.4" hidden="false" customHeight="false" outlineLevel="0" collapsed="false">
      <c r="A1831" s="123" t="n">
        <v>45444</v>
      </c>
      <c r="B1831" s="31" t="s">
        <v>153</v>
      </c>
      <c r="C1831" s="129"/>
      <c r="D1831" s="129"/>
      <c r="E1831" s="19" t="n">
        <f aca="false">F1831*0.03</f>
        <v>0</v>
      </c>
      <c r="F1831" s="33" t="n">
        <v>0</v>
      </c>
      <c r="G1831" s="131"/>
      <c r="H1831" s="35" t="n">
        <v>0</v>
      </c>
      <c r="I1831" s="34" t="n">
        <f aca="false">+IF(E1831=0,0,E1831*0.03)</f>
        <v>0</v>
      </c>
      <c r="J1831" s="93"/>
      <c r="K1831" s="93"/>
      <c r="L1831" s="93"/>
      <c r="M1831" s="93"/>
      <c r="N1831" s="93"/>
      <c r="O1831" s="93"/>
      <c r="P1831" s="93"/>
      <c r="Q1831" s="93"/>
      <c r="R1831" s="93"/>
      <c r="S1831" s="93"/>
      <c r="T1831" s="93"/>
      <c r="U1831" s="93"/>
      <c r="V1831" s="93"/>
      <c r="W1831" s="93"/>
      <c r="X1831" s="93"/>
      <c r="Y1831" s="93"/>
      <c r="Z1831" s="93"/>
    </row>
    <row r="1832" customFormat="false" ht="16.4" hidden="false" customHeight="false" outlineLevel="0" collapsed="false">
      <c r="A1832" s="123" t="n">
        <v>45444</v>
      </c>
      <c r="B1832" s="31" t="s">
        <v>153</v>
      </c>
      <c r="C1832" s="129"/>
      <c r="D1832" s="129"/>
      <c r="E1832" s="19" t="n">
        <f aca="false">F1832*0.03</f>
        <v>0</v>
      </c>
      <c r="F1832" s="33" t="n">
        <v>0</v>
      </c>
      <c r="G1832" s="131"/>
      <c r="H1832" s="35" t="n">
        <v>0</v>
      </c>
      <c r="I1832" s="34" t="n">
        <f aca="false">+IF(E1832=0,0,E1832*0.03)</f>
        <v>0</v>
      </c>
      <c r="J1832" s="93"/>
      <c r="K1832" s="93"/>
      <c r="L1832" s="93"/>
      <c r="M1832" s="93"/>
      <c r="N1832" s="93"/>
      <c r="O1832" s="93"/>
      <c r="P1832" s="93"/>
      <c r="Q1832" s="93"/>
      <c r="R1832" s="93"/>
      <c r="S1832" s="93"/>
      <c r="T1832" s="93"/>
      <c r="U1832" s="93"/>
      <c r="V1832" s="93"/>
      <c r="W1832" s="93"/>
      <c r="X1832" s="93"/>
      <c r="Y1832" s="93"/>
      <c r="Z1832" s="93"/>
    </row>
    <row r="1833" customFormat="false" ht="16.4" hidden="false" customHeight="false" outlineLevel="0" collapsed="false">
      <c r="A1833" s="123" t="n">
        <v>45444</v>
      </c>
      <c r="B1833" s="31" t="s">
        <v>153</v>
      </c>
      <c r="C1833" s="129"/>
      <c r="D1833" s="129"/>
      <c r="E1833" s="19" t="n">
        <f aca="false">F1833*0.03</f>
        <v>0</v>
      </c>
      <c r="F1833" s="33" t="n">
        <v>0</v>
      </c>
      <c r="G1833" s="131"/>
      <c r="H1833" s="35" t="n">
        <v>0</v>
      </c>
      <c r="I1833" s="34" t="n">
        <f aca="false">+IF(E1833=0,0,E1833*0.03)</f>
        <v>0</v>
      </c>
      <c r="J1833" s="93"/>
      <c r="K1833" s="93"/>
      <c r="L1833" s="93"/>
      <c r="M1833" s="93"/>
      <c r="N1833" s="93"/>
      <c r="O1833" s="93"/>
      <c r="P1833" s="93"/>
      <c r="Q1833" s="93"/>
      <c r="R1833" s="93"/>
      <c r="S1833" s="93"/>
      <c r="T1833" s="93"/>
      <c r="U1833" s="93"/>
      <c r="V1833" s="93"/>
      <c r="W1833" s="93"/>
      <c r="X1833" s="93"/>
      <c r="Y1833" s="93"/>
      <c r="Z1833" s="93"/>
    </row>
    <row r="1834" customFormat="false" ht="16.4" hidden="false" customHeight="false" outlineLevel="0" collapsed="false">
      <c r="A1834" s="123" t="n">
        <v>45444</v>
      </c>
      <c r="B1834" s="31" t="s">
        <v>153</v>
      </c>
      <c r="C1834" s="129"/>
      <c r="D1834" s="129"/>
      <c r="E1834" s="19" t="n">
        <f aca="false">F1834*0.03</f>
        <v>0</v>
      </c>
      <c r="F1834" s="33" t="n">
        <v>0</v>
      </c>
      <c r="G1834" s="131"/>
      <c r="H1834" s="35" t="n">
        <v>0</v>
      </c>
      <c r="I1834" s="34" t="n">
        <f aca="false">+IF(E1834=0,0,E1834*0.03)</f>
        <v>0</v>
      </c>
      <c r="J1834" s="93"/>
      <c r="K1834" s="93"/>
      <c r="L1834" s="93"/>
      <c r="M1834" s="93"/>
      <c r="N1834" s="93"/>
      <c r="O1834" s="93"/>
      <c r="P1834" s="93"/>
      <c r="Q1834" s="93"/>
      <c r="R1834" s="93"/>
      <c r="S1834" s="93"/>
      <c r="T1834" s="93"/>
      <c r="U1834" s="93"/>
      <c r="V1834" s="93"/>
      <c r="W1834" s="93"/>
      <c r="X1834" s="93"/>
      <c r="Y1834" s="93"/>
      <c r="Z1834" s="93"/>
    </row>
    <row r="1835" customFormat="false" ht="16.4" hidden="false" customHeight="false" outlineLevel="0" collapsed="false">
      <c r="A1835" s="123" t="n">
        <v>45444</v>
      </c>
      <c r="B1835" s="31" t="s">
        <v>153</v>
      </c>
      <c r="C1835" s="129"/>
      <c r="D1835" s="129"/>
      <c r="E1835" s="19" t="n">
        <f aca="false">F1835*0.03</f>
        <v>0</v>
      </c>
      <c r="F1835" s="33" t="n">
        <v>0</v>
      </c>
      <c r="G1835" s="131"/>
      <c r="H1835" s="35" t="n">
        <v>0</v>
      </c>
      <c r="I1835" s="34" t="n">
        <f aca="false">+IF(E1835=0,0,E1835*0.03)</f>
        <v>0</v>
      </c>
      <c r="J1835" s="93"/>
      <c r="K1835" s="93"/>
      <c r="L1835" s="93"/>
      <c r="M1835" s="93"/>
      <c r="N1835" s="93"/>
      <c r="O1835" s="93"/>
      <c r="P1835" s="93"/>
      <c r="Q1835" s="93"/>
      <c r="R1835" s="93"/>
      <c r="S1835" s="93"/>
      <c r="T1835" s="93"/>
      <c r="U1835" s="93"/>
      <c r="V1835" s="93"/>
      <c r="W1835" s="93"/>
      <c r="X1835" s="93"/>
      <c r="Y1835" s="93"/>
      <c r="Z1835" s="93"/>
    </row>
    <row r="1836" customFormat="false" ht="16.4" hidden="false" customHeight="false" outlineLevel="0" collapsed="false">
      <c r="A1836" s="123" t="n">
        <v>45444</v>
      </c>
      <c r="B1836" s="31" t="s">
        <v>153</v>
      </c>
      <c r="C1836" s="129"/>
      <c r="D1836" s="129"/>
      <c r="E1836" s="19" t="n">
        <f aca="false">F1836*0.03</f>
        <v>0</v>
      </c>
      <c r="F1836" s="33" t="n">
        <v>0</v>
      </c>
      <c r="G1836" s="131"/>
      <c r="H1836" s="35" t="n">
        <v>0</v>
      </c>
      <c r="I1836" s="34" t="n">
        <f aca="false">+IF(E1836=0,0,E1836*0.03)</f>
        <v>0</v>
      </c>
      <c r="J1836" s="93"/>
      <c r="K1836" s="93"/>
      <c r="L1836" s="93"/>
      <c r="M1836" s="93"/>
      <c r="N1836" s="93"/>
      <c r="O1836" s="93"/>
      <c r="P1836" s="93"/>
      <c r="Q1836" s="93"/>
      <c r="R1836" s="93"/>
      <c r="S1836" s="93"/>
      <c r="T1836" s="93"/>
      <c r="U1836" s="93"/>
      <c r="V1836" s="93"/>
      <c r="W1836" s="93"/>
      <c r="X1836" s="93"/>
      <c r="Y1836" s="93"/>
      <c r="Z1836" s="93"/>
    </row>
    <row r="1837" customFormat="false" ht="16.4" hidden="false" customHeight="false" outlineLevel="0" collapsed="false">
      <c r="A1837" s="123" t="n">
        <v>45444</v>
      </c>
      <c r="B1837" s="31" t="s">
        <v>153</v>
      </c>
      <c r="C1837" s="129"/>
      <c r="D1837" s="129"/>
      <c r="E1837" s="19" t="n">
        <f aca="false">F1837*0.03</f>
        <v>0</v>
      </c>
      <c r="F1837" s="33" t="n">
        <v>0</v>
      </c>
      <c r="G1837" s="131"/>
      <c r="H1837" s="35" t="n">
        <v>0</v>
      </c>
      <c r="I1837" s="34" t="n">
        <f aca="false">+IF(E1837=0,0,E1837*0.03)</f>
        <v>0</v>
      </c>
      <c r="J1837" s="93"/>
      <c r="K1837" s="93"/>
      <c r="L1837" s="93"/>
      <c r="M1837" s="93"/>
      <c r="N1837" s="93"/>
      <c r="O1837" s="93"/>
      <c r="P1837" s="93"/>
      <c r="Q1837" s="93"/>
      <c r="R1837" s="93"/>
      <c r="S1837" s="93"/>
      <c r="T1837" s="93"/>
      <c r="U1837" s="93"/>
      <c r="V1837" s="93"/>
      <c r="W1837" s="93"/>
      <c r="X1837" s="93"/>
      <c r="Y1837" s="93"/>
      <c r="Z1837" s="93"/>
    </row>
    <row r="1838" customFormat="false" ht="16.4" hidden="false" customHeight="false" outlineLevel="0" collapsed="false">
      <c r="A1838" s="123" t="n">
        <v>45444</v>
      </c>
      <c r="B1838" s="31" t="s">
        <v>153</v>
      </c>
      <c r="C1838" s="129"/>
      <c r="D1838" s="129"/>
      <c r="E1838" s="19" t="n">
        <f aca="false">F1838*0.03</f>
        <v>0</v>
      </c>
      <c r="F1838" s="33" t="n">
        <v>0</v>
      </c>
      <c r="G1838" s="131"/>
      <c r="H1838" s="35" t="n">
        <v>0</v>
      </c>
      <c r="I1838" s="34" t="n">
        <f aca="false">+IF(E1838=0,0,E1838*0.03)</f>
        <v>0</v>
      </c>
      <c r="J1838" s="93"/>
      <c r="K1838" s="93"/>
      <c r="L1838" s="93"/>
      <c r="M1838" s="93"/>
      <c r="N1838" s="93"/>
      <c r="O1838" s="93"/>
      <c r="P1838" s="93"/>
      <c r="Q1838" s="93"/>
      <c r="R1838" s="93"/>
      <c r="S1838" s="93"/>
      <c r="T1838" s="93"/>
      <c r="U1838" s="93"/>
      <c r="V1838" s="93"/>
      <c r="W1838" s="93"/>
      <c r="X1838" s="93"/>
      <c r="Y1838" s="93"/>
      <c r="Z1838" s="93"/>
    </row>
    <row r="1839" customFormat="false" ht="16.4" hidden="false" customHeight="false" outlineLevel="0" collapsed="false">
      <c r="A1839" s="123" t="n">
        <v>45444</v>
      </c>
      <c r="B1839" s="31" t="s">
        <v>153</v>
      </c>
      <c r="C1839" s="129"/>
      <c r="D1839" s="129"/>
      <c r="E1839" s="19" t="n">
        <f aca="false">F1839*0.03</f>
        <v>0</v>
      </c>
      <c r="F1839" s="33" t="n">
        <v>0</v>
      </c>
      <c r="G1839" s="131"/>
      <c r="H1839" s="35" t="n">
        <v>0</v>
      </c>
      <c r="I1839" s="34" t="n">
        <f aca="false">+IF(E1839=0,0,E1839*0.03)</f>
        <v>0</v>
      </c>
      <c r="J1839" s="93"/>
      <c r="K1839" s="93"/>
      <c r="L1839" s="93"/>
      <c r="M1839" s="93"/>
      <c r="N1839" s="93"/>
      <c r="O1839" s="93"/>
      <c r="P1839" s="93"/>
      <c r="Q1839" s="93"/>
      <c r="R1839" s="93"/>
      <c r="S1839" s="93"/>
      <c r="T1839" s="93"/>
      <c r="U1839" s="93"/>
      <c r="V1839" s="93"/>
      <c r="W1839" s="93"/>
      <c r="X1839" s="93"/>
      <c r="Y1839" s="93"/>
      <c r="Z1839" s="93"/>
    </row>
    <row r="1840" customFormat="false" ht="16.4" hidden="false" customHeight="false" outlineLevel="0" collapsed="false">
      <c r="A1840" s="123" t="n">
        <v>45444</v>
      </c>
      <c r="B1840" s="31" t="s">
        <v>153</v>
      </c>
      <c r="C1840" s="129"/>
      <c r="D1840" s="129"/>
      <c r="E1840" s="19" t="n">
        <f aca="false">F1840*0.03</f>
        <v>0</v>
      </c>
      <c r="F1840" s="33" t="n">
        <v>0</v>
      </c>
      <c r="G1840" s="131"/>
      <c r="H1840" s="35" t="n">
        <v>0</v>
      </c>
      <c r="I1840" s="34" t="n">
        <f aca="false">+IF(E1840=0,0,E1840*0.03)</f>
        <v>0</v>
      </c>
      <c r="J1840" s="93"/>
      <c r="K1840" s="93"/>
      <c r="L1840" s="93"/>
      <c r="M1840" s="93"/>
      <c r="N1840" s="93"/>
      <c r="O1840" s="93"/>
      <c r="P1840" s="93"/>
      <c r="Q1840" s="93"/>
      <c r="R1840" s="93"/>
      <c r="S1840" s="93"/>
      <c r="T1840" s="93"/>
      <c r="U1840" s="93"/>
      <c r="V1840" s="93"/>
      <c r="W1840" s="93"/>
      <c r="X1840" s="93"/>
      <c r="Y1840" s="93"/>
      <c r="Z1840" s="93"/>
    </row>
    <row r="1841" customFormat="false" ht="16.4" hidden="false" customHeight="false" outlineLevel="0" collapsed="false">
      <c r="A1841" s="123" t="n">
        <v>45444</v>
      </c>
      <c r="B1841" s="31" t="s">
        <v>153</v>
      </c>
      <c r="C1841" s="129"/>
      <c r="D1841" s="129"/>
      <c r="E1841" s="19" t="n">
        <f aca="false">F1841*0.03</f>
        <v>0</v>
      </c>
      <c r="F1841" s="33" t="n">
        <v>0</v>
      </c>
      <c r="G1841" s="131"/>
      <c r="H1841" s="35" t="n">
        <v>0</v>
      </c>
      <c r="I1841" s="34" t="n">
        <f aca="false">+IF(E1841=0,0,E1841*0.03)</f>
        <v>0</v>
      </c>
      <c r="J1841" s="93"/>
      <c r="K1841" s="93"/>
      <c r="L1841" s="93"/>
      <c r="M1841" s="93"/>
      <c r="N1841" s="93"/>
      <c r="O1841" s="93"/>
      <c r="P1841" s="93"/>
      <c r="Q1841" s="93"/>
      <c r="R1841" s="93"/>
      <c r="S1841" s="93"/>
      <c r="T1841" s="93"/>
      <c r="U1841" s="93"/>
      <c r="V1841" s="93"/>
      <c r="W1841" s="93"/>
      <c r="X1841" s="93"/>
      <c r="Y1841" s="93"/>
      <c r="Z1841" s="93"/>
    </row>
    <row r="1842" customFormat="false" ht="16.4" hidden="false" customHeight="false" outlineLevel="0" collapsed="false">
      <c r="A1842" s="123" t="n">
        <v>45444</v>
      </c>
      <c r="B1842" s="31" t="s">
        <v>153</v>
      </c>
      <c r="C1842" s="129"/>
      <c r="D1842" s="129"/>
      <c r="E1842" s="19" t="n">
        <f aca="false">F1842*0.03</f>
        <v>0</v>
      </c>
      <c r="F1842" s="33" t="n">
        <v>0</v>
      </c>
      <c r="G1842" s="131"/>
      <c r="H1842" s="35" t="n">
        <v>0</v>
      </c>
      <c r="I1842" s="34" t="n">
        <f aca="false">+IF(E1842=0,0,E1842*0.03)</f>
        <v>0</v>
      </c>
      <c r="J1842" s="93"/>
      <c r="K1842" s="93"/>
      <c r="L1842" s="93"/>
      <c r="M1842" s="93"/>
      <c r="N1842" s="93"/>
      <c r="O1842" s="93"/>
      <c r="P1842" s="93"/>
      <c r="Q1842" s="93"/>
      <c r="R1842" s="93"/>
      <c r="S1842" s="93"/>
      <c r="T1842" s="93"/>
      <c r="U1842" s="93"/>
      <c r="V1842" s="93"/>
      <c r="W1842" s="93"/>
      <c r="X1842" s="93"/>
      <c r="Y1842" s="93"/>
      <c r="Z1842" s="93"/>
    </row>
    <row r="1843" customFormat="false" ht="16.4" hidden="false" customHeight="false" outlineLevel="0" collapsed="false">
      <c r="A1843" s="123" t="n">
        <v>45444</v>
      </c>
      <c r="B1843" s="31" t="s">
        <v>153</v>
      </c>
      <c r="C1843" s="129"/>
      <c r="D1843" s="129"/>
      <c r="E1843" s="19" t="n">
        <f aca="false">F1843*0.03</f>
        <v>0</v>
      </c>
      <c r="F1843" s="33" t="n">
        <v>0</v>
      </c>
      <c r="G1843" s="131"/>
      <c r="H1843" s="35" t="n">
        <v>0</v>
      </c>
      <c r="I1843" s="34" t="n">
        <f aca="false">+IF(E1843=0,0,E1843*0.03)</f>
        <v>0</v>
      </c>
      <c r="J1843" s="93"/>
      <c r="K1843" s="93"/>
      <c r="L1843" s="93"/>
      <c r="M1843" s="93"/>
      <c r="N1843" s="93"/>
      <c r="O1843" s="93"/>
      <c r="P1843" s="93"/>
      <c r="Q1843" s="93"/>
      <c r="R1843" s="93"/>
      <c r="S1843" s="93"/>
      <c r="T1843" s="93"/>
      <c r="U1843" s="93"/>
      <c r="V1843" s="93"/>
      <c r="W1843" s="93"/>
      <c r="X1843" s="93"/>
      <c r="Y1843" s="93"/>
      <c r="Z1843" s="93"/>
    </row>
    <row r="1844" customFormat="false" ht="16.4" hidden="false" customHeight="false" outlineLevel="0" collapsed="false">
      <c r="A1844" s="123" t="n">
        <v>45444</v>
      </c>
      <c r="B1844" s="31" t="s">
        <v>153</v>
      </c>
      <c r="C1844" s="129"/>
      <c r="D1844" s="129"/>
      <c r="E1844" s="19" t="n">
        <f aca="false">F1844*0.03</f>
        <v>0</v>
      </c>
      <c r="F1844" s="33" t="n">
        <v>0</v>
      </c>
      <c r="G1844" s="131"/>
      <c r="H1844" s="35" t="n">
        <v>0</v>
      </c>
      <c r="I1844" s="34" t="n">
        <f aca="false">+IF(E1844=0,0,E1844*0.03)</f>
        <v>0</v>
      </c>
      <c r="J1844" s="93"/>
      <c r="K1844" s="93"/>
      <c r="L1844" s="93"/>
      <c r="M1844" s="93"/>
      <c r="N1844" s="93"/>
      <c r="O1844" s="93"/>
      <c r="P1844" s="93"/>
      <c r="Q1844" s="93"/>
      <c r="R1844" s="93"/>
      <c r="S1844" s="93"/>
      <c r="T1844" s="93"/>
      <c r="U1844" s="93"/>
      <c r="V1844" s="93"/>
      <c r="W1844" s="93"/>
      <c r="X1844" s="93"/>
      <c r="Y1844" s="93"/>
      <c r="Z1844" s="93"/>
    </row>
    <row r="1845" customFormat="false" ht="16.4" hidden="false" customHeight="false" outlineLevel="0" collapsed="false">
      <c r="A1845" s="123" t="n">
        <v>45444</v>
      </c>
      <c r="B1845" s="31" t="s">
        <v>153</v>
      </c>
      <c r="C1845" s="129"/>
      <c r="D1845" s="129"/>
      <c r="E1845" s="19" t="n">
        <f aca="false">F1845*0.03</f>
        <v>0</v>
      </c>
      <c r="F1845" s="33" t="n">
        <v>0</v>
      </c>
      <c r="G1845" s="131"/>
      <c r="H1845" s="35" t="n">
        <v>0</v>
      </c>
      <c r="I1845" s="34" t="n">
        <f aca="false">+IF(E1845=0,0,E1845*0.03)</f>
        <v>0</v>
      </c>
      <c r="J1845" s="93"/>
      <c r="K1845" s="93"/>
      <c r="L1845" s="93"/>
      <c r="M1845" s="93"/>
      <c r="N1845" s="93"/>
      <c r="O1845" s="93"/>
      <c r="P1845" s="93"/>
      <c r="Q1845" s="93"/>
      <c r="R1845" s="93"/>
      <c r="S1845" s="93"/>
      <c r="T1845" s="93"/>
      <c r="U1845" s="93"/>
      <c r="V1845" s="93"/>
      <c r="W1845" s="93"/>
      <c r="X1845" s="93"/>
      <c r="Y1845" s="93"/>
      <c r="Z1845" s="93"/>
    </row>
    <row r="1846" customFormat="false" ht="16.4" hidden="false" customHeight="false" outlineLevel="0" collapsed="false">
      <c r="A1846" s="123" t="n">
        <v>45444</v>
      </c>
      <c r="B1846" s="31" t="s">
        <v>153</v>
      </c>
      <c r="C1846" s="129"/>
      <c r="D1846" s="129"/>
      <c r="E1846" s="19" t="n">
        <f aca="false">F1846*0.03</f>
        <v>0</v>
      </c>
      <c r="F1846" s="33" t="n">
        <v>0</v>
      </c>
      <c r="G1846" s="131"/>
      <c r="H1846" s="35" t="n">
        <v>0</v>
      </c>
      <c r="I1846" s="34" t="n">
        <f aca="false">+IF(E1846=0,0,E1846*0.03)</f>
        <v>0</v>
      </c>
      <c r="J1846" s="93"/>
      <c r="K1846" s="93"/>
      <c r="L1846" s="93"/>
      <c r="M1846" s="93"/>
      <c r="N1846" s="93"/>
      <c r="O1846" s="93"/>
      <c r="P1846" s="93"/>
      <c r="Q1846" s="93"/>
      <c r="R1846" s="93"/>
      <c r="S1846" s="93"/>
      <c r="T1846" s="93"/>
      <c r="U1846" s="93"/>
      <c r="V1846" s="93"/>
      <c r="W1846" s="93"/>
      <c r="X1846" s="93"/>
      <c r="Y1846" s="93"/>
      <c r="Z1846" s="93"/>
    </row>
    <row r="1847" customFormat="false" ht="16.4" hidden="false" customHeight="false" outlineLevel="0" collapsed="false">
      <c r="A1847" s="123" t="n">
        <v>45444</v>
      </c>
      <c r="B1847" s="31" t="s">
        <v>153</v>
      </c>
      <c r="C1847" s="129"/>
      <c r="D1847" s="129"/>
      <c r="E1847" s="19" t="n">
        <f aca="false">F1847*0.03</f>
        <v>0</v>
      </c>
      <c r="F1847" s="33" t="n">
        <v>0</v>
      </c>
      <c r="G1847" s="131"/>
      <c r="H1847" s="35" t="n">
        <v>0</v>
      </c>
      <c r="I1847" s="34" t="n">
        <f aca="false">+IF(E1847=0,0,E1847*0.03)</f>
        <v>0</v>
      </c>
      <c r="J1847" s="93"/>
      <c r="K1847" s="93"/>
      <c r="L1847" s="93"/>
      <c r="M1847" s="93"/>
      <c r="N1847" s="93"/>
      <c r="O1847" s="93"/>
      <c r="P1847" s="93"/>
      <c r="Q1847" s="93"/>
      <c r="R1847" s="93"/>
      <c r="S1847" s="93"/>
      <c r="T1847" s="93"/>
      <c r="U1847" s="93"/>
      <c r="V1847" s="93"/>
      <c r="W1847" s="93"/>
      <c r="X1847" s="93"/>
      <c r="Y1847" s="93"/>
      <c r="Z1847" s="93"/>
    </row>
    <row r="1848" customFormat="false" ht="16.4" hidden="false" customHeight="false" outlineLevel="0" collapsed="false">
      <c r="A1848" s="123" t="n">
        <v>45444</v>
      </c>
      <c r="B1848" s="31" t="s">
        <v>153</v>
      </c>
      <c r="C1848" s="129"/>
      <c r="D1848" s="129"/>
      <c r="E1848" s="19" t="n">
        <f aca="false">F1848*0.03</f>
        <v>0</v>
      </c>
      <c r="F1848" s="33" t="n">
        <v>0</v>
      </c>
      <c r="G1848" s="131"/>
      <c r="H1848" s="35" t="n">
        <v>0</v>
      </c>
      <c r="I1848" s="34" t="n">
        <f aca="false">+IF(E1848=0,0,E1848*0.03)</f>
        <v>0</v>
      </c>
      <c r="J1848" s="93"/>
      <c r="K1848" s="93"/>
      <c r="L1848" s="93"/>
      <c r="M1848" s="93"/>
      <c r="N1848" s="93"/>
      <c r="O1848" s="93"/>
      <c r="P1848" s="93"/>
      <c r="Q1848" s="93"/>
      <c r="R1848" s="93"/>
      <c r="S1848" s="93"/>
      <c r="T1848" s="93"/>
      <c r="U1848" s="93"/>
      <c r="V1848" s="93"/>
      <c r="W1848" s="93"/>
      <c r="X1848" s="93"/>
      <c r="Y1848" s="93"/>
      <c r="Z1848" s="93"/>
    </row>
    <row r="1849" customFormat="false" ht="16.4" hidden="false" customHeight="false" outlineLevel="0" collapsed="false">
      <c r="A1849" s="123" t="n">
        <v>45444</v>
      </c>
      <c r="B1849" s="31" t="s">
        <v>153</v>
      </c>
      <c r="C1849" s="129"/>
      <c r="D1849" s="129"/>
      <c r="E1849" s="19" t="n">
        <f aca="false">F1849*0.03</f>
        <v>0</v>
      </c>
      <c r="F1849" s="33" t="n">
        <v>0</v>
      </c>
      <c r="G1849" s="131"/>
      <c r="H1849" s="35" t="n">
        <v>0</v>
      </c>
      <c r="I1849" s="34" t="n">
        <f aca="false">+IF(E1849=0,0,E1849*0.03)</f>
        <v>0</v>
      </c>
      <c r="J1849" s="93"/>
      <c r="K1849" s="93"/>
      <c r="L1849" s="93"/>
      <c r="M1849" s="93"/>
      <c r="N1849" s="93"/>
      <c r="O1849" s="93"/>
      <c r="P1849" s="93"/>
      <c r="Q1849" s="93"/>
      <c r="R1849" s="93"/>
      <c r="S1849" s="93"/>
      <c r="T1849" s="93"/>
      <c r="U1849" s="93"/>
      <c r="V1849" s="93"/>
      <c r="W1849" s="93"/>
      <c r="X1849" s="93"/>
      <c r="Y1849" s="93"/>
      <c r="Z1849" s="93"/>
    </row>
    <row r="1850" customFormat="false" ht="16.4" hidden="false" customHeight="false" outlineLevel="0" collapsed="false">
      <c r="A1850" s="123" t="n">
        <v>45444</v>
      </c>
      <c r="B1850" s="31" t="s">
        <v>153</v>
      </c>
      <c r="C1850" s="129"/>
      <c r="D1850" s="129"/>
      <c r="E1850" s="19" t="n">
        <f aca="false">F1850*0.03</f>
        <v>0</v>
      </c>
      <c r="F1850" s="33" t="n">
        <v>0</v>
      </c>
      <c r="G1850" s="131"/>
      <c r="H1850" s="35" t="n">
        <v>0</v>
      </c>
      <c r="I1850" s="34" t="n">
        <f aca="false">+IF(E1850=0,0,E1850*0.03)</f>
        <v>0</v>
      </c>
      <c r="J1850" s="93"/>
      <c r="K1850" s="93"/>
      <c r="L1850" s="93"/>
      <c r="M1850" s="93"/>
      <c r="N1850" s="93"/>
      <c r="O1850" s="93"/>
      <c r="P1850" s="93"/>
      <c r="Q1850" s="93"/>
      <c r="R1850" s="93"/>
      <c r="S1850" s="93"/>
      <c r="T1850" s="93"/>
      <c r="U1850" s="93"/>
      <c r="V1850" s="93"/>
      <c r="W1850" s="93"/>
      <c r="X1850" s="93"/>
      <c r="Y1850" s="93"/>
      <c r="Z1850" s="93"/>
    </row>
    <row r="1851" customFormat="false" ht="16.4" hidden="false" customHeight="false" outlineLevel="0" collapsed="false">
      <c r="A1851" s="123" t="n">
        <v>45444</v>
      </c>
      <c r="B1851" s="31" t="s">
        <v>153</v>
      </c>
      <c r="C1851" s="129"/>
      <c r="D1851" s="129"/>
      <c r="E1851" s="19" t="n">
        <f aca="false">F1851*0.03</f>
        <v>0</v>
      </c>
      <c r="F1851" s="33" t="n">
        <v>0</v>
      </c>
      <c r="G1851" s="131"/>
      <c r="H1851" s="35" t="n">
        <v>0</v>
      </c>
      <c r="I1851" s="34" t="n">
        <f aca="false">+IF(E1851=0,0,E1851*0.03)</f>
        <v>0</v>
      </c>
      <c r="J1851" s="93"/>
      <c r="K1851" s="93"/>
      <c r="L1851" s="93"/>
      <c r="M1851" s="93"/>
      <c r="N1851" s="93"/>
      <c r="O1851" s="93"/>
      <c r="P1851" s="93"/>
      <c r="Q1851" s="93"/>
      <c r="R1851" s="93"/>
      <c r="S1851" s="93"/>
      <c r="T1851" s="93"/>
      <c r="U1851" s="93"/>
      <c r="V1851" s="93"/>
      <c r="W1851" s="93"/>
      <c r="X1851" s="93"/>
      <c r="Y1851" s="93"/>
      <c r="Z1851" s="93"/>
    </row>
    <row r="1852" customFormat="false" ht="16.4" hidden="false" customHeight="false" outlineLevel="0" collapsed="false">
      <c r="A1852" s="123" t="n">
        <v>45444</v>
      </c>
      <c r="B1852" s="31" t="s">
        <v>153</v>
      </c>
      <c r="C1852" s="129"/>
      <c r="D1852" s="129"/>
      <c r="E1852" s="19" t="n">
        <f aca="false">F1852*0.03</f>
        <v>0</v>
      </c>
      <c r="F1852" s="33" t="n">
        <v>0</v>
      </c>
      <c r="G1852" s="131"/>
      <c r="H1852" s="35" t="n">
        <v>0</v>
      </c>
      <c r="I1852" s="34" t="n">
        <f aca="false">+IF(E1852=0,0,E1852*0.03)</f>
        <v>0</v>
      </c>
      <c r="J1852" s="93"/>
      <c r="K1852" s="93"/>
      <c r="L1852" s="93"/>
      <c r="M1852" s="93"/>
      <c r="N1852" s="93"/>
      <c r="O1852" s="93"/>
      <c r="P1852" s="93"/>
      <c r="Q1852" s="93"/>
      <c r="R1852" s="93"/>
      <c r="S1852" s="93"/>
      <c r="T1852" s="93"/>
      <c r="U1852" s="93"/>
      <c r="V1852" s="93"/>
      <c r="W1852" s="93"/>
      <c r="X1852" s="93"/>
      <c r="Y1852" s="93"/>
      <c r="Z1852" s="93"/>
    </row>
    <row r="1853" customFormat="false" ht="16.4" hidden="false" customHeight="false" outlineLevel="0" collapsed="false">
      <c r="A1853" s="123" t="n">
        <v>45444</v>
      </c>
      <c r="B1853" s="31" t="s">
        <v>153</v>
      </c>
      <c r="C1853" s="129"/>
      <c r="D1853" s="129"/>
      <c r="E1853" s="19" t="n">
        <f aca="false">F1853*0.03</f>
        <v>0</v>
      </c>
      <c r="F1853" s="33" t="n">
        <v>0</v>
      </c>
      <c r="G1853" s="131"/>
      <c r="H1853" s="35" t="n">
        <v>0</v>
      </c>
      <c r="I1853" s="34" t="n">
        <f aca="false">+IF(E1853=0,0,E1853*0.03)</f>
        <v>0</v>
      </c>
      <c r="J1853" s="93"/>
      <c r="K1853" s="93"/>
      <c r="L1853" s="93"/>
      <c r="M1853" s="93"/>
      <c r="N1853" s="93"/>
      <c r="O1853" s="93"/>
      <c r="P1853" s="93"/>
      <c r="Q1853" s="93"/>
      <c r="R1853" s="93"/>
      <c r="S1853" s="93"/>
      <c r="T1853" s="93"/>
      <c r="U1853" s="93"/>
      <c r="V1853" s="93"/>
      <c r="W1853" s="93"/>
      <c r="X1853" s="93"/>
      <c r="Y1853" s="93"/>
      <c r="Z1853" s="93"/>
    </row>
    <row r="1854" customFormat="false" ht="16.4" hidden="false" customHeight="false" outlineLevel="0" collapsed="false">
      <c r="A1854" s="123" t="n">
        <v>45444</v>
      </c>
      <c r="B1854" s="31" t="s">
        <v>153</v>
      </c>
      <c r="C1854" s="129"/>
      <c r="D1854" s="129"/>
      <c r="E1854" s="19" t="n">
        <f aca="false">F1854*0.03</f>
        <v>0</v>
      </c>
      <c r="F1854" s="33" t="n">
        <v>0</v>
      </c>
      <c r="G1854" s="131"/>
      <c r="H1854" s="35" t="n">
        <v>0</v>
      </c>
      <c r="I1854" s="34" t="n">
        <f aca="false">+IF(E1854=0,0,E1854*0.03)</f>
        <v>0</v>
      </c>
      <c r="J1854" s="93"/>
      <c r="K1854" s="93"/>
      <c r="L1854" s="93"/>
      <c r="M1854" s="93"/>
      <c r="N1854" s="93"/>
      <c r="O1854" s="93"/>
      <c r="P1854" s="93"/>
      <c r="Q1854" s="93"/>
      <c r="R1854" s="93"/>
      <c r="S1854" s="93"/>
      <c r="T1854" s="93"/>
      <c r="U1854" s="93"/>
      <c r="V1854" s="93"/>
      <c r="W1854" s="93"/>
      <c r="X1854" s="93"/>
      <c r="Y1854" s="93"/>
      <c r="Z1854" s="93"/>
    </row>
    <row r="1855" customFormat="false" ht="16.4" hidden="false" customHeight="false" outlineLevel="0" collapsed="false">
      <c r="A1855" s="123" t="n">
        <v>45444</v>
      </c>
      <c r="B1855" s="31" t="s">
        <v>153</v>
      </c>
      <c r="C1855" s="129"/>
      <c r="D1855" s="129"/>
      <c r="E1855" s="19" t="n">
        <f aca="false">F1855*0.03</f>
        <v>0</v>
      </c>
      <c r="F1855" s="33" t="n">
        <v>0</v>
      </c>
      <c r="G1855" s="131"/>
      <c r="H1855" s="35" t="n">
        <v>0</v>
      </c>
      <c r="I1855" s="34" t="n">
        <f aca="false">+IF(E1855=0,0,E1855*0.03)</f>
        <v>0</v>
      </c>
      <c r="J1855" s="93"/>
      <c r="K1855" s="93"/>
      <c r="L1855" s="93"/>
      <c r="M1855" s="93"/>
      <c r="N1855" s="93"/>
      <c r="O1855" s="93"/>
      <c r="P1855" s="93"/>
      <c r="Q1855" s="93"/>
      <c r="R1855" s="93"/>
      <c r="S1855" s="93"/>
      <c r="T1855" s="93"/>
      <c r="U1855" s="93"/>
      <c r="V1855" s="93"/>
      <c r="W1855" s="93"/>
      <c r="X1855" s="93"/>
      <c r="Y1855" s="93"/>
      <c r="Z1855" s="93"/>
    </row>
    <row r="1856" customFormat="false" ht="16.4" hidden="false" customHeight="false" outlineLevel="0" collapsed="false">
      <c r="A1856" s="123" t="n">
        <v>45444</v>
      </c>
      <c r="B1856" s="31" t="s">
        <v>153</v>
      </c>
      <c r="C1856" s="129"/>
      <c r="D1856" s="129"/>
      <c r="E1856" s="19" t="n">
        <f aca="false">F1856*0.03</f>
        <v>0</v>
      </c>
      <c r="F1856" s="33" t="n">
        <v>0</v>
      </c>
      <c r="G1856" s="131"/>
      <c r="H1856" s="35" t="n">
        <v>0</v>
      </c>
      <c r="I1856" s="34" t="n">
        <f aca="false">+IF(E1856=0,0,E1856*0.03)</f>
        <v>0</v>
      </c>
      <c r="J1856" s="93"/>
      <c r="K1856" s="93"/>
      <c r="L1856" s="93"/>
      <c r="M1856" s="93"/>
      <c r="N1856" s="93"/>
      <c r="O1856" s="93"/>
      <c r="P1856" s="93"/>
      <c r="Q1856" s="93"/>
      <c r="R1856" s="93"/>
      <c r="S1856" s="93"/>
      <c r="T1856" s="93"/>
      <c r="U1856" s="93"/>
      <c r="V1856" s="93"/>
      <c r="W1856" s="93"/>
      <c r="X1856" s="93"/>
      <c r="Y1856" s="93"/>
      <c r="Z1856" s="93"/>
    </row>
    <row r="1857" customFormat="false" ht="16.4" hidden="false" customHeight="false" outlineLevel="0" collapsed="false">
      <c r="A1857" s="123" t="n">
        <v>45444</v>
      </c>
      <c r="B1857" s="31" t="s">
        <v>153</v>
      </c>
      <c r="C1857" s="129"/>
      <c r="D1857" s="129"/>
      <c r="E1857" s="19" t="n">
        <f aca="false">F1857*0.03</f>
        <v>0</v>
      </c>
      <c r="F1857" s="33" t="n">
        <v>0</v>
      </c>
      <c r="G1857" s="131"/>
      <c r="H1857" s="35" t="n">
        <v>0</v>
      </c>
      <c r="I1857" s="34" t="n">
        <f aca="false">+IF(E1857=0,0,E1857*0.03)</f>
        <v>0</v>
      </c>
      <c r="J1857" s="93"/>
      <c r="K1857" s="93"/>
      <c r="L1857" s="93"/>
      <c r="M1857" s="93"/>
      <c r="N1857" s="93"/>
      <c r="O1857" s="93"/>
      <c r="P1857" s="93"/>
      <c r="Q1857" s="93"/>
      <c r="R1857" s="93"/>
      <c r="S1857" s="93"/>
      <c r="T1857" s="93"/>
      <c r="U1857" s="93"/>
      <c r="V1857" s="93"/>
      <c r="W1857" s="93"/>
      <c r="X1857" s="93"/>
      <c r="Y1857" s="93"/>
      <c r="Z1857" s="93"/>
    </row>
    <row r="1858" customFormat="false" ht="16.4" hidden="false" customHeight="false" outlineLevel="0" collapsed="false">
      <c r="A1858" s="123" t="n">
        <v>45444</v>
      </c>
      <c r="B1858" s="31" t="s">
        <v>153</v>
      </c>
      <c r="C1858" s="129"/>
      <c r="D1858" s="129"/>
      <c r="E1858" s="19" t="n">
        <f aca="false">F1858*0.03</f>
        <v>0</v>
      </c>
      <c r="F1858" s="33" t="n">
        <v>0</v>
      </c>
      <c r="G1858" s="131"/>
      <c r="H1858" s="35" t="n">
        <v>0</v>
      </c>
      <c r="I1858" s="34" t="n">
        <f aca="false">+IF(E1858=0,0,E1858*0.03)</f>
        <v>0</v>
      </c>
      <c r="J1858" s="93"/>
      <c r="K1858" s="93"/>
      <c r="L1858" s="93"/>
      <c r="M1858" s="93"/>
      <c r="N1858" s="93"/>
      <c r="O1858" s="93"/>
      <c r="P1858" s="93"/>
      <c r="Q1858" s="93"/>
      <c r="R1858" s="93"/>
      <c r="S1858" s="93"/>
      <c r="T1858" s="93"/>
      <c r="U1858" s="93"/>
      <c r="V1858" s="93"/>
      <c r="W1858" s="93"/>
      <c r="X1858" s="93"/>
      <c r="Y1858" s="93"/>
      <c r="Z1858" s="93"/>
    </row>
    <row r="1859" customFormat="false" ht="16.4" hidden="false" customHeight="false" outlineLevel="0" collapsed="false">
      <c r="A1859" s="123" t="n">
        <v>45444</v>
      </c>
      <c r="B1859" s="31" t="s">
        <v>153</v>
      </c>
      <c r="C1859" s="129"/>
      <c r="D1859" s="129"/>
      <c r="E1859" s="19" t="n">
        <f aca="false">F1859*0.03</f>
        <v>0</v>
      </c>
      <c r="F1859" s="33" t="n">
        <v>0</v>
      </c>
      <c r="G1859" s="131"/>
      <c r="H1859" s="35" t="n">
        <v>0</v>
      </c>
      <c r="I1859" s="34" t="n">
        <f aca="false">+IF(E1859=0,0,E1859*0.03)</f>
        <v>0</v>
      </c>
      <c r="J1859" s="93"/>
      <c r="K1859" s="93"/>
      <c r="L1859" s="93"/>
      <c r="M1859" s="93"/>
      <c r="N1859" s="93"/>
      <c r="O1859" s="93"/>
      <c r="P1859" s="93"/>
      <c r="Q1859" s="93"/>
      <c r="R1859" s="93"/>
      <c r="S1859" s="93"/>
      <c r="T1859" s="93"/>
      <c r="U1859" s="93"/>
      <c r="V1859" s="93"/>
      <c r="W1859" s="93"/>
      <c r="X1859" s="93"/>
      <c r="Y1859" s="93"/>
      <c r="Z1859" s="93"/>
    </row>
    <row r="1860" customFormat="false" ht="16.4" hidden="false" customHeight="false" outlineLevel="0" collapsed="false">
      <c r="A1860" s="123" t="n">
        <v>45444</v>
      </c>
      <c r="B1860" s="31" t="s">
        <v>153</v>
      </c>
      <c r="C1860" s="129"/>
      <c r="D1860" s="129"/>
      <c r="E1860" s="19" t="n">
        <f aca="false">F1860*0.03</f>
        <v>0</v>
      </c>
      <c r="F1860" s="33" t="n">
        <v>0</v>
      </c>
      <c r="G1860" s="131"/>
      <c r="H1860" s="35" t="n">
        <v>0</v>
      </c>
      <c r="I1860" s="34" t="n">
        <f aca="false">+IF(E1860=0,0,E1860*0.03)</f>
        <v>0</v>
      </c>
      <c r="J1860" s="93"/>
      <c r="K1860" s="93"/>
      <c r="L1860" s="93"/>
      <c r="M1860" s="93"/>
      <c r="N1860" s="93"/>
      <c r="O1860" s="93"/>
      <c r="P1860" s="93"/>
      <c r="Q1860" s="93"/>
      <c r="R1860" s="93"/>
      <c r="S1860" s="93"/>
      <c r="T1860" s="93"/>
      <c r="U1860" s="93"/>
      <c r="V1860" s="93"/>
      <c r="W1860" s="93"/>
      <c r="X1860" s="93"/>
      <c r="Y1860" s="93"/>
      <c r="Z1860" s="93"/>
    </row>
    <row r="1861" customFormat="false" ht="16.4" hidden="false" customHeight="false" outlineLevel="0" collapsed="false">
      <c r="A1861" s="123" t="n">
        <v>45444</v>
      </c>
      <c r="B1861" s="31" t="s">
        <v>153</v>
      </c>
      <c r="C1861" s="129"/>
      <c r="D1861" s="129"/>
      <c r="E1861" s="19" t="n">
        <f aca="false">F1861*0.03</f>
        <v>0</v>
      </c>
      <c r="F1861" s="33" t="n">
        <v>0</v>
      </c>
      <c r="G1861" s="131"/>
      <c r="H1861" s="35" t="n">
        <v>0</v>
      </c>
      <c r="I1861" s="34" t="n">
        <f aca="false">+IF(E1861=0,0,E1861*0.03)</f>
        <v>0</v>
      </c>
      <c r="J1861" s="93"/>
      <c r="K1861" s="93"/>
      <c r="L1861" s="93"/>
      <c r="M1861" s="93"/>
      <c r="N1861" s="93"/>
      <c r="O1861" s="93"/>
      <c r="P1861" s="93"/>
      <c r="Q1861" s="93"/>
      <c r="R1861" s="93"/>
      <c r="S1861" s="93"/>
      <c r="T1861" s="93"/>
      <c r="U1861" s="93"/>
      <c r="V1861" s="93"/>
      <c r="W1861" s="93"/>
      <c r="X1861" s="93"/>
      <c r="Y1861" s="93"/>
      <c r="Z1861" s="93"/>
    </row>
    <row r="1862" customFormat="false" ht="16.4" hidden="false" customHeight="false" outlineLevel="0" collapsed="false">
      <c r="A1862" s="123" t="n">
        <v>45444</v>
      </c>
      <c r="B1862" s="31" t="s">
        <v>153</v>
      </c>
      <c r="C1862" s="129"/>
      <c r="D1862" s="129"/>
      <c r="E1862" s="19" t="n">
        <f aca="false">F1862*0.03</f>
        <v>0</v>
      </c>
      <c r="F1862" s="33" t="n">
        <v>0</v>
      </c>
      <c r="G1862" s="131"/>
      <c r="H1862" s="35" t="n">
        <v>0</v>
      </c>
      <c r="I1862" s="34" t="n">
        <f aca="false">+IF(E1862=0,0,E1862*0.03)</f>
        <v>0</v>
      </c>
      <c r="J1862" s="93"/>
      <c r="K1862" s="93"/>
      <c r="L1862" s="93"/>
      <c r="M1862" s="93"/>
      <c r="N1862" s="93"/>
      <c r="O1862" s="93"/>
      <c r="P1862" s="93"/>
      <c r="Q1862" s="93"/>
      <c r="R1862" s="93"/>
      <c r="S1862" s="93"/>
      <c r="T1862" s="93"/>
      <c r="U1862" s="93"/>
      <c r="V1862" s="93"/>
      <c r="W1862" s="93"/>
      <c r="X1862" s="93"/>
      <c r="Y1862" s="93"/>
      <c r="Z1862" s="93"/>
    </row>
    <row r="1863" customFormat="false" ht="16.4" hidden="false" customHeight="false" outlineLevel="0" collapsed="false">
      <c r="A1863" s="123" t="n">
        <v>45444</v>
      </c>
      <c r="B1863" s="31" t="s">
        <v>153</v>
      </c>
      <c r="C1863" s="129"/>
      <c r="D1863" s="129"/>
      <c r="E1863" s="19" t="n">
        <f aca="false">F1863*0.03</f>
        <v>0</v>
      </c>
      <c r="F1863" s="33" t="n">
        <v>0</v>
      </c>
      <c r="G1863" s="131"/>
      <c r="H1863" s="35" t="n">
        <v>0</v>
      </c>
      <c r="I1863" s="34" t="n">
        <f aca="false">+IF(E1863=0,0,E1863*0.03)</f>
        <v>0</v>
      </c>
      <c r="J1863" s="93"/>
      <c r="K1863" s="93"/>
      <c r="L1863" s="93"/>
      <c r="M1863" s="93"/>
      <c r="N1863" s="93"/>
      <c r="O1863" s="93"/>
      <c r="P1863" s="93"/>
      <c r="Q1863" s="93"/>
      <c r="R1863" s="93"/>
      <c r="S1863" s="93"/>
      <c r="T1863" s="93"/>
      <c r="U1863" s="93"/>
      <c r="V1863" s="93"/>
      <c r="W1863" s="93"/>
      <c r="X1863" s="93"/>
      <c r="Y1863" s="93"/>
      <c r="Z1863" s="93"/>
    </row>
    <row r="1864" customFormat="false" ht="16.4" hidden="false" customHeight="false" outlineLevel="0" collapsed="false">
      <c r="A1864" s="123" t="n">
        <v>45444</v>
      </c>
      <c r="B1864" s="31" t="s">
        <v>153</v>
      </c>
      <c r="C1864" s="129"/>
      <c r="D1864" s="129"/>
      <c r="E1864" s="19" t="n">
        <f aca="false">F1864*0.03</f>
        <v>0</v>
      </c>
      <c r="F1864" s="33" t="n">
        <v>0</v>
      </c>
      <c r="G1864" s="131"/>
      <c r="H1864" s="35" t="n">
        <v>0</v>
      </c>
      <c r="I1864" s="34" t="n">
        <f aca="false">+IF(E1864=0,0,E1864*0.03)</f>
        <v>0</v>
      </c>
      <c r="J1864" s="93"/>
      <c r="K1864" s="93"/>
      <c r="L1864" s="93"/>
      <c r="M1864" s="93"/>
      <c r="N1864" s="93"/>
      <c r="O1864" s="93"/>
      <c r="P1864" s="93"/>
      <c r="Q1864" s="93"/>
      <c r="R1864" s="93"/>
      <c r="S1864" s="93"/>
      <c r="T1864" s="93"/>
      <c r="U1864" s="93"/>
      <c r="V1864" s="93"/>
      <c r="W1864" s="93"/>
      <c r="X1864" s="93"/>
      <c r="Y1864" s="93"/>
      <c r="Z1864" s="93"/>
    </row>
    <row r="1865" customFormat="false" ht="16.4" hidden="false" customHeight="false" outlineLevel="0" collapsed="false">
      <c r="A1865" s="123" t="n">
        <v>45444</v>
      </c>
      <c r="B1865" s="31" t="s">
        <v>153</v>
      </c>
      <c r="C1865" s="129"/>
      <c r="D1865" s="129"/>
      <c r="E1865" s="19" t="n">
        <f aca="false">F1865*0.03</f>
        <v>0</v>
      </c>
      <c r="F1865" s="33" t="n">
        <v>0</v>
      </c>
      <c r="G1865" s="131"/>
      <c r="H1865" s="35" t="n">
        <v>0</v>
      </c>
      <c r="I1865" s="34" t="n">
        <f aca="false">+IF(E1865=0,0,E1865*0.03)</f>
        <v>0</v>
      </c>
      <c r="J1865" s="93"/>
      <c r="K1865" s="93"/>
      <c r="L1865" s="93"/>
      <c r="M1865" s="93"/>
      <c r="N1865" s="93"/>
      <c r="O1865" s="93"/>
      <c r="P1865" s="93"/>
      <c r="Q1865" s="93"/>
      <c r="R1865" s="93"/>
      <c r="S1865" s="93"/>
      <c r="T1865" s="93"/>
      <c r="U1865" s="93"/>
      <c r="V1865" s="93"/>
      <c r="W1865" s="93"/>
      <c r="X1865" s="93"/>
      <c r="Y1865" s="93"/>
      <c r="Z1865" s="93"/>
    </row>
    <row r="1866" customFormat="false" ht="16.4" hidden="false" customHeight="false" outlineLevel="0" collapsed="false">
      <c r="A1866" s="123" t="n">
        <v>45444</v>
      </c>
      <c r="B1866" s="31" t="s">
        <v>153</v>
      </c>
      <c r="C1866" s="129"/>
      <c r="D1866" s="129"/>
      <c r="E1866" s="19" t="n">
        <f aca="false">F1866*0.03</f>
        <v>0</v>
      </c>
      <c r="F1866" s="33" t="n">
        <v>0</v>
      </c>
      <c r="G1866" s="131"/>
      <c r="H1866" s="35" t="n">
        <v>0</v>
      </c>
      <c r="I1866" s="34" t="n">
        <f aca="false">+IF(E1866=0,0,E1866*0.03)</f>
        <v>0</v>
      </c>
      <c r="J1866" s="93"/>
      <c r="K1866" s="93"/>
      <c r="L1866" s="93"/>
      <c r="M1866" s="93"/>
      <c r="N1866" s="93"/>
      <c r="O1866" s="93"/>
      <c r="P1866" s="93"/>
      <c r="Q1866" s="93"/>
      <c r="R1866" s="93"/>
      <c r="S1866" s="93"/>
      <c r="T1866" s="93"/>
      <c r="U1866" s="93"/>
      <c r="V1866" s="93"/>
      <c r="W1866" s="93"/>
      <c r="X1866" s="93"/>
      <c r="Y1866" s="93"/>
      <c r="Z1866" s="93"/>
    </row>
    <row r="1867" customFormat="false" ht="16.4" hidden="false" customHeight="false" outlineLevel="0" collapsed="false">
      <c r="A1867" s="123" t="n">
        <v>45444</v>
      </c>
      <c r="B1867" s="31" t="s">
        <v>153</v>
      </c>
      <c r="C1867" s="129"/>
      <c r="D1867" s="129"/>
      <c r="E1867" s="19" t="n">
        <f aca="false">F1867*0.03</f>
        <v>0</v>
      </c>
      <c r="F1867" s="33" t="n">
        <v>0</v>
      </c>
      <c r="G1867" s="131"/>
      <c r="H1867" s="35" t="n">
        <v>0</v>
      </c>
      <c r="I1867" s="34" t="n">
        <f aca="false">+IF(E1867=0,0,E1867*0.03)</f>
        <v>0</v>
      </c>
      <c r="J1867" s="93"/>
      <c r="K1867" s="93"/>
      <c r="L1867" s="93"/>
      <c r="M1867" s="93"/>
      <c r="N1867" s="93"/>
      <c r="O1867" s="93"/>
      <c r="P1867" s="93"/>
      <c r="Q1867" s="93"/>
      <c r="R1867" s="93"/>
      <c r="S1867" s="93"/>
      <c r="T1867" s="93"/>
      <c r="U1867" s="93"/>
      <c r="V1867" s="93"/>
      <c r="W1867" s="93"/>
      <c r="X1867" s="93"/>
      <c r="Y1867" s="93"/>
      <c r="Z1867" s="93"/>
    </row>
    <row r="1868" customFormat="false" ht="16.4" hidden="false" customHeight="false" outlineLevel="0" collapsed="false">
      <c r="A1868" s="123" t="n">
        <v>45444</v>
      </c>
      <c r="B1868" s="31" t="s">
        <v>153</v>
      </c>
      <c r="C1868" s="129"/>
      <c r="D1868" s="129"/>
      <c r="E1868" s="19" t="n">
        <f aca="false">F1868*0.03</f>
        <v>0</v>
      </c>
      <c r="F1868" s="33" t="n">
        <v>0</v>
      </c>
      <c r="G1868" s="131"/>
      <c r="H1868" s="35" t="n">
        <v>0</v>
      </c>
      <c r="I1868" s="34" t="n">
        <f aca="false">+IF(E1868=0,0,E1868*0.03)</f>
        <v>0</v>
      </c>
      <c r="J1868" s="93"/>
      <c r="K1868" s="93"/>
      <c r="L1868" s="93"/>
      <c r="M1868" s="93"/>
      <c r="N1868" s="93"/>
      <c r="O1868" s="93"/>
      <c r="P1868" s="93"/>
      <c r="Q1868" s="93"/>
      <c r="R1868" s="93"/>
      <c r="S1868" s="93"/>
      <c r="T1868" s="93"/>
      <c r="U1868" s="93"/>
      <c r="V1868" s="93"/>
      <c r="W1868" s="93"/>
      <c r="X1868" s="93"/>
      <c r="Y1868" s="93"/>
      <c r="Z1868" s="93"/>
    </row>
    <row r="1869" customFormat="false" ht="16.4" hidden="false" customHeight="false" outlineLevel="0" collapsed="false">
      <c r="A1869" s="123" t="n">
        <v>45444</v>
      </c>
      <c r="B1869" s="31" t="s">
        <v>153</v>
      </c>
      <c r="C1869" s="129"/>
      <c r="D1869" s="129"/>
      <c r="E1869" s="19" t="n">
        <f aca="false">F1869*0.03</f>
        <v>0</v>
      </c>
      <c r="F1869" s="33" t="n">
        <v>0</v>
      </c>
      <c r="G1869" s="131"/>
      <c r="H1869" s="35" t="n">
        <v>0</v>
      </c>
      <c r="I1869" s="34" t="n">
        <f aca="false">+IF(E1869=0,0,E1869*0.03)</f>
        <v>0</v>
      </c>
      <c r="J1869" s="93"/>
      <c r="K1869" s="93"/>
      <c r="L1869" s="93"/>
      <c r="M1869" s="93"/>
      <c r="N1869" s="93"/>
      <c r="O1869" s="93"/>
      <c r="P1869" s="93"/>
      <c r="Q1869" s="93"/>
      <c r="R1869" s="93"/>
      <c r="S1869" s="93"/>
      <c r="T1869" s="93"/>
      <c r="U1869" s="93"/>
      <c r="V1869" s="93"/>
      <c r="W1869" s="93"/>
      <c r="X1869" s="93"/>
      <c r="Y1869" s="93"/>
      <c r="Z1869" s="93"/>
    </row>
    <row r="1870" customFormat="false" ht="16.4" hidden="false" customHeight="false" outlineLevel="0" collapsed="false">
      <c r="A1870" s="123" t="n">
        <v>45444</v>
      </c>
      <c r="B1870" s="31" t="s">
        <v>153</v>
      </c>
      <c r="C1870" s="129"/>
      <c r="D1870" s="129"/>
      <c r="E1870" s="19" t="n">
        <f aca="false">F1870*0.03</f>
        <v>0</v>
      </c>
      <c r="F1870" s="33" t="n">
        <v>0</v>
      </c>
      <c r="G1870" s="131"/>
      <c r="H1870" s="35" t="n">
        <v>0</v>
      </c>
      <c r="I1870" s="34" t="n">
        <f aca="false">+IF(E1870=0,0,E1870*0.03)</f>
        <v>0</v>
      </c>
      <c r="J1870" s="93"/>
      <c r="K1870" s="93"/>
      <c r="L1870" s="93"/>
      <c r="M1870" s="93"/>
      <c r="N1870" s="93"/>
      <c r="O1870" s="93"/>
      <c r="P1870" s="93"/>
      <c r="Q1870" s="93"/>
      <c r="R1870" s="93"/>
      <c r="S1870" s="93"/>
      <c r="T1870" s="93"/>
      <c r="U1870" s="93"/>
      <c r="V1870" s="93"/>
      <c r="W1870" s="93"/>
      <c r="X1870" s="93"/>
      <c r="Y1870" s="93"/>
      <c r="Z1870" s="93"/>
    </row>
    <row r="1871" customFormat="false" ht="16.4" hidden="false" customHeight="false" outlineLevel="0" collapsed="false">
      <c r="A1871" s="123" t="n">
        <v>45444</v>
      </c>
      <c r="B1871" s="31" t="s">
        <v>153</v>
      </c>
      <c r="C1871" s="129"/>
      <c r="D1871" s="129"/>
      <c r="E1871" s="19" t="n">
        <f aca="false">F1871*0.03</f>
        <v>0</v>
      </c>
      <c r="F1871" s="33" t="n">
        <v>0</v>
      </c>
      <c r="G1871" s="131"/>
      <c r="H1871" s="35" t="n">
        <v>0</v>
      </c>
      <c r="I1871" s="34" t="n">
        <f aca="false">+IF(E1871=0,0,E1871*0.03)</f>
        <v>0</v>
      </c>
      <c r="J1871" s="93"/>
      <c r="K1871" s="93"/>
      <c r="L1871" s="93"/>
      <c r="M1871" s="93"/>
      <c r="N1871" s="93"/>
      <c r="O1871" s="93"/>
      <c r="P1871" s="93"/>
      <c r="Q1871" s="93"/>
      <c r="R1871" s="93"/>
      <c r="S1871" s="93"/>
      <c r="T1871" s="93"/>
      <c r="U1871" s="93"/>
      <c r="V1871" s="93"/>
      <c r="W1871" s="93"/>
      <c r="X1871" s="93"/>
      <c r="Y1871" s="93"/>
      <c r="Z1871" s="93"/>
    </row>
    <row r="1872" customFormat="false" ht="16.4" hidden="false" customHeight="false" outlineLevel="0" collapsed="false">
      <c r="A1872" s="123" t="n">
        <v>45444</v>
      </c>
      <c r="B1872" s="31" t="s">
        <v>153</v>
      </c>
      <c r="C1872" s="129"/>
      <c r="D1872" s="129"/>
      <c r="E1872" s="19" t="n">
        <f aca="false">F1872*0.03</f>
        <v>0</v>
      </c>
      <c r="F1872" s="33" t="n">
        <v>0</v>
      </c>
      <c r="G1872" s="131"/>
      <c r="H1872" s="35" t="n">
        <v>0</v>
      </c>
      <c r="I1872" s="34" t="n">
        <f aca="false">+IF(E1872=0,0,E1872*0.03)</f>
        <v>0</v>
      </c>
      <c r="J1872" s="93"/>
      <c r="K1872" s="93"/>
      <c r="L1872" s="93"/>
      <c r="M1872" s="93"/>
      <c r="N1872" s="93"/>
      <c r="O1872" s="93"/>
      <c r="P1872" s="93"/>
      <c r="Q1872" s="93"/>
      <c r="R1872" s="93"/>
      <c r="S1872" s="93"/>
      <c r="T1872" s="93"/>
      <c r="U1872" s="93"/>
      <c r="V1872" s="93"/>
      <c r="W1872" s="93"/>
      <c r="X1872" s="93"/>
      <c r="Y1872" s="93"/>
      <c r="Z1872" s="93"/>
    </row>
    <row r="1873" customFormat="false" ht="16.4" hidden="false" customHeight="false" outlineLevel="0" collapsed="false">
      <c r="A1873" s="123" t="n">
        <v>45444</v>
      </c>
      <c r="B1873" s="31" t="s">
        <v>153</v>
      </c>
      <c r="C1873" s="129"/>
      <c r="D1873" s="129"/>
      <c r="E1873" s="19" t="n">
        <f aca="false">F1873*0.03</f>
        <v>0</v>
      </c>
      <c r="F1873" s="33" t="n">
        <v>0</v>
      </c>
      <c r="G1873" s="131"/>
      <c r="H1873" s="35" t="n">
        <v>0</v>
      </c>
      <c r="I1873" s="34" t="n">
        <f aca="false">+IF(E1873=0,0,E1873*0.03)</f>
        <v>0</v>
      </c>
      <c r="J1873" s="93"/>
      <c r="K1873" s="93"/>
      <c r="L1873" s="93"/>
      <c r="M1873" s="93"/>
      <c r="N1873" s="93"/>
      <c r="O1873" s="93"/>
      <c r="P1873" s="93"/>
      <c r="Q1873" s="93"/>
      <c r="R1873" s="93"/>
      <c r="S1873" s="93"/>
      <c r="T1873" s="93"/>
      <c r="U1873" s="93"/>
      <c r="V1873" s="93"/>
      <c r="W1873" s="93"/>
      <c r="X1873" s="93"/>
      <c r="Y1873" s="93"/>
      <c r="Z1873" s="93"/>
    </row>
    <row r="1874" customFormat="false" ht="16.4" hidden="false" customHeight="false" outlineLevel="0" collapsed="false">
      <c r="A1874" s="123" t="n">
        <v>45444</v>
      </c>
      <c r="B1874" s="31" t="s">
        <v>153</v>
      </c>
      <c r="C1874" s="129"/>
      <c r="D1874" s="129"/>
      <c r="E1874" s="19" t="n">
        <f aca="false">F1874*0.03</f>
        <v>0</v>
      </c>
      <c r="F1874" s="33" t="n">
        <v>0</v>
      </c>
      <c r="G1874" s="131"/>
      <c r="H1874" s="35" t="n">
        <v>0</v>
      </c>
      <c r="I1874" s="34" t="n">
        <f aca="false">+IF(E1874=0,0,E1874*0.03)</f>
        <v>0</v>
      </c>
      <c r="J1874" s="93"/>
      <c r="K1874" s="93"/>
      <c r="L1874" s="93"/>
      <c r="M1874" s="93"/>
      <c r="N1874" s="93"/>
      <c r="O1874" s="93"/>
      <c r="P1874" s="93"/>
      <c r="Q1874" s="93"/>
      <c r="R1874" s="93"/>
      <c r="S1874" s="93"/>
      <c r="T1874" s="93"/>
      <c r="U1874" s="93"/>
      <c r="V1874" s="93"/>
      <c r="W1874" s="93"/>
      <c r="X1874" s="93"/>
      <c r="Y1874" s="93"/>
      <c r="Z1874" s="93"/>
    </row>
    <row r="1875" customFormat="false" ht="16.4" hidden="false" customHeight="false" outlineLevel="0" collapsed="false">
      <c r="A1875" s="123" t="n">
        <v>45444</v>
      </c>
      <c r="B1875" s="31" t="s">
        <v>153</v>
      </c>
      <c r="C1875" s="129"/>
      <c r="D1875" s="129"/>
      <c r="E1875" s="19" t="n">
        <f aca="false">F1875*0.03</f>
        <v>0</v>
      </c>
      <c r="F1875" s="33" t="n">
        <v>0</v>
      </c>
      <c r="G1875" s="131"/>
      <c r="H1875" s="35" t="n">
        <v>0</v>
      </c>
      <c r="I1875" s="34" t="n">
        <f aca="false">+IF(E1875=0,0,E1875*0.03)</f>
        <v>0</v>
      </c>
      <c r="J1875" s="93"/>
      <c r="K1875" s="93"/>
      <c r="L1875" s="93"/>
      <c r="M1875" s="93"/>
      <c r="N1875" s="93"/>
      <c r="O1875" s="93"/>
      <c r="P1875" s="93"/>
      <c r="Q1875" s="93"/>
      <c r="R1875" s="93"/>
      <c r="S1875" s="93"/>
      <c r="T1875" s="93"/>
      <c r="U1875" s="93"/>
      <c r="V1875" s="93"/>
      <c r="W1875" s="93"/>
      <c r="X1875" s="93"/>
      <c r="Y1875" s="93"/>
      <c r="Z1875" s="93"/>
    </row>
    <row r="1876" customFormat="false" ht="16.4" hidden="false" customHeight="false" outlineLevel="0" collapsed="false">
      <c r="A1876" s="123" t="n">
        <v>45444</v>
      </c>
      <c r="B1876" s="31" t="s">
        <v>153</v>
      </c>
      <c r="C1876" s="129"/>
      <c r="D1876" s="129"/>
      <c r="E1876" s="19" t="n">
        <f aca="false">F1876*0.03</f>
        <v>0</v>
      </c>
      <c r="F1876" s="33" t="n">
        <v>0</v>
      </c>
      <c r="G1876" s="131"/>
      <c r="H1876" s="35" t="n">
        <v>0</v>
      </c>
      <c r="I1876" s="34" t="n">
        <f aca="false">+IF(E1876=0,0,E1876*0.03)</f>
        <v>0</v>
      </c>
      <c r="J1876" s="93"/>
      <c r="K1876" s="93"/>
      <c r="L1876" s="93"/>
      <c r="M1876" s="93"/>
      <c r="N1876" s="93"/>
      <c r="O1876" s="93"/>
      <c r="P1876" s="93"/>
      <c r="Q1876" s="93"/>
      <c r="R1876" s="93"/>
      <c r="S1876" s="93"/>
      <c r="T1876" s="93"/>
      <c r="U1876" s="93"/>
      <c r="V1876" s="93"/>
      <c r="W1876" s="93"/>
      <c r="X1876" s="93"/>
      <c r="Y1876" s="93"/>
      <c r="Z1876" s="93"/>
    </row>
    <row r="1877" customFormat="false" ht="16.4" hidden="false" customHeight="false" outlineLevel="0" collapsed="false">
      <c r="A1877" s="123" t="n">
        <v>45444</v>
      </c>
      <c r="B1877" s="31" t="s">
        <v>153</v>
      </c>
      <c r="C1877" s="129"/>
      <c r="D1877" s="129"/>
      <c r="E1877" s="19" t="n">
        <f aca="false">F1877*0.03</f>
        <v>0</v>
      </c>
      <c r="F1877" s="33" t="n">
        <v>0</v>
      </c>
      <c r="G1877" s="131"/>
      <c r="H1877" s="35" t="n">
        <v>0</v>
      </c>
      <c r="I1877" s="34" t="n">
        <f aca="false">+IF(E1877=0,0,E1877*0.03)</f>
        <v>0</v>
      </c>
      <c r="J1877" s="93"/>
      <c r="K1877" s="93"/>
      <c r="L1877" s="93"/>
      <c r="M1877" s="93"/>
      <c r="N1877" s="93"/>
      <c r="O1877" s="93"/>
      <c r="P1877" s="93"/>
      <c r="Q1877" s="93"/>
      <c r="R1877" s="93"/>
      <c r="S1877" s="93"/>
      <c r="T1877" s="93"/>
      <c r="U1877" s="93"/>
      <c r="V1877" s="93"/>
      <c r="W1877" s="93"/>
      <c r="X1877" s="93"/>
      <c r="Y1877" s="93"/>
      <c r="Z1877" s="93"/>
    </row>
    <row r="1878" customFormat="false" ht="16.4" hidden="false" customHeight="false" outlineLevel="0" collapsed="false">
      <c r="A1878" s="123" t="n">
        <v>45444</v>
      </c>
      <c r="B1878" s="31" t="s">
        <v>153</v>
      </c>
      <c r="C1878" s="129"/>
      <c r="D1878" s="129"/>
      <c r="E1878" s="19" t="n">
        <f aca="false">F1878*0.03</f>
        <v>0</v>
      </c>
      <c r="F1878" s="33" t="n">
        <v>0</v>
      </c>
      <c r="G1878" s="131"/>
      <c r="H1878" s="35" t="n">
        <v>0</v>
      </c>
      <c r="I1878" s="34" t="n">
        <f aca="false">+IF(E1878=0,0,E1878*0.03)</f>
        <v>0</v>
      </c>
      <c r="J1878" s="93"/>
      <c r="K1878" s="93"/>
      <c r="L1878" s="93"/>
      <c r="M1878" s="93"/>
      <c r="N1878" s="93"/>
      <c r="O1878" s="93"/>
      <c r="P1878" s="93"/>
      <c r="Q1878" s="93"/>
      <c r="R1878" s="93"/>
      <c r="S1878" s="93"/>
      <c r="T1878" s="93"/>
      <c r="U1878" s="93"/>
      <c r="V1878" s="93"/>
      <c r="W1878" s="93"/>
      <c r="X1878" s="93"/>
      <c r="Y1878" s="93"/>
      <c r="Z1878" s="93"/>
    </row>
    <row r="1879" customFormat="false" ht="16.4" hidden="false" customHeight="false" outlineLevel="0" collapsed="false">
      <c r="A1879" s="123" t="n">
        <v>45444</v>
      </c>
      <c r="B1879" s="31" t="s">
        <v>153</v>
      </c>
      <c r="C1879" s="129"/>
      <c r="D1879" s="129"/>
      <c r="E1879" s="19" t="n">
        <f aca="false">F1879*0.03</f>
        <v>0</v>
      </c>
      <c r="F1879" s="33" t="n">
        <v>0</v>
      </c>
      <c r="G1879" s="131"/>
      <c r="H1879" s="35" t="n">
        <v>0</v>
      </c>
      <c r="I1879" s="34" t="n">
        <f aca="false">+IF(E1879=0,0,E1879*0.03)</f>
        <v>0</v>
      </c>
      <c r="J1879" s="93"/>
      <c r="K1879" s="93"/>
      <c r="L1879" s="93"/>
      <c r="M1879" s="93"/>
      <c r="N1879" s="93"/>
      <c r="O1879" s="93"/>
      <c r="P1879" s="93"/>
      <c r="Q1879" s="93"/>
      <c r="R1879" s="93"/>
      <c r="S1879" s="93"/>
      <c r="T1879" s="93"/>
      <c r="U1879" s="93"/>
      <c r="V1879" s="93"/>
      <c r="W1879" s="93"/>
      <c r="X1879" s="93"/>
      <c r="Y1879" s="93"/>
      <c r="Z1879" s="93"/>
    </row>
    <row r="1880" customFormat="false" ht="16.4" hidden="false" customHeight="false" outlineLevel="0" collapsed="false">
      <c r="A1880" s="123" t="n">
        <v>45444</v>
      </c>
      <c r="B1880" s="31" t="s">
        <v>153</v>
      </c>
      <c r="C1880" s="129"/>
      <c r="D1880" s="129"/>
      <c r="E1880" s="19" t="n">
        <f aca="false">F1880*0.03</f>
        <v>0</v>
      </c>
      <c r="F1880" s="33" t="n">
        <v>0</v>
      </c>
      <c r="G1880" s="131"/>
      <c r="H1880" s="35" t="n">
        <v>0</v>
      </c>
      <c r="I1880" s="34" t="n">
        <f aca="false">+IF(E1880=0,0,E1880*0.03)</f>
        <v>0</v>
      </c>
      <c r="J1880" s="93"/>
      <c r="K1880" s="93"/>
      <c r="L1880" s="93"/>
      <c r="M1880" s="93"/>
      <c r="N1880" s="93"/>
      <c r="O1880" s="93"/>
      <c r="P1880" s="93"/>
      <c r="Q1880" s="93"/>
      <c r="R1880" s="93"/>
      <c r="S1880" s="93"/>
      <c r="T1880" s="93"/>
      <c r="U1880" s="93"/>
      <c r="V1880" s="93"/>
      <c r="W1880" s="93"/>
      <c r="X1880" s="93"/>
      <c r="Y1880" s="93"/>
      <c r="Z1880" s="93"/>
    </row>
    <row r="1881" customFormat="false" ht="16.4" hidden="false" customHeight="false" outlineLevel="0" collapsed="false">
      <c r="A1881" s="123" t="n">
        <v>45444</v>
      </c>
      <c r="B1881" s="31" t="s">
        <v>153</v>
      </c>
      <c r="C1881" s="129"/>
      <c r="D1881" s="129"/>
      <c r="E1881" s="19" t="n">
        <f aca="false">F1881*0.03</f>
        <v>0</v>
      </c>
      <c r="F1881" s="33" t="n">
        <v>0</v>
      </c>
      <c r="G1881" s="131"/>
      <c r="H1881" s="35" t="n">
        <v>0</v>
      </c>
      <c r="I1881" s="34" t="n">
        <f aca="false">+IF(E1881=0,0,E1881*0.03)</f>
        <v>0</v>
      </c>
      <c r="J1881" s="93"/>
      <c r="K1881" s="93"/>
      <c r="L1881" s="93"/>
      <c r="M1881" s="93"/>
      <c r="N1881" s="93"/>
      <c r="O1881" s="93"/>
      <c r="P1881" s="93"/>
      <c r="Q1881" s="93"/>
      <c r="R1881" s="93"/>
      <c r="S1881" s="93"/>
      <c r="T1881" s="93"/>
      <c r="U1881" s="93"/>
      <c r="V1881" s="93"/>
      <c r="W1881" s="93"/>
      <c r="X1881" s="93"/>
      <c r="Y1881" s="93"/>
      <c r="Z1881" s="93"/>
    </row>
    <row r="1882" customFormat="false" ht="16.4" hidden="false" customHeight="false" outlineLevel="0" collapsed="false">
      <c r="A1882" s="123" t="n">
        <v>45444</v>
      </c>
      <c r="B1882" s="31" t="s">
        <v>153</v>
      </c>
      <c r="C1882" s="129"/>
      <c r="D1882" s="129"/>
      <c r="E1882" s="19" t="n">
        <f aca="false">F1882*0.03</f>
        <v>0</v>
      </c>
      <c r="F1882" s="33" t="n">
        <v>0</v>
      </c>
      <c r="G1882" s="131"/>
      <c r="H1882" s="35" t="n">
        <v>0</v>
      </c>
      <c r="I1882" s="34" t="n">
        <f aca="false">+IF(E1882=0,0,E1882*0.03)</f>
        <v>0</v>
      </c>
      <c r="J1882" s="93"/>
      <c r="K1882" s="93"/>
      <c r="L1882" s="93"/>
      <c r="M1882" s="93"/>
      <c r="N1882" s="93"/>
      <c r="O1882" s="93"/>
      <c r="P1882" s="93"/>
      <c r="Q1882" s="93"/>
      <c r="R1882" s="93"/>
      <c r="S1882" s="93"/>
      <c r="T1882" s="93"/>
      <c r="U1882" s="93"/>
      <c r="V1882" s="93"/>
      <c r="W1882" s="93"/>
      <c r="X1882" s="93"/>
      <c r="Y1882" s="93"/>
      <c r="Z1882" s="93"/>
    </row>
    <row r="1883" customFormat="false" ht="16.4" hidden="false" customHeight="false" outlineLevel="0" collapsed="false">
      <c r="A1883" s="123" t="n">
        <v>45444</v>
      </c>
      <c r="B1883" s="31" t="s">
        <v>153</v>
      </c>
      <c r="C1883" s="129"/>
      <c r="D1883" s="129"/>
      <c r="E1883" s="19" t="n">
        <f aca="false">F1883*0.03</f>
        <v>0</v>
      </c>
      <c r="F1883" s="33" t="n">
        <v>0</v>
      </c>
      <c r="G1883" s="131"/>
      <c r="H1883" s="35" t="n">
        <v>0</v>
      </c>
      <c r="I1883" s="34" t="n">
        <f aca="false">+IF(E1883=0,0,E1883*0.03)</f>
        <v>0</v>
      </c>
      <c r="J1883" s="93"/>
      <c r="K1883" s="93"/>
      <c r="L1883" s="93"/>
      <c r="M1883" s="93"/>
      <c r="N1883" s="93"/>
      <c r="O1883" s="93"/>
      <c r="P1883" s="93"/>
      <c r="Q1883" s="93"/>
      <c r="R1883" s="93"/>
      <c r="S1883" s="93"/>
      <c r="T1883" s="93"/>
      <c r="U1883" s="93"/>
      <c r="V1883" s="93"/>
      <c r="W1883" s="93"/>
      <c r="X1883" s="93"/>
      <c r="Y1883" s="93"/>
      <c r="Z1883" s="93"/>
    </row>
    <row r="1884" customFormat="false" ht="16.4" hidden="false" customHeight="false" outlineLevel="0" collapsed="false">
      <c r="A1884" s="123" t="n">
        <v>45444</v>
      </c>
      <c r="B1884" s="31" t="s">
        <v>153</v>
      </c>
      <c r="C1884" s="129"/>
      <c r="D1884" s="129"/>
      <c r="E1884" s="19" t="n">
        <f aca="false">F1884*0.03</f>
        <v>0</v>
      </c>
      <c r="F1884" s="33" t="n">
        <v>0</v>
      </c>
      <c r="G1884" s="131"/>
      <c r="H1884" s="35" t="n">
        <v>0</v>
      </c>
      <c r="I1884" s="34" t="n">
        <f aca="false">+IF(E1884=0,0,E1884*0.03)</f>
        <v>0</v>
      </c>
      <c r="J1884" s="93"/>
      <c r="K1884" s="93"/>
      <c r="L1884" s="93"/>
      <c r="M1884" s="93"/>
      <c r="N1884" s="93"/>
      <c r="O1884" s="93"/>
      <c r="P1884" s="93"/>
      <c r="Q1884" s="93"/>
      <c r="R1884" s="93"/>
      <c r="S1884" s="93"/>
      <c r="T1884" s="93"/>
      <c r="U1884" s="93"/>
      <c r="V1884" s="93"/>
      <c r="W1884" s="93"/>
      <c r="X1884" s="93"/>
      <c r="Y1884" s="93"/>
      <c r="Z1884" s="93"/>
    </row>
    <row r="1885" customFormat="false" ht="16.4" hidden="false" customHeight="false" outlineLevel="0" collapsed="false">
      <c r="A1885" s="123" t="n">
        <v>45444</v>
      </c>
      <c r="B1885" s="31" t="s">
        <v>153</v>
      </c>
      <c r="C1885" s="129"/>
      <c r="D1885" s="129"/>
      <c r="E1885" s="19" t="n">
        <f aca="false">F1885*0.03</f>
        <v>0</v>
      </c>
      <c r="F1885" s="33" t="n">
        <v>0</v>
      </c>
      <c r="G1885" s="131"/>
      <c r="H1885" s="35" t="n">
        <v>0</v>
      </c>
      <c r="I1885" s="34" t="n">
        <f aca="false">+IF(E1885=0,0,E1885*0.03)</f>
        <v>0</v>
      </c>
      <c r="J1885" s="93"/>
      <c r="K1885" s="93"/>
      <c r="L1885" s="93"/>
      <c r="M1885" s="93"/>
      <c r="N1885" s="93"/>
      <c r="O1885" s="93"/>
      <c r="P1885" s="93"/>
      <c r="Q1885" s="93"/>
      <c r="R1885" s="93"/>
      <c r="S1885" s="93"/>
      <c r="T1885" s="93"/>
      <c r="U1885" s="93"/>
      <c r="V1885" s="93"/>
      <c r="W1885" s="93"/>
      <c r="X1885" s="93"/>
      <c r="Y1885" s="93"/>
      <c r="Z1885" s="93"/>
    </row>
    <row r="1886" customFormat="false" ht="16.4" hidden="false" customHeight="false" outlineLevel="0" collapsed="false">
      <c r="A1886" s="123" t="n">
        <v>45444</v>
      </c>
      <c r="B1886" s="31" t="s">
        <v>153</v>
      </c>
      <c r="C1886" s="129"/>
      <c r="D1886" s="129"/>
      <c r="E1886" s="19" t="n">
        <f aca="false">F1886*0.03</f>
        <v>0</v>
      </c>
      <c r="F1886" s="33" t="n">
        <v>0</v>
      </c>
      <c r="G1886" s="131"/>
      <c r="H1886" s="35" t="n">
        <v>0</v>
      </c>
      <c r="I1886" s="34" t="n">
        <f aca="false">+IF(E1886=0,0,E1886*0.03)</f>
        <v>0</v>
      </c>
      <c r="J1886" s="93"/>
      <c r="K1886" s="93"/>
      <c r="L1886" s="93"/>
      <c r="M1886" s="93"/>
      <c r="N1886" s="93"/>
      <c r="O1886" s="93"/>
      <c r="P1886" s="93"/>
      <c r="Q1886" s="93"/>
      <c r="R1886" s="93"/>
      <c r="S1886" s="93"/>
      <c r="T1886" s="93"/>
      <c r="U1886" s="93"/>
      <c r="V1886" s="93"/>
      <c r="W1886" s="93"/>
      <c r="X1886" s="93"/>
      <c r="Y1886" s="93"/>
      <c r="Z1886" s="93"/>
    </row>
    <row r="1887" customFormat="false" ht="16.4" hidden="false" customHeight="false" outlineLevel="0" collapsed="false">
      <c r="A1887" s="123" t="n">
        <v>45444</v>
      </c>
      <c r="B1887" s="31" t="s">
        <v>153</v>
      </c>
      <c r="C1887" s="129"/>
      <c r="D1887" s="129"/>
      <c r="E1887" s="19" t="n">
        <f aca="false">F1887*0.03</f>
        <v>0</v>
      </c>
      <c r="F1887" s="33" t="n">
        <v>0</v>
      </c>
      <c r="G1887" s="131"/>
      <c r="H1887" s="35" t="n">
        <v>0</v>
      </c>
      <c r="I1887" s="34" t="n">
        <f aca="false">+IF(E1887=0,0,E1887*0.03)</f>
        <v>0</v>
      </c>
      <c r="J1887" s="93"/>
      <c r="K1887" s="93"/>
      <c r="L1887" s="93"/>
      <c r="M1887" s="93"/>
      <c r="N1887" s="93"/>
      <c r="O1887" s="93"/>
      <c r="P1887" s="93"/>
      <c r="Q1887" s="93"/>
      <c r="R1887" s="93"/>
      <c r="S1887" s="93"/>
      <c r="T1887" s="93"/>
      <c r="U1887" s="93"/>
      <c r="V1887" s="93"/>
      <c r="W1887" s="93"/>
      <c r="X1887" s="93"/>
      <c r="Y1887" s="93"/>
      <c r="Z1887" s="93"/>
    </row>
    <row r="1888" customFormat="false" ht="16.4" hidden="false" customHeight="false" outlineLevel="0" collapsed="false">
      <c r="A1888" s="123" t="n">
        <v>45444</v>
      </c>
      <c r="B1888" s="31" t="s">
        <v>153</v>
      </c>
      <c r="C1888" s="129"/>
      <c r="D1888" s="129"/>
      <c r="E1888" s="19" t="n">
        <f aca="false">F1888*0.03</f>
        <v>0</v>
      </c>
      <c r="F1888" s="33" t="n">
        <v>0</v>
      </c>
      <c r="G1888" s="131"/>
      <c r="H1888" s="35" t="n">
        <v>0</v>
      </c>
      <c r="I1888" s="34" t="n">
        <f aca="false">+IF(E1888=0,0,E1888*0.03)</f>
        <v>0</v>
      </c>
      <c r="J1888" s="93"/>
      <c r="K1888" s="93"/>
      <c r="L1888" s="93"/>
      <c r="M1888" s="93"/>
      <c r="N1888" s="93"/>
      <c r="O1888" s="93"/>
      <c r="P1888" s="93"/>
      <c r="Q1888" s="93"/>
      <c r="R1888" s="93"/>
      <c r="S1888" s="93"/>
      <c r="T1888" s="93"/>
      <c r="U1888" s="93"/>
      <c r="V1888" s="93"/>
      <c r="W1888" s="93"/>
      <c r="X1888" s="93"/>
      <c r="Y1888" s="93"/>
      <c r="Z1888" s="93"/>
    </row>
    <row r="1889" customFormat="false" ht="16.4" hidden="false" customHeight="false" outlineLevel="0" collapsed="false">
      <c r="A1889" s="123" t="n">
        <v>45444</v>
      </c>
      <c r="B1889" s="31" t="s">
        <v>153</v>
      </c>
      <c r="C1889" s="129"/>
      <c r="D1889" s="129"/>
      <c r="E1889" s="19" t="n">
        <f aca="false">F1889*0.03</f>
        <v>0</v>
      </c>
      <c r="F1889" s="33" t="n">
        <v>0</v>
      </c>
      <c r="G1889" s="131"/>
      <c r="H1889" s="35" t="n">
        <v>0</v>
      </c>
      <c r="I1889" s="34" t="n">
        <f aca="false">+IF(E1889=0,0,E1889*0.03)</f>
        <v>0</v>
      </c>
      <c r="J1889" s="93"/>
      <c r="K1889" s="93"/>
      <c r="L1889" s="93"/>
      <c r="M1889" s="93"/>
      <c r="N1889" s="93"/>
      <c r="O1889" s="93"/>
      <c r="P1889" s="93"/>
      <c r="Q1889" s="93"/>
      <c r="R1889" s="93"/>
      <c r="S1889" s="93"/>
      <c r="T1889" s="93"/>
      <c r="U1889" s="93"/>
      <c r="V1889" s="93"/>
      <c r="W1889" s="93"/>
      <c r="X1889" s="93"/>
      <c r="Y1889" s="93"/>
      <c r="Z1889" s="93"/>
    </row>
    <row r="1890" customFormat="false" ht="16.4" hidden="false" customHeight="false" outlineLevel="0" collapsed="false">
      <c r="A1890" s="123" t="n">
        <v>45444</v>
      </c>
      <c r="B1890" s="31" t="s">
        <v>153</v>
      </c>
      <c r="C1890" s="129"/>
      <c r="D1890" s="129"/>
      <c r="E1890" s="19" t="n">
        <f aca="false">F1890*0.03</f>
        <v>0</v>
      </c>
      <c r="F1890" s="33" t="n">
        <v>0</v>
      </c>
      <c r="G1890" s="131"/>
      <c r="H1890" s="35" t="n">
        <v>0</v>
      </c>
      <c r="I1890" s="34" t="n">
        <f aca="false">+IF(E1890=0,0,E1890*0.03)</f>
        <v>0</v>
      </c>
      <c r="J1890" s="93"/>
      <c r="K1890" s="93"/>
      <c r="L1890" s="93"/>
      <c r="M1890" s="93"/>
      <c r="N1890" s="93"/>
      <c r="O1890" s="93"/>
      <c r="P1890" s="93"/>
      <c r="Q1890" s="93"/>
      <c r="R1890" s="93"/>
      <c r="S1890" s="93"/>
      <c r="T1890" s="93"/>
      <c r="U1890" s="93"/>
      <c r="V1890" s="93"/>
      <c r="W1890" s="93"/>
      <c r="X1890" s="93"/>
      <c r="Y1890" s="93"/>
      <c r="Z1890" s="93"/>
    </row>
    <row r="1891" customFormat="false" ht="16.4" hidden="false" customHeight="false" outlineLevel="0" collapsed="false">
      <c r="A1891" s="123" t="n">
        <v>45444</v>
      </c>
      <c r="B1891" s="31" t="s">
        <v>153</v>
      </c>
      <c r="C1891" s="129"/>
      <c r="D1891" s="129"/>
      <c r="E1891" s="19" t="n">
        <f aca="false">F1891*0.03</f>
        <v>0</v>
      </c>
      <c r="F1891" s="33" t="n">
        <v>0</v>
      </c>
      <c r="G1891" s="131"/>
      <c r="H1891" s="35" t="n">
        <v>0</v>
      </c>
      <c r="I1891" s="34" t="n">
        <f aca="false">+IF(E1891=0,0,E1891*0.03)</f>
        <v>0</v>
      </c>
      <c r="J1891" s="93"/>
      <c r="K1891" s="93"/>
      <c r="L1891" s="93"/>
      <c r="M1891" s="93"/>
      <c r="N1891" s="93"/>
      <c r="O1891" s="93"/>
      <c r="P1891" s="93"/>
      <c r="Q1891" s="93"/>
      <c r="R1891" s="93"/>
      <c r="S1891" s="93"/>
      <c r="T1891" s="93"/>
      <c r="U1891" s="93"/>
      <c r="V1891" s="93"/>
      <c r="W1891" s="93"/>
      <c r="X1891" s="93"/>
      <c r="Y1891" s="93"/>
      <c r="Z1891" s="93"/>
    </row>
    <row r="1892" customFormat="false" ht="16.4" hidden="false" customHeight="false" outlineLevel="0" collapsed="false">
      <c r="A1892" s="123" t="n">
        <v>45444</v>
      </c>
      <c r="B1892" s="31" t="s">
        <v>153</v>
      </c>
      <c r="C1892" s="129"/>
      <c r="D1892" s="129"/>
      <c r="E1892" s="19" t="n">
        <f aca="false">F1892*0.03</f>
        <v>0</v>
      </c>
      <c r="F1892" s="33" t="n">
        <v>0</v>
      </c>
      <c r="G1892" s="131"/>
      <c r="H1892" s="35" t="n">
        <v>0</v>
      </c>
      <c r="I1892" s="34" t="n">
        <f aca="false">+IF(E1892=0,0,E1892*0.03)</f>
        <v>0</v>
      </c>
      <c r="J1892" s="93"/>
      <c r="K1892" s="93"/>
      <c r="L1892" s="93"/>
      <c r="M1892" s="93"/>
      <c r="N1892" s="93"/>
      <c r="O1892" s="93"/>
      <c r="P1892" s="93"/>
      <c r="Q1892" s="93"/>
      <c r="R1892" s="93"/>
      <c r="S1892" s="93"/>
      <c r="T1892" s="93"/>
      <c r="U1892" s="93"/>
      <c r="V1892" s="93"/>
      <c r="W1892" s="93"/>
      <c r="X1892" s="93"/>
      <c r="Y1892" s="93"/>
      <c r="Z1892" s="93"/>
    </row>
    <row r="1893" customFormat="false" ht="16.4" hidden="false" customHeight="false" outlineLevel="0" collapsed="false">
      <c r="A1893" s="123" t="n">
        <v>45444</v>
      </c>
      <c r="B1893" s="31" t="s">
        <v>153</v>
      </c>
      <c r="C1893" s="129"/>
      <c r="D1893" s="129"/>
      <c r="E1893" s="19" t="n">
        <f aca="false">F1893*0.03</f>
        <v>0</v>
      </c>
      <c r="F1893" s="33" t="n">
        <v>0</v>
      </c>
      <c r="G1893" s="131"/>
      <c r="H1893" s="35" t="n">
        <v>0</v>
      </c>
      <c r="I1893" s="34" t="n">
        <f aca="false">+IF(E1893=0,0,E1893*0.03)</f>
        <v>0</v>
      </c>
      <c r="J1893" s="93"/>
      <c r="K1893" s="93"/>
      <c r="L1893" s="93"/>
      <c r="M1893" s="93"/>
      <c r="N1893" s="93"/>
      <c r="O1893" s="93"/>
      <c r="P1893" s="93"/>
      <c r="Q1893" s="93"/>
      <c r="R1893" s="93"/>
      <c r="S1893" s="93"/>
      <c r="T1893" s="93"/>
      <c r="U1893" s="93"/>
      <c r="V1893" s="93"/>
      <c r="W1893" s="93"/>
      <c r="X1893" s="93"/>
      <c r="Y1893" s="93"/>
      <c r="Z1893" s="93"/>
    </row>
    <row r="1894" customFormat="false" ht="16.4" hidden="false" customHeight="false" outlineLevel="0" collapsed="false">
      <c r="A1894" s="123" t="n">
        <v>45444</v>
      </c>
      <c r="B1894" s="31" t="s">
        <v>153</v>
      </c>
      <c r="C1894" s="129"/>
      <c r="D1894" s="129"/>
      <c r="E1894" s="19" t="n">
        <f aca="false">F1894*0.03</f>
        <v>0</v>
      </c>
      <c r="F1894" s="33" t="n">
        <v>0</v>
      </c>
      <c r="G1894" s="131"/>
      <c r="H1894" s="35" t="n">
        <v>0</v>
      </c>
      <c r="I1894" s="34" t="n">
        <f aca="false">+IF(E1894=0,0,E1894*0.03)</f>
        <v>0</v>
      </c>
      <c r="J1894" s="93"/>
      <c r="K1894" s="93"/>
      <c r="L1894" s="93"/>
      <c r="M1894" s="93"/>
      <c r="N1894" s="93"/>
      <c r="O1894" s="93"/>
      <c r="P1894" s="93"/>
      <c r="Q1894" s="93"/>
      <c r="R1894" s="93"/>
      <c r="S1894" s="93"/>
      <c r="T1894" s="93"/>
      <c r="U1894" s="93"/>
      <c r="V1894" s="93"/>
      <c r="W1894" s="93"/>
      <c r="X1894" s="93"/>
      <c r="Y1894" s="93"/>
      <c r="Z1894" s="93"/>
    </row>
    <row r="1895" customFormat="false" ht="16.4" hidden="false" customHeight="false" outlineLevel="0" collapsed="false">
      <c r="A1895" s="123" t="n">
        <v>45444</v>
      </c>
      <c r="B1895" s="31" t="s">
        <v>153</v>
      </c>
      <c r="C1895" s="129"/>
      <c r="D1895" s="129"/>
      <c r="E1895" s="19" t="n">
        <f aca="false">F1895*0.03</f>
        <v>0</v>
      </c>
      <c r="F1895" s="33" t="n">
        <v>0</v>
      </c>
      <c r="G1895" s="131"/>
      <c r="H1895" s="35" t="n">
        <v>0</v>
      </c>
      <c r="I1895" s="34" t="n">
        <f aca="false">+IF(E1895=0,0,E1895*0.03)</f>
        <v>0</v>
      </c>
      <c r="J1895" s="93"/>
      <c r="K1895" s="93"/>
      <c r="L1895" s="93"/>
      <c r="M1895" s="93"/>
      <c r="N1895" s="93"/>
      <c r="O1895" s="93"/>
      <c r="P1895" s="93"/>
      <c r="Q1895" s="93"/>
      <c r="R1895" s="93"/>
      <c r="S1895" s="93"/>
      <c r="T1895" s="93"/>
      <c r="U1895" s="93"/>
      <c r="V1895" s="93"/>
      <c r="W1895" s="93"/>
      <c r="X1895" s="93"/>
      <c r="Y1895" s="93"/>
      <c r="Z1895" s="93"/>
    </row>
    <row r="1896" customFormat="false" ht="16.4" hidden="false" customHeight="false" outlineLevel="0" collapsed="false">
      <c r="A1896" s="123" t="n">
        <v>45444</v>
      </c>
      <c r="B1896" s="31" t="s">
        <v>153</v>
      </c>
      <c r="C1896" s="129"/>
      <c r="D1896" s="129"/>
      <c r="E1896" s="19" t="n">
        <f aca="false">F1896*0.03</f>
        <v>0</v>
      </c>
      <c r="F1896" s="33" t="n">
        <v>0</v>
      </c>
      <c r="G1896" s="131"/>
      <c r="H1896" s="35" t="n">
        <v>0</v>
      </c>
      <c r="I1896" s="34" t="n">
        <f aca="false">+IF(E1896=0,0,E1896*0.03)</f>
        <v>0</v>
      </c>
      <c r="J1896" s="93"/>
      <c r="K1896" s="93"/>
      <c r="L1896" s="93"/>
      <c r="M1896" s="93"/>
      <c r="N1896" s="93"/>
      <c r="O1896" s="93"/>
      <c r="P1896" s="93"/>
      <c r="Q1896" s="93"/>
      <c r="R1896" s="93"/>
      <c r="S1896" s="93"/>
      <c r="T1896" s="93"/>
      <c r="U1896" s="93"/>
      <c r="V1896" s="93"/>
      <c r="W1896" s="93"/>
      <c r="X1896" s="93"/>
      <c r="Y1896" s="93"/>
      <c r="Z1896" s="93"/>
    </row>
    <row r="1897" customFormat="false" ht="16.4" hidden="false" customHeight="false" outlineLevel="0" collapsed="false">
      <c r="A1897" s="123" t="n">
        <v>45444</v>
      </c>
      <c r="B1897" s="31" t="s">
        <v>153</v>
      </c>
      <c r="C1897" s="129"/>
      <c r="D1897" s="129"/>
      <c r="E1897" s="19" t="n">
        <f aca="false">F1897*0.03</f>
        <v>0</v>
      </c>
      <c r="F1897" s="33" t="n">
        <v>0</v>
      </c>
      <c r="G1897" s="131"/>
      <c r="H1897" s="35" t="n">
        <v>0</v>
      </c>
      <c r="I1897" s="34" t="n">
        <f aca="false">+IF(E1897=0,0,E1897*0.03)</f>
        <v>0</v>
      </c>
      <c r="J1897" s="93"/>
      <c r="K1897" s="93"/>
      <c r="L1897" s="93"/>
      <c r="M1897" s="93"/>
      <c r="N1897" s="93"/>
      <c r="O1897" s="93"/>
      <c r="P1897" s="93"/>
      <c r="Q1897" s="93"/>
      <c r="R1897" s="93"/>
      <c r="S1897" s="93"/>
      <c r="T1897" s="93"/>
      <c r="U1897" s="93"/>
      <c r="V1897" s="93"/>
      <c r="W1897" s="93"/>
      <c r="X1897" s="93"/>
      <c r="Y1897" s="93"/>
      <c r="Z1897" s="93"/>
    </row>
    <row r="1898" customFormat="false" ht="16.4" hidden="false" customHeight="false" outlineLevel="0" collapsed="false">
      <c r="A1898" s="123" t="n">
        <v>45444</v>
      </c>
      <c r="B1898" s="31" t="s">
        <v>153</v>
      </c>
      <c r="C1898" s="129"/>
      <c r="D1898" s="129"/>
      <c r="E1898" s="19" t="n">
        <f aca="false">F1898*0.03</f>
        <v>0</v>
      </c>
      <c r="F1898" s="33" t="n">
        <v>0</v>
      </c>
      <c r="G1898" s="131"/>
      <c r="H1898" s="35" t="n">
        <v>0</v>
      </c>
      <c r="I1898" s="34" t="n">
        <f aca="false">+IF(E1898=0,0,E1898*0.03)</f>
        <v>0</v>
      </c>
      <c r="J1898" s="93"/>
      <c r="K1898" s="93"/>
      <c r="L1898" s="93"/>
      <c r="M1898" s="93"/>
      <c r="N1898" s="93"/>
      <c r="O1898" s="93"/>
      <c r="P1898" s="93"/>
      <c r="Q1898" s="93"/>
      <c r="R1898" s="93"/>
      <c r="S1898" s="93"/>
      <c r="T1898" s="93"/>
      <c r="U1898" s="93"/>
      <c r="V1898" s="93"/>
      <c r="W1898" s="93"/>
      <c r="X1898" s="93"/>
      <c r="Y1898" s="93"/>
      <c r="Z1898" s="93"/>
    </row>
    <row r="1899" customFormat="false" ht="16.4" hidden="false" customHeight="false" outlineLevel="0" collapsed="false">
      <c r="A1899" s="123" t="n">
        <v>45444</v>
      </c>
      <c r="B1899" s="31" t="s">
        <v>153</v>
      </c>
      <c r="C1899" s="129"/>
      <c r="D1899" s="129"/>
      <c r="E1899" s="19" t="n">
        <f aca="false">F1899*0.03</f>
        <v>0</v>
      </c>
      <c r="F1899" s="33" t="n">
        <v>0</v>
      </c>
      <c r="G1899" s="131"/>
      <c r="H1899" s="35" t="n">
        <v>0</v>
      </c>
      <c r="I1899" s="34" t="n">
        <f aca="false">+IF(E1899=0,0,E1899*0.03)</f>
        <v>0</v>
      </c>
      <c r="J1899" s="93"/>
      <c r="K1899" s="93"/>
      <c r="L1899" s="93"/>
      <c r="M1899" s="93"/>
      <c r="N1899" s="93"/>
      <c r="O1899" s="93"/>
      <c r="P1899" s="93"/>
      <c r="Q1899" s="93"/>
      <c r="R1899" s="93"/>
      <c r="S1899" s="93"/>
      <c r="T1899" s="93"/>
      <c r="U1899" s="93"/>
      <c r="V1899" s="93"/>
      <c r="W1899" s="93"/>
      <c r="X1899" s="93"/>
      <c r="Y1899" s="93"/>
      <c r="Z1899" s="93"/>
    </row>
    <row r="1900" customFormat="false" ht="16.4" hidden="false" customHeight="false" outlineLevel="0" collapsed="false">
      <c r="A1900" s="123" t="n">
        <v>45444</v>
      </c>
      <c r="B1900" s="31" t="s">
        <v>153</v>
      </c>
      <c r="C1900" s="129"/>
      <c r="D1900" s="129"/>
      <c r="E1900" s="19" t="n">
        <f aca="false">F1900*0.03</f>
        <v>0</v>
      </c>
      <c r="F1900" s="33" t="n">
        <v>0</v>
      </c>
      <c r="G1900" s="131"/>
      <c r="H1900" s="35" t="n">
        <v>0</v>
      </c>
      <c r="I1900" s="34" t="n">
        <f aca="false">+IF(E1900=0,0,E1900*0.03)</f>
        <v>0</v>
      </c>
      <c r="J1900" s="93"/>
      <c r="K1900" s="93"/>
      <c r="L1900" s="93"/>
      <c r="M1900" s="93"/>
      <c r="N1900" s="93"/>
      <c r="O1900" s="93"/>
      <c r="P1900" s="93"/>
      <c r="Q1900" s="93"/>
      <c r="R1900" s="93"/>
      <c r="S1900" s="93"/>
      <c r="T1900" s="93"/>
      <c r="U1900" s="93"/>
      <c r="V1900" s="93"/>
      <c r="W1900" s="93"/>
      <c r="X1900" s="93"/>
      <c r="Y1900" s="93"/>
      <c r="Z1900" s="93"/>
    </row>
    <row r="1901" customFormat="false" ht="16.4" hidden="false" customHeight="false" outlineLevel="0" collapsed="false">
      <c r="A1901" s="123" t="n">
        <v>45444</v>
      </c>
      <c r="B1901" s="31" t="s">
        <v>153</v>
      </c>
      <c r="C1901" s="129"/>
      <c r="D1901" s="129"/>
      <c r="E1901" s="19" t="n">
        <f aca="false">F1901*0.03</f>
        <v>0</v>
      </c>
      <c r="F1901" s="33" t="n">
        <v>0</v>
      </c>
      <c r="G1901" s="131"/>
      <c r="H1901" s="35" t="n">
        <v>0</v>
      </c>
      <c r="I1901" s="34" t="n">
        <f aca="false">+IF(E1901=0,0,E1901*0.03)</f>
        <v>0</v>
      </c>
      <c r="J1901" s="93"/>
      <c r="K1901" s="93"/>
      <c r="L1901" s="93"/>
      <c r="M1901" s="93"/>
      <c r="N1901" s="93"/>
      <c r="O1901" s="93"/>
      <c r="P1901" s="93"/>
      <c r="Q1901" s="93"/>
      <c r="R1901" s="93"/>
      <c r="S1901" s="93"/>
      <c r="T1901" s="93"/>
      <c r="U1901" s="93"/>
      <c r="V1901" s="93"/>
      <c r="W1901" s="93"/>
      <c r="X1901" s="93"/>
      <c r="Y1901" s="93"/>
      <c r="Z1901" s="93"/>
    </row>
    <row r="1902" customFormat="false" ht="16.4" hidden="false" customHeight="false" outlineLevel="0" collapsed="false">
      <c r="A1902" s="123" t="n">
        <v>45444</v>
      </c>
      <c r="B1902" s="31" t="s">
        <v>153</v>
      </c>
      <c r="C1902" s="129"/>
      <c r="D1902" s="129"/>
      <c r="E1902" s="19" t="n">
        <f aca="false">F1902*0.03</f>
        <v>0</v>
      </c>
      <c r="F1902" s="33" t="n">
        <v>0</v>
      </c>
      <c r="G1902" s="131"/>
      <c r="H1902" s="35" t="n">
        <v>0</v>
      </c>
      <c r="I1902" s="34" t="n">
        <f aca="false">+IF(E1902=0,0,E1902*0.03)</f>
        <v>0</v>
      </c>
      <c r="J1902" s="93"/>
      <c r="K1902" s="93"/>
      <c r="L1902" s="93"/>
      <c r="M1902" s="93"/>
      <c r="N1902" s="93"/>
      <c r="O1902" s="93"/>
      <c r="P1902" s="93"/>
      <c r="Q1902" s="93"/>
      <c r="R1902" s="93"/>
      <c r="S1902" s="93"/>
      <c r="T1902" s="93"/>
      <c r="U1902" s="93"/>
      <c r="V1902" s="93"/>
      <c r="W1902" s="93"/>
      <c r="X1902" s="93"/>
      <c r="Y1902" s="93"/>
      <c r="Z1902" s="93"/>
    </row>
    <row r="1903" customFormat="false" ht="16.4" hidden="false" customHeight="false" outlineLevel="0" collapsed="false">
      <c r="A1903" s="123" t="n">
        <v>45444</v>
      </c>
      <c r="B1903" s="31" t="s">
        <v>153</v>
      </c>
      <c r="C1903" s="129"/>
      <c r="D1903" s="129"/>
      <c r="E1903" s="19" t="n">
        <f aca="false">F1903*0.03</f>
        <v>0</v>
      </c>
      <c r="F1903" s="33" t="n">
        <v>0</v>
      </c>
      <c r="G1903" s="131"/>
      <c r="H1903" s="35" t="n">
        <v>0</v>
      </c>
      <c r="I1903" s="34" t="n">
        <f aca="false">+IF(E1903=0,0,E1903*0.03)</f>
        <v>0</v>
      </c>
      <c r="J1903" s="93"/>
      <c r="K1903" s="93"/>
      <c r="L1903" s="93"/>
      <c r="M1903" s="93"/>
      <c r="N1903" s="93"/>
      <c r="O1903" s="93"/>
      <c r="P1903" s="93"/>
      <c r="Q1903" s="93"/>
      <c r="R1903" s="93"/>
      <c r="S1903" s="93"/>
      <c r="T1903" s="93"/>
      <c r="U1903" s="93"/>
      <c r="V1903" s="93"/>
      <c r="W1903" s="93"/>
      <c r="X1903" s="93"/>
      <c r="Y1903" s="93"/>
      <c r="Z1903" s="93"/>
    </row>
    <row r="1904" customFormat="false" ht="16.4" hidden="false" customHeight="false" outlineLevel="0" collapsed="false">
      <c r="A1904" s="123" t="n">
        <v>45444</v>
      </c>
      <c r="B1904" s="31" t="s">
        <v>153</v>
      </c>
      <c r="C1904" s="129"/>
      <c r="D1904" s="129"/>
      <c r="E1904" s="19" t="n">
        <f aca="false">F1904*0.03</f>
        <v>0</v>
      </c>
      <c r="F1904" s="33" t="n">
        <v>0</v>
      </c>
      <c r="G1904" s="131"/>
      <c r="H1904" s="35" t="n">
        <v>0</v>
      </c>
      <c r="I1904" s="34" t="n">
        <f aca="false">+IF(E1904=0,0,E1904*0.03)</f>
        <v>0</v>
      </c>
      <c r="J1904" s="93"/>
      <c r="K1904" s="93"/>
      <c r="L1904" s="93"/>
      <c r="M1904" s="93"/>
      <c r="N1904" s="93"/>
      <c r="O1904" s="93"/>
      <c r="P1904" s="93"/>
      <c r="Q1904" s="93"/>
      <c r="R1904" s="93"/>
      <c r="S1904" s="93"/>
      <c r="T1904" s="93"/>
      <c r="U1904" s="93"/>
      <c r="V1904" s="93"/>
      <c r="W1904" s="93"/>
      <c r="X1904" s="93"/>
      <c r="Y1904" s="93"/>
      <c r="Z1904" s="93"/>
    </row>
    <row r="1905" customFormat="false" ht="16.4" hidden="false" customHeight="false" outlineLevel="0" collapsed="false">
      <c r="A1905" s="123" t="n">
        <v>45444</v>
      </c>
      <c r="B1905" s="31" t="s">
        <v>153</v>
      </c>
      <c r="C1905" s="129"/>
      <c r="D1905" s="129"/>
      <c r="E1905" s="19" t="n">
        <f aca="false">F1905*0.03</f>
        <v>0</v>
      </c>
      <c r="F1905" s="33" t="n">
        <v>0</v>
      </c>
      <c r="G1905" s="131"/>
      <c r="H1905" s="35" t="n">
        <v>0</v>
      </c>
      <c r="I1905" s="34" t="n">
        <f aca="false">+IF(E1905=0,0,E1905*0.03)</f>
        <v>0</v>
      </c>
      <c r="J1905" s="93"/>
      <c r="K1905" s="93"/>
      <c r="L1905" s="93"/>
      <c r="M1905" s="93"/>
      <c r="N1905" s="93"/>
      <c r="O1905" s="93"/>
      <c r="P1905" s="93"/>
      <c r="Q1905" s="93"/>
      <c r="R1905" s="93"/>
      <c r="S1905" s="93"/>
      <c r="T1905" s="93"/>
      <c r="U1905" s="93"/>
      <c r="V1905" s="93"/>
      <c r="W1905" s="93"/>
      <c r="X1905" s="93"/>
      <c r="Y1905" s="93"/>
      <c r="Z1905" s="93"/>
    </row>
    <row r="1906" customFormat="false" ht="16.4" hidden="false" customHeight="false" outlineLevel="0" collapsed="false">
      <c r="A1906" s="123" t="n">
        <v>45444</v>
      </c>
      <c r="B1906" s="31" t="s">
        <v>153</v>
      </c>
      <c r="C1906" s="129"/>
      <c r="D1906" s="129"/>
      <c r="E1906" s="19" t="n">
        <f aca="false">F1906*0.03</f>
        <v>0</v>
      </c>
      <c r="F1906" s="33" t="n">
        <v>0</v>
      </c>
      <c r="G1906" s="131"/>
      <c r="H1906" s="35" t="n">
        <v>0</v>
      </c>
      <c r="I1906" s="34" t="n">
        <f aca="false">+IF(E1906=0,0,E1906*0.03)</f>
        <v>0</v>
      </c>
      <c r="J1906" s="93"/>
      <c r="K1906" s="93"/>
      <c r="L1906" s="93"/>
      <c r="M1906" s="93"/>
      <c r="N1906" s="93"/>
      <c r="O1906" s="93"/>
      <c r="P1906" s="93"/>
      <c r="Q1906" s="93"/>
      <c r="R1906" s="93"/>
      <c r="S1906" s="93"/>
      <c r="T1906" s="93"/>
      <c r="U1906" s="93"/>
      <c r="V1906" s="93"/>
      <c r="W1906" s="93"/>
      <c r="X1906" s="93"/>
      <c r="Y1906" s="93"/>
      <c r="Z1906" s="93"/>
    </row>
    <row r="1907" customFormat="false" ht="16.4" hidden="false" customHeight="false" outlineLevel="0" collapsed="false">
      <c r="A1907" s="123" t="n">
        <v>45444</v>
      </c>
      <c r="B1907" s="31" t="s">
        <v>153</v>
      </c>
      <c r="C1907" s="129"/>
      <c r="D1907" s="129"/>
      <c r="E1907" s="19" t="n">
        <f aca="false">F1907*0.03</f>
        <v>0</v>
      </c>
      <c r="F1907" s="33" t="n">
        <v>0</v>
      </c>
      <c r="G1907" s="131"/>
      <c r="H1907" s="35" t="n">
        <v>0</v>
      </c>
      <c r="I1907" s="34" t="n">
        <f aca="false">+IF(E1907=0,0,E1907*0.03)</f>
        <v>0</v>
      </c>
      <c r="J1907" s="93"/>
      <c r="K1907" s="93"/>
      <c r="L1907" s="93"/>
      <c r="M1907" s="93"/>
      <c r="N1907" s="93"/>
      <c r="O1907" s="93"/>
      <c r="P1907" s="93"/>
      <c r="Q1907" s="93"/>
      <c r="R1907" s="93"/>
      <c r="S1907" s="93"/>
      <c r="T1907" s="93"/>
      <c r="U1907" s="93"/>
      <c r="V1907" s="93"/>
      <c r="W1907" s="93"/>
      <c r="X1907" s="93"/>
      <c r="Y1907" s="93"/>
      <c r="Z1907" s="93"/>
    </row>
    <row r="1908" customFormat="false" ht="16.4" hidden="false" customHeight="false" outlineLevel="0" collapsed="false">
      <c r="A1908" s="123" t="n">
        <v>45444</v>
      </c>
      <c r="B1908" s="31" t="s">
        <v>153</v>
      </c>
      <c r="C1908" s="129"/>
      <c r="D1908" s="129"/>
      <c r="E1908" s="19" t="n">
        <f aca="false">F1908*0.03</f>
        <v>0</v>
      </c>
      <c r="F1908" s="33" t="n">
        <v>0</v>
      </c>
      <c r="G1908" s="131"/>
      <c r="H1908" s="35" t="n">
        <v>0</v>
      </c>
      <c r="I1908" s="34" t="n">
        <f aca="false">+IF(E1908=0,0,E1908*0.03)</f>
        <v>0</v>
      </c>
      <c r="J1908" s="93"/>
      <c r="K1908" s="93"/>
      <c r="L1908" s="93"/>
      <c r="M1908" s="93"/>
      <c r="N1908" s="93"/>
      <c r="O1908" s="93"/>
      <c r="P1908" s="93"/>
      <c r="Q1908" s="93"/>
      <c r="R1908" s="93"/>
      <c r="S1908" s="93"/>
      <c r="T1908" s="93"/>
      <c r="U1908" s="93"/>
      <c r="V1908" s="93"/>
      <c r="W1908" s="93"/>
      <c r="X1908" s="93"/>
      <c r="Y1908" s="93"/>
      <c r="Z1908" s="93"/>
    </row>
    <row r="1909" customFormat="false" ht="16.4" hidden="false" customHeight="false" outlineLevel="0" collapsed="false">
      <c r="A1909" s="123" t="n">
        <v>45444</v>
      </c>
      <c r="B1909" s="31" t="s">
        <v>153</v>
      </c>
      <c r="C1909" s="129"/>
      <c r="D1909" s="129"/>
      <c r="E1909" s="19" t="n">
        <f aca="false">F1909*0.03</f>
        <v>0</v>
      </c>
      <c r="F1909" s="33" t="n">
        <v>0</v>
      </c>
      <c r="G1909" s="131"/>
      <c r="H1909" s="35" t="n">
        <v>0</v>
      </c>
      <c r="I1909" s="34" t="n">
        <f aca="false">+IF(E1909=0,0,E1909*0.03)</f>
        <v>0</v>
      </c>
      <c r="J1909" s="93"/>
      <c r="K1909" s="93"/>
      <c r="L1909" s="93"/>
      <c r="M1909" s="93"/>
      <c r="N1909" s="93"/>
      <c r="O1909" s="93"/>
      <c r="P1909" s="93"/>
      <c r="Q1909" s="93"/>
      <c r="R1909" s="93"/>
      <c r="S1909" s="93"/>
      <c r="T1909" s="93"/>
      <c r="U1909" s="93"/>
      <c r="V1909" s="93"/>
      <c r="W1909" s="93"/>
      <c r="X1909" s="93"/>
      <c r="Y1909" s="93"/>
      <c r="Z1909" s="93"/>
    </row>
    <row r="1910" customFormat="false" ht="16.4" hidden="false" customHeight="false" outlineLevel="0" collapsed="false">
      <c r="A1910" s="123" t="n">
        <v>45444</v>
      </c>
      <c r="B1910" s="31" t="s">
        <v>153</v>
      </c>
      <c r="C1910" s="129"/>
      <c r="D1910" s="129"/>
      <c r="E1910" s="19" t="n">
        <f aca="false">F1910*0.03</f>
        <v>0</v>
      </c>
      <c r="F1910" s="33" t="n">
        <v>0</v>
      </c>
      <c r="G1910" s="131"/>
      <c r="H1910" s="35" t="n">
        <v>0</v>
      </c>
      <c r="I1910" s="34" t="n">
        <f aca="false">+IF(E1910=0,0,E1910*0.03)</f>
        <v>0</v>
      </c>
      <c r="J1910" s="93"/>
      <c r="K1910" s="93"/>
      <c r="L1910" s="93"/>
      <c r="M1910" s="93"/>
      <c r="N1910" s="93"/>
      <c r="O1910" s="93"/>
      <c r="P1910" s="93"/>
      <c r="Q1910" s="93"/>
      <c r="R1910" s="93"/>
      <c r="S1910" s="93"/>
      <c r="T1910" s="93"/>
      <c r="U1910" s="93"/>
      <c r="V1910" s="93"/>
      <c r="W1910" s="93"/>
      <c r="X1910" s="93"/>
      <c r="Y1910" s="93"/>
      <c r="Z1910" s="93"/>
    </row>
    <row r="1911" customFormat="false" ht="16.4" hidden="false" customHeight="false" outlineLevel="0" collapsed="false">
      <c r="A1911" s="123" t="n">
        <v>45444</v>
      </c>
      <c r="B1911" s="31" t="s">
        <v>153</v>
      </c>
      <c r="C1911" s="129"/>
      <c r="D1911" s="129"/>
      <c r="E1911" s="19" t="n">
        <f aca="false">F1911*0.03</f>
        <v>0</v>
      </c>
      <c r="F1911" s="33" t="n">
        <v>0</v>
      </c>
      <c r="G1911" s="131"/>
      <c r="H1911" s="35" t="n">
        <v>0</v>
      </c>
      <c r="I1911" s="34" t="n">
        <f aca="false">+IF(E1911=0,0,E1911*0.03)</f>
        <v>0</v>
      </c>
      <c r="J1911" s="93"/>
      <c r="K1911" s="93"/>
      <c r="L1911" s="93"/>
      <c r="M1911" s="93"/>
      <c r="N1911" s="93"/>
      <c r="O1911" s="93"/>
      <c r="P1911" s="93"/>
      <c r="Q1911" s="93"/>
      <c r="R1911" s="93"/>
      <c r="S1911" s="93"/>
      <c r="T1911" s="93"/>
      <c r="U1911" s="93"/>
      <c r="V1911" s="93"/>
      <c r="W1911" s="93"/>
      <c r="X1911" s="93"/>
      <c r="Y1911" s="93"/>
      <c r="Z1911" s="93"/>
    </row>
    <row r="1912" customFormat="false" ht="16.4" hidden="false" customHeight="false" outlineLevel="0" collapsed="false">
      <c r="A1912" s="123" t="n">
        <v>45444</v>
      </c>
      <c r="B1912" s="31" t="s">
        <v>153</v>
      </c>
      <c r="C1912" s="129"/>
      <c r="D1912" s="129"/>
      <c r="E1912" s="19" t="n">
        <f aca="false">F1912*0.03</f>
        <v>0</v>
      </c>
      <c r="F1912" s="33" t="n">
        <v>0</v>
      </c>
      <c r="G1912" s="131"/>
      <c r="H1912" s="35" t="n">
        <v>0</v>
      </c>
      <c r="I1912" s="34" t="n">
        <f aca="false">+IF(E1912=0,0,E1912*0.03)</f>
        <v>0</v>
      </c>
      <c r="J1912" s="93"/>
      <c r="K1912" s="93"/>
      <c r="L1912" s="93"/>
      <c r="M1912" s="93"/>
      <c r="N1912" s="93"/>
      <c r="O1912" s="93"/>
      <c r="P1912" s="93"/>
      <c r="Q1912" s="93"/>
      <c r="R1912" s="93"/>
      <c r="S1912" s="93"/>
      <c r="T1912" s="93"/>
      <c r="U1912" s="93"/>
      <c r="V1912" s="93"/>
      <c r="W1912" s="93"/>
      <c r="X1912" s="93"/>
      <c r="Y1912" s="93"/>
      <c r="Z1912" s="93"/>
    </row>
    <row r="1913" customFormat="false" ht="16.4" hidden="false" customHeight="false" outlineLevel="0" collapsed="false">
      <c r="A1913" s="123" t="n">
        <v>45444</v>
      </c>
      <c r="B1913" s="31" t="s">
        <v>153</v>
      </c>
      <c r="C1913" s="129"/>
      <c r="D1913" s="129"/>
      <c r="E1913" s="19" t="n">
        <f aca="false">F1913*0.03</f>
        <v>0</v>
      </c>
      <c r="F1913" s="33" t="n">
        <v>0</v>
      </c>
      <c r="G1913" s="131"/>
      <c r="H1913" s="35" t="n">
        <v>0</v>
      </c>
      <c r="I1913" s="34" t="n">
        <f aca="false">+IF(E1913=0,0,E1913*0.03)</f>
        <v>0</v>
      </c>
      <c r="J1913" s="93"/>
      <c r="K1913" s="93"/>
      <c r="L1913" s="93"/>
      <c r="M1913" s="93"/>
      <c r="N1913" s="93"/>
      <c r="O1913" s="93"/>
      <c r="P1913" s="93"/>
      <c r="Q1913" s="93"/>
      <c r="R1913" s="93"/>
      <c r="S1913" s="93"/>
      <c r="T1913" s="93"/>
      <c r="U1913" s="93"/>
      <c r="V1913" s="93"/>
      <c r="W1913" s="93"/>
      <c r="X1913" s="93"/>
      <c r="Y1913" s="93"/>
      <c r="Z1913" s="93"/>
    </row>
    <row r="1914" customFormat="false" ht="16.4" hidden="false" customHeight="false" outlineLevel="0" collapsed="false">
      <c r="A1914" s="123" t="n">
        <v>45444</v>
      </c>
      <c r="B1914" s="31" t="s">
        <v>153</v>
      </c>
      <c r="C1914" s="129"/>
      <c r="D1914" s="129"/>
      <c r="E1914" s="19" t="n">
        <f aca="false">F1914*0.03</f>
        <v>0</v>
      </c>
      <c r="F1914" s="33" t="n">
        <v>0</v>
      </c>
      <c r="G1914" s="131"/>
      <c r="H1914" s="35" t="n">
        <v>0</v>
      </c>
      <c r="I1914" s="34" t="n">
        <f aca="false">+IF(E1914=0,0,E1914*0.03)</f>
        <v>0</v>
      </c>
      <c r="J1914" s="93"/>
      <c r="K1914" s="93"/>
      <c r="L1914" s="93"/>
      <c r="M1914" s="93"/>
      <c r="N1914" s="93"/>
      <c r="O1914" s="93"/>
      <c r="P1914" s="93"/>
      <c r="Q1914" s="93"/>
      <c r="R1914" s="93"/>
      <c r="S1914" s="93"/>
      <c r="T1914" s="93"/>
      <c r="U1914" s="93"/>
      <c r="V1914" s="93"/>
      <c r="W1914" s="93"/>
      <c r="X1914" s="93"/>
      <c r="Y1914" s="93"/>
      <c r="Z1914" s="93"/>
    </row>
    <row r="1915" customFormat="false" ht="16.4" hidden="false" customHeight="false" outlineLevel="0" collapsed="false">
      <c r="A1915" s="123" t="n">
        <v>45444</v>
      </c>
      <c r="B1915" s="31" t="s">
        <v>153</v>
      </c>
      <c r="C1915" s="129"/>
      <c r="D1915" s="129"/>
      <c r="E1915" s="19" t="n">
        <f aca="false">F1915*0.03</f>
        <v>0</v>
      </c>
      <c r="F1915" s="33" t="n">
        <v>0</v>
      </c>
      <c r="G1915" s="131"/>
      <c r="H1915" s="35" t="n">
        <v>0</v>
      </c>
      <c r="I1915" s="34" t="n">
        <f aca="false">+IF(E1915=0,0,E1915*0.03)</f>
        <v>0</v>
      </c>
      <c r="J1915" s="93"/>
      <c r="K1915" s="93"/>
      <c r="L1915" s="93"/>
      <c r="M1915" s="93"/>
      <c r="N1915" s="93"/>
      <c r="O1915" s="93"/>
      <c r="P1915" s="93"/>
      <c r="Q1915" s="93"/>
      <c r="R1915" s="93"/>
      <c r="S1915" s="93"/>
      <c r="T1915" s="93"/>
      <c r="U1915" s="93"/>
      <c r="V1915" s="93"/>
      <c r="W1915" s="93"/>
      <c r="X1915" s="93"/>
      <c r="Y1915" s="93"/>
      <c r="Z1915" s="93"/>
    </row>
    <row r="1916" customFormat="false" ht="16.4" hidden="false" customHeight="false" outlineLevel="0" collapsed="false">
      <c r="A1916" s="123" t="n">
        <v>45444</v>
      </c>
      <c r="B1916" s="31" t="s">
        <v>153</v>
      </c>
      <c r="C1916" s="129"/>
      <c r="D1916" s="129"/>
      <c r="E1916" s="19" t="n">
        <f aca="false">F1916*0.03</f>
        <v>0</v>
      </c>
      <c r="F1916" s="33" t="n">
        <v>0</v>
      </c>
      <c r="G1916" s="131"/>
      <c r="H1916" s="35" t="n">
        <v>0</v>
      </c>
      <c r="I1916" s="34" t="n">
        <f aca="false">+IF(E1916=0,0,E1916*0.03)</f>
        <v>0</v>
      </c>
      <c r="J1916" s="93"/>
      <c r="K1916" s="93"/>
      <c r="L1916" s="93"/>
      <c r="M1916" s="93"/>
      <c r="N1916" s="93"/>
      <c r="O1916" s="93"/>
      <c r="P1916" s="93"/>
      <c r="Q1916" s="93"/>
      <c r="R1916" s="93"/>
      <c r="S1916" s="93"/>
      <c r="T1916" s="93"/>
      <c r="U1916" s="93"/>
      <c r="V1916" s="93"/>
      <c r="W1916" s="93"/>
      <c r="X1916" s="93"/>
      <c r="Y1916" s="93"/>
      <c r="Z1916" s="93"/>
    </row>
    <row r="1917" customFormat="false" ht="16.4" hidden="false" customHeight="false" outlineLevel="0" collapsed="false">
      <c r="A1917" s="123" t="n">
        <v>45444</v>
      </c>
      <c r="B1917" s="31" t="s">
        <v>153</v>
      </c>
      <c r="C1917" s="129"/>
      <c r="D1917" s="129"/>
      <c r="E1917" s="19" t="n">
        <f aca="false">F1917*0.03</f>
        <v>0</v>
      </c>
      <c r="F1917" s="33" t="n">
        <v>0</v>
      </c>
      <c r="G1917" s="131"/>
      <c r="H1917" s="35" t="n">
        <v>0</v>
      </c>
      <c r="I1917" s="34" t="n">
        <f aca="false">+IF(E1917=0,0,E1917*0.03)</f>
        <v>0</v>
      </c>
      <c r="J1917" s="93"/>
      <c r="K1917" s="93"/>
      <c r="L1917" s="93"/>
      <c r="M1917" s="93"/>
      <c r="N1917" s="93"/>
      <c r="O1917" s="93"/>
      <c r="P1917" s="93"/>
      <c r="Q1917" s="93"/>
      <c r="R1917" s="93"/>
      <c r="S1917" s="93"/>
      <c r="T1917" s="93"/>
      <c r="U1917" s="93"/>
      <c r="V1917" s="93"/>
      <c r="W1917" s="93"/>
      <c r="X1917" s="93"/>
      <c r="Y1917" s="93"/>
      <c r="Z1917" s="93"/>
    </row>
    <row r="1918" customFormat="false" ht="16.4" hidden="false" customHeight="false" outlineLevel="0" collapsed="false">
      <c r="A1918" s="123" t="n">
        <v>45444</v>
      </c>
      <c r="B1918" s="31" t="s">
        <v>153</v>
      </c>
      <c r="C1918" s="129"/>
      <c r="D1918" s="129"/>
      <c r="E1918" s="19" t="n">
        <f aca="false">F1918*0.03</f>
        <v>0</v>
      </c>
      <c r="F1918" s="33" t="n">
        <v>0</v>
      </c>
      <c r="G1918" s="131"/>
      <c r="H1918" s="35" t="n">
        <v>0</v>
      </c>
      <c r="I1918" s="34" t="n">
        <f aca="false">+IF(E1918=0,0,E1918*0.03)</f>
        <v>0</v>
      </c>
      <c r="J1918" s="93"/>
      <c r="K1918" s="93"/>
      <c r="L1918" s="93"/>
      <c r="M1918" s="93"/>
      <c r="N1918" s="93"/>
      <c r="O1918" s="93"/>
      <c r="P1918" s="93"/>
      <c r="Q1918" s="93"/>
      <c r="R1918" s="93"/>
      <c r="S1918" s="93"/>
      <c r="T1918" s="93"/>
      <c r="U1918" s="93"/>
      <c r="V1918" s="93"/>
      <c r="W1918" s="93"/>
      <c r="X1918" s="93"/>
      <c r="Y1918" s="93"/>
      <c r="Z1918" s="93"/>
    </row>
    <row r="1919" customFormat="false" ht="16.4" hidden="false" customHeight="false" outlineLevel="0" collapsed="false">
      <c r="A1919" s="123" t="n">
        <v>45444</v>
      </c>
      <c r="B1919" s="31" t="s">
        <v>153</v>
      </c>
      <c r="C1919" s="129"/>
      <c r="D1919" s="129"/>
      <c r="E1919" s="19" t="n">
        <f aca="false">F1919*0.03</f>
        <v>0</v>
      </c>
      <c r="F1919" s="33" t="n">
        <v>0</v>
      </c>
      <c r="G1919" s="131"/>
      <c r="H1919" s="35" t="n">
        <v>0</v>
      </c>
      <c r="I1919" s="34" t="n">
        <f aca="false">+IF(E1919=0,0,E1919*0.03)</f>
        <v>0</v>
      </c>
      <c r="J1919" s="93"/>
      <c r="K1919" s="93"/>
      <c r="L1919" s="93"/>
      <c r="M1919" s="93"/>
      <c r="N1919" s="93"/>
      <c r="O1919" s="93"/>
      <c r="P1919" s="93"/>
      <c r="Q1919" s="93"/>
      <c r="R1919" s="93"/>
      <c r="S1919" s="93"/>
      <c r="T1919" s="93"/>
      <c r="U1919" s="93"/>
      <c r="V1919" s="93"/>
      <c r="W1919" s="93"/>
      <c r="X1919" s="93"/>
      <c r="Y1919" s="93"/>
      <c r="Z1919" s="93"/>
    </row>
    <row r="1920" customFormat="false" ht="16.4" hidden="false" customHeight="false" outlineLevel="0" collapsed="false">
      <c r="A1920" s="123" t="n">
        <v>45444</v>
      </c>
      <c r="B1920" s="31" t="s">
        <v>153</v>
      </c>
      <c r="C1920" s="129"/>
      <c r="D1920" s="129"/>
      <c r="E1920" s="19" t="n">
        <f aca="false">F1920*0.03</f>
        <v>0</v>
      </c>
      <c r="F1920" s="33" t="n">
        <v>0</v>
      </c>
      <c r="G1920" s="131"/>
      <c r="H1920" s="35" t="n">
        <v>0</v>
      </c>
      <c r="I1920" s="34" t="n">
        <f aca="false">+IF(E1920=0,0,E1920*0.03)</f>
        <v>0</v>
      </c>
      <c r="J1920" s="93"/>
      <c r="K1920" s="93"/>
      <c r="L1920" s="93"/>
      <c r="M1920" s="93"/>
      <c r="N1920" s="93"/>
      <c r="O1920" s="93"/>
      <c r="P1920" s="93"/>
      <c r="Q1920" s="93"/>
      <c r="R1920" s="93"/>
      <c r="S1920" s="93"/>
      <c r="T1920" s="93"/>
      <c r="U1920" s="93"/>
      <c r="V1920" s="93"/>
      <c r="W1920" s="93"/>
      <c r="X1920" s="93"/>
      <c r="Y1920" s="93"/>
      <c r="Z1920" s="93"/>
    </row>
    <row r="1921" customFormat="false" ht="16.4" hidden="false" customHeight="false" outlineLevel="0" collapsed="false">
      <c r="A1921" s="123" t="n">
        <v>45444</v>
      </c>
      <c r="B1921" s="31" t="s">
        <v>153</v>
      </c>
      <c r="C1921" s="129"/>
      <c r="D1921" s="129"/>
      <c r="E1921" s="19" t="n">
        <f aca="false">F1921*0.03</f>
        <v>0</v>
      </c>
      <c r="F1921" s="33" t="n">
        <v>0</v>
      </c>
      <c r="G1921" s="131"/>
      <c r="H1921" s="35" t="n">
        <v>0</v>
      </c>
      <c r="I1921" s="34" t="n">
        <f aca="false">+IF(E1921=0,0,E1921*0.03)</f>
        <v>0</v>
      </c>
      <c r="J1921" s="93"/>
      <c r="K1921" s="93"/>
      <c r="L1921" s="93"/>
      <c r="M1921" s="93"/>
      <c r="N1921" s="93"/>
      <c r="O1921" s="93"/>
      <c r="P1921" s="93"/>
      <c r="Q1921" s="93"/>
      <c r="R1921" s="93"/>
      <c r="S1921" s="93"/>
      <c r="T1921" s="93"/>
      <c r="U1921" s="93"/>
      <c r="V1921" s="93"/>
      <c r="W1921" s="93"/>
      <c r="X1921" s="93"/>
      <c r="Y1921" s="93"/>
      <c r="Z1921" s="93"/>
    </row>
    <row r="1922" customFormat="false" ht="16.4" hidden="false" customHeight="false" outlineLevel="0" collapsed="false">
      <c r="A1922" s="123" t="n">
        <v>45444</v>
      </c>
      <c r="B1922" s="31" t="s">
        <v>153</v>
      </c>
      <c r="C1922" s="129"/>
      <c r="D1922" s="129"/>
      <c r="E1922" s="19" t="n">
        <f aca="false">F1922*0.03</f>
        <v>0</v>
      </c>
      <c r="F1922" s="33" t="n">
        <v>0</v>
      </c>
      <c r="G1922" s="131"/>
      <c r="H1922" s="35" t="n">
        <v>0</v>
      </c>
      <c r="I1922" s="34" t="n">
        <f aca="false">+IF(E1922=0,0,E1922*0.03)</f>
        <v>0</v>
      </c>
      <c r="J1922" s="93"/>
      <c r="K1922" s="93"/>
      <c r="L1922" s="93"/>
      <c r="M1922" s="93"/>
      <c r="N1922" s="93"/>
      <c r="O1922" s="93"/>
      <c r="P1922" s="93"/>
      <c r="Q1922" s="93"/>
      <c r="R1922" s="93"/>
      <c r="S1922" s="93"/>
      <c r="T1922" s="93"/>
      <c r="U1922" s="93"/>
      <c r="V1922" s="93"/>
      <c r="W1922" s="93"/>
      <c r="X1922" s="93"/>
      <c r="Y1922" s="93"/>
      <c r="Z1922" s="93"/>
    </row>
    <row r="1923" customFormat="false" ht="16.4" hidden="false" customHeight="false" outlineLevel="0" collapsed="false">
      <c r="A1923" s="123" t="n">
        <v>45444</v>
      </c>
      <c r="B1923" s="31" t="s">
        <v>153</v>
      </c>
      <c r="C1923" s="129"/>
      <c r="D1923" s="129"/>
      <c r="E1923" s="19" t="n">
        <f aca="false">F1923*0.03</f>
        <v>0</v>
      </c>
      <c r="F1923" s="33" t="n">
        <v>0</v>
      </c>
      <c r="G1923" s="131"/>
      <c r="H1923" s="35" t="n">
        <v>0</v>
      </c>
      <c r="I1923" s="34" t="n">
        <f aca="false">+IF(E1923=0,0,E1923*0.03)</f>
        <v>0</v>
      </c>
      <c r="J1923" s="93"/>
      <c r="K1923" s="93"/>
      <c r="L1923" s="93"/>
      <c r="M1923" s="93"/>
      <c r="N1923" s="93"/>
      <c r="O1923" s="93"/>
      <c r="P1923" s="93"/>
      <c r="Q1923" s="93"/>
      <c r="R1923" s="93"/>
      <c r="S1923" s="93"/>
      <c r="T1923" s="93"/>
      <c r="U1923" s="93"/>
      <c r="V1923" s="93"/>
      <c r="W1923" s="93"/>
      <c r="X1923" s="93"/>
      <c r="Y1923" s="93"/>
      <c r="Z1923" s="93"/>
    </row>
    <row r="1924" customFormat="false" ht="16.4" hidden="false" customHeight="false" outlineLevel="0" collapsed="false">
      <c r="A1924" s="123" t="n">
        <v>45444</v>
      </c>
      <c r="B1924" s="31" t="s">
        <v>153</v>
      </c>
      <c r="C1924" s="129"/>
      <c r="D1924" s="129"/>
      <c r="E1924" s="19" t="n">
        <f aca="false">F1924*0.03</f>
        <v>0</v>
      </c>
      <c r="F1924" s="33" t="n">
        <v>0</v>
      </c>
      <c r="G1924" s="131"/>
      <c r="H1924" s="35" t="n">
        <v>0</v>
      </c>
      <c r="I1924" s="34" t="n">
        <f aca="false">+IF(E1924=0,0,E1924*0.03)</f>
        <v>0</v>
      </c>
      <c r="J1924" s="93"/>
      <c r="K1924" s="93"/>
      <c r="L1924" s="93"/>
      <c r="M1924" s="93"/>
      <c r="N1924" s="93"/>
      <c r="O1924" s="93"/>
      <c r="P1924" s="93"/>
      <c r="Q1924" s="93"/>
      <c r="R1924" s="93"/>
      <c r="S1924" s="93"/>
      <c r="T1924" s="93"/>
      <c r="U1924" s="93"/>
      <c r="V1924" s="93"/>
      <c r="W1924" s="93"/>
      <c r="X1924" s="93"/>
      <c r="Y1924" s="93"/>
      <c r="Z1924" s="93"/>
    </row>
    <row r="1925" customFormat="false" ht="16.4" hidden="false" customHeight="false" outlineLevel="0" collapsed="false">
      <c r="A1925" s="123" t="n">
        <v>45444</v>
      </c>
      <c r="B1925" s="31" t="s">
        <v>153</v>
      </c>
      <c r="C1925" s="129"/>
      <c r="D1925" s="129"/>
      <c r="E1925" s="19" t="n">
        <f aca="false">F1925*0.03</f>
        <v>0</v>
      </c>
      <c r="F1925" s="33" t="n">
        <v>0</v>
      </c>
      <c r="G1925" s="131"/>
      <c r="H1925" s="35" t="n">
        <v>0</v>
      </c>
      <c r="I1925" s="34" t="n">
        <f aca="false">+IF(E1925=0,0,E1925*0.03)</f>
        <v>0</v>
      </c>
      <c r="J1925" s="93"/>
      <c r="K1925" s="93"/>
      <c r="L1925" s="93"/>
      <c r="M1925" s="93"/>
      <c r="N1925" s="93"/>
      <c r="O1925" s="93"/>
      <c r="P1925" s="93"/>
      <c r="Q1925" s="93"/>
      <c r="R1925" s="93"/>
      <c r="S1925" s="93"/>
      <c r="T1925" s="93"/>
      <c r="U1925" s="93"/>
      <c r="V1925" s="93"/>
      <c r="W1925" s="93"/>
      <c r="X1925" s="93"/>
      <c r="Y1925" s="93"/>
      <c r="Z1925" s="93"/>
    </row>
    <row r="1926" customFormat="false" ht="16.4" hidden="false" customHeight="false" outlineLevel="0" collapsed="false">
      <c r="A1926" s="123" t="n">
        <v>45444</v>
      </c>
      <c r="B1926" s="31" t="s">
        <v>153</v>
      </c>
      <c r="C1926" s="129"/>
      <c r="D1926" s="129"/>
      <c r="E1926" s="19" t="n">
        <f aca="false">F1926*0.03</f>
        <v>0</v>
      </c>
      <c r="F1926" s="33" t="n">
        <v>0</v>
      </c>
      <c r="G1926" s="131"/>
      <c r="H1926" s="35" t="n">
        <v>0</v>
      </c>
      <c r="I1926" s="34" t="n">
        <f aca="false">+IF(E1926=0,0,E1926*0.03)</f>
        <v>0</v>
      </c>
      <c r="J1926" s="93"/>
      <c r="K1926" s="93"/>
      <c r="L1926" s="93"/>
      <c r="M1926" s="93"/>
      <c r="N1926" s="93"/>
      <c r="O1926" s="93"/>
      <c r="P1926" s="93"/>
      <c r="Q1926" s="93"/>
      <c r="R1926" s="93"/>
      <c r="S1926" s="93"/>
      <c r="T1926" s="93"/>
      <c r="U1926" s="93"/>
      <c r="V1926" s="93"/>
      <c r="W1926" s="93"/>
      <c r="X1926" s="93"/>
      <c r="Y1926" s="93"/>
      <c r="Z1926" s="93"/>
    </row>
    <row r="1927" customFormat="false" ht="16.4" hidden="false" customHeight="false" outlineLevel="0" collapsed="false">
      <c r="A1927" s="123" t="n">
        <v>45444</v>
      </c>
      <c r="B1927" s="31" t="s">
        <v>153</v>
      </c>
      <c r="C1927" s="129"/>
      <c r="D1927" s="129"/>
      <c r="E1927" s="19" t="n">
        <f aca="false">F1927*0.03</f>
        <v>0</v>
      </c>
      <c r="F1927" s="33" t="n">
        <v>0</v>
      </c>
      <c r="G1927" s="131"/>
      <c r="H1927" s="35" t="n">
        <v>0</v>
      </c>
      <c r="I1927" s="34" t="n">
        <f aca="false">+IF(E1927=0,0,E1927*0.03)</f>
        <v>0</v>
      </c>
      <c r="J1927" s="93"/>
      <c r="K1927" s="93"/>
      <c r="L1927" s="93"/>
      <c r="M1927" s="93"/>
      <c r="N1927" s="93"/>
      <c r="O1927" s="93"/>
      <c r="P1927" s="93"/>
      <c r="Q1927" s="93"/>
      <c r="R1927" s="93"/>
      <c r="S1927" s="93"/>
      <c r="T1927" s="93"/>
      <c r="U1927" s="93"/>
      <c r="V1927" s="93"/>
      <c r="W1927" s="93"/>
      <c r="X1927" s="93"/>
      <c r="Y1927" s="93"/>
      <c r="Z1927" s="93"/>
    </row>
    <row r="1928" customFormat="false" ht="16.4" hidden="false" customHeight="false" outlineLevel="0" collapsed="false">
      <c r="A1928" s="123" t="n">
        <v>45444</v>
      </c>
      <c r="B1928" s="31" t="s">
        <v>153</v>
      </c>
      <c r="C1928" s="129"/>
      <c r="D1928" s="129"/>
      <c r="E1928" s="19" t="n">
        <f aca="false">F1928*0.03</f>
        <v>0</v>
      </c>
      <c r="F1928" s="33" t="n">
        <v>0</v>
      </c>
      <c r="G1928" s="131"/>
      <c r="H1928" s="35" t="n">
        <v>0</v>
      </c>
      <c r="I1928" s="34" t="n">
        <f aca="false">+IF(E1928=0,0,E1928*0.03)</f>
        <v>0</v>
      </c>
      <c r="J1928" s="93"/>
      <c r="K1928" s="93"/>
      <c r="L1928" s="93"/>
      <c r="M1928" s="93"/>
      <c r="N1928" s="93"/>
      <c r="O1928" s="93"/>
      <c r="P1928" s="93"/>
      <c r="Q1928" s="93"/>
      <c r="R1928" s="93"/>
      <c r="S1928" s="93"/>
      <c r="T1928" s="93"/>
      <c r="U1928" s="93"/>
      <c r="V1928" s="93"/>
      <c r="W1928" s="93"/>
      <c r="X1928" s="93"/>
      <c r="Y1928" s="93"/>
      <c r="Z1928" s="93"/>
    </row>
    <row r="1929" customFormat="false" ht="16.4" hidden="false" customHeight="false" outlineLevel="0" collapsed="false">
      <c r="A1929" s="123" t="n">
        <v>45444</v>
      </c>
      <c r="B1929" s="31" t="s">
        <v>153</v>
      </c>
      <c r="C1929" s="129"/>
      <c r="D1929" s="129"/>
      <c r="E1929" s="19" t="n">
        <f aca="false">F1929*0.03</f>
        <v>0</v>
      </c>
      <c r="F1929" s="33" t="n">
        <v>0</v>
      </c>
      <c r="G1929" s="131"/>
      <c r="H1929" s="35" t="n">
        <v>0</v>
      </c>
      <c r="I1929" s="34" t="n">
        <f aca="false">+IF(E1929=0,0,E1929*0.03)</f>
        <v>0</v>
      </c>
      <c r="J1929" s="93"/>
      <c r="K1929" s="93"/>
      <c r="L1929" s="93"/>
      <c r="M1929" s="93"/>
      <c r="N1929" s="93"/>
      <c r="O1929" s="93"/>
      <c r="P1929" s="93"/>
      <c r="Q1929" s="93"/>
      <c r="R1929" s="93"/>
      <c r="S1929" s="93"/>
      <c r="T1929" s="93"/>
      <c r="U1929" s="93"/>
      <c r="V1929" s="93"/>
      <c r="W1929" s="93"/>
      <c r="X1929" s="93"/>
      <c r="Y1929" s="93"/>
      <c r="Z1929" s="93"/>
    </row>
    <row r="1930" customFormat="false" ht="16.4" hidden="false" customHeight="false" outlineLevel="0" collapsed="false">
      <c r="A1930" s="123" t="n">
        <v>45444</v>
      </c>
      <c r="B1930" s="31" t="s">
        <v>153</v>
      </c>
      <c r="C1930" s="129"/>
      <c r="D1930" s="129"/>
      <c r="E1930" s="19" t="n">
        <f aca="false">F1930*0.03</f>
        <v>0</v>
      </c>
      <c r="F1930" s="33" t="n">
        <v>0</v>
      </c>
      <c r="G1930" s="131"/>
      <c r="H1930" s="35" t="n">
        <v>0</v>
      </c>
      <c r="I1930" s="34" t="n">
        <f aca="false">+IF(E1930=0,0,E1930*0.03)</f>
        <v>0</v>
      </c>
      <c r="J1930" s="93"/>
      <c r="K1930" s="93"/>
      <c r="L1930" s="93"/>
      <c r="M1930" s="93"/>
      <c r="N1930" s="93"/>
      <c r="O1930" s="93"/>
      <c r="P1930" s="93"/>
      <c r="Q1930" s="93"/>
      <c r="R1930" s="93"/>
      <c r="S1930" s="93"/>
      <c r="T1930" s="93"/>
      <c r="U1930" s="93"/>
      <c r="V1930" s="93"/>
      <c r="W1930" s="93"/>
      <c r="X1930" s="93"/>
      <c r="Y1930" s="93"/>
      <c r="Z1930" s="93"/>
    </row>
    <row r="1931" customFormat="false" ht="16.4" hidden="false" customHeight="false" outlineLevel="0" collapsed="false">
      <c r="A1931" s="123" t="n">
        <v>45444</v>
      </c>
      <c r="B1931" s="31" t="s">
        <v>153</v>
      </c>
      <c r="C1931" s="129"/>
      <c r="D1931" s="129"/>
      <c r="E1931" s="19" t="n">
        <f aca="false">F1931*0.03</f>
        <v>0</v>
      </c>
      <c r="F1931" s="33" t="n">
        <v>0</v>
      </c>
      <c r="G1931" s="131"/>
      <c r="H1931" s="35" t="n">
        <v>0</v>
      </c>
      <c r="I1931" s="34" t="n">
        <f aca="false">+IF(E1931=0,0,E1931*0.03)</f>
        <v>0</v>
      </c>
      <c r="J1931" s="93"/>
      <c r="K1931" s="93"/>
      <c r="L1931" s="93"/>
      <c r="M1931" s="93"/>
      <c r="N1931" s="93"/>
      <c r="O1931" s="93"/>
      <c r="P1931" s="93"/>
      <c r="Q1931" s="93"/>
      <c r="R1931" s="93"/>
      <c r="S1931" s="93"/>
      <c r="T1931" s="93"/>
      <c r="U1931" s="93"/>
      <c r="V1931" s="93"/>
      <c r="W1931" s="93"/>
      <c r="X1931" s="93"/>
      <c r="Y1931" s="93"/>
      <c r="Z1931" s="93"/>
    </row>
    <row r="1932" customFormat="false" ht="16.4" hidden="false" customHeight="false" outlineLevel="0" collapsed="false">
      <c r="A1932" s="123" t="n">
        <v>45444</v>
      </c>
      <c r="B1932" s="31" t="s">
        <v>153</v>
      </c>
      <c r="C1932" s="129"/>
      <c r="D1932" s="129"/>
      <c r="E1932" s="19" t="n">
        <f aca="false">F1932*0.03</f>
        <v>0</v>
      </c>
      <c r="F1932" s="33" t="n">
        <v>0</v>
      </c>
      <c r="G1932" s="131"/>
      <c r="H1932" s="35" t="n">
        <v>0</v>
      </c>
      <c r="I1932" s="34" t="n">
        <f aca="false">+IF(E1932=0,0,E1932*0.03)</f>
        <v>0</v>
      </c>
      <c r="J1932" s="93"/>
      <c r="K1932" s="93"/>
      <c r="L1932" s="93"/>
      <c r="M1932" s="93"/>
      <c r="N1932" s="93"/>
      <c r="O1932" s="93"/>
      <c r="P1932" s="93"/>
      <c r="Q1932" s="93"/>
      <c r="R1932" s="93"/>
      <c r="S1932" s="93"/>
      <c r="T1932" s="93"/>
      <c r="U1932" s="93"/>
      <c r="V1932" s="93"/>
      <c r="W1932" s="93"/>
      <c r="X1932" s="93"/>
      <c r="Y1932" s="93"/>
      <c r="Z1932" s="93"/>
    </row>
    <row r="1933" customFormat="false" ht="16.4" hidden="false" customHeight="false" outlineLevel="0" collapsed="false">
      <c r="A1933" s="123" t="n">
        <v>45444</v>
      </c>
      <c r="B1933" s="31" t="s">
        <v>153</v>
      </c>
      <c r="C1933" s="129"/>
      <c r="D1933" s="129"/>
      <c r="E1933" s="19" t="n">
        <f aca="false">F1933*0.03</f>
        <v>0</v>
      </c>
      <c r="F1933" s="33" t="n">
        <v>0</v>
      </c>
      <c r="G1933" s="131"/>
      <c r="H1933" s="35" t="n">
        <v>0</v>
      </c>
      <c r="I1933" s="34" t="n">
        <f aca="false">+IF(E1933=0,0,E1933*0.03)</f>
        <v>0</v>
      </c>
      <c r="J1933" s="93"/>
      <c r="K1933" s="93"/>
      <c r="L1933" s="93"/>
      <c r="M1933" s="93"/>
      <c r="N1933" s="93"/>
      <c r="O1933" s="93"/>
      <c r="P1933" s="93"/>
      <c r="Q1933" s="93"/>
      <c r="R1933" s="93"/>
      <c r="S1933" s="93"/>
      <c r="T1933" s="93"/>
      <c r="U1933" s="93"/>
      <c r="V1933" s="93"/>
      <c r="W1933" s="93"/>
      <c r="X1933" s="93"/>
      <c r="Y1933" s="93"/>
      <c r="Z1933" s="93"/>
    </row>
    <row r="1934" customFormat="false" ht="16.4" hidden="false" customHeight="false" outlineLevel="0" collapsed="false">
      <c r="A1934" s="123" t="n">
        <v>45444</v>
      </c>
      <c r="B1934" s="31" t="s">
        <v>153</v>
      </c>
      <c r="C1934" s="129"/>
      <c r="D1934" s="129"/>
      <c r="E1934" s="19" t="n">
        <f aca="false">F1934*0.03</f>
        <v>0</v>
      </c>
      <c r="F1934" s="33" t="n">
        <v>0</v>
      </c>
      <c r="G1934" s="131"/>
      <c r="H1934" s="35" t="n">
        <v>0</v>
      </c>
      <c r="I1934" s="34" t="n">
        <f aca="false">+IF(E1934=0,0,E1934*0.03)</f>
        <v>0</v>
      </c>
      <c r="J1934" s="93"/>
      <c r="K1934" s="93"/>
      <c r="L1934" s="93"/>
      <c r="M1934" s="93"/>
      <c r="N1934" s="93"/>
      <c r="O1934" s="93"/>
      <c r="P1934" s="93"/>
      <c r="Q1934" s="93"/>
      <c r="R1934" s="93"/>
      <c r="S1934" s="93"/>
      <c r="T1934" s="93"/>
      <c r="U1934" s="93"/>
      <c r="V1934" s="93"/>
      <c r="W1934" s="93"/>
      <c r="X1934" s="93"/>
      <c r="Y1934" s="93"/>
      <c r="Z1934" s="93"/>
    </row>
    <row r="1935" customFormat="false" ht="16.4" hidden="false" customHeight="false" outlineLevel="0" collapsed="false">
      <c r="A1935" s="123" t="n">
        <v>45444</v>
      </c>
      <c r="B1935" s="31" t="s">
        <v>153</v>
      </c>
      <c r="C1935" s="129"/>
      <c r="D1935" s="129"/>
      <c r="E1935" s="19" t="n">
        <f aca="false">F1935*0.03</f>
        <v>0</v>
      </c>
      <c r="F1935" s="33" t="n">
        <v>0</v>
      </c>
      <c r="G1935" s="131"/>
      <c r="H1935" s="35" t="n">
        <v>0</v>
      </c>
      <c r="I1935" s="34" t="n">
        <f aca="false">+IF(E1935=0,0,E1935*0.03)</f>
        <v>0</v>
      </c>
      <c r="J1935" s="93"/>
      <c r="K1935" s="93"/>
      <c r="L1935" s="93"/>
      <c r="M1935" s="93"/>
      <c r="N1935" s="93"/>
      <c r="O1935" s="93"/>
      <c r="P1935" s="93"/>
      <c r="Q1935" s="93"/>
      <c r="R1935" s="93"/>
      <c r="S1935" s="93"/>
      <c r="T1935" s="93"/>
      <c r="U1935" s="93"/>
      <c r="V1935" s="93"/>
      <c r="W1935" s="93"/>
      <c r="X1935" s="93"/>
      <c r="Y1935" s="93"/>
      <c r="Z1935" s="93"/>
    </row>
    <row r="1936" customFormat="false" ht="16.4" hidden="false" customHeight="false" outlineLevel="0" collapsed="false">
      <c r="A1936" s="123" t="n">
        <v>45444</v>
      </c>
      <c r="B1936" s="31" t="s">
        <v>153</v>
      </c>
      <c r="C1936" s="129"/>
      <c r="D1936" s="129"/>
      <c r="E1936" s="19" t="n">
        <f aca="false">F1936*0.03</f>
        <v>0</v>
      </c>
      <c r="F1936" s="33" t="n">
        <v>0</v>
      </c>
      <c r="G1936" s="131"/>
      <c r="H1936" s="35" t="n">
        <v>0</v>
      </c>
      <c r="I1936" s="34" t="n">
        <f aca="false">+IF(E1936=0,0,E1936*0.03)</f>
        <v>0</v>
      </c>
      <c r="J1936" s="93"/>
      <c r="K1936" s="93"/>
      <c r="L1936" s="93"/>
      <c r="M1936" s="93"/>
      <c r="N1936" s="93"/>
      <c r="O1936" s="93"/>
      <c r="P1936" s="93"/>
      <c r="Q1936" s="93"/>
      <c r="R1936" s="93"/>
      <c r="S1936" s="93"/>
      <c r="T1936" s="93"/>
      <c r="U1936" s="93"/>
      <c r="V1936" s="93"/>
      <c r="W1936" s="93"/>
      <c r="X1936" s="93"/>
      <c r="Y1936" s="93"/>
      <c r="Z1936" s="93"/>
    </row>
    <row r="1937" customFormat="false" ht="16.4" hidden="false" customHeight="false" outlineLevel="0" collapsed="false">
      <c r="A1937" s="123" t="n">
        <v>45444</v>
      </c>
      <c r="B1937" s="31" t="s">
        <v>153</v>
      </c>
      <c r="C1937" s="129"/>
      <c r="D1937" s="129"/>
      <c r="E1937" s="19" t="n">
        <f aca="false">F1937*0.03</f>
        <v>0</v>
      </c>
      <c r="F1937" s="33" t="n">
        <v>0</v>
      </c>
      <c r="G1937" s="131"/>
      <c r="H1937" s="35" t="n">
        <v>0</v>
      </c>
      <c r="I1937" s="34" t="n">
        <f aca="false">+IF(E1937=0,0,E1937*0.03)</f>
        <v>0</v>
      </c>
      <c r="J1937" s="93"/>
      <c r="K1937" s="93"/>
      <c r="L1937" s="93"/>
      <c r="M1937" s="93"/>
      <c r="N1937" s="93"/>
      <c r="O1937" s="93"/>
      <c r="P1937" s="93"/>
      <c r="Q1937" s="93"/>
      <c r="R1937" s="93"/>
      <c r="S1937" s="93"/>
      <c r="T1937" s="93"/>
      <c r="U1937" s="93"/>
      <c r="V1937" s="93"/>
      <c r="W1937" s="93"/>
      <c r="X1937" s="93"/>
      <c r="Y1937" s="93"/>
      <c r="Z1937" s="93"/>
    </row>
    <row r="1938" customFormat="false" ht="16.4" hidden="false" customHeight="false" outlineLevel="0" collapsed="false">
      <c r="A1938" s="123" t="n">
        <v>45444</v>
      </c>
      <c r="B1938" s="31" t="s">
        <v>153</v>
      </c>
      <c r="C1938" s="129"/>
      <c r="D1938" s="129"/>
      <c r="E1938" s="19" t="n">
        <f aca="false">F1938*0.03</f>
        <v>0</v>
      </c>
      <c r="F1938" s="33" t="n">
        <v>0</v>
      </c>
      <c r="G1938" s="131"/>
      <c r="H1938" s="35" t="n">
        <v>0</v>
      </c>
      <c r="I1938" s="34" t="n">
        <f aca="false">+IF(E1938=0,0,E1938*0.03)</f>
        <v>0</v>
      </c>
      <c r="J1938" s="93"/>
      <c r="K1938" s="93"/>
      <c r="L1938" s="93"/>
      <c r="M1938" s="93"/>
      <c r="N1938" s="93"/>
      <c r="O1938" s="93"/>
      <c r="P1938" s="93"/>
      <c r="Q1938" s="93"/>
      <c r="R1938" s="93"/>
      <c r="S1938" s="93"/>
      <c r="T1938" s="93"/>
      <c r="U1938" s="93"/>
      <c r="V1938" s="93"/>
      <c r="W1938" s="93"/>
      <c r="X1938" s="93"/>
      <c r="Y1938" s="93"/>
      <c r="Z1938" s="93"/>
    </row>
    <row r="1939" customFormat="false" ht="16.4" hidden="false" customHeight="false" outlineLevel="0" collapsed="false">
      <c r="A1939" s="123" t="n">
        <v>45444</v>
      </c>
      <c r="B1939" s="31" t="s">
        <v>153</v>
      </c>
      <c r="C1939" s="129"/>
      <c r="D1939" s="129"/>
      <c r="E1939" s="19" t="n">
        <f aca="false">F1939*0.03</f>
        <v>0</v>
      </c>
      <c r="F1939" s="33" t="n">
        <v>0</v>
      </c>
      <c r="G1939" s="131"/>
      <c r="H1939" s="35" t="n">
        <v>0</v>
      </c>
      <c r="I1939" s="34" t="n">
        <f aca="false">+IF(E1939=0,0,E1939*0.03)</f>
        <v>0</v>
      </c>
      <c r="J1939" s="93"/>
      <c r="K1939" s="93"/>
      <c r="L1939" s="93"/>
      <c r="M1939" s="93"/>
      <c r="N1939" s="93"/>
      <c r="O1939" s="93"/>
      <c r="P1939" s="93"/>
      <c r="Q1939" s="93"/>
      <c r="R1939" s="93"/>
      <c r="S1939" s="93"/>
      <c r="T1939" s="93"/>
      <c r="U1939" s="93"/>
      <c r="V1939" s="93"/>
      <c r="W1939" s="93"/>
      <c r="X1939" s="93"/>
      <c r="Y1939" s="93"/>
      <c r="Z1939" s="93"/>
    </row>
    <row r="1940" customFormat="false" ht="16.4" hidden="false" customHeight="false" outlineLevel="0" collapsed="false">
      <c r="A1940" s="123" t="n">
        <v>45444</v>
      </c>
      <c r="B1940" s="31" t="s">
        <v>153</v>
      </c>
      <c r="C1940" s="129"/>
      <c r="D1940" s="129"/>
      <c r="E1940" s="19" t="n">
        <f aca="false">F1940*0.03</f>
        <v>0</v>
      </c>
      <c r="F1940" s="33" t="n">
        <v>0</v>
      </c>
      <c r="G1940" s="131"/>
      <c r="H1940" s="35" t="n">
        <v>0</v>
      </c>
      <c r="I1940" s="34" t="n">
        <f aca="false">+IF(E1940=0,0,E1940*0.03)</f>
        <v>0</v>
      </c>
      <c r="J1940" s="93"/>
      <c r="K1940" s="93"/>
      <c r="L1940" s="93"/>
      <c r="M1940" s="93"/>
      <c r="N1940" s="93"/>
      <c r="O1940" s="93"/>
      <c r="P1940" s="93"/>
      <c r="Q1940" s="93"/>
      <c r="R1940" s="93"/>
      <c r="S1940" s="93"/>
      <c r="T1940" s="93"/>
      <c r="U1940" s="93"/>
      <c r="V1940" s="93"/>
      <c r="W1940" s="93"/>
      <c r="X1940" s="93"/>
      <c r="Y1940" s="93"/>
      <c r="Z1940" s="93"/>
    </row>
    <row r="1941" customFormat="false" ht="16.4" hidden="false" customHeight="false" outlineLevel="0" collapsed="false">
      <c r="A1941" s="123" t="n">
        <v>45444</v>
      </c>
      <c r="B1941" s="31" t="s">
        <v>153</v>
      </c>
      <c r="C1941" s="129"/>
      <c r="D1941" s="129"/>
      <c r="E1941" s="19" t="n">
        <f aca="false">F1941*0.03</f>
        <v>0</v>
      </c>
      <c r="F1941" s="33" t="n">
        <v>0</v>
      </c>
      <c r="G1941" s="131"/>
      <c r="H1941" s="35" t="n">
        <v>0</v>
      </c>
      <c r="I1941" s="34" t="n">
        <f aca="false">+IF(E1941=0,0,E1941*0.03)</f>
        <v>0</v>
      </c>
      <c r="J1941" s="93"/>
      <c r="K1941" s="93"/>
      <c r="L1941" s="93"/>
      <c r="M1941" s="93"/>
      <c r="N1941" s="93"/>
      <c r="O1941" s="93"/>
      <c r="P1941" s="93"/>
      <c r="Q1941" s="93"/>
      <c r="R1941" s="93"/>
      <c r="S1941" s="93"/>
      <c r="T1941" s="93"/>
      <c r="U1941" s="93"/>
      <c r="V1941" s="93"/>
      <c r="W1941" s="93"/>
      <c r="X1941" s="93"/>
      <c r="Y1941" s="93"/>
      <c r="Z1941" s="93"/>
    </row>
    <row r="1942" customFormat="false" ht="16.4" hidden="false" customHeight="false" outlineLevel="0" collapsed="false">
      <c r="A1942" s="123" t="n">
        <v>45444</v>
      </c>
      <c r="B1942" s="31" t="s">
        <v>153</v>
      </c>
      <c r="C1942" s="129"/>
      <c r="D1942" s="129"/>
      <c r="E1942" s="19" t="n">
        <f aca="false">F1942*0.03</f>
        <v>0</v>
      </c>
      <c r="F1942" s="33" t="n">
        <v>0</v>
      </c>
      <c r="G1942" s="131"/>
      <c r="H1942" s="35" t="n">
        <v>0</v>
      </c>
      <c r="I1942" s="34" t="n">
        <f aca="false">+IF(E1942=0,0,E1942*0.03)</f>
        <v>0</v>
      </c>
      <c r="J1942" s="93"/>
      <c r="K1942" s="93"/>
      <c r="L1942" s="93"/>
      <c r="M1942" s="93"/>
      <c r="N1942" s="93"/>
      <c r="O1942" s="93"/>
      <c r="P1942" s="93"/>
      <c r="Q1942" s="93"/>
      <c r="R1942" s="93"/>
      <c r="S1942" s="93"/>
      <c r="T1942" s="93"/>
      <c r="U1942" s="93"/>
      <c r="V1942" s="93"/>
      <c r="W1942" s="93"/>
      <c r="X1942" s="93"/>
      <c r="Y1942" s="93"/>
      <c r="Z1942" s="93"/>
    </row>
    <row r="1943" customFormat="false" ht="16.4" hidden="false" customHeight="false" outlineLevel="0" collapsed="false">
      <c r="A1943" s="123" t="n">
        <v>45444</v>
      </c>
      <c r="B1943" s="31" t="s">
        <v>153</v>
      </c>
      <c r="C1943" s="129"/>
      <c r="D1943" s="129"/>
      <c r="E1943" s="19" t="n">
        <f aca="false">F1943*0.03</f>
        <v>0</v>
      </c>
      <c r="F1943" s="33" t="n">
        <v>0</v>
      </c>
      <c r="G1943" s="131"/>
      <c r="H1943" s="35" t="n">
        <v>0</v>
      </c>
      <c r="I1943" s="34" t="n">
        <f aca="false">+IF(E1943=0,0,E1943*0.03)</f>
        <v>0</v>
      </c>
      <c r="J1943" s="93"/>
      <c r="K1943" s="93"/>
      <c r="L1943" s="93"/>
      <c r="M1943" s="93"/>
      <c r="N1943" s="93"/>
      <c r="O1943" s="93"/>
      <c r="P1943" s="93"/>
      <c r="Q1943" s="93"/>
      <c r="R1943" s="93"/>
      <c r="S1943" s="93"/>
      <c r="T1943" s="93"/>
      <c r="U1943" s="93"/>
      <c r="V1943" s="93"/>
      <c r="W1943" s="93"/>
      <c r="X1943" s="93"/>
      <c r="Y1943" s="93"/>
      <c r="Z1943" s="93"/>
    </row>
    <row r="1944" customFormat="false" ht="16.4" hidden="false" customHeight="false" outlineLevel="0" collapsed="false">
      <c r="A1944" s="123" t="n">
        <v>45444</v>
      </c>
      <c r="B1944" s="31" t="s">
        <v>153</v>
      </c>
      <c r="C1944" s="129"/>
      <c r="D1944" s="129"/>
      <c r="E1944" s="19" t="n">
        <f aca="false">F1944*0.03</f>
        <v>0</v>
      </c>
      <c r="F1944" s="33" t="n">
        <v>0</v>
      </c>
      <c r="G1944" s="131"/>
      <c r="H1944" s="35" t="n">
        <v>0</v>
      </c>
      <c r="I1944" s="34" t="n">
        <f aca="false">+IF(E1944=0,0,E1944*0.03)</f>
        <v>0</v>
      </c>
      <c r="J1944" s="93"/>
      <c r="K1944" s="93"/>
      <c r="L1944" s="93"/>
      <c r="M1944" s="93"/>
      <c r="N1944" s="93"/>
      <c r="O1944" s="93"/>
      <c r="P1944" s="93"/>
      <c r="Q1944" s="93"/>
      <c r="R1944" s="93"/>
      <c r="S1944" s="93"/>
      <c r="T1944" s="93"/>
      <c r="U1944" s="93"/>
      <c r="V1944" s="93"/>
      <c r="W1944" s="93"/>
      <c r="X1944" s="93"/>
      <c r="Y1944" s="93"/>
      <c r="Z1944" s="93"/>
    </row>
    <row r="1945" customFormat="false" ht="16.4" hidden="false" customHeight="false" outlineLevel="0" collapsed="false">
      <c r="A1945" s="123" t="n">
        <v>45444</v>
      </c>
      <c r="B1945" s="31" t="s">
        <v>153</v>
      </c>
      <c r="C1945" s="129"/>
      <c r="D1945" s="129"/>
      <c r="E1945" s="19" t="n">
        <f aca="false">F1945*0.03</f>
        <v>0</v>
      </c>
      <c r="F1945" s="33" t="n">
        <v>0</v>
      </c>
      <c r="G1945" s="131"/>
      <c r="H1945" s="35" t="n">
        <v>0</v>
      </c>
      <c r="I1945" s="34" t="n">
        <f aca="false">+IF(E1945=0,0,E1945*0.03)</f>
        <v>0</v>
      </c>
      <c r="J1945" s="93"/>
      <c r="K1945" s="93"/>
      <c r="L1945" s="93"/>
      <c r="M1945" s="93"/>
      <c r="N1945" s="93"/>
      <c r="O1945" s="93"/>
      <c r="P1945" s="93"/>
      <c r="Q1945" s="93"/>
      <c r="R1945" s="93"/>
      <c r="S1945" s="93"/>
      <c r="T1945" s="93"/>
      <c r="U1945" s="93"/>
      <c r="V1945" s="93"/>
      <c r="W1945" s="93"/>
      <c r="X1945" s="93"/>
      <c r="Y1945" s="93"/>
      <c r="Z1945" s="93"/>
    </row>
    <row r="1946" customFormat="false" ht="16.4" hidden="false" customHeight="false" outlineLevel="0" collapsed="false">
      <c r="A1946" s="123" t="n">
        <v>45444</v>
      </c>
      <c r="B1946" s="31" t="s">
        <v>153</v>
      </c>
      <c r="C1946" s="129"/>
      <c r="D1946" s="129"/>
      <c r="E1946" s="19" t="n">
        <f aca="false">F1946*0.03</f>
        <v>0</v>
      </c>
      <c r="F1946" s="33" t="n">
        <v>0</v>
      </c>
      <c r="G1946" s="131"/>
      <c r="H1946" s="35" t="n">
        <v>0</v>
      </c>
      <c r="I1946" s="34" t="n">
        <f aca="false">+IF(E1946=0,0,E1946*0.03)</f>
        <v>0</v>
      </c>
      <c r="J1946" s="93"/>
      <c r="K1946" s="93"/>
      <c r="L1946" s="93"/>
      <c r="M1946" s="93"/>
      <c r="N1946" s="93"/>
      <c r="O1946" s="93"/>
      <c r="P1946" s="93"/>
      <c r="Q1946" s="93"/>
      <c r="R1946" s="93"/>
      <c r="S1946" s="93"/>
      <c r="T1946" s="93"/>
      <c r="U1946" s="93"/>
      <c r="V1946" s="93"/>
      <c r="W1946" s="93"/>
      <c r="X1946" s="93"/>
      <c r="Y1946" s="93"/>
      <c r="Z1946" s="93"/>
    </row>
    <row r="1947" customFormat="false" ht="16.4" hidden="false" customHeight="false" outlineLevel="0" collapsed="false">
      <c r="A1947" s="123" t="n">
        <v>45444</v>
      </c>
      <c r="B1947" s="31" t="s">
        <v>153</v>
      </c>
      <c r="C1947" s="129"/>
      <c r="D1947" s="129"/>
      <c r="E1947" s="19" t="n">
        <f aca="false">F1947*0.03</f>
        <v>0</v>
      </c>
      <c r="F1947" s="33" t="n">
        <v>0</v>
      </c>
      <c r="G1947" s="131"/>
      <c r="H1947" s="35" t="n">
        <v>0</v>
      </c>
      <c r="I1947" s="34" t="n">
        <f aca="false">+IF(E1947=0,0,E1947*0.03)</f>
        <v>0</v>
      </c>
      <c r="J1947" s="93"/>
      <c r="K1947" s="93"/>
      <c r="L1947" s="93"/>
      <c r="M1947" s="93"/>
      <c r="N1947" s="93"/>
      <c r="O1947" s="93"/>
      <c r="P1947" s="93"/>
      <c r="Q1947" s="93"/>
      <c r="R1947" s="93"/>
      <c r="S1947" s="93"/>
      <c r="T1947" s="93"/>
      <c r="U1947" s="93"/>
      <c r="V1947" s="93"/>
      <c r="W1947" s="93"/>
      <c r="X1947" s="93"/>
      <c r="Y1947" s="93"/>
      <c r="Z1947" s="93"/>
    </row>
    <row r="1948" customFormat="false" ht="16.4" hidden="false" customHeight="false" outlineLevel="0" collapsed="false">
      <c r="A1948" s="123" t="n">
        <v>45444</v>
      </c>
      <c r="B1948" s="31" t="s">
        <v>153</v>
      </c>
      <c r="C1948" s="129"/>
      <c r="D1948" s="129"/>
      <c r="E1948" s="19" t="n">
        <f aca="false">F1948*0.03</f>
        <v>0</v>
      </c>
      <c r="F1948" s="33" t="n">
        <v>0</v>
      </c>
      <c r="G1948" s="131"/>
      <c r="H1948" s="35" t="n">
        <v>0</v>
      </c>
      <c r="I1948" s="34" t="n">
        <f aca="false">+IF(E1948=0,0,E1948*0.03)</f>
        <v>0</v>
      </c>
      <c r="J1948" s="93"/>
      <c r="K1948" s="93"/>
      <c r="L1948" s="93"/>
      <c r="M1948" s="93"/>
      <c r="N1948" s="93"/>
      <c r="O1948" s="93"/>
      <c r="P1948" s="93"/>
      <c r="Q1948" s="93"/>
      <c r="R1948" s="93"/>
      <c r="S1948" s="93"/>
      <c r="T1948" s="93"/>
      <c r="U1948" s="93"/>
      <c r="V1948" s="93"/>
      <c r="W1948" s="93"/>
      <c r="X1948" s="93"/>
      <c r="Y1948" s="93"/>
      <c r="Z1948" s="93"/>
    </row>
    <row r="1949" customFormat="false" ht="16.4" hidden="false" customHeight="false" outlineLevel="0" collapsed="false">
      <c r="A1949" s="123" t="n">
        <v>45444</v>
      </c>
      <c r="B1949" s="31" t="s">
        <v>153</v>
      </c>
      <c r="C1949" s="129"/>
      <c r="D1949" s="129"/>
      <c r="E1949" s="19" t="n">
        <f aca="false">F1949*0.03</f>
        <v>0</v>
      </c>
      <c r="F1949" s="33" t="n">
        <v>0</v>
      </c>
      <c r="G1949" s="131"/>
      <c r="H1949" s="35" t="n">
        <v>0</v>
      </c>
      <c r="I1949" s="34" t="n">
        <f aca="false">+IF(E1949=0,0,E1949*0.03)</f>
        <v>0</v>
      </c>
      <c r="J1949" s="93"/>
      <c r="K1949" s="93"/>
      <c r="L1949" s="93"/>
      <c r="M1949" s="93"/>
      <c r="N1949" s="93"/>
      <c r="O1949" s="93"/>
      <c r="P1949" s="93"/>
      <c r="Q1949" s="93"/>
      <c r="R1949" s="93"/>
      <c r="S1949" s="93"/>
      <c r="T1949" s="93"/>
      <c r="U1949" s="93"/>
      <c r="V1949" s="93"/>
      <c r="W1949" s="93"/>
      <c r="X1949" s="93"/>
      <c r="Y1949" s="93"/>
      <c r="Z1949" s="93"/>
    </row>
    <row r="1950" customFormat="false" ht="16.4" hidden="false" customHeight="false" outlineLevel="0" collapsed="false">
      <c r="A1950" s="123" t="n">
        <v>45444</v>
      </c>
      <c r="B1950" s="31" t="s">
        <v>153</v>
      </c>
      <c r="C1950" s="129"/>
      <c r="D1950" s="129"/>
      <c r="E1950" s="19" t="n">
        <f aca="false">F1950*0.03</f>
        <v>0</v>
      </c>
      <c r="F1950" s="33" t="n">
        <v>0</v>
      </c>
      <c r="G1950" s="131"/>
      <c r="H1950" s="35" t="n">
        <v>0</v>
      </c>
      <c r="I1950" s="34" t="n">
        <f aca="false">+IF(E1950=0,0,E1950*0.03)</f>
        <v>0</v>
      </c>
      <c r="J1950" s="93"/>
      <c r="K1950" s="93"/>
      <c r="L1950" s="93"/>
      <c r="M1950" s="93"/>
      <c r="N1950" s="93"/>
      <c r="O1950" s="93"/>
      <c r="P1950" s="93"/>
      <c r="Q1950" s="93"/>
      <c r="R1950" s="93"/>
      <c r="S1950" s="93"/>
      <c r="T1950" s="93"/>
      <c r="U1950" s="93"/>
      <c r="V1950" s="93"/>
      <c r="W1950" s="93"/>
      <c r="X1950" s="93"/>
      <c r="Y1950" s="93"/>
      <c r="Z1950" s="93"/>
    </row>
    <row r="1951" customFormat="false" ht="16.4" hidden="false" customHeight="false" outlineLevel="0" collapsed="false">
      <c r="A1951" s="123" t="n">
        <v>45444</v>
      </c>
      <c r="B1951" s="31" t="s">
        <v>153</v>
      </c>
      <c r="C1951" s="129"/>
      <c r="D1951" s="129"/>
      <c r="E1951" s="19" t="n">
        <f aca="false">F1951*0.03</f>
        <v>0</v>
      </c>
      <c r="F1951" s="33" t="n">
        <v>0</v>
      </c>
      <c r="G1951" s="131"/>
      <c r="H1951" s="35" t="n">
        <v>0</v>
      </c>
      <c r="I1951" s="34" t="n">
        <f aca="false">+IF(E1951=0,0,E1951*0.03)</f>
        <v>0</v>
      </c>
      <c r="J1951" s="93"/>
      <c r="K1951" s="93"/>
      <c r="L1951" s="93"/>
      <c r="M1951" s="93"/>
      <c r="N1951" s="93"/>
      <c r="O1951" s="93"/>
      <c r="P1951" s="93"/>
      <c r="Q1951" s="93"/>
      <c r="R1951" s="93"/>
      <c r="S1951" s="93"/>
      <c r="T1951" s="93"/>
      <c r="U1951" s="93"/>
      <c r="V1951" s="93"/>
      <c r="W1951" s="93"/>
      <c r="X1951" s="93"/>
      <c r="Y1951" s="93"/>
      <c r="Z1951" s="93"/>
    </row>
    <row r="1952" customFormat="false" ht="16.4" hidden="false" customHeight="false" outlineLevel="0" collapsed="false">
      <c r="A1952" s="123" t="n">
        <v>45444</v>
      </c>
      <c r="B1952" s="31" t="s">
        <v>153</v>
      </c>
      <c r="C1952" s="129"/>
      <c r="D1952" s="129"/>
      <c r="E1952" s="19" t="n">
        <f aca="false">F1952*0.03</f>
        <v>0</v>
      </c>
      <c r="F1952" s="33" t="n">
        <v>0</v>
      </c>
      <c r="G1952" s="131"/>
      <c r="H1952" s="35" t="n">
        <v>0</v>
      </c>
      <c r="I1952" s="34" t="n">
        <f aca="false">+IF(E1952=0,0,E1952*0.03)</f>
        <v>0</v>
      </c>
      <c r="J1952" s="93"/>
      <c r="K1952" s="93"/>
      <c r="L1952" s="93"/>
      <c r="M1952" s="93"/>
      <c r="N1952" s="93"/>
      <c r="O1952" s="93"/>
      <c r="P1952" s="93"/>
      <c r="Q1952" s="93"/>
      <c r="R1952" s="93"/>
      <c r="S1952" s="93"/>
      <c r="T1952" s="93"/>
      <c r="U1952" s="93"/>
      <c r="V1952" s="93"/>
      <c r="W1952" s="93"/>
      <c r="X1952" s="93"/>
      <c r="Y1952" s="93"/>
      <c r="Z1952" s="93"/>
    </row>
    <row r="1953" customFormat="false" ht="16.4" hidden="false" customHeight="false" outlineLevel="0" collapsed="false">
      <c r="A1953" s="123" t="n">
        <v>45444</v>
      </c>
      <c r="B1953" s="31" t="s">
        <v>153</v>
      </c>
      <c r="C1953" s="129"/>
      <c r="D1953" s="129"/>
      <c r="E1953" s="19" t="n">
        <f aca="false">F1953*0.03</f>
        <v>0</v>
      </c>
      <c r="F1953" s="33" t="n">
        <v>0</v>
      </c>
      <c r="G1953" s="131"/>
      <c r="H1953" s="35" t="n">
        <v>0</v>
      </c>
      <c r="I1953" s="34" t="n">
        <f aca="false">+IF(E1953=0,0,E1953*0.03)</f>
        <v>0</v>
      </c>
      <c r="J1953" s="93"/>
      <c r="K1953" s="93"/>
      <c r="L1953" s="93"/>
      <c r="M1953" s="93"/>
      <c r="N1953" s="93"/>
      <c r="O1953" s="93"/>
      <c r="P1953" s="93"/>
      <c r="Q1953" s="93"/>
      <c r="R1953" s="93"/>
      <c r="S1953" s="93"/>
      <c r="T1953" s="93"/>
      <c r="U1953" s="93"/>
      <c r="V1953" s="93"/>
      <c r="W1953" s="93"/>
      <c r="X1953" s="93"/>
      <c r="Y1953" s="93"/>
      <c r="Z1953" s="93"/>
    </row>
    <row r="1954" customFormat="false" ht="16.4" hidden="false" customHeight="false" outlineLevel="0" collapsed="false">
      <c r="A1954" s="123" t="n">
        <v>45444</v>
      </c>
      <c r="B1954" s="31" t="s">
        <v>153</v>
      </c>
      <c r="C1954" s="129"/>
      <c r="D1954" s="129"/>
      <c r="E1954" s="19" t="n">
        <f aca="false">F1954*0.03</f>
        <v>0</v>
      </c>
      <c r="F1954" s="33" t="n">
        <v>0</v>
      </c>
      <c r="G1954" s="131"/>
      <c r="H1954" s="35" t="n">
        <v>0</v>
      </c>
      <c r="I1954" s="34" t="n">
        <f aca="false">+IF(E1954=0,0,E1954*0.03)</f>
        <v>0</v>
      </c>
      <c r="J1954" s="93"/>
      <c r="K1954" s="93"/>
      <c r="L1954" s="93"/>
      <c r="M1954" s="93"/>
      <c r="N1954" s="93"/>
      <c r="O1954" s="93"/>
      <c r="P1954" s="93"/>
      <c r="Q1954" s="93"/>
      <c r="R1954" s="93"/>
      <c r="S1954" s="93"/>
      <c r="T1954" s="93"/>
      <c r="U1954" s="93"/>
      <c r="V1954" s="93"/>
      <c r="W1954" s="93"/>
      <c r="X1954" s="93"/>
      <c r="Y1954" s="93"/>
      <c r="Z1954" s="93"/>
    </row>
    <row r="1955" customFormat="false" ht="16.4" hidden="false" customHeight="false" outlineLevel="0" collapsed="false">
      <c r="A1955" s="123" t="n">
        <v>45444</v>
      </c>
      <c r="B1955" s="31" t="s">
        <v>153</v>
      </c>
      <c r="C1955" s="129"/>
      <c r="D1955" s="129"/>
      <c r="E1955" s="19" t="n">
        <f aca="false">F1955*0.03</f>
        <v>0</v>
      </c>
      <c r="F1955" s="33" t="n">
        <v>0</v>
      </c>
      <c r="G1955" s="131"/>
      <c r="H1955" s="35" t="n">
        <v>0</v>
      </c>
      <c r="I1955" s="34" t="n">
        <f aca="false">+IF(E1955=0,0,E1955*0.03)</f>
        <v>0</v>
      </c>
      <c r="J1955" s="93"/>
      <c r="K1955" s="93"/>
      <c r="L1955" s="93"/>
      <c r="M1955" s="93"/>
      <c r="N1955" s="93"/>
      <c r="O1955" s="93"/>
      <c r="P1955" s="93"/>
      <c r="Q1955" s="93"/>
      <c r="R1955" s="93"/>
      <c r="S1955" s="93"/>
      <c r="T1955" s="93"/>
      <c r="U1955" s="93"/>
      <c r="V1955" s="93"/>
      <c r="W1955" s="93"/>
      <c r="X1955" s="93"/>
      <c r="Y1955" s="93"/>
      <c r="Z1955" s="93"/>
    </row>
    <row r="1956" customFormat="false" ht="16.4" hidden="false" customHeight="false" outlineLevel="0" collapsed="false">
      <c r="A1956" s="123" t="n">
        <v>45444</v>
      </c>
      <c r="B1956" s="31" t="s">
        <v>153</v>
      </c>
      <c r="C1956" s="129"/>
      <c r="D1956" s="129"/>
      <c r="E1956" s="19" t="n">
        <f aca="false">F1956*0.03</f>
        <v>0</v>
      </c>
      <c r="F1956" s="33" t="n">
        <v>0</v>
      </c>
      <c r="G1956" s="131"/>
      <c r="H1956" s="35" t="n">
        <v>0</v>
      </c>
      <c r="I1956" s="34" t="n">
        <f aca="false">+IF(E1956=0,0,E1956*0.03)</f>
        <v>0</v>
      </c>
      <c r="J1956" s="93"/>
      <c r="K1956" s="93"/>
      <c r="L1956" s="93"/>
      <c r="M1956" s="93"/>
      <c r="N1956" s="93"/>
      <c r="O1956" s="93"/>
      <c r="P1956" s="93"/>
      <c r="Q1956" s="93"/>
      <c r="R1956" s="93"/>
      <c r="S1956" s="93"/>
      <c r="T1956" s="93"/>
      <c r="U1956" s="93"/>
      <c r="V1956" s="93"/>
      <c r="W1956" s="93"/>
      <c r="X1956" s="93"/>
      <c r="Y1956" s="93"/>
      <c r="Z1956" s="93"/>
    </row>
    <row r="1957" customFormat="false" ht="16.4" hidden="false" customHeight="false" outlineLevel="0" collapsed="false">
      <c r="A1957" s="123" t="n">
        <v>45444</v>
      </c>
      <c r="B1957" s="31" t="s">
        <v>153</v>
      </c>
      <c r="C1957" s="129"/>
      <c r="D1957" s="129"/>
      <c r="E1957" s="19" t="n">
        <f aca="false">F1957*0.03</f>
        <v>0</v>
      </c>
      <c r="F1957" s="33" t="n">
        <v>0</v>
      </c>
      <c r="G1957" s="131"/>
      <c r="H1957" s="35" t="n">
        <v>0</v>
      </c>
      <c r="I1957" s="34" t="n">
        <f aca="false">+IF(E1957=0,0,E1957*0.03)</f>
        <v>0</v>
      </c>
      <c r="J1957" s="93"/>
      <c r="K1957" s="93"/>
      <c r="L1957" s="93"/>
      <c r="M1957" s="93"/>
      <c r="N1957" s="93"/>
      <c r="O1957" s="93"/>
      <c r="P1957" s="93"/>
      <c r="Q1957" s="93"/>
      <c r="R1957" s="93"/>
      <c r="S1957" s="93"/>
      <c r="T1957" s="93"/>
      <c r="U1957" s="93"/>
      <c r="V1957" s="93"/>
      <c r="W1957" s="93"/>
      <c r="X1957" s="93"/>
      <c r="Y1957" s="93"/>
      <c r="Z1957" s="93"/>
    </row>
    <row r="1958" customFormat="false" ht="16.4" hidden="false" customHeight="false" outlineLevel="0" collapsed="false">
      <c r="A1958" s="123" t="n">
        <v>45444</v>
      </c>
      <c r="B1958" s="31" t="s">
        <v>153</v>
      </c>
      <c r="C1958" s="129"/>
      <c r="D1958" s="129"/>
      <c r="E1958" s="19" t="n">
        <f aca="false">F1958*0.03</f>
        <v>0</v>
      </c>
      <c r="F1958" s="33" t="n">
        <v>0</v>
      </c>
      <c r="G1958" s="131"/>
      <c r="H1958" s="35" t="n">
        <v>0</v>
      </c>
      <c r="I1958" s="34" t="n">
        <f aca="false">+IF(E1958=0,0,E1958*0.03)</f>
        <v>0</v>
      </c>
      <c r="J1958" s="93"/>
      <c r="K1958" s="93"/>
      <c r="L1958" s="93"/>
      <c r="M1958" s="93"/>
      <c r="N1958" s="93"/>
      <c r="O1958" s="93"/>
      <c r="P1958" s="93"/>
      <c r="Q1958" s="93"/>
      <c r="R1958" s="93"/>
      <c r="S1958" s="93"/>
      <c r="T1958" s="93"/>
      <c r="U1958" s="93"/>
      <c r="V1958" s="93"/>
      <c r="W1958" s="93"/>
      <c r="X1958" s="93"/>
      <c r="Y1958" s="93"/>
      <c r="Z1958" s="93"/>
    </row>
    <row r="1959" customFormat="false" ht="16.4" hidden="false" customHeight="false" outlineLevel="0" collapsed="false">
      <c r="A1959" s="123" t="n">
        <v>45444</v>
      </c>
      <c r="B1959" s="31" t="s">
        <v>153</v>
      </c>
      <c r="C1959" s="129"/>
      <c r="D1959" s="129"/>
      <c r="E1959" s="19" t="n">
        <f aca="false">F1959*0.03</f>
        <v>0</v>
      </c>
      <c r="F1959" s="33" t="n">
        <v>0</v>
      </c>
      <c r="G1959" s="131"/>
      <c r="H1959" s="35" t="n">
        <v>0</v>
      </c>
      <c r="I1959" s="34" t="n">
        <f aca="false">+IF(E1959=0,0,E1959*0.03)</f>
        <v>0</v>
      </c>
      <c r="J1959" s="93"/>
      <c r="K1959" s="93"/>
      <c r="L1959" s="93"/>
      <c r="M1959" s="93"/>
      <c r="N1959" s="93"/>
      <c r="O1959" s="93"/>
      <c r="P1959" s="93"/>
      <c r="Q1959" s="93"/>
      <c r="R1959" s="93"/>
      <c r="S1959" s="93"/>
      <c r="T1959" s="93"/>
      <c r="U1959" s="93"/>
      <c r="V1959" s="93"/>
      <c r="W1959" s="93"/>
      <c r="X1959" s="93"/>
      <c r="Y1959" s="93"/>
      <c r="Z1959" s="93"/>
    </row>
    <row r="1960" customFormat="false" ht="16.4" hidden="false" customHeight="false" outlineLevel="0" collapsed="false">
      <c r="A1960" s="123" t="n">
        <v>45444</v>
      </c>
      <c r="B1960" s="31" t="s">
        <v>153</v>
      </c>
      <c r="C1960" s="129"/>
      <c r="D1960" s="129"/>
      <c r="E1960" s="19" t="n">
        <f aca="false">F1960*0.03</f>
        <v>0</v>
      </c>
      <c r="F1960" s="33" t="n">
        <v>0</v>
      </c>
      <c r="G1960" s="131"/>
      <c r="H1960" s="35" t="n">
        <v>0</v>
      </c>
      <c r="I1960" s="34" t="n">
        <f aca="false">+IF(E1960=0,0,E1960*0.03)</f>
        <v>0</v>
      </c>
      <c r="J1960" s="93"/>
      <c r="K1960" s="93"/>
      <c r="L1960" s="93"/>
      <c r="M1960" s="93"/>
      <c r="N1960" s="93"/>
      <c r="O1960" s="93"/>
      <c r="P1960" s="93"/>
      <c r="Q1960" s="93"/>
      <c r="R1960" s="93"/>
      <c r="S1960" s="93"/>
      <c r="T1960" s="93"/>
      <c r="U1960" s="93"/>
      <c r="V1960" s="93"/>
      <c r="W1960" s="93"/>
      <c r="X1960" s="93"/>
      <c r="Y1960" s="93"/>
      <c r="Z1960" s="93"/>
    </row>
    <row r="1961" customFormat="false" ht="16.4" hidden="false" customHeight="false" outlineLevel="0" collapsed="false">
      <c r="A1961" s="123" t="n">
        <v>45444</v>
      </c>
      <c r="B1961" s="31" t="s">
        <v>153</v>
      </c>
      <c r="C1961" s="129"/>
      <c r="D1961" s="129"/>
      <c r="E1961" s="19" t="n">
        <f aca="false">F1961*0.03</f>
        <v>0</v>
      </c>
      <c r="F1961" s="33" t="n">
        <v>0</v>
      </c>
      <c r="G1961" s="131"/>
      <c r="H1961" s="35" t="n">
        <v>0</v>
      </c>
      <c r="I1961" s="34" t="n">
        <f aca="false">+IF(E1961=0,0,E1961*0.03)</f>
        <v>0</v>
      </c>
      <c r="J1961" s="93"/>
      <c r="K1961" s="93"/>
      <c r="L1961" s="93"/>
      <c r="M1961" s="93"/>
      <c r="N1961" s="93"/>
      <c r="O1961" s="93"/>
      <c r="P1961" s="93"/>
      <c r="Q1961" s="93"/>
      <c r="R1961" s="93"/>
      <c r="S1961" s="93"/>
      <c r="T1961" s="93"/>
      <c r="U1961" s="93"/>
      <c r="V1961" s="93"/>
      <c r="W1961" s="93"/>
      <c r="X1961" s="93"/>
      <c r="Y1961" s="93"/>
      <c r="Z1961" s="93"/>
    </row>
    <row r="1962" customFormat="false" ht="16.4" hidden="false" customHeight="false" outlineLevel="0" collapsed="false">
      <c r="A1962" s="123" t="n">
        <v>45444</v>
      </c>
      <c r="B1962" s="31" t="s">
        <v>153</v>
      </c>
      <c r="C1962" s="129"/>
      <c r="D1962" s="129"/>
      <c r="E1962" s="19" t="n">
        <f aca="false">F1962*0.03</f>
        <v>0</v>
      </c>
      <c r="F1962" s="33" t="n">
        <v>0</v>
      </c>
      <c r="G1962" s="131"/>
      <c r="H1962" s="35" t="n">
        <v>0</v>
      </c>
      <c r="I1962" s="34" t="n">
        <f aca="false">+IF(E1962=0,0,E1962*0.03)</f>
        <v>0</v>
      </c>
      <c r="J1962" s="93"/>
      <c r="K1962" s="93"/>
      <c r="L1962" s="93"/>
      <c r="M1962" s="93"/>
      <c r="N1962" s="93"/>
      <c r="O1962" s="93"/>
      <c r="P1962" s="93"/>
      <c r="Q1962" s="93"/>
      <c r="R1962" s="93"/>
      <c r="S1962" s="93"/>
      <c r="T1962" s="93"/>
      <c r="U1962" s="93"/>
      <c r="V1962" s="93"/>
      <c r="W1962" s="93"/>
      <c r="X1962" s="93"/>
      <c r="Y1962" s="93"/>
      <c r="Z1962" s="93"/>
    </row>
    <row r="1963" customFormat="false" ht="16.4" hidden="false" customHeight="false" outlineLevel="0" collapsed="false">
      <c r="A1963" s="123" t="n">
        <v>45444</v>
      </c>
      <c r="B1963" s="31" t="s">
        <v>153</v>
      </c>
      <c r="C1963" s="129"/>
      <c r="D1963" s="129"/>
      <c r="E1963" s="19" t="n">
        <f aca="false">F1963*0.03</f>
        <v>0</v>
      </c>
      <c r="F1963" s="33" t="n">
        <v>0</v>
      </c>
      <c r="G1963" s="131"/>
      <c r="H1963" s="35" t="n">
        <v>0</v>
      </c>
      <c r="I1963" s="34" t="n">
        <f aca="false">+IF(E1963=0,0,E1963*0.03)</f>
        <v>0</v>
      </c>
      <c r="J1963" s="93"/>
      <c r="K1963" s="93"/>
      <c r="L1963" s="93"/>
      <c r="M1963" s="93"/>
      <c r="N1963" s="93"/>
      <c r="O1963" s="93"/>
      <c r="P1963" s="93"/>
      <c r="Q1963" s="93"/>
      <c r="R1963" s="93"/>
      <c r="S1963" s="93"/>
      <c r="T1963" s="93"/>
      <c r="U1963" s="93"/>
      <c r="V1963" s="93"/>
      <c r="W1963" s="93"/>
      <c r="X1963" s="93"/>
      <c r="Y1963" s="93"/>
      <c r="Z1963" s="93"/>
    </row>
    <row r="1964" customFormat="false" ht="16.4" hidden="false" customHeight="false" outlineLevel="0" collapsed="false">
      <c r="A1964" s="123" t="n">
        <v>45444</v>
      </c>
      <c r="B1964" s="31" t="s">
        <v>153</v>
      </c>
      <c r="C1964" s="129"/>
      <c r="D1964" s="129"/>
      <c r="E1964" s="19" t="n">
        <f aca="false">F1964*0.03</f>
        <v>0</v>
      </c>
      <c r="F1964" s="33" t="n">
        <v>0</v>
      </c>
      <c r="G1964" s="131"/>
      <c r="H1964" s="35" t="n">
        <v>0</v>
      </c>
      <c r="I1964" s="34" t="n">
        <f aca="false">+IF(E1964=0,0,E1964*0.03)</f>
        <v>0</v>
      </c>
      <c r="J1964" s="93"/>
      <c r="K1964" s="93"/>
      <c r="L1964" s="93"/>
      <c r="M1964" s="93"/>
      <c r="N1964" s="93"/>
      <c r="O1964" s="93"/>
      <c r="P1964" s="93"/>
      <c r="Q1964" s="93"/>
      <c r="R1964" s="93"/>
      <c r="S1964" s="93"/>
      <c r="T1964" s="93"/>
      <c r="U1964" s="93"/>
      <c r="V1964" s="93"/>
      <c r="W1964" s="93"/>
      <c r="X1964" s="93"/>
      <c r="Y1964" s="93"/>
      <c r="Z1964" s="93"/>
    </row>
    <row r="1965" customFormat="false" ht="16.4" hidden="false" customHeight="false" outlineLevel="0" collapsed="false">
      <c r="A1965" s="123" t="n">
        <v>45444</v>
      </c>
      <c r="B1965" s="31" t="s">
        <v>153</v>
      </c>
      <c r="C1965" s="129"/>
      <c r="D1965" s="129"/>
      <c r="E1965" s="19" t="n">
        <f aca="false">F1965*0.03</f>
        <v>0</v>
      </c>
      <c r="F1965" s="33" t="n">
        <v>0</v>
      </c>
      <c r="G1965" s="131"/>
      <c r="H1965" s="35" t="n">
        <v>0</v>
      </c>
      <c r="I1965" s="34" t="n">
        <f aca="false">+IF(E1965=0,0,E1965*0.03)</f>
        <v>0</v>
      </c>
      <c r="J1965" s="93"/>
      <c r="K1965" s="93"/>
      <c r="L1965" s="93"/>
      <c r="M1965" s="93"/>
      <c r="N1965" s="93"/>
      <c r="O1965" s="93"/>
      <c r="P1965" s="93"/>
      <c r="Q1965" s="93"/>
      <c r="R1965" s="93"/>
      <c r="S1965" s="93"/>
      <c r="T1965" s="93"/>
      <c r="U1965" s="93"/>
      <c r="V1965" s="93"/>
      <c r="W1965" s="93"/>
      <c r="X1965" s="93"/>
      <c r="Y1965" s="93"/>
      <c r="Z1965" s="93"/>
    </row>
    <row r="1966" customFormat="false" ht="16.4" hidden="false" customHeight="false" outlineLevel="0" collapsed="false">
      <c r="A1966" s="123" t="n">
        <v>45444</v>
      </c>
      <c r="B1966" s="31" t="s">
        <v>153</v>
      </c>
      <c r="C1966" s="129"/>
      <c r="D1966" s="129"/>
      <c r="E1966" s="19" t="n">
        <f aca="false">F1966*0.03</f>
        <v>0</v>
      </c>
      <c r="F1966" s="33" t="n">
        <v>0</v>
      </c>
      <c r="G1966" s="131"/>
      <c r="H1966" s="35" t="n">
        <v>0</v>
      </c>
      <c r="I1966" s="34" t="n">
        <f aca="false">+IF(E1966=0,0,E1966*0.03)</f>
        <v>0</v>
      </c>
      <c r="J1966" s="93"/>
      <c r="K1966" s="93"/>
      <c r="L1966" s="93"/>
      <c r="M1966" s="93"/>
      <c r="N1966" s="93"/>
      <c r="O1966" s="93"/>
      <c r="P1966" s="93"/>
      <c r="Q1966" s="93"/>
      <c r="R1966" s="93"/>
      <c r="S1966" s="93"/>
      <c r="T1966" s="93"/>
      <c r="U1966" s="93"/>
      <c r="V1966" s="93"/>
      <c r="W1966" s="93"/>
      <c r="X1966" s="93"/>
      <c r="Y1966" s="93"/>
      <c r="Z1966" s="93"/>
    </row>
    <row r="1967" customFormat="false" ht="16.4" hidden="false" customHeight="false" outlineLevel="0" collapsed="false">
      <c r="A1967" s="123" t="n">
        <v>45444</v>
      </c>
      <c r="B1967" s="31" t="s">
        <v>153</v>
      </c>
      <c r="C1967" s="129"/>
      <c r="D1967" s="129"/>
      <c r="E1967" s="19" t="n">
        <f aca="false">F1967*0.03</f>
        <v>0</v>
      </c>
      <c r="F1967" s="33" t="n">
        <v>0</v>
      </c>
      <c r="G1967" s="131"/>
      <c r="H1967" s="35" t="n">
        <v>0</v>
      </c>
      <c r="I1967" s="34" t="n">
        <f aca="false">+IF(E1967=0,0,E1967*0.03)</f>
        <v>0</v>
      </c>
      <c r="J1967" s="93"/>
      <c r="K1967" s="93"/>
      <c r="L1967" s="93"/>
      <c r="M1967" s="93"/>
      <c r="N1967" s="93"/>
      <c r="O1967" s="93"/>
      <c r="P1967" s="93"/>
      <c r="Q1967" s="93"/>
      <c r="R1967" s="93"/>
      <c r="S1967" s="93"/>
      <c r="T1967" s="93"/>
      <c r="U1967" s="93"/>
      <c r="V1967" s="93"/>
      <c r="W1967" s="93"/>
      <c r="X1967" s="93"/>
      <c r="Y1967" s="93"/>
      <c r="Z1967" s="93"/>
    </row>
    <row r="1968" customFormat="false" ht="16.4" hidden="false" customHeight="false" outlineLevel="0" collapsed="false">
      <c r="A1968" s="123" t="n">
        <v>45444</v>
      </c>
      <c r="B1968" s="31" t="s">
        <v>153</v>
      </c>
      <c r="C1968" s="129"/>
      <c r="D1968" s="129"/>
      <c r="E1968" s="19" t="n">
        <f aca="false">F1968*0.03</f>
        <v>0</v>
      </c>
      <c r="F1968" s="33" t="n">
        <v>0</v>
      </c>
      <c r="G1968" s="131"/>
      <c r="H1968" s="35" t="n">
        <v>0</v>
      </c>
      <c r="I1968" s="34" t="n">
        <f aca="false">+IF(E1968=0,0,E1968*0.03)</f>
        <v>0</v>
      </c>
      <c r="J1968" s="93"/>
      <c r="K1968" s="93"/>
      <c r="L1968" s="93"/>
      <c r="M1968" s="93"/>
      <c r="N1968" s="93"/>
      <c r="O1968" s="93"/>
      <c r="P1968" s="93"/>
      <c r="Q1968" s="93"/>
      <c r="R1968" s="93"/>
      <c r="S1968" s="93"/>
      <c r="T1968" s="93"/>
      <c r="U1968" s="93"/>
      <c r="V1968" s="93"/>
      <c r="W1968" s="93"/>
      <c r="X1968" s="93"/>
      <c r="Y1968" s="93"/>
      <c r="Z1968" s="93"/>
    </row>
    <row r="1969" customFormat="false" ht="16.4" hidden="false" customHeight="false" outlineLevel="0" collapsed="false">
      <c r="A1969" s="123" t="n">
        <v>45444</v>
      </c>
      <c r="B1969" s="31" t="s">
        <v>153</v>
      </c>
      <c r="C1969" s="129"/>
      <c r="D1969" s="129"/>
      <c r="E1969" s="19" t="n">
        <f aca="false">F1969*0.03</f>
        <v>0</v>
      </c>
      <c r="F1969" s="33" t="n">
        <v>0</v>
      </c>
      <c r="G1969" s="131"/>
      <c r="H1969" s="35" t="n">
        <v>0</v>
      </c>
      <c r="I1969" s="34" t="n">
        <f aca="false">+IF(E1969=0,0,E1969*0.03)</f>
        <v>0</v>
      </c>
      <c r="J1969" s="93"/>
      <c r="K1969" s="93"/>
      <c r="L1969" s="93"/>
      <c r="M1969" s="93"/>
      <c r="N1969" s="93"/>
      <c r="O1969" s="93"/>
      <c r="P1969" s="93"/>
      <c r="Q1969" s="93"/>
      <c r="R1969" s="93"/>
      <c r="S1969" s="93"/>
      <c r="T1969" s="93"/>
      <c r="U1969" s="93"/>
      <c r="V1969" s="93"/>
      <c r="W1969" s="93"/>
      <c r="X1969" s="93"/>
      <c r="Y1969" s="93"/>
      <c r="Z1969" s="93"/>
    </row>
    <row r="1970" customFormat="false" ht="16.4" hidden="false" customHeight="false" outlineLevel="0" collapsed="false">
      <c r="A1970" s="123" t="n">
        <v>45444</v>
      </c>
      <c r="B1970" s="31" t="s">
        <v>153</v>
      </c>
      <c r="C1970" s="129"/>
      <c r="D1970" s="129"/>
      <c r="E1970" s="19" t="n">
        <f aca="false">F1970*0.03</f>
        <v>0</v>
      </c>
      <c r="F1970" s="33" t="n">
        <v>0</v>
      </c>
      <c r="G1970" s="131"/>
      <c r="H1970" s="35" t="n">
        <v>0</v>
      </c>
      <c r="I1970" s="34" t="n">
        <f aca="false">+IF(E1970=0,0,E1970*0.03)</f>
        <v>0</v>
      </c>
      <c r="J1970" s="93"/>
      <c r="K1970" s="93"/>
      <c r="L1970" s="93"/>
      <c r="M1970" s="93"/>
      <c r="N1970" s="93"/>
      <c r="O1970" s="93"/>
      <c r="P1970" s="93"/>
      <c r="Q1970" s="93"/>
      <c r="R1970" s="93"/>
      <c r="S1970" s="93"/>
      <c r="T1970" s="93"/>
      <c r="U1970" s="93"/>
      <c r="V1970" s="93"/>
      <c r="W1970" s="93"/>
      <c r="X1970" s="93"/>
      <c r="Y1970" s="93"/>
      <c r="Z1970" s="93"/>
    </row>
    <row r="1971" customFormat="false" ht="16.4" hidden="false" customHeight="false" outlineLevel="0" collapsed="false">
      <c r="A1971" s="123" t="n">
        <v>45444</v>
      </c>
      <c r="B1971" s="31" t="s">
        <v>153</v>
      </c>
      <c r="C1971" s="129"/>
      <c r="D1971" s="129"/>
      <c r="E1971" s="19" t="n">
        <f aca="false">F1971*0.03</f>
        <v>0</v>
      </c>
      <c r="F1971" s="33" t="n">
        <v>0</v>
      </c>
      <c r="G1971" s="131"/>
      <c r="H1971" s="35" t="n">
        <v>0</v>
      </c>
      <c r="I1971" s="34" t="n">
        <f aca="false">+IF(E1971=0,0,E1971*0.03)</f>
        <v>0</v>
      </c>
      <c r="J1971" s="93"/>
      <c r="K1971" s="93"/>
      <c r="L1971" s="93"/>
      <c r="M1971" s="93"/>
      <c r="N1971" s="93"/>
      <c r="O1971" s="93"/>
      <c r="P1971" s="93"/>
      <c r="Q1971" s="93"/>
      <c r="R1971" s="93"/>
      <c r="S1971" s="93"/>
      <c r="T1971" s="93"/>
      <c r="U1971" s="93"/>
      <c r="V1971" s="93"/>
      <c r="W1971" s="93"/>
      <c r="X1971" s="93"/>
      <c r="Y1971" s="93"/>
      <c r="Z1971" s="93"/>
    </row>
    <row r="1972" customFormat="false" ht="16.4" hidden="false" customHeight="false" outlineLevel="0" collapsed="false">
      <c r="A1972" s="123" t="n">
        <v>45444</v>
      </c>
      <c r="B1972" s="31" t="s">
        <v>153</v>
      </c>
      <c r="C1972" s="129"/>
      <c r="D1972" s="129"/>
      <c r="E1972" s="19" t="n">
        <f aca="false">F1972*0.03</f>
        <v>0</v>
      </c>
      <c r="F1972" s="33" t="n">
        <v>0</v>
      </c>
      <c r="G1972" s="131"/>
      <c r="H1972" s="35" t="n">
        <v>0</v>
      </c>
      <c r="I1972" s="34" t="n">
        <f aca="false">+IF(E1972=0,0,E1972*0.03)</f>
        <v>0</v>
      </c>
      <c r="J1972" s="93"/>
      <c r="K1972" s="93"/>
      <c r="L1972" s="93"/>
      <c r="M1972" s="93"/>
      <c r="N1972" s="93"/>
      <c r="O1972" s="93"/>
      <c r="P1972" s="93"/>
      <c r="Q1972" s="93"/>
      <c r="R1972" s="93"/>
      <c r="S1972" s="93"/>
      <c r="T1972" s="93"/>
      <c r="U1972" s="93"/>
      <c r="V1972" s="93"/>
      <c r="W1972" s="93"/>
      <c r="X1972" s="93"/>
      <c r="Y1972" s="93"/>
      <c r="Z1972" s="93"/>
    </row>
    <row r="1973" customFormat="false" ht="16.4" hidden="false" customHeight="false" outlineLevel="0" collapsed="false">
      <c r="A1973" s="123" t="n">
        <v>45444</v>
      </c>
      <c r="B1973" s="31" t="s">
        <v>153</v>
      </c>
      <c r="C1973" s="129"/>
      <c r="D1973" s="129"/>
      <c r="E1973" s="19" t="n">
        <f aca="false">F1973*0.03</f>
        <v>0</v>
      </c>
      <c r="F1973" s="33" t="n">
        <v>0</v>
      </c>
      <c r="G1973" s="131"/>
      <c r="H1973" s="35" t="n">
        <v>0</v>
      </c>
      <c r="I1973" s="34" t="n">
        <f aca="false">+IF(E1973=0,0,E1973*0.03)</f>
        <v>0</v>
      </c>
      <c r="J1973" s="93"/>
      <c r="K1973" s="93"/>
      <c r="L1973" s="93"/>
      <c r="M1973" s="93"/>
      <c r="N1973" s="93"/>
      <c r="O1973" s="93"/>
      <c r="P1973" s="93"/>
      <c r="Q1973" s="93"/>
      <c r="R1973" s="93"/>
      <c r="S1973" s="93"/>
      <c r="T1973" s="93"/>
      <c r="U1973" s="93"/>
      <c r="V1973" s="93"/>
      <c r="W1973" s="93"/>
      <c r="X1973" s="93"/>
      <c r="Y1973" s="93"/>
      <c r="Z1973" s="93"/>
    </row>
    <row r="1974" customFormat="false" ht="16.4" hidden="false" customHeight="false" outlineLevel="0" collapsed="false">
      <c r="A1974" s="123" t="n">
        <v>45444</v>
      </c>
      <c r="B1974" s="31" t="s">
        <v>153</v>
      </c>
      <c r="C1974" s="129"/>
      <c r="D1974" s="129"/>
      <c r="E1974" s="19" t="n">
        <f aca="false">F1974*0.03</f>
        <v>0</v>
      </c>
      <c r="F1974" s="33" t="n">
        <v>0</v>
      </c>
      <c r="G1974" s="131"/>
      <c r="H1974" s="35" t="n">
        <v>0</v>
      </c>
      <c r="I1974" s="34" t="n">
        <f aca="false">+IF(E1974=0,0,E1974*0.03)</f>
        <v>0</v>
      </c>
      <c r="J1974" s="93"/>
      <c r="K1974" s="93"/>
      <c r="L1974" s="93"/>
      <c r="M1974" s="93"/>
      <c r="N1974" s="93"/>
      <c r="O1974" s="93"/>
      <c r="P1974" s="93"/>
      <c r="Q1974" s="93"/>
      <c r="R1974" s="93"/>
      <c r="S1974" s="93"/>
      <c r="T1974" s="93"/>
      <c r="U1974" s="93"/>
      <c r="V1974" s="93"/>
      <c r="W1974" s="93"/>
      <c r="X1974" s="93"/>
      <c r="Y1974" s="93"/>
      <c r="Z1974" s="93"/>
    </row>
    <row r="1975" customFormat="false" ht="16.4" hidden="false" customHeight="false" outlineLevel="0" collapsed="false">
      <c r="A1975" s="123" t="n">
        <v>45444</v>
      </c>
      <c r="B1975" s="31" t="s">
        <v>153</v>
      </c>
      <c r="C1975" s="129"/>
      <c r="D1975" s="129"/>
      <c r="E1975" s="19" t="n">
        <f aca="false">F1975*0.03</f>
        <v>0</v>
      </c>
      <c r="F1975" s="33" t="n">
        <v>0</v>
      </c>
      <c r="G1975" s="131"/>
      <c r="H1975" s="35" t="n">
        <v>0</v>
      </c>
      <c r="I1975" s="34" t="n">
        <f aca="false">+IF(E1975=0,0,E1975*0.03)</f>
        <v>0</v>
      </c>
      <c r="J1975" s="93"/>
      <c r="K1975" s="93"/>
      <c r="L1975" s="93"/>
      <c r="M1975" s="93"/>
      <c r="N1975" s="93"/>
      <c r="O1975" s="93"/>
      <c r="P1975" s="93"/>
      <c r="Q1975" s="93"/>
      <c r="R1975" s="93"/>
      <c r="S1975" s="93"/>
      <c r="T1975" s="93"/>
      <c r="U1975" s="93"/>
      <c r="V1975" s="93"/>
      <c r="W1975" s="93"/>
      <c r="X1975" s="93"/>
      <c r="Y1975" s="93"/>
      <c r="Z1975" s="93"/>
    </row>
    <row r="1976" customFormat="false" ht="16.4" hidden="false" customHeight="false" outlineLevel="0" collapsed="false">
      <c r="A1976" s="123" t="n">
        <v>45444</v>
      </c>
      <c r="B1976" s="31" t="s">
        <v>153</v>
      </c>
      <c r="C1976" s="129"/>
      <c r="D1976" s="129"/>
      <c r="E1976" s="19" t="n">
        <f aca="false">F1976*0.03</f>
        <v>0</v>
      </c>
      <c r="F1976" s="33" t="n">
        <v>0</v>
      </c>
      <c r="G1976" s="131"/>
      <c r="H1976" s="35" t="n">
        <v>0</v>
      </c>
      <c r="I1976" s="34" t="n">
        <f aca="false">+IF(E1976=0,0,E1976*0.03)</f>
        <v>0</v>
      </c>
      <c r="J1976" s="93"/>
      <c r="K1976" s="93"/>
      <c r="L1976" s="93"/>
      <c r="M1976" s="93"/>
      <c r="N1976" s="93"/>
      <c r="O1976" s="93"/>
      <c r="P1976" s="93"/>
      <c r="Q1976" s="93"/>
      <c r="R1976" s="93"/>
      <c r="S1976" s="93"/>
      <c r="T1976" s="93"/>
      <c r="U1976" s="93"/>
      <c r="V1976" s="93"/>
      <c r="W1976" s="93"/>
      <c r="X1976" s="93"/>
      <c r="Y1976" s="93"/>
      <c r="Z1976" s="93"/>
    </row>
    <row r="1977" customFormat="false" ht="16.4" hidden="false" customHeight="false" outlineLevel="0" collapsed="false">
      <c r="A1977" s="123" t="n">
        <v>45444</v>
      </c>
      <c r="B1977" s="31" t="s">
        <v>153</v>
      </c>
      <c r="C1977" s="129"/>
      <c r="D1977" s="129"/>
      <c r="E1977" s="19" t="n">
        <f aca="false">F1977*0.03</f>
        <v>0</v>
      </c>
      <c r="F1977" s="33" t="n">
        <v>0</v>
      </c>
      <c r="G1977" s="131"/>
      <c r="H1977" s="35" t="n">
        <v>0</v>
      </c>
      <c r="I1977" s="34" t="n">
        <f aca="false">+IF(E1977=0,0,E1977*0.03)</f>
        <v>0</v>
      </c>
      <c r="J1977" s="93"/>
      <c r="K1977" s="93"/>
      <c r="L1977" s="93"/>
      <c r="M1977" s="93"/>
      <c r="N1977" s="93"/>
      <c r="O1977" s="93"/>
      <c r="P1977" s="93"/>
      <c r="Q1977" s="93"/>
      <c r="R1977" s="93"/>
      <c r="S1977" s="93"/>
      <c r="T1977" s="93"/>
      <c r="U1977" s="93"/>
      <c r="V1977" s="93"/>
      <c r="W1977" s="93"/>
      <c r="X1977" s="93"/>
      <c r="Y1977" s="93"/>
      <c r="Z1977" s="93"/>
    </row>
    <row r="1978" customFormat="false" ht="16.4" hidden="false" customHeight="false" outlineLevel="0" collapsed="false">
      <c r="A1978" s="123" t="n">
        <v>45444</v>
      </c>
      <c r="B1978" s="31" t="s">
        <v>153</v>
      </c>
      <c r="C1978" s="129"/>
      <c r="D1978" s="129"/>
      <c r="E1978" s="19" t="n">
        <f aca="false">F1978*0.03</f>
        <v>0</v>
      </c>
      <c r="F1978" s="33" t="n">
        <v>0</v>
      </c>
      <c r="G1978" s="131"/>
      <c r="H1978" s="35" t="n">
        <v>0</v>
      </c>
      <c r="I1978" s="34" t="n">
        <f aca="false">+IF(E1978=0,0,E1978*0.03)</f>
        <v>0</v>
      </c>
      <c r="J1978" s="93"/>
      <c r="K1978" s="93"/>
      <c r="L1978" s="93"/>
      <c r="M1978" s="93"/>
      <c r="N1978" s="93"/>
      <c r="O1978" s="93"/>
      <c r="P1978" s="93"/>
      <c r="Q1978" s="93"/>
      <c r="R1978" s="93"/>
      <c r="S1978" s="93"/>
      <c r="T1978" s="93"/>
      <c r="U1978" s="93"/>
      <c r="V1978" s="93"/>
      <c r="W1978" s="93"/>
      <c r="X1978" s="93"/>
      <c r="Y1978" s="93"/>
      <c r="Z1978" s="93"/>
    </row>
    <row r="1979" customFormat="false" ht="16.4" hidden="false" customHeight="false" outlineLevel="0" collapsed="false">
      <c r="A1979" s="123" t="n">
        <v>45444</v>
      </c>
      <c r="B1979" s="31" t="s">
        <v>153</v>
      </c>
      <c r="C1979" s="129"/>
      <c r="D1979" s="129"/>
      <c r="E1979" s="19" t="n">
        <f aca="false">F1979*0.03</f>
        <v>0</v>
      </c>
      <c r="F1979" s="33" t="n">
        <v>0</v>
      </c>
      <c r="G1979" s="131"/>
      <c r="H1979" s="35" t="n">
        <v>0</v>
      </c>
      <c r="I1979" s="34" t="n">
        <f aca="false">+IF(E1979=0,0,E1979*0.03)</f>
        <v>0</v>
      </c>
      <c r="J1979" s="93"/>
      <c r="K1979" s="93"/>
      <c r="L1979" s="93"/>
      <c r="M1979" s="93"/>
      <c r="N1979" s="93"/>
      <c r="O1979" s="93"/>
      <c r="P1979" s="93"/>
      <c r="Q1979" s="93"/>
      <c r="R1979" s="93"/>
      <c r="S1979" s="93"/>
      <c r="T1979" s="93"/>
      <c r="U1979" s="93"/>
      <c r="V1979" s="93"/>
      <c r="W1979" s="93"/>
      <c r="X1979" s="93"/>
      <c r="Y1979" s="93"/>
      <c r="Z1979" s="93"/>
    </row>
    <row r="1980" customFormat="false" ht="16.4" hidden="false" customHeight="false" outlineLevel="0" collapsed="false">
      <c r="A1980" s="123" t="n">
        <v>45444</v>
      </c>
      <c r="B1980" s="31" t="s">
        <v>153</v>
      </c>
      <c r="C1980" s="129"/>
      <c r="D1980" s="129"/>
      <c r="E1980" s="19" t="n">
        <f aca="false">F1980*0.03</f>
        <v>0</v>
      </c>
      <c r="F1980" s="33" t="n">
        <v>0</v>
      </c>
      <c r="G1980" s="131"/>
      <c r="H1980" s="35" t="n">
        <v>0</v>
      </c>
      <c r="I1980" s="34" t="n">
        <f aca="false">+IF(E1980=0,0,E1980*0.03)</f>
        <v>0</v>
      </c>
      <c r="J1980" s="93"/>
      <c r="K1980" s="93"/>
      <c r="L1980" s="93"/>
      <c r="M1980" s="93"/>
      <c r="N1980" s="93"/>
      <c r="O1980" s="93"/>
      <c r="P1980" s="93"/>
      <c r="Q1980" s="93"/>
      <c r="R1980" s="93"/>
      <c r="S1980" s="93"/>
      <c r="T1980" s="93"/>
      <c r="U1980" s="93"/>
      <c r="V1980" s="93"/>
      <c r="W1980" s="93"/>
      <c r="X1980" s="93"/>
      <c r="Y1980" s="93"/>
      <c r="Z1980" s="93"/>
    </row>
    <row r="1981" customFormat="false" ht="16.4" hidden="false" customHeight="false" outlineLevel="0" collapsed="false">
      <c r="A1981" s="123" t="n">
        <v>45444</v>
      </c>
      <c r="B1981" s="31" t="s">
        <v>153</v>
      </c>
      <c r="C1981" s="129"/>
      <c r="D1981" s="129"/>
      <c r="E1981" s="19" t="n">
        <f aca="false">F1981*0.03</f>
        <v>0</v>
      </c>
      <c r="F1981" s="33" t="n">
        <v>0</v>
      </c>
      <c r="G1981" s="131"/>
      <c r="H1981" s="35" t="n">
        <v>0</v>
      </c>
      <c r="I1981" s="34" t="n">
        <f aca="false">+IF(E1981=0,0,E1981*0.03)</f>
        <v>0</v>
      </c>
      <c r="J1981" s="93"/>
      <c r="K1981" s="93"/>
      <c r="L1981" s="93"/>
      <c r="M1981" s="93"/>
      <c r="N1981" s="93"/>
      <c r="O1981" s="93"/>
      <c r="P1981" s="93"/>
      <c r="Q1981" s="93"/>
      <c r="R1981" s="93"/>
      <c r="S1981" s="93"/>
      <c r="T1981" s="93"/>
      <c r="U1981" s="93"/>
      <c r="V1981" s="93"/>
      <c r="W1981" s="93"/>
      <c r="X1981" s="93"/>
      <c r="Y1981" s="93"/>
      <c r="Z1981" s="93"/>
    </row>
    <row r="1982" customFormat="false" ht="16.4" hidden="false" customHeight="false" outlineLevel="0" collapsed="false">
      <c r="A1982" s="123" t="n">
        <v>45444</v>
      </c>
      <c r="B1982" s="31" t="s">
        <v>153</v>
      </c>
      <c r="C1982" s="129"/>
      <c r="D1982" s="129"/>
      <c r="E1982" s="19" t="n">
        <f aca="false">F1982*0.03</f>
        <v>0</v>
      </c>
      <c r="F1982" s="33" t="n">
        <v>0</v>
      </c>
      <c r="G1982" s="131"/>
      <c r="H1982" s="35" t="n">
        <v>0</v>
      </c>
      <c r="I1982" s="34" t="n">
        <f aca="false">+IF(E1982=0,0,E1982*0.03)</f>
        <v>0</v>
      </c>
      <c r="J1982" s="93"/>
      <c r="K1982" s="93"/>
      <c r="L1982" s="93"/>
      <c r="M1982" s="93"/>
      <c r="N1982" s="93"/>
      <c r="O1982" s="93"/>
      <c r="P1982" s="93"/>
      <c r="Q1982" s="93"/>
      <c r="R1982" s="93"/>
      <c r="S1982" s="93"/>
      <c r="T1982" s="93"/>
      <c r="U1982" s="93"/>
      <c r="V1982" s="93"/>
      <c r="W1982" s="93"/>
      <c r="X1982" s="93"/>
      <c r="Y1982" s="93"/>
      <c r="Z1982" s="93"/>
    </row>
    <row r="1983" customFormat="false" ht="16.4" hidden="false" customHeight="false" outlineLevel="0" collapsed="false">
      <c r="A1983" s="123" t="n">
        <v>45444</v>
      </c>
      <c r="B1983" s="31" t="s">
        <v>153</v>
      </c>
      <c r="C1983" s="129"/>
      <c r="D1983" s="129"/>
      <c r="E1983" s="19" t="n">
        <f aca="false">F1983*0.03</f>
        <v>0</v>
      </c>
      <c r="F1983" s="33" t="n">
        <v>0</v>
      </c>
      <c r="G1983" s="131"/>
      <c r="H1983" s="35" t="n">
        <v>0</v>
      </c>
      <c r="I1983" s="34" t="n">
        <f aca="false">+IF(E1983=0,0,E1983*0.03)</f>
        <v>0</v>
      </c>
      <c r="J1983" s="93"/>
      <c r="K1983" s="93"/>
      <c r="L1983" s="93"/>
      <c r="M1983" s="93"/>
      <c r="N1983" s="93"/>
      <c r="O1983" s="93"/>
      <c r="P1983" s="93"/>
      <c r="Q1983" s="93"/>
      <c r="R1983" s="93"/>
      <c r="S1983" s="93"/>
      <c r="T1983" s="93"/>
      <c r="U1983" s="93"/>
      <c r="V1983" s="93"/>
      <c r="W1983" s="93"/>
      <c r="X1983" s="93"/>
      <c r="Y1983" s="93"/>
      <c r="Z1983" s="93"/>
    </row>
    <row r="1984" customFormat="false" ht="16.4" hidden="false" customHeight="false" outlineLevel="0" collapsed="false">
      <c r="A1984" s="93"/>
      <c r="B1984" s="93"/>
      <c r="C1984" s="129"/>
      <c r="D1984" s="32" t="s">
        <v>26</v>
      </c>
      <c r="E1984" s="19" t="n">
        <f aca="false">SUM(E7:E1983)</f>
        <v>179850</v>
      </c>
      <c r="F1984" s="33" t="n">
        <f aca="false">SUM(F7:F1983)</f>
        <v>5995000</v>
      </c>
      <c r="G1984" s="110"/>
      <c r="H1984" s="37" t="n">
        <f aca="false">SUM(H7:H1983)</f>
        <v>0</v>
      </c>
      <c r="I1984" s="38" t="n">
        <f aca="false">SUM(I7:I1983)</f>
        <v>0</v>
      </c>
      <c r="J1984" s="93"/>
      <c r="K1984" s="93"/>
      <c r="L1984" s="93"/>
      <c r="M1984" s="93"/>
      <c r="N1984" s="93"/>
      <c r="O1984" s="93"/>
      <c r="P1984" s="93"/>
      <c r="Q1984" s="93"/>
      <c r="R1984" s="93"/>
      <c r="S1984" s="93"/>
      <c r="T1984" s="93"/>
      <c r="U1984" s="93"/>
      <c r="V1984" s="93"/>
      <c r="W1984" s="93"/>
      <c r="X1984" s="93"/>
      <c r="Y1984" s="93"/>
      <c r="Z1984" s="93"/>
    </row>
    <row r="1985" customFormat="false" ht="15" hidden="false" customHeight="false" outlineLevel="0" collapsed="false">
      <c r="A1985" s="93"/>
      <c r="B1985" s="93"/>
      <c r="C1985" s="93"/>
      <c r="D1985" s="93"/>
      <c r="E1985" s="93"/>
      <c r="F1985" s="93"/>
      <c r="G1985" s="93"/>
      <c r="H1985" s="93"/>
      <c r="I1985" s="93"/>
      <c r="J1985" s="93"/>
      <c r="K1985" s="93"/>
      <c r="L1985" s="93"/>
      <c r="M1985" s="93"/>
      <c r="N1985" s="93"/>
      <c r="O1985" s="93"/>
      <c r="P1985" s="93"/>
      <c r="Q1985" s="93"/>
      <c r="R1985" s="93"/>
      <c r="S1985" s="93"/>
      <c r="T1985" s="93"/>
      <c r="U1985" s="93"/>
      <c r="V1985" s="93"/>
      <c r="W1985" s="93"/>
      <c r="X1985" s="93"/>
      <c r="Y1985" s="93"/>
      <c r="Z1985" s="93"/>
    </row>
    <row r="1986" customFormat="false" ht="15" hidden="false" customHeight="false" outlineLevel="0" collapsed="false">
      <c r="A1986" s="93"/>
      <c r="B1986" s="93"/>
      <c r="C1986" s="93"/>
      <c r="D1986" s="93"/>
      <c r="E1986" s="93"/>
      <c r="F1986" s="93"/>
      <c r="G1986" s="93"/>
      <c r="H1986" s="93"/>
      <c r="I1986" s="93"/>
      <c r="J1986" s="93"/>
      <c r="K1986" s="93"/>
      <c r="L1986" s="93"/>
      <c r="M1986" s="93"/>
      <c r="N1986" s="93"/>
      <c r="O1986" s="93"/>
      <c r="P1986" s="93"/>
      <c r="Q1986" s="93"/>
      <c r="R1986" s="93"/>
      <c r="S1986" s="93"/>
      <c r="T1986" s="93"/>
      <c r="U1986" s="93"/>
      <c r="V1986" s="93"/>
      <c r="W1986" s="93"/>
      <c r="X1986" s="93"/>
      <c r="Y1986" s="93"/>
      <c r="Z1986" s="93"/>
    </row>
    <row r="1987" customFormat="false" ht="15" hidden="false" customHeight="false" outlineLevel="0" collapsed="false">
      <c r="A1987" s="93"/>
      <c r="B1987" s="93"/>
      <c r="C1987" s="93"/>
      <c r="D1987" s="93"/>
      <c r="E1987" s="93"/>
      <c r="F1987" s="93"/>
      <c r="G1987" s="93"/>
      <c r="H1987" s="93"/>
      <c r="I1987" s="93"/>
      <c r="J1987" s="93"/>
      <c r="K1987" s="93"/>
      <c r="L1987" s="93"/>
      <c r="M1987" s="93"/>
      <c r="N1987" s="93"/>
      <c r="O1987" s="93"/>
      <c r="P1987" s="93"/>
      <c r="Q1987" s="93"/>
      <c r="R1987" s="93"/>
      <c r="S1987" s="93"/>
      <c r="T1987" s="93"/>
      <c r="U1987" s="93"/>
      <c r="V1987" s="93"/>
      <c r="W1987" s="93"/>
      <c r="X1987" s="93"/>
      <c r="Y1987" s="93"/>
      <c r="Z1987" s="93"/>
    </row>
    <row r="1988" customFormat="false" ht="15" hidden="false" customHeight="false" outlineLevel="0" collapsed="false">
      <c r="A1988" s="93"/>
      <c r="B1988" s="93"/>
      <c r="C1988" s="93"/>
      <c r="D1988" s="93"/>
      <c r="E1988" s="93"/>
      <c r="F1988" s="93"/>
      <c r="G1988" s="93"/>
      <c r="H1988" s="93"/>
      <c r="I1988" s="93"/>
      <c r="J1988" s="93"/>
      <c r="K1988" s="93"/>
      <c r="L1988" s="93"/>
      <c r="M1988" s="93"/>
      <c r="N1988" s="93"/>
      <c r="O1988" s="93"/>
      <c r="P1988" s="93"/>
      <c r="Q1988" s="93"/>
      <c r="R1988" s="93"/>
      <c r="S1988" s="93"/>
      <c r="T1988" s="93"/>
      <c r="U1988" s="93"/>
      <c r="V1988" s="93"/>
      <c r="W1988" s="93"/>
      <c r="X1988" s="93"/>
      <c r="Y1988" s="93"/>
      <c r="Z1988" s="93"/>
    </row>
    <row r="1989" customFormat="false" ht="15" hidden="false" customHeight="false" outlineLevel="0" collapsed="false">
      <c r="A1989" s="93"/>
      <c r="B1989" s="93"/>
      <c r="C1989" s="93"/>
      <c r="D1989" s="93"/>
      <c r="E1989" s="93"/>
      <c r="F1989" s="93"/>
      <c r="G1989" s="93"/>
      <c r="H1989" s="93"/>
      <c r="I1989" s="93"/>
      <c r="J1989" s="93"/>
      <c r="K1989" s="93"/>
      <c r="L1989" s="93"/>
      <c r="M1989" s="93"/>
      <c r="N1989" s="93"/>
      <c r="O1989" s="93"/>
      <c r="P1989" s="93"/>
      <c r="Q1989" s="93"/>
      <c r="R1989" s="93"/>
      <c r="S1989" s="93"/>
      <c r="T1989" s="93"/>
      <c r="U1989" s="93"/>
      <c r="V1989" s="93"/>
      <c r="W1989" s="93"/>
      <c r="X1989" s="93"/>
      <c r="Y1989" s="93"/>
      <c r="Z1989" s="93"/>
    </row>
    <row r="1990" customFormat="false" ht="15" hidden="false" customHeight="false" outlineLevel="0" collapsed="false">
      <c r="A1990" s="93"/>
      <c r="B1990" s="93"/>
      <c r="C1990" s="93"/>
      <c r="D1990" s="93"/>
      <c r="E1990" s="93"/>
      <c r="F1990" s="93"/>
      <c r="G1990" s="93"/>
      <c r="H1990" s="93"/>
      <c r="I1990" s="93"/>
      <c r="J1990" s="93"/>
      <c r="K1990" s="93"/>
      <c r="L1990" s="93"/>
      <c r="M1990" s="93"/>
      <c r="N1990" s="93"/>
      <c r="O1990" s="93"/>
      <c r="P1990" s="127"/>
      <c r="Q1990" s="93"/>
      <c r="R1990" s="93"/>
      <c r="S1990" s="93"/>
      <c r="T1990" s="93"/>
      <c r="U1990" s="93"/>
      <c r="V1990" s="93"/>
      <c r="W1990" s="93"/>
      <c r="X1990" s="93"/>
      <c r="Y1990" s="93"/>
      <c r="Z1990" s="93"/>
    </row>
    <row r="1991" customFormat="false" ht="15" hidden="false" customHeight="false" outlineLevel="0" collapsed="false">
      <c r="A1991" s="93"/>
      <c r="B1991" s="93"/>
      <c r="C1991" s="93"/>
      <c r="D1991" s="93"/>
      <c r="E1991" s="93"/>
      <c r="F1991" s="93"/>
      <c r="G1991" s="93"/>
      <c r="H1991" s="93"/>
      <c r="I1991" s="93"/>
      <c r="J1991" s="93"/>
      <c r="K1991" s="93"/>
      <c r="L1991" s="93"/>
      <c r="M1991" s="93"/>
      <c r="N1991" s="93"/>
      <c r="O1991" s="93"/>
      <c r="P1991" s="93"/>
      <c r="Q1991" s="93"/>
      <c r="R1991" s="93"/>
      <c r="S1991" s="93"/>
      <c r="T1991" s="93"/>
      <c r="U1991" s="93"/>
      <c r="V1991" s="93"/>
      <c r="W1991" s="93"/>
      <c r="X1991" s="93"/>
      <c r="Y1991" s="93"/>
      <c r="Z1991" s="93"/>
    </row>
    <row r="1992" customFormat="false" ht="15" hidden="false" customHeight="false" outlineLevel="0" collapsed="false">
      <c r="A1992" s="93"/>
      <c r="B1992" s="93"/>
      <c r="C1992" s="93"/>
      <c r="D1992" s="93"/>
      <c r="E1992" s="93"/>
      <c r="F1992" s="93"/>
      <c r="G1992" s="93"/>
      <c r="H1992" s="93"/>
      <c r="I1992" s="93"/>
      <c r="J1992" s="93"/>
      <c r="K1992" s="93"/>
      <c r="L1992" s="93"/>
      <c r="M1992" s="93"/>
      <c r="N1992" s="93"/>
      <c r="O1992" s="127"/>
      <c r="P1992" s="127"/>
      <c r="Q1992" s="93"/>
      <c r="R1992" s="93"/>
      <c r="S1992" s="93"/>
      <c r="T1992" s="93"/>
      <c r="U1992" s="93"/>
      <c r="V1992" s="93"/>
      <c r="W1992" s="93"/>
      <c r="X1992" s="93"/>
      <c r="Y1992" s="93"/>
      <c r="Z1992" s="93"/>
    </row>
  </sheetData>
  <mergeCells count="3">
    <mergeCell ref="H1:I1"/>
    <mergeCell ref="H2:I2"/>
    <mergeCell ref="C5:I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9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3" min="3" style="0" width="25.86"/>
    <col collapsed="false" customWidth="true" hidden="false" outlineLevel="0" max="4" min="4" style="0" width="28.57"/>
    <col collapsed="false" customWidth="true" hidden="false" outlineLevel="0" max="5" min="5" style="0" width="26.57"/>
    <col collapsed="false" customWidth="true" hidden="false" outlineLevel="0" max="7" min="6" style="0" width="32.43"/>
  </cols>
  <sheetData>
    <row r="1" customFormat="false" ht="31.3" hidden="false" customHeight="true" outlineLevel="0" collapsed="false">
      <c r="A1" s="85"/>
      <c r="B1" s="86"/>
      <c r="C1" s="87" t="s">
        <v>2</v>
      </c>
      <c r="D1" s="88" t="s">
        <v>3</v>
      </c>
      <c r="E1" s="89" t="s">
        <v>236</v>
      </c>
      <c r="F1" s="90" t="s">
        <v>4</v>
      </c>
      <c r="G1" s="91" t="s">
        <v>28</v>
      </c>
      <c r="H1" s="92" t="s">
        <v>29</v>
      </c>
      <c r="I1" s="92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customFormat="false" ht="16.4" hidden="false" customHeight="false" outlineLevel="0" collapsed="false">
      <c r="B2" s="94"/>
      <c r="C2" s="95" t="n">
        <f aca="false">+E1984</f>
        <v>186420</v>
      </c>
      <c r="D2" s="96" t="n">
        <f aca="false">+F1984</f>
        <v>6214000</v>
      </c>
      <c r="E2" s="97" t="n">
        <f aca="false">D2-C2</f>
        <v>6027580</v>
      </c>
      <c r="F2" s="98" t="n">
        <f aca="false">+D2-(C2+E2)</f>
        <v>0</v>
      </c>
      <c r="G2" s="99" t="s">
        <v>30</v>
      </c>
      <c r="H2" s="100" t="n">
        <f aca="false">C2/6</f>
        <v>31070</v>
      </c>
      <c r="I2" s="100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customFormat="false" ht="31.3" hidden="false" customHeight="false" outlineLevel="0" collapsed="false">
      <c r="A3" s="101" t="s">
        <v>237</v>
      </c>
      <c r="B3" s="102" t="s">
        <v>238</v>
      </c>
      <c r="C3" s="103" t="s">
        <v>8</v>
      </c>
      <c r="D3" s="104" t="s">
        <v>9</v>
      </c>
      <c r="E3" s="105" t="s">
        <v>80</v>
      </c>
      <c r="F3" s="106" t="s">
        <v>154</v>
      </c>
      <c r="G3" s="107" t="s">
        <v>31</v>
      </c>
      <c r="H3" s="108"/>
      <c r="I3" s="109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customFormat="false" ht="16.4" hidden="false" customHeight="false" outlineLevel="0" collapsed="false">
      <c r="A4" s="110" t="n">
        <f aca="false">H2</f>
        <v>31070</v>
      </c>
      <c r="B4" s="111" t="n">
        <f aca="false">H2</f>
        <v>31070</v>
      </c>
      <c r="C4" s="20" t="n">
        <f aca="false">H2</f>
        <v>31070</v>
      </c>
      <c r="D4" s="112" t="n">
        <f aca="false">H2</f>
        <v>31070</v>
      </c>
      <c r="E4" s="113" t="n">
        <f aca="false">H2</f>
        <v>31070</v>
      </c>
      <c r="F4" s="114" t="n">
        <f aca="false">H2</f>
        <v>31070</v>
      </c>
      <c r="G4" s="115" t="s">
        <v>32</v>
      </c>
      <c r="H4" s="116" t="n">
        <f aca="false">+C2*H3</f>
        <v>0</v>
      </c>
      <c r="I4" s="80" t="n">
        <v>0</v>
      </c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customFormat="false" ht="31.3" hidden="false" customHeight="false" outlineLevel="0" collapsed="false">
      <c r="A5" s="117"/>
      <c r="B5" s="118" t="s">
        <v>12</v>
      </c>
      <c r="C5" s="119"/>
      <c r="D5" s="119"/>
      <c r="E5" s="119"/>
      <c r="F5" s="119"/>
      <c r="G5" s="119"/>
      <c r="H5" s="119"/>
      <c r="I5" s="119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customFormat="false" ht="31.3" hidden="false" customHeight="false" outlineLevel="0" collapsed="false">
      <c r="A6" s="25" t="s">
        <v>13</v>
      </c>
      <c r="B6" s="25" t="s">
        <v>14</v>
      </c>
      <c r="C6" s="25" t="s">
        <v>113</v>
      </c>
      <c r="D6" s="26" t="s">
        <v>16</v>
      </c>
      <c r="E6" s="120" t="s">
        <v>17</v>
      </c>
      <c r="F6" s="27" t="s">
        <v>83</v>
      </c>
      <c r="G6" s="27" t="s">
        <v>28</v>
      </c>
      <c r="H6" s="28" t="s">
        <v>19</v>
      </c>
      <c r="I6" s="29" t="s">
        <v>20</v>
      </c>
      <c r="J6" s="93"/>
      <c r="K6" s="93"/>
      <c r="L6" s="93"/>
      <c r="M6" s="93"/>
      <c r="N6" s="93"/>
      <c r="O6" s="11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customFormat="false" ht="16.4" hidden="false" customHeight="false" outlineLevel="0" collapsed="false">
      <c r="A7" s="135" t="n">
        <v>45566</v>
      </c>
      <c r="B7" s="31" t="s">
        <v>7</v>
      </c>
      <c r="C7" s="82"/>
      <c r="D7" s="32"/>
      <c r="E7" s="19" t="n">
        <f aca="false">F7*0.03</f>
        <v>0</v>
      </c>
      <c r="F7" s="33" t="n">
        <v>0</v>
      </c>
      <c r="G7" s="62" t="s">
        <v>31</v>
      </c>
      <c r="H7" s="34"/>
      <c r="I7" s="34"/>
      <c r="J7" s="93"/>
      <c r="K7" s="93"/>
      <c r="L7" s="93"/>
      <c r="M7" s="93"/>
      <c r="N7" s="93"/>
      <c r="O7" s="110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customFormat="false" ht="63.75" hidden="false" customHeight="true" outlineLevel="0" collapsed="false">
      <c r="A8" s="135" t="n">
        <v>45570</v>
      </c>
      <c r="B8" s="31" t="s">
        <v>239</v>
      </c>
      <c r="C8" s="82"/>
      <c r="D8" s="32" t="s">
        <v>284</v>
      </c>
      <c r="E8" s="19" t="n">
        <f aca="false">F8*0.03</f>
        <v>450</v>
      </c>
      <c r="F8" s="33" t="n">
        <v>15000</v>
      </c>
      <c r="G8" s="62" t="s">
        <v>31</v>
      </c>
      <c r="H8" s="34"/>
      <c r="I8" s="34"/>
      <c r="J8" s="93"/>
      <c r="K8" s="93"/>
      <c r="L8" s="93"/>
      <c r="M8" s="132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customFormat="false" ht="63.75" hidden="false" customHeight="true" outlineLevel="0" collapsed="false">
      <c r="A9" s="135" t="n">
        <v>45566</v>
      </c>
      <c r="B9" s="31" t="s">
        <v>254</v>
      </c>
      <c r="C9" s="82" t="n">
        <v>131</v>
      </c>
      <c r="D9" s="32" t="s">
        <v>285</v>
      </c>
      <c r="E9" s="19" t="n">
        <f aca="false">F9*0.03</f>
        <v>3600</v>
      </c>
      <c r="F9" s="33" t="n">
        <v>120000</v>
      </c>
      <c r="G9" s="62" t="s">
        <v>30</v>
      </c>
      <c r="H9" s="34"/>
      <c r="I9" s="34"/>
      <c r="J9" s="93"/>
      <c r="K9" s="93"/>
      <c r="L9" s="93"/>
      <c r="M9" s="122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customFormat="false" ht="16.4" hidden="false" customHeight="false" outlineLevel="0" collapsed="false">
      <c r="A10" s="135" t="n">
        <v>45566</v>
      </c>
      <c r="B10" s="31" t="s">
        <v>239</v>
      </c>
      <c r="C10" s="82"/>
      <c r="D10" s="32" t="s">
        <v>286</v>
      </c>
      <c r="E10" s="19" t="n">
        <f aca="false">F10*0.03</f>
        <v>6900</v>
      </c>
      <c r="F10" s="33" t="n">
        <v>230000</v>
      </c>
      <c r="G10" s="62" t="s">
        <v>251</v>
      </c>
      <c r="H10" s="34"/>
      <c r="I10" s="34"/>
      <c r="J10" s="93"/>
      <c r="K10" s="93"/>
      <c r="L10" s="93"/>
      <c r="M10" s="124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customFormat="false" ht="16.4" hidden="false" customHeight="false" outlineLevel="0" collapsed="false">
      <c r="A11" s="135" t="n">
        <v>45566</v>
      </c>
      <c r="B11" s="31" t="s">
        <v>7</v>
      </c>
      <c r="C11" s="82"/>
      <c r="D11" s="32" t="s">
        <v>287</v>
      </c>
      <c r="E11" s="19" t="n">
        <f aca="false">F11*0.03</f>
        <v>1200</v>
      </c>
      <c r="F11" s="33" t="n">
        <v>40000</v>
      </c>
      <c r="G11" s="62" t="s">
        <v>31</v>
      </c>
      <c r="H11" s="34"/>
      <c r="I11" s="34"/>
      <c r="J11" s="93"/>
      <c r="K11" s="93"/>
      <c r="L11" s="93"/>
      <c r="M11" s="124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customFormat="false" ht="16.4" hidden="false" customHeight="false" outlineLevel="0" collapsed="false">
      <c r="A12" s="135" t="n">
        <v>45566</v>
      </c>
      <c r="B12" s="31" t="s">
        <v>239</v>
      </c>
      <c r="C12" s="82"/>
      <c r="D12" s="32" t="s">
        <v>288</v>
      </c>
      <c r="E12" s="19" t="n">
        <f aca="false">F12*0.03</f>
        <v>5790</v>
      </c>
      <c r="F12" s="33" t="n">
        <v>193000</v>
      </c>
      <c r="G12" s="62" t="s">
        <v>251</v>
      </c>
      <c r="H12" s="34"/>
      <c r="I12" s="34"/>
      <c r="J12" s="93"/>
      <c r="K12" s="93"/>
      <c r="L12" s="93"/>
      <c r="M12" s="126"/>
      <c r="N12" s="93"/>
      <c r="O12" s="127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customFormat="false" ht="16.4" hidden="false" customHeight="false" outlineLevel="0" collapsed="false">
      <c r="A13" s="135" t="n">
        <v>45566</v>
      </c>
      <c r="B13" s="31" t="s">
        <v>239</v>
      </c>
      <c r="C13" s="82" t="n">
        <v>156</v>
      </c>
      <c r="D13" s="32" t="s">
        <v>289</v>
      </c>
      <c r="E13" s="19" t="n">
        <f aca="false">F13*0.03</f>
        <v>900</v>
      </c>
      <c r="F13" s="33" t="n">
        <v>30000</v>
      </c>
      <c r="G13" s="62" t="s">
        <v>30</v>
      </c>
      <c r="H13" s="34"/>
      <c r="I13" s="34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customFormat="false" ht="16.4" hidden="false" customHeight="false" outlineLevel="0" collapsed="false">
      <c r="A14" s="135" t="n">
        <v>45566</v>
      </c>
      <c r="B14" s="31" t="s">
        <v>239</v>
      </c>
      <c r="C14" s="82" t="n">
        <v>157</v>
      </c>
      <c r="D14" s="32" t="s">
        <v>290</v>
      </c>
      <c r="E14" s="19" t="n">
        <f aca="false">F14*0.03</f>
        <v>4500</v>
      </c>
      <c r="F14" s="33" t="n">
        <v>150000</v>
      </c>
      <c r="G14" s="62" t="s">
        <v>31</v>
      </c>
      <c r="H14" s="34"/>
      <c r="I14" s="34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customFormat="false" ht="16.4" hidden="false" customHeight="false" outlineLevel="0" collapsed="false">
      <c r="A15" s="135" t="n">
        <v>45566</v>
      </c>
      <c r="B15" s="31" t="s">
        <v>153</v>
      </c>
      <c r="C15" s="82"/>
      <c r="D15" s="32" t="s">
        <v>291</v>
      </c>
      <c r="E15" s="19" t="n">
        <f aca="false">F15*0.03</f>
        <v>24000</v>
      </c>
      <c r="F15" s="33" t="n">
        <v>800000</v>
      </c>
      <c r="G15" s="62" t="s">
        <v>30</v>
      </c>
      <c r="H15" s="34"/>
      <c r="I15" s="34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customFormat="false" ht="16.4" hidden="false" customHeight="false" outlineLevel="0" collapsed="false">
      <c r="A16" s="135" t="n">
        <v>45566</v>
      </c>
      <c r="B16" s="31" t="s">
        <v>239</v>
      </c>
      <c r="C16" s="82"/>
      <c r="D16" s="32" t="s">
        <v>292</v>
      </c>
      <c r="E16" s="19" t="n">
        <f aca="false">F16*0.03</f>
        <v>1500</v>
      </c>
      <c r="F16" s="33" t="n">
        <v>50000</v>
      </c>
      <c r="G16" s="62" t="s">
        <v>30</v>
      </c>
      <c r="H16" s="34"/>
      <c r="I16" s="34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customFormat="false" ht="16.4" hidden="false" customHeight="false" outlineLevel="0" collapsed="false">
      <c r="A17" s="135" t="n">
        <v>45566</v>
      </c>
      <c r="B17" s="31" t="s">
        <v>7</v>
      </c>
      <c r="C17" s="82" t="n">
        <v>162</v>
      </c>
      <c r="D17" s="32" t="s">
        <v>293</v>
      </c>
      <c r="E17" s="19" t="n">
        <f aca="false">F17*0.03</f>
        <v>2700</v>
      </c>
      <c r="F17" s="33" t="n">
        <v>90000</v>
      </c>
      <c r="G17" s="62" t="s">
        <v>31</v>
      </c>
      <c r="H17" s="34"/>
      <c r="I17" s="34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customFormat="false" ht="16.4" hidden="false" customHeight="false" outlineLevel="0" collapsed="false">
      <c r="A18" s="135" t="n">
        <v>45566</v>
      </c>
      <c r="B18" s="31" t="s">
        <v>254</v>
      </c>
      <c r="C18" s="82" t="n">
        <v>164</v>
      </c>
      <c r="D18" s="32" t="s">
        <v>294</v>
      </c>
      <c r="E18" s="19" t="n">
        <f aca="false">F18*0.03</f>
        <v>1800</v>
      </c>
      <c r="F18" s="33" t="n">
        <v>60000</v>
      </c>
      <c r="G18" s="62" t="s">
        <v>30</v>
      </c>
      <c r="H18" s="34"/>
      <c r="I18" s="34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customFormat="false" ht="16.4" hidden="false" customHeight="false" outlineLevel="0" collapsed="false">
      <c r="A19" s="135" t="n">
        <v>45566</v>
      </c>
      <c r="B19" s="31" t="s">
        <v>239</v>
      </c>
      <c r="C19" s="82"/>
      <c r="D19" s="32" t="s">
        <v>295</v>
      </c>
      <c r="E19" s="19" t="n">
        <f aca="false">F19*0.03</f>
        <v>2700</v>
      </c>
      <c r="F19" s="33" t="n">
        <v>90000</v>
      </c>
      <c r="G19" s="62" t="s">
        <v>245</v>
      </c>
      <c r="H19" s="34"/>
      <c r="I19" s="34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customFormat="false" ht="31.3" hidden="false" customHeight="false" outlineLevel="0" collapsed="false">
      <c r="A20" s="135" t="n">
        <v>45566</v>
      </c>
      <c r="B20" s="31" t="s">
        <v>7</v>
      </c>
      <c r="C20" s="82"/>
      <c r="D20" s="32" t="s">
        <v>296</v>
      </c>
      <c r="E20" s="19" t="n">
        <f aca="false">F20*0.03</f>
        <v>1350</v>
      </c>
      <c r="F20" s="33" t="n">
        <v>45000</v>
      </c>
      <c r="G20" s="62" t="s">
        <v>31</v>
      </c>
      <c r="H20" s="34"/>
      <c r="I20" s="34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customFormat="false" ht="31.3" hidden="false" customHeight="false" outlineLevel="0" collapsed="false">
      <c r="A21" s="135" t="n">
        <v>45566</v>
      </c>
      <c r="B21" s="31" t="s">
        <v>239</v>
      </c>
      <c r="C21" s="82" t="n">
        <v>144</v>
      </c>
      <c r="D21" s="32" t="s">
        <v>297</v>
      </c>
      <c r="E21" s="19" t="n">
        <f aca="false">F21*0.03</f>
        <v>1800</v>
      </c>
      <c r="F21" s="33" t="n">
        <v>60000</v>
      </c>
      <c r="G21" s="62" t="s">
        <v>30</v>
      </c>
      <c r="H21" s="34"/>
      <c r="I21" s="34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customFormat="false" ht="16.4" hidden="false" customHeight="false" outlineLevel="0" collapsed="false">
      <c r="A22" s="135" t="n">
        <v>45581</v>
      </c>
      <c r="B22" s="31" t="s">
        <v>239</v>
      </c>
      <c r="C22" s="82"/>
      <c r="D22" s="32" t="s">
        <v>298</v>
      </c>
      <c r="E22" s="19" t="n">
        <f aca="false">F22*0.03</f>
        <v>3000</v>
      </c>
      <c r="F22" s="33" t="n">
        <v>100000</v>
      </c>
      <c r="G22" s="62" t="s">
        <v>31</v>
      </c>
      <c r="H22" s="34"/>
      <c r="I22" s="34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customFormat="false" ht="16.4" hidden="false" customHeight="false" outlineLevel="0" collapsed="false">
      <c r="A23" s="135" t="n">
        <v>45580</v>
      </c>
      <c r="B23" s="31" t="s">
        <v>239</v>
      </c>
      <c r="C23" s="82"/>
      <c r="D23" s="32" t="s">
        <v>299</v>
      </c>
      <c r="E23" s="19" t="n">
        <f aca="false">F23*0.03</f>
        <v>1800</v>
      </c>
      <c r="F23" s="33" t="n">
        <v>60000</v>
      </c>
      <c r="G23" s="62" t="s">
        <v>31</v>
      </c>
      <c r="H23" s="34"/>
      <c r="I23" s="34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customFormat="false" ht="16.4" hidden="false" customHeight="false" outlineLevel="0" collapsed="false">
      <c r="A24" s="135" t="n">
        <v>45580</v>
      </c>
      <c r="B24" s="31" t="s">
        <v>239</v>
      </c>
      <c r="C24" s="82"/>
      <c r="D24" s="32" t="s">
        <v>300</v>
      </c>
      <c r="E24" s="19" t="n">
        <f aca="false">F24*0.03</f>
        <v>750</v>
      </c>
      <c r="F24" s="33" t="n">
        <v>25000</v>
      </c>
      <c r="G24" s="62" t="s">
        <v>30</v>
      </c>
      <c r="H24" s="34"/>
      <c r="I24" s="34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customFormat="false" ht="31.3" hidden="false" customHeight="false" outlineLevel="0" collapsed="false">
      <c r="A25" s="135" t="n">
        <v>45583</v>
      </c>
      <c r="B25" s="31" t="s">
        <v>7</v>
      </c>
      <c r="C25" s="82"/>
      <c r="D25" s="32" t="s">
        <v>301</v>
      </c>
      <c r="E25" s="19" t="n">
        <f aca="false">F25*0.03</f>
        <v>300</v>
      </c>
      <c r="F25" s="33" t="n">
        <v>10000</v>
      </c>
      <c r="G25" s="62" t="s">
        <v>31</v>
      </c>
      <c r="H25" s="34"/>
      <c r="I25" s="34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customFormat="false" ht="31.3" hidden="false" customHeight="false" outlineLevel="0" collapsed="false">
      <c r="A26" s="135" t="n">
        <v>45581</v>
      </c>
      <c r="B26" s="31" t="s">
        <v>239</v>
      </c>
      <c r="C26" s="82"/>
      <c r="D26" s="32" t="s">
        <v>302</v>
      </c>
      <c r="E26" s="19" t="n">
        <f aca="false">F26*0.03</f>
        <v>2400</v>
      </c>
      <c r="F26" s="33" t="n">
        <v>80000</v>
      </c>
      <c r="G26" s="62" t="s">
        <v>31</v>
      </c>
      <c r="H26" s="34"/>
      <c r="I26" s="34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customFormat="false" ht="16.4" hidden="false" customHeight="false" outlineLevel="0" collapsed="false">
      <c r="A27" s="135" t="n">
        <v>45586</v>
      </c>
      <c r="B27" s="31" t="s">
        <v>239</v>
      </c>
      <c r="C27" s="82"/>
      <c r="D27" s="32" t="s">
        <v>303</v>
      </c>
      <c r="E27" s="19" t="n">
        <f aca="false">F27*0.03</f>
        <v>900</v>
      </c>
      <c r="F27" s="33" t="n">
        <v>30000</v>
      </c>
      <c r="G27" s="62" t="s">
        <v>31</v>
      </c>
      <c r="H27" s="34"/>
      <c r="I27" s="34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customFormat="false" ht="16.4" hidden="false" customHeight="false" outlineLevel="0" collapsed="false">
      <c r="A28" s="135" t="n">
        <v>45587</v>
      </c>
      <c r="B28" s="31" t="s">
        <v>239</v>
      </c>
      <c r="C28" s="82"/>
      <c r="D28" s="32" t="s">
        <v>304</v>
      </c>
      <c r="E28" s="19" t="n">
        <f aca="false">F28*0.03</f>
        <v>30000</v>
      </c>
      <c r="F28" s="33" t="n">
        <v>1000000</v>
      </c>
      <c r="G28" s="62" t="s">
        <v>30</v>
      </c>
      <c r="H28" s="34"/>
      <c r="I28" s="34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customFormat="false" ht="16.4" hidden="false" customHeight="false" outlineLevel="0" collapsed="false">
      <c r="A29" s="135" t="n">
        <v>45587</v>
      </c>
      <c r="B29" s="31" t="s">
        <v>239</v>
      </c>
      <c r="C29" s="82"/>
      <c r="D29" s="32" t="s">
        <v>305</v>
      </c>
      <c r="E29" s="19" t="n">
        <f aca="false">F29*0.03</f>
        <v>4500</v>
      </c>
      <c r="F29" s="33" t="n">
        <v>150000</v>
      </c>
      <c r="G29" s="62" t="s">
        <v>30</v>
      </c>
      <c r="H29" s="34"/>
      <c r="I29" s="34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customFormat="false" ht="16.4" hidden="false" customHeight="false" outlineLevel="0" collapsed="false">
      <c r="A30" s="135" t="n">
        <v>45586</v>
      </c>
      <c r="B30" s="31" t="s">
        <v>7</v>
      </c>
      <c r="C30" s="82"/>
      <c r="D30" s="32" t="s">
        <v>306</v>
      </c>
      <c r="E30" s="19" t="n">
        <f aca="false">F30*0.03</f>
        <v>3000</v>
      </c>
      <c r="F30" s="33" t="n">
        <v>100000</v>
      </c>
      <c r="G30" s="62" t="s">
        <v>30</v>
      </c>
      <c r="H30" s="34"/>
      <c r="I30" s="34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customFormat="false" ht="16.4" hidden="false" customHeight="false" outlineLevel="0" collapsed="false">
      <c r="A31" s="135" t="n">
        <v>45586</v>
      </c>
      <c r="B31" s="31" t="s">
        <v>239</v>
      </c>
      <c r="C31" s="82"/>
      <c r="D31" s="32" t="s">
        <v>307</v>
      </c>
      <c r="E31" s="19" t="n">
        <f aca="false">F31*0.03</f>
        <v>5100</v>
      </c>
      <c r="F31" s="33" t="n">
        <v>170000</v>
      </c>
      <c r="G31" s="62" t="s">
        <v>32</v>
      </c>
      <c r="H31" s="34"/>
      <c r="I31" s="34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customFormat="false" ht="31.3" hidden="false" customHeight="false" outlineLevel="0" collapsed="false">
      <c r="A32" s="135" t="n">
        <v>45588</v>
      </c>
      <c r="B32" s="31" t="s">
        <v>239</v>
      </c>
      <c r="C32" s="82"/>
      <c r="D32" s="32" t="s">
        <v>308</v>
      </c>
      <c r="E32" s="19" t="n">
        <f aca="false">F32*0.03</f>
        <v>3690</v>
      </c>
      <c r="F32" s="33" t="n">
        <v>123000</v>
      </c>
      <c r="G32" s="62" t="s">
        <v>31</v>
      </c>
      <c r="H32" s="34"/>
      <c r="I32" s="34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customFormat="false" ht="16.4" hidden="false" customHeight="false" outlineLevel="0" collapsed="false">
      <c r="A33" s="135" t="n">
        <v>45589</v>
      </c>
      <c r="B33" s="31" t="s">
        <v>254</v>
      </c>
      <c r="C33" s="82"/>
      <c r="D33" s="32" t="s">
        <v>309</v>
      </c>
      <c r="E33" s="19" t="n">
        <f aca="false">F33*0.03</f>
        <v>3000</v>
      </c>
      <c r="F33" s="33" t="n">
        <v>100000</v>
      </c>
      <c r="G33" s="62" t="s">
        <v>31</v>
      </c>
      <c r="H33" s="34"/>
      <c r="I33" s="34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customFormat="false" ht="16.4" hidden="false" customHeight="false" outlineLevel="0" collapsed="false">
      <c r="A34" s="135" t="n">
        <v>45586</v>
      </c>
      <c r="B34" s="31" t="s">
        <v>239</v>
      </c>
      <c r="C34" s="82"/>
      <c r="D34" s="32" t="s">
        <v>310</v>
      </c>
      <c r="E34" s="19" t="n">
        <f aca="false">F34*0.03</f>
        <v>4500</v>
      </c>
      <c r="F34" s="33" t="n">
        <v>150000</v>
      </c>
      <c r="G34" s="62" t="s">
        <v>30</v>
      </c>
      <c r="H34" s="34"/>
      <c r="I34" s="34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customFormat="false" ht="31.3" hidden="false" customHeight="false" outlineLevel="0" collapsed="false">
      <c r="A35" s="135" t="n">
        <v>45593</v>
      </c>
      <c r="B35" s="31" t="s">
        <v>239</v>
      </c>
      <c r="C35" s="82"/>
      <c r="D35" s="32" t="s">
        <v>311</v>
      </c>
      <c r="E35" s="19" t="n">
        <f aca="false">F35*0.03</f>
        <v>4500</v>
      </c>
      <c r="F35" s="33" t="n">
        <v>150000</v>
      </c>
      <c r="G35" s="62" t="s">
        <v>31</v>
      </c>
      <c r="H35" s="34"/>
      <c r="I35" s="34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customFormat="false" ht="16.4" hidden="false" customHeight="false" outlineLevel="0" collapsed="false">
      <c r="A36" s="135" t="n">
        <v>45594</v>
      </c>
      <c r="B36" s="31" t="s">
        <v>239</v>
      </c>
      <c r="C36" s="82"/>
      <c r="D36" s="32" t="s">
        <v>312</v>
      </c>
      <c r="E36" s="19" t="n">
        <f aca="false">F36*0.03</f>
        <v>1050</v>
      </c>
      <c r="F36" s="33" t="n">
        <v>35000</v>
      </c>
      <c r="G36" s="62" t="s">
        <v>31</v>
      </c>
      <c r="H36" s="34"/>
      <c r="I36" s="34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customFormat="false" ht="16.4" hidden="false" customHeight="false" outlineLevel="0" collapsed="false">
      <c r="A37" s="136" t="n">
        <v>45595</v>
      </c>
      <c r="B37" s="93" t="s">
        <v>7</v>
      </c>
      <c r="C37" s="82"/>
      <c r="D37" s="93" t="s">
        <v>313</v>
      </c>
      <c r="E37" s="19" t="n">
        <f aca="false">F37*0.03</f>
        <v>23400</v>
      </c>
      <c r="F37" s="33" t="n">
        <v>780000</v>
      </c>
      <c r="G37" s="62" t="s">
        <v>277</v>
      </c>
      <c r="H37" s="34"/>
      <c r="I37" s="34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customFormat="false" ht="16.4" hidden="false" customHeight="false" outlineLevel="0" collapsed="false">
      <c r="A38" s="135" t="n">
        <v>45595</v>
      </c>
      <c r="B38" s="31" t="s">
        <v>7</v>
      </c>
      <c r="C38" s="82"/>
      <c r="D38" s="32" t="s">
        <v>314</v>
      </c>
      <c r="E38" s="19" t="n">
        <f aca="false">F38*0.03</f>
        <v>600</v>
      </c>
      <c r="F38" s="33" t="n">
        <v>20000</v>
      </c>
      <c r="G38" s="62" t="s">
        <v>31</v>
      </c>
      <c r="H38" s="34"/>
      <c r="I38" s="34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customFormat="false" ht="16.4" hidden="false" customHeight="false" outlineLevel="0" collapsed="false">
      <c r="A39" s="135" t="n">
        <v>45595</v>
      </c>
      <c r="B39" s="31" t="s">
        <v>239</v>
      </c>
      <c r="C39" s="82"/>
      <c r="D39" s="32" t="s">
        <v>315</v>
      </c>
      <c r="E39" s="19" t="n">
        <f aca="false">F39*0.03</f>
        <v>2250</v>
      </c>
      <c r="F39" s="33" t="n">
        <v>75000</v>
      </c>
      <c r="G39" s="62" t="s">
        <v>31</v>
      </c>
      <c r="H39" s="34"/>
      <c r="I39" s="34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customFormat="false" ht="16.4" hidden="false" customHeight="false" outlineLevel="0" collapsed="false">
      <c r="A40" s="135" t="n">
        <v>45595</v>
      </c>
      <c r="B40" s="31" t="s">
        <v>239</v>
      </c>
      <c r="C40" s="82"/>
      <c r="D40" s="93" t="s">
        <v>316</v>
      </c>
      <c r="E40" s="19" t="n">
        <f aca="false">F40*0.03</f>
        <v>1500</v>
      </c>
      <c r="F40" s="33" t="n">
        <v>50000</v>
      </c>
      <c r="G40" s="62" t="s">
        <v>31</v>
      </c>
      <c r="H40" s="34"/>
      <c r="I40" s="34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customFormat="false" ht="16.4" hidden="false" customHeight="false" outlineLevel="0" collapsed="false">
      <c r="A41" s="136" t="n">
        <v>45595</v>
      </c>
      <c r="B41" s="31" t="s">
        <v>239</v>
      </c>
      <c r="C41" s="82"/>
      <c r="D41" s="32" t="s">
        <v>317</v>
      </c>
      <c r="E41" s="19" t="n">
        <f aca="false">F41*0.03</f>
        <v>2100</v>
      </c>
      <c r="F41" s="33" t="n">
        <v>70000</v>
      </c>
      <c r="G41" s="62" t="s">
        <v>31</v>
      </c>
      <c r="H41" s="34"/>
      <c r="I41" s="34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customFormat="false" ht="16.4" hidden="false" customHeight="false" outlineLevel="0" collapsed="false">
      <c r="A42" s="135" t="n">
        <v>45594</v>
      </c>
      <c r="B42" s="31" t="s">
        <v>239</v>
      </c>
      <c r="C42" s="82"/>
      <c r="D42" s="32" t="s">
        <v>318</v>
      </c>
      <c r="E42" s="19" t="n">
        <f aca="false">F42*0.03</f>
        <v>16200</v>
      </c>
      <c r="F42" s="33" t="n">
        <v>540000</v>
      </c>
      <c r="G42" s="62" t="s">
        <v>30</v>
      </c>
      <c r="H42" s="34"/>
      <c r="I42" s="34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customFormat="false" ht="16.4" hidden="false" customHeight="false" outlineLevel="0" collapsed="false">
      <c r="A43" s="135" t="n">
        <v>45594</v>
      </c>
      <c r="B43" s="31" t="s">
        <v>239</v>
      </c>
      <c r="C43" s="82"/>
      <c r="D43" s="32" t="s">
        <v>319</v>
      </c>
      <c r="E43" s="19" t="n">
        <f aca="false">F43*0.03</f>
        <v>2040</v>
      </c>
      <c r="F43" s="33" t="n">
        <v>68000</v>
      </c>
      <c r="G43" s="62" t="s">
        <v>30</v>
      </c>
      <c r="H43" s="34"/>
      <c r="I43" s="34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customFormat="false" ht="16.4" hidden="false" customHeight="false" outlineLevel="0" collapsed="false">
      <c r="A44" s="135" t="n">
        <v>45594</v>
      </c>
      <c r="B44" s="31" t="s">
        <v>239</v>
      </c>
      <c r="C44" s="82"/>
      <c r="D44" s="129" t="s">
        <v>320</v>
      </c>
      <c r="E44" s="19" t="n">
        <f aca="false">F44*0.03</f>
        <v>2250</v>
      </c>
      <c r="F44" s="33" t="n">
        <v>75000</v>
      </c>
      <c r="G44" s="62" t="s">
        <v>31</v>
      </c>
      <c r="H44" s="34"/>
      <c r="I44" s="34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customFormat="false" ht="16.4" hidden="false" customHeight="false" outlineLevel="0" collapsed="false">
      <c r="A45" s="136" t="n">
        <v>45595</v>
      </c>
      <c r="B45" s="31" t="s">
        <v>239</v>
      </c>
      <c r="C45" s="130"/>
      <c r="D45" s="129" t="s">
        <v>321</v>
      </c>
      <c r="E45" s="19" t="n">
        <f aca="false">F45*0.03</f>
        <v>2400</v>
      </c>
      <c r="F45" s="33" t="n">
        <v>80000</v>
      </c>
      <c r="G45" s="62" t="s">
        <v>30</v>
      </c>
      <c r="H45" s="34" t="n">
        <v>0</v>
      </c>
      <c r="I45" s="34" t="n">
        <f aca="false">+IF(E45=0,0,E45*0.03)</f>
        <v>72</v>
      </c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customFormat="false" ht="16.4" hidden="false" customHeight="false" outlineLevel="0" collapsed="false">
      <c r="A46" s="135" t="n">
        <v>45596</v>
      </c>
      <c r="B46" s="31" t="s">
        <v>239</v>
      </c>
      <c r="C46" s="130"/>
      <c r="D46" s="129" t="s">
        <v>322</v>
      </c>
      <c r="E46" s="19" t="n">
        <f aca="false">F46*0.03</f>
        <v>6000</v>
      </c>
      <c r="F46" s="33" t="n">
        <v>200000</v>
      </c>
      <c r="G46" s="62" t="s">
        <v>31</v>
      </c>
      <c r="H46" s="34" t="n">
        <v>0</v>
      </c>
      <c r="I46" s="34" t="n">
        <f aca="false">+IF(E46=0,0,E46*0.03)</f>
        <v>180</v>
      </c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customFormat="false" ht="16.4" hidden="false" customHeight="false" outlineLevel="0" collapsed="false">
      <c r="A47" s="135" t="n">
        <v>45566</v>
      </c>
      <c r="B47" s="31" t="s">
        <v>153</v>
      </c>
      <c r="C47" s="130"/>
      <c r="D47" s="129"/>
      <c r="E47" s="19" t="n">
        <f aca="false">F47*0.03</f>
        <v>0</v>
      </c>
      <c r="F47" s="33" t="n">
        <v>0</v>
      </c>
      <c r="G47" s="62" t="s">
        <v>31</v>
      </c>
      <c r="H47" s="34" t="n">
        <v>0</v>
      </c>
      <c r="I47" s="34" t="n">
        <f aca="false">+IF(E47=0,0,E47*0.03)</f>
        <v>0</v>
      </c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customFormat="false" ht="16.4" hidden="false" customHeight="false" outlineLevel="0" collapsed="false">
      <c r="A48" s="135" t="n">
        <v>45566</v>
      </c>
      <c r="B48" s="31" t="s">
        <v>247</v>
      </c>
      <c r="C48" s="130"/>
      <c r="D48" s="129"/>
      <c r="E48" s="19" t="n">
        <f aca="false">F48*0.03</f>
        <v>0</v>
      </c>
      <c r="F48" s="33" t="n">
        <v>0</v>
      </c>
      <c r="G48" s="62" t="s">
        <v>31</v>
      </c>
      <c r="H48" s="34" t="n">
        <v>0</v>
      </c>
      <c r="I48" s="34" t="n">
        <f aca="false">+IF(E48=0,0,E48*0.03)</f>
        <v>0</v>
      </c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customFormat="false" ht="16.4" hidden="false" customHeight="false" outlineLevel="0" collapsed="false">
      <c r="A49" s="135" t="n">
        <v>45566</v>
      </c>
      <c r="B49" s="31" t="s">
        <v>246</v>
      </c>
      <c r="C49" s="130"/>
      <c r="D49" s="129"/>
      <c r="E49" s="19" t="n">
        <f aca="false">F49*0.03</f>
        <v>0</v>
      </c>
      <c r="F49" s="33" t="n">
        <v>0</v>
      </c>
      <c r="G49" s="62" t="s">
        <v>31</v>
      </c>
      <c r="H49" s="34" t="n">
        <v>0</v>
      </c>
      <c r="I49" s="34" t="n">
        <f aca="false">+IF(E49=0,0,E49*0.03)</f>
        <v>0</v>
      </c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customFormat="false" ht="16.4" hidden="false" customHeight="false" outlineLevel="0" collapsed="false">
      <c r="A50" s="135" t="n">
        <v>45566</v>
      </c>
      <c r="B50" s="31" t="s">
        <v>239</v>
      </c>
      <c r="C50" s="130"/>
      <c r="D50" s="129"/>
      <c r="E50" s="19" t="n">
        <f aca="false">F50*0.03</f>
        <v>0</v>
      </c>
      <c r="F50" s="33" t="n">
        <v>0</v>
      </c>
      <c r="G50" s="62" t="s">
        <v>30</v>
      </c>
      <c r="H50" s="34" t="n">
        <v>0</v>
      </c>
      <c r="I50" s="34" t="n">
        <f aca="false">+IF(E50=0,0,E50*0.03)</f>
        <v>0</v>
      </c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customFormat="false" ht="16.4" hidden="false" customHeight="false" outlineLevel="0" collapsed="false">
      <c r="A51" s="135" t="n">
        <v>45566</v>
      </c>
      <c r="B51" s="31" t="s">
        <v>7</v>
      </c>
      <c r="C51" s="130"/>
      <c r="D51" s="129"/>
      <c r="E51" s="19" t="n">
        <f aca="false">F51*0.03</f>
        <v>0</v>
      </c>
      <c r="F51" s="33" t="n">
        <v>0</v>
      </c>
      <c r="G51" s="62" t="s">
        <v>31</v>
      </c>
      <c r="H51" s="34" t="n">
        <v>0</v>
      </c>
      <c r="I51" s="34" t="n">
        <f aca="false">+IF(E51=0,0,E51*0.03)</f>
        <v>0</v>
      </c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customFormat="false" ht="16.4" hidden="false" customHeight="false" outlineLevel="0" collapsed="false">
      <c r="A52" s="135" t="n">
        <v>45566</v>
      </c>
      <c r="B52" s="31" t="s">
        <v>240</v>
      </c>
      <c r="C52" s="130"/>
      <c r="D52" s="129"/>
      <c r="E52" s="19" t="n">
        <f aca="false">F52*0.03</f>
        <v>0</v>
      </c>
      <c r="F52" s="33" t="n">
        <v>0</v>
      </c>
      <c r="G52" s="62" t="s">
        <v>31</v>
      </c>
      <c r="H52" s="34" t="n">
        <v>0</v>
      </c>
      <c r="I52" s="34" t="n">
        <f aca="false">+IF(E52=0,0,E52*0.03)</f>
        <v>0</v>
      </c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customFormat="false" ht="16.4" hidden="false" customHeight="false" outlineLevel="0" collapsed="false">
      <c r="A53" s="135" t="n">
        <v>45566</v>
      </c>
      <c r="B53" s="31" t="s">
        <v>153</v>
      </c>
      <c r="C53" s="130"/>
      <c r="D53" s="129"/>
      <c r="E53" s="19" t="n">
        <f aca="false">F53*0.03</f>
        <v>0</v>
      </c>
      <c r="F53" s="33" t="n">
        <v>0</v>
      </c>
      <c r="G53" s="62" t="s">
        <v>31</v>
      </c>
      <c r="H53" s="34" t="n">
        <v>0</v>
      </c>
      <c r="I53" s="34" t="n">
        <f aca="false">+IF(E53=0,0,E53*0.03)</f>
        <v>0</v>
      </c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customFormat="false" ht="16.4" hidden="false" customHeight="false" outlineLevel="0" collapsed="false">
      <c r="A54" s="135" t="n">
        <v>45566</v>
      </c>
      <c r="B54" s="31" t="s">
        <v>247</v>
      </c>
      <c r="C54" s="130"/>
      <c r="D54" s="129"/>
      <c r="E54" s="19" t="n">
        <f aca="false">F54*0.03</f>
        <v>0</v>
      </c>
      <c r="F54" s="33" t="n">
        <v>0</v>
      </c>
      <c r="G54" s="62" t="s">
        <v>31</v>
      </c>
      <c r="H54" s="34" t="n">
        <v>0</v>
      </c>
      <c r="I54" s="34" t="n">
        <f aca="false">+IF(E54=0,0,E54*0.03)</f>
        <v>0</v>
      </c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customFormat="false" ht="16.4" hidden="false" customHeight="false" outlineLevel="0" collapsed="false">
      <c r="A55" s="135" t="n">
        <v>45566</v>
      </c>
      <c r="B55" s="31" t="s">
        <v>246</v>
      </c>
      <c r="C55" s="130"/>
      <c r="D55" s="129"/>
      <c r="E55" s="19" t="n">
        <f aca="false">F55*0.03</f>
        <v>0</v>
      </c>
      <c r="F55" s="33" t="n">
        <v>0</v>
      </c>
      <c r="G55" s="62" t="s">
        <v>31</v>
      </c>
      <c r="H55" s="34" t="n">
        <v>0</v>
      </c>
      <c r="I55" s="34" t="n">
        <f aca="false">+IF(E55=0,0,E55*0.03)</f>
        <v>0</v>
      </c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customFormat="false" ht="16.4" hidden="false" customHeight="false" outlineLevel="0" collapsed="false">
      <c r="A56" s="135" t="n">
        <v>45566</v>
      </c>
      <c r="B56" s="31" t="s">
        <v>239</v>
      </c>
      <c r="C56" s="130"/>
      <c r="D56" s="129"/>
      <c r="E56" s="19" t="n">
        <f aca="false">F56*0.03</f>
        <v>0</v>
      </c>
      <c r="F56" s="33" t="n">
        <v>0</v>
      </c>
      <c r="G56" s="62" t="s">
        <v>30</v>
      </c>
      <c r="H56" s="34" t="n">
        <v>0</v>
      </c>
      <c r="I56" s="34" t="n">
        <f aca="false">+IF(E56=0,0,E56*0.03)</f>
        <v>0</v>
      </c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customFormat="false" ht="16.4" hidden="false" customHeight="false" outlineLevel="0" collapsed="false">
      <c r="A57" s="135" t="n">
        <v>45566</v>
      </c>
      <c r="B57" s="31" t="s">
        <v>7</v>
      </c>
      <c r="C57" s="130"/>
      <c r="D57" s="129"/>
      <c r="E57" s="19" t="n">
        <f aca="false">F57*0.03</f>
        <v>0</v>
      </c>
      <c r="F57" s="33" t="n">
        <v>0</v>
      </c>
      <c r="G57" s="131"/>
      <c r="H57" s="34" t="n">
        <v>0</v>
      </c>
      <c r="I57" s="34" t="n">
        <f aca="false">+IF(E57=0,0,E57*0.03)</f>
        <v>0</v>
      </c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customFormat="false" ht="16.4" hidden="false" customHeight="false" outlineLevel="0" collapsed="false">
      <c r="A58" s="135" t="n">
        <v>45566</v>
      </c>
      <c r="B58" s="31" t="s">
        <v>240</v>
      </c>
      <c r="C58" s="130"/>
      <c r="D58" s="129"/>
      <c r="E58" s="19" t="n">
        <f aca="false">F58*0.03</f>
        <v>0</v>
      </c>
      <c r="F58" s="33" t="n">
        <v>0</v>
      </c>
      <c r="G58" s="131"/>
      <c r="H58" s="34" t="n">
        <v>0</v>
      </c>
      <c r="I58" s="34" t="n">
        <f aca="false">+IF(E58=0,0,E58*0.03)</f>
        <v>0</v>
      </c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customFormat="false" ht="16.4" hidden="false" customHeight="false" outlineLevel="0" collapsed="false">
      <c r="A59" s="137" t="s">
        <v>323</v>
      </c>
      <c r="B59" s="31" t="s">
        <v>153</v>
      </c>
      <c r="C59" s="130"/>
      <c r="D59" s="129"/>
      <c r="E59" s="19" t="n">
        <f aca="false">F59*0.03</f>
        <v>0</v>
      </c>
      <c r="F59" s="33" t="n">
        <v>0</v>
      </c>
      <c r="G59" s="131"/>
      <c r="H59" s="34" t="n">
        <v>0</v>
      </c>
      <c r="I59" s="34" t="n">
        <f aca="false">+IF(E59=0,0,E59*0.03)</f>
        <v>0</v>
      </c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customFormat="false" ht="16.4" hidden="false" customHeight="false" outlineLevel="0" collapsed="false">
      <c r="A60" s="135"/>
      <c r="B60" s="31" t="s">
        <v>247</v>
      </c>
      <c r="C60" s="130"/>
      <c r="D60" s="129"/>
      <c r="E60" s="19" t="n">
        <f aca="false">F60*0.03</f>
        <v>0</v>
      </c>
      <c r="F60" s="33" t="n">
        <v>0</v>
      </c>
      <c r="G60" s="131"/>
      <c r="H60" s="34" t="n">
        <v>0</v>
      </c>
      <c r="I60" s="34" t="n">
        <f aca="false">+IF(E60=0,0,E60*0.03)</f>
        <v>0</v>
      </c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customFormat="false" ht="16.4" hidden="false" customHeight="false" outlineLevel="0" collapsed="false">
      <c r="A61" s="135" t="n">
        <v>45566</v>
      </c>
      <c r="B61" s="31" t="s">
        <v>246</v>
      </c>
      <c r="C61" s="130"/>
      <c r="D61" s="129"/>
      <c r="E61" s="19" t="n">
        <f aca="false">F61*0.03</f>
        <v>0</v>
      </c>
      <c r="F61" s="33" t="n">
        <v>0</v>
      </c>
      <c r="G61" s="131"/>
      <c r="H61" s="34" t="n">
        <v>0</v>
      </c>
      <c r="I61" s="34" t="n">
        <f aca="false">+IF(E61=0,0,E61*0.03)</f>
        <v>0</v>
      </c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customFormat="false" ht="16.4" hidden="false" customHeight="false" outlineLevel="0" collapsed="false">
      <c r="A62" s="135" t="n">
        <v>45566</v>
      </c>
      <c r="B62" s="31" t="s">
        <v>239</v>
      </c>
      <c r="C62" s="130"/>
      <c r="D62" s="129"/>
      <c r="E62" s="19" t="n">
        <f aca="false">F62*0.03</f>
        <v>0</v>
      </c>
      <c r="F62" s="33" t="n">
        <v>0</v>
      </c>
      <c r="G62" s="131"/>
      <c r="H62" s="34" t="n">
        <v>0</v>
      </c>
      <c r="I62" s="34" t="n">
        <f aca="false">+IF(E62=0,0,E62*0.03)</f>
        <v>0</v>
      </c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customFormat="false" ht="16.4" hidden="false" customHeight="false" outlineLevel="0" collapsed="false">
      <c r="A63" s="135" t="n">
        <v>45566</v>
      </c>
      <c r="B63" s="31" t="s">
        <v>7</v>
      </c>
      <c r="C63" s="130"/>
      <c r="D63" s="129"/>
      <c r="E63" s="19" t="n">
        <f aca="false">F63*0.03</f>
        <v>0</v>
      </c>
      <c r="F63" s="33" t="n">
        <v>0</v>
      </c>
      <c r="G63" s="131"/>
      <c r="H63" s="34" t="n">
        <v>0</v>
      </c>
      <c r="I63" s="34" t="n">
        <f aca="false">+IF(E63=0,0,E63*0.03)</f>
        <v>0</v>
      </c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customFormat="false" ht="16.4" hidden="false" customHeight="false" outlineLevel="0" collapsed="false">
      <c r="A64" s="135" t="n">
        <v>45566</v>
      </c>
      <c r="B64" s="31" t="s">
        <v>240</v>
      </c>
      <c r="C64" s="130"/>
      <c r="D64" s="129"/>
      <c r="E64" s="19" t="n">
        <f aca="false">F64*0.03</f>
        <v>0</v>
      </c>
      <c r="F64" s="33" t="n">
        <v>0</v>
      </c>
      <c r="G64" s="131"/>
      <c r="H64" s="34" t="n">
        <v>0</v>
      </c>
      <c r="I64" s="34" t="n">
        <f aca="false">+IF(E64=0,0,E64*0.03)</f>
        <v>0</v>
      </c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customFormat="false" ht="16.4" hidden="false" customHeight="false" outlineLevel="0" collapsed="false">
      <c r="A65" s="135" t="n">
        <v>45566</v>
      </c>
      <c r="B65" s="31" t="s">
        <v>153</v>
      </c>
      <c r="C65" s="130"/>
      <c r="D65" s="129"/>
      <c r="E65" s="19" t="n">
        <f aca="false">F65*0.03</f>
        <v>0</v>
      </c>
      <c r="F65" s="33" t="n">
        <v>0</v>
      </c>
      <c r="G65" s="131"/>
      <c r="H65" s="34" t="n">
        <v>0</v>
      </c>
      <c r="I65" s="34" t="n">
        <f aca="false">+IF(E65=0,0,E65*0.03)</f>
        <v>0</v>
      </c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customFormat="false" ht="16.4" hidden="false" customHeight="false" outlineLevel="0" collapsed="false">
      <c r="A66" s="135" t="n">
        <v>45566</v>
      </c>
      <c r="B66" s="31" t="s">
        <v>247</v>
      </c>
      <c r="C66" s="130"/>
      <c r="D66" s="129"/>
      <c r="E66" s="19" t="n">
        <f aca="false">F66*0.03</f>
        <v>0</v>
      </c>
      <c r="F66" s="33" t="n">
        <v>0</v>
      </c>
      <c r="G66" s="131"/>
      <c r="H66" s="34" t="n">
        <v>0</v>
      </c>
      <c r="I66" s="34" t="n">
        <f aca="false">+IF(E66=0,0,E66*0.03)</f>
        <v>0</v>
      </c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customFormat="false" ht="16.4" hidden="false" customHeight="false" outlineLevel="0" collapsed="false">
      <c r="A67" s="135" t="n">
        <v>45566</v>
      </c>
      <c r="B67" s="31" t="s">
        <v>246</v>
      </c>
      <c r="C67" s="130"/>
      <c r="D67" s="129"/>
      <c r="E67" s="19" t="n">
        <f aca="false">F67*0.03</f>
        <v>0</v>
      </c>
      <c r="F67" s="33" t="n">
        <v>0</v>
      </c>
      <c r="G67" s="131"/>
      <c r="H67" s="34" t="n">
        <v>0</v>
      </c>
      <c r="I67" s="34" t="n">
        <f aca="false">+IF(E67=0,0,E67*0.03)</f>
        <v>0</v>
      </c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customFormat="false" ht="16.4" hidden="false" customHeight="false" outlineLevel="0" collapsed="false">
      <c r="A68" s="135" t="n">
        <v>45566</v>
      </c>
      <c r="B68" s="31" t="s">
        <v>239</v>
      </c>
      <c r="C68" s="130"/>
      <c r="D68" s="129"/>
      <c r="E68" s="19" t="n">
        <f aca="false">F68*0.03</f>
        <v>0</v>
      </c>
      <c r="F68" s="33" t="n">
        <v>0</v>
      </c>
      <c r="G68" s="131"/>
      <c r="H68" s="34" t="n">
        <v>0</v>
      </c>
      <c r="I68" s="34" t="n">
        <f aca="false">+IF(E68=0,0,E68*0.03)</f>
        <v>0</v>
      </c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customFormat="false" ht="16.4" hidden="false" customHeight="false" outlineLevel="0" collapsed="false">
      <c r="A69" s="135" t="n">
        <v>45566</v>
      </c>
      <c r="B69" s="31" t="s">
        <v>7</v>
      </c>
      <c r="C69" s="130"/>
      <c r="D69" s="129"/>
      <c r="E69" s="19" t="n">
        <f aca="false">F69*0.03</f>
        <v>0</v>
      </c>
      <c r="F69" s="33" t="n">
        <v>0</v>
      </c>
      <c r="G69" s="131"/>
      <c r="H69" s="34" t="n">
        <v>0</v>
      </c>
      <c r="I69" s="34" t="n">
        <f aca="false">+IF(E69=0,0,E69*0.03)</f>
        <v>0</v>
      </c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customFormat="false" ht="16.4" hidden="false" customHeight="false" outlineLevel="0" collapsed="false">
      <c r="A70" s="135" t="n">
        <v>45566</v>
      </c>
      <c r="B70" s="31" t="s">
        <v>240</v>
      </c>
      <c r="C70" s="130"/>
      <c r="D70" s="129"/>
      <c r="E70" s="19" t="n">
        <f aca="false">F70*0.03</f>
        <v>0</v>
      </c>
      <c r="F70" s="33" t="n">
        <v>0</v>
      </c>
      <c r="G70" s="131"/>
      <c r="H70" s="34" t="n">
        <v>0</v>
      </c>
      <c r="I70" s="34" t="n">
        <f aca="false">+IF(E70=0,0,E70*0.03)</f>
        <v>0</v>
      </c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customFormat="false" ht="16.4" hidden="false" customHeight="false" outlineLevel="0" collapsed="false">
      <c r="A71" s="135" t="n">
        <v>45566</v>
      </c>
      <c r="B71" s="31" t="s">
        <v>153</v>
      </c>
      <c r="C71" s="130"/>
      <c r="D71" s="129"/>
      <c r="E71" s="19" t="n">
        <f aca="false">F71*0.03</f>
        <v>0</v>
      </c>
      <c r="F71" s="33" t="n">
        <v>0</v>
      </c>
      <c r="G71" s="131"/>
      <c r="H71" s="34" t="n">
        <v>0</v>
      </c>
      <c r="I71" s="34" t="n">
        <f aca="false">+IF(E71=0,0,E71*0.03)</f>
        <v>0</v>
      </c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customFormat="false" ht="16.4" hidden="false" customHeight="false" outlineLevel="0" collapsed="false">
      <c r="A72" s="135" t="n">
        <v>45566</v>
      </c>
      <c r="B72" s="31" t="s">
        <v>247</v>
      </c>
      <c r="C72" s="130"/>
      <c r="D72" s="129"/>
      <c r="E72" s="19" t="n">
        <f aca="false">F72*0.03</f>
        <v>0</v>
      </c>
      <c r="F72" s="33" t="n">
        <v>0</v>
      </c>
      <c r="G72" s="131"/>
      <c r="H72" s="34" t="n">
        <v>0</v>
      </c>
      <c r="I72" s="34" t="n">
        <f aca="false">+IF(E72=0,0,E72*0.03)</f>
        <v>0</v>
      </c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customFormat="false" ht="16.4" hidden="false" customHeight="false" outlineLevel="0" collapsed="false">
      <c r="A73" s="135" t="n">
        <v>45566</v>
      </c>
      <c r="B73" s="31" t="s">
        <v>246</v>
      </c>
      <c r="C73" s="130"/>
      <c r="D73" s="129"/>
      <c r="E73" s="19" t="n">
        <f aca="false">F73*0.03</f>
        <v>0</v>
      </c>
      <c r="F73" s="33" t="n">
        <v>0</v>
      </c>
      <c r="G73" s="131"/>
      <c r="H73" s="34" t="n">
        <v>0</v>
      </c>
      <c r="I73" s="34" t="n">
        <f aca="false">+IF(E73=0,0,E73*0.03)</f>
        <v>0</v>
      </c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customFormat="false" ht="16.4" hidden="false" customHeight="false" outlineLevel="0" collapsed="false">
      <c r="A74" s="135" t="n">
        <v>45566</v>
      </c>
      <c r="B74" s="31" t="s">
        <v>239</v>
      </c>
      <c r="C74" s="130"/>
      <c r="D74" s="129"/>
      <c r="E74" s="19" t="n">
        <f aca="false">F74*0.03</f>
        <v>0</v>
      </c>
      <c r="F74" s="33" t="n">
        <v>0</v>
      </c>
      <c r="G74" s="131"/>
      <c r="H74" s="34" t="n">
        <v>0</v>
      </c>
      <c r="I74" s="34" t="n">
        <f aca="false">+IF(E74=0,0,E74*0.03)</f>
        <v>0</v>
      </c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customFormat="false" ht="16.4" hidden="false" customHeight="false" outlineLevel="0" collapsed="false">
      <c r="A75" s="135" t="n">
        <v>45566</v>
      </c>
      <c r="B75" s="31" t="s">
        <v>7</v>
      </c>
      <c r="C75" s="130"/>
      <c r="D75" s="129"/>
      <c r="E75" s="19" t="n">
        <f aca="false">F75*0.03</f>
        <v>0</v>
      </c>
      <c r="F75" s="33" t="n">
        <v>0</v>
      </c>
      <c r="G75" s="131"/>
      <c r="H75" s="34" t="n">
        <v>0</v>
      </c>
      <c r="I75" s="34" t="n">
        <f aca="false">+IF(E75=0,0,E75*0.03)</f>
        <v>0</v>
      </c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customFormat="false" ht="16.4" hidden="false" customHeight="false" outlineLevel="0" collapsed="false">
      <c r="A76" s="135" t="n">
        <v>45566</v>
      </c>
      <c r="B76" s="31" t="s">
        <v>240</v>
      </c>
      <c r="C76" s="130"/>
      <c r="D76" s="129"/>
      <c r="E76" s="19" t="n">
        <f aca="false">F76*0.03</f>
        <v>0</v>
      </c>
      <c r="F76" s="33" t="n">
        <v>0</v>
      </c>
      <c r="G76" s="131"/>
      <c r="H76" s="34" t="n">
        <v>0</v>
      </c>
      <c r="I76" s="34" t="n">
        <f aca="false">+IF(E76=0,0,E76*0.03)</f>
        <v>0</v>
      </c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customFormat="false" ht="16.4" hidden="false" customHeight="false" outlineLevel="0" collapsed="false">
      <c r="A77" s="135" t="n">
        <v>45566</v>
      </c>
      <c r="B77" s="31" t="s">
        <v>153</v>
      </c>
      <c r="C77" s="130"/>
      <c r="D77" s="129"/>
      <c r="E77" s="19" t="n">
        <f aca="false">F77*0.03</f>
        <v>0</v>
      </c>
      <c r="F77" s="33" t="n">
        <v>0</v>
      </c>
      <c r="G77" s="131"/>
      <c r="H77" s="34" t="n">
        <v>0</v>
      </c>
      <c r="I77" s="34" t="n">
        <f aca="false">+IF(E77=0,0,E77*0.03)</f>
        <v>0</v>
      </c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customFormat="false" ht="16.4" hidden="false" customHeight="false" outlineLevel="0" collapsed="false">
      <c r="A78" s="135" t="n">
        <v>45566</v>
      </c>
      <c r="B78" s="31" t="s">
        <v>247</v>
      </c>
      <c r="C78" s="130"/>
      <c r="D78" s="129"/>
      <c r="E78" s="19" t="n">
        <f aca="false">F78*0.03</f>
        <v>0</v>
      </c>
      <c r="F78" s="33" t="n">
        <v>0</v>
      </c>
      <c r="G78" s="131"/>
      <c r="H78" s="34" t="n">
        <v>0</v>
      </c>
      <c r="I78" s="34" t="n">
        <f aca="false">+IF(E78=0,0,E78*0.03)</f>
        <v>0</v>
      </c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customFormat="false" ht="16.4" hidden="false" customHeight="false" outlineLevel="0" collapsed="false">
      <c r="A79" s="135" t="n">
        <v>45566</v>
      </c>
      <c r="B79" s="31" t="s">
        <v>246</v>
      </c>
      <c r="C79" s="130"/>
      <c r="D79" s="129"/>
      <c r="E79" s="19" t="n">
        <f aca="false">F79*0.03</f>
        <v>0</v>
      </c>
      <c r="F79" s="33" t="n">
        <v>0</v>
      </c>
      <c r="G79" s="131"/>
      <c r="H79" s="34" t="n">
        <v>0</v>
      </c>
      <c r="I79" s="34" t="n">
        <f aca="false">+IF(E79=0,0,E79*0.03)</f>
        <v>0</v>
      </c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customFormat="false" ht="16.4" hidden="false" customHeight="false" outlineLevel="0" collapsed="false">
      <c r="A80" s="135" t="n">
        <v>45566</v>
      </c>
      <c r="B80" s="31" t="s">
        <v>239</v>
      </c>
      <c r="C80" s="130"/>
      <c r="D80" s="129"/>
      <c r="E80" s="19" t="n">
        <f aca="false">F80*0.03</f>
        <v>0</v>
      </c>
      <c r="F80" s="33" t="n">
        <v>0</v>
      </c>
      <c r="G80" s="131"/>
      <c r="H80" s="34" t="n">
        <v>0</v>
      </c>
      <c r="I80" s="34" t="n">
        <f aca="false">+IF(E80=0,0,E80*0.03)</f>
        <v>0</v>
      </c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customFormat="false" ht="16.4" hidden="false" customHeight="false" outlineLevel="0" collapsed="false">
      <c r="A81" s="135" t="n">
        <v>45566</v>
      </c>
      <c r="B81" s="31" t="s">
        <v>7</v>
      </c>
      <c r="C81" s="130"/>
      <c r="D81" s="129"/>
      <c r="E81" s="19" t="n">
        <f aca="false">F81*0.03</f>
        <v>0</v>
      </c>
      <c r="F81" s="33" t="n">
        <v>0</v>
      </c>
      <c r="G81" s="131"/>
      <c r="H81" s="34" t="n">
        <v>0</v>
      </c>
      <c r="I81" s="34" t="n">
        <f aca="false">+IF(E81=0,0,E81*0.03)</f>
        <v>0</v>
      </c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customFormat="false" ht="16.4" hidden="false" customHeight="false" outlineLevel="0" collapsed="false">
      <c r="A82" s="135" t="n">
        <v>45566</v>
      </c>
      <c r="B82" s="31" t="s">
        <v>240</v>
      </c>
      <c r="C82" s="130"/>
      <c r="D82" s="129"/>
      <c r="E82" s="19" t="n">
        <f aca="false">F82*0.03</f>
        <v>0</v>
      </c>
      <c r="F82" s="33" t="n">
        <v>0</v>
      </c>
      <c r="G82" s="131"/>
      <c r="H82" s="34" t="n">
        <v>0</v>
      </c>
      <c r="I82" s="34" t="n">
        <f aca="false">+IF(E82=0,0,E82*0.03)</f>
        <v>0</v>
      </c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customFormat="false" ht="16.4" hidden="false" customHeight="false" outlineLevel="0" collapsed="false">
      <c r="A83" s="135" t="n">
        <v>45566</v>
      </c>
      <c r="B83" s="31" t="s">
        <v>153</v>
      </c>
      <c r="C83" s="130"/>
      <c r="D83" s="129"/>
      <c r="E83" s="19" t="n">
        <f aca="false">F83*0.03</f>
        <v>0</v>
      </c>
      <c r="F83" s="33" t="n">
        <v>0</v>
      </c>
      <c r="G83" s="131"/>
      <c r="H83" s="34" t="n">
        <v>0</v>
      </c>
      <c r="I83" s="34" t="n">
        <f aca="false">+IF(E83=0,0,E83*0.03)</f>
        <v>0</v>
      </c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customFormat="false" ht="16.4" hidden="false" customHeight="false" outlineLevel="0" collapsed="false">
      <c r="A84" s="135" t="n">
        <v>45566</v>
      </c>
      <c r="B84" s="31" t="s">
        <v>247</v>
      </c>
      <c r="C84" s="130"/>
      <c r="D84" s="129"/>
      <c r="E84" s="19" t="n">
        <f aca="false">F84*0.03</f>
        <v>0</v>
      </c>
      <c r="F84" s="33" t="n">
        <v>0</v>
      </c>
      <c r="G84" s="131"/>
      <c r="H84" s="34" t="n">
        <v>0</v>
      </c>
      <c r="I84" s="34" t="n">
        <f aca="false">+IF(E84=0,0,E84*0.03)</f>
        <v>0</v>
      </c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customFormat="false" ht="16.4" hidden="false" customHeight="false" outlineLevel="0" collapsed="false">
      <c r="A85" s="135" t="n">
        <v>45566</v>
      </c>
      <c r="B85" s="31" t="s">
        <v>246</v>
      </c>
      <c r="C85" s="130"/>
      <c r="D85" s="129"/>
      <c r="E85" s="19" t="n">
        <f aca="false">F85*0.03</f>
        <v>0</v>
      </c>
      <c r="F85" s="33" t="n">
        <v>0</v>
      </c>
      <c r="G85" s="131"/>
      <c r="H85" s="34" t="n">
        <v>0</v>
      </c>
      <c r="I85" s="34" t="n">
        <f aca="false">+IF(E85=0,0,E85*0.03)</f>
        <v>0</v>
      </c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customFormat="false" ht="16.4" hidden="false" customHeight="false" outlineLevel="0" collapsed="false">
      <c r="A86" s="135" t="n">
        <v>45566</v>
      </c>
      <c r="B86" s="31" t="s">
        <v>239</v>
      </c>
      <c r="C86" s="130"/>
      <c r="D86" s="129"/>
      <c r="E86" s="19" t="n">
        <f aca="false">F86*0.03</f>
        <v>0</v>
      </c>
      <c r="F86" s="33" t="n">
        <v>0</v>
      </c>
      <c r="G86" s="131"/>
      <c r="H86" s="34" t="n">
        <v>0</v>
      </c>
      <c r="I86" s="34" t="n">
        <f aca="false">+IF(E86=0,0,E86*0.03)</f>
        <v>0</v>
      </c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customFormat="false" ht="16.4" hidden="false" customHeight="false" outlineLevel="0" collapsed="false">
      <c r="A87" s="135" t="n">
        <v>45566</v>
      </c>
      <c r="B87" s="31" t="s">
        <v>7</v>
      </c>
      <c r="C87" s="130"/>
      <c r="D87" s="129"/>
      <c r="E87" s="19" t="n">
        <f aca="false">F87*0.03</f>
        <v>0</v>
      </c>
      <c r="F87" s="33" t="n">
        <v>0</v>
      </c>
      <c r="G87" s="131"/>
      <c r="H87" s="34" t="n">
        <v>0</v>
      </c>
      <c r="I87" s="34" t="n">
        <f aca="false">+IF(E87=0,0,E87*0.03)</f>
        <v>0</v>
      </c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customFormat="false" ht="16.4" hidden="false" customHeight="false" outlineLevel="0" collapsed="false">
      <c r="A88" s="135" t="n">
        <v>45566</v>
      </c>
      <c r="B88" s="31" t="s">
        <v>240</v>
      </c>
      <c r="C88" s="130"/>
      <c r="D88" s="129"/>
      <c r="E88" s="19" t="n">
        <f aca="false">F88*0.03</f>
        <v>0</v>
      </c>
      <c r="F88" s="33" t="n">
        <v>0</v>
      </c>
      <c r="G88" s="131"/>
      <c r="H88" s="34" t="n">
        <v>0</v>
      </c>
      <c r="I88" s="34" t="n">
        <f aca="false">+IF(E88=0,0,E88*0.03)</f>
        <v>0</v>
      </c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customFormat="false" ht="16.4" hidden="false" customHeight="false" outlineLevel="0" collapsed="false">
      <c r="A89" s="135" t="n">
        <v>45566</v>
      </c>
      <c r="B89" s="31" t="s">
        <v>153</v>
      </c>
      <c r="C89" s="130"/>
      <c r="D89" s="129"/>
      <c r="E89" s="19" t="n">
        <f aca="false">F89*0.03</f>
        <v>0</v>
      </c>
      <c r="F89" s="33" t="n">
        <v>0</v>
      </c>
      <c r="G89" s="131"/>
      <c r="H89" s="34" t="n">
        <v>0</v>
      </c>
      <c r="I89" s="34" t="n">
        <f aca="false">+IF(E89=0,0,E89*0.03)</f>
        <v>0</v>
      </c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customFormat="false" ht="16.4" hidden="false" customHeight="false" outlineLevel="0" collapsed="false">
      <c r="A90" s="135" t="n">
        <v>45566</v>
      </c>
      <c r="B90" s="31" t="s">
        <v>247</v>
      </c>
      <c r="C90" s="130"/>
      <c r="D90" s="129"/>
      <c r="E90" s="19" t="n">
        <f aca="false">F90*0.03</f>
        <v>0</v>
      </c>
      <c r="F90" s="33" t="n">
        <v>0</v>
      </c>
      <c r="G90" s="131"/>
      <c r="H90" s="34" t="n">
        <v>0</v>
      </c>
      <c r="I90" s="34" t="n">
        <f aca="false">+IF(E90=0,0,E90*0.03)</f>
        <v>0</v>
      </c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customFormat="false" ht="16.4" hidden="false" customHeight="false" outlineLevel="0" collapsed="false">
      <c r="A91" s="135" t="n">
        <v>45566</v>
      </c>
      <c r="B91" s="31" t="s">
        <v>246</v>
      </c>
      <c r="C91" s="130"/>
      <c r="D91" s="129"/>
      <c r="E91" s="19" t="n">
        <f aca="false">F91*0.03</f>
        <v>0</v>
      </c>
      <c r="F91" s="33" t="n">
        <v>0</v>
      </c>
      <c r="G91" s="131"/>
      <c r="H91" s="34" t="n">
        <v>0</v>
      </c>
      <c r="I91" s="34" t="n">
        <f aca="false">+IF(E91=0,0,E91*0.03)</f>
        <v>0</v>
      </c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customFormat="false" ht="16.4" hidden="false" customHeight="false" outlineLevel="0" collapsed="false">
      <c r="A92" s="135" t="n">
        <v>45566</v>
      </c>
      <c r="B92" s="31" t="s">
        <v>239</v>
      </c>
      <c r="C92" s="130"/>
      <c r="D92" s="129"/>
      <c r="E92" s="19" t="n">
        <f aca="false">F92*0.03</f>
        <v>0</v>
      </c>
      <c r="F92" s="33" t="n">
        <v>0</v>
      </c>
      <c r="G92" s="131"/>
      <c r="H92" s="34" t="n">
        <v>0</v>
      </c>
      <c r="I92" s="34" t="n">
        <f aca="false">+IF(E92=0,0,E92*0.03)</f>
        <v>0</v>
      </c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customFormat="false" ht="16.4" hidden="false" customHeight="false" outlineLevel="0" collapsed="false">
      <c r="A93" s="135" t="n">
        <v>45566</v>
      </c>
      <c r="B93" s="31" t="s">
        <v>7</v>
      </c>
      <c r="C93" s="130"/>
      <c r="D93" s="129"/>
      <c r="E93" s="19" t="n">
        <f aca="false">F93*0.03</f>
        <v>0</v>
      </c>
      <c r="F93" s="33" t="n">
        <v>0</v>
      </c>
      <c r="G93" s="131"/>
      <c r="H93" s="34" t="n">
        <v>0</v>
      </c>
      <c r="I93" s="34" t="n">
        <f aca="false">+IF(E93=0,0,E93*0.03)</f>
        <v>0</v>
      </c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customFormat="false" ht="16.4" hidden="false" customHeight="false" outlineLevel="0" collapsed="false">
      <c r="A94" s="135" t="n">
        <v>45566</v>
      </c>
      <c r="B94" s="31" t="s">
        <v>240</v>
      </c>
      <c r="C94" s="130"/>
      <c r="D94" s="129"/>
      <c r="E94" s="19" t="n">
        <f aca="false">F94*0.03</f>
        <v>0</v>
      </c>
      <c r="F94" s="33" t="n">
        <v>0</v>
      </c>
      <c r="G94" s="131"/>
      <c r="H94" s="34" t="n">
        <v>0</v>
      </c>
      <c r="I94" s="34" t="n">
        <f aca="false">+IF(E94=0,0,E94*0.03)</f>
        <v>0</v>
      </c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customFormat="false" ht="16.4" hidden="false" customHeight="false" outlineLevel="0" collapsed="false">
      <c r="A95" s="135" t="n">
        <v>45566</v>
      </c>
      <c r="B95" s="31" t="s">
        <v>153</v>
      </c>
      <c r="C95" s="130"/>
      <c r="D95" s="129"/>
      <c r="E95" s="19" t="n">
        <f aca="false">F95*0.03</f>
        <v>0</v>
      </c>
      <c r="F95" s="33" t="n">
        <v>0</v>
      </c>
      <c r="G95" s="131"/>
      <c r="H95" s="34" t="n">
        <v>0</v>
      </c>
      <c r="I95" s="34" t="n">
        <f aca="false">+IF(E95=0,0,E95*0.03)</f>
        <v>0</v>
      </c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customFormat="false" ht="16.4" hidden="false" customHeight="false" outlineLevel="0" collapsed="false">
      <c r="A96" s="135" t="n">
        <v>45566</v>
      </c>
      <c r="B96" s="31" t="s">
        <v>247</v>
      </c>
      <c r="C96" s="130"/>
      <c r="D96" s="129"/>
      <c r="E96" s="19" t="n">
        <f aca="false">F96*0.03</f>
        <v>0</v>
      </c>
      <c r="F96" s="33" t="n">
        <v>0</v>
      </c>
      <c r="G96" s="131"/>
      <c r="H96" s="34" t="n">
        <v>0</v>
      </c>
      <c r="I96" s="34" t="n">
        <f aca="false">+IF(E96=0,0,E96*0.03)</f>
        <v>0</v>
      </c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customFormat="false" ht="16.4" hidden="false" customHeight="false" outlineLevel="0" collapsed="false">
      <c r="A97" s="135" t="n">
        <v>45566</v>
      </c>
      <c r="B97" s="31" t="s">
        <v>246</v>
      </c>
      <c r="C97" s="130"/>
      <c r="D97" s="129"/>
      <c r="E97" s="19" t="n">
        <f aca="false">F97*0.03</f>
        <v>0</v>
      </c>
      <c r="F97" s="33" t="n">
        <v>0</v>
      </c>
      <c r="G97" s="131"/>
      <c r="H97" s="34" t="n">
        <v>0</v>
      </c>
      <c r="I97" s="34" t="n">
        <f aca="false">+IF(E97=0,0,E97*0.03)</f>
        <v>0</v>
      </c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customFormat="false" ht="16.4" hidden="false" customHeight="false" outlineLevel="0" collapsed="false">
      <c r="A98" s="135" t="n">
        <v>45566</v>
      </c>
      <c r="B98" s="31" t="s">
        <v>239</v>
      </c>
      <c r="C98" s="130"/>
      <c r="D98" s="129"/>
      <c r="E98" s="19" t="n">
        <f aca="false">F98*0.03</f>
        <v>0</v>
      </c>
      <c r="F98" s="33" t="n">
        <v>0</v>
      </c>
      <c r="G98" s="131"/>
      <c r="H98" s="34" t="n">
        <v>0</v>
      </c>
      <c r="I98" s="34" t="n">
        <f aca="false">+IF(E98=0,0,E98*0.03)</f>
        <v>0</v>
      </c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customFormat="false" ht="16.4" hidden="false" customHeight="false" outlineLevel="0" collapsed="false">
      <c r="A99" s="135" t="n">
        <v>45566</v>
      </c>
      <c r="B99" s="31" t="s">
        <v>7</v>
      </c>
      <c r="C99" s="130"/>
      <c r="D99" s="129"/>
      <c r="E99" s="19" t="n">
        <f aca="false">F99*0.03</f>
        <v>0</v>
      </c>
      <c r="F99" s="33" t="n">
        <v>0</v>
      </c>
      <c r="G99" s="131"/>
      <c r="H99" s="34" t="n">
        <v>0</v>
      </c>
      <c r="I99" s="34" t="n">
        <f aca="false">+IF(E99=0,0,E99*0.03)</f>
        <v>0</v>
      </c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customFormat="false" ht="16.4" hidden="false" customHeight="false" outlineLevel="0" collapsed="false">
      <c r="A100" s="135" t="n">
        <v>45566</v>
      </c>
      <c r="B100" s="31" t="s">
        <v>240</v>
      </c>
      <c r="C100" s="130"/>
      <c r="D100" s="129"/>
      <c r="E100" s="19" t="n">
        <f aca="false">F100*0.03</f>
        <v>0</v>
      </c>
      <c r="F100" s="33" t="n">
        <v>0</v>
      </c>
      <c r="G100" s="131"/>
      <c r="H100" s="34" t="n">
        <v>0</v>
      </c>
      <c r="I100" s="34" t="n">
        <f aca="false">+IF(E100=0,0,E100*0.03)</f>
        <v>0</v>
      </c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customFormat="false" ht="16.4" hidden="false" customHeight="false" outlineLevel="0" collapsed="false">
      <c r="A101" s="135" t="n">
        <v>45566</v>
      </c>
      <c r="B101" s="31" t="s">
        <v>153</v>
      </c>
      <c r="C101" s="130"/>
      <c r="D101" s="129"/>
      <c r="E101" s="19" t="n">
        <f aca="false">F101*0.03</f>
        <v>0</v>
      </c>
      <c r="F101" s="33" t="n">
        <v>0</v>
      </c>
      <c r="G101" s="131"/>
      <c r="H101" s="34" t="n">
        <v>0</v>
      </c>
      <c r="I101" s="34" t="n">
        <f aca="false">+IF(E101=0,0,E101*0.03)</f>
        <v>0</v>
      </c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customFormat="false" ht="16.4" hidden="false" customHeight="false" outlineLevel="0" collapsed="false">
      <c r="A102" s="135" t="n">
        <v>45566</v>
      </c>
      <c r="B102" s="31" t="s">
        <v>247</v>
      </c>
      <c r="C102" s="130"/>
      <c r="D102" s="129"/>
      <c r="E102" s="19" t="n">
        <f aca="false">F102*0.03</f>
        <v>0</v>
      </c>
      <c r="F102" s="33" t="n">
        <v>0</v>
      </c>
      <c r="G102" s="131"/>
      <c r="H102" s="34" t="n">
        <v>0</v>
      </c>
      <c r="I102" s="34" t="n">
        <f aca="false">+IF(E102=0,0,E102*0.03)</f>
        <v>0</v>
      </c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customFormat="false" ht="16.4" hidden="false" customHeight="false" outlineLevel="0" collapsed="false">
      <c r="A103" s="135" t="n">
        <v>45566</v>
      </c>
      <c r="B103" s="31" t="s">
        <v>246</v>
      </c>
      <c r="C103" s="130"/>
      <c r="D103" s="129"/>
      <c r="E103" s="19" t="n">
        <f aca="false">F103*0.03</f>
        <v>0</v>
      </c>
      <c r="F103" s="33" t="n">
        <v>0</v>
      </c>
      <c r="G103" s="131"/>
      <c r="H103" s="34" t="n">
        <v>0</v>
      </c>
      <c r="I103" s="34" t="n">
        <f aca="false">+IF(E103=0,0,E103*0.03)</f>
        <v>0</v>
      </c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customFormat="false" ht="16.4" hidden="false" customHeight="false" outlineLevel="0" collapsed="false">
      <c r="A104" s="135" t="n">
        <v>45566</v>
      </c>
      <c r="B104" s="31" t="s">
        <v>239</v>
      </c>
      <c r="C104" s="130"/>
      <c r="D104" s="129"/>
      <c r="E104" s="19" t="n">
        <f aca="false">F104*0.03</f>
        <v>0</v>
      </c>
      <c r="F104" s="33" t="n">
        <v>0</v>
      </c>
      <c r="G104" s="131"/>
      <c r="H104" s="34" t="n">
        <v>0</v>
      </c>
      <c r="I104" s="34" t="n">
        <f aca="false">+IF(E104=0,0,E104*0.03)</f>
        <v>0</v>
      </c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customFormat="false" ht="16.4" hidden="false" customHeight="false" outlineLevel="0" collapsed="false">
      <c r="A105" s="135" t="n">
        <v>45566</v>
      </c>
      <c r="B105" s="31" t="s">
        <v>7</v>
      </c>
      <c r="C105" s="130"/>
      <c r="D105" s="129"/>
      <c r="E105" s="19" t="n">
        <f aca="false">F105*0.03</f>
        <v>0</v>
      </c>
      <c r="F105" s="33" t="n">
        <v>0</v>
      </c>
      <c r="G105" s="131"/>
      <c r="H105" s="34" t="n">
        <v>0</v>
      </c>
      <c r="I105" s="34" t="n">
        <f aca="false">+IF(E105=0,0,E105*0.03)</f>
        <v>0</v>
      </c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customFormat="false" ht="16.4" hidden="false" customHeight="false" outlineLevel="0" collapsed="false">
      <c r="A106" s="135" t="n">
        <v>45566</v>
      </c>
      <c r="B106" s="31" t="s">
        <v>240</v>
      </c>
      <c r="C106" s="130"/>
      <c r="D106" s="129"/>
      <c r="E106" s="19" t="n">
        <f aca="false">F106*0.03</f>
        <v>0</v>
      </c>
      <c r="F106" s="33" t="n">
        <v>0</v>
      </c>
      <c r="G106" s="131"/>
      <c r="H106" s="34" t="n">
        <v>0</v>
      </c>
      <c r="I106" s="34" t="n">
        <f aca="false">+IF(E106=0,0,E106*0.03)</f>
        <v>0</v>
      </c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customFormat="false" ht="16.4" hidden="false" customHeight="false" outlineLevel="0" collapsed="false">
      <c r="A107" s="135" t="n">
        <v>45566</v>
      </c>
      <c r="B107" s="31" t="s">
        <v>153</v>
      </c>
      <c r="C107" s="130"/>
      <c r="D107" s="129"/>
      <c r="E107" s="19" t="n">
        <f aca="false">F107*0.03</f>
        <v>0</v>
      </c>
      <c r="F107" s="33" t="n">
        <v>0</v>
      </c>
      <c r="G107" s="131"/>
      <c r="H107" s="34" t="n">
        <v>0</v>
      </c>
      <c r="I107" s="34" t="n">
        <f aca="false">+IF(E107=0,0,E107*0.03)</f>
        <v>0</v>
      </c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customFormat="false" ht="16.4" hidden="false" customHeight="false" outlineLevel="0" collapsed="false">
      <c r="A108" s="135" t="n">
        <v>45566</v>
      </c>
      <c r="B108" s="31" t="s">
        <v>247</v>
      </c>
      <c r="C108" s="130"/>
      <c r="D108" s="129"/>
      <c r="E108" s="19" t="n">
        <f aca="false">F108*0.03</f>
        <v>0</v>
      </c>
      <c r="F108" s="33" t="n">
        <v>0</v>
      </c>
      <c r="G108" s="131"/>
      <c r="H108" s="34" t="n">
        <v>0</v>
      </c>
      <c r="I108" s="34" t="n">
        <f aca="false">+IF(E108=0,0,E108*0.03)</f>
        <v>0</v>
      </c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customFormat="false" ht="16.4" hidden="false" customHeight="false" outlineLevel="0" collapsed="false">
      <c r="A109" s="135" t="n">
        <v>45566</v>
      </c>
      <c r="B109" s="31" t="s">
        <v>246</v>
      </c>
      <c r="C109" s="130"/>
      <c r="D109" s="129"/>
      <c r="E109" s="19" t="n">
        <f aca="false">F109*0.03</f>
        <v>0</v>
      </c>
      <c r="F109" s="33" t="n">
        <v>0</v>
      </c>
      <c r="G109" s="131"/>
      <c r="H109" s="34" t="n">
        <v>0</v>
      </c>
      <c r="I109" s="34" t="n">
        <f aca="false">+IF(E109=0,0,E109*0.03)</f>
        <v>0</v>
      </c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customFormat="false" ht="16.4" hidden="false" customHeight="false" outlineLevel="0" collapsed="false">
      <c r="A110" s="135" t="n">
        <v>45566</v>
      </c>
      <c r="B110" s="31" t="s">
        <v>239</v>
      </c>
      <c r="C110" s="130"/>
      <c r="D110" s="129"/>
      <c r="E110" s="19" t="n">
        <f aca="false">F110*0.03</f>
        <v>0</v>
      </c>
      <c r="F110" s="33" t="n">
        <v>0</v>
      </c>
      <c r="G110" s="131"/>
      <c r="H110" s="34" t="n">
        <v>0</v>
      </c>
      <c r="I110" s="34" t="n">
        <f aca="false">+IF(E110=0,0,E110*0.03)</f>
        <v>0</v>
      </c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customFormat="false" ht="16.4" hidden="false" customHeight="false" outlineLevel="0" collapsed="false">
      <c r="A111" s="135" t="n">
        <v>45566</v>
      </c>
      <c r="B111" s="31" t="s">
        <v>7</v>
      </c>
      <c r="C111" s="130"/>
      <c r="D111" s="129"/>
      <c r="E111" s="19" t="n">
        <f aca="false">F111*0.03</f>
        <v>0</v>
      </c>
      <c r="F111" s="33" t="n">
        <v>0</v>
      </c>
      <c r="G111" s="131"/>
      <c r="H111" s="34" t="n">
        <v>0</v>
      </c>
      <c r="I111" s="34" t="n">
        <f aca="false">+IF(E111=0,0,E111*0.03)</f>
        <v>0</v>
      </c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customFormat="false" ht="16.4" hidden="false" customHeight="false" outlineLevel="0" collapsed="false">
      <c r="A112" s="135" t="n">
        <v>45566</v>
      </c>
      <c r="B112" s="31" t="s">
        <v>240</v>
      </c>
      <c r="C112" s="130"/>
      <c r="D112" s="129"/>
      <c r="E112" s="19" t="n">
        <f aca="false">F112*0.03</f>
        <v>0</v>
      </c>
      <c r="F112" s="33" t="n">
        <v>0</v>
      </c>
      <c r="G112" s="131"/>
      <c r="H112" s="34" t="n">
        <v>0</v>
      </c>
      <c r="I112" s="34" t="n">
        <f aca="false">+IF(E112=0,0,E112*0.03)</f>
        <v>0</v>
      </c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customFormat="false" ht="16.4" hidden="false" customHeight="false" outlineLevel="0" collapsed="false">
      <c r="A113" s="135" t="n">
        <v>45566</v>
      </c>
      <c r="B113" s="31" t="s">
        <v>153</v>
      </c>
      <c r="C113" s="130"/>
      <c r="D113" s="129"/>
      <c r="E113" s="19" t="n">
        <f aca="false">F113*0.03</f>
        <v>0</v>
      </c>
      <c r="F113" s="33" t="n">
        <v>0</v>
      </c>
      <c r="G113" s="131"/>
      <c r="H113" s="34" t="n">
        <v>0</v>
      </c>
      <c r="I113" s="34" t="n">
        <f aca="false">+IF(E113=0,0,E113*0.03)</f>
        <v>0</v>
      </c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customFormat="false" ht="16.4" hidden="false" customHeight="false" outlineLevel="0" collapsed="false">
      <c r="A114" s="135" t="n">
        <v>45566</v>
      </c>
      <c r="B114" s="31" t="s">
        <v>247</v>
      </c>
      <c r="C114" s="130"/>
      <c r="D114" s="129"/>
      <c r="E114" s="19" t="n">
        <f aca="false">F114*0.03</f>
        <v>0</v>
      </c>
      <c r="F114" s="33" t="n">
        <v>0</v>
      </c>
      <c r="G114" s="131"/>
      <c r="H114" s="34" t="n">
        <v>0</v>
      </c>
      <c r="I114" s="34" t="n">
        <f aca="false">+IF(E114=0,0,E114*0.03)</f>
        <v>0</v>
      </c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customFormat="false" ht="16.4" hidden="false" customHeight="false" outlineLevel="0" collapsed="false">
      <c r="A115" s="135" t="n">
        <v>45566</v>
      </c>
      <c r="B115" s="31" t="s">
        <v>246</v>
      </c>
      <c r="C115" s="130"/>
      <c r="D115" s="129"/>
      <c r="E115" s="19" t="n">
        <f aca="false">F115*0.03</f>
        <v>0</v>
      </c>
      <c r="F115" s="33" t="n">
        <v>0</v>
      </c>
      <c r="G115" s="131"/>
      <c r="H115" s="34" t="n">
        <v>0</v>
      </c>
      <c r="I115" s="34" t="n">
        <f aca="false">+IF(E115=0,0,E115*0.03)</f>
        <v>0</v>
      </c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customFormat="false" ht="16.4" hidden="false" customHeight="false" outlineLevel="0" collapsed="false">
      <c r="A116" s="135" t="n">
        <v>45566</v>
      </c>
      <c r="B116" s="31" t="s">
        <v>239</v>
      </c>
      <c r="C116" s="130"/>
      <c r="D116" s="129"/>
      <c r="E116" s="19" t="n">
        <f aca="false">F116*0.03</f>
        <v>0</v>
      </c>
      <c r="F116" s="33" t="n">
        <v>0</v>
      </c>
      <c r="G116" s="131"/>
      <c r="H116" s="34" t="n">
        <v>0</v>
      </c>
      <c r="I116" s="34" t="n">
        <f aca="false">+IF(E116=0,0,E116*0.03)</f>
        <v>0</v>
      </c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customFormat="false" ht="16.4" hidden="false" customHeight="false" outlineLevel="0" collapsed="false">
      <c r="A117" s="135" t="n">
        <v>45566</v>
      </c>
      <c r="B117" s="31" t="s">
        <v>7</v>
      </c>
      <c r="C117" s="130"/>
      <c r="D117" s="129"/>
      <c r="E117" s="19" t="n">
        <f aca="false">F117*0.03</f>
        <v>0</v>
      </c>
      <c r="F117" s="33" t="n">
        <v>0</v>
      </c>
      <c r="G117" s="131"/>
      <c r="H117" s="34" t="n">
        <v>0</v>
      </c>
      <c r="I117" s="34" t="n">
        <f aca="false">+IF(E117=0,0,E117*0.03)</f>
        <v>0</v>
      </c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customFormat="false" ht="16.4" hidden="false" customHeight="false" outlineLevel="0" collapsed="false">
      <c r="A118" s="135" t="n">
        <v>45566</v>
      </c>
      <c r="B118" s="31" t="s">
        <v>240</v>
      </c>
      <c r="C118" s="130"/>
      <c r="D118" s="129"/>
      <c r="E118" s="19" t="n">
        <f aca="false">F118*0.03</f>
        <v>0</v>
      </c>
      <c r="F118" s="33" t="n">
        <v>0</v>
      </c>
      <c r="G118" s="131"/>
      <c r="H118" s="34" t="n">
        <v>0</v>
      </c>
      <c r="I118" s="34" t="n">
        <f aca="false">+IF(E118=0,0,E118*0.03)</f>
        <v>0</v>
      </c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customFormat="false" ht="16.4" hidden="false" customHeight="false" outlineLevel="0" collapsed="false">
      <c r="A119" s="135" t="n">
        <v>45566</v>
      </c>
      <c r="B119" s="31" t="s">
        <v>153</v>
      </c>
      <c r="C119" s="130"/>
      <c r="D119" s="129"/>
      <c r="E119" s="19" t="n">
        <f aca="false">F119*0.03</f>
        <v>0</v>
      </c>
      <c r="F119" s="33" t="n">
        <v>0</v>
      </c>
      <c r="G119" s="131"/>
      <c r="H119" s="34" t="n">
        <v>0</v>
      </c>
      <c r="I119" s="34" t="n">
        <f aca="false">+IF(E119=0,0,E119*0.03)</f>
        <v>0</v>
      </c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customFormat="false" ht="16.4" hidden="false" customHeight="false" outlineLevel="0" collapsed="false">
      <c r="A120" s="135" t="n">
        <v>45566</v>
      </c>
      <c r="B120" s="31" t="s">
        <v>247</v>
      </c>
      <c r="C120" s="130"/>
      <c r="D120" s="129"/>
      <c r="E120" s="19" t="n">
        <f aca="false">F120*0.03</f>
        <v>0</v>
      </c>
      <c r="F120" s="33" t="n">
        <v>0</v>
      </c>
      <c r="G120" s="131"/>
      <c r="H120" s="34" t="n">
        <v>0</v>
      </c>
      <c r="I120" s="34" t="n">
        <f aca="false">+IF(E120=0,0,E120*0.03)</f>
        <v>0</v>
      </c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customFormat="false" ht="16.4" hidden="false" customHeight="false" outlineLevel="0" collapsed="false">
      <c r="A121" s="135" t="n">
        <v>45566</v>
      </c>
      <c r="B121" s="31" t="s">
        <v>246</v>
      </c>
      <c r="C121" s="129"/>
      <c r="D121" s="129"/>
      <c r="E121" s="19" t="n">
        <f aca="false">F121*0.03</f>
        <v>0</v>
      </c>
      <c r="F121" s="33" t="n">
        <v>0</v>
      </c>
      <c r="G121" s="131"/>
      <c r="H121" s="34" t="n">
        <v>0</v>
      </c>
      <c r="I121" s="34" t="n">
        <f aca="false">+IF(E121=0,0,E121*0.03)</f>
        <v>0</v>
      </c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customFormat="false" ht="16.4" hidden="false" customHeight="false" outlineLevel="0" collapsed="false">
      <c r="A122" s="135" t="n">
        <v>45566</v>
      </c>
      <c r="B122" s="31" t="s">
        <v>239</v>
      </c>
      <c r="C122" s="129"/>
      <c r="D122" s="129"/>
      <c r="E122" s="19" t="n">
        <f aca="false">F122*0.03</f>
        <v>0</v>
      </c>
      <c r="F122" s="33" t="n">
        <v>0</v>
      </c>
      <c r="G122" s="131"/>
      <c r="H122" s="34" t="n">
        <v>0</v>
      </c>
      <c r="I122" s="34" t="n">
        <f aca="false">+IF(E122=0,0,E122*0.03)</f>
        <v>0</v>
      </c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customFormat="false" ht="16.4" hidden="false" customHeight="false" outlineLevel="0" collapsed="false">
      <c r="A123" s="135" t="n">
        <v>45566</v>
      </c>
      <c r="B123" s="31" t="s">
        <v>7</v>
      </c>
      <c r="C123" s="129"/>
      <c r="D123" s="129"/>
      <c r="E123" s="19" t="n">
        <f aca="false">F123*0.03</f>
        <v>0</v>
      </c>
      <c r="F123" s="33" t="n">
        <v>0</v>
      </c>
      <c r="G123" s="131"/>
      <c r="H123" s="34" t="n">
        <v>0</v>
      </c>
      <c r="I123" s="34" t="n">
        <f aca="false">+IF(E123=0,0,E123*0.03)</f>
        <v>0</v>
      </c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customFormat="false" ht="16.4" hidden="false" customHeight="false" outlineLevel="0" collapsed="false">
      <c r="A124" s="135" t="n">
        <v>45566</v>
      </c>
      <c r="B124" s="31" t="s">
        <v>240</v>
      </c>
      <c r="C124" s="129"/>
      <c r="D124" s="129"/>
      <c r="E124" s="19" t="n">
        <f aca="false">F124*0.03</f>
        <v>0</v>
      </c>
      <c r="F124" s="33" t="n">
        <v>0</v>
      </c>
      <c r="G124" s="131"/>
      <c r="H124" s="34" t="n">
        <v>0</v>
      </c>
      <c r="I124" s="34" t="n">
        <f aca="false">+IF(E124=0,0,E124*0.03)</f>
        <v>0</v>
      </c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customFormat="false" ht="16.4" hidden="false" customHeight="false" outlineLevel="0" collapsed="false">
      <c r="A125" s="135" t="n">
        <v>45566</v>
      </c>
      <c r="B125" s="31" t="s">
        <v>153</v>
      </c>
      <c r="C125" s="129"/>
      <c r="D125" s="129"/>
      <c r="E125" s="19" t="n">
        <f aca="false">F125*0.03</f>
        <v>0</v>
      </c>
      <c r="F125" s="33" t="n">
        <v>0</v>
      </c>
      <c r="G125" s="131"/>
      <c r="H125" s="34" t="n">
        <v>0</v>
      </c>
      <c r="I125" s="34" t="n">
        <f aca="false">+IF(E125=0,0,E125*0.03)</f>
        <v>0</v>
      </c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customFormat="false" ht="16.4" hidden="false" customHeight="false" outlineLevel="0" collapsed="false">
      <c r="A126" s="135" t="n">
        <v>45566</v>
      </c>
      <c r="B126" s="31" t="s">
        <v>247</v>
      </c>
      <c r="C126" s="129"/>
      <c r="D126" s="129"/>
      <c r="E126" s="19" t="n">
        <f aca="false">F126*0.03</f>
        <v>0</v>
      </c>
      <c r="F126" s="33" t="n">
        <v>0</v>
      </c>
      <c r="G126" s="131"/>
      <c r="H126" s="34" t="n">
        <v>0</v>
      </c>
      <c r="I126" s="34" t="n">
        <f aca="false">+IF(E126=0,0,E126*0.03)</f>
        <v>0</v>
      </c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customFormat="false" ht="16.4" hidden="false" customHeight="false" outlineLevel="0" collapsed="false">
      <c r="A127" s="135" t="n">
        <v>45566</v>
      </c>
      <c r="B127" s="31" t="s">
        <v>246</v>
      </c>
      <c r="C127" s="129"/>
      <c r="D127" s="129"/>
      <c r="E127" s="19" t="n">
        <f aca="false">F127*0.03</f>
        <v>0</v>
      </c>
      <c r="F127" s="33" t="n">
        <v>0</v>
      </c>
      <c r="G127" s="131"/>
      <c r="H127" s="34" t="n">
        <v>0</v>
      </c>
      <c r="I127" s="34" t="n">
        <f aca="false">+IF(E127=0,0,E127*0.03)</f>
        <v>0</v>
      </c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customFormat="false" ht="16.4" hidden="false" customHeight="false" outlineLevel="0" collapsed="false">
      <c r="A128" s="135" t="n">
        <v>45566</v>
      </c>
      <c r="B128" s="31" t="s">
        <v>239</v>
      </c>
      <c r="C128" s="129"/>
      <c r="D128" s="129"/>
      <c r="E128" s="19" t="n">
        <f aca="false">F128*0.03</f>
        <v>0</v>
      </c>
      <c r="F128" s="33" t="n">
        <v>0</v>
      </c>
      <c r="G128" s="131"/>
      <c r="H128" s="34" t="n">
        <v>0</v>
      </c>
      <c r="I128" s="34" t="n">
        <f aca="false">+IF(E128=0,0,E128*0.03)</f>
        <v>0</v>
      </c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customFormat="false" ht="16.4" hidden="false" customHeight="false" outlineLevel="0" collapsed="false">
      <c r="A129" s="135" t="n">
        <v>45566</v>
      </c>
      <c r="B129" s="31" t="s">
        <v>7</v>
      </c>
      <c r="C129" s="129"/>
      <c r="D129" s="129"/>
      <c r="E129" s="19" t="n">
        <f aca="false">F129*0.03</f>
        <v>0</v>
      </c>
      <c r="F129" s="33" t="n">
        <v>0</v>
      </c>
      <c r="G129" s="131"/>
      <c r="H129" s="34" t="n">
        <v>0</v>
      </c>
      <c r="I129" s="34" t="n">
        <f aca="false">+IF(E129=0,0,E129*0.03)</f>
        <v>0</v>
      </c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customFormat="false" ht="16.4" hidden="false" customHeight="false" outlineLevel="0" collapsed="false">
      <c r="A130" s="135" t="n">
        <v>45566</v>
      </c>
      <c r="B130" s="31" t="s">
        <v>240</v>
      </c>
      <c r="C130" s="129"/>
      <c r="D130" s="129"/>
      <c r="E130" s="19" t="n">
        <f aca="false">F130*0.03</f>
        <v>0</v>
      </c>
      <c r="F130" s="33" t="n">
        <v>0</v>
      </c>
      <c r="G130" s="131"/>
      <c r="H130" s="34" t="n">
        <v>0</v>
      </c>
      <c r="I130" s="34" t="n">
        <f aca="false">+IF(E130=0,0,E130*0.03)</f>
        <v>0</v>
      </c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customFormat="false" ht="16.4" hidden="false" customHeight="false" outlineLevel="0" collapsed="false">
      <c r="A131" s="135" t="n">
        <v>45566</v>
      </c>
      <c r="B131" s="31" t="s">
        <v>153</v>
      </c>
      <c r="C131" s="129"/>
      <c r="D131" s="129"/>
      <c r="E131" s="19" t="n">
        <f aca="false">F131*0.03</f>
        <v>0</v>
      </c>
      <c r="F131" s="33" t="n">
        <v>0</v>
      </c>
      <c r="G131" s="131"/>
      <c r="H131" s="34" t="n">
        <v>0</v>
      </c>
      <c r="I131" s="34" t="n">
        <f aca="false">+IF(E131=0,0,E131*0.03)</f>
        <v>0</v>
      </c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customFormat="false" ht="16.4" hidden="false" customHeight="false" outlineLevel="0" collapsed="false">
      <c r="A132" s="135" t="n">
        <v>45566</v>
      </c>
      <c r="B132" s="31" t="s">
        <v>247</v>
      </c>
      <c r="C132" s="129"/>
      <c r="D132" s="129"/>
      <c r="E132" s="19" t="n">
        <f aca="false">F132*0.03</f>
        <v>0</v>
      </c>
      <c r="F132" s="33" t="n">
        <v>0</v>
      </c>
      <c r="G132" s="131"/>
      <c r="H132" s="34" t="n">
        <v>0</v>
      </c>
      <c r="I132" s="34" t="n">
        <f aca="false">+IF(E132=0,0,E132*0.03)</f>
        <v>0</v>
      </c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customFormat="false" ht="16.4" hidden="false" customHeight="false" outlineLevel="0" collapsed="false">
      <c r="A133" s="135" t="n">
        <v>45566</v>
      </c>
      <c r="B133" s="31" t="s">
        <v>246</v>
      </c>
      <c r="C133" s="129"/>
      <c r="D133" s="129"/>
      <c r="E133" s="19" t="n">
        <f aca="false">F133*0.03</f>
        <v>0</v>
      </c>
      <c r="F133" s="33" t="n">
        <v>0</v>
      </c>
      <c r="G133" s="131"/>
      <c r="H133" s="34" t="n">
        <v>0</v>
      </c>
      <c r="I133" s="34" t="n">
        <f aca="false">+IF(E133=0,0,E133*0.03)</f>
        <v>0</v>
      </c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customFormat="false" ht="16.4" hidden="false" customHeight="false" outlineLevel="0" collapsed="false">
      <c r="A134" s="135" t="n">
        <v>45566</v>
      </c>
      <c r="B134" s="31" t="s">
        <v>239</v>
      </c>
      <c r="C134" s="129"/>
      <c r="D134" s="129"/>
      <c r="E134" s="19" t="n">
        <f aca="false">F134*0.03</f>
        <v>0</v>
      </c>
      <c r="F134" s="33" t="n">
        <v>0</v>
      </c>
      <c r="G134" s="131"/>
      <c r="H134" s="34" t="n">
        <v>0</v>
      </c>
      <c r="I134" s="34" t="n">
        <f aca="false">+IF(E134=0,0,E134*0.03)</f>
        <v>0</v>
      </c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customFormat="false" ht="16.4" hidden="false" customHeight="false" outlineLevel="0" collapsed="false">
      <c r="A135" s="135" t="n">
        <v>45566</v>
      </c>
      <c r="B135" s="31" t="s">
        <v>7</v>
      </c>
      <c r="C135" s="129"/>
      <c r="D135" s="129"/>
      <c r="E135" s="19" t="n">
        <f aca="false">F135*0.03</f>
        <v>0</v>
      </c>
      <c r="F135" s="33" t="n">
        <v>0</v>
      </c>
      <c r="G135" s="131"/>
      <c r="H135" s="34" t="n">
        <v>0</v>
      </c>
      <c r="I135" s="34" t="n">
        <f aca="false">+IF(E135=0,0,E135*0.03)</f>
        <v>0</v>
      </c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customFormat="false" ht="16.4" hidden="false" customHeight="false" outlineLevel="0" collapsed="false">
      <c r="A136" s="135" t="n">
        <v>45566</v>
      </c>
      <c r="B136" s="31" t="s">
        <v>240</v>
      </c>
      <c r="C136" s="129"/>
      <c r="D136" s="129"/>
      <c r="E136" s="19" t="n">
        <f aca="false">F136*0.03</f>
        <v>0</v>
      </c>
      <c r="F136" s="33" t="n">
        <v>0</v>
      </c>
      <c r="G136" s="131"/>
      <c r="H136" s="34" t="n">
        <v>0</v>
      </c>
      <c r="I136" s="34" t="n">
        <f aca="false">+IF(E136=0,0,E136*0.03)</f>
        <v>0</v>
      </c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customFormat="false" ht="16.4" hidden="false" customHeight="false" outlineLevel="0" collapsed="false">
      <c r="A137" s="135" t="n">
        <v>45566</v>
      </c>
      <c r="B137" s="31" t="s">
        <v>153</v>
      </c>
      <c r="C137" s="129"/>
      <c r="D137" s="129"/>
      <c r="E137" s="19" t="n">
        <f aca="false">F137*0.03</f>
        <v>0</v>
      </c>
      <c r="F137" s="33" t="n">
        <v>0</v>
      </c>
      <c r="G137" s="131"/>
      <c r="H137" s="35" t="n">
        <v>0</v>
      </c>
      <c r="I137" s="34" t="n">
        <f aca="false">+IF(E137=0,0,E137*0.03)</f>
        <v>0</v>
      </c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customFormat="false" ht="16.4" hidden="false" customHeight="false" outlineLevel="0" collapsed="false">
      <c r="A138" s="135" t="n">
        <v>45566</v>
      </c>
      <c r="B138" s="31" t="s">
        <v>247</v>
      </c>
      <c r="C138" s="129"/>
      <c r="D138" s="129"/>
      <c r="E138" s="19" t="n">
        <f aca="false">F138*0.03</f>
        <v>0</v>
      </c>
      <c r="F138" s="33" t="n">
        <v>0</v>
      </c>
      <c r="G138" s="131"/>
      <c r="H138" s="35" t="n">
        <v>0</v>
      </c>
      <c r="I138" s="34" t="n">
        <f aca="false">+IF(E138=0,0,E138*0.03)</f>
        <v>0</v>
      </c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customFormat="false" ht="16.4" hidden="false" customHeight="false" outlineLevel="0" collapsed="false">
      <c r="A139" s="135" t="n">
        <v>45566</v>
      </c>
      <c r="B139" s="31" t="s">
        <v>246</v>
      </c>
      <c r="C139" s="129"/>
      <c r="D139" s="129"/>
      <c r="E139" s="19" t="n">
        <f aca="false">F139*0.03</f>
        <v>0</v>
      </c>
      <c r="F139" s="33" t="n">
        <v>0</v>
      </c>
      <c r="G139" s="131"/>
      <c r="H139" s="35" t="n">
        <v>0</v>
      </c>
      <c r="I139" s="34" t="n">
        <f aca="false">+IF(E139=0,0,E139*0.03)</f>
        <v>0</v>
      </c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customFormat="false" ht="16.4" hidden="false" customHeight="false" outlineLevel="0" collapsed="false">
      <c r="A140" s="135" t="n">
        <v>45566</v>
      </c>
      <c r="B140" s="31" t="s">
        <v>239</v>
      </c>
      <c r="C140" s="129"/>
      <c r="D140" s="129"/>
      <c r="E140" s="19" t="n">
        <f aca="false">F140*0.03</f>
        <v>0</v>
      </c>
      <c r="F140" s="33" t="n">
        <v>0</v>
      </c>
      <c r="G140" s="131"/>
      <c r="H140" s="35" t="n">
        <v>0</v>
      </c>
      <c r="I140" s="34" t="n">
        <f aca="false">+IF(E140=0,0,E140*0.03)</f>
        <v>0</v>
      </c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customFormat="false" ht="16.4" hidden="false" customHeight="false" outlineLevel="0" collapsed="false">
      <c r="A141" s="135" t="n">
        <v>45566</v>
      </c>
      <c r="B141" s="31" t="s">
        <v>7</v>
      </c>
      <c r="C141" s="129"/>
      <c r="D141" s="129"/>
      <c r="E141" s="19" t="n">
        <f aca="false">F141*0.03</f>
        <v>0</v>
      </c>
      <c r="F141" s="33" t="n">
        <v>0</v>
      </c>
      <c r="G141" s="131"/>
      <c r="H141" s="35" t="n">
        <v>0</v>
      </c>
      <c r="I141" s="34" t="n">
        <f aca="false">+IF(E141=0,0,E141*0.03)</f>
        <v>0</v>
      </c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customFormat="false" ht="16.4" hidden="false" customHeight="false" outlineLevel="0" collapsed="false">
      <c r="A142" s="135" t="n">
        <v>45566</v>
      </c>
      <c r="B142" s="31" t="s">
        <v>240</v>
      </c>
      <c r="C142" s="129"/>
      <c r="D142" s="129"/>
      <c r="E142" s="19" t="n">
        <f aca="false">F142*0.03</f>
        <v>0</v>
      </c>
      <c r="F142" s="33" t="n">
        <v>0</v>
      </c>
      <c r="G142" s="131"/>
      <c r="H142" s="35" t="n">
        <v>0</v>
      </c>
      <c r="I142" s="34" t="n">
        <f aca="false">+IF(E142=0,0,E142*0.03)</f>
        <v>0</v>
      </c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customFormat="false" ht="16.4" hidden="false" customHeight="false" outlineLevel="0" collapsed="false">
      <c r="A143" s="135" t="n">
        <v>45566</v>
      </c>
      <c r="B143" s="31" t="s">
        <v>153</v>
      </c>
      <c r="C143" s="129"/>
      <c r="D143" s="129"/>
      <c r="E143" s="19" t="n">
        <f aca="false">F143*0.03</f>
        <v>0</v>
      </c>
      <c r="F143" s="33" t="n">
        <v>0</v>
      </c>
      <c r="G143" s="131"/>
      <c r="H143" s="35" t="n">
        <v>0</v>
      </c>
      <c r="I143" s="34" t="n">
        <f aca="false">+IF(E143=0,0,E143*0.03)</f>
        <v>0</v>
      </c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customFormat="false" ht="16.4" hidden="false" customHeight="false" outlineLevel="0" collapsed="false">
      <c r="A144" s="135" t="n">
        <v>45566</v>
      </c>
      <c r="B144" s="31" t="s">
        <v>247</v>
      </c>
      <c r="C144" s="129"/>
      <c r="D144" s="129"/>
      <c r="E144" s="19" t="n">
        <f aca="false">F144*0.03</f>
        <v>0</v>
      </c>
      <c r="F144" s="33" t="n">
        <v>0</v>
      </c>
      <c r="G144" s="131"/>
      <c r="H144" s="35" t="n">
        <v>0</v>
      </c>
      <c r="I144" s="34" t="n">
        <f aca="false">+IF(E144=0,0,E144*0.03)</f>
        <v>0</v>
      </c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customFormat="false" ht="16.4" hidden="false" customHeight="false" outlineLevel="0" collapsed="false">
      <c r="A145" s="135" t="n">
        <v>45566</v>
      </c>
      <c r="B145" s="31" t="s">
        <v>246</v>
      </c>
      <c r="C145" s="129"/>
      <c r="D145" s="129"/>
      <c r="E145" s="19" t="n">
        <f aca="false">F145*0.03</f>
        <v>0</v>
      </c>
      <c r="F145" s="33" t="n">
        <v>0</v>
      </c>
      <c r="G145" s="131"/>
      <c r="H145" s="35" t="n">
        <v>0</v>
      </c>
      <c r="I145" s="34" t="n">
        <f aca="false">+IF(E145=0,0,E145*0.03)</f>
        <v>0</v>
      </c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customFormat="false" ht="16.4" hidden="false" customHeight="false" outlineLevel="0" collapsed="false">
      <c r="A146" s="135" t="n">
        <v>45566</v>
      </c>
      <c r="B146" s="31" t="s">
        <v>239</v>
      </c>
      <c r="C146" s="129"/>
      <c r="D146" s="129"/>
      <c r="E146" s="19" t="n">
        <f aca="false">F146*0.03</f>
        <v>0</v>
      </c>
      <c r="F146" s="33" t="n">
        <v>0</v>
      </c>
      <c r="G146" s="131"/>
      <c r="H146" s="35" t="n">
        <v>0</v>
      </c>
      <c r="I146" s="34" t="n">
        <f aca="false">+IF(E146=0,0,E146*0.03)</f>
        <v>0</v>
      </c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customFormat="false" ht="16.4" hidden="false" customHeight="false" outlineLevel="0" collapsed="false">
      <c r="A147" s="135" t="n">
        <v>45566</v>
      </c>
      <c r="B147" s="31" t="s">
        <v>7</v>
      </c>
      <c r="C147" s="129"/>
      <c r="D147" s="129"/>
      <c r="E147" s="19" t="n">
        <f aca="false">F147*0.03</f>
        <v>0</v>
      </c>
      <c r="F147" s="33" t="n">
        <v>0</v>
      </c>
      <c r="G147" s="131"/>
      <c r="H147" s="35" t="n">
        <v>0</v>
      </c>
      <c r="I147" s="34" t="n">
        <f aca="false">+IF(E147=0,0,E147*0.03)</f>
        <v>0</v>
      </c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customFormat="false" ht="16.4" hidden="false" customHeight="false" outlineLevel="0" collapsed="false">
      <c r="A148" s="135" t="n">
        <v>45566</v>
      </c>
      <c r="B148" s="31" t="s">
        <v>240</v>
      </c>
      <c r="C148" s="129"/>
      <c r="D148" s="129"/>
      <c r="E148" s="19" t="n">
        <f aca="false">F148*0.03</f>
        <v>0</v>
      </c>
      <c r="F148" s="33" t="n">
        <v>0</v>
      </c>
      <c r="G148" s="131"/>
      <c r="H148" s="35" t="n">
        <v>0</v>
      </c>
      <c r="I148" s="34" t="n">
        <f aca="false">+IF(E148=0,0,E148*0.03)</f>
        <v>0</v>
      </c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customFormat="false" ht="16.4" hidden="false" customHeight="false" outlineLevel="0" collapsed="false">
      <c r="A149" s="135" t="n">
        <v>45566</v>
      </c>
      <c r="B149" s="31" t="s">
        <v>153</v>
      </c>
      <c r="C149" s="129"/>
      <c r="D149" s="129"/>
      <c r="E149" s="19" t="n">
        <f aca="false">F149*0.03</f>
        <v>0</v>
      </c>
      <c r="F149" s="33" t="n">
        <v>0</v>
      </c>
      <c r="G149" s="131"/>
      <c r="H149" s="35" t="n">
        <v>0</v>
      </c>
      <c r="I149" s="34" t="n">
        <f aca="false">+IF(E149=0,0,E149*0.03)</f>
        <v>0</v>
      </c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customFormat="false" ht="16.4" hidden="false" customHeight="false" outlineLevel="0" collapsed="false">
      <c r="A150" s="135" t="n">
        <v>45566</v>
      </c>
      <c r="B150" s="31" t="s">
        <v>247</v>
      </c>
      <c r="C150" s="129"/>
      <c r="D150" s="129"/>
      <c r="E150" s="19" t="n">
        <f aca="false">F150*0.03</f>
        <v>0</v>
      </c>
      <c r="F150" s="33" t="n">
        <v>0</v>
      </c>
      <c r="G150" s="131"/>
      <c r="H150" s="35" t="n">
        <v>0</v>
      </c>
      <c r="I150" s="34" t="n">
        <f aca="false">+IF(E150=0,0,E150*0.03)</f>
        <v>0</v>
      </c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customFormat="false" ht="16.4" hidden="false" customHeight="false" outlineLevel="0" collapsed="false">
      <c r="A151" s="135" t="n">
        <v>45566</v>
      </c>
      <c r="B151" s="31" t="s">
        <v>246</v>
      </c>
      <c r="C151" s="129"/>
      <c r="D151" s="129"/>
      <c r="E151" s="19" t="n">
        <f aca="false">F151*0.03</f>
        <v>0</v>
      </c>
      <c r="F151" s="33" t="n">
        <v>0</v>
      </c>
      <c r="G151" s="131"/>
      <c r="H151" s="35" t="n">
        <v>0</v>
      </c>
      <c r="I151" s="34" t="n">
        <f aca="false">+IF(E151=0,0,E151*0.03)</f>
        <v>0</v>
      </c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customFormat="false" ht="16.4" hidden="false" customHeight="false" outlineLevel="0" collapsed="false">
      <c r="A152" s="135" t="n">
        <v>45566</v>
      </c>
      <c r="B152" s="31" t="s">
        <v>239</v>
      </c>
      <c r="C152" s="129"/>
      <c r="D152" s="129"/>
      <c r="E152" s="19" t="n">
        <f aca="false">F152*0.03</f>
        <v>0</v>
      </c>
      <c r="F152" s="33" t="n">
        <v>0</v>
      </c>
      <c r="G152" s="131"/>
      <c r="H152" s="35" t="n">
        <v>0</v>
      </c>
      <c r="I152" s="34" t="n">
        <f aca="false">+IF(E152=0,0,E152*0.03)</f>
        <v>0</v>
      </c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customFormat="false" ht="16.4" hidden="false" customHeight="false" outlineLevel="0" collapsed="false">
      <c r="A153" s="135" t="n">
        <v>45566</v>
      </c>
      <c r="B153" s="31" t="s">
        <v>7</v>
      </c>
      <c r="C153" s="129"/>
      <c r="D153" s="129"/>
      <c r="E153" s="19" t="n">
        <f aca="false">F153*0.03</f>
        <v>0</v>
      </c>
      <c r="F153" s="33" t="n">
        <v>0</v>
      </c>
      <c r="G153" s="131"/>
      <c r="H153" s="35" t="n">
        <v>0</v>
      </c>
      <c r="I153" s="34" t="n">
        <f aca="false">+IF(E153=0,0,E153*0.03)</f>
        <v>0</v>
      </c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customFormat="false" ht="16.4" hidden="false" customHeight="false" outlineLevel="0" collapsed="false">
      <c r="A154" s="135" t="n">
        <v>45566</v>
      </c>
      <c r="B154" s="31" t="s">
        <v>240</v>
      </c>
      <c r="C154" s="129"/>
      <c r="D154" s="129"/>
      <c r="E154" s="19" t="n">
        <f aca="false">F154*0.03</f>
        <v>0</v>
      </c>
      <c r="F154" s="33" t="n">
        <v>0</v>
      </c>
      <c r="G154" s="131"/>
      <c r="H154" s="35" t="n">
        <v>0</v>
      </c>
      <c r="I154" s="34" t="n">
        <f aca="false">+IF(E154=0,0,E154*0.03)</f>
        <v>0</v>
      </c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customFormat="false" ht="16.4" hidden="false" customHeight="false" outlineLevel="0" collapsed="false">
      <c r="A155" s="135" t="n">
        <v>45566</v>
      </c>
      <c r="B155" s="31" t="s">
        <v>153</v>
      </c>
      <c r="C155" s="129"/>
      <c r="D155" s="129"/>
      <c r="E155" s="19" t="n">
        <f aca="false">F155*0.03</f>
        <v>0</v>
      </c>
      <c r="F155" s="33" t="n">
        <v>0</v>
      </c>
      <c r="G155" s="131"/>
      <c r="H155" s="35" t="n">
        <v>0</v>
      </c>
      <c r="I155" s="34" t="n">
        <f aca="false">+IF(E155=0,0,E155*0.03)</f>
        <v>0</v>
      </c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customFormat="false" ht="16.4" hidden="false" customHeight="false" outlineLevel="0" collapsed="false">
      <c r="A156" s="135" t="n">
        <v>45566</v>
      </c>
      <c r="B156" s="31" t="s">
        <v>247</v>
      </c>
      <c r="C156" s="129"/>
      <c r="D156" s="129"/>
      <c r="E156" s="19" t="n">
        <f aca="false">F156*0.03</f>
        <v>0</v>
      </c>
      <c r="F156" s="33" t="n">
        <v>0</v>
      </c>
      <c r="G156" s="131"/>
      <c r="H156" s="35" t="n">
        <v>0</v>
      </c>
      <c r="I156" s="34" t="n">
        <f aca="false">+IF(E156=0,0,E156*0.03)</f>
        <v>0</v>
      </c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customFormat="false" ht="16.4" hidden="false" customHeight="false" outlineLevel="0" collapsed="false">
      <c r="A157" s="135" t="n">
        <v>45566</v>
      </c>
      <c r="B157" s="31" t="s">
        <v>246</v>
      </c>
      <c r="C157" s="129"/>
      <c r="D157" s="129"/>
      <c r="E157" s="19" t="n">
        <f aca="false">F157*0.03</f>
        <v>0</v>
      </c>
      <c r="F157" s="33" t="n">
        <v>0</v>
      </c>
      <c r="G157" s="131"/>
      <c r="H157" s="35" t="n">
        <v>0</v>
      </c>
      <c r="I157" s="34" t="n">
        <f aca="false">+IF(E157=0,0,E157*0.03)</f>
        <v>0</v>
      </c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customFormat="false" ht="16.4" hidden="false" customHeight="false" outlineLevel="0" collapsed="false">
      <c r="A158" s="135" t="n">
        <v>45566</v>
      </c>
      <c r="B158" s="31" t="s">
        <v>239</v>
      </c>
      <c r="C158" s="129"/>
      <c r="D158" s="129"/>
      <c r="E158" s="19" t="n">
        <f aca="false">F158*0.03</f>
        <v>0</v>
      </c>
      <c r="F158" s="33" t="n">
        <v>0</v>
      </c>
      <c r="G158" s="131"/>
      <c r="H158" s="35" t="n">
        <v>0</v>
      </c>
      <c r="I158" s="34" t="n">
        <f aca="false">+IF(E158=0,0,E158*0.03)</f>
        <v>0</v>
      </c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customFormat="false" ht="16.4" hidden="false" customHeight="false" outlineLevel="0" collapsed="false">
      <c r="A159" s="135" t="n">
        <v>45566</v>
      </c>
      <c r="B159" s="31" t="s">
        <v>7</v>
      </c>
      <c r="C159" s="129"/>
      <c r="D159" s="129"/>
      <c r="E159" s="19" t="n">
        <f aca="false">F159*0.03</f>
        <v>0</v>
      </c>
      <c r="F159" s="33" t="n">
        <v>0</v>
      </c>
      <c r="G159" s="131"/>
      <c r="H159" s="35" t="n">
        <v>0</v>
      </c>
      <c r="I159" s="34" t="n">
        <f aca="false">+IF(E159=0,0,E159*0.03)</f>
        <v>0</v>
      </c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customFormat="false" ht="16.4" hidden="false" customHeight="false" outlineLevel="0" collapsed="false">
      <c r="A160" s="135" t="n">
        <v>45566</v>
      </c>
      <c r="B160" s="31" t="s">
        <v>240</v>
      </c>
      <c r="C160" s="129"/>
      <c r="D160" s="129"/>
      <c r="E160" s="19" t="n">
        <f aca="false">F160*0.03</f>
        <v>0</v>
      </c>
      <c r="F160" s="33" t="n">
        <v>0</v>
      </c>
      <c r="G160" s="131"/>
      <c r="H160" s="35" t="n">
        <v>0</v>
      </c>
      <c r="I160" s="34" t="n">
        <f aca="false">+IF(E160=0,0,E160*0.03)</f>
        <v>0</v>
      </c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customFormat="false" ht="16.4" hidden="false" customHeight="false" outlineLevel="0" collapsed="false">
      <c r="A161" s="135" t="n">
        <v>45566</v>
      </c>
      <c r="B161" s="31" t="s">
        <v>153</v>
      </c>
      <c r="C161" s="129"/>
      <c r="D161" s="129"/>
      <c r="E161" s="19" t="n">
        <f aca="false">F161*0.03</f>
        <v>0</v>
      </c>
      <c r="F161" s="33" t="n">
        <v>0</v>
      </c>
      <c r="G161" s="131"/>
      <c r="H161" s="35" t="n">
        <v>0</v>
      </c>
      <c r="I161" s="34" t="n">
        <f aca="false">+IF(E161=0,0,E161*0.03)</f>
        <v>0</v>
      </c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customFormat="false" ht="16.4" hidden="false" customHeight="false" outlineLevel="0" collapsed="false">
      <c r="A162" s="135" t="n">
        <v>45566</v>
      </c>
      <c r="B162" s="31" t="s">
        <v>247</v>
      </c>
      <c r="C162" s="129"/>
      <c r="D162" s="129"/>
      <c r="E162" s="19" t="n">
        <f aca="false">F162*0.03</f>
        <v>0</v>
      </c>
      <c r="F162" s="33" t="n">
        <v>0</v>
      </c>
      <c r="G162" s="131"/>
      <c r="H162" s="35" t="n">
        <v>0</v>
      </c>
      <c r="I162" s="34" t="n">
        <f aca="false">+IF(E162=0,0,E162*0.03)</f>
        <v>0</v>
      </c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customFormat="false" ht="16.4" hidden="false" customHeight="false" outlineLevel="0" collapsed="false">
      <c r="A163" s="135" t="n">
        <v>45566</v>
      </c>
      <c r="B163" s="31" t="s">
        <v>246</v>
      </c>
      <c r="C163" s="129"/>
      <c r="D163" s="129"/>
      <c r="E163" s="19" t="n">
        <f aca="false">F163*0.03</f>
        <v>0</v>
      </c>
      <c r="F163" s="33" t="n">
        <v>0</v>
      </c>
      <c r="G163" s="131"/>
      <c r="H163" s="35" t="n">
        <v>0</v>
      </c>
      <c r="I163" s="34" t="n">
        <f aca="false">+IF(E163=0,0,E163*0.03)</f>
        <v>0</v>
      </c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customFormat="false" ht="16.4" hidden="false" customHeight="false" outlineLevel="0" collapsed="false">
      <c r="A164" s="135" t="n">
        <v>45566</v>
      </c>
      <c r="B164" s="31" t="s">
        <v>239</v>
      </c>
      <c r="C164" s="129"/>
      <c r="D164" s="129"/>
      <c r="E164" s="19" t="n">
        <f aca="false">F164*0.03</f>
        <v>0</v>
      </c>
      <c r="F164" s="33" t="n">
        <v>0</v>
      </c>
      <c r="G164" s="131"/>
      <c r="H164" s="35" t="n">
        <v>0</v>
      </c>
      <c r="I164" s="34" t="n">
        <f aca="false">+IF(E164=0,0,E164*0.03)</f>
        <v>0</v>
      </c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customFormat="false" ht="16.4" hidden="false" customHeight="false" outlineLevel="0" collapsed="false">
      <c r="A165" s="135" t="n">
        <v>45566</v>
      </c>
      <c r="B165" s="31" t="s">
        <v>7</v>
      </c>
      <c r="C165" s="129"/>
      <c r="D165" s="129"/>
      <c r="E165" s="19" t="n">
        <f aca="false">F165*0.03</f>
        <v>0</v>
      </c>
      <c r="F165" s="33" t="n">
        <v>0</v>
      </c>
      <c r="G165" s="131"/>
      <c r="H165" s="35" t="n">
        <v>0</v>
      </c>
      <c r="I165" s="34" t="n">
        <f aca="false">+IF(E165=0,0,E165*0.03)</f>
        <v>0</v>
      </c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customFormat="false" ht="16.4" hidden="false" customHeight="false" outlineLevel="0" collapsed="false">
      <c r="A166" s="135" t="n">
        <v>45566</v>
      </c>
      <c r="B166" s="31" t="s">
        <v>240</v>
      </c>
      <c r="C166" s="129"/>
      <c r="D166" s="129"/>
      <c r="E166" s="19" t="n">
        <f aca="false">F166*0.03</f>
        <v>0</v>
      </c>
      <c r="F166" s="33" t="n">
        <v>0</v>
      </c>
      <c r="G166" s="131"/>
      <c r="H166" s="35" t="n">
        <v>0</v>
      </c>
      <c r="I166" s="34" t="n">
        <f aca="false">+IF(E166=0,0,E166*0.03)</f>
        <v>0</v>
      </c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customFormat="false" ht="16.4" hidden="false" customHeight="false" outlineLevel="0" collapsed="false">
      <c r="A167" s="135" t="n">
        <v>45566</v>
      </c>
      <c r="B167" s="31" t="s">
        <v>153</v>
      </c>
      <c r="C167" s="129"/>
      <c r="D167" s="129"/>
      <c r="E167" s="19" t="n">
        <f aca="false">F167*0.03</f>
        <v>0</v>
      </c>
      <c r="F167" s="33" t="n">
        <v>0</v>
      </c>
      <c r="G167" s="131"/>
      <c r="H167" s="35" t="n">
        <v>0</v>
      </c>
      <c r="I167" s="34" t="n">
        <f aca="false">+IF(E167=0,0,E167*0.03)</f>
        <v>0</v>
      </c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customFormat="false" ht="16.4" hidden="false" customHeight="false" outlineLevel="0" collapsed="false">
      <c r="A168" s="135" t="n">
        <v>45566</v>
      </c>
      <c r="B168" s="31" t="s">
        <v>247</v>
      </c>
      <c r="C168" s="129"/>
      <c r="D168" s="129"/>
      <c r="E168" s="19" t="n">
        <f aca="false">F168*0.03</f>
        <v>0</v>
      </c>
      <c r="F168" s="33" t="n">
        <v>0</v>
      </c>
      <c r="G168" s="131"/>
      <c r="H168" s="35" t="n">
        <v>0</v>
      </c>
      <c r="I168" s="34" t="n">
        <f aca="false">+IF(E168=0,0,E168*0.03)</f>
        <v>0</v>
      </c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customFormat="false" ht="16.4" hidden="false" customHeight="false" outlineLevel="0" collapsed="false">
      <c r="A169" s="135" t="n">
        <v>45566</v>
      </c>
      <c r="B169" s="31" t="s">
        <v>246</v>
      </c>
      <c r="C169" s="129"/>
      <c r="D169" s="129"/>
      <c r="E169" s="19" t="n">
        <f aca="false">F169*0.03</f>
        <v>0</v>
      </c>
      <c r="F169" s="33" t="n">
        <v>0</v>
      </c>
      <c r="G169" s="131"/>
      <c r="H169" s="35" t="n">
        <v>0</v>
      </c>
      <c r="I169" s="34" t="n">
        <f aca="false">+IF(E169=0,0,E169*0.03)</f>
        <v>0</v>
      </c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customFormat="false" ht="16.4" hidden="false" customHeight="false" outlineLevel="0" collapsed="false">
      <c r="A170" s="135" t="n">
        <v>45566</v>
      </c>
      <c r="B170" s="31" t="s">
        <v>239</v>
      </c>
      <c r="C170" s="129"/>
      <c r="D170" s="129"/>
      <c r="E170" s="19" t="n">
        <f aca="false">F170*0.03</f>
        <v>0</v>
      </c>
      <c r="F170" s="33" t="n">
        <v>0</v>
      </c>
      <c r="G170" s="131"/>
      <c r="H170" s="35" t="n">
        <v>0</v>
      </c>
      <c r="I170" s="34" t="n">
        <f aca="false">+IF(E170=0,0,E170*0.03)</f>
        <v>0</v>
      </c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customFormat="false" ht="16.4" hidden="false" customHeight="false" outlineLevel="0" collapsed="false">
      <c r="A171" s="135" t="n">
        <v>45566</v>
      </c>
      <c r="B171" s="31" t="s">
        <v>7</v>
      </c>
      <c r="C171" s="129"/>
      <c r="D171" s="129"/>
      <c r="E171" s="19" t="n">
        <f aca="false">F171*0.03</f>
        <v>0</v>
      </c>
      <c r="F171" s="33" t="n">
        <v>0</v>
      </c>
      <c r="G171" s="131"/>
      <c r="H171" s="35" t="n">
        <v>0</v>
      </c>
      <c r="I171" s="34" t="n">
        <f aca="false">+IF(E171=0,0,E171*0.03)</f>
        <v>0</v>
      </c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customFormat="false" ht="16.4" hidden="false" customHeight="false" outlineLevel="0" collapsed="false">
      <c r="A172" s="135" t="n">
        <v>45566</v>
      </c>
      <c r="B172" s="31" t="s">
        <v>240</v>
      </c>
      <c r="C172" s="129"/>
      <c r="D172" s="129"/>
      <c r="E172" s="19" t="n">
        <f aca="false">F172*0.03</f>
        <v>0</v>
      </c>
      <c r="F172" s="33" t="n">
        <v>0</v>
      </c>
      <c r="G172" s="131"/>
      <c r="H172" s="35" t="n">
        <v>0</v>
      </c>
      <c r="I172" s="34" t="n">
        <f aca="false">+IF(E172=0,0,E172*0.03)</f>
        <v>0</v>
      </c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customFormat="false" ht="16.4" hidden="false" customHeight="false" outlineLevel="0" collapsed="false">
      <c r="A173" s="135" t="n">
        <v>45566</v>
      </c>
      <c r="B173" s="31" t="s">
        <v>153</v>
      </c>
      <c r="C173" s="129"/>
      <c r="D173" s="129"/>
      <c r="E173" s="19" t="n">
        <f aca="false">F173*0.03</f>
        <v>0</v>
      </c>
      <c r="F173" s="33" t="n">
        <v>0</v>
      </c>
      <c r="G173" s="131"/>
      <c r="H173" s="35" t="n">
        <v>0</v>
      </c>
      <c r="I173" s="34" t="n">
        <f aca="false">+IF(E173=0,0,E173*0.03)</f>
        <v>0</v>
      </c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customFormat="false" ht="16.4" hidden="false" customHeight="false" outlineLevel="0" collapsed="false">
      <c r="A174" s="135" t="n">
        <v>45566</v>
      </c>
      <c r="B174" s="31" t="s">
        <v>247</v>
      </c>
      <c r="C174" s="129"/>
      <c r="D174" s="129"/>
      <c r="E174" s="19" t="n">
        <f aca="false">F174*0.03</f>
        <v>0</v>
      </c>
      <c r="F174" s="33" t="n">
        <v>0</v>
      </c>
      <c r="G174" s="131"/>
      <c r="H174" s="35" t="n">
        <v>0</v>
      </c>
      <c r="I174" s="34" t="n">
        <f aca="false">+IF(E174=0,0,E174*0.03)</f>
        <v>0</v>
      </c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customFormat="false" ht="16.4" hidden="false" customHeight="false" outlineLevel="0" collapsed="false">
      <c r="A175" s="135" t="n">
        <v>45566</v>
      </c>
      <c r="B175" s="31" t="s">
        <v>246</v>
      </c>
      <c r="C175" s="129"/>
      <c r="D175" s="129"/>
      <c r="E175" s="19" t="n">
        <f aca="false">F175*0.03</f>
        <v>0</v>
      </c>
      <c r="F175" s="33" t="n">
        <v>0</v>
      </c>
      <c r="G175" s="131"/>
      <c r="H175" s="35" t="n">
        <v>0</v>
      </c>
      <c r="I175" s="34" t="n">
        <f aca="false">+IF(E175=0,0,E175*0.03)</f>
        <v>0</v>
      </c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customFormat="false" ht="16.4" hidden="false" customHeight="false" outlineLevel="0" collapsed="false">
      <c r="A176" s="135" t="n">
        <v>45566</v>
      </c>
      <c r="B176" s="31" t="s">
        <v>239</v>
      </c>
      <c r="C176" s="129"/>
      <c r="D176" s="129"/>
      <c r="E176" s="19" t="n">
        <f aca="false">F176*0.03</f>
        <v>0</v>
      </c>
      <c r="F176" s="33" t="n">
        <v>0</v>
      </c>
      <c r="G176" s="131"/>
      <c r="H176" s="35" t="n">
        <v>0</v>
      </c>
      <c r="I176" s="34" t="n">
        <f aca="false">+IF(E176=0,0,E176*0.03)</f>
        <v>0</v>
      </c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customFormat="false" ht="16.4" hidden="false" customHeight="false" outlineLevel="0" collapsed="false">
      <c r="A177" s="135" t="n">
        <v>45566</v>
      </c>
      <c r="B177" s="31" t="s">
        <v>7</v>
      </c>
      <c r="C177" s="129"/>
      <c r="D177" s="129"/>
      <c r="E177" s="19" t="n">
        <f aca="false">F177*0.03</f>
        <v>0</v>
      </c>
      <c r="F177" s="33" t="n">
        <v>0</v>
      </c>
      <c r="G177" s="131"/>
      <c r="H177" s="35" t="n">
        <v>0</v>
      </c>
      <c r="I177" s="34" t="n">
        <f aca="false">+IF(E177=0,0,E177*0.03)</f>
        <v>0</v>
      </c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customFormat="false" ht="16.4" hidden="false" customHeight="false" outlineLevel="0" collapsed="false">
      <c r="A178" s="135" t="n">
        <v>45566</v>
      </c>
      <c r="B178" s="31" t="s">
        <v>240</v>
      </c>
      <c r="C178" s="129"/>
      <c r="D178" s="129"/>
      <c r="E178" s="19" t="n">
        <f aca="false">F178*0.03</f>
        <v>0</v>
      </c>
      <c r="F178" s="33" t="n">
        <v>0</v>
      </c>
      <c r="G178" s="131"/>
      <c r="H178" s="35" t="n">
        <v>0</v>
      </c>
      <c r="I178" s="34" t="n">
        <f aca="false">+IF(E178=0,0,E178*0.03)</f>
        <v>0</v>
      </c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customFormat="false" ht="16.4" hidden="false" customHeight="false" outlineLevel="0" collapsed="false">
      <c r="A179" s="135" t="n">
        <v>45566</v>
      </c>
      <c r="B179" s="31" t="s">
        <v>153</v>
      </c>
      <c r="C179" s="129"/>
      <c r="D179" s="129"/>
      <c r="E179" s="19" t="n">
        <f aca="false">F179*0.03</f>
        <v>0</v>
      </c>
      <c r="F179" s="33" t="n">
        <v>0</v>
      </c>
      <c r="G179" s="131"/>
      <c r="H179" s="35" t="n">
        <v>0</v>
      </c>
      <c r="I179" s="34" t="n">
        <f aca="false">+IF(E179=0,0,E179*0.03)</f>
        <v>0</v>
      </c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customFormat="false" ht="16.4" hidden="false" customHeight="false" outlineLevel="0" collapsed="false">
      <c r="A180" s="135" t="n">
        <v>45566</v>
      </c>
      <c r="B180" s="31" t="s">
        <v>247</v>
      </c>
      <c r="C180" s="129"/>
      <c r="D180" s="129"/>
      <c r="E180" s="19" t="n">
        <f aca="false">F180*0.03</f>
        <v>0</v>
      </c>
      <c r="F180" s="33" t="n">
        <v>0</v>
      </c>
      <c r="G180" s="131"/>
      <c r="H180" s="35" t="n">
        <v>0</v>
      </c>
      <c r="I180" s="34" t="n">
        <f aca="false">+IF(E180=0,0,E180*0.03)</f>
        <v>0</v>
      </c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customFormat="false" ht="16.4" hidden="false" customHeight="false" outlineLevel="0" collapsed="false">
      <c r="A181" s="135" t="n">
        <v>45566</v>
      </c>
      <c r="B181" s="31" t="s">
        <v>246</v>
      </c>
      <c r="C181" s="129"/>
      <c r="D181" s="129"/>
      <c r="E181" s="19" t="n">
        <f aca="false">F181*0.03</f>
        <v>0</v>
      </c>
      <c r="F181" s="33" t="n">
        <v>0</v>
      </c>
      <c r="G181" s="131"/>
      <c r="H181" s="35" t="n">
        <v>0</v>
      </c>
      <c r="I181" s="34" t="n">
        <f aca="false">+IF(E181=0,0,E181*0.03)</f>
        <v>0</v>
      </c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customFormat="false" ht="16.4" hidden="false" customHeight="false" outlineLevel="0" collapsed="false">
      <c r="A182" s="135" t="n">
        <v>45566</v>
      </c>
      <c r="B182" s="31" t="s">
        <v>239</v>
      </c>
      <c r="C182" s="129"/>
      <c r="D182" s="129"/>
      <c r="E182" s="19" t="n">
        <f aca="false">F182*0.03</f>
        <v>0</v>
      </c>
      <c r="F182" s="33" t="n">
        <v>0</v>
      </c>
      <c r="G182" s="131"/>
      <c r="H182" s="35" t="n">
        <v>0</v>
      </c>
      <c r="I182" s="34" t="n">
        <f aca="false">+IF(E182=0,0,E182*0.03)</f>
        <v>0</v>
      </c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customFormat="false" ht="16.4" hidden="false" customHeight="false" outlineLevel="0" collapsed="false">
      <c r="A183" s="135" t="n">
        <v>45566</v>
      </c>
      <c r="B183" s="31" t="s">
        <v>7</v>
      </c>
      <c r="C183" s="129"/>
      <c r="D183" s="129"/>
      <c r="E183" s="19" t="n">
        <f aca="false">F183*0.03</f>
        <v>0</v>
      </c>
      <c r="F183" s="33" t="n">
        <v>0</v>
      </c>
      <c r="G183" s="131"/>
      <c r="H183" s="35" t="n">
        <v>0</v>
      </c>
      <c r="I183" s="34" t="n">
        <f aca="false">+IF(E183=0,0,E183*0.03)</f>
        <v>0</v>
      </c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customFormat="false" ht="16.4" hidden="false" customHeight="false" outlineLevel="0" collapsed="false">
      <c r="A184" s="135" t="n">
        <v>45566</v>
      </c>
      <c r="B184" s="31" t="s">
        <v>240</v>
      </c>
      <c r="C184" s="129"/>
      <c r="D184" s="129"/>
      <c r="E184" s="19" t="n">
        <f aca="false">F184*0.03</f>
        <v>0</v>
      </c>
      <c r="F184" s="33" t="n">
        <v>0</v>
      </c>
      <c r="G184" s="131"/>
      <c r="H184" s="35" t="n">
        <v>0</v>
      </c>
      <c r="I184" s="34" t="n">
        <f aca="false">+IF(E184=0,0,E184*0.03)</f>
        <v>0</v>
      </c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customFormat="false" ht="16.4" hidden="false" customHeight="false" outlineLevel="0" collapsed="false">
      <c r="A185" s="135" t="n">
        <v>45566</v>
      </c>
      <c r="B185" s="31" t="s">
        <v>153</v>
      </c>
      <c r="C185" s="129"/>
      <c r="D185" s="129"/>
      <c r="E185" s="19" t="n">
        <f aca="false">F185*0.03</f>
        <v>0</v>
      </c>
      <c r="F185" s="33" t="n">
        <v>0</v>
      </c>
      <c r="G185" s="131"/>
      <c r="H185" s="35" t="n">
        <v>0</v>
      </c>
      <c r="I185" s="34" t="n">
        <f aca="false">+IF(E185=0,0,E185*0.03)</f>
        <v>0</v>
      </c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customFormat="false" ht="16.4" hidden="false" customHeight="false" outlineLevel="0" collapsed="false">
      <c r="A186" s="135" t="n">
        <v>45566</v>
      </c>
      <c r="B186" s="31" t="s">
        <v>247</v>
      </c>
      <c r="C186" s="129"/>
      <c r="D186" s="129"/>
      <c r="E186" s="19" t="n">
        <f aca="false">F186*0.03</f>
        <v>0</v>
      </c>
      <c r="F186" s="33" t="n">
        <v>0</v>
      </c>
      <c r="G186" s="131"/>
      <c r="H186" s="35" t="n">
        <v>0</v>
      </c>
      <c r="I186" s="34" t="n">
        <f aca="false">+IF(E186=0,0,E186*0.03)</f>
        <v>0</v>
      </c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customFormat="false" ht="16.4" hidden="false" customHeight="false" outlineLevel="0" collapsed="false">
      <c r="A187" s="135" t="n">
        <v>45566</v>
      </c>
      <c r="B187" s="31" t="s">
        <v>246</v>
      </c>
      <c r="C187" s="129"/>
      <c r="D187" s="129"/>
      <c r="E187" s="19" t="n">
        <f aca="false">F187*0.03</f>
        <v>0</v>
      </c>
      <c r="F187" s="33" t="n">
        <v>0</v>
      </c>
      <c r="G187" s="131"/>
      <c r="H187" s="35" t="n">
        <v>0</v>
      </c>
      <c r="I187" s="34" t="n">
        <f aca="false">+IF(E187=0,0,E187*0.03)</f>
        <v>0</v>
      </c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customFormat="false" ht="16.4" hidden="false" customHeight="false" outlineLevel="0" collapsed="false">
      <c r="A188" s="135" t="n">
        <v>45566</v>
      </c>
      <c r="B188" s="31" t="s">
        <v>239</v>
      </c>
      <c r="C188" s="129"/>
      <c r="D188" s="129"/>
      <c r="E188" s="19" t="n">
        <f aca="false">F188*0.03</f>
        <v>0</v>
      </c>
      <c r="F188" s="33" t="n">
        <v>0</v>
      </c>
      <c r="G188" s="131"/>
      <c r="H188" s="35" t="n">
        <v>0</v>
      </c>
      <c r="I188" s="34" t="n">
        <f aca="false">+IF(E188=0,0,E188*0.03)</f>
        <v>0</v>
      </c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customFormat="false" ht="16.4" hidden="false" customHeight="false" outlineLevel="0" collapsed="false">
      <c r="A189" s="135" t="n">
        <v>45566</v>
      </c>
      <c r="B189" s="31" t="s">
        <v>7</v>
      </c>
      <c r="C189" s="129"/>
      <c r="D189" s="129"/>
      <c r="E189" s="19" t="n">
        <f aca="false">F189*0.03</f>
        <v>0</v>
      </c>
      <c r="F189" s="33" t="n">
        <v>0</v>
      </c>
      <c r="G189" s="131"/>
      <c r="H189" s="35" t="n">
        <v>0</v>
      </c>
      <c r="I189" s="34" t="n">
        <f aca="false">+IF(E189=0,0,E189*0.03)</f>
        <v>0</v>
      </c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customFormat="false" ht="16.4" hidden="false" customHeight="false" outlineLevel="0" collapsed="false">
      <c r="A190" s="135" t="n">
        <v>45566</v>
      </c>
      <c r="B190" s="31" t="s">
        <v>240</v>
      </c>
      <c r="C190" s="129"/>
      <c r="D190" s="129"/>
      <c r="E190" s="19" t="n">
        <f aca="false">F190*0.03</f>
        <v>0</v>
      </c>
      <c r="F190" s="33" t="n">
        <v>0</v>
      </c>
      <c r="G190" s="131"/>
      <c r="H190" s="35" t="n">
        <v>0</v>
      </c>
      <c r="I190" s="34" t="n">
        <f aca="false">+IF(E190=0,0,E190*0.03)</f>
        <v>0</v>
      </c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customFormat="false" ht="16.4" hidden="false" customHeight="false" outlineLevel="0" collapsed="false">
      <c r="A191" s="135" t="n">
        <v>45566</v>
      </c>
      <c r="B191" s="31" t="s">
        <v>153</v>
      </c>
      <c r="C191" s="129"/>
      <c r="D191" s="129"/>
      <c r="E191" s="19" t="n">
        <f aca="false">F191*0.03</f>
        <v>0</v>
      </c>
      <c r="F191" s="33" t="n">
        <v>0</v>
      </c>
      <c r="G191" s="131"/>
      <c r="H191" s="35" t="n">
        <v>0</v>
      </c>
      <c r="I191" s="34" t="n">
        <f aca="false">+IF(E191=0,0,E191*0.03)</f>
        <v>0</v>
      </c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customFormat="false" ht="16.4" hidden="false" customHeight="false" outlineLevel="0" collapsed="false">
      <c r="A192" s="135" t="n">
        <v>45566</v>
      </c>
      <c r="B192" s="31" t="s">
        <v>247</v>
      </c>
      <c r="C192" s="129"/>
      <c r="D192" s="129"/>
      <c r="E192" s="19" t="n">
        <f aca="false">F192*0.03</f>
        <v>0</v>
      </c>
      <c r="F192" s="33" t="n">
        <v>0</v>
      </c>
      <c r="G192" s="131"/>
      <c r="H192" s="35" t="n">
        <v>0</v>
      </c>
      <c r="I192" s="34" t="n">
        <f aca="false">+IF(E192=0,0,E192*0.03)</f>
        <v>0</v>
      </c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customFormat="false" ht="16.4" hidden="false" customHeight="false" outlineLevel="0" collapsed="false">
      <c r="A193" s="135" t="n">
        <v>45566</v>
      </c>
      <c r="B193" s="31" t="s">
        <v>246</v>
      </c>
      <c r="C193" s="129"/>
      <c r="D193" s="129"/>
      <c r="E193" s="19" t="n">
        <f aca="false">F193*0.03</f>
        <v>0</v>
      </c>
      <c r="F193" s="33" t="n">
        <v>0</v>
      </c>
      <c r="G193" s="131"/>
      <c r="H193" s="35" t="n">
        <v>0</v>
      </c>
      <c r="I193" s="34" t="n">
        <f aca="false">+IF(E193=0,0,E193*0.03)</f>
        <v>0</v>
      </c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customFormat="false" ht="16.4" hidden="false" customHeight="false" outlineLevel="0" collapsed="false">
      <c r="A194" s="135" t="n">
        <v>45566</v>
      </c>
      <c r="B194" s="31" t="s">
        <v>239</v>
      </c>
      <c r="C194" s="129"/>
      <c r="D194" s="129"/>
      <c r="E194" s="19" t="n">
        <f aca="false">F194*0.03</f>
        <v>0</v>
      </c>
      <c r="F194" s="33" t="n">
        <v>0</v>
      </c>
      <c r="G194" s="131"/>
      <c r="H194" s="35" t="n">
        <v>0</v>
      </c>
      <c r="I194" s="34" t="n">
        <f aca="false">+IF(E194=0,0,E194*0.03)</f>
        <v>0</v>
      </c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customFormat="false" ht="16.4" hidden="false" customHeight="false" outlineLevel="0" collapsed="false">
      <c r="A195" s="135" t="n">
        <v>45566</v>
      </c>
      <c r="B195" s="31" t="s">
        <v>7</v>
      </c>
      <c r="C195" s="129"/>
      <c r="D195" s="129"/>
      <c r="E195" s="19" t="n">
        <f aca="false">F195*0.03</f>
        <v>0</v>
      </c>
      <c r="F195" s="33" t="n">
        <v>0</v>
      </c>
      <c r="G195" s="131"/>
      <c r="H195" s="35" t="n">
        <v>0</v>
      </c>
      <c r="I195" s="34" t="n">
        <f aca="false">+IF(E195=0,0,E195*0.03)</f>
        <v>0</v>
      </c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customFormat="false" ht="16.4" hidden="false" customHeight="false" outlineLevel="0" collapsed="false">
      <c r="A196" s="135" t="n">
        <v>45566</v>
      </c>
      <c r="B196" s="31" t="s">
        <v>240</v>
      </c>
      <c r="C196" s="129"/>
      <c r="D196" s="129"/>
      <c r="E196" s="19" t="n">
        <f aca="false">F196*0.03</f>
        <v>0</v>
      </c>
      <c r="F196" s="33" t="n">
        <v>0</v>
      </c>
      <c r="G196" s="131"/>
      <c r="H196" s="35" t="n">
        <v>0</v>
      </c>
      <c r="I196" s="34" t="n">
        <f aca="false">+IF(E196=0,0,E196*0.03)</f>
        <v>0</v>
      </c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customFormat="false" ht="16.4" hidden="false" customHeight="false" outlineLevel="0" collapsed="false">
      <c r="A197" s="135" t="n">
        <v>45566</v>
      </c>
      <c r="B197" s="31" t="s">
        <v>153</v>
      </c>
      <c r="C197" s="129"/>
      <c r="D197" s="129"/>
      <c r="E197" s="19" t="n">
        <f aca="false">F197*0.03</f>
        <v>0</v>
      </c>
      <c r="F197" s="33" t="n">
        <v>0</v>
      </c>
      <c r="G197" s="131"/>
      <c r="H197" s="35" t="n">
        <v>0</v>
      </c>
      <c r="I197" s="34" t="n">
        <f aca="false">+IF(E197=0,0,E197*0.03)</f>
        <v>0</v>
      </c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customFormat="false" ht="16.4" hidden="false" customHeight="false" outlineLevel="0" collapsed="false">
      <c r="A198" s="135" t="n">
        <v>45566</v>
      </c>
      <c r="B198" s="31" t="s">
        <v>247</v>
      </c>
      <c r="C198" s="129"/>
      <c r="D198" s="129"/>
      <c r="E198" s="19" t="n">
        <f aca="false">F198*0.03</f>
        <v>0</v>
      </c>
      <c r="F198" s="33" t="n">
        <v>0</v>
      </c>
      <c r="G198" s="131"/>
      <c r="H198" s="35" t="n">
        <v>0</v>
      </c>
      <c r="I198" s="34" t="n">
        <f aca="false">+IF(E198=0,0,E198*0.03)</f>
        <v>0</v>
      </c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customFormat="false" ht="16.4" hidden="false" customHeight="false" outlineLevel="0" collapsed="false">
      <c r="A199" s="135" t="n">
        <v>45566</v>
      </c>
      <c r="B199" s="31" t="s">
        <v>246</v>
      </c>
      <c r="C199" s="129"/>
      <c r="D199" s="129"/>
      <c r="E199" s="19" t="n">
        <f aca="false">F199*0.03</f>
        <v>0</v>
      </c>
      <c r="F199" s="33" t="n">
        <v>0</v>
      </c>
      <c r="G199" s="131"/>
      <c r="H199" s="35" t="n">
        <v>0</v>
      </c>
      <c r="I199" s="34" t="n">
        <f aca="false">+IF(E199=0,0,E199*0.03)</f>
        <v>0</v>
      </c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customFormat="false" ht="16.4" hidden="false" customHeight="false" outlineLevel="0" collapsed="false">
      <c r="A200" s="135" t="n">
        <v>45566</v>
      </c>
      <c r="B200" s="31" t="s">
        <v>239</v>
      </c>
      <c r="C200" s="129"/>
      <c r="D200" s="129"/>
      <c r="E200" s="19" t="n">
        <f aca="false">F200*0.03</f>
        <v>0</v>
      </c>
      <c r="F200" s="33" t="n">
        <v>0</v>
      </c>
      <c r="G200" s="131"/>
      <c r="H200" s="35" t="n">
        <v>0</v>
      </c>
      <c r="I200" s="34" t="n">
        <f aca="false">+IF(E200=0,0,E200*0.03)</f>
        <v>0</v>
      </c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customFormat="false" ht="16.4" hidden="false" customHeight="false" outlineLevel="0" collapsed="false">
      <c r="A201" s="135" t="n">
        <v>45566</v>
      </c>
      <c r="B201" s="31" t="s">
        <v>7</v>
      </c>
      <c r="C201" s="129"/>
      <c r="D201" s="129"/>
      <c r="E201" s="19" t="n">
        <f aca="false">F201*0.03</f>
        <v>0</v>
      </c>
      <c r="F201" s="33" t="n">
        <v>0</v>
      </c>
      <c r="G201" s="131"/>
      <c r="H201" s="35" t="n">
        <v>0</v>
      </c>
      <c r="I201" s="34" t="n">
        <f aca="false">+IF(E201=0,0,E201*0.03)</f>
        <v>0</v>
      </c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customFormat="false" ht="16.4" hidden="false" customHeight="false" outlineLevel="0" collapsed="false">
      <c r="A202" s="135" t="n">
        <v>45566</v>
      </c>
      <c r="B202" s="31" t="s">
        <v>240</v>
      </c>
      <c r="C202" s="129"/>
      <c r="D202" s="129"/>
      <c r="E202" s="19" t="n">
        <f aca="false">F202*0.03</f>
        <v>0</v>
      </c>
      <c r="F202" s="33" t="n">
        <v>0</v>
      </c>
      <c r="G202" s="131"/>
      <c r="H202" s="35" t="n">
        <v>0</v>
      </c>
      <c r="I202" s="34" t="n">
        <f aca="false">+IF(E202=0,0,E202*0.03)</f>
        <v>0</v>
      </c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customFormat="false" ht="16.4" hidden="false" customHeight="false" outlineLevel="0" collapsed="false">
      <c r="A203" s="135" t="n">
        <v>45566</v>
      </c>
      <c r="B203" s="31" t="s">
        <v>153</v>
      </c>
      <c r="C203" s="129"/>
      <c r="D203" s="129"/>
      <c r="E203" s="19" t="n">
        <f aca="false">F203*0.03</f>
        <v>0</v>
      </c>
      <c r="F203" s="33" t="n">
        <v>0</v>
      </c>
      <c r="G203" s="131"/>
      <c r="H203" s="35" t="n">
        <v>0</v>
      </c>
      <c r="I203" s="34" t="n">
        <f aca="false">+IF(E203=0,0,E203*0.03)</f>
        <v>0</v>
      </c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customFormat="false" ht="16.4" hidden="false" customHeight="false" outlineLevel="0" collapsed="false">
      <c r="A204" s="135" t="n">
        <v>45566</v>
      </c>
      <c r="B204" s="31" t="s">
        <v>247</v>
      </c>
      <c r="C204" s="129"/>
      <c r="D204" s="129"/>
      <c r="E204" s="19" t="n">
        <f aca="false">F204*0.03</f>
        <v>0</v>
      </c>
      <c r="F204" s="33" t="n">
        <v>0</v>
      </c>
      <c r="G204" s="131"/>
      <c r="H204" s="35" t="n">
        <v>0</v>
      </c>
      <c r="I204" s="34" t="n">
        <f aca="false">+IF(E204=0,0,E204*0.03)</f>
        <v>0</v>
      </c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customFormat="false" ht="16.4" hidden="false" customHeight="false" outlineLevel="0" collapsed="false">
      <c r="A205" s="135" t="n">
        <v>45566</v>
      </c>
      <c r="B205" s="31" t="s">
        <v>246</v>
      </c>
      <c r="C205" s="129"/>
      <c r="D205" s="129"/>
      <c r="E205" s="19" t="n">
        <f aca="false">F205*0.03</f>
        <v>0</v>
      </c>
      <c r="F205" s="33" t="n">
        <v>0</v>
      </c>
      <c r="G205" s="131"/>
      <c r="H205" s="35" t="n">
        <v>0</v>
      </c>
      <c r="I205" s="34" t="n">
        <f aca="false">+IF(E205=0,0,E205*0.03)</f>
        <v>0</v>
      </c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customFormat="false" ht="16.4" hidden="false" customHeight="false" outlineLevel="0" collapsed="false">
      <c r="A206" s="135" t="n">
        <v>45566</v>
      </c>
      <c r="B206" s="31" t="s">
        <v>239</v>
      </c>
      <c r="C206" s="129"/>
      <c r="D206" s="129"/>
      <c r="E206" s="19" t="n">
        <f aca="false">F206*0.03</f>
        <v>0</v>
      </c>
      <c r="F206" s="33" t="n">
        <v>0</v>
      </c>
      <c r="G206" s="131"/>
      <c r="H206" s="35" t="n">
        <v>0</v>
      </c>
      <c r="I206" s="34" t="n">
        <f aca="false">+IF(E206=0,0,E206*0.03)</f>
        <v>0</v>
      </c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customFormat="false" ht="16.4" hidden="false" customHeight="false" outlineLevel="0" collapsed="false">
      <c r="A207" s="135" t="n">
        <v>45566</v>
      </c>
      <c r="B207" s="31" t="s">
        <v>7</v>
      </c>
      <c r="C207" s="129"/>
      <c r="D207" s="129"/>
      <c r="E207" s="19" t="n">
        <f aca="false">F207*0.03</f>
        <v>0</v>
      </c>
      <c r="F207" s="33" t="n">
        <v>0</v>
      </c>
      <c r="G207" s="131"/>
      <c r="H207" s="35" t="n">
        <v>0</v>
      </c>
      <c r="I207" s="34" t="n">
        <f aca="false">+IF(E207=0,0,E207*0.03)</f>
        <v>0</v>
      </c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customFormat="false" ht="16.4" hidden="false" customHeight="false" outlineLevel="0" collapsed="false">
      <c r="A208" s="135" t="n">
        <v>45566</v>
      </c>
      <c r="B208" s="31" t="s">
        <v>240</v>
      </c>
      <c r="C208" s="129"/>
      <c r="D208" s="129"/>
      <c r="E208" s="19" t="n">
        <f aca="false">F208*0.03</f>
        <v>0</v>
      </c>
      <c r="F208" s="33" t="n">
        <v>0</v>
      </c>
      <c r="G208" s="131"/>
      <c r="H208" s="35" t="n">
        <v>0</v>
      </c>
      <c r="I208" s="34" t="n">
        <f aca="false">+IF(E208=0,0,E208*0.03)</f>
        <v>0</v>
      </c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customFormat="false" ht="16.4" hidden="false" customHeight="false" outlineLevel="0" collapsed="false">
      <c r="A209" s="135" t="n">
        <v>45566</v>
      </c>
      <c r="B209" s="31" t="s">
        <v>153</v>
      </c>
      <c r="C209" s="129"/>
      <c r="D209" s="129"/>
      <c r="E209" s="19" t="n">
        <f aca="false">F209*0.03</f>
        <v>0</v>
      </c>
      <c r="F209" s="33" t="n">
        <v>0</v>
      </c>
      <c r="G209" s="131"/>
      <c r="H209" s="35" t="n">
        <v>0</v>
      </c>
      <c r="I209" s="34" t="n">
        <f aca="false">+IF(E209=0,0,E209*0.03)</f>
        <v>0</v>
      </c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customFormat="false" ht="16.4" hidden="false" customHeight="false" outlineLevel="0" collapsed="false">
      <c r="A210" s="135" t="n">
        <v>45566</v>
      </c>
      <c r="B210" s="31" t="s">
        <v>247</v>
      </c>
      <c r="C210" s="129"/>
      <c r="D210" s="129"/>
      <c r="E210" s="19" t="n">
        <f aca="false">F210*0.03</f>
        <v>0</v>
      </c>
      <c r="F210" s="33" t="n">
        <v>0</v>
      </c>
      <c r="G210" s="131"/>
      <c r="H210" s="35" t="n">
        <v>0</v>
      </c>
      <c r="I210" s="34" t="n">
        <f aca="false">+IF(E210=0,0,E210*0.03)</f>
        <v>0</v>
      </c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customFormat="false" ht="16.4" hidden="false" customHeight="false" outlineLevel="0" collapsed="false">
      <c r="A211" s="135" t="n">
        <v>45566</v>
      </c>
      <c r="B211" s="31" t="s">
        <v>246</v>
      </c>
      <c r="C211" s="129"/>
      <c r="D211" s="129"/>
      <c r="E211" s="19" t="n">
        <f aca="false">F211*0.03</f>
        <v>0</v>
      </c>
      <c r="F211" s="33" t="n">
        <v>0</v>
      </c>
      <c r="G211" s="131"/>
      <c r="H211" s="35" t="n">
        <v>0</v>
      </c>
      <c r="I211" s="34" t="n">
        <f aca="false">+IF(E211=0,0,E211*0.03)</f>
        <v>0</v>
      </c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customFormat="false" ht="16.4" hidden="false" customHeight="false" outlineLevel="0" collapsed="false">
      <c r="A212" s="135" t="n">
        <v>45566</v>
      </c>
      <c r="B212" s="31" t="s">
        <v>239</v>
      </c>
      <c r="C212" s="129"/>
      <c r="D212" s="129"/>
      <c r="E212" s="19" t="n">
        <f aca="false">F212*0.03</f>
        <v>0</v>
      </c>
      <c r="F212" s="33" t="n">
        <v>0</v>
      </c>
      <c r="G212" s="131"/>
      <c r="H212" s="35" t="n">
        <v>0</v>
      </c>
      <c r="I212" s="34" t="n">
        <f aca="false">+IF(E212=0,0,E212*0.03)</f>
        <v>0</v>
      </c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customFormat="false" ht="16.4" hidden="false" customHeight="false" outlineLevel="0" collapsed="false">
      <c r="A213" s="135" t="n">
        <v>45566</v>
      </c>
      <c r="B213" s="31" t="s">
        <v>7</v>
      </c>
      <c r="C213" s="129"/>
      <c r="D213" s="129"/>
      <c r="E213" s="19" t="n">
        <f aca="false">F213*0.03</f>
        <v>0</v>
      </c>
      <c r="F213" s="33" t="n">
        <v>0</v>
      </c>
      <c r="G213" s="131"/>
      <c r="H213" s="35" t="n">
        <v>0</v>
      </c>
      <c r="I213" s="34" t="n">
        <f aca="false">+IF(E213=0,0,E213*0.03)</f>
        <v>0</v>
      </c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customFormat="false" ht="16.4" hidden="false" customHeight="false" outlineLevel="0" collapsed="false">
      <c r="A214" s="135" t="n">
        <v>45566</v>
      </c>
      <c r="B214" s="31" t="s">
        <v>240</v>
      </c>
      <c r="C214" s="129"/>
      <c r="D214" s="129"/>
      <c r="E214" s="19" t="n">
        <f aca="false">F214*0.03</f>
        <v>0</v>
      </c>
      <c r="F214" s="33" t="n">
        <v>0</v>
      </c>
      <c r="G214" s="131"/>
      <c r="H214" s="35" t="n">
        <v>0</v>
      </c>
      <c r="I214" s="34" t="n">
        <f aca="false">+IF(E214=0,0,E214*0.03)</f>
        <v>0</v>
      </c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customFormat="false" ht="16.4" hidden="false" customHeight="false" outlineLevel="0" collapsed="false">
      <c r="A215" s="135" t="n">
        <v>45566</v>
      </c>
      <c r="B215" s="31" t="s">
        <v>153</v>
      </c>
      <c r="C215" s="129"/>
      <c r="D215" s="129"/>
      <c r="E215" s="19" t="n">
        <f aca="false">F215*0.03</f>
        <v>0</v>
      </c>
      <c r="F215" s="33" t="n">
        <v>0</v>
      </c>
      <c r="G215" s="131"/>
      <c r="H215" s="35" t="n">
        <v>0</v>
      </c>
      <c r="I215" s="34" t="n">
        <f aca="false">+IF(E215=0,0,E215*0.03)</f>
        <v>0</v>
      </c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customFormat="false" ht="16.4" hidden="false" customHeight="false" outlineLevel="0" collapsed="false">
      <c r="A216" s="135" t="n">
        <v>45566</v>
      </c>
      <c r="B216" s="31" t="s">
        <v>247</v>
      </c>
      <c r="C216" s="129"/>
      <c r="D216" s="129"/>
      <c r="E216" s="19" t="n">
        <f aca="false">F216*0.03</f>
        <v>0</v>
      </c>
      <c r="F216" s="33" t="n">
        <v>0</v>
      </c>
      <c r="G216" s="131"/>
      <c r="H216" s="35" t="n">
        <v>0</v>
      </c>
      <c r="I216" s="34" t="n">
        <f aca="false">+IF(E216=0,0,E216*0.03)</f>
        <v>0</v>
      </c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customFormat="false" ht="16.4" hidden="false" customHeight="false" outlineLevel="0" collapsed="false">
      <c r="A217" s="135" t="n">
        <v>45566</v>
      </c>
      <c r="B217" s="31" t="s">
        <v>246</v>
      </c>
      <c r="C217" s="129"/>
      <c r="D217" s="129"/>
      <c r="E217" s="19" t="n">
        <f aca="false">F217*0.03</f>
        <v>0</v>
      </c>
      <c r="F217" s="33" t="n">
        <v>0</v>
      </c>
      <c r="G217" s="131"/>
      <c r="H217" s="35" t="n">
        <v>0</v>
      </c>
      <c r="I217" s="34" t="n">
        <f aca="false">+IF(E217=0,0,E217*0.03)</f>
        <v>0</v>
      </c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customFormat="false" ht="16.4" hidden="false" customHeight="false" outlineLevel="0" collapsed="false">
      <c r="A218" s="135" t="n">
        <v>45566</v>
      </c>
      <c r="B218" s="31" t="s">
        <v>239</v>
      </c>
      <c r="C218" s="129"/>
      <c r="D218" s="129"/>
      <c r="E218" s="19" t="n">
        <f aca="false">F218*0.03</f>
        <v>0</v>
      </c>
      <c r="F218" s="33" t="n">
        <v>0</v>
      </c>
      <c r="G218" s="131"/>
      <c r="H218" s="35" t="n">
        <v>0</v>
      </c>
      <c r="I218" s="34" t="n">
        <f aca="false">+IF(E218=0,0,E218*0.03)</f>
        <v>0</v>
      </c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customFormat="false" ht="16.4" hidden="false" customHeight="false" outlineLevel="0" collapsed="false">
      <c r="A219" s="135" t="n">
        <v>45566</v>
      </c>
      <c r="B219" s="31" t="s">
        <v>7</v>
      </c>
      <c r="C219" s="129"/>
      <c r="D219" s="129"/>
      <c r="E219" s="19" t="n">
        <f aca="false">F219*0.03</f>
        <v>0</v>
      </c>
      <c r="F219" s="33" t="n">
        <v>0</v>
      </c>
      <c r="G219" s="131"/>
      <c r="H219" s="35" t="n">
        <v>0</v>
      </c>
      <c r="I219" s="34" t="n">
        <f aca="false">+IF(E219=0,0,E219*0.03)</f>
        <v>0</v>
      </c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customFormat="false" ht="16.4" hidden="false" customHeight="false" outlineLevel="0" collapsed="false">
      <c r="A220" s="135" t="n">
        <v>45566</v>
      </c>
      <c r="B220" s="31" t="s">
        <v>240</v>
      </c>
      <c r="C220" s="129"/>
      <c r="D220" s="129"/>
      <c r="E220" s="19" t="n">
        <f aca="false">F220*0.03</f>
        <v>0</v>
      </c>
      <c r="F220" s="33" t="n">
        <v>0</v>
      </c>
      <c r="G220" s="131"/>
      <c r="H220" s="35" t="n">
        <v>0</v>
      </c>
      <c r="I220" s="34" t="n">
        <f aca="false">+IF(E220=0,0,E220*0.03)</f>
        <v>0</v>
      </c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customFormat="false" ht="16.4" hidden="false" customHeight="false" outlineLevel="0" collapsed="false">
      <c r="A221" s="135" t="n">
        <v>45566</v>
      </c>
      <c r="B221" s="31" t="s">
        <v>153</v>
      </c>
      <c r="C221" s="129"/>
      <c r="D221" s="129"/>
      <c r="E221" s="19" t="n">
        <f aca="false">F221*0.03</f>
        <v>0</v>
      </c>
      <c r="F221" s="33" t="n">
        <v>0</v>
      </c>
      <c r="G221" s="131"/>
      <c r="H221" s="35" t="n">
        <v>0</v>
      </c>
      <c r="I221" s="34" t="n">
        <f aca="false">+IF(E221=0,0,E221*0.03)</f>
        <v>0</v>
      </c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customFormat="false" ht="16.4" hidden="false" customHeight="false" outlineLevel="0" collapsed="false">
      <c r="A222" s="135" t="n">
        <v>45566</v>
      </c>
      <c r="B222" s="31" t="s">
        <v>247</v>
      </c>
      <c r="C222" s="129"/>
      <c r="D222" s="129"/>
      <c r="E222" s="19" t="n">
        <f aca="false">F222*0.03</f>
        <v>0</v>
      </c>
      <c r="F222" s="33" t="n">
        <v>0</v>
      </c>
      <c r="G222" s="131"/>
      <c r="H222" s="35" t="n">
        <v>0</v>
      </c>
      <c r="I222" s="34" t="n">
        <f aca="false">+IF(E222=0,0,E222*0.03)</f>
        <v>0</v>
      </c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customFormat="false" ht="16.4" hidden="false" customHeight="false" outlineLevel="0" collapsed="false">
      <c r="A223" s="135" t="n">
        <v>45566</v>
      </c>
      <c r="B223" s="31" t="s">
        <v>246</v>
      </c>
      <c r="C223" s="129"/>
      <c r="D223" s="129"/>
      <c r="E223" s="19" t="n">
        <f aca="false">F223*0.03</f>
        <v>0</v>
      </c>
      <c r="F223" s="33" t="n">
        <v>0</v>
      </c>
      <c r="G223" s="131"/>
      <c r="H223" s="35" t="n">
        <v>0</v>
      </c>
      <c r="I223" s="34" t="n">
        <f aca="false">+IF(E223=0,0,E223*0.03)</f>
        <v>0</v>
      </c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customFormat="false" ht="16.4" hidden="false" customHeight="false" outlineLevel="0" collapsed="false">
      <c r="A224" s="135" t="n">
        <v>45566</v>
      </c>
      <c r="B224" s="31" t="s">
        <v>239</v>
      </c>
      <c r="C224" s="129"/>
      <c r="D224" s="129"/>
      <c r="E224" s="19" t="n">
        <f aca="false">F224*0.03</f>
        <v>0</v>
      </c>
      <c r="F224" s="33" t="n">
        <v>0</v>
      </c>
      <c r="G224" s="131"/>
      <c r="H224" s="35" t="n">
        <v>0</v>
      </c>
      <c r="I224" s="34" t="n">
        <f aca="false">+IF(E224=0,0,E224*0.03)</f>
        <v>0</v>
      </c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customFormat="false" ht="16.4" hidden="false" customHeight="false" outlineLevel="0" collapsed="false">
      <c r="A225" s="135" t="n">
        <v>45566</v>
      </c>
      <c r="B225" s="31" t="s">
        <v>7</v>
      </c>
      <c r="C225" s="129"/>
      <c r="D225" s="129"/>
      <c r="E225" s="19" t="n">
        <f aca="false">F225*0.03</f>
        <v>0</v>
      </c>
      <c r="F225" s="33" t="n">
        <v>0</v>
      </c>
      <c r="G225" s="131"/>
      <c r="H225" s="35" t="n">
        <v>0</v>
      </c>
      <c r="I225" s="34" t="n">
        <f aca="false">+IF(E225=0,0,E225*0.03)</f>
        <v>0</v>
      </c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customFormat="false" ht="16.4" hidden="false" customHeight="false" outlineLevel="0" collapsed="false">
      <c r="A226" s="135" t="n">
        <v>45566</v>
      </c>
      <c r="B226" s="31" t="s">
        <v>240</v>
      </c>
      <c r="C226" s="129"/>
      <c r="D226" s="129"/>
      <c r="E226" s="19" t="n">
        <f aca="false">F226*0.03</f>
        <v>0</v>
      </c>
      <c r="F226" s="33" t="n">
        <v>0</v>
      </c>
      <c r="G226" s="131"/>
      <c r="H226" s="35" t="n">
        <v>0</v>
      </c>
      <c r="I226" s="34" t="n">
        <f aca="false">+IF(E226=0,0,E226*0.03)</f>
        <v>0</v>
      </c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customFormat="false" ht="16.4" hidden="false" customHeight="false" outlineLevel="0" collapsed="false">
      <c r="A227" s="135" t="n">
        <v>45566</v>
      </c>
      <c r="B227" s="31" t="s">
        <v>153</v>
      </c>
      <c r="C227" s="129"/>
      <c r="D227" s="129"/>
      <c r="E227" s="19" t="n">
        <f aca="false">F227*0.03</f>
        <v>0</v>
      </c>
      <c r="F227" s="33" t="n">
        <v>0</v>
      </c>
      <c r="G227" s="131"/>
      <c r="H227" s="35" t="n">
        <v>0</v>
      </c>
      <c r="I227" s="34" t="n">
        <f aca="false">+IF(E227=0,0,E227*0.03)</f>
        <v>0</v>
      </c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customFormat="false" ht="16.4" hidden="false" customHeight="false" outlineLevel="0" collapsed="false">
      <c r="A228" s="135" t="n">
        <v>45566</v>
      </c>
      <c r="B228" s="31" t="s">
        <v>247</v>
      </c>
      <c r="C228" s="129"/>
      <c r="D228" s="129"/>
      <c r="E228" s="19" t="n">
        <f aca="false">F228*0.03</f>
        <v>0</v>
      </c>
      <c r="F228" s="33" t="n">
        <v>0</v>
      </c>
      <c r="G228" s="131"/>
      <c r="H228" s="35" t="n">
        <v>0</v>
      </c>
      <c r="I228" s="34" t="n">
        <f aca="false">+IF(E228=0,0,E228*0.03)</f>
        <v>0</v>
      </c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customFormat="false" ht="16.4" hidden="false" customHeight="false" outlineLevel="0" collapsed="false">
      <c r="A229" s="135" t="n">
        <v>45566</v>
      </c>
      <c r="B229" s="31" t="s">
        <v>246</v>
      </c>
      <c r="C229" s="129"/>
      <c r="D229" s="129"/>
      <c r="E229" s="19" t="n">
        <f aca="false">F229*0.03</f>
        <v>0</v>
      </c>
      <c r="F229" s="33" t="n">
        <v>0</v>
      </c>
      <c r="G229" s="131"/>
      <c r="H229" s="35" t="n">
        <v>0</v>
      </c>
      <c r="I229" s="34" t="n">
        <f aca="false">+IF(E229=0,0,E229*0.03)</f>
        <v>0</v>
      </c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customFormat="false" ht="16.4" hidden="false" customHeight="false" outlineLevel="0" collapsed="false">
      <c r="A230" s="135" t="n">
        <v>45566</v>
      </c>
      <c r="B230" s="31" t="s">
        <v>239</v>
      </c>
      <c r="C230" s="129"/>
      <c r="D230" s="129"/>
      <c r="E230" s="19" t="n">
        <f aca="false">F230*0.03</f>
        <v>0</v>
      </c>
      <c r="F230" s="33" t="n">
        <v>0</v>
      </c>
      <c r="G230" s="131"/>
      <c r="H230" s="35" t="n">
        <v>0</v>
      </c>
      <c r="I230" s="34" t="n">
        <f aca="false">+IF(E230=0,0,E230*0.03)</f>
        <v>0</v>
      </c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customFormat="false" ht="16.4" hidden="false" customHeight="false" outlineLevel="0" collapsed="false">
      <c r="A231" s="135" t="n">
        <v>45566</v>
      </c>
      <c r="B231" s="31" t="s">
        <v>7</v>
      </c>
      <c r="C231" s="129"/>
      <c r="D231" s="129"/>
      <c r="E231" s="19" t="n">
        <f aca="false">F231*0.03</f>
        <v>0</v>
      </c>
      <c r="F231" s="33" t="n">
        <v>0</v>
      </c>
      <c r="G231" s="131"/>
      <c r="H231" s="35" t="n">
        <v>0</v>
      </c>
      <c r="I231" s="34" t="n">
        <f aca="false">+IF(E231=0,0,E231*0.03)</f>
        <v>0</v>
      </c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customFormat="false" ht="16.4" hidden="false" customHeight="false" outlineLevel="0" collapsed="false">
      <c r="A232" s="135" t="n">
        <v>45566</v>
      </c>
      <c r="B232" s="31" t="s">
        <v>240</v>
      </c>
      <c r="C232" s="129"/>
      <c r="D232" s="129"/>
      <c r="E232" s="19" t="n">
        <f aca="false">F232*0.03</f>
        <v>0</v>
      </c>
      <c r="F232" s="33" t="n">
        <v>0</v>
      </c>
      <c r="G232" s="131"/>
      <c r="H232" s="35" t="n">
        <v>0</v>
      </c>
      <c r="I232" s="34" t="n">
        <f aca="false">+IF(E232=0,0,E232*0.03)</f>
        <v>0</v>
      </c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customFormat="false" ht="16.4" hidden="false" customHeight="false" outlineLevel="0" collapsed="false">
      <c r="A233" s="135" t="n">
        <v>45566</v>
      </c>
      <c r="B233" s="31" t="s">
        <v>153</v>
      </c>
      <c r="C233" s="129"/>
      <c r="D233" s="129"/>
      <c r="E233" s="19" t="n">
        <f aca="false">F233*0.03</f>
        <v>0</v>
      </c>
      <c r="F233" s="33" t="n">
        <v>0</v>
      </c>
      <c r="G233" s="131"/>
      <c r="H233" s="35" t="n">
        <v>0</v>
      </c>
      <c r="I233" s="34" t="n">
        <f aca="false">+IF(E233=0,0,E233*0.03)</f>
        <v>0</v>
      </c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customFormat="false" ht="16.4" hidden="false" customHeight="false" outlineLevel="0" collapsed="false">
      <c r="A234" s="135" t="n">
        <v>45566</v>
      </c>
      <c r="B234" s="31" t="s">
        <v>247</v>
      </c>
      <c r="C234" s="129"/>
      <c r="D234" s="129"/>
      <c r="E234" s="19" t="n">
        <f aca="false">F234*0.03</f>
        <v>0</v>
      </c>
      <c r="F234" s="33" t="n">
        <v>0</v>
      </c>
      <c r="G234" s="131"/>
      <c r="H234" s="35" t="n">
        <v>0</v>
      </c>
      <c r="I234" s="34" t="n">
        <f aca="false">+IF(E234=0,0,E234*0.03)</f>
        <v>0</v>
      </c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customFormat="false" ht="16.4" hidden="false" customHeight="false" outlineLevel="0" collapsed="false">
      <c r="A235" s="135" t="n">
        <v>45566</v>
      </c>
      <c r="B235" s="31" t="s">
        <v>246</v>
      </c>
      <c r="C235" s="129"/>
      <c r="D235" s="129"/>
      <c r="E235" s="19" t="n">
        <f aca="false">F235*0.03</f>
        <v>0</v>
      </c>
      <c r="F235" s="33" t="n">
        <v>0</v>
      </c>
      <c r="G235" s="131"/>
      <c r="H235" s="35" t="n">
        <v>0</v>
      </c>
      <c r="I235" s="34" t="n">
        <f aca="false">+IF(E235=0,0,E235*0.03)</f>
        <v>0</v>
      </c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customFormat="false" ht="16.4" hidden="false" customHeight="false" outlineLevel="0" collapsed="false">
      <c r="A236" s="135" t="n">
        <v>45566</v>
      </c>
      <c r="B236" s="31" t="s">
        <v>239</v>
      </c>
      <c r="C236" s="129"/>
      <c r="D236" s="129"/>
      <c r="E236" s="19" t="n">
        <f aca="false">F236*0.03</f>
        <v>0</v>
      </c>
      <c r="F236" s="33" t="n">
        <v>0</v>
      </c>
      <c r="G236" s="131"/>
      <c r="H236" s="35" t="n">
        <v>0</v>
      </c>
      <c r="I236" s="34" t="n">
        <f aca="false">+IF(E236=0,0,E236*0.03)</f>
        <v>0</v>
      </c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customFormat="false" ht="16.4" hidden="false" customHeight="false" outlineLevel="0" collapsed="false">
      <c r="A237" s="135" t="n">
        <v>45566</v>
      </c>
      <c r="B237" s="31" t="s">
        <v>7</v>
      </c>
      <c r="C237" s="129"/>
      <c r="D237" s="129"/>
      <c r="E237" s="19" t="n">
        <f aca="false">F237*0.03</f>
        <v>0</v>
      </c>
      <c r="F237" s="33" t="n">
        <v>0</v>
      </c>
      <c r="G237" s="131"/>
      <c r="H237" s="35" t="n">
        <v>0</v>
      </c>
      <c r="I237" s="34" t="n">
        <f aca="false">+IF(E237=0,0,E237*0.03)</f>
        <v>0</v>
      </c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customFormat="false" ht="16.4" hidden="false" customHeight="false" outlineLevel="0" collapsed="false">
      <c r="A238" s="135" t="n">
        <v>45566</v>
      </c>
      <c r="B238" s="31" t="s">
        <v>240</v>
      </c>
      <c r="C238" s="129"/>
      <c r="D238" s="129"/>
      <c r="E238" s="19" t="n">
        <f aca="false">F238*0.03</f>
        <v>0</v>
      </c>
      <c r="F238" s="33" t="n">
        <v>0</v>
      </c>
      <c r="G238" s="131"/>
      <c r="H238" s="35" t="n">
        <v>0</v>
      </c>
      <c r="I238" s="34" t="n">
        <f aca="false">+IF(E238=0,0,E238*0.03)</f>
        <v>0</v>
      </c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customFormat="false" ht="16.4" hidden="false" customHeight="false" outlineLevel="0" collapsed="false">
      <c r="A239" s="135" t="n">
        <v>45566</v>
      </c>
      <c r="B239" s="31" t="s">
        <v>153</v>
      </c>
      <c r="C239" s="129"/>
      <c r="D239" s="129"/>
      <c r="E239" s="19" t="n">
        <f aca="false">F239*0.03</f>
        <v>0</v>
      </c>
      <c r="F239" s="33" t="n">
        <v>0</v>
      </c>
      <c r="G239" s="131"/>
      <c r="H239" s="35" t="n">
        <v>0</v>
      </c>
      <c r="I239" s="34" t="n">
        <f aca="false">+IF(E239=0,0,E239*0.03)</f>
        <v>0</v>
      </c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customFormat="false" ht="16.4" hidden="false" customHeight="false" outlineLevel="0" collapsed="false">
      <c r="A240" s="135" t="n">
        <v>45566</v>
      </c>
      <c r="B240" s="31" t="s">
        <v>247</v>
      </c>
      <c r="C240" s="129"/>
      <c r="D240" s="129"/>
      <c r="E240" s="19" t="n">
        <f aca="false">F240*0.03</f>
        <v>0</v>
      </c>
      <c r="F240" s="33" t="n">
        <v>0</v>
      </c>
      <c r="G240" s="131"/>
      <c r="H240" s="35" t="n">
        <v>0</v>
      </c>
      <c r="I240" s="34" t="n">
        <f aca="false">+IF(E240=0,0,E240*0.03)</f>
        <v>0</v>
      </c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customFormat="false" ht="16.4" hidden="false" customHeight="false" outlineLevel="0" collapsed="false">
      <c r="A241" s="135" t="n">
        <v>45566</v>
      </c>
      <c r="B241" s="31" t="s">
        <v>246</v>
      </c>
      <c r="C241" s="129"/>
      <c r="D241" s="129"/>
      <c r="E241" s="19" t="n">
        <f aca="false">F241*0.03</f>
        <v>0</v>
      </c>
      <c r="F241" s="33" t="n">
        <v>0</v>
      </c>
      <c r="G241" s="131"/>
      <c r="H241" s="35" t="n">
        <v>0</v>
      </c>
      <c r="I241" s="34" t="n">
        <f aca="false">+IF(E241=0,0,E241*0.03)</f>
        <v>0</v>
      </c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customFormat="false" ht="16.4" hidden="false" customHeight="false" outlineLevel="0" collapsed="false">
      <c r="A242" s="135" t="n">
        <v>45566</v>
      </c>
      <c r="B242" s="31" t="s">
        <v>239</v>
      </c>
      <c r="C242" s="129"/>
      <c r="D242" s="129"/>
      <c r="E242" s="19" t="n">
        <f aca="false">F242*0.03</f>
        <v>0</v>
      </c>
      <c r="F242" s="33" t="n">
        <v>0</v>
      </c>
      <c r="G242" s="131"/>
      <c r="H242" s="35" t="n">
        <v>0</v>
      </c>
      <c r="I242" s="34" t="n">
        <f aca="false">+IF(E242=0,0,E242*0.03)</f>
        <v>0</v>
      </c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customFormat="false" ht="16.4" hidden="false" customHeight="false" outlineLevel="0" collapsed="false">
      <c r="A243" s="135" t="n">
        <v>45566</v>
      </c>
      <c r="B243" s="31" t="s">
        <v>7</v>
      </c>
      <c r="C243" s="129"/>
      <c r="D243" s="129"/>
      <c r="E243" s="19" t="n">
        <f aca="false">F243*0.03</f>
        <v>0</v>
      </c>
      <c r="F243" s="33" t="n">
        <v>0</v>
      </c>
      <c r="G243" s="131"/>
      <c r="H243" s="35" t="n">
        <v>0</v>
      </c>
      <c r="I243" s="34" t="n">
        <f aca="false">+IF(E243=0,0,E243*0.03)</f>
        <v>0</v>
      </c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customFormat="false" ht="16.4" hidden="false" customHeight="false" outlineLevel="0" collapsed="false">
      <c r="A244" s="135" t="n">
        <v>45566</v>
      </c>
      <c r="B244" s="31" t="s">
        <v>240</v>
      </c>
      <c r="C244" s="129"/>
      <c r="D244" s="129"/>
      <c r="E244" s="19" t="n">
        <f aca="false">F244*0.03</f>
        <v>0</v>
      </c>
      <c r="F244" s="33" t="n">
        <v>0</v>
      </c>
      <c r="G244" s="131"/>
      <c r="H244" s="35" t="n">
        <v>0</v>
      </c>
      <c r="I244" s="34" t="n">
        <f aca="false">+IF(E244=0,0,E244*0.03)</f>
        <v>0</v>
      </c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customFormat="false" ht="16.4" hidden="false" customHeight="false" outlineLevel="0" collapsed="false">
      <c r="A245" s="135" t="n">
        <v>45566</v>
      </c>
      <c r="B245" s="31" t="s">
        <v>153</v>
      </c>
      <c r="C245" s="129"/>
      <c r="D245" s="129"/>
      <c r="E245" s="19" t="n">
        <f aca="false">F245*0.03</f>
        <v>0</v>
      </c>
      <c r="F245" s="33" t="n">
        <v>0</v>
      </c>
      <c r="G245" s="131"/>
      <c r="H245" s="35" t="n">
        <v>0</v>
      </c>
      <c r="I245" s="34" t="n">
        <f aca="false">+IF(E245=0,0,E245*0.03)</f>
        <v>0</v>
      </c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customFormat="false" ht="16.4" hidden="false" customHeight="false" outlineLevel="0" collapsed="false">
      <c r="A246" s="135" t="n">
        <v>45566</v>
      </c>
      <c r="B246" s="31" t="s">
        <v>247</v>
      </c>
      <c r="C246" s="129"/>
      <c r="D246" s="129"/>
      <c r="E246" s="19" t="n">
        <f aca="false">F246*0.03</f>
        <v>0</v>
      </c>
      <c r="F246" s="33" t="n">
        <v>0</v>
      </c>
      <c r="G246" s="131"/>
      <c r="H246" s="35" t="n">
        <v>0</v>
      </c>
      <c r="I246" s="34" t="n">
        <f aca="false">+IF(E246=0,0,E246*0.03)</f>
        <v>0</v>
      </c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customFormat="false" ht="16.4" hidden="false" customHeight="false" outlineLevel="0" collapsed="false">
      <c r="A247" s="135" t="n">
        <v>45566</v>
      </c>
      <c r="B247" s="31" t="s">
        <v>246</v>
      </c>
      <c r="C247" s="129"/>
      <c r="D247" s="129"/>
      <c r="E247" s="19" t="n">
        <f aca="false">F247*0.03</f>
        <v>0</v>
      </c>
      <c r="F247" s="33" t="n">
        <v>0</v>
      </c>
      <c r="G247" s="131"/>
      <c r="H247" s="35" t="n">
        <v>0</v>
      </c>
      <c r="I247" s="34" t="n">
        <f aca="false">+IF(E247=0,0,E247*0.03)</f>
        <v>0</v>
      </c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customFormat="false" ht="16.4" hidden="false" customHeight="false" outlineLevel="0" collapsed="false">
      <c r="A248" s="135" t="n">
        <v>45566</v>
      </c>
      <c r="B248" s="31" t="s">
        <v>239</v>
      </c>
      <c r="C248" s="129"/>
      <c r="D248" s="129"/>
      <c r="E248" s="19" t="n">
        <f aca="false">F248*0.03</f>
        <v>0</v>
      </c>
      <c r="F248" s="33" t="n">
        <v>0</v>
      </c>
      <c r="G248" s="131"/>
      <c r="H248" s="35" t="n">
        <v>0</v>
      </c>
      <c r="I248" s="34" t="n">
        <f aca="false">+IF(E248=0,0,E248*0.03)</f>
        <v>0</v>
      </c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customFormat="false" ht="16.4" hidden="false" customHeight="false" outlineLevel="0" collapsed="false">
      <c r="A249" s="135" t="n">
        <v>45566</v>
      </c>
      <c r="B249" s="31" t="s">
        <v>7</v>
      </c>
      <c r="C249" s="129"/>
      <c r="D249" s="129"/>
      <c r="E249" s="19" t="n">
        <f aca="false">F249*0.03</f>
        <v>0</v>
      </c>
      <c r="F249" s="33" t="n">
        <v>0</v>
      </c>
      <c r="G249" s="131"/>
      <c r="H249" s="35" t="n">
        <v>0</v>
      </c>
      <c r="I249" s="34" t="n">
        <f aca="false">+IF(E249=0,0,E249*0.03)</f>
        <v>0</v>
      </c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customFormat="false" ht="16.4" hidden="false" customHeight="false" outlineLevel="0" collapsed="false">
      <c r="A250" s="135" t="n">
        <v>45566</v>
      </c>
      <c r="B250" s="31" t="s">
        <v>240</v>
      </c>
      <c r="C250" s="129"/>
      <c r="D250" s="129"/>
      <c r="E250" s="19" t="n">
        <f aca="false">F250*0.03</f>
        <v>0</v>
      </c>
      <c r="F250" s="33" t="n">
        <v>0</v>
      </c>
      <c r="G250" s="131"/>
      <c r="H250" s="35" t="n">
        <v>0</v>
      </c>
      <c r="I250" s="34" t="n">
        <f aca="false">+IF(E250=0,0,E250*0.03)</f>
        <v>0</v>
      </c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customFormat="false" ht="16.4" hidden="false" customHeight="false" outlineLevel="0" collapsed="false">
      <c r="A251" s="135" t="n">
        <v>45566</v>
      </c>
      <c r="B251" s="31" t="s">
        <v>153</v>
      </c>
      <c r="C251" s="129"/>
      <c r="D251" s="129"/>
      <c r="E251" s="19" t="n">
        <f aca="false">F251*0.03</f>
        <v>0</v>
      </c>
      <c r="F251" s="33" t="n">
        <v>0</v>
      </c>
      <c r="G251" s="131"/>
      <c r="H251" s="35" t="n">
        <v>0</v>
      </c>
      <c r="I251" s="34" t="n">
        <f aca="false">+IF(E251=0,0,E251*0.03)</f>
        <v>0</v>
      </c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customFormat="false" ht="16.4" hidden="false" customHeight="false" outlineLevel="0" collapsed="false">
      <c r="A252" s="135" t="n">
        <v>45566</v>
      </c>
      <c r="B252" s="31" t="s">
        <v>247</v>
      </c>
      <c r="C252" s="129"/>
      <c r="D252" s="129"/>
      <c r="E252" s="19" t="n">
        <f aca="false">F252*0.03</f>
        <v>0</v>
      </c>
      <c r="F252" s="33" t="n">
        <v>0</v>
      </c>
      <c r="G252" s="131"/>
      <c r="H252" s="35" t="n">
        <v>0</v>
      </c>
      <c r="I252" s="34" t="n">
        <f aca="false">+IF(E252=0,0,E252*0.03)</f>
        <v>0</v>
      </c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customFormat="false" ht="16.4" hidden="false" customHeight="false" outlineLevel="0" collapsed="false">
      <c r="A253" s="135" t="n">
        <v>45566</v>
      </c>
      <c r="B253" s="31" t="s">
        <v>246</v>
      </c>
      <c r="C253" s="129"/>
      <c r="D253" s="129"/>
      <c r="E253" s="19" t="n">
        <f aca="false">F253*0.03</f>
        <v>0</v>
      </c>
      <c r="F253" s="33" t="n">
        <v>0</v>
      </c>
      <c r="G253" s="131"/>
      <c r="H253" s="35" t="n">
        <v>0</v>
      </c>
      <c r="I253" s="34" t="n">
        <f aca="false">+IF(E253=0,0,E253*0.03)</f>
        <v>0</v>
      </c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customFormat="false" ht="16.4" hidden="false" customHeight="false" outlineLevel="0" collapsed="false">
      <c r="A254" s="135" t="n">
        <v>45566</v>
      </c>
      <c r="B254" s="31" t="s">
        <v>239</v>
      </c>
      <c r="C254" s="129"/>
      <c r="D254" s="129"/>
      <c r="E254" s="19" t="n">
        <f aca="false">F254*0.03</f>
        <v>0</v>
      </c>
      <c r="F254" s="33" t="n">
        <v>0</v>
      </c>
      <c r="G254" s="131"/>
      <c r="H254" s="35" t="n">
        <v>0</v>
      </c>
      <c r="I254" s="34" t="n">
        <f aca="false">+IF(E254=0,0,E254*0.03)</f>
        <v>0</v>
      </c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customFormat="false" ht="16.4" hidden="false" customHeight="false" outlineLevel="0" collapsed="false">
      <c r="A255" s="135" t="n">
        <v>45566</v>
      </c>
      <c r="B255" s="31" t="s">
        <v>7</v>
      </c>
      <c r="C255" s="129"/>
      <c r="D255" s="129"/>
      <c r="E255" s="19" t="n">
        <f aca="false">F255*0.03</f>
        <v>0</v>
      </c>
      <c r="F255" s="33" t="n">
        <v>0</v>
      </c>
      <c r="G255" s="131"/>
      <c r="H255" s="35" t="n">
        <v>0</v>
      </c>
      <c r="I255" s="34" t="n">
        <f aca="false">+IF(E255=0,0,E255*0.03)</f>
        <v>0</v>
      </c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customFormat="false" ht="16.4" hidden="false" customHeight="false" outlineLevel="0" collapsed="false">
      <c r="A256" s="135" t="n">
        <v>45566</v>
      </c>
      <c r="B256" s="31" t="s">
        <v>240</v>
      </c>
      <c r="C256" s="129"/>
      <c r="D256" s="129"/>
      <c r="E256" s="19" t="n">
        <f aca="false">F256*0.03</f>
        <v>0</v>
      </c>
      <c r="F256" s="33" t="n">
        <v>0</v>
      </c>
      <c r="G256" s="131"/>
      <c r="H256" s="35" t="n">
        <v>0</v>
      </c>
      <c r="I256" s="34" t="n">
        <f aca="false">+IF(E256=0,0,E256*0.03)</f>
        <v>0</v>
      </c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customFormat="false" ht="16.4" hidden="false" customHeight="false" outlineLevel="0" collapsed="false">
      <c r="A257" s="135" t="n">
        <v>45566</v>
      </c>
      <c r="B257" s="31" t="s">
        <v>153</v>
      </c>
      <c r="C257" s="129"/>
      <c r="D257" s="129"/>
      <c r="E257" s="19" t="n">
        <f aca="false">F257*0.03</f>
        <v>0</v>
      </c>
      <c r="F257" s="33" t="n">
        <v>0</v>
      </c>
      <c r="G257" s="131"/>
      <c r="H257" s="35" t="n">
        <v>0</v>
      </c>
      <c r="I257" s="34" t="n">
        <f aca="false">+IF(E257=0,0,E257*0.03)</f>
        <v>0</v>
      </c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customFormat="false" ht="16.4" hidden="false" customHeight="false" outlineLevel="0" collapsed="false">
      <c r="A258" s="135" t="n">
        <v>45566</v>
      </c>
      <c r="B258" s="31" t="s">
        <v>247</v>
      </c>
      <c r="C258" s="129"/>
      <c r="D258" s="129"/>
      <c r="E258" s="19" t="n">
        <f aca="false">F258*0.03</f>
        <v>0</v>
      </c>
      <c r="F258" s="33" t="n">
        <v>0</v>
      </c>
      <c r="G258" s="131"/>
      <c r="H258" s="35" t="n">
        <v>0</v>
      </c>
      <c r="I258" s="34" t="n">
        <f aca="false">+IF(E258=0,0,E258*0.03)</f>
        <v>0</v>
      </c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customFormat="false" ht="16.4" hidden="false" customHeight="false" outlineLevel="0" collapsed="false">
      <c r="A259" s="135" t="n">
        <v>45566</v>
      </c>
      <c r="B259" s="31" t="s">
        <v>246</v>
      </c>
      <c r="C259" s="129"/>
      <c r="D259" s="129"/>
      <c r="E259" s="19" t="n">
        <f aca="false">F259*0.03</f>
        <v>0</v>
      </c>
      <c r="F259" s="33" t="n">
        <v>0</v>
      </c>
      <c r="G259" s="131"/>
      <c r="H259" s="35" t="n">
        <v>0</v>
      </c>
      <c r="I259" s="34" t="n">
        <f aca="false">+IF(E259=0,0,E259*0.03)</f>
        <v>0</v>
      </c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customFormat="false" ht="16.4" hidden="false" customHeight="false" outlineLevel="0" collapsed="false">
      <c r="A260" s="135" t="n">
        <v>45566</v>
      </c>
      <c r="B260" s="31" t="s">
        <v>239</v>
      </c>
      <c r="C260" s="129"/>
      <c r="D260" s="129"/>
      <c r="E260" s="19" t="n">
        <f aca="false">F260*0.03</f>
        <v>0</v>
      </c>
      <c r="F260" s="33" t="n">
        <v>0</v>
      </c>
      <c r="G260" s="131"/>
      <c r="H260" s="35" t="n">
        <v>0</v>
      </c>
      <c r="I260" s="34" t="n">
        <f aca="false">+IF(E260=0,0,E260*0.03)</f>
        <v>0</v>
      </c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customFormat="false" ht="16.4" hidden="false" customHeight="false" outlineLevel="0" collapsed="false">
      <c r="A261" s="135" t="n">
        <v>45566</v>
      </c>
      <c r="B261" s="31" t="s">
        <v>7</v>
      </c>
      <c r="C261" s="129"/>
      <c r="D261" s="129"/>
      <c r="E261" s="19" t="n">
        <f aca="false">F261*0.03</f>
        <v>0</v>
      </c>
      <c r="F261" s="33" t="n">
        <v>0</v>
      </c>
      <c r="G261" s="131"/>
      <c r="H261" s="35" t="n">
        <v>0</v>
      </c>
      <c r="I261" s="34" t="n">
        <f aca="false">+IF(E261=0,0,E261*0.03)</f>
        <v>0</v>
      </c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customFormat="false" ht="16.4" hidden="false" customHeight="false" outlineLevel="0" collapsed="false">
      <c r="A262" s="135" t="n">
        <v>45566</v>
      </c>
      <c r="B262" s="31" t="s">
        <v>240</v>
      </c>
      <c r="C262" s="129"/>
      <c r="D262" s="129"/>
      <c r="E262" s="19" t="n">
        <f aca="false">F262*0.03</f>
        <v>0</v>
      </c>
      <c r="F262" s="33" t="n">
        <v>0</v>
      </c>
      <c r="G262" s="131"/>
      <c r="H262" s="35" t="n">
        <v>0</v>
      </c>
      <c r="I262" s="34" t="n">
        <f aca="false">+IF(E262=0,0,E262*0.03)</f>
        <v>0</v>
      </c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customFormat="false" ht="16.4" hidden="false" customHeight="false" outlineLevel="0" collapsed="false">
      <c r="A263" s="135" t="n">
        <v>45566</v>
      </c>
      <c r="B263" s="31" t="s">
        <v>153</v>
      </c>
      <c r="C263" s="129"/>
      <c r="D263" s="129"/>
      <c r="E263" s="19" t="n">
        <f aca="false">F263*0.03</f>
        <v>0</v>
      </c>
      <c r="F263" s="33" t="n">
        <v>0</v>
      </c>
      <c r="G263" s="131"/>
      <c r="H263" s="35" t="n">
        <v>0</v>
      </c>
      <c r="I263" s="34" t="n">
        <f aca="false">+IF(E263=0,0,E263*0.03)</f>
        <v>0</v>
      </c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customFormat="false" ht="16.4" hidden="false" customHeight="false" outlineLevel="0" collapsed="false">
      <c r="A264" s="135" t="n">
        <v>45566</v>
      </c>
      <c r="B264" s="31" t="s">
        <v>247</v>
      </c>
      <c r="C264" s="129"/>
      <c r="D264" s="129"/>
      <c r="E264" s="19" t="n">
        <f aca="false">F264*0.03</f>
        <v>0</v>
      </c>
      <c r="F264" s="33" t="n">
        <v>0</v>
      </c>
      <c r="G264" s="131"/>
      <c r="H264" s="35" t="n">
        <v>0</v>
      </c>
      <c r="I264" s="34" t="n">
        <f aca="false">+IF(E264=0,0,E264*0.03)</f>
        <v>0</v>
      </c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customFormat="false" ht="16.4" hidden="false" customHeight="false" outlineLevel="0" collapsed="false">
      <c r="A265" s="135" t="n">
        <v>45566</v>
      </c>
      <c r="B265" s="31" t="s">
        <v>246</v>
      </c>
      <c r="C265" s="129"/>
      <c r="D265" s="129"/>
      <c r="E265" s="19" t="n">
        <f aca="false">F265*0.03</f>
        <v>0</v>
      </c>
      <c r="F265" s="33" t="n">
        <v>0</v>
      </c>
      <c r="G265" s="131"/>
      <c r="H265" s="35" t="n">
        <v>0</v>
      </c>
      <c r="I265" s="34" t="n">
        <f aca="false">+IF(E265=0,0,E265*0.03)</f>
        <v>0</v>
      </c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customFormat="false" ht="16.4" hidden="false" customHeight="false" outlineLevel="0" collapsed="false">
      <c r="A266" s="135" t="n">
        <v>45566</v>
      </c>
      <c r="B266" s="31" t="s">
        <v>239</v>
      </c>
      <c r="C266" s="129"/>
      <c r="D266" s="129"/>
      <c r="E266" s="19" t="n">
        <f aca="false">F266*0.03</f>
        <v>0</v>
      </c>
      <c r="F266" s="33" t="n">
        <v>0</v>
      </c>
      <c r="G266" s="131"/>
      <c r="H266" s="35" t="n">
        <v>0</v>
      </c>
      <c r="I266" s="34" t="n">
        <f aca="false">+IF(E266=0,0,E266*0.03)</f>
        <v>0</v>
      </c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customFormat="false" ht="16.4" hidden="false" customHeight="false" outlineLevel="0" collapsed="false">
      <c r="A267" s="135" t="n">
        <v>45566</v>
      </c>
      <c r="B267" s="31" t="s">
        <v>7</v>
      </c>
      <c r="C267" s="129"/>
      <c r="D267" s="129"/>
      <c r="E267" s="19" t="n">
        <f aca="false">F267*0.03</f>
        <v>0</v>
      </c>
      <c r="F267" s="33" t="n">
        <v>0</v>
      </c>
      <c r="G267" s="131"/>
      <c r="H267" s="35" t="n">
        <v>0</v>
      </c>
      <c r="I267" s="34" t="n">
        <f aca="false">+IF(E267=0,0,E267*0.03)</f>
        <v>0</v>
      </c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customFormat="false" ht="16.4" hidden="false" customHeight="false" outlineLevel="0" collapsed="false">
      <c r="A268" s="135" t="n">
        <v>45566</v>
      </c>
      <c r="B268" s="31" t="s">
        <v>240</v>
      </c>
      <c r="C268" s="129"/>
      <c r="D268" s="129"/>
      <c r="E268" s="19" t="n">
        <f aca="false">F268*0.03</f>
        <v>0</v>
      </c>
      <c r="F268" s="33" t="n">
        <v>0</v>
      </c>
      <c r="G268" s="131"/>
      <c r="H268" s="35" t="n">
        <v>0</v>
      </c>
      <c r="I268" s="34" t="n">
        <f aca="false">+IF(E268=0,0,E268*0.03)</f>
        <v>0</v>
      </c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customFormat="false" ht="16.4" hidden="false" customHeight="false" outlineLevel="0" collapsed="false">
      <c r="A269" s="135" t="n">
        <v>45566</v>
      </c>
      <c r="B269" s="31" t="s">
        <v>153</v>
      </c>
      <c r="C269" s="129"/>
      <c r="D269" s="129"/>
      <c r="E269" s="19" t="n">
        <f aca="false">F269*0.03</f>
        <v>0</v>
      </c>
      <c r="F269" s="33" t="n">
        <v>0</v>
      </c>
      <c r="G269" s="131"/>
      <c r="H269" s="35" t="n">
        <v>0</v>
      </c>
      <c r="I269" s="34" t="n">
        <f aca="false">+IF(E269=0,0,E269*0.03)</f>
        <v>0</v>
      </c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customFormat="false" ht="16.4" hidden="false" customHeight="false" outlineLevel="0" collapsed="false">
      <c r="A270" s="135" t="n">
        <v>45566</v>
      </c>
      <c r="B270" s="31" t="s">
        <v>247</v>
      </c>
      <c r="C270" s="129"/>
      <c r="D270" s="129"/>
      <c r="E270" s="19" t="n">
        <f aca="false">F270*0.03</f>
        <v>0</v>
      </c>
      <c r="F270" s="33" t="n">
        <v>0</v>
      </c>
      <c r="G270" s="131"/>
      <c r="H270" s="35" t="n">
        <v>0</v>
      </c>
      <c r="I270" s="34" t="n">
        <f aca="false">+IF(E270=0,0,E270*0.03)</f>
        <v>0</v>
      </c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customFormat="false" ht="16.4" hidden="false" customHeight="false" outlineLevel="0" collapsed="false">
      <c r="A271" s="135" t="n">
        <v>45566</v>
      </c>
      <c r="B271" s="31" t="s">
        <v>246</v>
      </c>
      <c r="C271" s="129"/>
      <c r="D271" s="129"/>
      <c r="E271" s="19" t="n">
        <f aca="false">F271*0.03</f>
        <v>0</v>
      </c>
      <c r="F271" s="33" t="n">
        <v>0</v>
      </c>
      <c r="G271" s="131"/>
      <c r="H271" s="35" t="n">
        <v>0</v>
      </c>
      <c r="I271" s="34" t="n">
        <f aca="false">+IF(E271=0,0,E271*0.03)</f>
        <v>0</v>
      </c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customFormat="false" ht="16.4" hidden="false" customHeight="false" outlineLevel="0" collapsed="false">
      <c r="A272" s="135" t="n">
        <v>45566</v>
      </c>
      <c r="B272" s="31" t="s">
        <v>239</v>
      </c>
      <c r="C272" s="129"/>
      <c r="D272" s="129"/>
      <c r="E272" s="19" t="n">
        <f aca="false">F272*0.03</f>
        <v>0</v>
      </c>
      <c r="F272" s="33" t="n">
        <v>0</v>
      </c>
      <c r="G272" s="131"/>
      <c r="H272" s="35" t="n">
        <v>0</v>
      </c>
      <c r="I272" s="34" t="n">
        <f aca="false">+IF(E272=0,0,E272*0.03)</f>
        <v>0</v>
      </c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customFormat="false" ht="16.4" hidden="false" customHeight="false" outlineLevel="0" collapsed="false">
      <c r="A273" s="135" t="n">
        <v>45566</v>
      </c>
      <c r="B273" s="31" t="s">
        <v>7</v>
      </c>
      <c r="C273" s="129"/>
      <c r="D273" s="129"/>
      <c r="E273" s="19" t="n">
        <f aca="false">F273*0.03</f>
        <v>0</v>
      </c>
      <c r="F273" s="33" t="n">
        <v>0</v>
      </c>
      <c r="G273" s="131"/>
      <c r="H273" s="35" t="n">
        <v>0</v>
      </c>
      <c r="I273" s="34" t="n">
        <f aca="false">+IF(E273=0,0,E273*0.03)</f>
        <v>0</v>
      </c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customFormat="false" ht="16.4" hidden="false" customHeight="false" outlineLevel="0" collapsed="false">
      <c r="A274" s="135" t="n">
        <v>45566</v>
      </c>
      <c r="B274" s="31" t="s">
        <v>240</v>
      </c>
      <c r="C274" s="129"/>
      <c r="D274" s="129"/>
      <c r="E274" s="19" t="n">
        <f aca="false">F274*0.03</f>
        <v>0</v>
      </c>
      <c r="F274" s="33" t="n">
        <v>0</v>
      </c>
      <c r="G274" s="131"/>
      <c r="H274" s="35" t="n">
        <v>0</v>
      </c>
      <c r="I274" s="34" t="n">
        <f aca="false">+IF(E274=0,0,E274*0.03)</f>
        <v>0</v>
      </c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customFormat="false" ht="16.4" hidden="false" customHeight="false" outlineLevel="0" collapsed="false">
      <c r="A275" s="135" t="n">
        <v>45566</v>
      </c>
      <c r="B275" s="31" t="s">
        <v>153</v>
      </c>
      <c r="C275" s="129"/>
      <c r="D275" s="129"/>
      <c r="E275" s="19" t="n">
        <f aca="false">F275*0.03</f>
        <v>0</v>
      </c>
      <c r="F275" s="33" t="n">
        <v>0</v>
      </c>
      <c r="G275" s="131"/>
      <c r="H275" s="35" t="n">
        <v>0</v>
      </c>
      <c r="I275" s="34" t="n">
        <f aca="false">+IF(E275=0,0,E275*0.03)</f>
        <v>0</v>
      </c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customFormat="false" ht="16.4" hidden="false" customHeight="false" outlineLevel="0" collapsed="false">
      <c r="A276" s="135" t="n">
        <v>45566</v>
      </c>
      <c r="B276" s="31" t="s">
        <v>247</v>
      </c>
      <c r="C276" s="129"/>
      <c r="D276" s="129"/>
      <c r="E276" s="19" t="n">
        <f aca="false">F276*0.03</f>
        <v>0</v>
      </c>
      <c r="F276" s="33" t="n">
        <v>0</v>
      </c>
      <c r="G276" s="131"/>
      <c r="H276" s="35" t="n">
        <v>0</v>
      </c>
      <c r="I276" s="34" t="n">
        <f aca="false">+IF(E276=0,0,E276*0.03)</f>
        <v>0</v>
      </c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customFormat="false" ht="16.4" hidden="false" customHeight="false" outlineLevel="0" collapsed="false">
      <c r="A277" s="135" t="n">
        <v>45566</v>
      </c>
      <c r="B277" s="31" t="s">
        <v>246</v>
      </c>
      <c r="C277" s="129"/>
      <c r="D277" s="129"/>
      <c r="E277" s="19" t="n">
        <f aca="false">F277*0.03</f>
        <v>0</v>
      </c>
      <c r="F277" s="33" t="n">
        <v>0</v>
      </c>
      <c r="G277" s="131"/>
      <c r="H277" s="35" t="n">
        <v>0</v>
      </c>
      <c r="I277" s="34" t="n">
        <f aca="false">+IF(E277=0,0,E277*0.03)</f>
        <v>0</v>
      </c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customFormat="false" ht="16.4" hidden="false" customHeight="false" outlineLevel="0" collapsed="false">
      <c r="A278" s="135" t="n">
        <v>45566</v>
      </c>
      <c r="B278" s="31" t="s">
        <v>239</v>
      </c>
      <c r="C278" s="129"/>
      <c r="D278" s="129"/>
      <c r="E278" s="19" t="n">
        <f aca="false">F278*0.03</f>
        <v>0</v>
      </c>
      <c r="F278" s="33" t="n">
        <v>0</v>
      </c>
      <c r="G278" s="131"/>
      <c r="H278" s="35" t="n">
        <v>0</v>
      </c>
      <c r="I278" s="34" t="n">
        <f aca="false">+IF(E278=0,0,E278*0.03)</f>
        <v>0</v>
      </c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customFormat="false" ht="16.4" hidden="false" customHeight="false" outlineLevel="0" collapsed="false">
      <c r="A279" s="135" t="n">
        <v>45566</v>
      </c>
      <c r="B279" s="31" t="s">
        <v>7</v>
      </c>
      <c r="C279" s="129"/>
      <c r="D279" s="129"/>
      <c r="E279" s="19" t="n">
        <f aca="false">F279*0.03</f>
        <v>0</v>
      </c>
      <c r="F279" s="33" t="n">
        <v>0</v>
      </c>
      <c r="G279" s="131"/>
      <c r="H279" s="35" t="n">
        <v>0</v>
      </c>
      <c r="I279" s="34" t="n">
        <f aca="false">+IF(E279=0,0,E279*0.03)</f>
        <v>0</v>
      </c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customFormat="false" ht="16.4" hidden="false" customHeight="false" outlineLevel="0" collapsed="false">
      <c r="A280" s="135" t="n">
        <v>45566</v>
      </c>
      <c r="B280" s="31" t="s">
        <v>240</v>
      </c>
      <c r="C280" s="129"/>
      <c r="D280" s="129"/>
      <c r="E280" s="19" t="n">
        <f aca="false">F280*0.03</f>
        <v>0</v>
      </c>
      <c r="F280" s="33" t="n">
        <v>0</v>
      </c>
      <c r="G280" s="131"/>
      <c r="H280" s="35" t="n">
        <v>0</v>
      </c>
      <c r="I280" s="34" t="n">
        <f aca="false">+IF(E280=0,0,E280*0.03)</f>
        <v>0</v>
      </c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customFormat="false" ht="16.4" hidden="false" customHeight="false" outlineLevel="0" collapsed="false">
      <c r="A281" s="135" t="n">
        <v>45566</v>
      </c>
      <c r="B281" s="31" t="s">
        <v>153</v>
      </c>
      <c r="C281" s="129"/>
      <c r="D281" s="129"/>
      <c r="E281" s="19" t="n">
        <f aca="false">F281*0.03</f>
        <v>0</v>
      </c>
      <c r="F281" s="33" t="n">
        <v>0</v>
      </c>
      <c r="G281" s="131"/>
      <c r="H281" s="35" t="n">
        <v>0</v>
      </c>
      <c r="I281" s="34" t="n">
        <f aca="false">+IF(E281=0,0,E281*0.03)</f>
        <v>0</v>
      </c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customFormat="false" ht="16.4" hidden="false" customHeight="false" outlineLevel="0" collapsed="false">
      <c r="A282" s="135" t="n">
        <v>45566</v>
      </c>
      <c r="B282" s="31" t="s">
        <v>247</v>
      </c>
      <c r="C282" s="129"/>
      <c r="D282" s="129"/>
      <c r="E282" s="19" t="n">
        <f aca="false">F282*0.03</f>
        <v>0</v>
      </c>
      <c r="F282" s="33" t="n">
        <v>0</v>
      </c>
      <c r="G282" s="131"/>
      <c r="H282" s="35" t="n">
        <v>0</v>
      </c>
      <c r="I282" s="34" t="n">
        <f aca="false">+IF(E282=0,0,E282*0.03)</f>
        <v>0</v>
      </c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customFormat="false" ht="16.4" hidden="false" customHeight="false" outlineLevel="0" collapsed="false">
      <c r="A283" s="135" t="n">
        <v>45566</v>
      </c>
      <c r="B283" s="31" t="s">
        <v>246</v>
      </c>
      <c r="C283" s="129"/>
      <c r="D283" s="129"/>
      <c r="E283" s="19" t="n">
        <f aca="false">F283*0.03</f>
        <v>0</v>
      </c>
      <c r="F283" s="33" t="n">
        <v>0</v>
      </c>
      <c r="G283" s="131"/>
      <c r="H283" s="35" t="n">
        <v>0</v>
      </c>
      <c r="I283" s="34" t="n">
        <f aca="false">+IF(E283=0,0,E283*0.03)</f>
        <v>0</v>
      </c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customFormat="false" ht="16.4" hidden="false" customHeight="false" outlineLevel="0" collapsed="false">
      <c r="A284" s="135" t="n">
        <v>45566</v>
      </c>
      <c r="B284" s="31" t="s">
        <v>239</v>
      </c>
      <c r="C284" s="129"/>
      <c r="D284" s="129"/>
      <c r="E284" s="19" t="n">
        <f aca="false">F284*0.03</f>
        <v>0</v>
      </c>
      <c r="F284" s="33" t="n">
        <v>0</v>
      </c>
      <c r="G284" s="131"/>
      <c r="H284" s="35" t="n">
        <v>0</v>
      </c>
      <c r="I284" s="34" t="n">
        <f aca="false">+IF(E284=0,0,E284*0.03)</f>
        <v>0</v>
      </c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customFormat="false" ht="16.4" hidden="false" customHeight="false" outlineLevel="0" collapsed="false">
      <c r="A285" s="135" t="n">
        <v>45566</v>
      </c>
      <c r="B285" s="31" t="s">
        <v>7</v>
      </c>
      <c r="C285" s="129"/>
      <c r="D285" s="129"/>
      <c r="E285" s="19" t="n">
        <f aca="false">F285*0.03</f>
        <v>0</v>
      </c>
      <c r="F285" s="33" t="n">
        <v>0</v>
      </c>
      <c r="G285" s="131"/>
      <c r="H285" s="35" t="n">
        <v>0</v>
      </c>
      <c r="I285" s="34" t="n">
        <f aca="false">+IF(E285=0,0,E285*0.03)</f>
        <v>0</v>
      </c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customFormat="false" ht="16.4" hidden="false" customHeight="false" outlineLevel="0" collapsed="false">
      <c r="A286" s="135" t="n">
        <v>45566</v>
      </c>
      <c r="B286" s="31" t="s">
        <v>240</v>
      </c>
      <c r="C286" s="129"/>
      <c r="D286" s="129"/>
      <c r="E286" s="19" t="n">
        <f aca="false">F286*0.03</f>
        <v>0</v>
      </c>
      <c r="F286" s="33" t="n">
        <v>0</v>
      </c>
      <c r="G286" s="131"/>
      <c r="H286" s="35" t="n">
        <v>0</v>
      </c>
      <c r="I286" s="34" t="n">
        <f aca="false">+IF(E286=0,0,E286*0.03)</f>
        <v>0</v>
      </c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customFormat="false" ht="16.4" hidden="false" customHeight="false" outlineLevel="0" collapsed="false">
      <c r="A287" s="135" t="n">
        <v>45566</v>
      </c>
      <c r="B287" s="31" t="s">
        <v>153</v>
      </c>
      <c r="C287" s="129"/>
      <c r="D287" s="129"/>
      <c r="E287" s="19" t="n">
        <f aca="false">F287*0.03</f>
        <v>0</v>
      </c>
      <c r="F287" s="33" t="n">
        <v>0</v>
      </c>
      <c r="G287" s="131"/>
      <c r="H287" s="35" t="n">
        <v>0</v>
      </c>
      <c r="I287" s="34" t="n">
        <f aca="false">+IF(E287=0,0,E287*0.03)</f>
        <v>0</v>
      </c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customFormat="false" ht="16.4" hidden="false" customHeight="false" outlineLevel="0" collapsed="false">
      <c r="A288" s="135" t="n">
        <v>45566</v>
      </c>
      <c r="B288" s="31" t="s">
        <v>247</v>
      </c>
      <c r="C288" s="129"/>
      <c r="D288" s="129"/>
      <c r="E288" s="19" t="n">
        <f aca="false">F288*0.03</f>
        <v>0</v>
      </c>
      <c r="F288" s="33" t="n">
        <v>0</v>
      </c>
      <c r="G288" s="131"/>
      <c r="H288" s="35" t="n">
        <v>0</v>
      </c>
      <c r="I288" s="34" t="n">
        <f aca="false">+IF(E288=0,0,E288*0.03)</f>
        <v>0</v>
      </c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customFormat="false" ht="16.4" hidden="false" customHeight="false" outlineLevel="0" collapsed="false">
      <c r="A289" s="135" t="n">
        <v>45566</v>
      </c>
      <c r="B289" s="31" t="s">
        <v>246</v>
      </c>
      <c r="C289" s="129"/>
      <c r="D289" s="129"/>
      <c r="E289" s="19" t="n">
        <f aca="false">F289*0.03</f>
        <v>0</v>
      </c>
      <c r="F289" s="33" t="n">
        <v>0</v>
      </c>
      <c r="G289" s="131"/>
      <c r="H289" s="35" t="n">
        <v>0</v>
      </c>
      <c r="I289" s="34" t="n">
        <f aca="false">+IF(E289=0,0,E289*0.03)</f>
        <v>0</v>
      </c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customFormat="false" ht="16.4" hidden="false" customHeight="false" outlineLevel="0" collapsed="false">
      <c r="A290" s="135" t="n">
        <v>45566</v>
      </c>
      <c r="B290" s="31" t="s">
        <v>239</v>
      </c>
      <c r="C290" s="129"/>
      <c r="D290" s="129"/>
      <c r="E290" s="19" t="n">
        <f aca="false">F290*0.03</f>
        <v>0</v>
      </c>
      <c r="F290" s="33" t="n">
        <v>0</v>
      </c>
      <c r="G290" s="131"/>
      <c r="H290" s="35" t="n">
        <v>0</v>
      </c>
      <c r="I290" s="34" t="n">
        <f aca="false">+IF(E290=0,0,E290*0.03)</f>
        <v>0</v>
      </c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customFormat="false" ht="16.4" hidden="false" customHeight="false" outlineLevel="0" collapsed="false">
      <c r="A291" s="135" t="n">
        <v>45566</v>
      </c>
      <c r="B291" s="31" t="s">
        <v>7</v>
      </c>
      <c r="C291" s="129"/>
      <c r="D291" s="129"/>
      <c r="E291" s="19" t="n">
        <f aca="false">F291*0.03</f>
        <v>0</v>
      </c>
      <c r="F291" s="33" t="n">
        <v>0</v>
      </c>
      <c r="G291" s="131"/>
      <c r="H291" s="35" t="n">
        <v>0</v>
      </c>
      <c r="I291" s="34" t="n">
        <f aca="false">+IF(E291=0,0,E291*0.03)</f>
        <v>0</v>
      </c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customFormat="false" ht="16.4" hidden="false" customHeight="false" outlineLevel="0" collapsed="false">
      <c r="A292" s="135" t="n">
        <v>45566</v>
      </c>
      <c r="B292" s="31" t="s">
        <v>240</v>
      </c>
      <c r="C292" s="129"/>
      <c r="D292" s="129"/>
      <c r="E292" s="19" t="n">
        <f aca="false">F292*0.03</f>
        <v>0</v>
      </c>
      <c r="F292" s="33" t="n">
        <v>0</v>
      </c>
      <c r="G292" s="131"/>
      <c r="H292" s="35" t="n">
        <v>0</v>
      </c>
      <c r="I292" s="34" t="n">
        <f aca="false">+IF(E292=0,0,E292*0.03)</f>
        <v>0</v>
      </c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customFormat="false" ht="16.4" hidden="false" customHeight="false" outlineLevel="0" collapsed="false">
      <c r="A293" s="135" t="n">
        <v>45566</v>
      </c>
      <c r="B293" s="31" t="s">
        <v>153</v>
      </c>
      <c r="C293" s="129"/>
      <c r="D293" s="129"/>
      <c r="E293" s="19" t="n">
        <f aca="false">F293*0.03</f>
        <v>0</v>
      </c>
      <c r="F293" s="33" t="n">
        <v>0</v>
      </c>
      <c r="G293" s="131"/>
      <c r="H293" s="35" t="n">
        <v>0</v>
      </c>
      <c r="I293" s="34" t="n">
        <f aca="false">+IF(E293=0,0,E293*0.03)</f>
        <v>0</v>
      </c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customFormat="false" ht="16.4" hidden="false" customHeight="false" outlineLevel="0" collapsed="false">
      <c r="A294" s="135" t="n">
        <v>45566</v>
      </c>
      <c r="B294" s="31" t="s">
        <v>247</v>
      </c>
      <c r="C294" s="129"/>
      <c r="D294" s="129"/>
      <c r="E294" s="19" t="n">
        <f aca="false">F294*0.03</f>
        <v>0</v>
      </c>
      <c r="F294" s="33" t="n">
        <v>0</v>
      </c>
      <c r="G294" s="131"/>
      <c r="H294" s="35" t="n">
        <v>0</v>
      </c>
      <c r="I294" s="34" t="n">
        <f aca="false">+IF(E294=0,0,E294*0.03)</f>
        <v>0</v>
      </c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customFormat="false" ht="16.4" hidden="false" customHeight="false" outlineLevel="0" collapsed="false">
      <c r="A295" s="135" t="n">
        <v>45566</v>
      </c>
      <c r="B295" s="31" t="s">
        <v>246</v>
      </c>
      <c r="C295" s="129"/>
      <c r="D295" s="129"/>
      <c r="E295" s="19" t="n">
        <f aca="false">F295*0.03</f>
        <v>0</v>
      </c>
      <c r="F295" s="33" t="n">
        <v>0</v>
      </c>
      <c r="G295" s="131"/>
      <c r="H295" s="35" t="n">
        <v>0</v>
      </c>
      <c r="I295" s="34" t="n">
        <f aca="false">+IF(E295=0,0,E295*0.03)</f>
        <v>0</v>
      </c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customFormat="false" ht="16.4" hidden="false" customHeight="false" outlineLevel="0" collapsed="false">
      <c r="A296" s="135" t="n">
        <v>45566</v>
      </c>
      <c r="B296" s="31" t="s">
        <v>239</v>
      </c>
      <c r="C296" s="129"/>
      <c r="D296" s="129"/>
      <c r="E296" s="19" t="n">
        <f aca="false">F296*0.03</f>
        <v>0</v>
      </c>
      <c r="F296" s="33" t="n">
        <v>0</v>
      </c>
      <c r="G296" s="131"/>
      <c r="H296" s="35" t="n">
        <v>0</v>
      </c>
      <c r="I296" s="34" t="n">
        <f aca="false">+IF(E296=0,0,E296*0.03)</f>
        <v>0</v>
      </c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customFormat="false" ht="16.4" hidden="false" customHeight="false" outlineLevel="0" collapsed="false">
      <c r="A297" s="135" t="n">
        <v>45566</v>
      </c>
      <c r="B297" s="31" t="s">
        <v>7</v>
      </c>
      <c r="C297" s="129"/>
      <c r="D297" s="129"/>
      <c r="E297" s="19" t="n">
        <f aca="false">F297*0.03</f>
        <v>0</v>
      </c>
      <c r="F297" s="33" t="n">
        <v>0</v>
      </c>
      <c r="G297" s="131"/>
      <c r="H297" s="35" t="n">
        <v>0</v>
      </c>
      <c r="I297" s="34" t="n">
        <f aca="false">+IF(E297=0,0,E297*0.03)</f>
        <v>0</v>
      </c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customFormat="false" ht="16.4" hidden="false" customHeight="false" outlineLevel="0" collapsed="false">
      <c r="A298" s="135" t="n">
        <v>45566</v>
      </c>
      <c r="B298" s="31" t="s">
        <v>240</v>
      </c>
      <c r="C298" s="129"/>
      <c r="D298" s="129"/>
      <c r="E298" s="19" t="n">
        <f aca="false">F298*0.03</f>
        <v>0</v>
      </c>
      <c r="F298" s="33" t="n">
        <v>0</v>
      </c>
      <c r="G298" s="131"/>
      <c r="H298" s="35" t="n">
        <v>0</v>
      </c>
      <c r="I298" s="34" t="n">
        <f aca="false">+IF(E298=0,0,E298*0.03)</f>
        <v>0</v>
      </c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customFormat="false" ht="16.4" hidden="false" customHeight="false" outlineLevel="0" collapsed="false">
      <c r="A299" s="135" t="n">
        <v>45566</v>
      </c>
      <c r="B299" s="31" t="s">
        <v>153</v>
      </c>
      <c r="C299" s="129"/>
      <c r="D299" s="129"/>
      <c r="E299" s="19" t="n">
        <f aca="false">F299*0.03</f>
        <v>0</v>
      </c>
      <c r="F299" s="33" t="n">
        <v>0</v>
      </c>
      <c r="G299" s="131"/>
      <c r="H299" s="35" t="n">
        <v>0</v>
      </c>
      <c r="I299" s="34" t="n">
        <f aca="false">+IF(E299=0,0,E299*0.03)</f>
        <v>0</v>
      </c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customFormat="false" ht="16.4" hidden="false" customHeight="false" outlineLevel="0" collapsed="false">
      <c r="A300" s="135" t="n">
        <v>45566</v>
      </c>
      <c r="B300" s="31" t="s">
        <v>247</v>
      </c>
      <c r="C300" s="129"/>
      <c r="D300" s="129"/>
      <c r="E300" s="19" t="n">
        <f aca="false">F300*0.03</f>
        <v>0</v>
      </c>
      <c r="F300" s="33" t="n">
        <v>0</v>
      </c>
      <c r="G300" s="131"/>
      <c r="H300" s="35" t="n">
        <v>0</v>
      </c>
      <c r="I300" s="34" t="n">
        <f aca="false">+IF(E300=0,0,E300*0.03)</f>
        <v>0</v>
      </c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customFormat="false" ht="16.4" hidden="false" customHeight="false" outlineLevel="0" collapsed="false">
      <c r="A301" s="135" t="n">
        <v>45566</v>
      </c>
      <c r="B301" s="31" t="s">
        <v>246</v>
      </c>
      <c r="C301" s="129"/>
      <c r="D301" s="129"/>
      <c r="E301" s="19" t="n">
        <f aca="false">F301*0.03</f>
        <v>0</v>
      </c>
      <c r="F301" s="33" t="n">
        <v>0</v>
      </c>
      <c r="G301" s="131"/>
      <c r="H301" s="35" t="n">
        <v>0</v>
      </c>
      <c r="I301" s="34" t="n">
        <f aca="false">+IF(E301=0,0,E301*0.03)</f>
        <v>0</v>
      </c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customFormat="false" ht="16.4" hidden="false" customHeight="false" outlineLevel="0" collapsed="false">
      <c r="A302" s="135" t="n">
        <v>45566</v>
      </c>
      <c r="B302" s="31" t="s">
        <v>239</v>
      </c>
      <c r="C302" s="129"/>
      <c r="D302" s="129"/>
      <c r="E302" s="19" t="n">
        <f aca="false">F302*0.03</f>
        <v>0</v>
      </c>
      <c r="F302" s="33" t="n">
        <v>0</v>
      </c>
      <c r="G302" s="131"/>
      <c r="H302" s="35" t="n">
        <v>0</v>
      </c>
      <c r="I302" s="34" t="n">
        <f aca="false">+IF(E302=0,0,E302*0.03)</f>
        <v>0</v>
      </c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customFormat="false" ht="16.4" hidden="false" customHeight="false" outlineLevel="0" collapsed="false">
      <c r="A303" s="135" t="n">
        <v>45566</v>
      </c>
      <c r="B303" s="31" t="s">
        <v>7</v>
      </c>
      <c r="C303" s="129"/>
      <c r="D303" s="129"/>
      <c r="E303" s="19" t="n">
        <f aca="false">F303*0.03</f>
        <v>0</v>
      </c>
      <c r="F303" s="33" t="n">
        <v>0</v>
      </c>
      <c r="G303" s="131"/>
      <c r="H303" s="35" t="n">
        <v>0</v>
      </c>
      <c r="I303" s="34" t="n">
        <f aca="false">+IF(E303=0,0,E303*0.03)</f>
        <v>0</v>
      </c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customFormat="false" ht="16.4" hidden="false" customHeight="false" outlineLevel="0" collapsed="false">
      <c r="A304" s="135" t="n">
        <v>45566</v>
      </c>
      <c r="B304" s="31" t="s">
        <v>240</v>
      </c>
      <c r="C304" s="129"/>
      <c r="D304" s="129"/>
      <c r="E304" s="19" t="n">
        <f aca="false">F304*0.03</f>
        <v>0</v>
      </c>
      <c r="F304" s="33" t="n">
        <v>0</v>
      </c>
      <c r="G304" s="131"/>
      <c r="H304" s="35" t="n">
        <v>0</v>
      </c>
      <c r="I304" s="34" t="n">
        <f aca="false">+IF(E304=0,0,E304*0.03)</f>
        <v>0</v>
      </c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customFormat="false" ht="16.4" hidden="false" customHeight="false" outlineLevel="0" collapsed="false">
      <c r="A305" s="135" t="n">
        <v>45566</v>
      </c>
      <c r="B305" s="31" t="s">
        <v>153</v>
      </c>
      <c r="C305" s="129"/>
      <c r="D305" s="129"/>
      <c r="E305" s="19" t="n">
        <f aca="false">F305*0.03</f>
        <v>0</v>
      </c>
      <c r="F305" s="33" t="n">
        <v>0</v>
      </c>
      <c r="G305" s="131"/>
      <c r="H305" s="35" t="n">
        <v>0</v>
      </c>
      <c r="I305" s="34" t="n">
        <f aca="false">+IF(E305=0,0,E305*0.03)</f>
        <v>0</v>
      </c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customFormat="false" ht="16.4" hidden="false" customHeight="false" outlineLevel="0" collapsed="false">
      <c r="A306" s="135" t="n">
        <v>45566</v>
      </c>
      <c r="B306" s="31" t="s">
        <v>247</v>
      </c>
      <c r="C306" s="129"/>
      <c r="D306" s="129"/>
      <c r="E306" s="19" t="n">
        <f aca="false">F306*0.03</f>
        <v>0</v>
      </c>
      <c r="F306" s="33" t="n">
        <v>0</v>
      </c>
      <c r="G306" s="131"/>
      <c r="H306" s="35" t="n">
        <v>0</v>
      </c>
      <c r="I306" s="34" t="n">
        <f aca="false">+IF(E306=0,0,E306*0.03)</f>
        <v>0</v>
      </c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customFormat="false" ht="16.4" hidden="false" customHeight="false" outlineLevel="0" collapsed="false">
      <c r="A307" s="135" t="n">
        <v>45566</v>
      </c>
      <c r="B307" s="31" t="s">
        <v>246</v>
      </c>
      <c r="C307" s="129"/>
      <c r="D307" s="129"/>
      <c r="E307" s="19" t="n">
        <f aca="false">F307*0.03</f>
        <v>0</v>
      </c>
      <c r="F307" s="33" t="n">
        <v>0</v>
      </c>
      <c r="G307" s="131"/>
      <c r="H307" s="35" t="n">
        <v>0</v>
      </c>
      <c r="I307" s="34" t="n">
        <f aca="false">+IF(E307=0,0,E307*0.03)</f>
        <v>0</v>
      </c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customFormat="false" ht="16.4" hidden="false" customHeight="false" outlineLevel="0" collapsed="false">
      <c r="A308" s="135" t="n">
        <v>45566</v>
      </c>
      <c r="B308" s="31" t="s">
        <v>239</v>
      </c>
      <c r="C308" s="129"/>
      <c r="D308" s="129"/>
      <c r="E308" s="19" t="n">
        <f aca="false">F308*0.03</f>
        <v>0</v>
      </c>
      <c r="F308" s="33" t="n">
        <v>0</v>
      </c>
      <c r="G308" s="131"/>
      <c r="H308" s="35" t="n">
        <v>0</v>
      </c>
      <c r="I308" s="34" t="n">
        <f aca="false">+IF(E308=0,0,E308*0.03)</f>
        <v>0</v>
      </c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customFormat="false" ht="16.4" hidden="false" customHeight="false" outlineLevel="0" collapsed="false">
      <c r="A309" s="135" t="n">
        <v>45566</v>
      </c>
      <c r="B309" s="31" t="s">
        <v>7</v>
      </c>
      <c r="C309" s="129"/>
      <c r="D309" s="129"/>
      <c r="E309" s="19" t="n">
        <f aca="false">F309*0.03</f>
        <v>0</v>
      </c>
      <c r="F309" s="33" t="n">
        <v>0</v>
      </c>
      <c r="G309" s="131"/>
      <c r="H309" s="35" t="n">
        <v>0</v>
      </c>
      <c r="I309" s="34" t="n">
        <f aca="false">+IF(E309=0,0,E309*0.03)</f>
        <v>0</v>
      </c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customFormat="false" ht="16.4" hidden="false" customHeight="false" outlineLevel="0" collapsed="false">
      <c r="A310" s="135" t="n">
        <v>45566</v>
      </c>
      <c r="B310" s="31" t="s">
        <v>240</v>
      </c>
      <c r="C310" s="129"/>
      <c r="D310" s="129"/>
      <c r="E310" s="19" t="n">
        <f aca="false">F310*0.03</f>
        <v>0</v>
      </c>
      <c r="F310" s="33" t="n">
        <v>0</v>
      </c>
      <c r="G310" s="131"/>
      <c r="H310" s="35" t="n">
        <v>0</v>
      </c>
      <c r="I310" s="34" t="n">
        <f aca="false">+IF(E310=0,0,E310*0.03)</f>
        <v>0</v>
      </c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customFormat="false" ht="16.4" hidden="false" customHeight="false" outlineLevel="0" collapsed="false">
      <c r="A311" s="135" t="n">
        <v>45566</v>
      </c>
      <c r="B311" s="31" t="s">
        <v>153</v>
      </c>
      <c r="C311" s="129"/>
      <c r="D311" s="129"/>
      <c r="E311" s="19" t="n">
        <f aca="false">F311*0.03</f>
        <v>0</v>
      </c>
      <c r="F311" s="33" t="n">
        <v>0</v>
      </c>
      <c r="G311" s="131"/>
      <c r="H311" s="35" t="n">
        <v>0</v>
      </c>
      <c r="I311" s="34" t="n">
        <f aca="false">+IF(E311=0,0,E311*0.03)</f>
        <v>0</v>
      </c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customFormat="false" ht="16.4" hidden="false" customHeight="false" outlineLevel="0" collapsed="false">
      <c r="A312" s="135" t="n">
        <v>45566</v>
      </c>
      <c r="B312" s="31" t="s">
        <v>247</v>
      </c>
      <c r="C312" s="129"/>
      <c r="D312" s="129"/>
      <c r="E312" s="19" t="n">
        <f aca="false">F312*0.03</f>
        <v>0</v>
      </c>
      <c r="F312" s="33" t="n">
        <v>0</v>
      </c>
      <c r="G312" s="131"/>
      <c r="H312" s="35" t="n">
        <v>0</v>
      </c>
      <c r="I312" s="34" t="n">
        <f aca="false">+IF(E312=0,0,E312*0.03)</f>
        <v>0</v>
      </c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customFormat="false" ht="16.4" hidden="false" customHeight="false" outlineLevel="0" collapsed="false">
      <c r="A313" s="135" t="n">
        <v>45566</v>
      </c>
      <c r="B313" s="31" t="s">
        <v>246</v>
      </c>
      <c r="C313" s="129"/>
      <c r="D313" s="129"/>
      <c r="E313" s="19" t="n">
        <f aca="false">F313*0.03</f>
        <v>0</v>
      </c>
      <c r="F313" s="33" t="n">
        <v>0</v>
      </c>
      <c r="G313" s="131"/>
      <c r="H313" s="35" t="n">
        <v>0</v>
      </c>
      <c r="I313" s="34" t="n">
        <f aca="false">+IF(E313=0,0,E313*0.03)</f>
        <v>0</v>
      </c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customFormat="false" ht="16.4" hidden="false" customHeight="false" outlineLevel="0" collapsed="false">
      <c r="A314" s="135" t="n">
        <v>45566</v>
      </c>
      <c r="B314" s="31" t="s">
        <v>239</v>
      </c>
      <c r="C314" s="129"/>
      <c r="D314" s="129"/>
      <c r="E314" s="19" t="n">
        <f aca="false">F314*0.03</f>
        <v>0</v>
      </c>
      <c r="F314" s="33" t="n">
        <v>0</v>
      </c>
      <c r="G314" s="131"/>
      <c r="H314" s="35" t="n">
        <v>0</v>
      </c>
      <c r="I314" s="34" t="n">
        <f aca="false">+IF(E314=0,0,E314*0.03)</f>
        <v>0</v>
      </c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customFormat="false" ht="16.4" hidden="false" customHeight="false" outlineLevel="0" collapsed="false">
      <c r="A315" s="135" t="n">
        <v>45566</v>
      </c>
      <c r="B315" s="31" t="s">
        <v>7</v>
      </c>
      <c r="C315" s="129"/>
      <c r="D315" s="129"/>
      <c r="E315" s="19" t="n">
        <f aca="false">F315*0.03</f>
        <v>0</v>
      </c>
      <c r="F315" s="33" t="n">
        <v>0</v>
      </c>
      <c r="G315" s="131"/>
      <c r="H315" s="35" t="n">
        <v>0</v>
      </c>
      <c r="I315" s="34" t="n">
        <f aca="false">+IF(E315=0,0,E315*0.03)</f>
        <v>0</v>
      </c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customFormat="false" ht="16.4" hidden="false" customHeight="false" outlineLevel="0" collapsed="false">
      <c r="A316" s="135" t="n">
        <v>45566</v>
      </c>
      <c r="B316" s="31" t="s">
        <v>240</v>
      </c>
      <c r="C316" s="129"/>
      <c r="D316" s="129"/>
      <c r="E316" s="19" t="n">
        <f aca="false">F316*0.03</f>
        <v>0</v>
      </c>
      <c r="F316" s="33" t="n">
        <v>0</v>
      </c>
      <c r="G316" s="131"/>
      <c r="H316" s="35" t="n">
        <v>0</v>
      </c>
      <c r="I316" s="34" t="n">
        <f aca="false">+IF(E316=0,0,E316*0.03)</f>
        <v>0</v>
      </c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customFormat="false" ht="16.4" hidden="false" customHeight="false" outlineLevel="0" collapsed="false">
      <c r="A317" s="135" t="n">
        <v>45566</v>
      </c>
      <c r="B317" s="31" t="s">
        <v>153</v>
      </c>
      <c r="C317" s="129"/>
      <c r="D317" s="129"/>
      <c r="E317" s="19" t="n">
        <f aca="false">F317*0.03</f>
        <v>0</v>
      </c>
      <c r="F317" s="33" t="n">
        <v>0</v>
      </c>
      <c r="G317" s="131"/>
      <c r="H317" s="35" t="n">
        <v>0</v>
      </c>
      <c r="I317" s="34" t="n">
        <f aca="false">+IF(E317=0,0,E317*0.03)</f>
        <v>0</v>
      </c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customFormat="false" ht="16.4" hidden="false" customHeight="false" outlineLevel="0" collapsed="false">
      <c r="A318" s="135" t="n">
        <v>45566</v>
      </c>
      <c r="B318" s="31" t="s">
        <v>247</v>
      </c>
      <c r="C318" s="129"/>
      <c r="D318" s="129"/>
      <c r="E318" s="19" t="n">
        <f aca="false">F318*0.03</f>
        <v>0</v>
      </c>
      <c r="F318" s="33" t="n">
        <v>0</v>
      </c>
      <c r="G318" s="131"/>
      <c r="H318" s="35" t="n">
        <v>0</v>
      </c>
      <c r="I318" s="34" t="n">
        <f aca="false">+IF(E318=0,0,E318*0.03)</f>
        <v>0</v>
      </c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customFormat="false" ht="16.4" hidden="false" customHeight="false" outlineLevel="0" collapsed="false">
      <c r="A319" s="135" t="n">
        <v>45566</v>
      </c>
      <c r="B319" s="31" t="s">
        <v>246</v>
      </c>
      <c r="C319" s="129"/>
      <c r="D319" s="129"/>
      <c r="E319" s="19" t="n">
        <f aca="false">F319*0.03</f>
        <v>0</v>
      </c>
      <c r="F319" s="33" t="n">
        <v>0</v>
      </c>
      <c r="G319" s="131"/>
      <c r="H319" s="35" t="n">
        <v>0</v>
      </c>
      <c r="I319" s="34" t="n">
        <f aca="false">+IF(E319=0,0,E319*0.03)</f>
        <v>0</v>
      </c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customFormat="false" ht="16.4" hidden="false" customHeight="false" outlineLevel="0" collapsed="false">
      <c r="A320" s="135" t="n">
        <v>45566</v>
      </c>
      <c r="B320" s="31" t="s">
        <v>239</v>
      </c>
      <c r="C320" s="129"/>
      <c r="D320" s="129"/>
      <c r="E320" s="19" t="n">
        <f aca="false">F320*0.03</f>
        <v>0</v>
      </c>
      <c r="F320" s="33" t="n">
        <v>0</v>
      </c>
      <c r="G320" s="131"/>
      <c r="H320" s="35" t="n">
        <v>0</v>
      </c>
      <c r="I320" s="34" t="n">
        <f aca="false">+IF(E320=0,0,E320*0.03)</f>
        <v>0</v>
      </c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customFormat="false" ht="16.4" hidden="false" customHeight="false" outlineLevel="0" collapsed="false">
      <c r="A321" s="135" t="n">
        <v>45566</v>
      </c>
      <c r="B321" s="31" t="s">
        <v>7</v>
      </c>
      <c r="C321" s="129"/>
      <c r="D321" s="129"/>
      <c r="E321" s="19" t="n">
        <f aca="false">F321*0.03</f>
        <v>0</v>
      </c>
      <c r="F321" s="33" t="n">
        <v>0</v>
      </c>
      <c r="G321" s="131"/>
      <c r="H321" s="35" t="n">
        <v>0</v>
      </c>
      <c r="I321" s="34" t="n">
        <f aca="false">+IF(E321=0,0,E321*0.03)</f>
        <v>0</v>
      </c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customFormat="false" ht="16.4" hidden="false" customHeight="false" outlineLevel="0" collapsed="false">
      <c r="A322" s="135" t="n">
        <v>45566</v>
      </c>
      <c r="B322" s="31" t="s">
        <v>240</v>
      </c>
      <c r="C322" s="129"/>
      <c r="D322" s="129"/>
      <c r="E322" s="19" t="n">
        <f aca="false">F322*0.03</f>
        <v>0</v>
      </c>
      <c r="F322" s="33" t="n">
        <v>0</v>
      </c>
      <c r="G322" s="131"/>
      <c r="H322" s="35" t="n">
        <v>0</v>
      </c>
      <c r="I322" s="34" t="n">
        <f aca="false">+IF(E322=0,0,E322*0.03)</f>
        <v>0</v>
      </c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customFormat="false" ht="16.4" hidden="false" customHeight="false" outlineLevel="0" collapsed="false">
      <c r="A323" s="135" t="n">
        <v>45566</v>
      </c>
      <c r="B323" s="31" t="s">
        <v>153</v>
      </c>
      <c r="C323" s="129"/>
      <c r="D323" s="129"/>
      <c r="E323" s="19" t="n">
        <f aca="false">F323*0.03</f>
        <v>0</v>
      </c>
      <c r="F323" s="33" t="n">
        <v>0</v>
      </c>
      <c r="G323" s="131"/>
      <c r="H323" s="35" t="n">
        <v>0</v>
      </c>
      <c r="I323" s="34" t="n">
        <f aca="false">+IF(E323=0,0,E323*0.03)</f>
        <v>0</v>
      </c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customFormat="false" ht="16.4" hidden="false" customHeight="false" outlineLevel="0" collapsed="false">
      <c r="A324" s="135" t="n">
        <v>45566</v>
      </c>
      <c r="B324" s="31" t="s">
        <v>247</v>
      </c>
      <c r="C324" s="129"/>
      <c r="D324" s="129"/>
      <c r="E324" s="19" t="n">
        <f aca="false">F324*0.03</f>
        <v>0</v>
      </c>
      <c r="F324" s="33" t="n">
        <v>0</v>
      </c>
      <c r="G324" s="131"/>
      <c r="H324" s="35" t="n">
        <v>0</v>
      </c>
      <c r="I324" s="34" t="n">
        <f aca="false">+IF(E324=0,0,E324*0.03)</f>
        <v>0</v>
      </c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customFormat="false" ht="16.4" hidden="false" customHeight="false" outlineLevel="0" collapsed="false">
      <c r="A325" s="135" t="n">
        <v>45566</v>
      </c>
      <c r="B325" s="31" t="s">
        <v>246</v>
      </c>
      <c r="C325" s="129"/>
      <c r="D325" s="129"/>
      <c r="E325" s="19" t="n">
        <f aca="false">F325*0.03</f>
        <v>0</v>
      </c>
      <c r="F325" s="33" t="n">
        <v>0</v>
      </c>
      <c r="G325" s="131"/>
      <c r="H325" s="35" t="n">
        <v>0</v>
      </c>
      <c r="I325" s="34" t="n">
        <f aca="false">+IF(E325=0,0,E325*0.03)</f>
        <v>0</v>
      </c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customFormat="false" ht="16.4" hidden="false" customHeight="false" outlineLevel="0" collapsed="false">
      <c r="A326" s="135" t="n">
        <v>45566</v>
      </c>
      <c r="B326" s="31" t="s">
        <v>239</v>
      </c>
      <c r="C326" s="129"/>
      <c r="D326" s="129"/>
      <c r="E326" s="19" t="n">
        <f aca="false">F326*0.03</f>
        <v>0</v>
      </c>
      <c r="F326" s="33" t="n">
        <v>0</v>
      </c>
      <c r="G326" s="131"/>
      <c r="H326" s="35" t="n">
        <v>0</v>
      </c>
      <c r="I326" s="34" t="n">
        <f aca="false">+IF(E326=0,0,E326*0.03)</f>
        <v>0</v>
      </c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customFormat="false" ht="16.4" hidden="false" customHeight="false" outlineLevel="0" collapsed="false">
      <c r="A327" s="135" t="n">
        <v>45566</v>
      </c>
      <c r="B327" s="31" t="s">
        <v>7</v>
      </c>
      <c r="C327" s="129"/>
      <c r="D327" s="129"/>
      <c r="E327" s="19" t="n">
        <f aca="false">F327*0.03</f>
        <v>0</v>
      </c>
      <c r="F327" s="33" t="n">
        <v>0</v>
      </c>
      <c r="G327" s="131"/>
      <c r="H327" s="35" t="n">
        <v>0</v>
      </c>
      <c r="I327" s="34" t="n">
        <f aca="false">+IF(E327=0,0,E327*0.03)</f>
        <v>0</v>
      </c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customFormat="false" ht="16.4" hidden="false" customHeight="false" outlineLevel="0" collapsed="false">
      <c r="A328" s="135" t="n">
        <v>45566</v>
      </c>
      <c r="B328" s="31" t="s">
        <v>240</v>
      </c>
      <c r="C328" s="129"/>
      <c r="D328" s="129"/>
      <c r="E328" s="19" t="n">
        <f aca="false">F328*0.03</f>
        <v>0</v>
      </c>
      <c r="F328" s="33" t="n">
        <v>0</v>
      </c>
      <c r="G328" s="131"/>
      <c r="H328" s="35" t="n">
        <v>0</v>
      </c>
      <c r="I328" s="34" t="n">
        <f aca="false">+IF(E328=0,0,E328*0.03)</f>
        <v>0</v>
      </c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customFormat="false" ht="16.4" hidden="false" customHeight="false" outlineLevel="0" collapsed="false">
      <c r="A329" s="135" t="n">
        <v>45566</v>
      </c>
      <c r="B329" s="31" t="s">
        <v>153</v>
      </c>
      <c r="C329" s="129"/>
      <c r="D329" s="129"/>
      <c r="E329" s="19" t="n">
        <f aca="false">F329*0.03</f>
        <v>0</v>
      </c>
      <c r="F329" s="33" t="n">
        <v>0</v>
      </c>
      <c r="G329" s="131"/>
      <c r="H329" s="35" t="n">
        <v>0</v>
      </c>
      <c r="I329" s="34" t="n">
        <f aca="false">+IF(E329=0,0,E329*0.03)</f>
        <v>0</v>
      </c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customFormat="false" ht="16.4" hidden="false" customHeight="false" outlineLevel="0" collapsed="false">
      <c r="A330" s="135" t="n">
        <v>45566</v>
      </c>
      <c r="B330" s="31" t="s">
        <v>247</v>
      </c>
      <c r="C330" s="129"/>
      <c r="D330" s="129"/>
      <c r="E330" s="19" t="n">
        <f aca="false">F330*0.03</f>
        <v>0</v>
      </c>
      <c r="F330" s="33" t="n">
        <v>0</v>
      </c>
      <c r="G330" s="131"/>
      <c r="H330" s="35" t="n">
        <v>0</v>
      </c>
      <c r="I330" s="34" t="n">
        <f aca="false">+IF(E330=0,0,E330*0.03)</f>
        <v>0</v>
      </c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customFormat="false" ht="16.4" hidden="false" customHeight="false" outlineLevel="0" collapsed="false">
      <c r="A331" s="135" t="n">
        <v>45566</v>
      </c>
      <c r="B331" s="31" t="s">
        <v>246</v>
      </c>
      <c r="C331" s="129"/>
      <c r="D331" s="129"/>
      <c r="E331" s="19" t="n">
        <f aca="false">F331*0.03</f>
        <v>0</v>
      </c>
      <c r="F331" s="33" t="n">
        <v>0</v>
      </c>
      <c r="G331" s="131"/>
      <c r="H331" s="35" t="n">
        <v>0</v>
      </c>
      <c r="I331" s="34" t="n">
        <f aca="false">+IF(E331=0,0,E331*0.03)</f>
        <v>0</v>
      </c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customFormat="false" ht="16.4" hidden="false" customHeight="false" outlineLevel="0" collapsed="false">
      <c r="A332" s="135" t="n">
        <v>45566</v>
      </c>
      <c r="B332" s="31" t="s">
        <v>239</v>
      </c>
      <c r="C332" s="129"/>
      <c r="D332" s="129"/>
      <c r="E332" s="19" t="n">
        <f aca="false">F332*0.03</f>
        <v>0</v>
      </c>
      <c r="F332" s="33" t="n">
        <v>0</v>
      </c>
      <c r="G332" s="131"/>
      <c r="H332" s="35" t="n">
        <v>0</v>
      </c>
      <c r="I332" s="34" t="n">
        <f aca="false">+IF(E332=0,0,E332*0.03)</f>
        <v>0</v>
      </c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customFormat="false" ht="16.4" hidden="false" customHeight="false" outlineLevel="0" collapsed="false">
      <c r="A333" s="135" t="n">
        <v>45566</v>
      </c>
      <c r="B333" s="31" t="s">
        <v>7</v>
      </c>
      <c r="C333" s="129"/>
      <c r="D333" s="129"/>
      <c r="E333" s="19" t="n">
        <f aca="false">F333*0.03</f>
        <v>0</v>
      </c>
      <c r="F333" s="33" t="n">
        <v>0</v>
      </c>
      <c r="G333" s="131"/>
      <c r="H333" s="35" t="n">
        <v>0</v>
      </c>
      <c r="I333" s="34" t="n">
        <f aca="false">+IF(E333=0,0,E333*0.03)</f>
        <v>0</v>
      </c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customFormat="false" ht="16.4" hidden="false" customHeight="false" outlineLevel="0" collapsed="false">
      <c r="A334" s="135" t="n">
        <v>45566</v>
      </c>
      <c r="B334" s="31" t="s">
        <v>240</v>
      </c>
      <c r="C334" s="129"/>
      <c r="D334" s="129"/>
      <c r="E334" s="19" t="n">
        <f aca="false">F334*0.03</f>
        <v>0</v>
      </c>
      <c r="F334" s="33" t="n">
        <v>0</v>
      </c>
      <c r="G334" s="131"/>
      <c r="H334" s="35" t="n">
        <v>0</v>
      </c>
      <c r="I334" s="34" t="n">
        <f aca="false">+IF(E334=0,0,E334*0.03)</f>
        <v>0</v>
      </c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customFormat="false" ht="16.4" hidden="false" customHeight="false" outlineLevel="0" collapsed="false">
      <c r="A335" s="135" t="n">
        <v>45566</v>
      </c>
      <c r="B335" s="31" t="s">
        <v>153</v>
      </c>
      <c r="C335" s="129"/>
      <c r="D335" s="129"/>
      <c r="E335" s="19" t="n">
        <f aca="false">F335*0.03</f>
        <v>0</v>
      </c>
      <c r="F335" s="33" t="n">
        <v>0</v>
      </c>
      <c r="G335" s="131"/>
      <c r="H335" s="35" t="n">
        <v>0</v>
      </c>
      <c r="I335" s="34" t="n">
        <f aca="false">+IF(E335=0,0,E335*0.03)</f>
        <v>0</v>
      </c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customFormat="false" ht="16.4" hidden="false" customHeight="false" outlineLevel="0" collapsed="false">
      <c r="A336" s="135" t="n">
        <v>45566</v>
      </c>
      <c r="B336" s="31" t="s">
        <v>247</v>
      </c>
      <c r="C336" s="129"/>
      <c r="D336" s="129"/>
      <c r="E336" s="19" t="n">
        <f aca="false">F336*0.03</f>
        <v>0</v>
      </c>
      <c r="F336" s="33" t="n">
        <v>0</v>
      </c>
      <c r="G336" s="131"/>
      <c r="H336" s="35" t="n">
        <v>0</v>
      </c>
      <c r="I336" s="34" t="n">
        <f aca="false">+IF(E336=0,0,E336*0.03)</f>
        <v>0</v>
      </c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customFormat="false" ht="16.4" hidden="false" customHeight="false" outlineLevel="0" collapsed="false">
      <c r="A337" s="135" t="n">
        <v>45566</v>
      </c>
      <c r="B337" s="31" t="s">
        <v>246</v>
      </c>
      <c r="C337" s="129"/>
      <c r="D337" s="129"/>
      <c r="E337" s="19" t="n">
        <f aca="false">F337*0.03</f>
        <v>0</v>
      </c>
      <c r="F337" s="33" t="n">
        <v>0</v>
      </c>
      <c r="G337" s="131"/>
      <c r="H337" s="35" t="n">
        <v>0</v>
      </c>
      <c r="I337" s="34" t="n">
        <f aca="false">+IF(E337=0,0,E337*0.03)</f>
        <v>0</v>
      </c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customFormat="false" ht="16.4" hidden="false" customHeight="false" outlineLevel="0" collapsed="false">
      <c r="A338" s="135" t="n">
        <v>45566</v>
      </c>
      <c r="B338" s="31" t="s">
        <v>239</v>
      </c>
      <c r="C338" s="129"/>
      <c r="D338" s="129"/>
      <c r="E338" s="19" t="n">
        <f aca="false">F338*0.03</f>
        <v>0</v>
      </c>
      <c r="F338" s="33" t="n">
        <v>0</v>
      </c>
      <c r="G338" s="131"/>
      <c r="H338" s="35" t="n">
        <v>0</v>
      </c>
      <c r="I338" s="34" t="n">
        <f aca="false">+IF(E338=0,0,E338*0.03)</f>
        <v>0</v>
      </c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customFormat="false" ht="16.4" hidden="false" customHeight="false" outlineLevel="0" collapsed="false">
      <c r="A339" s="135" t="n">
        <v>45566</v>
      </c>
      <c r="B339" s="31" t="s">
        <v>7</v>
      </c>
      <c r="C339" s="129"/>
      <c r="D339" s="129"/>
      <c r="E339" s="19" t="n">
        <f aca="false">F339*0.03</f>
        <v>0</v>
      </c>
      <c r="F339" s="33" t="n">
        <v>0</v>
      </c>
      <c r="G339" s="131"/>
      <c r="H339" s="35" t="n">
        <v>0</v>
      </c>
      <c r="I339" s="34" t="n">
        <f aca="false">+IF(E339=0,0,E339*0.03)</f>
        <v>0</v>
      </c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customFormat="false" ht="16.4" hidden="false" customHeight="false" outlineLevel="0" collapsed="false">
      <c r="A340" s="135" t="n">
        <v>45566</v>
      </c>
      <c r="B340" s="31" t="s">
        <v>240</v>
      </c>
      <c r="C340" s="129"/>
      <c r="D340" s="129"/>
      <c r="E340" s="19" t="n">
        <f aca="false">F340*0.03</f>
        <v>0</v>
      </c>
      <c r="F340" s="33" t="n">
        <v>0</v>
      </c>
      <c r="G340" s="131"/>
      <c r="H340" s="35" t="n">
        <v>0</v>
      </c>
      <c r="I340" s="34" t="n">
        <f aca="false">+IF(E340=0,0,E340*0.03)</f>
        <v>0</v>
      </c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customFormat="false" ht="16.4" hidden="false" customHeight="false" outlineLevel="0" collapsed="false">
      <c r="A341" s="135" t="n">
        <v>45566</v>
      </c>
      <c r="B341" s="31" t="s">
        <v>153</v>
      </c>
      <c r="C341" s="129"/>
      <c r="D341" s="129"/>
      <c r="E341" s="19" t="n">
        <f aca="false">F341*0.03</f>
        <v>0</v>
      </c>
      <c r="F341" s="33" t="n">
        <v>0</v>
      </c>
      <c r="G341" s="131"/>
      <c r="H341" s="35" t="n">
        <v>0</v>
      </c>
      <c r="I341" s="34" t="n">
        <f aca="false">+IF(E341=0,0,E341*0.03)</f>
        <v>0</v>
      </c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customFormat="false" ht="16.4" hidden="false" customHeight="false" outlineLevel="0" collapsed="false">
      <c r="A342" s="135" t="n">
        <v>45566</v>
      </c>
      <c r="B342" s="31" t="s">
        <v>247</v>
      </c>
      <c r="C342" s="129"/>
      <c r="D342" s="129"/>
      <c r="E342" s="19" t="n">
        <f aca="false">F342*0.03</f>
        <v>0</v>
      </c>
      <c r="F342" s="33" t="n">
        <v>0</v>
      </c>
      <c r="G342" s="131"/>
      <c r="H342" s="35" t="n">
        <v>0</v>
      </c>
      <c r="I342" s="34" t="n">
        <f aca="false">+IF(E342=0,0,E342*0.03)</f>
        <v>0</v>
      </c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customFormat="false" ht="16.4" hidden="false" customHeight="false" outlineLevel="0" collapsed="false">
      <c r="A343" s="135" t="n">
        <v>45566</v>
      </c>
      <c r="B343" s="31" t="s">
        <v>246</v>
      </c>
      <c r="C343" s="129"/>
      <c r="D343" s="129"/>
      <c r="E343" s="19" t="n">
        <f aca="false">F343*0.03</f>
        <v>0</v>
      </c>
      <c r="F343" s="33" t="n">
        <v>0</v>
      </c>
      <c r="G343" s="131"/>
      <c r="H343" s="35" t="n">
        <v>0</v>
      </c>
      <c r="I343" s="34" t="n">
        <f aca="false">+IF(E343=0,0,E343*0.03)</f>
        <v>0</v>
      </c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customFormat="false" ht="16.4" hidden="false" customHeight="false" outlineLevel="0" collapsed="false">
      <c r="A344" s="135" t="n">
        <v>45566</v>
      </c>
      <c r="B344" s="31" t="s">
        <v>239</v>
      </c>
      <c r="C344" s="129"/>
      <c r="D344" s="129"/>
      <c r="E344" s="19" t="n">
        <f aca="false">F344*0.03</f>
        <v>0</v>
      </c>
      <c r="F344" s="33" t="n">
        <v>0</v>
      </c>
      <c r="G344" s="131"/>
      <c r="H344" s="35" t="n">
        <v>0</v>
      </c>
      <c r="I344" s="34" t="n">
        <f aca="false">+IF(E344=0,0,E344*0.03)</f>
        <v>0</v>
      </c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customFormat="false" ht="16.4" hidden="false" customHeight="false" outlineLevel="0" collapsed="false">
      <c r="A345" s="135" t="n">
        <v>45566</v>
      </c>
      <c r="B345" s="31" t="s">
        <v>7</v>
      </c>
      <c r="C345" s="129"/>
      <c r="D345" s="129"/>
      <c r="E345" s="19" t="n">
        <f aca="false">F345*0.03</f>
        <v>0</v>
      </c>
      <c r="F345" s="33" t="n">
        <v>0</v>
      </c>
      <c r="G345" s="131"/>
      <c r="H345" s="35" t="n">
        <v>0</v>
      </c>
      <c r="I345" s="34" t="n">
        <f aca="false">+IF(E345=0,0,E345*0.03)</f>
        <v>0</v>
      </c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customFormat="false" ht="16.4" hidden="false" customHeight="false" outlineLevel="0" collapsed="false">
      <c r="A346" s="135" t="n">
        <v>45566</v>
      </c>
      <c r="B346" s="31" t="s">
        <v>240</v>
      </c>
      <c r="C346" s="129"/>
      <c r="D346" s="129"/>
      <c r="E346" s="19" t="n">
        <f aca="false">F346*0.03</f>
        <v>0</v>
      </c>
      <c r="F346" s="33" t="n">
        <v>0</v>
      </c>
      <c r="G346" s="131"/>
      <c r="H346" s="35" t="n">
        <v>0</v>
      </c>
      <c r="I346" s="34" t="n">
        <f aca="false">+IF(E346=0,0,E346*0.03)</f>
        <v>0</v>
      </c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customFormat="false" ht="16.4" hidden="false" customHeight="false" outlineLevel="0" collapsed="false">
      <c r="A347" s="135" t="n">
        <v>45566</v>
      </c>
      <c r="B347" s="31" t="s">
        <v>153</v>
      </c>
      <c r="C347" s="129"/>
      <c r="D347" s="129"/>
      <c r="E347" s="19" t="n">
        <f aca="false">F347*0.03</f>
        <v>0</v>
      </c>
      <c r="F347" s="33" t="n">
        <v>0</v>
      </c>
      <c r="G347" s="131"/>
      <c r="H347" s="35" t="n">
        <v>0</v>
      </c>
      <c r="I347" s="34" t="n">
        <f aca="false">+IF(E347=0,0,E347*0.03)</f>
        <v>0</v>
      </c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customFormat="false" ht="16.4" hidden="false" customHeight="false" outlineLevel="0" collapsed="false">
      <c r="A348" s="135" t="n">
        <v>45566</v>
      </c>
      <c r="B348" s="31" t="s">
        <v>247</v>
      </c>
      <c r="C348" s="129"/>
      <c r="D348" s="129"/>
      <c r="E348" s="19" t="n">
        <f aca="false">F348*0.03</f>
        <v>0</v>
      </c>
      <c r="F348" s="33" t="n">
        <v>0</v>
      </c>
      <c r="G348" s="131"/>
      <c r="H348" s="35" t="n">
        <v>0</v>
      </c>
      <c r="I348" s="34" t="n">
        <f aca="false">+IF(E348=0,0,E348*0.03)</f>
        <v>0</v>
      </c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customFormat="false" ht="16.4" hidden="false" customHeight="false" outlineLevel="0" collapsed="false">
      <c r="A349" s="135" t="n">
        <v>45566</v>
      </c>
      <c r="B349" s="31" t="s">
        <v>246</v>
      </c>
      <c r="C349" s="129"/>
      <c r="D349" s="129"/>
      <c r="E349" s="19" t="n">
        <f aca="false">F349*0.03</f>
        <v>0</v>
      </c>
      <c r="F349" s="33" t="n">
        <v>0</v>
      </c>
      <c r="G349" s="131"/>
      <c r="H349" s="35" t="n">
        <v>0</v>
      </c>
      <c r="I349" s="34" t="n">
        <f aca="false">+IF(E349=0,0,E349*0.03)</f>
        <v>0</v>
      </c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customFormat="false" ht="16.4" hidden="false" customHeight="false" outlineLevel="0" collapsed="false">
      <c r="A350" s="135" t="n">
        <v>45566</v>
      </c>
      <c r="B350" s="31" t="s">
        <v>239</v>
      </c>
      <c r="C350" s="129"/>
      <c r="D350" s="129"/>
      <c r="E350" s="19" t="n">
        <f aca="false">F350*0.03</f>
        <v>0</v>
      </c>
      <c r="F350" s="33" t="n">
        <v>0</v>
      </c>
      <c r="G350" s="131"/>
      <c r="H350" s="35" t="n">
        <v>0</v>
      </c>
      <c r="I350" s="34" t="n">
        <f aca="false">+IF(E350=0,0,E350*0.03)</f>
        <v>0</v>
      </c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customFormat="false" ht="16.4" hidden="false" customHeight="false" outlineLevel="0" collapsed="false">
      <c r="A351" s="135" t="n">
        <v>45566</v>
      </c>
      <c r="B351" s="31" t="s">
        <v>7</v>
      </c>
      <c r="C351" s="129"/>
      <c r="D351" s="129"/>
      <c r="E351" s="19" t="n">
        <f aca="false">F351*0.03</f>
        <v>0</v>
      </c>
      <c r="F351" s="33" t="n">
        <v>0</v>
      </c>
      <c r="G351" s="131"/>
      <c r="H351" s="35" t="n">
        <v>0</v>
      </c>
      <c r="I351" s="34" t="n">
        <f aca="false">+IF(E351=0,0,E351*0.03)</f>
        <v>0</v>
      </c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customFormat="false" ht="16.4" hidden="false" customHeight="false" outlineLevel="0" collapsed="false">
      <c r="A352" s="135" t="n">
        <v>45566</v>
      </c>
      <c r="B352" s="31" t="s">
        <v>240</v>
      </c>
      <c r="C352" s="129"/>
      <c r="D352" s="129"/>
      <c r="E352" s="19" t="n">
        <f aca="false">F352*0.03</f>
        <v>0</v>
      </c>
      <c r="F352" s="33" t="n">
        <v>0</v>
      </c>
      <c r="G352" s="131"/>
      <c r="H352" s="35" t="n">
        <v>0</v>
      </c>
      <c r="I352" s="34" t="n">
        <f aca="false">+IF(E352=0,0,E352*0.03)</f>
        <v>0</v>
      </c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customFormat="false" ht="16.4" hidden="false" customHeight="false" outlineLevel="0" collapsed="false">
      <c r="A353" s="135" t="n">
        <v>45566</v>
      </c>
      <c r="B353" s="31" t="s">
        <v>153</v>
      </c>
      <c r="C353" s="129"/>
      <c r="D353" s="129"/>
      <c r="E353" s="19" t="n">
        <f aca="false">F353*0.03</f>
        <v>0</v>
      </c>
      <c r="F353" s="33" t="n">
        <v>0</v>
      </c>
      <c r="G353" s="131"/>
      <c r="H353" s="35" t="n">
        <v>0</v>
      </c>
      <c r="I353" s="34" t="n">
        <f aca="false">+IF(E353=0,0,E353*0.03)</f>
        <v>0</v>
      </c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customFormat="false" ht="16.4" hidden="false" customHeight="false" outlineLevel="0" collapsed="false">
      <c r="A354" s="135" t="n">
        <v>45566</v>
      </c>
      <c r="B354" s="31" t="s">
        <v>247</v>
      </c>
      <c r="C354" s="129"/>
      <c r="D354" s="129"/>
      <c r="E354" s="19" t="n">
        <f aca="false">F354*0.03</f>
        <v>0</v>
      </c>
      <c r="F354" s="33" t="n">
        <v>0</v>
      </c>
      <c r="G354" s="131"/>
      <c r="H354" s="35" t="n">
        <v>0</v>
      </c>
      <c r="I354" s="34" t="n">
        <f aca="false">+IF(E354=0,0,E354*0.03)</f>
        <v>0</v>
      </c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customFormat="false" ht="16.4" hidden="false" customHeight="false" outlineLevel="0" collapsed="false">
      <c r="A355" s="135" t="n">
        <v>45566</v>
      </c>
      <c r="B355" s="31" t="s">
        <v>246</v>
      </c>
      <c r="C355" s="129"/>
      <c r="D355" s="129"/>
      <c r="E355" s="19" t="n">
        <f aca="false">F355*0.03</f>
        <v>0</v>
      </c>
      <c r="F355" s="33" t="n">
        <v>0</v>
      </c>
      <c r="G355" s="131"/>
      <c r="H355" s="35" t="n">
        <v>0</v>
      </c>
      <c r="I355" s="34" t="n">
        <f aca="false">+IF(E355=0,0,E355*0.03)</f>
        <v>0</v>
      </c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customFormat="false" ht="16.4" hidden="false" customHeight="false" outlineLevel="0" collapsed="false">
      <c r="A356" s="135" t="n">
        <v>45566</v>
      </c>
      <c r="B356" s="31" t="s">
        <v>239</v>
      </c>
      <c r="C356" s="129"/>
      <c r="D356" s="129"/>
      <c r="E356" s="19" t="n">
        <f aca="false">F356*0.03</f>
        <v>0</v>
      </c>
      <c r="F356" s="33" t="n">
        <v>0</v>
      </c>
      <c r="G356" s="131"/>
      <c r="H356" s="35" t="n">
        <v>0</v>
      </c>
      <c r="I356" s="34" t="n">
        <f aca="false">+IF(E356=0,0,E356*0.03)</f>
        <v>0</v>
      </c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customFormat="false" ht="16.4" hidden="false" customHeight="false" outlineLevel="0" collapsed="false">
      <c r="A357" s="135" t="n">
        <v>45566</v>
      </c>
      <c r="B357" s="31" t="s">
        <v>7</v>
      </c>
      <c r="C357" s="129"/>
      <c r="D357" s="129"/>
      <c r="E357" s="19" t="n">
        <f aca="false">F357*0.03</f>
        <v>0</v>
      </c>
      <c r="F357" s="33" t="n">
        <v>0</v>
      </c>
      <c r="G357" s="131"/>
      <c r="H357" s="35" t="n">
        <v>0</v>
      </c>
      <c r="I357" s="34" t="n">
        <f aca="false">+IF(E357=0,0,E357*0.03)</f>
        <v>0</v>
      </c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customFormat="false" ht="16.4" hidden="false" customHeight="false" outlineLevel="0" collapsed="false">
      <c r="A358" s="135" t="n">
        <v>45566</v>
      </c>
      <c r="B358" s="31" t="s">
        <v>240</v>
      </c>
      <c r="C358" s="129"/>
      <c r="D358" s="129"/>
      <c r="E358" s="19" t="n">
        <f aca="false">F358*0.03</f>
        <v>0</v>
      </c>
      <c r="F358" s="33" t="n">
        <v>0</v>
      </c>
      <c r="G358" s="131"/>
      <c r="H358" s="35" t="n">
        <v>0</v>
      </c>
      <c r="I358" s="34" t="n">
        <f aca="false">+IF(E358=0,0,E358*0.03)</f>
        <v>0</v>
      </c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customFormat="false" ht="16.4" hidden="false" customHeight="false" outlineLevel="0" collapsed="false">
      <c r="A359" s="135" t="n">
        <v>45566</v>
      </c>
      <c r="B359" s="31" t="s">
        <v>153</v>
      </c>
      <c r="C359" s="129"/>
      <c r="D359" s="129"/>
      <c r="E359" s="19" t="n">
        <f aca="false">F359*0.03</f>
        <v>0</v>
      </c>
      <c r="F359" s="33" t="n">
        <v>0</v>
      </c>
      <c r="G359" s="131"/>
      <c r="H359" s="35" t="n">
        <v>0</v>
      </c>
      <c r="I359" s="34" t="n">
        <f aca="false">+IF(E359=0,0,E359*0.03)</f>
        <v>0</v>
      </c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customFormat="false" ht="16.4" hidden="false" customHeight="false" outlineLevel="0" collapsed="false">
      <c r="A360" s="135" t="n">
        <v>45566</v>
      </c>
      <c r="B360" s="31" t="s">
        <v>247</v>
      </c>
      <c r="C360" s="129"/>
      <c r="D360" s="129"/>
      <c r="E360" s="19" t="n">
        <f aca="false">F360*0.03</f>
        <v>0</v>
      </c>
      <c r="F360" s="33" t="n">
        <v>0</v>
      </c>
      <c r="G360" s="131"/>
      <c r="H360" s="35" t="n">
        <v>0</v>
      </c>
      <c r="I360" s="34" t="n">
        <f aca="false">+IF(E360=0,0,E360*0.03)</f>
        <v>0</v>
      </c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customFormat="false" ht="16.4" hidden="false" customHeight="false" outlineLevel="0" collapsed="false">
      <c r="A361" s="135" t="n">
        <v>45566</v>
      </c>
      <c r="B361" s="31" t="s">
        <v>246</v>
      </c>
      <c r="C361" s="129"/>
      <c r="D361" s="129"/>
      <c r="E361" s="19" t="n">
        <f aca="false">F361*0.03</f>
        <v>0</v>
      </c>
      <c r="F361" s="33" t="n">
        <v>0</v>
      </c>
      <c r="G361" s="131"/>
      <c r="H361" s="35" t="n">
        <v>0</v>
      </c>
      <c r="I361" s="34" t="n">
        <f aca="false">+IF(E361=0,0,E361*0.03)</f>
        <v>0</v>
      </c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customFormat="false" ht="16.4" hidden="false" customHeight="false" outlineLevel="0" collapsed="false">
      <c r="A362" s="135" t="n">
        <v>45566</v>
      </c>
      <c r="B362" s="31" t="s">
        <v>239</v>
      </c>
      <c r="C362" s="129"/>
      <c r="D362" s="129"/>
      <c r="E362" s="19" t="n">
        <f aca="false">F362*0.03</f>
        <v>0</v>
      </c>
      <c r="F362" s="33" t="n">
        <v>0</v>
      </c>
      <c r="G362" s="131"/>
      <c r="H362" s="35" t="n">
        <v>0</v>
      </c>
      <c r="I362" s="34" t="n">
        <f aca="false">+IF(E362=0,0,E362*0.03)</f>
        <v>0</v>
      </c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customFormat="false" ht="16.4" hidden="false" customHeight="false" outlineLevel="0" collapsed="false">
      <c r="A363" s="135" t="n">
        <v>45566</v>
      </c>
      <c r="B363" s="31" t="s">
        <v>7</v>
      </c>
      <c r="C363" s="129"/>
      <c r="D363" s="129"/>
      <c r="E363" s="19" t="n">
        <f aca="false">F363*0.03</f>
        <v>0</v>
      </c>
      <c r="F363" s="33" t="n">
        <v>0</v>
      </c>
      <c r="G363" s="131"/>
      <c r="H363" s="35" t="n">
        <v>0</v>
      </c>
      <c r="I363" s="34" t="n">
        <f aca="false">+IF(E363=0,0,E363*0.03)</f>
        <v>0</v>
      </c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customFormat="false" ht="16.4" hidden="false" customHeight="false" outlineLevel="0" collapsed="false">
      <c r="A364" s="135" t="n">
        <v>45566</v>
      </c>
      <c r="B364" s="31" t="s">
        <v>240</v>
      </c>
      <c r="C364" s="129"/>
      <c r="D364" s="129"/>
      <c r="E364" s="19" t="n">
        <f aca="false">F364*0.03</f>
        <v>0</v>
      </c>
      <c r="F364" s="33" t="n">
        <v>0</v>
      </c>
      <c r="G364" s="131"/>
      <c r="H364" s="35" t="n">
        <v>0</v>
      </c>
      <c r="I364" s="34" t="n">
        <f aca="false">+IF(E364=0,0,E364*0.03)</f>
        <v>0</v>
      </c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customFormat="false" ht="16.4" hidden="false" customHeight="false" outlineLevel="0" collapsed="false">
      <c r="A365" s="135" t="n">
        <v>45566</v>
      </c>
      <c r="B365" s="31" t="s">
        <v>153</v>
      </c>
      <c r="C365" s="129"/>
      <c r="D365" s="129"/>
      <c r="E365" s="19" t="n">
        <f aca="false">F365*0.03</f>
        <v>0</v>
      </c>
      <c r="F365" s="33" t="n">
        <v>0</v>
      </c>
      <c r="G365" s="131"/>
      <c r="H365" s="35" t="n">
        <v>0</v>
      </c>
      <c r="I365" s="34" t="n">
        <f aca="false">+IF(E365=0,0,E365*0.03)</f>
        <v>0</v>
      </c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customFormat="false" ht="16.4" hidden="false" customHeight="false" outlineLevel="0" collapsed="false">
      <c r="A366" s="135" t="n">
        <v>45566</v>
      </c>
      <c r="B366" s="31" t="s">
        <v>247</v>
      </c>
      <c r="C366" s="129"/>
      <c r="D366" s="129"/>
      <c r="E366" s="19" t="n">
        <f aca="false">F366*0.03</f>
        <v>0</v>
      </c>
      <c r="F366" s="33" t="n">
        <v>0</v>
      </c>
      <c r="G366" s="131"/>
      <c r="H366" s="35" t="n">
        <v>0</v>
      </c>
      <c r="I366" s="34" t="n">
        <f aca="false">+IF(E366=0,0,E366*0.03)</f>
        <v>0</v>
      </c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customFormat="false" ht="16.4" hidden="false" customHeight="false" outlineLevel="0" collapsed="false">
      <c r="A367" s="135" t="n">
        <v>45566</v>
      </c>
      <c r="B367" s="31" t="s">
        <v>246</v>
      </c>
      <c r="C367" s="129"/>
      <c r="D367" s="129"/>
      <c r="E367" s="19" t="n">
        <f aca="false">F367*0.03</f>
        <v>0</v>
      </c>
      <c r="F367" s="33" t="n">
        <v>0</v>
      </c>
      <c r="G367" s="131"/>
      <c r="H367" s="35" t="n">
        <v>0</v>
      </c>
      <c r="I367" s="34" t="n">
        <f aca="false">+IF(E367=0,0,E367*0.03)</f>
        <v>0</v>
      </c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customFormat="false" ht="16.4" hidden="false" customHeight="false" outlineLevel="0" collapsed="false">
      <c r="A368" s="135" t="n">
        <v>45566</v>
      </c>
      <c r="B368" s="31" t="s">
        <v>239</v>
      </c>
      <c r="C368" s="129"/>
      <c r="D368" s="129"/>
      <c r="E368" s="19" t="n">
        <f aca="false">F368*0.03</f>
        <v>0</v>
      </c>
      <c r="F368" s="33" t="n">
        <v>0</v>
      </c>
      <c r="G368" s="131"/>
      <c r="H368" s="35" t="n">
        <v>0</v>
      </c>
      <c r="I368" s="34" t="n">
        <f aca="false">+IF(E368=0,0,E368*0.03)</f>
        <v>0</v>
      </c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customFormat="false" ht="16.4" hidden="false" customHeight="false" outlineLevel="0" collapsed="false">
      <c r="A369" s="135" t="n">
        <v>45566</v>
      </c>
      <c r="B369" s="31" t="s">
        <v>7</v>
      </c>
      <c r="C369" s="129"/>
      <c r="D369" s="129"/>
      <c r="E369" s="19" t="n">
        <f aca="false">F369*0.03</f>
        <v>0</v>
      </c>
      <c r="F369" s="33" t="n">
        <v>0</v>
      </c>
      <c r="G369" s="131"/>
      <c r="H369" s="35" t="n">
        <v>0</v>
      </c>
      <c r="I369" s="34" t="n">
        <f aca="false">+IF(E369=0,0,E369*0.03)</f>
        <v>0</v>
      </c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customFormat="false" ht="16.4" hidden="false" customHeight="false" outlineLevel="0" collapsed="false">
      <c r="A370" s="135" t="n">
        <v>45566</v>
      </c>
      <c r="B370" s="31" t="s">
        <v>240</v>
      </c>
      <c r="C370" s="129"/>
      <c r="D370" s="129"/>
      <c r="E370" s="19" t="n">
        <f aca="false">F370*0.03</f>
        <v>0</v>
      </c>
      <c r="F370" s="33" t="n">
        <v>0</v>
      </c>
      <c r="G370" s="131"/>
      <c r="H370" s="35" t="n">
        <v>0</v>
      </c>
      <c r="I370" s="34" t="n">
        <f aca="false">+IF(E370=0,0,E370*0.03)</f>
        <v>0</v>
      </c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customFormat="false" ht="16.4" hidden="false" customHeight="false" outlineLevel="0" collapsed="false">
      <c r="A371" s="135" t="n">
        <v>45566</v>
      </c>
      <c r="B371" s="31" t="s">
        <v>153</v>
      </c>
      <c r="C371" s="129"/>
      <c r="D371" s="129"/>
      <c r="E371" s="19" t="n">
        <f aca="false">F371*0.03</f>
        <v>0</v>
      </c>
      <c r="F371" s="33" t="n">
        <v>0</v>
      </c>
      <c r="G371" s="131"/>
      <c r="H371" s="35" t="n">
        <v>0</v>
      </c>
      <c r="I371" s="34" t="n">
        <f aca="false">+IF(E371=0,0,E371*0.03)</f>
        <v>0</v>
      </c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customFormat="false" ht="16.4" hidden="false" customHeight="false" outlineLevel="0" collapsed="false">
      <c r="A372" s="135" t="n">
        <v>45566</v>
      </c>
      <c r="B372" s="31" t="s">
        <v>247</v>
      </c>
      <c r="C372" s="129"/>
      <c r="D372" s="129"/>
      <c r="E372" s="19" t="n">
        <f aca="false">F372*0.03</f>
        <v>0</v>
      </c>
      <c r="F372" s="33" t="n">
        <v>0</v>
      </c>
      <c r="G372" s="131"/>
      <c r="H372" s="35" t="n">
        <v>0</v>
      </c>
      <c r="I372" s="34" t="n">
        <f aca="false">+IF(E372=0,0,E372*0.03)</f>
        <v>0</v>
      </c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customFormat="false" ht="16.4" hidden="false" customHeight="false" outlineLevel="0" collapsed="false">
      <c r="A373" s="135" t="n">
        <v>45566</v>
      </c>
      <c r="B373" s="31" t="s">
        <v>246</v>
      </c>
      <c r="C373" s="129"/>
      <c r="D373" s="129"/>
      <c r="E373" s="19" t="n">
        <f aca="false">F373*0.03</f>
        <v>0</v>
      </c>
      <c r="F373" s="33" t="n">
        <v>0</v>
      </c>
      <c r="G373" s="131"/>
      <c r="H373" s="35" t="n">
        <v>0</v>
      </c>
      <c r="I373" s="34" t="n">
        <f aca="false">+IF(E373=0,0,E373*0.03)</f>
        <v>0</v>
      </c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customFormat="false" ht="16.4" hidden="false" customHeight="false" outlineLevel="0" collapsed="false">
      <c r="A374" s="135" t="n">
        <v>45566</v>
      </c>
      <c r="B374" s="31" t="s">
        <v>239</v>
      </c>
      <c r="C374" s="129"/>
      <c r="D374" s="129"/>
      <c r="E374" s="19" t="n">
        <f aca="false">F374*0.03</f>
        <v>0</v>
      </c>
      <c r="F374" s="33" t="n">
        <v>0</v>
      </c>
      <c r="G374" s="131"/>
      <c r="H374" s="35" t="n">
        <v>0</v>
      </c>
      <c r="I374" s="34" t="n">
        <f aca="false">+IF(E374=0,0,E374*0.03)</f>
        <v>0</v>
      </c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customFormat="false" ht="16.4" hidden="false" customHeight="false" outlineLevel="0" collapsed="false">
      <c r="A375" s="135" t="n">
        <v>45566</v>
      </c>
      <c r="B375" s="31" t="s">
        <v>7</v>
      </c>
      <c r="C375" s="129"/>
      <c r="D375" s="129"/>
      <c r="E375" s="19" t="n">
        <f aca="false">F375*0.03</f>
        <v>0</v>
      </c>
      <c r="F375" s="33" t="n">
        <v>0</v>
      </c>
      <c r="G375" s="131"/>
      <c r="H375" s="35" t="n">
        <v>0</v>
      </c>
      <c r="I375" s="34" t="n">
        <f aca="false">+IF(E375=0,0,E375*0.03)</f>
        <v>0</v>
      </c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customFormat="false" ht="16.4" hidden="false" customHeight="false" outlineLevel="0" collapsed="false">
      <c r="A376" s="135" t="n">
        <v>45566</v>
      </c>
      <c r="B376" s="31" t="s">
        <v>240</v>
      </c>
      <c r="C376" s="129"/>
      <c r="D376" s="129"/>
      <c r="E376" s="19" t="n">
        <f aca="false">F376*0.03</f>
        <v>0</v>
      </c>
      <c r="F376" s="33" t="n">
        <v>0</v>
      </c>
      <c r="G376" s="131"/>
      <c r="H376" s="35" t="n">
        <v>0</v>
      </c>
      <c r="I376" s="34" t="n">
        <f aca="false">+IF(E376=0,0,E376*0.03)</f>
        <v>0</v>
      </c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customFormat="false" ht="16.4" hidden="false" customHeight="false" outlineLevel="0" collapsed="false">
      <c r="A377" s="135" t="n">
        <v>45566</v>
      </c>
      <c r="B377" s="31" t="s">
        <v>153</v>
      </c>
      <c r="C377" s="129"/>
      <c r="D377" s="129"/>
      <c r="E377" s="19" t="n">
        <f aca="false">F377*0.03</f>
        <v>0</v>
      </c>
      <c r="F377" s="33" t="n">
        <v>0</v>
      </c>
      <c r="G377" s="131"/>
      <c r="H377" s="35" t="n">
        <v>0</v>
      </c>
      <c r="I377" s="34" t="n">
        <f aca="false">+IF(E377=0,0,E377*0.03)</f>
        <v>0</v>
      </c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customFormat="false" ht="16.4" hidden="false" customHeight="false" outlineLevel="0" collapsed="false">
      <c r="A378" s="135" t="n">
        <v>45566</v>
      </c>
      <c r="B378" s="31" t="s">
        <v>247</v>
      </c>
      <c r="C378" s="129"/>
      <c r="D378" s="129"/>
      <c r="E378" s="19" t="n">
        <f aca="false">F378*0.03</f>
        <v>0</v>
      </c>
      <c r="F378" s="33" t="n">
        <v>0</v>
      </c>
      <c r="G378" s="131"/>
      <c r="H378" s="35" t="n">
        <v>0</v>
      </c>
      <c r="I378" s="34" t="n">
        <f aca="false">+IF(E378=0,0,E378*0.03)</f>
        <v>0</v>
      </c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customFormat="false" ht="16.4" hidden="false" customHeight="false" outlineLevel="0" collapsed="false">
      <c r="A379" s="135" t="n">
        <v>45566</v>
      </c>
      <c r="B379" s="31" t="s">
        <v>246</v>
      </c>
      <c r="C379" s="129"/>
      <c r="D379" s="129"/>
      <c r="E379" s="19" t="n">
        <f aca="false">F379*0.03</f>
        <v>0</v>
      </c>
      <c r="F379" s="33" t="n">
        <v>0</v>
      </c>
      <c r="G379" s="131"/>
      <c r="H379" s="35" t="n">
        <v>0</v>
      </c>
      <c r="I379" s="34" t="n">
        <f aca="false">+IF(E379=0,0,E379*0.03)</f>
        <v>0</v>
      </c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customFormat="false" ht="16.4" hidden="false" customHeight="false" outlineLevel="0" collapsed="false">
      <c r="A380" s="135" t="n">
        <v>45566</v>
      </c>
      <c r="B380" s="31" t="s">
        <v>239</v>
      </c>
      <c r="C380" s="129"/>
      <c r="D380" s="129"/>
      <c r="E380" s="19" t="n">
        <f aca="false">F380*0.03</f>
        <v>0</v>
      </c>
      <c r="F380" s="33" t="n">
        <v>0</v>
      </c>
      <c r="G380" s="131"/>
      <c r="H380" s="35" t="n">
        <v>0</v>
      </c>
      <c r="I380" s="34" t="n">
        <f aca="false">+IF(E380=0,0,E380*0.03)</f>
        <v>0</v>
      </c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customFormat="false" ht="16.4" hidden="false" customHeight="false" outlineLevel="0" collapsed="false">
      <c r="A381" s="135" t="n">
        <v>45566</v>
      </c>
      <c r="B381" s="31" t="s">
        <v>7</v>
      </c>
      <c r="C381" s="129"/>
      <c r="D381" s="129"/>
      <c r="E381" s="19" t="n">
        <f aca="false">F381*0.03</f>
        <v>0</v>
      </c>
      <c r="F381" s="33" t="n">
        <v>0</v>
      </c>
      <c r="G381" s="131"/>
      <c r="H381" s="35" t="n">
        <v>0</v>
      </c>
      <c r="I381" s="34" t="n">
        <f aca="false">+IF(E381=0,0,E381*0.03)</f>
        <v>0</v>
      </c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customFormat="false" ht="16.4" hidden="false" customHeight="false" outlineLevel="0" collapsed="false">
      <c r="A382" s="135" t="n">
        <v>45566</v>
      </c>
      <c r="B382" s="31" t="s">
        <v>240</v>
      </c>
      <c r="C382" s="129"/>
      <c r="D382" s="129"/>
      <c r="E382" s="19" t="n">
        <f aca="false">F382*0.03</f>
        <v>0</v>
      </c>
      <c r="F382" s="33" t="n">
        <v>0</v>
      </c>
      <c r="G382" s="131"/>
      <c r="H382" s="35" t="n">
        <v>0</v>
      </c>
      <c r="I382" s="34" t="n">
        <f aca="false">+IF(E382=0,0,E382*0.03)</f>
        <v>0</v>
      </c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customFormat="false" ht="16.4" hidden="false" customHeight="false" outlineLevel="0" collapsed="false">
      <c r="A383" s="135" t="n">
        <v>45566</v>
      </c>
      <c r="B383" s="31" t="s">
        <v>153</v>
      </c>
      <c r="C383" s="129"/>
      <c r="D383" s="129"/>
      <c r="E383" s="19" t="n">
        <f aca="false">F383*0.03</f>
        <v>0</v>
      </c>
      <c r="F383" s="33" t="n">
        <v>0</v>
      </c>
      <c r="G383" s="131"/>
      <c r="H383" s="35" t="n">
        <v>0</v>
      </c>
      <c r="I383" s="34" t="n">
        <f aca="false">+IF(E383=0,0,E383*0.03)</f>
        <v>0</v>
      </c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customFormat="false" ht="16.4" hidden="false" customHeight="false" outlineLevel="0" collapsed="false">
      <c r="A384" s="135" t="n">
        <v>45566</v>
      </c>
      <c r="B384" s="31" t="s">
        <v>247</v>
      </c>
      <c r="C384" s="129"/>
      <c r="D384" s="129"/>
      <c r="E384" s="19" t="n">
        <f aca="false">F384*0.03</f>
        <v>0</v>
      </c>
      <c r="F384" s="33" t="n">
        <v>0</v>
      </c>
      <c r="G384" s="131"/>
      <c r="H384" s="35" t="n">
        <v>0</v>
      </c>
      <c r="I384" s="34" t="n">
        <f aca="false">+IF(E384=0,0,E384*0.03)</f>
        <v>0</v>
      </c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customFormat="false" ht="16.4" hidden="false" customHeight="false" outlineLevel="0" collapsed="false">
      <c r="A385" s="135" t="n">
        <v>45566</v>
      </c>
      <c r="B385" s="31" t="s">
        <v>246</v>
      </c>
      <c r="C385" s="129"/>
      <c r="D385" s="129"/>
      <c r="E385" s="19" t="n">
        <f aca="false">F385*0.03</f>
        <v>0</v>
      </c>
      <c r="F385" s="33" t="n">
        <v>0</v>
      </c>
      <c r="G385" s="131"/>
      <c r="H385" s="35" t="n">
        <v>0</v>
      </c>
      <c r="I385" s="34" t="n">
        <f aca="false">+IF(E385=0,0,E385*0.03)</f>
        <v>0</v>
      </c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customFormat="false" ht="16.4" hidden="false" customHeight="false" outlineLevel="0" collapsed="false">
      <c r="A386" s="135" t="n">
        <v>45566</v>
      </c>
      <c r="B386" s="31" t="s">
        <v>239</v>
      </c>
      <c r="C386" s="129"/>
      <c r="D386" s="129"/>
      <c r="E386" s="19" t="n">
        <f aca="false">F386*0.03</f>
        <v>0</v>
      </c>
      <c r="F386" s="33" t="n">
        <v>0</v>
      </c>
      <c r="G386" s="131"/>
      <c r="H386" s="35" t="n">
        <v>0</v>
      </c>
      <c r="I386" s="34" t="n">
        <f aca="false">+IF(E386=0,0,E386*0.03)</f>
        <v>0</v>
      </c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customFormat="false" ht="16.4" hidden="false" customHeight="false" outlineLevel="0" collapsed="false">
      <c r="A387" s="135" t="n">
        <v>45566</v>
      </c>
      <c r="B387" s="31" t="s">
        <v>7</v>
      </c>
      <c r="C387" s="129"/>
      <c r="D387" s="129"/>
      <c r="E387" s="19" t="n">
        <f aca="false">F387*0.03</f>
        <v>0</v>
      </c>
      <c r="F387" s="33" t="n">
        <v>0</v>
      </c>
      <c r="G387" s="131"/>
      <c r="H387" s="35" t="n">
        <v>0</v>
      </c>
      <c r="I387" s="34" t="n">
        <f aca="false">+IF(E387=0,0,E387*0.03)</f>
        <v>0</v>
      </c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customFormat="false" ht="16.4" hidden="false" customHeight="false" outlineLevel="0" collapsed="false">
      <c r="A388" s="135" t="n">
        <v>45566</v>
      </c>
      <c r="B388" s="31" t="s">
        <v>240</v>
      </c>
      <c r="C388" s="129"/>
      <c r="D388" s="129"/>
      <c r="E388" s="19" t="n">
        <f aca="false">F388*0.03</f>
        <v>0</v>
      </c>
      <c r="F388" s="33" t="n">
        <v>0</v>
      </c>
      <c r="G388" s="131"/>
      <c r="H388" s="35" t="n">
        <v>0</v>
      </c>
      <c r="I388" s="34" t="n">
        <f aca="false">+IF(E388=0,0,E388*0.03)</f>
        <v>0</v>
      </c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customFormat="false" ht="16.4" hidden="false" customHeight="false" outlineLevel="0" collapsed="false">
      <c r="A389" s="135" t="n">
        <v>45566</v>
      </c>
      <c r="B389" s="31" t="s">
        <v>153</v>
      </c>
      <c r="C389" s="129"/>
      <c r="D389" s="129"/>
      <c r="E389" s="19" t="n">
        <f aca="false">F389*0.03</f>
        <v>0</v>
      </c>
      <c r="F389" s="33" t="n">
        <v>0</v>
      </c>
      <c r="G389" s="131"/>
      <c r="H389" s="35" t="n">
        <v>0</v>
      </c>
      <c r="I389" s="34" t="n">
        <f aca="false">+IF(E389=0,0,E389*0.03)</f>
        <v>0</v>
      </c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customFormat="false" ht="16.4" hidden="false" customHeight="false" outlineLevel="0" collapsed="false">
      <c r="A390" s="135" t="n">
        <v>45566</v>
      </c>
      <c r="B390" s="31" t="s">
        <v>247</v>
      </c>
      <c r="C390" s="129"/>
      <c r="D390" s="129"/>
      <c r="E390" s="19" t="n">
        <f aca="false">F390*0.03</f>
        <v>0</v>
      </c>
      <c r="F390" s="33" t="n">
        <v>0</v>
      </c>
      <c r="G390" s="131"/>
      <c r="H390" s="35" t="n">
        <v>0</v>
      </c>
      <c r="I390" s="34" t="n">
        <f aca="false">+IF(E390=0,0,E390*0.03)</f>
        <v>0</v>
      </c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customFormat="false" ht="16.4" hidden="false" customHeight="false" outlineLevel="0" collapsed="false">
      <c r="A391" s="135" t="n">
        <v>45566</v>
      </c>
      <c r="B391" s="31" t="s">
        <v>246</v>
      </c>
      <c r="C391" s="129"/>
      <c r="D391" s="129"/>
      <c r="E391" s="19" t="n">
        <f aca="false">F391*0.03</f>
        <v>0</v>
      </c>
      <c r="F391" s="33" t="n">
        <v>0</v>
      </c>
      <c r="G391" s="131"/>
      <c r="H391" s="35" t="n">
        <v>0</v>
      </c>
      <c r="I391" s="34" t="n">
        <f aca="false">+IF(E391=0,0,E391*0.03)</f>
        <v>0</v>
      </c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customFormat="false" ht="16.4" hidden="false" customHeight="false" outlineLevel="0" collapsed="false">
      <c r="A392" s="135" t="n">
        <v>45566</v>
      </c>
      <c r="B392" s="31" t="s">
        <v>239</v>
      </c>
      <c r="C392" s="129"/>
      <c r="D392" s="129"/>
      <c r="E392" s="19" t="n">
        <f aca="false">F392*0.03</f>
        <v>0</v>
      </c>
      <c r="F392" s="33" t="n">
        <v>0</v>
      </c>
      <c r="G392" s="131"/>
      <c r="H392" s="35" t="n">
        <v>0</v>
      </c>
      <c r="I392" s="34" t="n">
        <f aca="false">+IF(E392=0,0,E392*0.03)</f>
        <v>0</v>
      </c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customFormat="false" ht="16.4" hidden="false" customHeight="false" outlineLevel="0" collapsed="false">
      <c r="A393" s="135" t="n">
        <v>45566</v>
      </c>
      <c r="B393" s="31" t="s">
        <v>7</v>
      </c>
      <c r="C393" s="129"/>
      <c r="D393" s="129"/>
      <c r="E393" s="19" t="n">
        <f aca="false">F393*0.03</f>
        <v>0</v>
      </c>
      <c r="F393" s="33" t="n">
        <v>0</v>
      </c>
      <c r="G393" s="131"/>
      <c r="H393" s="35" t="n">
        <v>0</v>
      </c>
      <c r="I393" s="34" t="n">
        <f aca="false">+IF(E393=0,0,E393*0.03)</f>
        <v>0</v>
      </c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customFormat="false" ht="16.4" hidden="false" customHeight="false" outlineLevel="0" collapsed="false">
      <c r="A394" s="135" t="n">
        <v>45566</v>
      </c>
      <c r="B394" s="31" t="s">
        <v>240</v>
      </c>
      <c r="C394" s="129"/>
      <c r="D394" s="129"/>
      <c r="E394" s="19" t="n">
        <f aca="false">F394*0.03</f>
        <v>0</v>
      </c>
      <c r="F394" s="33" t="n">
        <v>0</v>
      </c>
      <c r="G394" s="131"/>
      <c r="H394" s="35" t="n">
        <v>0</v>
      </c>
      <c r="I394" s="34" t="n">
        <f aca="false">+IF(E394=0,0,E394*0.03)</f>
        <v>0</v>
      </c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customFormat="false" ht="16.4" hidden="false" customHeight="false" outlineLevel="0" collapsed="false">
      <c r="A395" s="135" t="n">
        <v>45566</v>
      </c>
      <c r="B395" s="31" t="s">
        <v>153</v>
      </c>
      <c r="C395" s="129"/>
      <c r="D395" s="129"/>
      <c r="E395" s="19" t="n">
        <f aca="false">F395*0.03</f>
        <v>0</v>
      </c>
      <c r="F395" s="33" t="n">
        <v>0</v>
      </c>
      <c r="G395" s="131"/>
      <c r="H395" s="35" t="n">
        <v>0</v>
      </c>
      <c r="I395" s="34" t="n">
        <f aca="false">+IF(E395=0,0,E395*0.03)</f>
        <v>0</v>
      </c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customFormat="false" ht="16.4" hidden="false" customHeight="false" outlineLevel="0" collapsed="false">
      <c r="A396" s="135" t="n">
        <v>45566</v>
      </c>
      <c r="B396" s="31" t="s">
        <v>247</v>
      </c>
      <c r="C396" s="129"/>
      <c r="D396" s="129"/>
      <c r="E396" s="19" t="n">
        <f aca="false">F396*0.03</f>
        <v>0</v>
      </c>
      <c r="F396" s="33" t="n">
        <v>0</v>
      </c>
      <c r="G396" s="131"/>
      <c r="H396" s="35" t="n">
        <v>0</v>
      </c>
      <c r="I396" s="34" t="n">
        <f aca="false">+IF(E396=0,0,E396*0.03)</f>
        <v>0</v>
      </c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customFormat="false" ht="16.4" hidden="false" customHeight="false" outlineLevel="0" collapsed="false">
      <c r="A397" s="135" t="n">
        <v>45566</v>
      </c>
      <c r="B397" s="31" t="s">
        <v>246</v>
      </c>
      <c r="C397" s="129"/>
      <c r="D397" s="129"/>
      <c r="E397" s="19" t="n">
        <f aca="false">F397*0.03</f>
        <v>0</v>
      </c>
      <c r="F397" s="33" t="n">
        <v>0</v>
      </c>
      <c r="G397" s="131"/>
      <c r="H397" s="35" t="n">
        <v>0</v>
      </c>
      <c r="I397" s="34" t="n">
        <f aca="false">+IF(E397=0,0,E397*0.03)</f>
        <v>0</v>
      </c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customFormat="false" ht="16.4" hidden="false" customHeight="false" outlineLevel="0" collapsed="false">
      <c r="A398" s="135" t="n">
        <v>45566</v>
      </c>
      <c r="B398" s="31" t="s">
        <v>239</v>
      </c>
      <c r="C398" s="129"/>
      <c r="D398" s="129"/>
      <c r="E398" s="19" t="n">
        <f aca="false">F398*0.03</f>
        <v>0</v>
      </c>
      <c r="F398" s="33" t="n">
        <v>0</v>
      </c>
      <c r="G398" s="131"/>
      <c r="H398" s="35" t="n">
        <v>0</v>
      </c>
      <c r="I398" s="34" t="n">
        <f aca="false">+IF(E398=0,0,E398*0.03)</f>
        <v>0</v>
      </c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customFormat="false" ht="16.4" hidden="false" customHeight="false" outlineLevel="0" collapsed="false">
      <c r="A399" s="135" t="n">
        <v>45566</v>
      </c>
      <c r="B399" s="31" t="s">
        <v>7</v>
      </c>
      <c r="C399" s="129"/>
      <c r="D399" s="129"/>
      <c r="E399" s="19" t="n">
        <f aca="false">F399*0.03</f>
        <v>0</v>
      </c>
      <c r="F399" s="33" t="n">
        <v>0</v>
      </c>
      <c r="G399" s="131"/>
      <c r="H399" s="35" t="n">
        <v>0</v>
      </c>
      <c r="I399" s="34" t="n">
        <f aca="false">+IF(E399=0,0,E399*0.03)</f>
        <v>0</v>
      </c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customFormat="false" ht="16.4" hidden="false" customHeight="false" outlineLevel="0" collapsed="false">
      <c r="A400" s="135" t="n">
        <v>45566</v>
      </c>
      <c r="B400" s="31" t="s">
        <v>240</v>
      </c>
      <c r="C400" s="129"/>
      <c r="D400" s="129"/>
      <c r="E400" s="19" t="n">
        <f aca="false">F400*0.03</f>
        <v>0</v>
      </c>
      <c r="F400" s="33" t="n">
        <v>0</v>
      </c>
      <c r="G400" s="131"/>
      <c r="H400" s="35" t="n">
        <v>0</v>
      </c>
      <c r="I400" s="34" t="n">
        <f aca="false">+IF(E400=0,0,E400*0.03)</f>
        <v>0</v>
      </c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customFormat="false" ht="16.4" hidden="false" customHeight="false" outlineLevel="0" collapsed="false">
      <c r="A401" s="135" t="n">
        <v>45566</v>
      </c>
      <c r="B401" s="31" t="s">
        <v>153</v>
      </c>
      <c r="C401" s="129"/>
      <c r="D401" s="129"/>
      <c r="E401" s="19" t="n">
        <f aca="false">F401*0.03</f>
        <v>0</v>
      </c>
      <c r="F401" s="33" t="n">
        <v>0</v>
      </c>
      <c r="G401" s="131"/>
      <c r="H401" s="35" t="n">
        <v>0</v>
      </c>
      <c r="I401" s="34" t="n">
        <f aca="false">+IF(E401=0,0,E401*0.03)</f>
        <v>0</v>
      </c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customFormat="false" ht="16.4" hidden="false" customHeight="false" outlineLevel="0" collapsed="false">
      <c r="A402" s="135" t="n">
        <v>45566</v>
      </c>
      <c r="B402" s="31" t="s">
        <v>247</v>
      </c>
      <c r="C402" s="129"/>
      <c r="D402" s="129"/>
      <c r="E402" s="19" t="n">
        <f aca="false">F402*0.03</f>
        <v>0</v>
      </c>
      <c r="F402" s="33" t="n">
        <v>0</v>
      </c>
      <c r="G402" s="131"/>
      <c r="H402" s="35" t="n">
        <v>0</v>
      </c>
      <c r="I402" s="34" t="n">
        <f aca="false">+IF(E402=0,0,E402*0.03)</f>
        <v>0</v>
      </c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customFormat="false" ht="16.4" hidden="false" customHeight="false" outlineLevel="0" collapsed="false">
      <c r="A403" s="135" t="n">
        <v>45566</v>
      </c>
      <c r="B403" s="31" t="s">
        <v>246</v>
      </c>
      <c r="C403" s="129"/>
      <c r="D403" s="129"/>
      <c r="E403" s="19" t="n">
        <f aca="false">F403*0.03</f>
        <v>0</v>
      </c>
      <c r="F403" s="33" t="n">
        <v>0</v>
      </c>
      <c r="G403" s="131"/>
      <c r="H403" s="35" t="n">
        <v>0</v>
      </c>
      <c r="I403" s="34" t="n">
        <f aca="false">+IF(E403=0,0,E403*0.03)</f>
        <v>0</v>
      </c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customFormat="false" ht="16.4" hidden="false" customHeight="false" outlineLevel="0" collapsed="false">
      <c r="A404" s="135" t="n">
        <v>45566</v>
      </c>
      <c r="B404" s="31" t="s">
        <v>239</v>
      </c>
      <c r="C404" s="129"/>
      <c r="D404" s="129"/>
      <c r="E404" s="19" t="n">
        <f aca="false">F404*0.03</f>
        <v>0</v>
      </c>
      <c r="F404" s="33" t="n">
        <v>0</v>
      </c>
      <c r="G404" s="131"/>
      <c r="H404" s="35" t="n">
        <v>0</v>
      </c>
      <c r="I404" s="34" t="n">
        <f aca="false">+IF(E404=0,0,E404*0.03)</f>
        <v>0</v>
      </c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customFormat="false" ht="16.4" hidden="false" customHeight="false" outlineLevel="0" collapsed="false">
      <c r="A405" s="135" t="n">
        <v>45566</v>
      </c>
      <c r="B405" s="31" t="s">
        <v>7</v>
      </c>
      <c r="C405" s="129"/>
      <c r="D405" s="129"/>
      <c r="E405" s="19" t="n">
        <f aca="false">F405*0.03</f>
        <v>0</v>
      </c>
      <c r="F405" s="33" t="n">
        <v>0</v>
      </c>
      <c r="G405" s="131"/>
      <c r="H405" s="35" t="n">
        <v>0</v>
      </c>
      <c r="I405" s="34" t="n">
        <f aca="false">+IF(E405=0,0,E405*0.03)</f>
        <v>0</v>
      </c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customFormat="false" ht="16.4" hidden="false" customHeight="false" outlineLevel="0" collapsed="false">
      <c r="A406" s="135" t="n">
        <v>45566</v>
      </c>
      <c r="B406" s="31" t="s">
        <v>240</v>
      </c>
      <c r="C406" s="129"/>
      <c r="D406" s="129"/>
      <c r="E406" s="19" t="n">
        <f aca="false">F406*0.03</f>
        <v>0</v>
      </c>
      <c r="F406" s="33" t="n">
        <v>0</v>
      </c>
      <c r="G406" s="131"/>
      <c r="H406" s="35" t="n">
        <v>0</v>
      </c>
      <c r="I406" s="34" t="n">
        <f aca="false">+IF(E406=0,0,E406*0.03)</f>
        <v>0</v>
      </c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customFormat="false" ht="16.4" hidden="false" customHeight="false" outlineLevel="0" collapsed="false">
      <c r="A407" s="135" t="n">
        <v>45566</v>
      </c>
      <c r="B407" s="31" t="s">
        <v>153</v>
      </c>
      <c r="C407" s="129"/>
      <c r="D407" s="129"/>
      <c r="E407" s="19" t="n">
        <f aca="false">F407*0.03</f>
        <v>0</v>
      </c>
      <c r="F407" s="33" t="n">
        <v>0</v>
      </c>
      <c r="G407" s="131"/>
      <c r="H407" s="35" t="n">
        <v>0</v>
      </c>
      <c r="I407" s="34" t="n">
        <f aca="false">+IF(E407=0,0,E407*0.03)</f>
        <v>0</v>
      </c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customFormat="false" ht="16.4" hidden="false" customHeight="false" outlineLevel="0" collapsed="false">
      <c r="A408" s="135" t="n">
        <v>45566</v>
      </c>
      <c r="B408" s="31" t="s">
        <v>247</v>
      </c>
      <c r="C408" s="129"/>
      <c r="D408" s="129"/>
      <c r="E408" s="19" t="n">
        <f aca="false">F408*0.03</f>
        <v>0</v>
      </c>
      <c r="F408" s="33" t="n">
        <v>0</v>
      </c>
      <c r="G408" s="131"/>
      <c r="H408" s="35" t="n">
        <v>0</v>
      </c>
      <c r="I408" s="34" t="n">
        <f aca="false">+IF(E408=0,0,E408*0.03)</f>
        <v>0</v>
      </c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customFormat="false" ht="16.4" hidden="false" customHeight="false" outlineLevel="0" collapsed="false">
      <c r="A409" s="135" t="n">
        <v>45566</v>
      </c>
      <c r="B409" s="31" t="s">
        <v>246</v>
      </c>
      <c r="C409" s="129"/>
      <c r="D409" s="129"/>
      <c r="E409" s="19" t="n">
        <f aca="false">F409*0.03</f>
        <v>0</v>
      </c>
      <c r="F409" s="33" t="n">
        <v>0</v>
      </c>
      <c r="G409" s="131"/>
      <c r="H409" s="35" t="n">
        <v>0</v>
      </c>
      <c r="I409" s="34" t="n">
        <f aca="false">+IF(E409=0,0,E409*0.03)</f>
        <v>0</v>
      </c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customFormat="false" ht="16.4" hidden="false" customHeight="false" outlineLevel="0" collapsed="false">
      <c r="A410" s="135" t="n">
        <v>45566</v>
      </c>
      <c r="B410" s="31" t="s">
        <v>239</v>
      </c>
      <c r="C410" s="129"/>
      <c r="D410" s="129"/>
      <c r="E410" s="19" t="n">
        <f aca="false">F410*0.03</f>
        <v>0</v>
      </c>
      <c r="F410" s="33" t="n">
        <v>0</v>
      </c>
      <c r="G410" s="131"/>
      <c r="H410" s="35" t="n">
        <v>0</v>
      </c>
      <c r="I410" s="34" t="n">
        <f aca="false">+IF(E410=0,0,E410*0.03)</f>
        <v>0</v>
      </c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customFormat="false" ht="16.4" hidden="false" customHeight="false" outlineLevel="0" collapsed="false">
      <c r="A411" s="135" t="n">
        <v>45566</v>
      </c>
      <c r="B411" s="31" t="s">
        <v>7</v>
      </c>
      <c r="C411" s="129"/>
      <c r="D411" s="129"/>
      <c r="E411" s="19" t="n">
        <f aca="false">F411*0.03</f>
        <v>0</v>
      </c>
      <c r="F411" s="33" t="n">
        <v>0</v>
      </c>
      <c r="G411" s="131"/>
      <c r="H411" s="35" t="n">
        <v>0</v>
      </c>
      <c r="I411" s="34" t="n">
        <f aca="false">+IF(E411=0,0,E411*0.03)</f>
        <v>0</v>
      </c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customFormat="false" ht="16.4" hidden="false" customHeight="false" outlineLevel="0" collapsed="false">
      <c r="A412" s="135" t="n">
        <v>45566</v>
      </c>
      <c r="B412" s="31" t="s">
        <v>240</v>
      </c>
      <c r="C412" s="129"/>
      <c r="D412" s="129"/>
      <c r="E412" s="19" t="n">
        <f aca="false">F412*0.03</f>
        <v>0</v>
      </c>
      <c r="F412" s="33" t="n">
        <v>0</v>
      </c>
      <c r="G412" s="131"/>
      <c r="H412" s="35" t="n">
        <v>0</v>
      </c>
      <c r="I412" s="34" t="n">
        <f aca="false">+IF(E412=0,0,E412*0.03)</f>
        <v>0</v>
      </c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customFormat="false" ht="16.4" hidden="false" customHeight="false" outlineLevel="0" collapsed="false">
      <c r="A413" s="135" t="n">
        <v>45566</v>
      </c>
      <c r="B413" s="31" t="s">
        <v>153</v>
      </c>
      <c r="C413" s="129"/>
      <c r="D413" s="129"/>
      <c r="E413" s="19" t="n">
        <f aca="false">F413*0.03</f>
        <v>0</v>
      </c>
      <c r="F413" s="33" t="n">
        <v>0</v>
      </c>
      <c r="G413" s="131"/>
      <c r="H413" s="35" t="n">
        <v>0</v>
      </c>
      <c r="I413" s="34" t="n">
        <f aca="false">+IF(E413=0,0,E413*0.03)</f>
        <v>0</v>
      </c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customFormat="false" ht="16.4" hidden="false" customHeight="false" outlineLevel="0" collapsed="false">
      <c r="A414" s="135" t="n">
        <v>45566</v>
      </c>
      <c r="B414" s="31" t="s">
        <v>247</v>
      </c>
      <c r="C414" s="129"/>
      <c r="D414" s="129"/>
      <c r="E414" s="19" t="n">
        <f aca="false">F414*0.03</f>
        <v>0</v>
      </c>
      <c r="F414" s="33" t="n">
        <v>0</v>
      </c>
      <c r="G414" s="131"/>
      <c r="H414" s="35" t="n">
        <v>0</v>
      </c>
      <c r="I414" s="34" t="n">
        <f aca="false">+IF(E414=0,0,E414*0.03)</f>
        <v>0</v>
      </c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customFormat="false" ht="16.4" hidden="false" customHeight="false" outlineLevel="0" collapsed="false">
      <c r="A415" s="135" t="n">
        <v>45566</v>
      </c>
      <c r="B415" s="31" t="s">
        <v>246</v>
      </c>
      <c r="C415" s="129"/>
      <c r="D415" s="129"/>
      <c r="E415" s="19" t="n">
        <f aca="false">F415*0.03</f>
        <v>0</v>
      </c>
      <c r="F415" s="33" t="n">
        <v>0</v>
      </c>
      <c r="G415" s="131"/>
      <c r="H415" s="35" t="n">
        <v>0</v>
      </c>
      <c r="I415" s="34" t="n">
        <f aca="false">+IF(E415=0,0,E415*0.03)</f>
        <v>0</v>
      </c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customFormat="false" ht="16.4" hidden="false" customHeight="false" outlineLevel="0" collapsed="false">
      <c r="A416" s="135" t="n">
        <v>45566</v>
      </c>
      <c r="B416" s="31" t="s">
        <v>239</v>
      </c>
      <c r="C416" s="129"/>
      <c r="D416" s="129"/>
      <c r="E416" s="19" t="n">
        <f aca="false">F416*0.03</f>
        <v>0</v>
      </c>
      <c r="F416" s="33" t="n">
        <v>0</v>
      </c>
      <c r="G416" s="131"/>
      <c r="H416" s="35" t="n">
        <v>0</v>
      </c>
      <c r="I416" s="34" t="n">
        <f aca="false">+IF(E416=0,0,E416*0.03)</f>
        <v>0</v>
      </c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customFormat="false" ht="16.4" hidden="false" customHeight="false" outlineLevel="0" collapsed="false">
      <c r="A417" s="135" t="n">
        <v>45566</v>
      </c>
      <c r="B417" s="31" t="s">
        <v>7</v>
      </c>
      <c r="C417" s="129"/>
      <c r="D417" s="129"/>
      <c r="E417" s="19" t="n">
        <f aca="false">F417*0.03</f>
        <v>0</v>
      </c>
      <c r="F417" s="33" t="n">
        <v>0</v>
      </c>
      <c r="G417" s="131"/>
      <c r="H417" s="35" t="n">
        <v>0</v>
      </c>
      <c r="I417" s="34" t="n">
        <f aca="false">+IF(E417=0,0,E417*0.03)</f>
        <v>0</v>
      </c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customFormat="false" ht="16.4" hidden="false" customHeight="false" outlineLevel="0" collapsed="false">
      <c r="A418" s="135" t="n">
        <v>45566</v>
      </c>
      <c r="B418" s="31" t="s">
        <v>240</v>
      </c>
      <c r="C418" s="129"/>
      <c r="D418" s="129"/>
      <c r="E418" s="19" t="n">
        <f aca="false">F418*0.03</f>
        <v>0</v>
      </c>
      <c r="F418" s="33" t="n">
        <v>0</v>
      </c>
      <c r="G418" s="131"/>
      <c r="H418" s="35" t="n">
        <v>0</v>
      </c>
      <c r="I418" s="34" t="n">
        <f aca="false">+IF(E418=0,0,E418*0.03)</f>
        <v>0</v>
      </c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customFormat="false" ht="16.4" hidden="false" customHeight="false" outlineLevel="0" collapsed="false">
      <c r="A419" s="135" t="n">
        <v>45566</v>
      </c>
      <c r="B419" s="31" t="s">
        <v>153</v>
      </c>
      <c r="C419" s="129"/>
      <c r="D419" s="129"/>
      <c r="E419" s="19" t="n">
        <f aca="false">F419*0.03</f>
        <v>0</v>
      </c>
      <c r="F419" s="33" t="n">
        <v>0</v>
      </c>
      <c r="G419" s="131"/>
      <c r="H419" s="35" t="n">
        <v>0</v>
      </c>
      <c r="I419" s="34" t="n">
        <f aca="false">+IF(E419=0,0,E419*0.03)</f>
        <v>0</v>
      </c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customFormat="false" ht="16.4" hidden="false" customHeight="false" outlineLevel="0" collapsed="false">
      <c r="A420" s="135" t="n">
        <v>45566</v>
      </c>
      <c r="B420" s="31" t="s">
        <v>247</v>
      </c>
      <c r="C420" s="129"/>
      <c r="D420" s="129"/>
      <c r="E420" s="19" t="n">
        <f aca="false">F420*0.03</f>
        <v>0</v>
      </c>
      <c r="F420" s="33" t="n">
        <v>0</v>
      </c>
      <c r="G420" s="131"/>
      <c r="H420" s="35" t="n">
        <v>0</v>
      </c>
      <c r="I420" s="34" t="n">
        <f aca="false">+IF(E420=0,0,E420*0.03)</f>
        <v>0</v>
      </c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customFormat="false" ht="16.4" hidden="false" customHeight="false" outlineLevel="0" collapsed="false">
      <c r="A421" s="135" t="n">
        <v>45566</v>
      </c>
      <c r="B421" s="31" t="s">
        <v>246</v>
      </c>
      <c r="C421" s="129"/>
      <c r="D421" s="129"/>
      <c r="E421" s="19" t="n">
        <f aca="false">F421*0.03</f>
        <v>0</v>
      </c>
      <c r="F421" s="33" t="n">
        <v>0</v>
      </c>
      <c r="G421" s="131"/>
      <c r="H421" s="35" t="n">
        <v>0</v>
      </c>
      <c r="I421" s="34" t="n">
        <f aca="false">+IF(E421=0,0,E421*0.03)</f>
        <v>0</v>
      </c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customFormat="false" ht="16.4" hidden="false" customHeight="false" outlineLevel="0" collapsed="false">
      <c r="A422" s="135" t="n">
        <v>45566</v>
      </c>
      <c r="B422" s="31" t="s">
        <v>239</v>
      </c>
      <c r="C422" s="129"/>
      <c r="D422" s="129"/>
      <c r="E422" s="19" t="n">
        <f aca="false">F422*0.03</f>
        <v>0</v>
      </c>
      <c r="F422" s="33" t="n">
        <v>0</v>
      </c>
      <c r="G422" s="131"/>
      <c r="H422" s="35" t="n">
        <v>0</v>
      </c>
      <c r="I422" s="34" t="n">
        <f aca="false">+IF(E422=0,0,E422*0.03)</f>
        <v>0</v>
      </c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customFormat="false" ht="16.4" hidden="false" customHeight="false" outlineLevel="0" collapsed="false">
      <c r="A423" s="135" t="n">
        <v>45566</v>
      </c>
      <c r="B423" s="31" t="s">
        <v>7</v>
      </c>
      <c r="C423" s="129"/>
      <c r="D423" s="129"/>
      <c r="E423" s="19" t="n">
        <f aca="false">F423*0.03</f>
        <v>0</v>
      </c>
      <c r="F423" s="33" t="n">
        <v>0</v>
      </c>
      <c r="G423" s="131"/>
      <c r="H423" s="35" t="n">
        <v>0</v>
      </c>
      <c r="I423" s="34" t="n">
        <f aca="false">+IF(E423=0,0,E423*0.03)</f>
        <v>0</v>
      </c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customFormat="false" ht="16.4" hidden="false" customHeight="false" outlineLevel="0" collapsed="false">
      <c r="A424" s="135" t="n">
        <v>45566</v>
      </c>
      <c r="B424" s="31" t="s">
        <v>240</v>
      </c>
      <c r="C424" s="129"/>
      <c r="D424" s="129"/>
      <c r="E424" s="19" t="n">
        <f aca="false">F424*0.03</f>
        <v>0</v>
      </c>
      <c r="F424" s="33" t="n">
        <v>0</v>
      </c>
      <c r="G424" s="131"/>
      <c r="H424" s="35" t="n">
        <v>0</v>
      </c>
      <c r="I424" s="34" t="n">
        <f aca="false">+IF(E424=0,0,E424*0.03)</f>
        <v>0</v>
      </c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customFormat="false" ht="16.4" hidden="false" customHeight="false" outlineLevel="0" collapsed="false">
      <c r="A425" s="135" t="n">
        <v>45566</v>
      </c>
      <c r="B425" s="31" t="s">
        <v>153</v>
      </c>
      <c r="C425" s="129"/>
      <c r="D425" s="129"/>
      <c r="E425" s="19" t="n">
        <f aca="false">F425*0.03</f>
        <v>0</v>
      </c>
      <c r="F425" s="33" t="n">
        <v>0</v>
      </c>
      <c r="G425" s="131"/>
      <c r="H425" s="35" t="n">
        <v>0</v>
      </c>
      <c r="I425" s="34" t="n">
        <f aca="false">+IF(E425=0,0,E425*0.03)</f>
        <v>0</v>
      </c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customFormat="false" ht="16.4" hidden="false" customHeight="false" outlineLevel="0" collapsed="false">
      <c r="A426" s="135" t="n">
        <v>45566</v>
      </c>
      <c r="B426" s="31" t="s">
        <v>247</v>
      </c>
      <c r="C426" s="129"/>
      <c r="D426" s="129"/>
      <c r="E426" s="19" t="n">
        <f aca="false">F426*0.03</f>
        <v>0</v>
      </c>
      <c r="F426" s="33" t="n">
        <v>0</v>
      </c>
      <c r="G426" s="131"/>
      <c r="H426" s="35" t="n">
        <v>0</v>
      </c>
      <c r="I426" s="34" t="n">
        <f aca="false">+IF(E426=0,0,E426*0.03)</f>
        <v>0</v>
      </c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customFormat="false" ht="16.4" hidden="false" customHeight="false" outlineLevel="0" collapsed="false">
      <c r="A427" s="135" t="n">
        <v>45566</v>
      </c>
      <c r="B427" s="31" t="s">
        <v>246</v>
      </c>
      <c r="C427" s="129"/>
      <c r="D427" s="129"/>
      <c r="E427" s="19" t="n">
        <f aca="false">F427*0.03</f>
        <v>0</v>
      </c>
      <c r="F427" s="33" t="n">
        <v>0</v>
      </c>
      <c r="G427" s="131"/>
      <c r="H427" s="35" t="n">
        <v>0</v>
      </c>
      <c r="I427" s="34" t="n">
        <f aca="false">+IF(E427=0,0,E427*0.03)</f>
        <v>0</v>
      </c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customFormat="false" ht="16.4" hidden="false" customHeight="false" outlineLevel="0" collapsed="false">
      <c r="A428" s="135" t="n">
        <v>45566</v>
      </c>
      <c r="B428" s="31" t="s">
        <v>239</v>
      </c>
      <c r="C428" s="129"/>
      <c r="D428" s="129"/>
      <c r="E428" s="19" t="n">
        <f aca="false">F428*0.03</f>
        <v>0</v>
      </c>
      <c r="F428" s="33" t="n">
        <v>0</v>
      </c>
      <c r="G428" s="131"/>
      <c r="H428" s="35" t="n">
        <v>0</v>
      </c>
      <c r="I428" s="34" t="n">
        <f aca="false">+IF(E428=0,0,E428*0.03)</f>
        <v>0</v>
      </c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customFormat="false" ht="16.4" hidden="false" customHeight="false" outlineLevel="0" collapsed="false">
      <c r="A429" s="135" t="n">
        <v>45566</v>
      </c>
      <c r="B429" s="31" t="s">
        <v>7</v>
      </c>
      <c r="C429" s="129"/>
      <c r="D429" s="129"/>
      <c r="E429" s="19" t="n">
        <f aca="false">F429*0.03</f>
        <v>0</v>
      </c>
      <c r="F429" s="33" t="n">
        <v>0</v>
      </c>
      <c r="G429" s="131"/>
      <c r="H429" s="35" t="n">
        <v>0</v>
      </c>
      <c r="I429" s="34" t="n">
        <f aca="false">+IF(E429=0,0,E429*0.03)</f>
        <v>0</v>
      </c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customFormat="false" ht="16.4" hidden="false" customHeight="false" outlineLevel="0" collapsed="false">
      <c r="A430" s="135" t="n">
        <v>45566</v>
      </c>
      <c r="B430" s="31" t="s">
        <v>240</v>
      </c>
      <c r="C430" s="129"/>
      <c r="D430" s="129"/>
      <c r="E430" s="19" t="n">
        <f aca="false">F430*0.03</f>
        <v>0</v>
      </c>
      <c r="F430" s="33" t="n">
        <v>0</v>
      </c>
      <c r="G430" s="131"/>
      <c r="H430" s="35" t="n">
        <v>0</v>
      </c>
      <c r="I430" s="34" t="n">
        <f aca="false">+IF(E430=0,0,E430*0.03)</f>
        <v>0</v>
      </c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customFormat="false" ht="16.4" hidden="false" customHeight="false" outlineLevel="0" collapsed="false">
      <c r="A431" s="135" t="n">
        <v>45566</v>
      </c>
      <c r="B431" s="31" t="s">
        <v>153</v>
      </c>
      <c r="C431" s="129"/>
      <c r="D431" s="129"/>
      <c r="E431" s="19" t="n">
        <f aca="false">F431*0.03</f>
        <v>0</v>
      </c>
      <c r="F431" s="33" t="n">
        <v>0</v>
      </c>
      <c r="G431" s="131"/>
      <c r="H431" s="35" t="n">
        <v>0</v>
      </c>
      <c r="I431" s="34" t="n">
        <f aca="false">+IF(E431=0,0,E431*0.03)</f>
        <v>0</v>
      </c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customFormat="false" ht="16.4" hidden="false" customHeight="false" outlineLevel="0" collapsed="false">
      <c r="A432" s="135" t="n">
        <v>45566</v>
      </c>
      <c r="B432" s="31" t="s">
        <v>247</v>
      </c>
      <c r="C432" s="129"/>
      <c r="D432" s="129"/>
      <c r="E432" s="19" t="n">
        <f aca="false">F432*0.03</f>
        <v>0</v>
      </c>
      <c r="F432" s="33" t="n">
        <v>0</v>
      </c>
      <c r="G432" s="131"/>
      <c r="H432" s="35" t="n">
        <v>0</v>
      </c>
      <c r="I432" s="34" t="n">
        <f aca="false">+IF(E432=0,0,E432*0.03)</f>
        <v>0</v>
      </c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customFormat="false" ht="16.4" hidden="false" customHeight="false" outlineLevel="0" collapsed="false">
      <c r="A433" s="135" t="n">
        <v>45566</v>
      </c>
      <c r="B433" s="31" t="s">
        <v>246</v>
      </c>
      <c r="C433" s="129"/>
      <c r="D433" s="129"/>
      <c r="E433" s="19" t="n">
        <f aca="false">F433*0.03</f>
        <v>0</v>
      </c>
      <c r="F433" s="33" t="n">
        <v>0</v>
      </c>
      <c r="G433" s="131"/>
      <c r="H433" s="35" t="n">
        <v>0</v>
      </c>
      <c r="I433" s="34" t="n">
        <f aca="false">+IF(E433=0,0,E433*0.03)</f>
        <v>0</v>
      </c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customFormat="false" ht="16.4" hidden="false" customHeight="false" outlineLevel="0" collapsed="false">
      <c r="A434" s="135" t="n">
        <v>45566</v>
      </c>
      <c r="B434" s="31" t="s">
        <v>239</v>
      </c>
      <c r="C434" s="129"/>
      <c r="D434" s="129"/>
      <c r="E434" s="19" t="n">
        <f aca="false">F434*0.03</f>
        <v>0</v>
      </c>
      <c r="F434" s="33" t="n">
        <v>0</v>
      </c>
      <c r="G434" s="131"/>
      <c r="H434" s="35" t="n">
        <v>0</v>
      </c>
      <c r="I434" s="34" t="n">
        <f aca="false">+IF(E434=0,0,E434*0.03)</f>
        <v>0</v>
      </c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customFormat="false" ht="16.4" hidden="false" customHeight="false" outlineLevel="0" collapsed="false">
      <c r="A435" s="135" t="n">
        <v>45566</v>
      </c>
      <c r="B435" s="31" t="s">
        <v>7</v>
      </c>
      <c r="C435" s="129"/>
      <c r="D435" s="129"/>
      <c r="E435" s="19" t="n">
        <f aca="false">F435*0.03</f>
        <v>0</v>
      </c>
      <c r="F435" s="33" t="n">
        <v>0</v>
      </c>
      <c r="G435" s="131"/>
      <c r="H435" s="35" t="n">
        <v>0</v>
      </c>
      <c r="I435" s="34" t="n">
        <f aca="false">+IF(E435=0,0,E435*0.03)</f>
        <v>0</v>
      </c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customFormat="false" ht="16.4" hidden="false" customHeight="false" outlineLevel="0" collapsed="false">
      <c r="A436" s="135" t="n">
        <v>45566</v>
      </c>
      <c r="B436" s="31" t="s">
        <v>240</v>
      </c>
      <c r="C436" s="129"/>
      <c r="D436" s="129"/>
      <c r="E436" s="19" t="n">
        <f aca="false">F436*0.03</f>
        <v>0</v>
      </c>
      <c r="F436" s="33" t="n">
        <v>0</v>
      </c>
      <c r="G436" s="131"/>
      <c r="H436" s="35" t="n">
        <v>0</v>
      </c>
      <c r="I436" s="34" t="n">
        <f aca="false">+IF(E436=0,0,E436*0.03)</f>
        <v>0</v>
      </c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customFormat="false" ht="16.4" hidden="false" customHeight="false" outlineLevel="0" collapsed="false">
      <c r="A437" s="135" t="n">
        <v>45566</v>
      </c>
      <c r="B437" s="31" t="s">
        <v>153</v>
      </c>
      <c r="C437" s="129"/>
      <c r="D437" s="129"/>
      <c r="E437" s="19" t="n">
        <f aca="false">F437*0.03</f>
        <v>0</v>
      </c>
      <c r="F437" s="33" t="n">
        <v>0</v>
      </c>
      <c r="G437" s="131"/>
      <c r="H437" s="35" t="n">
        <v>0</v>
      </c>
      <c r="I437" s="34" t="n">
        <f aca="false">+IF(E437=0,0,E437*0.03)</f>
        <v>0</v>
      </c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customFormat="false" ht="16.4" hidden="false" customHeight="false" outlineLevel="0" collapsed="false">
      <c r="A438" s="135" t="n">
        <v>45566</v>
      </c>
      <c r="B438" s="31" t="s">
        <v>247</v>
      </c>
      <c r="C438" s="129"/>
      <c r="D438" s="129"/>
      <c r="E438" s="19" t="n">
        <f aca="false">F438*0.03</f>
        <v>0</v>
      </c>
      <c r="F438" s="33" t="n">
        <v>0</v>
      </c>
      <c r="G438" s="131"/>
      <c r="H438" s="35" t="n">
        <v>0</v>
      </c>
      <c r="I438" s="34" t="n">
        <f aca="false">+IF(E438=0,0,E438*0.03)</f>
        <v>0</v>
      </c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customFormat="false" ht="16.4" hidden="false" customHeight="false" outlineLevel="0" collapsed="false">
      <c r="A439" s="135" t="n">
        <v>45566</v>
      </c>
      <c r="B439" s="31" t="s">
        <v>246</v>
      </c>
      <c r="C439" s="129"/>
      <c r="D439" s="129"/>
      <c r="E439" s="19" t="n">
        <f aca="false">F439*0.03</f>
        <v>0</v>
      </c>
      <c r="F439" s="33" t="n">
        <v>0</v>
      </c>
      <c r="G439" s="131"/>
      <c r="H439" s="35" t="n">
        <v>0</v>
      </c>
      <c r="I439" s="34" t="n">
        <f aca="false">+IF(E439=0,0,E439*0.03)</f>
        <v>0</v>
      </c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customFormat="false" ht="16.4" hidden="false" customHeight="false" outlineLevel="0" collapsed="false">
      <c r="A440" s="135" t="n">
        <v>45566</v>
      </c>
      <c r="B440" s="31" t="s">
        <v>239</v>
      </c>
      <c r="C440" s="129"/>
      <c r="D440" s="129"/>
      <c r="E440" s="19" t="n">
        <f aca="false">F440*0.03</f>
        <v>0</v>
      </c>
      <c r="F440" s="33" t="n">
        <v>0</v>
      </c>
      <c r="G440" s="131"/>
      <c r="H440" s="35" t="n">
        <v>0</v>
      </c>
      <c r="I440" s="34" t="n">
        <f aca="false">+IF(E440=0,0,E440*0.03)</f>
        <v>0</v>
      </c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customFormat="false" ht="16.4" hidden="false" customHeight="false" outlineLevel="0" collapsed="false">
      <c r="A441" s="135" t="n">
        <v>45566</v>
      </c>
      <c r="B441" s="31" t="s">
        <v>7</v>
      </c>
      <c r="C441" s="129"/>
      <c r="D441" s="129"/>
      <c r="E441" s="19" t="n">
        <f aca="false">F441*0.03</f>
        <v>0</v>
      </c>
      <c r="F441" s="33" t="n">
        <v>0</v>
      </c>
      <c r="G441" s="131"/>
      <c r="H441" s="35" t="n">
        <v>0</v>
      </c>
      <c r="I441" s="34" t="n">
        <f aca="false">+IF(E441=0,0,E441*0.03)</f>
        <v>0</v>
      </c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customFormat="false" ht="16.4" hidden="false" customHeight="false" outlineLevel="0" collapsed="false">
      <c r="A442" s="135" t="n">
        <v>45566</v>
      </c>
      <c r="B442" s="31" t="s">
        <v>240</v>
      </c>
      <c r="C442" s="129"/>
      <c r="D442" s="129"/>
      <c r="E442" s="19" t="n">
        <f aca="false">F442*0.03</f>
        <v>0</v>
      </c>
      <c r="F442" s="33" t="n">
        <v>0</v>
      </c>
      <c r="G442" s="131"/>
      <c r="H442" s="35" t="n">
        <v>0</v>
      </c>
      <c r="I442" s="34" t="n">
        <f aca="false">+IF(E442=0,0,E442*0.03)</f>
        <v>0</v>
      </c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customFormat="false" ht="16.4" hidden="false" customHeight="false" outlineLevel="0" collapsed="false">
      <c r="A443" s="135" t="n">
        <v>45566</v>
      </c>
      <c r="B443" s="31" t="s">
        <v>153</v>
      </c>
      <c r="C443" s="129"/>
      <c r="D443" s="129"/>
      <c r="E443" s="19" t="n">
        <f aca="false">F443*0.03</f>
        <v>0</v>
      </c>
      <c r="F443" s="33" t="n">
        <v>0</v>
      </c>
      <c r="G443" s="131"/>
      <c r="H443" s="35" t="n">
        <v>0</v>
      </c>
      <c r="I443" s="34" t="n">
        <f aca="false">+IF(E443=0,0,E443*0.03)</f>
        <v>0</v>
      </c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customFormat="false" ht="16.4" hidden="false" customHeight="false" outlineLevel="0" collapsed="false">
      <c r="A444" s="135" t="n">
        <v>45566</v>
      </c>
      <c r="B444" s="31" t="s">
        <v>247</v>
      </c>
      <c r="C444" s="129"/>
      <c r="D444" s="129"/>
      <c r="E444" s="19" t="n">
        <f aca="false">F444*0.03</f>
        <v>0</v>
      </c>
      <c r="F444" s="33" t="n">
        <v>0</v>
      </c>
      <c r="G444" s="131"/>
      <c r="H444" s="35" t="n">
        <v>0</v>
      </c>
      <c r="I444" s="34" t="n">
        <f aca="false">+IF(E444=0,0,E444*0.03)</f>
        <v>0</v>
      </c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customFormat="false" ht="16.4" hidden="false" customHeight="false" outlineLevel="0" collapsed="false">
      <c r="A445" s="135" t="n">
        <v>45566</v>
      </c>
      <c r="B445" s="31" t="s">
        <v>246</v>
      </c>
      <c r="C445" s="129"/>
      <c r="D445" s="129"/>
      <c r="E445" s="19" t="n">
        <f aca="false">F445*0.03</f>
        <v>0</v>
      </c>
      <c r="F445" s="33" t="n">
        <v>0</v>
      </c>
      <c r="G445" s="131"/>
      <c r="H445" s="35" t="n">
        <v>0</v>
      </c>
      <c r="I445" s="34" t="n">
        <f aca="false">+IF(E445=0,0,E445*0.03)</f>
        <v>0</v>
      </c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customFormat="false" ht="16.4" hidden="false" customHeight="false" outlineLevel="0" collapsed="false">
      <c r="A446" s="135" t="n">
        <v>45566</v>
      </c>
      <c r="B446" s="31" t="s">
        <v>239</v>
      </c>
      <c r="C446" s="129"/>
      <c r="D446" s="129"/>
      <c r="E446" s="19" t="n">
        <f aca="false">F446*0.03</f>
        <v>0</v>
      </c>
      <c r="F446" s="33" t="n">
        <v>0</v>
      </c>
      <c r="G446" s="131"/>
      <c r="H446" s="35" t="n">
        <v>0</v>
      </c>
      <c r="I446" s="34" t="n">
        <f aca="false">+IF(E446=0,0,E446*0.03)</f>
        <v>0</v>
      </c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customFormat="false" ht="16.4" hidden="false" customHeight="false" outlineLevel="0" collapsed="false">
      <c r="A447" s="135" t="n">
        <v>45566</v>
      </c>
      <c r="B447" s="31" t="s">
        <v>7</v>
      </c>
      <c r="C447" s="129"/>
      <c r="D447" s="129"/>
      <c r="E447" s="19" t="n">
        <f aca="false">F447*0.03</f>
        <v>0</v>
      </c>
      <c r="F447" s="33" t="n">
        <v>0</v>
      </c>
      <c r="G447" s="131"/>
      <c r="H447" s="35" t="n">
        <v>0</v>
      </c>
      <c r="I447" s="34" t="n">
        <f aca="false">+IF(E447=0,0,E447*0.03)</f>
        <v>0</v>
      </c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customFormat="false" ht="16.4" hidden="false" customHeight="false" outlineLevel="0" collapsed="false">
      <c r="A448" s="135" t="n">
        <v>45566</v>
      </c>
      <c r="B448" s="31" t="s">
        <v>240</v>
      </c>
      <c r="C448" s="129"/>
      <c r="D448" s="129"/>
      <c r="E448" s="19" t="n">
        <f aca="false">F448*0.03</f>
        <v>0</v>
      </c>
      <c r="F448" s="33" t="n">
        <v>0</v>
      </c>
      <c r="G448" s="131"/>
      <c r="H448" s="35" t="n">
        <v>0</v>
      </c>
      <c r="I448" s="34" t="n">
        <f aca="false">+IF(E448=0,0,E448*0.03)</f>
        <v>0</v>
      </c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customFormat="false" ht="16.4" hidden="false" customHeight="false" outlineLevel="0" collapsed="false">
      <c r="A449" s="135" t="n">
        <v>45566</v>
      </c>
      <c r="B449" s="31" t="s">
        <v>153</v>
      </c>
      <c r="C449" s="129"/>
      <c r="D449" s="129"/>
      <c r="E449" s="19" t="n">
        <f aca="false">F449*0.03</f>
        <v>0</v>
      </c>
      <c r="F449" s="33" t="n">
        <v>0</v>
      </c>
      <c r="G449" s="131"/>
      <c r="H449" s="35" t="n">
        <v>0</v>
      </c>
      <c r="I449" s="34" t="n">
        <f aca="false">+IF(E449=0,0,E449*0.03)</f>
        <v>0</v>
      </c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customFormat="false" ht="16.4" hidden="false" customHeight="false" outlineLevel="0" collapsed="false">
      <c r="A450" s="135" t="n">
        <v>45566</v>
      </c>
      <c r="B450" s="31" t="s">
        <v>247</v>
      </c>
      <c r="C450" s="129"/>
      <c r="D450" s="129"/>
      <c r="E450" s="19" t="n">
        <f aca="false">F450*0.03</f>
        <v>0</v>
      </c>
      <c r="F450" s="33" t="n">
        <v>0</v>
      </c>
      <c r="G450" s="131"/>
      <c r="H450" s="35" t="n">
        <v>0</v>
      </c>
      <c r="I450" s="34" t="n">
        <f aca="false">+IF(E450=0,0,E450*0.03)</f>
        <v>0</v>
      </c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customFormat="false" ht="16.4" hidden="false" customHeight="false" outlineLevel="0" collapsed="false">
      <c r="A451" s="135" t="n">
        <v>45566</v>
      </c>
      <c r="B451" s="31" t="s">
        <v>246</v>
      </c>
      <c r="C451" s="129"/>
      <c r="D451" s="129"/>
      <c r="E451" s="19" t="n">
        <f aca="false">F451*0.03</f>
        <v>0</v>
      </c>
      <c r="F451" s="33" t="n">
        <v>0</v>
      </c>
      <c r="G451" s="131"/>
      <c r="H451" s="35" t="n">
        <v>0</v>
      </c>
      <c r="I451" s="34" t="n">
        <f aca="false">+IF(E451=0,0,E451*0.03)</f>
        <v>0</v>
      </c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customFormat="false" ht="16.4" hidden="false" customHeight="false" outlineLevel="0" collapsed="false">
      <c r="A452" s="135" t="n">
        <v>45566</v>
      </c>
      <c r="B452" s="31" t="s">
        <v>239</v>
      </c>
      <c r="C452" s="129"/>
      <c r="D452" s="129"/>
      <c r="E452" s="19" t="n">
        <f aca="false">F452*0.03</f>
        <v>0</v>
      </c>
      <c r="F452" s="33" t="n">
        <v>0</v>
      </c>
      <c r="G452" s="131"/>
      <c r="H452" s="35" t="n">
        <v>0</v>
      </c>
      <c r="I452" s="34" t="n">
        <f aca="false">+IF(E452=0,0,E452*0.03)</f>
        <v>0</v>
      </c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customFormat="false" ht="16.4" hidden="false" customHeight="false" outlineLevel="0" collapsed="false">
      <c r="A453" s="135" t="n">
        <v>45566</v>
      </c>
      <c r="B453" s="31" t="s">
        <v>7</v>
      </c>
      <c r="C453" s="129"/>
      <c r="D453" s="129"/>
      <c r="E453" s="19" t="n">
        <f aca="false">F453*0.03</f>
        <v>0</v>
      </c>
      <c r="F453" s="33" t="n">
        <v>0</v>
      </c>
      <c r="G453" s="131"/>
      <c r="H453" s="35" t="n">
        <v>0</v>
      </c>
      <c r="I453" s="34" t="n">
        <f aca="false">+IF(E453=0,0,E453*0.03)</f>
        <v>0</v>
      </c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customFormat="false" ht="16.4" hidden="false" customHeight="false" outlineLevel="0" collapsed="false">
      <c r="A454" s="135" t="n">
        <v>45566</v>
      </c>
      <c r="B454" s="31" t="s">
        <v>240</v>
      </c>
      <c r="C454" s="129"/>
      <c r="D454" s="129"/>
      <c r="E454" s="19" t="n">
        <f aca="false">F454*0.03</f>
        <v>0</v>
      </c>
      <c r="F454" s="33" t="n">
        <v>0</v>
      </c>
      <c r="G454" s="131"/>
      <c r="H454" s="35" t="n">
        <v>0</v>
      </c>
      <c r="I454" s="34" t="n">
        <f aca="false">+IF(E454=0,0,E454*0.03)</f>
        <v>0</v>
      </c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customFormat="false" ht="16.4" hidden="false" customHeight="false" outlineLevel="0" collapsed="false">
      <c r="A455" s="135" t="n">
        <v>45566</v>
      </c>
      <c r="B455" s="31" t="s">
        <v>153</v>
      </c>
      <c r="C455" s="129"/>
      <c r="D455" s="129"/>
      <c r="E455" s="19" t="n">
        <f aca="false">F455*0.03</f>
        <v>0</v>
      </c>
      <c r="F455" s="33" t="n">
        <v>0</v>
      </c>
      <c r="G455" s="131"/>
      <c r="H455" s="35" t="n">
        <v>0</v>
      </c>
      <c r="I455" s="34" t="n">
        <f aca="false">+IF(E455=0,0,E455*0.03)</f>
        <v>0</v>
      </c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customFormat="false" ht="16.4" hidden="false" customHeight="false" outlineLevel="0" collapsed="false">
      <c r="A456" s="135" t="n">
        <v>45566</v>
      </c>
      <c r="B456" s="31" t="s">
        <v>247</v>
      </c>
      <c r="C456" s="129"/>
      <c r="D456" s="129"/>
      <c r="E456" s="19" t="n">
        <f aca="false">F456*0.03</f>
        <v>0</v>
      </c>
      <c r="F456" s="33" t="n">
        <v>0</v>
      </c>
      <c r="G456" s="131"/>
      <c r="H456" s="35" t="n">
        <v>0</v>
      </c>
      <c r="I456" s="34" t="n">
        <f aca="false">+IF(E456=0,0,E456*0.03)</f>
        <v>0</v>
      </c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customFormat="false" ht="16.4" hidden="false" customHeight="false" outlineLevel="0" collapsed="false">
      <c r="A457" s="135" t="n">
        <v>45566</v>
      </c>
      <c r="B457" s="31" t="s">
        <v>246</v>
      </c>
      <c r="C457" s="129"/>
      <c r="D457" s="129"/>
      <c r="E457" s="19" t="n">
        <f aca="false">F457*0.03</f>
        <v>0</v>
      </c>
      <c r="F457" s="33" t="n">
        <v>0</v>
      </c>
      <c r="G457" s="131"/>
      <c r="H457" s="35" t="n">
        <v>0</v>
      </c>
      <c r="I457" s="34" t="n">
        <f aca="false">+IF(E457=0,0,E457*0.03)</f>
        <v>0</v>
      </c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customFormat="false" ht="16.4" hidden="false" customHeight="false" outlineLevel="0" collapsed="false">
      <c r="A458" s="135" t="n">
        <v>45566</v>
      </c>
      <c r="B458" s="31" t="s">
        <v>239</v>
      </c>
      <c r="C458" s="129"/>
      <c r="D458" s="129"/>
      <c r="E458" s="19" t="n">
        <f aca="false">F458*0.03</f>
        <v>0</v>
      </c>
      <c r="F458" s="33" t="n">
        <v>0</v>
      </c>
      <c r="G458" s="131"/>
      <c r="H458" s="35" t="n">
        <v>0</v>
      </c>
      <c r="I458" s="34" t="n">
        <f aca="false">+IF(E458=0,0,E458*0.03)</f>
        <v>0</v>
      </c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customFormat="false" ht="16.4" hidden="false" customHeight="false" outlineLevel="0" collapsed="false">
      <c r="A459" s="135" t="n">
        <v>45566</v>
      </c>
      <c r="B459" s="31" t="s">
        <v>7</v>
      </c>
      <c r="C459" s="129"/>
      <c r="D459" s="129"/>
      <c r="E459" s="19" t="n">
        <f aca="false">F459*0.03</f>
        <v>0</v>
      </c>
      <c r="F459" s="33" t="n">
        <v>0</v>
      </c>
      <c r="G459" s="131"/>
      <c r="H459" s="35" t="n">
        <v>0</v>
      </c>
      <c r="I459" s="34" t="n">
        <f aca="false">+IF(E459=0,0,E459*0.03)</f>
        <v>0</v>
      </c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customFormat="false" ht="16.4" hidden="false" customHeight="false" outlineLevel="0" collapsed="false">
      <c r="A460" s="135" t="n">
        <v>45566</v>
      </c>
      <c r="B460" s="31" t="s">
        <v>240</v>
      </c>
      <c r="C460" s="129"/>
      <c r="D460" s="129"/>
      <c r="E460" s="19" t="n">
        <f aca="false">F460*0.03</f>
        <v>0</v>
      </c>
      <c r="F460" s="33" t="n">
        <v>0</v>
      </c>
      <c r="G460" s="131"/>
      <c r="H460" s="35" t="n">
        <v>0</v>
      </c>
      <c r="I460" s="34" t="n">
        <f aca="false">+IF(E460=0,0,E460*0.03)</f>
        <v>0</v>
      </c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customFormat="false" ht="16.4" hidden="false" customHeight="false" outlineLevel="0" collapsed="false">
      <c r="A461" s="135" t="n">
        <v>45566</v>
      </c>
      <c r="B461" s="31" t="s">
        <v>153</v>
      </c>
      <c r="C461" s="129"/>
      <c r="D461" s="129"/>
      <c r="E461" s="19" t="n">
        <f aca="false">F461*0.03</f>
        <v>0</v>
      </c>
      <c r="F461" s="33" t="n">
        <v>0</v>
      </c>
      <c r="G461" s="131"/>
      <c r="H461" s="35" t="n">
        <v>0</v>
      </c>
      <c r="I461" s="34" t="n">
        <f aca="false">+IF(E461=0,0,E461*0.03)</f>
        <v>0</v>
      </c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customFormat="false" ht="16.4" hidden="false" customHeight="false" outlineLevel="0" collapsed="false">
      <c r="A462" s="135" t="n">
        <v>45566</v>
      </c>
      <c r="B462" s="31" t="s">
        <v>247</v>
      </c>
      <c r="C462" s="129"/>
      <c r="D462" s="129"/>
      <c r="E462" s="19" t="n">
        <f aca="false">F462*0.03</f>
        <v>0</v>
      </c>
      <c r="F462" s="33" t="n">
        <v>0</v>
      </c>
      <c r="G462" s="131"/>
      <c r="H462" s="35" t="n">
        <v>0</v>
      </c>
      <c r="I462" s="34" t="n">
        <f aca="false">+IF(E462=0,0,E462*0.03)</f>
        <v>0</v>
      </c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customFormat="false" ht="16.4" hidden="false" customHeight="false" outlineLevel="0" collapsed="false">
      <c r="A463" s="135" t="n">
        <v>45566</v>
      </c>
      <c r="B463" s="31" t="s">
        <v>246</v>
      </c>
      <c r="C463" s="129"/>
      <c r="D463" s="129"/>
      <c r="E463" s="19" t="n">
        <f aca="false">F463*0.03</f>
        <v>0</v>
      </c>
      <c r="F463" s="33" t="n">
        <v>0</v>
      </c>
      <c r="G463" s="131"/>
      <c r="H463" s="35" t="n">
        <v>0</v>
      </c>
      <c r="I463" s="34" t="n">
        <f aca="false">+IF(E463=0,0,E463*0.03)</f>
        <v>0</v>
      </c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customFormat="false" ht="16.4" hidden="false" customHeight="false" outlineLevel="0" collapsed="false">
      <c r="A464" s="135" t="n">
        <v>45566</v>
      </c>
      <c r="B464" s="31" t="s">
        <v>239</v>
      </c>
      <c r="C464" s="129"/>
      <c r="D464" s="129"/>
      <c r="E464" s="19" t="n">
        <f aca="false">F464*0.03</f>
        <v>0</v>
      </c>
      <c r="F464" s="33" t="n">
        <v>0</v>
      </c>
      <c r="G464" s="131"/>
      <c r="H464" s="35" t="n">
        <v>0</v>
      </c>
      <c r="I464" s="34" t="n">
        <f aca="false">+IF(E464=0,0,E464*0.03)</f>
        <v>0</v>
      </c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customFormat="false" ht="16.4" hidden="false" customHeight="false" outlineLevel="0" collapsed="false">
      <c r="A465" s="135" t="n">
        <v>45566</v>
      </c>
      <c r="B465" s="31" t="s">
        <v>7</v>
      </c>
      <c r="C465" s="129"/>
      <c r="D465" s="129"/>
      <c r="E465" s="19" t="n">
        <f aca="false">F465*0.03</f>
        <v>0</v>
      </c>
      <c r="F465" s="33" t="n">
        <v>0</v>
      </c>
      <c r="G465" s="131"/>
      <c r="H465" s="35" t="n">
        <v>0</v>
      </c>
      <c r="I465" s="34" t="n">
        <f aca="false">+IF(E465=0,0,E465*0.03)</f>
        <v>0</v>
      </c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customFormat="false" ht="16.4" hidden="false" customHeight="false" outlineLevel="0" collapsed="false">
      <c r="A466" s="135" t="n">
        <v>45566</v>
      </c>
      <c r="B466" s="31" t="s">
        <v>240</v>
      </c>
      <c r="C466" s="129"/>
      <c r="D466" s="129"/>
      <c r="E466" s="19" t="n">
        <f aca="false">F466*0.03</f>
        <v>0</v>
      </c>
      <c r="F466" s="33" t="n">
        <v>0</v>
      </c>
      <c r="G466" s="131"/>
      <c r="H466" s="35" t="n">
        <v>0</v>
      </c>
      <c r="I466" s="34" t="n">
        <f aca="false">+IF(E466=0,0,E466*0.03)</f>
        <v>0</v>
      </c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customFormat="false" ht="16.4" hidden="false" customHeight="false" outlineLevel="0" collapsed="false">
      <c r="A467" s="135" t="n">
        <v>45566</v>
      </c>
      <c r="B467" s="31" t="s">
        <v>153</v>
      </c>
      <c r="C467" s="129"/>
      <c r="D467" s="129"/>
      <c r="E467" s="19" t="n">
        <f aca="false">F467*0.03</f>
        <v>0</v>
      </c>
      <c r="F467" s="33" t="n">
        <v>0</v>
      </c>
      <c r="G467" s="131"/>
      <c r="H467" s="35" t="n">
        <v>0</v>
      </c>
      <c r="I467" s="34" t="n">
        <f aca="false">+IF(E467=0,0,E467*0.03)</f>
        <v>0</v>
      </c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customFormat="false" ht="16.4" hidden="false" customHeight="false" outlineLevel="0" collapsed="false">
      <c r="A468" s="135" t="n">
        <v>45566</v>
      </c>
      <c r="B468" s="31" t="s">
        <v>247</v>
      </c>
      <c r="C468" s="129"/>
      <c r="D468" s="129"/>
      <c r="E468" s="19" t="n">
        <f aca="false">F468*0.03</f>
        <v>0</v>
      </c>
      <c r="F468" s="33" t="n">
        <v>0</v>
      </c>
      <c r="G468" s="131"/>
      <c r="H468" s="35" t="n">
        <v>0</v>
      </c>
      <c r="I468" s="34" t="n">
        <f aca="false">+IF(E468=0,0,E468*0.03)</f>
        <v>0</v>
      </c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customFormat="false" ht="16.4" hidden="false" customHeight="false" outlineLevel="0" collapsed="false">
      <c r="A469" s="135" t="n">
        <v>45566</v>
      </c>
      <c r="B469" s="31" t="s">
        <v>246</v>
      </c>
      <c r="C469" s="129"/>
      <c r="D469" s="129"/>
      <c r="E469" s="19" t="n">
        <f aca="false">F469*0.03</f>
        <v>0</v>
      </c>
      <c r="F469" s="33" t="n">
        <v>0</v>
      </c>
      <c r="G469" s="131"/>
      <c r="H469" s="35" t="n">
        <v>0</v>
      </c>
      <c r="I469" s="34" t="n">
        <f aca="false">+IF(E469=0,0,E469*0.03)</f>
        <v>0</v>
      </c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customFormat="false" ht="16.4" hidden="false" customHeight="false" outlineLevel="0" collapsed="false">
      <c r="A470" s="135" t="n">
        <v>45566</v>
      </c>
      <c r="B470" s="31" t="s">
        <v>239</v>
      </c>
      <c r="C470" s="129"/>
      <c r="D470" s="129"/>
      <c r="E470" s="19" t="n">
        <f aca="false">F470*0.03</f>
        <v>0</v>
      </c>
      <c r="F470" s="33" t="n">
        <v>0</v>
      </c>
      <c r="G470" s="131"/>
      <c r="H470" s="35" t="n">
        <v>0</v>
      </c>
      <c r="I470" s="34" t="n">
        <f aca="false">+IF(E470=0,0,E470*0.03)</f>
        <v>0</v>
      </c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customFormat="false" ht="16.4" hidden="false" customHeight="false" outlineLevel="0" collapsed="false">
      <c r="A471" s="135" t="n">
        <v>45566</v>
      </c>
      <c r="B471" s="31" t="s">
        <v>7</v>
      </c>
      <c r="C471" s="129"/>
      <c r="D471" s="129"/>
      <c r="E471" s="19" t="n">
        <f aca="false">F471*0.03</f>
        <v>0</v>
      </c>
      <c r="F471" s="33" t="n">
        <v>0</v>
      </c>
      <c r="G471" s="131"/>
      <c r="H471" s="35" t="n">
        <v>0</v>
      </c>
      <c r="I471" s="34" t="n">
        <f aca="false">+IF(E471=0,0,E471*0.03)</f>
        <v>0</v>
      </c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customFormat="false" ht="16.4" hidden="false" customHeight="false" outlineLevel="0" collapsed="false">
      <c r="A472" s="135" t="n">
        <v>45566</v>
      </c>
      <c r="B472" s="31" t="s">
        <v>240</v>
      </c>
      <c r="C472" s="129"/>
      <c r="D472" s="129"/>
      <c r="E472" s="19" t="n">
        <f aca="false">F472*0.03</f>
        <v>0</v>
      </c>
      <c r="F472" s="33" t="n">
        <v>0</v>
      </c>
      <c r="G472" s="131"/>
      <c r="H472" s="35" t="n">
        <v>0</v>
      </c>
      <c r="I472" s="34" t="n">
        <f aca="false">+IF(E472=0,0,E472*0.03)</f>
        <v>0</v>
      </c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customFormat="false" ht="16.4" hidden="false" customHeight="false" outlineLevel="0" collapsed="false">
      <c r="A473" s="135" t="n">
        <v>45566</v>
      </c>
      <c r="B473" s="31" t="s">
        <v>153</v>
      </c>
      <c r="C473" s="129"/>
      <c r="D473" s="129"/>
      <c r="E473" s="19" t="n">
        <f aca="false">F473*0.03</f>
        <v>0</v>
      </c>
      <c r="F473" s="33" t="n">
        <v>0</v>
      </c>
      <c r="G473" s="131"/>
      <c r="H473" s="35" t="n">
        <v>0</v>
      </c>
      <c r="I473" s="34" t="n">
        <f aca="false">+IF(E473=0,0,E473*0.03)</f>
        <v>0</v>
      </c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customFormat="false" ht="16.4" hidden="false" customHeight="false" outlineLevel="0" collapsed="false">
      <c r="A474" s="135" t="n">
        <v>45566</v>
      </c>
      <c r="B474" s="31" t="s">
        <v>247</v>
      </c>
      <c r="C474" s="129"/>
      <c r="D474" s="129"/>
      <c r="E474" s="19" t="n">
        <f aca="false">F474*0.03</f>
        <v>0</v>
      </c>
      <c r="F474" s="33" t="n">
        <v>0</v>
      </c>
      <c r="G474" s="131"/>
      <c r="H474" s="35" t="n">
        <v>0</v>
      </c>
      <c r="I474" s="34" t="n">
        <f aca="false">+IF(E474=0,0,E474*0.03)</f>
        <v>0</v>
      </c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customFormat="false" ht="16.4" hidden="false" customHeight="false" outlineLevel="0" collapsed="false">
      <c r="A475" s="135" t="n">
        <v>45566</v>
      </c>
      <c r="B475" s="31" t="s">
        <v>246</v>
      </c>
      <c r="C475" s="129"/>
      <c r="D475" s="129"/>
      <c r="E475" s="19" t="n">
        <f aca="false">F475*0.03</f>
        <v>0</v>
      </c>
      <c r="F475" s="33" t="n">
        <v>0</v>
      </c>
      <c r="G475" s="131"/>
      <c r="H475" s="35" t="n">
        <v>0</v>
      </c>
      <c r="I475" s="34" t="n">
        <f aca="false">+IF(E475=0,0,E475*0.03)</f>
        <v>0</v>
      </c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customFormat="false" ht="16.4" hidden="false" customHeight="false" outlineLevel="0" collapsed="false">
      <c r="A476" s="135" t="n">
        <v>45566</v>
      </c>
      <c r="B476" s="31" t="s">
        <v>239</v>
      </c>
      <c r="C476" s="129"/>
      <c r="D476" s="129"/>
      <c r="E476" s="19" t="n">
        <f aca="false">F476*0.03</f>
        <v>0</v>
      </c>
      <c r="F476" s="33" t="n">
        <v>0</v>
      </c>
      <c r="G476" s="131"/>
      <c r="H476" s="35" t="n">
        <v>0</v>
      </c>
      <c r="I476" s="34" t="n">
        <f aca="false">+IF(E476=0,0,E476*0.03)</f>
        <v>0</v>
      </c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customFormat="false" ht="16.4" hidden="false" customHeight="false" outlineLevel="0" collapsed="false">
      <c r="A477" s="135" t="n">
        <v>45566</v>
      </c>
      <c r="B477" s="31" t="s">
        <v>7</v>
      </c>
      <c r="C477" s="129"/>
      <c r="D477" s="129"/>
      <c r="E477" s="19" t="n">
        <f aca="false">F477*0.03</f>
        <v>0</v>
      </c>
      <c r="F477" s="33" t="n">
        <v>0</v>
      </c>
      <c r="G477" s="131"/>
      <c r="H477" s="35" t="n">
        <v>0</v>
      </c>
      <c r="I477" s="34" t="n">
        <f aca="false">+IF(E477=0,0,E477*0.03)</f>
        <v>0</v>
      </c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customFormat="false" ht="16.4" hidden="false" customHeight="false" outlineLevel="0" collapsed="false">
      <c r="A478" s="135" t="n">
        <v>45566</v>
      </c>
      <c r="B478" s="31" t="s">
        <v>240</v>
      </c>
      <c r="C478" s="129"/>
      <c r="D478" s="129"/>
      <c r="E478" s="19" t="n">
        <f aca="false">F478*0.03</f>
        <v>0</v>
      </c>
      <c r="F478" s="33" t="n">
        <v>0</v>
      </c>
      <c r="G478" s="131"/>
      <c r="H478" s="35" t="n">
        <v>0</v>
      </c>
      <c r="I478" s="34" t="n">
        <f aca="false">+IF(E478=0,0,E478*0.03)</f>
        <v>0</v>
      </c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customFormat="false" ht="16.4" hidden="false" customHeight="false" outlineLevel="0" collapsed="false">
      <c r="A479" s="135" t="n">
        <v>45566</v>
      </c>
      <c r="B479" s="31" t="s">
        <v>153</v>
      </c>
      <c r="C479" s="129"/>
      <c r="D479" s="129"/>
      <c r="E479" s="19" t="n">
        <f aca="false">F479*0.03</f>
        <v>0</v>
      </c>
      <c r="F479" s="33" t="n">
        <v>0</v>
      </c>
      <c r="G479" s="131"/>
      <c r="H479" s="35" t="n">
        <v>0</v>
      </c>
      <c r="I479" s="34" t="n">
        <f aca="false">+IF(E479=0,0,E479*0.03)</f>
        <v>0</v>
      </c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customFormat="false" ht="16.4" hidden="false" customHeight="false" outlineLevel="0" collapsed="false">
      <c r="A480" s="135" t="n">
        <v>45566</v>
      </c>
      <c r="B480" s="31" t="s">
        <v>247</v>
      </c>
      <c r="C480" s="129"/>
      <c r="D480" s="129"/>
      <c r="E480" s="19" t="n">
        <f aca="false">F480*0.03</f>
        <v>0</v>
      </c>
      <c r="F480" s="33" t="n">
        <v>0</v>
      </c>
      <c r="G480" s="131"/>
      <c r="H480" s="35" t="n">
        <v>0</v>
      </c>
      <c r="I480" s="34" t="n">
        <f aca="false">+IF(E480=0,0,E480*0.03)</f>
        <v>0</v>
      </c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customFormat="false" ht="16.4" hidden="false" customHeight="false" outlineLevel="0" collapsed="false">
      <c r="A481" s="135" t="n">
        <v>45566</v>
      </c>
      <c r="B481" s="31" t="s">
        <v>246</v>
      </c>
      <c r="C481" s="129"/>
      <c r="D481" s="129"/>
      <c r="E481" s="19" t="n">
        <f aca="false">F481*0.03</f>
        <v>0</v>
      </c>
      <c r="F481" s="33" t="n">
        <v>0</v>
      </c>
      <c r="G481" s="131"/>
      <c r="H481" s="35" t="n">
        <v>0</v>
      </c>
      <c r="I481" s="34" t="n">
        <f aca="false">+IF(E481=0,0,E481*0.03)</f>
        <v>0</v>
      </c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customFormat="false" ht="16.4" hidden="false" customHeight="false" outlineLevel="0" collapsed="false">
      <c r="A482" s="135" t="n">
        <v>45566</v>
      </c>
      <c r="B482" s="31" t="s">
        <v>239</v>
      </c>
      <c r="C482" s="129"/>
      <c r="D482" s="129"/>
      <c r="E482" s="19" t="n">
        <f aca="false">F482*0.03</f>
        <v>0</v>
      </c>
      <c r="F482" s="33" t="n">
        <v>0</v>
      </c>
      <c r="G482" s="131"/>
      <c r="H482" s="35" t="n">
        <v>0</v>
      </c>
      <c r="I482" s="34" t="n">
        <f aca="false">+IF(E482=0,0,E482*0.03)</f>
        <v>0</v>
      </c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customFormat="false" ht="16.4" hidden="false" customHeight="false" outlineLevel="0" collapsed="false">
      <c r="A483" s="135" t="n">
        <v>45566</v>
      </c>
      <c r="B483" s="31" t="s">
        <v>7</v>
      </c>
      <c r="C483" s="129"/>
      <c r="D483" s="129"/>
      <c r="E483" s="19" t="n">
        <f aca="false">F483*0.03</f>
        <v>0</v>
      </c>
      <c r="F483" s="33" t="n">
        <v>0</v>
      </c>
      <c r="G483" s="131"/>
      <c r="H483" s="35" t="n">
        <v>0</v>
      </c>
      <c r="I483" s="34" t="n">
        <f aca="false">+IF(E483=0,0,E483*0.03)</f>
        <v>0</v>
      </c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customFormat="false" ht="16.4" hidden="false" customHeight="false" outlineLevel="0" collapsed="false">
      <c r="A484" s="135" t="n">
        <v>45566</v>
      </c>
      <c r="B484" s="31" t="s">
        <v>240</v>
      </c>
      <c r="C484" s="129"/>
      <c r="D484" s="129"/>
      <c r="E484" s="19" t="n">
        <f aca="false">F484*0.03</f>
        <v>0</v>
      </c>
      <c r="F484" s="33" t="n">
        <v>0</v>
      </c>
      <c r="G484" s="131"/>
      <c r="H484" s="35" t="n">
        <v>0</v>
      </c>
      <c r="I484" s="34" t="n">
        <f aca="false">+IF(E484=0,0,E484*0.03)</f>
        <v>0</v>
      </c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customFormat="false" ht="16.4" hidden="false" customHeight="false" outlineLevel="0" collapsed="false">
      <c r="A485" s="135" t="n">
        <v>45566</v>
      </c>
      <c r="B485" s="31" t="s">
        <v>153</v>
      </c>
      <c r="C485" s="129"/>
      <c r="D485" s="129"/>
      <c r="E485" s="19" t="n">
        <f aca="false">F485*0.03</f>
        <v>0</v>
      </c>
      <c r="F485" s="33" t="n">
        <v>0</v>
      </c>
      <c r="G485" s="131"/>
      <c r="H485" s="35" t="n">
        <v>0</v>
      </c>
      <c r="I485" s="34" t="n">
        <f aca="false">+IF(E485=0,0,E485*0.03)</f>
        <v>0</v>
      </c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customFormat="false" ht="16.4" hidden="false" customHeight="false" outlineLevel="0" collapsed="false">
      <c r="A486" s="135" t="n">
        <v>45566</v>
      </c>
      <c r="B486" s="31" t="s">
        <v>247</v>
      </c>
      <c r="C486" s="129"/>
      <c r="D486" s="129"/>
      <c r="E486" s="19" t="n">
        <f aca="false">F486*0.03</f>
        <v>0</v>
      </c>
      <c r="F486" s="33" t="n">
        <v>0</v>
      </c>
      <c r="G486" s="131"/>
      <c r="H486" s="35" t="n">
        <v>0</v>
      </c>
      <c r="I486" s="34" t="n">
        <f aca="false">+IF(E486=0,0,E486*0.03)</f>
        <v>0</v>
      </c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customFormat="false" ht="16.4" hidden="false" customHeight="false" outlineLevel="0" collapsed="false">
      <c r="A487" s="135" t="n">
        <v>45566</v>
      </c>
      <c r="B487" s="31" t="s">
        <v>246</v>
      </c>
      <c r="C487" s="129"/>
      <c r="D487" s="129"/>
      <c r="E487" s="19" t="n">
        <f aca="false">F487*0.03</f>
        <v>0</v>
      </c>
      <c r="F487" s="33" t="n">
        <v>0</v>
      </c>
      <c r="G487" s="131"/>
      <c r="H487" s="35" t="n">
        <v>0</v>
      </c>
      <c r="I487" s="34" t="n">
        <f aca="false">+IF(E487=0,0,E487*0.03)</f>
        <v>0</v>
      </c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customFormat="false" ht="16.4" hidden="false" customHeight="false" outlineLevel="0" collapsed="false">
      <c r="A488" s="135" t="n">
        <v>45566</v>
      </c>
      <c r="B488" s="31" t="s">
        <v>239</v>
      </c>
      <c r="C488" s="129"/>
      <c r="D488" s="129"/>
      <c r="E488" s="19" t="n">
        <f aca="false">F488*0.03</f>
        <v>0</v>
      </c>
      <c r="F488" s="33" t="n">
        <v>0</v>
      </c>
      <c r="G488" s="131"/>
      <c r="H488" s="35" t="n">
        <v>0</v>
      </c>
      <c r="I488" s="34" t="n">
        <f aca="false">+IF(E488=0,0,E488*0.03)</f>
        <v>0</v>
      </c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customFormat="false" ht="16.4" hidden="false" customHeight="false" outlineLevel="0" collapsed="false">
      <c r="A489" s="135" t="n">
        <v>45566</v>
      </c>
      <c r="B489" s="31" t="s">
        <v>7</v>
      </c>
      <c r="C489" s="129"/>
      <c r="D489" s="129"/>
      <c r="E489" s="19" t="n">
        <f aca="false">F489*0.03</f>
        <v>0</v>
      </c>
      <c r="F489" s="33" t="n">
        <v>0</v>
      </c>
      <c r="G489" s="131"/>
      <c r="H489" s="35" t="n">
        <v>0</v>
      </c>
      <c r="I489" s="34" t="n">
        <f aca="false">+IF(E489=0,0,E489*0.03)</f>
        <v>0</v>
      </c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customFormat="false" ht="16.4" hidden="false" customHeight="false" outlineLevel="0" collapsed="false">
      <c r="A490" s="135" t="n">
        <v>45566</v>
      </c>
      <c r="B490" s="31" t="s">
        <v>240</v>
      </c>
      <c r="C490" s="129"/>
      <c r="D490" s="129"/>
      <c r="E490" s="19" t="n">
        <f aca="false">F490*0.03</f>
        <v>0</v>
      </c>
      <c r="F490" s="33" t="n">
        <v>0</v>
      </c>
      <c r="G490" s="131"/>
      <c r="H490" s="35" t="n">
        <v>0</v>
      </c>
      <c r="I490" s="34" t="n">
        <f aca="false">+IF(E490=0,0,E490*0.03)</f>
        <v>0</v>
      </c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customFormat="false" ht="16.4" hidden="false" customHeight="false" outlineLevel="0" collapsed="false">
      <c r="A491" s="135" t="n">
        <v>45566</v>
      </c>
      <c r="B491" s="31" t="s">
        <v>153</v>
      </c>
      <c r="C491" s="129"/>
      <c r="D491" s="129"/>
      <c r="E491" s="19" t="n">
        <f aca="false">F491*0.03</f>
        <v>0</v>
      </c>
      <c r="F491" s="33" t="n">
        <v>0</v>
      </c>
      <c r="G491" s="131"/>
      <c r="H491" s="35" t="n">
        <v>0</v>
      </c>
      <c r="I491" s="34" t="n">
        <f aca="false">+IF(E491=0,0,E491*0.03)</f>
        <v>0</v>
      </c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customFormat="false" ht="16.4" hidden="false" customHeight="false" outlineLevel="0" collapsed="false">
      <c r="A492" s="135" t="n">
        <v>45566</v>
      </c>
      <c r="B492" s="31" t="s">
        <v>247</v>
      </c>
      <c r="C492" s="129"/>
      <c r="D492" s="129"/>
      <c r="E492" s="19" t="n">
        <f aca="false">F492*0.03</f>
        <v>0</v>
      </c>
      <c r="F492" s="33" t="n">
        <v>0</v>
      </c>
      <c r="G492" s="131"/>
      <c r="H492" s="35" t="n">
        <v>0</v>
      </c>
      <c r="I492" s="34" t="n">
        <f aca="false">+IF(E492=0,0,E492*0.03)</f>
        <v>0</v>
      </c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customFormat="false" ht="16.4" hidden="false" customHeight="false" outlineLevel="0" collapsed="false">
      <c r="A493" s="135" t="n">
        <v>45566</v>
      </c>
      <c r="B493" s="31" t="s">
        <v>246</v>
      </c>
      <c r="C493" s="129"/>
      <c r="D493" s="129"/>
      <c r="E493" s="19" t="n">
        <f aca="false">F493*0.03</f>
        <v>0</v>
      </c>
      <c r="F493" s="33" t="n">
        <v>0</v>
      </c>
      <c r="G493" s="131"/>
      <c r="H493" s="35" t="n">
        <v>0</v>
      </c>
      <c r="I493" s="34" t="n">
        <f aca="false">+IF(E493=0,0,E493*0.03)</f>
        <v>0</v>
      </c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customFormat="false" ht="16.4" hidden="false" customHeight="false" outlineLevel="0" collapsed="false">
      <c r="A494" s="135" t="n">
        <v>45566</v>
      </c>
      <c r="B494" s="31" t="s">
        <v>239</v>
      </c>
      <c r="C494" s="129"/>
      <c r="D494" s="129"/>
      <c r="E494" s="19" t="n">
        <f aca="false">F494*0.03</f>
        <v>0</v>
      </c>
      <c r="F494" s="33" t="n">
        <v>0</v>
      </c>
      <c r="G494" s="131"/>
      <c r="H494" s="35" t="n">
        <v>0</v>
      </c>
      <c r="I494" s="34" t="n">
        <f aca="false">+IF(E494=0,0,E494*0.03)</f>
        <v>0</v>
      </c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customFormat="false" ht="16.4" hidden="false" customHeight="false" outlineLevel="0" collapsed="false">
      <c r="A495" s="135" t="n">
        <v>45566</v>
      </c>
      <c r="B495" s="31" t="s">
        <v>7</v>
      </c>
      <c r="C495" s="129"/>
      <c r="D495" s="129"/>
      <c r="E495" s="19" t="n">
        <f aca="false">F495*0.03</f>
        <v>0</v>
      </c>
      <c r="F495" s="33" t="n">
        <v>0</v>
      </c>
      <c r="G495" s="131"/>
      <c r="H495" s="35" t="n">
        <v>0</v>
      </c>
      <c r="I495" s="34" t="n">
        <f aca="false">+IF(E495=0,0,E495*0.03)</f>
        <v>0</v>
      </c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customFormat="false" ht="16.4" hidden="false" customHeight="false" outlineLevel="0" collapsed="false">
      <c r="A496" s="135" t="n">
        <v>45566</v>
      </c>
      <c r="B496" s="31" t="s">
        <v>240</v>
      </c>
      <c r="C496" s="129"/>
      <c r="D496" s="129"/>
      <c r="E496" s="19" t="n">
        <f aca="false">F496*0.03</f>
        <v>0</v>
      </c>
      <c r="F496" s="33" t="n">
        <v>0</v>
      </c>
      <c r="G496" s="131"/>
      <c r="H496" s="35" t="n">
        <v>0</v>
      </c>
      <c r="I496" s="34" t="n">
        <f aca="false">+IF(E496=0,0,E496*0.03)</f>
        <v>0</v>
      </c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customFormat="false" ht="16.4" hidden="false" customHeight="false" outlineLevel="0" collapsed="false">
      <c r="A497" s="135" t="n">
        <v>45566</v>
      </c>
      <c r="B497" s="31" t="s">
        <v>153</v>
      </c>
      <c r="C497" s="129"/>
      <c r="D497" s="129"/>
      <c r="E497" s="19" t="n">
        <f aca="false">F497*0.03</f>
        <v>0</v>
      </c>
      <c r="F497" s="33" t="n">
        <v>0</v>
      </c>
      <c r="G497" s="131"/>
      <c r="H497" s="35" t="n">
        <v>0</v>
      </c>
      <c r="I497" s="34" t="n">
        <f aca="false">+IF(E497=0,0,E497*0.03)</f>
        <v>0</v>
      </c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customFormat="false" ht="16.4" hidden="false" customHeight="false" outlineLevel="0" collapsed="false">
      <c r="A498" s="135" t="n">
        <v>45566</v>
      </c>
      <c r="B498" s="31" t="s">
        <v>247</v>
      </c>
      <c r="C498" s="129"/>
      <c r="D498" s="129"/>
      <c r="E498" s="19" t="n">
        <f aca="false">F498*0.03</f>
        <v>0</v>
      </c>
      <c r="F498" s="33" t="n">
        <v>0</v>
      </c>
      <c r="G498" s="131"/>
      <c r="H498" s="35" t="n">
        <v>0</v>
      </c>
      <c r="I498" s="34" t="n">
        <f aca="false">+IF(E498=0,0,E498*0.03)</f>
        <v>0</v>
      </c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customFormat="false" ht="16.4" hidden="false" customHeight="false" outlineLevel="0" collapsed="false">
      <c r="A499" s="135" t="n">
        <v>45566</v>
      </c>
      <c r="B499" s="31" t="s">
        <v>246</v>
      </c>
      <c r="C499" s="129"/>
      <c r="D499" s="129"/>
      <c r="E499" s="19" t="n">
        <f aca="false">F499*0.03</f>
        <v>0</v>
      </c>
      <c r="F499" s="33" t="n">
        <v>0</v>
      </c>
      <c r="G499" s="131"/>
      <c r="H499" s="35" t="n">
        <v>0</v>
      </c>
      <c r="I499" s="34" t="n">
        <f aca="false">+IF(E499=0,0,E499*0.03)</f>
        <v>0</v>
      </c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customFormat="false" ht="16.4" hidden="false" customHeight="false" outlineLevel="0" collapsed="false">
      <c r="A500" s="135" t="n">
        <v>45566</v>
      </c>
      <c r="B500" s="31" t="s">
        <v>239</v>
      </c>
      <c r="C500" s="129"/>
      <c r="D500" s="129"/>
      <c r="E500" s="19" t="n">
        <f aca="false">F500*0.03</f>
        <v>0</v>
      </c>
      <c r="F500" s="33" t="n">
        <v>0</v>
      </c>
      <c r="G500" s="131"/>
      <c r="H500" s="35" t="n">
        <v>0</v>
      </c>
      <c r="I500" s="34" t="n">
        <f aca="false">+IF(E500=0,0,E500*0.03)</f>
        <v>0</v>
      </c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customFormat="false" ht="16.4" hidden="false" customHeight="false" outlineLevel="0" collapsed="false">
      <c r="A501" s="135" t="n">
        <v>45566</v>
      </c>
      <c r="B501" s="31" t="s">
        <v>7</v>
      </c>
      <c r="C501" s="129"/>
      <c r="D501" s="129"/>
      <c r="E501" s="19" t="n">
        <f aca="false">F501*0.03</f>
        <v>0</v>
      </c>
      <c r="F501" s="33" t="n">
        <v>0</v>
      </c>
      <c r="G501" s="131"/>
      <c r="H501" s="35" t="n">
        <v>0</v>
      </c>
      <c r="I501" s="34" t="n">
        <f aca="false">+IF(E501=0,0,E501*0.03)</f>
        <v>0</v>
      </c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customFormat="false" ht="16.4" hidden="false" customHeight="false" outlineLevel="0" collapsed="false">
      <c r="A502" s="135" t="n">
        <v>45566</v>
      </c>
      <c r="B502" s="31" t="s">
        <v>240</v>
      </c>
      <c r="C502" s="129"/>
      <c r="D502" s="129"/>
      <c r="E502" s="19" t="n">
        <f aca="false">F502*0.03</f>
        <v>0</v>
      </c>
      <c r="F502" s="33" t="n">
        <v>0</v>
      </c>
      <c r="G502" s="131"/>
      <c r="H502" s="35" t="n">
        <v>0</v>
      </c>
      <c r="I502" s="34" t="n">
        <f aca="false">+IF(E502=0,0,E502*0.03)</f>
        <v>0</v>
      </c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customFormat="false" ht="16.4" hidden="false" customHeight="false" outlineLevel="0" collapsed="false">
      <c r="A503" s="135" t="n">
        <v>45566</v>
      </c>
      <c r="B503" s="31" t="s">
        <v>153</v>
      </c>
      <c r="C503" s="129"/>
      <c r="D503" s="129"/>
      <c r="E503" s="19" t="n">
        <f aca="false">F503*0.03</f>
        <v>0</v>
      </c>
      <c r="F503" s="33" t="n">
        <v>0</v>
      </c>
      <c r="G503" s="131"/>
      <c r="H503" s="35" t="n">
        <v>0</v>
      </c>
      <c r="I503" s="34" t="n">
        <f aca="false">+IF(E503=0,0,E503*0.03)</f>
        <v>0</v>
      </c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customFormat="false" ht="16.4" hidden="false" customHeight="false" outlineLevel="0" collapsed="false">
      <c r="A504" s="135" t="n">
        <v>45566</v>
      </c>
      <c r="B504" s="31" t="s">
        <v>247</v>
      </c>
      <c r="C504" s="129"/>
      <c r="D504" s="129"/>
      <c r="E504" s="19" t="n">
        <f aca="false">F504*0.03</f>
        <v>0</v>
      </c>
      <c r="F504" s="33" t="n">
        <v>0</v>
      </c>
      <c r="G504" s="131"/>
      <c r="H504" s="35" t="n">
        <v>0</v>
      </c>
      <c r="I504" s="34" t="n">
        <f aca="false">+IF(E504=0,0,E504*0.03)</f>
        <v>0</v>
      </c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customFormat="false" ht="16.4" hidden="false" customHeight="false" outlineLevel="0" collapsed="false">
      <c r="A505" s="135" t="n">
        <v>45566</v>
      </c>
      <c r="B505" s="31" t="s">
        <v>246</v>
      </c>
      <c r="C505" s="129"/>
      <c r="D505" s="129"/>
      <c r="E505" s="19" t="n">
        <f aca="false">F505*0.03</f>
        <v>0</v>
      </c>
      <c r="F505" s="33" t="n">
        <v>0</v>
      </c>
      <c r="G505" s="131"/>
      <c r="H505" s="35" t="n">
        <v>0</v>
      </c>
      <c r="I505" s="34" t="n">
        <f aca="false">+IF(E505=0,0,E505*0.03)</f>
        <v>0</v>
      </c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customFormat="false" ht="16.4" hidden="false" customHeight="false" outlineLevel="0" collapsed="false">
      <c r="A506" s="135" t="n">
        <v>45566</v>
      </c>
      <c r="B506" s="31" t="s">
        <v>239</v>
      </c>
      <c r="C506" s="129"/>
      <c r="D506" s="129"/>
      <c r="E506" s="19" t="n">
        <f aca="false">F506*0.03</f>
        <v>0</v>
      </c>
      <c r="F506" s="33" t="n">
        <v>0</v>
      </c>
      <c r="G506" s="131"/>
      <c r="H506" s="35" t="n">
        <v>0</v>
      </c>
      <c r="I506" s="34" t="n">
        <f aca="false">+IF(E506=0,0,E506*0.03)</f>
        <v>0</v>
      </c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customFormat="false" ht="16.4" hidden="false" customHeight="false" outlineLevel="0" collapsed="false">
      <c r="A507" s="135" t="n">
        <v>45566</v>
      </c>
      <c r="B507" s="31" t="s">
        <v>7</v>
      </c>
      <c r="C507" s="129"/>
      <c r="D507" s="129"/>
      <c r="E507" s="19" t="n">
        <f aca="false">F507*0.03</f>
        <v>0</v>
      </c>
      <c r="F507" s="33" t="n">
        <v>0</v>
      </c>
      <c r="G507" s="131"/>
      <c r="H507" s="35" t="n">
        <v>0</v>
      </c>
      <c r="I507" s="34" t="n">
        <f aca="false">+IF(E507=0,0,E507*0.03)</f>
        <v>0</v>
      </c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customFormat="false" ht="16.4" hidden="false" customHeight="false" outlineLevel="0" collapsed="false">
      <c r="A508" s="135" t="n">
        <v>45566</v>
      </c>
      <c r="B508" s="31" t="s">
        <v>240</v>
      </c>
      <c r="C508" s="129"/>
      <c r="D508" s="129"/>
      <c r="E508" s="19" t="n">
        <f aca="false">F508*0.03</f>
        <v>0</v>
      </c>
      <c r="F508" s="33" t="n">
        <v>0</v>
      </c>
      <c r="G508" s="131"/>
      <c r="H508" s="35" t="n">
        <v>0</v>
      </c>
      <c r="I508" s="34" t="n">
        <f aca="false">+IF(E508=0,0,E508*0.03)</f>
        <v>0</v>
      </c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customFormat="false" ht="16.4" hidden="false" customHeight="false" outlineLevel="0" collapsed="false">
      <c r="A509" s="135" t="n">
        <v>45566</v>
      </c>
      <c r="B509" s="31" t="s">
        <v>153</v>
      </c>
      <c r="C509" s="129"/>
      <c r="D509" s="129"/>
      <c r="E509" s="19" t="n">
        <f aca="false">F509*0.03</f>
        <v>0</v>
      </c>
      <c r="F509" s="33" t="n">
        <v>0</v>
      </c>
      <c r="G509" s="131"/>
      <c r="H509" s="35" t="n">
        <v>0</v>
      </c>
      <c r="I509" s="34" t="n">
        <f aca="false">+IF(E509=0,0,E509*0.03)</f>
        <v>0</v>
      </c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customFormat="false" ht="16.4" hidden="false" customHeight="false" outlineLevel="0" collapsed="false">
      <c r="A510" s="135" t="n">
        <v>45566</v>
      </c>
      <c r="B510" s="31" t="s">
        <v>247</v>
      </c>
      <c r="C510" s="129"/>
      <c r="D510" s="129"/>
      <c r="E510" s="19" t="n">
        <f aca="false">F510*0.03</f>
        <v>0</v>
      </c>
      <c r="F510" s="33" t="n">
        <v>0</v>
      </c>
      <c r="G510" s="131"/>
      <c r="H510" s="35" t="n">
        <v>0</v>
      </c>
      <c r="I510" s="34" t="n">
        <f aca="false">+IF(E510=0,0,E510*0.03)</f>
        <v>0</v>
      </c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customFormat="false" ht="16.4" hidden="false" customHeight="false" outlineLevel="0" collapsed="false">
      <c r="A511" s="135" t="n">
        <v>45566</v>
      </c>
      <c r="B511" s="31" t="s">
        <v>246</v>
      </c>
      <c r="C511" s="129"/>
      <c r="D511" s="129"/>
      <c r="E511" s="19" t="n">
        <f aca="false">F511*0.03</f>
        <v>0</v>
      </c>
      <c r="F511" s="33" t="n">
        <v>0</v>
      </c>
      <c r="G511" s="131"/>
      <c r="H511" s="35" t="n">
        <v>0</v>
      </c>
      <c r="I511" s="34" t="n">
        <f aca="false">+IF(E511=0,0,E511*0.03)</f>
        <v>0</v>
      </c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customFormat="false" ht="16.4" hidden="false" customHeight="false" outlineLevel="0" collapsed="false">
      <c r="A512" s="135" t="n">
        <v>45566</v>
      </c>
      <c r="B512" s="31" t="s">
        <v>239</v>
      </c>
      <c r="C512" s="129"/>
      <c r="D512" s="129"/>
      <c r="E512" s="19" t="n">
        <f aca="false">F512*0.03</f>
        <v>0</v>
      </c>
      <c r="F512" s="33" t="n">
        <v>0</v>
      </c>
      <c r="G512" s="131"/>
      <c r="H512" s="35" t="n">
        <v>0</v>
      </c>
      <c r="I512" s="34" t="n">
        <f aca="false">+IF(E512=0,0,E512*0.03)</f>
        <v>0</v>
      </c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customFormat="false" ht="16.4" hidden="false" customHeight="false" outlineLevel="0" collapsed="false">
      <c r="A513" s="135" t="n">
        <v>45566</v>
      </c>
      <c r="B513" s="31" t="s">
        <v>7</v>
      </c>
      <c r="C513" s="129"/>
      <c r="D513" s="129"/>
      <c r="E513" s="19" t="n">
        <f aca="false">F513*0.03</f>
        <v>0</v>
      </c>
      <c r="F513" s="33" t="n">
        <v>0</v>
      </c>
      <c r="G513" s="131"/>
      <c r="H513" s="35" t="n">
        <v>0</v>
      </c>
      <c r="I513" s="34" t="n">
        <f aca="false">+IF(E513=0,0,E513*0.03)</f>
        <v>0</v>
      </c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customFormat="false" ht="16.4" hidden="false" customHeight="false" outlineLevel="0" collapsed="false">
      <c r="A514" s="135" t="n">
        <v>45566</v>
      </c>
      <c r="B514" s="31" t="s">
        <v>240</v>
      </c>
      <c r="C514" s="129"/>
      <c r="D514" s="129"/>
      <c r="E514" s="19" t="n">
        <f aca="false">F514*0.03</f>
        <v>0</v>
      </c>
      <c r="F514" s="33" t="n">
        <v>0</v>
      </c>
      <c r="G514" s="131"/>
      <c r="H514" s="35" t="n">
        <v>0</v>
      </c>
      <c r="I514" s="34" t="n">
        <f aca="false">+IF(E514=0,0,E514*0.03)</f>
        <v>0</v>
      </c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customFormat="false" ht="16.4" hidden="false" customHeight="false" outlineLevel="0" collapsed="false">
      <c r="A515" s="135" t="n">
        <v>45566</v>
      </c>
      <c r="B515" s="31" t="s">
        <v>153</v>
      </c>
      <c r="C515" s="129"/>
      <c r="D515" s="129"/>
      <c r="E515" s="19" t="n">
        <f aca="false">F515*0.03</f>
        <v>0</v>
      </c>
      <c r="F515" s="33" t="n">
        <v>0</v>
      </c>
      <c r="G515" s="131"/>
      <c r="H515" s="35" t="n">
        <v>0</v>
      </c>
      <c r="I515" s="34" t="n">
        <f aca="false">+IF(E515=0,0,E515*0.03)</f>
        <v>0</v>
      </c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customFormat="false" ht="16.4" hidden="false" customHeight="false" outlineLevel="0" collapsed="false">
      <c r="A516" s="135" t="n">
        <v>45566</v>
      </c>
      <c r="B516" s="31" t="s">
        <v>247</v>
      </c>
      <c r="C516" s="129"/>
      <c r="D516" s="129"/>
      <c r="E516" s="19" t="n">
        <f aca="false">F516*0.03</f>
        <v>0</v>
      </c>
      <c r="F516" s="33" t="n">
        <v>0</v>
      </c>
      <c r="G516" s="131"/>
      <c r="H516" s="35" t="n">
        <v>0</v>
      </c>
      <c r="I516" s="34" t="n">
        <f aca="false">+IF(E516=0,0,E516*0.03)</f>
        <v>0</v>
      </c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customFormat="false" ht="16.4" hidden="false" customHeight="false" outlineLevel="0" collapsed="false">
      <c r="A517" s="135" t="n">
        <v>45566</v>
      </c>
      <c r="B517" s="31" t="s">
        <v>246</v>
      </c>
      <c r="C517" s="129"/>
      <c r="D517" s="129"/>
      <c r="E517" s="19" t="n">
        <f aca="false">F517*0.03</f>
        <v>0</v>
      </c>
      <c r="F517" s="33" t="n">
        <v>0</v>
      </c>
      <c r="G517" s="131"/>
      <c r="H517" s="35" t="n">
        <v>0</v>
      </c>
      <c r="I517" s="34" t="n">
        <f aca="false">+IF(E517=0,0,E517*0.03)</f>
        <v>0</v>
      </c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customFormat="false" ht="16.4" hidden="false" customHeight="false" outlineLevel="0" collapsed="false">
      <c r="A518" s="135" t="n">
        <v>45566</v>
      </c>
      <c r="B518" s="31" t="s">
        <v>239</v>
      </c>
      <c r="C518" s="129"/>
      <c r="D518" s="129"/>
      <c r="E518" s="19" t="n">
        <f aca="false">F518*0.03</f>
        <v>0</v>
      </c>
      <c r="F518" s="33" t="n">
        <v>0</v>
      </c>
      <c r="G518" s="131"/>
      <c r="H518" s="35" t="n">
        <v>0</v>
      </c>
      <c r="I518" s="34" t="n">
        <f aca="false">+IF(E518=0,0,E518*0.03)</f>
        <v>0</v>
      </c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customFormat="false" ht="16.4" hidden="false" customHeight="false" outlineLevel="0" collapsed="false">
      <c r="A519" s="135" t="n">
        <v>45566</v>
      </c>
      <c r="B519" s="31" t="s">
        <v>7</v>
      </c>
      <c r="C519" s="129"/>
      <c r="D519" s="129"/>
      <c r="E519" s="19" t="n">
        <f aca="false">F519*0.03</f>
        <v>0</v>
      </c>
      <c r="F519" s="33" t="n">
        <v>0</v>
      </c>
      <c r="G519" s="131"/>
      <c r="H519" s="35" t="n">
        <v>0</v>
      </c>
      <c r="I519" s="34" t="n">
        <f aca="false">+IF(E519=0,0,E519*0.03)</f>
        <v>0</v>
      </c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customFormat="false" ht="16.4" hidden="false" customHeight="false" outlineLevel="0" collapsed="false">
      <c r="A520" s="135" t="n">
        <v>45566</v>
      </c>
      <c r="B520" s="31" t="s">
        <v>240</v>
      </c>
      <c r="C520" s="129"/>
      <c r="D520" s="129"/>
      <c r="E520" s="19" t="n">
        <f aca="false">F520*0.03</f>
        <v>0</v>
      </c>
      <c r="F520" s="33" t="n">
        <v>0</v>
      </c>
      <c r="G520" s="131"/>
      <c r="H520" s="35" t="n">
        <v>0</v>
      </c>
      <c r="I520" s="34" t="n">
        <f aca="false">+IF(E520=0,0,E520*0.03)</f>
        <v>0</v>
      </c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customFormat="false" ht="16.4" hidden="false" customHeight="false" outlineLevel="0" collapsed="false">
      <c r="A521" s="135" t="n">
        <v>45566</v>
      </c>
      <c r="B521" s="31" t="s">
        <v>153</v>
      </c>
      <c r="C521" s="129"/>
      <c r="D521" s="129"/>
      <c r="E521" s="19" t="n">
        <f aca="false">F521*0.03</f>
        <v>0</v>
      </c>
      <c r="F521" s="33" t="n">
        <v>0</v>
      </c>
      <c r="G521" s="131"/>
      <c r="H521" s="35" t="n">
        <v>0</v>
      </c>
      <c r="I521" s="34" t="n">
        <f aca="false">+IF(E521=0,0,E521*0.03)</f>
        <v>0</v>
      </c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customFormat="false" ht="16.4" hidden="false" customHeight="false" outlineLevel="0" collapsed="false">
      <c r="A522" s="135" t="n">
        <v>45566</v>
      </c>
      <c r="B522" s="31" t="s">
        <v>247</v>
      </c>
      <c r="C522" s="129"/>
      <c r="D522" s="129"/>
      <c r="E522" s="19" t="n">
        <f aca="false">F522*0.03</f>
        <v>0</v>
      </c>
      <c r="F522" s="33" t="n">
        <v>0</v>
      </c>
      <c r="G522" s="131"/>
      <c r="H522" s="35" t="n">
        <v>0</v>
      </c>
      <c r="I522" s="34" t="n">
        <f aca="false">+IF(E522=0,0,E522*0.03)</f>
        <v>0</v>
      </c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customFormat="false" ht="16.4" hidden="false" customHeight="false" outlineLevel="0" collapsed="false">
      <c r="A523" s="135" t="n">
        <v>45566</v>
      </c>
      <c r="B523" s="31" t="s">
        <v>246</v>
      </c>
      <c r="C523" s="129"/>
      <c r="D523" s="129"/>
      <c r="E523" s="19" t="n">
        <f aca="false">F523*0.03</f>
        <v>0</v>
      </c>
      <c r="F523" s="33" t="n">
        <v>0</v>
      </c>
      <c r="G523" s="131"/>
      <c r="H523" s="35" t="n">
        <v>0</v>
      </c>
      <c r="I523" s="34" t="n">
        <f aca="false">+IF(E523=0,0,E523*0.03)</f>
        <v>0</v>
      </c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customFormat="false" ht="16.4" hidden="false" customHeight="false" outlineLevel="0" collapsed="false">
      <c r="A524" s="135" t="n">
        <v>45566</v>
      </c>
      <c r="B524" s="31" t="s">
        <v>239</v>
      </c>
      <c r="C524" s="129"/>
      <c r="D524" s="129"/>
      <c r="E524" s="19" t="n">
        <f aca="false">F524*0.03</f>
        <v>0</v>
      </c>
      <c r="F524" s="33" t="n">
        <v>0</v>
      </c>
      <c r="G524" s="131"/>
      <c r="H524" s="35" t="n">
        <v>0</v>
      </c>
      <c r="I524" s="34" t="n">
        <f aca="false">+IF(E524=0,0,E524*0.03)</f>
        <v>0</v>
      </c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customFormat="false" ht="16.4" hidden="false" customHeight="false" outlineLevel="0" collapsed="false">
      <c r="A525" s="135" t="n">
        <v>45566</v>
      </c>
      <c r="B525" s="31" t="s">
        <v>7</v>
      </c>
      <c r="C525" s="129"/>
      <c r="D525" s="129"/>
      <c r="E525" s="19" t="n">
        <f aca="false">F525*0.03</f>
        <v>0</v>
      </c>
      <c r="F525" s="33" t="n">
        <v>0</v>
      </c>
      <c r="G525" s="131"/>
      <c r="H525" s="35" t="n">
        <v>0</v>
      </c>
      <c r="I525" s="34" t="n">
        <f aca="false">+IF(E525=0,0,E525*0.03)</f>
        <v>0</v>
      </c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customFormat="false" ht="16.4" hidden="false" customHeight="false" outlineLevel="0" collapsed="false">
      <c r="A526" s="135" t="n">
        <v>45566</v>
      </c>
      <c r="B526" s="31" t="s">
        <v>240</v>
      </c>
      <c r="C526" s="129"/>
      <c r="D526" s="129"/>
      <c r="E526" s="19" t="n">
        <f aca="false">F526*0.03</f>
        <v>0</v>
      </c>
      <c r="F526" s="33" t="n">
        <v>0</v>
      </c>
      <c r="G526" s="131"/>
      <c r="H526" s="35" t="n">
        <v>0</v>
      </c>
      <c r="I526" s="34" t="n">
        <f aca="false">+IF(E526=0,0,E526*0.03)</f>
        <v>0</v>
      </c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customFormat="false" ht="16.4" hidden="false" customHeight="false" outlineLevel="0" collapsed="false">
      <c r="A527" s="135" t="n">
        <v>45566</v>
      </c>
      <c r="B527" s="31" t="s">
        <v>153</v>
      </c>
      <c r="C527" s="129"/>
      <c r="D527" s="129"/>
      <c r="E527" s="19" t="n">
        <f aca="false">F527*0.03</f>
        <v>0</v>
      </c>
      <c r="F527" s="33" t="n">
        <v>0</v>
      </c>
      <c r="G527" s="131"/>
      <c r="H527" s="35" t="n">
        <v>0</v>
      </c>
      <c r="I527" s="34" t="n">
        <f aca="false">+IF(E527=0,0,E527*0.03)</f>
        <v>0</v>
      </c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customFormat="false" ht="16.4" hidden="false" customHeight="false" outlineLevel="0" collapsed="false">
      <c r="A528" s="135" t="n">
        <v>45566</v>
      </c>
      <c r="B528" s="31" t="s">
        <v>247</v>
      </c>
      <c r="C528" s="129"/>
      <c r="D528" s="129"/>
      <c r="E528" s="19" t="n">
        <f aca="false">F528*0.03</f>
        <v>0</v>
      </c>
      <c r="F528" s="33" t="n">
        <v>0</v>
      </c>
      <c r="G528" s="131"/>
      <c r="H528" s="35" t="n">
        <v>0</v>
      </c>
      <c r="I528" s="34" t="n">
        <f aca="false">+IF(E528=0,0,E528*0.03)</f>
        <v>0</v>
      </c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customFormat="false" ht="16.4" hidden="false" customHeight="false" outlineLevel="0" collapsed="false">
      <c r="A529" s="135" t="n">
        <v>45566</v>
      </c>
      <c r="B529" s="31" t="s">
        <v>246</v>
      </c>
      <c r="C529" s="129"/>
      <c r="D529" s="129"/>
      <c r="E529" s="19" t="n">
        <f aca="false">F529*0.03</f>
        <v>0</v>
      </c>
      <c r="F529" s="33" t="n">
        <v>0</v>
      </c>
      <c r="G529" s="131"/>
      <c r="H529" s="35" t="n">
        <v>0</v>
      </c>
      <c r="I529" s="34" t="n">
        <f aca="false">+IF(E529=0,0,E529*0.03)</f>
        <v>0</v>
      </c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customFormat="false" ht="16.4" hidden="false" customHeight="false" outlineLevel="0" collapsed="false">
      <c r="A530" s="135" t="n">
        <v>45566</v>
      </c>
      <c r="B530" s="31" t="s">
        <v>239</v>
      </c>
      <c r="C530" s="129"/>
      <c r="D530" s="129"/>
      <c r="E530" s="19" t="n">
        <f aca="false">F530*0.03</f>
        <v>0</v>
      </c>
      <c r="F530" s="33" t="n">
        <v>0</v>
      </c>
      <c r="G530" s="131"/>
      <c r="H530" s="35" t="n">
        <v>0</v>
      </c>
      <c r="I530" s="34" t="n">
        <f aca="false">+IF(E530=0,0,E530*0.03)</f>
        <v>0</v>
      </c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customFormat="false" ht="16.4" hidden="false" customHeight="false" outlineLevel="0" collapsed="false">
      <c r="A531" s="135" t="n">
        <v>45566</v>
      </c>
      <c r="B531" s="31" t="s">
        <v>7</v>
      </c>
      <c r="C531" s="129"/>
      <c r="D531" s="129"/>
      <c r="E531" s="19" t="n">
        <f aca="false">F531*0.03</f>
        <v>0</v>
      </c>
      <c r="F531" s="33" t="n">
        <v>0</v>
      </c>
      <c r="G531" s="131"/>
      <c r="H531" s="35" t="n">
        <v>0</v>
      </c>
      <c r="I531" s="34" t="n">
        <f aca="false">+IF(E531=0,0,E531*0.03)</f>
        <v>0</v>
      </c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customFormat="false" ht="16.4" hidden="false" customHeight="false" outlineLevel="0" collapsed="false">
      <c r="A532" s="135" t="n">
        <v>45566</v>
      </c>
      <c r="B532" s="31" t="s">
        <v>240</v>
      </c>
      <c r="C532" s="129"/>
      <c r="D532" s="129"/>
      <c r="E532" s="19" t="n">
        <f aca="false">F532*0.03</f>
        <v>0</v>
      </c>
      <c r="F532" s="33" t="n">
        <v>0</v>
      </c>
      <c r="G532" s="131"/>
      <c r="H532" s="35" t="n">
        <v>0</v>
      </c>
      <c r="I532" s="34" t="n">
        <f aca="false">+IF(E532=0,0,E532*0.03)</f>
        <v>0</v>
      </c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customFormat="false" ht="16.4" hidden="false" customHeight="false" outlineLevel="0" collapsed="false">
      <c r="A533" s="135" t="n">
        <v>45566</v>
      </c>
      <c r="B533" s="31" t="s">
        <v>153</v>
      </c>
      <c r="C533" s="129"/>
      <c r="D533" s="129"/>
      <c r="E533" s="19" t="n">
        <f aca="false">F533*0.03</f>
        <v>0</v>
      </c>
      <c r="F533" s="33" t="n">
        <v>0</v>
      </c>
      <c r="G533" s="131"/>
      <c r="H533" s="35" t="n">
        <v>0</v>
      </c>
      <c r="I533" s="34" t="n">
        <f aca="false">+IF(E533=0,0,E533*0.03)</f>
        <v>0</v>
      </c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customFormat="false" ht="16.4" hidden="false" customHeight="false" outlineLevel="0" collapsed="false">
      <c r="A534" s="135" t="n">
        <v>45566</v>
      </c>
      <c r="B534" s="31" t="s">
        <v>247</v>
      </c>
      <c r="C534" s="129"/>
      <c r="D534" s="129"/>
      <c r="E534" s="19" t="n">
        <f aca="false">F534*0.03</f>
        <v>0</v>
      </c>
      <c r="F534" s="33" t="n">
        <v>0</v>
      </c>
      <c r="G534" s="131"/>
      <c r="H534" s="35" t="n">
        <v>0</v>
      </c>
      <c r="I534" s="34" t="n">
        <f aca="false">+IF(E534=0,0,E534*0.03)</f>
        <v>0</v>
      </c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customFormat="false" ht="16.4" hidden="false" customHeight="false" outlineLevel="0" collapsed="false">
      <c r="A535" s="135" t="n">
        <v>45566</v>
      </c>
      <c r="B535" s="31" t="s">
        <v>246</v>
      </c>
      <c r="C535" s="129"/>
      <c r="D535" s="129"/>
      <c r="E535" s="19" t="n">
        <f aca="false">F535*0.03</f>
        <v>0</v>
      </c>
      <c r="F535" s="33" t="n">
        <v>0</v>
      </c>
      <c r="G535" s="131"/>
      <c r="H535" s="35" t="n">
        <v>0</v>
      </c>
      <c r="I535" s="34" t="n">
        <f aca="false">+IF(E535=0,0,E535*0.03)</f>
        <v>0</v>
      </c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customFormat="false" ht="16.4" hidden="false" customHeight="false" outlineLevel="0" collapsed="false">
      <c r="A536" s="135" t="n">
        <v>45566</v>
      </c>
      <c r="B536" s="31" t="s">
        <v>239</v>
      </c>
      <c r="C536" s="129"/>
      <c r="D536" s="129"/>
      <c r="E536" s="19" t="n">
        <f aca="false">F536*0.03</f>
        <v>0</v>
      </c>
      <c r="F536" s="33" t="n">
        <v>0</v>
      </c>
      <c r="G536" s="131"/>
      <c r="H536" s="35" t="n">
        <v>0</v>
      </c>
      <c r="I536" s="34" t="n">
        <f aca="false">+IF(E536=0,0,E536*0.03)</f>
        <v>0</v>
      </c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customFormat="false" ht="16.4" hidden="false" customHeight="false" outlineLevel="0" collapsed="false">
      <c r="A537" s="135" t="n">
        <v>45566</v>
      </c>
      <c r="B537" s="31" t="s">
        <v>7</v>
      </c>
      <c r="C537" s="129"/>
      <c r="D537" s="129"/>
      <c r="E537" s="19" t="n">
        <f aca="false">F537*0.03</f>
        <v>0</v>
      </c>
      <c r="F537" s="33" t="n">
        <v>0</v>
      </c>
      <c r="G537" s="131"/>
      <c r="H537" s="35" t="n">
        <v>0</v>
      </c>
      <c r="I537" s="34" t="n">
        <f aca="false">+IF(E537=0,0,E537*0.03)</f>
        <v>0</v>
      </c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customFormat="false" ht="16.4" hidden="false" customHeight="false" outlineLevel="0" collapsed="false">
      <c r="A538" s="135" t="n">
        <v>45566</v>
      </c>
      <c r="B538" s="31" t="s">
        <v>240</v>
      </c>
      <c r="C538" s="129"/>
      <c r="D538" s="129"/>
      <c r="E538" s="19" t="n">
        <f aca="false">F538*0.03</f>
        <v>0</v>
      </c>
      <c r="F538" s="33" t="n">
        <v>0</v>
      </c>
      <c r="G538" s="131"/>
      <c r="H538" s="35" t="n">
        <v>0</v>
      </c>
      <c r="I538" s="34" t="n">
        <f aca="false">+IF(E538=0,0,E538*0.03)</f>
        <v>0</v>
      </c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customFormat="false" ht="16.4" hidden="false" customHeight="false" outlineLevel="0" collapsed="false">
      <c r="A539" s="135" t="n">
        <v>45566</v>
      </c>
      <c r="B539" s="31" t="s">
        <v>153</v>
      </c>
      <c r="C539" s="129"/>
      <c r="D539" s="129"/>
      <c r="E539" s="19" t="n">
        <f aca="false">F539*0.03</f>
        <v>0</v>
      </c>
      <c r="F539" s="33" t="n">
        <v>0</v>
      </c>
      <c r="G539" s="131"/>
      <c r="H539" s="35" t="n">
        <v>0</v>
      </c>
      <c r="I539" s="34" t="n">
        <f aca="false">+IF(E539=0,0,E539*0.03)</f>
        <v>0</v>
      </c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customFormat="false" ht="16.4" hidden="false" customHeight="false" outlineLevel="0" collapsed="false">
      <c r="A540" s="135" t="n">
        <v>45566</v>
      </c>
      <c r="B540" s="31" t="s">
        <v>247</v>
      </c>
      <c r="C540" s="129"/>
      <c r="D540" s="129"/>
      <c r="E540" s="19" t="n">
        <f aca="false">F540*0.03</f>
        <v>0</v>
      </c>
      <c r="F540" s="33" t="n">
        <v>0</v>
      </c>
      <c r="G540" s="131"/>
      <c r="H540" s="35" t="n">
        <v>0</v>
      </c>
      <c r="I540" s="34" t="n">
        <f aca="false">+IF(E540=0,0,E540*0.03)</f>
        <v>0</v>
      </c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customFormat="false" ht="16.4" hidden="false" customHeight="false" outlineLevel="0" collapsed="false">
      <c r="A541" s="135" t="n">
        <v>45566</v>
      </c>
      <c r="B541" s="31" t="s">
        <v>246</v>
      </c>
      <c r="C541" s="129"/>
      <c r="D541" s="129"/>
      <c r="E541" s="19" t="n">
        <f aca="false">F541*0.03</f>
        <v>0</v>
      </c>
      <c r="F541" s="33" t="n">
        <v>0</v>
      </c>
      <c r="G541" s="131"/>
      <c r="H541" s="35" t="n">
        <v>0</v>
      </c>
      <c r="I541" s="34" t="n">
        <f aca="false">+IF(E541=0,0,E541*0.03)</f>
        <v>0</v>
      </c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customFormat="false" ht="16.4" hidden="false" customHeight="false" outlineLevel="0" collapsed="false">
      <c r="A542" s="135" t="n">
        <v>45566</v>
      </c>
      <c r="B542" s="31" t="s">
        <v>239</v>
      </c>
      <c r="C542" s="129"/>
      <c r="D542" s="129"/>
      <c r="E542" s="19" t="n">
        <f aca="false">F542*0.03</f>
        <v>0</v>
      </c>
      <c r="F542" s="33" t="n">
        <v>0</v>
      </c>
      <c r="G542" s="131"/>
      <c r="H542" s="35" t="n">
        <v>0</v>
      </c>
      <c r="I542" s="34" t="n">
        <f aca="false">+IF(E542=0,0,E542*0.03)</f>
        <v>0</v>
      </c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customFormat="false" ht="16.4" hidden="false" customHeight="false" outlineLevel="0" collapsed="false">
      <c r="A543" s="135" t="n">
        <v>45566</v>
      </c>
      <c r="B543" s="31" t="s">
        <v>7</v>
      </c>
      <c r="C543" s="129"/>
      <c r="D543" s="129"/>
      <c r="E543" s="19" t="n">
        <f aca="false">F543*0.03</f>
        <v>0</v>
      </c>
      <c r="F543" s="33" t="n">
        <v>0</v>
      </c>
      <c r="G543" s="131"/>
      <c r="H543" s="35" t="n">
        <v>0</v>
      </c>
      <c r="I543" s="34" t="n">
        <f aca="false">+IF(E543=0,0,E543*0.03)</f>
        <v>0</v>
      </c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customFormat="false" ht="16.4" hidden="false" customHeight="false" outlineLevel="0" collapsed="false">
      <c r="A544" s="135" t="n">
        <v>45566</v>
      </c>
      <c r="B544" s="31" t="s">
        <v>240</v>
      </c>
      <c r="C544" s="129"/>
      <c r="D544" s="129"/>
      <c r="E544" s="19" t="n">
        <f aca="false">F544*0.03</f>
        <v>0</v>
      </c>
      <c r="F544" s="33" t="n">
        <v>0</v>
      </c>
      <c r="G544" s="131"/>
      <c r="H544" s="35" t="n">
        <v>0</v>
      </c>
      <c r="I544" s="34" t="n">
        <f aca="false">+IF(E544=0,0,E544*0.03)</f>
        <v>0</v>
      </c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customFormat="false" ht="16.4" hidden="false" customHeight="false" outlineLevel="0" collapsed="false">
      <c r="A545" s="135" t="n">
        <v>45566</v>
      </c>
      <c r="B545" s="31" t="s">
        <v>153</v>
      </c>
      <c r="C545" s="129"/>
      <c r="D545" s="129"/>
      <c r="E545" s="19" t="n">
        <f aca="false">F545*0.03</f>
        <v>0</v>
      </c>
      <c r="F545" s="33" t="n">
        <v>0</v>
      </c>
      <c r="G545" s="131"/>
      <c r="H545" s="35" t="n">
        <v>0</v>
      </c>
      <c r="I545" s="34" t="n">
        <f aca="false">+IF(E545=0,0,E545*0.03)</f>
        <v>0</v>
      </c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customFormat="false" ht="16.4" hidden="false" customHeight="false" outlineLevel="0" collapsed="false">
      <c r="A546" s="135" t="n">
        <v>45566</v>
      </c>
      <c r="B546" s="31" t="s">
        <v>247</v>
      </c>
      <c r="C546" s="129"/>
      <c r="D546" s="129"/>
      <c r="E546" s="19" t="n">
        <f aca="false">F546*0.03</f>
        <v>0</v>
      </c>
      <c r="F546" s="33" t="n">
        <v>0</v>
      </c>
      <c r="G546" s="131"/>
      <c r="H546" s="35" t="n">
        <v>0</v>
      </c>
      <c r="I546" s="34" t="n">
        <f aca="false">+IF(E546=0,0,E546*0.03)</f>
        <v>0</v>
      </c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customFormat="false" ht="16.4" hidden="false" customHeight="false" outlineLevel="0" collapsed="false">
      <c r="A547" s="135" t="n">
        <v>45566</v>
      </c>
      <c r="B547" s="31" t="s">
        <v>246</v>
      </c>
      <c r="C547" s="129"/>
      <c r="D547" s="129"/>
      <c r="E547" s="19" t="n">
        <f aca="false">F547*0.03</f>
        <v>0</v>
      </c>
      <c r="F547" s="33" t="n">
        <v>0</v>
      </c>
      <c r="G547" s="131"/>
      <c r="H547" s="35" t="n">
        <v>0</v>
      </c>
      <c r="I547" s="34" t="n">
        <f aca="false">+IF(E547=0,0,E547*0.03)</f>
        <v>0</v>
      </c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customFormat="false" ht="16.4" hidden="false" customHeight="false" outlineLevel="0" collapsed="false">
      <c r="A548" s="135" t="n">
        <v>45566</v>
      </c>
      <c r="B548" s="31" t="s">
        <v>239</v>
      </c>
      <c r="C548" s="129"/>
      <c r="D548" s="129"/>
      <c r="E548" s="19" t="n">
        <f aca="false">F548*0.03</f>
        <v>0</v>
      </c>
      <c r="F548" s="33" t="n">
        <v>0</v>
      </c>
      <c r="G548" s="131"/>
      <c r="H548" s="35" t="n">
        <v>0</v>
      </c>
      <c r="I548" s="34" t="n">
        <f aca="false">+IF(E548=0,0,E548*0.03)</f>
        <v>0</v>
      </c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customFormat="false" ht="16.4" hidden="false" customHeight="false" outlineLevel="0" collapsed="false">
      <c r="A549" s="135" t="n">
        <v>45566</v>
      </c>
      <c r="B549" s="31" t="s">
        <v>7</v>
      </c>
      <c r="C549" s="129"/>
      <c r="D549" s="129"/>
      <c r="E549" s="19" t="n">
        <f aca="false">F549*0.03</f>
        <v>0</v>
      </c>
      <c r="F549" s="33" t="n">
        <v>0</v>
      </c>
      <c r="G549" s="131"/>
      <c r="H549" s="35" t="n">
        <v>0</v>
      </c>
      <c r="I549" s="34" t="n">
        <f aca="false">+IF(E549=0,0,E549*0.03)</f>
        <v>0</v>
      </c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customFormat="false" ht="16.4" hidden="false" customHeight="false" outlineLevel="0" collapsed="false">
      <c r="A550" s="135" t="n">
        <v>45566</v>
      </c>
      <c r="B550" s="31" t="s">
        <v>240</v>
      </c>
      <c r="C550" s="129"/>
      <c r="D550" s="129"/>
      <c r="E550" s="19" t="n">
        <f aca="false">F550*0.03</f>
        <v>0</v>
      </c>
      <c r="F550" s="33" t="n">
        <v>0</v>
      </c>
      <c r="G550" s="131"/>
      <c r="H550" s="35" t="n">
        <v>0</v>
      </c>
      <c r="I550" s="34" t="n">
        <f aca="false">+IF(E550=0,0,E550*0.03)</f>
        <v>0</v>
      </c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customFormat="false" ht="16.4" hidden="false" customHeight="false" outlineLevel="0" collapsed="false">
      <c r="A551" s="135" t="n">
        <v>45566</v>
      </c>
      <c r="B551" s="31" t="s">
        <v>153</v>
      </c>
      <c r="C551" s="129"/>
      <c r="D551" s="129"/>
      <c r="E551" s="19" t="n">
        <f aca="false">F551*0.03</f>
        <v>0</v>
      </c>
      <c r="F551" s="33" t="n">
        <v>0</v>
      </c>
      <c r="G551" s="131"/>
      <c r="H551" s="35" t="n">
        <v>0</v>
      </c>
      <c r="I551" s="34" t="n">
        <f aca="false">+IF(E551=0,0,E551*0.03)</f>
        <v>0</v>
      </c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customFormat="false" ht="16.4" hidden="false" customHeight="false" outlineLevel="0" collapsed="false">
      <c r="A552" s="135" t="n">
        <v>45566</v>
      </c>
      <c r="B552" s="31" t="s">
        <v>247</v>
      </c>
      <c r="C552" s="129"/>
      <c r="D552" s="129"/>
      <c r="E552" s="19" t="n">
        <f aca="false">F552*0.03</f>
        <v>0</v>
      </c>
      <c r="F552" s="33" t="n">
        <v>0</v>
      </c>
      <c r="G552" s="131"/>
      <c r="H552" s="35" t="n">
        <v>0</v>
      </c>
      <c r="I552" s="34" t="n">
        <f aca="false">+IF(E552=0,0,E552*0.03)</f>
        <v>0</v>
      </c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customFormat="false" ht="16.4" hidden="false" customHeight="false" outlineLevel="0" collapsed="false">
      <c r="A553" s="135" t="n">
        <v>45566</v>
      </c>
      <c r="B553" s="31" t="s">
        <v>246</v>
      </c>
      <c r="C553" s="129"/>
      <c r="D553" s="129"/>
      <c r="E553" s="19" t="n">
        <f aca="false">F553*0.03</f>
        <v>0</v>
      </c>
      <c r="F553" s="33" t="n">
        <v>0</v>
      </c>
      <c r="G553" s="131"/>
      <c r="H553" s="35" t="n">
        <v>0</v>
      </c>
      <c r="I553" s="34" t="n">
        <f aca="false">+IF(E553=0,0,E553*0.03)</f>
        <v>0</v>
      </c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customFormat="false" ht="16.4" hidden="false" customHeight="false" outlineLevel="0" collapsed="false">
      <c r="A554" s="135" t="n">
        <v>45566</v>
      </c>
      <c r="B554" s="31" t="s">
        <v>239</v>
      </c>
      <c r="C554" s="129"/>
      <c r="D554" s="129"/>
      <c r="E554" s="19" t="n">
        <f aca="false">F554*0.03</f>
        <v>0</v>
      </c>
      <c r="F554" s="33" t="n">
        <v>0</v>
      </c>
      <c r="G554" s="131"/>
      <c r="H554" s="35" t="n">
        <v>0</v>
      </c>
      <c r="I554" s="34" t="n">
        <f aca="false">+IF(E554=0,0,E554*0.03)</f>
        <v>0</v>
      </c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customFormat="false" ht="16.4" hidden="false" customHeight="false" outlineLevel="0" collapsed="false">
      <c r="A555" s="135" t="n">
        <v>45566</v>
      </c>
      <c r="B555" s="31" t="s">
        <v>7</v>
      </c>
      <c r="C555" s="129"/>
      <c r="D555" s="129"/>
      <c r="E555" s="19" t="n">
        <f aca="false">F555*0.03</f>
        <v>0</v>
      </c>
      <c r="F555" s="33" t="n">
        <v>0</v>
      </c>
      <c r="G555" s="131"/>
      <c r="H555" s="35" t="n">
        <v>0</v>
      </c>
      <c r="I555" s="34" t="n">
        <f aca="false">+IF(E555=0,0,E555*0.03)</f>
        <v>0</v>
      </c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customFormat="false" ht="16.4" hidden="false" customHeight="false" outlineLevel="0" collapsed="false">
      <c r="A556" s="135" t="n">
        <v>45566</v>
      </c>
      <c r="B556" s="31" t="s">
        <v>240</v>
      </c>
      <c r="C556" s="129"/>
      <c r="D556" s="129"/>
      <c r="E556" s="19" t="n">
        <f aca="false">F556*0.03</f>
        <v>0</v>
      </c>
      <c r="F556" s="33" t="n">
        <v>0</v>
      </c>
      <c r="G556" s="131"/>
      <c r="H556" s="35" t="n">
        <v>0</v>
      </c>
      <c r="I556" s="34" t="n">
        <f aca="false">+IF(E556=0,0,E556*0.03)</f>
        <v>0</v>
      </c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customFormat="false" ht="16.4" hidden="false" customHeight="false" outlineLevel="0" collapsed="false">
      <c r="A557" s="135" t="n">
        <v>45566</v>
      </c>
      <c r="B557" s="31" t="s">
        <v>153</v>
      </c>
      <c r="C557" s="129"/>
      <c r="D557" s="129"/>
      <c r="E557" s="19" t="n">
        <f aca="false">F557*0.03</f>
        <v>0</v>
      </c>
      <c r="F557" s="33" t="n">
        <v>0</v>
      </c>
      <c r="G557" s="131"/>
      <c r="H557" s="35" t="n">
        <v>0</v>
      </c>
      <c r="I557" s="34" t="n">
        <f aca="false">+IF(E557=0,0,E557*0.03)</f>
        <v>0</v>
      </c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customFormat="false" ht="16.4" hidden="false" customHeight="false" outlineLevel="0" collapsed="false">
      <c r="A558" s="135" t="n">
        <v>45566</v>
      </c>
      <c r="B558" s="31" t="s">
        <v>247</v>
      </c>
      <c r="C558" s="129"/>
      <c r="D558" s="129"/>
      <c r="E558" s="19" t="n">
        <f aca="false">F558*0.03</f>
        <v>0</v>
      </c>
      <c r="F558" s="33" t="n">
        <v>0</v>
      </c>
      <c r="G558" s="131"/>
      <c r="H558" s="35" t="n">
        <v>0</v>
      </c>
      <c r="I558" s="34" t="n">
        <f aca="false">+IF(E558=0,0,E558*0.03)</f>
        <v>0</v>
      </c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customFormat="false" ht="16.4" hidden="false" customHeight="false" outlineLevel="0" collapsed="false">
      <c r="A559" s="135" t="n">
        <v>45566</v>
      </c>
      <c r="B559" s="31" t="s">
        <v>246</v>
      </c>
      <c r="C559" s="129"/>
      <c r="D559" s="129"/>
      <c r="E559" s="19" t="n">
        <f aca="false">F559*0.03</f>
        <v>0</v>
      </c>
      <c r="F559" s="33" t="n">
        <v>0</v>
      </c>
      <c r="G559" s="131"/>
      <c r="H559" s="35" t="n">
        <v>0</v>
      </c>
      <c r="I559" s="34" t="n">
        <f aca="false">+IF(E559=0,0,E559*0.03)</f>
        <v>0</v>
      </c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customFormat="false" ht="16.4" hidden="false" customHeight="false" outlineLevel="0" collapsed="false">
      <c r="A560" s="135" t="n">
        <v>45566</v>
      </c>
      <c r="B560" s="31" t="s">
        <v>239</v>
      </c>
      <c r="C560" s="129"/>
      <c r="D560" s="129"/>
      <c r="E560" s="19" t="n">
        <f aca="false">F560*0.03</f>
        <v>0</v>
      </c>
      <c r="F560" s="33" t="n">
        <v>0</v>
      </c>
      <c r="G560" s="131"/>
      <c r="H560" s="35" t="n">
        <v>0</v>
      </c>
      <c r="I560" s="34" t="n">
        <f aca="false">+IF(E560=0,0,E560*0.03)</f>
        <v>0</v>
      </c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customFormat="false" ht="16.4" hidden="false" customHeight="false" outlineLevel="0" collapsed="false">
      <c r="A561" s="135" t="n">
        <v>45566</v>
      </c>
      <c r="B561" s="31" t="s">
        <v>7</v>
      </c>
      <c r="C561" s="129"/>
      <c r="D561" s="129"/>
      <c r="E561" s="19" t="n">
        <f aca="false">F561*0.03</f>
        <v>0</v>
      </c>
      <c r="F561" s="33" t="n">
        <v>0</v>
      </c>
      <c r="G561" s="131"/>
      <c r="H561" s="35" t="n">
        <v>0</v>
      </c>
      <c r="I561" s="34" t="n">
        <f aca="false">+IF(E561=0,0,E561*0.03)</f>
        <v>0</v>
      </c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customFormat="false" ht="16.4" hidden="false" customHeight="false" outlineLevel="0" collapsed="false">
      <c r="A562" s="135" t="n">
        <v>45566</v>
      </c>
      <c r="B562" s="31" t="s">
        <v>240</v>
      </c>
      <c r="C562" s="129"/>
      <c r="D562" s="129"/>
      <c r="E562" s="19" t="n">
        <f aca="false">F562*0.03</f>
        <v>0</v>
      </c>
      <c r="F562" s="33" t="n">
        <v>0</v>
      </c>
      <c r="G562" s="131"/>
      <c r="H562" s="35" t="n">
        <v>0</v>
      </c>
      <c r="I562" s="34" t="n">
        <f aca="false">+IF(E562=0,0,E562*0.03)</f>
        <v>0</v>
      </c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customFormat="false" ht="16.4" hidden="false" customHeight="false" outlineLevel="0" collapsed="false">
      <c r="A563" s="135" t="n">
        <v>45566</v>
      </c>
      <c r="B563" s="31" t="s">
        <v>153</v>
      </c>
      <c r="C563" s="129"/>
      <c r="D563" s="129"/>
      <c r="E563" s="19" t="n">
        <f aca="false">F563*0.03</f>
        <v>0</v>
      </c>
      <c r="F563" s="33" t="n">
        <v>0</v>
      </c>
      <c r="G563" s="131"/>
      <c r="H563" s="35" t="n">
        <v>0</v>
      </c>
      <c r="I563" s="34" t="n">
        <f aca="false">+IF(E563=0,0,E563*0.03)</f>
        <v>0</v>
      </c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customFormat="false" ht="16.4" hidden="false" customHeight="false" outlineLevel="0" collapsed="false">
      <c r="A564" s="135" t="n">
        <v>45566</v>
      </c>
      <c r="B564" s="31" t="s">
        <v>247</v>
      </c>
      <c r="C564" s="129"/>
      <c r="D564" s="129"/>
      <c r="E564" s="19" t="n">
        <f aca="false">F564*0.03</f>
        <v>0</v>
      </c>
      <c r="F564" s="33" t="n">
        <v>0</v>
      </c>
      <c r="G564" s="131"/>
      <c r="H564" s="35" t="n">
        <v>0</v>
      </c>
      <c r="I564" s="34" t="n">
        <f aca="false">+IF(E564=0,0,E564*0.03)</f>
        <v>0</v>
      </c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customFormat="false" ht="16.4" hidden="false" customHeight="false" outlineLevel="0" collapsed="false">
      <c r="A565" s="135" t="n">
        <v>45566</v>
      </c>
      <c r="B565" s="31" t="s">
        <v>246</v>
      </c>
      <c r="C565" s="129"/>
      <c r="D565" s="129"/>
      <c r="E565" s="19" t="n">
        <f aca="false">F565*0.03</f>
        <v>0</v>
      </c>
      <c r="F565" s="33" t="n">
        <v>0</v>
      </c>
      <c r="G565" s="131"/>
      <c r="H565" s="35" t="n">
        <v>0</v>
      </c>
      <c r="I565" s="34" t="n">
        <f aca="false">+IF(E565=0,0,E565*0.03)</f>
        <v>0</v>
      </c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customFormat="false" ht="16.4" hidden="false" customHeight="false" outlineLevel="0" collapsed="false">
      <c r="A566" s="135" t="n">
        <v>45566</v>
      </c>
      <c r="B566" s="31" t="s">
        <v>239</v>
      </c>
      <c r="C566" s="129"/>
      <c r="D566" s="129"/>
      <c r="E566" s="19" t="n">
        <f aca="false">F566*0.03</f>
        <v>0</v>
      </c>
      <c r="F566" s="33" t="n">
        <v>0</v>
      </c>
      <c r="G566" s="131"/>
      <c r="H566" s="35" t="n">
        <v>0</v>
      </c>
      <c r="I566" s="34" t="n">
        <f aca="false">+IF(E566=0,0,E566*0.03)</f>
        <v>0</v>
      </c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customFormat="false" ht="16.4" hidden="false" customHeight="false" outlineLevel="0" collapsed="false">
      <c r="A567" s="135" t="n">
        <v>45566</v>
      </c>
      <c r="B567" s="31" t="s">
        <v>7</v>
      </c>
      <c r="C567" s="129"/>
      <c r="D567" s="129"/>
      <c r="E567" s="19" t="n">
        <f aca="false">F567*0.03</f>
        <v>0</v>
      </c>
      <c r="F567" s="33" t="n">
        <v>0</v>
      </c>
      <c r="G567" s="131"/>
      <c r="H567" s="35" t="n">
        <v>0</v>
      </c>
      <c r="I567" s="34" t="n">
        <f aca="false">+IF(E567=0,0,E567*0.03)</f>
        <v>0</v>
      </c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customFormat="false" ht="16.4" hidden="false" customHeight="false" outlineLevel="0" collapsed="false">
      <c r="A568" s="135" t="n">
        <v>45566</v>
      </c>
      <c r="B568" s="31" t="s">
        <v>240</v>
      </c>
      <c r="C568" s="129"/>
      <c r="D568" s="129"/>
      <c r="E568" s="19" t="n">
        <f aca="false">F568*0.03</f>
        <v>0</v>
      </c>
      <c r="F568" s="33" t="n">
        <v>0</v>
      </c>
      <c r="G568" s="131"/>
      <c r="H568" s="35" t="n">
        <v>0</v>
      </c>
      <c r="I568" s="34" t="n">
        <f aca="false">+IF(E568=0,0,E568*0.03)</f>
        <v>0</v>
      </c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customFormat="false" ht="16.4" hidden="false" customHeight="false" outlineLevel="0" collapsed="false">
      <c r="A569" s="135" t="n">
        <v>45566</v>
      </c>
      <c r="B569" s="31" t="s">
        <v>153</v>
      </c>
      <c r="C569" s="129"/>
      <c r="D569" s="129"/>
      <c r="E569" s="19" t="n">
        <f aca="false">F569*0.03</f>
        <v>0</v>
      </c>
      <c r="F569" s="33" t="n">
        <v>0</v>
      </c>
      <c r="G569" s="131"/>
      <c r="H569" s="35" t="n">
        <v>0</v>
      </c>
      <c r="I569" s="34" t="n">
        <f aca="false">+IF(E569=0,0,E569*0.03)</f>
        <v>0</v>
      </c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customFormat="false" ht="16.4" hidden="false" customHeight="false" outlineLevel="0" collapsed="false">
      <c r="A570" s="135" t="n">
        <v>45566</v>
      </c>
      <c r="B570" s="31" t="s">
        <v>247</v>
      </c>
      <c r="C570" s="129"/>
      <c r="D570" s="129"/>
      <c r="E570" s="19" t="n">
        <f aca="false">F570*0.03</f>
        <v>0</v>
      </c>
      <c r="F570" s="33" t="n">
        <v>0</v>
      </c>
      <c r="G570" s="131"/>
      <c r="H570" s="35" t="n">
        <v>0</v>
      </c>
      <c r="I570" s="34" t="n">
        <f aca="false">+IF(E570=0,0,E570*0.03)</f>
        <v>0</v>
      </c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customFormat="false" ht="16.4" hidden="false" customHeight="false" outlineLevel="0" collapsed="false">
      <c r="A571" s="135" t="n">
        <v>45566</v>
      </c>
      <c r="B571" s="31" t="s">
        <v>246</v>
      </c>
      <c r="C571" s="129"/>
      <c r="D571" s="129"/>
      <c r="E571" s="19" t="n">
        <f aca="false">F571*0.03</f>
        <v>0</v>
      </c>
      <c r="F571" s="33" t="n">
        <v>0</v>
      </c>
      <c r="G571" s="131"/>
      <c r="H571" s="35" t="n">
        <v>0</v>
      </c>
      <c r="I571" s="34" t="n">
        <f aca="false">+IF(E571=0,0,E571*0.03)</f>
        <v>0</v>
      </c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customFormat="false" ht="16.4" hidden="false" customHeight="false" outlineLevel="0" collapsed="false">
      <c r="A572" s="135" t="n">
        <v>45566</v>
      </c>
      <c r="B572" s="31" t="s">
        <v>239</v>
      </c>
      <c r="C572" s="129"/>
      <c r="D572" s="129"/>
      <c r="E572" s="19" t="n">
        <f aca="false">F572*0.03</f>
        <v>0</v>
      </c>
      <c r="F572" s="33" t="n">
        <v>0</v>
      </c>
      <c r="G572" s="131"/>
      <c r="H572" s="35" t="n">
        <v>0</v>
      </c>
      <c r="I572" s="34" t="n">
        <f aca="false">+IF(E572=0,0,E572*0.03)</f>
        <v>0</v>
      </c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customFormat="false" ht="16.4" hidden="false" customHeight="false" outlineLevel="0" collapsed="false">
      <c r="A573" s="135" t="n">
        <v>45566</v>
      </c>
      <c r="B573" s="31" t="s">
        <v>7</v>
      </c>
      <c r="C573" s="129"/>
      <c r="D573" s="129"/>
      <c r="E573" s="19" t="n">
        <f aca="false">F573*0.03</f>
        <v>0</v>
      </c>
      <c r="F573" s="33" t="n">
        <v>0</v>
      </c>
      <c r="G573" s="131"/>
      <c r="H573" s="35" t="n">
        <v>0</v>
      </c>
      <c r="I573" s="34" t="n">
        <f aca="false">+IF(E573=0,0,E573*0.03)</f>
        <v>0</v>
      </c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customFormat="false" ht="16.4" hidden="false" customHeight="false" outlineLevel="0" collapsed="false">
      <c r="A574" s="135" t="n">
        <v>45566</v>
      </c>
      <c r="B574" s="31" t="s">
        <v>240</v>
      </c>
      <c r="C574" s="129"/>
      <c r="D574" s="129"/>
      <c r="E574" s="19" t="n">
        <f aca="false">F574*0.03</f>
        <v>0</v>
      </c>
      <c r="F574" s="33" t="n">
        <v>0</v>
      </c>
      <c r="G574" s="131"/>
      <c r="H574" s="35" t="n">
        <v>0</v>
      </c>
      <c r="I574" s="34" t="n">
        <f aca="false">+IF(E574=0,0,E574*0.03)</f>
        <v>0</v>
      </c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customFormat="false" ht="16.4" hidden="false" customHeight="false" outlineLevel="0" collapsed="false">
      <c r="A575" s="135" t="n">
        <v>45566</v>
      </c>
      <c r="B575" s="31" t="s">
        <v>153</v>
      </c>
      <c r="C575" s="129"/>
      <c r="D575" s="129"/>
      <c r="E575" s="19" t="n">
        <f aca="false">F575*0.03</f>
        <v>0</v>
      </c>
      <c r="F575" s="33" t="n">
        <v>0</v>
      </c>
      <c r="G575" s="131"/>
      <c r="H575" s="35" t="n">
        <v>0</v>
      </c>
      <c r="I575" s="34" t="n">
        <f aca="false">+IF(E575=0,0,E575*0.03)</f>
        <v>0</v>
      </c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customFormat="false" ht="16.4" hidden="false" customHeight="false" outlineLevel="0" collapsed="false">
      <c r="A576" s="135" t="n">
        <v>45566</v>
      </c>
      <c r="B576" s="31" t="s">
        <v>247</v>
      </c>
      <c r="C576" s="129"/>
      <c r="D576" s="129"/>
      <c r="E576" s="19" t="n">
        <f aca="false">F576*0.03</f>
        <v>0</v>
      </c>
      <c r="F576" s="33" t="n">
        <v>0</v>
      </c>
      <c r="G576" s="131"/>
      <c r="H576" s="35" t="n">
        <v>0</v>
      </c>
      <c r="I576" s="34" t="n">
        <f aca="false">+IF(E576=0,0,E576*0.03)</f>
        <v>0</v>
      </c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customFormat="false" ht="16.4" hidden="false" customHeight="false" outlineLevel="0" collapsed="false">
      <c r="A577" s="135" t="n">
        <v>45566</v>
      </c>
      <c r="B577" s="31" t="s">
        <v>246</v>
      </c>
      <c r="C577" s="129"/>
      <c r="D577" s="129"/>
      <c r="E577" s="19" t="n">
        <f aca="false">F577*0.03</f>
        <v>0</v>
      </c>
      <c r="F577" s="33" t="n">
        <v>0</v>
      </c>
      <c r="G577" s="131"/>
      <c r="H577" s="35" t="n">
        <v>0</v>
      </c>
      <c r="I577" s="34" t="n">
        <f aca="false">+IF(E577=0,0,E577*0.03)</f>
        <v>0</v>
      </c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customFormat="false" ht="16.4" hidden="false" customHeight="false" outlineLevel="0" collapsed="false">
      <c r="A578" s="135" t="n">
        <v>45566</v>
      </c>
      <c r="B578" s="31" t="s">
        <v>239</v>
      </c>
      <c r="C578" s="129"/>
      <c r="D578" s="129"/>
      <c r="E578" s="19" t="n">
        <f aca="false">F578*0.03</f>
        <v>0</v>
      </c>
      <c r="F578" s="33" t="n">
        <v>0</v>
      </c>
      <c r="G578" s="131"/>
      <c r="H578" s="35" t="n">
        <v>0</v>
      </c>
      <c r="I578" s="34" t="n">
        <f aca="false">+IF(E578=0,0,E578*0.03)</f>
        <v>0</v>
      </c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customFormat="false" ht="16.4" hidden="false" customHeight="false" outlineLevel="0" collapsed="false">
      <c r="A579" s="135" t="n">
        <v>45566</v>
      </c>
      <c r="B579" s="31" t="s">
        <v>7</v>
      </c>
      <c r="C579" s="129"/>
      <c r="D579" s="129"/>
      <c r="E579" s="19" t="n">
        <f aca="false">F579*0.03</f>
        <v>0</v>
      </c>
      <c r="F579" s="33" t="n">
        <v>0</v>
      </c>
      <c r="G579" s="131"/>
      <c r="H579" s="35" t="n">
        <v>0</v>
      </c>
      <c r="I579" s="34" t="n">
        <f aca="false">+IF(E579=0,0,E579*0.03)</f>
        <v>0</v>
      </c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customFormat="false" ht="16.4" hidden="false" customHeight="false" outlineLevel="0" collapsed="false">
      <c r="A580" s="135" t="n">
        <v>45566</v>
      </c>
      <c r="B580" s="31" t="s">
        <v>240</v>
      </c>
      <c r="C580" s="129"/>
      <c r="D580" s="129"/>
      <c r="E580" s="19" t="n">
        <f aca="false">F580*0.03</f>
        <v>0</v>
      </c>
      <c r="F580" s="33" t="n">
        <v>0</v>
      </c>
      <c r="G580" s="131"/>
      <c r="H580" s="35" t="n">
        <v>0</v>
      </c>
      <c r="I580" s="34" t="n">
        <f aca="false">+IF(E580=0,0,E580*0.03)</f>
        <v>0</v>
      </c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customFormat="false" ht="16.4" hidden="false" customHeight="false" outlineLevel="0" collapsed="false">
      <c r="A581" s="135" t="n">
        <v>45566</v>
      </c>
      <c r="B581" s="31" t="s">
        <v>153</v>
      </c>
      <c r="C581" s="129"/>
      <c r="D581" s="129"/>
      <c r="E581" s="19" t="n">
        <f aca="false">F581*0.03</f>
        <v>0</v>
      </c>
      <c r="F581" s="33" t="n">
        <v>0</v>
      </c>
      <c r="G581" s="131"/>
      <c r="H581" s="35" t="n">
        <v>0</v>
      </c>
      <c r="I581" s="34" t="n">
        <f aca="false">+IF(E581=0,0,E581*0.03)</f>
        <v>0</v>
      </c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customFormat="false" ht="16.4" hidden="false" customHeight="false" outlineLevel="0" collapsed="false">
      <c r="A582" s="135" t="n">
        <v>45566</v>
      </c>
      <c r="B582" s="31" t="s">
        <v>247</v>
      </c>
      <c r="C582" s="129"/>
      <c r="D582" s="129"/>
      <c r="E582" s="19" t="n">
        <f aca="false">F582*0.03</f>
        <v>0</v>
      </c>
      <c r="F582" s="33" t="n">
        <v>0</v>
      </c>
      <c r="G582" s="131"/>
      <c r="H582" s="35" t="n">
        <v>0</v>
      </c>
      <c r="I582" s="34" t="n">
        <f aca="false">+IF(E582=0,0,E582*0.03)</f>
        <v>0</v>
      </c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customFormat="false" ht="16.4" hidden="false" customHeight="false" outlineLevel="0" collapsed="false">
      <c r="A583" s="135" t="n">
        <v>45566</v>
      </c>
      <c r="B583" s="31" t="s">
        <v>246</v>
      </c>
      <c r="C583" s="129"/>
      <c r="D583" s="129"/>
      <c r="E583" s="19" t="n">
        <f aca="false">F583*0.03</f>
        <v>0</v>
      </c>
      <c r="F583" s="33" t="n">
        <v>0</v>
      </c>
      <c r="G583" s="131"/>
      <c r="H583" s="35" t="n">
        <v>0</v>
      </c>
      <c r="I583" s="34" t="n">
        <f aca="false">+IF(E583=0,0,E583*0.03)</f>
        <v>0</v>
      </c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customFormat="false" ht="16.4" hidden="false" customHeight="false" outlineLevel="0" collapsed="false">
      <c r="A584" s="135" t="n">
        <v>45566</v>
      </c>
      <c r="B584" s="31" t="s">
        <v>239</v>
      </c>
      <c r="C584" s="129"/>
      <c r="D584" s="129"/>
      <c r="E584" s="19" t="n">
        <f aca="false">F584*0.03</f>
        <v>0</v>
      </c>
      <c r="F584" s="33" t="n">
        <v>0</v>
      </c>
      <c r="G584" s="131"/>
      <c r="H584" s="35" t="n">
        <v>0</v>
      </c>
      <c r="I584" s="34" t="n">
        <f aca="false">+IF(E584=0,0,E584*0.03)</f>
        <v>0</v>
      </c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customFormat="false" ht="16.4" hidden="false" customHeight="false" outlineLevel="0" collapsed="false">
      <c r="A585" s="135" t="n">
        <v>45566</v>
      </c>
      <c r="B585" s="31" t="s">
        <v>7</v>
      </c>
      <c r="C585" s="129"/>
      <c r="D585" s="129"/>
      <c r="E585" s="19" t="n">
        <f aca="false">F585*0.03</f>
        <v>0</v>
      </c>
      <c r="F585" s="33" t="n">
        <v>0</v>
      </c>
      <c r="G585" s="131"/>
      <c r="H585" s="35" t="n">
        <v>0</v>
      </c>
      <c r="I585" s="34" t="n">
        <f aca="false">+IF(E585=0,0,E585*0.03)</f>
        <v>0</v>
      </c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customFormat="false" ht="16.4" hidden="false" customHeight="false" outlineLevel="0" collapsed="false">
      <c r="A586" s="135" t="n">
        <v>45566</v>
      </c>
      <c r="B586" s="31" t="s">
        <v>240</v>
      </c>
      <c r="C586" s="129"/>
      <c r="D586" s="129"/>
      <c r="E586" s="19" t="n">
        <f aca="false">F586*0.03</f>
        <v>0</v>
      </c>
      <c r="F586" s="33" t="n">
        <v>0</v>
      </c>
      <c r="G586" s="131"/>
      <c r="H586" s="35" t="n">
        <v>0</v>
      </c>
      <c r="I586" s="34" t="n">
        <f aca="false">+IF(E586=0,0,E586*0.03)</f>
        <v>0</v>
      </c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customFormat="false" ht="16.4" hidden="false" customHeight="false" outlineLevel="0" collapsed="false">
      <c r="A587" s="135" t="n">
        <v>45566</v>
      </c>
      <c r="B587" s="31" t="s">
        <v>153</v>
      </c>
      <c r="C587" s="129"/>
      <c r="D587" s="129"/>
      <c r="E587" s="19" t="n">
        <f aca="false">F587*0.03</f>
        <v>0</v>
      </c>
      <c r="F587" s="33" t="n">
        <v>0</v>
      </c>
      <c r="G587" s="131"/>
      <c r="H587" s="35" t="n">
        <v>0</v>
      </c>
      <c r="I587" s="34" t="n">
        <f aca="false">+IF(E587=0,0,E587*0.03)</f>
        <v>0</v>
      </c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customFormat="false" ht="16.4" hidden="false" customHeight="false" outlineLevel="0" collapsed="false">
      <c r="A588" s="135" t="n">
        <v>45566</v>
      </c>
      <c r="B588" s="31" t="s">
        <v>247</v>
      </c>
      <c r="C588" s="129"/>
      <c r="D588" s="129"/>
      <c r="E588" s="19" t="n">
        <f aca="false">F588*0.03</f>
        <v>0</v>
      </c>
      <c r="F588" s="33" t="n">
        <v>0</v>
      </c>
      <c r="G588" s="131"/>
      <c r="H588" s="35" t="n">
        <v>0</v>
      </c>
      <c r="I588" s="34" t="n">
        <f aca="false">+IF(E588=0,0,E588*0.03)</f>
        <v>0</v>
      </c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customFormat="false" ht="16.4" hidden="false" customHeight="false" outlineLevel="0" collapsed="false">
      <c r="A589" s="135" t="n">
        <v>45566</v>
      </c>
      <c r="B589" s="31" t="s">
        <v>246</v>
      </c>
      <c r="C589" s="129"/>
      <c r="D589" s="129"/>
      <c r="E589" s="19" t="n">
        <f aca="false">F589*0.03</f>
        <v>0</v>
      </c>
      <c r="F589" s="33" t="n">
        <v>0</v>
      </c>
      <c r="G589" s="131"/>
      <c r="H589" s="35" t="n">
        <v>0</v>
      </c>
      <c r="I589" s="34" t="n">
        <f aca="false">+IF(E589=0,0,E589*0.03)</f>
        <v>0</v>
      </c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customFormat="false" ht="16.4" hidden="false" customHeight="false" outlineLevel="0" collapsed="false">
      <c r="A590" s="135" t="n">
        <v>45566</v>
      </c>
      <c r="B590" s="31" t="s">
        <v>239</v>
      </c>
      <c r="C590" s="129"/>
      <c r="D590" s="129"/>
      <c r="E590" s="19" t="n">
        <f aca="false">F590*0.03</f>
        <v>0</v>
      </c>
      <c r="F590" s="33" t="n">
        <v>0</v>
      </c>
      <c r="G590" s="131"/>
      <c r="H590" s="35" t="n">
        <v>0</v>
      </c>
      <c r="I590" s="34" t="n">
        <f aca="false">+IF(E590=0,0,E590*0.03)</f>
        <v>0</v>
      </c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customFormat="false" ht="16.4" hidden="false" customHeight="false" outlineLevel="0" collapsed="false">
      <c r="A591" s="135" t="n">
        <v>45566</v>
      </c>
      <c r="B591" s="31" t="s">
        <v>7</v>
      </c>
      <c r="C591" s="129"/>
      <c r="D591" s="129"/>
      <c r="E591" s="19" t="n">
        <f aca="false">F591*0.03</f>
        <v>0</v>
      </c>
      <c r="F591" s="33" t="n">
        <v>0</v>
      </c>
      <c r="G591" s="131"/>
      <c r="H591" s="35" t="n">
        <v>0</v>
      </c>
      <c r="I591" s="34" t="n">
        <f aca="false">+IF(E591=0,0,E591*0.03)</f>
        <v>0</v>
      </c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customFormat="false" ht="16.4" hidden="false" customHeight="false" outlineLevel="0" collapsed="false">
      <c r="A592" s="135" t="n">
        <v>45566</v>
      </c>
      <c r="B592" s="31" t="s">
        <v>240</v>
      </c>
      <c r="C592" s="129"/>
      <c r="D592" s="129"/>
      <c r="E592" s="19" t="n">
        <f aca="false">F592*0.03</f>
        <v>0</v>
      </c>
      <c r="F592" s="33" t="n">
        <v>0</v>
      </c>
      <c r="G592" s="131"/>
      <c r="H592" s="35" t="n">
        <v>0</v>
      </c>
      <c r="I592" s="34" t="n">
        <f aca="false">+IF(E592=0,0,E592*0.03)</f>
        <v>0</v>
      </c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customFormat="false" ht="16.4" hidden="false" customHeight="false" outlineLevel="0" collapsed="false">
      <c r="A593" s="135" t="n">
        <v>45566</v>
      </c>
      <c r="B593" s="31" t="s">
        <v>153</v>
      </c>
      <c r="C593" s="129"/>
      <c r="D593" s="129"/>
      <c r="E593" s="19" t="n">
        <f aca="false">F593*0.03</f>
        <v>0</v>
      </c>
      <c r="F593" s="33" t="n">
        <v>0</v>
      </c>
      <c r="G593" s="131"/>
      <c r="H593" s="35" t="n">
        <v>0</v>
      </c>
      <c r="I593" s="34" t="n">
        <f aca="false">+IF(E593=0,0,E593*0.03)</f>
        <v>0</v>
      </c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customFormat="false" ht="16.4" hidden="false" customHeight="false" outlineLevel="0" collapsed="false">
      <c r="A594" s="135" t="n">
        <v>45566</v>
      </c>
      <c r="B594" s="31" t="s">
        <v>247</v>
      </c>
      <c r="C594" s="129"/>
      <c r="D594" s="129"/>
      <c r="E594" s="19" t="n">
        <f aca="false">F594*0.03</f>
        <v>0</v>
      </c>
      <c r="F594" s="33" t="n">
        <v>0</v>
      </c>
      <c r="G594" s="131"/>
      <c r="H594" s="35" t="n">
        <v>0</v>
      </c>
      <c r="I594" s="34" t="n">
        <f aca="false">+IF(E594=0,0,E594*0.03)</f>
        <v>0</v>
      </c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customFormat="false" ht="16.4" hidden="false" customHeight="false" outlineLevel="0" collapsed="false">
      <c r="A595" s="135" t="n">
        <v>45566</v>
      </c>
      <c r="B595" s="31" t="s">
        <v>246</v>
      </c>
      <c r="C595" s="129"/>
      <c r="D595" s="129"/>
      <c r="E595" s="19" t="n">
        <f aca="false">F595*0.03</f>
        <v>0</v>
      </c>
      <c r="F595" s="33" t="n">
        <v>0</v>
      </c>
      <c r="G595" s="131"/>
      <c r="H595" s="35" t="n">
        <v>0</v>
      </c>
      <c r="I595" s="34" t="n">
        <f aca="false">+IF(E595=0,0,E595*0.03)</f>
        <v>0</v>
      </c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customFormat="false" ht="16.4" hidden="false" customHeight="false" outlineLevel="0" collapsed="false">
      <c r="A596" s="135" t="n">
        <v>45566</v>
      </c>
      <c r="B596" s="31" t="s">
        <v>239</v>
      </c>
      <c r="C596" s="129"/>
      <c r="D596" s="129"/>
      <c r="E596" s="19" t="n">
        <f aca="false">F596*0.03</f>
        <v>0</v>
      </c>
      <c r="F596" s="33" t="n">
        <v>0</v>
      </c>
      <c r="G596" s="131"/>
      <c r="H596" s="35" t="n">
        <v>0</v>
      </c>
      <c r="I596" s="34" t="n">
        <f aca="false">+IF(E596=0,0,E596*0.03)</f>
        <v>0</v>
      </c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customFormat="false" ht="16.4" hidden="false" customHeight="false" outlineLevel="0" collapsed="false">
      <c r="A597" s="135" t="n">
        <v>45566</v>
      </c>
      <c r="B597" s="31" t="s">
        <v>7</v>
      </c>
      <c r="C597" s="129"/>
      <c r="D597" s="129"/>
      <c r="E597" s="19" t="n">
        <f aca="false">F597*0.03</f>
        <v>0</v>
      </c>
      <c r="F597" s="33" t="n">
        <v>0</v>
      </c>
      <c r="G597" s="131"/>
      <c r="H597" s="35" t="n">
        <v>0</v>
      </c>
      <c r="I597" s="34" t="n">
        <f aca="false">+IF(E597=0,0,E597*0.03)</f>
        <v>0</v>
      </c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customFormat="false" ht="16.4" hidden="false" customHeight="false" outlineLevel="0" collapsed="false">
      <c r="A598" s="135" t="n">
        <v>45566</v>
      </c>
      <c r="B598" s="31" t="s">
        <v>240</v>
      </c>
      <c r="C598" s="129"/>
      <c r="D598" s="129"/>
      <c r="E598" s="19" t="n">
        <f aca="false">F598*0.03</f>
        <v>0</v>
      </c>
      <c r="F598" s="33" t="n">
        <v>0</v>
      </c>
      <c r="G598" s="131"/>
      <c r="H598" s="35" t="n">
        <v>0</v>
      </c>
      <c r="I598" s="34" t="n">
        <f aca="false">+IF(E598=0,0,E598*0.03)</f>
        <v>0</v>
      </c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customFormat="false" ht="16.4" hidden="false" customHeight="false" outlineLevel="0" collapsed="false">
      <c r="A599" s="135" t="n">
        <v>45566</v>
      </c>
      <c r="B599" s="31" t="s">
        <v>153</v>
      </c>
      <c r="C599" s="129"/>
      <c r="D599" s="129"/>
      <c r="E599" s="19" t="n">
        <f aca="false">F599*0.03</f>
        <v>0</v>
      </c>
      <c r="F599" s="33" t="n">
        <v>0</v>
      </c>
      <c r="G599" s="131"/>
      <c r="H599" s="35" t="n">
        <v>0</v>
      </c>
      <c r="I599" s="34" t="n">
        <f aca="false">+IF(E599=0,0,E599*0.03)</f>
        <v>0</v>
      </c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customFormat="false" ht="16.4" hidden="false" customHeight="false" outlineLevel="0" collapsed="false">
      <c r="A600" s="135" t="n">
        <v>45566</v>
      </c>
      <c r="B600" s="31" t="s">
        <v>247</v>
      </c>
      <c r="C600" s="129"/>
      <c r="D600" s="129"/>
      <c r="E600" s="19" t="n">
        <f aca="false">F600*0.03</f>
        <v>0</v>
      </c>
      <c r="F600" s="33" t="n">
        <v>0</v>
      </c>
      <c r="G600" s="131"/>
      <c r="H600" s="35" t="n">
        <v>0</v>
      </c>
      <c r="I600" s="34" t="n">
        <f aca="false">+IF(E600=0,0,E600*0.03)</f>
        <v>0</v>
      </c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customFormat="false" ht="16.4" hidden="false" customHeight="false" outlineLevel="0" collapsed="false">
      <c r="A601" s="135" t="n">
        <v>45566</v>
      </c>
      <c r="B601" s="31" t="s">
        <v>246</v>
      </c>
      <c r="C601" s="129"/>
      <c r="D601" s="129"/>
      <c r="E601" s="19" t="n">
        <f aca="false">F601*0.03</f>
        <v>0</v>
      </c>
      <c r="F601" s="33" t="n">
        <v>0</v>
      </c>
      <c r="G601" s="131"/>
      <c r="H601" s="35" t="n">
        <v>0</v>
      </c>
      <c r="I601" s="34" t="n">
        <f aca="false">+IF(E601=0,0,E601*0.03)</f>
        <v>0</v>
      </c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customFormat="false" ht="16.4" hidden="false" customHeight="false" outlineLevel="0" collapsed="false">
      <c r="A602" s="135" t="n">
        <v>45566</v>
      </c>
      <c r="B602" s="31" t="s">
        <v>239</v>
      </c>
      <c r="C602" s="129"/>
      <c r="D602" s="129"/>
      <c r="E602" s="19" t="n">
        <f aca="false">F602*0.03</f>
        <v>0</v>
      </c>
      <c r="F602" s="33" t="n">
        <v>0</v>
      </c>
      <c r="G602" s="131"/>
      <c r="H602" s="35" t="n">
        <v>0</v>
      </c>
      <c r="I602" s="34" t="n">
        <f aca="false">+IF(E602=0,0,E602*0.03)</f>
        <v>0</v>
      </c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customFormat="false" ht="16.4" hidden="false" customHeight="false" outlineLevel="0" collapsed="false">
      <c r="A603" s="135" t="n">
        <v>45566</v>
      </c>
      <c r="B603" s="31" t="s">
        <v>7</v>
      </c>
      <c r="C603" s="129"/>
      <c r="D603" s="129"/>
      <c r="E603" s="19" t="n">
        <f aca="false">F603*0.03</f>
        <v>0</v>
      </c>
      <c r="F603" s="33" t="n">
        <v>0</v>
      </c>
      <c r="G603" s="131"/>
      <c r="H603" s="35" t="n">
        <v>0</v>
      </c>
      <c r="I603" s="34" t="n">
        <f aca="false">+IF(E603=0,0,E603*0.03)</f>
        <v>0</v>
      </c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customFormat="false" ht="16.4" hidden="false" customHeight="false" outlineLevel="0" collapsed="false">
      <c r="A604" s="135" t="n">
        <v>45566</v>
      </c>
      <c r="B604" s="31" t="s">
        <v>240</v>
      </c>
      <c r="C604" s="129"/>
      <c r="D604" s="129"/>
      <c r="E604" s="19" t="n">
        <f aca="false">F604*0.03</f>
        <v>0</v>
      </c>
      <c r="F604" s="33" t="n">
        <v>0</v>
      </c>
      <c r="G604" s="131"/>
      <c r="H604" s="35" t="n">
        <v>0</v>
      </c>
      <c r="I604" s="34" t="n">
        <f aca="false">+IF(E604=0,0,E604*0.03)</f>
        <v>0</v>
      </c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customFormat="false" ht="16.4" hidden="false" customHeight="false" outlineLevel="0" collapsed="false">
      <c r="A605" s="135" t="n">
        <v>45566</v>
      </c>
      <c r="B605" s="31" t="s">
        <v>153</v>
      </c>
      <c r="C605" s="129"/>
      <c r="D605" s="129"/>
      <c r="E605" s="19" t="n">
        <f aca="false">F605*0.03</f>
        <v>0</v>
      </c>
      <c r="F605" s="33" t="n">
        <v>0</v>
      </c>
      <c r="G605" s="131"/>
      <c r="H605" s="35" t="n">
        <v>0</v>
      </c>
      <c r="I605" s="34" t="n">
        <f aca="false">+IF(E605=0,0,E605*0.03)</f>
        <v>0</v>
      </c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customFormat="false" ht="16.4" hidden="false" customHeight="false" outlineLevel="0" collapsed="false">
      <c r="A606" s="135" t="n">
        <v>45566</v>
      </c>
      <c r="B606" s="31" t="s">
        <v>247</v>
      </c>
      <c r="C606" s="129"/>
      <c r="D606" s="129"/>
      <c r="E606" s="19" t="n">
        <f aca="false">F606*0.03</f>
        <v>0</v>
      </c>
      <c r="F606" s="33" t="n">
        <v>0</v>
      </c>
      <c r="G606" s="131"/>
      <c r="H606" s="35" t="n">
        <v>0</v>
      </c>
      <c r="I606" s="34" t="n">
        <f aca="false">+IF(E606=0,0,E606*0.03)</f>
        <v>0</v>
      </c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customFormat="false" ht="16.4" hidden="false" customHeight="false" outlineLevel="0" collapsed="false">
      <c r="A607" s="135" t="n">
        <v>45566</v>
      </c>
      <c r="B607" s="31" t="s">
        <v>246</v>
      </c>
      <c r="C607" s="129"/>
      <c r="D607" s="129"/>
      <c r="E607" s="19" t="n">
        <f aca="false">F607*0.03</f>
        <v>0</v>
      </c>
      <c r="F607" s="33" t="n">
        <v>0</v>
      </c>
      <c r="G607" s="131"/>
      <c r="H607" s="35" t="n">
        <v>0</v>
      </c>
      <c r="I607" s="34" t="n">
        <f aca="false">+IF(E607=0,0,E607*0.03)</f>
        <v>0</v>
      </c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customFormat="false" ht="16.4" hidden="false" customHeight="false" outlineLevel="0" collapsed="false">
      <c r="A608" s="135" t="n">
        <v>45566</v>
      </c>
      <c r="B608" s="31" t="s">
        <v>239</v>
      </c>
      <c r="C608" s="129"/>
      <c r="D608" s="129"/>
      <c r="E608" s="19" t="n">
        <f aca="false">F608*0.03</f>
        <v>0</v>
      </c>
      <c r="F608" s="33" t="n">
        <v>0</v>
      </c>
      <c r="G608" s="131"/>
      <c r="H608" s="35" t="n">
        <v>0</v>
      </c>
      <c r="I608" s="34" t="n">
        <f aca="false">+IF(E608=0,0,E608*0.03)</f>
        <v>0</v>
      </c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customFormat="false" ht="16.4" hidden="false" customHeight="false" outlineLevel="0" collapsed="false">
      <c r="A609" s="135" t="n">
        <v>45566</v>
      </c>
      <c r="B609" s="31" t="s">
        <v>7</v>
      </c>
      <c r="C609" s="129"/>
      <c r="D609" s="129"/>
      <c r="E609" s="19" t="n">
        <f aca="false">F609*0.03</f>
        <v>0</v>
      </c>
      <c r="F609" s="33" t="n">
        <v>0</v>
      </c>
      <c r="G609" s="131"/>
      <c r="H609" s="35" t="n">
        <v>0</v>
      </c>
      <c r="I609" s="34" t="n">
        <f aca="false">+IF(E609=0,0,E609*0.03)</f>
        <v>0</v>
      </c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customFormat="false" ht="16.4" hidden="false" customHeight="false" outlineLevel="0" collapsed="false">
      <c r="A610" s="135" t="n">
        <v>45566</v>
      </c>
      <c r="B610" s="31" t="s">
        <v>240</v>
      </c>
      <c r="C610" s="129"/>
      <c r="D610" s="129"/>
      <c r="E610" s="19" t="n">
        <f aca="false">F610*0.03</f>
        <v>0</v>
      </c>
      <c r="F610" s="33" t="n">
        <v>0</v>
      </c>
      <c r="G610" s="131"/>
      <c r="H610" s="35" t="n">
        <v>0</v>
      </c>
      <c r="I610" s="34" t="n">
        <f aca="false">+IF(E610=0,0,E610*0.03)</f>
        <v>0</v>
      </c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customFormat="false" ht="16.4" hidden="false" customHeight="false" outlineLevel="0" collapsed="false">
      <c r="A611" s="135" t="n">
        <v>45566</v>
      </c>
      <c r="B611" s="31" t="s">
        <v>153</v>
      </c>
      <c r="C611" s="129"/>
      <c r="D611" s="129"/>
      <c r="E611" s="19" t="n">
        <f aca="false">F611*0.03</f>
        <v>0</v>
      </c>
      <c r="F611" s="33" t="n">
        <v>0</v>
      </c>
      <c r="G611" s="131"/>
      <c r="H611" s="35" t="n">
        <v>0</v>
      </c>
      <c r="I611" s="34" t="n">
        <f aca="false">+IF(E611=0,0,E611*0.03)</f>
        <v>0</v>
      </c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customFormat="false" ht="16.4" hidden="false" customHeight="false" outlineLevel="0" collapsed="false">
      <c r="A612" s="135" t="n">
        <v>45566</v>
      </c>
      <c r="B612" s="31" t="s">
        <v>247</v>
      </c>
      <c r="C612" s="129"/>
      <c r="D612" s="129"/>
      <c r="E612" s="19" t="n">
        <f aca="false">F612*0.03</f>
        <v>0</v>
      </c>
      <c r="F612" s="33" t="n">
        <v>0</v>
      </c>
      <c r="G612" s="131"/>
      <c r="H612" s="35" t="n">
        <v>0</v>
      </c>
      <c r="I612" s="34" t="n">
        <f aca="false">+IF(E612=0,0,E612*0.03)</f>
        <v>0</v>
      </c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customFormat="false" ht="16.4" hidden="false" customHeight="false" outlineLevel="0" collapsed="false">
      <c r="A613" s="135" t="n">
        <v>45566</v>
      </c>
      <c r="B613" s="31" t="s">
        <v>246</v>
      </c>
      <c r="C613" s="129"/>
      <c r="D613" s="129"/>
      <c r="E613" s="19" t="n">
        <f aca="false">F613*0.03</f>
        <v>0</v>
      </c>
      <c r="F613" s="33" t="n">
        <v>0</v>
      </c>
      <c r="G613" s="131"/>
      <c r="H613" s="35" t="n">
        <v>0</v>
      </c>
      <c r="I613" s="34" t="n">
        <f aca="false">+IF(E613=0,0,E613*0.03)</f>
        <v>0</v>
      </c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customFormat="false" ht="16.4" hidden="false" customHeight="false" outlineLevel="0" collapsed="false">
      <c r="A614" s="123" t="n">
        <v>45444</v>
      </c>
      <c r="B614" s="31" t="s">
        <v>239</v>
      </c>
      <c r="C614" s="129"/>
      <c r="D614" s="129"/>
      <c r="E614" s="19" t="n">
        <f aca="false">F614*0.03</f>
        <v>0</v>
      </c>
      <c r="F614" s="33" t="n">
        <v>0</v>
      </c>
      <c r="G614" s="131"/>
      <c r="H614" s="35" t="n">
        <v>0</v>
      </c>
      <c r="I614" s="34" t="n">
        <f aca="false">+IF(E614=0,0,E614*0.03)</f>
        <v>0</v>
      </c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customFormat="false" ht="16.4" hidden="false" customHeight="false" outlineLevel="0" collapsed="false">
      <c r="A615" s="123" t="n">
        <v>45444</v>
      </c>
      <c r="B615" s="31" t="s">
        <v>7</v>
      </c>
      <c r="C615" s="129"/>
      <c r="D615" s="129"/>
      <c r="E615" s="19" t="n">
        <f aca="false">F615*0.03</f>
        <v>0</v>
      </c>
      <c r="F615" s="33" t="n">
        <v>0</v>
      </c>
      <c r="G615" s="131"/>
      <c r="H615" s="35" t="n">
        <v>0</v>
      </c>
      <c r="I615" s="34" t="n">
        <f aca="false">+IF(E615=0,0,E615*0.03)</f>
        <v>0</v>
      </c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customFormat="false" ht="16.4" hidden="false" customHeight="false" outlineLevel="0" collapsed="false">
      <c r="A616" s="123" t="n">
        <v>45444</v>
      </c>
      <c r="B616" s="31" t="s">
        <v>240</v>
      </c>
      <c r="C616" s="129"/>
      <c r="D616" s="129"/>
      <c r="E616" s="19" t="n">
        <f aca="false">F616*0.03</f>
        <v>0</v>
      </c>
      <c r="F616" s="33" t="n">
        <v>0</v>
      </c>
      <c r="G616" s="131"/>
      <c r="H616" s="35" t="n">
        <v>0</v>
      </c>
      <c r="I616" s="34" t="n">
        <f aca="false">+IF(E616=0,0,E616*0.03)</f>
        <v>0</v>
      </c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customFormat="false" ht="16.4" hidden="false" customHeight="false" outlineLevel="0" collapsed="false">
      <c r="A617" s="123" t="n">
        <v>45444</v>
      </c>
      <c r="B617" s="31" t="s">
        <v>153</v>
      </c>
      <c r="C617" s="129"/>
      <c r="D617" s="129"/>
      <c r="E617" s="19" t="n">
        <f aca="false">F617*0.03</f>
        <v>0</v>
      </c>
      <c r="F617" s="33" t="n">
        <v>0</v>
      </c>
      <c r="G617" s="131"/>
      <c r="H617" s="35" t="n">
        <v>0</v>
      </c>
      <c r="I617" s="34" t="n">
        <f aca="false">+IF(E617=0,0,E617*0.03)</f>
        <v>0</v>
      </c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customFormat="false" ht="16.4" hidden="false" customHeight="false" outlineLevel="0" collapsed="false">
      <c r="A618" s="123" t="n">
        <v>45444</v>
      </c>
      <c r="B618" s="31" t="s">
        <v>247</v>
      </c>
      <c r="C618" s="129"/>
      <c r="D618" s="129"/>
      <c r="E618" s="19" t="n">
        <f aca="false">F618*0.03</f>
        <v>0</v>
      </c>
      <c r="F618" s="33" t="n">
        <v>0</v>
      </c>
      <c r="G618" s="131"/>
      <c r="H618" s="35" t="n">
        <v>0</v>
      </c>
      <c r="I618" s="34" t="n">
        <f aca="false">+IF(E618=0,0,E618*0.03)</f>
        <v>0</v>
      </c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customFormat="false" ht="16.4" hidden="false" customHeight="false" outlineLevel="0" collapsed="false">
      <c r="A619" s="123" t="n">
        <v>45444</v>
      </c>
      <c r="B619" s="31" t="s">
        <v>246</v>
      </c>
      <c r="C619" s="129"/>
      <c r="D619" s="129"/>
      <c r="E619" s="19" t="n">
        <f aca="false">F619*0.03</f>
        <v>0</v>
      </c>
      <c r="F619" s="33" t="n">
        <v>0</v>
      </c>
      <c r="G619" s="131"/>
      <c r="H619" s="35" t="n">
        <v>0</v>
      </c>
      <c r="I619" s="34" t="n">
        <f aca="false">+IF(E619=0,0,E619*0.03)</f>
        <v>0</v>
      </c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customFormat="false" ht="16.4" hidden="false" customHeight="false" outlineLevel="0" collapsed="false">
      <c r="A620" s="123" t="n">
        <v>45444</v>
      </c>
      <c r="B620" s="31" t="s">
        <v>239</v>
      </c>
      <c r="C620" s="129"/>
      <c r="D620" s="129"/>
      <c r="E620" s="19" t="n">
        <f aca="false">F620*0.03</f>
        <v>0</v>
      </c>
      <c r="F620" s="33" t="n">
        <v>0</v>
      </c>
      <c r="G620" s="131"/>
      <c r="H620" s="35" t="n">
        <v>0</v>
      </c>
      <c r="I620" s="34" t="n">
        <f aca="false">+IF(E620=0,0,E620*0.03)</f>
        <v>0</v>
      </c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customFormat="false" ht="16.4" hidden="false" customHeight="false" outlineLevel="0" collapsed="false">
      <c r="A621" s="123" t="n">
        <v>45444</v>
      </c>
      <c r="B621" s="31" t="s">
        <v>7</v>
      </c>
      <c r="C621" s="129"/>
      <c r="D621" s="129"/>
      <c r="E621" s="19" t="n">
        <f aca="false">F621*0.03</f>
        <v>0</v>
      </c>
      <c r="F621" s="33" t="n">
        <v>0</v>
      </c>
      <c r="G621" s="131"/>
      <c r="H621" s="35" t="n">
        <v>0</v>
      </c>
      <c r="I621" s="34" t="n">
        <f aca="false">+IF(E621=0,0,E621*0.03)</f>
        <v>0</v>
      </c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customFormat="false" ht="16.4" hidden="false" customHeight="false" outlineLevel="0" collapsed="false">
      <c r="A622" s="123" t="n">
        <v>45444</v>
      </c>
      <c r="B622" s="31" t="s">
        <v>240</v>
      </c>
      <c r="C622" s="129"/>
      <c r="D622" s="129"/>
      <c r="E622" s="19" t="n">
        <f aca="false">F622*0.03</f>
        <v>0</v>
      </c>
      <c r="F622" s="33" t="n">
        <v>0</v>
      </c>
      <c r="G622" s="131"/>
      <c r="H622" s="35" t="n">
        <v>0</v>
      </c>
      <c r="I622" s="34" t="n">
        <f aca="false">+IF(E622=0,0,E622*0.03)</f>
        <v>0</v>
      </c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customFormat="false" ht="16.4" hidden="false" customHeight="false" outlineLevel="0" collapsed="false">
      <c r="A623" s="123" t="n">
        <v>45444</v>
      </c>
      <c r="B623" s="31" t="s">
        <v>153</v>
      </c>
      <c r="C623" s="129"/>
      <c r="D623" s="129"/>
      <c r="E623" s="19" t="n">
        <f aca="false">F623*0.03</f>
        <v>0</v>
      </c>
      <c r="F623" s="33" t="n">
        <v>0</v>
      </c>
      <c r="G623" s="131"/>
      <c r="H623" s="35" t="n">
        <v>0</v>
      </c>
      <c r="I623" s="34" t="n">
        <f aca="false">+IF(E623=0,0,E623*0.03)</f>
        <v>0</v>
      </c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customFormat="false" ht="16.4" hidden="false" customHeight="false" outlineLevel="0" collapsed="false">
      <c r="A624" s="123" t="n">
        <v>45444</v>
      </c>
      <c r="B624" s="31" t="s">
        <v>247</v>
      </c>
      <c r="C624" s="129"/>
      <c r="D624" s="129"/>
      <c r="E624" s="19" t="n">
        <f aca="false">F624*0.03</f>
        <v>0</v>
      </c>
      <c r="F624" s="33" t="n">
        <v>0</v>
      </c>
      <c r="G624" s="131"/>
      <c r="H624" s="35" t="n">
        <v>0</v>
      </c>
      <c r="I624" s="34" t="n">
        <f aca="false">+IF(E624=0,0,E624*0.03)</f>
        <v>0</v>
      </c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customFormat="false" ht="16.4" hidden="false" customHeight="false" outlineLevel="0" collapsed="false">
      <c r="A625" s="123" t="n">
        <v>45444</v>
      </c>
      <c r="B625" s="31" t="s">
        <v>246</v>
      </c>
      <c r="C625" s="129"/>
      <c r="D625" s="129"/>
      <c r="E625" s="19" t="n">
        <f aca="false">F625*0.03</f>
        <v>0</v>
      </c>
      <c r="F625" s="33" t="n">
        <v>0</v>
      </c>
      <c r="G625" s="131"/>
      <c r="H625" s="35" t="n">
        <v>0</v>
      </c>
      <c r="I625" s="34" t="n">
        <f aca="false">+IF(E625=0,0,E625*0.03)</f>
        <v>0</v>
      </c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customFormat="false" ht="16.4" hidden="false" customHeight="false" outlineLevel="0" collapsed="false">
      <c r="A626" s="123" t="n">
        <v>45444</v>
      </c>
      <c r="B626" s="31" t="s">
        <v>239</v>
      </c>
      <c r="C626" s="129"/>
      <c r="D626" s="129"/>
      <c r="E626" s="19" t="n">
        <f aca="false">F626*0.03</f>
        <v>0</v>
      </c>
      <c r="F626" s="33" t="n">
        <v>0</v>
      </c>
      <c r="G626" s="131"/>
      <c r="H626" s="35" t="n">
        <v>0</v>
      </c>
      <c r="I626" s="34" t="n">
        <f aca="false">+IF(E626=0,0,E626*0.03)</f>
        <v>0</v>
      </c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customFormat="false" ht="16.4" hidden="false" customHeight="false" outlineLevel="0" collapsed="false">
      <c r="A627" s="123" t="n">
        <v>45444</v>
      </c>
      <c r="B627" s="31" t="s">
        <v>7</v>
      </c>
      <c r="C627" s="129"/>
      <c r="D627" s="129"/>
      <c r="E627" s="19" t="n">
        <f aca="false">F627*0.03</f>
        <v>0</v>
      </c>
      <c r="F627" s="33" t="n">
        <v>0</v>
      </c>
      <c r="G627" s="131"/>
      <c r="H627" s="35" t="n">
        <v>0</v>
      </c>
      <c r="I627" s="34" t="n">
        <f aca="false">+IF(E627=0,0,E627*0.03)</f>
        <v>0</v>
      </c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customFormat="false" ht="16.4" hidden="false" customHeight="false" outlineLevel="0" collapsed="false">
      <c r="A628" s="123" t="n">
        <v>45444</v>
      </c>
      <c r="B628" s="31" t="s">
        <v>240</v>
      </c>
      <c r="C628" s="129"/>
      <c r="D628" s="129"/>
      <c r="E628" s="19" t="n">
        <f aca="false">F628*0.03</f>
        <v>0</v>
      </c>
      <c r="F628" s="33" t="n">
        <v>0</v>
      </c>
      <c r="G628" s="131"/>
      <c r="H628" s="35" t="n">
        <v>0</v>
      </c>
      <c r="I628" s="34" t="n">
        <f aca="false">+IF(E628=0,0,E628*0.03)</f>
        <v>0</v>
      </c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customFormat="false" ht="16.4" hidden="false" customHeight="false" outlineLevel="0" collapsed="false">
      <c r="A629" s="123" t="n">
        <v>45444</v>
      </c>
      <c r="B629" s="31" t="s">
        <v>153</v>
      </c>
      <c r="C629" s="129"/>
      <c r="D629" s="129"/>
      <c r="E629" s="19" t="n">
        <f aca="false">F629*0.03</f>
        <v>0</v>
      </c>
      <c r="F629" s="33" t="n">
        <v>0</v>
      </c>
      <c r="G629" s="131"/>
      <c r="H629" s="35" t="n">
        <v>0</v>
      </c>
      <c r="I629" s="34" t="n">
        <f aca="false">+IF(E629=0,0,E629*0.03)</f>
        <v>0</v>
      </c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customFormat="false" ht="16.4" hidden="false" customHeight="false" outlineLevel="0" collapsed="false">
      <c r="A630" s="123" t="n">
        <v>45444</v>
      </c>
      <c r="B630" s="31" t="s">
        <v>247</v>
      </c>
      <c r="C630" s="129"/>
      <c r="D630" s="129"/>
      <c r="E630" s="19" t="n">
        <f aca="false">F630*0.03</f>
        <v>0</v>
      </c>
      <c r="F630" s="33" t="n">
        <v>0</v>
      </c>
      <c r="G630" s="131"/>
      <c r="H630" s="35" t="n">
        <v>0</v>
      </c>
      <c r="I630" s="34" t="n">
        <f aca="false">+IF(E630=0,0,E630*0.03)</f>
        <v>0</v>
      </c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customFormat="false" ht="16.4" hidden="false" customHeight="false" outlineLevel="0" collapsed="false">
      <c r="A631" s="123" t="n">
        <v>45444</v>
      </c>
      <c r="B631" s="31" t="s">
        <v>246</v>
      </c>
      <c r="C631" s="129"/>
      <c r="D631" s="129"/>
      <c r="E631" s="19" t="n">
        <f aca="false">F631*0.03</f>
        <v>0</v>
      </c>
      <c r="F631" s="33" t="n">
        <v>0</v>
      </c>
      <c r="G631" s="131"/>
      <c r="H631" s="35" t="n">
        <v>0</v>
      </c>
      <c r="I631" s="34" t="n">
        <f aca="false">+IF(E631=0,0,E631*0.03)</f>
        <v>0</v>
      </c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customFormat="false" ht="16.4" hidden="false" customHeight="false" outlineLevel="0" collapsed="false">
      <c r="A632" s="123" t="n">
        <v>45444</v>
      </c>
      <c r="B632" s="31" t="s">
        <v>239</v>
      </c>
      <c r="C632" s="129"/>
      <c r="D632" s="129"/>
      <c r="E632" s="19" t="n">
        <f aca="false">F632*0.03</f>
        <v>0</v>
      </c>
      <c r="F632" s="33" t="n">
        <v>0</v>
      </c>
      <c r="G632" s="131"/>
      <c r="H632" s="35" t="n">
        <v>0</v>
      </c>
      <c r="I632" s="34" t="n">
        <f aca="false">+IF(E632=0,0,E632*0.03)</f>
        <v>0</v>
      </c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customFormat="false" ht="16.4" hidden="false" customHeight="false" outlineLevel="0" collapsed="false">
      <c r="A633" s="123" t="n">
        <v>45444</v>
      </c>
      <c r="B633" s="31" t="s">
        <v>7</v>
      </c>
      <c r="C633" s="129"/>
      <c r="D633" s="129"/>
      <c r="E633" s="19" t="n">
        <f aca="false">F633*0.03</f>
        <v>0</v>
      </c>
      <c r="F633" s="33" t="n">
        <v>0</v>
      </c>
      <c r="G633" s="131"/>
      <c r="H633" s="35" t="n">
        <v>0</v>
      </c>
      <c r="I633" s="34" t="n">
        <f aca="false">+IF(E633=0,0,E633*0.03)</f>
        <v>0</v>
      </c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customFormat="false" ht="16.4" hidden="false" customHeight="false" outlineLevel="0" collapsed="false">
      <c r="A634" s="123" t="n">
        <v>45444</v>
      </c>
      <c r="B634" s="31" t="s">
        <v>240</v>
      </c>
      <c r="C634" s="129"/>
      <c r="D634" s="129"/>
      <c r="E634" s="19" t="n">
        <f aca="false">F634*0.03</f>
        <v>0</v>
      </c>
      <c r="F634" s="33" t="n">
        <v>0</v>
      </c>
      <c r="G634" s="131"/>
      <c r="H634" s="35" t="n">
        <v>0</v>
      </c>
      <c r="I634" s="34" t="n">
        <f aca="false">+IF(E634=0,0,E634*0.03)</f>
        <v>0</v>
      </c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customFormat="false" ht="16.4" hidden="false" customHeight="false" outlineLevel="0" collapsed="false">
      <c r="A635" s="123" t="n">
        <v>45444</v>
      </c>
      <c r="B635" s="31" t="s">
        <v>153</v>
      </c>
      <c r="C635" s="129"/>
      <c r="D635" s="129"/>
      <c r="E635" s="19" t="n">
        <f aca="false">F635*0.03</f>
        <v>0</v>
      </c>
      <c r="F635" s="33" t="n">
        <v>0</v>
      </c>
      <c r="G635" s="131"/>
      <c r="H635" s="35" t="n">
        <v>0</v>
      </c>
      <c r="I635" s="34" t="n">
        <f aca="false">+IF(E635=0,0,E635*0.03)</f>
        <v>0</v>
      </c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customFormat="false" ht="16.4" hidden="false" customHeight="false" outlineLevel="0" collapsed="false">
      <c r="A636" s="123" t="n">
        <v>45444</v>
      </c>
      <c r="B636" s="31" t="s">
        <v>247</v>
      </c>
      <c r="C636" s="129"/>
      <c r="D636" s="129"/>
      <c r="E636" s="19" t="n">
        <f aca="false">F636*0.03</f>
        <v>0</v>
      </c>
      <c r="F636" s="33" t="n">
        <v>0</v>
      </c>
      <c r="G636" s="131"/>
      <c r="H636" s="35" t="n">
        <v>0</v>
      </c>
      <c r="I636" s="34" t="n">
        <f aca="false">+IF(E636=0,0,E636*0.03)</f>
        <v>0</v>
      </c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customFormat="false" ht="16.4" hidden="false" customHeight="false" outlineLevel="0" collapsed="false">
      <c r="A637" s="123" t="n">
        <v>45444</v>
      </c>
      <c r="B637" s="31" t="s">
        <v>246</v>
      </c>
      <c r="C637" s="129"/>
      <c r="D637" s="129"/>
      <c r="E637" s="19" t="n">
        <f aca="false">F637*0.03</f>
        <v>0</v>
      </c>
      <c r="F637" s="33" t="n">
        <v>0</v>
      </c>
      <c r="G637" s="131"/>
      <c r="H637" s="35" t="n">
        <v>0</v>
      </c>
      <c r="I637" s="34" t="n">
        <f aca="false">+IF(E637=0,0,E637*0.03)</f>
        <v>0</v>
      </c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customFormat="false" ht="16.4" hidden="false" customHeight="false" outlineLevel="0" collapsed="false">
      <c r="A638" s="123" t="n">
        <v>45444</v>
      </c>
      <c r="B638" s="31" t="s">
        <v>239</v>
      </c>
      <c r="C638" s="129"/>
      <c r="D638" s="129"/>
      <c r="E638" s="19" t="n">
        <f aca="false">F638*0.03</f>
        <v>0</v>
      </c>
      <c r="F638" s="33" t="n">
        <v>0</v>
      </c>
      <c r="G638" s="131"/>
      <c r="H638" s="35" t="n">
        <v>0</v>
      </c>
      <c r="I638" s="34" t="n">
        <f aca="false">+IF(E638=0,0,E638*0.03)</f>
        <v>0</v>
      </c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customFormat="false" ht="16.4" hidden="false" customHeight="false" outlineLevel="0" collapsed="false">
      <c r="A639" s="123" t="n">
        <v>45444</v>
      </c>
      <c r="B639" s="31" t="s">
        <v>7</v>
      </c>
      <c r="C639" s="129"/>
      <c r="D639" s="129"/>
      <c r="E639" s="19" t="n">
        <f aca="false">F639*0.03</f>
        <v>0</v>
      </c>
      <c r="F639" s="33" t="n">
        <v>0</v>
      </c>
      <c r="G639" s="131"/>
      <c r="H639" s="35" t="n">
        <v>0</v>
      </c>
      <c r="I639" s="34" t="n">
        <f aca="false">+IF(E639=0,0,E639*0.03)</f>
        <v>0</v>
      </c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customFormat="false" ht="16.4" hidden="false" customHeight="false" outlineLevel="0" collapsed="false">
      <c r="A640" s="123" t="n">
        <v>45444</v>
      </c>
      <c r="B640" s="31" t="s">
        <v>240</v>
      </c>
      <c r="C640" s="129"/>
      <c r="D640" s="129"/>
      <c r="E640" s="19" t="n">
        <f aca="false">F640*0.03</f>
        <v>0</v>
      </c>
      <c r="F640" s="33" t="n">
        <v>0</v>
      </c>
      <c r="G640" s="131"/>
      <c r="H640" s="35" t="n">
        <v>0</v>
      </c>
      <c r="I640" s="34" t="n">
        <f aca="false">+IF(E640=0,0,E640*0.03)</f>
        <v>0</v>
      </c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customFormat="false" ht="16.4" hidden="false" customHeight="false" outlineLevel="0" collapsed="false">
      <c r="A641" s="123" t="n">
        <v>45444</v>
      </c>
      <c r="B641" s="31" t="s">
        <v>153</v>
      </c>
      <c r="C641" s="129"/>
      <c r="D641" s="129"/>
      <c r="E641" s="19" t="n">
        <f aca="false">F641*0.03</f>
        <v>0</v>
      </c>
      <c r="F641" s="33" t="n">
        <v>0</v>
      </c>
      <c r="G641" s="131"/>
      <c r="H641" s="35" t="n">
        <v>0</v>
      </c>
      <c r="I641" s="34" t="n">
        <f aca="false">+IF(E641=0,0,E641*0.03)</f>
        <v>0</v>
      </c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customFormat="false" ht="16.4" hidden="false" customHeight="false" outlineLevel="0" collapsed="false">
      <c r="A642" s="123" t="n">
        <v>45444</v>
      </c>
      <c r="B642" s="31" t="s">
        <v>247</v>
      </c>
      <c r="C642" s="129"/>
      <c r="D642" s="129"/>
      <c r="E642" s="19" t="n">
        <f aca="false">F642*0.03</f>
        <v>0</v>
      </c>
      <c r="F642" s="33" t="n">
        <v>0</v>
      </c>
      <c r="G642" s="131"/>
      <c r="H642" s="35" t="n">
        <v>0</v>
      </c>
      <c r="I642" s="34" t="n">
        <f aca="false">+IF(E642=0,0,E642*0.03)</f>
        <v>0</v>
      </c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customFormat="false" ht="16.4" hidden="false" customHeight="false" outlineLevel="0" collapsed="false">
      <c r="A643" s="123" t="n">
        <v>45444</v>
      </c>
      <c r="B643" s="31" t="s">
        <v>246</v>
      </c>
      <c r="C643" s="129"/>
      <c r="D643" s="129"/>
      <c r="E643" s="19" t="n">
        <f aca="false">F643*0.03</f>
        <v>0</v>
      </c>
      <c r="F643" s="33" t="n">
        <v>0</v>
      </c>
      <c r="G643" s="131"/>
      <c r="H643" s="35" t="n">
        <v>0</v>
      </c>
      <c r="I643" s="34" t="n">
        <f aca="false">+IF(E643=0,0,E643*0.03)</f>
        <v>0</v>
      </c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customFormat="false" ht="16.4" hidden="false" customHeight="false" outlineLevel="0" collapsed="false">
      <c r="A644" s="123" t="n">
        <v>45444</v>
      </c>
      <c r="B644" s="31" t="s">
        <v>239</v>
      </c>
      <c r="C644" s="129"/>
      <c r="D644" s="129"/>
      <c r="E644" s="19" t="n">
        <f aca="false">F644*0.03</f>
        <v>0</v>
      </c>
      <c r="F644" s="33" t="n">
        <v>0</v>
      </c>
      <c r="G644" s="131"/>
      <c r="H644" s="35" t="n">
        <v>0</v>
      </c>
      <c r="I644" s="34" t="n">
        <f aca="false">+IF(E644=0,0,E644*0.03)</f>
        <v>0</v>
      </c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customFormat="false" ht="16.4" hidden="false" customHeight="false" outlineLevel="0" collapsed="false">
      <c r="A645" s="123" t="n">
        <v>45444</v>
      </c>
      <c r="B645" s="31" t="s">
        <v>7</v>
      </c>
      <c r="C645" s="129"/>
      <c r="D645" s="129"/>
      <c r="E645" s="19" t="n">
        <f aca="false">F645*0.03</f>
        <v>0</v>
      </c>
      <c r="F645" s="33" t="n">
        <v>0</v>
      </c>
      <c r="G645" s="131"/>
      <c r="H645" s="35" t="n">
        <v>0</v>
      </c>
      <c r="I645" s="34" t="n">
        <f aca="false">+IF(E645=0,0,E645*0.03)</f>
        <v>0</v>
      </c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customFormat="false" ht="16.4" hidden="false" customHeight="false" outlineLevel="0" collapsed="false">
      <c r="A646" s="123" t="n">
        <v>45444</v>
      </c>
      <c r="B646" s="31" t="s">
        <v>240</v>
      </c>
      <c r="C646" s="129"/>
      <c r="D646" s="129"/>
      <c r="E646" s="19" t="n">
        <f aca="false">F646*0.03</f>
        <v>0</v>
      </c>
      <c r="F646" s="33" t="n">
        <v>0</v>
      </c>
      <c r="G646" s="131"/>
      <c r="H646" s="35" t="n">
        <v>0</v>
      </c>
      <c r="I646" s="34" t="n">
        <f aca="false">+IF(E646=0,0,E646*0.03)</f>
        <v>0</v>
      </c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customFormat="false" ht="16.4" hidden="false" customHeight="false" outlineLevel="0" collapsed="false">
      <c r="A647" s="123" t="n">
        <v>45444</v>
      </c>
      <c r="B647" s="31" t="s">
        <v>153</v>
      </c>
      <c r="C647" s="129"/>
      <c r="D647" s="129"/>
      <c r="E647" s="19" t="n">
        <f aca="false">F647*0.03</f>
        <v>0</v>
      </c>
      <c r="F647" s="33" t="n">
        <v>0</v>
      </c>
      <c r="G647" s="131"/>
      <c r="H647" s="35" t="n">
        <v>0</v>
      </c>
      <c r="I647" s="34" t="n">
        <f aca="false">+IF(E647=0,0,E647*0.03)</f>
        <v>0</v>
      </c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customFormat="false" ht="16.4" hidden="false" customHeight="false" outlineLevel="0" collapsed="false">
      <c r="A648" s="123" t="n">
        <v>45444</v>
      </c>
      <c r="B648" s="31" t="s">
        <v>247</v>
      </c>
      <c r="C648" s="129"/>
      <c r="D648" s="129"/>
      <c r="E648" s="19" t="n">
        <f aca="false">F648*0.03</f>
        <v>0</v>
      </c>
      <c r="F648" s="33" t="n">
        <v>0</v>
      </c>
      <c r="G648" s="131"/>
      <c r="H648" s="35" t="n">
        <v>0</v>
      </c>
      <c r="I648" s="34" t="n">
        <f aca="false">+IF(E648=0,0,E648*0.03)</f>
        <v>0</v>
      </c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customFormat="false" ht="16.4" hidden="false" customHeight="false" outlineLevel="0" collapsed="false">
      <c r="A649" s="123" t="n">
        <v>45444</v>
      </c>
      <c r="B649" s="31" t="s">
        <v>246</v>
      </c>
      <c r="C649" s="129"/>
      <c r="D649" s="129"/>
      <c r="E649" s="19" t="n">
        <f aca="false">F649*0.03</f>
        <v>0</v>
      </c>
      <c r="F649" s="33" t="n">
        <v>0</v>
      </c>
      <c r="G649" s="131"/>
      <c r="H649" s="35" t="n">
        <v>0</v>
      </c>
      <c r="I649" s="34" t="n">
        <f aca="false">+IF(E649=0,0,E649*0.03)</f>
        <v>0</v>
      </c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customFormat="false" ht="16.4" hidden="false" customHeight="false" outlineLevel="0" collapsed="false">
      <c r="A650" s="123" t="n">
        <v>45444</v>
      </c>
      <c r="B650" s="31" t="s">
        <v>239</v>
      </c>
      <c r="C650" s="129"/>
      <c r="D650" s="129"/>
      <c r="E650" s="19" t="n">
        <f aca="false">F650*0.03</f>
        <v>0</v>
      </c>
      <c r="F650" s="33" t="n">
        <v>0</v>
      </c>
      <c r="G650" s="131"/>
      <c r="H650" s="35" t="n">
        <v>0</v>
      </c>
      <c r="I650" s="34" t="n">
        <f aca="false">+IF(E650=0,0,E650*0.03)</f>
        <v>0</v>
      </c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customFormat="false" ht="16.4" hidden="false" customHeight="false" outlineLevel="0" collapsed="false">
      <c r="A651" s="123" t="n">
        <v>45444</v>
      </c>
      <c r="B651" s="31" t="s">
        <v>7</v>
      </c>
      <c r="C651" s="129"/>
      <c r="D651" s="129"/>
      <c r="E651" s="19" t="n">
        <f aca="false">F651*0.03</f>
        <v>0</v>
      </c>
      <c r="F651" s="33" t="n">
        <v>0</v>
      </c>
      <c r="G651" s="131"/>
      <c r="H651" s="35" t="n">
        <v>0</v>
      </c>
      <c r="I651" s="34" t="n">
        <f aca="false">+IF(E651=0,0,E651*0.03)</f>
        <v>0</v>
      </c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customFormat="false" ht="16.4" hidden="false" customHeight="false" outlineLevel="0" collapsed="false">
      <c r="A652" s="123" t="n">
        <v>45444</v>
      </c>
      <c r="B652" s="31" t="s">
        <v>240</v>
      </c>
      <c r="C652" s="129"/>
      <c r="D652" s="129"/>
      <c r="E652" s="19" t="n">
        <f aca="false">F652*0.03</f>
        <v>0</v>
      </c>
      <c r="F652" s="33" t="n">
        <v>0</v>
      </c>
      <c r="G652" s="131"/>
      <c r="H652" s="35" t="n">
        <v>0</v>
      </c>
      <c r="I652" s="34" t="n">
        <f aca="false">+IF(E652=0,0,E652*0.03)</f>
        <v>0</v>
      </c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customFormat="false" ht="16.4" hidden="false" customHeight="false" outlineLevel="0" collapsed="false">
      <c r="A653" s="123" t="n">
        <v>45444</v>
      </c>
      <c r="B653" s="31" t="s">
        <v>153</v>
      </c>
      <c r="C653" s="129"/>
      <c r="D653" s="129"/>
      <c r="E653" s="19" t="n">
        <f aca="false">F653*0.03</f>
        <v>0</v>
      </c>
      <c r="F653" s="33" t="n">
        <v>0</v>
      </c>
      <c r="G653" s="131"/>
      <c r="H653" s="35" t="n">
        <v>0</v>
      </c>
      <c r="I653" s="34" t="n">
        <f aca="false">+IF(E653=0,0,E653*0.03)</f>
        <v>0</v>
      </c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customFormat="false" ht="16.4" hidden="false" customHeight="false" outlineLevel="0" collapsed="false">
      <c r="A654" s="123" t="n">
        <v>45444</v>
      </c>
      <c r="B654" s="31" t="s">
        <v>247</v>
      </c>
      <c r="C654" s="129"/>
      <c r="D654" s="129"/>
      <c r="E654" s="19" t="n">
        <f aca="false">F654*0.03</f>
        <v>0</v>
      </c>
      <c r="F654" s="33" t="n">
        <v>0</v>
      </c>
      <c r="G654" s="131"/>
      <c r="H654" s="35" t="n">
        <v>0</v>
      </c>
      <c r="I654" s="34" t="n">
        <f aca="false">+IF(E654=0,0,E654*0.03)</f>
        <v>0</v>
      </c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customFormat="false" ht="16.4" hidden="false" customHeight="false" outlineLevel="0" collapsed="false">
      <c r="A655" s="123" t="n">
        <v>45444</v>
      </c>
      <c r="B655" s="31" t="s">
        <v>246</v>
      </c>
      <c r="C655" s="129"/>
      <c r="D655" s="129"/>
      <c r="E655" s="19" t="n">
        <f aca="false">F655*0.03</f>
        <v>0</v>
      </c>
      <c r="F655" s="33" t="n">
        <v>0</v>
      </c>
      <c r="G655" s="131"/>
      <c r="H655" s="35" t="n">
        <v>0</v>
      </c>
      <c r="I655" s="34" t="n">
        <f aca="false">+IF(E655=0,0,E655*0.03)</f>
        <v>0</v>
      </c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customFormat="false" ht="16.4" hidden="false" customHeight="false" outlineLevel="0" collapsed="false">
      <c r="A656" s="123" t="n">
        <v>45444</v>
      </c>
      <c r="B656" s="31" t="s">
        <v>239</v>
      </c>
      <c r="C656" s="129"/>
      <c r="D656" s="129"/>
      <c r="E656" s="19" t="n">
        <f aca="false">F656*0.03</f>
        <v>0</v>
      </c>
      <c r="F656" s="33" t="n">
        <v>0</v>
      </c>
      <c r="G656" s="131"/>
      <c r="H656" s="35" t="n">
        <v>0</v>
      </c>
      <c r="I656" s="34" t="n">
        <f aca="false">+IF(E656=0,0,E656*0.03)</f>
        <v>0</v>
      </c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customFormat="false" ht="16.4" hidden="false" customHeight="false" outlineLevel="0" collapsed="false">
      <c r="A657" s="123" t="n">
        <v>45444</v>
      </c>
      <c r="B657" s="31" t="s">
        <v>7</v>
      </c>
      <c r="C657" s="129"/>
      <c r="D657" s="129"/>
      <c r="E657" s="19" t="n">
        <f aca="false">F657*0.03</f>
        <v>0</v>
      </c>
      <c r="F657" s="33" t="n">
        <v>0</v>
      </c>
      <c r="G657" s="131"/>
      <c r="H657" s="35" t="n">
        <v>0</v>
      </c>
      <c r="I657" s="34" t="n">
        <f aca="false">+IF(E657=0,0,E657*0.03)</f>
        <v>0</v>
      </c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customFormat="false" ht="16.4" hidden="false" customHeight="false" outlineLevel="0" collapsed="false">
      <c r="A658" s="123" t="n">
        <v>45444</v>
      </c>
      <c r="B658" s="31" t="s">
        <v>240</v>
      </c>
      <c r="C658" s="129"/>
      <c r="D658" s="129"/>
      <c r="E658" s="19" t="n">
        <f aca="false">F658*0.03</f>
        <v>0</v>
      </c>
      <c r="F658" s="33" t="n">
        <v>0</v>
      </c>
      <c r="G658" s="131"/>
      <c r="H658" s="35" t="n">
        <v>0</v>
      </c>
      <c r="I658" s="34" t="n">
        <f aca="false">+IF(E658=0,0,E658*0.03)</f>
        <v>0</v>
      </c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customFormat="false" ht="16.4" hidden="false" customHeight="false" outlineLevel="0" collapsed="false">
      <c r="A659" s="123" t="n">
        <v>45444</v>
      </c>
      <c r="B659" s="31" t="s">
        <v>153</v>
      </c>
      <c r="C659" s="129"/>
      <c r="D659" s="129"/>
      <c r="E659" s="19" t="n">
        <f aca="false">F659*0.03</f>
        <v>0</v>
      </c>
      <c r="F659" s="33" t="n">
        <v>0</v>
      </c>
      <c r="G659" s="131"/>
      <c r="H659" s="35" t="n">
        <v>0</v>
      </c>
      <c r="I659" s="34" t="n">
        <f aca="false">+IF(E659=0,0,E659*0.03)</f>
        <v>0</v>
      </c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customFormat="false" ht="16.4" hidden="false" customHeight="false" outlineLevel="0" collapsed="false">
      <c r="A660" s="123" t="n">
        <v>45444</v>
      </c>
      <c r="B660" s="31" t="s">
        <v>247</v>
      </c>
      <c r="C660" s="129"/>
      <c r="D660" s="129"/>
      <c r="E660" s="19" t="n">
        <f aca="false">F660*0.03</f>
        <v>0</v>
      </c>
      <c r="F660" s="33" t="n">
        <v>0</v>
      </c>
      <c r="G660" s="131"/>
      <c r="H660" s="35" t="n">
        <v>0</v>
      </c>
      <c r="I660" s="34" t="n">
        <f aca="false">+IF(E660=0,0,E660*0.03)</f>
        <v>0</v>
      </c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customFormat="false" ht="16.4" hidden="false" customHeight="false" outlineLevel="0" collapsed="false">
      <c r="A661" s="123" t="n">
        <v>45444</v>
      </c>
      <c r="B661" s="31" t="s">
        <v>246</v>
      </c>
      <c r="C661" s="129"/>
      <c r="D661" s="129"/>
      <c r="E661" s="19" t="n">
        <f aca="false">F661*0.03</f>
        <v>0</v>
      </c>
      <c r="F661" s="33" t="n">
        <v>0</v>
      </c>
      <c r="G661" s="131"/>
      <c r="H661" s="35" t="n">
        <v>0</v>
      </c>
      <c r="I661" s="34" t="n">
        <f aca="false">+IF(E661=0,0,E661*0.03)</f>
        <v>0</v>
      </c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customFormat="false" ht="16.4" hidden="false" customHeight="false" outlineLevel="0" collapsed="false">
      <c r="A662" s="123" t="n">
        <v>45444</v>
      </c>
      <c r="B662" s="31" t="s">
        <v>239</v>
      </c>
      <c r="C662" s="129"/>
      <c r="D662" s="129"/>
      <c r="E662" s="19" t="n">
        <f aca="false">F662*0.03</f>
        <v>0</v>
      </c>
      <c r="F662" s="33" t="n">
        <v>0</v>
      </c>
      <c r="G662" s="131"/>
      <c r="H662" s="35" t="n">
        <v>0</v>
      </c>
      <c r="I662" s="34" t="n">
        <f aca="false">+IF(E662=0,0,E662*0.03)</f>
        <v>0</v>
      </c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customFormat="false" ht="16.4" hidden="false" customHeight="false" outlineLevel="0" collapsed="false">
      <c r="A663" s="123" t="n">
        <v>45444</v>
      </c>
      <c r="B663" s="31" t="s">
        <v>7</v>
      </c>
      <c r="C663" s="129"/>
      <c r="D663" s="129"/>
      <c r="E663" s="19" t="n">
        <f aca="false">F663*0.03</f>
        <v>0</v>
      </c>
      <c r="F663" s="33" t="n">
        <v>0</v>
      </c>
      <c r="G663" s="131"/>
      <c r="H663" s="35" t="n">
        <v>0</v>
      </c>
      <c r="I663" s="34" t="n">
        <f aca="false">+IF(E663=0,0,E663*0.03)</f>
        <v>0</v>
      </c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customFormat="false" ht="16.4" hidden="false" customHeight="false" outlineLevel="0" collapsed="false">
      <c r="A664" s="123" t="n">
        <v>45444</v>
      </c>
      <c r="B664" s="31" t="s">
        <v>240</v>
      </c>
      <c r="C664" s="129"/>
      <c r="D664" s="129"/>
      <c r="E664" s="19" t="n">
        <f aca="false">F664*0.03</f>
        <v>0</v>
      </c>
      <c r="F664" s="33" t="n">
        <v>0</v>
      </c>
      <c r="G664" s="131"/>
      <c r="H664" s="35" t="n">
        <v>0</v>
      </c>
      <c r="I664" s="34" t="n">
        <f aca="false">+IF(E664=0,0,E664*0.03)</f>
        <v>0</v>
      </c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customFormat="false" ht="16.4" hidden="false" customHeight="false" outlineLevel="0" collapsed="false">
      <c r="A665" s="123" t="n">
        <v>45444</v>
      </c>
      <c r="B665" s="31" t="s">
        <v>153</v>
      </c>
      <c r="C665" s="129"/>
      <c r="D665" s="129"/>
      <c r="E665" s="19" t="n">
        <f aca="false">F665*0.03</f>
        <v>0</v>
      </c>
      <c r="F665" s="33" t="n">
        <v>0</v>
      </c>
      <c r="G665" s="131"/>
      <c r="H665" s="35" t="n">
        <v>0</v>
      </c>
      <c r="I665" s="34" t="n">
        <f aca="false">+IF(E665=0,0,E665*0.03)</f>
        <v>0</v>
      </c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customFormat="false" ht="16.4" hidden="false" customHeight="false" outlineLevel="0" collapsed="false">
      <c r="A666" s="123" t="n">
        <v>45444</v>
      </c>
      <c r="B666" s="31" t="s">
        <v>247</v>
      </c>
      <c r="C666" s="129"/>
      <c r="D666" s="129"/>
      <c r="E666" s="19" t="n">
        <f aca="false">F666*0.03</f>
        <v>0</v>
      </c>
      <c r="F666" s="33" t="n">
        <v>0</v>
      </c>
      <c r="G666" s="131"/>
      <c r="H666" s="35" t="n">
        <v>0</v>
      </c>
      <c r="I666" s="34" t="n">
        <f aca="false">+IF(E666=0,0,E666*0.03)</f>
        <v>0</v>
      </c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customFormat="false" ht="16.4" hidden="false" customHeight="false" outlineLevel="0" collapsed="false">
      <c r="A667" s="123" t="n">
        <v>45444</v>
      </c>
      <c r="B667" s="31" t="s">
        <v>246</v>
      </c>
      <c r="C667" s="129"/>
      <c r="D667" s="129"/>
      <c r="E667" s="19" t="n">
        <f aca="false">F667*0.03</f>
        <v>0</v>
      </c>
      <c r="F667" s="33" t="n">
        <v>0</v>
      </c>
      <c r="G667" s="131"/>
      <c r="H667" s="35" t="n">
        <v>0</v>
      </c>
      <c r="I667" s="34" t="n">
        <f aca="false">+IF(E667=0,0,E667*0.03)</f>
        <v>0</v>
      </c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customFormat="false" ht="16.4" hidden="false" customHeight="false" outlineLevel="0" collapsed="false">
      <c r="A668" s="123" t="n">
        <v>45444</v>
      </c>
      <c r="B668" s="31" t="s">
        <v>239</v>
      </c>
      <c r="C668" s="129"/>
      <c r="D668" s="129"/>
      <c r="E668" s="19" t="n">
        <f aca="false">F668*0.03</f>
        <v>0</v>
      </c>
      <c r="F668" s="33" t="n">
        <v>0</v>
      </c>
      <c r="G668" s="131"/>
      <c r="H668" s="35" t="n">
        <v>0</v>
      </c>
      <c r="I668" s="34" t="n">
        <f aca="false">+IF(E668=0,0,E668*0.03)</f>
        <v>0</v>
      </c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customFormat="false" ht="16.4" hidden="false" customHeight="false" outlineLevel="0" collapsed="false">
      <c r="A669" s="123" t="n">
        <v>45444</v>
      </c>
      <c r="B669" s="31" t="s">
        <v>7</v>
      </c>
      <c r="C669" s="129"/>
      <c r="D669" s="129"/>
      <c r="E669" s="19" t="n">
        <f aca="false">F669*0.03</f>
        <v>0</v>
      </c>
      <c r="F669" s="33" t="n">
        <v>0</v>
      </c>
      <c r="G669" s="131"/>
      <c r="H669" s="35" t="n">
        <v>0</v>
      </c>
      <c r="I669" s="34" t="n">
        <f aca="false">+IF(E669=0,0,E669*0.03)</f>
        <v>0</v>
      </c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customFormat="false" ht="16.4" hidden="false" customHeight="false" outlineLevel="0" collapsed="false">
      <c r="A670" s="123" t="n">
        <v>45444</v>
      </c>
      <c r="B670" s="31" t="s">
        <v>240</v>
      </c>
      <c r="C670" s="129"/>
      <c r="D670" s="129"/>
      <c r="E670" s="19" t="n">
        <f aca="false">F670*0.03</f>
        <v>0</v>
      </c>
      <c r="F670" s="33" t="n">
        <v>0</v>
      </c>
      <c r="G670" s="131"/>
      <c r="H670" s="35" t="n">
        <v>0</v>
      </c>
      <c r="I670" s="34" t="n">
        <f aca="false">+IF(E670=0,0,E670*0.03)</f>
        <v>0</v>
      </c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customFormat="false" ht="16.4" hidden="false" customHeight="false" outlineLevel="0" collapsed="false">
      <c r="A671" s="123" t="n">
        <v>45444</v>
      </c>
      <c r="B671" s="31" t="s">
        <v>153</v>
      </c>
      <c r="C671" s="129"/>
      <c r="D671" s="129"/>
      <c r="E671" s="19" t="n">
        <f aca="false">F671*0.03</f>
        <v>0</v>
      </c>
      <c r="F671" s="33" t="n">
        <v>0</v>
      </c>
      <c r="G671" s="131"/>
      <c r="H671" s="35" t="n">
        <v>0</v>
      </c>
      <c r="I671" s="34" t="n">
        <f aca="false">+IF(E671=0,0,E671*0.03)</f>
        <v>0</v>
      </c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customFormat="false" ht="16.4" hidden="false" customHeight="false" outlineLevel="0" collapsed="false">
      <c r="A672" s="123" t="n">
        <v>45444</v>
      </c>
      <c r="B672" s="31" t="s">
        <v>247</v>
      </c>
      <c r="C672" s="129"/>
      <c r="D672" s="129"/>
      <c r="E672" s="19" t="n">
        <f aca="false">F672*0.03</f>
        <v>0</v>
      </c>
      <c r="F672" s="33" t="n">
        <v>0</v>
      </c>
      <c r="G672" s="131"/>
      <c r="H672" s="35" t="n">
        <v>0</v>
      </c>
      <c r="I672" s="34" t="n">
        <f aca="false">+IF(E672=0,0,E672*0.03)</f>
        <v>0</v>
      </c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customFormat="false" ht="16.4" hidden="false" customHeight="false" outlineLevel="0" collapsed="false">
      <c r="A673" s="123" t="n">
        <v>45444</v>
      </c>
      <c r="B673" s="31" t="s">
        <v>246</v>
      </c>
      <c r="C673" s="129"/>
      <c r="D673" s="129"/>
      <c r="E673" s="19" t="n">
        <f aca="false">F673*0.03</f>
        <v>0</v>
      </c>
      <c r="F673" s="33" t="n">
        <v>0</v>
      </c>
      <c r="G673" s="131"/>
      <c r="H673" s="35" t="n">
        <v>0</v>
      </c>
      <c r="I673" s="34" t="n">
        <f aca="false">+IF(E673=0,0,E673*0.03)</f>
        <v>0</v>
      </c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customFormat="false" ht="16.4" hidden="false" customHeight="false" outlineLevel="0" collapsed="false">
      <c r="A674" s="123" t="n">
        <v>45444</v>
      </c>
      <c r="B674" s="31" t="s">
        <v>239</v>
      </c>
      <c r="C674" s="129"/>
      <c r="D674" s="129"/>
      <c r="E674" s="19" t="n">
        <f aca="false">F674*0.03</f>
        <v>0</v>
      </c>
      <c r="F674" s="33" t="n">
        <v>0</v>
      </c>
      <c r="G674" s="131"/>
      <c r="H674" s="35" t="n">
        <v>0</v>
      </c>
      <c r="I674" s="34" t="n">
        <f aca="false">+IF(E674=0,0,E674*0.03)</f>
        <v>0</v>
      </c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customFormat="false" ht="16.4" hidden="false" customHeight="false" outlineLevel="0" collapsed="false">
      <c r="A675" s="123" t="n">
        <v>45444</v>
      </c>
      <c r="B675" s="31" t="s">
        <v>7</v>
      </c>
      <c r="C675" s="129"/>
      <c r="D675" s="129"/>
      <c r="E675" s="19" t="n">
        <f aca="false">F675*0.03</f>
        <v>0</v>
      </c>
      <c r="F675" s="33" t="n">
        <v>0</v>
      </c>
      <c r="G675" s="131"/>
      <c r="H675" s="35" t="n">
        <v>0</v>
      </c>
      <c r="I675" s="34" t="n">
        <f aca="false">+IF(E675=0,0,E675*0.03)</f>
        <v>0</v>
      </c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customFormat="false" ht="16.4" hidden="false" customHeight="false" outlineLevel="0" collapsed="false">
      <c r="A676" s="123" t="n">
        <v>45444</v>
      </c>
      <c r="B676" s="31" t="s">
        <v>240</v>
      </c>
      <c r="C676" s="129"/>
      <c r="D676" s="129"/>
      <c r="E676" s="19" t="n">
        <f aca="false">F676*0.03</f>
        <v>0</v>
      </c>
      <c r="F676" s="33" t="n">
        <v>0</v>
      </c>
      <c r="G676" s="131"/>
      <c r="H676" s="35" t="n">
        <v>0</v>
      </c>
      <c r="I676" s="34" t="n">
        <f aca="false">+IF(E676=0,0,E676*0.03)</f>
        <v>0</v>
      </c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customFormat="false" ht="16.4" hidden="false" customHeight="false" outlineLevel="0" collapsed="false">
      <c r="A677" s="123" t="n">
        <v>45444</v>
      </c>
      <c r="B677" s="31" t="s">
        <v>153</v>
      </c>
      <c r="C677" s="129"/>
      <c r="D677" s="129"/>
      <c r="E677" s="19" t="n">
        <f aca="false">F677*0.03</f>
        <v>0</v>
      </c>
      <c r="F677" s="33" t="n">
        <v>0</v>
      </c>
      <c r="G677" s="131"/>
      <c r="H677" s="35" t="n">
        <v>0</v>
      </c>
      <c r="I677" s="34" t="n">
        <f aca="false">+IF(E677=0,0,E677*0.03)</f>
        <v>0</v>
      </c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customFormat="false" ht="16.4" hidden="false" customHeight="false" outlineLevel="0" collapsed="false">
      <c r="A678" s="123" t="n">
        <v>45444</v>
      </c>
      <c r="B678" s="31" t="s">
        <v>247</v>
      </c>
      <c r="C678" s="129"/>
      <c r="D678" s="129"/>
      <c r="E678" s="19" t="n">
        <f aca="false">F678*0.03</f>
        <v>0</v>
      </c>
      <c r="F678" s="33" t="n">
        <v>0</v>
      </c>
      <c r="G678" s="131"/>
      <c r="H678" s="35" t="n">
        <v>0</v>
      </c>
      <c r="I678" s="34" t="n">
        <f aca="false">+IF(E678=0,0,E678*0.03)</f>
        <v>0</v>
      </c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customFormat="false" ht="16.4" hidden="false" customHeight="false" outlineLevel="0" collapsed="false">
      <c r="A679" s="123" t="n">
        <v>45444</v>
      </c>
      <c r="B679" s="31" t="s">
        <v>246</v>
      </c>
      <c r="C679" s="129"/>
      <c r="D679" s="129"/>
      <c r="E679" s="19" t="n">
        <f aca="false">F679*0.03</f>
        <v>0</v>
      </c>
      <c r="F679" s="33" t="n">
        <v>0</v>
      </c>
      <c r="G679" s="131"/>
      <c r="H679" s="35" t="n">
        <v>0</v>
      </c>
      <c r="I679" s="34" t="n">
        <f aca="false">+IF(E679=0,0,E679*0.03)</f>
        <v>0</v>
      </c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customFormat="false" ht="16.4" hidden="false" customHeight="false" outlineLevel="0" collapsed="false">
      <c r="A680" s="123" t="n">
        <v>45444</v>
      </c>
      <c r="B680" s="31" t="s">
        <v>239</v>
      </c>
      <c r="C680" s="129"/>
      <c r="D680" s="129"/>
      <c r="E680" s="19" t="n">
        <f aca="false">F680*0.03</f>
        <v>0</v>
      </c>
      <c r="F680" s="33" t="n">
        <v>0</v>
      </c>
      <c r="G680" s="131"/>
      <c r="H680" s="35" t="n">
        <v>0</v>
      </c>
      <c r="I680" s="34" t="n">
        <f aca="false">+IF(E680=0,0,E680*0.03)</f>
        <v>0</v>
      </c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customFormat="false" ht="16.4" hidden="false" customHeight="false" outlineLevel="0" collapsed="false">
      <c r="A681" s="123" t="n">
        <v>45444</v>
      </c>
      <c r="B681" s="31" t="s">
        <v>7</v>
      </c>
      <c r="C681" s="129"/>
      <c r="D681" s="129"/>
      <c r="E681" s="19" t="n">
        <f aca="false">F681*0.03</f>
        <v>0</v>
      </c>
      <c r="F681" s="33" t="n">
        <v>0</v>
      </c>
      <c r="G681" s="131"/>
      <c r="H681" s="35" t="n">
        <v>0</v>
      </c>
      <c r="I681" s="34" t="n">
        <f aca="false">+IF(E681=0,0,E681*0.03)</f>
        <v>0</v>
      </c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customFormat="false" ht="16.4" hidden="false" customHeight="false" outlineLevel="0" collapsed="false">
      <c r="A682" s="123" t="n">
        <v>45444</v>
      </c>
      <c r="B682" s="31" t="s">
        <v>240</v>
      </c>
      <c r="C682" s="129"/>
      <c r="D682" s="129"/>
      <c r="E682" s="19" t="n">
        <f aca="false">F682*0.03</f>
        <v>0</v>
      </c>
      <c r="F682" s="33" t="n">
        <v>0</v>
      </c>
      <c r="G682" s="131"/>
      <c r="H682" s="35" t="n">
        <v>0</v>
      </c>
      <c r="I682" s="34" t="n">
        <f aca="false">+IF(E682=0,0,E682*0.03)</f>
        <v>0</v>
      </c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customFormat="false" ht="16.4" hidden="false" customHeight="false" outlineLevel="0" collapsed="false">
      <c r="A683" s="123" t="n">
        <v>45444</v>
      </c>
      <c r="B683" s="31" t="s">
        <v>153</v>
      </c>
      <c r="C683" s="129"/>
      <c r="D683" s="129"/>
      <c r="E683" s="19" t="n">
        <f aca="false">F683*0.03</f>
        <v>0</v>
      </c>
      <c r="F683" s="33" t="n">
        <v>0</v>
      </c>
      <c r="G683" s="131"/>
      <c r="H683" s="35" t="n">
        <v>0</v>
      </c>
      <c r="I683" s="34" t="n">
        <f aca="false">+IF(E683=0,0,E683*0.03)</f>
        <v>0</v>
      </c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customFormat="false" ht="16.4" hidden="false" customHeight="false" outlineLevel="0" collapsed="false">
      <c r="A684" s="123" t="n">
        <v>45444</v>
      </c>
      <c r="B684" s="31" t="s">
        <v>247</v>
      </c>
      <c r="C684" s="129"/>
      <c r="D684" s="129"/>
      <c r="E684" s="19" t="n">
        <f aca="false">F684*0.03</f>
        <v>0</v>
      </c>
      <c r="F684" s="33" t="n">
        <v>0</v>
      </c>
      <c r="G684" s="131"/>
      <c r="H684" s="35" t="n">
        <v>0</v>
      </c>
      <c r="I684" s="34" t="n">
        <f aca="false">+IF(E684=0,0,E684*0.03)</f>
        <v>0</v>
      </c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customFormat="false" ht="16.4" hidden="false" customHeight="false" outlineLevel="0" collapsed="false">
      <c r="A685" s="123" t="n">
        <v>45444</v>
      </c>
      <c r="B685" s="31" t="s">
        <v>246</v>
      </c>
      <c r="C685" s="129"/>
      <c r="D685" s="129"/>
      <c r="E685" s="19" t="n">
        <f aca="false">F685*0.03</f>
        <v>0</v>
      </c>
      <c r="F685" s="33" t="n">
        <v>0</v>
      </c>
      <c r="G685" s="131"/>
      <c r="H685" s="35" t="n">
        <v>0</v>
      </c>
      <c r="I685" s="34" t="n">
        <f aca="false">+IF(E685=0,0,E685*0.03)</f>
        <v>0</v>
      </c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customFormat="false" ht="16.4" hidden="false" customHeight="false" outlineLevel="0" collapsed="false">
      <c r="A686" s="123" t="n">
        <v>45444</v>
      </c>
      <c r="B686" s="31" t="s">
        <v>239</v>
      </c>
      <c r="C686" s="129"/>
      <c r="D686" s="129"/>
      <c r="E686" s="19" t="n">
        <f aca="false">F686*0.03</f>
        <v>0</v>
      </c>
      <c r="F686" s="33" t="n">
        <v>0</v>
      </c>
      <c r="G686" s="131"/>
      <c r="H686" s="35" t="n">
        <v>0</v>
      </c>
      <c r="I686" s="34" t="n">
        <f aca="false">+IF(E686=0,0,E686*0.03)</f>
        <v>0</v>
      </c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customFormat="false" ht="16.4" hidden="false" customHeight="false" outlineLevel="0" collapsed="false">
      <c r="A687" s="123" t="n">
        <v>45444</v>
      </c>
      <c r="B687" s="31" t="s">
        <v>7</v>
      </c>
      <c r="C687" s="129"/>
      <c r="D687" s="129"/>
      <c r="E687" s="19" t="n">
        <f aca="false">F687*0.03</f>
        <v>0</v>
      </c>
      <c r="F687" s="33" t="n">
        <v>0</v>
      </c>
      <c r="G687" s="131"/>
      <c r="H687" s="35" t="n">
        <v>0</v>
      </c>
      <c r="I687" s="34" t="n">
        <f aca="false">+IF(E687=0,0,E687*0.03)</f>
        <v>0</v>
      </c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customFormat="false" ht="16.4" hidden="false" customHeight="false" outlineLevel="0" collapsed="false">
      <c r="A688" s="123" t="n">
        <v>45444</v>
      </c>
      <c r="B688" s="31" t="s">
        <v>240</v>
      </c>
      <c r="C688" s="129"/>
      <c r="D688" s="129"/>
      <c r="E688" s="19" t="n">
        <f aca="false">F688*0.03</f>
        <v>0</v>
      </c>
      <c r="F688" s="33" t="n">
        <v>0</v>
      </c>
      <c r="G688" s="131"/>
      <c r="H688" s="35" t="n">
        <v>0</v>
      </c>
      <c r="I688" s="34" t="n">
        <f aca="false">+IF(E688=0,0,E688*0.03)</f>
        <v>0</v>
      </c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customFormat="false" ht="16.4" hidden="false" customHeight="false" outlineLevel="0" collapsed="false">
      <c r="A689" s="123" t="n">
        <v>45444</v>
      </c>
      <c r="B689" s="31" t="s">
        <v>153</v>
      </c>
      <c r="C689" s="129"/>
      <c r="D689" s="129"/>
      <c r="E689" s="19" t="n">
        <f aca="false">F689*0.03</f>
        <v>0</v>
      </c>
      <c r="F689" s="33" t="n">
        <v>0</v>
      </c>
      <c r="G689" s="131"/>
      <c r="H689" s="35" t="n">
        <v>0</v>
      </c>
      <c r="I689" s="34" t="n">
        <f aca="false">+IF(E689=0,0,E689*0.03)</f>
        <v>0</v>
      </c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customFormat="false" ht="16.4" hidden="false" customHeight="false" outlineLevel="0" collapsed="false">
      <c r="A690" s="123" t="n">
        <v>45444</v>
      </c>
      <c r="B690" s="31" t="s">
        <v>247</v>
      </c>
      <c r="C690" s="129"/>
      <c r="D690" s="129"/>
      <c r="E690" s="19" t="n">
        <f aca="false">F690*0.03</f>
        <v>0</v>
      </c>
      <c r="F690" s="33" t="n">
        <v>0</v>
      </c>
      <c r="G690" s="131"/>
      <c r="H690" s="35" t="n">
        <v>0</v>
      </c>
      <c r="I690" s="34" t="n">
        <f aca="false">+IF(E690=0,0,E690*0.03)</f>
        <v>0</v>
      </c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customFormat="false" ht="16.4" hidden="false" customHeight="false" outlineLevel="0" collapsed="false">
      <c r="A691" s="123" t="n">
        <v>45444</v>
      </c>
      <c r="B691" s="31" t="s">
        <v>246</v>
      </c>
      <c r="C691" s="129"/>
      <c r="D691" s="129"/>
      <c r="E691" s="19" t="n">
        <f aca="false">F691*0.03</f>
        <v>0</v>
      </c>
      <c r="F691" s="33" t="n">
        <v>0</v>
      </c>
      <c r="G691" s="131"/>
      <c r="H691" s="35" t="n">
        <v>0</v>
      </c>
      <c r="I691" s="34" t="n">
        <f aca="false">+IF(E691=0,0,E691*0.03)</f>
        <v>0</v>
      </c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customFormat="false" ht="16.4" hidden="false" customHeight="false" outlineLevel="0" collapsed="false">
      <c r="A692" s="123" t="n">
        <v>45444</v>
      </c>
      <c r="B692" s="31" t="s">
        <v>239</v>
      </c>
      <c r="C692" s="129"/>
      <c r="D692" s="129"/>
      <c r="E692" s="19" t="n">
        <f aca="false">F692*0.03</f>
        <v>0</v>
      </c>
      <c r="F692" s="33" t="n">
        <v>0</v>
      </c>
      <c r="G692" s="131"/>
      <c r="H692" s="35" t="n">
        <v>0</v>
      </c>
      <c r="I692" s="34" t="n">
        <f aca="false">+IF(E692=0,0,E692*0.03)</f>
        <v>0</v>
      </c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customFormat="false" ht="16.4" hidden="false" customHeight="false" outlineLevel="0" collapsed="false">
      <c r="A693" s="123" t="n">
        <v>45444</v>
      </c>
      <c r="B693" s="31" t="s">
        <v>7</v>
      </c>
      <c r="C693" s="129"/>
      <c r="D693" s="129"/>
      <c r="E693" s="19" t="n">
        <f aca="false">F693*0.03</f>
        <v>0</v>
      </c>
      <c r="F693" s="33" t="n">
        <v>0</v>
      </c>
      <c r="G693" s="131"/>
      <c r="H693" s="35" t="n">
        <v>0</v>
      </c>
      <c r="I693" s="34" t="n">
        <f aca="false">+IF(E693=0,0,E693*0.03)</f>
        <v>0</v>
      </c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customFormat="false" ht="16.4" hidden="false" customHeight="false" outlineLevel="0" collapsed="false">
      <c r="A694" s="123" t="n">
        <v>45444</v>
      </c>
      <c r="B694" s="31" t="s">
        <v>240</v>
      </c>
      <c r="C694" s="129"/>
      <c r="D694" s="129"/>
      <c r="E694" s="19" t="n">
        <f aca="false">F694*0.03</f>
        <v>0</v>
      </c>
      <c r="F694" s="33" t="n">
        <v>0</v>
      </c>
      <c r="G694" s="131"/>
      <c r="H694" s="35" t="n">
        <v>0</v>
      </c>
      <c r="I694" s="34" t="n">
        <f aca="false">+IF(E694=0,0,E694*0.03)</f>
        <v>0</v>
      </c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customFormat="false" ht="16.4" hidden="false" customHeight="false" outlineLevel="0" collapsed="false">
      <c r="A695" s="123" t="n">
        <v>45444</v>
      </c>
      <c r="B695" s="31" t="s">
        <v>153</v>
      </c>
      <c r="C695" s="129"/>
      <c r="D695" s="129"/>
      <c r="E695" s="19" t="n">
        <f aca="false">F695*0.03</f>
        <v>0</v>
      </c>
      <c r="F695" s="33" t="n">
        <v>0</v>
      </c>
      <c r="G695" s="131"/>
      <c r="H695" s="35" t="n">
        <v>0</v>
      </c>
      <c r="I695" s="34" t="n">
        <f aca="false">+IF(E695=0,0,E695*0.03)</f>
        <v>0</v>
      </c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customFormat="false" ht="16.4" hidden="false" customHeight="false" outlineLevel="0" collapsed="false">
      <c r="A696" s="123" t="n">
        <v>45444</v>
      </c>
      <c r="B696" s="31" t="s">
        <v>247</v>
      </c>
      <c r="C696" s="129"/>
      <c r="D696" s="129"/>
      <c r="E696" s="19" t="n">
        <f aca="false">F696*0.03</f>
        <v>0</v>
      </c>
      <c r="F696" s="33" t="n">
        <v>0</v>
      </c>
      <c r="G696" s="131"/>
      <c r="H696" s="35" t="n">
        <v>0</v>
      </c>
      <c r="I696" s="34" t="n">
        <f aca="false">+IF(E696=0,0,E696*0.03)</f>
        <v>0</v>
      </c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customFormat="false" ht="16.4" hidden="false" customHeight="false" outlineLevel="0" collapsed="false">
      <c r="A697" s="123" t="n">
        <v>45444</v>
      </c>
      <c r="B697" s="31" t="s">
        <v>246</v>
      </c>
      <c r="C697" s="129"/>
      <c r="D697" s="129"/>
      <c r="E697" s="19" t="n">
        <f aca="false">F697*0.03</f>
        <v>0</v>
      </c>
      <c r="F697" s="33" t="n">
        <v>0</v>
      </c>
      <c r="G697" s="131"/>
      <c r="H697" s="35" t="n">
        <v>0</v>
      </c>
      <c r="I697" s="34" t="n">
        <f aca="false">+IF(E697=0,0,E697*0.03)</f>
        <v>0</v>
      </c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customFormat="false" ht="16.4" hidden="false" customHeight="false" outlineLevel="0" collapsed="false">
      <c r="A698" s="123" t="n">
        <v>45444</v>
      </c>
      <c r="B698" s="31" t="s">
        <v>239</v>
      </c>
      <c r="C698" s="129"/>
      <c r="D698" s="129"/>
      <c r="E698" s="19" t="n">
        <f aca="false">F698*0.03</f>
        <v>0</v>
      </c>
      <c r="F698" s="33" t="n">
        <v>0</v>
      </c>
      <c r="G698" s="131"/>
      <c r="H698" s="35" t="n">
        <v>0</v>
      </c>
      <c r="I698" s="34" t="n">
        <f aca="false">+IF(E698=0,0,E698*0.03)</f>
        <v>0</v>
      </c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customFormat="false" ht="16.4" hidden="false" customHeight="false" outlineLevel="0" collapsed="false">
      <c r="A699" s="123" t="n">
        <v>45444</v>
      </c>
      <c r="B699" s="31" t="s">
        <v>7</v>
      </c>
      <c r="C699" s="129"/>
      <c r="D699" s="129"/>
      <c r="E699" s="19" t="n">
        <f aca="false">F699*0.03</f>
        <v>0</v>
      </c>
      <c r="F699" s="33" t="n">
        <v>0</v>
      </c>
      <c r="G699" s="131"/>
      <c r="H699" s="35" t="n">
        <v>0</v>
      </c>
      <c r="I699" s="34" t="n">
        <f aca="false">+IF(E699=0,0,E699*0.03)</f>
        <v>0</v>
      </c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customFormat="false" ht="16.4" hidden="false" customHeight="false" outlineLevel="0" collapsed="false">
      <c r="A700" s="123" t="n">
        <v>45444</v>
      </c>
      <c r="B700" s="31" t="s">
        <v>240</v>
      </c>
      <c r="C700" s="129"/>
      <c r="D700" s="129"/>
      <c r="E700" s="19" t="n">
        <f aca="false">F700*0.03</f>
        <v>0</v>
      </c>
      <c r="F700" s="33" t="n">
        <v>0</v>
      </c>
      <c r="G700" s="131"/>
      <c r="H700" s="35" t="n">
        <v>0</v>
      </c>
      <c r="I700" s="34" t="n">
        <f aca="false">+IF(E700=0,0,E700*0.03)</f>
        <v>0</v>
      </c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customFormat="false" ht="16.4" hidden="false" customHeight="false" outlineLevel="0" collapsed="false">
      <c r="A701" s="123" t="n">
        <v>45444</v>
      </c>
      <c r="B701" s="31" t="s">
        <v>153</v>
      </c>
      <c r="C701" s="129"/>
      <c r="D701" s="129"/>
      <c r="E701" s="19" t="n">
        <f aca="false">F701*0.03</f>
        <v>0</v>
      </c>
      <c r="F701" s="33" t="n">
        <v>0</v>
      </c>
      <c r="G701" s="131"/>
      <c r="H701" s="35" t="n">
        <v>0</v>
      </c>
      <c r="I701" s="34" t="n">
        <f aca="false">+IF(E701=0,0,E701*0.03)</f>
        <v>0</v>
      </c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customFormat="false" ht="16.4" hidden="false" customHeight="false" outlineLevel="0" collapsed="false">
      <c r="A702" s="123" t="n">
        <v>45444</v>
      </c>
      <c r="B702" s="31" t="s">
        <v>247</v>
      </c>
      <c r="C702" s="129"/>
      <c r="D702" s="129"/>
      <c r="E702" s="19" t="n">
        <f aca="false">F702*0.03</f>
        <v>0</v>
      </c>
      <c r="F702" s="33" t="n">
        <v>0</v>
      </c>
      <c r="G702" s="131"/>
      <c r="H702" s="35" t="n">
        <v>0</v>
      </c>
      <c r="I702" s="34" t="n">
        <f aca="false">+IF(E702=0,0,E702*0.03)</f>
        <v>0</v>
      </c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customFormat="false" ht="16.4" hidden="false" customHeight="false" outlineLevel="0" collapsed="false">
      <c r="A703" s="123" t="n">
        <v>45444</v>
      </c>
      <c r="B703" s="31" t="s">
        <v>246</v>
      </c>
      <c r="C703" s="129"/>
      <c r="D703" s="129"/>
      <c r="E703" s="19" t="n">
        <f aca="false">F703*0.03</f>
        <v>0</v>
      </c>
      <c r="F703" s="33" t="n">
        <v>0</v>
      </c>
      <c r="G703" s="131"/>
      <c r="H703" s="35" t="n">
        <v>0</v>
      </c>
      <c r="I703" s="34" t="n">
        <f aca="false">+IF(E703=0,0,E703*0.03)</f>
        <v>0</v>
      </c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customFormat="false" ht="16.4" hidden="false" customHeight="false" outlineLevel="0" collapsed="false">
      <c r="A704" s="123" t="n">
        <v>45444</v>
      </c>
      <c r="B704" s="31" t="s">
        <v>239</v>
      </c>
      <c r="C704" s="129"/>
      <c r="D704" s="129"/>
      <c r="E704" s="19" t="n">
        <f aca="false">F704*0.03</f>
        <v>0</v>
      </c>
      <c r="F704" s="33" t="n">
        <v>0</v>
      </c>
      <c r="G704" s="131"/>
      <c r="H704" s="35" t="n">
        <v>0</v>
      </c>
      <c r="I704" s="34" t="n">
        <f aca="false">+IF(E704=0,0,E704*0.03)</f>
        <v>0</v>
      </c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customFormat="false" ht="16.4" hidden="false" customHeight="false" outlineLevel="0" collapsed="false">
      <c r="A705" s="123" t="n">
        <v>45444</v>
      </c>
      <c r="B705" s="31" t="s">
        <v>7</v>
      </c>
      <c r="C705" s="129"/>
      <c r="D705" s="129"/>
      <c r="E705" s="19" t="n">
        <f aca="false">F705*0.03</f>
        <v>0</v>
      </c>
      <c r="F705" s="33" t="n">
        <v>0</v>
      </c>
      <c r="G705" s="131"/>
      <c r="H705" s="35" t="n">
        <v>0</v>
      </c>
      <c r="I705" s="34" t="n">
        <f aca="false">+IF(E705=0,0,E705*0.03)</f>
        <v>0</v>
      </c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customFormat="false" ht="16.4" hidden="false" customHeight="false" outlineLevel="0" collapsed="false">
      <c r="A706" s="123" t="n">
        <v>45444</v>
      </c>
      <c r="B706" s="31" t="s">
        <v>240</v>
      </c>
      <c r="C706" s="129"/>
      <c r="D706" s="129"/>
      <c r="E706" s="19" t="n">
        <f aca="false">F706*0.03</f>
        <v>0</v>
      </c>
      <c r="F706" s="33" t="n">
        <v>0</v>
      </c>
      <c r="G706" s="131"/>
      <c r="H706" s="35" t="n">
        <v>0</v>
      </c>
      <c r="I706" s="34" t="n">
        <f aca="false">+IF(E706=0,0,E706*0.03)</f>
        <v>0</v>
      </c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customFormat="false" ht="16.4" hidden="false" customHeight="false" outlineLevel="0" collapsed="false">
      <c r="A707" s="123" t="n">
        <v>45444</v>
      </c>
      <c r="B707" s="31" t="s">
        <v>153</v>
      </c>
      <c r="C707" s="129"/>
      <c r="D707" s="129"/>
      <c r="E707" s="19" t="n">
        <f aca="false">F707*0.03</f>
        <v>0</v>
      </c>
      <c r="F707" s="33" t="n">
        <v>0</v>
      </c>
      <c r="G707" s="131"/>
      <c r="H707" s="35" t="n">
        <v>0</v>
      </c>
      <c r="I707" s="34" t="n">
        <f aca="false">+IF(E707=0,0,E707*0.03)</f>
        <v>0</v>
      </c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customFormat="false" ht="16.4" hidden="false" customHeight="false" outlineLevel="0" collapsed="false">
      <c r="A708" s="123" t="n">
        <v>45444</v>
      </c>
      <c r="B708" s="31" t="s">
        <v>247</v>
      </c>
      <c r="C708" s="129"/>
      <c r="D708" s="129"/>
      <c r="E708" s="19" t="n">
        <f aca="false">F708*0.03</f>
        <v>0</v>
      </c>
      <c r="F708" s="33" t="n">
        <v>0</v>
      </c>
      <c r="G708" s="131"/>
      <c r="H708" s="35" t="n">
        <v>0</v>
      </c>
      <c r="I708" s="34" t="n">
        <f aca="false">+IF(E708=0,0,E708*0.03)</f>
        <v>0</v>
      </c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customFormat="false" ht="16.4" hidden="false" customHeight="false" outlineLevel="0" collapsed="false">
      <c r="A709" s="123" t="n">
        <v>45444</v>
      </c>
      <c r="B709" s="31" t="s">
        <v>246</v>
      </c>
      <c r="C709" s="129"/>
      <c r="D709" s="129"/>
      <c r="E709" s="19" t="n">
        <f aca="false">F709*0.03</f>
        <v>0</v>
      </c>
      <c r="F709" s="33" t="n">
        <v>0</v>
      </c>
      <c r="G709" s="131"/>
      <c r="H709" s="35" t="n">
        <v>0</v>
      </c>
      <c r="I709" s="34" t="n">
        <f aca="false">+IF(E709=0,0,E709*0.03)</f>
        <v>0</v>
      </c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customFormat="false" ht="16.4" hidden="false" customHeight="false" outlineLevel="0" collapsed="false">
      <c r="A710" s="123" t="n">
        <v>45444</v>
      </c>
      <c r="B710" s="31" t="s">
        <v>239</v>
      </c>
      <c r="C710" s="129"/>
      <c r="D710" s="129"/>
      <c r="E710" s="19" t="n">
        <f aca="false">F710*0.03</f>
        <v>0</v>
      </c>
      <c r="F710" s="33" t="n">
        <v>0</v>
      </c>
      <c r="G710" s="131"/>
      <c r="H710" s="35" t="n">
        <v>0</v>
      </c>
      <c r="I710" s="34" t="n">
        <f aca="false">+IF(E710=0,0,E710*0.03)</f>
        <v>0</v>
      </c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customFormat="false" ht="16.4" hidden="false" customHeight="false" outlineLevel="0" collapsed="false">
      <c r="A711" s="123" t="n">
        <v>45444</v>
      </c>
      <c r="B711" s="31" t="s">
        <v>7</v>
      </c>
      <c r="C711" s="129"/>
      <c r="D711" s="129"/>
      <c r="E711" s="19" t="n">
        <f aca="false">F711*0.03</f>
        <v>0</v>
      </c>
      <c r="F711" s="33" t="n">
        <v>0</v>
      </c>
      <c r="G711" s="131"/>
      <c r="H711" s="35" t="n">
        <v>0</v>
      </c>
      <c r="I711" s="34" t="n">
        <f aca="false">+IF(E711=0,0,E711*0.03)</f>
        <v>0</v>
      </c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customFormat="false" ht="16.4" hidden="false" customHeight="false" outlineLevel="0" collapsed="false">
      <c r="A712" s="123" t="n">
        <v>45444</v>
      </c>
      <c r="B712" s="31" t="s">
        <v>240</v>
      </c>
      <c r="C712" s="129"/>
      <c r="D712" s="129"/>
      <c r="E712" s="19" t="n">
        <f aca="false">F712*0.03</f>
        <v>0</v>
      </c>
      <c r="F712" s="33" t="n">
        <v>0</v>
      </c>
      <c r="G712" s="131"/>
      <c r="H712" s="35" t="n">
        <v>0</v>
      </c>
      <c r="I712" s="34" t="n">
        <f aca="false">+IF(E712=0,0,E712*0.03)</f>
        <v>0</v>
      </c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customFormat="false" ht="16.4" hidden="false" customHeight="false" outlineLevel="0" collapsed="false">
      <c r="A713" s="123" t="n">
        <v>45444</v>
      </c>
      <c r="B713" s="31" t="s">
        <v>153</v>
      </c>
      <c r="C713" s="129"/>
      <c r="D713" s="129"/>
      <c r="E713" s="19" t="n">
        <f aca="false">F713*0.03</f>
        <v>0</v>
      </c>
      <c r="F713" s="33" t="n">
        <v>0</v>
      </c>
      <c r="G713" s="131"/>
      <c r="H713" s="35" t="n">
        <v>0</v>
      </c>
      <c r="I713" s="34" t="n">
        <f aca="false">+IF(E713=0,0,E713*0.03)</f>
        <v>0</v>
      </c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customFormat="false" ht="16.4" hidden="false" customHeight="false" outlineLevel="0" collapsed="false">
      <c r="A714" s="123" t="n">
        <v>45444</v>
      </c>
      <c r="B714" s="31" t="s">
        <v>247</v>
      </c>
      <c r="C714" s="129"/>
      <c r="D714" s="129"/>
      <c r="E714" s="19" t="n">
        <f aca="false">F714*0.03</f>
        <v>0</v>
      </c>
      <c r="F714" s="33" t="n">
        <v>0</v>
      </c>
      <c r="G714" s="131"/>
      <c r="H714" s="35" t="n">
        <v>0</v>
      </c>
      <c r="I714" s="34" t="n">
        <f aca="false">+IF(E714=0,0,E714*0.03)</f>
        <v>0</v>
      </c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customFormat="false" ht="16.4" hidden="false" customHeight="false" outlineLevel="0" collapsed="false">
      <c r="A715" s="123" t="n">
        <v>45444</v>
      </c>
      <c r="B715" s="31" t="s">
        <v>246</v>
      </c>
      <c r="C715" s="129"/>
      <c r="D715" s="129"/>
      <c r="E715" s="19" t="n">
        <f aca="false">F715*0.03</f>
        <v>0</v>
      </c>
      <c r="F715" s="33" t="n">
        <v>0</v>
      </c>
      <c r="G715" s="131"/>
      <c r="H715" s="35" t="n">
        <v>0</v>
      </c>
      <c r="I715" s="34" t="n">
        <f aca="false">+IF(E715=0,0,E715*0.03)</f>
        <v>0</v>
      </c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customFormat="false" ht="16.4" hidden="false" customHeight="false" outlineLevel="0" collapsed="false">
      <c r="A716" s="123" t="n">
        <v>45444</v>
      </c>
      <c r="B716" s="31" t="s">
        <v>239</v>
      </c>
      <c r="C716" s="129"/>
      <c r="D716" s="129"/>
      <c r="E716" s="19" t="n">
        <f aca="false">F716*0.03</f>
        <v>0</v>
      </c>
      <c r="F716" s="33" t="n">
        <v>0</v>
      </c>
      <c r="G716" s="131"/>
      <c r="H716" s="35" t="n">
        <v>0</v>
      </c>
      <c r="I716" s="34" t="n">
        <f aca="false">+IF(E716=0,0,E716*0.03)</f>
        <v>0</v>
      </c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customFormat="false" ht="16.4" hidden="false" customHeight="false" outlineLevel="0" collapsed="false">
      <c r="A717" s="123" t="n">
        <v>45444</v>
      </c>
      <c r="B717" s="31" t="s">
        <v>7</v>
      </c>
      <c r="C717" s="129"/>
      <c r="D717" s="129"/>
      <c r="E717" s="19" t="n">
        <f aca="false">F717*0.03</f>
        <v>0</v>
      </c>
      <c r="F717" s="33" t="n">
        <v>0</v>
      </c>
      <c r="G717" s="131"/>
      <c r="H717" s="35" t="n">
        <v>0</v>
      </c>
      <c r="I717" s="34" t="n">
        <f aca="false">+IF(E717=0,0,E717*0.03)</f>
        <v>0</v>
      </c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customFormat="false" ht="16.4" hidden="false" customHeight="false" outlineLevel="0" collapsed="false">
      <c r="A718" s="123" t="n">
        <v>45444</v>
      </c>
      <c r="B718" s="31" t="s">
        <v>240</v>
      </c>
      <c r="C718" s="129"/>
      <c r="D718" s="129"/>
      <c r="E718" s="19" t="n">
        <f aca="false">F718*0.03</f>
        <v>0</v>
      </c>
      <c r="F718" s="33" t="n">
        <v>0</v>
      </c>
      <c r="G718" s="131"/>
      <c r="H718" s="35" t="n">
        <v>0</v>
      </c>
      <c r="I718" s="34" t="n">
        <f aca="false">+IF(E718=0,0,E718*0.03)</f>
        <v>0</v>
      </c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customFormat="false" ht="16.4" hidden="false" customHeight="false" outlineLevel="0" collapsed="false">
      <c r="A719" s="123" t="n">
        <v>45444</v>
      </c>
      <c r="B719" s="31" t="s">
        <v>153</v>
      </c>
      <c r="C719" s="129"/>
      <c r="D719" s="129"/>
      <c r="E719" s="19" t="n">
        <f aca="false">F719*0.03</f>
        <v>0</v>
      </c>
      <c r="F719" s="33" t="n">
        <v>0</v>
      </c>
      <c r="G719" s="131"/>
      <c r="H719" s="35" t="n">
        <v>0</v>
      </c>
      <c r="I719" s="34" t="n">
        <f aca="false">+IF(E719=0,0,E719*0.03)</f>
        <v>0</v>
      </c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customFormat="false" ht="16.4" hidden="false" customHeight="false" outlineLevel="0" collapsed="false">
      <c r="A720" s="123" t="n">
        <v>45444</v>
      </c>
      <c r="B720" s="31" t="s">
        <v>247</v>
      </c>
      <c r="C720" s="129"/>
      <c r="D720" s="129"/>
      <c r="E720" s="19" t="n">
        <f aca="false">F720*0.03</f>
        <v>0</v>
      </c>
      <c r="F720" s="33" t="n">
        <v>0</v>
      </c>
      <c r="G720" s="131"/>
      <c r="H720" s="35" t="n">
        <v>0</v>
      </c>
      <c r="I720" s="34" t="n">
        <f aca="false">+IF(E720=0,0,E720*0.03)</f>
        <v>0</v>
      </c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customFormat="false" ht="16.4" hidden="false" customHeight="false" outlineLevel="0" collapsed="false">
      <c r="A721" s="123" t="n">
        <v>45444</v>
      </c>
      <c r="B721" s="31" t="s">
        <v>246</v>
      </c>
      <c r="C721" s="129"/>
      <c r="D721" s="129"/>
      <c r="E721" s="19" t="n">
        <f aca="false">F721*0.03</f>
        <v>0</v>
      </c>
      <c r="F721" s="33" t="n">
        <v>0</v>
      </c>
      <c r="G721" s="131"/>
      <c r="H721" s="35" t="n">
        <v>0</v>
      </c>
      <c r="I721" s="34" t="n">
        <f aca="false">+IF(E721=0,0,E721*0.03)</f>
        <v>0</v>
      </c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customFormat="false" ht="16.4" hidden="false" customHeight="false" outlineLevel="0" collapsed="false">
      <c r="A722" s="123" t="n">
        <v>45444</v>
      </c>
      <c r="B722" s="31" t="s">
        <v>239</v>
      </c>
      <c r="C722" s="129"/>
      <c r="D722" s="129"/>
      <c r="E722" s="19" t="n">
        <f aca="false">F722*0.03</f>
        <v>0</v>
      </c>
      <c r="F722" s="33" t="n">
        <v>0</v>
      </c>
      <c r="G722" s="131"/>
      <c r="H722" s="35" t="n">
        <v>0</v>
      </c>
      <c r="I722" s="34" t="n">
        <f aca="false">+IF(E722=0,0,E722*0.03)</f>
        <v>0</v>
      </c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customFormat="false" ht="16.4" hidden="false" customHeight="false" outlineLevel="0" collapsed="false">
      <c r="A723" s="123" t="n">
        <v>45444</v>
      </c>
      <c r="B723" s="31" t="s">
        <v>7</v>
      </c>
      <c r="C723" s="129"/>
      <c r="D723" s="129"/>
      <c r="E723" s="19" t="n">
        <f aca="false">F723*0.03</f>
        <v>0</v>
      </c>
      <c r="F723" s="33" t="n">
        <v>0</v>
      </c>
      <c r="G723" s="131"/>
      <c r="H723" s="35" t="n">
        <v>0</v>
      </c>
      <c r="I723" s="34" t="n">
        <f aca="false">+IF(E723=0,0,E723*0.03)</f>
        <v>0</v>
      </c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customFormat="false" ht="16.4" hidden="false" customHeight="false" outlineLevel="0" collapsed="false">
      <c r="A724" s="123" t="n">
        <v>45444</v>
      </c>
      <c r="B724" s="31" t="s">
        <v>240</v>
      </c>
      <c r="C724" s="129"/>
      <c r="D724" s="129"/>
      <c r="E724" s="19" t="n">
        <f aca="false">F724*0.03</f>
        <v>0</v>
      </c>
      <c r="F724" s="33" t="n">
        <v>0</v>
      </c>
      <c r="G724" s="131"/>
      <c r="H724" s="35" t="n">
        <v>0</v>
      </c>
      <c r="I724" s="34" t="n">
        <f aca="false">+IF(E724=0,0,E724*0.03)</f>
        <v>0</v>
      </c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customFormat="false" ht="16.4" hidden="false" customHeight="false" outlineLevel="0" collapsed="false">
      <c r="A725" s="123" t="n">
        <v>45444</v>
      </c>
      <c r="B725" s="31" t="s">
        <v>153</v>
      </c>
      <c r="C725" s="129"/>
      <c r="D725" s="129"/>
      <c r="E725" s="19" t="n">
        <f aca="false">F725*0.03</f>
        <v>0</v>
      </c>
      <c r="F725" s="33" t="n">
        <v>0</v>
      </c>
      <c r="G725" s="131"/>
      <c r="H725" s="35" t="n">
        <v>0</v>
      </c>
      <c r="I725" s="34" t="n">
        <f aca="false">+IF(E725=0,0,E725*0.03)</f>
        <v>0</v>
      </c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customFormat="false" ht="16.4" hidden="false" customHeight="false" outlineLevel="0" collapsed="false">
      <c r="A726" s="123" t="n">
        <v>45444</v>
      </c>
      <c r="B726" s="31" t="s">
        <v>247</v>
      </c>
      <c r="C726" s="129"/>
      <c r="D726" s="129"/>
      <c r="E726" s="19" t="n">
        <f aca="false">F726*0.03</f>
        <v>0</v>
      </c>
      <c r="F726" s="33" t="n">
        <v>0</v>
      </c>
      <c r="G726" s="131"/>
      <c r="H726" s="35" t="n">
        <v>0</v>
      </c>
      <c r="I726" s="34" t="n">
        <f aca="false">+IF(E726=0,0,E726*0.03)</f>
        <v>0</v>
      </c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customFormat="false" ht="16.4" hidden="false" customHeight="false" outlineLevel="0" collapsed="false">
      <c r="A727" s="123" t="n">
        <v>45444</v>
      </c>
      <c r="B727" s="31" t="s">
        <v>246</v>
      </c>
      <c r="C727" s="129"/>
      <c r="D727" s="129"/>
      <c r="E727" s="19" t="n">
        <f aca="false">F727*0.03</f>
        <v>0</v>
      </c>
      <c r="F727" s="33" t="n">
        <v>0</v>
      </c>
      <c r="G727" s="131"/>
      <c r="H727" s="35" t="n">
        <v>0</v>
      </c>
      <c r="I727" s="34" t="n">
        <f aca="false">+IF(E727=0,0,E727*0.03)</f>
        <v>0</v>
      </c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customFormat="false" ht="16.4" hidden="false" customHeight="false" outlineLevel="0" collapsed="false">
      <c r="A728" s="123" t="n">
        <v>45444</v>
      </c>
      <c r="B728" s="31" t="s">
        <v>239</v>
      </c>
      <c r="C728" s="129"/>
      <c r="D728" s="129"/>
      <c r="E728" s="19" t="n">
        <f aca="false">F728*0.03</f>
        <v>0</v>
      </c>
      <c r="F728" s="33" t="n">
        <v>0</v>
      </c>
      <c r="G728" s="131"/>
      <c r="H728" s="35" t="n">
        <v>0</v>
      </c>
      <c r="I728" s="34" t="n">
        <f aca="false">+IF(E728=0,0,E728*0.03)</f>
        <v>0</v>
      </c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customFormat="false" ht="16.4" hidden="false" customHeight="false" outlineLevel="0" collapsed="false">
      <c r="A729" s="123" t="n">
        <v>45444</v>
      </c>
      <c r="B729" s="31" t="s">
        <v>7</v>
      </c>
      <c r="C729" s="129"/>
      <c r="D729" s="129"/>
      <c r="E729" s="19" t="n">
        <f aca="false">F729*0.03</f>
        <v>0</v>
      </c>
      <c r="F729" s="33" t="n">
        <v>0</v>
      </c>
      <c r="G729" s="131"/>
      <c r="H729" s="35" t="n">
        <v>0</v>
      </c>
      <c r="I729" s="34" t="n">
        <f aca="false">+IF(E729=0,0,E729*0.03)</f>
        <v>0</v>
      </c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customFormat="false" ht="16.4" hidden="false" customHeight="false" outlineLevel="0" collapsed="false">
      <c r="A730" s="123" t="n">
        <v>45444</v>
      </c>
      <c r="B730" s="31" t="s">
        <v>240</v>
      </c>
      <c r="C730" s="129"/>
      <c r="D730" s="129"/>
      <c r="E730" s="19" t="n">
        <f aca="false">F730*0.03</f>
        <v>0</v>
      </c>
      <c r="F730" s="33" t="n">
        <v>0</v>
      </c>
      <c r="G730" s="131"/>
      <c r="H730" s="35" t="n">
        <v>0</v>
      </c>
      <c r="I730" s="34" t="n">
        <f aca="false">+IF(E730=0,0,E730*0.03)</f>
        <v>0</v>
      </c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customFormat="false" ht="16.4" hidden="false" customHeight="false" outlineLevel="0" collapsed="false">
      <c r="A731" s="123" t="n">
        <v>45444</v>
      </c>
      <c r="B731" s="31" t="s">
        <v>153</v>
      </c>
      <c r="C731" s="129"/>
      <c r="D731" s="129"/>
      <c r="E731" s="19" t="n">
        <f aca="false">F731*0.03</f>
        <v>0</v>
      </c>
      <c r="F731" s="33" t="n">
        <v>0</v>
      </c>
      <c r="G731" s="131"/>
      <c r="H731" s="35" t="n">
        <v>0</v>
      </c>
      <c r="I731" s="34" t="n">
        <f aca="false">+IF(E731=0,0,E731*0.03)</f>
        <v>0</v>
      </c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customFormat="false" ht="16.4" hidden="false" customHeight="false" outlineLevel="0" collapsed="false">
      <c r="A732" s="123" t="n">
        <v>45444</v>
      </c>
      <c r="B732" s="31" t="s">
        <v>247</v>
      </c>
      <c r="C732" s="129"/>
      <c r="D732" s="129"/>
      <c r="E732" s="19" t="n">
        <f aca="false">F732*0.03</f>
        <v>0</v>
      </c>
      <c r="F732" s="33" t="n">
        <v>0</v>
      </c>
      <c r="G732" s="131"/>
      <c r="H732" s="35" t="n">
        <v>0</v>
      </c>
      <c r="I732" s="34" t="n">
        <f aca="false">+IF(E732=0,0,E732*0.03)</f>
        <v>0</v>
      </c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customFormat="false" ht="16.4" hidden="false" customHeight="false" outlineLevel="0" collapsed="false">
      <c r="A733" s="123" t="n">
        <v>45444</v>
      </c>
      <c r="B733" s="31" t="s">
        <v>246</v>
      </c>
      <c r="C733" s="129"/>
      <c r="D733" s="129"/>
      <c r="E733" s="19" t="n">
        <f aca="false">F733*0.03</f>
        <v>0</v>
      </c>
      <c r="F733" s="33" t="n">
        <v>0</v>
      </c>
      <c r="G733" s="131"/>
      <c r="H733" s="35" t="n">
        <v>0</v>
      </c>
      <c r="I733" s="34" t="n">
        <f aca="false">+IF(E733=0,0,E733*0.03)</f>
        <v>0</v>
      </c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customFormat="false" ht="16.4" hidden="false" customHeight="false" outlineLevel="0" collapsed="false">
      <c r="A734" s="123" t="n">
        <v>45444</v>
      </c>
      <c r="B734" s="31" t="s">
        <v>239</v>
      </c>
      <c r="C734" s="129"/>
      <c r="D734" s="129"/>
      <c r="E734" s="19" t="n">
        <f aca="false">F734*0.03</f>
        <v>0</v>
      </c>
      <c r="F734" s="33" t="n">
        <v>0</v>
      </c>
      <c r="G734" s="131"/>
      <c r="H734" s="35" t="n">
        <v>0</v>
      </c>
      <c r="I734" s="34" t="n">
        <f aca="false">+IF(E734=0,0,E734*0.03)</f>
        <v>0</v>
      </c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customFormat="false" ht="16.4" hidden="false" customHeight="false" outlineLevel="0" collapsed="false">
      <c r="A735" s="123" t="n">
        <v>45444</v>
      </c>
      <c r="B735" s="31" t="s">
        <v>7</v>
      </c>
      <c r="C735" s="129"/>
      <c r="D735" s="129"/>
      <c r="E735" s="19" t="n">
        <f aca="false">F735*0.03</f>
        <v>0</v>
      </c>
      <c r="F735" s="33" t="n">
        <v>0</v>
      </c>
      <c r="G735" s="131"/>
      <c r="H735" s="35" t="n">
        <v>0</v>
      </c>
      <c r="I735" s="34" t="n">
        <f aca="false">+IF(E735=0,0,E735*0.03)</f>
        <v>0</v>
      </c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customFormat="false" ht="16.4" hidden="false" customHeight="false" outlineLevel="0" collapsed="false">
      <c r="A736" s="123" t="n">
        <v>45444</v>
      </c>
      <c r="B736" s="31" t="s">
        <v>240</v>
      </c>
      <c r="C736" s="129"/>
      <c r="D736" s="129"/>
      <c r="E736" s="19" t="n">
        <f aca="false">F736*0.03</f>
        <v>0</v>
      </c>
      <c r="F736" s="33" t="n">
        <v>0</v>
      </c>
      <c r="G736" s="131"/>
      <c r="H736" s="35" t="n">
        <v>0</v>
      </c>
      <c r="I736" s="34" t="n">
        <f aca="false">+IF(E736=0,0,E736*0.03)</f>
        <v>0</v>
      </c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customFormat="false" ht="16.4" hidden="false" customHeight="false" outlineLevel="0" collapsed="false">
      <c r="A737" s="123" t="n">
        <v>45444</v>
      </c>
      <c r="B737" s="31" t="s">
        <v>153</v>
      </c>
      <c r="C737" s="129"/>
      <c r="D737" s="129"/>
      <c r="E737" s="19" t="n">
        <f aca="false">F737*0.03</f>
        <v>0</v>
      </c>
      <c r="F737" s="33" t="n">
        <v>0</v>
      </c>
      <c r="G737" s="131"/>
      <c r="H737" s="35" t="n">
        <v>0</v>
      </c>
      <c r="I737" s="34" t="n">
        <f aca="false">+IF(E737=0,0,E737*0.03)</f>
        <v>0</v>
      </c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customFormat="false" ht="16.4" hidden="false" customHeight="false" outlineLevel="0" collapsed="false">
      <c r="A738" s="123" t="n">
        <v>45444</v>
      </c>
      <c r="B738" s="31" t="s">
        <v>247</v>
      </c>
      <c r="C738" s="129"/>
      <c r="D738" s="129"/>
      <c r="E738" s="19" t="n">
        <f aca="false">F738*0.03</f>
        <v>0</v>
      </c>
      <c r="F738" s="33" t="n">
        <v>0</v>
      </c>
      <c r="G738" s="131"/>
      <c r="H738" s="35" t="n">
        <v>0</v>
      </c>
      <c r="I738" s="34" t="n">
        <f aca="false">+IF(E738=0,0,E738*0.03)</f>
        <v>0</v>
      </c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customFormat="false" ht="16.4" hidden="false" customHeight="false" outlineLevel="0" collapsed="false">
      <c r="A739" s="123" t="n">
        <v>45444</v>
      </c>
      <c r="B739" s="31" t="s">
        <v>246</v>
      </c>
      <c r="C739" s="129"/>
      <c r="D739" s="129"/>
      <c r="E739" s="19" t="n">
        <f aca="false">F739*0.03</f>
        <v>0</v>
      </c>
      <c r="F739" s="33" t="n">
        <v>0</v>
      </c>
      <c r="G739" s="131"/>
      <c r="H739" s="35" t="n">
        <v>0</v>
      </c>
      <c r="I739" s="34" t="n">
        <f aca="false">+IF(E739=0,0,E739*0.03)</f>
        <v>0</v>
      </c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customFormat="false" ht="16.4" hidden="false" customHeight="false" outlineLevel="0" collapsed="false">
      <c r="A740" s="123" t="n">
        <v>45444</v>
      </c>
      <c r="B740" s="31" t="s">
        <v>239</v>
      </c>
      <c r="C740" s="129"/>
      <c r="D740" s="129"/>
      <c r="E740" s="19" t="n">
        <f aca="false">F740*0.03</f>
        <v>0</v>
      </c>
      <c r="F740" s="33" t="n">
        <v>0</v>
      </c>
      <c r="G740" s="131"/>
      <c r="H740" s="35" t="n">
        <v>0</v>
      </c>
      <c r="I740" s="34" t="n">
        <f aca="false">+IF(E740=0,0,E740*0.03)</f>
        <v>0</v>
      </c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customFormat="false" ht="16.4" hidden="false" customHeight="false" outlineLevel="0" collapsed="false">
      <c r="A741" s="123" t="n">
        <v>45444</v>
      </c>
      <c r="B741" s="31" t="s">
        <v>7</v>
      </c>
      <c r="C741" s="129"/>
      <c r="D741" s="129"/>
      <c r="E741" s="19" t="n">
        <f aca="false">F741*0.03</f>
        <v>0</v>
      </c>
      <c r="F741" s="33" t="n">
        <v>0</v>
      </c>
      <c r="G741" s="131"/>
      <c r="H741" s="35" t="n">
        <v>0</v>
      </c>
      <c r="I741" s="34" t="n">
        <f aca="false">+IF(E741=0,0,E741*0.03)</f>
        <v>0</v>
      </c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customFormat="false" ht="16.4" hidden="false" customHeight="false" outlineLevel="0" collapsed="false">
      <c r="A742" s="123" t="n">
        <v>45444</v>
      </c>
      <c r="B742" s="31" t="s">
        <v>240</v>
      </c>
      <c r="C742" s="129"/>
      <c r="D742" s="129"/>
      <c r="E742" s="19" t="n">
        <f aca="false">F742*0.03</f>
        <v>0</v>
      </c>
      <c r="F742" s="33" t="n">
        <v>0</v>
      </c>
      <c r="G742" s="131"/>
      <c r="H742" s="35" t="n">
        <v>0</v>
      </c>
      <c r="I742" s="34" t="n">
        <f aca="false">+IF(E742=0,0,E742*0.03)</f>
        <v>0</v>
      </c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customFormat="false" ht="16.4" hidden="false" customHeight="false" outlineLevel="0" collapsed="false">
      <c r="A743" s="123" t="n">
        <v>45444</v>
      </c>
      <c r="B743" s="31" t="s">
        <v>153</v>
      </c>
      <c r="C743" s="129"/>
      <c r="D743" s="129"/>
      <c r="E743" s="19" t="n">
        <f aca="false">F743*0.03</f>
        <v>0</v>
      </c>
      <c r="F743" s="33" t="n">
        <v>0</v>
      </c>
      <c r="G743" s="131"/>
      <c r="H743" s="35" t="n">
        <v>0</v>
      </c>
      <c r="I743" s="34" t="n">
        <f aca="false">+IF(E743=0,0,E743*0.03)</f>
        <v>0</v>
      </c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customFormat="false" ht="16.4" hidden="false" customHeight="false" outlineLevel="0" collapsed="false">
      <c r="A744" s="123" t="n">
        <v>45444</v>
      </c>
      <c r="B744" s="31" t="s">
        <v>247</v>
      </c>
      <c r="C744" s="129"/>
      <c r="D744" s="129"/>
      <c r="E744" s="19" t="n">
        <f aca="false">F744*0.03</f>
        <v>0</v>
      </c>
      <c r="F744" s="33" t="n">
        <v>0</v>
      </c>
      <c r="G744" s="131"/>
      <c r="H744" s="35" t="n">
        <v>0</v>
      </c>
      <c r="I744" s="34" t="n">
        <f aca="false">+IF(E744=0,0,E744*0.03)</f>
        <v>0</v>
      </c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customFormat="false" ht="16.4" hidden="false" customHeight="false" outlineLevel="0" collapsed="false">
      <c r="A745" s="123" t="n">
        <v>45444</v>
      </c>
      <c r="B745" s="31" t="s">
        <v>246</v>
      </c>
      <c r="C745" s="129"/>
      <c r="D745" s="129"/>
      <c r="E745" s="19" t="n">
        <f aca="false">F745*0.03</f>
        <v>0</v>
      </c>
      <c r="F745" s="33" t="n">
        <v>0</v>
      </c>
      <c r="G745" s="131"/>
      <c r="H745" s="35" t="n">
        <v>0</v>
      </c>
      <c r="I745" s="34" t="n">
        <f aca="false">+IF(E745=0,0,E745*0.03)</f>
        <v>0</v>
      </c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customFormat="false" ht="16.4" hidden="false" customHeight="false" outlineLevel="0" collapsed="false">
      <c r="A746" s="123" t="n">
        <v>45444</v>
      </c>
      <c r="B746" s="31" t="s">
        <v>239</v>
      </c>
      <c r="C746" s="129"/>
      <c r="D746" s="129"/>
      <c r="E746" s="19" t="n">
        <f aca="false">F746*0.03</f>
        <v>0</v>
      </c>
      <c r="F746" s="33" t="n">
        <v>0</v>
      </c>
      <c r="G746" s="131"/>
      <c r="H746" s="35" t="n">
        <v>0</v>
      </c>
      <c r="I746" s="34" t="n">
        <f aca="false">+IF(E746=0,0,E746*0.03)</f>
        <v>0</v>
      </c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customFormat="false" ht="16.4" hidden="false" customHeight="false" outlineLevel="0" collapsed="false">
      <c r="A747" s="123" t="n">
        <v>45444</v>
      </c>
      <c r="B747" s="31" t="s">
        <v>7</v>
      </c>
      <c r="C747" s="129"/>
      <c r="D747" s="129"/>
      <c r="E747" s="19" t="n">
        <f aca="false">F747*0.03</f>
        <v>0</v>
      </c>
      <c r="F747" s="33" t="n">
        <v>0</v>
      </c>
      <c r="G747" s="131"/>
      <c r="H747" s="35" t="n">
        <v>0</v>
      </c>
      <c r="I747" s="34" t="n">
        <f aca="false">+IF(E747=0,0,E747*0.03)</f>
        <v>0</v>
      </c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customFormat="false" ht="16.4" hidden="false" customHeight="false" outlineLevel="0" collapsed="false">
      <c r="A748" s="123" t="n">
        <v>45444</v>
      </c>
      <c r="B748" s="31" t="s">
        <v>240</v>
      </c>
      <c r="C748" s="129"/>
      <c r="D748" s="129"/>
      <c r="E748" s="19" t="n">
        <f aca="false">F748*0.03</f>
        <v>0</v>
      </c>
      <c r="F748" s="33" t="n">
        <v>0</v>
      </c>
      <c r="G748" s="131"/>
      <c r="H748" s="35" t="n">
        <v>0</v>
      </c>
      <c r="I748" s="34" t="n">
        <f aca="false">+IF(E748=0,0,E748*0.03)</f>
        <v>0</v>
      </c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customFormat="false" ht="16.4" hidden="false" customHeight="false" outlineLevel="0" collapsed="false">
      <c r="A749" s="123" t="n">
        <v>45444</v>
      </c>
      <c r="B749" s="31" t="s">
        <v>153</v>
      </c>
      <c r="C749" s="129"/>
      <c r="D749" s="129"/>
      <c r="E749" s="19" t="n">
        <f aca="false">F749*0.03</f>
        <v>0</v>
      </c>
      <c r="F749" s="33" t="n">
        <v>0</v>
      </c>
      <c r="G749" s="131"/>
      <c r="H749" s="35" t="n">
        <v>0</v>
      </c>
      <c r="I749" s="34" t="n">
        <f aca="false">+IF(E749=0,0,E749*0.03)</f>
        <v>0</v>
      </c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customFormat="false" ht="16.4" hidden="false" customHeight="false" outlineLevel="0" collapsed="false">
      <c r="A750" s="123" t="n">
        <v>45444</v>
      </c>
      <c r="B750" s="31" t="s">
        <v>247</v>
      </c>
      <c r="C750" s="129"/>
      <c r="D750" s="129"/>
      <c r="E750" s="19" t="n">
        <f aca="false">F750*0.03</f>
        <v>0</v>
      </c>
      <c r="F750" s="33" t="n">
        <v>0</v>
      </c>
      <c r="G750" s="131"/>
      <c r="H750" s="35" t="n">
        <v>0</v>
      </c>
      <c r="I750" s="34" t="n">
        <f aca="false">+IF(E750=0,0,E750*0.03)</f>
        <v>0</v>
      </c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customFormat="false" ht="16.4" hidden="false" customHeight="false" outlineLevel="0" collapsed="false">
      <c r="A751" s="123" t="n">
        <v>45444</v>
      </c>
      <c r="B751" s="31" t="s">
        <v>246</v>
      </c>
      <c r="C751" s="129"/>
      <c r="D751" s="129"/>
      <c r="E751" s="19" t="n">
        <f aca="false">F751*0.03</f>
        <v>0</v>
      </c>
      <c r="F751" s="33" t="n">
        <v>0</v>
      </c>
      <c r="G751" s="131"/>
      <c r="H751" s="35" t="n">
        <v>0</v>
      </c>
      <c r="I751" s="34" t="n">
        <f aca="false">+IF(E751=0,0,E751*0.03)</f>
        <v>0</v>
      </c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customFormat="false" ht="16.4" hidden="false" customHeight="false" outlineLevel="0" collapsed="false">
      <c r="A752" s="123" t="n">
        <v>45444</v>
      </c>
      <c r="B752" s="31" t="s">
        <v>239</v>
      </c>
      <c r="C752" s="129"/>
      <c r="D752" s="129"/>
      <c r="E752" s="19" t="n">
        <f aca="false">F752*0.03</f>
        <v>0</v>
      </c>
      <c r="F752" s="33" t="n">
        <v>0</v>
      </c>
      <c r="G752" s="131"/>
      <c r="H752" s="35" t="n">
        <v>0</v>
      </c>
      <c r="I752" s="34" t="n">
        <f aca="false">+IF(E752=0,0,E752*0.03)</f>
        <v>0</v>
      </c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customFormat="false" ht="16.4" hidden="false" customHeight="false" outlineLevel="0" collapsed="false">
      <c r="A753" s="123" t="n">
        <v>45444</v>
      </c>
      <c r="B753" s="31" t="s">
        <v>7</v>
      </c>
      <c r="C753" s="129"/>
      <c r="D753" s="129"/>
      <c r="E753" s="19" t="n">
        <f aca="false">F753*0.03</f>
        <v>0</v>
      </c>
      <c r="F753" s="33" t="n">
        <v>0</v>
      </c>
      <c r="G753" s="131"/>
      <c r="H753" s="35" t="n">
        <v>0</v>
      </c>
      <c r="I753" s="34" t="n">
        <f aca="false">+IF(E753=0,0,E753*0.03)</f>
        <v>0</v>
      </c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customFormat="false" ht="16.4" hidden="false" customHeight="false" outlineLevel="0" collapsed="false">
      <c r="A754" s="123" t="n">
        <v>45444</v>
      </c>
      <c r="B754" s="31" t="s">
        <v>240</v>
      </c>
      <c r="C754" s="129"/>
      <c r="D754" s="129"/>
      <c r="E754" s="19" t="n">
        <f aca="false">F754*0.03</f>
        <v>0</v>
      </c>
      <c r="F754" s="33" t="n">
        <v>0</v>
      </c>
      <c r="G754" s="131"/>
      <c r="H754" s="35" t="n">
        <v>0</v>
      </c>
      <c r="I754" s="34" t="n">
        <f aca="false">+IF(E754=0,0,E754*0.03)</f>
        <v>0</v>
      </c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customFormat="false" ht="16.4" hidden="false" customHeight="false" outlineLevel="0" collapsed="false">
      <c r="A755" s="123" t="n">
        <v>45444</v>
      </c>
      <c r="B755" s="31" t="s">
        <v>153</v>
      </c>
      <c r="C755" s="129"/>
      <c r="D755" s="129"/>
      <c r="E755" s="19" t="n">
        <f aca="false">F755*0.03</f>
        <v>0</v>
      </c>
      <c r="F755" s="33" t="n">
        <v>0</v>
      </c>
      <c r="G755" s="131"/>
      <c r="H755" s="35" t="n">
        <v>0</v>
      </c>
      <c r="I755" s="34" t="n">
        <f aca="false">+IF(E755=0,0,E755*0.03)</f>
        <v>0</v>
      </c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customFormat="false" ht="16.4" hidden="false" customHeight="false" outlineLevel="0" collapsed="false">
      <c r="A756" s="123" t="n">
        <v>45444</v>
      </c>
      <c r="B756" s="31" t="s">
        <v>247</v>
      </c>
      <c r="C756" s="129"/>
      <c r="D756" s="129"/>
      <c r="E756" s="19" t="n">
        <f aca="false">F756*0.03</f>
        <v>0</v>
      </c>
      <c r="F756" s="33" t="n">
        <v>0</v>
      </c>
      <c r="G756" s="131"/>
      <c r="H756" s="35" t="n">
        <v>0</v>
      </c>
      <c r="I756" s="34" t="n">
        <f aca="false">+IF(E756=0,0,E756*0.03)</f>
        <v>0</v>
      </c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customFormat="false" ht="16.4" hidden="false" customHeight="false" outlineLevel="0" collapsed="false">
      <c r="A757" s="123" t="n">
        <v>45444</v>
      </c>
      <c r="B757" s="31" t="s">
        <v>246</v>
      </c>
      <c r="C757" s="129"/>
      <c r="D757" s="129"/>
      <c r="E757" s="19" t="n">
        <f aca="false">F757*0.03</f>
        <v>0</v>
      </c>
      <c r="F757" s="33" t="n">
        <v>0</v>
      </c>
      <c r="G757" s="131"/>
      <c r="H757" s="35" t="n">
        <v>0</v>
      </c>
      <c r="I757" s="34" t="n">
        <f aca="false">+IF(E757=0,0,E757*0.03)</f>
        <v>0</v>
      </c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customFormat="false" ht="16.4" hidden="false" customHeight="false" outlineLevel="0" collapsed="false">
      <c r="A758" s="123" t="n">
        <v>45444</v>
      </c>
      <c r="B758" s="31" t="s">
        <v>239</v>
      </c>
      <c r="C758" s="129"/>
      <c r="D758" s="129"/>
      <c r="E758" s="19" t="n">
        <f aca="false">F758*0.03</f>
        <v>0</v>
      </c>
      <c r="F758" s="33" t="n">
        <v>0</v>
      </c>
      <c r="G758" s="131"/>
      <c r="H758" s="35" t="n">
        <v>0</v>
      </c>
      <c r="I758" s="34" t="n">
        <f aca="false">+IF(E758=0,0,E758*0.03)</f>
        <v>0</v>
      </c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customFormat="false" ht="16.4" hidden="false" customHeight="false" outlineLevel="0" collapsed="false">
      <c r="A759" s="123" t="n">
        <v>45444</v>
      </c>
      <c r="B759" s="31" t="s">
        <v>7</v>
      </c>
      <c r="C759" s="129"/>
      <c r="D759" s="129"/>
      <c r="E759" s="19" t="n">
        <f aca="false">F759*0.03</f>
        <v>0</v>
      </c>
      <c r="F759" s="33" t="n">
        <v>0</v>
      </c>
      <c r="G759" s="131"/>
      <c r="H759" s="35" t="n">
        <v>0</v>
      </c>
      <c r="I759" s="34" t="n">
        <f aca="false">+IF(E759=0,0,E759*0.03)</f>
        <v>0</v>
      </c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customFormat="false" ht="16.4" hidden="false" customHeight="false" outlineLevel="0" collapsed="false">
      <c r="A760" s="123" t="n">
        <v>45444</v>
      </c>
      <c r="B760" s="31" t="s">
        <v>240</v>
      </c>
      <c r="C760" s="129"/>
      <c r="D760" s="129"/>
      <c r="E760" s="19" t="n">
        <f aca="false">F760*0.03</f>
        <v>0</v>
      </c>
      <c r="F760" s="33" t="n">
        <v>0</v>
      </c>
      <c r="G760" s="131"/>
      <c r="H760" s="35" t="n">
        <v>0</v>
      </c>
      <c r="I760" s="34" t="n">
        <f aca="false">+IF(E760=0,0,E760*0.03)</f>
        <v>0</v>
      </c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customFormat="false" ht="16.4" hidden="false" customHeight="false" outlineLevel="0" collapsed="false">
      <c r="A761" s="123" t="n">
        <v>45444</v>
      </c>
      <c r="B761" s="31" t="s">
        <v>153</v>
      </c>
      <c r="C761" s="129"/>
      <c r="D761" s="129"/>
      <c r="E761" s="19" t="n">
        <f aca="false">F761*0.03</f>
        <v>0</v>
      </c>
      <c r="F761" s="33" t="n">
        <v>0</v>
      </c>
      <c r="G761" s="131"/>
      <c r="H761" s="35" t="n">
        <v>0</v>
      </c>
      <c r="I761" s="34" t="n">
        <f aca="false">+IF(E761=0,0,E761*0.03)</f>
        <v>0</v>
      </c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customFormat="false" ht="16.4" hidden="false" customHeight="false" outlineLevel="0" collapsed="false">
      <c r="A762" s="123" t="n">
        <v>45444</v>
      </c>
      <c r="B762" s="31" t="s">
        <v>247</v>
      </c>
      <c r="C762" s="129"/>
      <c r="D762" s="129"/>
      <c r="E762" s="19" t="n">
        <f aca="false">F762*0.03</f>
        <v>0</v>
      </c>
      <c r="F762" s="33" t="n">
        <v>0</v>
      </c>
      <c r="G762" s="131"/>
      <c r="H762" s="35" t="n">
        <v>0</v>
      </c>
      <c r="I762" s="34" t="n">
        <f aca="false">+IF(E762=0,0,E762*0.03)</f>
        <v>0</v>
      </c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customFormat="false" ht="16.4" hidden="false" customHeight="false" outlineLevel="0" collapsed="false">
      <c r="A763" s="123" t="n">
        <v>45444</v>
      </c>
      <c r="B763" s="31" t="s">
        <v>246</v>
      </c>
      <c r="C763" s="129"/>
      <c r="D763" s="129"/>
      <c r="E763" s="19" t="n">
        <f aca="false">F763*0.03</f>
        <v>0</v>
      </c>
      <c r="F763" s="33" t="n">
        <v>0</v>
      </c>
      <c r="G763" s="131"/>
      <c r="H763" s="35" t="n">
        <v>0</v>
      </c>
      <c r="I763" s="34" t="n">
        <f aca="false">+IF(E763=0,0,E763*0.03)</f>
        <v>0</v>
      </c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customFormat="false" ht="16.4" hidden="false" customHeight="false" outlineLevel="0" collapsed="false">
      <c r="A764" s="123" t="n">
        <v>45444</v>
      </c>
      <c r="B764" s="31" t="s">
        <v>239</v>
      </c>
      <c r="C764" s="129"/>
      <c r="D764" s="129"/>
      <c r="E764" s="19" t="n">
        <f aca="false">F764*0.03</f>
        <v>0</v>
      </c>
      <c r="F764" s="33" t="n">
        <v>0</v>
      </c>
      <c r="G764" s="131"/>
      <c r="H764" s="35" t="n">
        <v>0</v>
      </c>
      <c r="I764" s="34" t="n">
        <f aca="false">+IF(E764=0,0,E764*0.03)</f>
        <v>0</v>
      </c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customFormat="false" ht="16.4" hidden="false" customHeight="false" outlineLevel="0" collapsed="false">
      <c r="A765" s="123" t="n">
        <v>45444</v>
      </c>
      <c r="B765" s="31" t="s">
        <v>7</v>
      </c>
      <c r="C765" s="129"/>
      <c r="D765" s="129"/>
      <c r="E765" s="19" t="n">
        <f aca="false">F765*0.03</f>
        <v>0</v>
      </c>
      <c r="F765" s="33" t="n">
        <v>0</v>
      </c>
      <c r="G765" s="131"/>
      <c r="H765" s="35" t="n">
        <v>0</v>
      </c>
      <c r="I765" s="34" t="n">
        <f aca="false">+IF(E765=0,0,E765*0.03)</f>
        <v>0</v>
      </c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customFormat="false" ht="16.4" hidden="false" customHeight="false" outlineLevel="0" collapsed="false">
      <c r="A766" s="123" t="n">
        <v>45444</v>
      </c>
      <c r="B766" s="31" t="s">
        <v>240</v>
      </c>
      <c r="C766" s="129"/>
      <c r="D766" s="129"/>
      <c r="E766" s="19" t="n">
        <f aca="false">F766*0.03</f>
        <v>0</v>
      </c>
      <c r="F766" s="33" t="n">
        <v>0</v>
      </c>
      <c r="G766" s="131"/>
      <c r="H766" s="35" t="n">
        <v>0</v>
      </c>
      <c r="I766" s="34" t="n">
        <f aca="false">+IF(E766=0,0,E766*0.03)</f>
        <v>0</v>
      </c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customFormat="false" ht="16.4" hidden="false" customHeight="false" outlineLevel="0" collapsed="false">
      <c r="A767" s="123" t="n">
        <v>45444</v>
      </c>
      <c r="B767" s="31" t="s">
        <v>153</v>
      </c>
      <c r="C767" s="129"/>
      <c r="D767" s="129"/>
      <c r="E767" s="19" t="n">
        <f aca="false">F767*0.03</f>
        <v>0</v>
      </c>
      <c r="F767" s="33" t="n">
        <v>0</v>
      </c>
      <c r="G767" s="131"/>
      <c r="H767" s="35" t="n">
        <v>0</v>
      </c>
      <c r="I767" s="34" t="n">
        <f aca="false">+IF(E767=0,0,E767*0.03)</f>
        <v>0</v>
      </c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customFormat="false" ht="16.4" hidden="false" customHeight="false" outlineLevel="0" collapsed="false">
      <c r="A768" s="123" t="n">
        <v>45444</v>
      </c>
      <c r="B768" s="31" t="s">
        <v>247</v>
      </c>
      <c r="C768" s="129"/>
      <c r="D768" s="129"/>
      <c r="E768" s="19" t="n">
        <f aca="false">F768*0.03</f>
        <v>0</v>
      </c>
      <c r="F768" s="33" t="n">
        <v>0</v>
      </c>
      <c r="G768" s="131"/>
      <c r="H768" s="35" t="n">
        <v>0</v>
      </c>
      <c r="I768" s="34" t="n">
        <f aca="false">+IF(E768=0,0,E768*0.03)</f>
        <v>0</v>
      </c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customFormat="false" ht="16.4" hidden="false" customHeight="false" outlineLevel="0" collapsed="false">
      <c r="A769" s="123" t="n">
        <v>45444</v>
      </c>
      <c r="B769" s="31" t="s">
        <v>246</v>
      </c>
      <c r="C769" s="129"/>
      <c r="D769" s="129"/>
      <c r="E769" s="19" t="n">
        <f aca="false">F769*0.03</f>
        <v>0</v>
      </c>
      <c r="F769" s="33" t="n">
        <v>0</v>
      </c>
      <c r="G769" s="131"/>
      <c r="H769" s="35" t="n">
        <v>0</v>
      </c>
      <c r="I769" s="34" t="n">
        <f aca="false">+IF(E769=0,0,E769*0.03)</f>
        <v>0</v>
      </c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customFormat="false" ht="16.4" hidden="false" customHeight="false" outlineLevel="0" collapsed="false">
      <c r="A770" s="123" t="n">
        <v>45444</v>
      </c>
      <c r="B770" s="31" t="s">
        <v>239</v>
      </c>
      <c r="C770" s="129"/>
      <c r="D770" s="129"/>
      <c r="E770" s="19" t="n">
        <f aca="false">F770*0.03</f>
        <v>0</v>
      </c>
      <c r="F770" s="33" t="n">
        <v>0</v>
      </c>
      <c r="G770" s="131"/>
      <c r="H770" s="35" t="n">
        <v>0</v>
      </c>
      <c r="I770" s="34" t="n">
        <f aca="false">+IF(E770=0,0,E770*0.03)</f>
        <v>0</v>
      </c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customFormat="false" ht="16.4" hidden="false" customHeight="false" outlineLevel="0" collapsed="false">
      <c r="A771" s="123" t="n">
        <v>45444</v>
      </c>
      <c r="B771" s="31" t="s">
        <v>7</v>
      </c>
      <c r="C771" s="129"/>
      <c r="D771" s="129"/>
      <c r="E771" s="19" t="n">
        <f aca="false">F771*0.03</f>
        <v>0</v>
      </c>
      <c r="F771" s="33" t="n">
        <v>0</v>
      </c>
      <c r="G771" s="131"/>
      <c r="H771" s="35" t="n">
        <v>0</v>
      </c>
      <c r="I771" s="34" t="n">
        <f aca="false">+IF(E771=0,0,E771*0.03)</f>
        <v>0</v>
      </c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customFormat="false" ht="16.4" hidden="false" customHeight="false" outlineLevel="0" collapsed="false">
      <c r="A772" s="123" t="n">
        <v>45444</v>
      </c>
      <c r="B772" s="31" t="s">
        <v>240</v>
      </c>
      <c r="C772" s="129"/>
      <c r="D772" s="129"/>
      <c r="E772" s="19" t="n">
        <f aca="false">F772*0.03</f>
        <v>0</v>
      </c>
      <c r="F772" s="33" t="n">
        <v>0</v>
      </c>
      <c r="G772" s="131"/>
      <c r="H772" s="35" t="n">
        <v>0</v>
      </c>
      <c r="I772" s="34" t="n">
        <f aca="false">+IF(E772=0,0,E772*0.03)</f>
        <v>0</v>
      </c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customFormat="false" ht="16.4" hidden="false" customHeight="false" outlineLevel="0" collapsed="false">
      <c r="A773" s="123" t="n">
        <v>45444</v>
      </c>
      <c r="B773" s="31" t="s">
        <v>153</v>
      </c>
      <c r="C773" s="129"/>
      <c r="D773" s="129"/>
      <c r="E773" s="19" t="n">
        <f aca="false">F773*0.03</f>
        <v>0</v>
      </c>
      <c r="F773" s="33" t="n">
        <v>0</v>
      </c>
      <c r="G773" s="131"/>
      <c r="H773" s="35" t="n">
        <v>0</v>
      </c>
      <c r="I773" s="34" t="n">
        <f aca="false">+IF(E773=0,0,E773*0.03)</f>
        <v>0</v>
      </c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customFormat="false" ht="16.4" hidden="false" customHeight="false" outlineLevel="0" collapsed="false">
      <c r="A774" s="123" t="n">
        <v>45444</v>
      </c>
      <c r="B774" s="31" t="s">
        <v>247</v>
      </c>
      <c r="C774" s="129"/>
      <c r="D774" s="129"/>
      <c r="E774" s="19" t="n">
        <f aca="false">F774*0.03</f>
        <v>0</v>
      </c>
      <c r="F774" s="33" t="n">
        <v>0</v>
      </c>
      <c r="G774" s="131"/>
      <c r="H774" s="35" t="n">
        <v>0</v>
      </c>
      <c r="I774" s="34" t="n">
        <f aca="false">+IF(E774=0,0,E774*0.03)</f>
        <v>0</v>
      </c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customFormat="false" ht="16.4" hidden="false" customHeight="false" outlineLevel="0" collapsed="false">
      <c r="A775" s="123" t="n">
        <v>45444</v>
      </c>
      <c r="B775" s="31" t="s">
        <v>246</v>
      </c>
      <c r="C775" s="129"/>
      <c r="D775" s="129"/>
      <c r="E775" s="19" t="n">
        <f aca="false">F775*0.03</f>
        <v>0</v>
      </c>
      <c r="F775" s="33" t="n">
        <v>0</v>
      </c>
      <c r="G775" s="131"/>
      <c r="H775" s="35" t="n">
        <v>0</v>
      </c>
      <c r="I775" s="34" t="n">
        <f aca="false">+IF(E775=0,0,E775*0.03)</f>
        <v>0</v>
      </c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customFormat="false" ht="16.4" hidden="false" customHeight="false" outlineLevel="0" collapsed="false">
      <c r="A776" s="123" t="n">
        <v>45444</v>
      </c>
      <c r="B776" s="31" t="s">
        <v>239</v>
      </c>
      <c r="C776" s="129"/>
      <c r="D776" s="129"/>
      <c r="E776" s="19" t="n">
        <f aca="false">F776*0.03</f>
        <v>0</v>
      </c>
      <c r="F776" s="33" t="n">
        <v>0</v>
      </c>
      <c r="G776" s="131"/>
      <c r="H776" s="35" t="n">
        <v>0</v>
      </c>
      <c r="I776" s="34" t="n">
        <f aca="false">+IF(E776=0,0,E776*0.03)</f>
        <v>0</v>
      </c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customFormat="false" ht="16.4" hidden="false" customHeight="false" outlineLevel="0" collapsed="false">
      <c r="A777" s="123" t="n">
        <v>45444</v>
      </c>
      <c r="B777" s="31" t="s">
        <v>7</v>
      </c>
      <c r="C777" s="129"/>
      <c r="D777" s="129"/>
      <c r="E777" s="19" t="n">
        <f aca="false">F777*0.03</f>
        <v>0</v>
      </c>
      <c r="F777" s="33" t="n">
        <v>0</v>
      </c>
      <c r="G777" s="131"/>
      <c r="H777" s="35" t="n">
        <v>0</v>
      </c>
      <c r="I777" s="34" t="n">
        <f aca="false">+IF(E777=0,0,E777*0.03)</f>
        <v>0</v>
      </c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customFormat="false" ht="16.4" hidden="false" customHeight="false" outlineLevel="0" collapsed="false">
      <c r="A778" s="123" t="n">
        <v>45444</v>
      </c>
      <c r="B778" s="31" t="s">
        <v>240</v>
      </c>
      <c r="C778" s="129"/>
      <c r="D778" s="129"/>
      <c r="E778" s="19" t="n">
        <f aca="false">F778*0.03</f>
        <v>0</v>
      </c>
      <c r="F778" s="33" t="n">
        <v>0</v>
      </c>
      <c r="G778" s="131"/>
      <c r="H778" s="35" t="n">
        <v>0</v>
      </c>
      <c r="I778" s="34" t="n">
        <f aca="false">+IF(E778=0,0,E778*0.03)</f>
        <v>0</v>
      </c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customFormat="false" ht="16.4" hidden="false" customHeight="false" outlineLevel="0" collapsed="false">
      <c r="A779" s="123" t="n">
        <v>45444</v>
      </c>
      <c r="B779" s="31" t="s">
        <v>153</v>
      </c>
      <c r="C779" s="129"/>
      <c r="D779" s="129"/>
      <c r="E779" s="19" t="n">
        <f aca="false">F779*0.03</f>
        <v>0</v>
      </c>
      <c r="F779" s="33" t="n">
        <v>0</v>
      </c>
      <c r="G779" s="131"/>
      <c r="H779" s="35" t="n">
        <v>0</v>
      </c>
      <c r="I779" s="34" t="n">
        <f aca="false">+IF(E779=0,0,E779*0.03)</f>
        <v>0</v>
      </c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customFormat="false" ht="16.4" hidden="false" customHeight="false" outlineLevel="0" collapsed="false">
      <c r="A780" s="123" t="n">
        <v>45444</v>
      </c>
      <c r="B780" s="31" t="s">
        <v>153</v>
      </c>
      <c r="C780" s="129"/>
      <c r="D780" s="129"/>
      <c r="E780" s="19" t="n">
        <f aca="false">F780*0.03</f>
        <v>0</v>
      </c>
      <c r="F780" s="33" t="n">
        <v>0</v>
      </c>
      <c r="G780" s="131"/>
      <c r="H780" s="35" t="n">
        <v>0</v>
      </c>
      <c r="I780" s="34" t="n">
        <f aca="false">+IF(E780=0,0,E780*0.03)</f>
        <v>0</v>
      </c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customFormat="false" ht="16.4" hidden="false" customHeight="false" outlineLevel="0" collapsed="false">
      <c r="A781" s="123" t="n">
        <v>45444</v>
      </c>
      <c r="B781" s="31" t="s">
        <v>153</v>
      </c>
      <c r="C781" s="129"/>
      <c r="D781" s="129"/>
      <c r="E781" s="19" t="n">
        <f aca="false">F781*0.03</f>
        <v>0</v>
      </c>
      <c r="F781" s="33" t="n">
        <v>0</v>
      </c>
      <c r="G781" s="131"/>
      <c r="H781" s="35" t="n">
        <v>0</v>
      </c>
      <c r="I781" s="34" t="n">
        <f aca="false">+IF(E781=0,0,E781*0.03)</f>
        <v>0</v>
      </c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customFormat="false" ht="16.4" hidden="false" customHeight="false" outlineLevel="0" collapsed="false">
      <c r="A782" s="123" t="n">
        <v>45444</v>
      </c>
      <c r="B782" s="31" t="s">
        <v>153</v>
      </c>
      <c r="C782" s="129"/>
      <c r="D782" s="129"/>
      <c r="E782" s="19" t="n">
        <f aca="false">F782*0.03</f>
        <v>0</v>
      </c>
      <c r="F782" s="33" t="n">
        <v>0</v>
      </c>
      <c r="G782" s="131"/>
      <c r="H782" s="35" t="n">
        <v>0</v>
      </c>
      <c r="I782" s="34" t="n">
        <f aca="false">+IF(E782=0,0,E782*0.03)</f>
        <v>0</v>
      </c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customFormat="false" ht="16.4" hidden="false" customHeight="false" outlineLevel="0" collapsed="false">
      <c r="A783" s="123" t="n">
        <v>45444</v>
      </c>
      <c r="B783" s="31" t="s">
        <v>153</v>
      </c>
      <c r="C783" s="129"/>
      <c r="D783" s="129"/>
      <c r="E783" s="19" t="n">
        <f aca="false">F783*0.03</f>
        <v>0</v>
      </c>
      <c r="F783" s="33" t="n">
        <v>0</v>
      </c>
      <c r="G783" s="131"/>
      <c r="H783" s="35" t="n">
        <v>0</v>
      </c>
      <c r="I783" s="34" t="n">
        <f aca="false">+IF(E783=0,0,E783*0.03)</f>
        <v>0</v>
      </c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customFormat="false" ht="16.4" hidden="false" customHeight="false" outlineLevel="0" collapsed="false">
      <c r="A784" s="123" t="n">
        <v>45444</v>
      </c>
      <c r="B784" s="31" t="s">
        <v>153</v>
      </c>
      <c r="C784" s="129"/>
      <c r="D784" s="129"/>
      <c r="E784" s="19" t="n">
        <f aca="false">F784*0.03</f>
        <v>0</v>
      </c>
      <c r="F784" s="33" t="n">
        <v>0</v>
      </c>
      <c r="G784" s="131"/>
      <c r="H784" s="35" t="n">
        <v>0</v>
      </c>
      <c r="I784" s="34" t="n">
        <f aca="false">+IF(E784=0,0,E784*0.03)</f>
        <v>0</v>
      </c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customFormat="false" ht="16.4" hidden="false" customHeight="false" outlineLevel="0" collapsed="false">
      <c r="A785" s="123" t="n">
        <v>45444</v>
      </c>
      <c r="B785" s="31" t="s">
        <v>153</v>
      </c>
      <c r="C785" s="129"/>
      <c r="D785" s="129"/>
      <c r="E785" s="19" t="n">
        <f aca="false">F785*0.03</f>
        <v>0</v>
      </c>
      <c r="F785" s="33" t="n">
        <v>0</v>
      </c>
      <c r="G785" s="131"/>
      <c r="H785" s="35" t="n">
        <v>0</v>
      </c>
      <c r="I785" s="34" t="n">
        <f aca="false">+IF(E785=0,0,E785*0.03)</f>
        <v>0</v>
      </c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customFormat="false" ht="16.4" hidden="false" customHeight="false" outlineLevel="0" collapsed="false">
      <c r="A786" s="123" t="n">
        <v>45444</v>
      </c>
      <c r="B786" s="31" t="s">
        <v>153</v>
      </c>
      <c r="C786" s="129"/>
      <c r="D786" s="129"/>
      <c r="E786" s="19" t="n">
        <f aca="false">F786*0.03</f>
        <v>0</v>
      </c>
      <c r="F786" s="33" t="n">
        <v>0</v>
      </c>
      <c r="G786" s="131"/>
      <c r="H786" s="35" t="n">
        <v>0</v>
      </c>
      <c r="I786" s="34" t="n">
        <f aca="false">+IF(E786=0,0,E786*0.03)</f>
        <v>0</v>
      </c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customFormat="false" ht="16.4" hidden="false" customHeight="false" outlineLevel="0" collapsed="false">
      <c r="A787" s="123" t="n">
        <v>45444</v>
      </c>
      <c r="B787" s="31" t="s">
        <v>153</v>
      </c>
      <c r="C787" s="129"/>
      <c r="D787" s="129"/>
      <c r="E787" s="19" t="n">
        <f aca="false">F787*0.03</f>
        <v>0</v>
      </c>
      <c r="F787" s="33" t="n">
        <v>0</v>
      </c>
      <c r="G787" s="131"/>
      <c r="H787" s="35" t="n">
        <v>0</v>
      </c>
      <c r="I787" s="34" t="n">
        <f aca="false">+IF(E787=0,0,E787*0.03)</f>
        <v>0</v>
      </c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customFormat="false" ht="16.4" hidden="false" customHeight="false" outlineLevel="0" collapsed="false">
      <c r="A788" s="123" t="n">
        <v>45444</v>
      </c>
      <c r="B788" s="31" t="s">
        <v>153</v>
      </c>
      <c r="C788" s="129"/>
      <c r="D788" s="129"/>
      <c r="E788" s="19" t="n">
        <f aca="false">F788*0.03</f>
        <v>0</v>
      </c>
      <c r="F788" s="33" t="n">
        <v>0</v>
      </c>
      <c r="G788" s="131"/>
      <c r="H788" s="35" t="n">
        <v>0</v>
      </c>
      <c r="I788" s="34" t="n">
        <f aca="false">+IF(E788=0,0,E788*0.03)</f>
        <v>0</v>
      </c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customFormat="false" ht="16.4" hidden="false" customHeight="false" outlineLevel="0" collapsed="false">
      <c r="A789" s="123" t="n">
        <v>45444</v>
      </c>
      <c r="B789" s="31" t="s">
        <v>153</v>
      </c>
      <c r="C789" s="129"/>
      <c r="D789" s="129"/>
      <c r="E789" s="19" t="n">
        <f aca="false">F789*0.03</f>
        <v>0</v>
      </c>
      <c r="F789" s="33" t="n">
        <v>0</v>
      </c>
      <c r="G789" s="131"/>
      <c r="H789" s="35" t="n">
        <v>0</v>
      </c>
      <c r="I789" s="34" t="n">
        <f aca="false">+IF(E789=0,0,E789*0.03)</f>
        <v>0</v>
      </c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customFormat="false" ht="16.4" hidden="false" customHeight="false" outlineLevel="0" collapsed="false">
      <c r="A790" s="123" t="n">
        <v>45444</v>
      </c>
      <c r="B790" s="31" t="s">
        <v>153</v>
      </c>
      <c r="C790" s="129"/>
      <c r="D790" s="129"/>
      <c r="E790" s="19" t="n">
        <f aca="false">F790*0.03</f>
        <v>0</v>
      </c>
      <c r="F790" s="33" t="n">
        <v>0</v>
      </c>
      <c r="G790" s="131"/>
      <c r="H790" s="35" t="n">
        <v>0</v>
      </c>
      <c r="I790" s="34" t="n">
        <f aca="false">+IF(E790=0,0,E790*0.03)</f>
        <v>0</v>
      </c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customFormat="false" ht="16.4" hidden="false" customHeight="false" outlineLevel="0" collapsed="false">
      <c r="A791" s="123" t="n">
        <v>45444</v>
      </c>
      <c r="B791" s="31" t="s">
        <v>153</v>
      </c>
      <c r="C791" s="129"/>
      <c r="D791" s="129"/>
      <c r="E791" s="19" t="n">
        <f aca="false">F791*0.03</f>
        <v>0</v>
      </c>
      <c r="F791" s="33" t="n">
        <v>0</v>
      </c>
      <c r="G791" s="131"/>
      <c r="H791" s="35" t="n">
        <v>0</v>
      </c>
      <c r="I791" s="34" t="n">
        <f aca="false">+IF(E791=0,0,E791*0.03)</f>
        <v>0</v>
      </c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customFormat="false" ht="16.4" hidden="false" customHeight="false" outlineLevel="0" collapsed="false">
      <c r="A792" s="123" t="n">
        <v>45444</v>
      </c>
      <c r="B792" s="31" t="s">
        <v>153</v>
      </c>
      <c r="C792" s="129"/>
      <c r="D792" s="129"/>
      <c r="E792" s="19" t="n">
        <f aca="false">F792*0.03</f>
        <v>0</v>
      </c>
      <c r="F792" s="33" t="n">
        <v>0</v>
      </c>
      <c r="G792" s="131"/>
      <c r="H792" s="35" t="n">
        <v>0</v>
      </c>
      <c r="I792" s="34" t="n">
        <f aca="false">+IF(E792=0,0,E792*0.03)</f>
        <v>0</v>
      </c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customFormat="false" ht="16.4" hidden="false" customHeight="false" outlineLevel="0" collapsed="false">
      <c r="A793" s="123" t="n">
        <v>45444</v>
      </c>
      <c r="B793" s="31" t="s">
        <v>153</v>
      </c>
      <c r="C793" s="129"/>
      <c r="D793" s="129"/>
      <c r="E793" s="19" t="n">
        <f aca="false">F793*0.03</f>
        <v>0</v>
      </c>
      <c r="F793" s="33" t="n">
        <v>0</v>
      </c>
      <c r="G793" s="131"/>
      <c r="H793" s="35" t="n">
        <v>0</v>
      </c>
      <c r="I793" s="34" t="n">
        <f aca="false">+IF(E793=0,0,E793*0.03)</f>
        <v>0</v>
      </c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customFormat="false" ht="16.4" hidden="false" customHeight="false" outlineLevel="0" collapsed="false">
      <c r="A794" s="123" t="n">
        <v>45444</v>
      </c>
      <c r="B794" s="31" t="s">
        <v>153</v>
      </c>
      <c r="C794" s="129"/>
      <c r="D794" s="129"/>
      <c r="E794" s="19" t="n">
        <f aca="false">F794*0.03</f>
        <v>0</v>
      </c>
      <c r="F794" s="33" t="n">
        <v>0</v>
      </c>
      <c r="G794" s="131"/>
      <c r="H794" s="35" t="n">
        <v>0</v>
      </c>
      <c r="I794" s="34" t="n">
        <f aca="false">+IF(E794=0,0,E794*0.03)</f>
        <v>0</v>
      </c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customFormat="false" ht="16.4" hidden="false" customHeight="false" outlineLevel="0" collapsed="false">
      <c r="A795" s="123" t="n">
        <v>45444</v>
      </c>
      <c r="B795" s="31" t="s">
        <v>153</v>
      </c>
      <c r="C795" s="129"/>
      <c r="D795" s="129"/>
      <c r="E795" s="19" t="n">
        <f aca="false">F795*0.03</f>
        <v>0</v>
      </c>
      <c r="F795" s="33" t="n">
        <v>0</v>
      </c>
      <c r="G795" s="131"/>
      <c r="H795" s="35" t="n">
        <v>0</v>
      </c>
      <c r="I795" s="34" t="n">
        <f aca="false">+IF(E795=0,0,E795*0.03)</f>
        <v>0</v>
      </c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customFormat="false" ht="16.4" hidden="false" customHeight="false" outlineLevel="0" collapsed="false">
      <c r="A796" s="123" t="n">
        <v>45444</v>
      </c>
      <c r="B796" s="31" t="s">
        <v>153</v>
      </c>
      <c r="C796" s="129"/>
      <c r="D796" s="129"/>
      <c r="E796" s="19" t="n">
        <f aca="false">F796*0.03</f>
        <v>0</v>
      </c>
      <c r="F796" s="33" t="n">
        <v>0</v>
      </c>
      <c r="G796" s="131"/>
      <c r="H796" s="35" t="n">
        <v>0</v>
      </c>
      <c r="I796" s="34" t="n">
        <f aca="false">+IF(E796=0,0,E796*0.03)</f>
        <v>0</v>
      </c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customFormat="false" ht="16.4" hidden="false" customHeight="false" outlineLevel="0" collapsed="false">
      <c r="A797" s="123" t="n">
        <v>45444</v>
      </c>
      <c r="B797" s="31" t="s">
        <v>153</v>
      </c>
      <c r="C797" s="129"/>
      <c r="D797" s="129"/>
      <c r="E797" s="19" t="n">
        <f aca="false">F797*0.03</f>
        <v>0</v>
      </c>
      <c r="F797" s="33" t="n">
        <v>0</v>
      </c>
      <c r="G797" s="131"/>
      <c r="H797" s="35" t="n">
        <v>0</v>
      </c>
      <c r="I797" s="34" t="n">
        <f aca="false">+IF(E797=0,0,E797*0.03)</f>
        <v>0</v>
      </c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customFormat="false" ht="16.4" hidden="false" customHeight="false" outlineLevel="0" collapsed="false">
      <c r="A798" s="123" t="n">
        <v>45444</v>
      </c>
      <c r="B798" s="31" t="s">
        <v>153</v>
      </c>
      <c r="C798" s="129"/>
      <c r="D798" s="129"/>
      <c r="E798" s="19" t="n">
        <f aca="false">F798*0.03</f>
        <v>0</v>
      </c>
      <c r="F798" s="33" t="n">
        <v>0</v>
      </c>
      <c r="G798" s="131"/>
      <c r="H798" s="35" t="n">
        <v>0</v>
      </c>
      <c r="I798" s="34" t="n">
        <f aca="false">+IF(E798=0,0,E798*0.03)</f>
        <v>0</v>
      </c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customFormat="false" ht="16.4" hidden="false" customHeight="false" outlineLevel="0" collapsed="false">
      <c r="A799" s="123" t="n">
        <v>45444</v>
      </c>
      <c r="B799" s="31" t="s">
        <v>153</v>
      </c>
      <c r="C799" s="129"/>
      <c r="D799" s="129"/>
      <c r="E799" s="19" t="n">
        <f aca="false">F799*0.03</f>
        <v>0</v>
      </c>
      <c r="F799" s="33" t="n">
        <v>0</v>
      </c>
      <c r="G799" s="131"/>
      <c r="H799" s="35" t="n">
        <v>0</v>
      </c>
      <c r="I799" s="34" t="n">
        <f aca="false">+IF(E799=0,0,E799*0.03)</f>
        <v>0</v>
      </c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customFormat="false" ht="16.4" hidden="false" customHeight="false" outlineLevel="0" collapsed="false">
      <c r="A800" s="123" t="n">
        <v>45444</v>
      </c>
      <c r="B800" s="31" t="s">
        <v>153</v>
      </c>
      <c r="C800" s="129"/>
      <c r="D800" s="129"/>
      <c r="E800" s="19" t="n">
        <f aca="false">F800*0.03</f>
        <v>0</v>
      </c>
      <c r="F800" s="33" t="n">
        <v>0</v>
      </c>
      <c r="G800" s="131"/>
      <c r="H800" s="35" t="n">
        <v>0</v>
      </c>
      <c r="I800" s="34" t="n">
        <f aca="false">+IF(E800=0,0,E800*0.03)</f>
        <v>0</v>
      </c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customFormat="false" ht="16.4" hidden="false" customHeight="false" outlineLevel="0" collapsed="false">
      <c r="A801" s="123" t="n">
        <v>45444</v>
      </c>
      <c r="B801" s="31" t="s">
        <v>153</v>
      </c>
      <c r="C801" s="129"/>
      <c r="D801" s="129"/>
      <c r="E801" s="19" t="n">
        <f aca="false">F801*0.03</f>
        <v>0</v>
      </c>
      <c r="F801" s="33" t="n">
        <v>0</v>
      </c>
      <c r="G801" s="131"/>
      <c r="H801" s="35" t="n">
        <v>0</v>
      </c>
      <c r="I801" s="34" t="n">
        <f aca="false">+IF(E801=0,0,E801*0.03)</f>
        <v>0</v>
      </c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customFormat="false" ht="16.4" hidden="false" customHeight="false" outlineLevel="0" collapsed="false">
      <c r="A802" s="123" t="n">
        <v>45444</v>
      </c>
      <c r="B802" s="31" t="s">
        <v>153</v>
      </c>
      <c r="C802" s="129"/>
      <c r="D802" s="129"/>
      <c r="E802" s="19" t="n">
        <f aca="false">F802*0.03</f>
        <v>0</v>
      </c>
      <c r="F802" s="33" t="n">
        <v>0</v>
      </c>
      <c r="G802" s="131"/>
      <c r="H802" s="35" t="n">
        <v>0</v>
      </c>
      <c r="I802" s="34" t="n">
        <f aca="false">+IF(E802=0,0,E802*0.03)</f>
        <v>0</v>
      </c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customFormat="false" ht="16.4" hidden="false" customHeight="false" outlineLevel="0" collapsed="false">
      <c r="A803" s="123" t="n">
        <v>45444</v>
      </c>
      <c r="B803" s="31" t="s">
        <v>153</v>
      </c>
      <c r="C803" s="129"/>
      <c r="D803" s="129"/>
      <c r="E803" s="19" t="n">
        <f aca="false">F803*0.03</f>
        <v>0</v>
      </c>
      <c r="F803" s="33" t="n">
        <v>0</v>
      </c>
      <c r="G803" s="131"/>
      <c r="H803" s="35" t="n">
        <v>0</v>
      </c>
      <c r="I803" s="34" t="n">
        <f aca="false">+IF(E803=0,0,E803*0.03)</f>
        <v>0</v>
      </c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customFormat="false" ht="16.4" hidden="false" customHeight="false" outlineLevel="0" collapsed="false">
      <c r="A804" s="123" t="n">
        <v>45444</v>
      </c>
      <c r="B804" s="31" t="s">
        <v>153</v>
      </c>
      <c r="C804" s="129"/>
      <c r="D804" s="129"/>
      <c r="E804" s="19" t="n">
        <f aca="false">F804*0.03</f>
        <v>0</v>
      </c>
      <c r="F804" s="33" t="n">
        <v>0</v>
      </c>
      <c r="G804" s="131"/>
      <c r="H804" s="35" t="n">
        <v>0</v>
      </c>
      <c r="I804" s="34" t="n">
        <f aca="false">+IF(E804=0,0,E804*0.03)</f>
        <v>0</v>
      </c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customFormat="false" ht="16.4" hidden="false" customHeight="false" outlineLevel="0" collapsed="false">
      <c r="A805" s="123" t="n">
        <v>45444</v>
      </c>
      <c r="B805" s="31" t="s">
        <v>153</v>
      </c>
      <c r="C805" s="129"/>
      <c r="D805" s="129"/>
      <c r="E805" s="19" t="n">
        <f aca="false">F805*0.03</f>
        <v>0</v>
      </c>
      <c r="F805" s="33" t="n">
        <v>0</v>
      </c>
      <c r="G805" s="131"/>
      <c r="H805" s="35" t="n">
        <v>0</v>
      </c>
      <c r="I805" s="34" t="n">
        <f aca="false">+IF(E805=0,0,E805*0.03)</f>
        <v>0</v>
      </c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customFormat="false" ht="16.4" hidden="false" customHeight="false" outlineLevel="0" collapsed="false">
      <c r="A806" s="123" t="n">
        <v>45444</v>
      </c>
      <c r="B806" s="31" t="s">
        <v>153</v>
      </c>
      <c r="C806" s="129"/>
      <c r="D806" s="129"/>
      <c r="E806" s="19" t="n">
        <f aca="false">F806*0.03</f>
        <v>0</v>
      </c>
      <c r="F806" s="33" t="n">
        <v>0</v>
      </c>
      <c r="G806" s="131"/>
      <c r="H806" s="35" t="n">
        <v>0</v>
      </c>
      <c r="I806" s="34" t="n">
        <f aca="false">+IF(E806=0,0,E806*0.03)</f>
        <v>0</v>
      </c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customFormat="false" ht="16.4" hidden="false" customHeight="false" outlineLevel="0" collapsed="false">
      <c r="A807" s="123" t="n">
        <v>45444</v>
      </c>
      <c r="B807" s="31" t="s">
        <v>153</v>
      </c>
      <c r="C807" s="129"/>
      <c r="D807" s="129"/>
      <c r="E807" s="19" t="n">
        <f aca="false">F807*0.03</f>
        <v>0</v>
      </c>
      <c r="F807" s="33" t="n">
        <v>0</v>
      </c>
      <c r="G807" s="131"/>
      <c r="H807" s="35" t="n">
        <v>0</v>
      </c>
      <c r="I807" s="34" t="n">
        <f aca="false">+IF(E807=0,0,E807*0.03)</f>
        <v>0</v>
      </c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customFormat="false" ht="16.4" hidden="false" customHeight="false" outlineLevel="0" collapsed="false">
      <c r="A808" s="123" t="n">
        <v>45444</v>
      </c>
      <c r="B808" s="31" t="s">
        <v>153</v>
      </c>
      <c r="C808" s="129"/>
      <c r="D808" s="129"/>
      <c r="E808" s="19" t="n">
        <f aca="false">F808*0.03</f>
        <v>0</v>
      </c>
      <c r="F808" s="33" t="n">
        <v>0</v>
      </c>
      <c r="G808" s="131"/>
      <c r="H808" s="35" t="n">
        <v>0</v>
      </c>
      <c r="I808" s="34" t="n">
        <f aca="false">+IF(E808=0,0,E808*0.03)</f>
        <v>0</v>
      </c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customFormat="false" ht="16.4" hidden="false" customHeight="false" outlineLevel="0" collapsed="false">
      <c r="A809" s="123" t="n">
        <v>45444</v>
      </c>
      <c r="B809" s="31" t="s">
        <v>153</v>
      </c>
      <c r="C809" s="129"/>
      <c r="D809" s="129"/>
      <c r="E809" s="19" t="n">
        <f aca="false">F809*0.03</f>
        <v>0</v>
      </c>
      <c r="F809" s="33" t="n">
        <v>0</v>
      </c>
      <c r="G809" s="131"/>
      <c r="H809" s="35" t="n">
        <v>0</v>
      </c>
      <c r="I809" s="34" t="n">
        <f aca="false">+IF(E809=0,0,E809*0.03)</f>
        <v>0</v>
      </c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customFormat="false" ht="16.4" hidden="false" customHeight="false" outlineLevel="0" collapsed="false">
      <c r="A810" s="123" t="n">
        <v>45444</v>
      </c>
      <c r="B810" s="31" t="s">
        <v>153</v>
      </c>
      <c r="C810" s="129"/>
      <c r="D810" s="129"/>
      <c r="E810" s="19" t="n">
        <f aca="false">F810*0.03</f>
        <v>0</v>
      </c>
      <c r="F810" s="33" t="n">
        <v>0</v>
      </c>
      <c r="G810" s="131"/>
      <c r="H810" s="35" t="n">
        <v>0</v>
      </c>
      <c r="I810" s="34" t="n">
        <f aca="false">+IF(E810=0,0,E810*0.03)</f>
        <v>0</v>
      </c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customFormat="false" ht="16.4" hidden="false" customHeight="false" outlineLevel="0" collapsed="false">
      <c r="A811" s="123" t="n">
        <v>45444</v>
      </c>
      <c r="B811" s="31" t="s">
        <v>153</v>
      </c>
      <c r="C811" s="129"/>
      <c r="D811" s="129"/>
      <c r="E811" s="19" t="n">
        <f aca="false">F811*0.03</f>
        <v>0</v>
      </c>
      <c r="F811" s="33" t="n">
        <v>0</v>
      </c>
      <c r="G811" s="131"/>
      <c r="H811" s="35" t="n">
        <v>0</v>
      </c>
      <c r="I811" s="34" t="n">
        <f aca="false">+IF(E811=0,0,E811*0.03)</f>
        <v>0</v>
      </c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customFormat="false" ht="16.4" hidden="false" customHeight="false" outlineLevel="0" collapsed="false">
      <c r="A812" s="123" t="n">
        <v>45444</v>
      </c>
      <c r="B812" s="31" t="s">
        <v>153</v>
      </c>
      <c r="C812" s="129"/>
      <c r="D812" s="129"/>
      <c r="E812" s="19" t="n">
        <f aca="false">F812*0.03</f>
        <v>0</v>
      </c>
      <c r="F812" s="33" t="n">
        <v>0</v>
      </c>
      <c r="G812" s="131"/>
      <c r="H812" s="35" t="n">
        <v>0</v>
      </c>
      <c r="I812" s="34" t="n">
        <f aca="false">+IF(E812=0,0,E812*0.03)</f>
        <v>0</v>
      </c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customFormat="false" ht="16.4" hidden="false" customHeight="false" outlineLevel="0" collapsed="false">
      <c r="A813" s="123" t="n">
        <v>45444</v>
      </c>
      <c r="B813" s="31" t="s">
        <v>153</v>
      </c>
      <c r="C813" s="129"/>
      <c r="D813" s="129"/>
      <c r="E813" s="19" t="n">
        <f aca="false">F813*0.03</f>
        <v>0</v>
      </c>
      <c r="F813" s="33" t="n">
        <v>0</v>
      </c>
      <c r="G813" s="131"/>
      <c r="H813" s="35" t="n">
        <v>0</v>
      </c>
      <c r="I813" s="34" t="n">
        <f aca="false">+IF(E813=0,0,E813*0.03)</f>
        <v>0</v>
      </c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customFormat="false" ht="16.4" hidden="false" customHeight="false" outlineLevel="0" collapsed="false">
      <c r="A814" s="123" t="n">
        <v>45444</v>
      </c>
      <c r="B814" s="31" t="s">
        <v>153</v>
      </c>
      <c r="C814" s="129"/>
      <c r="D814" s="129"/>
      <c r="E814" s="19" t="n">
        <f aca="false">F814*0.03</f>
        <v>0</v>
      </c>
      <c r="F814" s="33" t="n">
        <v>0</v>
      </c>
      <c r="G814" s="131"/>
      <c r="H814" s="35" t="n">
        <v>0</v>
      </c>
      <c r="I814" s="34" t="n">
        <f aca="false">+IF(E814=0,0,E814*0.03)</f>
        <v>0</v>
      </c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customFormat="false" ht="16.4" hidden="false" customHeight="false" outlineLevel="0" collapsed="false">
      <c r="A815" s="123" t="n">
        <v>45444</v>
      </c>
      <c r="B815" s="31" t="s">
        <v>153</v>
      </c>
      <c r="C815" s="129"/>
      <c r="D815" s="129"/>
      <c r="E815" s="19" t="n">
        <f aca="false">F815*0.03</f>
        <v>0</v>
      </c>
      <c r="F815" s="33" t="n">
        <v>0</v>
      </c>
      <c r="G815" s="131"/>
      <c r="H815" s="35" t="n">
        <v>0</v>
      </c>
      <c r="I815" s="34" t="n">
        <f aca="false">+IF(E815=0,0,E815*0.03)</f>
        <v>0</v>
      </c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customFormat="false" ht="16.4" hidden="false" customHeight="false" outlineLevel="0" collapsed="false">
      <c r="A816" s="123" t="n">
        <v>45444</v>
      </c>
      <c r="B816" s="31" t="s">
        <v>153</v>
      </c>
      <c r="C816" s="129"/>
      <c r="D816" s="129"/>
      <c r="E816" s="19" t="n">
        <f aca="false">F816*0.03</f>
        <v>0</v>
      </c>
      <c r="F816" s="33" t="n">
        <v>0</v>
      </c>
      <c r="G816" s="131"/>
      <c r="H816" s="35" t="n">
        <v>0</v>
      </c>
      <c r="I816" s="34" t="n">
        <f aca="false">+IF(E816=0,0,E816*0.03)</f>
        <v>0</v>
      </c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customFormat="false" ht="16.4" hidden="false" customHeight="false" outlineLevel="0" collapsed="false">
      <c r="A817" s="123" t="n">
        <v>45444</v>
      </c>
      <c r="B817" s="31" t="s">
        <v>153</v>
      </c>
      <c r="C817" s="129"/>
      <c r="D817" s="129"/>
      <c r="E817" s="19" t="n">
        <f aca="false">F817*0.03</f>
        <v>0</v>
      </c>
      <c r="F817" s="33" t="n">
        <v>0</v>
      </c>
      <c r="G817" s="131"/>
      <c r="H817" s="35" t="n">
        <v>0</v>
      </c>
      <c r="I817" s="34" t="n">
        <f aca="false">+IF(E817=0,0,E817*0.03)</f>
        <v>0</v>
      </c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customFormat="false" ht="16.4" hidden="false" customHeight="false" outlineLevel="0" collapsed="false">
      <c r="A818" s="123" t="n">
        <v>45444</v>
      </c>
      <c r="B818" s="31" t="s">
        <v>153</v>
      </c>
      <c r="C818" s="129"/>
      <c r="D818" s="129"/>
      <c r="E818" s="19" t="n">
        <f aca="false">F818*0.03</f>
        <v>0</v>
      </c>
      <c r="F818" s="33" t="n">
        <v>0</v>
      </c>
      <c r="G818" s="131"/>
      <c r="H818" s="35" t="n">
        <v>0</v>
      </c>
      <c r="I818" s="34" t="n">
        <f aca="false">+IF(E818=0,0,E818*0.03)</f>
        <v>0</v>
      </c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customFormat="false" ht="16.4" hidden="false" customHeight="false" outlineLevel="0" collapsed="false">
      <c r="A819" s="123" t="n">
        <v>45444</v>
      </c>
      <c r="B819" s="31" t="s">
        <v>153</v>
      </c>
      <c r="C819" s="129"/>
      <c r="D819" s="129"/>
      <c r="E819" s="19" t="n">
        <f aca="false">F819*0.03</f>
        <v>0</v>
      </c>
      <c r="F819" s="33" t="n">
        <v>0</v>
      </c>
      <c r="G819" s="131"/>
      <c r="H819" s="35" t="n">
        <v>0</v>
      </c>
      <c r="I819" s="34" t="n">
        <f aca="false">+IF(E819=0,0,E819*0.03)</f>
        <v>0</v>
      </c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customFormat="false" ht="16.4" hidden="false" customHeight="false" outlineLevel="0" collapsed="false">
      <c r="A820" s="123" t="n">
        <v>45444</v>
      </c>
      <c r="B820" s="31" t="s">
        <v>153</v>
      </c>
      <c r="C820" s="129"/>
      <c r="D820" s="129"/>
      <c r="E820" s="19" t="n">
        <f aca="false">F820*0.03</f>
        <v>0</v>
      </c>
      <c r="F820" s="33" t="n">
        <v>0</v>
      </c>
      <c r="G820" s="131"/>
      <c r="H820" s="35" t="n">
        <v>0</v>
      </c>
      <c r="I820" s="34" t="n">
        <f aca="false">+IF(E820=0,0,E820*0.03)</f>
        <v>0</v>
      </c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customFormat="false" ht="16.4" hidden="false" customHeight="false" outlineLevel="0" collapsed="false">
      <c r="A821" s="123" t="n">
        <v>45444</v>
      </c>
      <c r="B821" s="31" t="s">
        <v>153</v>
      </c>
      <c r="C821" s="129"/>
      <c r="D821" s="129"/>
      <c r="E821" s="19" t="n">
        <f aca="false">F821*0.03</f>
        <v>0</v>
      </c>
      <c r="F821" s="33" t="n">
        <v>0</v>
      </c>
      <c r="G821" s="131"/>
      <c r="H821" s="35" t="n">
        <v>0</v>
      </c>
      <c r="I821" s="34" t="n">
        <f aca="false">+IF(E821=0,0,E821*0.03)</f>
        <v>0</v>
      </c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customFormat="false" ht="16.4" hidden="false" customHeight="false" outlineLevel="0" collapsed="false">
      <c r="A822" s="123" t="n">
        <v>45444</v>
      </c>
      <c r="B822" s="31" t="s">
        <v>153</v>
      </c>
      <c r="C822" s="129"/>
      <c r="D822" s="129"/>
      <c r="E822" s="19" t="n">
        <f aca="false">F822*0.03</f>
        <v>0</v>
      </c>
      <c r="F822" s="33" t="n">
        <v>0</v>
      </c>
      <c r="G822" s="131"/>
      <c r="H822" s="35" t="n">
        <v>0</v>
      </c>
      <c r="I822" s="34" t="n">
        <f aca="false">+IF(E822=0,0,E822*0.03)</f>
        <v>0</v>
      </c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customFormat="false" ht="16.4" hidden="false" customHeight="false" outlineLevel="0" collapsed="false">
      <c r="A823" s="123" t="n">
        <v>45444</v>
      </c>
      <c r="B823" s="31" t="s">
        <v>153</v>
      </c>
      <c r="C823" s="129"/>
      <c r="D823" s="129"/>
      <c r="E823" s="19" t="n">
        <f aca="false">F823*0.03</f>
        <v>0</v>
      </c>
      <c r="F823" s="33" t="n">
        <v>0</v>
      </c>
      <c r="G823" s="131"/>
      <c r="H823" s="35" t="n">
        <v>0</v>
      </c>
      <c r="I823" s="34" t="n">
        <f aca="false">+IF(E823=0,0,E823*0.03)</f>
        <v>0</v>
      </c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customFormat="false" ht="16.4" hidden="false" customHeight="false" outlineLevel="0" collapsed="false">
      <c r="A824" s="123" t="n">
        <v>45444</v>
      </c>
      <c r="B824" s="31" t="s">
        <v>153</v>
      </c>
      <c r="C824" s="129"/>
      <c r="D824" s="129"/>
      <c r="E824" s="19" t="n">
        <f aca="false">F824*0.03</f>
        <v>0</v>
      </c>
      <c r="F824" s="33" t="n">
        <v>0</v>
      </c>
      <c r="G824" s="131"/>
      <c r="H824" s="35" t="n">
        <v>0</v>
      </c>
      <c r="I824" s="34" t="n">
        <f aca="false">+IF(E824=0,0,E824*0.03)</f>
        <v>0</v>
      </c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customFormat="false" ht="16.4" hidden="false" customHeight="false" outlineLevel="0" collapsed="false">
      <c r="A825" s="123" t="n">
        <v>45444</v>
      </c>
      <c r="B825" s="31" t="s">
        <v>153</v>
      </c>
      <c r="C825" s="129"/>
      <c r="D825" s="129"/>
      <c r="E825" s="19" t="n">
        <f aca="false">F825*0.03</f>
        <v>0</v>
      </c>
      <c r="F825" s="33" t="n">
        <v>0</v>
      </c>
      <c r="G825" s="131"/>
      <c r="H825" s="35" t="n">
        <v>0</v>
      </c>
      <c r="I825" s="34" t="n">
        <f aca="false">+IF(E825=0,0,E825*0.03)</f>
        <v>0</v>
      </c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customFormat="false" ht="16.4" hidden="false" customHeight="false" outlineLevel="0" collapsed="false">
      <c r="A826" s="123" t="n">
        <v>45444</v>
      </c>
      <c r="B826" s="31" t="s">
        <v>153</v>
      </c>
      <c r="C826" s="129"/>
      <c r="D826" s="129"/>
      <c r="E826" s="19" t="n">
        <f aca="false">F826*0.03</f>
        <v>0</v>
      </c>
      <c r="F826" s="33" t="n">
        <v>0</v>
      </c>
      <c r="G826" s="131"/>
      <c r="H826" s="35" t="n">
        <v>0</v>
      </c>
      <c r="I826" s="34" t="n">
        <f aca="false">+IF(E826=0,0,E826*0.03)</f>
        <v>0</v>
      </c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customFormat="false" ht="16.4" hidden="false" customHeight="false" outlineLevel="0" collapsed="false">
      <c r="A827" s="123" t="n">
        <v>45444</v>
      </c>
      <c r="B827" s="31" t="s">
        <v>153</v>
      </c>
      <c r="C827" s="129"/>
      <c r="D827" s="129"/>
      <c r="E827" s="19" t="n">
        <f aca="false">F827*0.03</f>
        <v>0</v>
      </c>
      <c r="F827" s="33" t="n">
        <v>0</v>
      </c>
      <c r="G827" s="131"/>
      <c r="H827" s="35" t="n">
        <v>0</v>
      </c>
      <c r="I827" s="34" t="n">
        <f aca="false">+IF(E827=0,0,E827*0.03)</f>
        <v>0</v>
      </c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customFormat="false" ht="16.4" hidden="false" customHeight="false" outlineLevel="0" collapsed="false">
      <c r="A828" s="123" t="n">
        <v>45444</v>
      </c>
      <c r="B828" s="31" t="s">
        <v>153</v>
      </c>
      <c r="C828" s="129"/>
      <c r="D828" s="129"/>
      <c r="E828" s="19" t="n">
        <f aca="false">F828*0.03</f>
        <v>0</v>
      </c>
      <c r="F828" s="33" t="n">
        <v>0</v>
      </c>
      <c r="G828" s="131"/>
      <c r="H828" s="35" t="n">
        <v>0</v>
      </c>
      <c r="I828" s="34" t="n">
        <f aca="false">+IF(E828=0,0,E828*0.03)</f>
        <v>0</v>
      </c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customFormat="false" ht="16.4" hidden="false" customHeight="false" outlineLevel="0" collapsed="false">
      <c r="A829" s="123" t="n">
        <v>45444</v>
      </c>
      <c r="B829" s="31" t="s">
        <v>153</v>
      </c>
      <c r="C829" s="129"/>
      <c r="D829" s="129"/>
      <c r="E829" s="19" t="n">
        <f aca="false">F829*0.03</f>
        <v>0</v>
      </c>
      <c r="F829" s="33" t="n">
        <v>0</v>
      </c>
      <c r="G829" s="131"/>
      <c r="H829" s="35" t="n">
        <v>0</v>
      </c>
      <c r="I829" s="34" t="n">
        <f aca="false">+IF(E829=0,0,E829*0.03)</f>
        <v>0</v>
      </c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customFormat="false" ht="16.4" hidden="false" customHeight="false" outlineLevel="0" collapsed="false">
      <c r="A830" s="123" t="n">
        <v>45444</v>
      </c>
      <c r="B830" s="31" t="s">
        <v>153</v>
      </c>
      <c r="C830" s="129"/>
      <c r="D830" s="129"/>
      <c r="E830" s="19" t="n">
        <f aca="false">F830*0.03</f>
        <v>0</v>
      </c>
      <c r="F830" s="33" t="n">
        <v>0</v>
      </c>
      <c r="G830" s="131"/>
      <c r="H830" s="35" t="n">
        <v>0</v>
      </c>
      <c r="I830" s="34" t="n">
        <f aca="false">+IF(E830=0,0,E830*0.03)</f>
        <v>0</v>
      </c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customFormat="false" ht="16.4" hidden="false" customHeight="false" outlineLevel="0" collapsed="false">
      <c r="A831" s="123" t="n">
        <v>45444</v>
      </c>
      <c r="B831" s="31" t="s">
        <v>153</v>
      </c>
      <c r="C831" s="129"/>
      <c r="D831" s="129"/>
      <c r="E831" s="19" t="n">
        <f aca="false">F831*0.03</f>
        <v>0</v>
      </c>
      <c r="F831" s="33" t="n">
        <v>0</v>
      </c>
      <c r="G831" s="131"/>
      <c r="H831" s="35" t="n">
        <v>0</v>
      </c>
      <c r="I831" s="34" t="n">
        <f aca="false">+IF(E831=0,0,E831*0.03)</f>
        <v>0</v>
      </c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customFormat="false" ht="16.4" hidden="false" customHeight="false" outlineLevel="0" collapsed="false">
      <c r="A832" s="123" t="n">
        <v>45444</v>
      </c>
      <c r="B832" s="31" t="s">
        <v>153</v>
      </c>
      <c r="C832" s="129"/>
      <c r="D832" s="129"/>
      <c r="E832" s="19" t="n">
        <f aca="false">F832*0.03</f>
        <v>0</v>
      </c>
      <c r="F832" s="33" t="n">
        <v>0</v>
      </c>
      <c r="G832" s="131"/>
      <c r="H832" s="35" t="n">
        <v>0</v>
      </c>
      <c r="I832" s="34" t="n">
        <f aca="false">+IF(E832=0,0,E832*0.03)</f>
        <v>0</v>
      </c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customFormat="false" ht="16.4" hidden="false" customHeight="false" outlineLevel="0" collapsed="false">
      <c r="A833" s="123" t="n">
        <v>45444</v>
      </c>
      <c r="B833" s="31" t="s">
        <v>153</v>
      </c>
      <c r="C833" s="129"/>
      <c r="D833" s="129"/>
      <c r="E833" s="19" t="n">
        <f aca="false">F833*0.03</f>
        <v>0</v>
      </c>
      <c r="F833" s="33" t="n">
        <v>0</v>
      </c>
      <c r="G833" s="131"/>
      <c r="H833" s="35" t="n">
        <v>0</v>
      </c>
      <c r="I833" s="34" t="n">
        <f aca="false">+IF(E833=0,0,E833*0.03)</f>
        <v>0</v>
      </c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customFormat="false" ht="16.4" hidden="false" customHeight="false" outlineLevel="0" collapsed="false">
      <c r="A834" s="123" t="n">
        <v>45444</v>
      </c>
      <c r="B834" s="31" t="s">
        <v>153</v>
      </c>
      <c r="C834" s="129"/>
      <c r="D834" s="129"/>
      <c r="E834" s="19" t="n">
        <f aca="false">F834*0.03</f>
        <v>0</v>
      </c>
      <c r="F834" s="33" t="n">
        <v>0</v>
      </c>
      <c r="G834" s="131"/>
      <c r="H834" s="35" t="n">
        <v>0</v>
      </c>
      <c r="I834" s="34" t="n">
        <f aca="false">+IF(E834=0,0,E834*0.03)</f>
        <v>0</v>
      </c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customFormat="false" ht="16.4" hidden="false" customHeight="false" outlineLevel="0" collapsed="false">
      <c r="A835" s="123" t="n">
        <v>45444</v>
      </c>
      <c r="B835" s="31" t="s">
        <v>153</v>
      </c>
      <c r="C835" s="129"/>
      <c r="D835" s="129"/>
      <c r="E835" s="19" t="n">
        <f aca="false">F835*0.03</f>
        <v>0</v>
      </c>
      <c r="F835" s="33" t="n">
        <v>0</v>
      </c>
      <c r="G835" s="131"/>
      <c r="H835" s="35" t="n">
        <v>0</v>
      </c>
      <c r="I835" s="34" t="n">
        <f aca="false">+IF(E835=0,0,E835*0.03)</f>
        <v>0</v>
      </c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customFormat="false" ht="16.4" hidden="false" customHeight="false" outlineLevel="0" collapsed="false">
      <c r="A836" s="123" t="n">
        <v>45444</v>
      </c>
      <c r="B836" s="31" t="s">
        <v>153</v>
      </c>
      <c r="C836" s="129"/>
      <c r="D836" s="129"/>
      <c r="E836" s="19" t="n">
        <f aca="false">F836*0.03</f>
        <v>0</v>
      </c>
      <c r="F836" s="33" t="n">
        <v>0</v>
      </c>
      <c r="G836" s="131"/>
      <c r="H836" s="35" t="n">
        <v>0</v>
      </c>
      <c r="I836" s="34" t="n">
        <f aca="false">+IF(E836=0,0,E836*0.03)</f>
        <v>0</v>
      </c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customFormat="false" ht="16.4" hidden="false" customHeight="false" outlineLevel="0" collapsed="false">
      <c r="A837" s="123" t="n">
        <v>45444</v>
      </c>
      <c r="B837" s="31" t="s">
        <v>153</v>
      </c>
      <c r="C837" s="129"/>
      <c r="D837" s="129"/>
      <c r="E837" s="19" t="n">
        <f aca="false">F837*0.03</f>
        <v>0</v>
      </c>
      <c r="F837" s="33" t="n">
        <v>0</v>
      </c>
      <c r="G837" s="131"/>
      <c r="H837" s="35" t="n">
        <v>0</v>
      </c>
      <c r="I837" s="34" t="n">
        <f aca="false">+IF(E837=0,0,E837*0.03)</f>
        <v>0</v>
      </c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customFormat="false" ht="16.4" hidden="false" customHeight="false" outlineLevel="0" collapsed="false">
      <c r="A838" s="123" t="n">
        <v>45444</v>
      </c>
      <c r="B838" s="31" t="s">
        <v>153</v>
      </c>
      <c r="C838" s="129"/>
      <c r="D838" s="129"/>
      <c r="E838" s="19" t="n">
        <f aca="false">F838*0.03</f>
        <v>0</v>
      </c>
      <c r="F838" s="33" t="n">
        <v>0</v>
      </c>
      <c r="G838" s="131"/>
      <c r="H838" s="35" t="n">
        <v>0</v>
      </c>
      <c r="I838" s="34" t="n">
        <f aca="false">+IF(E838=0,0,E838*0.03)</f>
        <v>0</v>
      </c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customFormat="false" ht="16.4" hidden="false" customHeight="false" outlineLevel="0" collapsed="false">
      <c r="A839" s="123" t="n">
        <v>45444</v>
      </c>
      <c r="B839" s="31" t="s">
        <v>153</v>
      </c>
      <c r="C839" s="129"/>
      <c r="D839" s="129"/>
      <c r="E839" s="19" t="n">
        <f aca="false">F839*0.03</f>
        <v>0</v>
      </c>
      <c r="F839" s="33" t="n">
        <v>0</v>
      </c>
      <c r="G839" s="131"/>
      <c r="H839" s="35" t="n">
        <v>0</v>
      </c>
      <c r="I839" s="34" t="n">
        <f aca="false">+IF(E839=0,0,E839*0.03)</f>
        <v>0</v>
      </c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customFormat="false" ht="16.4" hidden="false" customHeight="false" outlineLevel="0" collapsed="false">
      <c r="A840" s="123" t="n">
        <v>45444</v>
      </c>
      <c r="B840" s="31" t="s">
        <v>153</v>
      </c>
      <c r="C840" s="129"/>
      <c r="D840" s="129"/>
      <c r="E840" s="19" t="n">
        <f aca="false">F840*0.03</f>
        <v>0</v>
      </c>
      <c r="F840" s="33" t="n">
        <v>0</v>
      </c>
      <c r="G840" s="131"/>
      <c r="H840" s="35" t="n">
        <v>0</v>
      </c>
      <c r="I840" s="34" t="n">
        <f aca="false">+IF(E840=0,0,E840*0.03)</f>
        <v>0</v>
      </c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customFormat="false" ht="16.4" hidden="false" customHeight="false" outlineLevel="0" collapsed="false">
      <c r="A841" s="123" t="n">
        <v>45444</v>
      </c>
      <c r="B841" s="31" t="s">
        <v>153</v>
      </c>
      <c r="C841" s="129"/>
      <c r="D841" s="129"/>
      <c r="E841" s="19" t="n">
        <f aca="false">F841*0.03</f>
        <v>0</v>
      </c>
      <c r="F841" s="33" t="n">
        <v>0</v>
      </c>
      <c r="G841" s="131"/>
      <c r="H841" s="35" t="n">
        <v>0</v>
      </c>
      <c r="I841" s="34" t="n">
        <f aca="false">+IF(E841=0,0,E841*0.03)</f>
        <v>0</v>
      </c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customFormat="false" ht="16.4" hidden="false" customHeight="false" outlineLevel="0" collapsed="false">
      <c r="A842" s="123" t="n">
        <v>45444</v>
      </c>
      <c r="B842" s="31" t="s">
        <v>153</v>
      </c>
      <c r="C842" s="129"/>
      <c r="D842" s="129"/>
      <c r="E842" s="19" t="n">
        <f aca="false">F842*0.03</f>
        <v>0</v>
      </c>
      <c r="F842" s="33" t="n">
        <v>0</v>
      </c>
      <c r="G842" s="131"/>
      <c r="H842" s="35" t="n">
        <v>0</v>
      </c>
      <c r="I842" s="34" t="n">
        <f aca="false">+IF(E842=0,0,E842*0.03)</f>
        <v>0</v>
      </c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customFormat="false" ht="16.4" hidden="false" customHeight="false" outlineLevel="0" collapsed="false">
      <c r="A843" s="123" t="n">
        <v>45444</v>
      </c>
      <c r="B843" s="31" t="s">
        <v>153</v>
      </c>
      <c r="C843" s="129"/>
      <c r="D843" s="129"/>
      <c r="E843" s="19" t="n">
        <f aca="false">F843*0.03</f>
        <v>0</v>
      </c>
      <c r="F843" s="33" t="n">
        <v>0</v>
      </c>
      <c r="G843" s="131"/>
      <c r="H843" s="35" t="n">
        <v>0</v>
      </c>
      <c r="I843" s="34" t="n">
        <f aca="false">+IF(E843=0,0,E843*0.03)</f>
        <v>0</v>
      </c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customFormat="false" ht="16.4" hidden="false" customHeight="false" outlineLevel="0" collapsed="false">
      <c r="A844" s="123" t="n">
        <v>45444</v>
      </c>
      <c r="B844" s="31" t="s">
        <v>153</v>
      </c>
      <c r="C844" s="129"/>
      <c r="D844" s="129"/>
      <c r="E844" s="19" t="n">
        <f aca="false">F844*0.03</f>
        <v>0</v>
      </c>
      <c r="F844" s="33" t="n">
        <v>0</v>
      </c>
      <c r="G844" s="131"/>
      <c r="H844" s="35" t="n">
        <v>0</v>
      </c>
      <c r="I844" s="34" t="n">
        <f aca="false">+IF(E844=0,0,E844*0.03)</f>
        <v>0</v>
      </c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customFormat="false" ht="16.4" hidden="false" customHeight="false" outlineLevel="0" collapsed="false">
      <c r="A845" s="123" t="n">
        <v>45444</v>
      </c>
      <c r="B845" s="31" t="s">
        <v>153</v>
      </c>
      <c r="C845" s="129"/>
      <c r="D845" s="129"/>
      <c r="E845" s="19" t="n">
        <f aca="false">F845*0.03</f>
        <v>0</v>
      </c>
      <c r="F845" s="33" t="n">
        <v>0</v>
      </c>
      <c r="G845" s="131"/>
      <c r="H845" s="35" t="n">
        <v>0</v>
      </c>
      <c r="I845" s="34" t="n">
        <f aca="false">+IF(E845=0,0,E845*0.03)</f>
        <v>0</v>
      </c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customFormat="false" ht="16.4" hidden="false" customHeight="false" outlineLevel="0" collapsed="false">
      <c r="A846" s="123" t="n">
        <v>45444</v>
      </c>
      <c r="B846" s="31" t="s">
        <v>153</v>
      </c>
      <c r="C846" s="129"/>
      <c r="D846" s="129"/>
      <c r="E846" s="19" t="n">
        <f aca="false">F846*0.03</f>
        <v>0</v>
      </c>
      <c r="F846" s="33" t="n">
        <v>0</v>
      </c>
      <c r="G846" s="131"/>
      <c r="H846" s="35" t="n">
        <v>0</v>
      </c>
      <c r="I846" s="34" t="n">
        <f aca="false">+IF(E846=0,0,E846*0.03)</f>
        <v>0</v>
      </c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customFormat="false" ht="16.4" hidden="false" customHeight="false" outlineLevel="0" collapsed="false">
      <c r="A847" s="123" t="n">
        <v>45444</v>
      </c>
      <c r="B847" s="31" t="s">
        <v>153</v>
      </c>
      <c r="C847" s="129"/>
      <c r="D847" s="129"/>
      <c r="E847" s="19" t="n">
        <f aca="false">F847*0.03</f>
        <v>0</v>
      </c>
      <c r="F847" s="33" t="n">
        <v>0</v>
      </c>
      <c r="G847" s="131"/>
      <c r="H847" s="35" t="n">
        <v>0</v>
      </c>
      <c r="I847" s="34" t="n">
        <f aca="false">+IF(E847=0,0,E847*0.03)</f>
        <v>0</v>
      </c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customFormat="false" ht="16.4" hidden="false" customHeight="false" outlineLevel="0" collapsed="false">
      <c r="A848" s="123" t="n">
        <v>45444</v>
      </c>
      <c r="B848" s="31" t="s">
        <v>153</v>
      </c>
      <c r="C848" s="129"/>
      <c r="D848" s="129"/>
      <c r="E848" s="19" t="n">
        <f aca="false">F848*0.03</f>
        <v>0</v>
      </c>
      <c r="F848" s="33" t="n">
        <v>0</v>
      </c>
      <c r="G848" s="131"/>
      <c r="H848" s="35" t="n">
        <v>0</v>
      </c>
      <c r="I848" s="34" t="n">
        <f aca="false">+IF(E848=0,0,E848*0.03)</f>
        <v>0</v>
      </c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customFormat="false" ht="16.4" hidden="false" customHeight="false" outlineLevel="0" collapsed="false">
      <c r="A849" s="123" t="n">
        <v>45444</v>
      </c>
      <c r="B849" s="31" t="s">
        <v>153</v>
      </c>
      <c r="C849" s="129"/>
      <c r="D849" s="129"/>
      <c r="E849" s="19" t="n">
        <f aca="false">F849*0.03</f>
        <v>0</v>
      </c>
      <c r="F849" s="33" t="n">
        <v>0</v>
      </c>
      <c r="G849" s="131"/>
      <c r="H849" s="35" t="n">
        <v>0</v>
      </c>
      <c r="I849" s="34" t="n">
        <f aca="false">+IF(E849=0,0,E849*0.03)</f>
        <v>0</v>
      </c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customFormat="false" ht="16.4" hidden="false" customHeight="false" outlineLevel="0" collapsed="false">
      <c r="A850" s="123" t="n">
        <v>45444</v>
      </c>
      <c r="B850" s="31" t="s">
        <v>153</v>
      </c>
      <c r="C850" s="129"/>
      <c r="D850" s="129"/>
      <c r="E850" s="19" t="n">
        <f aca="false">F850*0.03</f>
        <v>0</v>
      </c>
      <c r="F850" s="33" t="n">
        <v>0</v>
      </c>
      <c r="G850" s="131"/>
      <c r="H850" s="35" t="n">
        <v>0</v>
      </c>
      <c r="I850" s="34" t="n">
        <f aca="false">+IF(E850=0,0,E850*0.03)</f>
        <v>0</v>
      </c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customFormat="false" ht="16.4" hidden="false" customHeight="false" outlineLevel="0" collapsed="false">
      <c r="A851" s="123" t="n">
        <v>45444</v>
      </c>
      <c r="B851" s="31" t="s">
        <v>153</v>
      </c>
      <c r="C851" s="129"/>
      <c r="D851" s="129"/>
      <c r="E851" s="19" t="n">
        <f aca="false">F851*0.03</f>
        <v>0</v>
      </c>
      <c r="F851" s="33" t="n">
        <v>0</v>
      </c>
      <c r="G851" s="131"/>
      <c r="H851" s="35" t="n">
        <v>0</v>
      </c>
      <c r="I851" s="34" t="n">
        <f aca="false">+IF(E851=0,0,E851*0.03)</f>
        <v>0</v>
      </c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customFormat="false" ht="16.4" hidden="false" customHeight="false" outlineLevel="0" collapsed="false">
      <c r="A852" s="123" t="n">
        <v>45444</v>
      </c>
      <c r="B852" s="31" t="s">
        <v>153</v>
      </c>
      <c r="C852" s="129"/>
      <c r="D852" s="129"/>
      <c r="E852" s="19" t="n">
        <f aca="false">F852*0.03</f>
        <v>0</v>
      </c>
      <c r="F852" s="33" t="n">
        <v>0</v>
      </c>
      <c r="G852" s="131"/>
      <c r="H852" s="35" t="n">
        <v>0</v>
      </c>
      <c r="I852" s="34" t="n">
        <f aca="false">+IF(E852=0,0,E852*0.03)</f>
        <v>0</v>
      </c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customFormat="false" ht="16.4" hidden="false" customHeight="false" outlineLevel="0" collapsed="false">
      <c r="A853" s="123" t="n">
        <v>45444</v>
      </c>
      <c r="B853" s="31" t="s">
        <v>153</v>
      </c>
      <c r="C853" s="129"/>
      <c r="D853" s="129"/>
      <c r="E853" s="19" t="n">
        <f aca="false">F853*0.03</f>
        <v>0</v>
      </c>
      <c r="F853" s="33" t="n">
        <v>0</v>
      </c>
      <c r="G853" s="131"/>
      <c r="H853" s="35" t="n">
        <v>0</v>
      </c>
      <c r="I853" s="34" t="n">
        <f aca="false">+IF(E853=0,0,E853*0.03)</f>
        <v>0</v>
      </c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customFormat="false" ht="16.4" hidden="false" customHeight="false" outlineLevel="0" collapsed="false">
      <c r="A854" s="123" t="n">
        <v>45444</v>
      </c>
      <c r="B854" s="31" t="s">
        <v>153</v>
      </c>
      <c r="C854" s="129"/>
      <c r="D854" s="129"/>
      <c r="E854" s="19" t="n">
        <f aca="false">F854*0.03</f>
        <v>0</v>
      </c>
      <c r="F854" s="33" t="n">
        <v>0</v>
      </c>
      <c r="G854" s="131"/>
      <c r="H854" s="35" t="n">
        <v>0</v>
      </c>
      <c r="I854" s="34" t="n">
        <f aca="false">+IF(E854=0,0,E854*0.03)</f>
        <v>0</v>
      </c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customFormat="false" ht="16.4" hidden="false" customHeight="false" outlineLevel="0" collapsed="false">
      <c r="A855" s="123" t="n">
        <v>45444</v>
      </c>
      <c r="B855" s="31" t="s">
        <v>153</v>
      </c>
      <c r="C855" s="129"/>
      <c r="D855" s="129"/>
      <c r="E855" s="19" t="n">
        <f aca="false">F855*0.03</f>
        <v>0</v>
      </c>
      <c r="F855" s="33" t="n">
        <v>0</v>
      </c>
      <c r="G855" s="131"/>
      <c r="H855" s="35" t="n">
        <v>0</v>
      </c>
      <c r="I855" s="34" t="n">
        <f aca="false">+IF(E855=0,0,E855*0.03)</f>
        <v>0</v>
      </c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customFormat="false" ht="16.4" hidden="false" customHeight="false" outlineLevel="0" collapsed="false">
      <c r="A856" s="123" t="n">
        <v>45444</v>
      </c>
      <c r="B856" s="31" t="s">
        <v>153</v>
      </c>
      <c r="C856" s="129"/>
      <c r="D856" s="129"/>
      <c r="E856" s="19" t="n">
        <f aca="false">F856*0.03</f>
        <v>0</v>
      </c>
      <c r="F856" s="33" t="n">
        <v>0</v>
      </c>
      <c r="G856" s="131"/>
      <c r="H856" s="35" t="n">
        <v>0</v>
      </c>
      <c r="I856" s="34" t="n">
        <f aca="false">+IF(E856=0,0,E856*0.03)</f>
        <v>0</v>
      </c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customFormat="false" ht="16.4" hidden="false" customHeight="false" outlineLevel="0" collapsed="false">
      <c r="A857" s="123" t="n">
        <v>45444</v>
      </c>
      <c r="B857" s="31" t="s">
        <v>153</v>
      </c>
      <c r="C857" s="129"/>
      <c r="D857" s="129"/>
      <c r="E857" s="19" t="n">
        <f aca="false">F857*0.03</f>
        <v>0</v>
      </c>
      <c r="F857" s="33" t="n">
        <v>0</v>
      </c>
      <c r="G857" s="131"/>
      <c r="H857" s="35" t="n">
        <v>0</v>
      </c>
      <c r="I857" s="34" t="n">
        <f aca="false">+IF(E857=0,0,E857*0.03)</f>
        <v>0</v>
      </c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customFormat="false" ht="16.4" hidden="false" customHeight="false" outlineLevel="0" collapsed="false">
      <c r="A858" s="123" t="n">
        <v>45444</v>
      </c>
      <c r="B858" s="31" t="s">
        <v>153</v>
      </c>
      <c r="C858" s="129"/>
      <c r="D858" s="129"/>
      <c r="E858" s="19" t="n">
        <f aca="false">F858*0.03</f>
        <v>0</v>
      </c>
      <c r="F858" s="33" t="n">
        <v>0</v>
      </c>
      <c r="G858" s="131"/>
      <c r="H858" s="35" t="n">
        <v>0</v>
      </c>
      <c r="I858" s="34" t="n">
        <f aca="false">+IF(E858=0,0,E858*0.03)</f>
        <v>0</v>
      </c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customFormat="false" ht="16.4" hidden="false" customHeight="false" outlineLevel="0" collapsed="false">
      <c r="A859" s="123" t="n">
        <v>45444</v>
      </c>
      <c r="B859" s="31" t="s">
        <v>153</v>
      </c>
      <c r="C859" s="129"/>
      <c r="D859" s="129"/>
      <c r="E859" s="19" t="n">
        <f aca="false">F859*0.03</f>
        <v>0</v>
      </c>
      <c r="F859" s="33" t="n">
        <v>0</v>
      </c>
      <c r="G859" s="131"/>
      <c r="H859" s="35" t="n">
        <v>0</v>
      </c>
      <c r="I859" s="34" t="n">
        <f aca="false">+IF(E859=0,0,E859*0.03)</f>
        <v>0</v>
      </c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customFormat="false" ht="16.4" hidden="false" customHeight="false" outlineLevel="0" collapsed="false">
      <c r="A860" s="123" t="n">
        <v>45444</v>
      </c>
      <c r="B860" s="31" t="s">
        <v>153</v>
      </c>
      <c r="C860" s="129"/>
      <c r="D860" s="129"/>
      <c r="E860" s="19" t="n">
        <f aca="false">F860*0.03</f>
        <v>0</v>
      </c>
      <c r="F860" s="33" t="n">
        <v>0</v>
      </c>
      <c r="G860" s="131"/>
      <c r="H860" s="35" t="n">
        <v>0</v>
      </c>
      <c r="I860" s="34" t="n">
        <f aca="false">+IF(E860=0,0,E860*0.03)</f>
        <v>0</v>
      </c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customFormat="false" ht="16.4" hidden="false" customHeight="false" outlineLevel="0" collapsed="false">
      <c r="A861" s="123" t="n">
        <v>45444</v>
      </c>
      <c r="B861" s="31" t="s">
        <v>153</v>
      </c>
      <c r="C861" s="129"/>
      <c r="D861" s="129"/>
      <c r="E861" s="19" t="n">
        <f aca="false">F861*0.03</f>
        <v>0</v>
      </c>
      <c r="F861" s="33" t="n">
        <v>0</v>
      </c>
      <c r="G861" s="131"/>
      <c r="H861" s="35" t="n">
        <v>0</v>
      </c>
      <c r="I861" s="34" t="n">
        <f aca="false">+IF(E861=0,0,E861*0.03)</f>
        <v>0</v>
      </c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customFormat="false" ht="16.4" hidden="false" customHeight="false" outlineLevel="0" collapsed="false">
      <c r="A862" s="123" t="n">
        <v>45444</v>
      </c>
      <c r="B862" s="31" t="s">
        <v>153</v>
      </c>
      <c r="C862" s="129"/>
      <c r="D862" s="129"/>
      <c r="E862" s="19" t="n">
        <f aca="false">F862*0.03</f>
        <v>0</v>
      </c>
      <c r="F862" s="33" t="n">
        <v>0</v>
      </c>
      <c r="G862" s="131"/>
      <c r="H862" s="35" t="n">
        <v>0</v>
      </c>
      <c r="I862" s="34" t="n">
        <f aca="false">+IF(E862=0,0,E862*0.03)</f>
        <v>0</v>
      </c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customFormat="false" ht="16.4" hidden="false" customHeight="false" outlineLevel="0" collapsed="false">
      <c r="A863" s="123" t="n">
        <v>45444</v>
      </c>
      <c r="B863" s="31" t="s">
        <v>153</v>
      </c>
      <c r="C863" s="129"/>
      <c r="D863" s="129"/>
      <c r="E863" s="19" t="n">
        <f aca="false">F863*0.03</f>
        <v>0</v>
      </c>
      <c r="F863" s="33" t="n">
        <v>0</v>
      </c>
      <c r="G863" s="131"/>
      <c r="H863" s="35" t="n">
        <v>0</v>
      </c>
      <c r="I863" s="34" t="n">
        <f aca="false">+IF(E863=0,0,E863*0.03)</f>
        <v>0</v>
      </c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customFormat="false" ht="16.4" hidden="false" customHeight="false" outlineLevel="0" collapsed="false">
      <c r="A864" s="123" t="n">
        <v>45444</v>
      </c>
      <c r="B864" s="31" t="s">
        <v>153</v>
      </c>
      <c r="C864" s="129"/>
      <c r="D864" s="129"/>
      <c r="E864" s="19" t="n">
        <f aca="false">F864*0.03</f>
        <v>0</v>
      </c>
      <c r="F864" s="33" t="n">
        <v>0</v>
      </c>
      <c r="G864" s="131"/>
      <c r="H864" s="35" t="n">
        <v>0</v>
      </c>
      <c r="I864" s="34" t="n">
        <f aca="false">+IF(E864=0,0,E864*0.03)</f>
        <v>0</v>
      </c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customFormat="false" ht="16.4" hidden="false" customHeight="false" outlineLevel="0" collapsed="false">
      <c r="A865" s="123" t="n">
        <v>45444</v>
      </c>
      <c r="B865" s="31" t="s">
        <v>153</v>
      </c>
      <c r="C865" s="129"/>
      <c r="D865" s="129"/>
      <c r="E865" s="19" t="n">
        <f aca="false">F865*0.03</f>
        <v>0</v>
      </c>
      <c r="F865" s="33" t="n">
        <v>0</v>
      </c>
      <c r="G865" s="131"/>
      <c r="H865" s="35" t="n">
        <v>0</v>
      </c>
      <c r="I865" s="34" t="n">
        <f aca="false">+IF(E865=0,0,E865*0.03)</f>
        <v>0</v>
      </c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customFormat="false" ht="16.4" hidden="false" customHeight="false" outlineLevel="0" collapsed="false">
      <c r="A866" s="123" t="n">
        <v>45444</v>
      </c>
      <c r="B866" s="31" t="s">
        <v>153</v>
      </c>
      <c r="C866" s="129"/>
      <c r="D866" s="129"/>
      <c r="E866" s="19" t="n">
        <f aca="false">F866*0.03</f>
        <v>0</v>
      </c>
      <c r="F866" s="33" t="n">
        <v>0</v>
      </c>
      <c r="G866" s="131"/>
      <c r="H866" s="35" t="n">
        <v>0</v>
      </c>
      <c r="I866" s="34" t="n">
        <f aca="false">+IF(E866=0,0,E866*0.03)</f>
        <v>0</v>
      </c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customFormat="false" ht="16.4" hidden="false" customHeight="false" outlineLevel="0" collapsed="false">
      <c r="A867" s="123" t="n">
        <v>45444</v>
      </c>
      <c r="B867" s="31" t="s">
        <v>153</v>
      </c>
      <c r="C867" s="129"/>
      <c r="D867" s="129"/>
      <c r="E867" s="19" t="n">
        <f aca="false">F867*0.03</f>
        <v>0</v>
      </c>
      <c r="F867" s="33" t="n">
        <v>0</v>
      </c>
      <c r="G867" s="131"/>
      <c r="H867" s="35" t="n">
        <v>0</v>
      </c>
      <c r="I867" s="34" t="n">
        <f aca="false">+IF(E867=0,0,E867*0.03)</f>
        <v>0</v>
      </c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customFormat="false" ht="16.4" hidden="false" customHeight="false" outlineLevel="0" collapsed="false">
      <c r="A868" s="123" t="n">
        <v>45444</v>
      </c>
      <c r="B868" s="31" t="s">
        <v>153</v>
      </c>
      <c r="C868" s="129"/>
      <c r="D868" s="129"/>
      <c r="E868" s="19" t="n">
        <f aca="false">F868*0.03</f>
        <v>0</v>
      </c>
      <c r="F868" s="33" t="n">
        <v>0</v>
      </c>
      <c r="G868" s="131"/>
      <c r="H868" s="35" t="n">
        <v>0</v>
      </c>
      <c r="I868" s="34" t="n">
        <f aca="false">+IF(E868=0,0,E868*0.03)</f>
        <v>0</v>
      </c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customFormat="false" ht="16.4" hidden="false" customHeight="false" outlineLevel="0" collapsed="false">
      <c r="A869" s="123" t="n">
        <v>45444</v>
      </c>
      <c r="B869" s="31" t="s">
        <v>153</v>
      </c>
      <c r="C869" s="129"/>
      <c r="D869" s="129"/>
      <c r="E869" s="19" t="n">
        <f aca="false">F869*0.03</f>
        <v>0</v>
      </c>
      <c r="F869" s="33" t="n">
        <v>0</v>
      </c>
      <c r="G869" s="131"/>
      <c r="H869" s="35" t="n">
        <v>0</v>
      </c>
      <c r="I869" s="34" t="n">
        <f aca="false">+IF(E869=0,0,E869*0.03)</f>
        <v>0</v>
      </c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customFormat="false" ht="16.4" hidden="false" customHeight="false" outlineLevel="0" collapsed="false">
      <c r="A870" s="123" t="n">
        <v>45444</v>
      </c>
      <c r="B870" s="31" t="s">
        <v>153</v>
      </c>
      <c r="C870" s="129"/>
      <c r="D870" s="129"/>
      <c r="E870" s="19" t="n">
        <f aca="false">F870*0.03</f>
        <v>0</v>
      </c>
      <c r="F870" s="33" t="n">
        <v>0</v>
      </c>
      <c r="G870" s="131"/>
      <c r="H870" s="35" t="n">
        <v>0</v>
      </c>
      <c r="I870" s="34" t="n">
        <f aca="false">+IF(E870=0,0,E870*0.03)</f>
        <v>0</v>
      </c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customFormat="false" ht="16.4" hidden="false" customHeight="false" outlineLevel="0" collapsed="false">
      <c r="A871" s="123" t="n">
        <v>45444</v>
      </c>
      <c r="B871" s="31" t="s">
        <v>153</v>
      </c>
      <c r="C871" s="129"/>
      <c r="D871" s="129"/>
      <c r="E871" s="19" t="n">
        <f aca="false">F871*0.03</f>
        <v>0</v>
      </c>
      <c r="F871" s="33" t="n">
        <v>0</v>
      </c>
      <c r="G871" s="131"/>
      <c r="H871" s="35" t="n">
        <v>0</v>
      </c>
      <c r="I871" s="34" t="n">
        <f aca="false">+IF(E871=0,0,E871*0.03)</f>
        <v>0</v>
      </c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customFormat="false" ht="16.4" hidden="false" customHeight="false" outlineLevel="0" collapsed="false">
      <c r="A872" s="123" t="n">
        <v>45444</v>
      </c>
      <c r="B872" s="31" t="s">
        <v>153</v>
      </c>
      <c r="C872" s="129"/>
      <c r="D872" s="129"/>
      <c r="E872" s="19" t="n">
        <f aca="false">F872*0.03</f>
        <v>0</v>
      </c>
      <c r="F872" s="33" t="n">
        <v>0</v>
      </c>
      <c r="G872" s="131"/>
      <c r="H872" s="35" t="n">
        <v>0</v>
      </c>
      <c r="I872" s="34" t="n">
        <f aca="false">+IF(E872=0,0,E872*0.03)</f>
        <v>0</v>
      </c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customFormat="false" ht="16.4" hidden="false" customHeight="false" outlineLevel="0" collapsed="false">
      <c r="A873" s="123" t="n">
        <v>45444</v>
      </c>
      <c r="B873" s="31" t="s">
        <v>153</v>
      </c>
      <c r="C873" s="129"/>
      <c r="D873" s="129"/>
      <c r="E873" s="19" t="n">
        <f aca="false">F873*0.03</f>
        <v>0</v>
      </c>
      <c r="F873" s="33" t="n">
        <v>0</v>
      </c>
      <c r="G873" s="131"/>
      <c r="H873" s="35" t="n">
        <v>0</v>
      </c>
      <c r="I873" s="34" t="n">
        <f aca="false">+IF(E873=0,0,E873*0.03)</f>
        <v>0</v>
      </c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customFormat="false" ht="16.4" hidden="false" customHeight="false" outlineLevel="0" collapsed="false">
      <c r="A874" s="123" t="n">
        <v>45444</v>
      </c>
      <c r="B874" s="31" t="s">
        <v>153</v>
      </c>
      <c r="C874" s="129"/>
      <c r="D874" s="129"/>
      <c r="E874" s="19" t="n">
        <f aca="false">F874*0.03</f>
        <v>0</v>
      </c>
      <c r="F874" s="33" t="n">
        <v>0</v>
      </c>
      <c r="G874" s="131"/>
      <c r="H874" s="35" t="n">
        <v>0</v>
      </c>
      <c r="I874" s="34" t="n">
        <f aca="false">+IF(E874=0,0,E874*0.03)</f>
        <v>0</v>
      </c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customFormat="false" ht="16.4" hidden="false" customHeight="false" outlineLevel="0" collapsed="false">
      <c r="A875" s="123" t="n">
        <v>45444</v>
      </c>
      <c r="B875" s="31" t="s">
        <v>153</v>
      </c>
      <c r="C875" s="129"/>
      <c r="D875" s="129"/>
      <c r="E875" s="19" t="n">
        <f aca="false">F875*0.03</f>
        <v>0</v>
      </c>
      <c r="F875" s="33" t="n">
        <v>0</v>
      </c>
      <c r="G875" s="131"/>
      <c r="H875" s="35" t="n">
        <v>0</v>
      </c>
      <c r="I875" s="34" t="n">
        <f aca="false">+IF(E875=0,0,E875*0.03)</f>
        <v>0</v>
      </c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customFormat="false" ht="16.4" hidden="false" customHeight="false" outlineLevel="0" collapsed="false">
      <c r="A876" s="123" t="n">
        <v>45444</v>
      </c>
      <c r="B876" s="31" t="s">
        <v>153</v>
      </c>
      <c r="C876" s="129"/>
      <c r="D876" s="129"/>
      <c r="E876" s="19" t="n">
        <f aca="false">F876*0.03</f>
        <v>0</v>
      </c>
      <c r="F876" s="33" t="n">
        <v>0</v>
      </c>
      <c r="G876" s="131"/>
      <c r="H876" s="35" t="n">
        <v>0</v>
      </c>
      <c r="I876" s="34" t="n">
        <f aca="false">+IF(E876=0,0,E876*0.03)</f>
        <v>0</v>
      </c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customFormat="false" ht="16.4" hidden="false" customHeight="false" outlineLevel="0" collapsed="false">
      <c r="A877" s="123" t="n">
        <v>45444</v>
      </c>
      <c r="B877" s="31" t="s">
        <v>153</v>
      </c>
      <c r="C877" s="129"/>
      <c r="D877" s="129"/>
      <c r="E877" s="19" t="n">
        <f aca="false">F877*0.03</f>
        <v>0</v>
      </c>
      <c r="F877" s="33" t="n">
        <v>0</v>
      </c>
      <c r="G877" s="131"/>
      <c r="H877" s="35" t="n">
        <v>0</v>
      </c>
      <c r="I877" s="34" t="n">
        <f aca="false">+IF(E877=0,0,E877*0.03)</f>
        <v>0</v>
      </c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customFormat="false" ht="16.4" hidden="false" customHeight="false" outlineLevel="0" collapsed="false">
      <c r="A878" s="123" t="n">
        <v>45444</v>
      </c>
      <c r="B878" s="31" t="s">
        <v>153</v>
      </c>
      <c r="C878" s="129"/>
      <c r="D878" s="129"/>
      <c r="E878" s="19" t="n">
        <f aca="false">F878*0.03</f>
        <v>0</v>
      </c>
      <c r="F878" s="33" t="n">
        <v>0</v>
      </c>
      <c r="G878" s="131"/>
      <c r="H878" s="35" t="n">
        <v>0</v>
      </c>
      <c r="I878" s="34" t="n">
        <f aca="false">+IF(E878=0,0,E878*0.03)</f>
        <v>0</v>
      </c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customFormat="false" ht="16.4" hidden="false" customHeight="false" outlineLevel="0" collapsed="false">
      <c r="A879" s="123" t="n">
        <v>45444</v>
      </c>
      <c r="B879" s="31" t="s">
        <v>153</v>
      </c>
      <c r="C879" s="129"/>
      <c r="D879" s="129"/>
      <c r="E879" s="19" t="n">
        <f aca="false">F879*0.03</f>
        <v>0</v>
      </c>
      <c r="F879" s="33" t="n">
        <v>0</v>
      </c>
      <c r="G879" s="131"/>
      <c r="H879" s="35" t="n">
        <v>0</v>
      </c>
      <c r="I879" s="34" t="n">
        <f aca="false">+IF(E879=0,0,E879*0.03)</f>
        <v>0</v>
      </c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customFormat="false" ht="16.4" hidden="false" customHeight="false" outlineLevel="0" collapsed="false">
      <c r="A880" s="123" t="n">
        <v>45444</v>
      </c>
      <c r="B880" s="31" t="s">
        <v>153</v>
      </c>
      <c r="C880" s="129"/>
      <c r="D880" s="129"/>
      <c r="E880" s="19" t="n">
        <f aca="false">F880*0.03</f>
        <v>0</v>
      </c>
      <c r="F880" s="33" t="n">
        <v>0</v>
      </c>
      <c r="G880" s="131"/>
      <c r="H880" s="35" t="n">
        <v>0</v>
      </c>
      <c r="I880" s="34" t="n">
        <f aca="false">+IF(E880=0,0,E880*0.03)</f>
        <v>0</v>
      </c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customFormat="false" ht="16.4" hidden="false" customHeight="false" outlineLevel="0" collapsed="false">
      <c r="A881" s="123" t="n">
        <v>45444</v>
      </c>
      <c r="B881" s="31" t="s">
        <v>153</v>
      </c>
      <c r="C881" s="129"/>
      <c r="D881" s="129"/>
      <c r="E881" s="19" t="n">
        <f aca="false">F881*0.03</f>
        <v>0</v>
      </c>
      <c r="F881" s="33" t="n">
        <v>0</v>
      </c>
      <c r="G881" s="131"/>
      <c r="H881" s="35" t="n">
        <v>0</v>
      </c>
      <c r="I881" s="34" t="n">
        <f aca="false">+IF(E881=0,0,E881*0.03)</f>
        <v>0</v>
      </c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customFormat="false" ht="16.4" hidden="false" customHeight="false" outlineLevel="0" collapsed="false">
      <c r="A882" s="123" t="n">
        <v>45444</v>
      </c>
      <c r="B882" s="31" t="s">
        <v>153</v>
      </c>
      <c r="C882" s="129"/>
      <c r="D882" s="129"/>
      <c r="E882" s="19" t="n">
        <f aca="false">F882*0.03</f>
        <v>0</v>
      </c>
      <c r="F882" s="33" t="n">
        <v>0</v>
      </c>
      <c r="G882" s="131"/>
      <c r="H882" s="35" t="n">
        <v>0</v>
      </c>
      <c r="I882" s="34" t="n">
        <f aca="false">+IF(E882=0,0,E882*0.03)</f>
        <v>0</v>
      </c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customFormat="false" ht="16.4" hidden="false" customHeight="false" outlineLevel="0" collapsed="false">
      <c r="A883" s="123" t="n">
        <v>45444</v>
      </c>
      <c r="B883" s="31" t="s">
        <v>153</v>
      </c>
      <c r="C883" s="129"/>
      <c r="D883" s="129"/>
      <c r="E883" s="19" t="n">
        <f aca="false">F883*0.03</f>
        <v>0</v>
      </c>
      <c r="F883" s="33" t="n">
        <v>0</v>
      </c>
      <c r="G883" s="131"/>
      <c r="H883" s="35" t="n">
        <v>0</v>
      </c>
      <c r="I883" s="34" t="n">
        <f aca="false">+IF(E883=0,0,E883*0.03)</f>
        <v>0</v>
      </c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customFormat="false" ht="16.4" hidden="false" customHeight="false" outlineLevel="0" collapsed="false">
      <c r="A884" s="123" t="n">
        <v>45444</v>
      </c>
      <c r="B884" s="31" t="s">
        <v>153</v>
      </c>
      <c r="C884" s="129"/>
      <c r="D884" s="129"/>
      <c r="E884" s="19" t="n">
        <f aca="false">F884*0.03</f>
        <v>0</v>
      </c>
      <c r="F884" s="33" t="n">
        <v>0</v>
      </c>
      <c r="G884" s="131"/>
      <c r="H884" s="35" t="n">
        <v>0</v>
      </c>
      <c r="I884" s="34" t="n">
        <f aca="false">+IF(E884=0,0,E884*0.03)</f>
        <v>0</v>
      </c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customFormat="false" ht="16.4" hidden="false" customHeight="false" outlineLevel="0" collapsed="false">
      <c r="A885" s="123" t="n">
        <v>45444</v>
      </c>
      <c r="B885" s="31" t="s">
        <v>153</v>
      </c>
      <c r="C885" s="129"/>
      <c r="D885" s="129"/>
      <c r="E885" s="19" t="n">
        <f aca="false">F885*0.03</f>
        <v>0</v>
      </c>
      <c r="F885" s="33" t="n">
        <v>0</v>
      </c>
      <c r="G885" s="131"/>
      <c r="H885" s="35" t="n">
        <v>0</v>
      </c>
      <c r="I885" s="34" t="n">
        <f aca="false">+IF(E885=0,0,E885*0.03)</f>
        <v>0</v>
      </c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customFormat="false" ht="16.4" hidden="false" customHeight="false" outlineLevel="0" collapsed="false">
      <c r="A886" s="123" t="n">
        <v>45444</v>
      </c>
      <c r="B886" s="31" t="s">
        <v>153</v>
      </c>
      <c r="C886" s="129"/>
      <c r="D886" s="129"/>
      <c r="E886" s="19" t="n">
        <f aca="false">F886*0.03</f>
        <v>0</v>
      </c>
      <c r="F886" s="33" t="n">
        <v>0</v>
      </c>
      <c r="G886" s="131"/>
      <c r="H886" s="35" t="n">
        <v>0</v>
      </c>
      <c r="I886" s="34" t="n">
        <f aca="false">+IF(E886=0,0,E886*0.03)</f>
        <v>0</v>
      </c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customFormat="false" ht="16.4" hidden="false" customHeight="false" outlineLevel="0" collapsed="false">
      <c r="A887" s="123" t="n">
        <v>45444</v>
      </c>
      <c r="B887" s="31" t="s">
        <v>153</v>
      </c>
      <c r="C887" s="129"/>
      <c r="D887" s="129"/>
      <c r="E887" s="19" t="n">
        <f aca="false">F887*0.03</f>
        <v>0</v>
      </c>
      <c r="F887" s="33" t="n">
        <v>0</v>
      </c>
      <c r="G887" s="131"/>
      <c r="H887" s="35" t="n">
        <v>0</v>
      </c>
      <c r="I887" s="34" t="n">
        <f aca="false">+IF(E887=0,0,E887*0.03)</f>
        <v>0</v>
      </c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customFormat="false" ht="16.4" hidden="false" customHeight="false" outlineLevel="0" collapsed="false">
      <c r="A888" s="123" t="n">
        <v>45444</v>
      </c>
      <c r="B888" s="31" t="s">
        <v>153</v>
      </c>
      <c r="C888" s="129"/>
      <c r="D888" s="129"/>
      <c r="E888" s="19" t="n">
        <f aca="false">F888*0.03</f>
        <v>0</v>
      </c>
      <c r="F888" s="33" t="n">
        <v>0</v>
      </c>
      <c r="G888" s="131"/>
      <c r="H888" s="35" t="n">
        <v>0</v>
      </c>
      <c r="I888" s="34" t="n">
        <f aca="false">+IF(E888=0,0,E888*0.03)</f>
        <v>0</v>
      </c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customFormat="false" ht="16.4" hidden="false" customHeight="false" outlineLevel="0" collapsed="false">
      <c r="A889" s="123" t="n">
        <v>45444</v>
      </c>
      <c r="B889" s="31" t="s">
        <v>153</v>
      </c>
      <c r="C889" s="129"/>
      <c r="D889" s="129"/>
      <c r="E889" s="19" t="n">
        <f aca="false">F889*0.03</f>
        <v>0</v>
      </c>
      <c r="F889" s="33" t="n">
        <v>0</v>
      </c>
      <c r="G889" s="131"/>
      <c r="H889" s="35" t="n">
        <v>0</v>
      </c>
      <c r="I889" s="34" t="n">
        <f aca="false">+IF(E889=0,0,E889*0.03)</f>
        <v>0</v>
      </c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customFormat="false" ht="16.4" hidden="false" customHeight="false" outlineLevel="0" collapsed="false">
      <c r="A890" s="123" t="n">
        <v>45444</v>
      </c>
      <c r="B890" s="31" t="s">
        <v>153</v>
      </c>
      <c r="C890" s="129"/>
      <c r="D890" s="129"/>
      <c r="E890" s="19" t="n">
        <f aca="false">F890*0.03</f>
        <v>0</v>
      </c>
      <c r="F890" s="33" t="n">
        <v>0</v>
      </c>
      <c r="G890" s="131"/>
      <c r="H890" s="35" t="n">
        <v>0</v>
      </c>
      <c r="I890" s="34" t="n">
        <f aca="false">+IF(E890=0,0,E890*0.03)</f>
        <v>0</v>
      </c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customFormat="false" ht="16.4" hidden="false" customHeight="false" outlineLevel="0" collapsed="false">
      <c r="A891" s="123" t="n">
        <v>45444</v>
      </c>
      <c r="B891" s="31" t="s">
        <v>153</v>
      </c>
      <c r="C891" s="129"/>
      <c r="D891" s="129"/>
      <c r="E891" s="19" t="n">
        <f aca="false">F891*0.03</f>
        <v>0</v>
      </c>
      <c r="F891" s="33" t="n">
        <v>0</v>
      </c>
      <c r="G891" s="131"/>
      <c r="H891" s="35" t="n">
        <v>0</v>
      </c>
      <c r="I891" s="34" t="n">
        <f aca="false">+IF(E891=0,0,E891*0.03)</f>
        <v>0</v>
      </c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customFormat="false" ht="16.4" hidden="false" customHeight="false" outlineLevel="0" collapsed="false">
      <c r="A892" s="123" t="n">
        <v>45444</v>
      </c>
      <c r="B892" s="31" t="s">
        <v>153</v>
      </c>
      <c r="C892" s="129"/>
      <c r="D892" s="129"/>
      <c r="E892" s="19" t="n">
        <f aca="false">F892*0.03</f>
        <v>0</v>
      </c>
      <c r="F892" s="33" t="n">
        <v>0</v>
      </c>
      <c r="G892" s="131"/>
      <c r="H892" s="35" t="n">
        <v>0</v>
      </c>
      <c r="I892" s="34" t="n">
        <f aca="false">+IF(E892=0,0,E892*0.03)</f>
        <v>0</v>
      </c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customFormat="false" ht="16.4" hidden="false" customHeight="false" outlineLevel="0" collapsed="false">
      <c r="A893" s="123" t="n">
        <v>45444</v>
      </c>
      <c r="B893" s="31" t="s">
        <v>153</v>
      </c>
      <c r="C893" s="129"/>
      <c r="D893" s="129"/>
      <c r="E893" s="19" t="n">
        <f aca="false">F893*0.03</f>
        <v>0</v>
      </c>
      <c r="F893" s="33" t="n">
        <v>0</v>
      </c>
      <c r="G893" s="131"/>
      <c r="H893" s="35" t="n">
        <v>0</v>
      </c>
      <c r="I893" s="34" t="n">
        <f aca="false">+IF(E893=0,0,E893*0.03)</f>
        <v>0</v>
      </c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customFormat="false" ht="16.4" hidden="false" customHeight="false" outlineLevel="0" collapsed="false">
      <c r="A894" s="123" t="n">
        <v>45444</v>
      </c>
      <c r="B894" s="31" t="s">
        <v>153</v>
      </c>
      <c r="C894" s="129"/>
      <c r="D894" s="129"/>
      <c r="E894" s="19" t="n">
        <f aca="false">F894*0.03</f>
        <v>0</v>
      </c>
      <c r="F894" s="33" t="n">
        <v>0</v>
      </c>
      <c r="G894" s="131"/>
      <c r="H894" s="35" t="n">
        <v>0</v>
      </c>
      <c r="I894" s="34" t="n">
        <f aca="false">+IF(E894=0,0,E894*0.03)</f>
        <v>0</v>
      </c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customFormat="false" ht="16.4" hidden="false" customHeight="false" outlineLevel="0" collapsed="false">
      <c r="A895" s="123" t="n">
        <v>45444</v>
      </c>
      <c r="B895" s="31" t="s">
        <v>153</v>
      </c>
      <c r="C895" s="129"/>
      <c r="D895" s="129"/>
      <c r="E895" s="19" t="n">
        <f aca="false">F895*0.03</f>
        <v>0</v>
      </c>
      <c r="F895" s="33" t="n">
        <v>0</v>
      </c>
      <c r="G895" s="131"/>
      <c r="H895" s="35" t="n">
        <v>0</v>
      </c>
      <c r="I895" s="34" t="n">
        <f aca="false">+IF(E895=0,0,E895*0.03)</f>
        <v>0</v>
      </c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customFormat="false" ht="16.4" hidden="false" customHeight="false" outlineLevel="0" collapsed="false">
      <c r="A896" s="123" t="n">
        <v>45444</v>
      </c>
      <c r="B896" s="31" t="s">
        <v>153</v>
      </c>
      <c r="C896" s="129"/>
      <c r="D896" s="129"/>
      <c r="E896" s="19" t="n">
        <f aca="false">F896*0.03</f>
        <v>0</v>
      </c>
      <c r="F896" s="33" t="n">
        <v>0</v>
      </c>
      <c r="G896" s="131"/>
      <c r="H896" s="35" t="n">
        <v>0</v>
      </c>
      <c r="I896" s="34" t="n">
        <f aca="false">+IF(E896=0,0,E896*0.03)</f>
        <v>0</v>
      </c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customFormat="false" ht="16.4" hidden="false" customHeight="false" outlineLevel="0" collapsed="false">
      <c r="A897" s="123" t="n">
        <v>45444</v>
      </c>
      <c r="B897" s="31" t="s">
        <v>153</v>
      </c>
      <c r="C897" s="129"/>
      <c r="D897" s="129"/>
      <c r="E897" s="19" t="n">
        <f aca="false">F897*0.03</f>
        <v>0</v>
      </c>
      <c r="F897" s="33" t="n">
        <v>0</v>
      </c>
      <c r="G897" s="131"/>
      <c r="H897" s="35" t="n">
        <v>0</v>
      </c>
      <c r="I897" s="34" t="n">
        <f aca="false">+IF(E897=0,0,E897*0.03)</f>
        <v>0</v>
      </c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customFormat="false" ht="16.4" hidden="false" customHeight="false" outlineLevel="0" collapsed="false">
      <c r="A898" s="123" t="n">
        <v>45444</v>
      </c>
      <c r="B898" s="31" t="s">
        <v>153</v>
      </c>
      <c r="C898" s="129"/>
      <c r="D898" s="129"/>
      <c r="E898" s="19" t="n">
        <f aca="false">F898*0.03</f>
        <v>0</v>
      </c>
      <c r="F898" s="33" t="n">
        <v>0</v>
      </c>
      <c r="G898" s="131"/>
      <c r="H898" s="35" t="n">
        <v>0</v>
      </c>
      <c r="I898" s="34" t="n">
        <f aca="false">+IF(E898=0,0,E898*0.03)</f>
        <v>0</v>
      </c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customFormat="false" ht="16.4" hidden="false" customHeight="false" outlineLevel="0" collapsed="false">
      <c r="A899" s="123" t="n">
        <v>45444</v>
      </c>
      <c r="B899" s="31" t="s">
        <v>153</v>
      </c>
      <c r="C899" s="129"/>
      <c r="D899" s="129"/>
      <c r="E899" s="19" t="n">
        <f aca="false">F899*0.03</f>
        <v>0</v>
      </c>
      <c r="F899" s="33" t="n">
        <v>0</v>
      </c>
      <c r="G899" s="131"/>
      <c r="H899" s="35" t="n">
        <v>0</v>
      </c>
      <c r="I899" s="34" t="n">
        <f aca="false">+IF(E899=0,0,E899*0.03)</f>
        <v>0</v>
      </c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customFormat="false" ht="16.4" hidden="false" customHeight="false" outlineLevel="0" collapsed="false">
      <c r="A900" s="123" t="n">
        <v>45444</v>
      </c>
      <c r="B900" s="31" t="s">
        <v>153</v>
      </c>
      <c r="C900" s="129"/>
      <c r="D900" s="129"/>
      <c r="E900" s="19" t="n">
        <f aca="false">F900*0.03</f>
        <v>0</v>
      </c>
      <c r="F900" s="33" t="n">
        <v>0</v>
      </c>
      <c r="G900" s="131"/>
      <c r="H900" s="35" t="n">
        <v>0</v>
      </c>
      <c r="I900" s="34" t="n">
        <f aca="false">+IF(E900=0,0,E900*0.03)</f>
        <v>0</v>
      </c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customFormat="false" ht="16.4" hidden="false" customHeight="false" outlineLevel="0" collapsed="false">
      <c r="A901" s="123" t="n">
        <v>45444</v>
      </c>
      <c r="B901" s="31" t="s">
        <v>153</v>
      </c>
      <c r="C901" s="129"/>
      <c r="D901" s="129"/>
      <c r="E901" s="19" t="n">
        <f aca="false">F901*0.03</f>
        <v>0</v>
      </c>
      <c r="F901" s="33" t="n">
        <v>0</v>
      </c>
      <c r="G901" s="131"/>
      <c r="H901" s="35" t="n">
        <v>0</v>
      </c>
      <c r="I901" s="34" t="n">
        <f aca="false">+IF(E901=0,0,E901*0.03)</f>
        <v>0</v>
      </c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customFormat="false" ht="16.4" hidden="false" customHeight="false" outlineLevel="0" collapsed="false">
      <c r="A902" s="123" t="n">
        <v>45444</v>
      </c>
      <c r="B902" s="31" t="s">
        <v>153</v>
      </c>
      <c r="C902" s="129"/>
      <c r="D902" s="129"/>
      <c r="E902" s="19" t="n">
        <f aca="false">F902*0.03</f>
        <v>0</v>
      </c>
      <c r="F902" s="33" t="n">
        <v>0</v>
      </c>
      <c r="G902" s="131"/>
      <c r="H902" s="35" t="n">
        <v>0</v>
      </c>
      <c r="I902" s="34" t="n">
        <f aca="false">+IF(E902=0,0,E902*0.03)</f>
        <v>0</v>
      </c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customFormat="false" ht="16.4" hidden="false" customHeight="false" outlineLevel="0" collapsed="false">
      <c r="A903" s="123" t="n">
        <v>45444</v>
      </c>
      <c r="B903" s="31" t="s">
        <v>153</v>
      </c>
      <c r="C903" s="129"/>
      <c r="D903" s="129"/>
      <c r="E903" s="19" t="n">
        <f aca="false">F903*0.03</f>
        <v>0</v>
      </c>
      <c r="F903" s="33" t="n">
        <v>0</v>
      </c>
      <c r="G903" s="131"/>
      <c r="H903" s="35" t="n">
        <v>0</v>
      </c>
      <c r="I903" s="34" t="n">
        <f aca="false">+IF(E903=0,0,E903*0.03)</f>
        <v>0</v>
      </c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customFormat="false" ht="16.4" hidden="false" customHeight="false" outlineLevel="0" collapsed="false">
      <c r="A904" s="123" t="n">
        <v>45444</v>
      </c>
      <c r="B904" s="31" t="s">
        <v>153</v>
      </c>
      <c r="C904" s="129"/>
      <c r="D904" s="129"/>
      <c r="E904" s="19" t="n">
        <f aca="false">F904*0.03</f>
        <v>0</v>
      </c>
      <c r="F904" s="33" t="n">
        <v>0</v>
      </c>
      <c r="G904" s="131"/>
      <c r="H904" s="35" t="n">
        <v>0</v>
      </c>
      <c r="I904" s="34" t="n">
        <f aca="false">+IF(E904=0,0,E904*0.03)</f>
        <v>0</v>
      </c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customFormat="false" ht="16.4" hidden="false" customHeight="false" outlineLevel="0" collapsed="false">
      <c r="A905" s="123" t="n">
        <v>45444</v>
      </c>
      <c r="B905" s="31" t="s">
        <v>153</v>
      </c>
      <c r="C905" s="129"/>
      <c r="D905" s="129"/>
      <c r="E905" s="19" t="n">
        <f aca="false">F905*0.03</f>
        <v>0</v>
      </c>
      <c r="F905" s="33" t="n">
        <v>0</v>
      </c>
      <c r="G905" s="131"/>
      <c r="H905" s="35" t="n">
        <v>0</v>
      </c>
      <c r="I905" s="34" t="n">
        <f aca="false">+IF(E905=0,0,E905*0.03)</f>
        <v>0</v>
      </c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customFormat="false" ht="16.4" hidden="false" customHeight="false" outlineLevel="0" collapsed="false">
      <c r="A906" s="123" t="n">
        <v>45444</v>
      </c>
      <c r="B906" s="31" t="s">
        <v>153</v>
      </c>
      <c r="C906" s="129"/>
      <c r="D906" s="129"/>
      <c r="E906" s="19" t="n">
        <f aca="false">F906*0.03</f>
        <v>0</v>
      </c>
      <c r="F906" s="33" t="n">
        <v>0</v>
      </c>
      <c r="G906" s="131"/>
      <c r="H906" s="35" t="n">
        <v>0</v>
      </c>
      <c r="I906" s="34" t="n">
        <f aca="false">+IF(E906=0,0,E906*0.03)</f>
        <v>0</v>
      </c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customFormat="false" ht="16.4" hidden="false" customHeight="false" outlineLevel="0" collapsed="false">
      <c r="A907" s="123" t="n">
        <v>45444</v>
      </c>
      <c r="B907" s="31" t="s">
        <v>153</v>
      </c>
      <c r="C907" s="129"/>
      <c r="D907" s="129"/>
      <c r="E907" s="19" t="n">
        <f aca="false">F907*0.03</f>
        <v>0</v>
      </c>
      <c r="F907" s="33" t="n">
        <v>0</v>
      </c>
      <c r="G907" s="131"/>
      <c r="H907" s="35" t="n">
        <v>0</v>
      </c>
      <c r="I907" s="34" t="n">
        <f aca="false">+IF(E907=0,0,E907*0.03)</f>
        <v>0</v>
      </c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customFormat="false" ht="16.4" hidden="false" customHeight="false" outlineLevel="0" collapsed="false">
      <c r="A908" s="123" t="n">
        <v>45444</v>
      </c>
      <c r="B908" s="31" t="s">
        <v>153</v>
      </c>
      <c r="C908" s="129"/>
      <c r="D908" s="129"/>
      <c r="E908" s="19" t="n">
        <f aca="false">F908*0.03</f>
        <v>0</v>
      </c>
      <c r="F908" s="33" t="n">
        <v>0</v>
      </c>
      <c r="G908" s="131"/>
      <c r="H908" s="35" t="n">
        <v>0</v>
      </c>
      <c r="I908" s="34" t="n">
        <f aca="false">+IF(E908=0,0,E908*0.03)</f>
        <v>0</v>
      </c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customFormat="false" ht="16.4" hidden="false" customHeight="false" outlineLevel="0" collapsed="false">
      <c r="A909" s="123" t="n">
        <v>45444</v>
      </c>
      <c r="B909" s="31" t="s">
        <v>153</v>
      </c>
      <c r="C909" s="129"/>
      <c r="D909" s="129"/>
      <c r="E909" s="19" t="n">
        <f aca="false">F909*0.03</f>
        <v>0</v>
      </c>
      <c r="F909" s="33" t="n">
        <v>0</v>
      </c>
      <c r="G909" s="131"/>
      <c r="H909" s="35" t="n">
        <v>0</v>
      </c>
      <c r="I909" s="34" t="n">
        <f aca="false">+IF(E909=0,0,E909*0.03)</f>
        <v>0</v>
      </c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customFormat="false" ht="16.4" hidden="false" customHeight="false" outlineLevel="0" collapsed="false">
      <c r="A910" s="123" t="n">
        <v>45444</v>
      </c>
      <c r="B910" s="31" t="s">
        <v>153</v>
      </c>
      <c r="C910" s="129"/>
      <c r="D910" s="129"/>
      <c r="E910" s="19" t="n">
        <f aca="false">F910*0.03</f>
        <v>0</v>
      </c>
      <c r="F910" s="33" t="n">
        <v>0</v>
      </c>
      <c r="G910" s="131"/>
      <c r="H910" s="35" t="n">
        <v>0</v>
      </c>
      <c r="I910" s="34" t="n">
        <f aca="false">+IF(E910=0,0,E910*0.03)</f>
        <v>0</v>
      </c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customFormat="false" ht="16.4" hidden="false" customHeight="false" outlineLevel="0" collapsed="false">
      <c r="A911" s="123" t="n">
        <v>45444</v>
      </c>
      <c r="B911" s="31" t="s">
        <v>153</v>
      </c>
      <c r="C911" s="129"/>
      <c r="D911" s="129"/>
      <c r="E911" s="19" t="n">
        <f aca="false">F911*0.03</f>
        <v>0</v>
      </c>
      <c r="F911" s="33" t="n">
        <v>0</v>
      </c>
      <c r="G911" s="131"/>
      <c r="H911" s="35" t="n">
        <v>0</v>
      </c>
      <c r="I911" s="34" t="n">
        <f aca="false">+IF(E911=0,0,E911*0.03)</f>
        <v>0</v>
      </c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customFormat="false" ht="16.4" hidden="false" customHeight="false" outlineLevel="0" collapsed="false">
      <c r="A912" s="123" t="n">
        <v>45444</v>
      </c>
      <c r="B912" s="31" t="s">
        <v>153</v>
      </c>
      <c r="C912" s="129"/>
      <c r="D912" s="129"/>
      <c r="E912" s="19" t="n">
        <f aca="false">F912*0.03</f>
        <v>0</v>
      </c>
      <c r="F912" s="33" t="n">
        <v>0</v>
      </c>
      <c r="G912" s="131"/>
      <c r="H912" s="35" t="n">
        <v>0</v>
      </c>
      <c r="I912" s="34" t="n">
        <f aca="false">+IF(E912=0,0,E912*0.03)</f>
        <v>0</v>
      </c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customFormat="false" ht="16.4" hidden="false" customHeight="false" outlineLevel="0" collapsed="false">
      <c r="A913" s="123" t="n">
        <v>45444</v>
      </c>
      <c r="B913" s="31" t="s">
        <v>153</v>
      </c>
      <c r="C913" s="129"/>
      <c r="D913" s="129"/>
      <c r="E913" s="19" t="n">
        <f aca="false">F913*0.03</f>
        <v>0</v>
      </c>
      <c r="F913" s="33" t="n">
        <v>0</v>
      </c>
      <c r="G913" s="131"/>
      <c r="H913" s="35" t="n">
        <v>0</v>
      </c>
      <c r="I913" s="34" t="n">
        <f aca="false">+IF(E913=0,0,E913*0.03)</f>
        <v>0</v>
      </c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customFormat="false" ht="16.4" hidden="false" customHeight="false" outlineLevel="0" collapsed="false">
      <c r="A914" s="123" t="n">
        <v>45444</v>
      </c>
      <c r="B914" s="31" t="s">
        <v>153</v>
      </c>
      <c r="C914" s="129"/>
      <c r="D914" s="129"/>
      <c r="E914" s="19" t="n">
        <f aca="false">F914*0.03</f>
        <v>0</v>
      </c>
      <c r="F914" s="33" t="n">
        <v>0</v>
      </c>
      <c r="G914" s="131"/>
      <c r="H914" s="35" t="n">
        <v>0</v>
      </c>
      <c r="I914" s="34" t="n">
        <f aca="false">+IF(E914=0,0,E914*0.03)</f>
        <v>0</v>
      </c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customFormat="false" ht="16.4" hidden="false" customHeight="false" outlineLevel="0" collapsed="false">
      <c r="A915" s="123" t="n">
        <v>45444</v>
      </c>
      <c r="B915" s="31" t="s">
        <v>153</v>
      </c>
      <c r="C915" s="129"/>
      <c r="D915" s="129"/>
      <c r="E915" s="19" t="n">
        <f aca="false">F915*0.03</f>
        <v>0</v>
      </c>
      <c r="F915" s="33" t="n">
        <v>0</v>
      </c>
      <c r="G915" s="131"/>
      <c r="H915" s="35" t="n">
        <v>0</v>
      </c>
      <c r="I915" s="34" t="n">
        <f aca="false">+IF(E915=0,0,E915*0.03)</f>
        <v>0</v>
      </c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customFormat="false" ht="16.4" hidden="false" customHeight="false" outlineLevel="0" collapsed="false">
      <c r="A916" s="123" t="n">
        <v>45444</v>
      </c>
      <c r="B916" s="31" t="s">
        <v>153</v>
      </c>
      <c r="C916" s="129"/>
      <c r="D916" s="129"/>
      <c r="E916" s="19" t="n">
        <f aca="false">F916*0.03</f>
        <v>0</v>
      </c>
      <c r="F916" s="33" t="n">
        <v>0</v>
      </c>
      <c r="G916" s="131"/>
      <c r="H916" s="35" t="n">
        <v>0</v>
      </c>
      <c r="I916" s="34" t="n">
        <f aca="false">+IF(E916=0,0,E916*0.03)</f>
        <v>0</v>
      </c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customFormat="false" ht="16.4" hidden="false" customHeight="false" outlineLevel="0" collapsed="false">
      <c r="A917" s="123" t="n">
        <v>45444</v>
      </c>
      <c r="B917" s="31" t="s">
        <v>153</v>
      </c>
      <c r="C917" s="129"/>
      <c r="D917" s="129"/>
      <c r="E917" s="19" t="n">
        <f aca="false">F917*0.03</f>
        <v>0</v>
      </c>
      <c r="F917" s="33" t="n">
        <v>0</v>
      </c>
      <c r="G917" s="131"/>
      <c r="H917" s="35" t="n">
        <v>0</v>
      </c>
      <c r="I917" s="34" t="n">
        <f aca="false">+IF(E917=0,0,E917*0.03)</f>
        <v>0</v>
      </c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customFormat="false" ht="16.4" hidden="false" customHeight="false" outlineLevel="0" collapsed="false">
      <c r="A918" s="123" t="n">
        <v>45444</v>
      </c>
      <c r="B918" s="31" t="s">
        <v>153</v>
      </c>
      <c r="C918" s="129"/>
      <c r="D918" s="129"/>
      <c r="E918" s="19" t="n">
        <f aca="false">F918*0.03</f>
        <v>0</v>
      </c>
      <c r="F918" s="33" t="n">
        <v>0</v>
      </c>
      <c r="G918" s="131"/>
      <c r="H918" s="35" t="n">
        <v>0</v>
      </c>
      <c r="I918" s="34" t="n">
        <f aca="false">+IF(E918=0,0,E918*0.03)</f>
        <v>0</v>
      </c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customFormat="false" ht="16.4" hidden="false" customHeight="false" outlineLevel="0" collapsed="false">
      <c r="A919" s="123" t="n">
        <v>45444</v>
      </c>
      <c r="B919" s="31" t="s">
        <v>153</v>
      </c>
      <c r="C919" s="129"/>
      <c r="D919" s="129"/>
      <c r="E919" s="19" t="n">
        <f aca="false">F919*0.03</f>
        <v>0</v>
      </c>
      <c r="F919" s="33" t="n">
        <v>0</v>
      </c>
      <c r="G919" s="131"/>
      <c r="H919" s="35" t="n">
        <v>0</v>
      </c>
      <c r="I919" s="34" t="n">
        <f aca="false">+IF(E919=0,0,E919*0.03)</f>
        <v>0</v>
      </c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customFormat="false" ht="16.4" hidden="false" customHeight="false" outlineLevel="0" collapsed="false">
      <c r="A920" s="123" t="n">
        <v>45444</v>
      </c>
      <c r="B920" s="31" t="s">
        <v>153</v>
      </c>
      <c r="C920" s="129"/>
      <c r="D920" s="129"/>
      <c r="E920" s="19" t="n">
        <f aca="false">F920*0.03</f>
        <v>0</v>
      </c>
      <c r="F920" s="33" t="n">
        <v>0</v>
      </c>
      <c r="G920" s="131"/>
      <c r="H920" s="35" t="n">
        <v>0</v>
      </c>
      <c r="I920" s="34" t="n">
        <f aca="false">+IF(E920=0,0,E920*0.03)</f>
        <v>0</v>
      </c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customFormat="false" ht="16.4" hidden="false" customHeight="false" outlineLevel="0" collapsed="false">
      <c r="A921" s="123" t="n">
        <v>45444</v>
      </c>
      <c r="B921" s="31" t="s">
        <v>153</v>
      </c>
      <c r="C921" s="129"/>
      <c r="D921" s="129"/>
      <c r="E921" s="19" t="n">
        <f aca="false">F921*0.03</f>
        <v>0</v>
      </c>
      <c r="F921" s="33" t="n">
        <v>0</v>
      </c>
      <c r="G921" s="131"/>
      <c r="H921" s="35" t="n">
        <v>0</v>
      </c>
      <c r="I921" s="34" t="n">
        <f aca="false">+IF(E921=0,0,E921*0.03)</f>
        <v>0</v>
      </c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customFormat="false" ht="16.4" hidden="false" customHeight="false" outlineLevel="0" collapsed="false">
      <c r="A922" s="123" t="n">
        <v>45444</v>
      </c>
      <c r="B922" s="31" t="s">
        <v>153</v>
      </c>
      <c r="C922" s="129"/>
      <c r="D922" s="129"/>
      <c r="E922" s="19" t="n">
        <f aca="false">F922*0.03</f>
        <v>0</v>
      </c>
      <c r="F922" s="33" t="n">
        <v>0</v>
      </c>
      <c r="G922" s="131"/>
      <c r="H922" s="35" t="n">
        <v>0</v>
      </c>
      <c r="I922" s="34" t="n">
        <f aca="false">+IF(E922=0,0,E922*0.03)</f>
        <v>0</v>
      </c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customFormat="false" ht="16.4" hidden="false" customHeight="false" outlineLevel="0" collapsed="false">
      <c r="A923" s="123" t="n">
        <v>45444</v>
      </c>
      <c r="B923" s="31" t="s">
        <v>153</v>
      </c>
      <c r="C923" s="129"/>
      <c r="D923" s="129"/>
      <c r="E923" s="19" t="n">
        <f aca="false">F923*0.03</f>
        <v>0</v>
      </c>
      <c r="F923" s="33" t="n">
        <v>0</v>
      </c>
      <c r="G923" s="131"/>
      <c r="H923" s="35" t="n">
        <v>0</v>
      </c>
      <c r="I923" s="34" t="n">
        <f aca="false">+IF(E923=0,0,E923*0.03)</f>
        <v>0</v>
      </c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customFormat="false" ht="16.4" hidden="false" customHeight="false" outlineLevel="0" collapsed="false">
      <c r="A924" s="123" t="n">
        <v>45444</v>
      </c>
      <c r="B924" s="31" t="s">
        <v>153</v>
      </c>
      <c r="C924" s="129"/>
      <c r="D924" s="129"/>
      <c r="E924" s="19" t="n">
        <f aca="false">F924*0.03</f>
        <v>0</v>
      </c>
      <c r="F924" s="33" t="n">
        <v>0</v>
      </c>
      <c r="G924" s="131"/>
      <c r="H924" s="35" t="n">
        <v>0</v>
      </c>
      <c r="I924" s="34" t="n">
        <f aca="false">+IF(E924=0,0,E924*0.03)</f>
        <v>0</v>
      </c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customFormat="false" ht="16.4" hidden="false" customHeight="false" outlineLevel="0" collapsed="false">
      <c r="A925" s="123" t="n">
        <v>45444</v>
      </c>
      <c r="B925" s="31" t="s">
        <v>153</v>
      </c>
      <c r="C925" s="129"/>
      <c r="D925" s="129"/>
      <c r="E925" s="19" t="n">
        <f aca="false">F925*0.03</f>
        <v>0</v>
      </c>
      <c r="F925" s="33" t="n">
        <v>0</v>
      </c>
      <c r="G925" s="131"/>
      <c r="H925" s="35" t="n">
        <v>0</v>
      </c>
      <c r="I925" s="34" t="n">
        <f aca="false">+IF(E925=0,0,E925*0.03)</f>
        <v>0</v>
      </c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customFormat="false" ht="16.4" hidden="false" customHeight="false" outlineLevel="0" collapsed="false">
      <c r="A926" s="123" t="n">
        <v>45444</v>
      </c>
      <c r="B926" s="31" t="s">
        <v>153</v>
      </c>
      <c r="C926" s="129"/>
      <c r="D926" s="129"/>
      <c r="E926" s="19" t="n">
        <f aca="false">F926*0.03</f>
        <v>0</v>
      </c>
      <c r="F926" s="33" t="n">
        <v>0</v>
      </c>
      <c r="G926" s="131"/>
      <c r="H926" s="35" t="n">
        <v>0</v>
      </c>
      <c r="I926" s="34" t="n">
        <f aca="false">+IF(E926=0,0,E926*0.03)</f>
        <v>0</v>
      </c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customFormat="false" ht="16.4" hidden="false" customHeight="false" outlineLevel="0" collapsed="false">
      <c r="A927" s="123" t="n">
        <v>45444</v>
      </c>
      <c r="B927" s="31" t="s">
        <v>153</v>
      </c>
      <c r="C927" s="129"/>
      <c r="D927" s="129"/>
      <c r="E927" s="19" t="n">
        <f aca="false">F927*0.03</f>
        <v>0</v>
      </c>
      <c r="F927" s="33" t="n">
        <v>0</v>
      </c>
      <c r="G927" s="131"/>
      <c r="H927" s="35" t="n">
        <v>0</v>
      </c>
      <c r="I927" s="34" t="n">
        <f aca="false">+IF(E927=0,0,E927*0.03)</f>
        <v>0</v>
      </c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customFormat="false" ht="16.4" hidden="false" customHeight="false" outlineLevel="0" collapsed="false">
      <c r="A928" s="123" t="n">
        <v>45444</v>
      </c>
      <c r="B928" s="31" t="s">
        <v>153</v>
      </c>
      <c r="C928" s="129"/>
      <c r="D928" s="129"/>
      <c r="E928" s="19" t="n">
        <f aca="false">F928*0.03</f>
        <v>0</v>
      </c>
      <c r="F928" s="33" t="n">
        <v>0</v>
      </c>
      <c r="G928" s="131"/>
      <c r="H928" s="35" t="n">
        <v>0</v>
      </c>
      <c r="I928" s="34" t="n">
        <f aca="false">+IF(E928=0,0,E928*0.03)</f>
        <v>0</v>
      </c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customFormat="false" ht="16.4" hidden="false" customHeight="false" outlineLevel="0" collapsed="false">
      <c r="A929" s="123" t="n">
        <v>45444</v>
      </c>
      <c r="B929" s="31" t="s">
        <v>153</v>
      </c>
      <c r="C929" s="129"/>
      <c r="D929" s="129"/>
      <c r="E929" s="19" t="n">
        <f aca="false">F929*0.03</f>
        <v>0</v>
      </c>
      <c r="F929" s="33" t="n">
        <v>0</v>
      </c>
      <c r="G929" s="131"/>
      <c r="H929" s="35" t="n">
        <v>0</v>
      </c>
      <c r="I929" s="34" t="n">
        <f aca="false">+IF(E929=0,0,E929*0.03)</f>
        <v>0</v>
      </c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customFormat="false" ht="16.4" hidden="false" customHeight="false" outlineLevel="0" collapsed="false">
      <c r="A930" s="123" t="n">
        <v>45444</v>
      </c>
      <c r="B930" s="31" t="s">
        <v>153</v>
      </c>
      <c r="C930" s="129"/>
      <c r="D930" s="129"/>
      <c r="E930" s="19" t="n">
        <f aca="false">F930*0.03</f>
        <v>0</v>
      </c>
      <c r="F930" s="33" t="n">
        <v>0</v>
      </c>
      <c r="G930" s="131"/>
      <c r="H930" s="35" t="n">
        <v>0</v>
      </c>
      <c r="I930" s="34" t="n">
        <f aca="false">+IF(E930=0,0,E930*0.03)</f>
        <v>0</v>
      </c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customFormat="false" ht="16.4" hidden="false" customHeight="false" outlineLevel="0" collapsed="false">
      <c r="A931" s="123" t="n">
        <v>45444</v>
      </c>
      <c r="B931" s="31" t="s">
        <v>153</v>
      </c>
      <c r="C931" s="129"/>
      <c r="D931" s="129"/>
      <c r="E931" s="19" t="n">
        <f aca="false">F931*0.03</f>
        <v>0</v>
      </c>
      <c r="F931" s="33" t="n">
        <v>0</v>
      </c>
      <c r="G931" s="131"/>
      <c r="H931" s="35" t="n">
        <v>0</v>
      </c>
      <c r="I931" s="34" t="n">
        <f aca="false">+IF(E931=0,0,E931*0.03)</f>
        <v>0</v>
      </c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customFormat="false" ht="16.4" hidden="false" customHeight="false" outlineLevel="0" collapsed="false">
      <c r="A932" s="123" t="n">
        <v>45444</v>
      </c>
      <c r="B932" s="31" t="s">
        <v>153</v>
      </c>
      <c r="C932" s="129"/>
      <c r="D932" s="129"/>
      <c r="E932" s="19" t="n">
        <f aca="false">F932*0.03</f>
        <v>0</v>
      </c>
      <c r="F932" s="33" t="n">
        <v>0</v>
      </c>
      <c r="G932" s="131"/>
      <c r="H932" s="35" t="n">
        <v>0</v>
      </c>
      <c r="I932" s="34" t="n">
        <f aca="false">+IF(E932=0,0,E932*0.03)</f>
        <v>0</v>
      </c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customFormat="false" ht="16.4" hidden="false" customHeight="false" outlineLevel="0" collapsed="false">
      <c r="A933" s="123" t="n">
        <v>45444</v>
      </c>
      <c r="B933" s="31" t="s">
        <v>153</v>
      </c>
      <c r="C933" s="129"/>
      <c r="D933" s="129"/>
      <c r="E933" s="19" t="n">
        <f aca="false">F933*0.03</f>
        <v>0</v>
      </c>
      <c r="F933" s="33" t="n">
        <v>0</v>
      </c>
      <c r="G933" s="131"/>
      <c r="H933" s="35" t="n">
        <v>0</v>
      </c>
      <c r="I933" s="34" t="n">
        <f aca="false">+IF(E933=0,0,E933*0.03)</f>
        <v>0</v>
      </c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customFormat="false" ht="16.4" hidden="false" customHeight="false" outlineLevel="0" collapsed="false">
      <c r="A934" s="123" t="n">
        <v>45444</v>
      </c>
      <c r="B934" s="31" t="s">
        <v>153</v>
      </c>
      <c r="C934" s="129"/>
      <c r="D934" s="129"/>
      <c r="E934" s="19" t="n">
        <f aca="false">F934*0.03</f>
        <v>0</v>
      </c>
      <c r="F934" s="33" t="n">
        <v>0</v>
      </c>
      <c r="G934" s="131"/>
      <c r="H934" s="35" t="n">
        <v>0</v>
      </c>
      <c r="I934" s="34" t="n">
        <f aca="false">+IF(E934=0,0,E934*0.03)</f>
        <v>0</v>
      </c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customFormat="false" ht="16.4" hidden="false" customHeight="false" outlineLevel="0" collapsed="false">
      <c r="A935" s="123" t="n">
        <v>45444</v>
      </c>
      <c r="B935" s="31" t="s">
        <v>153</v>
      </c>
      <c r="C935" s="129"/>
      <c r="D935" s="129"/>
      <c r="E935" s="19" t="n">
        <f aca="false">F935*0.03</f>
        <v>0</v>
      </c>
      <c r="F935" s="33" t="n">
        <v>0</v>
      </c>
      <c r="G935" s="131"/>
      <c r="H935" s="35" t="n">
        <v>0</v>
      </c>
      <c r="I935" s="34" t="n">
        <f aca="false">+IF(E935=0,0,E935*0.03)</f>
        <v>0</v>
      </c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customFormat="false" ht="16.4" hidden="false" customHeight="false" outlineLevel="0" collapsed="false">
      <c r="A936" s="123" t="n">
        <v>45444</v>
      </c>
      <c r="B936" s="31" t="s">
        <v>153</v>
      </c>
      <c r="C936" s="129"/>
      <c r="D936" s="129"/>
      <c r="E936" s="19" t="n">
        <f aca="false">F936*0.03</f>
        <v>0</v>
      </c>
      <c r="F936" s="33" t="n">
        <v>0</v>
      </c>
      <c r="G936" s="131"/>
      <c r="H936" s="35" t="n">
        <v>0</v>
      </c>
      <c r="I936" s="34" t="n">
        <f aca="false">+IF(E936=0,0,E936*0.03)</f>
        <v>0</v>
      </c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customFormat="false" ht="16.4" hidden="false" customHeight="false" outlineLevel="0" collapsed="false">
      <c r="A937" s="123" t="n">
        <v>45444</v>
      </c>
      <c r="B937" s="31" t="s">
        <v>153</v>
      </c>
      <c r="C937" s="129"/>
      <c r="D937" s="129"/>
      <c r="E937" s="19" t="n">
        <f aca="false">F937*0.03</f>
        <v>0</v>
      </c>
      <c r="F937" s="33" t="n">
        <v>0</v>
      </c>
      <c r="G937" s="131"/>
      <c r="H937" s="35" t="n">
        <v>0</v>
      </c>
      <c r="I937" s="34" t="n">
        <f aca="false">+IF(E937=0,0,E937*0.03)</f>
        <v>0</v>
      </c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customFormat="false" ht="16.4" hidden="false" customHeight="false" outlineLevel="0" collapsed="false">
      <c r="A938" s="123" t="n">
        <v>45444</v>
      </c>
      <c r="B938" s="31" t="s">
        <v>153</v>
      </c>
      <c r="C938" s="129"/>
      <c r="D938" s="129"/>
      <c r="E938" s="19" t="n">
        <f aca="false">F938*0.03</f>
        <v>0</v>
      </c>
      <c r="F938" s="33" t="n">
        <v>0</v>
      </c>
      <c r="G938" s="131"/>
      <c r="H938" s="35" t="n">
        <v>0</v>
      </c>
      <c r="I938" s="34" t="n">
        <f aca="false">+IF(E938=0,0,E938*0.03)</f>
        <v>0</v>
      </c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customFormat="false" ht="16.4" hidden="false" customHeight="false" outlineLevel="0" collapsed="false">
      <c r="A939" s="123" t="n">
        <v>45444</v>
      </c>
      <c r="B939" s="31" t="s">
        <v>153</v>
      </c>
      <c r="C939" s="129"/>
      <c r="D939" s="129"/>
      <c r="E939" s="19" t="n">
        <f aca="false">F939*0.03</f>
        <v>0</v>
      </c>
      <c r="F939" s="33" t="n">
        <v>0</v>
      </c>
      <c r="G939" s="131"/>
      <c r="H939" s="35" t="n">
        <v>0</v>
      </c>
      <c r="I939" s="34" t="n">
        <f aca="false">+IF(E939=0,0,E939*0.03)</f>
        <v>0</v>
      </c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customFormat="false" ht="16.4" hidden="false" customHeight="false" outlineLevel="0" collapsed="false">
      <c r="A940" s="123" t="n">
        <v>45444</v>
      </c>
      <c r="B940" s="31" t="s">
        <v>153</v>
      </c>
      <c r="C940" s="129"/>
      <c r="D940" s="129"/>
      <c r="E940" s="19" t="n">
        <f aca="false">F940*0.03</f>
        <v>0</v>
      </c>
      <c r="F940" s="33" t="n">
        <v>0</v>
      </c>
      <c r="G940" s="131"/>
      <c r="H940" s="35" t="n">
        <v>0</v>
      </c>
      <c r="I940" s="34" t="n">
        <f aca="false">+IF(E940=0,0,E940*0.03)</f>
        <v>0</v>
      </c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customFormat="false" ht="16.4" hidden="false" customHeight="false" outlineLevel="0" collapsed="false">
      <c r="A941" s="123" t="n">
        <v>45444</v>
      </c>
      <c r="B941" s="31" t="s">
        <v>153</v>
      </c>
      <c r="C941" s="129"/>
      <c r="D941" s="129"/>
      <c r="E941" s="19" t="n">
        <f aca="false">F941*0.03</f>
        <v>0</v>
      </c>
      <c r="F941" s="33" t="n">
        <v>0</v>
      </c>
      <c r="G941" s="131"/>
      <c r="H941" s="35" t="n">
        <v>0</v>
      </c>
      <c r="I941" s="34" t="n">
        <f aca="false">+IF(E941=0,0,E941*0.03)</f>
        <v>0</v>
      </c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customFormat="false" ht="16.4" hidden="false" customHeight="false" outlineLevel="0" collapsed="false">
      <c r="A942" s="123" t="n">
        <v>45444</v>
      </c>
      <c r="B942" s="31" t="s">
        <v>153</v>
      </c>
      <c r="C942" s="129"/>
      <c r="D942" s="129"/>
      <c r="E942" s="19" t="n">
        <f aca="false">F942*0.03</f>
        <v>0</v>
      </c>
      <c r="F942" s="33" t="n">
        <v>0</v>
      </c>
      <c r="G942" s="131"/>
      <c r="H942" s="35" t="n">
        <v>0</v>
      </c>
      <c r="I942" s="34" t="n">
        <f aca="false">+IF(E942=0,0,E942*0.03)</f>
        <v>0</v>
      </c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customFormat="false" ht="16.4" hidden="false" customHeight="false" outlineLevel="0" collapsed="false">
      <c r="A943" s="123" t="n">
        <v>45444</v>
      </c>
      <c r="B943" s="31" t="s">
        <v>153</v>
      </c>
      <c r="C943" s="129"/>
      <c r="D943" s="129"/>
      <c r="E943" s="19" t="n">
        <f aca="false">F943*0.03</f>
        <v>0</v>
      </c>
      <c r="F943" s="33" t="n">
        <v>0</v>
      </c>
      <c r="G943" s="131"/>
      <c r="H943" s="35" t="n">
        <v>0</v>
      </c>
      <c r="I943" s="34" t="n">
        <f aca="false">+IF(E943=0,0,E943*0.03)</f>
        <v>0</v>
      </c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customFormat="false" ht="16.4" hidden="false" customHeight="false" outlineLevel="0" collapsed="false">
      <c r="A944" s="123" t="n">
        <v>45444</v>
      </c>
      <c r="B944" s="31" t="s">
        <v>153</v>
      </c>
      <c r="C944" s="129"/>
      <c r="D944" s="129"/>
      <c r="E944" s="19" t="n">
        <f aca="false">F944*0.03</f>
        <v>0</v>
      </c>
      <c r="F944" s="33" t="n">
        <v>0</v>
      </c>
      <c r="G944" s="131"/>
      <c r="H944" s="35" t="n">
        <v>0</v>
      </c>
      <c r="I944" s="34" t="n">
        <f aca="false">+IF(E944=0,0,E944*0.03)</f>
        <v>0</v>
      </c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customFormat="false" ht="16.4" hidden="false" customHeight="false" outlineLevel="0" collapsed="false">
      <c r="A945" s="123" t="n">
        <v>45444</v>
      </c>
      <c r="B945" s="31" t="s">
        <v>153</v>
      </c>
      <c r="C945" s="129"/>
      <c r="D945" s="129"/>
      <c r="E945" s="19" t="n">
        <f aca="false">F945*0.03</f>
        <v>0</v>
      </c>
      <c r="F945" s="33" t="n">
        <v>0</v>
      </c>
      <c r="G945" s="131"/>
      <c r="H945" s="35" t="n">
        <v>0</v>
      </c>
      <c r="I945" s="34" t="n">
        <f aca="false">+IF(E945=0,0,E945*0.03)</f>
        <v>0</v>
      </c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customFormat="false" ht="16.4" hidden="false" customHeight="false" outlineLevel="0" collapsed="false">
      <c r="A946" s="123" t="n">
        <v>45444</v>
      </c>
      <c r="B946" s="31" t="s">
        <v>153</v>
      </c>
      <c r="C946" s="129"/>
      <c r="D946" s="129"/>
      <c r="E946" s="19" t="n">
        <f aca="false">F946*0.03</f>
        <v>0</v>
      </c>
      <c r="F946" s="33" t="n">
        <v>0</v>
      </c>
      <c r="G946" s="131"/>
      <c r="H946" s="35" t="n">
        <v>0</v>
      </c>
      <c r="I946" s="34" t="n">
        <f aca="false">+IF(E946=0,0,E946*0.03)</f>
        <v>0</v>
      </c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customFormat="false" ht="16.4" hidden="false" customHeight="false" outlineLevel="0" collapsed="false">
      <c r="A947" s="123" t="n">
        <v>45444</v>
      </c>
      <c r="B947" s="31" t="s">
        <v>153</v>
      </c>
      <c r="C947" s="129"/>
      <c r="D947" s="129"/>
      <c r="E947" s="19" t="n">
        <f aca="false">F947*0.03</f>
        <v>0</v>
      </c>
      <c r="F947" s="33" t="n">
        <v>0</v>
      </c>
      <c r="G947" s="131"/>
      <c r="H947" s="35" t="n">
        <v>0</v>
      </c>
      <c r="I947" s="34" t="n">
        <f aca="false">+IF(E947=0,0,E947*0.03)</f>
        <v>0</v>
      </c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customFormat="false" ht="16.4" hidden="false" customHeight="false" outlineLevel="0" collapsed="false">
      <c r="A948" s="123" t="n">
        <v>45444</v>
      </c>
      <c r="B948" s="31" t="s">
        <v>153</v>
      </c>
      <c r="C948" s="129"/>
      <c r="D948" s="129"/>
      <c r="E948" s="19" t="n">
        <f aca="false">F948*0.03</f>
        <v>0</v>
      </c>
      <c r="F948" s="33" t="n">
        <v>0</v>
      </c>
      <c r="G948" s="131"/>
      <c r="H948" s="35" t="n">
        <v>0</v>
      </c>
      <c r="I948" s="34" t="n">
        <f aca="false">+IF(E948=0,0,E948*0.03)</f>
        <v>0</v>
      </c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customFormat="false" ht="16.4" hidden="false" customHeight="false" outlineLevel="0" collapsed="false">
      <c r="A949" s="123" t="n">
        <v>45444</v>
      </c>
      <c r="B949" s="31" t="s">
        <v>153</v>
      </c>
      <c r="C949" s="129"/>
      <c r="D949" s="129"/>
      <c r="E949" s="19" t="n">
        <f aca="false">F949*0.03</f>
        <v>0</v>
      </c>
      <c r="F949" s="33" t="n">
        <v>0</v>
      </c>
      <c r="G949" s="131"/>
      <c r="H949" s="35" t="n">
        <v>0</v>
      </c>
      <c r="I949" s="34" t="n">
        <f aca="false">+IF(E949=0,0,E949*0.03)</f>
        <v>0</v>
      </c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customFormat="false" ht="16.4" hidden="false" customHeight="false" outlineLevel="0" collapsed="false">
      <c r="A950" s="123" t="n">
        <v>45444</v>
      </c>
      <c r="B950" s="31" t="s">
        <v>153</v>
      </c>
      <c r="C950" s="129"/>
      <c r="D950" s="129"/>
      <c r="E950" s="19" t="n">
        <f aca="false">F950*0.03</f>
        <v>0</v>
      </c>
      <c r="F950" s="33" t="n">
        <v>0</v>
      </c>
      <c r="G950" s="131"/>
      <c r="H950" s="35" t="n">
        <v>0</v>
      </c>
      <c r="I950" s="34" t="n">
        <f aca="false">+IF(E950=0,0,E950*0.03)</f>
        <v>0</v>
      </c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customFormat="false" ht="16.4" hidden="false" customHeight="false" outlineLevel="0" collapsed="false">
      <c r="A951" s="123" t="n">
        <v>45444</v>
      </c>
      <c r="B951" s="31" t="s">
        <v>153</v>
      </c>
      <c r="C951" s="129"/>
      <c r="D951" s="129"/>
      <c r="E951" s="19" t="n">
        <f aca="false">F951*0.03</f>
        <v>0</v>
      </c>
      <c r="F951" s="33" t="n">
        <v>0</v>
      </c>
      <c r="G951" s="131"/>
      <c r="H951" s="35" t="n">
        <v>0</v>
      </c>
      <c r="I951" s="34" t="n">
        <f aca="false">+IF(E951=0,0,E951*0.03)</f>
        <v>0</v>
      </c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customFormat="false" ht="16.4" hidden="false" customHeight="false" outlineLevel="0" collapsed="false">
      <c r="A952" s="123" t="n">
        <v>45444</v>
      </c>
      <c r="B952" s="31" t="s">
        <v>153</v>
      </c>
      <c r="C952" s="129"/>
      <c r="D952" s="129"/>
      <c r="E952" s="19" t="n">
        <f aca="false">F952*0.03</f>
        <v>0</v>
      </c>
      <c r="F952" s="33" t="n">
        <v>0</v>
      </c>
      <c r="G952" s="131"/>
      <c r="H952" s="35" t="n">
        <v>0</v>
      </c>
      <c r="I952" s="34" t="n">
        <f aca="false">+IF(E952=0,0,E952*0.03)</f>
        <v>0</v>
      </c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customFormat="false" ht="16.4" hidden="false" customHeight="false" outlineLevel="0" collapsed="false">
      <c r="A953" s="123" t="n">
        <v>45444</v>
      </c>
      <c r="B953" s="31" t="s">
        <v>153</v>
      </c>
      <c r="C953" s="129"/>
      <c r="D953" s="129"/>
      <c r="E953" s="19" t="n">
        <f aca="false">F953*0.03</f>
        <v>0</v>
      </c>
      <c r="F953" s="33" t="n">
        <v>0</v>
      </c>
      <c r="G953" s="131"/>
      <c r="H953" s="35" t="n">
        <v>0</v>
      </c>
      <c r="I953" s="34" t="n">
        <f aca="false">+IF(E953=0,0,E953*0.03)</f>
        <v>0</v>
      </c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customFormat="false" ht="16.4" hidden="false" customHeight="false" outlineLevel="0" collapsed="false">
      <c r="A954" s="123" t="n">
        <v>45444</v>
      </c>
      <c r="B954" s="31" t="s">
        <v>153</v>
      </c>
      <c r="C954" s="129"/>
      <c r="D954" s="129"/>
      <c r="E954" s="19" t="n">
        <f aca="false">F954*0.03</f>
        <v>0</v>
      </c>
      <c r="F954" s="33" t="n">
        <v>0</v>
      </c>
      <c r="G954" s="131"/>
      <c r="H954" s="35" t="n">
        <v>0</v>
      </c>
      <c r="I954" s="34" t="n">
        <f aca="false">+IF(E954=0,0,E954*0.03)</f>
        <v>0</v>
      </c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customFormat="false" ht="16.4" hidden="false" customHeight="false" outlineLevel="0" collapsed="false">
      <c r="A955" s="123" t="n">
        <v>45444</v>
      </c>
      <c r="B955" s="31" t="s">
        <v>153</v>
      </c>
      <c r="C955" s="129"/>
      <c r="D955" s="129"/>
      <c r="E955" s="19" t="n">
        <f aca="false">F955*0.03</f>
        <v>0</v>
      </c>
      <c r="F955" s="33" t="n">
        <v>0</v>
      </c>
      <c r="G955" s="131"/>
      <c r="H955" s="35" t="n">
        <v>0</v>
      </c>
      <c r="I955" s="34" t="n">
        <f aca="false">+IF(E955=0,0,E955*0.03)</f>
        <v>0</v>
      </c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customFormat="false" ht="16.4" hidden="false" customHeight="false" outlineLevel="0" collapsed="false">
      <c r="A956" s="123" t="n">
        <v>45444</v>
      </c>
      <c r="B956" s="31" t="s">
        <v>153</v>
      </c>
      <c r="C956" s="129"/>
      <c r="D956" s="129"/>
      <c r="E956" s="19" t="n">
        <f aca="false">F956*0.03</f>
        <v>0</v>
      </c>
      <c r="F956" s="33" t="n">
        <v>0</v>
      </c>
      <c r="G956" s="131"/>
      <c r="H956" s="35" t="n">
        <v>0</v>
      </c>
      <c r="I956" s="34" t="n">
        <f aca="false">+IF(E956=0,0,E956*0.03)</f>
        <v>0</v>
      </c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customFormat="false" ht="16.4" hidden="false" customHeight="false" outlineLevel="0" collapsed="false">
      <c r="A957" s="123" t="n">
        <v>45444</v>
      </c>
      <c r="B957" s="31" t="s">
        <v>153</v>
      </c>
      <c r="C957" s="129"/>
      <c r="D957" s="129"/>
      <c r="E957" s="19" t="n">
        <f aca="false">F957*0.03</f>
        <v>0</v>
      </c>
      <c r="F957" s="33" t="n">
        <v>0</v>
      </c>
      <c r="G957" s="131"/>
      <c r="H957" s="35" t="n">
        <v>0</v>
      </c>
      <c r="I957" s="34" t="n">
        <f aca="false">+IF(E957=0,0,E957*0.03)</f>
        <v>0</v>
      </c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customFormat="false" ht="16.4" hidden="false" customHeight="false" outlineLevel="0" collapsed="false">
      <c r="A958" s="123" t="n">
        <v>45444</v>
      </c>
      <c r="B958" s="31" t="s">
        <v>153</v>
      </c>
      <c r="C958" s="129"/>
      <c r="D958" s="129"/>
      <c r="E958" s="19" t="n">
        <f aca="false">F958*0.03</f>
        <v>0</v>
      </c>
      <c r="F958" s="33" t="n">
        <v>0</v>
      </c>
      <c r="G958" s="131"/>
      <c r="H958" s="35" t="n">
        <v>0</v>
      </c>
      <c r="I958" s="34" t="n">
        <f aca="false">+IF(E958=0,0,E958*0.03)</f>
        <v>0</v>
      </c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customFormat="false" ht="16.4" hidden="false" customHeight="false" outlineLevel="0" collapsed="false">
      <c r="A959" s="123" t="n">
        <v>45444</v>
      </c>
      <c r="B959" s="31" t="s">
        <v>153</v>
      </c>
      <c r="C959" s="129"/>
      <c r="D959" s="129"/>
      <c r="E959" s="19" t="n">
        <f aca="false">F959*0.03</f>
        <v>0</v>
      </c>
      <c r="F959" s="33" t="n">
        <v>0</v>
      </c>
      <c r="G959" s="131"/>
      <c r="H959" s="35" t="n">
        <v>0</v>
      </c>
      <c r="I959" s="34" t="n">
        <f aca="false">+IF(E959=0,0,E959*0.03)</f>
        <v>0</v>
      </c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customFormat="false" ht="16.4" hidden="false" customHeight="false" outlineLevel="0" collapsed="false">
      <c r="A960" s="123" t="n">
        <v>45444</v>
      </c>
      <c r="B960" s="31" t="s">
        <v>153</v>
      </c>
      <c r="C960" s="129"/>
      <c r="D960" s="129"/>
      <c r="E960" s="19" t="n">
        <f aca="false">F960*0.03</f>
        <v>0</v>
      </c>
      <c r="F960" s="33" t="n">
        <v>0</v>
      </c>
      <c r="G960" s="131"/>
      <c r="H960" s="35" t="n">
        <v>0</v>
      </c>
      <c r="I960" s="34" t="n">
        <f aca="false">+IF(E960=0,0,E960*0.03)</f>
        <v>0</v>
      </c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customFormat="false" ht="16.4" hidden="false" customHeight="false" outlineLevel="0" collapsed="false">
      <c r="A961" s="123" t="n">
        <v>45444</v>
      </c>
      <c r="B961" s="31" t="s">
        <v>153</v>
      </c>
      <c r="C961" s="129"/>
      <c r="D961" s="129"/>
      <c r="E961" s="19" t="n">
        <f aca="false">F961*0.03</f>
        <v>0</v>
      </c>
      <c r="F961" s="33" t="n">
        <v>0</v>
      </c>
      <c r="G961" s="131"/>
      <c r="H961" s="35" t="n">
        <v>0</v>
      </c>
      <c r="I961" s="34" t="n">
        <f aca="false">+IF(E961=0,0,E961*0.03)</f>
        <v>0</v>
      </c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customFormat="false" ht="16.4" hidden="false" customHeight="false" outlineLevel="0" collapsed="false">
      <c r="A962" s="123" t="n">
        <v>45444</v>
      </c>
      <c r="B962" s="31" t="s">
        <v>153</v>
      </c>
      <c r="C962" s="129"/>
      <c r="D962" s="129"/>
      <c r="E962" s="19" t="n">
        <f aca="false">F962*0.03</f>
        <v>0</v>
      </c>
      <c r="F962" s="33" t="n">
        <v>0</v>
      </c>
      <c r="G962" s="131"/>
      <c r="H962" s="35" t="n">
        <v>0</v>
      </c>
      <c r="I962" s="34" t="n">
        <f aca="false">+IF(E962=0,0,E962*0.03)</f>
        <v>0</v>
      </c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customFormat="false" ht="16.4" hidden="false" customHeight="false" outlineLevel="0" collapsed="false">
      <c r="A963" s="123" t="n">
        <v>45444</v>
      </c>
      <c r="B963" s="31" t="s">
        <v>153</v>
      </c>
      <c r="C963" s="129"/>
      <c r="D963" s="129"/>
      <c r="E963" s="19" t="n">
        <f aca="false">F963*0.03</f>
        <v>0</v>
      </c>
      <c r="F963" s="33" t="n">
        <v>0</v>
      </c>
      <c r="G963" s="131"/>
      <c r="H963" s="35" t="n">
        <v>0</v>
      </c>
      <c r="I963" s="34" t="n">
        <f aca="false">+IF(E963=0,0,E963*0.03)</f>
        <v>0</v>
      </c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customFormat="false" ht="16.4" hidden="false" customHeight="false" outlineLevel="0" collapsed="false">
      <c r="A964" s="123" t="n">
        <v>45444</v>
      </c>
      <c r="B964" s="31" t="s">
        <v>153</v>
      </c>
      <c r="C964" s="129"/>
      <c r="D964" s="129"/>
      <c r="E964" s="19" t="n">
        <f aca="false">F964*0.03</f>
        <v>0</v>
      </c>
      <c r="F964" s="33" t="n">
        <v>0</v>
      </c>
      <c r="G964" s="131"/>
      <c r="H964" s="35" t="n">
        <v>0</v>
      </c>
      <c r="I964" s="34" t="n">
        <f aca="false">+IF(E964=0,0,E964*0.03)</f>
        <v>0</v>
      </c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customFormat="false" ht="16.4" hidden="false" customHeight="false" outlineLevel="0" collapsed="false">
      <c r="A965" s="123" t="n">
        <v>45444</v>
      </c>
      <c r="B965" s="31" t="s">
        <v>153</v>
      </c>
      <c r="C965" s="129"/>
      <c r="D965" s="129"/>
      <c r="E965" s="19" t="n">
        <f aca="false">F965*0.03</f>
        <v>0</v>
      </c>
      <c r="F965" s="33" t="n">
        <v>0</v>
      </c>
      <c r="G965" s="131"/>
      <c r="H965" s="35" t="n">
        <v>0</v>
      </c>
      <c r="I965" s="34" t="n">
        <f aca="false">+IF(E965=0,0,E965*0.03)</f>
        <v>0</v>
      </c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customFormat="false" ht="16.4" hidden="false" customHeight="false" outlineLevel="0" collapsed="false">
      <c r="A966" s="123" t="n">
        <v>45444</v>
      </c>
      <c r="B966" s="31" t="s">
        <v>153</v>
      </c>
      <c r="C966" s="129"/>
      <c r="D966" s="129"/>
      <c r="E966" s="19" t="n">
        <f aca="false">F966*0.03</f>
        <v>0</v>
      </c>
      <c r="F966" s="33" t="n">
        <v>0</v>
      </c>
      <c r="G966" s="131"/>
      <c r="H966" s="35" t="n">
        <v>0</v>
      </c>
      <c r="I966" s="34" t="n">
        <f aca="false">+IF(E966=0,0,E966*0.03)</f>
        <v>0</v>
      </c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customFormat="false" ht="16.4" hidden="false" customHeight="false" outlineLevel="0" collapsed="false">
      <c r="A967" s="123" t="n">
        <v>45444</v>
      </c>
      <c r="B967" s="31" t="s">
        <v>153</v>
      </c>
      <c r="C967" s="129"/>
      <c r="D967" s="129"/>
      <c r="E967" s="19" t="n">
        <f aca="false">F967*0.03</f>
        <v>0</v>
      </c>
      <c r="F967" s="33" t="n">
        <v>0</v>
      </c>
      <c r="G967" s="131"/>
      <c r="H967" s="35" t="n">
        <v>0</v>
      </c>
      <c r="I967" s="34" t="n">
        <f aca="false">+IF(E967=0,0,E967*0.03)</f>
        <v>0</v>
      </c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customFormat="false" ht="16.4" hidden="false" customHeight="false" outlineLevel="0" collapsed="false">
      <c r="A968" s="123" t="n">
        <v>45444</v>
      </c>
      <c r="B968" s="31" t="s">
        <v>153</v>
      </c>
      <c r="C968" s="129"/>
      <c r="D968" s="129"/>
      <c r="E968" s="19" t="n">
        <f aca="false">F968*0.03</f>
        <v>0</v>
      </c>
      <c r="F968" s="33" t="n">
        <v>0</v>
      </c>
      <c r="G968" s="131"/>
      <c r="H968" s="35" t="n">
        <v>0</v>
      </c>
      <c r="I968" s="34" t="n">
        <f aca="false">+IF(E968=0,0,E968*0.03)</f>
        <v>0</v>
      </c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customFormat="false" ht="16.4" hidden="false" customHeight="false" outlineLevel="0" collapsed="false">
      <c r="A969" s="123" t="n">
        <v>45444</v>
      </c>
      <c r="B969" s="31" t="s">
        <v>153</v>
      </c>
      <c r="C969" s="129"/>
      <c r="D969" s="129"/>
      <c r="E969" s="19" t="n">
        <f aca="false">F969*0.03</f>
        <v>0</v>
      </c>
      <c r="F969" s="33" t="n">
        <v>0</v>
      </c>
      <c r="G969" s="131"/>
      <c r="H969" s="35" t="n">
        <v>0</v>
      </c>
      <c r="I969" s="34" t="n">
        <f aca="false">+IF(E969=0,0,E969*0.03)</f>
        <v>0</v>
      </c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customFormat="false" ht="16.4" hidden="false" customHeight="false" outlineLevel="0" collapsed="false">
      <c r="A970" s="123" t="n">
        <v>45444</v>
      </c>
      <c r="B970" s="31" t="s">
        <v>153</v>
      </c>
      <c r="C970" s="129"/>
      <c r="D970" s="129"/>
      <c r="E970" s="19" t="n">
        <f aca="false">F970*0.03</f>
        <v>0</v>
      </c>
      <c r="F970" s="33" t="n">
        <v>0</v>
      </c>
      <c r="G970" s="131"/>
      <c r="H970" s="35" t="n">
        <v>0</v>
      </c>
      <c r="I970" s="34" t="n">
        <f aca="false">+IF(E970=0,0,E970*0.03)</f>
        <v>0</v>
      </c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customFormat="false" ht="16.4" hidden="false" customHeight="false" outlineLevel="0" collapsed="false">
      <c r="A971" s="123" t="n">
        <v>45444</v>
      </c>
      <c r="B971" s="31" t="s">
        <v>153</v>
      </c>
      <c r="C971" s="129"/>
      <c r="D971" s="129"/>
      <c r="E971" s="19" t="n">
        <f aca="false">F971*0.03</f>
        <v>0</v>
      </c>
      <c r="F971" s="33" t="n">
        <v>0</v>
      </c>
      <c r="G971" s="131"/>
      <c r="H971" s="35" t="n">
        <v>0</v>
      </c>
      <c r="I971" s="34" t="n">
        <f aca="false">+IF(E971=0,0,E971*0.03)</f>
        <v>0</v>
      </c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customFormat="false" ht="16.4" hidden="false" customHeight="false" outlineLevel="0" collapsed="false">
      <c r="A972" s="123" t="n">
        <v>45444</v>
      </c>
      <c r="B972" s="31" t="s">
        <v>153</v>
      </c>
      <c r="C972" s="129"/>
      <c r="D972" s="129"/>
      <c r="E972" s="19" t="n">
        <f aca="false">F972*0.03</f>
        <v>0</v>
      </c>
      <c r="F972" s="33" t="n">
        <v>0</v>
      </c>
      <c r="G972" s="131"/>
      <c r="H972" s="35" t="n">
        <v>0</v>
      </c>
      <c r="I972" s="34" t="n">
        <f aca="false">+IF(E972=0,0,E972*0.03)</f>
        <v>0</v>
      </c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customFormat="false" ht="16.4" hidden="false" customHeight="false" outlineLevel="0" collapsed="false">
      <c r="A973" s="123" t="n">
        <v>45444</v>
      </c>
      <c r="B973" s="31" t="s">
        <v>153</v>
      </c>
      <c r="C973" s="129"/>
      <c r="D973" s="129"/>
      <c r="E973" s="19" t="n">
        <f aca="false">F973*0.03</f>
        <v>0</v>
      </c>
      <c r="F973" s="33" t="n">
        <v>0</v>
      </c>
      <c r="G973" s="131"/>
      <c r="H973" s="35" t="n">
        <v>0</v>
      </c>
      <c r="I973" s="34" t="n">
        <f aca="false">+IF(E973=0,0,E973*0.03)</f>
        <v>0</v>
      </c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customFormat="false" ht="16.4" hidden="false" customHeight="false" outlineLevel="0" collapsed="false">
      <c r="A974" s="123" t="n">
        <v>45444</v>
      </c>
      <c r="B974" s="31" t="s">
        <v>153</v>
      </c>
      <c r="C974" s="129"/>
      <c r="D974" s="129"/>
      <c r="E974" s="19" t="n">
        <f aca="false">F974*0.03</f>
        <v>0</v>
      </c>
      <c r="F974" s="33" t="n">
        <v>0</v>
      </c>
      <c r="G974" s="131"/>
      <c r="H974" s="35" t="n">
        <v>0</v>
      </c>
      <c r="I974" s="34" t="n">
        <f aca="false">+IF(E974=0,0,E974*0.03)</f>
        <v>0</v>
      </c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customFormat="false" ht="16.4" hidden="false" customHeight="false" outlineLevel="0" collapsed="false">
      <c r="A975" s="123" t="n">
        <v>45444</v>
      </c>
      <c r="B975" s="31" t="s">
        <v>153</v>
      </c>
      <c r="C975" s="129"/>
      <c r="D975" s="129"/>
      <c r="E975" s="19" t="n">
        <f aca="false">F975*0.03</f>
        <v>0</v>
      </c>
      <c r="F975" s="33" t="n">
        <v>0</v>
      </c>
      <c r="G975" s="131"/>
      <c r="H975" s="35" t="n">
        <v>0</v>
      </c>
      <c r="I975" s="34" t="n">
        <f aca="false">+IF(E975=0,0,E975*0.03)</f>
        <v>0</v>
      </c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customFormat="false" ht="16.4" hidden="false" customHeight="false" outlineLevel="0" collapsed="false">
      <c r="A976" s="123" t="n">
        <v>45444</v>
      </c>
      <c r="B976" s="31" t="s">
        <v>153</v>
      </c>
      <c r="C976" s="129"/>
      <c r="D976" s="129"/>
      <c r="E976" s="19" t="n">
        <f aca="false">F976*0.03</f>
        <v>0</v>
      </c>
      <c r="F976" s="33" t="n">
        <v>0</v>
      </c>
      <c r="G976" s="131"/>
      <c r="H976" s="35" t="n">
        <v>0</v>
      </c>
      <c r="I976" s="34" t="n">
        <f aca="false">+IF(E976=0,0,E976*0.03)</f>
        <v>0</v>
      </c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customFormat="false" ht="16.4" hidden="false" customHeight="false" outlineLevel="0" collapsed="false">
      <c r="A977" s="123" t="n">
        <v>45444</v>
      </c>
      <c r="B977" s="31" t="s">
        <v>153</v>
      </c>
      <c r="C977" s="129"/>
      <c r="D977" s="129"/>
      <c r="E977" s="19" t="n">
        <f aca="false">F977*0.03</f>
        <v>0</v>
      </c>
      <c r="F977" s="33" t="n">
        <v>0</v>
      </c>
      <c r="G977" s="131"/>
      <c r="H977" s="35" t="n">
        <v>0</v>
      </c>
      <c r="I977" s="34" t="n">
        <f aca="false">+IF(E977=0,0,E977*0.03)</f>
        <v>0</v>
      </c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customFormat="false" ht="16.4" hidden="false" customHeight="false" outlineLevel="0" collapsed="false">
      <c r="A978" s="123" t="n">
        <v>45444</v>
      </c>
      <c r="B978" s="31" t="s">
        <v>153</v>
      </c>
      <c r="C978" s="129"/>
      <c r="D978" s="129"/>
      <c r="E978" s="19" t="n">
        <f aca="false">F978*0.03</f>
        <v>0</v>
      </c>
      <c r="F978" s="33" t="n">
        <v>0</v>
      </c>
      <c r="G978" s="131"/>
      <c r="H978" s="35" t="n">
        <v>0</v>
      </c>
      <c r="I978" s="34" t="n">
        <f aca="false">+IF(E978=0,0,E978*0.03)</f>
        <v>0</v>
      </c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customFormat="false" ht="16.4" hidden="false" customHeight="false" outlineLevel="0" collapsed="false">
      <c r="A979" s="123" t="n">
        <v>45444</v>
      </c>
      <c r="B979" s="31" t="s">
        <v>153</v>
      </c>
      <c r="C979" s="129"/>
      <c r="D979" s="129"/>
      <c r="E979" s="19" t="n">
        <f aca="false">F979*0.03</f>
        <v>0</v>
      </c>
      <c r="F979" s="33" t="n">
        <v>0</v>
      </c>
      <c r="G979" s="131"/>
      <c r="H979" s="35" t="n">
        <v>0</v>
      </c>
      <c r="I979" s="34" t="n">
        <f aca="false">+IF(E979=0,0,E979*0.03)</f>
        <v>0</v>
      </c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customFormat="false" ht="16.4" hidden="false" customHeight="false" outlineLevel="0" collapsed="false">
      <c r="A980" s="123" t="n">
        <v>45444</v>
      </c>
      <c r="B980" s="31" t="s">
        <v>153</v>
      </c>
      <c r="C980" s="129"/>
      <c r="D980" s="129"/>
      <c r="E980" s="19" t="n">
        <f aca="false">F980*0.03</f>
        <v>0</v>
      </c>
      <c r="F980" s="33" t="n">
        <v>0</v>
      </c>
      <c r="G980" s="131"/>
      <c r="H980" s="35" t="n">
        <v>0</v>
      </c>
      <c r="I980" s="34" t="n">
        <f aca="false">+IF(E980=0,0,E980*0.03)</f>
        <v>0</v>
      </c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customFormat="false" ht="16.4" hidden="false" customHeight="false" outlineLevel="0" collapsed="false">
      <c r="A981" s="123" t="n">
        <v>45444</v>
      </c>
      <c r="B981" s="31" t="s">
        <v>153</v>
      </c>
      <c r="C981" s="129"/>
      <c r="D981" s="129"/>
      <c r="E981" s="19" t="n">
        <f aca="false">F981*0.03</f>
        <v>0</v>
      </c>
      <c r="F981" s="33" t="n">
        <v>0</v>
      </c>
      <c r="G981" s="131"/>
      <c r="H981" s="35" t="n">
        <v>0</v>
      </c>
      <c r="I981" s="34" t="n">
        <f aca="false">+IF(E981=0,0,E981*0.03)</f>
        <v>0</v>
      </c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customFormat="false" ht="16.4" hidden="false" customHeight="false" outlineLevel="0" collapsed="false">
      <c r="A982" s="123" t="n">
        <v>45444</v>
      </c>
      <c r="B982" s="31" t="s">
        <v>153</v>
      </c>
      <c r="C982" s="129"/>
      <c r="D982" s="129"/>
      <c r="E982" s="19" t="n">
        <f aca="false">F982*0.03</f>
        <v>0</v>
      </c>
      <c r="F982" s="33" t="n">
        <v>0</v>
      </c>
      <c r="G982" s="131"/>
      <c r="H982" s="35" t="n">
        <v>0</v>
      </c>
      <c r="I982" s="34" t="n">
        <f aca="false">+IF(E982=0,0,E982*0.03)</f>
        <v>0</v>
      </c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customFormat="false" ht="16.4" hidden="false" customHeight="false" outlineLevel="0" collapsed="false">
      <c r="A983" s="123" t="n">
        <v>45444</v>
      </c>
      <c r="B983" s="31" t="s">
        <v>153</v>
      </c>
      <c r="C983" s="129"/>
      <c r="D983" s="129"/>
      <c r="E983" s="19" t="n">
        <f aca="false">F983*0.03</f>
        <v>0</v>
      </c>
      <c r="F983" s="33" t="n">
        <v>0</v>
      </c>
      <c r="G983" s="131"/>
      <c r="H983" s="35" t="n">
        <v>0</v>
      </c>
      <c r="I983" s="34" t="n">
        <f aca="false">+IF(E983=0,0,E983*0.03)</f>
        <v>0</v>
      </c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customFormat="false" ht="16.4" hidden="false" customHeight="false" outlineLevel="0" collapsed="false">
      <c r="A984" s="123" t="n">
        <v>45444</v>
      </c>
      <c r="B984" s="31" t="s">
        <v>153</v>
      </c>
      <c r="C984" s="129"/>
      <c r="D984" s="129"/>
      <c r="E984" s="19" t="n">
        <f aca="false">F984*0.03</f>
        <v>0</v>
      </c>
      <c r="F984" s="33" t="n">
        <v>0</v>
      </c>
      <c r="G984" s="131"/>
      <c r="H984" s="35" t="n">
        <v>0</v>
      </c>
      <c r="I984" s="34" t="n">
        <f aca="false">+IF(E984=0,0,E984*0.03)</f>
        <v>0</v>
      </c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customFormat="false" ht="16.4" hidden="false" customHeight="false" outlineLevel="0" collapsed="false">
      <c r="A985" s="123" t="n">
        <v>45444</v>
      </c>
      <c r="B985" s="31" t="s">
        <v>153</v>
      </c>
      <c r="C985" s="129"/>
      <c r="D985" s="129"/>
      <c r="E985" s="19" t="n">
        <f aca="false">F985*0.03</f>
        <v>0</v>
      </c>
      <c r="F985" s="33" t="n">
        <v>0</v>
      </c>
      <c r="G985" s="131"/>
      <c r="H985" s="35" t="n">
        <v>0</v>
      </c>
      <c r="I985" s="34" t="n">
        <f aca="false">+IF(E985=0,0,E985*0.03)</f>
        <v>0</v>
      </c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customFormat="false" ht="16.4" hidden="false" customHeight="false" outlineLevel="0" collapsed="false">
      <c r="A986" s="123" t="n">
        <v>45444</v>
      </c>
      <c r="B986" s="31" t="s">
        <v>153</v>
      </c>
      <c r="C986" s="129"/>
      <c r="D986" s="129"/>
      <c r="E986" s="19" t="n">
        <f aca="false">F986*0.03</f>
        <v>0</v>
      </c>
      <c r="F986" s="33" t="n">
        <v>0</v>
      </c>
      <c r="G986" s="131"/>
      <c r="H986" s="35" t="n">
        <v>0</v>
      </c>
      <c r="I986" s="34" t="n">
        <f aca="false">+IF(E986=0,0,E986*0.03)</f>
        <v>0</v>
      </c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customFormat="false" ht="16.4" hidden="false" customHeight="false" outlineLevel="0" collapsed="false">
      <c r="A987" s="123" t="n">
        <v>45444</v>
      </c>
      <c r="B987" s="31" t="s">
        <v>153</v>
      </c>
      <c r="C987" s="129"/>
      <c r="D987" s="129"/>
      <c r="E987" s="19" t="n">
        <f aca="false">F987*0.03</f>
        <v>0</v>
      </c>
      <c r="F987" s="33" t="n">
        <v>0</v>
      </c>
      <c r="G987" s="131"/>
      <c r="H987" s="35" t="n">
        <v>0</v>
      </c>
      <c r="I987" s="34" t="n">
        <f aca="false">+IF(E987=0,0,E987*0.03)</f>
        <v>0</v>
      </c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customFormat="false" ht="16.4" hidden="false" customHeight="false" outlineLevel="0" collapsed="false">
      <c r="A988" s="123" t="n">
        <v>45444</v>
      </c>
      <c r="B988" s="31" t="s">
        <v>153</v>
      </c>
      <c r="C988" s="129"/>
      <c r="D988" s="129"/>
      <c r="E988" s="19" t="n">
        <f aca="false">F988*0.03</f>
        <v>0</v>
      </c>
      <c r="F988" s="33" t="n">
        <v>0</v>
      </c>
      <c r="G988" s="131"/>
      <c r="H988" s="35" t="n">
        <v>0</v>
      </c>
      <c r="I988" s="34" t="n">
        <f aca="false">+IF(E988=0,0,E988*0.03)</f>
        <v>0</v>
      </c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customFormat="false" ht="16.4" hidden="false" customHeight="false" outlineLevel="0" collapsed="false">
      <c r="A989" s="123" t="n">
        <v>45444</v>
      </c>
      <c r="B989" s="31" t="s">
        <v>153</v>
      </c>
      <c r="C989" s="129"/>
      <c r="D989" s="129"/>
      <c r="E989" s="19" t="n">
        <f aca="false">F989*0.03</f>
        <v>0</v>
      </c>
      <c r="F989" s="33" t="n">
        <v>0</v>
      </c>
      <c r="G989" s="131"/>
      <c r="H989" s="35" t="n">
        <v>0</v>
      </c>
      <c r="I989" s="34" t="n">
        <f aca="false">+IF(E989=0,0,E989*0.03)</f>
        <v>0</v>
      </c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customFormat="false" ht="16.4" hidden="false" customHeight="false" outlineLevel="0" collapsed="false">
      <c r="A990" s="123" t="n">
        <v>45444</v>
      </c>
      <c r="B990" s="31" t="s">
        <v>153</v>
      </c>
      <c r="C990" s="129"/>
      <c r="D990" s="129"/>
      <c r="E990" s="19" t="n">
        <f aca="false">F990*0.03</f>
        <v>0</v>
      </c>
      <c r="F990" s="33" t="n">
        <v>0</v>
      </c>
      <c r="G990" s="131"/>
      <c r="H990" s="35" t="n">
        <v>0</v>
      </c>
      <c r="I990" s="34" t="n">
        <f aca="false">+IF(E990=0,0,E990*0.03)</f>
        <v>0</v>
      </c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customFormat="false" ht="16.4" hidden="false" customHeight="false" outlineLevel="0" collapsed="false">
      <c r="A991" s="123" t="n">
        <v>45444</v>
      </c>
      <c r="B991" s="31" t="s">
        <v>153</v>
      </c>
      <c r="C991" s="129"/>
      <c r="D991" s="129"/>
      <c r="E991" s="19" t="n">
        <f aca="false">F991*0.03</f>
        <v>0</v>
      </c>
      <c r="F991" s="33" t="n">
        <v>0</v>
      </c>
      <c r="G991" s="131"/>
      <c r="H991" s="35" t="n">
        <v>0</v>
      </c>
      <c r="I991" s="34" t="n">
        <f aca="false">+IF(E991=0,0,E991*0.03)</f>
        <v>0</v>
      </c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customFormat="false" ht="16.4" hidden="false" customHeight="false" outlineLevel="0" collapsed="false">
      <c r="A992" s="123" t="n">
        <v>45444</v>
      </c>
      <c r="B992" s="31" t="s">
        <v>153</v>
      </c>
      <c r="C992" s="129"/>
      <c r="D992" s="129"/>
      <c r="E992" s="19" t="n">
        <f aca="false">F992*0.03</f>
        <v>0</v>
      </c>
      <c r="F992" s="33" t="n">
        <v>0</v>
      </c>
      <c r="G992" s="131"/>
      <c r="H992" s="35" t="n">
        <v>0</v>
      </c>
      <c r="I992" s="34" t="n">
        <f aca="false">+IF(E992=0,0,E992*0.03)</f>
        <v>0</v>
      </c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customFormat="false" ht="16.4" hidden="false" customHeight="false" outlineLevel="0" collapsed="false">
      <c r="A993" s="123" t="n">
        <v>45444</v>
      </c>
      <c r="B993" s="31" t="s">
        <v>153</v>
      </c>
      <c r="C993" s="129"/>
      <c r="D993" s="129"/>
      <c r="E993" s="19" t="n">
        <f aca="false">F993*0.03</f>
        <v>0</v>
      </c>
      <c r="F993" s="33" t="n">
        <v>0</v>
      </c>
      <c r="G993" s="131"/>
      <c r="H993" s="35" t="n">
        <v>0</v>
      </c>
      <c r="I993" s="34" t="n">
        <f aca="false">+IF(E993=0,0,E993*0.03)</f>
        <v>0</v>
      </c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customFormat="false" ht="16.4" hidden="false" customHeight="false" outlineLevel="0" collapsed="false">
      <c r="A994" s="123" t="n">
        <v>45444</v>
      </c>
      <c r="B994" s="31" t="s">
        <v>153</v>
      </c>
      <c r="C994" s="129"/>
      <c r="D994" s="129"/>
      <c r="E994" s="19" t="n">
        <f aca="false">F994*0.03</f>
        <v>0</v>
      </c>
      <c r="F994" s="33" t="n">
        <v>0</v>
      </c>
      <c r="G994" s="131"/>
      <c r="H994" s="35" t="n">
        <v>0</v>
      </c>
      <c r="I994" s="34" t="n">
        <f aca="false">+IF(E994=0,0,E994*0.03)</f>
        <v>0</v>
      </c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customFormat="false" ht="16.4" hidden="false" customHeight="false" outlineLevel="0" collapsed="false">
      <c r="A995" s="123" t="n">
        <v>45444</v>
      </c>
      <c r="B995" s="31" t="s">
        <v>153</v>
      </c>
      <c r="C995" s="129"/>
      <c r="D995" s="129"/>
      <c r="E995" s="19" t="n">
        <f aca="false">F995*0.03</f>
        <v>0</v>
      </c>
      <c r="F995" s="33" t="n">
        <v>0</v>
      </c>
      <c r="G995" s="131"/>
      <c r="H995" s="35" t="n">
        <v>0</v>
      </c>
      <c r="I995" s="34" t="n">
        <f aca="false">+IF(E995=0,0,E995*0.03)</f>
        <v>0</v>
      </c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customFormat="false" ht="16.4" hidden="false" customHeight="false" outlineLevel="0" collapsed="false">
      <c r="A996" s="123" t="n">
        <v>45444</v>
      </c>
      <c r="B996" s="31" t="s">
        <v>153</v>
      </c>
      <c r="C996" s="129"/>
      <c r="D996" s="129"/>
      <c r="E996" s="19" t="n">
        <f aca="false">F996*0.03</f>
        <v>0</v>
      </c>
      <c r="F996" s="33" t="n">
        <v>0</v>
      </c>
      <c r="G996" s="131"/>
      <c r="H996" s="35" t="n">
        <v>0</v>
      </c>
      <c r="I996" s="34" t="n">
        <f aca="false">+IF(E996=0,0,E996*0.03)</f>
        <v>0</v>
      </c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customFormat="false" ht="16.4" hidden="false" customHeight="false" outlineLevel="0" collapsed="false">
      <c r="A997" s="123" t="n">
        <v>45444</v>
      </c>
      <c r="B997" s="31" t="s">
        <v>153</v>
      </c>
      <c r="C997" s="129"/>
      <c r="D997" s="129"/>
      <c r="E997" s="19" t="n">
        <f aca="false">F997*0.03</f>
        <v>0</v>
      </c>
      <c r="F997" s="33" t="n">
        <v>0</v>
      </c>
      <c r="G997" s="131"/>
      <c r="H997" s="35" t="n">
        <v>0</v>
      </c>
      <c r="I997" s="34" t="n">
        <f aca="false">+IF(E997=0,0,E997*0.03)</f>
        <v>0</v>
      </c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customFormat="false" ht="16.4" hidden="false" customHeight="false" outlineLevel="0" collapsed="false">
      <c r="A998" s="123" t="n">
        <v>45444</v>
      </c>
      <c r="B998" s="31" t="s">
        <v>153</v>
      </c>
      <c r="C998" s="129"/>
      <c r="D998" s="129"/>
      <c r="E998" s="19" t="n">
        <f aca="false">F998*0.03</f>
        <v>0</v>
      </c>
      <c r="F998" s="33" t="n">
        <v>0</v>
      </c>
      <c r="G998" s="131"/>
      <c r="H998" s="35" t="n">
        <v>0</v>
      </c>
      <c r="I998" s="34" t="n">
        <f aca="false">+IF(E998=0,0,E998*0.03)</f>
        <v>0</v>
      </c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customFormat="false" ht="16.4" hidden="false" customHeight="false" outlineLevel="0" collapsed="false">
      <c r="A999" s="123" t="n">
        <v>45444</v>
      </c>
      <c r="B999" s="31" t="s">
        <v>153</v>
      </c>
      <c r="C999" s="129"/>
      <c r="D999" s="129"/>
      <c r="E999" s="19" t="n">
        <f aca="false">F999*0.03</f>
        <v>0</v>
      </c>
      <c r="F999" s="33" t="n">
        <v>0</v>
      </c>
      <c r="G999" s="131"/>
      <c r="H999" s="35" t="n">
        <v>0</v>
      </c>
      <c r="I999" s="34" t="n">
        <f aca="false">+IF(E999=0,0,E999*0.03)</f>
        <v>0</v>
      </c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customFormat="false" ht="16.4" hidden="false" customHeight="false" outlineLevel="0" collapsed="false">
      <c r="A1000" s="123" t="n">
        <v>45444</v>
      </c>
      <c r="B1000" s="31" t="s">
        <v>153</v>
      </c>
      <c r="C1000" s="129"/>
      <c r="D1000" s="129"/>
      <c r="E1000" s="19" t="n">
        <f aca="false">F1000*0.03</f>
        <v>0</v>
      </c>
      <c r="F1000" s="33" t="n">
        <v>0</v>
      </c>
      <c r="G1000" s="131"/>
      <c r="H1000" s="35" t="n">
        <v>0</v>
      </c>
      <c r="I1000" s="34" t="n">
        <f aca="false">+IF(E1000=0,0,E1000*0.03)</f>
        <v>0</v>
      </c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 customFormat="false" ht="16.4" hidden="false" customHeight="false" outlineLevel="0" collapsed="false">
      <c r="A1001" s="123" t="n">
        <v>45444</v>
      </c>
      <c r="B1001" s="31" t="s">
        <v>153</v>
      </c>
      <c r="C1001" s="129"/>
      <c r="D1001" s="129"/>
      <c r="E1001" s="19" t="n">
        <f aca="false">F1001*0.03</f>
        <v>0</v>
      </c>
      <c r="F1001" s="33" t="n">
        <v>0</v>
      </c>
      <c r="G1001" s="131"/>
      <c r="H1001" s="35" t="n">
        <v>0</v>
      </c>
      <c r="I1001" s="34" t="n">
        <f aca="false">+IF(E1001=0,0,E1001*0.03)</f>
        <v>0</v>
      </c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  <row r="1002" customFormat="false" ht="16.4" hidden="false" customHeight="false" outlineLevel="0" collapsed="false">
      <c r="A1002" s="123" t="n">
        <v>45444</v>
      </c>
      <c r="B1002" s="31" t="s">
        <v>153</v>
      </c>
      <c r="C1002" s="129"/>
      <c r="D1002" s="129"/>
      <c r="E1002" s="19" t="n">
        <f aca="false">F1002*0.03</f>
        <v>0</v>
      </c>
      <c r="F1002" s="33" t="n">
        <v>0</v>
      </c>
      <c r="G1002" s="131"/>
      <c r="H1002" s="35" t="n">
        <v>0</v>
      </c>
      <c r="I1002" s="34" t="n">
        <f aca="false">+IF(E1002=0,0,E1002*0.03)</f>
        <v>0</v>
      </c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</row>
    <row r="1003" customFormat="false" ht="16.4" hidden="false" customHeight="false" outlineLevel="0" collapsed="false">
      <c r="A1003" s="123" t="n">
        <v>45444</v>
      </c>
      <c r="B1003" s="31" t="s">
        <v>153</v>
      </c>
      <c r="C1003" s="129"/>
      <c r="D1003" s="129"/>
      <c r="E1003" s="19" t="n">
        <f aca="false">F1003*0.03</f>
        <v>0</v>
      </c>
      <c r="F1003" s="33" t="n">
        <v>0</v>
      </c>
      <c r="G1003" s="131"/>
      <c r="H1003" s="35" t="n">
        <v>0</v>
      </c>
      <c r="I1003" s="34" t="n">
        <f aca="false">+IF(E1003=0,0,E1003*0.03)</f>
        <v>0</v>
      </c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</row>
    <row r="1004" customFormat="false" ht="16.4" hidden="false" customHeight="false" outlineLevel="0" collapsed="false">
      <c r="A1004" s="123" t="n">
        <v>45444</v>
      </c>
      <c r="B1004" s="31" t="s">
        <v>153</v>
      </c>
      <c r="C1004" s="129"/>
      <c r="D1004" s="129"/>
      <c r="E1004" s="19" t="n">
        <f aca="false">F1004*0.03</f>
        <v>0</v>
      </c>
      <c r="F1004" s="33" t="n">
        <v>0</v>
      </c>
      <c r="G1004" s="131"/>
      <c r="H1004" s="35" t="n">
        <v>0</v>
      </c>
      <c r="I1004" s="34" t="n">
        <f aca="false">+IF(E1004=0,0,E1004*0.03)</f>
        <v>0</v>
      </c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</row>
    <row r="1005" customFormat="false" ht="16.4" hidden="false" customHeight="false" outlineLevel="0" collapsed="false">
      <c r="A1005" s="123" t="n">
        <v>45444</v>
      </c>
      <c r="B1005" s="31" t="s">
        <v>153</v>
      </c>
      <c r="C1005" s="129"/>
      <c r="D1005" s="129"/>
      <c r="E1005" s="19" t="n">
        <f aca="false">F1005*0.03</f>
        <v>0</v>
      </c>
      <c r="F1005" s="33" t="n">
        <v>0</v>
      </c>
      <c r="G1005" s="131"/>
      <c r="H1005" s="35" t="n">
        <v>0</v>
      </c>
      <c r="I1005" s="34" t="n">
        <f aca="false">+IF(E1005=0,0,E1005*0.03)</f>
        <v>0</v>
      </c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</row>
    <row r="1006" customFormat="false" ht="16.4" hidden="false" customHeight="false" outlineLevel="0" collapsed="false">
      <c r="A1006" s="123" t="n">
        <v>45444</v>
      </c>
      <c r="B1006" s="31" t="s">
        <v>153</v>
      </c>
      <c r="C1006" s="129"/>
      <c r="D1006" s="129"/>
      <c r="E1006" s="19" t="n">
        <f aca="false">F1006*0.03</f>
        <v>0</v>
      </c>
      <c r="F1006" s="33" t="n">
        <v>0</v>
      </c>
      <c r="G1006" s="131"/>
      <c r="H1006" s="35" t="n">
        <v>0</v>
      </c>
      <c r="I1006" s="34" t="n">
        <f aca="false">+IF(E1006=0,0,E1006*0.03)</f>
        <v>0</v>
      </c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</row>
    <row r="1007" customFormat="false" ht="16.4" hidden="false" customHeight="false" outlineLevel="0" collapsed="false">
      <c r="A1007" s="123" t="n">
        <v>45444</v>
      </c>
      <c r="B1007" s="31" t="s">
        <v>153</v>
      </c>
      <c r="C1007" s="129"/>
      <c r="D1007" s="129"/>
      <c r="E1007" s="19" t="n">
        <f aca="false">F1007*0.03</f>
        <v>0</v>
      </c>
      <c r="F1007" s="33" t="n">
        <v>0</v>
      </c>
      <c r="G1007" s="131"/>
      <c r="H1007" s="35" t="n">
        <v>0</v>
      </c>
      <c r="I1007" s="34" t="n">
        <f aca="false">+IF(E1007=0,0,E1007*0.03)</f>
        <v>0</v>
      </c>
      <c r="J1007" s="93"/>
      <c r="K1007" s="93"/>
      <c r="L1007" s="93"/>
      <c r="M1007" s="93"/>
      <c r="N1007" s="93"/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</row>
    <row r="1008" customFormat="false" ht="16.4" hidden="false" customHeight="false" outlineLevel="0" collapsed="false">
      <c r="A1008" s="123" t="n">
        <v>45444</v>
      </c>
      <c r="B1008" s="31" t="s">
        <v>153</v>
      </c>
      <c r="C1008" s="129"/>
      <c r="D1008" s="129"/>
      <c r="E1008" s="19" t="n">
        <f aca="false">F1008*0.03</f>
        <v>0</v>
      </c>
      <c r="F1008" s="33" t="n">
        <v>0</v>
      </c>
      <c r="G1008" s="131"/>
      <c r="H1008" s="35" t="n">
        <v>0</v>
      </c>
      <c r="I1008" s="34" t="n">
        <f aca="false">+IF(E1008=0,0,E1008*0.03)</f>
        <v>0</v>
      </c>
      <c r="J1008" s="93"/>
      <c r="K1008" s="93"/>
      <c r="L1008" s="93"/>
      <c r="M1008" s="93"/>
      <c r="N1008" s="93"/>
      <c r="O1008" s="93"/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</row>
    <row r="1009" customFormat="false" ht="16.4" hidden="false" customHeight="false" outlineLevel="0" collapsed="false">
      <c r="A1009" s="123" t="n">
        <v>45444</v>
      </c>
      <c r="B1009" s="31" t="s">
        <v>153</v>
      </c>
      <c r="C1009" s="129"/>
      <c r="D1009" s="129"/>
      <c r="E1009" s="19" t="n">
        <f aca="false">F1009*0.03</f>
        <v>0</v>
      </c>
      <c r="F1009" s="33" t="n">
        <v>0</v>
      </c>
      <c r="G1009" s="131"/>
      <c r="H1009" s="35" t="n">
        <v>0</v>
      </c>
      <c r="I1009" s="34" t="n">
        <f aca="false">+IF(E1009=0,0,E1009*0.03)</f>
        <v>0</v>
      </c>
      <c r="J1009" s="93"/>
      <c r="K1009" s="93"/>
      <c r="L1009" s="93"/>
      <c r="M1009" s="93"/>
      <c r="N1009" s="93"/>
      <c r="O1009" s="93"/>
      <c r="P1009" s="93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</row>
    <row r="1010" customFormat="false" ht="16.4" hidden="false" customHeight="false" outlineLevel="0" collapsed="false">
      <c r="A1010" s="123" t="n">
        <v>45444</v>
      </c>
      <c r="B1010" s="31" t="s">
        <v>153</v>
      </c>
      <c r="C1010" s="129"/>
      <c r="D1010" s="129"/>
      <c r="E1010" s="19" t="n">
        <f aca="false">F1010*0.03</f>
        <v>0</v>
      </c>
      <c r="F1010" s="33" t="n">
        <v>0</v>
      </c>
      <c r="G1010" s="131"/>
      <c r="H1010" s="35" t="n">
        <v>0</v>
      </c>
      <c r="I1010" s="34" t="n">
        <f aca="false">+IF(E1010=0,0,E1010*0.03)</f>
        <v>0</v>
      </c>
      <c r="J1010" s="93"/>
      <c r="K1010" s="93"/>
      <c r="L1010" s="93"/>
      <c r="M1010" s="93"/>
      <c r="N1010" s="93"/>
      <c r="O1010" s="93"/>
      <c r="P1010" s="93"/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</row>
    <row r="1011" customFormat="false" ht="16.4" hidden="false" customHeight="false" outlineLevel="0" collapsed="false">
      <c r="A1011" s="123" t="n">
        <v>45444</v>
      </c>
      <c r="B1011" s="31" t="s">
        <v>153</v>
      </c>
      <c r="C1011" s="129"/>
      <c r="D1011" s="129"/>
      <c r="E1011" s="19" t="n">
        <f aca="false">F1011*0.03</f>
        <v>0</v>
      </c>
      <c r="F1011" s="33" t="n">
        <v>0</v>
      </c>
      <c r="G1011" s="131"/>
      <c r="H1011" s="35" t="n">
        <v>0</v>
      </c>
      <c r="I1011" s="34" t="n">
        <f aca="false">+IF(E1011=0,0,E1011*0.03)</f>
        <v>0</v>
      </c>
      <c r="J1011" s="93"/>
      <c r="K1011" s="93"/>
      <c r="L1011" s="93"/>
      <c r="M1011" s="93"/>
      <c r="N1011" s="93"/>
      <c r="O1011" s="93"/>
      <c r="P1011" s="93"/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</row>
    <row r="1012" customFormat="false" ht="16.4" hidden="false" customHeight="false" outlineLevel="0" collapsed="false">
      <c r="A1012" s="123" t="n">
        <v>45444</v>
      </c>
      <c r="B1012" s="31" t="s">
        <v>153</v>
      </c>
      <c r="C1012" s="129"/>
      <c r="D1012" s="129"/>
      <c r="E1012" s="19" t="n">
        <f aca="false">F1012*0.03</f>
        <v>0</v>
      </c>
      <c r="F1012" s="33" t="n">
        <v>0</v>
      </c>
      <c r="G1012" s="131"/>
      <c r="H1012" s="35" t="n">
        <v>0</v>
      </c>
      <c r="I1012" s="34" t="n">
        <f aca="false">+IF(E1012=0,0,E1012*0.03)</f>
        <v>0</v>
      </c>
      <c r="J1012" s="93"/>
      <c r="K1012" s="93"/>
      <c r="L1012" s="93"/>
      <c r="M1012" s="93"/>
      <c r="N1012" s="93"/>
      <c r="O1012" s="93"/>
      <c r="P1012" s="93"/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</row>
    <row r="1013" customFormat="false" ht="16.4" hidden="false" customHeight="false" outlineLevel="0" collapsed="false">
      <c r="A1013" s="123" t="n">
        <v>45444</v>
      </c>
      <c r="B1013" s="31" t="s">
        <v>153</v>
      </c>
      <c r="C1013" s="129"/>
      <c r="D1013" s="129"/>
      <c r="E1013" s="19" t="n">
        <f aca="false">F1013*0.03</f>
        <v>0</v>
      </c>
      <c r="F1013" s="33" t="n">
        <v>0</v>
      </c>
      <c r="G1013" s="131"/>
      <c r="H1013" s="35" t="n">
        <v>0</v>
      </c>
      <c r="I1013" s="34" t="n">
        <f aca="false">+IF(E1013=0,0,E1013*0.03)</f>
        <v>0</v>
      </c>
      <c r="J1013" s="93"/>
      <c r="K1013" s="93"/>
      <c r="L1013" s="93"/>
      <c r="M1013" s="93"/>
      <c r="N1013" s="93"/>
      <c r="O1013" s="93"/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</row>
    <row r="1014" customFormat="false" ht="16.4" hidden="false" customHeight="false" outlineLevel="0" collapsed="false">
      <c r="A1014" s="123" t="n">
        <v>45444</v>
      </c>
      <c r="B1014" s="31" t="s">
        <v>153</v>
      </c>
      <c r="C1014" s="129"/>
      <c r="D1014" s="129"/>
      <c r="E1014" s="19" t="n">
        <f aca="false">F1014*0.03</f>
        <v>0</v>
      </c>
      <c r="F1014" s="33" t="n">
        <v>0</v>
      </c>
      <c r="G1014" s="131"/>
      <c r="H1014" s="35" t="n">
        <v>0</v>
      </c>
      <c r="I1014" s="34" t="n">
        <f aca="false">+IF(E1014=0,0,E1014*0.03)</f>
        <v>0</v>
      </c>
      <c r="J1014" s="93"/>
      <c r="K1014" s="93"/>
      <c r="L1014" s="93"/>
      <c r="M1014" s="93"/>
      <c r="N1014" s="93"/>
      <c r="O1014" s="93"/>
      <c r="P1014" s="93"/>
      <c r="Q1014" s="93"/>
      <c r="R1014" s="93"/>
      <c r="S1014" s="93"/>
      <c r="T1014" s="93"/>
      <c r="U1014" s="93"/>
      <c r="V1014" s="93"/>
      <c r="W1014" s="93"/>
      <c r="X1014" s="93"/>
      <c r="Y1014" s="93"/>
      <c r="Z1014" s="93"/>
    </row>
    <row r="1015" customFormat="false" ht="16.4" hidden="false" customHeight="false" outlineLevel="0" collapsed="false">
      <c r="A1015" s="123" t="n">
        <v>45444</v>
      </c>
      <c r="B1015" s="31" t="s">
        <v>153</v>
      </c>
      <c r="C1015" s="129"/>
      <c r="D1015" s="129"/>
      <c r="E1015" s="19" t="n">
        <f aca="false">F1015*0.03</f>
        <v>0</v>
      </c>
      <c r="F1015" s="33" t="n">
        <v>0</v>
      </c>
      <c r="G1015" s="131"/>
      <c r="H1015" s="35" t="n">
        <v>0</v>
      </c>
      <c r="I1015" s="34" t="n">
        <f aca="false">+IF(E1015=0,0,E1015*0.03)</f>
        <v>0</v>
      </c>
      <c r="J1015" s="93"/>
      <c r="K1015" s="93"/>
      <c r="L1015" s="93"/>
      <c r="M1015" s="93"/>
      <c r="N1015" s="93"/>
      <c r="O1015" s="93"/>
      <c r="P1015" s="93"/>
      <c r="Q1015" s="93"/>
      <c r="R1015" s="93"/>
      <c r="S1015" s="93"/>
      <c r="T1015" s="93"/>
      <c r="U1015" s="93"/>
      <c r="V1015" s="93"/>
      <c r="W1015" s="93"/>
      <c r="X1015" s="93"/>
      <c r="Y1015" s="93"/>
      <c r="Z1015" s="93"/>
    </row>
    <row r="1016" customFormat="false" ht="16.4" hidden="false" customHeight="false" outlineLevel="0" collapsed="false">
      <c r="A1016" s="123" t="n">
        <v>45444</v>
      </c>
      <c r="B1016" s="31" t="s">
        <v>153</v>
      </c>
      <c r="C1016" s="129"/>
      <c r="D1016" s="129"/>
      <c r="E1016" s="19" t="n">
        <f aca="false">F1016*0.03</f>
        <v>0</v>
      </c>
      <c r="F1016" s="33" t="n">
        <v>0</v>
      </c>
      <c r="G1016" s="131"/>
      <c r="H1016" s="35" t="n">
        <v>0</v>
      </c>
      <c r="I1016" s="34" t="n">
        <f aca="false">+IF(E1016=0,0,E1016*0.03)</f>
        <v>0</v>
      </c>
      <c r="J1016" s="93"/>
      <c r="K1016" s="93"/>
      <c r="L1016" s="93"/>
      <c r="M1016" s="93"/>
      <c r="N1016" s="93"/>
      <c r="O1016" s="93"/>
      <c r="P1016" s="93"/>
      <c r="Q1016" s="93"/>
      <c r="R1016" s="93"/>
      <c r="S1016" s="93"/>
      <c r="T1016" s="93"/>
      <c r="U1016" s="93"/>
      <c r="V1016" s="93"/>
      <c r="W1016" s="93"/>
      <c r="X1016" s="93"/>
      <c r="Y1016" s="93"/>
      <c r="Z1016" s="93"/>
    </row>
    <row r="1017" customFormat="false" ht="16.4" hidden="false" customHeight="false" outlineLevel="0" collapsed="false">
      <c r="A1017" s="123" t="n">
        <v>45444</v>
      </c>
      <c r="B1017" s="31" t="s">
        <v>153</v>
      </c>
      <c r="C1017" s="129"/>
      <c r="D1017" s="129"/>
      <c r="E1017" s="19" t="n">
        <f aca="false">F1017*0.03</f>
        <v>0</v>
      </c>
      <c r="F1017" s="33" t="n">
        <v>0</v>
      </c>
      <c r="G1017" s="131"/>
      <c r="H1017" s="35" t="n">
        <v>0</v>
      </c>
      <c r="I1017" s="34" t="n">
        <f aca="false">+IF(E1017=0,0,E1017*0.03)</f>
        <v>0</v>
      </c>
      <c r="J1017" s="93"/>
      <c r="K1017" s="93"/>
      <c r="L1017" s="93"/>
      <c r="M1017" s="93"/>
      <c r="N1017" s="93"/>
      <c r="O1017" s="93"/>
      <c r="P1017" s="93"/>
      <c r="Q1017" s="93"/>
      <c r="R1017" s="93"/>
      <c r="S1017" s="93"/>
      <c r="T1017" s="93"/>
      <c r="U1017" s="93"/>
      <c r="V1017" s="93"/>
      <c r="W1017" s="93"/>
      <c r="X1017" s="93"/>
      <c r="Y1017" s="93"/>
      <c r="Z1017" s="93"/>
    </row>
    <row r="1018" customFormat="false" ht="16.4" hidden="false" customHeight="false" outlineLevel="0" collapsed="false">
      <c r="A1018" s="123" t="n">
        <v>45444</v>
      </c>
      <c r="B1018" s="31" t="s">
        <v>153</v>
      </c>
      <c r="C1018" s="129"/>
      <c r="D1018" s="129"/>
      <c r="E1018" s="19" t="n">
        <f aca="false">F1018*0.03</f>
        <v>0</v>
      </c>
      <c r="F1018" s="33" t="n">
        <v>0</v>
      </c>
      <c r="G1018" s="131"/>
      <c r="H1018" s="35" t="n">
        <v>0</v>
      </c>
      <c r="I1018" s="34" t="n">
        <f aca="false">+IF(E1018=0,0,E1018*0.03)</f>
        <v>0</v>
      </c>
      <c r="J1018" s="93"/>
      <c r="K1018" s="93"/>
      <c r="L1018" s="93"/>
      <c r="M1018" s="93"/>
      <c r="N1018" s="93"/>
      <c r="O1018" s="93"/>
      <c r="P1018" s="93"/>
      <c r="Q1018" s="93"/>
      <c r="R1018" s="93"/>
      <c r="S1018" s="93"/>
      <c r="T1018" s="93"/>
      <c r="U1018" s="93"/>
      <c r="V1018" s="93"/>
      <c r="W1018" s="93"/>
      <c r="X1018" s="93"/>
      <c r="Y1018" s="93"/>
      <c r="Z1018" s="93"/>
    </row>
    <row r="1019" customFormat="false" ht="16.4" hidden="false" customHeight="false" outlineLevel="0" collapsed="false">
      <c r="A1019" s="123" t="n">
        <v>45444</v>
      </c>
      <c r="B1019" s="31" t="s">
        <v>153</v>
      </c>
      <c r="C1019" s="129"/>
      <c r="D1019" s="129"/>
      <c r="E1019" s="19" t="n">
        <f aca="false">F1019*0.03</f>
        <v>0</v>
      </c>
      <c r="F1019" s="33" t="n">
        <v>0</v>
      </c>
      <c r="G1019" s="131"/>
      <c r="H1019" s="35" t="n">
        <v>0</v>
      </c>
      <c r="I1019" s="34" t="n">
        <f aca="false">+IF(E1019=0,0,E1019*0.03)</f>
        <v>0</v>
      </c>
      <c r="J1019" s="93"/>
      <c r="K1019" s="93"/>
      <c r="L1019" s="93"/>
      <c r="M1019" s="93"/>
      <c r="N1019" s="93"/>
      <c r="O1019" s="93"/>
      <c r="P1019" s="93"/>
      <c r="Q1019" s="93"/>
      <c r="R1019" s="93"/>
      <c r="S1019" s="93"/>
      <c r="T1019" s="93"/>
      <c r="U1019" s="93"/>
      <c r="V1019" s="93"/>
      <c r="W1019" s="93"/>
      <c r="X1019" s="93"/>
      <c r="Y1019" s="93"/>
      <c r="Z1019" s="93"/>
    </row>
    <row r="1020" customFormat="false" ht="16.4" hidden="false" customHeight="false" outlineLevel="0" collapsed="false">
      <c r="A1020" s="123" t="n">
        <v>45444</v>
      </c>
      <c r="B1020" s="31" t="s">
        <v>153</v>
      </c>
      <c r="C1020" s="129"/>
      <c r="D1020" s="129"/>
      <c r="E1020" s="19" t="n">
        <f aca="false">F1020*0.03</f>
        <v>0</v>
      </c>
      <c r="F1020" s="33" t="n">
        <v>0</v>
      </c>
      <c r="G1020" s="131"/>
      <c r="H1020" s="35" t="n">
        <v>0</v>
      </c>
      <c r="I1020" s="34" t="n">
        <f aca="false">+IF(E1020=0,0,E1020*0.03)</f>
        <v>0</v>
      </c>
      <c r="J1020" s="93"/>
      <c r="K1020" s="93"/>
      <c r="L1020" s="93"/>
      <c r="M1020" s="93"/>
      <c r="N1020" s="93"/>
      <c r="O1020" s="93"/>
      <c r="P1020" s="93"/>
      <c r="Q1020" s="93"/>
      <c r="R1020" s="93"/>
      <c r="S1020" s="93"/>
      <c r="T1020" s="93"/>
      <c r="U1020" s="93"/>
      <c r="V1020" s="93"/>
      <c r="W1020" s="93"/>
      <c r="X1020" s="93"/>
      <c r="Y1020" s="93"/>
      <c r="Z1020" s="93"/>
    </row>
    <row r="1021" customFormat="false" ht="16.4" hidden="false" customHeight="false" outlineLevel="0" collapsed="false">
      <c r="A1021" s="123" t="n">
        <v>45444</v>
      </c>
      <c r="B1021" s="31" t="s">
        <v>153</v>
      </c>
      <c r="C1021" s="129"/>
      <c r="D1021" s="129"/>
      <c r="E1021" s="19" t="n">
        <f aca="false">F1021*0.03</f>
        <v>0</v>
      </c>
      <c r="F1021" s="33" t="n">
        <v>0</v>
      </c>
      <c r="G1021" s="131"/>
      <c r="H1021" s="35" t="n">
        <v>0</v>
      </c>
      <c r="I1021" s="34" t="n">
        <f aca="false">+IF(E1021=0,0,E1021*0.03)</f>
        <v>0</v>
      </c>
      <c r="J1021" s="93"/>
      <c r="K1021" s="93"/>
      <c r="L1021" s="93"/>
      <c r="M1021" s="93"/>
      <c r="N1021" s="93"/>
      <c r="O1021" s="93"/>
      <c r="P1021" s="93"/>
      <c r="Q1021" s="93"/>
      <c r="R1021" s="93"/>
      <c r="S1021" s="93"/>
      <c r="T1021" s="93"/>
      <c r="U1021" s="93"/>
      <c r="V1021" s="93"/>
      <c r="W1021" s="93"/>
      <c r="X1021" s="93"/>
      <c r="Y1021" s="93"/>
      <c r="Z1021" s="93"/>
    </row>
    <row r="1022" customFormat="false" ht="16.4" hidden="false" customHeight="false" outlineLevel="0" collapsed="false">
      <c r="A1022" s="123" t="n">
        <v>45444</v>
      </c>
      <c r="B1022" s="31" t="s">
        <v>153</v>
      </c>
      <c r="C1022" s="129"/>
      <c r="D1022" s="129"/>
      <c r="E1022" s="19" t="n">
        <f aca="false">F1022*0.03</f>
        <v>0</v>
      </c>
      <c r="F1022" s="33" t="n">
        <v>0</v>
      </c>
      <c r="G1022" s="131"/>
      <c r="H1022" s="35" t="n">
        <v>0</v>
      </c>
      <c r="I1022" s="34" t="n">
        <f aca="false">+IF(E1022=0,0,E1022*0.03)</f>
        <v>0</v>
      </c>
      <c r="J1022" s="93"/>
      <c r="K1022" s="93"/>
      <c r="L1022" s="93"/>
      <c r="M1022" s="93"/>
      <c r="N1022" s="93"/>
      <c r="O1022" s="93"/>
      <c r="P1022" s="93"/>
      <c r="Q1022" s="93"/>
      <c r="R1022" s="93"/>
      <c r="S1022" s="93"/>
      <c r="T1022" s="93"/>
      <c r="U1022" s="93"/>
      <c r="V1022" s="93"/>
      <c r="W1022" s="93"/>
      <c r="X1022" s="93"/>
      <c r="Y1022" s="93"/>
      <c r="Z1022" s="93"/>
    </row>
    <row r="1023" customFormat="false" ht="16.4" hidden="false" customHeight="false" outlineLevel="0" collapsed="false">
      <c r="A1023" s="123" t="n">
        <v>45444</v>
      </c>
      <c r="B1023" s="31" t="s">
        <v>153</v>
      </c>
      <c r="C1023" s="129"/>
      <c r="D1023" s="129"/>
      <c r="E1023" s="19" t="n">
        <f aca="false">F1023*0.03</f>
        <v>0</v>
      </c>
      <c r="F1023" s="33" t="n">
        <v>0</v>
      </c>
      <c r="G1023" s="131"/>
      <c r="H1023" s="35" t="n">
        <v>0</v>
      </c>
      <c r="I1023" s="34" t="n">
        <f aca="false">+IF(E1023=0,0,E1023*0.03)</f>
        <v>0</v>
      </c>
      <c r="J1023" s="93"/>
      <c r="K1023" s="93"/>
      <c r="L1023" s="93"/>
      <c r="M1023" s="93"/>
      <c r="N1023" s="93"/>
      <c r="O1023" s="93"/>
      <c r="P1023" s="93"/>
      <c r="Q1023" s="93"/>
      <c r="R1023" s="93"/>
      <c r="S1023" s="93"/>
      <c r="T1023" s="93"/>
      <c r="U1023" s="93"/>
      <c r="V1023" s="93"/>
      <c r="W1023" s="93"/>
      <c r="X1023" s="93"/>
      <c r="Y1023" s="93"/>
      <c r="Z1023" s="93"/>
    </row>
    <row r="1024" customFormat="false" ht="16.4" hidden="false" customHeight="false" outlineLevel="0" collapsed="false">
      <c r="A1024" s="123" t="n">
        <v>45444</v>
      </c>
      <c r="B1024" s="31" t="s">
        <v>153</v>
      </c>
      <c r="C1024" s="129"/>
      <c r="D1024" s="129"/>
      <c r="E1024" s="19" t="n">
        <f aca="false">F1024*0.03</f>
        <v>0</v>
      </c>
      <c r="F1024" s="33" t="n">
        <v>0</v>
      </c>
      <c r="G1024" s="131"/>
      <c r="H1024" s="35" t="n">
        <v>0</v>
      </c>
      <c r="I1024" s="34" t="n">
        <f aca="false">+IF(E1024=0,0,E1024*0.03)</f>
        <v>0</v>
      </c>
      <c r="J1024" s="93"/>
      <c r="K1024" s="93"/>
      <c r="L1024" s="93"/>
      <c r="M1024" s="93"/>
      <c r="N1024" s="93"/>
      <c r="O1024" s="93"/>
      <c r="P1024" s="93"/>
      <c r="Q1024" s="93"/>
      <c r="R1024" s="93"/>
      <c r="S1024" s="93"/>
      <c r="T1024" s="93"/>
      <c r="U1024" s="93"/>
      <c r="V1024" s="93"/>
      <c r="W1024" s="93"/>
      <c r="X1024" s="93"/>
      <c r="Y1024" s="93"/>
      <c r="Z1024" s="93"/>
    </row>
    <row r="1025" customFormat="false" ht="16.4" hidden="false" customHeight="false" outlineLevel="0" collapsed="false">
      <c r="A1025" s="123" t="n">
        <v>45444</v>
      </c>
      <c r="B1025" s="31" t="s">
        <v>153</v>
      </c>
      <c r="C1025" s="129"/>
      <c r="D1025" s="129"/>
      <c r="E1025" s="19" t="n">
        <f aca="false">F1025*0.03</f>
        <v>0</v>
      </c>
      <c r="F1025" s="33" t="n">
        <v>0</v>
      </c>
      <c r="G1025" s="131"/>
      <c r="H1025" s="35" t="n">
        <v>0</v>
      </c>
      <c r="I1025" s="34" t="n">
        <f aca="false">+IF(E1025=0,0,E1025*0.03)</f>
        <v>0</v>
      </c>
      <c r="J1025" s="93"/>
      <c r="K1025" s="93"/>
      <c r="L1025" s="93"/>
      <c r="M1025" s="93"/>
      <c r="N1025" s="93"/>
      <c r="O1025" s="93"/>
      <c r="P1025" s="93"/>
      <c r="Q1025" s="93"/>
      <c r="R1025" s="93"/>
      <c r="S1025" s="93"/>
      <c r="T1025" s="93"/>
      <c r="U1025" s="93"/>
      <c r="V1025" s="93"/>
      <c r="W1025" s="93"/>
      <c r="X1025" s="93"/>
      <c r="Y1025" s="93"/>
      <c r="Z1025" s="93"/>
    </row>
    <row r="1026" customFormat="false" ht="16.4" hidden="false" customHeight="false" outlineLevel="0" collapsed="false">
      <c r="A1026" s="123" t="n">
        <v>45444</v>
      </c>
      <c r="B1026" s="31" t="s">
        <v>153</v>
      </c>
      <c r="C1026" s="129"/>
      <c r="D1026" s="129"/>
      <c r="E1026" s="19" t="n">
        <f aca="false">F1026*0.03</f>
        <v>0</v>
      </c>
      <c r="F1026" s="33" t="n">
        <v>0</v>
      </c>
      <c r="G1026" s="131"/>
      <c r="H1026" s="35" t="n">
        <v>0</v>
      </c>
      <c r="I1026" s="34" t="n">
        <f aca="false">+IF(E1026=0,0,E1026*0.03)</f>
        <v>0</v>
      </c>
      <c r="J1026" s="93"/>
      <c r="K1026" s="93"/>
      <c r="L1026" s="93"/>
      <c r="M1026" s="93"/>
      <c r="N1026" s="93"/>
      <c r="O1026" s="93"/>
      <c r="P1026" s="93"/>
      <c r="Q1026" s="93"/>
      <c r="R1026" s="93"/>
      <c r="S1026" s="93"/>
      <c r="T1026" s="93"/>
      <c r="U1026" s="93"/>
      <c r="V1026" s="93"/>
      <c r="W1026" s="93"/>
      <c r="X1026" s="93"/>
      <c r="Y1026" s="93"/>
      <c r="Z1026" s="93"/>
    </row>
    <row r="1027" customFormat="false" ht="16.4" hidden="false" customHeight="false" outlineLevel="0" collapsed="false">
      <c r="A1027" s="123" t="n">
        <v>45444</v>
      </c>
      <c r="B1027" s="31" t="s">
        <v>153</v>
      </c>
      <c r="C1027" s="129"/>
      <c r="D1027" s="129"/>
      <c r="E1027" s="19" t="n">
        <f aca="false">F1027*0.03</f>
        <v>0</v>
      </c>
      <c r="F1027" s="33" t="n">
        <v>0</v>
      </c>
      <c r="G1027" s="131"/>
      <c r="H1027" s="35" t="n">
        <v>0</v>
      </c>
      <c r="I1027" s="34" t="n">
        <f aca="false">+IF(E1027=0,0,E1027*0.03)</f>
        <v>0</v>
      </c>
      <c r="J1027" s="93"/>
      <c r="K1027" s="93"/>
      <c r="L1027" s="93"/>
      <c r="M1027" s="93"/>
      <c r="N1027" s="93"/>
      <c r="O1027" s="93"/>
      <c r="P1027" s="93"/>
      <c r="Q1027" s="93"/>
      <c r="R1027" s="93"/>
      <c r="S1027" s="93"/>
      <c r="T1027" s="93"/>
      <c r="U1027" s="93"/>
      <c r="V1027" s="93"/>
      <c r="W1027" s="93"/>
      <c r="X1027" s="93"/>
      <c r="Y1027" s="93"/>
      <c r="Z1027" s="93"/>
    </row>
    <row r="1028" customFormat="false" ht="16.4" hidden="false" customHeight="false" outlineLevel="0" collapsed="false">
      <c r="A1028" s="123" t="n">
        <v>45444</v>
      </c>
      <c r="B1028" s="31" t="s">
        <v>153</v>
      </c>
      <c r="C1028" s="129"/>
      <c r="D1028" s="129"/>
      <c r="E1028" s="19" t="n">
        <f aca="false">F1028*0.03</f>
        <v>0</v>
      </c>
      <c r="F1028" s="33" t="n">
        <v>0</v>
      </c>
      <c r="G1028" s="131"/>
      <c r="H1028" s="35" t="n">
        <v>0</v>
      </c>
      <c r="I1028" s="34" t="n">
        <f aca="false">+IF(E1028=0,0,E1028*0.03)</f>
        <v>0</v>
      </c>
      <c r="J1028" s="93"/>
      <c r="K1028" s="93"/>
      <c r="L1028" s="93"/>
      <c r="M1028" s="93"/>
      <c r="N1028" s="93"/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</row>
    <row r="1029" customFormat="false" ht="16.4" hidden="false" customHeight="false" outlineLevel="0" collapsed="false">
      <c r="A1029" s="123" t="n">
        <v>45444</v>
      </c>
      <c r="B1029" s="31" t="s">
        <v>153</v>
      </c>
      <c r="C1029" s="129"/>
      <c r="D1029" s="129"/>
      <c r="E1029" s="19" t="n">
        <f aca="false">F1029*0.03</f>
        <v>0</v>
      </c>
      <c r="F1029" s="33" t="n">
        <v>0</v>
      </c>
      <c r="G1029" s="131"/>
      <c r="H1029" s="35" t="n">
        <v>0</v>
      </c>
      <c r="I1029" s="34" t="n">
        <f aca="false">+IF(E1029=0,0,E1029*0.03)</f>
        <v>0</v>
      </c>
      <c r="J1029" s="93"/>
      <c r="K1029" s="93"/>
      <c r="L1029" s="93"/>
      <c r="M1029" s="93"/>
      <c r="N1029" s="93"/>
      <c r="O1029" s="93"/>
      <c r="P1029" s="93"/>
      <c r="Q1029" s="93"/>
      <c r="R1029" s="93"/>
      <c r="S1029" s="93"/>
      <c r="T1029" s="93"/>
      <c r="U1029" s="93"/>
      <c r="V1029" s="93"/>
      <c r="W1029" s="93"/>
      <c r="X1029" s="93"/>
      <c r="Y1029" s="93"/>
      <c r="Z1029" s="93"/>
    </row>
    <row r="1030" customFormat="false" ht="16.4" hidden="false" customHeight="false" outlineLevel="0" collapsed="false">
      <c r="A1030" s="123" t="n">
        <v>45444</v>
      </c>
      <c r="B1030" s="31" t="s">
        <v>153</v>
      </c>
      <c r="C1030" s="129"/>
      <c r="D1030" s="129"/>
      <c r="E1030" s="19" t="n">
        <f aca="false">F1030*0.03</f>
        <v>0</v>
      </c>
      <c r="F1030" s="33" t="n">
        <v>0</v>
      </c>
      <c r="G1030" s="131"/>
      <c r="H1030" s="35" t="n">
        <v>0</v>
      </c>
      <c r="I1030" s="34" t="n">
        <f aca="false">+IF(E1030=0,0,E1030*0.03)</f>
        <v>0</v>
      </c>
      <c r="J1030" s="93"/>
      <c r="K1030" s="93"/>
      <c r="L1030" s="93"/>
      <c r="M1030" s="93"/>
      <c r="N1030" s="93"/>
      <c r="O1030" s="93"/>
      <c r="P1030" s="93"/>
      <c r="Q1030" s="93"/>
      <c r="R1030" s="93"/>
      <c r="S1030" s="93"/>
      <c r="T1030" s="93"/>
      <c r="U1030" s="93"/>
      <c r="V1030" s="93"/>
      <c r="W1030" s="93"/>
      <c r="X1030" s="93"/>
      <c r="Y1030" s="93"/>
      <c r="Z1030" s="93"/>
    </row>
    <row r="1031" customFormat="false" ht="16.4" hidden="false" customHeight="false" outlineLevel="0" collapsed="false">
      <c r="A1031" s="123" t="n">
        <v>45444</v>
      </c>
      <c r="B1031" s="31" t="s">
        <v>153</v>
      </c>
      <c r="C1031" s="129"/>
      <c r="D1031" s="129"/>
      <c r="E1031" s="19" t="n">
        <f aca="false">F1031*0.03</f>
        <v>0</v>
      </c>
      <c r="F1031" s="33" t="n">
        <v>0</v>
      </c>
      <c r="G1031" s="131"/>
      <c r="H1031" s="35" t="n">
        <v>0</v>
      </c>
      <c r="I1031" s="34" t="n">
        <f aca="false">+IF(E1031=0,0,E1031*0.03)</f>
        <v>0</v>
      </c>
      <c r="J1031" s="93"/>
      <c r="K1031" s="93"/>
      <c r="L1031" s="93"/>
      <c r="M1031" s="93"/>
      <c r="N1031" s="93"/>
      <c r="O1031" s="93"/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</row>
    <row r="1032" customFormat="false" ht="16.4" hidden="false" customHeight="false" outlineLevel="0" collapsed="false">
      <c r="A1032" s="123" t="n">
        <v>45444</v>
      </c>
      <c r="B1032" s="31" t="s">
        <v>153</v>
      </c>
      <c r="C1032" s="129"/>
      <c r="D1032" s="129"/>
      <c r="E1032" s="19" t="n">
        <f aca="false">F1032*0.03</f>
        <v>0</v>
      </c>
      <c r="F1032" s="33" t="n">
        <v>0</v>
      </c>
      <c r="G1032" s="131"/>
      <c r="H1032" s="35" t="n">
        <v>0</v>
      </c>
      <c r="I1032" s="34" t="n">
        <f aca="false">+IF(E1032=0,0,E1032*0.03)</f>
        <v>0</v>
      </c>
      <c r="J1032" s="93"/>
      <c r="K1032" s="93"/>
      <c r="L1032" s="93"/>
      <c r="M1032" s="93"/>
      <c r="N1032" s="93"/>
      <c r="O1032" s="93"/>
      <c r="P1032" s="93"/>
      <c r="Q1032" s="93"/>
      <c r="R1032" s="93"/>
      <c r="S1032" s="93"/>
      <c r="T1032" s="93"/>
      <c r="U1032" s="93"/>
      <c r="V1032" s="93"/>
      <c r="W1032" s="93"/>
      <c r="X1032" s="93"/>
      <c r="Y1032" s="93"/>
      <c r="Z1032" s="93"/>
    </row>
    <row r="1033" customFormat="false" ht="16.4" hidden="false" customHeight="false" outlineLevel="0" collapsed="false">
      <c r="A1033" s="123" t="n">
        <v>45444</v>
      </c>
      <c r="B1033" s="31" t="s">
        <v>153</v>
      </c>
      <c r="C1033" s="129"/>
      <c r="D1033" s="129"/>
      <c r="E1033" s="19" t="n">
        <f aca="false">F1033*0.03</f>
        <v>0</v>
      </c>
      <c r="F1033" s="33" t="n">
        <v>0</v>
      </c>
      <c r="G1033" s="131"/>
      <c r="H1033" s="35" t="n">
        <v>0</v>
      </c>
      <c r="I1033" s="34" t="n">
        <f aca="false">+IF(E1033=0,0,E1033*0.03)</f>
        <v>0</v>
      </c>
      <c r="J1033" s="93"/>
      <c r="K1033" s="93"/>
      <c r="L1033" s="93"/>
      <c r="M1033" s="93"/>
      <c r="N1033" s="93"/>
      <c r="O1033" s="93"/>
      <c r="P1033" s="93"/>
      <c r="Q1033" s="93"/>
      <c r="R1033" s="93"/>
      <c r="S1033" s="93"/>
      <c r="T1033" s="93"/>
      <c r="U1033" s="93"/>
      <c r="V1033" s="93"/>
      <c r="W1033" s="93"/>
      <c r="X1033" s="93"/>
      <c r="Y1033" s="93"/>
      <c r="Z1033" s="93"/>
    </row>
    <row r="1034" customFormat="false" ht="16.4" hidden="false" customHeight="false" outlineLevel="0" collapsed="false">
      <c r="A1034" s="123" t="n">
        <v>45444</v>
      </c>
      <c r="B1034" s="31" t="s">
        <v>153</v>
      </c>
      <c r="C1034" s="129"/>
      <c r="D1034" s="129"/>
      <c r="E1034" s="19" t="n">
        <f aca="false">F1034*0.03</f>
        <v>0</v>
      </c>
      <c r="F1034" s="33" t="n">
        <v>0</v>
      </c>
      <c r="G1034" s="131"/>
      <c r="H1034" s="35" t="n">
        <v>0</v>
      </c>
      <c r="I1034" s="34" t="n">
        <f aca="false">+IF(E1034=0,0,E1034*0.03)</f>
        <v>0</v>
      </c>
      <c r="J1034" s="93"/>
      <c r="K1034" s="93"/>
      <c r="L1034" s="93"/>
      <c r="M1034" s="93"/>
      <c r="N1034" s="93"/>
      <c r="O1034" s="93"/>
      <c r="P1034" s="93"/>
      <c r="Q1034" s="93"/>
      <c r="R1034" s="93"/>
      <c r="S1034" s="93"/>
      <c r="T1034" s="93"/>
      <c r="U1034" s="93"/>
      <c r="V1034" s="93"/>
      <c r="W1034" s="93"/>
      <c r="X1034" s="93"/>
      <c r="Y1034" s="93"/>
      <c r="Z1034" s="93"/>
    </row>
    <row r="1035" customFormat="false" ht="16.4" hidden="false" customHeight="false" outlineLevel="0" collapsed="false">
      <c r="A1035" s="123" t="n">
        <v>45444</v>
      </c>
      <c r="B1035" s="31" t="s">
        <v>153</v>
      </c>
      <c r="C1035" s="129"/>
      <c r="D1035" s="129"/>
      <c r="E1035" s="19" t="n">
        <f aca="false">F1035*0.03</f>
        <v>0</v>
      </c>
      <c r="F1035" s="33" t="n">
        <v>0</v>
      </c>
      <c r="G1035" s="131"/>
      <c r="H1035" s="35" t="n">
        <v>0</v>
      </c>
      <c r="I1035" s="34" t="n">
        <f aca="false">+IF(E1035=0,0,E1035*0.03)</f>
        <v>0</v>
      </c>
      <c r="J1035" s="93"/>
      <c r="K1035" s="93"/>
      <c r="L1035" s="93"/>
      <c r="M1035" s="93"/>
      <c r="N1035" s="93"/>
      <c r="O1035" s="93"/>
      <c r="P1035" s="93"/>
      <c r="Q1035" s="93"/>
      <c r="R1035" s="93"/>
      <c r="S1035" s="93"/>
      <c r="T1035" s="93"/>
      <c r="U1035" s="93"/>
      <c r="V1035" s="93"/>
      <c r="W1035" s="93"/>
      <c r="X1035" s="93"/>
      <c r="Y1035" s="93"/>
      <c r="Z1035" s="93"/>
    </row>
    <row r="1036" customFormat="false" ht="16.4" hidden="false" customHeight="false" outlineLevel="0" collapsed="false">
      <c r="A1036" s="123" t="n">
        <v>45444</v>
      </c>
      <c r="B1036" s="31" t="s">
        <v>153</v>
      </c>
      <c r="C1036" s="129"/>
      <c r="D1036" s="129"/>
      <c r="E1036" s="19" t="n">
        <f aca="false">F1036*0.03</f>
        <v>0</v>
      </c>
      <c r="F1036" s="33" t="n">
        <v>0</v>
      </c>
      <c r="G1036" s="131"/>
      <c r="H1036" s="35" t="n">
        <v>0</v>
      </c>
      <c r="I1036" s="34" t="n">
        <f aca="false">+IF(E1036=0,0,E1036*0.03)</f>
        <v>0</v>
      </c>
      <c r="J1036" s="93"/>
      <c r="K1036" s="93"/>
      <c r="L1036" s="93"/>
      <c r="M1036" s="93"/>
      <c r="N1036" s="93"/>
      <c r="O1036" s="93"/>
      <c r="P1036" s="93"/>
      <c r="Q1036" s="93"/>
      <c r="R1036" s="93"/>
      <c r="S1036" s="93"/>
      <c r="T1036" s="93"/>
      <c r="U1036" s="93"/>
      <c r="V1036" s="93"/>
      <c r="W1036" s="93"/>
      <c r="X1036" s="93"/>
      <c r="Y1036" s="93"/>
      <c r="Z1036" s="93"/>
    </row>
    <row r="1037" customFormat="false" ht="16.4" hidden="false" customHeight="false" outlineLevel="0" collapsed="false">
      <c r="A1037" s="123" t="n">
        <v>45444</v>
      </c>
      <c r="B1037" s="31" t="s">
        <v>153</v>
      </c>
      <c r="C1037" s="129"/>
      <c r="D1037" s="129"/>
      <c r="E1037" s="19" t="n">
        <f aca="false">F1037*0.03</f>
        <v>0</v>
      </c>
      <c r="F1037" s="33" t="n">
        <v>0</v>
      </c>
      <c r="G1037" s="131"/>
      <c r="H1037" s="35" t="n">
        <v>0</v>
      </c>
      <c r="I1037" s="34" t="n">
        <f aca="false">+IF(E1037=0,0,E1037*0.03)</f>
        <v>0</v>
      </c>
      <c r="J1037" s="93"/>
      <c r="K1037" s="93"/>
      <c r="L1037" s="93"/>
      <c r="M1037" s="93"/>
      <c r="N1037" s="93"/>
      <c r="O1037" s="93"/>
      <c r="P1037" s="93"/>
      <c r="Q1037" s="93"/>
      <c r="R1037" s="93"/>
      <c r="S1037" s="93"/>
      <c r="T1037" s="93"/>
      <c r="U1037" s="93"/>
      <c r="V1037" s="93"/>
      <c r="W1037" s="93"/>
      <c r="X1037" s="93"/>
      <c r="Y1037" s="93"/>
      <c r="Z1037" s="93"/>
    </row>
    <row r="1038" customFormat="false" ht="16.4" hidden="false" customHeight="false" outlineLevel="0" collapsed="false">
      <c r="A1038" s="123" t="n">
        <v>45444</v>
      </c>
      <c r="B1038" s="31" t="s">
        <v>153</v>
      </c>
      <c r="C1038" s="129"/>
      <c r="D1038" s="129"/>
      <c r="E1038" s="19" t="n">
        <f aca="false">F1038*0.03</f>
        <v>0</v>
      </c>
      <c r="F1038" s="33" t="n">
        <v>0</v>
      </c>
      <c r="G1038" s="131"/>
      <c r="H1038" s="35" t="n">
        <v>0</v>
      </c>
      <c r="I1038" s="34" t="n">
        <f aca="false">+IF(E1038=0,0,E1038*0.03)</f>
        <v>0</v>
      </c>
      <c r="J1038" s="93"/>
      <c r="K1038" s="93"/>
      <c r="L1038" s="93"/>
      <c r="M1038" s="93"/>
      <c r="N1038" s="93"/>
      <c r="O1038" s="93"/>
      <c r="P1038" s="93"/>
      <c r="Q1038" s="93"/>
      <c r="R1038" s="93"/>
      <c r="S1038" s="93"/>
      <c r="T1038" s="93"/>
      <c r="U1038" s="93"/>
      <c r="V1038" s="93"/>
      <c r="W1038" s="93"/>
      <c r="X1038" s="93"/>
      <c r="Y1038" s="93"/>
      <c r="Z1038" s="93"/>
    </row>
    <row r="1039" customFormat="false" ht="16.4" hidden="false" customHeight="false" outlineLevel="0" collapsed="false">
      <c r="A1039" s="123" t="n">
        <v>45444</v>
      </c>
      <c r="B1039" s="31" t="s">
        <v>153</v>
      </c>
      <c r="C1039" s="129"/>
      <c r="D1039" s="129"/>
      <c r="E1039" s="19" t="n">
        <f aca="false">F1039*0.03</f>
        <v>0</v>
      </c>
      <c r="F1039" s="33" t="n">
        <v>0</v>
      </c>
      <c r="G1039" s="131"/>
      <c r="H1039" s="35" t="n">
        <v>0</v>
      </c>
      <c r="I1039" s="34" t="n">
        <f aca="false">+IF(E1039=0,0,E1039*0.03)</f>
        <v>0</v>
      </c>
      <c r="J1039" s="93"/>
      <c r="K1039" s="93"/>
      <c r="L1039" s="93"/>
      <c r="M1039" s="93"/>
      <c r="N1039" s="93"/>
      <c r="O1039" s="93"/>
      <c r="P1039" s="93"/>
      <c r="Q1039" s="93"/>
      <c r="R1039" s="93"/>
      <c r="S1039" s="93"/>
      <c r="T1039" s="93"/>
      <c r="U1039" s="93"/>
      <c r="V1039" s="93"/>
      <c r="W1039" s="93"/>
      <c r="X1039" s="93"/>
      <c r="Y1039" s="93"/>
      <c r="Z1039" s="93"/>
    </row>
    <row r="1040" customFormat="false" ht="16.4" hidden="false" customHeight="false" outlineLevel="0" collapsed="false">
      <c r="A1040" s="123" t="n">
        <v>45444</v>
      </c>
      <c r="B1040" s="31" t="s">
        <v>153</v>
      </c>
      <c r="C1040" s="129"/>
      <c r="D1040" s="129"/>
      <c r="E1040" s="19" t="n">
        <f aca="false">F1040*0.03</f>
        <v>0</v>
      </c>
      <c r="F1040" s="33" t="n">
        <v>0</v>
      </c>
      <c r="G1040" s="131"/>
      <c r="H1040" s="35" t="n">
        <v>0</v>
      </c>
      <c r="I1040" s="34" t="n">
        <f aca="false">+IF(E1040=0,0,E1040*0.03)</f>
        <v>0</v>
      </c>
      <c r="J1040" s="93"/>
      <c r="K1040" s="93"/>
      <c r="L1040" s="93"/>
      <c r="M1040" s="93"/>
      <c r="N1040" s="93"/>
      <c r="O1040" s="93"/>
      <c r="P1040" s="93"/>
      <c r="Q1040" s="93"/>
      <c r="R1040" s="93"/>
      <c r="S1040" s="93"/>
      <c r="T1040" s="93"/>
      <c r="U1040" s="93"/>
      <c r="V1040" s="93"/>
      <c r="W1040" s="93"/>
      <c r="X1040" s="93"/>
      <c r="Y1040" s="93"/>
      <c r="Z1040" s="93"/>
    </row>
    <row r="1041" customFormat="false" ht="16.4" hidden="false" customHeight="false" outlineLevel="0" collapsed="false">
      <c r="A1041" s="123" t="n">
        <v>45444</v>
      </c>
      <c r="B1041" s="31" t="s">
        <v>153</v>
      </c>
      <c r="C1041" s="129"/>
      <c r="D1041" s="129"/>
      <c r="E1041" s="19" t="n">
        <f aca="false">F1041*0.03</f>
        <v>0</v>
      </c>
      <c r="F1041" s="33" t="n">
        <v>0</v>
      </c>
      <c r="G1041" s="131"/>
      <c r="H1041" s="35" t="n">
        <v>0</v>
      </c>
      <c r="I1041" s="34" t="n">
        <f aca="false">+IF(E1041=0,0,E1041*0.03)</f>
        <v>0</v>
      </c>
      <c r="J1041" s="93"/>
      <c r="K1041" s="93"/>
      <c r="L1041" s="93"/>
      <c r="M1041" s="93"/>
      <c r="N1041" s="93"/>
      <c r="O1041" s="93"/>
      <c r="P1041" s="93"/>
      <c r="Q1041" s="93"/>
      <c r="R1041" s="93"/>
      <c r="S1041" s="93"/>
      <c r="T1041" s="93"/>
      <c r="U1041" s="93"/>
      <c r="V1041" s="93"/>
      <c r="W1041" s="93"/>
      <c r="X1041" s="93"/>
      <c r="Y1041" s="93"/>
      <c r="Z1041" s="93"/>
    </row>
    <row r="1042" customFormat="false" ht="16.4" hidden="false" customHeight="false" outlineLevel="0" collapsed="false">
      <c r="A1042" s="123" t="n">
        <v>45444</v>
      </c>
      <c r="B1042" s="31" t="s">
        <v>153</v>
      </c>
      <c r="C1042" s="129"/>
      <c r="D1042" s="129"/>
      <c r="E1042" s="19" t="n">
        <f aca="false">F1042*0.03</f>
        <v>0</v>
      </c>
      <c r="F1042" s="33" t="n">
        <v>0</v>
      </c>
      <c r="G1042" s="131"/>
      <c r="H1042" s="35" t="n">
        <v>0</v>
      </c>
      <c r="I1042" s="34" t="n">
        <f aca="false">+IF(E1042=0,0,E1042*0.03)</f>
        <v>0</v>
      </c>
      <c r="J1042" s="93"/>
      <c r="K1042" s="93"/>
      <c r="L1042" s="93"/>
      <c r="M1042" s="93"/>
      <c r="N1042" s="93"/>
      <c r="O1042" s="93"/>
      <c r="P1042" s="93"/>
      <c r="Q1042" s="93"/>
      <c r="R1042" s="93"/>
      <c r="S1042" s="93"/>
      <c r="T1042" s="93"/>
      <c r="U1042" s="93"/>
      <c r="V1042" s="93"/>
      <c r="W1042" s="93"/>
      <c r="X1042" s="93"/>
      <c r="Y1042" s="93"/>
      <c r="Z1042" s="93"/>
    </row>
    <row r="1043" customFormat="false" ht="16.4" hidden="false" customHeight="false" outlineLevel="0" collapsed="false">
      <c r="A1043" s="123" t="n">
        <v>45444</v>
      </c>
      <c r="B1043" s="31" t="s">
        <v>153</v>
      </c>
      <c r="C1043" s="129"/>
      <c r="D1043" s="129"/>
      <c r="E1043" s="19" t="n">
        <f aca="false">F1043*0.03</f>
        <v>0</v>
      </c>
      <c r="F1043" s="33" t="n">
        <v>0</v>
      </c>
      <c r="G1043" s="131"/>
      <c r="H1043" s="35" t="n">
        <v>0</v>
      </c>
      <c r="I1043" s="34" t="n">
        <f aca="false">+IF(E1043=0,0,E1043*0.03)</f>
        <v>0</v>
      </c>
      <c r="J1043" s="93"/>
      <c r="K1043" s="93"/>
      <c r="L1043" s="93"/>
      <c r="M1043" s="93"/>
      <c r="N1043" s="93"/>
      <c r="O1043" s="93"/>
      <c r="P1043" s="93"/>
      <c r="Q1043" s="93"/>
      <c r="R1043" s="93"/>
      <c r="S1043" s="93"/>
      <c r="T1043" s="93"/>
      <c r="U1043" s="93"/>
      <c r="V1043" s="93"/>
      <c r="W1043" s="93"/>
      <c r="X1043" s="93"/>
      <c r="Y1043" s="93"/>
      <c r="Z1043" s="93"/>
    </row>
    <row r="1044" customFormat="false" ht="16.4" hidden="false" customHeight="false" outlineLevel="0" collapsed="false">
      <c r="A1044" s="123" t="n">
        <v>45444</v>
      </c>
      <c r="B1044" s="31" t="s">
        <v>153</v>
      </c>
      <c r="C1044" s="129"/>
      <c r="D1044" s="129"/>
      <c r="E1044" s="19" t="n">
        <f aca="false">F1044*0.03</f>
        <v>0</v>
      </c>
      <c r="F1044" s="33" t="n">
        <v>0</v>
      </c>
      <c r="G1044" s="131"/>
      <c r="H1044" s="35" t="n">
        <v>0</v>
      </c>
      <c r="I1044" s="34" t="n">
        <f aca="false">+IF(E1044=0,0,E1044*0.03)</f>
        <v>0</v>
      </c>
      <c r="J1044" s="93"/>
      <c r="K1044" s="93"/>
      <c r="L1044" s="93"/>
      <c r="M1044" s="93"/>
      <c r="N1044" s="93"/>
      <c r="O1044" s="93"/>
      <c r="P1044" s="93"/>
      <c r="Q1044" s="93"/>
      <c r="R1044" s="93"/>
      <c r="S1044" s="93"/>
      <c r="T1044" s="93"/>
      <c r="U1044" s="93"/>
      <c r="V1044" s="93"/>
      <c r="W1044" s="93"/>
      <c r="X1044" s="93"/>
      <c r="Y1044" s="93"/>
      <c r="Z1044" s="93"/>
    </row>
    <row r="1045" customFormat="false" ht="16.4" hidden="false" customHeight="false" outlineLevel="0" collapsed="false">
      <c r="A1045" s="123" t="n">
        <v>45444</v>
      </c>
      <c r="B1045" s="31" t="s">
        <v>153</v>
      </c>
      <c r="C1045" s="129"/>
      <c r="D1045" s="129"/>
      <c r="E1045" s="19" t="n">
        <f aca="false">F1045*0.03</f>
        <v>0</v>
      </c>
      <c r="F1045" s="33" t="n">
        <v>0</v>
      </c>
      <c r="G1045" s="131"/>
      <c r="H1045" s="35" t="n">
        <v>0</v>
      </c>
      <c r="I1045" s="34" t="n">
        <f aca="false">+IF(E1045=0,0,E1045*0.03)</f>
        <v>0</v>
      </c>
      <c r="J1045" s="93"/>
      <c r="K1045" s="93"/>
      <c r="L1045" s="93"/>
      <c r="M1045" s="93"/>
      <c r="N1045" s="93"/>
      <c r="O1045" s="93"/>
      <c r="P1045" s="93"/>
      <c r="Q1045" s="93"/>
      <c r="R1045" s="93"/>
      <c r="S1045" s="93"/>
      <c r="T1045" s="93"/>
      <c r="U1045" s="93"/>
      <c r="V1045" s="93"/>
      <c r="W1045" s="93"/>
      <c r="X1045" s="93"/>
      <c r="Y1045" s="93"/>
      <c r="Z1045" s="93"/>
    </row>
    <row r="1046" customFormat="false" ht="16.4" hidden="false" customHeight="false" outlineLevel="0" collapsed="false">
      <c r="A1046" s="123" t="n">
        <v>45444</v>
      </c>
      <c r="B1046" s="31" t="s">
        <v>153</v>
      </c>
      <c r="C1046" s="129"/>
      <c r="D1046" s="129"/>
      <c r="E1046" s="19" t="n">
        <f aca="false">F1046*0.03</f>
        <v>0</v>
      </c>
      <c r="F1046" s="33" t="n">
        <v>0</v>
      </c>
      <c r="G1046" s="131"/>
      <c r="H1046" s="35" t="n">
        <v>0</v>
      </c>
      <c r="I1046" s="34" t="n">
        <f aca="false">+IF(E1046=0,0,E1046*0.03)</f>
        <v>0</v>
      </c>
      <c r="J1046" s="93"/>
      <c r="K1046" s="93"/>
      <c r="L1046" s="93"/>
      <c r="M1046" s="93"/>
      <c r="N1046" s="93"/>
      <c r="O1046" s="93"/>
      <c r="P1046" s="93"/>
      <c r="Q1046" s="93"/>
      <c r="R1046" s="93"/>
      <c r="S1046" s="93"/>
      <c r="T1046" s="93"/>
      <c r="U1046" s="93"/>
      <c r="V1046" s="93"/>
      <c r="W1046" s="93"/>
      <c r="X1046" s="93"/>
      <c r="Y1046" s="93"/>
      <c r="Z1046" s="93"/>
    </row>
    <row r="1047" customFormat="false" ht="16.4" hidden="false" customHeight="false" outlineLevel="0" collapsed="false">
      <c r="A1047" s="123" t="n">
        <v>45444</v>
      </c>
      <c r="B1047" s="31" t="s">
        <v>153</v>
      </c>
      <c r="C1047" s="129"/>
      <c r="D1047" s="129"/>
      <c r="E1047" s="19" t="n">
        <f aca="false">F1047*0.03</f>
        <v>0</v>
      </c>
      <c r="F1047" s="33" t="n">
        <v>0</v>
      </c>
      <c r="G1047" s="131"/>
      <c r="H1047" s="35" t="n">
        <v>0</v>
      </c>
      <c r="I1047" s="34" t="n">
        <f aca="false">+IF(E1047=0,0,E1047*0.03)</f>
        <v>0</v>
      </c>
      <c r="J1047" s="93"/>
      <c r="K1047" s="93"/>
      <c r="L1047" s="93"/>
      <c r="M1047" s="93"/>
      <c r="N1047" s="93"/>
      <c r="O1047" s="93"/>
      <c r="P1047" s="93"/>
      <c r="Q1047" s="93"/>
      <c r="R1047" s="93"/>
      <c r="S1047" s="93"/>
      <c r="T1047" s="93"/>
      <c r="U1047" s="93"/>
      <c r="V1047" s="93"/>
      <c r="W1047" s="93"/>
      <c r="X1047" s="93"/>
      <c r="Y1047" s="93"/>
      <c r="Z1047" s="93"/>
    </row>
    <row r="1048" customFormat="false" ht="16.4" hidden="false" customHeight="false" outlineLevel="0" collapsed="false">
      <c r="A1048" s="123" t="n">
        <v>45444</v>
      </c>
      <c r="B1048" s="31" t="s">
        <v>153</v>
      </c>
      <c r="C1048" s="129"/>
      <c r="D1048" s="129"/>
      <c r="E1048" s="19" t="n">
        <f aca="false">F1048*0.03</f>
        <v>0</v>
      </c>
      <c r="F1048" s="33" t="n">
        <v>0</v>
      </c>
      <c r="G1048" s="131"/>
      <c r="H1048" s="35" t="n">
        <v>0</v>
      </c>
      <c r="I1048" s="34" t="n">
        <f aca="false">+IF(E1048=0,0,E1048*0.03)</f>
        <v>0</v>
      </c>
      <c r="J1048" s="93"/>
      <c r="K1048" s="93"/>
      <c r="L1048" s="93"/>
      <c r="M1048" s="93"/>
      <c r="N1048" s="93"/>
      <c r="O1048" s="93"/>
      <c r="P1048" s="93"/>
      <c r="Q1048" s="93"/>
      <c r="R1048" s="93"/>
      <c r="S1048" s="93"/>
      <c r="T1048" s="93"/>
      <c r="U1048" s="93"/>
      <c r="V1048" s="93"/>
      <c r="W1048" s="93"/>
      <c r="X1048" s="93"/>
      <c r="Y1048" s="93"/>
      <c r="Z1048" s="93"/>
    </row>
    <row r="1049" customFormat="false" ht="16.4" hidden="false" customHeight="false" outlineLevel="0" collapsed="false">
      <c r="A1049" s="123" t="n">
        <v>45444</v>
      </c>
      <c r="B1049" s="31" t="s">
        <v>153</v>
      </c>
      <c r="C1049" s="129"/>
      <c r="D1049" s="129"/>
      <c r="E1049" s="19" t="n">
        <f aca="false">F1049*0.03</f>
        <v>0</v>
      </c>
      <c r="F1049" s="33" t="n">
        <v>0</v>
      </c>
      <c r="G1049" s="131"/>
      <c r="H1049" s="35" t="n">
        <v>0</v>
      </c>
      <c r="I1049" s="34" t="n">
        <f aca="false">+IF(E1049=0,0,E1049*0.03)</f>
        <v>0</v>
      </c>
      <c r="J1049" s="93"/>
      <c r="K1049" s="93"/>
      <c r="L1049" s="93"/>
      <c r="M1049" s="93"/>
      <c r="N1049" s="93"/>
      <c r="O1049" s="93"/>
      <c r="P1049" s="93"/>
      <c r="Q1049" s="93"/>
      <c r="R1049" s="93"/>
      <c r="S1049" s="93"/>
      <c r="T1049" s="93"/>
      <c r="U1049" s="93"/>
      <c r="V1049" s="93"/>
      <c r="W1049" s="93"/>
      <c r="X1049" s="93"/>
      <c r="Y1049" s="93"/>
      <c r="Z1049" s="93"/>
    </row>
    <row r="1050" customFormat="false" ht="16.4" hidden="false" customHeight="false" outlineLevel="0" collapsed="false">
      <c r="A1050" s="123" t="n">
        <v>45444</v>
      </c>
      <c r="B1050" s="31" t="s">
        <v>153</v>
      </c>
      <c r="C1050" s="129"/>
      <c r="D1050" s="129"/>
      <c r="E1050" s="19" t="n">
        <f aca="false">F1050*0.03</f>
        <v>0</v>
      </c>
      <c r="F1050" s="33" t="n">
        <v>0</v>
      </c>
      <c r="G1050" s="131"/>
      <c r="H1050" s="35" t="n">
        <v>0</v>
      </c>
      <c r="I1050" s="34" t="n">
        <f aca="false">+IF(E1050=0,0,E1050*0.03)</f>
        <v>0</v>
      </c>
      <c r="J1050" s="93"/>
      <c r="K1050" s="93"/>
      <c r="L1050" s="93"/>
      <c r="M1050" s="93"/>
      <c r="N1050" s="93"/>
      <c r="O1050" s="93"/>
      <c r="P1050" s="93"/>
      <c r="Q1050" s="93"/>
      <c r="R1050" s="93"/>
      <c r="S1050" s="93"/>
      <c r="T1050" s="93"/>
      <c r="U1050" s="93"/>
      <c r="V1050" s="93"/>
      <c r="W1050" s="93"/>
      <c r="X1050" s="93"/>
      <c r="Y1050" s="93"/>
      <c r="Z1050" s="93"/>
    </row>
    <row r="1051" customFormat="false" ht="16.4" hidden="false" customHeight="false" outlineLevel="0" collapsed="false">
      <c r="A1051" s="123" t="n">
        <v>45444</v>
      </c>
      <c r="B1051" s="31" t="s">
        <v>153</v>
      </c>
      <c r="C1051" s="129"/>
      <c r="D1051" s="129"/>
      <c r="E1051" s="19" t="n">
        <f aca="false">F1051*0.03</f>
        <v>0</v>
      </c>
      <c r="F1051" s="33" t="n">
        <v>0</v>
      </c>
      <c r="G1051" s="131"/>
      <c r="H1051" s="35" t="n">
        <v>0</v>
      </c>
      <c r="I1051" s="34" t="n">
        <f aca="false">+IF(E1051=0,0,E1051*0.03)</f>
        <v>0</v>
      </c>
      <c r="J1051" s="93"/>
      <c r="K1051" s="93"/>
      <c r="L1051" s="93"/>
      <c r="M1051" s="93"/>
      <c r="N1051" s="93"/>
      <c r="O1051" s="93"/>
      <c r="P1051" s="93"/>
      <c r="Q1051" s="93"/>
      <c r="R1051" s="93"/>
      <c r="S1051" s="93"/>
      <c r="T1051" s="93"/>
      <c r="U1051" s="93"/>
      <c r="V1051" s="93"/>
      <c r="W1051" s="93"/>
      <c r="X1051" s="93"/>
      <c r="Y1051" s="93"/>
      <c r="Z1051" s="93"/>
    </row>
    <row r="1052" customFormat="false" ht="16.4" hidden="false" customHeight="false" outlineLevel="0" collapsed="false">
      <c r="A1052" s="123" t="n">
        <v>45444</v>
      </c>
      <c r="B1052" s="31" t="s">
        <v>153</v>
      </c>
      <c r="C1052" s="129"/>
      <c r="D1052" s="129"/>
      <c r="E1052" s="19" t="n">
        <f aca="false">F1052*0.03</f>
        <v>0</v>
      </c>
      <c r="F1052" s="33" t="n">
        <v>0</v>
      </c>
      <c r="G1052" s="131"/>
      <c r="H1052" s="35" t="n">
        <v>0</v>
      </c>
      <c r="I1052" s="34" t="n">
        <f aca="false">+IF(E1052=0,0,E1052*0.03)</f>
        <v>0</v>
      </c>
      <c r="J1052" s="93"/>
      <c r="K1052" s="93"/>
      <c r="L1052" s="93"/>
      <c r="M1052" s="93"/>
      <c r="N1052" s="93"/>
      <c r="O1052" s="93"/>
      <c r="P1052" s="93"/>
      <c r="Q1052" s="93"/>
      <c r="R1052" s="93"/>
      <c r="S1052" s="93"/>
      <c r="T1052" s="93"/>
      <c r="U1052" s="93"/>
      <c r="V1052" s="93"/>
      <c r="W1052" s="93"/>
      <c r="X1052" s="93"/>
      <c r="Y1052" s="93"/>
      <c r="Z1052" s="93"/>
    </row>
    <row r="1053" customFormat="false" ht="16.4" hidden="false" customHeight="false" outlineLevel="0" collapsed="false">
      <c r="A1053" s="123" t="n">
        <v>45444</v>
      </c>
      <c r="B1053" s="31" t="s">
        <v>153</v>
      </c>
      <c r="C1053" s="129"/>
      <c r="D1053" s="129"/>
      <c r="E1053" s="19" t="n">
        <f aca="false">F1053*0.03</f>
        <v>0</v>
      </c>
      <c r="F1053" s="33" t="n">
        <v>0</v>
      </c>
      <c r="G1053" s="131"/>
      <c r="H1053" s="35" t="n">
        <v>0</v>
      </c>
      <c r="I1053" s="34" t="n">
        <f aca="false">+IF(E1053=0,0,E1053*0.03)</f>
        <v>0</v>
      </c>
      <c r="J1053" s="93"/>
      <c r="K1053" s="93"/>
      <c r="L1053" s="93"/>
      <c r="M1053" s="93"/>
      <c r="N1053" s="93"/>
      <c r="O1053" s="93"/>
      <c r="P1053" s="93"/>
      <c r="Q1053" s="93"/>
      <c r="R1053" s="93"/>
      <c r="S1053" s="93"/>
      <c r="T1053" s="93"/>
      <c r="U1053" s="93"/>
      <c r="V1053" s="93"/>
      <c r="W1053" s="93"/>
      <c r="X1053" s="93"/>
      <c r="Y1053" s="93"/>
      <c r="Z1053" s="93"/>
    </row>
    <row r="1054" customFormat="false" ht="16.4" hidden="false" customHeight="false" outlineLevel="0" collapsed="false">
      <c r="A1054" s="123" t="n">
        <v>45444</v>
      </c>
      <c r="B1054" s="31" t="s">
        <v>153</v>
      </c>
      <c r="C1054" s="129"/>
      <c r="D1054" s="129"/>
      <c r="E1054" s="19" t="n">
        <f aca="false">F1054*0.03</f>
        <v>0</v>
      </c>
      <c r="F1054" s="33" t="n">
        <v>0</v>
      </c>
      <c r="G1054" s="131"/>
      <c r="H1054" s="35" t="n">
        <v>0</v>
      </c>
      <c r="I1054" s="34" t="n">
        <f aca="false">+IF(E1054=0,0,E1054*0.03)</f>
        <v>0</v>
      </c>
      <c r="J1054" s="93"/>
      <c r="K1054" s="93"/>
      <c r="L1054" s="93"/>
      <c r="M1054" s="93"/>
      <c r="N1054" s="93"/>
      <c r="O1054" s="93"/>
      <c r="P1054" s="93"/>
      <c r="Q1054" s="93"/>
      <c r="R1054" s="93"/>
      <c r="S1054" s="93"/>
      <c r="T1054" s="93"/>
      <c r="U1054" s="93"/>
      <c r="V1054" s="93"/>
      <c r="W1054" s="93"/>
      <c r="X1054" s="93"/>
      <c r="Y1054" s="93"/>
      <c r="Z1054" s="93"/>
    </row>
    <row r="1055" customFormat="false" ht="16.4" hidden="false" customHeight="false" outlineLevel="0" collapsed="false">
      <c r="A1055" s="123" t="n">
        <v>45444</v>
      </c>
      <c r="B1055" s="31" t="s">
        <v>153</v>
      </c>
      <c r="C1055" s="129"/>
      <c r="D1055" s="129"/>
      <c r="E1055" s="19" t="n">
        <f aca="false">F1055*0.03</f>
        <v>0</v>
      </c>
      <c r="F1055" s="33" t="n">
        <v>0</v>
      </c>
      <c r="G1055" s="131"/>
      <c r="H1055" s="35" t="n">
        <v>0</v>
      </c>
      <c r="I1055" s="34" t="n">
        <f aca="false">+IF(E1055=0,0,E1055*0.03)</f>
        <v>0</v>
      </c>
      <c r="J1055" s="93"/>
      <c r="K1055" s="93"/>
      <c r="L1055" s="93"/>
      <c r="M1055" s="93"/>
      <c r="N1055" s="93"/>
      <c r="O1055" s="93"/>
      <c r="P1055" s="93"/>
      <c r="Q1055" s="93"/>
      <c r="R1055" s="93"/>
      <c r="S1055" s="93"/>
      <c r="T1055" s="93"/>
      <c r="U1055" s="93"/>
      <c r="V1055" s="93"/>
      <c r="W1055" s="93"/>
      <c r="X1055" s="93"/>
      <c r="Y1055" s="93"/>
      <c r="Z1055" s="93"/>
    </row>
    <row r="1056" customFormat="false" ht="16.4" hidden="false" customHeight="false" outlineLevel="0" collapsed="false">
      <c r="A1056" s="123" t="n">
        <v>45444</v>
      </c>
      <c r="B1056" s="31" t="s">
        <v>153</v>
      </c>
      <c r="C1056" s="129"/>
      <c r="D1056" s="129"/>
      <c r="E1056" s="19" t="n">
        <f aca="false">F1056*0.03</f>
        <v>0</v>
      </c>
      <c r="F1056" s="33" t="n">
        <v>0</v>
      </c>
      <c r="G1056" s="131"/>
      <c r="H1056" s="35" t="n">
        <v>0</v>
      </c>
      <c r="I1056" s="34" t="n">
        <f aca="false">+IF(E1056=0,0,E1056*0.03)</f>
        <v>0</v>
      </c>
      <c r="J1056" s="93"/>
      <c r="K1056" s="93"/>
      <c r="L1056" s="93"/>
      <c r="M1056" s="93"/>
      <c r="N1056" s="93"/>
      <c r="O1056" s="93"/>
      <c r="P1056" s="93"/>
      <c r="Q1056" s="93"/>
      <c r="R1056" s="93"/>
      <c r="S1056" s="93"/>
      <c r="T1056" s="93"/>
      <c r="U1056" s="93"/>
      <c r="V1056" s="93"/>
      <c r="W1056" s="93"/>
      <c r="X1056" s="93"/>
      <c r="Y1056" s="93"/>
      <c r="Z1056" s="93"/>
    </row>
    <row r="1057" customFormat="false" ht="16.4" hidden="false" customHeight="false" outlineLevel="0" collapsed="false">
      <c r="A1057" s="123" t="n">
        <v>45444</v>
      </c>
      <c r="B1057" s="31" t="s">
        <v>153</v>
      </c>
      <c r="C1057" s="129"/>
      <c r="D1057" s="129"/>
      <c r="E1057" s="19" t="n">
        <f aca="false">F1057*0.03</f>
        <v>0</v>
      </c>
      <c r="F1057" s="33" t="n">
        <v>0</v>
      </c>
      <c r="G1057" s="131"/>
      <c r="H1057" s="35" t="n">
        <v>0</v>
      </c>
      <c r="I1057" s="34" t="n">
        <f aca="false">+IF(E1057=0,0,E1057*0.03)</f>
        <v>0</v>
      </c>
      <c r="J1057" s="93"/>
      <c r="K1057" s="93"/>
      <c r="L1057" s="93"/>
      <c r="M1057" s="93"/>
      <c r="N1057" s="93"/>
      <c r="O1057" s="93"/>
      <c r="P1057" s="93"/>
      <c r="Q1057" s="93"/>
      <c r="R1057" s="93"/>
      <c r="S1057" s="93"/>
      <c r="T1057" s="93"/>
      <c r="U1057" s="93"/>
      <c r="V1057" s="93"/>
      <c r="W1057" s="93"/>
      <c r="X1057" s="93"/>
      <c r="Y1057" s="93"/>
      <c r="Z1057" s="93"/>
    </row>
    <row r="1058" customFormat="false" ht="16.4" hidden="false" customHeight="false" outlineLevel="0" collapsed="false">
      <c r="A1058" s="123" t="n">
        <v>45444</v>
      </c>
      <c r="B1058" s="31" t="s">
        <v>153</v>
      </c>
      <c r="C1058" s="129"/>
      <c r="D1058" s="129"/>
      <c r="E1058" s="19" t="n">
        <f aca="false">F1058*0.03</f>
        <v>0</v>
      </c>
      <c r="F1058" s="33" t="n">
        <v>0</v>
      </c>
      <c r="G1058" s="131"/>
      <c r="H1058" s="35" t="n">
        <v>0</v>
      </c>
      <c r="I1058" s="34" t="n">
        <f aca="false">+IF(E1058=0,0,E1058*0.03)</f>
        <v>0</v>
      </c>
      <c r="J1058" s="93"/>
      <c r="K1058" s="93"/>
      <c r="L1058" s="93"/>
      <c r="M1058" s="93"/>
      <c r="N1058" s="93"/>
      <c r="O1058" s="93"/>
      <c r="P1058" s="93"/>
      <c r="Q1058" s="93"/>
      <c r="R1058" s="93"/>
      <c r="S1058" s="93"/>
      <c r="T1058" s="93"/>
      <c r="U1058" s="93"/>
      <c r="V1058" s="93"/>
      <c r="W1058" s="93"/>
      <c r="X1058" s="93"/>
      <c r="Y1058" s="93"/>
      <c r="Z1058" s="93"/>
    </row>
    <row r="1059" customFormat="false" ht="16.4" hidden="false" customHeight="false" outlineLevel="0" collapsed="false">
      <c r="A1059" s="123" t="n">
        <v>45444</v>
      </c>
      <c r="B1059" s="31" t="s">
        <v>153</v>
      </c>
      <c r="C1059" s="129"/>
      <c r="D1059" s="129"/>
      <c r="E1059" s="19" t="n">
        <f aca="false">F1059*0.03</f>
        <v>0</v>
      </c>
      <c r="F1059" s="33" t="n">
        <v>0</v>
      </c>
      <c r="G1059" s="131"/>
      <c r="H1059" s="35" t="n">
        <v>0</v>
      </c>
      <c r="I1059" s="34" t="n">
        <f aca="false">+IF(E1059=0,0,E1059*0.03)</f>
        <v>0</v>
      </c>
      <c r="J1059" s="93"/>
      <c r="K1059" s="93"/>
      <c r="L1059" s="93"/>
      <c r="M1059" s="93"/>
      <c r="N1059" s="93"/>
      <c r="O1059" s="93"/>
      <c r="P1059" s="93"/>
      <c r="Q1059" s="93"/>
      <c r="R1059" s="93"/>
      <c r="S1059" s="93"/>
      <c r="T1059" s="93"/>
      <c r="U1059" s="93"/>
      <c r="V1059" s="93"/>
      <c r="W1059" s="93"/>
      <c r="X1059" s="93"/>
      <c r="Y1059" s="93"/>
      <c r="Z1059" s="93"/>
    </row>
    <row r="1060" customFormat="false" ht="16.4" hidden="false" customHeight="false" outlineLevel="0" collapsed="false">
      <c r="A1060" s="123" t="n">
        <v>45444</v>
      </c>
      <c r="B1060" s="31" t="s">
        <v>153</v>
      </c>
      <c r="C1060" s="129"/>
      <c r="D1060" s="129"/>
      <c r="E1060" s="19" t="n">
        <f aca="false">F1060*0.03</f>
        <v>0</v>
      </c>
      <c r="F1060" s="33" t="n">
        <v>0</v>
      </c>
      <c r="G1060" s="131"/>
      <c r="H1060" s="35" t="n">
        <v>0</v>
      </c>
      <c r="I1060" s="34" t="n">
        <f aca="false">+IF(E1060=0,0,E1060*0.03)</f>
        <v>0</v>
      </c>
      <c r="J1060" s="93"/>
      <c r="K1060" s="93"/>
      <c r="L1060" s="93"/>
      <c r="M1060" s="93"/>
      <c r="N1060" s="93"/>
      <c r="O1060" s="93"/>
      <c r="P1060" s="93"/>
      <c r="Q1060" s="93"/>
      <c r="R1060" s="93"/>
      <c r="S1060" s="93"/>
      <c r="T1060" s="93"/>
      <c r="U1060" s="93"/>
      <c r="V1060" s="93"/>
      <c r="W1060" s="93"/>
      <c r="X1060" s="93"/>
      <c r="Y1060" s="93"/>
      <c r="Z1060" s="93"/>
    </row>
    <row r="1061" customFormat="false" ht="16.4" hidden="false" customHeight="false" outlineLevel="0" collapsed="false">
      <c r="A1061" s="123" t="n">
        <v>45444</v>
      </c>
      <c r="B1061" s="31" t="s">
        <v>153</v>
      </c>
      <c r="C1061" s="129"/>
      <c r="D1061" s="129"/>
      <c r="E1061" s="19" t="n">
        <f aca="false">F1061*0.03</f>
        <v>0</v>
      </c>
      <c r="F1061" s="33" t="n">
        <v>0</v>
      </c>
      <c r="G1061" s="131"/>
      <c r="H1061" s="35" t="n">
        <v>0</v>
      </c>
      <c r="I1061" s="34" t="n">
        <f aca="false">+IF(E1061=0,0,E1061*0.03)</f>
        <v>0</v>
      </c>
      <c r="J1061" s="93"/>
      <c r="K1061" s="93"/>
      <c r="L1061" s="93"/>
      <c r="M1061" s="93"/>
      <c r="N1061" s="93"/>
      <c r="O1061" s="93"/>
      <c r="P1061" s="93"/>
      <c r="Q1061" s="93"/>
      <c r="R1061" s="93"/>
      <c r="S1061" s="93"/>
      <c r="T1061" s="93"/>
      <c r="U1061" s="93"/>
      <c r="V1061" s="93"/>
      <c r="W1061" s="93"/>
      <c r="X1061" s="93"/>
      <c r="Y1061" s="93"/>
      <c r="Z1061" s="93"/>
    </row>
    <row r="1062" customFormat="false" ht="16.4" hidden="false" customHeight="false" outlineLevel="0" collapsed="false">
      <c r="A1062" s="123" t="n">
        <v>45444</v>
      </c>
      <c r="B1062" s="31" t="s">
        <v>153</v>
      </c>
      <c r="C1062" s="129"/>
      <c r="D1062" s="129"/>
      <c r="E1062" s="19" t="n">
        <f aca="false">F1062*0.03</f>
        <v>0</v>
      </c>
      <c r="F1062" s="33" t="n">
        <v>0</v>
      </c>
      <c r="G1062" s="131"/>
      <c r="H1062" s="35" t="n">
        <v>0</v>
      </c>
      <c r="I1062" s="34" t="n">
        <f aca="false">+IF(E1062=0,0,E1062*0.03)</f>
        <v>0</v>
      </c>
      <c r="J1062" s="93"/>
      <c r="K1062" s="93"/>
      <c r="L1062" s="93"/>
      <c r="M1062" s="93"/>
      <c r="N1062" s="93"/>
      <c r="O1062" s="93"/>
      <c r="P1062" s="93"/>
      <c r="Q1062" s="93"/>
      <c r="R1062" s="93"/>
      <c r="S1062" s="93"/>
      <c r="T1062" s="93"/>
      <c r="U1062" s="93"/>
      <c r="V1062" s="93"/>
      <c r="W1062" s="93"/>
      <c r="X1062" s="93"/>
      <c r="Y1062" s="93"/>
      <c r="Z1062" s="93"/>
    </row>
    <row r="1063" customFormat="false" ht="16.4" hidden="false" customHeight="false" outlineLevel="0" collapsed="false">
      <c r="A1063" s="123" t="n">
        <v>45444</v>
      </c>
      <c r="B1063" s="31" t="s">
        <v>153</v>
      </c>
      <c r="C1063" s="129"/>
      <c r="D1063" s="129"/>
      <c r="E1063" s="19" t="n">
        <f aca="false">F1063*0.03</f>
        <v>0</v>
      </c>
      <c r="F1063" s="33" t="n">
        <v>0</v>
      </c>
      <c r="G1063" s="131"/>
      <c r="H1063" s="35" t="n">
        <v>0</v>
      </c>
      <c r="I1063" s="34" t="n">
        <f aca="false">+IF(E1063=0,0,E1063*0.03)</f>
        <v>0</v>
      </c>
      <c r="J1063" s="93"/>
      <c r="K1063" s="93"/>
      <c r="L1063" s="93"/>
      <c r="M1063" s="93"/>
      <c r="N1063" s="93"/>
      <c r="O1063" s="93"/>
      <c r="P1063" s="93"/>
      <c r="Q1063" s="93"/>
      <c r="R1063" s="93"/>
      <c r="S1063" s="93"/>
      <c r="T1063" s="93"/>
      <c r="U1063" s="93"/>
      <c r="V1063" s="93"/>
      <c r="W1063" s="93"/>
      <c r="X1063" s="93"/>
      <c r="Y1063" s="93"/>
      <c r="Z1063" s="93"/>
    </row>
    <row r="1064" customFormat="false" ht="16.4" hidden="false" customHeight="false" outlineLevel="0" collapsed="false">
      <c r="A1064" s="123" t="n">
        <v>45444</v>
      </c>
      <c r="B1064" s="31" t="s">
        <v>153</v>
      </c>
      <c r="C1064" s="129"/>
      <c r="D1064" s="129"/>
      <c r="E1064" s="19" t="n">
        <f aca="false">F1064*0.03</f>
        <v>0</v>
      </c>
      <c r="F1064" s="33" t="n">
        <v>0</v>
      </c>
      <c r="G1064" s="131"/>
      <c r="H1064" s="35" t="n">
        <v>0</v>
      </c>
      <c r="I1064" s="34" t="n">
        <f aca="false">+IF(E1064=0,0,E1064*0.03)</f>
        <v>0</v>
      </c>
      <c r="J1064" s="93"/>
      <c r="K1064" s="93"/>
      <c r="L1064" s="93"/>
      <c r="M1064" s="93"/>
      <c r="N1064" s="93"/>
      <c r="O1064" s="93"/>
      <c r="P1064" s="93"/>
      <c r="Q1064" s="93"/>
      <c r="R1064" s="93"/>
      <c r="S1064" s="93"/>
      <c r="T1064" s="93"/>
      <c r="U1064" s="93"/>
      <c r="V1064" s="93"/>
      <c r="W1064" s="93"/>
      <c r="X1064" s="93"/>
      <c r="Y1064" s="93"/>
      <c r="Z1064" s="93"/>
    </row>
    <row r="1065" customFormat="false" ht="16.4" hidden="false" customHeight="false" outlineLevel="0" collapsed="false">
      <c r="A1065" s="123" t="n">
        <v>45444</v>
      </c>
      <c r="B1065" s="31" t="s">
        <v>153</v>
      </c>
      <c r="C1065" s="129"/>
      <c r="D1065" s="129"/>
      <c r="E1065" s="19" t="n">
        <f aca="false">F1065*0.03</f>
        <v>0</v>
      </c>
      <c r="F1065" s="33" t="n">
        <v>0</v>
      </c>
      <c r="G1065" s="131"/>
      <c r="H1065" s="35" t="n">
        <v>0</v>
      </c>
      <c r="I1065" s="34" t="n">
        <f aca="false">+IF(E1065=0,0,E1065*0.03)</f>
        <v>0</v>
      </c>
      <c r="J1065" s="93"/>
      <c r="K1065" s="93"/>
      <c r="L1065" s="93"/>
      <c r="M1065" s="93"/>
      <c r="N1065" s="93"/>
      <c r="O1065" s="93"/>
      <c r="P1065" s="93"/>
      <c r="Q1065" s="93"/>
      <c r="R1065" s="93"/>
      <c r="S1065" s="93"/>
      <c r="T1065" s="93"/>
      <c r="U1065" s="93"/>
      <c r="V1065" s="93"/>
      <c r="W1065" s="93"/>
      <c r="X1065" s="93"/>
      <c r="Y1065" s="93"/>
      <c r="Z1065" s="93"/>
    </row>
    <row r="1066" customFormat="false" ht="16.4" hidden="false" customHeight="false" outlineLevel="0" collapsed="false">
      <c r="A1066" s="123" t="n">
        <v>45444</v>
      </c>
      <c r="B1066" s="31" t="s">
        <v>153</v>
      </c>
      <c r="C1066" s="129"/>
      <c r="D1066" s="129"/>
      <c r="E1066" s="19" t="n">
        <f aca="false">F1066*0.03</f>
        <v>0</v>
      </c>
      <c r="F1066" s="33" t="n">
        <v>0</v>
      </c>
      <c r="G1066" s="131"/>
      <c r="H1066" s="35" t="n">
        <v>0</v>
      </c>
      <c r="I1066" s="34" t="n">
        <f aca="false">+IF(E1066=0,0,E1066*0.03)</f>
        <v>0</v>
      </c>
      <c r="J1066" s="93"/>
      <c r="K1066" s="93"/>
      <c r="L1066" s="93"/>
      <c r="M1066" s="93"/>
      <c r="N1066" s="93"/>
      <c r="O1066" s="93"/>
      <c r="P1066" s="93"/>
      <c r="Q1066" s="93"/>
      <c r="R1066" s="93"/>
      <c r="S1066" s="93"/>
      <c r="T1066" s="93"/>
      <c r="U1066" s="93"/>
      <c r="V1066" s="93"/>
      <c r="W1066" s="93"/>
      <c r="X1066" s="93"/>
      <c r="Y1066" s="93"/>
      <c r="Z1066" s="93"/>
    </row>
    <row r="1067" customFormat="false" ht="16.4" hidden="false" customHeight="false" outlineLevel="0" collapsed="false">
      <c r="A1067" s="123" t="n">
        <v>45444</v>
      </c>
      <c r="B1067" s="31" t="s">
        <v>153</v>
      </c>
      <c r="C1067" s="129"/>
      <c r="D1067" s="129"/>
      <c r="E1067" s="19" t="n">
        <f aca="false">F1067*0.03</f>
        <v>0</v>
      </c>
      <c r="F1067" s="33" t="n">
        <v>0</v>
      </c>
      <c r="G1067" s="131"/>
      <c r="H1067" s="35" t="n">
        <v>0</v>
      </c>
      <c r="I1067" s="34" t="n">
        <f aca="false">+IF(E1067=0,0,E1067*0.03)</f>
        <v>0</v>
      </c>
      <c r="J1067" s="93"/>
      <c r="K1067" s="93"/>
      <c r="L1067" s="93"/>
      <c r="M1067" s="93"/>
      <c r="N1067" s="93"/>
      <c r="O1067" s="93"/>
      <c r="P1067" s="93"/>
      <c r="Q1067" s="93"/>
      <c r="R1067" s="93"/>
      <c r="S1067" s="93"/>
      <c r="T1067" s="93"/>
      <c r="U1067" s="93"/>
      <c r="V1067" s="93"/>
      <c r="W1067" s="93"/>
      <c r="X1067" s="93"/>
      <c r="Y1067" s="93"/>
      <c r="Z1067" s="93"/>
    </row>
    <row r="1068" customFormat="false" ht="16.4" hidden="false" customHeight="false" outlineLevel="0" collapsed="false">
      <c r="A1068" s="123" t="n">
        <v>45444</v>
      </c>
      <c r="B1068" s="31" t="s">
        <v>153</v>
      </c>
      <c r="C1068" s="129"/>
      <c r="D1068" s="129"/>
      <c r="E1068" s="19" t="n">
        <f aca="false">F1068*0.03</f>
        <v>0</v>
      </c>
      <c r="F1068" s="33" t="n">
        <v>0</v>
      </c>
      <c r="G1068" s="131"/>
      <c r="H1068" s="35" t="n">
        <v>0</v>
      </c>
      <c r="I1068" s="34" t="n">
        <f aca="false">+IF(E1068=0,0,E1068*0.03)</f>
        <v>0</v>
      </c>
      <c r="J1068" s="93"/>
      <c r="K1068" s="93"/>
      <c r="L1068" s="93"/>
      <c r="M1068" s="93"/>
      <c r="N1068" s="93"/>
      <c r="O1068" s="93"/>
      <c r="P1068" s="93"/>
      <c r="Q1068" s="93"/>
      <c r="R1068" s="93"/>
      <c r="S1068" s="93"/>
      <c r="T1068" s="93"/>
      <c r="U1068" s="93"/>
      <c r="V1068" s="93"/>
      <c r="W1068" s="93"/>
      <c r="X1068" s="93"/>
      <c r="Y1068" s="93"/>
      <c r="Z1068" s="93"/>
    </row>
    <row r="1069" customFormat="false" ht="16.4" hidden="false" customHeight="false" outlineLevel="0" collapsed="false">
      <c r="A1069" s="123" t="n">
        <v>45444</v>
      </c>
      <c r="B1069" s="31" t="s">
        <v>153</v>
      </c>
      <c r="C1069" s="129"/>
      <c r="D1069" s="129"/>
      <c r="E1069" s="19" t="n">
        <f aca="false">F1069*0.03</f>
        <v>0</v>
      </c>
      <c r="F1069" s="33" t="n">
        <v>0</v>
      </c>
      <c r="G1069" s="131"/>
      <c r="H1069" s="35" t="n">
        <v>0</v>
      </c>
      <c r="I1069" s="34" t="n">
        <f aca="false">+IF(E1069=0,0,E1069*0.03)</f>
        <v>0</v>
      </c>
      <c r="J1069" s="93"/>
      <c r="K1069" s="93"/>
      <c r="L1069" s="93"/>
      <c r="M1069" s="93"/>
      <c r="N1069" s="93"/>
      <c r="O1069" s="93"/>
      <c r="P1069" s="93"/>
      <c r="Q1069" s="93"/>
      <c r="R1069" s="93"/>
      <c r="S1069" s="93"/>
      <c r="T1069" s="93"/>
      <c r="U1069" s="93"/>
      <c r="V1069" s="93"/>
      <c r="W1069" s="93"/>
      <c r="X1069" s="93"/>
      <c r="Y1069" s="93"/>
      <c r="Z1069" s="93"/>
    </row>
    <row r="1070" customFormat="false" ht="16.4" hidden="false" customHeight="false" outlineLevel="0" collapsed="false">
      <c r="A1070" s="123" t="n">
        <v>45444</v>
      </c>
      <c r="B1070" s="31" t="s">
        <v>153</v>
      </c>
      <c r="C1070" s="129"/>
      <c r="D1070" s="129"/>
      <c r="E1070" s="19" t="n">
        <f aca="false">F1070*0.03</f>
        <v>0</v>
      </c>
      <c r="F1070" s="33" t="n">
        <v>0</v>
      </c>
      <c r="G1070" s="131"/>
      <c r="H1070" s="35" t="n">
        <v>0</v>
      </c>
      <c r="I1070" s="34" t="n">
        <f aca="false">+IF(E1070=0,0,E1070*0.03)</f>
        <v>0</v>
      </c>
      <c r="J1070" s="93"/>
      <c r="K1070" s="93"/>
      <c r="L1070" s="93"/>
      <c r="M1070" s="93"/>
      <c r="N1070" s="93"/>
      <c r="O1070" s="93"/>
      <c r="P1070" s="93"/>
      <c r="Q1070" s="93"/>
      <c r="R1070" s="93"/>
      <c r="S1070" s="93"/>
      <c r="T1070" s="93"/>
      <c r="U1070" s="93"/>
      <c r="V1070" s="93"/>
      <c r="W1070" s="93"/>
      <c r="X1070" s="93"/>
      <c r="Y1070" s="93"/>
      <c r="Z1070" s="93"/>
    </row>
    <row r="1071" customFormat="false" ht="16.4" hidden="false" customHeight="false" outlineLevel="0" collapsed="false">
      <c r="A1071" s="123" t="n">
        <v>45444</v>
      </c>
      <c r="B1071" s="31" t="s">
        <v>153</v>
      </c>
      <c r="C1071" s="129"/>
      <c r="D1071" s="129"/>
      <c r="E1071" s="19" t="n">
        <f aca="false">F1071*0.03</f>
        <v>0</v>
      </c>
      <c r="F1071" s="33" t="n">
        <v>0</v>
      </c>
      <c r="G1071" s="131"/>
      <c r="H1071" s="35" t="n">
        <v>0</v>
      </c>
      <c r="I1071" s="34" t="n">
        <f aca="false">+IF(E1071=0,0,E1071*0.03)</f>
        <v>0</v>
      </c>
      <c r="J1071" s="93"/>
      <c r="K1071" s="93"/>
      <c r="L1071" s="93"/>
      <c r="M1071" s="93"/>
      <c r="N1071" s="93"/>
      <c r="O1071" s="93"/>
      <c r="P1071" s="93"/>
      <c r="Q1071" s="93"/>
      <c r="R1071" s="93"/>
      <c r="S1071" s="93"/>
      <c r="T1071" s="93"/>
      <c r="U1071" s="93"/>
      <c r="V1071" s="93"/>
      <c r="W1071" s="93"/>
      <c r="X1071" s="93"/>
      <c r="Y1071" s="93"/>
      <c r="Z1071" s="93"/>
    </row>
    <row r="1072" customFormat="false" ht="16.4" hidden="false" customHeight="false" outlineLevel="0" collapsed="false">
      <c r="A1072" s="123" t="n">
        <v>45444</v>
      </c>
      <c r="B1072" s="31" t="s">
        <v>153</v>
      </c>
      <c r="C1072" s="129"/>
      <c r="D1072" s="129"/>
      <c r="E1072" s="19" t="n">
        <f aca="false">F1072*0.03</f>
        <v>0</v>
      </c>
      <c r="F1072" s="33" t="n">
        <v>0</v>
      </c>
      <c r="G1072" s="131"/>
      <c r="H1072" s="35" t="n">
        <v>0</v>
      </c>
      <c r="I1072" s="34" t="n">
        <f aca="false">+IF(E1072=0,0,E1072*0.03)</f>
        <v>0</v>
      </c>
      <c r="J1072" s="93"/>
      <c r="K1072" s="93"/>
      <c r="L1072" s="93"/>
      <c r="M1072" s="93"/>
      <c r="N1072" s="93"/>
      <c r="O1072" s="93"/>
      <c r="P1072" s="93"/>
      <c r="Q1072" s="93"/>
      <c r="R1072" s="93"/>
      <c r="S1072" s="93"/>
      <c r="T1072" s="93"/>
      <c r="U1072" s="93"/>
      <c r="V1072" s="93"/>
      <c r="W1072" s="93"/>
      <c r="X1072" s="93"/>
      <c r="Y1072" s="93"/>
      <c r="Z1072" s="93"/>
    </row>
    <row r="1073" customFormat="false" ht="16.4" hidden="false" customHeight="false" outlineLevel="0" collapsed="false">
      <c r="A1073" s="123" t="n">
        <v>45444</v>
      </c>
      <c r="B1073" s="31" t="s">
        <v>153</v>
      </c>
      <c r="C1073" s="129"/>
      <c r="D1073" s="129"/>
      <c r="E1073" s="19" t="n">
        <f aca="false">F1073*0.03</f>
        <v>0</v>
      </c>
      <c r="F1073" s="33" t="n">
        <v>0</v>
      </c>
      <c r="G1073" s="131"/>
      <c r="H1073" s="35" t="n">
        <v>0</v>
      </c>
      <c r="I1073" s="34" t="n">
        <f aca="false">+IF(E1073=0,0,E1073*0.03)</f>
        <v>0</v>
      </c>
      <c r="J1073" s="93"/>
      <c r="K1073" s="93"/>
      <c r="L1073" s="93"/>
      <c r="M1073" s="93"/>
      <c r="N1073" s="93"/>
      <c r="O1073" s="93"/>
      <c r="P1073" s="93"/>
      <c r="Q1073" s="93"/>
      <c r="R1073" s="93"/>
      <c r="S1073" s="93"/>
      <c r="T1073" s="93"/>
      <c r="U1073" s="93"/>
      <c r="V1073" s="93"/>
      <c r="W1073" s="93"/>
      <c r="X1073" s="93"/>
      <c r="Y1073" s="93"/>
      <c r="Z1073" s="93"/>
    </row>
    <row r="1074" customFormat="false" ht="16.4" hidden="false" customHeight="false" outlineLevel="0" collapsed="false">
      <c r="A1074" s="123" t="n">
        <v>45444</v>
      </c>
      <c r="B1074" s="31" t="s">
        <v>153</v>
      </c>
      <c r="C1074" s="129"/>
      <c r="D1074" s="129"/>
      <c r="E1074" s="19" t="n">
        <f aca="false">F1074*0.03</f>
        <v>0</v>
      </c>
      <c r="F1074" s="33" t="n">
        <v>0</v>
      </c>
      <c r="G1074" s="131"/>
      <c r="H1074" s="35" t="n">
        <v>0</v>
      </c>
      <c r="I1074" s="34" t="n">
        <f aca="false">+IF(E1074=0,0,E1074*0.03)</f>
        <v>0</v>
      </c>
      <c r="J1074" s="93"/>
      <c r="K1074" s="93"/>
      <c r="L1074" s="93"/>
      <c r="M1074" s="93"/>
      <c r="N1074" s="93"/>
      <c r="O1074" s="93"/>
      <c r="P1074" s="93"/>
      <c r="Q1074" s="93"/>
      <c r="R1074" s="93"/>
      <c r="S1074" s="93"/>
      <c r="T1074" s="93"/>
      <c r="U1074" s="93"/>
      <c r="V1074" s="93"/>
      <c r="W1074" s="93"/>
      <c r="X1074" s="93"/>
      <c r="Y1074" s="93"/>
      <c r="Z1074" s="93"/>
    </row>
    <row r="1075" customFormat="false" ht="16.4" hidden="false" customHeight="false" outlineLevel="0" collapsed="false">
      <c r="A1075" s="123" t="n">
        <v>45444</v>
      </c>
      <c r="B1075" s="31" t="s">
        <v>153</v>
      </c>
      <c r="C1075" s="129"/>
      <c r="D1075" s="129"/>
      <c r="E1075" s="19" t="n">
        <f aca="false">F1075*0.03</f>
        <v>0</v>
      </c>
      <c r="F1075" s="33" t="n">
        <v>0</v>
      </c>
      <c r="G1075" s="131"/>
      <c r="H1075" s="35" t="n">
        <v>0</v>
      </c>
      <c r="I1075" s="34" t="n">
        <f aca="false">+IF(E1075=0,0,E1075*0.03)</f>
        <v>0</v>
      </c>
      <c r="J1075" s="93"/>
      <c r="K1075" s="93"/>
      <c r="L1075" s="93"/>
      <c r="M1075" s="93"/>
      <c r="N1075" s="93"/>
      <c r="O1075" s="93"/>
      <c r="P1075" s="93"/>
      <c r="Q1075" s="93"/>
      <c r="R1075" s="93"/>
      <c r="S1075" s="93"/>
      <c r="T1075" s="93"/>
      <c r="U1075" s="93"/>
      <c r="V1075" s="93"/>
      <c r="W1075" s="93"/>
      <c r="X1075" s="93"/>
      <c r="Y1075" s="93"/>
      <c r="Z1075" s="93"/>
    </row>
    <row r="1076" customFormat="false" ht="16.4" hidden="false" customHeight="false" outlineLevel="0" collapsed="false">
      <c r="A1076" s="123" t="n">
        <v>45444</v>
      </c>
      <c r="B1076" s="31" t="s">
        <v>153</v>
      </c>
      <c r="C1076" s="129"/>
      <c r="D1076" s="129"/>
      <c r="E1076" s="19" t="n">
        <f aca="false">F1076*0.03</f>
        <v>0</v>
      </c>
      <c r="F1076" s="33" t="n">
        <v>0</v>
      </c>
      <c r="G1076" s="131"/>
      <c r="H1076" s="35" t="n">
        <v>0</v>
      </c>
      <c r="I1076" s="34" t="n">
        <f aca="false">+IF(E1076=0,0,E1076*0.03)</f>
        <v>0</v>
      </c>
      <c r="J1076" s="93"/>
      <c r="K1076" s="93"/>
      <c r="L1076" s="93"/>
      <c r="M1076" s="93"/>
      <c r="N1076" s="93"/>
      <c r="O1076" s="93"/>
      <c r="P1076" s="93"/>
      <c r="Q1076" s="93"/>
      <c r="R1076" s="93"/>
      <c r="S1076" s="93"/>
      <c r="T1076" s="93"/>
      <c r="U1076" s="93"/>
      <c r="V1076" s="93"/>
      <c r="W1076" s="93"/>
      <c r="X1076" s="93"/>
      <c r="Y1076" s="93"/>
      <c r="Z1076" s="93"/>
    </row>
    <row r="1077" customFormat="false" ht="16.4" hidden="false" customHeight="false" outlineLevel="0" collapsed="false">
      <c r="A1077" s="123" t="n">
        <v>45444</v>
      </c>
      <c r="B1077" s="31" t="s">
        <v>153</v>
      </c>
      <c r="C1077" s="129"/>
      <c r="D1077" s="129"/>
      <c r="E1077" s="19" t="n">
        <f aca="false">F1077*0.03</f>
        <v>0</v>
      </c>
      <c r="F1077" s="33" t="n">
        <v>0</v>
      </c>
      <c r="G1077" s="131"/>
      <c r="H1077" s="35" t="n">
        <v>0</v>
      </c>
      <c r="I1077" s="34" t="n">
        <f aca="false">+IF(E1077=0,0,E1077*0.03)</f>
        <v>0</v>
      </c>
      <c r="J1077" s="93"/>
      <c r="K1077" s="93"/>
      <c r="L1077" s="93"/>
      <c r="M1077" s="93"/>
      <c r="N1077" s="93"/>
      <c r="O1077" s="93"/>
      <c r="P1077" s="93"/>
      <c r="Q1077" s="93"/>
      <c r="R1077" s="93"/>
      <c r="S1077" s="93"/>
      <c r="T1077" s="93"/>
      <c r="U1077" s="93"/>
      <c r="V1077" s="93"/>
      <c r="W1077" s="93"/>
      <c r="X1077" s="93"/>
      <c r="Y1077" s="93"/>
      <c r="Z1077" s="93"/>
    </row>
    <row r="1078" customFormat="false" ht="16.4" hidden="false" customHeight="false" outlineLevel="0" collapsed="false">
      <c r="A1078" s="123" t="n">
        <v>45444</v>
      </c>
      <c r="B1078" s="31" t="s">
        <v>153</v>
      </c>
      <c r="C1078" s="129"/>
      <c r="D1078" s="129"/>
      <c r="E1078" s="19" t="n">
        <f aca="false">F1078*0.03</f>
        <v>0</v>
      </c>
      <c r="F1078" s="33" t="n">
        <v>0</v>
      </c>
      <c r="G1078" s="131"/>
      <c r="H1078" s="35" t="n">
        <v>0</v>
      </c>
      <c r="I1078" s="34" t="n">
        <f aca="false">+IF(E1078=0,0,E1078*0.03)</f>
        <v>0</v>
      </c>
      <c r="J1078" s="93"/>
      <c r="K1078" s="93"/>
      <c r="L1078" s="93"/>
      <c r="M1078" s="93"/>
      <c r="N1078" s="93"/>
      <c r="O1078" s="93"/>
      <c r="P1078" s="93"/>
      <c r="Q1078" s="93"/>
      <c r="R1078" s="93"/>
      <c r="S1078" s="93"/>
      <c r="T1078" s="93"/>
      <c r="U1078" s="93"/>
      <c r="V1078" s="93"/>
      <c r="W1078" s="93"/>
      <c r="X1078" s="93"/>
      <c r="Y1078" s="93"/>
      <c r="Z1078" s="93"/>
    </row>
    <row r="1079" customFormat="false" ht="16.4" hidden="false" customHeight="false" outlineLevel="0" collapsed="false">
      <c r="A1079" s="123" t="n">
        <v>45444</v>
      </c>
      <c r="B1079" s="31" t="s">
        <v>153</v>
      </c>
      <c r="C1079" s="129"/>
      <c r="D1079" s="129"/>
      <c r="E1079" s="19" t="n">
        <f aca="false">F1079*0.03</f>
        <v>0</v>
      </c>
      <c r="F1079" s="33" t="n">
        <v>0</v>
      </c>
      <c r="G1079" s="131"/>
      <c r="H1079" s="35" t="n">
        <v>0</v>
      </c>
      <c r="I1079" s="34" t="n">
        <f aca="false">+IF(E1079=0,0,E1079*0.03)</f>
        <v>0</v>
      </c>
      <c r="J1079" s="93"/>
      <c r="K1079" s="93"/>
      <c r="L1079" s="93"/>
      <c r="M1079" s="93"/>
      <c r="N1079" s="93"/>
      <c r="O1079" s="93"/>
      <c r="P1079" s="93"/>
      <c r="Q1079" s="93"/>
      <c r="R1079" s="93"/>
      <c r="S1079" s="93"/>
      <c r="T1079" s="93"/>
      <c r="U1079" s="93"/>
      <c r="V1079" s="93"/>
      <c r="W1079" s="93"/>
      <c r="X1079" s="93"/>
      <c r="Y1079" s="93"/>
      <c r="Z1079" s="93"/>
    </row>
    <row r="1080" customFormat="false" ht="16.4" hidden="false" customHeight="false" outlineLevel="0" collapsed="false">
      <c r="A1080" s="123" t="n">
        <v>45444</v>
      </c>
      <c r="B1080" s="31" t="s">
        <v>153</v>
      </c>
      <c r="C1080" s="129"/>
      <c r="D1080" s="129"/>
      <c r="E1080" s="19" t="n">
        <f aca="false">F1080*0.03</f>
        <v>0</v>
      </c>
      <c r="F1080" s="33" t="n">
        <v>0</v>
      </c>
      <c r="G1080" s="131"/>
      <c r="H1080" s="35" t="n">
        <v>0</v>
      </c>
      <c r="I1080" s="34" t="n">
        <f aca="false">+IF(E1080=0,0,E1080*0.03)</f>
        <v>0</v>
      </c>
      <c r="J1080" s="93"/>
      <c r="K1080" s="93"/>
      <c r="L1080" s="93"/>
      <c r="M1080" s="93"/>
      <c r="N1080" s="93"/>
      <c r="O1080" s="93"/>
      <c r="P1080" s="93"/>
      <c r="Q1080" s="93"/>
      <c r="R1080" s="93"/>
      <c r="S1080" s="93"/>
      <c r="T1080" s="93"/>
      <c r="U1080" s="93"/>
      <c r="V1080" s="93"/>
      <c r="W1080" s="93"/>
      <c r="X1080" s="93"/>
      <c r="Y1080" s="93"/>
      <c r="Z1080" s="93"/>
    </row>
    <row r="1081" customFormat="false" ht="16.4" hidden="false" customHeight="false" outlineLevel="0" collapsed="false">
      <c r="A1081" s="123" t="n">
        <v>45444</v>
      </c>
      <c r="B1081" s="31" t="s">
        <v>153</v>
      </c>
      <c r="C1081" s="129"/>
      <c r="D1081" s="129"/>
      <c r="E1081" s="19" t="n">
        <f aca="false">F1081*0.03</f>
        <v>0</v>
      </c>
      <c r="F1081" s="33" t="n">
        <v>0</v>
      </c>
      <c r="G1081" s="131"/>
      <c r="H1081" s="35" t="n">
        <v>0</v>
      </c>
      <c r="I1081" s="34" t="n">
        <f aca="false">+IF(E1081=0,0,E1081*0.03)</f>
        <v>0</v>
      </c>
      <c r="J1081" s="93"/>
      <c r="K1081" s="93"/>
      <c r="L1081" s="93"/>
      <c r="M1081" s="93"/>
      <c r="N1081" s="93"/>
      <c r="O1081" s="93"/>
      <c r="P1081" s="93"/>
      <c r="Q1081" s="93"/>
      <c r="R1081" s="93"/>
      <c r="S1081" s="93"/>
      <c r="T1081" s="93"/>
      <c r="U1081" s="93"/>
      <c r="V1081" s="93"/>
      <c r="W1081" s="93"/>
      <c r="X1081" s="93"/>
      <c r="Y1081" s="93"/>
      <c r="Z1081" s="93"/>
    </row>
    <row r="1082" customFormat="false" ht="16.4" hidden="false" customHeight="false" outlineLevel="0" collapsed="false">
      <c r="A1082" s="123" t="n">
        <v>45444</v>
      </c>
      <c r="B1082" s="31" t="s">
        <v>153</v>
      </c>
      <c r="C1082" s="129"/>
      <c r="D1082" s="129"/>
      <c r="E1082" s="19" t="n">
        <f aca="false">F1082*0.03</f>
        <v>0</v>
      </c>
      <c r="F1082" s="33" t="n">
        <v>0</v>
      </c>
      <c r="G1082" s="131"/>
      <c r="H1082" s="35" t="n">
        <v>0</v>
      </c>
      <c r="I1082" s="34" t="n">
        <f aca="false">+IF(E1082=0,0,E1082*0.03)</f>
        <v>0</v>
      </c>
      <c r="J1082" s="93"/>
      <c r="K1082" s="93"/>
      <c r="L1082" s="93"/>
      <c r="M1082" s="93"/>
      <c r="N1082" s="93"/>
      <c r="O1082" s="93"/>
      <c r="P1082" s="93"/>
      <c r="Q1082" s="93"/>
      <c r="R1082" s="93"/>
      <c r="S1082" s="93"/>
      <c r="T1082" s="93"/>
      <c r="U1082" s="93"/>
      <c r="V1082" s="93"/>
      <c r="W1082" s="93"/>
      <c r="X1082" s="93"/>
      <c r="Y1082" s="93"/>
      <c r="Z1082" s="93"/>
    </row>
    <row r="1083" customFormat="false" ht="16.4" hidden="false" customHeight="false" outlineLevel="0" collapsed="false">
      <c r="A1083" s="123" t="n">
        <v>45444</v>
      </c>
      <c r="B1083" s="31" t="s">
        <v>153</v>
      </c>
      <c r="C1083" s="129"/>
      <c r="D1083" s="129"/>
      <c r="E1083" s="19" t="n">
        <f aca="false">F1083*0.03</f>
        <v>0</v>
      </c>
      <c r="F1083" s="33" t="n">
        <v>0</v>
      </c>
      <c r="G1083" s="131"/>
      <c r="H1083" s="35" t="n">
        <v>0</v>
      </c>
      <c r="I1083" s="34" t="n">
        <f aca="false">+IF(E1083=0,0,E1083*0.03)</f>
        <v>0</v>
      </c>
      <c r="J1083" s="93"/>
      <c r="K1083" s="93"/>
      <c r="L1083" s="93"/>
      <c r="M1083" s="93"/>
      <c r="N1083" s="93"/>
      <c r="O1083" s="93"/>
      <c r="P1083" s="93"/>
      <c r="Q1083" s="93"/>
      <c r="R1083" s="93"/>
      <c r="S1083" s="93"/>
      <c r="T1083" s="93"/>
      <c r="U1083" s="93"/>
      <c r="V1083" s="93"/>
      <c r="W1083" s="93"/>
      <c r="X1083" s="93"/>
      <c r="Y1083" s="93"/>
      <c r="Z1083" s="93"/>
    </row>
    <row r="1084" customFormat="false" ht="16.4" hidden="false" customHeight="false" outlineLevel="0" collapsed="false">
      <c r="A1084" s="123" t="n">
        <v>45444</v>
      </c>
      <c r="B1084" s="31" t="s">
        <v>153</v>
      </c>
      <c r="C1084" s="129"/>
      <c r="D1084" s="129"/>
      <c r="E1084" s="19" t="n">
        <f aca="false">F1084*0.03</f>
        <v>0</v>
      </c>
      <c r="F1084" s="33" t="n">
        <v>0</v>
      </c>
      <c r="G1084" s="131"/>
      <c r="H1084" s="35" t="n">
        <v>0</v>
      </c>
      <c r="I1084" s="34" t="n">
        <f aca="false">+IF(E1084=0,0,E1084*0.03)</f>
        <v>0</v>
      </c>
      <c r="J1084" s="93"/>
      <c r="K1084" s="93"/>
      <c r="L1084" s="93"/>
      <c r="M1084" s="93"/>
      <c r="N1084" s="93"/>
      <c r="O1084" s="93"/>
      <c r="P1084" s="93"/>
      <c r="Q1084" s="93"/>
      <c r="R1084" s="93"/>
      <c r="S1084" s="93"/>
      <c r="T1084" s="93"/>
      <c r="U1084" s="93"/>
      <c r="V1084" s="93"/>
      <c r="W1084" s="93"/>
      <c r="X1084" s="93"/>
      <c r="Y1084" s="93"/>
      <c r="Z1084" s="93"/>
    </row>
    <row r="1085" customFormat="false" ht="16.4" hidden="false" customHeight="false" outlineLevel="0" collapsed="false">
      <c r="A1085" s="123" t="n">
        <v>45444</v>
      </c>
      <c r="B1085" s="31" t="s">
        <v>153</v>
      </c>
      <c r="C1085" s="129"/>
      <c r="D1085" s="129"/>
      <c r="E1085" s="19" t="n">
        <f aca="false">F1085*0.03</f>
        <v>0</v>
      </c>
      <c r="F1085" s="33" t="n">
        <v>0</v>
      </c>
      <c r="G1085" s="131"/>
      <c r="H1085" s="35" t="n">
        <v>0</v>
      </c>
      <c r="I1085" s="34" t="n">
        <f aca="false">+IF(E1085=0,0,E1085*0.03)</f>
        <v>0</v>
      </c>
      <c r="J1085" s="93"/>
      <c r="K1085" s="93"/>
      <c r="L1085" s="93"/>
      <c r="M1085" s="93"/>
      <c r="N1085" s="93"/>
      <c r="O1085" s="93"/>
      <c r="P1085" s="93"/>
      <c r="Q1085" s="93"/>
      <c r="R1085" s="93"/>
      <c r="S1085" s="93"/>
      <c r="T1085" s="93"/>
      <c r="U1085" s="93"/>
      <c r="V1085" s="93"/>
      <c r="W1085" s="93"/>
      <c r="X1085" s="93"/>
      <c r="Y1085" s="93"/>
      <c r="Z1085" s="93"/>
    </row>
    <row r="1086" customFormat="false" ht="16.4" hidden="false" customHeight="false" outlineLevel="0" collapsed="false">
      <c r="A1086" s="123" t="n">
        <v>45444</v>
      </c>
      <c r="B1086" s="31" t="s">
        <v>153</v>
      </c>
      <c r="C1086" s="129"/>
      <c r="D1086" s="129"/>
      <c r="E1086" s="19" t="n">
        <f aca="false">F1086*0.03</f>
        <v>0</v>
      </c>
      <c r="F1086" s="33" t="n">
        <v>0</v>
      </c>
      <c r="G1086" s="131"/>
      <c r="H1086" s="35" t="n">
        <v>0</v>
      </c>
      <c r="I1086" s="34" t="n">
        <f aca="false">+IF(E1086=0,0,E1086*0.03)</f>
        <v>0</v>
      </c>
      <c r="J1086" s="93"/>
      <c r="K1086" s="93"/>
      <c r="L1086" s="93"/>
      <c r="M1086" s="93"/>
      <c r="N1086" s="93"/>
      <c r="O1086" s="93"/>
      <c r="P1086" s="93"/>
      <c r="Q1086" s="93"/>
      <c r="R1086" s="93"/>
      <c r="S1086" s="93"/>
      <c r="T1086" s="93"/>
      <c r="U1086" s="93"/>
      <c r="V1086" s="93"/>
      <c r="W1086" s="93"/>
      <c r="X1086" s="93"/>
      <c r="Y1086" s="93"/>
      <c r="Z1086" s="93"/>
    </row>
    <row r="1087" customFormat="false" ht="16.4" hidden="false" customHeight="false" outlineLevel="0" collapsed="false">
      <c r="A1087" s="123" t="n">
        <v>45444</v>
      </c>
      <c r="B1087" s="31" t="s">
        <v>153</v>
      </c>
      <c r="C1087" s="129"/>
      <c r="D1087" s="129"/>
      <c r="E1087" s="19" t="n">
        <f aca="false">F1087*0.03</f>
        <v>0</v>
      </c>
      <c r="F1087" s="33" t="n">
        <v>0</v>
      </c>
      <c r="G1087" s="131"/>
      <c r="H1087" s="35" t="n">
        <v>0</v>
      </c>
      <c r="I1087" s="34" t="n">
        <f aca="false">+IF(E1087=0,0,E1087*0.03)</f>
        <v>0</v>
      </c>
      <c r="J1087" s="93"/>
      <c r="K1087" s="93"/>
      <c r="L1087" s="93"/>
      <c r="M1087" s="93"/>
      <c r="N1087" s="93"/>
      <c r="O1087" s="93"/>
      <c r="P1087" s="93"/>
      <c r="Q1087" s="93"/>
      <c r="R1087" s="93"/>
      <c r="S1087" s="93"/>
      <c r="T1087" s="93"/>
      <c r="U1087" s="93"/>
      <c r="V1087" s="93"/>
      <c r="W1087" s="93"/>
      <c r="X1087" s="93"/>
      <c r="Y1087" s="93"/>
      <c r="Z1087" s="93"/>
    </row>
    <row r="1088" customFormat="false" ht="16.4" hidden="false" customHeight="false" outlineLevel="0" collapsed="false">
      <c r="A1088" s="123" t="n">
        <v>45444</v>
      </c>
      <c r="B1088" s="31" t="s">
        <v>153</v>
      </c>
      <c r="C1088" s="129"/>
      <c r="D1088" s="129"/>
      <c r="E1088" s="19" t="n">
        <f aca="false">F1088*0.03</f>
        <v>0</v>
      </c>
      <c r="F1088" s="33" t="n">
        <v>0</v>
      </c>
      <c r="G1088" s="131"/>
      <c r="H1088" s="35" t="n">
        <v>0</v>
      </c>
      <c r="I1088" s="34" t="n">
        <f aca="false">+IF(E1088=0,0,E1088*0.03)</f>
        <v>0</v>
      </c>
      <c r="J1088" s="93"/>
      <c r="K1088" s="93"/>
      <c r="L1088" s="93"/>
      <c r="M1088" s="93"/>
      <c r="N1088" s="93"/>
      <c r="O1088" s="93"/>
      <c r="P1088" s="93"/>
      <c r="Q1088" s="93"/>
      <c r="R1088" s="93"/>
      <c r="S1088" s="93"/>
      <c r="T1088" s="93"/>
      <c r="U1088" s="93"/>
      <c r="V1088" s="93"/>
      <c r="W1088" s="93"/>
      <c r="X1088" s="93"/>
      <c r="Y1088" s="93"/>
      <c r="Z1088" s="93"/>
    </row>
    <row r="1089" customFormat="false" ht="16.4" hidden="false" customHeight="false" outlineLevel="0" collapsed="false">
      <c r="A1089" s="123" t="n">
        <v>45444</v>
      </c>
      <c r="B1089" s="31" t="s">
        <v>153</v>
      </c>
      <c r="C1089" s="129"/>
      <c r="D1089" s="129"/>
      <c r="E1089" s="19" t="n">
        <f aca="false">F1089*0.03</f>
        <v>0</v>
      </c>
      <c r="F1089" s="33" t="n">
        <v>0</v>
      </c>
      <c r="G1089" s="131"/>
      <c r="H1089" s="35" t="n">
        <v>0</v>
      </c>
      <c r="I1089" s="34" t="n">
        <f aca="false">+IF(E1089=0,0,E1089*0.03)</f>
        <v>0</v>
      </c>
      <c r="J1089" s="93"/>
      <c r="K1089" s="93"/>
      <c r="L1089" s="93"/>
      <c r="M1089" s="93"/>
      <c r="N1089" s="93"/>
      <c r="O1089" s="93"/>
      <c r="P1089" s="93"/>
      <c r="Q1089" s="93"/>
      <c r="R1089" s="93"/>
      <c r="S1089" s="93"/>
      <c r="T1089" s="93"/>
      <c r="U1089" s="93"/>
      <c r="V1089" s="93"/>
      <c r="W1089" s="93"/>
      <c r="X1089" s="93"/>
      <c r="Y1089" s="93"/>
      <c r="Z1089" s="93"/>
    </row>
    <row r="1090" customFormat="false" ht="16.4" hidden="false" customHeight="false" outlineLevel="0" collapsed="false">
      <c r="A1090" s="123" t="n">
        <v>45444</v>
      </c>
      <c r="B1090" s="31" t="s">
        <v>153</v>
      </c>
      <c r="C1090" s="129"/>
      <c r="D1090" s="129"/>
      <c r="E1090" s="19" t="n">
        <f aca="false">F1090*0.03</f>
        <v>0</v>
      </c>
      <c r="F1090" s="33" t="n">
        <v>0</v>
      </c>
      <c r="G1090" s="131"/>
      <c r="H1090" s="35" t="n">
        <v>0</v>
      </c>
      <c r="I1090" s="34" t="n">
        <f aca="false">+IF(E1090=0,0,E1090*0.03)</f>
        <v>0</v>
      </c>
      <c r="J1090" s="93"/>
      <c r="K1090" s="93"/>
      <c r="L1090" s="93"/>
      <c r="M1090" s="93"/>
      <c r="N1090" s="93"/>
      <c r="O1090" s="93"/>
      <c r="P1090" s="93"/>
      <c r="Q1090" s="93"/>
      <c r="R1090" s="93"/>
      <c r="S1090" s="93"/>
      <c r="T1090" s="93"/>
      <c r="U1090" s="93"/>
      <c r="V1090" s="93"/>
      <c r="W1090" s="93"/>
      <c r="X1090" s="93"/>
      <c r="Y1090" s="93"/>
      <c r="Z1090" s="93"/>
    </row>
    <row r="1091" customFormat="false" ht="16.4" hidden="false" customHeight="false" outlineLevel="0" collapsed="false">
      <c r="A1091" s="123" t="n">
        <v>45444</v>
      </c>
      <c r="B1091" s="31" t="s">
        <v>153</v>
      </c>
      <c r="C1091" s="129"/>
      <c r="D1091" s="129"/>
      <c r="E1091" s="19" t="n">
        <f aca="false">F1091*0.03</f>
        <v>0</v>
      </c>
      <c r="F1091" s="33" t="n">
        <v>0</v>
      </c>
      <c r="G1091" s="131"/>
      <c r="H1091" s="35" t="n">
        <v>0</v>
      </c>
      <c r="I1091" s="34" t="n">
        <f aca="false">+IF(E1091=0,0,E1091*0.03)</f>
        <v>0</v>
      </c>
      <c r="J1091" s="93"/>
      <c r="K1091" s="93"/>
      <c r="L1091" s="93"/>
      <c r="M1091" s="93"/>
      <c r="N1091" s="93"/>
      <c r="O1091" s="93"/>
      <c r="P1091" s="93"/>
      <c r="Q1091" s="93"/>
      <c r="R1091" s="93"/>
      <c r="S1091" s="93"/>
      <c r="T1091" s="93"/>
      <c r="U1091" s="93"/>
      <c r="V1091" s="93"/>
      <c r="W1091" s="93"/>
      <c r="X1091" s="93"/>
      <c r="Y1091" s="93"/>
      <c r="Z1091" s="93"/>
    </row>
    <row r="1092" customFormat="false" ht="16.4" hidden="false" customHeight="false" outlineLevel="0" collapsed="false">
      <c r="A1092" s="123" t="n">
        <v>45444</v>
      </c>
      <c r="B1092" s="31" t="s">
        <v>153</v>
      </c>
      <c r="C1092" s="129"/>
      <c r="D1092" s="129"/>
      <c r="E1092" s="19" t="n">
        <f aca="false">F1092*0.03</f>
        <v>0</v>
      </c>
      <c r="F1092" s="33" t="n">
        <v>0</v>
      </c>
      <c r="G1092" s="131"/>
      <c r="H1092" s="35" t="n">
        <v>0</v>
      </c>
      <c r="I1092" s="34" t="n">
        <f aca="false">+IF(E1092=0,0,E1092*0.03)</f>
        <v>0</v>
      </c>
      <c r="J1092" s="93"/>
      <c r="K1092" s="93"/>
      <c r="L1092" s="93"/>
      <c r="M1092" s="93"/>
      <c r="N1092" s="93"/>
      <c r="O1092" s="93"/>
      <c r="P1092" s="93"/>
      <c r="Q1092" s="93"/>
      <c r="R1092" s="93"/>
      <c r="S1092" s="93"/>
      <c r="T1092" s="93"/>
      <c r="U1092" s="93"/>
      <c r="V1092" s="93"/>
      <c r="W1092" s="93"/>
      <c r="X1092" s="93"/>
      <c r="Y1092" s="93"/>
      <c r="Z1092" s="93"/>
    </row>
    <row r="1093" customFormat="false" ht="16.4" hidden="false" customHeight="false" outlineLevel="0" collapsed="false">
      <c r="A1093" s="123" t="n">
        <v>45444</v>
      </c>
      <c r="B1093" s="31" t="s">
        <v>153</v>
      </c>
      <c r="C1093" s="129"/>
      <c r="D1093" s="129"/>
      <c r="E1093" s="19" t="n">
        <f aca="false">F1093*0.03</f>
        <v>0</v>
      </c>
      <c r="F1093" s="33" t="n">
        <v>0</v>
      </c>
      <c r="G1093" s="131"/>
      <c r="H1093" s="35" t="n">
        <v>0</v>
      </c>
      <c r="I1093" s="34" t="n">
        <f aca="false">+IF(E1093=0,0,E1093*0.03)</f>
        <v>0</v>
      </c>
      <c r="J1093" s="93"/>
      <c r="K1093" s="93"/>
      <c r="L1093" s="93"/>
      <c r="M1093" s="93"/>
      <c r="N1093" s="93"/>
      <c r="O1093" s="93"/>
      <c r="P1093" s="93"/>
      <c r="Q1093" s="93"/>
      <c r="R1093" s="93"/>
      <c r="S1093" s="93"/>
      <c r="T1093" s="93"/>
      <c r="U1093" s="93"/>
      <c r="V1093" s="93"/>
      <c r="W1093" s="93"/>
      <c r="X1093" s="93"/>
      <c r="Y1093" s="93"/>
      <c r="Z1093" s="93"/>
    </row>
    <row r="1094" customFormat="false" ht="16.4" hidden="false" customHeight="false" outlineLevel="0" collapsed="false">
      <c r="A1094" s="123" t="n">
        <v>45444</v>
      </c>
      <c r="B1094" s="31" t="s">
        <v>153</v>
      </c>
      <c r="C1094" s="129"/>
      <c r="D1094" s="129"/>
      <c r="E1094" s="19" t="n">
        <f aca="false">F1094*0.03</f>
        <v>0</v>
      </c>
      <c r="F1094" s="33" t="n">
        <v>0</v>
      </c>
      <c r="G1094" s="131"/>
      <c r="H1094" s="35" t="n">
        <v>0</v>
      </c>
      <c r="I1094" s="34" t="n">
        <f aca="false">+IF(E1094=0,0,E1094*0.03)</f>
        <v>0</v>
      </c>
      <c r="J1094" s="93"/>
      <c r="K1094" s="93"/>
      <c r="L1094" s="93"/>
      <c r="M1094" s="93"/>
      <c r="N1094" s="93"/>
      <c r="O1094" s="93"/>
      <c r="P1094" s="93"/>
      <c r="Q1094" s="93"/>
      <c r="R1094" s="93"/>
      <c r="S1094" s="93"/>
      <c r="T1094" s="93"/>
      <c r="U1094" s="93"/>
      <c r="V1094" s="93"/>
      <c r="W1094" s="93"/>
      <c r="X1094" s="93"/>
      <c r="Y1094" s="93"/>
      <c r="Z1094" s="93"/>
    </row>
    <row r="1095" customFormat="false" ht="16.4" hidden="false" customHeight="false" outlineLevel="0" collapsed="false">
      <c r="A1095" s="123" t="n">
        <v>45444</v>
      </c>
      <c r="B1095" s="31" t="s">
        <v>153</v>
      </c>
      <c r="C1095" s="129"/>
      <c r="D1095" s="129"/>
      <c r="E1095" s="19" t="n">
        <f aca="false">F1095*0.03</f>
        <v>0</v>
      </c>
      <c r="F1095" s="33" t="n">
        <v>0</v>
      </c>
      <c r="G1095" s="131"/>
      <c r="H1095" s="35" t="n">
        <v>0</v>
      </c>
      <c r="I1095" s="34" t="n">
        <f aca="false">+IF(E1095=0,0,E1095*0.03)</f>
        <v>0</v>
      </c>
      <c r="J1095" s="93"/>
      <c r="K1095" s="93"/>
      <c r="L1095" s="93"/>
      <c r="M1095" s="93"/>
      <c r="N1095" s="93"/>
      <c r="O1095" s="93"/>
      <c r="P1095" s="93"/>
      <c r="Q1095" s="93"/>
      <c r="R1095" s="93"/>
      <c r="S1095" s="93"/>
      <c r="T1095" s="93"/>
      <c r="U1095" s="93"/>
      <c r="V1095" s="93"/>
      <c r="W1095" s="93"/>
      <c r="X1095" s="93"/>
      <c r="Y1095" s="93"/>
      <c r="Z1095" s="93"/>
    </row>
    <row r="1096" customFormat="false" ht="16.4" hidden="false" customHeight="false" outlineLevel="0" collapsed="false">
      <c r="A1096" s="123" t="n">
        <v>45444</v>
      </c>
      <c r="B1096" s="31" t="s">
        <v>153</v>
      </c>
      <c r="C1096" s="129"/>
      <c r="D1096" s="129"/>
      <c r="E1096" s="19" t="n">
        <f aca="false">F1096*0.03</f>
        <v>0</v>
      </c>
      <c r="F1096" s="33" t="n">
        <v>0</v>
      </c>
      <c r="G1096" s="131"/>
      <c r="H1096" s="35" t="n">
        <v>0</v>
      </c>
      <c r="I1096" s="34" t="n">
        <f aca="false">+IF(E1096=0,0,E1096*0.03)</f>
        <v>0</v>
      </c>
      <c r="J1096" s="93"/>
      <c r="K1096" s="93"/>
      <c r="L1096" s="93"/>
      <c r="M1096" s="93"/>
      <c r="N1096" s="93"/>
      <c r="O1096" s="93"/>
      <c r="P1096" s="93"/>
      <c r="Q1096" s="93"/>
      <c r="R1096" s="93"/>
      <c r="S1096" s="93"/>
      <c r="T1096" s="93"/>
      <c r="U1096" s="93"/>
      <c r="V1096" s="93"/>
      <c r="W1096" s="93"/>
      <c r="X1096" s="93"/>
      <c r="Y1096" s="93"/>
      <c r="Z1096" s="93"/>
    </row>
    <row r="1097" customFormat="false" ht="16.4" hidden="false" customHeight="false" outlineLevel="0" collapsed="false">
      <c r="A1097" s="123" t="n">
        <v>45444</v>
      </c>
      <c r="B1097" s="31" t="s">
        <v>153</v>
      </c>
      <c r="C1097" s="129"/>
      <c r="D1097" s="129"/>
      <c r="E1097" s="19" t="n">
        <f aca="false">F1097*0.03</f>
        <v>0</v>
      </c>
      <c r="F1097" s="33" t="n">
        <v>0</v>
      </c>
      <c r="G1097" s="131"/>
      <c r="H1097" s="35" t="n">
        <v>0</v>
      </c>
      <c r="I1097" s="34" t="n">
        <f aca="false">+IF(E1097=0,0,E1097*0.03)</f>
        <v>0</v>
      </c>
      <c r="J1097" s="93"/>
      <c r="K1097" s="93"/>
      <c r="L1097" s="93"/>
      <c r="M1097" s="93"/>
      <c r="N1097" s="93"/>
      <c r="O1097" s="93"/>
      <c r="P1097" s="93"/>
      <c r="Q1097" s="93"/>
      <c r="R1097" s="93"/>
      <c r="S1097" s="93"/>
      <c r="T1097" s="93"/>
      <c r="U1097" s="93"/>
      <c r="V1097" s="93"/>
      <c r="W1097" s="93"/>
      <c r="X1097" s="93"/>
      <c r="Y1097" s="93"/>
      <c r="Z1097" s="93"/>
    </row>
    <row r="1098" customFormat="false" ht="16.4" hidden="false" customHeight="false" outlineLevel="0" collapsed="false">
      <c r="A1098" s="123" t="n">
        <v>45444</v>
      </c>
      <c r="B1098" s="31" t="s">
        <v>153</v>
      </c>
      <c r="C1098" s="129"/>
      <c r="D1098" s="129"/>
      <c r="E1098" s="19" t="n">
        <f aca="false">F1098*0.03</f>
        <v>0</v>
      </c>
      <c r="F1098" s="33" t="n">
        <v>0</v>
      </c>
      <c r="G1098" s="131"/>
      <c r="H1098" s="35" t="n">
        <v>0</v>
      </c>
      <c r="I1098" s="34" t="n">
        <f aca="false">+IF(E1098=0,0,E1098*0.03)</f>
        <v>0</v>
      </c>
      <c r="J1098" s="93"/>
      <c r="K1098" s="93"/>
      <c r="L1098" s="93"/>
      <c r="M1098" s="93"/>
      <c r="N1098" s="93"/>
      <c r="O1098" s="93"/>
      <c r="P1098" s="93"/>
      <c r="Q1098" s="93"/>
      <c r="R1098" s="93"/>
      <c r="S1098" s="93"/>
      <c r="T1098" s="93"/>
      <c r="U1098" s="93"/>
      <c r="V1098" s="93"/>
      <c r="W1098" s="93"/>
      <c r="X1098" s="93"/>
      <c r="Y1098" s="93"/>
      <c r="Z1098" s="93"/>
    </row>
    <row r="1099" customFormat="false" ht="16.4" hidden="false" customHeight="false" outlineLevel="0" collapsed="false">
      <c r="A1099" s="123" t="n">
        <v>45444</v>
      </c>
      <c r="B1099" s="31" t="s">
        <v>153</v>
      </c>
      <c r="C1099" s="129"/>
      <c r="D1099" s="129"/>
      <c r="E1099" s="19" t="n">
        <f aca="false">F1099*0.03</f>
        <v>0</v>
      </c>
      <c r="F1099" s="33" t="n">
        <v>0</v>
      </c>
      <c r="G1099" s="131"/>
      <c r="H1099" s="35" t="n">
        <v>0</v>
      </c>
      <c r="I1099" s="34" t="n">
        <f aca="false">+IF(E1099=0,0,E1099*0.03)</f>
        <v>0</v>
      </c>
      <c r="J1099" s="93"/>
      <c r="K1099" s="93"/>
      <c r="L1099" s="93"/>
      <c r="M1099" s="93"/>
      <c r="N1099" s="93"/>
      <c r="O1099" s="93"/>
      <c r="P1099" s="93"/>
      <c r="Q1099" s="93"/>
      <c r="R1099" s="93"/>
      <c r="S1099" s="93"/>
      <c r="T1099" s="93"/>
      <c r="U1099" s="93"/>
      <c r="V1099" s="93"/>
      <c r="W1099" s="93"/>
      <c r="X1099" s="93"/>
      <c r="Y1099" s="93"/>
      <c r="Z1099" s="93"/>
    </row>
    <row r="1100" customFormat="false" ht="16.4" hidden="false" customHeight="false" outlineLevel="0" collapsed="false">
      <c r="A1100" s="123" t="n">
        <v>45444</v>
      </c>
      <c r="B1100" s="31" t="s">
        <v>153</v>
      </c>
      <c r="C1100" s="129"/>
      <c r="D1100" s="129"/>
      <c r="E1100" s="19" t="n">
        <f aca="false">F1100*0.03</f>
        <v>0</v>
      </c>
      <c r="F1100" s="33" t="n">
        <v>0</v>
      </c>
      <c r="G1100" s="131"/>
      <c r="H1100" s="35" t="n">
        <v>0</v>
      </c>
      <c r="I1100" s="34" t="n">
        <f aca="false">+IF(E1100=0,0,E1100*0.03)</f>
        <v>0</v>
      </c>
      <c r="J1100" s="93"/>
      <c r="K1100" s="93"/>
      <c r="L1100" s="93"/>
      <c r="M1100" s="93"/>
      <c r="N1100" s="93"/>
      <c r="O1100" s="93"/>
      <c r="P1100" s="93"/>
      <c r="Q1100" s="93"/>
      <c r="R1100" s="93"/>
      <c r="S1100" s="93"/>
      <c r="T1100" s="93"/>
      <c r="U1100" s="93"/>
      <c r="V1100" s="93"/>
      <c r="W1100" s="93"/>
      <c r="X1100" s="93"/>
      <c r="Y1100" s="93"/>
      <c r="Z1100" s="93"/>
    </row>
    <row r="1101" customFormat="false" ht="16.4" hidden="false" customHeight="false" outlineLevel="0" collapsed="false">
      <c r="A1101" s="123" t="n">
        <v>45444</v>
      </c>
      <c r="B1101" s="31" t="s">
        <v>153</v>
      </c>
      <c r="C1101" s="129"/>
      <c r="D1101" s="129"/>
      <c r="E1101" s="19" t="n">
        <f aca="false">F1101*0.03</f>
        <v>0</v>
      </c>
      <c r="F1101" s="33" t="n">
        <v>0</v>
      </c>
      <c r="G1101" s="131"/>
      <c r="H1101" s="35" t="n">
        <v>0</v>
      </c>
      <c r="I1101" s="34" t="n">
        <f aca="false">+IF(E1101=0,0,E1101*0.03)</f>
        <v>0</v>
      </c>
      <c r="J1101" s="93"/>
      <c r="K1101" s="93"/>
      <c r="L1101" s="93"/>
      <c r="M1101" s="93"/>
      <c r="N1101" s="93"/>
      <c r="O1101" s="93"/>
      <c r="P1101" s="93"/>
      <c r="Q1101" s="93"/>
      <c r="R1101" s="93"/>
      <c r="S1101" s="93"/>
      <c r="T1101" s="93"/>
      <c r="U1101" s="93"/>
      <c r="V1101" s="93"/>
      <c r="W1101" s="93"/>
      <c r="X1101" s="93"/>
      <c r="Y1101" s="93"/>
      <c r="Z1101" s="93"/>
    </row>
    <row r="1102" customFormat="false" ht="16.4" hidden="false" customHeight="false" outlineLevel="0" collapsed="false">
      <c r="A1102" s="123" t="n">
        <v>45444</v>
      </c>
      <c r="B1102" s="31" t="s">
        <v>153</v>
      </c>
      <c r="C1102" s="129"/>
      <c r="D1102" s="129"/>
      <c r="E1102" s="19" t="n">
        <f aca="false">F1102*0.03</f>
        <v>0</v>
      </c>
      <c r="F1102" s="33" t="n">
        <v>0</v>
      </c>
      <c r="G1102" s="131"/>
      <c r="H1102" s="35" t="n">
        <v>0</v>
      </c>
      <c r="I1102" s="34" t="n">
        <f aca="false">+IF(E1102=0,0,E1102*0.03)</f>
        <v>0</v>
      </c>
      <c r="J1102" s="93"/>
      <c r="K1102" s="93"/>
      <c r="L1102" s="93"/>
      <c r="M1102" s="93"/>
      <c r="N1102" s="93"/>
      <c r="O1102" s="93"/>
      <c r="P1102" s="93"/>
      <c r="Q1102" s="93"/>
      <c r="R1102" s="93"/>
      <c r="S1102" s="93"/>
      <c r="T1102" s="93"/>
      <c r="U1102" s="93"/>
      <c r="V1102" s="93"/>
      <c r="W1102" s="93"/>
      <c r="X1102" s="93"/>
      <c r="Y1102" s="93"/>
      <c r="Z1102" s="93"/>
    </row>
    <row r="1103" customFormat="false" ht="16.4" hidden="false" customHeight="false" outlineLevel="0" collapsed="false">
      <c r="A1103" s="123" t="n">
        <v>45444</v>
      </c>
      <c r="B1103" s="31" t="s">
        <v>153</v>
      </c>
      <c r="C1103" s="129"/>
      <c r="D1103" s="129"/>
      <c r="E1103" s="19" t="n">
        <f aca="false">F1103*0.03</f>
        <v>0</v>
      </c>
      <c r="F1103" s="33" t="n">
        <v>0</v>
      </c>
      <c r="G1103" s="131"/>
      <c r="H1103" s="35" t="n">
        <v>0</v>
      </c>
      <c r="I1103" s="34" t="n">
        <f aca="false">+IF(E1103=0,0,E1103*0.03)</f>
        <v>0</v>
      </c>
      <c r="J1103" s="93"/>
      <c r="K1103" s="93"/>
      <c r="L1103" s="93"/>
      <c r="M1103" s="93"/>
      <c r="N1103" s="93"/>
      <c r="O1103" s="93"/>
      <c r="P1103" s="93"/>
      <c r="Q1103" s="93"/>
      <c r="R1103" s="93"/>
      <c r="S1103" s="93"/>
      <c r="T1103" s="93"/>
      <c r="U1103" s="93"/>
      <c r="V1103" s="93"/>
      <c r="W1103" s="93"/>
      <c r="X1103" s="93"/>
      <c r="Y1103" s="93"/>
      <c r="Z1103" s="93"/>
    </row>
    <row r="1104" customFormat="false" ht="16.4" hidden="false" customHeight="false" outlineLevel="0" collapsed="false">
      <c r="A1104" s="123" t="n">
        <v>45444</v>
      </c>
      <c r="B1104" s="31" t="s">
        <v>153</v>
      </c>
      <c r="C1104" s="129"/>
      <c r="D1104" s="129"/>
      <c r="E1104" s="19" t="n">
        <f aca="false">F1104*0.03</f>
        <v>0</v>
      </c>
      <c r="F1104" s="33" t="n">
        <v>0</v>
      </c>
      <c r="G1104" s="131"/>
      <c r="H1104" s="35" t="n">
        <v>0</v>
      </c>
      <c r="I1104" s="34" t="n">
        <f aca="false">+IF(E1104=0,0,E1104*0.03)</f>
        <v>0</v>
      </c>
      <c r="J1104" s="93"/>
      <c r="K1104" s="93"/>
      <c r="L1104" s="93"/>
      <c r="M1104" s="93"/>
      <c r="N1104" s="93"/>
      <c r="O1104" s="93"/>
      <c r="P1104" s="93"/>
      <c r="Q1104" s="93"/>
      <c r="R1104" s="93"/>
      <c r="S1104" s="93"/>
      <c r="T1104" s="93"/>
      <c r="U1104" s="93"/>
      <c r="V1104" s="93"/>
      <c r="W1104" s="93"/>
      <c r="X1104" s="93"/>
      <c r="Y1104" s="93"/>
      <c r="Z1104" s="93"/>
    </row>
    <row r="1105" customFormat="false" ht="16.4" hidden="false" customHeight="false" outlineLevel="0" collapsed="false">
      <c r="A1105" s="123" t="n">
        <v>45444</v>
      </c>
      <c r="B1105" s="31" t="s">
        <v>153</v>
      </c>
      <c r="C1105" s="129"/>
      <c r="D1105" s="129"/>
      <c r="E1105" s="19" t="n">
        <f aca="false">F1105*0.03</f>
        <v>0</v>
      </c>
      <c r="F1105" s="33" t="n">
        <v>0</v>
      </c>
      <c r="G1105" s="131"/>
      <c r="H1105" s="35" t="n">
        <v>0</v>
      </c>
      <c r="I1105" s="34" t="n">
        <f aca="false">+IF(E1105=0,0,E1105*0.03)</f>
        <v>0</v>
      </c>
      <c r="J1105" s="93"/>
      <c r="K1105" s="93"/>
      <c r="L1105" s="93"/>
      <c r="M1105" s="93"/>
      <c r="N1105" s="93"/>
      <c r="O1105" s="93"/>
      <c r="P1105" s="93"/>
      <c r="Q1105" s="93"/>
      <c r="R1105" s="93"/>
      <c r="S1105" s="93"/>
      <c r="T1105" s="93"/>
      <c r="U1105" s="93"/>
      <c r="V1105" s="93"/>
      <c r="W1105" s="93"/>
      <c r="X1105" s="93"/>
      <c r="Y1105" s="93"/>
      <c r="Z1105" s="93"/>
    </row>
    <row r="1106" customFormat="false" ht="16.4" hidden="false" customHeight="false" outlineLevel="0" collapsed="false">
      <c r="A1106" s="123" t="n">
        <v>45444</v>
      </c>
      <c r="B1106" s="31" t="s">
        <v>153</v>
      </c>
      <c r="C1106" s="129"/>
      <c r="D1106" s="129"/>
      <c r="E1106" s="19" t="n">
        <f aca="false">F1106*0.03</f>
        <v>0</v>
      </c>
      <c r="F1106" s="33" t="n">
        <v>0</v>
      </c>
      <c r="G1106" s="131"/>
      <c r="H1106" s="35" t="n">
        <v>0</v>
      </c>
      <c r="I1106" s="34" t="n">
        <f aca="false">+IF(E1106=0,0,E1106*0.03)</f>
        <v>0</v>
      </c>
      <c r="J1106" s="93"/>
      <c r="K1106" s="93"/>
      <c r="L1106" s="93"/>
      <c r="M1106" s="93"/>
      <c r="N1106" s="93"/>
      <c r="O1106" s="93"/>
      <c r="P1106" s="93"/>
      <c r="Q1106" s="93"/>
      <c r="R1106" s="93"/>
      <c r="S1106" s="93"/>
      <c r="T1106" s="93"/>
      <c r="U1106" s="93"/>
      <c r="V1106" s="93"/>
      <c r="W1106" s="93"/>
      <c r="X1106" s="93"/>
      <c r="Y1106" s="93"/>
      <c r="Z1106" s="93"/>
    </row>
    <row r="1107" customFormat="false" ht="16.4" hidden="false" customHeight="false" outlineLevel="0" collapsed="false">
      <c r="A1107" s="123" t="n">
        <v>45444</v>
      </c>
      <c r="B1107" s="31" t="s">
        <v>153</v>
      </c>
      <c r="C1107" s="129"/>
      <c r="D1107" s="129"/>
      <c r="E1107" s="19" t="n">
        <f aca="false">F1107*0.03</f>
        <v>0</v>
      </c>
      <c r="F1107" s="33" t="n">
        <v>0</v>
      </c>
      <c r="G1107" s="131"/>
      <c r="H1107" s="35" t="n">
        <v>0</v>
      </c>
      <c r="I1107" s="34" t="n">
        <f aca="false">+IF(E1107=0,0,E1107*0.03)</f>
        <v>0</v>
      </c>
      <c r="J1107" s="93"/>
      <c r="K1107" s="93"/>
      <c r="L1107" s="93"/>
      <c r="M1107" s="93"/>
      <c r="N1107" s="93"/>
      <c r="O1107" s="93"/>
      <c r="P1107" s="93"/>
      <c r="Q1107" s="93"/>
      <c r="R1107" s="93"/>
      <c r="S1107" s="93"/>
      <c r="T1107" s="93"/>
      <c r="U1107" s="93"/>
      <c r="V1107" s="93"/>
      <c r="W1107" s="93"/>
      <c r="X1107" s="93"/>
      <c r="Y1107" s="93"/>
      <c r="Z1107" s="93"/>
    </row>
    <row r="1108" customFormat="false" ht="16.4" hidden="false" customHeight="false" outlineLevel="0" collapsed="false">
      <c r="A1108" s="123" t="n">
        <v>45444</v>
      </c>
      <c r="B1108" s="31" t="s">
        <v>153</v>
      </c>
      <c r="C1108" s="129"/>
      <c r="D1108" s="129"/>
      <c r="E1108" s="19" t="n">
        <f aca="false">F1108*0.03</f>
        <v>0</v>
      </c>
      <c r="F1108" s="33" t="n">
        <v>0</v>
      </c>
      <c r="G1108" s="131"/>
      <c r="H1108" s="35" t="n">
        <v>0</v>
      </c>
      <c r="I1108" s="34" t="n">
        <f aca="false">+IF(E1108=0,0,E1108*0.03)</f>
        <v>0</v>
      </c>
      <c r="J1108" s="93"/>
      <c r="K1108" s="93"/>
      <c r="L1108" s="93"/>
      <c r="M1108" s="93"/>
      <c r="N1108" s="93"/>
      <c r="O1108" s="93"/>
      <c r="P1108" s="93"/>
      <c r="Q1108" s="93"/>
      <c r="R1108" s="93"/>
      <c r="S1108" s="93"/>
      <c r="T1108" s="93"/>
      <c r="U1108" s="93"/>
      <c r="V1108" s="93"/>
      <c r="W1108" s="93"/>
      <c r="X1108" s="93"/>
      <c r="Y1108" s="93"/>
      <c r="Z1108" s="93"/>
    </row>
    <row r="1109" customFormat="false" ht="16.4" hidden="false" customHeight="false" outlineLevel="0" collapsed="false">
      <c r="A1109" s="123" t="n">
        <v>45444</v>
      </c>
      <c r="B1109" s="31" t="s">
        <v>153</v>
      </c>
      <c r="C1109" s="129"/>
      <c r="D1109" s="129"/>
      <c r="E1109" s="19" t="n">
        <f aca="false">F1109*0.03</f>
        <v>0</v>
      </c>
      <c r="F1109" s="33" t="n">
        <v>0</v>
      </c>
      <c r="G1109" s="131"/>
      <c r="H1109" s="35" t="n">
        <v>0</v>
      </c>
      <c r="I1109" s="34" t="n">
        <f aca="false">+IF(E1109=0,0,E1109*0.03)</f>
        <v>0</v>
      </c>
      <c r="J1109" s="93"/>
      <c r="K1109" s="93"/>
      <c r="L1109" s="93"/>
      <c r="M1109" s="93"/>
      <c r="N1109" s="93"/>
      <c r="O1109" s="93"/>
      <c r="P1109" s="93"/>
      <c r="Q1109" s="93"/>
      <c r="R1109" s="93"/>
      <c r="S1109" s="93"/>
      <c r="T1109" s="93"/>
      <c r="U1109" s="93"/>
      <c r="V1109" s="93"/>
      <c r="W1109" s="93"/>
      <c r="X1109" s="93"/>
      <c r="Y1109" s="93"/>
      <c r="Z1109" s="93"/>
    </row>
    <row r="1110" customFormat="false" ht="16.4" hidden="false" customHeight="false" outlineLevel="0" collapsed="false">
      <c r="A1110" s="123" t="n">
        <v>45444</v>
      </c>
      <c r="B1110" s="31" t="s">
        <v>153</v>
      </c>
      <c r="C1110" s="129"/>
      <c r="D1110" s="129"/>
      <c r="E1110" s="19" t="n">
        <f aca="false">F1110*0.03</f>
        <v>0</v>
      </c>
      <c r="F1110" s="33" t="n">
        <v>0</v>
      </c>
      <c r="G1110" s="131"/>
      <c r="H1110" s="35" t="n">
        <v>0</v>
      </c>
      <c r="I1110" s="34" t="n">
        <f aca="false">+IF(E1110=0,0,E1110*0.03)</f>
        <v>0</v>
      </c>
      <c r="J1110" s="93"/>
      <c r="K1110" s="93"/>
      <c r="L1110" s="93"/>
      <c r="M1110" s="93"/>
      <c r="N1110" s="93"/>
      <c r="O1110" s="93"/>
      <c r="P1110" s="93"/>
      <c r="Q1110" s="93"/>
      <c r="R1110" s="93"/>
      <c r="S1110" s="93"/>
      <c r="T1110" s="93"/>
      <c r="U1110" s="93"/>
      <c r="V1110" s="93"/>
      <c r="W1110" s="93"/>
      <c r="X1110" s="93"/>
      <c r="Y1110" s="93"/>
      <c r="Z1110" s="93"/>
    </row>
    <row r="1111" customFormat="false" ht="16.4" hidden="false" customHeight="false" outlineLevel="0" collapsed="false">
      <c r="A1111" s="123" t="n">
        <v>45444</v>
      </c>
      <c r="B1111" s="31" t="s">
        <v>153</v>
      </c>
      <c r="C1111" s="129"/>
      <c r="D1111" s="129"/>
      <c r="E1111" s="19" t="n">
        <f aca="false">F1111*0.03</f>
        <v>0</v>
      </c>
      <c r="F1111" s="33" t="n">
        <v>0</v>
      </c>
      <c r="G1111" s="131"/>
      <c r="H1111" s="35" t="n">
        <v>0</v>
      </c>
      <c r="I1111" s="34" t="n">
        <f aca="false">+IF(E1111=0,0,E1111*0.03)</f>
        <v>0</v>
      </c>
      <c r="J1111" s="93"/>
      <c r="K1111" s="93"/>
      <c r="L1111" s="93"/>
      <c r="M1111" s="93"/>
      <c r="N1111" s="93"/>
      <c r="O1111" s="93"/>
      <c r="P1111" s="93"/>
      <c r="Q1111" s="93"/>
      <c r="R1111" s="93"/>
      <c r="S1111" s="93"/>
      <c r="T1111" s="93"/>
      <c r="U1111" s="93"/>
      <c r="V1111" s="93"/>
      <c r="W1111" s="93"/>
      <c r="X1111" s="93"/>
      <c r="Y1111" s="93"/>
      <c r="Z1111" s="93"/>
    </row>
    <row r="1112" customFormat="false" ht="16.4" hidden="false" customHeight="false" outlineLevel="0" collapsed="false">
      <c r="A1112" s="123" t="n">
        <v>45444</v>
      </c>
      <c r="B1112" s="31" t="s">
        <v>153</v>
      </c>
      <c r="C1112" s="129"/>
      <c r="D1112" s="129"/>
      <c r="E1112" s="19" t="n">
        <f aca="false">F1112*0.03</f>
        <v>0</v>
      </c>
      <c r="F1112" s="33" t="n">
        <v>0</v>
      </c>
      <c r="G1112" s="131"/>
      <c r="H1112" s="35" t="n">
        <v>0</v>
      </c>
      <c r="I1112" s="34" t="n">
        <f aca="false">+IF(E1112=0,0,E1112*0.03)</f>
        <v>0</v>
      </c>
      <c r="J1112" s="93"/>
      <c r="K1112" s="93"/>
      <c r="L1112" s="93"/>
      <c r="M1112" s="93"/>
      <c r="N1112" s="93"/>
      <c r="O1112" s="93"/>
      <c r="P1112" s="93"/>
      <c r="Q1112" s="93"/>
      <c r="R1112" s="93"/>
      <c r="S1112" s="93"/>
      <c r="T1112" s="93"/>
      <c r="U1112" s="93"/>
      <c r="V1112" s="93"/>
      <c r="W1112" s="93"/>
      <c r="X1112" s="93"/>
      <c r="Y1112" s="93"/>
      <c r="Z1112" s="93"/>
    </row>
    <row r="1113" customFormat="false" ht="16.4" hidden="false" customHeight="false" outlineLevel="0" collapsed="false">
      <c r="A1113" s="123" t="n">
        <v>45444</v>
      </c>
      <c r="B1113" s="31" t="s">
        <v>153</v>
      </c>
      <c r="C1113" s="129"/>
      <c r="D1113" s="129"/>
      <c r="E1113" s="19" t="n">
        <f aca="false">F1113*0.03</f>
        <v>0</v>
      </c>
      <c r="F1113" s="33" t="n">
        <v>0</v>
      </c>
      <c r="G1113" s="131"/>
      <c r="H1113" s="35" t="n">
        <v>0</v>
      </c>
      <c r="I1113" s="34" t="n">
        <f aca="false">+IF(E1113=0,0,E1113*0.03)</f>
        <v>0</v>
      </c>
      <c r="J1113" s="93"/>
      <c r="K1113" s="93"/>
      <c r="L1113" s="93"/>
      <c r="M1113" s="93"/>
      <c r="N1113" s="93"/>
      <c r="O1113" s="93"/>
      <c r="P1113" s="93"/>
      <c r="Q1113" s="93"/>
      <c r="R1113" s="93"/>
      <c r="S1113" s="93"/>
      <c r="T1113" s="93"/>
      <c r="U1113" s="93"/>
      <c r="V1113" s="93"/>
      <c r="W1113" s="93"/>
      <c r="X1113" s="93"/>
      <c r="Y1113" s="93"/>
      <c r="Z1113" s="93"/>
    </row>
    <row r="1114" customFormat="false" ht="16.4" hidden="false" customHeight="false" outlineLevel="0" collapsed="false">
      <c r="A1114" s="123" t="n">
        <v>45444</v>
      </c>
      <c r="B1114" s="31" t="s">
        <v>153</v>
      </c>
      <c r="C1114" s="129"/>
      <c r="D1114" s="129"/>
      <c r="E1114" s="19" t="n">
        <f aca="false">F1114*0.03</f>
        <v>0</v>
      </c>
      <c r="F1114" s="33" t="n">
        <v>0</v>
      </c>
      <c r="G1114" s="131"/>
      <c r="H1114" s="35" t="n">
        <v>0</v>
      </c>
      <c r="I1114" s="34" t="n">
        <f aca="false">+IF(E1114=0,0,E1114*0.03)</f>
        <v>0</v>
      </c>
      <c r="J1114" s="93"/>
      <c r="K1114" s="93"/>
      <c r="L1114" s="93"/>
      <c r="M1114" s="93"/>
      <c r="N1114" s="93"/>
      <c r="O1114" s="93"/>
      <c r="P1114" s="93"/>
      <c r="Q1114" s="93"/>
      <c r="R1114" s="93"/>
      <c r="S1114" s="93"/>
      <c r="T1114" s="93"/>
      <c r="U1114" s="93"/>
      <c r="V1114" s="93"/>
      <c r="W1114" s="93"/>
      <c r="X1114" s="93"/>
      <c r="Y1114" s="93"/>
      <c r="Z1114" s="93"/>
    </row>
    <row r="1115" customFormat="false" ht="16.4" hidden="false" customHeight="false" outlineLevel="0" collapsed="false">
      <c r="A1115" s="123" t="n">
        <v>45444</v>
      </c>
      <c r="B1115" s="31" t="s">
        <v>153</v>
      </c>
      <c r="C1115" s="129"/>
      <c r="D1115" s="129"/>
      <c r="E1115" s="19" t="n">
        <f aca="false">F1115*0.03</f>
        <v>0</v>
      </c>
      <c r="F1115" s="33" t="n">
        <v>0</v>
      </c>
      <c r="G1115" s="131"/>
      <c r="H1115" s="35" t="n">
        <v>0</v>
      </c>
      <c r="I1115" s="34" t="n">
        <f aca="false">+IF(E1115=0,0,E1115*0.03)</f>
        <v>0</v>
      </c>
      <c r="J1115" s="93"/>
      <c r="K1115" s="93"/>
      <c r="L1115" s="93"/>
      <c r="M1115" s="93"/>
      <c r="N1115" s="93"/>
      <c r="O1115" s="93"/>
      <c r="P1115" s="93"/>
      <c r="Q1115" s="93"/>
      <c r="R1115" s="93"/>
      <c r="S1115" s="93"/>
      <c r="T1115" s="93"/>
      <c r="U1115" s="93"/>
      <c r="V1115" s="93"/>
      <c r="W1115" s="93"/>
      <c r="X1115" s="93"/>
      <c r="Y1115" s="93"/>
      <c r="Z1115" s="93"/>
    </row>
    <row r="1116" customFormat="false" ht="16.4" hidden="false" customHeight="false" outlineLevel="0" collapsed="false">
      <c r="A1116" s="123" t="n">
        <v>45444</v>
      </c>
      <c r="B1116" s="31" t="s">
        <v>153</v>
      </c>
      <c r="C1116" s="129"/>
      <c r="D1116" s="129"/>
      <c r="E1116" s="19" t="n">
        <f aca="false">F1116*0.03</f>
        <v>0</v>
      </c>
      <c r="F1116" s="33" t="n">
        <v>0</v>
      </c>
      <c r="G1116" s="131"/>
      <c r="H1116" s="35" t="n">
        <v>0</v>
      </c>
      <c r="I1116" s="34" t="n">
        <f aca="false">+IF(E1116=0,0,E1116*0.03)</f>
        <v>0</v>
      </c>
      <c r="J1116" s="93"/>
      <c r="K1116" s="93"/>
      <c r="L1116" s="93"/>
      <c r="M1116" s="93"/>
      <c r="N1116" s="93"/>
      <c r="O1116" s="93"/>
      <c r="P1116" s="93"/>
      <c r="Q1116" s="93"/>
      <c r="R1116" s="93"/>
      <c r="S1116" s="93"/>
      <c r="T1116" s="93"/>
      <c r="U1116" s="93"/>
      <c r="V1116" s="93"/>
      <c r="W1116" s="93"/>
      <c r="X1116" s="93"/>
      <c r="Y1116" s="93"/>
      <c r="Z1116" s="93"/>
    </row>
    <row r="1117" customFormat="false" ht="16.4" hidden="false" customHeight="false" outlineLevel="0" collapsed="false">
      <c r="A1117" s="123" t="n">
        <v>45444</v>
      </c>
      <c r="B1117" s="31" t="s">
        <v>153</v>
      </c>
      <c r="C1117" s="129"/>
      <c r="D1117" s="129"/>
      <c r="E1117" s="19" t="n">
        <f aca="false">F1117*0.03</f>
        <v>0</v>
      </c>
      <c r="F1117" s="33" t="n">
        <v>0</v>
      </c>
      <c r="G1117" s="131"/>
      <c r="H1117" s="35" t="n">
        <v>0</v>
      </c>
      <c r="I1117" s="34" t="n">
        <f aca="false">+IF(E1117=0,0,E1117*0.03)</f>
        <v>0</v>
      </c>
      <c r="J1117" s="93"/>
      <c r="K1117" s="93"/>
      <c r="L1117" s="93"/>
      <c r="M1117" s="93"/>
      <c r="N1117" s="93"/>
      <c r="O1117" s="93"/>
      <c r="P1117" s="93"/>
      <c r="Q1117" s="93"/>
      <c r="R1117" s="93"/>
      <c r="S1117" s="93"/>
      <c r="T1117" s="93"/>
      <c r="U1117" s="93"/>
      <c r="V1117" s="93"/>
      <c r="W1117" s="93"/>
      <c r="X1117" s="93"/>
      <c r="Y1117" s="93"/>
      <c r="Z1117" s="93"/>
    </row>
    <row r="1118" customFormat="false" ht="16.4" hidden="false" customHeight="false" outlineLevel="0" collapsed="false">
      <c r="A1118" s="123" t="n">
        <v>45444</v>
      </c>
      <c r="B1118" s="31" t="s">
        <v>153</v>
      </c>
      <c r="C1118" s="129"/>
      <c r="D1118" s="129"/>
      <c r="E1118" s="19" t="n">
        <f aca="false">F1118*0.03</f>
        <v>0</v>
      </c>
      <c r="F1118" s="33" t="n">
        <v>0</v>
      </c>
      <c r="G1118" s="131"/>
      <c r="H1118" s="35" t="n">
        <v>0</v>
      </c>
      <c r="I1118" s="34" t="n">
        <f aca="false">+IF(E1118=0,0,E1118*0.03)</f>
        <v>0</v>
      </c>
      <c r="J1118" s="93"/>
      <c r="K1118" s="93"/>
      <c r="L1118" s="93"/>
      <c r="M1118" s="93"/>
      <c r="N1118" s="93"/>
      <c r="O1118" s="93"/>
      <c r="P1118" s="93"/>
      <c r="Q1118" s="93"/>
      <c r="R1118" s="93"/>
      <c r="S1118" s="93"/>
      <c r="T1118" s="93"/>
      <c r="U1118" s="93"/>
      <c r="V1118" s="93"/>
      <c r="W1118" s="93"/>
      <c r="X1118" s="93"/>
      <c r="Y1118" s="93"/>
      <c r="Z1118" s="93"/>
    </row>
    <row r="1119" customFormat="false" ht="16.4" hidden="false" customHeight="false" outlineLevel="0" collapsed="false">
      <c r="A1119" s="123" t="n">
        <v>45444</v>
      </c>
      <c r="B1119" s="31" t="s">
        <v>153</v>
      </c>
      <c r="C1119" s="129"/>
      <c r="D1119" s="129"/>
      <c r="E1119" s="19" t="n">
        <f aca="false">F1119*0.03</f>
        <v>0</v>
      </c>
      <c r="F1119" s="33" t="n">
        <v>0</v>
      </c>
      <c r="G1119" s="131"/>
      <c r="H1119" s="35" t="n">
        <v>0</v>
      </c>
      <c r="I1119" s="34" t="n">
        <f aca="false">+IF(E1119=0,0,E1119*0.03)</f>
        <v>0</v>
      </c>
      <c r="J1119" s="93"/>
      <c r="K1119" s="93"/>
      <c r="L1119" s="93"/>
      <c r="M1119" s="93"/>
      <c r="N1119" s="93"/>
      <c r="O1119" s="93"/>
      <c r="P1119" s="93"/>
      <c r="Q1119" s="93"/>
      <c r="R1119" s="93"/>
      <c r="S1119" s="93"/>
      <c r="T1119" s="93"/>
      <c r="U1119" s="93"/>
      <c r="V1119" s="93"/>
      <c r="W1119" s="93"/>
      <c r="X1119" s="93"/>
      <c r="Y1119" s="93"/>
      <c r="Z1119" s="93"/>
    </row>
    <row r="1120" customFormat="false" ht="16.4" hidden="false" customHeight="false" outlineLevel="0" collapsed="false">
      <c r="A1120" s="123" t="n">
        <v>45444</v>
      </c>
      <c r="B1120" s="31" t="s">
        <v>153</v>
      </c>
      <c r="C1120" s="129"/>
      <c r="D1120" s="129"/>
      <c r="E1120" s="19" t="n">
        <f aca="false">F1120*0.03</f>
        <v>0</v>
      </c>
      <c r="F1120" s="33" t="n">
        <v>0</v>
      </c>
      <c r="G1120" s="131"/>
      <c r="H1120" s="35" t="n">
        <v>0</v>
      </c>
      <c r="I1120" s="34" t="n">
        <f aca="false">+IF(E1120=0,0,E1120*0.03)</f>
        <v>0</v>
      </c>
      <c r="J1120" s="93"/>
      <c r="K1120" s="93"/>
      <c r="L1120" s="93"/>
      <c r="M1120" s="93"/>
      <c r="N1120" s="93"/>
      <c r="O1120" s="93"/>
      <c r="P1120" s="93"/>
      <c r="Q1120" s="93"/>
      <c r="R1120" s="93"/>
      <c r="S1120" s="93"/>
      <c r="T1120" s="93"/>
      <c r="U1120" s="93"/>
      <c r="V1120" s="93"/>
      <c r="W1120" s="93"/>
      <c r="X1120" s="93"/>
      <c r="Y1120" s="93"/>
      <c r="Z1120" s="93"/>
    </row>
    <row r="1121" customFormat="false" ht="16.4" hidden="false" customHeight="false" outlineLevel="0" collapsed="false">
      <c r="A1121" s="123" t="n">
        <v>45444</v>
      </c>
      <c r="B1121" s="31" t="s">
        <v>153</v>
      </c>
      <c r="C1121" s="129"/>
      <c r="D1121" s="129"/>
      <c r="E1121" s="19" t="n">
        <f aca="false">F1121*0.03</f>
        <v>0</v>
      </c>
      <c r="F1121" s="33" t="n">
        <v>0</v>
      </c>
      <c r="G1121" s="131"/>
      <c r="H1121" s="35" t="n">
        <v>0</v>
      </c>
      <c r="I1121" s="34" t="n">
        <f aca="false">+IF(E1121=0,0,E1121*0.03)</f>
        <v>0</v>
      </c>
      <c r="J1121" s="93"/>
      <c r="K1121" s="93"/>
      <c r="L1121" s="93"/>
      <c r="M1121" s="93"/>
      <c r="N1121" s="93"/>
      <c r="O1121" s="93"/>
      <c r="P1121" s="93"/>
      <c r="Q1121" s="93"/>
      <c r="R1121" s="93"/>
      <c r="S1121" s="93"/>
      <c r="T1121" s="93"/>
      <c r="U1121" s="93"/>
      <c r="V1121" s="93"/>
      <c r="W1121" s="93"/>
      <c r="X1121" s="93"/>
      <c r="Y1121" s="93"/>
      <c r="Z1121" s="93"/>
    </row>
    <row r="1122" customFormat="false" ht="16.4" hidden="false" customHeight="false" outlineLevel="0" collapsed="false">
      <c r="A1122" s="123" t="n">
        <v>45444</v>
      </c>
      <c r="B1122" s="31" t="s">
        <v>153</v>
      </c>
      <c r="C1122" s="129"/>
      <c r="D1122" s="129"/>
      <c r="E1122" s="19" t="n">
        <f aca="false">F1122*0.03</f>
        <v>0</v>
      </c>
      <c r="F1122" s="33" t="n">
        <v>0</v>
      </c>
      <c r="G1122" s="131"/>
      <c r="H1122" s="35" t="n">
        <v>0</v>
      </c>
      <c r="I1122" s="34" t="n">
        <f aca="false">+IF(E1122=0,0,E1122*0.03)</f>
        <v>0</v>
      </c>
      <c r="J1122" s="93"/>
      <c r="K1122" s="93"/>
      <c r="L1122" s="93"/>
      <c r="M1122" s="93"/>
      <c r="N1122" s="93"/>
      <c r="O1122" s="93"/>
      <c r="P1122" s="93"/>
      <c r="Q1122" s="93"/>
      <c r="R1122" s="93"/>
      <c r="S1122" s="93"/>
      <c r="T1122" s="93"/>
      <c r="U1122" s="93"/>
      <c r="V1122" s="93"/>
      <c r="W1122" s="93"/>
      <c r="X1122" s="93"/>
      <c r="Y1122" s="93"/>
      <c r="Z1122" s="93"/>
    </row>
    <row r="1123" customFormat="false" ht="16.4" hidden="false" customHeight="false" outlineLevel="0" collapsed="false">
      <c r="A1123" s="123" t="n">
        <v>45444</v>
      </c>
      <c r="B1123" s="31" t="s">
        <v>153</v>
      </c>
      <c r="C1123" s="129"/>
      <c r="D1123" s="129"/>
      <c r="E1123" s="19" t="n">
        <f aca="false">F1123*0.03</f>
        <v>0</v>
      </c>
      <c r="F1123" s="33" t="n">
        <v>0</v>
      </c>
      <c r="G1123" s="131"/>
      <c r="H1123" s="35" t="n">
        <v>0</v>
      </c>
      <c r="I1123" s="34" t="n">
        <f aca="false">+IF(E1123=0,0,E1123*0.03)</f>
        <v>0</v>
      </c>
      <c r="J1123" s="93"/>
      <c r="K1123" s="93"/>
      <c r="L1123" s="93"/>
      <c r="M1123" s="93"/>
      <c r="N1123" s="93"/>
      <c r="O1123" s="93"/>
      <c r="P1123" s="93"/>
      <c r="Q1123" s="93"/>
      <c r="R1123" s="93"/>
      <c r="S1123" s="93"/>
      <c r="T1123" s="93"/>
      <c r="U1123" s="93"/>
      <c r="V1123" s="93"/>
      <c r="W1123" s="93"/>
      <c r="X1123" s="93"/>
      <c r="Y1123" s="93"/>
      <c r="Z1123" s="93"/>
    </row>
    <row r="1124" customFormat="false" ht="16.4" hidden="false" customHeight="false" outlineLevel="0" collapsed="false">
      <c r="A1124" s="123" t="n">
        <v>45444</v>
      </c>
      <c r="B1124" s="31" t="s">
        <v>153</v>
      </c>
      <c r="C1124" s="129"/>
      <c r="D1124" s="129"/>
      <c r="E1124" s="19" t="n">
        <f aca="false">F1124*0.03</f>
        <v>0</v>
      </c>
      <c r="F1124" s="33" t="n">
        <v>0</v>
      </c>
      <c r="G1124" s="131"/>
      <c r="H1124" s="35" t="n">
        <v>0</v>
      </c>
      <c r="I1124" s="34" t="n">
        <f aca="false">+IF(E1124=0,0,E1124*0.03)</f>
        <v>0</v>
      </c>
      <c r="J1124" s="93"/>
      <c r="K1124" s="93"/>
      <c r="L1124" s="93"/>
      <c r="M1124" s="93"/>
      <c r="N1124" s="93"/>
      <c r="O1124" s="93"/>
      <c r="P1124" s="93"/>
      <c r="Q1124" s="93"/>
      <c r="R1124" s="93"/>
      <c r="S1124" s="93"/>
      <c r="T1124" s="93"/>
      <c r="U1124" s="93"/>
      <c r="V1124" s="93"/>
      <c r="W1124" s="93"/>
      <c r="X1124" s="93"/>
      <c r="Y1124" s="93"/>
      <c r="Z1124" s="93"/>
    </row>
    <row r="1125" customFormat="false" ht="16.4" hidden="false" customHeight="false" outlineLevel="0" collapsed="false">
      <c r="A1125" s="123" t="n">
        <v>45444</v>
      </c>
      <c r="B1125" s="31" t="s">
        <v>153</v>
      </c>
      <c r="C1125" s="129"/>
      <c r="D1125" s="129"/>
      <c r="E1125" s="19" t="n">
        <f aca="false">F1125*0.03</f>
        <v>0</v>
      </c>
      <c r="F1125" s="33" t="n">
        <v>0</v>
      </c>
      <c r="G1125" s="131"/>
      <c r="H1125" s="35" t="n">
        <v>0</v>
      </c>
      <c r="I1125" s="34" t="n">
        <f aca="false">+IF(E1125=0,0,E1125*0.03)</f>
        <v>0</v>
      </c>
      <c r="J1125" s="93"/>
      <c r="K1125" s="93"/>
      <c r="L1125" s="93"/>
      <c r="M1125" s="93"/>
      <c r="N1125" s="93"/>
      <c r="O1125" s="93"/>
      <c r="P1125" s="93"/>
      <c r="Q1125" s="93"/>
      <c r="R1125" s="93"/>
      <c r="S1125" s="93"/>
      <c r="T1125" s="93"/>
      <c r="U1125" s="93"/>
      <c r="V1125" s="93"/>
      <c r="W1125" s="93"/>
      <c r="X1125" s="93"/>
      <c r="Y1125" s="93"/>
      <c r="Z1125" s="93"/>
    </row>
    <row r="1126" customFormat="false" ht="16.4" hidden="false" customHeight="false" outlineLevel="0" collapsed="false">
      <c r="A1126" s="123" t="n">
        <v>45444</v>
      </c>
      <c r="B1126" s="31" t="s">
        <v>153</v>
      </c>
      <c r="C1126" s="129"/>
      <c r="D1126" s="129"/>
      <c r="E1126" s="19" t="n">
        <f aca="false">F1126*0.03</f>
        <v>0</v>
      </c>
      <c r="F1126" s="33" t="n">
        <v>0</v>
      </c>
      <c r="G1126" s="131"/>
      <c r="H1126" s="35" t="n">
        <v>0</v>
      </c>
      <c r="I1126" s="34" t="n">
        <f aca="false">+IF(E1126=0,0,E1126*0.03)</f>
        <v>0</v>
      </c>
      <c r="J1126" s="93"/>
      <c r="K1126" s="93"/>
      <c r="L1126" s="93"/>
      <c r="M1126" s="93"/>
      <c r="N1126" s="93"/>
      <c r="O1126" s="93"/>
      <c r="P1126" s="93"/>
      <c r="Q1126" s="93"/>
      <c r="R1126" s="93"/>
      <c r="S1126" s="93"/>
      <c r="T1126" s="93"/>
      <c r="U1126" s="93"/>
      <c r="V1126" s="93"/>
      <c r="W1126" s="93"/>
      <c r="X1126" s="93"/>
      <c r="Y1126" s="93"/>
      <c r="Z1126" s="93"/>
    </row>
    <row r="1127" customFormat="false" ht="16.4" hidden="false" customHeight="false" outlineLevel="0" collapsed="false">
      <c r="A1127" s="123" t="n">
        <v>45444</v>
      </c>
      <c r="B1127" s="31" t="s">
        <v>153</v>
      </c>
      <c r="C1127" s="129"/>
      <c r="D1127" s="129"/>
      <c r="E1127" s="19" t="n">
        <f aca="false">F1127*0.03</f>
        <v>0</v>
      </c>
      <c r="F1127" s="33" t="n">
        <v>0</v>
      </c>
      <c r="G1127" s="131"/>
      <c r="H1127" s="35" t="n">
        <v>0</v>
      </c>
      <c r="I1127" s="34" t="n">
        <f aca="false">+IF(E1127=0,0,E1127*0.03)</f>
        <v>0</v>
      </c>
      <c r="J1127" s="93"/>
      <c r="K1127" s="93"/>
      <c r="L1127" s="93"/>
      <c r="M1127" s="93"/>
      <c r="N1127" s="93"/>
      <c r="O1127" s="93"/>
      <c r="P1127" s="93"/>
      <c r="Q1127" s="93"/>
      <c r="R1127" s="93"/>
      <c r="S1127" s="93"/>
      <c r="T1127" s="93"/>
      <c r="U1127" s="93"/>
      <c r="V1127" s="93"/>
      <c r="W1127" s="93"/>
      <c r="X1127" s="93"/>
      <c r="Y1127" s="93"/>
      <c r="Z1127" s="93"/>
    </row>
    <row r="1128" customFormat="false" ht="16.4" hidden="false" customHeight="false" outlineLevel="0" collapsed="false">
      <c r="A1128" s="123" t="n">
        <v>45444</v>
      </c>
      <c r="B1128" s="31" t="s">
        <v>153</v>
      </c>
      <c r="C1128" s="129"/>
      <c r="D1128" s="129"/>
      <c r="E1128" s="19" t="n">
        <f aca="false">F1128*0.03</f>
        <v>0</v>
      </c>
      <c r="F1128" s="33" t="n">
        <v>0</v>
      </c>
      <c r="G1128" s="131"/>
      <c r="H1128" s="35" t="n">
        <v>0</v>
      </c>
      <c r="I1128" s="34" t="n">
        <f aca="false">+IF(E1128=0,0,E1128*0.03)</f>
        <v>0</v>
      </c>
      <c r="J1128" s="93"/>
      <c r="K1128" s="93"/>
      <c r="L1128" s="93"/>
      <c r="M1128" s="93"/>
      <c r="N1128" s="93"/>
      <c r="O1128" s="93"/>
      <c r="P1128" s="93"/>
      <c r="Q1128" s="93"/>
      <c r="R1128" s="93"/>
      <c r="S1128" s="93"/>
      <c r="T1128" s="93"/>
      <c r="U1128" s="93"/>
      <c r="V1128" s="93"/>
      <c r="W1128" s="93"/>
      <c r="X1128" s="93"/>
      <c r="Y1128" s="93"/>
      <c r="Z1128" s="93"/>
    </row>
    <row r="1129" customFormat="false" ht="16.4" hidden="false" customHeight="false" outlineLevel="0" collapsed="false">
      <c r="A1129" s="123" t="n">
        <v>45444</v>
      </c>
      <c r="B1129" s="31" t="s">
        <v>153</v>
      </c>
      <c r="C1129" s="129"/>
      <c r="D1129" s="129"/>
      <c r="E1129" s="19" t="n">
        <f aca="false">F1129*0.03</f>
        <v>0</v>
      </c>
      <c r="F1129" s="33" t="n">
        <v>0</v>
      </c>
      <c r="G1129" s="131"/>
      <c r="H1129" s="35" t="n">
        <v>0</v>
      </c>
      <c r="I1129" s="34" t="n">
        <f aca="false">+IF(E1129=0,0,E1129*0.03)</f>
        <v>0</v>
      </c>
      <c r="J1129" s="93"/>
      <c r="K1129" s="93"/>
      <c r="L1129" s="93"/>
      <c r="M1129" s="93"/>
      <c r="N1129" s="93"/>
      <c r="O1129" s="93"/>
      <c r="P1129" s="93"/>
      <c r="Q1129" s="93"/>
      <c r="R1129" s="93"/>
      <c r="S1129" s="93"/>
      <c r="T1129" s="93"/>
      <c r="U1129" s="93"/>
      <c r="V1129" s="93"/>
      <c r="W1129" s="93"/>
      <c r="X1129" s="93"/>
      <c r="Y1129" s="93"/>
      <c r="Z1129" s="93"/>
    </row>
    <row r="1130" customFormat="false" ht="16.4" hidden="false" customHeight="false" outlineLevel="0" collapsed="false">
      <c r="A1130" s="123" t="n">
        <v>45444</v>
      </c>
      <c r="B1130" s="31" t="s">
        <v>153</v>
      </c>
      <c r="C1130" s="129"/>
      <c r="D1130" s="129"/>
      <c r="E1130" s="19" t="n">
        <f aca="false">F1130*0.03</f>
        <v>0</v>
      </c>
      <c r="F1130" s="33" t="n">
        <v>0</v>
      </c>
      <c r="G1130" s="131"/>
      <c r="H1130" s="35" t="n">
        <v>0</v>
      </c>
      <c r="I1130" s="34" t="n">
        <f aca="false">+IF(E1130=0,0,E1130*0.03)</f>
        <v>0</v>
      </c>
      <c r="J1130" s="93"/>
      <c r="K1130" s="93"/>
      <c r="L1130" s="93"/>
      <c r="M1130" s="93"/>
      <c r="N1130" s="93"/>
      <c r="O1130" s="93"/>
      <c r="P1130" s="93"/>
      <c r="Q1130" s="93"/>
      <c r="R1130" s="93"/>
      <c r="S1130" s="93"/>
      <c r="T1130" s="93"/>
      <c r="U1130" s="93"/>
      <c r="V1130" s="93"/>
      <c r="W1130" s="93"/>
      <c r="X1130" s="93"/>
      <c r="Y1130" s="93"/>
      <c r="Z1130" s="93"/>
    </row>
    <row r="1131" customFormat="false" ht="16.4" hidden="false" customHeight="false" outlineLevel="0" collapsed="false">
      <c r="A1131" s="123" t="n">
        <v>45444</v>
      </c>
      <c r="B1131" s="31" t="s">
        <v>153</v>
      </c>
      <c r="C1131" s="129"/>
      <c r="D1131" s="129"/>
      <c r="E1131" s="19" t="n">
        <f aca="false">F1131*0.03</f>
        <v>0</v>
      </c>
      <c r="F1131" s="33" t="n">
        <v>0</v>
      </c>
      <c r="G1131" s="131"/>
      <c r="H1131" s="35" t="n">
        <v>0</v>
      </c>
      <c r="I1131" s="34" t="n">
        <f aca="false">+IF(E1131=0,0,E1131*0.03)</f>
        <v>0</v>
      </c>
      <c r="J1131" s="93"/>
      <c r="K1131" s="93"/>
      <c r="L1131" s="93"/>
      <c r="M1131" s="93"/>
      <c r="N1131" s="93"/>
      <c r="O1131" s="93"/>
      <c r="P1131" s="93"/>
      <c r="Q1131" s="93"/>
      <c r="R1131" s="93"/>
      <c r="S1131" s="93"/>
      <c r="T1131" s="93"/>
      <c r="U1131" s="93"/>
      <c r="V1131" s="93"/>
      <c r="W1131" s="93"/>
      <c r="X1131" s="93"/>
      <c r="Y1131" s="93"/>
      <c r="Z1131" s="93"/>
    </row>
    <row r="1132" customFormat="false" ht="16.4" hidden="false" customHeight="false" outlineLevel="0" collapsed="false">
      <c r="A1132" s="123" t="n">
        <v>45444</v>
      </c>
      <c r="B1132" s="31" t="s">
        <v>153</v>
      </c>
      <c r="C1132" s="129"/>
      <c r="D1132" s="129"/>
      <c r="E1132" s="19" t="n">
        <f aca="false">F1132*0.03</f>
        <v>0</v>
      </c>
      <c r="F1132" s="33" t="n">
        <v>0</v>
      </c>
      <c r="G1132" s="131"/>
      <c r="H1132" s="35" t="n">
        <v>0</v>
      </c>
      <c r="I1132" s="34" t="n">
        <f aca="false">+IF(E1132=0,0,E1132*0.03)</f>
        <v>0</v>
      </c>
      <c r="J1132" s="93"/>
      <c r="K1132" s="93"/>
      <c r="L1132" s="93"/>
      <c r="M1132" s="93"/>
      <c r="N1132" s="93"/>
      <c r="O1132" s="93"/>
      <c r="P1132" s="93"/>
      <c r="Q1132" s="93"/>
      <c r="R1132" s="93"/>
      <c r="S1132" s="93"/>
      <c r="T1132" s="93"/>
      <c r="U1132" s="93"/>
      <c r="V1132" s="93"/>
      <c r="W1132" s="93"/>
      <c r="X1132" s="93"/>
      <c r="Y1132" s="93"/>
      <c r="Z1132" s="93"/>
    </row>
    <row r="1133" customFormat="false" ht="16.4" hidden="false" customHeight="false" outlineLevel="0" collapsed="false">
      <c r="A1133" s="123" t="n">
        <v>45444</v>
      </c>
      <c r="B1133" s="31" t="s">
        <v>153</v>
      </c>
      <c r="C1133" s="129"/>
      <c r="D1133" s="129"/>
      <c r="E1133" s="19" t="n">
        <f aca="false">F1133*0.03</f>
        <v>0</v>
      </c>
      <c r="F1133" s="33" t="n">
        <v>0</v>
      </c>
      <c r="G1133" s="131"/>
      <c r="H1133" s="35" t="n">
        <v>0</v>
      </c>
      <c r="I1133" s="34" t="n">
        <f aca="false">+IF(E1133=0,0,E1133*0.03)</f>
        <v>0</v>
      </c>
      <c r="J1133" s="93"/>
      <c r="K1133" s="93"/>
      <c r="L1133" s="93"/>
      <c r="M1133" s="93"/>
      <c r="N1133" s="93"/>
      <c r="O1133" s="93"/>
      <c r="P1133" s="93"/>
      <c r="Q1133" s="93"/>
      <c r="R1133" s="93"/>
      <c r="S1133" s="93"/>
      <c r="T1133" s="93"/>
      <c r="U1133" s="93"/>
      <c r="V1133" s="93"/>
      <c r="W1133" s="93"/>
      <c r="X1133" s="93"/>
      <c r="Y1133" s="93"/>
      <c r="Z1133" s="93"/>
    </row>
    <row r="1134" customFormat="false" ht="16.4" hidden="false" customHeight="false" outlineLevel="0" collapsed="false">
      <c r="A1134" s="123" t="n">
        <v>45444</v>
      </c>
      <c r="B1134" s="31" t="s">
        <v>153</v>
      </c>
      <c r="C1134" s="129"/>
      <c r="D1134" s="129"/>
      <c r="E1134" s="19" t="n">
        <f aca="false">F1134*0.03</f>
        <v>0</v>
      </c>
      <c r="F1134" s="33" t="n">
        <v>0</v>
      </c>
      <c r="G1134" s="131"/>
      <c r="H1134" s="35" t="n">
        <v>0</v>
      </c>
      <c r="I1134" s="34" t="n">
        <f aca="false">+IF(E1134=0,0,E1134*0.03)</f>
        <v>0</v>
      </c>
      <c r="J1134" s="93"/>
      <c r="K1134" s="93"/>
      <c r="L1134" s="93"/>
      <c r="M1134" s="93"/>
      <c r="N1134" s="93"/>
      <c r="O1134" s="93"/>
      <c r="P1134" s="93"/>
      <c r="Q1134" s="93"/>
      <c r="R1134" s="93"/>
      <c r="S1134" s="93"/>
      <c r="T1134" s="93"/>
      <c r="U1134" s="93"/>
      <c r="V1134" s="93"/>
      <c r="W1134" s="93"/>
      <c r="X1134" s="93"/>
      <c r="Y1134" s="93"/>
      <c r="Z1134" s="93"/>
    </row>
    <row r="1135" customFormat="false" ht="16.4" hidden="false" customHeight="false" outlineLevel="0" collapsed="false">
      <c r="A1135" s="123" t="n">
        <v>45444</v>
      </c>
      <c r="B1135" s="31" t="s">
        <v>153</v>
      </c>
      <c r="C1135" s="129"/>
      <c r="D1135" s="129"/>
      <c r="E1135" s="19" t="n">
        <f aca="false">F1135*0.03</f>
        <v>0</v>
      </c>
      <c r="F1135" s="33" t="n">
        <v>0</v>
      </c>
      <c r="G1135" s="131"/>
      <c r="H1135" s="35" t="n">
        <v>0</v>
      </c>
      <c r="I1135" s="34" t="n">
        <f aca="false">+IF(E1135=0,0,E1135*0.03)</f>
        <v>0</v>
      </c>
      <c r="J1135" s="93"/>
      <c r="K1135" s="93"/>
      <c r="L1135" s="93"/>
      <c r="M1135" s="93"/>
      <c r="N1135" s="93"/>
      <c r="O1135" s="93"/>
      <c r="P1135" s="93"/>
      <c r="Q1135" s="93"/>
      <c r="R1135" s="93"/>
      <c r="S1135" s="93"/>
      <c r="T1135" s="93"/>
      <c r="U1135" s="93"/>
      <c r="V1135" s="93"/>
      <c r="W1135" s="93"/>
      <c r="X1135" s="93"/>
      <c r="Y1135" s="93"/>
      <c r="Z1135" s="93"/>
    </row>
    <row r="1136" customFormat="false" ht="16.4" hidden="false" customHeight="false" outlineLevel="0" collapsed="false">
      <c r="A1136" s="123" t="n">
        <v>45444</v>
      </c>
      <c r="B1136" s="31" t="s">
        <v>153</v>
      </c>
      <c r="C1136" s="129"/>
      <c r="D1136" s="129"/>
      <c r="E1136" s="19" t="n">
        <f aca="false">F1136*0.03</f>
        <v>0</v>
      </c>
      <c r="F1136" s="33" t="n">
        <v>0</v>
      </c>
      <c r="G1136" s="131"/>
      <c r="H1136" s="35" t="n">
        <v>0</v>
      </c>
      <c r="I1136" s="34" t="n">
        <f aca="false">+IF(E1136=0,0,E1136*0.03)</f>
        <v>0</v>
      </c>
      <c r="J1136" s="93"/>
      <c r="K1136" s="93"/>
      <c r="L1136" s="93"/>
      <c r="M1136" s="93"/>
      <c r="N1136" s="93"/>
      <c r="O1136" s="93"/>
      <c r="P1136" s="93"/>
      <c r="Q1136" s="93"/>
      <c r="R1136" s="93"/>
      <c r="S1136" s="93"/>
      <c r="T1136" s="93"/>
      <c r="U1136" s="93"/>
      <c r="V1136" s="93"/>
      <c r="W1136" s="93"/>
      <c r="X1136" s="93"/>
      <c r="Y1136" s="93"/>
      <c r="Z1136" s="93"/>
    </row>
    <row r="1137" customFormat="false" ht="16.4" hidden="false" customHeight="false" outlineLevel="0" collapsed="false">
      <c r="A1137" s="123" t="n">
        <v>45444</v>
      </c>
      <c r="B1137" s="31" t="s">
        <v>153</v>
      </c>
      <c r="C1137" s="129"/>
      <c r="D1137" s="129"/>
      <c r="E1137" s="19" t="n">
        <f aca="false">F1137*0.03</f>
        <v>0</v>
      </c>
      <c r="F1137" s="33" t="n">
        <v>0</v>
      </c>
      <c r="G1137" s="131"/>
      <c r="H1137" s="35" t="n">
        <v>0</v>
      </c>
      <c r="I1137" s="34" t="n">
        <f aca="false">+IF(E1137=0,0,E1137*0.03)</f>
        <v>0</v>
      </c>
      <c r="J1137" s="93"/>
      <c r="K1137" s="93"/>
      <c r="L1137" s="93"/>
      <c r="M1137" s="93"/>
      <c r="N1137" s="93"/>
      <c r="O1137" s="93"/>
      <c r="P1137" s="93"/>
      <c r="Q1137" s="93"/>
      <c r="R1137" s="93"/>
      <c r="S1137" s="93"/>
      <c r="T1137" s="93"/>
      <c r="U1137" s="93"/>
      <c r="V1137" s="93"/>
      <c r="W1137" s="93"/>
      <c r="X1137" s="93"/>
      <c r="Y1137" s="93"/>
      <c r="Z1137" s="93"/>
    </row>
    <row r="1138" customFormat="false" ht="16.4" hidden="false" customHeight="false" outlineLevel="0" collapsed="false">
      <c r="A1138" s="123" t="n">
        <v>45444</v>
      </c>
      <c r="B1138" s="31" t="s">
        <v>153</v>
      </c>
      <c r="C1138" s="129"/>
      <c r="D1138" s="129"/>
      <c r="E1138" s="19" t="n">
        <f aca="false">F1138*0.03</f>
        <v>0</v>
      </c>
      <c r="F1138" s="33" t="n">
        <v>0</v>
      </c>
      <c r="G1138" s="131"/>
      <c r="H1138" s="35" t="n">
        <v>0</v>
      </c>
      <c r="I1138" s="34" t="n">
        <f aca="false">+IF(E1138=0,0,E1138*0.03)</f>
        <v>0</v>
      </c>
      <c r="J1138" s="93"/>
      <c r="K1138" s="93"/>
      <c r="L1138" s="93"/>
      <c r="M1138" s="93"/>
      <c r="N1138" s="93"/>
      <c r="O1138" s="93"/>
      <c r="P1138" s="93"/>
      <c r="Q1138" s="93"/>
      <c r="R1138" s="93"/>
      <c r="S1138" s="93"/>
      <c r="T1138" s="93"/>
      <c r="U1138" s="93"/>
      <c r="V1138" s="93"/>
      <c r="W1138" s="93"/>
      <c r="X1138" s="93"/>
      <c r="Y1138" s="93"/>
      <c r="Z1138" s="93"/>
    </row>
    <row r="1139" customFormat="false" ht="16.4" hidden="false" customHeight="false" outlineLevel="0" collapsed="false">
      <c r="A1139" s="123" t="n">
        <v>45444</v>
      </c>
      <c r="B1139" s="31" t="s">
        <v>153</v>
      </c>
      <c r="C1139" s="129"/>
      <c r="D1139" s="129"/>
      <c r="E1139" s="19" t="n">
        <f aca="false">F1139*0.03</f>
        <v>0</v>
      </c>
      <c r="F1139" s="33" t="n">
        <v>0</v>
      </c>
      <c r="G1139" s="131"/>
      <c r="H1139" s="35" t="n">
        <v>0</v>
      </c>
      <c r="I1139" s="34" t="n">
        <f aca="false">+IF(E1139=0,0,E1139*0.03)</f>
        <v>0</v>
      </c>
      <c r="J1139" s="93"/>
      <c r="K1139" s="93"/>
      <c r="L1139" s="93"/>
      <c r="M1139" s="93"/>
      <c r="N1139" s="93"/>
      <c r="O1139" s="93"/>
      <c r="P1139" s="93"/>
      <c r="Q1139" s="93"/>
      <c r="R1139" s="93"/>
      <c r="S1139" s="93"/>
      <c r="T1139" s="93"/>
      <c r="U1139" s="93"/>
      <c r="V1139" s="93"/>
      <c r="W1139" s="93"/>
      <c r="X1139" s="93"/>
      <c r="Y1139" s="93"/>
      <c r="Z1139" s="93"/>
    </row>
    <row r="1140" customFormat="false" ht="16.4" hidden="false" customHeight="false" outlineLevel="0" collapsed="false">
      <c r="A1140" s="123" t="n">
        <v>45444</v>
      </c>
      <c r="B1140" s="31" t="s">
        <v>153</v>
      </c>
      <c r="C1140" s="129"/>
      <c r="D1140" s="129"/>
      <c r="E1140" s="19" t="n">
        <f aca="false">F1140*0.03</f>
        <v>0</v>
      </c>
      <c r="F1140" s="33" t="n">
        <v>0</v>
      </c>
      <c r="G1140" s="131"/>
      <c r="H1140" s="35" t="n">
        <v>0</v>
      </c>
      <c r="I1140" s="34" t="n">
        <f aca="false">+IF(E1140=0,0,E1140*0.03)</f>
        <v>0</v>
      </c>
      <c r="J1140" s="93"/>
      <c r="K1140" s="93"/>
      <c r="L1140" s="93"/>
      <c r="M1140" s="93"/>
      <c r="N1140" s="93"/>
      <c r="O1140" s="93"/>
      <c r="P1140" s="93"/>
      <c r="Q1140" s="93"/>
      <c r="R1140" s="93"/>
      <c r="S1140" s="93"/>
      <c r="T1140" s="93"/>
      <c r="U1140" s="93"/>
      <c r="V1140" s="93"/>
      <c r="W1140" s="93"/>
      <c r="X1140" s="93"/>
      <c r="Y1140" s="93"/>
      <c r="Z1140" s="93"/>
    </row>
    <row r="1141" customFormat="false" ht="16.4" hidden="false" customHeight="false" outlineLevel="0" collapsed="false">
      <c r="A1141" s="123" t="n">
        <v>45444</v>
      </c>
      <c r="B1141" s="31" t="s">
        <v>153</v>
      </c>
      <c r="C1141" s="129"/>
      <c r="D1141" s="129"/>
      <c r="E1141" s="19" t="n">
        <f aca="false">F1141*0.03</f>
        <v>0</v>
      </c>
      <c r="F1141" s="33" t="n">
        <v>0</v>
      </c>
      <c r="G1141" s="131"/>
      <c r="H1141" s="35" t="n">
        <v>0</v>
      </c>
      <c r="I1141" s="34" t="n">
        <f aca="false">+IF(E1141=0,0,E1141*0.03)</f>
        <v>0</v>
      </c>
      <c r="J1141" s="93"/>
      <c r="K1141" s="93"/>
      <c r="L1141" s="93"/>
      <c r="M1141" s="93"/>
      <c r="N1141" s="93"/>
      <c r="O1141" s="93"/>
      <c r="P1141" s="93"/>
      <c r="Q1141" s="93"/>
      <c r="R1141" s="93"/>
      <c r="S1141" s="93"/>
      <c r="T1141" s="93"/>
      <c r="U1141" s="93"/>
      <c r="V1141" s="93"/>
      <c r="W1141" s="93"/>
      <c r="X1141" s="93"/>
      <c r="Y1141" s="93"/>
      <c r="Z1141" s="93"/>
    </row>
    <row r="1142" customFormat="false" ht="16.4" hidden="false" customHeight="false" outlineLevel="0" collapsed="false">
      <c r="A1142" s="123" t="n">
        <v>45444</v>
      </c>
      <c r="B1142" s="31" t="s">
        <v>153</v>
      </c>
      <c r="C1142" s="129"/>
      <c r="D1142" s="129"/>
      <c r="E1142" s="19" t="n">
        <f aca="false">F1142*0.03</f>
        <v>0</v>
      </c>
      <c r="F1142" s="33" t="n">
        <v>0</v>
      </c>
      <c r="G1142" s="131"/>
      <c r="H1142" s="35" t="n">
        <v>0</v>
      </c>
      <c r="I1142" s="34" t="n">
        <f aca="false">+IF(E1142=0,0,E1142*0.03)</f>
        <v>0</v>
      </c>
      <c r="J1142" s="93"/>
      <c r="K1142" s="93"/>
      <c r="L1142" s="93"/>
      <c r="M1142" s="93"/>
      <c r="N1142" s="93"/>
      <c r="O1142" s="93"/>
      <c r="P1142" s="93"/>
      <c r="Q1142" s="93"/>
      <c r="R1142" s="93"/>
      <c r="S1142" s="93"/>
      <c r="T1142" s="93"/>
      <c r="U1142" s="93"/>
      <c r="V1142" s="93"/>
      <c r="W1142" s="93"/>
      <c r="X1142" s="93"/>
      <c r="Y1142" s="93"/>
      <c r="Z1142" s="93"/>
    </row>
    <row r="1143" customFormat="false" ht="16.4" hidden="false" customHeight="false" outlineLevel="0" collapsed="false">
      <c r="A1143" s="123" t="n">
        <v>45444</v>
      </c>
      <c r="B1143" s="31" t="s">
        <v>153</v>
      </c>
      <c r="C1143" s="129"/>
      <c r="D1143" s="129"/>
      <c r="E1143" s="19" t="n">
        <f aca="false">F1143*0.03</f>
        <v>0</v>
      </c>
      <c r="F1143" s="33" t="n">
        <v>0</v>
      </c>
      <c r="G1143" s="131"/>
      <c r="H1143" s="35" t="n">
        <v>0</v>
      </c>
      <c r="I1143" s="34" t="n">
        <f aca="false">+IF(E1143=0,0,E1143*0.03)</f>
        <v>0</v>
      </c>
      <c r="J1143" s="93"/>
      <c r="K1143" s="93"/>
      <c r="L1143" s="93"/>
      <c r="M1143" s="93"/>
      <c r="N1143" s="93"/>
      <c r="O1143" s="93"/>
      <c r="P1143" s="93"/>
      <c r="Q1143" s="93"/>
      <c r="R1143" s="93"/>
      <c r="S1143" s="93"/>
      <c r="T1143" s="93"/>
      <c r="U1143" s="93"/>
      <c r="V1143" s="93"/>
      <c r="W1143" s="93"/>
      <c r="X1143" s="93"/>
      <c r="Y1143" s="93"/>
      <c r="Z1143" s="93"/>
    </row>
    <row r="1144" customFormat="false" ht="16.4" hidden="false" customHeight="false" outlineLevel="0" collapsed="false">
      <c r="A1144" s="123" t="n">
        <v>45444</v>
      </c>
      <c r="B1144" s="31" t="s">
        <v>153</v>
      </c>
      <c r="C1144" s="129"/>
      <c r="D1144" s="129"/>
      <c r="E1144" s="19" t="n">
        <f aca="false">F1144*0.03</f>
        <v>0</v>
      </c>
      <c r="F1144" s="33" t="n">
        <v>0</v>
      </c>
      <c r="G1144" s="131"/>
      <c r="H1144" s="35" t="n">
        <v>0</v>
      </c>
      <c r="I1144" s="34" t="n">
        <f aca="false">+IF(E1144=0,0,E1144*0.03)</f>
        <v>0</v>
      </c>
      <c r="J1144" s="93"/>
      <c r="K1144" s="93"/>
      <c r="L1144" s="93"/>
      <c r="M1144" s="93"/>
      <c r="N1144" s="93"/>
      <c r="O1144" s="93"/>
      <c r="P1144" s="93"/>
      <c r="Q1144" s="93"/>
      <c r="R1144" s="93"/>
      <c r="S1144" s="93"/>
      <c r="T1144" s="93"/>
      <c r="U1144" s="93"/>
      <c r="V1144" s="93"/>
      <c r="W1144" s="93"/>
      <c r="X1144" s="93"/>
      <c r="Y1144" s="93"/>
      <c r="Z1144" s="93"/>
    </row>
    <row r="1145" customFormat="false" ht="16.4" hidden="false" customHeight="false" outlineLevel="0" collapsed="false">
      <c r="A1145" s="123" t="n">
        <v>45444</v>
      </c>
      <c r="B1145" s="31" t="s">
        <v>153</v>
      </c>
      <c r="C1145" s="129"/>
      <c r="D1145" s="129"/>
      <c r="E1145" s="19" t="n">
        <f aca="false">F1145*0.03</f>
        <v>0</v>
      </c>
      <c r="F1145" s="33" t="n">
        <v>0</v>
      </c>
      <c r="G1145" s="131"/>
      <c r="H1145" s="35" t="n">
        <v>0</v>
      </c>
      <c r="I1145" s="34" t="n">
        <f aca="false">+IF(E1145=0,0,E1145*0.03)</f>
        <v>0</v>
      </c>
      <c r="J1145" s="93"/>
      <c r="K1145" s="93"/>
      <c r="L1145" s="93"/>
      <c r="M1145" s="93"/>
      <c r="N1145" s="93"/>
      <c r="O1145" s="93"/>
      <c r="P1145" s="93"/>
      <c r="Q1145" s="93"/>
      <c r="R1145" s="93"/>
      <c r="S1145" s="93"/>
      <c r="T1145" s="93"/>
      <c r="U1145" s="93"/>
      <c r="V1145" s="93"/>
      <c r="W1145" s="93"/>
      <c r="X1145" s="93"/>
      <c r="Y1145" s="93"/>
      <c r="Z1145" s="93"/>
    </row>
    <row r="1146" customFormat="false" ht="16.4" hidden="false" customHeight="false" outlineLevel="0" collapsed="false">
      <c r="A1146" s="123" t="n">
        <v>45444</v>
      </c>
      <c r="B1146" s="31" t="s">
        <v>153</v>
      </c>
      <c r="C1146" s="129"/>
      <c r="D1146" s="129"/>
      <c r="E1146" s="19" t="n">
        <f aca="false">F1146*0.03</f>
        <v>0</v>
      </c>
      <c r="F1146" s="33" t="n">
        <v>0</v>
      </c>
      <c r="G1146" s="131"/>
      <c r="H1146" s="35" t="n">
        <v>0</v>
      </c>
      <c r="I1146" s="34" t="n">
        <f aca="false">+IF(E1146=0,0,E1146*0.03)</f>
        <v>0</v>
      </c>
      <c r="J1146" s="93"/>
      <c r="K1146" s="93"/>
      <c r="L1146" s="93"/>
      <c r="M1146" s="93"/>
      <c r="N1146" s="93"/>
      <c r="O1146" s="93"/>
      <c r="P1146" s="93"/>
      <c r="Q1146" s="93"/>
      <c r="R1146" s="93"/>
      <c r="S1146" s="93"/>
      <c r="T1146" s="93"/>
      <c r="U1146" s="93"/>
      <c r="V1146" s="93"/>
      <c r="W1146" s="93"/>
      <c r="X1146" s="93"/>
      <c r="Y1146" s="93"/>
      <c r="Z1146" s="93"/>
    </row>
    <row r="1147" customFormat="false" ht="16.4" hidden="false" customHeight="false" outlineLevel="0" collapsed="false">
      <c r="A1147" s="123" t="n">
        <v>45444</v>
      </c>
      <c r="B1147" s="31" t="s">
        <v>153</v>
      </c>
      <c r="C1147" s="129"/>
      <c r="D1147" s="129"/>
      <c r="E1147" s="19" t="n">
        <f aca="false">F1147*0.03</f>
        <v>0</v>
      </c>
      <c r="F1147" s="33" t="n">
        <v>0</v>
      </c>
      <c r="G1147" s="131"/>
      <c r="H1147" s="35" t="n">
        <v>0</v>
      </c>
      <c r="I1147" s="34" t="n">
        <f aca="false">+IF(E1147=0,0,E1147*0.03)</f>
        <v>0</v>
      </c>
      <c r="J1147" s="93"/>
      <c r="K1147" s="93"/>
      <c r="L1147" s="93"/>
      <c r="M1147" s="93"/>
      <c r="N1147" s="93"/>
      <c r="O1147" s="93"/>
      <c r="P1147" s="93"/>
      <c r="Q1147" s="93"/>
      <c r="R1147" s="93"/>
      <c r="S1147" s="93"/>
      <c r="T1147" s="93"/>
      <c r="U1147" s="93"/>
      <c r="V1147" s="93"/>
      <c r="W1147" s="93"/>
      <c r="X1147" s="93"/>
      <c r="Y1147" s="93"/>
      <c r="Z1147" s="93"/>
    </row>
    <row r="1148" customFormat="false" ht="16.4" hidden="false" customHeight="false" outlineLevel="0" collapsed="false">
      <c r="A1148" s="123" t="n">
        <v>45444</v>
      </c>
      <c r="B1148" s="31" t="s">
        <v>153</v>
      </c>
      <c r="C1148" s="129"/>
      <c r="D1148" s="129"/>
      <c r="E1148" s="19" t="n">
        <f aca="false">F1148*0.03</f>
        <v>0</v>
      </c>
      <c r="F1148" s="33" t="n">
        <v>0</v>
      </c>
      <c r="G1148" s="131"/>
      <c r="H1148" s="35" t="n">
        <v>0</v>
      </c>
      <c r="I1148" s="34" t="n">
        <f aca="false">+IF(E1148=0,0,E1148*0.03)</f>
        <v>0</v>
      </c>
      <c r="J1148" s="93"/>
      <c r="K1148" s="93"/>
      <c r="L1148" s="93"/>
      <c r="M1148" s="93"/>
      <c r="N1148" s="93"/>
      <c r="O1148" s="93"/>
      <c r="P1148" s="93"/>
      <c r="Q1148" s="93"/>
      <c r="R1148" s="93"/>
      <c r="S1148" s="93"/>
      <c r="T1148" s="93"/>
      <c r="U1148" s="93"/>
      <c r="V1148" s="93"/>
      <c r="W1148" s="93"/>
      <c r="X1148" s="93"/>
      <c r="Y1148" s="93"/>
      <c r="Z1148" s="93"/>
    </row>
    <row r="1149" customFormat="false" ht="16.4" hidden="false" customHeight="false" outlineLevel="0" collapsed="false">
      <c r="A1149" s="123" t="n">
        <v>45444</v>
      </c>
      <c r="B1149" s="31" t="s">
        <v>153</v>
      </c>
      <c r="C1149" s="129"/>
      <c r="D1149" s="129"/>
      <c r="E1149" s="19" t="n">
        <f aca="false">F1149*0.03</f>
        <v>0</v>
      </c>
      <c r="F1149" s="33" t="n">
        <v>0</v>
      </c>
      <c r="G1149" s="131"/>
      <c r="H1149" s="35" t="n">
        <v>0</v>
      </c>
      <c r="I1149" s="34" t="n">
        <f aca="false">+IF(E1149=0,0,E1149*0.03)</f>
        <v>0</v>
      </c>
      <c r="J1149" s="93"/>
      <c r="K1149" s="93"/>
      <c r="L1149" s="93"/>
      <c r="M1149" s="93"/>
      <c r="N1149" s="93"/>
      <c r="O1149" s="93"/>
      <c r="P1149" s="93"/>
      <c r="Q1149" s="93"/>
      <c r="R1149" s="93"/>
      <c r="S1149" s="93"/>
      <c r="T1149" s="93"/>
      <c r="U1149" s="93"/>
      <c r="V1149" s="93"/>
      <c r="W1149" s="93"/>
      <c r="X1149" s="93"/>
      <c r="Y1149" s="93"/>
      <c r="Z1149" s="93"/>
    </row>
    <row r="1150" customFormat="false" ht="16.4" hidden="false" customHeight="false" outlineLevel="0" collapsed="false">
      <c r="A1150" s="123" t="n">
        <v>45444</v>
      </c>
      <c r="B1150" s="31" t="s">
        <v>153</v>
      </c>
      <c r="C1150" s="129"/>
      <c r="D1150" s="129"/>
      <c r="E1150" s="19" t="n">
        <f aca="false">F1150*0.03</f>
        <v>0</v>
      </c>
      <c r="F1150" s="33" t="n">
        <v>0</v>
      </c>
      <c r="G1150" s="131"/>
      <c r="H1150" s="35" t="n">
        <v>0</v>
      </c>
      <c r="I1150" s="34" t="n">
        <f aca="false">+IF(E1150=0,0,E1150*0.03)</f>
        <v>0</v>
      </c>
      <c r="J1150" s="93"/>
      <c r="K1150" s="93"/>
      <c r="L1150" s="93"/>
      <c r="M1150" s="93"/>
      <c r="N1150" s="93"/>
      <c r="O1150" s="93"/>
      <c r="P1150" s="93"/>
      <c r="Q1150" s="93"/>
      <c r="R1150" s="93"/>
      <c r="S1150" s="93"/>
      <c r="T1150" s="93"/>
      <c r="U1150" s="93"/>
      <c r="V1150" s="93"/>
      <c r="W1150" s="93"/>
      <c r="X1150" s="93"/>
      <c r="Y1150" s="93"/>
      <c r="Z1150" s="93"/>
    </row>
    <row r="1151" customFormat="false" ht="16.4" hidden="false" customHeight="false" outlineLevel="0" collapsed="false">
      <c r="A1151" s="123" t="n">
        <v>45444</v>
      </c>
      <c r="B1151" s="31" t="s">
        <v>153</v>
      </c>
      <c r="C1151" s="129"/>
      <c r="D1151" s="129"/>
      <c r="E1151" s="19" t="n">
        <f aca="false">F1151*0.03</f>
        <v>0</v>
      </c>
      <c r="F1151" s="33" t="n">
        <v>0</v>
      </c>
      <c r="G1151" s="131"/>
      <c r="H1151" s="35" t="n">
        <v>0</v>
      </c>
      <c r="I1151" s="34" t="n">
        <f aca="false">+IF(E1151=0,0,E1151*0.03)</f>
        <v>0</v>
      </c>
      <c r="J1151" s="93"/>
      <c r="K1151" s="93"/>
      <c r="L1151" s="93"/>
      <c r="M1151" s="93"/>
      <c r="N1151" s="93"/>
      <c r="O1151" s="93"/>
      <c r="P1151" s="93"/>
      <c r="Q1151" s="93"/>
      <c r="R1151" s="93"/>
      <c r="S1151" s="93"/>
      <c r="T1151" s="93"/>
      <c r="U1151" s="93"/>
      <c r="V1151" s="93"/>
      <c r="W1151" s="93"/>
      <c r="X1151" s="93"/>
      <c r="Y1151" s="93"/>
      <c r="Z1151" s="93"/>
    </row>
    <row r="1152" customFormat="false" ht="16.4" hidden="false" customHeight="false" outlineLevel="0" collapsed="false">
      <c r="A1152" s="123" t="n">
        <v>45444</v>
      </c>
      <c r="B1152" s="31" t="s">
        <v>153</v>
      </c>
      <c r="C1152" s="129"/>
      <c r="D1152" s="129"/>
      <c r="E1152" s="19" t="n">
        <f aca="false">F1152*0.03</f>
        <v>0</v>
      </c>
      <c r="F1152" s="33" t="n">
        <v>0</v>
      </c>
      <c r="G1152" s="131"/>
      <c r="H1152" s="35" t="n">
        <v>0</v>
      </c>
      <c r="I1152" s="34" t="n">
        <f aca="false">+IF(E1152=0,0,E1152*0.03)</f>
        <v>0</v>
      </c>
      <c r="J1152" s="93"/>
      <c r="K1152" s="93"/>
      <c r="L1152" s="93"/>
      <c r="M1152" s="93"/>
      <c r="N1152" s="93"/>
      <c r="O1152" s="93"/>
      <c r="P1152" s="93"/>
      <c r="Q1152" s="93"/>
      <c r="R1152" s="93"/>
      <c r="S1152" s="93"/>
      <c r="T1152" s="93"/>
      <c r="U1152" s="93"/>
      <c r="V1152" s="93"/>
      <c r="W1152" s="93"/>
      <c r="X1152" s="93"/>
      <c r="Y1152" s="93"/>
      <c r="Z1152" s="93"/>
    </row>
    <row r="1153" customFormat="false" ht="16.4" hidden="false" customHeight="false" outlineLevel="0" collapsed="false">
      <c r="A1153" s="123" t="n">
        <v>45444</v>
      </c>
      <c r="B1153" s="31" t="s">
        <v>153</v>
      </c>
      <c r="C1153" s="129"/>
      <c r="D1153" s="129"/>
      <c r="E1153" s="19" t="n">
        <f aca="false">F1153*0.03</f>
        <v>0</v>
      </c>
      <c r="F1153" s="33" t="n">
        <v>0</v>
      </c>
      <c r="G1153" s="131"/>
      <c r="H1153" s="35" t="n">
        <v>0</v>
      </c>
      <c r="I1153" s="34" t="n">
        <f aca="false">+IF(E1153=0,0,E1153*0.03)</f>
        <v>0</v>
      </c>
      <c r="J1153" s="93"/>
      <c r="K1153" s="93"/>
      <c r="L1153" s="93"/>
      <c r="M1153" s="93"/>
      <c r="N1153" s="93"/>
      <c r="O1153" s="93"/>
      <c r="P1153" s="93"/>
      <c r="Q1153" s="93"/>
      <c r="R1153" s="93"/>
      <c r="S1153" s="93"/>
      <c r="T1153" s="93"/>
      <c r="U1153" s="93"/>
      <c r="V1153" s="93"/>
      <c r="W1153" s="93"/>
      <c r="X1153" s="93"/>
      <c r="Y1153" s="93"/>
      <c r="Z1153" s="93"/>
    </row>
    <row r="1154" customFormat="false" ht="16.4" hidden="false" customHeight="false" outlineLevel="0" collapsed="false">
      <c r="A1154" s="123" t="n">
        <v>45444</v>
      </c>
      <c r="B1154" s="31" t="s">
        <v>153</v>
      </c>
      <c r="C1154" s="129"/>
      <c r="D1154" s="129"/>
      <c r="E1154" s="19" t="n">
        <f aca="false">F1154*0.03</f>
        <v>0</v>
      </c>
      <c r="F1154" s="33" t="n">
        <v>0</v>
      </c>
      <c r="G1154" s="131"/>
      <c r="H1154" s="35" t="n">
        <v>0</v>
      </c>
      <c r="I1154" s="34" t="n">
        <f aca="false">+IF(E1154=0,0,E1154*0.03)</f>
        <v>0</v>
      </c>
      <c r="J1154" s="93"/>
      <c r="K1154" s="93"/>
      <c r="L1154" s="93"/>
      <c r="M1154" s="93"/>
      <c r="N1154" s="93"/>
      <c r="O1154" s="93"/>
      <c r="P1154" s="93"/>
      <c r="Q1154" s="93"/>
      <c r="R1154" s="93"/>
      <c r="S1154" s="93"/>
      <c r="T1154" s="93"/>
      <c r="U1154" s="93"/>
      <c r="V1154" s="93"/>
      <c r="W1154" s="93"/>
      <c r="X1154" s="93"/>
      <c r="Y1154" s="93"/>
      <c r="Z1154" s="93"/>
    </row>
    <row r="1155" customFormat="false" ht="16.4" hidden="false" customHeight="false" outlineLevel="0" collapsed="false">
      <c r="A1155" s="123" t="n">
        <v>45444</v>
      </c>
      <c r="B1155" s="31" t="s">
        <v>153</v>
      </c>
      <c r="C1155" s="129"/>
      <c r="D1155" s="129"/>
      <c r="E1155" s="19" t="n">
        <f aca="false">F1155*0.03</f>
        <v>0</v>
      </c>
      <c r="F1155" s="33" t="n">
        <v>0</v>
      </c>
      <c r="G1155" s="131"/>
      <c r="H1155" s="35" t="n">
        <v>0</v>
      </c>
      <c r="I1155" s="34" t="n">
        <f aca="false">+IF(E1155=0,0,E1155*0.03)</f>
        <v>0</v>
      </c>
      <c r="J1155" s="93"/>
      <c r="K1155" s="93"/>
      <c r="L1155" s="93"/>
      <c r="M1155" s="93"/>
      <c r="N1155" s="93"/>
      <c r="O1155" s="93"/>
      <c r="P1155" s="93"/>
      <c r="Q1155" s="93"/>
      <c r="R1155" s="93"/>
      <c r="S1155" s="93"/>
      <c r="T1155" s="93"/>
      <c r="U1155" s="93"/>
      <c r="V1155" s="93"/>
      <c r="W1155" s="93"/>
      <c r="X1155" s="93"/>
      <c r="Y1155" s="93"/>
      <c r="Z1155" s="93"/>
    </row>
    <row r="1156" customFormat="false" ht="16.4" hidden="false" customHeight="false" outlineLevel="0" collapsed="false">
      <c r="A1156" s="123" t="n">
        <v>45444</v>
      </c>
      <c r="B1156" s="31" t="s">
        <v>153</v>
      </c>
      <c r="C1156" s="129"/>
      <c r="D1156" s="129"/>
      <c r="E1156" s="19" t="n">
        <f aca="false">F1156*0.03</f>
        <v>0</v>
      </c>
      <c r="F1156" s="33" t="n">
        <v>0</v>
      </c>
      <c r="G1156" s="131"/>
      <c r="H1156" s="35" t="n">
        <v>0</v>
      </c>
      <c r="I1156" s="34" t="n">
        <f aca="false">+IF(E1156=0,0,E1156*0.03)</f>
        <v>0</v>
      </c>
      <c r="J1156" s="93"/>
      <c r="K1156" s="93"/>
      <c r="L1156" s="93"/>
      <c r="M1156" s="93"/>
      <c r="N1156" s="93"/>
      <c r="O1156" s="93"/>
      <c r="P1156" s="93"/>
      <c r="Q1156" s="93"/>
      <c r="R1156" s="93"/>
      <c r="S1156" s="93"/>
      <c r="T1156" s="93"/>
      <c r="U1156" s="93"/>
      <c r="V1156" s="93"/>
      <c r="W1156" s="93"/>
      <c r="X1156" s="93"/>
      <c r="Y1156" s="93"/>
      <c r="Z1156" s="93"/>
    </row>
    <row r="1157" customFormat="false" ht="16.4" hidden="false" customHeight="false" outlineLevel="0" collapsed="false">
      <c r="A1157" s="123" t="n">
        <v>45444</v>
      </c>
      <c r="B1157" s="31" t="s">
        <v>153</v>
      </c>
      <c r="C1157" s="129"/>
      <c r="D1157" s="129"/>
      <c r="E1157" s="19" t="n">
        <f aca="false">F1157*0.03</f>
        <v>0</v>
      </c>
      <c r="F1157" s="33" t="n">
        <v>0</v>
      </c>
      <c r="G1157" s="131"/>
      <c r="H1157" s="35" t="n">
        <v>0</v>
      </c>
      <c r="I1157" s="34" t="n">
        <f aca="false">+IF(E1157=0,0,E1157*0.03)</f>
        <v>0</v>
      </c>
      <c r="J1157" s="93"/>
      <c r="K1157" s="93"/>
      <c r="L1157" s="93"/>
      <c r="M1157" s="93"/>
      <c r="N1157" s="93"/>
      <c r="O1157" s="93"/>
      <c r="P1157" s="93"/>
      <c r="Q1157" s="93"/>
      <c r="R1157" s="93"/>
      <c r="S1157" s="93"/>
      <c r="T1157" s="93"/>
      <c r="U1157" s="93"/>
      <c r="V1157" s="93"/>
      <c r="W1157" s="93"/>
      <c r="X1157" s="93"/>
      <c r="Y1157" s="93"/>
      <c r="Z1157" s="93"/>
    </row>
    <row r="1158" customFormat="false" ht="16.4" hidden="false" customHeight="false" outlineLevel="0" collapsed="false">
      <c r="A1158" s="123" t="n">
        <v>45444</v>
      </c>
      <c r="B1158" s="31" t="s">
        <v>153</v>
      </c>
      <c r="C1158" s="129"/>
      <c r="D1158" s="129"/>
      <c r="E1158" s="19" t="n">
        <f aca="false">F1158*0.03</f>
        <v>0</v>
      </c>
      <c r="F1158" s="33" t="n">
        <v>0</v>
      </c>
      <c r="G1158" s="131"/>
      <c r="H1158" s="35" t="n">
        <v>0</v>
      </c>
      <c r="I1158" s="34" t="n">
        <f aca="false">+IF(E1158=0,0,E1158*0.03)</f>
        <v>0</v>
      </c>
      <c r="J1158" s="93"/>
      <c r="K1158" s="93"/>
      <c r="L1158" s="93"/>
      <c r="M1158" s="93"/>
      <c r="N1158" s="93"/>
      <c r="O1158" s="93"/>
      <c r="P1158" s="93"/>
      <c r="Q1158" s="93"/>
      <c r="R1158" s="93"/>
      <c r="S1158" s="93"/>
      <c r="T1158" s="93"/>
      <c r="U1158" s="93"/>
      <c r="V1158" s="93"/>
      <c r="W1158" s="93"/>
      <c r="X1158" s="93"/>
      <c r="Y1158" s="93"/>
      <c r="Z1158" s="93"/>
    </row>
    <row r="1159" customFormat="false" ht="16.4" hidden="false" customHeight="false" outlineLevel="0" collapsed="false">
      <c r="A1159" s="123" t="n">
        <v>45444</v>
      </c>
      <c r="B1159" s="31" t="s">
        <v>153</v>
      </c>
      <c r="C1159" s="129"/>
      <c r="D1159" s="129"/>
      <c r="E1159" s="19" t="n">
        <f aca="false">F1159*0.03</f>
        <v>0</v>
      </c>
      <c r="F1159" s="33" t="n">
        <v>0</v>
      </c>
      <c r="G1159" s="131"/>
      <c r="H1159" s="35" t="n">
        <v>0</v>
      </c>
      <c r="I1159" s="34" t="n">
        <f aca="false">+IF(E1159=0,0,E1159*0.03)</f>
        <v>0</v>
      </c>
      <c r="J1159" s="93"/>
      <c r="K1159" s="93"/>
      <c r="L1159" s="93"/>
      <c r="M1159" s="93"/>
      <c r="N1159" s="93"/>
      <c r="O1159" s="93"/>
      <c r="P1159" s="93"/>
      <c r="Q1159" s="93"/>
      <c r="R1159" s="93"/>
      <c r="S1159" s="93"/>
      <c r="T1159" s="93"/>
      <c r="U1159" s="93"/>
      <c r="V1159" s="93"/>
      <c r="W1159" s="93"/>
      <c r="X1159" s="93"/>
      <c r="Y1159" s="93"/>
      <c r="Z1159" s="93"/>
    </row>
    <row r="1160" customFormat="false" ht="16.4" hidden="false" customHeight="false" outlineLevel="0" collapsed="false">
      <c r="A1160" s="123" t="n">
        <v>45444</v>
      </c>
      <c r="B1160" s="31" t="s">
        <v>153</v>
      </c>
      <c r="C1160" s="129"/>
      <c r="D1160" s="129"/>
      <c r="E1160" s="19" t="n">
        <f aca="false">F1160*0.03</f>
        <v>0</v>
      </c>
      <c r="F1160" s="33" t="n">
        <v>0</v>
      </c>
      <c r="G1160" s="131"/>
      <c r="H1160" s="35" t="n">
        <v>0</v>
      </c>
      <c r="I1160" s="34" t="n">
        <f aca="false">+IF(E1160=0,0,E1160*0.03)</f>
        <v>0</v>
      </c>
      <c r="J1160" s="93"/>
      <c r="K1160" s="93"/>
      <c r="L1160" s="93"/>
      <c r="M1160" s="93"/>
      <c r="N1160" s="93"/>
      <c r="O1160" s="93"/>
      <c r="P1160" s="93"/>
      <c r="Q1160" s="93"/>
      <c r="R1160" s="93"/>
      <c r="S1160" s="93"/>
      <c r="T1160" s="93"/>
      <c r="U1160" s="93"/>
      <c r="V1160" s="93"/>
      <c r="W1160" s="93"/>
      <c r="X1160" s="93"/>
      <c r="Y1160" s="93"/>
      <c r="Z1160" s="93"/>
    </row>
    <row r="1161" customFormat="false" ht="16.4" hidden="false" customHeight="false" outlineLevel="0" collapsed="false">
      <c r="A1161" s="123" t="n">
        <v>45444</v>
      </c>
      <c r="B1161" s="31" t="s">
        <v>153</v>
      </c>
      <c r="C1161" s="129"/>
      <c r="D1161" s="129"/>
      <c r="E1161" s="19" t="n">
        <f aca="false">F1161*0.03</f>
        <v>0</v>
      </c>
      <c r="F1161" s="33" t="n">
        <v>0</v>
      </c>
      <c r="G1161" s="131"/>
      <c r="H1161" s="35" t="n">
        <v>0</v>
      </c>
      <c r="I1161" s="34" t="n">
        <f aca="false">+IF(E1161=0,0,E1161*0.03)</f>
        <v>0</v>
      </c>
      <c r="J1161" s="93"/>
      <c r="K1161" s="93"/>
      <c r="L1161" s="93"/>
      <c r="M1161" s="93"/>
      <c r="N1161" s="93"/>
      <c r="O1161" s="93"/>
      <c r="P1161" s="93"/>
      <c r="Q1161" s="93"/>
      <c r="R1161" s="93"/>
      <c r="S1161" s="93"/>
      <c r="T1161" s="93"/>
      <c r="U1161" s="93"/>
      <c r="V1161" s="93"/>
      <c r="W1161" s="93"/>
      <c r="X1161" s="93"/>
      <c r="Y1161" s="93"/>
      <c r="Z1161" s="93"/>
    </row>
    <row r="1162" customFormat="false" ht="16.4" hidden="false" customHeight="false" outlineLevel="0" collapsed="false">
      <c r="A1162" s="123" t="n">
        <v>45444</v>
      </c>
      <c r="B1162" s="31" t="s">
        <v>153</v>
      </c>
      <c r="C1162" s="129"/>
      <c r="D1162" s="129"/>
      <c r="E1162" s="19" t="n">
        <f aca="false">F1162*0.03</f>
        <v>0</v>
      </c>
      <c r="F1162" s="33" t="n">
        <v>0</v>
      </c>
      <c r="G1162" s="131"/>
      <c r="H1162" s="35" t="n">
        <v>0</v>
      </c>
      <c r="I1162" s="34" t="n">
        <f aca="false">+IF(E1162=0,0,E1162*0.03)</f>
        <v>0</v>
      </c>
      <c r="J1162" s="93"/>
      <c r="K1162" s="93"/>
      <c r="L1162" s="93"/>
      <c r="M1162" s="93"/>
      <c r="N1162" s="93"/>
      <c r="O1162" s="93"/>
      <c r="P1162" s="93"/>
      <c r="Q1162" s="93"/>
      <c r="R1162" s="93"/>
      <c r="S1162" s="93"/>
      <c r="T1162" s="93"/>
      <c r="U1162" s="93"/>
      <c r="V1162" s="93"/>
      <c r="W1162" s="93"/>
      <c r="X1162" s="93"/>
      <c r="Y1162" s="93"/>
      <c r="Z1162" s="93"/>
    </row>
    <row r="1163" customFormat="false" ht="16.4" hidden="false" customHeight="false" outlineLevel="0" collapsed="false">
      <c r="A1163" s="123" t="n">
        <v>45444</v>
      </c>
      <c r="B1163" s="31" t="s">
        <v>153</v>
      </c>
      <c r="C1163" s="129"/>
      <c r="D1163" s="129"/>
      <c r="E1163" s="19" t="n">
        <f aca="false">F1163*0.03</f>
        <v>0</v>
      </c>
      <c r="F1163" s="33" t="n">
        <v>0</v>
      </c>
      <c r="G1163" s="131"/>
      <c r="H1163" s="35" t="n">
        <v>0</v>
      </c>
      <c r="I1163" s="34" t="n">
        <f aca="false">+IF(E1163=0,0,E1163*0.03)</f>
        <v>0</v>
      </c>
      <c r="J1163" s="93"/>
      <c r="K1163" s="93"/>
      <c r="L1163" s="93"/>
      <c r="M1163" s="93"/>
      <c r="N1163" s="93"/>
      <c r="O1163" s="93"/>
      <c r="P1163" s="93"/>
      <c r="Q1163" s="93"/>
      <c r="R1163" s="93"/>
      <c r="S1163" s="93"/>
      <c r="T1163" s="93"/>
      <c r="U1163" s="93"/>
      <c r="V1163" s="93"/>
      <c r="W1163" s="93"/>
      <c r="X1163" s="93"/>
      <c r="Y1163" s="93"/>
      <c r="Z1163" s="93"/>
    </row>
    <row r="1164" customFormat="false" ht="16.4" hidden="false" customHeight="false" outlineLevel="0" collapsed="false">
      <c r="A1164" s="123" t="n">
        <v>45444</v>
      </c>
      <c r="B1164" s="31" t="s">
        <v>153</v>
      </c>
      <c r="C1164" s="129"/>
      <c r="D1164" s="129"/>
      <c r="E1164" s="19" t="n">
        <f aca="false">F1164*0.03</f>
        <v>0</v>
      </c>
      <c r="F1164" s="33" t="n">
        <v>0</v>
      </c>
      <c r="G1164" s="131"/>
      <c r="H1164" s="35" t="n">
        <v>0</v>
      </c>
      <c r="I1164" s="34" t="n">
        <f aca="false">+IF(E1164=0,0,E1164*0.03)</f>
        <v>0</v>
      </c>
      <c r="J1164" s="93"/>
      <c r="K1164" s="93"/>
      <c r="L1164" s="93"/>
      <c r="M1164" s="93"/>
      <c r="N1164" s="93"/>
      <c r="O1164" s="93"/>
      <c r="P1164" s="93"/>
      <c r="Q1164" s="93"/>
      <c r="R1164" s="93"/>
      <c r="S1164" s="93"/>
      <c r="T1164" s="93"/>
      <c r="U1164" s="93"/>
      <c r="V1164" s="93"/>
      <c r="W1164" s="93"/>
      <c r="X1164" s="93"/>
      <c r="Y1164" s="93"/>
      <c r="Z1164" s="93"/>
    </row>
    <row r="1165" customFormat="false" ht="16.4" hidden="false" customHeight="false" outlineLevel="0" collapsed="false">
      <c r="A1165" s="123" t="n">
        <v>45444</v>
      </c>
      <c r="B1165" s="31" t="s">
        <v>153</v>
      </c>
      <c r="C1165" s="129"/>
      <c r="D1165" s="129"/>
      <c r="E1165" s="19" t="n">
        <f aca="false">F1165*0.03</f>
        <v>0</v>
      </c>
      <c r="F1165" s="33" t="n">
        <v>0</v>
      </c>
      <c r="G1165" s="131"/>
      <c r="H1165" s="35" t="n">
        <v>0</v>
      </c>
      <c r="I1165" s="34" t="n">
        <f aca="false">+IF(E1165=0,0,E1165*0.03)</f>
        <v>0</v>
      </c>
      <c r="J1165" s="93"/>
      <c r="K1165" s="93"/>
      <c r="L1165" s="93"/>
      <c r="M1165" s="93"/>
      <c r="N1165" s="93"/>
      <c r="O1165" s="93"/>
      <c r="P1165" s="93"/>
      <c r="Q1165" s="93"/>
      <c r="R1165" s="93"/>
      <c r="S1165" s="93"/>
      <c r="T1165" s="93"/>
      <c r="U1165" s="93"/>
      <c r="V1165" s="93"/>
      <c r="W1165" s="93"/>
      <c r="X1165" s="93"/>
      <c r="Y1165" s="93"/>
      <c r="Z1165" s="93"/>
    </row>
    <row r="1166" customFormat="false" ht="16.4" hidden="false" customHeight="false" outlineLevel="0" collapsed="false">
      <c r="A1166" s="123" t="n">
        <v>45444</v>
      </c>
      <c r="B1166" s="31" t="s">
        <v>153</v>
      </c>
      <c r="C1166" s="129"/>
      <c r="D1166" s="129"/>
      <c r="E1166" s="19" t="n">
        <f aca="false">F1166*0.03</f>
        <v>0</v>
      </c>
      <c r="F1166" s="33" t="n">
        <v>0</v>
      </c>
      <c r="G1166" s="131"/>
      <c r="H1166" s="35" t="n">
        <v>0</v>
      </c>
      <c r="I1166" s="34" t="n">
        <f aca="false">+IF(E1166=0,0,E1166*0.03)</f>
        <v>0</v>
      </c>
      <c r="J1166" s="93"/>
      <c r="K1166" s="93"/>
      <c r="L1166" s="93"/>
      <c r="M1166" s="93"/>
      <c r="N1166" s="93"/>
      <c r="O1166" s="93"/>
      <c r="P1166" s="93"/>
      <c r="Q1166" s="93"/>
      <c r="R1166" s="93"/>
      <c r="S1166" s="93"/>
      <c r="T1166" s="93"/>
      <c r="U1166" s="93"/>
      <c r="V1166" s="93"/>
      <c r="W1166" s="93"/>
      <c r="X1166" s="93"/>
      <c r="Y1166" s="93"/>
      <c r="Z1166" s="93"/>
    </row>
    <row r="1167" customFormat="false" ht="16.4" hidden="false" customHeight="false" outlineLevel="0" collapsed="false">
      <c r="A1167" s="123" t="n">
        <v>45444</v>
      </c>
      <c r="B1167" s="31" t="s">
        <v>153</v>
      </c>
      <c r="C1167" s="129"/>
      <c r="D1167" s="129"/>
      <c r="E1167" s="19" t="n">
        <f aca="false">F1167*0.03</f>
        <v>0</v>
      </c>
      <c r="F1167" s="33" t="n">
        <v>0</v>
      </c>
      <c r="G1167" s="131"/>
      <c r="H1167" s="35" t="n">
        <v>0</v>
      </c>
      <c r="I1167" s="34" t="n">
        <f aca="false">+IF(E1167=0,0,E1167*0.03)</f>
        <v>0</v>
      </c>
      <c r="J1167" s="93"/>
      <c r="K1167" s="93"/>
      <c r="L1167" s="93"/>
      <c r="M1167" s="93"/>
      <c r="N1167" s="93"/>
      <c r="O1167" s="93"/>
      <c r="P1167" s="93"/>
      <c r="Q1167" s="93"/>
      <c r="R1167" s="93"/>
      <c r="S1167" s="93"/>
      <c r="T1167" s="93"/>
      <c r="U1167" s="93"/>
      <c r="V1167" s="93"/>
      <c r="W1167" s="93"/>
      <c r="X1167" s="93"/>
      <c r="Y1167" s="93"/>
      <c r="Z1167" s="93"/>
    </row>
    <row r="1168" customFormat="false" ht="16.4" hidden="false" customHeight="false" outlineLevel="0" collapsed="false">
      <c r="A1168" s="123" t="n">
        <v>45444</v>
      </c>
      <c r="B1168" s="31" t="s">
        <v>153</v>
      </c>
      <c r="C1168" s="129"/>
      <c r="D1168" s="129"/>
      <c r="E1168" s="19" t="n">
        <f aca="false">F1168*0.03</f>
        <v>0</v>
      </c>
      <c r="F1168" s="33" t="n">
        <v>0</v>
      </c>
      <c r="G1168" s="131"/>
      <c r="H1168" s="35" t="n">
        <v>0</v>
      </c>
      <c r="I1168" s="34" t="n">
        <f aca="false">+IF(E1168=0,0,E1168*0.03)</f>
        <v>0</v>
      </c>
      <c r="J1168" s="93"/>
      <c r="K1168" s="93"/>
      <c r="L1168" s="93"/>
      <c r="M1168" s="93"/>
      <c r="N1168" s="93"/>
      <c r="O1168" s="93"/>
      <c r="P1168" s="93"/>
      <c r="Q1168" s="93"/>
      <c r="R1168" s="93"/>
      <c r="S1168" s="93"/>
      <c r="T1168" s="93"/>
      <c r="U1168" s="93"/>
      <c r="V1168" s="93"/>
      <c r="W1168" s="93"/>
      <c r="X1168" s="93"/>
      <c r="Y1168" s="93"/>
      <c r="Z1168" s="93"/>
    </row>
    <row r="1169" customFormat="false" ht="16.4" hidden="false" customHeight="false" outlineLevel="0" collapsed="false">
      <c r="A1169" s="123" t="n">
        <v>45444</v>
      </c>
      <c r="B1169" s="31" t="s">
        <v>153</v>
      </c>
      <c r="C1169" s="129"/>
      <c r="D1169" s="129"/>
      <c r="E1169" s="19" t="n">
        <f aca="false">F1169*0.03</f>
        <v>0</v>
      </c>
      <c r="F1169" s="33" t="n">
        <v>0</v>
      </c>
      <c r="G1169" s="131"/>
      <c r="H1169" s="35" t="n">
        <v>0</v>
      </c>
      <c r="I1169" s="34" t="n">
        <f aca="false">+IF(E1169=0,0,E1169*0.03)</f>
        <v>0</v>
      </c>
      <c r="J1169" s="93"/>
      <c r="K1169" s="93"/>
      <c r="L1169" s="93"/>
      <c r="M1169" s="93"/>
      <c r="N1169" s="93"/>
      <c r="O1169" s="93"/>
      <c r="P1169" s="93"/>
      <c r="Q1169" s="93"/>
      <c r="R1169" s="93"/>
      <c r="S1169" s="93"/>
      <c r="T1169" s="93"/>
      <c r="U1169" s="93"/>
      <c r="V1169" s="93"/>
      <c r="W1169" s="93"/>
      <c r="X1169" s="93"/>
      <c r="Y1169" s="93"/>
      <c r="Z1169" s="93"/>
    </row>
    <row r="1170" customFormat="false" ht="16.4" hidden="false" customHeight="false" outlineLevel="0" collapsed="false">
      <c r="A1170" s="123" t="n">
        <v>45444</v>
      </c>
      <c r="B1170" s="31" t="s">
        <v>153</v>
      </c>
      <c r="C1170" s="129"/>
      <c r="D1170" s="129"/>
      <c r="E1170" s="19" t="n">
        <f aca="false">F1170*0.03</f>
        <v>0</v>
      </c>
      <c r="F1170" s="33" t="n">
        <v>0</v>
      </c>
      <c r="G1170" s="131"/>
      <c r="H1170" s="35" t="n">
        <v>0</v>
      </c>
      <c r="I1170" s="34" t="n">
        <f aca="false">+IF(E1170=0,0,E1170*0.03)</f>
        <v>0</v>
      </c>
      <c r="J1170" s="93"/>
      <c r="K1170" s="93"/>
      <c r="L1170" s="93"/>
      <c r="M1170" s="93"/>
      <c r="N1170" s="93"/>
      <c r="O1170" s="93"/>
      <c r="P1170" s="93"/>
      <c r="Q1170" s="93"/>
      <c r="R1170" s="93"/>
      <c r="S1170" s="93"/>
      <c r="T1170" s="93"/>
      <c r="U1170" s="93"/>
      <c r="V1170" s="93"/>
      <c r="W1170" s="93"/>
      <c r="X1170" s="93"/>
      <c r="Y1170" s="93"/>
      <c r="Z1170" s="93"/>
    </row>
    <row r="1171" customFormat="false" ht="16.4" hidden="false" customHeight="false" outlineLevel="0" collapsed="false">
      <c r="A1171" s="123" t="n">
        <v>45444</v>
      </c>
      <c r="B1171" s="31" t="s">
        <v>153</v>
      </c>
      <c r="C1171" s="129"/>
      <c r="D1171" s="129"/>
      <c r="E1171" s="19" t="n">
        <f aca="false">F1171*0.03</f>
        <v>0</v>
      </c>
      <c r="F1171" s="33" t="n">
        <v>0</v>
      </c>
      <c r="G1171" s="131"/>
      <c r="H1171" s="35" t="n">
        <v>0</v>
      </c>
      <c r="I1171" s="34" t="n">
        <f aca="false">+IF(E1171=0,0,E1171*0.03)</f>
        <v>0</v>
      </c>
      <c r="J1171" s="93"/>
      <c r="K1171" s="93"/>
      <c r="L1171" s="93"/>
      <c r="M1171" s="93"/>
      <c r="N1171" s="93"/>
      <c r="O1171" s="93"/>
      <c r="P1171" s="93"/>
      <c r="Q1171" s="93"/>
      <c r="R1171" s="93"/>
      <c r="S1171" s="93"/>
      <c r="T1171" s="93"/>
      <c r="U1171" s="93"/>
      <c r="V1171" s="93"/>
      <c r="W1171" s="93"/>
      <c r="X1171" s="93"/>
      <c r="Y1171" s="93"/>
      <c r="Z1171" s="93"/>
    </row>
    <row r="1172" customFormat="false" ht="16.4" hidden="false" customHeight="false" outlineLevel="0" collapsed="false">
      <c r="A1172" s="123" t="n">
        <v>45444</v>
      </c>
      <c r="B1172" s="31" t="s">
        <v>153</v>
      </c>
      <c r="C1172" s="129"/>
      <c r="D1172" s="129"/>
      <c r="E1172" s="19" t="n">
        <f aca="false">F1172*0.03</f>
        <v>0</v>
      </c>
      <c r="F1172" s="33" t="n">
        <v>0</v>
      </c>
      <c r="G1172" s="131"/>
      <c r="H1172" s="35" t="n">
        <v>0</v>
      </c>
      <c r="I1172" s="34" t="n">
        <f aca="false">+IF(E1172=0,0,E1172*0.03)</f>
        <v>0</v>
      </c>
      <c r="J1172" s="93"/>
      <c r="K1172" s="93"/>
      <c r="L1172" s="93"/>
      <c r="M1172" s="93"/>
      <c r="N1172" s="93"/>
      <c r="O1172" s="93"/>
      <c r="P1172" s="93"/>
      <c r="Q1172" s="93"/>
      <c r="R1172" s="93"/>
      <c r="S1172" s="93"/>
      <c r="T1172" s="93"/>
      <c r="U1172" s="93"/>
      <c r="V1172" s="93"/>
      <c r="W1172" s="93"/>
      <c r="X1172" s="93"/>
      <c r="Y1172" s="93"/>
      <c r="Z1172" s="93"/>
    </row>
    <row r="1173" customFormat="false" ht="16.4" hidden="false" customHeight="false" outlineLevel="0" collapsed="false">
      <c r="A1173" s="123" t="n">
        <v>45444</v>
      </c>
      <c r="B1173" s="31" t="s">
        <v>153</v>
      </c>
      <c r="C1173" s="129"/>
      <c r="D1173" s="129"/>
      <c r="E1173" s="19" t="n">
        <f aca="false">F1173*0.03</f>
        <v>0</v>
      </c>
      <c r="F1173" s="33" t="n">
        <v>0</v>
      </c>
      <c r="G1173" s="131"/>
      <c r="H1173" s="35" t="n">
        <v>0</v>
      </c>
      <c r="I1173" s="34" t="n">
        <f aca="false">+IF(E1173=0,0,E1173*0.03)</f>
        <v>0</v>
      </c>
      <c r="J1173" s="93"/>
      <c r="K1173" s="93"/>
      <c r="L1173" s="93"/>
      <c r="M1173" s="93"/>
      <c r="N1173" s="93"/>
      <c r="O1173" s="93"/>
      <c r="P1173" s="93"/>
      <c r="Q1173" s="93"/>
      <c r="R1173" s="93"/>
      <c r="S1173" s="93"/>
      <c r="T1173" s="93"/>
      <c r="U1173" s="93"/>
      <c r="V1173" s="93"/>
      <c r="W1173" s="93"/>
      <c r="X1173" s="93"/>
      <c r="Y1173" s="93"/>
      <c r="Z1173" s="93"/>
    </row>
    <row r="1174" customFormat="false" ht="16.4" hidden="false" customHeight="false" outlineLevel="0" collapsed="false">
      <c r="A1174" s="123" t="n">
        <v>45444</v>
      </c>
      <c r="B1174" s="31" t="s">
        <v>153</v>
      </c>
      <c r="C1174" s="129"/>
      <c r="D1174" s="129"/>
      <c r="E1174" s="19" t="n">
        <f aca="false">F1174*0.03</f>
        <v>0</v>
      </c>
      <c r="F1174" s="33" t="n">
        <v>0</v>
      </c>
      <c r="G1174" s="131"/>
      <c r="H1174" s="35" t="n">
        <v>0</v>
      </c>
      <c r="I1174" s="34" t="n">
        <f aca="false">+IF(E1174=0,0,E1174*0.03)</f>
        <v>0</v>
      </c>
      <c r="J1174" s="93"/>
      <c r="K1174" s="93"/>
      <c r="L1174" s="93"/>
      <c r="M1174" s="93"/>
      <c r="N1174" s="93"/>
      <c r="O1174" s="93"/>
      <c r="P1174" s="93"/>
      <c r="Q1174" s="93"/>
      <c r="R1174" s="93"/>
      <c r="S1174" s="93"/>
      <c r="T1174" s="93"/>
      <c r="U1174" s="93"/>
      <c r="V1174" s="93"/>
      <c r="W1174" s="93"/>
      <c r="X1174" s="93"/>
      <c r="Y1174" s="93"/>
      <c r="Z1174" s="93"/>
    </row>
    <row r="1175" customFormat="false" ht="16.4" hidden="false" customHeight="false" outlineLevel="0" collapsed="false">
      <c r="A1175" s="123" t="n">
        <v>45444</v>
      </c>
      <c r="B1175" s="31" t="s">
        <v>153</v>
      </c>
      <c r="C1175" s="129"/>
      <c r="D1175" s="129"/>
      <c r="E1175" s="19" t="n">
        <f aca="false">F1175*0.03</f>
        <v>0</v>
      </c>
      <c r="F1175" s="33" t="n">
        <v>0</v>
      </c>
      <c r="G1175" s="131"/>
      <c r="H1175" s="35" t="n">
        <v>0</v>
      </c>
      <c r="I1175" s="34" t="n">
        <f aca="false">+IF(E1175=0,0,E1175*0.03)</f>
        <v>0</v>
      </c>
      <c r="J1175" s="93"/>
      <c r="K1175" s="93"/>
      <c r="L1175" s="93"/>
      <c r="M1175" s="93"/>
      <c r="N1175" s="93"/>
      <c r="O1175" s="93"/>
      <c r="P1175" s="93"/>
      <c r="Q1175" s="93"/>
      <c r="R1175" s="93"/>
      <c r="S1175" s="93"/>
      <c r="T1175" s="93"/>
      <c r="U1175" s="93"/>
      <c r="V1175" s="93"/>
      <c r="W1175" s="93"/>
      <c r="X1175" s="93"/>
      <c r="Y1175" s="93"/>
      <c r="Z1175" s="93"/>
    </row>
    <row r="1176" customFormat="false" ht="16.4" hidden="false" customHeight="false" outlineLevel="0" collapsed="false">
      <c r="A1176" s="123" t="n">
        <v>45444</v>
      </c>
      <c r="B1176" s="31" t="s">
        <v>153</v>
      </c>
      <c r="C1176" s="129"/>
      <c r="D1176" s="129"/>
      <c r="E1176" s="19" t="n">
        <f aca="false">F1176*0.03</f>
        <v>0</v>
      </c>
      <c r="F1176" s="33" t="n">
        <v>0</v>
      </c>
      <c r="G1176" s="131"/>
      <c r="H1176" s="35" t="n">
        <v>0</v>
      </c>
      <c r="I1176" s="34" t="n">
        <f aca="false">+IF(E1176=0,0,E1176*0.03)</f>
        <v>0</v>
      </c>
      <c r="J1176" s="93"/>
      <c r="K1176" s="93"/>
      <c r="L1176" s="93"/>
      <c r="M1176" s="93"/>
      <c r="N1176" s="93"/>
      <c r="O1176" s="93"/>
      <c r="P1176" s="93"/>
      <c r="Q1176" s="93"/>
      <c r="R1176" s="93"/>
      <c r="S1176" s="93"/>
      <c r="T1176" s="93"/>
      <c r="U1176" s="93"/>
      <c r="V1176" s="93"/>
      <c r="W1176" s="93"/>
      <c r="X1176" s="93"/>
      <c r="Y1176" s="93"/>
      <c r="Z1176" s="93"/>
    </row>
    <row r="1177" customFormat="false" ht="16.4" hidden="false" customHeight="false" outlineLevel="0" collapsed="false">
      <c r="A1177" s="123" t="n">
        <v>45444</v>
      </c>
      <c r="B1177" s="31" t="s">
        <v>153</v>
      </c>
      <c r="C1177" s="129"/>
      <c r="D1177" s="129"/>
      <c r="E1177" s="19" t="n">
        <f aca="false">F1177*0.03</f>
        <v>0</v>
      </c>
      <c r="F1177" s="33" t="n">
        <v>0</v>
      </c>
      <c r="G1177" s="131"/>
      <c r="H1177" s="35" t="n">
        <v>0</v>
      </c>
      <c r="I1177" s="34" t="n">
        <f aca="false">+IF(E1177=0,0,E1177*0.03)</f>
        <v>0</v>
      </c>
      <c r="J1177" s="93"/>
      <c r="K1177" s="93"/>
      <c r="L1177" s="93"/>
      <c r="M1177" s="93"/>
      <c r="N1177" s="93"/>
      <c r="O1177" s="93"/>
      <c r="P1177" s="93"/>
      <c r="Q1177" s="93"/>
      <c r="R1177" s="93"/>
      <c r="S1177" s="93"/>
      <c r="T1177" s="93"/>
      <c r="U1177" s="93"/>
      <c r="V1177" s="93"/>
      <c r="W1177" s="93"/>
      <c r="X1177" s="93"/>
      <c r="Y1177" s="93"/>
      <c r="Z1177" s="93"/>
    </row>
    <row r="1178" customFormat="false" ht="16.4" hidden="false" customHeight="false" outlineLevel="0" collapsed="false">
      <c r="A1178" s="123" t="n">
        <v>45444</v>
      </c>
      <c r="B1178" s="31" t="s">
        <v>153</v>
      </c>
      <c r="C1178" s="129"/>
      <c r="D1178" s="129"/>
      <c r="E1178" s="19" t="n">
        <f aca="false">F1178*0.03</f>
        <v>0</v>
      </c>
      <c r="F1178" s="33" t="n">
        <v>0</v>
      </c>
      <c r="G1178" s="131"/>
      <c r="H1178" s="35" t="n">
        <v>0</v>
      </c>
      <c r="I1178" s="34" t="n">
        <f aca="false">+IF(E1178=0,0,E1178*0.03)</f>
        <v>0</v>
      </c>
      <c r="J1178" s="93"/>
      <c r="K1178" s="93"/>
      <c r="L1178" s="93"/>
      <c r="M1178" s="93"/>
      <c r="N1178" s="93"/>
      <c r="O1178" s="93"/>
      <c r="P1178" s="93"/>
      <c r="Q1178" s="93"/>
      <c r="R1178" s="93"/>
      <c r="S1178" s="93"/>
      <c r="T1178" s="93"/>
      <c r="U1178" s="93"/>
      <c r="V1178" s="93"/>
      <c r="W1178" s="93"/>
      <c r="X1178" s="93"/>
      <c r="Y1178" s="93"/>
      <c r="Z1178" s="93"/>
    </row>
    <row r="1179" customFormat="false" ht="16.4" hidden="false" customHeight="false" outlineLevel="0" collapsed="false">
      <c r="A1179" s="123" t="n">
        <v>45444</v>
      </c>
      <c r="B1179" s="31" t="s">
        <v>153</v>
      </c>
      <c r="C1179" s="129"/>
      <c r="D1179" s="129"/>
      <c r="E1179" s="19" t="n">
        <f aca="false">F1179*0.03</f>
        <v>0</v>
      </c>
      <c r="F1179" s="33" t="n">
        <v>0</v>
      </c>
      <c r="G1179" s="131"/>
      <c r="H1179" s="35" t="n">
        <v>0</v>
      </c>
      <c r="I1179" s="34" t="n">
        <f aca="false">+IF(E1179=0,0,E1179*0.03)</f>
        <v>0</v>
      </c>
      <c r="J1179" s="93"/>
      <c r="K1179" s="93"/>
      <c r="L1179" s="93"/>
      <c r="M1179" s="93"/>
      <c r="N1179" s="93"/>
      <c r="O1179" s="93"/>
      <c r="P1179" s="93"/>
      <c r="Q1179" s="93"/>
      <c r="R1179" s="93"/>
      <c r="S1179" s="93"/>
      <c r="T1179" s="93"/>
      <c r="U1179" s="93"/>
      <c r="V1179" s="93"/>
      <c r="W1179" s="93"/>
      <c r="X1179" s="93"/>
      <c r="Y1179" s="93"/>
      <c r="Z1179" s="93"/>
    </row>
    <row r="1180" customFormat="false" ht="16.4" hidden="false" customHeight="false" outlineLevel="0" collapsed="false">
      <c r="A1180" s="123" t="n">
        <v>45444</v>
      </c>
      <c r="B1180" s="31" t="s">
        <v>153</v>
      </c>
      <c r="C1180" s="129"/>
      <c r="D1180" s="129"/>
      <c r="E1180" s="19" t="n">
        <f aca="false">F1180*0.03</f>
        <v>0</v>
      </c>
      <c r="F1180" s="33" t="n">
        <v>0</v>
      </c>
      <c r="G1180" s="131"/>
      <c r="H1180" s="35" t="n">
        <v>0</v>
      </c>
      <c r="I1180" s="34" t="n">
        <f aca="false">+IF(E1180=0,0,E1180*0.03)</f>
        <v>0</v>
      </c>
      <c r="J1180" s="93"/>
      <c r="K1180" s="93"/>
      <c r="L1180" s="93"/>
      <c r="M1180" s="93"/>
      <c r="N1180" s="93"/>
      <c r="O1180" s="93"/>
      <c r="P1180" s="93"/>
      <c r="Q1180" s="93"/>
      <c r="R1180" s="93"/>
      <c r="S1180" s="93"/>
      <c r="T1180" s="93"/>
      <c r="U1180" s="93"/>
      <c r="V1180" s="93"/>
      <c r="W1180" s="93"/>
      <c r="X1180" s="93"/>
      <c r="Y1180" s="93"/>
      <c r="Z1180" s="93"/>
    </row>
    <row r="1181" customFormat="false" ht="16.4" hidden="false" customHeight="false" outlineLevel="0" collapsed="false">
      <c r="A1181" s="123" t="n">
        <v>45444</v>
      </c>
      <c r="B1181" s="31" t="s">
        <v>153</v>
      </c>
      <c r="C1181" s="129"/>
      <c r="D1181" s="129"/>
      <c r="E1181" s="19" t="n">
        <f aca="false">F1181*0.03</f>
        <v>0</v>
      </c>
      <c r="F1181" s="33" t="n">
        <v>0</v>
      </c>
      <c r="G1181" s="131"/>
      <c r="H1181" s="35" t="n">
        <v>0</v>
      </c>
      <c r="I1181" s="34" t="n">
        <f aca="false">+IF(E1181=0,0,E1181*0.03)</f>
        <v>0</v>
      </c>
      <c r="J1181" s="93"/>
      <c r="K1181" s="93"/>
      <c r="L1181" s="93"/>
      <c r="M1181" s="93"/>
      <c r="N1181" s="93"/>
      <c r="O1181" s="93"/>
      <c r="P1181" s="93"/>
      <c r="Q1181" s="93"/>
      <c r="R1181" s="93"/>
      <c r="S1181" s="93"/>
      <c r="T1181" s="93"/>
      <c r="U1181" s="93"/>
      <c r="V1181" s="93"/>
      <c r="W1181" s="93"/>
      <c r="X1181" s="93"/>
      <c r="Y1181" s="93"/>
      <c r="Z1181" s="93"/>
    </row>
    <row r="1182" customFormat="false" ht="16.4" hidden="false" customHeight="false" outlineLevel="0" collapsed="false">
      <c r="A1182" s="123" t="n">
        <v>45444</v>
      </c>
      <c r="B1182" s="31" t="s">
        <v>153</v>
      </c>
      <c r="C1182" s="129"/>
      <c r="D1182" s="129"/>
      <c r="E1182" s="19" t="n">
        <f aca="false">F1182*0.03</f>
        <v>0</v>
      </c>
      <c r="F1182" s="33" t="n">
        <v>0</v>
      </c>
      <c r="G1182" s="131"/>
      <c r="H1182" s="35" t="n">
        <v>0</v>
      </c>
      <c r="I1182" s="34" t="n">
        <f aca="false">+IF(E1182=0,0,E1182*0.03)</f>
        <v>0</v>
      </c>
      <c r="J1182" s="93"/>
      <c r="K1182" s="93"/>
      <c r="L1182" s="93"/>
      <c r="M1182" s="93"/>
      <c r="N1182" s="93"/>
      <c r="O1182" s="93"/>
      <c r="P1182" s="93"/>
      <c r="Q1182" s="93"/>
      <c r="R1182" s="93"/>
      <c r="S1182" s="93"/>
      <c r="T1182" s="93"/>
      <c r="U1182" s="93"/>
      <c r="V1182" s="93"/>
      <c r="W1182" s="93"/>
      <c r="X1182" s="93"/>
      <c r="Y1182" s="93"/>
      <c r="Z1182" s="93"/>
    </row>
    <row r="1183" customFormat="false" ht="16.4" hidden="false" customHeight="false" outlineLevel="0" collapsed="false">
      <c r="A1183" s="123" t="n">
        <v>45444</v>
      </c>
      <c r="B1183" s="31" t="s">
        <v>153</v>
      </c>
      <c r="C1183" s="129"/>
      <c r="D1183" s="129"/>
      <c r="E1183" s="19" t="n">
        <f aca="false">F1183*0.03</f>
        <v>0</v>
      </c>
      <c r="F1183" s="33" t="n">
        <v>0</v>
      </c>
      <c r="G1183" s="131"/>
      <c r="H1183" s="35" t="n">
        <v>0</v>
      </c>
      <c r="I1183" s="34" t="n">
        <f aca="false">+IF(E1183=0,0,E1183*0.03)</f>
        <v>0</v>
      </c>
      <c r="J1183" s="93"/>
      <c r="K1183" s="93"/>
      <c r="L1183" s="93"/>
      <c r="M1183" s="93"/>
      <c r="N1183" s="93"/>
      <c r="O1183" s="93"/>
      <c r="P1183" s="93"/>
      <c r="Q1183" s="93"/>
      <c r="R1183" s="93"/>
      <c r="S1183" s="93"/>
      <c r="T1183" s="93"/>
      <c r="U1183" s="93"/>
      <c r="V1183" s="93"/>
      <c r="W1183" s="93"/>
      <c r="X1183" s="93"/>
      <c r="Y1183" s="93"/>
      <c r="Z1183" s="93"/>
    </row>
    <row r="1184" customFormat="false" ht="16.4" hidden="false" customHeight="false" outlineLevel="0" collapsed="false">
      <c r="A1184" s="123" t="n">
        <v>45444</v>
      </c>
      <c r="B1184" s="31" t="s">
        <v>153</v>
      </c>
      <c r="C1184" s="129"/>
      <c r="D1184" s="129"/>
      <c r="E1184" s="19" t="n">
        <f aca="false">F1184*0.03</f>
        <v>0</v>
      </c>
      <c r="F1184" s="33" t="n">
        <v>0</v>
      </c>
      <c r="G1184" s="131"/>
      <c r="H1184" s="35" t="n">
        <v>0</v>
      </c>
      <c r="I1184" s="34" t="n">
        <f aca="false">+IF(E1184=0,0,E1184*0.03)</f>
        <v>0</v>
      </c>
      <c r="J1184" s="93"/>
      <c r="K1184" s="93"/>
      <c r="L1184" s="93"/>
      <c r="M1184" s="93"/>
      <c r="N1184" s="93"/>
      <c r="O1184" s="93"/>
      <c r="P1184" s="93"/>
      <c r="Q1184" s="93"/>
      <c r="R1184" s="93"/>
      <c r="S1184" s="93"/>
      <c r="T1184" s="93"/>
      <c r="U1184" s="93"/>
      <c r="V1184" s="93"/>
      <c r="W1184" s="93"/>
      <c r="X1184" s="93"/>
      <c r="Y1184" s="93"/>
      <c r="Z1184" s="93"/>
    </row>
    <row r="1185" customFormat="false" ht="16.4" hidden="false" customHeight="false" outlineLevel="0" collapsed="false">
      <c r="A1185" s="123" t="n">
        <v>45444</v>
      </c>
      <c r="B1185" s="31" t="s">
        <v>153</v>
      </c>
      <c r="C1185" s="129"/>
      <c r="D1185" s="129"/>
      <c r="E1185" s="19" t="n">
        <f aca="false">F1185*0.03</f>
        <v>0</v>
      </c>
      <c r="F1185" s="33" t="n">
        <v>0</v>
      </c>
      <c r="G1185" s="131"/>
      <c r="H1185" s="35" t="n">
        <v>0</v>
      </c>
      <c r="I1185" s="34" t="n">
        <f aca="false">+IF(E1185=0,0,E1185*0.03)</f>
        <v>0</v>
      </c>
      <c r="J1185" s="93"/>
      <c r="K1185" s="93"/>
      <c r="L1185" s="93"/>
      <c r="M1185" s="93"/>
      <c r="N1185" s="93"/>
      <c r="O1185" s="93"/>
      <c r="P1185" s="93"/>
      <c r="Q1185" s="93"/>
      <c r="R1185" s="93"/>
      <c r="S1185" s="93"/>
      <c r="T1185" s="93"/>
      <c r="U1185" s="93"/>
      <c r="V1185" s="93"/>
      <c r="W1185" s="93"/>
      <c r="X1185" s="93"/>
      <c r="Y1185" s="93"/>
      <c r="Z1185" s="93"/>
    </row>
    <row r="1186" customFormat="false" ht="16.4" hidden="false" customHeight="false" outlineLevel="0" collapsed="false">
      <c r="A1186" s="123" t="n">
        <v>45444</v>
      </c>
      <c r="B1186" s="31" t="s">
        <v>153</v>
      </c>
      <c r="C1186" s="129"/>
      <c r="D1186" s="129"/>
      <c r="E1186" s="19" t="n">
        <f aca="false">F1186*0.03</f>
        <v>0</v>
      </c>
      <c r="F1186" s="33" t="n">
        <v>0</v>
      </c>
      <c r="G1186" s="131"/>
      <c r="H1186" s="35" t="n">
        <v>0</v>
      </c>
      <c r="I1186" s="34" t="n">
        <f aca="false">+IF(E1186=0,0,E1186*0.03)</f>
        <v>0</v>
      </c>
      <c r="J1186" s="93"/>
      <c r="K1186" s="93"/>
      <c r="L1186" s="93"/>
      <c r="M1186" s="93"/>
      <c r="N1186" s="93"/>
      <c r="O1186" s="93"/>
      <c r="P1186" s="93"/>
      <c r="Q1186" s="93"/>
      <c r="R1186" s="93"/>
      <c r="S1186" s="93"/>
      <c r="T1186" s="93"/>
      <c r="U1186" s="93"/>
      <c r="V1186" s="93"/>
      <c r="W1186" s="93"/>
      <c r="X1186" s="93"/>
      <c r="Y1186" s="93"/>
      <c r="Z1186" s="93"/>
    </row>
    <row r="1187" customFormat="false" ht="16.4" hidden="false" customHeight="false" outlineLevel="0" collapsed="false">
      <c r="A1187" s="123" t="n">
        <v>45444</v>
      </c>
      <c r="B1187" s="31" t="s">
        <v>153</v>
      </c>
      <c r="C1187" s="129"/>
      <c r="D1187" s="129"/>
      <c r="E1187" s="19" t="n">
        <f aca="false">F1187*0.03</f>
        <v>0</v>
      </c>
      <c r="F1187" s="33" t="n">
        <v>0</v>
      </c>
      <c r="G1187" s="131"/>
      <c r="H1187" s="35" t="n">
        <v>0</v>
      </c>
      <c r="I1187" s="34" t="n">
        <f aca="false">+IF(E1187=0,0,E1187*0.03)</f>
        <v>0</v>
      </c>
      <c r="J1187" s="93"/>
      <c r="K1187" s="93"/>
      <c r="L1187" s="93"/>
      <c r="M1187" s="93"/>
      <c r="N1187" s="93"/>
      <c r="O1187" s="93"/>
      <c r="P1187" s="93"/>
      <c r="Q1187" s="93"/>
      <c r="R1187" s="93"/>
      <c r="S1187" s="93"/>
      <c r="T1187" s="93"/>
      <c r="U1187" s="93"/>
      <c r="V1187" s="93"/>
      <c r="W1187" s="93"/>
      <c r="X1187" s="93"/>
      <c r="Y1187" s="93"/>
      <c r="Z1187" s="93"/>
    </row>
    <row r="1188" customFormat="false" ht="16.4" hidden="false" customHeight="false" outlineLevel="0" collapsed="false">
      <c r="A1188" s="123" t="n">
        <v>45444</v>
      </c>
      <c r="B1188" s="31" t="s">
        <v>153</v>
      </c>
      <c r="C1188" s="129"/>
      <c r="D1188" s="129"/>
      <c r="E1188" s="19" t="n">
        <f aca="false">F1188*0.03</f>
        <v>0</v>
      </c>
      <c r="F1188" s="33" t="n">
        <v>0</v>
      </c>
      <c r="G1188" s="131"/>
      <c r="H1188" s="35" t="n">
        <v>0</v>
      </c>
      <c r="I1188" s="34" t="n">
        <f aca="false">+IF(E1188=0,0,E1188*0.03)</f>
        <v>0</v>
      </c>
      <c r="J1188" s="93"/>
      <c r="K1188" s="93"/>
      <c r="L1188" s="93"/>
      <c r="M1188" s="93"/>
      <c r="N1188" s="93"/>
      <c r="O1188" s="93"/>
      <c r="P1188" s="93"/>
      <c r="Q1188" s="93"/>
      <c r="R1188" s="93"/>
      <c r="S1188" s="93"/>
      <c r="T1188" s="93"/>
      <c r="U1188" s="93"/>
      <c r="V1188" s="93"/>
      <c r="W1188" s="93"/>
      <c r="X1188" s="93"/>
      <c r="Y1188" s="93"/>
      <c r="Z1188" s="93"/>
    </row>
    <row r="1189" customFormat="false" ht="16.4" hidden="false" customHeight="false" outlineLevel="0" collapsed="false">
      <c r="A1189" s="123" t="n">
        <v>45444</v>
      </c>
      <c r="B1189" s="31" t="s">
        <v>153</v>
      </c>
      <c r="C1189" s="129"/>
      <c r="D1189" s="129"/>
      <c r="E1189" s="19" t="n">
        <f aca="false">F1189*0.03</f>
        <v>0</v>
      </c>
      <c r="F1189" s="33" t="n">
        <v>0</v>
      </c>
      <c r="G1189" s="131"/>
      <c r="H1189" s="35" t="n">
        <v>0</v>
      </c>
      <c r="I1189" s="34" t="n">
        <f aca="false">+IF(E1189=0,0,E1189*0.03)</f>
        <v>0</v>
      </c>
      <c r="J1189" s="93"/>
      <c r="K1189" s="93"/>
      <c r="L1189" s="93"/>
      <c r="M1189" s="93"/>
      <c r="N1189" s="93"/>
      <c r="O1189" s="93"/>
      <c r="P1189" s="93"/>
      <c r="Q1189" s="93"/>
      <c r="R1189" s="93"/>
      <c r="S1189" s="93"/>
      <c r="T1189" s="93"/>
      <c r="U1189" s="93"/>
      <c r="V1189" s="93"/>
      <c r="W1189" s="93"/>
      <c r="X1189" s="93"/>
      <c r="Y1189" s="93"/>
      <c r="Z1189" s="93"/>
    </row>
    <row r="1190" customFormat="false" ht="16.4" hidden="false" customHeight="false" outlineLevel="0" collapsed="false">
      <c r="A1190" s="123" t="n">
        <v>45444</v>
      </c>
      <c r="B1190" s="31" t="s">
        <v>153</v>
      </c>
      <c r="C1190" s="129"/>
      <c r="D1190" s="129"/>
      <c r="E1190" s="19" t="n">
        <f aca="false">F1190*0.03</f>
        <v>0</v>
      </c>
      <c r="F1190" s="33" t="n">
        <v>0</v>
      </c>
      <c r="G1190" s="131"/>
      <c r="H1190" s="35" t="n">
        <v>0</v>
      </c>
      <c r="I1190" s="34" t="n">
        <f aca="false">+IF(E1190=0,0,E1190*0.03)</f>
        <v>0</v>
      </c>
      <c r="J1190" s="93"/>
      <c r="K1190" s="93"/>
      <c r="L1190" s="93"/>
      <c r="M1190" s="93"/>
      <c r="N1190" s="93"/>
      <c r="O1190" s="93"/>
      <c r="P1190" s="93"/>
      <c r="Q1190" s="93"/>
      <c r="R1190" s="93"/>
      <c r="S1190" s="93"/>
      <c r="T1190" s="93"/>
      <c r="U1190" s="93"/>
      <c r="V1190" s="93"/>
      <c r="W1190" s="93"/>
      <c r="X1190" s="93"/>
      <c r="Y1190" s="93"/>
      <c r="Z1190" s="93"/>
    </row>
    <row r="1191" customFormat="false" ht="16.4" hidden="false" customHeight="false" outlineLevel="0" collapsed="false">
      <c r="A1191" s="123" t="n">
        <v>45444</v>
      </c>
      <c r="B1191" s="31" t="s">
        <v>153</v>
      </c>
      <c r="C1191" s="129"/>
      <c r="D1191" s="129"/>
      <c r="E1191" s="19" t="n">
        <f aca="false">F1191*0.03</f>
        <v>0</v>
      </c>
      <c r="F1191" s="33" t="n">
        <v>0</v>
      </c>
      <c r="G1191" s="131"/>
      <c r="H1191" s="35" t="n">
        <v>0</v>
      </c>
      <c r="I1191" s="34" t="n">
        <f aca="false">+IF(E1191=0,0,E1191*0.03)</f>
        <v>0</v>
      </c>
      <c r="J1191" s="93"/>
      <c r="K1191" s="93"/>
      <c r="L1191" s="93"/>
      <c r="M1191" s="93"/>
      <c r="N1191" s="93"/>
      <c r="O1191" s="93"/>
      <c r="P1191" s="93"/>
      <c r="Q1191" s="93"/>
      <c r="R1191" s="93"/>
      <c r="S1191" s="93"/>
      <c r="T1191" s="93"/>
      <c r="U1191" s="93"/>
      <c r="V1191" s="93"/>
      <c r="W1191" s="93"/>
      <c r="X1191" s="93"/>
      <c r="Y1191" s="93"/>
      <c r="Z1191" s="93"/>
    </row>
    <row r="1192" customFormat="false" ht="16.4" hidden="false" customHeight="false" outlineLevel="0" collapsed="false">
      <c r="A1192" s="123" t="n">
        <v>45444</v>
      </c>
      <c r="B1192" s="31" t="s">
        <v>153</v>
      </c>
      <c r="C1192" s="129"/>
      <c r="D1192" s="129"/>
      <c r="E1192" s="19" t="n">
        <f aca="false">F1192*0.03</f>
        <v>0</v>
      </c>
      <c r="F1192" s="33" t="n">
        <v>0</v>
      </c>
      <c r="G1192" s="131"/>
      <c r="H1192" s="35" t="n">
        <v>0</v>
      </c>
      <c r="I1192" s="34" t="n">
        <f aca="false">+IF(E1192=0,0,E1192*0.03)</f>
        <v>0</v>
      </c>
      <c r="J1192" s="93"/>
      <c r="K1192" s="93"/>
      <c r="L1192" s="93"/>
      <c r="M1192" s="93"/>
      <c r="N1192" s="93"/>
      <c r="O1192" s="93"/>
      <c r="P1192" s="93"/>
      <c r="Q1192" s="93"/>
      <c r="R1192" s="93"/>
      <c r="S1192" s="93"/>
      <c r="T1192" s="93"/>
      <c r="U1192" s="93"/>
      <c r="V1192" s="93"/>
      <c r="W1192" s="93"/>
      <c r="X1192" s="93"/>
      <c r="Y1192" s="93"/>
      <c r="Z1192" s="93"/>
    </row>
    <row r="1193" customFormat="false" ht="16.4" hidden="false" customHeight="false" outlineLevel="0" collapsed="false">
      <c r="A1193" s="123" t="n">
        <v>45444</v>
      </c>
      <c r="B1193" s="31" t="s">
        <v>153</v>
      </c>
      <c r="C1193" s="129"/>
      <c r="D1193" s="129"/>
      <c r="E1193" s="19" t="n">
        <f aca="false">F1193*0.03</f>
        <v>0</v>
      </c>
      <c r="F1193" s="33" t="n">
        <v>0</v>
      </c>
      <c r="G1193" s="131"/>
      <c r="H1193" s="35" t="n">
        <v>0</v>
      </c>
      <c r="I1193" s="34" t="n">
        <f aca="false">+IF(E1193=0,0,E1193*0.03)</f>
        <v>0</v>
      </c>
      <c r="J1193" s="93"/>
      <c r="K1193" s="93"/>
      <c r="L1193" s="93"/>
      <c r="M1193" s="93"/>
      <c r="N1193" s="93"/>
      <c r="O1193" s="93"/>
      <c r="P1193" s="93"/>
      <c r="Q1193" s="93"/>
      <c r="R1193" s="93"/>
      <c r="S1193" s="93"/>
      <c r="T1193" s="93"/>
      <c r="U1193" s="93"/>
      <c r="V1193" s="93"/>
      <c r="W1193" s="93"/>
      <c r="X1193" s="93"/>
      <c r="Y1193" s="93"/>
      <c r="Z1193" s="93"/>
    </row>
    <row r="1194" customFormat="false" ht="16.4" hidden="false" customHeight="false" outlineLevel="0" collapsed="false">
      <c r="A1194" s="123" t="n">
        <v>45444</v>
      </c>
      <c r="B1194" s="31" t="s">
        <v>153</v>
      </c>
      <c r="C1194" s="129"/>
      <c r="D1194" s="129"/>
      <c r="E1194" s="19" t="n">
        <f aca="false">F1194*0.03</f>
        <v>0</v>
      </c>
      <c r="F1194" s="33" t="n">
        <v>0</v>
      </c>
      <c r="G1194" s="131"/>
      <c r="H1194" s="35" t="n">
        <v>0</v>
      </c>
      <c r="I1194" s="34" t="n">
        <f aca="false">+IF(E1194=0,0,E1194*0.03)</f>
        <v>0</v>
      </c>
      <c r="J1194" s="93"/>
      <c r="K1194" s="93"/>
      <c r="L1194" s="93"/>
      <c r="M1194" s="93"/>
      <c r="N1194" s="93"/>
      <c r="O1194" s="93"/>
      <c r="P1194" s="93"/>
      <c r="Q1194" s="93"/>
      <c r="R1194" s="93"/>
      <c r="S1194" s="93"/>
      <c r="T1194" s="93"/>
      <c r="U1194" s="93"/>
      <c r="V1194" s="93"/>
      <c r="W1194" s="93"/>
      <c r="X1194" s="93"/>
      <c r="Y1194" s="93"/>
      <c r="Z1194" s="93"/>
    </row>
    <row r="1195" customFormat="false" ht="16.4" hidden="false" customHeight="false" outlineLevel="0" collapsed="false">
      <c r="A1195" s="123" t="n">
        <v>45444</v>
      </c>
      <c r="B1195" s="31" t="s">
        <v>153</v>
      </c>
      <c r="C1195" s="129"/>
      <c r="D1195" s="129"/>
      <c r="E1195" s="19" t="n">
        <f aca="false">F1195*0.03</f>
        <v>0</v>
      </c>
      <c r="F1195" s="33" t="n">
        <v>0</v>
      </c>
      <c r="G1195" s="131"/>
      <c r="H1195" s="35" t="n">
        <v>0</v>
      </c>
      <c r="I1195" s="34" t="n">
        <f aca="false">+IF(E1195=0,0,E1195*0.03)</f>
        <v>0</v>
      </c>
      <c r="J1195" s="93"/>
      <c r="K1195" s="93"/>
      <c r="L1195" s="93"/>
      <c r="M1195" s="93"/>
      <c r="N1195" s="93"/>
      <c r="O1195" s="93"/>
      <c r="P1195" s="93"/>
      <c r="Q1195" s="93"/>
      <c r="R1195" s="93"/>
      <c r="S1195" s="93"/>
      <c r="T1195" s="93"/>
      <c r="U1195" s="93"/>
      <c r="V1195" s="93"/>
      <c r="W1195" s="93"/>
      <c r="X1195" s="93"/>
      <c r="Y1195" s="93"/>
      <c r="Z1195" s="93"/>
    </row>
    <row r="1196" customFormat="false" ht="16.4" hidden="false" customHeight="false" outlineLevel="0" collapsed="false">
      <c r="A1196" s="123" t="n">
        <v>45444</v>
      </c>
      <c r="B1196" s="31" t="s">
        <v>153</v>
      </c>
      <c r="C1196" s="129"/>
      <c r="D1196" s="129"/>
      <c r="E1196" s="19" t="n">
        <f aca="false">F1196*0.03</f>
        <v>0</v>
      </c>
      <c r="F1196" s="33" t="n">
        <v>0</v>
      </c>
      <c r="G1196" s="131"/>
      <c r="H1196" s="35" t="n">
        <v>0</v>
      </c>
      <c r="I1196" s="34" t="n">
        <f aca="false">+IF(E1196=0,0,E1196*0.03)</f>
        <v>0</v>
      </c>
      <c r="J1196" s="93"/>
      <c r="K1196" s="93"/>
      <c r="L1196" s="93"/>
      <c r="M1196" s="93"/>
      <c r="N1196" s="93"/>
      <c r="O1196" s="93"/>
      <c r="P1196" s="93"/>
      <c r="Q1196" s="93"/>
      <c r="R1196" s="93"/>
      <c r="S1196" s="93"/>
      <c r="T1196" s="93"/>
      <c r="U1196" s="93"/>
      <c r="V1196" s="93"/>
      <c r="W1196" s="93"/>
      <c r="X1196" s="93"/>
      <c r="Y1196" s="93"/>
      <c r="Z1196" s="93"/>
    </row>
    <row r="1197" customFormat="false" ht="16.4" hidden="false" customHeight="false" outlineLevel="0" collapsed="false">
      <c r="A1197" s="123" t="n">
        <v>45444</v>
      </c>
      <c r="B1197" s="31" t="s">
        <v>153</v>
      </c>
      <c r="C1197" s="129"/>
      <c r="D1197" s="129"/>
      <c r="E1197" s="19" t="n">
        <f aca="false">F1197*0.03</f>
        <v>0</v>
      </c>
      <c r="F1197" s="33" t="n">
        <v>0</v>
      </c>
      <c r="G1197" s="131"/>
      <c r="H1197" s="35" t="n">
        <v>0</v>
      </c>
      <c r="I1197" s="34" t="n">
        <f aca="false">+IF(E1197=0,0,E1197*0.03)</f>
        <v>0</v>
      </c>
      <c r="J1197" s="93"/>
      <c r="K1197" s="93"/>
      <c r="L1197" s="93"/>
      <c r="M1197" s="93"/>
      <c r="N1197" s="93"/>
      <c r="O1197" s="93"/>
      <c r="P1197" s="93"/>
      <c r="Q1197" s="93"/>
      <c r="R1197" s="93"/>
      <c r="S1197" s="93"/>
      <c r="T1197" s="93"/>
      <c r="U1197" s="93"/>
      <c r="V1197" s="93"/>
      <c r="W1197" s="93"/>
      <c r="X1197" s="93"/>
      <c r="Y1197" s="93"/>
      <c r="Z1197" s="93"/>
    </row>
    <row r="1198" customFormat="false" ht="16.4" hidden="false" customHeight="false" outlineLevel="0" collapsed="false">
      <c r="A1198" s="123" t="n">
        <v>45444</v>
      </c>
      <c r="B1198" s="31" t="s">
        <v>153</v>
      </c>
      <c r="C1198" s="129"/>
      <c r="D1198" s="129"/>
      <c r="E1198" s="19" t="n">
        <f aca="false">F1198*0.03</f>
        <v>0</v>
      </c>
      <c r="F1198" s="33" t="n">
        <v>0</v>
      </c>
      <c r="G1198" s="131"/>
      <c r="H1198" s="35" t="n">
        <v>0</v>
      </c>
      <c r="I1198" s="34" t="n">
        <f aca="false">+IF(E1198=0,0,E1198*0.03)</f>
        <v>0</v>
      </c>
      <c r="J1198" s="93"/>
      <c r="K1198" s="93"/>
      <c r="L1198" s="93"/>
      <c r="M1198" s="93"/>
      <c r="N1198" s="93"/>
      <c r="O1198" s="93"/>
      <c r="P1198" s="93"/>
      <c r="Q1198" s="93"/>
      <c r="R1198" s="93"/>
      <c r="S1198" s="93"/>
      <c r="T1198" s="93"/>
      <c r="U1198" s="93"/>
      <c r="V1198" s="93"/>
      <c r="W1198" s="93"/>
      <c r="X1198" s="93"/>
      <c r="Y1198" s="93"/>
      <c r="Z1198" s="93"/>
    </row>
    <row r="1199" customFormat="false" ht="16.4" hidden="false" customHeight="false" outlineLevel="0" collapsed="false">
      <c r="A1199" s="123" t="n">
        <v>45444</v>
      </c>
      <c r="B1199" s="31" t="s">
        <v>153</v>
      </c>
      <c r="C1199" s="129"/>
      <c r="D1199" s="129"/>
      <c r="E1199" s="19" t="n">
        <f aca="false">F1199*0.03</f>
        <v>0</v>
      </c>
      <c r="F1199" s="33" t="n">
        <v>0</v>
      </c>
      <c r="G1199" s="131"/>
      <c r="H1199" s="35" t="n">
        <v>0</v>
      </c>
      <c r="I1199" s="34" t="n">
        <f aca="false">+IF(E1199=0,0,E1199*0.03)</f>
        <v>0</v>
      </c>
      <c r="J1199" s="93"/>
      <c r="K1199" s="93"/>
      <c r="L1199" s="93"/>
      <c r="M1199" s="93"/>
      <c r="N1199" s="93"/>
      <c r="O1199" s="93"/>
      <c r="P1199" s="93"/>
      <c r="Q1199" s="93"/>
      <c r="R1199" s="93"/>
      <c r="S1199" s="93"/>
      <c r="T1199" s="93"/>
      <c r="U1199" s="93"/>
      <c r="V1199" s="93"/>
      <c r="W1199" s="93"/>
      <c r="X1199" s="93"/>
      <c r="Y1199" s="93"/>
      <c r="Z1199" s="93"/>
    </row>
    <row r="1200" customFormat="false" ht="16.4" hidden="false" customHeight="false" outlineLevel="0" collapsed="false">
      <c r="A1200" s="123" t="n">
        <v>45444</v>
      </c>
      <c r="B1200" s="31" t="s">
        <v>153</v>
      </c>
      <c r="C1200" s="129"/>
      <c r="D1200" s="129"/>
      <c r="E1200" s="19" t="n">
        <f aca="false">F1200*0.03</f>
        <v>0</v>
      </c>
      <c r="F1200" s="33" t="n">
        <v>0</v>
      </c>
      <c r="G1200" s="131"/>
      <c r="H1200" s="35" t="n">
        <v>0</v>
      </c>
      <c r="I1200" s="34" t="n">
        <f aca="false">+IF(E1200=0,0,E1200*0.03)</f>
        <v>0</v>
      </c>
      <c r="J1200" s="93"/>
      <c r="K1200" s="93"/>
      <c r="L1200" s="93"/>
      <c r="M1200" s="93"/>
      <c r="N1200" s="93"/>
      <c r="O1200" s="93"/>
      <c r="P1200" s="93"/>
      <c r="Q1200" s="93"/>
      <c r="R1200" s="93"/>
      <c r="S1200" s="93"/>
      <c r="T1200" s="93"/>
      <c r="U1200" s="93"/>
      <c r="V1200" s="93"/>
      <c r="W1200" s="93"/>
      <c r="X1200" s="93"/>
      <c r="Y1200" s="93"/>
      <c r="Z1200" s="93"/>
    </row>
    <row r="1201" customFormat="false" ht="16.4" hidden="false" customHeight="false" outlineLevel="0" collapsed="false">
      <c r="A1201" s="123" t="n">
        <v>45444</v>
      </c>
      <c r="B1201" s="31" t="s">
        <v>153</v>
      </c>
      <c r="C1201" s="129"/>
      <c r="D1201" s="129"/>
      <c r="E1201" s="19" t="n">
        <f aca="false">F1201*0.03</f>
        <v>0</v>
      </c>
      <c r="F1201" s="33" t="n">
        <v>0</v>
      </c>
      <c r="G1201" s="131"/>
      <c r="H1201" s="35" t="n">
        <v>0</v>
      </c>
      <c r="I1201" s="34" t="n">
        <f aca="false">+IF(E1201=0,0,E1201*0.03)</f>
        <v>0</v>
      </c>
      <c r="J1201" s="93"/>
      <c r="K1201" s="93"/>
      <c r="L1201" s="93"/>
      <c r="M1201" s="93"/>
      <c r="N1201" s="93"/>
      <c r="O1201" s="93"/>
      <c r="P1201" s="93"/>
      <c r="Q1201" s="93"/>
      <c r="R1201" s="93"/>
      <c r="S1201" s="93"/>
      <c r="T1201" s="93"/>
      <c r="U1201" s="93"/>
      <c r="V1201" s="93"/>
      <c r="W1201" s="93"/>
      <c r="X1201" s="93"/>
      <c r="Y1201" s="93"/>
      <c r="Z1201" s="93"/>
    </row>
    <row r="1202" customFormat="false" ht="16.4" hidden="false" customHeight="false" outlineLevel="0" collapsed="false">
      <c r="A1202" s="123" t="n">
        <v>45444</v>
      </c>
      <c r="B1202" s="31" t="s">
        <v>153</v>
      </c>
      <c r="C1202" s="129"/>
      <c r="D1202" s="129"/>
      <c r="E1202" s="19" t="n">
        <f aca="false">F1202*0.03</f>
        <v>0</v>
      </c>
      <c r="F1202" s="33" t="n">
        <v>0</v>
      </c>
      <c r="G1202" s="131"/>
      <c r="H1202" s="35" t="n">
        <v>0</v>
      </c>
      <c r="I1202" s="34" t="n">
        <f aca="false">+IF(E1202=0,0,E1202*0.03)</f>
        <v>0</v>
      </c>
      <c r="J1202" s="93"/>
      <c r="K1202" s="93"/>
      <c r="L1202" s="93"/>
      <c r="M1202" s="93"/>
      <c r="N1202" s="93"/>
      <c r="O1202" s="93"/>
      <c r="P1202" s="93"/>
      <c r="Q1202" s="93"/>
      <c r="R1202" s="93"/>
      <c r="S1202" s="93"/>
      <c r="T1202" s="93"/>
      <c r="U1202" s="93"/>
      <c r="V1202" s="93"/>
      <c r="W1202" s="93"/>
      <c r="X1202" s="93"/>
      <c r="Y1202" s="93"/>
      <c r="Z1202" s="93"/>
    </row>
    <row r="1203" customFormat="false" ht="16.4" hidden="false" customHeight="false" outlineLevel="0" collapsed="false">
      <c r="A1203" s="123" t="n">
        <v>45444</v>
      </c>
      <c r="B1203" s="31" t="s">
        <v>153</v>
      </c>
      <c r="C1203" s="129"/>
      <c r="D1203" s="129"/>
      <c r="E1203" s="19" t="n">
        <f aca="false">F1203*0.03</f>
        <v>0</v>
      </c>
      <c r="F1203" s="33" t="n">
        <v>0</v>
      </c>
      <c r="G1203" s="131"/>
      <c r="H1203" s="35" t="n">
        <v>0</v>
      </c>
      <c r="I1203" s="34" t="n">
        <f aca="false">+IF(E1203=0,0,E1203*0.03)</f>
        <v>0</v>
      </c>
      <c r="J1203" s="93"/>
      <c r="K1203" s="93"/>
      <c r="L1203" s="93"/>
      <c r="M1203" s="93"/>
      <c r="N1203" s="93"/>
      <c r="O1203" s="93"/>
      <c r="P1203" s="93"/>
      <c r="Q1203" s="93"/>
      <c r="R1203" s="93"/>
      <c r="S1203" s="93"/>
      <c r="T1203" s="93"/>
      <c r="U1203" s="93"/>
      <c r="V1203" s="93"/>
      <c r="W1203" s="93"/>
      <c r="X1203" s="93"/>
      <c r="Y1203" s="93"/>
      <c r="Z1203" s="93"/>
    </row>
    <row r="1204" customFormat="false" ht="16.4" hidden="false" customHeight="false" outlineLevel="0" collapsed="false">
      <c r="A1204" s="123" t="n">
        <v>45444</v>
      </c>
      <c r="B1204" s="31" t="s">
        <v>153</v>
      </c>
      <c r="C1204" s="129"/>
      <c r="D1204" s="129"/>
      <c r="E1204" s="19" t="n">
        <f aca="false">F1204*0.03</f>
        <v>0</v>
      </c>
      <c r="F1204" s="33" t="n">
        <v>0</v>
      </c>
      <c r="G1204" s="131"/>
      <c r="H1204" s="35" t="n">
        <v>0</v>
      </c>
      <c r="I1204" s="34" t="n">
        <f aca="false">+IF(E1204=0,0,E1204*0.03)</f>
        <v>0</v>
      </c>
      <c r="J1204" s="93"/>
      <c r="K1204" s="93"/>
      <c r="L1204" s="93"/>
      <c r="M1204" s="93"/>
      <c r="N1204" s="93"/>
      <c r="O1204" s="93"/>
      <c r="P1204" s="93"/>
      <c r="Q1204" s="93"/>
      <c r="R1204" s="93"/>
      <c r="S1204" s="93"/>
      <c r="T1204" s="93"/>
      <c r="U1204" s="93"/>
      <c r="V1204" s="93"/>
      <c r="W1204" s="93"/>
      <c r="X1204" s="93"/>
      <c r="Y1204" s="93"/>
      <c r="Z1204" s="93"/>
    </row>
    <row r="1205" customFormat="false" ht="16.4" hidden="false" customHeight="false" outlineLevel="0" collapsed="false">
      <c r="A1205" s="123" t="n">
        <v>45444</v>
      </c>
      <c r="B1205" s="31" t="s">
        <v>153</v>
      </c>
      <c r="C1205" s="129"/>
      <c r="D1205" s="129"/>
      <c r="E1205" s="19" t="n">
        <f aca="false">F1205*0.03</f>
        <v>0</v>
      </c>
      <c r="F1205" s="33" t="n">
        <v>0</v>
      </c>
      <c r="G1205" s="131"/>
      <c r="H1205" s="35" t="n">
        <v>0</v>
      </c>
      <c r="I1205" s="34" t="n">
        <f aca="false">+IF(E1205=0,0,E1205*0.03)</f>
        <v>0</v>
      </c>
      <c r="J1205" s="93"/>
      <c r="K1205" s="93"/>
      <c r="L1205" s="93"/>
      <c r="M1205" s="93"/>
      <c r="N1205" s="93"/>
      <c r="O1205" s="93"/>
      <c r="P1205" s="93"/>
      <c r="Q1205" s="93"/>
      <c r="R1205" s="93"/>
      <c r="S1205" s="93"/>
      <c r="T1205" s="93"/>
      <c r="U1205" s="93"/>
      <c r="V1205" s="93"/>
      <c r="W1205" s="93"/>
      <c r="X1205" s="93"/>
      <c r="Y1205" s="93"/>
      <c r="Z1205" s="93"/>
    </row>
    <row r="1206" customFormat="false" ht="16.4" hidden="false" customHeight="false" outlineLevel="0" collapsed="false">
      <c r="A1206" s="123" t="n">
        <v>45444</v>
      </c>
      <c r="B1206" s="31" t="s">
        <v>153</v>
      </c>
      <c r="C1206" s="129"/>
      <c r="D1206" s="129"/>
      <c r="E1206" s="19" t="n">
        <f aca="false">F1206*0.03</f>
        <v>0</v>
      </c>
      <c r="F1206" s="33" t="n">
        <v>0</v>
      </c>
      <c r="G1206" s="131"/>
      <c r="H1206" s="35" t="n">
        <v>0</v>
      </c>
      <c r="I1206" s="34" t="n">
        <f aca="false">+IF(E1206=0,0,E1206*0.03)</f>
        <v>0</v>
      </c>
      <c r="J1206" s="93"/>
      <c r="K1206" s="93"/>
      <c r="L1206" s="93"/>
      <c r="M1206" s="93"/>
      <c r="N1206" s="93"/>
      <c r="O1206" s="93"/>
      <c r="P1206" s="93"/>
      <c r="Q1206" s="93"/>
      <c r="R1206" s="93"/>
      <c r="S1206" s="93"/>
      <c r="T1206" s="93"/>
      <c r="U1206" s="93"/>
      <c r="V1206" s="93"/>
      <c r="W1206" s="93"/>
      <c r="X1206" s="93"/>
      <c r="Y1206" s="93"/>
      <c r="Z1206" s="93"/>
    </row>
    <row r="1207" customFormat="false" ht="16.4" hidden="false" customHeight="false" outlineLevel="0" collapsed="false">
      <c r="A1207" s="123" t="n">
        <v>45444</v>
      </c>
      <c r="B1207" s="31" t="s">
        <v>153</v>
      </c>
      <c r="C1207" s="129"/>
      <c r="D1207" s="129"/>
      <c r="E1207" s="19" t="n">
        <f aca="false">F1207*0.03</f>
        <v>0</v>
      </c>
      <c r="F1207" s="33" t="n">
        <v>0</v>
      </c>
      <c r="G1207" s="131"/>
      <c r="H1207" s="35" t="n">
        <v>0</v>
      </c>
      <c r="I1207" s="34" t="n">
        <f aca="false">+IF(E1207=0,0,E1207*0.03)</f>
        <v>0</v>
      </c>
      <c r="J1207" s="93"/>
      <c r="K1207" s="93"/>
      <c r="L1207" s="93"/>
      <c r="M1207" s="93"/>
      <c r="N1207" s="93"/>
      <c r="O1207" s="93"/>
      <c r="P1207" s="93"/>
      <c r="Q1207" s="93"/>
      <c r="R1207" s="93"/>
      <c r="S1207" s="93"/>
      <c r="T1207" s="93"/>
      <c r="U1207" s="93"/>
      <c r="V1207" s="93"/>
      <c r="W1207" s="93"/>
      <c r="X1207" s="93"/>
      <c r="Y1207" s="93"/>
      <c r="Z1207" s="93"/>
    </row>
    <row r="1208" customFormat="false" ht="16.4" hidden="false" customHeight="false" outlineLevel="0" collapsed="false">
      <c r="A1208" s="123" t="n">
        <v>45444</v>
      </c>
      <c r="B1208" s="31" t="s">
        <v>153</v>
      </c>
      <c r="C1208" s="129"/>
      <c r="D1208" s="129"/>
      <c r="E1208" s="19" t="n">
        <f aca="false">F1208*0.03</f>
        <v>0</v>
      </c>
      <c r="F1208" s="33" t="n">
        <v>0</v>
      </c>
      <c r="G1208" s="131"/>
      <c r="H1208" s="35" t="n">
        <v>0</v>
      </c>
      <c r="I1208" s="34" t="n">
        <f aca="false">+IF(E1208=0,0,E1208*0.03)</f>
        <v>0</v>
      </c>
      <c r="J1208" s="93"/>
      <c r="K1208" s="93"/>
      <c r="L1208" s="93"/>
      <c r="M1208" s="93"/>
      <c r="N1208" s="93"/>
      <c r="O1208" s="93"/>
      <c r="P1208" s="93"/>
      <c r="Q1208" s="93"/>
      <c r="R1208" s="93"/>
      <c r="S1208" s="93"/>
      <c r="T1208" s="93"/>
      <c r="U1208" s="93"/>
      <c r="V1208" s="93"/>
      <c r="W1208" s="93"/>
      <c r="X1208" s="93"/>
      <c r="Y1208" s="93"/>
      <c r="Z1208" s="93"/>
    </row>
    <row r="1209" customFormat="false" ht="16.4" hidden="false" customHeight="false" outlineLevel="0" collapsed="false">
      <c r="A1209" s="123" t="n">
        <v>45444</v>
      </c>
      <c r="B1209" s="31" t="s">
        <v>153</v>
      </c>
      <c r="C1209" s="129"/>
      <c r="D1209" s="129"/>
      <c r="E1209" s="19" t="n">
        <f aca="false">F1209*0.03</f>
        <v>0</v>
      </c>
      <c r="F1209" s="33" t="n">
        <v>0</v>
      </c>
      <c r="G1209" s="131"/>
      <c r="H1209" s="35" t="n">
        <v>0</v>
      </c>
      <c r="I1209" s="34" t="n">
        <f aca="false">+IF(E1209=0,0,E1209*0.03)</f>
        <v>0</v>
      </c>
      <c r="J1209" s="93"/>
      <c r="K1209" s="93"/>
      <c r="L1209" s="93"/>
      <c r="M1209" s="93"/>
      <c r="N1209" s="93"/>
      <c r="O1209" s="93"/>
      <c r="P1209" s="93"/>
      <c r="Q1209" s="93"/>
      <c r="R1209" s="93"/>
      <c r="S1209" s="93"/>
      <c r="T1209" s="93"/>
      <c r="U1209" s="93"/>
      <c r="V1209" s="93"/>
      <c r="W1209" s="93"/>
      <c r="X1209" s="93"/>
      <c r="Y1209" s="93"/>
      <c r="Z1209" s="93"/>
    </row>
    <row r="1210" customFormat="false" ht="16.4" hidden="false" customHeight="false" outlineLevel="0" collapsed="false">
      <c r="A1210" s="123" t="n">
        <v>45444</v>
      </c>
      <c r="B1210" s="31" t="s">
        <v>153</v>
      </c>
      <c r="C1210" s="129"/>
      <c r="D1210" s="129"/>
      <c r="E1210" s="19" t="n">
        <f aca="false">F1210*0.03</f>
        <v>0</v>
      </c>
      <c r="F1210" s="33" t="n">
        <v>0</v>
      </c>
      <c r="G1210" s="131"/>
      <c r="H1210" s="35" t="n">
        <v>0</v>
      </c>
      <c r="I1210" s="34" t="n">
        <f aca="false">+IF(E1210=0,0,E1210*0.03)</f>
        <v>0</v>
      </c>
      <c r="J1210" s="93"/>
      <c r="K1210" s="93"/>
      <c r="L1210" s="93"/>
      <c r="M1210" s="93"/>
      <c r="N1210" s="93"/>
      <c r="O1210" s="93"/>
      <c r="P1210" s="93"/>
      <c r="Q1210" s="93"/>
      <c r="R1210" s="93"/>
      <c r="S1210" s="93"/>
      <c r="T1210" s="93"/>
      <c r="U1210" s="93"/>
      <c r="V1210" s="93"/>
      <c r="W1210" s="93"/>
      <c r="X1210" s="93"/>
      <c r="Y1210" s="93"/>
      <c r="Z1210" s="93"/>
    </row>
    <row r="1211" customFormat="false" ht="16.4" hidden="false" customHeight="false" outlineLevel="0" collapsed="false">
      <c r="A1211" s="123" t="n">
        <v>45444</v>
      </c>
      <c r="B1211" s="31" t="s">
        <v>153</v>
      </c>
      <c r="C1211" s="129"/>
      <c r="D1211" s="129"/>
      <c r="E1211" s="19" t="n">
        <f aca="false">F1211*0.03</f>
        <v>0</v>
      </c>
      <c r="F1211" s="33" t="n">
        <v>0</v>
      </c>
      <c r="G1211" s="131"/>
      <c r="H1211" s="35" t="n">
        <v>0</v>
      </c>
      <c r="I1211" s="34" t="n">
        <f aca="false">+IF(E1211=0,0,E1211*0.03)</f>
        <v>0</v>
      </c>
      <c r="J1211" s="93"/>
      <c r="K1211" s="93"/>
      <c r="L1211" s="93"/>
      <c r="M1211" s="93"/>
      <c r="N1211" s="93"/>
      <c r="O1211" s="93"/>
      <c r="P1211" s="93"/>
      <c r="Q1211" s="93"/>
      <c r="R1211" s="93"/>
      <c r="S1211" s="93"/>
      <c r="T1211" s="93"/>
      <c r="U1211" s="93"/>
      <c r="V1211" s="93"/>
      <c r="W1211" s="93"/>
      <c r="X1211" s="93"/>
      <c r="Y1211" s="93"/>
      <c r="Z1211" s="93"/>
    </row>
    <row r="1212" customFormat="false" ht="16.4" hidden="false" customHeight="false" outlineLevel="0" collapsed="false">
      <c r="A1212" s="123" t="n">
        <v>45444</v>
      </c>
      <c r="B1212" s="31" t="s">
        <v>153</v>
      </c>
      <c r="C1212" s="129"/>
      <c r="D1212" s="129"/>
      <c r="E1212" s="19" t="n">
        <f aca="false">F1212*0.03</f>
        <v>0</v>
      </c>
      <c r="F1212" s="33" t="n">
        <v>0</v>
      </c>
      <c r="G1212" s="131"/>
      <c r="H1212" s="35" t="n">
        <v>0</v>
      </c>
      <c r="I1212" s="34" t="n">
        <f aca="false">+IF(E1212=0,0,E1212*0.03)</f>
        <v>0</v>
      </c>
      <c r="J1212" s="93"/>
      <c r="K1212" s="93"/>
      <c r="L1212" s="93"/>
      <c r="M1212" s="93"/>
      <c r="N1212" s="93"/>
      <c r="O1212" s="93"/>
      <c r="P1212" s="93"/>
      <c r="Q1212" s="93"/>
      <c r="R1212" s="93"/>
      <c r="S1212" s="93"/>
      <c r="T1212" s="93"/>
      <c r="U1212" s="93"/>
      <c r="V1212" s="93"/>
      <c r="W1212" s="93"/>
      <c r="X1212" s="93"/>
      <c r="Y1212" s="93"/>
      <c r="Z1212" s="93"/>
    </row>
    <row r="1213" customFormat="false" ht="16.4" hidden="false" customHeight="false" outlineLevel="0" collapsed="false">
      <c r="A1213" s="123" t="n">
        <v>45444</v>
      </c>
      <c r="B1213" s="31" t="s">
        <v>153</v>
      </c>
      <c r="C1213" s="129"/>
      <c r="D1213" s="129"/>
      <c r="E1213" s="19" t="n">
        <f aca="false">F1213*0.03</f>
        <v>0</v>
      </c>
      <c r="F1213" s="33" t="n">
        <v>0</v>
      </c>
      <c r="G1213" s="131"/>
      <c r="H1213" s="35" t="n">
        <v>0</v>
      </c>
      <c r="I1213" s="34" t="n">
        <f aca="false">+IF(E1213=0,0,E1213*0.03)</f>
        <v>0</v>
      </c>
      <c r="J1213" s="93"/>
      <c r="K1213" s="93"/>
      <c r="L1213" s="93"/>
      <c r="M1213" s="93"/>
      <c r="N1213" s="93"/>
      <c r="O1213" s="93"/>
      <c r="P1213" s="93"/>
      <c r="Q1213" s="93"/>
      <c r="R1213" s="93"/>
      <c r="S1213" s="93"/>
      <c r="T1213" s="93"/>
      <c r="U1213" s="93"/>
      <c r="V1213" s="93"/>
      <c r="W1213" s="93"/>
      <c r="X1213" s="93"/>
      <c r="Y1213" s="93"/>
      <c r="Z1213" s="93"/>
    </row>
    <row r="1214" customFormat="false" ht="16.4" hidden="false" customHeight="false" outlineLevel="0" collapsed="false">
      <c r="A1214" s="123" t="n">
        <v>45444</v>
      </c>
      <c r="B1214" s="31" t="s">
        <v>153</v>
      </c>
      <c r="C1214" s="129"/>
      <c r="D1214" s="129"/>
      <c r="E1214" s="19" t="n">
        <f aca="false">F1214*0.03</f>
        <v>0</v>
      </c>
      <c r="F1214" s="33" t="n">
        <v>0</v>
      </c>
      <c r="G1214" s="131"/>
      <c r="H1214" s="35" t="n">
        <v>0</v>
      </c>
      <c r="I1214" s="34" t="n">
        <f aca="false">+IF(E1214=0,0,E1214*0.03)</f>
        <v>0</v>
      </c>
      <c r="J1214" s="93"/>
      <c r="K1214" s="93"/>
      <c r="L1214" s="93"/>
      <c r="M1214" s="93"/>
      <c r="N1214" s="93"/>
      <c r="O1214" s="93"/>
      <c r="P1214" s="93"/>
      <c r="Q1214" s="93"/>
      <c r="R1214" s="93"/>
      <c r="S1214" s="93"/>
      <c r="T1214" s="93"/>
      <c r="U1214" s="93"/>
      <c r="V1214" s="93"/>
      <c r="W1214" s="93"/>
      <c r="X1214" s="93"/>
      <c r="Y1214" s="93"/>
      <c r="Z1214" s="93"/>
    </row>
    <row r="1215" customFormat="false" ht="16.4" hidden="false" customHeight="false" outlineLevel="0" collapsed="false">
      <c r="A1215" s="123" t="n">
        <v>45444</v>
      </c>
      <c r="B1215" s="31" t="s">
        <v>153</v>
      </c>
      <c r="C1215" s="129"/>
      <c r="D1215" s="129"/>
      <c r="E1215" s="19" t="n">
        <f aca="false">F1215*0.03</f>
        <v>0</v>
      </c>
      <c r="F1215" s="33" t="n">
        <v>0</v>
      </c>
      <c r="G1215" s="131"/>
      <c r="H1215" s="35" t="n">
        <v>0</v>
      </c>
      <c r="I1215" s="34" t="n">
        <f aca="false">+IF(E1215=0,0,E1215*0.03)</f>
        <v>0</v>
      </c>
      <c r="J1215" s="93"/>
      <c r="K1215" s="93"/>
      <c r="L1215" s="93"/>
      <c r="M1215" s="93"/>
      <c r="N1215" s="93"/>
      <c r="O1215" s="93"/>
      <c r="P1215" s="93"/>
      <c r="Q1215" s="93"/>
      <c r="R1215" s="93"/>
      <c r="S1215" s="93"/>
      <c r="T1215" s="93"/>
      <c r="U1215" s="93"/>
      <c r="V1215" s="93"/>
      <c r="W1215" s="93"/>
      <c r="X1215" s="93"/>
      <c r="Y1215" s="93"/>
      <c r="Z1215" s="93"/>
    </row>
    <row r="1216" customFormat="false" ht="16.4" hidden="false" customHeight="false" outlineLevel="0" collapsed="false">
      <c r="A1216" s="123" t="n">
        <v>45444</v>
      </c>
      <c r="B1216" s="31" t="s">
        <v>153</v>
      </c>
      <c r="C1216" s="129"/>
      <c r="D1216" s="129"/>
      <c r="E1216" s="19" t="n">
        <f aca="false">F1216*0.03</f>
        <v>0</v>
      </c>
      <c r="F1216" s="33" t="n">
        <v>0</v>
      </c>
      <c r="G1216" s="131"/>
      <c r="H1216" s="35" t="n">
        <v>0</v>
      </c>
      <c r="I1216" s="34" t="n">
        <f aca="false">+IF(E1216=0,0,E1216*0.03)</f>
        <v>0</v>
      </c>
      <c r="J1216" s="93"/>
      <c r="K1216" s="93"/>
      <c r="L1216" s="93"/>
      <c r="M1216" s="93"/>
      <c r="N1216" s="93"/>
      <c r="O1216" s="93"/>
      <c r="P1216" s="93"/>
      <c r="Q1216" s="93"/>
      <c r="R1216" s="93"/>
      <c r="S1216" s="93"/>
      <c r="T1216" s="93"/>
      <c r="U1216" s="93"/>
      <c r="V1216" s="93"/>
      <c r="W1216" s="93"/>
      <c r="X1216" s="93"/>
      <c r="Y1216" s="93"/>
      <c r="Z1216" s="93"/>
    </row>
    <row r="1217" customFormat="false" ht="16.4" hidden="false" customHeight="false" outlineLevel="0" collapsed="false">
      <c r="A1217" s="123" t="n">
        <v>45444</v>
      </c>
      <c r="B1217" s="31" t="s">
        <v>153</v>
      </c>
      <c r="C1217" s="129"/>
      <c r="D1217" s="129"/>
      <c r="E1217" s="19" t="n">
        <f aca="false">F1217*0.03</f>
        <v>0</v>
      </c>
      <c r="F1217" s="33" t="n">
        <v>0</v>
      </c>
      <c r="G1217" s="131"/>
      <c r="H1217" s="35" t="n">
        <v>0</v>
      </c>
      <c r="I1217" s="34" t="n">
        <f aca="false">+IF(E1217=0,0,E1217*0.03)</f>
        <v>0</v>
      </c>
      <c r="J1217" s="93"/>
      <c r="K1217" s="93"/>
      <c r="L1217" s="93"/>
      <c r="M1217" s="93"/>
      <c r="N1217" s="93"/>
      <c r="O1217" s="93"/>
      <c r="P1217" s="93"/>
      <c r="Q1217" s="93"/>
      <c r="R1217" s="93"/>
      <c r="S1217" s="93"/>
      <c r="T1217" s="93"/>
      <c r="U1217" s="93"/>
      <c r="V1217" s="93"/>
      <c r="W1217" s="93"/>
      <c r="X1217" s="93"/>
      <c r="Y1217" s="93"/>
      <c r="Z1217" s="93"/>
    </row>
    <row r="1218" customFormat="false" ht="16.4" hidden="false" customHeight="false" outlineLevel="0" collapsed="false">
      <c r="A1218" s="123" t="n">
        <v>45444</v>
      </c>
      <c r="B1218" s="31" t="s">
        <v>153</v>
      </c>
      <c r="C1218" s="129"/>
      <c r="D1218" s="129"/>
      <c r="E1218" s="19" t="n">
        <f aca="false">F1218*0.03</f>
        <v>0</v>
      </c>
      <c r="F1218" s="33" t="n">
        <v>0</v>
      </c>
      <c r="G1218" s="131"/>
      <c r="H1218" s="35" t="n">
        <v>0</v>
      </c>
      <c r="I1218" s="34" t="n">
        <f aca="false">+IF(E1218=0,0,E1218*0.03)</f>
        <v>0</v>
      </c>
      <c r="J1218" s="93"/>
      <c r="K1218" s="93"/>
      <c r="L1218" s="93"/>
      <c r="M1218" s="93"/>
      <c r="N1218" s="93"/>
      <c r="O1218" s="93"/>
      <c r="P1218" s="93"/>
      <c r="Q1218" s="93"/>
      <c r="R1218" s="93"/>
      <c r="S1218" s="93"/>
      <c r="T1218" s="93"/>
      <c r="U1218" s="93"/>
      <c r="V1218" s="93"/>
      <c r="W1218" s="93"/>
      <c r="X1218" s="93"/>
      <c r="Y1218" s="93"/>
      <c r="Z1218" s="93"/>
    </row>
    <row r="1219" customFormat="false" ht="16.4" hidden="false" customHeight="false" outlineLevel="0" collapsed="false">
      <c r="A1219" s="123" t="n">
        <v>45444</v>
      </c>
      <c r="B1219" s="31" t="s">
        <v>153</v>
      </c>
      <c r="C1219" s="129"/>
      <c r="D1219" s="129"/>
      <c r="E1219" s="19" t="n">
        <f aca="false">F1219*0.03</f>
        <v>0</v>
      </c>
      <c r="F1219" s="33" t="n">
        <v>0</v>
      </c>
      <c r="G1219" s="131"/>
      <c r="H1219" s="35" t="n">
        <v>0</v>
      </c>
      <c r="I1219" s="34" t="n">
        <f aca="false">+IF(E1219=0,0,E1219*0.03)</f>
        <v>0</v>
      </c>
      <c r="J1219" s="93"/>
      <c r="K1219" s="93"/>
      <c r="L1219" s="93"/>
      <c r="M1219" s="93"/>
      <c r="N1219" s="93"/>
      <c r="O1219" s="93"/>
      <c r="P1219" s="93"/>
      <c r="Q1219" s="93"/>
      <c r="R1219" s="93"/>
      <c r="S1219" s="93"/>
      <c r="T1219" s="93"/>
      <c r="U1219" s="93"/>
      <c r="V1219" s="93"/>
      <c r="W1219" s="93"/>
      <c r="X1219" s="93"/>
      <c r="Y1219" s="93"/>
      <c r="Z1219" s="93"/>
    </row>
    <row r="1220" customFormat="false" ht="16.4" hidden="false" customHeight="false" outlineLevel="0" collapsed="false">
      <c r="A1220" s="123" t="n">
        <v>45444</v>
      </c>
      <c r="B1220" s="31" t="s">
        <v>153</v>
      </c>
      <c r="C1220" s="129"/>
      <c r="D1220" s="129"/>
      <c r="E1220" s="19" t="n">
        <f aca="false">F1220*0.03</f>
        <v>0</v>
      </c>
      <c r="F1220" s="33" t="n">
        <v>0</v>
      </c>
      <c r="G1220" s="131"/>
      <c r="H1220" s="35" t="n">
        <v>0</v>
      </c>
      <c r="I1220" s="34" t="n">
        <f aca="false">+IF(E1220=0,0,E1220*0.03)</f>
        <v>0</v>
      </c>
      <c r="J1220" s="93"/>
      <c r="K1220" s="93"/>
      <c r="L1220" s="93"/>
      <c r="M1220" s="93"/>
      <c r="N1220" s="93"/>
      <c r="O1220" s="93"/>
      <c r="P1220" s="93"/>
      <c r="Q1220" s="93"/>
      <c r="R1220" s="93"/>
      <c r="S1220" s="93"/>
      <c r="T1220" s="93"/>
      <c r="U1220" s="93"/>
      <c r="V1220" s="93"/>
      <c r="W1220" s="93"/>
      <c r="X1220" s="93"/>
      <c r="Y1220" s="93"/>
      <c r="Z1220" s="93"/>
    </row>
    <row r="1221" customFormat="false" ht="16.4" hidden="false" customHeight="false" outlineLevel="0" collapsed="false">
      <c r="A1221" s="123" t="n">
        <v>45444</v>
      </c>
      <c r="B1221" s="31" t="s">
        <v>153</v>
      </c>
      <c r="C1221" s="129"/>
      <c r="D1221" s="129"/>
      <c r="E1221" s="19" t="n">
        <f aca="false">F1221*0.03</f>
        <v>0</v>
      </c>
      <c r="F1221" s="33" t="n">
        <v>0</v>
      </c>
      <c r="G1221" s="131"/>
      <c r="H1221" s="35" t="n">
        <v>0</v>
      </c>
      <c r="I1221" s="34" t="n">
        <f aca="false">+IF(E1221=0,0,E1221*0.03)</f>
        <v>0</v>
      </c>
      <c r="J1221" s="93"/>
      <c r="K1221" s="93"/>
      <c r="L1221" s="93"/>
      <c r="M1221" s="93"/>
      <c r="N1221" s="93"/>
      <c r="O1221" s="93"/>
      <c r="P1221" s="93"/>
      <c r="Q1221" s="93"/>
      <c r="R1221" s="93"/>
      <c r="S1221" s="93"/>
      <c r="T1221" s="93"/>
      <c r="U1221" s="93"/>
      <c r="V1221" s="93"/>
      <c r="W1221" s="93"/>
      <c r="X1221" s="93"/>
      <c r="Y1221" s="93"/>
      <c r="Z1221" s="93"/>
    </row>
    <row r="1222" customFormat="false" ht="16.4" hidden="false" customHeight="false" outlineLevel="0" collapsed="false">
      <c r="A1222" s="123" t="n">
        <v>45444</v>
      </c>
      <c r="B1222" s="31" t="s">
        <v>153</v>
      </c>
      <c r="C1222" s="129"/>
      <c r="D1222" s="129"/>
      <c r="E1222" s="19" t="n">
        <f aca="false">F1222*0.03</f>
        <v>0</v>
      </c>
      <c r="F1222" s="33" t="n">
        <v>0</v>
      </c>
      <c r="G1222" s="131"/>
      <c r="H1222" s="35" t="n">
        <v>0</v>
      </c>
      <c r="I1222" s="34" t="n">
        <f aca="false">+IF(E1222=0,0,E1222*0.03)</f>
        <v>0</v>
      </c>
      <c r="J1222" s="93"/>
      <c r="K1222" s="93"/>
      <c r="L1222" s="93"/>
      <c r="M1222" s="93"/>
      <c r="N1222" s="93"/>
      <c r="O1222" s="93"/>
      <c r="P1222" s="93"/>
      <c r="Q1222" s="93"/>
      <c r="R1222" s="93"/>
      <c r="S1222" s="93"/>
      <c r="T1222" s="93"/>
      <c r="U1222" s="93"/>
      <c r="V1222" s="93"/>
      <c r="W1222" s="93"/>
      <c r="X1222" s="93"/>
      <c r="Y1222" s="93"/>
      <c r="Z1222" s="93"/>
    </row>
    <row r="1223" customFormat="false" ht="16.4" hidden="false" customHeight="false" outlineLevel="0" collapsed="false">
      <c r="A1223" s="123" t="n">
        <v>45444</v>
      </c>
      <c r="B1223" s="31" t="s">
        <v>153</v>
      </c>
      <c r="C1223" s="129"/>
      <c r="D1223" s="129"/>
      <c r="E1223" s="19" t="n">
        <f aca="false">F1223*0.03</f>
        <v>0</v>
      </c>
      <c r="F1223" s="33" t="n">
        <v>0</v>
      </c>
      <c r="G1223" s="131"/>
      <c r="H1223" s="35" t="n">
        <v>0</v>
      </c>
      <c r="I1223" s="34" t="n">
        <f aca="false">+IF(E1223=0,0,E1223*0.03)</f>
        <v>0</v>
      </c>
      <c r="J1223" s="93"/>
      <c r="K1223" s="93"/>
      <c r="L1223" s="93"/>
      <c r="M1223" s="93"/>
      <c r="N1223" s="93"/>
      <c r="O1223" s="93"/>
      <c r="P1223" s="93"/>
      <c r="Q1223" s="93"/>
      <c r="R1223" s="93"/>
      <c r="S1223" s="93"/>
      <c r="T1223" s="93"/>
      <c r="U1223" s="93"/>
      <c r="V1223" s="93"/>
      <c r="W1223" s="93"/>
      <c r="X1223" s="93"/>
      <c r="Y1223" s="93"/>
      <c r="Z1223" s="93"/>
    </row>
    <row r="1224" customFormat="false" ht="16.4" hidden="false" customHeight="false" outlineLevel="0" collapsed="false">
      <c r="A1224" s="123" t="n">
        <v>45444</v>
      </c>
      <c r="B1224" s="31" t="s">
        <v>153</v>
      </c>
      <c r="C1224" s="129"/>
      <c r="D1224" s="129"/>
      <c r="E1224" s="19" t="n">
        <f aca="false">F1224*0.03</f>
        <v>0</v>
      </c>
      <c r="F1224" s="33" t="n">
        <v>0</v>
      </c>
      <c r="G1224" s="131"/>
      <c r="H1224" s="35" t="n">
        <v>0</v>
      </c>
      <c r="I1224" s="34" t="n">
        <f aca="false">+IF(E1224=0,0,E1224*0.03)</f>
        <v>0</v>
      </c>
      <c r="J1224" s="93"/>
      <c r="K1224" s="93"/>
      <c r="L1224" s="93"/>
      <c r="M1224" s="93"/>
      <c r="N1224" s="93"/>
      <c r="O1224" s="93"/>
      <c r="P1224" s="93"/>
      <c r="Q1224" s="93"/>
      <c r="R1224" s="93"/>
      <c r="S1224" s="93"/>
      <c r="T1224" s="93"/>
      <c r="U1224" s="93"/>
      <c r="V1224" s="93"/>
      <c r="W1224" s="93"/>
      <c r="X1224" s="93"/>
      <c r="Y1224" s="93"/>
      <c r="Z1224" s="93"/>
    </row>
    <row r="1225" customFormat="false" ht="16.4" hidden="false" customHeight="false" outlineLevel="0" collapsed="false">
      <c r="A1225" s="123" t="n">
        <v>45444</v>
      </c>
      <c r="B1225" s="31" t="s">
        <v>153</v>
      </c>
      <c r="C1225" s="129"/>
      <c r="D1225" s="129"/>
      <c r="E1225" s="19" t="n">
        <f aca="false">F1225*0.03</f>
        <v>0</v>
      </c>
      <c r="F1225" s="33" t="n">
        <v>0</v>
      </c>
      <c r="G1225" s="131"/>
      <c r="H1225" s="35" t="n">
        <v>0</v>
      </c>
      <c r="I1225" s="34" t="n">
        <f aca="false">+IF(E1225=0,0,E1225*0.03)</f>
        <v>0</v>
      </c>
      <c r="J1225" s="93"/>
      <c r="K1225" s="93"/>
      <c r="L1225" s="93"/>
      <c r="M1225" s="93"/>
      <c r="N1225" s="93"/>
      <c r="O1225" s="93"/>
      <c r="P1225" s="93"/>
      <c r="Q1225" s="93"/>
      <c r="R1225" s="93"/>
      <c r="S1225" s="93"/>
      <c r="T1225" s="93"/>
      <c r="U1225" s="93"/>
      <c r="V1225" s="93"/>
      <c r="W1225" s="93"/>
      <c r="X1225" s="93"/>
      <c r="Y1225" s="93"/>
      <c r="Z1225" s="93"/>
    </row>
    <row r="1226" customFormat="false" ht="16.4" hidden="false" customHeight="false" outlineLevel="0" collapsed="false">
      <c r="A1226" s="123" t="n">
        <v>45444</v>
      </c>
      <c r="B1226" s="31" t="s">
        <v>153</v>
      </c>
      <c r="C1226" s="129"/>
      <c r="D1226" s="129"/>
      <c r="E1226" s="19" t="n">
        <f aca="false">F1226*0.03</f>
        <v>0</v>
      </c>
      <c r="F1226" s="33" t="n">
        <v>0</v>
      </c>
      <c r="G1226" s="131"/>
      <c r="H1226" s="35" t="n">
        <v>0</v>
      </c>
      <c r="I1226" s="34" t="n">
        <f aca="false">+IF(E1226=0,0,E1226*0.03)</f>
        <v>0</v>
      </c>
      <c r="J1226" s="93"/>
      <c r="K1226" s="93"/>
      <c r="L1226" s="93"/>
      <c r="M1226" s="93"/>
      <c r="N1226" s="93"/>
      <c r="O1226" s="93"/>
      <c r="P1226" s="93"/>
      <c r="Q1226" s="93"/>
      <c r="R1226" s="93"/>
      <c r="S1226" s="93"/>
      <c r="T1226" s="93"/>
      <c r="U1226" s="93"/>
      <c r="V1226" s="93"/>
      <c r="W1226" s="93"/>
      <c r="X1226" s="93"/>
      <c r="Y1226" s="93"/>
      <c r="Z1226" s="93"/>
    </row>
    <row r="1227" customFormat="false" ht="16.4" hidden="false" customHeight="false" outlineLevel="0" collapsed="false">
      <c r="A1227" s="123" t="n">
        <v>45444</v>
      </c>
      <c r="B1227" s="31" t="s">
        <v>153</v>
      </c>
      <c r="C1227" s="129"/>
      <c r="D1227" s="129"/>
      <c r="E1227" s="19" t="n">
        <f aca="false">F1227*0.03</f>
        <v>0</v>
      </c>
      <c r="F1227" s="33" t="n">
        <v>0</v>
      </c>
      <c r="G1227" s="131"/>
      <c r="H1227" s="35" t="n">
        <v>0</v>
      </c>
      <c r="I1227" s="34" t="n">
        <f aca="false">+IF(E1227=0,0,E1227*0.03)</f>
        <v>0</v>
      </c>
      <c r="J1227" s="93"/>
      <c r="K1227" s="93"/>
      <c r="L1227" s="93"/>
      <c r="M1227" s="93"/>
      <c r="N1227" s="93"/>
      <c r="O1227" s="93"/>
      <c r="P1227" s="93"/>
      <c r="Q1227" s="93"/>
      <c r="R1227" s="93"/>
      <c r="S1227" s="93"/>
      <c r="T1227" s="93"/>
      <c r="U1227" s="93"/>
      <c r="V1227" s="93"/>
      <c r="W1227" s="93"/>
      <c r="X1227" s="93"/>
      <c r="Y1227" s="93"/>
      <c r="Z1227" s="93"/>
    </row>
    <row r="1228" customFormat="false" ht="16.4" hidden="false" customHeight="false" outlineLevel="0" collapsed="false">
      <c r="A1228" s="123" t="n">
        <v>45444</v>
      </c>
      <c r="B1228" s="31" t="s">
        <v>153</v>
      </c>
      <c r="C1228" s="129"/>
      <c r="D1228" s="129"/>
      <c r="E1228" s="19" t="n">
        <f aca="false">F1228*0.03</f>
        <v>0</v>
      </c>
      <c r="F1228" s="33" t="n">
        <v>0</v>
      </c>
      <c r="G1228" s="131"/>
      <c r="H1228" s="35" t="n">
        <v>0</v>
      </c>
      <c r="I1228" s="34" t="n">
        <f aca="false">+IF(E1228=0,0,E1228*0.03)</f>
        <v>0</v>
      </c>
      <c r="J1228" s="93"/>
      <c r="K1228" s="93"/>
      <c r="L1228" s="93"/>
      <c r="M1228" s="93"/>
      <c r="N1228" s="93"/>
      <c r="O1228" s="93"/>
      <c r="P1228" s="93"/>
      <c r="Q1228" s="93"/>
      <c r="R1228" s="93"/>
      <c r="S1228" s="93"/>
      <c r="T1228" s="93"/>
      <c r="U1228" s="93"/>
      <c r="V1228" s="93"/>
      <c r="W1228" s="93"/>
      <c r="X1228" s="93"/>
      <c r="Y1228" s="93"/>
      <c r="Z1228" s="93"/>
    </row>
    <row r="1229" customFormat="false" ht="16.4" hidden="false" customHeight="false" outlineLevel="0" collapsed="false">
      <c r="A1229" s="123" t="n">
        <v>45444</v>
      </c>
      <c r="B1229" s="31" t="s">
        <v>153</v>
      </c>
      <c r="C1229" s="129"/>
      <c r="D1229" s="129"/>
      <c r="E1229" s="19" t="n">
        <f aca="false">F1229*0.03</f>
        <v>0</v>
      </c>
      <c r="F1229" s="33" t="n">
        <v>0</v>
      </c>
      <c r="G1229" s="131"/>
      <c r="H1229" s="35" t="n">
        <v>0</v>
      </c>
      <c r="I1229" s="34" t="n">
        <f aca="false">+IF(E1229=0,0,E1229*0.03)</f>
        <v>0</v>
      </c>
      <c r="J1229" s="93"/>
      <c r="K1229" s="93"/>
      <c r="L1229" s="93"/>
      <c r="M1229" s="93"/>
      <c r="N1229" s="93"/>
      <c r="O1229" s="93"/>
      <c r="P1229" s="93"/>
      <c r="Q1229" s="93"/>
      <c r="R1229" s="93"/>
      <c r="S1229" s="93"/>
      <c r="T1229" s="93"/>
      <c r="U1229" s="93"/>
      <c r="V1229" s="93"/>
      <c r="W1229" s="93"/>
      <c r="X1229" s="93"/>
      <c r="Y1229" s="93"/>
      <c r="Z1229" s="93"/>
    </row>
    <row r="1230" customFormat="false" ht="16.4" hidden="false" customHeight="false" outlineLevel="0" collapsed="false">
      <c r="A1230" s="123" t="n">
        <v>45444</v>
      </c>
      <c r="B1230" s="31" t="s">
        <v>153</v>
      </c>
      <c r="C1230" s="129"/>
      <c r="D1230" s="129"/>
      <c r="E1230" s="19" t="n">
        <f aca="false">F1230*0.03</f>
        <v>0</v>
      </c>
      <c r="F1230" s="33" t="n">
        <v>0</v>
      </c>
      <c r="G1230" s="131"/>
      <c r="H1230" s="35" t="n">
        <v>0</v>
      </c>
      <c r="I1230" s="34" t="n">
        <f aca="false">+IF(E1230=0,0,E1230*0.03)</f>
        <v>0</v>
      </c>
      <c r="J1230" s="93"/>
      <c r="K1230" s="93"/>
      <c r="L1230" s="93"/>
      <c r="M1230" s="93"/>
      <c r="N1230" s="93"/>
      <c r="O1230" s="93"/>
      <c r="P1230" s="93"/>
      <c r="Q1230" s="93"/>
      <c r="R1230" s="93"/>
      <c r="S1230" s="93"/>
      <c r="T1230" s="93"/>
      <c r="U1230" s="93"/>
      <c r="V1230" s="93"/>
      <c r="W1230" s="93"/>
      <c r="X1230" s="93"/>
      <c r="Y1230" s="93"/>
      <c r="Z1230" s="93"/>
    </row>
    <row r="1231" customFormat="false" ht="16.4" hidden="false" customHeight="false" outlineLevel="0" collapsed="false">
      <c r="A1231" s="123" t="n">
        <v>45444</v>
      </c>
      <c r="B1231" s="31" t="s">
        <v>153</v>
      </c>
      <c r="C1231" s="129"/>
      <c r="D1231" s="129"/>
      <c r="E1231" s="19" t="n">
        <f aca="false">F1231*0.03</f>
        <v>0</v>
      </c>
      <c r="F1231" s="33" t="n">
        <v>0</v>
      </c>
      <c r="G1231" s="131"/>
      <c r="H1231" s="35" t="n">
        <v>0</v>
      </c>
      <c r="I1231" s="34" t="n">
        <f aca="false">+IF(E1231=0,0,E1231*0.03)</f>
        <v>0</v>
      </c>
      <c r="J1231" s="93"/>
      <c r="K1231" s="93"/>
      <c r="L1231" s="93"/>
      <c r="M1231" s="93"/>
      <c r="N1231" s="93"/>
      <c r="O1231" s="93"/>
      <c r="P1231" s="93"/>
      <c r="Q1231" s="93"/>
      <c r="R1231" s="93"/>
      <c r="S1231" s="93"/>
      <c r="T1231" s="93"/>
      <c r="U1231" s="93"/>
      <c r="V1231" s="93"/>
      <c r="W1231" s="93"/>
      <c r="X1231" s="93"/>
      <c r="Y1231" s="93"/>
      <c r="Z1231" s="93"/>
    </row>
    <row r="1232" customFormat="false" ht="16.4" hidden="false" customHeight="false" outlineLevel="0" collapsed="false">
      <c r="A1232" s="123" t="n">
        <v>45444</v>
      </c>
      <c r="B1232" s="31" t="s">
        <v>153</v>
      </c>
      <c r="C1232" s="129"/>
      <c r="D1232" s="129"/>
      <c r="E1232" s="19" t="n">
        <f aca="false">F1232*0.03</f>
        <v>0</v>
      </c>
      <c r="F1232" s="33" t="n">
        <v>0</v>
      </c>
      <c r="G1232" s="131"/>
      <c r="H1232" s="35" t="n">
        <v>0</v>
      </c>
      <c r="I1232" s="34" t="n">
        <f aca="false">+IF(E1232=0,0,E1232*0.03)</f>
        <v>0</v>
      </c>
      <c r="J1232" s="93"/>
      <c r="K1232" s="93"/>
      <c r="L1232" s="93"/>
      <c r="M1232" s="93"/>
      <c r="N1232" s="93"/>
      <c r="O1232" s="93"/>
      <c r="P1232" s="93"/>
      <c r="Q1232" s="93"/>
      <c r="R1232" s="93"/>
      <c r="S1232" s="93"/>
      <c r="T1232" s="93"/>
      <c r="U1232" s="93"/>
      <c r="V1232" s="93"/>
      <c r="W1232" s="93"/>
      <c r="X1232" s="93"/>
      <c r="Y1232" s="93"/>
      <c r="Z1232" s="93"/>
    </row>
    <row r="1233" customFormat="false" ht="16.4" hidden="false" customHeight="false" outlineLevel="0" collapsed="false">
      <c r="A1233" s="123" t="n">
        <v>45444</v>
      </c>
      <c r="B1233" s="31" t="s">
        <v>153</v>
      </c>
      <c r="C1233" s="129"/>
      <c r="D1233" s="129"/>
      <c r="E1233" s="19" t="n">
        <f aca="false">F1233*0.03</f>
        <v>0</v>
      </c>
      <c r="F1233" s="33" t="n">
        <v>0</v>
      </c>
      <c r="G1233" s="131"/>
      <c r="H1233" s="35" t="n">
        <v>0</v>
      </c>
      <c r="I1233" s="34" t="n">
        <f aca="false">+IF(E1233=0,0,E1233*0.03)</f>
        <v>0</v>
      </c>
      <c r="J1233" s="93"/>
      <c r="K1233" s="93"/>
      <c r="L1233" s="93"/>
      <c r="M1233" s="93"/>
      <c r="N1233" s="93"/>
      <c r="O1233" s="93"/>
      <c r="P1233" s="93"/>
      <c r="Q1233" s="93"/>
      <c r="R1233" s="93"/>
      <c r="S1233" s="93"/>
      <c r="T1233" s="93"/>
      <c r="U1233" s="93"/>
      <c r="V1233" s="93"/>
      <c r="W1233" s="93"/>
      <c r="X1233" s="93"/>
      <c r="Y1233" s="93"/>
      <c r="Z1233" s="93"/>
    </row>
    <row r="1234" customFormat="false" ht="16.4" hidden="false" customHeight="false" outlineLevel="0" collapsed="false">
      <c r="A1234" s="123" t="n">
        <v>45444</v>
      </c>
      <c r="B1234" s="31" t="s">
        <v>153</v>
      </c>
      <c r="C1234" s="129"/>
      <c r="D1234" s="129"/>
      <c r="E1234" s="19" t="n">
        <f aca="false">F1234*0.03</f>
        <v>0</v>
      </c>
      <c r="F1234" s="33" t="n">
        <v>0</v>
      </c>
      <c r="G1234" s="131"/>
      <c r="H1234" s="35" t="n">
        <v>0</v>
      </c>
      <c r="I1234" s="34" t="n">
        <f aca="false">+IF(E1234=0,0,E1234*0.03)</f>
        <v>0</v>
      </c>
      <c r="J1234" s="93"/>
      <c r="K1234" s="93"/>
      <c r="L1234" s="93"/>
      <c r="M1234" s="93"/>
      <c r="N1234" s="93"/>
      <c r="O1234" s="93"/>
      <c r="P1234" s="93"/>
      <c r="Q1234" s="93"/>
      <c r="R1234" s="93"/>
      <c r="S1234" s="93"/>
      <c r="T1234" s="93"/>
      <c r="U1234" s="93"/>
      <c r="V1234" s="93"/>
      <c r="W1234" s="93"/>
      <c r="X1234" s="93"/>
      <c r="Y1234" s="93"/>
      <c r="Z1234" s="93"/>
    </row>
    <row r="1235" customFormat="false" ht="16.4" hidden="false" customHeight="false" outlineLevel="0" collapsed="false">
      <c r="A1235" s="123" t="n">
        <v>45444</v>
      </c>
      <c r="B1235" s="31" t="s">
        <v>153</v>
      </c>
      <c r="C1235" s="129"/>
      <c r="D1235" s="129"/>
      <c r="E1235" s="19" t="n">
        <f aca="false">F1235*0.03</f>
        <v>0</v>
      </c>
      <c r="F1235" s="33" t="n">
        <v>0</v>
      </c>
      <c r="G1235" s="131"/>
      <c r="H1235" s="35" t="n">
        <v>0</v>
      </c>
      <c r="I1235" s="34" t="n">
        <f aca="false">+IF(E1235=0,0,E1235*0.03)</f>
        <v>0</v>
      </c>
      <c r="J1235" s="93"/>
      <c r="K1235" s="93"/>
      <c r="L1235" s="93"/>
      <c r="M1235" s="93"/>
      <c r="N1235" s="93"/>
      <c r="O1235" s="93"/>
      <c r="P1235" s="93"/>
      <c r="Q1235" s="93"/>
      <c r="R1235" s="93"/>
      <c r="S1235" s="93"/>
      <c r="T1235" s="93"/>
      <c r="U1235" s="93"/>
      <c r="V1235" s="93"/>
      <c r="W1235" s="93"/>
      <c r="X1235" s="93"/>
      <c r="Y1235" s="93"/>
      <c r="Z1235" s="93"/>
    </row>
    <row r="1236" customFormat="false" ht="16.4" hidden="false" customHeight="false" outlineLevel="0" collapsed="false">
      <c r="A1236" s="123" t="n">
        <v>45444</v>
      </c>
      <c r="B1236" s="31" t="s">
        <v>153</v>
      </c>
      <c r="C1236" s="129"/>
      <c r="D1236" s="129"/>
      <c r="E1236" s="19" t="n">
        <f aca="false">F1236*0.03</f>
        <v>0</v>
      </c>
      <c r="F1236" s="33" t="n">
        <v>0</v>
      </c>
      <c r="G1236" s="131"/>
      <c r="H1236" s="35" t="n">
        <v>0</v>
      </c>
      <c r="I1236" s="34" t="n">
        <f aca="false">+IF(E1236=0,0,E1236*0.03)</f>
        <v>0</v>
      </c>
      <c r="J1236" s="93"/>
      <c r="K1236" s="93"/>
      <c r="L1236" s="93"/>
      <c r="M1236" s="93"/>
      <c r="N1236" s="93"/>
      <c r="O1236" s="93"/>
      <c r="P1236" s="93"/>
      <c r="Q1236" s="93"/>
      <c r="R1236" s="93"/>
      <c r="S1236" s="93"/>
      <c r="T1236" s="93"/>
      <c r="U1236" s="93"/>
      <c r="V1236" s="93"/>
      <c r="W1236" s="93"/>
      <c r="X1236" s="93"/>
      <c r="Y1236" s="93"/>
      <c r="Z1236" s="93"/>
    </row>
    <row r="1237" customFormat="false" ht="16.4" hidden="false" customHeight="false" outlineLevel="0" collapsed="false">
      <c r="A1237" s="123" t="n">
        <v>45444</v>
      </c>
      <c r="B1237" s="31" t="s">
        <v>153</v>
      </c>
      <c r="C1237" s="129"/>
      <c r="D1237" s="129"/>
      <c r="E1237" s="19" t="n">
        <f aca="false">F1237*0.03</f>
        <v>0</v>
      </c>
      <c r="F1237" s="33" t="n">
        <v>0</v>
      </c>
      <c r="G1237" s="131"/>
      <c r="H1237" s="35" t="n">
        <v>0</v>
      </c>
      <c r="I1237" s="34" t="n">
        <f aca="false">+IF(E1237=0,0,E1237*0.03)</f>
        <v>0</v>
      </c>
      <c r="J1237" s="93"/>
      <c r="K1237" s="93"/>
      <c r="L1237" s="93"/>
      <c r="M1237" s="93"/>
      <c r="N1237" s="93"/>
      <c r="O1237" s="93"/>
      <c r="P1237" s="93"/>
      <c r="Q1237" s="93"/>
      <c r="R1237" s="93"/>
      <c r="S1237" s="93"/>
      <c r="T1237" s="93"/>
      <c r="U1237" s="93"/>
      <c r="V1237" s="93"/>
      <c r="W1237" s="93"/>
      <c r="X1237" s="93"/>
      <c r="Y1237" s="93"/>
      <c r="Z1237" s="93"/>
    </row>
    <row r="1238" customFormat="false" ht="16.4" hidden="false" customHeight="false" outlineLevel="0" collapsed="false">
      <c r="A1238" s="123" t="n">
        <v>45444</v>
      </c>
      <c r="B1238" s="31" t="s">
        <v>153</v>
      </c>
      <c r="C1238" s="129"/>
      <c r="D1238" s="129"/>
      <c r="E1238" s="19" t="n">
        <f aca="false">F1238*0.03</f>
        <v>0</v>
      </c>
      <c r="F1238" s="33" t="n">
        <v>0</v>
      </c>
      <c r="G1238" s="131"/>
      <c r="H1238" s="35" t="n">
        <v>0</v>
      </c>
      <c r="I1238" s="34" t="n">
        <f aca="false">+IF(E1238=0,0,E1238*0.03)</f>
        <v>0</v>
      </c>
      <c r="J1238" s="93"/>
      <c r="K1238" s="93"/>
      <c r="L1238" s="93"/>
      <c r="M1238" s="93"/>
      <c r="N1238" s="93"/>
      <c r="O1238" s="93"/>
      <c r="P1238" s="93"/>
      <c r="Q1238" s="93"/>
      <c r="R1238" s="93"/>
      <c r="S1238" s="93"/>
      <c r="T1238" s="93"/>
      <c r="U1238" s="93"/>
      <c r="V1238" s="93"/>
      <c r="W1238" s="93"/>
      <c r="X1238" s="93"/>
      <c r="Y1238" s="93"/>
      <c r="Z1238" s="93"/>
    </row>
    <row r="1239" customFormat="false" ht="16.4" hidden="false" customHeight="false" outlineLevel="0" collapsed="false">
      <c r="A1239" s="123" t="n">
        <v>45444</v>
      </c>
      <c r="B1239" s="31" t="s">
        <v>153</v>
      </c>
      <c r="C1239" s="129"/>
      <c r="D1239" s="129"/>
      <c r="E1239" s="19" t="n">
        <f aca="false">F1239*0.03</f>
        <v>0</v>
      </c>
      <c r="F1239" s="33" t="n">
        <v>0</v>
      </c>
      <c r="G1239" s="131"/>
      <c r="H1239" s="35" t="n">
        <v>0</v>
      </c>
      <c r="I1239" s="34" t="n">
        <f aca="false">+IF(E1239=0,0,E1239*0.03)</f>
        <v>0</v>
      </c>
      <c r="J1239" s="93"/>
      <c r="K1239" s="93"/>
      <c r="L1239" s="93"/>
      <c r="M1239" s="93"/>
      <c r="N1239" s="93"/>
      <c r="O1239" s="93"/>
      <c r="P1239" s="93"/>
      <c r="Q1239" s="93"/>
      <c r="R1239" s="93"/>
      <c r="S1239" s="93"/>
      <c r="T1239" s="93"/>
      <c r="U1239" s="93"/>
      <c r="V1239" s="93"/>
      <c r="W1239" s="93"/>
      <c r="X1239" s="93"/>
      <c r="Y1239" s="93"/>
      <c r="Z1239" s="93"/>
    </row>
    <row r="1240" customFormat="false" ht="16.4" hidden="false" customHeight="false" outlineLevel="0" collapsed="false">
      <c r="A1240" s="123" t="n">
        <v>45444</v>
      </c>
      <c r="B1240" s="31" t="s">
        <v>153</v>
      </c>
      <c r="C1240" s="129"/>
      <c r="D1240" s="129"/>
      <c r="E1240" s="19" t="n">
        <f aca="false">F1240*0.03</f>
        <v>0</v>
      </c>
      <c r="F1240" s="33" t="n">
        <v>0</v>
      </c>
      <c r="G1240" s="131"/>
      <c r="H1240" s="35" t="n">
        <v>0</v>
      </c>
      <c r="I1240" s="34" t="n">
        <f aca="false">+IF(E1240=0,0,E1240*0.03)</f>
        <v>0</v>
      </c>
      <c r="J1240" s="93"/>
      <c r="K1240" s="93"/>
      <c r="L1240" s="93"/>
      <c r="M1240" s="93"/>
      <c r="N1240" s="93"/>
      <c r="O1240" s="93"/>
      <c r="P1240" s="93"/>
      <c r="Q1240" s="93"/>
      <c r="R1240" s="93"/>
      <c r="S1240" s="93"/>
      <c r="T1240" s="93"/>
      <c r="U1240" s="93"/>
      <c r="V1240" s="93"/>
      <c r="W1240" s="93"/>
      <c r="X1240" s="93"/>
      <c r="Y1240" s="93"/>
      <c r="Z1240" s="93"/>
    </row>
    <row r="1241" customFormat="false" ht="16.4" hidden="false" customHeight="false" outlineLevel="0" collapsed="false">
      <c r="A1241" s="123" t="n">
        <v>45444</v>
      </c>
      <c r="B1241" s="31" t="s">
        <v>153</v>
      </c>
      <c r="C1241" s="129"/>
      <c r="D1241" s="129"/>
      <c r="E1241" s="19" t="n">
        <f aca="false">F1241*0.03</f>
        <v>0</v>
      </c>
      <c r="F1241" s="33" t="n">
        <v>0</v>
      </c>
      <c r="G1241" s="131"/>
      <c r="H1241" s="35" t="n">
        <v>0</v>
      </c>
      <c r="I1241" s="34" t="n">
        <f aca="false">+IF(E1241=0,0,E1241*0.03)</f>
        <v>0</v>
      </c>
      <c r="J1241" s="93"/>
      <c r="K1241" s="93"/>
      <c r="L1241" s="93"/>
      <c r="M1241" s="93"/>
      <c r="N1241" s="93"/>
      <c r="O1241" s="93"/>
      <c r="P1241" s="93"/>
      <c r="Q1241" s="93"/>
      <c r="R1241" s="93"/>
      <c r="S1241" s="93"/>
      <c r="T1241" s="93"/>
      <c r="U1241" s="93"/>
      <c r="V1241" s="93"/>
      <c r="W1241" s="93"/>
      <c r="X1241" s="93"/>
      <c r="Y1241" s="93"/>
      <c r="Z1241" s="93"/>
    </row>
    <row r="1242" customFormat="false" ht="16.4" hidden="false" customHeight="false" outlineLevel="0" collapsed="false">
      <c r="A1242" s="123" t="n">
        <v>45444</v>
      </c>
      <c r="B1242" s="31" t="s">
        <v>153</v>
      </c>
      <c r="C1242" s="129"/>
      <c r="D1242" s="129"/>
      <c r="E1242" s="19" t="n">
        <f aca="false">F1242*0.03</f>
        <v>0</v>
      </c>
      <c r="F1242" s="33" t="n">
        <v>0</v>
      </c>
      <c r="G1242" s="131"/>
      <c r="H1242" s="35" t="n">
        <v>0</v>
      </c>
      <c r="I1242" s="34" t="n">
        <f aca="false">+IF(E1242=0,0,E1242*0.03)</f>
        <v>0</v>
      </c>
      <c r="J1242" s="93"/>
      <c r="K1242" s="93"/>
      <c r="L1242" s="93"/>
      <c r="M1242" s="93"/>
      <c r="N1242" s="93"/>
      <c r="O1242" s="93"/>
      <c r="P1242" s="93"/>
      <c r="Q1242" s="93"/>
      <c r="R1242" s="93"/>
      <c r="S1242" s="93"/>
      <c r="T1242" s="93"/>
      <c r="U1242" s="93"/>
      <c r="V1242" s="93"/>
      <c r="W1242" s="93"/>
      <c r="X1242" s="93"/>
      <c r="Y1242" s="93"/>
      <c r="Z1242" s="93"/>
    </row>
    <row r="1243" customFormat="false" ht="16.4" hidden="false" customHeight="false" outlineLevel="0" collapsed="false">
      <c r="A1243" s="123" t="n">
        <v>45444</v>
      </c>
      <c r="B1243" s="31" t="s">
        <v>153</v>
      </c>
      <c r="C1243" s="129"/>
      <c r="D1243" s="129"/>
      <c r="E1243" s="19" t="n">
        <f aca="false">F1243*0.03</f>
        <v>0</v>
      </c>
      <c r="F1243" s="33" t="n">
        <v>0</v>
      </c>
      <c r="G1243" s="131"/>
      <c r="H1243" s="35" t="n">
        <v>0</v>
      </c>
      <c r="I1243" s="34" t="n">
        <f aca="false">+IF(E1243=0,0,E1243*0.03)</f>
        <v>0</v>
      </c>
      <c r="J1243" s="93"/>
      <c r="K1243" s="93"/>
      <c r="L1243" s="93"/>
      <c r="M1243" s="93"/>
      <c r="N1243" s="93"/>
      <c r="O1243" s="93"/>
      <c r="P1243" s="93"/>
      <c r="Q1243" s="93"/>
      <c r="R1243" s="93"/>
      <c r="S1243" s="93"/>
      <c r="T1243" s="93"/>
      <c r="U1243" s="93"/>
      <c r="V1243" s="93"/>
      <c r="W1243" s="93"/>
      <c r="X1243" s="93"/>
      <c r="Y1243" s="93"/>
      <c r="Z1243" s="93"/>
    </row>
    <row r="1244" customFormat="false" ht="16.4" hidden="false" customHeight="false" outlineLevel="0" collapsed="false">
      <c r="A1244" s="123" t="n">
        <v>45444</v>
      </c>
      <c r="B1244" s="31" t="s">
        <v>153</v>
      </c>
      <c r="C1244" s="129"/>
      <c r="D1244" s="129"/>
      <c r="E1244" s="19" t="n">
        <f aca="false">F1244*0.03</f>
        <v>0</v>
      </c>
      <c r="F1244" s="33" t="n">
        <v>0</v>
      </c>
      <c r="G1244" s="131"/>
      <c r="H1244" s="35" t="n">
        <v>0</v>
      </c>
      <c r="I1244" s="34" t="n">
        <f aca="false">+IF(E1244=0,0,E1244*0.03)</f>
        <v>0</v>
      </c>
      <c r="J1244" s="93"/>
      <c r="K1244" s="93"/>
      <c r="L1244" s="93"/>
      <c r="M1244" s="93"/>
      <c r="N1244" s="93"/>
      <c r="O1244" s="93"/>
      <c r="P1244" s="93"/>
      <c r="Q1244" s="93"/>
      <c r="R1244" s="93"/>
      <c r="S1244" s="93"/>
      <c r="T1244" s="93"/>
      <c r="U1244" s="93"/>
      <c r="V1244" s="93"/>
      <c r="W1244" s="93"/>
      <c r="X1244" s="93"/>
      <c r="Y1244" s="93"/>
      <c r="Z1244" s="93"/>
    </row>
    <row r="1245" customFormat="false" ht="16.4" hidden="false" customHeight="false" outlineLevel="0" collapsed="false">
      <c r="A1245" s="123" t="n">
        <v>45444</v>
      </c>
      <c r="B1245" s="31" t="s">
        <v>153</v>
      </c>
      <c r="C1245" s="129"/>
      <c r="D1245" s="129"/>
      <c r="E1245" s="19" t="n">
        <f aca="false">F1245*0.03</f>
        <v>0</v>
      </c>
      <c r="F1245" s="33" t="n">
        <v>0</v>
      </c>
      <c r="G1245" s="131"/>
      <c r="H1245" s="35" t="n">
        <v>0</v>
      </c>
      <c r="I1245" s="34" t="n">
        <f aca="false">+IF(E1245=0,0,E1245*0.03)</f>
        <v>0</v>
      </c>
      <c r="J1245" s="93"/>
      <c r="K1245" s="93"/>
      <c r="L1245" s="93"/>
      <c r="M1245" s="93"/>
      <c r="N1245" s="93"/>
      <c r="O1245" s="93"/>
      <c r="P1245" s="93"/>
      <c r="Q1245" s="93"/>
      <c r="R1245" s="93"/>
      <c r="S1245" s="93"/>
      <c r="T1245" s="93"/>
      <c r="U1245" s="93"/>
      <c r="V1245" s="93"/>
      <c r="W1245" s="93"/>
      <c r="X1245" s="93"/>
      <c r="Y1245" s="93"/>
      <c r="Z1245" s="93"/>
    </row>
    <row r="1246" customFormat="false" ht="16.4" hidden="false" customHeight="false" outlineLevel="0" collapsed="false">
      <c r="A1246" s="123" t="n">
        <v>45444</v>
      </c>
      <c r="B1246" s="31" t="s">
        <v>153</v>
      </c>
      <c r="C1246" s="129"/>
      <c r="D1246" s="129"/>
      <c r="E1246" s="19" t="n">
        <f aca="false">F1246*0.03</f>
        <v>0</v>
      </c>
      <c r="F1246" s="33" t="n">
        <v>0</v>
      </c>
      <c r="G1246" s="131"/>
      <c r="H1246" s="35" t="n">
        <v>0</v>
      </c>
      <c r="I1246" s="34" t="n">
        <f aca="false">+IF(E1246=0,0,E1246*0.03)</f>
        <v>0</v>
      </c>
      <c r="J1246" s="93"/>
      <c r="K1246" s="93"/>
      <c r="L1246" s="93"/>
      <c r="M1246" s="93"/>
      <c r="N1246" s="93"/>
      <c r="O1246" s="93"/>
      <c r="P1246" s="93"/>
      <c r="Q1246" s="93"/>
      <c r="R1246" s="93"/>
      <c r="S1246" s="93"/>
      <c r="T1246" s="93"/>
      <c r="U1246" s="93"/>
      <c r="V1246" s="93"/>
      <c r="W1246" s="93"/>
      <c r="X1246" s="93"/>
      <c r="Y1246" s="93"/>
      <c r="Z1246" s="93"/>
    </row>
    <row r="1247" customFormat="false" ht="16.4" hidden="false" customHeight="false" outlineLevel="0" collapsed="false">
      <c r="A1247" s="123" t="n">
        <v>45444</v>
      </c>
      <c r="B1247" s="31" t="s">
        <v>153</v>
      </c>
      <c r="C1247" s="129"/>
      <c r="D1247" s="129"/>
      <c r="E1247" s="19" t="n">
        <f aca="false">F1247*0.03</f>
        <v>0</v>
      </c>
      <c r="F1247" s="33" t="n">
        <v>0</v>
      </c>
      <c r="G1247" s="131"/>
      <c r="H1247" s="35" t="n">
        <v>0</v>
      </c>
      <c r="I1247" s="34" t="n">
        <f aca="false">+IF(E1247=0,0,E1247*0.03)</f>
        <v>0</v>
      </c>
      <c r="J1247" s="93"/>
      <c r="K1247" s="93"/>
      <c r="L1247" s="93"/>
      <c r="M1247" s="93"/>
      <c r="N1247" s="93"/>
      <c r="O1247" s="93"/>
      <c r="P1247" s="93"/>
      <c r="Q1247" s="93"/>
      <c r="R1247" s="93"/>
      <c r="S1247" s="93"/>
      <c r="T1247" s="93"/>
      <c r="U1247" s="93"/>
      <c r="V1247" s="93"/>
      <c r="W1247" s="93"/>
      <c r="X1247" s="93"/>
      <c r="Y1247" s="93"/>
      <c r="Z1247" s="93"/>
    </row>
    <row r="1248" customFormat="false" ht="16.4" hidden="false" customHeight="false" outlineLevel="0" collapsed="false">
      <c r="A1248" s="123" t="n">
        <v>45444</v>
      </c>
      <c r="B1248" s="31" t="s">
        <v>153</v>
      </c>
      <c r="C1248" s="129"/>
      <c r="D1248" s="129"/>
      <c r="E1248" s="19" t="n">
        <f aca="false">F1248*0.03</f>
        <v>0</v>
      </c>
      <c r="F1248" s="33" t="n">
        <v>0</v>
      </c>
      <c r="G1248" s="131"/>
      <c r="H1248" s="35" t="n">
        <v>0</v>
      </c>
      <c r="I1248" s="34" t="n">
        <f aca="false">+IF(E1248=0,0,E1248*0.03)</f>
        <v>0</v>
      </c>
      <c r="J1248" s="93"/>
      <c r="K1248" s="93"/>
      <c r="L1248" s="93"/>
      <c r="M1248" s="93"/>
      <c r="N1248" s="93"/>
      <c r="O1248" s="93"/>
      <c r="P1248" s="93"/>
      <c r="Q1248" s="93"/>
      <c r="R1248" s="93"/>
      <c r="S1248" s="93"/>
      <c r="T1248" s="93"/>
      <c r="U1248" s="93"/>
      <c r="V1248" s="93"/>
      <c r="W1248" s="93"/>
      <c r="X1248" s="93"/>
      <c r="Y1248" s="93"/>
      <c r="Z1248" s="93"/>
    </row>
    <row r="1249" customFormat="false" ht="16.4" hidden="false" customHeight="false" outlineLevel="0" collapsed="false">
      <c r="A1249" s="123" t="n">
        <v>45444</v>
      </c>
      <c r="B1249" s="31" t="s">
        <v>153</v>
      </c>
      <c r="C1249" s="129"/>
      <c r="D1249" s="129"/>
      <c r="E1249" s="19" t="n">
        <f aca="false">F1249*0.03</f>
        <v>0</v>
      </c>
      <c r="F1249" s="33" t="n">
        <v>0</v>
      </c>
      <c r="G1249" s="131"/>
      <c r="H1249" s="35" t="n">
        <v>0</v>
      </c>
      <c r="I1249" s="34" t="n">
        <f aca="false">+IF(E1249=0,0,E1249*0.03)</f>
        <v>0</v>
      </c>
      <c r="J1249" s="93"/>
      <c r="K1249" s="93"/>
      <c r="L1249" s="93"/>
      <c r="M1249" s="93"/>
      <c r="N1249" s="93"/>
      <c r="O1249" s="93"/>
      <c r="P1249" s="93"/>
      <c r="Q1249" s="93"/>
      <c r="R1249" s="93"/>
      <c r="S1249" s="93"/>
      <c r="T1249" s="93"/>
      <c r="U1249" s="93"/>
      <c r="V1249" s="93"/>
      <c r="W1249" s="93"/>
      <c r="X1249" s="93"/>
      <c r="Y1249" s="93"/>
      <c r="Z1249" s="93"/>
    </row>
    <row r="1250" customFormat="false" ht="16.4" hidden="false" customHeight="false" outlineLevel="0" collapsed="false">
      <c r="A1250" s="123" t="n">
        <v>45444</v>
      </c>
      <c r="B1250" s="31" t="s">
        <v>153</v>
      </c>
      <c r="C1250" s="129"/>
      <c r="D1250" s="129"/>
      <c r="E1250" s="19" t="n">
        <f aca="false">F1250*0.03</f>
        <v>0</v>
      </c>
      <c r="F1250" s="33" t="n">
        <v>0</v>
      </c>
      <c r="G1250" s="131"/>
      <c r="H1250" s="35" t="n">
        <v>0</v>
      </c>
      <c r="I1250" s="34" t="n">
        <f aca="false">+IF(E1250=0,0,E1250*0.03)</f>
        <v>0</v>
      </c>
      <c r="J1250" s="93"/>
      <c r="K1250" s="93"/>
      <c r="L1250" s="93"/>
      <c r="M1250" s="93"/>
      <c r="N1250" s="93"/>
      <c r="O1250" s="93"/>
      <c r="P1250" s="93"/>
      <c r="Q1250" s="93"/>
      <c r="R1250" s="93"/>
      <c r="S1250" s="93"/>
      <c r="T1250" s="93"/>
      <c r="U1250" s="93"/>
      <c r="V1250" s="93"/>
      <c r="W1250" s="93"/>
      <c r="X1250" s="93"/>
      <c r="Y1250" s="93"/>
      <c r="Z1250" s="93"/>
    </row>
    <row r="1251" customFormat="false" ht="16.4" hidden="false" customHeight="false" outlineLevel="0" collapsed="false">
      <c r="A1251" s="123" t="n">
        <v>45444</v>
      </c>
      <c r="B1251" s="31" t="s">
        <v>153</v>
      </c>
      <c r="C1251" s="129"/>
      <c r="D1251" s="129"/>
      <c r="E1251" s="19" t="n">
        <f aca="false">F1251*0.03</f>
        <v>0</v>
      </c>
      <c r="F1251" s="33" t="n">
        <v>0</v>
      </c>
      <c r="G1251" s="131"/>
      <c r="H1251" s="35" t="n">
        <v>0</v>
      </c>
      <c r="I1251" s="34" t="n">
        <f aca="false">+IF(E1251=0,0,E1251*0.03)</f>
        <v>0</v>
      </c>
      <c r="J1251" s="93"/>
      <c r="K1251" s="93"/>
      <c r="L1251" s="93"/>
      <c r="M1251" s="93"/>
      <c r="N1251" s="93"/>
      <c r="O1251" s="93"/>
      <c r="P1251" s="93"/>
      <c r="Q1251" s="93"/>
      <c r="R1251" s="93"/>
      <c r="S1251" s="93"/>
      <c r="T1251" s="93"/>
      <c r="U1251" s="93"/>
      <c r="V1251" s="93"/>
      <c r="W1251" s="93"/>
      <c r="X1251" s="93"/>
      <c r="Y1251" s="93"/>
      <c r="Z1251" s="93"/>
    </row>
    <row r="1252" customFormat="false" ht="16.4" hidden="false" customHeight="false" outlineLevel="0" collapsed="false">
      <c r="A1252" s="123" t="n">
        <v>45444</v>
      </c>
      <c r="B1252" s="31" t="s">
        <v>153</v>
      </c>
      <c r="C1252" s="129"/>
      <c r="D1252" s="129"/>
      <c r="E1252" s="19" t="n">
        <f aca="false">F1252*0.03</f>
        <v>0</v>
      </c>
      <c r="F1252" s="33" t="n">
        <v>0</v>
      </c>
      <c r="G1252" s="131"/>
      <c r="H1252" s="35" t="n">
        <v>0</v>
      </c>
      <c r="I1252" s="34" t="n">
        <f aca="false">+IF(E1252=0,0,E1252*0.03)</f>
        <v>0</v>
      </c>
      <c r="J1252" s="93"/>
      <c r="K1252" s="93"/>
      <c r="L1252" s="93"/>
      <c r="M1252" s="93"/>
      <c r="N1252" s="93"/>
      <c r="O1252" s="93"/>
      <c r="P1252" s="93"/>
      <c r="Q1252" s="93"/>
      <c r="R1252" s="93"/>
      <c r="S1252" s="93"/>
      <c r="T1252" s="93"/>
      <c r="U1252" s="93"/>
      <c r="V1252" s="93"/>
      <c r="W1252" s="93"/>
      <c r="X1252" s="93"/>
      <c r="Y1252" s="93"/>
      <c r="Z1252" s="93"/>
    </row>
    <row r="1253" customFormat="false" ht="16.4" hidden="false" customHeight="false" outlineLevel="0" collapsed="false">
      <c r="A1253" s="123" t="n">
        <v>45444</v>
      </c>
      <c r="B1253" s="31" t="s">
        <v>153</v>
      </c>
      <c r="C1253" s="129"/>
      <c r="D1253" s="129"/>
      <c r="E1253" s="19" t="n">
        <f aca="false">F1253*0.03</f>
        <v>0</v>
      </c>
      <c r="F1253" s="33" t="n">
        <v>0</v>
      </c>
      <c r="G1253" s="131"/>
      <c r="H1253" s="35" t="n">
        <v>0</v>
      </c>
      <c r="I1253" s="34" t="n">
        <f aca="false">+IF(E1253=0,0,E1253*0.03)</f>
        <v>0</v>
      </c>
      <c r="J1253" s="93"/>
      <c r="K1253" s="93"/>
      <c r="L1253" s="93"/>
      <c r="M1253" s="93"/>
      <c r="N1253" s="93"/>
      <c r="O1253" s="93"/>
      <c r="P1253" s="93"/>
      <c r="Q1253" s="93"/>
      <c r="R1253" s="93"/>
      <c r="S1253" s="93"/>
      <c r="T1253" s="93"/>
      <c r="U1253" s="93"/>
      <c r="V1253" s="93"/>
      <c r="W1253" s="93"/>
      <c r="X1253" s="93"/>
      <c r="Y1253" s="93"/>
      <c r="Z1253" s="93"/>
    </row>
    <row r="1254" customFormat="false" ht="16.4" hidden="false" customHeight="false" outlineLevel="0" collapsed="false">
      <c r="A1254" s="123" t="n">
        <v>45444</v>
      </c>
      <c r="B1254" s="31" t="s">
        <v>153</v>
      </c>
      <c r="C1254" s="129"/>
      <c r="D1254" s="129"/>
      <c r="E1254" s="19" t="n">
        <f aca="false">F1254*0.03</f>
        <v>0</v>
      </c>
      <c r="F1254" s="33" t="n">
        <v>0</v>
      </c>
      <c r="G1254" s="131"/>
      <c r="H1254" s="35" t="n">
        <v>0</v>
      </c>
      <c r="I1254" s="34" t="n">
        <f aca="false">+IF(E1254=0,0,E1254*0.03)</f>
        <v>0</v>
      </c>
      <c r="J1254" s="93"/>
      <c r="K1254" s="93"/>
      <c r="L1254" s="93"/>
      <c r="M1254" s="93"/>
      <c r="N1254" s="93"/>
      <c r="O1254" s="93"/>
      <c r="P1254" s="93"/>
      <c r="Q1254" s="93"/>
      <c r="R1254" s="93"/>
      <c r="S1254" s="93"/>
      <c r="T1254" s="93"/>
      <c r="U1254" s="93"/>
      <c r="V1254" s="93"/>
      <c r="W1254" s="93"/>
      <c r="X1254" s="93"/>
      <c r="Y1254" s="93"/>
      <c r="Z1254" s="93"/>
    </row>
    <row r="1255" customFormat="false" ht="16.4" hidden="false" customHeight="false" outlineLevel="0" collapsed="false">
      <c r="A1255" s="123" t="n">
        <v>45444</v>
      </c>
      <c r="B1255" s="31" t="s">
        <v>153</v>
      </c>
      <c r="C1255" s="129"/>
      <c r="D1255" s="129"/>
      <c r="E1255" s="19" t="n">
        <f aca="false">F1255*0.03</f>
        <v>0</v>
      </c>
      <c r="F1255" s="33" t="n">
        <v>0</v>
      </c>
      <c r="G1255" s="131"/>
      <c r="H1255" s="35" t="n">
        <v>0</v>
      </c>
      <c r="I1255" s="34" t="n">
        <f aca="false">+IF(E1255=0,0,E1255*0.03)</f>
        <v>0</v>
      </c>
      <c r="J1255" s="93"/>
      <c r="K1255" s="93"/>
      <c r="L1255" s="93"/>
      <c r="M1255" s="93"/>
      <c r="N1255" s="93"/>
      <c r="O1255" s="93"/>
      <c r="P1255" s="93"/>
      <c r="Q1255" s="93"/>
      <c r="R1255" s="93"/>
      <c r="S1255" s="93"/>
      <c r="T1255" s="93"/>
      <c r="U1255" s="93"/>
      <c r="V1255" s="93"/>
      <c r="W1255" s="93"/>
      <c r="X1255" s="93"/>
      <c r="Y1255" s="93"/>
      <c r="Z1255" s="93"/>
    </row>
    <row r="1256" customFormat="false" ht="16.4" hidden="false" customHeight="false" outlineLevel="0" collapsed="false">
      <c r="A1256" s="123" t="n">
        <v>45444</v>
      </c>
      <c r="B1256" s="31" t="s">
        <v>153</v>
      </c>
      <c r="C1256" s="129"/>
      <c r="D1256" s="129"/>
      <c r="E1256" s="19" t="n">
        <f aca="false">F1256*0.03</f>
        <v>0</v>
      </c>
      <c r="F1256" s="33" t="n">
        <v>0</v>
      </c>
      <c r="G1256" s="131"/>
      <c r="H1256" s="35" t="n">
        <v>0</v>
      </c>
      <c r="I1256" s="34" t="n">
        <f aca="false">+IF(E1256=0,0,E1256*0.03)</f>
        <v>0</v>
      </c>
      <c r="J1256" s="93"/>
      <c r="K1256" s="93"/>
      <c r="L1256" s="93"/>
      <c r="M1256" s="93"/>
      <c r="N1256" s="93"/>
      <c r="O1256" s="93"/>
      <c r="P1256" s="93"/>
      <c r="Q1256" s="93"/>
      <c r="R1256" s="93"/>
      <c r="S1256" s="93"/>
      <c r="T1256" s="93"/>
      <c r="U1256" s="93"/>
      <c r="V1256" s="93"/>
      <c r="W1256" s="93"/>
      <c r="X1256" s="93"/>
      <c r="Y1256" s="93"/>
      <c r="Z1256" s="93"/>
    </row>
    <row r="1257" customFormat="false" ht="16.4" hidden="false" customHeight="false" outlineLevel="0" collapsed="false">
      <c r="A1257" s="123" t="n">
        <v>45444</v>
      </c>
      <c r="B1257" s="31" t="s">
        <v>153</v>
      </c>
      <c r="C1257" s="129"/>
      <c r="D1257" s="129"/>
      <c r="E1257" s="19" t="n">
        <f aca="false">F1257*0.03</f>
        <v>0</v>
      </c>
      <c r="F1257" s="33" t="n">
        <v>0</v>
      </c>
      <c r="G1257" s="131"/>
      <c r="H1257" s="35" t="n">
        <v>0</v>
      </c>
      <c r="I1257" s="34" t="n">
        <f aca="false">+IF(E1257=0,0,E1257*0.03)</f>
        <v>0</v>
      </c>
      <c r="J1257" s="93"/>
      <c r="K1257" s="93"/>
      <c r="L1257" s="93"/>
      <c r="M1257" s="93"/>
      <c r="N1257" s="93"/>
      <c r="O1257" s="93"/>
      <c r="P1257" s="93"/>
      <c r="Q1257" s="93"/>
      <c r="R1257" s="93"/>
      <c r="S1257" s="93"/>
      <c r="T1257" s="93"/>
      <c r="U1257" s="93"/>
      <c r="V1257" s="93"/>
      <c r="W1257" s="93"/>
      <c r="X1257" s="93"/>
      <c r="Y1257" s="93"/>
      <c r="Z1257" s="93"/>
    </row>
    <row r="1258" customFormat="false" ht="16.4" hidden="false" customHeight="false" outlineLevel="0" collapsed="false">
      <c r="A1258" s="123" t="n">
        <v>45444</v>
      </c>
      <c r="B1258" s="31" t="s">
        <v>153</v>
      </c>
      <c r="C1258" s="129"/>
      <c r="D1258" s="129"/>
      <c r="E1258" s="19" t="n">
        <f aca="false">F1258*0.03</f>
        <v>0</v>
      </c>
      <c r="F1258" s="33" t="n">
        <v>0</v>
      </c>
      <c r="G1258" s="131"/>
      <c r="H1258" s="35" t="n">
        <v>0</v>
      </c>
      <c r="I1258" s="34" t="n">
        <f aca="false">+IF(E1258=0,0,E1258*0.03)</f>
        <v>0</v>
      </c>
      <c r="J1258" s="93"/>
      <c r="K1258" s="93"/>
      <c r="L1258" s="93"/>
      <c r="M1258" s="93"/>
      <c r="N1258" s="93"/>
      <c r="O1258" s="93"/>
      <c r="P1258" s="93"/>
      <c r="Q1258" s="93"/>
      <c r="R1258" s="93"/>
      <c r="S1258" s="93"/>
      <c r="T1258" s="93"/>
      <c r="U1258" s="93"/>
      <c r="V1258" s="93"/>
      <c r="W1258" s="93"/>
      <c r="X1258" s="93"/>
      <c r="Y1258" s="93"/>
      <c r="Z1258" s="93"/>
    </row>
    <row r="1259" customFormat="false" ht="16.4" hidden="false" customHeight="false" outlineLevel="0" collapsed="false">
      <c r="A1259" s="123" t="n">
        <v>45444</v>
      </c>
      <c r="B1259" s="31" t="s">
        <v>153</v>
      </c>
      <c r="C1259" s="129"/>
      <c r="D1259" s="129"/>
      <c r="E1259" s="19" t="n">
        <f aca="false">F1259*0.03</f>
        <v>0</v>
      </c>
      <c r="F1259" s="33" t="n">
        <v>0</v>
      </c>
      <c r="G1259" s="131"/>
      <c r="H1259" s="35" t="n">
        <v>0</v>
      </c>
      <c r="I1259" s="34" t="n">
        <f aca="false">+IF(E1259=0,0,E1259*0.03)</f>
        <v>0</v>
      </c>
      <c r="J1259" s="93"/>
      <c r="K1259" s="93"/>
      <c r="L1259" s="93"/>
      <c r="M1259" s="93"/>
      <c r="N1259" s="93"/>
      <c r="O1259" s="93"/>
      <c r="P1259" s="93"/>
      <c r="Q1259" s="93"/>
      <c r="R1259" s="93"/>
      <c r="S1259" s="93"/>
      <c r="T1259" s="93"/>
      <c r="U1259" s="93"/>
      <c r="V1259" s="93"/>
      <c r="W1259" s="93"/>
      <c r="X1259" s="93"/>
      <c r="Y1259" s="93"/>
      <c r="Z1259" s="93"/>
    </row>
    <row r="1260" customFormat="false" ht="16.4" hidden="false" customHeight="false" outlineLevel="0" collapsed="false">
      <c r="A1260" s="123" t="n">
        <v>45444</v>
      </c>
      <c r="B1260" s="31" t="s">
        <v>153</v>
      </c>
      <c r="C1260" s="129"/>
      <c r="D1260" s="129"/>
      <c r="E1260" s="19" t="n">
        <f aca="false">F1260*0.03</f>
        <v>0</v>
      </c>
      <c r="F1260" s="33" t="n">
        <v>0</v>
      </c>
      <c r="G1260" s="131"/>
      <c r="H1260" s="35" t="n">
        <v>0</v>
      </c>
      <c r="I1260" s="34" t="n">
        <f aca="false">+IF(E1260=0,0,E1260*0.03)</f>
        <v>0</v>
      </c>
      <c r="J1260" s="93"/>
      <c r="K1260" s="93"/>
      <c r="L1260" s="93"/>
      <c r="M1260" s="93"/>
      <c r="N1260" s="93"/>
      <c r="O1260" s="93"/>
      <c r="P1260" s="93"/>
      <c r="Q1260" s="93"/>
      <c r="R1260" s="93"/>
      <c r="S1260" s="93"/>
      <c r="T1260" s="93"/>
      <c r="U1260" s="93"/>
      <c r="V1260" s="93"/>
      <c r="W1260" s="93"/>
      <c r="X1260" s="93"/>
      <c r="Y1260" s="93"/>
      <c r="Z1260" s="93"/>
    </row>
    <row r="1261" customFormat="false" ht="16.4" hidden="false" customHeight="false" outlineLevel="0" collapsed="false">
      <c r="A1261" s="123" t="n">
        <v>45444</v>
      </c>
      <c r="B1261" s="31" t="s">
        <v>153</v>
      </c>
      <c r="C1261" s="129"/>
      <c r="D1261" s="129"/>
      <c r="E1261" s="19" t="n">
        <f aca="false">F1261*0.03</f>
        <v>0</v>
      </c>
      <c r="F1261" s="33" t="n">
        <v>0</v>
      </c>
      <c r="G1261" s="131"/>
      <c r="H1261" s="35" t="n">
        <v>0</v>
      </c>
      <c r="I1261" s="34" t="n">
        <f aca="false">+IF(E1261=0,0,E1261*0.03)</f>
        <v>0</v>
      </c>
      <c r="J1261" s="93"/>
      <c r="K1261" s="93"/>
      <c r="L1261" s="93"/>
      <c r="M1261" s="93"/>
      <c r="N1261" s="93"/>
      <c r="O1261" s="93"/>
      <c r="P1261" s="93"/>
      <c r="Q1261" s="93"/>
      <c r="R1261" s="93"/>
      <c r="S1261" s="93"/>
      <c r="T1261" s="93"/>
      <c r="U1261" s="93"/>
      <c r="V1261" s="93"/>
      <c r="W1261" s="93"/>
      <c r="X1261" s="93"/>
      <c r="Y1261" s="93"/>
      <c r="Z1261" s="93"/>
    </row>
    <row r="1262" customFormat="false" ht="16.4" hidden="false" customHeight="false" outlineLevel="0" collapsed="false">
      <c r="A1262" s="123" t="n">
        <v>45444</v>
      </c>
      <c r="B1262" s="31" t="s">
        <v>153</v>
      </c>
      <c r="C1262" s="129"/>
      <c r="D1262" s="129"/>
      <c r="E1262" s="19" t="n">
        <f aca="false">F1262*0.03</f>
        <v>0</v>
      </c>
      <c r="F1262" s="33" t="n">
        <v>0</v>
      </c>
      <c r="G1262" s="131"/>
      <c r="H1262" s="35" t="n">
        <v>0</v>
      </c>
      <c r="I1262" s="34" t="n">
        <f aca="false">+IF(E1262=0,0,E1262*0.03)</f>
        <v>0</v>
      </c>
      <c r="J1262" s="93"/>
      <c r="K1262" s="93"/>
      <c r="L1262" s="93"/>
      <c r="M1262" s="93"/>
      <c r="N1262" s="93"/>
      <c r="O1262" s="93"/>
      <c r="P1262" s="93"/>
      <c r="Q1262" s="93"/>
      <c r="R1262" s="93"/>
      <c r="S1262" s="93"/>
      <c r="T1262" s="93"/>
      <c r="U1262" s="93"/>
      <c r="V1262" s="93"/>
      <c r="W1262" s="93"/>
      <c r="X1262" s="93"/>
      <c r="Y1262" s="93"/>
      <c r="Z1262" s="93"/>
    </row>
    <row r="1263" customFormat="false" ht="16.4" hidden="false" customHeight="false" outlineLevel="0" collapsed="false">
      <c r="A1263" s="123" t="n">
        <v>45444</v>
      </c>
      <c r="B1263" s="31" t="s">
        <v>153</v>
      </c>
      <c r="C1263" s="129"/>
      <c r="D1263" s="129"/>
      <c r="E1263" s="19" t="n">
        <f aca="false">F1263*0.03</f>
        <v>0</v>
      </c>
      <c r="F1263" s="33" t="n">
        <v>0</v>
      </c>
      <c r="G1263" s="131"/>
      <c r="H1263" s="35" t="n">
        <v>0</v>
      </c>
      <c r="I1263" s="34" t="n">
        <f aca="false">+IF(E1263=0,0,E1263*0.03)</f>
        <v>0</v>
      </c>
      <c r="J1263" s="93"/>
      <c r="K1263" s="93"/>
      <c r="L1263" s="93"/>
      <c r="M1263" s="93"/>
      <c r="N1263" s="93"/>
      <c r="O1263" s="93"/>
      <c r="P1263" s="93"/>
      <c r="Q1263" s="93"/>
      <c r="R1263" s="93"/>
      <c r="S1263" s="93"/>
      <c r="T1263" s="93"/>
      <c r="U1263" s="93"/>
      <c r="V1263" s="93"/>
      <c r="W1263" s="93"/>
      <c r="X1263" s="93"/>
      <c r="Y1263" s="93"/>
      <c r="Z1263" s="93"/>
    </row>
    <row r="1264" customFormat="false" ht="16.4" hidden="false" customHeight="false" outlineLevel="0" collapsed="false">
      <c r="A1264" s="123" t="n">
        <v>45444</v>
      </c>
      <c r="B1264" s="31" t="s">
        <v>153</v>
      </c>
      <c r="C1264" s="129"/>
      <c r="D1264" s="129"/>
      <c r="E1264" s="19" t="n">
        <f aca="false">F1264*0.03</f>
        <v>0</v>
      </c>
      <c r="F1264" s="33" t="n">
        <v>0</v>
      </c>
      <c r="G1264" s="131"/>
      <c r="H1264" s="35" t="n">
        <v>0</v>
      </c>
      <c r="I1264" s="34" t="n">
        <f aca="false">+IF(E1264=0,0,E1264*0.03)</f>
        <v>0</v>
      </c>
      <c r="J1264" s="93"/>
      <c r="K1264" s="93"/>
      <c r="L1264" s="93"/>
      <c r="M1264" s="93"/>
      <c r="N1264" s="93"/>
      <c r="O1264" s="93"/>
      <c r="P1264" s="93"/>
      <c r="Q1264" s="93"/>
      <c r="R1264" s="93"/>
      <c r="S1264" s="93"/>
      <c r="T1264" s="93"/>
      <c r="U1264" s="93"/>
      <c r="V1264" s="93"/>
      <c r="W1264" s="93"/>
      <c r="X1264" s="93"/>
      <c r="Y1264" s="93"/>
      <c r="Z1264" s="93"/>
    </row>
    <row r="1265" customFormat="false" ht="16.4" hidden="false" customHeight="false" outlineLevel="0" collapsed="false">
      <c r="A1265" s="123" t="n">
        <v>45444</v>
      </c>
      <c r="B1265" s="31" t="s">
        <v>153</v>
      </c>
      <c r="C1265" s="129"/>
      <c r="D1265" s="129"/>
      <c r="E1265" s="19" t="n">
        <f aca="false">F1265*0.03</f>
        <v>0</v>
      </c>
      <c r="F1265" s="33" t="n">
        <v>0</v>
      </c>
      <c r="G1265" s="131"/>
      <c r="H1265" s="35" t="n">
        <v>0</v>
      </c>
      <c r="I1265" s="34" t="n">
        <f aca="false">+IF(E1265=0,0,E1265*0.03)</f>
        <v>0</v>
      </c>
      <c r="J1265" s="93"/>
      <c r="K1265" s="93"/>
      <c r="L1265" s="93"/>
      <c r="M1265" s="93"/>
      <c r="N1265" s="93"/>
      <c r="O1265" s="93"/>
      <c r="P1265" s="93"/>
      <c r="Q1265" s="93"/>
      <c r="R1265" s="93"/>
      <c r="S1265" s="93"/>
      <c r="T1265" s="93"/>
      <c r="U1265" s="93"/>
      <c r="V1265" s="93"/>
      <c r="W1265" s="93"/>
      <c r="X1265" s="93"/>
      <c r="Y1265" s="93"/>
      <c r="Z1265" s="93"/>
    </row>
    <row r="1266" customFormat="false" ht="16.4" hidden="false" customHeight="false" outlineLevel="0" collapsed="false">
      <c r="A1266" s="123" t="n">
        <v>45444</v>
      </c>
      <c r="B1266" s="31" t="s">
        <v>153</v>
      </c>
      <c r="C1266" s="129"/>
      <c r="D1266" s="129"/>
      <c r="E1266" s="19" t="n">
        <f aca="false">F1266*0.03</f>
        <v>0</v>
      </c>
      <c r="F1266" s="33" t="n">
        <v>0</v>
      </c>
      <c r="G1266" s="131"/>
      <c r="H1266" s="35" t="n">
        <v>0</v>
      </c>
      <c r="I1266" s="34" t="n">
        <f aca="false">+IF(E1266=0,0,E1266*0.03)</f>
        <v>0</v>
      </c>
      <c r="J1266" s="93"/>
      <c r="K1266" s="93"/>
      <c r="L1266" s="93"/>
      <c r="M1266" s="93"/>
      <c r="N1266" s="93"/>
      <c r="O1266" s="93"/>
      <c r="P1266" s="93"/>
      <c r="Q1266" s="93"/>
      <c r="R1266" s="93"/>
      <c r="S1266" s="93"/>
      <c r="T1266" s="93"/>
      <c r="U1266" s="93"/>
      <c r="V1266" s="93"/>
      <c r="W1266" s="93"/>
      <c r="X1266" s="93"/>
      <c r="Y1266" s="93"/>
      <c r="Z1266" s="93"/>
    </row>
    <row r="1267" customFormat="false" ht="16.4" hidden="false" customHeight="false" outlineLevel="0" collapsed="false">
      <c r="A1267" s="123" t="n">
        <v>45444</v>
      </c>
      <c r="B1267" s="31" t="s">
        <v>153</v>
      </c>
      <c r="C1267" s="129"/>
      <c r="D1267" s="129"/>
      <c r="E1267" s="19" t="n">
        <f aca="false">F1267*0.03</f>
        <v>0</v>
      </c>
      <c r="F1267" s="33" t="n">
        <v>0</v>
      </c>
      <c r="G1267" s="131"/>
      <c r="H1267" s="35" t="n">
        <v>0</v>
      </c>
      <c r="I1267" s="34" t="n">
        <f aca="false">+IF(E1267=0,0,E1267*0.03)</f>
        <v>0</v>
      </c>
      <c r="J1267" s="93"/>
      <c r="K1267" s="93"/>
      <c r="L1267" s="93"/>
      <c r="M1267" s="93"/>
      <c r="N1267" s="93"/>
      <c r="O1267" s="93"/>
      <c r="P1267" s="93"/>
      <c r="Q1267" s="93"/>
      <c r="R1267" s="93"/>
      <c r="S1267" s="93"/>
      <c r="T1267" s="93"/>
      <c r="U1267" s="93"/>
      <c r="V1267" s="93"/>
      <c r="W1267" s="93"/>
      <c r="X1267" s="93"/>
      <c r="Y1267" s="93"/>
      <c r="Z1267" s="93"/>
    </row>
    <row r="1268" customFormat="false" ht="16.4" hidden="false" customHeight="false" outlineLevel="0" collapsed="false">
      <c r="A1268" s="123" t="n">
        <v>45444</v>
      </c>
      <c r="B1268" s="31" t="s">
        <v>153</v>
      </c>
      <c r="C1268" s="129"/>
      <c r="D1268" s="129"/>
      <c r="E1268" s="19" t="n">
        <f aca="false">F1268*0.03</f>
        <v>0</v>
      </c>
      <c r="F1268" s="33" t="n">
        <v>0</v>
      </c>
      <c r="G1268" s="131"/>
      <c r="H1268" s="35" t="n">
        <v>0</v>
      </c>
      <c r="I1268" s="34" t="n">
        <f aca="false">+IF(E1268=0,0,E1268*0.03)</f>
        <v>0</v>
      </c>
      <c r="J1268" s="93"/>
      <c r="K1268" s="93"/>
      <c r="L1268" s="93"/>
      <c r="M1268" s="93"/>
      <c r="N1268" s="93"/>
      <c r="O1268" s="93"/>
      <c r="P1268" s="93"/>
      <c r="Q1268" s="93"/>
      <c r="R1268" s="93"/>
      <c r="S1268" s="93"/>
      <c r="T1268" s="93"/>
      <c r="U1268" s="93"/>
      <c r="V1268" s="93"/>
      <c r="W1268" s="93"/>
      <c r="X1268" s="93"/>
      <c r="Y1268" s="93"/>
      <c r="Z1268" s="93"/>
    </row>
    <row r="1269" customFormat="false" ht="16.4" hidden="false" customHeight="false" outlineLevel="0" collapsed="false">
      <c r="A1269" s="123" t="n">
        <v>45444</v>
      </c>
      <c r="B1269" s="31" t="s">
        <v>153</v>
      </c>
      <c r="C1269" s="129"/>
      <c r="D1269" s="129"/>
      <c r="E1269" s="19" t="n">
        <f aca="false">F1269*0.03</f>
        <v>0</v>
      </c>
      <c r="F1269" s="33" t="n">
        <v>0</v>
      </c>
      <c r="G1269" s="131"/>
      <c r="H1269" s="35" t="n">
        <v>0</v>
      </c>
      <c r="I1269" s="34" t="n">
        <f aca="false">+IF(E1269=0,0,E1269*0.03)</f>
        <v>0</v>
      </c>
      <c r="J1269" s="93"/>
      <c r="K1269" s="93"/>
      <c r="L1269" s="93"/>
      <c r="M1269" s="93"/>
      <c r="N1269" s="93"/>
      <c r="O1269" s="93"/>
      <c r="P1269" s="93"/>
      <c r="Q1269" s="93"/>
      <c r="R1269" s="93"/>
      <c r="S1269" s="93"/>
      <c r="T1269" s="93"/>
      <c r="U1269" s="93"/>
      <c r="V1269" s="93"/>
      <c r="W1269" s="93"/>
      <c r="X1269" s="93"/>
      <c r="Y1269" s="93"/>
      <c r="Z1269" s="93"/>
    </row>
    <row r="1270" customFormat="false" ht="16.4" hidden="false" customHeight="false" outlineLevel="0" collapsed="false">
      <c r="A1270" s="123" t="n">
        <v>45444</v>
      </c>
      <c r="B1270" s="31" t="s">
        <v>153</v>
      </c>
      <c r="C1270" s="129"/>
      <c r="D1270" s="129"/>
      <c r="E1270" s="19" t="n">
        <f aca="false">F1270*0.03</f>
        <v>0</v>
      </c>
      <c r="F1270" s="33" t="n">
        <v>0</v>
      </c>
      <c r="G1270" s="131"/>
      <c r="H1270" s="35" t="n">
        <v>0</v>
      </c>
      <c r="I1270" s="34" t="n">
        <f aca="false">+IF(E1270=0,0,E1270*0.03)</f>
        <v>0</v>
      </c>
      <c r="J1270" s="93"/>
      <c r="K1270" s="93"/>
      <c r="L1270" s="93"/>
      <c r="M1270" s="93"/>
      <c r="N1270" s="93"/>
      <c r="O1270" s="93"/>
      <c r="P1270" s="93"/>
      <c r="Q1270" s="93"/>
      <c r="R1270" s="93"/>
      <c r="S1270" s="93"/>
      <c r="T1270" s="93"/>
      <c r="U1270" s="93"/>
      <c r="V1270" s="93"/>
      <c r="W1270" s="93"/>
      <c r="X1270" s="93"/>
      <c r="Y1270" s="93"/>
      <c r="Z1270" s="93"/>
    </row>
    <row r="1271" customFormat="false" ht="16.4" hidden="false" customHeight="false" outlineLevel="0" collapsed="false">
      <c r="A1271" s="123" t="n">
        <v>45444</v>
      </c>
      <c r="B1271" s="31" t="s">
        <v>153</v>
      </c>
      <c r="C1271" s="129"/>
      <c r="D1271" s="129"/>
      <c r="E1271" s="19" t="n">
        <f aca="false">F1271*0.03</f>
        <v>0</v>
      </c>
      <c r="F1271" s="33" t="n">
        <v>0</v>
      </c>
      <c r="G1271" s="131"/>
      <c r="H1271" s="35" t="n">
        <v>0</v>
      </c>
      <c r="I1271" s="34" t="n">
        <f aca="false">+IF(E1271=0,0,E1271*0.03)</f>
        <v>0</v>
      </c>
      <c r="J1271" s="93"/>
      <c r="K1271" s="93"/>
      <c r="L1271" s="93"/>
      <c r="M1271" s="93"/>
      <c r="N1271" s="93"/>
      <c r="O1271" s="93"/>
      <c r="P1271" s="93"/>
      <c r="Q1271" s="93"/>
      <c r="R1271" s="93"/>
      <c r="S1271" s="93"/>
      <c r="T1271" s="93"/>
      <c r="U1271" s="93"/>
      <c r="V1271" s="93"/>
      <c r="W1271" s="93"/>
      <c r="X1271" s="93"/>
      <c r="Y1271" s="93"/>
      <c r="Z1271" s="93"/>
    </row>
    <row r="1272" customFormat="false" ht="16.4" hidden="false" customHeight="false" outlineLevel="0" collapsed="false">
      <c r="A1272" s="123" t="n">
        <v>45444</v>
      </c>
      <c r="B1272" s="31" t="s">
        <v>153</v>
      </c>
      <c r="C1272" s="129"/>
      <c r="D1272" s="129"/>
      <c r="E1272" s="19" t="n">
        <f aca="false">F1272*0.03</f>
        <v>0</v>
      </c>
      <c r="F1272" s="33" t="n">
        <v>0</v>
      </c>
      <c r="G1272" s="131"/>
      <c r="H1272" s="35" t="n">
        <v>0</v>
      </c>
      <c r="I1272" s="34" t="n">
        <f aca="false">+IF(E1272=0,0,E1272*0.03)</f>
        <v>0</v>
      </c>
      <c r="J1272" s="93"/>
      <c r="K1272" s="93"/>
      <c r="L1272" s="93"/>
      <c r="M1272" s="93"/>
      <c r="N1272" s="93"/>
      <c r="O1272" s="93"/>
      <c r="P1272" s="93"/>
      <c r="Q1272" s="93"/>
      <c r="R1272" s="93"/>
      <c r="S1272" s="93"/>
      <c r="T1272" s="93"/>
      <c r="U1272" s="93"/>
      <c r="V1272" s="93"/>
      <c r="W1272" s="93"/>
      <c r="X1272" s="93"/>
      <c r="Y1272" s="93"/>
      <c r="Z1272" s="93"/>
    </row>
    <row r="1273" customFormat="false" ht="16.4" hidden="false" customHeight="false" outlineLevel="0" collapsed="false">
      <c r="A1273" s="123" t="n">
        <v>45444</v>
      </c>
      <c r="B1273" s="31" t="s">
        <v>153</v>
      </c>
      <c r="C1273" s="129"/>
      <c r="D1273" s="129"/>
      <c r="E1273" s="19" t="n">
        <f aca="false">F1273*0.03</f>
        <v>0</v>
      </c>
      <c r="F1273" s="33" t="n">
        <v>0</v>
      </c>
      <c r="G1273" s="131"/>
      <c r="H1273" s="35" t="n">
        <v>0</v>
      </c>
      <c r="I1273" s="34" t="n">
        <f aca="false">+IF(E1273=0,0,E1273*0.03)</f>
        <v>0</v>
      </c>
      <c r="J1273" s="93"/>
      <c r="K1273" s="93"/>
      <c r="L1273" s="93"/>
      <c r="M1273" s="93"/>
      <c r="N1273" s="93"/>
      <c r="O1273" s="93"/>
      <c r="P1273" s="93"/>
      <c r="Q1273" s="93"/>
      <c r="R1273" s="93"/>
      <c r="S1273" s="93"/>
      <c r="T1273" s="93"/>
      <c r="U1273" s="93"/>
      <c r="V1273" s="93"/>
      <c r="W1273" s="93"/>
      <c r="X1273" s="93"/>
      <c r="Y1273" s="93"/>
      <c r="Z1273" s="93"/>
    </row>
    <row r="1274" customFormat="false" ht="16.4" hidden="false" customHeight="false" outlineLevel="0" collapsed="false">
      <c r="A1274" s="123" t="n">
        <v>45444</v>
      </c>
      <c r="B1274" s="31" t="s">
        <v>153</v>
      </c>
      <c r="C1274" s="129"/>
      <c r="D1274" s="129"/>
      <c r="E1274" s="19" t="n">
        <f aca="false">F1274*0.03</f>
        <v>0</v>
      </c>
      <c r="F1274" s="33" t="n">
        <v>0</v>
      </c>
      <c r="G1274" s="131"/>
      <c r="H1274" s="35" t="n">
        <v>0</v>
      </c>
      <c r="I1274" s="34" t="n">
        <f aca="false">+IF(E1274=0,0,E1274*0.03)</f>
        <v>0</v>
      </c>
      <c r="J1274" s="93"/>
      <c r="K1274" s="93"/>
      <c r="L1274" s="93"/>
      <c r="M1274" s="93"/>
      <c r="N1274" s="93"/>
      <c r="O1274" s="93"/>
      <c r="P1274" s="93"/>
      <c r="Q1274" s="93"/>
      <c r="R1274" s="93"/>
      <c r="S1274" s="93"/>
      <c r="T1274" s="93"/>
      <c r="U1274" s="93"/>
      <c r="V1274" s="93"/>
      <c r="W1274" s="93"/>
      <c r="X1274" s="93"/>
      <c r="Y1274" s="93"/>
      <c r="Z1274" s="93"/>
    </row>
    <row r="1275" customFormat="false" ht="16.4" hidden="false" customHeight="false" outlineLevel="0" collapsed="false">
      <c r="A1275" s="123" t="n">
        <v>45444</v>
      </c>
      <c r="B1275" s="31" t="s">
        <v>153</v>
      </c>
      <c r="C1275" s="129"/>
      <c r="D1275" s="129"/>
      <c r="E1275" s="19" t="n">
        <f aca="false">F1275*0.03</f>
        <v>0</v>
      </c>
      <c r="F1275" s="33" t="n">
        <v>0</v>
      </c>
      <c r="G1275" s="131"/>
      <c r="H1275" s="35" t="n">
        <v>0</v>
      </c>
      <c r="I1275" s="34" t="n">
        <f aca="false">+IF(E1275=0,0,E1275*0.03)</f>
        <v>0</v>
      </c>
      <c r="J1275" s="93"/>
      <c r="K1275" s="93"/>
      <c r="L1275" s="93"/>
      <c r="M1275" s="93"/>
      <c r="N1275" s="93"/>
      <c r="O1275" s="93"/>
      <c r="P1275" s="93"/>
      <c r="Q1275" s="93"/>
      <c r="R1275" s="93"/>
      <c r="S1275" s="93"/>
      <c r="T1275" s="93"/>
      <c r="U1275" s="93"/>
      <c r="V1275" s="93"/>
      <c r="W1275" s="93"/>
      <c r="X1275" s="93"/>
      <c r="Y1275" s="93"/>
      <c r="Z1275" s="93"/>
    </row>
    <row r="1276" customFormat="false" ht="16.4" hidden="false" customHeight="false" outlineLevel="0" collapsed="false">
      <c r="A1276" s="123" t="n">
        <v>45444</v>
      </c>
      <c r="B1276" s="31" t="s">
        <v>153</v>
      </c>
      <c r="C1276" s="129"/>
      <c r="D1276" s="129"/>
      <c r="E1276" s="19" t="n">
        <f aca="false">F1276*0.03</f>
        <v>0</v>
      </c>
      <c r="F1276" s="33" t="n">
        <v>0</v>
      </c>
      <c r="G1276" s="131"/>
      <c r="H1276" s="35" t="n">
        <v>0</v>
      </c>
      <c r="I1276" s="34" t="n">
        <f aca="false">+IF(E1276=0,0,E1276*0.03)</f>
        <v>0</v>
      </c>
      <c r="J1276" s="93"/>
      <c r="K1276" s="93"/>
      <c r="L1276" s="93"/>
      <c r="M1276" s="93"/>
      <c r="N1276" s="93"/>
      <c r="O1276" s="93"/>
      <c r="P1276" s="93"/>
      <c r="Q1276" s="93"/>
      <c r="R1276" s="93"/>
      <c r="S1276" s="93"/>
      <c r="T1276" s="93"/>
      <c r="U1276" s="93"/>
      <c r="V1276" s="93"/>
      <c r="W1276" s="93"/>
      <c r="X1276" s="93"/>
      <c r="Y1276" s="93"/>
      <c r="Z1276" s="93"/>
    </row>
    <row r="1277" customFormat="false" ht="16.4" hidden="false" customHeight="false" outlineLevel="0" collapsed="false">
      <c r="A1277" s="123" t="n">
        <v>45444</v>
      </c>
      <c r="B1277" s="31" t="s">
        <v>153</v>
      </c>
      <c r="C1277" s="129"/>
      <c r="D1277" s="129"/>
      <c r="E1277" s="19" t="n">
        <f aca="false">F1277*0.03</f>
        <v>0</v>
      </c>
      <c r="F1277" s="33" t="n">
        <v>0</v>
      </c>
      <c r="G1277" s="131"/>
      <c r="H1277" s="35" t="n">
        <v>0</v>
      </c>
      <c r="I1277" s="34" t="n">
        <f aca="false">+IF(E1277=0,0,E1277*0.03)</f>
        <v>0</v>
      </c>
      <c r="J1277" s="93"/>
      <c r="K1277" s="93"/>
      <c r="L1277" s="93"/>
      <c r="M1277" s="93"/>
      <c r="N1277" s="93"/>
      <c r="O1277" s="93"/>
      <c r="P1277" s="93"/>
      <c r="Q1277" s="93"/>
      <c r="R1277" s="93"/>
      <c r="S1277" s="93"/>
      <c r="T1277" s="93"/>
      <c r="U1277" s="93"/>
      <c r="V1277" s="93"/>
      <c r="W1277" s="93"/>
      <c r="X1277" s="93"/>
      <c r="Y1277" s="93"/>
      <c r="Z1277" s="93"/>
    </row>
    <row r="1278" customFormat="false" ht="16.4" hidden="false" customHeight="false" outlineLevel="0" collapsed="false">
      <c r="A1278" s="123" t="n">
        <v>45444</v>
      </c>
      <c r="B1278" s="31" t="s">
        <v>153</v>
      </c>
      <c r="C1278" s="129"/>
      <c r="D1278" s="129"/>
      <c r="E1278" s="19" t="n">
        <f aca="false">F1278*0.03</f>
        <v>0</v>
      </c>
      <c r="F1278" s="33" t="n">
        <v>0</v>
      </c>
      <c r="G1278" s="131"/>
      <c r="H1278" s="35" t="n">
        <v>0</v>
      </c>
      <c r="I1278" s="34" t="n">
        <f aca="false">+IF(E1278=0,0,E1278*0.03)</f>
        <v>0</v>
      </c>
      <c r="J1278" s="93"/>
      <c r="K1278" s="93"/>
      <c r="L1278" s="93"/>
      <c r="M1278" s="93"/>
      <c r="N1278" s="93"/>
      <c r="O1278" s="93"/>
      <c r="P1278" s="93"/>
      <c r="Q1278" s="93"/>
      <c r="R1278" s="93"/>
      <c r="S1278" s="93"/>
      <c r="T1278" s="93"/>
      <c r="U1278" s="93"/>
      <c r="V1278" s="93"/>
      <c r="W1278" s="93"/>
      <c r="X1278" s="93"/>
      <c r="Y1278" s="93"/>
      <c r="Z1278" s="93"/>
    </row>
    <row r="1279" customFormat="false" ht="16.4" hidden="false" customHeight="false" outlineLevel="0" collapsed="false">
      <c r="A1279" s="123" t="n">
        <v>45444</v>
      </c>
      <c r="B1279" s="31" t="s">
        <v>153</v>
      </c>
      <c r="C1279" s="129"/>
      <c r="D1279" s="129"/>
      <c r="E1279" s="19" t="n">
        <f aca="false">F1279*0.03</f>
        <v>0</v>
      </c>
      <c r="F1279" s="33" t="n">
        <v>0</v>
      </c>
      <c r="G1279" s="131"/>
      <c r="H1279" s="35" t="n">
        <v>0</v>
      </c>
      <c r="I1279" s="34" t="n">
        <f aca="false">+IF(E1279=0,0,E1279*0.03)</f>
        <v>0</v>
      </c>
      <c r="J1279" s="93"/>
      <c r="K1279" s="93"/>
      <c r="L1279" s="93"/>
      <c r="M1279" s="93"/>
      <c r="N1279" s="93"/>
      <c r="O1279" s="93"/>
      <c r="P1279" s="93"/>
      <c r="Q1279" s="93"/>
      <c r="R1279" s="93"/>
      <c r="S1279" s="93"/>
      <c r="T1279" s="93"/>
      <c r="U1279" s="93"/>
      <c r="V1279" s="93"/>
      <c r="W1279" s="93"/>
      <c r="X1279" s="93"/>
      <c r="Y1279" s="93"/>
      <c r="Z1279" s="93"/>
    </row>
    <row r="1280" customFormat="false" ht="16.4" hidden="false" customHeight="false" outlineLevel="0" collapsed="false">
      <c r="A1280" s="123" t="n">
        <v>45444</v>
      </c>
      <c r="B1280" s="31" t="s">
        <v>153</v>
      </c>
      <c r="C1280" s="129"/>
      <c r="D1280" s="129"/>
      <c r="E1280" s="19" t="n">
        <f aca="false">F1280*0.03</f>
        <v>0</v>
      </c>
      <c r="F1280" s="33" t="n">
        <v>0</v>
      </c>
      <c r="G1280" s="131"/>
      <c r="H1280" s="35" t="n">
        <v>0</v>
      </c>
      <c r="I1280" s="34" t="n">
        <f aca="false">+IF(E1280=0,0,E1280*0.03)</f>
        <v>0</v>
      </c>
      <c r="J1280" s="93"/>
      <c r="K1280" s="93"/>
      <c r="L1280" s="93"/>
      <c r="M1280" s="93"/>
      <c r="N1280" s="93"/>
      <c r="O1280" s="93"/>
      <c r="P1280" s="93"/>
      <c r="Q1280" s="93"/>
      <c r="R1280" s="93"/>
      <c r="S1280" s="93"/>
      <c r="T1280" s="93"/>
      <c r="U1280" s="93"/>
      <c r="V1280" s="93"/>
      <c r="W1280" s="93"/>
      <c r="X1280" s="93"/>
      <c r="Y1280" s="93"/>
      <c r="Z1280" s="93"/>
    </row>
    <row r="1281" customFormat="false" ht="16.4" hidden="false" customHeight="false" outlineLevel="0" collapsed="false">
      <c r="A1281" s="123" t="n">
        <v>45444</v>
      </c>
      <c r="B1281" s="31" t="s">
        <v>153</v>
      </c>
      <c r="C1281" s="129"/>
      <c r="D1281" s="129"/>
      <c r="E1281" s="19" t="n">
        <f aca="false">F1281*0.03</f>
        <v>0</v>
      </c>
      <c r="F1281" s="33" t="n">
        <v>0</v>
      </c>
      <c r="G1281" s="131"/>
      <c r="H1281" s="35" t="n">
        <v>0</v>
      </c>
      <c r="I1281" s="34" t="n">
        <f aca="false">+IF(E1281=0,0,E1281*0.03)</f>
        <v>0</v>
      </c>
      <c r="J1281" s="93"/>
      <c r="K1281" s="93"/>
      <c r="L1281" s="93"/>
      <c r="M1281" s="93"/>
      <c r="N1281" s="93"/>
      <c r="O1281" s="93"/>
      <c r="P1281" s="93"/>
      <c r="Q1281" s="93"/>
      <c r="R1281" s="93"/>
      <c r="S1281" s="93"/>
      <c r="T1281" s="93"/>
      <c r="U1281" s="93"/>
      <c r="V1281" s="93"/>
      <c r="W1281" s="93"/>
      <c r="X1281" s="93"/>
      <c r="Y1281" s="93"/>
      <c r="Z1281" s="93"/>
    </row>
    <row r="1282" customFormat="false" ht="16.4" hidden="false" customHeight="false" outlineLevel="0" collapsed="false">
      <c r="A1282" s="123" t="n">
        <v>45444</v>
      </c>
      <c r="B1282" s="31" t="s">
        <v>153</v>
      </c>
      <c r="C1282" s="129"/>
      <c r="D1282" s="129"/>
      <c r="E1282" s="19" t="n">
        <f aca="false">F1282*0.03</f>
        <v>0</v>
      </c>
      <c r="F1282" s="33" t="n">
        <v>0</v>
      </c>
      <c r="G1282" s="131"/>
      <c r="H1282" s="35" t="n">
        <v>0</v>
      </c>
      <c r="I1282" s="34" t="n">
        <f aca="false">+IF(E1282=0,0,E1282*0.03)</f>
        <v>0</v>
      </c>
      <c r="J1282" s="93"/>
      <c r="K1282" s="93"/>
      <c r="L1282" s="93"/>
      <c r="M1282" s="93"/>
      <c r="N1282" s="93"/>
      <c r="O1282" s="93"/>
      <c r="P1282" s="93"/>
      <c r="Q1282" s="93"/>
      <c r="R1282" s="93"/>
      <c r="S1282" s="93"/>
      <c r="T1282" s="93"/>
      <c r="U1282" s="93"/>
      <c r="V1282" s="93"/>
      <c r="W1282" s="93"/>
      <c r="X1282" s="93"/>
      <c r="Y1282" s="93"/>
      <c r="Z1282" s="93"/>
    </row>
    <row r="1283" customFormat="false" ht="16.4" hidden="false" customHeight="false" outlineLevel="0" collapsed="false">
      <c r="A1283" s="123" t="n">
        <v>45444</v>
      </c>
      <c r="B1283" s="31" t="s">
        <v>153</v>
      </c>
      <c r="C1283" s="129"/>
      <c r="D1283" s="129"/>
      <c r="E1283" s="19" t="n">
        <f aca="false">F1283*0.03</f>
        <v>0</v>
      </c>
      <c r="F1283" s="33" t="n">
        <v>0</v>
      </c>
      <c r="G1283" s="131"/>
      <c r="H1283" s="35" t="n">
        <v>0</v>
      </c>
      <c r="I1283" s="34" t="n">
        <f aca="false">+IF(E1283=0,0,E1283*0.03)</f>
        <v>0</v>
      </c>
      <c r="J1283" s="93"/>
      <c r="K1283" s="93"/>
      <c r="L1283" s="93"/>
      <c r="M1283" s="93"/>
      <c r="N1283" s="93"/>
      <c r="O1283" s="93"/>
      <c r="P1283" s="93"/>
      <c r="Q1283" s="93"/>
      <c r="R1283" s="93"/>
      <c r="S1283" s="93"/>
      <c r="T1283" s="93"/>
      <c r="U1283" s="93"/>
      <c r="V1283" s="93"/>
      <c r="W1283" s="93"/>
      <c r="X1283" s="93"/>
      <c r="Y1283" s="93"/>
      <c r="Z1283" s="93"/>
    </row>
    <row r="1284" customFormat="false" ht="16.4" hidden="false" customHeight="false" outlineLevel="0" collapsed="false">
      <c r="A1284" s="123" t="n">
        <v>45444</v>
      </c>
      <c r="B1284" s="31" t="s">
        <v>153</v>
      </c>
      <c r="C1284" s="129"/>
      <c r="D1284" s="129"/>
      <c r="E1284" s="19" t="n">
        <f aca="false">F1284*0.03</f>
        <v>0</v>
      </c>
      <c r="F1284" s="33" t="n">
        <v>0</v>
      </c>
      <c r="G1284" s="131"/>
      <c r="H1284" s="35" t="n">
        <v>0</v>
      </c>
      <c r="I1284" s="34" t="n">
        <f aca="false">+IF(E1284=0,0,E1284*0.03)</f>
        <v>0</v>
      </c>
      <c r="J1284" s="93"/>
      <c r="K1284" s="93"/>
      <c r="L1284" s="93"/>
      <c r="M1284" s="93"/>
      <c r="N1284" s="93"/>
      <c r="O1284" s="93"/>
      <c r="P1284" s="93"/>
      <c r="Q1284" s="93"/>
      <c r="R1284" s="93"/>
      <c r="S1284" s="93"/>
      <c r="T1284" s="93"/>
      <c r="U1284" s="93"/>
      <c r="V1284" s="93"/>
      <c r="W1284" s="93"/>
      <c r="X1284" s="93"/>
      <c r="Y1284" s="93"/>
      <c r="Z1284" s="93"/>
    </row>
    <row r="1285" customFormat="false" ht="16.4" hidden="false" customHeight="false" outlineLevel="0" collapsed="false">
      <c r="A1285" s="123" t="n">
        <v>45444</v>
      </c>
      <c r="B1285" s="31" t="s">
        <v>153</v>
      </c>
      <c r="C1285" s="129"/>
      <c r="D1285" s="129"/>
      <c r="E1285" s="19" t="n">
        <f aca="false">F1285*0.03</f>
        <v>0</v>
      </c>
      <c r="F1285" s="33" t="n">
        <v>0</v>
      </c>
      <c r="G1285" s="131"/>
      <c r="H1285" s="35" t="n">
        <v>0</v>
      </c>
      <c r="I1285" s="34" t="n">
        <f aca="false">+IF(E1285=0,0,E1285*0.03)</f>
        <v>0</v>
      </c>
      <c r="J1285" s="93"/>
      <c r="K1285" s="93"/>
      <c r="L1285" s="93"/>
      <c r="M1285" s="93"/>
      <c r="N1285" s="93"/>
      <c r="O1285" s="93"/>
      <c r="P1285" s="93"/>
      <c r="Q1285" s="93"/>
      <c r="R1285" s="93"/>
      <c r="S1285" s="93"/>
      <c r="T1285" s="93"/>
      <c r="U1285" s="93"/>
      <c r="V1285" s="93"/>
      <c r="W1285" s="93"/>
      <c r="X1285" s="93"/>
      <c r="Y1285" s="93"/>
      <c r="Z1285" s="93"/>
    </row>
    <row r="1286" customFormat="false" ht="16.4" hidden="false" customHeight="false" outlineLevel="0" collapsed="false">
      <c r="A1286" s="123" t="n">
        <v>45444</v>
      </c>
      <c r="B1286" s="31" t="s">
        <v>153</v>
      </c>
      <c r="C1286" s="129"/>
      <c r="D1286" s="129"/>
      <c r="E1286" s="19" t="n">
        <f aca="false">F1286*0.03</f>
        <v>0</v>
      </c>
      <c r="F1286" s="33" t="n">
        <v>0</v>
      </c>
      <c r="G1286" s="131"/>
      <c r="H1286" s="35" t="n">
        <v>0</v>
      </c>
      <c r="I1286" s="34" t="n">
        <f aca="false">+IF(E1286=0,0,E1286*0.03)</f>
        <v>0</v>
      </c>
      <c r="J1286" s="93"/>
      <c r="K1286" s="93"/>
      <c r="L1286" s="93"/>
      <c r="M1286" s="93"/>
      <c r="N1286" s="93"/>
      <c r="O1286" s="93"/>
      <c r="P1286" s="93"/>
      <c r="Q1286" s="93"/>
      <c r="R1286" s="93"/>
      <c r="S1286" s="93"/>
      <c r="T1286" s="93"/>
      <c r="U1286" s="93"/>
      <c r="V1286" s="93"/>
      <c r="W1286" s="93"/>
      <c r="X1286" s="93"/>
      <c r="Y1286" s="93"/>
      <c r="Z1286" s="93"/>
    </row>
    <row r="1287" customFormat="false" ht="16.4" hidden="false" customHeight="false" outlineLevel="0" collapsed="false">
      <c r="A1287" s="123" t="n">
        <v>45444</v>
      </c>
      <c r="B1287" s="31" t="s">
        <v>153</v>
      </c>
      <c r="C1287" s="129"/>
      <c r="D1287" s="129"/>
      <c r="E1287" s="19" t="n">
        <f aca="false">F1287*0.03</f>
        <v>0</v>
      </c>
      <c r="F1287" s="33" t="n">
        <v>0</v>
      </c>
      <c r="G1287" s="131"/>
      <c r="H1287" s="35" t="n">
        <v>0</v>
      </c>
      <c r="I1287" s="34" t="n">
        <f aca="false">+IF(E1287=0,0,E1287*0.03)</f>
        <v>0</v>
      </c>
      <c r="J1287" s="93"/>
      <c r="K1287" s="93"/>
      <c r="L1287" s="93"/>
      <c r="M1287" s="93"/>
      <c r="N1287" s="93"/>
      <c r="O1287" s="93"/>
      <c r="P1287" s="93"/>
      <c r="Q1287" s="93"/>
      <c r="R1287" s="93"/>
      <c r="S1287" s="93"/>
      <c r="T1287" s="93"/>
      <c r="U1287" s="93"/>
      <c r="V1287" s="93"/>
      <c r="W1287" s="93"/>
      <c r="X1287" s="93"/>
      <c r="Y1287" s="93"/>
      <c r="Z1287" s="93"/>
    </row>
    <row r="1288" customFormat="false" ht="16.4" hidden="false" customHeight="false" outlineLevel="0" collapsed="false">
      <c r="A1288" s="123" t="n">
        <v>45444</v>
      </c>
      <c r="B1288" s="31" t="s">
        <v>153</v>
      </c>
      <c r="C1288" s="129"/>
      <c r="D1288" s="129"/>
      <c r="E1288" s="19" t="n">
        <f aca="false">F1288*0.03</f>
        <v>0</v>
      </c>
      <c r="F1288" s="33" t="n">
        <v>0</v>
      </c>
      <c r="G1288" s="131"/>
      <c r="H1288" s="35" t="n">
        <v>0</v>
      </c>
      <c r="I1288" s="34" t="n">
        <f aca="false">+IF(E1288=0,0,E1288*0.03)</f>
        <v>0</v>
      </c>
      <c r="J1288" s="93"/>
      <c r="K1288" s="93"/>
      <c r="L1288" s="93"/>
      <c r="M1288" s="93"/>
      <c r="N1288" s="93"/>
      <c r="O1288" s="93"/>
      <c r="P1288" s="93"/>
      <c r="Q1288" s="93"/>
      <c r="R1288" s="93"/>
      <c r="S1288" s="93"/>
      <c r="T1288" s="93"/>
      <c r="U1288" s="93"/>
      <c r="V1288" s="93"/>
      <c r="W1288" s="93"/>
      <c r="X1288" s="93"/>
      <c r="Y1288" s="93"/>
      <c r="Z1288" s="93"/>
    </row>
    <row r="1289" customFormat="false" ht="16.4" hidden="false" customHeight="false" outlineLevel="0" collapsed="false">
      <c r="A1289" s="123" t="n">
        <v>45444</v>
      </c>
      <c r="B1289" s="31" t="s">
        <v>153</v>
      </c>
      <c r="C1289" s="129"/>
      <c r="D1289" s="129"/>
      <c r="E1289" s="19" t="n">
        <f aca="false">F1289*0.03</f>
        <v>0</v>
      </c>
      <c r="F1289" s="33" t="n">
        <v>0</v>
      </c>
      <c r="G1289" s="131"/>
      <c r="H1289" s="35" t="n">
        <v>0</v>
      </c>
      <c r="I1289" s="34" t="n">
        <f aca="false">+IF(E1289=0,0,E1289*0.03)</f>
        <v>0</v>
      </c>
      <c r="J1289" s="93"/>
      <c r="K1289" s="93"/>
      <c r="L1289" s="93"/>
      <c r="M1289" s="93"/>
      <c r="N1289" s="93"/>
      <c r="O1289" s="93"/>
      <c r="P1289" s="93"/>
      <c r="Q1289" s="93"/>
      <c r="R1289" s="93"/>
      <c r="S1289" s="93"/>
      <c r="T1289" s="93"/>
      <c r="U1289" s="93"/>
      <c r="V1289" s="93"/>
      <c r="W1289" s="93"/>
      <c r="X1289" s="93"/>
      <c r="Y1289" s="93"/>
      <c r="Z1289" s="93"/>
    </row>
    <row r="1290" customFormat="false" ht="16.4" hidden="false" customHeight="false" outlineLevel="0" collapsed="false">
      <c r="A1290" s="123" t="n">
        <v>45444</v>
      </c>
      <c r="B1290" s="31" t="s">
        <v>153</v>
      </c>
      <c r="C1290" s="129"/>
      <c r="D1290" s="129"/>
      <c r="E1290" s="19" t="n">
        <f aca="false">F1290*0.03</f>
        <v>0</v>
      </c>
      <c r="F1290" s="33" t="n">
        <v>0</v>
      </c>
      <c r="G1290" s="131"/>
      <c r="H1290" s="35" t="n">
        <v>0</v>
      </c>
      <c r="I1290" s="34" t="n">
        <f aca="false">+IF(E1290=0,0,E1290*0.03)</f>
        <v>0</v>
      </c>
      <c r="J1290" s="93"/>
      <c r="K1290" s="93"/>
      <c r="L1290" s="93"/>
      <c r="M1290" s="93"/>
      <c r="N1290" s="93"/>
      <c r="O1290" s="93"/>
      <c r="P1290" s="93"/>
      <c r="Q1290" s="93"/>
      <c r="R1290" s="93"/>
      <c r="S1290" s="93"/>
      <c r="T1290" s="93"/>
      <c r="U1290" s="93"/>
      <c r="V1290" s="93"/>
      <c r="W1290" s="93"/>
      <c r="X1290" s="93"/>
      <c r="Y1290" s="93"/>
      <c r="Z1290" s="93"/>
    </row>
    <row r="1291" customFormat="false" ht="16.4" hidden="false" customHeight="false" outlineLevel="0" collapsed="false">
      <c r="A1291" s="123" t="n">
        <v>45444</v>
      </c>
      <c r="B1291" s="31" t="s">
        <v>153</v>
      </c>
      <c r="C1291" s="129"/>
      <c r="D1291" s="129"/>
      <c r="E1291" s="19" t="n">
        <f aca="false">F1291*0.03</f>
        <v>0</v>
      </c>
      <c r="F1291" s="33" t="n">
        <v>0</v>
      </c>
      <c r="G1291" s="131"/>
      <c r="H1291" s="35" t="n">
        <v>0</v>
      </c>
      <c r="I1291" s="34" t="n">
        <f aca="false">+IF(E1291=0,0,E1291*0.03)</f>
        <v>0</v>
      </c>
      <c r="J1291" s="93"/>
      <c r="K1291" s="93"/>
      <c r="L1291" s="93"/>
      <c r="M1291" s="93"/>
      <c r="N1291" s="93"/>
      <c r="O1291" s="93"/>
      <c r="P1291" s="93"/>
      <c r="Q1291" s="93"/>
      <c r="R1291" s="93"/>
      <c r="S1291" s="93"/>
      <c r="T1291" s="93"/>
      <c r="U1291" s="93"/>
      <c r="V1291" s="93"/>
      <c r="W1291" s="93"/>
      <c r="X1291" s="93"/>
      <c r="Y1291" s="93"/>
      <c r="Z1291" s="93"/>
    </row>
    <row r="1292" customFormat="false" ht="16.4" hidden="false" customHeight="false" outlineLevel="0" collapsed="false">
      <c r="A1292" s="123" t="n">
        <v>45444</v>
      </c>
      <c r="B1292" s="31" t="s">
        <v>153</v>
      </c>
      <c r="C1292" s="129"/>
      <c r="D1292" s="129"/>
      <c r="E1292" s="19" t="n">
        <f aca="false">F1292*0.03</f>
        <v>0</v>
      </c>
      <c r="F1292" s="33" t="n">
        <v>0</v>
      </c>
      <c r="G1292" s="131"/>
      <c r="H1292" s="35" t="n">
        <v>0</v>
      </c>
      <c r="I1292" s="34" t="n">
        <f aca="false">+IF(E1292=0,0,E1292*0.03)</f>
        <v>0</v>
      </c>
      <c r="J1292" s="93"/>
      <c r="K1292" s="93"/>
      <c r="L1292" s="93"/>
      <c r="M1292" s="93"/>
      <c r="N1292" s="93"/>
      <c r="O1292" s="93"/>
      <c r="P1292" s="93"/>
      <c r="Q1292" s="93"/>
      <c r="R1292" s="93"/>
      <c r="S1292" s="93"/>
      <c r="T1292" s="93"/>
      <c r="U1292" s="93"/>
      <c r="V1292" s="93"/>
      <c r="W1292" s="93"/>
      <c r="X1292" s="93"/>
      <c r="Y1292" s="93"/>
      <c r="Z1292" s="93"/>
    </row>
    <row r="1293" customFormat="false" ht="16.4" hidden="false" customHeight="false" outlineLevel="0" collapsed="false">
      <c r="A1293" s="123" t="n">
        <v>45444</v>
      </c>
      <c r="B1293" s="31" t="s">
        <v>153</v>
      </c>
      <c r="C1293" s="129"/>
      <c r="D1293" s="129"/>
      <c r="E1293" s="19" t="n">
        <f aca="false">F1293*0.03</f>
        <v>0</v>
      </c>
      <c r="F1293" s="33" t="n">
        <v>0</v>
      </c>
      <c r="G1293" s="131"/>
      <c r="H1293" s="35" t="n">
        <v>0</v>
      </c>
      <c r="I1293" s="34" t="n">
        <f aca="false">+IF(E1293=0,0,E1293*0.03)</f>
        <v>0</v>
      </c>
      <c r="J1293" s="93"/>
      <c r="K1293" s="93"/>
      <c r="L1293" s="93"/>
      <c r="M1293" s="93"/>
      <c r="N1293" s="93"/>
      <c r="O1293" s="93"/>
      <c r="P1293" s="93"/>
      <c r="Q1293" s="93"/>
      <c r="R1293" s="93"/>
      <c r="S1293" s="93"/>
      <c r="T1293" s="93"/>
      <c r="U1293" s="93"/>
      <c r="V1293" s="93"/>
      <c r="W1293" s="93"/>
      <c r="X1293" s="93"/>
      <c r="Y1293" s="93"/>
      <c r="Z1293" s="93"/>
    </row>
    <row r="1294" customFormat="false" ht="16.4" hidden="false" customHeight="false" outlineLevel="0" collapsed="false">
      <c r="A1294" s="123" t="n">
        <v>45444</v>
      </c>
      <c r="B1294" s="31" t="s">
        <v>153</v>
      </c>
      <c r="C1294" s="129"/>
      <c r="D1294" s="129"/>
      <c r="E1294" s="19" t="n">
        <f aca="false">F1294*0.03</f>
        <v>0</v>
      </c>
      <c r="F1294" s="33" t="n">
        <v>0</v>
      </c>
      <c r="G1294" s="131"/>
      <c r="H1294" s="35" t="n">
        <v>0</v>
      </c>
      <c r="I1294" s="34" t="n">
        <f aca="false">+IF(E1294=0,0,E1294*0.03)</f>
        <v>0</v>
      </c>
      <c r="J1294" s="93"/>
      <c r="K1294" s="93"/>
      <c r="L1294" s="93"/>
      <c r="M1294" s="93"/>
      <c r="N1294" s="93"/>
      <c r="O1294" s="93"/>
      <c r="P1294" s="93"/>
      <c r="Q1294" s="93"/>
      <c r="R1294" s="93"/>
      <c r="S1294" s="93"/>
      <c r="T1294" s="93"/>
      <c r="U1294" s="93"/>
      <c r="V1294" s="93"/>
      <c r="W1294" s="93"/>
      <c r="X1294" s="93"/>
      <c r="Y1294" s="93"/>
      <c r="Z1294" s="93"/>
    </row>
    <row r="1295" customFormat="false" ht="16.4" hidden="false" customHeight="false" outlineLevel="0" collapsed="false">
      <c r="A1295" s="123" t="n">
        <v>45444</v>
      </c>
      <c r="B1295" s="31" t="s">
        <v>153</v>
      </c>
      <c r="C1295" s="129"/>
      <c r="D1295" s="129"/>
      <c r="E1295" s="19" t="n">
        <f aca="false">F1295*0.03</f>
        <v>0</v>
      </c>
      <c r="F1295" s="33" t="n">
        <v>0</v>
      </c>
      <c r="G1295" s="131"/>
      <c r="H1295" s="35" t="n">
        <v>0</v>
      </c>
      <c r="I1295" s="34" t="n">
        <f aca="false">+IF(E1295=0,0,E1295*0.03)</f>
        <v>0</v>
      </c>
      <c r="J1295" s="93"/>
      <c r="K1295" s="93"/>
      <c r="L1295" s="93"/>
      <c r="M1295" s="93"/>
      <c r="N1295" s="93"/>
      <c r="O1295" s="93"/>
      <c r="P1295" s="93"/>
      <c r="Q1295" s="93"/>
      <c r="R1295" s="93"/>
      <c r="S1295" s="93"/>
      <c r="T1295" s="93"/>
      <c r="U1295" s="93"/>
      <c r="V1295" s="93"/>
      <c r="W1295" s="93"/>
      <c r="X1295" s="93"/>
      <c r="Y1295" s="93"/>
      <c r="Z1295" s="93"/>
    </row>
    <row r="1296" customFormat="false" ht="16.4" hidden="false" customHeight="false" outlineLevel="0" collapsed="false">
      <c r="A1296" s="123" t="n">
        <v>45444</v>
      </c>
      <c r="B1296" s="31" t="s">
        <v>153</v>
      </c>
      <c r="C1296" s="129"/>
      <c r="D1296" s="129"/>
      <c r="E1296" s="19" t="n">
        <f aca="false">F1296*0.03</f>
        <v>0</v>
      </c>
      <c r="F1296" s="33" t="n">
        <v>0</v>
      </c>
      <c r="G1296" s="131"/>
      <c r="H1296" s="35" t="n">
        <v>0</v>
      </c>
      <c r="I1296" s="34" t="n">
        <f aca="false">+IF(E1296=0,0,E1296*0.03)</f>
        <v>0</v>
      </c>
      <c r="J1296" s="93"/>
      <c r="K1296" s="93"/>
      <c r="L1296" s="93"/>
      <c r="M1296" s="93"/>
      <c r="N1296" s="93"/>
      <c r="O1296" s="93"/>
      <c r="P1296" s="93"/>
      <c r="Q1296" s="93"/>
      <c r="R1296" s="93"/>
      <c r="S1296" s="93"/>
      <c r="T1296" s="93"/>
      <c r="U1296" s="93"/>
      <c r="V1296" s="93"/>
      <c r="W1296" s="93"/>
      <c r="X1296" s="93"/>
      <c r="Y1296" s="93"/>
      <c r="Z1296" s="93"/>
    </row>
    <row r="1297" customFormat="false" ht="16.4" hidden="false" customHeight="false" outlineLevel="0" collapsed="false">
      <c r="A1297" s="123" t="n">
        <v>45444</v>
      </c>
      <c r="B1297" s="31" t="s">
        <v>153</v>
      </c>
      <c r="C1297" s="129"/>
      <c r="D1297" s="129"/>
      <c r="E1297" s="19" t="n">
        <f aca="false">F1297*0.03</f>
        <v>0</v>
      </c>
      <c r="F1297" s="33" t="n">
        <v>0</v>
      </c>
      <c r="G1297" s="131"/>
      <c r="H1297" s="35" t="n">
        <v>0</v>
      </c>
      <c r="I1297" s="34" t="n">
        <f aca="false">+IF(E1297=0,0,E1297*0.03)</f>
        <v>0</v>
      </c>
      <c r="J1297" s="93"/>
      <c r="K1297" s="93"/>
      <c r="L1297" s="93"/>
      <c r="M1297" s="93"/>
      <c r="N1297" s="93"/>
      <c r="O1297" s="93"/>
      <c r="P1297" s="93"/>
      <c r="Q1297" s="93"/>
      <c r="R1297" s="93"/>
      <c r="S1297" s="93"/>
      <c r="T1297" s="93"/>
      <c r="U1297" s="93"/>
      <c r="V1297" s="93"/>
      <c r="W1297" s="93"/>
      <c r="X1297" s="93"/>
      <c r="Y1297" s="93"/>
      <c r="Z1297" s="93"/>
    </row>
    <row r="1298" customFormat="false" ht="16.4" hidden="false" customHeight="false" outlineLevel="0" collapsed="false">
      <c r="A1298" s="123" t="n">
        <v>45444</v>
      </c>
      <c r="B1298" s="31" t="s">
        <v>153</v>
      </c>
      <c r="C1298" s="129"/>
      <c r="D1298" s="129"/>
      <c r="E1298" s="19" t="n">
        <f aca="false">F1298*0.03</f>
        <v>0</v>
      </c>
      <c r="F1298" s="33" t="n">
        <v>0</v>
      </c>
      <c r="G1298" s="131"/>
      <c r="H1298" s="35" t="n">
        <v>0</v>
      </c>
      <c r="I1298" s="34" t="n">
        <f aca="false">+IF(E1298=0,0,E1298*0.03)</f>
        <v>0</v>
      </c>
      <c r="J1298" s="93"/>
      <c r="K1298" s="93"/>
      <c r="L1298" s="93"/>
      <c r="M1298" s="93"/>
      <c r="N1298" s="93"/>
      <c r="O1298" s="93"/>
      <c r="P1298" s="93"/>
      <c r="Q1298" s="93"/>
      <c r="R1298" s="93"/>
      <c r="S1298" s="93"/>
      <c r="T1298" s="93"/>
      <c r="U1298" s="93"/>
      <c r="V1298" s="93"/>
      <c r="W1298" s="93"/>
      <c r="X1298" s="93"/>
      <c r="Y1298" s="93"/>
      <c r="Z1298" s="93"/>
    </row>
    <row r="1299" customFormat="false" ht="16.4" hidden="false" customHeight="false" outlineLevel="0" collapsed="false">
      <c r="A1299" s="123" t="n">
        <v>45444</v>
      </c>
      <c r="B1299" s="31" t="s">
        <v>153</v>
      </c>
      <c r="C1299" s="129"/>
      <c r="D1299" s="129"/>
      <c r="E1299" s="19" t="n">
        <f aca="false">F1299*0.03</f>
        <v>0</v>
      </c>
      <c r="F1299" s="33" t="n">
        <v>0</v>
      </c>
      <c r="G1299" s="131"/>
      <c r="H1299" s="35" t="n">
        <v>0</v>
      </c>
      <c r="I1299" s="34" t="n">
        <f aca="false">+IF(E1299=0,0,E1299*0.03)</f>
        <v>0</v>
      </c>
      <c r="J1299" s="93"/>
      <c r="K1299" s="93"/>
      <c r="L1299" s="93"/>
      <c r="M1299" s="93"/>
      <c r="N1299" s="93"/>
      <c r="O1299" s="93"/>
      <c r="P1299" s="93"/>
      <c r="Q1299" s="93"/>
      <c r="R1299" s="93"/>
      <c r="S1299" s="93"/>
      <c r="T1299" s="93"/>
      <c r="U1299" s="93"/>
      <c r="V1299" s="93"/>
      <c r="W1299" s="93"/>
      <c r="X1299" s="93"/>
      <c r="Y1299" s="93"/>
      <c r="Z1299" s="93"/>
    </row>
    <row r="1300" customFormat="false" ht="16.4" hidden="false" customHeight="false" outlineLevel="0" collapsed="false">
      <c r="A1300" s="123" t="n">
        <v>45444</v>
      </c>
      <c r="B1300" s="31" t="s">
        <v>153</v>
      </c>
      <c r="C1300" s="129"/>
      <c r="D1300" s="129"/>
      <c r="E1300" s="19" t="n">
        <f aca="false">F1300*0.03</f>
        <v>0</v>
      </c>
      <c r="F1300" s="33" t="n">
        <v>0</v>
      </c>
      <c r="G1300" s="131"/>
      <c r="H1300" s="35" t="n">
        <v>0</v>
      </c>
      <c r="I1300" s="34" t="n">
        <f aca="false">+IF(E1300=0,0,E1300*0.03)</f>
        <v>0</v>
      </c>
      <c r="J1300" s="93"/>
      <c r="K1300" s="93"/>
      <c r="L1300" s="93"/>
      <c r="M1300" s="93"/>
      <c r="N1300" s="93"/>
      <c r="O1300" s="93"/>
      <c r="P1300" s="93"/>
      <c r="Q1300" s="93"/>
      <c r="R1300" s="93"/>
      <c r="S1300" s="93"/>
      <c r="T1300" s="93"/>
      <c r="U1300" s="93"/>
      <c r="V1300" s="93"/>
      <c r="W1300" s="93"/>
      <c r="X1300" s="93"/>
      <c r="Y1300" s="93"/>
      <c r="Z1300" s="93"/>
    </row>
    <row r="1301" customFormat="false" ht="16.4" hidden="false" customHeight="false" outlineLevel="0" collapsed="false">
      <c r="A1301" s="123" t="n">
        <v>45444</v>
      </c>
      <c r="B1301" s="31" t="s">
        <v>153</v>
      </c>
      <c r="C1301" s="129"/>
      <c r="D1301" s="129"/>
      <c r="E1301" s="19" t="n">
        <f aca="false">F1301*0.03</f>
        <v>0</v>
      </c>
      <c r="F1301" s="33" t="n">
        <v>0</v>
      </c>
      <c r="G1301" s="131"/>
      <c r="H1301" s="35" t="n">
        <v>0</v>
      </c>
      <c r="I1301" s="34" t="n">
        <f aca="false">+IF(E1301=0,0,E1301*0.03)</f>
        <v>0</v>
      </c>
      <c r="J1301" s="93"/>
      <c r="K1301" s="93"/>
      <c r="L1301" s="93"/>
      <c r="M1301" s="93"/>
      <c r="N1301" s="93"/>
      <c r="O1301" s="93"/>
      <c r="P1301" s="93"/>
      <c r="Q1301" s="93"/>
      <c r="R1301" s="93"/>
      <c r="S1301" s="93"/>
      <c r="T1301" s="93"/>
      <c r="U1301" s="93"/>
      <c r="V1301" s="93"/>
      <c r="W1301" s="93"/>
      <c r="X1301" s="93"/>
      <c r="Y1301" s="93"/>
      <c r="Z1301" s="93"/>
    </row>
    <row r="1302" customFormat="false" ht="16.4" hidden="false" customHeight="false" outlineLevel="0" collapsed="false">
      <c r="A1302" s="123" t="n">
        <v>45444</v>
      </c>
      <c r="B1302" s="31" t="s">
        <v>153</v>
      </c>
      <c r="C1302" s="129"/>
      <c r="D1302" s="129"/>
      <c r="E1302" s="19" t="n">
        <f aca="false">F1302*0.03</f>
        <v>0</v>
      </c>
      <c r="F1302" s="33" t="n">
        <v>0</v>
      </c>
      <c r="G1302" s="131"/>
      <c r="H1302" s="35" t="n">
        <v>0</v>
      </c>
      <c r="I1302" s="34" t="n">
        <f aca="false">+IF(E1302=0,0,E1302*0.03)</f>
        <v>0</v>
      </c>
      <c r="J1302" s="93"/>
      <c r="K1302" s="93"/>
      <c r="L1302" s="93"/>
      <c r="M1302" s="93"/>
      <c r="N1302" s="93"/>
      <c r="O1302" s="93"/>
      <c r="P1302" s="93"/>
      <c r="Q1302" s="93"/>
      <c r="R1302" s="93"/>
      <c r="S1302" s="93"/>
      <c r="T1302" s="93"/>
      <c r="U1302" s="93"/>
      <c r="V1302" s="93"/>
      <c r="W1302" s="93"/>
      <c r="X1302" s="93"/>
      <c r="Y1302" s="93"/>
      <c r="Z1302" s="93"/>
    </row>
    <row r="1303" customFormat="false" ht="16.4" hidden="false" customHeight="false" outlineLevel="0" collapsed="false">
      <c r="A1303" s="123" t="n">
        <v>45444</v>
      </c>
      <c r="B1303" s="31" t="s">
        <v>153</v>
      </c>
      <c r="C1303" s="129"/>
      <c r="D1303" s="129"/>
      <c r="E1303" s="19" t="n">
        <f aca="false">F1303*0.03</f>
        <v>0</v>
      </c>
      <c r="F1303" s="33" t="n">
        <v>0</v>
      </c>
      <c r="G1303" s="131"/>
      <c r="H1303" s="35" t="n">
        <v>0</v>
      </c>
      <c r="I1303" s="34" t="n">
        <f aca="false">+IF(E1303=0,0,E1303*0.03)</f>
        <v>0</v>
      </c>
      <c r="J1303" s="93"/>
      <c r="K1303" s="93"/>
      <c r="L1303" s="93"/>
      <c r="M1303" s="93"/>
      <c r="N1303" s="93"/>
      <c r="O1303" s="93"/>
      <c r="P1303" s="93"/>
      <c r="Q1303" s="93"/>
      <c r="R1303" s="93"/>
      <c r="S1303" s="93"/>
      <c r="T1303" s="93"/>
      <c r="U1303" s="93"/>
      <c r="V1303" s="93"/>
      <c r="W1303" s="93"/>
      <c r="X1303" s="93"/>
      <c r="Y1303" s="93"/>
      <c r="Z1303" s="93"/>
    </row>
    <row r="1304" customFormat="false" ht="16.4" hidden="false" customHeight="false" outlineLevel="0" collapsed="false">
      <c r="A1304" s="123" t="n">
        <v>45444</v>
      </c>
      <c r="B1304" s="31" t="s">
        <v>153</v>
      </c>
      <c r="C1304" s="129"/>
      <c r="D1304" s="129"/>
      <c r="E1304" s="19" t="n">
        <f aca="false">F1304*0.03</f>
        <v>0</v>
      </c>
      <c r="F1304" s="33" t="n">
        <v>0</v>
      </c>
      <c r="G1304" s="131"/>
      <c r="H1304" s="35" t="n">
        <v>0</v>
      </c>
      <c r="I1304" s="34" t="n">
        <f aca="false">+IF(E1304=0,0,E1304*0.03)</f>
        <v>0</v>
      </c>
      <c r="J1304" s="93"/>
      <c r="K1304" s="93"/>
      <c r="L1304" s="93"/>
      <c r="M1304" s="93"/>
      <c r="N1304" s="93"/>
      <c r="O1304" s="93"/>
      <c r="P1304" s="93"/>
      <c r="Q1304" s="93"/>
      <c r="R1304" s="93"/>
      <c r="S1304" s="93"/>
      <c r="T1304" s="93"/>
      <c r="U1304" s="93"/>
      <c r="V1304" s="93"/>
      <c r="W1304" s="93"/>
      <c r="X1304" s="93"/>
      <c r="Y1304" s="93"/>
      <c r="Z1304" s="93"/>
    </row>
    <row r="1305" customFormat="false" ht="16.4" hidden="false" customHeight="false" outlineLevel="0" collapsed="false">
      <c r="A1305" s="123" t="n">
        <v>45444</v>
      </c>
      <c r="B1305" s="31" t="s">
        <v>153</v>
      </c>
      <c r="C1305" s="129"/>
      <c r="D1305" s="129"/>
      <c r="E1305" s="19" t="n">
        <f aca="false">F1305*0.03</f>
        <v>0</v>
      </c>
      <c r="F1305" s="33" t="n">
        <v>0</v>
      </c>
      <c r="G1305" s="131"/>
      <c r="H1305" s="35" t="n">
        <v>0</v>
      </c>
      <c r="I1305" s="34" t="n">
        <f aca="false">+IF(E1305=0,0,E1305*0.03)</f>
        <v>0</v>
      </c>
      <c r="J1305" s="93"/>
      <c r="K1305" s="93"/>
      <c r="L1305" s="93"/>
      <c r="M1305" s="93"/>
      <c r="N1305" s="93"/>
      <c r="O1305" s="93"/>
      <c r="P1305" s="93"/>
      <c r="Q1305" s="93"/>
      <c r="R1305" s="93"/>
      <c r="S1305" s="93"/>
      <c r="T1305" s="93"/>
      <c r="U1305" s="93"/>
      <c r="V1305" s="93"/>
      <c r="W1305" s="93"/>
      <c r="X1305" s="93"/>
      <c r="Y1305" s="93"/>
      <c r="Z1305" s="93"/>
    </row>
    <row r="1306" customFormat="false" ht="16.4" hidden="false" customHeight="false" outlineLevel="0" collapsed="false">
      <c r="A1306" s="123" t="n">
        <v>45444</v>
      </c>
      <c r="B1306" s="31" t="s">
        <v>153</v>
      </c>
      <c r="C1306" s="129"/>
      <c r="D1306" s="129"/>
      <c r="E1306" s="19" t="n">
        <f aca="false">F1306*0.03</f>
        <v>0</v>
      </c>
      <c r="F1306" s="33" t="n">
        <v>0</v>
      </c>
      <c r="G1306" s="131"/>
      <c r="H1306" s="35" t="n">
        <v>0</v>
      </c>
      <c r="I1306" s="34" t="n">
        <f aca="false">+IF(E1306=0,0,E1306*0.03)</f>
        <v>0</v>
      </c>
      <c r="J1306" s="93"/>
      <c r="K1306" s="93"/>
      <c r="L1306" s="93"/>
      <c r="M1306" s="93"/>
      <c r="N1306" s="93"/>
      <c r="O1306" s="93"/>
      <c r="P1306" s="93"/>
      <c r="Q1306" s="93"/>
      <c r="R1306" s="93"/>
      <c r="S1306" s="93"/>
      <c r="T1306" s="93"/>
      <c r="U1306" s="93"/>
      <c r="V1306" s="93"/>
      <c r="W1306" s="93"/>
      <c r="X1306" s="93"/>
      <c r="Y1306" s="93"/>
      <c r="Z1306" s="93"/>
    </row>
    <row r="1307" customFormat="false" ht="16.4" hidden="false" customHeight="false" outlineLevel="0" collapsed="false">
      <c r="A1307" s="123" t="n">
        <v>45444</v>
      </c>
      <c r="B1307" s="31" t="s">
        <v>153</v>
      </c>
      <c r="C1307" s="129"/>
      <c r="D1307" s="129"/>
      <c r="E1307" s="19" t="n">
        <f aca="false">F1307*0.03</f>
        <v>0</v>
      </c>
      <c r="F1307" s="33" t="n">
        <v>0</v>
      </c>
      <c r="G1307" s="131"/>
      <c r="H1307" s="35" t="n">
        <v>0</v>
      </c>
      <c r="I1307" s="34" t="n">
        <f aca="false">+IF(E1307=0,0,E1307*0.03)</f>
        <v>0</v>
      </c>
      <c r="J1307" s="93"/>
      <c r="K1307" s="93"/>
      <c r="L1307" s="93"/>
      <c r="M1307" s="93"/>
      <c r="N1307" s="93"/>
      <c r="O1307" s="93"/>
      <c r="P1307" s="93"/>
      <c r="Q1307" s="93"/>
      <c r="R1307" s="93"/>
      <c r="S1307" s="93"/>
      <c r="T1307" s="93"/>
      <c r="U1307" s="93"/>
      <c r="V1307" s="93"/>
      <c r="W1307" s="93"/>
      <c r="X1307" s="93"/>
      <c r="Y1307" s="93"/>
      <c r="Z1307" s="93"/>
    </row>
    <row r="1308" customFormat="false" ht="16.4" hidden="false" customHeight="false" outlineLevel="0" collapsed="false">
      <c r="A1308" s="123" t="n">
        <v>45444</v>
      </c>
      <c r="B1308" s="31" t="s">
        <v>153</v>
      </c>
      <c r="C1308" s="129"/>
      <c r="D1308" s="129"/>
      <c r="E1308" s="19" t="n">
        <f aca="false">F1308*0.03</f>
        <v>0</v>
      </c>
      <c r="F1308" s="33" t="n">
        <v>0</v>
      </c>
      <c r="G1308" s="131"/>
      <c r="H1308" s="35" t="n">
        <v>0</v>
      </c>
      <c r="I1308" s="34" t="n">
        <f aca="false">+IF(E1308=0,0,E1308*0.03)</f>
        <v>0</v>
      </c>
      <c r="J1308" s="93"/>
      <c r="K1308" s="93"/>
      <c r="L1308" s="93"/>
      <c r="M1308" s="93"/>
      <c r="N1308" s="93"/>
      <c r="O1308" s="93"/>
      <c r="P1308" s="93"/>
      <c r="Q1308" s="93"/>
      <c r="R1308" s="93"/>
      <c r="S1308" s="93"/>
      <c r="T1308" s="93"/>
      <c r="U1308" s="93"/>
      <c r="V1308" s="93"/>
      <c r="W1308" s="93"/>
      <c r="X1308" s="93"/>
      <c r="Y1308" s="93"/>
      <c r="Z1308" s="93"/>
    </row>
    <row r="1309" customFormat="false" ht="16.4" hidden="false" customHeight="false" outlineLevel="0" collapsed="false">
      <c r="A1309" s="123" t="n">
        <v>45444</v>
      </c>
      <c r="B1309" s="31" t="s">
        <v>153</v>
      </c>
      <c r="C1309" s="129"/>
      <c r="D1309" s="129"/>
      <c r="E1309" s="19" t="n">
        <f aca="false">F1309*0.03</f>
        <v>0</v>
      </c>
      <c r="F1309" s="33" t="n">
        <v>0</v>
      </c>
      <c r="G1309" s="131"/>
      <c r="H1309" s="35" t="n">
        <v>0</v>
      </c>
      <c r="I1309" s="34" t="n">
        <f aca="false">+IF(E1309=0,0,E1309*0.03)</f>
        <v>0</v>
      </c>
      <c r="J1309" s="93"/>
      <c r="K1309" s="93"/>
      <c r="L1309" s="93"/>
      <c r="M1309" s="93"/>
      <c r="N1309" s="93"/>
      <c r="O1309" s="93"/>
      <c r="P1309" s="93"/>
      <c r="Q1309" s="93"/>
      <c r="R1309" s="93"/>
      <c r="S1309" s="93"/>
      <c r="T1309" s="93"/>
      <c r="U1309" s="93"/>
      <c r="V1309" s="93"/>
      <c r="W1309" s="93"/>
      <c r="X1309" s="93"/>
      <c r="Y1309" s="93"/>
      <c r="Z1309" s="93"/>
    </row>
    <row r="1310" customFormat="false" ht="16.4" hidden="false" customHeight="false" outlineLevel="0" collapsed="false">
      <c r="A1310" s="123" t="n">
        <v>45444</v>
      </c>
      <c r="B1310" s="31" t="s">
        <v>153</v>
      </c>
      <c r="C1310" s="129"/>
      <c r="D1310" s="129"/>
      <c r="E1310" s="19" t="n">
        <f aca="false">F1310*0.03</f>
        <v>0</v>
      </c>
      <c r="F1310" s="33" t="n">
        <v>0</v>
      </c>
      <c r="G1310" s="131"/>
      <c r="H1310" s="35" t="n">
        <v>0</v>
      </c>
      <c r="I1310" s="34" t="n">
        <f aca="false">+IF(E1310=0,0,E1310*0.03)</f>
        <v>0</v>
      </c>
      <c r="J1310" s="93"/>
      <c r="K1310" s="93"/>
      <c r="L1310" s="93"/>
      <c r="M1310" s="93"/>
      <c r="N1310" s="93"/>
      <c r="O1310" s="93"/>
      <c r="P1310" s="93"/>
      <c r="Q1310" s="93"/>
      <c r="R1310" s="93"/>
      <c r="S1310" s="93"/>
      <c r="T1310" s="93"/>
      <c r="U1310" s="93"/>
      <c r="V1310" s="93"/>
      <c r="W1310" s="93"/>
      <c r="X1310" s="93"/>
      <c r="Y1310" s="93"/>
      <c r="Z1310" s="93"/>
    </row>
    <row r="1311" customFormat="false" ht="16.4" hidden="false" customHeight="false" outlineLevel="0" collapsed="false">
      <c r="A1311" s="123" t="n">
        <v>45444</v>
      </c>
      <c r="B1311" s="31" t="s">
        <v>153</v>
      </c>
      <c r="C1311" s="129"/>
      <c r="D1311" s="129"/>
      <c r="E1311" s="19" t="n">
        <f aca="false">F1311*0.03</f>
        <v>0</v>
      </c>
      <c r="F1311" s="33" t="n">
        <v>0</v>
      </c>
      <c r="G1311" s="131"/>
      <c r="H1311" s="35" t="n">
        <v>0</v>
      </c>
      <c r="I1311" s="34" t="n">
        <f aca="false">+IF(E1311=0,0,E1311*0.03)</f>
        <v>0</v>
      </c>
      <c r="J1311" s="93"/>
      <c r="K1311" s="93"/>
      <c r="L1311" s="93"/>
      <c r="M1311" s="93"/>
      <c r="N1311" s="93"/>
      <c r="O1311" s="93"/>
      <c r="P1311" s="93"/>
      <c r="Q1311" s="93"/>
      <c r="R1311" s="93"/>
      <c r="S1311" s="93"/>
      <c r="T1311" s="93"/>
      <c r="U1311" s="93"/>
      <c r="V1311" s="93"/>
      <c r="W1311" s="93"/>
      <c r="X1311" s="93"/>
      <c r="Y1311" s="93"/>
      <c r="Z1311" s="93"/>
    </row>
    <row r="1312" customFormat="false" ht="16.4" hidden="false" customHeight="false" outlineLevel="0" collapsed="false">
      <c r="A1312" s="123" t="n">
        <v>45444</v>
      </c>
      <c r="B1312" s="31" t="s">
        <v>153</v>
      </c>
      <c r="C1312" s="129"/>
      <c r="D1312" s="129"/>
      <c r="E1312" s="19" t="n">
        <f aca="false">F1312*0.03</f>
        <v>0</v>
      </c>
      <c r="F1312" s="33" t="n">
        <v>0</v>
      </c>
      <c r="G1312" s="131"/>
      <c r="H1312" s="35" t="n">
        <v>0</v>
      </c>
      <c r="I1312" s="34" t="n">
        <f aca="false">+IF(E1312=0,0,E1312*0.03)</f>
        <v>0</v>
      </c>
      <c r="J1312" s="93"/>
      <c r="K1312" s="93"/>
      <c r="L1312" s="93"/>
      <c r="M1312" s="93"/>
      <c r="N1312" s="93"/>
      <c r="O1312" s="93"/>
      <c r="P1312" s="93"/>
      <c r="Q1312" s="93"/>
      <c r="R1312" s="93"/>
      <c r="S1312" s="93"/>
      <c r="T1312" s="93"/>
      <c r="U1312" s="93"/>
      <c r="V1312" s="93"/>
      <c r="W1312" s="93"/>
      <c r="X1312" s="93"/>
      <c r="Y1312" s="93"/>
      <c r="Z1312" s="93"/>
    </row>
    <row r="1313" customFormat="false" ht="16.4" hidden="false" customHeight="false" outlineLevel="0" collapsed="false">
      <c r="A1313" s="123" t="n">
        <v>45444</v>
      </c>
      <c r="B1313" s="31" t="s">
        <v>153</v>
      </c>
      <c r="C1313" s="129"/>
      <c r="D1313" s="129"/>
      <c r="E1313" s="19" t="n">
        <f aca="false">F1313*0.03</f>
        <v>0</v>
      </c>
      <c r="F1313" s="33" t="n">
        <v>0</v>
      </c>
      <c r="G1313" s="131"/>
      <c r="H1313" s="35" t="n">
        <v>0</v>
      </c>
      <c r="I1313" s="34" t="n">
        <f aca="false">+IF(E1313=0,0,E1313*0.03)</f>
        <v>0</v>
      </c>
      <c r="J1313" s="93"/>
      <c r="K1313" s="93"/>
      <c r="L1313" s="93"/>
      <c r="M1313" s="93"/>
      <c r="N1313" s="93"/>
      <c r="O1313" s="93"/>
      <c r="P1313" s="93"/>
      <c r="Q1313" s="93"/>
      <c r="R1313" s="93"/>
      <c r="S1313" s="93"/>
      <c r="T1313" s="93"/>
      <c r="U1313" s="93"/>
      <c r="V1313" s="93"/>
      <c r="W1313" s="93"/>
      <c r="X1313" s="93"/>
      <c r="Y1313" s="93"/>
      <c r="Z1313" s="93"/>
    </row>
    <row r="1314" customFormat="false" ht="16.4" hidden="false" customHeight="false" outlineLevel="0" collapsed="false">
      <c r="A1314" s="123" t="n">
        <v>45444</v>
      </c>
      <c r="B1314" s="31" t="s">
        <v>153</v>
      </c>
      <c r="C1314" s="129"/>
      <c r="D1314" s="129"/>
      <c r="E1314" s="19" t="n">
        <f aca="false">F1314*0.03</f>
        <v>0</v>
      </c>
      <c r="F1314" s="33" t="n">
        <v>0</v>
      </c>
      <c r="G1314" s="131"/>
      <c r="H1314" s="35" t="n">
        <v>0</v>
      </c>
      <c r="I1314" s="34" t="n">
        <f aca="false">+IF(E1314=0,0,E1314*0.03)</f>
        <v>0</v>
      </c>
      <c r="J1314" s="93"/>
      <c r="K1314" s="93"/>
      <c r="L1314" s="93"/>
      <c r="M1314" s="93"/>
      <c r="N1314" s="93"/>
      <c r="O1314" s="93"/>
      <c r="P1314" s="93"/>
      <c r="Q1314" s="93"/>
      <c r="R1314" s="93"/>
      <c r="S1314" s="93"/>
      <c r="T1314" s="93"/>
      <c r="U1314" s="93"/>
      <c r="V1314" s="93"/>
      <c r="W1314" s="93"/>
      <c r="X1314" s="93"/>
      <c r="Y1314" s="93"/>
      <c r="Z1314" s="93"/>
    </row>
    <row r="1315" customFormat="false" ht="16.4" hidden="false" customHeight="false" outlineLevel="0" collapsed="false">
      <c r="A1315" s="123" t="n">
        <v>45444</v>
      </c>
      <c r="B1315" s="31" t="s">
        <v>153</v>
      </c>
      <c r="C1315" s="129"/>
      <c r="D1315" s="129"/>
      <c r="E1315" s="19" t="n">
        <f aca="false">F1315*0.03</f>
        <v>0</v>
      </c>
      <c r="F1315" s="33" t="n">
        <v>0</v>
      </c>
      <c r="G1315" s="131"/>
      <c r="H1315" s="35" t="n">
        <v>0</v>
      </c>
      <c r="I1315" s="34" t="n">
        <f aca="false">+IF(E1315=0,0,E1315*0.03)</f>
        <v>0</v>
      </c>
      <c r="J1315" s="93"/>
      <c r="K1315" s="93"/>
      <c r="L1315" s="93"/>
      <c r="M1315" s="93"/>
      <c r="N1315" s="93"/>
      <c r="O1315" s="93"/>
      <c r="P1315" s="93"/>
      <c r="Q1315" s="93"/>
      <c r="R1315" s="93"/>
      <c r="S1315" s="93"/>
      <c r="T1315" s="93"/>
      <c r="U1315" s="93"/>
      <c r="V1315" s="93"/>
      <c r="W1315" s="93"/>
      <c r="X1315" s="93"/>
      <c r="Y1315" s="93"/>
      <c r="Z1315" s="93"/>
    </row>
    <row r="1316" customFormat="false" ht="16.4" hidden="false" customHeight="false" outlineLevel="0" collapsed="false">
      <c r="A1316" s="123" t="n">
        <v>45444</v>
      </c>
      <c r="B1316" s="31" t="s">
        <v>153</v>
      </c>
      <c r="C1316" s="129"/>
      <c r="D1316" s="129"/>
      <c r="E1316" s="19" t="n">
        <f aca="false">F1316*0.03</f>
        <v>0</v>
      </c>
      <c r="F1316" s="33" t="n">
        <v>0</v>
      </c>
      <c r="G1316" s="131"/>
      <c r="H1316" s="35" t="n">
        <v>0</v>
      </c>
      <c r="I1316" s="34" t="n">
        <f aca="false">+IF(E1316=0,0,E1316*0.03)</f>
        <v>0</v>
      </c>
      <c r="J1316" s="93"/>
      <c r="K1316" s="93"/>
      <c r="L1316" s="93"/>
      <c r="M1316" s="93"/>
      <c r="N1316" s="93"/>
      <c r="O1316" s="93"/>
      <c r="P1316" s="93"/>
      <c r="Q1316" s="93"/>
      <c r="R1316" s="93"/>
      <c r="S1316" s="93"/>
      <c r="T1316" s="93"/>
      <c r="U1316" s="93"/>
      <c r="V1316" s="93"/>
      <c r="W1316" s="93"/>
      <c r="X1316" s="93"/>
      <c r="Y1316" s="93"/>
      <c r="Z1316" s="93"/>
    </row>
    <row r="1317" customFormat="false" ht="16.4" hidden="false" customHeight="false" outlineLevel="0" collapsed="false">
      <c r="A1317" s="123" t="n">
        <v>45444</v>
      </c>
      <c r="B1317" s="31" t="s">
        <v>153</v>
      </c>
      <c r="C1317" s="129"/>
      <c r="D1317" s="129"/>
      <c r="E1317" s="19" t="n">
        <f aca="false">F1317*0.03</f>
        <v>0</v>
      </c>
      <c r="F1317" s="33" t="n">
        <v>0</v>
      </c>
      <c r="G1317" s="131"/>
      <c r="H1317" s="35" t="n">
        <v>0</v>
      </c>
      <c r="I1317" s="34" t="n">
        <f aca="false">+IF(E1317=0,0,E1317*0.03)</f>
        <v>0</v>
      </c>
      <c r="J1317" s="93"/>
      <c r="K1317" s="93"/>
      <c r="L1317" s="93"/>
      <c r="M1317" s="93"/>
      <c r="N1317" s="93"/>
      <c r="O1317" s="93"/>
      <c r="P1317" s="93"/>
      <c r="Q1317" s="93"/>
      <c r="R1317" s="93"/>
      <c r="S1317" s="93"/>
      <c r="T1317" s="93"/>
      <c r="U1317" s="93"/>
      <c r="V1317" s="93"/>
      <c r="W1317" s="93"/>
      <c r="X1317" s="93"/>
      <c r="Y1317" s="93"/>
      <c r="Z1317" s="93"/>
    </row>
    <row r="1318" customFormat="false" ht="16.4" hidden="false" customHeight="false" outlineLevel="0" collapsed="false">
      <c r="A1318" s="123" t="n">
        <v>45444</v>
      </c>
      <c r="B1318" s="31" t="s">
        <v>153</v>
      </c>
      <c r="C1318" s="129"/>
      <c r="D1318" s="129"/>
      <c r="E1318" s="19" t="n">
        <f aca="false">F1318*0.03</f>
        <v>0</v>
      </c>
      <c r="F1318" s="33" t="n">
        <v>0</v>
      </c>
      <c r="G1318" s="131"/>
      <c r="H1318" s="35" t="n">
        <v>0</v>
      </c>
      <c r="I1318" s="34" t="n">
        <f aca="false">+IF(E1318=0,0,E1318*0.03)</f>
        <v>0</v>
      </c>
      <c r="J1318" s="93"/>
      <c r="K1318" s="93"/>
      <c r="L1318" s="93"/>
      <c r="M1318" s="93"/>
      <c r="N1318" s="93"/>
      <c r="O1318" s="93"/>
      <c r="P1318" s="93"/>
      <c r="Q1318" s="93"/>
      <c r="R1318" s="93"/>
      <c r="S1318" s="93"/>
      <c r="T1318" s="93"/>
      <c r="U1318" s="93"/>
      <c r="V1318" s="93"/>
      <c r="W1318" s="93"/>
      <c r="X1318" s="93"/>
      <c r="Y1318" s="93"/>
      <c r="Z1318" s="93"/>
    </row>
    <row r="1319" customFormat="false" ht="16.4" hidden="false" customHeight="false" outlineLevel="0" collapsed="false">
      <c r="A1319" s="123" t="n">
        <v>45444</v>
      </c>
      <c r="B1319" s="31" t="s">
        <v>153</v>
      </c>
      <c r="C1319" s="129"/>
      <c r="D1319" s="129"/>
      <c r="E1319" s="19" t="n">
        <f aca="false">F1319*0.03</f>
        <v>0</v>
      </c>
      <c r="F1319" s="33" t="n">
        <v>0</v>
      </c>
      <c r="G1319" s="131"/>
      <c r="H1319" s="35" t="n">
        <v>0</v>
      </c>
      <c r="I1319" s="34" t="n">
        <f aca="false">+IF(E1319=0,0,E1319*0.03)</f>
        <v>0</v>
      </c>
      <c r="J1319" s="93"/>
      <c r="K1319" s="93"/>
      <c r="L1319" s="93"/>
      <c r="M1319" s="93"/>
      <c r="N1319" s="93"/>
      <c r="O1319" s="93"/>
      <c r="P1319" s="93"/>
      <c r="Q1319" s="93"/>
      <c r="R1319" s="93"/>
      <c r="S1319" s="93"/>
      <c r="T1319" s="93"/>
      <c r="U1319" s="93"/>
      <c r="V1319" s="93"/>
      <c r="W1319" s="93"/>
      <c r="X1319" s="93"/>
      <c r="Y1319" s="93"/>
      <c r="Z1319" s="93"/>
    </row>
    <row r="1320" customFormat="false" ht="16.4" hidden="false" customHeight="false" outlineLevel="0" collapsed="false">
      <c r="A1320" s="123" t="n">
        <v>45444</v>
      </c>
      <c r="B1320" s="31" t="s">
        <v>153</v>
      </c>
      <c r="C1320" s="129"/>
      <c r="D1320" s="129"/>
      <c r="E1320" s="19" t="n">
        <f aca="false">F1320*0.03</f>
        <v>0</v>
      </c>
      <c r="F1320" s="33" t="n">
        <v>0</v>
      </c>
      <c r="G1320" s="131"/>
      <c r="H1320" s="35" t="n">
        <v>0</v>
      </c>
      <c r="I1320" s="34" t="n">
        <f aca="false">+IF(E1320=0,0,E1320*0.03)</f>
        <v>0</v>
      </c>
      <c r="J1320" s="93"/>
      <c r="K1320" s="93"/>
      <c r="L1320" s="93"/>
      <c r="M1320" s="93"/>
      <c r="N1320" s="93"/>
      <c r="O1320" s="93"/>
      <c r="P1320" s="93"/>
      <c r="Q1320" s="93"/>
      <c r="R1320" s="93"/>
      <c r="S1320" s="93"/>
      <c r="T1320" s="93"/>
      <c r="U1320" s="93"/>
      <c r="V1320" s="93"/>
      <c r="W1320" s="93"/>
      <c r="X1320" s="93"/>
      <c r="Y1320" s="93"/>
      <c r="Z1320" s="93"/>
    </row>
    <row r="1321" customFormat="false" ht="16.4" hidden="false" customHeight="false" outlineLevel="0" collapsed="false">
      <c r="A1321" s="123" t="n">
        <v>45444</v>
      </c>
      <c r="B1321" s="31" t="s">
        <v>153</v>
      </c>
      <c r="C1321" s="129"/>
      <c r="D1321" s="129"/>
      <c r="E1321" s="19" t="n">
        <f aca="false">F1321*0.03</f>
        <v>0</v>
      </c>
      <c r="F1321" s="33" t="n">
        <v>0</v>
      </c>
      <c r="G1321" s="131"/>
      <c r="H1321" s="35" t="n">
        <v>0</v>
      </c>
      <c r="I1321" s="34" t="n">
        <f aca="false">+IF(E1321=0,0,E1321*0.03)</f>
        <v>0</v>
      </c>
      <c r="J1321" s="93"/>
      <c r="K1321" s="93"/>
      <c r="L1321" s="93"/>
      <c r="M1321" s="93"/>
      <c r="N1321" s="93"/>
      <c r="O1321" s="93"/>
      <c r="P1321" s="93"/>
      <c r="Q1321" s="93"/>
      <c r="R1321" s="93"/>
      <c r="S1321" s="93"/>
      <c r="T1321" s="93"/>
      <c r="U1321" s="93"/>
      <c r="V1321" s="93"/>
      <c r="W1321" s="93"/>
      <c r="X1321" s="93"/>
      <c r="Y1321" s="93"/>
      <c r="Z1321" s="93"/>
    </row>
    <row r="1322" customFormat="false" ht="16.4" hidden="false" customHeight="false" outlineLevel="0" collapsed="false">
      <c r="A1322" s="123" t="n">
        <v>45444</v>
      </c>
      <c r="B1322" s="31" t="s">
        <v>153</v>
      </c>
      <c r="C1322" s="129"/>
      <c r="D1322" s="129"/>
      <c r="E1322" s="19" t="n">
        <f aca="false">F1322*0.03</f>
        <v>0</v>
      </c>
      <c r="F1322" s="33" t="n">
        <v>0</v>
      </c>
      <c r="G1322" s="131"/>
      <c r="H1322" s="35" t="n">
        <v>0</v>
      </c>
      <c r="I1322" s="34" t="n">
        <f aca="false">+IF(E1322=0,0,E1322*0.03)</f>
        <v>0</v>
      </c>
      <c r="J1322" s="93"/>
      <c r="K1322" s="93"/>
      <c r="L1322" s="93"/>
      <c r="M1322" s="93"/>
      <c r="N1322" s="93"/>
      <c r="O1322" s="93"/>
      <c r="P1322" s="93"/>
      <c r="Q1322" s="93"/>
      <c r="R1322" s="93"/>
      <c r="S1322" s="93"/>
      <c r="T1322" s="93"/>
      <c r="U1322" s="93"/>
      <c r="V1322" s="93"/>
      <c r="W1322" s="93"/>
      <c r="X1322" s="93"/>
      <c r="Y1322" s="93"/>
      <c r="Z1322" s="93"/>
    </row>
    <row r="1323" customFormat="false" ht="16.4" hidden="false" customHeight="false" outlineLevel="0" collapsed="false">
      <c r="A1323" s="123" t="n">
        <v>45444</v>
      </c>
      <c r="B1323" s="31" t="s">
        <v>153</v>
      </c>
      <c r="C1323" s="129"/>
      <c r="D1323" s="129"/>
      <c r="E1323" s="19" t="n">
        <f aca="false">F1323*0.03</f>
        <v>0</v>
      </c>
      <c r="F1323" s="33" t="n">
        <v>0</v>
      </c>
      <c r="G1323" s="131"/>
      <c r="H1323" s="35" t="n">
        <v>0</v>
      </c>
      <c r="I1323" s="34" t="n">
        <f aca="false">+IF(E1323=0,0,E1323*0.03)</f>
        <v>0</v>
      </c>
      <c r="J1323" s="93"/>
      <c r="K1323" s="93"/>
      <c r="L1323" s="93"/>
      <c r="M1323" s="93"/>
      <c r="N1323" s="93"/>
      <c r="O1323" s="93"/>
      <c r="P1323" s="93"/>
      <c r="Q1323" s="93"/>
      <c r="R1323" s="93"/>
      <c r="S1323" s="93"/>
      <c r="T1323" s="93"/>
      <c r="U1323" s="93"/>
      <c r="V1323" s="93"/>
      <c r="W1323" s="93"/>
      <c r="X1323" s="93"/>
      <c r="Y1323" s="93"/>
      <c r="Z1323" s="93"/>
    </row>
    <row r="1324" customFormat="false" ht="16.4" hidden="false" customHeight="false" outlineLevel="0" collapsed="false">
      <c r="A1324" s="123" t="n">
        <v>45444</v>
      </c>
      <c r="B1324" s="31" t="s">
        <v>153</v>
      </c>
      <c r="C1324" s="129"/>
      <c r="D1324" s="129"/>
      <c r="E1324" s="19" t="n">
        <f aca="false">F1324*0.03</f>
        <v>0</v>
      </c>
      <c r="F1324" s="33" t="n">
        <v>0</v>
      </c>
      <c r="G1324" s="131"/>
      <c r="H1324" s="35" t="n">
        <v>0</v>
      </c>
      <c r="I1324" s="34" t="n">
        <f aca="false">+IF(E1324=0,0,E1324*0.03)</f>
        <v>0</v>
      </c>
      <c r="J1324" s="93"/>
      <c r="K1324" s="93"/>
      <c r="L1324" s="93"/>
      <c r="M1324" s="93"/>
      <c r="N1324" s="93"/>
      <c r="O1324" s="93"/>
      <c r="P1324" s="93"/>
      <c r="Q1324" s="93"/>
      <c r="R1324" s="93"/>
      <c r="S1324" s="93"/>
      <c r="T1324" s="93"/>
      <c r="U1324" s="93"/>
      <c r="V1324" s="93"/>
      <c r="W1324" s="93"/>
      <c r="X1324" s="93"/>
      <c r="Y1324" s="93"/>
      <c r="Z1324" s="93"/>
    </row>
    <row r="1325" customFormat="false" ht="16.4" hidden="false" customHeight="false" outlineLevel="0" collapsed="false">
      <c r="A1325" s="123" t="n">
        <v>45444</v>
      </c>
      <c r="B1325" s="31" t="s">
        <v>153</v>
      </c>
      <c r="C1325" s="129"/>
      <c r="D1325" s="129"/>
      <c r="E1325" s="19" t="n">
        <f aca="false">F1325*0.03</f>
        <v>0</v>
      </c>
      <c r="F1325" s="33" t="n">
        <v>0</v>
      </c>
      <c r="G1325" s="131"/>
      <c r="H1325" s="35" t="n">
        <v>0</v>
      </c>
      <c r="I1325" s="34" t="n">
        <f aca="false">+IF(E1325=0,0,E1325*0.03)</f>
        <v>0</v>
      </c>
      <c r="J1325" s="93"/>
      <c r="K1325" s="93"/>
      <c r="L1325" s="93"/>
      <c r="M1325" s="93"/>
      <c r="N1325" s="93"/>
      <c r="O1325" s="93"/>
      <c r="P1325" s="93"/>
      <c r="Q1325" s="93"/>
      <c r="R1325" s="93"/>
      <c r="S1325" s="93"/>
      <c r="T1325" s="93"/>
      <c r="U1325" s="93"/>
      <c r="V1325" s="93"/>
      <c r="W1325" s="93"/>
      <c r="X1325" s="93"/>
      <c r="Y1325" s="93"/>
      <c r="Z1325" s="93"/>
    </row>
    <row r="1326" customFormat="false" ht="16.4" hidden="false" customHeight="false" outlineLevel="0" collapsed="false">
      <c r="A1326" s="123" t="n">
        <v>45444</v>
      </c>
      <c r="B1326" s="31" t="s">
        <v>153</v>
      </c>
      <c r="C1326" s="129"/>
      <c r="D1326" s="129"/>
      <c r="E1326" s="19" t="n">
        <f aca="false">F1326*0.03</f>
        <v>0</v>
      </c>
      <c r="F1326" s="33" t="n">
        <v>0</v>
      </c>
      <c r="G1326" s="131"/>
      <c r="H1326" s="35" t="n">
        <v>0</v>
      </c>
      <c r="I1326" s="34" t="n">
        <f aca="false">+IF(E1326=0,0,E1326*0.03)</f>
        <v>0</v>
      </c>
      <c r="J1326" s="93"/>
      <c r="K1326" s="93"/>
      <c r="L1326" s="93"/>
      <c r="M1326" s="93"/>
      <c r="N1326" s="93"/>
      <c r="O1326" s="93"/>
      <c r="P1326" s="93"/>
      <c r="Q1326" s="93"/>
      <c r="R1326" s="93"/>
      <c r="S1326" s="93"/>
      <c r="T1326" s="93"/>
      <c r="U1326" s="93"/>
      <c r="V1326" s="93"/>
      <c r="W1326" s="93"/>
      <c r="X1326" s="93"/>
      <c r="Y1326" s="93"/>
      <c r="Z1326" s="93"/>
    </row>
    <row r="1327" customFormat="false" ht="16.4" hidden="false" customHeight="false" outlineLevel="0" collapsed="false">
      <c r="A1327" s="123" t="n">
        <v>45444</v>
      </c>
      <c r="B1327" s="31" t="s">
        <v>153</v>
      </c>
      <c r="C1327" s="129"/>
      <c r="D1327" s="129"/>
      <c r="E1327" s="19" t="n">
        <f aca="false">F1327*0.03</f>
        <v>0</v>
      </c>
      <c r="F1327" s="33" t="n">
        <v>0</v>
      </c>
      <c r="G1327" s="131"/>
      <c r="H1327" s="35" t="n">
        <v>0</v>
      </c>
      <c r="I1327" s="34" t="n">
        <f aca="false">+IF(E1327=0,0,E1327*0.03)</f>
        <v>0</v>
      </c>
      <c r="J1327" s="93"/>
      <c r="K1327" s="93"/>
      <c r="L1327" s="93"/>
      <c r="M1327" s="93"/>
      <c r="N1327" s="93"/>
      <c r="O1327" s="93"/>
      <c r="P1327" s="93"/>
      <c r="Q1327" s="93"/>
      <c r="R1327" s="93"/>
      <c r="S1327" s="93"/>
      <c r="T1327" s="93"/>
      <c r="U1327" s="93"/>
      <c r="V1327" s="93"/>
      <c r="W1327" s="93"/>
      <c r="X1327" s="93"/>
      <c r="Y1327" s="93"/>
      <c r="Z1327" s="93"/>
    </row>
    <row r="1328" customFormat="false" ht="16.4" hidden="false" customHeight="false" outlineLevel="0" collapsed="false">
      <c r="A1328" s="123" t="n">
        <v>45444</v>
      </c>
      <c r="B1328" s="31" t="s">
        <v>153</v>
      </c>
      <c r="C1328" s="129"/>
      <c r="D1328" s="129"/>
      <c r="E1328" s="19" t="n">
        <f aca="false">F1328*0.03</f>
        <v>0</v>
      </c>
      <c r="F1328" s="33" t="n">
        <v>0</v>
      </c>
      <c r="G1328" s="131"/>
      <c r="H1328" s="35" t="n">
        <v>0</v>
      </c>
      <c r="I1328" s="34" t="n">
        <f aca="false">+IF(E1328=0,0,E1328*0.03)</f>
        <v>0</v>
      </c>
      <c r="J1328" s="93"/>
      <c r="K1328" s="93"/>
      <c r="L1328" s="93"/>
      <c r="M1328" s="93"/>
      <c r="N1328" s="93"/>
      <c r="O1328" s="93"/>
      <c r="P1328" s="93"/>
      <c r="Q1328" s="93"/>
      <c r="R1328" s="93"/>
      <c r="S1328" s="93"/>
      <c r="T1328" s="93"/>
      <c r="U1328" s="93"/>
      <c r="V1328" s="93"/>
      <c r="W1328" s="93"/>
      <c r="X1328" s="93"/>
      <c r="Y1328" s="93"/>
      <c r="Z1328" s="93"/>
    </row>
    <row r="1329" customFormat="false" ht="16.4" hidden="false" customHeight="false" outlineLevel="0" collapsed="false">
      <c r="A1329" s="123" t="n">
        <v>45444</v>
      </c>
      <c r="B1329" s="31" t="s">
        <v>153</v>
      </c>
      <c r="C1329" s="129"/>
      <c r="D1329" s="129"/>
      <c r="E1329" s="19" t="n">
        <f aca="false">F1329*0.03</f>
        <v>0</v>
      </c>
      <c r="F1329" s="33" t="n">
        <v>0</v>
      </c>
      <c r="G1329" s="131"/>
      <c r="H1329" s="35" t="n">
        <v>0</v>
      </c>
      <c r="I1329" s="34" t="n">
        <f aca="false">+IF(E1329=0,0,E1329*0.03)</f>
        <v>0</v>
      </c>
      <c r="J1329" s="93"/>
      <c r="K1329" s="93"/>
      <c r="L1329" s="93"/>
      <c r="M1329" s="93"/>
      <c r="N1329" s="93"/>
      <c r="O1329" s="93"/>
      <c r="P1329" s="93"/>
      <c r="Q1329" s="93"/>
      <c r="R1329" s="93"/>
      <c r="S1329" s="93"/>
      <c r="T1329" s="93"/>
      <c r="U1329" s="93"/>
      <c r="V1329" s="93"/>
      <c r="W1329" s="93"/>
      <c r="X1329" s="93"/>
      <c r="Y1329" s="93"/>
      <c r="Z1329" s="93"/>
    </row>
    <row r="1330" customFormat="false" ht="16.4" hidden="false" customHeight="false" outlineLevel="0" collapsed="false">
      <c r="A1330" s="123" t="n">
        <v>45444</v>
      </c>
      <c r="B1330" s="31" t="s">
        <v>153</v>
      </c>
      <c r="C1330" s="129"/>
      <c r="D1330" s="129"/>
      <c r="E1330" s="19" t="n">
        <f aca="false">F1330*0.03</f>
        <v>0</v>
      </c>
      <c r="F1330" s="33" t="n">
        <v>0</v>
      </c>
      <c r="G1330" s="131"/>
      <c r="H1330" s="35" t="n">
        <v>0</v>
      </c>
      <c r="I1330" s="34" t="n">
        <f aca="false">+IF(E1330=0,0,E1330*0.03)</f>
        <v>0</v>
      </c>
      <c r="J1330" s="93"/>
      <c r="K1330" s="93"/>
      <c r="L1330" s="93"/>
      <c r="M1330" s="93"/>
      <c r="N1330" s="93"/>
      <c r="O1330" s="93"/>
      <c r="P1330" s="93"/>
      <c r="Q1330" s="93"/>
      <c r="R1330" s="93"/>
      <c r="S1330" s="93"/>
      <c r="T1330" s="93"/>
      <c r="U1330" s="93"/>
      <c r="V1330" s="93"/>
      <c r="W1330" s="93"/>
      <c r="X1330" s="93"/>
      <c r="Y1330" s="93"/>
      <c r="Z1330" s="93"/>
    </row>
    <row r="1331" customFormat="false" ht="16.4" hidden="false" customHeight="false" outlineLevel="0" collapsed="false">
      <c r="A1331" s="123" t="n">
        <v>45444</v>
      </c>
      <c r="B1331" s="31" t="s">
        <v>153</v>
      </c>
      <c r="C1331" s="129"/>
      <c r="D1331" s="129"/>
      <c r="E1331" s="19" t="n">
        <f aca="false">F1331*0.03</f>
        <v>0</v>
      </c>
      <c r="F1331" s="33" t="n">
        <v>0</v>
      </c>
      <c r="G1331" s="131"/>
      <c r="H1331" s="35" t="n">
        <v>0</v>
      </c>
      <c r="I1331" s="34" t="n">
        <f aca="false">+IF(E1331=0,0,E1331*0.03)</f>
        <v>0</v>
      </c>
      <c r="J1331" s="93"/>
      <c r="K1331" s="93"/>
      <c r="L1331" s="93"/>
      <c r="M1331" s="93"/>
      <c r="N1331" s="93"/>
      <c r="O1331" s="93"/>
      <c r="P1331" s="93"/>
      <c r="Q1331" s="93"/>
      <c r="R1331" s="93"/>
      <c r="S1331" s="93"/>
      <c r="T1331" s="93"/>
      <c r="U1331" s="93"/>
      <c r="V1331" s="93"/>
      <c r="W1331" s="93"/>
      <c r="X1331" s="93"/>
      <c r="Y1331" s="93"/>
      <c r="Z1331" s="93"/>
    </row>
    <row r="1332" customFormat="false" ht="16.4" hidden="false" customHeight="false" outlineLevel="0" collapsed="false">
      <c r="A1332" s="123" t="n">
        <v>45444</v>
      </c>
      <c r="B1332" s="31" t="s">
        <v>153</v>
      </c>
      <c r="C1332" s="129"/>
      <c r="D1332" s="129"/>
      <c r="E1332" s="19" t="n">
        <f aca="false">F1332*0.03</f>
        <v>0</v>
      </c>
      <c r="F1332" s="33" t="n">
        <v>0</v>
      </c>
      <c r="G1332" s="131"/>
      <c r="H1332" s="35" t="n">
        <v>0</v>
      </c>
      <c r="I1332" s="34" t="n">
        <f aca="false">+IF(E1332=0,0,E1332*0.03)</f>
        <v>0</v>
      </c>
      <c r="J1332" s="93"/>
      <c r="K1332" s="93"/>
      <c r="L1332" s="93"/>
      <c r="M1332" s="93"/>
      <c r="N1332" s="93"/>
      <c r="O1332" s="93"/>
      <c r="P1332" s="93"/>
      <c r="Q1332" s="93"/>
      <c r="R1332" s="93"/>
      <c r="S1332" s="93"/>
      <c r="T1332" s="93"/>
      <c r="U1332" s="93"/>
      <c r="V1332" s="93"/>
      <c r="W1332" s="93"/>
      <c r="X1332" s="93"/>
      <c r="Y1332" s="93"/>
      <c r="Z1332" s="93"/>
    </row>
    <row r="1333" customFormat="false" ht="16.4" hidden="false" customHeight="false" outlineLevel="0" collapsed="false">
      <c r="A1333" s="123" t="n">
        <v>45444</v>
      </c>
      <c r="B1333" s="31" t="s">
        <v>153</v>
      </c>
      <c r="C1333" s="129"/>
      <c r="D1333" s="129"/>
      <c r="E1333" s="19" t="n">
        <f aca="false">F1333*0.03</f>
        <v>0</v>
      </c>
      <c r="F1333" s="33" t="n">
        <v>0</v>
      </c>
      <c r="G1333" s="131"/>
      <c r="H1333" s="35" t="n">
        <v>0</v>
      </c>
      <c r="I1333" s="34" t="n">
        <f aca="false">+IF(E1333=0,0,E1333*0.03)</f>
        <v>0</v>
      </c>
      <c r="J1333" s="93"/>
      <c r="K1333" s="93"/>
      <c r="L1333" s="93"/>
      <c r="M1333" s="93"/>
      <c r="N1333" s="93"/>
      <c r="O1333" s="93"/>
      <c r="P1333" s="93"/>
      <c r="Q1333" s="93"/>
      <c r="R1333" s="93"/>
      <c r="S1333" s="93"/>
      <c r="T1333" s="93"/>
      <c r="U1333" s="93"/>
      <c r="V1333" s="93"/>
      <c r="W1333" s="93"/>
      <c r="X1333" s="93"/>
      <c r="Y1333" s="93"/>
      <c r="Z1333" s="93"/>
    </row>
    <row r="1334" customFormat="false" ht="16.4" hidden="false" customHeight="false" outlineLevel="0" collapsed="false">
      <c r="A1334" s="123" t="n">
        <v>45444</v>
      </c>
      <c r="B1334" s="31" t="s">
        <v>153</v>
      </c>
      <c r="C1334" s="129"/>
      <c r="D1334" s="129"/>
      <c r="E1334" s="19" t="n">
        <f aca="false">F1334*0.03</f>
        <v>0</v>
      </c>
      <c r="F1334" s="33" t="n">
        <v>0</v>
      </c>
      <c r="G1334" s="131"/>
      <c r="H1334" s="35" t="n">
        <v>0</v>
      </c>
      <c r="I1334" s="34" t="n">
        <f aca="false">+IF(E1334=0,0,E1334*0.03)</f>
        <v>0</v>
      </c>
      <c r="J1334" s="93"/>
      <c r="K1334" s="93"/>
      <c r="L1334" s="93"/>
      <c r="M1334" s="93"/>
      <c r="N1334" s="93"/>
      <c r="O1334" s="93"/>
      <c r="P1334" s="93"/>
      <c r="Q1334" s="93"/>
      <c r="R1334" s="93"/>
      <c r="S1334" s="93"/>
      <c r="T1334" s="93"/>
      <c r="U1334" s="93"/>
      <c r="V1334" s="93"/>
      <c r="W1334" s="93"/>
      <c r="X1334" s="93"/>
      <c r="Y1334" s="93"/>
      <c r="Z1334" s="93"/>
    </row>
    <row r="1335" customFormat="false" ht="16.4" hidden="false" customHeight="false" outlineLevel="0" collapsed="false">
      <c r="A1335" s="123" t="n">
        <v>45444</v>
      </c>
      <c r="B1335" s="31" t="s">
        <v>153</v>
      </c>
      <c r="C1335" s="129"/>
      <c r="D1335" s="129"/>
      <c r="E1335" s="19" t="n">
        <f aca="false">F1335*0.03</f>
        <v>0</v>
      </c>
      <c r="F1335" s="33" t="n">
        <v>0</v>
      </c>
      <c r="G1335" s="131"/>
      <c r="H1335" s="35" t="n">
        <v>0</v>
      </c>
      <c r="I1335" s="34" t="n">
        <f aca="false">+IF(E1335=0,0,E1335*0.03)</f>
        <v>0</v>
      </c>
      <c r="J1335" s="93"/>
      <c r="K1335" s="93"/>
      <c r="L1335" s="93"/>
      <c r="M1335" s="93"/>
      <c r="N1335" s="93"/>
      <c r="O1335" s="93"/>
      <c r="P1335" s="93"/>
      <c r="Q1335" s="93"/>
      <c r="R1335" s="93"/>
      <c r="S1335" s="93"/>
      <c r="T1335" s="93"/>
      <c r="U1335" s="93"/>
      <c r="V1335" s="93"/>
      <c r="W1335" s="93"/>
      <c r="X1335" s="93"/>
      <c r="Y1335" s="93"/>
      <c r="Z1335" s="93"/>
    </row>
    <row r="1336" customFormat="false" ht="16.4" hidden="false" customHeight="false" outlineLevel="0" collapsed="false">
      <c r="A1336" s="123" t="n">
        <v>45444</v>
      </c>
      <c r="B1336" s="31" t="s">
        <v>153</v>
      </c>
      <c r="C1336" s="129"/>
      <c r="D1336" s="129"/>
      <c r="E1336" s="19" t="n">
        <f aca="false">F1336*0.03</f>
        <v>0</v>
      </c>
      <c r="F1336" s="33" t="n">
        <v>0</v>
      </c>
      <c r="G1336" s="131"/>
      <c r="H1336" s="35" t="n">
        <v>0</v>
      </c>
      <c r="I1336" s="34" t="n">
        <f aca="false">+IF(E1336=0,0,E1336*0.03)</f>
        <v>0</v>
      </c>
      <c r="J1336" s="93"/>
      <c r="K1336" s="93"/>
      <c r="L1336" s="93"/>
      <c r="M1336" s="93"/>
      <c r="N1336" s="93"/>
      <c r="O1336" s="93"/>
      <c r="P1336" s="93"/>
      <c r="Q1336" s="93"/>
      <c r="R1336" s="93"/>
      <c r="S1336" s="93"/>
      <c r="T1336" s="93"/>
      <c r="U1336" s="93"/>
      <c r="V1336" s="93"/>
      <c r="W1336" s="93"/>
      <c r="X1336" s="93"/>
      <c r="Y1336" s="93"/>
      <c r="Z1336" s="93"/>
    </row>
    <row r="1337" customFormat="false" ht="16.4" hidden="false" customHeight="false" outlineLevel="0" collapsed="false">
      <c r="A1337" s="123" t="n">
        <v>45444</v>
      </c>
      <c r="B1337" s="31" t="s">
        <v>153</v>
      </c>
      <c r="C1337" s="129"/>
      <c r="D1337" s="129"/>
      <c r="E1337" s="19" t="n">
        <f aca="false">F1337*0.03</f>
        <v>0</v>
      </c>
      <c r="F1337" s="33" t="n">
        <v>0</v>
      </c>
      <c r="G1337" s="131"/>
      <c r="H1337" s="35" t="n">
        <v>0</v>
      </c>
      <c r="I1337" s="34" t="n">
        <f aca="false">+IF(E1337=0,0,E1337*0.03)</f>
        <v>0</v>
      </c>
      <c r="J1337" s="93"/>
      <c r="K1337" s="93"/>
      <c r="L1337" s="93"/>
      <c r="M1337" s="93"/>
      <c r="N1337" s="93"/>
      <c r="O1337" s="93"/>
      <c r="P1337" s="93"/>
      <c r="Q1337" s="93"/>
      <c r="R1337" s="93"/>
      <c r="S1337" s="93"/>
      <c r="T1337" s="93"/>
      <c r="U1337" s="93"/>
      <c r="V1337" s="93"/>
      <c r="W1337" s="93"/>
      <c r="X1337" s="93"/>
      <c r="Y1337" s="93"/>
      <c r="Z1337" s="93"/>
    </row>
    <row r="1338" customFormat="false" ht="16.4" hidden="false" customHeight="false" outlineLevel="0" collapsed="false">
      <c r="A1338" s="123" t="n">
        <v>45444</v>
      </c>
      <c r="B1338" s="31" t="s">
        <v>153</v>
      </c>
      <c r="C1338" s="129"/>
      <c r="D1338" s="129"/>
      <c r="E1338" s="19" t="n">
        <f aca="false">F1338*0.03</f>
        <v>0</v>
      </c>
      <c r="F1338" s="33" t="n">
        <v>0</v>
      </c>
      <c r="G1338" s="131"/>
      <c r="H1338" s="35" t="n">
        <v>0</v>
      </c>
      <c r="I1338" s="34" t="n">
        <f aca="false">+IF(E1338=0,0,E1338*0.03)</f>
        <v>0</v>
      </c>
      <c r="J1338" s="93"/>
      <c r="K1338" s="93"/>
      <c r="L1338" s="93"/>
      <c r="M1338" s="93"/>
      <c r="N1338" s="93"/>
      <c r="O1338" s="93"/>
      <c r="P1338" s="93"/>
      <c r="Q1338" s="93"/>
      <c r="R1338" s="93"/>
      <c r="S1338" s="93"/>
      <c r="T1338" s="93"/>
      <c r="U1338" s="93"/>
      <c r="V1338" s="93"/>
      <c r="W1338" s="93"/>
      <c r="X1338" s="93"/>
      <c r="Y1338" s="93"/>
      <c r="Z1338" s="93"/>
    </row>
    <row r="1339" customFormat="false" ht="16.4" hidden="false" customHeight="false" outlineLevel="0" collapsed="false">
      <c r="A1339" s="123" t="n">
        <v>45444</v>
      </c>
      <c r="B1339" s="31" t="s">
        <v>153</v>
      </c>
      <c r="C1339" s="129"/>
      <c r="D1339" s="129"/>
      <c r="E1339" s="19" t="n">
        <f aca="false">F1339*0.03</f>
        <v>0</v>
      </c>
      <c r="F1339" s="33" t="n">
        <v>0</v>
      </c>
      <c r="G1339" s="131"/>
      <c r="H1339" s="35" t="n">
        <v>0</v>
      </c>
      <c r="I1339" s="34" t="n">
        <f aca="false">+IF(E1339=0,0,E1339*0.03)</f>
        <v>0</v>
      </c>
      <c r="J1339" s="93"/>
      <c r="K1339" s="93"/>
      <c r="L1339" s="93"/>
      <c r="M1339" s="93"/>
      <c r="N1339" s="93"/>
      <c r="O1339" s="93"/>
      <c r="P1339" s="93"/>
      <c r="Q1339" s="93"/>
      <c r="R1339" s="93"/>
      <c r="S1339" s="93"/>
      <c r="T1339" s="93"/>
      <c r="U1339" s="93"/>
      <c r="V1339" s="93"/>
      <c r="W1339" s="93"/>
      <c r="X1339" s="93"/>
      <c r="Y1339" s="93"/>
      <c r="Z1339" s="93"/>
    </row>
    <row r="1340" customFormat="false" ht="16.4" hidden="false" customHeight="false" outlineLevel="0" collapsed="false">
      <c r="A1340" s="123" t="n">
        <v>45444</v>
      </c>
      <c r="B1340" s="31" t="s">
        <v>153</v>
      </c>
      <c r="C1340" s="129"/>
      <c r="D1340" s="129"/>
      <c r="E1340" s="19" t="n">
        <f aca="false">F1340*0.03</f>
        <v>0</v>
      </c>
      <c r="F1340" s="33" t="n">
        <v>0</v>
      </c>
      <c r="G1340" s="131"/>
      <c r="H1340" s="35" t="n">
        <v>0</v>
      </c>
      <c r="I1340" s="34" t="n">
        <f aca="false">+IF(E1340=0,0,E1340*0.03)</f>
        <v>0</v>
      </c>
      <c r="J1340" s="93"/>
      <c r="K1340" s="93"/>
      <c r="L1340" s="93"/>
      <c r="M1340" s="93"/>
      <c r="N1340" s="93"/>
      <c r="O1340" s="93"/>
      <c r="P1340" s="93"/>
      <c r="Q1340" s="93"/>
      <c r="R1340" s="93"/>
      <c r="S1340" s="93"/>
      <c r="T1340" s="93"/>
      <c r="U1340" s="93"/>
      <c r="V1340" s="93"/>
      <c r="W1340" s="93"/>
      <c r="X1340" s="93"/>
      <c r="Y1340" s="93"/>
      <c r="Z1340" s="93"/>
    </row>
    <row r="1341" customFormat="false" ht="16.4" hidden="false" customHeight="false" outlineLevel="0" collapsed="false">
      <c r="A1341" s="123" t="n">
        <v>45444</v>
      </c>
      <c r="B1341" s="31" t="s">
        <v>153</v>
      </c>
      <c r="C1341" s="129"/>
      <c r="D1341" s="129"/>
      <c r="E1341" s="19" t="n">
        <f aca="false">F1341*0.03</f>
        <v>0</v>
      </c>
      <c r="F1341" s="33" t="n">
        <v>0</v>
      </c>
      <c r="G1341" s="131"/>
      <c r="H1341" s="35" t="n">
        <v>0</v>
      </c>
      <c r="I1341" s="34" t="n">
        <f aca="false">+IF(E1341=0,0,E1341*0.03)</f>
        <v>0</v>
      </c>
      <c r="J1341" s="93"/>
      <c r="K1341" s="93"/>
      <c r="L1341" s="93"/>
      <c r="M1341" s="93"/>
      <c r="N1341" s="93"/>
      <c r="O1341" s="93"/>
      <c r="P1341" s="93"/>
      <c r="Q1341" s="93"/>
      <c r="R1341" s="93"/>
      <c r="S1341" s="93"/>
      <c r="T1341" s="93"/>
      <c r="U1341" s="93"/>
      <c r="V1341" s="93"/>
      <c r="W1341" s="93"/>
      <c r="X1341" s="93"/>
      <c r="Y1341" s="93"/>
      <c r="Z1341" s="93"/>
    </row>
    <row r="1342" customFormat="false" ht="16.4" hidden="false" customHeight="false" outlineLevel="0" collapsed="false">
      <c r="A1342" s="123" t="n">
        <v>45444</v>
      </c>
      <c r="B1342" s="31" t="s">
        <v>153</v>
      </c>
      <c r="C1342" s="129"/>
      <c r="D1342" s="129"/>
      <c r="E1342" s="19" t="n">
        <f aca="false">F1342*0.03</f>
        <v>0</v>
      </c>
      <c r="F1342" s="33" t="n">
        <v>0</v>
      </c>
      <c r="G1342" s="131"/>
      <c r="H1342" s="35" t="n">
        <v>0</v>
      </c>
      <c r="I1342" s="34" t="n">
        <f aca="false">+IF(E1342=0,0,E1342*0.03)</f>
        <v>0</v>
      </c>
      <c r="J1342" s="93"/>
      <c r="K1342" s="93"/>
      <c r="L1342" s="93"/>
      <c r="M1342" s="93"/>
      <c r="N1342" s="93"/>
      <c r="O1342" s="93"/>
      <c r="P1342" s="93"/>
      <c r="Q1342" s="93"/>
      <c r="R1342" s="93"/>
      <c r="S1342" s="93"/>
      <c r="T1342" s="93"/>
      <c r="U1342" s="93"/>
      <c r="V1342" s="93"/>
      <c r="W1342" s="93"/>
      <c r="X1342" s="93"/>
      <c r="Y1342" s="93"/>
      <c r="Z1342" s="93"/>
    </row>
    <row r="1343" customFormat="false" ht="16.4" hidden="false" customHeight="false" outlineLevel="0" collapsed="false">
      <c r="A1343" s="123" t="n">
        <v>45444</v>
      </c>
      <c r="B1343" s="31" t="s">
        <v>153</v>
      </c>
      <c r="C1343" s="129"/>
      <c r="D1343" s="129"/>
      <c r="E1343" s="19" t="n">
        <f aca="false">F1343*0.03</f>
        <v>0</v>
      </c>
      <c r="F1343" s="33" t="n">
        <v>0</v>
      </c>
      <c r="G1343" s="131"/>
      <c r="H1343" s="35" t="n">
        <v>0</v>
      </c>
      <c r="I1343" s="34" t="n">
        <f aca="false">+IF(E1343=0,0,E1343*0.03)</f>
        <v>0</v>
      </c>
      <c r="J1343" s="93"/>
      <c r="K1343" s="93"/>
      <c r="L1343" s="93"/>
      <c r="M1343" s="93"/>
      <c r="N1343" s="93"/>
      <c r="O1343" s="93"/>
      <c r="P1343" s="93"/>
      <c r="Q1343" s="93"/>
      <c r="R1343" s="93"/>
      <c r="S1343" s="93"/>
      <c r="T1343" s="93"/>
      <c r="U1343" s="93"/>
      <c r="V1343" s="93"/>
      <c r="W1343" s="93"/>
      <c r="X1343" s="93"/>
      <c r="Y1343" s="93"/>
      <c r="Z1343" s="93"/>
    </row>
    <row r="1344" customFormat="false" ht="16.4" hidden="false" customHeight="false" outlineLevel="0" collapsed="false">
      <c r="A1344" s="123" t="n">
        <v>45444</v>
      </c>
      <c r="B1344" s="31" t="s">
        <v>153</v>
      </c>
      <c r="C1344" s="129"/>
      <c r="D1344" s="129"/>
      <c r="E1344" s="19" t="n">
        <f aca="false">F1344*0.03</f>
        <v>0</v>
      </c>
      <c r="F1344" s="33" t="n">
        <v>0</v>
      </c>
      <c r="G1344" s="131"/>
      <c r="H1344" s="35" t="n">
        <v>0</v>
      </c>
      <c r="I1344" s="34" t="n">
        <f aca="false">+IF(E1344=0,0,E1344*0.03)</f>
        <v>0</v>
      </c>
      <c r="J1344" s="93"/>
      <c r="K1344" s="93"/>
      <c r="L1344" s="93"/>
      <c r="M1344" s="93"/>
      <c r="N1344" s="93"/>
      <c r="O1344" s="93"/>
      <c r="P1344" s="93"/>
      <c r="Q1344" s="93"/>
      <c r="R1344" s="93"/>
      <c r="S1344" s="93"/>
      <c r="T1344" s="93"/>
      <c r="U1344" s="93"/>
      <c r="V1344" s="93"/>
      <c r="W1344" s="93"/>
      <c r="X1344" s="93"/>
      <c r="Y1344" s="93"/>
      <c r="Z1344" s="93"/>
    </row>
    <row r="1345" customFormat="false" ht="16.4" hidden="false" customHeight="false" outlineLevel="0" collapsed="false">
      <c r="A1345" s="123" t="n">
        <v>45444</v>
      </c>
      <c r="B1345" s="31" t="s">
        <v>153</v>
      </c>
      <c r="C1345" s="129"/>
      <c r="D1345" s="129"/>
      <c r="E1345" s="19" t="n">
        <f aca="false">F1345*0.03</f>
        <v>0</v>
      </c>
      <c r="F1345" s="33" t="n">
        <v>0</v>
      </c>
      <c r="G1345" s="131"/>
      <c r="H1345" s="35" t="n">
        <v>0</v>
      </c>
      <c r="I1345" s="34" t="n">
        <f aca="false">+IF(E1345=0,0,E1345*0.03)</f>
        <v>0</v>
      </c>
      <c r="J1345" s="93"/>
      <c r="K1345" s="93"/>
      <c r="L1345" s="93"/>
      <c r="M1345" s="93"/>
      <c r="N1345" s="93"/>
      <c r="O1345" s="93"/>
      <c r="P1345" s="93"/>
      <c r="Q1345" s="93"/>
      <c r="R1345" s="93"/>
      <c r="S1345" s="93"/>
      <c r="T1345" s="93"/>
      <c r="U1345" s="93"/>
      <c r="V1345" s="93"/>
      <c r="W1345" s="93"/>
      <c r="X1345" s="93"/>
      <c r="Y1345" s="93"/>
      <c r="Z1345" s="93"/>
    </row>
    <row r="1346" customFormat="false" ht="16.4" hidden="false" customHeight="false" outlineLevel="0" collapsed="false">
      <c r="A1346" s="123" t="n">
        <v>45444</v>
      </c>
      <c r="B1346" s="31" t="s">
        <v>153</v>
      </c>
      <c r="C1346" s="129"/>
      <c r="D1346" s="129"/>
      <c r="E1346" s="19" t="n">
        <f aca="false">F1346*0.03</f>
        <v>0</v>
      </c>
      <c r="F1346" s="33" t="n">
        <v>0</v>
      </c>
      <c r="G1346" s="131"/>
      <c r="H1346" s="35" t="n">
        <v>0</v>
      </c>
      <c r="I1346" s="34" t="n">
        <f aca="false">+IF(E1346=0,0,E1346*0.03)</f>
        <v>0</v>
      </c>
      <c r="J1346" s="93"/>
      <c r="K1346" s="93"/>
      <c r="L1346" s="93"/>
      <c r="M1346" s="93"/>
      <c r="N1346" s="93"/>
      <c r="O1346" s="93"/>
      <c r="P1346" s="93"/>
      <c r="Q1346" s="93"/>
      <c r="R1346" s="93"/>
      <c r="S1346" s="93"/>
      <c r="T1346" s="93"/>
      <c r="U1346" s="93"/>
      <c r="V1346" s="93"/>
      <c r="W1346" s="93"/>
      <c r="X1346" s="93"/>
      <c r="Y1346" s="93"/>
      <c r="Z1346" s="93"/>
    </row>
    <row r="1347" customFormat="false" ht="16.4" hidden="false" customHeight="false" outlineLevel="0" collapsed="false">
      <c r="A1347" s="123" t="n">
        <v>45444</v>
      </c>
      <c r="B1347" s="31" t="s">
        <v>153</v>
      </c>
      <c r="C1347" s="129"/>
      <c r="D1347" s="129"/>
      <c r="E1347" s="19" t="n">
        <f aca="false">F1347*0.03</f>
        <v>0</v>
      </c>
      <c r="F1347" s="33" t="n">
        <v>0</v>
      </c>
      <c r="G1347" s="131"/>
      <c r="H1347" s="35" t="n">
        <v>0</v>
      </c>
      <c r="I1347" s="34" t="n">
        <f aca="false">+IF(E1347=0,0,E1347*0.03)</f>
        <v>0</v>
      </c>
      <c r="J1347" s="93"/>
      <c r="K1347" s="93"/>
      <c r="L1347" s="93"/>
      <c r="M1347" s="93"/>
      <c r="N1347" s="93"/>
      <c r="O1347" s="93"/>
      <c r="P1347" s="93"/>
      <c r="Q1347" s="93"/>
      <c r="R1347" s="93"/>
      <c r="S1347" s="93"/>
      <c r="T1347" s="93"/>
      <c r="U1347" s="93"/>
      <c r="V1347" s="93"/>
      <c r="W1347" s="93"/>
      <c r="X1347" s="93"/>
      <c r="Y1347" s="93"/>
      <c r="Z1347" s="93"/>
    </row>
    <row r="1348" customFormat="false" ht="16.4" hidden="false" customHeight="false" outlineLevel="0" collapsed="false">
      <c r="A1348" s="123" t="n">
        <v>45444</v>
      </c>
      <c r="B1348" s="31" t="s">
        <v>153</v>
      </c>
      <c r="C1348" s="129"/>
      <c r="D1348" s="129"/>
      <c r="E1348" s="19" t="n">
        <f aca="false">F1348*0.03</f>
        <v>0</v>
      </c>
      <c r="F1348" s="33" t="n">
        <v>0</v>
      </c>
      <c r="G1348" s="131"/>
      <c r="H1348" s="35" t="n">
        <v>0</v>
      </c>
      <c r="I1348" s="34" t="n">
        <f aca="false">+IF(E1348=0,0,E1348*0.03)</f>
        <v>0</v>
      </c>
      <c r="J1348" s="93"/>
      <c r="K1348" s="93"/>
      <c r="L1348" s="93"/>
      <c r="M1348" s="93"/>
      <c r="N1348" s="93"/>
      <c r="O1348" s="93"/>
      <c r="P1348" s="93"/>
      <c r="Q1348" s="93"/>
      <c r="R1348" s="93"/>
      <c r="S1348" s="93"/>
      <c r="T1348" s="93"/>
      <c r="U1348" s="93"/>
      <c r="V1348" s="93"/>
      <c r="W1348" s="93"/>
      <c r="X1348" s="93"/>
      <c r="Y1348" s="93"/>
      <c r="Z1348" s="93"/>
    </row>
    <row r="1349" customFormat="false" ht="16.4" hidden="false" customHeight="false" outlineLevel="0" collapsed="false">
      <c r="A1349" s="123" t="n">
        <v>45444</v>
      </c>
      <c r="B1349" s="31" t="s">
        <v>153</v>
      </c>
      <c r="C1349" s="129"/>
      <c r="D1349" s="129"/>
      <c r="E1349" s="19" t="n">
        <f aca="false">F1349*0.03</f>
        <v>0</v>
      </c>
      <c r="F1349" s="33" t="n">
        <v>0</v>
      </c>
      <c r="G1349" s="131"/>
      <c r="H1349" s="35" t="n">
        <v>0</v>
      </c>
      <c r="I1349" s="34" t="n">
        <f aca="false">+IF(E1349=0,0,E1349*0.03)</f>
        <v>0</v>
      </c>
      <c r="J1349" s="93"/>
      <c r="K1349" s="93"/>
      <c r="L1349" s="93"/>
      <c r="M1349" s="93"/>
      <c r="N1349" s="93"/>
      <c r="O1349" s="93"/>
      <c r="P1349" s="93"/>
      <c r="Q1349" s="93"/>
      <c r="R1349" s="93"/>
      <c r="S1349" s="93"/>
      <c r="T1349" s="93"/>
      <c r="U1349" s="93"/>
      <c r="V1349" s="93"/>
      <c r="W1349" s="93"/>
      <c r="X1349" s="93"/>
      <c r="Y1349" s="93"/>
      <c r="Z1349" s="93"/>
    </row>
    <row r="1350" customFormat="false" ht="16.4" hidden="false" customHeight="false" outlineLevel="0" collapsed="false">
      <c r="A1350" s="123" t="n">
        <v>45444</v>
      </c>
      <c r="B1350" s="31" t="s">
        <v>153</v>
      </c>
      <c r="C1350" s="129"/>
      <c r="D1350" s="129"/>
      <c r="E1350" s="19" t="n">
        <f aca="false">F1350*0.03</f>
        <v>0</v>
      </c>
      <c r="F1350" s="33" t="n">
        <v>0</v>
      </c>
      <c r="G1350" s="131"/>
      <c r="H1350" s="35" t="n">
        <v>0</v>
      </c>
      <c r="I1350" s="34" t="n">
        <f aca="false">+IF(E1350=0,0,E1350*0.03)</f>
        <v>0</v>
      </c>
      <c r="J1350" s="93"/>
      <c r="K1350" s="93"/>
      <c r="L1350" s="93"/>
      <c r="M1350" s="93"/>
      <c r="N1350" s="93"/>
      <c r="O1350" s="93"/>
      <c r="P1350" s="93"/>
      <c r="Q1350" s="93"/>
      <c r="R1350" s="93"/>
      <c r="S1350" s="93"/>
      <c r="T1350" s="93"/>
      <c r="U1350" s="93"/>
      <c r="V1350" s="93"/>
      <c r="W1350" s="93"/>
      <c r="X1350" s="93"/>
      <c r="Y1350" s="93"/>
      <c r="Z1350" s="93"/>
    </row>
    <row r="1351" customFormat="false" ht="16.4" hidden="false" customHeight="false" outlineLevel="0" collapsed="false">
      <c r="A1351" s="123" t="n">
        <v>45444</v>
      </c>
      <c r="B1351" s="31" t="s">
        <v>153</v>
      </c>
      <c r="C1351" s="129"/>
      <c r="D1351" s="129"/>
      <c r="E1351" s="19" t="n">
        <f aca="false">F1351*0.03</f>
        <v>0</v>
      </c>
      <c r="F1351" s="33" t="n">
        <v>0</v>
      </c>
      <c r="G1351" s="131"/>
      <c r="H1351" s="35" t="n">
        <v>0</v>
      </c>
      <c r="I1351" s="34" t="n">
        <f aca="false">+IF(E1351=0,0,E1351*0.03)</f>
        <v>0</v>
      </c>
      <c r="J1351" s="93"/>
      <c r="K1351" s="93"/>
      <c r="L1351" s="93"/>
      <c r="M1351" s="93"/>
      <c r="N1351" s="93"/>
      <c r="O1351" s="93"/>
      <c r="P1351" s="93"/>
      <c r="Q1351" s="93"/>
      <c r="R1351" s="93"/>
      <c r="S1351" s="93"/>
      <c r="T1351" s="93"/>
      <c r="U1351" s="93"/>
      <c r="V1351" s="93"/>
      <c r="W1351" s="93"/>
      <c r="X1351" s="93"/>
      <c r="Y1351" s="93"/>
      <c r="Z1351" s="93"/>
    </row>
    <row r="1352" customFormat="false" ht="16.4" hidden="false" customHeight="false" outlineLevel="0" collapsed="false">
      <c r="A1352" s="123" t="n">
        <v>45444</v>
      </c>
      <c r="B1352" s="31" t="s">
        <v>153</v>
      </c>
      <c r="C1352" s="129"/>
      <c r="D1352" s="129"/>
      <c r="E1352" s="19" t="n">
        <f aca="false">F1352*0.03</f>
        <v>0</v>
      </c>
      <c r="F1352" s="33" t="n">
        <v>0</v>
      </c>
      <c r="G1352" s="131"/>
      <c r="H1352" s="35" t="n">
        <v>0</v>
      </c>
      <c r="I1352" s="34" t="n">
        <f aca="false">+IF(E1352=0,0,E1352*0.03)</f>
        <v>0</v>
      </c>
      <c r="J1352" s="93"/>
      <c r="K1352" s="93"/>
      <c r="L1352" s="93"/>
      <c r="M1352" s="93"/>
      <c r="N1352" s="93"/>
      <c r="O1352" s="93"/>
      <c r="P1352" s="93"/>
      <c r="Q1352" s="93"/>
      <c r="R1352" s="93"/>
      <c r="S1352" s="93"/>
      <c r="T1352" s="93"/>
      <c r="U1352" s="93"/>
      <c r="V1352" s="93"/>
      <c r="W1352" s="93"/>
      <c r="X1352" s="93"/>
      <c r="Y1352" s="93"/>
      <c r="Z1352" s="93"/>
    </row>
    <row r="1353" customFormat="false" ht="16.4" hidden="false" customHeight="false" outlineLevel="0" collapsed="false">
      <c r="A1353" s="123" t="n">
        <v>45444</v>
      </c>
      <c r="B1353" s="31" t="s">
        <v>153</v>
      </c>
      <c r="C1353" s="129"/>
      <c r="D1353" s="129"/>
      <c r="E1353" s="19" t="n">
        <f aca="false">F1353*0.03</f>
        <v>0</v>
      </c>
      <c r="F1353" s="33" t="n">
        <v>0</v>
      </c>
      <c r="G1353" s="131"/>
      <c r="H1353" s="35" t="n">
        <v>0</v>
      </c>
      <c r="I1353" s="34" t="n">
        <f aca="false">+IF(E1353=0,0,E1353*0.03)</f>
        <v>0</v>
      </c>
      <c r="J1353" s="93"/>
      <c r="K1353" s="93"/>
      <c r="L1353" s="93"/>
      <c r="M1353" s="93"/>
      <c r="N1353" s="93"/>
      <c r="O1353" s="93"/>
      <c r="P1353" s="93"/>
      <c r="Q1353" s="93"/>
      <c r="R1353" s="93"/>
      <c r="S1353" s="93"/>
      <c r="T1353" s="93"/>
      <c r="U1353" s="93"/>
      <c r="V1353" s="93"/>
      <c r="W1353" s="93"/>
      <c r="X1353" s="93"/>
      <c r="Y1353" s="93"/>
      <c r="Z1353" s="93"/>
    </row>
    <row r="1354" customFormat="false" ht="16.4" hidden="false" customHeight="false" outlineLevel="0" collapsed="false">
      <c r="A1354" s="123" t="n">
        <v>45444</v>
      </c>
      <c r="B1354" s="31" t="s">
        <v>153</v>
      </c>
      <c r="C1354" s="129"/>
      <c r="D1354" s="129"/>
      <c r="E1354" s="19" t="n">
        <f aca="false">F1354*0.03</f>
        <v>0</v>
      </c>
      <c r="F1354" s="33" t="n">
        <v>0</v>
      </c>
      <c r="G1354" s="131"/>
      <c r="H1354" s="35" t="n">
        <v>0</v>
      </c>
      <c r="I1354" s="34" t="n">
        <f aca="false">+IF(E1354=0,0,E1354*0.03)</f>
        <v>0</v>
      </c>
      <c r="J1354" s="93"/>
      <c r="K1354" s="93"/>
      <c r="L1354" s="93"/>
      <c r="M1354" s="93"/>
      <c r="N1354" s="93"/>
      <c r="O1354" s="93"/>
      <c r="P1354" s="93"/>
      <c r="Q1354" s="93"/>
      <c r="R1354" s="93"/>
      <c r="S1354" s="93"/>
      <c r="T1354" s="93"/>
      <c r="U1354" s="93"/>
      <c r="V1354" s="93"/>
      <c r="W1354" s="93"/>
      <c r="X1354" s="93"/>
      <c r="Y1354" s="93"/>
      <c r="Z1354" s="93"/>
    </row>
    <row r="1355" customFormat="false" ht="16.4" hidden="false" customHeight="false" outlineLevel="0" collapsed="false">
      <c r="A1355" s="123" t="n">
        <v>45444</v>
      </c>
      <c r="B1355" s="31" t="s">
        <v>153</v>
      </c>
      <c r="C1355" s="129"/>
      <c r="D1355" s="129"/>
      <c r="E1355" s="19" t="n">
        <f aca="false">F1355*0.03</f>
        <v>0</v>
      </c>
      <c r="F1355" s="33" t="n">
        <v>0</v>
      </c>
      <c r="G1355" s="131"/>
      <c r="H1355" s="35" t="n">
        <v>0</v>
      </c>
      <c r="I1355" s="34" t="n">
        <f aca="false">+IF(E1355=0,0,E1355*0.03)</f>
        <v>0</v>
      </c>
      <c r="J1355" s="93"/>
      <c r="K1355" s="93"/>
      <c r="L1355" s="93"/>
      <c r="M1355" s="93"/>
      <c r="N1355" s="93"/>
      <c r="O1355" s="93"/>
      <c r="P1355" s="93"/>
      <c r="Q1355" s="93"/>
      <c r="R1355" s="93"/>
      <c r="S1355" s="93"/>
      <c r="T1355" s="93"/>
      <c r="U1355" s="93"/>
      <c r="V1355" s="93"/>
      <c r="W1355" s="93"/>
      <c r="X1355" s="93"/>
      <c r="Y1355" s="93"/>
      <c r="Z1355" s="93"/>
    </row>
    <row r="1356" customFormat="false" ht="16.4" hidden="false" customHeight="false" outlineLevel="0" collapsed="false">
      <c r="A1356" s="123" t="n">
        <v>45444</v>
      </c>
      <c r="B1356" s="31" t="s">
        <v>153</v>
      </c>
      <c r="C1356" s="129"/>
      <c r="D1356" s="129"/>
      <c r="E1356" s="19" t="n">
        <f aca="false">F1356*0.03</f>
        <v>0</v>
      </c>
      <c r="F1356" s="33" t="n">
        <v>0</v>
      </c>
      <c r="G1356" s="131"/>
      <c r="H1356" s="35" t="n">
        <v>0</v>
      </c>
      <c r="I1356" s="34" t="n">
        <f aca="false">+IF(E1356=0,0,E1356*0.03)</f>
        <v>0</v>
      </c>
      <c r="J1356" s="93"/>
      <c r="K1356" s="93"/>
      <c r="L1356" s="93"/>
      <c r="M1356" s="93"/>
      <c r="N1356" s="93"/>
      <c r="O1356" s="93"/>
      <c r="P1356" s="93"/>
      <c r="Q1356" s="93"/>
      <c r="R1356" s="93"/>
      <c r="S1356" s="93"/>
      <c r="T1356" s="93"/>
      <c r="U1356" s="93"/>
      <c r="V1356" s="93"/>
      <c r="W1356" s="93"/>
      <c r="X1356" s="93"/>
      <c r="Y1356" s="93"/>
      <c r="Z1356" s="93"/>
    </row>
    <row r="1357" customFormat="false" ht="16.4" hidden="false" customHeight="false" outlineLevel="0" collapsed="false">
      <c r="A1357" s="123" t="n">
        <v>45444</v>
      </c>
      <c r="B1357" s="31" t="s">
        <v>153</v>
      </c>
      <c r="C1357" s="129"/>
      <c r="D1357" s="129"/>
      <c r="E1357" s="19" t="n">
        <f aca="false">F1357*0.03</f>
        <v>0</v>
      </c>
      <c r="F1357" s="33" t="n">
        <v>0</v>
      </c>
      <c r="G1357" s="131"/>
      <c r="H1357" s="35" t="n">
        <v>0</v>
      </c>
      <c r="I1357" s="34" t="n">
        <f aca="false">+IF(E1357=0,0,E1357*0.03)</f>
        <v>0</v>
      </c>
      <c r="J1357" s="93"/>
      <c r="K1357" s="93"/>
      <c r="L1357" s="93"/>
      <c r="M1357" s="93"/>
      <c r="N1357" s="93"/>
      <c r="O1357" s="93"/>
      <c r="P1357" s="93"/>
      <c r="Q1357" s="93"/>
      <c r="R1357" s="93"/>
      <c r="S1357" s="93"/>
      <c r="T1357" s="93"/>
      <c r="U1357" s="93"/>
      <c r="V1357" s="93"/>
      <c r="W1357" s="93"/>
      <c r="X1357" s="93"/>
      <c r="Y1357" s="93"/>
      <c r="Z1357" s="93"/>
    </row>
    <row r="1358" customFormat="false" ht="16.4" hidden="false" customHeight="false" outlineLevel="0" collapsed="false">
      <c r="A1358" s="123" t="n">
        <v>45444</v>
      </c>
      <c r="B1358" s="31" t="s">
        <v>153</v>
      </c>
      <c r="C1358" s="129"/>
      <c r="D1358" s="129"/>
      <c r="E1358" s="19" t="n">
        <f aca="false">F1358*0.03</f>
        <v>0</v>
      </c>
      <c r="F1358" s="33" t="n">
        <v>0</v>
      </c>
      <c r="G1358" s="131"/>
      <c r="H1358" s="35" t="n">
        <v>0</v>
      </c>
      <c r="I1358" s="34" t="n">
        <f aca="false">+IF(E1358=0,0,E1358*0.03)</f>
        <v>0</v>
      </c>
      <c r="J1358" s="93"/>
      <c r="K1358" s="93"/>
      <c r="L1358" s="93"/>
      <c r="M1358" s="93"/>
      <c r="N1358" s="93"/>
      <c r="O1358" s="93"/>
      <c r="P1358" s="93"/>
      <c r="Q1358" s="93"/>
      <c r="R1358" s="93"/>
      <c r="S1358" s="93"/>
      <c r="T1358" s="93"/>
      <c r="U1358" s="93"/>
      <c r="V1358" s="93"/>
      <c r="W1358" s="93"/>
      <c r="X1358" s="93"/>
      <c r="Y1358" s="93"/>
      <c r="Z1358" s="93"/>
    </row>
    <row r="1359" customFormat="false" ht="16.4" hidden="false" customHeight="false" outlineLevel="0" collapsed="false">
      <c r="A1359" s="123" t="n">
        <v>45444</v>
      </c>
      <c r="B1359" s="31" t="s">
        <v>153</v>
      </c>
      <c r="C1359" s="129"/>
      <c r="D1359" s="129"/>
      <c r="E1359" s="19" t="n">
        <f aca="false">F1359*0.03</f>
        <v>0</v>
      </c>
      <c r="F1359" s="33" t="n">
        <v>0</v>
      </c>
      <c r="G1359" s="131"/>
      <c r="H1359" s="35" t="n">
        <v>0</v>
      </c>
      <c r="I1359" s="34" t="n">
        <f aca="false">+IF(E1359=0,0,E1359*0.03)</f>
        <v>0</v>
      </c>
      <c r="J1359" s="93"/>
      <c r="K1359" s="93"/>
      <c r="L1359" s="93"/>
      <c r="M1359" s="93"/>
      <c r="N1359" s="93"/>
      <c r="O1359" s="93"/>
      <c r="P1359" s="93"/>
      <c r="Q1359" s="93"/>
      <c r="R1359" s="93"/>
      <c r="S1359" s="93"/>
      <c r="T1359" s="93"/>
      <c r="U1359" s="93"/>
      <c r="V1359" s="93"/>
      <c r="W1359" s="93"/>
      <c r="X1359" s="93"/>
      <c r="Y1359" s="93"/>
      <c r="Z1359" s="93"/>
    </row>
    <row r="1360" customFormat="false" ht="16.4" hidden="false" customHeight="false" outlineLevel="0" collapsed="false">
      <c r="A1360" s="123" t="n">
        <v>45444</v>
      </c>
      <c r="B1360" s="31" t="s">
        <v>153</v>
      </c>
      <c r="C1360" s="129"/>
      <c r="D1360" s="129"/>
      <c r="E1360" s="19" t="n">
        <f aca="false">F1360*0.03</f>
        <v>0</v>
      </c>
      <c r="F1360" s="33" t="n">
        <v>0</v>
      </c>
      <c r="G1360" s="131"/>
      <c r="H1360" s="35" t="n">
        <v>0</v>
      </c>
      <c r="I1360" s="34" t="n">
        <f aca="false">+IF(E1360=0,0,E1360*0.03)</f>
        <v>0</v>
      </c>
      <c r="J1360" s="93"/>
      <c r="K1360" s="93"/>
      <c r="L1360" s="93"/>
      <c r="M1360" s="93"/>
      <c r="N1360" s="93"/>
      <c r="O1360" s="93"/>
      <c r="P1360" s="93"/>
      <c r="Q1360" s="93"/>
      <c r="R1360" s="93"/>
      <c r="S1360" s="93"/>
      <c r="T1360" s="93"/>
      <c r="U1360" s="93"/>
      <c r="V1360" s="93"/>
      <c r="W1360" s="93"/>
      <c r="X1360" s="93"/>
      <c r="Y1360" s="93"/>
      <c r="Z1360" s="93"/>
    </row>
    <row r="1361" customFormat="false" ht="16.4" hidden="false" customHeight="false" outlineLevel="0" collapsed="false">
      <c r="A1361" s="123" t="n">
        <v>45444</v>
      </c>
      <c r="B1361" s="31" t="s">
        <v>153</v>
      </c>
      <c r="C1361" s="129"/>
      <c r="D1361" s="129"/>
      <c r="E1361" s="19" t="n">
        <f aca="false">F1361*0.03</f>
        <v>0</v>
      </c>
      <c r="F1361" s="33" t="n">
        <v>0</v>
      </c>
      <c r="G1361" s="131"/>
      <c r="H1361" s="35" t="n">
        <v>0</v>
      </c>
      <c r="I1361" s="34" t="n">
        <f aca="false">+IF(E1361=0,0,E1361*0.03)</f>
        <v>0</v>
      </c>
      <c r="J1361" s="93"/>
      <c r="K1361" s="93"/>
      <c r="L1361" s="93"/>
      <c r="M1361" s="93"/>
      <c r="N1361" s="93"/>
      <c r="O1361" s="93"/>
      <c r="P1361" s="93"/>
      <c r="Q1361" s="93"/>
      <c r="R1361" s="93"/>
      <c r="S1361" s="93"/>
      <c r="T1361" s="93"/>
      <c r="U1361" s="93"/>
      <c r="V1361" s="93"/>
      <c r="W1361" s="93"/>
      <c r="X1361" s="93"/>
      <c r="Y1361" s="93"/>
      <c r="Z1361" s="93"/>
    </row>
    <row r="1362" customFormat="false" ht="16.4" hidden="false" customHeight="false" outlineLevel="0" collapsed="false">
      <c r="A1362" s="123" t="n">
        <v>45444</v>
      </c>
      <c r="B1362" s="31" t="s">
        <v>153</v>
      </c>
      <c r="C1362" s="129"/>
      <c r="D1362" s="129"/>
      <c r="E1362" s="19" t="n">
        <f aca="false">F1362*0.03</f>
        <v>0</v>
      </c>
      <c r="F1362" s="33" t="n">
        <v>0</v>
      </c>
      <c r="G1362" s="131"/>
      <c r="H1362" s="35" t="n">
        <v>0</v>
      </c>
      <c r="I1362" s="34" t="n">
        <f aca="false">+IF(E1362=0,0,E1362*0.03)</f>
        <v>0</v>
      </c>
      <c r="J1362" s="93"/>
      <c r="K1362" s="93"/>
      <c r="L1362" s="93"/>
      <c r="M1362" s="93"/>
      <c r="N1362" s="93"/>
      <c r="O1362" s="93"/>
      <c r="P1362" s="93"/>
      <c r="Q1362" s="93"/>
      <c r="R1362" s="93"/>
      <c r="S1362" s="93"/>
      <c r="T1362" s="93"/>
      <c r="U1362" s="93"/>
      <c r="V1362" s="93"/>
      <c r="W1362" s="93"/>
      <c r="X1362" s="93"/>
      <c r="Y1362" s="93"/>
      <c r="Z1362" s="93"/>
    </row>
    <row r="1363" customFormat="false" ht="16.4" hidden="false" customHeight="false" outlineLevel="0" collapsed="false">
      <c r="A1363" s="123" t="n">
        <v>45444</v>
      </c>
      <c r="B1363" s="31" t="s">
        <v>153</v>
      </c>
      <c r="C1363" s="129"/>
      <c r="D1363" s="129"/>
      <c r="E1363" s="19" t="n">
        <f aca="false">F1363*0.03</f>
        <v>0</v>
      </c>
      <c r="F1363" s="33" t="n">
        <v>0</v>
      </c>
      <c r="G1363" s="131"/>
      <c r="H1363" s="35" t="n">
        <v>0</v>
      </c>
      <c r="I1363" s="34" t="n">
        <f aca="false">+IF(E1363=0,0,E1363*0.03)</f>
        <v>0</v>
      </c>
      <c r="J1363" s="93"/>
      <c r="K1363" s="93"/>
      <c r="L1363" s="93"/>
      <c r="M1363" s="93"/>
      <c r="N1363" s="93"/>
      <c r="O1363" s="93"/>
      <c r="P1363" s="93"/>
      <c r="Q1363" s="93"/>
      <c r="R1363" s="93"/>
      <c r="S1363" s="93"/>
      <c r="T1363" s="93"/>
      <c r="U1363" s="93"/>
      <c r="V1363" s="93"/>
      <c r="W1363" s="93"/>
      <c r="X1363" s="93"/>
      <c r="Y1363" s="93"/>
      <c r="Z1363" s="93"/>
    </row>
    <row r="1364" customFormat="false" ht="16.4" hidden="false" customHeight="false" outlineLevel="0" collapsed="false">
      <c r="A1364" s="123" t="n">
        <v>45444</v>
      </c>
      <c r="B1364" s="31" t="s">
        <v>153</v>
      </c>
      <c r="C1364" s="129"/>
      <c r="D1364" s="129"/>
      <c r="E1364" s="19" t="n">
        <f aca="false">F1364*0.03</f>
        <v>0</v>
      </c>
      <c r="F1364" s="33" t="n">
        <v>0</v>
      </c>
      <c r="G1364" s="131"/>
      <c r="H1364" s="35" t="n">
        <v>0</v>
      </c>
      <c r="I1364" s="34" t="n">
        <f aca="false">+IF(E1364=0,0,E1364*0.03)</f>
        <v>0</v>
      </c>
      <c r="J1364" s="93"/>
      <c r="K1364" s="93"/>
      <c r="L1364" s="93"/>
      <c r="M1364" s="93"/>
      <c r="N1364" s="93"/>
      <c r="O1364" s="93"/>
      <c r="P1364" s="93"/>
      <c r="Q1364" s="93"/>
      <c r="R1364" s="93"/>
      <c r="S1364" s="93"/>
      <c r="T1364" s="93"/>
      <c r="U1364" s="93"/>
      <c r="V1364" s="93"/>
      <c r="W1364" s="93"/>
      <c r="X1364" s="93"/>
      <c r="Y1364" s="93"/>
      <c r="Z1364" s="93"/>
    </row>
    <row r="1365" customFormat="false" ht="16.4" hidden="false" customHeight="false" outlineLevel="0" collapsed="false">
      <c r="A1365" s="123" t="n">
        <v>45444</v>
      </c>
      <c r="B1365" s="31" t="s">
        <v>153</v>
      </c>
      <c r="C1365" s="129"/>
      <c r="D1365" s="129"/>
      <c r="E1365" s="19" t="n">
        <f aca="false">F1365*0.03</f>
        <v>0</v>
      </c>
      <c r="F1365" s="33" t="n">
        <v>0</v>
      </c>
      <c r="G1365" s="131"/>
      <c r="H1365" s="35" t="n">
        <v>0</v>
      </c>
      <c r="I1365" s="34" t="n">
        <f aca="false">+IF(E1365=0,0,E1365*0.03)</f>
        <v>0</v>
      </c>
      <c r="J1365" s="93"/>
      <c r="K1365" s="93"/>
      <c r="L1365" s="93"/>
      <c r="M1365" s="93"/>
      <c r="N1365" s="93"/>
      <c r="O1365" s="93"/>
      <c r="P1365" s="93"/>
      <c r="Q1365" s="93"/>
      <c r="R1365" s="93"/>
      <c r="S1365" s="93"/>
      <c r="T1365" s="93"/>
      <c r="U1365" s="93"/>
      <c r="V1365" s="93"/>
      <c r="W1365" s="93"/>
      <c r="X1365" s="93"/>
      <c r="Y1365" s="93"/>
      <c r="Z1365" s="93"/>
    </row>
    <row r="1366" customFormat="false" ht="16.4" hidden="false" customHeight="false" outlineLevel="0" collapsed="false">
      <c r="A1366" s="123" t="n">
        <v>45444</v>
      </c>
      <c r="B1366" s="31" t="s">
        <v>153</v>
      </c>
      <c r="C1366" s="129"/>
      <c r="D1366" s="129"/>
      <c r="E1366" s="19" t="n">
        <f aca="false">F1366*0.03</f>
        <v>0</v>
      </c>
      <c r="F1366" s="33" t="n">
        <v>0</v>
      </c>
      <c r="G1366" s="131"/>
      <c r="H1366" s="35" t="n">
        <v>0</v>
      </c>
      <c r="I1366" s="34" t="n">
        <f aca="false">+IF(E1366=0,0,E1366*0.03)</f>
        <v>0</v>
      </c>
      <c r="J1366" s="93"/>
      <c r="K1366" s="93"/>
      <c r="L1366" s="93"/>
      <c r="M1366" s="93"/>
      <c r="N1366" s="93"/>
      <c r="O1366" s="93"/>
      <c r="P1366" s="93"/>
      <c r="Q1366" s="93"/>
      <c r="R1366" s="93"/>
      <c r="S1366" s="93"/>
      <c r="T1366" s="93"/>
      <c r="U1366" s="93"/>
      <c r="V1366" s="93"/>
      <c r="W1366" s="93"/>
      <c r="X1366" s="93"/>
      <c r="Y1366" s="93"/>
      <c r="Z1366" s="93"/>
    </row>
    <row r="1367" customFormat="false" ht="16.4" hidden="false" customHeight="false" outlineLevel="0" collapsed="false">
      <c r="A1367" s="123" t="n">
        <v>45444</v>
      </c>
      <c r="B1367" s="31" t="s">
        <v>153</v>
      </c>
      <c r="C1367" s="129"/>
      <c r="D1367" s="129"/>
      <c r="E1367" s="19" t="n">
        <f aca="false">F1367*0.03</f>
        <v>0</v>
      </c>
      <c r="F1367" s="33" t="n">
        <v>0</v>
      </c>
      <c r="G1367" s="131"/>
      <c r="H1367" s="35" t="n">
        <v>0</v>
      </c>
      <c r="I1367" s="34" t="n">
        <f aca="false">+IF(E1367=0,0,E1367*0.03)</f>
        <v>0</v>
      </c>
      <c r="J1367" s="93"/>
      <c r="K1367" s="93"/>
      <c r="L1367" s="93"/>
      <c r="M1367" s="93"/>
      <c r="N1367" s="93"/>
      <c r="O1367" s="93"/>
      <c r="P1367" s="93"/>
      <c r="Q1367" s="93"/>
      <c r="R1367" s="93"/>
      <c r="S1367" s="93"/>
      <c r="T1367" s="93"/>
      <c r="U1367" s="93"/>
      <c r="V1367" s="93"/>
      <c r="W1367" s="93"/>
      <c r="X1367" s="93"/>
      <c r="Y1367" s="93"/>
      <c r="Z1367" s="93"/>
    </row>
    <row r="1368" customFormat="false" ht="16.4" hidden="false" customHeight="false" outlineLevel="0" collapsed="false">
      <c r="A1368" s="123" t="n">
        <v>45444</v>
      </c>
      <c r="B1368" s="31" t="s">
        <v>153</v>
      </c>
      <c r="C1368" s="129"/>
      <c r="D1368" s="129"/>
      <c r="E1368" s="19" t="n">
        <f aca="false">F1368*0.03</f>
        <v>0</v>
      </c>
      <c r="F1368" s="33" t="n">
        <v>0</v>
      </c>
      <c r="G1368" s="131"/>
      <c r="H1368" s="35" t="n">
        <v>0</v>
      </c>
      <c r="I1368" s="34" t="n">
        <f aca="false">+IF(E1368=0,0,E1368*0.03)</f>
        <v>0</v>
      </c>
      <c r="J1368" s="93"/>
      <c r="K1368" s="93"/>
      <c r="L1368" s="93"/>
      <c r="M1368" s="93"/>
      <c r="N1368" s="93"/>
      <c r="O1368" s="93"/>
      <c r="P1368" s="93"/>
      <c r="Q1368" s="93"/>
      <c r="R1368" s="93"/>
      <c r="S1368" s="93"/>
      <c r="T1368" s="93"/>
      <c r="U1368" s="93"/>
      <c r="V1368" s="93"/>
      <c r="W1368" s="93"/>
      <c r="X1368" s="93"/>
      <c r="Y1368" s="93"/>
      <c r="Z1368" s="93"/>
    </row>
    <row r="1369" customFormat="false" ht="16.4" hidden="false" customHeight="false" outlineLevel="0" collapsed="false">
      <c r="A1369" s="123" t="n">
        <v>45444</v>
      </c>
      <c r="B1369" s="31" t="s">
        <v>153</v>
      </c>
      <c r="C1369" s="129"/>
      <c r="D1369" s="129"/>
      <c r="E1369" s="19" t="n">
        <f aca="false">F1369*0.03</f>
        <v>0</v>
      </c>
      <c r="F1369" s="33" t="n">
        <v>0</v>
      </c>
      <c r="G1369" s="131"/>
      <c r="H1369" s="35" t="n">
        <v>0</v>
      </c>
      <c r="I1369" s="34" t="n">
        <f aca="false">+IF(E1369=0,0,E1369*0.03)</f>
        <v>0</v>
      </c>
      <c r="J1369" s="93"/>
      <c r="K1369" s="93"/>
      <c r="L1369" s="93"/>
      <c r="M1369" s="93"/>
      <c r="N1369" s="93"/>
      <c r="O1369" s="93"/>
      <c r="P1369" s="93"/>
      <c r="Q1369" s="93"/>
      <c r="R1369" s="93"/>
      <c r="S1369" s="93"/>
      <c r="T1369" s="93"/>
      <c r="U1369" s="93"/>
      <c r="V1369" s="93"/>
      <c r="W1369" s="93"/>
      <c r="X1369" s="93"/>
      <c r="Y1369" s="93"/>
      <c r="Z1369" s="93"/>
    </row>
    <row r="1370" customFormat="false" ht="16.4" hidden="false" customHeight="false" outlineLevel="0" collapsed="false">
      <c r="A1370" s="123" t="n">
        <v>45444</v>
      </c>
      <c r="B1370" s="31" t="s">
        <v>153</v>
      </c>
      <c r="C1370" s="129"/>
      <c r="D1370" s="129"/>
      <c r="E1370" s="19" t="n">
        <f aca="false">F1370*0.03</f>
        <v>0</v>
      </c>
      <c r="F1370" s="33" t="n">
        <v>0</v>
      </c>
      <c r="G1370" s="131"/>
      <c r="H1370" s="35" t="n">
        <v>0</v>
      </c>
      <c r="I1370" s="34" t="n">
        <f aca="false">+IF(E1370=0,0,E1370*0.03)</f>
        <v>0</v>
      </c>
      <c r="J1370" s="93"/>
      <c r="K1370" s="93"/>
      <c r="L1370" s="93"/>
      <c r="M1370" s="93"/>
      <c r="N1370" s="93"/>
      <c r="O1370" s="93"/>
      <c r="P1370" s="93"/>
      <c r="Q1370" s="93"/>
      <c r="R1370" s="93"/>
      <c r="S1370" s="93"/>
      <c r="T1370" s="93"/>
      <c r="U1370" s="93"/>
      <c r="V1370" s="93"/>
      <c r="W1370" s="93"/>
      <c r="X1370" s="93"/>
      <c r="Y1370" s="93"/>
      <c r="Z1370" s="93"/>
    </row>
    <row r="1371" customFormat="false" ht="16.4" hidden="false" customHeight="false" outlineLevel="0" collapsed="false">
      <c r="A1371" s="123" t="n">
        <v>45444</v>
      </c>
      <c r="B1371" s="31" t="s">
        <v>153</v>
      </c>
      <c r="C1371" s="129"/>
      <c r="D1371" s="129"/>
      <c r="E1371" s="19" t="n">
        <f aca="false">F1371*0.03</f>
        <v>0</v>
      </c>
      <c r="F1371" s="33" t="n">
        <v>0</v>
      </c>
      <c r="G1371" s="131"/>
      <c r="H1371" s="35" t="n">
        <v>0</v>
      </c>
      <c r="I1371" s="34" t="n">
        <f aca="false">+IF(E1371=0,0,E1371*0.03)</f>
        <v>0</v>
      </c>
      <c r="J1371" s="93"/>
      <c r="K1371" s="93"/>
      <c r="L1371" s="93"/>
      <c r="M1371" s="93"/>
      <c r="N1371" s="93"/>
      <c r="O1371" s="93"/>
      <c r="P1371" s="93"/>
      <c r="Q1371" s="93"/>
      <c r="R1371" s="93"/>
      <c r="S1371" s="93"/>
      <c r="T1371" s="93"/>
      <c r="U1371" s="93"/>
      <c r="V1371" s="93"/>
      <c r="W1371" s="93"/>
      <c r="X1371" s="93"/>
      <c r="Y1371" s="93"/>
      <c r="Z1371" s="93"/>
    </row>
    <row r="1372" customFormat="false" ht="16.4" hidden="false" customHeight="false" outlineLevel="0" collapsed="false">
      <c r="A1372" s="123" t="n">
        <v>45444</v>
      </c>
      <c r="B1372" s="31" t="s">
        <v>153</v>
      </c>
      <c r="C1372" s="129"/>
      <c r="D1372" s="129"/>
      <c r="E1372" s="19" t="n">
        <f aca="false">F1372*0.03</f>
        <v>0</v>
      </c>
      <c r="F1372" s="33" t="n">
        <v>0</v>
      </c>
      <c r="G1372" s="131"/>
      <c r="H1372" s="35" t="n">
        <v>0</v>
      </c>
      <c r="I1372" s="34" t="n">
        <f aca="false">+IF(E1372=0,0,E1372*0.03)</f>
        <v>0</v>
      </c>
      <c r="J1372" s="93"/>
      <c r="K1372" s="93"/>
      <c r="L1372" s="93"/>
      <c r="M1372" s="93"/>
      <c r="N1372" s="93"/>
      <c r="O1372" s="93"/>
      <c r="P1372" s="93"/>
      <c r="Q1372" s="93"/>
      <c r="R1372" s="93"/>
      <c r="S1372" s="93"/>
      <c r="T1372" s="93"/>
      <c r="U1372" s="93"/>
      <c r="V1372" s="93"/>
      <c r="W1372" s="93"/>
      <c r="X1372" s="93"/>
      <c r="Y1372" s="93"/>
      <c r="Z1372" s="93"/>
    </row>
    <row r="1373" customFormat="false" ht="16.4" hidden="false" customHeight="false" outlineLevel="0" collapsed="false">
      <c r="A1373" s="123" t="n">
        <v>45444</v>
      </c>
      <c r="B1373" s="31" t="s">
        <v>153</v>
      </c>
      <c r="C1373" s="129"/>
      <c r="D1373" s="129"/>
      <c r="E1373" s="19" t="n">
        <f aca="false">F1373*0.03</f>
        <v>0</v>
      </c>
      <c r="F1373" s="33" t="n">
        <v>0</v>
      </c>
      <c r="G1373" s="131"/>
      <c r="H1373" s="35" t="n">
        <v>0</v>
      </c>
      <c r="I1373" s="34" t="n">
        <f aca="false">+IF(E1373=0,0,E1373*0.03)</f>
        <v>0</v>
      </c>
      <c r="J1373" s="93"/>
      <c r="K1373" s="93"/>
      <c r="L1373" s="93"/>
      <c r="M1373" s="93"/>
      <c r="N1373" s="93"/>
      <c r="O1373" s="93"/>
      <c r="P1373" s="93"/>
      <c r="Q1373" s="93"/>
      <c r="R1373" s="93"/>
      <c r="S1373" s="93"/>
      <c r="T1373" s="93"/>
      <c r="U1373" s="93"/>
      <c r="V1373" s="93"/>
      <c r="W1373" s="93"/>
      <c r="X1373" s="93"/>
      <c r="Y1373" s="93"/>
      <c r="Z1373" s="93"/>
    </row>
    <row r="1374" customFormat="false" ht="16.4" hidden="false" customHeight="false" outlineLevel="0" collapsed="false">
      <c r="A1374" s="123" t="n">
        <v>45444</v>
      </c>
      <c r="B1374" s="31" t="s">
        <v>153</v>
      </c>
      <c r="C1374" s="129"/>
      <c r="D1374" s="129"/>
      <c r="E1374" s="19" t="n">
        <f aca="false">F1374*0.03</f>
        <v>0</v>
      </c>
      <c r="F1374" s="33" t="n">
        <v>0</v>
      </c>
      <c r="G1374" s="131"/>
      <c r="H1374" s="35" t="n">
        <v>0</v>
      </c>
      <c r="I1374" s="34" t="n">
        <f aca="false">+IF(E1374=0,0,E1374*0.03)</f>
        <v>0</v>
      </c>
      <c r="J1374" s="93"/>
      <c r="K1374" s="93"/>
      <c r="L1374" s="93"/>
      <c r="M1374" s="93"/>
      <c r="N1374" s="93"/>
      <c r="O1374" s="93"/>
      <c r="P1374" s="93"/>
      <c r="Q1374" s="93"/>
      <c r="R1374" s="93"/>
      <c r="S1374" s="93"/>
      <c r="T1374" s="93"/>
      <c r="U1374" s="93"/>
      <c r="V1374" s="93"/>
      <c r="W1374" s="93"/>
      <c r="X1374" s="93"/>
      <c r="Y1374" s="93"/>
      <c r="Z1374" s="93"/>
    </row>
    <row r="1375" customFormat="false" ht="16.4" hidden="false" customHeight="false" outlineLevel="0" collapsed="false">
      <c r="A1375" s="123" t="n">
        <v>45444</v>
      </c>
      <c r="B1375" s="31" t="s">
        <v>153</v>
      </c>
      <c r="C1375" s="129"/>
      <c r="D1375" s="129"/>
      <c r="E1375" s="19" t="n">
        <f aca="false">F1375*0.03</f>
        <v>0</v>
      </c>
      <c r="F1375" s="33" t="n">
        <v>0</v>
      </c>
      <c r="G1375" s="131"/>
      <c r="H1375" s="35" t="n">
        <v>0</v>
      </c>
      <c r="I1375" s="34" t="n">
        <f aca="false">+IF(E1375=0,0,E1375*0.03)</f>
        <v>0</v>
      </c>
      <c r="J1375" s="93"/>
      <c r="K1375" s="93"/>
      <c r="L1375" s="93"/>
      <c r="M1375" s="93"/>
      <c r="N1375" s="93"/>
      <c r="O1375" s="93"/>
      <c r="P1375" s="93"/>
      <c r="Q1375" s="93"/>
      <c r="R1375" s="93"/>
      <c r="S1375" s="93"/>
      <c r="T1375" s="93"/>
      <c r="U1375" s="93"/>
      <c r="V1375" s="93"/>
      <c r="W1375" s="93"/>
      <c r="X1375" s="93"/>
      <c r="Y1375" s="93"/>
      <c r="Z1375" s="93"/>
    </row>
    <row r="1376" customFormat="false" ht="16.4" hidden="false" customHeight="false" outlineLevel="0" collapsed="false">
      <c r="A1376" s="123" t="n">
        <v>45444</v>
      </c>
      <c r="B1376" s="31" t="s">
        <v>153</v>
      </c>
      <c r="C1376" s="129"/>
      <c r="D1376" s="129"/>
      <c r="E1376" s="19" t="n">
        <f aca="false">F1376*0.03</f>
        <v>0</v>
      </c>
      <c r="F1376" s="33" t="n">
        <v>0</v>
      </c>
      <c r="G1376" s="131"/>
      <c r="H1376" s="35" t="n">
        <v>0</v>
      </c>
      <c r="I1376" s="34" t="n">
        <f aca="false">+IF(E1376=0,0,E1376*0.03)</f>
        <v>0</v>
      </c>
      <c r="J1376" s="93"/>
      <c r="K1376" s="93"/>
      <c r="L1376" s="93"/>
      <c r="M1376" s="93"/>
      <c r="N1376" s="93"/>
      <c r="O1376" s="93"/>
      <c r="P1376" s="93"/>
      <c r="Q1376" s="93"/>
      <c r="R1376" s="93"/>
      <c r="S1376" s="93"/>
      <c r="T1376" s="93"/>
      <c r="U1376" s="93"/>
      <c r="V1376" s="93"/>
      <c r="W1376" s="93"/>
      <c r="X1376" s="93"/>
      <c r="Y1376" s="93"/>
      <c r="Z1376" s="93"/>
    </row>
    <row r="1377" customFormat="false" ht="16.4" hidden="false" customHeight="false" outlineLevel="0" collapsed="false">
      <c r="A1377" s="123" t="n">
        <v>45444</v>
      </c>
      <c r="B1377" s="31" t="s">
        <v>153</v>
      </c>
      <c r="C1377" s="129"/>
      <c r="D1377" s="129"/>
      <c r="E1377" s="19" t="n">
        <f aca="false">F1377*0.03</f>
        <v>0</v>
      </c>
      <c r="F1377" s="33" t="n">
        <v>0</v>
      </c>
      <c r="G1377" s="131"/>
      <c r="H1377" s="35" t="n">
        <v>0</v>
      </c>
      <c r="I1377" s="34" t="n">
        <f aca="false">+IF(E1377=0,0,E1377*0.03)</f>
        <v>0</v>
      </c>
      <c r="J1377" s="93"/>
      <c r="K1377" s="93"/>
      <c r="L1377" s="93"/>
      <c r="M1377" s="93"/>
      <c r="N1377" s="93"/>
      <c r="O1377" s="93"/>
      <c r="P1377" s="93"/>
      <c r="Q1377" s="93"/>
      <c r="R1377" s="93"/>
      <c r="S1377" s="93"/>
      <c r="T1377" s="93"/>
      <c r="U1377" s="93"/>
      <c r="V1377" s="93"/>
      <c r="W1377" s="93"/>
      <c r="X1377" s="93"/>
      <c r="Y1377" s="93"/>
      <c r="Z1377" s="93"/>
    </row>
    <row r="1378" customFormat="false" ht="16.4" hidden="false" customHeight="false" outlineLevel="0" collapsed="false">
      <c r="A1378" s="123" t="n">
        <v>45444</v>
      </c>
      <c r="B1378" s="31" t="s">
        <v>153</v>
      </c>
      <c r="C1378" s="129"/>
      <c r="D1378" s="129"/>
      <c r="E1378" s="19" t="n">
        <f aca="false">F1378*0.03</f>
        <v>0</v>
      </c>
      <c r="F1378" s="33" t="n">
        <v>0</v>
      </c>
      <c r="G1378" s="131"/>
      <c r="H1378" s="35" t="n">
        <v>0</v>
      </c>
      <c r="I1378" s="34" t="n">
        <f aca="false">+IF(E1378=0,0,E1378*0.03)</f>
        <v>0</v>
      </c>
      <c r="J1378" s="93"/>
      <c r="K1378" s="93"/>
      <c r="L1378" s="93"/>
      <c r="M1378" s="93"/>
      <c r="N1378" s="93"/>
      <c r="O1378" s="93"/>
      <c r="P1378" s="93"/>
      <c r="Q1378" s="93"/>
      <c r="R1378" s="93"/>
      <c r="S1378" s="93"/>
      <c r="T1378" s="93"/>
      <c r="U1378" s="93"/>
      <c r="V1378" s="93"/>
      <c r="W1378" s="93"/>
      <c r="X1378" s="93"/>
      <c r="Y1378" s="93"/>
      <c r="Z1378" s="93"/>
    </row>
    <row r="1379" customFormat="false" ht="16.4" hidden="false" customHeight="false" outlineLevel="0" collapsed="false">
      <c r="A1379" s="123" t="n">
        <v>45444</v>
      </c>
      <c r="B1379" s="31" t="s">
        <v>153</v>
      </c>
      <c r="C1379" s="129"/>
      <c r="D1379" s="129"/>
      <c r="E1379" s="19" t="n">
        <f aca="false">F1379*0.03</f>
        <v>0</v>
      </c>
      <c r="F1379" s="33" t="n">
        <v>0</v>
      </c>
      <c r="G1379" s="131"/>
      <c r="H1379" s="35" t="n">
        <v>0</v>
      </c>
      <c r="I1379" s="34" t="n">
        <f aca="false">+IF(E1379=0,0,E1379*0.03)</f>
        <v>0</v>
      </c>
      <c r="J1379" s="93"/>
      <c r="K1379" s="93"/>
      <c r="L1379" s="93"/>
      <c r="M1379" s="93"/>
      <c r="N1379" s="93"/>
      <c r="O1379" s="93"/>
      <c r="P1379" s="93"/>
      <c r="Q1379" s="93"/>
      <c r="R1379" s="93"/>
      <c r="S1379" s="93"/>
      <c r="T1379" s="93"/>
      <c r="U1379" s="93"/>
      <c r="V1379" s="93"/>
      <c r="W1379" s="93"/>
      <c r="X1379" s="93"/>
      <c r="Y1379" s="93"/>
      <c r="Z1379" s="93"/>
    </row>
    <row r="1380" customFormat="false" ht="16.4" hidden="false" customHeight="false" outlineLevel="0" collapsed="false">
      <c r="A1380" s="123" t="n">
        <v>45444</v>
      </c>
      <c r="B1380" s="31" t="s">
        <v>153</v>
      </c>
      <c r="C1380" s="129"/>
      <c r="D1380" s="129"/>
      <c r="E1380" s="19" t="n">
        <f aca="false">F1380*0.03</f>
        <v>0</v>
      </c>
      <c r="F1380" s="33" t="n">
        <v>0</v>
      </c>
      <c r="G1380" s="131"/>
      <c r="H1380" s="35" t="n">
        <v>0</v>
      </c>
      <c r="I1380" s="34" t="n">
        <f aca="false">+IF(E1380=0,0,E1380*0.03)</f>
        <v>0</v>
      </c>
      <c r="J1380" s="93"/>
      <c r="K1380" s="93"/>
      <c r="L1380" s="93"/>
      <c r="M1380" s="93"/>
      <c r="N1380" s="93"/>
      <c r="O1380" s="93"/>
      <c r="P1380" s="93"/>
      <c r="Q1380" s="93"/>
      <c r="R1380" s="93"/>
      <c r="S1380" s="93"/>
      <c r="T1380" s="93"/>
      <c r="U1380" s="93"/>
      <c r="V1380" s="93"/>
      <c r="W1380" s="93"/>
      <c r="X1380" s="93"/>
      <c r="Y1380" s="93"/>
      <c r="Z1380" s="93"/>
    </row>
    <row r="1381" customFormat="false" ht="16.4" hidden="false" customHeight="false" outlineLevel="0" collapsed="false">
      <c r="A1381" s="123" t="n">
        <v>45444</v>
      </c>
      <c r="B1381" s="31" t="s">
        <v>153</v>
      </c>
      <c r="C1381" s="129"/>
      <c r="D1381" s="129"/>
      <c r="E1381" s="19" t="n">
        <f aca="false">F1381*0.03</f>
        <v>0</v>
      </c>
      <c r="F1381" s="33" t="n">
        <v>0</v>
      </c>
      <c r="G1381" s="131"/>
      <c r="H1381" s="35" t="n">
        <v>0</v>
      </c>
      <c r="I1381" s="34" t="n">
        <f aca="false">+IF(E1381=0,0,E1381*0.03)</f>
        <v>0</v>
      </c>
      <c r="J1381" s="93"/>
      <c r="K1381" s="93"/>
      <c r="L1381" s="93"/>
      <c r="M1381" s="93"/>
      <c r="N1381" s="93"/>
      <c r="O1381" s="93"/>
      <c r="P1381" s="93"/>
      <c r="Q1381" s="93"/>
      <c r="R1381" s="93"/>
      <c r="S1381" s="93"/>
      <c r="T1381" s="93"/>
      <c r="U1381" s="93"/>
      <c r="V1381" s="93"/>
      <c r="W1381" s="93"/>
      <c r="X1381" s="93"/>
      <c r="Y1381" s="93"/>
      <c r="Z1381" s="93"/>
    </row>
    <row r="1382" customFormat="false" ht="16.4" hidden="false" customHeight="false" outlineLevel="0" collapsed="false">
      <c r="A1382" s="123" t="n">
        <v>45444</v>
      </c>
      <c r="B1382" s="31" t="s">
        <v>153</v>
      </c>
      <c r="C1382" s="129"/>
      <c r="D1382" s="129"/>
      <c r="E1382" s="19" t="n">
        <f aca="false">F1382*0.03</f>
        <v>0</v>
      </c>
      <c r="F1382" s="33" t="n">
        <v>0</v>
      </c>
      <c r="G1382" s="131"/>
      <c r="H1382" s="35" t="n">
        <v>0</v>
      </c>
      <c r="I1382" s="34" t="n">
        <f aca="false">+IF(E1382=0,0,E1382*0.03)</f>
        <v>0</v>
      </c>
      <c r="J1382" s="93"/>
      <c r="K1382" s="93"/>
      <c r="L1382" s="93"/>
      <c r="M1382" s="93"/>
      <c r="N1382" s="93"/>
      <c r="O1382" s="93"/>
      <c r="P1382" s="93"/>
      <c r="Q1382" s="93"/>
      <c r="R1382" s="93"/>
      <c r="S1382" s="93"/>
      <c r="T1382" s="93"/>
      <c r="U1382" s="93"/>
      <c r="V1382" s="93"/>
      <c r="W1382" s="93"/>
      <c r="X1382" s="93"/>
      <c r="Y1382" s="93"/>
      <c r="Z1382" s="93"/>
    </row>
    <row r="1383" customFormat="false" ht="16.4" hidden="false" customHeight="false" outlineLevel="0" collapsed="false">
      <c r="A1383" s="123" t="n">
        <v>45444</v>
      </c>
      <c r="B1383" s="31" t="s">
        <v>153</v>
      </c>
      <c r="C1383" s="129"/>
      <c r="D1383" s="129"/>
      <c r="E1383" s="19" t="n">
        <f aca="false">F1383*0.03</f>
        <v>0</v>
      </c>
      <c r="F1383" s="33" t="n">
        <v>0</v>
      </c>
      <c r="G1383" s="131"/>
      <c r="H1383" s="35" t="n">
        <v>0</v>
      </c>
      <c r="I1383" s="34" t="n">
        <f aca="false">+IF(E1383=0,0,E1383*0.03)</f>
        <v>0</v>
      </c>
      <c r="J1383" s="93"/>
      <c r="K1383" s="93"/>
      <c r="L1383" s="93"/>
      <c r="M1383" s="93"/>
      <c r="N1383" s="93"/>
      <c r="O1383" s="93"/>
      <c r="P1383" s="93"/>
      <c r="Q1383" s="93"/>
      <c r="R1383" s="93"/>
      <c r="S1383" s="93"/>
      <c r="T1383" s="93"/>
      <c r="U1383" s="93"/>
      <c r="V1383" s="93"/>
      <c r="W1383" s="93"/>
      <c r="X1383" s="93"/>
      <c r="Y1383" s="93"/>
      <c r="Z1383" s="93"/>
    </row>
    <row r="1384" customFormat="false" ht="16.4" hidden="false" customHeight="false" outlineLevel="0" collapsed="false">
      <c r="A1384" s="123" t="n">
        <v>45444</v>
      </c>
      <c r="B1384" s="31" t="s">
        <v>153</v>
      </c>
      <c r="C1384" s="129"/>
      <c r="D1384" s="129"/>
      <c r="E1384" s="19" t="n">
        <f aca="false">F1384*0.03</f>
        <v>0</v>
      </c>
      <c r="F1384" s="33" t="n">
        <v>0</v>
      </c>
      <c r="G1384" s="131"/>
      <c r="H1384" s="35" t="n">
        <v>0</v>
      </c>
      <c r="I1384" s="34" t="n">
        <f aca="false">+IF(E1384=0,0,E1384*0.03)</f>
        <v>0</v>
      </c>
      <c r="J1384" s="93"/>
      <c r="K1384" s="93"/>
      <c r="L1384" s="93"/>
      <c r="M1384" s="93"/>
      <c r="N1384" s="93"/>
      <c r="O1384" s="93"/>
      <c r="P1384" s="93"/>
      <c r="Q1384" s="93"/>
      <c r="R1384" s="93"/>
      <c r="S1384" s="93"/>
      <c r="T1384" s="93"/>
      <c r="U1384" s="93"/>
      <c r="V1384" s="93"/>
      <c r="W1384" s="93"/>
      <c r="X1384" s="93"/>
      <c r="Y1384" s="93"/>
      <c r="Z1384" s="93"/>
    </row>
    <row r="1385" customFormat="false" ht="16.4" hidden="false" customHeight="false" outlineLevel="0" collapsed="false">
      <c r="A1385" s="123" t="n">
        <v>45444</v>
      </c>
      <c r="B1385" s="31" t="s">
        <v>153</v>
      </c>
      <c r="C1385" s="129"/>
      <c r="D1385" s="129"/>
      <c r="E1385" s="19" t="n">
        <f aca="false">F1385*0.03</f>
        <v>0</v>
      </c>
      <c r="F1385" s="33" t="n">
        <v>0</v>
      </c>
      <c r="G1385" s="131"/>
      <c r="H1385" s="35" t="n">
        <v>0</v>
      </c>
      <c r="I1385" s="34" t="n">
        <f aca="false">+IF(E1385=0,0,E1385*0.03)</f>
        <v>0</v>
      </c>
      <c r="J1385" s="93"/>
      <c r="K1385" s="93"/>
      <c r="L1385" s="93"/>
      <c r="M1385" s="93"/>
      <c r="N1385" s="93"/>
      <c r="O1385" s="93"/>
      <c r="P1385" s="93"/>
      <c r="Q1385" s="93"/>
      <c r="R1385" s="93"/>
      <c r="S1385" s="93"/>
      <c r="T1385" s="93"/>
      <c r="U1385" s="93"/>
      <c r="V1385" s="93"/>
      <c r="W1385" s="93"/>
      <c r="X1385" s="93"/>
      <c r="Y1385" s="93"/>
      <c r="Z1385" s="93"/>
    </row>
    <row r="1386" customFormat="false" ht="16.4" hidden="false" customHeight="false" outlineLevel="0" collapsed="false">
      <c r="A1386" s="123" t="n">
        <v>45444</v>
      </c>
      <c r="B1386" s="31" t="s">
        <v>153</v>
      </c>
      <c r="C1386" s="129"/>
      <c r="D1386" s="129"/>
      <c r="E1386" s="19" t="n">
        <f aca="false">F1386*0.03</f>
        <v>0</v>
      </c>
      <c r="F1386" s="33" t="n">
        <v>0</v>
      </c>
      <c r="G1386" s="131"/>
      <c r="H1386" s="35" t="n">
        <v>0</v>
      </c>
      <c r="I1386" s="34" t="n">
        <f aca="false">+IF(E1386=0,0,E1386*0.03)</f>
        <v>0</v>
      </c>
      <c r="J1386" s="93"/>
      <c r="K1386" s="93"/>
      <c r="L1386" s="93"/>
      <c r="M1386" s="93"/>
      <c r="N1386" s="93"/>
      <c r="O1386" s="93"/>
      <c r="P1386" s="93"/>
      <c r="Q1386" s="93"/>
      <c r="R1386" s="93"/>
      <c r="S1386" s="93"/>
      <c r="T1386" s="93"/>
      <c r="U1386" s="93"/>
      <c r="V1386" s="93"/>
      <c r="W1386" s="93"/>
      <c r="X1386" s="93"/>
      <c r="Y1386" s="93"/>
      <c r="Z1386" s="93"/>
    </row>
    <row r="1387" customFormat="false" ht="16.4" hidden="false" customHeight="false" outlineLevel="0" collapsed="false">
      <c r="A1387" s="123" t="n">
        <v>45444</v>
      </c>
      <c r="B1387" s="31" t="s">
        <v>153</v>
      </c>
      <c r="C1387" s="129"/>
      <c r="D1387" s="129"/>
      <c r="E1387" s="19" t="n">
        <f aca="false">F1387*0.03</f>
        <v>0</v>
      </c>
      <c r="F1387" s="33" t="n">
        <v>0</v>
      </c>
      <c r="G1387" s="131"/>
      <c r="H1387" s="35" t="n">
        <v>0</v>
      </c>
      <c r="I1387" s="34" t="n">
        <f aca="false">+IF(E1387=0,0,E1387*0.03)</f>
        <v>0</v>
      </c>
      <c r="J1387" s="93"/>
      <c r="K1387" s="93"/>
      <c r="L1387" s="93"/>
      <c r="M1387" s="93"/>
      <c r="N1387" s="93"/>
      <c r="O1387" s="93"/>
      <c r="P1387" s="93"/>
      <c r="Q1387" s="93"/>
      <c r="R1387" s="93"/>
      <c r="S1387" s="93"/>
      <c r="T1387" s="93"/>
      <c r="U1387" s="93"/>
      <c r="V1387" s="93"/>
      <c r="W1387" s="93"/>
      <c r="X1387" s="93"/>
      <c r="Y1387" s="93"/>
      <c r="Z1387" s="93"/>
    </row>
    <row r="1388" customFormat="false" ht="16.4" hidden="false" customHeight="false" outlineLevel="0" collapsed="false">
      <c r="A1388" s="123" t="n">
        <v>45444</v>
      </c>
      <c r="B1388" s="31" t="s">
        <v>153</v>
      </c>
      <c r="C1388" s="129"/>
      <c r="D1388" s="129"/>
      <c r="E1388" s="19" t="n">
        <f aca="false">F1388*0.03</f>
        <v>0</v>
      </c>
      <c r="F1388" s="33" t="n">
        <v>0</v>
      </c>
      <c r="G1388" s="131"/>
      <c r="H1388" s="35" t="n">
        <v>0</v>
      </c>
      <c r="I1388" s="34" t="n">
        <f aca="false">+IF(E1388=0,0,E1388*0.03)</f>
        <v>0</v>
      </c>
      <c r="J1388" s="93"/>
      <c r="K1388" s="93"/>
      <c r="L1388" s="93"/>
      <c r="M1388" s="93"/>
      <c r="N1388" s="93"/>
      <c r="O1388" s="93"/>
      <c r="P1388" s="93"/>
      <c r="Q1388" s="93"/>
      <c r="R1388" s="93"/>
      <c r="S1388" s="93"/>
      <c r="T1388" s="93"/>
      <c r="U1388" s="93"/>
      <c r="V1388" s="93"/>
      <c r="W1388" s="93"/>
      <c r="X1388" s="93"/>
      <c r="Y1388" s="93"/>
      <c r="Z1388" s="93"/>
    </row>
    <row r="1389" customFormat="false" ht="16.4" hidden="false" customHeight="false" outlineLevel="0" collapsed="false">
      <c r="A1389" s="123" t="n">
        <v>45444</v>
      </c>
      <c r="B1389" s="31" t="s">
        <v>153</v>
      </c>
      <c r="C1389" s="129"/>
      <c r="D1389" s="129"/>
      <c r="E1389" s="19" t="n">
        <f aca="false">F1389*0.03</f>
        <v>0</v>
      </c>
      <c r="F1389" s="33" t="n">
        <v>0</v>
      </c>
      <c r="G1389" s="131"/>
      <c r="H1389" s="35" t="n">
        <v>0</v>
      </c>
      <c r="I1389" s="34" t="n">
        <f aca="false">+IF(E1389=0,0,E1389*0.03)</f>
        <v>0</v>
      </c>
      <c r="J1389" s="93"/>
      <c r="K1389" s="93"/>
      <c r="L1389" s="93"/>
      <c r="M1389" s="93"/>
      <c r="N1389" s="93"/>
      <c r="O1389" s="93"/>
      <c r="P1389" s="93"/>
      <c r="Q1389" s="93"/>
      <c r="R1389" s="93"/>
      <c r="S1389" s="93"/>
      <c r="T1389" s="93"/>
      <c r="U1389" s="93"/>
      <c r="V1389" s="93"/>
      <c r="W1389" s="93"/>
      <c r="X1389" s="93"/>
      <c r="Y1389" s="93"/>
      <c r="Z1389" s="93"/>
    </row>
    <row r="1390" customFormat="false" ht="16.4" hidden="false" customHeight="false" outlineLevel="0" collapsed="false">
      <c r="A1390" s="123" t="n">
        <v>45444</v>
      </c>
      <c r="B1390" s="31" t="s">
        <v>153</v>
      </c>
      <c r="C1390" s="129"/>
      <c r="D1390" s="129"/>
      <c r="E1390" s="19" t="n">
        <f aca="false">F1390*0.03</f>
        <v>0</v>
      </c>
      <c r="F1390" s="33" t="n">
        <v>0</v>
      </c>
      <c r="G1390" s="131"/>
      <c r="H1390" s="35" t="n">
        <v>0</v>
      </c>
      <c r="I1390" s="34" t="n">
        <f aca="false">+IF(E1390=0,0,E1390*0.03)</f>
        <v>0</v>
      </c>
      <c r="J1390" s="93"/>
      <c r="K1390" s="93"/>
      <c r="L1390" s="93"/>
      <c r="M1390" s="93"/>
      <c r="N1390" s="93"/>
      <c r="O1390" s="93"/>
      <c r="P1390" s="93"/>
      <c r="Q1390" s="93"/>
      <c r="R1390" s="93"/>
      <c r="S1390" s="93"/>
      <c r="T1390" s="93"/>
      <c r="U1390" s="93"/>
      <c r="V1390" s="93"/>
      <c r="W1390" s="93"/>
      <c r="X1390" s="93"/>
      <c r="Y1390" s="93"/>
      <c r="Z1390" s="93"/>
    </row>
    <row r="1391" customFormat="false" ht="16.4" hidden="false" customHeight="false" outlineLevel="0" collapsed="false">
      <c r="A1391" s="123" t="n">
        <v>45444</v>
      </c>
      <c r="B1391" s="31" t="s">
        <v>153</v>
      </c>
      <c r="C1391" s="129"/>
      <c r="D1391" s="129"/>
      <c r="E1391" s="19" t="n">
        <f aca="false">F1391*0.03</f>
        <v>0</v>
      </c>
      <c r="F1391" s="33" t="n">
        <v>0</v>
      </c>
      <c r="G1391" s="131"/>
      <c r="H1391" s="35" t="n">
        <v>0</v>
      </c>
      <c r="I1391" s="34" t="n">
        <f aca="false">+IF(E1391=0,0,E1391*0.03)</f>
        <v>0</v>
      </c>
      <c r="J1391" s="93"/>
      <c r="K1391" s="93"/>
      <c r="L1391" s="93"/>
      <c r="M1391" s="93"/>
      <c r="N1391" s="93"/>
      <c r="O1391" s="93"/>
      <c r="P1391" s="93"/>
      <c r="Q1391" s="93"/>
      <c r="R1391" s="93"/>
      <c r="S1391" s="93"/>
      <c r="T1391" s="93"/>
      <c r="U1391" s="93"/>
      <c r="V1391" s="93"/>
      <c r="W1391" s="93"/>
      <c r="X1391" s="93"/>
      <c r="Y1391" s="93"/>
      <c r="Z1391" s="93"/>
    </row>
    <row r="1392" customFormat="false" ht="16.4" hidden="false" customHeight="false" outlineLevel="0" collapsed="false">
      <c r="A1392" s="123" t="n">
        <v>45444</v>
      </c>
      <c r="B1392" s="31" t="s">
        <v>153</v>
      </c>
      <c r="C1392" s="129"/>
      <c r="D1392" s="129"/>
      <c r="E1392" s="19" t="n">
        <f aca="false">F1392*0.03</f>
        <v>0</v>
      </c>
      <c r="F1392" s="33" t="n">
        <v>0</v>
      </c>
      <c r="G1392" s="131"/>
      <c r="H1392" s="35" t="n">
        <v>0</v>
      </c>
      <c r="I1392" s="34" t="n">
        <f aca="false">+IF(E1392=0,0,E1392*0.03)</f>
        <v>0</v>
      </c>
      <c r="J1392" s="93"/>
      <c r="K1392" s="93"/>
      <c r="L1392" s="93"/>
      <c r="M1392" s="93"/>
      <c r="N1392" s="93"/>
      <c r="O1392" s="93"/>
      <c r="P1392" s="93"/>
      <c r="Q1392" s="93"/>
      <c r="R1392" s="93"/>
      <c r="S1392" s="93"/>
      <c r="T1392" s="93"/>
      <c r="U1392" s="93"/>
      <c r="V1392" s="93"/>
      <c r="W1392" s="93"/>
      <c r="X1392" s="93"/>
      <c r="Y1392" s="93"/>
      <c r="Z1392" s="93"/>
    </row>
    <row r="1393" customFormat="false" ht="16.4" hidden="false" customHeight="false" outlineLevel="0" collapsed="false">
      <c r="A1393" s="123" t="n">
        <v>45444</v>
      </c>
      <c r="B1393" s="31" t="s">
        <v>153</v>
      </c>
      <c r="C1393" s="129"/>
      <c r="D1393" s="129"/>
      <c r="E1393" s="19" t="n">
        <f aca="false">F1393*0.03</f>
        <v>0</v>
      </c>
      <c r="F1393" s="33" t="n">
        <v>0</v>
      </c>
      <c r="G1393" s="131"/>
      <c r="H1393" s="35" t="n">
        <v>0</v>
      </c>
      <c r="I1393" s="34" t="n">
        <f aca="false">+IF(E1393=0,0,E1393*0.03)</f>
        <v>0</v>
      </c>
      <c r="J1393" s="93"/>
      <c r="K1393" s="93"/>
      <c r="L1393" s="93"/>
      <c r="M1393" s="93"/>
      <c r="N1393" s="93"/>
      <c r="O1393" s="93"/>
      <c r="P1393" s="93"/>
      <c r="Q1393" s="93"/>
      <c r="R1393" s="93"/>
      <c r="S1393" s="93"/>
      <c r="T1393" s="93"/>
      <c r="U1393" s="93"/>
      <c r="V1393" s="93"/>
      <c r="W1393" s="93"/>
      <c r="X1393" s="93"/>
      <c r="Y1393" s="93"/>
      <c r="Z1393" s="93"/>
    </row>
    <row r="1394" customFormat="false" ht="16.4" hidden="false" customHeight="false" outlineLevel="0" collapsed="false">
      <c r="A1394" s="123" t="n">
        <v>45444</v>
      </c>
      <c r="B1394" s="31" t="s">
        <v>153</v>
      </c>
      <c r="C1394" s="129"/>
      <c r="D1394" s="129"/>
      <c r="E1394" s="19" t="n">
        <f aca="false">F1394*0.03</f>
        <v>0</v>
      </c>
      <c r="F1394" s="33" t="n">
        <v>0</v>
      </c>
      <c r="G1394" s="131"/>
      <c r="H1394" s="35" t="n">
        <v>0</v>
      </c>
      <c r="I1394" s="34" t="n">
        <f aca="false">+IF(E1394=0,0,E1394*0.03)</f>
        <v>0</v>
      </c>
      <c r="J1394" s="93"/>
      <c r="K1394" s="93"/>
      <c r="L1394" s="93"/>
      <c r="M1394" s="93"/>
      <c r="N1394" s="93"/>
      <c r="O1394" s="93"/>
      <c r="P1394" s="93"/>
      <c r="Q1394" s="93"/>
      <c r="R1394" s="93"/>
      <c r="S1394" s="93"/>
      <c r="T1394" s="93"/>
      <c r="U1394" s="93"/>
      <c r="V1394" s="93"/>
      <c r="W1394" s="93"/>
      <c r="X1394" s="93"/>
      <c r="Y1394" s="93"/>
      <c r="Z1394" s="93"/>
    </row>
    <row r="1395" customFormat="false" ht="16.4" hidden="false" customHeight="false" outlineLevel="0" collapsed="false">
      <c r="A1395" s="123" t="n">
        <v>45444</v>
      </c>
      <c r="B1395" s="31" t="s">
        <v>153</v>
      </c>
      <c r="C1395" s="129"/>
      <c r="D1395" s="129"/>
      <c r="E1395" s="19" t="n">
        <f aca="false">F1395*0.03</f>
        <v>0</v>
      </c>
      <c r="F1395" s="33" t="n">
        <v>0</v>
      </c>
      <c r="G1395" s="131"/>
      <c r="H1395" s="35" t="n">
        <v>0</v>
      </c>
      <c r="I1395" s="34" t="n">
        <f aca="false">+IF(E1395=0,0,E1395*0.03)</f>
        <v>0</v>
      </c>
      <c r="J1395" s="93"/>
      <c r="K1395" s="93"/>
      <c r="L1395" s="93"/>
      <c r="M1395" s="93"/>
      <c r="N1395" s="93"/>
      <c r="O1395" s="93"/>
      <c r="P1395" s="93"/>
      <c r="Q1395" s="93"/>
      <c r="R1395" s="93"/>
      <c r="S1395" s="93"/>
      <c r="T1395" s="93"/>
      <c r="U1395" s="93"/>
      <c r="V1395" s="93"/>
      <c r="W1395" s="93"/>
      <c r="X1395" s="93"/>
      <c r="Y1395" s="93"/>
      <c r="Z1395" s="93"/>
    </row>
    <row r="1396" customFormat="false" ht="16.4" hidden="false" customHeight="false" outlineLevel="0" collapsed="false">
      <c r="A1396" s="123" t="n">
        <v>45444</v>
      </c>
      <c r="B1396" s="31" t="s">
        <v>153</v>
      </c>
      <c r="C1396" s="129"/>
      <c r="D1396" s="129"/>
      <c r="E1396" s="19" t="n">
        <f aca="false">F1396*0.03</f>
        <v>0</v>
      </c>
      <c r="F1396" s="33" t="n">
        <v>0</v>
      </c>
      <c r="G1396" s="131"/>
      <c r="H1396" s="35" t="n">
        <v>0</v>
      </c>
      <c r="I1396" s="34" t="n">
        <f aca="false">+IF(E1396=0,0,E1396*0.03)</f>
        <v>0</v>
      </c>
      <c r="J1396" s="93"/>
      <c r="K1396" s="93"/>
      <c r="L1396" s="93"/>
      <c r="M1396" s="93"/>
      <c r="N1396" s="93"/>
      <c r="O1396" s="93"/>
      <c r="P1396" s="93"/>
      <c r="Q1396" s="93"/>
      <c r="R1396" s="93"/>
      <c r="S1396" s="93"/>
      <c r="T1396" s="93"/>
      <c r="U1396" s="93"/>
      <c r="V1396" s="93"/>
      <c r="W1396" s="93"/>
      <c r="X1396" s="93"/>
      <c r="Y1396" s="93"/>
      <c r="Z1396" s="93"/>
    </row>
    <row r="1397" customFormat="false" ht="16.4" hidden="false" customHeight="false" outlineLevel="0" collapsed="false">
      <c r="A1397" s="123" t="n">
        <v>45444</v>
      </c>
      <c r="B1397" s="31" t="s">
        <v>153</v>
      </c>
      <c r="C1397" s="129"/>
      <c r="D1397" s="129"/>
      <c r="E1397" s="19" t="n">
        <f aca="false">F1397*0.03</f>
        <v>0</v>
      </c>
      <c r="F1397" s="33" t="n">
        <v>0</v>
      </c>
      <c r="G1397" s="131"/>
      <c r="H1397" s="35" t="n">
        <v>0</v>
      </c>
      <c r="I1397" s="34" t="n">
        <f aca="false">+IF(E1397=0,0,E1397*0.03)</f>
        <v>0</v>
      </c>
      <c r="J1397" s="93"/>
      <c r="K1397" s="93"/>
      <c r="L1397" s="93"/>
      <c r="M1397" s="93"/>
      <c r="N1397" s="93"/>
      <c r="O1397" s="93"/>
      <c r="P1397" s="93"/>
      <c r="Q1397" s="93"/>
      <c r="R1397" s="93"/>
      <c r="S1397" s="93"/>
      <c r="T1397" s="93"/>
      <c r="U1397" s="93"/>
      <c r="V1397" s="93"/>
      <c r="W1397" s="93"/>
      <c r="X1397" s="93"/>
      <c r="Y1397" s="93"/>
      <c r="Z1397" s="93"/>
    </row>
    <row r="1398" customFormat="false" ht="16.4" hidden="false" customHeight="false" outlineLevel="0" collapsed="false">
      <c r="A1398" s="123" t="n">
        <v>45444</v>
      </c>
      <c r="B1398" s="31" t="s">
        <v>153</v>
      </c>
      <c r="C1398" s="129"/>
      <c r="D1398" s="129"/>
      <c r="E1398" s="19" t="n">
        <f aca="false">F1398*0.03</f>
        <v>0</v>
      </c>
      <c r="F1398" s="33" t="n">
        <v>0</v>
      </c>
      <c r="G1398" s="131"/>
      <c r="H1398" s="35" t="n">
        <v>0</v>
      </c>
      <c r="I1398" s="34" t="n">
        <f aca="false">+IF(E1398=0,0,E1398*0.03)</f>
        <v>0</v>
      </c>
      <c r="J1398" s="93"/>
      <c r="K1398" s="93"/>
      <c r="L1398" s="93"/>
      <c r="M1398" s="93"/>
      <c r="N1398" s="93"/>
      <c r="O1398" s="93"/>
      <c r="P1398" s="93"/>
      <c r="Q1398" s="93"/>
      <c r="R1398" s="93"/>
      <c r="S1398" s="93"/>
      <c r="T1398" s="93"/>
      <c r="U1398" s="93"/>
      <c r="V1398" s="93"/>
      <c r="W1398" s="93"/>
      <c r="X1398" s="93"/>
      <c r="Y1398" s="93"/>
      <c r="Z1398" s="93"/>
    </row>
    <row r="1399" customFormat="false" ht="16.4" hidden="false" customHeight="false" outlineLevel="0" collapsed="false">
      <c r="A1399" s="123" t="n">
        <v>45444</v>
      </c>
      <c r="B1399" s="31" t="s">
        <v>153</v>
      </c>
      <c r="C1399" s="129"/>
      <c r="D1399" s="129"/>
      <c r="E1399" s="19" t="n">
        <f aca="false">F1399*0.03</f>
        <v>0</v>
      </c>
      <c r="F1399" s="33" t="n">
        <v>0</v>
      </c>
      <c r="G1399" s="131"/>
      <c r="H1399" s="35" t="n">
        <v>0</v>
      </c>
      <c r="I1399" s="34" t="n">
        <f aca="false">+IF(E1399=0,0,E1399*0.03)</f>
        <v>0</v>
      </c>
      <c r="J1399" s="93"/>
      <c r="K1399" s="93"/>
      <c r="L1399" s="93"/>
      <c r="M1399" s="93"/>
      <c r="N1399" s="93"/>
      <c r="O1399" s="93"/>
      <c r="P1399" s="93"/>
      <c r="Q1399" s="93"/>
      <c r="R1399" s="93"/>
      <c r="S1399" s="93"/>
      <c r="T1399" s="93"/>
      <c r="U1399" s="93"/>
      <c r="V1399" s="93"/>
      <c r="W1399" s="93"/>
      <c r="X1399" s="93"/>
      <c r="Y1399" s="93"/>
      <c r="Z1399" s="93"/>
    </row>
    <row r="1400" customFormat="false" ht="16.4" hidden="false" customHeight="false" outlineLevel="0" collapsed="false">
      <c r="A1400" s="123" t="n">
        <v>45444</v>
      </c>
      <c r="B1400" s="31" t="s">
        <v>153</v>
      </c>
      <c r="C1400" s="129"/>
      <c r="D1400" s="129"/>
      <c r="E1400" s="19" t="n">
        <f aca="false">F1400*0.03</f>
        <v>0</v>
      </c>
      <c r="F1400" s="33" t="n">
        <v>0</v>
      </c>
      <c r="G1400" s="131"/>
      <c r="H1400" s="35" t="n">
        <v>0</v>
      </c>
      <c r="I1400" s="34" t="n">
        <f aca="false">+IF(E1400=0,0,E1400*0.03)</f>
        <v>0</v>
      </c>
      <c r="J1400" s="93"/>
      <c r="K1400" s="93"/>
      <c r="L1400" s="93"/>
      <c r="M1400" s="93"/>
      <c r="N1400" s="93"/>
      <c r="O1400" s="93"/>
      <c r="P1400" s="93"/>
      <c r="Q1400" s="93"/>
      <c r="R1400" s="93"/>
      <c r="S1400" s="93"/>
      <c r="T1400" s="93"/>
      <c r="U1400" s="93"/>
      <c r="V1400" s="93"/>
      <c r="W1400" s="93"/>
      <c r="X1400" s="93"/>
      <c r="Y1400" s="93"/>
      <c r="Z1400" s="93"/>
    </row>
    <row r="1401" customFormat="false" ht="16.4" hidden="false" customHeight="false" outlineLevel="0" collapsed="false">
      <c r="A1401" s="123" t="n">
        <v>45444</v>
      </c>
      <c r="B1401" s="31" t="s">
        <v>153</v>
      </c>
      <c r="C1401" s="129"/>
      <c r="D1401" s="129"/>
      <c r="E1401" s="19" t="n">
        <f aca="false">F1401*0.03</f>
        <v>0</v>
      </c>
      <c r="F1401" s="33" t="n">
        <v>0</v>
      </c>
      <c r="G1401" s="131"/>
      <c r="H1401" s="35" t="n">
        <v>0</v>
      </c>
      <c r="I1401" s="34" t="n">
        <f aca="false">+IF(E1401=0,0,E1401*0.03)</f>
        <v>0</v>
      </c>
      <c r="J1401" s="93"/>
      <c r="K1401" s="93"/>
      <c r="L1401" s="93"/>
      <c r="M1401" s="93"/>
      <c r="N1401" s="93"/>
      <c r="O1401" s="93"/>
      <c r="P1401" s="93"/>
      <c r="Q1401" s="93"/>
      <c r="R1401" s="93"/>
      <c r="S1401" s="93"/>
      <c r="T1401" s="93"/>
      <c r="U1401" s="93"/>
      <c r="V1401" s="93"/>
      <c r="W1401" s="93"/>
      <c r="X1401" s="93"/>
      <c r="Y1401" s="93"/>
      <c r="Z1401" s="93"/>
    </row>
    <row r="1402" customFormat="false" ht="16.4" hidden="false" customHeight="false" outlineLevel="0" collapsed="false">
      <c r="A1402" s="123" t="n">
        <v>45444</v>
      </c>
      <c r="B1402" s="31" t="s">
        <v>153</v>
      </c>
      <c r="C1402" s="129"/>
      <c r="D1402" s="129"/>
      <c r="E1402" s="19" t="n">
        <f aca="false">F1402*0.03</f>
        <v>0</v>
      </c>
      <c r="F1402" s="33" t="n">
        <v>0</v>
      </c>
      <c r="G1402" s="131"/>
      <c r="H1402" s="35" t="n">
        <v>0</v>
      </c>
      <c r="I1402" s="34" t="n">
        <f aca="false">+IF(E1402=0,0,E1402*0.03)</f>
        <v>0</v>
      </c>
      <c r="J1402" s="93"/>
      <c r="K1402" s="93"/>
      <c r="L1402" s="93"/>
      <c r="M1402" s="93"/>
      <c r="N1402" s="93"/>
      <c r="O1402" s="93"/>
      <c r="P1402" s="93"/>
      <c r="Q1402" s="93"/>
      <c r="R1402" s="93"/>
      <c r="S1402" s="93"/>
      <c r="T1402" s="93"/>
      <c r="U1402" s="93"/>
      <c r="V1402" s="93"/>
      <c r="W1402" s="93"/>
      <c r="X1402" s="93"/>
      <c r="Y1402" s="93"/>
      <c r="Z1402" s="93"/>
    </row>
    <row r="1403" customFormat="false" ht="16.4" hidden="false" customHeight="false" outlineLevel="0" collapsed="false">
      <c r="A1403" s="123" t="n">
        <v>45444</v>
      </c>
      <c r="B1403" s="31" t="s">
        <v>153</v>
      </c>
      <c r="C1403" s="129"/>
      <c r="D1403" s="129"/>
      <c r="E1403" s="19" t="n">
        <f aca="false">F1403*0.03</f>
        <v>0</v>
      </c>
      <c r="F1403" s="33" t="n">
        <v>0</v>
      </c>
      <c r="G1403" s="131"/>
      <c r="H1403" s="35" t="n">
        <v>0</v>
      </c>
      <c r="I1403" s="34" t="n">
        <f aca="false">+IF(E1403=0,0,E1403*0.03)</f>
        <v>0</v>
      </c>
      <c r="J1403" s="93"/>
      <c r="K1403" s="93"/>
      <c r="L1403" s="93"/>
      <c r="M1403" s="93"/>
      <c r="N1403" s="93"/>
      <c r="O1403" s="93"/>
      <c r="P1403" s="93"/>
      <c r="Q1403" s="93"/>
      <c r="R1403" s="93"/>
      <c r="S1403" s="93"/>
      <c r="T1403" s="93"/>
      <c r="U1403" s="93"/>
      <c r="V1403" s="93"/>
      <c r="W1403" s="93"/>
      <c r="X1403" s="93"/>
      <c r="Y1403" s="93"/>
      <c r="Z1403" s="93"/>
    </row>
    <row r="1404" customFormat="false" ht="16.4" hidden="false" customHeight="false" outlineLevel="0" collapsed="false">
      <c r="A1404" s="123" t="n">
        <v>45444</v>
      </c>
      <c r="B1404" s="31" t="s">
        <v>153</v>
      </c>
      <c r="C1404" s="129"/>
      <c r="D1404" s="129"/>
      <c r="E1404" s="19" t="n">
        <f aca="false">F1404*0.03</f>
        <v>0</v>
      </c>
      <c r="F1404" s="33" t="n">
        <v>0</v>
      </c>
      <c r="G1404" s="131"/>
      <c r="H1404" s="35" t="n">
        <v>0</v>
      </c>
      <c r="I1404" s="34" t="n">
        <f aca="false">+IF(E1404=0,0,E1404*0.03)</f>
        <v>0</v>
      </c>
      <c r="J1404" s="93"/>
      <c r="K1404" s="93"/>
      <c r="L1404" s="93"/>
      <c r="M1404" s="93"/>
      <c r="N1404" s="93"/>
      <c r="O1404" s="93"/>
      <c r="P1404" s="93"/>
      <c r="Q1404" s="93"/>
      <c r="R1404" s="93"/>
      <c r="S1404" s="93"/>
      <c r="T1404" s="93"/>
      <c r="U1404" s="93"/>
      <c r="V1404" s="93"/>
      <c r="W1404" s="93"/>
      <c r="X1404" s="93"/>
      <c r="Y1404" s="93"/>
      <c r="Z1404" s="93"/>
    </row>
    <row r="1405" customFormat="false" ht="16.4" hidden="false" customHeight="false" outlineLevel="0" collapsed="false">
      <c r="A1405" s="123" t="n">
        <v>45444</v>
      </c>
      <c r="B1405" s="31" t="s">
        <v>153</v>
      </c>
      <c r="C1405" s="129"/>
      <c r="D1405" s="129"/>
      <c r="E1405" s="19" t="n">
        <f aca="false">F1405*0.03</f>
        <v>0</v>
      </c>
      <c r="F1405" s="33" t="n">
        <v>0</v>
      </c>
      <c r="G1405" s="131"/>
      <c r="H1405" s="35" t="n">
        <v>0</v>
      </c>
      <c r="I1405" s="34" t="n">
        <f aca="false">+IF(E1405=0,0,E1405*0.03)</f>
        <v>0</v>
      </c>
      <c r="J1405" s="93"/>
      <c r="K1405" s="93"/>
      <c r="L1405" s="93"/>
      <c r="M1405" s="93"/>
      <c r="N1405" s="93"/>
      <c r="O1405" s="93"/>
      <c r="P1405" s="93"/>
      <c r="Q1405" s="93"/>
      <c r="R1405" s="93"/>
      <c r="S1405" s="93"/>
      <c r="T1405" s="93"/>
      <c r="U1405" s="93"/>
      <c r="V1405" s="93"/>
      <c r="W1405" s="93"/>
      <c r="X1405" s="93"/>
      <c r="Y1405" s="93"/>
      <c r="Z1405" s="93"/>
    </row>
    <row r="1406" customFormat="false" ht="16.4" hidden="false" customHeight="false" outlineLevel="0" collapsed="false">
      <c r="A1406" s="123" t="n">
        <v>45444</v>
      </c>
      <c r="B1406" s="31" t="s">
        <v>153</v>
      </c>
      <c r="C1406" s="129"/>
      <c r="D1406" s="129"/>
      <c r="E1406" s="19" t="n">
        <f aca="false">F1406*0.03</f>
        <v>0</v>
      </c>
      <c r="F1406" s="33" t="n">
        <v>0</v>
      </c>
      <c r="G1406" s="131"/>
      <c r="H1406" s="35" t="n">
        <v>0</v>
      </c>
      <c r="I1406" s="34" t="n">
        <f aca="false">+IF(E1406=0,0,E1406*0.03)</f>
        <v>0</v>
      </c>
      <c r="J1406" s="93"/>
      <c r="K1406" s="93"/>
      <c r="L1406" s="93"/>
      <c r="M1406" s="93"/>
      <c r="N1406" s="93"/>
      <c r="O1406" s="93"/>
      <c r="P1406" s="93"/>
      <c r="Q1406" s="93"/>
      <c r="R1406" s="93"/>
      <c r="S1406" s="93"/>
      <c r="T1406" s="93"/>
      <c r="U1406" s="93"/>
      <c r="V1406" s="93"/>
      <c r="W1406" s="93"/>
      <c r="X1406" s="93"/>
      <c r="Y1406" s="93"/>
      <c r="Z1406" s="93"/>
    </row>
    <row r="1407" customFormat="false" ht="16.4" hidden="false" customHeight="false" outlineLevel="0" collapsed="false">
      <c r="A1407" s="123" t="n">
        <v>45444</v>
      </c>
      <c r="B1407" s="31" t="s">
        <v>153</v>
      </c>
      <c r="C1407" s="129"/>
      <c r="D1407" s="129"/>
      <c r="E1407" s="19" t="n">
        <f aca="false">F1407*0.03</f>
        <v>0</v>
      </c>
      <c r="F1407" s="33" t="n">
        <v>0</v>
      </c>
      <c r="G1407" s="131"/>
      <c r="H1407" s="35" t="n">
        <v>0</v>
      </c>
      <c r="I1407" s="34" t="n">
        <f aca="false">+IF(E1407=0,0,E1407*0.03)</f>
        <v>0</v>
      </c>
      <c r="J1407" s="93"/>
      <c r="K1407" s="93"/>
      <c r="L1407" s="93"/>
      <c r="M1407" s="93"/>
      <c r="N1407" s="93"/>
      <c r="O1407" s="93"/>
      <c r="P1407" s="93"/>
      <c r="Q1407" s="93"/>
      <c r="R1407" s="93"/>
      <c r="S1407" s="93"/>
      <c r="T1407" s="93"/>
      <c r="U1407" s="93"/>
      <c r="V1407" s="93"/>
      <c r="W1407" s="93"/>
      <c r="X1407" s="93"/>
      <c r="Y1407" s="93"/>
      <c r="Z1407" s="93"/>
    </row>
    <row r="1408" customFormat="false" ht="16.4" hidden="false" customHeight="false" outlineLevel="0" collapsed="false">
      <c r="A1408" s="123" t="n">
        <v>45444</v>
      </c>
      <c r="B1408" s="31" t="s">
        <v>153</v>
      </c>
      <c r="C1408" s="129"/>
      <c r="D1408" s="129"/>
      <c r="E1408" s="19" t="n">
        <f aca="false">F1408*0.03</f>
        <v>0</v>
      </c>
      <c r="F1408" s="33" t="n">
        <v>0</v>
      </c>
      <c r="G1408" s="131"/>
      <c r="H1408" s="35" t="n">
        <v>0</v>
      </c>
      <c r="I1408" s="34" t="n">
        <f aca="false">+IF(E1408=0,0,E1408*0.03)</f>
        <v>0</v>
      </c>
      <c r="J1408" s="93"/>
      <c r="K1408" s="93"/>
      <c r="L1408" s="93"/>
      <c r="M1408" s="93"/>
      <c r="N1408" s="93"/>
      <c r="O1408" s="93"/>
      <c r="P1408" s="93"/>
      <c r="Q1408" s="93"/>
      <c r="R1408" s="93"/>
      <c r="S1408" s="93"/>
      <c r="T1408" s="93"/>
      <c r="U1408" s="93"/>
      <c r="V1408" s="93"/>
      <c r="W1408" s="93"/>
      <c r="X1408" s="93"/>
      <c r="Y1408" s="93"/>
      <c r="Z1408" s="93"/>
    </row>
    <row r="1409" customFormat="false" ht="16.4" hidden="false" customHeight="false" outlineLevel="0" collapsed="false">
      <c r="A1409" s="123" t="n">
        <v>45444</v>
      </c>
      <c r="B1409" s="31" t="s">
        <v>153</v>
      </c>
      <c r="C1409" s="129"/>
      <c r="D1409" s="129"/>
      <c r="E1409" s="19" t="n">
        <f aca="false">F1409*0.03</f>
        <v>0</v>
      </c>
      <c r="F1409" s="33" t="n">
        <v>0</v>
      </c>
      <c r="G1409" s="131"/>
      <c r="H1409" s="35" t="n">
        <v>0</v>
      </c>
      <c r="I1409" s="34" t="n">
        <f aca="false">+IF(E1409=0,0,E1409*0.03)</f>
        <v>0</v>
      </c>
      <c r="J1409" s="93"/>
      <c r="K1409" s="93"/>
      <c r="L1409" s="93"/>
      <c r="M1409" s="93"/>
      <c r="N1409" s="93"/>
      <c r="O1409" s="93"/>
      <c r="P1409" s="93"/>
      <c r="Q1409" s="93"/>
      <c r="R1409" s="93"/>
      <c r="S1409" s="93"/>
      <c r="T1409" s="93"/>
      <c r="U1409" s="93"/>
      <c r="V1409" s="93"/>
      <c r="W1409" s="93"/>
      <c r="X1409" s="93"/>
      <c r="Y1409" s="93"/>
      <c r="Z1409" s="93"/>
    </row>
    <row r="1410" customFormat="false" ht="16.4" hidden="false" customHeight="false" outlineLevel="0" collapsed="false">
      <c r="A1410" s="123" t="n">
        <v>45444</v>
      </c>
      <c r="B1410" s="31" t="s">
        <v>153</v>
      </c>
      <c r="C1410" s="129"/>
      <c r="D1410" s="129"/>
      <c r="E1410" s="19" t="n">
        <f aca="false">F1410*0.03</f>
        <v>0</v>
      </c>
      <c r="F1410" s="33" t="n">
        <v>0</v>
      </c>
      <c r="G1410" s="131"/>
      <c r="H1410" s="35" t="n">
        <v>0</v>
      </c>
      <c r="I1410" s="34" t="n">
        <f aca="false">+IF(E1410=0,0,E1410*0.03)</f>
        <v>0</v>
      </c>
      <c r="J1410" s="93"/>
      <c r="K1410" s="93"/>
      <c r="L1410" s="93"/>
      <c r="M1410" s="93"/>
      <c r="N1410" s="93"/>
      <c r="O1410" s="93"/>
      <c r="P1410" s="93"/>
      <c r="Q1410" s="93"/>
      <c r="R1410" s="93"/>
      <c r="S1410" s="93"/>
      <c r="T1410" s="93"/>
      <c r="U1410" s="93"/>
      <c r="V1410" s="93"/>
      <c r="W1410" s="93"/>
      <c r="X1410" s="93"/>
      <c r="Y1410" s="93"/>
      <c r="Z1410" s="93"/>
    </row>
    <row r="1411" customFormat="false" ht="16.4" hidden="false" customHeight="false" outlineLevel="0" collapsed="false">
      <c r="A1411" s="123" t="n">
        <v>45444</v>
      </c>
      <c r="B1411" s="31" t="s">
        <v>153</v>
      </c>
      <c r="C1411" s="129"/>
      <c r="D1411" s="129"/>
      <c r="E1411" s="19" t="n">
        <f aca="false">F1411*0.03</f>
        <v>0</v>
      </c>
      <c r="F1411" s="33" t="n">
        <v>0</v>
      </c>
      <c r="G1411" s="131"/>
      <c r="H1411" s="35" t="n">
        <v>0</v>
      </c>
      <c r="I1411" s="34" t="n">
        <f aca="false">+IF(E1411=0,0,E1411*0.03)</f>
        <v>0</v>
      </c>
      <c r="J1411" s="93"/>
      <c r="K1411" s="93"/>
      <c r="L1411" s="93"/>
      <c r="M1411" s="93"/>
      <c r="N1411" s="93"/>
      <c r="O1411" s="93"/>
      <c r="P1411" s="93"/>
      <c r="Q1411" s="93"/>
      <c r="R1411" s="93"/>
      <c r="S1411" s="93"/>
      <c r="T1411" s="93"/>
      <c r="U1411" s="93"/>
      <c r="V1411" s="93"/>
      <c r="W1411" s="93"/>
      <c r="X1411" s="93"/>
      <c r="Y1411" s="93"/>
      <c r="Z1411" s="93"/>
    </row>
    <row r="1412" customFormat="false" ht="16.4" hidden="false" customHeight="false" outlineLevel="0" collapsed="false">
      <c r="A1412" s="123" t="n">
        <v>45444</v>
      </c>
      <c r="B1412" s="31" t="s">
        <v>153</v>
      </c>
      <c r="C1412" s="129"/>
      <c r="D1412" s="129"/>
      <c r="E1412" s="19" t="n">
        <f aca="false">F1412*0.03</f>
        <v>0</v>
      </c>
      <c r="F1412" s="33" t="n">
        <v>0</v>
      </c>
      <c r="G1412" s="131"/>
      <c r="H1412" s="35" t="n">
        <v>0</v>
      </c>
      <c r="I1412" s="34" t="n">
        <f aca="false">+IF(E1412=0,0,E1412*0.03)</f>
        <v>0</v>
      </c>
      <c r="J1412" s="93"/>
      <c r="K1412" s="93"/>
      <c r="L1412" s="93"/>
      <c r="M1412" s="93"/>
      <c r="N1412" s="93"/>
      <c r="O1412" s="93"/>
      <c r="P1412" s="93"/>
      <c r="Q1412" s="93"/>
      <c r="R1412" s="93"/>
      <c r="S1412" s="93"/>
      <c r="T1412" s="93"/>
      <c r="U1412" s="93"/>
      <c r="V1412" s="93"/>
      <c r="W1412" s="93"/>
      <c r="X1412" s="93"/>
      <c r="Y1412" s="93"/>
      <c r="Z1412" s="93"/>
    </row>
    <row r="1413" customFormat="false" ht="16.4" hidden="false" customHeight="false" outlineLevel="0" collapsed="false">
      <c r="A1413" s="123" t="n">
        <v>45444</v>
      </c>
      <c r="B1413" s="31" t="s">
        <v>153</v>
      </c>
      <c r="C1413" s="129"/>
      <c r="D1413" s="129"/>
      <c r="E1413" s="19" t="n">
        <f aca="false">F1413*0.03</f>
        <v>0</v>
      </c>
      <c r="F1413" s="33" t="n">
        <v>0</v>
      </c>
      <c r="G1413" s="131"/>
      <c r="H1413" s="35" t="n">
        <v>0</v>
      </c>
      <c r="I1413" s="34" t="n">
        <f aca="false">+IF(E1413=0,0,E1413*0.03)</f>
        <v>0</v>
      </c>
      <c r="J1413" s="93"/>
      <c r="K1413" s="93"/>
      <c r="L1413" s="93"/>
      <c r="M1413" s="93"/>
      <c r="N1413" s="93"/>
      <c r="O1413" s="93"/>
      <c r="P1413" s="93"/>
      <c r="Q1413" s="93"/>
      <c r="R1413" s="93"/>
      <c r="S1413" s="93"/>
      <c r="T1413" s="93"/>
      <c r="U1413" s="93"/>
      <c r="V1413" s="93"/>
      <c r="W1413" s="93"/>
      <c r="X1413" s="93"/>
      <c r="Y1413" s="93"/>
      <c r="Z1413" s="93"/>
    </row>
    <row r="1414" customFormat="false" ht="16.4" hidden="false" customHeight="false" outlineLevel="0" collapsed="false">
      <c r="A1414" s="123" t="n">
        <v>45444</v>
      </c>
      <c r="B1414" s="31" t="s">
        <v>153</v>
      </c>
      <c r="C1414" s="129"/>
      <c r="D1414" s="129"/>
      <c r="E1414" s="19" t="n">
        <f aca="false">F1414*0.03</f>
        <v>0</v>
      </c>
      <c r="F1414" s="33" t="n">
        <v>0</v>
      </c>
      <c r="G1414" s="131"/>
      <c r="H1414" s="35" t="n">
        <v>0</v>
      </c>
      <c r="I1414" s="34" t="n">
        <f aca="false">+IF(E1414=0,0,E1414*0.03)</f>
        <v>0</v>
      </c>
      <c r="J1414" s="93"/>
      <c r="K1414" s="93"/>
      <c r="L1414" s="93"/>
      <c r="M1414" s="93"/>
      <c r="N1414" s="93"/>
      <c r="O1414" s="93"/>
      <c r="P1414" s="93"/>
      <c r="Q1414" s="93"/>
      <c r="R1414" s="93"/>
      <c r="S1414" s="93"/>
      <c r="T1414" s="93"/>
      <c r="U1414" s="93"/>
      <c r="V1414" s="93"/>
      <c r="W1414" s="93"/>
      <c r="X1414" s="93"/>
      <c r="Y1414" s="93"/>
      <c r="Z1414" s="93"/>
    </row>
    <row r="1415" customFormat="false" ht="16.4" hidden="false" customHeight="false" outlineLevel="0" collapsed="false">
      <c r="A1415" s="123" t="n">
        <v>45444</v>
      </c>
      <c r="B1415" s="31" t="s">
        <v>153</v>
      </c>
      <c r="C1415" s="129"/>
      <c r="D1415" s="129"/>
      <c r="E1415" s="19" t="n">
        <f aca="false">F1415*0.03</f>
        <v>0</v>
      </c>
      <c r="F1415" s="33" t="n">
        <v>0</v>
      </c>
      <c r="G1415" s="131"/>
      <c r="H1415" s="35" t="n">
        <v>0</v>
      </c>
      <c r="I1415" s="34" t="n">
        <f aca="false">+IF(E1415=0,0,E1415*0.03)</f>
        <v>0</v>
      </c>
      <c r="J1415" s="93"/>
      <c r="K1415" s="93"/>
      <c r="L1415" s="93"/>
      <c r="M1415" s="93"/>
      <c r="N1415" s="93"/>
      <c r="O1415" s="93"/>
      <c r="P1415" s="93"/>
      <c r="Q1415" s="93"/>
      <c r="R1415" s="93"/>
      <c r="S1415" s="93"/>
      <c r="T1415" s="93"/>
      <c r="U1415" s="93"/>
      <c r="V1415" s="93"/>
      <c r="W1415" s="93"/>
      <c r="X1415" s="93"/>
      <c r="Y1415" s="93"/>
      <c r="Z1415" s="93"/>
    </row>
    <row r="1416" customFormat="false" ht="16.4" hidden="false" customHeight="false" outlineLevel="0" collapsed="false">
      <c r="A1416" s="123" t="n">
        <v>45444</v>
      </c>
      <c r="B1416" s="31" t="s">
        <v>153</v>
      </c>
      <c r="C1416" s="129"/>
      <c r="D1416" s="129"/>
      <c r="E1416" s="19" t="n">
        <f aca="false">F1416*0.03</f>
        <v>0</v>
      </c>
      <c r="F1416" s="33" t="n">
        <v>0</v>
      </c>
      <c r="G1416" s="131"/>
      <c r="H1416" s="35" t="n">
        <v>0</v>
      </c>
      <c r="I1416" s="34" t="n">
        <f aca="false">+IF(E1416=0,0,E1416*0.03)</f>
        <v>0</v>
      </c>
      <c r="J1416" s="93"/>
      <c r="K1416" s="93"/>
      <c r="L1416" s="93"/>
      <c r="M1416" s="93"/>
      <c r="N1416" s="93"/>
      <c r="O1416" s="93"/>
      <c r="P1416" s="93"/>
      <c r="Q1416" s="93"/>
      <c r="R1416" s="93"/>
      <c r="S1416" s="93"/>
      <c r="T1416" s="93"/>
      <c r="U1416" s="93"/>
      <c r="V1416" s="93"/>
      <c r="W1416" s="93"/>
      <c r="X1416" s="93"/>
      <c r="Y1416" s="93"/>
      <c r="Z1416" s="93"/>
    </row>
    <row r="1417" customFormat="false" ht="16.4" hidden="false" customHeight="false" outlineLevel="0" collapsed="false">
      <c r="A1417" s="123" t="n">
        <v>45444</v>
      </c>
      <c r="B1417" s="31" t="s">
        <v>153</v>
      </c>
      <c r="C1417" s="129"/>
      <c r="D1417" s="129"/>
      <c r="E1417" s="19" t="n">
        <f aca="false">F1417*0.03</f>
        <v>0</v>
      </c>
      <c r="F1417" s="33" t="n">
        <v>0</v>
      </c>
      <c r="G1417" s="131"/>
      <c r="H1417" s="35" t="n">
        <v>0</v>
      </c>
      <c r="I1417" s="34" t="n">
        <f aca="false">+IF(E1417=0,0,E1417*0.03)</f>
        <v>0</v>
      </c>
      <c r="J1417" s="93"/>
      <c r="K1417" s="93"/>
      <c r="L1417" s="93"/>
      <c r="M1417" s="93"/>
      <c r="N1417" s="93"/>
      <c r="O1417" s="93"/>
      <c r="P1417" s="93"/>
      <c r="Q1417" s="93"/>
      <c r="R1417" s="93"/>
      <c r="S1417" s="93"/>
      <c r="T1417" s="93"/>
      <c r="U1417" s="93"/>
      <c r="V1417" s="93"/>
      <c r="W1417" s="93"/>
      <c r="X1417" s="93"/>
      <c r="Y1417" s="93"/>
      <c r="Z1417" s="93"/>
    </row>
    <row r="1418" customFormat="false" ht="16.4" hidden="false" customHeight="false" outlineLevel="0" collapsed="false">
      <c r="A1418" s="123" t="n">
        <v>45444</v>
      </c>
      <c r="B1418" s="31" t="s">
        <v>153</v>
      </c>
      <c r="C1418" s="129"/>
      <c r="D1418" s="129"/>
      <c r="E1418" s="19" t="n">
        <f aca="false">F1418*0.03</f>
        <v>0</v>
      </c>
      <c r="F1418" s="33" t="n">
        <v>0</v>
      </c>
      <c r="G1418" s="131"/>
      <c r="H1418" s="35" t="n">
        <v>0</v>
      </c>
      <c r="I1418" s="34" t="n">
        <f aca="false">+IF(E1418=0,0,E1418*0.03)</f>
        <v>0</v>
      </c>
      <c r="J1418" s="93"/>
      <c r="K1418" s="93"/>
      <c r="L1418" s="93"/>
      <c r="M1418" s="93"/>
      <c r="N1418" s="93"/>
      <c r="O1418" s="93"/>
      <c r="P1418" s="93"/>
      <c r="Q1418" s="93"/>
      <c r="R1418" s="93"/>
      <c r="S1418" s="93"/>
      <c r="T1418" s="93"/>
      <c r="U1418" s="93"/>
      <c r="V1418" s="93"/>
      <c r="W1418" s="93"/>
      <c r="X1418" s="93"/>
      <c r="Y1418" s="93"/>
      <c r="Z1418" s="93"/>
    </row>
    <row r="1419" customFormat="false" ht="16.4" hidden="false" customHeight="false" outlineLevel="0" collapsed="false">
      <c r="A1419" s="123" t="n">
        <v>45444</v>
      </c>
      <c r="B1419" s="31" t="s">
        <v>153</v>
      </c>
      <c r="C1419" s="129"/>
      <c r="D1419" s="129"/>
      <c r="E1419" s="19" t="n">
        <f aca="false">F1419*0.03</f>
        <v>0</v>
      </c>
      <c r="F1419" s="33" t="n">
        <v>0</v>
      </c>
      <c r="G1419" s="131"/>
      <c r="H1419" s="35" t="n">
        <v>0</v>
      </c>
      <c r="I1419" s="34" t="n">
        <f aca="false">+IF(E1419=0,0,E1419*0.03)</f>
        <v>0</v>
      </c>
      <c r="J1419" s="93"/>
      <c r="K1419" s="93"/>
      <c r="L1419" s="93"/>
      <c r="M1419" s="93"/>
      <c r="N1419" s="93"/>
      <c r="O1419" s="93"/>
      <c r="P1419" s="93"/>
      <c r="Q1419" s="93"/>
      <c r="R1419" s="93"/>
      <c r="S1419" s="93"/>
      <c r="T1419" s="93"/>
      <c r="U1419" s="93"/>
      <c r="V1419" s="93"/>
      <c r="W1419" s="93"/>
      <c r="X1419" s="93"/>
      <c r="Y1419" s="93"/>
      <c r="Z1419" s="93"/>
    </row>
    <row r="1420" customFormat="false" ht="16.4" hidden="false" customHeight="false" outlineLevel="0" collapsed="false">
      <c r="A1420" s="123" t="n">
        <v>45444</v>
      </c>
      <c r="B1420" s="31" t="s">
        <v>153</v>
      </c>
      <c r="C1420" s="129"/>
      <c r="D1420" s="129"/>
      <c r="E1420" s="19" t="n">
        <f aca="false">F1420*0.03</f>
        <v>0</v>
      </c>
      <c r="F1420" s="33" t="n">
        <v>0</v>
      </c>
      <c r="G1420" s="131"/>
      <c r="H1420" s="35" t="n">
        <v>0</v>
      </c>
      <c r="I1420" s="34" t="n">
        <f aca="false">+IF(E1420=0,0,E1420*0.03)</f>
        <v>0</v>
      </c>
      <c r="J1420" s="93"/>
      <c r="K1420" s="93"/>
      <c r="L1420" s="93"/>
      <c r="M1420" s="93"/>
      <c r="N1420" s="93"/>
      <c r="O1420" s="93"/>
      <c r="P1420" s="93"/>
      <c r="Q1420" s="93"/>
      <c r="R1420" s="93"/>
      <c r="S1420" s="93"/>
      <c r="T1420" s="93"/>
      <c r="U1420" s="93"/>
      <c r="V1420" s="93"/>
      <c r="W1420" s="93"/>
      <c r="X1420" s="93"/>
      <c r="Y1420" s="93"/>
      <c r="Z1420" s="93"/>
    </row>
    <row r="1421" customFormat="false" ht="16.4" hidden="false" customHeight="false" outlineLevel="0" collapsed="false">
      <c r="A1421" s="123" t="n">
        <v>45444</v>
      </c>
      <c r="B1421" s="31" t="s">
        <v>153</v>
      </c>
      <c r="C1421" s="129"/>
      <c r="D1421" s="129"/>
      <c r="E1421" s="19" t="n">
        <f aca="false">F1421*0.03</f>
        <v>0</v>
      </c>
      <c r="F1421" s="33" t="n">
        <v>0</v>
      </c>
      <c r="G1421" s="131"/>
      <c r="H1421" s="35" t="n">
        <v>0</v>
      </c>
      <c r="I1421" s="34" t="n">
        <f aca="false">+IF(E1421=0,0,E1421*0.03)</f>
        <v>0</v>
      </c>
      <c r="J1421" s="93"/>
      <c r="K1421" s="93"/>
      <c r="L1421" s="93"/>
      <c r="M1421" s="93"/>
      <c r="N1421" s="93"/>
      <c r="O1421" s="93"/>
      <c r="P1421" s="93"/>
      <c r="Q1421" s="93"/>
      <c r="R1421" s="93"/>
      <c r="S1421" s="93"/>
      <c r="T1421" s="93"/>
      <c r="U1421" s="93"/>
      <c r="V1421" s="93"/>
      <c r="W1421" s="93"/>
      <c r="X1421" s="93"/>
      <c r="Y1421" s="93"/>
      <c r="Z1421" s="93"/>
    </row>
    <row r="1422" customFormat="false" ht="16.4" hidden="false" customHeight="false" outlineLevel="0" collapsed="false">
      <c r="A1422" s="123" t="n">
        <v>45444</v>
      </c>
      <c r="B1422" s="31" t="s">
        <v>153</v>
      </c>
      <c r="C1422" s="129"/>
      <c r="D1422" s="129"/>
      <c r="E1422" s="19" t="n">
        <f aca="false">F1422*0.03</f>
        <v>0</v>
      </c>
      <c r="F1422" s="33" t="n">
        <v>0</v>
      </c>
      <c r="G1422" s="131"/>
      <c r="H1422" s="35" t="n">
        <v>0</v>
      </c>
      <c r="I1422" s="34" t="n">
        <f aca="false">+IF(E1422=0,0,E1422*0.03)</f>
        <v>0</v>
      </c>
      <c r="J1422" s="93"/>
      <c r="K1422" s="93"/>
      <c r="L1422" s="93"/>
      <c r="M1422" s="93"/>
      <c r="N1422" s="93"/>
      <c r="O1422" s="93"/>
      <c r="P1422" s="93"/>
      <c r="Q1422" s="93"/>
      <c r="R1422" s="93"/>
      <c r="S1422" s="93"/>
      <c r="T1422" s="93"/>
      <c r="U1422" s="93"/>
      <c r="V1422" s="93"/>
      <c r="W1422" s="93"/>
      <c r="X1422" s="93"/>
      <c r="Y1422" s="93"/>
      <c r="Z1422" s="93"/>
    </row>
    <row r="1423" customFormat="false" ht="16.4" hidden="false" customHeight="false" outlineLevel="0" collapsed="false">
      <c r="A1423" s="123" t="n">
        <v>45444</v>
      </c>
      <c r="B1423" s="31" t="s">
        <v>153</v>
      </c>
      <c r="C1423" s="129"/>
      <c r="D1423" s="129"/>
      <c r="E1423" s="19" t="n">
        <f aca="false">F1423*0.03</f>
        <v>0</v>
      </c>
      <c r="F1423" s="33" t="n">
        <v>0</v>
      </c>
      <c r="G1423" s="131"/>
      <c r="H1423" s="35" t="n">
        <v>0</v>
      </c>
      <c r="I1423" s="34" t="n">
        <f aca="false">+IF(E1423=0,0,E1423*0.03)</f>
        <v>0</v>
      </c>
      <c r="J1423" s="93"/>
      <c r="K1423" s="93"/>
      <c r="L1423" s="93"/>
      <c r="M1423" s="93"/>
      <c r="N1423" s="93"/>
      <c r="O1423" s="93"/>
      <c r="P1423" s="93"/>
      <c r="Q1423" s="93"/>
      <c r="R1423" s="93"/>
      <c r="S1423" s="93"/>
      <c r="T1423" s="93"/>
      <c r="U1423" s="93"/>
      <c r="V1423" s="93"/>
      <c r="W1423" s="93"/>
      <c r="X1423" s="93"/>
      <c r="Y1423" s="93"/>
      <c r="Z1423" s="93"/>
    </row>
    <row r="1424" customFormat="false" ht="16.4" hidden="false" customHeight="false" outlineLevel="0" collapsed="false">
      <c r="A1424" s="123" t="n">
        <v>45444</v>
      </c>
      <c r="B1424" s="31" t="s">
        <v>153</v>
      </c>
      <c r="C1424" s="129"/>
      <c r="D1424" s="129"/>
      <c r="E1424" s="19" t="n">
        <f aca="false">F1424*0.03</f>
        <v>0</v>
      </c>
      <c r="F1424" s="33" t="n">
        <v>0</v>
      </c>
      <c r="G1424" s="131"/>
      <c r="H1424" s="35" t="n">
        <v>0</v>
      </c>
      <c r="I1424" s="34" t="n">
        <f aca="false">+IF(E1424=0,0,E1424*0.03)</f>
        <v>0</v>
      </c>
      <c r="J1424" s="93"/>
      <c r="K1424" s="93"/>
      <c r="L1424" s="93"/>
      <c r="M1424" s="93"/>
      <c r="N1424" s="93"/>
      <c r="O1424" s="93"/>
      <c r="P1424" s="93"/>
      <c r="Q1424" s="93"/>
      <c r="R1424" s="93"/>
      <c r="S1424" s="93"/>
      <c r="T1424" s="93"/>
      <c r="U1424" s="93"/>
      <c r="V1424" s="93"/>
      <c r="W1424" s="93"/>
      <c r="X1424" s="93"/>
      <c r="Y1424" s="93"/>
      <c r="Z1424" s="93"/>
    </row>
    <row r="1425" customFormat="false" ht="16.4" hidden="false" customHeight="false" outlineLevel="0" collapsed="false">
      <c r="A1425" s="123" t="n">
        <v>45444</v>
      </c>
      <c r="B1425" s="31" t="s">
        <v>153</v>
      </c>
      <c r="C1425" s="129"/>
      <c r="D1425" s="129"/>
      <c r="E1425" s="19" t="n">
        <f aca="false">F1425*0.03</f>
        <v>0</v>
      </c>
      <c r="F1425" s="33" t="n">
        <v>0</v>
      </c>
      <c r="G1425" s="131"/>
      <c r="H1425" s="35" t="n">
        <v>0</v>
      </c>
      <c r="I1425" s="34" t="n">
        <f aca="false">+IF(E1425=0,0,E1425*0.03)</f>
        <v>0</v>
      </c>
      <c r="J1425" s="93"/>
      <c r="K1425" s="93"/>
      <c r="L1425" s="93"/>
      <c r="M1425" s="93"/>
      <c r="N1425" s="93"/>
      <c r="O1425" s="93"/>
      <c r="P1425" s="93"/>
      <c r="Q1425" s="93"/>
      <c r="R1425" s="93"/>
      <c r="S1425" s="93"/>
      <c r="T1425" s="93"/>
      <c r="U1425" s="93"/>
      <c r="V1425" s="93"/>
      <c r="W1425" s="93"/>
      <c r="X1425" s="93"/>
      <c r="Y1425" s="93"/>
      <c r="Z1425" s="93"/>
    </row>
    <row r="1426" customFormat="false" ht="16.4" hidden="false" customHeight="false" outlineLevel="0" collapsed="false">
      <c r="A1426" s="123" t="n">
        <v>45444</v>
      </c>
      <c r="B1426" s="31" t="s">
        <v>153</v>
      </c>
      <c r="C1426" s="129"/>
      <c r="D1426" s="129"/>
      <c r="E1426" s="19" t="n">
        <f aca="false">F1426*0.03</f>
        <v>0</v>
      </c>
      <c r="F1426" s="33" t="n">
        <v>0</v>
      </c>
      <c r="G1426" s="131"/>
      <c r="H1426" s="35" t="n">
        <v>0</v>
      </c>
      <c r="I1426" s="34" t="n">
        <f aca="false">+IF(E1426=0,0,E1426*0.03)</f>
        <v>0</v>
      </c>
      <c r="J1426" s="93"/>
      <c r="K1426" s="93"/>
      <c r="L1426" s="93"/>
      <c r="M1426" s="93"/>
      <c r="N1426" s="93"/>
      <c r="O1426" s="93"/>
      <c r="P1426" s="93"/>
      <c r="Q1426" s="93"/>
      <c r="R1426" s="93"/>
      <c r="S1426" s="93"/>
      <c r="T1426" s="93"/>
      <c r="U1426" s="93"/>
      <c r="V1426" s="93"/>
      <c r="W1426" s="93"/>
      <c r="X1426" s="93"/>
      <c r="Y1426" s="93"/>
      <c r="Z1426" s="93"/>
    </row>
    <row r="1427" customFormat="false" ht="16.4" hidden="false" customHeight="false" outlineLevel="0" collapsed="false">
      <c r="A1427" s="123" t="n">
        <v>45444</v>
      </c>
      <c r="B1427" s="31" t="s">
        <v>153</v>
      </c>
      <c r="C1427" s="129"/>
      <c r="D1427" s="129"/>
      <c r="E1427" s="19" t="n">
        <f aca="false">F1427*0.03</f>
        <v>0</v>
      </c>
      <c r="F1427" s="33" t="n">
        <v>0</v>
      </c>
      <c r="G1427" s="131"/>
      <c r="H1427" s="35" t="n">
        <v>0</v>
      </c>
      <c r="I1427" s="34" t="n">
        <f aca="false">+IF(E1427=0,0,E1427*0.03)</f>
        <v>0</v>
      </c>
      <c r="J1427" s="93"/>
      <c r="K1427" s="93"/>
      <c r="L1427" s="93"/>
      <c r="M1427" s="93"/>
      <c r="N1427" s="93"/>
      <c r="O1427" s="93"/>
      <c r="P1427" s="93"/>
      <c r="Q1427" s="93"/>
      <c r="R1427" s="93"/>
      <c r="S1427" s="93"/>
      <c r="T1427" s="93"/>
      <c r="U1427" s="93"/>
      <c r="V1427" s="93"/>
      <c r="W1427" s="93"/>
      <c r="X1427" s="93"/>
      <c r="Y1427" s="93"/>
      <c r="Z1427" s="93"/>
    </row>
    <row r="1428" customFormat="false" ht="16.4" hidden="false" customHeight="false" outlineLevel="0" collapsed="false">
      <c r="A1428" s="123" t="n">
        <v>45444</v>
      </c>
      <c r="B1428" s="31" t="s">
        <v>153</v>
      </c>
      <c r="C1428" s="129"/>
      <c r="D1428" s="129"/>
      <c r="E1428" s="19" t="n">
        <f aca="false">F1428*0.03</f>
        <v>0</v>
      </c>
      <c r="F1428" s="33" t="n">
        <v>0</v>
      </c>
      <c r="G1428" s="131"/>
      <c r="H1428" s="35" t="n">
        <v>0</v>
      </c>
      <c r="I1428" s="34" t="n">
        <f aca="false">+IF(E1428=0,0,E1428*0.03)</f>
        <v>0</v>
      </c>
      <c r="J1428" s="93"/>
      <c r="K1428" s="93"/>
      <c r="L1428" s="93"/>
      <c r="M1428" s="93"/>
      <c r="N1428" s="93"/>
      <c r="O1428" s="93"/>
      <c r="P1428" s="93"/>
      <c r="Q1428" s="93"/>
      <c r="R1428" s="93"/>
      <c r="S1428" s="93"/>
      <c r="T1428" s="93"/>
      <c r="U1428" s="93"/>
      <c r="V1428" s="93"/>
      <c r="W1428" s="93"/>
      <c r="X1428" s="93"/>
      <c r="Y1428" s="93"/>
      <c r="Z1428" s="93"/>
    </row>
    <row r="1429" customFormat="false" ht="16.4" hidden="false" customHeight="false" outlineLevel="0" collapsed="false">
      <c r="A1429" s="123" t="n">
        <v>45444</v>
      </c>
      <c r="B1429" s="31" t="s">
        <v>153</v>
      </c>
      <c r="C1429" s="129"/>
      <c r="D1429" s="129"/>
      <c r="E1429" s="19" t="n">
        <f aca="false">F1429*0.03</f>
        <v>0</v>
      </c>
      <c r="F1429" s="33" t="n">
        <v>0</v>
      </c>
      <c r="G1429" s="131"/>
      <c r="H1429" s="35" t="n">
        <v>0</v>
      </c>
      <c r="I1429" s="34" t="n">
        <f aca="false">+IF(E1429=0,0,E1429*0.03)</f>
        <v>0</v>
      </c>
      <c r="J1429" s="93"/>
      <c r="K1429" s="93"/>
      <c r="L1429" s="93"/>
      <c r="M1429" s="93"/>
      <c r="N1429" s="93"/>
      <c r="O1429" s="93"/>
      <c r="P1429" s="93"/>
      <c r="Q1429" s="93"/>
      <c r="R1429" s="93"/>
      <c r="S1429" s="93"/>
      <c r="T1429" s="93"/>
      <c r="U1429" s="93"/>
      <c r="V1429" s="93"/>
      <c r="W1429" s="93"/>
      <c r="X1429" s="93"/>
      <c r="Y1429" s="93"/>
      <c r="Z1429" s="93"/>
    </row>
    <row r="1430" customFormat="false" ht="16.4" hidden="false" customHeight="false" outlineLevel="0" collapsed="false">
      <c r="A1430" s="123" t="n">
        <v>45444</v>
      </c>
      <c r="B1430" s="31" t="s">
        <v>153</v>
      </c>
      <c r="C1430" s="129"/>
      <c r="D1430" s="129"/>
      <c r="E1430" s="19" t="n">
        <f aca="false">F1430*0.03</f>
        <v>0</v>
      </c>
      <c r="F1430" s="33" t="n">
        <v>0</v>
      </c>
      <c r="G1430" s="131"/>
      <c r="H1430" s="35" t="n">
        <v>0</v>
      </c>
      <c r="I1430" s="34" t="n">
        <f aca="false">+IF(E1430=0,0,E1430*0.03)</f>
        <v>0</v>
      </c>
      <c r="J1430" s="93"/>
      <c r="K1430" s="93"/>
      <c r="L1430" s="93"/>
      <c r="M1430" s="93"/>
      <c r="N1430" s="93"/>
      <c r="O1430" s="93"/>
      <c r="P1430" s="93"/>
      <c r="Q1430" s="93"/>
      <c r="R1430" s="93"/>
      <c r="S1430" s="93"/>
      <c r="T1430" s="93"/>
      <c r="U1430" s="93"/>
      <c r="V1430" s="93"/>
      <c r="W1430" s="93"/>
      <c r="X1430" s="93"/>
      <c r="Y1430" s="93"/>
      <c r="Z1430" s="93"/>
    </row>
    <row r="1431" customFormat="false" ht="16.4" hidden="false" customHeight="false" outlineLevel="0" collapsed="false">
      <c r="A1431" s="123" t="n">
        <v>45444</v>
      </c>
      <c r="B1431" s="31" t="s">
        <v>153</v>
      </c>
      <c r="C1431" s="129"/>
      <c r="D1431" s="129"/>
      <c r="E1431" s="19" t="n">
        <f aca="false">F1431*0.03</f>
        <v>0</v>
      </c>
      <c r="F1431" s="33" t="n">
        <v>0</v>
      </c>
      <c r="G1431" s="131"/>
      <c r="H1431" s="35" t="n">
        <v>0</v>
      </c>
      <c r="I1431" s="34" t="n">
        <f aca="false">+IF(E1431=0,0,E1431*0.03)</f>
        <v>0</v>
      </c>
      <c r="J1431" s="93"/>
      <c r="K1431" s="93"/>
      <c r="L1431" s="93"/>
      <c r="M1431" s="93"/>
      <c r="N1431" s="93"/>
      <c r="O1431" s="93"/>
      <c r="P1431" s="93"/>
      <c r="Q1431" s="93"/>
      <c r="R1431" s="93"/>
      <c r="S1431" s="93"/>
      <c r="T1431" s="93"/>
      <c r="U1431" s="93"/>
      <c r="V1431" s="93"/>
      <c r="W1431" s="93"/>
      <c r="X1431" s="93"/>
      <c r="Y1431" s="93"/>
      <c r="Z1431" s="93"/>
    </row>
    <row r="1432" customFormat="false" ht="16.4" hidden="false" customHeight="false" outlineLevel="0" collapsed="false">
      <c r="A1432" s="123" t="n">
        <v>45444</v>
      </c>
      <c r="B1432" s="31" t="s">
        <v>153</v>
      </c>
      <c r="C1432" s="129"/>
      <c r="D1432" s="129"/>
      <c r="E1432" s="19" t="n">
        <f aca="false">F1432*0.03</f>
        <v>0</v>
      </c>
      <c r="F1432" s="33" t="n">
        <v>0</v>
      </c>
      <c r="G1432" s="131"/>
      <c r="H1432" s="35" t="n">
        <v>0</v>
      </c>
      <c r="I1432" s="34" t="n">
        <f aca="false">+IF(E1432=0,0,E1432*0.03)</f>
        <v>0</v>
      </c>
      <c r="J1432" s="93"/>
      <c r="K1432" s="93"/>
      <c r="L1432" s="93"/>
      <c r="M1432" s="93"/>
      <c r="N1432" s="93"/>
      <c r="O1432" s="93"/>
      <c r="P1432" s="93"/>
      <c r="Q1432" s="93"/>
      <c r="R1432" s="93"/>
      <c r="S1432" s="93"/>
      <c r="T1432" s="93"/>
      <c r="U1432" s="93"/>
      <c r="V1432" s="93"/>
      <c r="W1432" s="93"/>
      <c r="X1432" s="93"/>
      <c r="Y1432" s="93"/>
      <c r="Z1432" s="93"/>
    </row>
    <row r="1433" customFormat="false" ht="16.4" hidden="false" customHeight="false" outlineLevel="0" collapsed="false">
      <c r="A1433" s="123" t="n">
        <v>45444</v>
      </c>
      <c r="B1433" s="31" t="s">
        <v>153</v>
      </c>
      <c r="C1433" s="129"/>
      <c r="D1433" s="129"/>
      <c r="E1433" s="19" t="n">
        <f aca="false">F1433*0.03</f>
        <v>0</v>
      </c>
      <c r="F1433" s="33" t="n">
        <v>0</v>
      </c>
      <c r="G1433" s="131"/>
      <c r="H1433" s="35" t="n">
        <v>0</v>
      </c>
      <c r="I1433" s="34" t="n">
        <f aca="false">+IF(E1433=0,0,E1433*0.03)</f>
        <v>0</v>
      </c>
      <c r="J1433" s="93"/>
      <c r="K1433" s="93"/>
      <c r="L1433" s="93"/>
      <c r="M1433" s="93"/>
      <c r="N1433" s="93"/>
      <c r="O1433" s="93"/>
      <c r="P1433" s="93"/>
      <c r="Q1433" s="93"/>
      <c r="R1433" s="93"/>
      <c r="S1433" s="93"/>
      <c r="T1433" s="93"/>
      <c r="U1433" s="93"/>
      <c r="V1433" s="93"/>
      <c r="W1433" s="93"/>
      <c r="X1433" s="93"/>
      <c r="Y1433" s="93"/>
      <c r="Z1433" s="93"/>
    </row>
    <row r="1434" customFormat="false" ht="16.4" hidden="false" customHeight="false" outlineLevel="0" collapsed="false">
      <c r="A1434" s="123" t="n">
        <v>45444</v>
      </c>
      <c r="B1434" s="31" t="s">
        <v>153</v>
      </c>
      <c r="C1434" s="129"/>
      <c r="D1434" s="129"/>
      <c r="E1434" s="19" t="n">
        <f aca="false">F1434*0.03</f>
        <v>0</v>
      </c>
      <c r="F1434" s="33" t="n">
        <v>0</v>
      </c>
      <c r="G1434" s="131"/>
      <c r="H1434" s="35" t="n">
        <v>0</v>
      </c>
      <c r="I1434" s="34" t="n">
        <f aca="false">+IF(E1434=0,0,E1434*0.03)</f>
        <v>0</v>
      </c>
      <c r="J1434" s="93"/>
      <c r="K1434" s="93"/>
      <c r="L1434" s="93"/>
      <c r="M1434" s="93"/>
      <c r="N1434" s="93"/>
      <c r="O1434" s="93"/>
      <c r="P1434" s="93"/>
      <c r="Q1434" s="93"/>
      <c r="R1434" s="93"/>
      <c r="S1434" s="93"/>
      <c r="T1434" s="93"/>
      <c r="U1434" s="93"/>
      <c r="V1434" s="93"/>
      <c r="W1434" s="93"/>
      <c r="X1434" s="93"/>
      <c r="Y1434" s="93"/>
      <c r="Z1434" s="93"/>
    </row>
    <row r="1435" customFormat="false" ht="16.4" hidden="false" customHeight="false" outlineLevel="0" collapsed="false">
      <c r="A1435" s="123" t="n">
        <v>45444</v>
      </c>
      <c r="B1435" s="31" t="s">
        <v>153</v>
      </c>
      <c r="C1435" s="129"/>
      <c r="D1435" s="129"/>
      <c r="E1435" s="19" t="n">
        <f aca="false">F1435*0.03</f>
        <v>0</v>
      </c>
      <c r="F1435" s="33" t="n">
        <v>0</v>
      </c>
      <c r="G1435" s="131"/>
      <c r="H1435" s="35" t="n">
        <v>0</v>
      </c>
      <c r="I1435" s="34" t="n">
        <f aca="false">+IF(E1435=0,0,E1435*0.03)</f>
        <v>0</v>
      </c>
      <c r="J1435" s="93"/>
      <c r="K1435" s="93"/>
      <c r="L1435" s="93"/>
      <c r="M1435" s="93"/>
      <c r="N1435" s="93"/>
      <c r="O1435" s="93"/>
      <c r="P1435" s="93"/>
      <c r="Q1435" s="93"/>
      <c r="R1435" s="93"/>
      <c r="S1435" s="93"/>
      <c r="T1435" s="93"/>
      <c r="U1435" s="93"/>
      <c r="V1435" s="93"/>
      <c r="W1435" s="93"/>
      <c r="X1435" s="93"/>
      <c r="Y1435" s="93"/>
      <c r="Z1435" s="93"/>
    </row>
    <row r="1436" customFormat="false" ht="16.4" hidden="false" customHeight="false" outlineLevel="0" collapsed="false">
      <c r="A1436" s="123" t="n">
        <v>45444</v>
      </c>
      <c r="B1436" s="31" t="s">
        <v>153</v>
      </c>
      <c r="C1436" s="129"/>
      <c r="D1436" s="129"/>
      <c r="E1436" s="19" t="n">
        <f aca="false">F1436*0.03</f>
        <v>0</v>
      </c>
      <c r="F1436" s="33" t="n">
        <v>0</v>
      </c>
      <c r="G1436" s="131"/>
      <c r="H1436" s="35" t="n">
        <v>0</v>
      </c>
      <c r="I1436" s="34" t="n">
        <f aca="false">+IF(E1436=0,0,E1436*0.03)</f>
        <v>0</v>
      </c>
      <c r="J1436" s="93"/>
      <c r="K1436" s="93"/>
      <c r="L1436" s="93"/>
      <c r="M1436" s="93"/>
      <c r="N1436" s="93"/>
      <c r="O1436" s="93"/>
      <c r="P1436" s="93"/>
      <c r="Q1436" s="93"/>
      <c r="R1436" s="93"/>
      <c r="S1436" s="93"/>
      <c r="T1436" s="93"/>
      <c r="U1436" s="93"/>
      <c r="V1436" s="93"/>
      <c r="W1436" s="93"/>
      <c r="X1436" s="93"/>
      <c r="Y1436" s="93"/>
      <c r="Z1436" s="93"/>
    </row>
    <row r="1437" customFormat="false" ht="16.4" hidden="false" customHeight="false" outlineLevel="0" collapsed="false">
      <c r="A1437" s="123" t="n">
        <v>45444</v>
      </c>
      <c r="B1437" s="31" t="s">
        <v>153</v>
      </c>
      <c r="C1437" s="129"/>
      <c r="D1437" s="129"/>
      <c r="E1437" s="19" t="n">
        <f aca="false">F1437*0.03</f>
        <v>0</v>
      </c>
      <c r="F1437" s="33" t="n">
        <v>0</v>
      </c>
      <c r="G1437" s="131"/>
      <c r="H1437" s="35" t="n">
        <v>0</v>
      </c>
      <c r="I1437" s="34" t="n">
        <f aca="false">+IF(E1437=0,0,E1437*0.03)</f>
        <v>0</v>
      </c>
      <c r="J1437" s="93"/>
      <c r="K1437" s="93"/>
      <c r="L1437" s="93"/>
      <c r="M1437" s="93"/>
      <c r="N1437" s="93"/>
      <c r="O1437" s="93"/>
      <c r="P1437" s="93"/>
      <c r="Q1437" s="93"/>
      <c r="R1437" s="93"/>
      <c r="S1437" s="93"/>
      <c r="T1437" s="93"/>
      <c r="U1437" s="93"/>
      <c r="V1437" s="93"/>
      <c r="W1437" s="93"/>
      <c r="X1437" s="93"/>
      <c r="Y1437" s="93"/>
      <c r="Z1437" s="93"/>
    </row>
    <row r="1438" customFormat="false" ht="16.4" hidden="false" customHeight="false" outlineLevel="0" collapsed="false">
      <c r="A1438" s="123" t="n">
        <v>45444</v>
      </c>
      <c r="B1438" s="31" t="s">
        <v>153</v>
      </c>
      <c r="C1438" s="129"/>
      <c r="D1438" s="129"/>
      <c r="E1438" s="19" t="n">
        <f aca="false">F1438*0.03</f>
        <v>0</v>
      </c>
      <c r="F1438" s="33" t="n">
        <v>0</v>
      </c>
      <c r="G1438" s="131"/>
      <c r="H1438" s="35" t="n">
        <v>0</v>
      </c>
      <c r="I1438" s="34" t="n">
        <f aca="false">+IF(E1438=0,0,E1438*0.03)</f>
        <v>0</v>
      </c>
      <c r="J1438" s="93"/>
      <c r="K1438" s="93"/>
      <c r="L1438" s="93"/>
      <c r="M1438" s="93"/>
      <c r="N1438" s="93"/>
      <c r="O1438" s="93"/>
      <c r="P1438" s="93"/>
      <c r="Q1438" s="93"/>
      <c r="R1438" s="93"/>
      <c r="S1438" s="93"/>
      <c r="T1438" s="93"/>
      <c r="U1438" s="93"/>
      <c r="V1438" s="93"/>
      <c r="W1438" s="93"/>
      <c r="X1438" s="93"/>
      <c r="Y1438" s="93"/>
      <c r="Z1438" s="93"/>
    </row>
    <row r="1439" customFormat="false" ht="16.4" hidden="false" customHeight="false" outlineLevel="0" collapsed="false">
      <c r="A1439" s="123" t="n">
        <v>45444</v>
      </c>
      <c r="B1439" s="31" t="s">
        <v>153</v>
      </c>
      <c r="C1439" s="129"/>
      <c r="D1439" s="129"/>
      <c r="E1439" s="19" t="n">
        <f aca="false">F1439*0.03</f>
        <v>0</v>
      </c>
      <c r="F1439" s="33" t="n">
        <v>0</v>
      </c>
      <c r="G1439" s="131"/>
      <c r="H1439" s="35" t="n">
        <v>0</v>
      </c>
      <c r="I1439" s="34" t="n">
        <f aca="false">+IF(E1439=0,0,E1439*0.03)</f>
        <v>0</v>
      </c>
      <c r="J1439" s="93"/>
      <c r="K1439" s="93"/>
      <c r="L1439" s="93"/>
      <c r="M1439" s="93"/>
      <c r="N1439" s="93"/>
      <c r="O1439" s="93"/>
      <c r="P1439" s="93"/>
      <c r="Q1439" s="93"/>
      <c r="R1439" s="93"/>
      <c r="S1439" s="93"/>
      <c r="T1439" s="93"/>
      <c r="U1439" s="93"/>
      <c r="V1439" s="93"/>
      <c r="W1439" s="93"/>
      <c r="X1439" s="93"/>
      <c r="Y1439" s="93"/>
      <c r="Z1439" s="93"/>
    </row>
    <row r="1440" customFormat="false" ht="16.4" hidden="false" customHeight="false" outlineLevel="0" collapsed="false">
      <c r="A1440" s="123" t="n">
        <v>45444</v>
      </c>
      <c r="B1440" s="31" t="s">
        <v>153</v>
      </c>
      <c r="C1440" s="129"/>
      <c r="D1440" s="129"/>
      <c r="E1440" s="19" t="n">
        <f aca="false">F1440*0.03</f>
        <v>0</v>
      </c>
      <c r="F1440" s="33" t="n">
        <v>0</v>
      </c>
      <c r="G1440" s="131"/>
      <c r="H1440" s="35" t="n">
        <v>0</v>
      </c>
      <c r="I1440" s="34" t="n">
        <f aca="false">+IF(E1440=0,0,E1440*0.03)</f>
        <v>0</v>
      </c>
      <c r="J1440" s="93"/>
      <c r="K1440" s="93"/>
      <c r="L1440" s="93"/>
      <c r="M1440" s="93"/>
      <c r="N1440" s="93"/>
      <c r="O1440" s="93"/>
      <c r="P1440" s="93"/>
      <c r="Q1440" s="93"/>
      <c r="R1440" s="93"/>
      <c r="S1440" s="93"/>
      <c r="T1440" s="93"/>
      <c r="U1440" s="93"/>
      <c r="V1440" s="93"/>
      <c r="W1440" s="93"/>
      <c r="X1440" s="93"/>
      <c r="Y1440" s="93"/>
      <c r="Z1440" s="93"/>
    </row>
    <row r="1441" customFormat="false" ht="16.4" hidden="false" customHeight="false" outlineLevel="0" collapsed="false">
      <c r="A1441" s="123" t="n">
        <v>45444</v>
      </c>
      <c r="B1441" s="31" t="s">
        <v>153</v>
      </c>
      <c r="C1441" s="129"/>
      <c r="D1441" s="129"/>
      <c r="E1441" s="19" t="n">
        <f aca="false">F1441*0.03</f>
        <v>0</v>
      </c>
      <c r="F1441" s="33" t="n">
        <v>0</v>
      </c>
      <c r="G1441" s="131"/>
      <c r="H1441" s="35" t="n">
        <v>0</v>
      </c>
      <c r="I1441" s="34" t="n">
        <f aca="false">+IF(E1441=0,0,E1441*0.03)</f>
        <v>0</v>
      </c>
      <c r="J1441" s="93"/>
      <c r="K1441" s="93"/>
      <c r="L1441" s="93"/>
      <c r="M1441" s="93"/>
      <c r="N1441" s="93"/>
      <c r="O1441" s="93"/>
      <c r="P1441" s="93"/>
      <c r="Q1441" s="93"/>
      <c r="R1441" s="93"/>
      <c r="S1441" s="93"/>
      <c r="T1441" s="93"/>
      <c r="U1441" s="93"/>
      <c r="V1441" s="93"/>
      <c r="W1441" s="93"/>
      <c r="X1441" s="93"/>
      <c r="Y1441" s="93"/>
      <c r="Z1441" s="93"/>
    </row>
    <row r="1442" customFormat="false" ht="16.4" hidden="false" customHeight="false" outlineLevel="0" collapsed="false">
      <c r="A1442" s="123" t="n">
        <v>45444</v>
      </c>
      <c r="B1442" s="31" t="s">
        <v>153</v>
      </c>
      <c r="C1442" s="129"/>
      <c r="D1442" s="129"/>
      <c r="E1442" s="19" t="n">
        <f aca="false">F1442*0.03</f>
        <v>0</v>
      </c>
      <c r="F1442" s="33" t="n">
        <v>0</v>
      </c>
      <c r="G1442" s="131"/>
      <c r="H1442" s="35" t="n">
        <v>0</v>
      </c>
      <c r="I1442" s="34" t="n">
        <f aca="false">+IF(E1442=0,0,E1442*0.03)</f>
        <v>0</v>
      </c>
      <c r="J1442" s="93"/>
      <c r="K1442" s="93"/>
      <c r="L1442" s="93"/>
      <c r="M1442" s="93"/>
      <c r="N1442" s="93"/>
      <c r="O1442" s="93"/>
      <c r="P1442" s="93"/>
      <c r="Q1442" s="93"/>
      <c r="R1442" s="93"/>
      <c r="S1442" s="93"/>
      <c r="T1442" s="93"/>
      <c r="U1442" s="93"/>
      <c r="V1442" s="93"/>
      <c r="W1442" s="93"/>
      <c r="X1442" s="93"/>
      <c r="Y1442" s="93"/>
      <c r="Z1442" s="93"/>
    </row>
    <row r="1443" customFormat="false" ht="16.4" hidden="false" customHeight="false" outlineLevel="0" collapsed="false">
      <c r="A1443" s="123" t="n">
        <v>45444</v>
      </c>
      <c r="B1443" s="31" t="s">
        <v>153</v>
      </c>
      <c r="C1443" s="129"/>
      <c r="D1443" s="129"/>
      <c r="E1443" s="19" t="n">
        <f aca="false">F1443*0.03</f>
        <v>0</v>
      </c>
      <c r="F1443" s="33" t="n">
        <v>0</v>
      </c>
      <c r="G1443" s="131"/>
      <c r="H1443" s="35" t="n">
        <v>0</v>
      </c>
      <c r="I1443" s="34" t="n">
        <f aca="false">+IF(E1443=0,0,E1443*0.03)</f>
        <v>0</v>
      </c>
      <c r="J1443" s="93"/>
      <c r="K1443" s="93"/>
      <c r="L1443" s="93"/>
      <c r="M1443" s="93"/>
      <c r="N1443" s="93"/>
      <c r="O1443" s="93"/>
      <c r="P1443" s="93"/>
      <c r="Q1443" s="93"/>
      <c r="R1443" s="93"/>
      <c r="S1443" s="93"/>
      <c r="T1443" s="93"/>
      <c r="U1443" s="93"/>
      <c r="V1443" s="93"/>
      <c r="W1443" s="93"/>
      <c r="X1443" s="93"/>
      <c r="Y1443" s="93"/>
      <c r="Z1443" s="93"/>
    </row>
    <row r="1444" customFormat="false" ht="16.4" hidden="false" customHeight="false" outlineLevel="0" collapsed="false">
      <c r="A1444" s="123" t="n">
        <v>45444</v>
      </c>
      <c r="B1444" s="31" t="s">
        <v>153</v>
      </c>
      <c r="C1444" s="129"/>
      <c r="D1444" s="129"/>
      <c r="E1444" s="19" t="n">
        <f aca="false">F1444*0.03</f>
        <v>0</v>
      </c>
      <c r="F1444" s="33" t="n">
        <v>0</v>
      </c>
      <c r="G1444" s="131"/>
      <c r="H1444" s="35" t="n">
        <v>0</v>
      </c>
      <c r="I1444" s="34" t="n">
        <f aca="false">+IF(E1444=0,0,E1444*0.03)</f>
        <v>0</v>
      </c>
      <c r="J1444" s="93"/>
      <c r="K1444" s="93"/>
      <c r="L1444" s="93"/>
      <c r="M1444" s="93"/>
      <c r="N1444" s="93"/>
      <c r="O1444" s="93"/>
      <c r="P1444" s="93"/>
      <c r="Q1444" s="93"/>
      <c r="R1444" s="93"/>
      <c r="S1444" s="93"/>
      <c r="T1444" s="93"/>
      <c r="U1444" s="93"/>
      <c r="V1444" s="93"/>
      <c r="W1444" s="93"/>
      <c r="X1444" s="93"/>
      <c r="Y1444" s="93"/>
      <c r="Z1444" s="93"/>
    </row>
    <row r="1445" customFormat="false" ht="16.4" hidden="false" customHeight="false" outlineLevel="0" collapsed="false">
      <c r="A1445" s="123" t="n">
        <v>45444</v>
      </c>
      <c r="B1445" s="31" t="s">
        <v>153</v>
      </c>
      <c r="C1445" s="129"/>
      <c r="D1445" s="129"/>
      <c r="E1445" s="19" t="n">
        <f aca="false">F1445*0.03</f>
        <v>0</v>
      </c>
      <c r="F1445" s="33" t="n">
        <v>0</v>
      </c>
      <c r="G1445" s="131"/>
      <c r="H1445" s="35" t="n">
        <v>0</v>
      </c>
      <c r="I1445" s="34" t="n">
        <f aca="false">+IF(E1445=0,0,E1445*0.03)</f>
        <v>0</v>
      </c>
      <c r="J1445" s="93"/>
      <c r="K1445" s="93"/>
      <c r="L1445" s="93"/>
      <c r="M1445" s="93"/>
      <c r="N1445" s="93"/>
      <c r="O1445" s="93"/>
      <c r="P1445" s="93"/>
      <c r="Q1445" s="93"/>
      <c r="R1445" s="93"/>
      <c r="S1445" s="93"/>
      <c r="T1445" s="93"/>
      <c r="U1445" s="93"/>
      <c r="V1445" s="93"/>
      <c r="W1445" s="93"/>
      <c r="X1445" s="93"/>
      <c r="Y1445" s="93"/>
      <c r="Z1445" s="93"/>
    </row>
    <row r="1446" customFormat="false" ht="16.4" hidden="false" customHeight="false" outlineLevel="0" collapsed="false">
      <c r="A1446" s="123" t="n">
        <v>45444</v>
      </c>
      <c r="B1446" s="31" t="s">
        <v>153</v>
      </c>
      <c r="C1446" s="129"/>
      <c r="D1446" s="129"/>
      <c r="E1446" s="19" t="n">
        <f aca="false">F1446*0.03</f>
        <v>0</v>
      </c>
      <c r="F1446" s="33" t="n">
        <v>0</v>
      </c>
      <c r="G1446" s="131"/>
      <c r="H1446" s="35" t="n">
        <v>0</v>
      </c>
      <c r="I1446" s="34" t="n">
        <f aca="false">+IF(E1446=0,0,E1446*0.03)</f>
        <v>0</v>
      </c>
      <c r="J1446" s="93"/>
      <c r="K1446" s="93"/>
      <c r="L1446" s="93"/>
      <c r="M1446" s="93"/>
      <c r="N1446" s="93"/>
      <c r="O1446" s="93"/>
      <c r="P1446" s="93"/>
      <c r="Q1446" s="93"/>
      <c r="R1446" s="93"/>
      <c r="S1446" s="93"/>
      <c r="T1446" s="93"/>
      <c r="U1446" s="93"/>
      <c r="V1446" s="93"/>
      <c r="W1446" s="93"/>
      <c r="X1446" s="93"/>
      <c r="Y1446" s="93"/>
      <c r="Z1446" s="93"/>
    </row>
    <row r="1447" customFormat="false" ht="16.4" hidden="false" customHeight="false" outlineLevel="0" collapsed="false">
      <c r="A1447" s="123" t="n">
        <v>45444</v>
      </c>
      <c r="B1447" s="31" t="s">
        <v>153</v>
      </c>
      <c r="C1447" s="129"/>
      <c r="D1447" s="129"/>
      <c r="E1447" s="19" t="n">
        <f aca="false">F1447*0.03</f>
        <v>0</v>
      </c>
      <c r="F1447" s="33" t="n">
        <v>0</v>
      </c>
      <c r="G1447" s="131"/>
      <c r="H1447" s="35" t="n">
        <v>0</v>
      </c>
      <c r="I1447" s="34" t="n">
        <f aca="false">+IF(E1447=0,0,E1447*0.03)</f>
        <v>0</v>
      </c>
      <c r="J1447" s="93"/>
      <c r="K1447" s="93"/>
      <c r="L1447" s="93"/>
      <c r="M1447" s="93"/>
      <c r="N1447" s="93"/>
      <c r="O1447" s="93"/>
      <c r="P1447" s="93"/>
      <c r="Q1447" s="93"/>
      <c r="R1447" s="93"/>
      <c r="S1447" s="93"/>
      <c r="T1447" s="93"/>
      <c r="U1447" s="93"/>
      <c r="V1447" s="93"/>
      <c r="W1447" s="93"/>
      <c r="X1447" s="93"/>
      <c r="Y1447" s="93"/>
      <c r="Z1447" s="93"/>
    </row>
    <row r="1448" customFormat="false" ht="16.4" hidden="false" customHeight="false" outlineLevel="0" collapsed="false">
      <c r="A1448" s="123" t="n">
        <v>45444</v>
      </c>
      <c r="B1448" s="31" t="s">
        <v>153</v>
      </c>
      <c r="C1448" s="129"/>
      <c r="D1448" s="129"/>
      <c r="E1448" s="19" t="n">
        <f aca="false">F1448*0.03</f>
        <v>0</v>
      </c>
      <c r="F1448" s="33" t="n">
        <v>0</v>
      </c>
      <c r="G1448" s="131"/>
      <c r="H1448" s="35" t="n">
        <v>0</v>
      </c>
      <c r="I1448" s="34" t="n">
        <f aca="false">+IF(E1448=0,0,E1448*0.03)</f>
        <v>0</v>
      </c>
      <c r="J1448" s="93"/>
      <c r="K1448" s="93"/>
      <c r="L1448" s="93"/>
      <c r="M1448" s="93"/>
      <c r="N1448" s="93"/>
      <c r="O1448" s="93"/>
      <c r="P1448" s="93"/>
      <c r="Q1448" s="93"/>
      <c r="R1448" s="93"/>
      <c r="S1448" s="93"/>
      <c r="T1448" s="93"/>
      <c r="U1448" s="93"/>
      <c r="V1448" s="93"/>
      <c r="W1448" s="93"/>
      <c r="X1448" s="93"/>
      <c r="Y1448" s="93"/>
      <c r="Z1448" s="93"/>
    </row>
    <row r="1449" customFormat="false" ht="16.4" hidden="false" customHeight="false" outlineLevel="0" collapsed="false">
      <c r="A1449" s="123" t="n">
        <v>45444</v>
      </c>
      <c r="B1449" s="31" t="s">
        <v>153</v>
      </c>
      <c r="C1449" s="129"/>
      <c r="D1449" s="129"/>
      <c r="E1449" s="19" t="n">
        <f aca="false">F1449*0.03</f>
        <v>0</v>
      </c>
      <c r="F1449" s="33" t="n">
        <v>0</v>
      </c>
      <c r="G1449" s="131"/>
      <c r="H1449" s="35" t="n">
        <v>0</v>
      </c>
      <c r="I1449" s="34" t="n">
        <f aca="false">+IF(E1449=0,0,E1449*0.03)</f>
        <v>0</v>
      </c>
      <c r="J1449" s="93"/>
      <c r="K1449" s="93"/>
      <c r="L1449" s="93"/>
      <c r="M1449" s="93"/>
      <c r="N1449" s="93"/>
      <c r="O1449" s="93"/>
      <c r="P1449" s="93"/>
      <c r="Q1449" s="93"/>
      <c r="R1449" s="93"/>
      <c r="S1449" s="93"/>
      <c r="T1449" s="93"/>
      <c r="U1449" s="93"/>
      <c r="V1449" s="93"/>
      <c r="W1449" s="93"/>
      <c r="X1449" s="93"/>
      <c r="Y1449" s="93"/>
      <c r="Z1449" s="93"/>
    </row>
    <row r="1450" customFormat="false" ht="16.4" hidden="false" customHeight="false" outlineLevel="0" collapsed="false">
      <c r="A1450" s="123" t="n">
        <v>45444</v>
      </c>
      <c r="B1450" s="31" t="s">
        <v>153</v>
      </c>
      <c r="C1450" s="129"/>
      <c r="D1450" s="129"/>
      <c r="E1450" s="19" t="n">
        <f aca="false">F1450*0.03</f>
        <v>0</v>
      </c>
      <c r="F1450" s="33" t="n">
        <v>0</v>
      </c>
      <c r="G1450" s="131"/>
      <c r="H1450" s="35" t="n">
        <v>0</v>
      </c>
      <c r="I1450" s="34" t="n">
        <f aca="false">+IF(E1450=0,0,E1450*0.03)</f>
        <v>0</v>
      </c>
      <c r="J1450" s="93"/>
      <c r="K1450" s="93"/>
      <c r="L1450" s="93"/>
      <c r="M1450" s="93"/>
      <c r="N1450" s="93"/>
      <c r="O1450" s="93"/>
      <c r="P1450" s="93"/>
      <c r="Q1450" s="93"/>
      <c r="R1450" s="93"/>
      <c r="S1450" s="93"/>
      <c r="T1450" s="93"/>
      <c r="U1450" s="93"/>
      <c r="V1450" s="93"/>
      <c r="W1450" s="93"/>
      <c r="X1450" s="93"/>
      <c r="Y1450" s="93"/>
      <c r="Z1450" s="93"/>
    </row>
    <row r="1451" customFormat="false" ht="16.4" hidden="false" customHeight="false" outlineLevel="0" collapsed="false">
      <c r="A1451" s="123" t="n">
        <v>45444</v>
      </c>
      <c r="B1451" s="31" t="s">
        <v>153</v>
      </c>
      <c r="C1451" s="129"/>
      <c r="D1451" s="129"/>
      <c r="E1451" s="19" t="n">
        <f aca="false">F1451*0.03</f>
        <v>0</v>
      </c>
      <c r="F1451" s="33" t="n">
        <v>0</v>
      </c>
      <c r="G1451" s="131"/>
      <c r="H1451" s="35" t="n">
        <v>0</v>
      </c>
      <c r="I1451" s="34" t="n">
        <f aca="false">+IF(E1451=0,0,E1451*0.03)</f>
        <v>0</v>
      </c>
      <c r="J1451" s="93"/>
      <c r="K1451" s="93"/>
      <c r="L1451" s="93"/>
      <c r="M1451" s="93"/>
      <c r="N1451" s="93"/>
      <c r="O1451" s="93"/>
      <c r="P1451" s="93"/>
      <c r="Q1451" s="93"/>
      <c r="R1451" s="93"/>
      <c r="S1451" s="93"/>
      <c r="T1451" s="93"/>
      <c r="U1451" s="93"/>
      <c r="V1451" s="93"/>
      <c r="W1451" s="93"/>
      <c r="X1451" s="93"/>
      <c r="Y1451" s="93"/>
      <c r="Z1451" s="93"/>
    </row>
    <row r="1452" customFormat="false" ht="16.4" hidden="false" customHeight="false" outlineLevel="0" collapsed="false">
      <c r="A1452" s="123" t="n">
        <v>45444</v>
      </c>
      <c r="B1452" s="31" t="s">
        <v>153</v>
      </c>
      <c r="C1452" s="129"/>
      <c r="D1452" s="129"/>
      <c r="E1452" s="19" t="n">
        <f aca="false">F1452*0.03</f>
        <v>0</v>
      </c>
      <c r="F1452" s="33" t="n">
        <v>0</v>
      </c>
      <c r="G1452" s="131"/>
      <c r="H1452" s="35" t="n">
        <v>0</v>
      </c>
      <c r="I1452" s="34" t="n">
        <f aca="false">+IF(E1452=0,0,E1452*0.03)</f>
        <v>0</v>
      </c>
      <c r="J1452" s="93"/>
      <c r="K1452" s="93"/>
      <c r="L1452" s="93"/>
      <c r="M1452" s="93"/>
      <c r="N1452" s="93"/>
      <c r="O1452" s="93"/>
      <c r="P1452" s="93"/>
      <c r="Q1452" s="93"/>
      <c r="R1452" s="93"/>
      <c r="S1452" s="93"/>
      <c r="T1452" s="93"/>
      <c r="U1452" s="93"/>
      <c r="V1452" s="93"/>
      <c r="W1452" s="93"/>
      <c r="X1452" s="93"/>
      <c r="Y1452" s="93"/>
      <c r="Z1452" s="93"/>
    </row>
    <row r="1453" customFormat="false" ht="16.4" hidden="false" customHeight="false" outlineLevel="0" collapsed="false">
      <c r="A1453" s="123" t="n">
        <v>45444</v>
      </c>
      <c r="B1453" s="31" t="s">
        <v>153</v>
      </c>
      <c r="C1453" s="129"/>
      <c r="D1453" s="129"/>
      <c r="E1453" s="19" t="n">
        <f aca="false">F1453*0.03</f>
        <v>0</v>
      </c>
      <c r="F1453" s="33" t="n">
        <v>0</v>
      </c>
      <c r="G1453" s="131"/>
      <c r="H1453" s="35" t="n">
        <v>0</v>
      </c>
      <c r="I1453" s="34" t="n">
        <f aca="false">+IF(E1453=0,0,E1453*0.03)</f>
        <v>0</v>
      </c>
      <c r="J1453" s="93"/>
      <c r="K1453" s="93"/>
      <c r="L1453" s="93"/>
      <c r="M1453" s="93"/>
      <c r="N1453" s="93"/>
      <c r="O1453" s="93"/>
      <c r="P1453" s="93"/>
      <c r="Q1453" s="93"/>
      <c r="R1453" s="93"/>
      <c r="S1453" s="93"/>
      <c r="T1453" s="93"/>
      <c r="U1453" s="93"/>
      <c r="V1453" s="93"/>
      <c r="W1453" s="93"/>
      <c r="X1453" s="93"/>
      <c r="Y1453" s="93"/>
      <c r="Z1453" s="93"/>
    </row>
    <row r="1454" customFormat="false" ht="16.4" hidden="false" customHeight="false" outlineLevel="0" collapsed="false">
      <c r="A1454" s="123" t="n">
        <v>45444</v>
      </c>
      <c r="B1454" s="31" t="s">
        <v>153</v>
      </c>
      <c r="C1454" s="129"/>
      <c r="D1454" s="129"/>
      <c r="E1454" s="19" t="n">
        <f aca="false">F1454*0.03</f>
        <v>0</v>
      </c>
      <c r="F1454" s="33" t="n">
        <v>0</v>
      </c>
      <c r="G1454" s="131"/>
      <c r="H1454" s="35" t="n">
        <v>0</v>
      </c>
      <c r="I1454" s="34" t="n">
        <f aca="false">+IF(E1454=0,0,E1454*0.03)</f>
        <v>0</v>
      </c>
      <c r="J1454" s="93"/>
      <c r="K1454" s="93"/>
      <c r="L1454" s="93"/>
      <c r="M1454" s="93"/>
      <c r="N1454" s="93"/>
      <c r="O1454" s="93"/>
      <c r="P1454" s="93"/>
      <c r="Q1454" s="93"/>
      <c r="R1454" s="93"/>
      <c r="S1454" s="93"/>
      <c r="T1454" s="93"/>
      <c r="U1454" s="93"/>
      <c r="V1454" s="93"/>
      <c r="W1454" s="93"/>
      <c r="X1454" s="93"/>
      <c r="Y1454" s="93"/>
      <c r="Z1454" s="93"/>
    </row>
    <row r="1455" customFormat="false" ht="16.4" hidden="false" customHeight="false" outlineLevel="0" collapsed="false">
      <c r="A1455" s="123" t="n">
        <v>45444</v>
      </c>
      <c r="B1455" s="31" t="s">
        <v>153</v>
      </c>
      <c r="C1455" s="129"/>
      <c r="D1455" s="129"/>
      <c r="E1455" s="19" t="n">
        <f aca="false">F1455*0.03</f>
        <v>0</v>
      </c>
      <c r="F1455" s="33" t="n">
        <v>0</v>
      </c>
      <c r="G1455" s="131"/>
      <c r="H1455" s="35" t="n">
        <v>0</v>
      </c>
      <c r="I1455" s="34" t="n">
        <f aca="false">+IF(E1455=0,0,E1455*0.03)</f>
        <v>0</v>
      </c>
      <c r="J1455" s="93"/>
      <c r="K1455" s="93"/>
      <c r="L1455" s="93"/>
      <c r="M1455" s="93"/>
      <c r="N1455" s="93"/>
      <c r="O1455" s="93"/>
      <c r="P1455" s="93"/>
      <c r="Q1455" s="93"/>
      <c r="R1455" s="93"/>
      <c r="S1455" s="93"/>
      <c r="T1455" s="93"/>
      <c r="U1455" s="93"/>
      <c r="V1455" s="93"/>
      <c r="W1455" s="93"/>
      <c r="X1455" s="93"/>
      <c r="Y1455" s="93"/>
      <c r="Z1455" s="93"/>
    </row>
    <row r="1456" customFormat="false" ht="16.4" hidden="false" customHeight="false" outlineLevel="0" collapsed="false">
      <c r="A1456" s="123" t="n">
        <v>45444</v>
      </c>
      <c r="B1456" s="31" t="s">
        <v>153</v>
      </c>
      <c r="C1456" s="129"/>
      <c r="D1456" s="129"/>
      <c r="E1456" s="19" t="n">
        <f aca="false">F1456*0.03</f>
        <v>0</v>
      </c>
      <c r="F1456" s="33" t="n">
        <v>0</v>
      </c>
      <c r="G1456" s="131"/>
      <c r="H1456" s="35" t="n">
        <v>0</v>
      </c>
      <c r="I1456" s="34" t="n">
        <f aca="false">+IF(E1456=0,0,E1456*0.03)</f>
        <v>0</v>
      </c>
      <c r="J1456" s="93"/>
      <c r="K1456" s="93"/>
      <c r="L1456" s="93"/>
      <c r="M1456" s="93"/>
      <c r="N1456" s="93"/>
      <c r="O1456" s="93"/>
      <c r="P1456" s="93"/>
      <c r="Q1456" s="93"/>
      <c r="R1456" s="93"/>
      <c r="S1456" s="93"/>
      <c r="T1456" s="93"/>
      <c r="U1456" s="93"/>
      <c r="V1456" s="93"/>
      <c r="W1456" s="93"/>
      <c r="X1456" s="93"/>
      <c r="Y1456" s="93"/>
      <c r="Z1456" s="93"/>
    </row>
    <row r="1457" customFormat="false" ht="16.4" hidden="false" customHeight="false" outlineLevel="0" collapsed="false">
      <c r="A1457" s="123" t="n">
        <v>45444</v>
      </c>
      <c r="B1457" s="31" t="s">
        <v>153</v>
      </c>
      <c r="C1457" s="129"/>
      <c r="D1457" s="129"/>
      <c r="E1457" s="19" t="n">
        <f aca="false">F1457*0.03</f>
        <v>0</v>
      </c>
      <c r="F1457" s="33" t="n">
        <v>0</v>
      </c>
      <c r="G1457" s="131"/>
      <c r="H1457" s="35" t="n">
        <v>0</v>
      </c>
      <c r="I1457" s="34" t="n">
        <f aca="false">+IF(E1457=0,0,E1457*0.03)</f>
        <v>0</v>
      </c>
      <c r="J1457" s="93"/>
      <c r="K1457" s="93"/>
      <c r="L1457" s="93"/>
      <c r="M1457" s="93"/>
      <c r="N1457" s="93"/>
      <c r="O1457" s="93"/>
      <c r="P1457" s="93"/>
      <c r="Q1457" s="93"/>
      <c r="R1457" s="93"/>
      <c r="S1457" s="93"/>
      <c r="T1457" s="93"/>
      <c r="U1457" s="93"/>
      <c r="V1457" s="93"/>
      <c r="W1457" s="93"/>
      <c r="X1457" s="93"/>
      <c r="Y1457" s="93"/>
      <c r="Z1457" s="93"/>
    </row>
    <row r="1458" customFormat="false" ht="16.4" hidden="false" customHeight="false" outlineLevel="0" collapsed="false">
      <c r="A1458" s="123" t="n">
        <v>45444</v>
      </c>
      <c r="B1458" s="31" t="s">
        <v>153</v>
      </c>
      <c r="C1458" s="129"/>
      <c r="D1458" s="129"/>
      <c r="E1458" s="19" t="n">
        <f aca="false">F1458*0.03</f>
        <v>0</v>
      </c>
      <c r="F1458" s="33" t="n">
        <v>0</v>
      </c>
      <c r="G1458" s="131"/>
      <c r="H1458" s="35" t="n">
        <v>0</v>
      </c>
      <c r="I1458" s="34" t="n">
        <f aca="false">+IF(E1458=0,0,E1458*0.03)</f>
        <v>0</v>
      </c>
      <c r="J1458" s="93"/>
      <c r="K1458" s="93"/>
      <c r="L1458" s="93"/>
      <c r="M1458" s="93"/>
      <c r="N1458" s="93"/>
      <c r="O1458" s="93"/>
      <c r="P1458" s="93"/>
      <c r="Q1458" s="93"/>
      <c r="R1458" s="93"/>
      <c r="S1458" s="93"/>
      <c r="T1458" s="93"/>
      <c r="U1458" s="93"/>
      <c r="V1458" s="93"/>
      <c r="W1458" s="93"/>
      <c r="X1458" s="93"/>
      <c r="Y1458" s="93"/>
      <c r="Z1458" s="93"/>
    </row>
    <row r="1459" customFormat="false" ht="16.4" hidden="false" customHeight="false" outlineLevel="0" collapsed="false">
      <c r="A1459" s="123" t="n">
        <v>45444</v>
      </c>
      <c r="B1459" s="31" t="s">
        <v>153</v>
      </c>
      <c r="C1459" s="129"/>
      <c r="D1459" s="129"/>
      <c r="E1459" s="19" t="n">
        <f aca="false">F1459*0.03</f>
        <v>0</v>
      </c>
      <c r="F1459" s="33" t="n">
        <v>0</v>
      </c>
      <c r="G1459" s="131"/>
      <c r="H1459" s="35" t="n">
        <v>0</v>
      </c>
      <c r="I1459" s="34" t="n">
        <f aca="false">+IF(E1459=0,0,E1459*0.03)</f>
        <v>0</v>
      </c>
      <c r="J1459" s="93"/>
      <c r="K1459" s="93"/>
      <c r="L1459" s="93"/>
      <c r="M1459" s="93"/>
      <c r="N1459" s="93"/>
      <c r="O1459" s="93"/>
      <c r="P1459" s="93"/>
      <c r="Q1459" s="93"/>
      <c r="R1459" s="93"/>
      <c r="S1459" s="93"/>
      <c r="T1459" s="93"/>
      <c r="U1459" s="93"/>
      <c r="V1459" s="93"/>
      <c r="W1459" s="93"/>
      <c r="X1459" s="93"/>
      <c r="Y1459" s="93"/>
      <c r="Z1459" s="93"/>
    </row>
    <row r="1460" customFormat="false" ht="16.4" hidden="false" customHeight="false" outlineLevel="0" collapsed="false">
      <c r="A1460" s="123" t="n">
        <v>45444</v>
      </c>
      <c r="B1460" s="31" t="s">
        <v>153</v>
      </c>
      <c r="C1460" s="129"/>
      <c r="D1460" s="129"/>
      <c r="E1460" s="19" t="n">
        <f aca="false">F1460*0.03</f>
        <v>0</v>
      </c>
      <c r="F1460" s="33" t="n">
        <v>0</v>
      </c>
      <c r="G1460" s="131"/>
      <c r="H1460" s="35" t="n">
        <v>0</v>
      </c>
      <c r="I1460" s="34" t="n">
        <f aca="false">+IF(E1460=0,0,E1460*0.03)</f>
        <v>0</v>
      </c>
      <c r="J1460" s="93"/>
      <c r="K1460" s="93"/>
      <c r="L1460" s="93"/>
      <c r="M1460" s="93"/>
      <c r="N1460" s="93"/>
      <c r="O1460" s="93"/>
      <c r="P1460" s="93"/>
      <c r="Q1460" s="93"/>
      <c r="R1460" s="93"/>
      <c r="S1460" s="93"/>
      <c r="T1460" s="93"/>
      <c r="U1460" s="93"/>
      <c r="V1460" s="93"/>
      <c r="W1460" s="93"/>
      <c r="X1460" s="93"/>
      <c r="Y1460" s="93"/>
      <c r="Z1460" s="93"/>
    </row>
    <row r="1461" customFormat="false" ht="16.4" hidden="false" customHeight="false" outlineLevel="0" collapsed="false">
      <c r="A1461" s="123" t="n">
        <v>45444</v>
      </c>
      <c r="B1461" s="31" t="s">
        <v>153</v>
      </c>
      <c r="C1461" s="129"/>
      <c r="D1461" s="129"/>
      <c r="E1461" s="19" t="n">
        <f aca="false">F1461*0.03</f>
        <v>0</v>
      </c>
      <c r="F1461" s="33" t="n">
        <v>0</v>
      </c>
      <c r="G1461" s="131"/>
      <c r="H1461" s="35" t="n">
        <v>0</v>
      </c>
      <c r="I1461" s="34" t="n">
        <f aca="false">+IF(E1461=0,0,E1461*0.03)</f>
        <v>0</v>
      </c>
      <c r="J1461" s="93"/>
      <c r="K1461" s="93"/>
      <c r="L1461" s="93"/>
      <c r="M1461" s="93"/>
      <c r="N1461" s="93"/>
      <c r="O1461" s="93"/>
      <c r="P1461" s="93"/>
      <c r="Q1461" s="93"/>
      <c r="R1461" s="93"/>
      <c r="S1461" s="93"/>
      <c r="T1461" s="93"/>
      <c r="U1461" s="93"/>
      <c r="V1461" s="93"/>
      <c r="W1461" s="93"/>
      <c r="X1461" s="93"/>
      <c r="Y1461" s="93"/>
      <c r="Z1461" s="93"/>
    </row>
    <row r="1462" customFormat="false" ht="16.4" hidden="false" customHeight="false" outlineLevel="0" collapsed="false">
      <c r="A1462" s="123" t="n">
        <v>45444</v>
      </c>
      <c r="B1462" s="31" t="s">
        <v>153</v>
      </c>
      <c r="C1462" s="129"/>
      <c r="D1462" s="129"/>
      <c r="E1462" s="19" t="n">
        <f aca="false">F1462*0.03</f>
        <v>0</v>
      </c>
      <c r="F1462" s="33" t="n">
        <v>0</v>
      </c>
      <c r="G1462" s="131"/>
      <c r="H1462" s="35" t="n">
        <v>0</v>
      </c>
      <c r="I1462" s="34" t="n">
        <f aca="false">+IF(E1462=0,0,E1462*0.03)</f>
        <v>0</v>
      </c>
      <c r="J1462" s="93"/>
      <c r="K1462" s="93"/>
      <c r="L1462" s="93"/>
      <c r="M1462" s="93"/>
      <c r="N1462" s="93"/>
      <c r="O1462" s="93"/>
      <c r="P1462" s="93"/>
      <c r="Q1462" s="93"/>
      <c r="R1462" s="93"/>
      <c r="S1462" s="93"/>
      <c r="T1462" s="93"/>
      <c r="U1462" s="93"/>
      <c r="V1462" s="93"/>
      <c r="W1462" s="93"/>
      <c r="X1462" s="93"/>
      <c r="Y1462" s="93"/>
      <c r="Z1462" s="93"/>
    </row>
    <row r="1463" customFormat="false" ht="16.4" hidden="false" customHeight="false" outlineLevel="0" collapsed="false">
      <c r="A1463" s="123" t="n">
        <v>45444</v>
      </c>
      <c r="B1463" s="31" t="s">
        <v>153</v>
      </c>
      <c r="C1463" s="129"/>
      <c r="D1463" s="129"/>
      <c r="E1463" s="19" t="n">
        <f aca="false">F1463*0.03</f>
        <v>0</v>
      </c>
      <c r="F1463" s="33" t="n">
        <v>0</v>
      </c>
      <c r="G1463" s="131"/>
      <c r="H1463" s="35" t="n">
        <v>0</v>
      </c>
      <c r="I1463" s="34" t="n">
        <f aca="false">+IF(E1463=0,0,E1463*0.03)</f>
        <v>0</v>
      </c>
      <c r="J1463" s="93"/>
      <c r="K1463" s="93"/>
      <c r="L1463" s="93"/>
      <c r="M1463" s="93"/>
      <c r="N1463" s="93"/>
      <c r="O1463" s="93"/>
      <c r="P1463" s="93"/>
      <c r="Q1463" s="93"/>
      <c r="R1463" s="93"/>
      <c r="S1463" s="93"/>
      <c r="T1463" s="93"/>
      <c r="U1463" s="93"/>
      <c r="V1463" s="93"/>
      <c r="W1463" s="93"/>
      <c r="X1463" s="93"/>
      <c r="Y1463" s="93"/>
      <c r="Z1463" s="93"/>
    </row>
    <row r="1464" customFormat="false" ht="16.4" hidden="false" customHeight="false" outlineLevel="0" collapsed="false">
      <c r="A1464" s="123" t="n">
        <v>45444</v>
      </c>
      <c r="B1464" s="31" t="s">
        <v>153</v>
      </c>
      <c r="C1464" s="129"/>
      <c r="D1464" s="129"/>
      <c r="E1464" s="19" t="n">
        <f aca="false">F1464*0.03</f>
        <v>0</v>
      </c>
      <c r="F1464" s="33" t="n">
        <v>0</v>
      </c>
      <c r="G1464" s="131"/>
      <c r="H1464" s="35" t="n">
        <v>0</v>
      </c>
      <c r="I1464" s="34" t="n">
        <f aca="false">+IF(E1464=0,0,E1464*0.03)</f>
        <v>0</v>
      </c>
      <c r="J1464" s="93"/>
      <c r="K1464" s="93"/>
      <c r="L1464" s="93"/>
      <c r="M1464" s="93"/>
      <c r="N1464" s="93"/>
      <c r="O1464" s="93"/>
      <c r="P1464" s="93"/>
      <c r="Q1464" s="93"/>
      <c r="R1464" s="93"/>
      <c r="S1464" s="93"/>
      <c r="T1464" s="93"/>
      <c r="U1464" s="93"/>
      <c r="V1464" s="93"/>
      <c r="W1464" s="93"/>
      <c r="X1464" s="93"/>
      <c r="Y1464" s="93"/>
      <c r="Z1464" s="93"/>
    </row>
    <row r="1465" customFormat="false" ht="16.4" hidden="false" customHeight="false" outlineLevel="0" collapsed="false">
      <c r="A1465" s="123" t="n">
        <v>45444</v>
      </c>
      <c r="B1465" s="31" t="s">
        <v>153</v>
      </c>
      <c r="C1465" s="129"/>
      <c r="D1465" s="129"/>
      <c r="E1465" s="19" t="n">
        <f aca="false">F1465*0.03</f>
        <v>0</v>
      </c>
      <c r="F1465" s="33" t="n">
        <v>0</v>
      </c>
      <c r="G1465" s="131"/>
      <c r="H1465" s="35" t="n">
        <v>0</v>
      </c>
      <c r="I1465" s="34" t="n">
        <f aca="false">+IF(E1465=0,0,E1465*0.03)</f>
        <v>0</v>
      </c>
      <c r="J1465" s="93"/>
      <c r="K1465" s="93"/>
      <c r="L1465" s="93"/>
      <c r="M1465" s="93"/>
      <c r="N1465" s="93"/>
      <c r="O1465" s="93"/>
      <c r="P1465" s="93"/>
      <c r="Q1465" s="93"/>
      <c r="R1465" s="93"/>
      <c r="S1465" s="93"/>
      <c r="T1465" s="93"/>
      <c r="U1465" s="93"/>
      <c r="V1465" s="93"/>
      <c r="W1465" s="93"/>
      <c r="X1465" s="93"/>
      <c r="Y1465" s="93"/>
      <c r="Z1465" s="93"/>
    </row>
    <row r="1466" customFormat="false" ht="16.4" hidden="false" customHeight="false" outlineLevel="0" collapsed="false">
      <c r="A1466" s="123" t="n">
        <v>45444</v>
      </c>
      <c r="B1466" s="31" t="s">
        <v>153</v>
      </c>
      <c r="C1466" s="129"/>
      <c r="D1466" s="129"/>
      <c r="E1466" s="19" t="n">
        <f aca="false">F1466*0.03</f>
        <v>0</v>
      </c>
      <c r="F1466" s="33" t="n">
        <v>0</v>
      </c>
      <c r="G1466" s="131"/>
      <c r="H1466" s="35" t="n">
        <v>0</v>
      </c>
      <c r="I1466" s="34" t="n">
        <f aca="false">+IF(E1466=0,0,E1466*0.03)</f>
        <v>0</v>
      </c>
      <c r="J1466" s="93"/>
      <c r="K1466" s="93"/>
      <c r="L1466" s="93"/>
      <c r="M1466" s="93"/>
      <c r="N1466" s="93"/>
      <c r="O1466" s="93"/>
      <c r="P1466" s="93"/>
      <c r="Q1466" s="93"/>
      <c r="R1466" s="93"/>
      <c r="S1466" s="93"/>
      <c r="T1466" s="93"/>
      <c r="U1466" s="93"/>
      <c r="V1466" s="93"/>
      <c r="W1466" s="93"/>
      <c r="X1466" s="93"/>
      <c r="Y1466" s="93"/>
      <c r="Z1466" s="93"/>
    </row>
    <row r="1467" customFormat="false" ht="16.4" hidden="false" customHeight="false" outlineLevel="0" collapsed="false">
      <c r="A1467" s="123" t="n">
        <v>45444</v>
      </c>
      <c r="B1467" s="31" t="s">
        <v>153</v>
      </c>
      <c r="C1467" s="129"/>
      <c r="D1467" s="129"/>
      <c r="E1467" s="19" t="n">
        <f aca="false">F1467*0.03</f>
        <v>0</v>
      </c>
      <c r="F1467" s="33" t="n">
        <v>0</v>
      </c>
      <c r="G1467" s="131"/>
      <c r="H1467" s="35" t="n">
        <v>0</v>
      </c>
      <c r="I1467" s="34" t="n">
        <f aca="false">+IF(E1467=0,0,E1467*0.03)</f>
        <v>0</v>
      </c>
      <c r="J1467" s="93"/>
      <c r="K1467" s="93"/>
      <c r="L1467" s="93"/>
      <c r="M1467" s="93"/>
      <c r="N1467" s="93"/>
      <c r="O1467" s="93"/>
      <c r="P1467" s="93"/>
      <c r="Q1467" s="93"/>
      <c r="R1467" s="93"/>
      <c r="S1467" s="93"/>
      <c r="T1467" s="93"/>
      <c r="U1467" s="93"/>
      <c r="V1467" s="93"/>
      <c r="W1467" s="93"/>
      <c r="X1467" s="93"/>
      <c r="Y1467" s="93"/>
      <c r="Z1467" s="93"/>
    </row>
    <row r="1468" customFormat="false" ht="16.4" hidden="false" customHeight="false" outlineLevel="0" collapsed="false">
      <c r="A1468" s="123" t="n">
        <v>45444</v>
      </c>
      <c r="B1468" s="31" t="s">
        <v>153</v>
      </c>
      <c r="C1468" s="129"/>
      <c r="D1468" s="129"/>
      <c r="E1468" s="19" t="n">
        <f aca="false">F1468*0.03</f>
        <v>0</v>
      </c>
      <c r="F1468" s="33" t="n">
        <v>0</v>
      </c>
      <c r="G1468" s="131"/>
      <c r="H1468" s="35" t="n">
        <v>0</v>
      </c>
      <c r="I1468" s="34" t="n">
        <f aca="false">+IF(E1468=0,0,E1468*0.03)</f>
        <v>0</v>
      </c>
      <c r="J1468" s="93"/>
      <c r="K1468" s="93"/>
      <c r="L1468" s="93"/>
      <c r="M1468" s="93"/>
      <c r="N1468" s="93"/>
      <c r="O1468" s="93"/>
      <c r="P1468" s="93"/>
      <c r="Q1468" s="93"/>
      <c r="R1468" s="93"/>
      <c r="S1468" s="93"/>
      <c r="T1468" s="93"/>
      <c r="U1468" s="93"/>
      <c r="V1468" s="93"/>
      <c r="W1468" s="93"/>
      <c r="X1468" s="93"/>
      <c r="Y1468" s="93"/>
      <c r="Z1468" s="93"/>
    </row>
    <row r="1469" customFormat="false" ht="16.4" hidden="false" customHeight="false" outlineLevel="0" collapsed="false">
      <c r="A1469" s="123" t="n">
        <v>45444</v>
      </c>
      <c r="B1469" s="31" t="s">
        <v>153</v>
      </c>
      <c r="C1469" s="129"/>
      <c r="D1469" s="129"/>
      <c r="E1469" s="19" t="n">
        <f aca="false">F1469*0.03</f>
        <v>0</v>
      </c>
      <c r="F1469" s="33" t="n">
        <v>0</v>
      </c>
      <c r="G1469" s="131"/>
      <c r="H1469" s="35" t="n">
        <v>0</v>
      </c>
      <c r="I1469" s="34" t="n">
        <f aca="false">+IF(E1469=0,0,E1469*0.03)</f>
        <v>0</v>
      </c>
      <c r="J1469" s="93"/>
      <c r="K1469" s="93"/>
      <c r="L1469" s="93"/>
      <c r="M1469" s="93"/>
      <c r="N1469" s="93"/>
      <c r="O1469" s="93"/>
      <c r="P1469" s="93"/>
      <c r="Q1469" s="93"/>
      <c r="R1469" s="93"/>
      <c r="S1469" s="93"/>
      <c r="T1469" s="93"/>
      <c r="U1469" s="93"/>
      <c r="V1469" s="93"/>
      <c r="W1469" s="93"/>
      <c r="X1469" s="93"/>
      <c r="Y1469" s="93"/>
      <c r="Z1469" s="93"/>
    </row>
    <row r="1470" customFormat="false" ht="16.4" hidden="false" customHeight="false" outlineLevel="0" collapsed="false">
      <c r="A1470" s="123" t="n">
        <v>45444</v>
      </c>
      <c r="B1470" s="31" t="s">
        <v>153</v>
      </c>
      <c r="C1470" s="129"/>
      <c r="D1470" s="129"/>
      <c r="E1470" s="19" t="n">
        <f aca="false">F1470*0.03</f>
        <v>0</v>
      </c>
      <c r="F1470" s="33" t="n">
        <v>0</v>
      </c>
      <c r="G1470" s="131"/>
      <c r="H1470" s="35" t="n">
        <v>0</v>
      </c>
      <c r="I1470" s="34" t="n">
        <f aca="false">+IF(E1470=0,0,E1470*0.03)</f>
        <v>0</v>
      </c>
      <c r="J1470" s="93"/>
      <c r="K1470" s="93"/>
      <c r="L1470" s="93"/>
      <c r="M1470" s="93"/>
      <c r="N1470" s="93"/>
      <c r="O1470" s="93"/>
      <c r="P1470" s="93"/>
      <c r="Q1470" s="93"/>
      <c r="R1470" s="93"/>
      <c r="S1470" s="93"/>
      <c r="T1470" s="93"/>
      <c r="U1470" s="93"/>
      <c r="V1470" s="93"/>
      <c r="W1470" s="93"/>
      <c r="X1470" s="93"/>
      <c r="Y1470" s="93"/>
      <c r="Z1470" s="93"/>
    </row>
    <row r="1471" customFormat="false" ht="16.4" hidden="false" customHeight="false" outlineLevel="0" collapsed="false">
      <c r="A1471" s="123" t="n">
        <v>45444</v>
      </c>
      <c r="B1471" s="31" t="s">
        <v>153</v>
      </c>
      <c r="C1471" s="129"/>
      <c r="D1471" s="129"/>
      <c r="E1471" s="19" t="n">
        <f aca="false">F1471*0.03</f>
        <v>0</v>
      </c>
      <c r="F1471" s="33" t="n">
        <v>0</v>
      </c>
      <c r="G1471" s="131"/>
      <c r="H1471" s="35" t="n">
        <v>0</v>
      </c>
      <c r="I1471" s="34" t="n">
        <f aca="false">+IF(E1471=0,0,E1471*0.03)</f>
        <v>0</v>
      </c>
      <c r="J1471" s="93"/>
      <c r="K1471" s="93"/>
      <c r="L1471" s="93"/>
      <c r="M1471" s="93"/>
      <c r="N1471" s="93"/>
      <c r="O1471" s="93"/>
      <c r="P1471" s="93"/>
      <c r="Q1471" s="93"/>
      <c r="R1471" s="93"/>
      <c r="S1471" s="93"/>
      <c r="T1471" s="93"/>
      <c r="U1471" s="93"/>
      <c r="V1471" s="93"/>
      <c r="W1471" s="93"/>
      <c r="X1471" s="93"/>
      <c r="Y1471" s="93"/>
      <c r="Z1471" s="93"/>
    </row>
    <row r="1472" customFormat="false" ht="16.4" hidden="false" customHeight="false" outlineLevel="0" collapsed="false">
      <c r="A1472" s="123" t="n">
        <v>45444</v>
      </c>
      <c r="B1472" s="31" t="s">
        <v>153</v>
      </c>
      <c r="C1472" s="129"/>
      <c r="D1472" s="129"/>
      <c r="E1472" s="19" t="n">
        <f aca="false">F1472*0.03</f>
        <v>0</v>
      </c>
      <c r="F1472" s="33" t="n">
        <v>0</v>
      </c>
      <c r="G1472" s="131"/>
      <c r="H1472" s="35" t="n">
        <v>0</v>
      </c>
      <c r="I1472" s="34" t="n">
        <f aca="false">+IF(E1472=0,0,E1472*0.03)</f>
        <v>0</v>
      </c>
      <c r="J1472" s="93"/>
      <c r="K1472" s="93"/>
      <c r="L1472" s="93"/>
      <c r="M1472" s="93"/>
      <c r="N1472" s="93"/>
      <c r="O1472" s="93"/>
      <c r="P1472" s="93"/>
      <c r="Q1472" s="93"/>
      <c r="R1472" s="93"/>
      <c r="S1472" s="93"/>
      <c r="T1472" s="93"/>
      <c r="U1472" s="93"/>
      <c r="V1472" s="93"/>
      <c r="W1472" s="93"/>
      <c r="X1472" s="93"/>
      <c r="Y1472" s="93"/>
      <c r="Z1472" s="93"/>
    </row>
    <row r="1473" customFormat="false" ht="16.4" hidden="false" customHeight="false" outlineLevel="0" collapsed="false">
      <c r="A1473" s="123" t="n">
        <v>45444</v>
      </c>
      <c r="B1473" s="31" t="s">
        <v>153</v>
      </c>
      <c r="C1473" s="129"/>
      <c r="D1473" s="129"/>
      <c r="E1473" s="19" t="n">
        <f aca="false">F1473*0.03</f>
        <v>0</v>
      </c>
      <c r="F1473" s="33" t="n">
        <v>0</v>
      </c>
      <c r="G1473" s="131"/>
      <c r="H1473" s="35" t="n">
        <v>0</v>
      </c>
      <c r="I1473" s="34" t="n">
        <f aca="false">+IF(E1473=0,0,E1473*0.03)</f>
        <v>0</v>
      </c>
      <c r="J1473" s="93"/>
      <c r="K1473" s="93"/>
      <c r="L1473" s="93"/>
      <c r="M1473" s="93"/>
      <c r="N1473" s="93"/>
      <c r="O1473" s="93"/>
      <c r="P1473" s="93"/>
      <c r="Q1473" s="93"/>
      <c r="R1473" s="93"/>
      <c r="S1473" s="93"/>
      <c r="T1473" s="93"/>
      <c r="U1473" s="93"/>
      <c r="V1473" s="93"/>
      <c r="W1473" s="93"/>
      <c r="X1473" s="93"/>
      <c r="Y1473" s="93"/>
      <c r="Z1473" s="93"/>
    </row>
    <row r="1474" customFormat="false" ht="16.4" hidden="false" customHeight="false" outlineLevel="0" collapsed="false">
      <c r="A1474" s="123" t="n">
        <v>45444</v>
      </c>
      <c r="B1474" s="31" t="s">
        <v>153</v>
      </c>
      <c r="C1474" s="129"/>
      <c r="D1474" s="129"/>
      <c r="E1474" s="19" t="n">
        <f aca="false">F1474*0.03</f>
        <v>0</v>
      </c>
      <c r="F1474" s="33" t="n">
        <v>0</v>
      </c>
      <c r="G1474" s="131"/>
      <c r="H1474" s="35" t="n">
        <v>0</v>
      </c>
      <c r="I1474" s="34" t="n">
        <f aca="false">+IF(E1474=0,0,E1474*0.03)</f>
        <v>0</v>
      </c>
      <c r="J1474" s="93"/>
      <c r="K1474" s="93"/>
      <c r="L1474" s="93"/>
      <c r="M1474" s="93"/>
      <c r="N1474" s="93"/>
      <c r="O1474" s="93"/>
      <c r="P1474" s="93"/>
      <c r="Q1474" s="93"/>
      <c r="R1474" s="93"/>
      <c r="S1474" s="93"/>
      <c r="T1474" s="93"/>
      <c r="U1474" s="93"/>
      <c r="V1474" s="93"/>
      <c r="W1474" s="93"/>
      <c r="X1474" s="93"/>
      <c r="Y1474" s="93"/>
      <c r="Z1474" s="93"/>
    </row>
    <row r="1475" customFormat="false" ht="16.4" hidden="false" customHeight="false" outlineLevel="0" collapsed="false">
      <c r="A1475" s="123" t="n">
        <v>45444</v>
      </c>
      <c r="B1475" s="31" t="s">
        <v>153</v>
      </c>
      <c r="C1475" s="129"/>
      <c r="D1475" s="129"/>
      <c r="E1475" s="19" t="n">
        <f aca="false">F1475*0.03</f>
        <v>0</v>
      </c>
      <c r="F1475" s="33" t="n">
        <v>0</v>
      </c>
      <c r="G1475" s="131"/>
      <c r="H1475" s="35" t="n">
        <v>0</v>
      </c>
      <c r="I1475" s="34" t="n">
        <f aca="false">+IF(E1475=0,0,E1475*0.03)</f>
        <v>0</v>
      </c>
      <c r="J1475" s="93"/>
      <c r="K1475" s="93"/>
      <c r="L1475" s="93"/>
      <c r="M1475" s="93"/>
      <c r="N1475" s="93"/>
      <c r="O1475" s="93"/>
      <c r="P1475" s="93"/>
      <c r="Q1475" s="93"/>
      <c r="R1475" s="93"/>
      <c r="S1475" s="93"/>
      <c r="T1475" s="93"/>
      <c r="U1475" s="93"/>
      <c r="V1475" s="93"/>
      <c r="W1475" s="93"/>
      <c r="X1475" s="93"/>
      <c r="Y1475" s="93"/>
      <c r="Z1475" s="93"/>
    </row>
    <row r="1476" customFormat="false" ht="16.4" hidden="false" customHeight="false" outlineLevel="0" collapsed="false">
      <c r="A1476" s="123" t="n">
        <v>45444</v>
      </c>
      <c r="B1476" s="31" t="s">
        <v>153</v>
      </c>
      <c r="C1476" s="129"/>
      <c r="D1476" s="129"/>
      <c r="E1476" s="19" t="n">
        <f aca="false">F1476*0.03</f>
        <v>0</v>
      </c>
      <c r="F1476" s="33" t="n">
        <v>0</v>
      </c>
      <c r="G1476" s="131"/>
      <c r="H1476" s="35" t="n">
        <v>0</v>
      </c>
      <c r="I1476" s="34" t="n">
        <f aca="false">+IF(E1476=0,0,E1476*0.03)</f>
        <v>0</v>
      </c>
      <c r="J1476" s="93"/>
      <c r="K1476" s="93"/>
      <c r="L1476" s="93"/>
      <c r="M1476" s="93"/>
      <c r="N1476" s="93"/>
      <c r="O1476" s="93"/>
      <c r="P1476" s="93"/>
      <c r="Q1476" s="93"/>
      <c r="R1476" s="93"/>
      <c r="S1476" s="93"/>
      <c r="T1476" s="93"/>
      <c r="U1476" s="93"/>
      <c r="V1476" s="93"/>
      <c r="W1476" s="93"/>
      <c r="X1476" s="93"/>
      <c r="Y1476" s="93"/>
      <c r="Z1476" s="93"/>
    </row>
    <row r="1477" customFormat="false" ht="16.4" hidden="false" customHeight="false" outlineLevel="0" collapsed="false">
      <c r="A1477" s="123" t="n">
        <v>45444</v>
      </c>
      <c r="B1477" s="31" t="s">
        <v>153</v>
      </c>
      <c r="C1477" s="129"/>
      <c r="D1477" s="129"/>
      <c r="E1477" s="19" t="n">
        <f aca="false">F1477*0.03</f>
        <v>0</v>
      </c>
      <c r="F1477" s="33" t="n">
        <v>0</v>
      </c>
      <c r="G1477" s="131"/>
      <c r="H1477" s="35" t="n">
        <v>0</v>
      </c>
      <c r="I1477" s="34" t="n">
        <f aca="false">+IF(E1477=0,0,E1477*0.03)</f>
        <v>0</v>
      </c>
      <c r="J1477" s="93"/>
      <c r="K1477" s="93"/>
      <c r="L1477" s="93"/>
      <c r="M1477" s="93"/>
      <c r="N1477" s="93"/>
      <c r="O1477" s="93"/>
      <c r="P1477" s="93"/>
      <c r="Q1477" s="93"/>
      <c r="R1477" s="93"/>
      <c r="S1477" s="93"/>
      <c r="T1477" s="93"/>
      <c r="U1477" s="93"/>
      <c r="V1477" s="93"/>
      <c r="W1477" s="93"/>
      <c r="X1477" s="93"/>
      <c r="Y1477" s="93"/>
      <c r="Z1477" s="93"/>
    </row>
    <row r="1478" customFormat="false" ht="16.4" hidden="false" customHeight="false" outlineLevel="0" collapsed="false">
      <c r="A1478" s="123" t="n">
        <v>45444</v>
      </c>
      <c r="B1478" s="31" t="s">
        <v>153</v>
      </c>
      <c r="C1478" s="129"/>
      <c r="D1478" s="129"/>
      <c r="E1478" s="19" t="n">
        <f aca="false">F1478*0.03</f>
        <v>0</v>
      </c>
      <c r="F1478" s="33" t="n">
        <v>0</v>
      </c>
      <c r="G1478" s="131"/>
      <c r="H1478" s="35" t="n">
        <v>0</v>
      </c>
      <c r="I1478" s="34" t="n">
        <f aca="false">+IF(E1478=0,0,E1478*0.03)</f>
        <v>0</v>
      </c>
      <c r="J1478" s="93"/>
      <c r="K1478" s="93"/>
      <c r="L1478" s="93"/>
      <c r="M1478" s="93"/>
      <c r="N1478" s="93"/>
      <c r="O1478" s="93"/>
      <c r="P1478" s="93"/>
      <c r="Q1478" s="93"/>
      <c r="R1478" s="93"/>
      <c r="S1478" s="93"/>
      <c r="T1478" s="93"/>
      <c r="U1478" s="93"/>
      <c r="V1478" s="93"/>
      <c r="W1478" s="93"/>
      <c r="X1478" s="93"/>
      <c r="Y1478" s="93"/>
      <c r="Z1478" s="93"/>
    </row>
    <row r="1479" customFormat="false" ht="16.4" hidden="false" customHeight="false" outlineLevel="0" collapsed="false">
      <c r="A1479" s="123" t="n">
        <v>45444</v>
      </c>
      <c r="B1479" s="31" t="s">
        <v>153</v>
      </c>
      <c r="C1479" s="129"/>
      <c r="D1479" s="129"/>
      <c r="E1479" s="19" t="n">
        <f aca="false">F1479*0.03</f>
        <v>0</v>
      </c>
      <c r="F1479" s="33" t="n">
        <v>0</v>
      </c>
      <c r="G1479" s="131"/>
      <c r="H1479" s="35" t="n">
        <v>0</v>
      </c>
      <c r="I1479" s="34" t="n">
        <f aca="false">+IF(E1479=0,0,E1479*0.03)</f>
        <v>0</v>
      </c>
      <c r="J1479" s="93"/>
      <c r="K1479" s="93"/>
      <c r="L1479" s="93"/>
      <c r="M1479" s="93"/>
      <c r="N1479" s="93"/>
      <c r="O1479" s="93"/>
      <c r="P1479" s="93"/>
      <c r="Q1479" s="93"/>
      <c r="R1479" s="93"/>
      <c r="S1479" s="93"/>
      <c r="T1479" s="93"/>
      <c r="U1479" s="93"/>
      <c r="V1479" s="93"/>
      <c r="W1479" s="93"/>
      <c r="X1479" s="93"/>
      <c r="Y1479" s="93"/>
      <c r="Z1479" s="93"/>
    </row>
    <row r="1480" customFormat="false" ht="16.4" hidden="false" customHeight="false" outlineLevel="0" collapsed="false">
      <c r="A1480" s="123" t="n">
        <v>45444</v>
      </c>
      <c r="B1480" s="31" t="s">
        <v>153</v>
      </c>
      <c r="C1480" s="129"/>
      <c r="D1480" s="129"/>
      <c r="E1480" s="19" t="n">
        <f aca="false">F1480*0.03</f>
        <v>0</v>
      </c>
      <c r="F1480" s="33" t="n">
        <v>0</v>
      </c>
      <c r="G1480" s="131"/>
      <c r="H1480" s="35" t="n">
        <v>0</v>
      </c>
      <c r="I1480" s="34" t="n">
        <f aca="false">+IF(E1480=0,0,E1480*0.03)</f>
        <v>0</v>
      </c>
      <c r="J1480" s="93"/>
      <c r="K1480" s="93"/>
      <c r="L1480" s="93"/>
      <c r="M1480" s="93"/>
      <c r="N1480" s="93"/>
      <c r="O1480" s="93"/>
      <c r="P1480" s="93"/>
      <c r="Q1480" s="93"/>
      <c r="R1480" s="93"/>
      <c r="S1480" s="93"/>
      <c r="T1480" s="93"/>
      <c r="U1480" s="93"/>
      <c r="V1480" s="93"/>
      <c r="W1480" s="93"/>
      <c r="X1480" s="93"/>
      <c r="Y1480" s="93"/>
      <c r="Z1480" s="93"/>
    </row>
    <row r="1481" customFormat="false" ht="16.4" hidden="false" customHeight="false" outlineLevel="0" collapsed="false">
      <c r="A1481" s="123" t="n">
        <v>45444</v>
      </c>
      <c r="B1481" s="31" t="s">
        <v>153</v>
      </c>
      <c r="C1481" s="129"/>
      <c r="D1481" s="129"/>
      <c r="E1481" s="19" t="n">
        <f aca="false">F1481*0.03</f>
        <v>0</v>
      </c>
      <c r="F1481" s="33" t="n">
        <v>0</v>
      </c>
      <c r="G1481" s="131"/>
      <c r="H1481" s="35" t="n">
        <v>0</v>
      </c>
      <c r="I1481" s="34" t="n">
        <f aca="false">+IF(E1481=0,0,E1481*0.03)</f>
        <v>0</v>
      </c>
      <c r="J1481" s="93"/>
      <c r="K1481" s="93"/>
      <c r="L1481" s="93"/>
      <c r="M1481" s="93"/>
      <c r="N1481" s="93"/>
      <c r="O1481" s="93"/>
      <c r="P1481" s="93"/>
      <c r="Q1481" s="93"/>
      <c r="R1481" s="93"/>
      <c r="S1481" s="93"/>
      <c r="T1481" s="93"/>
      <c r="U1481" s="93"/>
      <c r="V1481" s="93"/>
      <c r="W1481" s="93"/>
      <c r="X1481" s="93"/>
      <c r="Y1481" s="93"/>
      <c r="Z1481" s="93"/>
    </row>
    <row r="1482" customFormat="false" ht="16.4" hidden="false" customHeight="false" outlineLevel="0" collapsed="false">
      <c r="A1482" s="123" t="n">
        <v>45444</v>
      </c>
      <c r="B1482" s="31" t="s">
        <v>153</v>
      </c>
      <c r="C1482" s="129"/>
      <c r="D1482" s="129"/>
      <c r="E1482" s="19" t="n">
        <f aca="false">F1482*0.03</f>
        <v>0</v>
      </c>
      <c r="F1482" s="33" t="n">
        <v>0</v>
      </c>
      <c r="G1482" s="131"/>
      <c r="H1482" s="35" t="n">
        <v>0</v>
      </c>
      <c r="I1482" s="34" t="n">
        <f aca="false">+IF(E1482=0,0,E1482*0.03)</f>
        <v>0</v>
      </c>
      <c r="J1482" s="93"/>
      <c r="K1482" s="93"/>
      <c r="L1482" s="93"/>
      <c r="M1482" s="93"/>
      <c r="N1482" s="93"/>
      <c r="O1482" s="93"/>
      <c r="P1482" s="93"/>
      <c r="Q1482" s="93"/>
      <c r="R1482" s="93"/>
      <c r="S1482" s="93"/>
      <c r="T1482" s="93"/>
      <c r="U1482" s="93"/>
      <c r="V1482" s="93"/>
      <c r="W1482" s="93"/>
      <c r="X1482" s="93"/>
      <c r="Y1482" s="93"/>
      <c r="Z1482" s="93"/>
    </row>
    <row r="1483" customFormat="false" ht="16.4" hidden="false" customHeight="false" outlineLevel="0" collapsed="false">
      <c r="A1483" s="123" t="n">
        <v>45444</v>
      </c>
      <c r="B1483" s="31" t="s">
        <v>153</v>
      </c>
      <c r="C1483" s="129"/>
      <c r="D1483" s="129"/>
      <c r="E1483" s="19" t="n">
        <f aca="false">F1483*0.03</f>
        <v>0</v>
      </c>
      <c r="F1483" s="33" t="n">
        <v>0</v>
      </c>
      <c r="G1483" s="131"/>
      <c r="H1483" s="35" t="n">
        <v>0</v>
      </c>
      <c r="I1483" s="34" t="n">
        <f aca="false">+IF(E1483=0,0,E1483*0.03)</f>
        <v>0</v>
      </c>
      <c r="J1483" s="93"/>
      <c r="K1483" s="93"/>
      <c r="L1483" s="93"/>
      <c r="M1483" s="93"/>
      <c r="N1483" s="93"/>
      <c r="O1483" s="93"/>
      <c r="P1483" s="93"/>
      <c r="Q1483" s="93"/>
      <c r="R1483" s="93"/>
      <c r="S1483" s="93"/>
      <c r="T1483" s="93"/>
      <c r="U1483" s="93"/>
      <c r="V1483" s="93"/>
      <c r="W1483" s="93"/>
      <c r="X1483" s="93"/>
      <c r="Y1483" s="93"/>
      <c r="Z1483" s="93"/>
    </row>
    <row r="1484" customFormat="false" ht="16.4" hidden="false" customHeight="false" outlineLevel="0" collapsed="false">
      <c r="A1484" s="123" t="n">
        <v>45444</v>
      </c>
      <c r="B1484" s="31" t="s">
        <v>153</v>
      </c>
      <c r="C1484" s="129"/>
      <c r="D1484" s="129"/>
      <c r="E1484" s="19" t="n">
        <f aca="false">F1484*0.03</f>
        <v>0</v>
      </c>
      <c r="F1484" s="33" t="n">
        <v>0</v>
      </c>
      <c r="G1484" s="131"/>
      <c r="H1484" s="35" t="n">
        <v>0</v>
      </c>
      <c r="I1484" s="34" t="n">
        <f aca="false">+IF(E1484=0,0,E1484*0.03)</f>
        <v>0</v>
      </c>
      <c r="J1484" s="93"/>
      <c r="K1484" s="93"/>
      <c r="L1484" s="93"/>
      <c r="M1484" s="93"/>
      <c r="N1484" s="93"/>
      <c r="O1484" s="93"/>
      <c r="P1484" s="93"/>
      <c r="Q1484" s="93"/>
      <c r="R1484" s="93"/>
      <c r="S1484" s="93"/>
      <c r="T1484" s="93"/>
      <c r="U1484" s="93"/>
      <c r="V1484" s="93"/>
      <c r="W1484" s="93"/>
      <c r="X1484" s="93"/>
      <c r="Y1484" s="93"/>
      <c r="Z1484" s="93"/>
    </row>
    <row r="1485" customFormat="false" ht="16.4" hidden="false" customHeight="false" outlineLevel="0" collapsed="false">
      <c r="A1485" s="123" t="n">
        <v>45444</v>
      </c>
      <c r="B1485" s="31" t="s">
        <v>153</v>
      </c>
      <c r="C1485" s="129"/>
      <c r="D1485" s="129"/>
      <c r="E1485" s="19" t="n">
        <f aca="false">F1485*0.03</f>
        <v>0</v>
      </c>
      <c r="F1485" s="33" t="n">
        <v>0</v>
      </c>
      <c r="G1485" s="131"/>
      <c r="H1485" s="35" t="n">
        <v>0</v>
      </c>
      <c r="I1485" s="34" t="n">
        <f aca="false">+IF(E1485=0,0,E1485*0.03)</f>
        <v>0</v>
      </c>
      <c r="J1485" s="93"/>
      <c r="K1485" s="93"/>
      <c r="L1485" s="93"/>
      <c r="M1485" s="93"/>
      <c r="N1485" s="93"/>
      <c r="O1485" s="93"/>
      <c r="P1485" s="93"/>
      <c r="Q1485" s="93"/>
      <c r="R1485" s="93"/>
      <c r="S1485" s="93"/>
      <c r="T1485" s="93"/>
      <c r="U1485" s="93"/>
      <c r="V1485" s="93"/>
      <c r="W1485" s="93"/>
      <c r="X1485" s="93"/>
      <c r="Y1485" s="93"/>
      <c r="Z1485" s="93"/>
    </row>
    <row r="1486" customFormat="false" ht="16.4" hidden="false" customHeight="false" outlineLevel="0" collapsed="false">
      <c r="A1486" s="123" t="n">
        <v>45444</v>
      </c>
      <c r="B1486" s="31" t="s">
        <v>153</v>
      </c>
      <c r="C1486" s="129"/>
      <c r="D1486" s="129"/>
      <c r="E1486" s="19" t="n">
        <f aca="false">F1486*0.03</f>
        <v>0</v>
      </c>
      <c r="F1486" s="33" t="n">
        <v>0</v>
      </c>
      <c r="G1486" s="131"/>
      <c r="H1486" s="35" t="n">
        <v>0</v>
      </c>
      <c r="I1486" s="34" t="n">
        <f aca="false">+IF(E1486=0,0,E1486*0.03)</f>
        <v>0</v>
      </c>
      <c r="J1486" s="93"/>
      <c r="K1486" s="93"/>
      <c r="L1486" s="93"/>
      <c r="M1486" s="93"/>
      <c r="N1486" s="93"/>
      <c r="O1486" s="93"/>
      <c r="P1486" s="93"/>
      <c r="Q1486" s="93"/>
      <c r="R1486" s="93"/>
      <c r="S1486" s="93"/>
      <c r="T1486" s="93"/>
      <c r="U1486" s="93"/>
      <c r="V1486" s="93"/>
      <c r="W1486" s="93"/>
      <c r="X1486" s="93"/>
      <c r="Y1486" s="93"/>
      <c r="Z1486" s="93"/>
    </row>
    <row r="1487" customFormat="false" ht="16.4" hidden="false" customHeight="false" outlineLevel="0" collapsed="false">
      <c r="A1487" s="123" t="n">
        <v>45444</v>
      </c>
      <c r="B1487" s="31" t="s">
        <v>153</v>
      </c>
      <c r="C1487" s="129"/>
      <c r="D1487" s="129"/>
      <c r="E1487" s="19" t="n">
        <f aca="false">F1487*0.03</f>
        <v>0</v>
      </c>
      <c r="F1487" s="33" t="n">
        <v>0</v>
      </c>
      <c r="G1487" s="131"/>
      <c r="H1487" s="35" t="n">
        <v>0</v>
      </c>
      <c r="I1487" s="34" t="n">
        <f aca="false">+IF(E1487=0,0,E1487*0.03)</f>
        <v>0</v>
      </c>
      <c r="J1487" s="93"/>
      <c r="K1487" s="93"/>
      <c r="L1487" s="93"/>
      <c r="M1487" s="93"/>
      <c r="N1487" s="93"/>
      <c r="O1487" s="93"/>
      <c r="P1487" s="93"/>
      <c r="Q1487" s="93"/>
      <c r="R1487" s="93"/>
      <c r="S1487" s="93"/>
      <c r="T1487" s="93"/>
      <c r="U1487" s="93"/>
      <c r="V1487" s="93"/>
      <c r="W1487" s="93"/>
      <c r="X1487" s="93"/>
      <c r="Y1487" s="93"/>
      <c r="Z1487" s="93"/>
    </row>
    <row r="1488" customFormat="false" ht="16.4" hidden="false" customHeight="false" outlineLevel="0" collapsed="false">
      <c r="A1488" s="123" t="n">
        <v>45444</v>
      </c>
      <c r="B1488" s="31" t="s">
        <v>153</v>
      </c>
      <c r="C1488" s="129"/>
      <c r="D1488" s="129"/>
      <c r="E1488" s="19" t="n">
        <f aca="false">F1488*0.03</f>
        <v>0</v>
      </c>
      <c r="F1488" s="33" t="n">
        <v>0</v>
      </c>
      <c r="G1488" s="131"/>
      <c r="H1488" s="35" t="n">
        <v>0</v>
      </c>
      <c r="I1488" s="34" t="n">
        <f aca="false">+IF(E1488=0,0,E1488*0.03)</f>
        <v>0</v>
      </c>
      <c r="J1488" s="93"/>
      <c r="K1488" s="93"/>
      <c r="L1488" s="93"/>
      <c r="M1488" s="93"/>
      <c r="N1488" s="93"/>
      <c r="O1488" s="93"/>
      <c r="P1488" s="93"/>
      <c r="Q1488" s="93"/>
      <c r="R1488" s="93"/>
      <c r="S1488" s="93"/>
      <c r="T1488" s="93"/>
      <c r="U1488" s="93"/>
      <c r="V1488" s="93"/>
      <c r="W1488" s="93"/>
      <c r="X1488" s="93"/>
      <c r="Y1488" s="93"/>
      <c r="Z1488" s="93"/>
    </row>
    <row r="1489" customFormat="false" ht="16.4" hidden="false" customHeight="false" outlineLevel="0" collapsed="false">
      <c r="A1489" s="123" t="n">
        <v>45444</v>
      </c>
      <c r="B1489" s="31" t="s">
        <v>153</v>
      </c>
      <c r="C1489" s="129"/>
      <c r="D1489" s="129"/>
      <c r="E1489" s="19" t="n">
        <f aca="false">F1489*0.03</f>
        <v>0</v>
      </c>
      <c r="F1489" s="33" t="n">
        <v>0</v>
      </c>
      <c r="G1489" s="131"/>
      <c r="H1489" s="35" t="n">
        <v>0</v>
      </c>
      <c r="I1489" s="34" t="n">
        <f aca="false">+IF(E1489=0,0,E1489*0.03)</f>
        <v>0</v>
      </c>
      <c r="J1489" s="93"/>
      <c r="K1489" s="93"/>
      <c r="L1489" s="93"/>
      <c r="M1489" s="93"/>
      <c r="N1489" s="93"/>
      <c r="O1489" s="93"/>
      <c r="P1489" s="93"/>
      <c r="Q1489" s="93"/>
      <c r="R1489" s="93"/>
      <c r="S1489" s="93"/>
      <c r="T1489" s="93"/>
      <c r="U1489" s="93"/>
      <c r="V1489" s="93"/>
      <c r="W1489" s="93"/>
      <c r="X1489" s="93"/>
      <c r="Y1489" s="93"/>
      <c r="Z1489" s="93"/>
    </row>
    <row r="1490" customFormat="false" ht="16.4" hidden="false" customHeight="false" outlineLevel="0" collapsed="false">
      <c r="A1490" s="123" t="n">
        <v>45444</v>
      </c>
      <c r="B1490" s="31" t="s">
        <v>153</v>
      </c>
      <c r="C1490" s="129"/>
      <c r="D1490" s="129"/>
      <c r="E1490" s="19" t="n">
        <f aca="false">F1490*0.03</f>
        <v>0</v>
      </c>
      <c r="F1490" s="33" t="n">
        <v>0</v>
      </c>
      <c r="G1490" s="131"/>
      <c r="H1490" s="35" t="n">
        <v>0</v>
      </c>
      <c r="I1490" s="34" t="n">
        <f aca="false">+IF(E1490=0,0,E1490*0.03)</f>
        <v>0</v>
      </c>
      <c r="J1490" s="93"/>
      <c r="K1490" s="93"/>
      <c r="L1490" s="93"/>
      <c r="M1490" s="93"/>
      <c r="N1490" s="93"/>
      <c r="O1490" s="93"/>
      <c r="P1490" s="93"/>
      <c r="Q1490" s="93"/>
      <c r="R1490" s="93"/>
      <c r="S1490" s="93"/>
      <c r="T1490" s="93"/>
      <c r="U1490" s="93"/>
      <c r="V1490" s="93"/>
      <c r="W1490" s="93"/>
      <c r="X1490" s="93"/>
      <c r="Y1490" s="93"/>
      <c r="Z1490" s="93"/>
    </row>
    <row r="1491" customFormat="false" ht="16.4" hidden="false" customHeight="false" outlineLevel="0" collapsed="false">
      <c r="A1491" s="123" t="n">
        <v>45444</v>
      </c>
      <c r="B1491" s="31" t="s">
        <v>153</v>
      </c>
      <c r="C1491" s="129"/>
      <c r="D1491" s="129"/>
      <c r="E1491" s="19" t="n">
        <f aca="false">F1491*0.03</f>
        <v>0</v>
      </c>
      <c r="F1491" s="33" t="n">
        <v>0</v>
      </c>
      <c r="G1491" s="131"/>
      <c r="H1491" s="35" t="n">
        <v>0</v>
      </c>
      <c r="I1491" s="34" t="n">
        <f aca="false">+IF(E1491=0,0,E1491*0.03)</f>
        <v>0</v>
      </c>
      <c r="J1491" s="93"/>
      <c r="K1491" s="93"/>
      <c r="L1491" s="93"/>
      <c r="M1491" s="93"/>
      <c r="N1491" s="93"/>
      <c r="O1491" s="93"/>
      <c r="P1491" s="93"/>
      <c r="Q1491" s="93"/>
      <c r="R1491" s="93"/>
      <c r="S1491" s="93"/>
      <c r="T1491" s="93"/>
      <c r="U1491" s="93"/>
      <c r="V1491" s="93"/>
      <c r="W1491" s="93"/>
      <c r="X1491" s="93"/>
      <c r="Y1491" s="93"/>
      <c r="Z1491" s="93"/>
    </row>
    <row r="1492" customFormat="false" ht="16.4" hidden="false" customHeight="false" outlineLevel="0" collapsed="false">
      <c r="A1492" s="123" t="n">
        <v>45444</v>
      </c>
      <c r="B1492" s="31" t="s">
        <v>153</v>
      </c>
      <c r="C1492" s="129"/>
      <c r="D1492" s="129"/>
      <c r="E1492" s="19" t="n">
        <f aca="false">F1492*0.03</f>
        <v>0</v>
      </c>
      <c r="F1492" s="33" t="n">
        <v>0</v>
      </c>
      <c r="G1492" s="131"/>
      <c r="H1492" s="35" t="n">
        <v>0</v>
      </c>
      <c r="I1492" s="34" t="n">
        <f aca="false">+IF(E1492=0,0,E1492*0.03)</f>
        <v>0</v>
      </c>
      <c r="J1492" s="93"/>
      <c r="K1492" s="93"/>
      <c r="L1492" s="93"/>
      <c r="M1492" s="93"/>
      <c r="N1492" s="93"/>
      <c r="O1492" s="93"/>
      <c r="P1492" s="93"/>
      <c r="Q1492" s="93"/>
      <c r="R1492" s="93"/>
      <c r="S1492" s="93"/>
      <c r="T1492" s="93"/>
      <c r="U1492" s="93"/>
      <c r="V1492" s="93"/>
      <c r="W1492" s="93"/>
      <c r="X1492" s="93"/>
      <c r="Y1492" s="93"/>
      <c r="Z1492" s="93"/>
    </row>
    <row r="1493" customFormat="false" ht="16.4" hidden="false" customHeight="false" outlineLevel="0" collapsed="false">
      <c r="A1493" s="123" t="n">
        <v>45444</v>
      </c>
      <c r="B1493" s="31" t="s">
        <v>153</v>
      </c>
      <c r="C1493" s="129"/>
      <c r="D1493" s="129"/>
      <c r="E1493" s="19" t="n">
        <f aca="false">F1493*0.03</f>
        <v>0</v>
      </c>
      <c r="F1493" s="33" t="n">
        <v>0</v>
      </c>
      <c r="G1493" s="131"/>
      <c r="H1493" s="35" t="n">
        <v>0</v>
      </c>
      <c r="I1493" s="34" t="n">
        <f aca="false">+IF(E1493=0,0,E1493*0.03)</f>
        <v>0</v>
      </c>
      <c r="J1493" s="93"/>
      <c r="K1493" s="93"/>
      <c r="L1493" s="93"/>
      <c r="M1493" s="93"/>
      <c r="N1493" s="93"/>
      <c r="O1493" s="93"/>
      <c r="P1493" s="93"/>
      <c r="Q1493" s="93"/>
      <c r="R1493" s="93"/>
      <c r="S1493" s="93"/>
      <c r="T1493" s="93"/>
      <c r="U1493" s="93"/>
      <c r="V1493" s="93"/>
      <c r="W1493" s="93"/>
      <c r="X1493" s="93"/>
      <c r="Y1493" s="93"/>
      <c r="Z1493" s="93"/>
    </row>
    <row r="1494" customFormat="false" ht="16.4" hidden="false" customHeight="false" outlineLevel="0" collapsed="false">
      <c r="A1494" s="123" t="n">
        <v>45444</v>
      </c>
      <c r="B1494" s="31" t="s">
        <v>153</v>
      </c>
      <c r="C1494" s="129"/>
      <c r="D1494" s="129"/>
      <c r="E1494" s="19" t="n">
        <f aca="false">F1494*0.03</f>
        <v>0</v>
      </c>
      <c r="F1494" s="33" t="n">
        <v>0</v>
      </c>
      <c r="G1494" s="131"/>
      <c r="H1494" s="35" t="n">
        <v>0</v>
      </c>
      <c r="I1494" s="34" t="n">
        <f aca="false">+IF(E1494=0,0,E1494*0.03)</f>
        <v>0</v>
      </c>
      <c r="J1494" s="93"/>
      <c r="K1494" s="93"/>
      <c r="L1494" s="93"/>
      <c r="M1494" s="93"/>
      <c r="N1494" s="93"/>
      <c r="O1494" s="93"/>
      <c r="P1494" s="93"/>
      <c r="Q1494" s="93"/>
      <c r="R1494" s="93"/>
      <c r="S1494" s="93"/>
      <c r="T1494" s="93"/>
      <c r="U1494" s="93"/>
      <c r="V1494" s="93"/>
      <c r="W1494" s="93"/>
      <c r="X1494" s="93"/>
      <c r="Y1494" s="93"/>
      <c r="Z1494" s="93"/>
    </row>
    <row r="1495" customFormat="false" ht="16.4" hidden="false" customHeight="false" outlineLevel="0" collapsed="false">
      <c r="A1495" s="123" t="n">
        <v>45444</v>
      </c>
      <c r="B1495" s="31" t="s">
        <v>153</v>
      </c>
      <c r="C1495" s="129"/>
      <c r="D1495" s="129"/>
      <c r="E1495" s="19" t="n">
        <f aca="false">F1495*0.03</f>
        <v>0</v>
      </c>
      <c r="F1495" s="33" t="n">
        <v>0</v>
      </c>
      <c r="G1495" s="131"/>
      <c r="H1495" s="35" t="n">
        <v>0</v>
      </c>
      <c r="I1495" s="34" t="n">
        <f aca="false">+IF(E1495=0,0,E1495*0.03)</f>
        <v>0</v>
      </c>
      <c r="J1495" s="93"/>
      <c r="K1495" s="93"/>
      <c r="L1495" s="93"/>
      <c r="M1495" s="93"/>
      <c r="N1495" s="93"/>
      <c r="O1495" s="93"/>
      <c r="P1495" s="93"/>
      <c r="Q1495" s="93"/>
      <c r="R1495" s="93"/>
      <c r="S1495" s="93"/>
      <c r="T1495" s="93"/>
      <c r="U1495" s="93"/>
      <c r="V1495" s="93"/>
      <c r="W1495" s="93"/>
      <c r="X1495" s="93"/>
      <c r="Y1495" s="93"/>
      <c r="Z1495" s="93"/>
    </row>
    <row r="1496" customFormat="false" ht="16.4" hidden="false" customHeight="false" outlineLevel="0" collapsed="false">
      <c r="A1496" s="123" t="n">
        <v>45444</v>
      </c>
      <c r="B1496" s="31" t="s">
        <v>153</v>
      </c>
      <c r="C1496" s="129"/>
      <c r="D1496" s="129"/>
      <c r="E1496" s="19" t="n">
        <f aca="false">F1496*0.03</f>
        <v>0</v>
      </c>
      <c r="F1496" s="33" t="n">
        <v>0</v>
      </c>
      <c r="G1496" s="131"/>
      <c r="H1496" s="35" t="n">
        <v>0</v>
      </c>
      <c r="I1496" s="34" t="n">
        <f aca="false">+IF(E1496=0,0,E1496*0.03)</f>
        <v>0</v>
      </c>
      <c r="J1496" s="93"/>
      <c r="K1496" s="93"/>
      <c r="L1496" s="93"/>
      <c r="M1496" s="93"/>
      <c r="N1496" s="93"/>
      <c r="O1496" s="93"/>
      <c r="P1496" s="93"/>
      <c r="Q1496" s="93"/>
      <c r="R1496" s="93"/>
      <c r="S1496" s="93"/>
      <c r="T1496" s="93"/>
      <c r="U1496" s="93"/>
      <c r="V1496" s="93"/>
      <c r="W1496" s="93"/>
      <c r="X1496" s="93"/>
      <c r="Y1496" s="93"/>
      <c r="Z1496" s="93"/>
    </row>
    <row r="1497" customFormat="false" ht="16.4" hidden="false" customHeight="false" outlineLevel="0" collapsed="false">
      <c r="A1497" s="123" t="n">
        <v>45444</v>
      </c>
      <c r="B1497" s="31" t="s">
        <v>153</v>
      </c>
      <c r="C1497" s="129"/>
      <c r="D1497" s="129"/>
      <c r="E1497" s="19" t="n">
        <f aca="false">F1497*0.03</f>
        <v>0</v>
      </c>
      <c r="F1497" s="33" t="n">
        <v>0</v>
      </c>
      <c r="G1497" s="131"/>
      <c r="H1497" s="35" t="n">
        <v>0</v>
      </c>
      <c r="I1497" s="34" t="n">
        <f aca="false">+IF(E1497=0,0,E1497*0.03)</f>
        <v>0</v>
      </c>
      <c r="J1497" s="93"/>
      <c r="K1497" s="93"/>
      <c r="L1497" s="93"/>
      <c r="M1497" s="93"/>
      <c r="N1497" s="93"/>
      <c r="O1497" s="93"/>
      <c r="P1497" s="93"/>
      <c r="Q1497" s="93"/>
      <c r="R1497" s="93"/>
      <c r="S1497" s="93"/>
      <c r="T1497" s="93"/>
      <c r="U1497" s="93"/>
      <c r="V1497" s="93"/>
      <c r="W1497" s="93"/>
      <c r="X1497" s="93"/>
      <c r="Y1497" s="93"/>
      <c r="Z1497" s="93"/>
    </row>
    <row r="1498" customFormat="false" ht="16.4" hidden="false" customHeight="false" outlineLevel="0" collapsed="false">
      <c r="A1498" s="123" t="n">
        <v>45444</v>
      </c>
      <c r="B1498" s="31" t="s">
        <v>153</v>
      </c>
      <c r="C1498" s="129"/>
      <c r="D1498" s="129"/>
      <c r="E1498" s="19" t="n">
        <f aca="false">F1498*0.03</f>
        <v>0</v>
      </c>
      <c r="F1498" s="33" t="n">
        <v>0</v>
      </c>
      <c r="G1498" s="131"/>
      <c r="H1498" s="35" t="n">
        <v>0</v>
      </c>
      <c r="I1498" s="34" t="n">
        <f aca="false">+IF(E1498=0,0,E1498*0.03)</f>
        <v>0</v>
      </c>
      <c r="J1498" s="93"/>
      <c r="K1498" s="93"/>
      <c r="L1498" s="93"/>
      <c r="M1498" s="93"/>
      <c r="N1498" s="93"/>
      <c r="O1498" s="93"/>
      <c r="P1498" s="93"/>
      <c r="Q1498" s="93"/>
      <c r="R1498" s="93"/>
      <c r="S1498" s="93"/>
      <c r="T1498" s="93"/>
      <c r="U1498" s="93"/>
      <c r="V1498" s="93"/>
      <c r="W1498" s="93"/>
      <c r="X1498" s="93"/>
      <c r="Y1498" s="93"/>
      <c r="Z1498" s="93"/>
    </row>
    <row r="1499" customFormat="false" ht="16.4" hidden="false" customHeight="false" outlineLevel="0" collapsed="false">
      <c r="A1499" s="123" t="n">
        <v>45444</v>
      </c>
      <c r="B1499" s="31" t="s">
        <v>153</v>
      </c>
      <c r="C1499" s="129"/>
      <c r="D1499" s="129"/>
      <c r="E1499" s="19" t="n">
        <f aca="false">F1499*0.03</f>
        <v>0</v>
      </c>
      <c r="F1499" s="33" t="n">
        <v>0</v>
      </c>
      <c r="G1499" s="131"/>
      <c r="H1499" s="35" t="n">
        <v>0</v>
      </c>
      <c r="I1499" s="34" t="n">
        <f aca="false">+IF(E1499=0,0,E1499*0.03)</f>
        <v>0</v>
      </c>
      <c r="J1499" s="93"/>
      <c r="K1499" s="93"/>
      <c r="L1499" s="93"/>
      <c r="M1499" s="93"/>
      <c r="N1499" s="93"/>
      <c r="O1499" s="93"/>
      <c r="P1499" s="93"/>
      <c r="Q1499" s="93"/>
      <c r="R1499" s="93"/>
      <c r="S1499" s="93"/>
      <c r="T1499" s="93"/>
      <c r="U1499" s="93"/>
      <c r="V1499" s="93"/>
      <c r="W1499" s="93"/>
      <c r="X1499" s="93"/>
      <c r="Y1499" s="93"/>
      <c r="Z1499" s="93"/>
    </row>
    <row r="1500" customFormat="false" ht="16.4" hidden="false" customHeight="false" outlineLevel="0" collapsed="false">
      <c r="A1500" s="123" t="n">
        <v>45444</v>
      </c>
      <c r="B1500" s="31" t="s">
        <v>153</v>
      </c>
      <c r="C1500" s="129"/>
      <c r="D1500" s="129"/>
      <c r="E1500" s="19" t="n">
        <f aca="false">F1500*0.03</f>
        <v>0</v>
      </c>
      <c r="F1500" s="33" t="n">
        <v>0</v>
      </c>
      <c r="G1500" s="131"/>
      <c r="H1500" s="35" t="n">
        <v>0</v>
      </c>
      <c r="I1500" s="34" t="n">
        <f aca="false">+IF(E1500=0,0,E1500*0.03)</f>
        <v>0</v>
      </c>
      <c r="J1500" s="93"/>
      <c r="K1500" s="93"/>
      <c r="L1500" s="93"/>
      <c r="M1500" s="93"/>
      <c r="N1500" s="93"/>
      <c r="O1500" s="93"/>
      <c r="P1500" s="93"/>
      <c r="Q1500" s="93"/>
      <c r="R1500" s="93"/>
      <c r="S1500" s="93"/>
      <c r="T1500" s="93"/>
      <c r="U1500" s="93"/>
      <c r="V1500" s="93"/>
      <c r="W1500" s="93"/>
      <c r="X1500" s="93"/>
      <c r="Y1500" s="93"/>
      <c r="Z1500" s="93"/>
    </row>
    <row r="1501" customFormat="false" ht="16.4" hidden="false" customHeight="false" outlineLevel="0" collapsed="false">
      <c r="A1501" s="123" t="n">
        <v>45444</v>
      </c>
      <c r="B1501" s="31" t="s">
        <v>153</v>
      </c>
      <c r="C1501" s="129"/>
      <c r="D1501" s="129"/>
      <c r="E1501" s="19" t="n">
        <f aca="false">F1501*0.03</f>
        <v>0</v>
      </c>
      <c r="F1501" s="33" t="n">
        <v>0</v>
      </c>
      <c r="G1501" s="131"/>
      <c r="H1501" s="35" t="n">
        <v>0</v>
      </c>
      <c r="I1501" s="34" t="n">
        <f aca="false">+IF(E1501=0,0,E1501*0.03)</f>
        <v>0</v>
      </c>
      <c r="J1501" s="93"/>
      <c r="K1501" s="93"/>
      <c r="L1501" s="93"/>
      <c r="M1501" s="93"/>
      <c r="N1501" s="93"/>
      <c r="O1501" s="93"/>
      <c r="P1501" s="93"/>
      <c r="Q1501" s="93"/>
      <c r="R1501" s="93"/>
      <c r="S1501" s="93"/>
      <c r="T1501" s="93"/>
      <c r="U1501" s="93"/>
      <c r="V1501" s="93"/>
      <c r="W1501" s="93"/>
      <c r="X1501" s="93"/>
      <c r="Y1501" s="93"/>
      <c r="Z1501" s="93"/>
    </row>
    <row r="1502" customFormat="false" ht="16.4" hidden="false" customHeight="false" outlineLevel="0" collapsed="false">
      <c r="A1502" s="123" t="n">
        <v>45444</v>
      </c>
      <c r="B1502" s="31" t="s">
        <v>153</v>
      </c>
      <c r="C1502" s="129"/>
      <c r="D1502" s="129"/>
      <c r="E1502" s="19" t="n">
        <f aca="false">F1502*0.03</f>
        <v>0</v>
      </c>
      <c r="F1502" s="33" t="n">
        <v>0</v>
      </c>
      <c r="G1502" s="131"/>
      <c r="H1502" s="35" t="n">
        <v>0</v>
      </c>
      <c r="I1502" s="34" t="n">
        <f aca="false">+IF(E1502=0,0,E1502*0.03)</f>
        <v>0</v>
      </c>
      <c r="J1502" s="93"/>
      <c r="K1502" s="93"/>
      <c r="L1502" s="93"/>
      <c r="M1502" s="93"/>
      <c r="N1502" s="93"/>
      <c r="O1502" s="93"/>
      <c r="P1502" s="93"/>
      <c r="Q1502" s="93"/>
      <c r="R1502" s="93"/>
      <c r="S1502" s="93"/>
      <c r="T1502" s="93"/>
      <c r="U1502" s="93"/>
      <c r="V1502" s="93"/>
      <c r="W1502" s="93"/>
      <c r="X1502" s="93"/>
      <c r="Y1502" s="93"/>
      <c r="Z1502" s="93"/>
    </row>
    <row r="1503" customFormat="false" ht="16.4" hidden="false" customHeight="false" outlineLevel="0" collapsed="false">
      <c r="A1503" s="123" t="n">
        <v>45444</v>
      </c>
      <c r="B1503" s="31" t="s">
        <v>153</v>
      </c>
      <c r="C1503" s="129"/>
      <c r="D1503" s="129"/>
      <c r="E1503" s="19" t="n">
        <f aca="false">F1503*0.03</f>
        <v>0</v>
      </c>
      <c r="F1503" s="33" t="n">
        <v>0</v>
      </c>
      <c r="G1503" s="131"/>
      <c r="H1503" s="35" t="n">
        <v>0</v>
      </c>
      <c r="I1503" s="34" t="n">
        <f aca="false">+IF(E1503=0,0,E1503*0.03)</f>
        <v>0</v>
      </c>
      <c r="J1503" s="93"/>
      <c r="K1503" s="93"/>
      <c r="L1503" s="93"/>
      <c r="M1503" s="93"/>
      <c r="N1503" s="93"/>
      <c r="O1503" s="93"/>
      <c r="P1503" s="93"/>
      <c r="Q1503" s="93"/>
      <c r="R1503" s="93"/>
      <c r="S1503" s="93"/>
      <c r="T1503" s="93"/>
      <c r="U1503" s="93"/>
      <c r="V1503" s="93"/>
      <c r="W1503" s="93"/>
      <c r="X1503" s="93"/>
      <c r="Y1503" s="93"/>
      <c r="Z1503" s="93"/>
    </row>
    <row r="1504" customFormat="false" ht="16.4" hidden="false" customHeight="false" outlineLevel="0" collapsed="false">
      <c r="A1504" s="123" t="n">
        <v>45444</v>
      </c>
      <c r="B1504" s="31" t="s">
        <v>153</v>
      </c>
      <c r="C1504" s="129"/>
      <c r="D1504" s="129"/>
      <c r="E1504" s="19" t="n">
        <f aca="false">F1504*0.03</f>
        <v>0</v>
      </c>
      <c r="F1504" s="33" t="n">
        <v>0</v>
      </c>
      <c r="G1504" s="131"/>
      <c r="H1504" s="35" t="n">
        <v>0</v>
      </c>
      <c r="I1504" s="34" t="n">
        <f aca="false">+IF(E1504=0,0,E1504*0.03)</f>
        <v>0</v>
      </c>
      <c r="J1504" s="93"/>
      <c r="K1504" s="93"/>
      <c r="L1504" s="93"/>
      <c r="M1504" s="93"/>
      <c r="N1504" s="93"/>
      <c r="O1504" s="93"/>
      <c r="P1504" s="93"/>
      <c r="Q1504" s="93"/>
      <c r="R1504" s="93"/>
      <c r="S1504" s="93"/>
      <c r="T1504" s="93"/>
      <c r="U1504" s="93"/>
      <c r="V1504" s="93"/>
      <c r="W1504" s="93"/>
      <c r="X1504" s="93"/>
      <c r="Y1504" s="93"/>
      <c r="Z1504" s="93"/>
    </row>
    <row r="1505" customFormat="false" ht="16.4" hidden="false" customHeight="false" outlineLevel="0" collapsed="false">
      <c r="A1505" s="123" t="n">
        <v>45444</v>
      </c>
      <c r="B1505" s="31" t="s">
        <v>153</v>
      </c>
      <c r="C1505" s="129"/>
      <c r="D1505" s="129"/>
      <c r="E1505" s="19" t="n">
        <f aca="false">F1505*0.03</f>
        <v>0</v>
      </c>
      <c r="F1505" s="33" t="n">
        <v>0</v>
      </c>
      <c r="G1505" s="131"/>
      <c r="H1505" s="35" t="n">
        <v>0</v>
      </c>
      <c r="I1505" s="34" t="n">
        <f aca="false">+IF(E1505=0,0,E1505*0.03)</f>
        <v>0</v>
      </c>
      <c r="J1505" s="93"/>
      <c r="K1505" s="93"/>
      <c r="L1505" s="93"/>
      <c r="M1505" s="93"/>
      <c r="N1505" s="93"/>
      <c r="O1505" s="93"/>
      <c r="P1505" s="93"/>
      <c r="Q1505" s="93"/>
      <c r="R1505" s="93"/>
      <c r="S1505" s="93"/>
      <c r="T1505" s="93"/>
      <c r="U1505" s="93"/>
      <c r="V1505" s="93"/>
      <c r="W1505" s="93"/>
      <c r="X1505" s="93"/>
      <c r="Y1505" s="93"/>
      <c r="Z1505" s="93"/>
    </row>
    <row r="1506" customFormat="false" ht="16.4" hidden="false" customHeight="false" outlineLevel="0" collapsed="false">
      <c r="A1506" s="123" t="n">
        <v>45444</v>
      </c>
      <c r="B1506" s="31" t="s">
        <v>153</v>
      </c>
      <c r="C1506" s="129"/>
      <c r="D1506" s="129"/>
      <c r="E1506" s="19" t="n">
        <f aca="false">F1506*0.03</f>
        <v>0</v>
      </c>
      <c r="F1506" s="33" t="n">
        <v>0</v>
      </c>
      <c r="G1506" s="131"/>
      <c r="H1506" s="35" t="n">
        <v>0</v>
      </c>
      <c r="I1506" s="34" t="n">
        <f aca="false">+IF(E1506=0,0,E1506*0.03)</f>
        <v>0</v>
      </c>
      <c r="J1506" s="93"/>
      <c r="K1506" s="93"/>
      <c r="L1506" s="93"/>
      <c r="M1506" s="93"/>
      <c r="N1506" s="93"/>
      <c r="O1506" s="93"/>
      <c r="P1506" s="93"/>
      <c r="Q1506" s="93"/>
      <c r="R1506" s="93"/>
      <c r="S1506" s="93"/>
      <c r="T1506" s="93"/>
      <c r="U1506" s="93"/>
      <c r="V1506" s="93"/>
      <c r="W1506" s="93"/>
      <c r="X1506" s="93"/>
      <c r="Y1506" s="93"/>
      <c r="Z1506" s="93"/>
    </row>
    <row r="1507" customFormat="false" ht="16.4" hidden="false" customHeight="false" outlineLevel="0" collapsed="false">
      <c r="A1507" s="123" t="n">
        <v>45444</v>
      </c>
      <c r="B1507" s="31" t="s">
        <v>153</v>
      </c>
      <c r="C1507" s="129"/>
      <c r="D1507" s="129"/>
      <c r="E1507" s="19" t="n">
        <f aca="false">F1507*0.03</f>
        <v>0</v>
      </c>
      <c r="F1507" s="33" t="n">
        <v>0</v>
      </c>
      <c r="G1507" s="131"/>
      <c r="H1507" s="35" t="n">
        <v>0</v>
      </c>
      <c r="I1507" s="34" t="n">
        <f aca="false">+IF(E1507=0,0,E1507*0.03)</f>
        <v>0</v>
      </c>
      <c r="J1507" s="93"/>
      <c r="K1507" s="93"/>
      <c r="L1507" s="93"/>
      <c r="M1507" s="93"/>
      <c r="N1507" s="93"/>
      <c r="O1507" s="93"/>
      <c r="P1507" s="93"/>
      <c r="Q1507" s="93"/>
      <c r="R1507" s="93"/>
      <c r="S1507" s="93"/>
      <c r="T1507" s="93"/>
      <c r="U1507" s="93"/>
      <c r="V1507" s="93"/>
      <c r="W1507" s="93"/>
      <c r="X1507" s="93"/>
      <c r="Y1507" s="93"/>
      <c r="Z1507" s="93"/>
    </row>
    <row r="1508" customFormat="false" ht="16.4" hidden="false" customHeight="false" outlineLevel="0" collapsed="false">
      <c r="A1508" s="123" t="n">
        <v>45444</v>
      </c>
      <c r="B1508" s="31" t="s">
        <v>153</v>
      </c>
      <c r="C1508" s="129"/>
      <c r="D1508" s="129"/>
      <c r="E1508" s="19" t="n">
        <f aca="false">F1508*0.03</f>
        <v>0</v>
      </c>
      <c r="F1508" s="33" t="n">
        <v>0</v>
      </c>
      <c r="G1508" s="131"/>
      <c r="H1508" s="35" t="n">
        <v>0</v>
      </c>
      <c r="I1508" s="34" t="n">
        <f aca="false">+IF(E1508=0,0,E1508*0.03)</f>
        <v>0</v>
      </c>
      <c r="J1508" s="93"/>
      <c r="K1508" s="93"/>
      <c r="L1508" s="93"/>
      <c r="M1508" s="93"/>
      <c r="N1508" s="93"/>
      <c r="O1508" s="93"/>
      <c r="P1508" s="93"/>
      <c r="Q1508" s="93"/>
      <c r="R1508" s="93"/>
      <c r="S1508" s="93"/>
      <c r="T1508" s="93"/>
      <c r="U1508" s="93"/>
      <c r="V1508" s="93"/>
      <c r="W1508" s="93"/>
      <c r="X1508" s="93"/>
      <c r="Y1508" s="93"/>
      <c r="Z1508" s="93"/>
    </row>
    <row r="1509" customFormat="false" ht="16.4" hidden="false" customHeight="false" outlineLevel="0" collapsed="false">
      <c r="A1509" s="123" t="n">
        <v>45444</v>
      </c>
      <c r="B1509" s="31" t="s">
        <v>153</v>
      </c>
      <c r="C1509" s="129"/>
      <c r="D1509" s="129"/>
      <c r="E1509" s="19" t="n">
        <f aca="false">F1509*0.03</f>
        <v>0</v>
      </c>
      <c r="F1509" s="33" t="n">
        <v>0</v>
      </c>
      <c r="G1509" s="131"/>
      <c r="H1509" s="35" t="n">
        <v>0</v>
      </c>
      <c r="I1509" s="34" t="n">
        <f aca="false">+IF(E1509=0,0,E1509*0.03)</f>
        <v>0</v>
      </c>
      <c r="J1509" s="93"/>
      <c r="K1509" s="93"/>
      <c r="L1509" s="93"/>
      <c r="M1509" s="93"/>
      <c r="N1509" s="93"/>
      <c r="O1509" s="93"/>
      <c r="P1509" s="93"/>
      <c r="Q1509" s="93"/>
      <c r="R1509" s="93"/>
      <c r="S1509" s="93"/>
      <c r="T1509" s="93"/>
      <c r="U1509" s="93"/>
      <c r="V1509" s="93"/>
      <c r="W1509" s="93"/>
      <c r="X1509" s="93"/>
      <c r="Y1509" s="93"/>
      <c r="Z1509" s="93"/>
    </row>
    <row r="1510" customFormat="false" ht="16.4" hidden="false" customHeight="false" outlineLevel="0" collapsed="false">
      <c r="A1510" s="123" t="n">
        <v>45444</v>
      </c>
      <c r="B1510" s="31" t="s">
        <v>153</v>
      </c>
      <c r="C1510" s="129"/>
      <c r="D1510" s="129"/>
      <c r="E1510" s="19" t="n">
        <f aca="false">F1510*0.03</f>
        <v>0</v>
      </c>
      <c r="F1510" s="33" t="n">
        <v>0</v>
      </c>
      <c r="G1510" s="131"/>
      <c r="H1510" s="35" t="n">
        <v>0</v>
      </c>
      <c r="I1510" s="34" t="n">
        <f aca="false">+IF(E1510=0,0,E1510*0.03)</f>
        <v>0</v>
      </c>
      <c r="J1510" s="93"/>
      <c r="K1510" s="93"/>
      <c r="L1510" s="93"/>
      <c r="M1510" s="93"/>
      <c r="N1510" s="93"/>
      <c r="O1510" s="93"/>
      <c r="P1510" s="93"/>
      <c r="Q1510" s="93"/>
      <c r="R1510" s="93"/>
      <c r="S1510" s="93"/>
      <c r="T1510" s="93"/>
      <c r="U1510" s="93"/>
      <c r="V1510" s="93"/>
      <c r="W1510" s="93"/>
      <c r="X1510" s="93"/>
      <c r="Y1510" s="93"/>
      <c r="Z1510" s="93"/>
    </row>
    <row r="1511" customFormat="false" ht="16.4" hidden="false" customHeight="false" outlineLevel="0" collapsed="false">
      <c r="A1511" s="123" t="n">
        <v>45444</v>
      </c>
      <c r="B1511" s="31" t="s">
        <v>153</v>
      </c>
      <c r="C1511" s="129"/>
      <c r="D1511" s="129"/>
      <c r="E1511" s="19" t="n">
        <f aca="false">F1511*0.03</f>
        <v>0</v>
      </c>
      <c r="F1511" s="33" t="n">
        <v>0</v>
      </c>
      <c r="G1511" s="131"/>
      <c r="H1511" s="35" t="n">
        <v>0</v>
      </c>
      <c r="I1511" s="34" t="n">
        <f aca="false">+IF(E1511=0,0,E1511*0.03)</f>
        <v>0</v>
      </c>
      <c r="J1511" s="93"/>
      <c r="K1511" s="93"/>
      <c r="L1511" s="93"/>
      <c r="M1511" s="93"/>
      <c r="N1511" s="93"/>
      <c r="O1511" s="93"/>
      <c r="P1511" s="93"/>
      <c r="Q1511" s="93"/>
      <c r="R1511" s="93"/>
      <c r="S1511" s="93"/>
      <c r="T1511" s="93"/>
      <c r="U1511" s="93"/>
      <c r="V1511" s="93"/>
      <c r="W1511" s="93"/>
      <c r="X1511" s="93"/>
      <c r="Y1511" s="93"/>
      <c r="Z1511" s="93"/>
    </row>
    <row r="1512" customFormat="false" ht="16.4" hidden="false" customHeight="false" outlineLevel="0" collapsed="false">
      <c r="A1512" s="123" t="n">
        <v>45444</v>
      </c>
      <c r="B1512" s="31" t="s">
        <v>153</v>
      </c>
      <c r="C1512" s="129"/>
      <c r="D1512" s="129"/>
      <c r="E1512" s="19" t="n">
        <f aca="false">F1512*0.03</f>
        <v>0</v>
      </c>
      <c r="F1512" s="33" t="n">
        <v>0</v>
      </c>
      <c r="G1512" s="131"/>
      <c r="H1512" s="35" t="n">
        <v>0</v>
      </c>
      <c r="I1512" s="34" t="n">
        <f aca="false">+IF(E1512=0,0,E1512*0.03)</f>
        <v>0</v>
      </c>
      <c r="J1512" s="93"/>
      <c r="K1512" s="93"/>
      <c r="L1512" s="93"/>
      <c r="M1512" s="93"/>
      <c r="N1512" s="93"/>
      <c r="O1512" s="93"/>
      <c r="P1512" s="93"/>
      <c r="Q1512" s="93"/>
      <c r="R1512" s="93"/>
      <c r="S1512" s="93"/>
      <c r="T1512" s="93"/>
      <c r="U1512" s="93"/>
      <c r="V1512" s="93"/>
      <c r="W1512" s="93"/>
      <c r="X1512" s="93"/>
      <c r="Y1512" s="93"/>
      <c r="Z1512" s="93"/>
    </row>
    <row r="1513" customFormat="false" ht="16.4" hidden="false" customHeight="false" outlineLevel="0" collapsed="false">
      <c r="A1513" s="123" t="n">
        <v>45444</v>
      </c>
      <c r="B1513" s="31" t="s">
        <v>153</v>
      </c>
      <c r="C1513" s="129"/>
      <c r="D1513" s="129"/>
      <c r="E1513" s="19" t="n">
        <f aca="false">F1513*0.03</f>
        <v>0</v>
      </c>
      <c r="F1513" s="33" t="n">
        <v>0</v>
      </c>
      <c r="G1513" s="131"/>
      <c r="H1513" s="35" t="n">
        <v>0</v>
      </c>
      <c r="I1513" s="34" t="n">
        <f aca="false">+IF(E1513=0,0,E1513*0.03)</f>
        <v>0</v>
      </c>
      <c r="J1513" s="93"/>
      <c r="K1513" s="93"/>
      <c r="L1513" s="93"/>
      <c r="M1513" s="93"/>
      <c r="N1513" s="93"/>
      <c r="O1513" s="93"/>
      <c r="P1513" s="93"/>
      <c r="Q1513" s="93"/>
      <c r="R1513" s="93"/>
      <c r="S1513" s="93"/>
      <c r="T1513" s="93"/>
      <c r="U1513" s="93"/>
      <c r="V1513" s="93"/>
      <c r="W1513" s="93"/>
      <c r="X1513" s="93"/>
      <c r="Y1513" s="93"/>
      <c r="Z1513" s="93"/>
    </row>
    <row r="1514" customFormat="false" ht="16.4" hidden="false" customHeight="false" outlineLevel="0" collapsed="false">
      <c r="A1514" s="123" t="n">
        <v>45444</v>
      </c>
      <c r="B1514" s="31" t="s">
        <v>153</v>
      </c>
      <c r="C1514" s="129"/>
      <c r="D1514" s="129"/>
      <c r="E1514" s="19" t="n">
        <f aca="false">F1514*0.03</f>
        <v>0</v>
      </c>
      <c r="F1514" s="33" t="n">
        <v>0</v>
      </c>
      <c r="G1514" s="131"/>
      <c r="H1514" s="35" t="n">
        <v>0</v>
      </c>
      <c r="I1514" s="34" t="n">
        <f aca="false">+IF(E1514=0,0,E1514*0.03)</f>
        <v>0</v>
      </c>
      <c r="J1514" s="93"/>
      <c r="K1514" s="93"/>
      <c r="L1514" s="93"/>
      <c r="M1514" s="93"/>
      <c r="N1514" s="93"/>
      <c r="O1514" s="93"/>
      <c r="P1514" s="93"/>
      <c r="Q1514" s="93"/>
      <c r="R1514" s="93"/>
      <c r="S1514" s="93"/>
      <c r="T1514" s="93"/>
      <c r="U1514" s="93"/>
      <c r="V1514" s="93"/>
      <c r="W1514" s="93"/>
      <c r="X1514" s="93"/>
      <c r="Y1514" s="93"/>
      <c r="Z1514" s="93"/>
    </row>
    <row r="1515" customFormat="false" ht="16.4" hidden="false" customHeight="false" outlineLevel="0" collapsed="false">
      <c r="A1515" s="123" t="n">
        <v>45444</v>
      </c>
      <c r="B1515" s="31" t="s">
        <v>153</v>
      </c>
      <c r="C1515" s="129"/>
      <c r="D1515" s="129"/>
      <c r="E1515" s="19" t="n">
        <f aca="false">F1515*0.03</f>
        <v>0</v>
      </c>
      <c r="F1515" s="33" t="n">
        <v>0</v>
      </c>
      <c r="G1515" s="131"/>
      <c r="H1515" s="35" t="n">
        <v>0</v>
      </c>
      <c r="I1515" s="34" t="n">
        <f aca="false">+IF(E1515=0,0,E1515*0.03)</f>
        <v>0</v>
      </c>
      <c r="J1515" s="93"/>
      <c r="K1515" s="93"/>
      <c r="L1515" s="93"/>
      <c r="M1515" s="93"/>
      <c r="N1515" s="93"/>
      <c r="O1515" s="93"/>
      <c r="P1515" s="93"/>
      <c r="Q1515" s="93"/>
      <c r="R1515" s="93"/>
      <c r="S1515" s="93"/>
      <c r="T1515" s="93"/>
      <c r="U1515" s="93"/>
      <c r="V1515" s="93"/>
      <c r="W1515" s="93"/>
      <c r="X1515" s="93"/>
      <c r="Y1515" s="93"/>
      <c r="Z1515" s="93"/>
    </row>
    <row r="1516" customFormat="false" ht="16.4" hidden="false" customHeight="false" outlineLevel="0" collapsed="false">
      <c r="A1516" s="123" t="n">
        <v>45444</v>
      </c>
      <c r="B1516" s="31" t="s">
        <v>153</v>
      </c>
      <c r="C1516" s="129"/>
      <c r="D1516" s="129"/>
      <c r="E1516" s="19" t="n">
        <f aca="false">F1516*0.03</f>
        <v>0</v>
      </c>
      <c r="F1516" s="33" t="n">
        <v>0</v>
      </c>
      <c r="G1516" s="131"/>
      <c r="H1516" s="35" t="n">
        <v>0</v>
      </c>
      <c r="I1516" s="34" t="n">
        <f aca="false">+IF(E1516=0,0,E1516*0.03)</f>
        <v>0</v>
      </c>
      <c r="J1516" s="93"/>
      <c r="K1516" s="93"/>
      <c r="L1516" s="93"/>
      <c r="M1516" s="93"/>
      <c r="N1516" s="93"/>
      <c r="O1516" s="93"/>
      <c r="P1516" s="93"/>
      <c r="Q1516" s="93"/>
      <c r="R1516" s="93"/>
      <c r="S1516" s="93"/>
      <c r="T1516" s="93"/>
      <c r="U1516" s="93"/>
      <c r="V1516" s="93"/>
      <c r="W1516" s="93"/>
      <c r="X1516" s="93"/>
      <c r="Y1516" s="93"/>
      <c r="Z1516" s="93"/>
    </row>
    <row r="1517" customFormat="false" ht="16.4" hidden="false" customHeight="false" outlineLevel="0" collapsed="false">
      <c r="A1517" s="123" t="n">
        <v>45444</v>
      </c>
      <c r="B1517" s="31" t="s">
        <v>153</v>
      </c>
      <c r="C1517" s="129"/>
      <c r="D1517" s="129"/>
      <c r="E1517" s="19" t="n">
        <f aca="false">F1517*0.03</f>
        <v>0</v>
      </c>
      <c r="F1517" s="33" t="n">
        <v>0</v>
      </c>
      <c r="G1517" s="131"/>
      <c r="H1517" s="35" t="n">
        <v>0</v>
      </c>
      <c r="I1517" s="34" t="n">
        <f aca="false">+IF(E1517=0,0,E1517*0.03)</f>
        <v>0</v>
      </c>
      <c r="J1517" s="93"/>
      <c r="K1517" s="93"/>
      <c r="L1517" s="93"/>
      <c r="M1517" s="93"/>
      <c r="N1517" s="93"/>
      <c r="O1517" s="93"/>
      <c r="P1517" s="93"/>
      <c r="Q1517" s="93"/>
      <c r="R1517" s="93"/>
      <c r="S1517" s="93"/>
      <c r="T1517" s="93"/>
      <c r="U1517" s="93"/>
      <c r="V1517" s="93"/>
      <c r="W1517" s="93"/>
      <c r="X1517" s="93"/>
      <c r="Y1517" s="93"/>
      <c r="Z1517" s="93"/>
    </row>
    <row r="1518" customFormat="false" ht="16.4" hidden="false" customHeight="false" outlineLevel="0" collapsed="false">
      <c r="A1518" s="123" t="n">
        <v>45444</v>
      </c>
      <c r="B1518" s="31" t="s">
        <v>153</v>
      </c>
      <c r="C1518" s="129"/>
      <c r="D1518" s="129"/>
      <c r="E1518" s="19" t="n">
        <f aca="false">F1518*0.03</f>
        <v>0</v>
      </c>
      <c r="F1518" s="33" t="n">
        <v>0</v>
      </c>
      <c r="G1518" s="131"/>
      <c r="H1518" s="35" t="n">
        <v>0</v>
      </c>
      <c r="I1518" s="34" t="n">
        <f aca="false">+IF(E1518=0,0,E1518*0.03)</f>
        <v>0</v>
      </c>
      <c r="J1518" s="93"/>
      <c r="K1518" s="93"/>
      <c r="L1518" s="93"/>
      <c r="M1518" s="93"/>
      <c r="N1518" s="93"/>
      <c r="O1518" s="93"/>
      <c r="P1518" s="93"/>
      <c r="Q1518" s="93"/>
      <c r="R1518" s="93"/>
      <c r="S1518" s="93"/>
      <c r="T1518" s="93"/>
      <c r="U1518" s="93"/>
      <c r="V1518" s="93"/>
      <c r="W1518" s="93"/>
      <c r="X1518" s="93"/>
      <c r="Y1518" s="93"/>
      <c r="Z1518" s="93"/>
    </row>
    <row r="1519" customFormat="false" ht="16.4" hidden="false" customHeight="false" outlineLevel="0" collapsed="false">
      <c r="A1519" s="123" t="n">
        <v>45444</v>
      </c>
      <c r="B1519" s="31" t="s">
        <v>153</v>
      </c>
      <c r="C1519" s="129"/>
      <c r="D1519" s="129"/>
      <c r="E1519" s="19" t="n">
        <f aca="false">F1519*0.03</f>
        <v>0</v>
      </c>
      <c r="F1519" s="33" t="n">
        <v>0</v>
      </c>
      <c r="G1519" s="131"/>
      <c r="H1519" s="35" t="n">
        <v>0</v>
      </c>
      <c r="I1519" s="34" t="n">
        <f aca="false">+IF(E1519=0,0,E1519*0.03)</f>
        <v>0</v>
      </c>
      <c r="J1519" s="93"/>
      <c r="K1519" s="93"/>
      <c r="L1519" s="93"/>
      <c r="M1519" s="93"/>
      <c r="N1519" s="93"/>
      <c r="O1519" s="93"/>
      <c r="P1519" s="93"/>
      <c r="Q1519" s="93"/>
      <c r="R1519" s="93"/>
      <c r="S1519" s="93"/>
      <c r="T1519" s="93"/>
      <c r="U1519" s="93"/>
      <c r="V1519" s="93"/>
      <c r="W1519" s="93"/>
      <c r="X1519" s="93"/>
      <c r="Y1519" s="93"/>
      <c r="Z1519" s="93"/>
    </row>
    <row r="1520" customFormat="false" ht="16.4" hidden="false" customHeight="false" outlineLevel="0" collapsed="false">
      <c r="A1520" s="123" t="n">
        <v>45444</v>
      </c>
      <c r="B1520" s="31" t="s">
        <v>153</v>
      </c>
      <c r="C1520" s="129"/>
      <c r="D1520" s="129"/>
      <c r="E1520" s="19" t="n">
        <f aca="false">F1520*0.03</f>
        <v>0</v>
      </c>
      <c r="F1520" s="33" t="n">
        <v>0</v>
      </c>
      <c r="G1520" s="131"/>
      <c r="H1520" s="35" t="n">
        <v>0</v>
      </c>
      <c r="I1520" s="34" t="n">
        <f aca="false">+IF(E1520=0,0,E1520*0.03)</f>
        <v>0</v>
      </c>
      <c r="J1520" s="93"/>
      <c r="K1520" s="93"/>
      <c r="L1520" s="93"/>
      <c r="M1520" s="93"/>
      <c r="N1520" s="93"/>
      <c r="O1520" s="93"/>
      <c r="P1520" s="93"/>
      <c r="Q1520" s="93"/>
      <c r="R1520" s="93"/>
      <c r="S1520" s="93"/>
      <c r="T1520" s="93"/>
      <c r="U1520" s="93"/>
      <c r="V1520" s="93"/>
      <c r="W1520" s="93"/>
      <c r="X1520" s="93"/>
      <c r="Y1520" s="93"/>
      <c r="Z1520" s="93"/>
    </row>
    <row r="1521" customFormat="false" ht="16.4" hidden="false" customHeight="false" outlineLevel="0" collapsed="false">
      <c r="A1521" s="123" t="n">
        <v>45444</v>
      </c>
      <c r="B1521" s="31" t="s">
        <v>153</v>
      </c>
      <c r="C1521" s="129"/>
      <c r="D1521" s="129"/>
      <c r="E1521" s="19" t="n">
        <f aca="false">F1521*0.03</f>
        <v>0</v>
      </c>
      <c r="F1521" s="33" t="n">
        <v>0</v>
      </c>
      <c r="G1521" s="131"/>
      <c r="H1521" s="35" t="n">
        <v>0</v>
      </c>
      <c r="I1521" s="34" t="n">
        <f aca="false">+IF(E1521=0,0,E1521*0.03)</f>
        <v>0</v>
      </c>
      <c r="J1521" s="93"/>
      <c r="K1521" s="93"/>
      <c r="L1521" s="93"/>
      <c r="M1521" s="93"/>
      <c r="N1521" s="93"/>
      <c r="O1521" s="93"/>
      <c r="P1521" s="93"/>
      <c r="Q1521" s="93"/>
      <c r="R1521" s="93"/>
      <c r="S1521" s="93"/>
      <c r="T1521" s="93"/>
      <c r="U1521" s="93"/>
      <c r="V1521" s="93"/>
      <c r="W1521" s="93"/>
      <c r="X1521" s="93"/>
      <c r="Y1521" s="93"/>
      <c r="Z1521" s="93"/>
    </row>
    <row r="1522" customFormat="false" ht="16.4" hidden="false" customHeight="false" outlineLevel="0" collapsed="false">
      <c r="A1522" s="123" t="n">
        <v>45444</v>
      </c>
      <c r="B1522" s="31" t="s">
        <v>153</v>
      </c>
      <c r="C1522" s="129"/>
      <c r="D1522" s="129"/>
      <c r="E1522" s="19" t="n">
        <f aca="false">F1522*0.03</f>
        <v>0</v>
      </c>
      <c r="F1522" s="33" t="n">
        <v>0</v>
      </c>
      <c r="G1522" s="131"/>
      <c r="H1522" s="35" t="n">
        <v>0</v>
      </c>
      <c r="I1522" s="34" t="n">
        <f aca="false">+IF(E1522=0,0,E1522*0.03)</f>
        <v>0</v>
      </c>
      <c r="J1522" s="93"/>
      <c r="K1522" s="93"/>
      <c r="L1522" s="93"/>
      <c r="M1522" s="93"/>
      <c r="N1522" s="93"/>
      <c r="O1522" s="93"/>
      <c r="P1522" s="93"/>
      <c r="Q1522" s="93"/>
      <c r="R1522" s="93"/>
      <c r="S1522" s="93"/>
      <c r="T1522" s="93"/>
      <c r="U1522" s="93"/>
      <c r="V1522" s="93"/>
      <c r="W1522" s="93"/>
      <c r="X1522" s="93"/>
      <c r="Y1522" s="93"/>
      <c r="Z1522" s="93"/>
    </row>
    <row r="1523" customFormat="false" ht="16.4" hidden="false" customHeight="false" outlineLevel="0" collapsed="false">
      <c r="A1523" s="123" t="n">
        <v>45444</v>
      </c>
      <c r="B1523" s="31" t="s">
        <v>153</v>
      </c>
      <c r="C1523" s="129"/>
      <c r="D1523" s="129"/>
      <c r="E1523" s="19" t="n">
        <f aca="false">F1523*0.03</f>
        <v>0</v>
      </c>
      <c r="F1523" s="33" t="n">
        <v>0</v>
      </c>
      <c r="G1523" s="131"/>
      <c r="H1523" s="35" t="n">
        <v>0</v>
      </c>
      <c r="I1523" s="34" t="n">
        <f aca="false">+IF(E1523=0,0,E1523*0.03)</f>
        <v>0</v>
      </c>
      <c r="J1523" s="93"/>
      <c r="K1523" s="93"/>
      <c r="L1523" s="93"/>
      <c r="M1523" s="93"/>
      <c r="N1523" s="93"/>
      <c r="O1523" s="93"/>
      <c r="P1523" s="93"/>
      <c r="Q1523" s="93"/>
      <c r="R1523" s="93"/>
      <c r="S1523" s="93"/>
      <c r="T1523" s="93"/>
      <c r="U1523" s="93"/>
      <c r="V1523" s="93"/>
      <c r="W1523" s="93"/>
      <c r="X1523" s="93"/>
      <c r="Y1523" s="93"/>
      <c r="Z1523" s="93"/>
    </row>
    <row r="1524" customFormat="false" ht="16.4" hidden="false" customHeight="false" outlineLevel="0" collapsed="false">
      <c r="A1524" s="123" t="n">
        <v>45444</v>
      </c>
      <c r="B1524" s="31" t="s">
        <v>153</v>
      </c>
      <c r="C1524" s="129"/>
      <c r="D1524" s="129"/>
      <c r="E1524" s="19" t="n">
        <f aca="false">F1524*0.03</f>
        <v>0</v>
      </c>
      <c r="F1524" s="33" t="n">
        <v>0</v>
      </c>
      <c r="G1524" s="131"/>
      <c r="H1524" s="35" t="n">
        <v>0</v>
      </c>
      <c r="I1524" s="34" t="n">
        <f aca="false">+IF(E1524=0,0,E1524*0.03)</f>
        <v>0</v>
      </c>
      <c r="J1524" s="93"/>
      <c r="K1524" s="93"/>
      <c r="L1524" s="93"/>
      <c r="M1524" s="93"/>
      <c r="N1524" s="93"/>
      <c r="O1524" s="93"/>
      <c r="P1524" s="93"/>
      <c r="Q1524" s="93"/>
      <c r="R1524" s="93"/>
      <c r="S1524" s="93"/>
      <c r="T1524" s="93"/>
      <c r="U1524" s="93"/>
      <c r="V1524" s="93"/>
      <c r="W1524" s="93"/>
      <c r="X1524" s="93"/>
      <c r="Y1524" s="93"/>
      <c r="Z1524" s="93"/>
    </row>
    <row r="1525" customFormat="false" ht="16.4" hidden="false" customHeight="false" outlineLevel="0" collapsed="false">
      <c r="A1525" s="123" t="n">
        <v>45444</v>
      </c>
      <c r="B1525" s="31" t="s">
        <v>153</v>
      </c>
      <c r="C1525" s="129"/>
      <c r="D1525" s="129"/>
      <c r="E1525" s="19" t="n">
        <f aca="false">F1525*0.03</f>
        <v>0</v>
      </c>
      <c r="F1525" s="33" t="n">
        <v>0</v>
      </c>
      <c r="G1525" s="131"/>
      <c r="H1525" s="35" t="n">
        <v>0</v>
      </c>
      <c r="I1525" s="34" t="n">
        <f aca="false">+IF(E1525=0,0,E1525*0.03)</f>
        <v>0</v>
      </c>
      <c r="J1525" s="93"/>
      <c r="K1525" s="93"/>
      <c r="L1525" s="93"/>
      <c r="M1525" s="93"/>
      <c r="N1525" s="93"/>
      <c r="O1525" s="93"/>
      <c r="P1525" s="93"/>
      <c r="Q1525" s="93"/>
      <c r="R1525" s="93"/>
      <c r="S1525" s="93"/>
      <c r="T1525" s="93"/>
      <c r="U1525" s="93"/>
      <c r="V1525" s="93"/>
      <c r="W1525" s="93"/>
      <c r="X1525" s="93"/>
      <c r="Y1525" s="93"/>
      <c r="Z1525" s="93"/>
    </row>
    <row r="1526" customFormat="false" ht="16.4" hidden="false" customHeight="false" outlineLevel="0" collapsed="false">
      <c r="A1526" s="123" t="n">
        <v>45444</v>
      </c>
      <c r="B1526" s="31" t="s">
        <v>153</v>
      </c>
      <c r="C1526" s="129"/>
      <c r="D1526" s="129"/>
      <c r="E1526" s="19" t="n">
        <f aca="false">F1526*0.03</f>
        <v>0</v>
      </c>
      <c r="F1526" s="33" t="n">
        <v>0</v>
      </c>
      <c r="G1526" s="131"/>
      <c r="H1526" s="35" t="n">
        <v>0</v>
      </c>
      <c r="I1526" s="34" t="n">
        <f aca="false">+IF(E1526=0,0,E1526*0.03)</f>
        <v>0</v>
      </c>
      <c r="J1526" s="93"/>
      <c r="K1526" s="93"/>
      <c r="L1526" s="93"/>
      <c r="M1526" s="93"/>
      <c r="N1526" s="93"/>
      <c r="O1526" s="93"/>
      <c r="P1526" s="93"/>
      <c r="Q1526" s="93"/>
      <c r="R1526" s="93"/>
      <c r="S1526" s="93"/>
      <c r="T1526" s="93"/>
      <c r="U1526" s="93"/>
      <c r="V1526" s="93"/>
      <c r="W1526" s="93"/>
      <c r="X1526" s="93"/>
      <c r="Y1526" s="93"/>
      <c r="Z1526" s="93"/>
    </row>
    <row r="1527" customFormat="false" ht="16.4" hidden="false" customHeight="false" outlineLevel="0" collapsed="false">
      <c r="A1527" s="123" t="n">
        <v>45444</v>
      </c>
      <c r="B1527" s="31" t="s">
        <v>153</v>
      </c>
      <c r="C1527" s="129"/>
      <c r="D1527" s="129"/>
      <c r="E1527" s="19" t="n">
        <f aca="false">F1527*0.03</f>
        <v>0</v>
      </c>
      <c r="F1527" s="33" t="n">
        <v>0</v>
      </c>
      <c r="G1527" s="131"/>
      <c r="H1527" s="35" t="n">
        <v>0</v>
      </c>
      <c r="I1527" s="34" t="n">
        <f aca="false">+IF(E1527=0,0,E1527*0.03)</f>
        <v>0</v>
      </c>
      <c r="J1527" s="93"/>
      <c r="K1527" s="93"/>
      <c r="L1527" s="93"/>
      <c r="M1527" s="93"/>
      <c r="N1527" s="93"/>
      <c r="O1527" s="93"/>
      <c r="P1527" s="93"/>
      <c r="Q1527" s="93"/>
      <c r="R1527" s="93"/>
      <c r="S1527" s="93"/>
      <c r="T1527" s="93"/>
      <c r="U1527" s="93"/>
      <c r="V1527" s="93"/>
      <c r="W1527" s="93"/>
      <c r="X1527" s="93"/>
      <c r="Y1527" s="93"/>
      <c r="Z1527" s="93"/>
    </row>
    <row r="1528" customFormat="false" ht="16.4" hidden="false" customHeight="false" outlineLevel="0" collapsed="false">
      <c r="A1528" s="123" t="n">
        <v>45444</v>
      </c>
      <c r="B1528" s="31" t="s">
        <v>153</v>
      </c>
      <c r="C1528" s="129"/>
      <c r="D1528" s="129"/>
      <c r="E1528" s="19" t="n">
        <f aca="false">F1528*0.03</f>
        <v>0</v>
      </c>
      <c r="F1528" s="33" t="n">
        <v>0</v>
      </c>
      <c r="G1528" s="131"/>
      <c r="H1528" s="35" t="n">
        <v>0</v>
      </c>
      <c r="I1528" s="34" t="n">
        <f aca="false">+IF(E1528=0,0,E1528*0.03)</f>
        <v>0</v>
      </c>
      <c r="J1528" s="93"/>
      <c r="K1528" s="93"/>
      <c r="L1528" s="93"/>
      <c r="M1528" s="93"/>
      <c r="N1528" s="93"/>
      <c r="O1528" s="93"/>
      <c r="P1528" s="93"/>
      <c r="Q1528" s="93"/>
      <c r="R1528" s="93"/>
      <c r="S1528" s="93"/>
      <c r="T1528" s="93"/>
      <c r="U1528" s="93"/>
      <c r="V1528" s="93"/>
      <c r="W1528" s="93"/>
      <c r="X1528" s="93"/>
      <c r="Y1528" s="93"/>
      <c r="Z1528" s="93"/>
    </row>
    <row r="1529" customFormat="false" ht="16.4" hidden="false" customHeight="false" outlineLevel="0" collapsed="false">
      <c r="A1529" s="123" t="n">
        <v>45444</v>
      </c>
      <c r="B1529" s="31" t="s">
        <v>153</v>
      </c>
      <c r="C1529" s="129"/>
      <c r="D1529" s="129"/>
      <c r="E1529" s="19" t="n">
        <f aca="false">F1529*0.03</f>
        <v>0</v>
      </c>
      <c r="F1529" s="33" t="n">
        <v>0</v>
      </c>
      <c r="G1529" s="131"/>
      <c r="H1529" s="35" t="n">
        <v>0</v>
      </c>
      <c r="I1529" s="34" t="n">
        <f aca="false">+IF(E1529=0,0,E1529*0.03)</f>
        <v>0</v>
      </c>
      <c r="J1529" s="93"/>
      <c r="K1529" s="93"/>
      <c r="L1529" s="93"/>
      <c r="M1529" s="93"/>
      <c r="N1529" s="93"/>
      <c r="O1529" s="93"/>
      <c r="P1529" s="93"/>
      <c r="Q1529" s="93"/>
      <c r="R1529" s="93"/>
      <c r="S1529" s="93"/>
      <c r="T1529" s="93"/>
      <c r="U1529" s="93"/>
      <c r="V1529" s="93"/>
      <c r="W1529" s="93"/>
      <c r="X1529" s="93"/>
      <c r="Y1529" s="93"/>
      <c r="Z1529" s="93"/>
    </row>
    <row r="1530" customFormat="false" ht="16.4" hidden="false" customHeight="false" outlineLevel="0" collapsed="false">
      <c r="A1530" s="123" t="n">
        <v>45444</v>
      </c>
      <c r="B1530" s="31" t="s">
        <v>153</v>
      </c>
      <c r="C1530" s="129"/>
      <c r="D1530" s="129"/>
      <c r="E1530" s="19" t="n">
        <f aca="false">F1530*0.03</f>
        <v>0</v>
      </c>
      <c r="F1530" s="33" t="n">
        <v>0</v>
      </c>
      <c r="G1530" s="131"/>
      <c r="H1530" s="35" t="n">
        <v>0</v>
      </c>
      <c r="I1530" s="34" t="n">
        <f aca="false">+IF(E1530=0,0,E1530*0.03)</f>
        <v>0</v>
      </c>
      <c r="J1530" s="93"/>
      <c r="K1530" s="93"/>
      <c r="L1530" s="93"/>
      <c r="M1530" s="93"/>
      <c r="N1530" s="93"/>
      <c r="O1530" s="93"/>
      <c r="P1530" s="93"/>
      <c r="Q1530" s="93"/>
      <c r="R1530" s="93"/>
      <c r="S1530" s="93"/>
      <c r="T1530" s="93"/>
      <c r="U1530" s="93"/>
      <c r="V1530" s="93"/>
      <c r="W1530" s="93"/>
      <c r="X1530" s="93"/>
      <c r="Y1530" s="93"/>
      <c r="Z1530" s="93"/>
    </row>
    <row r="1531" customFormat="false" ht="16.4" hidden="false" customHeight="false" outlineLevel="0" collapsed="false">
      <c r="A1531" s="123" t="n">
        <v>45444</v>
      </c>
      <c r="B1531" s="31" t="s">
        <v>153</v>
      </c>
      <c r="C1531" s="129"/>
      <c r="D1531" s="129"/>
      <c r="E1531" s="19" t="n">
        <f aca="false">F1531*0.03</f>
        <v>0</v>
      </c>
      <c r="F1531" s="33" t="n">
        <v>0</v>
      </c>
      <c r="G1531" s="131"/>
      <c r="H1531" s="35" t="n">
        <v>0</v>
      </c>
      <c r="I1531" s="34" t="n">
        <f aca="false">+IF(E1531=0,0,E1531*0.03)</f>
        <v>0</v>
      </c>
      <c r="J1531" s="93"/>
      <c r="K1531" s="93"/>
      <c r="L1531" s="93"/>
      <c r="M1531" s="93"/>
      <c r="N1531" s="93"/>
      <c r="O1531" s="93"/>
      <c r="P1531" s="93"/>
      <c r="Q1531" s="93"/>
      <c r="R1531" s="93"/>
      <c r="S1531" s="93"/>
      <c r="T1531" s="93"/>
      <c r="U1531" s="93"/>
      <c r="V1531" s="93"/>
      <c r="W1531" s="93"/>
      <c r="X1531" s="93"/>
      <c r="Y1531" s="93"/>
      <c r="Z1531" s="93"/>
    </row>
    <row r="1532" customFormat="false" ht="16.4" hidden="false" customHeight="false" outlineLevel="0" collapsed="false">
      <c r="A1532" s="123" t="n">
        <v>45444</v>
      </c>
      <c r="B1532" s="31" t="s">
        <v>153</v>
      </c>
      <c r="C1532" s="129"/>
      <c r="D1532" s="129"/>
      <c r="E1532" s="19" t="n">
        <f aca="false">F1532*0.03</f>
        <v>0</v>
      </c>
      <c r="F1532" s="33" t="n">
        <v>0</v>
      </c>
      <c r="G1532" s="131"/>
      <c r="H1532" s="35" t="n">
        <v>0</v>
      </c>
      <c r="I1532" s="34" t="n">
        <f aca="false">+IF(E1532=0,0,E1532*0.03)</f>
        <v>0</v>
      </c>
      <c r="J1532" s="93"/>
      <c r="K1532" s="93"/>
      <c r="L1532" s="93"/>
      <c r="M1532" s="93"/>
      <c r="N1532" s="93"/>
      <c r="O1532" s="93"/>
      <c r="P1532" s="93"/>
      <c r="Q1532" s="93"/>
      <c r="R1532" s="93"/>
      <c r="S1532" s="93"/>
      <c r="T1532" s="93"/>
      <c r="U1532" s="93"/>
      <c r="V1532" s="93"/>
      <c r="W1532" s="93"/>
      <c r="X1532" s="93"/>
      <c r="Y1532" s="93"/>
      <c r="Z1532" s="93"/>
    </row>
    <row r="1533" customFormat="false" ht="16.4" hidden="false" customHeight="false" outlineLevel="0" collapsed="false">
      <c r="A1533" s="123" t="n">
        <v>45444</v>
      </c>
      <c r="B1533" s="31" t="s">
        <v>153</v>
      </c>
      <c r="C1533" s="129"/>
      <c r="D1533" s="129"/>
      <c r="E1533" s="19" t="n">
        <f aca="false">F1533*0.03</f>
        <v>0</v>
      </c>
      <c r="F1533" s="33" t="n">
        <v>0</v>
      </c>
      <c r="G1533" s="131"/>
      <c r="H1533" s="35" t="n">
        <v>0</v>
      </c>
      <c r="I1533" s="34" t="n">
        <f aca="false">+IF(E1533=0,0,E1533*0.03)</f>
        <v>0</v>
      </c>
      <c r="J1533" s="93"/>
      <c r="K1533" s="93"/>
      <c r="L1533" s="93"/>
      <c r="M1533" s="93"/>
      <c r="N1533" s="93"/>
      <c r="O1533" s="93"/>
      <c r="P1533" s="93"/>
      <c r="Q1533" s="93"/>
      <c r="R1533" s="93"/>
      <c r="S1533" s="93"/>
      <c r="T1533" s="93"/>
      <c r="U1533" s="93"/>
      <c r="V1533" s="93"/>
      <c r="W1533" s="93"/>
      <c r="X1533" s="93"/>
      <c r="Y1533" s="93"/>
      <c r="Z1533" s="93"/>
    </row>
    <row r="1534" customFormat="false" ht="16.4" hidden="false" customHeight="false" outlineLevel="0" collapsed="false">
      <c r="A1534" s="123" t="n">
        <v>45444</v>
      </c>
      <c r="B1534" s="31" t="s">
        <v>153</v>
      </c>
      <c r="C1534" s="129"/>
      <c r="D1534" s="129"/>
      <c r="E1534" s="19" t="n">
        <f aca="false">F1534*0.03</f>
        <v>0</v>
      </c>
      <c r="F1534" s="33" t="n">
        <v>0</v>
      </c>
      <c r="G1534" s="131"/>
      <c r="H1534" s="35" t="n">
        <v>0</v>
      </c>
      <c r="I1534" s="34" t="n">
        <f aca="false">+IF(E1534=0,0,E1534*0.03)</f>
        <v>0</v>
      </c>
      <c r="J1534" s="93"/>
      <c r="K1534" s="93"/>
      <c r="L1534" s="93"/>
      <c r="M1534" s="93"/>
      <c r="N1534" s="93"/>
      <c r="O1534" s="93"/>
      <c r="P1534" s="93"/>
      <c r="Q1534" s="93"/>
      <c r="R1534" s="93"/>
      <c r="S1534" s="93"/>
      <c r="T1534" s="93"/>
      <c r="U1534" s="93"/>
      <c r="V1534" s="93"/>
      <c r="W1534" s="93"/>
      <c r="X1534" s="93"/>
      <c r="Y1534" s="93"/>
      <c r="Z1534" s="93"/>
    </row>
    <row r="1535" customFormat="false" ht="16.4" hidden="false" customHeight="false" outlineLevel="0" collapsed="false">
      <c r="A1535" s="123" t="n">
        <v>45444</v>
      </c>
      <c r="B1535" s="31" t="s">
        <v>153</v>
      </c>
      <c r="C1535" s="129"/>
      <c r="D1535" s="129"/>
      <c r="E1535" s="19" t="n">
        <f aca="false">F1535*0.03</f>
        <v>0</v>
      </c>
      <c r="F1535" s="33" t="n">
        <v>0</v>
      </c>
      <c r="G1535" s="131"/>
      <c r="H1535" s="35" t="n">
        <v>0</v>
      </c>
      <c r="I1535" s="34" t="n">
        <f aca="false">+IF(E1535=0,0,E1535*0.03)</f>
        <v>0</v>
      </c>
      <c r="J1535" s="93"/>
      <c r="K1535" s="93"/>
      <c r="L1535" s="93"/>
      <c r="M1535" s="93"/>
      <c r="N1535" s="93"/>
      <c r="O1535" s="93"/>
      <c r="P1535" s="93"/>
      <c r="Q1535" s="93"/>
      <c r="R1535" s="93"/>
      <c r="S1535" s="93"/>
      <c r="T1535" s="93"/>
      <c r="U1535" s="93"/>
      <c r="V1535" s="93"/>
      <c r="W1535" s="93"/>
      <c r="X1535" s="93"/>
      <c r="Y1535" s="93"/>
      <c r="Z1535" s="93"/>
    </row>
    <row r="1536" customFormat="false" ht="16.4" hidden="false" customHeight="false" outlineLevel="0" collapsed="false">
      <c r="A1536" s="123" t="n">
        <v>45444</v>
      </c>
      <c r="B1536" s="31" t="s">
        <v>153</v>
      </c>
      <c r="C1536" s="129"/>
      <c r="D1536" s="129"/>
      <c r="E1536" s="19" t="n">
        <f aca="false">F1536*0.03</f>
        <v>0</v>
      </c>
      <c r="F1536" s="33" t="n">
        <v>0</v>
      </c>
      <c r="G1536" s="131"/>
      <c r="H1536" s="35" t="n">
        <v>0</v>
      </c>
      <c r="I1536" s="34" t="n">
        <f aca="false">+IF(E1536=0,0,E1536*0.03)</f>
        <v>0</v>
      </c>
      <c r="J1536" s="93"/>
      <c r="K1536" s="93"/>
      <c r="L1536" s="93"/>
      <c r="M1536" s="93"/>
      <c r="N1536" s="93"/>
      <c r="O1536" s="93"/>
      <c r="P1536" s="93"/>
      <c r="Q1536" s="93"/>
      <c r="R1536" s="93"/>
      <c r="S1536" s="93"/>
      <c r="T1536" s="93"/>
      <c r="U1536" s="93"/>
      <c r="V1536" s="93"/>
      <c r="W1536" s="93"/>
      <c r="X1536" s="93"/>
      <c r="Y1536" s="93"/>
      <c r="Z1536" s="93"/>
    </row>
    <row r="1537" customFormat="false" ht="16.4" hidden="false" customHeight="false" outlineLevel="0" collapsed="false">
      <c r="A1537" s="123" t="n">
        <v>45444</v>
      </c>
      <c r="B1537" s="31" t="s">
        <v>153</v>
      </c>
      <c r="C1537" s="129"/>
      <c r="D1537" s="129"/>
      <c r="E1537" s="19" t="n">
        <f aca="false">F1537*0.03</f>
        <v>0</v>
      </c>
      <c r="F1537" s="33" t="n">
        <v>0</v>
      </c>
      <c r="G1537" s="131"/>
      <c r="H1537" s="35" t="n">
        <v>0</v>
      </c>
      <c r="I1537" s="34" t="n">
        <f aca="false">+IF(E1537=0,0,E1537*0.03)</f>
        <v>0</v>
      </c>
      <c r="J1537" s="93"/>
      <c r="K1537" s="93"/>
      <c r="L1537" s="93"/>
      <c r="M1537" s="93"/>
      <c r="N1537" s="93"/>
      <c r="O1537" s="93"/>
      <c r="P1537" s="93"/>
      <c r="Q1537" s="93"/>
      <c r="R1537" s="93"/>
      <c r="S1537" s="93"/>
      <c r="T1537" s="93"/>
      <c r="U1537" s="93"/>
      <c r="V1537" s="93"/>
      <c r="W1537" s="93"/>
      <c r="X1537" s="93"/>
      <c r="Y1537" s="93"/>
      <c r="Z1537" s="93"/>
    </row>
    <row r="1538" customFormat="false" ht="16.4" hidden="false" customHeight="false" outlineLevel="0" collapsed="false">
      <c r="A1538" s="123" t="n">
        <v>45444</v>
      </c>
      <c r="B1538" s="31" t="s">
        <v>153</v>
      </c>
      <c r="C1538" s="129"/>
      <c r="D1538" s="129"/>
      <c r="E1538" s="19" t="n">
        <f aca="false">F1538*0.03</f>
        <v>0</v>
      </c>
      <c r="F1538" s="33" t="n">
        <v>0</v>
      </c>
      <c r="G1538" s="131"/>
      <c r="H1538" s="35" t="n">
        <v>0</v>
      </c>
      <c r="I1538" s="34" t="n">
        <f aca="false">+IF(E1538=0,0,E1538*0.03)</f>
        <v>0</v>
      </c>
      <c r="J1538" s="93"/>
      <c r="K1538" s="93"/>
      <c r="L1538" s="93"/>
      <c r="M1538" s="93"/>
      <c r="N1538" s="93"/>
      <c r="O1538" s="93"/>
      <c r="P1538" s="93"/>
      <c r="Q1538" s="93"/>
      <c r="R1538" s="93"/>
      <c r="S1538" s="93"/>
      <c r="T1538" s="93"/>
      <c r="U1538" s="93"/>
      <c r="V1538" s="93"/>
      <c r="W1538" s="93"/>
      <c r="X1538" s="93"/>
      <c r="Y1538" s="93"/>
      <c r="Z1538" s="93"/>
    </row>
    <row r="1539" customFormat="false" ht="16.4" hidden="false" customHeight="false" outlineLevel="0" collapsed="false">
      <c r="A1539" s="123" t="n">
        <v>45444</v>
      </c>
      <c r="B1539" s="31" t="s">
        <v>153</v>
      </c>
      <c r="C1539" s="129"/>
      <c r="D1539" s="129"/>
      <c r="E1539" s="19" t="n">
        <f aca="false">F1539*0.03</f>
        <v>0</v>
      </c>
      <c r="F1539" s="33" t="n">
        <v>0</v>
      </c>
      <c r="G1539" s="131"/>
      <c r="H1539" s="35" t="n">
        <v>0</v>
      </c>
      <c r="I1539" s="34" t="n">
        <f aca="false">+IF(E1539=0,0,E1539*0.03)</f>
        <v>0</v>
      </c>
      <c r="J1539" s="93"/>
      <c r="K1539" s="93"/>
      <c r="L1539" s="93"/>
      <c r="M1539" s="93"/>
      <c r="N1539" s="93"/>
      <c r="O1539" s="93"/>
      <c r="P1539" s="93"/>
      <c r="Q1539" s="93"/>
      <c r="R1539" s="93"/>
      <c r="S1539" s="93"/>
      <c r="T1539" s="93"/>
      <c r="U1539" s="93"/>
      <c r="V1539" s="93"/>
      <c r="W1539" s="93"/>
      <c r="X1539" s="93"/>
      <c r="Y1539" s="93"/>
      <c r="Z1539" s="93"/>
    </row>
    <row r="1540" customFormat="false" ht="16.4" hidden="false" customHeight="false" outlineLevel="0" collapsed="false">
      <c r="A1540" s="123" t="n">
        <v>45444</v>
      </c>
      <c r="B1540" s="31" t="s">
        <v>153</v>
      </c>
      <c r="C1540" s="129"/>
      <c r="D1540" s="129"/>
      <c r="E1540" s="19" t="n">
        <f aca="false">F1540*0.03</f>
        <v>0</v>
      </c>
      <c r="F1540" s="33" t="n">
        <v>0</v>
      </c>
      <c r="G1540" s="131"/>
      <c r="H1540" s="35" t="n">
        <v>0</v>
      </c>
      <c r="I1540" s="34" t="n">
        <f aca="false">+IF(E1540=0,0,E1540*0.03)</f>
        <v>0</v>
      </c>
      <c r="J1540" s="93"/>
      <c r="K1540" s="93"/>
      <c r="L1540" s="93"/>
      <c r="M1540" s="93"/>
      <c r="N1540" s="93"/>
      <c r="O1540" s="93"/>
      <c r="P1540" s="93"/>
      <c r="Q1540" s="93"/>
      <c r="R1540" s="93"/>
      <c r="S1540" s="93"/>
      <c r="T1540" s="93"/>
      <c r="U1540" s="93"/>
      <c r="V1540" s="93"/>
      <c r="W1540" s="93"/>
      <c r="X1540" s="93"/>
      <c r="Y1540" s="93"/>
      <c r="Z1540" s="93"/>
    </row>
    <row r="1541" customFormat="false" ht="16.4" hidden="false" customHeight="false" outlineLevel="0" collapsed="false">
      <c r="A1541" s="123" t="n">
        <v>45444</v>
      </c>
      <c r="B1541" s="31" t="s">
        <v>153</v>
      </c>
      <c r="C1541" s="129"/>
      <c r="D1541" s="129"/>
      <c r="E1541" s="19" t="n">
        <f aca="false">F1541*0.03</f>
        <v>0</v>
      </c>
      <c r="F1541" s="33" t="n">
        <v>0</v>
      </c>
      <c r="G1541" s="131"/>
      <c r="H1541" s="35" t="n">
        <v>0</v>
      </c>
      <c r="I1541" s="34" t="n">
        <f aca="false">+IF(E1541=0,0,E1541*0.03)</f>
        <v>0</v>
      </c>
      <c r="J1541" s="93"/>
      <c r="K1541" s="93"/>
      <c r="L1541" s="93"/>
      <c r="M1541" s="93"/>
      <c r="N1541" s="93"/>
      <c r="O1541" s="93"/>
      <c r="P1541" s="93"/>
      <c r="Q1541" s="93"/>
      <c r="R1541" s="93"/>
      <c r="S1541" s="93"/>
      <c r="T1541" s="93"/>
      <c r="U1541" s="93"/>
      <c r="V1541" s="93"/>
      <c r="W1541" s="93"/>
      <c r="X1541" s="93"/>
      <c r="Y1541" s="93"/>
      <c r="Z1541" s="93"/>
    </row>
    <row r="1542" customFormat="false" ht="16.4" hidden="false" customHeight="false" outlineLevel="0" collapsed="false">
      <c r="A1542" s="123" t="n">
        <v>45444</v>
      </c>
      <c r="B1542" s="31" t="s">
        <v>153</v>
      </c>
      <c r="C1542" s="129"/>
      <c r="D1542" s="129"/>
      <c r="E1542" s="19" t="n">
        <f aca="false">F1542*0.03</f>
        <v>0</v>
      </c>
      <c r="F1542" s="33" t="n">
        <v>0</v>
      </c>
      <c r="G1542" s="131"/>
      <c r="H1542" s="35" t="n">
        <v>0</v>
      </c>
      <c r="I1542" s="34" t="n">
        <f aca="false">+IF(E1542=0,0,E1542*0.03)</f>
        <v>0</v>
      </c>
      <c r="J1542" s="93"/>
      <c r="K1542" s="93"/>
      <c r="L1542" s="93"/>
      <c r="M1542" s="93"/>
      <c r="N1542" s="93"/>
      <c r="O1542" s="93"/>
      <c r="P1542" s="93"/>
      <c r="Q1542" s="93"/>
      <c r="R1542" s="93"/>
      <c r="S1542" s="93"/>
      <c r="T1542" s="93"/>
      <c r="U1542" s="93"/>
      <c r="V1542" s="93"/>
      <c r="W1542" s="93"/>
      <c r="X1542" s="93"/>
      <c r="Y1542" s="93"/>
      <c r="Z1542" s="93"/>
    </row>
    <row r="1543" customFormat="false" ht="16.4" hidden="false" customHeight="false" outlineLevel="0" collapsed="false">
      <c r="A1543" s="123" t="n">
        <v>45444</v>
      </c>
      <c r="B1543" s="31" t="s">
        <v>153</v>
      </c>
      <c r="C1543" s="129"/>
      <c r="D1543" s="129"/>
      <c r="E1543" s="19" t="n">
        <f aca="false">F1543*0.03</f>
        <v>0</v>
      </c>
      <c r="F1543" s="33" t="n">
        <v>0</v>
      </c>
      <c r="G1543" s="131"/>
      <c r="H1543" s="35" t="n">
        <v>0</v>
      </c>
      <c r="I1543" s="34" t="n">
        <f aca="false">+IF(E1543=0,0,E1543*0.03)</f>
        <v>0</v>
      </c>
      <c r="J1543" s="93"/>
      <c r="K1543" s="93"/>
      <c r="L1543" s="93"/>
      <c r="M1543" s="93"/>
      <c r="N1543" s="93"/>
      <c r="O1543" s="93"/>
      <c r="P1543" s="93"/>
      <c r="Q1543" s="93"/>
      <c r="R1543" s="93"/>
      <c r="S1543" s="93"/>
      <c r="T1543" s="93"/>
      <c r="U1543" s="93"/>
      <c r="V1543" s="93"/>
      <c r="W1543" s="93"/>
      <c r="X1543" s="93"/>
      <c r="Y1543" s="93"/>
      <c r="Z1543" s="93"/>
    </row>
    <row r="1544" customFormat="false" ht="16.4" hidden="false" customHeight="false" outlineLevel="0" collapsed="false">
      <c r="A1544" s="123" t="n">
        <v>45444</v>
      </c>
      <c r="B1544" s="31" t="s">
        <v>153</v>
      </c>
      <c r="C1544" s="129"/>
      <c r="D1544" s="129"/>
      <c r="E1544" s="19" t="n">
        <f aca="false">F1544*0.03</f>
        <v>0</v>
      </c>
      <c r="F1544" s="33" t="n">
        <v>0</v>
      </c>
      <c r="G1544" s="131"/>
      <c r="H1544" s="35" t="n">
        <v>0</v>
      </c>
      <c r="I1544" s="34" t="n">
        <f aca="false">+IF(E1544=0,0,E1544*0.03)</f>
        <v>0</v>
      </c>
      <c r="J1544" s="93"/>
      <c r="K1544" s="93"/>
      <c r="L1544" s="93"/>
      <c r="M1544" s="93"/>
      <c r="N1544" s="93"/>
      <c r="O1544" s="93"/>
      <c r="P1544" s="93"/>
      <c r="Q1544" s="93"/>
      <c r="R1544" s="93"/>
      <c r="S1544" s="93"/>
      <c r="T1544" s="93"/>
      <c r="U1544" s="93"/>
      <c r="V1544" s="93"/>
      <c r="W1544" s="93"/>
      <c r="X1544" s="93"/>
      <c r="Y1544" s="93"/>
      <c r="Z1544" s="93"/>
    </row>
    <row r="1545" customFormat="false" ht="16.4" hidden="false" customHeight="false" outlineLevel="0" collapsed="false">
      <c r="A1545" s="123" t="n">
        <v>45444</v>
      </c>
      <c r="B1545" s="31" t="s">
        <v>153</v>
      </c>
      <c r="C1545" s="129"/>
      <c r="D1545" s="129"/>
      <c r="E1545" s="19" t="n">
        <f aca="false">F1545*0.03</f>
        <v>0</v>
      </c>
      <c r="F1545" s="33" t="n">
        <v>0</v>
      </c>
      <c r="G1545" s="131"/>
      <c r="H1545" s="35" t="n">
        <v>0</v>
      </c>
      <c r="I1545" s="34" t="n">
        <f aca="false">+IF(E1545=0,0,E1545*0.03)</f>
        <v>0</v>
      </c>
      <c r="J1545" s="93"/>
      <c r="K1545" s="93"/>
      <c r="L1545" s="93"/>
      <c r="M1545" s="93"/>
      <c r="N1545" s="93"/>
      <c r="O1545" s="93"/>
      <c r="P1545" s="93"/>
      <c r="Q1545" s="93"/>
      <c r="R1545" s="93"/>
      <c r="S1545" s="93"/>
      <c r="T1545" s="93"/>
      <c r="U1545" s="93"/>
      <c r="V1545" s="93"/>
      <c r="W1545" s="93"/>
      <c r="X1545" s="93"/>
      <c r="Y1545" s="93"/>
      <c r="Z1545" s="93"/>
    </row>
    <row r="1546" customFormat="false" ht="16.4" hidden="false" customHeight="false" outlineLevel="0" collapsed="false">
      <c r="A1546" s="123" t="n">
        <v>45444</v>
      </c>
      <c r="B1546" s="31" t="s">
        <v>153</v>
      </c>
      <c r="C1546" s="129"/>
      <c r="D1546" s="129"/>
      <c r="E1546" s="19" t="n">
        <f aca="false">F1546*0.03</f>
        <v>0</v>
      </c>
      <c r="F1546" s="33" t="n">
        <v>0</v>
      </c>
      <c r="G1546" s="131"/>
      <c r="H1546" s="35" t="n">
        <v>0</v>
      </c>
      <c r="I1546" s="34" t="n">
        <f aca="false">+IF(E1546=0,0,E1546*0.03)</f>
        <v>0</v>
      </c>
      <c r="J1546" s="93"/>
      <c r="K1546" s="93"/>
      <c r="L1546" s="93"/>
      <c r="M1546" s="93"/>
      <c r="N1546" s="93"/>
      <c r="O1546" s="93"/>
      <c r="P1546" s="93"/>
      <c r="Q1546" s="93"/>
      <c r="R1546" s="93"/>
      <c r="S1546" s="93"/>
      <c r="T1546" s="93"/>
      <c r="U1546" s="93"/>
      <c r="V1546" s="93"/>
      <c r="W1546" s="93"/>
      <c r="X1546" s="93"/>
      <c r="Y1546" s="93"/>
      <c r="Z1546" s="93"/>
    </row>
    <row r="1547" customFormat="false" ht="16.4" hidden="false" customHeight="false" outlineLevel="0" collapsed="false">
      <c r="A1547" s="123" t="n">
        <v>45444</v>
      </c>
      <c r="B1547" s="31" t="s">
        <v>153</v>
      </c>
      <c r="C1547" s="129"/>
      <c r="D1547" s="129"/>
      <c r="E1547" s="19" t="n">
        <f aca="false">F1547*0.03</f>
        <v>0</v>
      </c>
      <c r="F1547" s="33" t="n">
        <v>0</v>
      </c>
      <c r="G1547" s="131"/>
      <c r="H1547" s="35" t="n">
        <v>0</v>
      </c>
      <c r="I1547" s="34" t="n">
        <f aca="false">+IF(E1547=0,0,E1547*0.03)</f>
        <v>0</v>
      </c>
      <c r="J1547" s="93"/>
      <c r="K1547" s="93"/>
      <c r="L1547" s="93"/>
      <c r="M1547" s="93"/>
      <c r="N1547" s="93"/>
      <c r="O1547" s="93"/>
      <c r="P1547" s="93"/>
      <c r="Q1547" s="93"/>
      <c r="R1547" s="93"/>
      <c r="S1547" s="93"/>
      <c r="T1547" s="93"/>
      <c r="U1547" s="93"/>
      <c r="V1547" s="93"/>
      <c r="W1547" s="93"/>
      <c r="X1547" s="93"/>
      <c r="Y1547" s="93"/>
      <c r="Z1547" s="93"/>
    </row>
    <row r="1548" customFormat="false" ht="16.4" hidden="false" customHeight="false" outlineLevel="0" collapsed="false">
      <c r="A1548" s="123" t="n">
        <v>45444</v>
      </c>
      <c r="B1548" s="31" t="s">
        <v>153</v>
      </c>
      <c r="C1548" s="129"/>
      <c r="D1548" s="129"/>
      <c r="E1548" s="19" t="n">
        <f aca="false">F1548*0.03</f>
        <v>0</v>
      </c>
      <c r="F1548" s="33" t="n">
        <v>0</v>
      </c>
      <c r="G1548" s="131"/>
      <c r="H1548" s="35" t="n">
        <v>0</v>
      </c>
      <c r="I1548" s="34" t="n">
        <f aca="false">+IF(E1548=0,0,E1548*0.03)</f>
        <v>0</v>
      </c>
      <c r="J1548" s="93"/>
      <c r="K1548" s="93"/>
      <c r="L1548" s="93"/>
      <c r="M1548" s="93"/>
      <c r="N1548" s="93"/>
      <c r="O1548" s="93"/>
      <c r="P1548" s="93"/>
      <c r="Q1548" s="93"/>
      <c r="R1548" s="93"/>
      <c r="S1548" s="93"/>
      <c r="T1548" s="93"/>
      <c r="U1548" s="93"/>
      <c r="V1548" s="93"/>
      <c r="W1548" s="93"/>
      <c r="X1548" s="93"/>
      <c r="Y1548" s="93"/>
      <c r="Z1548" s="93"/>
    </row>
    <row r="1549" customFormat="false" ht="16.4" hidden="false" customHeight="false" outlineLevel="0" collapsed="false">
      <c r="A1549" s="123" t="n">
        <v>45444</v>
      </c>
      <c r="B1549" s="31" t="s">
        <v>153</v>
      </c>
      <c r="C1549" s="129"/>
      <c r="D1549" s="129"/>
      <c r="E1549" s="19" t="n">
        <f aca="false">F1549*0.03</f>
        <v>0</v>
      </c>
      <c r="F1549" s="33" t="n">
        <v>0</v>
      </c>
      <c r="G1549" s="131"/>
      <c r="H1549" s="35" t="n">
        <v>0</v>
      </c>
      <c r="I1549" s="34" t="n">
        <f aca="false">+IF(E1549=0,0,E1549*0.03)</f>
        <v>0</v>
      </c>
      <c r="J1549" s="93"/>
      <c r="K1549" s="93"/>
      <c r="L1549" s="93"/>
      <c r="M1549" s="93"/>
      <c r="N1549" s="93"/>
      <c r="O1549" s="93"/>
      <c r="P1549" s="93"/>
      <c r="Q1549" s="93"/>
      <c r="R1549" s="93"/>
      <c r="S1549" s="93"/>
      <c r="T1549" s="93"/>
      <c r="U1549" s="93"/>
      <c r="V1549" s="93"/>
      <c r="W1549" s="93"/>
      <c r="X1549" s="93"/>
      <c r="Y1549" s="93"/>
      <c r="Z1549" s="93"/>
    </row>
    <row r="1550" customFormat="false" ht="16.4" hidden="false" customHeight="false" outlineLevel="0" collapsed="false">
      <c r="A1550" s="123" t="n">
        <v>45444</v>
      </c>
      <c r="B1550" s="31" t="s">
        <v>153</v>
      </c>
      <c r="C1550" s="129"/>
      <c r="D1550" s="129"/>
      <c r="E1550" s="19" t="n">
        <f aca="false">F1550*0.03</f>
        <v>0</v>
      </c>
      <c r="F1550" s="33" t="n">
        <v>0</v>
      </c>
      <c r="G1550" s="131"/>
      <c r="H1550" s="35" t="n">
        <v>0</v>
      </c>
      <c r="I1550" s="34" t="n">
        <f aca="false">+IF(E1550=0,0,E1550*0.03)</f>
        <v>0</v>
      </c>
      <c r="J1550" s="93"/>
      <c r="K1550" s="93"/>
      <c r="L1550" s="93"/>
      <c r="M1550" s="93"/>
      <c r="N1550" s="93"/>
      <c r="O1550" s="93"/>
      <c r="P1550" s="93"/>
      <c r="Q1550" s="93"/>
      <c r="R1550" s="93"/>
      <c r="S1550" s="93"/>
      <c r="T1550" s="93"/>
      <c r="U1550" s="93"/>
      <c r="V1550" s="93"/>
      <c r="W1550" s="93"/>
      <c r="X1550" s="93"/>
      <c r="Y1550" s="93"/>
      <c r="Z1550" s="93"/>
    </row>
    <row r="1551" customFormat="false" ht="16.4" hidden="false" customHeight="false" outlineLevel="0" collapsed="false">
      <c r="A1551" s="123" t="n">
        <v>45444</v>
      </c>
      <c r="B1551" s="31" t="s">
        <v>153</v>
      </c>
      <c r="C1551" s="129"/>
      <c r="D1551" s="129"/>
      <c r="E1551" s="19" t="n">
        <f aca="false">F1551*0.03</f>
        <v>0</v>
      </c>
      <c r="F1551" s="33" t="n">
        <v>0</v>
      </c>
      <c r="G1551" s="131"/>
      <c r="H1551" s="35" t="n">
        <v>0</v>
      </c>
      <c r="I1551" s="34" t="n">
        <f aca="false">+IF(E1551=0,0,E1551*0.03)</f>
        <v>0</v>
      </c>
      <c r="J1551" s="93"/>
      <c r="K1551" s="93"/>
      <c r="L1551" s="93"/>
      <c r="M1551" s="93"/>
      <c r="N1551" s="93"/>
      <c r="O1551" s="93"/>
      <c r="P1551" s="93"/>
      <c r="Q1551" s="93"/>
      <c r="R1551" s="93"/>
      <c r="S1551" s="93"/>
      <c r="T1551" s="93"/>
      <c r="U1551" s="93"/>
      <c r="V1551" s="93"/>
      <c r="W1551" s="93"/>
      <c r="X1551" s="93"/>
      <c r="Y1551" s="93"/>
      <c r="Z1551" s="93"/>
    </row>
    <row r="1552" customFormat="false" ht="16.4" hidden="false" customHeight="false" outlineLevel="0" collapsed="false">
      <c r="A1552" s="123" t="n">
        <v>45444</v>
      </c>
      <c r="B1552" s="31" t="s">
        <v>153</v>
      </c>
      <c r="C1552" s="129"/>
      <c r="D1552" s="129"/>
      <c r="E1552" s="19" t="n">
        <f aca="false">F1552*0.03</f>
        <v>0</v>
      </c>
      <c r="F1552" s="33" t="n">
        <v>0</v>
      </c>
      <c r="G1552" s="131"/>
      <c r="H1552" s="35" t="n">
        <v>0</v>
      </c>
      <c r="I1552" s="34" t="n">
        <f aca="false">+IF(E1552=0,0,E1552*0.03)</f>
        <v>0</v>
      </c>
      <c r="J1552" s="93"/>
      <c r="K1552" s="93"/>
      <c r="L1552" s="93"/>
      <c r="M1552" s="93"/>
      <c r="N1552" s="93"/>
      <c r="O1552" s="93"/>
      <c r="P1552" s="93"/>
      <c r="Q1552" s="93"/>
      <c r="R1552" s="93"/>
      <c r="S1552" s="93"/>
      <c r="T1552" s="93"/>
      <c r="U1552" s="93"/>
      <c r="V1552" s="93"/>
      <c r="W1552" s="93"/>
      <c r="X1552" s="93"/>
      <c r="Y1552" s="93"/>
      <c r="Z1552" s="93"/>
    </row>
    <row r="1553" customFormat="false" ht="16.4" hidden="false" customHeight="false" outlineLevel="0" collapsed="false">
      <c r="A1553" s="123" t="n">
        <v>45444</v>
      </c>
      <c r="B1553" s="31" t="s">
        <v>153</v>
      </c>
      <c r="C1553" s="129"/>
      <c r="D1553" s="129"/>
      <c r="E1553" s="19" t="n">
        <f aca="false">F1553*0.03</f>
        <v>0</v>
      </c>
      <c r="F1553" s="33" t="n">
        <v>0</v>
      </c>
      <c r="G1553" s="131"/>
      <c r="H1553" s="35" t="n">
        <v>0</v>
      </c>
      <c r="I1553" s="34" t="n">
        <f aca="false">+IF(E1553=0,0,E1553*0.03)</f>
        <v>0</v>
      </c>
      <c r="J1553" s="93"/>
      <c r="K1553" s="93"/>
      <c r="L1553" s="93"/>
      <c r="M1553" s="93"/>
      <c r="N1553" s="93"/>
      <c r="O1553" s="93"/>
      <c r="P1553" s="93"/>
      <c r="Q1553" s="93"/>
      <c r="R1553" s="93"/>
      <c r="S1553" s="93"/>
      <c r="T1553" s="93"/>
      <c r="U1553" s="93"/>
      <c r="V1553" s="93"/>
      <c r="W1553" s="93"/>
      <c r="X1553" s="93"/>
      <c r="Y1553" s="93"/>
      <c r="Z1553" s="93"/>
    </row>
    <row r="1554" customFormat="false" ht="16.4" hidden="false" customHeight="false" outlineLevel="0" collapsed="false">
      <c r="A1554" s="123" t="n">
        <v>45444</v>
      </c>
      <c r="B1554" s="31" t="s">
        <v>153</v>
      </c>
      <c r="C1554" s="129"/>
      <c r="D1554" s="129"/>
      <c r="E1554" s="19" t="n">
        <f aca="false">F1554*0.03</f>
        <v>0</v>
      </c>
      <c r="F1554" s="33" t="n">
        <v>0</v>
      </c>
      <c r="G1554" s="131"/>
      <c r="H1554" s="35" t="n">
        <v>0</v>
      </c>
      <c r="I1554" s="34" t="n">
        <f aca="false">+IF(E1554=0,0,E1554*0.03)</f>
        <v>0</v>
      </c>
      <c r="J1554" s="93"/>
      <c r="K1554" s="93"/>
      <c r="L1554" s="93"/>
      <c r="M1554" s="93"/>
      <c r="N1554" s="93"/>
      <c r="O1554" s="93"/>
      <c r="P1554" s="93"/>
      <c r="Q1554" s="93"/>
      <c r="R1554" s="93"/>
      <c r="S1554" s="93"/>
      <c r="T1554" s="93"/>
      <c r="U1554" s="93"/>
      <c r="V1554" s="93"/>
      <c r="W1554" s="93"/>
      <c r="X1554" s="93"/>
      <c r="Y1554" s="93"/>
      <c r="Z1554" s="93"/>
    </row>
    <row r="1555" customFormat="false" ht="16.4" hidden="false" customHeight="false" outlineLevel="0" collapsed="false">
      <c r="A1555" s="123" t="n">
        <v>45444</v>
      </c>
      <c r="B1555" s="31" t="s">
        <v>153</v>
      </c>
      <c r="C1555" s="129"/>
      <c r="D1555" s="129"/>
      <c r="E1555" s="19" t="n">
        <f aca="false">F1555*0.03</f>
        <v>0</v>
      </c>
      <c r="F1555" s="33" t="n">
        <v>0</v>
      </c>
      <c r="G1555" s="131"/>
      <c r="H1555" s="35" t="n">
        <v>0</v>
      </c>
      <c r="I1555" s="34" t="n">
        <f aca="false">+IF(E1555=0,0,E1555*0.03)</f>
        <v>0</v>
      </c>
      <c r="J1555" s="93"/>
      <c r="K1555" s="93"/>
      <c r="L1555" s="93"/>
      <c r="M1555" s="93"/>
      <c r="N1555" s="93"/>
      <c r="O1555" s="93"/>
      <c r="P1555" s="93"/>
      <c r="Q1555" s="93"/>
      <c r="R1555" s="93"/>
      <c r="S1555" s="93"/>
      <c r="T1555" s="93"/>
      <c r="U1555" s="93"/>
      <c r="V1555" s="93"/>
      <c r="W1555" s="93"/>
      <c r="X1555" s="93"/>
      <c r="Y1555" s="93"/>
      <c r="Z1555" s="93"/>
    </row>
    <row r="1556" customFormat="false" ht="16.4" hidden="false" customHeight="false" outlineLevel="0" collapsed="false">
      <c r="A1556" s="123" t="n">
        <v>45444</v>
      </c>
      <c r="B1556" s="31" t="s">
        <v>153</v>
      </c>
      <c r="C1556" s="129"/>
      <c r="D1556" s="129"/>
      <c r="E1556" s="19" t="n">
        <f aca="false">F1556*0.03</f>
        <v>0</v>
      </c>
      <c r="F1556" s="33" t="n">
        <v>0</v>
      </c>
      <c r="G1556" s="131"/>
      <c r="H1556" s="35" t="n">
        <v>0</v>
      </c>
      <c r="I1556" s="34" t="n">
        <f aca="false">+IF(E1556=0,0,E1556*0.03)</f>
        <v>0</v>
      </c>
      <c r="J1556" s="93"/>
      <c r="K1556" s="93"/>
      <c r="L1556" s="93"/>
      <c r="M1556" s="93"/>
      <c r="N1556" s="93"/>
      <c r="O1556" s="93"/>
      <c r="P1556" s="93"/>
      <c r="Q1556" s="93"/>
      <c r="R1556" s="93"/>
      <c r="S1556" s="93"/>
      <c r="T1556" s="93"/>
      <c r="U1556" s="93"/>
      <c r="V1556" s="93"/>
      <c r="W1556" s="93"/>
      <c r="X1556" s="93"/>
      <c r="Y1556" s="93"/>
      <c r="Z1556" s="93"/>
    </row>
    <row r="1557" customFormat="false" ht="16.4" hidden="false" customHeight="false" outlineLevel="0" collapsed="false">
      <c r="A1557" s="123" t="n">
        <v>45444</v>
      </c>
      <c r="B1557" s="31" t="s">
        <v>153</v>
      </c>
      <c r="C1557" s="129"/>
      <c r="D1557" s="129"/>
      <c r="E1557" s="19" t="n">
        <f aca="false">F1557*0.03</f>
        <v>0</v>
      </c>
      <c r="F1557" s="33" t="n">
        <v>0</v>
      </c>
      <c r="G1557" s="131"/>
      <c r="H1557" s="35" t="n">
        <v>0</v>
      </c>
      <c r="I1557" s="34" t="n">
        <f aca="false">+IF(E1557=0,0,E1557*0.03)</f>
        <v>0</v>
      </c>
      <c r="J1557" s="93"/>
      <c r="K1557" s="93"/>
      <c r="L1557" s="93"/>
      <c r="M1557" s="93"/>
      <c r="N1557" s="93"/>
      <c r="O1557" s="93"/>
      <c r="P1557" s="93"/>
      <c r="Q1557" s="93"/>
      <c r="R1557" s="93"/>
      <c r="S1557" s="93"/>
      <c r="T1557" s="93"/>
      <c r="U1557" s="93"/>
      <c r="V1557" s="93"/>
      <c r="W1557" s="93"/>
      <c r="X1557" s="93"/>
      <c r="Y1557" s="93"/>
      <c r="Z1557" s="93"/>
    </row>
    <row r="1558" customFormat="false" ht="16.4" hidden="false" customHeight="false" outlineLevel="0" collapsed="false">
      <c r="A1558" s="123" t="n">
        <v>45444</v>
      </c>
      <c r="B1558" s="31" t="s">
        <v>153</v>
      </c>
      <c r="C1558" s="129"/>
      <c r="D1558" s="129"/>
      <c r="E1558" s="19" t="n">
        <f aca="false">F1558*0.03</f>
        <v>0</v>
      </c>
      <c r="F1558" s="33" t="n">
        <v>0</v>
      </c>
      <c r="G1558" s="131"/>
      <c r="H1558" s="35" t="n">
        <v>0</v>
      </c>
      <c r="I1558" s="34" t="n">
        <f aca="false">+IF(E1558=0,0,E1558*0.03)</f>
        <v>0</v>
      </c>
      <c r="J1558" s="93"/>
      <c r="K1558" s="93"/>
      <c r="L1558" s="93"/>
      <c r="M1558" s="93"/>
      <c r="N1558" s="93"/>
      <c r="O1558" s="93"/>
      <c r="P1558" s="93"/>
      <c r="Q1558" s="93"/>
      <c r="R1558" s="93"/>
      <c r="S1558" s="93"/>
      <c r="T1558" s="93"/>
      <c r="U1558" s="93"/>
      <c r="V1558" s="93"/>
      <c r="W1558" s="93"/>
      <c r="X1558" s="93"/>
      <c r="Y1558" s="93"/>
      <c r="Z1558" s="93"/>
    </row>
    <row r="1559" customFormat="false" ht="16.4" hidden="false" customHeight="false" outlineLevel="0" collapsed="false">
      <c r="A1559" s="123" t="n">
        <v>45444</v>
      </c>
      <c r="B1559" s="31" t="s">
        <v>153</v>
      </c>
      <c r="C1559" s="129"/>
      <c r="D1559" s="129"/>
      <c r="E1559" s="19" t="n">
        <f aca="false">F1559*0.03</f>
        <v>0</v>
      </c>
      <c r="F1559" s="33" t="n">
        <v>0</v>
      </c>
      <c r="G1559" s="131"/>
      <c r="H1559" s="35" t="n">
        <v>0</v>
      </c>
      <c r="I1559" s="34" t="n">
        <f aca="false">+IF(E1559=0,0,E1559*0.03)</f>
        <v>0</v>
      </c>
      <c r="J1559" s="93"/>
      <c r="K1559" s="93"/>
      <c r="L1559" s="93"/>
      <c r="M1559" s="93"/>
      <c r="N1559" s="93"/>
      <c r="O1559" s="93"/>
      <c r="P1559" s="93"/>
      <c r="Q1559" s="93"/>
      <c r="R1559" s="93"/>
      <c r="S1559" s="93"/>
      <c r="T1559" s="93"/>
      <c r="U1559" s="93"/>
      <c r="V1559" s="93"/>
      <c r="W1559" s="93"/>
      <c r="X1559" s="93"/>
      <c r="Y1559" s="93"/>
      <c r="Z1559" s="93"/>
    </row>
    <row r="1560" customFormat="false" ht="16.4" hidden="false" customHeight="false" outlineLevel="0" collapsed="false">
      <c r="A1560" s="123" t="n">
        <v>45444</v>
      </c>
      <c r="B1560" s="31" t="s">
        <v>153</v>
      </c>
      <c r="C1560" s="129"/>
      <c r="D1560" s="129"/>
      <c r="E1560" s="19" t="n">
        <f aca="false">F1560*0.03</f>
        <v>0</v>
      </c>
      <c r="F1560" s="33" t="n">
        <v>0</v>
      </c>
      <c r="G1560" s="131"/>
      <c r="H1560" s="35" t="n">
        <v>0</v>
      </c>
      <c r="I1560" s="34" t="n">
        <f aca="false">+IF(E1560=0,0,E1560*0.03)</f>
        <v>0</v>
      </c>
      <c r="J1560" s="93"/>
      <c r="K1560" s="93"/>
      <c r="L1560" s="93"/>
      <c r="M1560" s="93"/>
      <c r="N1560" s="93"/>
      <c r="O1560" s="93"/>
      <c r="P1560" s="93"/>
      <c r="Q1560" s="93"/>
      <c r="R1560" s="93"/>
      <c r="S1560" s="93"/>
      <c r="T1560" s="93"/>
      <c r="U1560" s="93"/>
      <c r="V1560" s="93"/>
      <c r="W1560" s="93"/>
      <c r="X1560" s="93"/>
      <c r="Y1560" s="93"/>
      <c r="Z1560" s="93"/>
    </row>
    <row r="1561" customFormat="false" ht="16.4" hidden="false" customHeight="false" outlineLevel="0" collapsed="false">
      <c r="A1561" s="123" t="n">
        <v>45444</v>
      </c>
      <c r="B1561" s="31" t="s">
        <v>153</v>
      </c>
      <c r="C1561" s="129"/>
      <c r="D1561" s="129"/>
      <c r="E1561" s="19" t="n">
        <f aca="false">F1561*0.03</f>
        <v>0</v>
      </c>
      <c r="F1561" s="33" t="n">
        <v>0</v>
      </c>
      <c r="G1561" s="131"/>
      <c r="H1561" s="35" t="n">
        <v>0</v>
      </c>
      <c r="I1561" s="34" t="n">
        <f aca="false">+IF(E1561=0,0,E1561*0.03)</f>
        <v>0</v>
      </c>
      <c r="J1561" s="93"/>
      <c r="K1561" s="93"/>
      <c r="L1561" s="93"/>
      <c r="M1561" s="93"/>
      <c r="N1561" s="93"/>
      <c r="O1561" s="93"/>
      <c r="P1561" s="93"/>
      <c r="Q1561" s="93"/>
      <c r="R1561" s="93"/>
      <c r="S1561" s="93"/>
      <c r="T1561" s="93"/>
      <c r="U1561" s="93"/>
      <c r="V1561" s="93"/>
      <c r="W1561" s="93"/>
      <c r="X1561" s="93"/>
      <c r="Y1561" s="93"/>
      <c r="Z1561" s="93"/>
    </row>
    <row r="1562" customFormat="false" ht="16.4" hidden="false" customHeight="false" outlineLevel="0" collapsed="false">
      <c r="A1562" s="123" t="n">
        <v>45444</v>
      </c>
      <c r="B1562" s="31" t="s">
        <v>153</v>
      </c>
      <c r="C1562" s="129"/>
      <c r="D1562" s="129"/>
      <c r="E1562" s="19" t="n">
        <f aca="false">F1562*0.03</f>
        <v>0</v>
      </c>
      <c r="F1562" s="33" t="n">
        <v>0</v>
      </c>
      <c r="G1562" s="131"/>
      <c r="H1562" s="35" t="n">
        <v>0</v>
      </c>
      <c r="I1562" s="34" t="n">
        <f aca="false">+IF(E1562=0,0,E1562*0.03)</f>
        <v>0</v>
      </c>
      <c r="J1562" s="93"/>
      <c r="K1562" s="93"/>
      <c r="L1562" s="93"/>
      <c r="M1562" s="93"/>
      <c r="N1562" s="93"/>
      <c r="O1562" s="93"/>
      <c r="P1562" s="93"/>
      <c r="Q1562" s="93"/>
      <c r="R1562" s="93"/>
      <c r="S1562" s="93"/>
      <c r="T1562" s="93"/>
      <c r="U1562" s="93"/>
      <c r="V1562" s="93"/>
      <c r="W1562" s="93"/>
      <c r="X1562" s="93"/>
      <c r="Y1562" s="93"/>
      <c r="Z1562" s="93"/>
    </row>
    <row r="1563" customFormat="false" ht="16.4" hidden="false" customHeight="false" outlineLevel="0" collapsed="false">
      <c r="A1563" s="123" t="n">
        <v>45444</v>
      </c>
      <c r="B1563" s="31" t="s">
        <v>153</v>
      </c>
      <c r="C1563" s="129"/>
      <c r="D1563" s="129"/>
      <c r="E1563" s="19" t="n">
        <f aca="false">F1563*0.03</f>
        <v>0</v>
      </c>
      <c r="F1563" s="33" t="n">
        <v>0</v>
      </c>
      <c r="G1563" s="131"/>
      <c r="H1563" s="35" t="n">
        <v>0</v>
      </c>
      <c r="I1563" s="34" t="n">
        <f aca="false">+IF(E1563=0,0,E1563*0.03)</f>
        <v>0</v>
      </c>
      <c r="J1563" s="93"/>
      <c r="K1563" s="93"/>
      <c r="L1563" s="93"/>
      <c r="M1563" s="93"/>
      <c r="N1563" s="93"/>
      <c r="O1563" s="93"/>
      <c r="P1563" s="93"/>
      <c r="Q1563" s="93"/>
      <c r="R1563" s="93"/>
      <c r="S1563" s="93"/>
      <c r="T1563" s="93"/>
      <c r="U1563" s="93"/>
      <c r="V1563" s="93"/>
      <c r="W1563" s="93"/>
      <c r="X1563" s="93"/>
      <c r="Y1563" s="93"/>
      <c r="Z1563" s="93"/>
    </row>
    <row r="1564" customFormat="false" ht="16.4" hidden="false" customHeight="false" outlineLevel="0" collapsed="false">
      <c r="A1564" s="123" t="n">
        <v>45444</v>
      </c>
      <c r="B1564" s="31" t="s">
        <v>153</v>
      </c>
      <c r="C1564" s="129"/>
      <c r="D1564" s="129"/>
      <c r="E1564" s="19" t="n">
        <f aca="false">F1564*0.03</f>
        <v>0</v>
      </c>
      <c r="F1564" s="33" t="n">
        <v>0</v>
      </c>
      <c r="G1564" s="131"/>
      <c r="H1564" s="35" t="n">
        <v>0</v>
      </c>
      <c r="I1564" s="34" t="n">
        <f aca="false">+IF(E1564=0,0,E1564*0.03)</f>
        <v>0</v>
      </c>
      <c r="J1564" s="93"/>
      <c r="K1564" s="93"/>
      <c r="L1564" s="93"/>
      <c r="M1564" s="93"/>
      <c r="N1564" s="93"/>
      <c r="O1564" s="93"/>
      <c r="P1564" s="93"/>
      <c r="Q1564" s="93"/>
      <c r="R1564" s="93"/>
      <c r="S1564" s="93"/>
      <c r="T1564" s="93"/>
      <c r="U1564" s="93"/>
      <c r="V1564" s="93"/>
      <c r="W1564" s="93"/>
      <c r="X1564" s="93"/>
      <c r="Y1564" s="93"/>
      <c r="Z1564" s="93"/>
    </row>
    <row r="1565" customFormat="false" ht="16.4" hidden="false" customHeight="false" outlineLevel="0" collapsed="false">
      <c r="A1565" s="123" t="n">
        <v>45444</v>
      </c>
      <c r="B1565" s="31" t="s">
        <v>153</v>
      </c>
      <c r="C1565" s="129"/>
      <c r="D1565" s="129"/>
      <c r="E1565" s="19" t="n">
        <f aca="false">F1565*0.03</f>
        <v>0</v>
      </c>
      <c r="F1565" s="33" t="n">
        <v>0</v>
      </c>
      <c r="G1565" s="131"/>
      <c r="H1565" s="35" t="n">
        <v>0</v>
      </c>
      <c r="I1565" s="34" t="n">
        <f aca="false">+IF(E1565=0,0,E1565*0.03)</f>
        <v>0</v>
      </c>
      <c r="J1565" s="93"/>
      <c r="K1565" s="93"/>
      <c r="L1565" s="93"/>
      <c r="M1565" s="93"/>
      <c r="N1565" s="93"/>
      <c r="O1565" s="93"/>
      <c r="P1565" s="93"/>
      <c r="Q1565" s="93"/>
      <c r="R1565" s="93"/>
      <c r="S1565" s="93"/>
      <c r="T1565" s="93"/>
      <c r="U1565" s="93"/>
      <c r="V1565" s="93"/>
      <c r="W1565" s="93"/>
      <c r="X1565" s="93"/>
      <c r="Y1565" s="93"/>
      <c r="Z1565" s="93"/>
    </row>
    <row r="1566" customFormat="false" ht="16.4" hidden="false" customHeight="false" outlineLevel="0" collapsed="false">
      <c r="A1566" s="123" t="n">
        <v>45444</v>
      </c>
      <c r="B1566" s="31" t="s">
        <v>153</v>
      </c>
      <c r="C1566" s="129"/>
      <c r="D1566" s="129"/>
      <c r="E1566" s="19" t="n">
        <f aca="false">F1566*0.03</f>
        <v>0</v>
      </c>
      <c r="F1566" s="33" t="n">
        <v>0</v>
      </c>
      <c r="G1566" s="131"/>
      <c r="H1566" s="35" t="n">
        <v>0</v>
      </c>
      <c r="I1566" s="34" t="n">
        <f aca="false">+IF(E1566=0,0,E1566*0.03)</f>
        <v>0</v>
      </c>
      <c r="J1566" s="93"/>
      <c r="K1566" s="93"/>
      <c r="L1566" s="93"/>
      <c r="M1566" s="93"/>
      <c r="N1566" s="93"/>
      <c r="O1566" s="93"/>
      <c r="P1566" s="93"/>
      <c r="Q1566" s="93"/>
      <c r="R1566" s="93"/>
      <c r="S1566" s="93"/>
      <c r="T1566" s="93"/>
      <c r="U1566" s="93"/>
      <c r="V1566" s="93"/>
      <c r="W1566" s="93"/>
      <c r="X1566" s="93"/>
      <c r="Y1566" s="93"/>
      <c r="Z1566" s="93"/>
    </row>
    <row r="1567" customFormat="false" ht="16.4" hidden="false" customHeight="false" outlineLevel="0" collapsed="false">
      <c r="A1567" s="123" t="n">
        <v>45444</v>
      </c>
      <c r="B1567" s="31" t="s">
        <v>153</v>
      </c>
      <c r="C1567" s="129"/>
      <c r="D1567" s="129"/>
      <c r="E1567" s="19" t="n">
        <f aca="false">F1567*0.03</f>
        <v>0</v>
      </c>
      <c r="F1567" s="33" t="n">
        <v>0</v>
      </c>
      <c r="G1567" s="131"/>
      <c r="H1567" s="35" t="n">
        <v>0</v>
      </c>
      <c r="I1567" s="34" t="n">
        <f aca="false">+IF(E1567=0,0,E1567*0.03)</f>
        <v>0</v>
      </c>
      <c r="J1567" s="93"/>
      <c r="K1567" s="93"/>
      <c r="L1567" s="93"/>
      <c r="M1567" s="93"/>
      <c r="N1567" s="93"/>
      <c r="O1567" s="93"/>
      <c r="P1567" s="93"/>
      <c r="Q1567" s="93"/>
      <c r="R1567" s="93"/>
      <c r="S1567" s="93"/>
      <c r="T1567" s="93"/>
      <c r="U1567" s="93"/>
      <c r="V1567" s="93"/>
      <c r="W1567" s="93"/>
      <c r="X1567" s="93"/>
      <c r="Y1567" s="93"/>
      <c r="Z1567" s="93"/>
    </row>
    <row r="1568" customFormat="false" ht="16.4" hidden="false" customHeight="false" outlineLevel="0" collapsed="false">
      <c r="A1568" s="123" t="n">
        <v>45444</v>
      </c>
      <c r="B1568" s="31" t="s">
        <v>153</v>
      </c>
      <c r="C1568" s="129"/>
      <c r="D1568" s="129"/>
      <c r="E1568" s="19" t="n">
        <f aca="false">F1568*0.03</f>
        <v>0</v>
      </c>
      <c r="F1568" s="33" t="n">
        <v>0</v>
      </c>
      <c r="G1568" s="131"/>
      <c r="H1568" s="35" t="n">
        <v>0</v>
      </c>
      <c r="I1568" s="34" t="n">
        <f aca="false">+IF(E1568=0,0,E1568*0.03)</f>
        <v>0</v>
      </c>
      <c r="J1568" s="93"/>
      <c r="K1568" s="93"/>
      <c r="L1568" s="93"/>
      <c r="M1568" s="93"/>
      <c r="N1568" s="93"/>
      <c r="O1568" s="93"/>
      <c r="P1568" s="93"/>
      <c r="Q1568" s="93"/>
      <c r="R1568" s="93"/>
      <c r="S1568" s="93"/>
      <c r="T1568" s="93"/>
      <c r="U1568" s="93"/>
      <c r="V1568" s="93"/>
      <c r="W1568" s="93"/>
      <c r="X1568" s="93"/>
      <c r="Y1568" s="93"/>
      <c r="Z1568" s="93"/>
    </row>
    <row r="1569" customFormat="false" ht="16.4" hidden="false" customHeight="false" outlineLevel="0" collapsed="false">
      <c r="A1569" s="123" t="n">
        <v>45444</v>
      </c>
      <c r="B1569" s="31" t="s">
        <v>153</v>
      </c>
      <c r="C1569" s="129"/>
      <c r="D1569" s="129"/>
      <c r="E1569" s="19" t="n">
        <f aca="false">F1569*0.03</f>
        <v>0</v>
      </c>
      <c r="F1569" s="33" t="n">
        <v>0</v>
      </c>
      <c r="G1569" s="131"/>
      <c r="H1569" s="35" t="n">
        <v>0</v>
      </c>
      <c r="I1569" s="34" t="n">
        <f aca="false">+IF(E1569=0,0,E1569*0.03)</f>
        <v>0</v>
      </c>
      <c r="J1569" s="93"/>
      <c r="K1569" s="93"/>
      <c r="L1569" s="93"/>
      <c r="M1569" s="93"/>
      <c r="N1569" s="93"/>
      <c r="O1569" s="93"/>
      <c r="P1569" s="93"/>
      <c r="Q1569" s="93"/>
      <c r="R1569" s="93"/>
      <c r="S1569" s="93"/>
      <c r="T1569" s="93"/>
      <c r="U1569" s="93"/>
      <c r="V1569" s="93"/>
      <c r="W1569" s="93"/>
      <c r="X1569" s="93"/>
      <c r="Y1569" s="93"/>
      <c r="Z1569" s="93"/>
    </row>
    <row r="1570" customFormat="false" ht="16.4" hidden="false" customHeight="false" outlineLevel="0" collapsed="false">
      <c r="A1570" s="123" t="n">
        <v>45444</v>
      </c>
      <c r="B1570" s="31" t="s">
        <v>153</v>
      </c>
      <c r="C1570" s="129"/>
      <c r="D1570" s="129"/>
      <c r="E1570" s="19" t="n">
        <f aca="false">F1570*0.03</f>
        <v>0</v>
      </c>
      <c r="F1570" s="33" t="n">
        <v>0</v>
      </c>
      <c r="G1570" s="131"/>
      <c r="H1570" s="35" t="n">
        <v>0</v>
      </c>
      <c r="I1570" s="34" t="n">
        <f aca="false">+IF(E1570=0,0,E1570*0.03)</f>
        <v>0</v>
      </c>
      <c r="J1570" s="93"/>
      <c r="K1570" s="93"/>
      <c r="L1570" s="93"/>
      <c r="M1570" s="93"/>
      <c r="N1570" s="93"/>
      <c r="O1570" s="93"/>
      <c r="P1570" s="93"/>
      <c r="Q1570" s="93"/>
      <c r="R1570" s="93"/>
      <c r="S1570" s="93"/>
      <c r="T1570" s="93"/>
      <c r="U1570" s="93"/>
      <c r="V1570" s="93"/>
      <c r="W1570" s="93"/>
      <c r="X1570" s="93"/>
      <c r="Y1570" s="93"/>
      <c r="Z1570" s="93"/>
    </row>
    <row r="1571" customFormat="false" ht="16.4" hidden="false" customHeight="false" outlineLevel="0" collapsed="false">
      <c r="A1571" s="123" t="n">
        <v>45444</v>
      </c>
      <c r="B1571" s="31" t="s">
        <v>153</v>
      </c>
      <c r="C1571" s="129"/>
      <c r="D1571" s="129"/>
      <c r="E1571" s="19" t="n">
        <f aca="false">F1571*0.03</f>
        <v>0</v>
      </c>
      <c r="F1571" s="33" t="n">
        <v>0</v>
      </c>
      <c r="G1571" s="131"/>
      <c r="H1571" s="35" t="n">
        <v>0</v>
      </c>
      <c r="I1571" s="34" t="n">
        <f aca="false">+IF(E1571=0,0,E1571*0.03)</f>
        <v>0</v>
      </c>
      <c r="J1571" s="93"/>
      <c r="K1571" s="93"/>
      <c r="L1571" s="93"/>
      <c r="M1571" s="93"/>
      <c r="N1571" s="93"/>
      <c r="O1571" s="93"/>
      <c r="P1571" s="93"/>
      <c r="Q1571" s="93"/>
      <c r="R1571" s="93"/>
      <c r="S1571" s="93"/>
      <c r="T1571" s="93"/>
      <c r="U1571" s="93"/>
      <c r="V1571" s="93"/>
      <c r="W1571" s="93"/>
      <c r="X1571" s="93"/>
      <c r="Y1571" s="93"/>
      <c r="Z1571" s="93"/>
    </row>
    <row r="1572" customFormat="false" ht="16.4" hidden="false" customHeight="false" outlineLevel="0" collapsed="false">
      <c r="A1572" s="123" t="n">
        <v>45444</v>
      </c>
      <c r="B1572" s="31" t="s">
        <v>153</v>
      </c>
      <c r="C1572" s="129"/>
      <c r="D1572" s="129"/>
      <c r="E1572" s="19" t="n">
        <f aca="false">F1572*0.03</f>
        <v>0</v>
      </c>
      <c r="F1572" s="33" t="n">
        <v>0</v>
      </c>
      <c r="G1572" s="131"/>
      <c r="H1572" s="35" t="n">
        <v>0</v>
      </c>
      <c r="I1572" s="34" t="n">
        <f aca="false">+IF(E1572=0,0,E1572*0.03)</f>
        <v>0</v>
      </c>
      <c r="J1572" s="93"/>
      <c r="K1572" s="93"/>
      <c r="L1572" s="93"/>
      <c r="M1572" s="93"/>
      <c r="N1572" s="93"/>
      <c r="O1572" s="93"/>
      <c r="P1572" s="93"/>
      <c r="Q1572" s="93"/>
      <c r="R1572" s="93"/>
      <c r="S1572" s="93"/>
      <c r="T1572" s="93"/>
      <c r="U1572" s="93"/>
      <c r="V1572" s="93"/>
      <c r="W1572" s="93"/>
      <c r="X1572" s="93"/>
      <c r="Y1572" s="93"/>
      <c r="Z1572" s="93"/>
    </row>
    <row r="1573" customFormat="false" ht="16.4" hidden="false" customHeight="false" outlineLevel="0" collapsed="false">
      <c r="A1573" s="123" t="n">
        <v>45444</v>
      </c>
      <c r="B1573" s="31" t="s">
        <v>153</v>
      </c>
      <c r="C1573" s="129"/>
      <c r="D1573" s="129"/>
      <c r="E1573" s="19" t="n">
        <f aca="false">F1573*0.03</f>
        <v>0</v>
      </c>
      <c r="F1573" s="33" t="n">
        <v>0</v>
      </c>
      <c r="G1573" s="131"/>
      <c r="H1573" s="35" t="n">
        <v>0</v>
      </c>
      <c r="I1573" s="34" t="n">
        <f aca="false">+IF(E1573=0,0,E1573*0.03)</f>
        <v>0</v>
      </c>
      <c r="J1573" s="93"/>
      <c r="K1573" s="93"/>
      <c r="L1573" s="93"/>
      <c r="M1573" s="93"/>
      <c r="N1573" s="93"/>
      <c r="O1573" s="93"/>
      <c r="P1573" s="93"/>
      <c r="Q1573" s="93"/>
      <c r="R1573" s="93"/>
      <c r="S1573" s="93"/>
      <c r="T1573" s="93"/>
      <c r="U1573" s="93"/>
      <c r="V1573" s="93"/>
      <c r="W1573" s="93"/>
      <c r="X1573" s="93"/>
      <c r="Y1573" s="93"/>
      <c r="Z1573" s="93"/>
    </row>
    <row r="1574" customFormat="false" ht="16.4" hidden="false" customHeight="false" outlineLevel="0" collapsed="false">
      <c r="A1574" s="123" t="n">
        <v>45444</v>
      </c>
      <c r="B1574" s="31" t="s">
        <v>153</v>
      </c>
      <c r="C1574" s="129"/>
      <c r="D1574" s="129"/>
      <c r="E1574" s="19" t="n">
        <f aca="false">F1574*0.03</f>
        <v>0</v>
      </c>
      <c r="F1574" s="33" t="n">
        <v>0</v>
      </c>
      <c r="G1574" s="131"/>
      <c r="H1574" s="35" t="n">
        <v>0</v>
      </c>
      <c r="I1574" s="34" t="n">
        <f aca="false">+IF(E1574=0,0,E1574*0.03)</f>
        <v>0</v>
      </c>
      <c r="J1574" s="93"/>
      <c r="K1574" s="93"/>
      <c r="L1574" s="93"/>
      <c r="M1574" s="93"/>
      <c r="N1574" s="93"/>
      <c r="O1574" s="93"/>
      <c r="P1574" s="93"/>
      <c r="Q1574" s="93"/>
      <c r="R1574" s="93"/>
      <c r="S1574" s="93"/>
      <c r="T1574" s="93"/>
      <c r="U1574" s="93"/>
      <c r="V1574" s="93"/>
      <c r="W1574" s="93"/>
      <c r="X1574" s="93"/>
      <c r="Y1574" s="93"/>
      <c r="Z1574" s="93"/>
    </row>
    <row r="1575" customFormat="false" ht="16.4" hidden="false" customHeight="false" outlineLevel="0" collapsed="false">
      <c r="A1575" s="123" t="n">
        <v>45444</v>
      </c>
      <c r="B1575" s="31" t="s">
        <v>153</v>
      </c>
      <c r="C1575" s="129"/>
      <c r="D1575" s="129"/>
      <c r="E1575" s="19" t="n">
        <f aca="false">F1575*0.03</f>
        <v>0</v>
      </c>
      <c r="F1575" s="33" t="n">
        <v>0</v>
      </c>
      <c r="G1575" s="131"/>
      <c r="H1575" s="35" t="n">
        <v>0</v>
      </c>
      <c r="I1575" s="34" t="n">
        <f aca="false">+IF(E1575=0,0,E1575*0.03)</f>
        <v>0</v>
      </c>
      <c r="J1575" s="93"/>
      <c r="K1575" s="93"/>
      <c r="L1575" s="93"/>
      <c r="M1575" s="93"/>
      <c r="N1575" s="93"/>
      <c r="O1575" s="93"/>
      <c r="P1575" s="93"/>
      <c r="Q1575" s="93"/>
      <c r="R1575" s="93"/>
      <c r="S1575" s="93"/>
      <c r="T1575" s="93"/>
      <c r="U1575" s="93"/>
      <c r="V1575" s="93"/>
      <c r="W1575" s="93"/>
      <c r="X1575" s="93"/>
      <c r="Y1575" s="93"/>
      <c r="Z1575" s="93"/>
    </row>
    <row r="1576" customFormat="false" ht="16.4" hidden="false" customHeight="false" outlineLevel="0" collapsed="false">
      <c r="A1576" s="123" t="n">
        <v>45444</v>
      </c>
      <c r="B1576" s="31" t="s">
        <v>153</v>
      </c>
      <c r="C1576" s="129"/>
      <c r="D1576" s="129"/>
      <c r="E1576" s="19" t="n">
        <f aca="false">F1576*0.03</f>
        <v>0</v>
      </c>
      <c r="F1576" s="33" t="n">
        <v>0</v>
      </c>
      <c r="G1576" s="131"/>
      <c r="H1576" s="35" t="n">
        <v>0</v>
      </c>
      <c r="I1576" s="34" t="n">
        <f aca="false">+IF(E1576=0,0,E1576*0.03)</f>
        <v>0</v>
      </c>
      <c r="J1576" s="93"/>
      <c r="K1576" s="93"/>
      <c r="L1576" s="93"/>
      <c r="M1576" s="93"/>
      <c r="N1576" s="93"/>
      <c r="O1576" s="93"/>
      <c r="P1576" s="93"/>
      <c r="Q1576" s="93"/>
      <c r="R1576" s="93"/>
      <c r="S1576" s="93"/>
      <c r="T1576" s="93"/>
      <c r="U1576" s="93"/>
      <c r="V1576" s="93"/>
      <c r="W1576" s="93"/>
      <c r="X1576" s="93"/>
      <c r="Y1576" s="93"/>
      <c r="Z1576" s="93"/>
    </row>
    <row r="1577" customFormat="false" ht="16.4" hidden="false" customHeight="false" outlineLevel="0" collapsed="false">
      <c r="A1577" s="123" t="n">
        <v>45444</v>
      </c>
      <c r="B1577" s="31" t="s">
        <v>153</v>
      </c>
      <c r="C1577" s="129"/>
      <c r="D1577" s="129"/>
      <c r="E1577" s="19" t="n">
        <f aca="false">F1577*0.03</f>
        <v>0</v>
      </c>
      <c r="F1577" s="33" t="n">
        <v>0</v>
      </c>
      <c r="G1577" s="131"/>
      <c r="H1577" s="35" t="n">
        <v>0</v>
      </c>
      <c r="I1577" s="34" t="n">
        <f aca="false">+IF(E1577=0,0,E1577*0.03)</f>
        <v>0</v>
      </c>
      <c r="J1577" s="93"/>
      <c r="K1577" s="93"/>
      <c r="L1577" s="93"/>
      <c r="M1577" s="93"/>
      <c r="N1577" s="93"/>
      <c r="O1577" s="93"/>
      <c r="P1577" s="93"/>
      <c r="Q1577" s="93"/>
      <c r="R1577" s="93"/>
      <c r="S1577" s="93"/>
      <c r="T1577" s="93"/>
      <c r="U1577" s="93"/>
      <c r="V1577" s="93"/>
      <c r="W1577" s="93"/>
      <c r="X1577" s="93"/>
      <c r="Y1577" s="93"/>
      <c r="Z1577" s="93"/>
    </row>
    <row r="1578" customFormat="false" ht="16.4" hidden="false" customHeight="false" outlineLevel="0" collapsed="false">
      <c r="A1578" s="123" t="n">
        <v>45444</v>
      </c>
      <c r="B1578" s="31" t="s">
        <v>153</v>
      </c>
      <c r="C1578" s="129"/>
      <c r="D1578" s="129"/>
      <c r="E1578" s="19" t="n">
        <f aca="false">F1578*0.03</f>
        <v>0</v>
      </c>
      <c r="F1578" s="33" t="n">
        <v>0</v>
      </c>
      <c r="G1578" s="131"/>
      <c r="H1578" s="35" t="n">
        <v>0</v>
      </c>
      <c r="I1578" s="34" t="n">
        <f aca="false">+IF(E1578=0,0,E1578*0.03)</f>
        <v>0</v>
      </c>
      <c r="J1578" s="93"/>
      <c r="K1578" s="93"/>
      <c r="L1578" s="93"/>
      <c r="M1578" s="93"/>
      <c r="N1578" s="93"/>
      <c r="O1578" s="93"/>
      <c r="P1578" s="93"/>
      <c r="Q1578" s="93"/>
      <c r="R1578" s="93"/>
      <c r="S1578" s="93"/>
      <c r="T1578" s="93"/>
      <c r="U1578" s="93"/>
      <c r="V1578" s="93"/>
      <c r="W1578" s="93"/>
      <c r="X1578" s="93"/>
      <c r="Y1578" s="93"/>
      <c r="Z1578" s="93"/>
    </row>
    <row r="1579" customFormat="false" ht="16.4" hidden="false" customHeight="false" outlineLevel="0" collapsed="false">
      <c r="A1579" s="123" t="n">
        <v>45444</v>
      </c>
      <c r="B1579" s="31" t="s">
        <v>153</v>
      </c>
      <c r="C1579" s="129"/>
      <c r="D1579" s="129"/>
      <c r="E1579" s="19" t="n">
        <f aca="false">F1579*0.03</f>
        <v>0</v>
      </c>
      <c r="F1579" s="33" t="n">
        <v>0</v>
      </c>
      <c r="G1579" s="131"/>
      <c r="H1579" s="35" t="n">
        <v>0</v>
      </c>
      <c r="I1579" s="34" t="n">
        <f aca="false">+IF(E1579=0,0,E1579*0.03)</f>
        <v>0</v>
      </c>
      <c r="J1579" s="93"/>
      <c r="K1579" s="93"/>
      <c r="L1579" s="93"/>
      <c r="M1579" s="93"/>
      <c r="N1579" s="93"/>
      <c r="O1579" s="93"/>
      <c r="P1579" s="93"/>
      <c r="Q1579" s="93"/>
      <c r="R1579" s="93"/>
      <c r="S1579" s="93"/>
      <c r="T1579" s="93"/>
      <c r="U1579" s="93"/>
      <c r="V1579" s="93"/>
      <c r="W1579" s="93"/>
      <c r="X1579" s="93"/>
      <c r="Y1579" s="93"/>
      <c r="Z1579" s="93"/>
    </row>
    <row r="1580" customFormat="false" ht="16.4" hidden="false" customHeight="false" outlineLevel="0" collapsed="false">
      <c r="A1580" s="123" t="n">
        <v>45444</v>
      </c>
      <c r="B1580" s="31" t="s">
        <v>153</v>
      </c>
      <c r="C1580" s="129"/>
      <c r="D1580" s="129"/>
      <c r="E1580" s="19" t="n">
        <f aca="false">F1580*0.03</f>
        <v>0</v>
      </c>
      <c r="F1580" s="33" t="n">
        <v>0</v>
      </c>
      <c r="G1580" s="131"/>
      <c r="H1580" s="35" t="n">
        <v>0</v>
      </c>
      <c r="I1580" s="34" t="n">
        <f aca="false">+IF(E1580=0,0,E1580*0.03)</f>
        <v>0</v>
      </c>
      <c r="J1580" s="93"/>
      <c r="K1580" s="93"/>
      <c r="L1580" s="93"/>
      <c r="M1580" s="93"/>
      <c r="N1580" s="93"/>
      <c r="O1580" s="93"/>
      <c r="P1580" s="93"/>
      <c r="Q1580" s="93"/>
      <c r="R1580" s="93"/>
      <c r="S1580" s="93"/>
      <c r="T1580" s="93"/>
      <c r="U1580" s="93"/>
      <c r="V1580" s="93"/>
      <c r="W1580" s="93"/>
      <c r="X1580" s="93"/>
      <c r="Y1580" s="93"/>
      <c r="Z1580" s="93"/>
    </row>
    <row r="1581" customFormat="false" ht="16.4" hidden="false" customHeight="false" outlineLevel="0" collapsed="false">
      <c r="A1581" s="123" t="n">
        <v>45444</v>
      </c>
      <c r="B1581" s="31" t="s">
        <v>153</v>
      </c>
      <c r="C1581" s="129"/>
      <c r="D1581" s="129"/>
      <c r="E1581" s="19" t="n">
        <f aca="false">F1581*0.03</f>
        <v>0</v>
      </c>
      <c r="F1581" s="33" t="n">
        <v>0</v>
      </c>
      <c r="G1581" s="131"/>
      <c r="H1581" s="35" t="n">
        <v>0</v>
      </c>
      <c r="I1581" s="34" t="n">
        <f aca="false">+IF(E1581=0,0,E1581*0.03)</f>
        <v>0</v>
      </c>
      <c r="J1581" s="93"/>
      <c r="K1581" s="93"/>
      <c r="L1581" s="93"/>
      <c r="M1581" s="93"/>
      <c r="N1581" s="93"/>
      <c r="O1581" s="93"/>
      <c r="P1581" s="93"/>
      <c r="Q1581" s="93"/>
      <c r="R1581" s="93"/>
      <c r="S1581" s="93"/>
      <c r="T1581" s="93"/>
      <c r="U1581" s="93"/>
      <c r="V1581" s="93"/>
      <c r="W1581" s="93"/>
      <c r="X1581" s="93"/>
      <c r="Y1581" s="93"/>
      <c r="Z1581" s="93"/>
    </row>
    <row r="1582" customFormat="false" ht="16.4" hidden="false" customHeight="false" outlineLevel="0" collapsed="false">
      <c r="A1582" s="123" t="n">
        <v>45444</v>
      </c>
      <c r="B1582" s="31" t="s">
        <v>153</v>
      </c>
      <c r="C1582" s="129"/>
      <c r="D1582" s="129"/>
      <c r="E1582" s="19" t="n">
        <f aca="false">F1582*0.03</f>
        <v>0</v>
      </c>
      <c r="F1582" s="33" t="n">
        <v>0</v>
      </c>
      <c r="G1582" s="131"/>
      <c r="H1582" s="35" t="n">
        <v>0</v>
      </c>
      <c r="I1582" s="34" t="n">
        <f aca="false">+IF(E1582=0,0,E1582*0.03)</f>
        <v>0</v>
      </c>
      <c r="J1582" s="93"/>
      <c r="K1582" s="93"/>
      <c r="L1582" s="93"/>
      <c r="M1582" s="93"/>
      <c r="N1582" s="93"/>
      <c r="O1582" s="93"/>
      <c r="P1582" s="93"/>
      <c r="Q1582" s="93"/>
      <c r="R1582" s="93"/>
      <c r="S1582" s="93"/>
      <c r="T1582" s="93"/>
      <c r="U1582" s="93"/>
      <c r="V1582" s="93"/>
      <c r="W1582" s="93"/>
      <c r="X1582" s="93"/>
      <c r="Y1582" s="93"/>
      <c r="Z1582" s="93"/>
    </row>
    <row r="1583" customFormat="false" ht="16.4" hidden="false" customHeight="false" outlineLevel="0" collapsed="false">
      <c r="A1583" s="123" t="n">
        <v>45444</v>
      </c>
      <c r="B1583" s="31" t="s">
        <v>153</v>
      </c>
      <c r="C1583" s="129"/>
      <c r="D1583" s="129"/>
      <c r="E1583" s="19" t="n">
        <f aca="false">F1583*0.03</f>
        <v>0</v>
      </c>
      <c r="F1583" s="33" t="n">
        <v>0</v>
      </c>
      <c r="G1583" s="131"/>
      <c r="H1583" s="35" t="n">
        <v>0</v>
      </c>
      <c r="I1583" s="34" t="n">
        <f aca="false">+IF(E1583=0,0,E1583*0.03)</f>
        <v>0</v>
      </c>
      <c r="J1583" s="93"/>
      <c r="K1583" s="93"/>
      <c r="L1583" s="93"/>
      <c r="M1583" s="93"/>
      <c r="N1583" s="93"/>
      <c r="O1583" s="93"/>
      <c r="P1583" s="93"/>
      <c r="Q1583" s="93"/>
      <c r="R1583" s="93"/>
      <c r="S1583" s="93"/>
      <c r="T1583" s="93"/>
      <c r="U1583" s="93"/>
      <c r="V1583" s="93"/>
      <c r="W1583" s="93"/>
      <c r="X1583" s="93"/>
      <c r="Y1583" s="93"/>
      <c r="Z1583" s="93"/>
    </row>
    <row r="1584" customFormat="false" ht="16.4" hidden="false" customHeight="false" outlineLevel="0" collapsed="false">
      <c r="A1584" s="123" t="n">
        <v>45444</v>
      </c>
      <c r="B1584" s="31" t="s">
        <v>153</v>
      </c>
      <c r="C1584" s="129"/>
      <c r="D1584" s="129"/>
      <c r="E1584" s="19" t="n">
        <f aca="false">F1584*0.03</f>
        <v>0</v>
      </c>
      <c r="F1584" s="33" t="n">
        <v>0</v>
      </c>
      <c r="G1584" s="131"/>
      <c r="H1584" s="35" t="n">
        <v>0</v>
      </c>
      <c r="I1584" s="34" t="n">
        <f aca="false">+IF(E1584=0,0,E1584*0.03)</f>
        <v>0</v>
      </c>
      <c r="J1584" s="93"/>
      <c r="K1584" s="93"/>
      <c r="L1584" s="93"/>
      <c r="M1584" s="93"/>
      <c r="N1584" s="93"/>
      <c r="O1584" s="93"/>
      <c r="P1584" s="93"/>
      <c r="Q1584" s="93"/>
      <c r="R1584" s="93"/>
      <c r="S1584" s="93"/>
      <c r="T1584" s="93"/>
      <c r="U1584" s="93"/>
      <c r="V1584" s="93"/>
      <c r="W1584" s="93"/>
      <c r="X1584" s="93"/>
      <c r="Y1584" s="93"/>
      <c r="Z1584" s="93"/>
    </row>
    <row r="1585" customFormat="false" ht="16.4" hidden="false" customHeight="false" outlineLevel="0" collapsed="false">
      <c r="A1585" s="123" t="n">
        <v>45444</v>
      </c>
      <c r="B1585" s="31" t="s">
        <v>153</v>
      </c>
      <c r="C1585" s="129"/>
      <c r="D1585" s="129"/>
      <c r="E1585" s="19" t="n">
        <f aca="false">F1585*0.03</f>
        <v>0</v>
      </c>
      <c r="F1585" s="33" t="n">
        <v>0</v>
      </c>
      <c r="G1585" s="131"/>
      <c r="H1585" s="35" t="n">
        <v>0</v>
      </c>
      <c r="I1585" s="34" t="n">
        <f aca="false">+IF(E1585=0,0,E1585*0.03)</f>
        <v>0</v>
      </c>
      <c r="J1585" s="93"/>
      <c r="K1585" s="93"/>
      <c r="L1585" s="93"/>
      <c r="M1585" s="93"/>
      <c r="N1585" s="93"/>
      <c r="O1585" s="93"/>
      <c r="P1585" s="93"/>
      <c r="Q1585" s="93"/>
      <c r="R1585" s="93"/>
      <c r="S1585" s="93"/>
      <c r="T1585" s="93"/>
      <c r="U1585" s="93"/>
      <c r="V1585" s="93"/>
      <c r="W1585" s="93"/>
      <c r="X1585" s="93"/>
      <c r="Y1585" s="93"/>
      <c r="Z1585" s="93"/>
    </row>
    <row r="1586" customFormat="false" ht="16.4" hidden="false" customHeight="false" outlineLevel="0" collapsed="false">
      <c r="A1586" s="123" t="n">
        <v>45444</v>
      </c>
      <c r="B1586" s="31" t="s">
        <v>153</v>
      </c>
      <c r="C1586" s="129"/>
      <c r="D1586" s="129"/>
      <c r="E1586" s="19" t="n">
        <f aca="false">F1586*0.03</f>
        <v>0</v>
      </c>
      <c r="F1586" s="33" t="n">
        <v>0</v>
      </c>
      <c r="G1586" s="131"/>
      <c r="H1586" s="35" t="n">
        <v>0</v>
      </c>
      <c r="I1586" s="34" t="n">
        <f aca="false">+IF(E1586=0,0,E1586*0.03)</f>
        <v>0</v>
      </c>
      <c r="J1586" s="93"/>
      <c r="K1586" s="93"/>
      <c r="L1586" s="93"/>
      <c r="M1586" s="93"/>
      <c r="N1586" s="93"/>
      <c r="O1586" s="93"/>
      <c r="P1586" s="93"/>
      <c r="Q1586" s="93"/>
      <c r="R1586" s="93"/>
      <c r="S1586" s="93"/>
      <c r="T1586" s="93"/>
      <c r="U1586" s="93"/>
      <c r="V1586" s="93"/>
      <c r="W1586" s="93"/>
      <c r="X1586" s="93"/>
      <c r="Y1586" s="93"/>
      <c r="Z1586" s="93"/>
    </row>
    <row r="1587" customFormat="false" ht="16.4" hidden="false" customHeight="false" outlineLevel="0" collapsed="false">
      <c r="A1587" s="123" t="n">
        <v>45444</v>
      </c>
      <c r="B1587" s="31" t="s">
        <v>153</v>
      </c>
      <c r="C1587" s="129"/>
      <c r="D1587" s="129"/>
      <c r="E1587" s="19" t="n">
        <f aca="false">F1587*0.03</f>
        <v>0</v>
      </c>
      <c r="F1587" s="33" t="n">
        <v>0</v>
      </c>
      <c r="G1587" s="131"/>
      <c r="H1587" s="35" t="n">
        <v>0</v>
      </c>
      <c r="I1587" s="34" t="n">
        <f aca="false">+IF(E1587=0,0,E1587*0.03)</f>
        <v>0</v>
      </c>
      <c r="J1587" s="93"/>
      <c r="K1587" s="93"/>
      <c r="L1587" s="93"/>
      <c r="M1587" s="93"/>
      <c r="N1587" s="93"/>
      <c r="O1587" s="93"/>
      <c r="P1587" s="93"/>
      <c r="Q1587" s="93"/>
      <c r="R1587" s="93"/>
      <c r="S1587" s="93"/>
      <c r="T1587" s="93"/>
      <c r="U1587" s="93"/>
      <c r="V1587" s="93"/>
      <c r="W1587" s="93"/>
      <c r="X1587" s="93"/>
      <c r="Y1587" s="93"/>
      <c r="Z1587" s="93"/>
    </row>
    <row r="1588" customFormat="false" ht="16.4" hidden="false" customHeight="false" outlineLevel="0" collapsed="false">
      <c r="A1588" s="123" t="n">
        <v>45444</v>
      </c>
      <c r="B1588" s="31" t="s">
        <v>153</v>
      </c>
      <c r="C1588" s="129"/>
      <c r="D1588" s="129"/>
      <c r="E1588" s="19" t="n">
        <f aca="false">F1588*0.03</f>
        <v>0</v>
      </c>
      <c r="F1588" s="33" t="n">
        <v>0</v>
      </c>
      <c r="G1588" s="131"/>
      <c r="H1588" s="35" t="n">
        <v>0</v>
      </c>
      <c r="I1588" s="34" t="n">
        <f aca="false">+IF(E1588=0,0,E1588*0.03)</f>
        <v>0</v>
      </c>
      <c r="J1588" s="93"/>
      <c r="K1588" s="93"/>
      <c r="L1588" s="93"/>
      <c r="M1588" s="93"/>
      <c r="N1588" s="93"/>
      <c r="O1588" s="93"/>
      <c r="P1588" s="93"/>
      <c r="Q1588" s="93"/>
      <c r="R1588" s="93"/>
      <c r="S1588" s="93"/>
      <c r="T1588" s="93"/>
      <c r="U1588" s="93"/>
      <c r="V1588" s="93"/>
      <c r="W1588" s="93"/>
      <c r="X1588" s="93"/>
      <c r="Y1588" s="93"/>
      <c r="Z1588" s="93"/>
    </row>
    <row r="1589" customFormat="false" ht="16.4" hidden="false" customHeight="false" outlineLevel="0" collapsed="false">
      <c r="A1589" s="123" t="n">
        <v>45444</v>
      </c>
      <c r="B1589" s="31" t="s">
        <v>153</v>
      </c>
      <c r="C1589" s="129"/>
      <c r="D1589" s="129"/>
      <c r="E1589" s="19" t="n">
        <f aca="false">F1589*0.03</f>
        <v>0</v>
      </c>
      <c r="F1589" s="33" t="n">
        <v>0</v>
      </c>
      <c r="G1589" s="131"/>
      <c r="H1589" s="35" t="n">
        <v>0</v>
      </c>
      <c r="I1589" s="34" t="n">
        <f aca="false">+IF(E1589=0,0,E1589*0.03)</f>
        <v>0</v>
      </c>
      <c r="J1589" s="93"/>
      <c r="K1589" s="93"/>
      <c r="L1589" s="93"/>
      <c r="M1589" s="93"/>
      <c r="N1589" s="93"/>
      <c r="O1589" s="93"/>
      <c r="P1589" s="93"/>
      <c r="Q1589" s="93"/>
      <c r="R1589" s="93"/>
      <c r="S1589" s="93"/>
      <c r="T1589" s="93"/>
      <c r="U1589" s="93"/>
      <c r="V1589" s="93"/>
      <c r="W1589" s="93"/>
      <c r="X1589" s="93"/>
      <c r="Y1589" s="93"/>
      <c r="Z1589" s="93"/>
    </row>
    <row r="1590" customFormat="false" ht="16.4" hidden="false" customHeight="false" outlineLevel="0" collapsed="false">
      <c r="A1590" s="123" t="n">
        <v>45444</v>
      </c>
      <c r="B1590" s="31" t="s">
        <v>153</v>
      </c>
      <c r="C1590" s="129"/>
      <c r="D1590" s="129"/>
      <c r="E1590" s="19" t="n">
        <f aca="false">F1590*0.03</f>
        <v>0</v>
      </c>
      <c r="F1590" s="33" t="n">
        <v>0</v>
      </c>
      <c r="G1590" s="131"/>
      <c r="H1590" s="35" t="n">
        <v>0</v>
      </c>
      <c r="I1590" s="34" t="n">
        <f aca="false">+IF(E1590=0,0,E1590*0.03)</f>
        <v>0</v>
      </c>
      <c r="J1590" s="93"/>
      <c r="K1590" s="93"/>
      <c r="L1590" s="93"/>
      <c r="M1590" s="93"/>
      <c r="N1590" s="93"/>
      <c r="O1590" s="93"/>
      <c r="P1590" s="93"/>
      <c r="Q1590" s="93"/>
      <c r="R1590" s="93"/>
      <c r="S1590" s="93"/>
      <c r="T1590" s="93"/>
      <c r="U1590" s="93"/>
      <c r="V1590" s="93"/>
      <c r="W1590" s="93"/>
      <c r="X1590" s="93"/>
      <c r="Y1590" s="93"/>
      <c r="Z1590" s="93"/>
    </row>
    <row r="1591" customFormat="false" ht="16.4" hidden="false" customHeight="false" outlineLevel="0" collapsed="false">
      <c r="A1591" s="123" t="n">
        <v>45444</v>
      </c>
      <c r="B1591" s="31" t="s">
        <v>153</v>
      </c>
      <c r="C1591" s="129"/>
      <c r="D1591" s="129"/>
      <c r="E1591" s="19" t="n">
        <f aca="false">F1591*0.03</f>
        <v>0</v>
      </c>
      <c r="F1591" s="33" t="n">
        <v>0</v>
      </c>
      <c r="G1591" s="131"/>
      <c r="H1591" s="35" t="n">
        <v>0</v>
      </c>
      <c r="I1591" s="34" t="n">
        <f aca="false">+IF(E1591=0,0,E1591*0.03)</f>
        <v>0</v>
      </c>
      <c r="J1591" s="93"/>
      <c r="K1591" s="93"/>
      <c r="L1591" s="93"/>
      <c r="M1591" s="93"/>
      <c r="N1591" s="93"/>
      <c r="O1591" s="93"/>
      <c r="P1591" s="93"/>
      <c r="Q1591" s="93"/>
      <c r="R1591" s="93"/>
      <c r="S1591" s="93"/>
      <c r="T1591" s="93"/>
      <c r="U1591" s="93"/>
      <c r="V1591" s="93"/>
      <c r="W1591" s="93"/>
      <c r="X1591" s="93"/>
      <c r="Y1591" s="93"/>
      <c r="Z1591" s="93"/>
    </row>
    <row r="1592" customFormat="false" ht="16.4" hidden="false" customHeight="false" outlineLevel="0" collapsed="false">
      <c r="A1592" s="123" t="n">
        <v>45444</v>
      </c>
      <c r="B1592" s="31" t="s">
        <v>153</v>
      </c>
      <c r="C1592" s="129"/>
      <c r="D1592" s="129"/>
      <c r="E1592" s="19" t="n">
        <f aca="false">F1592*0.03</f>
        <v>0</v>
      </c>
      <c r="F1592" s="33" t="n">
        <v>0</v>
      </c>
      <c r="G1592" s="131"/>
      <c r="H1592" s="35" t="n">
        <v>0</v>
      </c>
      <c r="I1592" s="34" t="n">
        <f aca="false">+IF(E1592=0,0,E1592*0.03)</f>
        <v>0</v>
      </c>
      <c r="J1592" s="93"/>
      <c r="K1592" s="93"/>
      <c r="L1592" s="93"/>
      <c r="M1592" s="93"/>
      <c r="N1592" s="93"/>
      <c r="O1592" s="93"/>
      <c r="P1592" s="93"/>
      <c r="Q1592" s="93"/>
      <c r="R1592" s="93"/>
      <c r="S1592" s="93"/>
      <c r="T1592" s="93"/>
      <c r="U1592" s="93"/>
      <c r="V1592" s="93"/>
      <c r="W1592" s="93"/>
      <c r="X1592" s="93"/>
      <c r="Y1592" s="93"/>
      <c r="Z1592" s="93"/>
    </row>
    <row r="1593" customFormat="false" ht="16.4" hidden="false" customHeight="false" outlineLevel="0" collapsed="false">
      <c r="A1593" s="123" t="n">
        <v>45444</v>
      </c>
      <c r="B1593" s="31" t="s">
        <v>153</v>
      </c>
      <c r="C1593" s="129"/>
      <c r="D1593" s="129"/>
      <c r="E1593" s="19" t="n">
        <f aca="false">F1593*0.03</f>
        <v>0</v>
      </c>
      <c r="F1593" s="33" t="n">
        <v>0</v>
      </c>
      <c r="G1593" s="131"/>
      <c r="H1593" s="35" t="n">
        <v>0</v>
      </c>
      <c r="I1593" s="34" t="n">
        <f aca="false">+IF(E1593=0,0,E1593*0.03)</f>
        <v>0</v>
      </c>
      <c r="J1593" s="93"/>
      <c r="K1593" s="93"/>
      <c r="L1593" s="93"/>
      <c r="M1593" s="93"/>
      <c r="N1593" s="93"/>
      <c r="O1593" s="93"/>
      <c r="P1593" s="93"/>
      <c r="Q1593" s="93"/>
      <c r="R1593" s="93"/>
      <c r="S1593" s="93"/>
      <c r="T1593" s="93"/>
      <c r="U1593" s="93"/>
      <c r="V1593" s="93"/>
      <c r="W1593" s="93"/>
      <c r="X1593" s="93"/>
      <c r="Y1593" s="93"/>
      <c r="Z1593" s="93"/>
    </row>
    <row r="1594" customFormat="false" ht="16.4" hidden="false" customHeight="false" outlineLevel="0" collapsed="false">
      <c r="A1594" s="123" t="n">
        <v>45444</v>
      </c>
      <c r="B1594" s="31" t="s">
        <v>153</v>
      </c>
      <c r="C1594" s="129"/>
      <c r="D1594" s="129"/>
      <c r="E1594" s="19" t="n">
        <f aca="false">F1594*0.03</f>
        <v>0</v>
      </c>
      <c r="F1594" s="33" t="n">
        <v>0</v>
      </c>
      <c r="G1594" s="131"/>
      <c r="H1594" s="35" t="n">
        <v>0</v>
      </c>
      <c r="I1594" s="34" t="n">
        <f aca="false">+IF(E1594=0,0,E1594*0.03)</f>
        <v>0</v>
      </c>
      <c r="J1594" s="93"/>
      <c r="K1594" s="93"/>
      <c r="L1594" s="93"/>
      <c r="M1594" s="93"/>
      <c r="N1594" s="93"/>
      <c r="O1594" s="93"/>
      <c r="P1594" s="93"/>
      <c r="Q1594" s="93"/>
      <c r="R1594" s="93"/>
      <c r="S1594" s="93"/>
      <c r="T1594" s="93"/>
      <c r="U1594" s="93"/>
      <c r="V1594" s="93"/>
      <c r="W1594" s="93"/>
      <c r="X1594" s="93"/>
      <c r="Y1594" s="93"/>
      <c r="Z1594" s="93"/>
    </row>
    <row r="1595" customFormat="false" ht="16.4" hidden="false" customHeight="false" outlineLevel="0" collapsed="false">
      <c r="A1595" s="123" t="n">
        <v>45444</v>
      </c>
      <c r="B1595" s="31" t="s">
        <v>153</v>
      </c>
      <c r="C1595" s="129"/>
      <c r="D1595" s="129"/>
      <c r="E1595" s="19" t="n">
        <f aca="false">F1595*0.03</f>
        <v>0</v>
      </c>
      <c r="F1595" s="33" t="n">
        <v>0</v>
      </c>
      <c r="G1595" s="131"/>
      <c r="H1595" s="35" t="n">
        <v>0</v>
      </c>
      <c r="I1595" s="34" t="n">
        <f aca="false">+IF(E1595=0,0,E1595*0.03)</f>
        <v>0</v>
      </c>
      <c r="J1595" s="93"/>
      <c r="K1595" s="93"/>
      <c r="L1595" s="93"/>
      <c r="M1595" s="93"/>
      <c r="N1595" s="93"/>
      <c r="O1595" s="93"/>
      <c r="P1595" s="93"/>
      <c r="Q1595" s="93"/>
      <c r="R1595" s="93"/>
      <c r="S1595" s="93"/>
      <c r="T1595" s="93"/>
      <c r="U1595" s="93"/>
      <c r="V1595" s="93"/>
      <c r="W1595" s="93"/>
      <c r="X1595" s="93"/>
      <c r="Y1595" s="93"/>
      <c r="Z1595" s="93"/>
    </row>
    <row r="1596" customFormat="false" ht="16.4" hidden="false" customHeight="false" outlineLevel="0" collapsed="false">
      <c r="A1596" s="123" t="n">
        <v>45444</v>
      </c>
      <c r="B1596" s="31" t="s">
        <v>153</v>
      </c>
      <c r="C1596" s="129"/>
      <c r="D1596" s="129"/>
      <c r="E1596" s="19" t="n">
        <f aca="false">F1596*0.03</f>
        <v>0</v>
      </c>
      <c r="F1596" s="33" t="n">
        <v>0</v>
      </c>
      <c r="G1596" s="131"/>
      <c r="H1596" s="35" t="n">
        <v>0</v>
      </c>
      <c r="I1596" s="34" t="n">
        <f aca="false">+IF(E1596=0,0,E1596*0.03)</f>
        <v>0</v>
      </c>
      <c r="J1596" s="93"/>
      <c r="K1596" s="93"/>
      <c r="L1596" s="93"/>
      <c r="M1596" s="93"/>
      <c r="N1596" s="93"/>
      <c r="O1596" s="93"/>
      <c r="P1596" s="93"/>
      <c r="Q1596" s="93"/>
      <c r="R1596" s="93"/>
      <c r="S1596" s="93"/>
      <c r="T1596" s="93"/>
      <c r="U1596" s="93"/>
      <c r="V1596" s="93"/>
      <c r="W1596" s="93"/>
      <c r="X1596" s="93"/>
      <c r="Y1596" s="93"/>
      <c r="Z1596" s="93"/>
    </row>
    <row r="1597" customFormat="false" ht="16.4" hidden="false" customHeight="false" outlineLevel="0" collapsed="false">
      <c r="A1597" s="123" t="n">
        <v>45444</v>
      </c>
      <c r="B1597" s="31" t="s">
        <v>153</v>
      </c>
      <c r="C1597" s="129"/>
      <c r="D1597" s="129"/>
      <c r="E1597" s="19" t="n">
        <f aca="false">F1597*0.03</f>
        <v>0</v>
      </c>
      <c r="F1597" s="33" t="n">
        <v>0</v>
      </c>
      <c r="G1597" s="131"/>
      <c r="H1597" s="35" t="n">
        <v>0</v>
      </c>
      <c r="I1597" s="34" t="n">
        <f aca="false">+IF(E1597=0,0,E1597*0.03)</f>
        <v>0</v>
      </c>
      <c r="J1597" s="93"/>
      <c r="K1597" s="93"/>
      <c r="L1597" s="93"/>
      <c r="M1597" s="93"/>
      <c r="N1597" s="93"/>
      <c r="O1597" s="93"/>
      <c r="P1597" s="93"/>
      <c r="Q1597" s="93"/>
      <c r="R1597" s="93"/>
      <c r="S1597" s="93"/>
      <c r="T1597" s="93"/>
      <c r="U1597" s="93"/>
      <c r="V1597" s="93"/>
      <c r="W1597" s="93"/>
      <c r="X1597" s="93"/>
      <c r="Y1597" s="93"/>
      <c r="Z1597" s="93"/>
    </row>
    <row r="1598" customFormat="false" ht="16.4" hidden="false" customHeight="false" outlineLevel="0" collapsed="false">
      <c r="A1598" s="123" t="n">
        <v>45444</v>
      </c>
      <c r="B1598" s="31" t="s">
        <v>153</v>
      </c>
      <c r="C1598" s="129"/>
      <c r="D1598" s="129"/>
      <c r="E1598" s="19" t="n">
        <f aca="false">F1598*0.03</f>
        <v>0</v>
      </c>
      <c r="F1598" s="33" t="n">
        <v>0</v>
      </c>
      <c r="G1598" s="131"/>
      <c r="H1598" s="35" t="n">
        <v>0</v>
      </c>
      <c r="I1598" s="34" t="n">
        <f aca="false">+IF(E1598=0,0,E1598*0.03)</f>
        <v>0</v>
      </c>
      <c r="J1598" s="93"/>
      <c r="K1598" s="93"/>
      <c r="L1598" s="93"/>
      <c r="M1598" s="93"/>
      <c r="N1598" s="93"/>
      <c r="O1598" s="93"/>
      <c r="P1598" s="93"/>
      <c r="Q1598" s="93"/>
      <c r="R1598" s="93"/>
      <c r="S1598" s="93"/>
      <c r="T1598" s="93"/>
      <c r="U1598" s="93"/>
      <c r="V1598" s="93"/>
      <c r="W1598" s="93"/>
      <c r="X1598" s="93"/>
      <c r="Y1598" s="93"/>
      <c r="Z1598" s="93"/>
    </row>
    <row r="1599" customFormat="false" ht="16.4" hidden="false" customHeight="false" outlineLevel="0" collapsed="false">
      <c r="A1599" s="123" t="n">
        <v>45444</v>
      </c>
      <c r="B1599" s="31" t="s">
        <v>153</v>
      </c>
      <c r="C1599" s="129"/>
      <c r="D1599" s="129"/>
      <c r="E1599" s="19" t="n">
        <f aca="false">F1599*0.03</f>
        <v>0</v>
      </c>
      <c r="F1599" s="33" t="n">
        <v>0</v>
      </c>
      <c r="G1599" s="131"/>
      <c r="H1599" s="35" t="n">
        <v>0</v>
      </c>
      <c r="I1599" s="34" t="n">
        <f aca="false">+IF(E1599=0,0,E1599*0.03)</f>
        <v>0</v>
      </c>
      <c r="J1599" s="93"/>
      <c r="K1599" s="93"/>
      <c r="L1599" s="93"/>
      <c r="M1599" s="93"/>
      <c r="N1599" s="93"/>
      <c r="O1599" s="93"/>
      <c r="P1599" s="93"/>
      <c r="Q1599" s="93"/>
      <c r="R1599" s="93"/>
      <c r="S1599" s="93"/>
      <c r="T1599" s="93"/>
      <c r="U1599" s="93"/>
      <c r="V1599" s="93"/>
      <c r="W1599" s="93"/>
      <c r="X1599" s="93"/>
      <c r="Y1599" s="93"/>
      <c r="Z1599" s="93"/>
    </row>
    <row r="1600" customFormat="false" ht="16.4" hidden="false" customHeight="false" outlineLevel="0" collapsed="false">
      <c r="A1600" s="123" t="n">
        <v>45444</v>
      </c>
      <c r="B1600" s="31" t="s">
        <v>153</v>
      </c>
      <c r="C1600" s="129"/>
      <c r="D1600" s="129"/>
      <c r="E1600" s="19" t="n">
        <f aca="false">F1600*0.03</f>
        <v>0</v>
      </c>
      <c r="F1600" s="33" t="n">
        <v>0</v>
      </c>
      <c r="G1600" s="131"/>
      <c r="H1600" s="35" t="n">
        <v>0</v>
      </c>
      <c r="I1600" s="34" t="n">
        <f aca="false">+IF(E1600=0,0,E1600*0.03)</f>
        <v>0</v>
      </c>
      <c r="J1600" s="93"/>
      <c r="K1600" s="93"/>
      <c r="L1600" s="93"/>
      <c r="M1600" s="93"/>
      <c r="N1600" s="93"/>
      <c r="O1600" s="93"/>
      <c r="P1600" s="93"/>
      <c r="Q1600" s="93"/>
      <c r="R1600" s="93"/>
      <c r="S1600" s="93"/>
      <c r="T1600" s="93"/>
      <c r="U1600" s="93"/>
      <c r="V1600" s="93"/>
      <c r="W1600" s="93"/>
      <c r="X1600" s="93"/>
      <c r="Y1600" s="93"/>
      <c r="Z1600" s="93"/>
    </row>
    <row r="1601" customFormat="false" ht="16.4" hidden="false" customHeight="false" outlineLevel="0" collapsed="false">
      <c r="A1601" s="123" t="n">
        <v>45444</v>
      </c>
      <c r="B1601" s="31" t="s">
        <v>153</v>
      </c>
      <c r="C1601" s="129"/>
      <c r="D1601" s="129"/>
      <c r="E1601" s="19" t="n">
        <f aca="false">F1601*0.03</f>
        <v>0</v>
      </c>
      <c r="F1601" s="33" t="n">
        <v>0</v>
      </c>
      <c r="G1601" s="131"/>
      <c r="H1601" s="35" t="n">
        <v>0</v>
      </c>
      <c r="I1601" s="34" t="n">
        <f aca="false">+IF(E1601=0,0,E1601*0.03)</f>
        <v>0</v>
      </c>
      <c r="J1601" s="93"/>
      <c r="K1601" s="93"/>
      <c r="L1601" s="93"/>
      <c r="M1601" s="93"/>
      <c r="N1601" s="93"/>
      <c r="O1601" s="93"/>
      <c r="P1601" s="93"/>
      <c r="Q1601" s="93"/>
      <c r="R1601" s="93"/>
      <c r="S1601" s="93"/>
      <c r="T1601" s="93"/>
      <c r="U1601" s="93"/>
      <c r="V1601" s="93"/>
      <c r="W1601" s="93"/>
      <c r="X1601" s="93"/>
      <c r="Y1601" s="93"/>
      <c r="Z1601" s="93"/>
    </row>
    <row r="1602" customFormat="false" ht="16.4" hidden="false" customHeight="false" outlineLevel="0" collapsed="false">
      <c r="A1602" s="123" t="n">
        <v>45444</v>
      </c>
      <c r="B1602" s="31" t="s">
        <v>153</v>
      </c>
      <c r="C1602" s="129"/>
      <c r="D1602" s="129"/>
      <c r="E1602" s="19" t="n">
        <f aca="false">F1602*0.03</f>
        <v>0</v>
      </c>
      <c r="F1602" s="33" t="n">
        <v>0</v>
      </c>
      <c r="G1602" s="131"/>
      <c r="H1602" s="35" t="n">
        <v>0</v>
      </c>
      <c r="I1602" s="34" t="n">
        <f aca="false">+IF(E1602=0,0,E1602*0.03)</f>
        <v>0</v>
      </c>
      <c r="J1602" s="93"/>
      <c r="K1602" s="93"/>
      <c r="L1602" s="93"/>
      <c r="M1602" s="93"/>
      <c r="N1602" s="93"/>
      <c r="O1602" s="93"/>
      <c r="P1602" s="93"/>
      <c r="Q1602" s="93"/>
      <c r="R1602" s="93"/>
      <c r="S1602" s="93"/>
      <c r="T1602" s="93"/>
      <c r="U1602" s="93"/>
      <c r="V1602" s="93"/>
      <c r="W1602" s="93"/>
      <c r="X1602" s="93"/>
      <c r="Y1602" s="93"/>
      <c r="Z1602" s="93"/>
    </row>
    <row r="1603" customFormat="false" ht="16.4" hidden="false" customHeight="false" outlineLevel="0" collapsed="false">
      <c r="A1603" s="123" t="n">
        <v>45444</v>
      </c>
      <c r="B1603" s="31" t="s">
        <v>153</v>
      </c>
      <c r="C1603" s="129"/>
      <c r="D1603" s="129"/>
      <c r="E1603" s="19" t="n">
        <f aca="false">F1603*0.03</f>
        <v>0</v>
      </c>
      <c r="F1603" s="33" t="n">
        <v>0</v>
      </c>
      <c r="G1603" s="131"/>
      <c r="H1603" s="35" t="n">
        <v>0</v>
      </c>
      <c r="I1603" s="34" t="n">
        <f aca="false">+IF(E1603=0,0,E1603*0.03)</f>
        <v>0</v>
      </c>
      <c r="J1603" s="93"/>
      <c r="K1603" s="93"/>
      <c r="L1603" s="93"/>
      <c r="M1603" s="93"/>
      <c r="N1603" s="93"/>
      <c r="O1603" s="93"/>
      <c r="P1603" s="93"/>
      <c r="Q1603" s="93"/>
      <c r="R1603" s="93"/>
      <c r="S1603" s="93"/>
      <c r="T1603" s="93"/>
      <c r="U1603" s="93"/>
      <c r="V1603" s="93"/>
      <c r="W1603" s="93"/>
      <c r="X1603" s="93"/>
      <c r="Y1603" s="93"/>
      <c r="Z1603" s="93"/>
    </row>
    <row r="1604" customFormat="false" ht="16.4" hidden="false" customHeight="false" outlineLevel="0" collapsed="false">
      <c r="A1604" s="123" t="n">
        <v>45444</v>
      </c>
      <c r="B1604" s="31" t="s">
        <v>153</v>
      </c>
      <c r="C1604" s="129"/>
      <c r="D1604" s="129"/>
      <c r="E1604" s="19" t="n">
        <f aca="false">F1604*0.03</f>
        <v>0</v>
      </c>
      <c r="F1604" s="33" t="n">
        <v>0</v>
      </c>
      <c r="G1604" s="131"/>
      <c r="H1604" s="35" t="n">
        <v>0</v>
      </c>
      <c r="I1604" s="34" t="n">
        <f aca="false">+IF(E1604=0,0,E1604*0.03)</f>
        <v>0</v>
      </c>
      <c r="J1604" s="93"/>
      <c r="K1604" s="93"/>
      <c r="L1604" s="93"/>
      <c r="M1604" s="93"/>
      <c r="N1604" s="93"/>
      <c r="O1604" s="93"/>
      <c r="P1604" s="93"/>
      <c r="Q1604" s="93"/>
      <c r="R1604" s="93"/>
      <c r="S1604" s="93"/>
      <c r="T1604" s="93"/>
      <c r="U1604" s="93"/>
      <c r="V1604" s="93"/>
      <c r="W1604" s="93"/>
      <c r="X1604" s="93"/>
      <c r="Y1604" s="93"/>
      <c r="Z1604" s="93"/>
    </row>
    <row r="1605" customFormat="false" ht="16.4" hidden="false" customHeight="false" outlineLevel="0" collapsed="false">
      <c r="A1605" s="123" t="n">
        <v>45444</v>
      </c>
      <c r="B1605" s="31" t="s">
        <v>153</v>
      </c>
      <c r="C1605" s="129"/>
      <c r="D1605" s="129"/>
      <c r="E1605" s="19" t="n">
        <f aca="false">F1605*0.03</f>
        <v>0</v>
      </c>
      <c r="F1605" s="33" t="n">
        <v>0</v>
      </c>
      <c r="G1605" s="131"/>
      <c r="H1605" s="35" t="n">
        <v>0</v>
      </c>
      <c r="I1605" s="34" t="n">
        <f aca="false">+IF(E1605=0,0,E1605*0.03)</f>
        <v>0</v>
      </c>
      <c r="J1605" s="93"/>
      <c r="K1605" s="93"/>
      <c r="L1605" s="93"/>
      <c r="M1605" s="93"/>
      <c r="N1605" s="93"/>
      <c r="O1605" s="93"/>
      <c r="P1605" s="93"/>
      <c r="Q1605" s="93"/>
      <c r="R1605" s="93"/>
      <c r="S1605" s="93"/>
      <c r="T1605" s="93"/>
      <c r="U1605" s="93"/>
      <c r="V1605" s="93"/>
      <c r="W1605" s="93"/>
      <c r="X1605" s="93"/>
      <c r="Y1605" s="93"/>
      <c r="Z1605" s="93"/>
    </row>
    <row r="1606" customFormat="false" ht="16.4" hidden="false" customHeight="false" outlineLevel="0" collapsed="false">
      <c r="A1606" s="123" t="n">
        <v>45444</v>
      </c>
      <c r="B1606" s="31" t="s">
        <v>153</v>
      </c>
      <c r="C1606" s="129"/>
      <c r="D1606" s="129"/>
      <c r="E1606" s="19" t="n">
        <f aca="false">F1606*0.03</f>
        <v>0</v>
      </c>
      <c r="F1606" s="33" t="n">
        <v>0</v>
      </c>
      <c r="G1606" s="131"/>
      <c r="H1606" s="35" t="n">
        <v>0</v>
      </c>
      <c r="I1606" s="34" t="n">
        <f aca="false">+IF(E1606=0,0,E1606*0.03)</f>
        <v>0</v>
      </c>
      <c r="J1606" s="93"/>
      <c r="K1606" s="93"/>
      <c r="L1606" s="93"/>
      <c r="M1606" s="93"/>
      <c r="N1606" s="93"/>
      <c r="O1606" s="93"/>
      <c r="P1606" s="93"/>
      <c r="Q1606" s="93"/>
      <c r="R1606" s="93"/>
      <c r="S1606" s="93"/>
      <c r="T1606" s="93"/>
      <c r="U1606" s="93"/>
      <c r="V1606" s="93"/>
      <c r="W1606" s="93"/>
      <c r="X1606" s="93"/>
      <c r="Y1606" s="93"/>
      <c r="Z1606" s="93"/>
    </row>
    <row r="1607" customFormat="false" ht="16.4" hidden="false" customHeight="false" outlineLevel="0" collapsed="false">
      <c r="A1607" s="123" t="n">
        <v>45444</v>
      </c>
      <c r="B1607" s="31" t="s">
        <v>153</v>
      </c>
      <c r="C1607" s="129"/>
      <c r="D1607" s="129"/>
      <c r="E1607" s="19" t="n">
        <f aca="false">F1607*0.03</f>
        <v>0</v>
      </c>
      <c r="F1607" s="33" t="n">
        <v>0</v>
      </c>
      <c r="G1607" s="131"/>
      <c r="H1607" s="35" t="n">
        <v>0</v>
      </c>
      <c r="I1607" s="34" t="n">
        <f aca="false">+IF(E1607=0,0,E1607*0.03)</f>
        <v>0</v>
      </c>
      <c r="J1607" s="93"/>
      <c r="K1607" s="93"/>
      <c r="L1607" s="93"/>
      <c r="M1607" s="93"/>
      <c r="N1607" s="93"/>
      <c r="O1607" s="93"/>
      <c r="P1607" s="93"/>
      <c r="Q1607" s="93"/>
      <c r="R1607" s="93"/>
      <c r="S1607" s="93"/>
      <c r="T1607" s="93"/>
      <c r="U1607" s="93"/>
      <c r="V1607" s="93"/>
      <c r="W1607" s="93"/>
      <c r="X1607" s="93"/>
      <c r="Y1607" s="93"/>
      <c r="Z1607" s="93"/>
    </row>
    <row r="1608" customFormat="false" ht="16.4" hidden="false" customHeight="false" outlineLevel="0" collapsed="false">
      <c r="A1608" s="123" t="n">
        <v>45444</v>
      </c>
      <c r="B1608" s="31" t="s">
        <v>153</v>
      </c>
      <c r="C1608" s="129"/>
      <c r="D1608" s="129"/>
      <c r="E1608" s="19" t="n">
        <f aca="false">F1608*0.03</f>
        <v>0</v>
      </c>
      <c r="F1608" s="33" t="n">
        <v>0</v>
      </c>
      <c r="G1608" s="131"/>
      <c r="H1608" s="35" t="n">
        <v>0</v>
      </c>
      <c r="I1608" s="34" t="n">
        <f aca="false">+IF(E1608=0,0,E1608*0.03)</f>
        <v>0</v>
      </c>
      <c r="J1608" s="93"/>
      <c r="K1608" s="93"/>
      <c r="L1608" s="93"/>
      <c r="M1608" s="93"/>
      <c r="N1608" s="93"/>
      <c r="O1608" s="93"/>
      <c r="P1608" s="93"/>
      <c r="Q1608" s="93"/>
      <c r="R1608" s="93"/>
      <c r="S1608" s="93"/>
      <c r="T1608" s="93"/>
      <c r="U1608" s="93"/>
      <c r="V1608" s="93"/>
      <c r="W1608" s="93"/>
      <c r="X1608" s="93"/>
      <c r="Y1608" s="93"/>
      <c r="Z1608" s="93"/>
    </row>
    <row r="1609" customFormat="false" ht="16.4" hidden="false" customHeight="false" outlineLevel="0" collapsed="false">
      <c r="A1609" s="123" t="n">
        <v>45444</v>
      </c>
      <c r="B1609" s="31" t="s">
        <v>153</v>
      </c>
      <c r="C1609" s="129"/>
      <c r="D1609" s="129"/>
      <c r="E1609" s="19" t="n">
        <f aca="false">F1609*0.03</f>
        <v>0</v>
      </c>
      <c r="F1609" s="33" t="n">
        <v>0</v>
      </c>
      <c r="G1609" s="131"/>
      <c r="H1609" s="35" t="n">
        <v>0</v>
      </c>
      <c r="I1609" s="34" t="n">
        <f aca="false">+IF(E1609=0,0,E1609*0.03)</f>
        <v>0</v>
      </c>
      <c r="J1609" s="93"/>
      <c r="K1609" s="93"/>
      <c r="L1609" s="93"/>
      <c r="M1609" s="93"/>
      <c r="N1609" s="93"/>
      <c r="O1609" s="93"/>
      <c r="P1609" s="93"/>
      <c r="Q1609" s="93"/>
      <c r="R1609" s="93"/>
      <c r="S1609" s="93"/>
      <c r="T1609" s="93"/>
      <c r="U1609" s="93"/>
      <c r="V1609" s="93"/>
      <c r="W1609" s="93"/>
      <c r="X1609" s="93"/>
      <c r="Y1609" s="93"/>
      <c r="Z1609" s="93"/>
    </row>
    <row r="1610" customFormat="false" ht="16.4" hidden="false" customHeight="false" outlineLevel="0" collapsed="false">
      <c r="A1610" s="123" t="n">
        <v>45444</v>
      </c>
      <c r="B1610" s="31" t="s">
        <v>153</v>
      </c>
      <c r="C1610" s="129"/>
      <c r="D1610" s="129"/>
      <c r="E1610" s="19" t="n">
        <f aca="false">F1610*0.03</f>
        <v>0</v>
      </c>
      <c r="F1610" s="33" t="n">
        <v>0</v>
      </c>
      <c r="G1610" s="131"/>
      <c r="H1610" s="35" t="n">
        <v>0</v>
      </c>
      <c r="I1610" s="34" t="n">
        <f aca="false">+IF(E1610=0,0,E1610*0.03)</f>
        <v>0</v>
      </c>
      <c r="J1610" s="93"/>
      <c r="K1610" s="93"/>
      <c r="L1610" s="93"/>
      <c r="M1610" s="93"/>
      <c r="N1610" s="93"/>
      <c r="O1610" s="93"/>
      <c r="P1610" s="93"/>
      <c r="Q1610" s="93"/>
      <c r="R1610" s="93"/>
      <c r="S1610" s="93"/>
      <c r="T1610" s="93"/>
      <c r="U1610" s="93"/>
      <c r="V1610" s="93"/>
      <c r="W1610" s="93"/>
      <c r="X1610" s="93"/>
      <c r="Y1610" s="93"/>
      <c r="Z1610" s="93"/>
    </row>
    <row r="1611" customFormat="false" ht="16.4" hidden="false" customHeight="false" outlineLevel="0" collapsed="false">
      <c r="A1611" s="123" t="n">
        <v>45444</v>
      </c>
      <c r="B1611" s="31" t="s">
        <v>153</v>
      </c>
      <c r="C1611" s="129"/>
      <c r="D1611" s="129"/>
      <c r="E1611" s="19" t="n">
        <f aca="false">F1611*0.03</f>
        <v>0</v>
      </c>
      <c r="F1611" s="33" t="n">
        <v>0</v>
      </c>
      <c r="G1611" s="131"/>
      <c r="H1611" s="35" t="n">
        <v>0</v>
      </c>
      <c r="I1611" s="34" t="n">
        <f aca="false">+IF(E1611=0,0,E1611*0.03)</f>
        <v>0</v>
      </c>
      <c r="J1611" s="93"/>
      <c r="K1611" s="93"/>
      <c r="L1611" s="93"/>
      <c r="M1611" s="93"/>
      <c r="N1611" s="93"/>
      <c r="O1611" s="93"/>
      <c r="P1611" s="93"/>
      <c r="Q1611" s="93"/>
      <c r="R1611" s="93"/>
      <c r="S1611" s="93"/>
      <c r="T1611" s="93"/>
      <c r="U1611" s="93"/>
      <c r="V1611" s="93"/>
      <c r="W1611" s="93"/>
      <c r="X1611" s="93"/>
      <c r="Y1611" s="93"/>
      <c r="Z1611" s="93"/>
    </row>
    <row r="1612" customFormat="false" ht="16.4" hidden="false" customHeight="false" outlineLevel="0" collapsed="false">
      <c r="A1612" s="123" t="n">
        <v>45444</v>
      </c>
      <c r="B1612" s="31" t="s">
        <v>153</v>
      </c>
      <c r="C1612" s="129"/>
      <c r="D1612" s="129"/>
      <c r="E1612" s="19" t="n">
        <f aca="false">F1612*0.03</f>
        <v>0</v>
      </c>
      <c r="F1612" s="33" t="n">
        <v>0</v>
      </c>
      <c r="G1612" s="131"/>
      <c r="H1612" s="35" t="n">
        <v>0</v>
      </c>
      <c r="I1612" s="34" t="n">
        <f aca="false">+IF(E1612=0,0,E1612*0.03)</f>
        <v>0</v>
      </c>
      <c r="J1612" s="93"/>
      <c r="K1612" s="93"/>
      <c r="L1612" s="93"/>
      <c r="M1612" s="93"/>
      <c r="N1612" s="93"/>
      <c r="O1612" s="93"/>
      <c r="P1612" s="93"/>
      <c r="Q1612" s="93"/>
      <c r="R1612" s="93"/>
      <c r="S1612" s="93"/>
      <c r="T1612" s="93"/>
      <c r="U1612" s="93"/>
      <c r="V1612" s="93"/>
      <c r="W1612" s="93"/>
      <c r="X1612" s="93"/>
      <c r="Y1612" s="93"/>
      <c r="Z1612" s="93"/>
    </row>
    <row r="1613" customFormat="false" ht="16.4" hidden="false" customHeight="false" outlineLevel="0" collapsed="false">
      <c r="A1613" s="123" t="n">
        <v>45444</v>
      </c>
      <c r="B1613" s="31" t="s">
        <v>153</v>
      </c>
      <c r="C1613" s="129"/>
      <c r="D1613" s="129"/>
      <c r="E1613" s="19" t="n">
        <f aca="false">F1613*0.03</f>
        <v>0</v>
      </c>
      <c r="F1613" s="33" t="n">
        <v>0</v>
      </c>
      <c r="G1613" s="131"/>
      <c r="H1613" s="35" t="n">
        <v>0</v>
      </c>
      <c r="I1613" s="34" t="n">
        <f aca="false">+IF(E1613=0,0,E1613*0.03)</f>
        <v>0</v>
      </c>
      <c r="J1613" s="93"/>
      <c r="K1613" s="93"/>
      <c r="L1613" s="93"/>
      <c r="M1613" s="93"/>
      <c r="N1613" s="93"/>
      <c r="O1613" s="93"/>
      <c r="P1613" s="93"/>
      <c r="Q1613" s="93"/>
      <c r="R1613" s="93"/>
      <c r="S1613" s="93"/>
      <c r="T1613" s="93"/>
      <c r="U1613" s="93"/>
      <c r="V1613" s="93"/>
      <c r="W1613" s="93"/>
      <c r="X1613" s="93"/>
      <c r="Y1613" s="93"/>
      <c r="Z1613" s="93"/>
    </row>
    <row r="1614" customFormat="false" ht="16.4" hidden="false" customHeight="false" outlineLevel="0" collapsed="false">
      <c r="A1614" s="123" t="n">
        <v>45444</v>
      </c>
      <c r="B1614" s="31" t="s">
        <v>153</v>
      </c>
      <c r="C1614" s="129"/>
      <c r="D1614" s="129"/>
      <c r="E1614" s="19" t="n">
        <f aca="false">F1614*0.03</f>
        <v>0</v>
      </c>
      <c r="F1614" s="33" t="n">
        <v>0</v>
      </c>
      <c r="G1614" s="131"/>
      <c r="H1614" s="35" t="n">
        <v>0</v>
      </c>
      <c r="I1614" s="34" t="n">
        <f aca="false">+IF(E1614=0,0,E1614*0.03)</f>
        <v>0</v>
      </c>
      <c r="J1614" s="93"/>
      <c r="K1614" s="93"/>
      <c r="L1614" s="93"/>
      <c r="M1614" s="93"/>
      <c r="N1614" s="93"/>
      <c r="O1614" s="93"/>
      <c r="P1614" s="93"/>
      <c r="Q1614" s="93"/>
      <c r="R1614" s="93"/>
      <c r="S1614" s="93"/>
      <c r="T1614" s="93"/>
      <c r="U1614" s="93"/>
      <c r="V1614" s="93"/>
      <c r="W1614" s="93"/>
      <c r="X1614" s="93"/>
      <c r="Y1614" s="93"/>
      <c r="Z1614" s="93"/>
    </row>
    <row r="1615" customFormat="false" ht="16.4" hidden="false" customHeight="false" outlineLevel="0" collapsed="false">
      <c r="A1615" s="123" t="n">
        <v>45444</v>
      </c>
      <c r="B1615" s="31" t="s">
        <v>153</v>
      </c>
      <c r="C1615" s="129"/>
      <c r="D1615" s="129"/>
      <c r="E1615" s="19" t="n">
        <f aca="false">F1615*0.03</f>
        <v>0</v>
      </c>
      <c r="F1615" s="33" t="n">
        <v>0</v>
      </c>
      <c r="G1615" s="131"/>
      <c r="H1615" s="35" t="n">
        <v>0</v>
      </c>
      <c r="I1615" s="34" t="n">
        <f aca="false">+IF(E1615=0,0,E1615*0.03)</f>
        <v>0</v>
      </c>
      <c r="J1615" s="93"/>
      <c r="K1615" s="93"/>
      <c r="L1615" s="93"/>
      <c r="M1615" s="93"/>
      <c r="N1615" s="93"/>
      <c r="O1615" s="93"/>
      <c r="P1615" s="93"/>
      <c r="Q1615" s="93"/>
      <c r="R1615" s="93"/>
      <c r="S1615" s="93"/>
      <c r="T1615" s="93"/>
      <c r="U1615" s="93"/>
      <c r="V1615" s="93"/>
      <c r="W1615" s="93"/>
      <c r="X1615" s="93"/>
      <c r="Y1615" s="93"/>
      <c r="Z1615" s="93"/>
    </row>
    <row r="1616" customFormat="false" ht="16.4" hidden="false" customHeight="false" outlineLevel="0" collapsed="false">
      <c r="A1616" s="123" t="n">
        <v>45444</v>
      </c>
      <c r="B1616" s="31" t="s">
        <v>153</v>
      </c>
      <c r="C1616" s="129"/>
      <c r="D1616" s="129"/>
      <c r="E1616" s="19" t="n">
        <f aca="false">F1616*0.03</f>
        <v>0</v>
      </c>
      <c r="F1616" s="33" t="n">
        <v>0</v>
      </c>
      <c r="G1616" s="131"/>
      <c r="H1616" s="35" t="n">
        <v>0</v>
      </c>
      <c r="I1616" s="34" t="n">
        <f aca="false">+IF(E1616=0,0,E1616*0.03)</f>
        <v>0</v>
      </c>
      <c r="J1616" s="93"/>
      <c r="K1616" s="93"/>
      <c r="L1616" s="93"/>
      <c r="M1616" s="93"/>
      <c r="N1616" s="93"/>
      <c r="O1616" s="93"/>
      <c r="P1616" s="93"/>
      <c r="Q1616" s="93"/>
      <c r="R1616" s="93"/>
      <c r="S1616" s="93"/>
      <c r="T1616" s="93"/>
      <c r="U1616" s="93"/>
      <c r="V1616" s="93"/>
      <c r="W1616" s="93"/>
      <c r="X1616" s="93"/>
      <c r="Y1616" s="93"/>
      <c r="Z1616" s="93"/>
    </row>
    <row r="1617" customFormat="false" ht="16.4" hidden="false" customHeight="false" outlineLevel="0" collapsed="false">
      <c r="A1617" s="123" t="n">
        <v>45444</v>
      </c>
      <c r="B1617" s="31" t="s">
        <v>153</v>
      </c>
      <c r="C1617" s="129"/>
      <c r="D1617" s="129"/>
      <c r="E1617" s="19" t="n">
        <f aca="false">F1617*0.03</f>
        <v>0</v>
      </c>
      <c r="F1617" s="33" t="n">
        <v>0</v>
      </c>
      <c r="G1617" s="131"/>
      <c r="H1617" s="35" t="n">
        <v>0</v>
      </c>
      <c r="I1617" s="34" t="n">
        <f aca="false">+IF(E1617=0,0,E1617*0.03)</f>
        <v>0</v>
      </c>
      <c r="J1617" s="93"/>
      <c r="K1617" s="93"/>
      <c r="L1617" s="93"/>
      <c r="M1617" s="93"/>
      <c r="N1617" s="93"/>
      <c r="O1617" s="93"/>
      <c r="P1617" s="93"/>
      <c r="Q1617" s="93"/>
      <c r="R1617" s="93"/>
      <c r="S1617" s="93"/>
      <c r="T1617" s="93"/>
      <c r="U1617" s="93"/>
      <c r="V1617" s="93"/>
      <c r="W1617" s="93"/>
      <c r="X1617" s="93"/>
      <c r="Y1617" s="93"/>
      <c r="Z1617" s="93"/>
    </row>
    <row r="1618" customFormat="false" ht="16.4" hidden="false" customHeight="false" outlineLevel="0" collapsed="false">
      <c r="A1618" s="123" t="n">
        <v>45444</v>
      </c>
      <c r="B1618" s="31" t="s">
        <v>153</v>
      </c>
      <c r="C1618" s="129"/>
      <c r="D1618" s="129"/>
      <c r="E1618" s="19" t="n">
        <f aca="false">F1618*0.03</f>
        <v>0</v>
      </c>
      <c r="F1618" s="33" t="n">
        <v>0</v>
      </c>
      <c r="G1618" s="131"/>
      <c r="H1618" s="35" t="n">
        <v>0</v>
      </c>
      <c r="I1618" s="34" t="n">
        <f aca="false">+IF(E1618=0,0,E1618*0.03)</f>
        <v>0</v>
      </c>
      <c r="J1618" s="93"/>
      <c r="K1618" s="93"/>
      <c r="L1618" s="93"/>
      <c r="M1618" s="93"/>
      <c r="N1618" s="93"/>
      <c r="O1618" s="93"/>
      <c r="P1618" s="93"/>
      <c r="Q1618" s="93"/>
      <c r="R1618" s="93"/>
      <c r="S1618" s="93"/>
      <c r="T1618" s="93"/>
      <c r="U1618" s="93"/>
      <c r="V1618" s="93"/>
      <c r="W1618" s="93"/>
      <c r="X1618" s="93"/>
      <c r="Y1618" s="93"/>
      <c r="Z1618" s="93"/>
    </row>
    <row r="1619" customFormat="false" ht="16.4" hidden="false" customHeight="false" outlineLevel="0" collapsed="false">
      <c r="A1619" s="123" t="n">
        <v>45444</v>
      </c>
      <c r="B1619" s="31" t="s">
        <v>153</v>
      </c>
      <c r="C1619" s="129"/>
      <c r="D1619" s="129"/>
      <c r="E1619" s="19" t="n">
        <f aca="false">F1619*0.03</f>
        <v>0</v>
      </c>
      <c r="F1619" s="33" t="n">
        <v>0</v>
      </c>
      <c r="G1619" s="131"/>
      <c r="H1619" s="35" t="n">
        <v>0</v>
      </c>
      <c r="I1619" s="34" t="n">
        <f aca="false">+IF(E1619=0,0,E1619*0.03)</f>
        <v>0</v>
      </c>
      <c r="J1619" s="93"/>
      <c r="K1619" s="93"/>
      <c r="L1619" s="93"/>
      <c r="M1619" s="93"/>
      <c r="N1619" s="93"/>
      <c r="O1619" s="93"/>
      <c r="P1619" s="93"/>
      <c r="Q1619" s="93"/>
      <c r="R1619" s="93"/>
      <c r="S1619" s="93"/>
      <c r="T1619" s="93"/>
      <c r="U1619" s="93"/>
      <c r="V1619" s="93"/>
      <c r="W1619" s="93"/>
      <c r="X1619" s="93"/>
      <c r="Y1619" s="93"/>
      <c r="Z1619" s="93"/>
    </row>
    <row r="1620" customFormat="false" ht="16.4" hidden="false" customHeight="false" outlineLevel="0" collapsed="false">
      <c r="A1620" s="123" t="n">
        <v>45444</v>
      </c>
      <c r="B1620" s="31" t="s">
        <v>153</v>
      </c>
      <c r="C1620" s="129"/>
      <c r="D1620" s="129"/>
      <c r="E1620" s="19" t="n">
        <f aca="false">F1620*0.03</f>
        <v>0</v>
      </c>
      <c r="F1620" s="33" t="n">
        <v>0</v>
      </c>
      <c r="G1620" s="131"/>
      <c r="H1620" s="35" t="n">
        <v>0</v>
      </c>
      <c r="I1620" s="34" t="n">
        <f aca="false">+IF(E1620=0,0,E1620*0.03)</f>
        <v>0</v>
      </c>
      <c r="J1620" s="93"/>
      <c r="K1620" s="93"/>
      <c r="L1620" s="93"/>
      <c r="M1620" s="93"/>
      <c r="N1620" s="93"/>
      <c r="O1620" s="93"/>
      <c r="P1620" s="93"/>
      <c r="Q1620" s="93"/>
      <c r="R1620" s="93"/>
      <c r="S1620" s="93"/>
      <c r="T1620" s="93"/>
      <c r="U1620" s="93"/>
      <c r="V1620" s="93"/>
      <c r="W1620" s="93"/>
      <c r="X1620" s="93"/>
      <c r="Y1620" s="93"/>
      <c r="Z1620" s="93"/>
    </row>
    <row r="1621" customFormat="false" ht="16.4" hidden="false" customHeight="false" outlineLevel="0" collapsed="false">
      <c r="A1621" s="123" t="n">
        <v>45444</v>
      </c>
      <c r="B1621" s="31" t="s">
        <v>153</v>
      </c>
      <c r="C1621" s="129"/>
      <c r="D1621" s="129"/>
      <c r="E1621" s="19" t="n">
        <f aca="false">F1621*0.03</f>
        <v>0</v>
      </c>
      <c r="F1621" s="33" t="n">
        <v>0</v>
      </c>
      <c r="G1621" s="131"/>
      <c r="H1621" s="35" t="n">
        <v>0</v>
      </c>
      <c r="I1621" s="34" t="n">
        <f aca="false">+IF(E1621=0,0,E1621*0.03)</f>
        <v>0</v>
      </c>
      <c r="J1621" s="93"/>
      <c r="K1621" s="93"/>
      <c r="L1621" s="93"/>
      <c r="M1621" s="93"/>
      <c r="N1621" s="93"/>
      <c r="O1621" s="93"/>
      <c r="P1621" s="93"/>
      <c r="Q1621" s="93"/>
      <c r="R1621" s="93"/>
      <c r="S1621" s="93"/>
      <c r="T1621" s="93"/>
      <c r="U1621" s="93"/>
      <c r="V1621" s="93"/>
      <c r="W1621" s="93"/>
      <c r="X1621" s="93"/>
      <c r="Y1621" s="93"/>
      <c r="Z1621" s="93"/>
    </row>
    <row r="1622" customFormat="false" ht="16.4" hidden="false" customHeight="false" outlineLevel="0" collapsed="false">
      <c r="A1622" s="123" t="n">
        <v>45444</v>
      </c>
      <c r="B1622" s="31" t="s">
        <v>153</v>
      </c>
      <c r="C1622" s="129"/>
      <c r="D1622" s="129"/>
      <c r="E1622" s="19" t="n">
        <f aca="false">F1622*0.03</f>
        <v>0</v>
      </c>
      <c r="F1622" s="33" t="n">
        <v>0</v>
      </c>
      <c r="G1622" s="131"/>
      <c r="H1622" s="35" t="n">
        <v>0</v>
      </c>
      <c r="I1622" s="34" t="n">
        <f aca="false">+IF(E1622=0,0,E1622*0.03)</f>
        <v>0</v>
      </c>
      <c r="J1622" s="93"/>
      <c r="K1622" s="93"/>
      <c r="L1622" s="93"/>
      <c r="M1622" s="93"/>
      <c r="N1622" s="93"/>
      <c r="O1622" s="93"/>
      <c r="P1622" s="93"/>
      <c r="Q1622" s="93"/>
      <c r="R1622" s="93"/>
      <c r="S1622" s="93"/>
      <c r="T1622" s="93"/>
      <c r="U1622" s="93"/>
      <c r="V1622" s="93"/>
      <c r="W1622" s="93"/>
      <c r="X1622" s="93"/>
      <c r="Y1622" s="93"/>
      <c r="Z1622" s="93"/>
    </row>
    <row r="1623" customFormat="false" ht="16.4" hidden="false" customHeight="false" outlineLevel="0" collapsed="false">
      <c r="A1623" s="123" t="n">
        <v>45444</v>
      </c>
      <c r="B1623" s="31" t="s">
        <v>153</v>
      </c>
      <c r="C1623" s="129"/>
      <c r="D1623" s="129"/>
      <c r="E1623" s="19" t="n">
        <f aca="false">F1623*0.03</f>
        <v>0</v>
      </c>
      <c r="F1623" s="33" t="n">
        <v>0</v>
      </c>
      <c r="G1623" s="131"/>
      <c r="H1623" s="35" t="n">
        <v>0</v>
      </c>
      <c r="I1623" s="34" t="n">
        <f aca="false">+IF(E1623=0,0,E1623*0.03)</f>
        <v>0</v>
      </c>
      <c r="J1623" s="93"/>
      <c r="K1623" s="93"/>
      <c r="L1623" s="93"/>
      <c r="M1623" s="93"/>
      <c r="N1623" s="93"/>
      <c r="O1623" s="93"/>
      <c r="P1623" s="93"/>
      <c r="Q1623" s="93"/>
      <c r="R1623" s="93"/>
      <c r="S1623" s="93"/>
      <c r="T1623" s="93"/>
      <c r="U1623" s="93"/>
      <c r="V1623" s="93"/>
      <c r="W1623" s="93"/>
      <c r="X1623" s="93"/>
      <c r="Y1623" s="93"/>
      <c r="Z1623" s="93"/>
    </row>
    <row r="1624" customFormat="false" ht="16.4" hidden="false" customHeight="false" outlineLevel="0" collapsed="false">
      <c r="A1624" s="123" t="n">
        <v>45444</v>
      </c>
      <c r="B1624" s="31" t="s">
        <v>153</v>
      </c>
      <c r="C1624" s="129"/>
      <c r="D1624" s="129"/>
      <c r="E1624" s="19" t="n">
        <f aca="false">F1624*0.03</f>
        <v>0</v>
      </c>
      <c r="F1624" s="33" t="n">
        <v>0</v>
      </c>
      <c r="G1624" s="131"/>
      <c r="H1624" s="35" t="n">
        <v>0</v>
      </c>
      <c r="I1624" s="34" t="n">
        <f aca="false">+IF(E1624=0,0,E1624*0.03)</f>
        <v>0</v>
      </c>
      <c r="J1624" s="93"/>
      <c r="K1624" s="93"/>
      <c r="L1624" s="93"/>
      <c r="M1624" s="93"/>
      <c r="N1624" s="93"/>
      <c r="O1624" s="93"/>
      <c r="P1624" s="93"/>
      <c r="Q1624" s="93"/>
      <c r="R1624" s="93"/>
      <c r="S1624" s="93"/>
      <c r="T1624" s="93"/>
      <c r="U1624" s="93"/>
      <c r="V1624" s="93"/>
      <c r="W1624" s="93"/>
      <c r="X1624" s="93"/>
      <c r="Y1624" s="93"/>
      <c r="Z1624" s="93"/>
    </row>
    <row r="1625" customFormat="false" ht="16.4" hidden="false" customHeight="false" outlineLevel="0" collapsed="false">
      <c r="A1625" s="123" t="n">
        <v>45444</v>
      </c>
      <c r="B1625" s="31" t="s">
        <v>153</v>
      </c>
      <c r="C1625" s="129"/>
      <c r="D1625" s="129"/>
      <c r="E1625" s="19" t="n">
        <f aca="false">F1625*0.03</f>
        <v>0</v>
      </c>
      <c r="F1625" s="33" t="n">
        <v>0</v>
      </c>
      <c r="G1625" s="131"/>
      <c r="H1625" s="35" t="n">
        <v>0</v>
      </c>
      <c r="I1625" s="34" t="n">
        <f aca="false">+IF(E1625=0,0,E1625*0.03)</f>
        <v>0</v>
      </c>
      <c r="J1625" s="93"/>
      <c r="K1625" s="93"/>
      <c r="L1625" s="93"/>
      <c r="M1625" s="93"/>
      <c r="N1625" s="93"/>
      <c r="O1625" s="93"/>
      <c r="P1625" s="93"/>
      <c r="Q1625" s="93"/>
      <c r="R1625" s="93"/>
      <c r="S1625" s="93"/>
      <c r="T1625" s="93"/>
      <c r="U1625" s="93"/>
      <c r="V1625" s="93"/>
      <c r="W1625" s="93"/>
      <c r="X1625" s="93"/>
      <c r="Y1625" s="93"/>
      <c r="Z1625" s="93"/>
    </row>
    <row r="1626" customFormat="false" ht="16.4" hidden="false" customHeight="false" outlineLevel="0" collapsed="false">
      <c r="A1626" s="123" t="n">
        <v>45444</v>
      </c>
      <c r="B1626" s="31" t="s">
        <v>153</v>
      </c>
      <c r="C1626" s="129"/>
      <c r="D1626" s="129"/>
      <c r="E1626" s="19" t="n">
        <f aca="false">F1626*0.03</f>
        <v>0</v>
      </c>
      <c r="F1626" s="33" t="n">
        <v>0</v>
      </c>
      <c r="G1626" s="131"/>
      <c r="H1626" s="35" t="n">
        <v>0</v>
      </c>
      <c r="I1626" s="34" t="n">
        <f aca="false">+IF(E1626=0,0,E1626*0.03)</f>
        <v>0</v>
      </c>
      <c r="J1626" s="93"/>
      <c r="K1626" s="93"/>
      <c r="L1626" s="93"/>
      <c r="M1626" s="93"/>
      <c r="N1626" s="93"/>
      <c r="O1626" s="93"/>
      <c r="P1626" s="93"/>
      <c r="Q1626" s="93"/>
      <c r="R1626" s="93"/>
      <c r="S1626" s="93"/>
      <c r="T1626" s="93"/>
      <c r="U1626" s="93"/>
      <c r="V1626" s="93"/>
      <c r="W1626" s="93"/>
      <c r="X1626" s="93"/>
      <c r="Y1626" s="93"/>
      <c r="Z1626" s="93"/>
    </row>
    <row r="1627" customFormat="false" ht="16.4" hidden="false" customHeight="false" outlineLevel="0" collapsed="false">
      <c r="A1627" s="123" t="n">
        <v>45444</v>
      </c>
      <c r="B1627" s="31" t="s">
        <v>153</v>
      </c>
      <c r="C1627" s="129"/>
      <c r="D1627" s="129"/>
      <c r="E1627" s="19" t="n">
        <f aca="false">F1627*0.03</f>
        <v>0</v>
      </c>
      <c r="F1627" s="33" t="n">
        <v>0</v>
      </c>
      <c r="G1627" s="131"/>
      <c r="H1627" s="35" t="n">
        <v>0</v>
      </c>
      <c r="I1627" s="34" t="n">
        <f aca="false">+IF(E1627=0,0,E1627*0.03)</f>
        <v>0</v>
      </c>
      <c r="J1627" s="93"/>
      <c r="K1627" s="93"/>
      <c r="L1627" s="93"/>
      <c r="M1627" s="93"/>
      <c r="N1627" s="93"/>
      <c r="O1627" s="93"/>
      <c r="P1627" s="93"/>
      <c r="Q1627" s="93"/>
      <c r="R1627" s="93"/>
      <c r="S1627" s="93"/>
      <c r="T1627" s="93"/>
      <c r="U1627" s="93"/>
      <c r="V1627" s="93"/>
      <c r="W1627" s="93"/>
      <c r="X1627" s="93"/>
      <c r="Y1627" s="93"/>
      <c r="Z1627" s="93"/>
    </row>
    <row r="1628" customFormat="false" ht="16.4" hidden="false" customHeight="false" outlineLevel="0" collapsed="false">
      <c r="A1628" s="123" t="n">
        <v>45444</v>
      </c>
      <c r="B1628" s="31" t="s">
        <v>153</v>
      </c>
      <c r="C1628" s="129"/>
      <c r="D1628" s="129"/>
      <c r="E1628" s="19" t="n">
        <f aca="false">F1628*0.03</f>
        <v>0</v>
      </c>
      <c r="F1628" s="33" t="n">
        <v>0</v>
      </c>
      <c r="G1628" s="131"/>
      <c r="H1628" s="35" t="n">
        <v>0</v>
      </c>
      <c r="I1628" s="34" t="n">
        <f aca="false">+IF(E1628=0,0,E1628*0.03)</f>
        <v>0</v>
      </c>
      <c r="J1628" s="93"/>
      <c r="K1628" s="93"/>
      <c r="L1628" s="93"/>
      <c r="M1628" s="93"/>
      <c r="N1628" s="93"/>
      <c r="O1628" s="93"/>
      <c r="P1628" s="93"/>
      <c r="Q1628" s="93"/>
      <c r="R1628" s="93"/>
      <c r="S1628" s="93"/>
      <c r="T1628" s="93"/>
      <c r="U1628" s="93"/>
      <c r="V1628" s="93"/>
      <c r="W1628" s="93"/>
      <c r="X1628" s="93"/>
      <c r="Y1628" s="93"/>
      <c r="Z1628" s="93"/>
    </row>
    <row r="1629" customFormat="false" ht="16.4" hidden="false" customHeight="false" outlineLevel="0" collapsed="false">
      <c r="A1629" s="123" t="n">
        <v>45444</v>
      </c>
      <c r="B1629" s="31" t="s">
        <v>153</v>
      </c>
      <c r="C1629" s="129"/>
      <c r="D1629" s="129"/>
      <c r="E1629" s="19" t="n">
        <f aca="false">F1629*0.03</f>
        <v>0</v>
      </c>
      <c r="F1629" s="33" t="n">
        <v>0</v>
      </c>
      <c r="G1629" s="131"/>
      <c r="H1629" s="35" t="n">
        <v>0</v>
      </c>
      <c r="I1629" s="34" t="n">
        <f aca="false">+IF(E1629=0,0,E1629*0.03)</f>
        <v>0</v>
      </c>
      <c r="J1629" s="93"/>
      <c r="K1629" s="93"/>
      <c r="L1629" s="93"/>
      <c r="M1629" s="93"/>
      <c r="N1629" s="93"/>
      <c r="O1629" s="93"/>
      <c r="P1629" s="93"/>
      <c r="Q1629" s="93"/>
      <c r="R1629" s="93"/>
      <c r="S1629" s="93"/>
      <c r="T1629" s="93"/>
      <c r="U1629" s="93"/>
      <c r="V1629" s="93"/>
      <c r="W1629" s="93"/>
      <c r="X1629" s="93"/>
      <c r="Y1629" s="93"/>
      <c r="Z1629" s="93"/>
    </row>
    <row r="1630" customFormat="false" ht="16.4" hidden="false" customHeight="false" outlineLevel="0" collapsed="false">
      <c r="A1630" s="123" t="n">
        <v>45444</v>
      </c>
      <c r="B1630" s="31" t="s">
        <v>153</v>
      </c>
      <c r="C1630" s="129"/>
      <c r="D1630" s="129"/>
      <c r="E1630" s="19" t="n">
        <f aca="false">F1630*0.03</f>
        <v>0</v>
      </c>
      <c r="F1630" s="33" t="n">
        <v>0</v>
      </c>
      <c r="G1630" s="131"/>
      <c r="H1630" s="35" t="n">
        <v>0</v>
      </c>
      <c r="I1630" s="34" t="n">
        <f aca="false">+IF(E1630=0,0,E1630*0.03)</f>
        <v>0</v>
      </c>
      <c r="J1630" s="93"/>
      <c r="K1630" s="93"/>
      <c r="L1630" s="93"/>
      <c r="M1630" s="93"/>
      <c r="N1630" s="93"/>
      <c r="O1630" s="93"/>
      <c r="P1630" s="93"/>
      <c r="Q1630" s="93"/>
      <c r="R1630" s="93"/>
      <c r="S1630" s="93"/>
      <c r="T1630" s="93"/>
      <c r="U1630" s="93"/>
      <c r="V1630" s="93"/>
      <c r="W1630" s="93"/>
      <c r="X1630" s="93"/>
      <c r="Y1630" s="93"/>
      <c r="Z1630" s="93"/>
    </row>
    <row r="1631" customFormat="false" ht="16.4" hidden="false" customHeight="false" outlineLevel="0" collapsed="false">
      <c r="A1631" s="123" t="n">
        <v>45444</v>
      </c>
      <c r="B1631" s="31" t="s">
        <v>153</v>
      </c>
      <c r="C1631" s="129"/>
      <c r="D1631" s="129"/>
      <c r="E1631" s="19" t="n">
        <f aca="false">F1631*0.03</f>
        <v>0</v>
      </c>
      <c r="F1631" s="33" t="n">
        <v>0</v>
      </c>
      <c r="G1631" s="131"/>
      <c r="H1631" s="35" t="n">
        <v>0</v>
      </c>
      <c r="I1631" s="34" t="n">
        <f aca="false">+IF(E1631=0,0,E1631*0.03)</f>
        <v>0</v>
      </c>
      <c r="J1631" s="93"/>
      <c r="K1631" s="93"/>
      <c r="L1631" s="93"/>
      <c r="M1631" s="93"/>
      <c r="N1631" s="93"/>
      <c r="O1631" s="93"/>
      <c r="P1631" s="93"/>
      <c r="Q1631" s="93"/>
      <c r="R1631" s="93"/>
      <c r="S1631" s="93"/>
      <c r="T1631" s="93"/>
      <c r="U1631" s="93"/>
      <c r="V1631" s="93"/>
      <c r="W1631" s="93"/>
      <c r="X1631" s="93"/>
      <c r="Y1631" s="93"/>
      <c r="Z1631" s="93"/>
    </row>
    <row r="1632" customFormat="false" ht="16.4" hidden="false" customHeight="false" outlineLevel="0" collapsed="false">
      <c r="A1632" s="123" t="n">
        <v>45444</v>
      </c>
      <c r="B1632" s="31" t="s">
        <v>153</v>
      </c>
      <c r="C1632" s="129"/>
      <c r="D1632" s="129"/>
      <c r="E1632" s="19" t="n">
        <f aca="false">F1632*0.03</f>
        <v>0</v>
      </c>
      <c r="F1632" s="33" t="n">
        <v>0</v>
      </c>
      <c r="G1632" s="131"/>
      <c r="H1632" s="35" t="n">
        <v>0</v>
      </c>
      <c r="I1632" s="34" t="n">
        <f aca="false">+IF(E1632=0,0,E1632*0.03)</f>
        <v>0</v>
      </c>
      <c r="J1632" s="93"/>
      <c r="K1632" s="93"/>
      <c r="L1632" s="93"/>
      <c r="M1632" s="93"/>
      <c r="N1632" s="93"/>
      <c r="O1632" s="93"/>
      <c r="P1632" s="93"/>
      <c r="Q1632" s="93"/>
      <c r="R1632" s="93"/>
      <c r="S1632" s="93"/>
      <c r="T1632" s="93"/>
      <c r="U1632" s="93"/>
      <c r="V1632" s="93"/>
      <c r="W1632" s="93"/>
      <c r="X1632" s="93"/>
      <c r="Y1632" s="93"/>
      <c r="Z1632" s="93"/>
    </row>
    <row r="1633" customFormat="false" ht="16.4" hidden="false" customHeight="false" outlineLevel="0" collapsed="false">
      <c r="A1633" s="123" t="n">
        <v>45444</v>
      </c>
      <c r="B1633" s="31" t="s">
        <v>153</v>
      </c>
      <c r="C1633" s="129"/>
      <c r="D1633" s="129"/>
      <c r="E1633" s="19" t="n">
        <f aca="false">F1633*0.03</f>
        <v>0</v>
      </c>
      <c r="F1633" s="33" t="n">
        <v>0</v>
      </c>
      <c r="G1633" s="131"/>
      <c r="H1633" s="35" t="n">
        <v>0</v>
      </c>
      <c r="I1633" s="34" t="n">
        <f aca="false">+IF(E1633=0,0,E1633*0.03)</f>
        <v>0</v>
      </c>
      <c r="J1633" s="93"/>
      <c r="K1633" s="93"/>
      <c r="L1633" s="93"/>
      <c r="M1633" s="93"/>
      <c r="N1633" s="93"/>
      <c r="O1633" s="93"/>
      <c r="P1633" s="93"/>
      <c r="Q1633" s="93"/>
      <c r="R1633" s="93"/>
      <c r="S1633" s="93"/>
      <c r="T1633" s="93"/>
      <c r="U1633" s="93"/>
      <c r="V1633" s="93"/>
      <c r="W1633" s="93"/>
      <c r="X1633" s="93"/>
      <c r="Y1633" s="93"/>
      <c r="Z1633" s="93"/>
    </row>
    <row r="1634" customFormat="false" ht="16.4" hidden="false" customHeight="false" outlineLevel="0" collapsed="false">
      <c r="A1634" s="123" t="n">
        <v>45444</v>
      </c>
      <c r="B1634" s="31" t="s">
        <v>153</v>
      </c>
      <c r="C1634" s="129"/>
      <c r="D1634" s="129"/>
      <c r="E1634" s="19" t="n">
        <f aca="false">F1634*0.03</f>
        <v>0</v>
      </c>
      <c r="F1634" s="33" t="n">
        <v>0</v>
      </c>
      <c r="G1634" s="131"/>
      <c r="H1634" s="35" t="n">
        <v>0</v>
      </c>
      <c r="I1634" s="34" t="n">
        <f aca="false">+IF(E1634=0,0,E1634*0.03)</f>
        <v>0</v>
      </c>
      <c r="J1634" s="93"/>
      <c r="K1634" s="93"/>
      <c r="L1634" s="93"/>
      <c r="M1634" s="93"/>
      <c r="N1634" s="93"/>
      <c r="O1634" s="93"/>
      <c r="P1634" s="93"/>
      <c r="Q1634" s="93"/>
      <c r="R1634" s="93"/>
      <c r="S1634" s="93"/>
      <c r="T1634" s="93"/>
      <c r="U1634" s="93"/>
      <c r="V1634" s="93"/>
      <c r="W1634" s="93"/>
      <c r="X1634" s="93"/>
      <c r="Y1634" s="93"/>
      <c r="Z1634" s="93"/>
    </row>
    <row r="1635" customFormat="false" ht="16.4" hidden="false" customHeight="false" outlineLevel="0" collapsed="false">
      <c r="A1635" s="123" t="n">
        <v>45444</v>
      </c>
      <c r="B1635" s="31" t="s">
        <v>153</v>
      </c>
      <c r="C1635" s="129"/>
      <c r="D1635" s="129"/>
      <c r="E1635" s="19" t="n">
        <f aca="false">F1635*0.03</f>
        <v>0</v>
      </c>
      <c r="F1635" s="33" t="n">
        <v>0</v>
      </c>
      <c r="G1635" s="131"/>
      <c r="H1635" s="35" t="n">
        <v>0</v>
      </c>
      <c r="I1635" s="34" t="n">
        <f aca="false">+IF(E1635=0,0,E1635*0.03)</f>
        <v>0</v>
      </c>
      <c r="J1635" s="93"/>
      <c r="K1635" s="93"/>
      <c r="L1635" s="93"/>
      <c r="M1635" s="93"/>
      <c r="N1635" s="93"/>
      <c r="O1635" s="93"/>
      <c r="P1635" s="93"/>
      <c r="Q1635" s="93"/>
      <c r="R1635" s="93"/>
      <c r="S1635" s="93"/>
      <c r="T1635" s="93"/>
      <c r="U1635" s="93"/>
      <c r="V1635" s="93"/>
      <c r="W1635" s="93"/>
      <c r="X1635" s="93"/>
      <c r="Y1635" s="93"/>
      <c r="Z1635" s="93"/>
    </row>
    <row r="1636" customFormat="false" ht="16.4" hidden="false" customHeight="false" outlineLevel="0" collapsed="false">
      <c r="A1636" s="123" t="n">
        <v>45444</v>
      </c>
      <c r="B1636" s="31" t="s">
        <v>153</v>
      </c>
      <c r="C1636" s="129"/>
      <c r="D1636" s="129"/>
      <c r="E1636" s="19" t="n">
        <f aca="false">F1636*0.03</f>
        <v>0</v>
      </c>
      <c r="F1636" s="33" t="n">
        <v>0</v>
      </c>
      <c r="G1636" s="131"/>
      <c r="H1636" s="35" t="n">
        <v>0</v>
      </c>
      <c r="I1636" s="34" t="n">
        <f aca="false">+IF(E1636=0,0,E1636*0.03)</f>
        <v>0</v>
      </c>
      <c r="J1636" s="93"/>
      <c r="K1636" s="93"/>
      <c r="L1636" s="93"/>
      <c r="M1636" s="93"/>
      <c r="N1636" s="93"/>
      <c r="O1636" s="93"/>
      <c r="P1636" s="93"/>
      <c r="Q1636" s="93"/>
      <c r="R1636" s="93"/>
      <c r="S1636" s="93"/>
      <c r="T1636" s="93"/>
      <c r="U1636" s="93"/>
      <c r="V1636" s="93"/>
      <c r="W1636" s="93"/>
      <c r="X1636" s="93"/>
      <c r="Y1636" s="93"/>
      <c r="Z1636" s="93"/>
    </row>
    <row r="1637" customFormat="false" ht="16.4" hidden="false" customHeight="false" outlineLevel="0" collapsed="false">
      <c r="A1637" s="123" t="n">
        <v>45444</v>
      </c>
      <c r="B1637" s="31" t="s">
        <v>153</v>
      </c>
      <c r="C1637" s="129"/>
      <c r="D1637" s="129"/>
      <c r="E1637" s="19" t="n">
        <f aca="false">F1637*0.03</f>
        <v>0</v>
      </c>
      <c r="F1637" s="33" t="n">
        <v>0</v>
      </c>
      <c r="G1637" s="131"/>
      <c r="H1637" s="35" t="n">
        <v>0</v>
      </c>
      <c r="I1637" s="34" t="n">
        <f aca="false">+IF(E1637=0,0,E1637*0.03)</f>
        <v>0</v>
      </c>
      <c r="J1637" s="93"/>
      <c r="K1637" s="93"/>
      <c r="L1637" s="93"/>
      <c r="M1637" s="93"/>
      <c r="N1637" s="93"/>
      <c r="O1637" s="93"/>
      <c r="P1637" s="93"/>
      <c r="Q1637" s="93"/>
      <c r="R1637" s="93"/>
      <c r="S1637" s="93"/>
      <c r="T1637" s="93"/>
      <c r="U1637" s="93"/>
      <c r="V1637" s="93"/>
      <c r="W1637" s="93"/>
      <c r="X1637" s="93"/>
      <c r="Y1637" s="93"/>
      <c r="Z1637" s="93"/>
    </row>
    <row r="1638" customFormat="false" ht="16.4" hidden="false" customHeight="false" outlineLevel="0" collapsed="false">
      <c r="A1638" s="123" t="n">
        <v>45444</v>
      </c>
      <c r="B1638" s="31" t="s">
        <v>153</v>
      </c>
      <c r="C1638" s="129"/>
      <c r="D1638" s="129"/>
      <c r="E1638" s="19" t="n">
        <f aca="false">F1638*0.03</f>
        <v>0</v>
      </c>
      <c r="F1638" s="33" t="n">
        <v>0</v>
      </c>
      <c r="G1638" s="131"/>
      <c r="H1638" s="35" t="n">
        <v>0</v>
      </c>
      <c r="I1638" s="34" t="n">
        <f aca="false">+IF(E1638=0,0,E1638*0.03)</f>
        <v>0</v>
      </c>
      <c r="J1638" s="93"/>
      <c r="K1638" s="93"/>
      <c r="L1638" s="93"/>
      <c r="M1638" s="93"/>
      <c r="N1638" s="93"/>
      <c r="O1638" s="93"/>
      <c r="P1638" s="93"/>
      <c r="Q1638" s="93"/>
      <c r="R1638" s="93"/>
      <c r="S1638" s="93"/>
      <c r="T1638" s="93"/>
      <c r="U1638" s="93"/>
      <c r="V1638" s="93"/>
      <c r="W1638" s="93"/>
      <c r="X1638" s="93"/>
      <c r="Y1638" s="93"/>
      <c r="Z1638" s="93"/>
    </row>
    <row r="1639" customFormat="false" ht="16.4" hidden="false" customHeight="false" outlineLevel="0" collapsed="false">
      <c r="A1639" s="123" t="n">
        <v>45444</v>
      </c>
      <c r="B1639" s="31" t="s">
        <v>153</v>
      </c>
      <c r="C1639" s="129"/>
      <c r="D1639" s="129"/>
      <c r="E1639" s="19" t="n">
        <f aca="false">F1639*0.03</f>
        <v>0</v>
      </c>
      <c r="F1639" s="33" t="n">
        <v>0</v>
      </c>
      <c r="G1639" s="131"/>
      <c r="H1639" s="35" t="n">
        <v>0</v>
      </c>
      <c r="I1639" s="34" t="n">
        <f aca="false">+IF(E1639=0,0,E1639*0.03)</f>
        <v>0</v>
      </c>
      <c r="J1639" s="93"/>
      <c r="K1639" s="93"/>
      <c r="L1639" s="93"/>
      <c r="M1639" s="93"/>
      <c r="N1639" s="93"/>
      <c r="O1639" s="93"/>
      <c r="P1639" s="93"/>
      <c r="Q1639" s="93"/>
      <c r="R1639" s="93"/>
      <c r="S1639" s="93"/>
      <c r="T1639" s="93"/>
      <c r="U1639" s="93"/>
      <c r="V1639" s="93"/>
      <c r="W1639" s="93"/>
      <c r="X1639" s="93"/>
      <c r="Y1639" s="93"/>
      <c r="Z1639" s="93"/>
    </row>
    <row r="1640" customFormat="false" ht="16.4" hidden="false" customHeight="false" outlineLevel="0" collapsed="false">
      <c r="A1640" s="123" t="n">
        <v>45444</v>
      </c>
      <c r="B1640" s="31" t="s">
        <v>153</v>
      </c>
      <c r="C1640" s="129"/>
      <c r="D1640" s="129"/>
      <c r="E1640" s="19" t="n">
        <f aca="false">F1640*0.03</f>
        <v>0</v>
      </c>
      <c r="F1640" s="33" t="n">
        <v>0</v>
      </c>
      <c r="G1640" s="131"/>
      <c r="H1640" s="35" t="n">
        <v>0</v>
      </c>
      <c r="I1640" s="34" t="n">
        <f aca="false">+IF(E1640=0,0,E1640*0.03)</f>
        <v>0</v>
      </c>
      <c r="J1640" s="93"/>
      <c r="K1640" s="93"/>
      <c r="L1640" s="93"/>
      <c r="M1640" s="93"/>
      <c r="N1640" s="93"/>
      <c r="O1640" s="93"/>
      <c r="P1640" s="93"/>
      <c r="Q1640" s="93"/>
      <c r="R1640" s="93"/>
      <c r="S1640" s="93"/>
      <c r="T1640" s="93"/>
      <c r="U1640" s="93"/>
      <c r="V1640" s="93"/>
      <c r="W1640" s="93"/>
      <c r="X1640" s="93"/>
      <c r="Y1640" s="93"/>
      <c r="Z1640" s="93"/>
    </row>
    <row r="1641" customFormat="false" ht="16.4" hidden="false" customHeight="false" outlineLevel="0" collapsed="false">
      <c r="A1641" s="123" t="n">
        <v>45444</v>
      </c>
      <c r="B1641" s="31" t="s">
        <v>153</v>
      </c>
      <c r="C1641" s="129"/>
      <c r="D1641" s="129"/>
      <c r="E1641" s="19" t="n">
        <f aca="false">F1641*0.03</f>
        <v>0</v>
      </c>
      <c r="F1641" s="33" t="n">
        <v>0</v>
      </c>
      <c r="G1641" s="131"/>
      <c r="H1641" s="35" t="n">
        <v>0</v>
      </c>
      <c r="I1641" s="34" t="n">
        <f aca="false">+IF(E1641=0,0,E1641*0.03)</f>
        <v>0</v>
      </c>
      <c r="J1641" s="93"/>
      <c r="K1641" s="93"/>
      <c r="L1641" s="93"/>
      <c r="M1641" s="93"/>
      <c r="N1641" s="93"/>
      <c r="O1641" s="93"/>
      <c r="P1641" s="93"/>
      <c r="Q1641" s="93"/>
      <c r="R1641" s="93"/>
      <c r="S1641" s="93"/>
      <c r="T1641" s="93"/>
      <c r="U1641" s="93"/>
      <c r="V1641" s="93"/>
      <c r="W1641" s="93"/>
      <c r="X1641" s="93"/>
      <c r="Y1641" s="93"/>
      <c r="Z1641" s="93"/>
    </row>
    <row r="1642" customFormat="false" ht="16.4" hidden="false" customHeight="false" outlineLevel="0" collapsed="false">
      <c r="A1642" s="123" t="n">
        <v>45444</v>
      </c>
      <c r="B1642" s="31" t="s">
        <v>153</v>
      </c>
      <c r="C1642" s="129"/>
      <c r="D1642" s="129"/>
      <c r="E1642" s="19" t="n">
        <f aca="false">F1642*0.03</f>
        <v>0</v>
      </c>
      <c r="F1642" s="33" t="n">
        <v>0</v>
      </c>
      <c r="G1642" s="131"/>
      <c r="H1642" s="35" t="n">
        <v>0</v>
      </c>
      <c r="I1642" s="34" t="n">
        <f aca="false">+IF(E1642=0,0,E1642*0.03)</f>
        <v>0</v>
      </c>
      <c r="J1642" s="93"/>
      <c r="K1642" s="93"/>
      <c r="L1642" s="93"/>
      <c r="M1642" s="93"/>
      <c r="N1642" s="93"/>
      <c r="O1642" s="93"/>
      <c r="P1642" s="93"/>
      <c r="Q1642" s="93"/>
      <c r="R1642" s="93"/>
      <c r="S1642" s="93"/>
      <c r="T1642" s="93"/>
      <c r="U1642" s="93"/>
      <c r="V1642" s="93"/>
      <c r="W1642" s="93"/>
      <c r="X1642" s="93"/>
      <c r="Y1642" s="93"/>
      <c r="Z1642" s="93"/>
    </row>
    <row r="1643" customFormat="false" ht="16.4" hidden="false" customHeight="false" outlineLevel="0" collapsed="false">
      <c r="A1643" s="123" t="n">
        <v>45444</v>
      </c>
      <c r="B1643" s="31" t="s">
        <v>153</v>
      </c>
      <c r="C1643" s="129"/>
      <c r="D1643" s="129"/>
      <c r="E1643" s="19" t="n">
        <f aca="false">F1643*0.03</f>
        <v>0</v>
      </c>
      <c r="F1643" s="33" t="n">
        <v>0</v>
      </c>
      <c r="G1643" s="131"/>
      <c r="H1643" s="35" t="n">
        <v>0</v>
      </c>
      <c r="I1643" s="34" t="n">
        <f aca="false">+IF(E1643=0,0,E1643*0.03)</f>
        <v>0</v>
      </c>
      <c r="J1643" s="93"/>
      <c r="K1643" s="93"/>
      <c r="L1643" s="93"/>
      <c r="M1643" s="93"/>
      <c r="N1643" s="93"/>
      <c r="O1643" s="93"/>
      <c r="P1643" s="93"/>
      <c r="Q1643" s="93"/>
      <c r="R1643" s="93"/>
      <c r="S1643" s="93"/>
      <c r="T1643" s="93"/>
      <c r="U1643" s="93"/>
      <c r="V1643" s="93"/>
      <c r="W1643" s="93"/>
      <c r="X1643" s="93"/>
      <c r="Y1643" s="93"/>
      <c r="Z1643" s="93"/>
    </row>
    <row r="1644" customFormat="false" ht="16.4" hidden="false" customHeight="false" outlineLevel="0" collapsed="false">
      <c r="A1644" s="123" t="n">
        <v>45444</v>
      </c>
      <c r="B1644" s="31" t="s">
        <v>153</v>
      </c>
      <c r="C1644" s="129"/>
      <c r="D1644" s="129"/>
      <c r="E1644" s="19" t="n">
        <f aca="false">F1644*0.03</f>
        <v>0</v>
      </c>
      <c r="F1644" s="33" t="n">
        <v>0</v>
      </c>
      <c r="G1644" s="131"/>
      <c r="H1644" s="35" t="n">
        <v>0</v>
      </c>
      <c r="I1644" s="34" t="n">
        <f aca="false">+IF(E1644=0,0,E1644*0.03)</f>
        <v>0</v>
      </c>
      <c r="J1644" s="93"/>
      <c r="K1644" s="93"/>
      <c r="L1644" s="93"/>
      <c r="M1644" s="93"/>
      <c r="N1644" s="93"/>
      <c r="O1644" s="93"/>
      <c r="P1644" s="93"/>
      <c r="Q1644" s="93"/>
      <c r="R1644" s="93"/>
      <c r="S1644" s="93"/>
      <c r="T1644" s="93"/>
      <c r="U1644" s="93"/>
      <c r="V1644" s="93"/>
      <c r="W1644" s="93"/>
      <c r="X1644" s="93"/>
      <c r="Y1644" s="93"/>
      <c r="Z1644" s="93"/>
    </row>
    <row r="1645" customFormat="false" ht="16.4" hidden="false" customHeight="false" outlineLevel="0" collapsed="false">
      <c r="A1645" s="123" t="n">
        <v>45444</v>
      </c>
      <c r="B1645" s="31" t="s">
        <v>153</v>
      </c>
      <c r="C1645" s="129"/>
      <c r="D1645" s="129"/>
      <c r="E1645" s="19" t="n">
        <f aca="false">F1645*0.03</f>
        <v>0</v>
      </c>
      <c r="F1645" s="33" t="n">
        <v>0</v>
      </c>
      <c r="G1645" s="131"/>
      <c r="H1645" s="35" t="n">
        <v>0</v>
      </c>
      <c r="I1645" s="34" t="n">
        <f aca="false">+IF(E1645=0,0,E1645*0.03)</f>
        <v>0</v>
      </c>
      <c r="J1645" s="93"/>
      <c r="K1645" s="93"/>
      <c r="L1645" s="93"/>
      <c r="M1645" s="93"/>
      <c r="N1645" s="93"/>
      <c r="O1645" s="93"/>
      <c r="P1645" s="93"/>
      <c r="Q1645" s="93"/>
      <c r="R1645" s="93"/>
      <c r="S1645" s="93"/>
      <c r="T1645" s="93"/>
      <c r="U1645" s="93"/>
      <c r="V1645" s="93"/>
      <c r="W1645" s="93"/>
      <c r="X1645" s="93"/>
      <c r="Y1645" s="93"/>
      <c r="Z1645" s="93"/>
    </row>
    <row r="1646" customFormat="false" ht="16.4" hidden="false" customHeight="false" outlineLevel="0" collapsed="false">
      <c r="A1646" s="123" t="n">
        <v>45444</v>
      </c>
      <c r="B1646" s="31" t="s">
        <v>153</v>
      </c>
      <c r="C1646" s="129"/>
      <c r="D1646" s="129"/>
      <c r="E1646" s="19" t="n">
        <f aca="false">F1646*0.03</f>
        <v>0</v>
      </c>
      <c r="F1646" s="33" t="n">
        <v>0</v>
      </c>
      <c r="G1646" s="131"/>
      <c r="H1646" s="35" t="n">
        <v>0</v>
      </c>
      <c r="I1646" s="34" t="n">
        <f aca="false">+IF(E1646=0,0,E1646*0.03)</f>
        <v>0</v>
      </c>
      <c r="J1646" s="93"/>
      <c r="K1646" s="93"/>
      <c r="L1646" s="93"/>
      <c r="M1646" s="93"/>
      <c r="N1646" s="93"/>
      <c r="O1646" s="93"/>
      <c r="P1646" s="93"/>
      <c r="Q1646" s="93"/>
      <c r="R1646" s="93"/>
      <c r="S1646" s="93"/>
      <c r="T1646" s="93"/>
      <c r="U1646" s="93"/>
      <c r="V1646" s="93"/>
      <c r="W1646" s="93"/>
      <c r="X1646" s="93"/>
      <c r="Y1646" s="93"/>
      <c r="Z1646" s="93"/>
    </row>
    <row r="1647" customFormat="false" ht="16.4" hidden="false" customHeight="false" outlineLevel="0" collapsed="false">
      <c r="A1647" s="123" t="n">
        <v>45444</v>
      </c>
      <c r="B1647" s="31" t="s">
        <v>153</v>
      </c>
      <c r="C1647" s="129"/>
      <c r="D1647" s="129"/>
      <c r="E1647" s="19" t="n">
        <f aca="false">F1647*0.03</f>
        <v>0</v>
      </c>
      <c r="F1647" s="33" t="n">
        <v>0</v>
      </c>
      <c r="G1647" s="131"/>
      <c r="H1647" s="35" t="n">
        <v>0</v>
      </c>
      <c r="I1647" s="34" t="n">
        <f aca="false">+IF(E1647=0,0,E1647*0.03)</f>
        <v>0</v>
      </c>
      <c r="J1647" s="93"/>
      <c r="K1647" s="93"/>
      <c r="L1647" s="93"/>
      <c r="M1647" s="93"/>
      <c r="N1647" s="93"/>
      <c r="O1647" s="93"/>
      <c r="P1647" s="93"/>
      <c r="Q1647" s="93"/>
      <c r="R1647" s="93"/>
      <c r="S1647" s="93"/>
      <c r="T1647" s="93"/>
      <c r="U1647" s="93"/>
      <c r="V1647" s="93"/>
      <c r="W1647" s="93"/>
      <c r="X1647" s="93"/>
      <c r="Y1647" s="93"/>
      <c r="Z1647" s="93"/>
    </row>
    <row r="1648" customFormat="false" ht="16.4" hidden="false" customHeight="false" outlineLevel="0" collapsed="false">
      <c r="A1648" s="123" t="n">
        <v>45444</v>
      </c>
      <c r="B1648" s="31" t="s">
        <v>153</v>
      </c>
      <c r="C1648" s="129"/>
      <c r="D1648" s="129"/>
      <c r="E1648" s="19" t="n">
        <f aca="false">F1648*0.03</f>
        <v>0</v>
      </c>
      <c r="F1648" s="33" t="n">
        <v>0</v>
      </c>
      <c r="G1648" s="131"/>
      <c r="H1648" s="35" t="n">
        <v>0</v>
      </c>
      <c r="I1648" s="34" t="n">
        <f aca="false">+IF(E1648=0,0,E1648*0.03)</f>
        <v>0</v>
      </c>
      <c r="J1648" s="93"/>
      <c r="K1648" s="93"/>
      <c r="L1648" s="93"/>
      <c r="M1648" s="93"/>
      <c r="N1648" s="93"/>
      <c r="O1648" s="93"/>
      <c r="P1648" s="93"/>
      <c r="Q1648" s="93"/>
      <c r="R1648" s="93"/>
      <c r="S1648" s="93"/>
      <c r="T1648" s="93"/>
      <c r="U1648" s="93"/>
      <c r="V1648" s="93"/>
      <c r="W1648" s="93"/>
      <c r="X1648" s="93"/>
      <c r="Y1648" s="93"/>
      <c r="Z1648" s="93"/>
    </row>
    <row r="1649" customFormat="false" ht="16.4" hidden="false" customHeight="false" outlineLevel="0" collapsed="false">
      <c r="A1649" s="123" t="n">
        <v>45444</v>
      </c>
      <c r="B1649" s="31" t="s">
        <v>153</v>
      </c>
      <c r="C1649" s="129"/>
      <c r="D1649" s="129"/>
      <c r="E1649" s="19" t="n">
        <f aca="false">F1649*0.03</f>
        <v>0</v>
      </c>
      <c r="F1649" s="33" t="n">
        <v>0</v>
      </c>
      <c r="G1649" s="131"/>
      <c r="H1649" s="35" t="n">
        <v>0</v>
      </c>
      <c r="I1649" s="34" t="n">
        <f aca="false">+IF(E1649=0,0,E1649*0.03)</f>
        <v>0</v>
      </c>
      <c r="J1649" s="93"/>
      <c r="K1649" s="93"/>
      <c r="L1649" s="93"/>
      <c r="M1649" s="93"/>
      <c r="N1649" s="93"/>
      <c r="O1649" s="93"/>
      <c r="P1649" s="93"/>
      <c r="Q1649" s="93"/>
      <c r="R1649" s="93"/>
      <c r="S1649" s="93"/>
      <c r="T1649" s="93"/>
      <c r="U1649" s="93"/>
      <c r="V1649" s="93"/>
      <c r="W1649" s="93"/>
      <c r="X1649" s="93"/>
      <c r="Y1649" s="93"/>
      <c r="Z1649" s="93"/>
    </row>
    <row r="1650" customFormat="false" ht="16.4" hidden="false" customHeight="false" outlineLevel="0" collapsed="false">
      <c r="A1650" s="123" t="n">
        <v>45444</v>
      </c>
      <c r="B1650" s="31" t="s">
        <v>153</v>
      </c>
      <c r="C1650" s="129"/>
      <c r="D1650" s="129"/>
      <c r="E1650" s="19" t="n">
        <f aca="false">F1650*0.03</f>
        <v>0</v>
      </c>
      <c r="F1650" s="33" t="n">
        <v>0</v>
      </c>
      <c r="G1650" s="131"/>
      <c r="H1650" s="35" t="n">
        <v>0</v>
      </c>
      <c r="I1650" s="34" t="n">
        <f aca="false">+IF(E1650=0,0,E1650*0.03)</f>
        <v>0</v>
      </c>
      <c r="J1650" s="93"/>
      <c r="K1650" s="93"/>
      <c r="L1650" s="93"/>
      <c r="M1650" s="93"/>
      <c r="N1650" s="93"/>
      <c r="O1650" s="93"/>
      <c r="P1650" s="93"/>
      <c r="Q1650" s="93"/>
      <c r="R1650" s="93"/>
      <c r="S1650" s="93"/>
      <c r="T1650" s="93"/>
      <c r="U1650" s="93"/>
      <c r="V1650" s="93"/>
      <c r="W1650" s="93"/>
      <c r="X1650" s="93"/>
      <c r="Y1650" s="93"/>
      <c r="Z1650" s="93"/>
    </row>
    <row r="1651" customFormat="false" ht="16.4" hidden="false" customHeight="false" outlineLevel="0" collapsed="false">
      <c r="A1651" s="123" t="n">
        <v>45444</v>
      </c>
      <c r="B1651" s="31" t="s">
        <v>153</v>
      </c>
      <c r="C1651" s="129"/>
      <c r="D1651" s="129"/>
      <c r="E1651" s="19" t="n">
        <f aca="false">F1651*0.03</f>
        <v>0</v>
      </c>
      <c r="F1651" s="33" t="n">
        <v>0</v>
      </c>
      <c r="G1651" s="131"/>
      <c r="H1651" s="35" t="n">
        <v>0</v>
      </c>
      <c r="I1651" s="34" t="n">
        <f aca="false">+IF(E1651=0,0,E1651*0.03)</f>
        <v>0</v>
      </c>
      <c r="J1651" s="93"/>
      <c r="K1651" s="93"/>
      <c r="L1651" s="93"/>
      <c r="M1651" s="93"/>
      <c r="N1651" s="93"/>
      <c r="O1651" s="93"/>
      <c r="P1651" s="93"/>
      <c r="Q1651" s="93"/>
      <c r="R1651" s="93"/>
      <c r="S1651" s="93"/>
      <c r="T1651" s="93"/>
      <c r="U1651" s="93"/>
      <c r="V1651" s="93"/>
      <c r="W1651" s="93"/>
      <c r="X1651" s="93"/>
      <c r="Y1651" s="93"/>
      <c r="Z1651" s="93"/>
    </row>
    <row r="1652" customFormat="false" ht="16.4" hidden="false" customHeight="false" outlineLevel="0" collapsed="false">
      <c r="A1652" s="123" t="n">
        <v>45444</v>
      </c>
      <c r="B1652" s="31" t="s">
        <v>153</v>
      </c>
      <c r="C1652" s="129"/>
      <c r="D1652" s="129"/>
      <c r="E1652" s="19" t="n">
        <f aca="false">F1652*0.03</f>
        <v>0</v>
      </c>
      <c r="F1652" s="33" t="n">
        <v>0</v>
      </c>
      <c r="G1652" s="131"/>
      <c r="H1652" s="35" t="n">
        <v>0</v>
      </c>
      <c r="I1652" s="34" t="n">
        <f aca="false">+IF(E1652=0,0,E1652*0.03)</f>
        <v>0</v>
      </c>
      <c r="J1652" s="93"/>
      <c r="K1652" s="93"/>
      <c r="L1652" s="93"/>
      <c r="M1652" s="93"/>
      <c r="N1652" s="93"/>
      <c r="O1652" s="93"/>
      <c r="P1652" s="93"/>
      <c r="Q1652" s="93"/>
      <c r="R1652" s="93"/>
      <c r="S1652" s="93"/>
      <c r="T1652" s="93"/>
      <c r="U1652" s="93"/>
      <c r="V1652" s="93"/>
      <c r="W1652" s="93"/>
      <c r="X1652" s="93"/>
      <c r="Y1652" s="93"/>
      <c r="Z1652" s="93"/>
    </row>
    <row r="1653" customFormat="false" ht="16.4" hidden="false" customHeight="false" outlineLevel="0" collapsed="false">
      <c r="A1653" s="123" t="n">
        <v>45444</v>
      </c>
      <c r="B1653" s="31" t="s">
        <v>153</v>
      </c>
      <c r="C1653" s="129"/>
      <c r="D1653" s="129"/>
      <c r="E1653" s="19" t="n">
        <f aca="false">F1653*0.03</f>
        <v>0</v>
      </c>
      <c r="F1653" s="33" t="n">
        <v>0</v>
      </c>
      <c r="G1653" s="131"/>
      <c r="H1653" s="35" t="n">
        <v>0</v>
      </c>
      <c r="I1653" s="34" t="n">
        <f aca="false">+IF(E1653=0,0,E1653*0.03)</f>
        <v>0</v>
      </c>
      <c r="J1653" s="93"/>
      <c r="K1653" s="93"/>
      <c r="L1653" s="93"/>
      <c r="M1653" s="93"/>
      <c r="N1653" s="93"/>
      <c r="O1653" s="93"/>
      <c r="P1653" s="93"/>
      <c r="Q1653" s="93"/>
      <c r="R1653" s="93"/>
      <c r="S1653" s="93"/>
      <c r="T1653" s="93"/>
      <c r="U1653" s="93"/>
      <c r="V1653" s="93"/>
      <c r="W1653" s="93"/>
      <c r="X1653" s="93"/>
      <c r="Y1653" s="93"/>
      <c r="Z1653" s="93"/>
    </row>
    <row r="1654" customFormat="false" ht="16.4" hidden="false" customHeight="false" outlineLevel="0" collapsed="false">
      <c r="A1654" s="123" t="n">
        <v>45444</v>
      </c>
      <c r="B1654" s="31" t="s">
        <v>153</v>
      </c>
      <c r="C1654" s="129"/>
      <c r="D1654" s="129"/>
      <c r="E1654" s="19" t="n">
        <f aca="false">F1654*0.03</f>
        <v>0</v>
      </c>
      <c r="F1654" s="33" t="n">
        <v>0</v>
      </c>
      <c r="G1654" s="131"/>
      <c r="H1654" s="35" t="n">
        <v>0</v>
      </c>
      <c r="I1654" s="34" t="n">
        <f aca="false">+IF(E1654=0,0,E1654*0.03)</f>
        <v>0</v>
      </c>
      <c r="J1654" s="93"/>
      <c r="K1654" s="93"/>
      <c r="L1654" s="93"/>
      <c r="M1654" s="93"/>
      <c r="N1654" s="93"/>
      <c r="O1654" s="93"/>
      <c r="P1654" s="93"/>
      <c r="Q1654" s="93"/>
      <c r="R1654" s="93"/>
      <c r="S1654" s="93"/>
      <c r="T1654" s="93"/>
      <c r="U1654" s="93"/>
      <c r="V1654" s="93"/>
      <c r="W1654" s="93"/>
      <c r="X1654" s="93"/>
      <c r="Y1654" s="93"/>
      <c r="Z1654" s="93"/>
    </row>
    <row r="1655" customFormat="false" ht="16.4" hidden="false" customHeight="false" outlineLevel="0" collapsed="false">
      <c r="A1655" s="123" t="n">
        <v>45444</v>
      </c>
      <c r="B1655" s="31" t="s">
        <v>153</v>
      </c>
      <c r="C1655" s="129"/>
      <c r="D1655" s="129"/>
      <c r="E1655" s="19" t="n">
        <f aca="false">F1655*0.03</f>
        <v>0</v>
      </c>
      <c r="F1655" s="33" t="n">
        <v>0</v>
      </c>
      <c r="G1655" s="131"/>
      <c r="H1655" s="35" t="n">
        <v>0</v>
      </c>
      <c r="I1655" s="34" t="n">
        <f aca="false">+IF(E1655=0,0,E1655*0.03)</f>
        <v>0</v>
      </c>
      <c r="J1655" s="93"/>
      <c r="K1655" s="93"/>
      <c r="L1655" s="93"/>
      <c r="M1655" s="93"/>
      <c r="N1655" s="93"/>
      <c r="O1655" s="93"/>
      <c r="P1655" s="93"/>
      <c r="Q1655" s="93"/>
      <c r="R1655" s="93"/>
      <c r="S1655" s="93"/>
      <c r="T1655" s="93"/>
      <c r="U1655" s="93"/>
      <c r="V1655" s="93"/>
      <c r="W1655" s="93"/>
      <c r="X1655" s="93"/>
      <c r="Y1655" s="93"/>
      <c r="Z1655" s="93"/>
    </row>
    <row r="1656" customFormat="false" ht="16.4" hidden="false" customHeight="false" outlineLevel="0" collapsed="false">
      <c r="A1656" s="123" t="n">
        <v>45444</v>
      </c>
      <c r="B1656" s="31" t="s">
        <v>153</v>
      </c>
      <c r="C1656" s="129"/>
      <c r="D1656" s="129"/>
      <c r="E1656" s="19" t="n">
        <f aca="false">F1656*0.03</f>
        <v>0</v>
      </c>
      <c r="F1656" s="33" t="n">
        <v>0</v>
      </c>
      <c r="G1656" s="131"/>
      <c r="H1656" s="35" t="n">
        <v>0</v>
      </c>
      <c r="I1656" s="34" t="n">
        <f aca="false">+IF(E1656=0,0,E1656*0.03)</f>
        <v>0</v>
      </c>
      <c r="J1656" s="93"/>
      <c r="K1656" s="93"/>
      <c r="L1656" s="93"/>
      <c r="M1656" s="93"/>
      <c r="N1656" s="93"/>
      <c r="O1656" s="93"/>
      <c r="P1656" s="93"/>
      <c r="Q1656" s="93"/>
      <c r="R1656" s="93"/>
      <c r="S1656" s="93"/>
      <c r="T1656" s="93"/>
      <c r="U1656" s="93"/>
      <c r="V1656" s="93"/>
      <c r="W1656" s="93"/>
      <c r="X1656" s="93"/>
      <c r="Y1656" s="93"/>
      <c r="Z1656" s="93"/>
    </row>
    <row r="1657" customFormat="false" ht="16.4" hidden="false" customHeight="false" outlineLevel="0" collapsed="false">
      <c r="A1657" s="123" t="n">
        <v>45444</v>
      </c>
      <c r="B1657" s="31" t="s">
        <v>153</v>
      </c>
      <c r="C1657" s="129"/>
      <c r="D1657" s="129"/>
      <c r="E1657" s="19" t="n">
        <f aca="false">F1657*0.03</f>
        <v>0</v>
      </c>
      <c r="F1657" s="33" t="n">
        <v>0</v>
      </c>
      <c r="G1657" s="131"/>
      <c r="H1657" s="35" t="n">
        <v>0</v>
      </c>
      <c r="I1657" s="34" t="n">
        <f aca="false">+IF(E1657=0,0,E1657*0.03)</f>
        <v>0</v>
      </c>
      <c r="J1657" s="93"/>
      <c r="K1657" s="93"/>
      <c r="L1657" s="93"/>
      <c r="M1657" s="93"/>
      <c r="N1657" s="93"/>
      <c r="O1657" s="93"/>
      <c r="P1657" s="93"/>
      <c r="Q1657" s="93"/>
      <c r="R1657" s="93"/>
      <c r="S1657" s="93"/>
      <c r="T1657" s="93"/>
      <c r="U1657" s="93"/>
      <c r="V1657" s="93"/>
      <c r="W1657" s="93"/>
      <c r="X1657" s="93"/>
      <c r="Y1657" s="93"/>
      <c r="Z1657" s="93"/>
    </row>
    <row r="1658" customFormat="false" ht="16.4" hidden="false" customHeight="false" outlineLevel="0" collapsed="false">
      <c r="A1658" s="123" t="n">
        <v>45444</v>
      </c>
      <c r="B1658" s="31" t="s">
        <v>153</v>
      </c>
      <c r="C1658" s="129"/>
      <c r="D1658" s="129"/>
      <c r="E1658" s="19" t="n">
        <f aca="false">F1658*0.03</f>
        <v>0</v>
      </c>
      <c r="F1658" s="33" t="n">
        <v>0</v>
      </c>
      <c r="G1658" s="131"/>
      <c r="H1658" s="35" t="n">
        <v>0</v>
      </c>
      <c r="I1658" s="34" t="n">
        <f aca="false">+IF(E1658=0,0,E1658*0.03)</f>
        <v>0</v>
      </c>
      <c r="J1658" s="93"/>
      <c r="K1658" s="93"/>
      <c r="L1658" s="93"/>
      <c r="M1658" s="93"/>
      <c r="N1658" s="93"/>
      <c r="O1658" s="93"/>
      <c r="P1658" s="93"/>
      <c r="Q1658" s="93"/>
      <c r="R1658" s="93"/>
      <c r="S1658" s="93"/>
      <c r="T1658" s="93"/>
      <c r="U1658" s="93"/>
      <c r="V1658" s="93"/>
      <c r="W1658" s="93"/>
      <c r="X1658" s="93"/>
      <c r="Y1658" s="93"/>
      <c r="Z1658" s="93"/>
    </row>
    <row r="1659" customFormat="false" ht="16.4" hidden="false" customHeight="false" outlineLevel="0" collapsed="false">
      <c r="A1659" s="123" t="n">
        <v>45444</v>
      </c>
      <c r="B1659" s="31" t="s">
        <v>153</v>
      </c>
      <c r="C1659" s="129"/>
      <c r="D1659" s="129"/>
      <c r="E1659" s="19" t="n">
        <f aca="false">F1659*0.03</f>
        <v>0</v>
      </c>
      <c r="F1659" s="33" t="n">
        <v>0</v>
      </c>
      <c r="G1659" s="131"/>
      <c r="H1659" s="35" t="n">
        <v>0</v>
      </c>
      <c r="I1659" s="34" t="n">
        <f aca="false">+IF(E1659=0,0,E1659*0.03)</f>
        <v>0</v>
      </c>
      <c r="J1659" s="93"/>
      <c r="K1659" s="93"/>
      <c r="L1659" s="93"/>
      <c r="M1659" s="93"/>
      <c r="N1659" s="93"/>
      <c r="O1659" s="93"/>
      <c r="P1659" s="93"/>
      <c r="Q1659" s="93"/>
      <c r="R1659" s="93"/>
      <c r="S1659" s="93"/>
      <c r="T1659" s="93"/>
      <c r="U1659" s="93"/>
      <c r="V1659" s="93"/>
      <c r="W1659" s="93"/>
      <c r="X1659" s="93"/>
      <c r="Y1659" s="93"/>
      <c r="Z1659" s="93"/>
    </row>
    <row r="1660" customFormat="false" ht="16.4" hidden="false" customHeight="false" outlineLevel="0" collapsed="false">
      <c r="A1660" s="123" t="n">
        <v>45444</v>
      </c>
      <c r="B1660" s="31" t="s">
        <v>153</v>
      </c>
      <c r="C1660" s="129"/>
      <c r="D1660" s="129"/>
      <c r="E1660" s="19" t="n">
        <f aca="false">F1660*0.03</f>
        <v>0</v>
      </c>
      <c r="F1660" s="33" t="n">
        <v>0</v>
      </c>
      <c r="G1660" s="131"/>
      <c r="H1660" s="35" t="n">
        <v>0</v>
      </c>
      <c r="I1660" s="34" t="n">
        <f aca="false">+IF(E1660=0,0,E1660*0.03)</f>
        <v>0</v>
      </c>
      <c r="J1660" s="93"/>
      <c r="K1660" s="93"/>
      <c r="L1660" s="93"/>
      <c r="M1660" s="93"/>
      <c r="N1660" s="93"/>
      <c r="O1660" s="93"/>
      <c r="P1660" s="93"/>
      <c r="Q1660" s="93"/>
      <c r="R1660" s="93"/>
      <c r="S1660" s="93"/>
      <c r="T1660" s="93"/>
      <c r="U1660" s="93"/>
      <c r="V1660" s="93"/>
      <c r="W1660" s="93"/>
      <c r="X1660" s="93"/>
      <c r="Y1660" s="93"/>
      <c r="Z1660" s="93"/>
    </row>
    <row r="1661" customFormat="false" ht="16.4" hidden="false" customHeight="false" outlineLevel="0" collapsed="false">
      <c r="A1661" s="123" t="n">
        <v>45444</v>
      </c>
      <c r="B1661" s="31" t="s">
        <v>153</v>
      </c>
      <c r="C1661" s="129"/>
      <c r="D1661" s="129"/>
      <c r="E1661" s="19" t="n">
        <f aca="false">F1661*0.03</f>
        <v>0</v>
      </c>
      <c r="F1661" s="33" t="n">
        <v>0</v>
      </c>
      <c r="G1661" s="131"/>
      <c r="H1661" s="35" t="n">
        <v>0</v>
      </c>
      <c r="I1661" s="34" t="n">
        <f aca="false">+IF(E1661=0,0,E1661*0.03)</f>
        <v>0</v>
      </c>
      <c r="J1661" s="93"/>
      <c r="K1661" s="93"/>
      <c r="L1661" s="93"/>
      <c r="M1661" s="93"/>
      <c r="N1661" s="93"/>
      <c r="O1661" s="93"/>
      <c r="P1661" s="93"/>
      <c r="Q1661" s="93"/>
      <c r="R1661" s="93"/>
      <c r="S1661" s="93"/>
      <c r="T1661" s="93"/>
      <c r="U1661" s="93"/>
      <c r="V1661" s="93"/>
      <c r="W1661" s="93"/>
      <c r="X1661" s="93"/>
      <c r="Y1661" s="93"/>
      <c r="Z1661" s="93"/>
    </row>
    <row r="1662" customFormat="false" ht="16.4" hidden="false" customHeight="false" outlineLevel="0" collapsed="false">
      <c r="A1662" s="123" t="n">
        <v>45444</v>
      </c>
      <c r="B1662" s="31" t="s">
        <v>153</v>
      </c>
      <c r="C1662" s="129"/>
      <c r="D1662" s="129"/>
      <c r="E1662" s="19" t="n">
        <f aca="false">F1662*0.03</f>
        <v>0</v>
      </c>
      <c r="F1662" s="33" t="n">
        <v>0</v>
      </c>
      <c r="G1662" s="131"/>
      <c r="H1662" s="35" t="n">
        <v>0</v>
      </c>
      <c r="I1662" s="34" t="n">
        <f aca="false">+IF(E1662=0,0,E1662*0.03)</f>
        <v>0</v>
      </c>
      <c r="J1662" s="93"/>
      <c r="K1662" s="93"/>
      <c r="L1662" s="93"/>
      <c r="M1662" s="93"/>
      <c r="N1662" s="93"/>
      <c r="O1662" s="93"/>
      <c r="P1662" s="93"/>
      <c r="Q1662" s="93"/>
      <c r="R1662" s="93"/>
      <c r="S1662" s="93"/>
      <c r="T1662" s="93"/>
      <c r="U1662" s="93"/>
      <c r="V1662" s="93"/>
      <c r="W1662" s="93"/>
      <c r="X1662" s="93"/>
      <c r="Y1662" s="93"/>
      <c r="Z1662" s="93"/>
    </row>
    <row r="1663" customFormat="false" ht="16.4" hidden="false" customHeight="false" outlineLevel="0" collapsed="false">
      <c r="A1663" s="123" t="n">
        <v>45444</v>
      </c>
      <c r="B1663" s="31" t="s">
        <v>153</v>
      </c>
      <c r="C1663" s="129"/>
      <c r="D1663" s="129"/>
      <c r="E1663" s="19" t="n">
        <f aca="false">F1663*0.03</f>
        <v>0</v>
      </c>
      <c r="F1663" s="33" t="n">
        <v>0</v>
      </c>
      <c r="G1663" s="131"/>
      <c r="H1663" s="35" t="n">
        <v>0</v>
      </c>
      <c r="I1663" s="34" t="n">
        <f aca="false">+IF(E1663=0,0,E1663*0.03)</f>
        <v>0</v>
      </c>
      <c r="J1663" s="93"/>
      <c r="K1663" s="93"/>
      <c r="L1663" s="93"/>
      <c r="M1663" s="93"/>
      <c r="N1663" s="93"/>
      <c r="O1663" s="93"/>
      <c r="P1663" s="93"/>
      <c r="Q1663" s="93"/>
      <c r="R1663" s="93"/>
      <c r="S1663" s="93"/>
      <c r="T1663" s="93"/>
      <c r="U1663" s="93"/>
      <c r="V1663" s="93"/>
      <c r="W1663" s="93"/>
      <c r="X1663" s="93"/>
      <c r="Y1663" s="93"/>
      <c r="Z1663" s="93"/>
    </row>
    <row r="1664" customFormat="false" ht="16.4" hidden="false" customHeight="false" outlineLevel="0" collapsed="false">
      <c r="A1664" s="123" t="n">
        <v>45444</v>
      </c>
      <c r="B1664" s="31" t="s">
        <v>153</v>
      </c>
      <c r="C1664" s="129"/>
      <c r="D1664" s="129"/>
      <c r="E1664" s="19" t="n">
        <f aca="false">F1664*0.03</f>
        <v>0</v>
      </c>
      <c r="F1664" s="33" t="n">
        <v>0</v>
      </c>
      <c r="G1664" s="131"/>
      <c r="H1664" s="35" t="n">
        <v>0</v>
      </c>
      <c r="I1664" s="34" t="n">
        <f aca="false">+IF(E1664=0,0,E1664*0.03)</f>
        <v>0</v>
      </c>
      <c r="J1664" s="93"/>
      <c r="K1664" s="93"/>
      <c r="L1664" s="93"/>
      <c r="M1664" s="93"/>
      <c r="N1664" s="93"/>
      <c r="O1664" s="93"/>
      <c r="P1664" s="93"/>
      <c r="Q1664" s="93"/>
      <c r="R1664" s="93"/>
      <c r="S1664" s="93"/>
      <c r="T1664" s="93"/>
      <c r="U1664" s="93"/>
      <c r="V1664" s="93"/>
      <c r="W1664" s="93"/>
      <c r="X1664" s="93"/>
      <c r="Y1664" s="93"/>
      <c r="Z1664" s="93"/>
    </row>
    <row r="1665" customFormat="false" ht="16.4" hidden="false" customHeight="false" outlineLevel="0" collapsed="false">
      <c r="A1665" s="123" t="n">
        <v>45444</v>
      </c>
      <c r="B1665" s="31" t="s">
        <v>153</v>
      </c>
      <c r="C1665" s="129"/>
      <c r="D1665" s="129"/>
      <c r="E1665" s="19" t="n">
        <f aca="false">F1665*0.03</f>
        <v>0</v>
      </c>
      <c r="F1665" s="33" t="n">
        <v>0</v>
      </c>
      <c r="G1665" s="131"/>
      <c r="H1665" s="35" t="n">
        <v>0</v>
      </c>
      <c r="I1665" s="34" t="n">
        <f aca="false">+IF(E1665=0,0,E1665*0.03)</f>
        <v>0</v>
      </c>
      <c r="J1665" s="93"/>
      <c r="K1665" s="93"/>
      <c r="L1665" s="93"/>
      <c r="M1665" s="93"/>
      <c r="N1665" s="93"/>
      <c r="O1665" s="93"/>
      <c r="P1665" s="93"/>
      <c r="Q1665" s="93"/>
      <c r="R1665" s="93"/>
      <c r="S1665" s="93"/>
      <c r="T1665" s="93"/>
      <c r="U1665" s="93"/>
      <c r="V1665" s="93"/>
      <c r="W1665" s="93"/>
      <c r="X1665" s="93"/>
      <c r="Y1665" s="93"/>
      <c r="Z1665" s="93"/>
    </row>
    <row r="1666" customFormat="false" ht="16.4" hidden="false" customHeight="false" outlineLevel="0" collapsed="false">
      <c r="A1666" s="123" t="n">
        <v>45444</v>
      </c>
      <c r="B1666" s="31" t="s">
        <v>153</v>
      </c>
      <c r="C1666" s="129"/>
      <c r="D1666" s="129"/>
      <c r="E1666" s="19" t="n">
        <f aca="false">F1666*0.03</f>
        <v>0</v>
      </c>
      <c r="F1666" s="33" t="n">
        <v>0</v>
      </c>
      <c r="G1666" s="131"/>
      <c r="H1666" s="35" t="n">
        <v>0</v>
      </c>
      <c r="I1666" s="34" t="n">
        <f aca="false">+IF(E1666=0,0,E1666*0.03)</f>
        <v>0</v>
      </c>
      <c r="J1666" s="93"/>
      <c r="K1666" s="93"/>
      <c r="L1666" s="93"/>
      <c r="M1666" s="93"/>
      <c r="N1666" s="93"/>
      <c r="O1666" s="93"/>
      <c r="P1666" s="93"/>
      <c r="Q1666" s="93"/>
      <c r="R1666" s="93"/>
      <c r="S1666" s="93"/>
      <c r="T1666" s="93"/>
      <c r="U1666" s="93"/>
      <c r="V1666" s="93"/>
      <c r="W1666" s="93"/>
      <c r="X1666" s="93"/>
      <c r="Y1666" s="93"/>
      <c r="Z1666" s="93"/>
    </row>
    <row r="1667" customFormat="false" ht="16.4" hidden="false" customHeight="false" outlineLevel="0" collapsed="false">
      <c r="A1667" s="123" t="n">
        <v>45444</v>
      </c>
      <c r="B1667" s="31" t="s">
        <v>153</v>
      </c>
      <c r="C1667" s="129"/>
      <c r="D1667" s="129"/>
      <c r="E1667" s="19" t="n">
        <f aca="false">F1667*0.03</f>
        <v>0</v>
      </c>
      <c r="F1667" s="33" t="n">
        <v>0</v>
      </c>
      <c r="G1667" s="131"/>
      <c r="H1667" s="35" t="n">
        <v>0</v>
      </c>
      <c r="I1667" s="34" t="n">
        <f aca="false">+IF(E1667=0,0,E1667*0.03)</f>
        <v>0</v>
      </c>
      <c r="J1667" s="93"/>
      <c r="K1667" s="93"/>
      <c r="L1667" s="93"/>
      <c r="M1667" s="93"/>
      <c r="N1667" s="93"/>
      <c r="O1667" s="93"/>
      <c r="P1667" s="93"/>
      <c r="Q1667" s="93"/>
      <c r="R1667" s="93"/>
      <c r="S1667" s="93"/>
      <c r="T1667" s="93"/>
      <c r="U1667" s="93"/>
      <c r="V1667" s="93"/>
      <c r="W1667" s="93"/>
      <c r="X1667" s="93"/>
      <c r="Y1667" s="93"/>
      <c r="Z1667" s="93"/>
    </row>
    <row r="1668" customFormat="false" ht="16.4" hidden="false" customHeight="false" outlineLevel="0" collapsed="false">
      <c r="A1668" s="123" t="n">
        <v>45444</v>
      </c>
      <c r="B1668" s="31" t="s">
        <v>153</v>
      </c>
      <c r="C1668" s="129"/>
      <c r="D1668" s="129"/>
      <c r="E1668" s="19" t="n">
        <f aca="false">F1668*0.03</f>
        <v>0</v>
      </c>
      <c r="F1668" s="33" t="n">
        <v>0</v>
      </c>
      <c r="G1668" s="131"/>
      <c r="H1668" s="35" t="n">
        <v>0</v>
      </c>
      <c r="I1668" s="34" t="n">
        <f aca="false">+IF(E1668=0,0,E1668*0.03)</f>
        <v>0</v>
      </c>
      <c r="J1668" s="93"/>
      <c r="K1668" s="93"/>
      <c r="L1668" s="93"/>
      <c r="M1668" s="93"/>
      <c r="N1668" s="93"/>
      <c r="O1668" s="93"/>
      <c r="P1668" s="93"/>
      <c r="Q1668" s="93"/>
      <c r="R1668" s="93"/>
      <c r="S1668" s="93"/>
      <c r="T1668" s="93"/>
      <c r="U1668" s="93"/>
      <c r="V1668" s="93"/>
      <c r="W1668" s="93"/>
      <c r="X1668" s="93"/>
      <c r="Y1668" s="93"/>
      <c r="Z1668" s="93"/>
    </row>
    <row r="1669" customFormat="false" ht="16.4" hidden="false" customHeight="false" outlineLevel="0" collapsed="false">
      <c r="A1669" s="123" t="n">
        <v>45444</v>
      </c>
      <c r="B1669" s="31" t="s">
        <v>153</v>
      </c>
      <c r="C1669" s="129"/>
      <c r="D1669" s="129"/>
      <c r="E1669" s="19" t="n">
        <f aca="false">F1669*0.03</f>
        <v>0</v>
      </c>
      <c r="F1669" s="33" t="n">
        <v>0</v>
      </c>
      <c r="G1669" s="131"/>
      <c r="H1669" s="35" t="n">
        <v>0</v>
      </c>
      <c r="I1669" s="34" t="n">
        <f aca="false">+IF(E1669=0,0,E1669*0.03)</f>
        <v>0</v>
      </c>
      <c r="J1669" s="93"/>
      <c r="K1669" s="93"/>
      <c r="L1669" s="93"/>
      <c r="M1669" s="93"/>
      <c r="N1669" s="93"/>
      <c r="O1669" s="93"/>
      <c r="P1669" s="93"/>
      <c r="Q1669" s="93"/>
      <c r="R1669" s="93"/>
      <c r="S1669" s="93"/>
      <c r="T1669" s="93"/>
      <c r="U1669" s="93"/>
      <c r="V1669" s="93"/>
      <c r="W1669" s="93"/>
      <c r="X1669" s="93"/>
      <c r="Y1669" s="93"/>
      <c r="Z1669" s="93"/>
    </row>
    <row r="1670" customFormat="false" ht="16.4" hidden="false" customHeight="false" outlineLevel="0" collapsed="false">
      <c r="A1670" s="123" t="n">
        <v>45444</v>
      </c>
      <c r="B1670" s="31" t="s">
        <v>153</v>
      </c>
      <c r="C1670" s="129"/>
      <c r="D1670" s="129"/>
      <c r="E1670" s="19" t="n">
        <f aca="false">F1670*0.03</f>
        <v>0</v>
      </c>
      <c r="F1670" s="33" t="n">
        <v>0</v>
      </c>
      <c r="G1670" s="131"/>
      <c r="H1670" s="35" t="n">
        <v>0</v>
      </c>
      <c r="I1670" s="34" t="n">
        <f aca="false">+IF(E1670=0,0,E1670*0.03)</f>
        <v>0</v>
      </c>
      <c r="J1670" s="93"/>
      <c r="K1670" s="93"/>
      <c r="L1670" s="93"/>
      <c r="M1670" s="93"/>
      <c r="N1670" s="93"/>
      <c r="O1670" s="93"/>
      <c r="P1670" s="93"/>
      <c r="Q1670" s="93"/>
      <c r="R1670" s="93"/>
      <c r="S1670" s="93"/>
      <c r="T1670" s="93"/>
      <c r="U1670" s="93"/>
      <c r="V1670" s="93"/>
      <c r="W1670" s="93"/>
      <c r="X1670" s="93"/>
      <c r="Y1670" s="93"/>
      <c r="Z1670" s="93"/>
    </row>
    <row r="1671" customFormat="false" ht="16.4" hidden="false" customHeight="false" outlineLevel="0" collapsed="false">
      <c r="A1671" s="123" t="n">
        <v>45444</v>
      </c>
      <c r="B1671" s="31" t="s">
        <v>153</v>
      </c>
      <c r="C1671" s="129"/>
      <c r="D1671" s="129"/>
      <c r="E1671" s="19" t="n">
        <f aca="false">F1671*0.03</f>
        <v>0</v>
      </c>
      <c r="F1671" s="33" t="n">
        <v>0</v>
      </c>
      <c r="G1671" s="131"/>
      <c r="H1671" s="35" t="n">
        <v>0</v>
      </c>
      <c r="I1671" s="34" t="n">
        <f aca="false">+IF(E1671=0,0,E1671*0.03)</f>
        <v>0</v>
      </c>
      <c r="J1671" s="93"/>
      <c r="K1671" s="93"/>
      <c r="L1671" s="93"/>
      <c r="M1671" s="93"/>
      <c r="N1671" s="93"/>
      <c r="O1671" s="93"/>
      <c r="P1671" s="93"/>
      <c r="Q1671" s="93"/>
      <c r="R1671" s="93"/>
      <c r="S1671" s="93"/>
      <c r="T1671" s="93"/>
      <c r="U1671" s="93"/>
      <c r="V1671" s="93"/>
      <c r="W1671" s="93"/>
      <c r="X1671" s="93"/>
      <c r="Y1671" s="93"/>
      <c r="Z1671" s="93"/>
    </row>
    <row r="1672" customFormat="false" ht="16.4" hidden="false" customHeight="false" outlineLevel="0" collapsed="false">
      <c r="A1672" s="123" t="n">
        <v>45444</v>
      </c>
      <c r="B1672" s="31" t="s">
        <v>153</v>
      </c>
      <c r="C1672" s="129"/>
      <c r="D1672" s="129"/>
      <c r="E1672" s="19" t="n">
        <f aca="false">F1672*0.03</f>
        <v>0</v>
      </c>
      <c r="F1672" s="33" t="n">
        <v>0</v>
      </c>
      <c r="G1672" s="131"/>
      <c r="H1672" s="35" t="n">
        <v>0</v>
      </c>
      <c r="I1672" s="34" t="n">
        <f aca="false">+IF(E1672=0,0,E1672*0.03)</f>
        <v>0</v>
      </c>
      <c r="J1672" s="93"/>
      <c r="K1672" s="93"/>
      <c r="L1672" s="93"/>
      <c r="M1672" s="93"/>
      <c r="N1672" s="93"/>
      <c r="O1672" s="93"/>
      <c r="P1672" s="93"/>
      <c r="Q1672" s="93"/>
      <c r="R1672" s="93"/>
      <c r="S1672" s="93"/>
      <c r="T1672" s="93"/>
      <c r="U1672" s="93"/>
      <c r="V1672" s="93"/>
      <c r="W1672" s="93"/>
      <c r="X1672" s="93"/>
      <c r="Y1672" s="93"/>
      <c r="Z1672" s="93"/>
    </row>
    <row r="1673" customFormat="false" ht="16.4" hidden="false" customHeight="false" outlineLevel="0" collapsed="false">
      <c r="A1673" s="123" t="n">
        <v>45444</v>
      </c>
      <c r="B1673" s="31" t="s">
        <v>153</v>
      </c>
      <c r="C1673" s="129"/>
      <c r="D1673" s="129"/>
      <c r="E1673" s="19" t="n">
        <f aca="false">F1673*0.03</f>
        <v>0</v>
      </c>
      <c r="F1673" s="33" t="n">
        <v>0</v>
      </c>
      <c r="G1673" s="131"/>
      <c r="H1673" s="35" t="n">
        <v>0</v>
      </c>
      <c r="I1673" s="34" t="n">
        <f aca="false">+IF(E1673=0,0,E1673*0.03)</f>
        <v>0</v>
      </c>
      <c r="J1673" s="93"/>
      <c r="K1673" s="93"/>
      <c r="L1673" s="93"/>
      <c r="M1673" s="93"/>
      <c r="N1673" s="93"/>
      <c r="O1673" s="93"/>
      <c r="P1673" s="93"/>
      <c r="Q1673" s="93"/>
      <c r="R1673" s="93"/>
      <c r="S1673" s="93"/>
      <c r="T1673" s="93"/>
      <c r="U1673" s="93"/>
      <c r="V1673" s="93"/>
      <c r="W1673" s="93"/>
      <c r="X1673" s="93"/>
      <c r="Y1673" s="93"/>
      <c r="Z1673" s="93"/>
    </row>
    <row r="1674" customFormat="false" ht="16.4" hidden="false" customHeight="false" outlineLevel="0" collapsed="false">
      <c r="A1674" s="123" t="n">
        <v>45444</v>
      </c>
      <c r="B1674" s="31" t="s">
        <v>153</v>
      </c>
      <c r="C1674" s="129"/>
      <c r="D1674" s="129"/>
      <c r="E1674" s="19" t="n">
        <f aca="false">F1674*0.03</f>
        <v>0</v>
      </c>
      <c r="F1674" s="33" t="n">
        <v>0</v>
      </c>
      <c r="G1674" s="131"/>
      <c r="H1674" s="35" t="n">
        <v>0</v>
      </c>
      <c r="I1674" s="34" t="n">
        <f aca="false">+IF(E1674=0,0,E1674*0.03)</f>
        <v>0</v>
      </c>
      <c r="J1674" s="93"/>
      <c r="K1674" s="93"/>
      <c r="L1674" s="93"/>
      <c r="M1674" s="93"/>
      <c r="N1674" s="93"/>
      <c r="O1674" s="93"/>
      <c r="P1674" s="93"/>
      <c r="Q1674" s="93"/>
      <c r="R1674" s="93"/>
      <c r="S1674" s="93"/>
      <c r="T1674" s="93"/>
      <c r="U1674" s="93"/>
      <c r="V1674" s="93"/>
      <c r="W1674" s="93"/>
      <c r="X1674" s="93"/>
      <c r="Y1674" s="93"/>
      <c r="Z1674" s="93"/>
    </row>
    <row r="1675" customFormat="false" ht="16.4" hidden="false" customHeight="false" outlineLevel="0" collapsed="false">
      <c r="A1675" s="123" t="n">
        <v>45444</v>
      </c>
      <c r="B1675" s="31" t="s">
        <v>153</v>
      </c>
      <c r="C1675" s="129"/>
      <c r="D1675" s="129"/>
      <c r="E1675" s="19" t="n">
        <f aca="false">F1675*0.03</f>
        <v>0</v>
      </c>
      <c r="F1675" s="33" t="n">
        <v>0</v>
      </c>
      <c r="G1675" s="131"/>
      <c r="H1675" s="35" t="n">
        <v>0</v>
      </c>
      <c r="I1675" s="34" t="n">
        <f aca="false">+IF(E1675=0,0,E1675*0.03)</f>
        <v>0</v>
      </c>
      <c r="J1675" s="93"/>
      <c r="K1675" s="93"/>
      <c r="L1675" s="93"/>
      <c r="M1675" s="93"/>
      <c r="N1675" s="93"/>
      <c r="O1675" s="93"/>
      <c r="P1675" s="93"/>
      <c r="Q1675" s="93"/>
      <c r="R1675" s="93"/>
      <c r="S1675" s="93"/>
      <c r="T1675" s="93"/>
      <c r="U1675" s="93"/>
      <c r="V1675" s="93"/>
      <c r="W1675" s="93"/>
      <c r="X1675" s="93"/>
      <c r="Y1675" s="93"/>
      <c r="Z1675" s="93"/>
    </row>
    <row r="1676" customFormat="false" ht="16.4" hidden="false" customHeight="false" outlineLevel="0" collapsed="false">
      <c r="A1676" s="123" t="n">
        <v>45444</v>
      </c>
      <c r="B1676" s="31" t="s">
        <v>153</v>
      </c>
      <c r="C1676" s="129"/>
      <c r="D1676" s="129"/>
      <c r="E1676" s="19" t="n">
        <f aca="false">F1676*0.03</f>
        <v>0</v>
      </c>
      <c r="F1676" s="33" t="n">
        <v>0</v>
      </c>
      <c r="G1676" s="131"/>
      <c r="H1676" s="35" t="n">
        <v>0</v>
      </c>
      <c r="I1676" s="34" t="n">
        <f aca="false">+IF(E1676=0,0,E1676*0.03)</f>
        <v>0</v>
      </c>
      <c r="J1676" s="93"/>
      <c r="K1676" s="93"/>
      <c r="L1676" s="93"/>
      <c r="M1676" s="93"/>
      <c r="N1676" s="93"/>
      <c r="O1676" s="93"/>
      <c r="P1676" s="93"/>
      <c r="Q1676" s="93"/>
      <c r="R1676" s="93"/>
      <c r="S1676" s="93"/>
      <c r="T1676" s="93"/>
      <c r="U1676" s="93"/>
      <c r="V1676" s="93"/>
      <c r="W1676" s="93"/>
      <c r="X1676" s="93"/>
      <c r="Y1676" s="93"/>
      <c r="Z1676" s="93"/>
    </row>
    <row r="1677" customFormat="false" ht="16.4" hidden="false" customHeight="false" outlineLevel="0" collapsed="false">
      <c r="A1677" s="123" t="n">
        <v>45444</v>
      </c>
      <c r="B1677" s="31" t="s">
        <v>153</v>
      </c>
      <c r="C1677" s="129"/>
      <c r="D1677" s="129"/>
      <c r="E1677" s="19" t="n">
        <f aca="false">F1677*0.03</f>
        <v>0</v>
      </c>
      <c r="F1677" s="33" t="n">
        <v>0</v>
      </c>
      <c r="G1677" s="131"/>
      <c r="H1677" s="35" t="n">
        <v>0</v>
      </c>
      <c r="I1677" s="34" t="n">
        <f aca="false">+IF(E1677=0,0,E1677*0.03)</f>
        <v>0</v>
      </c>
      <c r="J1677" s="93"/>
      <c r="K1677" s="93"/>
      <c r="L1677" s="93"/>
      <c r="M1677" s="93"/>
      <c r="N1677" s="93"/>
      <c r="O1677" s="93"/>
      <c r="P1677" s="93"/>
      <c r="Q1677" s="93"/>
      <c r="R1677" s="93"/>
      <c r="S1677" s="93"/>
      <c r="T1677" s="93"/>
      <c r="U1677" s="93"/>
      <c r="V1677" s="93"/>
      <c r="W1677" s="93"/>
      <c r="X1677" s="93"/>
      <c r="Y1677" s="93"/>
      <c r="Z1677" s="93"/>
    </row>
    <row r="1678" customFormat="false" ht="16.4" hidden="false" customHeight="false" outlineLevel="0" collapsed="false">
      <c r="A1678" s="123" t="n">
        <v>45444</v>
      </c>
      <c r="B1678" s="31" t="s">
        <v>153</v>
      </c>
      <c r="C1678" s="129"/>
      <c r="D1678" s="129"/>
      <c r="E1678" s="19" t="n">
        <f aca="false">F1678*0.03</f>
        <v>0</v>
      </c>
      <c r="F1678" s="33" t="n">
        <v>0</v>
      </c>
      <c r="G1678" s="131"/>
      <c r="H1678" s="35" t="n">
        <v>0</v>
      </c>
      <c r="I1678" s="34" t="n">
        <f aca="false">+IF(E1678=0,0,E1678*0.03)</f>
        <v>0</v>
      </c>
      <c r="J1678" s="93"/>
      <c r="K1678" s="93"/>
      <c r="L1678" s="93"/>
      <c r="M1678" s="93"/>
      <c r="N1678" s="93"/>
      <c r="O1678" s="93"/>
      <c r="P1678" s="93"/>
      <c r="Q1678" s="93"/>
      <c r="R1678" s="93"/>
      <c r="S1678" s="93"/>
      <c r="T1678" s="93"/>
      <c r="U1678" s="93"/>
      <c r="V1678" s="93"/>
      <c r="W1678" s="93"/>
      <c r="X1678" s="93"/>
      <c r="Y1678" s="93"/>
      <c r="Z1678" s="93"/>
    </row>
    <row r="1679" customFormat="false" ht="16.4" hidden="false" customHeight="false" outlineLevel="0" collapsed="false">
      <c r="A1679" s="123" t="n">
        <v>45444</v>
      </c>
      <c r="B1679" s="31" t="s">
        <v>153</v>
      </c>
      <c r="C1679" s="129"/>
      <c r="D1679" s="129"/>
      <c r="E1679" s="19" t="n">
        <f aca="false">F1679*0.03</f>
        <v>0</v>
      </c>
      <c r="F1679" s="33" t="n">
        <v>0</v>
      </c>
      <c r="G1679" s="131"/>
      <c r="H1679" s="35" t="n">
        <v>0</v>
      </c>
      <c r="I1679" s="34" t="n">
        <f aca="false">+IF(E1679=0,0,E1679*0.03)</f>
        <v>0</v>
      </c>
      <c r="J1679" s="93"/>
      <c r="K1679" s="93"/>
      <c r="L1679" s="93"/>
      <c r="M1679" s="93"/>
      <c r="N1679" s="93"/>
      <c r="O1679" s="93"/>
      <c r="P1679" s="93"/>
      <c r="Q1679" s="93"/>
      <c r="R1679" s="93"/>
      <c r="S1679" s="93"/>
      <c r="T1679" s="93"/>
      <c r="U1679" s="93"/>
      <c r="V1679" s="93"/>
      <c r="W1679" s="93"/>
      <c r="X1679" s="93"/>
      <c r="Y1679" s="93"/>
      <c r="Z1679" s="93"/>
    </row>
    <row r="1680" customFormat="false" ht="16.4" hidden="false" customHeight="false" outlineLevel="0" collapsed="false">
      <c r="A1680" s="123" t="n">
        <v>45444</v>
      </c>
      <c r="B1680" s="31" t="s">
        <v>153</v>
      </c>
      <c r="C1680" s="129"/>
      <c r="D1680" s="129"/>
      <c r="E1680" s="19" t="n">
        <f aca="false">F1680*0.03</f>
        <v>0</v>
      </c>
      <c r="F1680" s="33" t="n">
        <v>0</v>
      </c>
      <c r="G1680" s="131"/>
      <c r="H1680" s="35" t="n">
        <v>0</v>
      </c>
      <c r="I1680" s="34" t="n">
        <f aca="false">+IF(E1680=0,0,E1680*0.03)</f>
        <v>0</v>
      </c>
      <c r="J1680" s="93"/>
      <c r="K1680" s="93"/>
      <c r="L1680" s="93"/>
      <c r="M1680" s="93"/>
      <c r="N1680" s="93"/>
      <c r="O1680" s="93"/>
      <c r="P1680" s="93"/>
      <c r="Q1680" s="93"/>
      <c r="R1680" s="93"/>
      <c r="S1680" s="93"/>
      <c r="T1680" s="93"/>
      <c r="U1680" s="93"/>
      <c r="V1680" s="93"/>
      <c r="W1680" s="93"/>
      <c r="X1680" s="93"/>
      <c r="Y1680" s="93"/>
      <c r="Z1680" s="93"/>
    </row>
    <row r="1681" customFormat="false" ht="16.4" hidden="false" customHeight="false" outlineLevel="0" collapsed="false">
      <c r="A1681" s="123" t="n">
        <v>45444</v>
      </c>
      <c r="B1681" s="31" t="s">
        <v>153</v>
      </c>
      <c r="C1681" s="129"/>
      <c r="D1681" s="129"/>
      <c r="E1681" s="19" t="n">
        <f aca="false">F1681*0.03</f>
        <v>0</v>
      </c>
      <c r="F1681" s="33" t="n">
        <v>0</v>
      </c>
      <c r="G1681" s="131"/>
      <c r="H1681" s="35" t="n">
        <v>0</v>
      </c>
      <c r="I1681" s="34" t="n">
        <f aca="false">+IF(E1681=0,0,E1681*0.03)</f>
        <v>0</v>
      </c>
      <c r="J1681" s="93"/>
      <c r="K1681" s="93"/>
      <c r="L1681" s="93"/>
      <c r="M1681" s="93"/>
      <c r="N1681" s="93"/>
      <c r="O1681" s="93"/>
      <c r="P1681" s="93"/>
      <c r="Q1681" s="93"/>
      <c r="R1681" s="93"/>
      <c r="S1681" s="93"/>
      <c r="T1681" s="93"/>
      <c r="U1681" s="93"/>
      <c r="V1681" s="93"/>
      <c r="W1681" s="93"/>
      <c r="X1681" s="93"/>
      <c r="Y1681" s="93"/>
      <c r="Z1681" s="93"/>
    </row>
    <row r="1682" customFormat="false" ht="16.4" hidden="false" customHeight="false" outlineLevel="0" collapsed="false">
      <c r="A1682" s="123" t="n">
        <v>45444</v>
      </c>
      <c r="B1682" s="31" t="s">
        <v>153</v>
      </c>
      <c r="C1682" s="129"/>
      <c r="D1682" s="129"/>
      <c r="E1682" s="19" t="n">
        <f aca="false">F1682*0.03</f>
        <v>0</v>
      </c>
      <c r="F1682" s="33" t="n">
        <v>0</v>
      </c>
      <c r="G1682" s="131"/>
      <c r="H1682" s="35" t="n">
        <v>0</v>
      </c>
      <c r="I1682" s="34" t="n">
        <f aca="false">+IF(E1682=0,0,E1682*0.03)</f>
        <v>0</v>
      </c>
      <c r="J1682" s="93"/>
      <c r="K1682" s="93"/>
      <c r="L1682" s="93"/>
      <c r="M1682" s="93"/>
      <c r="N1682" s="93"/>
      <c r="O1682" s="93"/>
      <c r="P1682" s="93"/>
      <c r="Q1682" s="93"/>
      <c r="R1682" s="93"/>
      <c r="S1682" s="93"/>
      <c r="T1682" s="93"/>
      <c r="U1682" s="93"/>
      <c r="V1682" s="93"/>
      <c r="W1682" s="93"/>
      <c r="X1682" s="93"/>
      <c r="Y1682" s="93"/>
      <c r="Z1682" s="93"/>
    </row>
    <row r="1683" customFormat="false" ht="16.4" hidden="false" customHeight="false" outlineLevel="0" collapsed="false">
      <c r="A1683" s="123" t="n">
        <v>45444</v>
      </c>
      <c r="B1683" s="31" t="s">
        <v>153</v>
      </c>
      <c r="C1683" s="129"/>
      <c r="D1683" s="129"/>
      <c r="E1683" s="19" t="n">
        <f aca="false">F1683*0.03</f>
        <v>0</v>
      </c>
      <c r="F1683" s="33" t="n">
        <v>0</v>
      </c>
      <c r="G1683" s="131"/>
      <c r="H1683" s="35" t="n">
        <v>0</v>
      </c>
      <c r="I1683" s="34" t="n">
        <f aca="false">+IF(E1683=0,0,E1683*0.03)</f>
        <v>0</v>
      </c>
      <c r="J1683" s="93"/>
      <c r="K1683" s="93"/>
      <c r="L1683" s="93"/>
      <c r="M1683" s="93"/>
      <c r="N1683" s="93"/>
      <c r="O1683" s="93"/>
      <c r="P1683" s="93"/>
      <c r="Q1683" s="93"/>
      <c r="R1683" s="93"/>
      <c r="S1683" s="93"/>
      <c r="T1683" s="93"/>
      <c r="U1683" s="93"/>
      <c r="V1683" s="93"/>
      <c r="W1683" s="93"/>
      <c r="X1683" s="93"/>
      <c r="Y1683" s="93"/>
      <c r="Z1683" s="93"/>
    </row>
    <row r="1684" customFormat="false" ht="16.4" hidden="false" customHeight="false" outlineLevel="0" collapsed="false">
      <c r="A1684" s="123" t="n">
        <v>45444</v>
      </c>
      <c r="B1684" s="31" t="s">
        <v>153</v>
      </c>
      <c r="C1684" s="129"/>
      <c r="D1684" s="129"/>
      <c r="E1684" s="19" t="n">
        <f aca="false">F1684*0.03</f>
        <v>0</v>
      </c>
      <c r="F1684" s="33" t="n">
        <v>0</v>
      </c>
      <c r="G1684" s="131"/>
      <c r="H1684" s="35" t="n">
        <v>0</v>
      </c>
      <c r="I1684" s="34" t="n">
        <f aca="false">+IF(E1684=0,0,E1684*0.03)</f>
        <v>0</v>
      </c>
      <c r="J1684" s="93"/>
      <c r="K1684" s="93"/>
      <c r="L1684" s="93"/>
      <c r="M1684" s="93"/>
      <c r="N1684" s="93"/>
      <c r="O1684" s="93"/>
      <c r="P1684" s="93"/>
      <c r="Q1684" s="93"/>
      <c r="R1684" s="93"/>
      <c r="S1684" s="93"/>
      <c r="T1684" s="93"/>
      <c r="U1684" s="93"/>
      <c r="V1684" s="93"/>
      <c r="W1684" s="93"/>
      <c r="X1684" s="93"/>
      <c r="Y1684" s="93"/>
      <c r="Z1684" s="93"/>
    </row>
    <row r="1685" customFormat="false" ht="16.4" hidden="false" customHeight="false" outlineLevel="0" collapsed="false">
      <c r="A1685" s="123" t="n">
        <v>45444</v>
      </c>
      <c r="B1685" s="31" t="s">
        <v>153</v>
      </c>
      <c r="C1685" s="129"/>
      <c r="D1685" s="129"/>
      <c r="E1685" s="19" t="n">
        <f aca="false">F1685*0.03</f>
        <v>0</v>
      </c>
      <c r="F1685" s="33" t="n">
        <v>0</v>
      </c>
      <c r="G1685" s="131"/>
      <c r="H1685" s="35" t="n">
        <v>0</v>
      </c>
      <c r="I1685" s="34" t="n">
        <f aca="false">+IF(E1685=0,0,E1685*0.03)</f>
        <v>0</v>
      </c>
      <c r="J1685" s="93"/>
      <c r="K1685" s="93"/>
      <c r="L1685" s="93"/>
      <c r="M1685" s="93"/>
      <c r="N1685" s="93"/>
      <c r="O1685" s="93"/>
      <c r="P1685" s="93"/>
      <c r="Q1685" s="93"/>
      <c r="R1685" s="93"/>
      <c r="S1685" s="93"/>
      <c r="T1685" s="93"/>
      <c r="U1685" s="93"/>
      <c r="V1685" s="93"/>
      <c r="W1685" s="93"/>
      <c r="X1685" s="93"/>
      <c r="Y1685" s="93"/>
      <c r="Z1685" s="93"/>
    </row>
    <row r="1686" customFormat="false" ht="16.4" hidden="false" customHeight="false" outlineLevel="0" collapsed="false">
      <c r="A1686" s="123" t="n">
        <v>45444</v>
      </c>
      <c r="B1686" s="31" t="s">
        <v>153</v>
      </c>
      <c r="C1686" s="129"/>
      <c r="D1686" s="129"/>
      <c r="E1686" s="19" t="n">
        <f aca="false">F1686*0.03</f>
        <v>0</v>
      </c>
      <c r="F1686" s="33" t="n">
        <v>0</v>
      </c>
      <c r="G1686" s="131"/>
      <c r="H1686" s="35" t="n">
        <v>0</v>
      </c>
      <c r="I1686" s="34" t="n">
        <f aca="false">+IF(E1686=0,0,E1686*0.03)</f>
        <v>0</v>
      </c>
      <c r="J1686" s="93"/>
      <c r="K1686" s="93"/>
      <c r="L1686" s="93"/>
      <c r="M1686" s="93"/>
      <c r="N1686" s="93"/>
      <c r="O1686" s="93"/>
      <c r="P1686" s="93"/>
      <c r="Q1686" s="93"/>
      <c r="R1686" s="93"/>
      <c r="S1686" s="93"/>
      <c r="T1686" s="93"/>
      <c r="U1686" s="93"/>
      <c r="V1686" s="93"/>
      <c r="W1686" s="93"/>
      <c r="X1686" s="93"/>
      <c r="Y1686" s="93"/>
      <c r="Z1686" s="93"/>
    </row>
    <row r="1687" customFormat="false" ht="16.4" hidden="false" customHeight="false" outlineLevel="0" collapsed="false">
      <c r="A1687" s="123" t="n">
        <v>45444</v>
      </c>
      <c r="B1687" s="31" t="s">
        <v>153</v>
      </c>
      <c r="C1687" s="129"/>
      <c r="D1687" s="129"/>
      <c r="E1687" s="19" t="n">
        <f aca="false">F1687*0.03</f>
        <v>0</v>
      </c>
      <c r="F1687" s="33" t="n">
        <v>0</v>
      </c>
      <c r="G1687" s="131"/>
      <c r="H1687" s="35" t="n">
        <v>0</v>
      </c>
      <c r="I1687" s="34" t="n">
        <f aca="false">+IF(E1687=0,0,E1687*0.03)</f>
        <v>0</v>
      </c>
      <c r="J1687" s="93"/>
      <c r="K1687" s="93"/>
      <c r="L1687" s="93"/>
      <c r="M1687" s="93"/>
      <c r="N1687" s="93"/>
      <c r="O1687" s="93"/>
      <c r="P1687" s="93"/>
      <c r="Q1687" s="93"/>
      <c r="R1687" s="93"/>
      <c r="S1687" s="93"/>
      <c r="T1687" s="93"/>
      <c r="U1687" s="93"/>
      <c r="V1687" s="93"/>
      <c r="W1687" s="93"/>
      <c r="X1687" s="93"/>
      <c r="Y1687" s="93"/>
      <c r="Z1687" s="93"/>
    </row>
    <row r="1688" customFormat="false" ht="16.4" hidden="false" customHeight="false" outlineLevel="0" collapsed="false">
      <c r="A1688" s="123" t="n">
        <v>45444</v>
      </c>
      <c r="B1688" s="31" t="s">
        <v>153</v>
      </c>
      <c r="C1688" s="129"/>
      <c r="D1688" s="129"/>
      <c r="E1688" s="19" t="n">
        <f aca="false">F1688*0.03</f>
        <v>0</v>
      </c>
      <c r="F1688" s="33" t="n">
        <v>0</v>
      </c>
      <c r="G1688" s="131"/>
      <c r="H1688" s="35" t="n">
        <v>0</v>
      </c>
      <c r="I1688" s="34" t="n">
        <f aca="false">+IF(E1688=0,0,E1688*0.03)</f>
        <v>0</v>
      </c>
      <c r="J1688" s="93"/>
      <c r="K1688" s="93"/>
      <c r="L1688" s="93"/>
      <c r="M1688" s="93"/>
      <c r="N1688" s="93"/>
      <c r="O1688" s="93"/>
      <c r="P1688" s="93"/>
      <c r="Q1688" s="93"/>
      <c r="R1688" s="93"/>
      <c r="S1688" s="93"/>
      <c r="T1688" s="93"/>
      <c r="U1688" s="93"/>
      <c r="V1688" s="93"/>
      <c r="W1688" s="93"/>
      <c r="X1688" s="93"/>
      <c r="Y1688" s="93"/>
      <c r="Z1688" s="93"/>
    </row>
    <row r="1689" customFormat="false" ht="16.4" hidden="false" customHeight="false" outlineLevel="0" collapsed="false">
      <c r="A1689" s="123" t="n">
        <v>45444</v>
      </c>
      <c r="B1689" s="31" t="s">
        <v>153</v>
      </c>
      <c r="C1689" s="129"/>
      <c r="D1689" s="129"/>
      <c r="E1689" s="19" t="n">
        <f aca="false">F1689*0.03</f>
        <v>0</v>
      </c>
      <c r="F1689" s="33" t="n">
        <v>0</v>
      </c>
      <c r="G1689" s="131"/>
      <c r="H1689" s="35" t="n">
        <v>0</v>
      </c>
      <c r="I1689" s="34" t="n">
        <f aca="false">+IF(E1689=0,0,E1689*0.03)</f>
        <v>0</v>
      </c>
      <c r="J1689" s="93"/>
      <c r="K1689" s="93"/>
      <c r="L1689" s="93"/>
      <c r="M1689" s="93"/>
      <c r="N1689" s="93"/>
      <c r="O1689" s="93"/>
      <c r="P1689" s="93"/>
      <c r="Q1689" s="93"/>
      <c r="R1689" s="93"/>
      <c r="S1689" s="93"/>
      <c r="T1689" s="93"/>
      <c r="U1689" s="93"/>
      <c r="V1689" s="93"/>
      <c r="W1689" s="93"/>
      <c r="X1689" s="93"/>
      <c r="Y1689" s="93"/>
      <c r="Z1689" s="93"/>
    </row>
    <row r="1690" customFormat="false" ht="16.4" hidden="false" customHeight="false" outlineLevel="0" collapsed="false">
      <c r="A1690" s="123" t="n">
        <v>45444</v>
      </c>
      <c r="B1690" s="31" t="s">
        <v>153</v>
      </c>
      <c r="C1690" s="129"/>
      <c r="D1690" s="129"/>
      <c r="E1690" s="19" t="n">
        <f aca="false">F1690*0.03</f>
        <v>0</v>
      </c>
      <c r="F1690" s="33" t="n">
        <v>0</v>
      </c>
      <c r="G1690" s="131"/>
      <c r="H1690" s="35" t="n">
        <v>0</v>
      </c>
      <c r="I1690" s="34" t="n">
        <f aca="false">+IF(E1690=0,0,E1690*0.03)</f>
        <v>0</v>
      </c>
      <c r="J1690" s="93"/>
      <c r="K1690" s="93"/>
      <c r="L1690" s="93"/>
      <c r="M1690" s="93"/>
      <c r="N1690" s="93"/>
      <c r="O1690" s="93"/>
      <c r="P1690" s="93"/>
      <c r="Q1690" s="93"/>
      <c r="R1690" s="93"/>
      <c r="S1690" s="93"/>
      <c r="T1690" s="93"/>
      <c r="U1690" s="93"/>
      <c r="V1690" s="93"/>
      <c r="W1690" s="93"/>
      <c r="X1690" s="93"/>
      <c r="Y1690" s="93"/>
      <c r="Z1690" s="93"/>
    </row>
    <row r="1691" customFormat="false" ht="16.4" hidden="false" customHeight="false" outlineLevel="0" collapsed="false">
      <c r="A1691" s="123" t="n">
        <v>45444</v>
      </c>
      <c r="B1691" s="31" t="s">
        <v>153</v>
      </c>
      <c r="C1691" s="129"/>
      <c r="D1691" s="129"/>
      <c r="E1691" s="19" t="n">
        <f aca="false">F1691*0.03</f>
        <v>0</v>
      </c>
      <c r="F1691" s="33" t="n">
        <v>0</v>
      </c>
      <c r="G1691" s="131"/>
      <c r="H1691" s="35" t="n">
        <v>0</v>
      </c>
      <c r="I1691" s="34" t="n">
        <f aca="false">+IF(E1691=0,0,E1691*0.03)</f>
        <v>0</v>
      </c>
      <c r="J1691" s="93"/>
      <c r="K1691" s="93"/>
      <c r="L1691" s="93"/>
      <c r="M1691" s="93"/>
      <c r="N1691" s="93"/>
      <c r="O1691" s="93"/>
      <c r="P1691" s="93"/>
      <c r="Q1691" s="93"/>
      <c r="R1691" s="93"/>
      <c r="S1691" s="93"/>
      <c r="T1691" s="93"/>
      <c r="U1691" s="93"/>
      <c r="V1691" s="93"/>
      <c r="W1691" s="93"/>
      <c r="X1691" s="93"/>
      <c r="Y1691" s="93"/>
      <c r="Z1691" s="93"/>
    </row>
    <row r="1692" customFormat="false" ht="16.4" hidden="false" customHeight="false" outlineLevel="0" collapsed="false">
      <c r="A1692" s="123" t="n">
        <v>45444</v>
      </c>
      <c r="B1692" s="31" t="s">
        <v>153</v>
      </c>
      <c r="C1692" s="129"/>
      <c r="D1692" s="129"/>
      <c r="E1692" s="19" t="n">
        <f aca="false">F1692*0.03</f>
        <v>0</v>
      </c>
      <c r="F1692" s="33" t="n">
        <v>0</v>
      </c>
      <c r="G1692" s="131"/>
      <c r="H1692" s="35" t="n">
        <v>0</v>
      </c>
      <c r="I1692" s="34" t="n">
        <f aca="false">+IF(E1692=0,0,E1692*0.03)</f>
        <v>0</v>
      </c>
      <c r="J1692" s="93"/>
      <c r="K1692" s="93"/>
      <c r="L1692" s="93"/>
      <c r="M1692" s="93"/>
      <c r="N1692" s="93"/>
      <c r="O1692" s="93"/>
      <c r="P1692" s="93"/>
      <c r="Q1692" s="93"/>
      <c r="R1692" s="93"/>
      <c r="S1692" s="93"/>
      <c r="T1692" s="93"/>
      <c r="U1692" s="93"/>
      <c r="V1692" s="93"/>
      <c r="W1692" s="93"/>
      <c r="X1692" s="93"/>
      <c r="Y1692" s="93"/>
      <c r="Z1692" s="93"/>
    </row>
    <row r="1693" customFormat="false" ht="16.4" hidden="false" customHeight="false" outlineLevel="0" collapsed="false">
      <c r="A1693" s="123" t="n">
        <v>45444</v>
      </c>
      <c r="B1693" s="31" t="s">
        <v>153</v>
      </c>
      <c r="C1693" s="129"/>
      <c r="D1693" s="129"/>
      <c r="E1693" s="19" t="n">
        <f aca="false">F1693*0.03</f>
        <v>0</v>
      </c>
      <c r="F1693" s="33" t="n">
        <v>0</v>
      </c>
      <c r="G1693" s="131"/>
      <c r="H1693" s="35" t="n">
        <v>0</v>
      </c>
      <c r="I1693" s="34" t="n">
        <f aca="false">+IF(E1693=0,0,E1693*0.03)</f>
        <v>0</v>
      </c>
      <c r="J1693" s="93"/>
      <c r="K1693" s="93"/>
      <c r="L1693" s="93"/>
      <c r="M1693" s="93"/>
      <c r="N1693" s="93"/>
      <c r="O1693" s="93"/>
      <c r="P1693" s="93"/>
      <c r="Q1693" s="93"/>
      <c r="R1693" s="93"/>
      <c r="S1693" s="93"/>
      <c r="T1693" s="93"/>
      <c r="U1693" s="93"/>
      <c r="V1693" s="93"/>
      <c r="W1693" s="93"/>
      <c r="X1693" s="93"/>
      <c r="Y1693" s="93"/>
      <c r="Z1693" s="93"/>
    </row>
    <row r="1694" customFormat="false" ht="16.4" hidden="false" customHeight="false" outlineLevel="0" collapsed="false">
      <c r="A1694" s="123" t="n">
        <v>45444</v>
      </c>
      <c r="B1694" s="31" t="s">
        <v>153</v>
      </c>
      <c r="C1694" s="129"/>
      <c r="D1694" s="129"/>
      <c r="E1694" s="19" t="n">
        <f aca="false">F1694*0.03</f>
        <v>0</v>
      </c>
      <c r="F1694" s="33" t="n">
        <v>0</v>
      </c>
      <c r="G1694" s="131"/>
      <c r="H1694" s="35" t="n">
        <v>0</v>
      </c>
      <c r="I1694" s="34" t="n">
        <f aca="false">+IF(E1694=0,0,E1694*0.03)</f>
        <v>0</v>
      </c>
      <c r="J1694" s="93"/>
      <c r="K1694" s="93"/>
      <c r="L1694" s="93"/>
      <c r="M1694" s="93"/>
      <c r="N1694" s="93"/>
      <c r="O1694" s="93"/>
      <c r="P1694" s="93"/>
      <c r="Q1694" s="93"/>
      <c r="R1694" s="93"/>
      <c r="S1694" s="93"/>
      <c r="T1694" s="93"/>
      <c r="U1694" s="93"/>
      <c r="V1694" s="93"/>
      <c r="W1694" s="93"/>
      <c r="X1694" s="93"/>
      <c r="Y1694" s="93"/>
      <c r="Z1694" s="93"/>
    </row>
    <row r="1695" customFormat="false" ht="16.4" hidden="false" customHeight="false" outlineLevel="0" collapsed="false">
      <c r="A1695" s="123" t="n">
        <v>45444</v>
      </c>
      <c r="B1695" s="31" t="s">
        <v>153</v>
      </c>
      <c r="C1695" s="129"/>
      <c r="D1695" s="129"/>
      <c r="E1695" s="19" t="n">
        <f aca="false">F1695*0.03</f>
        <v>0</v>
      </c>
      <c r="F1695" s="33" t="n">
        <v>0</v>
      </c>
      <c r="G1695" s="131"/>
      <c r="H1695" s="35" t="n">
        <v>0</v>
      </c>
      <c r="I1695" s="34" t="n">
        <f aca="false">+IF(E1695=0,0,E1695*0.03)</f>
        <v>0</v>
      </c>
      <c r="J1695" s="93"/>
      <c r="K1695" s="93"/>
      <c r="L1695" s="93"/>
      <c r="M1695" s="93"/>
      <c r="N1695" s="93"/>
      <c r="O1695" s="93"/>
      <c r="P1695" s="93"/>
      <c r="Q1695" s="93"/>
      <c r="R1695" s="93"/>
      <c r="S1695" s="93"/>
      <c r="T1695" s="93"/>
      <c r="U1695" s="93"/>
      <c r="V1695" s="93"/>
      <c r="W1695" s="93"/>
      <c r="X1695" s="93"/>
      <c r="Y1695" s="93"/>
      <c r="Z1695" s="93"/>
    </row>
    <row r="1696" customFormat="false" ht="16.4" hidden="false" customHeight="false" outlineLevel="0" collapsed="false">
      <c r="A1696" s="123" t="n">
        <v>45444</v>
      </c>
      <c r="B1696" s="31" t="s">
        <v>153</v>
      </c>
      <c r="C1696" s="129"/>
      <c r="D1696" s="129"/>
      <c r="E1696" s="19" t="n">
        <f aca="false">F1696*0.03</f>
        <v>0</v>
      </c>
      <c r="F1696" s="33" t="n">
        <v>0</v>
      </c>
      <c r="G1696" s="131"/>
      <c r="H1696" s="35" t="n">
        <v>0</v>
      </c>
      <c r="I1696" s="34" t="n">
        <f aca="false">+IF(E1696=0,0,E1696*0.03)</f>
        <v>0</v>
      </c>
      <c r="J1696" s="93"/>
      <c r="K1696" s="93"/>
      <c r="L1696" s="93"/>
      <c r="M1696" s="93"/>
      <c r="N1696" s="93"/>
      <c r="O1696" s="93"/>
      <c r="P1696" s="93"/>
      <c r="Q1696" s="93"/>
      <c r="R1696" s="93"/>
      <c r="S1696" s="93"/>
      <c r="T1696" s="93"/>
      <c r="U1696" s="93"/>
      <c r="V1696" s="93"/>
      <c r="W1696" s="93"/>
      <c r="X1696" s="93"/>
      <c r="Y1696" s="93"/>
      <c r="Z1696" s="93"/>
    </row>
    <row r="1697" customFormat="false" ht="16.4" hidden="false" customHeight="false" outlineLevel="0" collapsed="false">
      <c r="A1697" s="123" t="n">
        <v>45444</v>
      </c>
      <c r="B1697" s="31" t="s">
        <v>153</v>
      </c>
      <c r="C1697" s="129"/>
      <c r="D1697" s="129"/>
      <c r="E1697" s="19" t="n">
        <f aca="false">F1697*0.03</f>
        <v>0</v>
      </c>
      <c r="F1697" s="33" t="n">
        <v>0</v>
      </c>
      <c r="G1697" s="131"/>
      <c r="H1697" s="35" t="n">
        <v>0</v>
      </c>
      <c r="I1697" s="34" t="n">
        <f aca="false">+IF(E1697=0,0,E1697*0.03)</f>
        <v>0</v>
      </c>
      <c r="J1697" s="93"/>
      <c r="K1697" s="93"/>
      <c r="L1697" s="93"/>
      <c r="M1697" s="93"/>
      <c r="N1697" s="93"/>
      <c r="O1697" s="93"/>
      <c r="P1697" s="93"/>
      <c r="Q1697" s="93"/>
      <c r="R1697" s="93"/>
      <c r="S1697" s="93"/>
      <c r="T1697" s="93"/>
      <c r="U1697" s="93"/>
      <c r="V1697" s="93"/>
      <c r="W1697" s="93"/>
      <c r="X1697" s="93"/>
      <c r="Y1697" s="93"/>
      <c r="Z1697" s="93"/>
    </row>
    <row r="1698" customFormat="false" ht="16.4" hidden="false" customHeight="false" outlineLevel="0" collapsed="false">
      <c r="A1698" s="123" t="n">
        <v>45444</v>
      </c>
      <c r="B1698" s="31" t="s">
        <v>153</v>
      </c>
      <c r="C1698" s="129"/>
      <c r="D1698" s="129"/>
      <c r="E1698" s="19" t="n">
        <f aca="false">F1698*0.03</f>
        <v>0</v>
      </c>
      <c r="F1698" s="33" t="n">
        <v>0</v>
      </c>
      <c r="G1698" s="131"/>
      <c r="H1698" s="35" t="n">
        <v>0</v>
      </c>
      <c r="I1698" s="34" t="n">
        <f aca="false">+IF(E1698=0,0,E1698*0.03)</f>
        <v>0</v>
      </c>
      <c r="J1698" s="93"/>
      <c r="K1698" s="93"/>
      <c r="L1698" s="93"/>
      <c r="M1698" s="93"/>
      <c r="N1698" s="93"/>
      <c r="O1698" s="93"/>
      <c r="P1698" s="93"/>
      <c r="Q1698" s="93"/>
      <c r="R1698" s="93"/>
      <c r="S1698" s="93"/>
      <c r="T1698" s="93"/>
      <c r="U1698" s="93"/>
      <c r="V1698" s="93"/>
      <c r="W1698" s="93"/>
      <c r="X1698" s="93"/>
      <c r="Y1698" s="93"/>
      <c r="Z1698" s="93"/>
    </row>
    <row r="1699" customFormat="false" ht="16.4" hidden="false" customHeight="false" outlineLevel="0" collapsed="false">
      <c r="A1699" s="123" t="n">
        <v>45444</v>
      </c>
      <c r="B1699" s="31" t="s">
        <v>153</v>
      </c>
      <c r="C1699" s="129"/>
      <c r="D1699" s="129"/>
      <c r="E1699" s="19" t="n">
        <f aca="false">F1699*0.03</f>
        <v>0</v>
      </c>
      <c r="F1699" s="33" t="n">
        <v>0</v>
      </c>
      <c r="G1699" s="131"/>
      <c r="H1699" s="35" t="n">
        <v>0</v>
      </c>
      <c r="I1699" s="34" t="n">
        <f aca="false">+IF(E1699=0,0,E1699*0.03)</f>
        <v>0</v>
      </c>
      <c r="J1699" s="93"/>
      <c r="K1699" s="93"/>
      <c r="L1699" s="93"/>
      <c r="M1699" s="93"/>
      <c r="N1699" s="93"/>
      <c r="O1699" s="93"/>
      <c r="P1699" s="93"/>
      <c r="Q1699" s="93"/>
      <c r="R1699" s="93"/>
      <c r="S1699" s="93"/>
      <c r="T1699" s="93"/>
      <c r="U1699" s="93"/>
      <c r="V1699" s="93"/>
      <c r="W1699" s="93"/>
      <c r="X1699" s="93"/>
      <c r="Y1699" s="93"/>
      <c r="Z1699" s="93"/>
    </row>
    <row r="1700" customFormat="false" ht="16.4" hidden="false" customHeight="false" outlineLevel="0" collapsed="false">
      <c r="A1700" s="123" t="n">
        <v>45444</v>
      </c>
      <c r="B1700" s="31" t="s">
        <v>153</v>
      </c>
      <c r="C1700" s="129"/>
      <c r="D1700" s="129"/>
      <c r="E1700" s="19" t="n">
        <f aca="false">F1700*0.03</f>
        <v>0</v>
      </c>
      <c r="F1700" s="33" t="n">
        <v>0</v>
      </c>
      <c r="G1700" s="131"/>
      <c r="H1700" s="35" t="n">
        <v>0</v>
      </c>
      <c r="I1700" s="34" t="n">
        <f aca="false">+IF(E1700=0,0,E1700*0.03)</f>
        <v>0</v>
      </c>
      <c r="J1700" s="93"/>
      <c r="K1700" s="93"/>
      <c r="L1700" s="93"/>
      <c r="M1700" s="93"/>
      <c r="N1700" s="93"/>
      <c r="O1700" s="93"/>
      <c r="P1700" s="93"/>
      <c r="Q1700" s="93"/>
      <c r="R1700" s="93"/>
      <c r="S1700" s="93"/>
      <c r="T1700" s="93"/>
      <c r="U1700" s="93"/>
      <c r="V1700" s="93"/>
      <c r="W1700" s="93"/>
      <c r="X1700" s="93"/>
      <c r="Y1700" s="93"/>
      <c r="Z1700" s="93"/>
    </row>
    <row r="1701" customFormat="false" ht="16.4" hidden="false" customHeight="false" outlineLevel="0" collapsed="false">
      <c r="A1701" s="123" t="n">
        <v>45444</v>
      </c>
      <c r="B1701" s="31" t="s">
        <v>153</v>
      </c>
      <c r="C1701" s="129"/>
      <c r="D1701" s="129"/>
      <c r="E1701" s="19" t="n">
        <f aca="false">F1701*0.03</f>
        <v>0</v>
      </c>
      <c r="F1701" s="33" t="n">
        <v>0</v>
      </c>
      <c r="G1701" s="131"/>
      <c r="H1701" s="35" t="n">
        <v>0</v>
      </c>
      <c r="I1701" s="34" t="n">
        <f aca="false">+IF(E1701=0,0,E1701*0.03)</f>
        <v>0</v>
      </c>
      <c r="J1701" s="93"/>
      <c r="K1701" s="93"/>
      <c r="L1701" s="93"/>
      <c r="M1701" s="93"/>
      <c r="N1701" s="93"/>
      <c r="O1701" s="93"/>
      <c r="P1701" s="93"/>
      <c r="Q1701" s="93"/>
      <c r="R1701" s="93"/>
      <c r="S1701" s="93"/>
      <c r="T1701" s="93"/>
      <c r="U1701" s="93"/>
      <c r="V1701" s="93"/>
      <c r="W1701" s="93"/>
      <c r="X1701" s="93"/>
      <c r="Y1701" s="93"/>
      <c r="Z1701" s="93"/>
    </row>
    <row r="1702" customFormat="false" ht="16.4" hidden="false" customHeight="false" outlineLevel="0" collapsed="false">
      <c r="A1702" s="123" t="n">
        <v>45444</v>
      </c>
      <c r="B1702" s="31" t="s">
        <v>153</v>
      </c>
      <c r="C1702" s="129"/>
      <c r="D1702" s="129"/>
      <c r="E1702" s="19" t="n">
        <f aca="false">F1702*0.03</f>
        <v>0</v>
      </c>
      <c r="F1702" s="33" t="n">
        <v>0</v>
      </c>
      <c r="G1702" s="131"/>
      <c r="H1702" s="35" t="n">
        <v>0</v>
      </c>
      <c r="I1702" s="34" t="n">
        <f aca="false">+IF(E1702=0,0,E1702*0.03)</f>
        <v>0</v>
      </c>
      <c r="J1702" s="93"/>
      <c r="K1702" s="93"/>
      <c r="L1702" s="93"/>
      <c r="M1702" s="93"/>
      <c r="N1702" s="93"/>
      <c r="O1702" s="93"/>
      <c r="P1702" s="93"/>
      <c r="Q1702" s="93"/>
      <c r="R1702" s="93"/>
      <c r="S1702" s="93"/>
      <c r="T1702" s="93"/>
      <c r="U1702" s="93"/>
      <c r="V1702" s="93"/>
      <c r="W1702" s="93"/>
      <c r="X1702" s="93"/>
      <c r="Y1702" s="93"/>
      <c r="Z1702" s="93"/>
    </row>
    <row r="1703" customFormat="false" ht="16.4" hidden="false" customHeight="false" outlineLevel="0" collapsed="false">
      <c r="A1703" s="123" t="n">
        <v>45444</v>
      </c>
      <c r="B1703" s="31" t="s">
        <v>153</v>
      </c>
      <c r="C1703" s="129"/>
      <c r="D1703" s="129"/>
      <c r="E1703" s="19" t="n">
        <f aca="false">F1703*0.03</f>
        <v>0</v>
      </c>
      <c r="F1703" s="33" t="n">
        <v>0</v>
      </c>
      <c r="G1703" s="131"/>
      <c r="H1703" s="35" t="n">
        <v>0</v>
      </c>
      <c r="I1703" s="34" t="n">
        <f aca="false">+IF(E1703=0,0,E1703*0.03)</f>
        <v>0</v>
      </c>
      <c r="J1703" s="93"/>
      <c r="K1703" s="93"/>
      <c r="L1703" s="93"/>
      <c r="M1703" s="93"/>
      <c r="N1703" s="93"/>
      <c r="O1703" s="93"/>
      <c r="P1703" s="93"/>
      <c r="Q1703" s="93"/>
      <c r="R1703" s="93"/>
      <c r="S1703" s="93"/>
      <c r="T1703" s="93"/>
      <c r="U1703" s="93"/>
      <c r="V1703" s="93"/>
      <c r="W1703" s="93"/>
      <c r="X1703" s="93"/>
      <c r="Y1703" s="93"/>
      <c r="Z1703" s="93"/>
    </row>
    <row r="1704" customFormat="false" ht="16.4" hidden="false" customHeight="false" outlineLevel="0" collapsed="false">
      <c r="A1704" s="123" t="n">
        <v>45444</v>
      </c>
      <c r="B1704" s="31" t="s">
        <v>153</v>
      </c>
      <c r="C1704" s="129"/>
      <c r="D1704" s="129"/>
      <c r="E1704" s="19" t="n">
        <f aca="false">F1704*0.03</f>
        <v>0</v>
      </c>
      <c r="F1704" s="33" t="n">
        <v>0</v>
      </c>
      <c r="G1704" s="131"/>
      <c r="H1704" s="35" t="n">
        <v>0</v>
      </c>
      <c r="I1704" s="34" t="n">
        <f aca="false">+IF(E1704=0,0,E1704*0.03)</f>
        <v>0</v>
      </c>
      <c r="J1704" s="93"/>
      <c r="K1704" s="93"/>
      <c r="L1704" s="93"/>
      <c r="M1704" s="93"/>
      <c r="N1704" s="93"/>
      <c r="O1704" s="93"/>
      <c r="P1704" s="93"/>
      <c r="Q1704" s="93"/>
      <c r="R1704" s="93"/>
      <c r="S1704" s="93"/>
      <c r="T1704" s="93"/>
      <c r="U1704" s="93"/>
      <c r="V1704" s="93"/>
      <c r="W1704" s="93"/>
      <c r="X1704" s="93"/>
      <c r="Y1704" s="93"/>
      <c r="Z1704" s="93"/>
    </row>
    <row r="1705" customFormat="false" ht="16.4" hidden="false" customHeight="false" outlineLevel="0" collapsed="false">
      <c r="A1705" s="123" t="n">
        <v>45444</v>
      </c>
      <c r="B1705" s="31" t="s">
        <v>153</v>
      </c>
      <c r="C1705" s="129"/>
      <c r="D1705" s="129"/>
      <c r="E1705" s="19" t="n">
        <f aca="false">F1705*0.03</f>
        <v>0</v>
      </c>
      <c r="F1705" s="33" t="n">
        <v>0</v>
      </c>
      <c r="G1705" s="131"/>
      <c r="H1705" s="35" t="n">
        <v>0</v>
      </c>
      <c r="I1705" s="34" t="n">
        <f aca="false">+IF(E1705=0,0,E1705*0.03)</f>
        <v>0</v>
      </c>
      <c r="J1705" s="93"/>
      <c r="K1705" s="93"/>
      <c r="L1705" s="93"/>
      <c r="M1705" s="93"/>
      <c r="N1705" s="93"/>
      <c r="O1705" s="93"/>
      <c r="P1705" s="93"/>
      <c r="Q1705" s="93"/>
      <c r="R1705" s="93"/>
      <c r="S1705" s="93"/>
      <c r="T1705" s="93"/>
      <c r="U1705" s="93"/>
      <c r="V1705" s="93"/>
      <c r="W1705" s="93"/>
      <c r="X1705" s="93"/>
      <c r="Y1705" s="93"/>
      <c r="Z1705" s="93"/>
    </row>
    <row r="1706" customFormat="false" ht="16.4" hidden="false" customHeight="false" outlineLevel="0" collapsed="false">
      <c r="A1706" s="123" t="n">
        <v>45444</v>
      </c>
      <c r="B1706" s="31" t="s">
        <v>153</v>
      </c>
      <c r="C1706" s="129"/>
      <c r="D1706" s="129"/>
      <c r="E1706" s="19" t="n">
        <f aca="false">F1706*0.03</f>
        <v>0</v>
      </c>
      <c r="F1706" s="33" t="n">
        <v>0</v>
      </c>
      <c r="G1706" s="131"/>
      <c r="H1706" s="35" t="n">
        <v>0</v>
      </c>
      <c r="I1706" s="34" t="n">
        <f aca="false">+IF(E1706=0,0,E1706*0.03)</f>
        <v>0</v>
      </c>
      <c r="J1706" s="93"/>
      <c r="K1706" s="93"/>
      <c r="L1706" s="93"/>
      <c r="M1706" s="93"/>
      <c r="N1706" s="93"/>
      <c r="O1706" s="93"/>
      <c r="P1706" s="93"/>
      <c r="Q1706" s="93"/>
      <c r="R1706" s="93"/>
      <c r="S1706" s="93"/>
      <c r="T1706" s="93"/>
      <c r="U1706" s="93"/>
      <c r="V1706" s="93"/>
      <c r="W1706" s="93"/>
      <c r="X1706" s="93"/>
      <c r="Y1706" s="93"/>
      <c r="Z1706" s="93"/>
    </row>
    <row r="1707" customFormat="false" ht="16.4" hidden="false" customHeight="false" outlineLevel="0" collapsed="false">
      <c r="A1707" s="123" t="n">
        <v>45444</v>
      </c>
      <c r="B1707" s="31" t="s">
        <v>153</v>
      </c>
      <c r="C1707" s="129"/>
      <c r="D1707" s="129"/>
      <c r="E1707" s="19" t="n">
        <f aca="false">F1707*0.03</f>
        <v>0</v>
      </c>
      <c r="F1707" s="33" t="n">
        <v>0</v>
      </c>
      <c r="G1707" s="131"/>
      <c r="H1707" s="35" t="n">
        <v>0</v>
      </c>
      <c r="I1707" s="34" t="n">
        <f aca="false">+IF(E1707=0,0,E1707*0.03)</f>
        <v>0</v>
      </c>
      <c r="J1707" s="93"/>
      <c r="K1707" s="93"/>
      <c r="L1707" s="93"/>
      <c r="M1707" s="93"/>
      <c r="N1707" s="93"/>
      <c r="O1707" s="93"/>
      <c r="P1707" s="93"/>
      <c r="Q1707" s="93"/>
      <c r="R1707" s="93"/>
      <c r="S1707" s="93"/>
      <c r="T1707" s="93"/>
      <c r="U1707" s="93"/>
      <c r="V1707" s="93"/>
      <c r="W1707" s="93"/>
      <c r="X1707" s="93"/>
      <c r="Y1707" s="93"/>
      <c r="Z1707" s="93"/>
    </row>
    <row r="1708" customFormat="false" ht="16.4" hidden="false" customHeight="false" outlineLevel="0" collapsed="false">
      <c r="A1708" s="123" t="n">
        <v>45444</v>
      </c>
      <c r="B1708" s="31" t="s">
        <v>153</v>
      </c>
      <c r="C1708" s="129"/>
      <c r="D1708" s="129"/>
      <c r="E1708" s="19" t="n">
        <f aca="false">F1708*0.03</f>
        <v>0</v>
      </c>
      <c r="F1708" s="33" t="n">
        <v>0</v>
      </c>
      <c r="G1708" s="131"/>
      <c r="H1708" s="35" t="n">
        <v>0</v>
      </c>
      <c r="I1708" s="34" t="n">
        <f aca="false">+IF(E1708=0,0,E1708*0.03)</f>
        <v>0</v>
      </c>
      <c r="J1708" s="93"/>
      <c r="K1708" s="93"/>
      <c r="L1708" s="93"/>
      <c r="M1708" s="93"/>
      <c r="N1708" s="93"/>
      <c r="O1708" s="93"/>
      <c r="P1708" s="93"/>
      <c r="Q1708" s="93"/>
      <c r="R1708" s="93"/>
      <c r="S1708" s="93"/>
      <c r="T1708" s="93"/>
      <c r="U1708" s="93"/>
      <c r="V1708" s="93"/>
      <c r="W1708" s="93"/>
      <c r="X1708" s="93"/>
      <c r="Y1708" s="93"/>
      <c r="Z1708" s="93"/>
    </row>
    <row r="1709" customFormat="false" ht="16.4" hidden="false" customHeight="false" outlineLevel="0" collapsed="false">
      <c r="A1709" s="123" t="n">
        <v>45444</v>
      </c>
      <c r="B1709" s="31" t="s">
        <v>153</v>
      </c>
      <c r="C1709" s="129"/>
      <c r="D1709" s="129"/>
      <c r="E1709" s="19" t="n">
        <f aca="false">F1709*0.03</f>
        <v>0</v>
      </c>
      <c r="F1709" s="33" t="n">
        <v>0</v>
      </c>
      <c r="G1709" s="131"/>
      <c r="H1709" s="35" t="n">
        <v>0</v>
      </c>
      <c r="I1709" s="34" t="n">
        <f aca="false">+IF(E1709=0,0,E1709*0.03)</f>
        <v>0</v>
      </c>
      <c r="J1709" s="93"/>
      <c r="K1709" s="93"/>
      <c r="L1709" s="93"/>
      <c r="M1709" s="93"/>
      <c r="N1709" s="93"/>
      <c r="O1709" s="93"/>
      <c r="P1709" s="93"/>
      <c r="Q1709" s="93"/>
      <c r="R1709" s="93"/>
      <c r="S1709" s="93"/>
      <c r="T1709" s="93"/>
      <c r="U1709" s="93"/>
      <c r="V1709" s="93"/>
      <c r="W1709" s="93"/>
      <c r="X1709" s="93"/>
      <c r="Y1709" s="93"/>
      <c r="Z1709" s="93"/>
    </row>
    <row r="1710" customFormat="false" ht="16.4" hidden="false" customHeight="false" outlineLevel="0" collapsed="false">
      <c r="A1710" s="123" t="n">
        <v>45444</v>
      </c>
      <c r="B1710" s="31" t="s">
        <v>153</v>
      </c>
      <c r="C1710" s="129"/>
      <c r="D1710" s="129"/>
      <c r="E1710" s="19" t="n">
        <f aca="false">F1710*0.03</f>
        <v>0</v>
      </c>
      <c r="F1710" s="33" t="n">
        <v>0</v>
      </c>
      <c r="G1710" s="131"/>
      <c r="H1710" s="35" t="n">
        <v>0</v>
      </c>
      <c r="I1710" s="34" t="n">
        <f aca="false">+IF(E1710=0,0,E1710*0.03)</f>
        <v>0</v>
      </c>
      <c r="J1710" s="93"/>
      <c r="K1710" s="93"/>
      <c r="L1710" s="93"/>
      <c r="M1710" s="93"/>
      <c r="N1710" s="93"/>
      <c r="O1710" s="93"/>
      <c r="P1710" s="93"/>
      <c r="Q1710" s="93"/>
      <c r="R1710" s="93"/>
      <c r="S1710" s="93"/>
      <c r="T1710" s="93"/>
      <c r="U1710" s="93"/>
      <c r="V1710" s="93"/>
      <c r="W1710" s="93"/>
      <c r="X1710" s="93"/>
      <c r="Y1710" s="93"/>
      <c r="Z1710" s="93"/>
    </row>
    <row r="1711" customFormat="false" ht="16.4" hidden="false" customHeight="false" outlineLevel="0" collapsed="false">
      <c r="A1711" s="123" t="n">
        <v>45444</v>
      </c>
      <c r="B1711" s="31" t="s">
        <v>153</v>
      </c>
      <c r="C1711" s="129"/>
      <c r="D1711" s="129"/>
      <c r="E1711" s="19" t="n">
        <f aca="false">F1711*0.03</f>
        <v>0</v>
      </c>
      <c r="F1711" s="33" t="n">
        <v>0</v>
      </c>
      <c r="G1711" s="131"/>
      <c r="H1711" s="35" t="n">
        <v>0</v>
      </c>
      <c r="I1711" s="34" t="n">
        <f aca="false">+IF(E1711=0,0,E1711*0.03)</f>
        <v>0</v>
      </c>
      <c r="J1711" s="93"/>
      <c r="K1711" s="93"/>
      <c r="L1711" s="93"/>
      <c r="M1711" s="93"/>
      <c r="N1711" s="93"/>
      <c r="O1711" s="93"/>
      <c r="P1711" s="93"/>
      <c r="Q1711" s="93"/>
      <c r="R1711" s="93"/>
      <c r="S1711" s="93"/>
      <c r="T1711" s="93"/>
      <c r="U1711" s="93"/>
      <c r="V1711" s="93"/>
      <c r="W1711" s="93"/>
      <c r="X1711" s="93"/>
      <c r="Y1711" s="93"/>
      <c r="Z1711" s="93"/>
    </row>
    <row r="1712" customFormat="false" ht="16.4" hidden="false" customHeight="false" outlineLevel="0" collapsed="false">
      <c r="A1712" s="123" t="n">
        <v>45444</v>
      </c>
      <c r="B1712" s="31" t="s">
        <v>153</v>
      </c>
      <c r="C1712" s="129"/>
      <c r="D1712" s="129"/>
      <c r="E1712" s="19" t="n">
        <f aca="false">F1712*0.03</f>
        <v>0</v>
      </c>
      <c r="F1712" s="33" t="n">
        <v>0</v>
      </c>
      <c r="G1712" s="131"/>
      <c r="H1712" s="35" t="n">
        <v>0</v>
      </c>
      <c r="I1712" s="34" t="n">
        <f aca="false">+IF(E1712=0,0,E1712*0.03)</f>
        <v>0</v>
      </c>
      <c r="J1712" s="93"/>
      <c r="K1712" s="93"/>
      <c r="L1712" s="93"/>
      <c r="M1712" s="93"/>
      <c r="N1712" s="93"/>
      <c r="O1712" s="93"/>
      <c r="P1712" s="93"/>
      <c r="Q1712" s="93"/>
      <c r="R1712" s="93"/>
      <c r="S1712" s="93"/>
      <c r="T1712" s="93"/>
      <c r="U1712" s="93"/>
      <c r="V1712" s="93"/>
      <c r="W1712" s="93"/>
      <c r="X1712" s="93"/>
      <c r="Y1712" s="93"/>
      <c r="Z1712" s="93"/>
    </row>
    <row r="1713" customFormat="false" ht="16.4" hidden="false" customHeight="false" outlineLevel="0" collapsed="false">
      <c r="A1713" s="123" t="n">
        <v>45444</v>
      </c>
      <c r="B1713" s="31" t="s">
        <v>153</v>
      </c>
      <c r="C1713" s="129"/>
      <c r="D1713" s="129"/>
      <c r="E1713" s="19" t="n">
        <f aca="false">F1713*0.03</f>
        <v>0</v>
      </c>
      <c r="F1713" s="33" t="n">
        <v>0</v>
      </c>
      <c r="G1713" s="131"/>
      <c r="H1713" s="35" t="n">
        <v>0</v>
      </c>
      <c r="I1713" s="34" t="n">
        <f aca="false">+IF(E1713=0,0,E1713*0.03)</f>
        <v>0</v>
      </c>
      <c r="J1713" s="93"/>
      <c r="K1713" s="93"/>
      <c r="L1713" s="93"/>
      <c r="M1713" s="93"/>
      <c r="N1713" s="93"/>
      <c r="O1713" s="93"/>
      <c r="P1713" s="93"/>
      <c r="Q1713" s="93"/>
      <c r="R1713" s="93"/>
      <c r="S1713" s="93"/>
      <c r="T1713" s="93"/>
      <c r="U1713" s="93"/>
      <c r="V1713" s="93"/>
      <c r="W1713" s="93"/>
      <c r="X1713" s="93"/>
      <c r="Y1713" s="93"/>
      <c r="Z1713" s="93"/>
    </row>
    <row r="1714" customFormat="false" ht="16.4" hidden="false" customHeight="false" outlineLevel="0" collapsed="false">
      <c r="A1714" s="123" t="n">
        <v>45444</v>
      </c>
      <c r="B1714" s="31" t="s">
        <v>153</v>
      </c>
      <c r="C1714" s="129"/>
      <c r="D1714" s="129"/>
      <c r="E1714" s="19" t="n">
        <f aca="false">F1714*0.03</f>
        <v>0</v>
      </c>
      <c r="F1714" s="33" t="n">
        <v>0</v>
      </c>
      <c r="G1714" s="131"/>
      <c r="H1714" s="35" t="n">
        <v>0</v>
      </c>
      <c r="I1714" s="34" t="n">
        <f aca="false">+IF(E1714=0,0,E1714*0.03)</f>
        <v>0</v>
      </c>
      <c r="J1714" s="93"/>
      <c r="K1714" s="93"/>
      <c r="L1714" s="93"/>
      <c r="M1714" s="93"/>
      <c r="N1714" s="93"/>
      <c r="O1714" s="93"/>
      <c r="P1714" s="93"/>
      <c r="Q1714" s="93"/>
      <c r="R1714" s="93"/>
      <c r="S1714" s="93"/>
      <c r="T1714" s="93"/>
      <c r="U1714" s="93"/>
      <c r="V1714" s="93"/>
      <c r="W1714" s="93"/>
      <c r="X1714" s="93"/>
      <c r="Y1714" s="93"/>
      <c r="Z1714" s="93"/>
    </row>
    <row r="1715" customFormat="false" ht="16.4" hidden="false" customHeight="false" outlineLevel="0" collapsed="false">
      <c r="A1715" s="123" t="n">
        <v>45444</v>
      </c>
      <c r="B1715" s="31" t="s">
        <v>153</v>
      </c>
      <c r="C1715" s="129"/>
      <c r="D1715" s="129"/>
      <c r="E1715" s="19" t="n">
        <f aca="false">F1715*0.03</f>
        <v>0</v>
      </c>
      <c r="F1715" s="33" t="n">
        <v>0</v>
      </c>
      <c r="G1715" s="131"/>
      <c r="H1715" s="35" t="n">
        <v>0</v>
      </c>
      <c r="I1715" s="34" t="n">
        <f aca="false">+IF(E1715=0,0,E1715*0.03)</f>
        <v>0</v>
      </c>
      <c r="J1715" s="93"/>
      <c r="K1715" s="93"/>
      <c r="L1715" s="93"/>
      <c r="M1715" s="93"/>
      <c r="N1715" s="93"/>
      <c r="O1715" s="93"/>
      <c r="P1715" s="93"/>
      <c r="Q1715" s="93"/>
      <c r="R1715" s="93"/>
      <c r="S1715" s="93"/>
      <c r="T1715" s="93"/>
      <c r="U1715" s="93"/>
      <c r="V1715" s="93"/>
      <c r="W1715" s="93"/>
      <c r="X1715" s="93"/>
      <c r="Y1715" s="93"/>
      <c r="Z1715" s="93"/>
    </row>
    <row r="1716" customFormat="false" ht="16.4" hidden="false" customHeight="false" outlineLevel="0" collapsed="false">
      <c r="A1716" s="123" t="n">
        <v>45444</v>
      </c>
      <c r="B1716" s="31" t="s">
        <v>153</v>
      </c>
      <c r="C1716" s="129"/>
      <c r="D1716" s="129"/>
      <c r="E1716" s="19" t="n">
        <f aca="false">F1716*0.03</f>
        <v>0</v>
      </c>
      <c r="F1716" s="33" t="n">
        <v>0</v>
      </c>
      <c r="G1716" s="131"/>
      <c r="H1716" s="35" t="n">
        <v>0</v>
      </c>
      <c r="I1716" s="34" t="n">
        <f aca="false">+IF(E1716=0,0,E1716*0.03)</f>
        <v>0</v>
      </c>
      <c r="J1716" s="93"/>
      <c r="K1716" s="93"/>
      <c r="L1716" s="93"/>
      <c r="M1716" s="93"/>
      <c r="N1716" s="93"/>
      <c r="O1716" s="93"/>
      <c r="P1716" s="93"/>
      <c r="Q1716" s="93"/>
      <c r="R1716" s="93"/>
      <c r="S1716" s="93"/>
      <c r="T1716" s="93"/>
      <c r="U1716" s="93"/>
      <c r="V1716" s="93"/>
      <c r="W1716" s="93"/>
      <c r="X1716" s="93"/>
      <c r="Y1716" s="93"/>
      <c r="Z1716" s="93"/>
    </row>
    <row r="1717" customFormat="false" ht="16.4" hidden="false" customHeight="false" outlineLevel="0" collapsed="false">
      <c r="A1717" s="123" t="n">
        <v>45444</v>
      </c>
      <c r="B1717" s="31" t="s">
        <v>153</v>
      </c>
      <c r="C1717" s="129"/>
      <c r="D1717" s="129"/>
      <c r="E1717" s="19" t="n">
        <f aca="false">F1717*0.03</f>
        <v>0</v>
      </c>
      <c r="F1717" s="33" t="n">
        <v>0</v>
      </c>
      <c r="G1717" s="131"/>
      <c r="H1717" s="35" t="n">
        <v>0</v>
      </c>
      <c r="I1717" s="34" t="n">
        <f aca="false">+IF(E1717=0,0,E1717*0.03)</f>
        <v>0</v>
      </c>
      <c r="J1717" s="93"/>
      <c r="K1717" s="93"/>
      <c r="L1717" s="93"/>
      <c r="M1717" s="93"/>
      <c r="N1717" s="93"/>
      <c r="O1717" s="93"/>
      <c r="P1717" s="93"/>
      <c r="Q1717" s="93"/>
      <c r="R1717" s="93"/>
      <c r="S1717" s="93"/>
      <c r="T1717" s="93"/>
      <c r="U1717" s="93"/>
      <c r="V1717" s="93"/>
      <c r="W1717" s="93"/>
      <c r="X1717" s="93"/>
      <c r="Y1717" s="93"/>
      <c r="Z1717" s="93"/>
    </row>
    <row r="1718" customFormat="false" ht="16.4" hidden="false" customHeight="false" outlineLevel="0" collapsed="false">
      <c r="A1718" s="123" t="n">
        <v>45444</v>
      </c>
      <c r="B1718" s="31" t="s">
        <v>153</v>
      </c>
      <c r="C1718" s="129"/>
      <c r="D1718" s="129"/>
      <c r="E1718" s="19" t="n">
        <f aca="false">F1718*0.03</f>
        <v>0</v>
      </c>
      <c r="F1718" s="33" t="n">
        <v>0</v>
      </c>
      <c r="G1718" s="131"/>
      <c r="H1718" s="35" t="n">
        <v>0</v>
      </c>
      <c r="I1718" s="34" t="n">
        <f aca="false">+IF(E1718=0,0,E1718*0.03)</f>
        <v>0</v>
      </c>
      <c r="J1718" s="93"/>
      <c r="K1718" s="93"/>
      <c r="L1718" s="93"/>
      <c r="M1718" s="93"/>
      <c r="N1718" s="93"/>
      <c r="O1718" s="93"/>
      <c r="P1718" s="93"/>
      <c r="Q1718" s="93"/>
      <c r="R1718" s="93"/>
      <c r="S1718" s="93"/>
      <c r="T1718" s="93"/>
      <c r="U1718" s="93"/>
      <c r="V1718" s="93"/>
      <c r="W1718" s="93"/>
      <c r="X1718" s="93"/>
      <c r="Y1718" s="93"/>
      <c r="Z1718" s="93"/>
    </row>
    <row r="1719" customFormat="false" ht="16.4" hidden="false" customHeight="false" outlineLevel="0" collapsed="false">
      <c r="A1719" s="123" t="n">
        <v>45444</v>
      </c>
      <c r="B1719" s="31" t="s">
        <v>153</v>
      </c>
      <c r="C1719" s="129"/>
      <c r="D1719" s="129"/>
      <c r="E1719" s="19" t="n">
        <f aca="false">F1719*0.03</f>
        <v>0</v>
      </c>
      <c r="F1719" s="33" t="n">
        <v>0</v>
      </c>
      <c r="G1719" s="131"/>
      <c r="H1719" s="35" t="n">
        <v>0</v>
      </c>
      <c r="I1719" s="34" t="n">
        <f aca="false">+IF(E1719=0,0,E1719*0.03)</f>
        <v>0</v>
      </c>
      <c r="J1719" s="93"/>
      <c r="K1719" s="93"/>
      <c r="L1719" s="93"/>
      <c r="M1719" s="93"/>
      <c r="N1719" s="93"/>
      <c r="O1719" s="93"/>
      <c r="P1719" s="93"/>
      <c r="Q1719" s="93"/>
      <c r="R1719" s="93"/>
      <c r="S1719" s="93"/>
      <c r="T1719" s="93"/>
      <c r="U1719" s="93"/>
      <c r="V1719" s="93"/>
      <c r="W1719" s="93"/>
      <c r="X1719" s="93"/>
      <c r="Y1719" s="93"/>
      <c r="Z1719" s="93"/>
    </row>
    <row r="1720" customFormat="false" ht="16.4" hidden="false" customHeight="false" outlineLevel="0" collapsed="false">
      <c r="A1720" s="123" t="n">
        <v>45444</v>
      </c>
      <c r="B1720" s="31" t="s">
        <v>153</v>
      </c>
      <c r="C1720" s="129"/>
      <c r="D1720" s="129"/>
      <c r="E1720" s="19" t="n">
        <f aca="false">F1720*0.03</f>
        <v>0</v>
      </c>
      <c r="F1720" s="33" t="n">
        <v>0</v>
      </c>
      <c r="G1720" s="131"/>
      <c r="H1720" s="35" t="n">
        <v>0</v>
      </c>
      <c r="I1720" s="34" t="n">
        <f aca="false">+IF(E1720=0,0,E1720*0.03)</f>
        <v>0</v>
      </c>
      <c r="J1720" s="93"/>
      <c r="K1720" s="93"/>
      <c r="L1720" s="93"/>
      <c r="M1720" s="93"/>
      <c r="N1720" s="93"/>
      <c r="O1720" s="93"/>
      <c r="P1720" s="93"/>
      <c r="Q1720" s="93"/>
      <c r="R1720" s="93"/>
      <c r="S1720" s="93"/>
      <c r="T1720" s="93"/>
      <c r="U1720" s="93"/>
      <c r="V1720" s="93"/>
      <c r="W1720" s="93"/>
      <c r="X1720" s="93"/>
      <c r="Y1720" s="93"/>
      <c r="Z1720" s="93"/>
    </row>
    <row r="1721" customFormat="false" ht="16.4" hidden="false" customHeight="false" outlineLevel="0" collapsed="false">
      <c r="A1721" s="123" t="n">
        <v>45444</v>
      </c>
      <c r="B1721" s="31" t="s">
        <v>153</v>
      </c>
      <c r="C1721" s="129"/>
      <c r="D1721" s="129"/>
      <c r="E1721" s="19" t="n">
        <f aca="false">F1721*0.03</f>
        <v>0</v>
      </c>
      <c r="F1721" s="33" t="n">
        <v>0</v>
      </c>
      <c r="G1721" s="131"/>
      <c r="H1721" s="35" t="n">
        <v>0</v>
      </c>
      <c r="I1721" s="34" t="n">
        <f aca="false">+IF(E1721=0,0,E1721*0.03)</f>
        <v>0</v>
      </c>
      <c r="J1721" s="93"/>
      <c r="K1721" s="93"/>
      <c r="L1721" s="93"/>
      <c r="M1721" s="93"/>
      <c r="N1721" s="93"/>
      <c r="O1721" s="93"/>
      <c r="P1721" s="93"/>
      <c r="Q1721" s="93"/>
      <c r="R1721" s="93"/>
      <c r="S1721" s="93"/>
      <c r="T1721" s="93"/>
      <c r="U1721" s="93"/>
      <c r="V1721" s="93"/>
      <c r="W1721" s="93"/>
      <c r="X1721" s="93"/>
      <c r="Y1721" s="93"/>
      <c r="Z1721" s="93"/>
    </row>
    <row r="1722" customFormat="false" ht="16.4" hidden="false" customHeight="false" outlineLevel="0" collapsed="false">
      <c r="A1722" s="123" t="n">
        <v>45444</v>
      </c>
      <c r="B1722" s="31" t="s">
        <v>153</v>
      </c>
      <c r="C1722" s="129"/>
      <c r="D1722" s="129"/>
      <c r="E1722" s="19" t="n">
        <f aca="false">F1722*0.03</f>
        <v>0</v>
      </c>
      <c r="F1722" s="33" t="n">
        <v>0</v>
      </c>
      <c r="G1722" s="131"/>
      <c r="H1722" s="35" t="n">
        <v>0</v>
      </c>
      <c r="I1722" s="34" t="n">
        <f aca="false">+IF(E1722=0,0,E1722*0.03)</f>
        <v>0</v>
      </c>
      <c r="J1722" s="93"/>
      <c r="K1722" s="93"/>
      <c r="L1722" s="93"/>
      <c r="M1722" s="93"/>
      <c r="N1722" s="93"/>
      <c r="O1722" s="93"/>
      <c r="P1722" s="93"/>
      <c r="Q1722" s="93"/>
      <c r="R1722" s="93"/>
      <c r="S1722" s="93"/>
      <c r="T1722" s="93"/>
      <c r="U1722" s="93"/>
      <c r="V1722" s="93"/>
      <c r="W1722" s="93"/>
      <c r="X1722" s="93"/>
      <c r="Y1722" s="93"/>
      <c r="Z1722" s="93"/>
    </row>
    <row r="1723" customFormat="false" ht="16.4" hidden="false" customHeight="false" outlineLevel="0" collapsed="false">
      <c r="A1723" s="123" t="n">
        <v>45444</v>
      </c>
      <c r="B1723" s="31" t="s">
        <v>153</v>
      </c>
      <c r="C1723" s="129"/>
      <c r="D1723" s="129"/>
      <c r="E1723" s="19" t="n">
        <f aca="false">F1723*0.03</f>
        <v>0</v>
      </c>
      <c r="F1723" s="33" t="n">
        <v>0</v>
      </c>
      <c r="G1723" s="131"/>
      <c r="H1723" s="35" t="n">
        <v>0</v>
      </c>
      <c r="I1723" s="34" t="n">
        <f aca="false">+IF(E1723=0,0,E1723*0.03)</f>
        <v>0</v>
      </c>
      <c r="J1723" s="93"/>
      <c r="K1723" s="93"/>
      <c r="L1723" s="93"/>
      <c r="M1723" s="93"/>
      <c r="N1723" s="93"/>
      <c r="O1723" s="93"/>
      <c r="P1723" s="93"/>
      <c r="Q1723" s="93"/>
      <c r="R1723" s="93"/>
      <c r="S1723" s="93"/>
      <c r="T1723" s="93"/>
      <c r="U1723" s="93"/>
      <c r="V1723" s="93"/>
      <c r="W1723" s="93"/>
      <c r="X1723" s="93"/>
      <c r="Y1723" s="93"/>
      <c r="Z1723" s="93"/>
    </row>
    <row r="1724" customFormat="false" ht="16.4" hidden="false" customHeight="false" outlineLevel="0" collapsed="false">
      <c r="A1724" s="123" t="n">
        <v>45444</v>
      </c>
      <c r="B1724" s="31" t="s">
        <v>153</v>
      </c>
      <c r="C1724" s="129"/>
      <c r="D1724" s="129"/>
      <c r="E1724" s="19" t="n">
        <f aca="false">F1724*0.03</f>
        <v>0</v>
      </c>
      <c r="F1724" s="33" t="n">
        <v>0</v>
      </c>
      <c r="G1724" s="131"/>
      <c r="H1724" s="35" t="n">
        <v>0</v>
      </c>
      <c r="I1724" s="34" t="n">
        <f aca="false">+IF(E1724=0,0,E1724*0.03)</f>
        <v>0</v>
      </c>
      <c r="J1724" s="93"/>
      <c r="K1724" s="93"/>
      <c r="L1724" s="93"/>
      <c r="M1724" s="93"/>
      <c r="N1724" s="93"/>
      <c r="O1724" s="93"/>
      <c r="P1724" s="93"/>
      <c r="Q1724" s="93"/>
      <c r="R1724" s="93"/>
      <c r="S1724" s="93"/>
      <c r="T1724" s="93"/>
      <c r="U1724" s="93"/>
      <c r="V1724" s="93"/>
      <c r="W1724" s="93"/>
      <c r="X1724" s="93"/>
      <c r="Y1724" s="93"/>
      <c r="Z1724" s="93"/>
    </row>
    <row r="1725" customFormat="false" ht="16.4" hidden="false" customHeight="false" outlineLevel="0" collapsed="false">
      <c r="A1725" s="123" t="n">
        <v>45444</v>
      </c>
      <c r="B1725" s="31" t="s">
        <v>153</v>
      </c>
      <c r="C1725" s="129"/>
      <c r="D1725" s="129"/>
      <c r="E1725" s="19" t="n">
        <f aca="false">F1725*0.03</f>
        <v>0</v>
      </c>
      <c r="F1725" s="33" t="n">
        <v>0</v>
      </c>
      <c r="G1725" s="131"/>
      <c r="H1725" s="35" t="n">
        <v>0</v>
      </c>
      <c r="I1725" s="34" t="n">
        <f aca="false">+IF(E1725=0,0,E1725*0.03)</f>
        <v>0</v>
      </c>
      <c r="J1725" s="93"/>
      <c r="K1725" s="93"/>
      <c r="L1725" s="93"/>
      <c r="M1725" s="93"/>
      <c r="N1725" s="93"/>
      <c r="O1725" s="93"/>
      <c r="P1725" s="93"/>
      <c r="Q1725" s="93"/>
      <c r="R1725" s="93"/>
      <c r="S1725" s="93"/>
      <c r="T1725" s="93"/>
      <c r="U1725" s="93"/>
      <c r="V1725" s="93"/>
      <c r="W1725" s="93"/>
      <c r="X1725" s="93"/>
      <c r="Y1725" s="93"/>
      <c r="Z1725" s="93"/>
    </row>
    <row r="1726" customFormat="false" ht="16.4" hidden="false" customHeight="false" outlineLevel="0" collapsed="false">
      <c r="A1726" s="123" t="n">
        <v>45444</v>
      </c>
      <c r="B1726" s="31" t="s">
        <v>153</v>
      </c>
      <c r="C1726" s="129"/>
      <c r="D1726" s="129"/>
      <c r="E1726" s="19" t="n">
        <f aca="false">F1726*0.03</f>
        <v>0</v>
      </c>
      <c r="F1726" s="33" t="n">
        <v>0</v>
      </c>
      <c r="G1726" s="131"/>
      <c r="H1726" s="35" t="n">
        <v>0</v>
      </c>
      <c r="I1726" s="34" t="n">
        <f aca="false">+IF(E1726=0,0,E1726*0.03)</f>
        <v>0</v>
      </c>
      <c r="J1726" s="93"/>
      <c r="K1726" s="93"/>
      <c r="L1726" s="93"/>
      <c r="M1726" s="93"/>
      <c r="N1726" s="93"/>
      <c r="O1726" s="93"/>
      <c r="P1726" s="93"/>
      <c r="Q1726" s="93"/>
      <c r="R1726" s="93"/>
      <c r="S1726" s="93"/>
      <c r="T1726" s="93"/>
      <c r="U1726" s="93"/>
      <c r="V1726" s="93"/>
      <c r="W1726" s="93"/>
      <c r="X1726" s="93"/>
      <c r="Y1726" s="93"/>
      <c r="Z1726" s="93"/>
    </row>
    <row r="1727" customFormat="false" ht="16.4" hidden="false" customHeight="false" outlineLevel="0" collapsed="false">
      <c r="A1727" s="123" t="n">
        <v>45444</v>
      </c>
      <c r="B1727" s="31" t="s">
        <v>153</v>
      </c>
      <c r="C1727" s="129"/>
      <c r="D1727" s="129"/>
      <c r="E1727" s="19" t="n">
        <f aca="false">F1727*0.03</f>
        <v>0</v>
      </c>
      <c r="F1727" s="33" t="n">
        <v>0</v>
      </c>
      <c r="G1727" s="131"/>
      <c r="H1727" s="35" t="n">
        <v>0</v>
      </c>
      <c r="I1727" s="34" t="n">
        <f aca="false">+IF(E1727=0,0,E1727*0.03)</f>
        <v>0</v>
      </c>
      <c r="J1727" s="93"/>
      <c r="K1727" s="93"/>
      <c r="L1727" s="93"/>
      <c r="M1727" s="93"/>
      <c r="N1727" s="93"/>
      <c r="O1727" s="93"/>
      <c r="P1727" s="93"/>
      <c r="Q1727" s="93"/>
      <c r="R1727" s="93"/>
      <c r="S1727" s="93"/>
      <c r="T1727" s="93"/>
      <c r="U1727" s="93"/>
      <c r="V1727" s="93"/>
      <c r="W1727" s="93"/>
      <c r="X1727" s="93"/>
      <c r="Y1727" s="93"/>
      <c r="Z1727" s="93"/>
    </row>
    <row r="1728" customFormat="false" ht="16.4" hidden="false" customHeight="false" outlineLevel="0" collapsed="false">
      <c r="A1728" s="123" t="n">
        <v>45444</v>
      </c>
      <c r="B1728" s="31" t="s">
        <v>153</v>
      </c>
      <c r="C1728" s="129"/>
      <c r="D1728" s="129"/>
      <c r="E1728" s="19" t="n">
        <f aca="false">F1728*0.03</f>
        <v>0</v>
      </c>
      <c r="F1728" s="33" t="n">
        <v>0</v>
      </c>
      <c r="G1728" s="131"/>
      <c r="H1728" s="35" t="n">
        <v>0</v>
      </c>
      <c r="I1728" s="34" t="n">
        <f aca="false">+IF(E1728=0,0,E1728*0.03)</f>
        <v>0</v>
      </c>
      <c r="J1728" s="93"/>
      <c r="K1728" s="93"/>
      <c r="L1728" s="93"/>
      <c r="M1728" s="93"/>
      <c r="N1728" s="93"/>
      <c r="O1728" s="93"/>
      <c r="P1728" s="93"/>
      <c r="Q1728" s="93"/>
      <c r="R1728" s="93"/>
      <c r="S1728" s="93"/>
      <c r="T1728" s="93"/>
      <c r="U1728" s="93"/>
      <c r="V1728" s="93"/>
      <c r="W1728" s="93"/>
      <c r="X1728" s="93"/>
      <c r="Y1728" s="93"/>
      <c r="Z1728" s="93"/>
    </row>
    <row r="1729" customFormat="false" ht="16.4" hidden="false" customHeight="false" outlineLevel="0" collapsed="false">
      <c r="A1729" s="123" t="n">
        <v>45444</v>
      </c>
      <c r="B1729" s="31" t="s">
        <v>153</v>
      </c>
      <c r="C1729" s="129"/>
      <c r="D1729" s="129"/>
      <c r="E1729" s="19" t="n">
        <f aca="false">F1729*0.03</f>
        <v>0</v>
      </c>
      <c r="F1729" s="33" t="n">
        <v>0</v>
      </c>
      <c r="G1729" s="131"/>
      <c r="H1729" s="35" t="n">
        <v>0</v>
      </c>
      <c r="I1729" s="34" t="n">
        <f aca="false">+IF(E1729=0,0,E1729*0.03)</f>
        <v>0</v>
      </c>
      <c r="J1729" s="93"/>
      <c r="K1729" s="93"/>
      <c r="L1729" s="93"/>
      <c r="M1729" s="93"/>
      <c r="N1729" s="93"/>
      <c r="O1729" s="93"/>
      <c r="P1729" s="93"/>
      <c r="Q1729" s="93"/>
      <c r="R1729" s="93"/>
      <c r="S1729" s="93"/>
      <c r="T1729" s="93"/>
      <c r="U1729" s="93"/>
      <c r="V1729" s="93"/>
      <c r="W1729" s="93"/>
      <c r="X1729" s="93"/>
      <c r="Y1729" s="93"/>
      <c r="Z1729" s="93"/>
    </row>
    <row r="1730" customFormat="false" ht="16.4" hidden="false" customHeight="false" outlineLevel="0" collapsed="false">
      <c r="A1730" s="123" t="n">
        <v>45444</v>
      </c>
      <c r="B1730" s="31" t="s">
        <v>153</v>
      </c>
      <c r="C1730" s="129"/>
      <c r="D1730" s="129"/>
      <c r="E1730" s="19" t="n">
        <f aca="false">F1730*0.03</f>
        <v>0</v>
      </c>
      <c r="F1730" s="33" t="n">
        <v>0</v>
      </c>
      <c r="G1730" s="131"/>
      <c r="H1730" s="35" t="n">
        <v>0</v>
      </c>
      <c r="I1730" s="34" t="n">
        <f aca="false">+IF(E1730=0,0,E1730*0.03)</f>
        <v>0</v>
      </c>
      <c r="J1730" s="93"/>
      <c r="K1730" s="93"/>
      <c r="L1730" s="93"/>
      <c r="M1730" s="93"/>
      <c r="N1730" s="93"/>
      <c r="O1730" s="93"/>
      <c r="P1730" s="93"/>
      <c r="Q1730" s="93"/>
      <c r="R1730" s="93"/>
      <c r="S1730" s="93"/>
      <c r="T1730" s="93"/>
      <c r="U1730" s="93"/>
      <c r="V1730" s="93"/>
      <c r="W1730" s="93"/>
      <c r="X1730" s="93"/>
      <c r="Y1730" s="93"/>
      <c r="Z1730" s="93"/>
    </row>
    <row r="1731" customFormat="false" ht="16.4" hidden="false" customHeight="false" outlineLevel="0" collapsed="false">
      <c r="A1731" s="123" t="n">
        <v>45444</v>
      </c>
      <c r="B1731" s="31" t="s">
        <v>153</v>
      </c>
      <c r="C1731" s="129"/>
      <c r="D1731" s="129"/>
      <c r="E1731" s="19" t="n">
        <f aca="false">F1731*0.03</f>
        <v>0</v>
      </c>
      <c r="F1731" s="33" t="n">
        <v>0</v>
      </c>
      <c r="G1731" s="131"/>
      <c r="H1731" s="35" t="n">
        <v>0</v>
      </c>
      <c r="I1731" s="34" t="n">
        <f aca="false">+IF(E1731=0,0,E1731*0.03)</f>
        <v>0</v>
      </c>
      <c r="J1731" s="93"/>
      <c r="K1731" s="93"/>
      <c r="L1731" s="93"/>
      <c r="M1731" s="93"/>
      <c r="N1731" s="93"/>
      <c r="O1731" s="93"/>
      <c r="P1731" s="93"/>
      <c r="Q1731" s="93"/>
      <c r="R1731" s="93"/>
      <c r="S1731" s="93"/>
      <c r="T1731" s="93"/>
      <c r="U1731" s="93"/>
      <c r="V1731" s="93"/>
      <c r="W1731" s="93"/>
      <c r="X1731" s="93"/>
      <c r="Y1731" s="93"/>
      <c r="Z1731" s="93"/>
    </row>
    <row r="1732" customFormat="false" ht="16.4" hidden="false" customHeight="false" outlineLevel="0" collapsed="false">
      <c r="A1732" s="123" t="n">
        <v>45444</v>
      </c>
      <c r="B1732" s="31" t="s">
        <v>153</v>
      </c>
      <c r="C1732" s="129"/>
      <c r="D1732" s="129"/>
      <c r="E1732" s="19" t="n">
        <f aca="false">F1732*0.03</f>
        <v>0</v>
      </c>
      <c r="F1732" s="33" t="n">
        <v>0</v>
      </c>
      <c r="G1732" s="131"/>
      <c r="H1732" s="35" t="n">
        <v>0</v>
      </c>
      <c r="I1732" s="34" t="n">
        <f aca="false">+IF(E1732=0,0,E1732*0.03)</f>
        <v>0</v>
      </c>
      <c r="J1732" s="93"/>
      <c r="K1732" s="93"/>
      <c r="L1732" s="93"/>
      <c r="M1732" s="93"/>
      <c r="N1732" s="93"/>
      <c r="O1732" s="93"/>
      <c r="P1732" s="93"/>
      <c r="Q1732" s="93"/>
      <c r="R1732" s="93"/>
      <c r="S1732" s="93"/>
      <c r="T1732" s="93"/>
      <c r="U1732" s="93"/>
      <c r="V1732" s="93"/>
      <c r="W1732" s="93"/>
      <c r="X1732" s="93"/>
      <c r="Y1732" s="93"/>
      <c r="Z1732" s="93"/>
    </row>
    <row r="1733" customFormat="false" ht="16.4" hidden="false" customHeight="false" outlineLevel="0" collapsed="false">
      <c r="A1733" s="123" t="n">
        <v>45444</v>
      </c>
      <c r="B1733" s="31" t="s">
        <v>153</v>
      </c>
      <c r="C1733" s="129"/>
      <c r="D1733" s="129"/>
      <c r="E1733" s="19" t="n">
        <f aca="false">F1733*0.03</f>
        <v>0</v>
      </c>
      <c r="F1733" s="33" t="n">
        <v>0</v>
      </c>
      <c r="G1733" s="131"/>
      <c r="H1733" s="35" t="n">
        <v>0</v>
      </c>
      <c r="I1733" s="34" t="n">
        <f aca="false">+IF(E1733=0,0,E1733*0.03)</f>
        <v>0</v>
      </c>
      <c r="J1733" s="93"/>
      <c r="K1733" s="93"/>
      <c r="L1733" s="93"/>
      <c r="M1733" s="93"/>
      <c r="N1733" s="93"/>
      <c r="O1733" s="93"/>
      <c r="P1733" s="93"/>
      <c r="Q1733" s="93"/>
      <c r="R1733" s="93"/>
      <c r="S1733" s="93"/>
      <c r="T1733" s="93"/>
      <c r="U1733" s="93"/>
      <c r="V1733" s="93"/>
      <c r="W1733" s="93"/>
      <c r="X1733" s="93"/>
      <c r="Y1733" s="93"/>
      <c r="Z1733" s="93"/>
    </row>
    <row r="1734" customFormat="false" ht="16.4" hidden="false" customHeight="false" outlineLevel="0" collapsed="false">
      <c r="A1734" s="123" t="n">
        <v>45444</v>
      </c>
      <c r="B1734" s="31" t="s">
        <v>153</v>
      </c>
      <c r="C1734" s="129"/>
      <c r="D1734" s="129"/>
      <c r="E1734" s="19" t="n">
        <f aca="false">F1734*0.03</f>
        <v>0</v>
      </c>
      <c r="F1734" s="33" t="n">
        <v>0</v>
      </c>
      <c r="G1734" s="131"/>
      <c r="H1734" s="35" t="n">
        <v>0</v>
      </c>
      <c r="I1734" s="34" t="n">
        <f aca="false">+IF(E1734=0,0,E1734*0.03)</f>
        <v>0</v>
      </c>
      <c r="J1734" s="93"/>
      <c r="K1734" s="93"/>
      <c r="L1734" s="93"/>
      <c r="M1734" s="93"/>
      <c r="N1734" s="93"/>
      <c r="O1734" s="93"/>
      <c r="P1734" s="93"/>
      <c r="Q1734" s="93"/>
      <c r="R1734" s="93"/>
      <c r="S1734" s="93"/>
      <c r="T1734" s="93"/>
      <c r="U1734" s="93"/>
      <c r="V1734" s="93"/>
      <c r="W1734" s="93"/>
      <c r="X1734" s="93"/>
      <c r="Y1734" s="93"/>
      <c r="Z1734" s="93"/>
    </row>
    <row r="1735" customFormat="false" ht="16.4" hidden="false" customHeight="false" outlineLevel="0" collapsed="false">
      <c r="A1735" s="123" t="n">
        <v>45444</v>
      </c>
      <c r="B1735" s="31" t="s">
        <v>153</v>
      </c>
      <c r="C1735" s="129"/>
      <c r="D1735" s="129"/>
      <c r="E1735" s="19" t="n">
        <f aca="false">F1735*0.03</f>
        <v>0</v>
      </c>
      <c r="F1735" s="33" t="n">
        <v>0</v>
      </c>
      <c r="G1735" s="131"/>
      <c r="H1735" s="35" t="n">
        <v>0</v>
      </c>
      <c r="I1735" s="34" t="n">
        <f aca="false">+IF(E1735=0,0,E1735*0.03)</f>
        <v>0</v>
      </c>
      <c r="J1735" s="93"/>
      <c r="K1735" s="93"/>
      <c r="L1735" s="93"/>
      <c r="M1735" s="93"/>
      <c r="N1735" s="93"/>
      <c r="O1735" s="93"/>
      <c r="P1735" s="93"/>
      <c r="Q1735" s="93"/>
      <c r="R1735" s="93"/>
      <c r="S1735" s="93"/>
      <c r="T1735" s="93"/>
      <c r="U1735" s="93"/>
      <c r="V1735" s="93"/>
      <c r="W1735" s="93"/>
      <c r="X1735" s="93"/>
      <c r="Y1735" s="93"/>
      <c r="Z1735" s="93"/>
    </row>
    <row r="1736" customFormat="false" ht="16.4" hidden="false" customHeight="false" outlineLevel="0" collapsed="false">
      <c r="A1736" s="123" t="n">
        <v>45444</v>
      </c>
      <c r="B1736" s="31" t="s">
        <v>153</v>
      </c>
      <c r="C1736" s="129"/>
      <c r="D1736" s="129"/>
      <c r="E1736" s="19" t="n">
        <f aca="false">F1736*0.03</f>
        <v>0</v>
      </c>
      <c r="F1736" s="33" t="n">
        <v>0</v>
      </c>
      <c r="G1736" s="131"/>
      <c r="H1736" s="35" t="n">
        <v>0</v>
      </c>
      <c r="I1736" s="34" t="n">
        <f aca="false">+IF(E1736=0,0,E1736*0.03)</f>
        <v>0</v>
      </c>
      <c r="J1736" s="93"/>
      <c r="K1736" s="93"/>
      <c r="L1736" s="93"/>
      <c r="M1736" s="93"/>
      <c r="N1736" s="93"/>
      <c r="O1736" s="93"/>
      <c r="P1736" s="93"/>
      <c r="Q1736" s="93"/>
      <c r="R1736" s="93"/>
      <c r="S1736" s="93"/>
      <c r="T1736" s="93"/>
      <c r="U1736" s="93"/>
      <c r="V1736" s="93"/>
      <c r="W1736" s="93"/>
      <c r="X1736" s="93"/>
      <c r="Y1736" s="93"/>
      <c r="Z1736" s="93"/>
    </row>
    <row r="1737" customFormat="false" ht="16.4" hidden="false" customHeight="false" outlineLevel="0" collapsed="false">
      <c r="A1737" s="123" t="n">
        <v>45444</v>
      </c>
      <c r="B1737" s="31" t="s">
        <v>153</v>
      </c>
      <c r="C1737" s="129"/>
      <c r="D1737" s="129"/>
      <c r="E1737" s="19" t="n">
        <f aca="false">F1737*0.03</f>
        <v>0</v>
      </c>
      <c r="F1737" s="33" t="n">
        <v>0</v>
      </c>
      <c r="G1737" s="131"/>
      <c r="H1737" s="35" t="n">
        <v>0</v>
      </c>
      <c r="I1737" s="34" t="n">
        <f aca="false">+IF(E1737=0,0,E1737*0.03)</f>
        <v>0</v>
      </c>
      <c r="J1737" s="93"/>
      <c r="K1737" s="93"/>
      <c r="L1737" s="93"/>
      <c r="M1737" s="93"/>
      <c r="N1737" s="93"/>
      <c r="O1737" s="93"/>
      <c r="P1737" s="93"/>
      <c r="Q1737" s="93"/>
      <c r="R1737" s="93"/>
      <c r="S1737" s="93"/>
      <c r="T1737" s="93"/>
      <c r="U1737" s="93"/>
      <c r="V1737" s="93"/>
      <c r="W1737" s="93"/>
      <c r="X1737" s="93"/>
      <c r="Y1737" s="93"/>
      <c r="Z1737" s="93"/>
    </row>
    <row r="1738" customFormat="false" ht="16.4" hidden="false" customHeight="false" outlineLevel="0" collapsed="false">
      <c r="A1738" s="123" t="n">
        <v>45444</v>
      </c>
      <c r="B1738" s="31" t="s">
        <v>153</v>
      </c>
      <c r="C1738" s="129"/>
      <c r="D1738" s="129"/>
      <c r="E1738" s="19" t="n">
        <f aca="false">F1738*0.03</f>
        <v>0</v>
      </c>
      <c r="F1738" s="33" t="n">
        <v>0</v>
      </c>
      <c r="G1738" s="131"/>
      <c r="H1738" s="35" t="n">
        <v>0</v>
      </c>
      <c r="I1738" s="34" t="n">
        <f aca="false">+IF(E1738=0,0,E1738*0.03)</f>
        <v>0</v>
      </c>
      <c r="J1738" s="93"/>
      <c r="K1738" s="93"/>
      <c r="L1738" s="93"/>
      <c r="M1738" s="93"/>
      <c r="N1738" s="93"/>
      <c r="O1738" s="93"/>
      <c r="P1738" s="93"/>
      <c r="Q1738" s="93"/>
      <c r="R1738" s="93"/>
      <c r="S1738" s="93"/>
      <c r="T1738" s="93"/>
      <c r="U1738" s="93"/>
      <c r="V1738" s="93"/>
      <c r="W1738" s="93"/>
      <c r="X1738" s="93"/>
      <c r="Y1738" s="93"/>
      <c r="Z1738" s="93"/>
    </row>
    <row r="1739" customFormat="false" ht="16.4" hidden="false" customHeight="false" outlineLevel="0" collapsed="false">
      <c r="A1739" s="123" t="n">
        <v>45444</v>
      </c>
      <c r="B1739" s="31" t="s">
        <v>153</v>
      </c>
      <c r="C1739" s="129"/>
      <c r="D1739" s="129"/>
      <c r="E1739" s="19" t="n">
        <f aca="false">F1739*0.03</f>
        <v>0</v>
      </c>
      <c r="F1739" s="33" t="n">
        <v>0</v>
      </c>
      <c r="G1739" s="131"/>
      <c r="H1739" s="35" t="n">
        <v>0</v>
      </c>
      <c r="I1739" s="34" t="n">
        <f aca="false">+IF(E1739=0,0,E1739*0.03)</f>
        <v>0</v>
      </c>
      <c r="J1739" s="93"/>
      <c r="K1739" s="93"/>
      <c r="L1739" s="93"/>
      <c r="M1739" s="93"/>
      <c r="N1739" s="93"/>
      <c r="O1739" s="93"/>
      <c r="P1739" s="93"/>
      <c r="Q1739" s="93"/>
      <c r="R1739" s="93"/>
      <c r="S1739" s="93"/>
      <c r="T1739" s="93"/>
      <c r="U1739" s="93"/>
      <c r="V1739" s="93"/>
      <c r="W1739" s="93"/>
      <c r="X1739" s="93"/>
      <c r="Y1739" s="93"/>
      <c r="Z1739" s="93"/>
    </row>
    <row r="1740" customFormat="false" ht="16.4" hidden="false" customHeight="false" outlineLevel="0" collapsed="false">
      <c r="A1740" s="123" t="n">
        <v>45444</v>
      </c>
      <c r="B1740" s="31" t="s">
        <v>153</v>
      </c>
      <c r="C1740" s="129"/>
      <c r="D1740" s="129"/>
      <c r="E1740" s="19" t="n">
        <f aca="false">F1740*0.03</f>
        <v>0</v>
      </c>
      <c r="F1740" s="33" t="n">
        <v>0</v>
      </c>
      <c r="G1740" s="131"/>
      <c r="H1740" s="35" t="n">
        <v>0</v>
      </c>
      <c r="I1740" s="34" t="n">
        <f aca="false">+IF(E1740=0,0,E1740*0.03)</f>
        <v>0</v>
      </c>
      <c r="J1740" s="93"/>
      <c r="K1740" s="93"/>
      <c r="L1740" s="93"/>
      <c r="M1740" s="93"/>
      <c r="N1740" s="93"/>
      <c r="O1740" s="93"/>
      <c r="P1740" s="93"/>
      <c r="Q1740" s="93"/>
      <c r="R1740" s="93"/>
      <c r="S1740" s="93"/>
      <c r="T1740" s="93"/>
      <c r="U1740" s="93"/>
      <c r="V1740" s="93"/>
      <c r="W1740" s="93"/>
      <c r="X1740" s="93"/>
      <c r="Y1740" s="93"/>
      <c r="Z1740" s="93"/>
    </row>
    <row r="1741" customFormat="false" ht="16.4" hidden="false" customHeight="false" outlineLevel="0" collapsed="false">
      <c r="A1741" s="123" t="n">
        <v>45444</v>
      </c>
      <c r="B1741" s="31" t="s">
        <v>153</v>
      </c>
      <c r="C1741" s="129"/>
      <c r="D1741" s="129"/>
      <c r="E1741" s="19" t="n">
        <f aca="false">F1741*0.03</f>
        <v>0</v>
      </c>
      <c r="F1741" s="33" t="n">
        <v>0</v>
      </c>
      <c r="G1741" s="131"/>
      <c r="H1741" s="35" t="n">
        <v>0</v>
      </c>
      <c r="I1741" s="34" t="n">
        <f aca="false">+IF(E1741=0,0,E1741*0.03)</f>
        <v>0</v>
      </c>
      <c r="J1741" s="93"/>
      <c r="K1741" s="93"/>
      <c r="L1741" s="93"/>
      <c r="M1741" s="93"/>
      <c r="N1741" s="93"/>
      <c r="O1741" s="93"/>
      <c r="P1741" s="93"/>
      <c r="Q1741" s="93"/>
      <c r="R1741" s="93"/>
      <c r="S1741" s="93"/>
      <c r="T1741" s="93"/>
      <c r="U1741" s="93"/>
      <c r="V1741" s="93"/>
      <c r="W1741" s="93"/>
      <c r="X1741" s="93"/>
      <c r="Y1741" s="93"/>
      <c r="Z1741" s="93"/>
    </row>
    <row r="1742" customFormat="false" ht="16.4" hidden="false" customHeight="false" outlineLevel="0" collapsed="false">
      <c r="A1742" s="123" t="n">
        <v>45444</v>
      </c>
      <c r="B1742" s="31" t="s">
        <v>153</v>
      </c>
      <c r="C1742" s="129"/>
      <c r="D1742" s="129"/>
      <c r="E1742" s="19" t="n">
        <f aca="false">F1742*0.03</f>
        <v>0</v>
      </c>
      <c r="F1742" s="33" t="n">
        <v>0</v>
      </c>
      <c r="G1742" s="131"/>
      <c r="H1742" s="35" t="n">
        <v>0</v>
      </c>
      <c r="I1742" s="34" t="n">
        <f aca="false">+IF(E1742=0,0,E1742*0.03)</f>
        <v>0</v>
      </c>
      <c r="J1742" s="93"/>
      <c r="K1742" s="93"/>
      <c r="L1742" s="93"/>
      <c r="M1742" s="93"/>
      <c r="N1742" s="93"/>
      <c r="O1742" s="93"/>
      <c r="P1742" s="93"/>
      <c r="Q1742" s="93"/>
      <c r="R1742" s="93"/>
      <c r="S1742" s="93"/>
      <c r="T1742" s="93"/>
      <c r="U1742" s="93"/>
      <c r="V1742" s="93"/>
      <c r="W1742" s="93"/>
      <c r="X1742" s="93"/>
      <c r="Y1742" s="93"/>
      <c r="Z1742" s="93"/>
    </row>
    <row r="1743" customFormat="false" ht="16.4" hidden="false" customHeight="false" outlineLevel="0" collapsed="false">
      <c r="A1743" s="123" t="n">
        <v>45444</v>
      </c>
      <c r="B1743" s="31" t="s">
        <v>153</v>
      </c>
      <c r="C1743" s="129"/>
      <c r="D1743" s="129"/>
      <c r="E1743" s="19" t="n">
        <f aca="false">F1743*0.03</f>
        <v>0</v>
      </c>
      <c r="F1743" s="33" t="n">
        <v>0</v>
      </c>
      <c r="G1743" s="131"/>
      <c r="H1743" s="35" t="n">
        <v>0</v>
      </c>
      <c r="I1743" s="34" t="n">
        <f aca="false">+IF(E1743=0,0,E1743*0.03)</f>
        <v>0</v>
      </c>
      <c r="J1743" s="93"/>
      <c r="K1743" s="93"/>
      <c r="L1743" s="93"/>
      <c r="M1743" s="93"/>
      <c r="N1743" s="93"/>
      <c r="O1743" s="93"/>
      <c r="P1743" s="93"/>
      <c r="Q1743" s="93"/>
      <c r="R1743" s="93"/>
      <c r="S1743" s="93"/>
      <c r="T1743" s="93"/>
      <c r="U1743" s="93"/>
      <c r="V1743" s="93"/>
      <c r="W1743" s="93"/>
      <c r="X1743" s="93"/>
      <c r="Y1743" s="93"/>
      <c r="Z1743" s="93"/>
    </row>
    <row r="1744" customFormat="false" ht="16.4" hidden="false" customHeight="false" outlineLevel="0" collapsed="false">
      <c r="A1744" s="123" t="n">
        <v>45444</v>
      </c>
      <c r="B1744" s="31" t="s">
        <v>153</v>
      </c>
      <c r="C1744" s="129"/>
      <c r="D1744" s="129"/>
      <c r="E1744" s="19" t="n">
        <f aca="false">F1744*0.03</f>
        <v>0</v>
      </c>
      <c r="F1744" s="33" t="n">
        <v>0</v>
      </c>
      <c r="G1744" s="131"/>
      <c r="H1744" s="35" t="n">
        <v>0</v>
      </c>
      <c r="I1744" s="34" t="n">
        <f aca="false">+IF(E1744=0,0,E1744*0.03)</f>
        <v>0</v>
      </c>
      <c r="J1744" s="93"/>
      <c r="K1744" s="93"/>
      <c r="L1744" s="93"/>
      <c r="M1744" s="93"/>
      <c r="N1744" s="93"/>
      <c r="O1744" s="93"/>
      <c r="P1744" s="93"/>
      <c r="Q1744" s="93"/>
      <c r="R1744" s="93"/>
      <c r="S1744" s="93"/>
      <c r="T1744" s="93"/>
      <c r="U1744" s="93"/>
      <c r="V1744" s="93"/>
      <c r="W1744" s="93"/>
      <c r="X1744" s="93"/>
      <c r="Y1744" s="93"/>
      <c r="Z1744" s="93"/>
    </row>
    <row r="1745" customFormat="false" ht="16.4" hidden="false" customHeight="false" outlineLevel="0" collapsed="false">
      <c r="A1745" s="123" t="n">
        <v>45444</v>
      </c>
      <c r="B1745" s="31" t="s">
        <v>153</v>
      </c>
      <c r="C1745" s="129"/>
      <c r="D1745" s="129"/>
      <c r="E1745" s="19" t="n">
        <f aca="false">F1745*0.03</f>
        <v>0</v>
      </c>
      <c r="F1745" s="33" t="n">
        <v>0</v>
      </c>
      <c r="G1745" s="131"/>
      <c r="H1745" s="35" t="n">
        <v>0</v>
      </c>
      <c r="I1745" s="34" t="n">
        <f aca="false">+IF(E1745=0,0,E1745*0.03)</f>
        <v>0</v>
      </c>
      <c r="J1745" s="93"/>
      <c r="K1745" s="93"/>
      <c r="L1745" s="93"/>
      <c r="M1745" s="93"/>
      <c r="N1745" s="93"/>
      <c r="O1745" s="93"/>
      <c r="P1745" s="93"/>
      <c r="Q1745" s="93"/>
      <c r="R1745" s="93"/>
      <c r="S1745" s="93"/>
      <c r="T1745" s="93"/>
      <c r="U1745" s="93"/>
      <c r="V1745" s="93"/>
      <c r="W1745" s="93"/>
      <c r="X1745" s="93"/>
      <c r="Y1745" s="93"/>
      <c r="Z1745" s="93"/>
    </row>
    <row r="1746" customFormat="false" ht="16.4" hidden="false" customHeight="false" outlineLevel="0" collapsed="false">
      <c r="A1746" s="123" t="n">
        <v>45444</v>
      </c>
      <c r="B1746" s="31" t="s">
        <v>153</v>
      </c>
      <c r="C1746" s="129"/>
      <c r="D1746" s="129"/>
      <c r="E1746" s="19" t="n">
        <f aca="false">F1746*0.03</f>
        <v>0</v>
      </c>
      <c r="F1746" s="33" t="n">
        <v>0</v>
      </c>
      <c r="G1746" s="131"/>
      <c r="H1746" s="35" t="n">
        <v>0</v>
      </c>
      <c r="I1746" s="34" t="n">
        <f aca="false">+IF(E1746=0,0,E1746*0.03)</f>
        <v>0</v>
      </c>
      <c r="J1746" s="93"/>
      <c r="K1746" s="93"/>
      <c r="L1746" s="93"/>
      <c r="M1746" s="93"/>
      <c r="N1746" s="93"/>
      <c r="O1746" s="93"/>
      <c r="P1746" s="93"/>
      <c r="Q1746" s="93"/>
      <c r="R1746" s="93"/>
      <c r="S1746" s="93"/>
      <c r="T1746" s="93"/>
      <c r="U1746" s="93"/>
      <c r="V1746" s="93"/>
      <c r="W1746" s="93"/>
      <c r="X1746" s="93"/>
      <c r="Y1746" s="93"/>
      <c r="Z1746" s="93"/>
    </row>
    <row r="1747" customFormat="false" ht="16.4" hidden="false" customHeight="false" outlineLevel="0" collapsed="false">
      <c r="A1747" s="123" t="n">
        <v>45444</v>
      </c>
      <c r="B1747" s="31" t="s">
        <v>153</v>
      </c>
      <c r="C1747" s="129"/>
      <c r="D1747" s="129"/>
      <c r="E1747" s="19" t="n">
        <f aca="false">F1747*0.03</f>
        <v>0</v>
      </c>
      <c r="F1747" s="33" t="n">
        <v>0</v>
      </c>
      <c r="G1747" s="131"/>
      <c r="H1747" s="35" t="n">
        <v>0</v>
      </c>
      <c r="I1747" s="34" t="n">
        <f aca="false">+IF(E1747=0,0,E1747*0.03)</f>
        <v>0</v>
      </c>
      <c r="J1747" s="93"/>
      <c r="K1747" s="93"/>
      <c r="L1747" s="93"/>
      <c r="M1747" s="93"/>
      <c r="N1747" s="93"/>
      <c r="O1747" s="93"/>
      <c r="P1747" s="93"/>
      <c r="Q1747" s="93"/>
      <c r="R1747" s="93"/>
      <c r="S1747" s="93"/>
      <c r="T1747" s="93"/>
      <c r="U1747" s="93"/>
      <c r="V1747" s="93"/>
      <c r="W1747" s="93"/>
      <c r="X1747" s="93"/>
      <c r="Y1747" s="93"/>
      <c r="Z1747" s="93"/>
    </row>
    <row r="1748" customFormat="false" ht="16.4" hidden="false" customHeight="false" outlineLevel="0" collapsed="false">
      <c r="A1748" s="123" t="n">
        <v>45444</v>
      </c>
      <c r="B1748" s="31" t="s">
        <v>153</v>
      </c>
      <c r="C1748" s="129"/>
      <c r="D1748" s="129"/>
      <c r="E1748" s="19" t="n">
        <f aca="false">F1748*0.03</f>
        <v>0</v>
      </c>
      <c r="F1748" s="33" t="n">
        <v>0</v>
      </c>
      <c r="G1748" s="131"/>
      <c r="H1748" s="35" t="n">
        <v>0</v>
      </c>
      <c r="I1748" s="34" t="n">
        <f aca="false">+IF(E1748=0,0,E1748*0.03)</f>
        <v>0</v>
      </c>
      <c r="J1748" s="93"/>
      <c r="K1748" s="93"/>
      <c r="L1748" s="93"/>
      <c r="M1748" s="93"/>
      <c r="N1748" s="93"/>
      <c r="O1748" s="93"/>
      <c r="P1748" s="93"/>
      <c r="Q1748" s="93"/>
      <c r="R1748" s="93"/>
      <c r="S1748" s="93"/>
      <c r="T1748" s="93"/>
      <c r="U1748" s="93"/>
      <c r="V1748" s="93"/>
      <c r="W1748" s="93"/>
      <c r="X1748" s="93"/>
      <c r="Y1748" s="93"/>
      <c r="Z1748" s="93"/>
    </row>
    <row r="1749" customFormat="false" ht="16.4" hidden="false" customHeight="false" outlineLevel="0" collapsed="false">
      <c r="A1749" s="123" t="n">
        <v>45444</v>
      </c>
      <c r="B1749" s="31" t="s">
        <v>153</v>
      </c>
      <c r="C1749" s="129"/>
      <c r="D1749" s="129"/>
      <c r="E1749" s="19" t="n">
        <f aca="false">F1749*0.03</f>
        <v>0</v>
      </c>
      <c r="F1749" s="33" t="n">
        <v>0</v>
      </c>
      <c r="G1749" s="131"/>
      <c r="H1749" s="35" t="n">
        <v>0</v>
      </c>
      <c r="I1749" s="34" t="n">
        <f aca="false">+IF(E1749=0,0,E1749*0.03)</f>
        <v>0</v>
      </c>
      <c r="J1749" s="93"/>
      <c r="K1749" s="93"/>
      <c r="L1749" s="93"/>
      <c r="M1749" s="93"/>
      <c r="N1749" s="93"/>
      <c r="O1749" s="93"/>
      <c r="P1749" s="93"/>
      <c r="Q1749" s="93"/>
      <c r="R1749" s="93"/>
      <c r="S1749" s="93"/>
      <c r="T1749" s="93"/>
      <c r="U1749" s="93"/>
      <c r="V1749" s="93"/>
      <c r="W1749" s="93"/>
      <c r="X1749" s="93"/>
      <c r="Y1749" s="93"/>
      <c r="Z1749" s="93"/>
    </row>
    <row r="1750" customFormat="false" ht="16.4" hidden="false" customHeight="false" outlineLevel="0" collapsed="false">
      <c r="A1750" s="123" t="n">
        <v>45444</v>
      </c>
      <c r="B1750" s="31" t="s">
        <v>153</v>
      </c>
      <c r="C1750" s="129"/>
      <c r="D1750" s="129"/>
      <c r="E1750" s="19" t="n">
        <f aca="false">F1750*0.03</f>
        <v>0</v>
      </c>
      <c r="F1750" s="33" t="n">
        <v>0</v>
      </c>
      <c r="G1750" s="131"/>
      <c r="H1750" s="35" t="n">
        <v>0</v>
      </c>
      <c r="I1750" s="34" t="n">
        <f aca="false">+IF(E1750=0,0,E1750*0.03)</f>
        <v>0</v>
      </c>
      <c r="J1750" s="93"/>
      <c r="K1750" s="93"/>
      <c r="L1750" s="93"/>
      <c r="M1750" s="93"/>
      <c r="N1750" s="93"/>
      <c r="O1750" s="93"/>
      <c r="P1750" s="93"/>
      <c r="Q1750" s="93"/>
      <c r="R1750" s="93"/>
      <c r="S1750" s="93"/>
      <c r="T1750" s="93"/>
      <c r="U1750" s="93"/>
      <c r="V1750" s="93"/>
      <c r="W1750" s="93"/>
      <c r="X1750" s="93"/>
      <c r="Y1750" s="93"/>
      <c r="Z1750" s="93"/>
    </row>
    <row r="1751" customFormat="false" ht="16.4" hidden="false" customHeight="false" outlineLevel="0" collapsed="false">
      <c r="A1751" s="123" t="n">
        <v>45444</v>
      </c>
      <c r="B1751" s="31" t="s">
        <v>153</v>
      </c>
      <c r="C1751" s="129"/>
      <c r="D1751" s="129"/>
      <c r="E1751" s="19" t="n">
        <f aca="false">F1751*0.03</f>
        <v>0</v>
      </c>
      <c r="F1751" s="33" t="n">
        <v>0</v>
      </c>
      <c r="G1751" s="131"/>
      <c r="H1751" s="35" t="n">
        <v>0</v>
      </c>
      <c r="I1751" s="34" t="n">
        <f aca="false">+IF(E1751=0,0,E1751*0.03)</f>
        <v>0</v>
      </c>
      <c r="J1751" s="93"/>
      <c r="K1751" s="93"/>
      <c r="L1751" s="93"/>
      <c r="M1751" s="93"/>
      <c r="N1751" s="93"/>
      <c r="O1751" s="93"/>
      <c r="P1751" s="93"/>
      <c r="Q1751" s="93"/>
      <c r="R1751" s="93"/>
      <c r="S1751" s="93"/>
      <c r="T1751" s="93"/>
      <c r="U1751" s="93"/>
      <c r="V1751" s="93"/>
      <c r="W1751" s="93"/>
      <c r="X1751" s="93"/>
      <c r="Y1751" s="93"/>
      <c r="Z1751" s="93"/>
    </row>
    <row r="1752" customFormat="false" ht="16.4" hidden="false" customHeight="false" outlineLevel="0" collapsed="false">
      <c r="A1752" s="123" t="n">
        <v>45444</v>
      </c>
      <c r="B1752" s="31" t="s">
        <v>153</v>
      </c>
      <c r="C1752" s="129"/>
      <c r="D1752" s="129"/>
      <c r="E1752" s="19" t="n">
        <f aca="false">F1752*0.03</f>
        <v>0</v>
      </c>
      <c r="F1752" s="33" t="n">
        <v>0</v>
      </c>
      <c r="G1752" s="131"/>
      <c r="H1752" s="35" t="n">
        <v>0</v>
      </c>
      <c r="I1752" s="34" t="n">
        <f aca="false">+IF(E1752=0,0,E1752*0.03)</f>
        <v>0</v>
      </c>
      <c r="J1752" s="93"/>
      <c r="K1752" s="93"/>
      <c r="L1752" s="93"/>
      <c r="M1752" s="93"/>
      <c r="N1752" s="93"/>
      <c r="O1752" s="93"/>
      <c r="P1752" s="93"/>
      <c r="Q1752" s="93"/>
      <c r="R1752" s="93"/>
      <c r="S1752" s="93"/>
      <c r="T1752" s="93"/>
      <c r="U1752" s="93"/>
      <c r="V1752" s="93"/>
      <c r="W1752" s="93"/>
      <c r="X1752" s="93"/>
      <c r="Y1752" s="93"/>
      <c r="Z1752" s="93"/>
    </row>
    <row r="1753" customFormat="false" ht="16.4" hidden="false" customHeight="false" outlineLevel="0" collapsed="false">
      <c r="A1753" s="123" t="n">
        <v>45444</v>
      </c>
      <c r="B1753" s="31" t="s">
        <v>153</v>
      </c>
      <c r="C1753" s="129"/>
      <c r="D1753" s="129"/>
      <c r="E1753" s="19" t="n">
        <f aca="false">F1753*0.03</f>
        <v>0</v>
      </c>
      <c r="F1753" s="33" t="n">
        <v>0</v>
      </c>
      <c r="G1753" s="131"/>
      <c r="H1753" s="35" t="n">
        <v>0</v>
      </c>
      <c r="I1753" s="34" t="n">
        <f aca="false">+IF(E1753=0,0,E1753*0.03)</f>
        <v>0</v>
      </c>
      <c r="J1753" s="93"/>
      <c r="K1753" s="93"/>
      <c r="L1753" s="93"/>
      <c r="M1753" s="93"/>
      <c r="N1753" s="93"/>
      <c r="O1753" s="93"/>
      <c r="P1753" s="93"/>
      <c r="Q1753" s="93"/>
      <c r="R1753" s="93"/>
      <c r="S1753" s="93"/>
      <c r="T1753" s="93"/>
      <c r="U1753" s="93"/>
      <c r="V1753" s="93"/>
      <c r="W1753" s="93"/>
      <c r="X1753" s="93"/>
      <c r="Y1753" s="93"/>
      <c r="Z1753" s="93"/>
    </row>
    <row r="1754" customFormat="false" ht="16.4" hidden="false" customHeight="false" outlineLevel="0" collapsed="false">
      <c r="A1754" s="123" t="n">
        <v>45444</v>
      </c>
      <c r="B1754" s="31" t="s">
        <v>153</v>
      </c>
      <c r="C1754" s="129"/>
      <c r="D1754" s="129"/>
      <c r="E1754" s="19" t="n">
        <f aca="false">F1754*0.03</f>
        <v>0</v>
      </c>
      <c r="F1754" s="33" t="n">
        <v>0</v>
      </c>
      <c r="G1754" s="131"/>
      <c r="H1754" s="35" t="n">
        <v>0</v>
      </c>
      <c r="I1754" s="34" t="n">
        <f aca="false">+IF(E1754=0,0,E1754*0.03)</f>
        <v>0</v>
      </c>
      <c r="J1754" s="93"/>
      <c r="K1754" s="93"/>
      <c r="L1754" s="93"/>
      <c r="M1754" s="93"/>
      <c r="N1754" s="93"/>
      <c r="O1754" s="93"/>
      <c r="P1754" s="93"/>
      <c r="Q1754" s="93"/>
      <c r="R1754" s="93"/>
      <c r="S1754" s="93"/>
      <c r="T1754" s="93"/>
      <c r="U1754" s="93"/>
      <c r="V1754" s="93"/>
      <c r="W1754" s="93"/>
      <c r="X1754" s="93"/>
      <c r="Y1754" s="93"/>
      <c r="Z1754" s="93"/>
    </row>
    <row r="1755" customFormat="false" ht="16.4" hidden="false" customHeight="false" outlineLevel="0" collapsed="false">
      <c r="A1755" s="123" t="n">
        <v>45444</v>
      </c>
      <c r="B1755" s="31" t="s">
        <v>153</v>
      </c>
      <c r="C1755" s="129"/>
      <c r="D1755" s="129"/>
      <c r="E1755" s="19" t="n">
        <f aca="false">F1755*0.03</f>
        <v>0</v>
      </c>
      <c r="F1755" s="33" t="n">
        <v>0</v>
      </c>
      <c r="G1755" s="131"/>
      <c r="H1755" s="35" t="n">
        <v>0</v>
      </c>
      <c r="I1755" s="34" t="n">
        <f aca="false">+IF(E1755=0,0,E1755*0.03)</f>
        <v>0</v>
      </c>
      <c r="J1755" s="93"/>
      <c r="K1755" s="93"/>
      <c r="L1755" s="93"/>
      <c r="M1755" s="93"/>
      <c r="N1755" s="93"/>
      <c r="O1755" s="93"/>
      <c r="P1755" s="93"/>
      <c r="Q1755" s="93"/>
      <c r="R1755" s="93"/>
      <c r="S1755" s="93"/>
      <c r="T1755" s="93"/>
      <c r="U1755" s="93"/>
      <c r="V1755" s="93"/>
      <c r="W1755" s="93"/>
      <c r="X1755" s="93"/>
      <c r="Y1755" s="93"/>
      <c r="Z1755" s="93"/>
    </row>
    <row r="1756" customFormat="false" ht="16.4" hidden="false" customHeight="false" outlineLevel="0" collapsed="false">
      <c r="A1756" s="123" t="n">
        <v>45444</v>
      </c>
      <c r="B1756" s="31" t="s">
        <v>153</v>
      </c>
      <c r="C1756" s="129"/>
      <c r="D1756" s="129"/>
      <c r="E1756" s="19" t="n">
        <f aca="false">F1756*0.03</f>
        <v>0</v>
      </c>
      <c r="F1756" s="33" t="n">
        <v>0</v>
      </c>
      <c r="G1756" s="131"/>
      <c r="H1756" s="35" t="n">
        <v>0</v>
      </c>
      <c r="I1756" s="34" t="n">
        <f aca="false">+IF(E1756=0,0,E1756*0.03)</f>
        <v>0</v>
      </c>
      <c r="J1756" s="93"/>
      <c r="K1756" s="93"/>
      <c r="L1756" s="93"/>
      <c r="M1756" s="93"/>
      <c r="N1756" s="93"/>
      <c r="O1756" s="93"/>
      <c r="P1756" s="93"/>
      <c r="Q1756" s="93"/>
      <c r="R1756" s="93"/>
      <c r="S1756" s="93"/>
      <c r="T1756" s="93"/>
      <c r="U1756" s="93"/>
      <c r="V1756" s="93"/>
      <c r="W1756" s="93"/>
      <c r="X1756" s="93"/>
      <c r="Y1756" s="93"/>
      <c r="Z1756" s="93"/>
    </row>
    <row r="1757" customFormat="false" ht="16.4" hidden="false" customHeight="false" outlineLevel="0" collapsed="false">
      <c r="A1757" s="123" t="n">
        <v>45444</v>
      </c>
      <c r="B1757" s="31" t="s">
        <v>153</v>
      </c>
      <c r="C1757" s="129"/>
      <c r="D1757" s="129"/>
      <c r="E1757" s="19" t="n">
        <f aca="false">F1757*0.03</f>
        <v>0</v>
      </c>
      <c r="F1757" s="33" t="n">
        <v>0</v>
      </c>
      <c r="G1757" s="131"/>
      <c r="H1757" s="35" t="n">
        <v>0</v>
      </c>
      <c r="I1757" s="34" t="n">
        <f aca="false">+IF(E1757=0,0,E1757*0.03)</f>
        <v>0</v>
      </c>
      <c r="J1757" s="93"/>
      <c r="K1757" s="93"/>
      <c r="L1757" s="93"/>
      <c r="M1757" s="93"/>
      <c r="N1757" s="93"/>
      <c r="O1757" s="93"/>
      <c r="P1757" s="93"/>
      <c r="Q1757" s="93"/>
      <c r="R1757" s="93"/>
      <c r="S1757" s="93"/>
      <c r="T1757" s="93"/>
      <c r="U1757" s="93"/>
      <c r="V1757" s="93"/>
      <c r="W1757" s="93"/>
      <c r="X1757" s="93"/>
      <c r="Y1757" s="93"/>
      <c r="Z1757" s="93"/>
    </row>
    <row r="1758" customFormat="false" ht="16.4" hidden="false" customHeight="false" outlineLevel="0" collapsed="false">
      <c r="A1758" s="123" t="n">
        <v>45444</v>
      </c>
      <c r="B1758" s="31" t="s">
        <v>153</v>
      </c>
      <c r="C1758" s="129"/>
      <c r="D1758" s="129"/>
      <c r="E1758" s="19" t="n">
        <f aca="false">F1758*0.03</f>
        <v>0</v>
      </c>
      <c r="F1758" s="33" t="n">
        <v>0</v>
      </c>
      <c r="G1758" s="131"/>
      <c r="H1758" s="35" t="n">
        <v>0</v>
      </c>
      <c r="I1758" s="34" t="n">
        <f aca="false">+IF(E1758=0,0,E1758*0.03)</f>
        <v>0</v>
      </c>
      <c r="J1758" s="93"/>
      <c r="K1758" s="93"/>
      <c r="L1758" s="93"/>
      <c r="M1758" s="93"/>
      <c r="N1758" s="93"/>
      <c r="O1758" s="93"/>
      <c r="P1758" s="93"/>
      <c r="Q1758" s="93"/>
      <c r="R1758" s="93"/>
      <c r="S1758" s="93"/>
      <c r="T1758" s="93"/>
      <c r="U1758" s="93"/>
      <c r="V1758" s="93"/>
      <c r="W1758" s="93"/>
      <c r="X1758" s="93"/>
      <c r="Y1758" s="93"/>
      <c r="Z1758" s="93"/>
    </row>
    <row r="1759" customFormat="false" ht="16.4" hidden="false" customHeight="false" outlineLevel="0" collapsed="false">
      <c r="A1759" s="123" t="n">
        <v>45444</v>
      </c>
      <c r="B1759" s="31" t="s">
        <v>153</v>
      </c>
      <c r="C1759" s="129"/>
      <c r="D1759" s="129"/>
      <c r="E1759" s="19" t="n">
        <f aca="false">F1759*0.03</f>
        <v>0</v>
      </c>
      <c r="F1759" s="33" t="n">
        <v>0</v>
      </c>
      <c r="G1759" s="131"/>
      <c r="H1759" s="35" t="n">
        <v>0</v>
      </c>
      <c r="I1759" s="34" t="n">
        <f aca="false">+IF(E1759=0,0,E1759*0.03)</f>
        <v>0</v>
      </c>
      <c r="J1759" s="93"/>
      <c r="K1759" s="93"/>
      <c r="L1759" s="93"/>
      <c r="M1759" s="93"/>
      <c r="N1759" s="93"/>
      <c r="O1759" s="93"/>
      <c r="P1759" s="93"/>
      <c r="Q1759" s="93"/>
      <c r="R1759" s="93"/>
      <c r="S1759" s="93"/>
      <c r="T1759" s="93"/>
      <c r="U1759" s="93"/>
      <c r="V1759" s="93"/>
      <c r="W1759" s="93"/>
      <c r="X1759" s="93"/>
      <c r="Y1759" s="93"/>
      <c r="Z1759" s="93"/>
    </row>
    <row r="1760" customFormat="false" ht="16.4" hidden="false" customHeight="false" outlineLevel="0" collapsed="false">
      <c r="A1760" s="123" t="n">
        <v>45444</v>
      </c>
      <c r="B1760" s="31" t="s">
        <v>153</v>
      </c>
      <c r="C1760" s="129"/>
      <c r="D1760" s="129"/>
      <c r="E1760" s="19" t="n">
        <f aca="false">F1760*0.03</f>
        <v>0</v>
      </c>
      <c r="F1760" s="33" t="n">
        <v>0</v>
      </c>
      <c r="G1760" s="131"/>
      <c r="H1760" s="35" t="n">
        <v>0</v>
      </c>
      <c r="I1760" s="34" t="n">
        <f aca="false">+IF(E1760=0,0,E1760*0.03)</f>
        <v>0</v>
      </c>
      <c r="J1760" s="93"/>
      <c r="K1760" s="93"/>
      <c r="L1760" s="93"/>
      <c r="M1760" s="93"/>
      <c r="N1760" s="93"/>
      <c r="O1760" s="93"/>
      <c r="P1760" s="93"/>
      <c r="Q1760" s="93"/>
      <c r="R1760" s="93"/>
      <c r="S1760" s="93"/>
      <c r="T1760" s="93"/>
      <c r="U1760" s="93"/>
      <c r="V1760" s="93"/>
      <c r="W1760" s="93"/>
      <c r="X1760" s="93"/>
      <c r="Y1760" s="93"/>
      <c r="Z1760" s="93"/>
    </row>
    <row r="1761" customFormat="false" ht="16.4" hidden="false" customHeight="false" outlineLevel="0" collapsed="false">
      <c r="A1761" s="123" t="n">
        <v>45444</v>
      </c>
      <c r="B1761" s="31" t="s">
        <v>153</v>
      </c>
      <c r="C1761" s="129"/>
      <c r="D1761" s="129"/>
      <c r="E1761" s="19" t="n">
        <f aca="false">F1761*0.03</f>
        <v>0</v>
      </c>
      <c r="F1761" s="33" t="n">
        <v>0</v>
      </c>
      <c r="G1761" s="131"/>
      <c r="H1761" s="35" t="n">
        <v>0</v>
      </c>
      <c r="I1761" s="34" t="n">
        <f aca="false">+IF(E1761=0,0,E1761*0.03)</f>
        <v>0</v>
      </c>
      <c r="J1761" s="93"/>
      <c r="K1761" s="93"/>
      <c r="L1761" s="93"/>
      <c r="M1761" s="93"/>
      <c r="N1761" s="93"/>
      <c r="O1761" s="93"/>
      <c r="P1761" s="93"/>
      <c r="Q1761" s="93"/>
      <c r="R1761" s="93"/>
      <c r="S1761" s="93"/>
      <c r="T1761" s="93"/>
      <c r="U1761" s="93"/>
      <c r="V1761" s="93"/>
      <c r="W1761" s="93"/>
      <c r="X1761" s="93"/>
      <c r="Y1761" s="93"/>
      <c r="Z1761" s="93"/>
    </row>
    <row r="1762" customFormat="false" ht="16.4" hidden="false" customHeight="false" outlineLevel="0" collapsed="false">
      <c r="A1762" s="123" t="n">
        <v>45444</v>
      </c>
      <c r="B1762" s="31" t="s">
        <v>153</v>
      </c>
      <c r="C1762" s="129"/>
      <c r="D1762" s="129"/>
      <c r="E1762" s="19" t="n">
        <f aca="false">F1762*0.03</f>
        <v>0</v>
      </c>
      <c r="F1762" s="33" t="n">
        <v>0</v>
      </c>
      <c r="G1762" s="131"/>
      <c r="H1762" s="35" t="n">
        <v>0</v>
      </c>
      <c r="I1762" s="34" t="n">
        <f aca="false">+IF(E1762=0,0,E1762*0.03)</f>
        <v>0</v>
      </c>
      <c r="J1762" s="93"/>
      <c r="K1762" s="93"/>
      <c r="L1762" s="93"/>
      <c r="M1762" s="93"/>
      <c r="N1762" s="93"/>
      <c r="O1762" s="93"/>
      <c r="P1762" s="93"/>
      <c r="Q1762" s="93"/>
      <c r="R1762" s="93"/>
      <c r="S1762" s="93"/>
      <c r="T1762" s="93"/>
      <c r="U1762" s="93"/>
      <c r="V1762" s="93"/>
      <c r="W1762" s="93"/>
      <c r="X1762" s="93"/>
      <c r="Y1762" s="93"/>
      <c r="Z1762" s="93"/>
    </row>
    <row r="1763" customFormat="false" ht="16.4" hidden="false" customHeight="false" outlineLevel="0" collapsed="false">
      <c r="A1763" s="123" t="n">
        <v>45444</v>
      </c>
      <c r="B1763" s="31" t="s">
        <v>153</v>
      </c>
      <c r="C1763" s="129"/>
      <c r="D1763" s="129"/>
      <c r="E1763" s="19" t="n">
        <f aca="false">F1763*0.03</f>
        <v>0</v>
      </c>
      <c r="F1763" s="33" t="n">
        <v>0</v>
      </c>
      <c r="G1763" s="131"/>
      <c r="H1763" s="35" t="n">
        <v>0</v>
      </c>
      <c r="I1763" s="34" t="n">
        <f aca="false">+IF(E1763=0,0,E1763*0.03)</f>
        <v>0</v>
      </c>
      <c r="J1763" s="93"/>
      <c r="K1763" s="93"/>
      <c r="L1763" s="93"/>
      <c r="M1763" s="93"/>
      <c r="N1763" s="93"/>
      <c r="O1763" s="93"/>
      <c r="P1763" s="93"/>
      <c r="Q1763" s="93"/>
      <c r="R1763" s="93"/>
      <c r="S1763" s="93"/>
      <c r="T1763" s="93"/>
      <c r="U1763" s="93"/>
      <c r="V1763" s="93"/>
      <c r="W1763" s="93"/>
      <c r="X1763" s="93"/>
      <c r="Y1763" s="93"/>
      <c r="Z1763" s="93"/>
    </row>
    <row r="1764" customFormat="false" ht="16.4" hidden="false" customHeight="false" outlineLevel="0" collapsed="false">
      <c r="A1764" s="123" t="n">
        <v>45444</v>
      </c>
      <c r="B1764" s="31" t="s">
        <v>153</v>
      </c>
      <c r="C1764" s="129"/>
      <c r="D1764" s="129"/>
      <c r="E1764" s="19" t="n">
        <f aca="false">F1764*0.03</f>
        <v>0</v>
      </c>
      <c r="F1764" s="33" t="n">
        <v>0</v>
      </c>
      <c r="G1764" s="131"/>
      <c r="H1764" s="35" t="n">
        <v>0</v>
      </c>
      <c r="I1764" s="34" t="n">
        <f aca="false">+IF(E1764=0,0,E1764*0.03)</f>
        <v>0</v>
      </c>
      <c r="J1764" s="93"/>
      <c r="K1764" s="93"/>
      <c r="L1764" s="93"/>
      <c r="M1764" s="93"/>
      <c r="N1764" s="93"/>
      <c r="O1764" s="93"/>
      <c r="P1764" s="93"/>
      <c r="Q1764" s="93"/>
      <c r="R1764" s="93"/>
      <c r="S1764" s="93"/>
      <c r="T1764" s="93"/>
      <c r="U1764" s="93"/>
      <c r="V1764" s="93"/>
      <c r="W1764" s="93"/>
      <c r="X1764" s="93"/>
      <c r="Y1764" s="93"/>
      <c r="Z1764" s="93"/>
    </row>
    <row r="1765" customFormat="false" ht="16.4" hidden="false" customHeight="false" outlineLevel="0" collapsed="false">
      <c r="A1765" s="123" t="n">
        <v>45444</v>
      </c>
      <c r="B1765" s="31" t="s">
        <v>153</v>
      </c>
      <c r="C1765" s="129"/>
      <c r="D1765" s="129"/>
      <c r="E1765" s="19" t="n">
        <f aca="false">F1765*0.03</f>
        <v>0</v>
      </c>
      <c r="F1765" s="33" t="n">
        <v>0</v>
      </c>
      <c r="G1765" s="131"/>
      <c r="H1765" s="35" t="n">
        <v>0</v>
      </c>
      <c r="I1765" s="34" t="n">
        <f aca="false">+IF(E1765=0,0,E1765*0.03)</f>
        <v>0</v>
      </c>
      <c r="J1765" s="93"/>
      <c r="K1765" s="93"/>
      <c r="L1765" s="93"/>
      <c r="M1765" s="93"/>
      <c r="N1765" s="93"/>
      <c r="O1765" s="93"/>
      <c r="P1765" s="93"/>
      <c r="Q1765" s="93"/>
      <c r="R1765" s="93"/>
      <c r="S1765" s="93"/>
      <c r="T1765" s="93"/>
      <c r="U1765" s="93"/>
      <c r="V1765" s="93"/>
      <c r="W1765" s="93"/>
      <c r="X1765" s="93"/>
      <c r="Y1765" s="93"/>
      <c r="Z1765" s="93"/>
    </row>
    <row r="1766" customFormat="false" ht="16.4" hidden="false" customHeight="false" outlineLevel="0" collapsed="false">
      <c r="A1766" s="123" t="n">
        <v>45444</v>
      </c>
      <c r="B1766" s="31" t="s">
        <v>153</v>
      </c>
      <c r="C1766" s="129"/>
      <c r="D1766" s="129"/>
      <c r="E1766" s="19" t="n">
        <f aca="false">F1766*0.03</f>
        <v>0</v>
      </c>
      <c r="F1766" s="33" t="n">
        <v>0</v>
      </c>
      <c r="G1766" s="131"/>
      <c r="H1766" s="35" t="n">
        <v>0</v>
      </c>
      <c r="I1766" s="34" t="n">
        <f aca="false">+IF(E1766=0,0,E1766*0.03)</f>
        <v>0</v>
      </c>
      <c r="J1766" s="93"/>
      <c r="K1766" s="93"/>
      <c r="L1766" s="93"/>
      <c r="M1766" s="93"/>
      <c r="N1766" s="93"/>
      <c r="O1766" s="93"/>
      <c r="P1766" s="93"/>
      <c r="Q1766" s="93"/>
      <c r="R1766" s="93"/>
      <c r="S1766" s="93"/>
      <c r="T1766" s="93"/>
      <c r="U1766" s="93"/>
      <c r="V1766" s="93"/>
      <c r="W1766" s="93"/>
      <c r="X1766" s="93"/>
      <c r="Y1766" s="93"/>
      <c r="Z1766" s="93"/>
    </row>
    <row r="1767" customFormat="false" ht="16.4" hidden="false" customHeight="false" outlineLevel="0" collapsed="false">
      <c r="A1767" s="123" t="n">
        <v>45444</v>
      </c>
      <c r="B1767" s="31" t="s">
        <v>153</v>
      </c>
      <c r="C1767" s="129"/>
      <c r="D1767" s="129"/>
      <c r="E1767" s="19" t="n">
        <f aca="false">F1767*0.03</f>
        <v>0</v>
      </c>
      <c r="F1767" s="33" t="n">
        <v>0</v>
      </c>
      <c r="G1767" s="131"/>
      <c r="H1767" s="35" t="n">
        <v>0</v>
      </c>
      <c r="I1767" s="34" t="n">
        <f aca="false">+IF(E1767=0,0,E1767*0.03)</f>
        <v>0</v>
      </c>
      <c r="J1767" s="93"/>
      <c r="K1767" s="93"/>
      <c r="L1767" s="93"/>
      <c r="M1767" s="93"/>
      <c r="N1767" s="93"/>
      <c r="O1767" s="93"/>
      <c r="P1767" s="93"/>
      <c r="Q1767" s="93"/>
      <c r="R1767" s="93"/>
      <c r="S1767" s="93"/>
      <c r="T1767" s="93"/>
      <c r="U1767" s="93"/>
      <c r="V1767" s="93"/>
      <c r="W1767" s="93"/>
      <c r="X1767" s="93"/>
      <c r="Y1767" s="93"/>
      <c r="Z1767" s="93"/>
    </row>
    <row r="1768" customFormat="false" ht="16.4" hidden="false" customHeight="false" outlineLevel="0" collapsed="false">
      <c r="A1768" s="123" t="n">
        <v>45444</v>
      </c>
      <c r="B1768" s="31" t="s">
        <v>153</v>
      </c>
      <c r="C1768" s="129"/>
      <c r="D1768" s="129"/>
      <c r="E1768" s="19" t="n">
        <f aca="false">F1768*0.03</f>
        <v>0</v>
      </c>
      <c r="F1768" s="33" t="n">
        <v>0</v>
      </c>
      <c r="G1768" s="131"/>
      <c r="H1768" s="35" t="n">
        <v>0</v>
      </c>
      <c r="I1768" s="34" t="n">
        <f aca="false">+IF(E1768=0,0,E1768*0.03)</f>
        <v>0</v>
      </c>
      <c r="J1768" s="93"/>
      <c r="K1768" s="93"/>
      <c r="L1768" s="93"/>
      <c r="M1768" s="93"/>
      <c r="N1768" s="93"/>
      <c r="O1768" s="93"/>
      <c r="P1768" s="93"/>
      <c r="Q1768" s="93"/>
      <c r="R1768" s="93"/>
      <c r="S1768" s="93"/>
      <c r="T1768" s="93"/>
      <c r="U1768" s="93"/>
      <c r="V1768" s="93"/>
      <c r="W1768" s="93"/>
      <c r="X1768" s="93"/>
      <c r="Y1768" s="93"/>
      <c r="Z1768" s="93"/>
    </row>
    <row r="1769" customFormat="false" ht="16.4" hidden="false" customHeight="false" outlineLevel="0" collapsed="false">
      <c r="A1769" s="123" t="n">
        <v>45444</v>
      </c>
      <c r="B1769" s="31" t="s">
        <v>153</v>
      </c>
      <c r="C1769" s="129"/>
      <c r="D1769" s="129"/>
      <c r="E1769" s="19" t="n">
        <f aca="false">F1769*0.03</f>
        <v>0</v>
      </c>
      <c r="F1769" s="33" t="n">
        <v>0</v>
      </c>
      <c r="G1769" s="131"/>
      <c r="H1769" s="35" t="n">
        <v>0</v>
      </c>
      <c r="I1769" s="34" t="n">
        <f aca="false">+IF(E1769=0,0,E1769*0.03)</f>
        <v>0</v>
      </c>
      <c r="J1769" s="93"/>
      <c r="K1769" s="93"/>
      <c r="L1769" s="93"/>
      <c r="M1769" s="93"/>
      <c r="N1769" s="93"/>
      <c r="O1769" s="93"/>
      <c r="P1769" s="93"/>
      <c r="Q1769" s="93"/>
      <c r="R1769" s="93"/>
      <c r="S1769" s="93"/>
      <c r="T1769" s="93"/>
      <c r="U1769" s="93"/>
      <c r="V1769" s="93"/>
      <c r="W1769" s="93"/>
      <c r="X1769" s="93"/>
      <c r="Y1769" s="93"/>
      <c r="Z1769" s="93"/>
    </row>
    <row r="1770" customFormat="false" ht="16.4" hidden="false" customHeight="false" outlineLevel="0" collapsed="false">
      <c r="A1770" s="123" t="n">
        <v>45444</v>
      </c>
      <c r="B1770" s="31" t="s">
        <v>153</v>
      </c>
      <c r="C1770" s="129"/>
      <c r="D1770" s="129"/>
      <c r="E1770" s="19" t="n">
        <f aca="false">F1770*0.03</f>
        <v>0</v>
      </c>
      <c r="F1770" s="33" t="n">
        <v>0</v>
      </c>
      <c r="G1770" s="131"/>
      <c r="H1770" s="35" t="n">
        <v>0</v>
      </c>
      <c r="I1770" s="34" t="n">
        <f aca="false">+IF(E1770=0,0,E1770*0.03)</f>
        <v>0</v>
      </c>
      <c r="J1770" s="93"/>
      <c r="K1770" s="93"/>
      <c r="L1770" s="93"/>
      <c r="M1770" s="93"/>
      <c r="N1770" s="93"/>
      <c r="O1770" s="93"/>
      <c r="P1770" s="93"/>
      <c r="Q1770" s="93"/>
      <c r="R1770" s="93"/>
      <c r="S1770" s="93"/>
      <c r="T1770" s="93"/>
      <c r="U1770" s="93"/>
      <c r="V1770" s="93"/>
      <c r="W1770" s="93"/>
      <c r="X1770" s="93"/>
      <c r="Y1770" s="93"/>
      <c r="Z1770" s="93"/>
    </row>
    <row r="1771" customFormat="false" ht="16.4" hidden="false" customHeight="false" outlineLevel="0" collapsed="false">
      <c r="A1771" s="123" t="n">
        <v>45444</v>
      </c>
      <c r="B1771" s="31" t="s">
        <v>153</v>
      </c>
      <c r="C1771" s="129"/>
      <c r="D1771" s="129"/>
      <c r="E1771" s="19" t="n">
        <f aca="false">F1771*0.03</f>
        <v>0</v>
      </c>
      <c r="F1771" s="33" t="n">
        <v>0</v>
      </c>
      <c r="G1771" s="131"/>
      <c r="H1771" s="35" t="n">
        <v>0</v>
      </c>
      <c r="I1771" s="34" t="n">
        <f aca="false">+IF(E1771=0,0,E1771*0.03)</f>
        <v>0</v>
      </c>
      <c r="J1771" s="93"/>
      <c r="K1771" s="93"/>
      <c r="L1771" s="93"/>
      <c r="M1771" s="93"/>
      <c r="N1771" s="93"/>
      <c r="O1771" s="93"/>
      <c r="P1771" s="93"/>
      <c r="Q1771" s="93"/>
      <c r="R1771" s="93"/>
      <c r="S1771" s="93"/>
      <c r="T1771" s="93"/>
      <c r="U1771" s="93"/>
      <c r="V1771" s="93"/>
      <c r="W1771" s="93"/>
      <c r="X1771" s="93"/>
      <c r="Y1771" s="93"/>
      <c r="Z1771" s="93"/>
    </row>
    <row r="1772" customFormat="false" ht="16.4" hidden="false" customHeight="false" outlineLevel="0" collapsed="false">
      <c r="A1772" s="123" t="n">
        <v>45444</v>
      </c>
      <c r="B1772" s="31" t="s">
        <v>153</v>
      </c>
      <c r="C1772" s="129"/>
      <c r="D1772" s="129"/>
      <c r="E1772" s="19" t="n">
        <f aca="false">F1772*0.03</f>
        <v>0</v>
      </c>
      <c r="F1772" s="33" t="n">
        <v>0</v>
      </c>
      <c r="G1772" s="131"/>
      <c r="H1772" s="35" t="n">
        <v>0</v>
      </c>
      <c r="I1772" s="34" t="n">
        <f aca="false">+IF(E1772=0,0,E1772*0.03)</f>
        <v>0</v>
      </c>
      <c r="J1772" s="93"/>
      <c r="K1772" s="93"/>
      <c r="L1772" s="93"/>
      <c r="M1772" s="93"/>
      <c r="N1772" s="93"/>
      <c r="O1772" s="93"/>
      <c r="P1772" s="93"/>
      <c r="Q1772" s="93"/>
      <c r="R1772" s="93"/>
      <c r="S1772" s="93"/>
      <c r="T1772" s="93"/>
      <c r="U1772" s="93"/>
      <c r="V1772" s="93"/>
      <c r="W1772" s="93"/>
      <c r="X1772" s="93"/>
      <c r="Y1772" s="93"/>
      <c r="Z1772" s="93"/>
    </row>
    <row r="1773" customFormat="false" ht="16.4" hidden="false" customHeight="false" outlineLevel="0" collapsed="false">
      <c r="A1773" s="123" t="n">
        <v>45444</v>
      </c>
      <c r="B1773" s="31" t="s">
        <v>153</v>
      </c>
      <c r="C1773" s="129"/>
      <c r="D1773" s="129"/>
      <c r="E1773" s="19" t="n">
        <f aca="false">F1773*0.03</f>
        <v>0</v>
      </c>
      <c r="F1773" s="33" t="n">
        <v>0</v>
      </c>
      <c r="G1773" s="131"/>
      <c r="H1773" s="35" t="n">
        <v>0</v>
      </c>
      <c r="I1773" s="34" t="n">
        <f aca="false">+IF(E1773=0,0,E1773*0.03)</f>
        <v>0</v>
      </c>
      <c r="J1773" s="93"/>
      <c r="K1773" s="93"/>
      <c r="L1773" s="93"/>
      <c r="M1773" s="93"/>
      <c r="N1773" s="93"/>
      <c r="O1773" s="93"/>
      <c r="P1773" s="93"/>
      <c r="Q1773" s="93"/>
      <c r="R1773" s="93"/>
      <c r="S1773" s="93"/>
      <c r="T1773" s="93"/>
      <c r="U1773" s="93"/>
      <c r="V1773" s="93"/>
      <c r="W1773" s="93"/>
      <c r="X1773" s="93"/>
      <c r="Y1773" s="93"/>
      <c r="Z1773" s="93"/>
    </row>
    <row r="1774" customFormat="false" ht="16.4" hidden="false" customHeight="false" outlineLevel="0" collapsed="false">
      <c r="A1774" s="123" t="n">
        <v>45444</v>
      </c>
      <c r="B1774" s="31" t="s">
        <v>153</v>
      </c>
      <c r="C1774" s="129"/>
      <c r="D1774" s="129"/>
      <c r="E1774" s="19" t="n">
        <f aca="false">F1774*0.03</f>
        <v>0</v>
      </c>
      <c r="F1774" s="33" t="n">
        <v>0</v>
      </c>
      <c r="G1774" s="131"/>
      <c r="H1774" s="35" t="n">
        <v>0</v>
      </c>
      <c r="I1774" s="34" t="n">
        <f aca="false">+IF(E1774=0,0,E1774*0.03)</f>
        <v>0</v>
      </c>
      <c r="J1774" s="93"/>
      <c r="K1774" s="93"/>
      <c r="L1774" s="93"/>
      <c r="M1774" s="93"/>
      <c r="N1774" s="93"/>
      <c r="O1774" s="93"/>
      <c r="P1774" s="93"/>
      <c r="Q1774" s="93"/>
      <c r="R1774" s="93"/>
      <c r="S1774" s="93"/>
      <c r="T1774" s="93"/>
      <c r="U1774" s="93"/>
      <c r="V1774" s="93"/>
      <c r="W1774" s="93"/>
      <c r="X1774" s="93"/>
      <c r="Y1774" s="93"/>
      <c r="Z1774" s="93"/>
    </row>
    <row r="1775" customFormat="false" ht="16.4" hidden="false" customHeight="false" outlineLevel="0" collapsed="false">
      <c r="A1775" s="123" t="n">
        <v>45444</v>
      </c>
      <c r="B1775" s="31" t="s">
        <v>153</v>
      </c>
      <c r="C1775" s="129"/>
      <c r="D1775" s="129"/>
      <c r="E1775" s="19" t="n">
        <f aca="false">F1775*0.03</f>
        <v>0</v>
      </c>
      <c r="F1775" s="33" t="n">
        <v>0</v>
      </c>
      <c r="G1775" s="131"/>
      <c r="H1775" s="35" t="n">
        <v>0</v>
      </c>
      <c r="I1775" s="34" t="n">
        <f aca="false">+IF(E1775=0,0,E1775*0.03)</f>
        <v>0</v>
      </c>
      <c r="J1775" s="93"/>
      <c r="K1775" s="93"/>
      <c r="L1775" s="93"/>
      <c r="M1775" s="93"/>
      <c r="N1775" s="93"/>
      <c r="O1775" s="93"/>
      <c r="P1775" s="93"/>
      <c r="Q1775" s="93"/>
      <c r="R1775" s="93"/>
      <c r="S1775" s="93"/>
      <c r="T1775" s="93"/>
      <c r="U1775" s="93"/>
      <c r="V1775" s="93"/>
      <c r="W1775" s="93"/>
      <c r="X1775" s="93"/>
      <c r="Y1775" s="93"/>
      <c r="Z1775" s="93"/>
    </row>
    <row r="1776" customFormat="false" ht="16.4" hidden="false" customHeight="false" outlineLevel="0" collapsed="false">
      <c r="A1776" s="123" t="n">
        <v>45444</v>
      </c>
      <c r="B1776" s="31" t="s">
        <v>153</v>
      </c>
      <c r="C1776" s="129"/>
      <c r="D1776" s="129"/>
      <c r="E1776" s="19" t="n">
        <f aca="false">F1776*0.03</f>
        <v>0</v>
      </c>
      <c r="F1776" s="33" t="n">
        <v>0</v>
      </c>
      <c r="G1776" s="131"/>
      <c r="H1776" s="35" t="n">
        <v>0</v>
      </c>
      <c r="I1776" s="34" t="n">
        <f aca="false">+IF(E1776=0,0,E1776*0.03)</f>
        <v>0</v>
      </c>
      <c r="J1776" s="93"/>
      <c r="K1776" s="93"/>
      <c r="L1776" s="93"/>
      <c r="M1776" s="93"/>
      <c r="N1776" s="93"/>
      <c r="O1776" s="93"/>
      <c r="P1776" s="93"/>
      <c r="Q1776" s="93"/>
      <c r="R1776" s="93"/>
      <c r="S1776" s="93"/>
      <c r="T1776" s="93"/>
      <c r="U1776" s="93"/>
      <c r="V1776" s="93"/>
      <c r="W1776" s="93"/>
      <c r="X1776" s="93"/>
      <c r="Y1776" s="93"/>
      <c r="Z1776" s="93"/>
    </row>
    <row r="1777" customFormat="false" ht="16.4" hidden="false" customHeight="false" outlineLevel="0" collapsed="false">
      <c r="A1777" s="123" t="n">
        <v>45444</v>
      </c>
      <c r="B1777" s="31" t="s">
        <v>153</v>
      </c>
      <c r="C1777" s="129"/>
      <c r="D1777" s="129"/>
      <c r="E1777" s="19" t="n">
        <f aca="false">F1777*0.03</f>
        <v>0</v>
      </c>
      <c r="F1777" s="33" t="n">
        <v>0</v>
      </c>
      <c r="G1777" s="131"/>
      <c r="H1777" s="35" t="n">
        <v>0</v>
      </c>
      <c r="I1777" s="34" t="n">
        <f aca="false">+IF(E1777=0,0,E1777*0.03)</f>
        <v>0</v>
      </c>
      <c r="J1777" s="93"/>
      <c r="K1777" s="93"/>
      <c r="L1777" s="93"/>
      <c r="M1777" s="93"/>
      <c r="N1777" s="93"/>
      <c r="O1777" s="93"/>
      <c r="P1777" s="93"/>
      <c r="Q1777" s="93"/>
      <c r="R1777" s="93"/>
      <c r="S1777" s="93"/>
      <c r="T1777" s="93"/>
      <c r="U1777" s="93"/>
      <c r="V1777" s="93"/>
      <c r="W1777" s="93"/>
      <c r="X1777" s="93"/>
      <c r="Y1777" s="93"/>
      <c r="Z1777" s="93"/>
    </row>
    <row r="1778" customFormat="false" ht="16.4" hidden="false" customHeight="false" outlineLevel="0" collapsed="false">
      <c r="A1778" s="123" t="n">
        <v>45444</v>
      </c>
      <c r="B1778" s="31" t="s">
        <v>153</v>
      </c>
      <c r="C1778" s="129"/>
      <c r="D1778" s="129"/>
      <c r="E1778" s="19" t="n">
        <f aca="false">F1778*0.03</f>
        <v>0</v>
      </c>
      <c r="F1778" s="33" t="n">
        <v>0</v>
      </c>
      <c r="G1778" s="131"/>
      <c r="H1778" s="35" t="n">
        <v>0</v>
      </c>
      <c r="I1778" s="34" t="n">
        <f aca="false">+IF(E1778=0,0,E1778*0.03)</f>
        <v>0</v>
      </c>
      <c r="J1778" s="93"/>
      <c r="K1778" s="93"/>
      <c r="L1778" s="93"/>
      <c r="M1778" s="93"/>
      <c r="N1778" s="93"/>
      <c r="O1778" s="93"/>
      <c r="P1778" s="93"/>
      <c r="Q1778" s="93"/>
      <c r="R1778" s="93"/>
      <c r="S1778" s="93"/>
      <c r="T1778" s="93"/>
      <c r="U1778" s="93"/>
      <c r="V1778" s="93"/>
      <c r="W1778" s="93"/>
      <c r="X1778" s="93"/>
      <c r="Y1778" s="93"/>
      <c r="Z1778" s="93"/>
    </row>
    <row r="1779" customFormat="false" ht="16.4" hidden="false" customHeight="false" outlineLevel="0" collapsed="false">
      <c r="A1779" s="123" t="n">
        <v>45444</v>
      </c>
      <c r="B1779" s="31" t="s">
        <v>153</v>
      </c>
      <c r="C1779" s="129"/>
      <c r="D1779" s="129"/>
      <c r="E1779" s="19" t="n">
        <f aca="false">F1779*0.03</f>
        <v>0</v>
      </c>
      <c r="F1779" s="33" t="n">
        <v>0</v>
      </c>
      <c r="G1779" s="131"/>
      <c r="H1779" s="35" t="n">
        <v>0</v>
      </c>
      <c r="I1779" s="34" t="n">
        <f aca="false">+IF(E1779=0,0,E1779*0.03)</f>
        <v>0</v>
      </c>
      <c r="J1779" s="93"/>
      <c r="K1779" s="93"/>
      <c r="L1779" s="93"/>
      <c r="M1779" s="93"/>
      <c r="N1779" s="93"/>
      <c r="O1779" s="93"/>
      <c r="P1779" s="93"/>
      <c r="Q1779" s="93"/>
      <c r="R1779" s="93"/>
      <c r="S1779" s="93"/>
      <c r="T1779" s="93"/>
      <c r="U1779" s="93"/>
      <c r="V1779" s="93"/>
      <c r="W1779" s="93"/>
      <c r="X1779" s="93"/>
      <c r="Y1779" s="93"/>
      <c r="Z1779" s="93"/>
    </row>
    <row r="1780" customFormat="false" ht="16.4" hidden="false" customHeight="false" outlineLevel="0" collapsed="false">
      <c r="A1780" s="123" t="n">
        <v>45444</v>
      </c>
      <c r="B1780" s="31" t="s">
        <v>153</v>
      </c>
      <c r="C1780" s="129"/>
      <c r="D1780" s="129"/>
      <c r="E1780" s="19" t="n">
        <f aca="false">F1780*0.03</f>
        <v>0</v>
      </c>
      <c r="F1780" s="33" t="n">
        <v>0</v>
      </c>
      <c r="G1780" s="131"/>
      <c r="H1780" s="35" t="n">
        <v>0</v>
      </c>
      <c r="I1780" s="34" t="n">
        <f aca="false">+IF(E1780=0,0,E1780*0.03)</f>
        <v>0</v>
      </c>
      <c r="J1780" s="93"/>
      <c r="K1780" s="93"/>
      <c r="L1780" s="93"/>
      <c r="M1780" s="93"/>
      <c r="N1780" s="93"/>
      <c r="O1780" s="93"/>
      <c r="P1780" s="93"/>
      <c r="Q1780" s="93"/>
      <c r="R1780" s="93"/>
      <c r="S1780" s="93"/>
      <c r="T1780" s="93"/>
      <c r="U1780" s="93"/>
      <c r="V1780" s="93"/>
      <c r="W1780" s="93"/>
      <c r="X1780" s="93"/>
      <c r="Y1780" s="93"/>
      <c r="Z1780" s="93"/>
    </row>
    <row r="1781" customFormat="false" ht="16.4" hidden="false" customHeight="false" outlineLevel="0" collapsed="false">
      <c r="A1781" s="123" t="n">
        <v>45444</v>
      </c>
      <c r="B1781" s="31" t="s">
        <v>153</v>
      </c>
      <c r="C1781" s="129"/>
      <c r="D1781" s="129"/>
      <c r="E1781" s="19" t="n">
        <f aca="false">F1781*0.03</f>
        <v>0</v>
      </c>
      <c r="F1781" s="33" t="n">
        <v>0</v>
      </c>
      <c r="G1781" s="131"/>
      <c r="H1781" s="35" t="n">
        <v>0</v>
      </c>
      <c r="I1781" s="34" t="n">
        <f aca="false">+IF(E1781=0,0,E1781*0.03)</f>
        <v>0</v>
      </c>
      <c r="J1781" s="93"/>
      <c r="K1781" s="93"/>
      <c r="L1781" s="93"/>
      <c r="M1781" s="93"/>
      <c r="N1781" s="93"/>
      <c r="O1781" s="93"/>
      <c r="P1781" s="93"/>
      <c r="Q1781" s="93"/>
      <c r="R1781" s="93"/>
      <c r="S1781" s="93"/>
      <c r="T1781" s="93"/>
      <c r="U1781" s="93"/>
      <c r="V1781" s="93"/>
      <c r="W1781" s="93"/>
      <c r="X1781" s="93"/>
      <c r="Y1781" s="93"/>
      <c r="Z1781" s="93"/>
    </row>
    <row r="1782" customFormat="false" ht="16.4" hidden="false" customHeight="false" outlineLevel="0" collapsed="false">
      <c r="A1782" s="123" t="n">
        <v>45444</v>
      </c>
      <c r="B1782" s="31" t="s">
        <v>153</v>
      </c>
      <c r="C1782" s="129"/>
      <c r="D1782" s="129"/>
      <c r="E1782" s="19" t="n">
        <f aca="false">F1782*0.03</f>
        <v>0</v>
      </c>
      <c r="F1782" s="33" t="n">
        <v>0</v>
      </c>
      <c r="G1782" s="131"/>
      <c r="H1782" s="35" t="n">
        <v>0</v>
      </c>
      <c r="I1782" s="34" t="n">
        <f aca="false">+IF(E1782=0,0,E1782*0.03)</f>
        <v>0</v>
      </c>
      <c r="J1782" s="93"/>
      <c r="K1782" s="93"/>
      <c r="L1782" s="93"/>
      <c r="M1782" s="93"/>
      <c r="N1782" s="93"/>
      <c r="O1782" s="93"/>
      <c r="P1782" s="93"/>
      <c r="Q1782" s="93"/>
      <c r="R1782" s="93"/>
      <c r="S1782" s="93"/>
      <c r="T1782" s="93"/>
      <c r="U1782" s="93"/>
      <c r="V1782" s="93"/>
      <c r="W1782" s="93"/>
      <c r="X1782" s="93"/>
      <c r="Y1782" s="93"/>
      <c r="Z1782" s="93"/>
    </row>
    <row r="1783" customFormat="false" ht="16.4" hidden="false" customHeight="false" outlineLevel="0" collapsed="false">
      <c r="A1783" s="123" t="n">
        <v>45444</v>
      </c>
      <c r="B1783" s="31" t="s">
        <v>153</v>
      </c>
      <c r="C1783" s="129"/>
      <c r="D1783" s="129"/>
      <c r="E1783" s="19" t="n">
        <f aca="false">F1783*0.03</f>
        <v>0</v>
      </c>
      <c r="F1783" s="33" t="n">
        <v>0</v>
      </c>
      <c r="G1783" s="131"/>
      <c r="H1783" s="35" t="n">
        <v>0</v>
      </c>
      <c r="I1783" s="34" t="n">
        <f aca="false">+IF(E1783=0,0,E1783*0.03)</f>
        <v>0</v>
      </c>
      <c r="J1783" s="93"/>
      <c r="K1783" s="93"/>
      <c r="L1783" s="93"/>
      <c r="M1783" s="93"/>
      <c r="N1783" s="93"/>
      <c r="O1783" s="93"/>
      <c r="P1783" s="93"/>
      <c r="Q1783" s="93"/>
      <c r="R1783" s="93"/>
      <c r="S1783" s="93"/>
      <c r="T1783" s="93"/>
      <c r="U1783" s="93"/>
      <c r="V1783" s="93"/>
      <c r="W1783" s="93"/>
      <c r="X1783" s="93"/>
      <c r="Y1783" s="93"/>
      <c r="Z1783" s="93"/>
    </row>
    <row r="1784" customFormat="false" ht="16.4" hidden="false" customHeight="false" outlineLevel="0" collapsed="false">
      <c r="A1784" s="123" t="n">
        <v>45444</v>
      </c>
      <c r="B1784" s="31" t="s">
        <v>153</v>
      </c>
      <c r="C1784" s="129"/>
      <c r="D1784" s="129"/>
      <c r="E1784" s="19" t="n">
        <f aca="false">F1784*0.03</f>
        <v>0</v>
      </c>
      <c r="F1784" s="33" t="n">
        <v>0</v>
      </c>
      <c r="G1784" s="131"/>
      <c r="H1784" s="35" t="n">
        <v>0</v>
      </c>
      <c r="I1784" s="34" t="n">
        <f aca="false">+IF(E1784=0,0,E1784*0.03)</f>
        <v>0</v>
      </c>
      <c r="J1784" s="93"/>
      <c r="K1784" s="93"/>
      <c r="L1784" s="93"/>
      <c r="M1784" s="93"/>
      <c r="N1784" s="93"/>
      <c r="O1784" s="93"/>
      <c r="P1784" s="93"/>
      <c r="Q1784" s="93"/>
      <c r="R1784" s="93"/>
      <c r="S1784" s="93"/>
      <c r="T1784" s="93"/>
      <c r="U1784" s="93"/>
      <c r="V1784" s="93"/>
      <c r="W1784" s="93"/>
      <c r="X1784" s="93"/>
      <c r="Y1784" s="93"/>
      <c r="Z1784" s="93"/>
    </row>
    <row r="1785" customFormat="false" ht="16.4" hidden="false" customHeight="false" outlineLevel="0" collapsed="false">
      <c r="A1785" s="123" t="n">
        <v>45444</v>
      </c>
      <c r="B1785" s="31" t="s">
        <v>153</v>
      </c>
      <c r="C1785" s="129"/>
      <c r="D1785" s="129"/>
      <c r="E1785" s="19" t="n">
        <f aca="false">F1785*0.03</f>
        <v>0</v>
      </c>
      <c r="F1785" s="33" t="n">
        <v>0</v>
      </c>
      <c r="G1785" s="131"/>
      <c r="H1785" s="35" t="n">
        <v>0</v>
      </c>
      <c r="I1785" s="34" t="n">
        <f aca="false">+IF(E1785=0,0,E1785*0.03)</f>
        <v>0</v>
      </c>
      <c r="J1785" s="93"/>
      <c r="K1785" s="93"/>
      <c r="L1785" s="93"/>
      <c r="M1785" s="93"/>
      <c r="N1785" s="93"/>
      <c r="O1785" s="93"/>
      <c r="P1785" s="93"/>
      <c r="Q1785" s="93"/>
      <c r="R1785" s="93"/>
      <c r="S1785" s="93"/>
      <c r="T1785" s="93"/>
      <c r="U1785" s="93"/>
      <c r="V1785" s="93"/>
      <c r="W1785" s="93"/>
      <c r="X1785" s="93"/>
      <c r="Y1785" s="93"/>
      <c r="Z1785" s="93"/>
    </row>
    <row r="1786" customFormat="false" ht="16.4" hidden="false" customHeight="false" outlineLevel="0" collapsed="false">
      <c r="A1786" s="123" t="n">
        <v>45444</v>
      </c>
      <c r="B1786" s="31" t="s">
        <v>153</v>
      </c>
      <c r="C1786" s="129"/>
      <c r="D1786" s="129"/>
      <c r="E1786" s="19" t="n">
        <f aca="false">F1786*0.03</f>
        <v>0</v>
      </c>
      <c r="F1786" s="33" t="n">
        <v>0</v>
      </c>
      <c r="G1786" s="131"/>
      <c r="H1786" s="35" t="n">
        <v>0</v>
      </c>
      <c r="I1786" s="34" t="n">
        <f aca="false">+IF(E1786=0,0,E1786*0.03)</f>
        <v>0</v>
      </c>
      <c r="J1786" s="93"/>
      <c r="K1786" s="93"/>
      <c r="L1786" s="93"/>
      <c r="M1786" s="93"/>
      <c r="N1786" s="93"/>
      <c r="O1786" s="93"/>
      <c r="P1786" s="93"/>
      <c r="Q1786" s="93"/>
      <c r="R1786" s="93"/>
      <c r="S1786" s="93"/>
      <c r="T1786" s="93"/>
      <c r="U1786" s="93"/>
      <c r="V1786" s="93"/>
      <c r="W1786" s="93"/>
      <c r="X1786" s="93"/>
      <c r="Y1786" s="93"/>
      <c r="Z1786" s="93"/>
    </row>
    <row r="1787" customFormat="false" ht="16.4" hidden="false" customHeight="false" outlineLevel="0" collapsed="false">
      <c r="A1787" s="123" t="n">
        <v>45444</v>
      </c>
      <c r="B1787" s="31" t="s">
        <v>153</v>
      </c>
      <c r="C1787" s="129"/>
      <c r="D1787" s="129"/>
      <c r="E1787" s="19" t="n">
        <f aca="false">F1787*0.03</f>
        <v>0</v>
      </c>
      <c r="F1787" s="33" t="n">
        <v>0</v>
      </c>
      <c r="G1787" s="131"/>
      <c r="H1787" s="35" t="n">
        <v>0</v>
      </c>
      <c r="I1787" s="34" t="n">
        <f aca="false">+IF(E1787=0,0,E1787*0.03)</f>
        <v>0</v>
      </c>
      <c r="J1787" s="93"/>
      <c r="K1787" s="93"/>
      <c r="L1787" s="93"/>
      <c r="M1787" s="93"/>
      <c r="N1787" s="93"/>
      <c r="O1787" s="93"/>
      <c r="P1787" s="93"/>
      <c r="Q1787" s="93"/>
      <c r="R1787" s="93"/>
      <c r="S1787" s="93"/>
      <c r="T1787" s="93"/>
      <c r="U1787" s="93"/>
      <c r="V1787" s="93"/>
      <c r="W1787" s="93"/>
      <c r="X1787" s="93"/>
      <c r="Y1787" s="93"/>
      <c r="Z1787" s="93"/>
    </row>
    <row r="1788" customFormat="false" ht="16.4" hidden="false" customHeight="false" outlineLevel="0" collapsed="false">
      <c r="A1788" s="123" t="n">
        <v>45444</v>
      </c>
      <c r="B1788" s="31" t="s">
        <v>153</v>
      </c>
      <c r="C1788" s="129"/>
      <c r="D1788" s="129"/>
      <c r="E1788" s="19" t="n">
        <f aca="false">F1788*0.03</f>
        <v>0</v>
      </c>
      <c r="F1788" s="33" t="n">
        <v>0</v>
      </c>
      <c r="G1788" s="131"/>
      <c r="H1788" s="35" t="n">
        <v>0</v>
      </c>
      <c r="I1788" s="34" t="n">
        <f aca="false">+IF(E1788=0,0,E1788*0.03)</f>
        <v>0</v>
      </c>
      <c r="J1788" s="93"/>
      <c r="K1788" s="93"/>
      <c r="L1788" s="93"/>
      <c r="M1788" s="93"/>
      <c r="N1788" s="93"/>
      <c r="O1788" s="93"/>
      <c r="P1788" s="93"/>
      <c r="Q1788" s="93"/>
      <c r="R1788" s="93"/>
      <c r="S1788" s="93"/>
      <c r="T1788" s="93"/>
      <c r="U1788" s="93"/>
      <c r="V1788" s="93"/>
      <c r="W1788" s="93"/>
      <c r="X1788" s="93"/>
      <c r="Y1788" s="93"/>
      <c r="Z1788" s="93"/>
    </row>
    <row r="1789" customFormat="false" ht="16.4" hidden="false" customHeight="false" outlineLevel="0" collapsed="false">
      <c r="A1789" s="123" t="n">
        <v>45444</v>
      </c>
      <c r="B1789" s="31" t="s">
        <v>153</v>
      </c>
      <c r="C1789" s="129"/>
      <c r="D1789" s="129"/>
      <c r="E1789" s="19" t="n">
        <f aca="false">F1789*0.03</f>
        <v>0</v>
      </c>
      <c r="F1789" s="33" t="n">
        <v>0</v>
      </c>
      <c r="G1789" s="131"/>
      <c r="H1789" s="35" t="n">
        <v>0</v>
      </c>
      <c r="I1789" s="34" t="n">
        <f aca="false">+IF(E1789=0,0,E1789*0.03)</f>
        <v>0</v>
      </c>
      <c r="J1789" s="93"/>
      <c r="K1789" s="93"/>
      <c r="L1789" s="93"/>
      <c r="M1789" s="93"/>
      <c r="N1789" s="93"/>
      <c r="O1789" s="93"/>
      <c r="P1789" s="93"/>
      <c r="Q1789" s="93"/>
      <c r="R1789" s="93"/>
      <c r="S1789" s="93"/>
      <c r="T1789" s="93"/>
      <c r="U1789" s="93"/>
      <c r="V1789" s="93"/>
      <c r="W1789" s="93"/>
      <c r="X1789" s="93"/>
      <c r="Y1789" s="93"/>
      <c r="Z1789" s="93"/>
    </row>
    <row r="1790" customFormat="false" ht="16.4" hidden="false" customHeight="false" outlineLevel="0" collapsed="false">
      <c r="A1790" s="123" t="n">
        <v>45444</v>
      </c>
      <c r="B1790" s="31" t="s">
        <v>153</v>
      </c>
      <c r="C1790" s="129"/>
      <c r="D1790" s="129"/>
      <c r="E1790" s="19" t="n">
        <f aca="false">F1790*0.03</f>
        <v>0</v>
      </c>
      <c r="F1790" s="33" t="n">
        <v>0</v>
      </c>
      <c r="G1790" s="131"/>
      <c r="H1790" s="35" t="n">
        <v>0</v>
      </c>
      <c r="I1790" s="34" t="n">
        <f aca="false">+IF(E1790=0,0,E1790*0.03)</f>
        <v>0</v>
      </c>
      <c r="J1790" s="93"/>
      <c r="K1790" s="93"/>
      <c r="L1790" s="93"/>
      <c r="M1790" s="93"/>
      <c r="N1790" s="93"/>
      <c r="O1790" s="93"/>
      <c r="P1790" s="93"/>
      <c r="Q1790" s="93"/>
      <c r="R1790" s="93"/>
      <c r="S1790" s="93"/>
      <c r="T1790" s="93"/>
      <c r="U1790" s="93"/>
      <c r="V1790" s="93"/>
      <c r="W1790" s="93"/>
      <c r="X1790" s="93"/>
      <c r="Y1790" s="93"/>
      <c r="Z1790" s="93"/>
    </row>
    <row r="1791" customFormat="false" ht="16.4" hidden="false" customHeight="false" outlineLevel="0" collapsed="false">
      <c r="A1791" s="123" t="n">
        <v>45444</v>
      </c>
      <c r="B1791" s="31" t="s">
        <v>153</v>
      </c>
      <c r="C1791" s="129"/>
      <c r="D1791" s="129"/>
      <c r="E1791" s="19" t="n">
        <f aca="false">F1791*0.03</f>
        <v>0</v>
      </c>
      <c r="F1791" s="33" t="n">
        <v>0</v>
      </c>
      <c r="G1791" s="131"/>
      <c r="H1791" s="35" t="n">
        <v>0</v>
      </c>
      <c r="I1791" s="34" t="n">
        <f aca="false">+IF(E1791=0,0,E1791*0.03)</f>
        <v>0</v>
      </c>
      <c r="J1791" s="93"/>
      <c r="K1791" s="93"/>
      <c r="L1791" s="93"/>
      <c r="M1791" s="93"/>
      <c r="N1791" s="93"/>
      <c r="O1791" s="93"/>
      <c r="P1791" s="93"/>
      <c r="Q1791" s="93"/>
      <c r="R1791" s="93"/>
      <c r="S1791" s="93"/>
      <c r="T1791" s="93"/>
      <c r="U1791" s="93"/>
      <c r="V1791" s="93"/>
      <c r="W1791" s="93"/>
      <c r="X1791" s="93"/>
      <c r="Y1791" s="93"/>
      <c r="Z1791" s="93"/>
    </row>
    <row r="1792" customFormat="false" ht="16.4" hidden="false" customHeight="false" outlineLevel="0" collapsed="false">
      <c r="A1792" s="123" t="n">
        <v>45444</v>
      </c>
      <c r="B1792" s="31" t="s">
        <v>153</v>
      </c>
      <c r="C1792" s="129"/>
      <c r="D1792" s="129"/>
      <c r="E1792" s="19" t="n">
        <f aca="false">F1792*0.03</f>
        <v>0</v>
      </c>
      <c r="F1792" s="33" t="n">
        <v>0</v>
      </c>
      <c r="G1792" s="131"/>
      <c r="H1792" s="35" t="n">
        <v>0</v>
      </c>
      <c r="I1792" s="34" t="n">
        <f aca="false">+IF(E1792=0,0,E1792*0.03)</f>
        <v>0</v>
      </c>
      <c r="J1792" s="93"/>
      <c r="K1792" s="93"/>
      <c r="L1792" s="93"/>
      <c r="M1792" s="93"/>
      <c r="N1792" s="93"/>
      <c r="O1792" s="93"/>
      <c r="P1792" s="93"/>
      <c r="Q1792" s="93"/>
      <c r="R1792" s="93"/>
      <c r="S1792" s="93"/>
      <c r="T1792" s="93"/>
      <c r="U1792" s="93"/>
      <c r="V1792" s="93"/>
      <c r="W1792" s="93"/>
      <c r="X1792" s="93"/>
      <c r="Y1792" s="93"/>
      <c r="Z1792" s="93"/>
    </row>
    <row r="1793" customFormat="false" ht="16.4" hidden="false" customHeight="false" outlineLevel="0" collapsed="false">
      <c r="A1793" s="123" t="n">
        <v>45444</v>
      </c>
      <c r="B1793" s="31" t="s">
        <v>153</v>
      </c>
      <c r="C1793" s="129"/>
      <c r="D1793" s="129"/>
      <c r="E1793" s="19" t="n">
        <f aca="false">F1793*0.03</f>
        <v>0</v>
      </c>
      <c r="F1793" s="33" t="n">
        <v>0</v>
      </c>
      <c r="G1793" s="131"/>
      <c r="H1793" s="35" t="n">
        <v>0</v>
      </c>
      <c r="I1793" s="34" t="n">
        <f aca="false">+IF(E1793=0,0,E1793*0.03)</f>
        <v>0</v>
      </c>
      <c r="J1793" s="93"/>
      <c r="K1793" s="93"/>
      <c r="L1793" s="93"/>
      <c r="M1793" s="93"/>
      <c r="N1793" s="93"/>
      <c r="O1793" s="93"/>
      <c r="P1793" s="93"/>
      <c r="Q1793" s="93"/>
      <c r="R1793" s="93"/>
      <c r="S1793" s="93"/>
      <c r="T1793" s="93"/>
      <c r="U1793" s="93"/>
      <c r="V1793" s="93"/>
      <c r="W1793" s="93"/>
      <c r="X1793" s="93"/>
      <c r="Y1793" s="93"/>
      <c r="Z1793" s="93"/>
    </row>
    <row r="1794" customFormat="false" ht="16.4" hidden="false" customHeight="false" outlineLevel="0" collapsed="false">
      <c r="A1794" s="123" t="n">
        <v>45444</v>
      </c>
      <c r="B1794" s="31" t="s">
        <v>153</v>
      </c>
      <c r="C1794" s="129"/>
      <c r="D1794" s="129"/>
      <c r="E1794" s="19" t="n">
        <f aca="false">F1794*0.03</f>
        <v>0</v>
      </c>
      <c r="F1794" s="33" t="n">
        <v>0</v>
      </c>
      <c r="G1794" s="131"/>
      <c r="H1794" s="35" t="n">
        <v>0</v>
      </c>
      <c r="I1794" s="34" t="n">
        <f aca="false">+IF(E1794=0,0,E1794*0.03)</f>
        <v>0</v>
      </c>
      <c r="J1794" s="93"/>
      <c r="K1794" s="93"/>
      <c r="L1794" s="93"/>
      <c r="M1794" s="93"/>
      <c r="N1794" s="93"/>
      <c r="O1794" s="93"/>
      <c r="P1794" s="93"/>
      <c r="Q1794" s="93"/>
      <c r="R1794" s="93"/>
      <c r="S1794" s="93"/>
      <c r="T1794" s="93"/>
      <c r="U1794" s="93"/>
      <c r="V1794" s="93"/>
      <c r="W1794" s="93"/>
      <c r="X1794" s="93"/>
      <c r="Y1794" s="93"/>
      <c r="Z1794" s="93"/>
    </row>
    <row r="1795" customFormat="false" ht="16.4" hidden="false" customHeight="false" outlineLevel="0" collapsed="false">
      <c r="A1795" s="123" t="n">
        <v>45444</v>
      </c>
      <c r="B1795" s="31" t="s">
        <v>153</v>
      </c>
      <c r="C1795" s="129"/>
      <c r="D1795" s="129"/>
      <c r="E1795" s="19" t="n">
        <f aca="false">F1795*0.03</f>
        <v>0</v>
      </c>
      <c r="F1795" s="33" t="n">
        <v>0</v>
      </c>
      <c r="G1795" s="131"/>
      <c r="H1795" s="35" t="n">
        <v>0</v>
      </c>
      <c r="I1795" s="34" t="n">
        <f aca="false">+IF(E1795=0,0,E1795*0.03)</f>
        <v>0</v>
      </c>
      <c r="J1795" s="93"/>
      <c r="K1795" s="93"/>
      <c r="L1795" s="93"/>
      <c r="M1795" s="93"/>
      <c r="N1795" s="93"/>
      <c r="O1795" s="93"/>
      <c r="P1795" s="93"/>
      <c r="Q1795" s="93"/>
      <c r="R1795" s="93"/>
      <c r="S1795" s="93"/>
      <c r="T1795" s="93"/>
      <c r="U1795" s="93"/>
      <c r="V1795" s="93"/>
      <c r="W1795" s="93"/>
      <c r="X1795" s="93"/>
      <c r="Y1795" s="93"/>
      <c r="Z1795" s="93"/>
    </row>
    <row r="1796" customFormat="false" ht="16.4" hidden="false" customHeight="false" outlineLevel="0" collapsed="false">
      <c r="A1796" s="123" t="n">
        <v>45444</v>
      </c>
      <c r="B1796" s="31" t="s">
        <v>153</v>
      </c>
      <c r="C1796" s="129"/>
      <c r="D1796" s="129"/>
      <c r="E1796" s="19" t="n">
        <f aca="false">F1796*0.03</f>
        <v>0</v>
      </c>
      <c r="F1796" s="33" t="n">
        <v>0</v>
      </c>
      <c r="G1796" s="131"/>
      <c r="H1796" s="35" t="n">
        <v>0</v>
      </c>
      <c r="I1796" s="34" t="n">
        <f aca="false">+IF(E1796=0,0,E1796*0.03)</f>
        <v>0</v>
      </c>
      <c r="J1796" s="93"/>
      <c r="K1796" s="93"/>
      <c r="L1796" s="93"/>
      <c r="M1796" s="93"/>
      <c r="N1796" s="93"/>
      <c r="O1796" s="93"/>
      <c r="P1796" s="93"/>
      <c r="Q1796" s="93"/>
      <c r="R1796" s="93"/>
      <c r="S1796" s="93"/>
      <c r="T1796" s="93"/>
      <c r="U1796" s="93"/>
      <c r="V1796" s="93"/>
      <c r="W1796" s="93"/>
      <c r="X1796" s="93"/>
      <c r="Y1796" s="93"/>
      <c r="Z1796" s="93"/>
    </row>
    <row r="1797" customFormat="false" ht="16.4" hidden="false" customHeight="false" outlineLevel="0" collapsed="false">
      <c r="A1797" s="123" t="n">
        <v>45444</v>
      </c>
      <c r="B1797" s="31" t="s">
        <v>153</v>
      </c>
      <c r="C1797" s="129"/>
      <c r="D1797" s="129"/>
      <c r="E1797" s="19" t="n">
        <f aca="false">F1797*0.03</f>
        <v>0</v>
      </c>
      <c r="F1797" s="33" t="n">
        <v>0</v>
      </c>
      <c r="G1797" s="131"/>
      <c r="H1797" s="35" t="n">
        <v>0</v>
      </c>
      <c r="I1797" s="34" t="n">
        <f aca="false">+IF(E1797=0,0,E1797*0.03)</f>
        <v>0</v>
      </c>
      <c r="J1797" s="93"/>
      <c r="K1797" s="93"/>
      <c r="L1797" s="93"/>
      <c r="M1797" s="93"/>
      <c r="N1797" s="93"/>
      <c r="O1797" s="93"/>
      <c r="P1797" s="93"/>
      <c r="Q1797" s="93"/>
      <c r="R1797" s="93"/>
      <c r="S1797" s="93"/>
      <c r="T1797" s="93"/>
      <c r="U1797" s="93"/>
      <c r="V1797" s="93"/>
      <c r="W1797" s="93"/>
      <c r="X1797" s="93"/>
      <c r="Y1797" s="93"/>
      <c r="Z1797" s="93"/>
    </row>
    <row r="1798" customFormat="false" ht="16.4" hidden="false" customHeight="false" outlineLevel="0" collapsed="false">
      <c r="A1798" s="123" t="n">
        <v>45444</v>
      </c>
      <c r="B1798" s="31" t="s">
        <v>153</v>
      </c>
      <c r="C1798" s="129"/>
      <c r="D1798" s="129"/>
      <c r="E1798" s="19" t="n">
        <f aca="false">F1798*0.03</f>
        <v>0</v>
      </c>
      <c r="F1798" s="33" t="n">
        <v>0</v>
      </c>
      <c r="G1798" s="131"/>
      <c r="H1798" s="35" t="n">
        <v>0</v>
      </c>
      <c r="I1798" s="34" t="n">
        <f aca="false">+IF(E1798=0,0,E1798*0.03)</f>
        <v>0</v>
      </c>
      <c r="J1798" s="93"/>
      <c r="K1798" s="93"/>
      <c r="L1798" s="93"/>
      <c r="M1798" s="93"/>
      <c r="N1798" s="93"/>
      <c r="O1798" s="93"/>
      <c r="P1798" s="93"/>
      <c r="Q1798" s="93"/>
      <c r="R1798" s="93"/>
      <c r="S1798" s="93"/>
      <c r="T1798" s="93"/>
      <c r="U1798" s="93"/>
      <c r="V1798" s="93"/>
      <c r="W1798" s="93"/>
      <c r="X1798" s="93"/>
      <c r="Y1798" s="93"/>
      <c r="Z1798" s="93"/>
    </row>
    <row r="1799" customFormat="false" ht="16.4" hidden="false" customHeight="false" outlineLevel="0" collapsed="false">
      <c r="A1799" s="123" t="n">
        <v>45444</v>
      </c>
      <c r="B1799" s="31" t="s">
        <v>153</v>
      </c>
      <c r="C1799" s="129"/>
      <c r="D1799" s="129"/>
      <c r="E1799" s="19" t="n">
        <f aca="false">F1799*0.03</f>
        <v>0</v>
      </c>
      <c r="F1799" s="33" t="n">
        <v>0</v>
      </c>
      <c r="G1799" s="131"/>
      <c r="H1799" s="35" t="n">
        <v>0</v>
      </c>
      <c r="I1799" s="34" t="n">
        <f aca="false">+IF(E1799=0,0,E1799*0.03)</f>
        <v>0</v>
      </c>
      <c r="J1799" s="93"/>
      <c r="K1799" s="93"/>
      <c r="L1799" s="93"/>
      <c r="M1799" s="93"/>
      <c r="N1799" s="93"/>
      <c r="O1799" s="93"/>
      <c r="P1799" s="93"/>
      <c r="Q1799" s="93"/>
      <c r="R1799" s="93"/>
      <c r="S1799" s="93"/>
      <c r="T1799" s="93"/>
      <c r="U1799" s="93"/>
      <c r="V1799" s="93"/>
      <c r="W1799" s="93"/>
      <c r="X1799" s="93"/>
      <c r="Y1799" s="93"/>
      <c r="Z1799" s="93"/>
    </row>
    <row r="1800" customFormat="false" ht="16.4" hidden="false" customHeight="false" outlineLevel="0" collapsed="false">
      <c r="A1800" s="123" t="n">
        <v>45444</v>
      </c>
      <c r="B1800" s="31" t="s">
        <v>153</v>
      </c>
      <c r="C1800" s="129"/>
      <c r="D1800" s="129"/>
      <c r="E1800" s="19" t="n">
        <f aca="false">F1800*0.03</f>
        <v>0</v>
      </c>
      <c r="F1800" s="33" t="n">
        <v>0</v>
      </c>
      <c r="G1800" s="131"/>
      <c r="H1800" s="35" t="n">
        <v>0</v>
      </c>
      <c r="I1800" s="34" t="n">
        <f aca="false">+IF(E1800=0,0,E1800*0.03)</f>
        <v>0</v>
      </c>
      <c r="J1800" s="93"/>
      <c r="K1800" s="93"/>
      <c r="L1800" s="93"/>
      <c r="M1800" s="93"/>
      <c r="N1800" s="93"/>
      <c r="O1800" s="93"/>
      <c r="P1800" s="93"/>
      <c r="Q1800" s="93"/>
      <c r="R1800" s="93"/>
      <c r="S1800" s="93"/>
      <c r="T1800" s="93"/>
      <c r="U1800" s="93"/>
      <c r="V1800" s="93"/>
      <c r="W1800" s="93"/>
      <c r="X1800" s="93"/>
      <c r="Y1800" s="93"/>
      <c r="Z1800" s="93"/>
    </row>
    <row r="1801" customFormat="false" ht="16.4" hidden="false" customHeight="false" outlineLevel="0" collapsed="false">
      <c r="A1801" s="123" t="n">
        <v>45444</v>
      </c>
      <c r="B1801" s="31" t="s">
        <v>153</v>
      </c>
      <c r="C1801" s="129"/>
      <c r="D1801" s="129"/>
      <c r="E1801" s="19" t="n">
        <f aca="false">F1801*0.03</f>
        <v>0</v>
      </c>
      <c r="F1801" s="33" t="n">
        <v>0</v>
      </c>
      <c r="G1801" s="131"/>
      <c r="H1801" s="35" t="n">
        <v>0</v>
      </c>
      <c r="I1801" s="34" t="n">
        <f aca="false">+IF(E1801=0,0,E1801*0.03)</f>
        <v>0</v>
      </c>
      <c r="J1801" s="93"/>
      <c r="K1801" s="93"/>
      <c r="L1801" s="93"/>
      <c r="M1801" s="93"/>
      <c r="N1801" s="93"/>
      <c r="O1801" s="93"/>
      <c r="P1801" s="93"/>
      <c r="Q1801" s="93"/>
      <c r="R1801" s="93"/>
      <c r="S1801" s="93"/>
      <c r="T1801" s="93"/>
      <c r="U1801" s="93"/>
      <c r="V1801" s="93"/>
      <c r="W1801" s="93"/>
      <c r="X1801" s="93"/>
      <c r="Y1801" s="93"/>
      <c r="Z1801" s="93"/>
    </row>
    <row r="1802" customFormat="false" ht="16.4" hidden="false" customHeight="false" outlineLevel="0" collapsed="false">
      <c r="A1802" s="123" t="n">
        <v>45444</v>
      </c>
      <c r="B1802" s="31" t="s">
        <v>153</v>
      </c>
      <c r="C1802" s="129"/>
      <c r="D1802" s="129"/>
      <c r="E1802" s="19" t="n">
        <f aca="false">F1802*0.03</f>
        <v>0</v>
      </c>
      <c r="F1802" s="33" t="n">
        <v>0</v>
      </c>
      <c r="G1802" s="131"/>
      <c r="H1802" s="35" t="n">
        <v>0</v>
      </c>
      <c r="I1802" s="34" t="n">
        <f aca="false">+IF(E1802=0,0,E1802*0.03)</f>
        <v>0</v>
      </c>
      <c r="J1802" s="93"/>
      <c r="K1802" s="93"/>
      <c r="L1802" s="93"/>
      <c r="M1802" s="93"/>
      <c r="N1802" s="93"/>
      <c r="O1802" s="93"/>
      <c r="P1802" s="93"/>
      <c r="Q1802" s="93"/>
      <c r="R1802" s="93"/>
      <c r="S1802" s="93"/>
      <c r="T1802" s="93"/>
      <c r="U1802" s="93"/>
      <c r="V1802" s="93"/>
      <c r="W1802" s="93"/>
      <c r="X1802" s="93"/>
      <c r="Y1802" s="93"/>
      <c r="Z1802" s="93"/>
    </row>
    <row r="1803" customFormat="false" ht="16.4" hidden="false" customHeight="false" outlineLevel="0" collapsed="false">
      <c r="A1803" s="123" t="n">
        <v>45444</v>
      </c>
      <c r="B1803" s="31" t="s">
        <v>153</v>
      </c>
      <c r="C1803" s="129"/>
      <c r="D1803" s="129"/>
      <c r="E1803" s="19" t="n">
        <f aca="false">F1803*0.03</f>
        <v>0</v>
      </c>
      <c r="F1803" s="33" t="n">
        <v>0</v>
      </c>
      <c r="G1803" s="131"/>
      <c r="H1803" s="35" t="n">
        <v>0</v>
      </c>
      <c r="I1803" s="34" t="n">
        <f aca="false">+IF(E1803=0,0,E1803*0.03)</f>
        <v>0</v>
      </c>
      <c r="J1803" s="93"/>
      <c r="K1803" s="93"/>
      <c r="L1803" s="93"/>
      <c r="M1803" s="93"/>
      <c r="N1803" s="93"/>
      <c r="O1803" s="93"/>
      <c r="P1803" s="93"/>
      <c r="Q1803" s="93"/>
      <c r="R1803" s="93"/>
      <c r="S1803" s="93"/>
      <c r="T1803" s="93"/>
      <c r="U1803" s="93"/>
      <c r="V1803" s="93"/>
      <c r="W1803" s="93"/>
      <c r="X1803" s="93"/>
      <c r="Y1803" s="93"/>
      <c r="Z1803" s="93"/>
    </row>
    <row r="1804" customFormat="false" ht="16.4" hidden="false" customHeight="false" outlineLevel="0" collapsed="false">
      <c r="A1804" s="123" t="n">
        <v>45444</v>
      </c>
      <c r="B1804" s="31" t="s">
        <v>153</v>
      </c>
      <c r="C1804" s="129"/>
      <c r="D1804" s="129"/>
      <c r="E1804" s="19" t="n">
        <f aca="false">F1804*0.03</f>
        <v>0</v>
      </c>
      <c r="F1804" s="33" t="n">
        <v>0</v>
      </c>
      <c r="G1804" s="131"/>
      <c r="H1804" s="35" t="n">
        <v>0</v>
      </c>
      <c r="I1804" s="34" t="n">
        <f aca="false">+IF(E1804=0,0,E1804*0.03)</f>
        <v>0</v>
      </c>
      <c r="J1804" s="93"/>
      <c r="K1804" s="93"/>
      <c r="L1804" s="93"/>
      <c r="M1804" s="93"/>
      <c r="N1804" s="93"/>
      <c r="O1804" s="93"/>
      <c r="P1804" s="93"/>
      <c r="Q1804" s="93"/>
      <c r="R1804" s="93"/>
      <c r="S1804" s="93"/>
      <c r="T1804" s="93"/>
      <c r="U1804" s="93"/>
      <c r="V1804" s="93"/>
      <c r="W1804" s="93"/>
      <c r="X1804" s="93"/>
      <c r="Y1804" s="93"/>
      <c r="Z1804" s="93"/>
    </row>
    <row r="1805" customFormat="false" ht="16.4" hidden="false" customHeight="false" outlineLevel="0" collapsed="false">
      <c r="A1805" s="123" t="n">
        <v>45444</v>
      </c>
      <c r="B1805" s="31" t="s">
        <v>153</v>
      </c>
      <c r="C1805" s="129"/>
      <c r="D1805" s="129"/>
      <c r="E1805" s="19" t="n">
        <f aca="false">F1805*0.03</f>
        <v>0</v>
      </c>
      <c r="F1805" s="33" t="n">
        <v>0</v>
      </c>
      <c r="G1805" s="131"/>
      <c r="H1805" s="35" t="n">
        <v>0</v>
      </c>
      <c r="I1805" s="34" t="n">
        <f aca="false">+IF(E1805=0,0,E1805*0.03)</f>
        <v>0</v>
      </c>
      <c r="J1805" s="93"/>
      <c r="K1805" s="93"/>
      <c r="L1805" s="93"/>
      <c r="M1805" s="93"/>
      <c r="N1805" s="93"/>
      <c r="O1805" s="93"/>
      <c r="P1805" s="93"/>
      <c r="Q1805" s="93"/>
      <c r="R1805" s="93"/>
      <c r="S1805" s="93"/>
      <c r="T1805" s="93"/>
      <c r="U1805" s="93"/>
      <c r="V1805" s="93"/>
      <c r="W1805" s="93"/>
      <c r="X1805" s="93"/>
      <c r="Y1805" s="93"/>
      <c r="Z1805" s="93"/>
    </row>
    <row r="1806" customFormat="false" ht="16.4" hidden="false" customHeight="false" outlineLevel="0" collapsed="false">
      <c r="A1806" s="123" t="n">
        <v>45444</v>
      </c>
      <c r="B1806" s="31" t="s">
        <v>153</v>
      </c>
      <c r="C1806" s="129"/>
      <c r="D1806" s="129"/>
      <c r="E1806" s="19" t="n">
        <f aca="false">F1806*0.03</f>
        <v>0</v>
      </c>
      <c r="F1806" s="33" t="n">
        <v>0</v>
      </c>
      <c r="G1806" s="131"/>
      <c r="H1806" s="35" t="n">
        <v>0</v>
      </c>
      <c r="I1806" s="34" t="n">
        <f aca="false">+IF(E1806=0,0,E1806*0.03)</f>
        <v>0</v>
      </c>
      <c r="J1806" s="93"/>
      <c r="K1806" s="93"/>
      <c r="L1806" s="93"/>
      <c r="M1806" s="93"/>
      <c r="N1806" s="93"/>
      <c r="O1806" s="93"/>
      <c r="P1806" s="93"/>
      <c r="Q1806" s="93"/>
      <c r="R1806" s="93"/>
      <c r="S1806" s="93"/>
      <c r="T1806" s="93"/>
      <c r="U1806" s="93"/>
      <c r="V1806" s="93"/>
      <c r="W1806" s="93"/>
      <c r="X1806" s="93"/>
      <c r="Y1806" s="93"/>
      <c r="Z1806" s="93"/>
    </row>
    <row r="1807" customFormat="false" ht="16.4" hidden="false" customHeight="false" outlineLevel="0" collapsed="false">
      <c r="A1807" s="123" t="n">
        <v>45444</v>
      </c>
      <c r="B1807" s="31" t="s">
        <v>153</v>
      </c>
      <c r="C1807" s="129"/>
      <c r="D1807" s="129"/>
      <c r="E1807" s="19" t="n">
        <f aca="false">F1807*0.03</f>
        <v>0</v>
      </c>
      <c r="F1807" s="33" t="n">
        <v>0</v>
      </c>
      <c r="G1807" s="131"/>
      <c r="H1807" s="35" t="n">
        <v>0</v>
      </c>
      <c r="I1807" s="34" t="n">
        <f aca="false">+IF(E1807=0,0,E1807*0.03)</f>
        <v>0</v>
      </c>
      <c r="J1807" s="93"/>
      <c r="K1807" s="93"/>
      <c r="L1807" s="93"/>
      <c r="M1807" s="93"/>
      <c r="N1807" s="93"/>
      <c r="O1807" s="93"/>
      <c r="P1807" s="93"/>
      <c r="Q1807" s="93"/>
      <c r="R1807" s="93"/>
      <c r="S1807" s="93"/>
      <c r="T1807" s="93"/>
      <c r="U1807" s="93"/>
      <c r="V1807" s="93"/>
      <c r="W1807" s="93"/>
      <c r="X1807" s="93"/>
      <c r="Y1807" s="93"/>
      <c r="Z1807" s="93"/>
    </row>
    <row r="1808" customFormat="false" ht="16.4" hidden="false" customHeight="false" outlineLevel="0" collapsed="false">
      <c r="A1808" s="123" t="n">
        <v>45444</v>
      </c>
      <c r="B1808" s="31" t="s">
        <v>153</v>
      </c>
      <c r="C1808" s="129"/>
      <c r="D1808" s="129"/>
      <c r="E1808" s="19" t="n">
        <f aca="false">F1808*0.03</f>
        <v>0</v>
      </c>
      <c r="F1808" s="33" t="n">
        <v>0</v>
      </c>
      <c r="G1808" s="131"/>
      <c r="H1808" s="35" t="n">
        <v>0</v>
      </c>
      <c r="I1808" s="34" t="n">
        <f aca="false">+IF(E1808=0,0,E1808*0.03)</f>
        <v>0</v>
      </c>
      <c r="J1808" s="93"/>
      <c r="K1808" s="93"/>
      <c r="L1808" s="93"/>
      <c r="M1808" s="93"/>
      <c r="N1808" s="93"/>
      <c r="O1808" s="93"/>
      <c r="P1808" s="93"/>
      <c r="Q1808" s="93"/>
      <c r="R1808" s="93"/>
      <c r="S1808" s="93"/>
      <c r="T1808" s="93"/>
      <c r="U1808" s="93"/>
      <c r="V1808" s="93"/>
      <c r="W1808" s="93"/>
      <c r="X1808" s="93"/>
      <c r="Y1808" s="93"/>
      <c r="Z1808" s="93"/>
    </row>
    <row r="1809" customFormat="false" ht="16.4" hidden="false" customHeight="false" outlineLevel="0" collapsed="false">
      <c r="A1809" s="123" t="n">
        <v>45444</v>
      </c>
      <c r="B1809" s="31" t="s">
        <v>153</v>
      </c>
      <c r="C1809" s="129"/>
      <c r="D1809" s="129"/>
      <c r="E1809" s="19" t="n">
        <f aca="false">F1809*0.03</f>
        <v>0</v>
      </c>
      <c r="F1809" s="33" t="n">
        <v>0</v>
      </c>
      <c r="G1809" s="131"/>
      <c r="H1809" s="35" t="n">
        <v>0</v>
      </c>
      <c r="I1809" s="34" t="n">
        <f aca="false">+IF(E1809=0,0,E1809*0.03)</f>
        <v>0</v>
      </c>
      <c r="J1809" s="93"/>
      <c r="K1809" s="93"/>
      <c r="L1809" s="93"/>
      <c r="M1809" s="93"/>
      <c r="N1809" s="93"/>
      <c r="O1809" s="93"/>
      <c r="P1809" s="93"/>
      <c r="Q1809" s="93"/>
      <c r="R1809" s="93"/>
      <c r="S1809" s="93"/>
      <c r="T1809" s="93"/>
      <c r="U1809" s="93"/>
      <c r="V1809" s="93"/>
      <c r="W1809" s="93"/>
      <c r="X1809" s="93"/>
      <c r="Y1809" s="93"/>
      <c r="Z1809" s="93"/>
    </row>
    <row r="1810" customFormat="false" ht="16.4" hidden="false" customHeight="false" outlineLevel="0" collapsed="false">
      <c r="A1810" s="123" t="n">
        <v>45444</v>
      </c>
      <c r="B1810" s="31" t="s">
        <v>153</v>
      </c>
      <c r="C1810" s="129"/>
      <c r="D1810" s="129"/>
      <c r="E1810" s="19" t="n">
        <f aca="false">F1810*0.03</f>
        <v>0</v>
      </c>
      <c r="F1810" s="33" t="n">
        <v>0</v>
      </c>
      <c r="G1810" s="131"/>
      <c r="H1810" s="35" t="n">
        <v>0</v>
      </c>
      <c r="I1810" s="34" t="n">
        <f aca="false">+IF(E1810=0,0,E1810*0.03)</f>
        <v>0</v>
      </c>
      <c r="J1810" s="93"/>
      <c r="K1810" s="93"/>
      <c r="L1810" s="93"/>
      <c r="M1810" s="93"/>
      <c r="N1810" s="93"/>
      <c r="O1810" s="93"/>
      <c r="P1810" s="93"/>
      <c r="Q1810" s="93"/>
      <c r="R1810" s="93"/>
      <c r="S1810" s="93"/>
      <c r="T1810" s="93"/>
      <c r="U1810" s="93"/>
      <c r="V1810" s="93"/>
      <c r="W1810" s="93"/>
      <c r="X1810" s="93"/>
      <c r="Y1810" s="93"/>
      <c r="Z1810" s="93"/>
    </row>
    <row r="1811" customFormat="false" ht="16.4" hidden="false" customHeight="false" outlineLevel="0" collapsed="false">
      <c r="A1811" s="123" t="n">
        <v>45444</v>
      </c>
      <c r="B1811" s="31" t="s">
        <v>153</v>
      </c>
      <c r="C1811" s="129"/>
      <c r="D1811" s="129"/>
      <c r="E1811" s="19" t="n">
        <f aca="false">F1811*0.03</f>
        <v>0</v>
      </c>
      <c r="F1811" s="33" t="n">
        <v>0</v>
      </c>
      <c r="G1811" s="131"/>
      <c r="H1811" s="35" t="n">
        <v>0</v>
      </c>
      <c r="I1811" s="34" t="n">
        <f aca="false">+IF(E1811=0,0,E1811*0.03)</f>
        <v>0</v>
      </c>
      <c r="J1811" s="93"/>
      <c r="K1811" s="93"/>
      <c r="L1811" s="93"/>
      <c r="M1811" s="93"/>
      <c r="N1811" s="93"/>
      <c r="O1811" s="93"/>
      <c r="P1811" s="93"/>
      <c r="Q1811" s="93"/>
      <c r="R1811" s="93"/>
      <c r="S1811" s="93"/>
      <c r="T1811" s="93"/>
      <c r="U1811" s="93"/>
      <c r="V1811" s="93"/>
      <c r="W1811" s="93"/>
      <c r="X1811" s="93"/>
      <c r="Y1811" s="93"/>
      <c r="Z1811" s="93"/>
    </row>
    <row r="1812" customFormat="false" ht="16.4" hidden="false" customHeight="false" outlineLevel="0" collapsed="false">
      <c r="A1812" s="123" t="n">
        <v>45444</v>
      </c>
      <c r="B1812" s="31" t="s">
        <v>153</v>
      </c>
      <c r="C1812" s="129"/>
      <c r="D1812" s="129"/>
      <c r="E1812" s="19" t="n">
        <f aca="false">F1812*0.03</f>
        <v>0</v>
      </c>
      <c r="F1812" s="33" t="n">
        <v>0</v>
      </c>
      <c r="G1812" s="131"/>
      <c r="H1812" s="35" t="n">
        <v>0</v>
      </c>
      <c r="I1812" s="34" t="n">
        <f aca="false">+IF(E1812=0,0,E1812*0.03)</f>
        <v>0</v>
      </c>
      <c r="J1812" s="93"/>
      <c r="K1812" s="93"/>
      <c r="L1812" s="93"/>
      <c r="M1812" s="93"/>
      <c r="N1812" s="93"/>
      <c r="O1812" s="93"/>
      <c r="P1812" s="93"/>
      <c r="Q1812" s="93"/>
      <c r="R1812" s="93"/>
      <c r="S1812" s="93"/>
      <c r="T1812" s="93"/>
      <c r="U1812" s="93"/>
      <c r="V1812" s="93"/>
      <c r="W1812" s="93"/>
      <c r="X1812" s="93"/>
      <c r="Y1812" s="93"/>
      <c r="Z1812" s="93"/>
    </row>
    <row r="1813" customFormat="false" ht="16.4" hidden="false" customHeight="false" outlineLevel="0" collapsed="false">
      <c r="A1813" s="123" t="n">
        <v>45444</v>
      </c>
      <c r="B1813" s="31" t="s">
        <v>153</v>
      </c>
      <c r="C1813" s="129"/>
      <c r="D1813" s="129"/>
      <c r="E1813" s="19" t="n">
        <f aca="false">F1813*0.03</f>
        <v>0</v>
      </c>
      <c r="F1813" s="33" t="n">
        <v>0</v>
      </c>
      <c r="G1813" s="131"/>
      <c r="H1813" s="35" t="n">
        <v>0</v>
      </c>
      <c r="I1813" s="34" t="n">
        <f aca="false">+IF(E1813=0,0,E1813*0.03)</f>
        <v>0</v>
      </c>
      <c r="J1813" s="93"/>
      <c r="K1813" s="93"/>
      <c r="L1813" s="93"/>
      <c r="M1813" s="93"/>
      <c r="N1813" s="93"/>
      <c r="O1813" s="93"/>
      <c r="P1813" s="93"/>
      <c r="Q1813" s="93"/>
      <c r="R1813" s="93"/>
      <c r="S1813" s="93"/>
      <c r="T1813" s="93"/>
      <c r="U1813" s="93"/>
      <c r="V1813" s="93"/>
      <c r="W1813" s="93"/>
      <c r="X1813" s="93"/>
      <c r="Y1813" s="93"/>
      <c r="Z1813" s="93"/>
    </row>
    <row r="1814" customFormat="false" ht="16.4" hidden="false" customHeight="false" outlineLevel="0" collapsed="false">
      <c r="A1814" s="123" t="n">
        <v>45444</v>
      </c>
      <c r="B1814" s="31" t="s">
        <v>153</v>
      </c>
      <c r="C1814" s="129"/>
      <c r="D1814" s="129"/>
      <c r="E1814" s="19" t="n">
        <f aca="false">F1814*0.03</f>
        <v>0</v>
      </c>
      <c r="F1814" s="33" t="n">
        <v>0</v>
      </c>
      <c r="G1814" s="131"/>
      <c r="H1814" s="35" t="n">
        <v>0</v>
      </c>
      <c r="I1814" s="34" t="n">
        <f aca="false">+IF(E1814=0,0,E1814*0.03)</f>
        <v>0</v>
      </c>
      <c r="J1814" s="93"/>
      <c r="K1814" s="93"/>
      <c r="L1814" s="93"/>
      <c r="M1814" s="93"/>
      <c r="N1814" s="93"/>
      <c r="O1814" s="93"/>
      <c r="P1814" s="93"/>
      <c r="Q1814" s="93"/>
      <c r="R1814" s="93"/>
      <c r="S1814" s="93"/>
      <c r="T1814" s="93"/>
      <c r="U1814" s="93"/>
      <c r="V1814" s="93"/>
      <c r="W1814" s="93"/>
      <c r="X1814" s="93"/>
      <c r="Y1814" s="93"/>
      <c r="Z1814" s="93"/>
    </row>
    <row r="1815" customFormat="false" ht="16.4" hidden="false" customHeight="false" outlineLevel="0" collapsed="false">
      <c r="A1815" s="123" t="n">
        <v>45444</v>
      </c>
      <c r="B1815" s="31" t="s">
        <v>153</v>
      </c>
      <c r="C1815" s="129"/>
      <c r="D1815" s="129"/>
      <c r="E1815" s="19" t="n">
        <f aca="false">F1815*0.03</f>
        <v>0</v>
      </c>
      <c r="F1815" s="33" t="n">
        <v>0</v>
      </c>
      <c r="G1815" s="131"/>
      <c r="H1815" s="35" t="n">
        <v>0</v>
      </c>
      <c r="I1815" s="34" t="n">
        <f aca="false">+IF(E1815=0,0,E1815*0.03)</f>
        <v>0</v>
      </c>
      <c r="J1815" s="93"/>
      <c r="K1815" s="93"/>
      <c r="L1815" s="93"/>
      <c r="M1815" s="93"/>
      <c r="N1815" s="93"/>
      <c r="O1815" s="93"/>
      <c r="P1815" s="93"/>
      <c r="Q1815" s="93"/>
      <c r="R1815" s="93"/>
      <c r="S1815" s="93"/>
      <c r="T1815" s="93"/>
      <c r="U1815" s="93"/>
      <c r="V1815" s="93"/>
      <c r="W1815" s="93"/>
      <c r="X1815" s="93"/>
      <c r="Y1815" s="93"/>
      <c r="Z1815" s="93"/>
    </row>
    <row r="1816" customFormat="false" ht="16.4" hidden="false" customHeight="false" outlineLevel="0" collapsed="false">
      <c r="A1816" s="123" t="n">
        <v>45444</v>
      </c>
      <c r="B1816" s="31" t="s">
        <v>153</v>
      </c>
      <c r="C1816" s="129"/>
      <c r="D1816" s="129"/>
      <c r="E1816" s="19" t="n">
        <f aca="false">F1816*0.03</f>
        <v>0</v>
      </c>
      <c r="F1816" s="33" t="n">
        <v>0</v>
      </c>
      <c r="G1816" s="131"/>
      <c r="H1816" s="35" t="n">
        <v>0</v>
      </c>
      <c r="I1816" s="34" t="n">
        <f aca="false">+IF(E1816=0,0,E1816*0.03)</f>
        <v>0</v>
      </c>
      <c r="J1816" s="93"/>
      <c r="K1816" s="93"/>
      <c r="L1816" s="93"/>
      <c r="M1816" s="93"/>
      <c r="N1816" s="93"/>
      <c r="O1816" s="93"/>
      <c r="P1816" s="93"/>
      <c r="Q1816" s="93"/>
      <c r="R1816" s="93"/>
      <c r="S1816" s="93"/>
      <c r="T1816" s="93"/>
      <c r="U1816" s="93"/>
      <c r="V1816" s="93"/>
      <c r="W1816" s="93"/>
      <c r="X1816" s="93"/>
      <c r="Y1816" s="93"/>
      <c r="Z1816" s="93"/>
    </row>
    <row r="1817" customFormat="false" ht="16.4" hidden="false" customHeight="false" outlineLevel="0" collapsed="false">
      <c r="A1817" s="123" t="n">
        <v>45444</v>
      </c>
      <c r="B1817" s="31" t="s">
        <v>153</v>
      </c>
      <c r="C1817" s="129"/>
      <c r="D1817" s="129"/>
      <c r="E1817" s="19" t="n">
        <f aca="false">F1817*0.03</f>
        <v>0</v>
      </c>
      <c r="F1817" s="33" t="n">
        <v>0</v>
      </c>
      <c r="G1817" s="131"/>
      <c r="H1817" s="35" t="n">
        <v>0</v>
      </c>
      <c r="I1817" s="34" t="n">
        <f aca="false">+IF(E1817=0,0,E1817*0.03)</f>
        <v>0</v>
      </c>
      <c r="J1817" s="93"/>
      <c r="K1817" s="93"/>
      <c r="L1817" s="93"/>
      <c r="M1817" s="93"/>
      <c r="N1817" s="93"/>
      <c r="O1817" s="93"/>
      <c r="P1817" s="93"/>
      <c r="Q1817" s="93"/>
      <c r="R1817" s="93"/>
      <c r="S1817" s="93"/>
      <c r="T1817" s="93"/>
      <c r="U1817" s="93"/>
      <c r="V1817" s="93"/>
      <c r="W1817" s="93"/>
      <c r="X1817" s="93"/>
      <c r="Y1817" s="93"/>
      <c r="Z1817" s="93"/>
    </row>
    <row r="1818" customFormat="false" ht="16.4" hidden="false" customHeight="false" outlineLevel="0" collapsed="false">
      <c r="A1818" s="123" t="n">
        <v>45444</v>
      </c>
      <c r="B1818" s="31" t="s">
        <v>153</v>
      </c>
      <c r="C1818" s="129"/>
      <c r="D1818" s="129"/>
      <c r="E1818" s="19" t="n">
        <f aca="false">F1818*0.03</f>
        <v>0</v>
      </c>
      <c r="F1818" s="33" t="n">
        <v>0</v>
      </c>
      <c r="G1818" s="131"/>
      <c r="H1818" s="35" t="n">
        <v>0</v>
      </c>
      <c r="I1818" s="34" t="n">
        <f aca="false">+IF(E1818=0,0,E1818*0.03)</f>
        <v>0</v>
      </c>
      <c r="J1818" s="93"/>
      <c r="K1818" s="93"/>
      <c r="L1818" s="93"/>
      <c r="M1818" s="93"/>
      <c r="N1818" s="93"/>
      <c r="O1818" s="93"/>
      <c r="P1818" s="93"/>
      <c r="Q1818" s="93"/>
      <c r="R1818" s="93"/>
      <c r="S1818" s="93"/>
      <c r="T1818" s="93"/>
      <c r="U1818" s="93"/>
      <c r="V1818" s="93"/>
      <c r="W1818" s="93"/>
      <c r="X1818" s="93"/>
      <c r="Y1818" s="93"/>
      <c r="Z1818" s="93"/>
    </row>
    <row r="1819" customFormat="false" ht="16.4" hidden="false" customHeight="false" outlineLevel="0" collapsed="false">
      <c r="A1819" s="123" t="n">
        <v>45444</v>
      </c>
      <c r="B1819" s="31" t="s">
        <v>153</v>
      </c>
      <c r="C1819" s="129"/>
      <c r="D1819" s="129"/>
      <c r="E1819" s="19" t="n">
        <f aca="false">F1819*0.03</f>
        <v>0</v>
      </c>
      <c r="F1819" s="33" t="n">
        <v>0</v>
      </c>
      <c r="G1819" s="131"/>
      <c r="H1819" s="35" t="n">
        <v>0</v>
      </c>
      <c r="I1819" s="34" t="n">
        <f aca="false">+IF(E1819=0,0,E1819*0.03)</f>
        <v>0</v>
      </c>
      <c r="J1819" s="93"/>
      <c r="K1819" s="93"/>
      <c r="L1819" s="93"/>
      <c r="M1819" s="93"/>
      <c r="N1819" s="93"/>
      <c r="O1819" s="93"/>
      <c r="P1819" s="93"/>
      <c r="Q1819" s="93"/>
      <c r="R1819" s="93"/>
      <c r="S1819" s="93"/>
      <c r="T1819" s="93"/>
      <c r="U1819" s="93"/>
      <c r="V1819" s="93"/>
      <c r="W1819" s="93"/>
      <c r="X1819" s="93"/>
      <c r="Y1819" s="93"/>
      <c r="Z1819" s="93"/>
    </row>
    <row r="1820" customFormat="false" ht="16.4" hidden="false" customHeight="false" outlineLevel="0" collapsed="false">
      <c r="A1820" s="123" t="n">
        <v>45444</v>
      </c>
      <c r="B1820" s="31" t="s">
        <v>153</v>
      </c>
      <c r="C1820" s="129"/>
      <c r="D1820" s="129"/>
      <c r="E1820" s="19" t="n">
        <f aca="false">F1820*0.03</f>
        <v>0</v>
      </c>
      <c r="F1820" s="33" t="n">
        <v>0</v>
      </c>
      <c r="G1820" s="131"/>
      <c r="H1820" s="35" t="n">
        <v>0</v>
      </c>
      <c r="I1820" s="34" t="n">
        <f aca="false">+IF(E1820=0,0,E1820*0.03)</f>
        <v>0</v>
      </c>
      <c r="J1820" s="93"/>
      <c r="K1820" s="93"/>
      <c r="L1820" s="93"/>
      <c r="M1820" s="93"/>
      <c r="N1820" s="93"/>
      <c r="O1820" s="93"/>
      <c r="P1820" s="93"/>
      <c r="Q1820" s="93"/>
      <c r="R1820" s="93"/>
      <c r="S1820" s="93"/>
      <c r="T1820" s="93"/>
      <c r="U1820" s="93"/>
      <c r="V1820" s="93"/>
      <c r="W1820" s="93"/>
      <c r="X1820" s="93"/>
      <c r="Y1820" s="93"/>
      <c r="Z1820" s="93"/>
    </row>
    <row r="1821" customFormat="false" ht="16.4" hidden="false" customHeight="false" outlineLevel="0" collapsed="false">
      <c r="A1821" s="123" t="n">
        <v>45444</v>
      </c>
      <c r="B1821" s="31" t="s">
        <v>153</v>
      </c>
      <c r="C1821" s="129"/>
      <c r="D1821" s="129"/>
      <c r="E1821" s="19" t="n">
        <f aca="false">F1821*0.03</f>
        <v>0</v>
      </c>
      <c r="F1821" s="33" t="n">
        <v>0</v>
      </c>
      <c r="G1821" s="131"/>
      <c r="H1821" s="35" t="n">
        <v>0</v>
      </c>
      <c r="I1821" s="34" t="n">
        <f aca="false">+IF(E1821=0,0,E1821*0.03)</f>
        <v>0</v>
      </c>
      <c r="J1821" s="93"/>
      <c r="K1821" s="93"/>
      <c r="L1821" s="93"/>
      <c r="M1821" s="93"/>
      <c r="N1821" s="93"/>
      <c r="O1821" s="93"/>
      <c r="P1821" s="93"/>
      <c r="Q1821" s="93"/>
      <c r="R1821" s="93"/>
      <c r="S1821" s="93"/>
      <c r="T1821" s="93"/>
      <c r="U1821" s="93"/>
      <c r="V1821" s="93"/>
      <c r="W1821" s="93"/>
      <c r="X1821" s="93"/>
      <c r="Y1821" s="93"/>
      <c r="Z1821" s="93"/>
    </row>
    <row r="1822" customFormat="false" ht="16.4" hidden="false" customHeight="false" outlineLevel="0" collapsed="false">
      <c r="A1822" s="123" t="n">
        <v>45444</v>
      </c>
      <c r="B1822" s="31" t="s">
        <v>153</v>
      </c>
      <c r="C1822" s="129"/>
      <c r="D1822" s="129"/>
      <c r="E1822" s="19" t="n">
        <f aca="false">F1822*0.03</f>
        <v>0</v>
      </c>
      <c r="F1822" s="33" t="n">
        <v>0</v>
      </c>
      <c r="G1822" s="131"/>
      <c r="H1822" s="35" t="n">
        <v>0</v>
      </c>
      <c r="I1822" s="34" t="n">
        <f aca="false">+IF(E1822=0,0,E1822*0.03)</f>
        <v>0</v>
      </c>
      <c r="J1822" s="93"/>
      <c r="K1822" s="93"/>
      <c r="L1822" s="93"/>
      <c r="M1822" s="93"/>
      <c r="N1822" s="93"/>
      <c r="O1822" s="93"/>
      <c r="P1822" s="93"/>
      <c r="Q1822" s="93"/>
      <c r="R1822" s="93"/>
      <c r="S1822" s="93"/>
      <c r="T1822" s="93"/>
      <c r="U1822" s="93"/>
      <c r="V1822" s="93"/>
      <c r="W1822" s="93"/>
      <c r="X1822" s="93"/>
      <c r="Y1822" s="93"/>
      <c r="Z1822" s="93"/>
    </row>
    <row r="1823" customFormat="false" ht="16.4" hidden="false" customHeight="false" outlineLevel="0" collapsed="false">
      <c r="A1823" s="123" t="n">
        <v>45444</v>
      </c>
      <c r="B1823" s="31" t="s">
        <v>153</v>
      </c>
      <c r="C1823" s="129"/>
      <c r="D1823" s="129"/>
      <c r="E1823" s="19" t="n">
        <f aca="false">F1823*0.03</f>
        <v>0</v>
      </c>
      <c r="F1823" s="33" t="n">
        <v>0</v>
      </c>
      <c r="G1823" s="131"/>
      <c r="H1823" s="35" t="n">
        <v>0</v>
      </c>
      <c r="I1823" s="34" t="n">
        <f aca="false">+IF(E1823=0,0,E1823*0.03)</f>
        <v>0</v>
      </c>
      <c r="J1823" s="93"/>
      <c r="K1823" s="93"/>
      <c r="L1823" s="93"/>
      <c r="M1823" s="93"/>
      <c r="N1823" s="93"/>
      <c r="O1823" s="93"/>
      <c r="P1823" s="93"/>
      <c r="Q1823" s="93"/>
      <c r="R1823" s="93"/>
      <c r="S1823" s="93"/>
      <c r="T1823" s="93"/>
      <c r="U1823" s="93"/>
      <c r="V1823" s="93"/>
      <c r="W1823" s="93"/>
      <c r="X1823" s="93"/>
      <c r="Y1823" s="93"/>
      <c r="Z1823" s="93"/>
    </row>
    <row r="1824" customFormat="false" ht="16.4" hidden="false" customHeight="false" outlineLevel="0" collapsed="false">
      <c r="A1824" s="123" t="n">
        <v>45444</v>
      </c>
      <c r="B1824" s="31" t="s">
        <v>153</v>
      </c>
      <c r="C1824" s="129"/>
      <c r="D1824" s="129"/>
      <c r="E1824" s="19" t="n">
        <f aca="false">F1824*0.03</f>
        <v>0</v>
      </c>
      <c r="F1824" s="33" t="n">
        <v>0</v>
      </c>
      <c r="G1824" s="131"/>
      <c r="H1824" s="35" t="n">
        <v>0</v>
      </c>
      <c r="I1824" s="34" t="n">
        <f aca="false">+IF(E1824=0,0,E1824*0.03)</f>
        <v>0</v>
      </c>
      <c r="J1824" s="93"/>
      <c r="K1824" s="93"/>
      <c r="L1824" s="93"/>
      <c r="M1824" s="93"/>
      <c r="N1824" s="93"/>
      <c r="O1824" s="93"/>
      <c r="P1824" s="93"/>
      <c r="Q1824" s="93"/>
      <c r="R1824" s="93"/>
      <c r="S1824" s="93"/>
      <c r="T1824" s="93"/>
      <c r="U1824" s="93"/>
      <c r="V1824" s="93"/>
      <c r="W1824" s="93"/>
      <c r="X1824" s="93"/>
      <c r="Y1824" s="93"/>
      <c r="Z1824" s="93"/>
    </row>
    <row r="1825" customFormat="false" ht="16.4" hidden="false" customHeight="false" outlineLevel="0" collapsed="false">
      <c r="A1825" s="123" t="n">
        <v>45444</v>
      </c>
      <c r="B1825" s="31" t="s">
        <v>153</v>
      </c>
      <c r="C1825" s="129"/>
      <c r="D1825" s="129"/>
      <c r="E1825" s="19" t="n">
        <f aca="false">F1825*0.03</f>
        <v>0</v>
      </c>
      <c r="F1825" s="33" t="n">
        <v>0</v>
      </c>
      <c r="G1825" s="131"/>
      <c r="H1825" s="35" t="n">
        <v>0</v>
      </c>
      <c r="I1825" s="34" t="n">
        <f aca="false">+IF(E1825=0,0,E1825*0.03)</f>
        <v>0</v>
      </c>
      <c r="J1825" s="93"/>
      <c r="K1825" s="93"/>
      <c r="L1825" s="93"/>
      <c r="M1825" s="93"/>
      <c r="N1825" s="93"/>
      <c r="O1825" s="93"/>
      <c r="P1825" s="93"/>
      <c r="Q1825" s="93"/>
      <c r="R1825" s="93"/>
      <c r="S1825" s="93"/>
      <c r="T1825" s="93"/>
      <c r="U1825" s="93"/>
      <c r="V1825" s="93"/>
      <c r="W1825" s="93"/>
      <c r="X1825" s="93"/>
      <c r="Y1825" s="93"/>
      <c r="Z1825" s="93"/>
    </row>
    <row r="1826" customFormat="false" ht="16.4" hidden="false" customHeight="false" outlineLevel="0" collapsed="false">
      <c r="A1826" s="123" t="n">
        <v>45444</v>
      </c>
      <c r="B1826" s="31" t="s">
        <v>153</v>
      </c>
      <c r="C1826" s="129"/>
      <c r="D1826" s="129"/>
      <c r="E1826" s="19" t="n">
        <f aca="false">F1826*0.03</f>
        <v>0</v>
      </c>
      <c r="F1826" s="33" t="n">
        <v>0</v>
      </c>
      <c r="G1826" s="131"/>
      <c r="H1826" s="35" t="n">
        <v>0</v>
      </c>
      <c r="I1826" s="34" t="n">
        <f aca="false">+IF(E1826=0,0,E1826*0.03)</f>
        <v>0</v>
      </c>
      <c r="J1826" s="93"/>
      <c r="K1826" s="93"/>
      <c r="L1826" s="93"/>
      <c r="M1826" s="93"/>
      <c r="N1826" s="93"/>
      <c r="O1826" s="93"/>
      <c r="P1826" s="93"/>
      <c r="Q1826" s="93"/>
      <c r="R1826" s="93"/>
      <c r="S1826" s="93"/>
      <c r="T1826" s="93"/>
      <c r="U1826" s="93"/>
      <c r="V1826" s="93"/>
      <c r="W1826" s="93"/>
      <c r="X1826" s="93"/>
      <c r="Y1826" s="93"/>
      <c r="Z1826" s="93"/>
    </row>
    <row r="1827" customFormat="false" ht="16.4" hidden="false" customHeight="false" outlineLevel="0" collapsed="false">
      <c r="A1827" s="123" t="n">
        <v>45444</v>
      </c>
      <c r="B1827" s="31" t="s">
        <v>153</v>
      </c>
      <c r="C1827" s="129"/>
      <c r="D1827" s="129"/>
      <c r="E1827" s="19" t="n">
        <f aca="false">F1827*0.03</f>
        <v>0</v>
      </c>
      <c r="F1827" s="33" t="n">
        <v>0</v>
      </c>
      <c r="G1827" s="131"/>
      <c r="H1827" s="35" t="n">
        <v>0</v>
      </c>
      <c r="I1827" s="34" t="n">
        <f aca="false">+IF(E1827=0,0,E1827*0.03)</f>
        <v>0</v>
      </c>
      <c r="J1827" s="93"/>
      <c r="K1827" s="93"/>
      <c r="L1827" s="93"/>
      <c r="M1827" s="93"/>
      <c r="N1827" s="93"/>
      <c r="O1827" s="93"/>
      <c r="P1827" s="93"/>
      <c r="Q1827" s="93"/>
      <c r="R1827" s="93"/>
      <c r="S1827" s="93"/>
      <c r="T1827" s="93"/>
      <c r="U1827" s="93"/>
      <c r="V1827" s="93"/>
      <c r="W1827" s="93"/>
      <c r="X1827" s="93"/>
      <c r="Y1827" s="93"/>
      <c r="Z1827" s="93"/>
    </row>
    <row r="1828" customFormat="false" ht="16.4" hidden="false" customHeight="false" outlineLevel="0" collapsed="false">
      <c r="A1828" s="123" t="n">
        <v>45444</v>
      </c>
      <c r="B1828" s="31" t="s">
        <v>153</v>
      </c>
      <c r="C1828" s="129"/>
      <c r="D1828" s="129"/>
      <c r="E1828" s="19" t="n">
        <f aca="false">F1828*0.03</f>
        <v>0</v>
      </c>
      <c r="F1828" s="33" t="n">
        <v>0</v>
      </c>
      <c r="G1828" s="131"/>
      <c r="H1828" s="35" t="n">
        <v>0</v>
      </c>
      <c r="I1828" s="34" t="n">
        <f aca="false">+IF(E1828=0,0,E1828*0.03)</f>
        <v>0</v>
      </c>
      <c r="J1828" s="93"/>
      <c r="K1828" s="93"/>
      <c r="L1828" s="93"/>
      <c r="M1828" s="93"/>
      <c r="N1828" s="93"/>
      <c r="O1828" s="93"/>
      <c r="P1828" s="93"/>
      <c r="Q1828" s="93"/>
      <c r="R1828" s="93"/>
      <c r="S1828" s="93"/>
      <c r="T1828" s="93"/>
      <c r="U1828" s="93"/>
      <c r="V1828" s="93"/>
      <c r="W1828" s="93"/>
      <c r="X1828" s="93"/>
      <c r="Y1828" s="93"/>
      <c r="Z1828" s="93"/>
    </row>
    <row r="1829" customFormat="false" ht="16.4" hidden="false" customHeight="false" outlineLevel="0" collapsed="false">
      <c r="A1829" s="123" t="n">
        <v>45444</v>
      </c>
      <c r="B1829" s="31" t="s">
        <v>153</v>
      </c>
      <c r="C1829" s="129"/>
      <c r="D1829" s="129"/>
      <c r="E1829" s="19" t="n">
        <f aca="false">F1829*0.03</f>
        <v>0</v>
      </c>
      <c r="F1829" s="33" t="n">
        <v>0</v>
      </c>
      <c r="G1829" s="131"/>
      <c r="H1829" s="35" t="n">
        <v>0</v>
      </c>
      <c r="I1829" s="34" t="n">
        <f aca="false">+IF(E1829=0,0,E1829*0.03)</f>
        <v>0</v>
      </c>
      <c r="J1829" s="93"/>
      <c r="K1829" s="93"/>
      <c r="L1829" s="93"/>
      <c r="M1829" s="93"/>
      <c r="N1829" s="93"/>
      <c r="O1829" s="93"/>
      <c r="P1829" s="93"/>
      <c r="Q1829" s="93"/>
      <c r="R1829" s="93"/>
      <c r="S1829" s="93"/>
      <c r="T1829" s="93"/>
      <c r="U1829" s="93"/>
      <c r="V1829" s="93"/>
      <c r="W1829" s="93"/>
      <c r="X1829" s="93"/>
      <c r="Y1829" s="93"/>
      <c r="Z1829" s="93"/>
    </row>
    <row r="1830" customFormat="false" ht="16.4" hidden="false" customHeight="false" outlineLevel="0" collapsed="false">
      <c r="A1830" s="123" t="n">
        <v>45444</v>
      </c>
      <c r="B1830" s="31" t="s">
        <v>153</v>
      </c>
      <c r="C1830" s="129"/>
      <c r="D1830" s="129"/>
      <c r="E1830" s="19" t="n">
        <f aca="false">F1830*0.03</f>
        <v>0</v>
      </c>
      <c r="F1830" s="33" t="n">
        <v>0</v>
      </c>
      <c r="G1830" s="131"/>
      <c r="H1830" s="35" t="n">
        <v>0</v>
      </c>
      <c r="I1830" s="34" t="n">
        <f aca="false">+IF(E1830=0,0,E1830*0.03)</f>
        <v>0</v>
      </c>
      <c r="J1830" s="93"/>
      <c r="K1830" s="93"/>
      <c r="L1830" s="93"/>
      <c r="M1830" s="93"/>
      <c r="N1830" s="93"/>
      <c r="O1830" s="93"/>
      <c r="P1830" s="93"/>
      <c r="Q1830" s="93"/>
      <c r="R1830" s="93"/>
      <c r="S1830" s="93"/>
      <c r="T1830" s="93"/>
      <c r="U1830" s="93"/>
      <c r="V1830" s="93"/>
      <c r="W1830" s="93"/>
      <c r="X1830" s="93"/>
      <c r="Y1830" s="93"/>
      <c r="Z1830" s="93"/>
    </row>
    <row r="1831" customFormat="false" ht="16.4" hidden="false" customHeight="false" outlineLevel="0" collapsed="false">
      <c r="A1831" s="123" t="n">
        <v>45444</v>
      </c>
      <c r="B1831" s="31" t="s">
        <v>153</v>
      </c>
      <c r="C1831" s="129"/>
      <c r="D1831" s="129"/>
      <c r="E1831" s="19" t="n">
        <f aca="false">F1831*0.03</f>
        <v>0</v>
      </c>
      <c r="F1831" s="33" t="n">
        <v>0</v>
      </c>
      <c r="G1831" s="131"/>
      <c r="H1831" s="35" t="n">
        <v>0</v>
      </c>
      <c r="I1831" s="34" t="n">
        <f aca="false">+IF(E1831=0,0,E1831*0.03)</f>
        <v>0</v>
      </c>
      <c r="J1831" s="93"/>
      <c r="K1831" s="93"/>
      <c r="L1831" s="93"/>
      <c r="M1831" s="93"/>
      <c r="N1831" s="93"/>
      <c r="O1831" s="93"/>
      <c r="P1831" s="93"/>
      <c r="Q1831" s="93"/>
      <c r="R1831" s="93"/>
      <c r="S1831" s="93"/>
      <c r="T1831" s="93"/>
      <c r="U1831" s="93"/>
      <c r="V1831" s="93"/>
      <c r="W1831" s="93"/>
      <c r="X1831" s="93"/>
      <c r="Y1831" s="93"/>
      <c r="Z1831" s="93"/>
    </row>
    <row r="1832" customFormat="false" ht="16.4" hidden="false" customHeight="false" outlineLevel="0" collapsed="false">
      <c r="A1832" s="123" t="n">
        <v>45444</v>
      </c>
      <c r="B1832" s="31" t="s">
        <v>153</v>
      </c>
      <c r="C1832" s="129"/>
      <c r="D1832" s="129"/>
      <c r="E1832" s="19" t="n">
        <f aca="false">F1832*0.03</f>
        <v>0</v>
      </c>
      <c r="F1832" s="33" t="n">
        <v>0</v>
      </c>
      <c r="G1832" s="131"/>
      <c r="H1832" s="35" t="n">
        <v>0</v>
      </c>
      <c r="I1832" s="34" t="n">
        <f aca="false">+IF(E1832=0,0,E1832*0.03)</f>
        <v>0</v>
      </c>
      <c r="J1832" s="93"/>
      <c r="K1832" s="93"/>
      <c r="L1832" s="93"/>
      <c r="M1832" s="93"/>
      <c r="N1832" s="93"/>
      <c r="O1832" s="93"/>
      <c r="P1832" s="93"/>
      <c r="Q1832" s="93"/>
      <c r="R1832" s="93"/>
      <c r="S1832" s="93"/>
      <c r="T1832" s="93"/>
      <c r="U1832" s="93"/>
      <c r="V1832" s="93"/>
      <c r="W1832" s="93"/>
      <c r="X1832" s="93"/>
      <c r="Y1832" s="93"/>
      <c r="Z1832" s="93"/>
    </row>
    <row r="1833" customFormat="false" ht="16.4" hidden="false" customHeight="false" outlineLevel="0" collapsed="false">
      <c r="A1833" s="123" t="n">
        <v>45444</v>
      </c>
      <c r="B1833" s="31" t="s">
        <v>153</v>
      </c>
      <c r="C1833" s="129"/>
      <c r="D1833" s="129"/>
      <c r="E1833" s="19" t="n">
        <f aca="false">F1833*0.03</f>
        <v>0</v>
      </c>
      <c r="F1833" s="33" t="n">
        <v>0</v>
      </c>
      <c r="G1833" s="131"/>
      <c r="H1833" s="35" t="n">
        <v>0</v>
      </c>
      <c r="I1833" s="34" t="n">
        <f aca="false">+IF(E1833=0,0,E1833*0.03)</f>
        <v>0</v>
      </c>
      <c r="J1833" s="93"/>
      <c r="K1833" s="93"/>
      <c r="L1833" s="93"/>
      <c r="M1833" s="93"/>
      <c r="N1833" s="93"/>
      <c r="O1833" s="93"/>
      <c r="P1833" s="93"/>
      <c r="Q1833" s="93"/>
      <c r="R1833" s="93"/>
      <c r="S1833" s="93"/>
      <c r="T1833" s="93"/>
      <c r="U1833" s="93"/>
      <c r="V1833" s="93"/>
      <c r="W1833" s="93"/>
      <c r="X1833" s="93"/>
      <c r="Y1833" s="93"/>
      <c r="Z1833" s="93"/>
    </row>
    <row r="1834" customFormat="false" ht="16.4" hidden="false" customHeight="false" outlineLevel="0" collapsed="false">
      <c r="A1834" s="123" t="n">
        <v>45444</v>
      </c>
      <c r="B1834" s="31" t="s">
        <v>153</v>
      </c>
      <c r="C1834" s="129"/>
      <c r="D1834" s="129"/>
      <c r="E1834" s="19" t="n">
        <f aca="false">F1834*0.03</f>
        <v>0</v>
      </c>
      <c r="F1834" s="33" t="n">
        <v>0</v>
      </c>
      <c r="G1834" s="131"/>
      <c r="H1834" s="35" t="n">
        <v>0</v>
      </c>
      <c r="I1834" s="34" t="n">
        <f aca="false">+IF(E1834=0,0,E1834*0.03)</f>
        <v>0</v>
      </c>
      <c r="J1834" s="93"/>
      <c r="K1834" s="93"/>
      <c r="L1834" s="93"/>
      <c r="M1834" s="93"/>
      <c r="N1834" s="93"/>
      <c r="O1834" s="93"/>
      <c r="P1834" s="93"/>
      <c r="Q1834" s="93"/>
      <c r="R1834" s="93"/>
      <c r="S1834" s="93"/>
      <c r="T1834" s="93"/>
      <c r="U1834" s="93"/>
      <c r="V1834" s="93"/>
      <c r="W1834" s="93"/>
      <c r="X1834" s="93"/>
      <c r="Y1834" s="93"/>
      <c r="Z1834" s="93"/>
    </row>
    <row r="1835" customFormat="false" ht="16.4" hidden="false" customHeight="false" outlineLevel="0" collapsed="false">
      <c r="A1835" s="123" t="n">
        <v>45444</v>
      </c>
      <c r="B1835" s="31" t="s">
        <v>153</v>
      </c>
      <c r="C1835" s="129"/>
      <c r="D1835" s="129"/>
      <c r="E1835" s="19" t="n">
        <f aca="false">F1835*0.03</f>
        <v>0</v>
      </c>
      <c r="F1835" s="33" t="n">
        <v>0</v>
      </c>
      <c r="G1835" s="131"/>
      <c r="H1835" s="35" t="n">
        <v>0</v>
      </c>
      <c r="I1835" s="34" t="n">
        <f aca="false">+IF(E1835=0,0,E1835*0.03)</f>
        <v>0</v>
      </c>
      <c r="J1835" s="93"/>
      <c r="K1835" s="93"/>
      <c r="L1835" s="93"/>
      <c r="M1835" s="93"/>
      <c r="N1835" s="93"/>
      <c r="O1835" s="93"/>
      <c r="P1835" s="93"/>
      <c r="Q1835" s="93"/>
      <c r="R1835" s="93"/>
      <c r="S1835" s="93"/>
      <c r="T1835" s="93"/>
      <c r="U1835" s="93"/>
      <c r="V1835" s="93"/>
      <c r="W1835" s="93"/>
      <c r="X1835" s="93"/>
      <c r="Y1835" s="93"/>
      <c r="Z1835" s="93"/>
    </row>
    <row r="1836" customFormat="false" ht="16.4" hidden="false" customHeight="false" outlineLevel="0" collapsed="false">
      <c r="A1836" s="123" t="n">
        <v>45444</v>
      </c>
      <c r="B1836" s="31" t="s">
        <v>153</v>
      </c>
      <c r="C1836" s="129"/>
      <c r="D1836" s="129"/>
      <c r="E1836" s="19" t="n">
        <f aca="false">F1836*0.03</f>
        <v>0</v>
      </c>
      <c r="F1836" s="33" t="n">
        <v>0</v>
      </c>
      <c r="G1836" s="131"/>
      <c r="H1836" s="35" t="n">
        <v>0</v>
      </c>
      <c r="I1836" s="34" t="n">
        <f aca="false">+IF(E1836=0,0,E1836*0.03)</f>
        <v>0</v>
      </c>
      <c r="J1836" s="93"/>
      <c r="K1836" s="93"/>
      <c r="L1836" s="93"/>
      <c r="M1836" s="93"/>
      <c r="N1836" s="93"/>
      <c r="O1836" s="93"/>
      <c r="P1836" s="93"/>
      <c r="Q1836" s="93"/>
      <c r="R1836" s="93"/>
      <c r="S1836" s="93"/>
      <c r="T1836" s="93"/>
      <c r="U1836" s="93"/>
      <c r="V1836" s="93"/>
      <c r="W1836" s="93"/>
      <c r="X1836" s="93"/>
      <c r="Y1836" s="93"/>
      <c r="Z1836" s="93"/>
    </row>
    <row r="1837" customFormat="false" ht="16.4" hidden="false" customHeight="false" outlineLevel="0" collapsed="false">
      <c r="A1837" s="123" t="n">
        <v>45444</v>
      </c>
      <c r="B1837" s="31" t="s">
        <v>153</v>
      </c>
      <c r="C1837" s="129"/>
      <c r="D1837" s="129"/>
      <c r="E1837" s="19" t="n">
        <f aca="false">F1837*0.03</f>
        <v>0</v>
      </c>
      <c r="F1837" s="33" t="n">
        <v>0</v>
      </c>
      <c r="G1837" s="131"/>
      <c r="H1837" s="35" t="n">
        <v>0</v>
      </c>
      <c r="I1837" s="34" t="n">
        <f aca="false">+IF(E1837=0,0,E1837*0.03)</f>
        <v>0</v>
      </c>
      <c r="J1837" s="93"/>
      <c r="K1837" s="93"/>
      <c r="L1837" s="93"/>
      <c r="M1837" s="93"/>
      <c r="N1837" s="93"/>
      <c r="O1837" s="93"/>
      <c r="P1837" s="93"/>
      <c r="Q1837" s="93"/>
      <c r="R1837" s="93"/>
      <c r="S1837" s="93"/>
      <c r="T1837" s="93"/>
      <c r="U1837" s="93"/>
      <c r="V1837" s="93"/>
      <c r="W1837" s="93"/>
      <c r="X1837" s="93"/>
      <c r="Y1837" s="93"/>
      <c r="Z1837" s="93"/>
    </row>
    <row r="1838" customFormat="false" ht="16.4" hidden="false" customHeight="false" outlineLevel="0" collapsed="false">
      <c r="A1838" s="123" t="n">
        <v>45444</v>
      </c>
      <c r="B1838" s="31" t="s">
        <v>153</v>
      </c>
      <c r="C1838" s="129"/>
      <c r="D1838" s="129"/>
      <c r="E1838" s="19" t="n">
        <f aca="false">F1838*0.03</f>
        <v>0</v>
      </c>
      <c r="F1838" s="33" t="n">
        <v>0</v>
      </c>
      <c r="G1838" s="131"/>
      <c r="H1838" s="35" t="n">
        <v>0</v>
      </c>
      <c r="I1838" s="34" t="n">
        <f aca="false">+IF(E1838=0,0,E1838*0.03)</f>
        <v>0</v>
      </c>
      <c r="J1838" s="93"/>
      <c r="K1838" s="93"/>
      <c r="L1838" s="93"/>
      <c r="M1838" s="93"/>
      <c r="N1838" s="93"/>
      <c r="O1838" s="93"/>
      <c r="P1838" s="93"/>
      <c r="Q1838" s="93"/>
      <c r="R1838" s="93"/>
      <c r="S1838" s="93"/>
      <c r="T1838" s="93"/>
      <c r="U1838" s="93"/>
      <c r="V1838" s="93"/>
      <c r="W1838" s="93"/>
      <c r="X1838" s="93"/>
      <c r="Y1838" s="93"/>
      <c r="Z1838" s="93"/>
    </row>
    <row r="1839" customFormat="false" ht="16.4" hidden="false" customHeight="false" outlineLevel="0" collapsed="false">
      <c r="A1839" s="123" t="n">
        <v>45444</v>
      </c>
      <c r="B1839" s="31" t="s">
        <v>153</v>
      </c>
      <c r="C1839" s="129"/>
      <c r="D1839" s="129"/>
      <c r="E1839" s="19" t="n">
        <f aca="false">F1839*0.03</f>
        <v>0</v>
      </c>
      <c r="F1839" s="33" t="n">
        <v>0</v>
      </c>
      <c r="G1839" s="131"/>
      <c r="H1839" s="35" t="n">
        <v>0</v>
      </c>
      <c r="I1839" s="34" t="n">
        <f aca="false">+IF(E1839=0,0,E1839*0.03)</f>
        <v>0</v>
      </c>
      <c r="J1839" s="93"/>
      <c r="K1839" s="93"/>
      <c r="L1839" s="93"/>
      <c r="M1839" s="93"/>
      <c r="N1839" s="93"/>
      <c r="O1839" s="93"/>
      <c r="P1839" s="93"/>
      <c r="Q1839" s="93"/>
      <c r="R1839" s="93"/>
      <c r="S1839" s="93"/>
      <c r="T1839" s="93"/>
      <c r="U1839" s="93"/>
      <c r="V1839" s="93"/>
      <c r="W1839" s="93"/>
      <c r="X1839" s="93"/>
      <c r="Y1839" s="93"/>
      <c r="Z1839" s="93"/>
    </row>
    <row r="1840" customFormat="false" ht="16.4" hidden="false" customHeight="false" outlineLevel="0" collapsed="false">
      <c r="A1840" s="123" t="n">
        <v>45444</v>
      </c>
      <c r="B1840" s="31" t="s">
        <v>153</v>
      </c>
      <c r="C1840" s="129"/>
      <c r="D1840" s="129"/>
      <c r="E1840" s="19" t="n">
        <f aca="false">F1840*0.03</f>
        <v>0</v>
      </c>
      <c r="F1840" s="33" t="n">
        <v>0</v>
      </c>
      <c r="G1840" s="131"/>
      <c r="H1840" s="35" t="n">
        <v>0</v>
      </c>
      <c r="I1840" s="34" t="n">
        <f aca="false">+IF(E1840=0,0,E1840*0.03)</f>
        <v>0</v>
      </c>
      <c r="J1840" s="93"/>
      <c r="K1840" s="93"/>
      <c r="L1840" s="93"/>
      <c r="M1840" s="93"/>
      <c r="N1840" s="93"/>
      <c r="O1840" s="93"/>
      <c r="P1840" s="93"/>
      <c r="Q1840" s="93"/>
      <c r="R1840" s="93"/>
      <c r="S1840" s="93"/>
      <c r="T1840" s="93"/>
      <c r="U1840" s="93"/>
      <c r="V1840" s="93"/>
      <c r="W1840" s="93"/>
      <c r="X1840" s="93"/>
      <c r="Y1840" s="93"/>
      <c r="Z1840" s="93"/>
    </row>
    <row r="1841" customFormat="false" ht="16.4" hidden="false" customHeight="false" outlineLevel="0" collapsed="false">
      <c r="A1841" s="123" t="n">
        <v>45444</v>
      </c>
      <c r="B1841" s="31" t="s">
        <v>153</v>
      </c>
      <c r="C1841" s="129"/>
      <c r="D1841" s="129"/>
      <c r="E1841" s="19" t="n">
        <f aca="false">F1841*0.03</f>
        <v>0</v>
      </c>
      <c r="F1841" s="33" t="n">
        <v>0</v>
      </c>
      <c r="G1841" s="131"/>
      <c r="H1841" s="35" t="n">
        <v>0</v>
      </c>
      <c r="I1841" s="34" t="n">
        <f aca="false">+IF(E1841=0,0,E1841*0.03)</f>
        <v>0</v>
      </c>
      <c r="J1841" s="93"/>
      <c r="K1841" s="93"/>
      <c r="L1841" s="93"/>
      <c r="M1841" s="93"/>
      <c r="N1841" s="93"/>
      <c r="O1841" s="93"/>
      <c r="P1841" s="93"/>
      <c r="Q1841" s="93"/>
      <c r="R1841" s="93"/>
      <c r="S1841" s="93"/>
      <c r="T1841" s="93"/>
      <c r="U1841" s="93"/>
      <c r="V1841" s="93"/>
      <c r="W1841" s="93"/>
      <c r="X1841" s="93"/>
      <c r="Y1841" s="93"/>
      <c r="Z1841" s="93"/>
    </row>
    <row r="1842" customFormat="false" ht="16.4" hidden="false" customHeight="false" outlineLevel="0" collapsed="false">
      <c r="A1842" s="123" t="n">
        <v>45444</v>
      </c>
      <c r="B1842" s="31" t="s">
        <v>153</v>
      </c>
      <c r="C1842" s="129"/>
      <c r="D1842" s="129"/>
      <c r="E1842" s="19" t="n">
        <f aca="false">F1842*0.03</f>
        <v>0</v>
      </c>
      <c r="F1842" s="33" t="n">
        <v>0</v>
      </c>
      <c r="G1842" s="131"/>
      <c r="H1842" s="35" t="n">
        <v>0</v>
      </c>
      <c r="I1842" s="34" t="n">
        <f aca="false">+IF(E1842=0,0,E1842*0.03)</f>
        <v>0</v>
      </c>
      <c r="J1842" s="93"/>
      <c r="K1842" s="93"/>
      <c r="L1842" s="93"/>
      <c r="M1842" s="93"/>
      <c r="N1842" s="93"/>
      <c r="O1842" s="93"/>
      <c r="P1842" s="93"/>
      <c r="Q1842" s="93"/>
      <c r="R1842" s="93"/>
      <c r="S1842" s="93"/>
      <c r="T1842" s="93"/>
      <c r="U1842" s="93"/>
      <c r="V1842" s="93"/>
      <c r="W1842" s="93"/>
      <c r="X1842" s="93"/>
      <c r="Y1842" s="93"/>
      <c r="Z1842" s="93"/>
    </row>
    <row r="1843" customFormat="false" ht="16.4" hidden="false" customHeight="false" outlineLevel="0" collapsed="false">
      <c r="A1843" s="123" t="n">
        <v>45444</v>
      </c>
      <c r="B1843" s="31" t="s">
        <v>153</v>
      </c>
      <c r="C1843" s="129"/>
      <c r="D1843" s="129"/>
      <c r="E1843" s="19" t="n">
        <f aca="false">F1843*0.03</f>
        <v>0</v>
      </c>
      <c r="F1843" s="33" t="n">
        <v>0</v>
      </c>
      <c r="G1843" s="131"/>
      <c r="H1843" s="35" t="n">
        <v>0</v>
      </c>
      <c r="I1843" s="34" t="n">
        <f aca="false">+IF(E1843=0,0,E1843*0.03)</f>
        <v>0</v>
      </c>
      <c r="J1843" s="93"/>
      <c r="K1843" s="93"/>
      <c r="L1843" s="93"/>
      <c r="M1843" s="93"/>
      <c r="N1843" s="93"/>
      <c r="O1843" s="93"/>
      <c r="P1843" s="93"/>
      <c r="Q1843" s="93"/>
      <c r="R1843" s="93"/>
      <c r="S1843" s="93"/>
      <c r="T1843" s="93"/>
      <c r="U1843" s="93"/>
      <c r="V1843" s="93"/>
      <c r="W1843" s="93"/>
      <c r="X1843" s="93"/>
      <c r="Y1843" s="93"/>
      <c r="Z1843" s="93"/>
    </row>
    <row r="1844" customFormat="false" ht="16.4" hidden="false" customHeight="false" outlineLevel="0" collapsed="false">
      <c r="A1844" s="123" t="n">
        <v>45444</v>
      </c>
      <c r="B1844" s="31" t="s">
        <v>153</v>
      </c>
      <c r="C1844" s="129"/>
      <c r="D1844" s="129"/>
      <c r="E1844" s="19" t="n">
        <f aca="false">F1844*0.03</f>
        <v>0</v>
      </c>
      <c r="F1844" s="33" t="n">
        <v>0</v>
      </c>
      <c r="G1844" s="131"/>
      <c r="H1844" s="35" t="n">
        <v>0</v>
      </c>
      <c r="I1844" s="34" t="n">
        <f aca="false">+IF(E1844=0,0,E1844*0.03)</f>
        <v>0</v>
      </c>
      <c r="J1844" s="93"/>
      <c r="K1844" s="93"/>
      <c r="L1844" s="93"/>
      <c r="M1844" s="93"/>
      <c r="N1844" s="93"/>
      <c r="O1844" s="93"/>
      <c r="P1844" s="93"/>
      <c r="Q1844" s="93"/>
      <c r="R1844" s="93"/>
      <c r="S1844" s="93"/>
      <c r="T1844" s="93"/>
      <c r="U1844" s="93"/>
      <c r="V1844" s="93"/>
      <c r="W1844" s="93"/>
      <c r="X1844" s="93"/>
      <c r="Y1844" s="93"/>
      <c r="Z1844" s="93"/>
    </row>
    <row r="1845" customFormat="false" ht="16.4" hidden="false" customHeight="false" outlineLevel="0" collapsed="false">
      <c r="A1845" s="123" t="n">
        <v>45444</v>
      </c>
      <c r="B1845" s="31" t="s">
        <v>153</v>
      </c>
      <c r="C1845" s="129"/>
      <c r="D1845" s="129"/>
      <c r="E1845" s="19" t="n">
        <f aca="false">F1845*0.03</f>
        <v>0</v>
      </c>
      <c r="F1845" s="33" t="n">
        <v>0</v>
      </c>
      <c r="G1845" s="131"/>
      <c r="H1845" s="35" t="n">
        <v>0</v>
      </c>
      <c r="I1845" s="34" t="n">
        <f aca="false">+IF(E1845=0,0,E1845*0.03)</f>
        <v>0</v>
      </c>
      <c r="J1845" s="93"/>
      <c r="K1845" s="93"/>
      <c r="L1845" s="93"/>
      <c r="M1845" s="93"/>
      <c r="N1845" s="93"/>
      <c r="O1845" s="93"/>
      <c r="P1845" s="93"/>
      <c r="Q1845" s="93"/>
      <c r="R1845" s="93"/>
      <c r="S1845" s="93"/>
      <c r="T1845" s="93"/>
      <c r="U1845" s="93"/>
      <c r="V1845" s="93"/>
      <c r="W1845" s="93"/>
      <c r="X1845" s="93"/>
      <c r="Y1845" s="93"/>
      <c r="Z1845" s="93"/>
    </row>
    <row r="1846" customFormat="false" ht="16.4" hidden="false" customHeight="false" outlineLevel="0" collapsed="false">
      <c r="A1846" s="123" t="n">
        <v>45444</v>
      </c>
      <c r="B1846" s="31" t="s">
        <v>153</v>
      </c>
      <c r="C1846" s="129"/>
      <c r="D1846" s="129"/>
      <c r="E1846" s="19" t="n">
        <f aca="false">F1846*0.03</f>
        <v>0</v>
      </c>
      <c r="F1846" s="33" t="n">
        <v>0</v>
      </c>
      <c r="G1846" s="131"/>
      <c r="H1846" s="35" t="n">
        <v>0</v>
      </c>
      <c r="I1846" s="34" t="n">
        <f aca="false">+IF(E1846=0,0,E1846*0.03)</f>
        <v>0</v>
      </c>
      <c r="J1846" s="93"/>
      <c r="K1846" s="93"/>
      <c r="L1846" s="93"/>
      <c r="M1846" s="93"/>
      <c r="N1846" s="93"/>
      <c r="O1846" s="93"/>
      <c r="P1846" s="93"/>
      <c r="Q1846" s="93"/>
      <c r="R1846" s="93"/>
      <c r="S1846" s="93"/>
      <c r="T1846" s="93"/>
      <c r="U1846" s="93"/>
      <c r="V1846" s="93"/>
      <c r="W1846" s="93"/>
      <c r="X1846" s="93"/>
      <c r="Y1846" s="93"/>
      <c r="Z1846" s="93"/>
    </row>
    <row r="1847" customFormat="false" ht="16.4" hidden="false" customHeight="false" outlineLevel="0" collapsed="false">
      <c r="A1847" s="123" t="n">
        <v>45444</v>
      </c>
      <c r="B1847" s="31" t="s">
        <v>153</v>
      </c>
      <c r="C1847" s="129"/>
      <c r="D1847" s="129"/>
      <c r="E1847" s="19" t="n">
        <f aca="false">F1847*0.03</f>
        <v>0</v>
      </c>
      <c r="F1847" s="33" t="n">
        <v>0</v>
      </c>
      <c r="G1847" s="131"/>
      <c r="H1847" s="35" t="n">
        <v>0</v>
      </c>
      <c r="I1847" s="34" t="n">
        <f aca="false">+IF(E1847=0,0,E1847*0.03)</f>
        <v>0</v>
      </c>
      <c r="J1847" s="93"/>
      <c r="K1847" s="93"/>
      <c r="L1847" s="93"/>
      <c r="M1847" s="93"/>
      <c r="N1847" s="93"/>
      <c r="O1847" s="93"/>
      <c r="P1847" s="93"/>
      <c r="Q1847" s="93"/>
      <c r="R1847" s="93"/>
      <c r="S1847" s="93"/>
      <c r="T1847" s="93"/>
      <c r="U1847" s="93"/>
      <c r="V1847" s="93"/>
      <c r="W1847" s="93"/>
      <c r="X1847" s="93"/>
      <c r="Y1847" s="93"/>
      <c r="Z1847" s="93"/>
    </row>
    <row r="1848" customFormat="false" ht="16.4" hidden="false" customHeight="false" outlineLevel="0" collapsed="false">
      <c r="A1848" s="123" t="n">
        <v>45444</v>
      </c>
      <c r="B1848" s="31" t="s">
        <v>153</v>
      </c>
      <c r="C1848" s="129"/>
      <c r="D1848" s="129"/>
      <c r="E1848" s="19" t="n">
        <f aca="false">F1848*0.03</f>
        <v>0</v>
      </c>
      <c r="F1848" s="33" t="n">
        <v>0</v>
      </c>
      <c r="G1848" s="131"/>
      <c r="H1848" s="35" t="n">
        <v>0</v>
      </c>
      <c r="I1848" s="34" t="n">
        <f aca="false">+IF(E1848=0,0,E1848*0.03)</f>
        <v>0</v>
      </c>
      <c r="J1848" s="93"/>
      <c r="K1848" s="93"/>
      <c r="L1848" s="93"/>
      <c r="M1848" s="93"/>
      <c r="N1848" s="93"/>
      <c r="O1848" s="93"/>
      <c r="P1848" s="93"/>
      <c r="Q1848" s="93"/>
      <c r="R1848" s="93"/>
      <c r="S1848" s="93"/>
      <c r="T1848" s="93"/>
      <c r="U1848" s="93"/>
      <c r="V1848" s="93"/>
      <c r="W1848" s="93"/>
      <c r="X1848" s="93"/>
      <c r="Y1848" s="93"/>
      <c r="Z1848" s="93"/>
    </row>
    <row r="1849" customFormat="false" ht="16.4" hidden="false" customHeight="false" outlineLevel="0" collapsed="false">
      <c r="A1849" s="123" t="n">
        <v>45444</v>
      </c>
      <c r="B1849" s="31" t="s">
        <v>153</v>
      </c>
      <c r="C1849" s="129"/>
      <c r="D1849" s="129"/>
      <c r="E1849" s="19" t="n">
        <f aca="false">F1849*0.03</f>
        <v>0</v>
      </c>
      <c r="F1849" s="33" t="n">
        <v>0</v>
      </c>
      <c r="G1849" s="131"/>
      <c r="H1849" s="35" t="n">
        <v>0</v>
      </c>
      <c r="I1849" s="34" t="n">
        <f aca="false">+IF(E1849=0,0,E1849*0.03)</f>
        <v>0</v>
      </c>
      <c r="J1849" s="93"/>
      <c r="K1849" s="93"/>
      <c r="L1849" s="93"/>
      <c r="M1849" s="93"/>
      <c r="N1849" s="93"/>
      <c r="O1849" s="93"/>
      <c r="P1849" s="93"/>
      <c r="Q1849" s="93"/>
      <c r="R1849" s="93"/>
      <c r="S1849" s="93"/>
      <c r="T1849" s="93"/>
      <c r="U1849" s="93"/>
      <c r="V1849" s="93"/>
      <c r="W1849" s="93"/>
      <c r="X1849" s="93"/>
      <c r="Y1849" s="93"/>
      <c r="Z1849" s="93"/>
    </row>
    <row r="1850" customFormat="false" ht="16.4" hidden="false" customHeight="false" outlineLevel="0" collapsed="false">
      <c r="A1850" s="123" t="n">
        <v>45444</v>
      </c>
      <c r="B1850" s="31" t="s">
        <v>153</v>
      </c>
      <c r="C1850" s="129"/>
      <c r="D1850" s="129"/>
      <c r="E1850" s="19" t="n">
        <f aca="false">F1850*0.03</f>
        <v>0</v>
      </c>
      <c r="F1850" s="33" t="n">
        <v>0</v>
      </c>
      <c r="G1850" s="131"/>
      <c r="H1850" s="35" t="n">
        <v>0</v>
      </c>
      <c r="I1850" s="34" t="n">
        <f aca="false">+IF(E1850=0,0,E1850*0.03)</f>
        <v>0</v>
      </c>
      <c r="J1850" s="93"/>
      <c r="K1850" s="93"/>
      <c r="L1850" s="93"/>
      <c r="M1850" s="93"/>
      <c r="N1850" s="93"/>
      <c r="O1850" s="93"/>
      <c r="P1850" s="93"/>
      <c r="Q1850" s="93"/>
      <c r="R1850" s="93"/>
      <c r="S1850" s="93"/>
      <c r="T1850" s="93"/>
      <c r="U1850" s="93"/>
      <c r="V1850" s="93"/>
      <c r="W1850" s="93"/>
      <c r="X1850" s="93"/>
      <c r="Y1850" s="93"/>
      <c r="Z1850" s="93"/>
    </row>
    <row r="1851" customFormat="false" ht="16.4" hidden="false" customHeight="false" outlineLevel="0" collapsed="false">
      <c r="A1851" s="123" t="n">
        <v>45444</v>
      </c>
      <c r="B1851" s="31" t="s">
        <v>153</v>
      </c>
      <c r="C1851" s="129"/>
      <c r="D1851" s="129"/>
      <c r="E1851" s="19" t="n">
        <f aca="false">F1851*0.03</f>
        <v>0</v>
      </c>
      <c r="F1851" s="33" t="n">
        <v>0</v>
      </c>
      <c r="G1851" s="131"/>
      <c r="H1851" s="35" t="n">
        <v>0</v>
      </c>
      <c r="I1851" s="34" t="n">
        <f aca="false">+IF(E1851=0,0,E1851*0.03)</f>
        <v>0</v>
      </c>
      <c r="J1851" s="93"/>
      <c r="K1851" s="93"/>
      <c r="L1851" s="93"/>
      <c r="M1851" s="93"/>
      <c r="N1851" s="93"/>
      <c r="O1851" s="93"/>
      <c r="P1851" s="93"/>
      <c r="Q1851" s="93"/>
      <c r="R1851" s="93"/>
      <c r="S1851" s="93"/>
      <c r="T1851" s="93"/>
      <c r="U1851" s="93"/>
      <c r="V1851" s="93"/>
      <c r="W1851" s="93"/>
      <c r="X1851" s="93"/>
      <c r="Y1851" s="93"/>
      <c r="Z1851" s="93"/>
    </row>
    <row r="1852" customFormat="false" ht="16.4" hidden="false" customHeight="false" outlineLevel="0" collapsed="false">
      <c r="A1852" s="123" t="n">
        <v>45444</v>
      </c>
      <c r="B1852" s="31" t="s">
        <v>153</v>
      </c>
      <c r="C1852" s="129"/>
      <c r="D1852" s="129"/>
      <c r="E1852" s="19" t="n">
        <f aca="false">F1852*0.03</f>
        <v>0</v>
      </c>
      <c r="F1852" s="33" t="n">
        <v>0</v>
      </c>
      <c r="G1852" s="131"/>
      <c r="H1852" s="35" t="n">
        <v>0</v>
      </c>
      <c r="I1852" s="34" t="n">
        <f aca="false">+IF(E1852=0,0,E1852*0.03)</f>
        <v>0</v>
      </c>
      <c r="J1852" s="93"/>
      <c r="K1852" s="93"/>
      <c r="L1852" s="93"/>
      <c r="M1852" s="93"/>
      <c r="N1852" s="93"/>
      <c r="O1852" s="93"/>
      <c r="P1852" s="93"/>
      <c r="Q1852" s="93"/>
      <c r="R1852" s="93"/>
      <c r="S1852" s="93"/>
      <c r="T1852" s="93"/>
      <c r="U1852" s="93"/>
      <c r="V1852" s="93"/>
      <c r="W1852" s="93"/>
      <c r="X1852" s="93"/>
      <c r="Y1852" s="93"/>
      <c r="Z1852" s="93"/>
    </row>
    <row r="1853" customFormat="false" ht="16.4" hidden="false" customHeight="false" outlineLevel="0" collapsed="false">
      <c r="A1853" s="123" t="n">
        <v>45444</v>
      </c>
      <c r="B1853" s="31" t="s">
        <v>153</v>
      </c>
      <c r="C1853" s="129"/>
      <c r="D1853" s="129"/>
      <c r="E1853" s="19" t="n">
        <f aca="false">F1853*0.03</f>
        <v>0</v>
      </c>
      <c r="F1853" s="33" t="n">
        <v>0</v>
      </c>
      <c r="G1853" s="131"/>
      <c r="H1853" s="35" t="n">
        <v>0</v>
      </c>
      <c r="I1853" s="34" t="n">
        <f aca="false">+IF(E1853=0,0,E1853*0.03)</f>
        <v>0</v>
      </c>
      <c r="J1853" s="93"/>
      <c r="K1853" s="93"/>
      <c r="L1853" s="93"/>
      <c r="M1853" s="93"/>
      <c r="N1853" s="93"/>
      <c r="O1853" s="93"/>
      <c r="P1853" s="93"/>
      <c r="Q1853" s="93"/>
      <c r="R1853" s="93"/>
      <c r="S1853" s="93"/>
      <c r="T1853" s="93"/>
      <c r="U1853" s="93"/>
      <c r="V1853" s="93"/>
      <c r="W1853" s="93"/>
      <c r="X1853" s="93"/>
      <c r="Y1853" s="93"/>
      <c r="Z1853" s="93"/>
    </row>
    <row r="1854" customFormat="false" ht="16.4" hidden="false" customHeight="false" outlineLevel="0" collapsed="false">
      <c r="A1854" s="123" t="n">
        <v>45444</v>
      </c>
      <c r="B1854" s="31" t="s">
        <v>153</v>
      </c>
      <c r="C1854" s="129"/>
      <c r="D1854" s="129"/>
      <c r="E1854" s="19" t="n">
        <f aca="false">F1854*0.03</f>
        <v>0</v>
      </c>
      <c r="F1854" s="33" t="n">
        <v>0</v>
      </c>
      <c r="G1854" s="131"/>
      <c r="H1854" s="35" t="n">
        <v>0</v>
      </c>
      <c r="I1854" s="34" t="n">
        <f aca="false">+IF(E1854=0,0,E1854*0.03)</f>
        <v>0</v>
      </c>
      <c r="J1854" s="93"/>
      <c r="K1854" s="93"/>
      <c r="L1854" s="93"/>
      <c r="M1854" s="93"/>
      <c r="N1854" s="93"/>
      <c r="O1854" s="93"/>
      <c r="P1854" s="93"/>
      <c r="Q1854" s="93"/>
      <c r="R1854" s="93"/>
      <c r="S1854" s="93"/>
      <c r="T1854" s="93"/>
      <c r="U1854" s="93"/>
      <c r="V1854" s="93"/>
      <c r="W1854" s="93"/>
      <c r="X1854" s="93"/>
      <c r="Y1854" s="93"/>
      <c r="Z1854" s="93"/>
    </row>
    <row r="1855" customFormat="false" ht="16.4" hidden="false" customHeight="false" outlineLevel="0" collapsed="false">
      <c r="A1855" s="123" t="n">
        <v>45444</v>
      </c>
      <c r="B1855" s="31" t="s">
        <v>153</v>
      </c>
      <c r="C1855" s="129"/>
      <c r="D1855" s="129"/>
      <c r="E1855" s="19" t="n">
        <f aca="false">F1855*0.03</f>
        <v>0</v>
      </c>
      <c r="F1855" s="33" t="n">
        <v>0</v>
      </c>
      <c r="G1855" s="131"/>
      <c r="H1855" s="35" t="n">
        <v>0</v>
      </c>
      <c r="I1855" s="34" t="n">
        <f aca="false">+IF(E1855=0,0,E1855*0.03)</f>
        <v>0</v>
      </c>
      <c r="J1855" s="93"/>
      <c r="K1855" s="93"/>
      <c r="L1855" s="93"/>
      <c r="M1855" s="93"/>
      <c r="N1855" s="93"/>
      <c r="O1855" s="93"/>
      <c r="P1855" s="93"/>
      <c r="Q1855" s="93"/>
      <c r="R1855" s="93"/>
      <c r="S1855" s="93"/>
      <c r="T1855" s="93"/>
      <c r="U1855" s="93"/>
      <c r="V1855" s="93"/>
      <c r="W1855" s="93"/>
      <c r="X1855" s="93"/>
      <c r="Y1855" s="93"/>
      <c r="Z1855" s="93"/>
    </row>
    <row r="1856" customFormat="false" ht="16.4" hidden="false" customHeight="false" outlineLevel="0" collapsed="false">
      <c r="A1856" s="123" t="n">
        <v>45444</v>
      </c>
      <c r="B1856" s="31" t="s">
        <v>153</v>
      </c>
      <c r="C1856" s="129"/>
      <c r="D1856" s="129"/>
      <c r="E1856" s="19" t="n">
        <f aca="false">F1856*0.03</f>
        <v>0</v>
      </c>
      <c r="F1856" s="33" t="n">
        <v>0</v>
      </c>
      <c r="G1856" s="131"/>
      <c r="H1856" s="35" t="n">
        <v>0</v>
      </c>
      <c r="I1856" s="34" t="n">
        <f aca="false">+IF(E1856=0,0,E1856*0.03)</f>
        <v>0</v>
      </c>
      <c r="J1856" s="93"/>
      <c r="K1856" s="93"/>
      <c r="L1856" s="93"/>
      <c r="M1856" s="93"/>
      <c r="N1856" s="93"/>
      <c r="O1856" s="93"/>
      <c r="P1856" s="93"/>
      <c r="Q1856" s="93"/>
      <c r="R1856" s="93"/>
      <c r="S1856" s="93"/>
      <c r="T1856" s="93"/>
      <c r="U1856" s="93"/>
      <c r="V1856" s="93"/>
      <c r="W1856" s="93"/>
      <c r="X1856" s="93"/>
      <c r="Y1856" s="93"/>
      <c r="Z1856" s="93"/>
    </row>
    <row r="1857" customFormat="false" ht="16.4" hidden="false" customHeight="false" outlineLevel="0" collapsed="false">
      <c r="A1857" s="123" t="n">
        <v>45444</v>
      </c>
      <c r="B1857" s="31" t="s">
        <v>153</v>
      </c>
      <c r="C1857" s="129"/>
      <c r="D1857" s="129"/>
      <c r="E1857" s="19" t="n">
        <f aca="false">F1857*0.03</f>
        <v>0</v>
      </c>
      <c r="F1857" s="33" t="n">
        <v>0</v>
      </c>
      <c r="G1857" s="131"/>
      <c r="H1857" s="35" t="n">
        <v>0</v>
      </c>
      <c r="I1857" s="34" t="n">
        <f aca="false">+IF(E1857=0,0,E1857*0.03)</f>
        <v>0</v>
      </c>
      <c r="J1857" s="93"/>
      <c r="K1857" s="93"/>
      <c r="L1857" s="93"/>
      <c r="M1857" s="93"/>
      <c r="N1857" s="93"/>
      <c r="O1857" s="93"/>
      <c r="P1857" s="93"/>
      <c r="Q1857" s="93"/>
      <c r="R1857" s="93"/>
      <c r="S1857" s="93"/>
      <c r="T1857" s="93"/>
      <c r="U1857" s="93"/>
      <c r="V1857" s="93"/>
      <c r="W1857" s="93"/>
      <c r="X1857" s="93"/>
      <c r="Y1857" s="93"/>
      <c r="Z1857" s="93"/>
    </row>
    <row r="1858" customFormat="false" ht="16.4" hidden="false" customHeight="false" outlineLevel="0" collapsed="false">
      <c r="A1858" s="123" t="n">
        <v>45444</v>
      </c>
      <c r="B1858" s="31" t="s">
        <v>153</v>
      </c>
      <c r="C1858" s="129"/>
      <c r="D1858" s="129"/>
      <c r="E1858" s="19" t="n">
        <f aca="false">F1858*0.03</f>
        <v>0</v>
      </c>
      <c r="F1858" s="33" t="n">
        <v>0</v>
      </c>
      <c r="G1858" s="131"/>
      <c r="H1858" s="35" t="n">
        <v>0</v>
      </c>
      <c r="I1858" s="34" t="n">
        <f aca="false">+IF(E1858=0,0,E1858*0.03)</f>
        <v>0</v>
      </c>
      <c r="J1858" s="93"/>
      <c r="K1858" s="93"/>
      <c r="L1858" s="93"/>
      <c r="M1858" s="93"/>
      <c r="N1858" s="93"/>
      <c r="O1858" s="93"/>
      <c r="P1858" s="93"/>
      <c r="Q1858" s="93"/>
      <c r="R1858" s="93"/>
      <c r="S1858" s="93"/>
      <c r="T1858" s="93"/>
      <c r="U1858" s="93"/>
      <c r="V1858" s="93"/>
      <c r="W1858" s="93"/>
      <c r="X1858" s="93"/>
      <c r="Y1858" s="93"/>
      <c r="Z1858" s="93"/>
    </row>
    <row r="1859" customFormat="false" ht="16.4" hidden="false" customHeight="false" outlineLevel="0" collapsed="false">
      <c r="A1859" s="123" t="n">
        <v>45444</v>
      </c>
      <c r="B1859" s="31" t="s">
        <v>153</v>
      </c>
      <c r="C1859" s="129"/>
      <c r="D1859" s="129"/>
      <c r="E1859" s="19" t="n">
        <f aca="false">F1859*0.03</f>
        <v>0</v>
      </c>
      <c r="F1859" s="33" t="n">
        <v>0</v>
      </c>
      <c r="G1859" s="131"/>
      <c r="H1859" s="35" t="n">
        <v>0</v>
      </c>
      <c r="I1859" s="34" t="n">
        <f aca="false">+IF(E1859=0,0,E1859*0.03)</f>
        <v>0</v>
      </c>
      <c r="J1859" s="93"/>
      <c r="K1859" s="93"/>
      <c r="L1859" s="93"/>
      <c r="M1859" s="93"/>
      <c r="N1859" s="93"/>
      <c r="O1859" s="93"/>
      <c r="P1859" s="93"/>
      <c r="Q1859" s="93"/>
      <c r="R1859" s="93"/>
      <c r="S1859" s="93"/>
      <c r="T1859" s="93"/>
      <c r="U1859" s="93"/>
      <c r="V1859" s="93"/>
      <c r="W1859" s="93"/>
      <c r="X1859" s="93"/>
      <c r="Y1859" s="93"/>
      <c r="Z1859" s="93"/>
    </row>
    <row r="1860" customFormat="false" ht="16.4" hidden="false" customHeight="false" outlineLevel="0" collapsed="false">
      <c r="A1860" s="123" t="n">
        <v>45444</v>
      </c>
      <c r="B1860" s="31" t="s">
        <v>153</v>
      </c>
      <c r="C1860" s="129"/>
      <c r="D1860" s="129"/>
      <c r="E1860" s="19" t="n">
        <f aca="false">F1860*0.03</f>
        <v>0</v>
      </c>
      <c r="F1860" s="33" t="n">
        <v>0</v>
      </c>
      <c r="G1860" s="131"/>
      <c r="H1860" s="35" t="n">
        <v>0</v>
      </c>
      <c r="I1860" s="34" t="n">
        <f aca="false">+IF(E1860=0,0,E1860*0.03)</f>
        <v>0</v>
      </c>
      <c r="J1860" s="93"/>
      <c r="K1860" s="93"/>
      <c r="L1860" s="93"/>
      <c r="M1860" s="93"/>
      <c r="N1860" s="93"/>
      <c r="O1860" s="93"/>
      <c r="P1860" s="93"/>
      <c r="Q1860" s="93"/>
      <c r="R1860" s="93"/>
      <c r="S1860" s="93"/>
      <c r="T1860" s="93"/>
      <c r="U1860" s="93"/>
      <c r="V1860" s="93"/>
      <c r="W1860" s="93"/>
      <c r="X1860" s="93"/>
      <c r="Y1860" s="93"/>
      <c r="Z1860" s="93"/>
    </row>
    <row r="1861" customFormat="false" ht="16.4" hidden="false" customHeight="false" outlineLevel="0" collapsed="false">
      <c r="A1861" s="123" t="n">
        <v>45444</v>
      </c>
      <c r="B1861" s="31" t="s">
        <v>153</v>
      </c>
      <c r="C1861" s="129"/>
      <c r="D1861" s="129"/>
      <c r="E1861" s="19" t="n">
        <f aca="false">F1861*0.03</f>
        <v>0</v>
      </c>
      <c r="F1861" s="33" t="n">
        <v>0</v>
      </c>
      <c r="G1861" s="131"/>
      <c r="H1861" s="35" t="n">
        <v>0</v>
      </c>
      <c r="I1861" s="34" t="n">
        <f aca="false">+IF(E1861=0,0,E1861*0.03)</f>
        <v>0</v>
      </c>
      <c r="J1861" s="93"/>
      <c r="K1861" s="93"/>
      <c r="L1861" s="93"/>
      <c r="M1861" s="93"/>
      <c r="N1861" s="93"/>
      <c r="O1861" s="93"/>
      <c r="P1861" s="93"/>
      <c r="Q1861" s="93"/>
      <c r="R1861" s="93"/>
      <c r="S1861" s="93"/>
      <c r="T1861" s="93"/>
      <c r="U1861" s="93"/>
      <c r="V1861" s="93"/>
      <c r="W1861" s="93"/>
      <c r="X1861" s="93"/>
      <c r="Y1861" s="93"/>
      <c r="Z1861" s="93"/>
    </row>
    <row r="1862" customFormat="false" ht="16.4" hidden="false" customHeight="false" outlineLevel="0" collapsed="false">
      <c r="A1862" s="123" t="n">
        <v>45444</v>
      </c>
      <c r="B1862" s="31" t="s">
        <v>153</v>
      </c>
      <c r="C1862" s="129"/>
      <c r="D1862" s="129"/>
      <c r="E1862" s="19" t="n">
        <f aca="false">F1862*0.03</f>
        <v>0</v>
      </c>
      <c r="F1862" s="33" t="n">
        <v>0</v>
      </c>
      <c r="G1862" s="131"/>
      <c r="H1862" s="35" t="n">
        <v>0</v>
      </c>
      <c r="I1862" s="34" t="n">
        <f aca="false">+IF(E1862=0,0,E1862*0.03)</f>
        <v>0</v>
      </c>
      <c r="J1862" s="93"/>
      <c r="K1862" s="93"/>
      <c r="L1862" s="93"/>
      <c r="M1862" s="93"/>
      <c r="N1862" s="93"/>
      <c r="O1862" s="93"/>
      <c r="P1862" s="93"/>
      <c r="Q1862" s="93"/>
      <c r="R1862" s="93"/>
      <c r="S1862" s="93"/>
      <c r="T1862" s="93"/>
      <c r="U1862" s="93"/>
      <c r="V1862" s="93"/>
      <c r="W1862" s="93"/>
      <c r="X1862" s="93"/>
      <c r="Y1862" s="93"/>
      <c r="Z1862" s="93"/>
    </row>
    <row r="1863" customFormat="false" ht="16.4" hidden="false" customHeight="false" outlineLevel="0" collapsed="false">
      <c r="A1863" s="123" t="n">
        <v>45444</v>
      </c>
      <c r="B1863" s="31" t="s">
        <v>153</v>
      </c>
      <c r="C1863" s="129"/>
      <c r="D1863" s="129"/>
      <c r="E1863" s="19" t="n">
        <f aca="false">F1863*0.03</f>
        <v>0</v>
      </c>
      <c r="F1863" s="33" t="n">
        <v>0</v>
      </c>
      <c r="G1863" s="131"/>
      <c r="H1863" s="35" t="n">
        <v>0</v>
      </c>
      <c r="I1863" s="34" t="n">
        <f aca="false">+IF(E1863=0,0,E1863*0.03)</f>
        <v>0</v>
      </c>
      <c r="J1863" s="93"/>
      <c r="K1863" s="93"/>
      <c r="L1863" s="93"/>
      <c r="M1863" s="93"/>
      <c r="N1863" s="93"/>
      <c r="O1863" s="93"/>
      <c r="P1863" s="93"/>
      <c r="Q1863" s="93"/>
      <c r="R1863" s="93"/>
      <c r="S1863" s="93"/>
      <c r="T1863" s="93"/>
      <c r="U1863" s="93"/>
      <c r="V1863" s="93"/>
      <c r="W1863" s="93"/>
      <c r="X1863" s="93"/>
      <c r="Y1863" s="93"/>
      <c r="Z1863" s="93"/>
    </row>
    <row r="1864" customFormat="false" ht="16.4" hidden="false" customHeight="false" outlineLevel="0" collapsed="false">
      <c r="A1864" s="123" t="n">
        <v>45444</v>
      </c>
      <c r="B1864" s="31" t="s">
        <v>153</v>
      </c>
      <c r="C1864" s="129"/>
      <c r="D1864" s="129"/>
      <c r="E1864" s="19" t="n">
        <f aca="false">F1864*0.03</f>
        <v>0</v>
      </c>
      <c r="F1864" s="33" t="n">
        <v>0</v>
      </c>
      <c r="G1864" s="131"/>
      <c r="H1864" s="35" t="n">
        <v>0</v>
      </c>
      <c r="I1864" s="34" t="n">
        <f aca="false">+IF(E1864=0,0,E1864*0.03)</f>
        <v>0</v>
      </c>
      <c r="J1864" s="93"/>
      <c r="K1864" s="93"/>
      <c r="L1864" s="93"/>
      <c r="M1864" s="93"/>
      <c r="N1864" s="93"/>
      <c r="O1864" s="93"/>
      <c r="P1864" s="93"/>
      <c r="Q1864" s="93"/>
      <c r="R1864" s="93"/>
      <c r="S1864" s="93"/>
      <c r="T1864" s="93"/>
      <c r="U1864" s="93"/>
      <c r="V1864" s="93"/>
      <c r="W1864" s="93"/>
      <c r="X1864" s="93"/>
      <c r="Y1864" s="93"/>
      <c r="Z1864" s="93"/>
    </row>
    <row r="1865" customFormat="false" ht="16.4" hidden="false" customHeight="false" outlineLevel="0" collapsed="false">
      <c r="A1865" s="123" t="n">
        <v>45444</v>
      </c>
      <c r="B1865" s="31" t="s">
        <v>153</v>
      </c>
      <c r="C1865" s="129"/>
      <c r="D1865" s="129"/>
      <c r="E1865" s="19" t="n">
        <f aca="false">F1865*0.03</f>
        <v>0</v>
      </c>
      <c r="F1865" s="33" t="n">
        <v>0</v>
      </c>
      <c r="G1865" s="131"/>
      <c r="H1865" s="35" t="n">
        <v>0</v>
      </c>
      <c r="I1865" s="34" t="n">
        <f aca="false">+IF(E1865=0,0,E1865*0.03)</f>
        <v>0</v>
      </c>
      <c r="J1865" s="93"/>
      <c r="K1865" s="93"/>
      <c r="L1865" s="93"/>
      <c r="M1865" s="93"/>
      <c r="N1865" s="93"/>
      <c r="O1865" s="93"/>
      <c r="P1865" s="93"/>
      <c r="Q1865" s="93"/>
      <c r="R1865" s="93"/>
      <c r="S1865" s="93"/>
      <c r="T1865" s="93"/>
      <c r="U1865" s="93"/>
      <c r="V1865" s="93"/>
      <c r="W1865" s="93"/>
      <c r="X1865" s="93"/>
      <c r="Y1865" s="93"/>
      <c r="Z1865" s="93"/>
    </row>
    <row r="1866" customFormat="false" ht="16.4" hidden="false" customHeight="false" outlineLevel="0" collapsed="false">
      <c r="A1866" s="123" t="n">
        <v>45444</v>
      </c>
      <c r="B1866" s="31" t="s">
        <v>153</v>
      </c>
      <c r="C1866" s="129"/>
      <c r="D1866" s="129"/>
      <c r="E1866" s="19" t="n">
        <f aca="false">F1866*0.03</f>
        <v>0</v>
      </c>
      <c r="F1866" s="33" t="n">
        <v>0</v>
      </c>
      <c r="G1866" s="131"/>
      <c r="H1866" s="35" t="n">
        <v>0</v>
      </c>
      <c r="I1866" s="34" t="n">
        <f aca="false">+IF(E1866=0,0,E1866*0.03)</f>
        <v>0</v>
      </c>
      <c r="J1866" s="93"/>
      <c r="K1866" s="93"/>
      <c r="L1866" s="93"/>
      <c r="M1866" s="93"/>
      <c r="N1866" s="93"/>
      <c r="O1866" s="93"/>
      <c r="P1866" s="93"/>
      <c r="Q1866" s="93"/>
      <c r="R1866" s="93"/>
      <c r="S1866" s="93"/>
      <c r="T1866" s="93"/>
      <c r="U1866" s="93"/>
      <c r="V1866" s="93"/>
      <c r="W1866" s="93"/>
      <c r="X1866" s="93"/>
      <c r="Y1866" s="93"/>
      <c r="Z1866" s="93"/>
    </row>
    <row r="1867" customFormat="false" ht="16.4" hidden="false" customHeight="false" outlineLevel="0" collapsed="false">
      <c r="A1867" s="123" t="n">
        <v>45444</v>
      </c>
      <c r="B1867" s="31" t="s">
        <v>153</v>
      </c>
      <c r="C1867" s="129"/>
      <c r="D1867" s="129"/>
      <c r="E1867" s="19" t="n">
        <f aca="false">F1867*0.03</f>
        <v>0</v>
      </c>
      <c r="F1867" s="33" t="n">
        <v>0</v>
      </c>
      <c r="G1867" s="131"/>
      <c r="H1867" s="35" t="n">
        <v>0</v>
      </c>
      <c r="I1867" s="34" t="n">
        <f aca="false">+IF(E1867=0,0,E1867*0.03)</f>
        <v>0</v>
      </c>
      <c r="J1867" s="93"/>
      <c r="K1867" s="93"/>
      <c r="L1867" s="93"/>
      <c r="M1867" s="93"/>
      <c r="N1867" s="93"/>
      <c r="O1867" s="93"/>
      <c r="P1867" s="93"/>
      <c r="Q1867" s="93"/>
      <c r="R1867" s="93"/>
      <c r="S1867" s="93"/>
      <c r="T1867" s="93"/>
      <c r="U1867" s="93"/>
      <c r="V1867" s="93"/>
      <c r="W1867" s="93"/>
      <c r="X1867" s="93"/>
      <c r="Y1867" s="93"/>
      <c r="Z1867" s="93"/>
    </row>
    <row r="1868" customFormat="false" ht="16.4" hidden="false" customHeight="false" outlineLevel="0" collapsed="false">
      <c r="A1868" s="123" t="n">
        <v>45444</v>
      </c>
      <c r="B1868" s="31" t="s">
        <v>153</v>
      </c>
      <c r="C1868" s="129"/>
      <c r="D1868" s="129"/>
      <c r="E1868" s="19" t="n">
        <f aca="false">F1868*0.03</f>
        <v>0</v>
      </c>
      <c r="F1868" s="33" t="n">
        <v>0</v>
      </c>
      <c r="G1868" s="131"/>
      <c r="H1868" s="35" t="n">
        <v>0</v>
      </c>
      <c r="I1868" s="34" t="n">
        <f aca="false">+IF(E1868=0,0,E1868*0.03)</f>
        <v>0</v>
      </c>
      <c r="J1868" s="93"/>
      <c r="K1868" s="93"/>
      <c r="L1868" s="93"/>
      <c r="M1868" s="93"/>
      <c r="N1868" s="93"/>
      <c r="O1868" s="93"/>
      <c r="P1868" s="93"/>
      <c r="Q1868" s="93"/>
      <c r="R1868" s="93"/>
      <c r="S1868" s="93"/>
      <c r="T1868" s="93"/>
      <c r="U1868" s="93"/>
      <c r="V1868" s="93"/>
      <c r="W1868" s="93"/>
      <c r="X1868" s="93"/>
      <c r="Y1868" s="93"/>
      <c r="Z1868" s="93"/>
    </row>
    <row r="1869" customFormat="false" ht="16.4" hidden="false" customHeight="false" outlineLevel="0" collapsed="false">
      <c r="A1869" s="123" t="n">
        <v>45444</v>
      </c>
      <c r="B1869" s="31" t="s">
        <v>153</v>
      </c>
      <c r="C1869" s="129"/>
      <c r="D1869" s="129"/>
      <c r="E1869" s="19" t="n">
        <f aca="false">F1869*0.03</f>
        <v>0</v>
      </c>
      <c r="F1869" s="33" t="n">
        <v>0</v>
      </c>
      <c r="G1869" s="131"/>
      <c r="H1869" s="35" t="n">
        <v>0</v>
      </c>
      <c r="I1869" s="34" t="n">
        <f aca="false">+IF(E1869=0,0,E1869*0.03)</f>
        <v>0</v>
      </c>
      <c r="J1869" s="93"/>
      <c r="K1869" s="93"/>
      <c r="L1869" s="93"/>
      <c r="M1869" s="93"/>
      <c r="N1869" s="93"/>
      <c r="O1869" s="93"/>
      <c r="P1869" s="93"/>
      <c r="Q1869" s="93"/>
      <c r="R1869" s="93"/>
      <c r="S1869" s="93"/>
      <c r="T1869" s="93"/>
      <c r="U1869" s="93"/>
      <c r="V1869" s="93"/>
      <c r="W1869" s="93"/>
      <c r="X1869" s="93"/>
      <c r="Y1869" s="93"/>
      <c r="Z1869" s="93"/>
    </row>
    <row r="1870" customFormat="false" ht="16.4" hidden="false" customHeight="false" outlineLevel="0" collapsed="false">
      <c r="A1870" s="123" t="n">
        <v>45444</v>
      </c>
      <c r="B1870" s="31" t="s">
        <v>153</v>
      </c>
      <c r="C1870" s="129"/>
      <c r="D1870" s="129"/>
      <c r="E1870" s="19" t="n">
        <f aca="false">F1870*0.03</f>
        <v>0</v>
      </c>
      <c r="F1870" s="33" t="n">
        <v>0</v>
      </c>
      <c r="G1870" s="131"/>
      <c r="H1870" s="35" t="n">
        <v>0</v>
      </c>
      <c r="I1870" s="34" t="n">
        <f aca="false">+IF(E1870=0,0,E1870*0.03)</f>
        <v>0</v>
      </c>
      <c r="J1870" s="93"/>
      <c r="K1870" s="93"/>
      <c r="L1870" s="93"/>
      <c r="M1870" s="93"/>
      <c r="N1870" s="93"/>
      <c r="O1870" s="93"/>
      <c r="P1870" s="93"/>
      <c r="Q1870" s="93"/>
      <c r="R1870" s="93"/>
      <c r="S1870" s="93"/>
      <c r="T1870" s="93"/>
      <c r="U1870" s="93"/>
      <c r="V1870" s="93"/>
      <c r="W1870" s="93"/>
      <c r="X1870" s="93"/>
      <c r="Y1870" s="93"/>
      <c r="Z1870" s="93"/>
    </row>
    <row r="1871" customFormat="false" ht="16.4" hidden="false" customHeight="false" outlineLevel="0" collapsed="false">
      <c r="A1871" s="123" t="n">
        <v>45444</v>
      </c>
      <c r="B1871" s="31" t="s">
        <v>153</v>
      </c>
      <c r="C1871" s="129"/>
      <c r="D1871" s="129"/>
      <c r="E1871" s="19" t="n">
        <f aca="false">F1871*0.03</f>
        <v>0</v>
      </c>
      <c r="F1871" s="33" t="n">
        <v>0</v>
      </c>
      <c r="G1871" s="131"/>
      <c r="H1871" s="35" t="n">
        <v>0</v>
      </c>
      <c r="I1871" s="34" t="n">
        <f aca="false">+IF(E1871=0,0,E1871*0.03)</f>
        <v>0</v>
      </c>
      <c r="J1871" s="93"/>
      <c r="K1871" s="93"/>
      <c r="L1871" s="93"/>
      <c r="M1871" s="93"/>
      <c r="N1871" s="93"/>
      <c r="O1871" s="93"/>
      <c r="P1871" s="93"/>
      <c r="Q1871" s="93"/>
      <c r="R1871" s="93"/>
      <c r="S1871" s="93"/>
      <c r="T1871" s="93"/>
      <c r="U1871" s="93"/>
      <c r="V1871" s="93"/>
      <c r="W1871" s="93"/>
      <c r="X1871" s="93"/>
      <c r="Y1871" s="93"/>
      <c r="Z1871" s="93"/>
    </row>
    <row r="1872" customFormat="false" ht="16.4" hidden="false" customHeight="false" outlineLevel="0" collapsed="false">
      <c r="A1872" s="123" t="n">
        <v>45444</v>
      </c>
      <c r="B1872" s="31" t="s">
        <v>153</v>
      </c>
      <c r="C1872" s="129"/>
      <c r="D1872" s="129"/>
      <c r="E1872" s="19" t="n">
        <f aca="false">F1872*0.03</f>
        <v>0</v>
      </c>
      <c r="F1872" s="33" t="n">
        <v>0</v>
      </c>
      <c r="G1872" s="131"/>
      <c r="H1872" s="35" t="n">
        <v>0</v>
      </c>
      <c r="I1872" s="34" t="n">
        <f aca="false">+IF(E1872=0,0,E1872*0.03)</f>
        <v>0</v>
      </c>
      <c r="J1872" s="93"/>
      <c r="K1872" s="93"/>
      <c r="L1872" s="93"/>
      <c r="M1872" s="93"/>
      <c r="N1872" s="93"/>
      <c r="O1872" s="93"/>
      <c r="P1872" s="93"/>
      <c r="Q1872" s="93"/>
      <c r="R1872" s="93"/>
      <c r="S1872" s="93"/>
      <c r="T1872" s="93"/>
      <c r="U1872" s="93"/>
      <c r="V1872" s="93"/>
      <c r="W1872" s="93"/>
      <c r="X1872" s="93"/>
      <c r="Y1872" s="93"/>
      <c r="Z1872" s="93"/>
    </row>
    <row r="1873" customFormat="false" ht="16.4" hidden="false" customHeight="false" outlineLevel="0" collapsed="false">
      <c r="A1873" s="123" t="n">
        <v>45444</v>
      </c>
      <c r="B1873" s="31" t="s">
        <v>153</v>
      </c>
      <c r="C1873" s="129"/>
      <c r="D1873" s="129"/>
      <c r="E1873" s="19" t="n">
        <f aca="false">F1873*0.03</f>
        <v>0</v>
      </c>
      <c r="F1873" s="33" t="n">
        <v>0</v>
      </c>
      <c r="G1873" s="131"/>
      <c r="H1873" s="35" t="n">
        <v>0</v>
      </c>
      <c r="I1873" s="34" t="n">
        <f aca="false">+IF(E1873=0,0,E1873*0.03)</f>
        <v>0</v>
      </c>
      <c r="J1873" s="93"/>
      <c r="K1873" s="93"/>
      <c r="L1873" s="93"/>
      <c r="M1873" s="93"/>
      <c r="N1873" s="93"/>
      <c r="O1873" s="93"/>
      <c r="P1873" s="93"/>
      <c r="Q1873" s="93"/>
      <c r="R1873" s="93"/>
      <c r="S1873" s="93"/>
      <c r="T1873" s="93"/>
      <c r="U1873" s="93"/>
      <c r="V1873" s="93"/>
      <c r="W1873" s="93"/>
      <c r="X1873" s="93"/>
      <c r="Y1873" s="93"/>
      <c r="Z1873" s="93"/>
    </row>
    <row r="1874" customFormat="false" ht="16.4" hidden="false" customHeight="false" outlineLevel="0" collapsed="false">
      <c r="A1874" s="123" t="n">
        <v>45444</v>
      </c>
      <c r="B1874" s="31" t="s">
        <v>153</v>
      </c>
      <c r="C1874" s="129"/>
      <c r="D1874" s="129"/>
      <c r="E1874" s="19" t="n">
        <f aca="false">F1874*0.03</f>
        <v>0</v>
      </c>
      <c r="F1874" s="33" t="n">
        <v>0</v>
      </c>
      <c r="G1874" s="131"/>
      <c r="H1874" s="35" t="n">
        <v>0</v>
      </c>
      <c r="I1874" s="34" t="n">
        <f aca="false">+IF(E1874=0,0,E1874*0.03)</f>
        <v>0</v>
      </c>
      <c r="J1874" s="93"/>
      <c r="K1874" s="93"/>
      <c r="L1874" s="93"/>
      <c r="M1874" s="93"/>
      <c r="N1874" s="93"/>
      <c r="O1874" s="93"/>
      <c r="P1874" s="93"/>
      <c r="Q1874" s="93"/>
      <c r="R1874" s="93"/>
      <c r="S1874" s="93"/>
      <c r="T1874" s="93"/>
      <c r="U1874" s="93"/>
      <c r="V1874" s="93"/>
      <c r="W1874" s="93"/>
      <c r="X1874" s="93"/>
      <c r="Y1874" s="93"/>
      <c r="Z1874" s="93"/>
    </row>
    <row r="1875" customFormat="false" ht="16.4" hidden="false" customHeight="false" outlineLevel="0" collapsed="false">
      <c r="A1875" s="123" t="n">
        <v>45444</v>
      </c>
      <c r="B1875" s="31" t="s">
        <v>153</v>
      </c>
      <c r="C1875" s="129"/>
      <c r="D1875" s="129"/>
      <c r="E1875" s="19" t="n">
        <f aca="false">F1875*0.03</f>
        <v>0</v>
      </c>
      <c r="F1875" s="33" t="n">
        <v>0</v>
      </c>
      <c r="G1875" s="131"/>
      <c r="H1875" s="35" t="n">
        <v>0</v>
      </c>
      <c r="I1875" s="34" t="n">
        <f aca="false">+IF(E1875=0,0,E1875*0.03)</f>
        <v>0</v>
      </c>
      <c r="J1875" s="93"/>
      <c r="K1875" s="93"/>
      <c r="L1875" s="93"/>
      <c r="M1875" s="93"/>
      <c r="N1875" s="93"/>
      <c r="O1875" s="93"/>
      <c r="P1875" s="93"/>
      <c r="Q1875" s="93"/>
      <c r="R1875" s="93"/>
      <c r="S1875" s="93"/>
      <c r="T1875" s="93"/>
      <c r="U1875" s="93"/>
      <c r="V1875" s="93"/>
      <c r="W1875" s="93"/>
      <c r="X1875" s="93"/>
      <c r="Y1875" s="93"/>
      <c r="Z1875" s="93"/>
    </row>
    <row r="1876" customFormat="false" ht="16.4" hidden="false" customHeight="false" outlineLevel="0" collapsed="false">
      <c r="A1876" s="123" t="n">
        <v>45444</v>
      </c>
      <c r="B1876" s="31" t="s">
        <v>153</v>
      </c>
      <c r="C1876" s="129"/>
      <c r="D1876" s="129"/>
      <c r="E1876" s="19" t="n">
        <f aca="false">F1876*0.03</f>
        <v>0</v>
      </c>
      <c r="F1876" s="33" t="n">
        <v>0</v>
      </c>
      <c r="G1876" s="131"/>
      <c r="H1876" s="35" t="n">
        <v>0</v>
      </c>
      <c r="I1876" s="34" t="n">
        <f aca="false">+IF(E1876=0,0,E1876*0.03)</f>
        <v>0</v>
      </c>
      <c r="J1876" s="93"/>
      <c r="K1876" s="93"/>
      <c r="L1876" s="93"/>
      <c r="M1876" s="93"/>
      <c r="N1876" s="93"/>
      <c r="O1876" s="93"/>
      <c r="P1876" s="93"/>
      <c r="Q1876" s="93"/>
      <c r="R1876" s="93"/>
      <c r="S1876" s="93"/>
      <c r="T1876" s="93"/>
      <c r="U1876" s="93"/>
      <c r="V1876" s="93"/>
      <c r="W1876" s="93"/>
      <c r="X1876" s="93"/>
      <c r="Y1876" s="93"/>
      <c r="Z1876" s="93"/>
    </row>
    <row r="1877" customFormat="false" ht="16.4" hidden="false" customHeight="false" outlineLevel="0" collapsed="false">
      <c r="A1877" s="123" t="n">
        <v>45444</v>
      </c>
      <c r="B1877" s="31" t="s">
        <v>153</v>
      </c>
      <c r="C1877" s="129"/>
      <c r="D1877" s="129"/>
      <c r="E1877" s="19" t="n">
        <f aca="false">F1877*0.03</f>
        <v>0</v>
      </c>
      <c r="F1877" s="33" t="n">
        <v>0</v>
      </c>
      <c r="G1877" s="131"/>
      <c r="H1877" s="35" t="n">
        <v>0</v>
      </c>
      <c r="I1877" s="34" t="n">
        <f aca="false">+IF(E1877=0,0,E1877*0.03)</f>
        <v>0</v>
      </c>
      <c r="J1877" s="93"/>
      <c r="K1877" s="93"/>
      <c r="L1877" s="93"/>
      <c r="M1877" s="93"/>
      <c r="N1877" s="93"/>
      <c r="O1877" s="93"/>
      <c r="P1877" s="93"/>
      <c r="Q1877" s="93"/>
      <c r="R1877" s="93"/>
      <c r="S1877" s="93"/>
      <c r="T1877" s="93"/>
      <c r="U1877" s="93"/>
      <c r="V1877" s="93"/>
      <c r="W1877" s="93"/>
      <c r="X1877" s="93"/>
      <c r="Y1877" s="93"/>
      <c r="Z1877" s="93"/>
    </row>
    <row r="1878" customFormat="false" ht="16.4" hidden="false" customHeight="false" outlineLevel="0" collapsed="false">
      <c r="A1878" s="123" t="n">
        <v>45444</v>
      </c>
      <c r="B1878" s="31" t="s">
        <v>153</v>
      </c>
      <c r="C1878" s="129"/>
      <c r="D1878" s="129"/>
      <c r="E1878" s="19" t="n">
        <f aca="false">F1878*0.03</f>
        <v>0</v>
      </c>
      <c r="F1878" s="33" t="n">
        <v>0</v>
      </c>
      <c r="G1878" s="131"/>
      <c r="H1878" s="35" t="n">
        <v>0</v>
      </c>
      <c r="I1878" s="34" t="n">
        <f aca="false">+IF(E1878=0,0,E1878*0.03)</f>
        <v>0</v>
      </c>
      <c r="J1878" s="93"/>
      <c r="K1878" s="93"/>
      <c r="L1878" s="93"/>
      <c r="M1878" s="93"/>
      <c r="N1878" s="93"/>
      <c r="O1878" s="93"/>
      <c r="P1878" s="93"/>
      <c r="Q1878" s="93"/>
      <c r="R1878" s="93"/>
      <c r="S1878" s="93"/>
      <c r="T1878" s="93"/>
      <c r="U1878" s="93"/>
      <c r="V1878" s="93"/>
      <c r="W1878" s="93"/>
      <c r="X1878" s="93"/>
      <c r="Y1878" s="93"/>
      <c r="Z1878" s="93"/>
    </row>
    <row r="1879" customFormat="false" ht="16.4" hidden="false" customHeight="false" outlineLevel="0" collapsed="false">
      <c r="A1879" s="123" t="n">
        <v>45444</v>
      </c>
      <c r="B1879" s="31" t="s">
        <v>153</v>
      </c>
      <c r="C1879" s="129"/>
      <c r="D1879" s="129"/>
      <c r="E1879" s="19" t="n">
        <f aca="false">F1879*0.03</f>
        <v>0</v>
      </c>
      <c r="F1879" s="33" t="n">
        <v>0</v>
      </c>
      <c r="G1879" s="131"/>
      <c r="H1879" s="35" t="n">
        <v>0</v>
      </c>
      <c r="I1879" s="34" t="n">
        <f aca="false">+IF(E1879=0,0,E1879*0.03)</f>
        <v>0</v>
      </c>
      <c r="J1879" s="93"/>
      <c r="K1879" s="93"/>
      <c r="L1879" s="93"/>
      <c r="M1879" s="93"/>
      <c r="N1879" s="93"/>
      <c r="O1879" s="93"/>
      <c r="P1879" s="93"/>
      <c r="Q1879" s="93"/>
      <c r="R1879" s="93"/>
      <c r="S1879" s="93"/>
      <c r="T1879" s="93"/>
      <c r="U1879" s="93"/>
      <c r="V1879" s="93"/>
      <c r="W1879" s="93"/>
      <c r="X1879" s="93"/>
      <c r="Y1879" s="93"/>
      <c r="Z1879" s="93"/>
    </row>
    <row r="1880" customFormat="false" ht="16.4" hidden="false" customHeight="false" outlineLevel="0" collapsed="false">
      <c r="A1880" s="123" t="n">
        <v>45444</v>
      </c>
      <c r="B1880" s="31" t="s">
        <v>153</v>
      </c>
      <c r="C1880" s="129"/>
      <c r="D1880" s="129"/>
      <c r="E1880" s="19" t="n">
        <f aca="false">F1880*0.03</f>
        <v>0</v>
      </c>
      <c r="F1880" s="33" t="n">
        <v>0</v>
      </c>
      <c r="G1880" s="131"/>
      <c r="H1880" s="35" t="n">
        <v>0</v>
      </c>
      <c r="I1880" s="34" t="n">
        <f aca="false">+IF(E1880=0,0,E1880*0.03)</f>
        <v>0</v>
      </c>
      <c r="J1880" s="93"/>
      <c r="K1880" s="93"/>
      <c r="L1880" s="93"/>
      <c r="M1880" s="93"/>
      <c r="N1880" s="93"/>
      <c r="O1880" s="93"/>
      <c r="P1880" s="93"/>
      <c r="Q1880" s="93"/>
      <c r="R1880" s="93"/>
      <c r="S1880" s="93"/>
      <c r="T1880" s="93"/>
      <c r="U1880" s="93"/>
      <c r="V1880" s="93"/>
      <c r="W1880" s="93"/>
      <c r="X1880" s="93"/>
      <c r="Y1880" s="93"/>
      <c r="Z1880" s="93"/>
    </row>
    <row r="1881" customFormat="false" ht="16.4" hidden="false" customHeight="false" outlineLevel="0" collapsed="false">
      <c r="A1881" s="123" t="n">
        <v>45444</v>
      </c>
      <c r="B1881" s="31" t="s">
        <v>153</v>
      </c>
      <c r="C1881" s="129"/>
      <c r="D1881" s="129"/>
      <c r="E1881" s="19" t="n">
        <f aca="false">F1881*0.03</f>
        <v>0</v>
      </c>
      <c r="F1881" s="33" t="n">
        <v>0</v>
      </c>
      <c r="G1881" s="131"/>
      <c r="H1881" s="35" t="n">
        <v>0</v>
      </c>
      <c r="I1881" s="34" t="n">
        <f aca="false">+IF(E1881=0,0,E1881*0.03)</f>
        <v>0</v>
      </c>
      <c r="J1881" s="93"/>
      <c r="K1881" s="93"/>
      <c r="L1881" s="93"/>
      <c r="M1881" s="93"/>
      <c r="N1881" s="93"/>
      <c r="O1881" s="93"/>
      <c r="P1881" s="93"/>
      <c r="Q1881" s="93"/>
      <c r="R1881" s="93"/>
      <c r="S1881" s="93"/>
      <c r="T1881" s="93"/>
      <c r="U1881" s="93"/>
      <c r="V1881" s="93"/>
      <c r="W1881" s="93"/>
      <c r="X1881" s="93"/>
      <c r="Y1881" s="93"/>
      <c r="Z1881" s="93"/>
    </row>
    <row r="1882" customFormat="false" ht="16.4" hidden="false" customHeight="false" outlineLevel="0" collapsed="false">
      <c r="A1882" s="123" t="n">
        <v>45444</v>
      </c>
      <c r="B1882" s="31" t="s">
        <v>153</v>
      </c>
      <c r="C1882" s="129"/>
      <c r="D1882" s="129"/>
      <c r="E1882" s="19" t="n">
        <f aca="false">F1882*0.03</f>
        <v>0</v>
      </c>
      <c r="F1882" s="33" t="n">
        <v>0</v>
      </c>
      <c r="G1882" s="131"/>
      <c r="H1882" s="35" t="n">
        <v>0</v>
      </c>
      <c r="I1882" s="34" t="n">
        <f aca="false">+IF(E1882=0,0,E1882*0.03)</f>
        <v>0</v>
      </c>
      <c r="J1882" s="93"/>
      <c r="K1882" s="93"/>
      <c r="L1882" s="93"/>
      <c r="M1882" s="93"/>
      <c r="N1882" s="93"/>
      <c r="O1882" s="93"/>
      <c r="P1882" s="93"/>
      <c r="Q1882" s="93"/>
      <c r="R1882" s="93"/>
      <c r="S1882" s="93"/>
      <c r="T1882" s="93"/>
      <c r="U1882" s="93"/>
      <c r="V1882" s="93"/>
      <c r="W1882" s="93"/>
      <c r="X1882" s="93"/>
      <c r="Y1882" s="93"/>
      <c r="Z1882" s="93"/>
    </row>
    <row r="1883" customFormat="false" ht="16.4" hidden="false" customHeight="false" outlineLevel="0" collapsed="false">
      <c r="A1883" s="123" t="n">
        <v>45444</v>
      </c>
      <c r="B1883" s="31" t="s">
        <v>153</v>
      </c>
      <c r="C1883" s="129"/>
      <c r="D1883" s="129"/>
      <c r="E1883" s="19" t="n">
        <f aca="false">F1883*0.03</f>
        <v>0</v>
      </c>
      <c r="F1883" s="33" t="n">
        <v>0</v>
      </c>
      <c r="G1883" s="131"/>
      <c r="H1883" s="35" t="n">
        <v>0</v>
      </c>
      <c r="I1883" s="34" t="n">
        <f aca="false">+IF(E1883=0,0,E1883*0.03)</f>
        <v>0</v>
      </c>
      <c r="J1883" s="93"/>
      <c r="K1883" s="93"/>
      <c r="L1883" s="93"/>
      <c r="M1883" s="93"/>
      <c r="N1883" s="93"/>
      <c r="O1883" s="93"/>
      <c r="P1883" s="93"/>
      <c r="Q1883" s="93"/>
      <c r="R1883" s="93"/>
      <c r="S1883" s="93"/>
      <c r="T1883" s="93"/>
      <c r="U1883" s="93"/>
      <c r="V1883" s="93"/>
      <c r="W1883" s="93"/>
      <c r="X1883" s="93"/>
      <c r="Y1883" s="93"/>
      <c r="Z1883" s="93"/>
    </row>
    <row r="1884" customFormat="false" ht="16.4" hidden="false" customHeight="false" outlineLevel="0" collapsed="false">
      <c r="A1884" s="123" t="n">
        <v>45444</v>
      </c>
      <c r="B1884" s="31" t="s">
        <v>153</v>
      </c>
      <c r="C1884" s="129"/>
      <c r="D1884" s="129"/>
      <c r="E1884" s="19" t="n">
        <f aca="false">F1884*0.03</f>
        <v>0</v>
      </c>
      <c r="F1884" s="33" t="n">
        <v>0</v>
      </c>
      <c r="G1884" s="131"/>
      <c r="H1884" s="35" t="n">
        <v>0</v>
      </c>
      <c r="I1884" s="34" t="n">
        <f aca="false">+IF(E1884=0,0,E1884*0.03)</f>
        <v>0</v>
      </c>
      <c r="J1884" s="93"/>
      <c r="K1884" s="93"/>
      <c r="L1884" s="93"/>
      <c r="M1884" s="93"/>
      <c r="N1884" s="93"/>
      <c r="O1884" s="93"/>
      <c r="P1884" s="93"/>
      <c r="Q1884" s="93"/>
      <c r="R1884" s="93"/>
      <c r="S1884" s="93"/>
      <c r="T1884" s="93"/>
      <c r="U1884" s="93"/>
      <c r="V1884" s="93"/>
      <c r="W1884" s="93"/>
      <c r="X1884" s="93"/>
      <c r="Y1884" s="93"/>
      <c r="Z1884" s="93"/>
    </row>
    <row r="1885" customFormat="false" ht="16.4" hidden="false" customHeight="false" outlineLevel="0" collapsed="false">
      <c r="A1885" s="123" t="n">
        <v>45444</v>
      </c>
      <c r="B1885" s="31" t="s">
        <v>153</v>
      </c>
      <c r="C1885" s="129"/>
      <c r="D1885" s="129"/>
      <c r="E1885" s="19" t="n">
        <f aca="false">F1885*0.03</f>
        <v>0</v>
      </c>
      <c r="F1885" s="33" t="n">
        <v>0</v>
      </c>
      <c r="G1885" s="131"/>
      <c r="H1885" s="35" t="n">
        <v>0</v>
      </c>
      <c r="I1885" s="34" t="n">
        <f aca="false">+IF(E1885=0,0,E1885*0.03)</f>
        <v>0</v>
      </c>
      <c r="J1885" s="93"/>
      <c r="K1885" s="93"/>
      <c r="L1885" s="93"/>
      <c r="M1885" s="93"/>
      <c r="N1885" s="93"/>
      <c r="O1885" s="93"/>
      <c r="P1885" s="93"/>
      <c r="Q1885" s="93"/>
      <c r="R1885" s="93"/>
      <c r="S1885" s="93"/>
      <c r="T1885" s="93"/>
      <c r="U1885" s="93"/>
      <c r="V1885" s="93"/>
      <c r="W1885" s="93"/>
      <c r="X1885" s="93"/>
      <c r="Y1885" s="93"/>
      <c r="Z1885" s="93"/>
    </row>
    <row r="1886" customFormat="false" ht="16.4" hidden="false" customHeight="false" outlineLevel="0" collapsed="false">
      <c r="A1886" s="123" t="n">
        <v>45444</v>
      </c>
      <c r="B1886" s="31" t="s">
        <v>153</v>
      </c>
      <c r="C1886" s="129"/>
      <c r="D1886" s="129"/>
      <c r="E1886" s="19" t="n">
        <f aca="false">F1886*0.03</f>
        <v>0</v>
      </c>
      <c r="F1886" s="33" t="n">
        <v>0</v>
      </c>
      <c r="G1886" s="131"/>
      <c r="H1886" s="35" t="n">
        <v>0</v>
      </c>
      <c r="I1886" s="34" t="n">
        <f aca="false">+IF(E1886=0,0,E1886*0.03)</f>
        <v>0</v>
      </c>
      <c r="J1886" s="93"/>
      <c r="K1886" s="93"/>
      <c r="L1886" s="93"/>
      <c r="M1886" s="93"/>
      <c r="N1886" s="93"/>
      <c r="O1886" s="93"/>
      <c r="P1886" s="93"/>
      <c r="Q1886" s="93"/>
      <c r="R1886" s="93"/>
      <c r="S1886" s="93"/>
      <c r="T1886" s="93"/>
      <c r="U1886" s="93"/>
      <c r="V1886" s="93"/>
      <c r="W1886" s="93"/>
      <c r="X1886" s="93"/>
      <c r="Y1886" s="93"/>
      <c r="Z1886" s="93"/>
    </row>
    <row r="1887" customFormat="false" ht="16.4" hidden="false" customHeight="false" outlineLevel="0" collapsed="false">
      <c r="A1887" s="123" t="n">
        <v>45444</v>
      </c>
      <c r="B1887" s="31" t="s">
        <v>153</v>
      </c>
      <c r="C1887" s="129"/>
      <c r="D1887" s="129"/>
      <c r="E1887" s="19" t="n">
        <f aca="false">F1887*0.03</f>
        <v>0</v>
      </c>
      <c r="F1887" s="33" t="n">
        <v>0</v>
      </c>
      <c r="G1887" s="131"/>
      <c r="H1887" s="35" t="n">
        <v>0</v>
      </c>
      <c r="I1887" s="34" t="n">
        <f aca="false">+IF(E1887=0,0,E1887*0.03)</f>
        <v>0</v>
      </c>
      <c r="J1887" s="93"/>
      <c r="K1887" s="93"/>
      <c r="L1887" s="93"/>
      <c r="M1887" s="93"/>
      <c r="N1887" s="93"/>
      <c r="O1887" s="93"/>
      <c r="P1887" s="93"/>
      <c r="Q1887" s="93"/>
      <c r="R1887" s="93"/>
      <c r="S1887" s="93"/>
      <c r="T1887" s="93"/>
      <c r="U1887" s="93"/>
      <c r="V1887" s="93"/>
      <c r="W1887" s="93"/>
      <c r="X1887" s="93"/>
      <c r="Y1887" s="93"/>
      <c r="Z1887" s="93"/>
    </row>
    <row r="1888" customFormat="false" ht="16.4" hidden="false" customHeight="false" outlineLevel="0" collapsed="false">
      <c r="A1888" s="123" t="n">
        <v>45444</v>
      </c>
      <c r="B1888" s="31" t="s">
        <v>153</v>
      </c>
      <c r="C1888" s="129"/>
      <c r="D1888" s="129"/>
      <c r="E1888" s="19" t="n">
        <f aca="false">F1888*0.03</f>
        <v>0</v>
      </c>
      <c r="F1888" s="33" t="n">
        <v>0</v>
      </c>
      <c r="G1888" s="131"/>
      <c r="H1888" s="35" t="n">
        <v>0</v>
      </c>
      <c r="I1888" s="34" t="n">
        <f aca="false">+IF(E1888=0,0,E1888*0.03)</f>
        <v>0</v>
      </c>
      <c r="J1888" s="93"/>
      <c r="K1888" s="93"/>
      <c r="L1888" s="93"/>
      <c r="M1888" s="93"/>
      <c r="N1888" s="93"/>
      <c r="O1888" s="93"/>
      <c r="P1888" s="93"/>
      <c r="Q1888" s="93"/>
      <c r="R1888" s="93"/>
      <c r="S1888" s="93"/>
      <c r="T1888" s="93"/>
      <c r="U1888" s="93"/>
      <c r="V1888" s="93"/>
      <c r="W1888" s="93"/>
      <c r="X1888" s="93"/>
      <c r="Y1888" s="93"/>
      <c r="Z1888" s="93"/>
    </row>
    <row r="1889" customFormat="false" ht="16.4" hidden="false" customHeight="false" outlineLevel="0" collapsed="false">
      <c r="A1889" s="123" t="n">
        <v>45444</v>
      </c>
      <c r="B1889" s="31" t="s">
        <v>153</v>
      </c>
      <c r="C1889" s="129"/>
      <c r="D1889" s="129"/>
      <c r="E1889" s="19" t="n">
        <f aca="false">F1889*0.03</f>
        <v>0</v>
      </c>
      <c r="F1889" s="33" t="n">
        <v>0</v>
      </c>
      <c r="G1889" s="131"/>
      <c r="H1889" s="35" t="n">
        <v>0</v>
      </c>
      <c r="I1889" s="34" t="n">
        <f aca="false">+IF(E1889=0,0,E1889*0.03)</f>
        <v>0</v>
      </c>
      <c r="J1889" s="93"/>
      <c r="K1889" s="93"/>
      <c r="L1889" s="93"/>
      <c r="M1889" s="93"/>
      <c r="N1889" s="93"/>
      <c r="O1889" s="93"/>
      <c r="P1889" s="93"/>
      <c r="Q1889" s="93"/>
      <c r="R1889" s="93"/>
      <c r="S1889" s="93"/>
      <c r="T1889" s="93"/>
      <c r="U1889" s="93"/>
      <c r="V1889" s="93"/>
      <c r="W1889" s="93"/>
      <c r="X1889" s="93"/>
      <c r="Y1889" s="93"/>
      <c r="Z1889" s="93"/>
    </row>
    <row r="1890" customFormat="false" ht="16.4" hidden="false" customHeight="false" outlineLevel="0" collapsed="false">
      <c r="A1890" s="123" t="n">
        <v>45444</v>
      </c>
      <c r="B1890" s="31" t="s">
        <v>153</v>
      </c>
      <c r="C1890" s="129"/>
      <c r="D1890" s="129"/>
      <c r="E1890" s="19" t="n">
        <f aca="false">F1890*0.03</f>
        <v>0</v>
      </c>
      <c r="F1890" s="33" t="n">
        <v>0</v>
      </c>
      <c r="G1890" s="131"/>
      <c r="H1890" s="35" t="n">
        <v>0</v>
      </c>
      <c r="I1890" s="34" t="n">
        <f aca="false">+IF(E1890=0,0,E1890*0.03)</f>
        <v>0</v>
      </c>
      <c r="J1890" s="93"/>
      <c r="K1890" s="93"/>
      <c r="L1890" s="93"/>
      <c r="M1890" s="93"/>
      <c r="N1890" s="93"/>
      <c r="O1890" s="93"/>
      <c r="P1890" s="93"/>
      <c r="Q1890" s="93"/>
      <c r="R1890" s="93"/>
      <c r="S1890" s="93"/>
      <c r="T1890" s="93"/>
      <c r="U1890" s="93"/>
      <c r="V1890" s="93"/>
      <c r="W1890" s="93"/>
      <c r="X1890" s="93"/>
      <c r="Y1890" s="93"/>
      <c r="Z1890" s="93"/>
    </row>
    <row r="1891" customFormat="false" ht="16.4" hidden="false" customHeight="false" outlineLevel="0" collapsed="false">
      <c r="A1891" s="123" t="n">
        <v>45444</v>
      </c>
      <c r="B1891" s="31" t="s">
        <v>153</v>
      </c>
      <c r="C1891" s="129"/>
      <c r="D1891" s="129"/>
      <c r="E1891" s="19" t="n">
        <f aca="false">F1891*0.03</f>
        <v>0</v>
      </c>
      <c r="F1891" s="33" t="n">
        <v>0</v>
      </c>
      <c r="G1891" s="131"/>
      <c r="H1891" s="35" t="n">
        <v>0</v>
      </c>
      <c r="I1891" s="34" t="n">
        <f aca="false">+IF(E1891=0,0,E1891*0.03)</f>
        <v>0</v>
      </c>
      <c r="J1891" s="93"/>
      <c r="K1891" s="93"/>
      <c r="L1891" s="93"/>
      <c r="M1891" s="93"/>
      <c r="N1891" s="93"/>
      <c r="O1891" s="93"/>
      <c r="P1891" s="93"/>
      <c r="Q1891" s="93"/>
      <c r="R1891" s="93"/>
      <c r="S1891" s="93"/>
      <c r="T1891" s="93"/>
      <c r="U1891" s="93"/>
      <c r="V1891" s="93"/>
      <c r="W1891" s="93"/>
      <c r="X1891" s="93"/>
      <c r="Y1891" s="93"/>
      <c r="Z1891" s="93"/>
    </row>
    <row r="1892" customFormat="false" ht="16.4" hidden="false" customHeight="false" outlineLevel="0" collapsed="false">
      <c r="A1892" s="123" t="n">
        <v>45444</v>
      </c>
      <c r="B1892" s="31" t="s">
        <v>153</v>
      </c>
      <c r="C1892" s="129"/>
      <c r="D1892" s="129"/>
      <c r="E1892" s="19" t="n">
        <f aca="false">F1892*0.03</f>
        <v>0</v>
      </c>
      <c r="F1892" s="33" t="n">
        <v>0</v>
      </c>
      <c r="G1892" s="131"/>
      <c r="H1892" s="35" t="n">
        <v>0</v>
      </c>
      <c r="I1892" s="34" t="n">
        <f aca="false">+IF(E1892=0,0,E1892*0.03)</f>
        <v>0</v>
      </c>
      <c r="J1892" s="93"/>
      <c r="K1892" s="93"/>
      <c r="L1892" s="93"/>
      <c r="M1892" s="93"/>
      <c r="N1892" s="93"/>
      <c r="O1892" s="93"/>
      <c r="P1892" s="93"/>
      <c r="Q1892" s="93"/>
      <c r="R1892" s="93"/>
      <c r="S1892" s="93"/>
      <c r="T1892" s="93"/>
      <c r="U1892" s="93"/>
      <c r="V1892" s="93"/>
      <c r="W1892" s="93"/>
      <c r="X1892" s="93"/>
      <c r="Y1892" s="93"/>
      <c r="Z1892" s="93"/>
    </row>
    <row r="1893" customFormat="false" ht="16.4" hidden="false" customHeight="false" outlineLevel="0" collapsed="false">
      <c r="A1893" s="123" t="n">
        <v>45444</v>
      </c>
      <c r="B1893" s="31" t="s">
        <v>153</v>
      </c>
      <c r="C1893" s="129"/>
      <c r="D1893" s="129"/>
      <c r="E1893" s="19" t="n">
        <f aca="false">F1893*0.03</f>
        <v>0</v>
      </c>
      <c r="F1893" s="33" t="n">
        <v>0</v>
      </c>
      <c r="G1893" s="131"/>
      <c r="H1893" s="35" t="n">
        <v>0</v>
      </c>
      <c r="I1893" s="34" t="n">
        <f aca="false">+IF(E1893=0,0,E1893*0.03)</f>
        <v>0</v>
      </c>
      <c r="J1893" s="93"/>
      <c r="K1893" s="93"/>
      <c r="L1893" s="93"/>
      <c r="M1893" s="93"/>
      <c r="N1893" s="93"/>
      <c r="O1893" s="93"/>
      <c r="P1893" s="93"/>
      <c r="Q1893" s="93"/>
      <c r="R1893" s="93"/>
      <c r="S1893" s="93"/>
      <c r="T1893" s="93"/>
      <c r="U1893" s="93"/>
      <c r="V1893" s="93"/>
      <c r="W1893" s="93"/>
      <c r="X1893" s="93"/>
      <c r="Y1893" s="93"/>
      <c r="Z1893" s="93"/>
    </row>
    <row r="1894" customFormat="false" ht="16.4" hidden="false" customHeight="false" outlineLevel="0" collapsed="false">
      <c r="A1894" s="123" t="n">
        <v>45444</v>
      </c>
      <c r="B1894" s="31" t="s">
        <v>153</v>
      </c>
      <c r="C1894" s="129"/>
      <c r="D1894" s="129"/>
      <c r="E1894" s="19" t="n">
        <f aca="false">F1894*0.03</f>
        <v>0</v>
      </c>
      <c r="F1894" s="33" t="n">
        <v>0</v>
      </c>
      <c r="G1894" s="131"/>
      <c r="H1894" s="35" t="n">
        <v>0</v>
      </c>
      <c r="I1894" s="34" t="n">
        <f aca="false">+IF(E1894=0,0,E1894*0.03)</f>
        <v>0</v>
      </c>
      <c r="J1894" s="93"/>
      <c r="K1894" s="93"/>
      <c r="L1894" s="93"/>
      <c r="M1894" s="93"/>
      <c r="N1894" s="93"/>
      <c r="O1894" s="93"/>
      <c r="P1894" s="93"/>
      <c r="Q1894" s="93"/>
      <c r="R1894" s="93"/>
      <c r="S1894" s="93"/>
      <c r="T1894" s="93"/>
      <c r="U1894" s="93"/>
      <c r="V1894" s="93"/>
      <c r="W1894" s="93"/>
      <c r="X1894" s="93"/>
      <c r="Y1894" s="93"/>
      <c r="Z1894" s="93"/>
    </row>
    <row r="1895" customFormat="false" ht="16.4" hidden="false" customHeight="false" outlineLevel="0" collapsed="false">
      <c r="A1895" s="123" t="n">
        <v>45444</v>
      </c>
      <c r="B1895" s="31" t="s">
        <v>153</v>
      </c>
      <c r="C1895" s="129"/>
      <c r="D1895" s="129"/>
      <c r="E1895" s="19" t="n">
        <f aca="false">F1895*0.03</f>
        <v>0</v>
      </c>
      <c r="F1895" s="33" t="n">
        <v>0</v>
      </c>
      <c r="G1895" s="131"/>
      <c r="H1895" s="35" t="n">
        <v>0</v>
      </c>
      <c r="I1895" s="34" t="n">
        <f aca="false">+IF(E1895=0,0,E1895*0.03)</f>
        <v>0</v>
      </c>
      <c r="J1895" s="93"/>
      <c r="K1895" s="93"/>
      <c r="L1895" s="93"/>
      <c r="M1895" s="93"/>
      <c r="N1895" s="93"/>
      <c r="O1895" s="93"/>
      <c r="P1895" s="93"/>
      <c r="Q1895" s="93"/>
      <c r="R1895" s="93"/>
      <c r="S1895" s="93"/>
      <c r="T1895" s="93"/>
      <c r="U1895" s="93"/>
      <c r="V1895" s="93"/>
      <c r="W1895" s="93"/>
      <c r="X1895" s="93"/>
      <c r="Y1895" s="93"/>
      <c r="Z1895" s="93"/>
    </row>
    <row r="1896" customFormat="false" ht="16.4" hidden="false" customHeight="false" outlineLevel="0" collapsed="false">
      <c r="A1896" s="123" t="n">
        <v>45444</v>
      </c>
      <c r="B1896" s="31" t="s">
        <v>153</v>
      </c>
      <c r="C1896" s="129"/>
      <c r="D1896" s="129"/>
      <c r="E1896" s="19" t="n">
        <f aca="false">F1896*0.03</f>
        <v>0</v>
      </c>
      <c r="F1896" s="33" t="n">
        <v>0</v>
      </c>
      <c r="G1896" s="131"/>
      <c r="H1896" s="35" t="n">
        <v>0</v>
      </c>
      <c r="I1896" s="34" t="n">
        <f aca="false">+IF(E1896=0,0,E1896*0.03)</f>
        <v>0</v>
      </c>
      <c r="J1896" s="93"/>
      <c r="K1896" s="93"/>
      <c r="L1896" s="93"/>
      <c r="M1896" s="93"/>
      <c r="N1896" s="93"/>
      <c r="O1896" s="93"/>
      <c r="P1896" s="93"/>
      <c r="Q1896" s="93"/>
      <c r="R1896" s="93"/>
      <c r="S1896" s="93"/>
      <c r="T1896" s="93"/>
      <c r="U1896" s="93"/>
      <c r="V1896" s="93"/>
      <c r="W1896" s="93"/>
      <c r="X1896" s="93"/>
      <c r="Y1896" s="93"/>
      <c r="Z1896" s="93"/>
    </row>
    <row r="1897" customFormat="false" ht="16.4" hidden="false" customHeight="false" outlineLevel="0" collapsed="false">
      <c r="A1897" s="123" t="n">
        <v>45444</v>
      </c>
      <c r="B1897" s="31" t="s">
        <v>153</v>
      </c>
      <c r="C1897" s="129"/>
      <c r="D1897" s="129"/>
      <c r="E1897" s="19" t="n">
        <f aca="false">F1897*0.03</f>
        <v>0</v>
      </c>
      <c r="F1897" s="33" t="n">
        <v>0</v>
      </c>
      <c r="G1897" s="131"/>
      <c r="H1897" s="35" t="n">
        <v>0</v>
      </c>
      <c r="I1897" s="34" t="n">
        <f aca="false">+IF(E1897=0,0,E1897*0.03)</f>
        <v>0</v>
      </c>
      <c r="J1897" s="93"/>
      <c r="K1897" s="93"/>
      <c r="L1897" s="93"/>
      <c r="M1897" s="93"/>
      <c r="N1897" s="93"/>
      <c r="O1897" s="93"/>
      <c r="P1897" s="93"/>
      <c r="Q1897" s="93"/>
      <c r="R1897" s="93"/>
      <c r="S1897" s="93"/>
      <c r="T1897" s="93"/>
      <c r="U1897" s="93"/>
      <c r="V1897" s="93"/>
      <c r="W1897" s="93"/>
      <c r="X1897" s="93"/>
      <c r="Y1897" s="93"/>
      <c r="Z1897" s="93"/>
    </row>
    <row r="1898" customFormat="false" ht="16.4" hidden="false" customHeight="false" outlineLevel="0" collapsed="false">
      <c r="A1898" s="123" t="n">
        <v>45444</v>
      </c>
      <c r="B1898" s="31" t="s">
        <v>153</v>
      </c>
      <c r="C1898" s="129"/>
      <c r="D1898" s="129"/>
      <c r="E1898" s="19" t="n">
        <f aca="false">F1898*0.03</f>
        <v>0</v>
      </c>
      <c r="F1898" s="33" t="n">
        <v>0</v>
      </c>
      <c r="G1898" s="131"/>
      <c r="H1898" s="35" t="n">
        <v>0</v>
      </c>
      <c r="I1898" s="34" t="n">
        <f aca="false">+IF(E1898=0,0,E1898*0.03)</f>
        <v>0</v>
      </c>
      <c r="J1898" s="93"/>
      <c r="K1898" s="93"/>
      <c r="L1898" s="93"/>
      <c r="M1898" s="93"/>
      <c r="N1898" s="93"/>
      <c r="O1898" s="93"/>
      <c r="P1898" s="93"/>
      <c r="Q1898" s="93"/>
      <c r="R1898" s="93"/>
      <c r="S1898" s="93"/>
      <c r="T1898" s="93"/>
      <c r="U1898" s="93"/>
      <c r="V1898" s="93"/>
      <c r="W1898" s="93"/>
      <c r="X1898" s="93"/>
      <c r="Y1898" s="93"/>
      <c r="Z1898" s="93"/>
    </row>
    <row r="1899" customFormat="false" ht="16.4" hidden="false" customHeight="false" outlineLevel="0" collapsed="false">
      <c r="A1899" s="123" t="n">
        <v>45444</v>
      </c>
      <c r="B1899" s="31" t="s">
        <v>153</v>
      </c>
      <c r="C1899" s="129"/>
      <c r="D1899" s="129"/>
      <c r="E1899" s="19" t="n">
        <f aca="false">F1899*0.03</f>
        <v>0</v>
      </c>
      <c r="F1899" s="33" t="n">
        <v>0</v>
      </c>
      <c r="G1899" s="131"/>
      <c r="H1899" s="35" t="n">
        <v>0</v>
      </c>
      <c r="I1899" s="34" t="n">
        <f aca="false">+IF(E1899=0,0,E1899*0.03)</f>
        <v>0</v>
      </c>
      <c r="J1899" s="93"/>
      <c r="K1899" s="93"/>
      <c r="L1899" s="93"/>
      <c r="M1899" s="93"/>
      <c r="N1899" s="93"/>
      <c r="O1899" s="93"/>
      <c r="P1899" s="93"/>
      <c r="Q1899" s="93"/>
      <c r="R1899" s="93"/>
      <c r="S1899" s="93"/>
      <c r="T1899" s="93"/>
      <c r="U1899" s="93"/>
      <c r="V1899" s="93"/>
      <c r="W1899" s="93"/>
      <c r="X1899" s="93"/>
      <c r="Y1899" s="93"/>
      <c r="Z1899" s="93"/>
    </row>
    <row r="1900" customFormat="false" ht="16.4" hidden="false" customHeight="false" outlineLevel="0" collapsed="false">
      <c r="A1900" s="123" t="n">
        <v>45444</v>
      </c>
      <c r="B1900" s="31" t="s">
        <v>153</v>
      </c>
      <c r="C1900" s="129"/>
      <c r="D1900" s="129"/>
      <c r="E1900" s="19" t="n">
        <f aca="false">F1900*0.03</f>
        <v>0</v>
      </c>
      <c r="F1900" s="33" t="n">
        <v>0</v>
      </c>
      <c r="G1900" s="131"/>
      <c r="H1900" s="35" t="n">
        <v>0</v>
      </c>
      <c r="I1900" s="34" t="n">
        <f aca="false">+IF(E1900=0,0,E1900*0.03)</f>
        <v>0</v>
      </c>
      <c r="J1900" s="93"/>
      <c r="K1900" s="93"/>
      <c r="L1900" s="93"/>
      <c r="M1900" s="93"/>
      <c r="N1900" s="93"/>
      <c r="O1900" s="93"/>
      <c r="P1900" s="93"/>
      <c r="Q1900" s="93"/>
      <c r="R1900" s="93"/>
      <c r="S1900" s="93"/>
      <c r="T1900" s="93"/>
      <c r="U1900" s="93"/>
      <c r="V1900" s="93"/>
      <c r="W1900" s="93"/>
      <c r="X1900" s="93"/>
      <c r="Y1900" s="93"/>
      <c r="Z1900" s="93"/>
    </row>
    <row r="1901" customFormat="false" ht="16.4" hidden="false" customHeight="false" outlineLevel="0" collapsed="false">
      <c r="A1901" s="123" t="n">
        <v>45444</v>
      </c>
      <c r="B1901" s="31" t="s">
        <v>153</v>
      </c>
      <c r="C1901" s="129"/>
      <c r="D1901" s="129"/>
      <c r="E1901" s="19" t="n">
        <f aca="false">F1901*0.03</f>
        <v>0</v>
      </c>
      <c r="F1901" s="33" t="n">
        <v>0</v>
      </c>
      <c r="G1901" s="131"/>
      <c r="H1901" s="35" t="n">
        <v>0</v>
      </c>
      <c r="I1901" s="34" t="n">
        <f aca="false">+IF(E1901=0,0,E1901*0.03)</f>
        <v>0</v>
      </c>
      <c r="J1901" s="93"/>
      <c r="K1901" s="93"/>
      <c r="L1901" s="93"/>
      <c r="M1901" s="93"/>
      <c r="N1901" s="93"/>
      <c r="O1901" s="93"/>
      <c r="P1901" s="93"/>
      <c r="Q1901" s="93"/>
      <c r="R1901" s="93"/>
      <c r="S1901" s="93"/>
      <c r="T1901" s="93"/>
      <c r="U1901" s="93"/>
      <c r="V1901" s="93"/>
      <c r="W1901" s="93"/>
      <c r="X1901" s="93"/>
      <c r="Y1901" s="93"/>
      <c r="Z1901" s="93"/>
    </row>
    <row r="1902" customFormat="false" ht="16.4" hidden="false" customHeight="false" outlineLevel="0" collapsed="false">
      <c r="A1902" s="123" t="n">
        <v>45444</v>
      </c>
      <c r="B1902" s="31" t="s">
        <v>153</v>
      </c>
      <c r="C1902" s="129"/>
      <c r="D1902" s="129"/>
      <c r="E1902" s="19" t="n">
        <f aca="false">F1902*0.03</f>
        <v>0</v>
      </c>
      <c r="F1902" s="33" t="n">
        <v>0</v>
      </c>
      <c r="G1902" s="131"/>
      <c r="H1902" s="35" t="n">
        <v>0</v>
      </c>
      <c r="I1902" s="34" t="n">
        <f aca="false">+IF(E1902=0,0,E1902*0.03)</f>
        <v>0</v>
      </c>
      <c r="J1902" s="93"/>
      <c r="K1902" s="93"/>
      <c r="L1902" s="93"/>
      <c r="M1902" s="93"/>
      <c r="N1902" s="93"/>
      <c r="O1902" s="93"/>
      <c r="P1902" s="93"/>
      <c r="Q1902" s="93"/>
      <c r="R1902" s="93"/>
      <c r="S1902" s="93"/>
      <c r="T1902" s="93"/>
      <c r="U1902" s="93"/>
      <c r="V1902" s="93"/>
      <c r="W1902" s="93"/>
      <c r="X1902" s="93"/>
      <c r="Y1902" s="93"/>
      <c r="Z1902" s="93"/>
    </row>
    <row r="1903" customFormat="false" ht="16.4" hidden="false" customHeight="false" outlineLevel="0" collapsed="false">
      <c r="A1903" s="123" t="n">
        <v>45444</v>
      </c>
      <c r="B1903" s="31" t="s">
        <v>153</v>
      </c>
      <c r="C1903" s="129"/>
      <c r="D1903" s="129"/>
      <c r="E1903" s="19" t="n">
        <f aca="false">F1903*0.03</f>
        <v>0</v>
      </c>
      <c r="F1903" s="33" t="n">
        <v>0</v>
      </c>
      <c r="G1903" s="131"/>
      <c r="H1903" s="35" t="n">
        <v>0</v>
      </c>
      <c r="I1903" s="34" t="n">
        <f aca="false">+IF(E1903=0,0,E1903*0.03)</f>
        <v>0</v>
      </c>
      <c r="J1903" s="93"/>
      <c r="K1903" s="93"/>
      <c r="L1903" s="93"/>
      <c r="M1903" s="93"/>
      <c r="N1903" s="93"/>
      <c r="O1903" s="93"/>
      <c r="P1903" s="93"/>
      <c r="Q1903" s="93"/>
      <c r="R1903" s="93"/>
      <c r="S1903" s="93"/>
      <c r="T1903" s="93"/>
      <c r="U1903" s="93"/>
      <c r="V1903" s="93"/>
      <c r="W1903" s="93"/>
      <c r="X1903" s="93"/>
      <c r="Y1903" s="93"/>
      <c r="Z1903" s="93"/>
    </row>
    <row r="1904" customFormat="false" ht="16.4" hidden="false" customHeight="false" outlineLevel="0" collapsed="false">
      <c r="A1904" s="123" t="n">
        <v>45444</v>
      </c>
      <c r="B1904" s="31" t="s">
        <v>153</v>
      </c>
      <c r="C1904" s="129"/>
      <c r="D1904" s="129"/>
      <c r="E1904" s="19" t="n">
        <f aca="false">F1904*0.03</f>
        <v>0</v>
      </c>
      <c r="F1904" s="33" t="n">
        <v>0</v>
      </c>
      <c r="G1904" s="131"/>
      <c r="H1904" s="35" t="n">
        <v>0</v>
      </c>
      <c r="I1904" s="34" t="n">
        <f aca="false">+IF(E1904=0,0,E1904*0.03)</f>
        <v>0</v>
      </c>
      <c r="J1904" s="93"/>
      <c r="K1904" s="93"/>
      <c r="L1904" s="93"/>
      <c r="M1904" s="93"/>
      <c r="N1904" s="93"/>
      <c r="O1904" s="93"/>
      <c r="P1904" s="93"/>
      <c r="Q1904" s="93"/>
      <c r="R1904" s="93"/>
      <c r="S1904" s="93"/>
      <c r="T1904" s="93"/>
      <c r="U1904" s="93"/>
      <c r="V1904" s="93"/>
      <c r="W1904" s="93"/>
      <c r="X1904" s="93"/>
      <c r="Y1904" s="93"/>
      <c r="Z1904" s="93"/>
    </row>
    <row r="1905" customFormat="false" ht="16.4" hidden="false" customHeight="false" outlineLevel="0" collapsed="false">
      <c r="A1905" s="123" t="n">
        <v>45444</v>
      </c>
      <c r="B1905" s="31" t="s">
        <v>153</v>
      </c>
      <c r="C1905" s="129"/>
      <c r="D1905" s="129"/>
      <c r="E1905" s="19" t="n">
        <f aca="false">F1905*0.03</f>
        <v>0</v>
      </c>
      <c r="F1905" s="33" t="n">
        <v>0</v>
      </c>
      <c r="G1905" s="131"/>
      <c r="H1905" s="35" t="n">
        <v>0</v>
      </c>
      <c r="I1905" s="34" t="n">
        <f aca="false">+IF(E1905=0,0,E1905*0.03)</f>
        <v>0</v>
      </c>
      <c r="J1905" s="93"/>
      <c r="K1905" s="93"/>
      <c r="L1905" s="93"/>
      <c r="M1905" s="93"/>
      <c r="N1905" s="93"/>
      <c r="O1905" s="93"/>
      <c r="P1905" s="93"/>
      <c r="Q1905" s="93"/>
      <c r="R1905" s="93"/>
      <c r="S1905" s="93"/>
      <c r="T1905" s="93"/>
      <c r="U1905" s="93"/>
      <c r="V1905" s="93"/>
      <c r="W1905" s="93"/>
      <c r="X1905" s="93"/>
      <c r="Y1905" s="93"/>
      <c r="Z1905" s="93"/>
    </row>
    <row r="1906" customFormat="false" ht="16.4" hidden="false" customHeight="false" outlineLevel="0" collapsed="false">
      <c r="A1906" s="123" t="n">
        <v>45444</v>
      </c>
      <c r="B1906" s="31" t="s">
        <v>153</v>
      </c>
      <c r="C1906" s="129"/>
      <c r="D1906" s="129"/>
      <c r="E1906" s="19" t="n">
        <f aca="false">F1906*0.03</f>
        <v>0</v>
      </c>
      <c r="F1906" s="33" t="n">
        <v>0</v>
      </c>
      <c r="G1906" s="131"/>
      <c r="H1906" s="35" t="n">
        <v>0</v>
      </c>
      <c r="I1906" s="34" t="n">
        <f aca="false">+IF(E1906=0,0,E1906*0.03)</f>
        <v>0</v>
      </c>
      <c r="J1906" s="93"/>
      <c r="K1906" s="93"/>
      <c r="L1906" s="93"/>
      <c r="M1906" s="93"/>
      <c r="N1906" s="93"/>
      <c r="O1906" s="93"/>
      <c r="P1906" s="93"/>
      <c r="Q1906" s="93"/>
      <c r="R1906" s="93"/>
      <c r="S1906" s="93"/>
      <c r="T1906" s="93"/>
      <c r="U1906" s="93"/>
      <c r="V1906" s="93"/>
      <c r="W1906" s="93"/>
      <c r="X1906" s="93"/>
      <c r="Y1906" s="93"/>
      <c r="Z1906" s="93"/>
    </row>
    <row r="1907" customFormat="false" ht="16.4" hidden="false" customHeight="false" outlineLevel="0" collapsed="false">
      <c r="A1907" s="123" t="n">
        <v>45444</v>
      </c>
      <c r="B1907" s="31" t="s">
        <v>153</v>
      </c>
      <c r="C1907" s="129"/>
      <c r="D1907" s="129"/>
      <c r="E1907" s="19" t="n">
        <f aca="false">F1907*0.03</f>
        <v>0</v>
      </c>
      <c r="F1907" s="33" t="n">
        <v>0</v>
      </c>
      <c r="G1907" s="131"/>
      <c r="H1907" s="35" t="n">
        <v>0</v>
      </c>
      <c r="I1907" s="34" t="n">
        <f aca="false">+IF(E1907=0,0,E1907*0.03)</f>
        <v>0</v>
      </c>
      <c r="J1907" s="93"/>
      <c r="K1907" s="93"/>
      <c r="L1907" s="93"/>
      <c r="M1907" s="93"/>
      <c r="N1907" s="93"/>
      <c r="O1907" s="93"/>
      <c r="P1907" s="93"/>
      <c r="Q1907" s="93"/>
      <c r="R1907" s="93"/>
      <c r="S1907" s="93"/>
      <c r="T1907" s="93"/>
      <c r="U1907" s="93"/>
      <c r="V1907" s="93"/>
      <c r="W1907" s="93"/>
      <c r="X1907" s="93"/>
      <c r="Y1907" s="93"/>
      <c r="Z1907" s="93"/>
    </row>
    <row r="1908" customFormat="false" ht="16.4" hidden="false" customHeight="false" outlineLevel="0" collapsed="false">
      <c r="A1908" s="123" t="n">
        <v>45444</v>
      </c>
      <c r="B1908" s="31" t="s">
        <v>153</v>
      </c>
      <c r="C1908" s="129"/>
      <c r="D1908" s="129"/>
      <c r="E1908" s="19" t="n">
        <f aca="false">F1908*0.03</f>
        <v>0</v>
      </c>
      <c r="F1908" s="33" t="n">
        <v>0</v>
      </c>
      <c r="G1908" s="131"/>
      <c r="H1908" s="35" t="n">
        <v>0</v>
      </c>
      <c r="I1908" s="34" t="n">
        <f aca="false">+IF(E1908=0,0,E1908*0.03)</f>
        <v>0</v>
      </c>
      <c r="J1908" s="93"/>
      <c r="K1908" s="93"/>
      <c r="L1908" s="93"/>
      <c r="M1908" s="93"/>
      <c r="N1908" s="93"/>
      <c r="O1908" s="93"/>
      <c r="P1908" s="93"/>
      <c r="Q1908" s="93"/>
      <c r="R1908" s="93"/>
      <c r="S1908" s="93"/>
      <c r="T1908" s="93"/>
      <c r="U1908" s="93"/>
      <c r="V1908" s="93"/>
      <c r="W1908" s="93"/>
      <c r="X1908" s="93"/>
      <c r="Y1908" s="93"/>
      <c r="Z1908" s="93"/>
    </row>
    <row r="1909" customFormat="false" ht="16.4" hidden="false" customHeight="false" outlineLevel="0" collapsed="false">
      <c r="A1909" s="123" t="n">
        <v>45444</v>
      </c>
      <c r="B1909" s="31" t="s">
        <v>153</v>
      </c>
      <c r="C1909" s="129"/>
      <c r="D1909" s="129"/>
      <c r="E1909" s="19" t="n">
        <f aca="false">F1909*0.03</f>
        <v>0</v>
      </c>
      <c r="F1909" s="33" t="n">
        <v>0</v>
      </c>
      <c r="G1909" s="131"/>
      <c r="H1909" s="35" t="n">
        <v>0</v>
      </c>
      <c r="I1909" s="34" t="n">
        <f aca="false">+IF(E1909=0,0,E1909*0.03)</f>
        <v>0</v>
      </c>
      <c r="J1909" s="93"/>
      <c r="K1909" s="93"/>
      <c r="L1909" s="93"/>
      <c r="M1909" s="93"/>
      <c r="N1909" s="93"/>
      <c r="O1909" s="93"/>
      <c r="P1909" s="93"/>
      <c r="Q1909" s="93"/>
      <c r="R1909" s="93"/>
      <c r="S1909" s="93"/>
      <c r="T1909" s="93"/>
      <c r="U1909" s="93"/>
      <c r="V1909" s="93"/>
      <c r="W1909" s="93"/>
      <c r="X1909" s="93"/>
      <c r="Y1909" s="93"/>
      <c r="Z1909" s="93"/>
    </row>
    <row r="1910" customFormat="false" ht="16.4" hidden="false" customHeight="false" outlineLevel="0" collapsed="false">
      <c r="A1910" s="123" t="n">
        <v>45444</v>
      </c>
      <c r="B1910" s="31" t="s">
        <v>153</v>
      </c>
      <c r="C1910" s="129"/>
      <c r="D1910" s="129"/>
      <c r="E1910" s="19" t="n">
        <f aca="false">F1910*0.03</f>
        <v>0</v>
      </c>
      <c r="F1910" s="33" t="n">
        <v>0</v>
      </c>
      <c r="G1910" s="131"/>
      <c r="H1910" s="35" t="n">
        <v>0</v>
      </c>
      <c r="I1910" s="34" t="n">
        <f aca="false">+IF(E1910=0,0,E1910*0.03)</f>
        <v>0</v>
      </c>
      <c r="J1910" s="93"/>
      <c r="K1910" s="93"/>
      <c r="L1910" s="93"/>
      <c r="M1910" s="93"/>
      <c r="N1910" s="93"/>
      <c r="O1910" s="93"/>
      <c r="P1910" s="93"/>
      <c r="Q1910" s="93"/>
      <c r="R1910" s="93"/>
      <c r="S1910" s="93"/>
      <c r="T1910" s="93"/>
      <c r="U1910" s="93"/>
      <c r="V1910" s="93"/>
      <c r="W1910" s="93"/>
      <c r="X1910" s="93"/>
      <c r="Y1910" s="93"/>
      <c r="Z1910" s="93"/>
    </row>
    <row r="1911" customFormat="false" ht="16.4" hidden="false" customHeight="false" outlineLevel="0" collapsed="false">
      <c r="A1911" s="123" t="n">
        <v>45444</v>
      </c>
      <c r="B1911" s="31" t="s">
        <v>153</v>
      </c>
      <c r="C1911" s="129"/>
      <c r="D1911" s="129"/>
      <c r="E1911" s="19" t="n">
        <f aca="false">F1911*0.03</f>
        <v>0</v>
      </c>
      <c r="F1911" s="33" t="n">
        <v>0</v>
      </c>
      <c r="G1911" s="131"/>
      <c r="H1911" s="35" t="n">
        <v>0</v>
      </c>
      <c r="I1911" s="34" t="n">
        <f aca="false">+IF(E1911=0,0,E1911*0.03)</f>
        <v>0</v>
      </c>
      <c r="J1911" s="93"/>
      <c r="K1911" s="93"/>
      <c r="L1911" s="93"/>
      <c r="M1911" s="93"/>
      <c r="N1911" s="93"/>
      <c r="O1911" s="93"/>
      <c r="P1911" s="93"/>
      <c r="Q1911" s="93"/>
      <c r="R1911" s="93"/>
      <c r="S1911" s="93"/>
      <c r="T1911" s="93"/>
      <c r="U1911" s="93"/>
      <c r="V1911" s="93"/>
      <c r="W1911" s="93"/>
      <c r="X1911" s="93"/>
      <c r="Y1911" s="93"/>
      <c r="Z1911" s="93"/>
    </row>
    <row r="1912" customFormat="false" ht="16.4" hidden="false" customHeight="false" outlineLevel="0" collapsed="false">
      <c r="A1912" s="123" t="n">
        <v>45444</v>
      </c>
      <c r="B1912" s="31" t="s">
        <v>153</v>
      </c>
      <c r="C1912" s="129"/>
      <c r="D1912" s="129"/>
      <c r="E1912" s="19" t="n">
        <f aca="false">F1912*0.03</f>
        <v>0</v>
      </c>
      <c r="F1912" s="33" t="n">
        <v>0</v>
      </c>
      <c r="G1912" s="131"/>
      <c r="H1912" s="35" t="n">
        <v>0</v>
      </c>
      <c r="I1912" s="34" t="n">
        <f aca="false">+IF(E1912=0,0,E1912*0.03)</f>
        <v>0</v>
      </c>
      <c r="J1912" s="93"/>
      <c r="K1912" s="93"/>
      <c r="L1912" s="93"/>
      <c r="M1912" s="93"/>
      <c r="N1912" s="93"/>
      <c r="O1912" s="93"/>
      <c r="P1912" s="93"/>
      <c r="Q1912" s="93"/>
      <c r="R1912" s="93"/>
      <c r="S1912" s="93"/>
      <c r="T1912" s="93"/>
      <c r="U1912" s="93"/>
      <c r="V1912" s="93"/>
      <c r="W1912" s="93"/>
      <c r="X1912" s="93"/>
      <c r="Y1912" s="93"/>
      <c r="Z1912" s="93"/>
    </row>
    <row r="1913" customFormat="false" ht="16.4" hidden="false" customHeight="false" outlineLevel="0" collapsed="false">
      <c r="A1913" s="123" t="n">
        <v>45444</v>
      </c>
      <c r="B1913" s="31" t="s">
        <v>153</v>
      </c>
      <c r="C1913" s="129"/>
      <c r="D1913" s="129"/>
      <c r="E1913" s="19" t="n">
        <f aca="false">F1913*0.03</f>
        <v>0</v>
      </c>
      <c r="F1913" s="33" t="n">
        <v>0</v>
      </c>
      <c r="G1913" s="131"/>
      <c r="H1913" s="35" t="n">
        <v>0</v>
      </c>
      <c r="I1913" s="34" t="n">
        <f aca="false">+IF(E1913=0,0,E1913*0.03)</f>
        <v>0</v>
      </c>
      <c r="J1913" s="93"/>
      <c r="K1913" s="93"/>
      <c r="L1913" s="93"/>
      <c r="M1913" s="93"/>
      <c r="N1913" s="93"/>
      <c r="O1913" s="93"/>
      <c r="P1913" s="93"/>
      <c r="Q1913" s="93"/>
      <c r="R1913" s="93"/>
      <c r="S1913" s="93"/>
      <c r="T1913" s="93"/>
      <c r="U1913" s="93"/>
      <c r="V1913" s="93"/>
      <c r="W1913" s="93"/>
      <c r="X1913" s="93"/>
      <c r="Y1913" s="93"/>
      <c r="Z1913" s="93"/>
    </row>
    <row r="1914" customFormat="false" ht="16.4" hidden="false" customHeight="false" outlineLevel="0" collapsed="false">
      <c r="A1914" s="123" t="n">
        <v>45444</v>
      </c>
      <c r="B1914" s="31" t="s">
        <v>153</v>
      </c>
      <c r="C1914" s="129"/>
      <c r="D1914" s="129"/>
      <c r="E1914" s="19" t="n">
        <f aca="false">F1914*0.03</f>
        <v>0</v>
      </c>
      <c r="F1914" s="33" t="n">
        <v>0</v>
      </c>
      <c r="G1914" s="131"/>
      <c r="H1914" s="35" t="n">
        <v>0</v>
      </c>
      <c r="I1914" s="34" t="n">
        <f aca="false">+IF(E1914=0,0,E1914*0.03)</f>
        <v>0</v>
      </c>
      <c r="J1914" s="93"/>
      <c r="K1914" s="93"/>
      <c r="L1914" s="93"/>
      <c r="M1914" s="93"/>
      <c r="N1914" s="93"/>
      <c r="O1914" s="93"/>
      <c r="P1914" s="93"/>
      <c r="Q1914" s="93"/>
      <c r="R1914" s="93"/>
      <c r="S1914" s="93"/>
      <c r="T1914" s="93"/>
      <c r="U1914" s="93"/>
      <c r="V1914" s="93"/>
      <c r="W1914" s="93"/>
      <c r="X1914" s="93"/>
      <c r="Y1914" s="93"/>
      <c r="Z1914" s="93"/>
    </row>
    <row r="1915" customFormat="false" ht="16.4" hidden="false" customHeight="false" outlineLevel="0" collapsed="false">
      <c r="A1915" s="123" t="n">
        <v>45444</v>
      </c>
      <c r="B1915" s="31" t="s">
        <v>153</v>
      </c>
      <c r="C1915" s="129"/>
      <c r="D1915" s="129"/>
      <c r="E1915" s="19" t="n">
        <f aca="false">F1915*0.03</f>
        <v>0</v>
      </c>
      <c r="F1915" s="33" t="n">
        <v>0</v>
      </c>
      <c r="G1915" s="131"/>
      <c r="H1915" s="35" t="n">
        <v>0</v>
      </c>
      <c r="I1915" s="34" t="n">
        <f aca="false">+IF(E1915=0,0,E1915*0.03)</f>
        <v>0</v>
      </c>
      <c r="J1915" s="93"/>
      <c r="K1915" s="93"/>
      <c r="L1915" s="93"/>
      <c r="M1915" s="93"/>
      <c r="N1915" s="93"/>
      <c r="O1915" s="93"/>
      <c r="P1915" s="93"/>
      <c r="Q1915" s="93"/>
      <c r="R1915" s="93"/>
      <c r="S1915" s="93"/>
      <c r="T1915" s="93"/>
      <c r="U1915" s="93"/>
      <c r="V1915" s="93"/>
      <c r="W1915" s="93"/>
      <c r="X1915" s="93"/>
      <c r="Y1915" s="93"/>
      <c r="Z1915" s="93"/>
    </row>
    <row r="1916" customFormat="false" ht="16.4" hidden="false" customHeight="false" outlineLevel="0" collapsed="false">
      <c r="A1916" s="123" t="n">
        <v>45444</v>
      </c>
      <c r="B1916" s="31" t="s">
        <v>153</v>
      </c>
      <c r="C1916" s="129"/>
      <c r="D1916" s="129"/>
      <c r="E1916" s="19" t="n">
        <f aca="false">F1916*0.03</f>
        <v>0</v>
      </c>
      <c r="F1916" s="33" t="n">
        <v>0</v>
      </c>
      <c r="G1916" s="131"/>
      <c r="H1916" s="35" t="n">
        <v>0</v>
      </c>
      <c r="I1916" s="34" t="n">
        <f aca="false">+IF(E1916=0,0,E1916*0.03)</f>
        <v>0</v>
      </c>
      <c r="J1916" s="93"/>
      <c r="K1916" s="93"/>
      <c r="L1916" s="93"/>
      <c r="M1916" s="93"/>
      <c r="N1916" s="93"/>
      <c r="O1916" s="93"/>
      <c r="P1916" s="93"/>
      <c r="Q1916" s="93"/>
      <c r="R1916" s="93"/>
      <c r="S1916" s="93"/>
      <c r="T1916" s="93"/>
      <c r="U1916" s="93"/>
      <c r="V1916" s="93"/>
      <c r="W1916" s="93"/>
      <c r="X1916" s="93"/>
      <c r="Y1916" s="93"/>
      <c r="Z1916" s="93"/>
    </row>
    <row r="1917" customFormat="false" ht="16.4" hidden="false" customHeight="false" outlineLevel="0" collapsed="false">
      <c r="A1917" s="123" t="n">
        <v>45444</v>
      </c>
      <c r="B1917" s="31" t="s">
        <v>153</v>
      </c>
      <c r="C1917" s="129"/>
      <c r="D1917" s="129"/>
      <c r="E1917" s="19" t="n">
        <f aca="false">F1917*0.03</f>
        <v>0</v>
      </c>
      <c r="F1917" s="33" t="n">
        <v>0</v>
      </c>
      <c r="G1917" s="131"/>
      <c r="H1917" s="35" t="n">
        <v>0</v>
      </c>
      <c r="I1917" s="34" t="n">
        <f aca="false">+IF(E1917=0,0,E1917*0.03)</f>
        <v>0</v>
      </c>
      <c r="J1917" s="93"/>
      <c r="K1917" s="93"/>
      <c r="L1917" s="93"/>
      <c r="M1917" s="93"/>
      <c r="N1917" s="93"/>
      <c r="O1917" s="93"/>
      <c r="P1917" s="93"/>
      <c r="Q1917" s="93"/>
      <c r="R1917" s="93"/>
      <c r="S1917" s="93"/>
      <c r="T1917" s="93"/>
      <c r="U1917" s="93"/>
      <c r="V1917" s="93"/>
      <c r="W1917" s="93"/>
      <c r="X1917" s="93"/>
      <c r="Y1917" s="93"/>
      <c r="Z1917" s="93"/>
    </row>
    <row r="1918" customFormat="false" ht="16.4" hidden="false" customHeight="false" outlineLevel="0" collapsed="false">
      <c r="A1918" s="123" t="n">
        <v>45444</v>
      </c>
      <c r="B1918" s="31" t="s">
        <v>153</v>
      </c>
      <c r="C1918" s="129"/>
      <c r="D1918" s="129"/>
      <c r="E1918" s="19" t="n">
        <f aca="false">F1918*0.03</f>
        <v>0</v>
      </c>
      <c r="F1918" s="33" t="n">
        <v>0</v>
      </c>
      <c r="G1918" s="131"/>
      <c r="H1918" s="35" t="n">
        <v>0</v>
      </c>
      <c r="I1918" s="34" t="n">
        <f aca="false">+IF(E1918=0,0,E1918*0.03)</f>
        <v>0</v>
      </c>
      <c r="J1918" s="93"/>
      <c r="K1918" s="93"/>
      <c r="L1918" s="93"/>
      <c r="M1918" s="93"/>
      <c r="N1918" s="93"/>
      <c r="O1918" s="93"/>
      <c r="P1918" s="93"/>
      <c r="Q1918" s="93"/>
      <c r="R1918" s="93"/>
      <c r="S1918" s="93"/>
      <c r="T1918" s="93"/>
      <c r="U1918" s="93"/>
      <c r="V1918" s="93"/>
      <c r="W1918" s="93"/>
      <c r="X1918" s="93"/>
      <c r="Y1918" s="93"/>
      <c r="Z1918" s="93"/>
    </row>
    <row r="1919" customFormat="false" ht="16.4" hidden="false" customHeight="false" outlineLevel="0" collapsed="false">
      <c r="A1919" s="123" t="n">
        <v>45444</v>
      </c>
      <c r="B1919" s="31" t="s">
        <v>153</v>
      </c>
      <c r="C1919" s="129"/>
      <c r="D1919" s="129"/>
      <c r="E1919" s="19" t="n">
        <f aca="false">F1919*0.03</f>
        <v>0</v>
      </c>
      <c r="F1919" s="33" t="n">
        <v>0</v>
      </c>
      <c r="G1919" s="131"/>
      <c r="H1919" s="35" t="n">
        <v>0</v>
      </c>
      <c r="I1919" s="34" t="n">
        <f aca="false">+IF(E1919=0,0,E1919*0.03)</f>
        <v>0</v>
      </c>
      <c r="J1919" s="93"/>
      <c r="K1919" s="93"/>
      <c r="L1919" s="93"/>
      <c r="M1919" s="93"/>
      <c r="N1919" s="93"/>
      <c r="O1919" s="93"/>
      <c r="P1919" s="93"/>
      <c r="Q1919" s="93"/>
      <c r="R1919" s="93"/>
      <c r="S1919" s="93"/>
      <c r="T1919" s="93"/>
      <c r="U1919" s="93"/>
      <c r="V1919" s="93"/>
      <c r="W1919" s="93"/>
      <c r="X1919" s="93"/>
      <c r="Y1919" s="93"/>
      <c r="Z1919" s="93"/>
    </row>
    <row r="1920" customFormat="false" ht="16.4" hidden="false" customHeight="false" outlineLevel="0" collapsed="false">
      <c r="A1920" s="123" t="n">
        <v>45444</v>
      </c>
      <c r="B1920" s="31" t="s">
        <v>153</v>
      </c>
      <c r="C1920" s="129"/>
      <c r="D1920" s="129"/>
      <c r="E1920" s="19" t="n">
        <f aca="false">F1920*0.03</f>
        <v>0</v>
      </c>
      <c r="F1920" s="33" t="n">
        <v>0</v>
      </c>
      <c r="G1920" s="131"/>
      <c r="H1920" s="35" t="n">
        <v>0</v>
      </c>
      <c r="I1920" s="34" t="n">
        <f aca="false">+IF(E1920=0,0,E1920*0.03)</f>
        <v>0</v>
      </c>
      <c r="J1920" s="93"/>
      <c r="K1920" s="93"/>
      <c r="L1920" s="93"/>
      <c r="M1920" s="93"/>
      <c r="N1920" s="93"/>
      <c r="O1920" s="93"/>
      <c r="P1920" s="93"/>
      <c r="Q1920" s="93"/>
      <c r="R1920" s="93"/>
      <c r="S1920" s="93"/>
      <c r="T1920" s="93"/>
      <c r="U1920" s="93"/>
      <c r="V1920" s="93"/>
      <c r="W1920" s="93"/>
      <c r="X1920" s="93"/>
      <c r="Y1920" s="93"/>
      <c r="Z1920" s="93"/>
    </row>
    <row r="1921" customFormat="false" ht="16.4" hidden="false" customHeight="false" outlineLevel="0" collapsed="false">
      <c r="A1921" s="123" t="n">
        <v>45444</v>
      </c>
      <c r="B1921" s="31" t="s">
        <v>153</v>
      </c>
      <c r="C1921" s="129"/>
      <c r="D1921" s="129"/>
      <c r="E1921" s="19" t="n">
        <f aca="false">F1921*0.03</f>
        <v>0</v>
      </c>
      <c r="F1921" s="33" t="n">
        <v>0</v>
      </c>
      <c r="G1921" s="131"/>
      <c r="H1921" s="35" t="n">
        <v>0</v>
      </c>
      <c r="I1921" s="34" t="n">
        <f aca="false">+IF(E1921=0,0,E1921*0.03)</f>
        <v>0</v>
      </c>
      <c r="J1921" s="93"/>
      <c r="K1921" s="93"/>
      <c r="L1921" s="93"/>
      <c r="M1921" s="93"/>
      <c r="N1921" s="93"/>
      <c r="O1921" s="93"/>
      <c r="P1921" s="93"/>
      <c r="Q1921" s="93"/>
      <c r="R1921" s="93"/>
      <c r="S1921" s="93"/>
      <c r="T1921" s="93"/>
      <c r="U1921" s="93"/>
      <c r="V1921" s="93"/>
      <c r="W1921" s="93"/>
      <c r="X1921" s="93"/>
      <c r="Y1921" s="93"/>
      <c r="Z1921" s="93"/>
    </row>
    <row r="1922" customFormat="false" ht="16.4" hidden="false" customHeight="false" outlineLevel="0" collapsed="false">
      <c r="A1922" s="123" t="n">
        <v>45444</v>
      </c>
      <c r="B1922" s="31" t="s">
        <v>153</v>
      </c>
      <c r="C1922" s="129"/>
      <c r="D1922" s="129"/>
      <c r="E1922" s="19" t="n">
        <f aca="false">F1922*0.03</f>
        <v>0</v>
      </c>
      <c r="F1922" s="33" t="n">
        <v>0</v>
      </c>
      <c r="G1922" s="131"/>
      <c r="H1922" s="35" t="n">
        <v>0</v>
      </c>
      <c r="I1922" s="34" t="n">
        <f aca="false">+IF(E1922=0,0,E1922*0.03)</f>
        <v>0</v>
      </c>
      <c r="J1922" s="93"/>
      <c r="K1922" s="93"/>
      <c r="L1922" s="93"/>
      <c r="M1922" s="93"/>
      <c r="N1922" s="93"/>
      <c r="O1922" s="93"/>
      <c r="P1922" s="93"/>
      <c r="Q1922" s="93"/>
      <c r="R1922" s="93"/>
      <c r="S1922" s="93"/>
      <c r="T1922" s="93"/>
      <c r="U1922" s="93"/>
      <c r="V1922" s="93"/>
      <c r="W1922" s="93"/>
      <c r="X1922" s="93"/>
      <c r="Y1922" s="93"/>
      <c r="Z1922" s="93"/>
    </row>
    <row r="1923" customFormat="false" ht="16.4" hidden="false" customHeight="false" outlineLevel="0" collapsed="false">
      <c r="A1923" s="123" t="n">
        <v>45444</v>
      </c>
      <c r="B1923" s="31" t="s">
        <v>153</v>
      </c>
      <c r="C1923" s="129"/>
      <c r="D1923" s="129"/>
      <c r="E1923" s="19" t="n">
        <f aca="false">F1923*0.03</f>
        <v>0</v>
      </c>
      <c r="F1923" s="33" t="n">
        <v>0</v>
      </c>
      <c r="G1923" s="131"/>
      <c r="H1923" s="35" t="n">
        <v>0</v>
      </c>
      <c r="I1923" s="34" t="n">
        <f aca="false">+IF(E1923=0,0,E1923*0.03)</f>
        <v>0</v>
      </c>
      <c r="J1923" s="93"/>
      <c r="K1923" s="93"/>
      <c r="L1923" s="93"/>
      <c r="M1923" s="93"/>
      <c r="N1923" s="93"/>
      <c r="O1923" s="93"/>
      <c r="P1923" s="93"/>
      <c r="Q1923" s="93"/>
      <c r="R1923" s="93"/>
      <c r="S1923" s="93"/>
      <c r="T1923" s="93"/>
      <c r="U1923" s="93"/>
      <c r="V1923" s="93"/>
      <c r="W1923" s="93"/>
      <c r="X1923" s="93"/>
      <c r="Y1923" s="93"/>
      <c r="Z1923" s="93"/>
    </row>
    <row r="1924" customFormat="false" ht="16.4" hidden="false" customHeight="false" outlineLevel="0" collapsed="false">
      <c r="A1924" s="123" t="n">
        <v>45444</v>
      </c>
      <c r="B1924" s="31" t="s">
        <v>153</v>
      </c>
      <c r="C1924" s="129"/>
      <c r="D1924" s="129"/>
      <c r="E1924" s="19" t="n">
        <f aca="false">F1924*0.03</f>
        <v>0</v>
      </c>
      <c r="F1924" s="33" t="n">
        <v>0</v>
      </c>
      <c r="G1924" s="131"/>
      <c r="H1924" s="35" t="n">
        <v>0</v>
      </c>
      <c r="I1924" s="34" t="n">
        <f aca="false">+IF(E1924=0,0,E1924*0.03)</f>
        <v>0</v>
      </c>
      <c r="J1924" s="93"/>
      <c r="K1924" s="93"/>
      <c r="L1924" s="93"/>
      <c r="M1924" s="93"/>
      <c r="N1924" s="93"/>
      <c r="O1924" s="93"/>
      <c r="P1924" s="93"/>
      <c r="Q1924" s="93"/>
      <c r="R1924" s="93"/>
      <c r="S1924" s="93"/>
      <c r="T1924" s="93"/>
      <c r="U1924" s="93"/>
      <c r="V1924" s="93"/>
      <c r="W1924" s="93"/>
      <c r="X1924" s="93"/>
      <c r="Y1924" s="93"/>
      <c r="Z1924" s="93"/>
    </row>
    <row r="1925" customFormat="false" ht="16.4" hidden="false" customHeight="false" outlineLevel="0" collapsed="false">
      <c r="A1925" s="123" t="n">
        <v>45444</v>
      </c>
      <c r="B1925" s="31" t="s">
        <v>153</v>
      </c>
      <c r="C1925" s="129"/>
      <c r="D1925" s="129"/>
      <c r="E1925" s="19" t="n">
        <f aca="false">F1925*0.03</f>
        <v>0</v>
      </c>
      <c r="F1925" s="33" t="n">
        <v>0</v>
      </c>
      <c r="G1925" s="131"/>
      <c r="H1925" s="35" t="n">
        <v>0</v>
      </c>
      <c r="I1925" s="34" t="n">
        <f aca="false">+IF(E1925=0,0,E1925*0.03)</f>
        <v>0</v>
      </c>
      <c r="J1925" s="93"/>
      <c r="K1925" s="93"/>
      <c r="L1925" s="93"/>
      <c r="M1925" s="93"/>
      <c r="N1925" s="93"/>
      <c r="O1925" s="93"/>
      <c r="P1925" s="93"/>
      <c r="Q1925" s="93"/>
      <c r="R1925" s="93"/>
      <c r="S1925" s="93"/>
      <c r="T1925" s="93"/>
      <c r="U1925" s="93"/>
      <c r="V1925" s="93"/>
      <c r="W1925" s="93"/>
      <c r="X1925" s="93"/>
      <c r="Y1925" s="93"/>
      <c r="Z1925" s="93"/>
    </row>
    <row r="1926" customFormat="false" ht="16.4" hidden="false" customHeight="false" outlineLevel="0" collapsed="false">
      <c r="A1926" s="123" t="n">
        <v>45444</v>
      </c>
      <c r="B1926" s="31" t="s">
        <v>153</v>
      </c>
      <c r="C1926" s="129"/>
      <c r="D1926" s="129"/>
      <c r="E1926" s="19" t="n">
        <f aca="false">F1926*0.03</f>
        <v>0</v>
      </c>
      <c r="F1926" s="33" t="n">
        <v>0</v>
      </c>
      <c r="G1926" s="131"/>
      <c r="H1926" s="35" t="n">
        <v>0</v>
      </c>
      <c r="I1926" s="34" t="n">
        <f aca="false">+IF(E1926=0,0,E1926*0.03)</f>
        <v>0</v>
      </c>
      <c r="J1926" s="93"/>
      <c r="K1926" s="93"/>
      <c r="L1926" s="93"/>
      <c r="M1926" s="93"/>
      <c r="N1926" s="93"/>
      <c r="O1926" s="93"/>
      <c r="P1926" s="93"/>
      <c r="Q1926" s="93"/>
      <c r="R1926" s="93"/>
      <c r="S1926" s="93"/>
      <c r="T1926" s="93"/>
      <c r="U1926" s="93"/>
      <c r="V1926" s="93"/>
      <c r="W1926" s="93"/>
      <c r="X1926" s="93"/>
      <c r="Y1926" s="93"/>
      <c r="Z1926" s="93"/>
    </row>
    <row r="1927" customFormat="false" ht="16.4" hidden="false" customHeight="false" outlineLevel="0" collapsed="false">
      <c r="A1927" s="123" t="n">
        <v>45444</v>
      </c>
      <c r="B1927" s="31" t="s">
        <v>153</v>
      </c>
      <c r="C1927" s="129"/>
      <c r="D1927" s="129"/>
      <c r="E1927" s="19" t="n">
        <f aca="false">F1927*0.03</f>
        <v>0</v>
      </c>
      <c r="F1927" s="33" t="n">
        <v>0</v>
      </c>
      <c r="G1927" s="131"/>
      <c r="H1927" s="35" t="n">
        <v>0</v>
      </c>
      <c r="I1927" s="34" t="n">
        <f aca="false">+IF(E1927=0,0,E1927*0.03)</f>
        <v>0</v>
      </c>
      <c r="J1927" s="93"/>
      <c r="K1927" s="93"/>
      <c r="L1927" s="93"/>
      <c r="M1927" s="93"/>
      <c r="N1927" s="93"/>
      <c r="O1927" s="93"/>
      <c r="P1927" s="93"/>
      <c r="Q1927" s="93"/>
      <c r="R1927" s="93"/>
      <c r="S1927" s="93"/>
      <c r="T1927" s="93"/>
      <c r="U1927" s="93"/>
      <c r="V1927" s="93"/>
      <c r="W1927" s="93"/>
      <c r="X1927" s="93"/>
      <c r="Y1927" s="93"/>
      <c r="Z1927" s="93"/>
    </row>
    <row r="1928" customFormat="false" ht="16.4" hidden="false" customHeight="false" outlineLevel="0" collapsed="false">
      <c r="A1928" s="123" t="n">
        <v>45444</v>
      </c>
      <c r="B1928" s="31" t="s">
        <v>153</v>
      </c>
      <c r="C1928" s="129"/>
      <c r="D1928" s="129"/>
      <c r="E1928" s="19" t="n">
        <f aca="false">F1928*0.03</f>
        <v>0</v>
      </c>
      <c r="F1928" s="33" t="n">
        <v>0</v>
      </c>
      <c r="G1928" s="131"/>
      <c r="H1928" s="35" t="n">
        <v>0</v>
      </c>
      <c r="I1928" s="34" t="n">
        <f aca="false">+IF(E1928=0,0,E1928*0.03)</f>
        <v>0</v>
      </c>
      <c r="J1928" s="93"/>
      <c r="K1928" s="93"/>
      <c r="L1928" s="93"/>
      <c r="M1928" s="93"/>
      <c r="N1928" s="93"/>
      <c r="O1928" s="93"/>
      <c r="P1928" s="93"/>
      <c r="Q1928" s="93"/>
      <c r="R1928" s="93"/>
      <c r="S1928" s="93"/>
      <c r="T1928" s="93"/>
      <c r="U1928" s="93"/>
      <c r="V1928" s="93"/>
      <c r="W1928" s="93"/>
      <c r="X1928" s="93"/>
      <c r="Y1928" s="93"/>
      <c r="Z1928" s="93"/>
    </row>
    <row r="1929" customFormat="false" ht="16.4" hidden="false" customHeight="false" outlineLevel="0" collapsed="false">
      <c r="A1929" s="123" t="n">
        <v>45444</v>
      </c>
      <c r="B1929" s="31" t="s">
        <v>153</v>
      </c>
      <c r="C1929" s="129"/>
      <c r="D1929" s="129"/>
      <c r="E1929" s="19" t="n">
        <f aca="false">F1929*0.03</f>
        <v>0</v>
      </c>
      <c r="F1929" s="33" t="n">
        <v>0</v>
      </c>
      <c r="G1929" s="131"/>
      <c r="H1929" s="35" t="n">
        <v>0</v>
      </c>
      <c r="I1929" s="34" t="n">
        <f aca="false">+IF(E1929=0,0,E1929*0.03)</f>
        <v>0</v>
      </c>
      <c r="J1929" s="93"/>
      <c r="K1929" s="93"/>
      <c r="L1929" s="93"/>
      <c r="M1929" s="93"/>
      <c r="N1929" s="93"/>
      <c r="O1929" s="93"/>
      <c r="P1929" s="93"/>
      <c r="Q1929" s="93"/>
      <c r="R1929" s="93"/>
      <c r="S1929" s="93"/>
      <c r="T1929" s="93"/>
      <c r="U1929" s="93"/>
      <c r="V1929" s="93"/>
      <c r="W1929" s="93"/>
      <c r="X1929" s="93"/>
      <c r="Y1929" s="93"/>
      <c r="Z1929" s="93"/>
    </row>
    <row r="1930" customFormat="false" ht="16.4" hidden="false" customHeight="false" outlineLevel="0" collapsed="false">
      <c r="A1930" s="123" t="n">
        <v>45444</v>
      </c>
      <c r="B1930" s="31" t="s">
        <v>153</v>
      </c>
      <c r="C1930" s="129"/>
      <c r="D1930" s="129"/>
      <c r="E1930" s="19" t="n">
        <f aca="false">F1930*0.03</f>
        <v>0</v>
      </c>
      <c r="F1930" s="33" t="n">
        <v>0</v>
      </c>
      <c r="G1930" s="131"/>
      <c r="H1930" s="35" t="n">
        <v>0</v>
      </c>
      <c r="I1930" s="34" t="n">
        <f aca="false">+IF(E1930=0,0,E1930*0.03)</f>
        <v>0</v>
      </c>
      <c r="J1930" s="93"/>
      <c r="K1930" s="93"/>
      <c r="L1930" s="93"/>
      <c r="M1930" s="93"/>
      <c r="N1930" s="93"/>
      <c r="O1930" s="93"/>
      <c r="P1930" s="93"/>
      <c r="Q1930" s="93"/>
      <c r="R1930" s="93"/>
      <c r="S1930" s="93"/>
      <c r="T1930" s="93"/>
      <c r="U1930" s="93"/>
      <c r="V1930" s="93"/>
      <c r="W1930" s="93"/>
      <c r="X1930" s="93"/>
      <c r="Y1930" s="93"/>
      <c r="Z1930" s="93"/>
    </row>
    <row r="1931" customFormat="false" ht="16.4" hidden="false" customHeight="false" outlineLevel="0" collapsed="false">
      <c r="A1931" s="123" t="n">
        <v>45444</v>
      </c>
      <c r="B1931" s="31" t="s">
        <v>153</v>
      </c>
      <c r="C1931" s="129"/>
      <c r="D1931" s="129"/>
      <c r="E1931" s="19" t="n">
        <f aca="false">F1931*0.03</f>
        <v>0</v>
      </c>
      <c r="F1931" s="33" t="n">
        <v>0</v>
      </c>
      <c r="G1931" s="131"/>
      <c r="H1931" s="35" t="n">
        <v>0</v>
      </c>
      <c r="I1931" s="34" t="n">
        <f aca="false">+IF(E1931=0,0,E1931*0.03)</f>
        <v>0</v>
      </c>
      <c r="J1931" s="93"/>
      <c r="K1931" s="93"/>
      <c r="L1931" s="93"/>
      <c r="M1931" s="93"/>
      <c r="N1931" s="93"/>
      <c r="O1931" s="93"/>
      <c r="P1931" s="93"/>
      <c r="Q1931" s="93"/>
      <c r="R1931" s="93"/>
      <c r="S1931" s="93"/>
      <c r="T1931" s="93"/>
      <c r="U1931" s="93"/>
      <c r="V1931" s="93"/>
      <c r="W1931" s="93"/>
      <c r="X1931" s="93"/>
      <c r="Y1931" s="93"/>
      <c r="Z1931" s="93"/>
    </row>
    <row r="1932" customFormat="false" ht="16.4" hidden="false" customHeight="false" outlineLevel="0" collapsed="false">
      <c r="A1932" s="123" t="n">
        <v>45444</v>
      </c>
      <c r="B1932" s="31" t="s">
        <v>153</v>
      </c>
      <c r="C1932" s="129"/>
      <c r="D1932" s="129"/>
      <c r="E1932" s="19" t="n">
        <f aca="false">F1932*0.03</f>
        <v>0</v>
      </c>
      <c r="F1932" s="33" t="n">
        <v>0</v>
      </c>
      <c r="G1932" s="131"/>
      <c r="H1932" s="35" t="n">
        <v>0</v>
      </c>
      <c r="I1932" s="34" t="n">
        <f aca="false">+IF(E1932=0,0,E1932*0.03)</f>
        <v>0</v>
      </c>
      <c r="J1932" s="93"/>
      <c r="K1932" s="93"/>
      <c r="L1932" s="93"/>
      <c r="M1932" s="93"/>
      <c r="N1932" s="93"/>
      <c r="O1932" s="93"/>
      <c r="P1932" s="93"/>
      <c r="Q1932" s="93"/>
      <c r="R1932" s="93"/>
      <c r="S1932" s="93"/>
      <c r="T1932" s="93"/>
      <c r="U1932" s="93"/>
      <c r="V1932" s="93"/>
      <c r="W1932" s="93"/>
      <c r="X1932" s="93"/>
      <c r="Y1932" s="93"/>
      <c r="Z1932" s="93"/>
    </row>
    <row r="1933" customFormat="false" ht="16.4" hidden="false" customHeight="false" outlineLevel="0" collapsed="false">
      <c r="A1933" s="123" t="n">
        <v>45444</v>
      </c>
      <c r="B1933" s="31" t="s">
        <v>153</v>
      </c>
      <c r="C1933" s="129"/>
      <c r="D1933" s="129"/>
      <c r="E1933" s="19" t="n">
        <f aca="false">F1933*0.03</f>
        <v>0</v>
      </c>
      <c r="F1933" s="33" t="n">
        <v>0</v>
      </c>
      <c r="G1933" s="131"/>
      <c r="H1933" s="35" t="n">
        <v>0</v>
      </c>
      <c r="I1933" s="34" t="n">
        <f aca="false">+IF(E1933=0,0,E1933*0.03)</f>
        <v>0</v>
      </c>
      <c r="J1933" s="93"/>
      <c r="K1933" s="93"/>
      <c r="L1933" s="93"/>
      <c r="M1933" s="93"/>
      <c r="N1933" s="93"/>
      <c r="O1933" s="93"/>
      <c r="P1933" s="93"/>
      <c r="Q1933" s="93"/>
      <c r="R1933" s="93"/>
      <c r="S1933" s="93"/>
      <c r="T1933" s="93"/>
      <c r="U1933" s="93"/>
      <c r="V1933" s="93"/>
      <c r="W1933" s="93"/>
      <c r="X1933" s="93"/>
      <c r="Y1933" s="93"/>
      <c r="Z1933" s="93"/>
    </row>
    <row r="1934" customFormat="false" ht="16.4" hidden="false" customHeight="false" outlineLevel="0" collapsed="false">
      <c r="A1934" s="123" t="n">
        <v>45444</v>
      </c>
      <c r="B1934" s="31" t="s">
        <v>153</v>
      </c>
      <c r="C1934" s="129"/>
      <c r="D1934" s="129"/>
      <c r="E1934" s="19" t="n">
        <f aca="false">F1934*0.03</f>
        <v>0</v>
      </c>
      <c r="F1934" s="33" t="n">
        <v>0</v>
      </c>
      <c r="G1934" s="131"/>
      <c r="H1934" s="35" t="n">
        <v>0</v>
      </c>
      <c r="I1934" s="34" t="n">
        <f aca="false">+IF(E1934=0,0,E1934*0.03)</f>
        <v>0</v>
      </c>
      <c r="J1934" s="93"/>
      <c r="K1934" s="93"/>
      <c r="L1934" s="93"/>
      <c r="M1934" s="93"/>
      <c r="N1934" s="93"/>
      <c r="O1934" s="93"/>
      <c r="P1934" s="93"/>
      <c r="Q1934" s="93"/>
      <c r="R1934" s="93"/>
      <c r="S1934" s="93"/>
      <c r="T1934" s="93"/>
      <c r="U1934" s="93"/>
      <c r="V1934" s="93"/>
      <c r="W1934" s="93"/>
      <c r="X1934" s="93"/>
      <c r="Y1934" s="93"/>
      <c r="Z1934" s="93"/>
    </row>
    <row r="1935" customFormat="false" ht="16.4" hidden="false" customHeight="false" outlineLevel="0" collapsed="false">
      <c r="A1935" s="123" t="n">
        <v>45444</v>
      </c>
      <c r="B1935" s="31" t="s">
        <v>153</v>
      </c>
      <c r="C1935" s="129"/>
      <c r="D1935" s="129"/>
      <c r="E1935" s="19" t="n">
        <f aca="false">F1935*0.03</f>
        <v>0</v>
      </c>
      <c r="F1935" s="33" t="n">
        <v>0</v>
      </c>
      <c r="G1935" s="131"/>
      <c r="H1935" s="35" t="n">
        <v>0</v>
      </c>
      <c r="I1935" s="34" t="n">
        <f aca="false">+IF(E1935=0,0,E1935*0.03)</f>
        <v>0</v>
      </c>
      <c r="J1935" s="93"/>
      <c r="K1935" s="93"/>
      <c r="L1935" s="93"/>
      <c r="M1935" s="93"/>
      <c r="N1935" s="93"/>
      <c r="O1935" s="93"/>
      <c r="P1935" s="93"/>
      <c r="Q1935" s="93"/>
      <c r="R1935" s="93"/>
      <c r="S1935" s="93"/>
      <c r="T1935" s="93"/>
      <c r="U1935" s="93"/>
      <c r="V1935" s="93"/>
      <c r="W1935" s="93"/>
      <c r="X1935" s="93"/>
      <c r="Y1935" s="93"/>
      <c r="Z1935" s="93"/>
    </row>
    <row r="1936" customFormat="false" ht="16.4" hidden="false" customHeight="false" outlineLevel="0" collapsed="false">
      <c r="A1936" s="123" t="n">
        <v>45444</v>
      </c>
      <c r="B1936" s="31" t="s">
        <v>153</v>
      </c>
      <c r="C1936" s="129"/>
      <c r="D1936" s="129"/>
      <c r="E1936" s="19" t="n">
        <f aca="false">F1936*0.03</f>
        <v>0</v>
      </c>
      <c r="F1936" s="33" t="n">
        <v>0</v>
      </c>
      <c r="G1936" s="131"/>
      <c r="H1936" s="35" t="n">
        <v>0</v>
      </c>
      <c r="I1936" s="34" t="n">
        <f aca="false">+IF(E1936=0,0,E1936*0.03)</f>
        <v>0</v>
      </c>
      <c r="J1936" s="93"/>
      <c r="K1936" s="93"/>
      <c r="L1936" s="93"/>
      <c r="M1936" s="93"/>
      <c r="N1936" s="93"/>
      <c r="O1936" s="93"/>
      <c r="P1936" s="93"/>
      <c r="Q1936" s="93"/>
      <c r="R1936" s="93"/>
      <c r="S1936" s="93"/>
      <c r="T1936" s="93"/>
      <c r="U1936" s="93"/>
      <c r="V1936" s="93"/>
      <c r="W1936" s="93"/>
      <c r="X1936" s="93"/>
      <c r="Y1936" s="93"/>
      <c r="Z1936" s="93"/>
    </row>
    <row r="1937" customFormat="false" ht="16.4" hidden="false" customHeight="false" outlineLevel="0" collapsed="false">
      <c r="A1937" s="123" t="n">
        <v>45444</v>
      </c>
      <c r="B1937" s="31" t="s">
        <v>153</v>
      </c>
      <c r="C1937" s="129"/>
      <c r="D1937" s="129"/>
      <c r="E1937" s="19" t="n">
        <f aca="false">F1937*0.03</f>
        <v>0</v>
      </c>
      <c r="F1937" s="33" t="n">
        <v>0</v>
      </c>
      <c r="G1937" s="131"/>
      <c r="H1937" s="35" t="n">
        <v>0</v>
      </c>
      <c r="I1937" s="34" t="n">
        <f aca="false">+IF(E1937=0,0,E1937*0.03)</f>
        <v>0</v>
      </c>
      <c r="J1937" s="93"/>
      <c r="K1937" s="93"/>
      <c r="L1937" s="93"/>
      <c r="M1937" s="93"/>
      <c r="N1937" s="93"/>
      <c r="O1937" s="93"/>
      <c r="P1937" s="93"/>
      <c r="Q1937" s="93"/>
      <c r="R1937" s="93"/>
      <c r="S1937" s="93"/>
      <c r="T1937" s="93"/>
      <c r="U1937" s="93"/>
      <c r="V1937" s="93"/>
      <c r="W1937" s="93"/>
      <c r="X1937" s="93"/>
      <c r="Y1937" s="93"/>
      <c r="Z1937" s="93"/>
    </row>
    <row r="1938" customFormat="false" ht="16.4" hidden="false" customHeight="false" outlineLevel="0" collapsed="false">
      <c r="A1938" s="123" t="n">
        <v>45444</v>
      </c>
      <c r="B1938" s="31" t="s">
        <v>153</v>
      </c>
      <c r="C1938" s="129"/>
      <c r="D1938" s="129"/>
      <c r="E1938" s="19" t="n">
        <f aca="false">F1938*0.03</f>
        <v>0</v>
      </c>
      <c r="F1938" s="33" t="n">
        <v>0</v>
      </c>
      <c r="G1938" s="131"/>
      <c r="H1938" s="35" t="n">
        <v>0</v>
      </c>
      <c r="I1938" s="34" t="n">
        <f aca="false">+IF(E1938=0,0,E1938*0.03)</f>
        <v>0</v>
      </c>
      <c r="J1938" s="93"/>
      <c r="K1938" s="93"/>
      <c r="L1938" s="93"/>
      <c r="M1938" s="93"/>
      <c r="N1938" s="93"/>
      <c r="O1938" s="93"/>
      <c r="P1938" s="93"/>
      <c r="Q1938" s="93"/>
      <c r="R1938" s="93"/>
      <c r="S1938" s="93"/>
      <c r="T1938" s="93"/>
      <c r="U1938" s="93"/>
      <c r="V1938" s="93"/>
      <c r="W1938" s="93"/>
      <c r="X1938" s="93"/>
      <c r="Y1938" s="93"/>
      <c r="Z1938" s="93"/>
    </row>
    <row r="1939" customFormat="false" ht="16.4" hidden="false" customHeight="false" outlineLevel="0" collapsed="false">
      <c r="A1939" s="123" t="n">
        <v>45444</v>
      </c>
      <c r="B1939" s="31" t="s">
        <v>153</v>
      </c>
      <c r="C1939" s="129"/>
      <c r="D1939" s="129"/>
      <c r="E1939" s="19" t="n">
        <f aca="false">F1939*0.03</f>
        <v>0</v>
      </c>
      <c r="F1939" s="33" t="n">
        <v>0</v>
      </c>
      <c r="G1939" s="131"/>
      <c r="H1939" s="35" t="n">
        <v>0</v>
      </c>
      <c r="I1939" s="34" t="n">
        <f aca="false">+IF(E1939=0,0,E1939*0.03)</f>
        <v>0</v>
      </c>
      <c r="J1939" s="93"/>
      <c r="K1939" s="93"/>
      <c r="L1939" s="93"/>
      <c r="M1939" s="93"/>
      <c r="N1939" s="93"/>
      <c r="O1939" s="93"/>
      <c r="P1939" s="93"/>
      <c r="Q1939" s="93"/>
      <c r="R1939" s="93"/>
      <c r="S1939" s="93"/>
      <c r="T1939" s="93"/>
      <c r="U1939" s="93"/>
      <c r="V1939" s="93"/>
      <c r="W1939" s="93"/>
      <c r="X1939" s="93"/>
      <c r="Y1939" s="93"/>
      <c r="Z1939" s="93"/>
    </row>
    <row r="1940" customFormat="false" ht="16.4" hidden="false" customHeight="false" outlineLevel="0" collapsed="false">
      <c r="A1940" s="123" t="n">
        <v>45444</v>
      </c>
      <c r="B1940" s="31" t="s">
        <v>153</v>
      </c>
      <c r="C1940" s="129"/>
      <c r="D1940" s="129"/>
      <c r="E1940" s="19" t="n">
        <f aca="false">F1940*0.03</f>
        <v>0</v>
      </c>
      <c r="F1940" s="33" t="n">
        <v>0</v>
      </c>
      <c r="G1940" s="131"/>
      <c r="H1940" s="35" t="n">
        <v>0</v>
      </c>
      <c r="I1940" s="34" t="n">
        <f aca="false">+IF(E1940=0,0,E1940*0.03)</f>
        <v>0</v>
      </c>
      <c r="J1940" s="93"/>
      <c r="K1940" s="93"/>
      <c r="L1940" s="93"/>
      <c r="M1940" s="93"/>
      <c r="N1940" s="93"/>
      <c r="O1940" s="93"/>
      <c r="P1940" s="93"/>
      <c r="Q1940" s="93"/>
      <c r="R1940" s="93"/>
      <c r="S1940" s="93"/>
      <c r="T1940" s="93"/>
      <c r="U1940" s="93"/>
      <c r="V1940" s="93"/>
      <c r="W1940" s="93"/>
      <c r="X1940" s="93"/>
      <c r="Y1940" s="93"/>
      <c r="Z1940" s="93"/>
    </row>
    <row r="1941" customFormat="false" ht="16.4" hidden="false" customHeight="false" outlineLevel="0" collapsed="false">
      <c r="A1941" s="123" t="n">
        <v>45444</v>
      </c>
      <c r="B1941" s="31" t="s">
        <v>153</v>
      </c>
      <c r="C1941" s="129"/>
      <c r="D1941" s="129"/>
      <c r="E1941" s="19" t="n">
        <f aca="false">F1941*0.03</f>
        <v>0</v>
      </c>
      <c r="F1941" s="33" t="n">
        <v>0</v>
      </c>
      <c r="G1941" s="131"/>
      <c r="H1941" s="35" t="n">
        <v>0</v>
      </c>
      <c r="I1941" s="34" t="n">
        <f aca="false">+IF(E1941=0,0,E1941*0.03)</f>
        <v>0</v>
      </c>
      <c r="J1941" s="93"/>
      <c r="K1941" s="93"/>
      <c r="L1941" s="93"/>
      <c r="M1941" s="93"/>
      <c r="N1941" s="93"/>
      <c r="O1941" s="93"/>
      <c r="P1941" s="93"/>
      <c r="Q1941" s="93"/>
      <c r="R1941" s="93"/>
      <c r="S1941" s="93"/>
      <c r="T1941" s="93"/>
      <c r="U1941" s="93"/>
      <c r="V1941" s="93"/>
      <c r="W1941" s="93"/>
      <c r="X1941" s="93"/>
      <c r="Y1941" s="93"/>
      <c r="Z1941" s="93"/>
    </row>
    <row r="1942" customFormat="false" ht="16.4" hidden="false" customHeight="false" outlineLevel="0" collapsed="false">
      <c r="A1942" s="123" t="n">
        <v>45444</v>
      </c>
      <c r="B1942" s="31" t="s">
        <v>153</v>
      </c>
      <c r="C1942" s="129"/>
      <c r="D1942" s="129"/>
      <c r="E1942" s="19" t="n">
        <f aca="false">F1942*0.03</f>
        <v>0</v>
      </c>
      <c r="F1942" s="33" t="n">
        <v>0</v>
      </c>
      <c r="G1942" s="131"/>
      <c r="H1942" s="35" t="n">
        <v>0</v>
      </c>
      <c r="I1942" s="34" t="n">
        <f aca="false">+IF(E1942=0,0,E1942*0.03)</f>
        <v>0</v>
      </c>
      <c r="J1942" s="93"/>
      <c r="K1942" s="93"/>
      <c r="L1942" s="93"/>
      <c r="M1942" s="93"/>
      <c r="N1942" s="93"/>
      <c r="O1942" s="93"/>
      <c r="P1942" s="93"/>
      <c r="Q1942" s="93"/>
      <c r="R1942" s="93"/>
      <c r="S1942" s="93"/>
      <c r="T1942" s="93"/>
      <c r="U1942" s="93"/>
      <c r="V1942" s="93"/>
      <c r="W1942" s="93"/>
      <c r="X1942" s="93"/>
      <c r="Y1942" s="93"/>
      <c r="Z1942" s="93"/>
    </row>
    <row r="1943" customFormat="false" ht="16.4" hidden="false" customHeight="false" outlineLevel="0" collapsed="false">
      <c r="A1943" s="123" t="n">
        <v>45444</v>
      </c>
      <c r="B1943" s="31" t="s">
        <v>153</v>
      </c>
      <c r="C1943" s="129"/>
      <c r="D1943" s="129"/>
      <c r="E1943" s="19" t="n">
        <f aca="false">F1943*0.03</f>
        <v>0</v>
      </c>
      <c r="F1943" s="33" t="n">
        <v>0</v>
      </c>
      <c r="G1943" s="131"/>
      <c r="H1943" s="35" t="n">
        <v>0</v>
      </c>
      <c r="I1943" s="34" t="n">
        <f aca="false">+IF(E1943=0,0,E1943*0.03)</f>
        <v>0</v>
      </c>
      <c r="J1943" s="93"/>
      <c r="K1943" s="93"/>
      <c r="L1943" s="93"/>
      <c r="M1943" s="93"/>
      <c r="N1943" s="93"/>
      <c r="O1943" s="93"/>
      <c r="P1943" s="93"/>
      <c r="Q1943" s="93"/>
      <c r="R1943" s="93"/>
      <c r="S1943" s="93"/>
      <c r="T1943" s="93"/>
      <c r="U1943" s="93"/>
      <c r="V1943" s="93"/>
      <c r="W1943" s="93"/>
      <c r="X1943" s="93"/>
      <c r="Y1943" s="93"/>
      <c r="Z1943" s="93"/>
    </row>
    <row r="1944" customFormat="false" ht="16.4" hidden="false" customHeight="false" outlineLevel="0" collapsed="false">
      <c r="A1944" s="123" t="n">
        <v>45444</v>
      </c>
      <c r="B1944" s="31" t="s">
        <v>153</v>
      </c>
      <c r="C1944" s="129"/>
      <c r="D1944" s="129"/>
      <c r="E1944" s="19" t="n">
        <f aca="false">F1944*0.03</f>
        <v>0</v>
      </c>
      <c r="F1944" s="33" t="n">
        <v>0</v>
      </c>
      <c r="G1944" s="131"/>
      <c r="H1944" s="35" t="n">
        <v>0</v>
      </c>
      <c r="I1944" s="34" t="n">
        <f aca="false">+IF(E1944=0,0,E1944*0.03)</f>
        <v>0</v>
      </c>
      <c r="J1944" s="93"/>
      <c r="K1944" s="93"/>
      <c r="L1944" s="93"/>
      <c r="M1944" s="93"/>
      <c r="N1944" s="93"/>
      <c r="O1944" s="93"/>
      <c r="P1944" s="93"/>
      <c r="Q1944" s="93"/>
      <c r="R1944" s="93"/>
      <c r="S1944" s="93"/>
      <c r="T1944" s="93"/>
      <c r="U1944" s="93"/>
      <c r="V1944" s="93"/>
      <c r="W1944" s="93"/>
      <c r="X1944" s="93"/>
      <c r="Y1944" s="93"/>
      <c r="Z1944" s="93"/>
    </row>
    <row r="1945" customFormat="false" ht="16.4" hidden="false" customHeight="false" outlineLevel="0" collapsed="false">
      <c r="A1945" s="123" t="n">
        <v>45444</v>
      </c>
      <c r="B1945" s="31" t="s">
        <v>153</v>
      </c>
      <c r="C1945" s="129"/>
      <c r="D1945" s="129"/>
      <c r="E1945" s="19" t="n">
        <f aca="false">F1945*0.03</f>
        <v>0</v>
      </c>
      <c r="F1945" s="33" t="n">
        <v>0</v>
      </c>
      <c r="G1945" s="131"/>
      <c r="H1945" s="35" t="n">
        <v>0</v>
      </c>
      <c r="I1945" s="34" t="n">
        <f aca="false">+IF(E1945=0,0,E1945*0.03)</f>
        <v>0</v>
      </c>
      <c r="J1945" s="93"/>
      <c r="K1945" s="93"/>
      <c r="L1945" s="93"/>
      <c r="M1945" s="93"/>
      <c r="N1945" s="93"/>
      <c r="O1945" s="93"/>
      <c r="P1945" s="93"/>
      <c r="Q1945" s="93"/>
      <c r="R1945" s="93"/>
      <c r="S1945" s="93"/>
      <c r="T1945" s="93"/>
      <c r="U1945" s="93"/>
      <c r="V1945" s="93"/>
      <c r="W1945" s="93"/>
      <c r="X1945" s="93"/>
      <c r="Y1945" s="93"/>
      <c r="Z1945" s="93"/>
    </row>
    <row r="1946" customFormat="false" ht="16.4" hidden="false" customHeight="false" outlineLevel="0" collapsed="false">
      <c r="A1946" s="123" t="n">
        <v>45444</v>
      </c>
      <c r="B1946" s="31" t="s">
        <v>153</v>
      </c>
      <c r="C1946" s="129"/>
      <c r="D1946" s="129"/>
      <c r="E1946" s="19" t="n">
        <f aca="false">F1946*0.03</f>
        <v>0</v>
      </c>
      <c r="F1946" s="33" t="n">
        <v>0</v>
      </c>
      <c r="G1946" s="131"/>
      <c r="H1946" s="35" t="n">
        <v>0</v>
      </c>
      <c r="I1946" s="34" t="n">
        <f aca="false">+IF(E1946=0,0,E1946*0.03)</f>
        <v>0</v>
      </c>
      <c r="J1946" s="93"/>
      <c r="K1946" s="93"/>
      <c r="L1946" s="93"/>
      <c r="M1946" s="93"/>
      <c r="N1946" s="93"/>
      <c r="O1946" s="93"/>
      <c r="P1946" s="93"/>
      <c r="Q1946" s="93"/>
      <c r="R1946" s="93"/>
      <c r="S1946" s="93"/>
      <c r="T1946" s="93"/>
      <c r="U1946" s="93"/>
      <c r="V1946" s="93"/>
      <c r="W1946" s="93"/>
      <c r="X1946" s="93"/>
      <c r="Y1946" s="93"/>
      <c r="Z1946" s="93"/>
    </row>
    <row r="1947" customFormat="false" ht="16.4" hidden="false" customHeight="false" outlineLevel="0" collapsed="false">
      <c r="A1947" s="123" t="n">
        <v>45444</v>
      </c>
      <c r="B1947" s="31" t="s">
        <v>153</v>
      </c>
      <c r="C1947" s="129"/>
      <c r="D1947" s="129"/>
      <c r="E1947" s="19" t="n">
        <f aca="false">F1947*0.03</f>
        <v>0</v>
      </c>
      <c r="F1947" s="33" t="n">
        <v>0</v>
      </c>
      <c r="G1947" s="131"/>
      <c r="H1947" s="35" t="n">
        <v>0</v>
      </c>
      <c r="I1947" s="34" t="n">
        <f aca="false">+IF(E1947=0,0,E1947*0.03)</f>
        <v>0</v>
      </c>
      <c r="J1947" s="93"/>
      <c r="K1947" s="93"/>
      <c r="L1947" s="93"/>
      <c r="M1947" s="93"/>
      <c r="N1947" s="93"/>
      <c r="O1947" s="93"/>
      <c r="P1947" s="93"/>
      <c r="Q1947" s="93"/>
      <c r="R1947" s="93"/>
      <c r="S1947" s="93"/>
      <c r="T1947" s="93"/>
      <c r="U1947" s="93"/>
      <c r="V1947" s="93"/>
      <c r="W1947" s="93"/>
      <c r="X1947" s="93"/>
      <c r="Y1947" s="93"/>
      <c r="Z1947" s="93"/>
    </row>
    <row r="1948" customFormat="false" ht="16.4" hidden="false" customHeight="false" outlineLevel="0" collapsed="false">
      <c r="A1948" s="123" t="n">
        <v>45444</v>
      </c>
      <c r="B1948" s="31" t="s">
        <v>153</v>
      </c>
      <c r="C1948" s="129"/>
      <c r="D1948" s="129"/>
      <c r="E1948" s="19" t="n">
        <f aca="false">F1948*0.03</f>
        <v>0</v>
      </c>
      <c r="F1948" s="33" t="n">
        <v>0</v>
      </c>
      <c r="G1948" s="131"/>
      <c r="H1948" s="35" t="n">
        <v>0</v>
      </c>
      <c r="I1948" s="34" t="n">
        <f aca="false">+IF(E1948=0,0,E1948*0.03)</f>
        <v>0</v>
      </c>
      <c r="J1948" s="93"/>
      <c r="K1948" s="93"/>
      <c r="L1948" s="93"/>
      <c r="M1948" s="93"/>
      <c r="N1948" s="93"/>
      <c r="O1948" s="93"/>
      <c r="P1948" s="93"/>
      <c r="Q1948" s="93"/>
      <c r="R1948" s="93"/>
      <c r="S1948" s="93"/>
      <c r="T1948" s="93"/>
      <c r="U1948" s="93"/>
      <c r="V1948" s="93"/>
      <c r="W1948" s="93"/>
      <c r="X1948" s="93"/>
      <c r="Y1948" s="93"/>
      <c r="Z1948" s="93"/>
    </row>
    <row r="1949" customFormat="false" ht="16.4" hidden="false" customHeight="false" outlineLevel="0" collapsed="false">
      <c r="A1949" s="123" t="n">
        <v>45444</v>
      </c>
      <c r="B1949" s="31" t="s">
        <v>153</v>
      </c>
      <c r="C1949" s="129"/>
      <c r="D1949" s="129"/>
      <c r="E1949" s="19" t="n">
        <f aca="false">F1949*0.03</f>
        <v>0</v>
      </c>
      <c r="F1949" s="33" t="n">
        <v>0</v>
      </c>
      <c r="G1949" s="131"/>
      <c r="H1949" s="35" t="n">
        <v>0</v>
      </c>
      <c r="I1949" s="34" t="n">
        <f aca="false">+IF(E1949=0,0,E1949*0.03)</f>
        <v>0</v>
      </c>
      <c r="J1949" s="93"/>
      <c r="K1949" s="93"/>
      <c r="L1949" s="93"/>
      <c r="M1949" s="93"/>
      <c r="N1949" s="93"/>
      <c r="O1949" s="93"/>
      <c r="P1949" s="93"/>
      <c r="Q1949" s="93"/>
      <c r="R1949" s="93"/>
      <c r="S1949" s="93"/>
      <c r="T1949" s="93"/>
      <c r="U1949" s="93"/>
      <c r="V1949" s="93"/>
      <c r="W1949" s="93"/>
      <c r="X1949" s="93"/>
      <c r="Y1949" s="93"/>
      <c r="Z1949" s="93"/>
    </row>
    <row r="1950" customFormat="false" ht="16.4" hidden="false" customHeight="false" outlineLevel="0" collapsed="false">
      <c r="A1950" s="123" t="n">
        <v>45444</v>
      </c>
      <c r="B1950" s="31" t="s">
        <v>153</v>
      </c>
      <c r="C1950" s="129"/>
      <c r="D1950" s="129"/>
      <c r="E1950" s="19" t="n">
        <f aca="false">F1950*0.03</f>
        <v>0</v>
      </c>
      <c r="F1950" s="33" t="n">
        <v>0</v>
      </c>
      <c r="G1950" s="131"/>
      <c r="H1950" s="35" t="n">
        <v>0</v>
      </c>
      <c r="I1950" s="34" t="n">
        <f aca="false">+IF(E1950=0,0,E1950*0.03)</f>
        <v>0</v>
      </c>
      <c r="J1950" s="93"/>
      <c r="K1950" s="93"/>
      <c r="L1950" s="93"/>
      <c r="M1950" s="93"/>
      <c r="N1950" s="93"/>
      <c r="O1950" s="93"/>
      <c r="P1950" s="93"/>
      <c r="Q1950" s="93"/>
      <c r="R1950" s="93"/>
      <c r="S1950" s="93"/>
      <c r="T1950" s="93"/>
      <c r="U1950" s="93"/>
      <c r="V1950" s="93"/>
      <c r="W1950" s="93"/>
      <c r="X1950" s="93"/>
      <c r="Y1950" s="93"/>
      <c r="Z1950" s="93"/>
    </row>
    <row r="1951" customFormat="false" ht="16.4" hidden="false" customHeight="false" outlineLevel="0" collapsed="false">
      <c r="A1951" s="123" t="n">
        <v>45444</v>
      </c>
      <c r="B1951" s="31" t="s">
        <v>153</v>
      </c>
      <c r="C1951" s="129"/>
      <c r="D1951" s="129"/>
      <c r="E1951" s="19" t="n">
        <f aca="false">F1951*0.03</f>
        <v>0</v>
      </c>
      <c r="F1951" s="33" t="n">
        <v>0</v>
      </c>
      <c r="G1951" s="131"/>
      <c r="H1951" s="35" t="n">
        <v>0</v>
      </c>
      <c r="I1951" s="34" t="n">
        <f aca="false">+IF(E1951=0,0,E1951*0.03)</f>
        <v>0</v>
      </c>
      <c r="J1951" s="93"/>
      <c r="K1951" s="93"/>
      <c r="L1951" s="93"/>
      <c r="M1951" s="93"/>
      <c r="N1951" s="93"/>
      <c r="O1951" s="93"/>
      <c r="P1951" s="93"/>
      <c r="Q1951" s="93"/>
      <c r="R1951" s="93"/>
      <c r="S1951" s="93"/>
      <c r="T1951" s="93"/>
      <c r="U1951" s="93"/>
      <c r="V1951" s="93"/>
      <c r="W1951" s="93"/>
      <c r="X1951" s="93"/>
      <c r="Y1951" s="93"/>
      <c r="Z1951" s="93"/>
    </row>
    <row r="1952" customFormat="false" ht="16.4" hidden="false" customHeight="false" outlineLevel="0" collapsed="false">
      <c r="A1952" s="123" t="n">
        <v>45444</v>
      </c>
      <c r="B1952" s="31" t="s">
        <v>153</v>
      </c>
      <c r="C1952" s="129"/>
      <c r="D1952" s="129"/>
      <c r="E1952" s="19" t="n">
        <f aca="false">F1952*0.03</f>
        <v>0</v>
      </c>
      <c r="F1952" s="33" t="n">
        <v>0</v>
      </c>
      <c r="G1952" s="131"/>
      <c r="H1952" s="35" t="n">
        <v>0</v>
      </c>
      <c r="I1952" s="34" t="n">
        <f aca="false">+IF(E1952=0,0,E1952*0.03)</f>
        <v>0</v>
      </c>
      <c r="J1952" s="93"/>
      <c r="K1952" s="93"/>
      <c r="L1952" s="93"/>
      <c r="M1952" s="93"/>
      <c r="N1952" s="93"/>
      <c r="O1952" s="93"/>
      <c r="P1952" s="93"/>
      <c r="Q1952" s="93"/>
      <c r="R1952" s="93"/>
      <c r="S1952" s="93"/>
      <c r="T1952" s="93"/>
      <c r="U1952" s="93"/>
      <c r="V1952" s="93"/>
      <c r="W1952" s="93"/>
      <c r="X1952" s="93"/>
      <c r="Y1952" s="93"/>
      <c r="Z1952" s="93"/>
    </row>
    <row r="1953" customFormat="false" ht="16.4" hidden="false" customHeight="false" outlineLevel="0" collapsed="false">
      <c r="A1953" s="123" t="n">
        <v>45444</v>
      </c>
      <c r="B1953" s="31" t="s">
        <v>153</v>
      </c>
      <c r="C1953" s="129"/>
      <c r="D1953" s="129"/>
      <c r="E1953" s="19" t="n">
        <f aca="false">F1953*0.03</f>
        <v>0</v>
      </c>
      <c r="F1953" s="33" t="n">
        <v>0</v>
      </c>
      <c r="G1953" s="131"/>
      <c r="H1953" s="35" t="n">
        <v>0</v>
      </c>
      <c r="I1953" s="34" t="n">
        <f aca="false">+IF(E1953=0,0,E1953*0.03)</f>
        <v>0</v>
      </c>
      <c r="J1953" s="93"/>
      <c r="K1953" s="93"/>
      <c r="L1953" s="93"/>
      <c r="M1953" s="93"/>
      <c r="N1953" s="93"/>
      <c r="O1953" s="93"/>
      <c r="P1953" s="93"/>
      <c r="Q1953" s="93"/>
      <c r="R1953" s="93"/>
      <c r="S1953" s="93"/>
      <c r="T1953" s="93"/>
      <c r="U1953" s="93"/>
      <c r="V1953" s="93"/>
      <c r="W1953" s="93"/>
      <c r="X1953" s="93"/>
      <c r="Y1953" s="93"/>
      <c r="Z1953" s="93"/>
    </row>
    <row r="1954" customFormat="false" ht="16.4" hidden="false" customHeight="false" outlineLevel="0" collapsed="false">
      <c r="A1954" s="123" t="n">
        <v>45444</v>
      </c>
      <c r="B1954" s="31" t="s">
        <v>153</v>
      </c>
      <c r="C1954" s="129"/>
      <c r="D1954" s="129"/>
      <c r="E1954" s="19" t="n">
        <f aca="false">F1954*0.03</f>
        <v>0</v>
      </c>
      <c r="F1954" s="33" t="n">
        <v>0</v>
      </c>
      <c r="G1954" s="131"/>
      <c r="H1954" s="35" t="n">
        <v>0</v>
      </c>
      <c r="I1954" s="34" t="n">
        <f aca="false">+IF(E1954=0,0,E1954*0.03)</f>
        <v>0</v>
      </c>
      <c r="J1954" s="93"/>
      <c r="K1954" s="93"/>
      <c r="L1954" s="93"/>
      <c r="M1954" s="93"/>
      <c r="N1954" s="93"/>
      <c r="O1954" s="93"/>
      <c r="P1954" s="93"/>
      <c r="Q1954" s="93"/>
      <c r="R1954" s="93"/>
      <c r="S1954" s="93"/>
      <c r="T1954" s="93"/>
      <c r="U1954" s="93"/>
      <c r="V1954" s="93"/>
      <c r="W1954" s="93"/>
      <c r="X1954" s="93"/>
      <c r="Y1954" s="93"/>
      <c r="Z1954" s="93"/>
    </row>
    <row r="1955" customFormat="false" ht="16.4" hidden="false" customHeight="false" outlineLevel="0" collapsed="false">
      <c r="A1955" s="123" t="n">
        <v>45444</v>
      </c>
      <c r="B1955" s="31" t="s">
        <v>153</v>
      </c>
      <c r="C1955" s="129"/>
      <c r="D1955" s="129"/>
      <c r="E1955" s="19" t="n">
        <f aca="false">F1955*0.03</f>
        <v>0</v>
      </c>
      <c r="F1955" s="33" t="n">
        <v>0</v>
      </c>
      <c r="G1955" s="131"/>
      <c r="H1955" s="35" t="n">
        <v>0</v>
      </c>
      <c r="I1955" s="34" t="n">
        <f aca="false">+IF(E1955=0,0,E1955*0.03)</f>
        <v>0</v>
      </c>
      <c r="J1955" s="93"/>
      <c r="K1955" s="93"/>
      <c r="L1955" s="93"/>
      <c r="M1955" s="93"/>
      <c r="N1955" s="93"/>
      <c r="O1955" s="93"/>
      <c r="P1955" s="93"/>
      <c r="Q1955" s="93"/>
      <c r="R1955" s="93"/>
      <c r="S1955" s="93"/>
      <c r="T1955" s="93"/>
      <c r="U1955" s="93"/>
      <c r="V1955" s="93"/>
      <c r="W1955" s="93"/>
      <c r="X1955" s="93"/>
      <c r="Y1955" s="93"/>
      <c r="Z1955" s="93"/>
    </row>
    <row r="1956" customFormat="false" ht="16.4" hidden="false" customHeight="false" outlineLevel="0" collapsed="false">
      <c r="A1956" s="123" t="n">
        <v>45444</v>
      </c>
      <c r="B1956" s="31" t="s">
        <v>153</v>
      </c>
      <c r="C1956" s="129"/>
      <c r="D1956" s="129"/>
      <c r="E1956" s="19" t="n">
        <f aca="false">F1956*0.03</f>
        <v>0</v>
      </c>
      <c r="F1956" s="33" t="n">
        <v>0</v>
      </c>
      <c r="G1956" s="131"/>
      <c r="H1956" s="35" t="n">
        <v>0</v>
      </c>
      <c r="I1956" s="34" t="n">
        <f aca="false">+IF(E1956=0,0,E1956*0.03)</f>
        <v>0</v>
      </c>
      <c r="J1956" s="93"/>
      <c r="K1956" s="93"/>
      <c r="L1956" s="93"/>
      <c r="M1956" s="93"/>
      <c r="N1956" s="93"/>
      <c r="O1956" s="93"/>
      <c r="P1956" s="93"/>
      <c r="Q1956" s="93"/>
      <c r="R1956" s="93"/>
      <c r="S1956" s="93"/>
      <c r="T1956" s="93"/>
      <c r="U1956" s="93"/>
      <c r="V1956" s="93"/>
      <c r="W1956" s="93"/>
      <c r="X1956" s="93"/>
      <c r="Y1956" s="93"/>
      <c r="Z1956" s="93"/>
    </row>
    <row r="1957" customFormat="false" ht="16.4" hidden="false" customHeight="false" outlineLevel="0" collapsed="false">
      <c r="A1957" s="123" t="n">
        <v>45444</v>
      </c>
      <c r="B1957" s="31" t="s">
        <v>153</v>
      </c>
      <c r="C1957" s="129"/>
      <c r="D1957" s="129"/>
      <c r="E1957" s="19" t="n">
        <f aca="false">F1957*0.03</f>
        <v>0</v>
      </c>
      <c r="F1957" s="33" t="n">
        <v>0</v>
      </c>
      <c r="G1957" s="131"/>
      <c r="H1957" s="35" t="n">
        <v>0</v>
      </c>
      <c r="I1957" s="34" t="n">
        <f aca="false">+IF(E1957=0,0,E1957*0.03)</f>
        <v>0</v>
      </c>
      <c r="J1957" s="93"/>
      <c r="K1957" s="93"/>
      <c r="L1957" s="93"/>
      <c r="M1957" s="93"/>
      <c r="N1957" s="93"/>
      <c r="O1957" s="93"/>
      <c r="P1957" s="93"/>
      <c r="Q1957" s="93"/>
      <c r="R1957" s="93"/>
      <c r="S1957" s="93"/>
      <c r="T1957" s="93"/>
      <c r="U1957" s="93"/>
      <c r="V1957" s="93"/>
      <c r="W1957" s="93"/>
      <c r="X1957" s="93"/>
      <c r="Y1957" s="93"/>
      <c r="Z1957" s="93"/>
    </row>
    <row r="1958" customFormat="false" ht="16.4" hidden="false" customHeight="false" outlineLevel="0" collapsed="false">
      <c r="A1958" s="123" t="n">
        <v>45444</v>
      </c>
      <c r="B1958" s="31" t="s">
        <v>153</v>
      </c>
      <c r="C1958" s="129"/>
      <c r="D1958" s="129"/>
      <c r="E1958" s="19" t="n">
        <f aca="false">F1958*0.03</f>
        <v>0</v>
      </c>
      <c r="F1958" s="33" t="n">
        <v>0</v>
      </c>
      <c r="G1958" s="131"/>
      <c r="H1958" s="35" t="n">
        <v>0</v>
      </c>
      <c r="I1958" s="34" t="n">
        <f aca="false">+IF(E1958=0,0,E1958*0.03)</f>
        <v>0</v>
      </c>
      <c r="J1958" s="93"/>
      <c r="K1958" s="93"/>
      <c r="L1958" s="93"/>
      <c r="M1958" s="93"/>
      <c r="N1958" s="93"/>
      <c r="O1958" s="93"/>
      <c r="P1958" s="93"/>
      <c r="Q1958" s="93"/>
      <c r="R1958" s="93"/>
      <c r="S1958" s="93"/>
      <c r="T1958" s="93"/>
      <c r="U1958" s="93"/>
      <c r="V1958" s="93"/>
      <c r="W1958" s="93"/>
      <c r="X1958" s="93"/>
      <c r="Y1958" s="93"/>
      <c r="Z1958" s="93"/>
    </row>
    <row r="1959" customFormat="false" ht="16.4" hidden="false" customHeight="false" outlineLevel="0" collapsed="false">
      <c r="A1959" s="123" t="n">
        <v>45444</v>
      </c>
      <c r="B1959" s="31" t="s">
        <v>153</v>
      </c>
      <c r="C1959" s="129"/>
      <c r="D1959" s="129"/>
      <c r="E1959" s="19" t="n">
        <f aca="false">F1959*0.03</f>
        <v>0</v>
      </c>
      <c r="F1959" s="33" t="n">
        <v>0</v>
      </c>
      <c r="G1959" s="131"/>
      <c r="H1959" s="35" t="n">
        <v>0</v>
      </c>
      <c r="I1959" s="34" t="n">
        <f aca="false">+IF(E1959=0,0,E1959*0.03)</f>
        <v>0</v>
      </c>
      <c r="J1959" s="93"/>
      <c r="K1959" s="93"/>
      <c r="L1959" s="93"/>
      <c r="M1959" s="93"/>
      <c r="N1959" s="93"/>
      <c r="O1959" s="93"/>
      <c r="P1959" s="93"/>
      <c r="Q1959" s="93"/>
      <c r="R1959" s="93"/>
      <c r="S1959" s="93"/>
      <c r="T1959" s="93"/>
      <c r="U1959" s="93"/>
      <c r="V1959" s="93"/>
      <c r="W1959" s="93"/>
      <c r="X1959" s="93"/>
      <c r="Y1959" s="93"/>
      <c r="Z1959" s="93"/>
    </row>
    <row r="1960" customFormat="false" ht="16.4" hidden="false" customHeight="false" outlineLevel="0" collapsed="false">
      <c r="A1960" s="123" t="n">
        <v>45444</v>
      </c>
      <c r="B1960" s="31" t="s">
        <v>153</v>
      </c>
      <c r="C1960" s="129"/>
      <c r="D1960" s="129"/>
      <c r="E1960" s="19" t="n">
        <f aca="false">F1960*0.03</f>
        <v>0</v>
      </c>
      <c r="F1960" s="33" t="n">
        <v>0</v>
      </c>
      <c r="G1960" s="131"/>
      <c r="H1960" s="35" t="n">
        <v>0</v>
      </c>
      <c r="I1960" s="34" t="n">
        <f aca="false">+IF(E1960=0,0,E1960*0.03)</f>
        <v>0</v>
      </c>
      <c r="J1960" s="93"/>
      <c r="K1960" s="93"/>
      <c r="L1960" s="93"/>
      <c r="M1960" s="93"/>
      <c r="N1960" s="93"/>
      <c r="O1960" s="93"/>
      <c r="P1960" s="93"/>
      <c r="Q1960" s="93"/>
      <c r="R1960" s="93"/>
      <c r="S1960" s="93"/>
      <c r="T1960" s="93"/>
      <c r="U1960" s="93"/>
      <c r="V1960" s="93"/>
      <c r="W1960" s="93"/>
      <c r="X1960" s="93"/>
      <c r="Y1960" s="93"/>
      <c r="Z1960" s="93"/>
    </row>
    <row r="1961" customFormat="false" ht="16.4" hidden="false" customHeight="false" outlineLevel="0" collapsed="false">
      <c r="A1961" s="123" t="n">
        <v>45444</v>
      </c>
      <c r="B1961" s="31" t="s">
        <v>153</v>
      </c>
      <c r="C1961" s="129"/>
      <c r="D1961" s="129"/>
      <c r="E1961" s="19" t="n">
        <f aca="false">F1961*0.03</f>
        <v>0</v>
      </c>
      <c r="F1961" s="33" t="n">
        <v>0</v>
      </c>
      <c r="G1961" s="131"/>
      <c r="H1961" s="35" t="n">
        <v>0</v>
      </c>
      <c r="I1961" s="34" t="n">
        <f aca="false">+IF(E1961=0,0,E1961*0.03)</f>
        <v>0</v>
      </c>
      <c r="J1961" s="93"/>
      <c r="K1961" s="93"/>
      <c r="L1961" s="93"/>
      <c r="M1961" s="93"/>
      <c r="N1961" s="93"/>
      <c r="O1961" s="93"/>
      <c r="P1961" s="93"/>
      <c r="Q1961" s="93"/>
      <c r="R1961" s="93"/>
      <c r="S1961" s="93"/>
      <c r="T1961" s="93"/>
      <c r="U1961" s="93"/>
      <c r="V1961" s="93"/>
      <c r="W1961" s="93"/>
      <c r="X1961" s="93"/>
      <c r="Y1961" s="93"/>
      <c r="Z1961" s="93"/>
    </row>
    <row r="1962" customFormat="false" ht="16.4" hidden="false" customHeight="false" outlineLevel="0" collapsed="false">
      <c r="A1962" s="123" t="n">
        <v>45444</v>
      </c>
      <c r="B1962" s="31" t="s">
        <v>153</v>
      </c>
      <c r="C1962" s="129"/>
      <c r="D1962" s="129"/>
      <c r="E1962" s="19" t="n">
        <f aca="false">F1962*0.03</f>
        <v>0</v>
      </c>
      <c r="F1962" s="33" t="n">
        <v>0</v>
      </c>
      <c r="G1962" s="131"/>
      <c r="H1962" s="35" t="n">
        <v>0</v>
      </c>
      <c r="I1962" s="34" t="n">
        <f aca="false">+IF(E1962=0,0,E1962*0.03)</f>
        <v>0</v>
      </c>
      <c r="J1962" s="93"/>
      <c r="K1962" s="93"/>
      <c r="L1962" s="93"/>
      <c r="M1962" s="93"/>
      <c r="N1962" s="93"/>
      <c r="O1962" s="93"/>
      <c r="P1962" s="93"/>
      <c r="Q1962" s="93"/>
      <c r="R1962" s="93"/>
      <c r="S1962" s="93"/>
      <c r="T1962" s="93"/>
      <c r="U1962" s="93"/>
      <c r="V1962" s="93"/>
      <c r="W1962" s="93"/>
      <c r="X1962" s="93"/>
      <c r="Y1962" s="93"/>
      <c r="Z1962" s="93"/>
    </row>
    <row r="1963" customFormat="false" ht="16.4" hidden="false" customHeight="false" outlineLevel="0" collapsed="false">
      <c r="A1963" s="123" t="n">
        <v>45444</v>
      </c>
      <c r="B1963" s="31" t="s">
        <v>153</v>
      </c>
      <c r="C1963" s="129"/>
      <c r="D1963" s="129"/>
      <c r="E1963" s="19" t="n">
        <f aca="false">F1963*0.03</f>
        <v>0</v>
      </c>
      <c r="F1963" s="33" t="n">
        <v>0</v>
      </c>
      <c r="G1963" s="131"/>
      <c r="H1963" s="35" t="n">
        <v>0</v>
      </c>
      <c r="I1963" s="34" t="n">
        <f aca="false">+IF(E1963=0,0,E1963*0.03)</f>
        <v>0</v>
      </c>
      <c r="J1963" s="93"/>
      <c r="K1963" s="93"/>
      <c r="L1963" s="93"/>
      <c r="M1963" s="93"/>
      <c r="N1963" s="93"/>
      <c r="O1963" s="93"/>
      <c r="P1963" s="93"/>
      <c r="Q1963" s="93"/>
      <c r="R1963" s="93"/>
      <c r="S1963" s="93"/>
      <c r="T1963" s="93"/>
      <c r="U1963" s="93"/>
      <c r="V1963" s="93"/>
      <c r="W1963" s="93"/>
      <c r="X1963" s="93"/>
      <c r="Y1963" s="93"/>
      <c r="Z1963" s="93"/>
    </row>
    <row r="1964" customFormat="false" ht="16.4" hidden="false" customHeight="false" outlineLevel="0" collapsed="false">
      <c r="A1964" s="123" t="n">
        <v>45444</v>
      </c>
      <c r="B1964" s="31" t="s">
        <v>153</v>
      </c>
      <c r="C1964" s="129"/>
      <c r="D1964" s="129"/>
      <c r="E1964" s="19" t="n">
        <f aca="false">F1964*0.03</f>
        <v>0</v>
      </c>
      <c r="F1964" s="33" t="n">
        <v>0</v>
      </c>
      <c r="G1964" s="131"/>
      <c r="H1964" s="35" t="n">
        <v>0</v>
      </c>
      <c r="I1964" s="34" t="n">
        <f aca="false">+IF(E1964=0,0,E1964*0.03)</f>
        <v>0</v>
      </c>
      <c r="J1964" s="93"/>
      <c r="K1964" s="93"/>
      <c r="L1964" s="93"/>
      <c r="M1964" s="93"/>
      <c r="N1964" s="93"/>
      <c r="O1964" s="93"/>
      <c r="P1964" s="93"/>
      <c r="Q1964" s="93"/>
      <c r="R1964" s="93"/>
      <c r="S1964" s="93"/>
      <c r="T1964" s="93"/>
      <c r="U1964" s="93"/>
      <c r="V1964" s="93"/>
      <c r="W1964" s="93"/>
      <c r="X1964" s="93"/>
      <c r="Y1964" s="93"/>
      <c r="Z1964" s="93"/>
    </row>
    <row r="1965" customFormat="false" ht="16.4" hidden="false" customHeight="false" outlineLevel="0" collapsed="false">
      <c r="A1965" s="123" t="n">
        <v>45444</v>
      </c>
      <c r="B1965" s="31" t="s">
        <v>153</v>
      </c>
      <c r="C1965" s="129"/>
      <c r="D1965" s="129"/>
      <c r="E1965" s="19" t="n">
        <f aca="false">F1965*0.03</f>
        <v>0</v>
      </c>
      <c r="F1965" s="33" t="n">
        <v>0</v>
      </c>
      <c r="G1965" s="131"/>
      <c r="H1965" s="35" t="n">
        <v>0</v>
      </c>
      <c r="I1965" s="34" t="n">
        <f aca="false">+IF(E1965=0,0,E1965*0.03)</f>
        <v>0</v>
      </c>
      <c r="J1965" s="93"/>
      <c r="K1965" s="93"/>
      <c r="L1965" s="93"/>
      <c r="M1965" s="93"/>
      <c r="N1965" s="93"/>
      <c r="O1965" s="93"/>
      <c r="P1965" s="93"/>
      <c r="Q1965" s="93"/>
      <c r="R1965" s="93"/>
      <c r="S1965" s="93"/>
      <c r="T1965" s="93"/>
      <c r="U1965" s="93"/>
      <c r="V1965" s="93"/>
      <c r="W1965" s="93"/>
      <c r="X1965" s="93"/>
      <c r="Y1965" s="93"/>
      <c r="Z1965" s="93"/>
    </row>
    <row r="1966" customFormat="false" ht="16.4" hidden="false" customHeight="false" outlineLevel="0" collapsed="false">
      <c r="A1966" s="123" t="n">
        <v>45444</v>
      </c>
      <c r="B1966" s="31" t="s">
        <v>153</v>
      </c>
      <c r="C1966" s="129"/>
      <c r="D1966" s="129"/>
      <c r="E1966" s="19" t="n">
        <f aca="false">F1966*0.03</f>
        <v>0</v>
      </c>
      <c r="F1966" s="33" t="n">
        <v>0</v>
      </c>
      <c r="G1966" s="131"/>
      <c r="H1966" s="35" t="n">
        <v>0</v>
      </c>
      <c r="I1966" s="34" t="n">
        <f aca="false">+IF(E1966=0,0,E1966*0.03)</f>
        <v>0</v>
      </c>
      <c r="J1966" s="93"/>
      <c r="K1966" s="93"/>
      <c r="L1966" s="93"/>
      <c r="M1966" s="93"/>
      <c r="N1966" s="93"/>
      <c r="O1966" s="93"/>
      <c r="P1966" s="93"/>
      <c r="Q1966" s="93"/>
      <c r="R1966" s="93"/>
      <c r="S1966" s="93"/>
      <c r="T1966" s="93"/>
      <c r="U1966" s="93"/>
      <c r="V1966" s="93"/>
      <c r="W1966" s="93"/>
      <c r="X1966" s="93"/>
      <c r="Y1966" s="93"/>
      <c r="Z1966" s="93"/>
    </row>
    <row r="1967" customFormat="false" ht="16.4" hidden="false" customHeight="false" outlineLevel="0" collapsed="false">
      <c r="A1967" s="123" t="n">
        <v>45444</v>
      </c>
      <c r="B1967" s="31" t="s">
        <v>153</v>
      </c>
      <c r="C1967" s="129"/>
      <c r="D1967" s="129"/>
      <c r="E1967" s="19" t="n">
        <f aca="false">F1967*0.03</f>
        <v>0</v>
      </c>
      <c r="F1967" s="33" t="n">
        <v>0</v>
      </c>
      <c r="G1967" s="131"/>
      <c r="H1967" s="35" t="n">
        <v>0</v>
      </c>
      <c r="I1967" s="34" t="n">
        <f aca="false">+IF(E1967=0,0,E1967*0.03)</f>
        <v>0</v>
      </c>
      <c r="J1967" s="93"/>
      <c r="K1967" s="93"/>
      <c r="L1967" s="93"/>
      <c r="M1967" s="93"/>
      <c r="N1967" s="93"/>
      <c r="O1967" s="93"/>
      <c r="P1967" s="93"/>
      <c r="Q1967" s="93"/>
      <c r="R1967" s="93"/>
      <c r="S1967" s="93"/>
      <c r="T1967" s="93"/>
      <c r="U1967" s="93"/>
      <c r="V1967" s="93"/>
      <c r="W1967" s="93"/>
      <c r="X1967" s="93"/>
      <c r="Y1967" s="93"/>
      <c r="Z1967" s="93"/>
    </row>
    <row r="1968" customFormat="false" ht="16.4" hidden="false" customHeight="false" outlineLevel="0" collapsed="false">
      <c r="A1968" s="123" t="n">
        <v>45444</v>
      </c>
      <c r="B1968" s="31" t="s">
        <v>153</v>
      </c>
      <c r="C1968" s="129"/>
      <c r="D1968" s="129"/>
      <c r="E1968" s="19" t="n">
        <f aca="false">F1968*0.03</f>
        <v>0</v>
      </c>
      <c r="F1968" s="33" t="n">
        <v>0</v>
      </c>
      <c r="G1968" s="131"/>
      <c r="H1968" s="35" t="n">
        <v>0</v>
      </c>
      <c r="I1968" s="34" t="n">
        <f aca="false">+IF(E1968=0,0,E1968*0.03)</f>
        <v>0</v>
      </c>
      <c r="J1968" s="93"/>
      <c r="K1968" s="93"/>
      <c r="L1968" s="93"/>
      <c r="M1968" s="93"/>
      <c r="N1968" s="93"/>
      <c r="O1968" s="93"/>
      <c r="P1968" s="93"/>
      <c r="Q1968" s="93"/>
      <c r="R1968" s="93"/>
      <c r="S1968" s="93"/>
      <c r="T1968" s="93"/>
      <c r="U1968" s="93"/>
      <c r="V1968" s="93"/>
      <c r="W1968" s="93"/>
      <c r="X1968" s="93"/>
      <c r="Y1968" s="93"/>
      <c r="Z1968" s="93"/>
    </row>
    <row r="1969" customFormat="false" ht="16.4" hidden="false" customHeight="false" outlineLevel="0" collapsed="false">
      <c r="A1969" s="123" t="n">
        <v>45444</v>
      </c>
      <c r="B1969" s="31" t="s">
        <v>153</v>
      </c>
      <c r="C1969" s="129"/>
      <c r="D1969" s="129"/>
      <c r="E1969" s="19" t="n">
        <f aca="false">F1969*0.03</f>
        <v>0</v>
      </c>
      <c r="F1969" s="33" t="n">
        <v>0</v>
      </c>
      <c r="G1969" s="131"/>
      <c r="H1969" s="35" t="n">
        <v>0</v>
      </c>
      <c r="I1969" s="34" t="n">
        <f aca="false">+IF(E1969=0,0,E1969*0.03)</f>
        <v>0</v>
      </c>
      <c r="J1969" s="93"/>
      <c r="K1969" s="93"/>
      <c r="L1969" s="93"/>
      <c r="M1969" s="93"/>
      <c r="N1969" s="93"/>
      <c r="O1969" s="93"/>
      <c r="P1969" s="93"/>
      <c r="Q1969" s="93"/>
      <c r="R1969" s="93"/>
      <c r="S1969" s="93"/>
      <c r="T1969" s="93"/>
      <c r="U1969" s="93"/>
      <c r="V1969" s="93"/>
      <c r="W1969" s="93"/>
      <c r="X1969" s="93"/>
      <c r="Y1969" s="93"/>
      <c r="Z1969" s="93"/>
    </row>
    <row r="1970" customFormat="false" ht="16.4" hidden="false" customHeight="false" outlineLevel="0" collapsed="false">
      <c r="A1970" s="123" t="n">
        <v>45444</v>
      </c>
      <c r="B1970" s="31" t="s">
        <v>153</v>
      </c>
      <c r="C1970" s="129"/>
      <c r="D1970" s="129"/>
      <c r="E1970" s="19" t="n">
        <f aca="false">F1970*0.03</f>
        <v>0</v>
      </c>
      <c r="F1970" s="33" t="n">
        <v>0</v>
      </c>
      <c r="G1970" s="131"/>
      <c r="H1970" s="35" t="n">
        <v>0</v>
      </c>
      <c r="I1970" s="34" t="n">
        <f aca="false">+IF(E1970=0,0,E1970*0.03)</f>
        <v>0</v>
      </c>
      <c r="J1970" s="93"/>
      <c r="K1970" s="93"/>
      <c r="L1970" s="93"/>
      <c r="M1970" s="93"/>
      <c r="N1970" s="93"/>
      <c r="O1970" s="93"/>
      <c r="P1970" s="93"/>
      <c r="Q1970" s="93"/>
      <c r="R1970" s="93"/>
      <c r="S1970" s="93"/>
      <c r="T1970" s="93"/>
      <c r="U1970" s="93"/>
      <c r="V1970" s="93"/>
      <c r="W1970" s="93"/>
      <c r="X1970" s="93"/>
      <c r="Y1970" s="93"/>
      <c r="Z1970" s="93"/>
    </row>
    <row r="1971" customFormat="false" ht="16.4" hidden="false" customHeight="false" outlineLevel="0" collapsed="false">
      <c r="A1971" s="123" t="n">
        <v>45444</v>
      </c>
      <c r="B1971" s="31" t="s">
        <v>153</v>
      </c>
      <c r="C1971" s="129"/>
      <c r="D1971" s="129"/>
      <c r="E1971" s="19" t="n">
        <f aca="false">F1971*0.03</f>
        <v>0</v>
      </c>
      <c r="F1971" s="33" t="n">
        <v>0</v>
      </c>
      <c r="G1971" s="131"/>
      <c r="H1971" s="35" t="n">
        <v>0</v>
      </c>
      <c r="I1971" s="34" t="n">
        <f aca="false">+IF(E1971=0,0,E1971*0.03)</f>
        <v>0</v>
      </c>
      <c r="J1971" s="93"/>
      <c r="K1971" s="93"/>
      <c r="L1971" s="93"/>
      <c r="M1971" s="93"/>
      <c r="N1971" s="93"/>
      <c r="O1971" s="93"/>
      <c r="P1971" s="93"/>
      <c r="Q1971" s="93"/>
      <c r="R1971" s="93"/>
      <c r="S1971" s="93"/>
      <c r="T1971" s="93"/>
      <c r="U1971" s="93"/>
      <c r="V1971" s="93"/>
      <c r="W1971" s="93"/>
      <c r="X1971" s="93"/>
      <c r="Y1971" s="93"/>
      <c r="Z1971" s="93"/>
    </row>
    <row r="1972" customFormat="false" ht="16.4" hidden="false" customHeight="false" outlineLevel="0" collapsed="false">
      <c r="A1972" s="123" t="n">
        <v>45444</v>
      </c>
      <c r="B1972" s="31" t="s">
        <v>153</v>
      </c>
      <c r="C1972" s="129"/>
      <c r="D1972" s="129"/>
      <c r="E1972" s="19" t="n">
        <f aca="false">F1972*0.03</f>
        <v>0</v>
      </c>
      <c r="F1972" s="33" t="n">
        <v>0</v>
      </c>
      <c r="G1972" s="131"/>
      <c r="H1972" s="35" t="n">
        <v>0</v>
      </c>
      <c r="I1972" s="34" t="n">
        <f aca="false">+IF(E1972=0,0,E1972*0.03)</f>
        <v>0</v>
      </c>
      <c r="J1972" s="93"/>
      <c r="K1972" s="93"/>
      <c r="L1972" s="93"/>
      <c r="M1972" s="93"/>
      <c r="N1972" s="93"/>
      <c r="O1972" s="93"/>
      <c r="P1972" s="93"/>
      <c r="Q1972" s="93"/>
      <c r="R1972" s="93"/>
      <c r="S1972" s="93"/>
      <c r="T1972" s="93"/>
      <c r="U1972" s="93"/>
      <c r="V1972" s="93"/>
      <c r="W1972" s="93"/>
      <c r="X1972" s="93"/>
      <c r="Y1972" s="93"/>
      <c r="Z1972" s="93"/>
    </row>
    <row r="1973" customFormat="false" ht="16.4" hidden="false" customHeight="false" outlineLevel="0" collapsed="false">
      <c r="A1973" s="123" t="n">
        <v>45444</v>
      </c>
      <c r="B1973" s="31" t="s">
        <v>153</v>
      </c>
      <c r="C1973" s="129"/>
      <c r="D1973" s="129"/>
      <c r="E1973" s="19" t="n">
        <f aca="false">F1973*0.03</f>
        <v>0</v>
      </c>
      <c r="F1973" s="33" t="n">
        <v>0</v>
      </c>
      <c r="G1973" s="131"/>
      <c r="H1973" s="35" t="n">
        <v>0</v>
      </c>
      <c r="I1973" s="34" t="n">
        <f aca="false">+IF(E1973=0,0,E1973*0.03)</f>
        <v>0</v>
      </c>
      <c r="J1973" s="93"/>
      <c r="K1973" s="93"/>
      <c r="L1973" s="93"/>
      <c r="M1973" s="93"/>
      <c r="N1973" s="93"/>
      <c r="O1973" s="93"/>
      <c r="P1973" s="93"/>
      <c r="Q1973" s="93"/>
      <c r="R1973" s="93"/>
      <c r="S1973" s="93"/>
      <c r="T1973" s="93"/>
      <c r="U1973" s="93"/>
      <c r="V1973" s="93"/>
      <c r="W1973" s="93"/>
      <c r="X1973" s="93"/>
      <c r="Y1973" s="93"/>
      <c r="Z1973" s="93"/>
    </row>
    <row r="1974" customFormat="false" ht="16.4" hidden="false" customHeight="false" outlineLevel="0" collapsed="false">
      <c r="A1974" s="123" t="n">
        <v>45444</v>
      </c>
      <c r="B1974" s="31" t="s">
        <v>153</v>
      </c>
      <c r="C1974" s="129"/>
      <c r="D1974" s="129"/>
      <c r="E1974" s="19" t="n">
        <f aca="false">F1974*0.03</f>
        <v>0</v>
      </c>
      <c r="F1974" s="33" t="n">
        <v>0</v>
      </c>
      <c r="G1974" s="131"/>
      <c r="H1974" s="35" t="n">
        <v>0</v>
      </c>
      <c r="I1974" s="34" t="n">
        <f aca="false">+IF(E1974=0,0,E1974*0.03)</f>
        <v>0</v>
      </c>
      <c r="J1974" s="93"/>
      <c r="K1974" s="93"/>
      <c r="L1974" s="93"/>
      <c r="M1974" s="93"/>
      <c r="N1974" s="93"/>
      <c r="O1974" s="93"/>
      <c r="P1974" s="93"/>
      <c r="Q1974" s="93"/>
      <c r="R1974" s="93"/>
      <c r="S1974" s="93"/>
      <c r="T1974" s="93"/>
      <c r="U1974" s="93"/>
      <c r="V1974" s="93"/>
      <c r="W1974" s="93"/>
      <c r="X1974" s="93"/>
      <c r="Y1974" s="93"/>
      <c r="Z1974" s="93"/>
    </row>
    <row r="1975" customFormat="false" ht="16.4" hidden="false" customHeight="false" outlineLevel="0" collapsed="false">
      <c r="A1975" s="123" t="n">
        <v>45444</v>
      </c>
      <c r="B1975" s="31" t="s">
        <v>153</v>
      </c>
      <c r="C1975" s="129"/>
      <c r="D1975" s="129"/>
      <c r="E1975" s="19" t="n">
        <f aca="false">F1975*0.03</f>
        <v>0</v>
      </c>
      <c r="F1975" s="33" t="n">
        <v>0</v>
      </c>
      <c r="G1975" s="131"/>
      <c r="H1975" s="35" t="n">
        <v>0</v>
      </c>
      <c r="I1975" s="34" t="n">
        <f aca="false">+IF(E1975=0,0,E1975*0.03)</f>
        <v>0</v>
      </c>
      <c r="J1975" s="93"/>
      <c r="K1975" s="93"/>
      <c r="L1975" s="93"/>
      <c r="M1975" s="93"/>
      <c r="N1975" s="93"/>
      <c r="O1975" s="93"/>
      <c r="P1975" s="93"/>
      <c r="Q1975" s="93"/>
      <c r="R1975" s="93"/>
      <c r="S1975" s="93"/>
      <c r="T1975" s="93"/>
      <c r="U1975" s="93"/>
      <c r="V1975" s="93"/>
      <c r="W1975" s="93"/>
      <c r="X1975" s="93"/>
      <c r="Y1975" s="93"/>
      <c r="Z1975" s="93"/>
    </row>
    <row r="1976" customFormat="false" ht="16.4" hidden="false" customHeight="false" outlineLevel="0" collapsed="false">
      <c r="A1976" s="123" t="n">
        <v>45444</v>
      </c>
      <c r="B1976" s="31" t="s">
        <v>153</v>
      </c>
      <c r="C1976" s="129"/>
      <c r="D1976" s="129"/>
      <c r="E1976" s="19" t="n">
        <f aca="false">F1976*0.03</f>
        <v>0</v>
      </c>
      <c r="F1976" s="33" t="n">
        <v>0</v>
      </c>
      <c r="G1976" s="131"/>
      <c r="H1976" s="35" t="n">
        <v>0</v>
      </c>
      <c r="I1976" s="34" t="n">
        <f aca="false">+IF(E1976=0,0,E1976*0.03)</f>
        <v>0</v>
      </c>
      <c r="J1976" s="93"/>
      <c r="K1976" s="93"/>
      <c r="L1976" s="93"/>
      <c r="M1976" s="93"/>
      <c r="N1976" s="93"/>
      <c r="O1976" s="93"/>
      <c r="P1976" s="93"/>
      <c r="Q1976" s="93"/>
      <c r="R1976" s="93"/>
      <c r="S1976" s="93"/>
      <c r="T1976" s="93"/>
      <c r="U1976" s="93"/>
      <c r="V1976" s="93"/>
      <c r="W1976" s="93"/>
      <c r="X1976" s="93"/>
      <c r="Y1976" s="93"/>
      <c r="Z1976" s="93"/>
    </row>
    <row r="1977" customFormat="false" ht="16.4" hidden="false" customHeight="false" outlineLevel="0" collapsed="false">
      <c r="A1977" s="123" t="n">
        <v>45444</v>
      </c>
      <c r="B1977" s="31" t="s">
        <v>153</v>
      </c>
      <c r="C1977" s="129"/>
      <c r="D1977" s="129"/>
      <c r="E1977" s="19" t="n">
        <f aca="false">F1977*0.03</f>
        <v>0</v>
      </c>
      <c r="F1977" s="33" t="n">
        <v>0</v>
      </c>
      <c r="G1977" s="131"/>
      <c r="H1977" s="35" t="n">
        <v>0</v>
      </c>
      <c r="I1977" s="34" t="n">
        <f aca="false">+IF(E1977=0,0,E1977*0.03)</f>
        <v>0</v>
      </c>
      <c r="J1977" s="93"/>
      <c r="K1977" s="93"/>
      <c r="L1977" s="93"/>
      <c r="M1977" s="93"/>
      <c r="N1977" s="93"/>
      <c r="O1977" s="93"/>
      <c r="P1977" s="93"/>
      <c r="Q1977" s="93"/>
      <c r="R1977" s="93"/>
      <c r="S1977" s="93"/>
      <c r="T1977" s="93"/>
      <c r="U1977" s="93"/>
      <c r="V1977" s="93"/>
      <c r="W1977" s="93"/>
      <c r="X1977" s="93"/>
      <c r="Y1977" s="93"/>
      <c r="Z1977" s="93"/>
    </row>
    <row r="1978" customFormat="false" ht="16.4" hidden="false" customHeight="false" outlineLevel="0" collapsed="false">
      <c r="A1978" s="123" t="n">
        <v>45444</v>
      </c>
      <c r="B1978" s="31" t="s">
        <v>153</v>
      </c>
      <c r="C1978" s="129"/>
      <c r="D1978" s="129"/>
      <c r="E1978" s="19" t="n">
        <f aca="false">F1978*0.03</f>
        <v>0</v>
      </c>
      <c r="F1978" s="33" t="n">
        <v>0</v>
      </c>
      <c r="G1978" s="131"/>
      <c r="H1978" s="35" t="n">
        <v>0</v>
      </c>
      <c r="I1978" s="34" t="n">
        <f aca="false">+IF(E1978=0,0,E1978*0.03)</f>
        <v>0</v>
      </c>
      <c r="J1978" s="93"/>
      <c r="K1978" s="93"/>
      <c r="L1978" s="93"/>
      <c r="M1978" s="93"/>
      <c r="N1978" s="93"/>
      <c r="O1978" s="93"/>
      <c r="P1978" s="93"/>
      <c r="Q1978" s="93"/>
      <c r="R1978" s="93"/>
      <c r="S1978" s="93"/>
      <c r="T1978" s="93"/>
      <c r="U1978" s="93"/>
      <c r="V1978" s="93"/>
      <c r="W1978" s="93"/>
      <c r="X1978" s="93"/>
      <c r="Y1978" s="93"/>
      <c r="Z1978" s="93"/>
    </row>
    <row r="1979" customFormat="false" ht="16.4" hidden="false" customHeight="false" outlineLevel="0" collapsed="false">
      <c r="A1979" s="123" t="n">
        <v>45444</v>
      </c>
      <c r="B1979" s="31" t="s">
        <v>153</v>
      </c>
      <c r="C1979" s="129"/>
      <c r="D1979" s="129"/>
      <c r="E1979" s="19" t="n">
        <f aca="false">F1979*0.03</f>
        <v>0</v>
      </c>
      <c r="F1979" s="33" t="n">
        <v>0</v>
      </c>
      <c r="G1979" s="131"/>
      <c r="H1979" s="35" t="n">
        <v>0</v>
      </c>
      <c r="I1979" s="34" t="n">
        <f aca="false">+IF(E1979=0,0,E1979*0.03)</f>
        <v>0</v>
      </c>
      <c r="J1979" s="93"/>
      <c r="K1979" s="93"/>
      <c r="L1979" s="93"/>
      <c r="M1979" s="93"/>
      <c r="N1979" s="93"/>
      <c r="O1979" s="93"/>
      <c r="P1979" s="93"/>
      <c r="Q1979" s="93"/>
      <c r="R1979" s="93"/>
      <c r="S1979" s="93"/>
      <c r="T1979" s="93"/>
      <c r="U1979" s="93"/>
      <c r="V1979" s="93"/>
      <c r="W1979" s="93"/>
      <c r="X1979" s="93"/>
      <c r="Y1979" s="93"/>
      <c r="Z1979" s="93"/>
    </row>
    <row r="1980" customFormat="false" ht="16.4" hidden="false" customHeight="false" outlineLevel="0" collapsed="false">
      <c r="A1980" s="123" t="n">
        <v>45444</v>
      </c>
      <c r="B1980" s="31" t="s">
        <v>153</v>
      </c>
      <c r="C1980" s="129"/>
      <c r="D1980" s="129"/>
      <c r="E1980" s="19" t="n">
        <f aca="false">F1980*0.03</f>
        <v>0</v>
      </c>
      <c r="F1980" s="33" t="n">
        <v>0</v>
      </c>
      <c r="G1980" s="131"/>
      <c r="H1980" s="35" t="n">
        <v>0</v>
      </c>
      <c r="I1980" s="34" t="n">
        <f aca="false">+IF(E1980=0,0,E1980*0.03)</f>
        <v>0</v>
      </c>
      <c r="J1980" s="93"/>
      <c r="K1980" s="93"/>
      <c r="L1980" s="93"/>
      <c r="M1980" s="93"/>
      <c r="N1980" s="93"/>
      <c r="O1980" s="93"/>
      <c r="P1980" s="93"/>
      <c r="Q1980" s="93"/>
      <c r="R1980" s="93"/>
      <c r="S1980" s="93"/>
      <c r="T1980" s="93"/>
      <c r="U1980" s="93"/>
      <c r="V1980" s="93"/>
      <c r="W1980" s="93"/>
      <c r="X1980" s="93"/>
      <c r="Y1980" s="93"/>
      <c r="Z1980" s="93"/>
    </row>
    <row r="1981" customFormat="false" ht="16.4" hidden="false" customHeight="false" outlineLevel="0" collapsed="false">
      <c r="A1981" s="123" t="n">
        <v>45444</v>
      </c>
      <c r="B1981" s="31" t="s">
        <v>153</v>
      </c>
      <c r="C1981" s="129"/>
      <c r="D1981" s="129"/>
      <c r="E1981" s="19" t="n">
        <f aca="false">F1981*0.03</f>
        <v>0</v>
      </c>
      <c r="F1981" s="33" t="n">
        <v>0</v>
      </c>
      <c r="G1981" s="131"/>
      <c r="H1981" s="35" t="n">
        <v>0</v>
      </c>
      <c r="I1981" s="34" t="n">
        <f aca="false">+IF(E1981=0,0,E1981*0.03)</f>
        <v>0</v>
      </c>
      <c r="J1981" s="93"/>
      <c r="K1981" s="93"/>
      <c r="L1981" s="93"/>
      <c r="M1981" s="93"/>
      <c r="N1981" s="93"/>
      <c r="O1981" s="93"/>
      <c r="P1981" s="93"/>
      <c r="Q1981" s="93"/>
      <c r="R1981" s="93"/>
      <c r="S1981" s="93"/>
      <c r="T1981" s="93"/>
      <c r="U1981" s="93"/>
      <c r="V1981" s="93"/>
      <c r="W1981" s="93"/>
      <c r="X1981" s="93"/>
      <c r="Y1981" s="93"/>
      <c r="Z1981" s="93"/>
    </row>
    <row r="1982" customFormat="false" ht="16.4" hidden="false" customHeight="false" outlineLevel="0" collapsed="false">
      <c r="A1982" s="123" t="n">
        <v>45444</v>
      </c>
      <c r="B1982" s="31" t="s">
        <v>153</v>
      </c>
      <c r="C1982" s="129"/>
      <c r="D1982" s="129"/>
      <c r="E1982" s="19" t="n">
        <f aca="false">F1982*0.03</f>
        <v>0</v>
      </c>
      <c r="F1982" s="33" t="n">
        <v>0</v>
      </c>
      <c r="G1982" s="131"/>
      <c r="H1982" s="35" t="n">
        <v>0</v>
      </c>
      <c r="I1982" s="34" t="n">
        <f aca="false">+IF(E1982=0,0,E1982*0.03)</f>
        <v>0</v>
      </c>
      <c r="J1982" s="93"/>
      <c r="K1982" s="93"/>
      <c r="L1982" s="93"/>
      <c r="M1982" s="93"/>
      <c r="N1982" s="93"/>
      <c r="O1982" s="93"/>
      <c r="P1982" s="93"/>
      <c r="Q1982" s="93"/>
      <c r="R1982" s="93"/>
      <c r="S1982" s="93"/>
      <c r="T1982" s="93"/>
      <c r="U1982" s="93"/>
      <c r="V1982" s="93"/>
      <c r="W1982" s="93"/>
      <c r="X1982" s="93"/>
      <c r="Y1982" s="93"/>
      <c r="Z1982" s="93"/>
    </row>
    <row r="1983" customFormat="false" ht="16.4" hidden="false" customHeight="false" outlineLevel="0" collapsed="false">
      <c r="A1983" s="123" t="n">
        <v>45444</v>
      </c>
      <c r="B1983" s="31" t="s">
        <v>153</v>
      </c>
      <c r="C1983" s="129"/>
      <c r="D1983" s="129"/>
      <c r="E1983" s="19" t="n">
        <f aca="false">F1983*0.03</f>
        <v>0</v>
      </c>
      <c r="F1983" s="33" t="n">
        <v>0</v>
      </c>
      <c r="G1983" s="131"/>
      <c r="H1983" s="35" t="n">
        <v>0</v>
      </c>
      <c r="I1983" s="34" t="n">
        <f aca="false">+IF(E1983=0,0,E1983*0.03)</f>
        <v>0</v>
      </c>
      <c r="J1983" s="93"/>
      <c r="K1983" s="93"/>
      <c r="L1983" s="93"/>
      <c r="M1983" s="93"/>
      <c r="N1983" s="93"/>
      <c r="O1983" s="93"/>
      <c r="P1983" s="93"/>
      <c r="Q1983" s="93"/>
      <c r="R1983" s="93"/>
      <c r="S1983" s="93"/>
      <c r="T1983" s="93"/>
      <c r="U1983" s="93"/>
      <c r="V1983" s="93"/>
      <c r="W1983" s="93"/>
      <c r="X1983" s="93"/>
      <c r="Y1983" s="93"/>
      <c r="Z1983" s="93"/>
    </row>
    <row r="1984" customFormat="false" ht="16.4" hidden="false" customHeight="false" outlineLevel="0" collapsed="false">
      <c r="A1984" s="93"/>
      <c r="B1984" s="93"/>
      <c r="C1984" s="129"/>
      <c r="D1984" s="32" t="s">
        <v>26</v>
      </c>
      <c r="E1984" s="19" t="n">
        <f aca="false">SUM(E7:E1983)</f>
        <v>186420</v>
      </c>
      <c r="F1984" s="33" t="n">
        <f aca="false">SUM(F7:F1983)</f>
        <v>6214000</v>
      </c>
      <c r="G1984" s="110"/>
      <c r="H1984" s="37" t="n">
        <f aca="false">SUM(H7:H1983)</f>
        <v>0</v>
      </c>
      <c r="I1984" s="38" t="n">
        <f aca="false">SUM(I7:I1983)</f>
        <v>252</v>
      </c>
      <c r="J1984" s="93"/>
      <c r="K1984" s="93"/>
      <c r="L1984" s="93"/>
      <c r="M1984" s="93"/>
      <c r="N1984" s="93"/>
      <c r="O1984" s="93"/>
      <c r="P1984" s="93"/>
      <c r="Q1984" s="93"/>
      <c r="R1984" s="93"/>
      <c r="S1984" s="93"/>
      <c r="T1984" s="93"/>
      <c r="U1984" s="93"/>
      <c r="V1984" s="93"/>
      <c r="W1984" s="93"/>
      <c r="X1984" s="93"/>
      <c r="Y1984" s="93"/>
      <c r="Z1984" s="93"/>
    </row>
    <row r="1985" customFormat="false" ht="15" hidden="false" customHeight="false" outlineLevel="0" collapsed="false">
      <c r="A1985" s="93"/>
      <c r="B1985" s="93"/>
      <c r="C1985" s="93"/>
      <c r="D1985" s="93"/>
      <c r="E1985" s="93"/>
      <c r="F1985" s="93"/>
      <c r="G1985" s="93"/>
      <c r="H1985" s="93"/>
      <c r="I1985" s="93"/>
      <c r="J1985" s="93"/>
      <c r="K1985" s="93"/>
      <c r="L1985" s="93"/>
      <c r="M1985" s="93"/>
      <c r="N1985" s="93"/>
      <c r="O1985" s="93"/>
      <c r="P1985" s="93"/>
      <c r="Q1985" s="93"/>
      <c r="R1985" s="93"/>
      <c r="S1985" s="93"/>
      <c r="T1985" s="93"/>
      <c r="U1985" s="93"/>
      <c r="V1985" s="93"/>
      <c r="W1985" s="93"/>
      <c r="X1985" s="93"/>
      <c r="Y1985" s="93"/>
      <c r="Z1985" s="93"/>
    </row>
    <row r="1986" customFormat="false" ht="15" hidden="false" customHeight="false" outlineLevel="0" collapsed="false">
      <c r="A1986" s="93"/>
      <c r="B1986" s="93"/>
      <c r="C1986" s="93"/>
      <c r="D1986" s="93"/>
      <c r="E1986" s="93"/>
      <c r="F1986" s="93"/>
      <c r="G1986" s="93"/>
      <c r="H1986" s="93"/>
      <c r="I1986" s="93"/>
      <c r="J1986" s="93"/>
      <c r="K1986" s="93"/>
      <c r="L1986" s="93"/>
      <c r="M1986" s="93"/>
      <c r="N1986" s="93"/>
      <c r="O1986" s="93"/>
      <c r="P1986" s="93"/>
      <c r="Q1986" s="93"/>
      <c r="R1986" s="93"/>
      <c r="S1986" s="93"/>
      <c r="T1986" s="93"/>
      <c r="U1986" s="93"/>
      <c r="V1986" s="93"/>
      <c r="W1986" s="93"/>
      <c r="X1986" s="93"/>
      <c r="Y1986" s="93"/>
      <c r="Z1986" s="93"/>
    </row>
    <row r="1987" customFormat="false" ht="15" hidden="false" customHeight="false" outlineLevel="0" collapsed="false">
      <c r="A1987" s="93"/>
      <c r="B1987" s="93"/>
      <c r="C1987" s="93"/>
      <c r="D1987" s="93"/>
      <c r="E1987" s="93"/>
      <c r="F1987" s="93"/>
      <c r="G1987" s="93"/>
      <c r="H1987" s="93"/>
      <c r="I1987" s="93"/>
      <c r="J1987" s="93"/>
      <c r="K1987" s="93"/>
      <c r="L1987" s="93"/>
      <c r="M1987" s="93"/>
      <c r="N1987" s="93"/>
      <c r="O1987" s="93"/>
      <c r="P1987" s="93"/>
      <c r="Q1987" s="93"/>
      <c r="R1987" s="93"/>
      <c r="S1987" s="93"/>
      <c r="T1987" s="93"/>
      <c r="U1987" s="93"/>
      <c r="V1987" s="93"/>
      <c r="W1987" s="93"/>
      <c r="X1987" s="93"/>
      <c r="Y1987" s="93"/>
      <c r="Z1987" s="93"/>
    </row>
    <row r="1988" customFormat="false" ht="15" hidden="false" customHeight="false" outlineLevel="0" collapsed="false">
      <c r="A1988" s="93"/>
      <c r="B1988" s="93"/>
      <c r="C1988" s="93"/>
      <c r="D1988" s="93"/>
      <c r="E1988" s="93"/>
      <c r="F1988" s="93"/>
      <c r="G1988" s="93"/>
      <c r="H1988" s="93"/>
      <c r="I1988" s="93"/>
      <c r="J1988" s="93"/>
      <c r="K1988" s="93"/>
      <c r="L1988" s="93"/>
      <c r="M1988" s="93"/>
      <c r="N1988" s="93"/>
      <c r="O1988" s="93"/>
      <c r="P1988" s="93"/>
      <c r="Q1988" s="93"/>
      <c r="R1988" s="93"/>
      <c r="S1988" s="93"/>
      <c r="T1988" s="93"/>
      <c r="U1988" s="93"/>
      <c r="V1988" s="93"/>
      <c r="W1988" s="93"/>
      <c r="X1988" s="93"/>
      <c r="Y1988" s="93"/>
      <c r="Z1988" s="93"/>
    </row>
    <row r="1989" customFormat="false" ht="15" hidden="false" customHeight="false" outlineLevel="0" collapsed="false">
      <c r="A1989" s="93"/>
      <c r="B1989" s="93"/>
      <c r="C1989" s="93"/>
      <c r="D1989" s="93"/>
      <c r="E1989" s="93"/>
      <c r="F1989" s="93"/>
      <c r="G1989" s="93"/>
      <c r="H1989" s="93"/>
      <c r="I1989" s="93"/>
      <c r="J1989" s="93"/>
      <c r="K1989" s="93"/>
      <c r="L1989" s="93"/>
      <c r="M1989" s="93"/>
      <c r="N1989" s="93"/>
      <c r="O1989" s="93"/>
      <c r="P1989" s="93"/>
      <c r="Q1989" s="93"/>
      <c r="R1989" s="93"/>
      <c r="S1989" s="93"/>
      <c r="T1989" s="93"/>
      <c r="U1989" s="93"/>
      <c r="V1989" s="93"/>
      <c r="W1989" s="93"/>
      <c r="X1989" s="93"/>
      <c r="Y1989" s="93"/>
      <c r="Z1989" s="93"/>
    </row>
    <row r="1990" customFormat="false" ht="15" hidden="false" customHeight="false" outlineLevel="0" collapsed="false">
      <c r="A1990" s="93"/>
      <c r="B1990" s="93"/>
      <c r="C1990" s="93"/>
      <c r="D1990" s="93"/>
      <c r="E1990" s="93"/>
      <c r="F1990" s="93"/>
      <c r="G1990" s="93"/>
      <c r="H1990" s="93"/>
      <c r="I1990" s="93"/>
      <c r="J1990" s="93"/>
      <c r="K1990" s="93"/>
      <c r="L1990" s="93"/>
      <c r="M1990" s="93"/>
      <c r="N1990" s="93"/>
      <c r="O1990" s="93"/>
      <c r="P1990" s="127"/>
      <c r="Q1990" s="93"/>
      <c r="R1990" s="93"/>
      <c r="S1990" s="93"/>
      <c r="T1990" s="93"/>
      <c r="U1990" s="93"/>
      <c r="V1990" s="93"/>
      <c r="W1990" s="93"/>
      <c r="X1990" s="93"/>
      <c r="Y1990" s="93"/>
      <c r="Z1990" s="93"/>
    </row>
    <row r="1991" customFormat="false" ht="15" hidden="false" customHeight="false" outlineLevel="0" collapsed="false">
      <c r="A1991" s="93"/>
      <c r="B1991" s="93"/>
      <c r="C1991" s="93"/>
      <c r="D1991" s="93"/>
      <c r="E1991" s="93"/>
      <c r="F1991" s="93"/>
      <c r="G1991" s="93"/>
      <c r="H1991" s="93"/>
      <c r="I1991" s="93"/>
      <c r="J1991" s="93"/>
      <c r="K1991" s="93"/>
      <c r="L1991" s="93"/>
      <c r="M1991" s="93"/>
      <c r="N1991" s="93"/>
      <c r="O1991" s="93"/>
      <c r="P1991" s="93"/>
      <c r="Q1991" s="93"/>
      <c r="R1991" s="93"/>
      <c r="S1991" s="93"/>
      <c r="T1991" s="93"/>
      <c r="U1991" s="93"/>
      <c r="V1991" s="93"/>
      <c r="W1991" s="93"/>
      <c r="X1991" s="93"/>
      <c r="Y1991" s="93"/>
      <c r="Z1991" s="93"/>
    </row>
    <row r="1992" customFormat="false" ht="15" hidden="false" customHeight="false" outlineLevel="0" collapsed="false">
      <c r="A1992" s="93"/>
      <c r="B1992" s="93"/>
      <c r="C1992" s="93"/>
      <c r="D1992" s="93"/>
      <c r="E1992" s="93"/>
      <c r="F1992" s="93"/>
      <c r="G1992" s="93"/>
      <c r="H1992" s="93"/>
      <c r="I1992" s="93"/>
      <c r="J1992" s="93"/>
      <c r="K1992" s="93"/>
      <c r="L1992" s="93"/>
      <c r="M1992" s="93"/>
      <c r="N1992" s="93"/>
      <c r="O1992" s="127"/>
      <c r="P1992" s="127"/>
      <c r="Q1992" s="93"/>
      <c r="R1992" s="93"/>
      <c r="S1992" s="93"/>
      <c r="T1992" s="93"/>
      <c r="U1992" s="93"/>
      <c r="V1992" s="93"/>
      <c r="W1992" s="93"/>
      <c r="X1992" s="93"/>
      <c r="Y1992" s="93"/>
      <c r="Z1992" s="93"/>
    </row>
  </sheetData>
  <mergeCells count="3">
    <mergeCell ref="H1:I1"/>
    <mergeCell ref="H2:I2"/>
    <mergeCell ref="C5:I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2022-11-13T16:26:56Z</dcterms:created>
  <dc:creator>Roberto</dc:creator>
  <dc:description/>
  <dc:language>es-CR</dc:language>
  <cp:lastModifiedBy/>
  <dcterms:modified xsi:type="dcterms:W3CDTF">2026-02-12T10:31:17Z</dcterms:modified>
  <cp:revision>1</cp:revision>
  <dc:subject/>
  <dc:title/>
</cp:coreProperties>
</file>